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_rels/drawing19.xml.rels" ContentType="application/vnd.openxmlformats-package.relationships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Assumptions" sheetId="2" state="visible" r:id="rId4"/>
    <sheet name="Sources" sheetId="3" state="visible" r:id="rId5"/>
    <sheet name="Staffing" sheetId="4" state="visible" r:id="rId6"/>
    <sheet name="Nonlabor" sheetId="5" state="visible" r:id="rId7"/>
    <sheet name="Requirements" sheetId="6" state="visible" r:id="rId8"/>
    <sheet name="Migration WBS" sheetId="7" state="visible" r:id="rId9"/>
    <sheet name="Architecture" sheetId="8" state="visible" r:id="rId10"/>
    <sheet name="Roadmap" sheetId="9" state="visible" r:id="rId11"/>
    <sheet name="Risks and Funding" sheetId="10" state="visible" r:id="rId12"/>
    <sheet name="Staff Months" sheetId="11" state="visible" r:id="rId13"/>
    <sheet name="Monthly Lean" sheetId="12" state="visible" r:id="rId14"/>
    <sheet name="Monthly Base" sheetId="13" state="visible" r:id="rId15"/>
    <sheet name="Monthly Growth" sheetId="14" state="visible" r:id="rId16"/>
    <sheet name="Monthly Model" sheetId="15" state="visible" r:id="rId17"/>
    <sheet name="Vendor Months" sheetId="16" state="visible" r:id="rId18"/>
    <sheet name="Annual Summary" sheetId="17" state="visible" r:id="rId19"/>
    <sheet name="Scenario Comparison" sheetId="18" state="visible" r:id="rId20"/>
    <sheet name="Charts" sheetId="19" state="visible" r:id="rId21"/>
  </sheets>
  <definedNames>
    <definedName function="false" hidden="false" localSheetId="16" name="_xlnm.Print_Titles" vbProcedure="false">'Annual Summary'!$1:$5</definedName>
    <definedName function="false" hidden="true" localSheetId="16" name="_xlnm._FilterDatabase" vbProcedure="false">'Annual Summary'!$A$5:$Q$26</definedName>
    <definedName function="false" hidden="false" localSheetId="7" name="_xlnm.Print_Titles" vbProcedure="false">Architecture!$1:$5</definedName>
    <definedName function="false" hidden="true" localSheetId="7" name="_xlnm._FilterDatabase" vbProcedure="false">Architecture!$A$5:$N$13</definedName>
    <definedName function="false" hidden="false" localSheetId="1" name="_xlnm.Print_Titles" vbProcedure="false">Assumptions!$1:$5</definedName>
    <definedName function="false" hidden="true" localSheetId="1" name="_xlnm._FilterDatabase" vbProcedure="false">Assumptions!$A$5:$H$30</definedName>
    <definedName function="false" hidden="false" localSheetId="18" name="_xlnm.Print_Titles" vbProcedure="false">Charts!$1:$5</definedName>
    <definedName function="false" hidden="true" localSheetId="18" name="_xlnm._FilterDatabase" vbProcedure="false">Charts!$A$3:$H$5</definedName>
    <definedName function="false" hidden="false" localSheetId="6" name="_xlnm.Print_Titles" vbProcedure="false">'Migration WBS'!$1:$5</definedName>
    <definedName function="false" hidden="true" localSheetId="6" name="_xlnm._FilterDatabase" vbProcedure="false">'Migration WBS'!$A$5:$O$26</definedName>
    <definedName function="false" hidden="false" localSheetId="12" name="_xlnm.Print_Titles" vbProcedure="false">'Monthly Base'!$1:$5</definedName>
    <definedName function="false" hidden="true" localSheetId="12" name="_xlnm._FilterDatabase" vbProcedure="false">'Monthly Base'!$A$5:$AS$65</definedName>
    <definedName function="false" hidden="false" localSheetId="13" name="_xlnm.Print_Titles" vbProcedure="false">'Monthly Growth'!$1:$5</definedName>
    <definedName function="false" hidden="true" localSheetId="13" name="_xlnm._FilterDatabase" vbProcedure="false">'Monthly Growth'!$A$5:$AS$65</definedName>
    <definedName function="false" hidden="false" localSheetId="11" name="_xlnm.Print_Titles" vbProcedure="false">'Monthly Lean'!$1:$5</definedName>
    <definedName function="false" hidden="true" localSheetId="11" name="_xlnm._FilterDatabase" vbProcedure="false">'Monthly Lean'!$A$5:$AS$65</definedName>
    <definedName function="false" hidden="false" localSheetId="14" name="_xlnm.Print_Titles" vbProcedure="false">'Monthly Model'!$1:$5</definedName>
    <definedName function="false" hidden="true" localSheetId="14" name="_xlnm._FilterDatabase" vbProcedure="false">'Monthly Model'!$A$5:$AR$65</definedName>
    <definedName function="false" hidden="false" localSheetId="4" name="_xlnm.Print_Titles" vbProcedure="false">Nonlabor!$1:$5</definedName>
    <definedName function="false" hidden="true" localSheetId="4" name="_xlnm._FilterDatabase" vbProcedure="false">Nonlabor!$A$5:$N$27</definedName>
    <definedName function="false" hidden="false" localSheetId="5" name="_xlnm.Print_Titles" vbProcedure="false">Requirements!$1:$5</definedName>
    <definedName function="false" hidden="true" localSheetId="5" name="_xlnm._FilterDatabase" vbProcedure="false">Requirements!$A$5:$O$26</definedName>
    <definedName function="false" hidden="false" localSheetId="9" name="_xlnm.Print_Titles" vbProcedure="false">'Risks and Funding'!$1:$5</definedName>
    <definedName function="false" hidden="true" localSheetId="9" name="_xlnm._FilterDatabase" vbProcedure="false">'Risks and Funding'!$A$5:$H$27</definedName>
    <definedName function="false" hidden="false" localSheetId="8" name="_xlnm.Print_Titles" vbProcedure="false">Roadmap!$1:$5</definedName>
    <definedName function="false" hidden="true" localSheetId="8" name="_xlnm._FilterDatabase" vbProcedure="false">Roadmap!$A$5:$BR$13</definedName>
    <definedName function="false" hidden="false" localSheetId="17" name="_xlnm.Print_Titles" vbProcedure="false">'Scenario Comparison'!$1:$5</definedName>
    <definedName function="false" hidden="true" localSheetId="17" name="_xlnm._FilterDatabase" vbProcedure="false">'Scenario Comparison'!$A$5:$J$8</definedName>
    <definedName function="false" hidden="false" localSheetId="2" name="_xlnm.Print_Titles" vbProcedure="false">Sources!$1:$5</definedName>
    <definedName function="false" hidden="true" localSheetId="2" name="_xlnm._FilterDatabase" vbProcedure="false">Sources!$A$5:$P$20</definedName>
    <definedName function="false" hidden="false" localSheetId="10" name="_xlnm.Print_Titles" vbProcedure="false">'Staff Months'!$1:$5</definedName>
    <definedName function="false" hidden="true" localSheetId="10" name="_xlnm._FilterDatabase" vbProcedure="false">'Staff Months'!$A$5:$L$2345</definedName>
    <definedName function="false" hidden="false" localSheetId="3" name="_xlnm.Print_Titles" vbProcedure="false">Staffing!$1:$5</definedName>
    <definedName function="false" hidden="true" localSheetId="3" name="_xlnm._FilterDatabase" vbProcedure="false">Staffing!$A$5:$P$44</definedName>
    <definedName function="false" hidden="false" localSheetId="0" name="_xlnm.Print_Titles" vbProcedure="false">'Start Here'!$1:$5</definedName>
    <definedName function="false" hidden="false" localSheetId="15" name="_xlnm.Print_Titles" vbProcedure="false">'Vendor Months'!$1:$5</definedName>
    <definedName function="false" hidden="true" localSheetId="15" name="_xlnm._FilterDatabase" vbProcedure="false">'Vendor Months'!$A$5:$J$3965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<sst xmlns="http://schemas.openxmlformats.org/spreadsheetml/2006/main" count="14634" uniqueCount="1066">
  <si>
    <t xml:space="preserve">Clinical Roundup | Option C build and scale</t>
  </si>
  <si>
    <t xml:space="preserve">MODEL, NOT QUOTE. USD cash planning; US hiring benchmark; 60 months. Blue = editable, green = formula, amber = evidence/quote gap. No PHI or live PoC changes.</t>
  </si>
  <si>
    <t xml:space="preserve">← Start Here</t>
  </si>
  <si>
    <t xml:space="preserve">Scenario</t>
  </si>
  <si>
    <t xml:space="preserve">Base</t>
  </si>
  <si>
    <t xml:space="preserve">Workbook navigation ↓ (also see tabs)</t>
  </si>
  <si>
    <t xml:space="preserve">Project start (first day of month)</t>
  </si>
  <si>
    <t xml:space="preserve">Source refresh and approvals required before commitments.</t>
  </si>
  <si>
    <t xml:space="preserve">Enable optional AI (0/1)</t>
  </si>
  <si>
    <t xml:space="preserve">No macros, external workbook links, or network calls in generator.</t>
  </si>
  <si>
    <t xml:space="preserve">Enable optional CTMS (0/1)</t>
  </si>
  <si>
    <t xml:space="preserve">Mutually exclusive cloud candidate</t>
  </si>
  <si>
    <t xml:space="preserve">Azure</t>
  </si>
  <si>
    <t xml:space="preserve">Pay founder cash (0/1)</t>
  </si>
  <si>
    <t xml:space="preserve">Decision metrics (after Excel recalculation; see snapshot.json for offline results)</t>
  </si>
  <si>
    <t xml:space="preserve">5-year total cash spend</t>
  </si>
  <si>
    <t xml:space="preserve">Year 1 spend / cost-only burn</t>
  </si>
  <si>
    <t xml:space="preserve">Peak FTE incl. founder</t>
  </si>
  <si>
    <t xml:space="preserve">Cash low point with revenue/financing</t>
  </si>
  <si>
    <t xml:space="preserve">Maximum financing gap (not sum of deficits)</t>
  </si>
  <si>
    <t xml:space="preserve">Cost-only financing gap (zero revenue)</t>
  </si>
  <si>
    <t xml:space="preserve">Quote/unverified vendor allowance subtotal</t>
  </si>
  <si>
    <t xml:space="preserve">Unresolved selected catalog line count</t>
  </si>
  <si>
    <t xml:space="preserve">Unpaid founder opportunity cost (outside spend)</t>
  </si>
  <si>
    <t xml:space="preserve">Runway: first negative month / &gt;60 / not funded</t>
  </si>
  <si>
    <t xml:space="preserve">Use: 1 choose scenario/start/options; 2 review blue inputs; 3 resolve amber sources; 4 inspect monthly/annual and gates.</t>
  </si>
  <si>
    <t xml:space="preserve">No guarantee of PMF, valuation, revenue, compliance or enterprise readiness. Negative cash is not funded.</t>
  </si>
  <si>
    <t xml:space="preserve">Baseline = clinical rounding. CTMS requires new study/site workflows, integrations and validation; AI has separate approval gates.</t>
  </si>
  <si>
    <t xml:space="preserve">Ranges: low/medium confidence estimates. Cash excludes income/sales taxes, debt interest, equity, depreciation and working-capital delays.</t>
  </si>
  <si>
    <t xml:space="preserve">Scenario changes do not prove faster delivery. Gates override calendar; stop before unapproved PHI, AI or research processing.</t>
  </si>
  <si>
    <t xml:space="preserve">Assumptions</t>
  </si>
  <si>
    <t xml:space="preserve">Five-year cash by category</t>
  </si>
  <si>
    <t xml:space="preserve">Sources</t>
  </si>
  <si>
    <t xml:space="preserve">Staff cash</t>
  </si>
  <si>
    <t xml:space="preserve">Staffing</t>
  </si>
  <si>
    <t xml:space="preserve">Recruiting</t>
  </si>
  <si>
    <t xml:space="preserve">Nonlabor</t>
  </si>
  <si>
    <t xml:space="preserve">Equipment</t>
  </si>
  <si>
    <t xml:space="preserve">Requirements</t>
  </si>
  <si>
    <t xml:space="preserve">INFRA</t>
  </si>
  <si>
    <t xml:space="preserve">Migration WBS</t>
  </si>
  <si>
    <t xml:space="preserve">TOOLS</t>
  </si>
  <si>
    <t xml:space="preserve">Architecture</t>
  </si>
  <si>
    <t xml:space="preserve">LEGAL</t>
  </si>
  <si>
    <t xml:space="preserve">Roadmap</t>
  </si>
  <si>
    <t xml:space="preserve">SECURITY</t>
  </si>
  <si>
    <t xml:space="preserve">Risks and Funding</t>
  </si>
  <si>
    <t xml:space="preserve">COMPLIANCE</t>
  </si>
  <si>
    <t xml:space="preserve">Staff Months</t>
  </si>
  <si>
    <t xml:space="preserve">INSURANCE</t>
  </si>
  <si>
    <t xml:space="preserve">Monthly Lean</t>
  </si>
  <si>
    <t xml:space="preserve">ACCOUNTING</t>
  </si>
  <si>
    <t xml:space="preserve">Monthly Base</t>
  </si>
  <si>
    <t xml:space="preserve">SUPPORT</t>
  </si>
  <si>
    <t xml:space="preserve">Monthly Growth</t>
  </si>
  <si>
    <t xml:space="preserve">MARKETING</t>
  </si>
  <si>
    <t xml:space="preserve">Monthly Model</t>
  </si>
  <si>
    <t xml:space="preserve">ONBOARD</t>
  </si>
  <si>
    <t xml:space="preserve">Vendor Months</t>
  </si>
  <si>
    <t xml:space="preserve">AI</t>
  </si>
  <si>
    <t xml:space="preserve">Annual Summary</t>
  </si>
  <si>
    <t xml:space="preserve">CTMS</t>
  </si>
  <si>
    <t xml:space="preserve">Scenario Comparison</t>
  </si>
  <si>
    <t xml:space="preserve">Contingency</t>
  </si>
  <si>
    <t xml:space="preserve">Charts</t>
  </si>
  <si>
    <t xml:space="preserve">Payment fees</t>
  </si>
  <si>
    <t xml:space="preserve">Optional staffing is in Staff cash, not in optional vendor-only categories.</t>
  </si>
  <si>
    <t xml:space="preserve">WBS assumed person-days use these staffing pools; not additional project labor invoices.</t>
  </si>
  <si>
    <t xml:space="preserve">Editable scenario assumptions</t>
  </si>
  <si>
    <t xml:space="preserve">Selected values are formulas; scenario columns are independent assumptions, not total-cost multipliers. Start and switches live on Start Here.</t>
  </si>
  <si>
    <t xml:space="preserve">Key</t>
  </si>
  <si>
    <t xml:space="preserve">Assumption</t>
  </si>
  <si>
    <t xml:space="preserve">Lean</t>
  </si>
  <si>
    <t xml:space="preserve">Growth</t>
  </si>
  <si>
    <t xml:space="preserve">Unit</t>
  </si>
  <si>
    <t xml:space="preserve">Basis / caveat</t>
  </si>
  <si>
    <t xml:space="preserve">Selected</t>
  </si>
  <si>
    <t xml:space="preserve">initial_cash</t>
  </si>
  <si>
    <t xml:space="preserve">Initial available cash</t>
  </si>
  <si>
    <t xml:space="preserve">USD</t>
  </si>
  <si>
    <t xml:space="preserve">Assumption; not committed financing</t>
  </si>
  <si>
    <t xml:space="preserve">financing_month</t>
  </si>
  <si>
    <t xml:space="preserve">Proposed financing month</t>
  </si>
  <si>
    <t xml:space="preserve">month</t>
  </si>
  <si>
    <t xml:space="preserve">One hypothetical event; no valuation implied</t>
  </si>
  <si>
    <t xml:space="preserve">financing_amount</t>
  </si>
  <si>
    <t xml:space="preserve">Proposed financing cash</t>
  </si>
  <si>
    <t xml:space="preserve">Editable and uncommitted; set to zero for no financing</t>
  </si>
  <si>
    <t xml:space="preserve">inflation</t>
  </si>
  <si>
    <t xml:space="preserve">Annual non-labor inflation</t>
  </si>
  <si>
    <t xml:space="preserve">percent</t>
  </si>
  <si>
    <t xml:space="preserve">Planning assumption; annual step from project start</t>
  </si>
  <si>
    <t xml:space="preserve">salary_growth</t>
  </si>
  <si>
    <t xml:space="preserve">Annual salary escalation</t>
  </si>
  <si>
    <t xml:space="preserve">Planning assumption, not wage forecast</t>
  </si>
  <si>
    <t xml:space="preserve">burden</t>
  </si>
  <si>
    <t xml:space="preserve">Employer burden as fraction of WAGES</t>
  </si>
  <si>
    <t xml:space="preserve">Selected allowance, includes payroll tax/benefits; never percent of total compensation</t>
  </si>
  <si>
    <t xml:space="preserve">contingency</t>
  </si>
  <si>
    <t xml:space="preserve">Contingency on labor + vendor cash</t>
  </si>
  <si>
    <t xml:space="preserve">Applied once; excludes founder unpaid opportunity cost and payment fees</t>
  </si>
  <si>
    <t xml:space="preserve">launch</t>
  </si>
  <si>
    <t xml:space="preserve">First revenue month (gated assumption)</t>
  </si>
  <si>
    <t xml:space="preserve">Not authorization for customer PHI pilot</t>
  </si>
  <si>
    <t xml:space="preserve">new_customers</t>
  </si>
  <si>
    <t xml:space="preserve">New customers per month at launch</t>
  </si>
  <si>
    <t xml:space="preserve">customers/month</t>
  </si>
  <si>
    <t xml:space="preserve">Expected-value cohorts, fractional customers allowed</t>
  </si>
  <si>
    <t xml:space="preserve">customer_growth</t>
  </si>
  <si>
    <t xml:space="preserve">Annual growth in new customer cohorts</t>
  </si>
  <si>
    <t xml:space="preserve">Unproven acquisition assumption; not market data</t>
  </si>
  <si>
    <t xml:space="preserve">churn</t>
  </si>
  <si>
    <t xml:space="preserve">Monthly customer churn</t>
  </si>
  <si>
    <t xml:space="preserve">Applied to opening customers; cohorts start billing immediately</t>
  </si>
  <si>
    <t xml:space="preserve">arpa</t>
  </si>
  <si>
    <t xml:space="preserve">Monthly subscription per organization</t>
  </si>
  <si>
    <t xml:space="preserve">USD/customer</t>
  </si>
  <si>
    <t xml:space="preserve">Pricing hypothesis, no market validation; no annual prepay</t>
  </si>
  <si>
    <t xml:space="preserve">users</t>
  </si>
  <si>
    <t xml:space="preserve">Users per active customer</t>
  </si>
  <si>
    <t xml:space="preserve">Workload assumption</t>
  </si>
  <si>
    <t xml:space="preserve">requests</t>
  </si>
  <si>
    <t xml:space="preserve">API requests per user per day</t>
  </si>
  <si>
    <t xml:space="preserve">30-day planning months, not performance evidence</t>
  </si>
  <si>
    <t xml:space="preserve">storage</t>
  </si>
  <si>
    <t xml:space="preserve">GB stored per customer</t>
  </si>
  <si>
    <t xml:space="preserve">GB</t>
  </si>
  <si>
    <t xml:space="preserve">Stock proxy including history; revisit retention/growth</t>
  </si>
  <si>
    <t xml:space="preserve">logs</t>
  </si>
  <si>
    <t xml:space="preserve">GB logs ingested per month per customer</t>
  </si>
  <si>
    <t xml:space="preserve">No PHI in telemetry; cap and sample</t>
  </si>
  <si>
    <t xml:space="preserve">tokens_in</t>
  </si>
  <si>
    <t xml:space="preserve">AI input tokens per customer/month</t>
  </si>
  <si>
    <t xml:space="preserve">tokens</t>
  </si>
  <si>
    <t xml:space="preserve">Only when AI enabled; no PHI until provider approval</t>
  </si>
  <si>
    <t xml:space="preserve">tokens_out</t>
  </si>
  <si>
    <t xml:space="preserve">AI output tokens per customer/month</t>
  </si>
  <si>
    <t xml:space="preserve">Assistive use only, human approval and evaluation required</t>
  </si>
  <si>
    <t xml:space="preserve">ai_start</t>
  </si>
  <si>
    <t xml:space="preserve">Optional AI work start</t>
  </si>
  <si>
    <t xml:space="preserve">Does not accelerate core roadmap; retain core approval dependencies if edited</t>
  </si>
  <si>
    <t xml:space="preserve">ctms_start</t>
  </si>
  <si>
    <t xml:space="preserve">Optional CTMS work start</t>
  </si>
  <si>
    <t xml:space="preserve">Separate discovery/integration/validation track; no added revenue assumed; retain gate dependencies</t>
  </si>
  <si>
    <t xml:space="preserve">founder_salary</t>
  </si>
  <si>
    <t xml:space="preserve">Founder annual opportunity salary</t>
  </si>
  <si>
    <t xml:space="preserve">USD/year</t>
  </si>
  <si>
    <t xml:space="preserve">Selected economic assumption, unpaid by default</t>
  </si>
  <si>
    <t xml:space="preserve">recruiting</t>
  </si>
  <si>
    <t xml:space="preserve">Recruiting cost per new role FTE</t>
  </si>
  <si>
    <t xml:space="preserve">USD/FTE</t>
  </si>
  <si>
    <t xml:space="preserve">Planning allowance, not agency quote</t>
  </si>
  <si>
    <t xml:space="preserve">equipment</t>
  </si>
  <si>
    <t xml:space="preserve">Equipment/onboarding per new role FTE</t>
  </si>
  <si>
    <t xml:space="preserve">Cash budget, no accounting capitalization opinion</t>
  </si>
  <si>
    <t xml:space="preserve">payment_rate</t>
  </si>
  <si>
    <t xml:space="preserve">Payment processing percent</t>
  </si>
  <si>
    <t xml:space="preserve">Allowance for collection fees; contract/payment mix unresolved</t>
  </si>
  <si>
    <t xml:space="preserve">cadence</t>
  </si>
  <si>
    <t xml:space="preserve">Iteration length</t>
  </si>
  <si>
    <t xml:space="preserve">weeks</t>
  </si>
  <si>
    <t xml:space="preserve">Lightweight delivery assumption, not guarantee</t>
  </si>
  <si>
    <t xml:space="preserve">Cost catalog and public source register</t>
  </si>
  <si>
    <t xml:space="preserve">Research access/attempt date is recorded, not inferred. Unavailable primary pages remain unverified. Selected allowances are not vendor quotes; public wage surveys are not startup hiring rates.</t>
  </si>
  <si>
    <t xml:space="preserve">Source ID</t>
  </si>
  <si>
    <t xml:space="preserve">Publisher</t>
  </si>
  <si>
    <t xml:space="preserve">Product / role</t>
  </si>
  <si>
    <t xml:space="preserve">Exact public URL</t>
  </si>
  <si>
    <t xml:space="preserve">Access / attempt</t>
  </si>
  <si>
    <t xml:space="preserve">Effective / survey</t>
  </si>
  <si>
    <t xml:space="preserve">Currency</t>
  </si>
  <si>
    <t xml:space="preserve">Region</t>
  </si>
  <si>
    <t xml:space="preserve">Public benchmark</t>
  </si>
  <si>
    <t xml:space="preserve">Selected allowance</t>
  </si>
  <si>
    <t xml:space="preserve">Evidence status</t>
  </si>
  <si>
    <t xml:space="preserve">Confidence</t>
  </si>
  <si>
    <t xml:space="preserve">Rationale</t>
  </si>
  <si>
    <t xml:space="preserve">Exclusions</t>
  </si>
  <si>
    <t xml:space="preserve">Refresh by</t>
  </si>
  <si>
    <t xml:space="preserve">ASSUMPTION</t>
  </si>
  <si>
    <t xml:space="preserve">Planning model</t>
  </si>
  <si>
    <t xml:space="preserve">Selected allowances and compensation</t>
  </si>
  <si>
    <t xml:space="preserve">2026-10-20</t>
  </si>
  <si>
    <t xml:space="preserve">Model dated 2026-10-20</t>
  </si>
  <si>
    <t xml:space="preserve">US hiring / candidate East US infrastructure</t>
  </si>
  <si>
    <t xml:space="preserve">See each cost or assumption row</t>
  </si>
  <si>
    <t xml:space="preserve">Planning allowance</t>
  </si>
  <si>
    <t xml:space="preserve">Low</t>
  </si>
  <si>
    <t xml:space="preserve">Explicit editable judgment, not proprietary spending or vendor quote. US hiring basis is not founder location preference.</t>
  </si>
  <si>
    <t xml:space="preserve">Taxes, financing costs, negotiated agreements, current hiring offers</t>
  </si>
  <si>
    <t xml:space="preserve">Before budget approval</t>
  </si>
  <si>
    <t xml:space="preserve">BLS-DEV</t>
  </si>
  <si>
    <t xml:space="preserve">US Bureau of Labor Statistics</t>
  </si>
  <si>
    <t xml:space="preserve">Software developers, national median wage</t>
  </si>
  <si>
    <t xml:space="preserve">https://www.bls.gov/ooh/computer-and-information-technology/software-developers.htm</t>
  </si>
  <si>
    <t xml:space="preserve">May 2024 historical figure supplied in task; newer survey not verified</t>
  </si>
  <si>
    <t xml:space="preserve">US national</t>
  </si>
  <si>
    <t xml:space="preserve">employee annual wage</t>
  </si>
  <si>
    <t xml:space="preserve">Unverified</t>
  </si>
  <si>
    <t xml:space="preserve">Historical context only</t>
  </si>
  <si>
    <t xml:space="preserve">Primary retrieval DNS blocked. $133,080 historical benchmark is not labeled latest or verified here. Selected engineering salaries are separate role assumptions.</t>
  </si>
  <si>
    <t xml:space="preserve">Seniority, startup premium, equity, contractor rates, benefits</t>
  </si>
  <si>
    <t xml:space="preserve">Before hiring; retrieve latest primary OEWS/OOH</t>
  </si>
  <si>
    <t xml:space="preserve">BLS-QA</t>
  </si>
  <si>
    <t xml:space="preserve">Software QA analysts/testers SOC 15-1253</t>
  </si>
  <si>
    <t xml:space="preserve">https://www.bls.gov/oes/current/oes151253.htm</t>
  </si>
  <si>
    <t xml:space="preserve">Survey year unavailable; retrieval blocked</t>
  </si>
  <si>
    <t xml:space="preserve">No current figure verified. $110,000 is a selected salary assumption, not BLS data.</t>
  </si>
  <si>
    <t xml:space="preserve">Seniority, location, benefits, contractor billing</t>
  </si>
  <si>
    <t xml:space="preserve">Before hiring</t>
  </si>
  <si>
    <t xml:space="preserve">BLS-BENEFITS</t>
  </si>
  <si>
    <t xml:space="preserve">Employer Costs for Employee Compensation</t>
  </si>
  <si>
    <t xml:space="preserve">https://www.bls.gov/charts/employer-costs-for-employee-compensation/costs-per-hour.htm</t>
  </si>
  <si>
    <t xml:space="preserve">Reference quarter unverified; retrieval blocked</t>
  </si>
  <si>
    <t xml:space="preserve">US; choose private industry consistently</t>
  </si>
  <si>
    <t xml:space="preserve">benefits / wages ratio</t>
  </si>
  <si>
    <t xml:space="preserve">40% of wages is a selected all-in employer burden allowance. Correct conversion: benefits/wages, or share_of_total/(1-share_of_total). Broad-industry figures are not startup quotes.</t>
  </si>
  <si>
    <t xml:space="preserve">Do not add payroll tax again if already in burden; equity and equipment separate</t>
  </si>
  <si>
    <t xml:space="preserve">GITHUB</t>
  </si>
  <si>
    <t xml:space="preserve">GitHub</t>
  </si>
  <si>
    <t xml:space="preserve">Team (Enterprise alternative not selected)</t>
  </si>
  <si>
    <t xml:space="preserve">https://github.com/pricing</t>
  </si>
  <si>
    <t xml:space="preserve">Displayed on access date; effective-from date not stated</t>
  </si>
  <si>
    <t xml:space="preserve">Public USD display; no regional variation established</t>
  </si>
  <si>
    <t xml:space="preserve">user/month</t>
  </si>
  <si>
    <t xml:space="preserve">Published price</t>
  </si>
  <si>
    <t xml:space="preserve">Medium</t>
  </si>
  <si>
    <t xml:space="preserve">Primary HTML retrieved: Team $4/user/month; Enterprise starts $21/user/month, NOT charged. Annual-price section says first 12 months. Model holds selected rate with inflation; renewal must be confirmed.</t>
  </si>
  <si>
    <t xml:space="preserve">Tax, promotions/renewal changes, Actions overages, security add-ons, Copilot; separate allowance row covers incremental CI/security</t>
  </si>
  <si>
    <t xml:space="preserve">Before purchase / annually</t>
  </si>
  <si>
    <t xml:space="preserve">AZURE-APP</t>
  </si>
  <si>
    <t xml:space="preserve">Microsoft Azure</t>
  </si>
  <si>
    <t xml:space="preserve">Linux App Service candidate</t>
  </si>
  <si>
    <t xml:space="preserve">https://azure.microsoft.com/en-us/pricing/details/app-service/linux/</t>
  </si>
  <si>
    <t xml:space="preserve">Unverified; primary retrieval DNS blocked</t>
  </si>
  <si>
    <t xml:space="preserve">East US modeled candidate</t>
  </si>
  <si>
    <t xml:space="preserve">monthly pooled environment allowance</t>
  </si>
  <si>
    <t xml:space="preserve">Quote required</t>
  </si>
  <si>
    <t xml:space="preserve">No SKU/meter verified. $400 is explicit dev/stage/prod application allowance, not public retail price. App Service Linux sizing must be quoted.</t>
  </si>
  <si>
    <t xml:space="preserve">Exact instance-hours, replicas, reserved discounts and eligibility unresolved</t>
  </si>
  <si>
    <t xml:space="preserve">Architecture gate</t>
  </si>
  <si>
    <t xml:space="preserve">AZURE-PG</t>
  </si>
  <si>
    <t xml:space="preserve">PostgreSQL Flexible Server</t>
  </si>
  <si>
    <t xml:space="preserve">https://azure.microsoft.com/en-us/pricing/details/postgresql/flexible-server/</t>
  </si>
  <si>
    <t xml:space="preserve">URL cataloged; price not retrieved or verified</t>
  </si>
  <si>
    <t xml:space="preserve">monthly pooled DB allowance</t>
  </si>
  <si>
    <t xml:space="preserve">Primary+HA standby production and smaller nonprod modeled; no SKU or meter price verified. Compute/storage/backup and HA quote required.</t>
  </si>
  <si>
    <t xml:space="preserve">No assertion that cheap tiers qualify for healthcare; BAA/service eligibility review required</t>
  </si>
  <si>
    <t xml:space="preserve">AZURE-RETAIL</t>
  </si>
  <si>
    <t xml:space="preserve">Official Retail Prices API research attempt</t>
  </si>
  <si>
    <t xml:space="preserve">https://prices.azure.com/api/retail/prices?currencyCode=%27USD%27&amp;$filter=armRegionName%20eq%20%27eastus%27%20and%20serviceName%20eq%20%27Azure%20App%20Service%27%20and%20priceType%20eq%20%27Consumption%27</t>
  </si>
  <si>
    <t xml:space="preserve">No API response obtained</t>
  </si>
  <si>
    <t xml:space="preserve">eastus filter</t>
  </si>
  <si>
    <t xml:space="preserve">SKU/meter dependent</t>
  </si>
  <si>
    <t xml:space="preserve">Unavailable</t>
  </si>
  <si>
    <t xml:space="preserve">Exact attempted filter retained; DNS blocked. No meter, unitOfMeasure or effectiveStartDate retrieved. Do not infer current price.</t>
  </si>
  <si>
    <t xml:space="preserve">Pagination, tiers, OS and reservation filtering require verification on successful retrieval</t>
  </si>
  <si>
    <t xml:space="preserve">Before commitments</t>
  </si>
  <si>
    <t xml:space="preserve">AWS</t>
  </si>
  <si>
    <t xml:space="preserve">Amazon Web Services</t>
  </si>
  <si>
    <t xml:space="preserve">App Runner + RDS PostgreSQL Multi-AZ alternative</t>
  </si>
  <si>
    <t xml:space="preserve">https://aws.amazon.com/rds/postgresql/pricing/</t>
  </si>
  <si>
    <t xml:space="preserve">Reference URL only; not fetched</t>
  </si>
  <si>
    <t xml:space="preserve">US East modeled alternative; region to select</t>
  </si>
  <si>
    <t xml:space="preserve">monthly pooled app/DB allowance</t>
  </si>
  <si>
    <t xml:space="preserve">Mutually exclusive comparison allowance, not AWS retail price. Match HA/nonprod/storage/egress/contract terms before selection.</t>
  </si>
  <si>
    <t xml:space="preserve">App Runner pricing separate; bundled number is judgment, no negotiated discounts</t>
  </si>
  <si>
    <t xml:space="preserve">Architecture decision</t>
  </si>
  <si>
    <t xml:space="preserve">AI-PRICE</t>
  </si>
  <si>
    <t xml:space="preserve">OpenAI (candidate only)</t>
  </si>
  <si>
    <t xml:space="preserve">Optional GPT-4.1-mini candidate; no provider approved</t>
  </si>
  <si>
    <t xml:space="preserve">https://openai.com/api/pricing/</t>
  </si>
  <si>
    <t xml:space="preserve">Unverified; DNS blocked</t>
  </si>
  <si>
    <t xml:space="preserve">Provider processing region unresolved</t>
  </si>
  <si>
    <t xml:space="preserve">USD/million input or output tokens</t>
  </si>
  <si>
    <t xml:space="preserve">Model selects provisional 0.40 input / 1.60 output per million tokens solely as editable allowances. NOT verified prices. AI disabled by default; confirm model availability, exact version, rates and tools before enablement.</t>
  </si>
  <si>
    <t xml:space="preserve">Tools, caching, fine-tuning, storage, evaluation labor, privacy eligibility and contracts</t>
  </si>
  <si>
    <t xml:space="preserve">Before AI gate</t>
  </si>
  <si>
    <t xml:space="preserve">AI-PRIVACY</t>
  </si>
  <si>
    <t xml:space="preserve">API data controls / provider due diligence</t>
  </si>
  <si>
    <t xml:space="preserve">https://platform.openai.com/docs/guides/your-data</t>
  </si>
  <si>
    <t xml:space="preserve">Unverified; retrieval blocked</t>
  </si>
  <si>
    <t xml:space="preserve">Unresolved</t>
  </si>
  <si>
    <t xml:space="preserve">Non-price approval gate</t>
  </si>
  <si>
    <t xml:space="preserve">No assurance of retention, zero-data-retention eligibility, regional processing, healthcare contractual coverage or allowed endpoints. Specialist approval before any sensitive data.</t>
  </si>
  <si>
    <t xml:space="preserve">Provider policy is not application compliance</t>
  </si>
  <si>
    <t xml:space="preserve">BLS-MANAGER</t>
  </si>
  <si>
    <t xml:space="preserve">Computer/information systems managers SOC 11-3021</t>
  </si>
  <si>
    <t xml:space="preserve">https://www.bls.gov/oes/current/oes113021.htm</t>
  </si>
  <si>
    <t xml:space="preserve">Survey year unavailable; DNS blocked</t>
  </si>
  <si>
    <t xml:space="preserve">annual wage</t>
  </si>
  <si>
    <t xml:space="preserve">Potential management proxy; no current amount used.</t>
  </si>
  <si>
    <t xml:space="preserve">Founder opportunity cost is selected separately, not a BLS management rate</t>
  </si>
  <si>
    <t xml:space="preserve">BLS-PROJECT</t>
  </si>
  <si>
    <t xml:space="preserve">Project management specialists SOC 13-1082</t>
  </si>
  <si>
    <t xml:space="preserve">https://www.bls.gov/oes/current/oes131082.htm</t>
  </si>
  <si>
    <t xml:space="preserve">Project management is only a potential product-management proxy; no current amount verified.</t>
  </si>
  <si>
    <t xml:space="preserve">Not a startup product leader quote</t>
  </si>
  <si>
    <t xml:space="preserve">BLS-DESIGN</t>
  </si>
  <si>
    <t xml:space="preserve">Web/digital interface designers SOC 15-1255</t>
  </si>
  <si>
    <t xml:space="preserve">https://www.bls.gov/oes/current/oes151255.htm</t>
  </si>
  <si>
    <t xml:space="preserve">Selected annual designer retainer equivalent is an assumption, not BLS rate.</t>
  </si>
  <si>
    <t xml:space="preserve">Contractor overhead and agency quotes unresolved</t>
  </si>
  <si>
    <t xml:space="preserve">BLS-SUPPORT</t>
  </si>
  <si>
    <t xml:space="preserve">Customer service representatives SOC 43-4051</t>
  </si>
  <si>
    <t xml:space="preserve">https://www.bls.gov/oes/current/oes434051.htm</t>
  </si>
  <si>
    <t xml:space="preserve">Weak proxy: technical implementation/customer success differs from customer service. Selected salary is independent assumption.</t>
  </si>
  <si>
    <t xml:space="preserve">No customer-success market salary asserted</t>
  </si>
  <si>
    <t xml:space="preserve">Phased staffing | annual selected salaries and fractional capacity</t>
  </si>
  <si>
    <t xml:space="preserve">FTE bands are months 1–6 / 7–15 / 16–30 / 31–60. Headcount slots ≠ FTE or hiring promise. Contractor annual rates are selected retainer equivalents; no employee burden. Founder cash defaults off.</t>
  </si>
  <si>
    <t xml:space="preserve">Role ID</t>
  </si>
  <si>
    <t xml:space="preserve">Role / responsibility</t>
  </si>
  <si>
    <t xml:space="preserve">Engagement</t>
  </si>
  <si>
    <t xml:space="preserve">Scope</t>
  </si>
  <si>
    <t xml:space="preserve">Start month</t>
  </si>
  <si>
    <t xml:space="preserve">End month</t>
  </si>
  <si>
    <t xml:space="preserve">FTE M1–6</t>
  </si>
  <si>
    <t xml:space="preserve">FTE M7–15</t>
  </si>
  <si>
    <t xml:space="preserve">FTE M16–30</t>
  </si>
  <si>
    <t xml:space="preserve">FTE M31–60</t>
  </si>
  <si>
    <t xml:space="preserve">Selected annual USD</t>
  </si>
  <si>
    <t xml:space="preserve">Benchmark ID</t>
  </si>
  <si>
    <t xml:space="preserve">Employer burden / wages</t>
  </si>
  <si>
    <t xml:space="preserve">Recruit / added FTE</t>
  </si>
  <si>
    <t xml:space="preserve">Equipment / added FTE</t>
  </si>
  <si>
    <t xml:space="preserve">FOUNDER</t>
  </si>
  <si>
    <t xml:space="preserve">Founder / product / clinical lead</t>
  </si>
  <si>
    <t xml:space="preserve">Founder</t>
  </si>
  <si>
    <t xml:space="preserve">Core</t>
  </si>
  <si>
    <t xml:space="preserve">LEAD</t>
  </si>
  <si>
    <t xml:space="preserve">Tech lead / full stack</t>
  </si>
  <si>
    <t xml:space="preserve">Employee</t>
  </si>
  <si>
    <t xml:space="preserve">BACKEND</t>
  </si>
  <si>
    <t xml:space="preserve">Backend / tenant API / data migration</t>
  </si>
  <si>
    <t xml:space="preserve">FRONTEND</t>
  </si>
  <si>
    <t xml:space="preserve">Frontend / mobile workflows</t>
  </si>
  <si>
    <t xml:space="preserve">QA</t>
  </si>
  <si>
    <t xml:space="preserve">QA automation / migration reconciliation</t>
  </si>
  <si>
    <t xml:space="preserve">OPS</t>
  </si>
  <si>
    <t xml:space="preserve">DevOps / security engineering</t>
  </si>
  <si>
    <t xml:space="preserve">Fractional contractor</t>
  </si>
  <si>
    <t xml:space="preserve">DESIGN</t>
  </si>
  <si>
    <t xml:space="preserve">Product design / accessibility</t>
  </si>
  <si>
    <t xml:space="preserve">VALIDATION</t>
  </si>
  <si>
    <t xml:space="preserve">Compliance / legal / validation owner</t>
  </si>
  <si>
    <t xml:space="preserve">SUCCESS</t>
  </si>
  <si>
    <t xml:space="preserve">Implementation / customer success / support</t>
  </si>
  <si>
    <t xml:space="preserve">SALES</t>
  </si>
  <si>
    <t xml:space="preserve">Sales / partnerships (no commission forecast)</t>
  </si>
  <si>
    <t xml:space="preserve">AI-ENG</t>
  </si>
  <si>
    <t xml:space="preserve">Optional AI / data evaluation engineer</t>
  </si>
  <si>
    <t xml:space="preserve">CTMS-PM</t>
  </si>
  <si>
    <t xml:space="preserve">Optional research operations / CTMS domain lead</t>
  </si>
  <si>
    <t xml:space="preserve">CTMS-ENG</t>
  </si>
  <si>
    <t xml:space="preserve">Optional CTMS integrations / research validation</t>
  </si>
  <si>
    <t xml:space="preserve">Non-labor cash catalog | stable cost IDs</t>
  </si>
  <si>
    <t xml:space="preserve">Only one cloud stack charged. Annual items recur start+12n; Once items occur once. Optional items start at MAX(catalog start, scenario expansion start). Salary is only in Staffing; WBS labor is informational.</t>
  </si>
  <si>
    <t xml:space="preserve">Cost ID</t>
  </si>
  <si>
    <t xml:space="preserve">Category</t>
  </si>
  <si>
    <t xml:space="preserve">Line item</t>
  </si>
  <si>
    <t xml:space="preserve">Stack</t>
  </si>
  <si>
    <t xml:space="preserve">Start</t>
  </si>
  <si>
    <t xml:space="preserve">End</t>
  </si>
  <si>
    <t xml:space="preserve">Frequency</t>
  </si>
  <si>
    <t xml:space="preserve">Quantity driver</t>
  </si>
  <si>
    <t xml:space="preserve">Selected rate USD</t>
  </si>
  <si>
    <t xml:space="preserve">Caveat / exclusions</t>
  </si>
  <si>
    <t xml:space="preserve">Active unresolved line</t>
  </si>
  <si>
    <t xml:space="preserve">INFRA-APP</t>
  </si>
  <si>
    <t xml:space="preserve">API / worker / frontend managed app allowance</t>
  </si>
  <si>
    <t xml:space="preserve">Monthly</t>
  </si>
  <si>
    <t xml:space="preserve">Fixed</t>
  </si>
  <si>
    <t xml:space="preserve">App Service candidate; dev/stage/prod pooled allowance, not an SKU quote</t>
  </si>
  <si>
    <t xml:space="preserve">INFRA-DB</t>
  </si>
  <si>
    <t xml:space="preserve">Managed PostgreSQL HA + nonprod allowance</t>
  </si>
  <si>
    <t xml:space="preserve">Flexible Server candidate; production primary + HA standby, nonprod smaller; backups separate</t>
  </si>
  <si>
    <t xml:space="preserve">INFRA-AWS</t>
  </si>
  <si>
    <t xml:space="preserve">Alternative AWS app + PostgreSQL HA bundle</t>
  </si>
  <si>
    <t xml:space="preserve">Mutually exclusive Azure app/DB; App Runner + RDS Multi-AZ candidate, not quote</t>
  </si>
  <si>
    <t xml:space="preserve">INFRA-EDGE</t>
  </si>
  <si>
    <t xml:space="preserve">WAF/CDN, identity, DNS and transactional email</t>
  </si>
  <si>
    <t xml:space="preserve">Both</t>
  </si>
  <si>
    <t xml:space="preserve">Includes minimum identity/email allowance; eligibility and MAU tiers to quote</t>
  </si>
  <si>
    <t xml:space="preserve">INFRA-STORE</t>
  </si>
  <si>
    <t xml:space="preserve">Object storage / backups / egress</t>
  </si>
  <si>
    <t xml:space="preserve">StorageGB</t>
  </si>
  <si>
    <t xml:space="preserve">Blended selected rate, no claim of Azure/AWS retail storage price</t>
  </si>
  <si>
    <t xml:space="preserve">INFRA-LOG</t>
  </si>
  <si>
    <t xml:space="preserve">Logs / queues / secrets / metrics</t>
  </si>
  <si>
    <t xml:space="preserve">LogGB</t>
  </si>
  <si>
    <t xml:space="preserve">Blended usage rate; privacy filters, retention and ingestion caps required</t>
  </si>
  <si>
    <t xml:space="preserve">INFRA-REQ</t>
  </si>
  <si>
    <t xml:space="preserve">Capacity growth reserve per million API requests</t>
  </si>
  <si>
    <t xml:space="preserve">RequestsM</t>
  </si>
  <si>
    <t xml:space="preserve">Capacity reserve not serverless quote; load test before resize</t>
  </si>
  <si>
    <t xml:space="preserve">TOOLS-GH</t>
  </si>
  <si>
    <t xml:space="preserve">GitHub Team seats (only selected plan)</t>
  </si>
  <si>
    <t xml:space="preserve">Seats</t>
  </si>
  <si>
    <t xml:space="preserve">Public starting price; promotions/taxes/CI allowances not assumed perpetual</t>
  </si>
  <si>
    <t xml:space="preserve">TOOLS-CI</t>
  </si>
  <si>
    <t xml:space="preserve">Incremental CI, dependency scan, secrets and security tools</t>
  </si>
  <si>
    <t xml:space="preserve">Above included plan limits; no Copilot or enterprise plan implicitly charged</t>
  </si>
  <si>
    <t xml:space="preserve">LEGAL-SETUP</t>
  </si>
  <si>
    <t xml:space="preserve">Privacy, DPA, BAA, terms, company and IP contracts</t>
  </si>
  <si>
    <t xml:space="preserve">Once</t>
  </si>
  <si>
    <t xml:space="preserve">External counsel deliverables, not duplicate embedded validation staff</t>
  </si>
  <si>
    <t xml:space="preserve">LEGAL-RENEW</t>
  </si>
  <si>
    <t xml:space="preserve">External legal contract review retainer</t>
  </si>
  <si>
    <t xml:space="preserve">Annual</t>
  </si>
  <si>
    <t xml:space="preserve">Annual renewal at start+12n; legal applicability not guaranteed</t>
  </si>
  <si>
    <t xml:space="preserve">SECURITY-TEST</t>
  </si>
  <si>
    <t xml:space="preserve">Independent penetration test + retest</t>
  </si>
  <si>
    <t xml:space="preserve">Independent assessment, not engineering labor</t>
  </si>
  <si>
    <t xml:space="preserve">COMPLIANCE-EXT</t>
  </si>
  <si>
    <t xml:space="preserve">Independent readiness / validation assessment</t>
  </si>
  <si>
    <t xml:space="preserve">No certification or regulatory clearance promised</t>
  </si>
  <si>
    <t xml:space="preserve">Cyber / E&amp;O insurance</t>
  </si>
  <si>
    <t xml:space="preserve">Coverage and exclusions require broker quote</t>
  </si>
  <si>
    <t xml:space="preserve">Bookkeeping / tax and payroll services</t>
  </si>
  <si>
    <t xml:space="preserve">Service cash only; income/sales tax itself excluded</t>
  </si>
  <si>
    <t xml:space="preserve">Support tooling / knowledge base</t>
  </si>
  <si>
    <t xml:space="preserve">Customer success labor separately in Staffing</t>
  </si>
  <si>
    <t xml:space="preserve">Demand discovery then measured marketing experiments</t>
  </si>
  <si>
    <t xml:space="preserve">Customers</t>
  </si>
  <si>
    <t xml:space="preserve">No implied CAC or automatic product-market fit</t>
  </si>
  <si>
    <t xml:space="preserve">Customer travel / training materials / migration expenses</t>
  </si>
  <si>
    <t xml:space="preserve">NewCustomers</t>
  </si>
  <si>
    <t xml:space="preserve">External expenses only; implementation staff already costed</t>
  </si>
  <si>
    <t xml:space="preserve">AI-IN</t>
  </si>
  <si>
    <t xml:space="preserve">Optional model input tokens / million</t>
  </si>
  <si>
    <t xml:space="preserve">InputM</t>
  </si>
  <si>
    <t xml:space="preserve">Conservative placeholder until source verification; provider/privacy gate</t>
  </si>
  <si>
    <t xml:space="preserve">AI-OUT</t>
  </si>
  <si>
    <t xml:space="preserve">Optional model output tokens / million</t>
  </si>
  <si>
    <t xml:space="preserve">OutputM</t>
  </si>
  <si>
    <t xml:space="preserve">Placeholder until source verification; human review not automated clinical advice</t>
  </si>
  <si>
    <t xml:space="preserve">AI-EVAL</t>
  </si>
  <si>
    <t xml:space="preserve">Optional independent AI evaluation / provider review</t>
  </si>
  <si>
    <t xml:space="preserve">First occurs at scenario AI start then annually</t>
  </si>
  <si>
    <t xml:space="preserve">CTMS-EXT</t>
  </si>
  <si>
    <t xml:space="preserve">Optional research systems validation and integration contracts</t>
  </si>
  <si>
    <t xml:space="preserve">First at CTMS start; study/site/EDC/eTMF scope, not patient relabeling</t>
  </si>
  <si>
    <t xml:space="preserve">Requirements and evidence register</t>
  </si>
  <si>
    <t xml:space="preserve">Repository presence = Implemented, not Verified or In customer use. Successful M365 PoC is user-reported; no deployment verification performed.</t>
  </si>
  <si>
    <t xml:space="preserve">Id</t>
  </si>
  <si>
    <t xml:space="preserve">Heading</t>
  </si>
  <si>
    <t xml:space="preserve">Item</t>
  </si>
  <si>
    <t xml:space="preserve">Evidence</t>
  </si>
  <si>
    <t xml:space="preserve">Status</t>
  </si>
  <si>
    <t xml:space="preserve">Caveat</t>
  </si>
  <si>
    <t xml:space="preserve">Requirement</t>
  </si>
  <si>
    <t xml:space="preserve">Acceptance</t>
  </si>
  <si>
    <t xml:space="preserve">Priority</t>
  </si>
  <si>
    <t xml:space="preserve">Phase</t>
  </si>
  <si>
    <t xml:space="preserve">Owner</t>
  </si>
  <si>
    <t xml:space="preserve">Dependency</t>
  </si>
  <si>
    <t xml:space="preserve">Wbs</t>
  </si>
  <si>
    <t xml:space="preserve">Cost</t>
  </si>
  <si>
    <t xml:space="preserve">R1.1</t>
  </si>
  <si>
    <t xml:space="preserve">1. Product / current baseline</t>
  </si>
  <si>
    <t xml:space="preserve">1.1 Census, encounters, findings, procedures, STAT, handoff and history</t>
  </si>
  <si>
    <t xml:space="preserve">clinical-rounding-adaptive.html: openModal, savePatient, renderMainTable, generateHandoff; USP.md</t>
  </si>
  <si>
    <t xml:space="preserve">Implemented</t>
  </si>
  <si>
    <t xml:space="preserve">Code/documentation present; no running deployment or customer-use verification here.</t>
  </si>
  <si>
    <t xml:space="preserve">Preserve core rounding behavior through characterization and clinical acceptance.</t>
  </si>
  <si>
    <t xml:space="preserve">Synthetic golden journeys; visit history/backfeed excludes fresh findings; clinician sign-off.</t>
  </si>
  <si>
    <t xml:space="preserve">P0</t>
  </si>
  <si>
    <t xml:space="preserve">Assess</t>
  </si>
  <si>
    <t xml:space="preserve">Founder / QA</t>
  </si>
  <si>
    <t xml:space="preserve">None</t>
  </si>
  <si>
    <t xml:space="preserve">W1.1</t>
  </si>
  <si>
    <t xml:space="preserve">STAFF</t>
  </si>
  <si>
    <t xml:space="preserve">R1.2</t>
  </si>
  <si>
    <t xml:space="preserve">1. Product / source of truth</t>
  </si>
  <si>
    <t xml:space="preserve">1.2 Canonical source and release inventory</t>
  </si>
  <si>
    <t xml:space="preserve">README.md; AGENTS.md; .github/copilot-instructions.md; release/; azure-integration.js; clinical-rounding-adaptive.html.orig/.rej</t>
  </si>
  <si>
    <t xml:space="preserve">Firebase-era instructions conflict with newer browser-MSAL-Graph-M365 description. Root/release duplicates and Azure alternative are not interchangeable.</t>
  </si>
  <si>
    <t xml:space="preserve">Record canonical product/version, alternatives and supported artifact manifest.</t>
  </si>
  <si>
    <t xml:space="preserve">Approved inventory and diff; no changes to PoC during planning; one future release source of truth.</t>
  </si>
  <si>
    <t xml:space="preserve">Tech lead</t>
  </si>
  <si>
    <t xml:space="preserve">W1.2</t>
  </si>
  <si>
    <t xml:space="preserve">R1.3</t>
  </si>
  <si>
    <t xml:space="preserve">1. Product / customers</t>
  </si>
  <si>
    <t xml:space="preserve">1.3 Intended use, buyer and commercial scope</t>
  </si>
  <si>
    <t xml:space="preserve">USP.md; README.md; documents/exec-brief/Clinical-Roundup-CTMS-Exec-Brief.md</t>
  </si>
  <si>
    <t xml:space="preserve">Idea</t>
  </si>
  <si>
    <t xml:space="preserve">User reports successful M365 PoC; this is not evidence of paid demand or CTMS readiness.</t>
  </si>
  <si>
    <t xml:space="preserve">Choose specialty-practice rounding wedge; define exclusions, pilot agreement and success criteria.</t>
  </si>
  <si>
    <t xml:space="preserve">Buyer interviews, named decision-maker, clinical safety review, pilot acceptance contract; no valuation target.</t>
  </si>
  <si>
    <t xml:space="preserve">Founder / clinical lead</t>
  </si>
  <si>
    <t xml:space="preserve">W1.3</t>
  </si>
  <si>
    <t xml:space="preserve">R2.1</t>
  </si>
  <si>
    <t xml:space="preserve">2. Refactor / frontend</t>
  </si>
  <si>
    <t xml:space="preserve">2.1 Extract UI and domain modules</t>
  </si>
  <si>
    <t xml:space="preserve">clinical-rounding-adaptive.html: savePatient, renderUI, setTab, Device; import-engine.js</t>
  </si>
  <si>
    <t xml:space="preserve">Large single-file app is reusable behavior, not an established modular SaaS codebase.</t>
  </si>
  <si>
    <t xml:space="preserve">Extract forms/domain services, typed API boundary and mobile components incrementally; framework decision after spike.</t>
  </si>
  <si>
    <t xml:space="preserve">Characterization regressions pass; accessible phone/tablet flows, no PHI in fixtures.</t>
  </si>
  <si>
    <t xml:space="preserve">Foundation</t>
  </si>
  <si>
    <t xml:space="preserve">Tech lead / frontend</t>
  </si>
  <si>
    <t xml:space="preserve">W2.1</t>
  </si>
  <si>
    <t xml:space="preserve">R2.2</t>
  </si>
  <si>
    <t xml:space="preserve">2. Refactor / services</t>
  </si>
  <si>
    <t xml:space="preserve">2.2 Server API, contracts and authorization</t>
  </si>
  <si>
    <t xml:space="preserve">api/patients/index.js; api/backfeed/index.js; api/settings/index.js; api/onCallSchedule/index.js; api/export/index.js; api/shared/dataService.js; staticwebapp.config.json</t>
  </si>
  <si>
    <t xml:space="preserve">API alternative has role checks and Graph access; runtime trust boundary and deployment not verified. Not a proven SaaS backend.</t>
  </si>
  <si>
    <t xml:space="preserve">Validate requests, trusted identity and tenant-scoped access server-side; contract/version tests, idempotency and optimistic concurrency.</t>
  </si>
  <si>
    <t xml:space="preserve">Cross-tenant negative tests on every method including export; malformed requests denied; replay/concurrency tests; no header trust without gateway validation.</t>
  </si>
  <si>
    <t xml:space="preserve">Backend / security</t>
  </si>
  <si>
    <t xml:space="preserve">R3.1</t>
  </si>
  <si>
    <t xml:space="preserve">W2.2</t>
  </si>
  <si>
    <t xml:space="preserve">3. Identity / tenant data</t>
  </si>
  <si>
    <t xml:space="preserve">3.1 Organizations, membership, roles and boundaries</t>
  </si>
  <si>
    <t xml:space="preserve">m365-integration.js: M365_CONFIG, login, getAccessToken; api/patients/index.js</t>
  </si>
  <si>
    <t xml:space="preserve">Single configured site/list and UI controls are not proof of commercial tenant isolation.</t>
  </si>
  <si>
    <t xml:space="preserve">Tenant lifecycle, verified organization membership, per-resource authorization, invitation/revocation and admin separation.</t>
  </si>
  <si>
    <t xml:space="preserve">Two synthetic tenants cannot enumerate/read/write/export each other; offboarding revokes access.</t>
  </si>
  <si>
    <t xml:space="preserve">Backend / tech lead</t>
  </si>
  <si>
    <t xml:space="preserve">W3.1</t>
  </si>
  <si>
    <t xml:space="preserve">R3.2</t>
  </si>
  <si>
    <t xml:space="preserve">3.2 Patient and encounter identity, schema and indexes</t>
  </si>
  <si>
    <t xml:space="preserve">m365-integration.js: api_savePatient computeVisitKey, resolvePatientItemIdByVisitKey; api/shared/dataService.js</t>
  </si>
  <si>
    <t xml:space="preserve">Current MRN/date-style VisitKey is not globally unique across organizations; hospital/source scope must be decided.</t>
  </si>
  <si>
    <t xml:space="preserve">Design tenant+source/facility-scoped patient IDs and encounter IDs; constraints, migrations, indexes and retention.</t>
  </si>
  <si>
    <t xml:space="preserve">Same MRN/date in two organizations remains isolated; multiple encounters/day policy; reversible migration and query plans.</t>
  </si>
  <si>
    <t xml:space="preserve">Backend / data lead</t>
  </si>
  <si>
    <t xml:space="preserve">W3.2</t>
  </si>
  <si>
    <t xml:space="preserve">R3.3</t>
  </si>
  <si>
    <t xml:space="preserve">3.3 Cache, offline, conflict and session policy</t>
  </si>
  <si>
    <t xml:space="preserve">m365-integration.js: startPolling, fetchAllData, localStorage cache, triggerServerSessionInvalidation; clinical-rounding-adaptive.html</t>
  </si>
  <si>
    <t xml:space="preserve">Polling/cache/session code presence does not prove isolation, revocation or privacy behavior.</t>
  </si>
  <si>
    <t xml:space="preserve">Explicit offline/PHI policy, tenant-aware cache purge, session timeout, conflict detection and safe retries.</t>
  </si>
  <si>
    <t xml:space="preserve">Shared-browser tenant switch, lost-device/logout/cache purge, expired session and stale write tests.</t>
  </si>
  <si>
    <t xml:space="preserve">Frontend / security</t>
  </si>
  <si>
    <t xml:space="preserve">W3.3</t>
  </si>
  <si>
    <t xml:space="preserve">R4.1</t>
  </si>
  <si>
    <t xml:space="preserve">4. Migration / interoperability</t>
  </si>
  <si>
    <t xml:space="preserve">4.1 SharePoint extraction and field mapping</t>
  </si>
  <si>
    <t xml:space="preserve">m365-integration.js: api_fetchPatients, api_savePatient, api_fetchOnCallSchedule, api_fetchSettings; api/shared/dataService.js</t>
  </si>
  <si>
    <t xml:space="preserve">Graph/SharePoint field names, choices, dates, JSON findings and attachments must be mapped, not copied blindly.</t>
  </si>
  <si>
    <t xml:space="preserve">Version source schema manifest and export mapping; map internal field names/types/nulls/timezones/VisitKey to SaaS IDs.</t>
  </si>
  <si>
    <t xml:space="preserve">Synthetic sample export with findings/codes/values, archive, on-call, settings, document links; signed mapping and exceptions.</t>
  </si>
  <si>
    <t xml:space="preserve">Backend / implementation</t>
  </si>
  <si>
    <t xml:space="preserve">W4.1</t>
  </si>
  <si>
    <t xml:space="preserve">R4.2</t>
  </si>
  <si>
    <t xml:space="preserve">4.2 Import/export data integrity and documents</t>
  </si>
  <si>
    <t xml:space="preserve">import-engine.js; clinical-rounding-adaptive.html: previewBulkImport, proceedBulkImport; m365-integration.js: exportToOneDrive, api_uploadPatientFile, api_fetchPatientFiles</t>
  </si>
  <si>
    <t xml:space="preserve">Preview, bulk/resume and document paths require production-oriented validation, limits and authorization.</t>
  </si>
  <si>
    <t xml:space="preserve">Retain preview/dedup/resume semantics with server validation; tenant object storage, signed downloads, safe CSV/XLSX exports and malware policy.</t>
  </si>
  <si>
    <t xml:space="preserve">Synthetic duplicate/corrupt/large-file/retry tests; formula-injection controls; no cross-tenant document access or public PHI links.</t>
  </si>
  <si>
    <t xml:space="preserve">Backend / QA</t>
  </si>
  <si>
    <t xml:space="preserve">W4.2</t>
  </si>
  <si>
    <t xml:space="preserve">R4.3</t>
  </si>
  <si>
    <t xml:space="preserve">4.3 Rehearsal, reconciliation, cutover and rollback</t>
  </si>
  <si>
    <t xml:space="preserve">m365-integration.js; import-engine.js; docs/testing/E2E_TEST_RECORDS_MANUAL.txt</t>
  </si>
  <si>
    <t xml:space="preserve">No evidence here of a verified migration runbook or lossless live cutover.</t>
  </si>
  <si>
    <t xml:space="preserve">Synthetic rehearsals; counts, canonical hashes and per-field reconciliation; staged tenant cutover with source write pause and rollback.</t>
  </si>
  <si>
    <t xml:space="preserve">100% explained record/field exceptions; restore rehearsal; signed go/no-go, rollback trigger and elapsed window; no uncontrolled dual-write.</t>
  </si>
  <si>
    <t xml:space="preserve">Synthetic pilot</t>
  </si>
  <si>
    <t xml:space="preserve">Implementation / backend / QA</t>
  </si>
  <si>
    <t xml:space="preserve">W4.3</t>
  </si>
  <si>
    <t xml:space="preserve">R4.4</t>
  </si>
  <si>
    <t xml:space="preserve">4.4 PoC coexistence, retirement and exit portability</t>
  </si>
  <si>
    <t xml:space="preserve">README.md; AGENTS.md; release/; .github/workflows/deploy-to-pages.yml</t>
  </si>
  <si>
    <t xml:space="preserve">Existing Pages pipeline deploys a static subset, not the future SaaS stack.</t>
  </si>
  <si>
    <t xml:space="preserve">Keep PoC read-only or separately owned per cutover plan; customer export/exit, retention and deletion policy.</t>
  </si>
  <si>
    <t xml:space="preserve">Accountable source-of-record per tenant; reconcile final export; no deletion until rollback/retention approvals; customer exit tested.</t>
  </si>
  <si>
    <t xml:space="preserve">P1</t>
  </si>
  <si>
    <t xml:space="preserve">Approved pilot</t>
  </si>
  <si>
    <t xml:space="preserve">Founder / implementation</t>
  </si>
  <si>
    <t xml:space="preserve">W4.4</t>
  </si>
  <si>
    <t xml:space="preserve">R5.1</t>
  </si>
  <si>
    <t xml:space="preserve">5. Trust / compliance</t>
  </si>
  <si>
    <t xml:space="preserve">5.1 Audit, privacy and specialist applicability</t>
  </si>
  <si>
    <t xml:space="preserve">.kiro/specs/healthcare-compliance/requirements.md; design.md; tasks.md; api/patients/index.js: logAudit; m365-integration.js: api_logAuditEvent</t>
  </si>
  <si>
    <t xml:space="preserve">Spec/task completion checkboxes and audit calls are not independent control evidence; cloud encryption cannot be inferred absent/present from client code.</t>
  </si>
  <si>
    <t xml:space="preserve">Threat model, privacy minimization, attributable tamper-resistant audit, access review, retention and qualified regulatory/BAA assessment.</t>
  </si>
  <si>
    <t xml:space="preserve">Audit read/write/export/admin coverage and protected retention tests; counsel-approved agreements and service eligibility; no automatic SOX mandate.</t>
  </si>
  <si>
    <t xml:space="preserve">Security / validation / legal</t>
  </si>
  <si>
    <t xml:space="preserve">W5.1</t>
  </si>
  <si>
    <t xml:space="preserve">R5.2</t>
  </si>
  <si>
    <t xml:space="preserve">5.2 Independent review and approved customer pilot</t>
  </si>
  <si>
    <t xml:space="preserve">.kiro/specs/healthcare-compliance/*; docs/testing/New E2E.md</t>
  </si>
  <si>
    <t xml:space="preserve">No security attestation, clinical validation, customer use or compliance certification asserted.</t>
  </si>
  <si>
    <t xml:space="preserve">Clinical safety acceptance, independent penetration test/retest, contracts, data-handling approval and incident response before customer PHI.</t>
  </si>
  <si>
    <t xml:space="preserve">No unaccepted critical findings; documented residual risk; clinical/technical/legal sign-offs; customer pilot stop rules.</t>
  </si>
  <si>
    <t xml:space="preserve">Founder / security / validation</t>
  </si>
  <si>
    <t xml:space="preserve">W5.2</t>
  </si>
  <si>
    <t xml:space="preserve">R6.1</t>
  </si>
  <si>
    <t xml:space="preserve">6. Delivery / operations</t>
  </si>
  <si>
    <t xml:space="preserve">6.1 Automated characterization, contracts and release gates</t>
  </si>
  <si>
    <t xml:space="preserve">api/package.json: test echoes No tests yet; docs/testing/E2E_UI_TEST_SEQUENCE_TEEN.md; docs/testing/New E2E.md; tools/diagnostics/</t>
  </si>
  <si>
    <t xml:space="preserve">Manual guides/diagnostics exist; placeholder API test command is not automated assurance. This workbook does not add SaaS application tests.</t>
  </si>
  <si>
    <t xml:space="preserve">Practical CI unit/integration/e2e, tenant isolation, import round-trip, mobile and restore tests; reviewed PRs and staged deployment.</t>
  </si>
  <si>
    <t xml:space="preserve">Repeatable synthetic pipeline, meaningful failures, evidence retained per release, dependency/secrets scans and rollback drill.</t>
  </si>
  <si>
    <t xml:space="preserve">QA / tech lead</t>
  </si>
  <si>
    <t xml:space="preserve">W6.1</t>
  </si>
  <si>
    <t xml:space="preserve">R6.2</t>
  </si>
  <si>
    <t xml:space="preserve">6.2 Managed infrastructure and environment isolation</t>
  </si>
  <si>
    <t xml:space="preserve">staticwebapp.config.json; api/host.json; .github/workflows/deploy-to-pages.yml; azure-integration.js</t>
  </si>
  <si>
    <t xml:space="preserve">Existing Azure config/API alternative does not establish deployed SaaS environments.</t>
  </si>
  <si>
    <t xml:space="preserve">Managed modular monolith; dev/stage/prod, relational DB, object storage, worker/queue, secrets, identity, edge/WAF and IaC review.</t>
  </si>
  <si>
    <t xml:space="preserve">Documented SKU/region/replicas, isolation and budgets; mutually exclusive Azure/AWS choice; no production PHI in nonprod.</t>
  </si>
  <si>
    <t xml:space="preserve">DevOps / tech lead</t>
  </si>
  <si>
    <t xml:space="preserve">W6.2</t>
  </si>
  <si>
    <t xml:space="preserve">R6.3</t>
  </si>
  <si>
    <t xml:space="preserve">6.3 Backup, recovery, telemetry and incident operations</t>
  </si>
  <si>
    <t xml:space="preserve">api/host.json; m365-integration.js: error/retry paths; .kiro/specs/healthcare-compliance/requirements.md</t>
  </si>
  <si>
    <t xml:space="preserve">Config presence is not restore evidence or SLA.</t>
  </si>
  <si>
    <t xml:space="preserve">Proposed pilot RPO 24h/RTO 8h, growth RPO 1h/RTO 4h subject to quote/test; PHI-free logging, alerting and incident runbooks.</t>
  </si>
  <si>
    <t xml:space="preserve">Timed restore test, deletion-retention review, on-call coverage, incident tabletop and cost/ingestion alert drill.</t>
  </si>
  <si>
    <t xml:space="preserve">DevOps / security</t>
  </si>
  <si>
    <t xml:space="preserve">W6.3</t>
  </si>
  <si>
    <t xml:space="preserve">R6.4</t>
  </si>
  <si>
    <t xml:space="preserve">6.4 Onboarding, subscriptions, admin and support</t>
  </si>
  <si>
    <t xml:space="preserve">clinical-rounding-adaptive.html: settings; m365-integration.js: settings APIs; USP.md</t>
  </si>
  <si>
    <t xml:space="preserve">Settings/billing code entry are not SaaS subscription billing or tenant provisioning.</t>
  </si>
  <si>
    <t xml:space="preserve">Tenant onboarding/admin, subscription lifecycle, entitlement checks, invoicing, support/escalation and account offboarding.</t>
  </si>
  <si>
    <t xml:space="preserve">Synthetic invoice/failed payment/cancel/refund, role invitation/revocation and onboarding playbook; support ownership staffed.</t>
  </si>
  <si>
    <t xml:space="preserve">Implementation / backend / founder</t>
  </si>
  <si>
    <t xml:space="preserve">W6.4</t>
  </si>
  <si>
    <t xml:space="preserve">R6.5</t>
  </si>
  <si>
    <t xml:space="preserve">6.5 Load, scaling and repeatability</t>
  </si>
  <si>
    <t xml:space="preserve">m365-integration.js: polling; import-engine.js: queue/throttle; README.md</t>
  </si>
  <si>
    <t xml:space="preserve">No measured SaaS throughput or customer acquisition evidence; polling need not be replaced without measurement.</t>
  </si>
  <si>
    <t xml:space="preserve">Measure concurrent rounding/imports and cost per tenant; resize from observed SLO, optimize queries/jobs before distribution.</t>
  </si>
  <si>
    <t xml:space="preserve">Representative load and noisy-neighbor tests, p95/queue/DB alarms; repeat deployment and pilot feedback gate before growth hires.</t>
  </si>
  <si>
    <t xml:space="preserve">Repeatable</t>
  </si>
  <si>
    <t xml:space="preserve">Tech lead / DevOps / success</t>
  </si>
  <si>
    <t xml:space="preserve">W6.5</t>
  </si>
  <si>
    <t xml:space="preserve">R7.1</t>
  </si>
  <si>
    <t xml:space="preserve">7. Optional expansions</t>
  </si>
  <si>
    <t xml:space="preserve">7.1 Assistive AI with human approval</t>
  </si>
  <si>
    <t xml:space="preserve">AI_USP.md; documents/AI_AUGMENTATION_OPTIONS.md</t>
  </si>
  <si>
    <t xml:space="preserve">Backlog ideas are not implemented/evaluated models. Provider price/privacy pages unavailable; default off.</t>
  </si>
  <si>
    <t xml:space="preserve">Narrow assistive use case, synthetic eval, sources/provenance, human review, privacy/contract/endpoint approval, cost limits and fallback.</t>
  </si>
  <si>
    <t xml:space="preserve">Approved evaluation thresholds, no unapproved PHI, provider review, prompt-injection and safety tests; no automatic clinical decision.</t>
  </si>
  <si>
    <t xml:space="preserve">Optional</t>
  </si>
  <si>
    <t xml:space="preserve">Expansion</t>
  </si>
  <si>
    <t xml:space="preserve">AI engineer / clinical / security</t>
  </si>
  <si>
    <t xml:space="preserve">W7.1</t>
  </si>
  <si>
    <t xml:space="preserve">R7.2</t>
  </si>
  <si>
    <t xml:space="preserve">7.2 Trial operations intelligence / CTMS discovery</t>
  </si>
  <si>
    <t xml:space="preserve">documents/exec-brief/Clinical-Roundup-CTMS-Exec-Brief.md; AI_USP.md</t>
  </si>
  <si>
    <t xml:space="preserve">CTMS is not patient relabeling. No trial-management capability or revenue assumed.</t>
  </si>
  <si>
    <t xml:space="preserve">Separate study/site/subject model, protocol and milestone workflows, permissions, sponsor/CRO buyer research, EDC/eTMF integrations and scope-specific validation/e-signatures.</t>
  </si>
  <si>
    <t xml:space="preserve">Research stakeholder validation, data/licensing agreements, intended-use and regulatory assessment, separate synthetic pilot and go/no-go investment case.</t>
  </si>
  <si>
    <t xml:space="preserve">Research domain lead / integration / validation</t>
  </si>
  <si>
    <t xml:space="preserve">W7.2</t>
  </si>
  <si>
    <t xml:space="preserve">Migration and refactoring WBS</t>
  </si>
  <si>
    <t xml:space="preserve">Effort is an assumed person-day range, not a separate engineering charge. STAFF references the staffing pool; no WBS labor added to financial totals. Freeze/write-pause cutover; no unqualified dual-write.</t>
  </si>
  <si>
    <t xml:space="preserve">Work</t>
  </si>
  <si>
    <t xml:space="preserve">Decision</t>
  </si>
  <si>
    <t xml:space="preserve">Effort Days</t>
  </si>
  <si>
    <t xml:space="preserve">Low assumed days (−30%)</t>
  </si>
  <si>
    <t xml:space="preserve">High assumed days (+50%)</t>
  </si>
  <si>
    <t xml:space="preserve">Characterize rounding journeys and historical/backfeed semantics with synthetic fixtures</t>
  </si>
  <si>
    <t xml:space="preserve">Reuse behavior; verify before extraction</t>
  </si>
  <si>
    <t xml:space="preserve">clinical-rounding-adaptive.html; USP.md</t>
  </si>
  <si>
    <t xml:space="preserve">Golden workflow baseline signed</t>
  </si>
  <si>
    <t xml:space="preserve">Inventory root/release and Azure/M365 alternatives; choose canonical app and release manifest</t>
  </si>
  <si>
    <t xml:space="preserve">Assess now; defer code cleanup until authorized migration</t>
  </si>
  <si>
    <t xml:space="preserve">README.md; AGENTS.md; release/; .github/copilot-instructions.md</t>
  </si>
  <si>
    <t xml:space="preserve">Canonical-source decision record</t>
  </si>
  <si>
    <t xml:space="preserve">Buyer discovery, intended-use scope and pilot acceptance criteria</t>
  </si>
  <si>
    <t xml:space="preserve">Reuse clinical wedge; defer CTMS and EHR connectors</t>
  </si>
  <si>
    <t xml:space="preserve">USP.md; documents/exec-brief/Clinical-Roundup-CTMS-Exec-Brief.md</t>
  </si>
  <si>
    <t xml:space="preserve">Scope and pilot go/no-go</t>
  </si>
  <si>
    <t xml:space="preserve">Extract domain/form/render services, establish API adapters, mobile accessibility regression</t>
  </si>
  <si>
    <t xml:space="preserve">Refactor incrementally, not a big-bang framework rewrite</t>
  </si>
  <si>
    <t xml:space="preserve">clinical-rounding-adaptive.html; import-engine.js</t>
  </si>
  <si>
    <t xml:space="preserve">Frontend / tech lead</t>
  </si>
  <si>
    <t xml:space="preserve">Core synthetic journeys preserved</t>
  </si>
  <si>
    <t xml:space="preserve">API validation, trusted identity integration, server authorization, concurrency and contract tests</t>
  </si>
  <si>
    <t xml:space="preserve">Refactor API ideas; replace browser-direct data trust boundary</t>
  </si>
  <si>
    <t xml:space="preserve">api/*; api/shared/dataService.js; staticwebapp.config.json</t>
  </si>
  <si>
    <t xml:space="preserve">Negative tenant tests and contract suite</t>
  </si>
  <si>
    <t xml:space="preserve">Organization membership, invitations, role matrix and enforceable tenant query context</t>
  </si>
  <si>
    <t xml:space="preserve">Replace single-site tenancy assumptions</t>
  </si>
  <si>
    <t xml:space="preserve">m365-integration.js; api/patients/index.js</t>
  </si>
  <si>
    <t xml:space="preserve">Isolation design and two-tenant tests</t>
  </si>
  <si>
    <t xml:space="preserve">Relational tenant/patient/encounter schema, constraints, migrations/indexes, archive policy</t>
  </si>
  <si>
    <t xml:space="preserve">Replace MRN/date global identity; retain source keys as mapped provenance</t>
  </si>
  <si>
    <t xml:space="preserve">m365-integration.js: api_savePatient; api/shared/dataService.js</t>
  </si>
  <si>
    <t xml:space="preserve">Backend</t>
  </si>
  <si>
    <t xml:space="preserve">Migration up/down, duplicate MRN tenant tests</t>
  </si>
  <si>
    <t xml:space="preserve">Cache/session/offline policy, revocation, stale-write UX and safe retry semantics</t>
  </si>
  <si>
    <t xml:space="preserve">Refactor; offline PHI may be restricted rather than retained</t>
  </si>
  <si>
    <t xml:space="preserve">m365-integration.js: cache, polling, session invalidation</t>
  </si>
  <si>
    <t xml:space="preserve">Tenant switch/logout/offline tests</t>
  </si>
  <si>
    <t xml:space="preserve">Extract SharePoint schema and snapshots; typed field mapping and source-to-target key map</t>
  </si>
  <si>
    <t xml:space="preserve">Reuse field knowledge; replace direct persistence mapping</t>
  </si>
  <si>
    <t xml:space="preserve">m365-integration.js; api/shared/dataService.js</t>
  </si>
  <si>
    <t xml:space="preserve">Versioned mapping with exceptions</t>
  </si>
  <si>
    <t xml:space="preserve">Import preview/dedup/resume and export parity; document store and scoped download access</t>
  </si>
  <si>
    <t xml:space="preserve">Reuse parser semantics; refactor job/storage execution</t>
  </si>
  <si>
    <t xml:space="preserve">import-engine.js; m365-integration.js: patient file APIs; clinical-rounding-adaptive.html</t>
  </si>
  <si>
    <t xml:space="preserve">Synthetic round-trip including attachments</t>
  </si>
  <si>
    <t xml:space="preserve">Synthetic rehearsal, count/canonical-hash/field reconciliation, write-pause cutover and rollback drills</t>
  </si>
  <si>
    <t xml:space="preserve">New migration tooling; avoid uncontrolled dual-write</t>
  </si>
  <si>
    <t xml:space="preserve">m365-integration.js; docs/testing/*</t>
  </si>
  <si>
    <t xml:space="preserve">QA / backend / implementation</t>
  </si>
  <si>
    <t xml:space="preserve">Explained differences and timed rollback</t>
  </si>
  <si>
    <t xml:space="preserve">Per-tenant source-of-record, PoC read-only coexistence/retirement and customer exit workflow</t>
  </si>
  <si>
    <t xml:space="preserve">Defer PoC deletion until retention/rollback sign-off</t>
  </si>
  <si>
    <t xml:space="preserve">README.md; release/; .github/workflows/deploy-to-pages.yml</t>
  </si>
  <si>
    <t xml:space="preserve">Founder / success</t>
  </si>
  <si>
    <t xml:space="preserve">Signed tenant handover and exit export</t>
  </si>
  <si>
    <t xml:space="preserve">Threat model, audit design/retention/access, privacy minimization and legal applicability assessment</t>
  </si>
  <si>
    <t xml:space="preserve">Reuse specs as requirements; verify implementation and operation</t>
  </si>
  <si>
    <t xml:space="preserve">.kiro/specs/healthcare-compliance/*; api/patients/index.js</t>
  </si>
  <si>
    <t xml:space="preserve">Security / validation</t>
  </si>
  <si>
    <t xml:space="preserve">Evidence matrix; counsel identifies applicable obligations</t>
  </si>
  <si>
    <t xml:space="preserve">Independent pen-test/retest, clinical safety and legal/data-handling customer-pilot approval</t>
  </si>
  <si>
    <t xml:space="preserve">External independent assessment; remediation labor already staffed</t>
  </si>
  <si>
    <t xml:space="preserve">docs/testing/*; .kiro/specs/healthcare-compliance/*</t>
  </si>
  <si>
    <t xml:space="preserve">No unaccepted critical issues; written pilot approval</t>
  </si>
  <si>
    <t xml:space="preserve">Characterization automation, CI contracts/e2e/tenant tests, review/release evidence gates</t>
  </si>
  <si>
    <t xml:space="preserve">Refactor manual tests into automated assurance; placeholder not evidence</t>
  </si>
  <si>
    <t xml:space="preserve">api/package.json; docs/testing/*; tools/diagnostics/</t>
  </si>
  <si>
    <t xml:space="preserve">Failing-regression demo and green staged release</t>
  </si>
  <si>
    <t xml:space="preserve">Managed environments, IaC, identity/secrets, DB/object/queue, WAF and cost budgets</t>
  </si>
  <si>
    <t xml:space="preserve">Choose Azure OR AWS; modular monolith before microservices</t>
  </si>
  <si>
    <t xml:space="preserve">staticwebapp.config.json; api/host.json; azure-integration.js</t>
  </si>
  <si>
    <t xml:space="preserve">DevOps</t>
  </si>
  <si>
    <t xml:space="preserve">Reproducible environment and boundary tests</t>
  </si>
  <si>
    <t xml:space="preserve">Restore/recovery rehearsal, PHI-free observability, incident tabletop and service targets</t>
  </si>
  <si>
    <t xml:space="preserve">New operational evidence; vendor SLA is insufficient</t>
  </si>
  <si>
    <t xml:space="preserve">api/host.json; .kiro/specs/healthcare-compliance/requirements.md</t>
  </si>
  <si>
    <t xml:space="preserve">Measured RPO/RTO and incident drill</t>
  </si>
  <si>
    <t xml:space="preserve">Tenant provisioning, entitlements/subscriptions, billing admin, onboarding and support playbooks</t>
  </si>
  <si>
    <t xml:space="preserve">New SaaS capability; billing codes are not subscription billing</t>
  </si>
  <si>
    <t xml:space="preserve">clinical-rounding-adaptive.html; m365-integration.js: settings APIs</t>
  </si>
  <si>
    <t xml:space="preserve">Backend / success / founder</t>
  </si>
  <si>
    <t xml:space="preserve">Provision/invoice/cancel/offboard synthetic cycle</t>
  </si>
  <si>
    <t xml:space="preserve">Pilot feedback, load/noisy-neighbor tests, query/job tuning and repeatable deploys before growth</t>
  </si>
  <si>
    <t xml:space="preserve">Measure before scaling; defer Kubernetes and EHR integrations</t>
  </si>
  <si>
    <t xml:space="preserve">import-engine.js; m365-integration.js: startPolling</t>
  </si>
  <si>
    <t xml:space="preserve">Tech lead / success / DevOps</t>
  </si>
  <si>
    <t xml:space="preserve">SLO/cost evidence, repeat onboarding and release</t>
  </si>
  <si>
    <t xml:space="preserve">Optional assistive AI discovery/eval, provider approval, human review UX and monitored synthetic pilot</t>
  </si>
  <si>
    <t xml:space="preserve">Defer by default; separately staffed and token-metered</t>
  </si>
  <si>
    <t xml:space="preserve">Evaluation, privacy, cost and clinical sign-offs</t>
  </si>
  <si>
    <t xml:space="preserve">Optional CTMS discovery, study/site model, research integrations and scope-dependent validation/e-signatures</t>
  </si>
  <si>
    <t xml:space="preserve">Defer by default; separate product case, not relabeling rounding</t>
  </si>
  <si>
    <t xml:space="preserve">documents/exec-brief/Clinical-Roundup-CTMS-Exec-Brief.md</t>
  </si>
  <si>
    <t xml:space="preserve">Research domain / integration / validation</t>
  </si>
  <si>
    <t xml:space="preserve">Research buyer evidence and independent go/no-go</t>
  </si>
  <si>
    <t xml:space="preserve">Architecture candidates | managed modular monolith</t>
  </si>
  <si>
    <t xml:space="preserve">Azure East US is a modeled candidate, not mandated. AWS US East managed alternative is mutually exclusive. All HA/retention/SKUs require sizing, eligibility review and quotes; no Kubernetes prerequisite.</t>
  </si>
  <si>
    <t xml:space="preserve">Component</t>
  </si>
  <si>
    <t xml:space="preserve">Alternative</t>
  </si>
  <si>
    <t xml:space="preserve">Driver</t>
  </si>
  <si>
    <t xml:space="preserve">Sku</t>
  </si>
  <si>
    <t xml:space="preserve">Allowance</t>
  </si>
  <si>
    <t xml:space="preserve">Ha</t>
  </si>
  <si>
    <t xml:space="preserve">Retention</t>
  </si>
  <si>
    <t xml:space="preserve">Trigger</t>
  </si>
  <si>
    <t xml:space="preserve">A1</t>
  </si>
  <si>
    <t xml:space="preserve">Frontend / API / worker</t>
  </si>
  <si>
    <t xml:space="preserve">Static frontend + Linux App Service modular monolith; queue worker</t>
  </si>
  <si>
    <t xml:space="preserve">Static S3/CloudFront frontend + App Runner service/worker</t>
  </si>
  <si>
    <t xml:space="preserve">Mutually exclusive candidate stacks; framework chosen by spike, no Kubernetes prerequisite</t>
  </si>
  <si>
    <t xml:space="preserve">Environments, instances, measured request concurrency; RequestsM reserve</t>
  </si>
  <si>
    <t xml:space="preserve">App Service Linux SKU TBD / App Runner size TBD; quote required</t>
  </si>
  <si>
    <t xml:space="preserve">East US baseline; AWS US East alternate TBD</t>
  </si>
  <si>
    <t xml:space="preserve">INFRA-APP $400/month or INFRA-AWS pooled $1100; not SKU rates</t>
  </si>
  <si>
    <t xml:space="preserve">Proposed prod 2 app instances; smaller dev/stage; quote/review required</t>
  </si>
  <si>
    <t xml:space="preserve">No PHI in app logs; signed release artifacts</t>
  </si>
  <si>
    <t xml:space="preserve">Sustained p95/CPU/queue saturation against approved SLO</t>
  </si>
  <si>
    <t xml:space="preserve">A2</t>
  </si>
  <si>
    <t xml:space="preserve">Managed relational database</t>
  </si>
  <si>
    <t xml:space="preserve">RDS PostgreSQL Multi-AZ</t>
  </si>
  <si>
    <t xml:space="preserve">Tenant IDs, constraints and query authorization; RLS defense-in-depth evaluated</t>
  </si>
  <si>
    <t xml:space="preserve">Compute, primary+standby, nonprod, provisioned GB and backup retention</t>
  </si>
  <si>
    <t xml:space="preserve">General Purpose candidate; vCPU/storage TBD, not Burstable assumed healthcare-ready</t>
  </si>
  <si>
    <t xml:space="preserve">East US / AWS US East TBD</t>
  </si>
  <si>
    <t xml:space="preserve">INFRA-DB $600/month or AWS bundle; actual quote unresolved</t>
  </si>
  <si>
    <t xml:space="preserve">Proposed production primary + HA standby; nonprod 1 smaller each</t>
  </si>
  <si>
    <t xml:space="preserve">Proposed 35-day point-in-time backup; long-term retention per approved policy</t>
  </si>
  <si>
    <t xml:space="preserve">DB saturation, storage growth, restore time or tenant isolation tier</t>
  </si>
  <si>
    <t xml:space="preserve">A3</t>
  </si>
  <si>
    <t xml:space="preserve">Organization identity and authorization</t>
  </si>
  <si>
    <t xml:space="preserve">Entra External ID/federation candidate; server membership enforcement</t>
  </si>
  <si>
    <t xml:space="preserve">Cognito/federation candidate; same server enforcement</t>
  </si>
  <si>
    <t xml:space="preserve">Do not equate IdP tenant with app organization; verify B2B/MAU terms</t>
  </si>
  <si>
    <t xml:space="preserve">MAUs, federation/SSO/MFA and support tier</t>
  </si>
  <si>
    <t xml:space="preserve">Plan and MAU allowances TBD, quote required</t>
  </si>
  <si>
    <t xml:space="preserve">Tenant/processing residency reviewed</t>
  </si>
  <si>
    <t xml:space="preserve">INFRA-EDGE pooled allowance; not unlimited free identity</t>
  </si>
  <si>
    <t xml:space="preserve">Managed provider plus recovery/break-glass policy</t>
  </si>
  <si>
    <t xml:space="preserve">Invitation/access review/audit per legal policy</t>
  </si>
  <si>
    <t xml:space="preserve">Enterprise SSO requirements or MAU tier</t>
  </si>
  <si>
    <t xml:space="preserve">A4</t>
  </si>
  <si>
    <t xml:space="preserve">Object storage / exports / customer documents</t>
  </si>
  <si>
    <t xml:space="preserve">Blob Storage with tenant-scoped signed access</t>
  </si>
  <si>
    <t xml:space="preserve">S3 with tenant-scoped presigned access</t>
  </si>
  <si>
    <t xml:space="preserve">No public patient objects; per-request tenant authorization, scanning and lifecycle</t>
  </si>
  <si>
    <t xml:space="preserve">StorageGB blended $0.15/GB-month covers backup/egress allowance, not retail rate</t>
  </si>
  <si>
    <t xml:space="preserve">Standard hot/cool candidate; operations/egress quote TBD</t>
  </si>
  <si>
    <t xml:space="preserve">INFRA-STORE includes selected blended costs; minimum fixed services elsewhere</t>
  </si>
  <si>
    <t xml:space="preserve">Replication policy and restore independence TBD</t>
  </si>
  <si>
    <t xml:space="preserve">Clinical and export lifecycle per contract; proposed export expiry 7 days</t>
  </si>
  <si>
    <t xml:space="preserve">GB, egress and object count growth; retention changes</t>
  </si>
  <si>
    <t xml:space="preserve">A5</t>
  </si>
  <si>
    <t xml:space="preserve">Queues / secrets / observability</t>
  </si>
  <si>
    <t xml:space="preserve">Storage Queue/Service Bus candidate; Key Vault; Azure Monitor</t>
  </si>
  <si>
    <t xml:space="preserve">SQS; Secrets Manager; CloudWatch</t>
  </si>
  <si>
    <t xml:space="preserve">Managed jobs, retries/idempotency, least privilege, no PHI in telemetry</t>
  </si>
  <si>
    <t xml:space="preserve">LogsGB $5 blended plus RequestsM $30 capacity reserve; actual per-meter quotes needed</t>
  </si>
  <si>
    <t xml:space="preserve">Service tiers TBD; included allowance/minimum unverified, not treated as zero price</t>
  </si>
  <si>
    <t xml:space="preserve">INFRA-LOG and INFRA-REQ; engineer implementation cost is STAFF</t>
  </si>
  <si>
    <t xml:space="preserve">Dead-letter queue, alert owner and credential rotation</t>
  </si>
  <si>
    <t xml:space="preserve">Proposed 30-day searchable logs / 90-day security summary; audit separate legal policy</t>
  </si>
  <si>
    <t xml:space="preserve">Ingestion cap, queue age, error budget and request volume</t>
  </si>
  <si>
    <t xml:space="preserve">A6</t>
  </si>
  <si>
    <t xml:space="preserve">Edge/WAF/DNS/email and environments</t>
  </si>
  <si>
    <t xml:space="preserve">Azure Front Door/WAF, DNS, approved email provider</t>
  </si>
  <si>
    <t xml:space="preserve">CloudFront/WAF, Route53, SES candidate</t>
  </si>
  <si>
    <t xml:space="preserve">Separate dev/stage/prod; staging synthetic only; eligibility and outbound data review</t>
  </si>
  <si>
    <t xml:space="preserve">Base minima, requests, egress, emails; quoted bundle allowance</t>
  </si>
  <si>
    <t xml:space="preserve">WAF/CDN/transactional email plan TBD</t>
  </si>
  <si>
    <t xml:space="preserve">Edge global; origin/data East US candidate</t>
  </si>
  <si>
    <t xml:space="preserve">INFRA-EDGE $250/month shared candidate bundle; provider prices unresolved</t>
  </si>
  <si>
    <t xml:space="preserve">Proposed redundant edge and deployment rollback</t>
  </si>
  <si>
    <t xml:space="preserve">DNS/email audit and delivery logs without PHI</t>
  </si>
  <si>
    <t xml:space="preserve">Traffic/abuse, geography, transactional email volume</t>
  </si>
  <si>
    <t xml:space="preserve">A7</t>
  </si>
  <si>
    <t xml:space="preserve">Backup / disaster recovery / operations</t>
  </si>
  <si>
    <t xml:space="preserve">DB PITR + Blob recovery + separately protected backups</t>
  </si>
  <si>
    <t xml:space="preserve">RDS PITR + S3 recovery + separately protected backups</t>
  </si>
  <si>
    <t xml:space="preserve">Vendor HA is not DR; timed restore evidence required before customer pilot</t>
  </si>
  <si>
    <t xml:space="preserve">Backup GB and retention, restore environments, independent copies</t>
  </si>
  <si>
    <t xml:space="preserve">Backup/replication SKU TBD; no cross-region guarantee in allowance</t>
  </si>
  <si>
    <t xml:space="preserve">Second region is decision/quote, not silently included</t>
  </si>
  <si>
    <t xml:space="preserve">INFRA-DB / INFRA-STORE allowances, revisit at DR gate</t>
  </si>
  <si>
    <t xml:space="preserve">Pilot RPO 24h/RTO 8h; growth candidate 1h/4h, not guaranteed</t>
  </si>
  <si>
    <t xml:space="preserve">35-day PITR proposal; legal hold/deletion reconciliation specialist-reviewed</t>
  </si>
  <si>
    <t xml:space="preserve">Customer recovery target, material data volume or legal retention change</t>
  </si>
  <si>
    <t xml:space="preserve">A8</t>
  </si>
  <si>
    <t xml:space="preserve">Optional AI / CTMS services</t>
  </si>
  <si>
    <t xml:space="preserve">Provider-neutral AI adapter; separate research bounded context</t>
  </si>
  <si>
    <t xml:space="preserve">Same modular boundary on alternate managed stack</t>
  </si>
  <si>
    <t xml:space="preserve">Default off; no competing stack sum, no data sharing until approval</t>
  </si>
  <si>
    <t xml:space="preserve">AI InputM/OutputM + evaluation; CTMS integration/validation annual allowance</t>
  </si>
  <si>
    <t xml:space="preserve">GPT-4.1-mini candidate unverified; EDC/eTMF partner licenses TBD</t>
  </si>
  <si>
    <t xml:space="preserve">Provider residency and endpoints unresolved</t>
  </si>
  <si>
    <t xml:space="preserve">AI and CTMS line items plus optional STAFF; no revenue uplift</t>
  </si>
  <si>
    <t xml:space="preserve">Non-AI fallback, human approval, independent research gates</t>
  </si>
  <si>
    <t xml:space="preserve">Provider/clinical/research policy review; no PHI in prompts by default</t>
  </si>
  <si>
    <t xml:space="preserve">Separate investment case, buyer evidence and specialist approvals</t>
  </si>
  <si>
    <t xml:space="preserve">AI / CTMS</t>
  </si>
  <si>
    <t xml:space="preserve">Methodology, roadmap and decision gates</t>
  </si>
  <si>
    <t xml:space="preserve">Assume 2-week iterations, small vertical slices, acceptance criteria, PR review + tests, threat model, staged release, feedback. Gates can delay dates; added headcount does not halve timelines.</t>
  </si>
  <si>
    <t xml:space="preserve">Risk</t>
  </si>
  <si>
    <t xml:space="preserve">G1</t>
  </si>
  <si>
    <t xml:space="preserve">Assess: characterize and choose scope</t>
  </si>
  <si>
    <t xml:space="preserve">Founder / tech lead</t>
  </si>
  <si>
    <t xml:space="preserve">Product wedge, intended use, canonical inventory and test baseline; reject/stop if no viable pilot need.</t>
  </si>
  <si>
    <t xml:space="preserve">Medium; ±1 month</t>
  </si>
  <si>
    <t xml:space="preserve">Buyer and inherited behavior uncertainty</t>
  </si>
  <si>
    <t xml:space="preserve">G2</t>
  </si>
  <si>
    <t xml:space="preserve">SaaS foundation</t>
  </si>
  <si>
    <t xml:space="preserve">G1; W3.1 identity design begins M3</t>
  </si>
  <si>
    <t xml:space="preserve">Tenant model, auth/API, schema/mapping, modular UI and CI; review threat model and infrastructure quote.</t>
  </si>
  <si>
    <t xml:space="preserve">Low–medium; −1/+3 months</t>
  </si>
  <si>
    <t xml:space="preserve">Identity and schema discoveries; hiring lead time</t>
  </si>
  <si>
    <t xml:space="preserve">G3</t>
  </si>
  <si>
    <t xml:space="preserve">Synthetic-data pilot only</t>
  </si>
  <si>
    <t xml:space="preserve">QA / implementation</t>
  </si>
  <si>
    <t xml:space="preserve">Synthetic migration reconciliation, restore/rollback, load and negative isolation tests; no customer PHI.</t>
  </si>
  <si>
    <t xml:space="preserve">Medium; −1/+2 months</t>
  </si>
  <si>
    <t xml:space="preserve">Mapping loss, concurrency and recovery</t>
  </si>
  <si>
    <t xml:space="preserve">G4</t>
  </si>
  <si>
    <t xml:space="preserve">Approved customer pilot</t>
  </si>
  <si>
    <t xml:space="preserve">G3 plus legal/security/clinical approval</t>
  </si>
  <si>
    <t xml:space="preserve">Founder / validation</t>
  </si>
  <si>
    <t xml:space="preserve">Contracts, service eligibility/BAA where needed, security/clinical sign-off; staged tenant cutover and customer feedback. Stop for safety/control failure.</t>
  </si>
  <si>
    <t xml:space="preserve">Low; −1/+4 months</t>
  </si>
  <si>
    <t xml:space="preserve">Procurement, remediation, training and clinical risk</t>
  </si>
  <si>
    <t xml:space="preserve">G5</t>
  </si>
  <si>
    <t xml:space="preserve">Repeatable deployment and sales learning</t>
  </si>
  <si>
    <t xml:space="preserve">Success / tech lead</t>
  </si>
  <si>
    <t xml:space="preserve">Repeat onboarding, release/incident/restore evidence, retention and unit-cost evidence before hiring growth capacity.</t>
  </si>
  <si>
    <t xml:space="preserve">Low; ±4 months</t>
  </si>
  <si>
    <t xml:space="preserve">Unproven retention, acquisition and operating model</t>
  </si>
  <si>
    <t xml:space="preserve">G6</t>
  </si>
  <si>
    <t xml:space="preserve">Conditional growth / scale</t>
  </si>
  <si>
    <t xml:space="preserve">G5; capital and demand evidence</t>
  </si>
  <si>
    <t xml:space="preserve">Founder / sales / tech lead</t>
  </si>
  <si>
    <t xml:space="preserve">Quarterly funding, clinical safety and unit-economics review; hire to measured demand, not valuation; resize from SLOs.</t>
  </si>
  <si>
    <t xml:space="preserve">Low; reforecast quarterly</t>
  </si>
  <si>
    <t xml:space="preserve">Revenue/hiring forecasts are not commitments</t>
  </si>
  <si>
    <t xml:space="preserve">G-AI</t>
  </si>
  <si>
    <t xml:space="preserve">Optional AI discovery → evaluated assistive pilot</t>
  </si>
  <si>
    <t xml:space="preserve">G4; separate privacy/provider gate</t>
  </si>
  <si>
    <t xml:space="preserve">AI engineer / clinical</t>
  </si>
  <si>
    <t xml:space="preserve">Start follows scenario AI month, nine-month discovery/evaluation window; no assumed revenue uplift or clinical automation.</t>
  </si>
  <si>
    <t xml:space="preserve">Low; −2/+6 months</t>
  </si>
  <si>
    <t xml:space="preserve">Provider, safety, evaluation data and contractual limitations</t>
  </si>
  <si>
    <t xml:space="preserve">G-CTMS</t>
  </si>
  <si>
    <t xml:space="preserve">Optional CTMS discovery → research synthetic pilot</t>
  </si>
  <si>
    <t xml:space="preserve">G5 plus new product investment case</t>
  </si>
  <si>
    <t xml:space="preserve">Research domain / validation</t>
  </si>
  <si>
    <t xml:space="preserve">Start follows scenario CTMS month, 18-month planning window; study/site schema, partner integrations and validation decision.</t>
  </si>
  <si>
    <t xml:space="preserve">Low; −3/+12 months</t>
  </si>
  <si>
    <t xml:space="preserve">Separate buyers, integration rights and regulatory applicability</t>
  </si>
  <si>
    <t xml:space="preserve">Risks, decisions and funding gates</t>
  </si>
  <si>
    <t xml:space="preserve">Qualified specialists must assess HIPAA/BAA eligibility, clinical safety, intended use and research validation/e-signature rules. SOX is not assumed. No cloud product makes the application compliant.</t>
  </si>
  <si>
    <t xml:space="preserve">Mitigation</t>
  </si>
  <si>
    <t xml:space="preserve">Gate</t>
  </si>
  <si>
    <t xml:space="preserve">Likelihood</t>
  </si>
  <si>
    <t xml:space="preserve">K1</t>
  </si>
  <si>
    <t xml:space="preserve">Wrong first buyer or scope; rounding/CTMS conflation</t>
  </si>
  <si>
    <t xml:space="preserve">Paid-pilot problem discovery; separate CTMS investment case; no valuation reverse engineering</t>
  </si>
  <si>
    <t xml:space="preserve">G1 and quarterly</t>
  </si>
  <si>
    <t xml:space="preserve">STAFF; contingency already included once</t>
  </si>
  <si>
    <t xml:space="preserve">High</t>
  </si>
  <si>
    <t xml:space="preserve">K2</t>
  </si>
  <si>
    <t xml:space="preserve">Cross-tenant access or identity boundary failure</t>
  </si>
  <si>
    <t xml:space="preserve">Security / backend</t>
  </si>
  <si>
    <t xml:space="preserve">Trusted auth, per-resource checks, negative isolation tests, independent review and incident drills</t>
  </si>
  <si>
    <t xml:space="preserve">G2/G3/G4</t>
  </si>
  <si>
    <t xml:space="preserve">STAFF / SECURITY</t>
  </si>
  <si>
    <t xml:space="preserve">High impact; likelihood unmeasured</t>
  </si>
  <si>
    <t xml:space="preserve">K3</t>
  </si>
  <si>
    <t xml:space="preserve">Migration data loss or hidden field incompatibility</t>
  </si>
  <si>
    <t xml:space="preserve">Implementation / QA</t>
  </si>
  <si>
    <t xml:space="preserve">Schema manifest, synthetic rehearsal, count/hash/field reconciliation, write pause, staged cutover and rollback</t>
  </si>
  <si>
    <t xml:space="preserve">G3/G4 per tenant</t>
  </si>
  <si>
    <t xml:space="preserve">STAFF / ONBOARD</t>
  </si>
  <si>
    <t xml:space="preserve">Medium assumption</t>
  </si>
  <si>
    <t xml:space="preserve">K4</t>
  </si>
  <si>
    <t xml:space="preserve">Clinical safety or validation evidence insufficient</t>
  </si>
  <si>
    <t xml:space="preserve">Clinical / validation</t>
  </si>
  <si>
    <t xml:space="preserve">Intended-use scope, synthetic edge cases, clinician acceptance, customer approval and stop rules</t>
  </si>
  <si>
    <t xml:space="preserve">G4; every material release</t>
  </si>
  <si>
    <t xml:space="preserve">STAFF / COMPLIANCE</t>
  </si>
  <si>
    <t xml:space="preserve">High impact; unmeasured</t>
  </si>
  <si>
    <t xml:space="preserve">K5</t>
  </si>
  <si>
    <t xml:space="preserve">Incorrect regulatory applicability / contracts / cloud eligibility</t>
  </si>
  <si>
    <t xml:space="preserve">Qualified legal / validation specialist</t>
  </si>
  <si>
    <t xml:space="preserve">Review HIPAA/BAA/service eligibility and state privacy rules; SOX not assumed; research e-signature/validation scope-specific</t>
  </si>
  <si>
    <t xml:space="preserve">Before PHI or optional research/AI</t>
  </si>
  <si>
    <t xml:space="preserve">LEGAL / COMPLIANCE</t>
  </si>
  <si>
    <t xml:space="preserve">K6</t>
  </si>
  <si>
    <t xml:space="preserve">Hiring timing, blended roles and key-person dependence</t>
  </si>
  <si>
    <t xml:space="preserve">Confirm actual availability, contractor agreements and onboarding; capacity-level WBS before commitment; dates do not automatically compress</t>
  </si>
  <si>
    <t xml:space="preserve">Each hire / G2</t>
  </si>
  <si>
    <t xml:space="preserve">STAFF / EQUIPMENT; recruiting modeled per incremental FTE</t>
  </si>
  <si>
    <t xml:space="preserve">K7</t>
  </si>
  <si>
    <t xml:space="preserve">Sales procurement/onboarding lead time and churn exceed forecasts</t>
  </si>
  <si>
    <t xml:space="preserve">Founder / success / sales</t>
  </si>
  <si>
    <t xml:space="preserve">Track cohorts and buying process; zero-revenue cash sensitivity; quarterly reforecast before growth hires</t>
  </si>
  <si>
    <t xml:space="preserve">G4/G5/G6</t>
  </si>
  <si>
    <t xml:space="preserve">MARKETING / ONBOARD / STAFF</t>
  </si>
  <si>
    <t xml:space="preserve">K8</t>
  </si>
  <si>
    <t xml:space="preserve">Unpriced infrastructure/security/legal/insurance services</t>
  </si>
  <si>
    <t xml:space="preserve">DevOps / founder</t>
  </si>
  <si>
    <t xml:space="preserve">Resolve amber catalog sources; exact SKUs/region/meters/renewal and independent quotes; do not treat allowances as vendor commitments</t>
  </si>
  <si>
    <t xml:space="preserve">G2 architecture / before contracts</t>
  </si>
  <si>
    <t xml:space="preserve">INFRA / LEGAL / SECURITY / INSURANCE</t>
  </si>
  <si>
    <t xml:space="preserve">Known gap</t>
  </si>
  <si>
    <t xml:space="preserve">K9</t>
  </si>
  <si>
    <t xml:space="preserve">Vendor dependency, outage, backup failure and unexpected data egress</t>
  </si>
  <si>
    <t xml:space="preserve">Portable API/schema, export and restore drills, alert caps; choose one stack; review second-region recovery pricing</t>
  </si>
  <si>
    <t xml:space="preserve">G3 and quarterly</t>
  </si>
  <si>
    <t xml:space="preserve">INFRA / STAFF</t>
  </si>
  <si>
    <t xml:space="preserve">K10</t>
  </si>
  <si>
    <t xml:space="preserve">Optional AI hallucination, privacy exposure, evaluation or provider changes</t>
  </si>
  <si>
    <t xml:space="preserve">AI / clinical / security</t>
  </si>
  <si>
    <t xml:space="preserve">Default off, synthetic evaluation, human approval, privacy/contract and model-version gates, token budgets and fallback</t>
  </si>
  <si>
    <t xml:space="preserve">AI / STAFF</t>
  </si>
  <si>
    <t xml:space="preserve">Unresolved optional</t>
  </si>
  <si>
    <t xml:space="preserve">K11</t>
  </si>
  <si>
    <t xml:space="preserve">CTMS scope, partner rights and research validation underestimate</t>
  </si>
  <si>
    <t xml:space="preserve">Separate study/site model, EDC/eTMF permissions, stakeholder evidence and scope-specific specialist review</t>
  </si>
  <si>
    <t xml:space="preserve">CTMS / STAFF</t>
  </si>
  <si>
    <t xml:space="preserve">High optional</t>
  </si>
  <si>
    <t xml:space="preserve">K12</t>
  </si>
  <si>
    <t xml:space="preserve">Funding unavailable despite forecast receipts</t>
  </si>
  <si>
    <t xml:space="preserve">Financing events are uncommitted; fund before first negative month, review stage cash needs and contingency; no valuation promise</t>
  </si>
  <si>
    <t xml:space="preserve">Every stage; monthly cash review</t>
  </si>
  <si>
    <t xml:space="preserve">Contingency is expense reserve, financing excluded from spend</t>
  </si>
  <si>
    <t xml:space="preserve">Funding by core stage (selected scenario; spend includes contingency)</t>
  </si>
  <si>
    <t xml:space="preserve">Stage</t>
  </si>
  <si>
    <t xml:space="preserve">From</t>
  </si>
  <si>
    <t xml:space="preserve">Through</t>
  </si>
  <si>
    <t xml:space="preserve">Stage gross spend</t>
  </si>
  <si>
    <t xml:space="preserve">Cumulative gross spend</t>
  </si>
  <si>
    <t xml:space="preserve">Cumulative net need before cash/financing</t>
  </si>
  <si>
    <t xml:space="preserve">Maximum gap to date</t>
  </si>
  <si>
    <t xml:space="preserve">Assessment</t>
  </si>
  <si>
    <t xml:space="preserve">Repeatable delivery</t>
  </si>
  <si>
    <t xml:space="preserve">Staffing monthly calculation detail</t>
  </si>
  <si>
    <t xml:space="preserve">Formula audit trail: date-bounded capacity; positive incremental FTE triggers recruiting/equipment. Only employees receive wage-based burden. Fractional headcount slots are ceiling(FTE), not confirmed people.</t>
  </si>
  <si>
    <t xml:space="preserve">Month</t>
  </si>
  <si>
    <t xml:space="preserve">Date</t>
  </si>
  <si>
    <t xml:space="preserve">FTE</t>
  </si>
  <si>
    <t xml:space="preserve">Salary cash</t>
  </si>
  <si>
    <t xml:space="preserve">Employer burden cash</t>
  </si>
  <si>
    <t xml:space="preserve">Loaded cash</t>
  </si>
  <si>
    <t xml:space="preserve">Unpaid founder economic</t>
  </si>
  <si>
    <t xml:space="preserve">Headcount slots</t>
  </si>
  <si>
    <t xml:space="preserve">Lean | 60-month financial model</t>
  </si>
  <si>
    <t xml:space="preserve">Expected-value cohorts, monthly revenue recognized = active organizations × ARPA; ARR = exit-month revenue ×12, never annual revenue. Spend includes contingency; cash excludes taxes, financing fees and receivables timing.</t>
  </si>
  <si>
    <t xml:space="preserve">New customers</t>
  </si>
  <si>
    <t xml:space="preserve">Active customers</t>
  </si>
  <si>
    <t xml:space="preserve">Users</t>
  </si>
  <si>
    <t xml:space="preserve">API requests M</t>
  </si>
  <si>
    <t xml:space="preserve">Storage GB</t>
  </si>
  <si>
    <t xml:space="preserve">Logs GB</t>
  </si>
  <si>
    <t xml:space="preserve">Total FTE</t>
  </si>
  <si>
    <t xml:space="preserve">Vendor total</t>
  </si>
  <si>
    <t xml:space="preserve">Total spend</t>
  </si>
  <si>
    <t xml:space="preserve">Monthly revenue</t>
  </si>
  <si>
    <t xml:space="preserve">Exit ARR</t>
  </si>
  <si>
    <t xml:space="preserve">Net burn</t>
  </si>
  <si>
    <t xml:space="preserve">Financing</t>
  </si>
  <si>
    <t xml:space="preserve">Opening cash</t>
  </si>
  <si>
    <t xml:space="preserve">Closing cash</t>
  </si>
  <si>
    <t xml:space="preserve">Cumulative spend</t>
  </si>
  <si>
    <t xml:space="preserve">Funding gap</t>
  </si>
  <si>
    <t xml:space="preserve">Cash if zero revenue</t>
  </si>
  <si>
    <t xml:space="preserve">Unresolved vendor cash</t>
  </si>
  <si>
    <t xml:space="preserve">Optional vendor cash</t>
  </si>
  <si>
    <t xml:space="preserve">Cumulative net need</t>
  </si>
  <si>
    <t xml:space="preserve">Cost-only burn</t>
  </si>
  <si>
    <t xml:space="preserve">Negative flag</t>
  </si>
  <si>
    <t xml:space="preserve">Base | 60-month financial model</t>
  </si>
  <si>
    <t xml:space="preserve">Growth | 60-month financial model</t>
  </si>
  <si>
    <t xml:space="preserve">Selected scenario | monthly cash and workload</t>
  </si>
  <si>
    <t xml:space="preserve">Select scenario on Start Here. Grouped columns expand to show workload/category detail. Financing is hypothetical. Cost-only cash keeps forecast usage/costs but removes revenue receipts (conservative sensitivity).</t>
  </si>
  <si>
    <t xml:space="preserve">Vendor monthly quantity × rate audit trail</t>
  </si>
  <si>
    <t xml:space="preserve">Unknown prices are explicit allowances, never missing-as-free. Stack and scope gates applied before quantity. Inflation steps on project anniversaries. Infrastructure allowances include dev/stage/prod; not audited COGS.</t>
  </si>
  <si>
    <t xml:space="preserve">Enabled quantity</t>
  </si>
  <si>
    <t xml:space="preserve">Escalated unit rate</t>
  </si>
  <si>
    <t xml:space="preserve">Cash</t>
  </si>
  <si>
    <t xml:space="preserve">Unresolved cash</t>
  </si>
  <si>
    <t xml:space="preserve">Optional cash</t>
  </si>
  <si>
    <t xml:space="preserve">Annual reconciliation | selected scenario</t>
  </si>
  <si>
    <t xml:space="preserve">Year 1–5 = consecutive 12-month project years. Calendar summaries include partial first/last years; both sum to the same 60-month spend. Cash is closing balance, not sum of balances.</t>
  </si>
  <si>
    <t xml:space="preserve">Basis</t>
  </si>
  <si>
    <t xml:space="preserve">Year</t>
  </si>
  <si>
    <t xml:space="preserve">Start date</t>
  </si>
  <si>
    <t xml:space="preserve">End date</t>
  </si>
  <si>
    <t xml:space="preserve">Spend</t>
  </si>
  <si>
    <t xml:space="preserve">Revenue</t>
  </si>
  <si>
    <t xml:space="preserve">Peak FTE</t>
  </si>
  <si>
    <t xml:space="preserve">Infra</t>
  </si>
  <si>
    <t xml:space="preserve">Tools</t>
  </si>
  <si>
    <t xml:space="preserve">Other vendor</t>
  </si>
  <si>
    <t xml:space="preserve">One-time recruitment/equipment</t>
  </si>
  <si>
    <t xml:space="preserve">Project</t>
  </si>
  <si>
    <t xml:space="preserve">Calendar</t>
  </si>
  <si>
    <t xml:space="preserve">Reconciliation difference (should be 0)</t>
  </si>
  <si>
    <t xml:space="preserve">Scenario comparison | identical options, different operating assumptions</t>
  </si>
  <si>
    <t xml:space="preserve">All three scenarios are live formulas, same global scope/stack switches. Comparison is spend, not valuation. Revenue is unproven; cost-only funding gap is separately visible.</t>
  </si>
  <si>
    <t xml:space="preserve">5-year spend</t>
  </si>
  <si>
    <t xml:space="preserve">Year 1 spend</t>
  </si>
  <si>
    <t xml:space="preserve">Cash low</t>
  </si>
  <si>
    <t xml:space="preserve">Cost-only gap</t>
  </si>
  <si>
    <t xml:space="preserve">Unpaid founder</t>
  </si>
  <si>
    <t xml:space="preserve">Year 5 exit ARR</t>
  </si>
  <si>
    <t xml:space="preserve">Formula-linked planning charts</t>
  </si>
  <si>
    <t xml:space="preserve">Charts link to financial cells; no screenshots or static chart values. Expand monthly category columns to audit.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</si>
</sst>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\$#,##0;[RED]&quot;($&quot;#,##0\);\$0"/>
    <numFmt numFmtId="167" formatCode="#,##0.00;[RED]\(#,##0.00\)"/>
    <numFmt numFmtId="168" formatCode="0.0%"/>
    <numFmt numFmtId="169" formatCode="0%"/>
    <numFmt numFmtId="170" formatCode="General"/>
    <numFmt numFmtId="171" formatCode="0;\-0;;"/>
    <numFmt numFmtId="172" formatCode="mmm\ yyyy"/>
    <numFmt numFmtId="173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7365D"/>
      <name val="Cambria"/>
      <family val="0"/>
      <charset val="1"/>
    </font>
    <font>
      <sz val="12"/>
      <color theme="10"/>
      <name val="Calibri"/>
      <family val="2"/>
      <charset val="1"/>
    </font>
    <font>
      <sz val="10"/>
      <color rgb="FF333333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EFF"/>
        <bgColor rgb="FFE5F2E2"/>
      </patternFill>
    </fill>
    <fill>
      <patternFill patternType="solid">
        <fgColor rgb="FFE5F2E2"/>
        <bgColor rgb="FFDCEEFF"/>
      </patternFill>
    </fill>
    <fill>
      <patternFill patternType="solid">
        <fgColor rgb="FF17365D"/>
        <bgColor rgb="FF333333"/>
      </patternFill>
    </fill>
    <fill>
      <patternFill patternType="solid">
        <fgColor rgb="FFFFF0C2"/>
        <bgColor rgb="FFE5F2E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1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E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5F2E2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80B7DB"/>
          <bgColor rgb="FF000000"/>
        </patternFill>
      </fill>
    </dxf>
    <dxf>
      <fill>
        <patternFill>
          <bgColor rgb="FF80B7DB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8740"/>
      <rgbColor rgb="FF800080"/>
      <rgbColor rgb="FF008080"/>
      <rgbColor rgb="FFB3C992"/>
      <rgbColor rgb="FF878787"/>
      <rgbColor rgb="FFB2C98B"/>
      <rgbColor rgb="FF993366"/>
      <rgbColor rgb="FFFFF0C2"/>
      <rgbColor rgb="FFDC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5F2E2"/>
      <rgbColor rgb="FFD7E2C7"/>
      <rgbColor rgb="FF80B7DB"/>
      <rgbColor rgb="FFFF99CC"/>
      <rgbColor rgb="FFC5D6AC"/>
      <rgbColor rgb="FFFFC7CE"/>
      <rgbColor rgb="FF3366FF"/>
      <rgbColor rgb="FF33CCCC"/>
      <rgbColor rgb="FF98B855"/>
      <rgbColor rgb="FF9BBB59"/>
      <rgbColor rgb="FFFF9900"/>
      <rgbColor rgb="FFFF6600"/>
      <rgbColor rgb="FF8EAB51"/>
      <rgbColor rgb="FF87A44B"/>
      <rgbColor rgb="FF17365D"/>
      <rgbColor rgb="FF809B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Project-year cash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'Annual Summary'!E5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Summary'!$E$6:$E$10</c:f>
              <c:numCache>
                <c:formatCode>\$#,##0;[RED]"($"#,##0\);\$0</c:formatCode>
                <c:ptCount val="5"/>
                <c:pt idx="0">
                  <c:v>1027452.55</c:v>
                </c:pt>
                <c:pt idx="1">
                  <c:v>1689379.94368939</c:v>
                </c:pt>
                <c:pt idx="2">
                  <c:v>2367018.16294146</c:v>
                </c:pt>
                <c:pt idx="3">
                  <c:v>2830931.12131808</c:v>
                </c:pt>
                <c:pt idx="4">
                  <c:v>2992468.33195823</c:v>
                </c:pt>
              </c:numCache>
            </c:numRef>
          </c:val>
        </c:ser>
        <c:gapWidth val="150"/>
        <c:overlap val="0"/>
        <c:axId val="42155645"/>
        <c:axId val="41869130"/>
      </c:barChart>
      <c:catAx>
        <c:axId val="42155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69130"/>
        <c:crosses val="autoZero"/>
        <c:auto val="1"/>
        <c:lblAlgn val="ctr"/>
        <c:lblOffset val="100"/>
        <c:noMultiLvlLbl val="0"/>
      </c:catAx>
      <c:valAx>
        <c:axId val="41869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$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55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cash spend and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Model'!AC5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Model'!$AC$6:$AC$65</c:f>
              <c:numCache>
                <c:formatCode>\$#,##0;[RED]"($"#,##0\);\$0</c:formatCode>
                <c:ptCount val="60"/>
                <c:pt idx="0">
                  <c:v>40477.7</c:v>
                </c:pt>
                <c:pt idx="1">
                  <c:v>60218.2166666667</c:v>
                </c:pt>
                <c:pt idx="2">
                  <c:v>67136.2333333333</c:v>
                </c:pt>
                <c:pt idx="3">
                  <c:v>83963.4166666667</c:v>
                </c:pt>
                <c:pt idx="4">
                  <c:v>71313.4166666667</c:v>
                </c:pt>
                <c:pt idx="5">
                  <c:v>71313.4166666667</c:v>
                </c:pt>
                <c:pt idx="6">
                  <c:v>101614.766666667</c:v>
                </c:pt>
                <c:pt idx="7">
                  <c:v>90919.7666666667</c:v>
                </c:pt>
                <c:pt idx="8">
                  <c:v>104834.766666667</c:v>
                </c:pt>
                <c:pt idx="9">
                  <c:v>124153.616666667</c:v>
                </c:pt>
                <c:pt idx="10">
                  <c:v>114378.616666667</c:v>
                </c:pt>
                <c:pt idx="11">
                  <c:v>97128.6166666667</c:v>
                </c:pt>
                <c:pt idx="12">
                  <c:v>101467.788820833</c:v>
                </c:pt>
                <c:pt idx="13">
                  <c:v>115805.585338458</c:v>
                </c:pt>
                <c:pt idx="14">
                  <c:v>101714.143890907</c:v>
                </c:pt>
                <c:pt idx="15">
                  <c:v>160034.224524498</c:v>
                </c:pt>
                <c:pt idx="16">
                  <c:v>137154.344161753</c:v>
                </c:pt>
                <c:pt idx="17">
                  <c:v>137273.262602635</c:v>
                </c:pt>
                <c:pt idx="18">
                  <c:v>152087.991859109</c:v>
                </c:pt>
                <c:pt idx="19">
                  <c:v>145879.543823018</c:v>
                </c:pt>
                <c:pt idx="20">
                  <c:v>160208.930267288</c:v>
                </c:pt>
                <c:pt idx="21">
                  <c:v>167430.162847115</c:v>
                </c:pt>
                <c:pt idx="22">
                  <c:v>163989.753101144</c:v>
                </c:pt>
                <c:pt idx="23">
                  <c:v>146334.212452632</c:v>
                </c:pt>
                <c:pt idx="24">
                  <c:v>152492.74242835</c:v>
                </c:pt>
                <c:pt idx="25">
                  <c:v>167308.829194104</c:v>
                </c:pt>
                <c:pt idx="26">
                  <c:v>152842.3192922</c:v>
                </c:pt>
                <c:pt idx="27">
                  <c:v>153014.490289316</c:v>
                </c:pt>
                <c:pt idx="28">
                  <c:v>153184.93957646</c:v>
                </c:pt>
                <c:pt idx="29">
                  <c:v>153353.684370733</c:v>
                </c:pt>
                <c:pt idx="30">
                  <c:v>267911.93524373</c:v>
                </c:pt>
                <c:pt idx="31">
                  <c:v>222077.322016597</c:v>
                </c:pt>
                <c:pt idx="32">
                  <c:v>236881.474921735</c:v>
                </c:pt>
                <c:pt idx="33">
                  <c:v>244363.780497822</c:v>
                </c:pt>
                <c:pt idx="34">
                  <c:v>240864.150118148</c:v>
                </c:pt>
                <c:pt idx="35">
                  <c:v>222722.49499227</c:v>
                </c:pt>
                <c:pt idx="36">
                  <c:v>228576.207632253</c:v>
                </c:pt>
                <c:pt idx="37">
                  <c:v>243912.515316886</c:v>
                </c:pt>
                <c:pt idx="38">
                  <c:v>229086.991050672</c:v>
                </c:pt>
                <c:pt idx="39">
                  <c:v>229338.55830112</c:v>
                </c:pt>
                <c:pt idx="40">
                  <c:v>229587.609879063</c:v>
                </c:pt>
                <c:pt idx="41">
                  <c:v>229834.170941228</c:v>
                </c:pt>
                <c:pt idx="42">
                  <c:v>230078.26639277</c:v>
                </c:pt>
                <c:pt idx="43">
                  <c:v>230319.920889797</c:v>
                </c:pt>
                <c:pt idx="44">
                  <c:v>245638.791441854</c:v>
                </c:pt>
                <c:pt idx="45">
                  <c:v>253415.45331439</c:v>
                </c:pt>
                <c:pt idx="46">
                  <c:v>249880.022281201</c:v>
                </c:pt>
                <c:pt idx="47">
                  <c:v>231262.613876844</c:v>
                </c:pt>
                <c:pt idx="48">
                  <c:v>241190.003293031</c:v>
                </c:pt>
                <c:pt idx="49">
                  <c:v>257104.353460104</c:v>
                </c:pt>
                <c:pt idx="50">
                  <c:v>241950.837185285</c:v>
                </c:pt>
                <c:pt idx="51">
                  <c:v>242325.557435435</c:v>
                </c:pt>
                <c:pt idx="52">
                  <c:v>242696.530483083</c:v>
                </c:pt>
                <c:pt idx="53">
                  <c:v>243063.793800255</c:v>
                </c:pt>
                <c:pt idx="54">
                  <c:v>243427.384484255</c:v>
                </c:pt>
                <c:pt idx="55">
                  <c:v>243787.339261415</c:v>
                </c:pt>
                <c:pt idx="56">
                  <c:v>259675.716068804</c:v>
                </c:pt>
                <c:pt idx="57">
                  <c:v>267794.518534898</c:v>
                </c:pt>
                <c:pt idx="58">
                  <c:v>264260.776900722</c:v>
                </c:pt>
                <c:pt idx="59">
                  <c:v>245191.521050942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Model'!AD5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Model'!$AD$6:$AD$65</c:f>
              <c:numCache>
                <c:formatCode>\$#,##0;[RED]"($"#,##0\);\$0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900</c:v>
                </c:pt>
                <c:pt idx="13">
                  <c:v>1791</c:v>
                </c:pt>
                <c:pt idx="14">
                  <c:v>2673.09</c:v>
                </c:pt>
                <c:pt idx="15">
                  <c:v>3546.3591</c:v>
                </c:pt>
                <c:pt idx="16">
                  <c:v>4410.895509</c:v>
                </c:pt>
                <c:pt idx="17">
                  <c:v>5266.78655391</c:v>
                </c:pt>
                <c:pt idx="18">
                  <c:v>6114.1186883709</c:v>
                </c:pt>
                <c:pt idx="19">
                  <c:v>6952.97750148719</c:v>
                </c:pt>
                <c:pt idx="20">
                  <c:v>7783.44772647232</c:v>
                </c:pt>
                <c:pt idx="21">
                  <c:v>8605.6132492076</c:v>
                </c:pt>
                <c:pt idx="22">
                  <c:v>9419.55711671552</c:v>
                </c:pt>
                <c:pt idx="23">
                  <c:v>10225.3615455484</c:v>
                </c:pt>
                <c:pt idx="24">
                  <c:v>11473.1079300929</c:v>
                </c:pt>
                <c:pt idx="25">
                  <c:v>12708.376850792</c:v>
                </c:pt>
                <c:pt idx="26">
                  <c:v>13931.293082284</c:v>
                </c:pt>
                <c:pt idx="27">
                  <c:v>15141.9801514612</c:v>
                </c:pt>
                <c:pt idx="28">
                  <c:v>16340.5603499466</c:v>
                </c:pt>
                <c:pt idx="29">
                  <c:v>17527.1547464471</c:v>
                </c:pt>
                <c:pt idx="30">
                  <c:v>18701.8831989826</c:v>
                </c:pt>
                <c:pt idx="31">
                  <c:v>19864.8643669928</c:v>
                </c:pt>
                <c:pt idx="32">
                  <c:v>21016.2157233229</c:v>
                </c:pt>
                <c:pt idx="33">
                  <c:v>22156.0535660897</c:v>
                </c:pt>
                <c:pt idx="34">
                  <c:v>23284.4930304288</c:v>
                </c:pt>
                <c:pt idx="35">
                  <c:v>24401.6481001245</c:v>
                </c:pt>
                <c:pt idx="36">
                  <c:v>26182.6316191232</c:v>
                </c:pt>
                <c:pt idx="37">
                  <c:v>27945.805302932</c:v>
                </c:pt>
                <c:pt idx="38">
                  <c:v>29691.3472499027</c:v>
                </c:pt>
                <c:pt idx="39">
                  <c:v>31419.4337774037</c:v>
                </c:pt>
                <c:pt idx="40">
                  <c:v>33130.2394396296</c:v>
                </c:pt>
                <c:pt idx="41">
                  <c:v>34823.9370452333</c:v>
                </c:pt>
                <c:pt idx="42">
                  <c:v>36500.697674781</c:v>
                </c:pt>
                <c:pt idx="43">
                  <c:v>38160.6906980332</c:v>
                </c:pt>
                <c:pt idx="44">
                  <c:v>39804.0837910528</c:v>
                </c:pt>
                <c:pt idx="45">
                  <c:v>41431.0429531423</c:v>
                </c:pt>
                <c:pt idx="46">
                  <c:v>43041.7325236109</c:v>
                </c:pt>
                <c:pt idx="47">
                  <c:v>44636.3151983748</c:v>
                </c:pt>
                <c:pt idx="48">
                  <c:v>47227.452046391</c:v>
                </c:pt>
                <c:pt idx="49">
                  <c:v>49792.6775259271</c:v>
                </c:pt>
                <c:pt idx="50">
                  <c:v>52332.2507506678</c:v>
                </c:pt>
                <c:pt idx="51">
                  <c:v>54846.4282431612</c:v>
                </c:pt>
                <c:pt idx="52">
                  <c:v>57335.4639607296</c:v>
                </c:pt>
                <c:pt idx="53">
                  <c:v>59799.6093211223</c:v>
                </c:pt>
                <c:pt idx="54">
                  <c:v>62239.113227911</c:v>
                </c:pt>
                <c:pt idx="55">
                  <c:v>64654.2220956319</c:v>
                </c:pt>
                <c:pt idx="56">
                  <c:v>67045.1798746756</c:v>
                </c:pt>
                <c:pt idx="57">
                  <c:v>69412.2280759288</c:v>
                </c:pt>
                <c:pt idx="58">
                  <c:v>71755.6057951695</c:v>
                </c:pt>
                <c:pt idx="59">
                  <c:v>74075.5497372179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923020"/>
        <c:axId val="61601274"/>
      </c:lineChart>
      <c:catAx>
        <c:axId val="4292302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01274"/>
        <c:crosses val="autoZero"/>
        <c:auto val="1"/>
        <c:lblAlgn val="ctr"/>
        <c:lblOffset val="100"/>
        <c:noMultiLvlLbl val="0"/>
      </c:catAx>
      <c:valAx>
        <c:axId val="61601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$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23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/ zero-revenue sensitivity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Model'!AI5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Model'!$AI$6:$AI$65</c:f>
              <c:numCache>
                <c:formatCode>\$#,##0;[RED]"($"#,##0\);\$0</c:formatCode>
                <c:ptCount val="60"/>
                <c:pt idx="0">
                  <c:v>959522.3</c:v>
                </c:pt>
                <c:pt idx="1">
                  <c:v>899304.083333333</c:v>
                </c:pt>
                <c:pt idx="2">
                  <c:v>832167.85</c:v>
                </c:pt>
                <c:pt idx="3">
                  <c:v>748204.433333334</c:v>
                </c:pt>
                <c:pt idx="4">
                  <c:v>676891.016666667</c:v>
                </c:pt>
                <c:pt idx="5">
                  <c:v>605577.6</c:v>
                </c:pt>
                <c:pt idx="6">
                  <c:v>503962.833333334</c:v>
                </c:pt>
                <c:pt idx="7">
                  <c:v>413043.066666667</c:v>
                </c:pt>
                <c:pt idx="8">
                  <c:v>308208.3</c:v>
                </c:pt>
                <c:pt idx="9">
                  <c:v>184054.683333334</c:v>
                </c:pt>
                <c:pt idx="10">
                  <c:v>69676.0666666669</c:v>
                </c:pt>
                <c:pt idx="11">
                  <c:v>-27452.5499999998</c:v>
                </c:pt>
                <c:pt idx="12">
                  <c:v>2871979.66117917</c:v>
                </c:pt>
                <c:pt idx="13">
                  <c:v>2757965.07584071</c:v>
                </c:pt>
                <c:pt idx="14">
                  <c:v>2658924.0219498</c:v>
                </c:pt>
                <c:pt idx="15">
                  <c:v>2502436.1565253</c:v>
                </c:pt>
                <c:pt idx="16">
                  <c:v>2369692.70787255</c:v>
                </c:pt>
                <c:pt idx="17">
                  <c:v>2237686.23182382</c:v>
                </c:pt>
                <c:pt idx="18">
                  <c:v>2091712.35865309</c:v>
                </c:pt>
                <c:pt idx="19">
                  <c:v>1952785.79233156</c:v>
                </c:pt>
                <c:pt idx="20">
                  <c:v>1800360.30979074</c:v>
                </c:pt>
                <c:pt idx="21">
                  <c:v>1641535.76019283</c:v>
                </c:pt>
                <c:pt idx="22">
                  <c:v>1486965.5642084</c:v>
                </c:pt>
                <c:pt idx="23">
                  <c:v>1350856.71330132</c:v>
                </c:pt>
                <c:pt idx="24">
                  <c:v>1209837.07880306</c:v>
                </c:pt>
                <c:pt idx="25">
                  <c:v>1055236.62645975</c:v>
                </c:pt>
                <c:pt idx="26">
                  <c:v>916325.600249835</c:v>
                </c:pt>
                <c:pt idx="27">
                  <c:v>778453.09011198</c:v>
                </c:pt>
                <c:pt idx="28">
                  <c:v>641608.710885467</c:v>
                </c:pt>
                <c:pt idx="29">
                  <c:v>505782.181261181</c:v>
                </c:pt>
                <c:pt idx="30">
                  <c:v>256572.129216434</c:v>
                </c:pt>
                <c:pt idx="31">
                  <c:v>54359.6715668303</c:v>
                </c:pt>
                <c:pt idx="32">
                  <c:v>-161505.587631582</c:v>
                </c:pt>
                <c:pt idx="33">
                  <c:v>-383713.314563314</c:v>
                </c:pt>
                <c:pt idx="34">
                  <c:v>-601292.971651033</c:v>
                </c:pt>
                <c:pt idx="35">
                  <c:v>-799613.818543178</c:v>
                </c:pt>
                <c:pt idx="36">
                  <c:v>-1002007.39455631</c:v>
                </c:pt>
                <c:pt idx="37">
                  <c:v>-1217974.10457026</c:v>
                </c:pt>
                <c:pt idx="38">
                  <c:v>-1417369.74837103</c:v>
                </c:pt>
                <c:pt idx="39">
                  <c:v>-1615288.87289475</c:v>
                </c:pt>
                <c:pt idx="40">
                  <c:v>-1811746.24333418</c:v>
                </c:pt>
                <c:pt idx="41">
                  <c:v>-2006756.47723017</c:v>
                </c:pt>
                <c:pt idx="42">
                  <c:v>-2200334.04594816</c:v>
                </c:pt>
                <c:pt idx="43">
                  <c:v>-2392493.27613993</c:v>
                </c:pt>
                <c:pt idx="44">
                  <c:v>-2598327.98379073</c:v>
                </c:pt>
                <c:pt idx="45">
                  <c:v>-2810312.39415198</c:v>
                </c:pt>
                <c:pt idx="46">
                  <c:v>-3017150.68390957</c:v>
                </c:pt>
                <c:pt idx="47">
                  <c:v>-3203776.98258804</c:v>
                </c:pt>
                <c:pt idx="48">
                  <c:v>-3397739.53383468</c:v>
                </c:pt>
                <c:pt idx="49">
                  <c:v>-3605051.20976885</c:v>
                </c:pt>
                <c:pt idx="50">
                  <c:v>-3794669.79620347</c:v>
                </c:pt>
                <c:pt idx="51">
                  <c:v>-3982148.92539575</c:v>
                </c:pt>
                <c:pt idx="52">
                  <c:v>-4167509.9919181</c:v>
                </c:pt>
                <c:pt idx="53">
                  <c:v>-4350774.17639723</c:v>
                </c:pt>
                <c:pt idx="54">
                  <c:v>-4531962.44765358</c:v>
                </c:pt>
                <c:pt idx="55">
                  <c:v>-4711095.56481936</c:v>
                </c:pt>
                <c:pt idx="56">
                  <c:v>-4903726.10101349</c:v>
                </c:pt>
                <c:pt idx="57">
                  <c:v>-5102108.39147246</c:v>
                </c:pt>
                <c:pt idx="58">
                  <c:v>-5294613.56257801</c:v>
                </c:pt>
                <c:pt idx="59">
                  <c:v>-5465729.53389173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Model'!AL5</c:f>
              <c:strCache>
                <c:ptCount val="1"/>
                <c:pt idx="0">
                  <c:v>Cash if zero revenue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Model'!$AL$6:$AL$65</c:f>
              <c:numCache>
                <c:formatCode>\$#,##0;[RED]"($"#,##0\);\$0</c:formatCode>
                <c:ptCount val="60"/>
                <c:pt idx="0">
                  <c:v>959522.3</c:v>
                </c:pt>
                <c:pt idx="1">
                  <c:v>899304.083333333</c:v>
                </c:pt>
                <c:pt idx="2">
                  <c:v>832167.85</c:v>
                </c:pt>
                <c:pt idx="3">
                  <c:v>748204.433333333</c:v>
                </c:pt>
                <c:pt idx="4">
                  <c:v>676891.016666667</c:v>
                </c:pt>
                <c:pt idx="5">
                  <c:v>605577.6</c:v>
                </c:pt>
                <c:pt idx="6">
                  <c:v>503962.833333333</c:v>
                </c:pt>
                <c:pt idx="7">
                  <c:v>413043.066666667</c:v>
                </c:pt>
                <c:pt idx="8">
                  <c:v>308208.3</c:v>
                </c:pt>
                <c:pt idx="9">
                  <c:v>184054.683333333</c:v>
                </c:pt>
                <c:pt idx="10">
                  <c:v>69676.0666666667</c:v>
                </c:pt>
                <c:pt idx="11">
                  <c:v>-27452.55</c:v>
                </c:pt>
                <c:pt idx="12">
                  <c:v>2871079.66117917</c:v>
                </c:pt>
                <c:pt idx="13">
                  <c:v>2755274.07584071</c:v>
                </c:pt>
                <c:pt idx="14">
                  <c:v>2653559.9319498</c:v>
                </c:pt>
                <c:pt idx="15">
                  <c:v>2493525.7074253</c:v>
                </c:pt>
                <c:pt idx="16">
                  <c:v>2356371.36326355</c:v>
                </c:pt>
                <c:pt idx="17">
                  <c:v>2219098.10066091</c:v>
                </c:pt>
                <c:pt idx="18">
                  <c:v>2067010.10880181</c:v>
                </c:pt>
                <c:pt idx="19">
                  <c:v>1921130.56497879</c:v>
                </c:pt>
                <c:pt idx="20">
                  <c:v>1760921.6347115</c:v>
                </c:pt>
                <c:pt idx="21">
                  <c:v>1593491.47186438</c:v>
                </c:pt>
                <c:pt idx="22">
                  <c:v>1429501.71876324</c:v>
                </c:pt>
                <c:pt idx="23">
                  <c:v>1283167.50631061</c:v>
                </c:pt>
                <c:pt idx="24">
                  <c:v>1130674.76388226</c:v>
                </c:pt>
                <c:pt idx="25">
                  <c:v>963365.934688155</c:v>
                </c:pt>
                <c:pt idx="26">
                  <c:v>810523.615395955</c:v>
                </c:pt>
                <c:pt idx="27">
                  <c:v>657509.125106639</c:v>
                </c:pt>
                <c:pt idx="28">
                  <c:v>504324.185530179</c:v>
                </c:pt>
                <c:pt idx="29">
                  <c:v>350970.501159446</c:v>
                </c:pt>
                <c:pt idx="30">
                  <c:v>83058.5659157164</c:v>
                </c:pt>
                <c:pt idx="31">
                  <c:v>-139018.75610088</c:v>
                </c:pt>
                <c:pt idx="32">
                  <c:v>-375900.231022615</c:v>
                </c:pt>
                <c:pt idx="33">
                  <c:v>-620264.011520437</c:v>
                </c:pt>
                <c:pt idx="34">
                  <c:v>-861128.161638585</c:v>
                </c:pt>
                <c:pt idx="35">
                  <c:v>-1083850.65663085</c:v>
                </c:pt>
                <c:pt idx="36">
                  <c:v>-1312426.86426311</c:v>
                </c:pt>
                <c:pt idx="37">
                  <c:v>-1556339.37957999</c:v>
                </c:pt>
                <c:pt idx="38">
                  <c:v>-1785426.37063066</c:v>
                </c:pt>
                <c:pt idx="39">
                  <c:v>-2014764.92893178</c:v>
                </c:pt>
                <c:pt idx="40">
                  <c:v>-2244352.53881085</c:v>
                </c:pt>
                <c:pt idx="41">
                  <c:v>-2474186.70975207</c:v>
                </c:pt>
                <c:pt idx="42">
                  <c:v>-2704264.97614485</c:v>
                </c:pt>
                <c:pt idx="43">
                  <c:v>-2934584.89703464</c:v>
                </c:pt>
                <c:pt idx="44">
                  <c:v>-3180223.6884765</c:v>
                </c:pt>
                <c:pt idx="45">
                  <c:v>-3433639.14179089</c:v>
                </c:pt>
                <c:pt idx="46">
                  <c:v>-3683519.16407209</c:v>
                </c:pt>
                <c:pt idx="47">
                  <c:v>-3914781.77794893</c:v>
                </c:pt>
                <c:pt idx="48">
                  <c:v>-4155971.78124196</c:v>
                </c:pt>
                <c:pt idx="49">
                  <c:v>-4413076.13470207</c:v>
                </c:pt>
                <c:pt idx="50">
                  <c:v>-4655026.97188735</c:v>
                </c:pt>
                <c:pt idx="51">
                  <c:v>-4897352.52932279</c:v>
                </c:pt>
                <c:pt idx="52">
                  <c:v>-5140049.05980587</c:v>
                </c:pt>
                <c:pt idx="53">
                  <c:v>-5383112.85360613</c:v>
                </c:pt>
                <c:pt idx="54">
                  <c:v>-5626540.23809038</c:v>
                </c:pt>
                <c:pt idx="55">
                  <c:v>-5870327.5773518</c:v>
                </c:pt>
                <c:pt idx="56">
                  <c:v>-6130003.2934206</c:v>
                </c:pt>
                <c:pt idx="57">
                  <c:v>-6397797.8119555</c:v>
                </c:pt>
                <c:pt idx="58">
                  <c:v>-6662058.58885622</c:v>
                </c:pt>
                <c:pt idx="59">
                  <c:v>-6907250.10990717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337266"/>
        <c:axId val="24185228"/>
      </c:lineChart>
      <c:catAx>
        <c:axId val="90337266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85228"/>
        <c:crosses val="autoZero"/>
        <c:auto val="1"/>
        <c:lblAlgn val="ctr"/>
        <c:lblOffset val="100"/>
        <c:noMultiLvlLbl val="0"/>
      </c:catAx>
      <c:valAx>
        <c:axId val="24185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$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372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FTE ramp incl. founder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Model'!I5</c:f>
              <c:strCache>
                <c:ptCount val="1"/>
                <c:pt idx="0">
                  <c:v>Total FTE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Model'!$I$6:$I$65</c:f>
              <c:numCache>
                <c:formatCode>#,##0.00;[RED]\(#,##0.00\)</c:formatCode>
                <c:ptCount val="60"/>
                <c:pt idx="0">
                  <c:v>2</c:v>
                </c:pt>
                <c:pt idx="1">
                  <c:v>2.65</c:v>
                </c:pt>
                <c:pt idx="2">
                  <c:v>3.65</c:v>
                </c:pt>
                <c:pt idx="3">
                  <c:v>4.65</c:v>
                </c:pt>
                <c:pt idx="4">
                  <c:v>4.65</c:v>
                </c:pt>
                <c:pt idx="5">
                  <c:v>4.65</c:v>
                </c:pt>
                <c:pt idx="6">
                  <c:v>5.75</c:v>
                </c:pt>
                <c:pt idx="7">
                  <c:v>5.75</c:v>
                </c:pt>
                <c:pt idx="8">
                  <c:v>5.75</c:v>
                </c:pt>
                <c:pt idx="9">
                  <c:v>6.25</c:v>
                </c:pt>
                <c:pt idx="10">
                  <c:v>6.25</c:v>
                </c:pt>
                <c:pt idx="11">
                  <c:v>6.25</c:v>
                </c:pt>
                <c:pt idx="12">
                  <c:v>6.25</c:v>
                </c:pt>
                <c:pt idx="13">
                  <c:v>6.25</c:v>
                </c:pt>
                <c:pt idx="14">
                  <c:v>6.25</c:v>
                </c:pt>
                <c:pt idx="15">
                  <c:v>8.25</c:v>
                </c:pt>
                <c:pt idx="16">
                  <c:v>8.25</c:v>
                </c:pt>
                <c:pt idx="17">
                  <c:v>8.25</c:v>
                </c:pt>
                <c:pt idx="18">
                  <c:v>8.75</c:v>
                </c:pt>
                <c:pt idx="19">
                  <c:v>8.75</c:v>
                </c:pt>
                <c:pt idx="20">
                  <c:v>8.75</c:v>
                </c:pt>
                <c:pt idx="21">
                  <c:v>8.75</c:v>
                </c:pt>
                <c:pt idx="22">
                  <c:v>8.75</c:v>
                </c:pt>
                <c:pt idx="23">
                  <c:v>8.75</c:v>
                </c:pt>
                <c:pt idx="24">
                  <c:v>8.75</c:v>
                </c:pt>
                <c:pt idx="25">
                  <c:v>8.75</c:v>
                </c:pt>
                <c:pt idx="26">
                  <c:v>8.75</c:v>
                </c:pt>
                <c:pt idx="27">
                  <c:v>8.75</c:v>
                </c:pt>
                <c:pt idx="28">
                  <c:v>8.75</c:v>
                </c:pt>
                <c:pt idx="29">
                  <c:v>8.75</c:v>
                </c:pt>
                <c:pt idx="30">
                  <c:v>12.75</c:v>
                </c:pt>
                <c:pt idx="31">
                  <c:v>12.75</c:v>
                </c:pt>
                <c:pt idx="32">
                  <c:v>12.75</c:v>
                </c:pt>
                <c:pt idx="33">
                  <c:v>12.75</c:v>
                </c:pt>
                <c:pt idx="34">
                  <c:v>12.75</c:v>
                </c:pt>
                <c:pt idx="35">
                  <c:v>12.75</c:v>
                </c:pt>
                <c:pt idx="36">
                  <c:v>12.5</c:v>
                </c:pt>
                <c:pt idx="37">
                  <c:v>12.5</c:v>
                </c:pt>
                <c:pt idx="38">
                  <c:v>12.5</c:v>
                </c:pt>
                <c:pt idx="39">
                  <c:v>12.5</c:v>
                </c:pt>
                <c:pt idx="40">
                  <c:v>12.5</c:v>
                </c:pt>
                <c:pt idx="41">
                  <c:v>12.5</c:v>
                </c:pt>
                <c:pt idx="42">
                  <c:v>12.5</c:v>
                </c:pt>
                <c:pt idx="43">
                  <c:v>12.5</c:v>
                </c:pt>
                <c:pt idx="44">
                  <c:v>12.5</c:v>
                </c:pt>
                <c:pt idx="45">
                  <c:v>12.5</c:v>
                </c:pt>
                <c:pt idx="46">
                  <c:v>12.5</c:v>
                </c:pt>
                <c:pt idx="47">
                  <c:v>12.5</c:v>
                </c:pt>
                <c:pt idx="48">
                  <c:v>12.5</c:v>
                </c:pt>
                <c:pt idx="49">
                  <c:v>12.5</c:v>
                </c:pt>
                <c:pt idx="50">
                  <c:v>12.5</c:v>
                </c:pt>
                <c:pt idx="51">
                  <c:v>12.5</c:v>
                </c:pt>
                <c:pt idx="52">
                  <c:v>12.5</c:v>
                </c:pt>
                <c:pt idx="53">
                  <c:v>12.5</c:v>
                </c:pt>
                <c:pt idx="54">
                  <c:v>12.5</c:v>
                </c:pt>
                <c:pt idx="55">
                  <c:v>12.5</c:v>
                </c:pt>
                <c:pt idx="56">
                  <c:v>12.5</c:v>
                </c:pt>
                <c:pt idx="57">
                  <c:v>12.5</c:v>
                </c:pt>
                <c:pt idx="58">
                  <c:v>12.5</c:v>
                </c:pt>
                <c:pt idx="59">
                  <c:v>12.5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550679"/>
        <c:axId val="63614643"/>
      </c:lineChart>
      <c:catAx>
        <c:axId val="36550679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14643"/>
        <c:crosses val="autoZero"/>
        <c:auto val="1"/>
        <c:lblAlgn val="ctr"/>
        <c:lblOffset val="100"/>
        <c:noMultiLvlLbl val="0"/>
      </c:catAx>
      <c:valAx>
        <c:axId val="63614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50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spend and net cash needed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Model'!AJ5</c:f>
              <c:strCache>
                <c:ptCount val="1"/>
                <c:pt idx="0">
                  <c:v>Cumulative spend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Model'!$AJ$6:$AJ$65</c:f>
              <c:numCache>
                <c:formatCode>\$#,##0;[RED]"($"#,##0\);\$0</c:formatCode>
                <c:ptCount val="60"/>
                <c:pt idx="0">
                  <c:v>40477.7</c:v>
                </c:pt>
                <c:pt idx="1">
                  <c:v>100695.916666667</c:v>
                </c:pt>
                <c:pt idx="2">
                  <c:v>167832.15</c:v>
                </c:pt>
                <c:pt idx="3">
                  <c:v>251795.566666667</c:v>
                </c:pt>
                <c:pt idx="4">
                  <c:v>323108.983333333</c:v>
                </c:pt>
                <c:pt idx="5">
                  <c:v>394422.4</c:v>
                </c:pt>
                <c:pt idx="6">
                  <c:v>496037.166666667</c:v>
                </c:pt>
                <c:pt idx="7">
                  <c:v>586956.933333333</c:v>
                </c:pt>
                <c:pt idx="8">
                  <c:v>691791.7</c:v>
                </c:pt>
                <c:pt idx="9">
                  <c:v>815945.316666667</c:v>
                </c:pt>
                <c:pt idx="10">
                  <c:v>930323.933333333</c:v>
                </c:pt>
                <c:pt idx="11">
                  <c:v>1027452.55</c:v>
                </c:pt>
                <c:pt idx="12">
                  <c:v>1128920.33882083</c:v>
                </c:pt>
                <c:pt idx="13">
                  <c:v>1244725.92415929</c:v>
                </c:pt>
                <c:pt idx="14">
                  <c:v>1346440.0680502</c:v>
                </c:pt>
                <c:pt idx="15">
                  <c:v>1506474.2925747</c:v>
                </c:pt>
                <c:pt idx="16">
                  <c:v>1643628.63673645</c:v>
                </c:pt>
                <c:pt idx="17">
                  <c:v>1780901.89933909</c:v>
                </c:pt>
                <c:pt idx="18">
                  <c:v>1932989.89119819</c:v>
                </c:pt>
                <c:pt idx="19">
                  <c:v>2078869.43502121</c:v>
                </c:pt>
                <c:pt idx="20">
                  <c:v>2239078.3652885</c:v>
                </c:pt>
                <c:pt idx="21">
                  <c:v>2406508.52813562</c:v>
                </c:pt>
                <c:pt idx="22">
                  <c:v>2570498.28123676</c:v>
                </c:pt>
                <c:pt idx="23">
                  <c:v>2716832.49368939</c:v>
                </c:pt>
                <c:pt idx="24">
                  <c:v>2869325.23611774</c:v>
                </c:pt>
                <c:pt idx="25">
                  <c:v>3036634.06531185</c:v>
                </c:pt>
                <c:pt idx="26">
                  <c:v>3189476.38460405</c:v>
                </c:pt>
                <c:pt idx="27">
                  <c:v>3342490.87489336</c:v>
                </c:pt>
                <c:pt idx="28">
                  <c:v>3495675.81446982</c:v>
                </c:pt>
                <c:pt idx="29">
                  <c:v>3649029.49884055</c:v>
                </c:pt>
                <c:pt idx="30">
                  <c:v>3916941.43408428</c:v>
                </c:pt>
                <c:pt idx="31">
                  <c:v>4139018.75610088</c:v>
                </c:pt>
                <c:pt idx="32">
                  <c:v>4375900.23102262</c:v>
                </c:pt>
                <c:pt idx="33">
                  <c:v>4620264.01152044</c:v>
                </c:pt>
                <c:pt idx="34">
                  <c:v>4861128.16163859</c:v>
                </c:pt>
                <c:pt idx="35">
                  <c:v>5083850.65663085</c:v>
                </c:pt>
                <c:pt idx="36">
                  <c:v>5312426.86426311</c:v>
                </c:pt>
                <c:pt idx="37">
                  <c:v>5556339.37957999</c:v>
                </c:pt>
                <c:pt idx="38">
                  <c:v>5785426.37063067</c:v>
                </c:pt>
                <c:pt idx="39">
                  <c:v>6014764.92893179</c:v>
                </c:pt>
                <c:pt idx="40">
                  <c:v>6244352.53881085</c:v>
                </c:pt>
                <c:pt idx="41">
                  <c:v>6474186.70975207</c:v>
                </c:pt>
                <c:pt idx="42">
                  <c:v>6704264.97614485</c:v>
                </c:pt>
                <c:pt idx="43">
                  <c:v>6934584.89703464</c:v>
                </c:pt>
                <c:pt idx="44">
                  <c:v>7180223.6884765</c:v>
                </c:pt>
                <c:pt idx="45">
                  <c:v>7433639.14179089</c:v>
                </c:pt>
                <c:pt idx="46">
                  <c:v>7683519.16407209</c:v>
                </c:pt>
                <c:pt idx="47">
                  <c:v>7914781.77794893</c:v>
                </c:pt>
                <c:pt idx="48">
                  <c:v>8155971.78124197</c:v>
                </c:pt>
                <c:pt idx="49">
                  <c:v>8413076.13470207</c:v>
                </c:pt>
                <c:pt idx="50">
                  <c:v>8655026.97188735</c:v>
                </c:pt>
                <c:pt idx="51">
                  <c:v>8897352.52932279</c:v>
                </c:pt>
                <c:pt idx="52">
                  <c:v>9140049.05980587</c:v>
                </c:pt>
                <c:pt idx="53">
                  <c:v>9383112.85360613</c:v>
                </c:pt>
                <c:pt idx="54">
                  <c:v>9626540.23809038</c:v>
                </c:pt>
                <c:pt idx="55">
                  <c:v>9870327.5773518</c:v>
                </c:pt>
                <c:pt idx="56">
                  <c:v>10130003.2934206</c:v>
                </c:pt>
                <c:pt idx="57">
                  <c:v>10397797.8119555</c:v>
                </c:pt>
                <c:pt idx="58">
                  <c:v>10662058.5888562</c:v>
                </c:pt>
                <c:pt idx="59">
                  <c:v>10907250.1099072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Model'!AP5</c:f>
              <c:strCache>
                <c:ptCount val="1"/>
                <c:pt idx="0">
                  <c:v>Cumulative net need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Model'!$B$6:$B$65</c:f>
              <c:strCache>
                <c:ptCount val="60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  <c:pt idx="12">
                  <c:v>Nov 2027</c:v>
                </c:pt>
                <c:pt idx="13">
                  <c:v>Dec 2027</c:v>
                </c:pt>
                <c:pt idx="14">
                  <c:v>Jan 2028</c:v>
                </c:pt>
                <c:pt idx="15">
                  <c:v>Feb 2028</c:v>
                </c:pt>
                <c:pt idx="16">
                  <c:v>Mar 2028</c:v>
                </c:pt>
                <c:pt idx="17">
                  <c:v>Apr 2028</c:v>
                </c:pt>
                <c:pt idx="18">
                  <c:v>May 2028</c:v>
                </c:pt>
                <c:pt idx="19">
                  <c:v>Jun 2028</c:v>
                </c:pt>
                <c:pt idx="20">
                  <c:v>Jul 2028</c:v>
                </c:pt>
                <c:pt idx="21">
                  <c:v>Aug 2028</c:v>
                </c:pt>
                <c:pt idx="22">
                  <c:v>Sep 2028</c:v>
                </c:pt>
                <c:pt idx="23">
                  <c:v>Oct 2028</c:v>
                </c:pt>
                <c:pt idx="24">
                  <c:v>Nov 2028</c:v>
                </c:pt>
                <c:pt idx="25">
                  <c:v>Dec 2028</c:v>
                </c:pt>
                <c:pt idx="26">
                  <c:v>Jan 2029</c:v>
                </c:pt>
                <c:pt idx="27">
                  <c:v>Feb 2029</c:v>
                </c:pt>
                <c:pt idx="28">
                  <c:v>Mar 2029</c:v>
                </c:pt>
                <c:pt idx="29">
                  <c:v>Apr 2029</c:v>
                </c:pt>
                <c:pt idx="30">
                  <c:v>May 2029</c:v>
                </c:pt>
                <c:pt idx="31">
                  <c:v>Jun 2029</c:v>
                </c:pt>
                <c:pt idx="32">
                  <c:v>Jul 2029</c:v>
                </c:pt>
                <c:pt idx="33">
                  <c:v>Aug 2029</c:v>
                </c:pt>
                <c:pt idx="34">
                  <c:v>Sep 2029</c:v>
                </c:pt>
                <c:pt idx="35">
                  <c:v>Oct 2029</c:v>
                </c:pt>
                <c:pt idx="36">
                  <c:v>Nov 2029</c:v>
                </c:pt>
                <c:pt idx="37">
                  <c:v>Dec 2029</c:v>
                </c:pt>
                <c:pt idx="38">
                  <c:v>Jan 2030</c:v>
                </c:pt>
                <c:pt idx="39">
                  <c:v>Feb 2030</c:v>
                </c:pt>
                <c:pt idx="40">
                  <c:v>Mar 2030</c:v>
                </c:pt>
                <c:pt idx="41">
                  <c:v>Apr 2030</c:v>
                </c:pt>
                <c:pt idx="42">
                  <c:v>May 2030</c:v>
                </c:pt>
                <c:pt idx="43">
                  <c:v>Jun 2030</c:v>
                </c:pt>
                <c:pt idx="44">
                  <c:v>Jul 2030</c:v>
                </c:pt>
                <c:pt idx="45">
                  <c:v>Aug 2030</c:v>
                </c:pt>
                <c:pt idx="46">
                  <c:v>Sep 2030</c:v>
                </c:pt>
                <c:pt idx="47">
                  <c:v>Oct 2030</c:v>
                </c:pt>
                <c:pt idx="48">
                  <c:v>Nov 2030</c:v>
                </c:pt>
                <c:pt idx="49">
                  <c:v>Dec 2030</c:v>
                </c:pt>
                <c:pt idx="50">
                  <c:v>Jan 2031</c:v>
                </c:pt>
                <c:pt idx="51">
                  <c:v>Feb 2031</c:v>
                </c:pt>
                <c:pt idx="52">
                  <c:v>Mar 2031</c:v>
                </c:pt>
                <c:pt idx="53">
                  <c:v>Apr 2031</c:v>
                </c:pt>
                <c:pt idx="54">
                  <c:v>May 2031</c:v>
                </c:pt>
                <c:pt idx="55">
                  <c:v>Jun 2031</c:v>
                </c:pt>
                <c:pt idx="56">
                  <c:v>Jul 2031</c:v>
                </c:pt>
                <c:pt idx="57">
                  <c:v>Aug 2031</c:v>
                </c:pt>
                <c:pt idx="58">
                  <c:v>Sep 2031</c:v>
                </c:pt>
                <c:pt idx="59">
                  <c:v>Oct 2031</c:v>
                </c:pt>
              </c:strCache>
            </c:strRef>
          </c:cat>
          <c:val>
            <c:numRef>
              <c:f>'Monthly Model'!$AP$6:$AP$65</c:f>
              <c:numCache>
                <c:formatCode>\$#,##0;[RED]"($"#,##0\);\$0</c:formatCode>
                <c:ptCount val="60"/>
                <c:pt idx="0">
                  <c:v>40477.7</c:v>
                </c:pt>
                <c:pt idx="1">
                  <c:v>100695.916666667</c:v>
                </c:pt>
                <c:pt idx="2">
                  <c:v>167832.15</c:v>
                </c:pt>
                <c:pt idx="3">
                  <c:v>251795.566666667</c:v>
                </c:pt>
                <c:pt idx="4">
                  <c:v>323108.983333333</c:v>
                </c:pt>
                <c:pt idx="5">
                  <c:v>394422.4</c:v>
                </c:pt>
                <c:pt idx="6">
                  <c:v>496037.166666667</c:v>
                </c:pt>
                <c:pt idx="7">
                  <c:v>586956.933333333</c:v>
                </c:pt>
                <c:pt idx="8">
                  <c:v>691791.7</c:v>
                </c:pt>
                <c:pt idx="9">
                  <c:v>815945.316666667</c:v>
                </c:pt>
                <c:pt idx="10">
                  <c:v>930323.933333333</c:v>
                </c:pt>
                <c:pt idx="11">
                  <c:v>1027452.55</c:v>
                </c:pt>
                <c:pt idx="12">
                  <c:v>1128020.33882083</c:v>
                </c:pt>
                <c:pt idx="13">
                  <c:v>1242034.92415929</c:v>
                </c:pt>
                <c:pt idx="14">
                  <c:v>1341075.9780502</c:v>
                </c:pt>
                <c:pt idx="15">
                  <c:v>1497563.8434747</c:v>
                </c:pt>
                <c:pt idx="16">
                  <c:v>1630307.29212745</c:v>
                </c:pt>
                <c:pt idx="17">
                  <c:v>1762313.76817618</c:v>
                </c:pt>
                <c:pt idx="18">
                  <c:v>1908287.64134691</c:v>
                </c:pt>
                <c:pt idx="19">
                  <c:v>2047214.20766844</c:v>
                </c:pt>
                <c:pt idx="20">
                  <c:v>2199639.69020926</c:v>
                </c:pt>
                <c:pt idx="21">
                  <c:v>2358464.23980717</c:v>
                </c:pt>
                <c:pt idx="22">
                  <c:v>2513034.4357916</c:v>
                </c:pt>
                <c:pt idx="23">
                  <c:v>2649143.28669868</c:v>
                </c:pt>
                <c:pt idx="24">
                  <c:v>2790162.92119694</c:v>
                </c:pt>
                <c:pt idx="25">
                  <c:v>2944763.37354025</c:v>
                </c:pt>
                <c:pt idx="26">
                  <c:v>3083674.39975016</c:v>
                </c:pt>
                <c:pt idx="27">
                  <c:v>3221546.90988802</c:v>
                </c:pt>
                <c:pt idx="28">
                  <c:v>3358391.28911453</c:v>
                </c:pt>
                <c:pt idx="29">
                  <c:v>3494217.81873882</c:v>
                </c:pt>
                <c:pt idx="30">
                  <c:v>3743427.87078357</c:v>
                </c:pt>
                <c:pt idx="31">
                  <c:v>3945640.32843317</c:v>
                </c:pt>
                <c:pt idx="32">
                  <c:v>4161505.58763158</c:v>
                </c:pt>
                <c:pt idx="33">
                  <c:v>4383713.31456331</c:v>
                </c:pt>
                <c:pt idx="34">
                  <c:v>4601292.97165103</c:v>
                </c:pt>
                <c:pt idx="35">
                  <c:v>4799613.81854318</c:v>
                </c:pt>
                <c:pt idx="36">
                  <c:v>5002007.39455631</c:v>
                </c:pt>
                <c:pt idx="37">
                  <c:v>5217974.10457026</c:v>
                </c:pt>
                <c:pt idx="38">
                  <c:v>5417369.74837103</c:v>
                </c:pt>
                <c:pt idx="39">
                  <c:v>5615288.87289475</c:v>
                </c:pt>
                <c:pt idx="40">
                  <c:v>5811746.24333418</c:v>
                </c:pt>
                <c:pt idx="41">
                  <c:v>6006756.47723017</c:v>
                </c:pt>
                <c:pt idx="42">
                  <c:v>6200334.04594816</c:v>
                </c:pt>
                <c:pt idx="43">
                  <c:v>6392493.27613993</c:v>
                </c:pt>
                <c:pt idx="44">
                  <c:v>6598327.98379073</c:v>
                </c:pt>
                <c:pt idx="45">
                  <c:v>6810312.39415198</c:v>
                </c:pt>
                <c:pt idx="46">
                  <c:v>7017150.68390957</c:v>
                </c:pt>
                <c:pt idx="47">
                  <c:v>7203776.98258804</c:v>
                </c:pt>
                <c:pt idx="48">
                  <c:v>7397739.53383468</c:v>
                </c:pt>
                <c:pt idx="49">
                  <c:v>7605051.20976885</c:v>
                </c:pt>
                <c:pt idx="50">
                  <c:v>7794669.79620347</c:v>
                </c:pt>
                <c:pt idx="51">
                  <c:v>7982148.92539575</c:v>
                </c:pt>
                <c:pt idx="52">
                  <c:v>8167509.9919181</c:v>
                </c:pt>
                <c:pt idx="53">
                  <c:v>8350774.17639723</c:v>
                </c:pt>
                <c:pt idx="54">
                  <c:v>8531962.44765358</c:v>
                </c:pt>
                <c:pt idx="55">
                  <c:v>8711095.56481936</c:v>
                </c:pt>
                <c:pt idx="56">
                  <c:v>8903726.10101349</c:v>
                </c:pt>
                <c:pt idx="57">
                  <c:v>9102108.39147246</c:v>
                </c:pt>
                <c:pt idx="58">
                  <c:v>9294613.56257801</c:v>
                </c:pt>
                <c:pt idx="59">
                  <c:v>9465729.53389173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530423"/>
        <c:axId val="21956409"/>
      </c:lineChart>
      <c:catAx>
        <c:axId val="86530423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56409"/>
        <c:crosses val="autoZero"/>
        <c:auto val="1"/>
        <c:lblAlgn val="ctr"/>
        <c:lblOffset val="100"/>
        <c:noMultiLvlLbl val="0"/>
      </c:catAx>
      <c:valAx>
        <c:axId val="219564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$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304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cost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'Annual Summary'!K5</c:f>
              <c:strCache>
                <c:ptCount val="1"/>
                <c:pt idx="0">
                  <c:v>Staff cash</c:v>
                </c:pt>
              </c:strCache>
            </c:strRef>
          </c:tx>
          <c:spPr>
            <a:solidFill>
              <a:srgbClr val="7087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Summary'!$K$6:$K$10</c:f>
              <c:numCache>
                <c:formatCode>\$#,##0;[RED]"($"#,##0\);\$0</c:formatCode>
                <c:ptCount val="5"/>
                <c:pt idx="0">
                  <c:v>750000</c:v>
                </c:pt>
                <c:pt idx="1">
                  <c:v>1343680</c:v>
                </c:pt>
                <c:pt idx="2">
                  <c:v>1893611.2</c:v>
                </c:pt>
                <c:pt idx="3">
                  <c:v>2302596.608</c:v>
                </c:pt>
                <c:pt idx="4">
                  <c:v>2394700.47232</c:v>
                </c:pt>
              </c:numCache>
            </c:numRef>
          </c:val>
        </c:ser>
        <c:ser>
          <c:idx val="1"/>
          <c:order val="1"/>
          <c:tx>
            <c:strRef>
              <c:f>'Annual Summary'!L5</c:f>
              <c:strCache>
                <c:ptCount val="1"/>
                <c:pt idx="0">
                  <c:v>Infra</c:v>
                </c:pt>
              </c:strCache>
            </c:strRef>
          </c:tx>
          <c:spPr>
            <a:solidFill>
              <a:srgbClr val="809b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Summary'!$L$6:$L$10</c:f>
              <c:numCache>
                <c:formatCode>\$#,##0;[RED]"($"#,##0\);\$0</c:formatCode>
                <c:ptCount val="5"/>
                <c:pt idx="0">
                  <c:v>15000</c:v>
                </c:pt>
                <c:pt idx="1">
                  <c:v>16052.3023243149</c:v>
                </c:pt>
                <c:pt idx="2">
                  <c:v>17898.1584374825</c:v>
                </c:pt>
                <c:pt idx="3">
                  <c:v>20419.5719572308</c:v>
                </c:pt>
                <c:pt idx="4">
                  <c:v>23985.543414108</c:v>
                </c:pt>
              </c:numCache>
            </c:numRef>
          </c:val>
        </c:ser>
        <c:ser>
          <c:idx val="2"/>
          <c:order val="2"/>
          <c:tx>
            <c:strRef>
              <c:f>'Annual Summary'!M5</c:f>
              <c:strCache>
                <c:ptCount val="1"/>
                <c:pt idx="0">
                  <c:v>Tools</c:v>
                </c:pt>
              </c:strCache>
            </c:strRef>
          </c:tx>
          <c:spPr>
            <a:solidFill>
              <a:srgbClr val="8eab5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Summary'!$M$6:$M$10</c:f>
              <c:numCache>
                <c:formatCode>\$#,##0;[RED]"($"#,##0\);\$0</c:formatCode>
                <c:ptCount val="5"/>
                <c:pt idx="0">
                  <c:v>3087</c:v>
                </c:pt>
                <c:pt idx="1">
                  <c:v>5147.94</c:v>
                </c:pt>
                <c:pt idx="2">
                  <c:v>6861.9012</c:v>
                </c:pt>
                <c:pt idx="3">
                  <c:v>8352.805188</c:v>
                </c:pt>
                <c:pt idx="4">
                  <c:v>8603.38934364</c:v>
                </c:pt>
              </c:numCache>
            </c:numRef>
          </c:val>
        </c:ser>
        <c:ser>
          <c:idx val="3"/>
          <c:order val="3"/>
          <c:tx>
            <c:strRef>
              <c:f>'Annual Summary'!N5</c:f>
              <c:strCache>
                <c:ptCount val="1"/>
                <c:pt idx="0">
                  <c:v>Other vendor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Summary'!$N$6:$N$10</c:f>
              <c:numCache>
                <c:formatCode>\$#,##0;[RED]"($"#,##0\);\$0</c:formatCode>
                <c:ptCount val="5"/>
                <c:pt idx="0">
                  <c:v>72600</c:v>
                </c:pt>
                <c:pt idx="1">
                  <c:v>76879.9902667028</c:v>
                </c:pt>
                <c:pt idx="2">
                  <c:v>94256.3351525642</c:v>
                </c:pt>
                <c:pt idx="3">
                  <c:v>119177.173637274</c:v>
                </c:pt>
                <c:pt idx="4">
                  <c:v>155800.037129725</c:v>
                </c:pt>
              </c:numCache>
            </c:numRef>
          </c:val>
        </c:ser>
        <c:ser>
          <c:idx val="4"/>
          <c:order val="4"/>
          <c:tx>
            <c:strRef>
              <c:f>'Annual Summary'!O5</c:f>
              <c:strCache>
                <c:ptCount val="1"/>
                <c:pt idx="0">
                  <c:v>One-time recruitment/equipment</c:v>
                </c:pt>
              </c:strCache>
            </c:strRef>
          </c:tx>
          <c:spPr>
            <a:solidFill>
              <a:srgbClr val="b2c9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Summary'!$O$6:$O$10</c:f>
              <c:numCache>
                <c:formatCode>\$#,##0;[RED]"($"#,##0\);\$0</c:formatCode>
                <c:ptCount val="5"/>
                <c:pt idx="0">
                  <c:v>52750</c:v>
                </c:pt>
                <c:pt idx="1">
                  <c:v>25500</c:v>
                </c:pt>
                <c:pt idx="2">
                  <c:v>40000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'Annual Summary'!P5</c:f>
              <c:strCache>
                <c:ptCount val="1"/>
                <c:pt idx="0">
                  <c:v>Contingency</c:v>
                </c:pt>
              </c:strCache>
            </c:strRef>
          </c:tx>
          <c:spPr>
            <a:solidFill>
              <a:srgbClr val="c5d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Summary'!$P$6:$P$10</c:f>
              <c:numCache>
                <c:formatCode>\$#,##0;[RED]"($"#,##0\);\$0</c:formatCode>
                <c:ptCount val="5"/>
                <c:pt idx="0">
                  <c:v>134015.55</c:v>
                </c:pt>
                <c:pt idx="1">
                  <c:v>220089.034888653</c:v>
                </c:pt>
                <c:pt idx="2">
                  <c:v>307894.139218507</c:v>
                </c:pt>
                <c:pt idx="3">
                  <c:v>367581.923817376</c:v>
                </c:pt>
                <c:pt idx="4">
                  <c:v>387463.416331121</c:v>
                </c:pt>
              </c:numCache>
            </c:numRef>
          </c:val>
        </c:ser>
        <c:ser>
          <c:idx val="6"/>
          <c:order val="6"/>
          <c:tx>
            <c:strRef>
              <c:f>'Annual Summary'!Q5</c:f>
              <c:strCache>
                <c:ptCount val="1"/>
                <c:pt idx="0">
                  <c:v>Payment fees</c:v>
                </c:pt>
              </c:strCache>
            </c:strRef>
          </c:tx>
          <c:spPr>
            <a:solidFill>
              <a:srgbClr val="d7e2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Summary'!$B$6:$B$10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'Annual Summary'!$Q$6:$Q$10</c:f>
              <c:numCache>
                <c:formatCode>\$#,##0;[RED]"($"#,##0\);\$0</c:formatCode>
                <c:ptCount val="5"/>
                <c:pt idx="0">
                  <c:v>0</c:v>
                </c:pt>
                <c:pt idx="1">
                  <c:v>2030.67620972136</c:v>
                </c:pt>
                <c:pt idx="2">
                  <c:v>6496.42893290895</c:v>
                </c:pt>
                <c:pt idx="3">
                  <c:v>12803.0387181966</c:v>
                </c:pt>
                <c:pt idx="4">
                  <c:v>21915.473419636</c:v>
                </c:pt>
              </c:numCache>
            </c:numRef>
          </c:val>
        </c:ser>
        <c:gapWidth val="150"/>
        <c:overlap val="100"/>
        <c:axId val="95244897"/>
        <c:axId val="37930873"/>
      </c:barChart>
      <c:catAx>
        <c:axId val="95244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30873"/>
        <c:crosses val="autoZero"/>
        <c:auto val="1"/>
        <c:lblAlgn val="ctr"/>
        <c:lblOffset val="100"/>
        <c:noMultiLvlLbl val="0"/>
      </c:catAx>
      <c:valAx>
        <c:axId val="37930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$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44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Five-year scenario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Comparison'!B5</c:f>
              <c:strCache>
                <c:ptCount val="1"/>
                <c:pt idx="0">
                  <c:v>5-year spend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Comparison'!$A$6:$A$8</c:f>
              <c:strCache>
                <c:ptCount val="3"/>
                <c:pt idx="0">
                  <c:v>Lean</c:v>
                </c:pt>
                <c:pt idx="1">
                  <c:v>Base</c:v>
                </c:pt>
                <c:pt idx="2">
                  <c:v>Growth</c:v>
                </c:pt>
              </c:strCache>
            </c:strRef>
          </c:cat>
          <c:val>
            <c:numRef>
              <c:f>'Scenario Comparison'!$B$6:$B$8</c:f>
              <c:numCache>
                <c:formatCode>\$#,##0;[RED]"($"#,##0\);\$0</c:formatCode>
                <c:ptCount val="3"/>
                <c:pt idx="0">
                  <c:v>6008393.92759377</c:v>
                </c:pt>
                <c:pt idx="1">
                  <c:v>10907250.1099072</c:v>
                </c:pt>
                <c:pt idx="2">
                  <c:v>20697579.1130053</c:v>
                </c:pt>
              </c:numCache>
            </c:numRef>
          </c:val>
        </c:ser>
        <c:gapWidth val="150"/>
        <c:overlap val="0"/>
        <c:axId val="51620680"/>
        <c:axId val="60989849"/>
      </c:barChart>
      <c:catAx>
        <c:axId val="5162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89849"/>
        <c:crosses val="autoZero"/>
        <c:auto val="1"/>
        <c:lblAlgn val="ctr"/>
        <c:lblOffset val="100"/>
        <c:noMultiLvlLbl val="0"/>
      </c:catAx>
      <c:valAx>
        <c:axId val="60989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$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20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156240</xdr:rowOff>
    </xdr:from>
    <xdr:to>
      <xdr:col>7</xdr:col>
      <xdr:colOff>623520</xdr:colOff>
      <xdr:row>24</xdr:row>
      <xdr:rowOff>66240</xdr:rowOff>
    </xdr:to>
    <xdr:graphicFrame>
      <xdr:nvGraphicFramePr>
        <xdr:cNvPr id="0" name="Chart 1"/>
        <xdr:cNvGraphicFramePr/>
      </xdr:nvGraphicFramePr>
      <xdr:xfrm>
        <a:off x="8848800" y="26290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4</xdr:col>
      <xdr:colOff>807480</xdr:colOff>
      <xdr:row>19</xdr:row>
      <xdr:rowOff>21960</xdr:rowOff>
    </xdr:to>
    <xdr:graphicFrame>
      <xdr:nvGraphicFramePr>
        <xdr:cNvPr id="1" name="Chart 1"/>
        <xdr:cNvGraphicFramePr/>
      </xdr:nvGraphicFramePr>
      <xdr:xfrm>
        <a:off x="0" y="12952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331560</xdr:colOff>
      <xdr:row>19</xdr:row>
      <xdr:rowOff>21960</xdr:rowOff>
    </xdr:to>
    <xdr:graphicFrame>
      <xdr:nvGraphicFramePr>
        <xdr:cNvPr id="2" name="Chart 2"/>
        <xdr:cNvGraphicFramePr/>
      </xdr:nvGraphicFramePr>
      <xdr:xfrm>
        <a:off x="15741720" y="12952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807480</xdr:colOff>
      <xdr:row>35</xdr:row>
      <xdr:rowOff>21960</xdr:rowOff>
    </xdr:to>
    <xdr:graphicFrame>
      <xdr:nvGraphicFramePr>
        <xdr:cNvPr id="3" name="Chart 3"/>
        <xdr:cNvGraphicFramePr/>
      </xdr:nvGraphicFramePr>
      <xdr:xfrm>
        <a:off x="0" y="43434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331560</xdr:colOff>
      <xdr:row>35</xdr:row>
      <xdr:rowOff>21960</xdr:rowOff>
    </xdr:to>
    <xdr:graphicFrame>
      <xdr:nvGraphicFramePr>
        <xdr:cNvPr id="4" name="Chart 4"/>
        <xdr:cNvGraphicFramePr/>
      </xdr:nvGraphicFramePr>
      <xdr:xfrm>
        <a:off x="15741720" y="43434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807480</xdr:colOff>
      <xdr:row>51</xdr:row>
      <xdr:rowOff>22320</xdr:rowOff>
    </xdr:to>
    <xdr:graphicFrame>
      <xdr:nvGraphicFramePr>
        <xdr:cNvPr id="5" name="Chart 5"/>
        <xdr:cNvGraphicFramePr/>
      </xdr:nvGraphicFramePr>
      <xdr:xfrm>
        <a:off x="0" y="73915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20</xdr:col>
      <xdr:colOff>331560</xdr:colOff>
      <xdr:row>51</xdr:row>
      <xdr:rowOff>22320</xdr:rowOff>
    </xdr:to>
    <xdr:graphicFrame>
      <xdr:nvGraphicFramePr>
        <xdr:cNvPr id="6" name="Chart 6"/>
        <xdr:cNvGraphicFramePr/>
      </xdr:nvGraphicFramePr>
      <xdr:xfrm>
        <a:off x="15741720" y="73915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hyperlink" Target="../../../home/runner/work/Clinical-Roundup-List/Clinical-Roundup-List/documents/saas-plan/Clinical-Roundup-SaaS-Build-and-Scale.xlsx" TargetMode="External"/><Relationship Id="rId3" Type="http://schemas.openxmlformats.org/officeDocument/2006/relationships/hyperlink" Target="../../../home/runner/work/Clinical-Roundup-List/Clinical-Roundup-List/documents/saas-plan/Clinical-Roundup-SaaS-Build-and-Scale.xlsx" TargetMode="External"/><Relationship Id="rId4" Type="http://schemas.openxmlformats.org/officeDocument/2006/relationships/hyperlink" Target="../../../home/runner/work/Clinical-Roundup-List/Clinical-Roundup-List/documents/saas-plan/Clinical-Roundup-SaaS-Build-and-Scale.xlsx" TargetMode="External"/><Relationship Id="rId5" Type="http://schemas.openxmlformats.org/officeDocument/2006/relationships/hyperlink" Target="../../../home/runner/work/Clinical-Roundup-List/Clinical-Roundup-List/documents/saas-plan/Clinical-Roundup-SaaS-Build-and-Scale.xlsx" TargetMode="External"/><Relationship Id="rId6" Type="http://schemas.openxmlformats.org/officeDocument/2006/relationships/hyperlink" Target="../../../home/runner/work/Clinical-Roundup-List/Clinical-Roundup-List/documents/saas-plan/Clinical-Roundup-SaaS-Build-and-Scale.xlsx" TargetMode="External"/><Relationship Id="rId7" Type="http://schemas.openxmlformats.org/officeDocument/2006/relationships/hyperlink" Target="../../../home/runner/work/Clinical-Roundup-List/Clinical-Roundup-List/documents/saas-plan/Clinical-Roundup-SaaS-Build-and-Scale.xlsx" TargetMode="External"/><Relationship Id="rId8" Type="http://schemas.openxmlformats.org/officeDocument/2006/relationships/hyperlink" Target="../../../home/runner/work/Clinical-Roundup-List/Clinical-Roundup-List/documents/saas-plan/Clinical-Roundup-SaaS-Build-and-Scale.xlsx" TargetMode="External"/><Relationship Id="rId9" Type="http://schemas.openxmlformats.org/officeDocument/2006/relationships/hyperlink" Target="../../../home/runner/work/Clinical-Roundup-List/Clinical-Roundup-List/documents/saas-plan/Clinical-Roundup-SaaS-Build-and-Scale.xlsx" TargetMode="External"/><Relationship Id="rId10" Type="http://schemas.openxmlformats.org/officeDocument/2006/relationships/hyperlink" Target="../../../home/runner/work/Clinical-Roundup-List/Clinical-Roundup-List/documents/saas-plan/Clinical-Roundup-SaaS-Build-and-Scale.xlsx" TargetMode="External"/><Relationship Id="rId11" Type="http://schemas.openxmlformats.org/officeDocument/2006/relationships/hyperlink" Target="../../../home/runner/work/Clinical-Roundup-List/Clinical-Roundup-List/documents/saas-plan/Clinical-Roundup-SaaS-Build-and-Scale.xlsx" TargetMode="External"/><Relationship Id="rId12" Type="http://schemas.openxmlformats.org/officeDocument/2006/relationships/hyperlink" Target="../../../home/runner/work/Clinical-Roundup-List/Clinical-Roundup-List/documents/saas-plan/Clinical-Roundup-SaaS-Build-and-Scale.xlsx" TargetMode="External"/><Relationship Id="rId13" Type="http://schemas.openxmlformats.org/officeDocument/2006/relationships/hyperlink" Target="../../../home/runner/work/Clinical-Roundup-List/Clinical-Roundup-List/documents/saas-plan/Clinical-Roundup-SaaS-Build-and-Scale.xlsx" TargetMode="External"/><Relationship Id="rId14" Type="http://schemas.openxmlformats.org/officeDocument/2006/relationships/hyperlink" Target="../../../home/runner/work/Clinical-Roundup-List/Clinical-Roundup-List/documents/saas-plan/Clinical-Roundup-SaaS-Build-and-Scale.xlsx" TargetMode="External"/><Relationship Id="rId15" Type="http://schemas.openxmlformats.org/officeDocument/2006/relationships/hyperlink" Target="../../../home/runner/work/Clinical-Roundup-List/Clinical-Roundup-List/documents/saas-plan/Clinical-Roundup-SaaS-Build-and-Scale.xlsx" TargetMode="External"/><Relationship Id="rId16" Type="http://schemas.openxmlformats.org/officeDocument/2006/relationships/hyperlink" Target="../../../home/runner/work/Clinical-Roundup-List/Clinical-Roundup-List/documents/saas-plan/Clinical-Roundup-SaaS-Build-and-Scale.xlsx" TargetMode="External"/><Relationship Id="rId17" Type="http://schemas.openxmlformats.org/officeDocument/2006/relationships/hyperlink" Target="../../../home/runner/work/Clinical-Roundup-List/Clinical-Roundup-List/documents/saas-plan/Clinical-Roundup-SaaS-Build-and-Scale.xlsx" TargetMode="External"/><Relationship Id="rId18" Type="http://schemas.openxmlformats.org/officeDocument/2006/relationships/hyperlink" Target="../../../home/runner/work/Clinical-Roundup-List/Clinical-Roundup-List/documents/saas-plan/Clinical-Roundup-SaaS-Build-and-Scale.xlsx" TargetMode="External"/><Relationship Id="rId19" Type="http://schemas.openxmlformats.org/officeDocument/2006/relationships/hyperlink" Target="../../../home/runner/work/Clinical-Roundup-List/Clinical-Roundup-List/documents/saas-plan/Clinical-Roundup-SaaS-Build-and-Scale.xlsx" TargetMode="External"/><Relationship Id="rId2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hyperlink" Target="https://www.bls.gov/ooh/computer-and-information-technology/software-developers.htm" TargetMode="External"/><Relationship Id="rId3" Type="http://schemas.openxmlformats.org/officeDocument/2006/relationships/hyperlink" Target="https://www.bls.gov/oes/current/oes151253.htm" TargetMode="External"/><Relationship Id="rId4" Type="http://schemas.openxmlformats.org/officeDocument/2006/relationships/hyperlink" Target="https://www.bls.gov/charts/employer-costs-for-employee-compensation/costs-per-hour.htm" TargetMode="External"/><Relationship Id="rId5" Type="http://schemas.openxmlformats.org/officeDocument/2006/relationships/hyperlink" Target="https://github.com/pricing" TargetMode="External"/><Relationship Id="rId6" Type="http://schemas.openxmlformats.org/officeDocument/2006/relationships/hyperlink" Target="https://azure.microsoft.com/en-us/pricing/details/app-service/linux/" TargetMode="External"/><Relationship Id="rId7" Type="http://schemas.openxmlformats.org/officeDocument/2006/relationships/hyperlink" Target="https://azure.microsoft.com/en-us/pricing/details/postgresql/flexible-server/" TargetMode="External"/><Relationship Id="rId8" Type="http://schemas.openxmlformats.org/officeDocument/2006/relationships/hyperlink" Target="https://prices.azure.com/api/retail/prices?currencyCode=%27USD%27&amp;$filter=armRegionName%20eq%20%27eastus%27%20and%20serviceName%20eq%20%27Azure%20App%20Service%27%20and%20priceType%20eq%20%27Consumption%27" TargetMode="External"/><Relationship Id="rId9" Type="http://schemas.openxmlformats.org/officeDocument/2006/relationships/hyperlink" Target="https://aws.amazon.com/rds/postgresql/pricing/" TargetMode="External"/><Relationship Id="rId10" Type="http://schemas.openxmlformats.org/officeDocument/2006/relationships/hyperlink" Target="https://openai.com/api/pricing/" TargetMode="External"/><Relationship Id="rId11" Type="http://schemas.openxmlformats.org/officeDocument/2006/relationships/hyperlink" Target="https://platform.openai.com/docs/guides/your-data" TargetMode="External"/><Relationship Id="rId12" Type="http://schemas.openxmlformats.org/officeDocument/2006/relationships/hyperlink" Target="https://www.bls.gov/oes/current/oes113021.htm" TargetMode="External"/><Relationship Id="rId13" Type="http://schemas.openxmlformats.org/officeDocument/2006/relationships/hyperlink" Target="https://www.bls.gov/oes/current/oes131082.htm" TargetMode="External"/><Relationship Id="rId14" Type="http://schemas.openxmlformats.org/officeDocument/2006/relationships/hyperlink" Target="https://www.bls.gov/oes/current/oes151255.htm" TargetMode="External"/><Relationship Id="rId15" Type="http://schemas.openxmlformats.org/officeDocument/2006/relationships/hyperlink" Target="https://www.bls.gov/oes/current/oes434051.htm" TargetMode="External"/><Relationship Id="rId16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../../../home/runner/work/Clinical-Roundup-List/Clinical-Roundup-List/documents/saas-plan/Clinical-Roundup-SaaS-Build-and-Scale.xlsx" TargetMode="External"/><Relationship Id="rId2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3"/>
    <col collapsed="false" customWidth="true" hidden="false" outlineLevel="0" max="2" min="2" style="0" width="28"/>
    <col collapsed="false" customWidth="true" hidden="false" outlineLevel="0" max="4" min="4" style="0" width="37"/>
    <col collapsed="false" customWidth="true" hidden="false" outlineLevel="0" max="5" min="5" style="0" width="28"/>
  </cols>
  <sheetData>
    <row r="1" customFormat="false" ht="28.5" hidden="false" customHeight="tru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0" t="s">
        <v>3</v>
      </c>
      <c r="B5" s="4" t="s">
        <v>4</v>
      </c>
      <c r="D5" s="5" t="s">
        <v>5</v>
      </c>
    </row>
    <row r="6" customFormat="false" ht="23.85" hidden="false" customHeight="false" outlineLevel="0" collapsed="false">
      <c r="A6" s="6" t="s">
        <v>6</v>
      </c>
      <c r="B6" s="7" t="n">
        <v>46327</v>
      </c>
      <c r="C6" s="6"/>
      <c r="D6" s="6" t="s">
        <v>7</v>
      </c>
      <c r="E6" s="6"/>
      <c r="F6" s="6"/>
      <c r="G6" s="6"/>
      <c r="H6" s="6"/>
    </row>
    <row r="7" customFormat="false" ht="23.85" hidden="false" customHeight="false" outlineLevel="0" collapsed="false">
      <c r="A7" s="6" t="s">
        <v>8</v>
      </c>
      <c r="B7" s="8" t="n">
        <v>0</v>
      </c>
      <c r="C7" s="6"/>
      <c r="D7" s="6" t="s">
        <v>9</v>
      </c>
      <c r="E7" s="6"/>
      <c r="F7" s="6"/>
      <c r="G7" s="6"/>
      <c r="H7" s="6"/>
    </row>
    <row r="8" customFormat="false" ht="15" hidden="false" customHeight="false" outlineLevel="0" collapsed="false">
      <c r="A8" s="6" t="s">
        <v>10</v>
      </c>
      <c r="B8" s="8" t="n">
        <v>0</v>
      </c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 t="s">
        <v>11</v>
      </c>
      <c r="B9" s="9" t="s">
        <v>12</v>
      </c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 t="s">
        <v>13</v>
      </c>
      <c r="B10" s="8" t="n">
        <v>0</v>
      </c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 t="s">
        <v>14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 t="s">
        <v>15</v>
      </c>
      <c r="B13" s="10" t="n">
        <f aca="false">SUM('Monthly Model'!AC6:AC65)</f>
        <v>10907250.1099072</v>
      </c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 t="s">
        <v>16</v>
      </c>
      <c r="B14" s="10" t="n">
        <f aca="false">SUM('Monthly Model'!AC6:AC17)</f>
        <v>1027452.55</v>
      </c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 t="s">
        <v>17</v>
      </c>
      <c r="B15" s="11" t="n">
        <f aca="false">MAX('Monthly Model'!I6:I65)</f>
        <v>12.75</v>
      </c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 t="s">
        <v>18</v>
      </c>
      <c r="B16" s="10" t="n">
        <f aca="false">MIN('Monthly Model'!AI6:AI65)</f>
        <v>-5465729.53389173</v>
      </c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 t="s">
        <v>19</v>
      </c>
      <c r="B17" s="10" t="n">
        <f aca="false">MAX('Monthly Model'!AK6:AK65)</f>
        <v>5465729.53389173</v>
      </c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 t="s">
        <v>20</v>
      </c>
      <c r="B18" s="10" t="n">
        <f aca="false">MAX(0,-MIN('Monthly Model'!AL6:AL65))</f>
        <v>6907250.10990717</v>
      </c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 t="s">
        <v>21</v>
      </c>
      <c r="B19" s="10" t="n">
        <f aca="false">SUM('Monthly Model'!AM6:AM65)</f>
        <v>428483.556152</v>
      </c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 t="s">
        <v>22</v>
      </c>
      <c r="B20" s="11" t="n">
        <f aca="false">SUM(Nonlabor!N6:N27)</f>
        <v>9</v>
      </c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 t="s">
        <v>23</v>
      </c>
      <c r="B21" s="10" t="n">
        <f aca="false">SUM('Monthly Model'!AO6:AO65)</f>
        <v>974938.0608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 t="s">
        <v>24</v>
      </c>
      <c r="B22" s="11" t="n">
        <f aca="false">IF(AND(INDEX(Assumptions!C6:E6,1,MATCH(B5,Assumptions!C5:E5,0))&lt;=0,'Monthly Model'!AG6&lt;=0,'Monthly Model'!AD6&lt;=0),"Not funded",IF(COUNTIF('Monthly Model'!AI6:AI65,"&lt;0")=0,"&gt;60 months",MATCH(1,'Monthly Model'!AR6:AR65,0)))</f>
        <v>12</v>
      </c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23.85" hidden="false" customHeight="false" outlineLevel="0" collapsed="false">
      <c r="A24" s="6" t="s">
        <v>25</v>
      </c>
      <c r="B24" s="6"/>
      <c r="C24" s="6"/>
      <c r="D24" s="6"/>
      <c r="E24" s="6"/>
      <c r="F24" s="6"/>
      <c r="G24" s="6"/>
      <c r="H24" s="6"/>
    </row>
    <row r="25" customFormat="false" ht="23.85" hidden="false" customHeight="false" outlineLevel="0" collapsed="false">
      <c r="A25" s="6" t="s">
        <v>26</v>
      </c>
      <c r="B25" s="6"/>
      <c r="C25" s="6"/>
      <c r="D25" s="6"/>
      <c r="E25" s="6"/>
      <c r="F25" s="6"/>
      <c r="G25" s="6"/>
      <c r="H25" s="6"/>
    </row>
    <row r="26" customFormat="false" ht="23.85" hidden="false" customHeight="false" outlineLevel="0" collapsed="false">
      <c r="A26" s="6" t="s">
        <v>27</v>
      </c>
      <c r="B26" s="6"/>
      <c r="C26" s="6"/>
      <c r="D26" s="6"/>
      <c r="E26" s="6"/>
      <c r="F26" s="6"/>
      <c r="G26" s="6"/>
      <c r="H26" s="6"/>
    </row>
    <row r="27" customFormat="false" ht="23.85" hidden="false" customHeight="false" outlineLevel="0" collapsed="false">
      <c r="A27" s="6" t="s">
        <v>28</v>
      </c>
      <c r="B27" s="6"/>
      <c r="C27" s="6"/>
      <c r="D27" s="6"/>
      <c r="E27" s="6"/>
      <c r="F27" s="6"/>
      <c r="G27" s="6"/>
      <c r="H27" s="6"/>
    </row>
    <row r="28" customFormat="false" ht="23.85" hidden="false" customHeight="false" outlineLevel="0" collapsed="false">
      <c r="A28" s="6" t="s">
        <v>29</v>
      </c>
      <c r="B28" s="6"/>
      <c r="C28" s="6"/>
      <c r="D28" s="6"/>
      <c r="E28" s="6"/>
      <c r="F28" s="6"/>
      <c r="G28" s="6"/>
      <c r="H28" s="6"/>
    </row>
    <row r="31" customFormat="false" ht="15" hidden="false" customHeight="false" outlineLevel="0" collapsed="false">
      <c r="A31" s="3" t="s">
        <v>30</v>
      </c>
      <c r="D31" s="5" t="s">
        <v>31</v>
      </c>
    </row>
    <row r="32" customFormat="false" ht="15" hidden="false" customHeight="false" outlineLevel="0" collapsed="false">
      <c r="A32" s="3" t="s">
        <v>32</v>
      </c>
      <c r="D32" s="5" t="s">
        <v>33</v>
      </c>
      <c r="E32" s="12" t="n">
        <f aca="false">SUM('Monthly Model'!K6:K65)</f>
        <v>8684588.28032</v>
      </c>
    </row>
    <row r="33" customFormat="false" ht="15" hidden="false" customHeight="false" outlineLevel="0" collapsed="false">
      <c r="A33" s="3" t="s">
        <v>34</v>
      </c>
      <c r="D33" s="5" t="s">
        <v>35</v>
      </c>
      <c r="E33" s="12" t="n">
        <f aca="false">SUM('Monthly Model'!L6:L65)</f>
        <v>80000</v>
      </c>
    </row>
    <row r="34" customFormat="false" ht="15" hidden="false" customHeight="false" outlineLevel="0" collapsed="false">
      <c r="A34" s="3" t="s">
        <v>36</v>
      </c>
      <c r="D34" s="5" t="s">
        <v>37</v>
      </c>
      <c r="E34" s="12" t="n">
        <f aca="false">SUM('Monthly Model'!M6:M65)</f>
        <v>38250</v>
      </c>
    </row>
    <row r="35" customFormat="false" ht="15" hidden="false" customHeight="false" outlineLevel="0" collapsed="false">
      <c r="A35" s="3" t="s">
        <v>38</v>
      </c>
      <c r="D35" s="5" t="s">
        <v>39</v>
      </c>
      <c r="E35" s="12" t="n">
        <f aca="false">SUM('Monthly Model'!N6:N65)</f>
        <v>93355.5761331362</v>
      </c>
    </row>
    <row r="36" customFormat="false" ht="15" hidden="false" customHeight="false" outlineLevel="0" collapsed="false">
      <c r="A36" s="3" t="s">
        <v>40</v>
      </c>
      <c r="D36" s="5" t="s">
        <v>41</v>
      </c>
      <c r="E36" s="12" t="n">
        <f aca="false">SUM('Monthly Model'!O6:O65)</f>
        <v>32053.03573164</v>
      </c>
    </row>
    <row r="37" customFormat="false" ht="15" hidden="false" customHeight="false" outlineLevel="0" collapsed="false">
      <c r="A37" s="3" t="s">
        <v>42</v>
      </c>
      <c r="D37" s="5" t="s">
        <v>43</v>
      </c>
      <c r="E37" s="12" t="n">
        <f aca="false">SUM('Monthly Model'!P6:P65)</f>
        <v>71709.62972</v>
      </c>
    </row>
    <row r="38" customFormat="false" ht="15" hidden="false" customHeight="false" outlineLevel="0" collapsed="false">
      <c r="A38" s="3" t="s">
        <v>44</v>
      </c>
      <c r="D38" s="5" t="s">
        <v>45</v>
      </c>
      <c r="E38" s="12" t="n">
        <f aca="false">SUM('Monthly Model'!Q6:Q65)</f>
        <v>95564.44458</v>
      </c>
    </row>
    <row r="39" customFormat="false" ht="15" hidden="false" customHeight="false" outlineLevel="0" collapsed="false">
      <c r="A39" s="3" t="s">
        <v>46</v>
      </c>
      <c r="D39" s="5" t="s">
        <v>47</v>
      </c>
      <c r="E39" s="12" t="n">
        <f aca="false">SUM('Monthly Model'!R6:R65)</f>
        <v>79637.03715</v>
      </c>
    </row>
    <row r="40" customFormat="false" ht="15" hidden="false" customHeight="false" outlineLevel="0" collapsed="false">
      <c r="A40" s="3" t="s">
        <v>48</v>
      </c>
      <c r="D40" s="5" t="s">
        <v>49</v>
      </c>
      <c r="E40" s="12" t="n">
        <f aca="false">SUM('Monthly Model'!S6:S65)</f>
        <v>63709.62972</v>
      </c>
    </row>
    <row r="41" customFormat="false" ht="15" hidden="false" customHeight="false" outlineLevel="0" collapsed="false">
      <c r="A41" s="3" t="s">
        <v>50</v>
      </c>
      <c r="D41" s="5" t="s">
        <v>51</v>
      </c>
      <c r="E41" s="12" t="n">
        <f aca="false">SUM('Monthly Model'!T6:T65)</f>
        <v>38225.777832</v>
      </c>
    </row>
    <row r="42" customFormat="false" ht="15" hidden="false" customHeight="false" outlineLevel="0" collapsed="false">
      <c r="A42" s="3" t="s">
        <v>52</v>
      </c>
      <c r="D42" s="5" t="s">
        <v>53</v>
      </c>
      <c r="E42" s="12" t="n">
        <f aca="false">SUM('Monthly Model'!U6:U65)</f>
        <v>5570.962972</v>
      </c>
    </row>
    <row r="43" customFormat="false" ht="15" hidden="false" customHeight="false" outlineLevel="0" collapsed="false">
      <c r="A43" s="3" t="s">
        <v>54</v>
      </c>
      <c r="D43" s="5" t="s">
        <v>55</v>
      </c>
      <c r="E43" s="12" t="n">
        <f aca="false">SUM('Monthly Model'!V6:V65)</f>
        <v>132333.173470767</v>
      </c>
    </row>
    <row r="44" customFormat="false" ht="15" hidden="false" customHeight="false" outlineLevel="0" collapsed="false">
      <c r="A44" s="3" t="s">
        <v>56</v>
      </c>
      <c r="D44" s="5" t="s">
        <v>57</v>
      </c>
      <c r="E44" s="12" t="n">
        <f aca="false">SUM('Monthly Model'!W6:W65)</f>
        <v>31962.8807415</v>
      </c>
    </row>
    <row r="45" customFormat="false" ht="15" hidden="false" customHeight="false" outlineLevel="0" collapsed="false">
      <c r="A45" s="3" t="s">
        <v>58</v>
      </c>
      <c r="D45" s="5" t="s">
        <v>59</v>
      </c>
      <c r="E45" s="12" t="n">
        <f aca="false">SUM('Monthly Model'!X6:X65)</f>
        <v>0</v>
      </c>
    </row>
    <row r="46" customFormat="false" ht="15" hidden="false" customHeight="false" outlineLevel="0" collapsed="false">
      <c r="A46" s="3" t="s">
        <v>60</v>
      </c>
      <c r="D46" s="5" t="s">
        <v>61</v>
      </c>
      <c r="E46" s="12" t="n">
        <f aca="false">SUM('Monthly Model'!Y6:Y65)</f>
        <v>0</v>
      </c>
    </row>
    <row r="47" customFormat="false" ht="15" hidden="false" customHeight="false" outlineLevel="0" collapsed="false">
      <c r="A47" s="3" t="s">
        <v>62</v>
      </c>
      <c r="D47" s="5" t="s">
        <v>63</v>
      </c>
      <c r="E47" s="12" t="n">
        <f aca="false">SUM('Monthly Model'!AA6:AA65)</f>
        <v>1417044.06425566</v>
      </c>
    </row>
    <row r="48" customFormat="false" ht="15" hidden="false" customHeight="false" outlineLevel="0" collapsed="false">
      <c r="A48" s="3" t="s">
        <v>64</v>
      </c>
      <c r="D48" s="5" t="s">
        <v>65</v>
      </c>
      <c r="E48" s="12" t="n">
        <f aca="false">SUM('Monthly Model'!AB6:AB65)</f>
        <v>43245.6172804629</v>
      </c>
    </row>
    <row r="51" customFormat="false" ht="15" hidden="false" customHeight="false" outlineLevel="0" collapsed="false">
      <c r="D51" s="0" t="s">
        <v>66</v>
      </c>
    </row>
    <row r="52" customFormat="false" ht="15" hidden="false" customHeight="false" outlineLevel="0" collapsed="false">
      <c r="D52" s="0" t="s">
        <v>67</v>
      </c>
    </row>
  </sheetData>
  <mergeCells count="1">
    <mergeCell ref="A2:H2"/>
  </mergeCells>
  <dataValidations count="4">
    <dataValidation allowBlank="false" error="Use the dropdown list." errorStyle="stop" errorTitle="Choose an allowed value" operator="between" showDropDown="false" showErrorMessage="true" showInputMessage="false" sqref="B5" type="list">
      <formula1>"Lean,Base,Growth"</formula1>
      <formula2>0</formula2>
    </dataValidation>
    <dataValidation allowBlank="false" error="Use the dropdown list." errorStyle="stop" errorTitle="Choose an allowed value" operator="between" showDropDown="false" showErrorMessage="true" showInputMessage="false" sqref="B9" type="list">
      <formula1>"Azure,AWS"</formula1>
      <formula2>0</formula2>
    </dataValidation>
    <dataValidation allowBlank="false" error="Enter a value between 0 and 1." errorStyle="stop" operator="between" showDropDown="false" showErrorMessage="true" showInputMessage="false" sqref="B7:B8 B10" type="whole">
      <formula1>0</formula1>
      <formula2>1</formula2>
    </dataValidation>
    <dataValidation allowBlank="false" errorStyle="stop" operator="between" showDropDown="false" showErrorMessage="true" showInputMessage="false" sqref="B6" type="custom">
      <formula1>DAY(B6)=1</formula1>
      <formula2>0</formula2>
    </dataValidation>
  </dataValidations>
  <hyperlinks>
    <hyperlink ref="A3" r:id="rId1" location="'Start%20Here'!A1" display="← Start Here"/>
    <hyperlink ref="A31" r:id="rId2" location="'Assumptions'!A1" display="Assumptions"/>
    <hyperlink ref="A32" r:id="rId3" location="'Sources'!A1" display="Sources"/>
    <hyperlink ref="A33" r:id="rId4" location="'Staffing'!A1" display="Staffing"/>
    <hyperlink ref="A34" r:id="rId5" location="'Nonlabor'!A1" display="Nonlabor"/>
    <hyperlink ref="A35" r:id="rId6" location="'Requirements'!A1" display="Requirements"/>
    <hyperlink ref="A36" r:id="rId7" location="'Migration%20WBS'!A1" display="Migration WBS"/>
    <hyperlink ref="A37" r:id="rId8" location="'Architecture'!A1" display="Architecture"/>
    <hyperlink ref="A38" r:id="rId9" location="'Roadmap'!A1" display="Roadmap"/>
    <hyperlink ref="A39" r:id="rId10" location="'Risks%20and%20Funding'!A1" display="Risks and Funding"/>
    <hyperlink ref="A40" r:id="rId11" location="'Staff%20Months'!A1" display="Staff Months"/>
    <hyperlink ref="A41" r:id="rId12" location="'Monthly%20Lean'!A1" display="Monthly Lean"/>
    <hyperlink ref="A42" r:id="rId13" location="'Monthly%20Base'!A1" display="Monthly Base"/>
    <hyperlink ref="A43" r:id="rId14" location="'Monthly%20Growth'!A1" display="Monthly Growth"/>
    <hyperlink ref="A44" r:id="rId15" location="'Monthly%20Model'!A1" display="Monthly Model"/>
    <hyperlink ref="A45" r:id="rId16" location="'Vendor%20Months'!A1" display="Vendor Months"/>
    <hyperlink ref="A46" r:id="rId17" location="'Annual%20Summary'!A1" display="Annual Summary"/>
    <hyperlink ref="A47" r:id="rId18" location="'Scenario%20Comparison'!A1" display="Scenario Comparison"/>
    <hyperlink ref="A48" r:id="rId19" location="'Charts'!A1" display="Char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6" min="3" style="0" width="20"/>
    <col collapsed="false" customWidth="true" hidden="false" outlineLevel="0" max="7" min="7" style="0" width="74"/>
    <col collapsed="false" customWidth="true" hidden="false" outlineLevel="0" max="8" min="8" style="0" width="20"/>
  </cols>
  <sheetData>
    <row r="1" customFormat="false" ht="28.5" hidden="false" customHeight="true" outlineLevel="0" collapsed="false">
      <c r="A1" s="1" t="s">
        <v>68</v>
      </c>
    </row>
    <row r="2" customFormat="false" ht="43.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70</v>
      </c>
      <c r="B5" s="13" t="s">
        <v>71</v>
      </c>
      <c r="C5" s="13" t="s">
        <v>72</v>
      </c>
      <c r="D5" s="13" t="s">
        <v>4</v>
      </c>
      <c r="E5" s="13" t="s">
        <v>73</v>
      </c>
      <c r="F5" s="13" t="s">
        <v>74</v>
      </c>
      <c r="G5" s="13" t="s">
        <v>75</v>
      </c>
      <c r="H5" s="13" t="s">
        <v>76</v>
      </c>
    </row>
    <row r="6" customFormat="false" ht="15" hidden="false" customHeight="false" outlineLevel="0" collapsed="false">
      <c r="A6" s="6" t="s">
        <v>77</v>
      </c>
      <c r="B6" s="6" t="s">
        <v>78</v>
      </c>
      <c r="C6" s="14" t="n">
        <v>500000</v>
      </c>
      <c r="D6" s="14" t="n">
        <v>1000000</v>
      </c>
      <c r="E6" s="14" t="n">
        <v>2000000</v>
      </c>
      <c r="F6" s="6" t="s">
        <v>79</v>
      </c>
      <c r="G6" s="6" t="s">
        <v>80</v>
      </c>
      <c r="H6" s="10" t="n">
        <f aca="false">INDEX(C6:E6,1,MATCH('Start Here'!$B$5,$C$5:$E$5,0))</f>
        <v>1000000</v>
      </c>
    </row>
    <row r="7" customFormat="false" ht="15" hidden="false" customHeight="false" outlineLevel="0" collapsed="false">
      <c r="A7" s="6" t="s">
        <v>81</v>
      </c>
      <c r="B7" s="6" t="s">
        <v>82</v>
      </c>
      <c r="C7" s="15" t="n">
        <v>13</v>
      </c>
      <c r="D7" s="15" t="n">
        <v>13</v>
      </c>
      <c r="E7" s="15" t="n">
        <v>10</v>
      </c>
      <c r="F7" s="6" t="s">
        <v>83</v>
      </c>
      <c r="G7" s="6" t="s">
        <v>84</v>
      </c>
      <c r="H7" s="11" t="n">
        <f aca="false">INDEX(C7:E7,1,MATCH('Start Here'!$B$5,$C$5:$E$5,0))</f>
        <v>13</v>
      </c>
    </row>
    <row r="8" customFormat="false" ht="15" hidden="false" customHeight="false" outlineLevel="0" collapsed="false">
      <c r="A8" s="6" t="s">
        <v>85</v>
      </c>
      <c r="B8" s="6" t="s">
        <v>86</v>
      </c>
      <c r="C8" s="14" t="n">
        <v>1000000</v>
      </c>
      <c r="D8" s="14" t="n">
        <v>3000000</v>
      </c>
      <c r="E8" s="14" t="n">
        <v>6000000</v>
      </c>
      <c r="F8" s="6" t="s">
        <v>79</v>
      </c>
      <c r="G8" s="6" t="s">
        <v>87</v>
      </c>
      <c r="H8" s="10" t="n">
        <f aca="false">INDEX(C8:E8,1,MATCH('Start Here'!$B$5,$C$5:$E$5,0))</f>
        <v>3000000</v>
      </c>
    </row>
    <row r="9" customFormat="false" ht="15" hidden="false" customHeight="false" outlineLevel="0" collapsed="false">
      <c r="A9" s="6" t="s">
        <v>88</v>
      </c>
      <c r="B9" s="6" t="s">
        <v>89</v>
      </c>
      <c r="C9" s="16" t="n">
        <v>0.03</v>
      </c>
      <c r="D9" s="16" t="n">
        <v>0.03</v>
      </c>
      <c r="E9" s="16" t="n">
        <v>0.04</v>
      </c>
      <c r="F9" s="6" t="s">
        <v>90</v>
      </c>
      <c r="G9" s="6" t="s">
        <v>91</v>
      </c>
      <c r="H9" s="17" t="n">
        <f aca="false">INDEX(C9:E9,1,MATCH('Start Here'!$B$5,$C$5:$E$5,0))</f>
        <v>0.03</v>
      </c>
    </row>
    <row r="10" customFormat="false" ht="15" hidden="false" customHeight="false" outlineLevel="0" collapsed="false">
      <c r="A10" s="6" t="s">
        <v>92</v>
      </c>
      <c r="B10" s="6" t="s">
        <v>93</v>
      </c>
      <c r="C10" s="16" t="n">
        <v>0.03</v>
      </c>
      <c r="D10" s="16" t="n">
        <v>0.04</v>
      </c>
      <c r="E10" s="16" t="n">
        <v>0.05</v>
      </c>
      <c r="F10" s="6" t="s">
        <v>90</v>
      </c>
      <c r="G10" s="6" t="s">
        <v>94</v>
      </c>
      <c r="H10" s="17" t="n">
        <f aca="false">INDEX(C10:E10,1,MATCH('Start Here'!$B$5,$C$5:$E$5,0))</f>
        <v>0.04</v>
      </c>
    </row>
    <row r="11" customFormat="false" ht="15" hidden="false" customHeight="false" outlineLevel="0" collapsed="false">
      <c r="A11" s="6" t="s">
        <v>95</v>
      </c>
      <c r="B11" s="6" t="s">
        <v>96</v>
      </c>
      <c r="C11" s="16" t="n">
        <v>0.4</v>
      </c>
      <c r="D11" s="16" t="n">
        <v>0.4</v>
      </c>
      <c r="E11" s="16" t="n">
        <v>0.4</v>
      </c>
      <c r="F11" s="6" t="s">
        <v>90</v>
      </c>
      <c r="G11" s="6" t="s">
        <v>97</v>
      </c>
      <c r="H11" s="17" t="n">
        <f aca="false">INDEX(C11:E11,1,MATCH('Start Here'!$B$5,$C$5:$E$5,0))</f>
        <v>0.4</v>
      </c>
    </row>
    <row r="12" customFormat="false" ht="15" hidden="false" customHeight="false" outlineLevel="0" collapsed="false">
      <c r="A12" s="6" t="s">
        <v>98</v>
      </c>
      <c r="B12" s="6" t="s">
        <v>99</v>
      </c>
      <c r="C12" s="16" t="n">
        <v>0.1</v>
      </c>
      <c r="D12" s="16" t="n">
        <v>0.15</v>
      </c>
      <c r="E12" s="16" t="n">
        <v>0.2</v>
      </c>
      <c r="F12" s="6" t="s">
        <v>90</v>
      </c>
      <c r="G12" s="6" t="s">
        <v>100</v>
      </c>
      <c r="H12" s="17" t="n">
        <f aca="false">INDEX(C12:E12,1,MATCH('Start Here'!$B$5,$C$5:$E$5,0))</f>
        <v>0.15</v>
      </c>
    </row>
    <row r="13" customFormat="false" ht="15" hidden="false" customHeight="false" outlineLevel="0" collapsed="false">
      <c r="A13" s="6" t="s">
        <v>101</v>
      </c>
      <c r="B13" s="6" t="s">
        <v>102</v>
      </c>
      <c r="C13" s="15" t="n">
        <v>16</v>
      </c>
      <c r="D13" s="15" t="n">
        <v>13</v>
      </c>
      <c r="E13" s="15" t="n">
        <v>12</v>
      </c>
      <c r="F13" s="6" t="s">
        <v>83</v>
      </c>
      <c r="G13" s="6" t="s">
        <v>103</v>
      </c>
      <c r="H13" s="11" t="n">
        <f aca="false">INDEX(C13:E13,1,MATCH('Start Here'!$B$5,$C$5:$E$5,0))</f>
        <v>13</v>
      </c>
    </row>
    <row r="14" customFormat="false" ht="15" hidden="false" customHeight="false" outlineLevel="0" collapsed="false">
      <c r="A14" s="6" t="s">
        <v>104</v>
      </c>
      <c r="B14" s="6" t="s">
        <v>105</v>
      </c>
      <c r="C14" s="15" t="n">
        <v>0.5</v>
      </c>
      <c r="D14" s="15" t="n">
        <v>1</v>
      </c>
      <c r="E14" s="15" t="n">
        <v>2</v>
      </c>
      <c r="F14" s="6" t="s">
        <v>106</v>
      </c>
      <c r="G14" s="6" t="s">
        <v>107</v>
      </c>
      <c r="H14" s="11" t="n">
        <f aca="false">INDEX(C14:E14,1,MATCH('Start Here'!$B$5,$C$5:$E$5,0))</f>
        <v>1</v>
      </c>
    </row>
    <row r="15" customFormat="false" ht="15" hidden="false" customHeight="false" outlineLevel="0" collapsed="false">
      <c r="A15" s="6" t="s">
        <v>108</v>
      </c>
      <c r="B15" s="6" t="s">
        <v>109</v>
      </c>
      <c r="C15" s="16" t="n">
        <v>0.25</v>
      </c>
      <c r="D15" s="16" t="n">
        <v>0.5</v>
      </c>
      <c r="E15" s="16" t="n">
        <v>0.7</v>
      </c>
      <c r="F15" s="6" t="s">
        <v>90</v>
      </c>
      <c r="G15" s="6" t="s">
        <v>110</v>
      </c>
      <c r="H15" s="17" t="n">
        <f aca="false">INDEX(C15:E15,1,MATCH('Start Here'!$B$5,$C$5:$E$5,0))</f>
        <v>0.5</v>
      </c>
    </row>
    <row r="16" customFormat="false" ht="15" hidden="false" customHeight="false" outlineLevel="0" collapsed="false">
      <c r="A16" s="6" t="s">
        <v>111</v>
      </c>
      <c r="B16" s="6" t="s">
        <v>112</v>
      </c>
      <c r="C16" s="16" t="n">
        <v>0.015</v>
      </c>
      <c r="D16" s="16" t="n">
        <v>0.01</v>
      </c>
      <c r="E16" s="16" t="n">
        <v>0.01</v>
      </c>
      <c r="F16" s="6" t="s">
        <v>90</v>
      </c>
      <c r="G16" s="6" t="s">
        <v>113</v>
      </c>
      <c r="H16" s="17" t="n">
        <f aca="false">INDEX(C16:E16,1,MATCH('Start Here'!$B$5,$C$5:$E$5,0))</f>
        <v>0.01</v>
      </c>
    </row>
    <row r="17" customFormat="false" ht="15" hidden="false" customHeight="false" outlineLevel="0" collapsed="false">
      <c r="A17" s="6" t="s">
        <v>114</v>
      </c>
      <c r="B17" s="6" t="s">
        <v>115</v>
      </c>
      <c r="C17" s="14" t="n">
        <v>500</v>
      </c>
      <c r="D17" s="14" t="n">
        <v>900</v>
      </c>
      <c r="E17" s="14" t="n">
        <v>1400</v>
      </c>
      <c r="F17" s="6" t="s">
        <v>116</v>
      </c>
      <c r="G17" s="6" t="s">
        <v>117</v>
      </c>
      <c r="H17" s="10" t="n">
        <f aca="false">INDEX(C17:E17,1,MATCH('Start Here'!$B$5,$C$5:$E$5,0))</f>
        <v>900</v>
      </c>
    </row>
    <row r="18" customFormat="false" ht="15" hidden="false" customHeight="false" outlineLevel="0" collapsed="false">
      <c r="A18" s="6" t="s">
        <v>118</v>
      </c>
      <c r="B18" s="6" t="s">
        <v>119</v>
      </c>
      <c r="C18" s="15" t="n">
        <v>8</v>
      </c>
      <c r="D18" s="15" t="n">
        <v>15</v>
      </c>
      <c r="E18" s="15" t="n">
        <v>25</v>
      </c>
      <c r="F18" s="6" t="s">
        <v>118</v>
      </c>
      <c r="G18" s="6" t="s">
        <v>120</v>
      </c>
      <c r="H18" s="11" t="n">
        <f aca="false">INDEX(C18:E18,1,MATCH('Start Here'!$B$5,$C$5:$E$5,0))</f>
        <v>15</v>
      </c>
    </row>
    <row r="19" customFormat="false" ht="15" hidden="false" customHeight="false" outlineLevel="0" collapsed="false">
      <c r="A19" s="6" t="s">
        <v>121</v>
      </c>
      <c r="B19" s="6" t="s">
        <v>122</v>
      </c>
      <c r="C19" s="15" t="n">
        <v>100</v>
      </c>
      <c r="D19" s="15" t="n">
        <v>150</v>
      </c>
      <c r="E19" s="15" t="n">
        <v>250</v>
      </c>
      <c r="F19" s="6" t="s">
        <v>121</v>
      </c>
      <c r="G19" s="6" t="s">
        <v>123</v>
      </c>
      <c r="H19" s="11" t="n">
        <f aca="false">INDEX(C19:E19,1,MATCH('Start Here'!$B$5,$C$5:$E$5,0))</f>
        <v>150</v>
      </c>
    </row>
    <row r="20" customFormat="false" ht="15" hidden="false" customHeight="false" outlineLevel="0" collapsed="false">
      <c r="A20" s="6" t="s">
        <v>124</v>
      </c>
      <c r="B20" s="6" t="s">
        <v>125</v>
      </c>
      <c r="C20" s="15" t="n">
        <v>2</v>
      </c>
      <c r="D20" s="15" t="n">
        <v>5</v>
      </c>
      <c r="E20" s="15" t="n">
        <v>10</v>
      </c>
      <c r="F20" s="6" t="s">
        <v>126</v>
      </c>
      <c r="G20" s="6" t="s">
        <v>127</v>
      </c>
      <c r="H20" s="11" t="n">
        <f aca="false">INDEX(C20:E20,1,MATCH('Start Here'!$B$5,$C$5:$E$5,0))</f>
        <v>5</v>
      </c>
    </row>
    <row r="21" customFormat="false" ht="15" hidden="false" customHeight="false" outlineLevel="0" collapsed="false">
      <c r="A21" s="6" t="s">
        <v>128</v>
      </c>
      <c r="B21" s="6" t="s">
        <v>129</v>
      </c>
      <c r="C21" s="15" t="n">
        <v>0.5</v>
      </c>
      <c r="D21" s="15" t="n">
        <v>1</v>
      </c>
      <c r="E21" s="15" t="n">
        <v>2</v>
      </c>
      <c r="F21" s="6" t="s">
        <v>126</v>
      </c>
      <c r="G21" s="6" t="s">
        <v>130</v>
      </c>
      <c r="H21" s="11" t="n">
        <f aca="false">INDEX(C21:E21,1,MATCH('Start Here'!$B$5,$C$5:$E$5,0))</f>
        <v>1</v>
      </c>
    </row>
    <row r="22" customFormat="false" ht="15" hidden="false" customHeight="false" outlineLevel="0" collapsed="false">
      <c r="A22" s="6" t="s">
        <v>131</v>
      </c>
      <c r="B22" s="6" t="s">
        <v>132</v>
      </c>
      <c r="C22" s="15" t="n">
        <v>100000</v>
      </c>
      <c r="D22" s="15" t="n">
        <v>300000</v>
      </c>
      <c r="E22" s="15" t="n">
        <v>1000000</v>
      </c>
      <c r="F22" s="6" t="s">
        <v>133</v>
      </c>
      <c r="G22" s="6" t="s">
        <v>134</v>
      </c>
      <c r="H22" s="11" t="n">
        <f aca="false">INDEX(C22:E22,1,MATCH('Start Here'!$B$5,$C$5:$E$5,0))</f>
        <v>300000</v>
      </c>
    </row>
    <row r="23" customFormat="false" ht="15" hidden="false" customHeight="false" outlineLevel="0" collapsed="false">
      <c r="A23" s="6" t="s">
        <v>135</v>
      </c>
      <c r="B23" s="6" t="s">
        <v>136</v>
      </c>
      <c r="C23" s="15" t="n">
        <v>20000</v>
      </c>
      <c r="D23" s="15" t="n">
        <v>60000</v>
      </c>
      <c r="E23" s="15" t="n">
        <v>200000</v>
      </c>
      <c r="F23" s="6" t="s">
        <v>133</v>
      </c>
      <c r="G23" s="6" t="s">
        <v>137</v>
      </c>
      <c r="H23" s="11" t="n">
        <f aca="false">INDEX(C23:E23,1,MATCH('Start Here'!$B$5,$C$5:$E$5,0))</f>
        <v>60000</v>
      </c>
    </row>
    <row r="24" customFormat="false" ht="15" hidden="false" customHeight="false" outlineLevel="0" collapsed="false">
      <c r="A24" s="6" t="s">
        <v>138</v>
      </c>
      <c r="B24" s="6" t="s">
        <v>139</v>
      </c>
      <c r="C24" s="15" t="n">
        <v>19</v>
      </c>
      <c r="D24" s="15" t="n">
        <v>16</v>
      </c>
      <c r="E24" s="15" t="n">
        <v>16</v>
      </c>
      <c r="F24" s="6" t="s">
        <v>83</v>
      </c>
      <c r="G24" s="6" t="s">
        <v>140</v>
      </c>
      <c r="H24" s="11" t="n">
        <f aca="false">INDEX(C24:E24,1,MATCH('Start Here'!$B$5,$C$5:$E$5,0))</f>
        <v>16</v>
      </c>
    </row>
    <row r="25" customFormat="false" ht="23.85" hidden="false" customHeight="false" outlineLevel="0" collapsed="false">
      <c r="A25" s="6" t="s">
        <v>141</v>
      </c>
      <c r="B25" s="6" t="s">
        <v>142</v>
      </c>
      <c r="C25" s="15" t="n">
        <v>31</v>
      </c>
      <c r="D25" s="15" t="n">
        <v>25</v>
      </c>
      <c r="E25" s="15" t="n">
        <v>25</v>
      </c>
      <c r="F25" s="6" t="s">
        <v>83</v>
      </c>
      <c r="G25" s="6" t="s">
        <v>143</v>
      </c>
      <c r="H25" s="11" t="n">
        <f aca="false">INDEX(C25:E25,1,MATCH('Start Here'!$B$5,$C$5:$E$5,0))</f>
        <v>25</v>
      </c>
    </row>
    <row r="26" customFormat="false" ht="15" hidden="false" customHeight="false" outlineLevel="0" collapsed="false">
      <c r="A26" s="6" t="s">
        <v>144</v>
      </c>
      <c r="B26" s="6" t="s">
        <v>145</v>
      </c>
      <c r="C26" s="14" t="n">
        <v>150000</v>
      </c>
      <c r="D26" s="14" t="n">
        <v>180000</v>
      </c>
      <c r="E26" s="14" t="n">
        <v>200000</v>
      </c>
      <c r="F26" s="6" t="s">
        <v>146</v>
      </c>
      <c r="G26" s="6" t="s">
        <v>147</v>
      </c>
      <c r="H26" s="10" t="n">
        <f aca="false">INDEX(C26:E26,1,MATCH('Start Here'!$B$5,$C$5:$E$5,0))</f>
        <v>180000</v>
      </c>
    </row>
    <row r="27" customFormat="false" ht="15" hidden="false" customHeight="false" outlineLevel="0" collapsed="false">
      <c r="A27" s="6" t="s">
        <v>148</v>
      </c>
      <c r="B27" s="6" t="s">
        <v>149</v>
      </c>
      <c r="C27" s="14" t="n">
        <v>5000</v>
      </c>
      <c r="D27" s="14" t="n">
        <v>8000</v>
      </c>
      <c r="E27" s="14" t="n">
        <v>12000</v>
      </c>
      <c r="F27" s="6" t="s">
        <v>150</v>
      </c>
      <c r="G27" s="6" t="s">
        <v>151</v>
      </c>
      <c r="H27" s="10" t="n">
        <f aca="false">INDEX(C27:E27,1,MATCH('Start Here'!$B$5,$C$5:$E$5,0))</f>
        <v>8000</v>
      </c>
    </row>
    <row r="28" customFormat="false" ht="15" hidden="false" customHeight="false" outlineLevel="0" collapsed="false">
      <c r="A28" s="6" t="s">
        <v>152</v>
      </c>
      <c r="B28" s="6" t="s">
        <v>153</v>
      </c>
      <c r="C28" s="14" t="n">
        <v>2500</v>
      </c>
      <c r="D28" s="14" t="n">
        <v>3000</v>
      </c>
      <c r="E28" s="14" t="n">
        <v>3500</v>
      </c>
      <c r="F28" s="6" t="s">
        <v>150</v>
      </c>
      <c r="G28" s="6" t="s">
        <v>154</v>
      </c>
      <c r="H28" s="10" t="n">
        <f aca="false">INDEX(C28:E28,1,MATCH('Start Here'!$B$5,$C$5:$E$5,0))</f>
        <v>3000</v>
      </c>
    </row>
    <row r="29" customFormat="false" ht="15" hidden="false" customHeight="false" outlineLevel="0" collapsed="false">
      <c r="A29" s="6" t="s">
        <v>155</v>
      </c>
      <c r="B29" s="6" t="s">
        <v>156</v>
      </c>
      <c r="C29" s="16" t="n">
        <v>0.03</v>
      </c>
      <c r="D29" s="16" t="n">
        <v>0.03</v>
      </c>
      <c r="E29" s="16" t="n">
        <v>0.03</v>
      </c>
      <c r="F29" s="6" t="s">
        <v>90</v>
      </c>
      <c r="G29" s="6" t="s">
        <v>157</v>
      </c>
      <c r="H29" s="17" t="n">
        <f aca="false">INDEX(C29:E29,1,MATCH('Start Here'!$B$5,$C$5:$E$5,0))</f>
        <v>0.03</v>
      </c>
    </row>
    <row r="30" customFormat="false" ht="15" hidden="false" customHeight="false" outlineLevel="0" collapsed="false">
      <c r="A30" s="6" t="s">
        <v>158</v>
      </c>
      <c r="B30" s="6" t="s">
        <v>159</v>
      </c>
      <c r="C30" s="15" t="n">
        <v>2</v>
      </c>
      <c r="D30" s="15" t="n">
        <v>2</v>
      </c>
      <c r="E30" s="15" t="n">
        <v>2</v>
      </c>
      <c r="F30" s="6" t="s">
        <v>160</v>
      </c>
      <c r="G30" s="6" t="s">
        <v>161</v>
      </c>
      <c r="H30" s="11" t="n">
        <f aca="false">INDEX(C30:E30,1,MATCH('Start Here'!$B$5,$C$5:$E$5,0))</f>
        <v>2</v>
      </c>
    </row>
  </sheetData>
  <autoFilter ref="A5:H30"/>
  <mergeCells count="1">
    <mergeCell ref="A2:H2"/>
  </mergeCells>
  <dataValidations count="3">
    <dataValidation allowBlank="false" error="Enter a value between 0 and 1000000000.0." errorStyle="stop" operator="between" showDropDown="false" showErrorMessage="true" showInputMessage="false" sqref="C6:E6 C8:E8 C14:E14 C17:E23 C26:E28 C30:E30" type="decimal">
      <formula1>0</formula1>
      <formula2>1000000000</formula2>
    </dataValidation>
    <dataValidation allowBlank="false" error="Enter a value between 0 and 60." errorStyle="stop" operator="between" showDropDown="false" showErrorMessage="true" showInputMessage="false" sqref="C7:E7 C13:E13 C24:E25" type="decimal">
      <formula1>0</formula1>
      <formula2>60</formula2>
    </dataValidation>
    <dataValidation allowBlank="false" error="Enter a value between 0 and 1." errorStyle="stop" operator="between" showDropDown="false" showErrorMessage="true" showInputMessage="false" sqref="C9:E12 C15:E16 C29:E29" type="decimal">
      <formula1>0</formula1>
      <formula2>1</formula2>
    </dataValidation>
  </dataValidation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4" min="4" style="0" width="65"/>
    <col collapsed="false" customWidth="true" hidden="false" outlineLevel="0" max="13" min="5" style="0" width="20"/>
    <col collapsed="false" customWidth="true" hidden="false" outlineLevel="0" max="14" min="14" style="0" width="80"/>
    <col collapsed="false" customWidth="true" hidden="false" outlineLevel="0" max="15" min="15" style="0" width="65"/>
    <col collapsed="false" customWidth="true" hidden="false" outlineLevel="0" max="16" min="16" style="0" width="20"/>
  </cols>
  <sheetData>
    <row r="1" customFormat="false" ht="28.5" hidden="false" customHeight="true" outlineLevel="0" collapsed="false">
      <c r="A1" s="1" t="s">
        <v>162</v>
      </c>
    </row>
    <row r="2" customFormat="false" ht="43.5" hidden="false" customHeight="true" outlineLevel="0" collapsed="false">
      <c r="A2" s="2" t="s">
        <v>163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164</v>
      </c>
      <c r="B5" s="13" t="s">
        <v>165</v>
      </c>
      <c r="C5" s="13" t="s">
        <v>166</v>
      </c>
      <c r="D5" s="13" t="s">
        <v>167</v>
      </c>
      <c r="E5" s="13" t="s">
        <v>168</v>
      </c>
      <c r="F5" s="13" t="s">
        <v>169</v>
      </c>
      <c r="G5" s="13" t="s">
        <v>170</v>
      </c>
      <c r="H5" s="13" t="s">
        <v>171</v>
      </c>
      <c r="I5" s="13" t="s">
        <v>74</v>
      </c>
      <c r="J5" s="13" t="s">
        <v>172</v>
      </c>
      <c r="K5" s="13" t="s">
        <v>173</v>
      </c>
      <c r="L5" s="13" t="s">
        <v>174</v>
      </c>
      <c r="M5" s="13" t="s">
        <v>175</v>
      </c>
      <c r="N5" s="13" t="s">
        <v>176</v>
      </c>
      <c r="O5" s="13" t="s">
        <v>177</v>
      </c>
      <c r="P5" s="13" t="s">
        <v>178</v>
      </c>
    </row>
    <row r="6" customFormat="false" ht="23.85" hidden="false" customHeight="false" outlineLevel="0" collapsed="false">
      <c r="A6" s="6" t="s">
        <v>179</v>
      </c>
      <c r="B6" s="6" t="s">
        <v>180</v>
      </c>
      <c r="C6" s="6" t="s">
        <v>181</v>
      </c>
      <c r="D6" s="6"/>
      <c r="E6" s="6" t="s">
        <v>182</v>
      </c>
      <c r="F6" s="6" t="s">
        <v>183</v>
      </c>
      <c r="G6" s="6" t="s">
        <v>79</v>
      </c>
      <c r="H6" s="6" t="s">
        <v>184</v>
      </c>
      <c r="I6" s="6" t="s">
        <v>185</v>
      </c>
      <c r="J6" s="6"/>
      <c r="K6" s="6"/>
      <c r="L6" s="18" t="s">
        <v>186</v>
      </c>
      <c r="M6" s="6" t="s">
        <v>187</v>
      </c>
      <c r="N6" s="6" t="s">
        <v>188</v>
      </c>
      <c r="O6" s="6" t="s">
        <v>189</v>
      </c>
      <c r="P6" s="6" t="s">
        <v>190</v>
      </c>
    </row>
    <row r="7" customFormat="false" ht="35.05" hidden="false" customHeight="false" outlineLevel="0" collapsed="false">
      <c r="A7" s="6" t="s">
        <v>191</v>
      </c>
      <c r="B7" s="6" t="s">
        <v>192</v>
      </c>
      <c r="C7" s="6" t="s">
        <v>193</v>
      </c>
      <c r="D7" s="19" t="s">
        <v>194</v>
      </c>
      <c r="E7" s="6" t="s">
        <v>182</v>
      </c>
      <c r="F7" s="6" t="s">
        <v>195</v>
      </c>
      <c r="G7" s="6" t="s">
        <v>79</v>
      </c>
      <c r="H7" s="6" t="s">
        <v>196</v>
      </c>
      <c r="I7" s="6" t="s">
        <v>197</v>
      </c>
      <c r="J7" s="6" t="n">
        <v>133080</v>
      </c>
      <c r="K7" s="6"/>
      <c r="L7" s="18" t="s">
        <v>198</v>
      </c>
      <c r="M7" s="6" t="s">
        <v>199</v>
      </c>
      <c r="N7" s="6" t="s">
        <v>200</v>
      </c>
      <c r="O7" s="6" t="s">
        <v>201</v>
      </c>
      <c r="P7" s="6" t="s">
        <v>202</v>
      </c>
    </row>
    <row r="8" customFormat="false" ht="35.05" hidden="false" customHeight="false" outlineLevel="0" collapsed="false">
      <c r="A8" s="6" t="s">
        <v>203</v>
      </c>
      <c r="B8" s="6" t="s">
        <v>192</v>
      </c>
      <c r="C8" s="6" t="s">
        <v>204</v>
      </c>
      <c r="D8" s="19" t="s">
        <v>205</v>
      </c>
      <c r="E8" s="6" t="s">
        <v>182</v>
      </c>
      <c r="F8" s="6" t="s">
        <v>206</v>
      </c>
      <c r="G8" s="6" t="s">
        <v>79</v>
      </c>
      <c r="H8" s="6" t="s">
        <v>196</v>
      </c>
      <c r="I8" s="6" t="s">
        <v>197</v>
      </c>
      <c r="J8" s="6"/>
      <c r="K8" s="6" t="n">
        <v>110000</v>
      </c>
      <c r="L8" s="18" t="s">
        <v>198</v>
      </c>
      <c r="M8" s="6" t="s">
        <v>187</v>
      </c>
      <c r="N8" s="6" t="s">
        <v>207</v>
      </c>
      <c r="O8" s="6" t="s">
        <v>208</v>
      </c>
      <c r="P8" s="6" t="s">
        <v>209</v>
      </c>
    </row>
    <row r="9" customFormat="false" ht="35.05" hidden="false" customHeight="false" outlineLevel="0" collapsed="false">
      <c r="A9" s="6" t="s">
        <v>210</v>
      </c>
      <c r="B9" s="6" t="s">
        <v>192</v>
      </c>
      <c r="C9" s="6" t="s">
        <v>211</v>
      </c>
      <c r="D9" s="19" t="s">
        <v>212</v>
      </c>
      <c r="E9" s="6" t="s">
        <v>182</v>
      </c>
      <c r="F9" s="6" t="s">
        <v>213</v>
      </c>
      <c r="G9" s="6" t="s">
        <v>79</v>
      </c>
      <c r="H9" s="6" t="s">
        <v>214</v>
      </c>
      <c r="I9" s="6" t="s">
        <v>215</v>
      </c>
      <c r="J9" s="6"/>
      <c r="K9" s="6" t="n">
        <v>0.4</v>
      </c>
      <c r="L9" s="18" t="s">
        <v>198</v>
      </c>
      <c r="M9" s="6" t="s">
        <v>187</v>
      </c>
      <c r="N9" s="6" t="s">
        <v>216</v>
      </c>
      <c r="O9" s="6" t="s">
        <v>217</v>
      </c>
      <c r="P9" s="6" t="s">
        <v>190</v>
      </c>
    </row>
    <row r="10" customFormat="false" ht="35.05" hidden="false" customHeight="false" outlineLevel="0" collapsed="false">
      <c r="A10" s="6" t="s">
        <v>218</v>
      </c>
      <c r="B10" s="6" t="s">
        <v>219</v>
      </c>
      <c r="C10" s="6" t="s">
        <v>220</v>
      </c>
      <c r="D10" s="19" t="s">
        <v>221</v>
      </c>
      <c r="E10" s="6" t="s">
        <v>182</v>
      </c>
      <c r="F10" s="6" t="s">
        <v>222</v>
      </c>
      <c r="G10" s="6" t="s">
        <v>79</v>
      </c>
      <c r="H10" s="6" t="s">
        <v>223</v>
      </c>
      <c r="I10" s="6" t="s">
        <v>224</v>
      </c>
      <c r="J10" s="6" t="n">
        <v>4</v>
      </c>
      <c r="K10" s="6" t="n">
        <v>4</v>
      </c>
      <c r="L10" s="6" t="s">
        <v>225</v>
      </c>
      <c r="M10" s="6" t="s">
        <v>226</v>
      </c>
      <c r="N10" s="6" t="s">
        <v>227</v>
      </c>
      <c r="O10" s="6" t="s">
        <v>228</v>
      </c>
      <c r="P10" s="6" t="s">
        <v>229</v>
      </c>
    </row>
    <row r="11" customFormat="false" ht="23.85" hidden="false" customHeight="false" outlineLevel="0" collapsed="false">
      <c r="A11" s="6" t="s">
        <v>230</v>
      </c>
      <c r="B11" s="6" t="s">
        <v>231</v>
      </c>
      <c r="C11" s="6" t="s">
        <v>232</v>
      </c>
      <c r="D11" s="19" t="s">
        <v>233</v>
      </c>
      <c r="E11" s="6" t="s">
        <v>182</v>
      </c>
      <c r="F11" s="6" t="s">
        <v>234</v>
      </c>
      <c r="G11" s="6" t="s">
        <v>79</v>
      </c>
      <c r="H11" s="6" t="s">
        <v>235</v>
      </c>
      <c r="I11" s="6" t="s">
        <v>236</v>
      </c>
      <c r="J11" s="6"/>
      <c r="K11" s="6" t="n">
        <v>400</v>
      </c>
      <c r="L11" s="18" t="s">
        <v>237</v>
      </c>
      <c r="M11" s="6" t="s">
        <v>187</v>
      </c>
      <c r="N11" s="6" t="s">
        <v>238</v>
      </c>
      <c r="O11" s="6" t="s">
        <v>239</v>
      </c>
      <c r="P11" s="6" t="s">
        <v>240</v>
      </c>
    </row>
    <row r="12" customFormat="false" ht="23.85" hidden="false" customHeight="false" outlineLevel="0" collapsed="false">
      <c r="A12" s="6" t="s">
        <v>241</v>
      </c>
      <c r="B12" s="6" t="s">
        <v>231</v>
      </c>
      <c r="C12" s="6" t="s">
        <v>242</v>
      </c>
      <c r="D12" s="19" t="s">
        <v>243</v>
      </c>
      <c r="E12" s="6" t="s">
        <v>182</v>
      </c>
      <c r="F12" s="6" t="s">
        <v>244</v>
      </c>
      <c r="G12" s="6" t="s">
        <v>79</v>
      </c>
      <c r="H12" s="6" t="s">
        <v>235</v>
      </c>
      <c r="I12" s="6" t="s">
        <v>245</v>
      </c>
      <c r="J12" s="6"/>
      <c r="K12" s="6" t="n">
        <v>600</v>
      </c>
      <c r="L12" s="18" t="s">
        <v>237</v>
      </c>
      <c r="M12" s="6" t="s">
        <v>187</v>
      </c>
      <c r="N12" s="6" t="s">
        <v>246</v>
      </c>
      <c r="O12" s="6" t="s">
        <v>247</v>
      </c>
      <c r="P12" s="6" t="s">
        <v>240</v>
      </c>
    </row>
    <row r="13" customFormat="false" ht="23.85" hidden="false" customHeight="false" outlineLevel="0" collapsed="false">
      <c r="A13" s="6" t="s">
        <v>248</v>
      </c>
      <c r="B13" s="6" t="s">
        <v>231</v>
      </c>
      <c r="C13" s="6" t="s">
        <v>249</v>
      </c>
      <c r="D13" s="19" t="s">
        <v>250</v>
      </c>
      <c r="E13" s="6" t="s">
        <v>182</v>
      </c>
      <c r="F13" s="6" t="s">
        <v>251</v>
      </c>
      <c r="G13" s="6" t="s">
        <v>79</v>
      </c>
      <c r="H13" s="6" t="s">
        <v>252</v>
      </c>
      <c r="I13" s="6" t="s">
        <v>253</v>
      </c>
      <c r="J13" s="6"/>
      <c r="K13" s="6"/>
      <c r="L13" s="18" t="s">
        <v>198</v>
      </c>
      <c r="M13" s="6" t="s">
        <v>254</v>
      </c>
      <c r="N13" s="6" t="s">
        <v>255</v>
      </c>
      <c r="O13" s="6" t="s">
        <v>256</v>
      </c>
      <c r="P13" s="6" t="s">
        <v>257</v>
      </c>
    </row>
    <row r="14" customFormat="false" ht="35.05" hidden="false" customHeight="false" outlineLevel="0" collapsed="false">
      <c r="A14" s="6" t="s">
        <v>258</v>
      </c>
      <c r="B14" s="6" t="s">
        <v>259</v>
      </c>
      <c r="C14" s="6" t="s">
        <v>260</v>
      </c>
      <c r="D14" s="19" t="s">
        <v>261</v>
      </c>
      <c r="E14" s="6" t="s">
        <v>182</v>
      </c>
      <c r="F14" s="6" t="s">
        <v>262</v>
      </c>
      <c r="G14" s="6" t="s">
        <v>79</v>
      </c>
      <c r="H14" s="6" t="s">
        <v>263</v>
      </c>
      <c r="I14" s="6" t="s">
        <v>264</v>
      </c>
      <c r="J14" s="6"/>
      <c r="K14" s="6" t="n">
        <v>1100</v>
      </c>
      <c r="L14" s="18" t="s">
        <v>237</v>
      </c>
      <c r="M14" s="6" t="s">
        <v>187</v>
      </c>
      <c r="N14" s="6" t="s">
        <v>265</v>
      </c>
      <c r="O14" s="6" t="s">
        <v>266</v>
      </c>
      <c r="P14" s="6" t="s">
        <v>267</v>
      </c>
    </row>
    <row r="15" customFormat="false" ht="35.05" hidden="false" customHeight="false" outlineLevel="0" collapsed="false">
      <c r="A15" s="6" t="s">
        <v>268</v>
      </c>
      <c r="B15" s="6" t="s">
        <v>269</v>
      </c>
      <c r="C15" s="6" t="s">
        <v>270</v>
      </c>
      <c r="D15" s="19" t="s">
        <v>271</v>
      </c>
      <c r="E15" s="6" t="s">
        <v>182</v>
      </c>
      <c r="F15" s="6" t="s">
        <v>272</v>
      </c>
      <c r="G15" s="6" t="s">
        <v>79</v>
      </c>
      <c r="H15" s="6" t="s">
        <v>273</v>
      </c>
      <c r="I15" s="6" t="s">
        <v>274</v>
      </c>
      <c r="J15" s="6"/>
      <c r="K15" s="6"/>
      <c r="L15" s="18" t="s">
        <v>198</v>
      </c>
      <c r="M15" s="6" t="s">
        <v>187</v>
      </c>
      <c r="N15" s="6" t="s">
        <v>275</v>
      </c>
      <c r="O15" s="6" t="s">
        <v>276</v>
      </c>
      <c r="P15" s="6" t="s">
        <v>277</v>
      </c>
    </row>
    <row r="16" customFormat="false" ht="23.85" hidden="false" customHeight="false" outlineLevel="0" collapsed="false">
      <c r="A16" s="6" t="s">
        <v>278</v>
      </c>
      <c r="B16" s="6" t="s">
        <v>269</v>
      </c>
      <c r="C16" s="6" t="s">
        <v>279</v>
      </c>
      <c r="D16" s="19" t="s">
        <v>280</v>
      </c>
      <c r="E16" s="6" t="s">
        <v>182</v>
      </c>
      <c r="F16" s="6" t="s">
        <v>281</v>
      </c>
      <c r="G16" s="6" t="s">
        <v>79</v>
      </c>
      <c r="H16" s="6" t="s">
        <v>282</v>
      </c>
      <c r="I16" s="6" t="s">
        <v>283</v>
      </c>
      <c r="J16" s="6"/>
      <c r="K16" s="6"/>
      <c r="L16" s="18" t="s">
        <v>198</v>
      </c>
      <c r="M16" s="6" t="s">
        <v>254</v>
      </c>
      <c r="N16" s="6" t="s">
        <v>284</v>
      </c>
      <c r="O16" s="6" t="s">
        <v>285</v>
      </c>
      <c r="P16" s="6" t="s">
        <v>277</v>
      </c>
    </row>
    <row r="17" customFormat="false" ht="35.05" hidden="false" customHeight="false" outlineLevel="0" collapsed="false">
      <c r="A17" s="6" t="s">
        <v>286</v>
      </c>
      <c r="B17" s="6" t="s">
        <v>192</v>
      </c>
      <c r="C17" s="6" t="s">
        <v>287</v>
      </c>
      <c r="D17" s="19" t="s">
        <v>288</v>
      </c>
      <c r="E17" s="6" t="s">
        <v>182</v>
      </c>
      <c r="F17" s="6" t="s">
        <v>289</v>
      </c>
      <c r="G17" s="6" t="s">
        <v>79</v>
      </c>
      <c r="H17" s="6" t="s">
        <v>196</v>
      </c>
      <c r="I17" s="6" t="s">
        <v>290</v>
      </c>
      <c r="J17" s="6"/>
      <c r="K17" s="6"/>
      <c r="L17" s="18" t="s">
        <v>198</v>
      </c>
      <c r="M17" s="6" t="s">
        <v>187</v>
      </c>
      <c r="N17" s="6" t="s">
        <v>291</v>
      </c>
      <c r="O17" s="6" t="s">
        <v>292</v>
      </c>
      <c r="P17" s="6" t="s">
        <v>209</v>
      </c>
    </row>
    <row r="18" customFormat="false" ht="23.85" hidden="false" customHeight="false" outlineLevel="0" collapsed="false">
      <c r="A18" s="6" t="s">
        <v>293</v>
      </c>
      <c r="B18" s="6" t="s">
        <v>192</v>
      </c>
      <c r="C18" s="6" t="s">
        <v>294</v>
      </c>
      <c r="D18" s="19" t="s">
        <v>295</v>
      </c>
      <c r="E18" s="6" t="s">
        <v>182</v>
      </c>
      <c r="F18" s="6" t="s">
        <v>289</v>
      </c>
      <c r="G18" s="6" t="s">
        <v>79</v>
      </c>
      <c r="H18" s="6" t="s">
        <v>196</v>
      </c>
      <c r="I18" s="6" t="s">
        <v>290</v>
      </c>
      <c r="J18" s="6"/>
      <c r="K18" s="6"/>
      <c r="L18" s="18" t="s">
        <v>198</v>
      </c>
      <c r="M18" s="6" t="s">
        <v>187</v>
      </c>
      <c r="N18" s="6" t="s">
        <v>296</v>
      </c>
      <c r="O18" s="6" t="s">
        <v>297</v>
      </c>
      <c r="P18" s="6" t="s">
        <v>209</v>
      </c>
    </row>
    <row r="19" customFormat="false" ht="23.85" hidden="false" customHeight="false" outlineLevel="0" collapsed="false">
      <c r="A19" s="6" t="s">
        <v>298</v>
      </c>
      <c r="B19" s="6" t="s">
        <v>192</v>
      </c>
      <c r="C19" s="6" t="s">
        <v>299</v>
      </c>
      <c r="D19" s="19" t="s">
        <v>300</v>
      </c>
      <c r="E19" s="6" t="s">
        <v>182</v>
      </c>
      <c r="F19" s="6" t="s">
        <v>289</v>
      </c>
      <c r="G19" s="6" t="s">
        <v>79</v>
      </c>
      <c r="H19" s="6" t="s">
        <v>196</v>
      </c>
      <c r="I19" s="6" t="s">
        <v>290</v>
      </c>
      <c r="J19" s="6"/>
      <c r="K19" s="6" t="n">
        <v>130000</v>
      </c>
      <c r="L19" s="18" t="s">
        <v>198</v>
      </c>
      <c r="M19" s="6" t="s">
        <v>187</v>
      </c>
      <c r="N19" s="6" t="s">
        <v>301</v>
      </c>
      <c r="O19" s="6" t="s">
        <v>302</v>
      </c>
      <c r="P19" s="6" t="s">
        <v>209</v>
      </c>
    </row>
    <row r="20" customFormat="false" ht="35.05" hidden="false" customHeight="false" outlineLevel="0" collapsed="false">
      <c r="A20" s="6" t="s">
        <v>303</v>
      </c>
      <c r="B20" s="6" t="s">
        <v>192</v>
      </c>
      <c r="C20" s="6" t="s">
        <v>304</v>
      </c>
      <c r="D20" s="19" t="s">
        <v>305</v>
      </c>
      <c r="E20" s="6" t="s">
        <v>182</v>
      </c>
      <c r="F20" s="6" t="s">
        <v>289</v>
      </c>
      <c r="G20" s="6" t="s">
        <v>79</v>
      </c>
      <c r="H20" s="6" t="s">
        <v>196</v>
      </c>
      <c r="I20" s="6" t="s">
        <v>290</v>
      </c>
      <c r="J20" s="6"/>
      <c r="K20" s="6" t="n">
        <v>90000</v>
      </c>
      <c r="L20" s="18" t="s">
        <v>198</v>
      </c>
      <c r="M20" s="6" t="s">
        <v>187</v>
      </c>
      <c r="N20" s="6" t="s">
        <v>306</v>
      </c>
      <c r="O20" s="6" t="s">
        <v>307</v>
      </c>
      <c r="P20" s="6" t="s">
        <v>209</v>
      </c>
    </row>
  </sheetData>
  <autoFilter ref="A5:P20"/>
  <mergeCells count="1">
    <mergeCell ref="A2:H2"/>
  </mergeCells>
  <hyperlinks>
    <hyperlink ref="A3" r:id="rId1" location="'Start%20Here'!A1" display="← Start Here"/>
    <hyperlink ref="D7" r:id="rId2" display="https://www.bls.gov/ooh/computer-and-information-technology/software-developers.htm"/>
    <hyperlink ref="D8" r:id="rId3" display="https://www.bls.gov/oes/current/oes151253.htm"/>
    <hyperlink ref="D9" r:id="rId4" display="https://www.bls.gov/charts/employer-costs-for-employee-compensation/costs-per-hour.htm"/>
    <hyperlink ref="D10" r:id="rId5" display="https://github.com/pricing"/>
    <hyperlink ref="D11" r:id="rId6" display="https://azure.microsoft.com/en-us/pricing/details/app-service/linux/"/>
    <hyperlink ref="D12" r:id="rId7" display="https://azure.microsoft.com/en-us/pricing/details/postgresql/flexible-server/"/>
    <hyperlink ref="D13" r:id="rId8" display="https://prices.azure.com/api/retail/prices?currencyCode=%27USD%27&amp;$filter=armRegionName%20eq%20%27eastus%27%20and%20serviceName%20eq%20%27Azure%20App%20Service%27%20and%20priceType%20eq%20%27Consumption%27"/>
    <hyperlink ref="D14" r:id="rId9" display="https://aws.amazon.com/rds/postgresql/pricing/"/>
    <hyperlink ref="D15" r:id="rId10" display="https://openai.com/api/pricing/"/>
    <hyperlink ref="D16" r:id="rId11" display="https://platform.openai.com/docs/guides/your-data"/>
    <hyperlink ref="D17" r:id="rId12" display="https://www.bls.gov/oes/current/oes113021.htm"/>
    <hyperlink ref="D18" r:id="rId13" display="https://www.bls.gov/oes/current/oes131082.htm"/>
    <hyperlink ref="D19" r:id="rId14" display="https://www.bls.gov/oes/current/oes151255.htm"/>
    <hyperlink ref="D20" r:id="rId15" display="https://www.bls.gov/oes/current/oes434051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54"/>
    <col collapsed="false" customWidth="true" hidden="false" outlineLevel="0" max="4" min="4" style="0" width="26"/>
    <col collapsed="false" customWidth="true" hidden="false" outlineLevel="0" max="16" min="5" style="0" width="20"/>
  </cols>
  <sheetData>
    <row r="1" customFormat="false" ht="28.5" hidden="false" customHeight="true" outlineLevel="0" collapsed="false">
      <c r="A1" s="1" t="s">
        <v>308</v>
      </c>
    </row>
    <row r="2" customFormat="false" ht="43.5" hidden="false" customHeight="true" outlineLevel="0" collapsed="false">
      <c r="A2" s="2" t="s">
        <v>309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3</v>
      </c>
      <c r="B5" s="13" t="s">
        <v>310</v>
      </c>
      <c r="C5" s="13" t="s">
        <v>311</v>
      </c>
      <c r="D5" s="13" t="s">
        <v>312</v>
      </c>
      <c r="E5" s="13" t="s">
        <v>313</v>
      </c>
      <c r="F5" s="13" t="s">
        <v>314</v>
      </c>
      <c r="G5" s="13" t="s">
        <v>315</v>
      </c>
      <c r="H5" s="13" t="s">
        <v>316</v>
      </c>
      <c r="I5" s="13" t="s">
        <v>317</v>
      </c>
      <c r="J5" s="13" t="s">
        <v>318</v>
      </c>
      <c r="K5" s="13" t="s">
        <v>319</v>
      </c>
      <c r="L5" s="13" t="s">
        <v>320</v>
      </c>
      <c r="M5" s="13" t="s">
        <v>321</v>
      </c>
      <c r="N5" s="13" t="s">
        <v>322</v>
      </c>
      <c r="O5" s="13" t="s">
        <v>323</v>
      </c>
      <c r="P5" s="13" t="s">
        <v>324</v>
      </c>
    </row>
    <row r="6" customFormat="false" ht="15" hidden="false" customHeight="false" outlineLevel="0" collapsed="false">
      <c r="A6" s="6" t="s">
        <v>72</v>
      </c>
      <c r="B6" s="6" t="s">
        <v>325</v>
      </c>
      <c r="C6" s="6" t="s">
        <v>326</v>
      </c>
      <c r="D6" s="6" t="s">
        <v>327</v>
      </c>
      <c r="E6" s="6" t="s">
        <v>328</v>
      </c>
      <c r="F6" s="15" t="n">
        <v>1</v>
      </c>
      <c r="G6" s="15" t="n">
        <v>60</v>
      </c>
      <c r="H6" s="15" t="n">
        <v>0.75</v>
      </c>
      <c r="I6" s="15" t="n">
        <v>0.75</v>
      </c>
      <c r="J6" s="15" t="n">
        <v>0.75</v>
      </c>
      <c r="K6" s="15" t="n">
        <v>0.75</v>
      </c>
      <c r="L6" s="10" t="n">
        <f aca="false">Assumptions!$C$26</f>
        <v>150000</v>
      </c>
      <c r="M6" s="6" t="s">
        <v>179</v>
      </c>
      <c r="N6" s="20" t="n">
        <v>0</v>
      </c>
      <c r="O6" s="21" t="n">
        <v>0</v>
      </c>
      <c r="P6" s="10" t="n">
        <f aca="false">Assumptions!$C$28</f>
        <v>2500</v>
      </c>
    </row>
    <row r="7" customFormat="false" ht="15" hidden="false" customHeight="false" outlineLevel="0" collapsed="false">
      <c r="A7" s="6" t="s">
        <v>72</v>
      </c>
      <c r="B7" s="6" t="s">
        <v>329</v>
      </c>
      <c r="C7" s="6" t="s">
        <v>330</v>
      </c>
      <c r="D7" s="6" t="s">
        <v>331</v>
      </c>
      <c r="E7" s="6" t="s">
        <v>328</v>
      </c>
      <c r="F7" s="15" t="n">
        <v>1</v>
      </c>
      <c r="G7" s="15" t="n">
        <v>60</v>
      </c>
      <c r="H7" s="15" t="n">
        <v>1</v>
      </c>
      <c r="I7" s="15" t="n">
        <v>1</v>
      </c>
      <c r="J7" s="15" t="n">
        <v>1</v>
      </c>
      <c r="K7" s="15" t="n">
        <v>1</v>
      </c>
      <c r="L7" s="14" t="n">
        <v>165000</v>
      </c>
      <c r="M7" s="6" t="s">
        <v>191</v>
      </c>
      <c r="N7" s="22" t="n">
        <f aca="false">Assumptions!$C$11</f>
        <v>0.4</v>
      </c>
      <c r="O7" s="10" t="n">
        <f aca="false">Assumptions!$C$27</f>
        <v>5000</v>
      </c>
      <c r="P7" s="10" t="n">
        <f aca="false">Assumptions!$C$28</f>
        <v>2500</v>
      </c>
    </row>
    <row r="8" customFormat="false" ht="15" hidden="false" customHeight="false" outlineLevel="0" collapsed="false">
      <c r="A8" s="6" t="s">
        <v>72</v>
      </c>
      <c r="B8" s="6" t="s">
        <v>332</v>
      </c>
      <c r="C8" s="6" t="s">
        <v>333</v>
      </c>
      <c r="D8" s="6" t="s">
        <v>331</v>
      </c>
      <c r="E8" s="6" t="s">
        <v>328</v>
      </c>
      <c r="F8" s="15" t="n">
        <v>4</v>
      </c>
      <c r="G8" s="15" t="n">
        <v>60</v>
      </c>
      <c r="H8" s="15" t="n">
        <v>0.5</v>
      </c>
      <c r="I8" s="15" t="n">
        <v>0.75</v>
      </c>
      <c r="J8" s="15" t="n">
        <v>1</v>
      </c>
      <c r="K8" s="15" t="n">
        <v>1</v>
      </c>
      <c r="L8" s="14" t="n">
        <v>145000</v>
      </c>
      <c r="M8" s="6" t="s">
        <v>191</v>
      </c>
      <c r="N8" s="22" t="n">
        <f aca="false">Assumptions!$C$11</f>
        <v>0.4</v>
      </c>
      <c r="O8" s="10" t="n">
        <f aca="false">Assumptions!$C$27</f>
        <v>5000</v>
      </c>
      <c r="P8" s="10" t="n">
        <f aca="false">Assumptions!$C$28</f>
        <v>2500</v>
      </c>
    </row>
    <row r="9" customFormat="false" ht="15" hidden="false" customHeight="false" outlineLevel="0" collapsed="false">
      <c r="A9" s="6" t="s">
        <v>72</v>
      </c>
      <c r="B9" s="6" t="s">
        <v>334</v>
      </c>
      <c r="C9" s="6" t="s">
        <v>335</v>
      </c>
      <c r="D9" s="6" t="s">
        <v>331</v>
      </c>
      <c r="E9" s="6" t="s">
        <v>328</v>
      </c>
      <c r="F9" s="15" t="n">
        <v>7</v>
      </c>
      <c r="G9" s="15" t="n">
        <v>60</v>
      </c>
      <c r="H9" s="15" t="n">
        <v>0</v>
      </c>
      <c r="I9" s="15" t="n">
        <v>0.5</v>
      </c>
      <c r="J9" s="15" t="n">
        <v>0.75</v>
      </c>
      <c r="K9" s="15" t="n">
        <v>1</v>
      </c>
      <c r="L9" s="14" t="n">
        <v>140000</v>
      </c>
      <c r="M9" s="6" t="s">
        <v>191</v>
      </c>
      <c r="N9" s="22" t="n">
        <f aca="false">Assumptions!$C$11</f>
        <v>0.4</v>
      </c>
      <c r="O9" s="10" t="n">
        <f aca="false">Assumptions!$C$27</f>
        <v>5000</v>
      </c>
      <c r="P9" s="10" t="n">
        <f aca="false">Assumptions!$C$28</f>
        <v>2500</v>
      </c>
    </row>
    <row r="10" customFormat="false" ht="15" hidden="false" customHeight="false" outlineLevel="0" collapsed="false">
      <c r="A10" s="6" t="s">
        <v>72</v>
      </c>
      <c r="B10" s="6" t="s">
        <v>336</v>
      </c>
      <c r="C10" s="6" t="s">
        <v>337</v>
      </c>
      <c r="D10" s="6" t="s">
        <v>331</v>
      </c>
      <c r="E10" s="6" t="s">
        <v>328</v>
      </c>
      <c r="F10" s="15" t="n">
        <v>5</v>
      </c>
      <c r="G10" s="15" t="n">
        <v>60</v>
      </c>
      <c r="H10" s="15" t="n">
        <v>0.25</v>
      </c>
      <c r="I10" s="15" t="n">
        <v>0.5</v>
      </c>
      <c r="J10" s="15" t="n">
        <v>0.75</v>
      </c>
      <c r="K10" s="15" t="n">
        <v>1</v>
      </c>
      <c r="L10" s="14" t="n">
        <v>110000</v>
      </c>
      <c r="M10" s="6" t="s">
        <v>203</v>
      </c>
      <c r="N10" s="22" t="n">
        <f aca="false">Assumptions!$C$11</f>
        <v>0.4</v>
      </c>
      <c r="O10" s="10" t="n">
        <f aca="false">Assumptions!$C$27</f>
        <v>5000</v>
      </c>
      <c r="P10" s="10" t="n">
        <f aca="false">Assumptions!$C$28</f>
        <v>2500</v>
      </c>
    </row>
    <row r="11" customFormat="false" ht="15" hidden="false" customHeight="false" outlineLevel="0" collapsed="false">
      <c r="A11" s="6" t="s">
        <v>72</v>
      </c>
      <c r="B11" s="6" t="s">
        <v>338</v>
      </c>
      <c r="C11" s="6" t="s">
        <v>339</v>
      </c>
      <c r="D11" s="6" t="s">
        <v>340</v>
      </c>
      <c r="E11" s="6" t="s">
        <v>328</v>
      </c>
      <c r="F11" s="15" t="n">
        <v>2</v>
      </c>
      <c r="G11" s="15" t="n">
        <v>60</v>
      </c>
      <c r="H11" s="15" t="n">
        <v>0.15</v>
      </c>
      <c r="I11" s="15" t="n">
        <v>0.2</v>
      </c>
      <c r="J11" s="15" t="n">
        <v>0.25</v>
      </c>
      <c r="K11" s="15" t="n">
        <v>0.5</v>
      </c>
      <c r="L11" s="14" t="n">
        <v>190000</v>
      </c>
      <c r="M11" s="6" t="s">
        <v>191</v>
      </c>
      <c r="N11" s="20" t="n">
        <v>0</v>
      </c>
      <c r="O11" s="21" t="n">
        <v>0</v>
      </c>
      <c r="P11" s="10" t="n">
        <f aca="false">Assumptions!$C$28</f>
        <v>2500</v>
      </c>
    </row>
    <row r="12" customFormat="false" ht="15" hidden="false" customHeight="false" outlineLevel="0" collapsed="false">
      <c r="A12" s="6" t="s">
        <v>72</v>
      </c>
      <c r="B12" s="6" t="s">
        <v>341</v>
      </c>
      <c r="C12" s="6" t="s">
        <v>342</v>
      </c>
      <c r="D12" s="6" t="s">
        <v>340</v>
      </c>
      <c r="E12" s="6" t="s">
        <v>328</v>
      </c>
      <c r="F12" s="15" t="n">
        <v>2</v>
      </c>
      <c r="G12" s="15" t="n">
        <v>24</v>
      </c>
      <c r="H12" s="15" t="n">
        <v>0.15</v>
      </c>
      <c r="I12" s="15" t="n">
        <v>0.15</v>
      </c>
      <c r="J12" s="15" t="n">
        <v>0.1</v>
      </c>
      <c r="K12" s="15" t="n">
        <v>0</v>
      </c>
      <c r="L12" s="14" t="n">
        <v>130000</v>
      </c>
      <c r="M12" s="6" t="s">
        <v>179</v>
      </c>
      <c r="N12" s="20" t="n">
        <v>0</v>
      </c>
      <c r="O12" s="21" t="n">
        <v>0</v>
      </c>
      <c r="P12" s="10" t="n">
        <f aca="false">Assumptions!$C$28</f>
        <v>2500</v>
      </c>
    </row>
    <row r="13" customFormat="false" ht="15" hidden="false" customHeight="false" outlineLevel="0" collapsed="false">
      <c r="A13" s="6" t="s">
        <v>72</v>
      </c>
      <c r="B13" s="6" t="s">
        <v>343</v>
      </c>
      <c r="C13" s="6" t="s">
        <v>344</v>
      </c>
      <c r="D13" s="6" t="s">
        <v>340</v>
      </c>
      <c r="E13" s="6" t="s">
        <v>328</v>
      </c>
      <c r="F13" s="15" t="n">
        <v>2</v>
      </c>
      <c r="G13" s="15" t="n">
        <v>60</v>
      </c>
      <c r="H13" s="15" t="n">
        <v>0.1</v>
      </c>
      <c r="I13" s="15" t="n">
        <v>0.15</v>
      </c>
      <c r="J13" s="15" t="n">
        <v>0.15</v>
      </c>
      <c r="K13" s="15" t="n">
        <v>0.2</v>
      </c>
      <c r="L13" s="14" t="n">
        <v>200000</v>
      </c>
      <c r="M13" s="6" t="s">
        <v>179</v>
      </c>
      <c r="N13" s="20" t="n">
        <v>0</v>
      </c>
      <c r="O13" s="21" t="n">
        <v>0</v>
      </c>
      <c r="P13" s="10" t="n">
        <f aca="false">Assumptions!$C$28</f>
        <v>2500</v>
      </c>
    </row>
    <row r="14" customFormat="false" ht="15" hidden="false" customHeight="false" outlineLevel="0" collapsed="false">
      <c r="A14" s="6" t="s">
        <v>72</v>
      </c>
      <c r="B14" s="6" t="s">
        <v>345</v>
      </c>
      <c r="C14" s="6" t="s">
        <v>346</v>
      </c>
      <c r="D14" s="6" t="s">
        <v>331</v>
      </c>
      <c r="E14" s="6" t="s">
        <v>328</v>
      </c>
      <c r="F14" s="15" t="n">
        <v>12</v>
      </c>
      <c r="G14" s="15" t="n">
        <v>60</v>
      </c>
      <c r="H14" s="15" t="n">
        <v>0</v>
      </c>
      <c r="I14" s="15" t="n">
        <v>0.25</v>
      </c>
      <c r="J14" s="15" t="n">
        <v>0.5</v>
      </c>
      <c r="K14" s="15" t="n">
        <v>1</v>
      </c>
      <c r="L14" s="14" t="n">
        <v>90000</v>
      </c>
      <c r="M14" s="6" t="s">
        <v>179</v>
      </c>
      <c r="N14" s="22" t="n">
        <f aca="false">Assumptions!$C$11</f>
        <v>0.4</v>
      </c>
      <c r="O14" s="10" t="n">
        <f aca="false">Assumptions!$C$27</f>
        <v>5000</v>
      </c>
      <c r="P14" s="10" t="n">
        <f aca="false">Assumptions!$C$28</f>
        <v>2500</v>
      </c>
    </row>
    <row r="15" customFormat="false" ht="15" hidden="false" customHeight="false" outlineLevel="0" collapsed="false">
      <c r="A15" s="6" t="s">
        <v>72</v>
      </c>
      <c r="B15" s="6" t="s">
        <v>347</v>
      </c>
      <c r="C15" s="6" t="s">
        <v>348</v>
      </c>
      <c r="D15" s="6" t="s">
        <v>331</v>
      </c>
      <c r="E15" s="6" t="s">
        <v>328</v>
      </c>
      <c r="F15" s="15" t="n">
        <v>25</v>
      </c>
      <c r="G15" s="15" t="n">
        <v>60</v>
      </c>
      <c r="H15" s="15" t="n">
        <v>0</v>
      </c>
      <c r="I15" s="15" t="n">
        <v>0</v>
      </c>
      <c r="J15" s="15" t="n">
        <v>0.25</v>
      </c>
      <c r="K15" s="15" t="n">
        <v>0.5</v>
      </c>
      <c r="L15" s="14" t="n">
        <v>120000</v>
      </c>
      <c r="M15" s="6" t="s">
        <v>179</v>
      </c>
      <c r="N15" s="22" t="n">
        <f aca="false">Assumptions!$C$11</f>
        <v>0.4</v>
      </c>
      <c r="O15" s="10" t="n">
        <f aca="false">Assumptions!$C$27</f>
        <v>5000</v>
      </c>
      <c r="P15" s="10" t="n">
        <f aca="false">Assumptions!$C$28</f>
        <v>2500</v>
      </c>
    </row>
    <row r="16" customFormat="false" ht="15" hidden="false" customHeight="false" outlineLevel="0" collapsed="false">
      <c r="A16" s="6" t="s">
        <v>72</v>
      </c>
      <c r="B16" s="6" t="s">
        <v>349</v>
      </c>
      <c r="C16" s="6" t="s">
        <v>350</v>
      </c>
      <c r="D16" s="6" t="s">
        <v>331</v>
      </c>
      <c r="E16" s="6" t="s">
        <v>59</v>
      </c>
      <c r="F16" s="15" t="n">
        <v>19</v>
      </c>
      <c r="G16" s="15" t="n">
        <v>60</v>
      </c>
      <c r="H16" s="15" t="n">
        <v>0</v>
      </c>
      <c r="I16" s="15" t="n">
        <v>0</v>
      </c>
      <c r="J16" s="15" t="n">
        <v>0.5</v>
      </c>
      <c r="K16" s="15" t="n">
        <v>0.5</v>
      </c>
      <c r="L16" s="14" t="n">
        <v>170000</v>
      </c>
      <c r="M16" s="6" t="s">
        <v>191</v>
      </c>
      <c r="N16" s="22" t="n">
        <f aca="false">Assumptions!$C$11</f>
        <v>0.4</v>
      </c>
      <c r="O16" s="10" t="n">
        <f aca="false">Assumptions!$C$27</f>
        <v>5000</v>
      </c>
      <c r="P16" s="10" t="n">
        <f aca="false">Assumptions!$C$28</f>
        <v>2500</v>
      </c>
    </row>
    <row r="17" customFormat="false" ht="15" hidden="false" customHeight="false" outlineLevel="0" collapsed="false">
      <c r="A17" s="6" t="s">
        <v>72</v>
      </c>
      <c r="B17" s="6" t="s">
        <v>351</v>
      </c>
      <c r="C17" s="6" t="s">
        <v>352</v>
      </c>
      <c r="D17" s="6" t="s">
        <v>340</v>
      </c>
      <c r="E17" s="6" t="s">
        <v>61</v>
      </c>
      <c r="F17" s="15" t="n">
        <v>31</v>
      </c>
      <c r="G17" s="15" t="n">
        <v>60</v>
      </c>
      <c r="H17" s="15" t="n">
        <v>0</v>
      </c>
      <c r="I17" s="15" t="n">
        <v>0</v>
      </c>
      <c r="J17" s="15" t="n">
        <v>0</v>
      </c>
      <c r="K17" s="15" t="n">
        <v>0.5</v>
      </c>
      <c r="L17" s="14" t="n">
        <v>180000</v>
      </c>
      <c r="M17" s="6" t="s">
        <v>179</v>
      </c>
      <c r="N17" s="20" t="n">
        <v>0</v>
      </c>
      <c r="O17" s="21" t="n">
        <v>0</v>
      </c>
      <c r="P17" s="10" t="n">
        <f aca="false">Assumptions!$C$28</f>
        <v>2500</v>
      </c>
    </row>
    <row r="18" customFormat="false" ht="15" hidden="false" customHeight="false" outlineLevel="0" collapsed="false">
      <c r="A18" s="6" t="s">
        <v>72</v>
      </c>
      <c r="B18" s="6" t="s">
        <v>353</v>
      </c>
      <c r="C18" s="6" t="s">
        <v>354</v>
      </c>
      <c r="D18" s="6" t="s">
        <v>331</v>
      </c>
      <c r="E18" s="6" t="s">
        <v>61</v>
      </c>
      <c r="F18" s="15" t="n">
        <v>31</v>
      </c>
      <c r="G18" s="15" t="n">
        <v>60</v>
      </c>
      <c r="H18" s="15" t="n">
        <v>0</v>
      </c>
      <c r="I18" s="15" t="n">
        <v>0</v>
      </c>
      <c r="J18" s="15" t="n">
        <v>0</v>
      </c>
      <c r="K18" s="15" t="n">
        <v>0.5</v>
      </c>
      <c r="L18" s="14" t="n">
        <v>155000</v>
      </c>
      <c r="M18" s="6" t="s">
        <v>191</v>
      </c>
      <c r="N18" s="22" t="n">
        <f aca="false">Assumptions!$C$11</f>
        <v>0.4</v>
      </c>
      <c r="O18" s="10" t="n">
        <f aca="false">Assumptions!$C$27</f>
        <v>5000</v>
      </c>
      <c r="P18" s="10" t="n">
        <f aca="false">Assumptions!$C$28</f>
        <v>2500</v>
      </c>
    </row>
    <row r="19" customFormat="false" ht="15" hidden="false" customHeight="false" outlineLevel="0" collapsed="false">
      <c r="A19" s="6" t="s">
        <v>4</v>
      </c>
      <c r="B19" s="6" t="s">
        <v>325</v>
      </c>
      <c r="C19" s="6" t="s">
        <v>326</v>
      </c>
      <c r="D19" s="6" t="s">
        <v>327</v>
      </c>
      <c r="E19" s="6" t="s">
        <v>328</v>
      </c>
      <c r="F19" s="15" t="n">
        <v>1</v>
      </c>
      <c r="G19" s="15" t="n">
        <v>60</v>
      </c>
      <c r="H19" s="15" t="n">
        <v>1</v>
      </c>
      <c r="I19" s="15" t="n">
        <v>1</v>
      </c>
      <c r="J19" s="15" t="n">
        <v>1</v>
      </c>
      <c r="K19" s="15" t="n">
        <v>1</v>
      </c>
      <c r="L19" s="10" t="n">
        <f aca="false">Assumptions!$D$26</f>
        <v>180000</v>
      </c>
      <c r="M19" s="6" t="s">
        <v>179</v>
      </c>
      <c r="N19" s="20" t="n">
        <v>0</v>
      </c>
      <c r="O19" s="21" t="n">
        <v>0</v>
      </c>
      <c r="P19" s="10" t="n">
        <f aca="false">Assumptions!$D$28</f>
        <v>3000</v>
      </c>
    </row>
    <row r="20" customFormat="false" ht="15" hidden="false" customHeight="false" outlineLevel="0" collapsed="false">
      <c r="A20" s="6" t="s">
        <v>4</v>
      </c>
      <c r="B20" s="6" t="s">
        <v>329</v>
      </c>
      <c r="C20" s="6" t="s">
        <v>330</v>
      </c>
      <c r="D20" s="6" t="s">
        <v>331</v>
      </c>
      <c r="E20" s="6" t="s">
        <v>328</v>
      </c>
      <c r="F20" s="15" t="n">
        <v>1</v>
      </c>
      <c r="G20" s="15" t="n">
        <v>60</v>
      </c>
      <c r="H20" s="15" t="n">
        <v>1</v>
      </c>
      <c r="I20" s="15" t="n">
        <v>1</v>
      </c>
      <c r="J20" s="15" t="n">
        <v>1</v>
      </c>
      <c r="K20" s="15" t="n">
        <v>1</v>
      </c>
      <c r="L20" s="14" t="n">
        <v>165000</v>
      </c>
      <c r="M20" s="6" t="s">
        <v>191</v>
      </c>
      <c r="N20" s="22" t="n">
        <f aca="false">Assumptions!$D$11</f>
        <v>0.4</v>
      </c>
      <c r="O20" s="10" t="n">
        <f aca="false">Assumptions!$D$27</f>
        <v>8000</v>
      </c>
      <c r="P20" s="10" t="n">
        <f aca="false">Assumptions!$D$28</f>
        <v>3000</v>
      </c>
    </row>
    <row r="21" customFormat="false" ht="15" hidden="false" customHeight="false" outlineLevel="0" collapsed="false">
      <c r="A21" s="6" t="s">
        <v>4</v>
      </c>
      <c r="B21" s="6" t="s">
        <v>332</v>
      </c>
      <c r="C21" s="6" t="s">
        <v>333</v>
      </c>
      <c r="D21" s="6" t="s">
        <v>331</v>
      </c>
      <c r="E21" s="6" t="s">
        <v>328</v>
      </c>
      <c r="F21" s="15" t="n">
        <v>3</v>
      </c>
      <c r="G21" s="15" t="n">
        <v>60</v>
      </c>
      <c r="H21" s="15" t="n">
        <v>1</v>
      </c>
      <c r="I21" s="15" t="n">
        <v>1</v>
      </c>
      <c r="J21" s="15" t="n">
        <v>2</v>
      </c>
      <c r="K21" s="15" t="n">
        <v>2</v>
      </c>
      <c r="L21" s="14" t="n">
        <v>145000</v>
      </c>
      <c r="M21" s="6" t="s">
        <v>191</v>
      </c>
      <c r="N21" s="22" t="n">
        <f aca="false">Assumptions!$D$11</f>
        <v>0.4</v>
      </c>
      <c r="O21" s="10" t="n">
        <f aca="false">Assumptions!$D$27</f>
        <v>8000</v>
      </c>
      <c r="P21" s="10" t="n">
        <f aca="false">Assumptions!$D$28</f>
        <v>3000</v>
      </c>
    </row>
    <row r="22" customFormat="false" ht="15" hidden="false" customHeight="false" outlineLevel="0" collapsed="false">
      <c r="A22" s="6" t="s">
        <v>4</v>
      </c>
      <c r="B22" s="6" t="s">
        <v>334</v>
      </c>
      <c r="C22" s="6" t="s">
        <v>335</v>
      </c>
      <c r="D22" s="6" t="s">
        <v>331</v>
      </c>
      <c r="E22" s="6" t="s">
        <v>328</v>
      </c>
      <c r="F22" s="15" t="n">
        <v>4</v>
      </c>
      <c r="G22" s="15" t="n">
        <v>60</v>
      </c>
      <c r="H22" s="15" t="n">
        <v>0.5</v>
      </c>
      <c r="I22" s="15" t="n">
        <v>1</v>
      </c>
      <c r="J22" s="15" t="n">
        <v>1</v>
      </c>
      <c r="K22" s="15" t="n">
        <v>2</v>
      </c>
      <c r="L22" s="14" t="n">
        <v>140000</v>
      </c>
      <c r="M22" s="6" t="s">
        <v>191</v>
      </c>
      <c r="N22" s="22" t="n">
        <f aca="false">Assumptions!$D$11</f>
        <v>0.4</v>
      </c>
      <c r="O22" s="10" t="n">
        <f aca="false">Assumptions!$D$27</f>
        <v>8000</v>
      </c>
      <c r="P22" s="10" t="n">
        <f aca="false">Assumptions!$D$28</f>
        <v>3000</v>
      </c>
    </row>
    <row r="23" customFormat="false" ht="15" hidden="false" customHeight="false" outlineLevel="0" collapsed="false">
      <c r="A23" s="6" t="s">
        <v>4</v>
      </c>
      <c r="B23" s="6" t="s">
        <v>336</v>
      </c>
      <c r="C23" s="6" t="s">
        <v>337</v>
      </c>
      <c r="D23" s="6" t="s">
        <v>331</v>
      </c>
      <c r="E23" s="6" t="s">
        <v>328</v>
      </c>
      <c r="F23" s="15" t="n">
        <v>4</v>
      </c>
      <c r="G23" s="15" t="n">
        <v>60</v>
      </c>
      <c r="H23" s="15" t="n">
        <v>0.5</v>
      </c>
      <c r="I23" s="15" t="n">
        <v>0.75</v>
      </c>
      <c r="J23" s="15" t="n">
        <v>1</v>
      </c>
      <c r="K23" s="15" t="n">
        <v>2</v>
      </c>
      <c r="L23" s="14" t="n">
        <v>110000</v>
      </c>
      <c r="M23" s="6" t="s">
        <v>203</v>
      </c>
      <c r="N23" s="22" t="n">
        <f aca="false">Assumptions!$D$11</f>
        <v>0.4</v>
      </c>
      <c r="O23" s="10" t="n">
        <f aca="false">Assumptions!$D$27</f>
        <v>8000</v>
      </c>
      <c r="P23" s="10" t="n">
        <f aca="false">Assumptions!$D$28</f>
        <v>3000</v>
      </c>
    </row>
    <row r="24" customFormat="false" ht="15" hidden="false" customHeight="false" outlineLevel="0" collapsed="false">
      <c r="A24" s="6" t="s">
        <v>4</v>
      </c>
      <c r="B24" s="6" t="s">
        <v>338</v>
      </c>
      <c r="C24" s="6" t="s">
        <v>339</v>
      </c>
      <c r="D24" s="6" t="s">
        <v>340</v>
      </c>
      <c r="E24" s="6" t="s">
        <v>328</v>
      </c>
      <c r="F24" s="15" t="n">
        <v>2</v>
      </c>
      <c r="G24" s="15" t="n">
        <v>60</v>
      </c>
      <c r="H24" s="15" t="n">
        <v>0.25</v>
      </c>
      <c r="I24" s="15" t="n">
        <v>0.5</v>
      </c>
      <c r="J24" s="15" t="n">
        <v>0.75</v>
      </c>
      <c r="K24" s="15" t="n">
        <v>1</v>
      </c>
      <c r="L24" s="14" t="n">
        <v>190000</v>
      </c>
      <c r="M24" s="6" t="s">
        <v>191</v>
      </c>
      <c r="N24" s="20" t="n">
        <v>0</v>
      </c>
      <c r="O24" s="21" t="n">
        <v>0</v>
      </c>
      <c r="P24" s="10" t="n">
        <f aca="false">Assumptions!$D$28</f>
        <v>3000</v>
      </c>
    </row>
    <row r="25" customFormat="false" ht="15" hidden="false" customHeight="false" outlineLevel="0" collapsed="false">
      <c r="A25" s="6" t="s">
        <v>4</v>
      </c>
      <c r="B25" s="6" t="s">
        <v>341</v>
      </c>
      <c r="C25" s="6" t="s">
        <v>342</v>
      </c>
      <c r="D25" s="6" t="s">
        <v>340</v>
      </c>
      <c r="E25" s="6" t="s">
        <v>328</v>
      </c>
      <c r="F25" s="15" t="n">
        <v>2</v>
      </c>
      <c r="G25" s="15" t="n">
        <v>36</v>
      </c>
      <c r="H25" s="15" t="n">
        <v>0.25</v>
      </c>
      <c r="I25" s="15" t="n">
        <v>0.25</v>
      </c>
      <c r="J25" s="15" t="n">
        <v>0.25</v>
      </c>
      <c r="K25" s="15" t="n">
        <v>0.25</v>
      </c>
      <c r="L25" s="14" t="n">
        <v>130000</v>
      </c>
      <c r="M25" s="6" t="s">
        <v>179</v>
      </c>
      <c r="N25" s="20" t="n">
        <v>0</v>
      </c>
      <c r="O25" s="21" t="n">
        <v>0</v>
      </c>
      <c r="P25" s="10" t="n">
        <f aca="false">Assumptions!$D$28</f>
        <v>3000</v>
      </c>
    </row>
    <row r="26" customFormat="false" ht="15" hidden="false" customHeight="false" outlineLevel="0" collapsed="false">
      <c r="A26" s="6" t="s">
        <v>4</v>
      </c>
      <c r="B26" s="6" t="s">
        <v>343</v>
      </c>
      <c r="C26" s="6" t="s">
        <v>344</v>
      </c>
      <c r="D26" s="6" t="s">
        <v>340</v>
      </c>
      <c r="E26" s="6" t="s">
        <v>328</v>
      </c>
      <c r="F26" s="15" t="n">
        <v>2</v>
      </c>
      <c r="G26" s="15" t="n">
        <v>60</v>
      </c>
      <c r="H26" s="15" t="n">
        <v>0.15</v>
      </c>
      <c r="I26" s="15" t="n">
        <v>0.25</v>
      </c>
      <c r="J26" s="15" t="n">
        <v>0.25</v>
      </c>
      <c r="K26" s="15" t="n">
        <v>0.5</v>
      </c>
      <c r="L26" s="14" t="n">
        <v>200000</v>
      </c>
      <c r="M26" s="6" t="s">
        <v>179</v>
      </c>
      <c r="N26" s="20" t="n">
        <v>0</v>
      </c>
      <c r="O26" s="21" t="n">
        <v>0</v>
      </c>
      <c r="P26" s="10" t="n">
        <f aca="false">Assumptions!$D$28</f>
        <v>3000</v>
      </c>
    </row>
    <row r="27" customFormat="false" ht="15" hidden="false" customHeight="false" outlineLevel="0" collapsed="false">
      <c r="A27" s="6" t="s">
        <v>4</v>
      </c>
      <c r="B27" s="6" t="s">
        <v>345</v>
      </c>
      <c r="C27" s="6" t="s">
        <v>346</v>
      </c>
      <c r="D27" s="6" t="s">
        <v>331</v>
      </c>
      <c r="E27" s="6" t="s">
        <v>328</v>
      </c>
      <c r="F27" s="15" t="n">
        <v>10</v>
      </c>
      <c r="G27" s="15" t="n">
        <v>60</v>
      </c>
      <c r="H27" s="15" t="n">
        <v>0</v>
      </c>
      <c r="I27" s="15" t="n">
        <v>0.5</v>
      </c>
      <c r="J27" s="15" t="n">
        <v>1</v>
      </c>
      <c r="K27" s="15" t="n">
        <v>2</v>
      </c>
      <c r="L27" s="14" t="n">
        <v>90000</v>
      </c>
      <c r="M27" s="6" t="s">
        <v>179</v>
      </c>
      <c r="N27" s="22" t="n">
        <f aca="false">Assumptions!$D$11</f>
        <v>0.4</v>
      </c>
      <c r="O27" s="10" t="n">
        <f aca="false">Assumptions!$D$27</f>
        <v>8000</v>
      </c>
      <c r="P27" s="10" t="n">
        <f aca="false">Assumptions!$D$28</f>
        <v>3000</v>
      </c>
    </row>
    <row r="28" customFormat="false" ht="15" hidden="false" customHeight="false" outlineLevel="0" collapsed="false">
      <c r="A28" s="6" t="s">
        <v>4</v>
      </c>
      <c r="B28" s="6" t="s">
        <v>347</v>
      </c>
      <c r="C28" s="6" t="s">
        <v>348</v>
      </c>
      <c r="D28" s="6" t="s">
        <v>331</v>
      </c>
      <c r="E28" s="6" t="s">
        <v>328</v>
      </c>
      <c r="F28" s="15" t="n">
        <v>19</v>
      </c>
      <c r="G28" s="15" t="n">
        <v>60</v>
      </c>
      <c r="H28" s="15" t="n">
        <v>0</v>
      </c>
      <c r="I28" s="15" t="n">
        <v>0</v>
      </c>
      <c r="J28" s="15" t="n">
        <v>0.5</v>
      </c>
      <c r="K28" s="15" t="n">
        <v>1</v>
      </c>
      <c r="L28" s="14" t="n">
        <v>120000</v>
      </c>
      <c r="M28" s="6" t="s">
        <v>179</v>
      </c>
      <c r="N28" s="22" t="n">
        <f aca="false">Assumptions!$D$11</f>
        <v>0.4</v>
      </c>
      <c r="O28" s="10" t="n">
        <f aca="false">Assumptions!$D$27</f>
        <v>8000</v>
      </c>
      <c r="P28" s="10" t="n">
        <f aca="false">Assumptions!$D$28</f>
        <v>3000</v>
      </c>
    </row>
    <row r="29" customFormat="false" ht="15" hidden="false" customHeight="false" outlineLevel="0" collapsed="false">
      <c r="A29" s="6" t="s">
        <v>4</v>
      </c>
      <c r="B29" s="6" t="s">
        <v>349</v>
      </c>
      <c r="C29" s="6" t="s">
        <v>350</v>
      </c>
      <c r="D29" s="6" t="s">
        <v>331</v>
      </c>
      <c r="E29" s="6" t="s">
        <v>59</v>
      </c>
      <c r="F29" s="15" t="n">
        <v>16</v>
      </c>
      <c r="G29" s="15" t="n">
        <v>60</v>
      </c>
      <c r="H29" s="15" t="n">
        <v>0</v>
      </c>
      <c r="I29" s="15" t="n">
        <v>0</v>
      </c>
      <c r="J29" s="15" t="n">
        <v>0.75</v>
      </c>
      <c r="K29" s="15" t="n">
        <v>1</v>
      </c>
      <c r="L29" s="14" t="n">
        <v>170000</v>
      </c>
      <c r="M29" s="6" t="s">
        <v>191</v>
      </c>
      <c r="N29" s="22" t="n">
        <f aca="false">Assumptions!$D$11</f>
        <v>0.4</v>
      </c>
      <c r="O29" s="10" t="n">
        <f aca="false">Assumptions!$D$27</f>
        <v>8000</v>
      </c>
      <c r="P29" s="10" t="n">
        <f aca="false">Assumptions!$D$28</f>
        <v>3000</v>
      </c>
    </row>
    <row r="30" customFormat="false" ht="15" hidden="false" customHeight="false" outlineLevel="0" collapsed="false">
      <c r="A30" s="6" t="s">
        <v>4</v>
      </c>
      <c r="B30" s="6" t="s">
        <v>351</v>
      </c>
      <c r="C30" s="6" t="s">
        <v>352</v>
      </c>
      <c r="D30" s="6" t="s">
        <v>340</v>
      </c>
      <c r="E30" s="6" t="s">
        <v>61</v>
      </c>
      <c r="F30" s="15" t="n">
        <v>25</v>
      </c>
      <c r="G30" s="15" t="n">
        <v>60</v>
      </c>
      <c r="H30" s="15" t="n">
        <v>0</v>
      </c>
      <c r="I30" s="15" t="n">
        <v>0</v>
      </c>
      <c r="J30" s="15" t="n">
        <v>0.5</v>
      </c>
      <c r="K30" s="15" t="n">
        <v>1</v>
      </c>
      <c r="L30" s="14" t="n">
        <v>180000</v>
      </c>
      <c r="M30" s="6" t="s">
        <v>179</v>
      </c>
      <c r="N30" s="20" t="n">
        <v>0</v>
      </c>
      <c r="O30" s="21" t="n">
        <v>0</v>
      </c>
      <c r="P30" s="10" t="n">
        <f aca="false">Assumptions!$D$28</f>
        <v>3000</v>
      </c>
    </row>
    <row r="31" customFormat="false" ht="15" hidden="false" customHeight="false" outlineLevel="0" collapsed="false">
      <c r="A31" s="6" t="s">
        <v>4</v>
      </c>
      <c r="B31" s="6" t="s">
        <v>353</v>
      </c>
      <c r="C31" s="6" t="s">
        <v>354</v>
      </c>
      <c r="D31" s="6" t="s">
        <v>331</v>
      </c>
      <c r="E31" s="6" t="s">
        <v>61</v>
      </c>
      <c r="F31" s="15" t="n">
        <v>25</v>
      </c>
      <c r="G31" s="15" t="n">
        <v>60</v>
      </c>
      <c r="H31" s="15" t="n">
        <v>0</v>
      </c>
      <c r="I31" s="15" t="n">
        <v>0</v>
      </c>
      <c r="J31" s="15" t="n">
        <v>0.5</v>
      </c>
      <c r="K31" s="15" t="n">
        <v>1</v>
      </c>
      <c r="L31" s="14" t="n">
        <v>155000</v>
      </c>
      <c r="M31" s="6" t="s">
        <v>191</v>
      </c>
      <c r="N31" s="22" t="n">
        <f aca="false">Assumptions!$D$11</f>
        <v>0.4</v>
      </c>
      <c r="O31" s="10" t="n">
        <f aca="false">Assumptions!$D$27</f>
        <v>8000</v>
      </c>
      <c r="P31" s="10" t="n">
        <f aca="false">Assumptions!$D$28</f>
        <v>3000</v>
      </c>
    </row>
    <row r="32" customFormat="false" ht="15" hidden="false" customHeight="false" outlineLevel="0" collapsed="false">
      <c r="A32" s="6" t="s">
        <v>73</v>
      </c>
      <c r="B32" s="6" t="s">
        <v>325</v>
      </c>
      <c r="C32" s="6" t="s">
        <v>326</v>
      </c>
      <c r="D32" s="6" t="s">
        <v>327</v>
      </c>
      <c r="E32" s="6" t="s">
        <v>328</v>
      </c>
      <c r="F32" s="15" t="n">
        <v>1</v>
      </c>
      <c r="G32" s="15" t="n">
        <v>60</v>
      </c>
      <c r="H32" s="15" t="n">
        <v>1</v>
      </c>
      <c r="I32" s="15" t="n">
        <v>1</v>
      </c>
      <c r="J32" s="15" t="n">
        <v>1</v>
      </c>
      <c r="K32" s="15" t="n">
        <v>1</v>
      </c>
      <c r="L32" s="10" t="n">
        <f aca="false">Assumptions!$E$26</f>
        <v>200000</v>
      </c>
      <c r="M32" s="6" t="s">
        <v>179</v>
      </c>
      <c r="N32" s="20" t="n">
        <v>0</v>
      </c>
      <c r="O32" s="21" t="n">
        <v>0</v>
      </c>
      <c r="P32" s="10" t="n">
        <f aca="false">Assumptions!$E$28</f>
        <v>3500</v>
      </c>
    </row>
    <row r="33" customFormat="false" ht="15" hidden="false" customHeight="false" outlineLevel="0" collapsed="false">
      <c r="A33" s="6" t="s">
        <v>73</v>
      </c>
      <c r="B33" s="6" t="s">
        <v>329</v>
      </c>
      <c r="C33" s="6" t="s">
        <v>330</v>
      </c>
      <c r="D33" s="6" t="s">
        <v>331</v>
      </c>
      <c r="E33" s="6" t="s">
        <v>328</v>
      </c>
      <c r="F33" s="15" t="n">
        <v>1</v>
      </c>
      <c r="G33" s="15" t="n">
        <v>60</v>
      </c>
      <c r="H33" s="15" t="n">
        <v>1</v>
      </c>
      <c r="I33" s="15" t="n">
        <v>1</v>
      </c>
      <c r="J33" s="15" t="n">
        <v>1</v>
      </c>
      <c r="K33" s="15" t="n">
        <v>1</v>
      </c>
      <c r="L33" s="14" t="n">
        <v>165000</v>
      </c>
      <c r="M33" s="6" t="s">
        <v>191</v>
      </c>
      <c r="N33" s="22" t="n">
        <f aca="false">Assumptions!$E$11</f>
        <v>0.4</v>
      </c>
      <c r="O33" s="10" t="n">
        <f aca="false">Assumptions!$E$27</f>
        <v>12000</v>
      </c>
      <c r="P33" s="10" t="n">
        <f aca="false">Assumptions!$E$28</f>
        <v>3500</v>
      </c>
    </row>
    <row r="34" customFormat="false" ht="15" hidden="false" customHeight="false" outlineLevel="0" collapsed="false">
      <c r="A34" s="6" t="s">
        <v>73</v>
      </c>
      <c r="B34" s="6" t="s">
        <v>332</v>
      </c>
      <c r="C34" s="6" t="s">
        <v>333</v>
      </c>
      <c r="D34" s="6" t="s">
        <v>331</v>
      </c>
      <c r="E34" s="6" t="s">
        <v>328</v>
      </c>
      <c r="F34" s="15" t="n">
        <v>2</v>
      </c>
      <c r="G34" s="15" t="n">
        <v>60</v>
      </c>
      <c r="H34" s="15" t="n">
        <v>1</v>
      </c>
      <c r="I34" s="15" t="n">
        <v>2</v>
      </c>
      <c r="J34" s="15" t="n">
        <v>3</v>
      </c>
      <c r="K34" s="15" t="n">
        <v>4</v>
      </c>
      <c r="L34" s="14" t="n">
        <v>145000</v>
      </c>
      <c r="M34" s="6" t="s">
        <v>191</v>
      </c>
      <c r="N34" s="22" t="n">
        <f aca="false">Assumptions!$E$11</f>
        <v>0.4</v>
      </c>
      <c r="O34" s="10" t="n">
        <f aca="false">Assumptions!$E$27</f>
        <v>12000</v>
      </c>
      <c r="P34" s="10" t="n">
        <f aca="false">Assumptions!$E$28</f>
        <v>3500</v>
      </c>
    </row>
    <row r="35" customFormat="false" ht="15" hidden="false" customHeight="false" outlineLevel="0" collapsed="false">
      <c r="A35" s="6" t="s">
        <v>73</v>
      </c>
      <c r="B35" s="6" t="s">
        <v>334</v>
      </c>
      <c r="C35" s="6" t="s">
        <v>335</v>
      </c>
      <c r="D35" s="6" t="s">
        <v>331</v>
      </c>
      <c r="E35" s="6" t="s">
        <v>328</v>
      </c>
      <c r="F35" s="15" t="n">
        <v>3</v>
      </c>
      <c r="G35" s="15" t="n">
        <v>60</v>
      </c>
      <c r="H35" s="15" t="n">
        <v>1</v>
      </c>
      <c r="I35" s="15" t="n">
        <v>1</v>
      </c>
      <c r="J35" s="15" t="n">
        <v>2</v>
      </c>
      <c r="K35" s="15" t="n">
        <v>3</v>
      </c>
      <c r="L35" s="14" t="n">
        <v>140000</v>
      </c>
      <c r="M35" s="6" t="s">
        <v>191</v>
      </c>
      <c r="N35" s="22" t="n">
        <f aca="false">Assumptions!$E$11</f>
        <v>0.4</v>
      </c>
      <c r="O35" s="10" t="n">
        <f aca="false">Assumptions!$E$27</f>
        <v>12000</v>
      </c>
      <c r="P35" s="10" t="n">
        <f aca="false">Assumptions!$E$28</f>
        <v>3500</v>
      </c>
    </row>
    <row r="36" customFormat="false" ht="15" hidden="false" customHeight="false" outlineLevel="0" collapsed="false">
      <c r="A36" s="6" t="s">
        <v>73</v>
      </c>
      <c r="B36" s="6" t="s">
        <v>336</v>
      </c>
      <c r="C36" s="6" t="s">
        <v>337</v>
      </c>
      <c r="D36" s="6" t="s">
        <v>331</v>
      </c>
      <c r="E36" s="6" t="s">
        <v>328</v>
      </c>
      <c r="F36" s="15" t="n">
        <v>3</v>
      </c>
      <c r="G36" s="15" t="n">
        <v>60</v>
      </c>
      <c r="H36" s="15" t="n">
        <v>0.5</v>
      </c>
      <c r="I36" s="15" t="n">
        <v>1</v>
      </c>
      <c r="J36" s="15" t="n">
        <v>2</v>
      </c>
      <c r="K36" s="15" t="n">
        <v>3</v>
      </c>
      <c r="L36" s="14" t="n">
        <v>110000</v>
      </c>
      <c r="M36" s="6" t="s">
        <v>203</v>
      </c>
      <c r="N36" s="22" t="n">
        <f aca="false">Assumptions!$E$11</f>
        <v>0.4</v>
      </c>
      <c r="O36" s="10" t="n">
        <f aca="false">Assumptions!$E$27</f>
        <v>12000</v>
      </c>
      <c r="P36" s="10" t="n">
        <f aca="false">Assumptions!$E$28</f>
        <v>3500</v>
      </c>
    </row>
    <row r="37" customFormat="false" ht="15" hidden="false" customHeight="false" outlineLevel="0" collapsed="false">
      <c r="A37" s="6" t="s">
        <v>73</v>
      </c>
      <c r="B37" s="6" t="s">
        <v>338</v>
      </c>
      <c r="C37" s="6" t="s">
        <v>339</v>
      </c>
      <c r="D37" s="6" t="s">
        <v>340</v>
      </c>
      <c r="E37" s="6" t="s">
        <v>328</v>
      </c>
      <c r="F37" s="15" t="n">
        <v>2</v>
      </c>
      <c r="G37" s="15" t="n">
        <v>60</v>
      </c>
      <c r="H37" s="15" t="n">
        <v>0.5</v>
      </c>
      <c r="I37" s="15" t="n">
        <v>0.75</v>
      </c>
      <c r="J37" s="15" t="n">
        <v>1</v>
      </c>
      <c r="K37" s="15" t="n">
        <v>2</v>
      </c>
      <c r="L37" s="14" t="n">
        <v>190000</v>
      </c>
      <c r="M37" s="6" t="s">
        <v>191</v>
      </c>
      <c r="N37" s="20" t="n">
        <v>0</v>
      </c>
      <c r="O37" s="21" t="n">
        <v>0</v>
      </c>
      <c r="P37" s="10" t="n">
        <f aca="false">Assumptions!$E$28</f>
        <v>3500</v>
      </c>
    </row>
    <row r="38" customFormat="false" ht="15" hidden="false" customHeight="false" outlineLevel="0" collapsed="false">
      <c r="A38" s="6" t="s">
        <v>73</v>
      </c>
      <c r="B38" s="6" t="s">
        <v>341</v>
      </c>
      <c r="C38" s="6" t="s">
        <v>342</v>
      </c>
      <c r="D38" s="6" t="s">
        <v>340</v>
      </c>
      <c r="E38" s="6" t="s">
        <v>328</v>
      </c>
      <c r="F38" s="15" t="n">
        <v>2</v>
      </c>
      <c r="G38" s="15" t="n">
        <v>60</v>
      </c>
      <c r="H38" s="15" t="n">
        <v>0.5</v>
      </c>
      <c r="I38" s="15" t="n">
        <v>0.5</v>
      </c>
      <c r="J38" s="15" t="n">
        <v>0.75</v>
      </c>
      <c r="K38" s="15" t="n">
        <v>1</v>
      </c>
      <c r="L38" s="14" t="n">
        <v>130000</v>
      </c>
      <c r="M38" s="6" t="s">
        <v>179</v>
      </c>
      <c r="N38" s="20" t="n">
        <v>0</v>
      </c>
      <c r="O38" s="21" t="n">
        <v>0</v>
      </c>
      <c r="P38" s="10" t="n">
        <f aca="false">Assumptions!$E$28</f>
        <v>3500</v>
      </c>
    </row>
    <row r="39" customFormat="false" ht="15" hidden="false" customHeight="false" outlineLevel="0" collapsed="false">
      <c r="A39" s="6" t="s">
        <v>73</v>
      </c>
      <c r="B39" s="6" t="s">
        <v>343</v>
      </c>
      <c r="C39" s="6" t="s">
        <v>344</v>
      </c>
      <c r="D39" s="6" t="s">
        <v>340</v>
      </c>
      <c r="E39" s="6" t="s">
        <v>328</v>
      </c>
      <c r="F39" s="15" t="n">
        <v>2</v>
      </c>
      <c r="G39" s="15" t="n">
        <v>60</v>
      </c>
      <c r="H39" s="15" t="n">
        <v>0.25</v>
      </c>
      <c r="I39" s="15" t="n">
        <v>0.5</v>
      </c>
      <c r="J39" s="15" t="n">
        <v>0.75</v>
      </c>
      <c r="K39" s="15" t="n">
        <v>1</v>
      </c>
      <c r="L39" s="14" t="n">
        <v>200000</v>
      </c>
      <c r="M39" s="6" t="s">
        <v>179</v>
      </c>
      <c r="N39" s="20" t="n">
        <v>0</v>
      </c>
      <c r="O39" s="21" t="n">
        <v>0</v>
      </c>
      <c r="P39" s="10" t="n">
        <f aca="false">Assumptions!$E$28</f>
        <v>3500</v>
      </c>
    </row>
    <row r="40" customFormat="false" ht="15" hidden="false" customHeight="false" outlineLevel="0" collapsed="false">
      <c r="A40" s="6" t="s">
        <v>73</v>
      </c>
      <c r="B40" s="6" t="s">
        <v>345</v>
      </c>
      <c r="C40" s="6" t="s">
        <v>346</v>
      </c>
      <c r="D40" s="6" t="s">
        <v>331</v>
      </c>
      <c r="E40" s="6" t="s">
        <v>328</v>
      </c>
      <c r="F40" s="15" t="n">
        <v>9</v>
      </c>
      <c r="G40" s="15" t="n">
        <v>60</v>
      </c>
      <c r="H40" s="15" t="n">
        <v>0</v>
      </c>
      <c r="I40" s="15" t="n">
        <v>1</v>
      </c>
      <c r="J40" s="15" t="n">
        <v>2</v>
      </c>
      <c r="K40" s="15" t="n">
        <v>4</v>
      </c>
      <c r="L40" s="14" t="n">
        <v>90000</v>
      </c>
      <c r="M40" s="6" t="s">
        <v>179</v>
      </c>
      <c r="N40" s="22" t="n">
        <f aca="false">Assumptions!$E$11</f>
        <v>0.4</v>
      </c>
      <c r="O40" s="10" t="n">
        <f aca="false">Assumptions!$E$27</f>
        <v>12000</v>
      </c>
      <c r="P40" s="10" t="n">
        <f aca="false">Assumptions!$E$28</f>
        <v>3500</v>
      </c>
    </row>
    <row r="41" customFormat="false" ht="15" hidden="false" customHeight="false" outlineLevel="0" collapsed="false">
      <c r="A41" s="6" t="s">
        <v>73</v>
      </c>
      <c r="B41" s="6" t="s">
        <v>347</v>
      </c>
      <c r="C41" s="6" t="s">
        <v>348</v>
      </c>
      <c r="D41" s="6" t="s">
        <v>331</v>
      </c>
      <c r="E41" s="6" t="s">
        <v>328</v>
      </c>
      <c r="F41" s="15" t="n">
        <v>16</v>
      </c>
      <c r="G41" s="15" t="n">
        <v>60</v>
      </c>
      <c r="H41" s="15" t="n">
        <v>0</v>
      </c>
      <c r="I41" s="15" t="n">
        <v>0</v>
      </c>
      <c r="J41" s="15" t="n">
        <v>1</v>
      </c>
      <c r="K41" s="15" t="n">
        <v>3</v>
      </c>
      <c r="L41" s="14" t="n">
        <v>120000</v>
      </c>
      <c r="M41" s="6" t="s">
        <v>179</v>
      </c>
      <c r="N41" s="22" t="n">
        <f aca="false">Assumptions!$E$11</f>
        <v>0.4</v>
      </c>
      <c r="O41" s="10" t="n">
        <f aca="false">Assumptions!$E$27</f>
        <v>12000</v>
      </c>
      <c r="P41" s="10" t="n">
        <f aca="false">Assumptions!$E$28</f>
        <v>3500</v>
      </c>
    </row>
    <row r="42" customFormat="false" ht="15" hidden="false" customHeight="false" outlineLevel="0" collapsed="false">
      <c r="A42" s="6" t="s">
        <v>73</v>
      </c>
      <c r="B42" s="6" t="s">
        <v>349</v>
      </c>
      <c r="C42" s="6" t="s">
        <v>350</v>
      </c>
      <c r="D42" s="6" t="s">
        <v>331</v>
      </c>
      <c r="E42" s="6" t="s">
        <v>59</v>
      </c>
      <c r="F42" s="15" t="n">
        <v>16</v>
      </c>
      <c r="G42" s="15" t="n">
        <v>60</v>
      </c>
      <c r="H42" s="15" t="n">
        <v>0</v>
      </c>
      <c r="I42" s="15" t="n">
        <v>1</v>
      </c>
      <c r="J42" s="15" t="n">
        <v>1</v>
      </c>
      <c r="K42" s="15" t="n">
        <v>2</v>
      </c>
      <c r="L42" s="14" t="n">
        <v>170000</v>
      </c>
      <c r="M42" s="6" t="s">
        <v>191</v>
      </c>
      <c r="N42" s="22" t="n">
        <f aca="false">Assumptions!$E$11</f>
        <v>0.4</v>
      </c>
      <c r="O42" s="10" t="n">
        <f aca="false">Assumptions!$E$27</f>
        <v>12000</v>
      </c>
      <c r="P42" s="10" t="n">
        <f aca="false">Assumptions!$E$28</f>
        <v>3500</v>
      </c>
    </row>
    <row r="43" customFormat="false" ht="15" hidden="false" customHeight="false" outlineLevel="0" collapsed="false">
      <c r="A43" s="6" t="s">
        <v>73</v>
      </c>
      <c r="B43" s="6" t="s">
        <v>351</v>
      </c>
      <c r="C43" s="6" t="s">
        <v>352</v>
      </c>
      <c r="D43" s="6" t="s">
        <v>340</v>
      </c>
      <c r="E43" s="6" t="s">
        <v>61</v>
      </c>
      <c r="F43" s="15" t="n">
        <v>25</v>
      </c>
      <c r="G43" s="15" t="n">
        <v>60</v>
      </c>
      <c r="H43" s="15" t="n">
        <v>0</v>
      </c>
      <c r="I43" s="15" t="n">
        <v>0</v>
      </c>
      <c r="J43" s="15" t="n">
        <v>1</v>
      </c>
      <c r="K43" s="15" t="n">
        <v>1</v>
      </c>
      <c r="L43" s="14" t="n">
        <v>180000</v>
      </c>
      <c r="M43" s="6" t="s">
        <v>179</v>
      </c>
      <c r="N43" s="20" t="n">
        <v>0</v>
      </c>
      <c r="O43" s="21" t="n">
        <v>0</v>
      </c>
      <c r="P43" s="10" t="n">
        <f aca="false">Assumptions!$E$28</f>
        <v>3500</v>
      </c>
    </row>
    <row r="44" customFormat="false" ht="15" hidden="false" customHeight="false" outlineLevel="0" collapsed="false">
      <c r="A44" s="6" t="s">
        <v>73</v>
      </c>
      <c r="B44" s="6" t="s">
        <v>353</v>
      </c>
      <c r="C44" s="6" t="s">
        <v>354</v>
      </c>
      <c r="D44" s="6" t="s">
        <v>331</v>
      </c>
      <c r="E44" s="6" t="s">
        <v>61</v>
      </c>
      <c r="F44" s="15" t="n">
        <v>25</v>
      </c>
      <c r="G44" s="15" t="n">
        <v>60</v>
      </c>
      <c r="H44" s="15" t="n">
        <v>0</v>
      </c>
      <c r="I44" s="15" t="n">
        <v>0</v>
      </c>
      <c r="J44" s="15" t="n">
        <v>1</v>
      </c>
      <c r="K44" s="15" t="n">
        <v>2</v>
      </c>
      <c r="L44" s="14" t="n">
        <v>155000</v>
      </c>
      <c r="M44" s="6" t="s">
        <v>191</v>
      </c>
      <c r="N44" s="22" t="n">
        <f aca="false">Assumptions!$E$11</f>
        <v>0.4</v>
      </c>
      <c r="O44" s="10" t="n">
        <f aca="false">Assumptions!$E$27</f>
        <v>12000</v>
      </c>
      <c r="P44" s="10" t="n">
        <f aca="false">Assumptions!$E$28</f>
        <v>3500</v>
      </c>
    </row>
  </sheetData>
  <autoFilter ref="A5:P44"/>
  <mergeCells count="1">
    <mergeCell ref="A2:H2"/>
  </mergeCells>
  <dataValidations count="3">
    <dataValidation allowBlank="false" error="Enter a value between 1 and 60." errorStyle="stop" operator="between" showDropDown="false" showErrorMessage="true" showInputMessage="false" sqref="F6:G44" type="whole">
      <formula1>1</formula1>
      <formula2>60</formula2>
    </dataValidation>
    <dataValidation allowBlank="false" error="Enter a value between 0 and 100." errorStyle="stop" operator="between" showDropDown="false" showErrorMessage="true" showInputMessage="false" sqref="H6:K44" type="decimal">
      <formula1>0</formula1>
      <formula2>100</formula2>
    </dataValidation>
    <dataValidation allowBlank="false" error="Enter a value between 0 and 10000000.0." errorStyle="stop" operator="between" showDropDown="false" showErrorMessage="true" showInputMessage="false" sqref="L6:L44" type="decimal">
      <formula1>0</formula1>
      <formula2>10000000</formula2>
    </dataValidation>
  </dataValidation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58"/>
    <col collapsed="false" customWidth="true" hidden="false" outlineLevel="0" max="12" min="4" style="0" width="20"/>
    <col collapsed="false" customWidth="true" hidden="false" outlineLevel="0" max="13" min="13" style="0" width="86"/>
    <col collapsed="false" customWidth="true" hidden="false" outlineLevel="0" max="14" min="14" style="0" width="20"/>
  </cols>
  <sheetData>
    <row r="1" customFormat="false" ht="28.5" hidden="false" customHeight="true" outlineLevel="0" collapsed="false">
      <c r="A1" s="1" t="s">
        <v>355</v>
      </c>
    </row>
    <row r="2" customFormat="false" ht="43.5" hidden="false" customHeight="true" outlineLevel="0" collapsed="false">
      <c r="A2" s="2" t="s">
        <v>356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357</v>
      </c>
      <c r="B5" s="13" t="s">
        <v>358</v>
      </c>
      <c r="C5" s="13" t="s">
        <v>359</v>
      </c>
      <c r="D5" s="13" t="s">
        <v>360</v>
      </c>
      <c r="E5" s="13" t="s">
        <v>313</v>
      </c>
      <c r="F5" s="13" t="s">
        <v>361</v>
      </c>
      <c r="G5" s="13" t="s">
        <v>362</v>
      </c>
      <c r="H5" s="13" t="s">
        <v>363</v>
      </c>
      <c r="I5" s="13" t="s">
        <v>364</v>
      </c>
      <c r="J5" s="13" t="s">
        <v>365</v>
      </c>
      <c r="K5" s="13" t="s">
        <v>164</v>
      </c>
      <c r="L5" s="13" t="s">
        <v>174</v>
      </c>
      <c r="M5" s="13" t="s">
        <v>366</v>
      </c>
      <c r="N5" s="13" t="s">
        <v>367</v>
      </c>
    </row>
    <row r="6" customFormat="false" ht="15" hidden="false" customHeight="false" outlineLevel="0" collapsed="false">
      <c r="A6" s="6" t="s">
        <v>368</v>
      </c>
      <c r="B6" s="6" t="s">
        <v>39</v>
      </c>
      <c r="C6" s="6" t="s">
        <v>369</v>
      </c>
      <c r="D6" s="6" t="s">
        <v>12</v>
      </c>
      <c r="E6" s="6" t="s">
        <v>328</v>
      </c>
      <c r="F6" s="8" t="n">
        <v>1</v>
      </c>
      <c r="G6" s="8" t="n">
        <v>60</v>
      </c>
      <c r="H6" s="9" t="s">
        <v>370</v>
      </c>
      <c r="I6" s="9" t="s">
        <v>371</v>
      </c>
      <c r="J6" s="14" t="n">
        <v>400</v>
      </c>
      <c r="K6" s="6" t="s">
        <v>230</v>
      </c>
      <c r="L6" s="18" t="s">
        <v>237</v>
      </c>
      <c r="M6" s="6" t="s">
        <v>372</v>
      </c>
      <c r="N6" s="23" t="n">
        <f aca="false">IF(AND(OR(D6="Both",D6='Start Here'!$B$9),IF(E6="Core",1,IF(E6="AI",'Start Here'!$B$7,'Start Here'!$B$8))=1,OR(L6="Quote required",L6="Unverified")),1,0)</f>
        <v>1</v>
      </c>
    </row>
    <row r="7" customFormat="false" ht="15" hidden="false" customHeight="false" outlineLevel="0" collapsed="false">
      <c r="A7" s="6" t="s">
        <v>373</v>
      </c>
      <c r="B7" s="6" t="s">
        <v>39</v>
      </c>
      <c r="C7" s="6" t="s">
        <v>374</v>
      </c>
      <c r="D7" s="6" t="s">
        <v>12</v>
      </c>
      <c r="E7" s="6" t="s">
        <v>328</v>
      </c>
      <c r="F7" s="8" t="n">
        <v>1</v>
      </c>
      <c r="G7" s="8" t="n">
        <v>60</v>
      </c>
      <c r="H7" s="9" t="s">
        <v>370</v>
      </c>
      <c r="I7" s="9" t="s">
        <v>371</v>
      </c>
      <c r="J7" s="14" t="n">
        <v>600</v>
      </c>
      <c r="K7" s="6" t="s">
        <v>241</v>
      </c>
      <c r="L7" s="18" t="s">
        <v>237</v>
      </c>
      <c r="M7" s="6" t="s">
        <v>375</v>
      </c>
      <c r="N7" s="23" t="n">
        <f aca="false">IF(AND(OR(D7="Both",D7='Start Here'!$B$9),IF(E7="Core",1,IF(E7="AI",'Start Here'!$B$7,'Start Here'!$B$8))=1,OR(L7="Quote required",L7="Unverified")),1,0)</f>
        <v>1</v>
      </c>
    </row>
    <row r="8" customFormat="false" ht="15" hidden="false" customHeight="false" outlineLevel="0" collapsed="false">
      <c r="A8" s="6" t="s">
        <v>376</v>
      </c>
      <c r="B8" s="6" t="s">
        <v>39</v>
      </c>
      <c r="C8" s="6" t="s">
        <v>377</v>
      </c>
      <c r="D8" s="6" t="s">
        <v>258</v>
      </c>
      <c r="E8" s="6" t="s">
        <v>328</v>
      </c>
      <c r="F8" s="8" t="n">
        <v>1</v>
      </c>
      <c r="G8" s="8" t="n">
        <v>60</v>
      </c>
      <c r="H8" s="9" t="s">
        <v>370</v>
      </c>
      <c r="I8" s="9" t="s">
        <v>371</v>
      </c>
      <c r="J8" s="14" t="n">
        <v>1100</v>
      </c>
      <c r="K8" s="6" t="s">
        <v>258</v>
      </c>
      <c r="L8" s="18" t="s">
        <v>237</v>
      </c>
      <c r="M8" s="6" t="s">
        <v>378</v>
      </c>
      <c r="N8" s="23" t="n">
        <f aca="false">IF(AND(OR(D8="Both",D8='Start Here'!$B$9),IF(E8="Core",1,IF(E8="AI",'Start Here'!$B$7,'Start Here'!$B$8))=1,OR(L8="Quote required",L8="Unverified")),1,0)</f>
        <v>0</v>
      </c>
    </row>
    <row r="9" customFormat="false" ht="15" hidden="false" customHeight="false" outlineLevel="0" collapsed="false">
      <c r="A9" s="6" t="s">
        <v>379</v>
      </c>
      <c r="B9" s="6" t="s">
        <v>39</v>
      </c>
      <c r="C9" s="6" t="s">
        <v>380</v>
      </c>
      <c r="D9" s="6" t="s">
        <v>381</v>
      </c>
      <c r="E9" s="6" t="s">
        <v>328</v>
      </c>
      <c r="F9" s="8" t="n">
        <v>1</v>
      </c>
      <c r="G9" s="8" t="n">
        <v>60</v>
      </c>
      <c r="H9" s="9" t="s">
        <v>370</v>
      </c>
      <c r="I9" s="9" t="s">
        <v>371</v>
      </c>
      <c r="J9" s="14" t="n">
        <v>250</v>
      </c>
      <c r="K9" s="6" t="s">
        <v>179</v>
      </c>
      <c r="L9" s="18" t="s">
        <v>237</v>
      </c>
      <c r="M9" s="6" t="s">
        <v>382</v>
      </c>
      <c r="N9" s="23" t="n">
        <f aca="false">IF(AND(OR(D9="Both",D9='Start Here'!$B$9),IF(E9="Core",1,IF(E9="AI",'Start Here'!$B$7,'Start Here'!$B$8))=1,OR(L9="Quote required",L9="Unverified")),1,0)</f>
        <v>1</v>
      </c>
    </row>
    <row r="10" customFormat="false" ht="15" hidden="false" customHeight="false" outlineLevel="0" collapsed="false">
      <c r="A10" s="6" t="s">
        <v>383</v>
      </c>
      <c r="B10" s="6" t="s">
        <v>39</v>
      </c>
      <c r="C10" s="6" t="s">
        <v>384</v>
      </c>
      <c r="D10" s="6" t="s">
        <v>381</v>
      </c>
      <c r="E10" s="6" t="s">
        <v>328</v>
      </c>
      <c r="F10" s="8" t="n">
        <v>1</v>
      </c>
      <c r="G10" s="8" t="n">
        <v>60</v>
      </c>
      <c r="H10" s="9" t="s">
        <v>370</v>
      </c>
      <c r="I10" s="9" t="s">
        <v>385</v>
      </c>
      <c r="J10" s="14" t="n">
        <v>0.15</v>
      </c>
      <c r="K10" s="6" t="s">
        <v>179</v>
      </c>
      <c r="L10" s="6" t="s">
        <v>186</v>
      </c>
      <c r="M10" s="6" t="s">
        <v>386</v>
      </c>
      <c r="N10" s="23" t="n">
        <f aca="false">IF(AND(OR(D10="Both",D10='Start Here'!$B$9),IF(E10="Core",1,IF(E10="AI",'Start Here'!$B$7,'Start Here'!$B$8))=1,OR(L10="Quote required",L10="Unverified")),1,0)</f>
        <v>0</v>
      </c>
    </row>
    <row r="11" customFormat="false" ht="15" hidden="false" customHeight="false" outlineLevel="0" collapsed="false">
      <c r="A11" s="6" t="s">
        <v>387</v>
      </c>
      <c r="B11" s="6" t="s">
        <v>39</v>
      </c>
      <c r="C11" s="6" t="s">
        <v>388</v>
      </c>
      <c r="D11" s="6" t="s">
        <v>381</v>
      </c>
      <c r="E11" s="6" t="s">
        <v>328</v>
      </c>
      <c r="F11" s="8" t="n">
        <v>1</v>
      </c>
      <c r="G11" s="8" t="n">
        <v>60</v>
      </c>
      <c r="H11" s="9" t="s">
        <v>370</v>
      </c>
      <c r="I11" s="9" t="s">
        <v>389</v>
      </c>
      <c r="J11" s="14" t="n">
        <v>5</v>
      </c>
      <c r="K11" s="6" t="s">
        <v>179</v>
      </c>
      <c r="L11" s="6" t="s">
        <v>186</v>
      </c>
      <c r="M11" s="6" t="s">
        <v>390</v>
      </c>
      <c r="N11" s="23" t="n">
        <f aca="false">IF(AND(OR(D11="Both",D11='Start Here'!$B$9),IF(E11="Core",1,IF(E11="AI",'Start Here'!$B$7,'Start Here'!$B$8))=1,OR(L11="Quote required",L11="Unverified")),1,0)</f>
        <v>0</v>
      </c>
    </row>
    <row r="12" customFormat="false" ht="15" hidden="false" customHeight="false" outlineLevel="0" collapsed="false">
      <c r="A12" s="6" t="s">
        <v>391</v>
      </c>
      <c r="B12" s="6" t="s">
        <v>39</v>
      </c>
      <c r="C12" s="6" t="s">
        <v>392</v>
      </c>
      <c r="D12" s="6" t="s">
        <v>381</v>
      </c>
      <c r="E12" s="6" t="s">
        <v>328</v>
      </c>
      <c r="F12" s="8" t="n">
        <v>1</v>
      </c>
      <c r="G12" s="8" t="n">
        <v>60</v>
      </c>
      <c r="H12" s="9" t="s">
        <v>370</v>
      </c>
      <c r="I12" s="9" t="s">
        <v>393</v>
      </c>
      <c r="J12" s="14" t="n">
        <v>30</v>
      </c>
      <c r="K12" s="6" t="s">
        <v>179</v>
      </c>
      <c r="L12" s="6" t="s">
        <v>186</v>
      </c>
      <c r="M12" s="6" t="s">
        <v>394</v>
      </c>
      <c r="N12" s="23" t="n">
        <f aca="false">IF(AND(OR(D12="Both",D12='Start Here'!$B$9),IF(E12="Core",1,IF(E12="AI",'Start Here'!$B$7,'Start Here'!$B$8))=1,OR(L12="Quote required",L12="Unverified")),1,0)</f>
        <v>0</v>
      </c>
    </row>
    <row r="13" customFormat="false" ht="15" hidden="false" customHeight="false" outlineLevel="0" collapsed="false">
      <c r="A13" s="6" t="s">
        <v>395</v>
      </c>
      <c r="B13" s="6" t="s">
        <v>41</v>
      </c>
      <c r="C13" s="6" t="s">
        <v>396</v>
      </c>
      <c r="D13" s="6" t="s">
        <v>381</v>
      </c>
      <c r="E13" s="6" t="s">
        <v>328</v>
      </c>
      <c r="F13" s="8" t="n">
        <v>1</v>
      </c>
      <c r="G13" s="8" t="n">
        <v>60</v>
      </c>
      <c r="H13" s="9" t="s">
        <v>370</v>
      </c>
      <c r="I13" s="9" t="s">
        <v>397</v>
      </c>
      <c r="J13" s="14" t="n">
        <v>4</v>
      </c>
      <c r="K13" s="6" t="s">
        <v>218</v>
      </c>
      <c r="L13" s="6" t="s">
        <v>225</v>
      </c>
      <c r="M13" s="6" t="s">
        <v>398</v>
      </c>
      <c r="N13" s="23" t="n">
        <f aca="false">IF(AND(OR(D13="Both",D13='Start Here'!$B$9),IF(E13="Core",1,IF(E13="AI",'Start Here'!$B$7,'Start Here'!$B$8))=1,OR(L13="Quote required",L13="Unverified")),1,0)</f>
        <v>0</v>
      </c>
    </row>
    <row r="14" customFormat="false" ht="15" hidden="false" customHeight="false" outlineLevel="0" collapsed="false">
      <c r="A14" s="6" t="s">
        <v>399</v>
      </c>
      <c r="B14" s="6" t="s">
        <v>41</v>
      </c>
      <c r="C14" s="6" t="s">
        <v>400</v>
      </c>
      <c r="D14" s="6" t="s">
        <v>381</v>
      </c>
      <c r="E14" s="6" t="s">
        <v>328</v>
      </c>
      <c r="F14" s="8" t="n">
        <v>1</v>
      </c>
      <c r="G14" s="8" t="n">
        <v>60</v>
      </c>
      <c r="H14" s="9" t="s">
        <v>370</v>
      </c>
      <c r="I14" s="9" t="s">
        <v>397</v>
      </c>
      <c r="J14" s="14" t="n">
        <v>45</v>
      </c>
      <c r="K14" s="6" t="s">
        <v>179</v>
      </c>
      <c r="L14" s="6" t="s">
        <v>186</v>
      </c>
      <c r="M14" s="6" t="s">
        <v>401</v>
      </c>
      <c r="N14" s="23" t="n">
        <f aca="false">IF(AND(OR(D14="Both",D14='Start Here'!$B$9),IF(E14="Core",1,IF(E14="AI",'Start Here'!$B$7,'Start Here'!$B$8))=1,OR(L14="Quote required",L14="Unverified")),1,0)</f>
        <v>0</v>
      </c>
    </row>
    <row r="15" customFormat="false" ht="15" hidden="false" customHeight="false" outlineLevel="0" collapsed="false">
      <c r="A15" s="6" t="s">
        <v>402</v>
      </c>
      <c r="B15" s="6" t="s">
        <v>43</v>
      </c>
      <c r="C15" s="6" t="s">
        <v>403</v>
      </c>
      <c r="D15" s="6" t="s">
        <v>381</v>
      </c>
      <c r="E15" s="6" t="s">
        <v>328</v>
      </c>
      <c r="F15" s="8" t="n">
        <v>2</v>
      </c>
      <c r="G15" s="8" t="n">
        <v>2</v>
      </c>
      <c r="H15" s="9" t="s">
        <v>404</v>
      </c>
      <c r="I15" s="9" t="s">
        <v>371</v>
      </c>
      <c r="J15" s="14" t="n">
        <v>20000</v>
      </c>
      <c r="K15" s="6" t="s">
        <v>179</v>
      </c>
      <c r="L15" s="18" t="s">
        <v>237</v>
      </c>
      <c r="M15" s="6" t="s">
        <v>405</v>
      </c>
      <c r="N15" s="23" t="n">
        <f aca="false">IF(AND(OR(D15="Both",D15='Start Here'!$B$9),IF(E15="Core",1,IF(E15="AI",'Start Here'!$B$7,'Start Here'!$B$8))=1,OR(L15="Quote required",L15="Unverified")),1,0)</f>
        <v>1</v>
      </c>
    </row>
    <row r="16" customFormat="false" ht="15" hidden="false" customHeight="false" outlineLevel="0" collapsed="false">
      <c r="A16" s="6" t="s">
        <v>406</v>
      </c>
      <c r="B16" s="6" t="s">
        <v>43</v>
      </c>
      <c r="C16" s="6" t="s">
        <v>407</v>
      </c>
      <c r="D16" s="6" t="s">
        <v>381</v>
      </c>
      <c r="E16" s="6" t="s">
        <v>328</v>
      </c>
      <c r="F16" s="8" t="n">
        <v>14</v>
      </c>
      <c r="G16" s="8" t="n">
        <v>60</v>
      </c>
      <c r="H16" s="9" t="s">
        <v>408</v>
      </c>
      <c r="I16" s="9" t="s">
        <v>371</v>
      </c>
      <c r="J16" s="14" t="n">
        <v>12000</v>
      </c>
      <c r="K16" s="6" t="s">
        <v>179</v>
      </c>
      <c r="L16" s="18" t="s">
        <v>237</v>
      </c>
      <c r="M16" s="6" t="s">
        <v>409</v>
      </c>
      <c r="N16" s="23" t="n">
        <f aca="false">IF(AND(OR(D16="Both",D16='Start Here'!$B$9),IF(E16="Core",1,IF(E16="AI",'Start Here'!$B$7,'Start Here'!$B$8))=1,OR(L16="Quote required",L16="Unverified")),1,0)</f>
        <v>1</v>
      </c>
    </row>
    <row r="17" customFormat="false" ht="15" hidden="false" customHeight="false" outlineLevel="0" collapsed="false">
      <c r="A17" s="6" t="s">
        <v>410</v>
      </c>
      <c r="B17" s="6" t="s">
        <v>45</v>
      </c>
      <c r="C17" s="6" t="s">
        <v>411</v>
      </c>
      <c r="D17" s="6" t="s">
        <v>381</v>
      </c>
      <c r="E17" s="6" t="s">
        <v>328</v>
      </c>
      <c r="F17" s="8" t="n">
        <v>10</v>
      </c>
      <c r="G17" s="8" t="n">
        <v>60</v>
      </c>
      <c r="H17" s="9" t="s">
        <v>408</v>
      </c>
      <c r="I17" s="9" t="s">
        <v>371</v>
      </c>
      <c r="J17" s="14" t="n">
        <v>18000</v>
      </c>
      <c r="K17" s="6" t="s">
        <v>179</v>
      </c>
      <c r="L17" s="18" t="s">
        <v>237</v>
      </c>
      <c r="M17" s="6" t="s">
        <v>412</v>
      </c>
      <c r="N17" s="23" t="n">
        <f aca="false">IF(AND(OR(D17="Both",D17='Start Here'!$B$9),IF(E17="Core",1,IF(E17="AI",'Start Here'!$B$7,'Start Here'!$B$8))=1,OR(L17="Quote required",L17="Unverified")),1,0)</f>
        <v>1</v>
      </c>
    </row>
    <row r="18" customFormat="false" ht="15" hidden="false" customHeight="false" outlineLevel="0" collapsed="false">
      <c r="A18" s="6" t="s">
        <v>413</v>
      </c>
      <c r="B18" s="6" t="s">
        <v>47</v>
      </c>
      <c r="C18" s="6" t="s">
        <v>414</v>
      </c>
      <c r="D18" s="6" t="s">
        <v>381</v>
      </c>
      <c r="E18" s="6" t="s">
        <v>328</v>
      </c>
      <c r="F18" s="8" t="n">
        <v>11</v>
      </c>
      <c r="G18" s="8" t="n">
        <v>60</v>
      </c>
      <c r="H18" s="9" t="s">
        <v>408</v>
      </c>
      <c r="I18" s="9" t="s">
        <v>371</v>
      </c>
      <c r="J18" s="14" t="n">
        <v>15000</v>
      </c>
      <c r="K18" s="6" t="s">
        <v>179</v>
      </c>
      <c r="L18" s="18" t="s">
        <v>237</v>
      </c>
      <c r="M18" s="6" t="s">
        <v>415</v>
      </c>
      <c r="N18" s="23" t="n">
        <f aca="false">IF(AND(OR(D18="Both",D18='Start Here'!$B$9),IF(E18="Core",1,IF(E18="AI",'Start Here'!$B$7,'Start Here'!$B$8))=1,OR(L18="Quote required",L18="Unverified")),1,0)</f>
        <v>1</v>
      </c>
    </row>
    <row r="19" customFormat="false" ht="15" hidden="false" customHeight="false" outlineLevel="0" collapsed="false">
      <c r="A19" s="6" t="s">
        <v>49</v>
      </c>
      <c r="B19" s="6" t="s">
        <v>49</v>
      </c>
      <c r="C19" s="6" t="s">
        <v>416</v>
      </c>
      <c r="D19" s="6" t="s">
        <v>381</v>
      </c>
      <c r="E19" s="6" t="s">
        <v>328</v>
      </c>
      <c r="F19" s="8" t="n">
        <v>9</v>
      </c>
      <c r="G19" s="8" t="n">
        <v>60</v>
      </c>
      <c r="H19" s="9" t="s">
        <v>408</v>
      </c>
      <c r="I19" s="9" t="s">
        <v>371</v>
      </c>
      <c r="J19" s="14" t="n">
        <v>12000</v>
      </c>
      <c r="K19" s="6" t="s">
        <v>179</v>
      </c>
      <c r="L19" s="18" t="s">
        <v>237</v>
      </c>
      <c r="M19" s="6" t="s">
        <v>417</v>
      </c>
      <c r="N19" s="23" t="n">
        <f aca="false">IF(AND(OR(D19="Both",D19='Start Here'!$B$9),IF(E19="Core",1,IF(E19="AI",'Start Here'!$B$7,'Start Here'!$B$8))=1,OR(L19="Quote required",L19="Unverified")),1,0)</f>
        <v>1</v>
      </c>
    </row>
    <row r="20" customFormat="false" ht="15" hidden="false" customHeight="false" outlineLevel="0" collapsed="false">
      <c r="A20" s="6" t="s">
        <v>51</v>
      </c>
      <c r="B20" s="6" t="s">
        <v>51</v>
      </c>
      <c r="C20" s="6" t="s">
        <v>418</v>
      </c>
      <c r="D20" s="6" t="s">
        <v>381</v>
      </c>
      <c r="E20" s="6" t="s">
        <v>328</v>
      </c>
      <c r="F20" s="8" t="n">
        <v>1</v>
      </c>
      <c r="G20" s="8" t="n">
        <v>60</v>
      </c>
      <c r="H20" s="9" t="s">
        <v>370</v>
      </c>
      <c r="I20" s="9" t="s">
        <v>371</v>
      </c>
      <c r="J20" s="14" t="n">
        <v>600</v>
      </c>
      <c r="K20" s="6" t="s">
        <v>179</v>
      </c>
      <c r="L20" s="18" t="s">
        <v>237</v>
      </c>
      <c r="M20" s="6" t="s">
        <v>419</v>
      </c>
      <c r="N20" s="23" t="n">
        <f aca="false">IF(AND(OR(D20="Both",D20='Start Here'!$B$9),IF(E20="Core",1,IF(E20="AI",'Start Here'!$B$7,'Start Here'!$B$8))=1,OR(L20="Quote required",L20="Unverified")),1,0)</f>
        <v>1</v>
      </c>
    </row>
    <row r="21" customFormat="false" ht="15" hidden="false" customHeight="false" outlineLevel="0" collapsed="false">
      <c r="A21" s="6" t="s">
        <v>53</v>
      </c>
      <c r="B21" s="6" t="s">
        <v>53</v>
      </c>
      <c r="C21" s="6" t="s">
        <v>420</v>
      </c>
      <c r="D21" s="6" t="s">
        <v>381</v>
      </c>
      <c r="E21" s="6" t="s">
        <v>328</v>
      </c>
      <c r="F21" s="8" t="n">
        <v>9</v>
      </c>
      <c r="G21" s="8" t="n">
        <v>60</v>
      </c>
      <c r="H21" s="9" t="s">
        <v>370</v>
      </c>
      <c r="I21" s="9" t="s">
        <v>371</v>
      </c>
      <c r="J21" s="14" t="n">
        <v>100</v>
      </c>
      <c r="K21" s="6" t="s">
        <v>179</v>
      </c>
      <c r="L21" s="6" t="s">
        <v>186</v>
      </c>
      <c r="M21" s="6" t="s">
        <v>421</v>
      </c>
      <c r="N21" s="23" t="n">
        <f aca="false">IF(AND(OR(D21="Both",D21='Start Here'!$B$9),IF(E21="Core",1,IF(E21="AI",'Start Here'!$B$7,'Start Here'!$B$8))=1,OR(L21="Quote required",L21="Unverified")),1,0)</f>
        <v>0</v>
      </c>
    </row>
    <row r="22" customFormat="false" ht="15" hidden="false" customHeight="false" outlineLevel="0" collapsed="false">
      <c r="A22" s="6" t="s">
        <v>55</v>
      </c>
      <c r="B22" s="6" t="s">
        <v>55</v>
      </c>
      <c r="C22" s="6" t="s">
        <v>422</v>
      </c>
      <c r="D22" s="6" t="s">
        <v>381</v>
      </c>
      <c r="E22" s="6" t="s">
        <v>328</v>
      </c>
      <c r="F22" s="8" t="n">
        <v>10</v>
      </c>
      <c r="G22" s="8" t="n">
        <v>60</v>
      </c>
      <c r="H22" s="9" t="s">
        <v>370</v>
      </c>
      <c r="I22" s="9" t="s">
        <v>423</v>
      </c>
      <c r="J22" s="14" t="n">
        <v>75</v>
      </c>
      <c r="K22" s="6" t="s">
        <v>179</v>
      </c>
      <c r="L22" s="6" t="s">
        <v>186</v>
      </c>
      <c r="M22" s="6" t="s">
        <v>424</v>
      </c>
      <c r="N22" s="23" t="n">
        <f aca="false">IF(AND(OR(D22="Both",D22='Start Here'!$B$9),IF(E22="Core",1,IF(E22="AI",'Start Here'!$B$7,'Start Here'!$B$8))=1,OR(L22="Quote required",L22="Unverified")),1,0)</f>
        <v>0</v>
      </c>
    </row>
    <row r="23" customFormat="false" ht="15" hidden="false" customHeight="false" outlineLevel="0" collapsed="false">
      <c r="A23" s="6" t="s">
        <v>57</v>
      </c>
      <c r="B23" s="6" t="s">
        <v>57</v>
      </c>
      <c r="C23" s="6" t="s">
        <v>425</v>
      </c>
      <c r="D23" s="6" t="s">
        <v>381</v>
      </c>
      <c r="E23" s="6" t="s">
        <v>328</v>
      </c>
      <c r="F23" s="8" t="n">
        <v>10</v>
      </c>
      <c r="G23" s="8" t="n">
        <v>60</v>
      </c>
      <c r="H23" s="9" t="s">
        <v>370</v>
      </c>
      <c r="I23" s="9" t="s">
        <v>426</v>
      </c>
      <c r="J23" s="14" t="n">
        <v>300</v>
      </c>
      <c r="K23" s="6" t="s">
        <v>179</v>
      </c>
      <c r="L23" s="6" t="s">
        <v>186</v>
      </c>
      <c r="M23" s="6" t="s">
        <v>427</v>
      </c>
      <c r="N23" s="23" t="n">
        <f aca="false">IF(AND(OR(D23="Both",D23='Start Here'!$B$9),IF(E23="Core",1,IF(E23="AI",'Start Here'!$B$7,'Start Here'!$B$8))=1,OR(L23="Quote required",L23="Unverified")),1,0)</f>
        <v>0</v>
      </c>
    </row>
    <row r="24" customFormat="false" ht="15" hidden="false" customHeight="false" outlineLevel="0" collapsed="false">
      <c r="A24" s="6" t="s">
        <v>428</v>
      </c>
      <c r="B24" s="6" t="s">
        <v>59</v>
      </c>
      <c r="C24" s="6" t="s">
        <v>429</v>
      </c>
      <c r="D24" s="6" t="s">
        <v>381</v>
      </c>
      <c r="E24" s="6" t="s">
        <v>59</v>
      </c>
      <c r="F24" s="8" t="n">
        <v>1</v>
      </c>
      <c r="G24" s="8" t="n">
        <v>60</v>
      </c>
      <c r="H24" s="9" t="s">
        <v>370</v>
      </c>
      <c r="I24" s="9" t="s">
        <v>430</v>
      </c>
      <c r="J24" s="14" t="n">
        <v>0.4</v>
      </c>
      <c r="K24" s="6" t="s">
        <v>268</v>
      </c>
      <c r="L24" s="18" t="s">
        <v>198</v>
      </c>
      <c r="M24" s="6" t="s">
        <v>431</v>
      </c>
      <c r="N24" s="23" t="n">
        <f aca="false">IF(AND(OR(D24="Both",D24='Start Here'!$B$9),IF(E24="Core",1,IF(E24="AI",'Start Here'!$B$7,'Start Here'!$B$8))=1,OR(L24="Quote required",L24="Unverified")),1,0)</f>
        <v>0</v>
      </c>
    </row>
    <row r="25" customFormat="false" ht="15" hidden="false" customHeight="false" outlineLevel="0" collapsed="false">
      <c r="A25" s="6" t="s">
        <v>432</v>
      </c>
      <c r="B25" s="6" t="s">
        <v>59</v>
      </c>
      <c r="C25" s="6" t="s">
        <v>433</v>
      </c>
      <c r="D25" s="6" t="s">
        <v>381</v>
      </c>
      <c r="E25" s="6" t="s">
        <v>59</v>
      </c>
      <c r="F25" s="8" t="n">
        <v>1</v>
      </c>
      <c r="G25" s="8" t="n">
        <v>60</v>
      </c>
      <c r="H25" s="9" t="s">
        <v>370</v>
      </c>
      <c r="I25" s="9" t="s">
        <v>434</v>
      </c>
      <c r="J25" s="14" t="n">
        <v>1.6</v>
      </c>
      <c r="K25" s="6" t="s">
        <v>268</v>
      </c>
      <c r="L25" s="18" t="s">
        <v>198</v>
      </c>
      <c r="M25" s="6" t="s">
        <v>435</v>
      </c>
      <c r="N25" s="23" t="n">
        <f aca="false">IF(AND(OR(D25="Both",D25='Start Here'!$B$9),IF(E25="Core",1,IF(E25="AI",'Start Here'!$B$7,'Start Here'!$B$8))=1,OR(L25="Quote required",L25="Unverified")),1,0)</f>
        <v>0</v>
      </c>
    </row>
    <row r="26" customFormat="false" ht="15" hidden="false" customHeight="false" outlineLevel="0" collapsed="false">
      <c r="A26" s="6" t="s">
        <v>436</v>
      </c>
      <c r="B26" s="6" t="s">
        <v>59</v>
      </c>
      <c r="C26" s="6" t="s">
        <v>437</v>
      </c>
      <c r="D26" s="6" t="s">
        <v>381</v>
      </c>
      <c r="E26" s="6" t="s">
        <v>59</v>
      </c>
      <c r="F26" s="8" t="n">
        <v>1</v>
      </c>
      <c r="G26" s="8" t="n">
        <v>60</v>
      </c>
      <c r="H26" s="9" t="s">
        <v>408</v>
      </c>
      <c r="I26" s="9" t="s">
        <v>371</v>
      </c>
      <c r="J26" s="14" t="n">
        <v>15000</v>
      </c>
      <c r="K26" s="6" t="s">
        <v>179</v>
      </c>
      <c r="L26" s="18" t="s">
        <v>237</v>
      </c>
      <c r="M26" s="6" t="s">
        <v>438</v>
      </c>
      <c r="N26" s="23" t="n">
        <f aca="false">IF(AND(OR(D26="Both",D26='Start Here'!$B$9),IF(E26="Core",1,IF(E26="AI",'Start Here'!$B$7,'Start Here'!$B$8))=1,OR(L26="Quote required",L26="Unverified")),1,0)</f>
        <v>0</v>
      </c>
    </row>
    <row r="27" customFormat="false" ht="15" hidden="false" customHeight="false" outlineLevel="0" collapsed="false">
      <c r="A27" s="6" t="s">
        <v>439</v>
      </c>
      <c r="B27" s="6" t="s">
        <v>61</v>
      </c>
      <c r="C27" s="6" t="s">
        <v>440</v>
      </c>
      <c r="D27" s="6" t="s">
        <v>381</v>
      </c>
      <c r="E27" s="6" t="s">
        <v>61</v>
      </c>
      <c r="F27" s="8" t="n">
        <v>1</v>
      </c>
      <c r="G27" s="8" t="n">
        <v>60</v>
      </c>
      <c r="H27" s="9" t="s">
        <v>408</v>
      </c>
      <c r="I27" s="9" t="s">
        <v>371</v>
      </c>
      <c r="J27" s="14" t="n">
        <v>40000</v>
      </c>
      <c r="K27" s="6" t="s">
        <v>179</v>
      </c>
      <c r="L27" s="18" t="s">
        <v>237</v>
      </c>
      <c r="M27" s="6" t="s">
        <v>441</v>
      </c>
      <c r="N27" s="23" t="n">
        <f aca="false">IF(AND(OR(D27="Both",D27='Start Here'!$B$9),IF(E27="Core",1,IF(E27="AI",'Start Here'!$B$7,'Start Here'!$B$8))=1,OR(L27="Quote required",L27="Unverified")),1,0)</f>
        <v>0</v>
      </c>
    </row>
  </sheetData>
  <autoFilter ref="A5:N27"/>
  <mergeCells count="1">
    <mergeCell ref="A2:H2"/>
  </mergeCells>
  <dataValidations count="4">
    <dataValidation allowBlank="false" error="Enter a value between 1 and 60." errorStyle="stop" operator="between" showDropDown="false" showErrorMessage="true" showInputMessage="false" sqref="F6:G27" type="whole">
      <formula1>1</formula1>
      <formula2>60</formula2>
    </dataValidation>
    <dataValidation allowBlank="false" error="Enter a value between 0 and 1000000000.0." errorStyle="stop" operator="between" showDropDown="false" showErrorMessage="true" showInputMessage="false" sqref="J6:J27" type="decimal">
      <formula1>0</formula1>
      <formula2>1000000000</formula2>
    </dataValidation>
    <dataValidation allowBlank="false" error="Use the dropdown list." errorStyle="stop" errorTitle="Choose an allowed value" operator="between" showDropDown="false" showErrorMessage="true" showInputMessage="false" sqref="H6:H27" type="list">
      <formula1>"Monthly,Annual,Once"</formula1>
      <formula2>0</formula2>
    </dataValidation>
    <dataValidation allowBlank="false" error="Use the dropdown list." errorStyle="stop" errorTitle="Choose an allowed value" operator="between" showDropDown="false" showErrorMessage="true" showInputMessage="false" sqref="I6:I27" type="list">
      <formula1>"Fixed,Seats,Customers,NewCustomers,StorageGB,LogGB,RequestsM,InputM,OutputM"</formula1>
      <formula2>0</formula2>
    </dataValidation>
  </dataValidation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5" min="2" style="0" width="52"/>
  </cols>
  <sheetData>
    <row r="1" customFormat="false" ht="28.5" hidden="false" customHeight="true" outlineLevel="0" collapsed="false">
      <c r="A1" s="1" t="s">
        <v>442</v>
      </c>
    </row>
    <row r="2" customFormat="false" ht="43.5" hidden="false" customHeight="true" outlineLevel="0" collapsed="false">
      <c r="A2" s="2" t="s">
        <v>443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444</v>
      </c>
      <c r="B5" s="13" t="s">
        <v>445</v>
      </c>
      <c r="C5" s="13" t="s">
        <v>446</v>
      </c>
      <c r="D5" s="13" t="s">
        <v>447</v>
      </c>
      <c r="E5" s="13" t="s">
        <v>448</v>
      </c>
      <c r="F5" s="13" t="s">
        <v>449</v>
      </c>
      <c r="G5" s="13" t="s">
        <v>450</v>
      </c>
      <c r="H5" s="13" t="s">
        <v>451</v>
      </c>
      <c r="I5" s="13" t="s">
        <v>452</v>
      </c>
      <c r="J5" s="13" t="s">
        <v>453</v>
      </c>
      <c r="K5" s="13" t="s">
        <v>454</v>
      </c>
      <c r="L5" s="13" t="s">
        <v>455</v>
      </c>
      <c r="M5" s="13" t="s">
        <v>313</v>
      </c>
      <c r="N5" s="13" t="s">
        <v>456</v>
      </c>
      <c r="O5" s="13" t="s">
        <v>457</v>
      </c>
    </row>
    <row r="6" customFormat="false" ht="99.75" hidden="false" customHeight="true" outlineLevel="0" collapsed="false">
      <c r="A6" s="6" t="s">
        <v>458</v>
      </c>
      <c r="B6" s="6" t="s">
        <v>459</v>
      </c>
      <c r="C6" s="6" t="s">
        <v>460</v>
      </c>
      <c r="D6" s="6" t="s">
        <v>461</v>
      </c>
      <c r="E6" s="6" t="s">
        <v>462</v>
      </c>
      <c r="F6" s="6" t="s">
        <v>463</v>
      </c>
      <c r="G6" s="6" t="s">
        <v>464</v>
      </c>
      <c r="H6" s="6" t="s">
        <v>465</v>
      </c>
      <c r="I6" s="6" t="s">
        <v>466</v>
      </c>
      <c r="J6" s="6" t="s">
        <v>467</v>
      </c>
      <c r="K6" s="6" t="s">
        <v>468</v>
      </c>
      <c r="L6" s="6" t="s">
        <v>469</v>
      </c>
      <c r="M6" s="6" t="s">
        <v>328</v>
      </c>
      <c r="N6" s="6" t="s">
        <v>470</v>
      </c>
      <c r="O6" s="6" t="s">
        <v>471</v>
      </c>
    </row>
    <row r="7" customFormat="false" ht="99.75" hidden="false" customHeight="true" outlineLevel="0" collapsed="false">
      <c r="A7" s="6" t="s">
        <v>472</v>
      </c>
      <c r="B7" s="6" t="s">
        <v>473</v>
      </c>
      <c r="C7" s="6" t="s">
        <v>474</v>
      </c>
      <c r="D7" s="6" t="s">
        <v>475</v>
      </c>
      <c r="E7" s="6" t="s">
        <v>462</v>
      </c>
      <c r="F7" s="6" t="s">
        <v>476</v>
      </c>
      <c r="G7" s="6" t="s">
        <v>477</v>
      </c>
      <c r="H7" s="6" t="s">
        <v>478</v>
      </c>
      <c r="I7" s="6" t="s">
        <v>466</v>
      </c>
      <c r="J7" s="6" t="s">
        <v>467</v>
      </c>
      <c r="K7" s="6" t="s">
        <v>479</v>
      </c>
      <c r="L7" s="6" t="s">
        <v>458</v>
      </c>
      <c r="M7" s="6" t="s">
        <v>328</v>
      </c>
      <c r="N7" s="6" t="s">
        <v>480</v>
      </c>
      <c r="O7" s="6" t="s">
        <v>471</v>
      </c>
    </row>
    <row r="8" customFormat="false" ht="99.75" hidden="false" customHeight="true" outlineLevel="0" collapsed="false">
      <c r="A8" s="6" t="s">
        <v>481</v>
      </c>
      <c r="B8" s="6" t="s">
        <v>482</v>
      </c>
      <c r="C8" s="6" t="s">
        <v>483</v>
      </c>
      <c r="D8" s="6" t="s">
        <v>484</v>
      </c>
      <c r="E8" s="6" t="s">
        <v>485</v>
      </c>
      <c r="F8" s="6" t="s">
        <v>486</v>
      </c>
      <c r="G8" s="6" t="s">
        <v>487</v>
      </c>
      <c r="H8" s="6" t="s">
        <v>488</v>
      </c>
      <c r="I8" s="6" t="s">
        <v>466</v>
      </c>
      <c r="J8" s="6" t="s">
        <v>467</v>
      </c>
      <c r="K8" s="6" t="s">
        <v>489</v>
      </c>
      <c r="L8" s="6" t="s">
        <v>458</v>
      </c>
      <c r="M8" s="6" t="s">
        <v>328</v>
      </c>
      <c r="N8" s="6" t="s">
        <v>490</v>
      </c>
      <c r="O8" s="6" t="s">
        <v>471</v>
      </c>
    </row>
    <row r="9" customFormat="false" ht="99.75" hidden="false" customHeight="true" outlineLevel="0" collapsed="false">
      <c r="A9" s="6" t="s">
        <v>491</v>
      </c>
      <c r="B9" s="6" t="s">
        <v>492</v>
      </c>
      <c r="C9" s="6" t="s">
        <v>493</v>
      </c>
      <c r="D9" s="6" t="s">
        <v>494</v>
      </c>
      <c r="E9" s="6" t="s">
        <v>485</v>
      </c>
      <c r="F9" s="6" t="s">
        <v>495</v>
      </c>
      <c r="G9" s="6" t="s">
        <v>496</v>
      </c>
      <c r="H9" s="6" t="s">
        <v>497</v>
      </c>
      <c r="I9" s="6" t="s">
        <v>466</v>
      </c>
      <c r="J9" s="6" t="s">
        <v>498</v>
      </c>
      <c r="K9" s="6" t="s">
        <v>499</v>
      </c>
      <c r="L9" s="6" t="s">
        <v>458</v>
      </c>
      <c r="M9" s="6" t="s">
        <v>328</v>
      </c>
      <c r="N9" s="6" t="s">
        <v>500</v>
      </c>
      <c r="O9" s="6" t="s">
        <v>471</v>
      </c>
    </row>
    <row r="10" customFormat="false" ht="99.75" hidden="false" customHeight="true" outlineLevel="0" collapsed="false">
      <c r="A10" s="6" t="s">
        <v>501</v>
      </c>
      <c r="B10" s="6" t="s">
        <v>502</v>
      </c>
      <c r="C10" s="6" t="s">
        <v>503</v>
      </c>
      <c r="D10" s="6" t="s">
        <v>504</v>
      </c>
      <c r="E10" s="6" t="s">
        <v>462</v>
      </c>
      <c r="F10" s="6" t="s">
        <v>505</v>
      </c>
      <c r="G10" s="6" t="s">
        <v>506</v>
      </c>
      <c r="H10" s="6" t="s">
        <v>507</v>
      </c>
      <c r="I10" s="6" t="s">
        <v>466</v>
      </c>
      <c r="J10" s="6" t="s">
        <v>498</v>
      </c>
      <c r="K10" s="6" t="s">
        <v>508</v>
      </c>
      <c r="L10" s="6" t="s">
        <v>509</v>
      </c>
      <c r="M10" s="6" t="s">
        <v>328</v>
      </c>
      <c r="N10" s="6" t="s">
        <v>510</v>
      </c>
      <c r="O10" s="6" t="s">
        <v>471</v>
      </c>
    </row>
    <row r="11" customFormat="false" ht="99.75" hidden="false" customHeight="true" outlineLevel="0" collapsed="false">
      <c r="A11" s="6" t="s">
        <v>509</v>
      </c>
      <c r="B11" s="6" t="s">
        <v>511</v>
      </c>
      <c r="C11" s="6" t="s">
        <v>512</v>
      </c>
      <c r="D11" s="6" t="s">
        <v>513</v>
      </c>
      <c r="E11" s="6" t="s">
        <v>485</v>
      </c>
      <c r="F11" s="6" t="s">
        <v>514</v>
      </c>
      <c r="G11" s="6" t="s">
        <v>515</v>
      </c>
      <c r="H11" s="6" t="s">
        <v>516</v>
      </c>
      <c r="I11" s="6" t="s">
        <v>466</v>
      </c>
      <c r="J11" s="6" t="s">
        <v>498</v>
      </c>
      <c r="K11" s="6" t="s">
        <v>517</v>
      </c>
      <c r="L11" s="6" t="s">
        <v>481</v>
      </c>
      <c r="M11" s="6" t="s">
        <v>328</v>
      </c>
      <c r="N11" s="6" t="s">
        <v>518</v>
      </c>
      <c r="O11" s="6" t="s">
        <v>471</v>
      </c>
    </row>
    <row r="12" customFormat="false" ht="99.75" hidden="false" customHeight="true" outlineLevel="0" collapsed="false">
      <c r="A12" s="6" t="s">
        <v>519</v>
      </c>
      <c r="B12" s="6" t="s">
        <v>511</v>
      </c>
      <c r="C12" s="6" t="s">
        <v>520</v>
      </c>
      <c r="D12" s="6" t="s">
        <v>521</v>
      </c>
      <c r="E12" s="6" t="s">
        <v>462</v>
      </c>
      <c r="F12" s="6" t="s">
        <v>522</v>
      </c>
      <c r="G12" s="6" t="s">
        <v>523</v>
      </c>
      <c r="H12" s="6" t="s">
        <v>524</v>
      </c>
      <c r="I12" s="6" t="s">
        <v>466</v>
      </c>
      <c r="J12" s="6" t="s">
        <v>498</v>
      </c>
      <c r="K12" s="6" t="s">
        <v>525</v>
      </c>
      <c r="L12" s="6" t="s">
        <v>509</v>
      </c>
      <c r="M12" s="6" t="s">
        <v>328</v>
      </c>
      <c r="N12" s="6" t="s">
        <v>526</v>
      </c>
      <c r="O12" s="6" t="s">
        <v>471</v>
      </c>
    </row>
    <row r="13" customFormat="false" ht="99.75" hidden="false" customHeight="true" outlineLevel="0" collapsed="false">
      <c r="A13" s="6" t="s">
        <v>527</v>
      </c>
      <c r="B13" s="6" t="s">
        <v>511</v>
      </c>
      <c r="C13" s="6" t="s">
        <v>528</v>
      </c>
      <c r="D13" s="6" t="s">
        <v>529</v>
      </c>
      <c r="E13" s="6" t="s">
        <v>462</v>
      </c>
      <c r="F13" s="6" t="s">
        <v>530</v>
      </c>
      <c r="G13" s="6" t="s">
        <v>531</v>
      </c>
      <c r="H13" s="6" t="s">
        <v>532</v>
      </c>
      <c r="I13" s="6" t="s">
        <v>466</v>
      </c>
      <c r="J13" s="6" t="s">
        <v>498</v>
      </c>
      <c r="K13" s="6" t="s">
        <v>533</v>
      </c>
      <c r="L13" s="6" t="s">
        <v>509</v>
      </c>
      <c r="M13" s="6" t="s">
        <v>328</v>
      </c>
      <c r="N13" s="6" t="s">
        <v>534</v>
      </c>
      <c r="O13" s="6" t="s">
        <v>471</v>
      </c>
    </row>
    <row r="14" customFormat="false" ht="99.75" hidden="false" customHeight="true" outlineLevel="0" collapsed="false">
      <c r="A14" s="6" t="s">
        <v>535</v>
      </c>
      <c r="B14" s="6" t="s">
        <v>536</v>
      </c>
      <c r="C14" s="6" t="s">
        <v>537</v>
      </c>
      <c r="D14" s="6" t="s">
        <v>538</v>
      </c>
      <c r="E14" s="6" t="s">
        <v>485</v>
      </c>
      <c r="F14" s="6" t="s">
        <v>539</v>
      </c>
      <c r="G14" s="6" t="s">
        <v>540</v>
      </c>
      <c r="H14" s="6" t="s">
        <v>541</v>
      </c>
      <c r="I14" s="6" t="s">
        <v>466</v>
      </c>
      <c r="J14" s="6" t="s">
        <v>498</v>
      </c>
      <c r="K14" s="6" t="s">
        <v>542</v>
      </c>
      <c r="L14" s="6" t="s">
        <v>519</v>
      </c>
      <c r="M14" s="6" t="s">
        <v>328</v>
      </c>
      <c r="N14" s="6" t="s">
        <v>543</v>
      </c>
      <c r="O14" s="6" t="s">
        <v>471</v>
      </c>
    </row>
    <row r="15" customFormat="false" ht="99.75" hidden="false" customHeight="true" outlineLevel="0" collapsed="false">
      <c r="A15" s="6" t="s">
        <v>544</v>
      </c>
      <c r="B15" s="6" t="s">
        <v>536</v>
      </c>
      <c r="C15" s="6" t="s">
        <v>545</v>
      </c>
      <c r="D15" s="6" t="s">
        <v>546</v>
      </c>
      <c r="E15" s="6" t="s">
        <v>462</v>
      </c>
      <c r="F15" s="6" t="s">
        <v>547</v>
      </c>
      <c r="G15" s="6" t="s">
        <v>548</v>
      </c>
      <c r="H15" s="6" t="s">
        <v>549</v>
      </c>
      <c r="I15" s="6" t="s">
        <v>466</v>
      </c>
      <c r="J15" s="6" t="s">
        <v>498</v>
      </c>
      <c r="K15" s="6" t="s">
        <v>550</v>
      </c>
      <c r="L15" s="6" t="s">
        <v>535</v>
      </c>
      <c r="M15" s="6" t="s">
        <v>328</v>
      </c>
      <c r="N15" s="6" t="s">
        <v>551</v>
      </c>
      <c r="O15" s="6" t="s">
        <v>471</v>
      </c>
    </row>
    <row r="16" customFormat="false" ht="99.75" hidden="false" customHeight="true" outlineLevel="0" collapsed="false">
      <c r="A16" s="6" t="s">
        <v>552</v>
      </c>
      <c r="B16" s="6" t="s">
        <v>536</v>
      </c>
      <c r="C16" s="6" t="s">
        <v>553</v>
      </c>
      <c r="D16" s="6" t="s">
        <v>554</v>
      </c>
      <c r="E16" s="6" t="s">
        <v>485</v>
      </c>
      <c r="F16" s="6" t="s">
        <v>555</v>
      </c>
      <c r="G16" s="6" t="s">
        <v>556</v>
      </c>
      <c r="H16" s="6" t="s">
        <v>557</v>
      </c>
      <c r="I16" s="6" t="s">
        <v>466</v>
      </c>
      <c r="J16" s="6" t="s">
        <v>558</v>
      </c>
      <c r="K16" s="6" t="s">
        <v>559</v>
      </c>
      <c r="L16" s="6" t="s">
        <v>544</v>
      </c>
      <c r="M16" s="6" t="s">
        <v>328</v>
      </c>
      <c r="N16" s="6" t="s">
        <v>560</v>
      </c>
      <c r="O16" s="6" t="s">
        <v>471</v>
      </c>
    </row>
    <row r="17" customFormat="false" ht="99.75" hidden="false" customHeight="true" outlineLevel="0" collapsed="false">
      <c r="A17" s="6" t="s">
        <v>561</v>
      </c>
      <c r="B17" s="6" t="s">
        <v>536</v>
      </c>
      <c r="C17" s="6" t="s">
        <v>562</v>
      </c>
      <c r="D17" s="6" t="s">
        <v>563</v>
      </c>
      <c r="E17" s="6" t="s">
        <v>485</v>
      </c>
      <c r="F17" s="6" t="s">
        <v>564</v>
      </c>
      <c r="G17" s="6" t="s">
        <v>565</v>
      </c>
      <c r="H17" s="6" t="s">
        <v>566</v>
      </c>
      <c r="I17" s="6" t="s">
        <v>567</v>
      </c>
      <c r="J17" s="6" t="s">
        <v>568</v>
      </c>
      <c r="K17" s="6" t="s">
        <v>569</v>
      </c>
      <c r="L17" s="6" t="s">
        <v>552</v>
      </c>
      <c r="M17" s="6" t="s">
        <v>328</v>
      </c>
      <c r="N17" s="6" t="s">
        <v>570</v>
      </c>
      <c r="O17" s="6" t="s">
        <v>471</v>
      </c>
    </row>
    <row r="18" customFormat="false" ht="99.75" hidden="false" customHeight="true" outlineLevel="0" collapsed="false">
      <c r="A18" s="6" t="s">
        <v>571</v>
      </c>
      <c r="B18" s="6" t="s">
        <v>572</v>
      </c>
      <c r="C18" s="6" t="s">
        <v>573</v>
      </c>
      <c r="D18" s="6" t="s">
        <v>574</v>
      </c>
      <c r="E18" s="6" t="s">
        <v>462</v>
      </c>
      <c r="F18" s="6" t="s">
        <v>575</v>
      </c>
      <c r="G18" s="6" t="s">
        <v>576</v>
      </c>
      <c r="H18" s="6" t="s">
        <v>577</v>
      </c>
      <c r="I18" s="6" t="s">
        <v>466</v>
      </c>
      <c r="J18" s="6" t="s">
        <v>498</v>
      </c>
      <c r="K18" s="6" t="s">
        <v>578</v>
      </c>
      <c r="L18" s="6" t="s">
        <v>509</v>
      </c>
      <c r="M18" s="6" t="s">
        <v>328</v>
      </c>
      <c r="N18" s="6" t="s">
        <v>579</v>
      </c>
      <c r="O18" s="6" t="s">
        <v>47</v>
      </c>
    </row>
    <row r="19" customFormat="false" ht="99.75" hidden="false" customHeight="true" outlineLevel="0" collapsed="false">
      <c r="A19" s="6" t="s">
        <v>580</v>
      </c>
      <c r="B19" s="6" t="s">
        <v>572</v>
      </c>
      <c r="C19" s="6" t="s">
        <v>581</v>
      </c>
      <c r="D19" s="6" t="s">
        <v>582</v>
      </c>
      <c r="E19" s="6" t="s">
        <v>485</v>
      </c>
      <c r="F19" s="6" t="s">
        <v>583</v>
      </c>
      <c r="G19" s="6" t="s">
        <v>584</v>
      </c>
      <c r="H19" s="6" t="s">
        <v>585</v>
      </c>
      <c r="I19" s="6" t="s">
        <v>466</v>
      </c>
      <c r="J19" s="6" t="s">
        <v>568</v>
      </c>
      <c r="K19" s="6" t="s">
        <v>586</v>
      </c>
      <c r="L19" s="6" t="s">
        <v>571</v>
      </c>
      <c r="M19" s="6" t="s">
        <v>328</v>
      </c>
      <c r="N19" s="6" t="s">
        <v>587</v>
      </c>
      <c r="O19" s="6" t="s">
        <v>45</v>
      </c>
    </row>
    <row r="20" customFormat="false" ht="99.75" hidden="false" customHeight="true" outlineLevel="0" collapsed="false">
      <c r="A20" s="6" t="s">
        <v>588</v>
      </c>
      <c r="B20" s="6" t="s">
        <v>589</v>
      </c>
      <c r="C20" s="6" t="s">
        <v>590</v>
      </c>
      <c r="D20" s="6" t="s">
        <v>591</v>
      </c>
      <c r="E20" s="6" t="s">
        <v>462</v>
      </c>
      <c r="F20" s="6" t="s">
        <v>592</v>
      </c>
      <c r="G20" s="6" t="s">
        <v>593</v>
      </c>
      <c r="H20" s="6" t="s">
        <v>594</v>
      </c>
      <c r="I20" s="6" t="s">
        <v>466</v>
      </c>
      <c r="J20" s="6" t="s">
        <v>467</v>
      </c>
      <c r="K20" s="6" t="s">
        <v>595</v>
      </c>
      <c r="L20" s="6" t="s">
        <v>458</v>
      </c>
      <c r="M20" s="6" t="s">
        <v>328</v>
      </c>
      <c r="N20" s="6" t="s">
        <v>596</v>
      </c>
      <c r="O20" s="6" t="s">
        <v>471</v>
      </c>
    </row>
    <row r="21" customFormat="false" ht="99.75" hidden="false" customHeight="true" outlineLevel="0" collapsed="false">
      <c r="A21" s="6" t="s">
        <v>597</v>
      </c>
      <c r="B21" s="6" t="s">
        <v>589</v>
      </c>
      <c r="C21" s="6" t="s">
        <v>598</v>
      </c>
      <c r="D21" s="6" t="s">
        <v>599</v>
      </c>
      <c r="E21" s="6" t="s">
        <v>485</v>
      </c>
      <c r="F21" s="6" t="s">
        <v>600</v>
      </c>
      <c r="G21" s="6" t="s">
        <v>601</v>
      </c>
      <c r="H21" s="6" t="s">
        <v>602</v>
      </c>
      <c r="I21" s="6" t="s">
        <v>466</v>
      </c>
      <c r="J21" s="6" t="s">
        <v>498</v>
      </c>
      <c r="K21" s="6" t="s">
        <v>603</v>
      </c>
      <c r="L21" s="6" t="s">
        <v>519</v>
      </c>
      <c r="M21" s="6" t="s">
        <v>328</v>
      </c>
      <c r="N21" s="6" t="s">
        <v>604</v>
      </c>
      <c r="O21" s="6" t="s">
        <v>39</v>
      </c>
    </row>
    <row r="22" customFormat="false" ht="99.75" hidden="false" customHeight="true" outlineLevel="0" collapsed="false">
      <c r="A22" s="6" t="s">
        <v>605</v>
      </c>
      <c r="B22" s="6" t="s">
        <v>589</v>
      </c>
      <c r="C22" s="6" t="s">
        <v>606</v>
      </c>
      <c r="D22" s="6" t="s">
        <v>607</v>
      </c>
      <c r="E22" s="6" t="s">
        <v>485</v>
      </c>
      <c r="F22" s="6" t="s">
        <v>608</v>
      </c>
      <c r="G22" s="6" t="s">
        <v>609</v>
      </c>
      <c r="H22" s="6" t="s">
        <v>610</v>
      </c>
      <c r="I22" s="6" t="s">
        <v>466</v>
      </c>
      <c r="J22" s="6" t="s">
        <v>558</v>
      </c>
      <c r="K22" s="6" t="s">
        <v>611</v>
      </c>
      <c r="L22" s="6" t="s">
        <v>597</v>
      </c>
      <c r="M22" s="6" t="s">
        <v>328</v>
      </c>
      <c r="N22" s="6" t="s">
        <v>612</v>
      </c>
      <c r="O22" s="6" t="s">
        <v>39</v>
      </c>
    </row>
    <row r="23" customFormat="false" ht="99.75" hidden="false" customHeight="true" outlineLevel="0" collapsed="false">
      <c r="A23" s="6" t="s">
        <v>613</v>
      </c>
      <c r="B23" s="6" t="s">
        <v>589</v>
      </c>
      <c r="C23" s="6" t="s">
        <v>614</v>
      </c>
      <c r="D23" s="6" t="s">
        <v>615</v>
      </c>
      <c r="E23" s="6" t="s">
        <v>485</v>
      </c>
      <c r="F23" s="6" t="s">
        <v>616</v>
      </c>
      <c r="G23" s="6" t="s">
        <v>617</v>
      </c>
      <c r="H23" s="6" t="s">
        <v>618</v>
      </c>
      <c r="I23" s="6" t="s">
        <v>466</v>
      </c>
      <c r="J23" s="6" t="s">
        <v>568</v>
      </c>
      <c r="K23" s="6" t="s">
        <v>619</v>
      </c>
      <c r="L23" s="6" t="s">
        <v>509</v>
      </c>
      <c r="M23" s="6" t="s">
        <v>328</v>
      </c>
      <c r="N23" s="6" t="s">
        <v>620</v>
      </c>
      <c r="O23" s="6" t="s">
        <v>471</v>
      </c>
    </row>
    <row r="24" customFormat="false" ht="99.75" hidden="false" customHeight="true" outlineLevel="0" collapsed="false">
      <c r="A24" s="6" t="s">
        <v>621</v>
      </c>
      <c r="B24" s="6" t="s">
        <v>589</v>
      </c>
      <c r="C24" s="6" t="s">
        <v>622</v>
      </c>
      <c r="D24" s="6" t="s">
        <v>623</v>
      </c>
      <c r="E24" s="6" t="s">
        <v>485</v>
      </c>
      <c r="F24" s="6" t="s">
        <v>624</v>
      </c>
      <c r="G24" s="6" t="s">
        <v>625</v>
      </c>
      <c r="H24" s="6" t="s">
        <v>626</v>
      </c>
      <c r="I24" s="6" t="s">
        <v>567</v>
      </c>
      <c r="J24" s="6" t="s">
        <v>627</v>
      </c>
      <c r="K24" s="6" t="s">
        <v>628</v>
      </c>
      <c r="L24" s="6" t="s">
        <v>605</v>
      </c>
      <c r="M24" s="6" t="s">
        <v>328</v>
      </c>
      <c r="N24" s="6" t="s">
        <v>629</v>
      </c>
      <c r="O24" s="6" t="s">
        <v>471</v>
      </c>
    </row>
    <row r="25" customFormat="false" ht="99.75" hidden="false" customHeight="true" outlineLevel="0" collapsed="false">
      <c r="A25" s="6" t="s">
        <v>630</v>
      </c>
      <c r="B25" s="6" t="s">
        <v>631</v>
      </c>
      <c r="C25" s="6" t="s">
        <v>632</v>
      </c>
      <c r="D25" s="6" t="s">
        <v>633</v>
      </c>
      <c r="E25" s="6" t="s">
        <v>485</v>
      </c>
      <c r="F25" s="6" t="s">
        <v>634</v>
      </c>
      <c r="G25" s="6" t="s">
        <v>635</v>
      </c>
      <c r="H25" s="6" t="s">
        <v>636</v>
      </c>
      <c r="I25" s="6" t="s">
        <v>637</v>
      </c>
      <c r="J25" s="6" t="s">
        <v>638</v>
      </c>
      <c r="K25" s="6" t="s">
        <v>639</v>
      </c>
      <c r="L25" s="6" t="s">
        <v>580</v>
      </c>
      <c r="M25" s="6" t="s">
        <v>59</v>
      </c>
      <c r="N25" s="6" t="s">
        <v>640</v>
      </c>
      <c r="O25" s="6" t="s">
        <v>59</v>
      </c>
    </row>
    <row r="26" customFormat="false" ht="99.75" hidden="false" customHeight="true" outlineLevel="0" collapsed="false">
      <c r="A26" s="6" t="s">
        <v>641</v>
      </c>
      <c r="B26" s="6" t="s">
        <v>631</v>
      </c>
      <c r="C26" s="6" t="s">
        <v>642</v>
      </c>
      <c r="D26" s="6" t="s">
        <v>643</v>
      </c>
      <c r="E26" s="6" t="s">
        <v>485</v>
      </c>
      <c r="F26" s="6" t="s">
        <v>644</v>
      </c>
      <c r="G26" s="6" t="s">
        <v>645</v>
      </c>
      <c r="H26" s="6" t="s">
        <v>646</v>
      </c>
      <c r="I26" s="6" t="s">
        <v>637</v>
      </c>
      <c r="J26" s="6" t="s">
        <v>638</v>
      </c>
      <c r="K26" s="6" t="s">
        <v>647</v>
      </c>
      <c r="L26" s="6" t="s">
        <v>621</v>
      </c>
      <c r="M26" s="6" t="s">
        <v>61</v>
      </c>
      <c r="N26" s="6" t="s">
        <v>648</v>
      </c>
      <c r="O26" s="6" t="s">
        <v>61</v>
      </c>
    </row>
  </sheetData>
  <autoFilter ref="A5:O26"/>
  <mergeCells count="1">
    <mergeCell ref="A2:H2"/>
  </mergeCells>
  <dataValidations count="1">
    <dataValidation allowBlank="false" error="Use the dropdown list." errorStyle="stop" errorTitle="Choose an allowed value" operator="between" showDropDown="false" showErrorMessage="true" showInputMessage="false" sqref="E6:E26" type="list">
      <formula1>"Idea,Implemented,Verified,In customer use"</formula1>
      <formula2>0</formula2>
    </dataValidation>
  </dataValidation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3" min="2" style="0" width="52"/>
    <col collapsed="false" customWidth="true" hidden="false" outlineLevel="0" max="15" min="14" style="0" width="20"/>
  </cols>
  <sheetData>
    <row r="1" customFormat="false" ht="28.5" hidden="false" customHeight="true" outlineLevel="0" collapsed="false">
      <c r="A1" s="1" t="s">
        <v>649</v>
      </c>
    </row>
    <row r="2" customFormat="false" ht="43.5" hidden="false" customHeight="true" outlineLevel="0" collapsed="false">
      <c r="A2" s="2" t="s">
        <v>650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444</v>
      </c>
      <c r="B5" s="13" t="s">
        <v>450</v>
      </c>
      <c r="C5" s="13" t="s">
        <v>651</v>
      </c>
      <c r="D5" s="13" t="s">
        <v>652</v>
      </c>
      <c r="E5" s="13" t="s">
        <v>447</v>
      </c>
      <c r="F5" s="13" t="s">
        <v>653</v>
      </c>
      <c r="G5" s="13" t="s">
        <v>361</v>
      </c>
      <c r="H5" s="13" t="s">
        <v>362</v>
      </c>
      <c r="I5" s="13" t="s">
        <v>454</v>
      </c>
      <c r="J5" s="13" t="s">
        <v>455</v>
      </c>
      <c r="K5" s="13" t="s">
        <v>313</v>
      </c>
      <c r="L5" s="13" t="s">
        <v>457</v>
      </c>
      <c r="M5" s="13" t="s">
        <v>451</v>
      </c>
      <c r="N5" s="5" t="s">
        <v>654</v>
      </c>
      <c r="O5" s="5" t="s">
        <v>655</v>
      </c>
    </row>
    <row r="6" customFormat="false" ht="99.75" hidden="false" customHeight="true" outlineLevel="0" collapsed="false">
      <c r="A6" s="6" t="s">
        <v>470</v>
      </c>
      <c r="B6" s="6" t="s">
        <v>458</v>
      </c>
      <c r="C6" s="6" t="s">
        <v>656</v>
      </c>
      <c r="D6" s="6" t="s">
        <v>657</v>
      </c>
      <c r="E6" s="6" t="s">
        <v>658</v>
      </c>
      <c r="F6" s="8" t="n">
        <v>25</v>
      </c>
      <c r="G6" s="6" t="n">
        <v>1</v>
      </c>
      <c r="H6" s="6" t="n">
        <v>3</v>
      </c>
      <c r="I6" s="6" t="s">
        <v>468</v>
      </c>
      <c r="J6" s="6" t="s">
        <v>469</v>
      </c>
      <c r="K6" s="6" t="s">
        <v>328</v>
      </c>
      <c r="L6" s="6" t="s">
        <v>471</v>
      </c>
      <c r="M6" s="6" t="s">
        <v>659</v>
      </c>
      <c r="N6" s="23" t="n">
        <f aca="false">F6*0.7</f>
        <v>17.5</v>
      </c>
      <c r="O6" s="23" t="n">
        <f aca="false">F6*1.5</f>
        <v>37.5</v>
      </c>
    </row>
    <row r="7" customFormat="false" ht="99.75" hidden="false" customHeight="true" outlineLevel="0" collapsed="false">
      <c r="A7" s="6" t="s">
        <v>480</v>
      </c>
      <c r="B7" s="6" t="s">
        <v>472</v>
      </c>
      <c r="C7" s="6" t="s">
        <v>660</v>
      </c>
      <c r="D7" s="6" t="s">
        <v>661</v>
      </c>
      <c r="E7" s="6" t="s">
        <v>662</v>
      </c>
      <c r="F7" s="8" t="n">
        <v>8</v>
      </c>
      <c r="G7" s="6" t="n">
        <v>1</v>
      </c>
      <c r="H7" s="6" t="n">
        <v>2</v>
      </c>
      <c r="I7" s="6" t="s">
        <v>479</v>
      </c>
      <c r="J7" s="6" t="s">
        <v>470</v>
      </c>
      <c r="K7" s="6" t="s">
        <v>328</v>
      </c>
      <c r="L7" s="6" t="s">
        <v>471</v>
      </c>
      <c r="M7" s="6" t="s">
        <v>663</v>
      </c>
      <c r="N7" s="23" t="n">
        <f aca="false">F7*0.7</f>
        <v>5.6</v>
      </c>
      <c r="O7" s="23" t="n">
        <f aca="false">F7*1.5</f>
        <v>12</v>
      </c>
    </row>
    <row r="8" customFormat="false" ht="99.75" hidden="false" customHeight="true" outlineLevel="0" collapsed="false">
      <c r="A8" s="6" t="s">
        <v>490</v>
      </c>
      <c r="B8" s="6" t="s">
        <v>481</v>
      </c>
      <c r="C8" s="6" t="s">
        <v>664</v>
      </c>
      <c r="D8" s="6" t="s">
        <v>665</v>
      </c>
      <c r="E8" s="6" t="s">
        <v>666</v>
      </c>
      <c r="F8" s="8" t="n">
        <v>20</v>
      </c>
      <c r="G8" s="6" t="n">
        <v>1</v>
      </c>
      <c r="H8" s="6" t="n">
        <v>3</v>
      </c>
      <c r="I8" s="6" t="s">
        <v>327</v>
      </c>
      <c r="J8" s="6" t="s">
        <v>470</v>
      </c>
      <c r="K8" s="6" t="s">
        <v>328</v>
      </c>
      <c r="L8" s="6" t="s">
        <v>471</v>
      </c>
      <c r="M8" s="6" t="s">
        <v>667</v>
      </c>
      <c r="N8" s="23" t="n">
        <f aca="false">F8*0.7</f>
        <v>14</v>
      </c>
      <c r="O8" s="23" t="n">
        <f aca="false">F8*1.5</f>
        <v>30</v>
      </c>
    </row>
    <row r="9" customFormat="false" ht="99.75" hidden="false" customHeight="true" outlineLevel="0" collapsed="false">
      <c r="A9" s="6" t="s">
        <v>500</v>
      </c>
      <c r="B9" s="6" t="s">
        <v>491</v>
      </c>
      <c r="C9" s="6" t="s">
        <v>668</v>
      </c>
      <c r="D9" s="6" t="s">
        <v>669</v>
      </c>
      <c r="E9" s="6" t="s">
        <v>670</v>
      </c>
      <c r="F9" s="8" t="n">
        <v>90</v>
      </c>
      <c r="G9" s="6" t="n">
        <v>4</v>
      </c>
      <c r="H9" s="6" t="n">
        <v>8</v>
      </c>
      <c r="I9" s="6" t="s">
        <v>671</v>
      </c>
      <c r="J9" s="6" t="s">
        <v>470</v>
      </c>
      <c r="K9" s="6" t="s">
        <v>328</v>
      </c>
      <c r="L9" s="6" t="s">
        <v>471</v>
      </c>
      <c r="M9" s="6" t="s">
        <v>672</v>
      </c>
      <c r="N9" s="23" t="n">
        <f aca="false">F9*0.7</f>
        <v>63</v>
      </c>
      <c r="O9" s="23" t="n">
        <f aca="false">F9*1.5</f>
        <v>135</v>
      </c>
    </row>
    <row r="10" customFormat="false" ht="99.75" hidden="false" customHeight="true" outlineLevel="0" collapsed="false">
      <c r="A10" s="6" t="s">
        <v>510</v>
      </c>
      <c r="B10" s="6" t="s">
        <v>501</v>
      </c>
      <c r="C10" s="6" t="s">
        <v>673</v>
      </c>
      <c r="D10" s="6" t="s">
        <v>674</v>
      </c>
      <c r="E10" s="6" t="s">
        <v>675</v>
      </c>
      <c r="F10" s="8" t="n">
        <v>75</v>
      </c>
      <c r="G10" s="6" t="n">
        <v>4</v>
      </c>
      <c r="H10" s="6" t="n">
        <v>8</v>
      </c>
      <c r="I10" s="6" t="s">
        <v>508</v>
      </c>
      <c r="J10" s="6" t="s">
        <v>518</v>
      </c>
      <c r="K10" s="6" t="s">
        <v>328</v>
      </c>
      <c r="L10" s="6" t="s">
        <v>471</v>
      </c>
      <c r="M10" s="6" t="s">
        <v>676</v>
      </c>
      <c r="N10" s="23" t="n">
        <f aca="false">F10*0.7</f>
        <v>52.5</v>
      </c>
      <c r="O10" s="23" t="n">
        <f aca="false">F10*1.5</f>
        <v>112.5</v>
      </c>
    </row>
    <row r="11" customFormat="false" ht="99.75" hidden="false" customHeight="true" outlineLevel="0" collapsed="false">
      <c r="A11" s="6" t="s">
        <v>518</v>
      </c>
      <c r="B11" s="6" t="s">
        <v>509</v>
      </c>
      <c r="C11" s="6" t="s">
        <v>677</v>
      </c>
      <c r="D11" s="6" t="s">
        <v>678</v>
      </c>
      <c r="E11" s="6" t="s">
        <v>679</v>
      </c>
      <c r="F11" s="8" t="n">
        <v>45</v>
      </c>
      <c r="G11" s="6" t="n">
        <v>3</v>
      </c>
      <c r="H11" s="6" t="n">
        <v>6</v>
      </c>
      <c r="I11" s="6" t="s">
        <v>517</v>
      </c>
      <c r="J11" s="6" t="s">
        <v>490</v>
      </c>
      <c r="K11" s="6" t="s">
        <v>328</v>
      </c>
      <c r="L11" s="6" t="s">
        <v>471</v>
      </c>
      <c r="M11" s="6" t="s">
        <v>680</v>
      </c>
      <c r="N11" s="23" t="n">
        <f aca="false">F11*0.7</f>
        <v>31.5</v>
      </c>
      <c r="O11" s="23" t="n">
        <f aca="false">F11*1.5</f>
        <v>67.5</v>
      </c>
    </row>
    <row r="12" customFormat="false" ht="99.75" hidden="false" customHeight="true" outlineLevel="0" collapsed="false">
      <c r="A12" s="6" t="s">
        <v>526</v>
      </c>
      <c r="B12" s="6" t="s">
        <v>519</v>
      </c>
      <c r="C12" s="6" t="s">
        <v>681</v>
      </c>
      <c r="D12" s="6" t="s">
        <v>682</v>
      </c>
      <c r="E12" s="6" t="s">
        <v>683</v>
      </c>
      <c r="F12" s="8" t="n">
        <v>45</v>
      </c>
      <c r="G12" s="6" t="n">
        <v>4</v>
      </c>
      <c r="H12" s="6" t="n">
        <v>7</v>
      </c>
      <c r="I12" s="6" t="s">
        <v>684</v>
      </c>
      <c r="J12" s="6" t="s">
        <v>518</v>
      </c>
      <c r="K12" s="6" t="s">
        <v>328</v>
      </c>
      <c r="L12" s="6" t="s">
        <v>471</v>
      </c>
      <c r="M12" s="6" t="s">
        <v>685</v>
      </c>
      <c r="N12" s="23" t="n">
        <f aca="false">F12*0.7</f>
        <v>31.5</v>
      </c>
      <c r="O12" s="23" t="n">
        <f aca="false">F12*1.5</f>
        <v>67.5</v>
      </c>
    </row>
    <row r="13" customFormat="false" ht="99.75" hidden="false" customHeight="true" outlineLevel="0" collapsed="false">
      <c r="A13" s="6" t="s">
        <v>534</v>
      </c>
      <c r="B13" s="6" t="s">
        <v>527</v>
      </c>
      <c r="C13" s="6" t="s">
        <v>686</v>
      </c>
      <c r="D13" s="6" t="s">
        <v>687</v>
      </c>
      <c r="E13" s="6" t="s">
        <v>688</v>
      </c>
      <c r="F13" s="8" t="n">
        <v>30</v>
      </c>
      <c r="G13" s="6" t="n">
        <v>5</v>
      </c>
      <c r="H13" s="6" t="n">
        <v>8</v>
      </c>
      <c r="I13" s="6" t="s">
        <v>533</v>
      </c>
      <c r="J13" s="6" t="s">
        <v>518</v>
      </c>
      <c r="K13" s="6" t="s">
        <v>328</v>
      </c>
      <c r="L13" s="6" t="s">
        <v>471</v>
      </c>
      <c r="M13" s="6" t="s">
        <v>689</v>
      </c>
      <c r="N13" s="23" t="n">
        <f aca="false">F13*0.7</f>
        <v>21</v>
      </c>
      <c r="O13" s="23" t="n">
        <f aca="false">F13*1.5</f>
        <v>45</v>
      </c>
    </row>
    <row r="14" customFormat="false" ht="99.75" hidden="false" customHeight="true" outlineLevel="0" collapsed="false">
      <c r="A14" s="6" t="s">
        <v>543</v>
      </c>
      <c r="B14" s="6" t="s">
        <v>535</v>
      </c>
      <c r="C14" s="6" t="s">
        <v>690</v>
      </c>
      <c r="D14" s="6" t="s">
        <v>691</v>
      </c>
      <c r="E14" s="6" t="s">
        <v>692</v>
      </c>
      <c r="F14" s="8" t="n">
        <v>25</v>
      </c>
      <c r="G14" s="6" t="n">
        <v>6</v>
      </c>
      <c r="H14" s="6" t="n">
        <v>8</v>
      </c>
      <c r="I14" s="6" t="s">
        <v>542</v>
      </c>
      <c r="J14" s="6" t="s">
        <v>526</v>
      </c>
      <c r="K14" s="6" t="s">
        <v>328</v>
      </c>
      <c r="L14" s="6" t="s">
        <v>471</v>
      </c>
      <c r="M14" s="6" t="s">
        <v>693</v>
      </c>
      <c r="N14" s="23" t="n">
        <f aca="false">F14*0.7</f>
        <v>17.5</v>
      </c>
      <c r="O14" s="23" t="n">
        <f aca="false">F14*1.5</f>
        <v>37.5</v>
      </c>
    </row>
    <row r="15" customFormat="false" ht="99.75" hidden="false" customHeight="true" outlineLevel="0" collapsed="false">
      <c r="A15" s="6" t="s">
        <v>551</v>
      </c>
      <c r="B15" s="6" t="s">
        <v>544</v>
      </c>
      <c r="C15" s="6" t="s">
        <v>694</v>
      </c>
      <c r="D15" s="6" t="s">
        <v>695</v>
      </c>
      <c r="E15" s="6" t="s">
        <v>696</v>
      </c>
      <c r="F15" s="8" t="n">
        <v>45</v>
      </c>
      <c r="G15" s="6" t="n">
        <v>6</v>
      </c>
      <c r="H15" s="6" t="n">
        <v>9</v>
      </c>
      <c r="I15" s="6" t="s">
        <v>550</v>
      </c>
      <c r="J15" s="6" t="s">
        <v>543</v>
      </c>
      <c r="K15" s="6" t="s">
        <v>328</v>
      </c>
      <c r="L15" s="6" t="s">
        <v>471</v>
      </c>
      <c r="M15" s="6" t="s">
        <v>697</v>
      </c>
      <c r="N15" s="23" t="n">
        <f aca="false">F15*0.7</f>
        <v>31.5</v>
      </c>
      <c r="O15" s="23" t="n">
        <f aca="false">F15*1.5</f>
        <v>67.5</v>
      </c>
    </row>
    <row r="16" customFormat="false" ht="99.75" hidden="false" customHeight="true" outlineLevel="0" collapsed="false">
      <c r="A16" s="6" t="s">
        <v>560</v>
      </c>
      <c r="B16" s="6" t="s">
        <v>552</v>
      </c>
      <c r="C16" s="6" t="s">
        <v>698</v>
      </c>
      <c r="D16" s="6" t="s">
        <v>699</v>
      </c>
      <c r="E16" s="6" t="s">
        <v>700</v>
      </c>
      <c r="F16" s="8" t="n">
        <v>35</v>
      </c>
      <c r="G16" s="6" t="n">
        <v>9</v>
      </c>
      <c r="H16" s="6" t="n">
        <v>11</v>
      </c>
      <c r="I16" s="6" t="s">
        <v>701</v>
      </c>
      <c r="J16" s="6" t="s">
        <v>551</v>
      </c>
      <c r="K16" s="6" t="s">
        <v>328</v>
      </c>
      <c r="L16" s="6" t="s">
        <v>471</v>
      </c>
      <c r="M16" s="6" t="s">
        <v>702</v>
      </c>
      <c r="N16" s="23" t="n">
        <f aca="false">F16*0.7</f>
        <v>24.5</v>
      </c>
      <c r="O16" s="23" t="n">
        <f aca="false">F16*1.5</f>
        <v>52.5</v>
      </c>
    </row>
    <row r="17" customFormat="false" ht="99.75" hidden="false" customHeight="true" outlineLevel="0" collapsed="false">
      <c r="A17" s="6" t="s">
        <v>570</v>
      </c>
      <c r="B17" s="6" t="s">
        <v>561</v>
      </c>
      <c r="C17" s="6" t="s">
        <v>703</v>
      </c>
      <c r="D17" s="6" t="s">
        <v>704</v>
      </c>
      <c r="E17" s="6" t="s">
        <v>705</v>
      </c>
      <c r="F17" s="8" t="n">
        <v>15</v>
      </c>
      <c r="G17" s="6" t="n">
        <v>12</v>
      </c>
      <c r="H17" s="6" t="n">
        <v>15</v>
      </c>
      <c r="I17" s="6" t="s">
        <v>706</v>
      </c>
      <c r="J17" s="6" t="s">
        <v>560</v>
      </c>
      <c r="K17" s="6" t="s">
        <v>328</v>
      </c>
      <c r="L17" s="6" t="s">
        <v>471</v>
      </c>
      <c r="M17" s="6" t="s">
        <v>707</v>
      </c>
      <c r="N17" s="23" t="n">
        <f aca="false">F17*0.7</f>
        <v>10.5</v>
      </c>
      <c r="O17" s="23" t="n">
        <f aca="false">F17*1.5</f>
        <v>22.5</v>
      </c>
    </row>
    <row r="18" customFormat="false" ht="99.75" hidden="false" customHeight="true" outlineLevel="0" collapsed="false">
      <c r="A18" s="6" t="s">
        <v>579</v>
      </c>
      <c r="B18" s="6" t="s">
        <v>571</v>
      </c>
      <c r="C18" s="6" t="s">
        <v>708</v>
      </c>
      <c r="D18" s="6" t="s">
        <v>709</v>
      </c>
      <c r="E18" s="6" t="s">
        <v>710</v>
      </c>
      <c r="F18" s="8" t="n">
        <v>40</v>
      </c>
      <c r="G18" s="6" t="n">
        <v>3</v>
      </c>
      <c r="H18" s="6" t="n">
        <v>10</v>
      </c>
      <c r="I18" s="6" t="s">
        <v>711</v>
      </c>
      <c r="J18" s="6" t="s">
        <v>518</v>
      </c>
      <c r="K18" s="6" t="s">
        <v>328</v>
      </c>
      <c r="L18" s="6" t="s">
        <v>471</v>
      </c>
      <c r="M18" s="6" t="s">
        <v>712</v>
      </c>
      <c r="N18" s="23" t="n">
        <f aca="false">F18*0.7</f>
        <v>28</v>
      </c>
      <c r="O18" s="23" t="n">
        <f aca="false">F18*1.5</f>
        <v>60</v>
      </c>
    </row>
    <row r="19" customFormat="false" ht="99.75" hidden="false" customHeight="true" outlineLevel="0" collapsed="false">
      <c r="A19" s="6" t="s">
        <v>587</v>
      </c>
      <c r="B19" s="6" t="s">
        <v>580</v>
      </c>
      <c r="C19" s="6" t="s">
        <v>713</v>
      </c>
      <c r="D19" s="6" t="s">
        <v>714</v>
      </c>
      <c r="E19" s="6" t="s">
        <v>715</v>
      </c>
      <c r="F19" s="8" t="n">
        <v>25</v>
      </c>
      <c r="G19" s="6" t="n">
        <v>10</v>
      </c>
      <c r="H19" s="6" t="n">
        <v>15</v>
      </c>
      <c r="I19" s="6" t="s">
        <v>586</v>
      </c>
      <c r="J19" s="6" t="s">
        <v>579</v>
      </c>
      <c r="K19" s="6" t="s">
        <v>328</v>
      </c>
      <c r="L19" s="6" t="s">
        <v>45</v>
      </c>
      <c r="M19" s="6" t="s">
        <v>716</v>
      </c>
      <c r="N19" s="23" t="n">
        <f aca="false">F19*0.7</f>
        <v>17.5</v>
      </c>
      <c r="O19" s="23" t="n">
        <f aca="false">F19*1.5</f>
        <v>37.5</v>
      </c>
    </row>
    <row r="20" customFormat="false" ht="99.75" hidden="false" customHeight="true" outlineLevel="0" collapsed="false">
      <c r="A20" s="6" t="s">
        <v>596</v>
      </c>
      <c r="B20" s="6" t="s">
        <v>588</v>
      </c>
      <c r="C20" s="6" t="s">
        <v>717</v>
      </c>
      <c r="D20" s="6" t="s">
        <v>718</v>
      </c>
      <c r="E20" s="6" t="s">
        <v>719</v>
      </c>
      <c r="F20" s="8" t="n">
        <v>45</v>
      </c>
      <c r="G20" s="6" t="n">
        <v>1</v>
      </c>
      <c r="H20" s="6" t="n">
        <v>8</v>
      </c>
      <c r="I20" s="6" t="s">
        <v>595</v>
      </c>
      <c r="J20" s="6" t="s">
        <v>470</v>
      </c>
      <c r="K20" s="6" t="s">
        <v>328</v>
      </c>
      <c r="L20" s="6" t="s">
        <v>471</v>
      </c>
      <c r="M20" s="6" t="s">
        <v>720</v>
      </c>
      <c r="N20" s="23" t="n">
        <f aca="false">F20*0.7</f>
        <v>31.5</v>
      </c>
      <c r="O20" s="23" t="n">
        <f aca="false">F20*1.5</f>
        <v>67.5</v>
      </c>
    </row>
    <row r="21" customFormat="false" ht="99.75" hidden="false" customHeight="true" outlineLevel="0" collapsed="false">
      <c r="A21" s="6" t="s">
        <v>604</v>
      </c>
      <c r="B21" s="6" t="s">
        <v>597</v>
      </c>
      <c r="C21" s="6" t="s">
        <v>721</v>
      </c>
      <c r="D21" s="6" t="s">
        <v>722</v>
      </c>
      <c r="E21" s="6" t="s">
        <v>723</v>
      </c>
      <c r="F21" s="8" t="n">
        <v>35</v>
      </c>
      <c r="G21" s="6" t="n">
        <v>4</v>
      </c>
      <c r="H21" s="6" t="n">
        <v>8</v>
      </c>
      <c r="I21" s="6" t="s">
        <v>724</v>
      </c>
      <c r="J21" s="6" t="s">
        <v>526</v>
      </c>
      <c r="K21" s="6" t="s">
        <v>328</v>
      </c>
      <c r="L21" s="6" t="s">
        <v>471</v>
      </c>
      <c r="M21" s="6" t="s">
        <v>725</v>
      </c>
      <c r="N21" s="23" t="n">
        <f aca="false">F21*0.7</f>
        <v>24.5</v>
      </c>
      <c r="O21" s="23" t="n">
        <f aca="false">F21*1.5</f>
        <v>52.5</v>
      </c>
    </row>
    <row r="22" customFormat="false" ht="99.75" hidden="false" customHeight="true" outlineLevel="0" collapsed="false">
      <c r="A22" s="6" t="s">
        <v>612</v>
      </c>
      <c r="B22" s="6" t="s">
        <v>605</v>
      </c>
      <c r="C22" s="6" t="s">
        <v>726</v>
      </c>
      <c r="D22" s="6" t="s">
        <v>727</v>
      </c>
      <c r="E22" s="6" t="s">
        <v>728</v>
      </c>
      <c r="F22" s="8" t="n">
        <v>25</v>
      </c>
      <c r="G22" s="6" t="n">
        <v>8</v>
      </c>
      <c r="H22" s="6" t="n">
        <v>11</v>
      </c>
      <c r="I22" s="6" t="s">
        <v>611</v>
      </c>
      <c r="J22" s="6" t="s">
        <v>604</v>
      </c>
      <c r="K22" s="6" t="s">
        <v>328</v>
      </c>
      <c r="L22" s="6" t="s">
        <v>471</v>
      </c>
      <c r="M22" s="6" t="s">
        <v>729</v>
      </c>
      <c r="N22" s="23" t="n">
        <f aca="false">F22*0.7</f>
        <v>17.5</v>
      </c>
      <c r="O22" s="23" t="n">
        <f aca="false">F22*1.5</f>
        <v>37.5</v>
      </c>
    </row>
    <row r="23" customFormat="false" ht="99.75" hidden="false" customHeight="true" outlineLevel="0" collapsed="false">
      <c r="A23" s="6" t="s">
        <v>620</v>
      </c>
      <c r="B23" s="6" t="s">
        <v>613</v>
      </c>
      <c r="C23" s="6" t="s">
        <v>730</v>
      </c>
      <c r="D23" s="6" t="s">
        <v>731</v>
      </c>
      <c r="E23" s="6" t="s">
        <v>732</v>
      </c>
      <c r="F23" s="8" t="n">
        <v>45</v>
      </c>
      <c r="G23" s="6" t="n">
        <v>10</v>
      </c>
      <c r="H23" s="6" t="n">
        <v>15</v>
      </c>
      <c r="I23" s="6" t="s">
        <v>733</v>
      </c>
      <c r="J23" s="6" t="s">
        <v>518</v>
      </c>
      <c r="K23" s="6" t="s">
        <v>328</v>
      </c>
      <c r="L23" s="6" t="s">
        <v>471</v>
      </c>
      <c r="M23" s="6" t="s">
        <v>734</v>
      </c>
      <c r="N23" s="23" t="n">
        <f aca="false">F23*0.7</f>
        <v>31.5</v>
      </c>
      <c r="O23" s="23" t="n">
        <f aca="false">F23*1.5</f>
        <v>67.5</v>
      </c>
    </row>
    <row r="24" customFormat="false" ht="99.75" hidden="false" customHeight="true" outlineLevel="0" collapsed="false">
      <c r="A24" s="6" t="s">
        <v>629</v>
      </c>
      <c r="B24" s="6" t="s">
        <v>621</v>
      </c>
      <c r="C24" s="6" t="s">
        <v>735</v>
      </c>
      <c r="D24" s="6" t="s">
        <v>736</v>
      </c>
      <c r="E24" s="6" t="s">
        <v>737</v>
      </c>
      <c r="F24" s="8" t="n">
        <v>60</v>
      </c>
      <c r="G24" s="6" t="n">
        <v>16</v>
      </c>
      <c r="H24" s="6" t="n">
        <v>24</v>
      </c>
      <c r="I24" s="6" t="s">
        <v>738</v>
      </c>
      <c r="J24" s="6" t="s">
        <v>612</v>
      </c>
      <c r="K24" s="6" t="s">
        <v>328</v>
      </c>
      <c r="L24" s="6" t="s">
        <v>471</v>
      </c>
      <c r="M24" s="6" t="s">
        <v>739</v>
      </c>
      <c r="N24" s="23" t="n">
        <f aca="false">F24*0.7</f>
        <v>42</v>
      </c>
      <c r="O24" s="23" t="n">
        <f aca="false">F24*1.5</f>
        <v>90</v>
      </c>
    </row>
    <row r="25" customFormat="false" ht="99.75" hidden="false" customHeight="true" outlineLevel="0" collapsed="false">
      <c r="A25" s="6" t="s">
        <v>640</v>
      </c>
      <c r="B25" s="6" t="s">
        <v>630</v>
      </c>
      <c r="C25" s="6" t="s">
        <v>740</v>
      </c>
      <c r="D25" s="6" t="s">
        <v>741</v>
      </c>
      <c r="E25" s="6" t="s">
        <v>633</v>
      </c>
      <c r="F25" s="8" t="n">
        <v>90</v>
      </c>
      <c r="G25" s="6" t="n">
        <v>16</v>
      </c>
      <c r="H25" s="6" t="n">
        <v>24</v>
      </c>
      <c r="I25" s="6" t="s">
        <v>639</v>
      </c>
      <c r="J25" s="6" t="s">
        <v>587</v>
      </c>
      <c r="K25" s="6" t="s">
        <v>59</v>
      </c>
      <c r="L25" s="6" t="s">
        <v>59</v>
      </c>
      <c r="M25" s="6" t="s">
        <v>742</v>
      </c>
      <c r="N25" s="23" t="n">
        <f aca="false">F25*0.7</f>
        <v>63</v>
      </c>
      <c r="O25" s="23" t="n">
        <f aca="false">F25*1.5</f>
        <v>135</v>
      </c>
    </row>
    <row r="26" customFormat="false" ht="99.75" hidden="false" customHeight="true" outlineLevel="0" collapsed="false">
      <c r="A26" s="6" t="s">
        <v>648</v>
      </c>
      <c r="B26" s="6" t="s">
        <v>641</v>
      </c>
      <c r="C26" s="6" t="s">
        <v>743</v>
      </c>
      <c r="D26" s="6" t="s">
        <v>744</v>
      </c>
      <c r="E26" s="6" t="s">
        <v>745</v>
      </c>
      <c r="F26" s="8" t="n">
        <v>180</v>
      </c>
      <c r="G26" s="6" t="n">
        <v>25</v>
      </c>
      <c r="H26" s="6" t="n">
        <v>42</v>
      </c>
      <c r="I26" s="6" t="s">
        <v>746</v>
      </c>
      <c r="J26" s="6" t="s">
        <v>629</v>
      </c>
      <c r="K26" s="6" t="s">
        <v>61</v>
      </c>
      <c r="L26" s="6" t="s">
        <v>61</v>
      </c>
      <c r="M26" s="6" t="s">
        <v>747</v>
      </c>
      <c r="N26" s="23" t="n">
        <f aca="false">F26*0.7</f>
        <v>126</v>
      </c>
      <c r="O26" s="23" t="n">
        <f aca="false">F26*1.5</f>
        <v>270</v>
      </c>
    </row>
  </sheetData>
  <autoFilter ref="A5:O26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4" min="2" style="0" width="52"/>
  </cols>
  <sheetData>
    <row r="1" customFormat="false" ht="28.5" hidden="false" customHeight="true" outlineLevel="0" collapsed="false">
      <c r="A1" s="1" t="s">
        <v>748</v>
      </c>
    </row>
    <row r="2" customFormat="false" ht="43.5" hidden="false" customHeight="true" outlineLevel="0" collapsed="false">
      <c r="A2" s="2" t="s">
        <v>749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444</v>
      </c>
      <c r="B5" s="13" t="s">
        <v>750</v>
      </c>
      <c r="C5" s="13" t="s">
        <v>12</v>
      </c>
      <c r="D5" s="13" t="s">
        <v>751</v>
      </c>
      <c r="E5" s="13" t="s">
        <v>652</v>
      </c>
      <c r="F5" s="13" t="s">
        <v>752</v>
      </c>
      <c r="G5" s="13" t="s">
        <v>753</v>
      </c>
      <c r="H5" s="13" t="s">
        <v>171</v>
      </c>
      <c r="I5" s="13" t="s">
        <v>754</v>
      </c>
      <c r="J5" s="13" t="s">
        <v>755</v>
      </c>
      <c r="K5" s="13" t="s">
        <v>756</v>
      </c>
      <c r="L5" s="13" t="s">
        <v>757</v>
      </c>
      <c r="M5" s="13" t="s">
        <v>653</v>
      </c>
      <c r="N5" s="13" t="s">
        <v>457</v>
      </c>
    </row>
    <row r="6" customFormat="false" ht="99.75" hidden="false" customHeight="true" outlineLevel="0" collapsed="false">
      <c r="A6" s="6" t="s">
        <v>758</v>
      </c>
      <c r="B6" s="6" t="s">
        <v>759</v>
      </c>
      <c r="C6" s="6" t="s">
        <v>760</v>
      </c>
      <c r="D6" s="6" t="s">
        <v>761</v>
      </c>
      <c r="E6" s="6" t="s">
        <v>762</v>
      </c>
      <c r="F6" s="6" t="s">
        <v>763</v>
      </c>
      <c r="G6" s="6" t="s">
        <v>764</v>
      </c>
      <c r="H6" s="6" t="s">
        <v>765</v>
      </c>
      <c r="I6" s="6" t="s">
        <v>766</v>
      </c>
      <c r="J6" s="6" t="s">
        <v>767</v>
      </c>
      <c r="K6" s="6" t="s">
        <v>768</v>
      </c>
      <c r="L6" s="6" t="s">
        <v>769</v>
      </c>
      <c r="M6" s="6" t="n">
        <v>15</v>
      </c>
      <c r="N6" s="6" t="s">
        <v>39</v>
      </c>
    </row>
    <row r="7" customFormat="false" ht="99.75" hidden="false" customHeight="true" outlineLevel="0" collapsed="false">
      <c r="A7" s="6" t="s">
        <v>770</v>
      </c>
      <c r="B7" s="6" t="s">
        <v>771</v>
      </c>
      <c r="C7" s="6" t="s">
        <v>242</v>
      </c>
      <c r="D7" s="6" t="s">
        <v>772</v>
      </c>
      <c r="E7" s="6" t="s">
        <v>773</v>
      </c>
      <c r="F7" s="6" t="s">
        <v>774</v>
      </c>
      <c r="G7" s="6" t="s">
        <v>775</v>
      </c>
      <c r="H7" s="6" t="s">
        <v>776</v>
      </c>
      <c r="I7" s="6" t="s">
        <v>777</v>
      </c>
      <c r="J7" s="6" t="s">
        <v>778</v>
      </c>
      <c r="K7" s="6" t="s">
        <v>779</v>
      </c>
      <c r="L7" s="6" t="s">
        <v>780</v>
      </c>
      <c r="M7" s="6" t="n">
        <v>15</v>
      </c>
      <c r="N7" s="6" t="s">
        <v>39</v>
      </c>
    </row>
    <row r="8" customFormat="false" ht="99.75" hidden="false" customHeight="true" outlineLevel="0" collapsed="false">
      <c r="A8" s="6" t="s">
        <v>781</v>
      </c>
      <c r="B8" s="6" t="s">
        <v>782</v>
      </c>
      <c r="C8" s="6" t="s">
        <v>783</v>
      </c>
      <c r="D8" s="6" t="s">
        <v>784</v>
      </c>
      <c r="E8" s="6" t="s">
        <v>785</v>
      </c>
      <c r="F8" s="6" t="s">
        <v>786</v>
      </c>
      <c r="G8" s="6" t="s">
        <v>787</v>
      </c>
      <c r="H8" s="6" t="s">
        <v>788</v>
      </c>
      <c r="I8" s="6" t="s">
        <v>789</v>
      </c>
      <c r="J8" s="6" t="s">
        <v>790</v>
      </c>
      <c r="K8" s="6" t="s">
        <v>791</v>
      </c>
      <c r="L8" s="6" t="s">
        <v>792</v>
      </c>
      <c r="M8" s="6" t="n">
        <v>20</v>
      </c>
      <c r="N8" s="6" t="s">
        <v>39</v>
      </c>
    </row>
    <row r="9" customFormat="false" ht="99.75" hidden="false" customHeight="true" outlineLevel="0" collapsed="false">
      <c r="A9" s="6" t="s">
        <v>793</v>
      </c>
      <c r="B9" s="6" t="s">
        <v>794</v>
      </c>
      <c r="C9" s="6" t="s">
        <v>795</v>
      </c>
      <c r="D9" s="6" t="s">
        <v>796</v>
      </c>
      <c r="E9" s="6" t="s">
        <v>797</v>
      </c>
      <c r="F9" s="6" t="s">
        <v>798</v>
      </c>
      <c r="G9" s="6" t="s">
        <v>799</v>
      </c>
      <c r="H9" s="6" t="s">
        <v>776</v>
      </c>
      <c r="I9" s="6" t="s">
        <v>800</v>
      </c>
      <c r="J9" s="6" t="s">
        <v>801</v>
      </c>
      <c r="K9" s="6" t="s">
        <v>802</v>
      </c>
      <c r="L9" s="6" t="s">
        <v>803</v>
      </c>
      <c r="M9" s="6" t="n">
        <v>10</v>
      </c>
      <c r="N9" s="6" t="s">
        <v>39</v>
      </c>
    </row>
    <row r="10" customFormat="false" ht="99.75" hidden="false" customHeight="true" outlineLevel="0" collapsed="false">
      <c r="A10" s="6" t="s">
        <v>804</v>
      </c>
      <c r="B10" s="6" t="s">
        <v>805</v>
      </c>
      <c r="C10" s="6" t="s">
        <v>806</v>
      </c>
      <c r="D10" s="6" t="s">
        <v>807</v>
      </c>
      <c r="E10" s="6" t="s">
        <v>808</v>
      </c>
      <c r="F10" s="6" t="s">
        <v>809</v>
      </c>
      <c r="G10" s="6" t="s">
        <v>810</v>
      </c>
      <c r="H10" s="6" t="s">
        <v>776</v>
      </c>
      <c r="I10" s="6" t="s">
        <v>811</v>
      </c>
      <c r="J10" s="6" t="s">
        <v>812</v>
      </c>
      <c r="K10" s="6" t="s">
        <v>813</v>
      </c>
      <c r="L10" s="6" t="s">
        <v>814</v>
      </c>
      <c r="M10" s="6" t="n">
        <v>15</v>
      </c>
      <c r="N10" s="6" t="s">
        <v>39</v>
      </c>
    </row>
    <row r="11" customFormat="false" ht="99.75" hidden="false" customHeight="true" outlineLevel="0" collapsed="false">
      <c r="A11" s="6" t="s">
        <v>815</v>
      </c>
      <c r="B11" s="6" t="s">
        <v>816</v>
      </c>
      <c r="C11" s="6" t="s">
        <v>817</v>
      </c>
      <c r="D11" s="6" t="s">
        <v>818</v>
      </c>
      <c r="E11" s="6" t="s">
        <v>819</v>
      </c>
      <c r="F11" s="6" t="s">
        <v>820</v>
      </c>
      <c r="G11" s="6" t="s">
        <v>821</v>
      </c>
      <c r="H11" s="6" t="s">
        <v>822</v>
      </c>
      <c r="I11" s="6" t="s">
        <v>823</v>
      </c>
      <c r="J11" s="6" t="s">
        <v>824</v>
      </c>
      <c r="K11" s="6" t="s">
        <v>825</v>
      </c>
      <c r="L11" s="6" t="s">
        <v>826</v>
      </c>
      <c r="M11" s="6" t="n">
        <v>10</v>
      </c>
      <c r="N11" s="6" t="s">
        <v>39</v>
      </c>
    </row>
    <row r="12" customFormat="false" ht="99.75" hidden="false" customHeight="true" outlineLevel="0" collapsed="false">
      <c r="A12" s="6" t="s">
        <v>827</v>
      </c>
      <c r="B12" s="6" t="s">
        <v>828</v>
      </c>
      <c r="C12" s="6" t="s">
        <v>829</v>
      </c>
      <c r="D12" s="6" t="s">
        <v>830</v>
      </c>
      <c r="E12" s="6" t="s">
        <v>831</v>
      </c>
      <c r="F12" s="6" t="s">
        <v>832</v>
      </c>
      <c r="G12" s="6" t="s">
        <v>833</v>
      </c>
      <c r="H12" s="6" t="s">
        <v>834</v>
      </c>
      <c r="I12" s="6" t="s">
        <v>835</v>
      </c>
      <c r="J12" s="6" t="s">
        <v>836</v>
      </c>
      <c r="K12" s="6" t="s">
        <v>837</v>
      </c>
      <c r="L12" s="6" t="s">
        <v>838</v>
      </c>
      <c r="M12" s="6" t="n">
        <v>10</v>
      </c>
      <c r="N12" s="6" t="s">
        <v>39</v>
      </c>
    </row>
    <row r="13" customFormat="false" ht="99.75" hidden="false" customHeight="true" outlineLevel="0" collapsed="false">
      <c r="A13" s="6" t="s">
        <v>839</v>
      </c>
      <c r="B13" s="6" t="s">
        <v>840</v>
      </c>
      <c r="C13" s="6" t="s">
        <v>841</v>
      </c>
      <c r="D13" s="6" t="s">
        <v>842</v>
      </c>
      <c r="E13" s="6" t="s">
        <v>843</v>
      </c>
      <c r="F13" s="6" t="s">
        <v>844</v>
      </c>
      <c r="G13" s="6" t="s">
        <v>845</v>
      </c>
      <c r="H13" s="6" t="s">
        <v>846</v>
      </c>
      <c r="I13" s="6" t="s">
        <v>847</v>
      </c>
      <c r="J13" s="6" t="s">
        <v>848</v>
      </c>
      <c r="K13" s="6" t="s">
        <v>849</v>
      </c>
      <c r="L13" s="6" t="s">
        <v>850</v>
      </c>
      <c r="M13" s="6" t="n">
        <v>30</v>
      </c>
      <c r="N13" s="6" t="s">
        <v>851</v>
      </c>
    </row>
  </sheetData>
  <autoFilter ref="A5:N13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0" min="2" style="0" width="52"/>
    <col collapsed="false" customWidth="true" hidden="false" outlineLevel="0" max="70" min="11" style="0" width="4"/>
  </cols>
  <sheetData>
    <row r="1" customFormat="false" ht="28.5" hidden="false" customHeight="true" outlineLevel="0" collapsed="false">
      <c r="A1" s="1" t="s">
        <v>852</v>
      </c>
    </row>
    <row r="2" customFormat="false" ht="43.5" hidden="false" customHeight="true" outlineLevel="0" collapsed="false">
      <c r="A2" s="2" t="s">
        <v>853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444</v>
      </c>
      <c r="B5" s="13" t="s">
        <v>453</v>
      </c>
      <c r="C5" s="13" t="s">
        <v>361</v>
      </c>
      <c r="D5" s="13" t="s">
        <v>362</v>
      </c>
      <c r="E5" s="13" t="s">
        <v>455</v>
      </c>
      <c r="F5" s="13" t="s">
        <v>454</v>
      </c>
      <c r="G5" s="13" t="s">
        <v>451</v>
      </c>
      <c r="H5" s="13" t="s">
        <v>175</v>
      </c>
      <c r="I5" s="13" t="s">
        <v>313</v>
      </c>
      <c r="J5" s="13" t="s">
        <v>854</v>
      </c>
      <c r="K5" s="5" t="n">
        <v>1</v>
      </c>
      <c r="L5" s="5" t="n">
        <v>2</v>
      </c>
      <c r="M5" s="5" t="n">
        <v>3</v>
      </c>
      <c r="N5" s="5" t="n">
        <v>4</v>
      </c>
      <c r="O5" s="5" t="n">
        <v>5</v>
      </c>
      <c r="P5" s="5" t="n">
        <v>6</v>
      </c>
      <c r="Q5" s="5" t="n">
        <v>7</v>
      </c>
      <c r="R5" s="5" t="n">
        <v>8</v>
      </c>
      <c r="S5" s="5" t="n">
        <v>9</v>
      </c>
      <c r="T5" s="5" t="n">
        <v>10</v>
      </c>
      <c r="U5" s="5" t="n">
        <v>11</v>
      </c>
      <c r="V5" s="5" t="n">
        <v>12</v>
      </c>
      <c r="W5" s="5" t="n">
        <v>13</v>
      </c>
      <c r="X5" s="5" t="n">
        <v>14</v>
      </c>
      <c r="Y5" s="5" t="n">
        <v>15</v>
      </c>
      <c r="Z5" s="5" t="n">
        <v>16</v>
      </c>
      <c r="AA5" s="5" t="n">
        <v>17</v>
      </c>
      <c r="AB5" s="5" t="n">
        <v>18</v>
      </c>
      <c r="AC5" s="5" t="n">
        <v>19</v>
      </c>
      <c r="AD5" s="5" t="n">
        <v>20</v>
      </c>
      <c r="AE5" s="5" t="n">
        <v>21</v>
      </c>
      <c r="AF5" s="5" t="n">
        <v>22</v>
      </c>
      <c r="AG5" s="5" t="n">
        <v>23</v>
      </c>
      <c r="AH5" s="5" t="n">
        <v>24</v>
      </c>
      <c r="AI5" s="5" t="n">
        <v>25</v>
      </c>
      <c r="AJ5" s="5" t="n">
        <v>26</v>
      </c>
      <c r="AK5" s="5" t="n">
        <v>27</v>
      </c>
      <c r="AL5" s="5" t="n">
        <v>28</v>
      </c>
      <c r="AM5" s="5" t="n">
        <v>29</v>
      </c>
      <c r="AN5" s="5" t="n">
        <v>30</v>
      </c>
      <c r="AO5" s="5" t="n">
        <v>31</v>
      </c>
      <c r="AP5" s="5" t="n">
        <v>32</v>
      </c>
      <c r="AQ5" s="5" t="n">
        <v>33</v>
      </c>
      <c r="AR5" s="5" t="n">
        <v>34</v>
      </c>
      <c r="AS5" s="5" t="n">
        <v>35</v>
      </c>
      <c r="AT5" s="5" t="n">
        <v>36</v>
      </c>
      <c r="AU5" s="5" t="n">
        <v>37</v>
      </c>
      <c r="AV5" s="5" t="n">
        <v>38</v>
      </c>
      <c r="AW5" s="5" t="n">
        <v>39</v>
      </c>
      <c r="AX5" s="5" t="n">
        <v>40</v>
      </c>
      <c r="AY5" s="5" t="n">
        <v>41</v>
      </c>
      <c r="AZ5" s="5" t="n">
        <v>42</v>
      </c>
      <c r="BA5" s="5" t="n">
        <v>43</v>
      </c>
      <c r="BB5" s="5" t="n">
        <v>44</v>
      </c>
      <c r="BC5" s="5" t="n">
        <v>45</v>
      </c>
      <c r="BD5" s="5" t="n">
        <v>46</v>
      </c>
      <c r="BE5" s="5" t="n">
        <v>47</v>
      </c>
      <c r="BF5" s="5" t="n">
        <v>48</v>
      </c>
      <c r="BG5" s="5" t="n">
        <v>49</v>
      </c>
      <c r="BH5" s="5" t="n">
        <v>50</v>
      </c>
      <c r="BI5" s="5" t="n">
        <v>51</v>
      </c>
      <c r="BJ5" s="5" t="n">
        <v>52</v>
      </c>
      <c r="BK5" s="5" t="n">
        <v>53</v>
      </c>
      <c r="BL5" s="5" t="n">
        <v>54</v>
      </c>
      <c r="BM5" s="5" t="n">
        <v>55</v>
      </c>
      <c r="BN5" s="5" t="n">
        <v>56</v>
      </c>
      <c r="BO5" s="5" t="n">
        <v>57</v>
      </c>
      <c r="BP5" s="5" t="n">
        <v>58</v>
      </c>
      <c r="BQ5" s="5" t="n">
        <v>59</v>
      </c>
      <c r="BR5" s="5" t="n">
        <v>60</v>
      </c>
    </row>
    <row r="6" customFormat="false" ht="99.75" hidden="false" customHeight="true" outlineLevel="0" collapsed="false">
      <c r="A6" s="6" t="s">
        <v>855</v>
      </c>
      <c r="B6" s="6" t="s">
        <v>856</v>
      </c>
      <c r="C6" s="6" t="n">
        <v>1</v>
      </c>
      <c r="D6" s="6" t="n">
        <v>3</v>
      </c>
      <c r="E6" s="6" t="s">
        <v>469</v>
      </c>
      <c r="F6" s="6" t="s">
        <v>857</v>
      </c>
      <c r="G6" s="6" t="s">
        <v>858</v>
      </c>
      <c r="H6" s="6" t="s">
        <v>859</v>
      </c>
      <c r="I6" s="6" t="s">
        <v>328</v>
      </c>
      <c r="J6" s="6" t="s">
        <v>860</v>
      </c>
      <c r="K6" s="24" t="n">
        <f aca="false">IF(AND(K$5&gt;=IF(I6="Core",C6,IF(I6="AI",Assumptions!$H$24,Assumptions!$H$25)),K$5&lt;=IF(I6="Core",D6,IF(I6="AI",Assumptions!$H$24,Assumptions!$H$25)+D6-C6),IF(I6="Core",1,IF(I6="AI",'Start Here'!$B$7,'Start Here'!$B$8))=1),1,0)</f>
        <v>1</v>
      </c>
      <c r="L6" s="24" t="n">
        <f aca="false">IF(AND(L$5&gt;=IF(I6="Core",C6,IF(I6="AI",Assumptions!$H$24,Assumptions!$H$25)),L$5&lt;=IF(I6="Core",D6,IF(I6="AI",Assumptions!$H$24,Assumptions!$H$25)+D6-C6),IF(I6="Core",1,IF(I6="AI",'Start Here'!$B$7,'Start Here'!$B$8))=1),1,0)</f>
        <v>1</v>
      </c>
      <c r="M6" s="24" t="n">
        <f aca="false">IF(AND(M$5&gt;=IF(I6="Core",C6,IF(I6="AI",Assumptions!$H$24,Assumptions!$H$25)),M$5&lt;=IF(I6="Core",D6,IF(I6="AI",Assumptions!$H$24,Assumptions!$H$25)+D6-C6),IF(I6="Core",1,IF(I6="AI",'Start Here'!$B$7,'Start Here'!$B$8))=1),1,0)</f>
        <v>1</v>
      </c>
      <c r="N6" s="24" t="n">
        <f aca="false">IF(AND(N$5&gt;=IF(I6="Core",C6,IF(I6="AI",Assumptions!$H$24,Assumptions!$H$25)),N$5&lt;=IF(I6="Core",D6,IF(I6="AI",Assumptions!$H$24,Assumptions!$H$25)+D6-C6),IF(I6="Core",1,IF(I6="AI",'Start Here'!$B$7,'Start Here'!$B$8))=1),1,0)</f>
        <v>0</v>
      </c>
      <c r="O6" s="24" t="n">
        <f aca="false">IF(AND(O$5&gt;=IF(I6="Core",C6,IF(I6="AI",Assumptions!$H$24,Assumptions!$H$25)),O$5&lt;=IF(I6="Core",D6,IF(I6="AI",Assumptions!$H$24,Assumptions!$H$25)+D6-C6),IF(I6="Core",1,IF(I6="AI",'Start Here'!$B$7,'Start Here'!$B$8))=1),1,0)</f>
        <v>0</v>
      </c>
      <c r="P6" s="24" t="n">
        <f aca="false">IF(AND(P$5&gt;=IF(I6="Core",C6,IF(I6="AI",Assumptions!$H$24,Assumptions!$H$25)),P$5&lt;=IF(I6="Core",D6,IF(I6="AI",Assumptions!$H$24,Assumptions!$H$25)+D6-C6),IF(I6="Core",1,IF(I6="AI",'Start Here'!$B$7,'Start Here'!$B$8))=1),1,0)</f>
        <v>0</v>
      </c>
      <c r="Q6" s="24" t="n">
        <f aca="false">IF(AND(Q$5&gt;=IF(I6="Core",C6,IF(I6="AI",Assumptions!$H$24,Assumptions!$H$25)),Q$5&lt;=IF(I6="Core",D6,IF(I6="AI",Assumptions!$H$24,Assumptions!$H$25)+D6-C6),IF(I6="Core",1,IF(I6="AI",'Start Here'!$B$7,'Start Here'!$B$8))=1),1,0)</f>
        <v>0</v>
      </c>
      <c r="R6" s="24" t="n">
        <f aca="false">IF(AND(R$5&gt;=IF(I6="Core",C6,IF(I6="AI",Assumptions!$H$24,Assumptions!$H$25)),R$5&lt;=IF(I6="Core",D6,IF(I6="AI",Assumptions!$H$24,Assumptions!$H$25)+D6-C6),IF(I6="Core",1,IF(I6="AI",'Start Here'!$B$7,'Start Here'!$B$8))=1),1,0)</f>
        <v>0</v>
      </c>
      <c r="S6" s="24" t="n">
        <f aca="false">IF(AND(S$5&gt;=IF(I6="Core",C6,IF(I6="AI",Assumptions!$H$24,Assumptions!$H$25)),S$5&lt;=IF(I6="Core",D6,IF(I6="AI",Assumptions!$H$24,Assumptions!$H$25)+D6-C6),IF(I6="Core",1,IF(I6="AI",'Start Here'!$B$7,'Start Here'!$B$8))=1),1,0)</f>
        <v>0</v>
      </c>
      <c r="T6" s="24" t="n">
        <f aca="false">IF(AND(T$5&gt;=IF(I6="Core",C6,IF(I6="AI",Assumptions!$H$24,Assumptions!$H$25)),T$5&lt;=IF(I6="Core",D6,IF(I6="AI",Assumptions!$H$24,Assumptions!$H$25)+D6-C6),IF(I6="Core",1,IF(I6="AI",'Start Here'!$B$7,'Start Here'!$B$8))=1),1,0)</f>
        <v>0</v>
      </c>
      <c r="U6" s="24" t="n">
        <f aca="false">IF(AND(U$5&gt;=IF(I6="Core",C6,IF(I6="AI",Assumptions!$H$24,Assumptions!$H$25)),U$5&lt;=IF(I6="Core",D6,IF(I6="AI",Assumptions!$H$24,Assumptions!$H$25)+D6-C6),IF(I6="Core",1,IF(I6="AI",'Start Here'!$B$7,'Start Here'!$B$8))=1),1,0)</f>
        <v>0</v>
      </c>
      <c r="V6" s="24" t="n">
        <f aca="false">IF(AND(V$5&gt;=IF(I6="Core",C6,IF(I6="AI",Assumptions!$H$24,Assumptions!$H$25)),V$5&lt;=IF(I6="Core",D6,IF(I6="AI",Assumptions!$H$24,Assumptions!$H$25)+D6-C6),IF(I6="Core",1,IF(I6="AI",'Start Here'!$B$7,'Start Here'!$B$8))=1),1,0)</f>
        <v>0</v>
      </c>
      <c r="W6" s="24" t="n">
        <f aca="false">IF(AND(W$5&gt;=IF(I6="Core",C6,IF(I6="AI",Assumptions!$H$24,Assumptions!$H$25)),W$5&lt;=IF(I6="Core",D6,IF(I6="AI",Assumptions!$H$24,Assumptions!$H$25)+D6-C6),IF(I6="Core",1,IF(I6="AI",'Start Here'!$B$7,'Start Here'!$B$8))=1),1,0)</f>
        <v>0</v>
      </c>
      <c r="X6" s="24" t="n">
        <f aca="false">IF(AND(X$5&gt;=IF(I6="Core",C6,IF(I6="AI",Assumptions!$H$24,Assumptions!$H$25)),X$5&lt;=IF(I6="Core",D6,IF(I6="AI",Assumptions!$H$24,Assumptions!$H$25)+D6-C6),IF(I6="Core",1,IF(I6="AI",'Start Here'!$B$7,'Start Here'!$B$8))=1),1,0)</f>
        <v>0</v>
      </c>
      <c r="Y6" s="24" t="n">
        <f aca="false">IF(AND(Y$5&gt;=IF(I6="Core",C6,IF(I6="AI",Assumptions!$H$24,Assumptions!$H$25)),Y$5&lt;=IF(I6="Core",D6,IF(I6="AI",Assumptions!$H$24,Assumptions!$H$25)+D6-C6),IF(I6="Core",1,IF(I6="AI",'Start Here'!$B$7,'Start Here'!$B$8))=1),1,0)</f>
        <v>0</v>
      </c>
      <c r="Z6" s="24" t="n">
        <f aca="false">IF(AND(Z$5&gt;=IF(I6="Core",C6,IF(I6="AI",Assumptions!$H$24,Assumptions!$H$25)),Z$5&lt;=IF(I6="Core",D6,IF(I6="AI",Assumptions!$H$24,Assumptions!$H$25)+D6-C6),IF(I6="Core",1,IF(I6="AI",'Start Here'!$B$7,'Start Here'!$B$8))=1),1,0)</f>
        <v>0</v>
      </c>
      <c r="AA6" s="24" t="n">
        <f aca="false">IF(AND(AA$5&gt;=IF(I6="Core",C6,IF(I6="AI",Assumptions!$H$24,Assumptions!$H$25)),AA$5&lt;=IF(I6="Core",D6,IF(I6="AI",Assumptions!$H$24,Assumptions!$H$25)+D6-C6),IF(I6="Core",1,IF(I6="AI",'Start Here'!$B$7,'Start Here'!$B$8))=1),1,0)</f>
        <v>0</v>
      </c>
      <c r="AB6" s="24" t="n">
        <f aca="false">IF(AND(AB$5&gt;=IF(I6="Core",C6,IF(I6="AI",Assumptions!$H$24,Assumptions!$H$25)),AB$5&lt;=IF(I6="Core",D6,IF(I6="AI",Assumptions!$H$24,Assumptions!$H$25)+D6-C6),IF(I6="Core",1,IF(I6="AI",'Start Here'!$B$7,'Start Here'!$B$8))=1),1,0)</f>
        <v>0</v>
      </c>
      <c r="AC6" s="24" t="n">
        <f aca="false">IF(AND(AC$5&gt;=IF(I6="Core",C6,IF(I6="AI",Assumptions!$H$24,Assumptions!$H$25)),AC$5&lt;=IF(I6="Core",D6,IF(I6="AI",Assumptions!$H$24,Assumptions!$H$25)+D6-C6),IF(I6="Core",1,IF(I6="AI",'Start Here'!$B$7,'Start Here'!$B$8))=1),1,0)</f>
        <v>0</v>
      </c>
      <c r="AD6" s="24" t="n">
        <f aca="false">IF(AND(AD$5&gt;=IF(I6="Core",C6,IF(I6="AI",Assumptions!$H$24,Assumptions!$H$25)),AD$5&lt;=IF(I6="Core",D6,IF(I6="AI",Assumptions!$H$24,Assumptions!$H$25)+D6-C6),IF(I6="Core",1,IF(I6="AI",'Start Here'!$B$7,'Start Here'!$B$8))=1),1,0)</f>
        <v>0</v>
      </c>
      <c r="AE6" s="24" t="n">
        <f aca="false">IF(AND(AE$5&gt;=IF(I6="Core",C6,IF(I6="AI",Assumptions!$H$24,Assumptions!$H$25)),AE$5&lt;=IF(I6="Core",D6,IF(I6="AI",Assumptions!$H$24,Assumptions!$H$25)+D6-C6),IF(I6="Core",1,IF(I6="AI",'Start Here'!$B$7,'Start Here'!$B$8))=1),1,0)</f>
        <v>0</v>
      </c>
      <c r="AF6" s="24" t="n">
        <f aca="false">IF(AND(AF$5&gt;=IF(I6="Core",C6,IF(I6="AI",Assumptions!$H$24,Assumptions!$H$25)),AF$5&lt;=IF(I6="Core",D6,IF(I6="AI",Assumptions!$H$24,Assumptions!$H$25)+D6-C6),IF(I6="Core",1,IF(I6="AI",'Start Here'!$B$7,'Start Here'!$B$8))=1),1,0)</f>
        <v>0</v>
      </c>
      <c r="AG6" s="24" t="n">
        <f aca="false">IF(AND(AG$5&gt;=IF(I6="Core",C6,IF(I6="AI",Assumptions!$H$24,Assumptions!$H$25)),AG$5&lt;=IF(I6="Core",D6,IF(I6="AI",Assumptions!$H$24,Assumptions!$H$25)+D6-C6),IF(I6="Core",1,IF(I6="AI",'Start Here'!$B$7,'Start Here'!$B$8))=1),1,0)</f>
        <v>0</v>
      </c>
      <c r="AH6" s="24" t="n">
        <f aca="false">IF(AND(AH$5&gt;=IF(I6="Core",C6,IF(I6="AI",Assumptions!$H$24,Assumptions!$H$25)),AH$5&lt;=IF(I6="Core",D6,IF(I6="AI",Assumptions!$H$24,Assumptions!$H$25)+D6-C6),IF(I6="Core",1,IF(I6="AI",'Start Here'!$B$7,'Start Here'!$B$8))=1),1,0)</f>
        <v>0</v>
      </c>
      <c r="AI6" s="24" t="n">
        <f aca="false">IF(AND(AI$5&gt;=IF(I6="Core",C6,IF(I6="AI",Assumptions!$H$24,Assumptions!$H$25)),AI$5&lt;=IF(I6="Core",D6,IF(I6="AI",Assumptions!$H$24,Assumptions!$H$25)+D6-C6),IF(I6="Core",1,IF(I6="AI",'Start Here'!$B$7,'Start Here'!$B$8))=1),1,0)</f>
        <v>0</v>
      </c>
      <c r="AJ6" s="24" t="n">
        <f aca="false">IF(AND(AJ$5&gt;=IF(I6="Core",C6,IF(I6="AI",Assumptions!$H$24,Assumptions!$H$25)),AJ$5&lt;=IF(I6="Core",D6,IF(I6="AI",Assumptions!$H$24,Assumptions!$H$25)+D6-C6),IF(I6="Core",1,IF(I6="AI",'Start Here'!$B$7,'Start Here'!$B$8))=1),1,0)</f>
        <v>0</v>
      </c>
      <c r="AK6" s="24" t="n">
        <f aca="false">IF(AND(AK$5&gt;=IF(I6="Core",C6,IF(I6="AI",Assumptions!$H$24,Assumptions!$H$25)),AK$5&lt;=IF(I6="Core",D6,IF(I6="AI",Assumptions!$H$24,Assumptions!$H$25)+D6-C6),IF(I6="Core",1,IF(I6="AI",'Start Here'!$B$7,'Start Here'!$B$8))=1),1,0)</f>
        <v>0</v>
      </c>
      <c r="AL6" s="24" t="n">
        <f aca="false">IF(AND(AL$5&gt;=IF(I6="Core",C6,IF(I6="AI",Assumptions!$H$24,Assumptions!$H$25)),AL$5&lt;=IF(I6="Core",D6,IF(I6="AI",Assumptions!$H$24,Assumptions!$H$25)+D6-C6),IF(I6="Core",1,IF(I6="AI",'Start Here'!$B$7,'Start Here'!$B$8))=1),1,0)</f>
        <v>0</v>
      </c>
      <c r="AM6" s="24" t="n">
        <f aca="false">IF(AND(AM$5&gt;=IF(I6="Core",C6,IF(I6="AI",Assumptions!$H$24,Assumptions!$H$25)),AM$5&lt;=IF(I6="Core",D6,IF(I6="AI",Assumptions!$H$24,Assumptions!$H$25)+D6-C6),IF(I6="Core",1,IF(I6="AI",'Start Here'!$B$7,'Start Here'!$B$8))=1),1,0)</f>
        <v>0</v>
      </c>
      <c r="AN6" s="24" t="n">
        <f aca="false">IF(AND(AN$5&gt;=IF(I6="Core",C6,IF(I6="AI",Assumptions!$H$24,Assumptions!$H$25)),AN$5&lt;=IF(I6="Core",D6,IF(I6="AI",Assumptions!$H$24,Assumptions!$H$25)+D6-C6),IF(I6="Core",1,IF(I6="AI",'Start Here'!$B$7,'Start Here'!$B$8))=1),1,0)</f>
        <v>0</v>
      </c>
      <c r="AO6" s="24" t="n">
        <f aca="false">IF(AND(AO$5&gt;=IF(I6="Core",C6,IF(I6="AI",Assumptions!$H$24,Assumptions!$H$25)),AO$5&lt;=IF(I6="Core",D6,IF(I6="AI",Assumptions!$H$24,Assumptions!$H$25)+D6-C6),IF(I6="Core",1,IF(I6="AI",'Start Here'!$B$7,'Start Here'!$B$8))=1),1,0)</f>
        <v>0</v>
      </c>
      <c r="AP6" s="24" t="n">
        <f aca="false">IF(AND(AP$5&gt;=IF(I6="Core",C6,IF(I6="AI",Assumptions!$H$24,Assumptions!$H$25)),AP$5&lt;=IF(I6="Core",D6,IF(I6="AI",Assumptions!$H$24,Assumptions!$H$25)+D6-C6),IF(I6="Core",1,IF(I6="AI",'Start Here'!$B$7,'Start Here'!$B$8))=1),1,0)</f>
        <v>0</v>
      </c>
      <c r="AQ6" s="24" t="n">
        <f aca="false">IF(AND(AQ$5&gt;=IF(I6="Core",C6,IF(I6="AI",Assumptions!$H$24,Assumptions!$H$25)),AQ$5&lt;=IF(I6="Core",D6,IF(I6="AI",Assumptions!$H$24,Assumptions!$H$25)+D6-C6),IF(I6="Core",1,IF(I6="AI",'Start Here'!$B$7,'Start Here'!$B$8))=1),1,0)</f>
        <v>0</v>
      </c>
      <c r="AR6" s="24" t="n">
        <f aca="false">IF(AND(AR$5&gt;=IF(I6="Core",C6,IF(I6="AI",Assumptions!$H$24,Assumptions!$H$25)),AR$5&lt;=IF(I6="Core",D6,IF(I6="AI",Assumptions!$H$24,Assumptions!$H$25)+D6-C6),IF(I6="Core",1,IF(I6="AI",'Start Here'!$B$7,'Start Here'!$B$8))=1),1,0)</f>
        <v>0</v>
      </c>
      <c r="AS6" s="24" t="n">
        <f aca="false">IF(AND(AS$5&gt;=IF(I6="Core",C6,IF(I6="AI",Assumptions!$H$24,Assumptions!$H$25)),AS$5&lt;=IF(I6="Core",D6,IF(I6="AI",Assumptions!$H$24,Assumptions!$H$25)+D6-C6),IF(I6="Core",1,IF(I6="AI",'Start Here'!$B$7,'Start Here'!$B$8))=1),1,0)</f>
        <v>0</v>
      </c>
      <c r="AT6" s="24" t="n">
        <f aca="false">IF(AND(AT$5&gt;=IF(I6="Core",C6,IF(I6="AI",Assumptions!$H$24,Assumptions!$H$25)),AT$5&lt;=IF(I6="Core",D6,IF(I6="AI",Assumptions!$H$24,Assumptions!$H$25)+D6-C6),IF(I6="Core",1,IF(I6="AI",'Start Here'!$B$7,'Start Here'!$B$8))=1),1,0)</f>
        <v>0</v>
      </c>
      <c r="AU6" s="24" t="n">
        <f aca="false">IF(AND(AU$5&gt;=IF(I6="Core",C6,IF(I6="AI",Assumptions!$H$24,Assumptions!$H$25)),AU$5&lt;=IF(I6="Core",D6,IF(I6="AI",Assumptions!$H$24,Assumptions!$H$25)+D6-C6),IF(I6="Core",1,IF(I6="AI",'Start Here'!$B$7,'Start Here'!$B$8))=1),1,0)</f>
        <v>0</v>
      </c>
      <c r="AV6" s="24" t="n">
        <f aca="false">IF(AND(AV$5&gt;=IF(I6="Core",C6,IF(I6="AI",Assumptions!$H$24,Assumptions!$H$25)),AV$5&lt;=IF(I6="Core",D6,IF(I6="AI",Assumptions!$H$24,Assumptions!$H$25)+D6-C6),IF(I6="Core",1,IF(I6="AI",'Start Here'!$B$7,'Start Here'!$B$8))=1),1,0)</f>
        <v>0</v>
      </c>
      <c r="AW6" s="24" t="n">
        <f aca="false">IF(AND(AW$5&gt;=IF(I6="Core",C6,IF(I6="AI",Assumptions!$H$24,Assumptions!$H$25)),AW$5&lt;=IF(I6="Core",D6,IF(I6="AI",Assumptions!$H$24,Assumptions!$H$25)+D6-C6),IF(I6="Core",1,IF(I6="AI",'Start Here'!$B$7,'Start Here'!$B$8))=1),1,0)</f>
        <v>0</v>
      </c>
      <c r="AX6" s="24" t="n">
        <f aca="false">IF(AND(AX$5&gt;=IF(I6="Core",C6,IF(I6="AI",Assumptions!$H$24,Assumptions!$H$25)),AX$5&lt;=IF(I6="Core",D6,IF(I6="AI",Assumptions!$H$24,Assumptions!$H$25)+D6-C6),IF(I6="Core",1,IF(I6="AI",'Start Here'!$B$7,'Start Here'!$B$8))=1),1,0)</f>
        <v>0</v>
      </c>
      <c r="AY6" s="24" t="n">
        <f aca="false">IF(AND(AY$5&gt;=IF(I6="Core",C6,IF(I6="AI",Assumptions!$H$24,Assumptions!$H$25)),AY$5&lt;=IF(I6="Core",D6,IF(I6="AI",Assumptions!$H$24,Assumptions!$H$25)+D6-C6),IF(I6="Core",1,IF(I6="AI",'Start Here'!$B$7,'Start Here'!$B$8))=1),1,0)</f>
        <v>0</v>
      </c>
      <c r="AZ6" s="24" t="n">
        <f aca="false">IF(AND(AZ$5&gt;=IF(I6="Core",C6,IF(I6="AI",Assumptions!$H$24,Assumptions!$H$25)),AZ$5&lt;=IF(I6="Core",D6,IF(I6="AI",Assumptions!$H$24,Assumptions!$H$25)+D6-C6),IF(I6="Core",1,IF(I6="AI",'Start Here'!$B$7,'Start Here'!$B$8))=1),1,0)</f>
        <v>0</v>
      </c>
      <c r="BA6" s="24" t="n">
        <f aca="false">IF(AND(BA$5&gt;=IF(I6="Core",C6,IF(I6="AI",Assumptions!$H$24,Assumptions!$H$25)),BA$5&lt;=IF(I6="Core",D6,IF(I6="AI",Assumptions!$H$24,Assumptions!$H$25)+D6-C6),IF(I6="Core",1,IF(I6="AI",'Start Here'!$B$7,'Start Here'!$B$8))=1),1,0)</f>
        <v>0</v>
      </c>
      <c r="BB6" s="24" t="n">
        <f aca="false">IF(AND(BB$5&gt;=IF(I6="Core",C6,IF(I6="AI",Assumptions!$H$24,Assumptions!$H$25)),BB$5&lt;=IF(I6="Core",D6,IF(I6="AI",Assumptions!$H$24,Assumptions!$H$25)+D6-C6),IF(I6="Core",1,IF(I6="AI",'Start Here'!$B$7,'Start Here'!$B$8))=1),1,0)</f>
        <v>0</v>
      </c>
      <c r="BC6" s="24" t="n">
        <f aca="false">IF(AND(BC$5&gt;=IF(I6="Core",C6,IF(I6="AI",Assumptions!$H$24,Assumptions!$H$25)),BC$5&lt;=IF(I6="Core",D6,IF(I6="AI",Assumptions!$H$24,Assumptions!$H$25)+D6-C6),IF(I6="Core",1,IF(I6="AI",'Start Here'!$B$7,'Start Here'!$B$8))=1),1,0)</f>
        <v>0</v>
      </c>
      <c r="BD6" s="24" t="n">
        <f aca="false">IF(AND(BD$5&gt;=IF(I6="Core",C6,IF(I6="AI",Assumptions!$H$24,Assumptions!$H$25)),BD$5&lt;=IF(I6="Core",D6,IF(I6="AI",Assumptions!$H$24,Assumptions!$H$25)+D6-C6),IF(I6="Core",1,IF(I6="AI",'Start Here'!$B$7,'Start Here'!$B$8))=1),1,0)</f>
        <v>0</v>
      </c>
      <c r="BE6" s="24" t="n">
        <f aca="false">IF(AND(BE$5&gt;=IF(I6="Core",C6,IF(I6="AI",Assumptions!$H$24,Assumptions!$H$25)),BE$5&lt;=IF(I6="Core",D6,IF(I6="AI",Assumptions!$H$24,Assumptions!$H$25)+D6-C6),IF(I6="Core",1,IF(I6="AI",'Start Here'!$B$7,'Start Here'!$B$8))=1),1,0)</f>
        <v>0</v>
      </c>
      <c r="BF6" s="24" t="n">
        <f aca="false">IF(AND(BF$5&gt;=IF(I6="Core",C6,IF(I6="AI",Assumptions!$H$24,Assumptions!$H$25)),BF$5&lt;=IF(I6="Core",D6,IF(I6="AI",Assumptions!$H$24,Assumptions!$H$25)+D6-C6),IF(I6="Core",1,IF(I6="AI",'Start Here'!$B$7,'Start Here'!$B$8))=1),1,0)</f>
        <v>0</v>
      </c>
      <c r="BG6" s="24" t="n">
        <f aca="false">IF(AND(BG$5&gt;=IF(I6="Core",C6,IF(I6="AI",Assumptions!$H$24,Assumptions!$H$25)),BG$5&lt;=IF(I6="Core",D6,IF(I6="AI",Assumptions!$H$24,Assumptions!$H$25)+D6-C6),IF(I6="Core",1,IF(I6="AI",'Start Here'!$B$7,'Start Here'!$B$8))=1),1,0)</f>
        <v>0</v>
      </c>
      <c r="BH6" s="24" t="n">
        <f aca="false">IF(AND(BH$5&gt;=IF(I6="Core",C6,IF(I6="AI",Assumptions!$H$24,Assumptions!$H$25)),BH$5&lt;=IF(I6="Core",D6,IF(I6="AI",Assumptions!$H$24,Assumptions!$H$25)+D6-C6),IF(I6="Core",1,IF(I6="AI",'Start Here'!$B$7,'Start Here'!$B$8))=1),1,0)</f>
        <v>0</v>
      </c>
      <c r="BI6" s="24" t="n">
        <f aca="false">IF(AND(BI$5&gt;=IF(I6="Core",C6,IF(I6="AI",Assumptions!$H$24,Assumptions!$H$25)),BI$5&lt;=IF(I6="Core",D6,IF(I6="AI",Assumptions!$H$24,Assumptions!$H$25)+D6-C6),IF(I6="Core",1,IF(I6="AI",'Start Here'!$B$7,'Start Here'!$B$8))=1),1,0)</f>
        <v>0</v>
      </c>
      <c r="BJ6" s="24" t="n">
        <f aca="false">IF(AND(BJ$5&gt;=IF(I6="Core",C6,IF(I6="AI",Assumptions!$H$24,Assumptions!$H$25)),BJ$5&lt;=IF(I6="Core",D6,IF(I6="AI",Assumptions!$H$24,Assumptions!$H$25)+D6-C6),IF(I6="Core",1,IF(I6="AI",'Start Here'!$B$7,'Start Here'!$B$8))=1),1,0)</f>
        <v>0</v>
      </c>
      <c r="BK6" s="24" t="n">
        <f aca="false">IF(AND(BK$5&gt;=IF(I6="Core",C6,IF(I6="AI",Assumptions!$H$24,Assumptions!$H$25)),BK$5&lt;=IF(I6="Core",D6,IF(I6="AI",Assumptions!$H$24,Assumptions!$H$25)+D6-C6),IF(I6="Core",1,IF(I6="AI",'Start Here'!$B$7,'Start Here'!$B$8))=1),1,0)</f>
        <v>0</v>
      </c>
      <c r="BL6" s="24" t="n">
        <f aca="false">IF(AND(BL$5&gt;=IF(I6="Core",C6,IF(I6="AI",Assumptions!$H$24,Assumptions!$H$25)),BL$5&lt;=IF(I6="Core",D6,IF(I6="AI",Assumptions!$H$24,Assumptions!$H$25)+D6-C6),IF(I6="Core",1,IF(I6="AI",'Start Here'!$B$7,'Start Here'!$B$8))=1),1,0)</f>
        <v>0</v>
      </c>
      <c r="BM6" s="24" t="n">
        <f aca="false">IF(AND(BM$5&gt;=IF(I6="Core",C6,IF(I6="AI",Assumptions!$H$24,Assumptions!$H$25)),BM$5&lt;=IF(I6="Core",D6,IF(I6="AI",Assumptions!$H$24,Assumptions!$H$25)+D6-C6),IF(I6="Core",1,IF(I6="AI",'Start Here'!$B$7,'Start Here'!$B$8))=1),1,0)</f>
        <v>0</v>
      </c>
      <c r="BN6" s="24" t="n">
        <f aca="false">IF(AND(BN$5&gt;=IF(I6="Core",C6,IF(I6="AI",Assumptions!$H$24,Assumptions!$H$25)),BN$5&lt;=IF(I6="Core",D6,IF(I6="AI",Assumptions!$H$24,Assumptions!$H$25)+D6-C6),IF(I6="Core",1,IF(I6="AI",'Start Here'!$B$7,'Start Here'!$B$8))=1),1,0)</f>
        <v>0</v>
      </c>
      <c r="BO6" s="24" t="n">
        <f aca="false">IF(AND(BO$5&gt;=IF(I6="Core",C6,IF(I6="AI",Assumptions!$H$24,Assumptions!$H$25)),BO$5&lt;=IF(I6="Core",D6,IF(I6="AI",Assumptions!$H$24,Assumptions!$H$25)+D6-C6),IF(I6="Core",1,IF(I6="AI",'Start Here'!$B$7,'Start Here'!$B$8))=1),1,0)</f>
        <v>0</v>
      </c>
      <c r="BP6" s="24" t="n">
        <f aca="false">IF(AND(BP$5&gt;=IF(I6="Core",C6,IF(I6="AI",Assumptions!$H$24,Assumptions!$H$25)),BP$5&lt;=IF(I6="Core",D6,IF(I6="AI",Assumptions!$H$24,Assumptions!$H$25)+D6-C6),IF(I6="Core",1,IF(I6="AI",'Start Here'!$B$7,'Start Here'!$B$8))=1),1,0)</f>
        <v>0</v>
      </c>
      <c r="BQ6" s="24" t="n">
        <f aca="false">IF(AND(BQ$5&gt;=IF(I6="Core",C6,IF(I6="AI",Assumptions!$H$24,Assumptions!$H$25)),BQ$5&lt;=IF(I6="Core",D6,IF(I6="AI",Assumptions!$H$24,Assumptions!$H$25)+D6-C6),IF(I6="Core",1,IF(I6="AI",'Start Here'!$B$7,'Start Here'!$B$8))=1),1,0)</f>
        <v>0</v>
      </c>
      <c r="BR6" s="24" t="n">
        <f aca="false">IF(AND(BR$5&gt;=IF(I6="Core",C6,IF(I6="AI",Assumptions!$H$24,Assumptions!$H$25)),BR$5&lt;=IF(I6="Core",D6,IF(I6="AI",Assumptions!$H$24,Assumptions!$H$25)+D6-C6),IF(I6="Core",1,IF(I6="AI",'Start Here'!$B$7,'Start Here'!$B$8))=1),1,0)</f>
        <v>0</v>
      </c>
    </row>
    <row r="7" customFormat="false" ht="99.75" hidden="false" customHeight="true" outlineLevel="0" collapsed="false">
      <c r="A7" s="6" t="s">
        <v>861</v>
      </c>
      <c r="B7" s="6" t="s">
        <v>862</v>
      </c>
      <c r="C7" s="6" t="n">
        <v>4</v>
      </c>
      <c r="D7" s="6" t="n">
        <v>8</v>
      </c>
      <c r="E7" s="6" t="s">
        <v>863</v>
      </c>
      <c r="F7" s="6" t="s">
        <v>479</v>
      </c>
      <c r="G7" s="6" t="s">
        <v>864</v>
      </c>
      <c r="H7" s="6" t="s">
        <v>865</v>
      </c>
      <c r="I7" s="6" t="s">
        <v>328</v>
      </c>
      <c r="J7" s="6" t="s">
        <v>866</v>
      </c>
      <c r="K7" s="24" t="n">
        <f aca="false">IF(AND(K$5&gt;=IF(I7="Core",C7,IF(I7="AI",Assumptions!$H$24,Assumptions!$H$25)),K$5&lt;=IF(I7="Core",D7,IF(I7="AI",Assumptions!$H$24,Assumptions!$H$25)+D7-C7),IF(I7="Core",1,IF(I7="AI",'Start Here'!$B$7,'Start Here'!$B$8))=1),1,0)</f>
        <v>0</v>
      </c>
      <c r="L7" s="24" t="n">
        <f aca="false">IF(AND(L$5&gt;=IF(I7="Core",C7,IF(I7="AI",Assumptions!$H$24,Assumptions!$H$25)),L$5&lt;=IF(I7="Core",D7,IF(I7="AI",Assumptions!$H$24,Assumptions!$H$25)+D7-C7),IF(I7="Core",1,IF(I7="AI",'Start Here'!$B$7,'Start Here'!$B$8))=1),1,0)</f>
        <v>0</v>
      </c>
      <c r="M7" s="24" t="n">
        <f aca="false">IF(AND(M$5&gt;=IF(I7="Core",C7,IF(I7="AI",Assumptions!$H$24,Assumptions!$H$25)),M$5&lt;=IF(I7="Core",D7,IF(I7="AI",Assumptions!$H$24,Assumptions!$H$25)+D7-C7),IF(I7="Core",1,IF(I7="AI",'Start Here'!$B$7,'Start Here'!$B$8))=1),1,0)</f>
        <v>0</v>
      </c>
      <c r="N7" s="24" t="n">
        <f aca="false">IF(AND(N$5&gt;=IF(I7="Core",C7,IF(I7="AI",Assumptions!$H$24,Assumptions!$H$25)),N$5&lt;=IF(I7="Core",D7,IF(I7="AI",Assumptions!$H$24,Assumptions!$H$25)+D7-C7),IF(I7="Core",1,IF(I7="AI",'Start Here'!$B$7,'Start Here'!$B$8))=1),1,0)</f>
        <v>1</v>
      </c>
      <c r="O7" s="24" t="n">
        <f aca="false">IF(AND(O$5&gt;=IF(I7="Core",C7,IF(I7="AI",Assumptions!$H$24,Assumptions!$H$25)),O$5&lt;=IF(I7="Core",D7,IF(I7="AI",Assumptions!$H$24,Assumptions!$H$25)+D7-C7),IF(I7="Core",1,IF(I7="AI",'Start Here'!$B$7,'Start Here'!$B$8))=1),1,0)</f>
        <v>1</v>
      </c>
      <c r="P7" s="24" t="n">
        <f aca="false">IF(AND(P$5&gt;=IF(I7="Core",C7,IF(I7="AI",Assumptions!$H$24,Assumptions!$H$25)),P$5&lt;=IF(I7="Core",D7,IF(I7="AI",Assumptions!$H$24,Assumptions!$H$25)+D7-C7),IF(I7="Core",1,IF(I7="AI",'Start Here'!$B$7,'Start Here'!$B$8))=1),1,0)</f>
        <v>1</v>
      </c>
      <c r="Q7" s="24" t="n">
        <f aca="false">IF(AND(Q$5&gt;=IF(I7="Core",C7,IF(I7="AI",Assumptions!$H$24,Assumptions!$H$25)),Q$5&lt;=IF(I7="Core",D7,IF(I7="AI",Assumptions!$H$24,Assumptions!$H$25)+D7-C7),IF(I7="Core",1,IF(I7="AI",'Start Here'!$B$7,'Start Here'!$B$8))=1),1,0)</f>
        <v>1</v>
      </c>
      <c r="R7" s="24" t="n">
        <f aca="false">IF(AND(R$5&gt;=IF(I7="Core",C7,IF(I7="AI",Assumptions!$H$24,Assumptions!$H$25)),R$5&lt;=IF(I7="Core",D7,IF(I7="AI",Assumptions!$H$24,Assumptions!$H$25)+D7-C7),IF(I7="Core",1,IF(I7="AI",'Start Here'!$B$7,'Start Here'!$B$8))=1),1,0)</f>
        <v>1</v>
      </c>
      <c r="S7" s="24" t="n">
        <f aca="false">IF(AND(S$5&gt;=IF(I7="Core",C7,IF(I7="AI",Assumptions!$H$24,Assumptions!$H$25)),S$5&lt;=IF(I7="Core",D7,IF(I7="AI",Assumptions!$H$24,Assumptions!$H$25)+D7-C7),IF(I7="Core",1,IF(I7="AI",'Start Here'!$B$7,'Start Here'!$B$8))=1),1,0)</f>
        <v>0</v>
      </c>
      <c r="T7" s="24" t="n">
        <f aca="false">IF(AND(T$5&gt;=IF(I7="Core",C7,IF(I7="AI",Assumptions!$H$24,Assumptions!$H$25)),T$5&lt;=IF(I7="Core",D7,IF(I7="AI",Assumptions!$H$24,Assumptions!$H$25)+D7-C7),IF(I7="Core",1,IF(I7="AI",'Start Here'!$B$7,'Start Here'!$B$8))=1),1,0)</f>
        <v>0</v>
      </c>
      <c r="U7" s="24" t="n">
        <f aca="false">IF(AND(U$5&gt;=IF(I7="Core",C7,IF(I7="AI",Assumptions!$H$24,Assumptions!$H$25)),U$5&lt;=IF(I7="Core",D7,IF(I7="AI",Assumptions!$H$24,Assumptions!$H$25)+D7-C7),IF(I7="Core",1,IF(I7="AI",'Start Here'!$B$7,'Start Here'!$B$8))=1),1,0)</f>
        <v>0</v>
      </c>
      <c r="V7" s="24" t="n">
        <f aca="false">IF(AND(V$5&gt;=IF(I7="Core",C7,IF(I7="AI",Assumptions!$H$24,Assumptions!$H$25)),V$5&lt;=IF(I7="Core",D7,IF(I7="AI",Assumptions!$H$24,Assumptions!$H$25)+D7-C7),IF(I7="Core",1,IF(I7="AI",'Start Here'!$B$7,'Start Here'!$B$8))=1),1,0)</f>
        <v>0</v>
      </c>
      <c r="W7" s="24" t="n">
        <f aca="false">IF(AND(W$5&gt;=IF(I7="Core",C7,IF(I7="AI",Assumptions!$H$24,Assumptions!$H$25)),W$5&lt;=IF(I7="Core",D7,IF(I7="AI",Assumptions!$H$24,Assumptions!$H$25)+D7-C7),IF(I7="Core",1,IF(I7="AI",'Start Here'!$B$7,'Start Here'!$B$8))=1),1,0)</f>
        <v>0</v>
      </c>
      <c r="X7" s="24" t="n">
        <f aca="false">IF(AND(X$5&gt;=IF(I7="Core",C7,IF(I7="AI",Assumptions!$H$24,Assumptions!$H$25)),X$5&lt;=IF(I7="Core",D7,IF(I7="AI",Assumptions!$H$24,Assumptions!$H$25)+D7-C7),IF(I7="Core",1,IF(I7="AI",'Start Here'!$B$7,'Start Here'!$B$8))=1),1,0)</f>
        <v>0</v>
      </c>
      <c r="Y7" s="24" t="n">
        <f aca="false">IF(AND(Y$5&gt;=IF(I7="Core",C7,IF(I7="AI",Assumptions!$H$24,Assumptions!$H$25)),Y$5&lt;=IF(I7="Core",D7,IF(I7="AI",Assumptions!$H$24,Assumptions!$H$25)+D7-C7),IF(I7="Core",1,IF(I7="AI",'Start Here'!$B$7,'Start Here'!$B$8))=1),1,0)</f>
        <v>0</v>
      </c>
      <c r="Z7" s="24" t="n">
        <f aca="false">IF(AND(Z$5&gt;=IF(I7="Core",C7,IF(I7="AI",Assumptions!$H$24,Assumptions!$H$25)),Z$5&lt;=IF(I7="Core",D7,IF(I7="AI",Assumptions!$H$24,Assumptions!$H$25)+D7-C7),IF(I7="Core",1,IF(I7="AI",'Start Here'!$B$7,'Start Here'!$B$8))=1),1,0)</f>
        <v>0</v>
      </c>
      <c r="AA7" s="24" t="n">
        <f aca="false">IF(AND(AA$5&gt;=IF(I7="Core",C7,IF(I7="AI",Assumptions!$H$24,Assumptions!$H$25)),AA$5&lt;=IF(I7="Core",D7,IF(I7="AI",Assumptions!$H$24,Assumptions!$H$25)+D7-C7),IF(I7="Core",1,IF(I7="AI",'Start Here'!$B$7,'Start Here'!$B$8))=1),1,0)</f>
        <v>0</v>
      </c>
      <c r="AB7" s="24" t="n">
        <f aca="false">IF(AND(AB$5&gt;=IF(I7="Core",C7,IF(I7="AI",Assumptions!$H$24,Assumptions!$H$25)),AB$5&lt;=IF(I7="Core",D7,IF(I7="AI",Assumptions!$H$24,Assumptions!$H$25)+D7-C7),IF(I7="Core",1,IF(I7="AI",'Start Here'!$B$7,'Start Here'!$B$8))=1),1,0)</f>
        <v>0</v>
      </c>
      <c r="AC7" s="24" t="n">
        <f aca="false">IF(AND(AC$5&gt;=IF(I7="Core",C7,IF(I7="AI",Assumptions!$H$24,Assumptions!$H$25)),AC$5&lt;=IF(I7="Core",D7,IF(I7="AI",Assumptions!$H$24,Assumptions!$H$25)+D7-C7),IF(I7="Core",1,IF(I7="AI",'Start Here'!$B$7,'Start Here'!$B$8))=1),1,0)</f>
        <v>0</v>
      </c>
      <c r="AD7" s="24" t="n">
        <f aca="false">IF(AND(AD$5&gt;=IF(I7="Core",C7,IF(I7="AI",Assumptions!$H$24,Assumptions!$H$25)),AD$5&lt;=IF(I7="Core",D7,IF(I7="AI",Assumptions!$H$24,Assumptions!$H$25)+D7-C7),IF(I7="Core",1,IF(I7="AI",'Start Here'!$B$7,'Start Here'!$B$8))=1),1,0)</f>
        <v>0</v>
      </c>
      <c r="AE7" s="24" t="n">
        <f aca="false">IF(AND(AE$5&gt;=IF(I7="Core",C7,IF(I7="AI",Assumptions!$H$24,Assumptions!$H$25)),AE$5&lt;=IF(I7="Core",D7,IF(I7="AI",Assumptions!$H$24,Assumptions!$H$25)+D7-C7),IF(I7="Core",1,IF(I7="AI",'Start Here'!$B$7,'Start Here'!$B$8))=1),1,0)</f>
        <v>0</v>
      </c>
      <c r="AF7" s="24" t="n">
        <f aca="false">IF(AND(AF$5&gt;=IF(I7="Core",C7,IF(I7="AI",Assumptions!$H$24,Assumptions!$H$25)),AF$5&lt;=IF(I7="Core",D7,IF(I7="AI",Assumptions!$H$24,Assumptions!$H$25)+D7-C7),IF(I7="Core",1,IF(I7="AI",'Start Here'!$B$7,'Start Here'!$B$8))=1),1,0)</f>
        <v>0</v>
      </c>
      <c r="AG7" s="24" t="n">
        <f aca="false">IF(AND(AG$5&gt;=IF(I7="Core",C7,IF(I7="AI",Assumptions!$H$24,Assumptions!$H$25)),AG$5&lt;=IF(I7="Core",D7,IF(I7="AI",Assumptions!$H$24,Assumptions!$H$25)+D7-C7),IF(I7="Core",1,IF(I7="AI",'Start Here'!$B$7,'Start Here'!$B$8))=1),1,0)</f>
        <v>0</v>
      </c>
      <c r="AH7" s="24" t="n">
        <f aca="false">IF(AND(AH$5&gt;=IF(I7="Core",C7,IF(I7="AI",Assumptions!$H$24,Assumptions!$H$25)),AH$5&lt;=IF(I7="Core",D7,IF(I7="AI",Assumptions!$H$24,Assumptions!$H$25)+D7-C7),IF(I7="Core",1,IF(I7="AI",'Start Here'!$B$7,'Start Here'!$B$8))=1),1,0)</f>
        <v>0</v>
      </c>
      <c r="AI7" s="24" t="n">
        <f aca="false">IF(AND(AI$5&gt;=IF(I7="Core",C7,IF(I7="AI",Assumptions!$H$24,Assumptions!$H$25)),AI$5&lt;=IF(I7="Core",D7,IF(I7="AI",Assumptions!$H$24,Assumptions!$H$25)+D7-C7),IF(I7="Core",1,IF(I7="AI",'Start Here'!$B$7,'Start Here'!$B$8))=1),1,0)</f>
        <v>0</v>
      </c>
      <c r="AJ7" s="24" t="n">
        <f aca="false">IF(AND(AJ$5&gt;=IF(I7="Core",C7,IF(I7="AI",Assumptions!$H$24,Assumptions!$H$25)),AJ$5&lt;=IF(I7="Core",D7,IF(I7="AI",Assumptions!$H$24,Assumptions!$H$25)+D7-C7),IF(I7="Core",1,IF(I7="AI",'Start Here'!$B$7,'Start Here'!$B$8))=1),1,0)</f>
        <v>0</v>
      </c>
      <c r="AK7" s="24" t="n">
        <f aca="false">IF(AND(AK$5&gt;=IF(I7="Core",C7,IF(I7="AI",Assumptions!$H$24,Assumptions!$H$25)),AK$5&lt;=IF(I7="Core",D7,IF(I7="AI",Assumptions!$H$24,Assumptions!$H$25)+D7-C7),IF(I7="Core",1,IF(I7="AI",'Start Here'!$B$7,'Start Here'!$B$8))=1),1,0)</f>
        <v>0</v>
      </c>
      <c r="AL7" s="24" t="n">
        <f aca="false">IF(AND(AL$5&gt;=IF(I7="Core",C7,IF(I7="AI",Assumptions!$H$24,Assumptions!$H$25)),AL$5&lt;=IF(I7="Core",D7,IF(I7="AI",Assumptions!$H$24,Assumptions!$H$25)+D7-C7),IF(I7="Core",1,IF(I7="AI",'Start Here'!$B$7,'Start Here'!$B$8))=1),1,0)</f>
        <v>0</v>
      </c>
      <c r="AM7" s="24" t="n">
        <f aca="false">IF(AND(AM$5&gt;=IF(I7="Core",C7,IF(I7="AI",Assumptions!$H$24,Assumptions!$H$25)),AM$5&lt;=IF(I7="Core",D7,IF(I7="AI",Assumptions!$H$24,Assumptions!$H$25)+D7-C7),IF(I7="Core",1,IF(I7="AI",'Start Here'!$B$7,'Start Here'!$B$8))=1),1,0)</f>
        <v>0</v>
      </c>
      <c r="AN7" s="24" t="n">
        <f aca="false">IF(AND(AN$5&gt;=IF(I7="Core",C7,IF(I7="AI",Assumptions!$H$24,Assumptions!$H$25)),AN$5&lt;=IF(I7="Core",D7,IF(I7="AI",Assumptions!$H$24,Assumptions!$H$25)+D7-C7),IF(I7="Core",1,IF(I7="AI",'Start Here'!$B$7,'Start Here'!$B$8))=1),1,0)</f>
        <v>0</v>
      </c>
      <c r="AO7" s="24" t="n">
        <f aca="false">IF(AND(AO$5&gt;=IF(I7="Core",C7,IF(I7="AI",Assumptions!$H$24,Assumptions!$H$25)),AO$5&lt;=IF(I7="Core",D7,IF(I7="AI",Assumptions!$H$24,Assumptions!$H$25)+D7-C7),IF(I7="Core",1,IF(I7="AI",'Start Here'!$B$7,'Start Here'!$B$8))=1),1,0)</f>
        <v>0</v>
      </c>
      <c r="AP7" s="24" t="n">
        <f aca="false">IF(AND(AP$5&gt;=IF(I7="Core",C7,IF(I7="AI",Assumptions!$H$24,Assumptions!$H$25)),AP$5&lt;=IF(I7="Core",D7,IF(I7="AI",Assumptions!$H$24,Assumptions!$H$25)+D7-C7),IF(I7="Core",1,IF(I7="AI",'Start Here'!$B$7,'Start Here'!$B$8))=1),1,0)</f>
        <v>0</v>
      </c>
      <c r="AQ7" s="24" t="n">
        <f aca="false">IF(AND(AQ$5&gt;=IF(I7="Core",C7,IF(I7="AI",Assumptions!$H$24,Assumptions!$H$25)),AQ$5&lt;=IF(I7="Core",D7,IF(I7="AI",Assumptions!$H$24,Assumptions!$H$25)+D7-C7),IF(I7="Core",1,IF(I7="AI",'Start Here'!$B$7,'Start Here'!$B$8))=1),1,0)</f>
        <v>0</v>
      </c>
      <c r="AR7" s="24" t="n">
        <f aca="false">IF(AND(AR$5&gt;=IF(I7="Core",C7,IF(I7="AI",Assumptions!$H$24,Assumptions!$H$25)),AR$5&lt;=IF(I7="Core",D7,IF(I7="AI",Assumptions!$H$24,Assumptions!$H$25)+D7-C7),IF(I7="Core",1,IF(I7="AI",'Start Here'!$B$7,'Start Here'!$B$8))=1),1,0)</f>
        <v>0</v>
      </c>
      <c r="AS7" s="24" t="n">
        <f aca="false">IF(AND(AS$5&gt;=IF(I7="Core",C7,IF(I7="AI",Assumptions!$H$24,Assumptions!$H$25)),AS$5&lt;=IF(I7="Core",D7,IF(I7="AI",Assumptions!$H$24,Assumptions!$H$25)+D7-C7),IF(I7="Core",1,IF(I7="AI",'Start Here'!$B$7,'Start Here'!$B$8))=1),1,0)</f>
        <v>0</v>
      </c>
      <c r="AT7" s="24" t="n">
        <f aca="false">IF(AND(AT$5&gt;=IF(I7="Core",C7,IF(I7="AI",Assumptions!$H$24,Assumptions!$H$25)),AT$5&lt;=IF(I7="Core",D7,IF(I7="AI",Assumptions!$H$24,Assumptions!$H$25)+D7-C7),IF(I7="Core",1,IF(I7="AI",'Start Here'!$B$7,'Start Here'!$B$8))=1),1,0)</f>
        <v>0</v>
      </c>
      <c r="AU7" s="24" t="n">
        <f aca="false">IF(AND(AU$5&gt;=IF(I7="Core",C7,IF(I7="AI",Assumptions!$H$24,Assumptions!$H$25)),AU$5&lt;=IF(I7="Core",D7,IF(I7="AI",Assumptions!$H$24,Assumptions!$H$25)+D7-C7),IF(I7="Core",1,IF(I7="AI",'Start Here'!$B$7,'Start Here'!$B$8))=1),1,0)</f>
        <v>0</v>
      </c>
      <c r="AV7" s="24" t="n">
        <f aca="false">IF(AND(AV$5&gt;=IF(I7="Core",C7,IF(I7="AI",Assumptions!$H$24,Assumptions!$H$25)),AV$5&lt;=IF(I7="Core",D7,IF(I7="AI",Assumptions!$H$24,Assumptions!$H$25)+D7-C7),IF(I7="Core",1,IF(I7="AI",'Start Here'!$B$7,'Start Here'!$B$8))=1),1,0)</f>
        <v>0</v>
      </c>
      <c r="AW7" s="24" t="n">
        <f aca="false">IF(AND(AW$5&gt;=IF(I7="Core",C7,IF(I7="AI",Assumptions!$H$24,Assumptions!$H$25)),AW$5&lt;=IF(I7="Core",D7,IF(I7="AI",Assumptions!$H$24,Assumptions!$H$25)+D7-C7),IF(I7="Core",1,IF(I7="AI",'Start Here'!$B$7,'Start Here'!$B$8))=1),1,0)</f>
        <v>0</v>
      </c>
      <c r="AX7" s="24" t="n">
        <f aca="false">IF(AND(AX$5&gt;=IF(I7="Core",C7,IF(I7="AI",Assumptions!$H$24,Assumptions!$H$25)),AX$5&lt;=IF(I7="Core",D7,IF(I7="AI",Assumptions!$H$24,Assumptions!$H$25)+D7-C7),IF(I7="Core",1,IF(I7="AI",'Start Here'!$B$7,'Start Here'!$B$8))=1),1,0)</f>
        <v>0</v>
      </c>
      <c r="AY7" s="24" t="n">
        <f aca="false">IF(AND(AY$5&gt;=IF(I7="Core",C7,IF(I7="AI",Assumptions!$H$24,Assumptions!$H$25)),AY$5&lt;=IF(I7="Core",D7,IF(I7="AI",Assumptions!$H$24,Assumptions!$H$25)+D7-C7),IF(I7="Core",1,IF(I7="AI",'Start Here'!$B$7,'Start Here'!$B$8))=1),1,0)</f>
        <v>0</v>
      </c>
      <c r="AZ7" s="24" t="n">
        <f aca="false">IF(AND(AZ$5&gt;=IF(I7="Core",C7,IF(I7="AI",Assumptions!$H$24,Assumptions!$H$25)),AZ$5&lt;=IF(I7="Core",D7,IF(I7="AI",Assumptions!$H$24,Assumptions!$H$25)+D7-C7),IF(I7="Core",1,IF(I7="AI",'Start Here'!$B$7,'Start Here'!$B$8))=1),1,0)</f>
        <v>0</v>
      </c>
      <c r="BA7" s="24" t="n">
        <f aca="false">IF(AND(BA$5&gt;=IF(I7="Core",C7,IF(I7="AI",Assumptions!$H$24,Assumptions!$H$25)),BA$5&lt;=IF(I7="Core",D7,IF(I7="AI",Assumptions!$H$24,Assumptions!$H$25)+D7-C7),IF(I7="Core",1,IF(I7="AI",'Start Here'!$B$7,'Start Here'!$B$8))=1),1,0)</f>
        <v>0</v>
      </c>
      <c r="BB7" s="24" t="n">
        <f aca="false">IF(AND(BB$5&gt;=IF(I7="Core",C7,IF(I7="AI",Assumptions!$H$24,Assumptions!$H$25)),BB$5&lt;=IF(I7="Core",D7,IF(I7="AI",Assumptions!$H$24,Assumptions!$H$25)+D7-C7),IF(I7="Core",1,IF(I7="AI",'Start Here'!$B$7,'Start Here'!$B$8))=1),1,0)</f>
        <v>0</v>
      </c>
      <c r="BC7" s="24" t="n">
        <f aca="false">IF(AND(BC$5&gt;=IF(I7="Core",C7,IF(I7="AI",Assumptions!$H$24,Assumptions!$H$25)),BC$5&lt;=IF(I7="Core",D7,IF(I7="AI",Assumptions!$H$24,Assumptions!$H$25)+D7-C7),IF(I7="Core",1,IF(I7="AI",'Start Here'!$B$7,'Start Here'!$B$8))=1),1,0)</f>
        <v>0</v>
      </c>
      <c r="BD7" s="24" t="n">
        <f aca="false">IF(AND(BD$5&gt;=IF(I7="Core",C7,IF(I7="AI",Assumptions!$H$24,Assumptions!$H$25)),BD$5&lt;=IF(I7="Core",D7,IF(I7="AI",Assumptions!$H$24,Assumptions!$H$25)+D7-C7),IF(I7="Core",1,IF(I7="AI",'Start Here'!$B$7,'Start Here'!$B$8))=1),1,0)</f>
        <v>0</v>
      </c>
      <c r="BE7" s="24" t="n">
        <f aca="false">IF(AND(BE$5&gt;=IF(I7="Core",C7,IF(I7="AI",Assumptions!$H$24,Assumptions!$H$25)),BE$5&lt;=IF(I7="Core",D7,IF(I7="AI",Assumptions!$H$24,Assumptions!$H$25)+D7-C7),IF(I7="Core",1,IF(I7="AI",'Start Here'!$B$7,'Start Here'!$B$8))=1),1,0)</f>
        <v>0</v>
      </c>
      <c r="BF7" s="24" t="n">
        <f aca="false">IF(AND(BF$5&gt;=IF(I7="Core",C7,IF(I7="AI",Assumptions!$H$24,Assumptions!$H$25)),BF$5&lt;=IF(I7="Core",D7,IF(I7="AI",Assumptions!$H$24,Assumptions!$H$25)+D7-C7),IF(I7="Core",1,IF(I7="AI",'Start Here'!$B$7,'Start Here'!$B$8))=1),1,0)</f>
        <v>0</v>
      </c>
      <c r="BG7" s="24" t="n">
        <f aca="false">IF(AND(BG$5&gt;=IF(I7="Core",C7,IF(I7="AI",Assumptions!$H$24,Assumptions!$H$25)),BG$5&lt;=IF(I7="Core",D7,IF(I7="AI",Assumptions!$H$24,Assumptions!$H$25)+D7-C7),IF(I7="Core",1,IF(I7="AI",'Start Here'!$B$7,'Start Here'!$B$8))=1),1,0)</f>
        <v>0</v>
      </c>
      <c r="BH7" s="24" t="n">
        <f aca="false">IF(AND(BH$5&gt;=IF(I7="Core",C7,IF(I7="AI",Assumptions!$H$24,Assumptions!$H$25)),BH$5&lt;=IF(I7="Core",D7,IF(I7="AI",Assumptions!$H$24,Assumptions!$H$25)+D7-C7),IF(I7="Core",1,IF(I7="AI",'Start Here'!$B$7,'Start Here'!$B$8))=1),1,0)</f>
        <v>0</v>
      </c>
      <c r="BI7" s="24" t="n">
        <f aca="false">IF(AND(BI$5&gt;=IF(I7="Core",C7,IF(I7="AI",Assumptions!$H$24,Assumptions!$H$25)),BI$5&lt;=IF(I7="Core",D7,IF(I7="AI",Assumptions!$H$24,Assumptions!$H$25)+D7-C7),IF(I7="Core",1,IF(I7="AI",'Start Here'!$B$7,'Start Here'!$B$8))=1),1,0)</f>
        <v>0</v>
      </c>
      <c r="BJ7" s="24" t="n">
        <f aca="false">IF(AND(BJ$5&gt;=IF(I7="Core",C7,IF(I7="AI",Assumptions!$H$24,Assumptions!$H$25)),BJ$5&lt;=IF(I7="Core",D7,IF(I7="AI",Assumptions!$H$24,Assumptions!$H$25)+D7-C7),IF(I7="Core",1,IF(I7="AI",'Start Here'!$B$7,'Start Here'!$B$8))=1),1,0)</f>
        <v>0</v>
      </c>
      <c r="BK7" s="24" t="n">
        <f aca="false">IF(AND(BK$5&gt;=IF(I7="Core",C7,IF(I7="AI",Assumptions!$H$24,Assumptions!$H$25)),BK$5&lt;=IF(I7="Core",D7,IF(I7="AI",Assumptions!$H$24,Assumptions!$H$25)+D7-C7),IF(I7="Core",1,IF(I7="AI",'Start Here'!$B$7,'Start Here'!$B$8))=1),1,0)</f>
        <v>0</v>
      </c>
      <c r="BL7" s="24" t="n">
        <f aca="false">IF(AND(BL$5&gt;=IF(I7="Core",C7,IF(I7="AI",Assumptions!$H$24,Assumptions!$H$25)),BL$5&lt;=IF(I7="Core",D7,IF(I7="AI",Assumptions!$H$24,Assumptions!$H$25)+D7-C7),IF(I7="Core",1,IF(I7="AI",'Start Here'!$B$7,'Start Here'!$B$8))=1),1,0)</f>
        <v>0</v>
      </c>
      <c r="BM7" s="24" t="n">
        <f aca="false">IF(AND(BM$5&gt;=IF(I7="Core",C7,IF(I7="AI",Assumptions!$H$24,Assumptions!$H$25)),BM$5&lt;=IF(I7="Core",D7,IF(I7="AI",Assumptions!$H$24,Assumptions!$H$25)+D7-C7),IF(I7="Core",1,IF(I7="AI",'Start Here'!$B$7,'Start Here'!$B$8))=1),1,0)</f>
        <v>0</v>
      </c>
      <c r="BN7" s="24" t="n">
        <f aca="false">IF(AND(BN$5&gt;=IF(I7="Core",C7,IF(I7="AI",Assumptions!$H$24,Assumptions!$H$25)),BN$5&lt;=IF(I7="Core",D7,IF(I7="AI",Assumptions!$H$24,Assumptions!$H$25)+D7-C7),IF(I7="Core",1,IF(I7="AI",'Start Here'!$B$7,'Start Here'!$B$8))=1),1,0)</f>
        <v>0</v>
      </c>
      <c r="BO7" s="24" t="n">
        <f aca="false">IF(AND(BO$5&gt;=IF(I7="Core",C7,IF(I7="AI",Assumptions!$H$24,Assumptions!$H$25)),BO$5&lt;=IF(I7="Core",D7,IF(I7="AI",Assumptions!$H$24,Assumptions!$H$25)+D7-C7),IF(I7="Core",1,IF(I7="AI",'Start Here'!$B$7,'Start Here'!$B$8))=1),1,0)</f>
        <v>0</v>
      </c>
      <c r="BP7" s="24" t="n">
        <f aca="false">IF(AND(BP$5&gt;=IF(I7="Core",C7,IF(I7="AI",Assumptions!$H$24,Assumptions!$H$25)),BP$5&lt;=IF(I7="Core",D7,IF(I7="AI",Assumptions!$H$24,Assumptions!$H$25)+D7-C7),IF(I7="Core",1,IF(I7="AI",'Start Here'!$B$7,'Start Here'!$B$8))=1),1,0)</f>
        <v>0</v>
      </c>
      <c r="BQ7" s="24" t="n">
        <f aca="false">IF(AND(BQ$5&gt;=IF(I7="Core",C7,IF(I7="AI",Assumptions!$H$24,Assumptions!$H$25)),BQ$5&lt;=IF(I7="Core",D7,IF(I7="AI",Assumptions!$H$24,Assumptions!$H$25)+D7-C7),IF(I7="Core",1,IF(I7="AI",'Start Here'!$B$7,'Start Here'!$B$8))=1),1,0)</f>
        <v>0</v>
      </c>
      <c r="BR7" s="24" t="n">
        <f aca="false">IF(AND(BR$5&gt;=IF(I7="Core",C7,IF(I7="AI",Assumptions!$H$24,Assumptions!$H$25)),BR$5&lt;=IF(I7="Core",D7,IF(I7="AI",Assumptions!$H$24,Assumptions!$H$25)+D7-C7),IF(I7="Core",1,IF(I7="AI",'Start Here'!$B$7,'Start Here'!$B$8))=1),1,0)</f>
        <v>0</v>
      </c>
    </row>
    <row r="8" customFormat="false" ht="99.75" hidden="false" customHeight="true" outlineLevel="0" collapsed="false">
      <c r="A8" s="6" t="s">
        <v>867</v>
      </c>
      <c r="B8" s="6" t="s">
        <v>868</v>
      </c>
      <c r="C8" s="6" t="n">
        <v>9</v>
      </c>
      <c r="D8" s="6" t="n">
        <v>11</v>
      </c>
      <c r="E8" s="6" t="s">
        <v>861</v>
      </c>
      <c r="F8" s="6" t="s">
        <v>869</v>
      </c>
      <c r="G8" s="6" t="s">
        <v>870</v>
      </c>
      <c r="H8" s="6" t="s">
        <v>871</v>
      </c>
      <c r="I8" s="6" t="s">
        <v>328</v>
      </c>
      <c r="J8" s="6" t="s">
        <v>872</v>
      </c>
      <c r="K8" s="24" t="n">
        <f aca="false">IF(AND(K$5&gt;=IF(I8="Core",C8,IF(I8="AI",Assumptions!$H$24,Assumptions!$H$25)),K$5&lt;=IF(I8="Core",D8,IF(I8="AI",Assumptions!$H$24,Assumptions!$H$25)+D8-C8),IF(I8="Core",1,IF(I8="AI",'Start Here'!$B$7,'Start Here'!$B$8))=1),1,0)</f>
        <v>0</v>
      </c>
      <c r="L8" s="24" t="n">
        <f aca="false">IF(AND(L$5&gt;=IF(I8="Core",C8,IF(I8="AI",Assumptions!$H$24,Assumptions!$H$25)),L$5&lt;=IF(I8="Core",D8,IF(I8="AI",Assumptions!$H$24,Assumptions!$H$25)+D8-C8),IF(I8="Core",1,IF(I8="AI",'Start Here'!$B$7,'Start Here'!$B$8))=1),1,0)</f>
        <v>0</v>
      </c>
      <c r="M8" s="24" t="n">
        <f aca="false">IF(AND(M$5&gt;=IF(I8="Core",C8,IF(I8="AI",Assumptions!$H$24,Assumptions!$H$25)),M$5&lt;=IF(I8="Core",D8,IF(I8="AI",Assumptions!$H$24,Assumptions!$H$25)+D8-C8),IF(I8="Core",1,IF(I8="AI",'Start Here'!$B$7,'Start Here'!$B$8))=1),1,0)</f>
        <v>0</v>
      </c>
      <c r="N8" s="24" t="n">
        <f aca="false">IF(AND(N$5&gt;=IF(I8="Core",C8,IF(I8="AI",Assumptions!$H$24,Assumptions!$H$25)),N$5&lt;=IF(I8="Core",D8,IF(I8="AI",Assumptions!$H$24,Assumptions!$H$25)+D8-C8),IF(I8="Core",1,IF(I8="AI",'Start Here'!$B$7,'Start Here'!$B$8))=1),1,0)</f>
        <v>0</v>
      </c>
      <c r="O8" s="24" t="n">
        <f aca="false">IF(AND(O$5&gt;=IF(I8="Core",C8,IF(I8="AI",Assumptions!$H$24,Assumptions!$H$25)),O$5&lt;=IF(I8="Core",D8,IF(I8="AI",Assumptions!$H$24,Assumptions!$H$25)+D8-C8),IF(I8="Core",1,IF(I8="AI",'Start Here'!$B$7,'Start Here'!$B$8))=1),1,0)</f>
        <v>0</v>
      </c>
      <c r="P8" s="24" t="n">
        <f aca="false">IF(AND(P$5&gt;=IF(I8="Core",C8,IF(I8="AI",Assumptions!$H$24,Assumptions!$H$25)),P$5&lt;=IF(I8="Core",D8,IF(I8="AI",Assumptions!$H$24,Assumptions!$H$25)+D8-C8),IF(I8="Core",1,IF(I8="AI",'Start Here'!$B$7,'Start Here'!$B$8))=1),1,0)</f>
        <v>0</v>
      </c>
      <c r="Q8" s="24" t="n">
        <f aca="false">IF(AND(Q$5&gt;=IF(I8="Core",C8,IF(I8="AI",Assumptions!$H$24,Assumptions!$H$25)),Q$5&lt;=IF(I8="Core",D8,IF(I8="AI",Assumptions!$H$24,Assumptions!$H$25)+D8-C8),IF(I8="Core",1,IF(I8="AI",'Start Here'!$B$7,'Start Here'!$B$8))=1),1,0)</f>
        <v>0</v>
      </c>
      <c r="R8" s="24" t="n">
        <f aca="false">IF(AND(R$5&gt;=IF(I8="Core",C8,IF(I8="AI",Assumptions!$H$24,Assumptions!$H$25)),R$5&lt;=IF(I8="Core",D8,IF(I8="AI",Assumptions!$H$24,Assumptions!$H$25)+D8-C8),IF(I8="Core",1,IF(I8="AI",'Start Here'!$B$7,'Start Here'!$B$8))=1),1,0)</f>
        <v>0</v>
      </c>
      <c r="S8" s="24" t="n">
        <f aca="false">IF(AND(S$5&gt;=IF(I8="Core",C8,IF(I8="AI",Assumptions!$H$24,Assumptions!$H$25)),S$5&lt;=IF(I8="Core",D8,IF(I8="AI",Assumptions!$H$24,Assumptions!$H$25)+D8-C8),IF(I8="Core",1,IF(I8="AI",'Start Here'!$B$7,'Start Here'!$B$8))=1),1,0)</f>
        <v>1</v>
      </c>
      <c r="T8" s="24" t="n">
        <f aca="false">IF(AND(T$5&gt;=IF(I8="Core",C8,IF(I8="AI",Assumptions!$H$24,Assumptions!$H$25)),T$5&lt;=IF(I8="Core",D8,IF(I8="AI",Assumptions!$H$24,Assumptions!$H$25)+D8-C8),IF(I8="Core",1,IF(I8="AI",'Start Here'!$B$7,'Start Here'!$B$8))=1),1,0)</f>
        <v>1</v>
      </c>
      <c r="U8" s="24" t="n">
        <f aca="false">IF(AND(U$5&gt;=IF(I8="Core",C8,IF(I8="AI",Assumptions!$H$24,Assumptions!$H$25)),U$5&lt;=IF(I8="Core",D8,IF(I8="AI",Assumptions!$H$24,Assumptions!$H$25)+D8-C8),IF(I8="Core",1,IF(I8="AI",'Start Here'!$B$7,'Start Here'!$B$8))=1),1,0)</f>
        <v>1</v>
      </c>
      <c r="V8" s="24" t="n">
        <f aca="false">IF(AND(V$5&gt;=IF(I8="Core",C8,IF(I8="AI",Assumptions!$H$24,Assumptions!$H$25)),V$5&lt;=IF(I8="Core",D8,IF(I8="AI",Assumptions!$H$24,Assumptions!$H$25)+D8-C8),IF(I8="Core",1,IF(I8="AI",'Start Here'!$B$7,'Start Here'!$B$8))=1),1,0)</f>
        <v>0</v>
      </c>
      <c r="W8" s="24" t="n">
        <f aca="false">IF(AND(W$5&gt;=IF(I8="Core",C8,IF(I8="AI",Assumptions!$H$24,Assumptions!$H$25)),W$5&lt;=IF(I8="Core",D8,IF(I8="AI",Assumptions!$H$24,Assumptions!$H$25)+D8-C8),IF(I8="Core",1,IF(I8="AI",'Start Here'!$B$7,'Start Here'!$B$8))=1),1,0)</f>
        <v>0</v>
      </c>
      <c r="X8" s="24" t="n">
        <f aca="false">IF(AND(X$5&gt;=IF(I8="Core",C8,IF(I8="AI",Assumptions!$H$24,Assumptions!$H$25)),X$5&lt;=IF(I8="Core",D8,IF(I8="AI",Assumptions!$H$24,Assumptions!$H$25)+D8-C8),IF(I8="Core",1,IF(I8="AI",'Start Here'!$B$7,'Start Here'!$B$8))=1),1,0)</f>
        <v>0</v>
      </c>
      <c r="Y8" s="24" t="n">
        <f aca="false">IF(AND(Y$5&gt;=IF(I8="Core",C8,IF(I8="AI",Assumptions!$H$24,Assumptions!$H$25)),Y$5&lt;=IF(I8="Core",D8,IF(I8="AI",Assumptions!$H$24,Assumptions!$H$25)+D8-C8),IF(I8="Core",1,IF(I8="AI",'Start Here'!$B$7,'Start Here'!$B$8))=1),1,0)</f>
        <v>0</v>
      </c>
      <c r="Z8" s="24" t="n">
        <f aca="false">IF(AND(Z$5&gt;=IF(I8="Core",C8,IF(I8="AI",Assumptions!$H$24,Assumptions!$H$25)),Z$5&lt;=IF(I8="Core",D8,IF(I8="AI",Assumptions!$H$24,Assumptions!$H$25)+D8-C8),IF(I8="Core",1,IF(I8="AI",'Start Here'!$B$7,'Start Here'!$B$8))=1),1,0)</f>
        <v>0</v>
      </c>
      <c r="AA8" s="24" t="n">
        <f aca="false">IF(AND(AA$5&gt;=IF(I8="Core",C8,IF(I8="AI",Assumptions!$H$24,Assumptions!$H$25)),AA$5&lt;=IF(I8="Core",D8,IF(I8="AI",Assumptions!$H$24,Assumptions!$H$25)+D8-C8),IF(I8="Core",1,IF(I8="AI",'Start Here'!$B$7,'Start Here'!$B$8))=1),1,0)</f>
        <v>0</v>
      </c>
      <c r="AB8" s="24" t="n">
        <f aca="false">IF(AND(AB$5&gt;=IF(I8="Core",C8,IF(I8="AI",Assumptions!$H$24,Assumptions!$H$25)),AB$5&lt;=IF(I8="Core",D8,IF(I8="AI",Assumptions!$H$24,Assumptions!$H$25)+D8-C8),IF(I8="Core",1,IF(I8="AI",'Start Here'!$B$7,'Start Here'!$B$8))=1),1,0)</f>
        <v>0</v>
      </c>
      <c r="AC8" s="24" t="n">
        <f aca="false">IF(AND(AC$5&gt;=IF(I8="Core",C8,IF(I8="AI",Assumptions!$H$24,Assumptions!$H$25)),AC$5&lt;=IF(I8="Core",D8,IF(I8="AI",Assumptions!$H$24,Assumptions!$H$25)+D8-C8),IF(I8="Core",1,IF(I8="AI",'Start Here'!$B$7,'Start Here'!$B$8))=1),1,0)</f>
        <v>0</v>
      </c>
      <c r="AD8" s="24" t="n">
        <f aca="false">IF(AND(AD$5&gt;=IF(I8="Core",C8,IF(I8="AI",Assumptions!$H$24,Assumptions!$H$25)),AD$5&lt;=IF(I8="Core",D8,IF(I8="AI",Assumptions!$H$24,Assumptions!$H$25)+D8-C8),IF(I8="Core",1,IF(I8="AI",'Start Here'!$B$7,'Start Here'!$B$8))=1),1,0)</f>
        <v>0</v>
      </c>
      <c r="AE8" s="24" t="n">
        <f aca="false">IF(AND(AE$5&gt;=IF(I8="Core",C8,IF(I8="AI",Assumptions!$H$24,Assumptions!$H$25)),AE$5&lt;=IF(I8="Core",D8,IF(I8="AI",Assumptions!$H$24,Assumptions!$H$25)+D8-C8),IF(I8="Core",1,IF(I8="AI",'Start Here'!$B$7,'Start Here'!$B$8))=1),1,0)</f>
        <v>0</v>
      </c>
      <c r="AF8" s="24" t="n">
        <f aca="false">IF(AND(AF$5&gt;=IF(I8="Core",C8,IF(I8="AI",Assumptions!$H$24,Assumptions!$H$25)),AF$5&lt;=IF(I8="Core",D8,IF(I8="AI",Assumptions!$H$24,Assumptions!$H$25)+D8-C8),IF(I8="Core",1,IF(I8="AI",'Start Here'!$B$7,'Start Here'!$B$8))=1),1,0)</f>
        <v>0</v>
      </c>
      <c r="AG8" s="24" t="n">
        <f aca="false">IF(AND(AG$5&gt;=IF(I8="Core",C8,IF(I8="AI",Assumptions!$H$24,Assumptions!$H$25)),AG$5&lt;=IF(I8="Core",D8,IF(I8="AI",Assumptions!$H$24,Assumptions!$H$25)+D8-C8),IF(I8="Core",1,IF(I8="AI",'Start Here'!$B$7,'Start Here'!$B$8))=1),1,0)</f>
        <v>0</v>
      </c>
      <c r="AH8" s="24" t="n">
        <f aca="false">IF(AND(AH$5&gt;=IF(I8="Core",C8,IF(I8="AI",Assumptions!$H$24,Assumptions!$H$25)),AH$5&lt;=IF(I8="Core",D8,IF(I8="AI",Assumptions!$H$24,Assumptions!$H$25)+D8-C8),IF(I8="Core",1,IF(I8="AI",'Start Here'!$B$7,'Start Here'!$B$8))=1),1,0)</f>
        <v>0</v>
      </c>
      <c r="AI8" s="24" t="n">
        <f aca="false">IF(AND(AI$5&gt;=IF(I8="Core",C8,IF(I8="AI",Assumptions!$H$24,Assumptions!$H$25)),AI$5&lt;=IF(I8="Core",D8,IF(I8="AI",Assumptions!$H$24,Assumptions!$H$25)+D8-C8),IF(I8="Core",1,IF(I8="AI",'Start Here'!$B$7,'Start Here'!$B$8))=1),1,0)</f>
        <v>0</v>
      </c>
      <c r="AJ8" s="24" t="n">
        <f aca="false">IF(AND(AJ$5&gt;=IF(I8="Core",C8,IF(I8="AI",Assumptions!$H$24,Assumptions!$H$25)),AJ$5&lt;=IF(I8="Core",D8,IF(I8="AI",Assumptions!$H$24,Assumptions!$H$25)+D8-C8),IF(I8="Core",1,IF(I8="AI",'Start Here'!$B$7,'Start Here'!$B$8))=1),1,0)</f>
        <v>0</v>
      </c>
      <c r="AK8" s="24" t="n">
        <f aca="false">IF(AND(AK$5&gt;=IF(I8="Core",C8,IF(I8="AI",Assumptions!$H$24,Assumptions!$H$25)),AK$5&lt;=IF(I8="Core",D8,IF(I8="AI",Assumptions!$H$24,Assumptions!$H$25)+D8-C8),IF(I8="Core",1,IF(I8="AI",'Start Here'!$B$7,'Start Here'!$B$8))=1),1,0)</f>
        <v>0</v>
      </c>
      <c r="AL8" s="24" t="n">
        <f aca="false">IF(AND(AL$5&gt;=IF(I8="Core",C8,IF(I8="AI",Assumptions!$H$24,Assumptions!$H$25)),AL$5&lt;=IF(I8="Core",D8,IF(I8="AI",Assumptions!$H$24,Assumptions!$H$25)+D8-C8),IF(I8="Core",1,IF(I8="AI",'Start Here'!$B$7,'Start Here'!$B$8))=1),1,0)</f>
        <v>0</v>
      </c>
      <c r="AM8" s="24" t="n">
        <f aca="false">IF(AND(AM$5&gt;=IF(I8="Core",C8,IF(I8="AI",Assumptions!$H$24,Assumptions!$H$25)),AM$5&lt;=IF(I8="Core",D8,IF(I8="AI",Assumptions!$H$24,Assumptions!$H$25)+D8-C8),IF(I8="Core",1,IF(I8="AI",'Start Here'!$B$7,'Start Here'!$B$8))=1),1,0)</f>
        <v>0</v>
      </c>
      <c r="AN8" s="24" t="n">
        <f aca="false">IF(AND(AN$5&gt;=IF(I8="Core",C8,IF(I8="AI",Assumptions!$H$24,Assumptions!$H$25)),AN$5&lt;=IF(I8="Core",D8,IF(I8="AI",Assumptions!$H$24,Assumptions!$H$25)+D8-C8),IF(I8="Core",1,IF(I8="AI",'Start Here'!$B$7,'Start Here'!$B$8))=1),1,0)</f>
        <v>0</v>
      </c>
      <c r="AO8" s="24" t="n">
        <f aca="false">IF(AND(AO$5&gt;=IF(I8="Core",C8,IF(I8="AI",Assumptions!$H$24,Assumptions!$H$25)),AO$5&lt;=IF(I8="Core",D8,IF(I8="AI",Assumptions!$H$24,Assumptions!$H$25)+D8-C8),IF(I8="Core",1,IF(I8="AI",'Start Here'!$B$7,'Start Here'!$B$8))=1),1,0)</f>
        <v>0</v>
      </c>
      <c r="AP8" s="24" t="n">
        <f aca="false">IF(AND(AP$5&gt;=IF(I8="Core",C8,IF(I8="AI",Assumptions!$H$24,Assumptions!$H$25)),AP$5&lt;=IF(I8="Core",D8,IF(I8="AI",Assumptions!$H$24,Assumptions!$H$25)+D8-C8),IF(I8="Core",1,IF(I8="AI",'Start Here'!$B$7,'Start Here'!$B$8))=1),1,0)</f>
        <v>0</v>
      </c>
      <c r="AQ8" s="24" t="n">
        <f aca="false">IF(AND(AQ$5&gt;=IF(I8="Core",C8,IF(I8="AI",Assumptions!$H$24,Assumptions!$H$25)),AQ$5&lt;=IF(I8="Core",D8,IF(I8="AI",Assumptions!$H$24,Assumptions!$H$25)+D8-C8),IF(I8="Core",1,IF(I8="AI",'Start Here'!$B$7,'Start Here'!$B$8))=1),1,0)</f>
        <v>0</v>
      </c>
      <c r="AR8" s="24" t="n">
        <f aca="false">IF(AND(AR$5&gt;=IF(I8="Core",C8,IF(I8="AI",Assumptions!$H$24,Assumptions!$H$25)),AR$5&lt;=IF(I8="Core",D8,IF(I8="AI",Assumptions!$H$24,Assumptions!$H$25)+D8-C8),IF(I8="Core",1,IF(I8="AI",'Start Here'!$B$7,'Start Here'!$B$8))=1),1,0)</f>
        <v>0</v>
      </c>
      <c r="AS8" s="24" t="n">
        <f aca="false">IF(AND(AS$5&gt;=IF(I8="Core",C8,IF(I8="AI",Assumptions!$H$24,Assumptions!$H$25)),AS$5&lt;=IF(I8="Core",D8,IF(I8="AI",Assumptions!$H$24,Assumptions!$H$25)+D8-C8),IF(I8="Core",1,IF(I8="AI",'Start Here'!$B$7,'Start Here'!$B$8))=1),1,0)</f>
        <v>0</v>
      </c>
      <c r="AT8" s="24" t="n">
        <f aca="false">IF(AND(AT$5&gt;=IF(I8="Core",C8,IF(I8="AI",Assumptions!$H$24,Assumptions!$H$25)),AT$5&lt;=IF(I8="Core",D8,IF(I8="AI",Assumptions!$H$24,Assumptions!$H$25)+D8-C8),IF(I8="Core",1,IF(I8="AI",'Start Here'!$B$7,'Start Here'!$B$8))=1),1,0)</f>
        <v>0</v>
      </c>
      <c r="AU8" s="24" t="n">
        <f aca="false">IF(AND(AU$5&gt;=IF(I8="Core",C8,IF(I8="AI",Assumptions!$H$24,Assumptions!$H$25)),AU$5&lt;=IF(I8="Core",D8,IF(I8="AI",Assumptions!$H$24,Assumptions!$H$25)+D8-C8),IF(I8="Core",1,IF(I8="AI",'Start Here'!$B$7,'Start Here'!$B$8))=1),1,0)</f>
        <v>0</v>
      </c>
      <c r="AV8" s="24" t="n">
        <f aca="false">IF(AND(AV$5&gt;=IF(I8="Core",C8,IF(I8="AI",Assumptions!$H$24,Assumptions!$H$25)),AV$5&lt;=IF(I8="Core",D8,IF(I8="AI",Assumptions!$H$24,Assumptions!$H$25)+D8-C8),IF(I8="Core",1,IF(I8="AI",'Start Here'!$B$7,'Start Here'!$B$8))=1),1,0)</f>
        <v>0</v>
      </c>
      <c r="AW8" s="24" t="n">
        <f aca="false">IF(AND(AW$5&gt;=IF(I8="Core",C8,IF(I8="AI",Assumptions!$H$24,Assumptions!$H$25)),AW$5&lt;=IF(I8="Core",D8,IF(I8="AI",Assumptions!$H$24,Assumptions!$H$25)+D8-C8),IF(I8="Core",1,IF(I8="AI",'Start Here'!$B$7,'Start Here'!$B$8))=1),1,0)</f>
        <v>0</v>
      </c>
      <c r="AX8" s="24" t="n">
        <f aca="false">IF(AND(AX$5&gt;=IF(I8="Core",C8,IF(I8="AI",Assumptions!$H$24,Assumptions!$H$25)),AX$5&lt;=IF(I8="Core",D8,IF(I8="AI",Assumptions!$H$24,Assumptions!$H$25)+D8-C8),IF(I8="Core",1,IF(I8="AI",'Start Here'!$B$7,'Start Here'!$B$8))=1),1,0)</f>
        <v>0</v>
      </c>
      <c r="AY8" s="24" t="n">
        <f aca="false">IF(AND(AY$5&gt;=IF(I8="Core",C8,IF(I8="AI",Assumptions!$H$24,Assumptions!$H$25)),AY$5&lt;=IF(I8="Core",D8,IF(I8="AI",Assumptions!$H$24,Assumptions!$H$25)+D8-C8),IF(I8="Core",1,IF(I8="AI",'Start Here'!$B$7,'Start Here'!$B$8))=1),1,0)</f>
        <v>0</v>
      </c>
      <c r="AZ8" s="24" t="n">
        <f aca="false">IF(AND(AZ$5&gt;=IF(I8="Core",C8,IF(I8="AI",Assumptions!$H$24,Assumptions!$H$25)),AZ$5&lt;=IF(I8="Core",D8,IF(I8="AI",Assumptions!$H$24,Assumptions!$H$25)+D8-C8),IF(I8="Core",1,IF(I8="AI",'Start Here'!$B$7,'Start Here'!$B$8))=1),1,0)</f>
        <v>0</v>
      </c>
      <c r="BA8" s="24" t="n">
        <f aca="false">IF(AND(BA$5&gt;=IF(I8="Core",C8,IF(I8="AI",Assumptions!$H$24,Assumptions!$H$25)),BA$5&lt;=IF(I8="Core",D8,IF(I8="AI",Assumptions!$H$24,Assumptions!$H$25)+D8-C8),IF(I8="Core",1,IF(I8="AI",'Start Here'!$B$7,'Start Here'!$B$8))=1),1,0)</f>
        <v>0</v>
      </c>
      <c r="BB8" s="24" t="n">
        <f aca="false">IF(AND(BB$5&gt;=IF(I8="Core",C8,IF(I8="AI",Assumptions!$H$24,Assumptions!$H$25)),BB$5&lt;=IF(I8="Core",D8,IF(I8="AI",Assumptions!$H$24,Assumptions!$H$25)+D8-C8),IF(I8="Core",1,IF(I8="AI",'Start Here'!$B$7,'Start Here'!$B$8))=1),1,0)</f>
        <v>0</v>
      </c>
      <c r="BC8" s="24" t="n">
        <f aca="false">IF(AND(BC$5&gt;=IF(I8="Core",C8,IF(I8="AI",Assumptions!$H$24,Assumptions!$H$25)),BC$5&lt;=IF(I8="Core",D8,IF(I8="AI",Assumptions!$H$24,Assumptions!$H$25)+D8-C8),IF(I8="Core",1,IF(I8="AI",'Start Here'!$B$7,'Start Here'!$B$8))=1),1,0)</f>
        <v>0</v>
      </c>
      <c r="BD8" s="24" t="n">
        <f aca="false">IF(AND(BD$5&gt;=IF(I8="Core",C8,IF(I8="AI",Assumptions!$H$24,Assumptions!$H$25)),BD$5&lt;=IF(I8="Core",D8,IF(I8="AI",Assumptions!$H$24,Assumptions!$H$25)+D8-C8),IF(I8="Core",1,IF(I8="AI",'Start Here'!$B$7,'Start Here'!$B$8))=1),1,0)</f>
        <v>0</v>
      </c>
      <c r="BE8" s="24" t="n">
        <f aca="false">IF(AND(BE$5&gt;=IF(I8="Core",C8,IF(I8="AI",Assumptions!$H$24,Assumptions!$H$25)),BE$5&lt;=IF(I8="Core",D8,IF(I8="AI",Assumptions!$H$24,Assumptions!$H$25)+D8-C8),IF(I8="Core",1,IF(I8="AI",'Start Here'!$B$7,'Start Here'!$B$8))=1),1,0)</f>
        <v>0</v>
      </c>
      <c r="BF8" s="24" t="n">
        <f aca="false">IF(AND(BF$5&gt;=IF(I8="Core",C8,IF(I8="AI",Assumptions!$H$24,Assumptions!$H$25)),BF$5&lt;=IF(I8="Core",D8,IF(I8="AI",Assumptions!$H$24,Assumptions!$H$25)+D8-C8),IF(I8="Core",1,IF(I8="AI",'Start Here'!$B$7,'Start Here'!$B$8))=1),1,0)</f>
        <v>0</v>
      </c>
      <c r="BG8" s="24" t="n">
        <f aca="false">IF(AND(BG$5&gt;=IF(I8="Core",C8,IF(I8="AI",Assumptions!$H$24,Assumptions!$H$25)),BG$5&lt;=IF(I8="Core",D8,IF(I8="AI",Assumptions!$H$24,Assumptions!$H$25)+D8-C8),IF(I8="Core",1,IF(I8="AI",'Start Here'!$B$7,'Start Here'!$B$8))=1),1,0)</f>
        <v>0</v>
      </c>
      <c r="BH8" s="24" t="n">
        <f aca="false">IF(AND(BH$5&gt;=IF(I8="Core",C8,IF(I8="AI",Assumptions!$H$24,Assumptions!$H$25)),BH$5&lt;=IF(I8="Core",D8,IF(I8="AI",Assumptions!$H$24,Assumptions!$H$25)+D8-C8),IF(I8="Core",1,IF(I8="AI",'Start Here'!$B$7,'Start Here'!$B$8))=1),1,0)</f>
        <v>0</v>
      </c>
      <c r="BI8" s="24" t="n">
        <f aca="false">IF(AND(BI$5&gt;=IF(I8="Core",C8,IF(I8="AI",Assumptions!$H$24,Assumptions!$H$25)),BI$5&lt;=IF(I8="Core",D8,IF(I8="AI",Assumptions!$H$24,Assumptions!$H$25)+D8-C8),IF(I8="Core",1,IF(I8="AI",'Start Here'!$B$7,'Start Here'!$B$8))=1),1,0)</f>
        <v>0</v>
      </c>
      <c r="BJ8" s="24" t="n">
        <f aca="false">IF(AND(BJ$5&gt;=IF(I8="Core",C8,IF(I8="AI",Assumptions!$H$24,Assumptions!$H$25)),BJ$5&lt;=IF(I8="Core",D8,IF(I8="AI",Assumptions!$H$24,Assumptions!$H$25)+D8-C8),IF(I8="Core",1,IF(I8="AI",'Start Here'!$B$7,'Start Here'!$B$8))=1),1,0)</f>
        <v>0</v>
      </c>
      <c r="BK8" s="24" t="n">
        <f aca="false">IF(AND(BK$5&gt;=IF(I8="Core",C8,IF(I8="AI",Assumptions!$H$24,Assumptions!$H$25)),BK$5&lt;=IF(I8="Core",D8,IF(I8="AI",Assumptions!$H$24,Assumptions!$H$25)+D8-C8),IF(I8="Core",1,IF(I8="AI",'Start Here'!$B$7,'Start Here'!$B$8))=1),1,0)</f>
        <v>0</v>
      </c>
      <c r="BL8" s="24" t="n">
        <f aca="false">IF(AND(BL$5&gt;=IF(I8="Core",C8,IF(I8="AI",Assumptions!$H$24,Assumptions!$H$25)),BL$5&lt;=IF(I8="Core",D8,IF(I8="AI",Assumptions!$H$24,Assumptions!$H$25)+D8-C8),IF(I8="Core",1,IF(I8="AI",'Start Here'!$B$7,'Start Here'!$B$8))=1),1,0)</f>
        <v>0</v>
      </c>
      <c r="BM8" s="24" t="n">
        <f aca="false">IF(AND(BM$5&gt;=IF(I8="Core",C8,IF(I8="AI",Assumptions!$H$24,Assumptions!$H$25)),BM$5&lt;=IF(I8="Core",D8,IF(I8="AI",Assumptions!$H$24,Assumptions!$H$25)+D8-C8),IF(I8="Core",1,IF(I8="AI",'Start Here'!$B$7,'Start Here'!$B$8))=1),1,0)</f>
        <v>0</v>
      </c>
      <c r="BN8" s="24" t="n">
        <f aca="false">IF(AND(BN$5&gt;=IF(I8="Core",C8,IF(I8="AI",Assumptions!$H$24,Assumptions!$H$25)),BN$5&lt;=IF(I8="Core",D8,IF(I8="AI",Assumptions!$H$24,Assumptions!$H$25)+D8-C8),IF(I8="Core",1,IF(I8="AI",'Start Here'!$B$7,'Start Here'!$B$8))=1),1,0)</f>
        <v>0</v>
      </c>
      <c r="BO8" s="24" t="n">
        <f aca="false">IF(AND(BO$5&gt;=IF(I8="Core",C8,IF(I8="AI",Assumptions!$H$24,Assumptions!$H$25)),BO$5&lt;=IF(I8="Core",D8,IF(I8="AI",Assumptions!$H$24,Assumptions!$H$25)+D8-C8),IF(I8="Core",1,IF(I8="AI",'Start Here'!$B$7,'Start Here'!$B$8))=1),1,0)</f>
        <v>0</v>
      </c>
      <c r="BP8" s="24" t="n">
        <f aca="false">IF(AND(BP$5&gt;=IF(I8="Core",C8,IF(I8="AI",Assumptions!$H$24,Assumptions!$H$25)),BP$5&lt;=IF(I8="Core",D8,IF(I8="AI",Assumptions!$H$24,Assumptions!$H$25)+D8-C8),IF(I8="Core",1,IF(I8="AI",'Start Here'!$B$7,'Start Here'!$B$8))=1),1,0)</f>
        <v>0</v>
      </c>
      <c r="BQ8" s="24" t="n">
        <f aca="false">IF(AND(BQ$5&gt;=IF(I8="Core",C8,IF(I8="AI",Assumptions!$H$24,Assumptions!$H$25)),BQ$5&lt;=IF(I8="Core",D8,IF(I8="AI",Assumptions!$H$24,Assumptions!$H$25)+D8-C8),IF(I8="Core",1,IF(I8="AI",'Start Here'!$B$7,'Start Here'!$B$8))=1),1,0)</f>
        <v>0</v>
      </c>
      <c r="BR8" s="24" t="n">
        <f aca="false">IF(AND(BR$5&gt;=IF(I8="Core",C8,IF(I8="AI",Assumptions!$H$24,Assumptions!$H$25)),BR$5&lt;=IF(I8="Core",D8,IF(I8="AI",Assumptions!$H$24,Assumptions!$H$25)+D8-C8),IF(I8="Core",1,IF(I8="AI",'Start Here'!$B$7,'Start Here'!$B$8))=1),1,0)</f>
        <v>0</v>
      </c>
    </row>
    <row r="9" customFormat="false" ht="99.75" hidden="false" customHeight="true" outlineLevel="0" collapsed="false">
      <c r="A9" s="6" t="s">
        <v>873</v>
      </c>
      <c r="B9" s="6" t="s">
        <v>874</v>
      </c>
      <c r="C9" s="6" t="n">
        <v>12</v>
      </c>
      <c r="D9" s="6" t="n">
        <v>15</v>
      </c>
      <c r="E9" s="6" t="s">
        <v>875</v>
      </c>
      <c r="F9" s="6" t="s">
        <v>876</v>
      </c>
      <c r="G9" s="6" t="s">
        <v>877</v>
      </c>
      <c r="H9" s="6" t="s">
        <v>878</v>
      </c>
      <c r="I9" s="6" t="s">
        <v>328</v>
      </c>
      <c r="J9" s="6" t="s">
        <v>879</v>
      </c>
      <c r="K9" s="24" t="n">
        <f aca="false">IF(AND(K$5&gt;=IF(I9="Core",C9,IF(I9="AI",Assumptions!$H$24,Assumptions!$H$25)),K$5&lt;=IF(I9="Core",D9,IF(I9="AI",Assumptions!$H$24,Assumptions!$H$25)+D9-C9),IF(I9="Core",1,IF(I9="AI",'Start Here'!$B$7,'Start Here'!$B$8))=1),1,0)</f>
        <v>0</v>
      </c>
      <c r="L9" s="24" t="n">
        <f aca="false">IF(AND(L$5&gt;=IF(I9="Core",C9,IF(I9="AI",Assumptions!$H$24,Assumptions!$H$25)),L$5&lt;=IF(I9="Core",D9,IF(I9="AI",Assumptions!$H$24,Assumptions!$H$25)+D9-C9),IF(I9="Core",1,IF(I9="AI",'Start Here'!$B$7,'Start Here'!$B$8))=1),1,0)</f>
        <v>0</v>
      </c>
      <c r="M9" s="24" t="n">
        <f aca="false">IF(AND(M$5&gt;=IF(I9="Core",C9,IF(I9="AI",Assumptions!$H$24,Assumptions!$H$25)),M$5&lt;=IF(I9="Core",D9,IF(I9="AI",Assumptions!$H$24,Assumptions!$H$25)+D9-C9),IF(I9="Core",1,IF(I9="AI",'Start Here'!$B$7,'Start Here'!$B$8))=1),1,0)</f>
        <v>0</v>
      </c>
      <c r="N9" s="24" t="n">
        <f aca="false">IF(AND(N$5&gt;=IF(I9="Core",C9,IF(I9="AI",Assumptions!$H$24,Assumptions!$H$25)),N$5&lt;=IF(I9="Core",D9,IF(I9="AI",Assumptions!$H$24,Assumptions!$H$25)+D9-C9),IF(I9="Core",1,IF(I9="AI",'Start Here'!$B$7,'Start Here'!$B$8))=1),1,0)</f>
        <v>0</v>
      </c>
      <c r="O9" s="24" t="n">
        <f aca="false">IF(AND(O$5&gt;=IF(I9="Core",C9,IF(I9="AI",Assumptions!$H$24,Assumptions!$H$25)),O$5&lt;=IF(I9="Core",D9,IF(I9="AI",Assumptions!$H$24,Assumptions!$H$25)+D9-C9),IF(I9="Core",1,IF(I9="AI",'Start Here'!$B$7,'Start Here'!$B$8))=1),1,0)</f>
        <v>0</v>
      </c>
      <c r="P9" s="24" t="n">
        <f aca="false">IF(AND(P$5&gt;=IF(I9="Core",C9,IF(I9="AI",Assumptions!$H$24,Assumptions!$H$25)),P$5&lt;=IF(I9="Core",D9,IF(I9="AI",Assumptions!$H$24,Assumptions!$H$25)+D9-C9),IF(I9="Core",1,IF(I9="AI",'Start Here'!$B$7,'Start Here'!$B$8))=1),1,0)</f>
        <v>0</v>
      </c>
      <c r="Q9" s="24" t="n">
        <f aca="false">IF(AND(Q$5&gt;=IF(I9="Core",C9,IF(I9="AI",Assumptions!$H$24,Assumptions!$H$25)),Q$5&lt;=IF(I9="Core",D9,IF(I9="AI",Assumptions!$H$24,Assumptions!$H$25)+D9-C9),IF(I9="Core",1,IF(I9="AI",'Start Here'!$B$7,'Start Here'!$B$8))=1),1,0)</f>
        <v>0</v>
      </c>
      <c r="R9" s="24" t="n">
        <f aca="false">IF(AND(R$5&gt;=IF(I9="Core",C9,IF(I9="AI",Assumptions!$H$24,Assumptions!$H$25)),R$5&lt;=IF(I9="Core",D9,IF(I9="AI",Assumptions!$H$24,Assumptions!$H$25)+D9-C9),IF(I9="Core",1,IF(I9="AI",'Start Here'!$B$7,'Start Here'!$B$8))=1),1,0)</f>
        <v>0</v>
      </c>
      <c r="S9" s="24" t="n">
        <f aca="false">IF(AND(S$5&gt;=IF(I9="Core",C9,IF(I9="AI",Assumptions!$H$24,Assumptions!$H$25)),S$5&lt;=IF(I9="Core",D9,IF(I9="AI",Assumptions!$H$24,Assumptions!$H$25)+D9-C9),IF(I9="Core",1,IF(I9="AI",'Start Here'!$B$7,'Start Here'!$B$8))=1),1,0)</f>
        <v>0</v>
      </c>
      <c r="T9" s="24" t="n">
        <f aca="false">IF(AND(T$5&gt;=IF(I9="Core",C9,IF(I9="AI",Assumptions!$H$24,Assumptions!$H$25)),T$5&lt;=IF(I9="Core",D9,IF(I9="AI",Assumptions!$H$24,Assumptions!$H$25)+D9-C9),IF(I9="Core",1,IF(I9="AI",'Start Here'!$B$7,'Start Here'!$B$8))=1),1,0)</f>
        <v>0</v>
      </c>
      <c r="U9" s="24" t="n">
        <f aca="false">IF(AND(U$5&gt;=IF(I9="Core",C9,IF(I9="AI",Assumptions!$H$24,Assumptions!$H$25)),U$5&lt;=IF(I9="Core",D9,IF(I9="AI",Assumptions!$H$24,Assumptions!$H$25)+D9-C9),IF(I9="Core",1,IF(I9="AI",'Start Here'!$B$7,'Start Here'!$B$8))=1),1,0)</f>
        <v>0</v>
      </c>
      <c r="V9" s="24" t="n">
        <f aca="false">IF(AND(V$5&gt;=IF(I9="Core",C9,IF(I9="AI",Assumptions!$H$24,Assumptions!$H$25)),V$5&lt;=IF(I9="Core",D9,IF(I9="AI",Assumptions!$H$24,Assumptions!$H$25)+D9-C9),IF(I9="Core",1,IF(I9="AI",'Start Here'!$B$7,'Start Here'!$B$8))=1),1,0)</f>
        <v>1</v>
      </c>
      <c r="W9" s="24" t="n">
        <f aca="false">IF(AND(W$5&gt;=IF(I9="Core",C9,IF(I9="AI",Assumptions!$H$24,Assumptions!$H$25)),W$5&lt;=IF(I9="Core",D9,IF(I9="AI",Assumptions!$H$24,Assumptions!$H$25)+D9-C9),IF(I9="Core",1,IF(I9="AI",'Start Here'!$B$7,'Start Here'!$B$8))=1),1,0)</f>
        <v>1</v>
      </c>
      <c r="X9" s="24" t="n">
        <f aca="false">IF(AND(X$5&gt;=IF(I9="Core",C9,IF(I9="AI",Assumptions!$H$24,Assumptions!$H$25)),X$5&lt;=IF(I9="Core",D9,IF(I9="AI",Assumptions!$H$24,Assumptions!$H$25)+D9-C9),IF(I9="Core",1,IF(I9="AI",'Start Here'!$B$7,'Start Here'!$B$8))=1),1,0)</f>
        <v>1</v>
      </c>
      <c r="Y9" s="24" t="n">
        <f aca="false">IF(AND(Y$5&gt;=IF(I9="Core",C9,IF(I9="AI",Assumptions!$H$24,Assumptions!$H$25)),Y$5&lt;=IF(I9="Core",D9,IF(I9="AI",Assumptions!$H$24,Assumptions!$H$25)+D9-C9),IF(I9="Core",1,IF(I9="AI",'Start Here'!$B$7,'Start Here'!$B$8))=1),1,0)</f>
        <v>1</v>
      </c>
      <c r="Z9" s="24" t="n">
        <f aca="false">IF(AND(Z$5&gt;=IF(I9="Core",C9,IF(I9="AI",Assumptions!$H$24,Assumptions!$H$25)),Z$5&lt;=IF(I9="Core",D9,IF(I9="AI",Assumptions!$H$24,Assumptions!$H$25)+D9-C9),IF(I9="Core",1,IF(I9="AI",'Start Here'!$B$7,'Start Here'!$B$8))=1),1,0)</f>
        <v>0</v>
      </c>
      <c r="AA9" s="24" t="n">
        <f aca="false">IF(AND(AA$5&gt;=IF(I9="Core",C9,IF(I9="AI",Assumptions!$H$24,Assumptions!$H$25)),AA$5&lt;=IF(I9="Core",D9,IF(I9="AI",Assumptions!$H$24,Assumptions!$H$25)+D9-C9),IF(I9="Core",1,IF(I9="AI",'Start Here'!$B$7,'Start Here'!$B$8))=1),1,0)</f>
        <v>0</v>
      </c>
      <c r="AB9" s="24" t="n">
        <f aca="false">IF(AND(AB$5&gt;=IF(I9="Core",C9,IF(I9="AI",Assumptions!$H$24,Assumptions!$H$25)),AB$5&lt;=IF(I9="Core",D9,IF(I9="AI",Assumptions!$H$24,Assumptions!$H$25)+D9-C9),IF(I9="Core",1,IF(I9="AI",'Start Here'!$B$7,'Start Here'!$B$8))=1),1,0)</f>
        <v>0</v>
      </c>
      <c r="AC9" s="24" t="n">
        <f aca="false">IF(AND(AC$5&gt;=IF(I9="Core",C9,IF(I9="AI",Assumptions!$H$24,Assumptions!$H$25)),AC$5&lt;=IF(I9="Core",D9,IF(I9="AI",Assumptions!$H$24,Assumptions!$H$25)+D9-C9),IF(I9="Core",1,IF(I9="AI",'Start Here'!$B$7,'Start Here'!$B$8))=1),1,0)</f>
        <v>0</v>
      </c>
      <c r="AD9" s="24" t="n">
        <f aca="false">IF(AND(AD$5&gt;=IF(I9="Core",C9,IF(I9="AI",Assumptions!$H$24,Assumptions!$H$25)),AD$5&lt;=IF(I9="Core",D9,IF(I9="AI",Assumptions!$H$24,Assumptions!$H$25)+D9-C9),IF(I9="Core",1,IF(I9="AI",'Start Here'!$B$7,'Start Here'!$B$8))=1),1,0)</f>
        <v>0</v>
      </c>
      <c r="AE9" s="24" t="n">
        <f aca="false">IF(AND(AE$5&gt;=IF(I9="Core",C9,IF(I9="AI",Assumptions!$H$24,Assumptions!$H$25)),AE$5&lt;=IF(I9="Core",D9,IF(I9="AI",Assumptions!$H$24,Assumptions!$H$25)+D9-C9),IF(I9="Core",1,IF(I9="AI",'Start Here'!$B$7,'Start Here'!$B$8))=1),1,0)</f>
        <v>0</v>
      </c>
      <c r="AF9" s="24" t="n">
        <f aca="false">IF(AND(AF$5&gt;=IF(I9="Core",C9,IF(I9="AI",Assumptions!$H$24,Assumptions!$H$25)),AF$5&lt;=IF(I9="Core",D9,IF(I9="AI",Assumptions!$H$24,Assumptions!$H$25)+D9-C9),IF(I9="Core",1,IF(I9="AI",'Start Here'!$B$7,'Start Here'!$B$8))=1),1,0)</f>
        <v>0</v>
      </c>
      <c r="AG9" s="24" t="n">
        <f aca="false">IF(AND(AG$5&gt;=IF(I9="Core",C9,IF(I9="AI",Assumptions!$H$24,Assumptions!$H$25)),AG$5&lt;=IF(I9="Core",D9,IF(I9="AI",Assumptions!$H$24,Assumptions!$H$25)+D9-C9),IF(I9="Core",1,IF(I9="AI",'Start Here'!$B$7,'Start Here'!$B$8))=1),1,0)</f>
        <v>0</v>
      </c>
      <c r="AH9" s="24" t="n">
        <f aca="false">IF(AND(AH$5&gt;=IF(I9="Core",C9,IF(I9="AI",Assumptions!$H$24,Assumptions!$H$25)),AH$5&lt;=IF(I9="Core",D9,IF(I9="AI",Assumptions!$H$24,Assumptions!$H$25)+D9-C9),IF(I9="Core",1,IF(I9="AI",'Start Here'!$B$7,'Start Here'!$B$8))=1),1,0)</f>
        <v>0</v>
      </c>
      <c r="AI9" s="24" t="n">
        <f aca="false">IF(AND(AI$5&gt;=IF(I9="Core",C9,IF(I9="AI",Assumptions!$H$24,Assumptions!$H$25)),AI$5&lt;=IF(I9="Core",D9,IF(I9="AI",Assumptions!$H$24,Assumptions!$H$25)+D9-C9),IF(I9="Core",1,IF(I9="AI",'Start Here'!$B$7,'Start Here'!$B$8))=1),1,0)</f>
        <v>0</v>
      </c>
      <c r="AJ9" s="24" t="n">
        <f aca="false">IF(AND(AJ$5&gt;=IF(I9="Core",C9,IF(I9="AI",Assumptions!$H$24,Assumptions!$H$25)),AJ$5&lt;=IF(I9="Core",D9,IF(I9="AI",Assumptions!$H$24,Assumptions!$H$25)+D9-C9),IF(I9="Core",1,IF(I9="AI",'Start Here'!$B$7,'Start Here'!$B$8))=1),1,0)</f>
        <v>0</v>
      </c>
      <c r="AK9" s="24" t="n">
        <f aca="false">IF(AND(AK$5&gt;=IF(I9="Core",C9,IF(I9="AI",Assumptions!$H$24,Assumptions!$H$25)),AK$5&lt;=IF(I9="Core",D9,IF(I9="AI",Assumptions!$H$24,Assumptions!$H$25)+D9-C9),IF(I9="Core",1,IF(I9="AI",'Start Here'!$B$7,'Start Here'!$B$8))=1),1,0)</f>
        <v>0</v>
      </c>
      <c r="AL9" s="24" t="n">
        <f aca="false">IF(AND(AL$5&gt;=IF(I9="Core",C9,IF(I9="AI",Assumptions!$H$24,Assumptions!$H$25)),AL$5&lt;=IF(I9="Core",D9,IF(I9="AI",Assumptions!$H$24,Assumptions!$H$25)+D9-C9),IF(I9="Core",1,IF(I9="AI",'Start Here'!$B$7,'Start Here'!$B$8))=1),1,0)</f>
        <v>0</v>
      </c>
      <c r="AM9" s="24" t="n">
        <f aca="false">IF(AND(AM$5&gt;=IF(I9="Core",C9,IF(I9="AI",Assumptions!$H$24,Assumptions!$H$25)),AM$5&lt;=IF(I9="Core",D9,IF(I9="AI",Assumptions!$H$24,Assumptions!$H$25)+D9-C9),IF(I9="Core",1,IF(I9="AI",'Start Here'!$B$7,'Start Here'!$B$8))=1),1,0)</f>
        <v>0</v>
      </c>
      <c r="AN9" s="24" t="n">
        <f aca="false">IF(AND(AN$5&gt;=IF(I9="Core",C9,IF(I9="AI",Assumptions!$H$24,Assumptions!$H$25)),AN$5&lt;=IF(I9="Core",D9,IF(I9="AI",Assumptions!$H$24,Assumptions!$H$25)+D9-C9),IF(I9="Core",1,IF(I9="AI",'Start Here'!$B$7,'Start Here'!$B$8))=1),1,0)</f>
        <v>0</v>
      </c>
      <c r="AO9" s="24" t="n">
        <f aca="false">IF(AND(AO$5&gt;=IF(I9="Core",C9,IF(I9="AI",Assumptions!$H$24,Assumptions!$H$25)),AO$5&lt;=IF(I9="Core",D9,IF(I9="AI",Assumptions!$H$24,Assumptions!$H$25)+D9-C9),IF(I9="Core",1,IF(I9="AI",'Start Here'!$B$7,'Start Here'!$B$8))=1),1,0)</f>
        <v>0</v>
      </c>
      <c r="AP9" s="24" t="n">
        <f aca="false">IF(AND(AP$5&gt;=IF(I9="Core",C9,IF(I9="AI",Assumptions!$H$24,Assumptions!$H$25)),AP$5&lt;=IF(I9="Core",D9,IF(I9="AI",Assumptions!$H$24,Assumptions!$H$25)+D9-C9),IF(I9="Core",1,IF(I9="AI",'Start Here'!$B$7,'Start Here'!$B$8))=1),1,0)</f>
        <v>0</v>
      </c>
      <c r="AQ9" s="24" t="n">
        <f aca="false">IF(AND(AQ$5&gt;=IF(I9="Core",C9,IF(I9="AI",Assumptions!$H$24,Assumptions!$H$25)),AQ$5&lt;=IF(I9="Core",D9,IF(I9="AI",Assumptions!$H$24,Assumptions!$H$25)+D9-C9),IF(I9="Core",1,IF(I9="AI",'Start Here'!$B$7,'Start Here'!$B$8))=1),1,0)</f>
        <v>0</v>
      </c>
      <c r="AR9" s="24" t="n">
        <f aca="false">IF(AND(AR$5&gt;=IF(I9="Core",C9,IF(I9="AI",Assumptions!$H$24,Assumptions!$H$25)),AR$5&lt;=IF(I9="Core",D9,IF(I9="AI",Assumptions!$H$24,Assumptions!$H$25)+D9-C9),IF(I9="Core",1,IF(I9="AI",'Start Here'!$B$7,'Start Here'!$B$8))=1),1,0)</f>
        <v>0</v>
      </c>
      <c r="AS9" s="24" t="n">
        <f aca="false">IF(AND(AS$5&gt;=IF(I9="Core",C9,IF(I9="AI",Assumptions!$H$24,Assumptions!$H$25)),AS$5&lt;=IF(I9="Core",D9,IF(I9="AI",Assumptions!$H$24,Assumptions!$H$25)+D9-C9),IF(I9="Core",1,IF(I9="AI",'Start Here'!$B$7,'Start Here'!$B$8))=1),1,0)</f>
        <v>0</v>
      </c>
      <c r="AT9" s="24" t="n">
        <f aca="false">IF(AND(AT$5&gt;=IF(I9="Core",C9,IF(I9="AI",Assumptions!$H$24,Assumptions!$H$25)),AT$5&lt;=IF(I9="Core",D9,IF(I9="AI",Assumptions!$H$24,Assumptions!$H$25)+D9-C9),IF(I9="Core",1,IF(I9="AI",'Start Here'!$B$7,'Start Here'!$B$8))=1),1,0)</f>
        <v>0</v>
      </c>
      <c r="AU9" s="24" t="n">
        <f aca="false">IF(AND(AU$5&gt;=IF(I9="Core",C9,IF(I9="AI",Assumptions!$H$24,Assumptions!$H$25)),AU$5&lt;=IF(I9="Core",D9,IF(I9="AI",Assumptions!$H$24,Assumptions!$H$25)+D9-C9),IF(I9="Core",1,IF(I9="AI",'Start Here'!$B$7,'Start Here'!$B$8))=1),1,0)</f>
        <v>0</v>
      </c>
      <c r="AV9" s="24" t="n">
        <f aca="false">IF(AND(AV$5&gt;=IF(I9="Core",C9,IF(I9="AI",Assumptions!$H$24,Assumptions!$H$25)),AV$5&lt;=IF(I9="Core",D9,IF(I9="AI",Assumptions!$H$24,Assumptions!$H$25)+D9-C9),IF(I9="Core",1,IF(I9="AI",'Start Here'!$B$7,'Start Here'!$B$8))=1),1,0)</f>
        <v>0</v>
      </c>
      <c r="AW9" s="24" t="n">
        <f aca="false">IF(AND(AW$5&gt;=IF(I9="Core",C9,IF(I9="AI",Assumptions!$H$24,Assumptions!$H$25)),AW$5&lt;=IF(I9="Core",D9,IF(I9="AI",Assumptions!$H$24,Assumptions!$H$25)+D9-C9),IF(I9="Core",1,IF(I9="AI",'Start Here'!$B$7,'Start Here'!$B$8))=1),1,0)</f>
        <v>0</v>
      </c>
      <c r="AX9" s="24" t="n">
        <f aca="false">IF(AND(AX$5&gt;=IF(I9="Core",C9,IF(I9="AI",Assumptions!$H$24,Assumptions!$H$25)),AX$5&lt;=IF(I9="Core",D9,IF(I9="AI",Assumptions!$H$24,Assumptions!$H$25)+D9-C9),IF(I9="Core",1,IF(I9="AI",'Start Here'!$B$7,'Start Here'!$B$8))=1),1,0)</f>
        <v>0</v>
      </c>
      <c r="AY9" s="24" t="n">
        <f aca="false">IF(AND(AY$5&gt;=IF(I9="Core",C9,IF(I9="AI",Assumptions!$H$24,Assumptions!$H$25)),AY$5&lt;=IF(I9="Core",D9,IF(I9="AI",Assumptions!$H$24,Assumptions!$H$25)+D9-C9),IF(I9="Core",1,IF(I9="AI",'Start Here'!$B$7,'Start Here'!$B$8))=1),1,0)</f>
        <v>0</v>
      </c>
      <c r="AZ9" s="24" t="n">
        <f aca="false">IF(AND(AZ$5&gt;=IF(I9="Core",C9,IF(I9="AI",Assumptions!$H$24,Assumptions!$H$25)),AZ$5&lt;=IF(I9="Core",D9,IF(I9="AI",Assumptions!$H$24,Assumptions!$H$25)+D9-C9),IF(I9="Core",1,IF(I9="AI",'Start Here'!$B$7,'Start Here'!$B$8))=1),1,0)</f>
        <v>0</v>
      </c>
      <c r="BA9" s="24" t="n">
        <f aca="false">IF(AND(BA$5&gt;=IF(I9="Core",C9,IF(I9="AI",Assumptions!$H$24,Assumptions!$H$25)),BA$5&lt;=IF(I9="Core",D9,IF(I9="AI",Assumptions!$H$24,Assumptions!$H$25)+D9-C9),IF(I9="Core",1,IF(I9="AI",'Start Here'!$B$7,'Start Here'!$B$8))=1),1,0)</f>
        <v>0</v>
      </c>
      <c r="BB9" s="24" t="n">
        <f aca="false">IF(AND(BB$5&gt;=IF(I9="Core",C9,IF(I9="AI",Assumptions!$H$24,Assumptions!$H$25)),BB$5&lt;=IF(I9="Core",D9,IF(I9="AI",Assumptions!$H$24,Assumptions!$H$25)+D9-C9),IF(I9="Core",1,IF(I9="AI",'Start Here'!$B$7,'Start Here'!$B$8))=1),1,0)</f>
        <v>0</v>
      </c>
      <c r="BC9" s="24" t="n">
        <f aca="false">IF(AND(BC$5&gt;=IF(I9="Core",C9,IF(I9="AI",Assumptions!$H$24,Assumptions!$H$25)),BC$5&lt;=IF(I9="Core",D9,IF(I9="AI",Assumptions!$H$24,Assumptions!$H$25)+D9-C9),IF(I9="Core",1,IF(I9="AI",'Start Here'!$B$7,'Start Here'!$B$8))=1),1,0)</f>
        <v>0</v>
      </c>
      <c r="BD9" s="24" t="n">
        <f aca="false">IF(AND(BD$5&gt;=IF(I9="Core",C9,IF(I9="AI",Assumptions!$H$24,Assumptions!$H$25)),BD$5&lt;=IF(I9="Core",D9,IF(I9="AI",Assumptions!$H$24,Assumptions!$H$25)+D9-C9),IF(I9="Core",1,IF(I9="AI",'Start Here'!$B$7,'Start Here'!$B$8))=1),1,0)</f>
        <v>0</v>
      </c>
      <c r="BE9" s="24" t="n">
        <f aca="false">IF(AND(BE$5&gt;=IF(I9="Core",C9,IF(I9="AI",Assumptions!$H$24,Assumptions!$H$25)),BE$5&lt;=IF(I9="Core",D9,IF(I9="AI",Assumptions!$H$24,Assumptions!$H$25)+D9-C9),IF(I9="Core",1,IF(I9="AI",'Start Here'!$B$7,'Start Here'!$B$8))=1),1,0)</f>
        <v>0</v>
      </c>
      <c r="BF9" s="24" t="n">
        <f aca="false">IF(AND(BF$5&gt;=IF(I9="Core",C9,IF(I9="AI",Assumptions!$H$24,Assumptions!$H$25)),BF$5&lt;=IF(I9="Core",D9,IF(I9="AI",Assumptions!$H$24,Assumptions!$H$25)+D9-C9),IF(I9="Core",1,IF(I9="AI",'Start Here'!$B$7,'Start Here'!$B$8))=1),1,0)</f>
        <v>0</v>
      </c>
      <c r="BG9" s="24" t="n">
        <f aca="false">IF(AND(BG$5&gt;=IF(I9="Core",C9,IF(I9="AI",Assumptions!$H$24,Assumptions!$H$25)),BG$5&lt;=IF(I9="Core",D9,IF(I9="AI",Assumptions!$H$24,Assumptions!$H$25)+D9-C9),IF(I9="Core",1,IF(I9="AI",'Start Here'!$B$7,'Start Here'!$B$8))=1),1,0)</f>
        <v>0</v>
      </c>
      <c r="BH9" s="24" t="n">
        <f aca="false">IF(AND(BH$5&gt;=IF(I9="Core",C9,IF(I9="AI",Assumptions!$H$24,Assumptions!$H$25)),BH$5&lt;=IF(I9="Core",D9,IF(I9="AI",Assumptions!$H$24,Assumptions!$H$25)+D9-C9),IF(I9="Core",1,IF(I9="AI",'Start Here'!$B$7,'Start Here'!$B$8))=1),1,0)</f>
        <v>0</v>
      </c>
      <c r="BI9" s="24" t="n">
        <f aca="false">IF(AND(BI$5&gt;=IF(I9="Core",C9,IF(I9="AI",Assumptions!$H$24,Assumptions!$H$25)),BI$5&lt;=IF(I9="Core",D9,IF(I9="AI",Assumptions!$H$24,Assumptions!$H$25)+D9-C9),IF(I9="Core",1,IF(I9="AI",'Start Here'!$B$7,'Start Here'!$B$8))=1),1,0)</f>
        <v>0</v>
      </c>
      <c r="BJ9" s="24" t="n">
        <f aca="false">IF(AND(BJ$5&gt;=IF(I9="Core",C9,IF(I9="AI",Assumptions!$H$24,Assumptions!$H$25)),BJ$5&lt;=IF(I9="Core",D9,IF(I9="AI",Assumptions!$H$24,Assumptions!$H$25)+D9-C9),IF(I9="Core",1,IF(I9="AI",'Start Here'!$B$7,'Start Here'!$B$8))=1),1,0)</f>
        <v>0</v>
      </c>
      <c r="BK9" s="24" t="n">
        <f aca="false">IF(AND(BK$5&gt;=IF(I9="Core",C9,IF(I9="AI",Assumptions!$H$24,Assumptions!$H$25)),BK$5&lt;=IF(I9="Core",D9,IF(I9="AI",Assumptions!$H$24,Assumptions!$H$25)+D9-C9),IF(I9="Core",1,IF(I9="AI",'Start Here'!$B$7,'Start Here'!$B$8))=1),1,0)</f>
        <v>0</v>
      </c>
      <c r="BL9" s="24" t="n">
        <f aca="false">IF(AND(BL$5&gt;=IF(I9="Core",C9,IF(I9="AI",Assumptions!$H$24,Assumptions!$H$25)),BL$5&lt;=IF(I9="Core",D9,IF(I9="AI",Assumptions!$H$24,Assumptions!$H$25)+D9-C9),IF(I9="Core",1,IF(I9="AI",'Start Here'!$B$7,'Start Here'!$B$8))=1),1,0)</f>
        <v>0</v>
      </c>
      <c r="BM9" s="24" t="n">
        <f aca="false">IF(AND(BM$5&gt;=IF(I9="Core",C9,IF(I9="AI",Assumptions!$H$24,Assumptions!$H$25)),BM$5&lt;=IF(I9="Core",D9,IF(I9="AI",Assumptions!$H$24,Assumptions!$H$25)+D9-C9),IF(I9="Core",1,IF(I9="AI",'Start Here'!$B$7,'Start Here'!$B$8))=1),1,0)</f>
        <v>0</v>
      </c>
      <c r="BN9" s="24" t="n">
        <f aca="false">IF(AND(BN$5&gt;=IF(I9="Core",C9,IF(I9="AI",Assumptions!$H$24,Assumptions!$H$25)),BN$5&lt;=IF(I9="Core",D9,IF(I9="AI",Assumptions!$H$24,Assumptions!$H$25)+D9-C9),IF(I9="Core",1,IF(I9="AI",'Start Here'!$B$7,'Start Here'!$B$8))=1),1,0)</f>
        <v>0</v>
      </c>
      <c r="BO9" s="24" t="n">
        <f aca="false">IF(AND(BO$5&gt;=IF(I9="Core",C9,IF(I9="AI",Assumptions!$H$24,Assumptions!$H$25)),BO$5&lt;=IF(I9="Core",D9,IF(I9="AI",Assumptions!$H$24,Assumptions!$H$25)+D9-C9),IF(I9="Core",1,IF(I9="AI",'Start Here'!$B$7,'Start Here'!$B$8))=1),1,0)</f>
        <v>0</v>
      </c>
      <c r="BP9" s="24" t="n">
        <f aca="false">IF(AND(BP$5&gt;=IF(I9="Core",C9,IF(I9="AI",Assumptions!$H$24,Assumptions!$H$25)),BP$5&lt;=IF(I9="Core",D9,IF(I9="AI",Assumptions!$H$24,Assumptions!$H$25)+D9-C9),IF(I9="Core",1,IF(I9="AI",'Start Here'!$B$7,'Start Here'!$B$8))=1),1,0)</f>
        <v>0</v>
      </c>
      <c r="BQ9" s="24" t="n">
        <f aca="false">IF(AND(BQ$5&gt;=IF(I9="Core",C9,IF(I9="AI",Assumptions!$H$24,Assumptions!$H$25)),BQ$5&lt;=IF(I9="Core",D9,IF(I9="AI",Assumptions!$H$24,Assumptions!$H$25)+D9-C9),IF(I9="Core",1,IF(I9="AI",'Start Here'!$B$7,'Start Here'!$B$8))=1),1,0)</f>
        <v>0</v>
      </c>
      <c r="BR9" s="24" t="n">
        <f aca="false">IF(AND(BR$5&gt;=IF(I9="Core",C9,IF(I9="AI",Assumptions!$H$24,Assumptions!$H$25)),BR$5&lt;=IF(I9="Core",D9,IF(I9="AI",Assumptions!$H$24,Assumptions!$H$25)+D9-C9),IF(I9="Core",1,IF(I9="AI",'Start Here'!$B$7,'Start Here'!$B$8))=1),1,0)</f>
        <v>0</v>
      </c>
    </row>
    <row r="10" customFormat="false" ht="99.75" hidden="false" customHeight="true" outlineLevel="0" collapsed="false">
      <c r="A10" s="6" t="s">
        <v>880</v>
      </c>
      <c r="B10" s="6" t="s">
        <v>881</v>
      </c>
      <c r="C10" s="6" t="n">
        <v>16</v>
      </c>
      <c r="D10" s="6" t="n">
        <v>24</v>
      </c>
      <c r="E10" s="6" t="s">
        <v>873</v>
      </c>
      <c r="F10" s="6" t="s">
        <v>882</v>
      </c>
      <c r="G10" s="6" t="s">
        <v>883</v>
      </c>
      <c r="H10" s="6" t="s">
        <v>884</v>
      </c>
      <c r="I10" s="6" t="s">
        <v>328</v>
      </c>
      <c r="J10" s="6" t="s">
        <v>885</v>
      </c>
      <c r="K10" s="24" t="n">
        <f aca="false">IF(AND(K$5&gt;=IF(I10="Core",C10,IF(I10="AI",Assumptions!$H$24,Assumptions!$H$25)),K$5&lt;=IF(I10="Core",D10,IF(I10="AI",Assumptions!$H$24,Assumptions!$H$25)+D10-C10),IF(I10="Core",1,IF(I10="AI",'Start Here'!$B$7,'Start Here'!$B$8))=1),1,0)</f>
        <v>0</v>
      </c>
      <c r="L10" s="24" t="n">
        <f aca="false">IF(AND(L$5&gt;=IF(I10="Core",C10,IF(I10="AI",Assumptions!$H$24,Assumptions!$H$25)),L$5&lt;=IF(I10="Core",D10,IF(I10="AI",Assumptions!$H$24,Assumptions!$H$25)+D10-C10),IF(I10="Core",1,IF(I10="AI",'Start Here'!$B$7,'Start Here'!$B$8))=1),1,0)</f>
        <v>0</v>
      </c>
      <c r="M10" s="24" t="n">
        <f aca="false">IF(AND(M$5&gt;=IF(I10="Core",C10,IF(I10="AI",Assumptions!$H$24,Assumptions!$H$25)),M$5&lt;=IF(I10="Core",D10,IF(I10="AI",Assumptions!$H$24,Assumptions!$H$25)+D10-C10),IF(I10="Core",1,IF(I10="AI",'Start Here'!$B$7,'Start Here'!$B$8))=1),1,0)</f>
        <v>0</v>
      </c>
      <c r="N10" s="24" t="n">
        <f aca="false">IF(AND(N$5&gt;=IF(I10="Core",C10,IF(I10="AI",Assumptions!$H$24,Assumptions!$H$25)),N$5&lt;=IF(I10="Core",D10,IF(I10="AI",Assumptions!$H$24,Assumptions!$H$25)+D10-C10),IF(I10="Core",1,IF(I10="AI",'Start Here'!$B$7,'Start Here'!$B$8))=1),1,0)</f>
        <v>0</v>
      </c>
      <c r="O10" s="24" t="n">
        <f aca="false">IF(AND(O$5&gt;=IF(I10="Core",C10,IF(I10="AI",Assumptions!$H$24,Assumptions!$H$25)),O$5&lt;=IF(I10="Core",D10,IF(I10="AI",Assumptions!$H$24,Assumptions!$H$25)+D10-C10),IF(I10="Core",1,IF(I10="AI",'Start Here'!$B$7,'Start Here'!$B$8))=1),1,0)</f>
        <v>0</v>
      </c>
      <c r="P10" s="24" t="n">
        <f aca="false">IF(AND(P$5&gt;=IF(I10="Core",C10,IF(I10="AI",Assumptions!$H$24,Assumptions!$H$25)),P$5&lt;=IF(I10="Core",D10,IF(I10="AI",Assumptions!$H$24,Assumptions!$H$25)+D10-C10),IF(I10="Core",1,IF(I10="AI",'Start Here'!$B$7,'Start Here'!$B$8))=1),1,0)</f>
        <v>0</v>
      </c>
      <c r="Q10" s="24" t="n">
        <f aca="false">IF(AND(Q$5&gt;=IF(I10="Core",C10,IF(I10="AI",Assumptions!$H$24,Assumptions!$H$25)),Q$5&lt;=IF(I10="Core",D10,IF(I10="AI",Assumptions!$H$24,Assumptions!$H$25)+D10-C10),IF(I10="Core",1,IF(I10="AI",'Start Here'!$B$7,'Start Here'!$B$8))=1),1,0)</f>
        <v>0</v>
      </c>
      <c r="R10" s="24" t="n">
        <f aca="false">IF(AND(R$5&gt;=IF(I10="Core",C10,IF(I10="AI",Assumptions!$H$24,Assumptions!$H$25)),R$5&lt;=IF(I10="Core",D10,IF(I10="AI",Assumptions!$H$24,Assumptions!$H$25)+D10-C10),IF(I10="Core",1,IF(I10="AI",'Start Here'!$B$7,'Start Here'!$B$8))=1),1,0)</f>
        <v>0</v>
      </c>
      <c r="S10" s="24" t="n">
        <f aca="false">IF(AND(S$5&gt;=IF(I10="Core",C10,IF(I10="AI",Assumptions!$H$24,Assumptions!$H$25)),S$5&lt;=IF(I10="Core",D10,IF(I10="AI",Assumptions!$H$24,Assumptions!$H$25)+D10-C10),IF(I10="Core",1,IF(I10="AI",'Start Here'!$B$7,'Start Here'!$B$8))=1),1,0)</f>
        <v>0</v>
      </c>
      <c r="T10" s="24" t="n">
        <f aca="false">IF(AND(T$5&gt;=IF(I10="Core",C10,IF(I10="AI",Assumptions!$H$24,Assumptions!$H$25)),T$5&lt;=IF(I10="Core",D10,IF(I10="AI",Assumptions!$H$24,Assumptions!$H$25)+D10-C10),IF(I10="Core",1,IF(I10="AI",'Start Here'!$B$7,'Start Here'!$B$8))=1),1,0)</f>
        <v>0</v>
      </c>
      <c r="U10" s="24" t="n">
        <f aca="false">IF(AND(U$5&gt;=IF(I10="Core",C10,IF(I10="AI",Assumptions!$H$24,Assumptions!$H$25)),U$5&lt;=IF(I10="Core",D10,IF(I10="AI",Assumptions!$H$24,Assumptions!$H$25)+D10-C10),IF(I10="Core",1,IF(I10="AI",'Start Here'!$B$7,'Start Here'!$B$8))=1),1,0)</f>
        <v>0</v>
      </c>
      <c r="V10" s="24" t="n">
        <f aca="false">IF(AND(V$5&gt;=IF(I10="Core",C10,IF(I10="AI",Assumptions!$H$24,Assumptions!$H$25)),V$5&lt;=IF(I10="Core",D10,IF(I10="AI",Assumptions!$H$24,Assumptions!$H$25)+D10-C10),IF(I10="Core",1,IF(I10="AI",'Start Here'!$B$7,'Start Here'!$B$8))=1),1,0)</f>
        <v>0</v>
      </c>
      <c r="W10" s="24" t="n">
        <f aca="false">IF(AND(W$5&gt;=IF(I10="Core",C10,IF(I10="AI",Assumptions!$H$24,Assumptions!$H$25)),W$5&lt;=IF(I10="Core",D10,IF(I10="AI",Assumptions!$H$24,Assumptions!$H$25)+D10-C10),IF(I10="Core",1,IF(I10="AI",'Start Here'!$B$7,'Start Here'!$B$8))=1),1,0)</f>
        <v>0</v>
      </c>
      <c r="X10" s="24" t="n">
        <f aca="false">IF(AND(X$5&gt;=IF(I10="Core",C10,IF(I10="AI",Assumptions!$H$24,Assumptions!$H$25)),X$5&lt;=IF(I10="Core",D10,IF(I10="AI",Assumptions!$H$24,Assumptions!$H$25)+D10-C10),IF(I10="Core",1,IF(I10="AI",'Start Here'!$B$7,'Start Here'!$B$8))=1),1,0)</f>
        <v>0</v>
      </c>
      <c r="Y10" s="24" t="n">
        <f aca="false">IF(AND(Y$5&gt;=IF(I10="Core",C10,IF(I10="AI",Assumptions!$H$24,Assumptions!$H$25)),Y$5&lt;=IF(I10="Core",D10,IF(I10="AI",Assumptions!$H$24,Assumptions!$H$25)+D10-C10),IF(I10="Core",1,IF(I10="AI",'Start Here'!$B$7,'Start Here'!$B$8))=1),1,0)</f>
        <v>0</v>
      </c>
      <c r="Z10" s="24" t="n">
        <f aca="false">IF(AND(Z$5&gt;=IF(I10="Core",C10,IF(I10="AI",Assumptions!$H$24,Assumptions!$H$25)),Z$5&lt;=IF(I10="Core",D10,IF(I10="AI",Assumptions!$H$24,Assumptions!$H$25)+D10-C10),IF(I10="Core",1,IF(I10="AI",'Start Here'!$B$7,'Start Here'!$B$8))=1),1,0)</f>
        <v>1</v>
      </c>
      <c r="AA10" s="24" t="n">
        <f aca="false">IF(AND(AA$5&gt;=IF(I10="Core",C10,IF(I10="AI",Assumptions!$H$24,Assumptions!$H$25)),AA$5&lt;=IF(I10="Core",D10,IF(I10="AI",Assumptions!$H$24,Assumptions!$H$25)+D10-C10),IF(I10="Core",1,IF(I10="AI",'Start Here'!$B$7,'Start Here'!$B$8))=1),1,0)</f>
        <v>1</v>
      </c>
      <c r="AB10" s="24" t="n">
        <f aca="false">IF(AND(AB$5&gt;=IF(I10="Core",C10,IF(I10="AI",Assumptions!$H$24,Assumptions!$H$25)),AB$5&lt;=IF(I10="Core",D10,IF(I10="AI",Assumptions!$H$24,Assumptions!$H$25)+D10-C10),IF(I10="Core",1,IF(I10="AI",'Start Here'!$B$7,'Start Here'!$B$8))=1),1,0)</f>
        <v>1</v>
      </c>
      <c r="AC10" s="24" t="n">
        <f aca="false">IF(AND(AC$5&gt;=IF(I10="Core",C10,IF(I10="AI",Assumptions!$H$24,Assumptions!$H$25)),AC$5&lt;=IF(I10="Core",D10,IF(I10="AI",Assumptions!$H$24,Assumptions!$H$25)+D10-C10),IF(I10="Core",1,IF(I10="AI",'Start Here'!$B$7,'Start Here'!$B$8))=1),1,0)</f>
        <v>1</v>
      </c>
      <c r="AD10" s="24" t="n">
        <f aca="false">IF(AND(AD$5&gt;=IF(I10="Core",C10,IF(I10="AI",Assumptions!$H$24,Assumptions!$H$25)),AD$5&lt;=IF(I10="Core",D10,IF(I10="AI",Assumptions!$H$24,Assumptions!$H$25)+D10-C10),IF(I10="Core",1,IF(I10="AI",'Start Here'!$B$7,'Start Here'!$B$8))=1),1,0)</f>
        <v>1</v>
      </c>
      <c r="AE10" s="24" t="n">
        <f aca="false">IF(AND(AE$5&gt;=IF(I10="Core",C10,IF(I10="AI",Assumptions!$H$24,Assumptions!$H$25)),AE$5&lt;=IF(I10="Core",D10,IF(I10="AI",Assumptions!$H$24,Assumptions!$H$25)+D10-C10),IF(I10="Core",1,IF(I10="AI",'Start Here'!$B$7,'Start Here'!$B$8))=1),1,0)</f>
        <v>1</v>
      </c>
      <c r="AF10" s="24" t="n">
        <f aca="false">IF(AND(AF$5&gt;=IF(I10="Core",C10,IF(I10="AI",Assumptions!$H$24,Assumptions!$H$25)),AF$5&lt;=IF(I10="Core",D10,IF(I10="AI",Assumptions!$H$24,Assumptions!$H$25)+D10-C10),IF(I10="Core",1,IF(I10="AI",'Start Here'!$B$7,'Start Here'!$B$8))=1),1,0)</f>
        <v>1</v>
      </c>
      <c r="AG10" s="24" t="n">
        <f aca="false">IF(AND(AG$5&gt;=IF(I10="Core",C10,IF(I10="AI",Assumptions!$H$24,Assumptions!$H$25)),AG$5&lt;=IF(I10="Core",D10,IF(I10="AI",Assumptions!$H$24,Assumptions!$H$25)+D10-C10),IF(I10="Core",1,IF(I10="AI",'Start Here'!$B$7,'Start Here'!$B$8))=1),1,0)</f>
        <v>1</v>
      </c>
      <c r="AH10" s="24" t="n">
        <f aca="false">IF(AND(AH$5&gt;=IF(I10="Core",C10,IF(I10="AI",Assumptions!$H$24,Assumptions!$H$25)),AH$5&lt;=IF(I10="Core",D10,IF(I10="AI",Assumptions!$H$24,Assumptions!$H$25)+D10-C10),IF(I10="Core",1,IF(I10="AI",'Start Here'!$B$7,'Start Here'!$B$8))=1),1,0)</f>
        <v>1</v>
      </c>
      <c r="AI10" s="24" t="n">
        <f aca="false">IF(AND(AI$5&gt;=IF(I10="Core",C10,IF(I10="AI",Assumptions!$H$24,Assumptions!$H$25)),AI$5&lt;=IF(I10="Core",D10,IF(I10="AI",Assumptions!$H$24,Assumptions!$H$25)+D10-C10),IF(I10="Core",1,IF(I10="AI",'Start Here'!$B$7,'Start Here'!$B$8))=1),1,0)</f>
        <v>0</v>
      </c>
      <c r="AJ10" s="24" t="n">
        <f aca="false">IF(AND(AJ$5&gt;=IF(I10="Core",C10,IF(I10="AI",Assumptions!$H$24,Assumptions!$H$25)),AJ$5&lt;=IF(I10="Core",D10,IF(I10="AI",Assumptions!$H$24,Assumptions!$H$25)+D10-C10),IF(I10="Core",1,IF(I10="AI",'Start Here'!$B$7,'Start Here'!$B$8))=1),1,0)</f>
        <v>0</v>
      </c>
      <c r="AK10" s="24" t="n">
        <f aca="false">IF(AND(AK$5&gt;=IF(I10="Core",C10,IF(I10="AI",Assumptions!$H$24,Assumptions!$H$25)),AK$5&lt;=IF(I10="Core",D10,IF(I10="AI",Assumptions!$H$24,Assumptions!$H$25)+D10-C10),IF(I10="Core",1,IF(I10="AI",'Start Here'!$B$7,'Start Here'!$B$8))=1),1,0)</f>
        <v>0</v>
      </c>
      <c r="AL10" s="24" t="n">
        <f aca="false">IF(AND(AL$5&gt;=IF(I10="Core",C10,IF(I10="AI",Assumptions!$H$24,Assumptions!$H$25)),AL$5&lt;=IF(I10="Core",D10,IF(I10="AI",Assumptions!$H$24,Assumptions!$H$25)+D10-C10),IF(I10="Core",1,IF(I10="AI",'Start Here'!$B$7,'Start Here'!$B$8))=1),1,0)</f>
        <v>0</v>
      </c>
      <c r="AM10" s="24" t="n">
        <f aca="false">IF(AND(AM$5&gt;=IF(I10="Core",C10,IF(I10="AI",Assumptions!$H$24,Assumptions!$H$25)),AM$5&lt;=IF(I10="Core",D10,IF(I10="AI",Assumptions!$H$24,Assumptions!$H$25)+D10-C10),IF(I10="Core",1,IF(I10="AI",'Start Here'!$B$7,'Start Here'!$B$8))=1),1,0)</f>
        <v>0</v>
      </c>
      <c r="AN10" s="24" t="n">
        <f aca="false">IF(AND(AN$5&gt;=IF(I10="Core",C10,IF(I10="AI",Assumptions!$H$24,Assumptions!$H$25)),AN$5&lt;=IF(I10="Core",D10,IF(I10="AI",Assumptions!$H$24,Assumptions!$H$25)+D10-C10),IF(I10="Core",1,IF(I10="AI",'Start Here'!$B$7,'Start Here'!$B$8))=1),1,0)</f>
        <v>0</v>
      </c>
      <c r="AO10" s="24" t="n">
        <f aca="false">IF(AND(AO$5&gt;=IF(I10="Core",C10,IF(I10="AI",Assumptions!$H$24,Assumptions!$H$25)),AO$5&lt;=IF(I10="Core",D10,IF(I10="AI",Assumptions!$H$24,Assumptions!$H$25)+D10-C10),IF(I10="Core",1,IF(I10="AI",'Start Here'!$B$7,'Start Here'!$B$8))=1),1,0)</f>
        <v>0</v>
      </c>
      <c r="AP10" s="24" t="n">
        <f aca="false">IF(AND(AP$5&gt;=IF(I10="Core",C10,IF(I10="AI",Assumptions!$H$24,Assumptions!$H$25)),AP$5&lt;=IF(I10="Core",D10,IF(I10="AI",Assumptions!$H$24,Assumptions!$H$25)+D10-C10),IF(I10="Core",1,IF(I10="AI",'Start Here'!$B$7,'Start Here'!$B$8))=1),1,0)</f>
        <v>0</v>
      </c>
      <c r="AQ10" s="24" t="n">
        <f aca="false">IF(AND(AQ$5&gt;=IF(I10="Core",C10,IF(I10="AI",Assumptions!$H$24,Assumptions!$H$25)),AQ$5&lt;=IF(I10="Core",D10,IF(I10="AI",Assumptions!$H$24,Assumptions!$H$25)+D10-C10),IF(I10="Core",1,IF(I10="AI",'Start Here'!$B$7,'Start Here'!$B$8))=1),1,0)</f>
        <v>0</v>
      </c>
      <c r="AR10" s="24" t="n">
        <f aca="false">IF(AND(AR$5&gt;=IF(I10="Core",C10,IF(I10="AI",Assumptions!$H$24,Assumptions!$H$25)),AR$5&lt;=IF(I10="Core",D10,IF(I10="AI",Assumptions!$H$24,Assumptions!$H$25)+D10-C10),IF(I10="Core",1,IF(I10="AI",'Start Here'!$B$7,'Start Here'!$B$8))=1),1,0)</f>
        <v>0</v>
      </c>
      <c r="AS10" s="24" t="n">
        <f aca="false">IF(AND(AS$5&gt;=IF(I10="Core",C10,IF(I10="AI",Assumptions!$H$24,Assumptions!$H$25)),AS$5&lt;=IF(I10="Core",D10,IF(I10="AI",Assumptions!$H$24,Assumptions!$H$25)+D10-C10),IF(I10="Core",1,IF(I10="AI",'Start Here'!$B$7,'Start Here'!$B$8))=1),1,0)</f>
        <v>0</v>
      </c>
      <c r="AT10" s="24" t="n">
        <f aca="false">IF(AND(AT$5&gt;=IF(I10="Core",C10,IF(I10="AI",Assumptions!$H$24,Assumptions!$H$25)),AT$5&lt;=IF(I10="Core",D10,IF(I10="AI",Assumptions!$H$24,Assumptions!$H$25)+D10-C10),IF(I10="Core",1,IF(I10="AI",'Start Here'!$B$7,'Start Here'!$B$8))=1),1,0)</f>
        <v>0</v>
      </c>
      <c r="AU10" s="24" t="n">
        <f aca="false">IF(AND(AU$5&gt;=IF(I10="Core",C10,IF(I10="AI",Assumptions!$H$24,Assumptions!$H$25)),AU$5&lt;=IF(I10="Core",D10,IF(I10="AI",Assumptions!$H$24,Assumptions!$H$25)+D10-C10),IF(I10="Core",1,IF(I10="AI",'Start Here'!$B$7,'Start Here'!$B$8))=1),1,0)</f>
        <v>0</v>
      </c>
      <c r="AV10" s="24" t="n">
        <f aca="false">IF(AND(AV$5&gt;=IF(I10="Core",C10,IF(I10="AI",Assumptions!$H$24,Assumptions!$H$25)),AV$5&lt;=IF(I10="Core",D10,IF(I10="AI",Assumptions!$H$24,Assumptions!$H$25)+D10-C10),IF(I10="Core",1,IF(I10="AI",'Start Here'!$B$7,'Start Here'!$B$8))=1),1,0)</f>
        <v>0</v>
      </c>
      <c r="AW10" s="24" t="n">
        <f aca="false">IF(AND(AW$5&gt;=IF(I10="Core",C10,IF(I10="AI",Assumptions!$H$24,Assumptions!$H$25)),AW$5&lt;=IF(I10="Core",D10,IF(I10="AI",Assumptions!$H$24,Assumptions!$H$25)+D10-C10),IF(I10="Core",1,IF(I10="AI",'Start Here'!$B$7,'Start Here'!$B$8))=1),1,0)</f>
        <v>0</v>
      </c>
      <c r="AX10" s="24" t="n">
        <f aca="false">IF(AND(AX$5&gt;=IF(I10="Core",C10,IF(I10="AI",Assumptions!$H$24,Assumptions!$H$25)),AX$5&lt;=IF(I10="Core",D10,IF(I10="AI",Assumptions!$H$24,Assumptions!$H$25)+D10-C10),IF(I10="Core",1,IF(I10="AI",'Start Here'!$B$7,'Start Here'!$B$8))=1),1,0)</f>
        <v>0</v>
      </c>
      <c r="AY10" s="24" t="n">
        <f aca="false">IF(AND(AY$5&gt;=IF(I10="Core",C10,IF(I10="AI",Assumptions!$H$24,Assumptions!$H$25)),AY$5&lt;=IF(I10="Core",D10,IF(I10="AI",Assumptions!$H$24,Assumptions!$H$25)+D10-C10),IF(I10="Core",1,IF(I10="AI",'Start Here'!$B$7,'Start Here'!$B$8))=1),1,0)</f>
        <v>0</v>
      </c>
      <c r="AZ10" s="24" t="n">
        <f aca="false">IF(AND(AZ$5&gt;=IF(I10="Core",C10,IF(I10="AI",Assumptions!$H$24,Assumptions!$H$25)),AZ$5&lt;=IF(I10="Core",D10,IF(I10="AI",Assumptions!$H$24,Assumptions!$H$25)+D10-C10),IF(I10="Core",1,IF(I10="AI",'Start Here'!$B$7,'Start Here'!$B$8))=1),1,0)</f>
        <v>0</v>
      </c>
      <c r="BA10" s="24" t="n">
        <f aca="false">IF(AND(BA$5&gt;=IF(I10="Core",C10,IF(I10="AI",Assumptions!$H$24,Assumptions!$H$25)),BA$5&lt;=IF(I10="Core",D10,IF(I10="AI",Assumptions!$H$24,Assumptions!$H$25)+D10-C10),IF(I10="Core",1,IF(I10="AI",'Start Here'!$B$7,'Start Here'!$B$8))=1),1,0)</f>
        <v>0</v>
      </c>
      <c r="BB10" s="24" t="n">
        <f aca="false">IF(AND(BB$5&gt;=IF(I10="Core",C10,IF(I10="AI",Assumptions!$H$24,Assumptions!$H$25)),BB$5&lt;=IF(I10="Core",D10,IF(I10="AI",Assumptions!$H$24,Assumptions!$H$25)+D10-C10),IF(I10="Core",1,IF(I10="AI",'Start Here'!$B$7,'Start Here'!$B$8))=1),1,0)</f>
        <v>0</v>
      </c>
      <c r="BC10" s="24" t="n">
        <f aca="false">IF(AND(BC$5&gt;=IF(I10="Core",C10,IF(I10="AI",Assumptions!$H$24,Assumptions!$H$25)),BC$5&lt;=IF(I10="Core",D10,IF(I10="AI",Assumptions!$H$24,Assumptions!$H$25)+D10-C10),IF(I10="Core",1,IF(I10="AI",'Start Here'!$B$7,'Start Here'!$B$8))=1),1,0)</f>
        <v>0</v>
      </c>
      <c r="BD10" s="24" t="n">
        <f aca="false">IF(AND(BD$5&gt;=IF(I10="Core",C10,IF(I10="AI",Assumptions!$H$24,Assumptions!$H$25)),BD$5&lt;=IF(I10="Core",D10,IF(I10="AI",Assumptions!$H$24,Assumptions!$H$25)+D10-C10),IF(I10="Core",1,IF(I10="AI",'Start Here'!$B$7,'Start Here'!$B$8))=1),1,0)</f>
        <v>0</v>
      </c>
      <c r="BE10" s="24" t="n">
        <f aca="false">IF(AND(BE$5&gt;=IF(I10="Core",C10,IF(I10="AI",Assumptions!$H$24,Assumptions!$H$25)),BE$5&lt;=IF(I10="Core",D10,IF(I10="AI",Assumptions!$H$24,Assumptions!$H$25)+D10-C10),IF(I10="Core",1,IF(I10="AI",'Start Here'!$B$7,'Start Here'!$B$8))=1),1,0)</f>
        <v>0</v>
      </c>
      <c r="BF10" s="24" t="n">
        <f aca="false">IF(AND(BF$5&gt;=IF(I10="Core",C10,IF(I10="AI",Assumptions!$H$24,Assumptions!$H$25)),BF$5&lt;=IF(I10="Core",D10,IF(I10="AI",Assumptions!$H$24,Assumptions!$H$25)+D10-C10),IF(I10="Core",1,IF(I10="AI",'Start Here'!$B$7,'Start Here'!$B$8))=1),1,0)</f>
        <v>0</v>
      </c>
      <c r="BG10" s="24" t="n">
        <f aca="false">IF(AND(BG$5&gt;=IF(I10="Core",C10,IF(I10="AI",Assumptions!$H$24,Assumptions!$H$25)),BG$5&lt;=IF(I10="Core",D10,IF(I10="AI",Assumptions!$H$24,Assumptions!$H$25)+D10-C10),IF(I10="Core",1,IF(I10="AI",'Start Here'!$B$7,'Start Here'!$B$8))=1),1,0)</f>
        <v>0</v>
      </c>
      <c r="BH10" s="24" t="n">
        <f aca="false">IF(AND(BH$5&gt;=IF(I10="Core",C10,IF(I10="AI",Assumptions!$H$24,Assumptions!$H$25)),BH$5&lt;=IF(I10="Core",D10,IF(I10="AI",Assumptions!$H$24,Assumptions!$H$25)+D10-C10),IF(I10="Core",1,IF(I10="AI",'Start Here'!$B$7,'Start Here'!$B$8))=1),1,0)</f>
        <v>0</v>
      </c>
      <c r="BI10" s="24" t="n">
        <f aca="false">IF(AND(BI$5&gt;=IF(I10="Core",C10,IF(I10="AI",Assumptions!$H$24,Assumptions!$H$25)),BI$5&lt;=IF(I10="Core",D10,IF(I10="AI",Assumptions!$H$24,Assumptions!$H$25)+D10-C10),IF(I10="Core",1,IF(I10="AI",'Start Here'!$B$7,'Start Here'!$B$8))=1),1,0)</f>
        <v>0</v>
      </c>
      <c r="BJ10" s="24" t="n">
        <f aca="false">IF(AND(BJ$5&gt;=IF(I10="Core",C10,IF(I10="AI",Assumptions!$H$24,Assumptions!$H$25)),BJ$5&lt;=IF(I10="Core",D10,IF(I10="AI",Assumptions!$H$24,Assumptions!$H$25)+D10-C10),IF(I10="Core",1,IF(I10="AI",'Start Here'!$B$7,'Start Here'!$B$8))=1),1,0)</f>
        <v>0</v>
      </c>
      <c r="BK10" s="24" t="n">
        <f aca="false">IF(AND(BK$5&gt;=IF(I10="Core",C10,IF(I10="AI",Assumptions!$H$24,Assumptions!$H$25)),BK$5&lt;=IF(I10="Core",D10,IF(I10="AI",Assumptions!$H$24,Assumptions!$H$25)+D10-C10),IF(I10="Core",1,IF(I10="AI",'Start Here'!$B$7,'Start Here'!$B$8))=1),1,0)</f>
        <v>0</v>
      </c>
      <c r="BL10" s="24" t="n">
        <f aca="false">IF(AND(BL$5&gt;=IF(I10="Core",C10,IF(I10="AI",Assumptions!$H$24,Assumptions!$H$25)),BL$5&lt;=IF(I10="Core",D10,IF(I10="AI",Assumptions!$H$24,Assumptions!$H$25)+D10-C10),IF(I10="Core",1,IF(I10="AI",'Start Here'!$B$7,'Start Here'!$B$8))=1),1,0)</f>
        <v>0</v>
      </c>
      <c r="BM10" s="24" t="n">
        <f aca="false">IF(AND(BM$5&gt;=IF(I10="Core",C10,IF(I10="AI",Assumptions!$H$24,Assumptions!$H$25)),BM$5&lt;=IF(I10="Core",D10,IF(I10="AI",Assumptions!$H$24,Assumptions!$H$25)+D10-C10),IF(I10="Core",1,IF(I10="AI",'Start Here'!$B$7,'Start Here'!$B$8))=1),1,0)</f>
        <v>0</v>
      </c>
      <c r="BN10" s="24" t="n">
        <f aca="false">IF(AND(BN$5&gt;=IF(I10="Core",C10,IF(I10="AI",Assumptions!$H$24,Assumptions!$H$25)),BN$5&lt;=IF(I10="Core",D10,IF(I10="AI",Assumptions!$H$24,Assumptions!$H$25)+D10-C10),IF(I10="Core",1,IF(I10="AI",'Start Here'!$B$7,'Start Here'!$B$8))=1),1,0)</f>
        <v>0</v>
      </c>
      <c r="BO10" s="24" t="n">
        <f aca="false">IF(AND(BO$5&gt;=IF(I10="Core",C10,IF(I10="AI",Assumptions!$H$24,Assumptions!$H$25)),BO$5&lt;=IF(I10="Core",D10,IF(I10="AI",Assumptions!$H$24,Assumptions!$H$25)+D10-C10),IF(I10="Core",1,IF(I10="AI",'Start Here'!$B$7,'Start Here'!$B$8))=1),1,0)</f>
        <v>0</v>
      </c>
      <c r="BP10" s="24" t="n">
        <f aca="false">IF(AND(BP$5&gt;=IF(I10="Core",C10,IF(I10="AI",Assumptions!$H$24,Assumptions!$H$25)),BP$5&lt;=IF(I10="Core",D10,IF(I10="AI",Assumptions!$H$24,Assumptions!$H$25)+D10-C10),IF(I10="Core",1,IF(I10="AI",'Start Here'!$B$7,'Start Here'!$B$8))=1),1,0)</f>
        <v>0</v>
      </c>
      <c r="BQ10" s="24" t="n">
        <f aca="false">IF(AND(BQ$5&gt;=IF(I10="Core",C10,IF(I10="AI",Assumptions!$H$24,Assumptions!$H$25)),BQ$5&lt;=IF(I10="Core",D10,IF(I10="AI",Assumptions!$H$24,Assumptions!$H$25)+D10-C10),IF(I10="Core",1,IF(I10="AI",'Start Here'!$B$7,'Start Here'!$B$8))=1),1,0)</f>
        <v>0</v>
      </c>
      <c r="BR10" s="24" t="n">
        <f aca="false">IF(AND(BR$5&gt;=IF(I10="Core",C10,IF(I10="AI",Assumptions!$H$24,Assumptions!$H$25)),BR$5&lt;=IF(I10="Core",D10,IF(I10="AI",Assumptions!$H$24,Assumptions!$H$25)+D10-C10),IF(I10="Core",1,IF(I10="AI",'Start Here'!$B$7,'Start Here'!$B$8))=1),1,0)</f>
        <v>0</v>
      </c>
    </row>
    <row r="11" customFormat="false" ht="99.75" hidden="false" customHeight="true" outlineLevel="0" collapsed="false">
      <c r="A11" s="6" t="s">
        <v>886</v>
      </c>
      <c r="B11" s="6" t="s">
        <v>887</v>
      </c>
      <c r="C11" s="6" t="n">
        <v>25</v>
      </c>
      <c r="D11" s="6" t="n">
        <v>60</v>
      </c>
      <c r="E11" s="6" t="s">
        <v>888</v>
      </c>
      <c r="F11" s="6" t="s">
        <v>889</v>
      </c>
      <c r="G11" s="6" t="s">
        <v>890</v>
      </c>
      <c r="H11" s="6" t="s">
        <v>891</v>
      </c>
      <c r="I11" s="6" t="s">
        <v>328</v>
      </c>
      <c r="J11" s="6" t="s">
        <v>892</v>
      </c>
      <c r="K11" s="24" t="n">
        <f aca="false">IF(AND(K$5&gt;=IF(I11="Core",C11,IF(I11="AI",Assumptions!$H$24,Assumptions!$H$25)),K$5&lt;=IF(I11="Core",D11,IF(I11="AI",Assumptions!$H$24,Assumptions!$H$25)+D11-C11),IF(I11="Core",1,IF(I11="AI",'Start Here'!$B$7,'Start Here'!$B$8))=1),1,0)</f>
        <v>0</v>
      </c>
      <c r="L11" s="24" t="n">
        <f aca="false">IF(AND(L$5&gt;=IF(I11="Core",C11,IF(I11="AI",Assumptions!$H$24,Assumptions!$H$25)),L$5&lt;=IF(I11="Core",D11,IF(I11="AI",Assumptions!$H$24,Assumptions!$H$25)+D11-C11),IF(I11="Core",1,IF(I11="AI",'Start Here'!$B$7,'Start Here'!$B$8))=1),1,0)</f>
        <v>0</v>
      </c>
      <c r="M11" s="24" t="n">
        <f aca="false">IF(AND(M$5&gt;=IF(I11="Core",C11,IF(I11="AI",Assumptions!$H$24,Assumptions!$H$25)),M$5&lt;=IF(I11="Core",D11,IF(I11="AI",Assumptions!$H$24,Assumptions!$H$25)+D11-C11),IF(I11="Core",1,IF(I11="AI",'Start Here'!$B$7,'Start Here'!$B$8))=1),1,0)</f>
        <v>0</v>
      </c>
      <c r="N11" s="24" t="n">
        <f aca="false">IF(AND(N$5&gt;=IF(I11="Core",C11,IF(I11="AI",Assumptions!$H$24,Assumptions!$H$25)),N$5&lt;=IF(I11="Core",D11,IF(I11="AI",Assumptions!$H$24,Assumptions!$H$25)+D11-C11),IF(I11="Core",1,IF(I11="AI",'Start Here'!$B$7,'Start Here'!$B$8))=1),1,0)</f>
        <v>0</v>
      </c>
      <c r="O11" s="24" t="n">
        <f aca="false">IF(AND(O$5&gt;=IF(I11="Core",C11,IF(I11="AI",Assumptions!$H$24,Assumptions!$H$25)),O$5&lt;=IF(I11="Core",D11,IF(I11="AI",Assumptions!$H$24,Assumptions!$H$25)+D11-C11),IF(I11="Core",1,IF(I11="AI",'Start Here'!$B$7,'Start Here'!$B$8))=1),1,0)</f>
        <v>0</v>
      </c>
      <c r="P11" s="24" t="n">
        <f aca="false">IF(AND(P$5&gt;=IF(I11="Core",C11,IF(I11="AI",Assumptions!$H$24,Assumptions!$H$25)),P$5&lt;=IF(I11="Core",D11,IF(I11="AI",Assumptions!$H$24,Assumptions!$H$25)+D11-C11),IF(I11="Core",1,IF(I11="AI",'Start Here'!$B$7,'Start Here'!$B$8))=1),1,0)</f>
        <v>0</v>
      </c>
      <c r="Q11" s="24" t="n">
        <f aca="false">IF(AND(Q$5&gt;=IF(I11="Core",C11,IF(I11="AI",Assumptions!$H$24,Assumptions!$H$25)),Q$5&lt;=IF(I11="Core",D11,IF(I11="AI",Assumptions!$H$24,Assumptions!$H$25)+D11-C11),IF(I11="Core",1,IF(I11="AI",'Start Here'!$B$7,'Start Here'!$B$8))=1),1,0)</f>
        <v>0</v>
      </c>
      <c r="R11" s="24" t="n">
        <f aca="false">IF(AND(R$5&gt;=IF(I11="Core",C11,IF(I11="AI",Assumptions!$H$24,Assumptions!$H$25)),R$5&lt;=IF(I11="Core",D11,IF(I11="AI",Assumptions!$H$24,Assumptions!$H$25)+D11-C11),IF(I11="Core",1,IF(I11="AI",'Start Here'!$B$7,'Start Here'!$B$8))=1),1,0)</f>
        <v>0</v>
      </c>
      <c r="S11" s="24" t="n">
        <f aca="false">IF(AND(S$5&gt;=IF(I11="Core",C11,IF(I11="AI",Assumptions!$H$24,Assumptions!$H$25)),S$5&lt;=IF(I11="Core",D11,IF(I11="AI",Assumptions!$H$24,Assumptions!$H$25)+D11-C11),IF(I11="Core",1,IF(I11="AI",'Start Here'!$B$7,'Start Here'!$B$8))=1),1,0)</f>
        <v>0</v>
      </c>
      <c r="T11" s="24" t="n">
        <f aca="false">IF(AND(T$5&gt;=IF(I11="Core",C11,IF(I11="AI",Assumptions!$H$24,Assumptions!$H$25)),T$5&lt;=IF(I11="Core",D11,IF(I11="AI",Assumptions!$H$24,Assumptions!$H$25)+D11-C11),IF(I11="Core",1,IF(I11="AI",'Start Here'!$B$7,'Start Here'!$B$8))=1),1,0)</f>
        <v>0</v>
      </c>
      <c r="U11" s="24" t="n">
        <f aca="false">IF(AND(U$5&gt;=IF(I11="Core",C11,IF(I11="AI",Assumptions!$H$24,Assumptions!$H$25)),U$5&lt;=IF(I11="Core",D11,IF(I11="AI",Assumptions!$H$24,Assumptions!$H$25)+D11-C11),IF(I11="Core",1,IF(I11="AI",'Start Here'!$B$7,'Start Here'!$B$8))=1),1,0)</f>
        <v>0</v>
      </c>
      <c r="V11" s="24" t="n">
        <f aca="false">IF(AND(V$5&gt;=IF(I11="Core",C11,IF(I11="AI",Assumptions!$H$24,Assumptions!$H$25)),V$5&lt;=IF(I11="Core",D11,IF(I11="AI",Assumptions!$H$24,Assumptions!$H$25)+D11-C11),IF(I11="Core",1,IF(I11="AI",'Start Here'!$B$7,'Start Here'!$B$8))=1),1,0)</f>
        <v>0</v>
      </c>
      <c r="W11" s="24" t="n">
        <f aca="false">IF(AND(W$5&gt;=IF(I11="Core",C11,IF(I11="AI",Assumptions!$H$24,Assumptions!$H$25)),W$5&lt;=IF(I11="Core",D11,IF(I11="AI",Assumptions!$H$24,Assumptions!$H$25)+D11-C11),IF(I11="Core",1,IF(I11="AI",'Start Here'!$B$7,'Start Here'!$B$8))=1),1,0)</f>
        <v>0</v>
      </c>
      <c r="X11" s="24" t="n">
        <f aca="false">IF(AND(X$5&gt;=IF(I11="Core",C11,IF(I11="AI",Assumptions!$H$24,Assumptions!$H$25)),X$5&lt;=IF(I11="Core",D11,IF(I11="AI",Assumptions!$H$24,Assumptions!$H$25)+D11-C11),IF(I11="Core",1,IF(I11="AI",'Start Here'!$B$7,'Start Here'!$B$8))=1),1,0)</f>
        <v>0</v>
      </c>
      <c r="Y11" s="24" t="n">
        <f aca="false">IF(AND(Y$5&gt;=IF(I11="Core",C11,IF(I11="AI",Assumptions!$H$24,Assumptions!$H$25)),Y$5&lt;=IF(I11="Core",D11,IF(I11="AI",Assumptions!$H$24,Assumptions!$H$25)+D11-C11),IF(I11="Core",1,IF(I11="AI",'Start Here'!$B$7,'Start Here'!$B$8))=1),1,0)</f>
        <v>0</v>
      </c>
      <c r="Z11" s="24" t="n">
        <f aca="false">IF(AND(Z$5&gt;=IF(I11="Core",C11,IF(I11="AI",Assumptions!$H$24,Assumptions!$H$25)),Z$5&lt;=IF(I11="Core",D11,IF(I11="AI",Assumptions!$H$24,Assumptions!$H$25)+D11-C11),IF(I11="Core",1,IF(I11="AI",'Start Here'!$B$7,'Start Here'!$B$8))=1),1,0)</f>
        <v>0</v>
      </c>
      <c r="AA11" s="24" t="n">
        <f aca="false">IF(AND(AA$5&gt;=IF(I11="Core",C11,IF(I11="AI",Assumptions!$H$24,Assumptions!$H$25)),AA$5&lt;=IF(I11="Core",D11,IF(I11="AI",Assumptions!$H$24,Assumptions!$H$25)+D11-C11),IF(I11="Core",1,IF(I11="AI",'Start Here'!$B$7,'Start Here'!$B$8))=1),1,0)</f>
        <v>0</v>
      </c>
      <c r="AB11" s="24" t="n">
        <f aca="false">IF(AND(AB$5&gt;=IF(I11="Core",C11,IF(I11="AI",Assumptions!$H$24,Assumptions!$H$25)),AB$5&lt;=IF(I11="Core",D11,IF(I11="AI",Assumptions!$H$24,Assumptions!$H$25)+D11-C11),IF(I11="Core",1,IF(I11="AI",'Start Here'!$B$7,'Start Here'!$B$8))=1),1,0)</f>
        <v>0</v>
      </c>
      <c r="AC11" s="24" t="n">
        <f aca="false">IF(AND(AC$5&gt;=IF(I11="Core",C11,IF(I11="AI",Assumptions!$H$24,Assumptions!$H$25)),AC$5&lt;=IF(I11="Core",D11,IF(I11="AI",Assumptions!$H$24,Assumptions!$H$25)+D11-C11),IF(I11="Core",1,IF(I11="AI",'Start Here'!$B$7,'Start Here'!$B$8))=1),1,0)</f>
        <v>0</v>
      </c>
      <c r="AD11" s="24" t="n">
        <f aca="false">IF(AND(AD$5&gt;=IF(I11="Core",C11,IF(I11="AI",Assumptions!$H$24,Assumptions!$H$25)),AD$5&lt;=IF(I11="Core",D11,IF(I11="AI",Assumptions!$H$24,Assumptions!$H$25)+D11-C11),IF(I11="Core",1,IF(I11="AI",'Start Here'!$B$7,'Start Here'!$B$8))=1),1,0)</f>
        <v>0</v>
      </c>
      <c r="AE11" s="24" t="n">
        <f aca="false">IF(AND(AE$5&gt;=IF(I11="Core",C11,IF(I11="AI",Assumptions!$H$24,Assumptions!$H$25)),AE$5&lt;=IF(I11="Core",D11,IF(I11="AI",Assumptions!$H$24,Assumptions!$H$25)+D11-C11),IF(I11="Core",1,IF(I11="AI",'Start Here'!$B$7,'Start Here'!$B$8))=1),1,0)</f>
        <v>0</v>
      </c>
      <c r="AF11" s="24" t="n">
        <f aca="false">IF(AND(AF$5&gt;=IF(I11="Core",C11,IF(I11="AI",Assumptions!$H$24,Assumptions!$H$25)),AF$5&lt;=IF(I11="Core",D11,IF(I11="AI",Assumptions!$H$24,Assumptions!$H$25)+D11-C11),IF(I11="Core",1,IF(I11="AI",'Start Here'!$B$7,'Start Here'!$B$8))=1),1,0)</f>
        <v>0</v>
      </c>
      <c r="AG11" s="24" t="n">
        <f aca="false">IF(AND(AG$5&gt;=IF(I11="Core",C11,IF(I11="AI",Assumptions!$H$24,Assumptions!$H$25)),AG$5&lt;=IF(I11="Core",D11,IF(I11="AI",Assumptions!$H$24,Assumptions!$H$25)+D11-C11),IF(I11="Core",1,IF(I11="AI",'Start Here'!$B$7,'Start Here'!$B$8))=1),1,0)</f>
        <v>0</v>
      </c>
      <c r="AH11" s="24" t="n">
        <f aca="false">IF(AND(AH$5&gt;=IF(I11="Core",C11,IF(I11="AI",Assumptions!$H$24,Assumptions!$H$25)),AH$5&lt;=IF(I11="Core",D11,IF(I11="AI",Assumptions!$H$24,Assumptions!$H$25)+D11-C11),IF(I11="Core",1,IF(I11="AI",'Start Here'!$B$7,'Start Here'!$B$8))=1),1,0)</f>
        <v>0</v>
      </c>
      <c r="AI11" s="24" t="n">
        <f aca="false">IF(AND(AI$5&gt;=IF(I11="Core",C11,IF(I11="AI",Assumptions!$H$24,Assumptions!$H$25)),AI$5&lt;=IF(I11="Core",D11,IF(I11="AI",Assumptions!$H$24,Assumptions!$H$25)+D11-C11),IF(I11="Core",1,IF(I11="AI",'Start Here'!$B$7,'Start Here'!$B$8))=1),1,0)</f>
        <v>1</v>
      </c>
      <c r="AJ11" s="24" t="n">
        <f aca="false">IF(AND(AJ$5&gt;=IF(I11="Core",C11,IF(I11="AI",Assumptions!$H$24,Assumptions!$H$25)),AJ$5&lt;=IF(I11="Core",D11,IF(I11="AI",Assumptions!$H$24,Assumptions!$H$25)+D11-C11),IF(I11="Core",1,IF(I11="AI",'Start Here'!$B$7,'Start Here'!$B$8))=1),1,0)</f>
        <v>1</v>
      </c>
      <c r="AK11" s="24" t="n">
        <f aca="false">IF(AND(AK$5&gt;=IF(I11="Core",C11,IF(I11="AI",Assumptions!$H$24,Assumptions!$H$25)),AK$5&lt;=IF(I11="Core",D11,IF(I11="AI",Assumptions!$H$24,Assumptions!$H$25)+D11-C11),IF(I11="Core",1,IF(I11="AI",'Start Here'!$B$7,'Start Here'!$B$8))=1),1,0)</f>
        <v>1</v>
      </c>
      <c r="AL11" s="24" t="n">
        <f aca="false">IF(AND(AL$5&gt;=IF(I11="Core",C11,IF(I11="AI",Assumptions!$H$24,Assumptions!$H$25)),AL$5&lt;=IF(I11="Core",D11,IF(I11="AI",Assumptions!$H$24,Assumptions!$H$25)+D11-C11),IF(I11="Core",1,IF(I11="AI",'Start Here'!$B$7,'Start Here'!$B$8))=1),1,0)</f>
        <v>1</v>
      </c>
      <c r="AM11" s="24" t="n">
        <f aca="false">IF(AND(AM$5&gt;=IF(I11="Core",C11,IF(I11="AI",Assumptions!$H$24,Assumptions!$H$25)),AM$5&lt;=IF(I11="Core",D11,IF(I11="AI",Assumptions!$H$24,Assumptions!$H$25)+D11-C11),IF(I11="Core",1,IF(I11="AI",'Start Here'!$B$7,'Start Here'!$B$8))=1),1,0)</f>
        <v>1</v>
      </c>
      <c r="AN11" s="24" t="n">
        <f aca="false">IF(AND(AN$5&gt;=IF(I11="Core",C11,IF(I11="AI",Assumptions!$H$24,Assumptions!$H$25)),AN$5&lt;=IF(I11="Core",D11,IF(I11="AI",Assumptions!$H$24,Assumptions!$H$25)+D11-C11),IF(I11="Core",1,IF(I11="AI",'Start Here'!$B$7,'Start Here'!$B$8))=1),1,0)</f>
        <v>1</v>
      </c>
      <c r="AO11" s="24" t="n">
        <f aca="false">IF(AND(AO$5&gt;=IF(I11="Core",C11,IF(I11="AI",Assumptions!$H$24,Assumptions!$H$25)),AO$5&lt;=IF(I11="Core",D11,IF(I11="AI",Assumptions!$H$24,Assumptions!$H$25)+D11-C11),IF(I11="Core",1,IF(I11="AI",'Start Here'!$B$7,'Start Here'!$B$8))=1),1,0)</f>
        <v>1</v>
      </c>
      <c r="AP11" s="24" t="n">
        <f aca="false">IF(AND(AP$5&gt;=IF(I11="Core",C11,IF(I11="AI",Assumptions!$H$24,Assumptions!$H$25)),AP$5&lt;=IF(I11="Core",D11,IF(I11="AI",Assumptions!$H$24,Assumptions!$H$25)+D11-C11),IF(I11="Core",1,IF(I11="AI",'Start Here'!$B$7,'Start Here'!$B$8))=1),1,0)</f>
        <v>1</v>
      </c>
      <c r="AQ11" s="24" t="n">
        <f aca="false">IF(AND(AQ$5&gt;=IF(I11="Core",C11,IF(I11="AI",Assumptions!$H$24,Assumptions!$H$25)),AQ$5&lt;=IF(I11="Core",D11,IF(I11="AI",Assumptions!$H$24,Assumptions!$H$25)+D11-C11),IF(I11="Core",1,IF(I11="AI",'Start Here'!$B$7,'Start Here'!$B$8))=1),1,0)</f>
        <v>1</v>
      </c>
      <c r="AR11" s="24" t="n">
        <f aca="false">IF(AND(AR$5&gt;=IF(I11="Core",C11,IF(I11="AI",Assumptions!$H$24,Assumptions!$H$25)),AR$5&lt;=IF(I11="Core",D11,IF(I11="AI",Assumptions!$H$24,Assumptions!$H$25)+D11-C11),IF(I11="Core",1,IF(I11="AI",'Start Here'!$B$7,'Start Here'!$B$8))=1),1,0)</f>
        <v>1</v>
      </c>
      <c r="AS11" s="24" t="n">
        <f aca="false">IF(AND(AS$5&gt;=IF(I11="Core",C11,IF(I11="AI",Assumptions!$H$24,Assumptions!$H$25)),AS$5&lt;=IF(I11="Core",D11,IF(I11="AI",Assumptions!$H$24,Assumptions!$H$25)+D11-C11),IF(I11="Core",1,IF(I11="AI",'Start Here'!$B$7,'Start Here'!$B$8))=1),1,0)</f>
        <v>1</v>
      </c>
      <c r="AT11" s="24" t="n">
        <f aca="false">IF(AND(AT$5&gt;=IF(I11="Core",C11,IF(I11="AI",Assumptions!$H$24,Assumptions!$H$25)),AT$5&lt;=IF(I11="Core",D11,IF(I11="AI",Assumptions!$H$24,Assumptions!$H$25)+D11-C11),IF(I11="Core",1,IF(I11="AI",'Start Here'!$B$7,'Start Here'!$B$8))=1),1,0)</f>
        <v>1</v>
      </c>
      <c r="AU11" s="24" t="n">
        <f aca="false">IF(AND(AU$5&gt;=IF(I11="Core",C11,IF(I11="AI",Assumptions!$H$24,Assumptions!$H$25)),AU$5&lt;=IF(I11="Core",D11,IF(I11="AI",Assumptions!$H$24,Assumptions!$H$25)+D11-C11),IF(I11="Core",1,IF(I11="AI",'Start Here'!$B$7,'Start Here'!$B$8))=1),1,0)</f>
        <v>1</v>
      </c>
      <c r="AV11" s="24" t="n">
        <f aca="false">IF(AND(AV$5&gt;=IF(I11="Core",C11,IF(I11="AI",Assumptions!$H$24,Assumptions!$H$25)),AV$5&lt;=IF(I11="Core",D11,IF(I11="AI",Assumptions!$H$24,Assumptions!$H$25)+D11-C11),IF(I11="Core",1,IF(I11="AI",'Start Here'!$B$7,'Start Here'!$B$8))=1),1,0)</f>
        <v>1</v>
      </c>
      <c r="AW11" s="24" t="n">
        <f aca="false">IF(AND(AW$5&gt;=IF(I11="Core",C11,IF(I11="AI",Assumptions!$H$24,Assumptions!$H$25)),AW$5&lt;=IF(I11="Core",D11,IF(I11="AI",Assumptions!$H$24,Assumptions!$H$25)+D11-C11),IF(I11="Core",1,IF(I11="AI",'Start Here'!$B$7,'Start Here'!$B$8))=1),1,0)</f>
        <v>1</v>
      </c>
      <c r="AX11" s="24" t="n">
        <f aca="false">IF(AND(AX$5&gt;=IF(I11="Core",C11,IF(I11="AI",Assumptions!$H$24,Assumptions!$H$25)),AX$5&lt;=IF(I11="Core",D11,IF(I11="AI",Assumptions!$H$24,Assumptions!$H$25)+D11-C11),IF(I11="Core",1,IF(I11="AI",'Start Here'!$B$7,'Start Here'!$B$8))=1),1,0)</f>
        <v>1</v>
      </c>
      <c r="AY11" s="24" t="n">
        <f aca="false">IF(AND(AY$5&gt;=IF(I11="Core",C11,IF(I11="AI",Assumptions!$H$24,Assumptions!$H$25)),AY$5&lt;=IF(I11="Core",D11,IF(I11="AI",Assumptions!$H$24,Assumptions!$H$25)+D11-C11),IF(I11="Core",1,IF(I11="AI",'Start Here'!$B$7,'Start Here'!$B$8))=1),1,0)</f>
        <v>1</v>
      </c>
      <c r="AZ11" s="24" t="n">
        <f aca="false">IF(AND(AZ$5&gt;=IF(I11="Core",C11,IF(I11="AI",Assumptions!$H$24,Assumptions!$H$25)),AZ$5&lt;=IF(I11="Core",D11,IF(I11="AI",Assumptions!$H$24,Assumptions!$H$25)+D11-C11),IF(I11="Core",1,IF(I11="AI",'Start Here'!$B$7,'Start Here'!$B$8))=1),1,0)</f>
        <v>1</v>
      </c>
      <c r="BA11" s="24" t="n">
        <f aca="false">IF(AND(BA$5&gt;=IF(I11="Core",C11,IF(I11="AI",Assumptions!$H$24,Assumptions!$H$25)),BA$5&lt;=IF(I11="Core",D11,IF(I11="AI",Assumptions!$H$24,Assumptions!$H$25)+D11-C11),IF(I11="Core",1,IF(I11="AI",'Start Here'!$B$7,'Start Here'!$B$8))=1),1,0)</f>
        <v>1</v>
      </c>
      <c r="BB11" s="24" t="n">
        <f aca="false">IF(AND(BB$5&gt;=IF(I11="Core",C11,IF(I11="AI",Assumptions!$H$24,Assumptions!$H$25)),BB$5&lt;=IF(I11="Core",D11,IF(I11="AI",Assumptions!$H$24,Assumptions!$H$25)+D11-C11),IF(I11="Core",1,IF(I11="AI",'Start Here'!$B$7,'Start Here'!$B$8))=1),1,0)</f>
        <v>1</v>
      </c>
      <c r="BC11" s="24" t="n">
        <f aca="false">IF(AND(BC$5&gt;=IF(I11="Core",C11,IF(I11="AI",Assumptions!$H$24,Assumptions!$H$25)),BC$5&lt;=IF(I11="Core",D11,IF(I11="AI",Assumptions!$H$24,Assumptions!$H$25)+D11-C11),IF(I11="Core",1,IF(I11="AI",'Start Here'!$B$7,'Start Here'!$B$8))=1),1,0)</f>
        <v>1</v>
      </c>
      <c r="BD11" s="24" t="n">
        <f aca="false">IF(AND(BD$5&gt;=IF(I11="Core",C11,IF(I11="AI",Assumptions!$H$24,Assumptions!$H$25)),BD$5&lt;=IF(I11="Core",D11,IF(I11="AI",Assumptions!$H$24,Assumptions!$H$25)+D11-C11),IF(I11="Core",1,IF(I11="AI",'Start Here'!$B$7,'Start Here'!$B$8))=1),1,0)</f>
        <v>1</v>
      </c>
      <c r="BE11" s="24" t="n">
        <f aca="false">IF(AND(BE$5&gt;=IF(I11="Core",C11,IF(I11="AI",Assumptions!$H$24,Assumptions!$H$25)),BE$5&lt;=IF(I11="Core",D11,IF(I11="AI",Assumptions!$H$24,Assumptions!$H$25)+D11-C11),IF(I11="Core",1,IF(I11="AI",'Start Here'!$B$7,'Start Here'!$B$8))=1),1,0)</f>
        <v>1</v>
      </c>
      <c r="BF11" s="24" t="n">
        <f aca="false">IF(AND(BF$5&gt;=IF(I11="Core",C11,IF(I11="AI",Assumptions!$H$24,Assumptions!$H$25)),BF$5&lt;=IF(I11="Core",D11,IF(I11="AI",Assumptions!$H$24,Assumptions!$H$25)+D11-C11),IF(I11="Core",1,IF(I11="AI",'Start Here'!$B$7,'Start Here'!$B$8))=1),1,0)</f>
        <v>1</v>
      </c>
      <c r="BG11" s="24" t="n">
        <f aca="false">IF(AND(BG$5&gt;=IF(I11="Core",C11,IF(I11="AI",Assumptions!$H$24,Assumptions!$H$25)),BG$5&lt;=IF(I11="Core",D11,IF(I11="AI",Assumptions!$H$24,Assumptions!$H$25)+D11-C11),IF(I11="Core",1,IF(I11="AI",'Start Here'!$B$7,'Start Here'!$B$8))=1),1,0)</f>
        <v>1</v>
      </c>
      <c r="BH11" s="24" t="n">
        <f aca="false">IF(AND(BH$5&gt;=IF(I11="Core",C11,IF(I11="AI",Assumptions!$H$24,Assumptions!$H$25)),BH$5&lt;=IF(I11="Core",D11,IF(I11="AI",Assumptions!$H$24,Assumptions!$H$25)+D11-C11),IF(I11="Core",1,IF(I11="AI",'Start Here'!$B$7,'Start Here'!$B$8))=1),1,0)</f>
        <v>1</v>
      </c>
      <c r="BI11" s="24" t="n">
        <f aca="false">IF(AND(BI$5&gt;=IF(I11="Core",C11,IF(I11="AI",Assumptions!$H$24,Assumptions!$H$25)),BI$5&lt;=IF(I11="Core",D11,IF(I11="AI",Assumptions!$H$24,Assumptions!$H$25)+D11-C11),IF(I11="Core",1,IF(I11="AI",'Start Here'!$B$7,'Start Here'!$B$8))=1),1,0)</f>
        <v>1</v>
      </c>
      <c r="BJ11" s="24" t="n">
        <f aca="false">IF(AND(BJ$5&gt;=IF(I11="Core",C11,IF(I11="AI",Assumptions!$H$24,Assumptions!$H$25)),BJ$5&lt;=IF(I11="Core",D11,IF(I11="AI",Assumptions!$H$24,Assumptions!$H$25)+D11-C11),IF(I11="Core",1,IF(I11="AI",'Start Here'!$B$7,'Start Here'!$B$8))=1),1,0)</f>
        <v>1</v>
      </c>
      <c r="BK11" s="24" t="n">
        <f aca="false">IF(AND(BK$5&gt;=IF(I11="Core",C11,IF(I11="AI",Assumptions!$H$24,Assumptions!$H$25)),BK$5&lt;=IF(I11="Core",D11,IF(I11="AI",Assumptions!$H$24,Assumptions!$H$25)+D11-C11),IF(I11="Core",1,IF(I11="AI",'Start Here'!$B$7,'Start Here'!$B$8))=1),1,0)</f>
        <v>1</v>
      </c>
      <c r="BL11" s="24" t="n">
        <f aca="false">IF(AND(BL$5&gt;=IF(I11="Core",C11,IF(I11="AI",Assumptions!$H$24,Assumptions!$H$25)),BL$5&lt;=IF(I11="Core",D11,IF(I11="AI",Assumptions!$H$24,Assumptions!$H$25)+D11-C11),IF(I11="Core",1,IF(I11="AI",'Start Here'!$B$7,'Start Here'!$B$8))=1),1,0)</f>
        <v>1</v>
      </c>
      <c r="BM11" s="24" t="n">
        <f aca="false">IF(AND(BM$5&gt;=IF(I11="Core",C11,IF(I11="AI",Assumptions!$H$24,Assumptions!$H$25)),BM$5&lt;=IF(I11="Core",D11,IF(I11="AI",Assumptions!$H$24,Assumptions!$H$25)+D11-C11),IF(I11="Core",1,IF(I11="AI",'Start Here'!$B$7,'Start Here'!$B$8))=1),1,0)</f>
        <v>1</v>
      </c>
      <c r="BN11" s="24" t="n">
        <f aca="false">IF(AND(BN$5&gt;=IF(I11="Core",C11,IF(I11="AI",Assumptions!$H$24,Assumptions!$H$25)),BN$5&lt;=IF(I11="Core",D11,IF(I11="AI",Assumptions!$H$24,Assumptions!$H$25)+D11-C11),IF(I11="Core",1,IF(I11="AI",'Start Here'!$B$7,'Start Here'!$B$8))=1),1,0)</f>
        <v>1</v>
      </c>
      <c r="BO11" s="24" t="n">
        <f aca="false">IF(AND(BO$5&gt;=IF(I11="Core",C11,IF(I11="AI",Assumptions!$H$24,Assumptions!$H$25)),BO$5&lt;=IF(I11="Core",D11,IF(I11="AI",Assumptions!$H$24,Assumptions!$H$25)+D11-C11),IF(I11="Core",1,IF(I11="AI",'Start Here'!$B$7,'Start Here'!$B$8))=1),1,0)</f>
        <v>1</v>
      </c>
      <c r="BP11" s="24" t="n">
        <f aca="false">IF(AND(BP$5&gt;=IF(I11="Core",C11,IF(I11="AI",Assumptions!$H$24,Assumptions!$H$25)),BP$5&lt;=IF(I11="Core",D11,IF(I11="AI",Assumptions!$H$24,Assumptions!$H$25)+D11-C11),IF(I11="Core",1,IF(I11="AI",'Start Here'!$B$7,'Start Here'!$B$8))=1),1,0)</f>
        <v>1</v>
      </c>
      <c r="BQ11" s="24" t="n">
        <f aca="false">IF(AND(BQ$5&gt;=IF(I11="Core",C11,IF(I11="AI",Assumptions!$H$24,Assumptions!$H$25)),BQ$5&lt;=IF(I11="Core",D11,IF(I11="AI",Assumptions!$H$24,Assumptions!$H$25)+D11-C11),IF(I11="Core",1,IF(I11="AI",'Start Here'!$B$7,'Start Here'!$B$8))=1),1,0)</f>
        <v>1</v>
      </c>
      <c r="BR11" s="24" t="n">
        <f aca="false">IF(AND(BR$5&gt;=IF(I11="Core",C11,IF(I11="AI",Assumptions!$H$24,Assumptions!$H$25)),BR$5&lt;=IF(I11="Core",D11,IF(I11="AI",Assumptions!$H$24,Assumptions!$H$25)+D11-C11),IF(I11="Core",1,IF(I11="AI",'Start Here'!$B$7,'Start Here'!$B$8))=1),1,0)</f>
        <v>1</v>
      </c>
    </row>
    <row r="12" customFormat="false" ht="99.75" hidden="false" customHeight="true" outlineLevel="0" collapsed="false">
      <c r="A12" s="6" t="s">
        <v>893</v>
      </c>
      <c r="B12" s="6" t="s">
        <v>894</v>
      </c>
      <c r="C12" s="6" t="n">
        <v>16</v>
      </c>
      <c r="D12" s="6" t="n">
        <v>24</v>
      </c>
      <c r="E12" s="6" t="s">
        <v>895</v>
      </c>
      <c r="F12" s="6" t="s">
        <v>896</v>
      </c>
      <c r="G12" s="6" t="s">
        <v>897</v>
      </c>
      <c r="H12" s="6" t="s">
        <v>898</v>
      </c>
      <c r="I12" s="6" t="s">
        <v>59</v>
      </c>
      <c r="J12" s="6" t="s">
        <v>899</v>
      </c>
      <c r="K12" s="24" t="n">
        <f aca="false">IF(AND(K$5&gt;=IF(I12="Core",C12,IF(I12="AI",Assumptions!$H$24,Assumptions!$H$25)),K$5&lt;=IF(I12="Core",D12,IF(I12="AI",Assumptions!$H$24,Assumptions!$H$25)+D12-C12),IF(I12="Core",1,IF(I12="AI",'Start Here'!$B$7,'Start Here'!$B$8))=1),1,0)</f>
        <v>0</v>
      </c>
      <c r="L12" s="24" t="n">
        <f aca="false">IF(AND(L$5&gt;=IF(I12="Core",C12,IF(I12="AI",Assumptions!$H$24,Assumptions!$H$25)),L$5&lt;=IF(I12="Core",D12,IF(I12="AI",Assumptions!$H$24,Assumptions!$H$25)+D12-C12),IF(I12="Core",1,IF(I12="AI",'Start Here'!$B$7,'Start Here'!$B$8))=1),1,0)</f>
        <v>0</v>
      </c>
      <c r="M12" s="24" t="n">
        <f aca="false">IF(AND(M$5&gt;=IF(I12="Core",C12,IF(I12="AI",Assumptions!$H$24,Assumptions!$H$25)),M$5&lt;=IF(I12="Core",D12,IF(I12="AI",Assumptions!$H$24,Assumptions!$H$25)+D12-C12),IF(I12="Core",1,IF(I12="AI",'Start Here'!$B$7,'Start Here'!$B$8))=1),1,0)</f>
        <v>0</v>
      </c>
      <c r="N12" s="24" t="n">
        <f aca="false">IF(AND(N$5&gt;=IF(I12="Core",C12,IF(I12="AI",Assumptions!$H$24,Assumptions!$H$25)),N$5&lt;=IF(I12="Core",D12,IF(I12="AI",Assumptions!$H$24,Assumptions!$H$25)+D12-C12),IF(I12="Core",1,IF(I12="AI",'Start Here'!$B$7,'Start Here'!$B$8))=1),1,0)</f>
        <v>0</v>
      </c>
      <c r="O12" s="24" t="n">
        <f aca="false">IF(AND(O$5&gt;=IF(I12="Core",C12,IF(I12="AI",Assumptions!$H$24,Assumptions!$H$25)),O$5&lt;=IF(I12="Core",D12,IF(I12="AI",Assumptions!$H$24,Assumptions!$H$25)+D12-C12),IF(I12="Core",1,IF(I12="AI",'Start Here'!$B$7,'Start Here'!$B$8))=1),1,0)</f>
        <v>0</v>
      </c>
      <c r="P12" s="24" t="n">
        <f aca="false">IF(AND(P$5&gt;=IF(I12="Core",C12,IF(I12="AI",Assumptions!$H$24,Assumptions!$H$25)),P$5&lt;=IF(I12="Core",D12,IF(I12="AI",Assumptions!$H$24,Assumptions!$H$25)+D12-C12),IF(I12="Core",1,IF(I12="AI",'Start Here'!$B$7,'Start Here'!$B$8))=1),1,0)</f>
        <v>0</v>
      </c>
      <c r="Q12" s="24" t="n">
        <f aca="false">IF(AND(Q$5&gt;=IF(I12="Core",C12,IF(I12="AI",Assumptions!$H$24,Assumptions!$H$25)),Q$5&lt;=IF(I12="Core",D12,IF(I12="AI",Assumptions!$H$24,Assumptions!$H$25)+D12-C12),IF(I12="Core",1,IF(I12="AI",'Start Here'!$B$7,'Start Here'!$B$8))=1),1,0)</f>
        <v>0</v>
      </c>
      <c r="R12" s="24" t="n">
        <f aca="false">IF(AND(R$5&gt;=IF(I12="Core",C12,IF(I12="AI",Assumptions!$H$24,Assumptions!$H$25)),R$5&lt;=IF(I12="Core",D12,IF(I12="AI",Assumptions!$H$24,Assumptions!$H$25)+D12-C12),IF(I12="Core",1,IF(I12="AI",'Start Here'!$B$7,'Start Here'!$B$8))=1),1,0)</f>
        <v>0</v>
      </c>
      <c r="S12" s="24" t="n">
        <f aca="false">IF(AND(S$5&gt;=IF(I12="Core",C12,IF(I12="AI",Assumptions!$H$24,Assumptions!$H$25)),S$5&lt;=IF(I12="Core",D12,IF(I12="AI",Assumptions!$H$24,Assumptions!$H$25)+D12-C12),IF(I12="Core",1,IF(I12="AI",'Start Here'!$B$7,'Start Here'!$B$8))=1),1,0)</f>
        <v>0</v>
      </c>
      <c r="T12" s="24" t="n">
        <f aca="false">IF(AND(T$5&gt;=IF(I12="Core",C12,IF(I12="AI",Assumptions!$H$24,Assumptions!$H$25)),T$5&lt;=IF(I12="Core",D12,IF(I12="AI",Assumptions!$H$24,Assumptions!$H$25)+D12-C12),IF(I12="Core",1,IF(I12="AI",'Start Here'!$B$7,'Start Here'!$B$8))=1),1,0)</f>
        <v>0</v>
      </c>
      <c r="U12" s="24" t="n">
        <f aca="false">IF(AND(U$5&gt;=IF(I12="Core",C12,IF(I12="AI",Assumptions!$H$24,Assumptions!$H$25)),U$5&lt;=IF(I12="Core",D12,IF(I12="AI",Assumptions!$H$24,Assumptions!$H$25)+D12-C12),IF(I12="Core",1,IF(I12="AI",'Start Here'!$B$7,'Start Here'!$B$8))=1),1,0)</f>
        <v>0</v>
      </c>
      <c r="V12" s="24" t="n">
        <f aca="false">IF(AND(V$5&gt;=IF(I12="Core",C12,IF(I12="AI",Assumptions!$H$24,Assumptions!$H$25)),V$5&lt;=IF(I12="Core",D12,IF(I12="AI",Assumptions!$H$24,Assumptions!$H$25)+D12-C12),IF(I12="Core",1,IF(I12="AI",'Start Here'!$B$7,'Start Here'!$B$8))=1),1,0)</f>
        <v>0</v>
      </c>
      <c r="W12" s="24" t="n">
        <f aca="false">IF(AND(W$5&gt;=IF(I12="Core",C12,IF(I12="AI",Assumptions!$H$24,Assumptions!$H$25)),W$5&lt;=IF(I12="Core",D12,IF(I12="AI",Assumptions!$H$24,Assumptions!$H$25)+D12-C12),IF(I12="Core",1,IF(I12="AI",'Start Here'!$B$7,'Start Here'!$B$8))=1),1,0)</f>
        <v>0</v>
      </c>
      <c r="X12" s="24" t="n">
        <f aca="false">IF(AND(X$5&gt;=IF(I12="Core",C12,IF(I12="AI",Assumptions!$H$24,Assumptions!$H$25)),X$5&lt;=IF(I12="Core",D12,IF(I12="AI",Assumptions!$H$24,Assumptions!$H$25)+D12-C12),IF(I12="Core",1,IF(I12="AI",'Start Here'!$B$7,'Start Here'!$B$8))=1),1,0)</f>
        <v>0</v>
      </c>
      <c r="Y12" s="24" t="n">
        <f aca="false">IF(AND(Y$5&gt;=IF(I12="Core",C12,IF(I12="AI",Assumptions!$H$24,Assumptions!$H$25)),Y$5&lt;=IF(I12="Core",D12,IF(I12="AI",Assumptions!$H$24,Assumptions!$H$25)+D12-C12),IF(I12="Core",1,IF(I12="AI",'Start Here'!$B$7,'Start Here'!$B$8))=1),1,0)</f>
        <v>0</v>
      </c>
      <c r="Z12" s="24" t="n">
        <f aca="false">IF(AND(Z$5&gt;=IF(I12="Core",C12,IF(I12="AI",Assumptions!$H$24,Assumptions!$H$25)),Z$5&lt;=IF(I12="Core",D12,IF(I12="AI",Assumptions!$H$24,Assumptions!$H$25)+D12-C12),IF(I12="Core",1,IF(I12="AI",'Start Here'!$B$7,'Start Here'!$B$8))=1),1,0)</f>
        <v>0</v>
      </c>
      <c r="AA12" s="24" t="n">
        <f aca="false">IF(AND(AA$5&gt;=IF(I12="Core",C12,IF(I12="AI",Assumptions!$H$24,Assumptions!$H$25)),AA$5&lt;=IF(I12="Core",D12,IF(I12="AI",Assumptions!$H$24,Assumptions!$H$25)+D12-C12),IF(I12="Core",1,IF(I12="AI",'Start Here'!$B$7,'Start Here'!$B$8))=1),1,0)</f>
        <v>0</v>
      </c>
      <c r="AB12" s="24" t="n">
        <f aca="false">IF(AND(AB$5&gt;=IF(I12="Core",C12,IF(I12="AI",Assumptions!$H$24,Assumptions!$H$25)),AB$5&lt;=IF(I12="Core",D12,IF(I12="AI",Assumptions!$H$24,Assumptions!$H$25)+D12-C12),IF(I12="Core",1,IF(I12="AI",'Start Here'!$B$7,'Start Here'!$B$8))=1),1,0)</f>
        <v>0</v>
      </c>
      <c r="AC12" s="24" t="n">
        <f aca="false">IF(AND(AC$5&gt;=IF(I12="Core",C12,IF(I12="AI",Assumptions!$H$24,Assumptions!$H$25)),AC$5&lt;=IF(I12="Core",D12,IF(I12="AI",Assumptions!$H$24,Assumptions!$H$25)+D12-C12),IF(I12="Core",1,IF(I12="AI",'Start Here'!$B$7,'Start Here'!$B$8))=1),1,0)</f>
        <v>0</v>
      </c>
      <c r="AD12" s="24" t="n">
        <f aca="false">IF(AND(AD$5&gt;=IF(I12="Core",C12,IF(I12="AI",Assumptions!$H$24,Assumptions!$H$25)),AD$5&lt;=IF(I12="Core",D12,IF(I12="AI",Assumptions!$H$24,Assumptions!$H$25)+D12-C12),IF(I12="Core",1,IF(I12="AI",'Start Here'!$B$7,'Start Here'!$B$8))=1),1,0)</f>
        <v>0</v>
      </c>
      <c r="AE12" s="24" t="n">
        <f aca="false">IF(AND(AE$5&gt;=IF(I12="Core",C12,IF(I12="AI",Assumptions!$H$24,Assumptions!$H$25)),AE$5&lt;=IF(I12="Core",D12,IF(I12="AI",Assumptions!$H$24,Assumptions!$H$25)+D12-C12),IF(I12="Core",1,IF(I12="AI",'Start Here'!$B$7,'Start Here'!$B$8))=1),1,0)</f>
        <v>0</v>
      </c>
      <c r="AF12" s="24" t="n">
        <f aca="false">IF(AND(AF$5&gt;=IF(I12="Core",C12,IF(I12="AI",Assumptions!$H$24,Assumptions!$H$25)),AF$5&lt;=IF(I12="Core",D12,IF(I12="AI",Assumptions!$H$24,Assumptions!$H$25)+D12-C12),IF(I12="Core",1,IF(I12="AI",'Start Here'!$B$7,'Start Here'!$B$8))=1),1,0)</f>
        <v>0</v>
      </c>
      <c r="AG12" s="24" t="n">
        <f aca="false">IF(AND(AG$5&gt;=IF(I12="Core",C12,IF(I12="AI",Assumptions!$H$24,Assumptions!$H$25)),AG$5&lt;=IF(I12="Core",D12,IF(I12="AI",Assumptions!$H$24,Assumptions!$H$25)+D12-C12),IF(I12="Core",1,IF(I12="AI",'Start Here'!$B$7,'Start Here'!$B$8))=1),1,0)</f>
        <v>0</v>
      </c>
      <c r="AH12" s="24" t="n">
        <f aca="false">IF(AND(AH$5&gt;=IF(I12="Core",C12,IF(I12="AI",Assumptions!$H$24,Assumptions!$H$25)),AH$5&lt;=IF(I12="Core",D12,IF(I12="AI",Assumptions!$H$24,Assumptions!$H$25)+D12-C12),IF(I12="Core",1,IF(I12="AI",'Start Here'!$B$7,'Start Here'!$B$8))=1),1,0)</f>
        <v>0</v>
      </c>
      <c r="AI12" s="24" t="n">
        <f aca="false">IF(AND(AI$5&gt;=IF(I12="Core",C12,IF(I12="AI",Assumptions!$H$24,Assumptions!$H$25)),AI$5&lt;=IF(I12="Core",D12,IF(I12="AI",Assumptions!$H$24,Assumptions!$H$25)+D12-C12),IF(I12="Core",1,IF(I12="AI",'Start Here'!$B$7,'Start Here'!$B$8))=1),1,0)</f>
        <v>0</v>
      </c>
      <c r="AJ12" s="24" t="n">
        <f aca="false">IF(AND(AJ$5&gt;=IF(I12="Core",C12,IF(I12="AI",Assumptions!$H$24,Assumptions!$H$25)),AJ$5&lt;=IF(I12="Core",D12,IF(I12="AI",Assumptions!$H$24,Assumptions!$H$25)+D12-C12),IF(I12="Core",1,IF(I12="AI",'Start Here'!$B$7,'Start Here'!$B$8))=1),1,0)</f>
        <v>0</v>
      </c>
      <c r="AK12" s="24" t="n">
        <f aca="false">IF(AND(AK$5&gt;=IF(I12="Core",C12,IF(I12="AI",Assumptions!$H$24,Assumptions!$H$25)),AK$5&lt;=IF(I12="Core",D12,IF(I12="AI",Assumptions!$H$24,Assumptions!$H$25)+D12-C12),IF(I12="Core",1,IF(I12="AI",'Start Here'!$B$7,'Start Here'!$B$8))=1),1,0)</f>
        <v>0</v>
      </c>
      <c r="AL12" s="24" t="n">
        <f aca="false">IF(AND(AL$5&gt;=IF(I12="Core",C12,IF(I12="AI",Assumptions!$H$24,Assumptions!$H$25)),AL$5&lt;=IF(I12="Core",D12,IF(I12="AI",Assumptions!$H$24,Assumptions!$H$25)+D12-C12),IF(I12="Core",1,IF(I12="AI",'Start Here'!$B$7,'Start Here'!$B$8))=1),1,0)</f>
        <v>0</v>
      </c>
      <c r="AM12" s="24" t="n">
        <f aca="false">IF(AND(AM$5&gt;=IF(I12="Core",C12,IF(I12="AI",Assumptions!$H$24,Assumptions!$H$25)),AM$5&lt;=IF(I12="Core",D12,IF(I12="AI",Assumptions!$H$24,Assumptions!$H$25)+D12-C12),IF(I12="Core",1,IF(I12="AI",'Start Here'!$B$7,'Start Here'!$B$8))=1),1,0)</f>
        <v>0</v>
      </c>
      <c r="AN12" s="24" t="n">
        <f aca="false">IF(AND(AN$5&gt;=IF(I12="Core",C12,IF(I12="AI",Assumptions!$H$24,Assumptions!$H$25)),AN$5&lt;=IF(I12="Core",D12,IF(I12="AI",Assumptions!$H$24,Assumptions!$H$25)+D12-C12),IF(I12="Core",1,IF(I12="AI",'Start Here'!$B$7,'Start Here'!$B$8))=1),1,0)</f>
        <v>0</v>
      </c>
      <c r="AO12" s="24" t="n">
        <f aca="false">IF(AND(AO$5&gt;=IF(I12="Core",C12,IF(I12="AI",Assumptions!$H$24,Assumptions!$H$25)),AO$5&lt;=IF(I12="Core",D12,IF(I12="AI",Assumptions!$H$24,Assumptions!$H$25)+D12-C12),IF(I12="Core",1,IF(I12="AI",'Start Here'!$B$7,'Start Here'!$B$8))=1),1,0)</f>
        <v>0</v>
      </c>
      <c r="AP12" s="24" t="n">
        <f aca="false">IF(AND(AP$5&gt;=IF(I12="Core",C12,IF(I12="AI",Assumptions!$H$24,Assumptions!$H$25)),AP$5&lt;=IF(I12="Core",D12,IF(I12="AI",Assumptions!$H$24,Assumptions!$H$25)+D12-C12),IF(I12="Core",1,IF(I12="AI",'Start Here'!$B$7,'Start Here'!$B$8))=1),1,0)</f>
        <v>0</v>
      </c>
      <c r="AQ12" s="24" t="n">
        <f aca="false">IF(AND(AQ$5&gt;=IF(I12="Core",C12,IF(I12="AI",Assumptions!$H$24,Assumptions!$H$25)),AQ$5&lt;=IF(I12="Core",D12,IF(I12="AI",Assumptions!$H$24,Assumptions!$H$25)+D12-C12),IF(I12="Core",1,IF(I12="AI",'Start Here'!$B$7,'Start Here'!$B$8))=1),1,0)</f>
        <v>0</v>
      </c>
      <c r="AR12" s="24" t="n">
        <f aca="false">IF(AND(AR$5&gt;=IF(I12="Core",C12,IF(I12="AI",Assumptions!$H$24,Assumptions!$H$25)),AR$5&lt;=IF(I12="Core",D12,IF(I12="AI",Assumptions!$H$24,Assumptions!$H$25)+D12-C12),IF(I12="Core",1,IF(I12="AI",'Start Here'!$B$7,'Start Here'!$B$8))=1),1,0)</f>
        <v>0</v>
      </c>
      <c r="AS12" s="24" t="n">
        <f aca="false">IF(AND(AS$5&gt;=IF(I12="Core",C12,IF(I12="AI",Assumptions!$H$24,Assumptions!$H$25)),AS$5&lt;=IF(I12="Core",D12,IF(I12="AI",Assumptions!$H$24,Assumptions!$H$25)+D12-C12),IF(I12="Core",1,IF(I12="AI",'Start Here'!$B$7,'Start Here'!$B$8))=1),1,0)</f>
        <v>0</v>
      </c>
      <c r="AT12" s="24" t="n">
        <f aca="false">IF(AND(AT$5&gt;=IF(I12="Core",C12,IF(I12="AI",Assumptions!$H$24,Assumptions!$H$25)),AT$5&lt;=IF(I12="Core",D12,IF(I12="AI",Assumptions!$H$24,Assumptions!$H$25)+D12-C12),IF(I12="Core",1,IF(I12="AI",'Start Here'!$B$7,'Start Here'!$B$8))=1),1,0)</f>
        <v>0</v>
      </c>
      <c r="AU12" s="24" t="n">
        <f aca="false">IF(AND(AU$5&gt;=IF(I12="Core",C12,IF(I12="AI",Assumptions!$H$24,Assumptions!$H$25)),AU$5&lt;=IF(I12="Core",D12,IF(I12="AI",Assumptions!$H$24,Assumptions!$H$25)+D12-C12),IF(I12="Core",1,IF(I12="AI",'Start Here'!$B$7,'Start Here'!$B$8))=1),1,0)</f>
        <v>0</v>
      </c>
      <c r="AV12" s="24" t="n">
        <f aca="false">IF(AND(AV$5&gt;=IF(I12="Core",C12,IF(I12="AI",Assumptions!$H$24,Assumptions!$H$25)),AV$5&lt;=IF(I12="Core",D12,IF(I12="AI",Assumptions!$H$24,Assumptions!$H$25)+D12-C12),IF(I12="Core",1,IF(I12="AI",'Start Here'!$B$7,'Start Here'!$B$8))=1),1,0)</f>
        <v>0</v>
      </c>
      <c r="AW12" s="24" t="n">
        <f aca="false">IF(AND(AW$5&gt;=IF(I12="Core",C12,IF(I12="AI",Assumptions!$H$24,Assumptions!$H$25)),AW$5&lt;=IF(I12="Core",D12,IF(I12="AI",Assumptions!$H$24,Assumptions!$H$25)+D12-C12),IF(I12="Core",1,IF(I12="AI",'Start Here'!$B$7,'Start Here'!$B$8))=1),1,0)</f>
        <v>0</v>
      </c>
      <c r="AX12" s="24" t="n">
        <f aca="false">IF(AND(AX$5&gt;=IF(I12="Core",C12,IF(I12="AI",Assumptions!$H$24,Assumptions!$H$25)),AX$5&lt;=IF(I12="Core",D12,IF(I12="AI",Assumptions!$H$24,Assumptions!$H$25)+D12-C12),IF(I12="Core",1,IF(I12="AI",'Start Here'!$B$7,'Start Here'!$B$8))=1),1,0)</f>
        <v>0</v>
      </c>
      <c r="AY12" s="24" t="n">
        <f aca="false">IF(AND(AY$5&gt;=IF(I12="Core",C12,IF(I12="AI",Assumptions!$H$24,Assumptions!$H$25)),AY$5&lt;=IF(I12="Core",D12,IF(I12="AI",Assumptions!$H$24,Assumptions!$H$25)+D12-C12),IF(I12="Core",1,IF(I12="AI",'Start Here'!$B$7,'Start Here'!$B$8))=1),1,0)</f>
        <v>0</v>
      </c>
      <c r="AZ12" s="24" t="n">
        <f aca="false">IF(AND(AZ$5&gt;=IF(I12="Core",C12,IF(I12="AI",Assumptions!$H$24,Assumptions!$H$25)),AZ$5&lt;=IF(I12="Core",D12,IF(I12="AI",Assumptions!$H$24,Assumptions!$H$25)+D12-C12),IF(I12="Core",1,IF(I12="AI",'Start Here'!$B$7,'Start Here'!$B$8))=1),1,0)</f>
        <v>0</v>
      </c>
      <c r="BA12" s="24" t="n">
        <f aca="false">IF(AND(BA$5&gt;=IF(I12="Core",C12,IF(I12="AI",Assumptions!$H$24,Assumptions!$H$25)),BA$5&lt;=IF(I12="Core",D12,IF(I12="AI",Assumptions!$H$24,Assumptions!$H$25)+D12-C12),IF(I12="Core",1,IF(I12="AI",'Start Here'!$B$7,'Start Here'!$B$8))=1),1,0)</f>
        <v>0</v>
      </c>
      <c r="BB12" s="24" t="n">
        <f aca="false">IF(AND(BB$5&gt;=IF(I12="Core",C12,IF(I12="AI",Assumptions!$H$24,Assumptions!$H$25)),BB$5&lt;=IF(I12="Core",D12,IF(I12="AI",Assumptions!$H$24,Assumptions!$H$25)+D12-C12),IF(I12="Core",1,IF(I12="AI",'Start Here'!$B$7,'Start Here'!$B$8))=1),1,0)</f>
        <v>0</v>
      </c>
      <c r="BC12" s="24" t="n">
        <f aca="false">IF(AND(BC$5&gt;=IF(I12="Core",C12,IF(I12="AI",Assumptions!$H$24,Assumptions!$H$25)),BC$5&lt;=IF(I12="Core",D12,IF(I12="AI",Assumptions!$H$24,Assumptions!$H$25)+D12-C12),IF(I12="Core",1,IF(I12="AI",'Start Here'!$B$7,'Start Here'!$B$8))=1),1,0)</f>
        <v>0</v>
      </c>
      <c r="BD12" s="24" t="n">
        <f aca="false">IF(AND(BD$5&gt;=IF(I12="Core",C12,IF(I12="AI",Assumptions!$H$24,Assumptions!$H$25)),BD$5&lt;=IF(I12="Core",D12,IF(I12="AI",Assumptions!$H$24,Assumptions!$H$25)+D12-C12),IF(I12="Core",1,IF(I12="AI",'Start Here'!$B$7,'Start Here'!$B$8))=1),1,0)</f>
        <v>0</v>
      </c>
      <c r="BE12" s="24" t="n">
        <f aca="false">IF(AND(BE$5&gt;=IF(I12="Core",C12,IF(I12="AI",Assumptions!$H$24,Assumptions!$H$25)),BE$5&lt;=IF(I12="Core",D12,IF(I12="AI",Assumptions!$H$24,Assumptions!$H$25)+D12-C12),IF(I12="Core",1,IF(I12="AI",'Start Here'!$B$7,'Start Here'!$B$8))=1),1,0)</f>
        <v>0</v>
      </c>
      <c r="BF12" s="24" t="n">
        <f aca="false">IF(AND(BF$5&gt;=IF(I12="Core",C12,IF(I12="AI",Assumptions!$H$24,Assumptions!$H$25)),BF$5&lt;=IF(I12="Core",D12,IF(I12="AI",Assumptions!$H$24,Assumptions!$H$25)+D12-C12),IF(I12="Core",1,IF(I12="AI",'Start Here'!$B$7,'Start Here'!$B$8))=1),1,0)</f>
        <v>0</v>
      </c>
      <c r="BG12" s="24" t="n">
        <f aca="false">IF(AND(BG$5&gt;=IF(I12="Core",C12,IF(I12="AI",Assumptions!$H$24,Assumptions!$H$25)),BG$5&lt;=IF(I12="Core",D12,IF(I12="AI",Assumptions!$H$24,Assumptions!$H$25)+D12-C12),IF(I12="Core",1,IF(I12="AI",'Start Here'!$B$7,'Start Here'!$B$8))=1),1,0)</f>
        <v>0</v>
      </c>
      <c r="BH12" s="24" t="n">
        <f aca="false">IF(AND(BH$5&gt;=IF(I12="Core",C12,IF(I12="AI",Assumptions!$H$24,Assumptions!$H$25)),BH$5&lt;=IF(I12="Core",D12,IF(I12="AI",Assumptions!$H$24,Assumptions!$H$25)+D12-C12),IF(I12="Core",1,IF(I12="AI",'Start Here'!$B$7,'Start Here'!$B$8))=1),1,0)</f>
        <v>0</v>
      </c>
      <c r="BI12" s="24" t="n">
        <f aca="false">IF(AND(BI$5&gt;=IF(I12="Core",C12,IF(I12="AI",Assumptions!$H$24,Assumptions!$H$25)),BI$5&lt;=IF(I12="Core",D12,IF(I12="AI",Assumptions!$H$24,Assumptions!$H$25)+D12-C12),IF(I12="Core",1,IF(I12="AI",'Start Here'!$B$7,'Start Here'!$B$8))=1),1,0)</f>
        <v>0</v>
      </c>
      <c r="BJ12" s="24" t="n">
        <f aca="false">IF(AND(BJ$5&gt;=IF(I12="Core",C12,IF(I12="AI",Assumptions!$H$24,Assumptions!$H$25)),BJ$5&lt;=IF(I12="Core",D12,IF(I12="AI",Assumptions!$H$24,Assumptions!$H$25)+D12-C12),IF(I12="Core",1,IF(I12="AI",'Start Here'!$B$7,'Start Here'!$B$8))=1),1,0)</f>
        <v>0</v>
      </c>
      <c r="BK12" s="24" t="n">
        <f aca="false">IF(AND(BK$5&gt;=IF(I12="Core",C12,IF(I12="AI",Assumptions!$H$24,Assumptions!$H$25)),BK$5&lt;=IF(I12="Core",D12,IF(I12="AI",Assumptions!$H$24,Assumptions!$H$25)+D12-C12),IF(I12="Core",1,IF(I12="AI",'Start Here'!$B$7,'Start Here'!$B$8))=1),1,0)</f>
        <v>0</v>
      </c>
      <c r="BL12" s="24" t="n">
        <f aca="false">IF(AND(BL$5&gt;=IF(I12="Core",C12,IF(I12="AI",Assumptions!$H$24,Assumptions!$H$25)),BL$5&lt;=IF(I12="Core",D12,IF(I12="AI",Assumptions!$H$24,Assumptions!$H$25)+D12-C12),IF(I12="Core",1,IF(I12="AI",'Start Here'!$B$7,'Start Here'!$B$8))=1),1,0)</f>
        <v>0</v>
      </c>
      <c r="BM12" s="24" t="n">
        <f aca="false">IF(AND(BM$5&gt;=IF(I12="Core",C12,IF(I12="AI",Assumptions!$H$24,Assumptions!$H$25)),BM$5&lt;=IF(I12="Core",D12,IF(I12="AI",Assumptions!$H$24,Assumptions!$H$25)+D12-C12),IF(I12="Core",1,IF(I12="AI",'Start Here'!$B$7,'Start Here'!$B$8))=1),1,0)</f>
        <v>0</v>
      </c>
      <c r="BN12" s="24" t="n">
        <f aca="false">IF(AND(BN$5&gt;=IF(I12="Core",C12,IF(I12="AI",Assumptions!$H$24,Assumptions!$H$25)),BN$5&lt;=IF(I12="Core",D12,IF(I12="AI",Assumptions!$H$24,Assumptions!$H$25)+D12-C12),IF(I12="Core",1,IF(I12="AI",'Start Here'!$B$7,'Start Here'!$B$8))=1),1,0)</f>
        <v>0</v>
      </c>
      <c r="BO12" s="24" t="n">
        <f aca="false">IF(AND(BO$5&gt;=IF(I12="Core",C12,IF(I12="AI",Assumptions!$H$24,Assumptions!$H$25)),BO$5&lt;=IF(I12="Core",D12,IF(I12="AI",Assumptions!$H$24,Assumptions!$H$25)+D12-C12),IF(I12="Core",1,IF(I12="AI",'Start Here'!$B$7,'Start Here'!$B$8))=1),1,0)</f>
        <v>0</v>
      </c>
      <c r="BP12" s="24" t="n">
        <f aca="false">IF(AND(BP$5&gt;=IF(I12="Core",C12,IF(I12="AI",Assumptions!$H$24,Assumptions!$H$25)),BP$5&lt;=IF(I12="Core",D12,IF(I12="AI",Assumptions!$H$24,Assumptions!$H$25)+D12-C12),IF(I12="Core",1,IF(I12="AI",'Start Here'!$B$7,'Start Here'!$B$8))=1),1,0)</f>
        <v>0</v>
      </c>
      <c r="BQ12" s="24" t="n">
        <f aca="false">IF(AND(BQ$5&gt;=IF(I12="Core",C12,IF(I12="AI",Assumptions!$H$24,Assumptions!$H$25)),BQ$5&lt;=IF(I12="Core",D12,IF(I12="AI",Assumptions!$H$24,Assumptions!$H$25)+D12-C12),IF(I12="Core",1,IF(I12="AI",'Start Here'!$B$7,'Start Here'!$B$8))=1),1,0)</f>
        <v>0</v>
      </c>
      <c r="BR12" s="24" t="n">
        <f aca="false">IF(AND(BR$5&gt;=IF(I12="Core",C12,IF(I12="AI",Assumptions!$H$24,Assumptions!$H$25)),BR$5&lt;=IF(I12="Core",D12,IF(I12="AI",Assumptions!$H$24,Assumptions!$H$25)+D12-C12),IF(I12="Core",1,IF(I12="AI",'Start Here'!$B$7,'Start Here'!$B$8))=1),1,0)</f>
        <v>0</v>
      </c>
    </row>
    <row r="13" customFormat="false" ht="99.75" hidden="false" customHeight="true" outlineLevel="0" collapsed="false">
      <c r="A13" s="6" t="s">
        <v>900</v>
      </c>
      <c r="B13" s="6" t="s">
        <v>901</v>
      </c>
      <c r="C13" s="6" t="n">
        <v>25</v>
      </c>
      <c r="D13" s="6" t="n">
        <v>42</v>
      </c>
      <c r="E13" s="6" t="s">
        <v>902</v>
      </c>
      <c r="F13" s="6" t="s">
        <v>903</v>
      </c>
      <c r="G13" s="6" t="s">
        <v>904</v>
      </c>
      <c r="H13" s="6" t="s">
        <v>905</v>
      </c>
      <c r="I13" s="6" t="s">
        <v>61</v>
      </c>
      <c r="J13" s="6" t="s">
        <v>906</v>
      </c>
      <c r="K13" s="24" t="n">
        <f aca="false">IF(AND(K$5&gt;=IF(I13="Core",C13,IF(I13="AI",Assumptions!$H$24,Assumptions!$H$25)),K$5&lt;=IF(I13="Core",D13,IF(I13="AI",Assumptions!$H$24,Assumptions!$H$25)+D13-C13),IF(I13="Core",1,IF(I13="AI",'Start Here'!$B$7,'Start Here'!$B$8))=1),1,0)</f>
        <v>0</v>
      </c>
      <c r="L13" s="24" t="n">
        <f aca="false">IF(AND(L$5&gt;=IF(I13="Core",C13,IF(I13="AI",Assumptions!$H$24,Assumptions!$H$25)),L$5&lt;=IF(I13="Core",D13,IF(I13="AI",Assumptions!$H$24,Assumptions!$H$25)+D13-C13),IF(I13="Core",1,IF(I13="AI",'Start Here'!$B$7,'Start Here'!$B$8))=1),1,0)</f>
        <v>0</v>
      </c>
      <c r="M13" s="24" t="n">
        <f aca="false">IF(AND(M$5&gt;=IF(I13="Core",C13,IF(I13="AI",Assumptions!$H$24,Assumptions!$H$25)),M$5&lt;=IF(I13="Core",D13,IF(I13="AI",Assumptions!$H$24,Assumptions!$H$25)+D13-C13),IF(I13="Core",1,IF(I13="AI",'Start Here'!$B$7,'Start Here'!$B$8))=1),1,0)</f>
        <v>0</v>
      </c>
      <c r="N13" s="24" t="n">
        <f aca="false">IF(AND(N$5&gt;=IF(I13="Core",C13,IF(I13="AI",Assumptions!$H$24,Assumptions!$H$25)),N$5&lt;=IF(I13="Core",D13,IF(I13="AI",Assumptions!$H$24,Assumptions!$H$25)+D13-C13),IF(I13="Core",1,IF(I13="AI",'Start Here'!$B$7,'Start Here'!$B$8))=1),1,0)</f>
        <v>0</v>
      </c>
      <c r="O13" s="24" t="n">
        <f aca="false">IF(AND(O$5&gt;=IF(I13="Core",C13,IF(I13="AI",Assumptions!$H$24,Assumptions!$H$25)),O$5&lt;=IF(I13="Core",D13,IF(I13="AI",Assumptions!$H$24,Assumptions!$H$25)+D13-C13),IF(I13="Core",1,IF(I13="AI",'Start Here'!$B$7,'Start Here'!$B$8))=1),1,0)</f>
        <v>0</v>
      </c>
      <c r="P13" s="24" t="n">
        <f aca="false">IF(AND(P$5&gt;=IF(I13="Core",C13,IF(I13="AI",Assumptions!$H$24,Assumptions!$H$25)),P$5&lt;=IF(I13="Core",D13,IF(I13="AI",Assumptions!$H$24,Assumptions!$H$25)+D13-C13),IF(I13="Core",1,IF(I13="AI",'Start Here'!$B$7,'Start Here'!$B$8))=1),1,0)</f>
        <v>0</v>
      </c>
      <c r="Q13" s="24" t="n">
        <f aca="false">IF(AND(Q$5&gt;=IF(I13="Core",C13,IF(I13="AI",Assumptions!$H$24,Assumptions!$H$25)),Q$5&lt;=IF(I13="Core",D13,IF(I13="AI",Assumptions!$H$24,Assumptions!$H$25)+D13-C13),IF(I13="Core",1,IF(I13="AI",'Start Here'!$B$7,'Start Here'!$B$8))=1),1,0)</f>
        <v>0</v>
      </c>
      <c r="R13" s="24" t="n">
        <f aca="false">IF(AND(R$5&gt;=IF(I13="Core",C13,IF(I13="AI",Assumptions!$H$24,Assumptions!$H$25)),R$5&lt;=IF(I13="Core",D13,IF(I13="AI",Assumptions!$H$24,Assumptions!$H$25)+D13-C13),IF(I13="Core",1,IF(I13="AI",'Start Here'!$B$7,'Start Here'!$B$8))=1),1,0)</f>
        <v>0</v>
      </c>
      <c r="S13" s="24" t="n">
        <f aca="false">IF(AND(S$5&gt;=IF(I13="Core",C13,IF(I13="AI",Assumptions!$H$24,Assumptions!$H$25)),S$5&lt;=IF(I13="Core",D13,IF(I13="AI",Assumptions!$H$24,Assumptions!$H$25)+D13-C13),IF(I13="Core",1,IF(I13="AI",'Start Here'!$B$7,'Start Here'!$B$8))=1),1,0)</f>
        <v>0</v>
      </c>
      <c r="T13" s="24" t="n">
        <f aca="false">IF(AND(T$5&gt;=IF(I13="Core",C13,IF(I13="AI",Assumptions!$H$24,Assumptions!$H$25)),T$5&lt;=IF(I13="Core",D13,IF(I13="AI",Assumptions!$H$24,Assumptions!$H$25)+D13-C13),IF(I13="Core",1,IF(I13="AI",'Start Here'!$B$7,'Start Here'!$B$8))=1),1,0)</f>
        <v>0</v>
      </c>
      <c r="U13" s="24" t="n">
        <f aca="false">IF(AND(U$5&gt;=IF(I13="Core",C13,IF(I13="AI",Assumptions!$H$24,Assumptions!$H$25)),U$5&lt;=IF(I13="Core",D13,IF(I13="AI",Assumptions!$H$24,Assumptions!$H$25)+D13-C13),IF(I13="Core",1,IF(I13="AI",'Start Here'!$B$7,'Start Here'!$B$8))=1),1,0)</f>
        <v>0</v>
      </c>
      <c r="V13" s="24" t="n">
        <f aca="false">IF(AND(V$5&gt;=IF(I13="Core",C13,IF(I13="AI",Assumptions!$H$24,Assumptions!$H$25)),V$5&lt;=IF(I13="Core",D13,IF(I13="AI",Assumptions!$H$24,Assumptions!$H$25)+D13-C13),IF(I13="Core",1,IF(I13="AI",'Start Here'!$B$7,'Start Here'!$B$8))=1),1,0)</f>
        <v>0</v>
      </c>
      <c r="W13" s="24" t="n">
        <f aca="false">IF(AND(W$5&gt;=IF(I13="Core",C13,IF(I13="AI",Assumptions!$H$24,Assumptions!$H$25)),W$5&lt;=IF(I13="Core",D13,IF(I13="AI",Assumptions!$H$24,Assumptions!$H$25)+D13-C13),IF(I13="Core",1,IF(I13="AI",'Start Here'!$B$7,'Start Here'!$B$8))=1),1,0)</f>
        <v>0</v>
      </c>
      <c r="X13" s="24" t="n">
        <f aca="false">IF(AND(X$5&gt;=IF(I13="Core",C13,IF(I13="AI",Assumptions!$H$24,Assumptions!$H$25)),X$5&lt;=IF(I13="Core",D13,IF(I13="AI",Assumptions!$H$24,Assumptions!$H$25)+D13-C13),IF(I13="Core",1,IF(I13="AI",'Start Here'!$B$7,'Start Here'!$B$8))=1),1,0)</f>
        <v>0</v>
      </c>
      <c r="Y13" s="24" t="n">
        <f aca="false">IF(AND(Y$5&gt;=IF(I13="Core",C13,IF(I13="AI",Assumptions!$H$24,Assumptions!$H$25)),Y$5&lt;=IF(I13="Core",D13,IF(I13="AI",Assumptions!$H$24,Assumptions!$H$25)+D13-C13),IF(I13="Core",1,IF(I13="AI",'Start Here'!$B$7,'Start Here'!$B$8))=1),1,0)</f>
        <v>0</v>
      </c>
      <c r="Z13" s="24" t="n">
        <f aca="false">IF(AND(Z$5&gt;=IF(I13="Core",C13,IF(I13="AI",Assumptions!$H$24,Assumptions!$H$25)),Z$5&lt;=IF(I13="Core",D13,IF(I13="AI",Assumptions!$H$24,Assumptions!$H$25)+D13-C13),IF(I13="Core",1,IF(I13="AI",'Start Here'!$B$7,'Start Here'!$B$8))=1),1,0)</f>
        <v>0</v>
      </c>
      <c r="AA13" s="24" t="n">
        <f aca="false">IF(AND(AA$5&gt;=IF(I13="Core",C13,IF(I13="AI",Assumptions!$H$24,Assumptions!$H$25)),AA$5&lt;=IF(I13="Core",D13,IF(I13="AI",Assumptions!$H$24,Assumptions!$H$25)+D13-C13),IF(I13="Core",1,IF(I13="AI",'Start Here'!$B$7,'Start Here'!$B$8))=1),1,0)</f>
        <v>0</v>
      </c>
      <c r="AB13" s="24" t="n">
        <f aca="false">IF(AND(AB$5&gt;=IF(I13="Core",C13,IF(I13="AI",Assumptions!$H$24,Assumptions!$H$25)),AB$5&lt;=IF(I13="Core",D13,IF(I13="AI",Assumptions!$H$24,Assumptions!$H$25)+D13-C13),IF(I13="Core",1,IF(I13="AI",'Start Here'!$B$7,'Start Here'!$B$8))=1),1,0)</f>
        <v>0</v>
      </c>
      <c r="AC13" s="24" t="n">
        <f aca="false">IF(AND(AC$5&gt;=IF(I13="Core",C13,IF(I13="AI",Assumptions!$H$24,Assumptions!$H$25)),AC$5&lt;=IF(I13="Core",D13,IF(I13="AI",Assumptions!$H$24,Assumptions!$H$25)+D13-C13),IF(I13="Core",1,IF(I13="AI",'Start Here'!$B$7,'Start Here'!$B$8))=1),1,0)</f>
        <v>0</v>
      </c>
      <c r="AD13" s="24" t="n">
        <f aca="false">IF(AND(AD$5&gt;=IF(I13="Core",C13,IF(I13="AI",Assumptions!$H$24,Assumptions!$H$25)),AD$5&lt;=IF(I13="Core",D13,IF(I13="AI",Assumptions!$H$24,Assumptions!$H$25)+D13-C13),IF(I13="Core",1,IF(I13="AI",'Start Here'!$B$7,'Start Here'!$B$8))=1),1,0)</f>
        <v>0</v>
      </c>
      <c r="AE13" s="24" t="n">
        <f aca="false">IF(AND(AE$5&gt;=IF(I13="Core",C13,IF(I13="AI",Assumptions!$H$24,Assumptions!$H$25)),AE$5&lt;=IF(I13="Core",D13,IF(I13="AI",Assumptions!$H$24,Assumptions!$H$25)+D13-C13),IF(I13="Core",1,IF(I13="AI",'Start Here'!$B$7,'Start Here'!$B$8))=1),1,0)</f>
        <v>0</v>
      </c>
      <c r="AF13" s="24" t="n">
        <f aca="false">IF(AND(AF$5&gt;=IF(I13="Core",C13,IF(I13="AI",Assumptions!$H$24,Assumptions!$H$25)),AF$5&lt;=IF(I13="Core",D13,IF(I13="AI",Assumptions!$H$24,Assumptions!$H$25)+D13-C13),IF(I13="Core",1,IF(I13="AI",'Start Here'!$B$7,'Start Here'!$B$8))=1),1,0)</f>
        <v>0</v>
      </c>
      <c r="AG13" s="24" t="n">
        <f aca="false">IF(AND(AG$5&gt;=IF(I13="Core",C13,IF(I13="AI",Assumptions!$H$24,Assumptions!$H$25)),AG$5&lt;=IF(I13="Core",D13,IF(I13="AI",Assumptions!$H$24,Assumptions!$H$25)+D13-C13),IF(I13="Core",1,IF(I13="AI",'Start Here'!$B$7,'Start Here'!$B$8))=1),1,0)</f>
        <v>0</v>
      </c>
      <c r="AH13" s="24" t="n">
        <f aca="false">IF(AND(AH$5&gt;=IF(I13="Core",C13,IF(I13="AI",Assumptions!$H$24,Assumptions!$H$25)),AH$5&lt;=IF(I13="Core",D13,IF(I13="AI",Assumptions!$H$24,Assumptions!$H$25)+D13-C13),IF(I13="Core",1,IF(I13="AI",'Start Here'!$B$7,'Start Here'!$B$8))=1),1,0)</f>
        <v>0</v>
      </c>
      <c r="AI13" s="24" t="n">
        <f aca="false">IF(AND(AI$5&gt;=IF(I13="Core",C13,IF(I13="AI",Assumptions!$H$24,Assumptions!$H$25)),AI$5&lt;=IF(I13="Core",D13,IF(I13="AI",Assumptions!$H$24,Assumptions!$H$25)+D13-C13),IF(I13="Core",1,IF(I13="AI",'Start Here'!$B$7,'Start Here'!$B$8))=1),1,0)</f>
        <v>0</v>
      </c>
      <c r="AJ13" s="24" t="n">
        <f aca="false">IF(AND(AJ$5&gt;=IF(I13="Core",C13,IF(I13="AI",Assumptions!$H$24,Assumptions!$H$25)),AJ$5&lt;=IF(I13="Core",D13,IF(I13="AI",Assumptions!$H$24,Assumptions!$H$25)+D13-C13),IF(I13="Core",1,IF(I13="AI",'Start Here'!$B$7,'Start Here'!$B$8))=1),1,0)</f>
        <v>0</v>
      </c>
      <c r="AK13" s="24" t="n">
        <f aca="false">IF(AND(AK$5&gt;=IF(I13="Core",C13,IF(I13="AI",Assumptions!$H$24,Assumptions!$H$25)),AK$5&lt;=IF(I13="Core",D13,IF(I13="AI",Assumptions!$H$24,Assumptions!$H$25)+D13-C13),IF(I13="Core",1,IF(I13="AI",'Start Here'!$B$7,'Start Here'!$B$8))=1),1,0)</f>
        <v>0</v>
      </c>
      <c r="AL13" s="24" t="n">
        <f aca="false">IF(AND(AL$5&gt;=IF(I13="Core",C13,IF(I13="AI",Assumptions!$H$24,Assumptions!$H$25)),AL$5&lt;=IF(I13="Core",D13,IF(I13="AI",Assumptions!$H$24,Assumptions!$H$25)+D13-C13),IF(I13="Core",1,IF(I13="AI",'Start Here'!$B$7,'Start Here'!$B$8))=1),1,0)</f>
        <v>0</v>
      </c>
      <c r="AM13" s="24" t="n">
        <f aca="false">IF(AND(AM$5&gt;=IF(I13="Core",C13,IF(I13="AI",Assumptions!$H$24,Assumptions!$H$25)),AM$5&lt;=IF(I13="Core",D13,IF(I13="AI",Assumptions!$H$24,Assumptions!$H$25)+D13-C13),IF(I13="Core",1,IF(I13="AI",'Start Here'!$B$7,'Start Here'!$B$8))=1),1,0)</f>
        <v>0</v>
      </c>
      <c r="AN13" s="24" t="n">
        <f aca="false">IF(AND(AN$5&gt;=IF(I13="Core",C13,IF(I13="AI",Assumptions!$H$24,Assumptions!$H$25)),AN$5&lt;=IF(I13="Core",D13,IF(I13="AI",Assumptions!$H$24,Assumptions!$H$25)+D13-C13),IF(I13="Core",1,IF(I13="AI",'Start Here'!$B$7,'Start Here'!$B$8))=1),1,0)</f>
        <v>0</v>
      </c>
      <c r="AO13" s="24" t="n">
        <f aca="false">IF(AND(AO$5&gt;=IF(I13="Core",C13,IF(I13="AI",Assumptions!$H$24,Assumptions!$H$25)),AO$5&lt;=IF(I13="Core",D13,IF(I13="AI",Assumptions!$H$24,Assumptions!$H$25)+D13-C13),IF(I13="Core",1,IF(I13="AI",'Start Here'!$B$7,'Start Here'!$B$8))=1),1,0)</f>
        <v>0</v>
      </c>
      <c r="AP13" s="24" t="n">
        <f aca="false">IF(AND(AP$5&gt;=IF(I13="Core",C13,IF(I13="AI",Assumptions!$H$24,Assumptions!$H$25)),AP$5&lt;=IF(I13="Core",D13,IF(I13="AI",Assumptions!$H$24,Assumptions!$H$25)+D13-C13),IF(I13="Core",1,IF(I13="AI",'Start Here'!$B$7,'Start Here'!$B$8))=1),1,0)</f>
        <v>0</v>
      </c>
      <c r="AQ13" s="24" t="n">
        <f aca="false">IF(AND(AQ$5&gt;=IF(I13="Core",C13,IF(I13="AI",Assumptions!$H$24,Assumptions!$H$25)),AQ$5&lt;=IF(I13="Core",D13,IF(I13="AI",Assumptions!$H$24,Assumptions!$H$25)+D13-C13),IF(I13="Core",1,IF(I13="AI",'Start Here'!$B$7,'Start Here'!$B$8))=1),1,0)</f>
        <v>0</v>
      </c>
      <c r="AR13" s="24" t="n">
        <f aca="false">IF(AND(AR$5&gt;=IF(I13="Core",C13,IF(I13="AI",Assumptions!$H$24,Assumptions!$H$25)),AR$5&lt;=IF(I13="Core",D13,IF(I13="AI",Assumptions!$H$24,Assumptions!$H$25)+D13-C13),IF(I13="Core",1,IF(I13="AI",'Start Here'!$B$7,'Start Here'!$B$8))=1),1,0)</f>
        <v>0</v>
      </c>
      <c r="AS13" s="24" t="n">
        <f aca="false">IF(AND(AS$5&gt;=IF(I13="Core",C13,IF(I13="AI",Assumptions!$H$24,Assumptions!$H$25)),AS$5&lt;=IF(I13="Core",D13,IF(I13="AI",Assumptions!$H$24,Assumptions!$H$25)+D13-C13),IF(I13="Core",1,IF(I13="AI",'Start Here'!$B$7,'Start Here'!$B$8))=1),1,0)</f>
        <v>0</v>
      </c>
      <c r="AT13" s="24" t="n">
        <f aca="false">IF(AND(AT$5&gt;=IF(I13="Core",C13,IF(I13="AI",Assumptions!$H$24,Assumptions!$H$25)),AT$5&lt;=IF(I13="Core",D13,IF(I13="AI",Assumptions!$H$24,Assumptions!$H$25)+D13-C13),IF(I13="Core",1,IF(I13="AI",'Start Here'!$B$7,'Start Here'!$B$8))=1),1,0)</f>
        <v>0</v>
      </c>
      <c r="AU13" s="24" t="n">
        <f aca="false">IF(AND(AU$5&gt;=IF(I13="Core",C13,IF(I13="AI",Assumptions!$H$24,Assumptions!$H$25)),AU$5&lt;=IF(I13="Core",D13,IF(I13="AI",Assumptions!$H$24,Assumptions!$H$25)+D13-C13),IF(I13="Core",1,IF(I13="AI",'Start Here'!$B$7,'Start Here'!$B$8))=1),1,0)</f>
        <v>0</v>
      </c>
      <c r="AV13" s="24" t="n">
        <f aca="false">IF(AND(AV$5&gt;=IF(I13="Core",C13,IF(I13="AI",Assumptions!$H$24,Assumptions!$H$25)),AV$5&lt;=IF(I13="Core",D13,IF(I13="AI",Assumptions!$H$24,Assumptions!$H$25)+D13-C13),IF(I13="Core",1,IF(I13="AI",'Start Here'!$B$7,'Start Here'!$B$8))=1),1,0)</f>
        <v>0</v>
      </c>
      <c r="AW13" s="24" t="n">
        <f aca="false">IF(AND(AW$5&gt;=IF(I13="Core",C13,IF(I13="AI",Assumptions!$H$24,Assumptions!$H$25)),AW$5&lt;=IF(I13="Core",D13,IF(I13="AI",Assumptions!$H$24,Assumptions!$H$25)+D13-C13),IF(I13="Core",1,IF(I13="AI",'Start Here'!$B$7,'Start Here'!$B$8))=1),1,0)</f>
        <v>0</v>
      </c>
      <c r="AX13" s="24" t="n">
        <f aca="false">IF(AND(AX$5&gt;=IF(I13="Core",C13,IF(I13="AI",Assumptions!$H$24,Assumptions!$H$25)),AX$5&lt;=IF(I13="Core",D13,IF(I13="AI",Assumptions!$H$24,Assumptions!$H$25)+D13-C13),IF(I13="Core",1,IF(I13="AI",'Start Here'!$B$7,'Start Here'!$B$8))=1),1,0)</f>
        <v>0</v>
      </c>
      <c r="AY13" s="24" t="n">
        <f aca="false">IF(AND(AY$5&gt;=IF(I13="Core",C13,IF(I13="AI",Assumptions!$H$24,Assumptions!$H$25)),AY$5&lt;=IF(I13="Core",D13,IF(I13="AI",Assumptions!$H$24,Assumptions!$H$25)+D13-C13),IF(I13="Core",1,IF(I13="AI",'Start Here'!$B$7,'Start Here'!$B$8))=1),1,0)</f>
        <v>0</v>
      </c>
      <c r="AZ13" s="24" t="n">
        <f aca="false">IF(AND(AZ$5&gt;=IF(I13="Core",C13,IF(I13="AI",Assumptions!$H$24,Assumptions!$H$25)),AZ$5&lt;=IF(I13="Core",D13,IF(I13="AI",Assumptions!$H$24,Assumptions!$H$25)+D13-C13),IF(I13="Core",1,IF(I13="AI",'Start Here'!$B$7,'Start Here'!$B$8))=1),1,0)</f>
        <v>0</v>
      </c>
      <c r="BA13" s="24" t="n">
        <f aca="false">IF(AND(BA$5&gt;=IF(I13="Core",C13,IF(I13="AI",Assumptions!$H$24,Assumptions!$H$25)),BA$5&lt;=IF(I13="Core",D13,IF(I13="AI",Assumptions!$H$24,Assumptions!$H$25)+D13-C13),IF(I13="Core",1,IF(I13="AI",'Start Here'!$B$7,'Start Here'!$B$8))=1),1,0)</f>
        <v>0</v>
      </c>
      <c r="BB13" s="24" t="n">
        <f aca="false">IF(AND(BB$5&gt;=IF(I13="Core",C13,IF(I13="AI",Assumptions!$H$24,Assumptions!$H$25)),BB$5&lt;=IF(I13="Core",D13,IF(I13="AI",Assumptions!$H$24,Assumptions!$H$25)+D13-C13),IF(I13="Core",1,IF(I13="AI",'Start Here'!$B$7,'Start Here'!$B$8))=1),1,0)</f>
        <v>0</v>
      </c>
      <c r="BC13" s="24" t="n">
        <f aca="false">IF(AND(BC$5&gt;=IF(I13="Core",C13,IF(I13="AI",Assumptions!$H$24,Assumptions!$H$25)),BC$5&lt;=IF(I13="Core",D13,IF(I13="AI",Assumptions!$H$24,Assumptions!$H$25)+D13-C13),IF(I13="Core",1,IF(I13="AI",'Start Here'!$B$7,'Start Here'!$B$8))=1),1,0)</f>
        <v>0</v>
      </c>
      <c r="BD13" s="24" t="n">
        <f aca="false">IF(AND(BD$5&gt;=IF(I13="Core",C13,IF(I13="AI",Assumptions!$H$24,Assumptions!$H$25)),BD$5&lt;=IF(I13="Core",D13,IF(I13="AI",Assumptions!$H$24,Assumptions!$H$25)+D13-C13),IF(I13="Core",1,IF(I13="AI",'Start Here'!$B$7,'Start Here'!$B$8))=1),1,0)</f>
        <v>0</v>
      </c>
      <c r="BE13" s="24" t="n">
        <f aca="false">IF(AND(BE$5&gt;=IF(I13="Core",C13,IF(I13="AI",Assumptions!$H$24,Assumptions!$H$25)),BE$5&lt;=IF(I13="Core",D13,IF(I13="AI",Assumptions!$H$24,Assumptions!$H$25)+D13-C13),IF(I13="Core",1,IF(I13="AI",'Start Here'!$B$7,'Start Here'!$B$8))=1),1,0)</f>
        <v>0</v>
      </c>
      <c r="BF13" s="24" t="n">
        <f aca="false">IF(AND(BF$5&gt;=IF(I13="Core",C13,IF(I13="AI",Assumptions!$H$24,Assumptions!$H$25)),BF$5&lt;=IF(I13="Core",D13,IF(I13="AI",Assumptions!$H$24,Assumptions!$H$25)+D13-C13),IF(I13="Core",1,IF(I13="AI",'Start Here'!$B$7,'Start Here'!$B$8))=1),1,0)</f>
        <v>0</v>
      </c>
      <c r="BG13" s="24" t="n">
        <f aca="false">IF(AND(BG$5&gt;=IF(I13="Core",C13,IF(I13="AI",Assumptions!$H$24,Assumptions!$H$25)),BG$5&lt;=IF(I13="Core",D13,IF(I13="AI",Assumptions!$H$24,Assumptions!$H$25)+D13-C13),IF(I13="Core",1,IF(I13="AI",'Start Here'!$B$7,'Start Here'!$B$8))=1),1,0)</f>
        <v>0</v>
      </c>
      <c r="BH13" s="24" t="n">
        <f aca="false">IF(AND(BH$5&gt;=IF(I13="Core",C13,IF(I13="AI",Assumptions!$H$24,Assumptions!$H$25)),BH$5&lt;=IF(I13="Core",D13,IF(I13="AI",Assumptions!$H$24,Assumptions!$H$25)+D13-C13),IF(I13="Core",1,IF(I13="AI",'Start Here'!$B$7,'Start Here'!$B$8))=1),1,0)</f>
        <v>0</v>
      </c>
      <c r="BI13" s="24" t="n">
        <f aca="false">IF(AND(BI$5&gt;=IF(I13="Core",C13,IF(I13="AI",Assumptions!$H$24,Assumptions!$H$25)),BI$5&lt;=IF(I13="Core",D13,IF(I13="AI",Assumptions!$H$24,Assumptions!$H$25)+D13-C13),IF(I13="Core",1,IF(I13="AI",'Start Here'!$B$7,'Start Here'!$B$8))=1),1,0)</f>
        <v>0</v>
      </c>
      <c r="BJ13" s="24" t="n">
        <f aca="false">IF(AND(BJ$5&gt;=IF(I13="Core",C13,IF(I13="AI",Assumptions!$H$24,Assumptions!$H$25)),BJ$5&lt;=IF(I13="Core",D13,IF(I13="AI",Assumptions!$H$24,Assumptions!$H$25)+D13-C13),IF(I13="Core",1,IF(I13="AI",'Start Here'!$B$7,'Start Here'!$B$8))=1),1,0)</f>
        <v>0</v>
      </c>
      <c r="BK13" s="24" t="n">
        <f aca="false">IF(AND(BK$5&gt;=IF(I13="Core",C13,IF(I13="AI",Assumptions!$H$24,Assumptions!$H$25)),BK$5&lt;=IF(I13="Core",D13,IF(I13="AI",Assumptions!$H$24,Assumptions!$H$25)+D13-C13),IF(I13="Core",1,IF(I13="AI",'Start Here'!$B$7,'Start Here'!$B$8))=1),1,0)</f>
        <v>0</v>
      </c>
      <c r="BL13" s="24" t="n">
        <f aca="false">IF(AND(BL$5&gt;=IF(I13="Core",C13,IF(I13="AI",Assumptions!$H$24,Assumptions!$H$25)),BL$5&lt;=IF(I13="Core",D13,IF(I13="AI",Assumptions!$H$24,Assumptions!$H$25)+D13-C13),IF(I13="Core",1,IF(I13="AI",'Start Here'!$B$7,'Start Here'!$B$8))=1),1,0)</f>
        <v>0</v>
      </c>
      <c r="BM13" s="24" t="n">
        <f aca="false">IF(AND(BM$5&gt;=IF(I13="Core",C13,IF(I13="AI",Assumptions!$H$24,Assumptions!$H$25)),BM$5&lt;=IF(I13="Core",D13,IF(I13="AI",Assumptions!$H$24,Assumptions!$H$25)+D13-C13),IF(I13="Core",1,IF(I13="AI",'Start Here'!$B$7,'Start Here'!$B$8))=1),1,0)</f>
        <v>0</v>
      </c>
      <c r="BN13" s="24" t="n">
        <f aca="false">IF(AND(BN$5&gt;=IF(I13="Core",C13,IF(I13="AI",Assumptions!$H$24,Assumptions!$H$25)),BN$5&lt;=IF(I13="Core",D13,IF(I13="AI",Assumptions!$H$24,Assumptions!$H$25)+D13-C13),IF(I13="Core",1,IF(I13="AI",'Start Here'!$B$7,'Start Here'!$B$8))=1),1,0)</f>
        <v>0</v>
      </c>
      <c r="BO13" s="24" t="n">
        <f aca="false">IF(AND(BO$5&gt;=IF(I13="Core",C13,IF(I13="AI",Assumptions!$H$24,Assumptions!$H$25)),BO$5&lt;=IF(I13="Core",D13,IF(I13="AI",Assumptions!$H$24,Assumptions!$H$25)+D13-C13),IF(I13="Core",1,IF(I13="AI",'Start Here'!$B$7,'Start Here'!$B$8))=1),1,0)</f>
        <v>0</v>
      </c>
      <c r="BP13" s="24" t="n">
        <f aca="false">IF(AND(BP$5&gt;=IF(I13="Core",C13,IF(I13="AI",Assumptions!$H$24,Assumptions!$H$25)),BP$5&lt;=IF(I13="Core",D13,IF(I13="AI",Assumptions!$H$24,Assumptions!$H$25)+D13-C13),IF(I13="Core",1,IF(I13="AI",'Start Here'!$B$7,'Start Here'!$B$8))=1),1,0)</f>
        <v>0</v>
      </c>
      <c r="BQ13" s="24" t="n">
        <f aca="false">IF(AND(BQ$5&gt;=IF(I13="Core",C13,IF(I13="AI",Assumptions!$H$24,Assumptions!$H$25)),BQ$5&lt;=IF(I13="Core",D13,IF(I13="AI",Assumptions!$H$24,Assumptions!$H$25)+D13-C13),IF(I13="Core",1,IF(I13="AI",'Start Here'!$B$7,'Start Here'!$B$8))=1),1,0)</f>
        <v>0</v>
      </c>
      <c r="BR13" s="24" t="n">
        <f aca="false">IF(AND(BR$5&gt;=IF(I13="Core",C13,IF(I13="AI",Assumptions!$H$24,Assumptions!$H$25)),BR$5&lt;=IF(I13="Core",D13,IF(I13="AI",Assumptions!$H$24,Assumptions!$H$25)+D13-C13),IF(I13="Core",1,IF(I13="AI",'Start Here'!$B$7,'Start Here'!$B$8))=1),1,0)</f>
        <v>0</v>
      </c>
    </row>
  </sheetData>
  <autoFilter ref="A5:BR13"/>
  <mergeCells count="1">
    <mergeCell ref="A2:H2"/>
  </mergeCells>
  <conditionalFormatting sqref="K6:K13">
    <cfRule type="cellIs" priority="2" operator="equal" aboveAverage="0" equalAverage="0" bottom="0" percent="0" rank="0" text="" dxfId="9">
      <formula>1</formula>
    </cfRule>
  </conditionalFormatting>
  <conditionalFormatting sqref="L6:L13">
    <cfRule type="cellIs" priority="3" operator="equal" aboveAverage="0" equalAverage="0" bottom="0" percent="0" rank="0" text="" dxfId="9">
      <formula>1</formula>
    </cfRule>
  </conditionalFormatting>
  <conditionalFormatting sqref="M6:M13">
    <cfRule type="cellIs" priority="4" operator="equal" aboveAverage="0" equalAverage="0" bottom="0" percent="0" rank="0" text="" dxfId="9">
      <formula>1</formula>
    </cfRule>
  </conditionalFormatting>
  <conditionalFormatting sqref="N6:N13">
    <cfRule type="cellIs" priority="5" operator="equal" aboveAverage="0" equalAverage="0" bottom="0" percent="0" rank="0" text="" dxfId="9">
      <formula>1</formula>
    </cfRule>
  </conditionalFormatting>
  <conditionalFormatting sqref="O6:O13">
    <cfRule type="cellIs" priority="6" operator="equal" aboveAverage="0" equalAverage="0" bottom="0" percent="0" rank="0" text="" dxfId="9">
      <formula>1</formula>
    </cfRule>
  </conditionalFormatting>
  <conditionalFormatting sqref="P6:P13">
    <cfRule type="cellIs" priority="7" operator="equal" aboveAverage="0" equalAverage="0" bottom="0" percent="0" rank="0" text="" dxfId="9">
      <formula>1</formula>
    </cfRule>
  </conditionalFormatting>
  <conditionalFormatting sqref="Q6:Q13">
    <cfRule type="cellIs" priority="8" operator="equal" aboveAverage="0" equalAverage="0" bottom="0" percent="0" rank="0" text="" dxfId="9">
      <formula>1</formula>
    </cfRule>
  </conditionalFormatting>
  <conditionalFormatting sqref="R6:R13">
    <cfRule type="cellIs" priority="9" operator="equal" aboveAverage="0" equalAverage="0" bottom="0" percent="0" rank="0" text="" dxfId="9">
      <formula>1</formula>
    </cfRule>
  </conditionalFormatting>
  <conditionalFormatting sqref="S6:S13">
    <cfRule type="cellIs" priority="10" operator="equal" aboveAverage="0" equalAverage="0" bottom="0" percent="0" rank="0" text="" dxfId="9">
      <formula>1</formula>
    </cfRule>
  </conditionalFormatting>
  <conditionalFormatting sqref="T6:T13">
    <cfRule type="cellIs" priority="11" operator="equal" aboveAverage="0" equalAverage="0" bottom="0" percent="0" rank="0" text="" dxfId="9">
      <formula>1</formula>
    </cfRule>
  </conditionalFormatting>
  <conditionalFormatting sqref="U6:U13">
    <cfRule type="cellIs" priority="12" operator="equal" aboveAverage="0" equalAverage="0" bottom="0" percent="0" rank="0" text="" dxfId="9">
      <formula>1</formula>
    </cfRule>
  </conditionalFormatting>
  <conditionalFormatting sqref="V6:V13">
    <cfRule type="cellIs" priority="13" operator="equal" aboveAverage="0" equalAverage="0" bottom="0" percent="0" rank="0" text="" dxfId="9">
      <formula>1</formula>
    </cfRule>
  </conditionalFormatting>
  <conditionalFormatting sqref="W6:W13">
    <cfRule type="cellIs" priority="14" operator="equal" aboveAverage="0" equalAverage="0" bottom="0" percent="0" rank="0" text="" dxfId="9">
      <formula>1</formula>
    </cfRule>
  </conditionalFormatting>
  <conditionalFormatting sqref="X6:X13">
    <cfRule type="cellIs" priority="15" operator="equal" aboveAverage="0" equalAverage="0" bottom="0" percent="0" rank="0" text="" dxfId="9">
      <formula>1</formula>
    </cfRule>
  </conditionalFormatting>
  <conditionalFormatting sqref="Y6:Y13">
    <cfRule type="cellIs" priority="16" operator="equal" aboveAverage="0" equalAverage="0" bottom="0" percent="0" rank="0" text="" dxfId="9">
      <formula>1</formula>
    </cfRule>
  </conditionalFormatting>
  <conditionalFormatting sqref="Z6:Z13">
    <cfRule type="cellIs" priority="17" operator="equal" aboveAverage="0" equalAverage="0" bottom="0" percent="0" rank="0" text="" dxfId="9">
      <formula>1</formula>
    </cfRule>
  </conditionalFormatting>
  <conditionalFormatting sqref="AA6:AA13">
    <cfRule type="cellIs" priority="18" operator="equal" aboveAverage="0" equalAverage="0" bottom="0" percent="0" rank="0" text="" dxfId="9">
      <formula>1</formula>
    </cfRule>
  </conditionalFormatting>
  <conditionalFormatting sqref="AB6:AB13">
    <cfRule type="cellIs" priority="19" operator="equal" aboveAverage="0" equalAverage="0" bottom="0" percent="0" rank="0" text="" dxfId="9">
      <formula>1</formula>
    </cfRule>
  </conditionalFormatting>
  <conditionalFormatting sqref="AC6:AC13">
    <cfRule type="cellIs" priority="20" operator="equal" aboveAverage="0" equalAverage="0" bottom="0" percent="0" rank="0" text="" dxfId="9">
      <formula>1</formula>
    </cfRule>
  </conditionalFormatting>
  <conditionalFormatting sqref="AD6:AD13">
    <cfRule type="cellIs" priority="21" operator="equal" aboveAverage="0" equalAverage="0" bottom="0" percent="0" rank="0" text="" dxfId="9">
      <formula>1</formula>
    </cfRule>
  </conditionalFormatting>
  <conditionalFormatting sqref="AE6:AE13">
    <cfRule type="cellIs" priority="22" operator="equal" aboveAverage="0" equalAverage="0" bottom="0" percent="0" rank="0" text="" dxfId="9">
      <formula>1</formula>
    </cfRule>
  </conditionalFormatting>
  <conditionalFormatting sqref="AF6:AF13">
    <cfRule type="cellIs" priority="23" operator="equal" aboveAverage="0" equalAverage="0" bottom="0" percent="0" rank="0" text="" dxfId="9">
      <formula>1</formula>
    </cfRule>
  </conditionalFormatting>
  <conditionalFormatting sqref="AG6:AG13">
    <cfRule type="cellIs" priority="24" operator="equal" aboveAverage="0" equalAverage="0" bottom="0" percent="0" rank="0" text="" dxfId="9">
      <formula>1</formula>
    </cfRule>
  </conditionalFormatting>
  <conditionalFormatting sqref="AH6:AH13">
    <cfRule type="cellIs" priority="25" operator="equal" aboveAverage="0" equalAverage="0" bottom="0" percent="0" rank="0" text="" dxfId="9">
      <formula>1</formula>
    </cfRule>
  </conditionalFormatting>
  <conditionalFormatting sqref="AI6:AI13">
    <cfRule type="cellIs" priority="26" operator="equal" aboveAverage="0" equalAverage="0" bottom="0" percent="0" rank="0" text="" dxfId="9">
      <formula>1</formula>
    </cfRule>
  </conditionalFormatting>
  <conditionalFormatting sqref="AJ6:AJ13">
    <cfRule type="cellIs" priority="27" operator="equal" aboveAverage="0" equalAverage="0" bottom="0" percent="0" rank="0" text="" dxfId="9">
      <formula>1</formula>
    </cfRule>
  </conditionalFormatting>
  <conditionalFormatting sqref="AK6:AK13">
    <cfRule type="cellIs" priority="28" operator="equal" aboveAverage="0" equalAverage="0" bottom="0" percent="0" rank="0" text="" dxfId="9">
      <formula>1</formula>
    </cfRule>
  </conditionalFormatting>
  <conditionalFormatting sqref="AL6:AL13">
    <cfRule type="cellIs" priority="29" operator="equal" aboveAverage="0" equalAverage="0" bottom="0" percent="0" rank="0" text="" dxfId="9">
      <formula>1</formula>
    </cfRule>
  </conditionalFormatting>
  <conditionalFormatting sqref="AM6:AM13">
    <cfRule type="cellIs" priority="30" operator="equal" aboveAverage="0" equalAverage="0" bottom="0" percent="0" rank="0" text="" dxfId="9">
      <formula>1</formula>
    </cfRule>
  </conditionalFormatting>
  <conditionalFormatting sqref="AN6:AN13">
    <cfRule type="cellIs" priority="31" operator="equal" aboveAverage="0" equalAverage="0" bottom="0" percent="0" rank="0" text="" dxfId="9">
      <formula>1</formula>
    </cfRule>
  </conditionalFormatting>
  <conditionalFormatting sqref="AO6:AO13">
    <cfRule type="cellIs" priority="32" operator="equal" aboveAverage="0" equalAverage="0" bottom="0" percent="0" rank="0" text="" dxfId="9">
      <formula>1</formula>
    </cfRule>
  </conditionalFormatting>
  <conditionalFormatting sqref="AP6:AP13">
    <cfRule type="cellIs" priority="33" operator="equal" aboveAverage="0" equalAverage="0" bottom="0" percent="0" rank="0" text="" dxfId="9">
      <formula>1</formula>
    </cfRule>
  </conditionalFormatting>
  <conditionalFormatting sqref="AQ6:AQ13">
    <cfRule type="cellIs" priority="34" operator="equal" aboveAverage="0" equalAverage="0" bottom="0" percent="0" rank="0" text="" dxfId="9">
      <formula>1</formula>
    </cfRule>
  </conditionalFormatting>
  <conditionalFormatting sqref="AR6:AR13">
    <cfRule type="cellIs" priority="35" operator="equal" aboveAverage="0" equalAverage="0" bottom="0" percent="0" rank="0" text="" dxfId="9">
      <formula>1</formula>
    </cfRule>
  </conditionalFormatting>
  <conditionalFormatting sqref="AS6:AS13">
    <cfRule type="cellIs" priority="36" operator="equal" aboveAverage="0" equalAverage="0" bottom="0" percent="0" rank="0" text="" dxfId="9">
      <formula>1</formula>
    </cfRule>
  </conditionalFormatting>
  <conditionalFormatting sqref="AT6:AT13">
    <cfRule type="cellIs" priority="37" operator="equal" aboveAverage="0" equalAverage="0" bottom="0" percent="0" rank="0" text="" dxfId="9">
      <formula>1</formula>
    </cfRule>
  </conditionalFormatting>
  <conditionalFormatting sqref="AU6:AU13">
    <cfRule type="cellIs" priority="38" operator="equal" aboveAverage="0" equalAverage="0" bottom="0" percent="0" rank="0" text="" dxfId="9">
      <formula>1</formula>
    </cfRule>
  </conditionalFormatting>
  <conditionalFormatting sqref="AV6:AV13">
    <cfRule type="cellIs" priority="39" operator="equal" aboveAverage="0" equalAverage="0" bottom="0" percent="0" rank="0" text="" dxfId="9">
      <formula>1</formula>
    </cfRule>
  </conditionalFormatting>
  <conditionalFormatting sqref="AW6:AW13">
    <cfRule type="cellIs" priority="40" operator="equal" aboveAverage="0" equalAverage="0" bottom="0" percent="0" rank="0" text="" dxfId="9">
      <formula>1</formula>
    </cfRule>
  </conditionalFormatting>
  <conditionalFormatting sqref="AX6:AX13">
    <cfRule type="cellIs" priority="41" operator="equal" aboveAverage="0" equalAverage="0" bottom="0" percent="0" rank="0" text="" dxfId="9">
      <formula>1</formula>
    </cfRule>
  </conditionalFormatting>
  <conditionalFormatting sqref="AY6:AY13">
    <cfRule type="cellIs" priority="42" operator="equal" aboveAverage="0" equalAverage="0" bottom="0" percent="0" rank="0" text="" dxfId="9">
      <formula>1</formula>
    </cfRule>
  </conditionalFormatting>
  <conditionalFormatting sqref="AZ6:AZ13">
    <cfRule type="cellIs" priority="43" operator="equal" aboveAverage="0" equalAverage="0" bottom="0" percent="0" rank="0" text="" dxfId="9">
      <formula>1</formula>
    </cfRule>
  </conditionalFormatting>
  <conditionalFormatting sqref="BA6:BA13">
    <cfRule type="cellIs" priority="44" operator="equal" aboveAverage="0" equalAverage="0" bottom="0" percent="0" rank="0" text="" dxfId="9">
      <formula>1</formula>
    </cfRule>
  </conditionalFormatting>
  <conditionalFormatting sqref="BB6:BB13">
    <cfRule type="cellIs" priority="45" operator="equal" aboveAverage="0" equalAverage="0" bottom="0" percent="0" rank="0" text="" dxfId="9">
      <formula>1</formula>
    </cfRule>
  </conditionalFormatting>
  <conditionalFormatting sqref="BC6:BC13">
    <cfRule type="cellIs" priority="46" operator="equal" aboveAverage="0" equalAverage="0" bottom="0" percent="0" rank="0" text="" dxfId="9">
      <formula>1</formula>
    </cfRule>
  </conditionalFormatting>
  <conditionalFormatting sqref="BD6:BD13">
    <cfRule type="cellIs" priority="47" operator="equal" aboveAverage="0" equalAverage="0" bottom="0" percent="0" rank="0" text="" dxfId="9">
      <formula>1</formula>
    </cfRule>
  </conditionalFormatting>
  <conditionalFormatting sqref="BE6:BE13">
    <cfRule type="cellIs" priority="48" operator="equal" aboveAverage="0" equalAverage="0" bottom="0" percent="0" rank="0" text="" dxfId="9">
      <formula>1</formula>
    </cfRule>
  </conditionalFormatting>
  <conditionalFormatting sqref="BF6:BF13">
    <cfRule type="cellIs" priority="49" operator="equal" aboveAverage="0" equalAverage="0" bottom="0" percent="0" rank="0" text="" dxfId="9">
      <formula>1</formula>
    </cfRule>
  </conditionalFormatting>
  <conditionalFormatting sqref="BG6:BG13">
    <cfRule type="cellIs" priority="50" operator="equal" aboveAverage="0" equalAverage="0" bottom="0" percent="0" rank="0" text="" dxfId="9">
      <formula>1</formula>
    </cfRule>
  </conditionalFormatting>
  <conditionalFormatting sqref="BH6:BH13">
    <cfRule type="cellIs" priority="51" operator="equal" aboveAverage="0" equalAverage="0" bottom="0" percent="0" rank="0" text="" dxfId="9">
      <formula>1</formula>
    </cfRule>
  </conditionalFormatting>
  <conditionalFormatting sqref="BI6:BI13">
    <cfRule type="cellIs" priority="52" operator="equal" aboveAverage="0" equalAverage="0" bottom="0" percent="0" rank="0" text="" dxfId="9">
      <formula>1</formula>
    </cfRule>
  </conditionalFormatting>
  <conditionalFormatting sqref="BJ6:BJ13">
    <cfRule type="cellIs" priority="53" operator="equal" aboveAverage="0" equalAverage="0" bottom="0" percent="0" rank="0" text="" dxfId="9">
      <formula>1</formula>
    </cfRule>
  </conditionalFormatting>
  <conditionalFormatting sqref="BK6:BK13">
    <cfRule type="cellIs" priority="54" operator="equal" aboveAverage="0" equalAverage="0" bottom="0" percent="0" rank="0" text="" dxfId="9">
      <formula>1</formula>
    </cfRule>
  </conditionalFormatting>
  <conditionalFormatting sqref="BL6:BL13">
    <cfRule type="cellIs" priority="55" operator="equal" aboveAverage="0" equalAverage="0" bottom="0" percent="0" rank="0" text="" dxfId="9">
      <formula>1</formula>
    </cfRule>
  </conditionalFormatting>
  <conditionalFormatting sqref="BM6:BM13">
    <cfRule type="cellIs" priority="56" operator="equal" aboveAverage="0" equalAverage="0" bottom="0" percent="0" rank="0" text="" dxfId="9">
      <formula>1</formula>
    </cfRule>
  </conditionalFormatting>
  <conditionalFormatting sqref="BN6:BN13">
    <cfRule type="cellIs" priority="57" operator="equal" aboveAverage="0" equalAverage="0" bottom="0" percent="0" rank="0" text="" dxfId="9">
      <formula>1</formula>
    </cfRule>
  </conditionalFormatting>
  <conditionalFormatting sqref="BO6:BO13">
    <cfRule type="cellIs" priority="58" operator="equal" aboveAverage="0" equalAverage="0" bottom="0" percent="0" rank="0" text="" dxfId="9">
      <formula>1</formula>
    </cfRule>
  </conditionalFormatting>
  <conditionalFormatting sqref="BP6:BP13">
    <cfRule type="cellIs" priority="59" operator="equal" aboveAverage="0" equalAverage="0" bottom="0" percent="0" rank="0" text="" dxfId="9">
      <formula>1</formula>
    </cfRule>
  </conditionalFormatting>
  <conditionalFormatting sqref="BQ6:BQ13">
    <cfRule type="cellIs" priority="60" operator="equal" aboveAverage="0" equalAverage="0" bottom="0" percent="0" rank="0" text="" dxfId="9">
      <formula>1</formula>
    </cfRule>
  </conditionalFormatting>
  <conditionalFormatting sqref="BR6:BR13">
    <cfRule type="cellIs" priority="61" operator="equal" aboveAverage="0" equalAverage="0" bottom="0" percent="0" rank="0" text="" dxfId="9">
      <formula>1</formula>
    </cfRule>
  </conditionalFormatting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7" min="2" style="0" width="52"/>
    <col collapsed="false" customWidth="true" hidden="false" outlineLevel="0" max="8" min="8" style="0" width="20"/>
  </cols>
  <sheetData>
    <row r="1" customFormat="false" ht="28.5" hidden="false" customHeight="true" outlineLevel="0" collapsed="false">
      <c r="A1" s="1" t="s">
        <v>907</v>
      </c>
    </row>
    <row r="2" customFormat="false" ht="43.5" hidden="false" customHeight="true" outlineLevel="0" collapsed="false">
      <c r="A2" s="2" t="s">
        <v>908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444</v>
      </c>
      <c r="B5" s="13" t="s">
        <v>854</v>
      </c>
      <c r="C5" s="13" t="s">
        <v>454</v>
      </c>
      <c r="D5" s="13" t="s">
        <v>909</v>
      </c>
      <c r="E5" s="13" t="s">
        <v>910</v>
      </c>
      <c r="F5" s="13" t="s">
        <v>457</v>
      </c>
      <c r="G5" s="13" t="s">
        <v>911</v>
      </c>
      <c r="H5" s="5"/>
    </row>
    <row r="6" customFormat="false" ht="99.75" hidden="false" customHeight="true" outlineLevel="0" collapsed="false">
      <c r="A6" s="6" t="s">
        <v>912</v>
      </c>
      <c r="B6" s="6" t="s">
        <v>913</v>
      </c>
      <c r="C6" s="6" t="s">
        <v>327</v>
      </c>
      <c r="D6" s="6" t="s">
        <v>914</v>
      </c>
      <c r="E6" s="6" t="s">
        <v>915</v>
      </c>
      <c r="F6" s="6" t="s">
        <v>916</v>
      </c>
      <c r="G6" s="6" t="s">
        <v>917</v>
      </c>
      <c r="H6" s="6"/>
    </row>
    <row r="7" customFormat="false" ht="99.75" hidden="false" customHeight="true" outlineLevel="0" collapsed="false">
      <c r="A7" s="6" t="s">
        <v>918</v>
      </c>
      <c r="B7" s="6" t="s">
        <v>919</v>
      </c>
      <c r="C7" s="6" t="s">
        <v>920</v>
      </c>
      <c r="D7" s="6" t="s">
        <v>921</v>
      </c>
      <c r="E7" s="6" t="s">
        <v>922</v>
      </c>
      <c r="F7" s="6" t="s">
        <v>923</v>
      </c>
      <c r="G7" s="6" t="s">
        <v>924</v>
      </c>
      <c r="H7" s="6"/>
    </row>
    <row r="8" customFormat="false" ht="99.75" hidden="false" customHeight="true" outlineLevel="0" collapsed="false">
      <c r="A8" s="6" t="s">
        <v>925</v>
      </c>
      <c r="B8" s="6" t="s">
        <v>926</v>
      </c>
      <c r="C8" s="6" t="s">
        <v>927</v>
      </c>
      <c r="D8" s="6" t="s">
        <v>928</v>
      </c>
      <c r="E8" s="6" t="s">
        <v>929</v>
      </c>
      <c r="F8" s="6" t="s">
        <v>930</v>
      </c>
      <c r="G8" s="6" t="s">
        <v>931</v>
      </c>
      <c r="H8" s="6"/>
    </row>
    <row r="9" customFormat="false" ht="99.75" hidden="false" customHeight="true" outlineLevel="0" collapsed="false">
      <c r="A9" s="6" t="s">
        <v>932</v>
      </c>
      <c r="B9" s="6" t="s">
        <v>933</v>
      </c>
      <c r="C9" s="6" t="s">
        <v>934</v>
      </c>
      <c r="D9" s="6" t="s">
        <v>935</v>
      </c>
      <c r="E9" s="6" t="s">
        <v>936</v>
      </c>
      <c r="F9" s="6" t="s">
        <v>937</v>
      </c>
      <c r="G9" s="6" t="s">
        <v>938</v>
      </c>
      <c r="H9" s="6"/>
    </row>
    <row r="10" customFormat="false" ht="99.75" hidden="false" customHeight="true" outlineLevel="0" collapsed="false">
      <c r="A10" s="6" t="s">
        <v>939</v>
      </c>
      <c r="B10" s="6" t="s">
        <v>940</v>
      </c>
      <c r="C10" s="6" t="s">
        <v>941</v>
      </c>
      <c r="D10" s="6" t="s">
        <v>942</v>
      </c>
      <c r="E10" s="6" t="s">
        <v>943</v>
      </c>
      <c r="F10" s="6" t="s">
        <v>944</v>
      </c>
      <c r="G10" s="6" t="s">
        <v>282</v>
      </c>
      <c r="H10" s="6"/>
    </row>
    <row r="11" customFormat="false" ht="99.75" hidden="false" customHeight="true" outlineLevel="0" collapsed="false">
      <c r="A11" s="6" t="s">
        <v>945</v>
      </c>
      <c r="B11" s="6" t="s">
        <v>946</v>
      </c>
      <c r="C11" s="6" t="s">
        <v>857</v>
      </c>
      <c r="D11" s="6" t="s">
        <v>947</v>
      </c>
      <c r="E11" s="6" t="s">
        <v>948</v>
      </c>
      <c r="F11" s="6" t="s">
        <v>949</v>
      </c>
      <c r="G11" s="6" t="s">
        <v>931</v>
      </c>
      <c r="H11" s="6"/>
    </row>
    <row r="12" customFormat="false" ht="99.75" hidden="false" customHeight="true" outlineLevel="0" collapsed="false">
      <c r="A12" s="6" t="s">
        <v>950</v>
      </c>
      <c r="B12" s="6" t="s">
        <v>951</v>
      </c>
      <c r="C12" s="6" t="s">
        <v>952</v>
      </c>
      <c r="D12" s="6" t="s">
        <v>953</v>
      </c>
      <c r="E12" s="6" t="s">
        <v>954</v>
      </c>
      <c r="F12" s="6" t="s">
        <v>955</v>
      </c>
      <c r="G12" s="6" t="s">
        <v>917</v>
      </c>
      <c r="H12" s="6"/>
    </row>
    <row r="13" customFormat="false" ht="99.75" hidden="false" customHeight="true" outlineLevel="0" collapsed="false">
      <c r="A13" s="6" t="s">
        <v>956</v>
      </c>
      <c r="B13" s="6" t="s">
        <v>957</v>
      </c>
      <c r="C13" s="6" t="s">
        <v>958</v>
      </c>
      <c r="D13" s="6" t="s">
        <v>959</v>
      </c>
      <c r="E13" s="6" t="s">
        <v>960</v>
      </c>
      <c r="F13" s="6" t="s">
        <v>961</v>
      </c>
      <c r="G13" s="6" t="s">
        <v>962</v>
      </c>
      <c r="H13" s="6"/>
    </row>
    <row r="14" customFormat="false" ht="99.75" hidden="false" customHeight="true" outlineLevel="0" collapsed="false">
      <c r="A14" s="6" t="s">
        <v>963</v>
      </c>
      <c r="B14" s="6" t="s">
        <v>964</v>
      </c>
      <c r="C14" s="6" t="s">
        <v>724</v>
      </c>
      <c r="D14" s="6" t="s">
        <v>965</v>
      </c>
      <c r="E14" s="6" t="s">
        <v>966</v>
      </c>
      <c r="F14" s="6" t="s">
        <v>967</v>
      </c>
      <c r="G14" s="6" t="s">
        <v>931</v>
      </c>
      <c r="H14" s="6"/>
    </row>
    <row r="15" customFormat="false" ht="99.75" hidden="false" customHeight="true" outlineLevel="0" collapsed="false">
      <c r="A15" s="6" t="s">
        <v>968</v>
      </c>
      <c r="B15" s="6" t="s">
        <v>969</v>
      </c>
      <c r="C15" s="6" t="s">
        <v>970</v>
      </c>
      <c r="D15" s="6" t="s">
        <v>971</v>
      </c>
      <c r="E15" s="6" t="s">
        <v>893</v>
      </c>
      <c r="F15" s="6" t="s">
        <v>972</v>
      </c>
      <c r="G15" s="6" t="s">
        <v>973</v>
      </c>
      <c r="H15" s="6"/>
    </row>
    <row r="16" customFormat="false" ht="99.75" hidden="false" customHeight="true" outlineLevel="0" collapsed="false">
      <c r="A16" s="6" t="s">
        <v>974</v>
      </c>
      <c r="B16" s="6" t="s">
        <v>975</v>
      </c>
      <c r="C16" s="6" t="s">
        <v>903</v>
      </c>
      <c r="D16" s="6" t="s">
        <v>976</v>
      </c>
      <c r="E16" s="6" t="s">
        <v>900</v>
      </c>
      <c r="F16" s="6" t="s">
        <v>977</v>
      </c>
      <c r="G16" s="6" t="s">
        <v>978</v>
      </c>
      <c r="H16" s="6"/>
    </row>
    <row r="17" customFormat="false" ht="99.75" hidden="false" customHeight="true" outlineLevel="0" collapsed="false">
      <c r="A17" s="6" t="s">
        <v>979</v>
      </c>
      <c r="B17" s="6" t="s">
        <v>980</v>
      </c>
      <c r="C17" s="6" t="s">
        <v>327</v>
      </c>
      <c r="D17" s="6" t="s">
        <v>981</v>
      </c>
      <c r="E17" s="6" t="s">
        <v>982</v>
      </c>
      <c r="F17" s="6" t="s">
        <v>983</v>
      </c>
      <c r="G17" s="6" t="s">
        <v>282</v>
      </c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35.05" hidden="false" customHeight="false" outlineLevel="0" collapsed="false">
      <c r="A20" s="6" t="s">
        <v>984</v>
      </c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 t="s">
        <v>985</v>
      </c>
      <c r="B21" s="6" t="s">
        <v>986</v>
      </c>
      <c r="C21" s="6" t="s">
        <v>987</v>
      </c>
      <c r="D21" s="6" t="s">
        <v>988</v>
      </c>
      <c r="E21" s="6" t="s">
        <v>989</v>
      </c>
      <c r="F21" s="6" t="s">
        <v>990</v>
      </c>
      <c r="G21" s="6" t="s">
        <v>991</v>
      </c>
      <c r="H21" s="6"/>
    </row>
    <row r="22" customFormat="false" ht="15" hidden="false" customHeight="false" outlineLevel="0" collapsed="false">
      <c r="A22" s="6" t="s">
        <v>992</v>
      </c>
      <c r="B22" s="6" t="n">
        <v>1</v>
      </c>
      <c r="C22" s="6" t="n">
        <v>3</v>
      </c>
      <c r="D22" s="10" t="n">
        <f aca="false">SUM('Monthly Model'!AC6:AC8)</f>
        <v>167832.15</v>
      </c>
      <c r="E22" s="10" t="n">
        <f aca="false">SUM('Monthly Model'!AC6:AC8)</f>
        <v>167832.15</v>
      </c>
      <c r="F22" s="10" t="n">
        <f aca="false">'Monthly Model'!AP8</f>
        <v>167832.15</v>
      </c>
      <c r="G22" s="10" t="n">
        <f aca="false">MAX('Monthly Model'!AK6:AK8)</f>
        <v>0</v>
      </c>
      <c r="H22" s="6"/>
    </row>
    <row r="23" customFormat="false" ht="15" hidden="false" customHeight="false" outlineLevel="0" collapsed="false">
      <c r="A23" s="6" t="s">
        <v>498</v>
      </c>
      <c r="B23" s="6" t="n">
        <v>4</v>
      </c>
      <c r="C23" s="6" t="n">
        <v>8</v>
      </c>
      <c r="D23" s="10" t="n">
        <f aca="false">SUM('Monthly Model'!AC9:AC13)</f>
        <v>419124.783333333</v>
      </c>
      <c r="E23" s="10" t="n">
        <f aca="false">SUM('Monthly Model'!AC6:AC13)</f>
        <v>586956.933333333</v>
      </c>
      <c r="F23" s="10" t="n">
        <f aca="false">'Monthly Model'!AP13</f>
        <v>586956.933333333</v>
      </c>
      <c r="G23" s="10" t="n">
        <f aca="false">MAX('Monthly Model'!AK6:AK13)</f>
        <v>0</v>
      </c>
      <c r="H23" s="6"/>
    </row>
    <row r="24" customFormat="false" ht="15" hidden="false" customHeight="false" outlineLevel="0" collapsed="false">
      <c r="A24" s="6" t="s">
        <v>558</v>
      </c>
      <c r="B24" s="6" t="n">
        <v>9</v>
      </c>
      <c r="C24" s="6" t="n">
        <v>11</v>
      </c>
      <c r="D24" s="10" t="n">
        <f aca="false">SUM('Monthly Model'!AC14:AC16)</f>
        <v>343367</v>
      </c>
      <c r="E24" s="10" t="n">
        <f aca="false">SUM('Monthly Model'!AC6:AC16)</f>
        <v>930323.933333333</v>
      </c>
      <c r="F24" s="10" t="n">
        <f aca="false">'Monthly Model'!AP16</f>
        <v>930323.933333333</v>
      </c>
      <c r="G24" s="10" t="n">
        <f aca="false">MAX('Monthly Model'!AK6:AK16)</f>
        <v>0</v>
      </c>
      <c r="H24" s="6"/>
    </row>
    <row r="25" customFormat="false" ht="15" hidden="false" customHeight="false" outlineLevel="0" collapsed="false">
      <c r="A25" s="6" t="s">
        <v>568</v>
      </c>
      <c r="B25" s="6" t="n">
        <v>12</v>
      </c>
      <c r="C25" s="6" t="n">
        <v>15</v>
      </c>
      <c r="D25" s="10" t="n">
        <f aca="false">SUM('Monthly Model'!AC17:AC20)</f>
        <v>416116.134716865</v>
      </c>
      <c r="E25" s="10" t="n">
        <f aca="false">SUM('Monthly Model'!AC6:AC20)</f>
        <v>1346440.0680502</v>
      </c>
      <c r="F25" s="10" t="n">
        <f aca="false">'Monthly Model'!AP20</f>
        <v>1341075.9780502</v>
      </c>
      <c r="G25" s="10" t="n">
        <f aca="false">MAX('Monthly Model'!AK6:AK20)</f>
        <v>27452.5499999998</v>
      </c>
      <c r="H25" s="6"/>
    </row>
    <row r="26" customFormat="false" ht="15" hidden="false" customHeight="false" outlineLevel="0" collapsed="false">
      <c r="A26" s="6" t="s">
        <v>993</v>
      </c>
      <c r="B26" s="6" t="n">
        <v>16</v>
      </c>
      <c r="C26" s="6" t="n">
        <v>24</v>
      </c>
      <c r="D26" s="10" t="n">
        <f aca="false">SUM('Monthly Model'!AC21:AC29)</f>
        <v>1370392.42563919</v>
      </c>
      <c r="E26" s="10" t="n">
        <f aca="false">SUM('Monthly Model'!AC6:AC29)</f>
        <v>2716832.49368939</v>
      </c>
      <c r="F26" s="10" t="n">
        <f aca="false">'Monthly Model'!AP29</f>
        <v>2649143.28669868</v>
      </c>
      <c r="G26" s="10" t="n">
        <f aca="false">MAX('Monthly Model'!AK6:AK29)</f>
        <v>27452.5499999998</v>
      </c>
      <c r="H26" s="6"/>
    </row>
    <row r="27" customFormat="false" ht="15" hidden="false" customHeight="false" outlineLevel="0" collapsed="false">
      <c r="A27" s="6" t="s">
        <v>73</v>
      </c>
      <c r="B27" s="6" t="n">
        <v>25</v>
      </c>
      <c r="C27" s="6" t="n">
        <v>60</v>
      </c>
      <c r="D27" s="10" t="n">
        <f aca="false">SUM('Monthly Model'!AC30:AC65)</f>
        <v>8190417.61621777</v>
      </c>
      <c r="E27" s="10" t="n">
        <f aca="false">SUM('Monthly Model'!AC6:AC65)</f>
        <v>10907250.1099072</v>
      </c>
      <c r="F27" s="10" t="n">
        <f aca="false">'Monthly Model'!AP65</f>
        <v>9465729.53389173</v>
      </c>
      <c r="G27" s="10" t="n">
        <f aca="false">MAX('Monthly Model'!AK6:AK65)</f>
        <v>5465729.53389173</v>
      </c>
      <c r="H27" s="6"/>
    </row>
  </sheetData>
  <autoFilter ref="A5:H27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5" min="1" style="0" width="20"/>
    <col collapsed="false" customWidth="true" hidden="false" outlineLevel="1" max="11" min="6" style="0" width="20"/>
    <col collapsed="false" customWidth="true" hidden="false" outlineLevel="0" max="12" min="12" style="0" width="20"/>
  </cols>
  <sheetData>
    <row r="1" customFormat="false" ht="28.5" hidden="false" customHeight="true" outlineLevel="0" collapsed="false">
      <c r="A1" s="1" t="s">
        <v>994</v>
      </c>
    </row>
    <row r="2" customFormat="false" ht="43.5" hidden="false" customHeight="true" outlineLevel="0" collapsed="false">
      <c r="A2" s="2" t="s">
        <v>995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3</v>
      </c>
      <c r="B5" s="13" t="s">
        <v>310</v>
      </c>
      <c r="C5" s="13" t="s">
        <v>996</v>
      </c>
      <c r="D5" s="13" t="s">
        <v>997</v>
      </c>
      <c r="E5" s="13" t="s">
        <v>998</v>
      </c>
      <c r="F5" s="13" t="s">
        <v>999</v>
      </c>
      <c r="G5" s="13" t="s">
        <v>1000</v>
      </c>
      <c r="H5" s="13" t="s">
        <v>1001</v>
      </c>
      <c r="I5" s="13" t="s">
        <v>1002</v>
      </c>
      <c r="J5" s="13" t="s">
        <v>35</v>
      </c>
      <c r="K5" s="13" t="s">
        <v>37</v>
      </c>
      <c r="L5" s="13" t="s">
        <v>1003</v>
      </c>
    </row>
    <row r="6" customFormat="false" ht="15" hidden="false" customHeight="false" outlineLevel="0" collapsed="false">
      <c r="A6" s="6" t="s">
        <v>72</v>
      </c>
      <c r="B6" s="6" t="s">
        <v>325</v>
      </c>
      <c r="C6" s="6" t="n">
        <v>1</v>
      </c>
      <c r="D6" s="25" t="n">
        <f aca="false">EDATE('Start Here'!$B$6,C6-1)</f>
        <v>46327</v>
      </c>
      <c r="E6" s="11" t="n">
        <f aca="false">IF(AND(C6&gt;=Staffing!$F$6,C6&lt;=Staffing!$G$6,1=1),IF(C6&lt;=6,Staffing!$H$6,IF(C6&lt;=15,Staffing!$I$6,IF(C6&lt;=30,Staffing!$J$6,Staffing!$K$6))),0)</f>
        <v>0.75</v>
      </c>
      <c r="F6" s="10" t="n">
        <f aca="false">E6*Assumptions!$C$26/12*(1+Assumptions!$C$10)^INT((C6-1)/12)*'Start Here'!$B$10</f>
        <v>0</v>
      </c>
      <c r="G6" s="10" t="n">
        <f aca="false">F6*Staffing!$N$6</f>
        <v>0</v>
      </c>
      <c r="H6" s="10" t="n">
        <f aca="false">F6+G6</f>
        <v>0</v>
      </c>
      <c r="I6" s="10" t="n">
        <f aca="false">E6*Assumptions!$C$26/12*(1+Assumptions!$C$10)^INT((C6-1)/12)*(1-'Start Here'!$B$10)</f>
        <v>9375</v>
      </c>
      <c r="J6" s="10" t="n">
        <f aca="false">MAX(0,E6-0)*Staffing!$O$6</f>
        <v>0</v>
      </c>
      <c r="K6" s="10" t="n">
        <f aca="false">MAX(0,E6-0)*Staffing!$P$6</f>
        <v>1875</v>
      </c>
      <c r="L6" s="23" t="n">
        <f aca="false">ROUNDUP(E6,0)</f>
        <v>1</v>
      </c>
    </row>
    <row r="7" customFormat="false" ht="15" hidden="false" customHeight="false" outlineLevel="0" collapsed="false">
      <c r="A7" s="6" t="s">
        <v>72</v>
      </c>
      <c r="B7" s="6" t="s">
        <v>325</v>
      </c>
      <c r="C7" s="6" t="n">
        <v>2</v>
      </c>
      <c r="D7" s="25" t="n">
        <f aca="false">EDATE('Start Here'!$B$6,C7-1)</f>
        <v>46357</v>
      </c>
      <c r="E7" s="11" t="n">
        <f aca="false">IF(AND(C7&gt;=Staffing!$F$6,C7&lt;=Staffing!$G$6,1=1),IF(C7&lt;=6,Staffing!$H$6,IF(C7&lt;=15,Staffing!$I$6,IF(C7&lt;=30,Staffing!$J$6,Staffing!$K$6))),0)</f>
        <v>0.75</v>
      </c>
      <c r="F7" s="10" t="n">
        <f aca="false">E7*Assumptions!$C$26/12*(1+Assumptions!$C$10)^INT((C7-1)/12)*'Start Here'!$B$10</f>
        <v>0</v>
      </c>
      <c r="G7" s="10" t="n">
        <f aca="false">F7*Staffing!$N$6</f>
        <v>0</v>
      </c>
      <c r="H7" s="10" t="n">
        <f aca="false">F7+G7</f>
        <v>0</v>
      </c>
      <c r="I7" s="10" t="n">
        <f aca="false">E7*Assumptions!$C$26/12*(1+Assumptions!$C$10)^INT((C7-1)/12)*(1-'Start Here'!$B$10)</f>
        <v>9375</v>
      </c>
      <c r="J7" s="10" t="n">
        <f aca="false">MAX(0,E7-E6)*Staffing!$O$6</f>
        <v>0</v>
      </c>
      <c r="K7" s="10" t="n">
        <f aca="false">MAX(0,E7-E6)*Staffing!$P$6</f>
        <v>0</v>
      </c>
      <c r="L7" s="23" t="n">
        <f aca="false">ROUNDUP(E7,0)</f>
        <v>1</v>
      </c>
    </row>
    <row r="8" customFormat="false" ht="15" hidden="false" customHeight="false" outlineLevel="0" collapsed="false">
      <c r="A8" s="6" t="s">
        <v>72</v>
      </c>
      <c r="B8" s="6" t="s">
        <v>325</v>
      </c>
      <c r="C8" s="6" t="n">
        <v>3</v>
      </c>
      <c r="D8" s="25" t="n">
        <f aca="false">EDATE('Start Here'!$B$6,C8-1)</f>
        <v>46388</v>
      </c>
      <c r="E8" s="11" t="n">
        <f aca="false">IF(AND(C8&gt;=Staffing!$F$6,C8&lt;=Staffing!$G$6,1=1),IF(C8&lt;=6,Staffing!$H$6,IF(C8&lt;=15,Staffing!$I$6,IF(C8&lt;=30,Staffing!$J$6,Staffing!$K$6))),0)</f>
        <v>0.75</v>
      </c>
      <c r="F8" s="10" t="n">
        <f aca="false">E8*Assumptions!$C$26/12*(1+Assumptions!$C$10)^INT((C8-1)/12)*'Start Here'!$B$10</f>
        <v>0</v>
      </c>
      <c r="G8" s="10" t="n">
        <f aca="false">F8*Staffing!$N$6</f>
        <v>0</v>
      </c>
      <c r="H8" s="10" t="n">
        <f aca="false">F8+G8</f>
        <v>0</v>
      </c>
      <c r="I8" s="10" t="n">
        <f aca="false">E8*Assumptions!$C$26/12*(1+Assumptions!$C$10)^INT((C8-1)/12)*(1-'Start Here'!$B$10)</f>
        <v>9375</v>
      </c>
      <c r="J8" s="10" t="n">
        <f aca="false">MAX(0,E8-E7)*Staffing!$O$6</f>
        <v>0</v>
      </c>
      <c r="K8" s="10" t="n">
        <f aca="false">MAX(0,E8-E7)*Staffing!$P$6</f>
        <v>0</v>
      </c>
      <c r="L8" s="23" t="n">
        <f aca="false">ROUNDUP(E8,0)</f>
        <v>1</v>
      </c>
    </row>
    <row r="9" customFormat="false" ht="15" hidden="false" customHeight="false" outlineLevel="0" collapsed="false">
      <c r="A9" s="6" t="s">
        <v>72</v>
      </c>
      <c r="B9" s="6" t="s">
        <v>325</v>
      </c>
      <c r="C9" s="6" t="n">
        <v>4</v>
      </c>
      <c r="D9" s="25" t="n">
        <f aca="false">EDATE('Start Here'!$B$6,C9-1)</f>
        <v>46419</v>
      </c>
      <c r="E9" s="11" t="n">
        <f aca="false">IF(AND(C9&gt;=Staffing!$F$6,C9&lt;=Staffing!$G$6,1=1),IF(C9&lt;=6,Staffing!$H$6,IF(C9&lt;=15,Staffing!$I$6,IF(C9&lt;=30,Staffing!$J$6,Staffing!$K$6))),0)</f>
        <v>0.75</v>
      </c>
      <c r="F9" s="10" t="n">
        <f aca="false">E9*Assumptions!$C$26/12*(1+Assumptions!$C$10)^INT((C9-1)/12)*'Start Here'!$B$10</f>
        <v>0</v>
      </c>
      <c r="G9" s="10" t="n">
        <f aca="false">F9*Staffing!$N$6</f>
        <v>0</v>
      </c>
      <c r="H9" s="10" t="n">
        <f aca="false">F9+G9</f>
        <v>0</v>
      </c>
      <c r="I9" s="10" t="n">
        <f aca="false">E9*Assumptions!$C$26/12*(1+Assumptions!$C$10)^INT((C9-1)/12)*(1-'Start Here'!$B$10)</f>
        <v>9375</v>
      </c>
      <c r="J9" s="10" t="n">
        <f aca="false">MAX(0,E9-E8)*Staffing!$O$6</f>
        <v>0</v>
      </c>
      <c r="K9" s="10" t="n">
        <f aca="false">MAX(0,E9-E8)*Staffing!$P$6</f>
        <v>0</v>
      </c>
      <c r="L9" s="23" t="n">
        <f aca="false">ROUNDUP(E9,0)</f>
        <v>1</v>
      </c>
    </row>
    <row r="10" customFormat="false" ht="15" hidden="false" customHeight="false" outlineLevel="0" collapsed="false">
      <c r="A10" s="6" t="s">
        <v>72</v>
      </c>
      <c r="B10" s="6" t="s">
        <v>325</v>
      </c>
      <c r="C10" s="6" t="n">
        <v>5</v>
      </c>
      <c r="D10" s="25" t="n">
        <f aca="false">EDATE('Start Here'!$B$6,C10-1)</f>
        <v>46447</v>
      </c>
      <c r="E10" s="11" t="n">
        <f aca="false">IF(AND(C10&gt;=Staffing!$F$6,C10&lt;=Staffing!$G$6,1=1),IF(C10&lt;=6,Staffing!$H$6,IF(C10&lt;=15,Staffing!$I$6,IF(C10&lt;=30,Staffing!$J$6,Staffing!$K$6))),0)</f>
        <v>0.75</v>
      </c>
      <c r="F10" s="10" t="n">
        <f aca="false">E10*Assumptions!$C$26/12*(1+Assumptions!$C$10)^INT((C10-1)/12)*'Start Here'!$B$10</f>
        <v>0</v>
      </c>
      <c r="G10" s="10" t="n">
        <f aca="false">F10*Staffing!$N$6</f>
        <v>0</v>
      </c>
      <c r="H10" s="10" t="n">
        <f aca="false">F10+G10</f>
        <v>0</v>
      </c>
      <c r="I10" s="10" t="n">
        <f aca="false">E10*Assumptions!$C$26/12*(1+Assumptions!$C$10)^INT((C10-1)/12)*(1-'Start Here'!$B$10)</f>
        <v>9375</v>
      </c>
      <c r="J10" s="10" t="n">
        <f aca="false">MAX(0,E10-E9)*Staffing!$O$6</f>
        <v>0</v>
      </c>
      <c r="K10" s="10" t="n">
        <f aca="false">MAX(0,E10-E9)*Staffing!$P$6</f>
        <v>0</v>
      </c>
      <c r="L10" s="23" t="n">
        <f aca="false">ROUNDUP(E10,0)</f>
        <v>1</v>
      </c>
    </row>
    <row r="11" customFormat="false" ht="15" hidden="false" customHeight="false" outlineLevel="0" collapsed="false">
      <c r="A11" s="6" t="s">
        <v>72</v>
      </c>
      <c r="B11" s="6" t="s">
        <v>325</v>
      </c>
      <c r="C11" s="6" t="n">
        <v>6</v>
      </c>
      <c r="D11" s="25" t="n">
        <f aca="false">EDATE('Start Here'!$B$6,C11-1)</f>
        <v>46478</v>
      </c>
      <c r="E11" s="11" t="n">
        <f aca="false">IF(AND(C11&gt;=Staffing!$F$6,C11&lt;=Staffing!$G$6,1=1),IF(C11&lt;=6,Staffing!$H$6,IF(C11&lt;=15,Staffing!$I$6,IF(C11&lt;=30,Staffing!$J$6,Staffing!$K$6))),0)</f>
        <v>0.75</v>
      </c>
      <c r="F11" s="10" t="n">
        <f aca="false">E11*Assumptions!$C$26/12*(1+Assumptions!$C$10)^INT((C11-1)/12)*'Start Here'!$B$10</f>
        <v>0</v>
      </c>
      <c r="G11" s="10" t="n">
        <f aca="false">F11*Staffing!$N$6</f>
        <v>0</v>
      </c>
      <c r="H11" s="10" t="n">
        <f aca="false">F11+G11</f>
        <v>0</v>
      </c>
      <c r="I11" s="10" t="n">
        <f aca="false">E11*Assumptions!$C$26/12*(1+Assumptions!$C$10)^INT((C11-1)/12)*(1-'Start Here'!$B$10)</f>
        <v>9375</v>
      </c>
      <c r="J11" s="10" t="n">
        <f aca="false">MAX(0,E11-E10)*Staffing!$O$6</f>
        <v>0</v>
      </c>
      <c r="K11" s="10" t="n">
        <f aca="false">MAX(0,E11-E10)*Staffing!$P$6</f>
        <v>0</v>
      </c>
      <c r="L11" s="23" t="n">
        <f aca="false">ROUNDUP(E11,0)</f>
        <v>1</v>
      </c>
    </row>
    <row r="12" customFormat="false" ht="15" hidden="false" customHeight="false" outlineLevel="0" collapsed="false">
      <c r="A12" s="6" t="s">
        <v>72</v>
      </c>
      <c r="B12" s="6" t="s">
        <v>325</v>
      </c>
      <c r="C12" s="6" t="n">
        <v>7</v>
      </c>
      <c r="D12" s="25" t="n">
        <f aca="false">EDATE('Start Here'!$B$6,C12-1)</f>
        <v>46508</v>
      </c>
      <c r="E12" s="11" t="n">
        <f aca="false">IF(AND(C12&gt;=Staffing!$F$6,C12&lt;=Staffing!$G$6,1=1),IF(C12&lt;=6,Staffing!$H$6,IF(C12&lt;=15,Staffing!$I$6,IF(C12&lt;=30,Staffing!$J$6,Staffing!$K$6))),0)</f>
        <v>0.75</v>
      </c>
      <c r="F12" s="10" t="n">
        <f aca="false">E12*Assumptions!$C$26/12*(1+Assumptions!$C$10)^INT((C12-1)/12)*'Start Here'!$B$10</f>
        <v>0</v>
      </c>
      <c r="G12" s="10" t="n">
        <f aca="false">F12*Staffing!$N$6</f>
        <v>0</v>
      </c>
      <c r="H12" s="10" t="n">
        <f aca="false">F12+G12</f>
        <v>0</v>
      </c>
      <c r="I12" s="10" t="n">
        <f aca="false">E12*Assumptions!$C$26/12*(1+Assumptions!$C$10)^INT((C12-1)/12)*(1-'Start Here'!$B$10)</f>
        <v>9375</v>
      </c>
      <c r="J12" s="10" t="n">
        <f aca="false">MAX(0,E12-E11)*Staffing!$O$6</f>
        <v>0</v>
      </c>
      <c r="K12" s="10" t="n">
        <f aca="false">MAX(0,E12-E11)*Staffing!$P$6</f>
        <v>0</v>
      </c>
      <c r="L12" s="23" t="n">
        <f aca="false">ROUNDUP(E12,0)</f>
        <v>1</v>
      </c>
    </row>
    <row r="13" customFormat="false" ht="15" hidden="false" customHeight="false" outlineLevel="0" collapsed="false">
      <c r="A13" s="6" t="s">
        <v>72</v>
      </c>
      <c r="B13" s="6" t="s">
        <v>325</v>
      </c>
      <c r="C13" s="6" t="n">
        <v>8</v>
      </c>
      <c r="D13" s="25" t="n">
        <f aca="false">EDATE('Start Here'!$B$6,C13-1)</f>
        <v>46539</v>
      </c>
      <c r="E13" s="11" t="n">
        <f aca="false">IF(AND(C13&gt;=Staffing!$F$6,C13&lt;=Staffing!$G$6,1=1),IF(C13&lt;=6,Staffing!$H$6,IF(C13&lt;=15,Staffing!$I$6,IF(C13&lt;=30,Staffing!$J$6,Staffing!$K$6))),0)</f>
        <v>0.75</v>
      </c>
      <c r="F13" s="10" t="n">
        <f aca="false">E13*Assumptions!$C$26/12*(1+Assumptions!$C$10)^INT((C13-1)/12)*'Start Here'!$B$10</f>
        <v>0</v>
      </c>
      <c r="G13" s="10" t="n">
        <f aca="false">F13*Staffing!$N$6</f>
        <v>0</v>
      </c>
      <c r="H13" s="10" t="n">
        <f aca="false">F13+G13</f>
        <v>0</v>
      </c>
      <c r="I13" s="10" t="n">
        <f aca="false">E13*Assumptions!$C$26/12*(1+Assumptions!$C$10)^INT((C13-1)/12)*(1-'Start Here'!$B$10)</f>
        <v>9375</v>
      </c>
      <c r="J13" s="10" t="n">
        <f aca="false">MAX(0,E13-E12)*Staffing!$O$6</f>
        <v>0</v>
      </c>
      <c r="K13" s="10" t="n">
        <f aca="false">MAX(0,E13-E12)*Staffing!$P$6</f>
        <v>0</v>
      </c>
      <c r="L13" s="23" t="n">
        <f aca="false">ROUNDUP(E13,0)</f>
        <v>1</v>
      </c>
    </row>
    <row r="14" customFormat="false" ht="15" hidden="false" customHeight="false" outlineLevel="0" collapsed="false">
      <c r="A14" s="6" t="s">
        <v>72</v>
      </c>
      <c r="B14" s="6" t="s">
        <v>325</v>
      </c>
      <c r="C14" s="6" t="n">
        <v>9</v>
      </c>
      <c r="D14" s="25" t="n">
        <f aca="false">EDATE('Start Here'!$B$6,C14-1)</f>
        <v>46569</v>
      </c>
      <c r="E14" s="11" t="n">
        <f aca="false">IF(AND(C14&gt;=Staffing!$F$6,C14&lt;=Staffing!$G$6,1=1),IF(C14&lt;=6,Staffing!$H$6,IF(C14&lt;=15,Staffing!$I$6,IF(C14&lt;=30,Staffing!$J$6,Staffing!$K$6))),0)</f>
        <v>0.75</v>
      </c>
      <c r="F14" s="10" t="n">
        <f aca="false">E14*Assumptions!$C$26/12*(1+Assumptions!$C$10)^INT((C14-1)/12)*'Start Here'!$B$10</f>
        <v>0</v>
      </c>
      <c r="G14" s="10" t="n">
        <f aca="false">F14*Staffing!$N$6</f>
        <v>0</v>
      </c>
      <c r="H14" s="10" t="n">
        <f aca="false">F14+G14</f>
        <v>0</v>
      </c>
      <c r="I14" s="10" t="n">
        <f aca="false">E14*Assumptions!$C$26/12*(1+Assumptions!$C$10)^INT((C14-1)/12)*(1-'Start Here'!$B$10)</f>
        <v>9375</v>
      </c>
      <c r="J14" s="10" t="n">
        <f aca="false">MAX(0,E14-E13)*Staffing!$O$6</f>
        <v>0</v>
      </c>
      <c r="K14" s="10" t="n">
        <f aca="false">MAX(0,E14-E13)*Staffing!$P$6</f>
        <v>0</v>
      </c>
      <c r="L14" s="23" t="n">
        <f aca="false">ROUNDUP(E14,0)</f>
        <v>1</v>
      </c>
    </row>
    <row r="15" customFormat="false" ht="15" hidden="false" customHeight="false" outlineLevel="0" collapsed="false">
      <c r="A15" s="6" t="s">
        <v>72</v>
      </c>
      <c r="B15" s="6" t="s">
        <v>325</v>
      </c>
      <c r="C15" s="6" t="n">
        <v>10</v>
      </c>
      <c r="D15" s="25" t="n">
        <f aca="false">EDATE('Start Here'!$B$6,C15-1)</f>
        <v>46600</v>
      </c>
      <c r="E15" s="11" t="n">
        <f aca="false">IF(AND(C15&gt;=Staffing!$F$6,C15&lt;=Staffing!$G$6,1=1),IF(C15&lt;=6,Staffing!$H$6,IF(C15&lt;=15,Staffing!$I$6,IF(C15&lt;=30,Staffing!$J$6,Staffing!$K$6))),0)</f>
        <v>0.75</v>
      </c>
      <c r="F15" s="10" t="n">
        <f aca="false">E15*Assumptions!$C$26/12*(1+Assumptions!$C$10)^INT((C15-1)/12)*'Start Here'!$B$10</f>
        <v>0</v>
      </c>
      <c r="G15" s="10" t="n">
        <f aca="false">F15*Staffing!$N$6</f>
        <v>0</v>
      </c>
      <c r="H15" s="10" t="n">
        <f aca="false">F15+G15</f>
        <v>0</v>
      </c>
      <c r="I15" s="10" t="n">
        <f aca="false">E15*Assumptions!$C$26/12*(1+Assumptions!$C$10)^INT((C15-1)/12)*(1-'Start Here'!$B$10)</f>
        <v>9375</v>
      </c>
      <c r="J15" s="10" t="n">
        <f aca="false">MAX(0,E15-E14)*Staffing!$O$6</f>
        <v>0</v>
      </c>
      <c r="K15" s="10" t="n">
        <f aca="false">MAX(0,E15-E14)*Staffing!$P$6</f>
        <v>0</v>
      </c>
      <c r="L15" s="23" t="n">
        <f aca="false">ROUNDUP(E15,0)</f>
        <v>1</v>
      </c>
    </row>
    <row r="16" customFormat="false" ht="15" hidden="false" customHeight="false" outlineLevel="0" collapsed="false">
      <c r="A16" s="6" t="s">
        <v>72</v>
      </c>
      <c r="B16" s="6" t="s">
        <v>325</v>
      </c>
      <c r="C16" s="6" t="n">
        <v>11</v>
      </c>
      <c r="D16" s="25" t="n">
        <f aca="false">EDATE('Start Here'!$B$6,C16-1)</f>
        <v>46631</v>
      </c>
      <c r="E16" s="11" t="n">
        <f aca="false">IF(AND(C16&gt;=Staffing!$F$6,C16&lt;=Staffing!$G$6,1=1),IF(C16&lt;=6,Staffing!$H$6,IF(C16&lt;=15,Staffing!$I$6,IF(C16&lt;=30,Staffing!$J$6,Staffing!$K$6))),0)</f>
        <v>0.75</v>
      </c>
      <c r="F16" s="10" t="n">
        <f aca="false">E16*Assumptions!$C$26/12*(1+Assumptions!$C$10)^INT((C16-1)/12)*'Start Here'!$B$10</f>
        <v>0</v>
      </c>
      <c r="G16" s="10" t="n">
        <f aca="false">F16*Staffing!$N$6</f>
        <v>0</v>
      </c>
      <c r="H16" s="10" t="n">
        <f aca="false">F16+G16</f>
        <v>0</v>
      </c>
      <c r="I16" s="10" t="n">
        <f aca="false">E16*Assumptions!$C$26/12*(1+Assumptions!$C$10)^INT((C16-1)/12)*(1-'Start Here'!$B$10)</f>
        <v>9375</v>
      </c>
      <c r="J16" s="10" t="n">
        <f aca="false">MAX(0,E16-E15)*Staffing!$O$6</f>
        <v>0</v>
      </c>
      <c r="K16" s="10" t="n">
        <f aca="false">MAX(0,E16-E15)*Staffing!$P$6</f>
        <v>0</v>
      </c>
      <c r="L16" s="23" t="n">
        <f aca="false">ROUNDUP(E16,0)</f>
        <v>1</v>
      </c>
    </row>
    <row r="17" customFormat="false" ht="15" hidden="false" customHeight="false" outlineLevel="0" collapsed="false">
      <c r="A17" s="6" t="s">
        <v>72</v>
      </c>
      <c r="B17" s="6" t="s">
        <v>325</v>
      </c>
      <c r="C17" s="6" t="n">
        <v>12</v>
      </c>
      <c r="D17" s="25" t="n">
        <f aca="false">EDATE('Start Here'!$B$6,C17-1)</f>
        <v>46661</v>
      </c>
      <c r="E17" s="11" t="n">
        <f aca="false">IF(AND(C17&gt;=Staffing!$F$6,C17&lt;=Staffing!$G$6,1=1),IF(C17&lt;=6,Staffing!$H$6,IF(C17&lt;=15,Staffing!$I$6,IF(C17&lt;=30,Staffing!$J$6,Staffing!$K$6))),0)</f>
        <v>0.75</v>
      </c>
      <c r="F17" s="10" t="n">
        <f aca="false">E17*Assumptions!$C$26/12*(1+Assumptions!$C$10)^INT((C17-1)/12)*'Start Here'!$B$10</f>
        <v>0</v>
      </c>
      <c r="G17" s="10" t="n">
        <f aca="false">F17*Staffing!$N$6</f>
        <v>0</v>
      </c>
      <c r="H17" s="10" t="n">
        <f aca="false">F17+G17</f>
        <v>0</v>
      </c>
      <c r="I17" s="10" t="n">
        <f aca="false">E17*Assumptions!$C$26/12*(1+Assumptions!$C$10)^INT((C17-1)/12)*(1-'Start Here'!$B$10)</f>
        <v>9375</v>
      </c>
      <c r="J17" s="10" t="n">
        <f aca="false">MAX(0,E17-E16)*Staffing!$O$6</f>
        <v>0</v>
      </c>
      <c r="K17" s="10" t="n">
        <f aca="false">MAX(0,E17-E16)*Staffing!$P$6</f>
        <v>0</v>
      </c>
      <c r="L17" s="23" t="n">
        <f aca="false">ROUNDUP(E17,0)</f>
        <v>1</v>
      </c>
    </row>
    <row r="18" customFormat="false" ht="15" hidden="false" customHeight="false" outlineLevel="0" collapsed="false">
      <c r="A18" s="6" t="s">
        <v>72</v>
      </c>
      <c r="B18" s="6" t="s">
        <v>325</v>
      </c>
      <c r="C18" s="6" t="n">
        <v>13</v>
      </c>
      <c r="D18" s="25" t="n">
        <f aca="false">EDATE('Start Here'!$B$6,C18-1)</f>
        <v>46692</v>
      </c>
      <c r="E18" s="11" t="n">
        <f aca="false">IF(AND(C18&gt;=Staffing!$F$6,C18&lt;=Staffing!$G$6,1=1),IF(C18&lt;=6,Staffing!$H$6,IF(C18&lt;=15,Staffing!$I$6,IF(C18&lt;=30,Staffing!$J$6,Staffing!$K$6))),0)</f>
        <v>0.75</v>
      </c>
      <c r="F18" s="10" t="n">
        <f aca="false">E18*Assumptions!$C$26/12*(1+Assumptions!$C$10)^INT((C18-1)/12)*'Start Here'!$B$10</f>
        <v>0</v>
      </c>
      <c r="G18" s="10" t="n">
        <f aca="false">F18*Staffing!$N$6</f>
        <v>0</v>
      </c>
      <c r="H18" s="10" t="n">
        <f aca="false">F18+G18</f>
        <v>0</v>
      </c>
      <c r="I18" s="10" t="n">
        <f aca="false">E18*Assumptions!$C$26/12*(1+Assumptions!$C$10)^INT((C18-1)/12)*(1-'Start Here'!$B$10)</f>
        <v>9656.25</v>
      </c>
      <c r="J18" s="10" t="n">
        <f aca="false">MAX(0,E18-E17)*Staffing!$O$6</f>
        <v>0</v>
      </c>
      <c r="K18" s="10" t="n">
        <f aca="false">MAX(0,E18-E17)*Staffing!$P$6</f>
        <v>0</v>
      </c>
      <c r="L18" s="23" t="n">
        <f aca="false">ROUNDUP(E18,0)</f>
        <v>1</v>
      </c>
    </row>
    <row r="19" customFormat="false" ht="15" hidden="false" customHeight="false" outlineLevel="0" collapsed="false">
      <c r="A19" s="6" t="s">
        <v>72</v>
      </c>
      <c r="B19" s="6" t="s">
        <v>325</v>
      </c>
      <c r="C19" s="6" t="n">
        <v>14</v>
      </c>
      <c r="D19" s="25" t="n">
        <f aca="false">EDATE('Start Here'!$B$6,C19-1)</f>
        <v>46722</v>
      </c>
      <c r="E19" s="11" t="n">
        <f aca="false">IF(AND(C19&gt;=Staffing!$F$6,C19&lt;=Staffing!$G$6,1=1),IF(C19&lt;=6,Staffing!$H$6,IF(C19&lt;=15,Staffing!$I$6,IF(C19&lt;=30,Staffing!$J$6,Staffing!$K$6))),0)</f>
        <v>0.75</v>
      </c>
      <c r="F19" s="10" t="n">
        <f aca="false">E19*Assumptions!$C$26/12*(1+Assumptions!$C$10)^INT((C19-1)/12)*'Start Here'!$B$10</f>
        <v>0</v>
      </c>
      <c r="G19" s="10" t="n">
        <f aca="false">F19*Staffing!$N$6</f>
        <v>0</v>
      </c>
      <c r="H19" s="10" t="n">
        <f aca="false">F19+G19</f>
        <v>0</v>
      </c>
      <c r="I19" s="10" t="n">
        <f aca="false">E19*Assumptions!$C$26/12*(1+Assumptions!$C$10)^INT((C19-1)/12)*(1-'Start Here'!$B$10)</f>
        <v>9656.25</v>
      </c>
      <c r="J19" s="10" t="n">
        <f aca="false">MAX(0,E19-E18)*Staffing!$O$6</f>
        <v>0</v>
      </c>
      <c r="K19" s="10" t="n">
        <f aca="false">MAX(0,E19-E18)*Staffing!$P$6</f>
        <v>0</v>
      </c>
      <c r="L19" s="23" t="n">
        <f aca="false">ROUNDUP(E19,0)</f>
        <v>1</v>
      </c>
    </row>
    <row r="20" customFormat="false" ht="15" hidden="false" customHeight="false" outlineLevel="0" collapsed="false">
      <c r="A20" s="6" t="s">
        <v>72</v>
      </c>
      <c r="B20" s="6" t="s">
        <v>325</v>
      </c>
      <c r="C20" s="6" t="n">
        <v>15</v>
      </c>
      <c r="D20" s="25" t="n">
        <f aca="false">EDATE('Start Here'!$B$6,C20-1)</f>
        <v>46753</v>
      </c>
      <c r="E20" s="11" t="n">
        <f aca="false">IF(AND(C20&gt;=Staffing!$F$6,C20&lt;=Staffing!$G$6,1=1),IF(C20&lt;=6,Staffing!$H$6,IF(C20&lt;=15,Staffing!$I$6,IF(C20&lt;=30,Staffing!$J$6,Staffing!$K$6))),0)</f>
        <v>0.75</v>
      </c>
      <c r="F20" s="10" t="n">
        <f aca="false">E20*Assumptions!$C$26/12*(1+Assumptions!$C$10)^INT((C20-1)/12)*'Start Here'!$B$10</f>
        <v>0</v>
      </c>
      <c r="G20" s="10" t="n">
        <f aca="false">F20*Staffing!$N$6</f>
        <v>0</v>
      </c>
      <c r="H20" s="10" t="n">
        <f aca="false">F20+G20</f>
        <v>0</v>
      </c>
      <c r="I20" s="10" t="n">
        <f aca="false">E20*Assumptions!$C$26/12*(1+Assumptions!$C$10)^INT((C20-1)/12)*(1-'Start Here'!$B$10)</f>
        <v>9656.25</v>
      </c>
      <c r="J20" s="10" t="n">
        <f aca="false">MAX(0,E20-E19)*Staffing!$O$6</f>
        <v>0</v>
      </c>
      <c r="K20" s="10" t="n">
        <f aca="false">MAX(0,E20-E19)*Staffing!$P$6</f>
        <v>0</v>
      </c>
      <c r="L20" s="23" t="n">
        <f aca="false">ROUNDUP(E20,0)</f>
        <v>1</v>
      </c>
    </row>
    <row r="21" customFormat="false" ht="15" hidden="false" customHeight="false" outlineLevel="0" collapsed="false">
      <c r="A21" s="6" t="s">
        <v>72</v>
      </c>
      <c r="B21" s="6" t="s">
        <v>325</v>
      </c>
      <c r="C21" s="6" t="n">
        <v>16</v>
      </c>
      <c r="D21" s="25" t="n">
        <f aca="false">EDATE('Start Here'!$B$6,C21-1)</f>
        <v>46784</v>
      </c>
      <c r="E21" s="11" t="n">
        <f aca="false">IF(AND(C21&gt;=Staffing!$F$6,C21&lt;=Staffing!$G$6,1=1),IF(C21&lt;=6,Staffing!$H$6,IF(C21&lt;=15,Staffing!$I$6,IF(C21&lt;=30,Staffing!$J$6,Staffing!$K$6))),0)</f>
        <v>0.75</v>
      </c>
      <c r="F21" s="10" t="n">
        <f aca="false">E21*Assumptions!$C$26/12*(1+Assumptions!$C$10)^INT((C21-1)/12)*'Start Here'!$B$10</f>
        <v>0</v>
      </c>
      <c r="G21" s="10" t="n">
        <f aca="false">F21*Staffing!$N$6</f>
        <v>0</v>
      </c>
      <c r="H21" s="10" t="n">
        <f aca="false">F21+G21</f>
        <v>0</v>
      </c>
      <c r="I21" s="10" t="n">
        <f aca="false">E21*Assumptions!$C$26/12*(1+Assumptions!$C$10)^INT((C21-1)/12)*(1-'Start Here'!$B$10)</f>
        <v>9656.25</v>
      </c>
      <c r="J21" s="10" t="n">
        <f aca="false">MAX(0,E21-E20)*Staffing!$O$6</f>
        <v>0</v>
      </c>
      <c r="K21" s="10" t="n">
        <f aca="false">MAX(0,E21-E20)*Staffing!$P$6</f>
        <v>0</v>
      </c>
      <c r="L21" s="23" t="n">
        <f aca="false">ROUNDUP(E21,0)</f>
        <v>1</v>
      </c>
    </row>
    <row r="22" customFormat="false" ht="15" hidden="false" customHeight="false" outlineLevel="0" collapsed="false">
      <c r="A22" s="6" t="s">
        <v>72</v>
      </c>
      <c r="B22" s="6" t="s">
        <v>325</v>
      </c>
      <c r="C22" s="6" t="n">
        <v>17</v>
      </c>
      <c r="D22" s="25" t="n">
        <f aca="false">EDATE('Start Here'!$B$6,C22-1)</f>
        <v>46813</v>
      </c>
      <c r="E22" s="11" t="n">
        <f aca="false">IF(AND(C22&gt;=Staffing!$F$6,C22&lt;=Staffing!$G$6,1=1),IF(C22&lt;=6,Staffing!$H$6,IF(C22&lt;=15,Staffing!$I$6,IF(C22&lt;=30,Staffing!$J$6,Staffing!$K$6))),0)</f>
        <v>0.75</v>
      </c>
      <c r="F22" s="10" t="n">
        <f aca="false">E22*Assumptions!$C$26/12*(1+Assumptions!$C$10)^INT((C22-1)/12)*'Start Here'!$B$10</f>
        <v>0</v>
      </c>
      <c r="G22" s="10" t="n">
        <f aca="false">F22*Staffing!$N$6</f>
        <v>0</v>
      </c>
      <c r="H22" s="10" t="n">
        <f aca="false">F22+G22</f>
        <v>0</v>
      </c>
      <c r="I22" s="10" t="n">
        <f aca="false">E22*Assumptions!$C$26/12*(1+Assumptions!$C$10)^INT((C22-1)/12)*(1-'Start Here'!$B$10)</f>
        <v>9656.25</v>
      </c>
      <c r="J22" s="10" t="n">
        <f aca="false">MAX(0,E22-E21)*Staffing!$O$6</f>
        <v>0</v>
      </c>
      <c r="K22" s="10" t="n">
        <f aca="false">MAX(0,E22-E21)*Staffing!$P$6</f>
        <v>0</v>
      </c>
      <c r="L22" s="23" t="n">
        <f aca="false">ROUNDUP(E22,0)</f>
        <v>1</v>
      </c>
    </row>
    <row r="23" customFormat="false" ht="15" hidden="false" customHeight="false" outlineLevel="0" collapsed="false">
      <c r="A23" s="6" t="s">
        <v>72</v>
      </c>
      <c r="B23" s="6" t="s">
        <v>325</v>
      </c>
      <c r="C23" s="6" t="n">
        <v>18</v>
      </c>
      <c r="D23" s="25" t="n">
        <f aca="false">EDATE('Start Here'!$B$6,C23-1)</f>
        <v>46844</v>
      </c>
      <c r="E23" s="11" t="n">
        <f aca="false">IF(AND(C23&gt;=Staffing!$F$6,C23&lt;=Staffing!$G$6,1=1),IF(C23&lt;=6,Staffing!$H$6,IF(C23&lt;=15,Staffing!$I$6,IF(C23&lt;=30,Staffing!$J$6,Staffing!$K$6))),0)</f>
        <v>0.75</v>
      </c>
      <c r="F23" s="10" t="n">
        <f aca="false">E23*Assumptions!$C$26/12*(1+Assumptions!$C$10)^INT((C23-1)/12)*'Start Here'!$B$10</f>
        <v>0</v>
      </c>
      <c r="G23" s="10" t="n">
        <f aca="false">F23*Staffing!$N$6</f>
        <v>0</v>
      </c>
      <c r="H23" s="10" t="n">
        <f aca="false">F23+G23</f>
        <v>0</v>
      </c>
      <c r="I23" s="10" t="n">
        <f aca="false">E23*Assumptions!$C$26/12*(1+Assumptions!$C$10)^INT((C23-1)/12)*(1-'Start Here'!$B$10)</f>
        <v>9656.25</v>
      </c>
      <c r="J23" s="10" t="n">
        <f aca="false">MAX(0,E23-E22)*Staffing!$O$6</f>
        <v>0</v>
      </c>
      <c r="K23" s="10" t="n">
        <f aca="false">MAX(0,E23-E22)*Staffing!$P$6</f>
        <v>0</v>
      </c>
      <c r="L23" s="23" t="n">
        <f aca="false">ROUNDUP(E23,0)</f>
        <v>1</v>
      </c>
    </row>
    <row r="24" customFormat="false" ht="15" hidden="false" customHeight="false" outlineLevel="0" collapsed="false">
      <c r="A24" s="6" t="s">
        <v>72</v>
      </c>
      <c r="B24" s="6" t="s">
        <v>325</v>
      </c>
      <c r="C24" s="6" t="n">
        <v>19</v>
      </c>
      <c r="D24" s="25" t="n">
        <f aca="false">EDATE('Start Here'!$B$6,C24-1)</f>
        <v>46874</v>
      </c>
      <c r="E24" s="11" t="n">
        <f aca="false">IF(AND(C24&gt;=Staffing!$F$6,C24&lt;=Staffing!$G$6,1=1),IF(C24&lt;=6,Staffing!$H$6,IF(C24&lt;=15,Staffing!$I$6,IF(C24&lt;=30,Staffing!$J$6,Staffing!$K$6))),0)</f>
        <v>0.75</v>
      </c>
      <c r="F24" s="10" t="n">
        <f aca="false">E24*Assumptions!$C$26/12*(1+Assumptions!$C$10)^INT((C24-1)/12)*'Start Here'!$B$10</f>
        <v>0</v>
      </c>
      <c r="G24" s="10" t="n">
        <f aca="false">F24*Staffing!$N$6</f>
        <v>0</v>
      </c>
      <c r="H24" s="10" t="n">
        <f aca="false">F24+G24</f>
        <v>0</v>
      </c>
      <c r="I24" s="10" t="n">
        <f aca="false">E24*Assumptions!$C$26/12*(1+Assumptions!$C$10)^INT((C24-1)/12)*(1-'Start Here'!$B$10)</f>
        <v>9656.25</v>
      </c>
      <c r="J24" s="10" t="n">
        <f aca="false">MAX(0,E24-E23)*Staffing!$O$6</f>
        <v>0</v>
      </c>
      <c r="K24" s="10" t="n">
        <f aca="false">MAX(0,E24-E23)*Staffing!$P$6</f>
        <v>0</v>
      </c>
      <c r="L24" s="23" t="n">
        <f aca="false">ROUNDUP(E24,0)</f>
        <v>1</v>
      </c>
    </row>
    <row r="25" customFormat="false" ht="15" hidden="false" customHeight="false" outlineLevel="0" collapsed="false">
      <c r="A25" s="6" t="s">
        <v>72</v>
      </c>
      <c r="B25" s="6" t="s">
        <v>325</v>
      </c>
      <c r="C25" s="6" t="n">
        <v>20</v>
      </c>
      <c r="D25" s="25" t="n">
        <f aca="false">EDATE('Start Here'!$B$6,C25-1)</f>
        <v>46905</v>
      </c>
      <c r="E25" s="11" t="n">
        <f aca="false">IF(AND(C25&gt;=Staffing!$F$6,C25&lt;=Staffing!$G$6,1=1),IF(C25&lt;=6,Staffing!$H$6,IF(C25&lt;=15,Staffing!$I$6,IF(C25&lt;=30,Staffing!$J$6,Staffing!$K$6))),0)</f>
        <v>0.75</v>
      </c>
      <c r="F25" s="10" t="n">
        <f aca="false">E25*Assumptions!$C$26/12*(1+Assumptions!$C$10)^INT((C25-1)/12)*'Start Here'!$B$10</f>
        <v>0</v>
      </c>
      <c r="G25" s="10" t="n">
        <f aca="false">F25*Staffing!$N$6</f>
        <v>0</v>
      </c>
      <c r="H25" s="10" t="n">
        <f aca="false">F25+G25</f>
        <v>0</v>
      </c>
      <c r="I25" s="10" t="n">
        <f aca="false">E25*Assumptions!$C$26/12*(1+Assumptions!$C$10)^INT((C25-1)/12)*(1-'Start Here'!$B$10)</f>
        <v>9656.25</v>
      </c>
      <c r="J25" s="10" t="n">
        <f aca="false">MAX(0,E25-E24)*Staffing!$O$6</f>
        <v>0</v>
      </c>
      <c r="K25" s="10" t="n">
        <f aca="false">MAX(0,E25-E24)*Staffing!$P$6</f>
        <v>0</v>
      </c>
      <c r="L25" s="23" t="n">
        <f aca="false">ROUNDUP(E25,0)</f>
        <v>1</v>
      </c>
    </row>
    <row r="26" customFormat="false" ht="15" hidden="false" customHeight="false" outlineLevel="0" collapsed="false">
      <c r="A26" s="6" t="s">
        <v>72</v>
      </c>
      <c r="B26" s="6" t="s">
        <v>325</v>
      </c>
      <c r="C26" s="6" t="n">
        <v>21</v>
      </c>
      <c r="D26" s="25" t="n">
        <f aca="false">EDATE('Start Here'!$B$6,C26-1)</f>
        <v>46935</v>
      </c>
      <c r="E26" s="11" t="n">
        <f aca="false">IF(AND(C26&gt;=Staffing!$F$6,C26&lt;=Staffing!$G$6,1=1),IF(C26&lt;=6,Staffing!$H$6,IF(C26&lt;=15,Staffing!$I$6,IF(C26&lt;=30,Staffing!$J$6,Staffing!$K$6))),0)</f>
        <v>0.75</v>
      </c>
      <c r="F26" s="10" t="n">
        <f aca="false">E26*Assumptions!$C$26/12*(1+Assumptions!$C$10)^INT((C26-1)/12)*'Start Here'!$B$10</f>
        <v>0</v>
      </c>
      <c r="G26" s="10" t="n">
        <f aca="false">F26*Staffing!$N$6</f>
        <v>0</v>
      </c>
      <c r="H26" s="10" t="n">
        <f aca="false">F26+G26</f>
        <v>0</v>
      </c>
      <c r="I26" s="10" t="n">
        <f aca="false">E26*Assumptions!$C$26/12*(1+Assumptions!$C$10)^INT((C26-1)/12)*(1-'Start Here'!$B$10)</f>
        <v>9656.25</v>
      </c>
      <c r="J26" s="10" t="n">
        <f aca="false">MAX(0,E26-E25)*Staffing!$O$6</f>
        <v>0</v>
      </c>
      <c r="K26" s="10" t="n">
        <f aca="false">MAX(0,E26-E25)*Staffing!$P$6</f>
        <v>0</v>
      </c>
      <c r="L26" s="23" t="n">
        <f aca="false">ROUNDUP(E26,0)</f>
        <v>1</v>
      </c>
    </row>
    <row r="27" customFormat="false" ht="15" hidden="false" customHeight="false" outlineLevel="0" collapsed="false">
      <c r="A27" s="6" t="s">
        <v>72</v>
      </c>
      <c r="B27" s="6" t="s">
        <v>325</v>
      </c>
      <c r="C27" s="6" t="n">
        <v>22</v>
      </c>
      <c r="D27" s="25" t="n">
        <f aca="false">EDATE('Start Here'!$B$6,C27-1)</f>
        <v>46966</v>
      </c>
      <c r="E27" s="11" t="n">
        <f aca="false">IF(AND(C27&gt;=Staffing!$F$6,C27&lt;=Staffing!$G$6,1=1),IF(C27&lt;=6,Staffing!$H$6,IF(C27&lt;=15,Staffing!$I$6,IF(C27&lt;=30,Staffing!$J$6,Staffing!$K$6))),0)</f>
        <v>0.75</v>
      </c>
      <c r="F27" s="10" t="n">
        <f aca="false">E27*Assumptions!$C$26/12*(1+Assumptions!$C$10)^INT((C27-1)/12)*'Start Here'!$B$10</f>
        <v>0</v>
      </c>
      <c r="G27" s="10" t="n">
        <f aca="false">F27*Staffing!$N$6</f>
        <v>0</v>
      </c>
      <c r="H27" s="10" t="n">
        <f aca="false">F27+G27</f>
        <v>0</v>
      </c>
      <c r="I27" s="10" t="n">
        <f aca="false">E27*Assumptions!$C$26/12*(1+Assumptions!$C$10)^INT((C27-1)/12)*(1-'Start Here'!$B$10)</f>
        <v>9656.25</v>
      </c>
      <c r="J27" s="10" t="n">
        <f aca="false">MAX(0,E27-E26)*Staffing!$O$6</f>
        <v>0</v>
      </c>
      <c r="K27" s="10" t="n">
        <f aca="false">MAX(0,E27-E26)*Staffing!$P$6</f>
        <v>0</v>
      </c>
      <c r="L27" s="23" t="n">
        <f aca="false">ROUNDUP(E27,0)</f>
        <v>1</v>
      </c>
    </row>
    <row r="28" customFormat="false" ht="15" hidden="false" customHeight="false" outlineLevel="0" collapsed="false">
      <c r="A28" s="6" t="s">
        <v>72</v>
      </c>
      <c r="B28" s="6" t="s">
        <v>325</v>
      </c>
      <c r="C28" s="6" t="n">
        <v>23</v>
      </c>
      <c r="D28" s="25" t="n">
        <f aca="false">EDATE('Start Here'!$B$6,C28-1)</f>
        <v>46997</v>
      </c>
      <c r="E28" s="11" t="n">
        <f aca="false">IF(AND(C28&gt;=Staffing!$F$6,C28&lt;=Staffing!$G$6,1=1),IF(C28&lt;=6,Staffing!$H$6,IF(C28&lt;=15,Staffing!$I$6,IF(C28&lt;=30,Staffing!$J$6,Staffing!$K$6))),0)</f>
        <v>0.75</v>
      </c>
      <c r="F28" s="10" t="n">
        <f aca="false">E28*Assumptions!$C$26/12*(1+Assumptions!$C$10)^INT((C28-1)/12)*'Start Here'!$B$10</f>
        <v>0</v>
      </c>
      <c r="G28" s="10" t="n">
        <f aca="false">F28*Staffing!$N$6</f>
        <v>0</v>
      </c>
      <c r="H28" s="10" t="n">
        <f aca="false">F28+G28</f>
        <v>0</v>
      </c>
      <c r="I28" s="10" t="n">
        <f aca="false">E28*Assumptions!$C$26/12*(1+Assumptions!$C$10)^INT((C28-1)/12)*(1-'Start Here'!$B$10)</f>
        <v>9656.25</v>
      </c>
      <c r="J28" s="10" t="n">
        <f aca="false">MAX(0,E28-E27)*Staffing!$O$6</f>
        <v>0</v>
      </c>
      <c r="K28" s="10" t="n">
        <f aca="false">MAX(0,E28-E27)*Staffing!$P$6</f>
        <v>0</v>
      </c>
      <c r="L28" s="23" t="n">
        <f aca="false">ROUNDUP(E28,0)</f>
        <v>1</v>
      </c>
    </row>
    <row r="29" customFormat="false" ht="15" hidden="false" customHeight="false" outlineLevel="0" collapsed="false">
      <c r="A29" s="6" t="s">
        <v>72</v>
      </c>
      <c r="B29" s="6" t="s">
        <v>325</v>
      </c>
      <c r="C29" s="6" t="n">
        <v>24</v>
      </c>
      <c r="D29" s="25" t="n">
        <f aca="false">EDATE('Start Here'!$B$6,C29-1)</f>
        <v>47027</v>
      </c>
      <c r="E29" s="11" t="n">
        <f aca="false">IF(AND(C29&gt;=Staffing!$F$6,C29&lt;=Staffing!$G$6,1=1),IF(C29&lt;=6,Staffing!$H$6,IF(C29&lt;=15,Staffing!$I$6,IF(C29&lt;=30,Staffing!$J$6,Staffing!$K$6))),0)</f>
        <v>0.75</v>
      </c>
      <c r="F29" s="10" t="n">
        <f aca="false">E29*Assumptions!$C$26/12*(1+Assumptions!$C$10)^INT((C29-1)/12)*'Start Here'!$B$10</f>
        <v>0</v>
      </c>
      <c r="G29" s="10" t="n">
        <f aca="false">F29*Staffing!$N$6</f>
        <v>0</v>
      </c>
      <c r="H29" s="10" t="n">
        <f aca="false">F29+G29</f>
        <v>0</v>
      </c>
      <c r="I29" s="10" t="n">
        <f aca="false">E29*Assumptions!$C$26/12*(1+Assumptions!$C$10)^INT((C29-1)/12)*(1-'Start Here'!$B$10)</f>
        <v>9656.25</v>
      </c>
      <c r="J29" s="10" t="n">
        <f aca="false">MAX(0,E29-E28)*Staffing!$O$6</f>
        <v>0</v>
      </c>
      <c r="K29" s="10" t="n">
        <f aca="false">MAX(0,E29-E28)*Staffing!$P$6</f>
        <v>0</v>
      </c>
      <c r="L29" s="23" t="n">
        <f aca="false">ROUNDUP(E29,0)</f>
        <v>1</v>
      </c>
    </row>
    <row r="30" customFormat="false" ht="15" hidden="false" customHeight="false" outlineLevel="0" collapsed="false">
      <c r="A30" s="6" t="s">
        <v>72</v>
      </c>
      <c r="B30" s="6" t="s">
        <v>325</v>
      </c>
      <c r="C30" s="6" t="n">
        <v>25</v>
      </c>
      <c r="D30" s="25" t="n">
        <f aca="false">EDATE('Start Here'!$B$6,C30-1)</f>
        <v>47058</v>
      </c>
      <c r="E30" s="11" t="n">
        <f aca="false">IF(AND(C30&gt;=Staffing!$F$6,C30&lt;=Staffing!$G$6,1=1),IF(C30&lt;=6,Staffing!$H$6,IF(C30&lt;=15,Staffing!$I$6,IF(C30&lt;=30,Staffing!$J$6,Staffing!$K$6))),0)</f>
        <v>0.75</v>
      </c>
      <c r="F30" s="10" t="n">
        <f aca="false">E30*Assumptions!$C$26/12*(1+Assumptions!$C$10)^INT((C30-1)/12)*'Start Here'!$B$10</f>
        <v>0</v>
      </c>
      <c r="G30" s="10" t="n">
        <f aca="false">F30*Staffing!$N$6</f>
        <v>0</v>
      </c>
      <c r="H30" s="10" t="n">
        <f aca="false">F30+G30</f>
        <v>0</v>
      </c>
      <c r="I30" s="10" t="n">
        <f aca="false">E30*Assumptions!$C$26/12*(1+Assumptions!$C$10)^INT((C30-1)/12)*(1-'Start Here'!$B$10)</f>
        <v>9945.9375</v>
      </c>
      <c r="J30" s="10" t="n">
        <f aca="false">MAX(0,E30-E29)*Staffing!$O$6</f>
        <v>0</v>
      </c>
      <c r="K30" s="10" t="n">
        <f aca="false">MAX(0,E30-E29)*Staffing!$P$6</f>
        <v>0</v>
      </c>
      <c r="L30" s="23" t="n">
        <f aca="false">ROUNDUP(E30,0)</f>
        <v>1</v>
      </c>
    </row>
    <row r="31" customFormat="false" ht="15" hidden="false" customHeight="false" outlineLevel="0" collapsed="false">
      <c r="A31" s="6" t="s">
        <v>72</v>
      </c>
      <c r="B31" s="6" t="s">
        <v>325</v>
      </c>
      <c r="C31" s="6" t="n">
        <v>26</v>
      </c>
      <c r="D31" s="25" t="n">
        <f aca="false">EDATE('Start Here'!$B$6,C31-1)</f>
        <v>47088</v>
      </c>
      <c r="E31" s="11" t="n">
        <f aca="false">IF(AND(C31&gt;=Staffing!$F$6,C31&lt;=Staffing!$G$6,1=1),IF(C31&lt;=6,Staffing!$H$6,IF(C31&lt;=15,Staffing!$I$6,IF(C31&lt;=30,Staffing!$J$6,Staffing!$K$6))),0)</f>
        <v>0.75</v>
      </c>
      <c r="F31" s="10" t="n">
        <f aca="false">E31*Assumptions!$C$26/12*(1+Assumptions!$C$10)^INT((C31-1)/12)*'Start Here'!$B$10</f>
        <v>0</v>
      </c>
      <c r="G31" s="10" t="n">
        <f aca="false">F31*Staffing!$N$6</f>
        <v>0</v>
      </c>
      <c r="H31" s="10" t="n">
        <f aca="false">F31+G31</f>
        <v>0</v>
      </c>
      <c r="I31" s="10" t="n">
        <f aca="false">E31*Assumptions!$C$26/12*(1+Assumptions!$C$10)^INT((C31-1)/12)*(1-'Start Here'!$B$10)</f>
        <v>9945.9375</v>
      </c>
      <c r="J31" s="10" t="n">
        <f aca="false">MAX(0,E31-E30)*Staffing!$O$6</f>
        <v>0</v>
      </c>
      <c r="K31" s="10" t="n">
        <f aca="false">MAX(0,E31-E30)*Staffing!$P$6</f>
        <v>0</v>
      </c>
      <c r="L31" s="23" t="n">
        <f aca="false">ROUNDUP(E31,0)</f>
        <v>1</v>
      </c>
    </row>
    <row r="32" customFormat="false" ht="15" hidden="false" customHeight="false" outlineLevel="0" collapsed="false">
      <c r="A32" s="6" t="s">
        <v>72</v>
      </c>
      <c r="B32" s="6" t="s">
        <v>325</v>
      </c>
      <c r="C32" s="6" t="n">
        <v>27</v>
      </c>
      <c r="D32" s="25" t="n">
        <f aca="false">EDATE('Start Here'!$B$6,C32-1)</f>
        <v>47119</v>
      </c>
      <c r="E32" s="11" t="n">
        <f aca="false">IF(AND(C32&gt;=Staffing!$F$6,C32&lt;=Staffing!$G$6,1=1),IF(C32&lt;=6,Staffing!$H$6,IF(C32&lt;=15,Staffing!$I$6,IF(C32&lt;=30,Staffing!$J$6,Staffing!$K$6))),0)</f>
        <v>0.75</v>
      </c>
      <c r="F32" s="10" t="n">
        <f aca="false">E32*Assumptions!$C$26/12*(1+Assumptions!$C$10)^INT((C32-1)/12)*'Start Here'!$B$10</f>
        <v>0</v>
      </c>
      <c r="G32" s="10" t="n">
        <f aca="false">F32*Staffing!$N$6</f>
        <v>0</v>
      </c>
      <c r="H32" s="10" t="n">
        <f aca="false">F32+G32</f>
        <v>0</v>
      </c>
      <c r="I32" s="10" t="n">
        <f aca="false">E32*Assumptions!$C$26/12*(1+Assumptions!$C$10)^INT((C32-1)/12)*(1-'Start Here'!$B$10)</f>
        <v>9945.9375</v>
      </c>
      <c r="J32" s="10" t="n">
        <f aca="false">MAX(0,E32-E31)*Staffing!$O$6</f>
        <v>0</v>
      </c>
      <c r="K32" s="10" t="n">
        <f aca="false">MAX(0,E32-E31)*Staffing!$P$6</f>
        <v>0</v>
      </c>
      <c r="L32" s="23" t="n">
        <f aca="false">ROUNDUP(E32,0)</f>
        <v>1</v>
      </c>
    </row>
    <row r="33" customFormat="false" ht="15" hidden="false" customHeight="false" outlineLevel="0" collapsed="false">
      <c r="A33" s="6" t="s">
        <v>72</v>
      </c>
      <c r="B33" s="6" t="s">
        <v>325</v>
      </c>
      <c r="C33" s="6" t="n">
        <v>28</v>
      </c>
      <c r="D33" s="25" t="n">
        <f aca="false">EDATE('Start Here'!$B$6,C33-1)</f>
        <v>47150</v>
      </c>
      <c r="E33" s="11" t="n">
        <f aca="false">IF(AND(C33&gt;=Staffing!$F$6,C33&lt;=Staffing!$G$6,1=1),IF(C33&lt;=6,Staffing!$H$6,IF(C33&lt;=15,Staffing!$I$6,IF(C33&lt;=30,Staffing!$J$6,Staffing!$K$6))),0)</f>
        <v>0.75</v>
      </c>
      <c r="F33" s="10" t="n">
        <f aca="false">E33*Assumptions!$C$26/12*(1+Assumptions!$C$10)^INT((C33-1)/12)*'Start Here'!$B$10</f>
        <v>0</v>
      </c>
      <c r="G33" s="10" t="n">
        <f aca="false">F33*Staffing!$N$6</f>
        <v>0</v>
      </c>
      <c r="H33" s="10" t="n">
        <f aca="false">F33+G33</f>
        <v>0</v>
      </c>
      <c r="I33" s="10" t="n">
        <f aca="false">E33*Assumptions!$C$26/12*(1+Assumptions!$C$10)^INT((C33-1)/12)*(1-'Start Here'!$B$10)</f>
        <v>9945.9375</v>
      </c>
      <c r="J33" s="10" t="n">
        <f aca="false">MAX(0,E33-E32)*Staffing!$O$6</f>
        <v>0</v>
      </c>
      <c r="K33" s="10" t="n">
        <f aca="false">MAX(0,E33-E32)*Staffing!$P$6</f>
        <v>0</v>
      </c>
      <c r="L33" s="23" t="n">
        <f aca="false">ROUNDUP(E33,0)</f>
        <v>1</v>
      </c>
    </row>
    <row r="34" customFormat="false" ht="15" hidden="false" customHeight="false" outlineLevel="0" collapsed="false">
      <c r="A34" s="6" t="s">
        <v>72</v>
      </c>
      <c r="B34" s="6" t="s">
        <v>325</v>
      </c>
      <c r="C34" s="6" t="n">
        <v>29</v>
      </c>
      <c r="D34" s="25" t="n">
        <f aca="false">EDATE('Start Here'!$B$6,C34-1)</f>
        <v>47178</v>
      </c>
      <c r="E34" s="11" t="n">
        <f aca="false">IF(AND(C34&gt;=Staffing!$F$6,C34&lt;=Staffing!$G$6,1=1),IF(C34&lt;=6,Staffing!$H$6,IF(C34&lt;=15,Staffing!$I$6,IF(C34&lt;=30,Staffing!$J$6,Staffing!$K$6))),0)</f>
        <v>0.75</v>
      </c>
      <c r="F34" s="10" t="n">
        <f aca="false">E34*Assumptions!$C$26/12*(1+Assumptions!$C$10)^INT((C34-1)/12)*'Start Here'!$B$10</f>
        <v>0</v>
      </c>
      <c r="G34" s="10" t="n">
        <f aca="false">F34*Staffing!$N$6</f>
        <v>0</v>
      </c>
      <c r="H34" s="10" t="n">
        <f aca="false">F34+G34</f>
        <v>0</v>
      </c>
      <c r="I34" s="10" t="n">
        <f aca="false">E34*Assumptions!$C$26/12*(1+Assumptions!$C$10)^INT((C34-1)/12)*(1-'Start Here'!$B$10)</f>
        <v>9945.9375</v>
      </c>
      <c r="J34" s="10" t="n">
        <f aca="false">MAX(0,E34-E33)*Staffing!$O$6</f>
        <v>0</v>
      </c>
      <c r="K34" s="10" t="n">
        <f aca="false">MAX(0,E34-E33)*Staffing!$P$6</f>
        <v>0</v>
      </c>
      <c r="L34" s="23" t="n">
        <f aca="false">ROUNDUP(E34,0)</f>
        <v>1</v>
      </c>
    </row>
    <row r="35" customFormat="false" ht="15" hidden="false" customHeight="false" outlineLevel="0" collapsed="false">
      <c r="A35" s="6" t="s">
        <v>72</v>
      </c>
      <c r="B35" s="6" t="s">
        <v>325</v>
      </c>
      <c r="C35" s="6" t="n">
        <v>30</v>
      </c>
      <c r="D35" s="25" t="n">
        <f aca="false">EDATE('Start Here'!$B$6,C35-1)</f>
        <v>47209</v>
      </c>
      <c r="E35" s="11" t="n">
        <f aca="false">IF(AND(C35&gt;=Staffing!$F$6,C35&lt;=Staffing!$G$6,1=1),IF(C35&lt;=6,Staffing!$H$6,IF(C35&lt;=15,Staffing!$I$6,IF(C35&lt;=30,Staffing!$J$6,Staffing!$K$6))),0)</f>
        <v>0.75</v>
      </c>
      <c r="F35" s="10" t="n">
        <f aca="false">E35*Assumptions!$C$26/12*(1+Assumptions!$C$10)^INT((C35-1)/12)*'Start Here'!$B$10</f>
        <v>0</v>
      </c>
      <c r="G35" s="10" t="n">
        <f aca="false">F35*Staffing!$N$6</f>
        <v>0</v>
      </c>
      <c r="H35" s="10" t="n">
        <f aca="false">F35+G35</f>
        <v>0</v>
      </c>
      <c r="I35" s="10" t="n">
        <f aca="false">E35*Assumptions!$C$26/12*(1+Assumptions!$C$10)^INT((C35-1)/12)*(1-'Start Here'!$B$10)</f>
        <v>9945.9375</v>
      </c>
      <c r="J35" s="10" t="n">
        <f aca="false">MAX(0,E35-E34)*Staffing!$O$6</f>
        <v>0</v>
      </c>
      <c r="K35" s="10" t="n">
        <f aca="false">MAX(0,E35-E34)*Staffing!$P$6</f>
        <v>0</v>
      </c>
      <c r="L35" s="23" t="n">
        <f aca="false">ROUNDUP(E35,0)</f>
        <v>1</v>
      </c>
    </row>
    <row r="36" customFormat="false" ht="15" hidden="false" customHeight="false" outlineLevel="0" collapsed="false">
      <c r="A36" s="6" t="s">
        <v>72</v>
      </c>
      <c r="B36" s="6" t="s">
        <v>325</v>
      </c>
      <c r="C36" s="6" t="n">
        <v>31</v>
      </c>
      <c r="D36" s="25" t="n">
        <f aca="false">EDATE('Start Here'!$B$6,C36-1)</f>
        <v>47239</v>
      </c>
      <c r="E36" s="11" t="n">
        <f aca="false">IF(AND(C36&gt;=Staffing!$F$6,C36&lt;=Staffing!$G$6,1=1),IF(C36&lt;=6,Staffing!$H$6,IF(C36&lt;=15,Staffing!$I$6,IF(C36&lt;=30,Staffing!$J$6,Staffing!$K$6))),0)</f>
        <v>0.75</v>
      </c>
      <c r="F36" s="10" t="n">
        <f aca="false">E36*Assumptions!$C$26/12*(1+Assumptions!$C$10)^INT((C36-1)/12)*'Start Here'!$B$10</f>
        <v>0</v>
      </c>
      <c r="G36" s="10" t="n">
        <f aca="false">F36*Staffing!$N$6</f>
        <v>0</v>
      </c>
      <c r="H36" s="10" t="n">
        <f aca="false">F36+G36</f>
        <v>0</v>
      </c>
      <c r="I36" s="10" t="n">
        <f aca="false">E36*Assumptions!$C$26/12*(1+Assumptions!$C$10)^INT((C36-1)/12)*(1-'Start Here'!$B$10)</f>
        <v>9945.9375</v>
      </c>
      <c r="J36" s="10" t="n">
        <f aca="false">MAX(0,E36-E35)*Staffing!$O$6</f>
        <v>0</v>
      </c>
      <c r="K36" s="10" t="n">
        <f aca="false">MAX(0,E36-E35)*Staffing!$P$6</f>
        <v>0</v>
      </c>
      <c r="L36" s="23" t="n">
        <f aca="false">ROUNDUP(E36,0)</f>
        <v>1</v>
      </c>
    </row>
    <row r="37" customFormat="false" ht="15" hidden="false" customHeight="false" outlineLevel="0" collapsed="false">
      <c r="A37" s="6" t="s">
        <v>72</v>
      </c>
      <c r="B37" s="6" t="s">
        <v>325</v>
      </c>
      <c r="C37" s="6" t="n">
        <v>32</v>
      </c>
      <c r="D37" s="25" t="n">
        <f aca="false">EDATE('Start Here'!$B$6,C37-1)</f>
        <v>47270</v>
      </c>
      <c r="E37" s="11" t="n">
        <f aca="false">IF(AND(C37&gt;=Staffing!$F$6,C37&lt;=Staffing!$G$6,1=1),IF(C37&lt;=6,Staffing!$H$6,IF(C37&lt;=15,Staffing!$I$6,IF(C37&lt;=30,Staffing!$J$6,Staffing!$K$6))),0)</f>
        <v>0.75</v>
      </c>
      <c r="F37" s="10" t="n">
        <f aca="false">E37*Assumptions!$C$26/12*(1+Assumptions!$C$10)^INT((C37-1)/12)*'Start Here'!$B$10</f>
        <v>0</v>
      </c>
      <c r="G37" s="10" t="n">
        <f aca="false">F37*Staffing!$N$6</f>
        <v>0</v>
      </c>
      <c r="H37" s="10" t="n">
        <f aca="false">F37+G37</f>
        <v>0</v>
      </c>
      <c r="I37" s="10" t="n">
        <f aca="false">E37*Assumptions!$C$26/12*(1+Assumptions!$C$10)^INT((C37-1)/12)*(1-'Start Here'!$B$10)</f>
        <v>9945.9375</v>
      </c>
      <c r="J37" s="10" t="n">
        <f aca="false">MAX(0,E37-E36)*Staffing!$O$6</f>
        <v>0</v>
      </c>
      <c r="K37" s="10" t="n">
        <f aca="false">MAX(0,E37-E36)*Staffing!$P$6</f>
        <v>0</v>
      </c>
      <c r="L37" s="23" t="n">
        <f aca="false">ROUNDUP(E37,0)</f>
        <v>1</v>
      </c>
    </row>
    <row r="38" customFormat="false" ht="15" hidden="false" customHeight="false" outlineLevel="0" collapsed="false">
      <c r="A38" s="6" t="s">
        <v>72</v>
      </c>
      <c r="B38" s="6" t="s">
        <v>325</v>
      </c>
      <c r="C38" s="6" t="n">
        <v>33</v>
      </c>
      <c r="D38" s="25" t="n">
        <f aca="false">EDATE('Start Here'!$B$6,C38-1)</f>
        <v>47300</v>
      </c>
      <c r="E38" s="11" t="n">
        <f aca="false">IF(AND(C38&gt;=Staffing!$F$6,C38&lt;=Staffing!$G$6,1=1),IF(C38&lt;=6,Staffing!$H$6,IF(C38&lt;=15,Staffing!$I$6,IF(C38&lt;=30,Staffing!$J$6,Staffing!$K$6))),0)</f>
        <v>0.75</v>
      </c>
      <c r="F38" s="10" t="n">
        <f aca="false">E38*Assumptions!$C$26/12*(1+Assumptions!$C$10)^INT((C38-1)/12)*'Start Here'!$B$10</f>
        <v>0</v>
      </c>
      <c r="G38" s="10" t="n">
        <f aca="false">F38*Staffing!$N$6</f>
        <v>0</v>
      </c>
      <c r="H38" s="10" t="n">
        <f aca="false">F38+G38</f>
        <v>0</v>
      </c>
      <c r="I38" s="10" t="n">
        <f aca="false">E38*Assumptions!$C$26/12*(1+Assumptions!$C$10)^INT((C38-1)/12)*(1-'Start Here'!$B$10)</f>
        <v>9945.9375</v>
      </c>
      <c r="J38" s="10" t="n">
        <f aca="false">MAX(0,E38-E37)*Staffing!$O$6</f>
        <v>0</v>
      </c>
      <c r="K38" s="10" t="n">
        <f aca="false">MAX(0,E38-E37)*Staffing!$P$6</f>
        <v>0</v>
      </c>
      <c r="L38" s="23" t="n">
        <f aca="false">ROUNDUP(E38,0)</f>
        <v>1</v>
      </c>
    </row>
    <row r="39" customFormat="false" ht="15" hidden="false" customHeight="false" outlineLevel="0" collapsed="false">
      <c r="A39" s="6" t="s">
        <v>72</v>
      </c>
      <c r="B39" s="6" t="s">
        <v>325</v>
      </c>
      <c r="C39" s="6" t="n">
        <v>34</v>
      </c>
      <c r="D39" s="25" t="n">
        <f aca="false">EDATE('Start Here'!$B$6,C39-1)</f>
        <v>47331</v>
      </c>
      <c r="E39" s="11" t="n">
        <f aca="false">IF(AND(C39&gt;=Staffing!$F$6,C39&lt;=Staffing!$G$6,1=1),IF(C39&lt;=6,Staffing!$H$6,IF(C39&lt;=15,Staffing!$I$6,IF(C39&lt;=30,Staffing!$J$6,Staffing!$K$6))),0)</f>
        <v>0.75</v>
      </c>
      <c r="F39" s="10" t="n">
        <f aca="false">E39*Assumptions!$C$26/12*(1+Assumptions!$C$10)^INT((C39-1)/12)*'Start Here'!$B$10</f>
        <v>0</v>
      </c>
      <c r="G39" s="10" t="n">
        <f aca="false">F39*Staffing!$N$6</f>
        <v>0</v>
      </c>
      <c r="H39" s="10" t="n">
        <f aca="false">F39+G39</f>
        <v>0</v>
      </c>
      <c r="I39" s="10" t="n">
        <f aca="false">E39*Assumptions!$C$26/12*(1+Assumptions!$C$10)^INT((C39-1)/12)*(1-'Start Here'!$B$10)</f>
        <v>9945.9375</v>
      </c>
      <c r="J39" s="10" t="n">
        <f aca="false">MAX(0,E39-E38)*Staffing!$O$6</f>
        <v>0</v>
      </c>
      <c r="K39" s="10" t="n">
        <f aca="false">MAX(0,E39-E38)*Staffing!$P$6</f>
        <v>0</v>
      </c>
      <c r="L39" s="23" t="n">
        <f aca="false">ROUNDUP(E39,0)</f>
        <v>1</v>
      </c>
    </row>
    <row r="40" customFormat="false" ht="15" hidden="false" customHeight="false" outlineLevel="0" collapsed="false">
      <c r="A40" s="6" t="s">
        <v>72</v>
      </c>
      <c r="B40" s="6" t="s">
        <v>325</v>
      </c>
      <c r="C40" s="6" t="n">
        <v>35</v>
      </c>
      <c r="D40" s="25" t="n">
        <f aca="false">EDATE('Start Here'!$B$6,C40-1)</f>
        <v>47362</v>
      </c>
      <c r="E40" s="11" t="n">
        <f aca="false">IF(AND(C40&gt;=Staffing!$F$6,C40&lt;=Staffing!$G$6,1=1),IF(C40&lt;=6,Staffing!$H$6,IF(C40&lt;=15,Staffing!$I$6,IF(C40&lt;=30,Staffing!$J$6,Staffing!$K$6))),0)</f>
        <v>0.75</v>
      </c>
      <c r="F40" s="10" t="n">
        <f aca="false">E40*Assumptions!$C$26/12*(1+Assumptions!$C$10)^INT((C40-1)/12)*'Start Here'!$B$10</f>
        <v>0</v>
      </c>
      <c r="G40" s="10" t="n">
        <f aca="false">F40*Staffing!$N$6</f>
        <v>0</v>
      </c>
      <c r="H40" s="10" t="n">
        <f aca="false">F40+G40</f>
        <v>0</v>
      </c>
      <c r="I40" s="10" t="n">
        <f aca="false">E40*Assumptions!$C$26/12*(1+Assumptions!$C$10)^INT((C40-1)/12)*(1-'Start Here'!$B$10)</f>
        <v>9945.9375</v>
      </c>
      <c r="J40" s="10" t="n">
        <f aca="false">MAX(0,E40-E39)*Staffing!$O$6</f>
        <v>0</v>
      </c>
      <c r="K40" s="10" t="n">
        <f aca="false">MAX(0,E40-E39)*Staffing!$P$6</f>
        <v>0</v>
      </c>
      <c r="L40" s="23" t="n">
        <f aca="false">ROUNDUP(E40,0)</f>
        <v>1</v>
      </c>
    </row>
    <row r="41" customFormat="false" ht="15" hidden="false" customHeight="false" outlineLevel="0" collapsed="false">
      <c r="A41" s="6" t="s">
        <v>72</v>
      </c>
      <c r="B41" s="6" t="s">
        <v>325</v>
      </c>
      <c r="C41" s="6" t="n">
        <v>36</v>
      </c>
      <c r="D41" s="25" t="n">
        <f aca="false">EDATE('Start Here'!$B$6,C41-1)</f>
        <v>47392</v>
      </c>
      <c r="E41" s="11" t="n">
        <f aca="false">IF(AND(C41&gt;=Staffing!$F$6,C41&lt;=Staffing!$G$6,1=1),IF(C41&lt;=6,Staffing!$H$6,IF(C41&lt;=15,Staffing!$I$6,IF(C41&lt;=30,Staffing!$J$6,Staffing!$K$6))),0)</f>
        <v>0.75</v>
      </c>
      <c r="F41" s="10" t="n">
        <f aca="false">E41*Assumptions!$C$26/12*(1+Assumptions!$C$10)^INT((C41-1)/12)*'Start Here'!$B$10</f>
        <v>0</v>
      </c>
      <c r="G41" s="10" t="n">
        <f aca="false">F41*Staffing!$N$6</f>
        <v>0</v>
      </c>
      <c r="H41" s="10" t="n">
        <f aca="false">F41+G41</f>
        <v>0</v>
      </c>
      <c r="I41" s="10" t="n">
        <f aca="false">E41*Assumptions!$C$26/12*(1+Assumptions!$C$10)^INT((C41-1)/12)*(1-'Start Here'!$B$10)</f>
        <v>9945.9375</v>
      </c>
      <c r="J41" s="10" t="n">
        <f aca="false">MAX(0,E41-E40)*Staffing!$O$6</f>
        <v>0</v>
      </c>
      <c r="K41" s="10" t="n">
        <f aca="false">MAX(0,E41-E40)*Staffing!$P$6</f>
        <v>0</v>
      </c>
      <c r="L41" s="23" t="n">
        <f aca="false">ROUNDUP(E41,0)</f>
        <v>1</v>
      </c>
    </row>
    <row r="42" customFormat="false" ht="15" hidden="false" customHeight="false" outlineLevel="0" collapsed="false">
      <c r="A42" s="6" t="s">
        <v>72</v>
      </c>
      <c r="B42" s="6" t="s">
        <v>325</v>
      </c>
      <c r="C42" s="6" t="n">
        <v>37</v>
      </c>
      <c r="D42" s="25" t="n">
        <f aca="false">EDATE('Start Here'!$B$6,C42-1)</f>
        <v>47423</v>
      </c>
      <c r="E42" s="11" t="n">
        <f aca="false">IF(AND(C42&gt;=Staffing!$F$6,C42&lt;=Staffing!$G$6,1=1),IF(C42&lt;=6,Staffing!$H$6,IF(C42&lt;=15,Staffing!$I$6,IF(C42&lt;=30,Staffing!$J$6,Staffing!$K$6))),0)</f>
        <v>0.75</v>
      </c>
      <c r="F42" s="10" t="n">
        <f aca="false">E42*Assumptions!$C$26/12*(1+Assumptions!$C$10)^INT((C42-1)/12)*'Start Here'!$B$10</f>
        <v>0</v>
      </c>
      <c r="G42" s="10" t="n">
        <f aca="false">F42*Staffing!$N$6</f>
        <v>0</v>
      </c>
      <c r="H42" s="10" t="n">
        <f aca="false">F42+G42</f>
        <v>0</v>
      </c>
      <c r="I42" s="10" t="n">
        <f aca="false">E42*Assumptions!$C$26/12*(1+Assumptions!$C$10)^INT((C42-1)/12)*(1-'Start Here'!$B$10)</f>
        <v>10244.315625</v>
      </c>
      <c r="J42" s="10" t="n">
        <f aca="false">MAX(0,E42-E41)*Staffing!$O$6</f>
        <v>0</v>
      </c>
      <c r="K42" s="10" t="n">
        <f aca="false">MAX(0,E42-E41)*Staffing!$P$6</f>
        <v>0</v>
      </c>
      <c r="L42" s="23" t="n">
        <f aca="false">ROUNDUP(E42,0)</f>
        <v>1</v>
      </c>
    </row>
    <row r="43" customFormat="false" ht="15" hidden="false" customHeight="false" outlineLevel="0" collapsed="false">
      <c r="A43" s="6" t="s">
        <v>72</v>
      </c>
      <c r="B43" s="6" t="s">
        <v>325</v>
      </c>
      <c r="C43" s="6" t="n">
        <v>38</v>
      </c>
      <c r="D43" s="25" t="n">
        <f aca="false">EDATE('Start Here'!$B$6,C43-1)</f>
        <v>47453</v>
      </c>
      <c r="E43" s="11" t="n">
        <f aca="false">IF(AND(C43&gt;=Staffing!$F$6,C43&lt;=Staffing!$G$6,1=1),IF(C43&lt;=6,Staffing!$H$6,IF(C43&lt;=15,Staffing!$I$6,IF(C43&lt;=30,Staffing!$J$6,Staffing!$K$6))),0)</f>
        <v>0.75</v>
      </c>
      <c r="F43" s="10" t="n">
        <f aca="false">E43*Assumptions!$C$26/12*(1+Assumptions!$C$10)^INT((C43-1)/12)*'Start Here'!$B$10</f>
        <v>0</v>
      </c>
      <c r="G43" s="10" t="n">
        <f aca="false">F43*Staffing!$N$6</f>
        <v>0</v>
      </c>
      <c r="H43" s="10" t="n">
        <f aca="false">F43+G43</f>
        <v>0</v>
      </c>
      <c r="I43" s="10" t="n">
        <f aca="false">E43*Assumptions!$C$26/12*(1+Assumptions!$C$10)^INT((C43-1)/12)*(1-'Start Here'!$B$10)</f>
        <v>10244.315625</v>
      </c>
      <c r="J43" s="10" t="n">
        <f aca="false">MAX(0,E43-E42)*Staffing!$O$6</f>
        <v>0</v>
      </c>
      <c r="K43" s="10" t="n">
        <f aca="false">MAX(0,E43-E42)*Staffing!$P$6</f>
        <v>0</v>
      </c>
      <c r="L43" s="23" t="n">
        <f aca="false">ROUNDUP(E43,0)</f>
        <v>1</v>
      </c>
    </row>
    <row r="44" customFormat="false" ht="15" hidden="false" customHeight="false" outlineLevel="0" collapsed="false">
      <c r="A44" s="6" t="s">
        <v>72</v>
      </c>
      <c r="B44" s="6" t="s">
        <v>325</v>
      </c>
      <c r="C44" s="6" t="n">
        <v>39</v>
      </c>
      <c r="D44" s="25" t="n">
        <f aca="false">EDATE('Start Here'!$B$6,C44-1)</f>
        <v>47484</v>
      </c>
      <c r="E44" s="11" t="n">
        <f aca="false">IF(AND(C44&gt;=Staffing!$F$6,C44&lt;=Staffing!$G$6,1=1),IF(C44&lt;=6,Staffing!$H$6,IF(C44&lt;=15,Staffing!$I$6,IF(C44&lt;=30,Staffing!$J$6,Staffing!$K$6))),0)</f>
        <v>0.75</v>
      </c>
      <c r="F44" s="10" t="n">
        <f aca="false">E44*Assumptions!$C$26/12*(1+Assumptions!$C$10)^INT((C44-1)/12)*'Start Here'!$B$10</f>
        <v>0</v>
      </c>
      <c r="G44" s="10" t="n">
        <f aca="false">F44*Staffing!$N$6</f>
        <v>0</v>
      </c>
      <c r="H44" s="10" t="n">
        <f aca="false">F44+G44</f>
        <v>0</v>
      </c>
      <c r="I44" s="10" t="n">
        <f aca="false">E44*Assumptions!$C$26/12*(1+Assumptions!$C$10)^INT((C44-1)/12)*(1-'Start Here'!$B$10)</f>
        <v>10244.315625</v>
      </c>
      <c r="J44" s="10" t="n">
        <f aca="false">MAX(0,E44-E43)*Staffing!$O$6</f>
        <v>0</v>
      </c>
      <c r="K44" s="10" t="n">
        <f aca="false">MAX(0,E44-E43)*Staffing!$P$6</f>
        <v>0</v>
      </c>
      <c r="L44" s="23" t="n">
        <f aca="false">ROUNDUP(E44,0)</f>
        <v>1</v>
      </c>
    </row>
    <row r="45" customFormat="false" ht="15" hidden="false" customHeight="false" outlineLevel="0" collapsed="false">
      <c r="A45" s="6" t="s">
        <v>72</v>
      </c>
      <c r="B45" s="6" t="s">
        <v>325</v>
      </c>
      <c r="C45" s="6" t="n">
        <v>40</v>
      </c>
      <c r="D45" s="25" t="n">
        <f aca="false">EDATE('Start Here'!$B$6,C45-1)</f>
        <v>47515</v>
      </c>
      <c r="E45" s="11" t="n">
        <f aca="false">IF(AND(C45&gt;=Staffing!$F$6,C45&lt;=Staffing!$G$6,1=1),IF(C45&lt;=6,Staffing!$H$6,IF(C45&lt;=15,Staffing!$I$6,IF(C45&lt;=30,Staffing!$J$6,Staffing!$K$6))),0)</f>
        <v>0.75</v>
      </c>
      <c r="F45" s="10" t="n">
        <f aca="false">E45*Assumptions!$C$26/12*(1+Assumptions!$C$10)^INT((C45-1)/12)*'Start Here'!$B$10</f>
        <v>0</v>
      </c>
      <c r="G45" s="10" t="n">
        <f aca="false">F45*Staffing!$N$6</f>
        <v>0</v>
      </c>
      <c r="H45" s="10" t="n">
        <f aca="false">F45+G45</f>
        <v>0</v>
      </c>
      <c r="I45" s="10" t="n">
        <f aca="false">E45*Assumptions!$C$26/12*(1+Assumptions!$C$10)^INT((C45-1)/12)*(1-'Start Here'!$B$10)</f>
        <v>10244.315625</v>
      </c>
      <c r="J45" s="10" t="n">
        <f aca="false">MAX(0,E45-E44)*Staffing!$O$6</f>
        <v>0</v>
      </c>
      <c r="K45" s="10" t="n">
        <f aca="false">MAX(0,E45-E44)*Staffing!$P$6</f>
        <v>0</v>
      </c>
      <c r="L45" s="23" t="n">
        <f aca="false">ROUNDUP(E45,0)</f>
        <v>1</v>
      </c>
    </row>
    <row r="46" customFormat="false" ht="15" hidden="false" customHeight="false" outlineLevel="0" collapsed="false">
      <c r="A46" s="6" t="s">
        <v>72</v>
      </c>
      <c r="B46" s="6" t="s">
        <v>325</v>
      </c>
      <c r="C46" s="6" t="n">
        <v>41</v>
      </c>
      <c r="D46" s="25" t="n">
        <f aca="false">EDATE('Start Here'!$B$6,C46-1)</f>
        <v>47543</v>
      </c>
      <c r="E46" s="11" t="n">
        <f aca="false">IF(AND(C46&gt;=Staffing!$F$6,C46&lt;=Staffing!$G$6,1=1),IF(C46&lt;=6,Staffing!$H$6,IF(C46&lt;=15,Staffing!$I$6,IF(C46&lt;=30,Staffing!$J$6,Staffing!$K$6))),0)</f>
        <v>0.75</v>
      </c>
      <c r="F46" s="10" t="n">
        <f aca="false">E46*Assumptions!$C$26/12*(1+Assumptions!$C$10)^INT((C46-1)/12)*'Start Here'!$B$10</f>
        <v>0</v>
      </c>
      <c r="G46" s="10" t="n">
        <f aca="false">F46*Staffing!$N$6</f>
        <v>0</v>
      </c>
      <c r="H46" s="10" t="n">
        <f aca="false">F46+G46</f>
        <v>0</v>
      </c>
      <c r="I46" s="10" t="n">
        <f aca="false">E46*Assumptions!$C$26/12*(1+Assumptions!$C$10)^INT((C46-1)/12)*(1-'Start Here'!$B$10)</f>
        <v>10244.315625</v>
      </c>
      <c r="J46" s="10" t="n">
        <f aca="false">MAX(0,E46-E45)*Staffing!$O$6</f>
        <v>0</v>
      </c>
      <c r="K46" s="10" t="n">
        <f aca="false">MAX(0,E46-E45)*Staffing!$P$6</f>
        <v>0</v>
      </c>
      <c r="L46" s="23" t="n">
        <f aca="false">ROUNDUP(E46,0)</f>
        <v>1</v>
      </c>
    </row>
    <row r="47" customFormat="false" ht="15" hidden="false" customHeight="false" outlineLevel="0" collapsed="false">
      <c r="A47" s="6" t="s">
        <v>72</v>
      </c>
      <c r="B47" s="6" t="s">
        <v>325</v>
      </c>
      <c r="C47" s="6" t="n">
        <v>42</v>
      </c>
      <c r="D47" s="25" t="n">
        <f aca="false">EDATE('Start Here'!$B$6,C47-1)</f>
        <v>47574</v>
      </c>
      <c r="E47" s="11" t="n">
        <f aca="false">IF(AND(C47&gt;=Staffing!$F$6,C47&lt;=Staffing!$G$6,1=1),IF(C47&lt;=6,Staffing!$H$6,IF(C47&lt;=15,Staffing!$I$6,IF(C47&lt;=30,Staffing!$J$6,Staffing!$K$6))),0)</f>
        <v>0.75</v>
      </c>
      <c r="F47" s="10" t="n">
        <f aca="false">E47*Assumptions!$C$26/12*(1+Assumptions!$C$10)^INT((C47-1)/12)*'Start Here'!$B$10</f>
        <v>0</v>
      </c>
      <c r="G47" s="10" t="n">
        <f aca="false">F47*Staffing!$N$6</f>
        <v>0</v>
      </c>
      <c r="H47" s="10" t="n">
        <f aca="false">F47+G47</f>
        <v>0</v>
      </c>
      <c r="I47" s="10" t="n">
        <f aca="false">E47*Assumptions!$C$26/12*(1+Assumptions!$C$10)^INT((C47-1)/12)*(1-'Start Here'!$B$10)</f>
        <v>10244.315625</v>
      </c>
      <c r="J47" s="10" t="n">
        <f aca="false">MAX(0,E47-E46)*Staffing!$O$6</f>
        <v>0</v>
      </c>
      <c r="K47" s="10" t="n">
        <f aca="false">MAX(0,E47-E46)*Staffing!$P$6</f>
        <v>0</v>
      </c>
      <c r="L47" s="23" t="n">
        <f aca="false">ROUNDUP(E47,0)</f>
        <v>1</v>
      </c>
    </row>
    <row r="48" customFormat="false" ht="15" hidden="false" customHeight="false" outlineLevel="0" collapsed="false">
      <c r="A48" s="6" t="s">
        <v>72</v>
      </c>
      <c r="B48" s="6" t="s">
        <v>325</v>
      </c>
      <c r="C48" s="6" t="n">
        <v>43</v>
      </c>
      <c r="D48" s="25" t="n">
        <f aca="false">EDATE('Start Here'!$B$6,C48-1)</f>
        <v>47604</v>
      </c>
      <c r="E48" s="11" t="n">
        <f aca="false">IF(AND(C48&gt;=Staffing!$F$6,C48&lt;=Staffing!$G$6,1=1),IF(C48&lt;=6,Staffing!$H$6,IF(C48&lt;=15,Staffing!$I$6,IF(C48&lt;=30,Staffing!$J$6,Staffing!$K$6))),0)</f>
        <v>0.75</v>
      </c>
      <c r="F48" s="10" t="n">
        <f aca="false">E48*Assumptions!$C$26/12*(1+Assumptions!$C$10)^INT((C48-1)/12)*'Start Here'!$B$10</f>
        <v>0</v>
      </c>
      <c r="G48" s="10" t="n">
        <f aca="false">F48*Staffing!$N$6</f>
        <v>0</v>
      </c>
      <c r="H48" s="10" t="n">
        <f aca="false">F48+G48</f>
        <v>0</v>
      </c>
      <c r="I48" s="10" t="n">
        <f aca="false">E48*Assumptions!$C$26/12*(1+Assumptions!$C$10)^INT((C48-1)/12)*(1-'Start Here'!$B$10)</f>
        <v>10244.315625</v>
      </c>
      <c r="J48" s="10" t="n">
        <f aca="false">MAX(0,E48-E47)*Staffing!$O$6</f>
        <v>0</v>
      </c>
      <c r="K48" s="10" t="n">
        <f aca="false">MAX(0,E48-E47)*Staffing!$P$6</f>
        <v>0</v>
      </c>
      <c r="L48" s="23" t="n">
        <f aca="false">ROUNDUP(E48,0)</f>
        <v>1</v>
      </c>
    </row>
    <row r="49" customFormat="false" ht="15" hidden="false" customHeight="false" outlineLevel="0" collapsed="false">
      <c r="A49" s="6" t="s">
        <v>72</v>
      </c>
      <c r="B49" s="6" t="s">
        <v>325</v>
      </c>
      <c r="C49" s="6" t="n">
        <v>44</v>
      </c>
      <c r="D49" s="25" t="n">
        <f aca="false">EDATE('Start Here'!$B$6,C49-1)</f>
        <v>47635</v>
      </c>
      <c r="E49" s="11" t="n">
        <f aca="false">IF(AND(C49&gt;=Staffing!$F$6,C49&lt;=Staffing!$G$6,1=1),IF(C49&lt;=6,Staffing!$H$6,IF(C49&lt;=15,Staffing!$I$6,IF(C49&lt;=30,Staffing!$J$6,Staffing!$K$6))),0)</f>
        <v>0.75</v>
      </c>
      <c r="F49" s="10" t="n">
        <f aca="false">E49*Assumptions!$C$26/12*(1+Assumptions!$C$10)^INT((C49-1)/12)*'Start Here'!$B$10</f>
        <v>0</v>
      </c>
      <c r="G49" s="10" t="n">
        <f aca="false">F49*Staffing!$N$6</f>
        <v>0</v>
      </c>
      <c r="H49" s="10" t="n">
        <f aca="false">F49+G49</f>
        <v>0</v>
      </c>
      <c r="I49" s="10" t="n">
        <f aca="false">E49*Assumptions!$C$26/12*(1+Assumptions!$C$10)^INT((C49-1)/12)*(1-'Start Here'!$B$10)</f>
        <v>10244.315625</v>
      </c>
      <c r="J49" s="10" t="n">
        <f aca="false">MAX(0,E49-E48)*Staffing!$O$6</f>
        <v>0</v>
      </c>
      <c r="K49" s="10" t="n">
        <f aca="false">MAX(0,E49-E48)*Staffing!$P$6</f>
        <v>0</v>
      </c>
      <c r="L49" s="23" t="n">
        <f aca="false">ROUNDUP(E49,0)</f>
        <v>1</v>
      </c>
    </row>
    <row r="50" customFormat="false" ht="15" hidden="false" customHeight="false" outlineLevel="0" collapsed="false">
      <c r="A50" s="6" t="s">
        <v>72</v>
      </c>
      <c r="B50" s="6" t="s">
        <v>325</v>
      </c>
      <c r="C50" s="6" t="n">
        <v>45</v>
      </c>
      <c r="D50" s="25" t="n">
        <f aca="false">EDATE('Start Here'!$B$6,C50-1)</f>
        <v>47665</v>
      </c>
      <c r="E50" s="11" t="n">
        <f aca="false">IF(AND(C50&gt;=Staffing!$F$6,C50&lt;=Staffing!$G$6,1=1),IF(C50&lt;=6,Staffing!$H$6,IF(C50&lt;=15,Staffing!$I$6,IF(C50&lt;=30,Staffing!$J$6,Staffing!$K$6))),0)</f>
        <v>0.75</v>
      </c>
      <c r="F50" s="10" t="n">
        <f aca="false">E50*Assumptions!$C$26/12*(1+Assumptions!$C$10)^INT((C50-1)/12)*'Start Here'!$B$10</f>
        <v>0</v>
      </c>
      <c r="G50" s="10" t="n">
        <f aca="false">F50*Staffing!$N$6</f>
        <v>0</v>
      </c>
      <c r="H50" s="10" t="n">
        <f aca="false">F50+G50</f>
        <v>0</v>
      </c>
      <c r="I50" s="10" t="n">
        <f aca="false">E50*Assumptions!$C$26/12*(1+Assumptions!$C$10)^INT((C50-1)/12)*(1-'Start Here'!$B$10)</f>
        <v>10244.315625</v>
      </c>
      <c r="J50" s="10" t="n">
        <f aca="false">MAX(0,E50-E49)*Staffing!$O$6</f>
        <v>0</v>
      </c>
      <c r="K50" s="10" t="n">
        <f aca="false">MAX(0,E50-E49)*Staffing!$P$6</f>
        <v>0</v>
      </c>
      <c r="L50" s="23" t="n">
        <f aca="false">ROUNDUP(E50,0)</f>
        <v>1</v>
      </c>
    </row>
    <row r="51" customFormat="false" ht="15" hidden="false" customHeight="false" outlineLevel="0" collapsed="false">
      <c r="A51" s="6" t="s">
        <v>72</v>
      </c>
      <c r="B51" s="6" t="s">
        <v>325</v>
      </c>
      <c r="C51" s="6" t="n">
        <v>46</v>
      </c>
      <c r="D51" s="25" t="n">
        <f aca="false">EDATE('Start Here'!$B$6,C51-1)</f>
        <v>47696</v>
      </c>
      <c r="E51" s="11" t="n">
        <f aca="false">IF(AND(C51&gt;=Staffing!$F$6,C51&lt;=Staffing!$G$6,1=1),IF(C51&lt;=6,Staffing!$H$6,IF(C51&lt;=15,Staffing!$I$6,IF(C51&lt;=30,Staffing!$J$6,Staffing!$K$6))),0)</f>
        <v>0.75</v>
      </c>
      <c r="F51" s="10" t="n">
        <f aca="false">E51*Assumptions!$C$26/12*(1+Assumptions!$C$10)^INT((C51-1)/12)*'Start Here'!$B$10</f>
        <v>0</v>
      </c>
      <c r="G51" s="10" t="n">
        <f aca="false">F51*Staffing!$N$6</f>
        <v>0</v>
      </c>
      <c r="H51" s="10" t="n">
        <f aca="false">F51+G51</f>
        <v>0</v>
      </c>
      <c r="I51" s="10" t="n">
        <f aca="false">E51*Assumptions!$C$26/12*(1+Assumptions!$C$10)^INT((C51-1)/12)*(1-'Start Here'!$B$10)</f>
        <v>10244.315625</v>
      </c>
      <c r="J51" s="10" t="n">
        <f aca="false">MAX(0,E51-E50)*Staffing!$O$6</f>
        <v>0</v>
      </c>
      <c r="K51" s="10" t="n">
        <f aca="false">MAX(0,E51-E50)*Staffing!$P$6</f>
        <v>0</v>
      </c>
      <c r="L51" s="23" t="n">
        <f aca="false">ROUNDUP(E51,0)</f>
        <v>1</v>
      </c>
    </row>
    <row r="52" customFormat="false" ht="15" hidden="false" customHeight="false" outlineLevel="0" collapsed="false">
      <c r="A52" s="6" t="s">
        <v>72</v>
      </c>
      <c r="B52" s="6" t="s">
        <v>325</v>
      </c>
      <c r="C52" s="6" t="n">
        <v>47</v>
      </c>
      <c r="D52" s="25" t="n">
        <f aca="false">EDATE('Start Here'!$B$6,C52-1)</f>
        <v>47727</v>
      </c>
      <c r="E52" s="11" t="n">
        <f aca="false">IF(AND(C52&gt;=Staffing!$F$6,C52&lt;=Staffing!$G$6,1=1),IF(C52&lt;=6,Staffing!$H$6,IF(C52&lt;=15,Staffing!$I$6,IF(C52&lt;=30,Staffing!$J$6,Staffing!$K$6))),0)</f>
        <v>0.75</v>
      </c>
      <c r="F52" s="10" t="n">
        <f aca="false">E52*Assumptions!$C$26/12*(1+Assumptions!$C$10)^INT((C52-1)/12)*'Start Here'!$B$10</f>
        <v>0</v>
      </c>
      <c r="G52" s="10" t="n">
        <f aca="false">F52*Staffing!$N$6</f>
        <v>0</v>
      </c>
      <c r="H52" s="10" t="n">
        <f aca="false">F52+G52</f>
        <v>0</v>
      </c>
      <c r="I52" s="10" t="n">
        <f aca="false">E52*Assumptions!$C$26/12*(1+Assumptions!$C$10)^INT((C52-1)/12)*(1-'Start Here'!$B$10)</f>
        <v>10244.315625</v>
      </c>
      <c r="J52" s="10" t="n">
        <f aca="false">MAX(0,E52-E51)*Staffing!$O$6</f>
        <v>0</v>
      </c>
      <c r="K52" s="10" t="n">
        <f aca="false">MAX(0,E52-E51)*Staffing!$P$6</f>
        <v>0</v>
      </c>
      <c r="L52" s="23" t="n">
        <f aca="false">ROUNDUP(E52,0)</f>
        <v>1</v>
      </c>
    </row>
    <row r="53" customFormat="false" ht="15" hidden="false" customHeight="false" outlineLevel="0" collapsed="false">
      <c r="A53" s="6" t="s">
        <v>72</v>
      </c>
      <c r="B53" s="6" t="s">
        <v>325</v>
      </c>
      <c r="C53" s="6" t="n">
        <v>48</v>
      </c>
      <c r="D53" s="25" t="n">
        <f aca="false">EDATE('Start Here'!$B$6,C53-1)</f>
        <v>47757</v>
      </c>
      <c r="E53" s="11" t="n">
        <f aca="false">IF(AND(C53&gt;=Staffing!$F$6,C53&lt;=Staffing!$G$6,1=1),IF(C53&lt;=6,Staffing!$H$6,IF(C53&lt;=15,Staffing!$I$6,IF(C53&lt;=30,Staffing!$J$6,Staffing!$K$6))),0)</f>
        <v>0.75</v>
      </c>
      <c r="F53" s="10" t="n">
        <f aca="false">E53*Assumptions!$C$26/12*(1+Assumptions!$C$10)^INT((C53-1)/12)*'Start Here'!$B$10</f>
        <v>0</v>
      </c>
      <c r="G53" s="10" t="n">
        <f aca="false">F53*Staffing!$N$6</f>
        <v>0</v>
      </c>
      <c r="H53" s="10" t="n">
        <f aca="false">F53+G53</f>
        <v>0</v>
      </c>
      <c r="I53" s="10" t="n">
        <f aca="false">E53*Assumptions!$C$26/12*(1+Assumptions!$C$10)^INT((C53-1)/12)*(1-'Start Here'!$B$10)</f>
        <v>10244.315625</v>
      </c>
      <c r="J53" s="10" t="n">
        <f aca="false">MAX(0,E53-E52)*Staffing!$O$6</f>
        <v>0</v>
      </c>
      <c r="K53" s="10" t="n">
        <f aca="false">MAX(0,E53-E52)*Staffing!$P$6</f>
        <v>0</v>
      </c>
      <c r="L53" s="23" t="n">
        <f aca="false">ROUNDUP(E53,0)</f>
        <v>1</v>
      </c>
    </row>
    <row r="54" customFormat="false" ht="15" hidden="false" customHeight="false" outlineLevel="0" collapsed="false">
      <c r="A54" s="6" t="s">
        <v>72</v>
      </c>
      <c r="B54" s="6" t="s">
        <v>325</v>
      </c>
      <c r="C54" s="6" t="n">
        <v>49</v>
      </c>
      <c r="D54" s="25" t="n">
        <f aca="false">EDATE('Start Here'!$B$6,C54-1)</f>
        <v>47788</v>
      </c>
      <c r="E54" s="11" t="n">
        <f aca="false">IF(AND(C54&gt;=Staffing!$F$6,C54&lt;=Staffing!$G$6,1=1),IF(C54&lt;=6,Staffing!$H$6,IF(C54&lt;=15,Staffing!$I$6,IF(C54&lt;=30,Staffing!$J$6,Staffing!$K$6))),0)</f>
        <v>0.75</v>
      </c>
      <c r="F54" s="10" t="n">
        <f aca="false">E54*Assumptions!$C$26/12*(1+Assumptions!$C$10)^INT((C54-1)/12)*'Start Here'!$B$10</f>
        <v>0</v>
      </c>
      <c r="G54" s="10" t="n">
        <f aca="false">F54*Staffing!$N$6</f>
        <v>0</v>
      </c>
      <c r="H54" s="10" t="n">
        <f aca="false">F54+G54</f>
        <v>0</v>
      </c>
      <c r="I54" s="10" t="n">
        <f aca="false">E54*Assumptions!$C$26/12*(1+Assumptions!$C$10)^INT((C54-1)/12)*(1-'Start Here'!$B$10)</f>
        <v>10551.64509375</v>
      </c>
      <c r="J54" s="10" t="n">
        <f aca="false">MAX(0,E54-E53)*Staffing!$O$6</f>
        <v>0</v>
      </c>
      <c r="K54" s="10" t="n">
        <f aca="false">MAX(0,E54-E53)*Staffing!$P$6</f>
        <v>0</v>
      </c>
      <c r="L54" s="23" t="n">
        <f aca="false">ROUNDUP(E54,0)</f>
        <v>1</v>
      </c>
    </row>
    <row r="55" customFormat="false" ht="15" hidden="false" customHeight="false" outlineLevel="0" collapsed="false">
      <c r="A55" s="6" t="s">
        <v>72</v>
      </c>
      <c r="B55" s="6" t="s">
        <v>325</v>
      </c>
      <c r="C55" s="6" t="n">
        <v>50</v>
      </c>
      <c r="D55" s="25" t="n">
        <f aca="false">EDATE('Start Here'!$B$6,C55-1)</f>
        <v>47818</v>
      </c>
      <c r="E55" s="11" t="n">
        <f aca="false">IF(AND(C55&gt;=Staffing!$F$6,C55&lt;=Staffing!$G$6,1=1),IF(C55&lt;=6,Staffing!$H$6,IF(C55&lt;=15,Staffing!$I$6,IF(C55&lt;=30,Staffing!$J$6,Staffing!$K$6))),0)</f>
        <v>0.75</v>
      </c>
      <c r="F55" s="10" t="n">
        <f aca="false">E55*Assumptions!$C$26/12*(1+Assumptions!$C$10)^INT((C55-1)/12)*'Start Here'!$B$10</f>
        <v>0</v>
      </c>
      <c r="G55" s="10" t="n">
        <f aca="false">F55*Staffing!$N$6</f>
        <v>0</v>
      </c>
      <c r="H55" s="10" t="n">
        <f aca="false">F55+G55</f>
        <v>0</v>
      </c>
      <c r="I55" s="10" t="n">
        <f aca="false">E55*Assumptions!$C$26/12*(1+Assumptions!$C$10)^INT((C55-1)/12)*(1-'Start Here'!$B$10)</f>
        <v>10551.64509375</v>
      </c>
      <c r="J55" s="10" t="n">
        <f aca="false">MAX(0,E55-E54)*Staffing!$O$6</f>
        <v>0</v>
      </c>
      <c r="K55" s="10" t="n">
        <f aca="false">MAX(0,E55-E54)*Staffing!$P$6</f>
        <v>0</v>
      </c>
      <c r="L55" s="23" t="n">
        <f aca="false">ROUNDUP(E55,0)</f>
        <v>1</v>
      </c>
    </row>
    <row r="56" customFormat="false" ht="15" hidden="false" customHeight="false" outlineLevel="0" collapsed="false">
      <c r="A56" s="6" t="s">
        <v>72</v>
      </c>
      <c r="B56" s="6" t="s">
        <v>325</v>
      </c>
      <c r="C56" s="6" t="n">
        <v>51</v>
      </c>
      <c r="D56" s="25" t="n">
        <f aca="false">EDATE('Start Here'!$B$6,C56-1)</f>
        <v>47849</v>
      </c>
      <c r="E56" s="11" t="n">
        <f aca="false">IF(AND(C56&gt;=Staffing!$F$6,C56&lt;=Staffing!$G$6,1=1),IF(C56&lt;=6,Staffing!$H$6,IF(C56&lt;=15,Staffing!$I$6,IF(C56&lt;=30,Staffing!$J$6,Staffing!$K$6))),0)</f>
        <v>0.75</v>
      </c>
      <c r="F56" s="10" t="n">
        <f aca="false">E56*Assumptions!$C$26/12*(1+Assumptions!$C$10)^INT((C56-1)/12)*'Start Here'!$B$10</f>
        <v>0</v>
      </c>
      <c r="G56" s="10" t="n">
        <f aca="false">F56*Staffing!$N$6</f>
        <v>0</v>
      </c>
      <c r="H56" s="10" t="n">
        <f aca="false">F56+G56</f>
        <v>0</v>
      </c>
      <c r="I56" s="10" t="n">
        <f aca="false">E56*Assumptions!$C$26/12*(1+Assumptions!$C$10)^INT((C56-1)/12)*(1-'Start Here'!$B$10)</f>
        <v>10551.64509375</v>
      </c>
      <c r="J56" s="10" t="n">
        <f aca="false">MAX(0,E56-E55)*Staffing!$O$6</f>
        <v>0</v>
      </c>
      <c r="K56" s="10" t="n">
        <f aca="false">MAX(0,E56-E55)*Staffing!$P$6</f>
        <v>0</v>
      </c>
      <c r="L56" s="23" t="n">
        <f aca="false">ROUNDUP(E56,0)</f>
        <v>1</v>
      </c>
    </row>
    <row r="57" customFormat="false" ht="15" hidden="false" customHeight="false" outlineLevel="0" collapsed="false">
      <c r="A57" s="6" t="s">
        <v>72</v>
      </c>
      <c r="B57" s="6" t="s">
        <v>325</v>
      </c>
      <c r="C57" s="6" t="n">
        <v>52</v>
      </c>
      <c r="D57" s="25" t="n">
        <f aca="false">EDATE('Start Here'!$B$6,C57-1)</f>
        <v>47880</v>
      </c>
      <c r="E57" s="11" t="n">
        <f aca="false">IF(AND(C57&gt;=Staffing!$F$6,C57&lt;=Staffing!$G$6,1=1),IF(C57&lt;=6,Staffing!$H$6,IF(C57&lt;=15,Staffing!$I$6,IF(C57&lt;=30,Staffing!$J$6,Staffing!$K$6))),0)</f>
        <v>0.75</v>
      </c>
      <c r="F57" s="10" t="n">
        <f aca="false">E57*Assumptions!$C$26/12*(1+Assumptions!$C$10)^INT((C57-1)/12)*'Start Here'!$B$10</f>
        <v>0</v>
      </c>
      <c r="G57" s="10" t="n">
        <f aca="false">F57*Staffing!$N$6</f>
        <v>0</v>
      </c>
      <c r="H57" s="10" t="n">
        <f aca="false">F57+G57</f>
        <v>0</v>
      </c>
      <c r="I57" s="10" t="n">
        <f aca="false">E57*Assumptions!$C$26/12*(1+Assumptions!$C$10)^INT((C57-1)/12)*(1-'Start Here'!$B$10)</f>
        <v>10551.64509375</v>
      </c>
      <c r="J57" s="10" t="n">
        <f aca="false">MAX(0,E57-E56)*Staffing!$O$6</f>
        <v>0</v>
      </c>
      <c r="K57" s="10" t="n">
        <f aca="false">MAX(0,E57-E56)*Staffing!$P$6</f>
        <v>0</v>
      </c>
      <c r="L57" s="23" t="n">
        <f aca="false">ROUNDUP(E57,0)</f>
        <v>1</v>
      </c>
    </row>
    <row r="58" customFormat="false" ht="15" hidden="false" customHeight="false" outlineLevel="0" collapsed="false">
      <c r="A58" s="6" t="s">
        <v>72</v>
      </c>
      <c r="B58" s="6" t="s">
        <v>325</v>
      </c>
      <c r="C58" s="6" t="n">
        <v>53</v>
      </c>
      <c r="D58" s="25" t="n">
        <f aca="false">EDATE('Start Here'!$B$6,C58-1)</f>
        <v>47908</v>
      </c>
      <c r="E58" s="11" t="n">
        <f aca="false">IF(AND(C58&gt;=Staffing!$F$6,C58&lt;=Staffing!$G$6,1=1),IF(C58&lt;=6,Staffing!$H$6,IF(C58&lt;=15,Staffing!$I$6,IF(C58&lt;=30,Staffing!$J$6,Staffing!$K$6))),0)</f>
        <v>0.75</v>
      </c>
      <c r="F58" s="10" t="n">
        <f aca="false">E58*Assumptions!$C$26/12*(1+Assumptions!$C$10)^INT((C58-1)/12)*'Start Here'!$B$10</f>
        <v>0</v>
      </c>
      <c r="G58" s="10" t="n">
        <f aca="false">F58*Staffing!$N$6</f>
        <v>0</v>
      </c>
      <c r="H58" s="10" t="n">
        <f aca="false">F58+G58</f>
        <v>0</v>
      </c>
      <c r="I58" s="10" t="n">
        <f aca="false">E58*Assumptions!$C$26/12*(1+Assumptions!$C$10)^INT((C58-1)/12)*(1-'Start Here'!$B$10)</f>
        <v>10551.64509375</v>
      </c>
      <c r="J58" s="10" t="n">
        <f aca="false">MAX(0,E58-E57)*Staffing!$O$6</f>
        <v>0</v>
      </c>
      <c r="K58" s="10" t="n">
        <f aca="false">MAX(0,E58-E57)*Staffing!$P$6</f>
        <v>0</v>
      </c>
      <c r="L58" s="23" t="n">
        <f aca="false">ROUNDUP(E58,0)</f>
        <v>1</v>
      </c>
    </row>
    <row r="59" customFormat="false" ht="15" hidden="false" customHeight="false" outlineLevel="0" collapsed="false">
      <c r="A59" s="6" t="s">
        <v>72</v>
      </c>
      <c r="B59" s="6" t="s">
        <v>325</v>
      </c>
      <c r="C59" s="6" t="n">
        <v>54</v>
      </c>
      <c r="D59" s="25" t="n">
        <f aca="false">EDATE('Start Here'!$B$6,C59-1)</f>
        <v>47939</v>
      </c>
      <c r="E59" s="11" t="n">
        <f aca="false">IF(AND(C59&gt;=Staffing!$F$6,C59&lt;=Staffing!$G$6,1=1),IF(C59&lt;=6,Staffing!$H$6,IF(C59&lt;=15,Staffing!$I$6,IF(C59&lt;=30,Staffing!$J$6,Staffing!$K$6))),0)</f>
        <v>0.75</v>
      </c>
      <c r="F59" s="10" t="n">
        <f aca="false">E59*Assumptions!$C$26/12*(1+Assumptions!$C$10)^INT((C59-1)/12)*'Start Here'!$B$10</f>
        <v>0</v>
      </c>
      <c r="G59" s="10" t="n">
        <f aca="false">F59*Staffing!$N$6</f>
        <v>0</v>
      </c>
      <c r="H59" s="10" t="n">
        <f aca="false">F59+G59</f>
        <v>0</v>
      </c>
      <c r="I59" s="10" t="n">
        <f aca="false">E59*Assumptions!$C$26/12*(1+Assumptions!$C$10)^INT((C59-1)/12)*(1-'Start Here'!$B$10)</f>
        <v>10551.64509375</v>
      </c>
      <c r="J59" s="10" t="n">
        <f aca="false">MAX(0,E59-E58)*Staffing!$O$6</f>
        <v>0</v>
      </c>
      <c r="K59" s="10" t="n">
        <f aca="false">MAX(0,E59-E58)*Staffing!$P$6</f>
        <v>0</v>
      </c>
      <c r="L59" s="23" t="n">
        <f aca="false">ROUNDUP(E59,0)</f>
        <v>1</v>
      </c>
    </row>
    <row r="60" customFormat="false" ht="15" hidden="false" customHeight="false" outlineLevel="0" collapsed="false">
      <c r="A60" s="6" t="s">
        <v>72</v>
      </c>
      <c r="B60" s="6" t="s">
        <v>325</v>
      </c>
      <c r="C60" s="6" t="n">
        <v>55</v>
      </c>
      <c r="D60" s="25" t="n">
        <f aca="false">EDATE('Start Here'!$B$6,C60-1)</f>
        <v>47969</v>
      </c>
      <c r="E60" s="11" t="n">
        <f aca="false">IF(AND(C60&gt;=Staffing!$F$6,C60&lt;=Staffing!$G$6,1=1),IF(C60&lt;=6,Staffing!$H$6,IF(C60&lt;=15,Staffing!$I$6,IF(C60&lt;=30,Staffing!$J$6,Staffing!$K$6))),0)</f>
        <v>0.75</v>
      </c>
      <c r="F60" s="10" t="n">
        <f aca="false">E60*Assumptions!$C$26/12*(1+Assumptions!$C$10)^INT((C60-1)/12)*'Start Here'!$B$10</f>
        <v>0</v>
      </c>
      <c r="G60" s="10" t="n">
        <f aca="false">F60*Staffing!$N$6</f>
        <v>0</v>
      </c>
      <c r="H60" s="10" t="n">
        <f aca="false">F60+G60</f>
        <v>0</v>
      </c>
      <c r="I60" s="10" t="n">
        <f aca="false">E60*Assumptions!$C$26/12*(1+Assumptions!$C$10)^INT((C60-1)/12)*(1-'Start Here'!$B$10)</f>
        <v>10551.64509375</v>
      </c>
      <c r="J60" s="10" t="n">
        <f aca="false">MAX(0,E60-E59)*Staffing!$O$6</f>
        <v>0</v>
      </c>
      <c r="K60" s="10" t="n">
        <f aca="false">MAX(0,E60-E59)*Staffing!$P$6</f>
        <v>0</v>
      </c>
      <c r="L60" s="23" t="n">
        <f aca="false">ROUNDUP(E60,0)</f>
        <v>1</v>
      </c>
    </row>
    <row r="61" customFormat="false" ht="15" hidden="false" customHeight="false" outlineLevel="0" collapsed="false">
      <c r="A61" s="6" t="s">
        <v>72</v>
      </c>
      <c r="B61" s="6" t="s">
        <v>325</v>
      </c>
      <c r="C61" s="6" t="n">
        <v>56</v>
      </c>
      <c r="D61" s="25" t="n">
        <f aca="false">EDATE('Start Here'!$B$6,C61-1)</f>
        <v>48000</v>
      </c>
      <c r="E61" s="11" t="n">
        <f aca="false">IF(AND(C61&gt;=Staffing!$F$6,C61&lt;=Staffing!$G$6,1=1),IF(C61&lt;=6,Staffing!$H$6,IF(C61&lt;=15,Staffing!$I$6,IF(C61&lt;=30,Staffing!$J$6,Staffing!$K$6))),0)</f>
        <v>0.75</v>
      </c>
      <c r="F61" s="10" t="n">
        <f aca="false">E61*Assumptions!$C$26/12*(1+Assumptions!$C$10)^INT((C61-1)/12)*'Start Here'!$B$10</f>
        <v>0</v>
      </c>
      <c r="G61" s="10" t="n">
        <f aca="false">F61*Staffing!$N$6</f>
        <v>0</v>
      </c>
      <c r="H61" s="10" t="n">
        <f aca="false">F61+G61</f>
        <v>0</v>
      </c>
      <c r="I61" s="10" t="n">
        <f aca="false">E61*Assumptions!$C$26/12*(1+Assumptions!$C$10)^INT((C61-1)/12)*(1-'Start Here'!$B$10)</f>
        <v>10551.64509375</v>
      </c>
      <c r="J61" s="10" t="n">
        <f aca="false">MAX(0,E61-E60)*Staffing!$O$6</f>
        <v>0</v>
      </c>
      <c r="K61" s="10" t="n">
        <f aca="false">MAX(0,E61-E60)*Staffing!$P$6</f>
        <v>0</v>
      </c>
      <c r="L61" s="23" t="n">
        <f aca="false">ROUNDUP(E61,0)</f>
        <v>1</v>
      </c>
    </row>
    <row r="62" customFormat="false" ht="15" hidden="false" customHeight="false" outlineLevel="0" collapsed="false">
      <c r="A62" s="6" t="s">
        <v>72</v>
      </c>
      <c r="B62" s="6" t="s">
        <v>325</v>
      </c>
      <c r="C62" s="6" t="n">
        <v>57</v>
      </c>
      <c r="D62" s="25" t="n">
        <f aca="false">EDATE('Start Here'!$B$6,C62-1)</f>
        <v>48030</v>
      </c>
      <c r="E62" s="11" t="n">
        <f aca="false">IF(AND(C62&gt;=Staffing!$F$6,C62&lt;=Staffing!$G$6,1=1),IF(C62&lt;=6,Staffing!$H$6,IF(C62&lt;=15,Staffing!$I$6,IF(C62&lt;=30,Staffing!$J$6,Staffing!$K$6))),0)</f>
        <v>0.75</v>
      </c>
      <c r="F62" s="10" t="n">
        <f aca="false">E62*Assumptions!$C$26/12*(1+Assumptions!$C$10)^INT((C62-1)/12)*'Start Here'!$B$10</f>
        <v>0</v>
      </c>
      <c r="G62" s="10" t="n">
        <f aca="false">F62*Staffing!$N$6</f>
        <v>0</v>
      </c>
      <c r="H62" s="10" t="n">
        <f aca="false">F62+G62</f>
        <v>0</v>
      </c>
      <c r="I62" s="10" t="n">
        <f aca="false">E62*Assumptions!$C$26/12*(1+Assumptions!$C$10)^INT((C62-1)/12)*(1-'Start Here'!$B$10)</f>
        <v>10551.64509375</v>
      </c>
      <c r="J62" s="10" t="n">
        <f aca="false">MAX(0,E62-E61)*Staffing!$O$6</f>
        <v>0</v>
      </c>
      <c r="K62" s="10" t="n">
        <f aca="false">MAX(0,E62-E61)*Staffing!$P$6</f>
        <v>0</v>
      </c>
      <c r="L62" s="23" t="n">
        <f aca="false">ROUNDUP(E62,0)</f>
        <v>1</v>
      </c>
    </row>
    <row r="63" customFormat="false" ht="15" hidden="false" customHeight="false" outlineLevel="0" collapsed="false">
      <c r="A63" s="6" t="s">
        <v>72</v>
      </c>
      <c r="B63" s="6" t="s">
        <v>325</v>
      </c>
      <c r="C63" s="6" t="n">
        <v>58</v>
      </c>
      <c r="D63" s="25" t="n">
        <f aca="false">EDATE('Start Here'!$B$6,C63-1)</f>
        <v>48061</v>
      </c>
      <c r="E63" s="11" t="n">
        <f aca="false">IF(AND(C63&gt;=Staffing!$F$6,C63&lt;=Staffing!$G$6,1=1),IF(C63&lt;=6,Staffing!$H$6,IF(C63&lt;=15,Staffing!$I$6,IF(C63&lt;=30,Staffing!$J$6,Staffing!$K$6))),0)</f>
        <v>0.75</v>
      </c>
      <c r="F63" s="10" t="n">
        <f aca="false">E63*Assumptions!$C$26/12*(1+Assumptions!$C$10)^INT((C63-1)/12)*'Start Here'!$B$10</f>
        <v>0</v>
      </c>
      <c r="G63" s="10" t="n">
        <f aca="false">F63*Staffing!$N$6</f>
        <v>0</v>
      </c>
      <c r="H63" s="10" t="n">
        <f aca="false">F63+G63</f>
        <v>0</v>
      </c>
      <c r="I63" s="10" t="n">
        <f aca="false">E63*Assumptions!$C$26/12*(1+Assumptions!$C$10)^INT((C63-1)/12)*(1-'Start Here'!$B$10)</f>
        <v>10551.64509375</v>
      </c>
      <c r="J63" s="10" t="n">
        <f aca="false">MAX(0,E63-E62)*Staffing!$O$6</f>
        <v>0</v>
      </c>
      <c r="K63" s="10" t="n">
        <f aca="false">MAX(0,E63-E62)*Staffing!$P$6</f>
        <v>0</v>
      </c>
      <c r="L63" s="23" t="n">
        <f aca="false">ROUNDUP(E63,0)</f>
        <v>1</v>
      </c>
    </row>
    <row r="64" customFormat="false" ht="15" hidden="false" customHeight="false" outlineLevel="0" collapsed="false">
      <c r="A64" s="6" t="s">
        <v>72</v>
      </c>
      <c r="B64" s="6" t="s">
        <v>325</v>
      </c>
      <c r="C64" s="6" t="n">
        <v>59</v>
      </c>
      <c r="D64" s="25" t="n">
        <f aca="false">EDATE('Start Here'!$B$6,C64-1)</f>
        <v>48092</v>
      </c>
      <c r="E64" s="11" t="n">
        <f aca="false">IF(AND(C64&gt;=Staffing!$F$6,C64&lt;=Staffing!$G$6,1=1),IF(C64&lt;=6,Staffing!$H$6,IF(C64&lt;=15,Staffing!$I$6,IF(C64&lt;=30,Staffing!$J$6,Staffing!$K$6))),0)</f>
        <v>0.75</v>
      </c>
      <c r="F64" s="10" t="n">
        <f aca="false">E64*Assumptions!$C$26/12*(1+Assumptions!$C$10)^INT((C64-1)/12)*'Start Here'!$B$10</f>
        <v>0</v>
      </c>
      <c r="G64" s="10" t="n">
        <f aca="false">F64*Staffing!$N$6</f>
        <v>0</v>
      </c>
      <c r="H64" s="10" t="n">
        <f aca="false">F64+G64</f>
        <v>0</v>
      </c>
      <c r="I64" s="10" t="n">
        <f aca="false">E64*Assumptions!$C$26/12*(1+Assumptions!$C$10)^INT((C64-1)/12)*(1-'Start Here'!$B$10)</f>
        <v>10551.64509375</v>
      </c>
      <c r="J64" s="10" t="n">
        <f aca="false">MAX(0,E64-E63)*Staffing!$O$6</f>
        <v>0</v>
      </c>
      <c r="K64" s="10" t="n">
        <f aca="false">MAX(0,E64-E63)*Staffing!$P$6</f>
        <v>0</v>
      </c>
      <c r="L64" s="23" t="n">
        <f aca="false">ROUNDUP(E64,0)</f>
        <v>1</v>
      </c>
    </row>
    <row r="65" customFormat="false" ht="15" hidden="false" customHeight="false" outlineLevel="0" collapsed="false">
      <c r="A65" s="6" t="s">
        <v>72</v>
      </c>
      <c r="B65" s="6" t="s">
        <v>325</v>
      </c>
      <c r="C65" s="6" t="n">
        <v>60</v>
      </c>
      <c r="D65" s="25" t="n">
        <f aca="false">EDATE('Start Here'!$B$6,C65-1)</f>
        <v>48122</v>
      </c>
      <c r="E65" s="11" t="n">
        <f aca="false">IF(AND(C65&gt;=Staffing!$F$6,C65&lt;=Staffing!$G$6,1=1),IF(C65&lt;=6,Staffing!$H$6,IF(C65&lt;=15,Staffing!$I$6,IF(C65&lt;=30,Staffing!$J$6,Staffing!$K$6))),0)</f>
        <v>0.75</v>
      </c>
      <c r="F65" s="10" t="n">
        <f aca="false">E65*Assumptions!$C$26/12*(1+Assumptions!$C$10)^INT((C65-1)/12)*'Start Here'!$B$10</f>
        <v>0</v>
      </c>
      <c r="G65" s="10" t="n">
        <f aca="false">F65*Staffing!$N$6</f>
        <v>0</v>
      </c>
      <c r="H65" s="10" t="n">
        <f aca="false">F65+G65</f>
        <v>0</v>
      </c>
      <c r="I65" s="10" t="n">
        <f aca="false">E65*Assumptions!$C$26/12*(1+Assumptions!$C$10)^INT((C65-1)/12)*(1-'Start Here'!$B$10)</f>
        <v>10551.64509375</v>
      </c>
      <c r="J65" s="10" t="n">
        <f aca="false">MAX(0,E65-E64)*Staffing!$O$6</f>
        <v>0</v>
      </c>
      <c r="K65" s="10" t="n">
        <f aca="false">MAX(0,E65-E64)*Staffing!$P$6</f>
        <v>0</v>
      </c>
      <c r="L65" s="23" t="n">
        <f aca="false">ROUNDUP(E65,0)</f>
        <v>1</v>
      </c>
    </row>
    <row r="66" customFormat="false" ht="15" hidden="false" customHeight="false" outlineLevel="0" collapsed="false">
      <c r="A66" s="6" t="s">
        <v>72</v>
      </c>
      <c r="B66" s="6" t="s">
        <v>329</v>
      </c>
      <c r="C66" s="6" t="n">
        <v>1</v>
      </c>
      <c r="D66" s="25" t="n">
        <f aca="false">EDATE('Start Here'!$B$6,C66-1)</f>
        <v>46327</v>
      </c>
      <c r="E66" s="11" t="n">
        <f aca="false">IF(AND(C66&gt;=Staffing!$F$7,C66&lt;=Staffing!$G$7,1=1),IF(C66&lt;=6,Staffing!$H$7,IF(C66&lt;=15,Staffing!$I$7,IF(C66&lt;=30,Staffing!$J$7,Staffing!$K$7))),0)</f>
        <v>1</v>
      </c>
      <c r="F66" s="10" t="n">
        <f aca="false">E66*Staffing!$L$7/12*(1+Assumptions!$C$10)^INT((C66-1)/12)*1</f>
        <v>13750</v>
      </c>
      <c r="G66" s="10" t="n">
        <f aca="false">F66*Staffing!$N$7</f>
        <v>5500</v>
      </c>
      <c r="H66" s="10" t="n">
        <f aca="false">F66+G66</f>
        <v>19250</v>
      </c>
      <c r="I66" s="10" t="n">
        <f aca="false">0</f>
        <v>0</v>
      </c>
      <c r="J66" s="10" t="n">
        <f aca="false">MAX(0,E66-0)*Staffing!$O$7</f>
        <v>5000</v>
      </c>
      <c r="K66" s="10" t="n">
        <f aca="false">MAX(0,E66-0)*Staffing!$P$7</f>
        <v>2500</v>
      </c>
      <c r="L66" s="23" t="n">
        <f aca="false">ROUNDUP(E66,0)</f>
        <v>1</v>
      </c>
    </row>
    <row r="67" customFormat="false" ht="15" hidden="false" customHeight="false" outlineLevel="0" collapsed="false">
      <c r="A67" s="6" t="s">
        <v>72</v>
      </c>
      <c r="B67" s="6" t="s">
        <v>329</v>
      </c>
      <c r="C67" s="6" t="n">
        <v>2</v>
      </c>
      <c r="D67" s="25" t="n">
        <f aca="false">EDATE('Start Here'!$B$6,C67-1)</f>
        <v>46357</v>
      </c>
      <c r="E67" s="11" t="n">
        <f aca="false">IF(AND(C67&gt;=Staffing!$F$7,C67&lt;=Staffing!$G$7,1=1),IF(C67&lt;=6,Staffing!$H$7,IF(C67&lt;=15,Staffing!$I$7,IF(C67&lt;=30,Staffing!$J$7,Staffing!$K$7))),0)</f>
        <v>1</v>
      </c>
      <c r="F67" s="10" t="n">
        <f aca="false">E67*Staffing!$L$7/12*(1+Assumptions!$C$10)^INT((C67-1)/12)*1</f>
        <v>13750</v>
      </c>
      <c r="G67" s="10" t="n">
        <f aca="false">F67*Staffing!$N$7</f>
        <v>5500</v>
      </c>
      <c r="H67" s="10" t="n">
        <f aca="false">F67+G67</f>
        <v>19250</v>
      </c>
      <c r="I67" s="10" t="n">
        <f aca="false">0</f>
        <v>0</v>
      </c>
      <c r="J67" s="10" t="n">
        <f aca="false">MAX(0,E67-E66)*Staffing!$O$7</f>
        <v>0</v>
      </c>
      <c r="K67" s="10" t="n">
        <f aca="false">MAX(0,E67-E66)*Staffing!$P$7</f>
        <v>0</v>
      </c>
      <c r="L67" s="23" t="n">
        <f aca="false">ROUNDUP(E67,0)</f>
        <v>1</v>
      </c>
    </row>
    <row r="68" customFormat="false" ht="15" hidden="false" customHeight="false" outlineLevel="0" collapsed="false">
      <c r="A68" s="6" t="s">
        <v>72</v>
      </c>
      <c r="B68" s="6" t="s">
        <v>329</v>
      </c>
      <c r="C68" s="6" t="n">
        <v>3</v>
      </c>
      <c r="D68" s="25" t="n">
        <f aca="false">EDATE('Start Here'!$B$6,C68-1)</f>
        <v>46388</v>
      </c>
      <c r="E68" s="11" t="n">
        <f aca="false">IF(AND(C68&gt;=Staffing!$F$7,C68&lt;=Staffing!$G$7,1=1),IF(C68&lt;=6,Staffing!$H$7,IF(C68&lt;=15,Staffing!$I$7,IF(C68&lt;=30,Staffing!$J$7,Staffing!$K$7))),0)</f>
        <v>1</v>
      </c>
      <c r="F68" s="10" t="n">
        <f aca="false">E68*Staffing!$L$7/12*(1+Assumptions!$C$10)^INT((C68-1)/12)*1</f>
        <v>13750</v>
      </c>
      <c r="G68" s="10" t="n">
        <f aca="false">F68*Staffing!$N$7</f>
        <v>5500</v>
      </c>
      <c r="H68" s="10" t="n">
        <f aca="false">F68+G68</f>
        <v>19250</v>
      </c>
      <c r="I68" s="10" t="n">
        <f aca="false">0</f>
        <v>0</v>
      </c>
      <c r="J68" s="10" t="n">
        <f aca="false">MAX(0,E68-E67)*Staffing!$O$7</f>
        <v>0</v>
      </c>
      <c r="K68" s="10" t="n">
        <f aca="false">MAX(0,E68-E67)*Staffing!$P$7</f>
        <v>0</v>
      </c>
      <c r="L68" s="23" t="n">
        <f aca="false">ROUNDUP(E68,0)</f>
        <v>1</v>
      </c>
    </row>
    <row r="69" customFormat="false" ht="15" hidden="false" customHeight="false" outlineLevel="0" collapsed="false">
      <c r="A69" s="6" t="s">
        <v>72</v>
      </c>
      <c r="B69" s="6" t="s">
        <v>329</v>
      </c>
      <c r="C69" s="6" t="n">
        <v>4</v>
      </c>
      <c r="D69" s="25" t="n">
        <f aca="false">EDATE('Start Here'!$B$6,C69-1)</f>
        <v>46419</v>
      </c>
      <c r="E69" s="11" t="n">
        <f aca="false">IF(AND(C69&gt;=Staffing!$F$7,C69&lt;=Staffing!$G$7,1=1),IF(C69&lt;=6,Staffing!$H$7,IF(C69&lt;=15,Staffing!$I$7,IF(C69&lt;=30,Staffing!$J$7,Staffing!$K$7))),0)</f>
        <v>1</v>
      </c>
      <c r="F69" s="10" t="n">
        <f aca="false">E69*Staffing!$L$7/12*(1+Assumptions!$C$10)^INT((C69-1)/12)*1</f>
        <v>13750</v>
      </c>
      <c r="G69" s="10" t="n">
        <f aca="false">F69*Staffing!$N$7</f>
        <v>5500</v>
      </c>
      <c r="H69" s="10" t="n">
        <f aca="false">F69+G69</f>
        <v>19250</v>
      </c>
      <c r="I69" s="10" t="n">
        <f aca="false">0</f>
        <v>0</v>
      </c>
      <c r="J69" s="10" t="n">
        <f aca="false">MAX(0,E69-E68)*Staffing!$O$7</f>
        <v>0</v>
      </c>
      <c r="K69" s="10" t="n">
        <f aca="false">MAX(0,E69-E68)*Staffing!$P$7</f>
        <v>0</v>
      </c>
      <c r="L69" s="23" t="n">
        <f aca="false">ROUNDUP(E69,0)</f>
        <v>1</v>
      </c>
    </row>
    <row r="70" customFormat="false" ht="15" hidden="false" customHeight="false" outlineLevel="0" collapsed="false">
      <c r="A70" s="6" t="s">
        <v>72</v>
      </c>
      <c r="B70" s="6" t="s">
        <v>329</v>
      </c>
      <c r="C70" s="6" t="n">
        <v>5</v>
      </c>
      <c r="D70" s="25" t="n">
        <f aca="false">EDATE('Start Here'!$B$6,C70-1)</f>
        <v>46447</v>
      </c>
      <c r="E70" s="11" t="n">
        <f aca="false">IF(AND(C70&gt;=Staffing!$F$7,C70&lt;=Staffing!$G$7,1=1),IF(C70&lt;=6,Staffing!$H$7,IF(C70&lt;=15,Staffing!$I$7,IF(C70&lt;=30,Staffing!$J$7,Staffing!$K$7))),0)</f>
        <v>1</v>
      </c>
      <c r="F70" s="10" t="n">
        <f aca="false">E70*Staffing!$L$7/12*(1+Assumptions!$C$10)^INT((C70-1)/12)*1</f>
        <v>13750</v>
      </c>
      <c r="G70" s="10" t="n">
        <f aca="false">F70*Staffing!$N$7</f>
        <v>5500</v>
      </c>
      <c r="H70" s="10" t="n">
        <f aca="false">F70+G70</f>
        <v>19250</v>
      </c>
      <c r="I70" s="10" t="n">
        <f aca="false">0</f>
        <v>0</v>
      </c>
      <c r="J70" s="10" t="n">
        <f aca="false">MAX(0,E70-E69)*Staffing!$O$7</f>
        <v>0</v>
      </c>
      <c r="K70" s="10" t="n">
        <f aca="false">MAX(0,E70-E69)*Staffing!$P$7</f>
        <v>0</v>
      </c>
      <c r="L70" s="23" t="n">
        <f aca="false">ROUNDUP(E70,0)</f>
        <v>1</v>
      </c>
    </row>
    <row r="71" customFormat="false" ht="15" hidden="false" customHeight="false" outlineLevel="0" collapsed="false">
      <c r="A71" s="6" t="s">
        <v>72</v>
      </c>
      <c r="B71" s="6" t="s">
        <v>329</v>
      </c>
      <c r="C71" s="6" t="n">
        <v>6</v>
      </c>
      <c r="D71" s="25" t="n">
        <f aca="false">EDATE('Start Here'!$B$6,C71-1)</f>
        <v>46478</v>
      </c>
      <c r="E71" s="11" t="n">
        <f aca="false">IF(AND(C71&gt;=Staffing!$F$7,C71&lt;=Staffing!$G$7,1=1),IF(C71&lt;=6,Staffing!$H$7,IF(C71&lt;=15,Staffing!$I$7,IF(C71&lt;=30,Staffing!$J$7,Staffing!$K$7))),0)</f>
        <v>1</v>
      </c>
      <c r="F71" s="10" t="n">
        <f aca="false">E71*Staffing!$L$7/12*(1+Assumptions!$C$10)^INT((C71-1)/12)*1</f>
        <v>13750</v>
      </c>
      <c r="G71" s="10" t="n">
        <f aca="false">F71*Staffing!$N$7</f>
        <v>5500</v>
      </c>
      <c r="H71" s="10" t="n">
        <f aca="false">F71+G71</f>
        <v>19250</v>
      </c>
      <c r="I71" s="10" t="n">
        <f aca="false">0</f>
        <v>0</v>
      </c>
      <c r="J71" s="10" t="n">
        <f aca="false">MAX(0,E71-E70)*Staffing!$O$7</f>
        <v>0</v>
      </c>
      <c r="K71" s="10" t="n">
        <f aca="false">MAX(0,E71-E70)*Staffing!$P$7</f>
        <v>0</v>
      </c>
      <c r="L71" s="23" t="n">
        <f aca="false">ROUNDUP(E71,0)</f>
        <v>1</v>
      </c>
    </row>
    <row r="72" customFormat="false" ht="15" hidden="false" customHeight="false" outlineLevel="0" collapsed="false">
      <c r="A72" s="6" t="s">
        <v>72</v>
      </c>
      <c r="B72" s="6" t="s">
        <v>329</v>
      </c>
      <c r="C72" s="6" t="n">
        <v>7</v>
      </c>
      <c r="D72" s="25" t="n">
        <f aca="false">EDATE('Start Here'!$B$6,C72-1)</f>
        <v>46508</v>
      </c>
      <c r="E72" s="11" t="n">
        <f aca="false">IF(AND(C72&gt;=Staffing!$F$7,C72&lt;=Staffing!$G$7,1=1),IF(C72&lt;=6,Staffing!$H$7,IF(C72&lt;=15,Staffing!$I$7,IF(C72&lt;=30,Staffing!$J$7,Staffing!$K$7))),0)</f>
        <v>1</v>
      </c>
      <c r="F72" s="10" t="n">
        <f aca="false">E72*Staffing!$L$7/12*(1+Assumptions!$C$10)^INT((C72-1)/12)*1</f>
        <v>13750</v>
      </c>
      <c r="G72" s="10" t="n">
        <f aca="false">F72*Staffing!$N$7</f>
        <v>5500</v>
      </c>
      <c r="H72" s="10" t="n">
        <f aca="false">F72+G72</f>
        <v>19250</v>
      </c>
      <c r="I72" s="10" t="n">
        <f aca="false">0</f>
        <v>0</v>
      </c>
      <c r="J72" s="10" t="n">
        <f aca="false">MAX(0,E72-E71)*Staffing!$O$7</f>
        <v>0</v>
      </c>
      <c r="K72" s="10" t="n">
        <f aca="false">MAX(0,E72-E71)*Staffing!$P$7</f>
        <v>0</v>
      </c>
      <c r="L72" s="23" t="n">
        <f aca="false">ROUNDUP(E72,0)</f>
        <v>1</v>
      </c>
    </row>
    <row r="73" customFormat="false" ht="15" hidden="false" customHeight="false" outlineLevel="0" collapsed="false">
      <c r="A73" s="6" t="s">
        <v>72</v>
      </c>
      <c r="B73" s="6" t="s">
        <v>329</v>
      </c>
      <c r="C73" s="6" t="n">
        <v>8</v>
      </c>
      <c r="D73" s="25" t="n">
        <f aca="false">EDATE('Start Here'!$B$6,C73-1)</f>
        <v>46539</v>
      </c>
      <c r="E73" s="11" t="n">
        <f aca="false">IF(AND(C73&gt;=Staffing!$F$7,C73&lt;=Staffing!$G$7,1=1),IF(C73&lt;=6,Staffing!$H$7,IF(C73&lt;=15,Staffing!$I$7,IF(C73&lt;=30,Staffing!$J$7,Staffing!$K$7))),0)</f>
        <v>1</v>
      </c>
      <c r="F73" s="10" t="n">
        <f aca="false">E73*Staffing!$L$7/12*(1+Assumptions!$C$10)^INT((C73-1)/12)*1</f>
        <v>13750</v>
      </c>
      <c r="G73" s="10" t="n">
        <f aca="false">F73*Staffing!$N$7</f>
        <v>5500</v>
      </c>
      <c r="H73" s="10" t="n">
        <f aca="false">F73+G73</f>
        <v>19250</v>
      </c>
      <c r="I73" s="10" t="n">
        <f aca="false">0</f>
        <v>0</v>
      </c>
      <c r="J73" s="10" t="n">
        <f aca="false">MAX(0,E73-E72)*Staffing!$O$7</f>
        <v>0</v>
      </c>
      <c r="K73" s="10" t="n">
        <f aca="false">MAX(0,E73-E72)*Staffing!$P$7</f>
        <v>0</v>
      </c>
      <c r="L73" s="23" t="n">
        <f aca="false">ROUNDUP(E73,0)</f>
        <v>1</v>
      </c>
    </row>
    <row r="74" customFormat="false" ht="15" hidden="false" customHeight="false" outlineLevel="0" collapsed="false">
      <c r="A74" s="6" t="s">
        <v>72</v>
      </c>
      <c r="B74" s="6" t="s">
        <v>329</v>
      </c>
      <c r="C74" s="6" t="n">
        <v>9</v>
      </c>
      <c r="D74" s="25" t="n">
        <f aca="false">EDATE('Start Here'!$B$6,C74-1)</f>
        <v>46569</v>
      </c>
      <c r="E74" s="11" t="n">
        <f aca="false">IF(AND(C74&gt;=Staffing!$F$7,C74&lt;=Staffing!$G$7,1=1),IF(C74&lt;=6,Staffing!$H$7,IF(C74&lt;=15,Staffing!$I$7,IF(C74&lt;=30,Staffing!$J$7,Staffing!$K$7))),0)</f>
        <v>1</v>
      </c>
      <c r="F74" s="10" t="n">
        <f aca="false">E74*Staffing!$L$7/12*(1+Assumptions!$C$10)^INT((C74-1)/12)*1</f>
        <v>13750</v>
      </c>
      <c r="G74" s="10" t="n">
        <f aca="false">F74*Staffing!$N$7</f>
        <v>5500</v>
      </c>
      <c r="H74" s="10" t="n">
        <f aca="false">F74+G74</f>
        <v>19250</v>
      </c>
      <c r="I74" s="10" t="n">
        <f aca="false">0</f>
        <v>0</v>
      </c>
      <c r="J74" s="10" t="n">
        <f aca="false">MAX(0,E74-E73)*Staffing!$O$7</f>
        <v>0</v>
      </c>
      <c r="K74" s="10" t="n">
        <f aca="false">MAX(0,E74-E73)*Staffing!$P$7</f>
        <v>0</v>
      </c>
      <c r="L74" s="23" t="n">
        <f aca="false">ROUNDUP(E74,0)</f>
        <v>1</v>
      </c>
    </row>
    <row r="75" customFormat="false" ht="15" hidden="false" customHeight="false" outlineLevel="0" collapsed="false">
      <c r="A75" s="6" t="s">
        <v>72</v>
      </c>
      <c r="B75" s="6" t="s">
        <v>329</v>
      </c>
      <c r="C75" s="6" t="n">
        <v>10</v>
      </c>
      <c r="D75" s="25" t="n">
        <f aca="false">EDATE('Start Here'!$B$6,C75-1)</f>
        <v>46600</v>
      </c>
      <c r="E75" s="11" t="n">
        <f aca="false">IF(AND(C75&gt;=Staffing!$F$7,C75&lt;=Staffing!$G$7,1=1),IF(C75&lt;=6,Staffing!$H$7,IF(C75&lt;=15,Staffing!$I$7,IF(C75&lt;=30,Staffing!$J$7,Staffing!$K$7))),0)</f>
        <v>1</v>
      </c>
      <c r="F75" s="10" t="n">
        <f aca="false">E75*Staffing!$L$7/12*(1+Assumptions!$C$10)^INT((C75-1)/12)*1</f>
        <v>13750</v>
      </c>
      <c r="G75" s="10" t="n">
        <f aca="false">F75*Staffing!$N$7</f>
        <v>5500</v>
      </c>
      <c r="H75" s="10" t="n">
        <f aca="false">F75+G75</f>
        <v>19250</v>
      </c>
      <c r="I75" s="10" t="n">
        <f aca="false">0</f>
        <v>0</v>
      </c>
      <c r="J75" s="10" t="n">
        <f aca="false">MAX(0,E75-E74)*Staffing!$O$7</f>
        <v>0</v>
      </c>
      <c r="K75" s="10" t="n">
        <f aca="false">MAX(0,E75-E74)*Staffing!$P$7</f>
        <v>0</v>
      </c>
      <c r="L75" s="23" t="n">
        <f aca="false">ROUNDUP(E75,0)</f>
        <v>1</v>
      </c>
    </row>
    <row r="76" customFormat="false" ht="15" hidden="false" customHeight="false" outlineLevel="0" collapsed="false">
      <c r="A76" s="6" t="s">
        <v>72</v>
      </c>
      <c r="B76" s="6" t="s">
        <v>329</v>
      </c>
      <c r="C76" s="6" t="n">
        <v>11</v>
      </c>
      <c r="D76" s="25" t="n">
        <f aca="false">EDATE('Start Here'!$B$6,C76-1)</f>
        <v>46631</v>
      </c>
      <c r="E76" s="11" t="n">
        <f aca="false">IF(AND(C76&gt;=Staffing!$F$7,C76&lt;=Staffing!$G$7,1=1),IF(C76&lt;=6,Staffing!$H$7,IF(C76&lt;=15,Staffing!$I$7,IF(C76&lt;=30,Staffing!$J$7,Staffing!$K$7))),0)</f>
        <v>1</v>
      </c>
      <c r="F76" s="10" t="n">
        <f aca="false">E76*Staffing!$L$7/12*(1+Assumptions!$C$10)^INT((C76-1)/12)*1</f>
        <v>13750</v>
      </c>
      <c r="G76" s="10" t="n">
        <f aca="false">F76*Staffing!$N$7</f>
        <v>5500</v>
      </c>
      <c r="H76" s="10" t="n">
        <f aca="false">F76+G76</f>
        <v>19250</v>
      </c>
      <c r="I76" s="10" t="n">
        <f aca="false">0</f>
        <v>0</v>
      </c>
      <c r="J76" s="10" t="n">
        <f aca="false">MAX(0,E76-E75)*Staffing!$O$7</f>
        <v>0</v>
      </c>
      <c r="K76" s="10" t="n">
        <f aca="false">MAX(0,E76-E75)*Staffing!$P$7</f>
        <v>0</v>
      </c>
      <c r="L76" s="23" t="n">
        <f aca="false">ROUNDUP(E76,0)</f>
        <v>1</v>
      </c>
    </row>
    <row r="77" customFormat="false" ht="15" hidden="false" customHeight="false" outlineLevel="0" collapsed="false">
      <c r="A77" s="6" t="s">
        <v>72</v>
      </c>
      <c r="B77" s="6" t="s">
        <v>329</v>
      </c>
      <c r="C77" s="6" t="n">
        <v>12</v>
      </c>
      <c r="D77" s="25" t="n">
        <f aca="false">EDATE('Start Here'!$B$6,C77-1)</f>
        <v>46661</v>
      </c>
      <c r="E77" s="11" t="n">
        <f aca="false">IF(AND(C77&gt;=Staffing!$F$7,C77&lt;=Staffing!$G$7,1=1),IF(C77&lt;=6,Staffing!$H$7,IF(C77&lt;=15,Staffing!$I$7,IF(C77&lt;=30,Staffing!$J$7,Staffing!$K$7))),0)</f>
        <v>1</v>
      </c>
      <c r="F77" s="10" t="n">
        <f aca="false">E77*Staffing!$L$7/12*(1+Assumptions!$C$10)^INT((C77-1)/12)*1</f>
        <v>13750</v>
      </c>
      <c r="G77" s="10" t="n">
        <f aca="false">F77*Staffing!$N$7</f>
        <v>5500</v>
      </c>
      <c r="H77" s="10" t="n">
        <f aca="false">F77+G77</f>
        <v>19250</v>
      </c>
      <c r="I77" s="10" t="n">
        <f aca="false">0</f>
        <v>0</v>
      </c>
      <c r="J77" s="10" t="n">
        <f aca="false">MAX(0,E77-E76)*Staffing!$O$7</f>
        <v>0</v>
      </c>
      <c r="K77" s="10" t="n">
        <f aca="false">MAX(0,E77-E76)*Staffing!$P$7</f>
        <v>0</v>
      </c>
      <c r="L77" s="23" t="n">
        <f aca="false">ROUNDUP(E77,0)</f>
        <v>1</v>
      </c>
    </row>
    <row r="78" customFormat="false" ht="15" hidden="false" customHeight="false" outlineLevel="0" collapsed="false">
      <c r="A78" s="6" t="s">
        <v>72</v>
      </c>
      <c r="B78" s="6" t="s">
        <v>329</v>
      </c>
      <c r="C78" s="6" t="n">
        <v>13</v>
      </c>
      <c r="D78" s="25" t="n">
        <f aca="false">EDATE('Start Here'!$B$6,C78-1)</f>
        <v>46692</v>
      </c>
      <c r="E78" s="11" t="n">
        <f aca="false">IF(AND(C78&gt;=Staffing!$F$7,C78&lt;=Staffing!$G$7,1=1),IF(C78&lt;=6,Staffing!$H$7,IF(C78&lt;=15,Staffing!$I$7,IF(C78&lt;=30,Staffing!$J$7,Staffing!$K$7))),0)</f>
        <v>1</v>
      </c>
      <c r="F78" s="10" t="n">
        <f aca="false">E78*Staffing!$L$7/12*(1+Assumptions!$C$10)^INT((C78-1)/12)*1</f>
        <v>14162.5</v>
      </c>
      <c r="G78" s="10" t="n">
        <f aca="false">F78*Staffing!$N$7</f>
        <v>5665</v>
      </c>
      <c r="H78" s="10" t="n">
        <f aca="false">F78+G78</f>
        <v>19827.5</v>
      </c>
      <c r="I78" s="10" t="n">
        <f aca="false">0</f>
        <v>0</v>
      </c>
      <c r="J78" s="10" t="n">
        <f aca="false">MAX(0,E78-E77)*Staffing!$O$7</f>
        <v>0</v>
      </c>
      <c r="K78" s="10" t="n">
        <f aca="false">MAX(0,E78-E77)*Staffing!$P$7</f>
        <v>0</v>
      </c>
      <c r="L78" s="23" t="n">
        <f aca="false">ROUNDUP(E78,0)</f>
        <v>1</v>
      </c>
    </row>
    <row r="79" customFormat="false" ht="15" hidden="false" customHeight="false" outlineLevel="0" collapsed="false">
      <c r="A79" s="6" t="s">
        <v>72</v>
      </c>
      <c r="B79" s="6" t="s">
        <v>329</v>
      </c>
      <c r="C79" s="6" t="n">
        <v>14</v>
      </c>
      <c r="D79" s="25" t="n">
        <f aca="false">EDATE('Start Here'!$B$6,C79-1)</f>
        <v>46722</v>
      </c>
      <c r="E79" s="11" t="n">
        <f aca="false">IF(AND(C79&gt;=Staffing!$F$7,C79&lt;=Staffing!$G$7,1=1),IF(C79&lt;=6,Staffing!$H$7,IF(C79&lt;=15,Staffing!$I$7,IF(C79&lt;=30,Staffing!$J$7,Staffing!$K$7))),0)</f>
        <v>1</v>
      </c>
      <c r="F79" s="10" t="n">
        <f aca="false">E79*Staffing!$L$7/12*(1+Assumptions!$C$10)^INT((C79-1)/12)*1</f>
        <v>14162.5</v>
      </c>
      <c r="G79" s="10" t="n">
        <f aca="false">F79*Staffing!$N$7</f>
        <v>5665</v>
      </c>
      <c r="H79" s="10" t="n">
        <f aca="false">F79+G79</f>
        <v>19827.5</v>
      </c>
      <c r="I79" s="10" t="n">
        <f aca="false">0</f>
        <v>0</v>
      </c>
      <c r="J79" s="10" t="n">
        <f aca="false">MAX(0,E79-E78)*Staffing!$O$7</f>
        <v>0</v>
      </c>
      <c r="K79" s="10" t="n">
        <f aca="false">MAX(0,E79-E78)*Staffing!$P$7</f>
        <v>0</v>
      </c>
      <c r="L79" s="23" t="n">
        <f aca="false">ROUNDUP(E79,0)</f>
        <v>1</v>
      </c>
    </row>
    <row r="80" customFormat="false" ht="15" hidden="false" customHeight="false" outlineLevel="0" collapsed="false">
      <c r="A80" s="6" t="s">
        <v>72</v>
      </c>
      <c r="B80" s="6" t="s">
        <v>329</v>
      </c>
      <c r="C80" s="6" t="n">
        <v>15</v>
      </c>
      <c r="D80" s="25" t="n">
        <f aca="false">EDATE('Start Here'!$B$6,C80-1)</f>
        <v>46753</v>
      </c>
      <c r="E80" s="11" t="n">
        <f aca="false">IF(AND(C80&gt;=Staffing!$F$7,C80&lt;=Staffing!$G$7,1=1),IF(C80&lt;=6,Staffing!$H$7,IF(C80&lt;=15,Staffing!$I$7,IF(C80&lt;=30,Staffing!$J$7,Staffing!$K$7))),0)</f>
        <v>1</v>
      </c>
      <c r="F80" s="10" t="n">
        <f aca="false">E80*Staffing!$L$7/12*(1+Assumptions!$C$10)^INT((C80-1)/12)*1</f>
        <v>14162.5</v>
      </c>
      <c r="G80" s="10" t="n">
        <f aca="false">F80*Staffing!$N$7</f>
        <v>5665</v>
      </c>
      <c r="H80" s="10" t="n">
        <f aca="false">F80+G80</f>
        <v>19827.5</v>
      </c>
      <c r="I80" s="10" t="n">
        <f aca="false">0</f>
        <v>0</v>
      </c>
      <c r="J80" s="10" t="n">
        <f aca="false">MAX(0,E80-E79)*Staffing!$O$7</f>
        <v>0</v>
      </c>
      <c r="K80" s="10" t="n">
        <f aca="false">MAX(0,E80-E79)*Staffing!$P$7</f>
        <v>0</v>
      </c>
      <c r="L80" s="23" t="n">
        <f aca="false">ROUNDUP(E80,0)</f>
        <v>1</v>
      </c>
    </row>
    <row r="81" customFormat="false" ht="15" hidden="false" customHeight="false" outlineLevel="0" collapsed="false">
      <c r="A81" s="6" t="s">
        <v>72</v>
      </c>
      <c r="B81" s="6" t="s">
        <v>329</v>
      </c>
      <c r="C81" s="6" t="n">
        <v>16</v>
      </c>
      <c r="D81" s="25" t="n">
        <f aca="false">EDATE('Start Here'!$B$6,C81-1)</f>
        <v>46784</v>
      </c>
      <c r="E81" s="11" t="n">
        <f aca="false">IF(AND(C81&gt;=Staffing!$F$7,C81&lt;=Staffing!$G$7,1=1),IF(C81&lt;=6,Staffing!$H$7,IF(C81&lt;=15,Staffing!$I$7,IF(C81&lt;=30,Staffing!$J$7,Staffing!$K$7))),0)</f>
        <v>1</v>
      </c>
      <c r="F81" s="10" t="n">
        <f aca="false">E81*Staffing!$L$7/12*(1+Assumptions!$C$10)^INT((C81-1)/12)*1</f>
        <v>14162.5</v>
      </c>
      <c r="G81" s="10" t="n">
        <f aca="false">F81*Staffing!$N$7</f>
        <v>5665</v>
      </c>
      <c r="H81" s="10" t="n">
        <f aca="false">F81+G81</f>
        <v>19827.5</v>
      </c>
      <c r="I81" s="10" t="n">
        <f aca="false">0</f>
        <v>0</v>
      </c>
      <c r="J81" s="10" t="n">
        <f aca="false">MAX(0,E81-E80)*Staffing!$O$7</f>
        <v>0</v>
      </c>
      <c r="K81" s="10" t="n">
        <f aca="false">MAX(0,E81-E80)*Staffing!$P$7</f>
        <v>0</v>
      </c>
      <c r="L81" s="23" t="n">
        <f aca="false">ROUNDUP(E81,0)</f>
        <v>1</v>
      </c>
    </row>
    <row r="82" customFormat="false" ht="15" hidden="false" customHeight="false" outlineLevel="0" collapsed="false">
      <c r="A82" s="6" t="s">
        <v>72</v>
      </c>
      <c r="B82" s="6" t="s">
        <v>329</v>
      </c>
      <c r="C82" s="6" t="n">
        <v>17</v>
      </c>
      <c r="D82" s="25" t="n">
        <f aca="false">EDATE('Start Here'!$B$6,C82-1)</f>
        <v>46813</v>
      </c>
      <c r="E82" s="11" t="n">
        <f aca="false">IF(AND(C82&gt;=Staffing!$F$7,C82&lt;=Staffing!$G$7,1=1),IF(C82&lt;=6,Staffing!$H$7,IF(C82&lt;=15,Staffing!$I$7,IF(C82&lt;=30,Staffing!$J$7,Staffing!$K$7))),0)</f>
        <v>1</v>
      </c>
      <c r="F82" s="10" t="n">
        <f aca="false">E82*Staffing!$L$7/12*(1+Assumptions!$C$10)^INT((C82-1)/12)*1</f>
        <v>14162.5</v>
      </c>
      <c r="G82" s="10" t="n">
        <f aca="false">F82*Staffing!$N$7</f>
        <v>5665</v>
      </c>
      <c r="H82" s="10" t="n">
        <f aca="false">F82+G82</f>
        <v>19827.5</v>
      </c>
      <c r="I82" s="10" t="n">
        <f aca="false">0</f>
        <v>0</v>
      </c>
      <c r="J82" s="10" t="n">
        <f aca="false">MAX(0,E82-E81)*Staffing!$O$7</f>
        <v>0</v>
      </c>
      <c r="K82" s="10" t="n">
        <f aca="false">MAX(0,E82-E81)*Staffing!$P$7</f>
        <v>0</v>
      </c>
      <c r="L82" s="23" t="n">
        <f aca="false">ROUNDUP(E82,0)</f>
        <v>1</v>
      </c>
    </row>
    <row r="83" customFormat="false" ht="15" hidden="false" customHeight="false" outlineLevel="0" collapsed="false">
      <c r="A83" s="6" t="s">
        <v>72</v>
      </c>
      <c r="B83" s="6" t="s">
        <v>329</v>
      </c>
      <c r="C83" s="6" t="n">
        <v>18</v>
      </c>
      <c r="D83" s="25" t="n">
        <f aca="false">EDATE('Start Here'!$B$6,C83-1)</f>
        <v>46844</v>
      </c>
      <c r="E83" s="11" t="n">
        <f aca="false">IF(AND(C83&gt;=Staffing!$F$7,C83&lt;=Staffing!$G$7,1=1),IF(C83&lt;=6,Staffing!$H$7,IF(C83&lt;=15,Staffing!$I$7,IF(C83&lt;=30,Staffing!$J$7,Staffing!$K$7))),0)</f>
        <v>1</v>
      </c>
      <c r="F83" s="10" t="n">
        <f aca="false">E83*Staffing!$L$7/12*(1+Assumptions!$C$10)^INT((C83-1)/12)*1</f>
        <v>14162.5</v>
      </c>
      <c r="G83" s="10" t="n">
        <f aca="false">F83*Staffing!$N$7</f>
        <v>5665</v>
      </c>
      <c r="H83" s="10" t="n">
        <f aca="false">F83+G83</f>
        <v>19827.5</v>
      </c>
      <c r="I83" s="10" t="n">
        <f aca="false">0</f>
        <v>0</v>
      </c>
      <c r="J83" s="10" t="n">
        <f aca="false">MAX(0,E83-E82)*Staffing!$O$7</f>
        <v>0</v>
      </c>
      <c r="K83" s="10" t="n">
        <f aca="false">MAX(0,E83-E82)*Staffing!$P$7</f>
        <v>0</v>
      </c>
      <c r="L83" s="23" t="n">
        <f aca="false">ROUNDUP(E83,0)</f>
        <v>1</v>
      </c>
    </row>
    <row r="84" customFormat="false" ht="15" hidden="false" customHeight="false" outlineLevel="0" collapsed="false">
      <c r="A84" s="6" t="s">
        <v>72</v>
      </c>
      <c r="B84" s="6" t="s">
        <v>329</v>
      </c>
      <c r="C84" s="6" t="n">
        <v>19</v>
      </c>
      <c r="D84" s="25" t="n">
        <f aca="false">EDATE('Start Here'!$B$6,C84-1)</f>
        <v>46874</v>
      </c>
      <c r="E84" s="11" t="n">
        <f aca="false">IF(AND(C84&gt;=Staffing!$F$7,C84&lt;=Staffing!$G$7,1=1),IF(C84&lt;=6,Staffing!$H$7,IF(C84&lt;=15,Staffing!$I$7,IF(C84&lt;=30,Staffing!$J$7,Staffing!$K$7))),0)</f>
        <v>1</v>
      </c>
      <c r="F84" s="10" t="n">
        <f aca="false">E84*Staffing!$L$7/12*(1+Assumptions!$C$10)^INT((C84-1)/12)*1</f>
        <v>14162.5</v>
      </c>
      <c r="G84" s="10" t="n">
        <f aca="false">F84*Staffing!$N$7</f>
        <v>5665</v>
      </c>
      <c r="H84" s="10" t="n">
        <f aca="false">F84+G84</f>
        <v>19827.5</v>
      </c>
      <c r="I84" s="10" t="n">
        <f aca="false">0</f>
        <v>0</v>
      </c>
      <c r="J84" s="10" t="n">
        <f aca="false">MAX(0,E84-E83)*Staffing!$O$7</f>
        <v>0</v>
      </c>
      <c r="K84" s="10" t="n">
        <f aca="false">MAX(0,E84-E83)*Staffing!$P$7</f>
        <v>0</v>
      </c>
      <c r="L84" s="23" t="n">
        <f aca="false">ROUNDUP(E84,0)</f>
        <v>1</v>
      </c>
    </row>
    <row r="85" customFormat="false" ht="15" hidden="false" customHeight="false" outlineLevel="0" collapsed="false">
      <c r="A85" s="6" t="s">
        <v>72</v>
      </c>
      <c r="B85" s="6" t="s">
        <v>329</v>
      </c>
      <c r="C85" s="6" t="n">
        <v>20</v>
      </c>
      <c r="D85" s="25" t="n">
        <f aca="false">EDATE('Start Here'!$B$6,C85-1)</f>
        <v>46905</v>
      </c>
      <c r="E85" s="11" t="n">
        <f aca="false">IF(AND(C85&gt;=Staffing!$F$7,C85&lt;=Staffing!$G$7,1=1),IF(C85&lt;=6,Staffing!$H$7,IF(C85&lt;=15,Staffing!$I$7,IF(C85&lt;=30,Staffing!$J$7,Staffing!$K$7))),0)</f>
        <v>1</v>
      </c>
      <c r="F85" s="10" t="n">
        <f aca="false">E85*Staffing!$L$7/12*(1+Assumptions!$C$10)^INT((C85-1)/12)*1</f>
        <v>14162.5</v>
      </c>
      <c r="G85" s="10" t="n">
        <f aca="false">F85*Staffing!$N$7</f>
        <v>5665</v>
      </c>
      <c r="H85" s="10" t="n">
        <f aca="false">F85+G85</f>
        <v>19827.5</v>
      </c>
      <c r="I85" s="10" t="n">
        <f aca="false">0</f>
        <v>0</v>
      </c>
      <c r="J85" s="10" t="n">
        <f aca="false">MAX(0,E85-E84)*Staffing!$O$7</f>
        <v>0</v>
      </c>
      <c r="K85" s="10" t="n">
        <f aca="false">MAX(0,E85-E84)*Staffing!$P$7</f>
        <v>0</v>
      </c>
      <c r="L85" s="23" t="n">
        <f aca="false">ROUNDUP(E85,0)</f>
        <v>1</v>
      </c>
    </row>
    <row r="86" customFormat="false" ht="15" hidden="false" customHeight="false" outlineLevel="0" collapsed="false">
      <c r="A86" s="6" t="s">
        <v>72</v>
      </c>
      <c r="B86" s="6" t="s">
        <v>329</v>
      </c>
      <c r="C86" s="6" t="n">
        <v>21</v>
      </c>
      <c r="D86" s="25" t="n">
        <f aca="false">EDATE('Start Here'!$B$6,C86-1)</f>
        <v>46935</v>
      </c>
      <c r="E86" s="11" t="n">
        <f aca="false">IF(AND(C86&gt;=Staffing!$F$7,C86&lt;=Staffing!$G$7,1=1),IF(C86&lt;=6,Staffing!$H$7,IF(C86&lt;=15,Staffing!$I$7,IF(C86&lt;=30,Staffing!$J$7,Staffing!$K$7))),0)</f>
        <v>1</v>
      </c>
      <c r="F86" s="10" t="n">
        <f aca="false">E86*Staffing!$L$7/12*(1+Assumptions!$C$10)^INT((C86-1)/12)*1</f>
        <v>14162.5</v>
      </c>
      <c r="G86" s="10" t="n">
        <f aca="false">F86*Staffing!$N$7</f>
        <v>5665</v>
      </c>
      <c r="H86" s="10" t="n">
        <f aca="false">F86+G86</f>
        <v>19827.5</v>
      </c>
      <c r="I86" s="10" t="n">
        <f aca="false">0</f>
        <v>0</v>
      </c>
      <c r="J86" s="10" t="n">
        <f aca="false">MAX(0,E86-E85)*Staffing!$O$7</f>
        <v>0</v>
      </c>
      <c r="K86" s="10" t="n">
        <f aca="false">MAX(0,E86-E85)*Staffing!$P$7</f>
        <v>0</v>
      </c>
      <c r="L86" s="23" t="n">
        <f aca="false">ROUNDUP(E86,0)</f>
        <v>1</v>
      </c>
    </row>
    <row r="87" customFormat="false" ht="15" hidden="false" customHeight="false" outlineLevel="0" collapsed="false">
      <c r="A87" s="6" t="s">
        <v>72</v>
      </c>
      <c r="B87" s="6" t="s">
        <v>329</v>
      </c>
      <c r="C87" s="6" t="n">
        <v>22</v>
      </c>
      <c r="D87" s="25" t="n">
        <f aca="false">EDATE('Start Here'!$B$6,C87-1)</f>
        <v>46966</v>
      </c>
      <c r="E87" s="11" t="n">
        <f aca="false">IF(AND(C87&gt;=Staffing!$F$7,C87&lt;=Staffing!$G$7,1=1),IF(C87&lt;=6,Staffing!$H$7,IF(C87&lt;=15,Staffing!$I$7,IF(C87&lt;=30,Staffing!$J$7,Staffing!$K$7))),0)</f>
        <v>1</v>
      </c>
      <c r="F87" s="10" t="n">
        <f aca="false">E87*Staffing!$L$7/12*(1+Assumptions!$C$10)^INT((C87-1)/12)*1</f>
        <v>14162.5</v>
      </c>
      <c r="G87" s="10" t="n">
        <f aca="false">F87*Staffing!$N$7</f>
        <v>5665</v>
      </c>
      <c r="H87" s="10" t="n">
        <f aca="false">F87+G87</f>
        <v>19827.5</v>
      </c>
      <c r="I87" s="10" t="n">
        <f aca="false">0</f>
        <v>0</v>
      </c>
      <c r="J87" s="10" t="n">
        <f aca="false">MAX(0,E87-E86)*Staffing!$O$7</f>
        <v>0</v>
      </c>
      <c r="K87" s="10" t="n">
        <f aca="false">MAX(0,E87-E86)*Staffing!$P$7</f>
        <v>0</v>
      </c>
      <c r="L87" s="23" t="n">
        <f aca="false">ROUNDUP(E87,0)</f>
        <v>1</v>
      </c>
    </row>
    <row r="88" customFormat="false" ht="15" hidden="false" customHeight="false" outlineLevel="0" collapsed="false">
      <c r="A88" s="6" t="s">
        <v>72</v>
      </c>
      <c r="B88" s="6" t="s">
        <v>329</v>
      </c>
      <c r="C88" s="6" t="n">
        <v>23</v>
      </c>
      <c r="D88" s="25" t="n">
        <f aca="false">EDATE('Start Here'!$B$6,C88-1)</f>
        <v>46997</v>
      </c>
      <c r="E88" s="11" t="n">
        <f aca="false">IF(AND(C88&gt;=Staffing!$F$7,C88&lt;=Staffing!$G$7,1=1),IF(C88&lt;=6,Staffing!$H$7,IF(C88&lt;=15,Staffing!$I$7,IF(C88&lt;=30,Staffing!$J$7,Staffing!$K$7))),0)</f>
        <v>1</v>
      </c>
      <c r="F88" s="10" t="n">
        <f aca="false">E88*Staffing!$L$7/12*(1+Assumptions!$C$10)^INT((C88-1)/12)*1</f>
        <v>14162.5</v>
      </c>
      <c r="G88" s="10" t="n">
        <f aca="false">F88*Staffing!$N$7</f>
        <v>5665</v>
      </c>
      <c r="H88" s="10" t="n">
        <f aca="false">F88+G88</f>
        <v>19827.5</v>
      </c>
      <c r="I88" s="10" t="n">
        <f aca="false">0</f>
        <v>0</v>
      </c>
      <c r="J88" s="10" t="n">
        <f aca="false">MAX(0,E88-E87)*Staffing!$O$7</f>
        <v>0</v>
      </c>
      <c r="K88" s="10" t="n">
        <f aca="false">MAX(0,E88-E87)*Staffing!$P$7</f>
        <v>0</v>
      </c>
      <c r="L88" s="23" t="n">
        <f aca="false">ROUNDUP(E88,0)</f>
        <v>1</v>
      </c>
    </row>
    <row r="89" customFormat="false" ht="15" hidden="false" customHeight="false" outlineLevel="0" collapsed="false">
      <c r="A89" s="6" t="s">
        <v>72</v>
      </c>
      <c r="B89" s="6" t="s">
        <v>329</v>
      </c>
      <c r="C89" s="6" t="n">
        <v>24</v>
      </c>
      <c r="D89" s="25" t="n">
        <f aca="false">EDATE('Start Here'!$B$6,C89-1)</f>
        <v>47027</v>
      </c>
      <c r="E89" s="11" t="n">
        <f aca="false">IF(AND(C89&gt;=Staffing!$F$7,C89&lt;=Staffing!$G$7,1=1),IF(C89&lt;=6,Staffing!$H$7,IF(C89&lt;=15,Staffing!$I$7,IF(C89&lt;=30,Staffing!$J$7,Staffing!$K$7))),0)</f>
        <v>1</v>
      </c>
      <c r="F89" s="10" t="n">
        <f aca="false">E89*Staffing!$L$7/12*(1+Assumptions!$C$10)^INT((C89-1)/12)*1</f>
        <v>14162.5</v>
      </c>
      <c r="G89" s="10" t="n">
        <f aca="false">F89*Staffing!$N$7</f>
        <v>5665</v>
      </c>
      <c r="H89" s="10" t="n">
        <f aca="false">F89+G89</f>
        <v>19827.5</v>
      </c>
      <c r="I89" s="10" t="n">
        <f aca="false">0</f>
        <v>0</v>
      </c>
      <c r="J89" s="10" t="n">
        <f aca="false">MAX(0,E89-E88)*Staffing!$O$7</f>
        <v>0</v>
      </c>
      <c r="K89" s="10" t="n">
        <f aca="false">MAX(0,E89-E88)*Staffing!$P$7</f>
        <v>0</v>
      </c>
      <c r="L89" s="23" t="n">
        <f aca="false">ROUNDUP(E89,0)</f>
        <v>1</v>
      </c>
    </row>
    <row r="90" customFormat="false" ht="15" hidden="false" customHeight="false" outlineLevel="0" collapsed="false">
      <c r="A90" s="6" t="s">
        <v>72</v>
      </c>
      <c r="B90" s="6" t="s">
        <v>329</v>
      </c>
      <c r="C90" s="6" t="n">
        <v>25</v>
      </c>
      <c r="D90" s="25" t="n">
        <f aca="false">EDATE('Start Here'!$B$6,C90-1)</f>
        <v>47058</v>
      </c>
      <c r="E90" s="11" t="n">
        <f aca="false">IF(AND(C90&gt;=Staffing!$F$7,C90&lt;=Staffing!$G$7,1=1),IF(C90&lt;=6,Staffing!$H$7,IF(C90&lt;=15,Staffing!$I$7,IF(C90&lt;=30,Staffing!$J$7,Staffing!$K$7))),0)</f>
        <v>1</v>
      </c>
      <c r="F90" s="10" t="n">
        <f aca="false">E90*Staffing!$L$7/12*(1+Assumptions!$C$10)^INT((C90-1)/12)*1</f>
        <v>14587.375</v>
      </c>
      <c r="G90" s="10" t="n">
        <f aca="false">F90*Staffing!$N$7</f>
        <v>5834.95</v>
      </c>
      <c r="H90" s="10" t="n">
        <f aca="false">F90+G90</f>
        <v>20422.325</v>
      </c>
      <c r="I90" s="10" t="n">
        <f aca="false">0</f>
        <v>0</v>
      </c>
      <c r="J90" s="10" t="n">
        <f aca="false">MAX(0,E90-E89)*Staffing!$O$7</f>
        <v>0</v>
      </c>
      <c r="K90" s="10" t="n">
        <f aca="false">MAX(0,E90-E89)*Staffing!$P$7</f>
        <v>0</v>
      </c>
      <c r="L90" s="23" t="n">
        <f aca="false">ROUNDUP(E90,0)</f>
        <v>1</v>
      </c>
    </row>
    <row r="91" customFormat="false" ht="15" hidden="false" customHeight="false" outlineLevel="0" collapsed="false">
      <c r="A91" s="6" t="s">
        <v>72</v>
      </c>
      <c r="B91" s="6" t="s">
        <v>329</v>
      </c>
      <c r="C91" s="6" t="n">
        <v>26</v>
      </c>
      <c r="D91" s="25" t="n">
        <f aca="false">EDATE('Start Here'!$B$6,C91-1)</f>
        <v>47088</v>
      </c>
      <c r="E91" s="11" t="n">
        <f aca="false">IF(AND(C91&gt;=Staffing!$F$7,C91&lt;=Staffing!$G$7,1=1),IF(C91&lt;=6,Staffing!$H$7,IF(C91&lt;=15,Staffing!$I$7,IF(C91&lt;=30,Staffing!$J$7,Staffing!$K$7))),0)</f>
        <v>1</v>
      </c>
      <c r="F91" s="10" t="n">
        <f aca="false">E91*Staffing!$L$7/12*(1+Assumptions!$C$10)^INT((C91-1)/12)*1</f>
        <v>14587.375</v>
      </c>
      <c r="G91" s="10" t="n">
        <f aca="false">F91*Staffing!$N$7</f>
        <v>5834.95</v>
      </c>
      <c r="H91" s="10" t="n">
        <f aca="false">F91+G91</f>
        <v>20422.325</v>
      </c>
      <c r="I91" s="10" t="n">
        <f aca="false">0</f>
        <v>0</v>
      </c>
      <c r="J91" s="10" t="n">
        <f aca="false">MAX(0,E91-E90)*Staffing!$O$7</f>
        <v>0</v>
      </c>
      <c r="K91" s="10" t="n">
        <f aca="false">MAX(0,E91-E90)*Staffing!$P$7</f>
        <v>0</v>
      </c>
      <c r="L91" s="23" t="n">
        <f aca="false">ROUNDUP(E91,0)</f>
        <v>1</v>
      </c>
    </row>
    <row r="92" customFormat="false" ht="15" hidden="false" customHeight="false" outlineLevel="0" collapsed="false">
      <c r="A92" s="6" t="s">
        <v>72</v>
      </c>
      <c r="B92" s="6" t="s">
        <v>329</v>
      </c>
      <c r="C92" s="6" t="n">
        <v>27</v>
      </c>
      <c r="D92" s="25" t="n">
        <f aca="false">EDATE('Start Here'!$B$6,C92-1)</f>
        <v>47119</v>
      </c>
      <c r="E92" s="11" t="n">
        <f aca="false">IF(AND(C92&gt;=Staffing!$F$7,C92&lt;=Staffing!$G$7,1=1),IF(C92&lt;=6,Staffing!$H$7,IF(C92&lt;=15,Staffing!$I$7,IF(C92&lt;=30,Staffing!$J$7,Staffing!$K$7))),0)</f>
        <v>1</v>
      </c>
      <c r="F92" s="10" t="n">
        <f aca="false">E92*Staffing!$L$7/12*(1+Assumptions!$C$10)^INT((C92-1)/12)*1</f>
        <v>14587.375</v>
      </c>
      <c r="G92" s="10" t="n">
        <f aca="false">F92*Staffing!$N$7</f>
        <v>5834.95</v>
      </c>
      <c r="H92" s="10" t="n">
        <f aca="false">F92+G92</f>
        <v>20422.325</v>
      </c>
      <c r="I92" s="10" t="n">
        <f aca="false">0</f>
        <v>0</v>
      </c>
      <c r="J92" s="10" t="n">
        <f aca="false">MAX(0,E92-E91)*Staffing!$O$7</f>
        <v>0</v>
      </c>
      <c r="K92" s="10" t="n">
        <f aca="false">MAX(0,E92-E91)*Staffing!$P$7</f>
        <v>0</v>
      </c>
      <c r="L92" s="23" t="n">
        <f aca="false">ROUNDUP(E92,0)</f>
        <v>1</v>
      </c>
    </row>
    <row r="93" customFormat="false" ht="15" hidden="false" customHeight="false" outlineLevel="0" collapsed="false">
      <c r="A93" s="6" t="s">
        <v>72</v>
      </c>
      <c r="B93" s="6" t="s">
        <v>329</v>
      </c>
      <c r="C93" s="6" t="n">
        <v>28</v>
      </c>
      <c r="D93" s="25" t="n">
        <f aca="false">EDATE('Start Here'!$B$6,C93-1)</f>
        <v>47150</v>
      </c>
      <c r="E93" s="11" t="n">
        <f aca="false">IF(AND(C93&gt;=Staffing!$F$7,C93&lt;=Staffing!$G$7,1=1),IF(C93&lt;=6,Staffing!$H$7,IF(C93&lt;=15,Staffing!$I$7,IF(C93&lt;=30,Staffing!$J$7,Staffing!$K$7))),0)</f>
        <v>1</v>
      </c>
      <c r="F93" s="10" t="n">
        <f aca="false">E93*Staffing!$L$7/12*(1+Assumptions!$C$10)^INT((C93-1)/12)*1</f>
        <v>14587.375</v>
      </c>
      <c r="G93" s="10" t="n">
        <f aca="false">F93*Staffing!$N$7</f>
        <v>5834.95</v>
      </c>
      <c r="H93" s="10" t="n">
        <f aca="false">F93+G93</f>
        <v>20422.325</v>
      </c>
      <c r="I93" s="10" t="n">
        <f aca="false">0</f>
        <v>0</v>
      </c>
      <c r="J93" s="10" t="n">
        <f aca="false">MAX(0,E93-E92)*Staffing!$O$7</f>
        <v>0</v>
      </c>
      <c r="K93" s="10" t="n">
        <f aca="false">MAX(0,E93-E92)*Staffing!$P$7</f>
        <v>0</v>
      </c>
      <c r="L93" s="23" t="n">
        <f aca="false">ROUNDUP(E93,0)</f>
        <v>1</v>
      </c>
    </row>
    <row r="94" customFormat="false" ht="15" hidden="false" customHeight="false" outlineLevel="0" collapsed="false">
      <c r="A94" s="6" t="s">
        <v>72</v>
      </c>
      <c r="B94" s="6" t="s">
        <v>329</v>
      </c>
      <c r="C94" s="6" t="n">
        <v>29</v>
      </c>
      <c r="D94" s="25" t="n">
        <f aca="false">EDATE('Start Here'!$B$6,C94-1)</f>
        <v>47178</v>
      </c>
      <c r="E94" s="11" t="n">
        <f aca="false">IF(AND(C94&gt;=Staffing!$F$7,C94&lt;=Staffing!$G$7,1=1),IF(C94&lt;=6,Staffing!$H$7,IF(C94&lt;=15,Staffing!$I$7,IF(C94&lt;=30,Staffing!$J$7,Staffing!$K$7))),0)</f>
        <v>1</v>
      </c>
      <c r="F94" s="10" t="n">
        <f aca="false">E94*Staffing!$L$7/12*(1+Assumptions!$C$10)^INT((C94-1)/12)*1</f>
        <v>14587.375</v>
      </c>
      <c r="G94" s="10" t="n">
        <f aca="false">F94*Staffing!$N$7</f>
        <v>5834.95</v>
      </c>
      <c r="H94" s="10" t="n">
        <f aca="false">F94+G94</f>
        <v>20422.325</v>
      </c>
      <c r="I94" s="10" t="n">
        <f aca="false">0</f>
        <v>0</v>
      </c>
      <c r="J94" s="10" t="n">
        <f aca="false">MAX(0,E94-E93)*Staffing!$O$7</f>
        <v>0</v>
      </c>
      <c r="K94" s="10" t="n">
        <f aca="false">MAX(0,E94-E93)*Staffing!$P$7</f>
        <v>0</v>
      </c>
      <c r="L94" s="23" t="n">
        <f aca="false">ROUNDUP(E94,0)</f>
        <v>1</v>
      </c>
    </row>
    <row r="95" customFormat="false" ht="15" hidden="false" customHeight="false" outlineLevel="0" collapsed="false">
      <c r="A95" s="6" t="s">
        <v>72</v>
      </c>
      <c r="B95" s="6" t="s">
        <v>329</v>
      </c>
      <c r="C95" s="6" t="n">
        <v>30</v>
      </c>
      <c r="D95" s="25" t="n">
        <f aca="false">EDATE('Start Here'!$B$6,C95-1)</f>
        <v>47209</v>
      </c>
      <c r="E95" s="11" t="n">
        <f aca="false">IF(AND(C95&gt;=Staffing!$F$7,C95&lt;=Staffing!$G$7,1=1),IF(C95&lt;=6,Staffing!$H$7,IF(C95&lt;=15,Staffing!$I$7,IF(C95&lt;=30,Staffing!$J$7,Staffing!$K$7))),0)</f>
        <v>1</v>
      </c>
      <c r="F95" s="10" t="n">
        <f aca="false">E95*Staffing!$L$7/12*(1+Assumptions!$C$10)^INT((C95-1)/12)*1</f>
        <v>14587.375</v>
      </c>
      <c r="G95" s="10" t="n">
        <f aca="false">F95*Staffing!$N$7</f>
        <v>5834.95</v>
      </c>
      <c r="H95" s="10" t="n">
        <f aca="false">F95+G95</f>
        <v>20422.325</v>
      </c>
      <c r="I95" s="10" t="n">
        <f aca="false">0</f>
        <v>0</v>
      </c>
      <c r="J95" s="10" t="n">
        <f aca="false">MAX(0,E95-E94)*Staffing!$O$7</f>
        <v>0</v>
      </c>
      <c r="K95" s="10" t="n">
        <f aca="false">MAX(0,E95-E94)*Staffing!$P$7</f>
        <v>0</v>
      </c>
      <c r="L95" s="23" t="n">
        <f aca="false">ROUNDUP(E95,0)</f>
        <v>1</v>
      </c>
    </row>
    <row r="96" customFormat="false" ht="15" hidden="false" customHeight="false" outlineLevel="0" collapsed="false">
      <c r="A96" s="6" t="s">
        <v>72</v>
      </c>
      <c r="B96" s="6" t="s">
        <v>329</v>
      </c>
      <c r="C96" s="6" t="n">
        <v>31</v>
      </c>
      <c r="D96" s="25" t="n">
        <f aca="false">EDATE('Start Here'!$B$6,C96-1)</f>
        <v>47239</v>
      </c>
      <c r="E96" s="11" t="n">
        <f aca="false">IF(AND(C96&gt;=Staffing!$F$7,C96&lt;=Staffing!$G$7,1=1),IF(C96&lt;=6,Staffing!$H$7,IF(C96&lt;=15,Staffing!$I$7,IF(C96&lt;=30,Staffing!$J$7,Staffing!$K$7))),0)</f>
        <v>1</v>
      </c>
      <c r="F96" s="10" t="n">
        <f aca="false">E96*Staffing!$L$7/12*(1+Assumptions!$C$10)^INT((C96-1)/12)*1</f>
        <v>14587.375</v>
      </c>
      <c r="G96" s="10" t="n">
        <f aca="false">F96*Staffing!$N$7</f>
        <v>5834.95</v>
      </c>
      <c r="H96" s="10" t="n">
        <f aca="false">F96+G96</f>
        <v>20422.325</v>
      </c>
      <c r="I96" s="10" t="n">
        <f aca="false">0</f>
        <v>0</v>
      </c>
      <c r="J96" s="10" t="n">
        <f aca="false">MAX(0,E96-E95)*Staffing!$O$7</f>
        <v>0</v>
      </c>
      <c r="K96" s="10" t="n">
        <f aca="false">MAX(0,E96-E95)*Staffing!$P$7</f>
        <v>0</v>
      </c>
      <c r="L96" s="23" t="n">
        <f aca="false">ROUNDUP(E96,0)</f>
        <v>1</v>
      </c>
    </row>
    <row r="97" customFormat="false" ht="15" hidden="false" customHeight="false" outlineLevel="0" collapsed="false">
      <c r="A97" s="6" t="s">
        <v>72</v>
      </c>
      <c r="B97" s="6" t="s">
        <v>329</v>
      </c>
      <c r="C97" s="6" t="n">
        <v>32</v>
      </c>
      <c r="D97" s="25" t="n">
        <f aca="false">EDATE('Start Here'!$B$6,C97-1)</f>
        <v>47270</v>
      </c>
      <c r="E97" s="11" t="n">
        <f aca="false">IF(AND(C97&gt;=Staffing!$F$7,C97&lt;=Staffing!$G$7,1=1),IF(C97&lt;=6,Staffing!$H$7,IF(C97&lt;=15,Staffing!$I$7,IF(C97&lt;=30,Staffing!$J$7,Staffing!$K$7))),0)</f>
        <v>1</v>
      </c>
      <c r="F97" s="10" t="n">
        <f aca="false">E97*Staffing!$L$7/12*(1+Assumptions!$C$10)^INT((C97-1)/12)*1</f>
        <v>14587.375</v>
      </c>
      <c r="G97" s="10" t="n">
        <f aca="false">F97*Staffing!$N$7</f>
        <v>5834.95</v>
      </c>
      <c r="H97" s="10" t="n">
        <f aca="false">F97+G97</f>
        <v>20422.325</v>
      </c>
      <c r="I97" s="10" t="n">
        <f aca="false">0</f>
        <v>0</v>
      </c>
      <c r="J97" s="10" t="n">
        <f aca="false">MAX(0,E97-E96)*Staffing!$O$7</f>
        <v>0</v>
      </c>
      <c r="K97" s="10" t="n">
        <f aca="false">MAX(0,E97-E96)*Staffing!$P$7</f>
        <v>0</v>
      </c>
      <c r="L97" s="23" t="n">
        <f aca="false">ROUNDUP(E97,0)</f>
        <v>1</v>
      </c>
    </row>
    <row r="98" customFormat="false" ht="15" hidden="false" customHeight="false" outlineLevel="0" collapsed="false">
      <c r="A98" s="6" t="s">
        <v>72</v>
      </c>
      <c r="B98" s="6" t="s">
        <v>329</v>
      </c>
      <c r="C98" s="6" t="n">
        <v>33</v>
      </c>
      <c r="D98" s="25" t="n">
        <f aca="false">EDATE('Start Here'!$B$6,C98-1)</f>
        <v>47300</v>
      </c>
      <c r="E98" s="11" t="n">
        <f aca="false">IF(AND(C98&gt;=Staffing!$F$7,C98&lt;=Staffing!$G$7,1=1),IF(C98&lt;=6,Staffing!$H$7,IF(C98&lt;=15,Staffing!$I$7,IF(C98&lt;=30,Staffing!$J$7,Staffing!$K$7))),0)</f>
        <v>1</v>
      </c>
      <c r="F98" s="10" t="n">
        <f aca="false">E98*Staffing!$L$7/12*(1+Assumptions!$C$10)^INT((C98-1)/12)*1</f>
        <v>14587.375</v>
      </c>
      <c r="G98" s="10" t="n">
        <f aca="false">F98*Staffing!$N$7</f>
        <v>5834.95</v>
      </c>
      <c r="H98" s="10" t="n">
        <f aca="false">F98+G98</f>
        <v>20422.325</v>
      </c>
      <c r="I98" s="10" t="n">
        <f aca="false">0</f>
        <v>0</v>
      </c>
      <c r="J98" s="10" t="n">
        <f aca="false">MAX(0,E98-E97)*Staffing!$O$7</f>
        <v>0</v>
      </c>
      <c r="K98" s="10" t="n">
        <f aca="false">MAX(0,E98-E97)*Staffing!$P$7</f>
        <v>0</v>
      </c>
      <c r="L98" s="23" t="n">
        <f aca="false">ROUNDUP(E98,0)</f>
        <v>1</v>
      </c>
    </row>
    <row r="99" customFormat="false" ht="15" hidden="false" customHeight="false" outlineLevel="0" collapsed="false">
      <c r="A99" s="6" t="s">
        <v>72</v>
      </c>
      <c r="B99" s="6" t="s">
        <v>329</v>
      </c>
      <c r="C99" s="6" t="n">
        <v>34</v>
      </c>
      <c r="D99" s="25" t="n">
        <f aca="false">EDATE('Start Here'!$B$6,C99-1)</f>
        <v>47331</v>
      </c>
      <c r="E99" s="11" t="n">
        <f aca="false">IF(AND(C99&gt;=Staffing!$F$7,C99&lt;=Staffing!$G$7,1=1),IF(C99&lt;=6,Staffing!$H$7,IF(C99&lt;=15,Staffing!$I$7,IF(C99&lt;=30,Staffing!$J$7,Staffing!$K$7))),0)</f>
        <v>1</v>
      </c>
      <c r="F99" s="10" t="n">
        <f aca="false">E99*Staffing!$L$7/12*(1+Assumptions!$C$10)^INT((C99-1)/12)*1</f>
        <v>14587.375</v>
      </c>
      <c r="G99" s="10" t="n">
        <f aca="false">F99*Staffing!$N$7</f>
        <v>5834.95</v>
      </c>
      <c r="H99" s="10" t="n">
        <f aca="false">F99+G99</f>
        <v>20422.325</v>
      </c>
      <c r="I99" s="10" t="n">
        <f aca="false">0</f>
        <v>0</v>
      </c>
      <c r="J99" s="10" t="n">
        <f aca="false">MAX(0,E99-E98)*Staffing!$O$7</f>
        <v>0</v>
      </c>
      <c r="K99" s="10" t="n">
        <f aca="false">MAX(0,E99-E98)*Staffing!$P$7</f>
        <v>0</v>
      </c>
      <c r="L99" s="23" t="n">
        <f aca="false">ROUNDUP(E99,0)</f>
        <v>1</v>
      </c>
    </row>
    <row r="100" customFormat="false" ht="15" hidden="false" customHeight="false" outlineLevel="0" collapsed="false">
      <c r="A100" s="6" t="s">
        <v>72</v>
      </c>
      <c r="B100" s="6" t="s">
        <v>329</v>
      </c>
      <c r="C100" s="6" t="n">
        <v>35</v>
      </c>
      <c r="D100" s="25" t="n">
        <f aca="false">EDATE('Start Here'!$B$6,C100-1)</f>
        <v>47362</v>
      </c>
      <c r="E100" s="11" t="n">
        <f aca="false">IF(AND(C100&gt;=Staffing!$F$7,C100&lt;=Staffing!$G$7,1=1),IF(C100&lt;=6,Staffing!$H$7,IF(C100&lt;=15,Staffing!$I$7,IF(C100&lt;=30,Staffing!$J$7,Staffing!$K$7))),0)</f>
        <v>1</v>
      </c>
      <c r="F100" s="10" t="n">
        <f aca="false">E100*Staffing!$L$7/12*(1+Assumptions!$C$10)^INT((C100-1)/12)*1</f>
        <v>14587.375</v>
      </c>
      <c r="G100" s="10" t="n">
        <f aca="false">F100*Staffing!$N$7</f>
        <v>5834.95</v>
      </c>
      <c r="H100" s="10" t="n">
        <f aca="false">F100+G100</f>
        <v>20422.325</v>
      </c>
      <c r="I100" s="10" t="n">
        <f aca="false">0</f>
        <v>0</v>
      </c>
      <c r="J100" s="10" t="n">
        <f aca="false">MAX(0,E100-E99)*Staffing!$O$7</f>
        <v>0</v>
      </c>
      <c r="K100" s="10" t="n">
        <f aca="false">MAX(0,E100-E99)*Staffing!$P$7</f>
        <v>0</v>
      </c>
      <c r="L100" s="23" t="n">
        <f aca="false">ROUNDUP(E100,0)</f>
        <v>1</v>
      </c>
    </row>
    <row r="101" customFormat="false" ht="15" hidden="false" customHeight="false" outlineLevel="0" collapsed="false">
      <c r="A101" s="6" t="s">
        <v>72</v>
      </c>
      <c r="B101" s="6" t="s">
        <v>329</v>
      </c>
      <c r="C101" s="6" t="n">
        <v>36</v>
      </c>
      <c r="D101" s="25" t="n">
        <f aca="false">EDATE('Start Here'!$B$6,C101-1)</f>
        <v>47392</v>
      </c>
      <c r="E101" s="11" t="n">
        <f aca="false">IF(AND(C101&gt;=Staffing!$F$7,C101&lt;=Staffing!$G$7,1=1),IF(C101&lt;=6,Staffing!$H$7,IF(C101&lt;=15,Staffing!$I$7,IF(C101&lt;=30,Staffing!$J$7,Staffing!$K$7))),0)</f>
        <v>1</v>
      </c>
      <c r="F101" s="10" t="n">
        <f aca="false">E101*Staffing!$L$7/12*(1+Assumptions!$C$10)^INT((C101-1)/12)*1</f>
        <v>14587.375</v>
      </c>
      <c r="G101" s="10" t="n">
        <f aca="false">F101*Staffing!$N$7</f>
        <v>5834.95</v>
      </c>
      <c r="H101" s="10" t="n">
        <f aca="false">F101+G101</f>
        <v>20422.325</v>
      </c>
      <c r="I101" s="10" t="n">
        <f aca="false">0</f>
        <v>0</v>
      </c>
      <c r="J101" s="10" t="n">
        <f aca="false">MAX(0,E101-E100)*Staffing!$O$7</f>
        <v>0</v>
      </c>
      <c r="K101" s="10" t="n">
        <f aca="false">MAX(0,E101-E100)*Staffing!$P$7</f>
        <v>0</v>
      </c>
      <c r="L101" s="23" t="n">
        <f aca="false">ROUNDUP(E101,0)</f>
        <v>1</v>
      </c>
    </row>
    <row r="102" customFormat="false" ht="15" hidden="false" customHeight="false" outlineLevel="0" collapsed="false">
      <c r="A102" s="6" t="s">
        <v>72</v>
      </c>
      <c r="B102" s="6" t="s">
        <v>329</v>
      </c>
      <c r="C102" s="6" t="n">
        <v>37</v>
      </c>
      <c r="D102" s="25" t="n">
        <f aca="false">EDATE('Start Here'!$B$6,C102-1)</f>
        <v>47423</v>
      </c>
      <c r="E102" s="11" t="n">
        <f aca="false">IF(AND(C102&gt;=Staffing!$F$7,C102&lt;=Staffing!$G$7,1=1),IF(C102&lt;=6,Staffing!$H$7,IF(C102&lt;=15,Staffing!$I$7,IF(C102&lt;=30,Staffing!$J$7,Staffing!$K$7))),0)</f>
        <v>1</v>
      </c>
      <c r="F102" s="10" t="n">
        <f aca="false">E102*Staffing!$L$7/12*(1+Assumptions!$C$10)^INT((C102-1)/12)*1</f>
        <v>15024.99625</v>
      </c>
      <c r="G102" s="10" t="n">
        <f aca="false">F102*Staffing!$N$7</f>
        <v>6009.9985</v>
      </c>
      <c r="H102" s="10" t="n">
        <f aca="false">F102+G102</f>
        <v>21034.99475</v>
      </c>
      <c r="I102" s="10" t="n">
        <f aca="false">0</f>
        <v>0</v>
      </c>
      <c r="J102" s="10" t="n">
        <f aca="false">MAX(0,E102-E101)*Staffing!$O$7</f>
        <v>0</v>
      </c>
      <c r="K102" s="10" t="n">
        <f aca="false">MAX(0,E102-E101)*Staffing!$P$7</f>
        <v>0</v>
      </c>
      <c r="L102" s="23" t="n">
        <f aca="false">ROUNDUP(E102,0)</f>
        <v>1</v>
      </c>
    </row>
    <row r="103" customFormat="false" ht="15" hidden="false" customHeight="false" outlineLevel="0" collapsed="false">
      <c r="A103" s="6" t="s">
        <v>72</v>
      </c>
      <c r="B103" s="6" t="s">
        <v>329</v>
      </c>
      <c r="C103" s="6" t="n">
        <v>38</v>
      </c>
      <c r="D103" s="25" t="n">
        <f aca="false">EDATE('Start Here'!$B$6,C103-1)</f>
        <v>47453</v>
      </c>
      <c r="E103" s="11" t="n">
        <f aca="false">IF(AND(C103&gt;=Staffing!$F$7,C103&lt;=Staffing!$G$7,1=1),IF(C103&lt;=6,Staffing!$H$7,IF(C103&lt;=15,Staffing!$I$7,IF(C103&lt;=30,Staffing!$J$7,Staffing!$K$7))),0)</f>
        <v>1</v>
      </c>
      <c r="F103" s="10" t="n">
        <f aca="false">E103*Staffing!$L$7/12*(1+Assumptions!$C$10)^INT((C103-1)/12)*1</f>
        <v>15024.99625</v>
      </c>
      <c r="G103" s="10" t="n">
        <f aca="false">F103*Staffing!$N$7</f>
        <v>6009.9985</v>
      </c>
      <c r="H103" s="10" t="n">
        <f aca="false">F103+G103</f>
        <v>21034.99475</v>
      </c>
      <c r="I103" s="10" t="n">
        <f aca="false">0</f>
        <v>0</v>
      </c>
      <c r="J103" s="10" t="n">
        <f aca="false">MAX(0,E103-E102)*Staffing!$O$7</f>
        <v>0</v>
      </c>
      <c r="K103" s="10" t="n">
        <f aca="false">MAX(0,E103-E102)*Staffing!$P$7</f>
        <v>0</v>
      </c>
      <c r="L103" s="23" t="n">
        <f aca="false">ROUNDUP(E103,0)</f>
        <v>1</v>
      </c>
    </row>
    <row r="104" customFormat="false" ht="15" hidden="false" customHeight="false" outlineLevel="0" collapsed="false">
      <c r="A104" s="6" t="s">
        <v>72</v>
      </c>
      <c r="B104" s="6" t="s">
        <v>329</v>
      </c>
      <c r="C104" s="6" t="n">
        <v>39</v>
      </c>
      <c r="D104" s="25" t="n">
        <f aca="false">EDATE('Start Here'!$B$6,C104-1)</f>
        <v>47484</v>
      </c>
      <c r="E104" s="11" t="n">
        <f aca="false">IF(AND(C104&gt;=Staffing!$F$7,C104&lt;=Staffing!$G$7,1=1),IF(C104&lt;=6,Staffing!$H$7,IF(C104&lt;=15,Staffing!$I$7,IF(C104&lt;=30,Staffing!$J$7,Staffing!$K$7))),0)</f>
        <v>1</v>
      </c>
      <c r="F104" s="10" t="n">
        <f aca="false">E104*Staffing!$L$7/12*(1+Assumptions!$C$10)^INT((C104-1)/12)*1</f>
        <v>15024.99625</v>
      </c>
      <c r="G104" s="10" t="n">
        <f aca="false">F104*Staffing!$N$7</f>
        <v>6009.9985</v>
      </c>
      <c r="H104" s="10" t="n">
        <f aca="false">F104+G104</f>
        <v>21034.99475</v>
      </c>
      <c r="I104" s="10" t="n">
        <f aca="false">0</f>
        <v>0</v>
      </c>
      <c r="J104" s="10" t="n">
        <f aca="false">MAX(0,E104-E103)*Staffing!$O$7</f>
        <v>0</v>
      </c>
      <c r="K104" s="10" t="n">
        <f aca="false">MAX(0,E104-E103)*Staffing!$P$7</f>
        <v>0</v>
      </c>
      <c r="L104" s="23" t="n">
        <f aca="false">ROUNDUP(E104,0)</f>
        <v>1</v>
      </c>
    </row>
    <row r="105" customFormat="false" ht="15" hidden="false" customHeight="false" outlineLevel="0" collapsed="false">
      <c r="A105" s="6" t="s">
        <v>72</v>
      </c>
      <c r="B105" s="6" t="s">
        <v>329</v>
      </c>
      <c r="C105" s="6" t="n">
        <v>40</v>
      </c>
      <c r="D105" s="25" t="n">
        <f aca="false">EDATE('Start Here'!$B$6,C105-1)</f>
        <v>47515</v>
      </c>
      <c r="E105" s="11" t="n">
        <f aca="false">IF(AND(C105&gt;=Staffing!$F$7,C105&lt;=Staffing!$G$7,1=1),IF(C105&lt;=6,Staffing!$H$7,IF(C105&lt;=15,Staffing!$I$7,IF(C105&lt;=30,Staffing!$J$7,Staffing!$K$7))),0)</f>
        <v>1</v>
      </c>
      <c r="F105" s="10" t="n">
        <f aca="false">E105*Staffing!$L$7/12*(1+Assumptions!$C$10)^INT((C105-1)/12)*1</f>
        <v>15024.99625</v>
      </c>
      <c r="G105" s="10" t="n">
        <f aca="false">F105*Staffing!$N$7</f>
        <v>6009.9985</v>
      </c>
      <c r="H105" s="10" t="n">
        <f aca="false">F105+G105</f>
        <v>21034.99475</v>
      </c>
      <c r="I105" s="10" t="n">
        <f aca="false">0</f>
        <v>0</v>
      </c>
      <c r="J105" s="10" t="n">
        <f aca="false">MAX(0,E105-E104)*Staffing!$O$7</f>
        <v>0</v>
      </c>
      <c r="K105" s="10" t="n">
        <f aca="false">MAX(0,E105-E104)*Staffing!$P$7</f>
        <v>0</v>
      </c>
      <c r="L105" s="23" t="n">
        <f aca="false">ROUNDUP(E105,0)</f>
        <v>1</v>
      </c>
    </row>
    <row r="106" customFormat="false" ht="15" hidden="false" customHeight="false" outlineLevel="0" collapsed="false">
      <c r="A106" s="6" t="s">
        <v>72</v>
      </c>
      <c r="B106" s="6" t="s">
        <v>329</v>
      </c>
      <c r="C106" s="6" t="n">
        <v>41</v>
      </c>
      <c r="D106" s="25" t="n">
        <f aca="false">EDATE('Start Here'!$B$6,C106-1)</f>
        <v>47543</v>
      </c>
      <c r="E106" s="11" t="n">
        <f aca="false">IF(AND(C106&gt;=Staffing!$F$7,C106&lt;=Staffing!$G$7,1=1),IF(C106&lt;=6,Staffing!$H$7,IF(C106&lt;=15,Staffing!$I$7,IF(C106&lt;=30,Staffing!$J$7,Staffing!$K$7))),0)</f>
        <v>1</v>
      </c>
      <c r="F106" s="10" t="n">
        <f aca="false">E106*Staffing!$L$7/12*(1+Assumptions!$C$10)^INT((C106-1)/12)*1</f>
        <v>15024.99625</v>
      </c>
      <c r="G106" s="10" t="n">
        <f aca="false">F106*Staffing!$N$7</f>
        <v>6009.9985</v>
      </c>
      <c r="H106" s="10" t="n">
        <f aca="false">F106+G106</f>
        <v>21034.99475</v>
      </c>
      <c r="I106" s="10" t="n">
        <f aca="false">0</f>
        <v>0</v>
      </c>
      <c r="J106" s="10" t="n">
        <f aca="false">MAX(0,E106-E105)*Staffing!$O$7</f>
        <v>0</v>
      </c>
      <c r="K106" s="10" t="n">
        <f aca="false">MAX(0,E106-E105)*Staffing!$P$7</f>
        <v>0</v>
      </c>
      <c r="L106" s="23" t="n">
        <f aca="false">ROUNDUP(E106,0)</f>
        <v>1</v>
      </c>
    </row>
    <row r="107" customFormat="false" ht="15" hidden="false" customHeight="false" outlineLevel="0" collapsed="false">
      <c r="A107" s="6" t="s">
        <v>72</v>
      </c>
      <c r="B107" s="6" t="s">
        <v>329</v>
      </c>
      <c r="C107" s="6" t="n">
        <v>42</v>
      </c>
      <c r="D107" s="25" t="n">
        <f aca="false">EDATE('Start Here'!$B$6,C107-1)</f>
        <v>47574</v>
      </c>
      <c r="E107" s="11" t="n">
        <f aca="false">IF(AND(C107&gt;=Staffing!$F$7,C107&lt;=Staffing!$G$7,1=1),IF(C107&lt;=6,Staffing!$H$7,IF(C107&lt;=15,Staffing!$I$7,IF(C107&lt;=30,Staffing!$J$7,Staffing!$K$7))),0)</f>
        <v>1</v>
      </c>
      <c r="F107" s="10" t="n">
        <f aca="false">E107*Staffing!$L$7/12*(1+Assumptions!$C$10)^INT((C107-1)/12)*1</f>
        <v>15024.99625</v>
      </c>
      <c r="G107" s="10" t="n">
        <f aca="false">F107*Staffing!$N$7</f>
        <v>6009.9985</v>
      </c>
      <c r="H107" s="10" t="n">
        <f aca="false">F107+G107</f>
        <v>21034.99475</v>
      </c>
      <c r="I107" s="10" t="n">
        <f aca="false">0</f>
        <v>0</v>
      </c>
      <c r="J107" s="10" t="n">
        <f aca="false">MAX(0,E107-E106)*Staffing!$O$7</f>
        <v>0</v>
      </c>
      <c r="K107" s="10" t="n">
        <f aca="false">MAX(0,E107-E106)*Staffing!$P$7</f>
        <v>0</v>
      </c>
      <c r="L107" s="23" t="n">
        <f aca="false">ROUNDUP(E107,0)</f>
        <v>1</v>
      </c>
    </row>
    <row r="108" customFormat="false" ht="15" hidden="false" customHeight="false" outlineLevel="0" collapsed="false">
      <c r="A108" s="6" t="s">
        <v>72</v>
      </c>
      <c r="B108" s="6" t="s">
        <v>329</v>
      </c>
      <c r="C108" s="6" t="n">
        <v>43</v>
      </c>
      <c r="D108" s="25" t="n">
        <f aca="false">EDATE('Start Here'!$B$6,C108-1)</f>
        <v>47604</v>
      </c>
      <c r="E108" s="11" t="n">
        <f aca="false">IF(AND(C108&gt;=Staffing!$F$7,C108&lt;=Staffing!$G$7,1=1),IF(C108&lt;=6,Staffing!$H$7,IF(C108&lt;=15,Staffing!$I$7,IF(C108&lt;=30,Staffing!$J$7,Staffing!$K$7))),0)</f>
        <v>1</v>
      </c>
      <c r="F108" s="10" t="n">
        <f aca="false">E108*Staffing!$L$7/12*(1+Assumptions!$C$10)^INT((C108-1)/12)*1</f>
        <v>15024.99625</v>
      </c>
      <c r="G108" s="10" t="n">
        <f aca="false">F108*Staffing!$N$7</f>
        <v>6009.9985</v>
      </c>
      <c r="H108" s="10" t="n">
        <f aca="false">F108+G108</f>
        <v>21034.99475</v>
      </c>
      <c r="I108" s="10" t="n">
        <f aca="false">0</f>
        <v>0</v>
      </c>
      <c r="J108" s="10" t="n">
        <f aca="false">MAX(0,E108-E107)*Staffing!$O$7</f>
        <v>0</v>
      </c>
      <c r="K108" s="10" t="n">
        <f aca="false">MAX(0,E108-E107)*Staffing!$P$7</f>
        <v>0</v>
      </c>
      <c r="L108" s="23" t="n">
        <f aca="false">ROUNDUP(E108,0)</f>
        <v>1</v>
      </c>
    </row>
    <row r="109" customFormat="false" ht="15" hidden="false" customHeight="false" outlineLevel="0" collapsed="false">
      <c r="A109" s="6" t="s">
        <v>72</v>
      </c>
      <c r="B109" s="6" t="s">
        <v>329</v>
      </c>
      <c r="C109" s="6" t="n">
        <v>44</v>
      </c>
      <c r="D109" s="25" t="n">
        <f aca="false">EDATE('Start Here'!$B$6,C109-1)</f>
        <v>47635</v>
      </c>
      <c r="E109" s="11" t="n">
        <f aca="false">IF(AND(C109&gt;=Staffing!$F$7,C109&lt;=Staffing!$G$7,1=1),IF(C109&lt;=6,Staffing!$H$7,IF(C109&lt;=15,Staffing!$I$7,IF(C109&lt;=30,Staffing!$J$7,Staffing!$K$7))),0)</f>
        <v>1</v>
      </c>
      <c r="F109" s="10" t="n">
        <f aca="false">E109*Staffing!$L$7/12*(1+Assumptions!$C$10)^INT((C109-1)/12)*1</f>
        <v>15024.99625</v>
      </c>
      <c r="G109" s="10" t="n">
        <f aca="false">F109*Staffing!$N$7</f>
        <v>6009.9985</v>
      </c>
      <c r="H109" s="10" t="n">
        <f aca="false">F109+G109</f>
        <v>21034.99475</v>
      </c>
      <c r="I109" s="10" t="n">
        <f aca="false">0</f>
        <v>0</v>
      </c>
      <c r="J109" s="10" t="n">
        <f aca="false">MAX(0,E109-E108)*Staffing!$O$7</f>
        <v>0</v>
      </c>
      <c r="K109" s="10" t="n">
        <f aca="false">MAX(0,E109-E108)*Staffing!$P$7</f>
        <v>0</v>
      </c>
      <c r="L109" s="23" t="n">
        <f aca="false">ROUNDUP(E109,0)</f>
        <v>1</v>
      </c>
    </row>
    <row r="110" customFormat="false" ht="15" hidden="false" customHeight="false" outlineLevel="0" collapsed="false">
      <c r="A110" s="6" t="s">
        <v>72</v>
      </c>
      <c r="B110" s="6" t="s">
        <v>329</v>
      </c>
      <c r="C110" s="6" t="n">
        <v>45</v>
      </c>
      <c r="D110" s="25" t="n">
        <f aca="false">EDATE('Start Here'!$B$6,C110-1)</f>
        <v>47665</v>
      </c>
      <c r="E110" s="11" t="n">
        <f aca="false">IF(AND(C110&gt;=Staffing!$F$7,C110&lt;=Staffing!$G$7,1=1),IF(C110&lt;=6,Staffing!$H$7,IF(C110&lt;=15,Staffing!$I$7,IF(C110&lt;=30,Staffing!$J$7,Staffing!$K$7))),0)</f>
        <v>1</v>
      </c>
      <c r="F110" s="10" t="n">
        <f aca="false">E110*Staffing!$L$7/12*(1+Assumptions!$C$10)^INT((C110-1)/12)*1</f>
        <v>15024.99625</v>
      </c>
      <c r="G110" s="10" t="n">
        <f aca="false">F110*Staffing!$N$7</f>
        <v>6009.9985</v>
      </c>
      <c r="H110" s="10" t="n">
        <f aca="false">F110+G110</f>
        <v>21034.99475</v>
      </c>
      <c r="I110" s="10" t="n">
        <f aca="false">0</f>
        <v>0</v>
      </c>
      <c r="J110" s="10" t="n">
        <f aca="false">MAX(0,E110-E109)*Staffing!$O$7</f>
        <v>0</v>
      </c>
      <c r="K110" s="10" t="n">
        <f aca="false">MAX(0,E110-E109)*Staffing!$P$7</f>
        <v>0</v>
      </c>
      <c r="L110" s="23" t="n">
        <f aca="false">ROUNDUP(E110,0)</f>
        <v>1</v>
      </c>
    </row>
    <row r="111" customFormat="false" ht="15" hidden="false" customHeight="false" outlineLevel="0" collapsed="false">
      <c r="A111" s="6" t="s">
        <v>72</v>
      </c>
      <c r="B111" s="6" t="s">
        <v>329</v>
      </c>
      <c r="C111" s="6" t="n">
        <v>46</v>
      </c>
      <c r="D111" s="25" t="n">
        <f aca="false">EDATE('Start Here'!$B$6,C111-1)</f>
        <v>47696</v>
      </c>
      <c r="E111" s="11" t="n">
        <f aca="false">IF(AND(C111&gt;=Staffing!$F$7,C111&lt;=Staffing!$G$7,1=1),IF(C111&lt;=6,Staffing!$H$7,IF(C111&lt;=15,Staffing!$I$7,IF(C111&lt;=30,Staffing!$J$7,Staffing!$K$7))),0)</f>
        <v>1</v>
      </c>
      <c r="F111" s="10" t="n">
        <f aca="false">E111*Staffing!$L$7/12*(1+Assumptions!$C$10)^INT((C111-1)/12)*1</f>
        <v>15024.99625</v>
      </c>
      <c r="G111" s="10" t="n">
        <f aca="false">F111*Staffing!$N$7</f>
        <v>6009.9985</v>
      </c>
      <c r="H111" s="10" t="n">
        <f aca="false">F111+G111</f>
        <v>21034.99475</v>
      </c>
      <c r="I111" s="10" t="n">
        <f aca="false">0</f>
        <v>0</v>
      </c>
      <c r="J111" s="10" t="n">
        <f aca="false">MAX(0,E111-E110)*Staffing!$O$7</f>
        <v>0</v>
      </c>
      <c r="K111" s="10" t="n">
        <f aca="false">MAX(0,E111-E110)*Staffing!$P$7</f>
        <v>0</v>
      </c>
      <c r="L111" s="23" t="n">
        <f aca="false">ROUNDUP(E111,0)</f>
        <v>1</v>
      </c>
    </row>
    <row r="112" customFormat="false" ht="15" hidden="false" customHeight="false" outlineLevel="0" collapsed="false">
      <c r="A112" s="6" t="s">
        <v>72</v>
      </c>
      <c r="B112" s="6" t="s">
        <v>329</v>
      </c>
      <c r="C112" s="6" t="n">
        <v>47</v>
      </c>
      <c r="D112" s="25" t="n">
        <f aca="false">EDATE('Start Here'!$B$6,C112-1)</f>
        <v>47727</v>
      </c>
      <c r="E112" s="11" t="n">
        <f aca="false">IF(AND(C112&gt;=Staffing!$F$7,C112&lt;=Staffing!$G$7,1=1),IF(C112&lt;=6,Staffing!$H$7,IF(C112&lt;=15,Staffing!$I$7,IF(C112&lt;=30,Staffing!$J$7,Staffing!$K$7))),0)</f>
        <v>1</v>
      </c>
      <c r="F112" s="10" t="n">
        <f aca="false">E112*Staffing!$L$7/12*(1+Assumptions!$C$10)^INT((C112-1)/12)*1</f>
        <v>15024.99625</v>
      </c>
      <c r="G112" s="10" t="n">
        <f aca="false">F112*Staffing!$N$7</f>
        <v>6009.9985</v>
      </c>
      <c r="H112" s="10" t="n">
        <f aca="false">F112+G112</f>
        <v>21034.99475</v>
      </c>
      <c r="I112" s="10" t="n">
        <f aca="false">0</f>
        <v>0</v>
      </c>
      <c r="J112" s="10" t="n">
        <f aca="false">MAX(0,E112-E111)*Staffing!$O$7</f>
        <v>0</v>
      </c>
      <c r="K112" s="10" t="n">
        <f aca="false">MAX(0,E112-E111)*Staffing!$P$7</f>
        <v>0</v>
      </c>
      <c r="L112" s="23" t="n">
        <f aca="false">ROUNDUP(E112,0)</f>
        <v>1</v>
      </c>
    </row>
    <row r="113" customFormat="false" ht="15" hidden="false" customHeight="false" outlineLevel="0" collapsed="false">
      <c r="A113" s="6" t="s">
        <v>72</v>
      </c>
      <c r="B113" s="6" t="s">
        <v>329</v>
      </c>
      <c r="C113" s="6" t="n">
        <v>48</v>
      </c>
      <c r="D113" s="25" t="n">
        <f aca="false">EDATE('Start Here'!$B$6,C113-1)</f>
        <v>47757</v>
      </c>
      <c r="E113" s="11" t="n">
        <f aca="false">IF(AND(C113&gt;=Staffing!$F$7,C113&lt;=Staffing!$G$7,1=1),IF(C113&lt;=6,Staffing!$H$7,IF(C113&lt;=15,Staffing!$I$7,IF(C113&lt;=30,Staffing!$J$7,Staffing!$K$7))),0)</f>
        <v>1</v>
      </c>
      <c r="F113" s="10" t="n">
        <f aca="false">E113*Staffing!$L$7/12*(1+Assumptions!$C$10)^INT((C113-1)/12)*1</f>
        <v>15024.99625</v>
      </c>
      <c r="G113" s="10" t="n">
        <f aca="false">F113*Staffing!$N$7</f>
        <v>6009.9985</v>
      </c>
      <c r="H113" s="10" t="n">
        <f aca="false">F113+G113</f>
        <v>21034.99475</v>
      </c>
      <c r="I113" s="10" t="n">
        <f aca="false">0</f>
        <v>0</v>
      </c>
      <c r="J113" s="10" t="n">
        <f aca="false">MAX(0,E113-E112)*Staffing!$O$7</f>
        <v>0</v>
      </c>
      <c r="K113" s="10" t="n">
        <f aca="false">MAX(0,E113-E112)*Staffing!$P$7</f>
        <v>0</v>
      </c>
      <c r="L113" s="23" t="n">
        <f aca="false">ROUNDUP(E113,0)</f>
        <v>1</v>
      </c>
    </row>
    <row r="114" customFormat="false" ht="15" hidden="false" customHeight="false" outlineLevel="0" collapsed="false">
      <c r="A114" s="6" t="s">
        <v>72</v>
      </c>
      <c r="B114" s="6" t="s">
        <v>329</v>
      </c>
      <c r="C114" s="6" t="n">
        <v>49</v>
      </c>
      <c r="D114" s="25" t="n">
        <f aca="false">EDATE('Start Here'!$B$6,C114-1)</f>
        <v>47788</v>
      </c>
      <c r="E114" s="11" t="n">
        <f aca="false">IF(AND(C114&gt;=Staffing!$F$7,C114&lt;=Staffing!$G$7,1=1),IF(C114&lt;=6,Staffing!$H$7,IF(C114&lt;=15,Staffing!$I$7,IF(C114&lt;=30,Staffing!$J$7,Staffing!$K$7))),0)</f>
        <v>1</v>
      </c>
      <c r="F114" s="10" t="n">
        <f aca="false">E114*Staffing!$L$7/12*(1+Assumptions!$C$10)^INT((C114-1)/12)*1</f>
        <v>15475.7461375</v>
      </c>
      <c r="G114" s="10" t="n">
        <f aca="false">F114*Staffing!$N$7</f>
        <v>6190.298455</v>
      </c>
      <c r="H114" s="10" t="n">
        <f aca="false">F114+G114</f>
        <v>21666.0445925</v>
      </c>
      <c r="I114" s="10" t="n">
        <f aca="false">0</f>
        <v>0</v>
      </c>
      <c r="J114" s="10" t="n">
        <f aca="false">MAX(0,E114-E113)*Staffing!$O$7</f>
        <v>0</v>
      </c>
      <c r="K114" s="10" t="n">
        <f aca="false">MAX(0,E114-E113)*Staffing!$P$7</f>
        <v>0</v>
      </c>
      <c r="L114" s="23" t="n">
        <f aca="false">ROUNDUP(E114,0)</f>
        <v>1</v>
      </c>
    </row>
    <row r="115" customFormat="false" ht="15" hidden="false" customHeight="false" outlineLevel="0" collapsed="false">
      <c r="A115" s="6" t="s">
        <v>72</v>
      </c>
      <c r="B115" s="6" t="s">
        <v>329</v>
      </c>
      <c r="C115" s="6" t="n">
        <v>50</v>
      </c>
      <c r="D115" s="25" t="n">
        <f aca="false">EDATE('Start Here'!$B$6,C115-1)</f>
        <v>47818</v>
      </c>
      <c r="E115" s="11" t="n">
        <f aca="false">IF(AND(C115&gt;=Staffing!$F$7,C115&lt;=Staffing!$G$7,1=1),IF(C115&lt;=6,Staffing!$H$7,IF(C115&lt;=15,Staffing!$I$7,IF(C115&lt;=30,Staffing!$J$7,Staffing!$K$7))),0)</f>
        <v>1</v>
      </c>
      <c r="F115" s="10" t="n">
        <f aca="false">E115*Staffing!$L$7/12*(1+Assumptions!$C$10)^INT((C115-1)/12)*1</f>
        <v>15475.7461375</v>
      </c>
      <c r="G115" s="10" t="n">
        <f aca="false">F115*Staffing!$N$7</f>
        <v>6190.298455</v>
      </c>
      <c r="H115" s="10" t="n">
        <f aca="false">F115+G115</f>
        <v>21666.0445925</v>
      </c>
      <c r="I115" s="10" t="n">
        <f aca="false">0</f>
        <v>0</v>
      </c>
      <c r="J115" s="10" t="n">
        <f aca="false">MAX(0,E115-E114)*Staffing!$O$7</f>
        <v>0</v>
      </c>
      <c r="K115" s="10" t="n">
        <f aca="false">MAX(0,E115-E114)*Staffing!$P$7</f>
        <v>0</v>
      </c>
      <c r="L115" s="23" t="n">
        <f aca="false">ROUNDUP(E115,0)</f>
        <v>1</v>
      </c>
    </row>
    <row r="116" customFormat="false" ht="15" hidden="false" customHeight="false" outlineLevel="0" collapsed="false">
      <c r="A116" s="6" t="s">
        <v>72</v>
      </c>
      <c r="B116" s="6" t="s">
        <v>329</v>
      </c>
      <c r="C116" s="6" t="n">
        <v>51</v>
      </c>
      <c r="D116" s="25" t="n">
        <f aca="false">EDATE('Start Here'!$B$6,C116-1)</f>
        <v>47849</v>
      </c>
      <c r="E116" s="11" t="n">
        <f aca="false">IF(AND(C116&gt;=Staffing!$F$7,C116&lt;=Staffing!$G$7,1=1),IF(C116&lt;=6,Staffing!$H$7,IF(C116&lt;=15,Staffing!$I$7,IF(C116&lt;=30,Staffing!$J$7,Staffing!$K$7))),0)</f>
        <v>1</v>
      </c>
      <c r="F116" s="10" t="n">
        <f aca="false">E116*Staffing!$L$7/12*(1+Assumptions!$C$10)^INT((C116-1)/12)*1</f>
        <v>15475.7461375</v>
      </c>
      <c r="G116" s="10" t="n">
        <f aca="false">F116*Staffing!$N$7</f>
        <v>6190.298455</v>
      </c>
      <c r="H116" s="10" t="n">
        <f aca="false">F116+G116</f>
        <v>21666.0445925</v>
      </c>
      <c r="I116" s="10" t="n">
        <f aca="false">0</f>
        <v>0</v>
      </c>
      <c r="J116" s="10" t="n">
        <f aca="false">MAX(0,E116-E115)*Staffing!$O$7</f>
        <v>0</v>
      </c>
      <c r="K116" s="10" t="n">
        <f aca="false">MAX(0,E116-E115)*Staffing!$P$7</f>
        <v>0</v>
      </c>
      <c r="L116" s="23" t="n">
        <f aca="false">ROUNDUP(E116,0)</f>
        <v>1</v>
      </c>
    </row>
    <row r="117" customFormat="false" ht="15" hidden="false" customHeight="false" outlineLevel="0" collapsed="false">
      <c r="A117" s="6" t="s">
        <v>72</v>
      </c>
      <c r="B117" s="6" t="s">
        <v>329</v>
      </c>
      <c r="C117" s="6" t="n">
        <v>52</v>
      </c>
      <c r="D117" s="25" t="n">
        <f aca="false">EDATE('Start Here'!$B$6,C117-1)</f>
        <v>47880</v>
      </c>
      <c r="E117" s="11" t="n">
        <f aca="false">IF(AND(C117&gt;=Staffing!$F$7,C117&lt;=Staffing!$G$7,1=1),IF(C117&lt;=6,Staffing!$H$7,IF(C117&lt;=15,Staffing!$I$7,IF(C117&lt;=30,Staffing!$J$7,Staffing!$K$7))),0)</f>
        <v>1</v>
      </c>
      <c r="F117" s="10" t="n">
        <f aca="false">E117*Staffing!$L$7/12*(1+Assumptions!$C$10)^INT((C117-1)/12)*1</f>
        <v>15475.7461375</v>
      </c>
      <c r="G117" s="10" t="n">
        <f aca="false">F117*Staffing!$N$7</f>
        <v>6190.298455</v>
      </c>
      <c r="H117" s="10" t="n">
        <f aca="false">F117+G117</f>
        <v>21666.0445925</v>
      </c>
      <c r="I117" s="10" t="n">
        <f aca="false">0</f>
        <v>0</v>
      </c>
      <c r="J117" s="10" t="n">
        <f aca="false">MAX(0,E117-E116)*Staffing!$O$7</f>
        <v>0</v>
      </c>
      <c r="K117" s="10" t="n">
        <f aca="false">MAX(0,E117-E116)*Staffing!$P$7</f>
        <v>0</v>
      </c>
      <c r="L117" s="23" t="n">
        <f aca="false">ROUNDUP(E117,0)</f>
        <v>1</v>
      </c>
    </row>
    <row r="118" customFormat="false" ht="15" hidden="false" customHeight="false" outlineLevel="0" collapsed="false">
      <c r="A118" s="6" t="s">
        <v>72</v>
      </c>
      <c r="B118" s="6" t="s">
        <v>329</v>
      </c>
      <c r="C118" s="6" t="n">
        <v>53</v>
      </c>
      <c r="D118" s="25" t="n">
        <f aca="false">EDATE('Start Here'!$B$6,C118-1)</f>
        <v>47908</v>
      </c>
      <c r="E118" s="11" t="n">
        <f aca="false">IF(AND(C118&gt;=Staffing!$F$7,C118&lt;=Staffing!$G$7,1=1),IF(C118&lt;=6,Staffing!$H$7,IF(C118&lt;=15,Staffing!$I$7,IF(C118&lt;=30,Staffing!$J$7,Staffing!$K$7))),0)</f>
        <v>1</v>
      </c>
      <c r="F118" s="10" t="n">
        <f aca="false">E118*Staffing!$L$7/12*(1+Assumptions!$C$10)^INT((C118-1)/12)*1</f>
        <v>15475.7461375</v>
      </c>
      <c r="G118" s="10" t="n">
        <f aca="false">F118*Staffing!$N$7</f>
        <v>6190.298455</v>
      </c>
      <c r="H118" s="10" t="n">
        <f aca="false">F118+G118</f>
        <v>21666.0445925</v>
      </c>
      <c r="I118" s="10" t="n">
        <f aca="false">0</f>
        <v>0</v>
      </c>
      <c r="J118" s="10" t="n">
        <f aca="false">MAX(0,E118-E117)*Staffing!$O$7</f>
        <v>0</v>
      </c>
      <c r="K118" s="10" t="n">
        <f aca="false">MAX(0,E118-E117)*Staffing!$P$7</f>
        <v>0</v>
      </c>
      <c r="L118" s="23" t="n">
        <f aca="false">ROUNDUP(E118,0)</f>
        <v>1</v>
      </c>
    </row>
    <row r="119" customFormat="false" ht="15" hidden="false" customHeight="false" outlineLevel="0" collapsed="false">
      <c r="A119" s="6" t="s">
        <v>72</v>
      </c>
      <c r="B119" s="6" t="s">
        <v>329</v>
      </c>
      <c r="C119" s="6" t="n">
        <v>54</v>
      </c>
      <c r="D119" s="25" t="n">
        <f aca="false">EDATE('Start Here'!$B$6,C119-1)</f>
        <v>47939</v>
      </c>
      <c r="E119" s="11" t="n">
        <f aca="false">IF(AND(C119&gt;=Staffing!$F$7,C119&lt;=Staffing!$G$7,1=1),IF(C119&lt;=6,Staffing!$H$7,IF(C119&lt;=15,Staffing!$I$7,IF(C119&lt;=30,Staffing!$J$7,Staffing!$K$7))),0)</f>
        <v>1</v>
      </c>
      <c r="F119" s="10" t="n">
        <f aca="false">E119*Staffing!$L$7/12*(1+Assumptions!$C$10)^INT((C119-1)/12)*1</f>
        <v>15475.7461375</v>
      </c>
      <c r="G119" s="10" t="n">
        <f aca="false">F119*Staffing!$N$7</f>
        <v>6190.298455</v>
      </c>
      <c r="H119" s="10" t="n">
        <f aca="false">F119+G119</f>
        <v>21666.0445925</v>
      </c>
      <c r="I119" s="10" t="n">
        <f aca="false">0</f>
        <v>0</v>
      </c>
      <c r="J119" s="10" t="n">
        <f aca="false">MAX(0,E119-E118)*Staffing!$O$7</f>
        <v>0</v>
      </c>
      <c r="K119" s="10" t="n">
        <f aca="false">MAX(0,E119-E118)*Staffing!$P$7</f>
        <v>0</v>
      </c>
      <c r="L119" s="23" t="n">
        <f aca="false">ROUNDUP(E119,0)</f>
        <v>1</v>
      </c>
    </row>
    <row r="120" customFormat="false" ht="15" hidden="false" customHeight="false" outlineLevel="0" collapsed="false">
      <c r="A120" s="6" t="s">
        <v>72</v>
      </c>
      <c r="B120" s="6" t="s">
        <v>329</v>
      </c>
      <c r="C120" s="6" t="n">
        <v>55</v>
      </c>
      <c r="D120" s="25" t="n">
        <f aca="false">EDATE('Start Here'!$B$6,C120-1)</f>
        <v>47969</v>
      </c>
      <c r="E120" s="11" t="n">
        <f aca="false">IF(AND(C120&gt;=Staffing!$F$7,C120&lt;=Staffing!$G$7,1=1),IF(C120&lt;=6,Staffing!$H$7,IF(C120&lt;=15,Staffing!$I$7,IF(C120&lt;=30,Staffing!$J$7,Staffing!$K$7))),0)</f>
        <v>1</v>
      </c>
      <c r="F120" s="10" t="n">
        <f aca="false">E120*Staffing!$L$7/12*(1+Assumptions!$C$10)^INT((C120-1)/12)*1</f>
        <v>15475.7461375</v>
      </c>
      <c r="G120" s="10" t="n">
        <f aca="false">F120*Staffing!$N$7</f>
        <v>6190.298455</v>
      </c>
      <c r="H120" s="10" t="n">
        <f aca="false">F120+G120</f>
        <v>21666.0445925</v>
      </c>
      <c r="I120" s="10" t="n">
        <f aca="false">0</f>
        <v>0</v>
      </c>
      <c r="J120" s="10" t="n">
        <f aca="false">MAX(0,E120-E119)*Staffing!$O$7</f>
        <v>0</v>
      </c>
      <c r="K120" s="10" t="n">
        <f aca="false">MAX(0,E120-E119)*Staffing!$P$7</f>
        <v>0</v>
      </c>
      <c r="L120" s="23" t="n">
        <f aca="false">ROUNDUP(E120,0)</f>
        <v>1</v>
      </c>
    </row>
    <row r="121" customFormat="false" ht="15" hidden="false" customHeight="false" outlineLevel="0" collapsed="false">
      <c r="A121" s="6" t="s">
        <v>72</v>
      </c>
      <c r="B121" s="6" t="s">
        <v>329</v>
      </c>
      <c r="C121" s="6" t="n">
        <v>56</v>
      </c>
      <c r="D121" s="25" t="n">
        <f aca="false">EDATE('Start Here'!$B$6,C121-1)</f>
        <v>48000</v>
      </c>
      <c r="E121" s="11" t="n">
        <f aca="false">IF(AND(C121&gt;=Staffing!$F$7,C121&lt;=Staffing!$G$7,1=1),IF(C121&lt;=6,Staffing!$H$7,IF(C121&lt;=15,Staffing!$I$7,IF(C121&lt;=30,Staffing!$J$7,Staffing!$K$7))),0)</f>
        <v>1</v>
      </c>
      <c r="F121" s="10" t="n">
        <f aca="false">E121*Staffing!$L$7/12*(1+Assumptions!$C$10)^INT((C121-1)/12)*1</f>
        <v>15475.7461375</v>
      </c>
      <c r="G121" s="10" t="n">
        <f aca="false">F121*Staffing!$N$7</f>
        <v>6190.298455</v>
      </c>
      <c r="H121" s="10" t="n">
        <f aca="false">F121+G121</f>
        <v>21666.0445925</v>
      </c>
      <c r="I121" s="10" t="n">
        <f aca="false">0</f>
        <v>0</v>
      </c>
      <c r="J121" s="10" t="n">
        <f aca="false">MAX(0,E121-E120)*Staffing!$O$7</f>
        <v>0</v>
      </c>
      <c r="K121" s="10" t="n">
        <f aca="false">MAX(0,E121-E120)*Staffing!$P$7</f>
        <v>0</v>
      </c>
      <c r="L121" s="23" t="n">
        <f aca="false">ROUNDUP(E121,0)</f>
        <v>1</v>
      </c>
    </row>
    <row r="122" customFormat="false" ht="15" hidden="false" customHeight="false" outlineLevel="0" collapsed="false">
      <c r="A122" s="6" t="s">
        <v>72</v>
      </c>
      <c r="B122" s="6" t="s">
        <v>329</v>
      </c>
      <c r="C122" s="6" t="n">
        <v>57</v>
      </c>
      <c r="D122" s="25" t="n">
        <f aca="false">EDATE('Start Here'!$B$6,C122-1)</f>
        <v>48030</v>
      </c>
      <c r="E122" s="11" t="n">
        <f aca="false">IF(AND(C122&gt;=Staffing!$F$7,C122&lt;=Staffing!$G$7,1=1),IF(C122&lt;=6,Staffing!$H$7,IF(C122&lt;=15,Staffing!$I$7,IF(C122&lt;=30,Staffing!$J$7,Staffing!$K$7))),0)</f>
        <v>1</v>
      </c>
      <c r="F122" s="10" t="n">
        <f aca="false">E122*Staffing!$L$7/12*(1+Assumptions!$C$10)^INT((C122-1)/12)*1</f>
        <v>15475.7461375</v>
      </c>
      <c r="G122" s="10" t="n">
        <f aca="false">F122*Staffing!$N$7</f>
        <v>6190.298455</v>
      </c>
      <c r="H122" s="10" t="n">
        <f aca="false">F122+G122</f>
        <v>21666.0445925</v>
      </c>
      <c r="I122" s="10" t="n">
        <f aca="false">0</f>
        <v>0</v>
      </c>
      <c r="J122" s="10" t="n">
        <f aca="false">MAX(0,E122-E121)*Staffing!$O$7</f>
        <v>0</v>
      </c>
      <c r="K122" s="10" t="n">
        <f aca="false">MAX(0,E122-E121)*Staffing!$P$7</f>
        <v>0</v>
      </c>
      <c r="L122" s="23" t="n">
        <f aca="false">ROUNDUP(E122,0)</f>
        <v>1</v>
      </c>
    </row>
    <row r="123" customFormat="false" ht="15" hidden="false" customHeight="false" outlineLevel="0" collapsed="false">
      <c r="A123" s="6" t="s">
        <v>72</v>
      </c>
      <c r="B123" s="6" t="s">
        <v>329</v>
      </c>
      <c r="C123" s="6" t="n">
        <v>58</v>
      </c>
      <c r="D123" s="25" t="n">
        <f aca="false">EDATE('Start Here'!$B$6,C123-1)</f>
        <v>48061</v>
      </c>
      <c r="E123" s="11" t="n">
        <f aca="false">IF(AND(C123&gt;=Staffing!$F$7,C123&lt;=Staffing!$G$7,1=1),IF(C123&lt;=6,Staffing!$H$7,IF(C123&lt;=15,Staffing!$I$7,IF(C123&lt;=30,Staffing!$J$7,Staffing!$K$7))),0)</f>
        <v>1</v>
      </c>
      <c r="F123" s="10" t="n">
        <f aca="false">E123*Staffing!$L$7/12*(1+Assumptions!$C$10)^INT((C123-1)/12)*1</f>
        <v>15475.7461375</v>
      </c>
      <c r="G123" s="10" t="n">
        <f aca="false">F123*Staffing!$N$7</f>
        <v>6190.298455</v>
      </c>
      <c r="H123" s="10" t="n">
        <f aca="false">F123+G123</f>
        <v>21666.0445925</v>
      </c>
      <c r="I123" s="10" t="n">
        <f aca="false">0</f>
        <v>0</v>
      </c>
      <c r="J123" s="10" t="n">
        <f aca="false">MAX(0,E123-E122)*Staffing!$O$7</f>
        <v>0</v>
      </c>
      <c r="K123" s="10" t="n">
        <f aca="false">MAX(0,E123-E122)*Staffing!$P$7</f>
        <v>0</v>
      </c>
      <c r="L123" s="23" t="n">
        <f aca="false">ROUNDUP(E123,0)</f>
        <v>1</v>
      </c>
    </row>
    <row r="124" customFormat="false" ht="15" hidden="false" customHeight="false" outlineLevel="0" collapsed="false">
      <c r="A124" s="6" t="s">
        <v>72</v>
      </c>
      <c r="B124" s="6" t="s">
        <v>329</v>
      </c>
      <c r="C124" s="6" t="n">
        <v>59</v>
      </c>
      <c r="D124" s="25" t="n">
        <f aca="false">EDATE('Start Here'!$B$6,C124-1)</f>
        <v>48092</v>
      </c>
      <c r="E124" s="11" t="n">
        <f aca="false">IF(AND(C124&gt;=Staffing!$F$7,C124&lt;=Staffing!$G$7,1=1),IF(C124&lt;=6,Staffing!$H$7,IF(C124&lt;=15,Staffing!$I$7,IF(C124&lt;=30,Staffing!$J$7,Staffing!$K$7))),0)</f>
        <v>1</v>
      </c>
      <c r="F124" s="10" t="n">
        <f aca="false">E124*Staffing!$L$7/12*(1+Assumptions!$C$10)^INT((C124-1)/12)*1</f>
        <v>15475.7461375</v>
      </c>
      <c r="G124" s="10" t="n">
        <f aca="false">F124*Staffing!$N$7</f>
        <v>6190.298455</v>
      </c>
      <c r="H124" s="10" t="n">
        <f aca="false">F124+G124</f>
        <v>21666.0445925</v>
      </c>
      <c r="I124" s="10" t="n">
        <f aca="false">0</f>
        <v>0</v>
      </c>
      <c r="J124" s="10" t="n">
        <f aca="false">MAX(0,E124-E123)*Staffing!$O$7</f>
        <v>0</v>
      </c>
      <c r="K124" s="10" t="n">
        <f aca="false">MAX(0,E124-E123)*Staffing!$P$7</f>
        <v>0</v>
      </c>
      <c r="L124" s="23" t="n">
        <f aca="false">ROUNDUP(E124,0)</f>
        <v>1</v>
      </c>
    </row>
    <row r="125" customFormat="false" ht="15" hidden="false" customHeight="false" outlineLevel="0" collapsed="false">
      <c r="A125" s="6" t="s">
        <v>72</v>
      </c>
      <c r="B125" s="6" t="s">
        <v>329</v>
      </c>
      <c r="C125" s="6" t="n">
        <v>60</v>
      </c>
      <c r="D125" s="25" t="n">
        <f aca="false">EDATE('Start Here'!$B$6,C125-1)</f>
        <v>48122</v>
      </c>
      <c r="E125" s="11" t="n">
        <f aca="false">IF(AND(C125&gt;=Staffing!$F$7,C125&lt;=Staffing!$G$7,1=1),IF(C125&lt;=6,Staffing!$H$7,IF(C125&lt;=15,Staffing!$I$7,IF(C125&lt;=30,Staffing!$J$7,Staffing!$K$7))),0)</f>
        <v>1</v>
      </c>
      <c r="F125" s="10" t="n">
        <f aca="false">E125*Staffing!$L$7/12*(1+Assumptions!$C$10)^INT((C125-1)/12)*1</f>
        <v>15475.7461375</v>
      </c>
      <c r="G125" s="10" t="n">
        <f aca="false">F125*Staffing!$N$7</f>
        <v>6190.298455</v>
      </c>
      <c r="H125" s="10" t="n">
        <f aca="false">F125+G125</f>
        <v>21666.0445925</v>
      </c>
      <c r="I125" s="10" t="n">
        <f aca="false">0</f>
        <v>0</v>
      </c>
      <c r="J125" s="10" t="n">
        <f aca="false">MAX(0,E125-E124)*Staffing!$O$7</f>
        <v>0</v>
      </c>
      <c r="K125" s="10" t="n">
        <f aca="false">MAX(0,E125-E124)*Staffing!$P$7</f>
        <v>0</v>
      </c>
      <c r="L125" s="23" t="n">
        <f aca="false">ROUNDUP(E125,0)</f>
        <v>1</v>
      </c>
    </row>
    <row r="126" customFormat="false" ht="15" hidden="false" customHeight="false" outlineLevel="0" collapsed="false">
      <c r="A126" s="6" t="s">
        <v>72</v>
      </c>
      <c r="B126" s="6" t="s">
        <v>332</v>
      </c>
      <c r="C126" s="6" t="n">
        <v>1</v>
      </c>
      <c r="D126" s="25" t="n">
        <f aca="false">EDATE('Start Here'!$B$6,C126-1)</f>
        <v>46327</v>
      </c>
      <c r="E126" s="23" t="n">
        <f aca="false">IF(AND(C126&gt;=Staffing!$F$8,C126&lt;=Staffing!$G$8,1=1),IF(C126&lt;=6,Staffing!$H$8,IF(C126&lt;=15,Staffing!$I$8,IF(C126&lt;=30,Staffing!$J$8,Staffing!$K$8))),0)</f>
        <v>0</v>
      </c>
      <c r="F126" s="10" t="n">
        <f aca="false">E126*Staffing!$L$8/12*(1+Assumptions!$C$10)^INT((C126-1)/12)*1</f>
        <v>0</v>
      </c>
      <c r="G126" s="10" t="n">
        <f aca="false">F126*Staffing!$N$8</f>
        <v>0</v>
      </c>
      <c r="H126" s="10" t="n">
        <f aca="false">F126+G126</f>
        <v>0</v>
      </c>
      <c r="I126" s="10" t="n">
        <f aca="false">0</f>
        <v>0</v>
      </c>
      <c r="J126" s="10" t="n">
        <f aca="false">MAX(0,E126-0)*Staffing!$O$8</f>
        <v>0</v>
      </c>
      <c r="K126" s="10" t="n">
        <f aca="false">MAX(0,E126-0)*Staffing!$P$8</f>
        <v>0</v>
      </c>
      <c r="L126" s="23" t="n">
        <f aca="false">ROUNDUP(E126,0)</f>
        <v>0</v>
      </c>
    </row>
    <row r="127" customFormat="false" ht="15" hidden="false" customHeight="false" outlineLevel="0" collapsed="false">
      <c r="A127" s="6" t="s">
        <v>72</v>
      </c>
      <c r="B127" s="6" t="s">
        <v>332</v>
      </c>
      <c r="C127" s="6" t="n">
        <v>2</v>
      </c>
      <c r="D127" s="25" t="n">
        <f aca="false">EDATE('Start Here'!$B$6,C127-1)</f>
        <v>46357</v>
      </c>
      <c r="E127" s="23" t="n">
        <f aca="false">IF(AND(C127&gt;=Staffing!$F$8,C127&lt;=Staffing!$G$8,1=1),IF(C127&lt;=6,Staffing!$H$8,IF(C127&lt;=15,Staffing!$I$8,IF(C127&lt;=30,Staffing!$J$8,Staffing!$K$8))),0)</f>
        <v>0</v>
      </c>
      <c r="F127" s="10" t="n">
        <f aca="false">E127*Staffing!$L$8/12*(1+Assumptions!$C$10)^INT((C127-1)/12)*1</f>
        <v>0</v>
      </c>
      <c r="G127" s="10" t="n">
        <f aca="false">F127*Staffing!$N$8</f>
        <v>0</v>
      </c>
      <c r="H127" s="10" t="n">
        <f aca="false">F127+G127</f>
        <v>0</v>
      </c>
      <c r="I127" s="10" t="n">
        <f aca="false">0</f>
        <v>0</v>
      </c>
      <c r="J127" s="10" t="n">
        <f aca="false">MAX(0,E127-E126)*Staffing!$O$8</f>
        <v>0</v>
      </c>
      <c r="K127" s="10" t="n">
        <f aca="false">MAX(0,E127-E126)*Staffing!$P$8</f>
        <v>0</v>
      </c>
      <c r="L127" s="23" t="n">
        <f aca="false">ROUNDUP(E127,0)</f>
        <v>0</v>
      </c>
    </row>
    <row r="128" customFormat="false" ht="15" hidden="false" customHeight="false" outlineLevel="0" collapsed="false">
      <c r="A128" s="6" t="s">
        <v>72</v>
      </c>
      <c r="B128" s="6" t="s">
        <v>332</v>
      </c>
      <c r="C128" s="6" t="n">
        <v>3</v>
      </c>
      <c r="D128" s="25" t="n">
        <f aca="false">EDATE('Start Here'!$B$6,C128-1)</f>
        <v>46388</v>
      </c>
      <c r="E128" s="23" t="n">
        <f aca="false">IF(AND(C128&gt;=Staffing!$F$8,C128&lt;=Staffing!$G$8,1=1),IF(C128&lt;=6,Staffing!$H$8,IF(C128&lt;=15,Staffing!$I$8,IF(C128&lt;=30,Staffing!$J$8,Staffing!$K$8))),0)</f>
        <v>0</v>
      </c>
      <c r="F128" s="10" t="n">
        <f aca="false">E128*Staffing!$L$8/12*(1+Assumptions!$C$10)^INT((C128-1)/12)*1</f>
        <v>0</v>
      </c>
      <c r="G128" s="10" t="n">
        <f aca="false">F128*Staffing!$N$8</f>
        <v>0</v>
      </c>
      <c r="H128" s="10" t="n">
        <f aca="false">F128+G128</f>
        <v>0</v>
      </c>
      <c r="I128" s="10" t="n">
        <f aca="false">0</f>
        <v>0</v>
      </c>
      <c r="J128" s="10" t="n">
        <f aca="false">MAX(0,E128-E127)*Staffing!$O$8</f>
        <v>0</v>
      </c>
      <c r="K128" s="10" t="n">
        <f aca="false">MAX(0,E128-E127)*Staffing!$P$8</f>
        <v>0</v>
      </c>
      <c r="L128" s="23" t="n">
        <f aca="false">ROUNDUP(E128,0)</f>
        <v>0</v>
      </c>
    </row>
    <row r="129" customFormat="false" ht="15" hidden="false" customHeight="false" outlineLevel="0" collapsed="false">
      <c r="A129" s="6" t="s">
        <v>72</v>
      </c>
      <c r="B129" s="6" t="s">
        <v>332</v>
      </c>
      <c r="C129" s="6" t="n">
        <v>4</v>
      </c>
      <c r="D129" s="25" t="n">
        <f aca="false">EDATE('Start Here'!$B$6,C129-1)</f>
        <v>46419</v>
      </c>
      <c r="E129" s="11" t="n">
        <f aca="false">IF(AND(C129&gt;=Staffing!$F$8,C129&lt;=Staffing!$G$8,1=1),IF(C129&lt;=6,Staffing!$H$8,IF(C129&lt;=15,Staffing!$I$8,IF(C129&lt;=30,Staffing!$J$8,Staffing!$K$8))),0)</f>
        <v>0.5</v>
      </c>
      <c r="F129" s="10" t="n">
        <f aca="false">E129*Staffing!$L$8/12*(1+Assumptions!$C$10)^INT((C129-1)/12)*1</f>
        <v>6041.66666666667</v>
      </c>
      <c r="G129" s="10" t="n">
        <f aca="false">F129*Staffing!$N$8</f>
        <v>2416.66666666667</v>
      </c>
      <c r="H129" s="10" t="n">
        <f aca="false">F129+G129</f>
        <v>8458.33333333333</v>
      </c>
      <c r="I129" s="10" t="n">
        <f aca="false">0</f>
        <v>0</v>
      </c>
      <c r="J129" s="10" t="n">
        <f aca="false">MAX(0,E129-E128)*Staffing!$O$8</f>
        <v>2500</v>
      </c>
      <c r="K129" s="10" t="n">
        <f aca="false">MAX(0,E129-E128)*Staffing!$P$8</f>
        <v>1250</v>
      </c>
      <c r="L129" s="23" t="n">
        <f aca="false">ROUNDUP(E129,0)</f>
        <v>1</v>
      </c>
    </row>
    <row r="130" customFormat="false" ht="15" hidden="false" customHeight="false" outlineLevel="0" collapsed="false">
      <c r="A130" s="6" t="s">
        <v>72</v>
      </c>
      <c r="B130" s="6" t="s">
        <v>332</v>
      </c>
      <c r="C130" s="6" t="n">
        <v>5</v>
      </c>
      <c r="D130" s="25" t="n">
        <f aca="false">EDATE('Start Here'!$B$6,C130-1)</f>
        <v>46447</v>
      </c>
      <c r="E130" s="11" t="n">
        <f aca="false">IF(AND(C130&gt;=Staffing!$F$8,C130&lt;=Staffing!$G$8,1=1),IF(C130&lt;=6,Staffing!$H$8,IF(C130&lt;=15,Staffing!$I$8,IF(C130&lt;=30,Staffing!$J$8,Staffing!$K$8))),0)</f>
        <v>0.5</v>
      </c>
      <c r="F130" s="10" t="n">
        <f aca="false">E130*Staffing!$L$8/12*(1+Assumptions!$C$10)^INT((C130-1)/12)*1</f>
        <v>6041.66666666667</v>
      </c>
      <c r="G130" s="10" t="n">
        <f aca="false">F130*Staffing!$N$8</f>
        <v>2416.66666666667</v>
      </c>
      <c r="H130" s="10" t="n">
        <f aca="false">F130+G130</f>
        <v>8458.33333333333</v>
      </c>
      <c r="I130" s="10" t="n">
        <f aca="false">0</f>
        <v>0</v>
      </c>
      <c r="J130" s="10" t="n">
        <f aca="false">MAX(0,E130-E129)*Staffing!$O$8</f>
        <v>0</v>
      </c>
      <c r="K130" s="10" t="n">
        <f aca="false">MAX(0,E130-E129)*Staffing!$P$8</f>
        <v>0</v>
      </c>
      <c r="L130" s="23" t="n">
        <f aca="false">ROUNDUP(E130,0)</f>
        <v>1</v>
      </c>
    </row>
    <row r="131" customFormat="false" ht="15" hidden="false" customHeight="false" outlineLevel="0" collapsed="false">
      <c r="A131" s="6" t="s">
        <v>72</v>
      </c>
      <c r="B131" s="6" t="s">
        <v>332</v>
      </c>
      <c r="C131" s="6" t="n">
        <v>6</v>
      </c>
      <c r="D131" s="25" t="n">
        <f aca="false">EDATE('Start Here'!$B$6,C131-1)</f>
        <v>46478</v>
      </c>
      <c r="E131" s="11" t="n">
        <f aca="false">IF(AND(C131&gt;=Staffing!$F$8,C131&lt;=Staffing!$G$8,1=1),IF(C131&lt;=6,Staffing!$H$8,IF(C131&lt;=15,Staffing!$I$8,IF(C131&lt;=30,Staffing!$J$8,Staffing!$K$8))),0)</f>
        <v>0.5</v>
      </c>
      <c r="F131" s="10" t="n">
        <f aca="false">E131*Staffing!$L$8/12*(1+Assumptions!$C$10)^INT((C131-1)/12)*1</f>
        <v>6041.66666666667</v>
      </c>
      <c r="G131" s="10" t="n">
        <f aca="false">F131*Staffing!$N$8</f>
        <v>2416.66666666667</v>
      </c>
      <c r="H131" s="10" t="n">
        <f aca="false">F131+G131</f>
        <v>8458.33333333333</v>
      </c>
      <c r="I131" s="10" t="n">
        <f aca="false">0</f>
        <v>0</v>
      </c>
      <c r="J131" s="10" t="n">
        <f aca="false">MAX(0,E131-E130)*Staffing!$O$8</f>
        <v>0</v>
      </c>
      <c r="K131" s="10" t="n">
        <f aca="false">MAX(0,E131-E130)*Staffing!$P$8</f>
        <v>0</v>
      </c>
      <c r="L131" s="23" t="n">
        <f aca="false">ROUNDUP(E131,0)</f>
        <v>1</v>
      </c>
    </row>
    <row r="132" customFormat="false" ht="15" hidden="false" customHeight="false" outlineLevel="0" collapsed="false">
      <c r="A132" s="6" t="s">
        <v>72</v>
      </c>
      <c r="B132" s="6" t="s">
        <v>332</v>
      </c>
      <c r="C132" s="6" t="n">
        <v>7</v>
      </c>
      <c r="D132" s="25" t="n">
        <f aca="false">EDATE('Start Here'!$B$6,C132-1)</f>
        <v>46508</v>
      </c>
      <c r="E132" s="11" t="n">
        <f aca="false">IF(AND(C132&gt;=Staffing!$F$8,C132&lt;=Staffing!$G$8,1=1),IF(C132&lt;=6,Staffing!$H$8,IF(C132&lt;=15,Staffing!$I$8,IF(C132&lt;=30,Staffing!$J$8,Staffing!$K$8))),0)</f>
        <v>0.75</v>
      </c>
      <c r="F132" s="10" t="n">
        <f aca="false">E132*Staffing!$L$8/12*(1+Assumptions!$C$10)^INT((C132-1)/12)*1</f>
        <v>9062.5</v>
      </c>
      <c r="G132" s="10" t="n">
        <f aca="false">F132*Staffing!$N$8</f>
        <v>3625</v>
      </c>
      <c r="H132" s="10" t="n">
        <f aca="false">F132+G132</f>
        <v>12687.5</v>
      </c>
      <c r="I132" s="10" t="n">
        <f aca="false">0</f>
        <v>0</v>
      </c>
      <c r="J132" s="10" t="n">
        <f aca="false">MAX(0,E132-E131)*Staffing!$O$8</f>
        <v>1250</v>
      </c>
      <c r="K132" s="10" t="n">
        <f aca="false">MAX(0,E132-E131)*Staffing!$P$8</f>
        <v>625</v>
      </c>
      <c r="L132" s="23" t="n">
        <f aca="false">ROUNDUP(E132,0)</f>
        <v>1</v>
      </c>
    </row>
    <row r="133" customFormat="false" ht="15" hidden="false" customHeight="false" outlineLevel="0" collapsed="false">
      <c r="A133" s="6" t="s">
        <v>72</v>
      </c>
      <c r="B133" s="6" t="s">
        <v>332</v>
      </c>
      <c r="C133" s="6" t="n">
        <v>8</v>
      </c>
      <c r="D133" s="25" t="n">
        <f aca="false">EDATE('Start Here'!$B$6,C133-1)</f>
        <v>46539</v>
      </c>
      <c r="E133" s="11" t="n">
        <f aca="false">IF(AND(C133&gt;=Staffing!$F$8,C133&lt;=Staffing!$G$8,1=1),IF(C133&lt;=6,Staffing!$H$8,IF(C133&lt;=15,Staffing!$I$8,IF(C133&lt;=30,Staffing!$J$8,Staffing!$K$8))),0)</f>
        <v>0.75</v>
      </c>
      <c r="F133" s="10" t="n">
        <f aca="false">E133*Staffing!$L$8/12*(1+Assumptions!$C$10)^INT((C133-1)/12)*1</f>
        <v>9062.5</v>
      </c>
      <c r="G133" s="10" t="n">
        <f aca="false">F133*Staffing!$N$8</f>
        <v>3625</v>
      </c>
      <c r="H133" s="10" t="n">
        <f aca="false">F133+G133</f>
        <v>12687.5</v>
      </c>
      <c r="I133" s="10" t="n">
        <f aca="false">0</f>
        <v>0</v>
      </c>
      <c r="J133" s="10" t="n">
        <f aca="false">MAX(0,E133-E132)*Staffing!$O$8</f>
        <v>0</v>
      </c>
      <c r="K133" s="10" t="n">
        <f aca="false">MAX(0,E133-E132)*Staffing!$P$8</f>
        <v>0</v>
      </c>
      <c r="L133" s="23" t="n">
        <f aca="false">ROUNDUP(E133,0)</f>
        <v>1</v>
      </c>
    </row>
    <row r="134" customFormat="false" ht="15" hidden="false" customHeight="false" outlineLevel="0" collapsed="false">
      <c r="A134" s="6" t="s">
        <v>72</v>
      </c>
      <c r="B134" s="6" t="s">
        <v>332</v>
      </c>
      <c r="C134" s="6" t="n">
        <v>9</v>
      </c>
      <c r="D134" s="25" t="n">
        <f aca="false">EDATE('Start Here'!$B$6,C134-1)</f>
        <v>46569</v>
      </c>
      <c r="E134" s="11" t="n">
        <f aca="false">IF(AND(C134&gt;=Staffing!$F$8,C134&lt;=Staffing!$G$8,1=1),IF(C134&lt;=6,Staffing!$H$8,IF(C134&lt;=15,Staffing!$I$8,IF(C134&lt;=30,Staffing!$J$8,Staffing!$K$8))),0)</f>
        <v>0.75</v>
      </c>
      <c r="F134" s="10" t="n">
        <f aca="false">E134*Staffing!$L$8/12*(1+Assumptions!$C$10)^INT((C134-1)/12)*1</f>
        <v>9062.5</v>
      </c>
      <c r="G134" s="10" t="n">
        <f aca="false">F134*Staffing!$N$8</f>
        <v>3625</v>
      </c>
      <c r="H134" s="10" t="n">
        <f aca="false">F134+G134</f>
        <v>12687.5</v>
      </c>
      <c r="I134" s="10" t="n">
        <f aca="false">0</f>
        <v>0</v>
      </c>
      <c r="J134" s="10" t="n">
        <f aca="false">MAX(0,E134-E133)*Staffing!$O$8</f>
        <v>0</v>
      </c>
      <c r="K134" s="10" t="n">
        <f aca="false">MAX(0,E134-E133)*Staffing!$P$8</f>
        <v>0</v>
      </c>
      <c r="L134" s="23" t="n">
        <f aca="false">ROUNDUP(E134,0)</f>
        <v>1</v>
      </c>
    </row>
    <row r="135" customFormat="false" ht="15" hidden="false" customHeight="false" outlineLevel="0" collapsed="false">
      <c r="A135" s="6" t="s">
        <v>72</v>
      </c>
      <c r="B135" s="6" t="s">
        <v>332</v>
      </c>
      <c r="C135" s="6" t="n">
        <v>10</v>
      </c>
      <c r="D135" s="25" t="n">
        <f aca="false">EDATE('Start Here'!$B$6,C135-1)</f>
        <v>46600</v>
      </c>
      <c r="E135" s="11" t="n">
        <f aca="false">IF(AND(C135&gt;=Staffing!$F$8,C135&lt;=Staffing!$G$8,1=1),IF(C135&lt;=6,Staffing!$H$8,IF(C135&lt;=15,Staffing!$I$8,IF(C135&lt;=30,Staffing!$J$8,Staffing!$K$8))),0)</f>
        <v>0.75</v>
      </c>
      <c r="F135" s="10" t="n">
        <f aca="false">E135*Staffing!$L$8/12*(1+Assumptions!$C$10)^INT((C135-1)/12)*1</f>
        <v>9062.5</v>
      </c>
      <c r="G135" s="10" t="n">
        <f aca="false">F135*Staffing!$N$8</f>
        <v>3625</v>
      </c>
      <c r="H135" s="10" t="n">
        <f aca="false">F135+G135</f>
        <v>12687.5</v>
      </c>
      <c r="I135" s="10" t="n">
        <f aca="false">0</f>
        <v>0</v>
      </c>
      <c r="J135" s="10" t="n">
        <f aca="false">MAX(0,E135-E134)*Staffing!$O$8</f>
        <v>0</v>
      </c>
      <c r="K135" s="10" t="n">
        <f aca="false">MAX(0,E135-E134)*Staffing!$P$8</f>
        <v>0</v>
      </c>
      <c r="L135" s="23" t="n">
        <f aca="false">ROUNDUP(E135,0)</f>
        <v>1</v>
      </c>
    </row>
    <row r="136" customFormat="false" ht="15" hidden="false" customHeight="false" outlineLevel="0" collapsed="false">
      <c r="A136" s="6" t="s">
        <v>72</v>
      </c>
      <c r="B136" s="6" t="s">
        <v>332</v>
      </c>
      <c r="C136" s="6" t="n">
        <v>11</v>
      </c>
      <c r="D136" s="25" t="n">
        <f aca="false">EDATE('Start Here'!$B$6,C136-1)</f>
        <v>46631</v>
      </c>
      <c r="E136" s="11" t="n">
        <f aca="false">IF(AND(C136&gt;=Staffing!$F$8,C136&lt;=Staffing!$G$8,1=1),IF(C136&lt;=6,Staffing!$H$8,IF(C136&lt;=15,Staffing!$I$8,IF(C136&lt;=30,Staffing!$J$8,Staffing!$K$8))),0)</f>
        <v>0.75</v>
      </c>
      <c r="F136" s="10" t="n">
        <f aca="false">E136*Staffing!$L$8/12*(1+Assumptions!$C$10)^INT((C136-1)/12)*1</f>
        <v>9062.5</v>
      </c>
      <c r="G136" s="10" t="n">
        <f aca="false">F136*Staffing!$N$8</f>
        <v>3625</v>
      </c>
      <c r="H136" s="10" t="n">
        <f aca="false">F136+G136</f>
        <v>12687.5</v>
      </c>
      <c r="I136" s="10" t="n">
        <f aca="false">0</f>
        <v>0</v>
      </c>
      <c r="J136" s="10" t="n">
        <f aca="false">MAX(0,E136-E135)*Staffing!$O$8</f>
        <v>0</v>
      </c>
      <c r="K136" s="10" t="n">
        <f aca="false">MAX(0,E136-E135)*Staffing!$P$8</f>
        <v>0</v>
      </c>
      <c r="L136" s="23" t="n">
        <f aca="false">ROUNDUP(E136,0)</f>
        <v>1</v>
      </c>
    </row>
    <row r="137" customFormat="false" ht="15" hidden="false" customHeight="false" outlineLevel="0" collapsed="false">
      <c r="A137" s="6" t="s">
        <v>72</v>
      </c>
      <c r="B137" s="6" t="s">
        <v>332</v>
      </c>
      <c r="C137" s="6" t="n">
        <v>12</v>
      </c>
      <c r="D137" s="25" t="n">
        <f aca="false">EDATE('Start Here'!$B$6,C137-1)</f>
        <v>46661</v>
      </c>
      <c r="E137" s="11" t="n">
        <f aca="false">IF(AND(C137&gt;=Staffing!$F$8,C137&lt;=Staffing!$G$8,1=1),IF(C137&lt;=6,Staffing!$H$8,IF(C137&lt;=15,Staffing!$I$8,IF(C137&lt;=30,Staffing!$J$8,Staffing!$K$8))),0)</f>
        <v>0.75</v>
      </c>
      <c r="F137" s="10" t="n">
        <f aca="false">E137*Staffing!$L$8/12*(1+Assumptions!$C$10)^INT((C137-1)/12)*1</f>
        <v>9062.5</v>
      </c>
      <c r="G137" s="10" t="n">
        <f aca="false">F137*Staffing!$N$8</f>
        <v>3625</v>
      </c>
      <c r="H137" s="10" t="n">
        <f aca="false">F137+G137</f>
        <v>12687.5</v>
      </c>
      <c r="I137" s="10" t="n">
        <f aca="false">0</f>
        <v>0</v>
      </c>
      <c r="J137" s="10" t="n">
        <f aca="false">MAX(0,E137-E136)*Staffing!$O$8</f>
        <v>0</v>
      </c>
      <c r="K137" s="10" t="n">
        <f aca="false">MAX(0,E137-E136)*Staffing!$P$8</f>
        <v>0</v>
      </c>
      <c r="L137" s="23" t="n">
        <f aca="false">ROUNDUP(E137,0)</f>
        <v>1</v>
      </c>
    </row>
    <row r="138" customFormat="false" ht="15" hidden="false" customHeight="false" outlineLevel="0" collapsed="false">
      <c r="A138" s="6" t="s">
        <v>72</v>
      </c>
      <c r="B138" s="6" t="s">
        <v>332</v>
      </c>
      <c r="C138" s="6" t="n">
        <v>13</v>
      </c>
      <c r="D138" s="25" t="n">
        <f aca="false">EDATE('Start Here'!$B$6,C138-1)</f>
        <v>46692</v>
      </c>
      <c r="E138" s="11" t="n">
        <f aca="false">IF(AND(C138&gt;=Staffing!$F$8,C138&lt;=Staffing!$G$8,1=1),IF(C138&lt;=6,Staffing!$H$8,IF(C138&lt;=15,Staffing!$I$8,IF(C138&lt;=30,Staffing!$J$8,Staffing!$K$8))),0)</f>
        <v>0.75</v>
      </c>
      <c r="F138" s="10" t="n">
        <f aca="false">E138*Staffing!$L$8/12*(1+Assumptions!$C$10)^INT((C138-1)/12)*1</f>
        <v>9334.375</v>
      </c>
      <c r="G138" s="10" t="n">
        <f aca="false">F138*Staffing!$N$8</f>
        <v>3733.75</v>
      </c>
      <c r="H138" s="10" t="n">
        <f aca="false">F138+G138</f>
        <v>13068.125</v>
      </c>
      <c r="I138" s="10" t="n">
        <f aca="false">0</f>
        <v>0</v>
      </c>
      <c r="J138" s="10" t="n">
        <f aca="false">MAX(0,E138-E137)*Staffing!$O$8</f>
        <v>0</v>
      </c>
      <c r="K138" s="10" t="n">
        <f aca="false">MAX(0,E138-E137)*Staffing!$P$8</f>
        <v>0</v>
      </c>
      <c r="L138" s="23" t="n">
        <f aca="false">ROUNDUP(E138,0)</f>
        <v>1</v>
      </c>
    </row>
    <row r="139" customFormat="false" ht="15" hidden="false" customHeight="false" outlineLevel="0" collapsed="false">
      <c r="A139" s="6" t="s">
        <v>72</v>
      </c>
      <c r="B139" s="6" t="s">
        <v>332</v>
      </c>
      <c r="C139" s="6" t="n">
        <v>14</v>
      </c>
      <c r="D139" s="25" t="n">
        <f aca="false">EDATE('Start Here'!$B$6,C139-1)</f>
        <v>46722</v>
      </c>
      <c r="E139" s="11" t="n">
        <f aca="false">IF(AND(C139&gt;=Staffing!$F$8,C139&lt;=Staffing!$G$8,1=1),IF(C139&lt;=6,Staffing!$H$8,IF(C139&lt;=15,Staffing!$I$8,IF(C139&lt;=30,Staffing!$J$8,Staffing!$K$8))),0)</f>
        <v>0.75</v>
      </c>
      <c r="F139" s="10" t="n">
        <f aca="false">E139*Staffing!$L$8/12*(1+Assumptions!$C$10)^INT((C139-1)/12)*1</f>
        <v>9334.375</v>
      </c>
      <c r="G139" s="10" t="n">
        <f aca="false">F139*Staffing!$N$8</f>
        <v>3733.75</v>
      </c>
      <c r="H139" s="10" t="n">
        <f aca="false">F139+G139</f>
        <v>13068.125</v>
      </c>
      <c r="I139" s="10" t="n">
        <f aca="false">0</f>
        <v>0</v>
      </c>
      <c r="J139" s="10" t="n">
        <f aca="false">MAX(0,E139-E138)*Staffing!$O$8</f>
        <v>0</v>
      </c>
      <c r="K139" s="10" t="n">
        <f aca="false">MAX(0,E139-E138)*Staffing!$P$8</f>
        <v>0</v>
      </c>
      <c r="L139" s="23" t="n">
        <f aca="false">ROUNDUP(E139,0)</f>
        <v>1</v>
      </c>
    </row>
    <row r="140" customFormat="false" ht="15" hidden="false" customHeight="false" outlineLevel="0" collapsed="false">
      <c r="A140" s="6" t="s">
        <v>72</v>
      </c>
      <c r="B140" s="6" t="s">
        <v>332</v>
      </c>
      <c r="C140" s="6" t="n">
        <v>15</v>
      </c>
      <c r="D140" s="25" t="n">
        <f aca="false">EDATE('Start Here'!$B$6,C140-1)</f>
        <v>46753</v>
      </c>
      <c r="E140" s="11" t="n">
        <f aca="false">IF(AND(C140&gt;=Staffing!$F$8,C140&lt;=Staffing!$G$8,1=1),IF(C140&lt;=6,Staffing!$H$8,IF(C140&lt;=15,Staffing!$I$8,IF(C140&lt;=30,Staffing!$J$8,Staffing!$K$8))),0)</f>
        <v>0.75</v>
      </c>
      <c r="F140" s="10" t="n">
        <f aca="false">E140*Staffing!$L$8/12*(1+Assumptions!$C$10)^INT((C140-1)/12)*1</f>
        <v>9334.375</v>
      </c>
      <c r="G140" s="10" t="n">
        <f aca="false">F140*Staffing!$N$8</f>
        <v>3733.75</v>
      </c>
      <c r="H140" s="10" t="n">
        <f aca="false">F140+G140</f>
        <v>13068.125</v>
      </c>
      <c r="I140" s="10" t="n">
        <f aca="false">0</f>
        <v>0</v>
      </c>
      <c r="J140" s="10" t="n">
        <f aca="false">MAX(0,E140-E139)*Staffing!$O$8</f>
        <v>0</v>
      </c>
      <c r="K140" s="10" t="n">
        <f aca="false">MAX(0,E140-E139)*Staffing!$P$8</f>
        <v>0</v>
      </c>
      <c r="L140" s="23" t="n">
        <f aca="false">ROUNDUP(E140,0)</f>
        <v>1</v>
      </c>
    </row>
    <row r="141" customFormat="false" ht="15" hidden="false" customHeight="false" outlineLevel="0" collapsed="false">
      <c r="A141" s="6" t="s">
        <v>72</v>
      </c>
      <c r="B141" s="6" t="s">
        <v>332</v>
      </c>
      <c r="C141" s="6" t="n">
        <v>16</v>
      </c>
      <c r="D141" s="25" t="n">
        <f aca="false">EDATE('Start Here'!$B$6,C141-1)</f>
        <v>46784</v>
      </c>
      <c r="E141" s="11" t="n">
        <f aca="false">IF(AND(C141&gt;=Staffing!$F$8,C141&lt;=Staffing!$G$8,1=1),IF(C141&lt;=6,Staffing!$H$8,IF(C141&lt;=15,Staffing!$I$8,IF(C141&lt;=30,Staffing!$J$8,Staffing!$K$8))),0)</f>
        <v>1</v>
      </c>
      <c r="F141" s="10" t="n">
        <f aca="false">E141*Staffing!$L$8/12*(1+Assumptions!$C$10)^INT((C141-1)/12)*1</f>
        <v>12445.8333333333</v>
      </c>
      <c r="G141" s="10" t="n">
        <f aca="false">F141*Staffing!$N$8</f>
        <v>4978.33333333333</v>
      </c>
      <c r="H141" s="10" t="n">
        <f aca="false">F141+G141</f>
        <v>17424.1666666667</v>
      </c>
      <c r="I141" s="10" t="n">
        <f aca="false">0</f>
        <v>0</v>
      </c>
      <c r="J141" s="10" t="n">
        <f aca="false">MAX(0,E141-E140)*Staffing!$O$8</f>
        <v>1250</v>
      </c>
      <c r="K141" s="10" t="n">
        <f aca="false">MAX(0,E141-E140)*Staffing!$P$8</f>
        <v>625</v>
      </c>
      <c r="L141" s="23" t="n">
        <f aca="false">ROUNDUP(E141,0)</f>
        <v>1</v>
      </c>
    </row>
    <row r="142" customFormat="false" ht="15" hidden="false" customHeight="false" outlineLevel="0" collapsed="false">
      <c r="A142" s="6" t="s">
        <v>72</v>
      </c>
      <c r="B142" s="6" t="s">
        <v>332</v>
      </c>
      <c r="C142" s="6" t="n">
        <v>17</v>
      </c>
      <c r="D142" s="25" t="n">
        <f aca="false">EDATE('Start Here'!$B$6,C142-1)</f>
        <v>46813</v>
      </c>
      <c r="E142" s="11" t="n">
        <f aca="false">IF(AND(C142&gt;=Staffing!$F$8,C142&lt;=Staffing!$G$8,1=1),IF(C142&lt;=6,Staffing!$H$8,IF(C142&lt;=15,Staffing!$I$8,IF(C142&lt;=30,Staffing!$J$8,Staffing!$K$8))),0)</f>
        <v>1</v>
      </c>
      <c r="F142" s="10" t="n">
        <f aca="false">E142*Staffing!$L$8/12*(1+Assumptions!$C$10)^INT((C142-1)/12)*1</f>
        <v>12445.8333333333</v>
      </c>
      <c r="G142" s="10" t="n">
        <f aca="false">F142*Staffing!$N$8</f>
        <v>4978.33333333333</v>
      </c>
      <c r="H142" s="10" t="n">
        <f aca="false">F142+G142</f>
        <v>17424.1666666667</v>
      </c>
      <c r="I142" s="10" t="n">
        <f aca="false">0</f>
        <v>0</v>
      </c>
      <c r="J142" s="10" t="n">
        <f aca="false">MAX(0,E142-E141)*Staffing!$O$8</f>
        <v>0</v>
      </c>
      <c r="K142" s="10" t="n">
        <f aca="false">MAX(0,E142-E141)*Staffing!$P$8</f>
        <v>0</v>
      </c>
      <c r="L142" s="23" t="n">
        <f aca="false">ROUNDUP(E142,0)</f>
        <v>1</v>
      </c>
    </row>
    <row r="143" customFormat="false" ht="15" hidden="false" customHeight="false" outlineLevel="0" collapsed="false">
      <c r="A143" s="6" t="s">
        <v>72</v>
      </c>
      <c r="B143" s="6" t="s">
        <v>332</v>
      </c>
      <c r="C143" s="6" t="n">
        <v>18</v>
      </c>
      <c r="D143" s="25" t="n">
        <f aca="false">EDATE('Start Here'!$B$6,C143-1)</f>
        <v>46844</v>
      </c>
      <c r="E143" s="11" t="n">
        <f aca="false">IF(AND(C143&gt;=Staffing!$F$8,C143&lt;=Staffing!$G$8,1=1),IF(C143&lt;=6,Staffing!$H$8,IF(C143&lt;=15,Staffing!$I$8,IF(C143&lt;=30,Staffing!$J$8,Staffing!$K$8))),0)</f>
        <v>1</v>
      </c>
      <c r="F143" s="10" t="n">
        <f aca="false">E143*Staffing!$L$8/12*(1+Assumptions!$C$10)^INT((C143-1)/12)*1</f>
        <v>12445.8333333333</v>
      </c>
      <c r="G143" s="10" t="n">
        <f aca="false">F143*Staffing!$N$8</f>
        <v>4978.33333333333</v>
      </c>
      <c r="H143" s="10" t="n">
        <f aca="false">F143+G143</f>
        <v>17424.1666666667</v>
      </c>
      <c r="I143" s="10" t="n">
        <f aca="false">0</f>
        <v>0</v>
      </c>
      <c r="J143" s="10" t="n">
        <f aca="false">MAX(0,E143-E142)*Staffing!$O$8</f>
        <v>0</v>
      </c>
      <c r="K143" s="10" t="n">
        <f aca="false">MAX(0,E143-E142)*Staffing!$P$8</f>
        <v>0</v>
      </c>
      <c r="L143" s="23" t="n">
        <f aca="false">ROUNDUP(E143,0)</f>
        <v>1</v>
      </c>
    </row>
    <row r="144" customFormat="false" ht="15" hidden="false" customHeight="false" outlineLevel="0" collapsed="false">
      <c r="A144" s="6" t="s">
        <v>72</v>
      </c>
      <c r="B144" s="6" t="s">
        <v>332</v>
      </c>
      <c r="C144" s="6" t="n">
        <v>19</v>
      </c>
      <c r="D144" s="25" t="n">
        <f aca="false">EDATE('Start Here'!$B$6,C144-1)</f>
        <v>46874</v>
      </c>
      <c r="E144" s="11" t="n">
        <f aca="false">IF(AND(C144&gt;=Staffing!$F$8,C144&lt;=Staffing!$G$8,1=1),IF(C144&lt;=6,Staffing!$H$8,IF(C144&lt;=15,Staffing!$I$8,IF(C144&lt;=30,Staffing!$J$8,Staffing!$K$8))),0)</f>
        <v>1</v>
      </c>
      <c r="F144" s="10" t="n">
        <f aca="false">E144*Staffing!$L$8/12*(1+Assumptions!$C$10)^INT((C144-1)/12)*1</f>
        <v>12445.8333333333</v>
      </c>
      <c r="G144" s="10" t="n">
        <f aca="false">F144*Staffing!$N$8</f>
        <v>4978.33333333333</v>
      </c>
      <c r="H144" s="10" t="n">
        <f aca="false">F144+G144</f>
        <v>17424.1666666667</v>
      </c>
      <c r="I144" s="10" t="n">
        <f aca="false">0</f>
        <v>0</v>
      </c>
      <c r="J144" s="10" t="n">
        <f aca="false">MAX(0,E144-E143)*Staffing!$O$8</f>
        <v>0</v>
      </c>
      <c r="K144" s="10" t="n">
        <f aca="false">MAX(0,E144-E143)*Staffing!$P$8</f>
        <v>0</v>
      </c>
      <c r="L144" s="23" t="n">
        <f aca="false">ROUNDUP(E144,0)</f>
        <v>1</v>
      </c>
    </row>
    <row r="145" customFormat="false" ht="15" hidden="false" customHeight="false" outlineLevel="0" collapsed="false">
      <c r="A145" s="6" t="s">
        <v>72</v>
      </c>
      <c r="B145" s="6" t="s">
        <v>332</v>
      </c>
      <c r="C145" s="6" t="n">
        <v>20</v>
      </c>
      <c r="D145" s="25" t="n">
        <f aca="false">EDATE('Start Here'!$B$6,C145-1)</f>
        <v>46905</v>
      </c>
      <c r="E145" s="11" t="n">
        <f aca="false">IF(AND(C145&gt;=Staffing!$F$8,C145&lt;=Staffing!$G$8,1=1),IF(C145&lt;=6,Staffing!$H$8,IF(C145&lt;=15,Staffing!$I$8,IF(C145&lt;=30,Staffing!$J$8,Staffing!$K$8))),0)</f>
        <v>1</v>
      </c>
      <c r="F145" s="10" t="n">
        <f aca="false">E145*Staffing!$L$8/12*(1+Assumptions!$C$10)^INT((C145-1)/12)*1</f>
        <v>12445.8333333333</v>
      </c>
      <c r="G145" s="10" t="n">
        <f aca="false">F145*Staffing!$N$8</f>
        <v>4978.33333333333</v>
      </c>
      <c r="H145" s="10" t="n">
        <f aca="false">F145+G145</f>
        <v>17424.1666666667</v>
      </c>
      <c r="I145" s="10" t="n">
        <f aca="false">0</f>
        <v>0</v>
      </c>
      <c r="J145" s="10" t="n">
        <f aca="false">MAX(0,E145-E144)*Staffing!$O$8</f>
        <v>0</v>
      </c>
      <c r="K145" s="10" t="n">
        <f aca="false">MAX(0,E145-E144)*Staffing!$P$8</f>
        <v>0</v>
      </c>
      <c r="L145" s="23" t="n">
        <f aca="false">ROUNDUP(E145,0)</f>
        <v>1</v>
      </c>
    </row>
    <row r="146" customFormat="false" ht="15" hidden="false" customHeight="false" outlineLevel="0" collapsed="false">
      <c r="A146" s="6" t="s">
        <v>72</v>
      </c>
      <c r="B146" s="6" t="s">
        <v>332</v>
      </c>
      <c r="C146" s="6" t="n">
        <v>21</v>
      </c>
      <c r="D146" s="25" t="n">
        <f aca="false">EDATE('Start Here'!$B$6,C146-1)</f>
        <v>46935</v>
      </c>
      <c r="E146" s="11" t="n">
        <f aca="false">IF(AND(C146&gt;=Staffing!$F$8,C146&lt;=Staffing!$G$8,1=1),IF(C146&lt;=6,Staffing!$H$8,IF(C146&lt;=15,Staffing!$I$8,IF(C146&lt;=30,Staffing!$J$8,Staffing!$K$8))),0)</f>
        <v>1</v>
      </c>
      <c r="F146" s="10" t="n">
        <f aca="false">E146*Staffing!$L$8/12*(1+Assumptions!$C$10)^INT((C146-1)/12)*1</f>
        <v>12445.8333333333</v>
      </c>
      <c r="G146" s="10" t="n">
        <f aca="false">F146*Staffing!$N$8</f>
        <v>4978.33333333333</v>
      </c>
      <c r="H146" s="10" t="n">
        <f aca="false">F146+G146</f>
        <v>17424.1666666667</v>
      </c>
      <c r="I146" s="10" t="n">
        <f aca="false">0</f>
        <v>0</v>
      </c>
      <c r="J146" s="10" t="n">
        <f aca="false">MAX(0,E146-E145)*Staffing!$O$8</f>
        <v>0</v>
      </c>
      <c r="K146" s="10" t="n">
        <f aca="false">MAX(0,E146-E145)*Staffing!$P$8</f>
        <v>0</v>
      </c>
      <c r="L146" s="23" t="n">
        <f aca="false">ROUNDUP(E146,0)</f>
        <v>1</v>
      </c>
    </row>
    <row r="147" customFormat="false" ht="15" hidden="false" customHeight="false" outlineLevel="0" collapsed="false">
      <c r="A147" s="6" t="s">
        <v>72</v>
      </c>
      <c r="B147" s="6" t="s">
        <v>332</v>
      </c>
      <c r="C147" s="6" t="n">
        <v>22</v>
      </c>
      <c r="D147" s="25" t="n">
        <f aca="false">EDATE('Start Here'!$B$6,C147-1)</f>
        <v>46966</v>
      </c>
      <c r="E147" s="11" t="n">
        <f aca="false">IF(AND(C147&gt;=Staffing!$F$8,C147&lt;=Staffing!$G$8,1=1),IF(C147&lt;=6,Staffing!$H$8,IF(C147&lt;=15,Staffing!$I$8,IF(C147&lt;=30,Staffing!$J$8,Staffing!$K$8))),0)</f>
        <v>1</v>
      </c>
      <c r="F147" s="10" t="n">
        <f aca="false">E147*Staffing!$L$8/12*(1+Assumptions!$C$10)^INT((C147-1)/12)*1</f>
        <v>12445.8333333333</v>
      </c>
      <c r="G147" s="10" t="n">
        <f aca="false">F147*Staffing!$N$8</f>
        <v>4978.33333333333</v>
      </c>
      <c r="H147" s="10" t="n">
        <f aca="false">F147+G147</f>
        <v>17424.1666666667</v>
      </c>
      <c r="I147" s="10" t="n">
        <f aca="false">0</f>
        <v>0</v>
      </c>
      <c r="J147" s="10" t="n">
        <f aca="false">MAX(0,E147-E146)*Staffing!$O$8</f>
        <v>0</v>
      </c>
      <c r="K147" s="10" t="n">
        <f aca="false">MAX(0,E147-E146)*Staffing!$P$8</f>
        <v>0</v>
      </c>
      <c r="L147" s="23" t="n">
        <f aca="false">ROUNDUP(E147,0)</f>
        <v>1</v>
      </c>
    </row>
    <row r="148" customFormat="false" ht="15" hidden="false" customHeight="false" outlineLevel="0" collapsed="false">
      <c r="A148" s="6" t="s">
        <v>72</v>
      </c>
      <c r="B148" s="6" t="s">
        <v>332</v>
      </c>
      <c r="C148" s="6" t="n">
        <v>23</v>
      </c>
      <c r="D148" s="25" t="n">
        <f aca="false">EDATE('Start Here'!$B$6,C148-1)</f>
        <v>46997</v>
      </c>
      <c r="E148" s="11" t="n">
        <f aca="false">IF(AND(C148&gt;=Staffing!$F$8,C148&lt;=Staffing!$G$8,1=1),IF(C148&lt;=6,Staffing!$H$8,IF(C148&lt;=15,Staffing!$I$8,IF(C148&lt;=30,Staffing!$J$8,Staffing!$K$8))),0)</f>
        <v>1</v>
      </c>
      <c r="F148" s="10" t="n">
        <f aca="false">E148*Staffing!$L$8/12*(1+Assumptions!$C$10)^INT((C148-1)/12)*1</f>
        <v>12445.8333333333</v>
      </c>
      <c r="G148" s="10" t="n">
        <f aca="false">F148*Staffing!$N$8</f>
        <v>4978.33333333333</v>
      </c>
      <c r="H148" s="10" t="n">
        <f aca="false">F148+G148</f>
        <v>17424.1666666667</v>
      </c>
      <c r="I148" s="10" t="n">
        <f aca="false">0</f>
        <v>0</v>
      </c>
      <c r="J148" s="10" t="n">
        <f aca="false">MAX(0,E148-E147)*Staffing!$O$8</f>
        <v>0</v>
      </c>
      <c r="K148" s="10" t="n">
        <f aca="false">MAX(0,E148-E147)*Staffing!$P$8</f>
        <v>0</v>
      </c>
      <c r="L148" s="23" t="n">
        <f aca="false">ROUNDUP(E148,0)</f>
        <v>1</v>
      </c>
    </row>
    <row r="149" customFormat="false" ht="15" hidden="false" customHeight="false" outlineLevel="0" collapsed="false">
      <c r="A149" s="6" t="s">
        <v>72</v>
      </c>
      <c r="B149" s="6" t="s">
        <v>332</v>
      </c>
      <c r="C149" s="6" t="n">
        <v>24</v>
      </c>
      <c r="D149" s="25" t="n">
        <f aca="false">EDATE('Start Here'!$B$6,C149-1)</f>
        <v>47027</v>
      </c>
      <c r="E149" s="11" t="n">
        <f aca="false">IF(AND(C149&gt;=Staffing!$F$8,C149&lt;=Staffing!$G$8,1=1),IF(C149&lt;=6,Staffing!$H$8,IF(C149&lt;=15,Staffing!$I$8,IF(C149&lt;=30,Staffing!$J$8,Staffing!$K$8))),0)</f>
        <v>1</v>
      </c>
      <c r="F149" s="10" t="n">
        <f aca="false">E149*Staffing!$L$8/12*(1+Assumptions!$C$10)^INT((C149-1)/12)*1</f>
        <v>12445.8333333333</v>
      </c>
      <c r="G149" s="10" t="n">
        <f aca="false">F149*Staffing!$N$8</f>
        <v>4978.33333333333</v>
      </c>
      <c r="H149" s="10" t="n">
        <f aca="false">F149+G149</f>
        <v>17424.1666666667</v>
      </c>
      <c r="I149" s="10" t="n">
        <f aca="false">0</f>
        <v>0</v>
      </c>
      <c r="J149" s="10" t="n">
        <f aca="false">MAX(0,E149-E148)*Staffing!$O$8</f>
        <v>0</v>
      </c>
      <c r="K149" s="10" t="n">
        <f aca="false">MAX(0,E149-E148)*Staffing!$P$8</f>
        <v>0</v>
      </c>
      <c r="L149" s="23" t="n">
        <f aca="false">ROUNDUP(E149,0)</f>
        <v>1</v>
      </c>
    </row>
    <row r="150" customFormat="false" ht="15" hidden="false" customHeight="false" outlineLevel="0" collapsed="false">
      <c r="A150" s="6" t="s">
        <v>72</v>
      </c>
      <c r="B150" s="6" t="s">
        <v>332</v>
      </c>
      <c r="C150" s="6" t="n">
        <v>25</v>
      </c>
      <c r="D150" s="25" t="n">
        <f aca="false">EDATE('Start Here'!$B$6,C150-1)</f>
        <v>47058</v>
      </c>
      <c r="E150" s="11" t="n">
        <f aca="false">IF(AND(C150&gt;=Staffing!$F$8,C150&lt;=Staffing!$G$8,1=1),IF(C150&lt;=6,Staffing!$H$8,IF(C150&lt;=15,Staffing!$I$8,IF(C150&lt;=30,Staffing!$J$8,Staffing!$K$8))),0)</f>
        <v>1</v>
      </c>
      <c r="F150" s="10" t="n">
        <f aca="false">E150*Staffing!$L$8/12*(1+Assumptions!$C$10)^INT((C150-1)/12)*1</f>
        <v>12819.2083333333</v>
      </c>
      <c r="G150" s="10" t="n">
        <f aca="false">F150*Staffing!$N$8</f>
        <v>5127.68333333333</v>
      </c>
      <c r="H150" s="10" t="n">
        <f aca="false">F150+G150</f>
        <v>17946.8916666667</v>
      </c>
      <c r="I150" s="10" t="n">
        <f aca="false">0</f>
        <v>0</v>
      </c>
      <c r="J150" s="10" t="n">
        <f aca="false">MAX(0,E150-E149)*Staffing!$O$8</f>
        <v>0</v>
      </c>
      <c r="K150" s="10" t="n">
        <f aca="false">MAX(0,E150-E149)*Staffing!$P$8</f>
        <v>0</v>
      </c>
      <c r="L150" s="23" t="n">
        <f aca="false">ROUNDUP(E150,0)</f>
        <v>1</v>
      </c>
    </row>
    <row r="151" customFormat="false" ht="15" hidden="false" customHeight="false" outlineLevel="0" collapsed="false">
      <c r="A151" s="6" t="s">
        <v>72</v>
      </c>
      <c r="B151" s="6" t="s">
        <v>332</v>
      </c>
      <c r="C151" s="6" t="n">
        <v>26</v>
      </c>
      <c r="D151" s="25" t="n">
        <f aca="false">EDATE('Start Here'!$B$6,C151-1)</f>
        <v>47088</v>
      </c>
      <c r="E151" s="11" t="n">
        <f aca="false">IF(AND(C151&gt;=Staffing!$F$8,C151&lt;=Staffing!$G$8,1=1),IF(C151&lt;=6,Staffing!$H$8,IF(C151&lt;=15,Staffing!$I$8,IF(C151&lt;=30,Staffing!$J$8,Staffing!$K$8))),0)</f>
        <v>1</v>
      </c>
      <c r="F151" s="10" t="n">
        <f aca="false">E151*Staffing!$L$8/12*(1+Assumptions!$C$10)^INT((C151-1)/12)*1</f>
        <v>12819.2083333333</v>
      </c>
      <c r="G151" s="10" t="n">
        <f aca="false">F151*Staffing!$N$8</f>
        <v>5127.68333333333</v>
      </c>
      <c r="H151" s="10" t="n">
        <f aca="false">F151+G151</f>
        <v>17946.8916666667</v>
      </c>
      <c r="I151" s="10" t="n">
        <f aca="false">0</f>
        <v>0</v>
      </c>
      <c r="J151" s="10" t="n">
        <f aca="false">MAX(0,E151-E150)*Staffing!$O$8</f>
        <v>0</v>
      </c>
      <c r="K151" s="10" t="n">
        <f aca="false">MAX(0,E151-E150)*Staffing!$P$8</f>
        <v>0</v>
      </c>
      <c r="L151" s="23" t="n">
        <f aca="false">ROUNDUP(E151,0)</f>
        <v>1</v>
      </c>
    </row>
    <row r="152" customFormat="false" ht="15" hidden="false" customHeight="false" outlineLevel="0" collapsed="false">
      <c r="A152" s="6" t="s">
        <v>72</v>
      </c>
      <c r="B152" s="6" t="s">
        <v>332</v>
      </c>
      <c r="C152" s="6" t="n">
        <v>27</v>
      </c>
      <c r="D152" s="25" t="n">
        <f aca="false">EDATE('Start Here'!$B$6,C152-1)</f>
        <v>47119</v>
      </c>
      <c r="E152" s="11" t="n">
        <f aca="false">IF(AND(C152&gt;=Staffing!$F$8,C152&lt;=Staffing!$G$8,1=1),IF(C152&lt;=6,Staffing!$H$8,IF(C152&lt;=15,Staffing!$I$8,IF(C152&lt;=30,Staffing!$J$8,Staffing!$K$8))),0)</f>
        <v>1</v>
      </c>
      <c r="F152" s="10" t="n">
        <f aca="false">E152*Staffing!$L$8/12*(1+Assumptions!$C$10)^INT((C152-1)/12)*1</f>
        <v>12819.2083333333</v>
      </c>
      <c r="G152" s="10" t="n">
        <f aca="false">F152*Staffing!$N$8</f>
        <v>5127.68333333333</v>
      </c>
      <c r="H152" s="10" t="n">
        <f aca="false">F152+G152</f>
        <v>17946.8916666667</v>
      </c>
      <c r="I152" s="10" t="n">
        <f aca="false">0</f>
        <v>0</v>
      </c>
      <c r="J152" s="10" t="n">
        <f aca="false">MAX(0,E152-E151)*Staffing!$O$8</f>
        <v>0</v>
      </c>
      <c r="K152" s="10" t="n">
        <f aca="false">MAX(0,E152-E151)*Staffing!$P$8</f>
        <v>0</v>
      </c>
      <c r="L152" s="23" t="n">
        <f aca="false">ROUNDUP(E152,0)</f>
        <v>1</v>
      </c>
    </row>
    <row r="153" customFormat="false" ht="15" hidden="false" customHeight="false" outlineLevel="0" collapsed="false">
      <c r="A153" s="6" t="s">
        <v>72</v>
      </c>
      <c r="B153" s="6" t="s">
        <v>332</v>
      </c>
      <c r="C153" s="6" t="n">
        <v>28</v>
      </c>
      <c r="D153" s="25" t="n">
        <f aca="false">EDATE('Start Here'!$B$6,C153-1)</f>
        <v>47150</v>
      </c>
      <c r="E153" s="11" t="n">
        <f aca="false">IF(AND(C153&gt;=Staffing!$F$8,C153&lt;=Staffing!$G$8,1=1),IF(C153&lt;=6,Staffing!$H$8,IF(C153&lt;=15,Staffing!$I$8,IF(C153&lt;=30,Staffing!$J$8,Staffing!$K$8))),0)</f>
        <v>1</v>
      </c>
      <c r="F153" s="10" t="n">
        <f aca="false">E153*Staffing!$L$8/12*(1+Assumptions!$C$10)^INT((C153-1)/12)*1</f>
        <v>12819.2083333333</v>
      </c>
      <c r="G153" s="10" t="n">
        <f aca="false">F153*Staffing!$N$8</f>
        <v>5127.68333333333</v>
      </c>
      <c r="H153" s="10" t="n">
        <f aca="false">F153+G153</f>
        <v>17946.8916666667</v>
      </c>
      <c r="I153" s="10" t="n">
        <f aca="false">0</f>
        <v>0</v>
      </c>
      <c r="J153" s="10" t="n">
        <f aca="false">MAX(0,E153-E152)*Staffing!$O$8</f>
        <v>0</v>
      </c>
      <c r="K153" s="10" t="n">
        <f aca="false">MAX(0,E153-E152)*Staffing!$P$8</f>
        <v>0</v>
      </c>
      <c r="L153" s="23" t="n">
        <f aca="false">ROUNDUP(E153,0)</f>
        <v>1</v>
      </c>
    </row>
    <row r="154" customFormat="false" ht="15" hidden="false" customHeight="false" outlineLevel="0" collapsed="false">
      <c r="A154" s="6" t="s">
        <v>72</v>
      </c>
      <c r="B154" s="6" t="s">
        <v>332</v>
      </c>
      <c r="C154" s="6" t="n">
        <v>29</v>
      </c>
      <c r="D154" s="25" t="n">
        <f aca="false">EDATE('Start Here'!$B$6,C154-1)</f>
        <v>47178</v>
      </c>
      <c r="E154" s="11" t="n">
        <f aca="false">IF(AND(C154&gt;=Staffing!$F$8,C154&lt;=Staffing!$G$8,1=1),IF(C154&lt;=6,Staffing!$H$8,IF(C154&lt;=15,Staffing!$I$8,IF(C154&lt;=30,Staffing!$J$8,Staffing!$K$8))),0)</f>
        <v>1</v>
      </c>
      <c r="F154" s="10" t="n">
        <f aca="false">E154*Staffing!$L$8/12*(1+Assumptions!$C$10)^INT((C154-1)/12)*1</f>
        <v>12819.2083333333</v>
      </c>
      <c r="G154" s="10" t="n">
        <f aca="false">F154*Staffing!$N$8</f>
        <v>5127.68333333333</v>
      </c>
      <c r="H154" s="10" t="n">
        <f aca="false">F154+G154</f>
        <v>17946.8916666667</v>
      </c>
      <c r="I154" s="10" t="n">
        <f aca="false">0</f>
        <v>0</v>
      </c>
      <c r="J154" s="10" t="n">
        <f aca="false">MAX(0,E154-E153)*Staffing!$O$8</f>
        <v>0</v>
      </c>
      <c r="K154" s="10" t="n">
        <f aca="false">MAX(0,E154-E153)*Staffing!$P$8</f>
        <v>0</v>
      </c>
      <c r="L154" s="23" t="n">
        <f aca="false">ROUNDUP(E154,0)</f>
        <v>1</v>
      </c>
    </row>
    <row r="155" customFormat="false" ht="15" hidden="false" customHeight="false" outlineLevel="0" collapsed="false">
      <c r="A155" s="6" t="s">
        <v>72</v>
      </c>
      <c r="B155" s="6" t="s">
        <v>332</v>
      </c>
      <c r="C155" s="6" t="n">
        <v>30</v>
      </c>
      <c r="D155" s="25" t="n">
        <f aca="false">EDATE('Start Here'!$B$6,C155-1)</f>
        <v>47209</v>
      </c>
      <c r="E155" s="11" t="n">
        <f aca="false">IF(AND(C155&gt;=Staffing!$F$8,C155&lt;=Staffing!$G$8,1=1),IF(C155&lt;=6,Staffing!$H$8,IF(C155&lt;=15,Staffing!$I$8,IF(C155&lt;=30,Staffing!$J$8,Staffing!$K$8))),0)</f>
        <v>1</v>
      </c>
      <c r="F155" s="10" t="n">
        <f aca="false">E155*Staffing!$L$8/12*(1+Assumptions!$C$10)^INT((C155-1)/12)*1</f>
        <v>12819.2083333333</v>
      </c>
      <c r="G155" s="10" t="n">
        <f aca="false">F155*Staffing!$N$8</f>
        <v>5127.68333333333</v>
      </c>
      <c r="H155" s="10" t="n">
        <f aca="false">F155+G155</f>
        <v>17946.8916666667</v>
      </c>
      <c r="I155" s="10" t="n">
        <f aca="false">0</f>
        <v>0</v>
      </c>
      <c r="J155" s="10" t="n">
        <f aca="false">MAX(0,E155-E154)*Staffing!$O$8</f>
        <v>0</v>
      </c>
      <c r="K155" s="10" t="n">
        <f aca="false">MAX(0,E155-E154)*Staffing!$P$8</f>
        <v>0</v>
      </c>
      <c r="L155" s="23" t="n">
        <f aca="false">ROUNDUP(E155,0)</f>
        <v>1</v>
      </c>
    </row>
    <row r="156" customFormat="false" ht="15" hidden="false" customHeight="false" outlineLevel="0" collapsed="false">
      <c r="A156" s="6" t="s">
        <v>72</v>
      </c>
      <c r="B156" s="6" t="s">
        <v>332</v>
      </c>
      <c r="C156" s="6" t="n">
        <v>31</v>
      </c>
      <c r="D156" s="25" t="n">
        <f aca="false">EDATE('Start Here'!$B$6,C156-1)</f>
        <v>47239</v>
      </c>
      <c r="E156" s="11" t="n">
        <f aca="false">IF(AND(C156&gt;=Staffing!$F$8,C156&lt;=Staffing!$G$8,1=1),IF(C156&lt;=6,Staffing!$H$8,IF(C156&lt;=15,Staffing!$I$8,IF(C156&lt;=30,Staffing!$J$8,Staffing!$K$8))),0)</f>
        <v>1</v>
      </c>
      <c r="F156" s="10" t="n">
        <f aca="false">E156*Staffing!$L$8/12*(1+Assumptions!$C$10)^INT((C156-1)/12)*1</f>
        <v>12819.2083333333</v>
      </c>
      <c r="G156" s="10" t="n">
        <f aca="false">F156*Staffing!$N$8</f>
        <v>5127.68333333333</v>
      </c>
      <c r="H156" s="10" t="n">
        <f aca="false">F156+G156</f>
        <v>17946.8916666667</v>
      </c>
      <c r="I156" s="10" t="n">
        <f aca="false">0</f>
        <v>0</v>
      </c>
      <c r="J156" s="10" t="n">
        <f aca="false">MAX(0,E156-E155)*Staffing!$O$8</f>
        <v>0</v>
      </c>
      <c r="K156" s="10" t="n">
        <f aca="false">MAX(0,E156-E155)*Staffing!$P$8</f>
        <v>0</v>
      </c>
      <c r="L156" s="23" t="n">
        <f aca="false">ROUNDUP(E156,0)</f>
        <v>1</v>
      </c>
    </row>
    <row r="157" customFormat="false" ht="15" hidden="false" customHeight="false" outlineLevel="0" collapsed="false">
      <c r="A157" s="6" t="s">
        <v>72</v>
      </c>
      <c r="B157" s="6" t="s">
        <v>332</v>
      </c>
      <c r="C157" s="6" t="n">
        <v>32</v>
      </c>
      <c r="D157" s="25" t="n">
        <f aca="false">EDATE('Start Here'!$B$6,C157-1)</f>
        <v>47270</v>
      </c>
      <c r="E157" s="11" t="n">
        <f aca="false">IF(AND(C157&gt;=Staffing!$F$8,C157&lt;=Staffing!$G$8,1=1),IF(C157&lt;=6,Staffing!$H$8,IF(C157&lt;=15,Staffing!$I$8,IF(C157&lt;=30,Staffing!$J$8,Staffing!$K$8))),0)</f>
        <v>1</v>
      </c>
      <c r="F157" s="10" t="n">
        <f aca="false">E157*Staffing!$L$8/12*(1+Assumptions!$C$10)^INT((C157-1)/12)*1</f>
        <v>12819.2083333333</v>
      </c>
      <c r="G157" s="10" t="n">
        <f aca="false">F157*Staffing!$N$8</f>
        <v>5127.68333333333</v>
      </c>
      <c r="H157" s="10" t="n">
        <f aca="false">F157+G157</f>
        <v>17946.8916666667</v>
      </c>
      <c r="I157" s="10" t="n">
        <f aca="false">0</f>
        <v>0</v>
      </c>
      <c r="J157" s="10" t="n">
        <f aca="false">MAX(0,E157-E156)*Staffing!$O$8</f>
        <v>0</v>
      </c>
      <c r="K157" s="10" t="n">
        <f aca="false">MAX(0,E157-E156)*Staffing!$P$8</f>
        <v>0</v>
      </c>
      <c r="L157" s="23" t="n">
        <f aca="false">ROUNDUP(E157,0)</f>
        <v>1</v>
      </c>
    </row>
    <row r="158" customFormat="false" ht="15" hidden="false" customHeight="false" outlineLevel="0" collapsed="false">
      <c r="A158" s="6" t="s">
        <v>72</v>
      </c>
      <c r="B158" s="6" t="s">
        <v>332</v>
      </c>
      <c r="C158" s="6" t="n">
        <v>33</v>
      </c>
      <c r="D158" s="25" t="n">
        <f aca="false">EDATE('Start Here'!$B$6,C158-1)</f>
        <v>47300</v>
      </c>
      <c r="E158" s="11" t="n">
        <f aca="false">IF(AND(C158&gt;=Staffing!$F$8,C158&lt;=Staffing!$G$8,1=1),IF(C158&lt;=6,Staffing!$H$8,IF(C158&lt;=15,Staffing!$I$8,IF(C158&lt;=30,Staffing!$J$8,Staffing!$K$8))),0)</f>
        <v>1</v>
      </c>
      <c r="F158" s="10" t="n">
        <f aca="false">E158*Staffing!$L$8/12*(1+Assumptions!$C$10)^INT((C158-1)/12)*1</f>
        <v>12819.2083333333</v>
      </c>
      <c r="G158" s="10" t="n">
        <f aca="false">F158*Staffing!$N$8</f>
        <v>5127.68333333333</v>
      </c>
      <c r="H158" s="10" t="n">
        <f aca="false">F158+G158</f>
        <v>17946.8916666667</v>
      </c>
      <c r="I158" s="10" t="n">
        <f aca="false">0</f>
        <v>0</v>
      </c>
      <c r="J158" s="10" t="n">
        <f aca="false">MAX(0,E158-E157)*Staffing!$O$8</f>
        <v>0</v>
      </c>
      <c r="K158" s="10" t="n">
        <f aca="false">MAX(0,E158-E157)*Staffing!$P$8</f>
        <v>0</v>
      </c>
      <c r="L158" s="23" t="n">
        <f aca="false">ROUNDUP(E158,0)</f>
        <v>1</v>
      </c>
    </row>
    <row r="159" customFormat="false" ht="15" hidden="false" customHeight="false" outlineLevel="0" collapsed="false">
      <c r="A159" s="6" t="s">
        <v>72</v>
      </c>
      <c r="B159" s="6" t="s">
        <v>332</v>
      </c>
      <c r="C159" s="6" t="n">
        <v>34</v>
      </c>
      <c r="D159" s="25" t="n">
        <f aca="false">EDATE('Start Here'!$B$6,C159-1)</f>
        <v>47331</v>
      </c>
      <c r="E159" s="11" t="n">
        <f aca="false">IF(AND(C159&gt;=Staffing!$F$8,C159&lt;=Staffing!$G$8,1=1),IF(C159&lt;=6,Staffing!$H$8,IF(C159&lt;=15,Staffing!$I$8,IF(C159&lt;=30,Staffing!$J$8,Staffing!$K$8))),0)</f>
        <v>1</v>
      </c>
      <c r="F159" s="10" t="n">
        <f aca="false">E159*Staffing!$L$8/12*(1+Assumptions!$C$10)^INT((C159-1)/12)*1</f>
        <v>12819.2083333333</v>
      </c>
      <c r="G159" s="10" t="n">
        <f aca="false">F159*Staffing!$N$8</f>
        <v>5127.68333333333</v>
      </c>
      <c r="H159" s="10" t="n">
        <f aca="false">F159+G159</f>
        <v>17946.8916666667</v>
      </c>
      <c r="I159" s="10" t="n">
        <f aca="false">0</f>
        <v>0</v>
      </c>
      <c r="J159" s="10" t="n">
        <f aca="false">MAX(0,E159-E158)*Staffing!$O$8</f>
        <v>0</v>
      </c>
      <c r="K159" s="10" t="n">
        <f aca="false">MAX(0,E159-E158)*Staffing!$P$8</f>
        <v>0</v>
      </c>
      <c r="L159" s="23" t="n">
        <f aca="false">ROUNDUP(E159,0)</f>
        <v>1</v>
      </c>
    </row>
    <row r="160" customFormat="false" ht="15" hidden="false" customHeight="false" outlineLevel="0" collapsed="false">
      <c r="A160" s="6" t="s">
        <v>72</v>
      </c>
      <c r="B160" s="6" t="s">
        <v>332</v>
      </c>
      <c r="C160" s="6" t="n">
        <v>35</v>
      </c>
      <c r="D160" s="25" t="n">
        <f aca="false">EDATE('Start Here'!$B$6,C160-1)</f>
        <v>47362</v>
      </c>
      <c r="E160" s="11" t="n">
        <f aca="false">IF(AND(C160&gt;=Staffing!$F$8,C160&lt;=Staffing!$G$8,1=1),IF(C160&lt;=6,Staffing!$H$8,IF(C160&lt;=15,Staffing!$I$8,IF(C160&lt;=30,Staffing!$J$8,Staffing!$K$8))),0)</f>
        <v>1</v>
      </c>
      <c r="F160" s="10" t="n">
        <f aca="false">E160*Staffing!$L$8/12*(1+Assumptions!$C$10)^INT((C160-1)/12)*1</f>
        <v>12819.2083333333</v>
      </c>
      <c r="G160" s="10" t="n">
        <f aca="false">F160*Staffing!$N$8</f>
        <v>5127.68333333333</v>
      </c>
      <c r="H160" s="10" t="n">
        <f aca="false">F160+G160</f>
        <v>17946.8916666667</v>
      </c>
      <c r="I160" s="10" t="n">
        <f aca="false">0</f>
        <v>0</v>
      </c>
      <c r="J160" s="10" t="n">
        <f aca="false">MAX(0,E160-E159)*Staffing!$O$8</f>
        <v>0</v>
      </c>
      <c r="K160" s="10" t="n">
        <f aca="false">MAX(0,E160-E159)*Staffing!$P$8</f>
        <v>0</v>
      </c>
      <c r="L160" s="23" t="n">
        <f aca="false">ROUNDUP(E160,0)</f>
        <v>1</v>
      </c>
    </row>
    <row r="161" customFormat="false" ht="15" hidden="false" customHeight="false" outlineLevel="0" collapsed="false">
      <c r="A161" s="6" t="s">
        <v>72</v>
      </c>
      <c r="B161" s="6" t="s">
        <v>332</v>
      </c>
      <c r="C161" s="6" t="n">
        <v>36</v>
      </c>
      <c r="D161" s="25" t="n">
        <f aca="false">EDATE('Start Here'!$B$6,C161-1)</f>
        <v>47392</v>
      </c>
      <c r="E161" s="11" t="n">
        <f aca="false">IF(AND(C161&gt;=Staffing!$F$8,C161&lt;=Staffing!$G$8,1=1),IF(C161&lt;=6,Staffing!$H$8,IF(C161&lt;=15,Staffing!$I$8,IF(C161&lt;=30,Staffing!$J$8,Staffing!$K$8))),0)</f>
        <v>1</v>
      </c>
      <c r="F161" s="10" t="n">
        <f aca="false">E161*Staffing!$L$8/12*(1+Assumptions!$C$10)^INT((C161-1)/12)*1</f>
        <v>12819.2083333333</v>
      </c>
      <c r="G161" s="10" t="n">
        <f aca="false">F161*Staffing!$N$8</f>
        <v>5127.68333333333</v>
      </c>
      <c r="H161" s="10" t="n">
        <f aca="false">F161+G161</f>
        <v>17946.8916666667</v>
      </c>
      <c r="I161" s="10" t="n">
        <f aca="false">0</f>
        <v>0</v>
      </c>
      <c r="J161" s="10" t="n">
        <f aca="false">MAX(0,E161-E160)*Staffing!$O$8</f>
        <v>0</v>
      </c>
      <c r="K161" s="10" t="n">
        <f aca="false">MAX(0,E161-E160)*Staffing!$P$8</f>
        <v>0</v>
      </c>
      <c r="L161" s="23" t="n">
        <f aca="false">ROUNDUP(E161,0)</f>
        <v>1</v>
      </c>
    </row>
    <row r="162" customFormat="false" ht="15" hidden="false" customHeight="false" outlineLevel="0" collapsed="false">
      <c r="A162" s="6" t="s">
        <v>72</v>
      </c>
      <c r="B162" s="6" t="s">
        <v>332</v>
      </c>
      <c r="C162" s="6" t="n">
        <v>37</v>
      </c>
      <c r="D162" s="25" t="n">
        <f aca="false">EDATE('Start Here'!$B$6,C162-1)</f>
        <v>47423</v>
      </c>
      <c r="E162" s="11" t="n">
        <f aca="false">IF(AND(C162&gt;=Staffing!$F$8,C162&lt;=Staffing!$G$8,1=1),IF(C162&lt;=6,Staffing!$H$8,IF(C162&lt;=15,Staffing!$I$8,IF(C162&lt;=30,Staffing!$J$8,Staffing!$K$8))),0)</f>
        <v>1</v>
      </c>
      <c r="F162" s="10" t="n">
        <f aca="false">E162*Staffing!$L$8/12*(1+Assumptions!$C$10)^INT((C162-1)/12)*1</f>
        <v>13203.7845833333</v>
      </c>
      <c r="G162" s="10" t="n">
        <f aca="false">F162*Staffing!$N$8</f>
        <v>5281.51383333333</v>
      </c>
      <c r="H162" s="10" t="n">
        <f aca="false">F162+G162</f>
        <v>18485.2984166667</v>
      </c>
      <c r="I162" s="10" t="n">
        <f aca="false">0</f>
        <v>0</v>
      </c>
      <c r="J162" s="10" t="n">
        <f aca="false">MAX(0,E162-E161)*Staffing!$O$8</f>
        <v>0</v>
      </c>
      <c r="K162" s="10" t="n">
        <f aca="false">MAX(0,E162-E161)*Staffing!$P$8</f>
        <v>0</v>
      </c>
      <c r="L162" s="23" t="n">
        <f aca="false">ROUNDUP(E162,0)</f>
        <v>1</v>
      </c>
    </row>
    <row r="163" customFormat="false" ht="15" hidden="false" customHeight="false" outlineLevel="0" collapsed="false">
      <c r="A163" s="6" t="s">
        <v>72</v>
      </c>
      <c r="B163" s="6" t="s">
        <v>332</v>
      </c>
      <c r="C163" s="6" t="n">
        <v>38</v>
      </c>
      <c r="D163" s="25" t="n">
        <f aca="false">EDATE('Start Here'!$B$6,C163-1)</f>
        <v>47453</v>
      </c>
      <c r="E163" s="11" t="n">
        <f aca="false">IF(AND(C163&gt;=Staffing!$F$8,C163&lt;=Staffing!$G$8,1=1),IF(C163&lt;=6,Staffing!$H$8,IF(C163&lt;=15,Staffing!$I$8,IF(C163&lt;=30,Staffing!$J$8,Staffing!$K$8))),0)</f>
        <v>1</v>
      </c>
      <c r="F163" s="10" t="n">
        <f aca="false">E163*Staffing!$L$8/12*(1+Assumptions!$C$10)^INT((C163-1)/12)*1</f>
        <v>13203.7845833333</v>
      </c>
      <c r="G163" s="10" t="n">
        <f aca="false">F163*Staffing!$N$8</f>
        <v>5281.51383333333</v>
      </c>
      <c r="H163" s="10" t="n">
        <f aca="false">F163+G163</f>
        <v>18485.2984166667</v>
      </c>
      <c r="I163" s="10" t="n">
        <f aca="false">0</f>
        <v>0</v>
      </c>
      <c r="J163" s="10" t="n">
        <f aca="false">MAX(0,E163-E162)*Staffing!$O$8</f>
        <v>0</v>
      </c>
      <c r="K163" s="10" t="n">
        <f aca="false">MAX(0,E163-E162)*Staffing!$P$8</f>
        <v>0</v>
      </c>
      <c r="L163" s="23" t="n">
        <f aca="false">ROUNDUP(E163,0)</f>
        <v>1</v>
      </c>
    </row>
    <row r="164" customFormat="false" ht="15" hidden="false" customHeight="false" outlineLevel="0" collapsed="false">
      <c r="A164" s="6" t="s">
        <v>72</v>
      </c>
      <c r="B164" s="6" t="s">
        <v>332</v>
      </c>
      <c r="C164" s="6" t="n">
        <v>39</v>
      </c>
      <c r="D164" s="25" t="n">
        <f aca="false">EDATE('Start Here'!$B$6,C164-1)</f>
        <v>47484</v>
      </c>
      <c r="E164" s="11" t="n">
        <f aca="false">IF(AND(C164&gt;=Staffing!$F$8,C164&lt;=Staffing!$G$8,1=1),IF(C164&lt;=6,Staffing!$H$8,IF(C164&lt;=15,Staffing!$I$8,IF(C164&lt;=30,Staffing!$J$8,Staffing!$K$8))),0)</f>
        <v>1</v>
      </c>
      <c r="F164" s="10" t="n">
        <f aca="false">E164*Staffing!$L$8/12*(1+Assumptions!$C$10)^INT((C164-1)/12)*1</f>
        <v>13203.7845833333</v>
      </c>
      <c r="G164" s="10" t="n">
        <f aca="false">F164*Staffing!$N$8</f>
        <v>5281.51383333333</v>
      </c>
      <c r="H164" s="10" t="n">
        <f aca="false">F164+G164</f>
        <v>18485.2984166667</v>
      </c>
      <c r="I164" s="10" t="n">
        <f aca="false">0</f>
        <v>0</v>
      </c>
      <c r="J164" s="10" t="n">
        <f aca="false">MAX(0,E164-E163)*Staffing!$O$8</f>
        <v>0</v>
      </c>
      <c r="K164" s="10" t="n">
        <f aca="false">MAX(0,E164-E163)*Staffing!$P$8</f>
        <v>0</v>
      </c>
      <c r="L164" s="23" t="n">
        <f aca="false">ROUNDUP(E164,0)</f>
        <v>1</v>
      </c>
    </row>
    <row r="165" customFormat="false" ht="15" hidden="false" customHeight="false" outlineLevel="0" collapsed="false">
      <c r="A165" s="6" t="s">
        <v>72</v>
      </c>
      <c r="B165" s="6" t="s">
        <v>332</v>
      </c>
      <c r="C165" s="6" t="n">
        <v>40</v>
      </c>
      <c r="D165" s="25" t="n">
        <f aca="false">EDATE('Start Here'!$B$6,C165-1)</f>
        <v>47515</v>
      </c>
      <c r="E165" s="11" t="n">
        <f aca="false">IF(AND(C165&gt;=Staffing!$F$8,C165&lt;=Staffing!$G$8,1=1),IF(C165&lt;=6,Staffing!$H$8,IF(C165&lt;=15,Staffing!$I$8,IF(C165&lt;=30,Staffing!$J$8,Staffing!$K$8))),0)</f>
        <v>1</v>
      </c>
      <c r="F165" s="10" t="n">
        <f aca="false">E165*Staffing!$L$8/12*(1+Assumptions!$C$10)^INT((C165-1)/12)*1</f>
        <v>13203.7845833333</v>
      </c>
      <c r="G165" s="10" t="n">
        <f aca="false">F165*Staffing!$N$8</f>
        <v>5281.51383333333</v>
      </c>
      <c r="H165" s="10" t="n">
        <f aca="false">F165+G165</f>
        <v>18485.2984166667</v>
      </c>
      <c r="I165" s="10" t="n">
        <f aca="false">0</f>
        <v>0</v>
      </c>
      <c r="J165" s="10" t="n">
        <f aca="false">MAX(0,E165-E164)*Staffing!$O$8</f>
        <v>0</v>
      </c>
      <c r="K165" s="10" t="n">
        <f aca="false">MAX(0,E165-E164)*Staffing!$P$8</f>
        <v>0</v>
      </c>
      <c r="L165" s="23" t="n">
        <f aca="false">ROUNDUP(E165,0)</f>
        <v>1</v>
      </c>
    </row>
    <row r="166" customFormat="false" ht="15" hidden="false" customHeight="false" outlineLevel="0" collapsed="false">
      <c r="A166" s="6" t="s">
        <v>72</v>
      </c>
      <c r="B166" s="6" t="s">
        <v>332</v>
      </c>
      <c r="C166" s="6" t="n">
        <v>41</v>
      </c>
      <c r="D166" s="25" t="n">
        <f aca="false">EDATE('Start Here'!$B$6,C166-1)</f>
        <v>47543</v>
      </c>
      <c r="E166" s="11" t="n">
        <f aca="false">IF(AND(C166&gt;=Staffing!$F$8,C166&lt;=Staffing!$G$8,1=1),IF(C166&lt;=6,Staffing!$H$8,IF(C166&lt;=15,Staffing!$I$8,IF(C166&lt;=30,Staffing!$J$8,Staffing!$K$8))),0)</f>
        <v>1</v>
      </c>
      <c r="F166" s="10" t="n">
        <f aca="false">E166*Staffing!$L$8/12*(1+Assumptions!$C$10)^INT((C166-1)/12)*1</f>
        <v>13203.7845833333</v>
      </c>
      <c r="G166" s="10" t="n">
        <f aca="false">F166*Staffing!$N$8</f>
        <v>5281.51383333333</v>
      </c>
      <c r="H166" s="10" t="n">
        <f aca="false">F166+G166</f>
        <v>18485.2984166667</v>
      </c>
      <c r="I166" s="10" t="n">
        <f aca="false">0</f>
        <v>0</v>
      </c>
      <c r="J166" s="10" t="n">
        <f aca="false">MAX(0,E166-E165)*Staffing!$O$8</f>
        <v>0</v>
      </c>
      <c r="K166" s="10" t="n">
        <f aca="false">MAX(0,E166-E165)*Staffing!$P$8</f>
        <v>0</v>
      </c>
      <c r="L166" s="23" t="n">
        <f aca="false">ROUNDUP(E166,0)</f>
        <v>1</v>
      </c>
    </row>
    <row r="167" customFormat="false" ht="15" hidden="false" customHeight="false" outlineLevel="0" collapsed="false">
      <c r="A167" s="6" t="s">
        <v>72</v>
      </c>
      <c r="B167" s="6" t="s">
        <v>332</v>
      </c>
      <c r="C167" s="6" t="n">
        <v>42</v>
      </c>
      <c r="D167" s="25" t="n">
        <f aca="false">EDATE('Start Here'!$B$6,C167-1)</f>
        <v>47574</v>
      </c>
      <c r="E167" s="11" t="n">
        <f aca="false">IF(AND(C167&gt;=Staffing!$F$8,C167&lt;=Staffing!$G$8,1=1),IF(C167&lt;=6,Staffing!$H$8,IF(C167&lt;=15,Staffing!$I$8,IF(C167&lt;=30,Staffing!$J$8,Staffing!$K$8))),0)</f>
        <v>1</v>
      </c>
      <c r="F167" s="10" t="n">
        <f aca="false">E167*Staffing!$L$8/12*(1+Assumptions!$C$10)^INT((C167-1)/12)*1</f>
        <v>13203.7845833333</v>
      </c>
      <c r="G167" s="10" t="n">
        <f aca="false">F167*Staffing!$N$8</f>
        <v>5281.51383333333</v>
      </c>
      <c r="H167" s="10" t="n">
        <f aca="false">F167+G167</f>
        <v>18485.2984166667</v>
      </c>
      <c r="I167" s="10" t="n">
        <f aca="false">0</f>
        <v>0</v>
      </c>
      <c r="J167" s="10" t="n">
        <f aca="false">MAX(0,E167-E166)*Staffing!$O$8</f>
        <v>0</v>
      </c>
      <c r="K167" s="10" t="n">
        <f aca="false">MAX(0,E167-E166)*Staffing!$P$8</f>
        <v>0</v>
      </c>
      <c r="L167" s="23" t="n">
        <f aca="false">ROUNDUP(E167,0)</f>
        <v>1</v>
      </c>
    </row>
    <row r="168" customFormat="false" ht="15" hidden="false" customHeight="false" outlineLevel="0" collapsed="false">
      <c r="A168" s="6" t="s">
        <v>72</v>
      </c>
      <c r="B168" s="6" t="s">
        <v>332</v>
      </c>
      <c r="C168" s="6" t="n">
        <v>43</v>
      </c>
      <c r="D168" s="25" t="n">
        <f aca="false">EDATE('Start Here'!$B$6,C168-1)</f>
        <v>47604</v>
      </c>
      <c r="E168" s="11" t="n">
        <f aca="false">IF(AND(C168&gt;=Staffing!$F$8,C168&lt;=Staffing!$G$8,1=1),IF(C168&lt;=6,Staffing!$H$8,IF(C168&lt;=15,Staffing!$I$8,IF(C168&lt;=30,Staffing!$J$8,Staffing!$K$8))),0)</f>
        <v>1</v>
      </c>
      <c r="F168" s="10" t="n">
        <f aca="false">E168*Staffing!$L$8/12*(1+Assumptions!$C$10)^INT((C168-1)/12)*1</f>
        <v>13203.7845833333</v>
      </c>
      <c r="G168" s="10" t="n">
        <f aca="false">F168*Staffing!$N$8</f>
        <v>5281.51383333333</v>
      </c>
      <c r="H168" s="10" t="n">
        <f aca="false">F168+G168</f>
        <v>18485.2984166667</v>
      </c>
      <c r="I168" s="10" t="n">
        <f aca="false">0</f>
        <v>0</v>
      </c>
      <c r="J168" s="10" t="n">
        <f aca="false">MAX(0,E168-E167)*Staffing!$O$8</f>
        <v>0</v>
      </c>
      <c r="K168" s="10" t="n">
        <f aca="false">MAX(0,E168-E167)*Staffing!$P$8</f>
        <v>0</v>
      </c>
      <c r="L168" s="23" t="n">
        <f aca="false">ROUNDUP(E168,0)</f>
        <v>1</v>
      </c>
    </row>
    <row r="169" customFormat="false" ht="15" hidden="false" customHeight="false" outlineLevel="0" collapsed="false">
      <c r="A169" s="6" t="s">
        <v>72</v>
      </c>
      <c r="B169" s="6" t="s">
        <v>332</v>
      </c>
      <c r="C169" s="6" t="n">
        <v>44</v>
      </c>
      <c r="D169" s="25" t="n">
        <f aca="false">EDATE('Start Here'!$B$6,C169-1)</f>
        <v>47635</v>
      </c>
      <c r="E169" s="11" t="n">
        <f aca="false">IF(AND(C169&gt;=Staffing!$F$8,C169&lt;=Staffing!$G$8,1=1),IF(C169&lt;=6,Staffing!$H$8,IF(C169&lt;=15,Staffing!$I$8,IF(C169&lt;=30,Staffing!$J$8,Staffing!$K$8))),0)</f>
        <v>1</v>
      </c>
      <c r="F169" s="10" t="n">
        <f aca="false">E169*Staffing!$L$8/12*(1+Assumptions!$C$10)^INT((C169-1)/12)*1</f>
        <v>13203.7845833333</v>
      </c>
      <c r="G169" s="10" t="n">
        <f aca="false">F169*Staffing!$N$8</f>
        <v>5281.51383333333</v>
      </c>
      <c r="H169" s="10" t="n">
        <f aca="false">F169+G169</f>
        <v>18485.2984166667</v>
      </c>
      <c r="I169" s="10" t="n">
        <f aca="false">0</f>
        <v>0</v>
      </c>
      <c r="J169" s="10" t="n">
        <f aca="false">MAX(0,E169-E168)*Staffing!$O$8</f>
        <v>0</v>
      </c>
      <c r="K169" s="10" t="n">
        <f aca="false">MAX(0,E169-E168)*Staffing!$P$8</f>
        <v>0</v>
      </c>
      <c r="L169" s="23" t="n">
        <f aca="false">ROUNDUP(E169,0)</f>
        <v>1</v>
      </c>
    </row>
    <row r="170" customFormat="false" ht="15" hidden="false" customHeight="false" outlineLevel="0" collapsed="false">
      <c r="A170" s="6" t="s">
        <v>72</v>
      </c>
      <c r="B170" s="6" t="s">
        <v>332</v>
      </c>
      <c r="C170" s="6" t="n">
        <v>45</v>
      </c>
      <c r="D170" s="25" t="n">
        <f aca="false">EDATE('Start Here'!$B$6,C170-1)</f>
        <v>47665</v>
      </c>
      <c r="E170" s="11" t="n">
        <f aca="false">IF(AND(C170&gt;=Staffing!$F$8,C170&lt;=Staffing!$G$8,1=1),IF(C170&lt;=6,Staffing!$H$8,IF(C170&lt;=15,Staffing!$I$8,IF(C170&lt;=30,Staffing!$J$8,Staffing!$K$8))),0)</f>
        <v>1</v>
      </c>
      <c r="F170" s="10" t="n">
        <f aca="false">E170*Staffing!$L$8/12*(1+Assumptions!$C$10)^INT((C170-1)/12)*1</f>
        <v>13203.7845833333</v>
      </c>
      <c r="G170" s="10" t="n">
        <f aca="false">F170*Staffing!$N$8</f>
        <v>5281.51383333333</v>
      </c>
      <c r="H170" s="10" t="n">
        <f aca="false">F170+G170</f>
        <v>18485.2984166667</v>
      </c>
      <c r="I170" s="10" t="n">
        <f aca="false">0</f>
        <v>0</v>
      </c>
      <c r="J170" s="10" t="n">
        <f aca="false">MAX(0,E170-E169)*Staffing!$O$8</f>
        <v>0</v>
      </c>
      <c r="K170" s="10" t="n">
        <f aca="false">MAX(0,E170-E169)*Staffing!$P$8</f>
        <v>0</v>
      </c>
      <c r="L170" s="23" t="n">
        <f aca="false">ROUNDUP(E170,0)</f>
        <v>1</v>
      </c>
    </row>
    <row r="171" customFormat="false" ht="15" hidden="false" customHeight="false" outlineLevel="0" collapsed="false">
      <c r="A171" s="6" t="s">
        <v>72</v>
      </c>
      <c r="B171" s="6" t="s">
        <v>332</v>
      </c>
      <c r="C171" s="6" t="n">
        <v>46</v>
      </c>
      <c r="D171" s="25" t="n">
        <f aca="false">EDATE('Start Here'!$B$6,C171-1)</f>
        <v>47696</v>
      </c>
      <c r="E171" s="11" t="n">
        <f aca="false">IF(AND(C171&gt;=Staffing!$F$8,C171&lt;=Staffing!$G$8,1=1),IF(C171&lt;=6,Staffing!$H$8,IF(C171&lt;=15,Staffing!$I$8,IF(C171&lt;=30,Staffing!$J$8,Staffing!$K$8))),0)</f>
        <v>1</v>
      </c>
      <c r="F171" s="10" t="n">
        <f aca="false">E171*Staffing!$L$8/12*(1+Assumptions!$C$10)^INT((C171-1)/12)*1</f>
        <v>13203.7845833333</v>
      </c>
      <c r="G171" s="10" t="n">
        <f aca="false">F171*Staffing!$N$8</f>
        <v>5281.51383333333</v>
      </c>
      <c r="H171" s="10" t="n">
        <f aca="false">F171+G171</f>
        <v>18485.2984166667</v>
      </c>
      <c r="I171" s="10" t="n">
        <f aca="false">0</f>
        <v>0</v>
      </c>
      <c r="J171" s="10" t="n">
        <f aca="false">MAX(0,E171-E170)*Staffing!$O$8</f>
        <v>0</v>
      </c>
      <c r="K171" s="10" t="n">
        <f aca="false">MAX(0,E171-E170)*Staffing!$P$8</f>
        <v>0</v>
      </c>
      <c r="L171" s="23" t="n">
        <f aca="false">ROUNDUP(E171,0)</f>
        <v>1</v>
      </c>
    </row>
    <row r="172" customFormat="false" ht="15" hidden="false" customHeight="false" outlineLevel="0" collapsed="false">
      <c r="A172" s="6" t="s">
        <v>72</v>
      </c>
      <c r="B172" s="6" t="s">
        <v>332</v>
      </c>
      <c r="C172" s="6" t="n">
        <v>47</v>
      </c>
      <c r="D172" s="25" t="n">
        <f aca="false">EDATE('Start Here'!$B$6,C172-1)</f>
        <v>47727</v>
      </c>
      <c r="E172" s="11" t="n">
        <f aca="false">IF(AND(C172&gt;=Staffing!$F$8,C172&lt;=Staffing!$G$8,1=1),IF(C172&lt;=6,Staffing!$H$8,IF(C172&lt;=15,Staffing!$I$8,IF(C172&lt;=30,Staffing!$J$8,Staffing!$K$8))),0)</f>
        <v>1</v>
      </c>
      <c r="F172" s="10" t="n">
        <f aca="false">E172*Staffing!$L$8/12*(1+Assumptions!$C$10)^INT((C172-1)/12)*1</f>
        <v>13203.7845833333</v>
      </c>
      <c r="G172" s="10" t="n">
        <f aca="false">F172*Staffing!$N$8</f>
        <v>5281.51383333333</v>
      </c>
      <c r="H172" s="10" t="n">
        <f aca="false">F172+G172</f>
        <v>18485.2984166667</v>
      </c>
      <c r="I172" s="10" t="n">
        <f aca="false">0</f>
        <v>0</v>
      </c>
      <c r="J172" s="10" t="n">
        <f aca="false">MAX(0,E172-E171)*Staffing!$O$8</f>
        <v>0</v>
      </c>
      <c r="K172" s="10" t="n">
        <f aca="false">MAX(0,E172-E171)*Staffing!$P$8</f>
        <v>0</v>
      </c>
      <c r="L172" s="23" t="n">
        <f aca="false">ROUNDUP(E172,0)</f>
        <v>1</v>
      </c>
    </row>
    <row r="173" customFormat="false" ht="15" hidden="false" customHeight="false" outlineLevel="0" collapsed="false">
      <c r="A173" s="6" t="s">
        <v>72</v>
      </c>
      <c r="B173" s="6" t="s">
        <v>332</v>
      </c>
      <c r="C173" s="6" t="n">
        <v>48</v>
      </c>
      <c r="D173" s="25" t="n">
        <f aca="false">EDATE('Start Here'!$B$6,C173-1)</f>
        <v>47757</v>
      </c>
      <c r="E173" s="11" t="n">
        <f aca="false">IF(AND(C173&gt;=Staffing!$F$8,C173&lt;=Staffing!$G$8,1=1),IF(C173&lt;=6,Staffing!$H$8,IF(C173&lt;=15,Staffing!$I$8,IF(C173&lt;=30,Staffing!$J$8,Staffing!$K$8))),0)</f>
        <v>1</v>
      </c>
      <c r="F173" s="10" t="n">
        <f aca="false">E173*Staffing!$L$8/12*(1+Assumptions!$C$10)^INT((C173-1)/12)*1</f>
        <v>13203.7845833333</v>
      </c>
      <c r="G173" s="10" t="n">
        <f aca="false">F173*Staffing!$N$8</f>
        <v>5281.51383333333</v>
      </c>
      <c r="H173" s="10" t="n">
        <f aca="false">F173+G173</f>
        <v>18485.2984166667</v>
      </c>
      <c r="I173" s="10" t="n">
        <f aca="false">0</f>
        <v>0</v>
      </c>
      <c r="J173" s="10" t="n">
        <f aca="false">MAX(0,E173-E172)*Staffing!$O$8</f>
        <v>0</v>
      </c>
      <c r="K173" s="10" t="n">
        <f aca="false">MAX(0,E173-E172)*Staffing!$P$8</f>
        <v>0</v>
      </c>
      <c r="L173" s="23" t="n">
        <f aca="false">ROUNDUP(E173,0)</f>
        <v>1</v>
      </c>
    </row>
    <row r="174" customFormat="false" ht="15" hidden="false" customHeight="false" outlineLevel="0" collapsed="false">
      <c r="A174" s="6" t="s">
        <v>72</v>
      </c>
      <c r="B174" s="6" t="s">
        <v>332</v>
      </c>
      <c r="C174" s="6" t="n">
        <v>49</v>
      </c>
      <c r="D174" s="25" t="n">
        <f aca="false">EDATE('Start Here'!$B$6,C174-1)</f>
        <v>47788</v>
      </c>
      <c r="E174" s="11" t="n">
        <f aca="false">IF(AND(C174&gt;=Staffing!$F$8,C174&lt;=Staffing!$G$8,1=1),IF(C174&lt;=6,Staffing!$H$8,IF(C174&lt;=15,Staffing!$I$8,IF(C174&lt;=30,Staffing!$J$8,Staffing!$K$8))),0)</f>
        <v>1</v>
      </c>
      <c r="F174" s="10" t="n">
        <f aca="false">E174*Staffing!$L$8/12*(1+Assumptions!$C$10)^INT((C174-1)/12)*1</f>
        <v>13599.8981208333</v>
      </c>
      <c r="G174" s="10" t="n">
        <f aca="false">F174*Staffing!$N$8</f>
        <v>5439.95924833333</v>
      </c>
      <c r="H174" s="10" t="n">
        <f aca="false">F174+G174</f>
        <v>19039.8573691667</v>
      </c>
      <c r="I174" s="10" t="n">
        <f aca="false">0</f>
        <v>0</v>
      </c>
      <c r="J174" s="10" t="n">
        <f aca="false">MAX(0,E174-E173)*Staffing!$O$8</f>
        <v>0</v>
      </c>
      <c r="K174" s="10" t="n">
        <f aca="false">MAX(0,E174-E173)*Staffing!$P$8</f>
        <v>0</v>
      </c>
      <c r="L174" s="23" t="n">
        <f aca="false">ROUNDUP(E174,0)</f>
        <v>1</v>
      </c>
    </row>
    <row r="175" customFormat="false" ht="15" hidden="false" customHeight="false" outlineLevel="0" collapsed="false">
      <c r="A175" s="6" t="s">
        <v>72</v>
      </c>
      <c r="B175" s="6" t="s">
        <v>332</v>
      </c>
      <c r="C175" s="6" t="n">
        <v>50</v>
      </c>
      <c r="D175" s="25" t="n">
        <f aca="false">EDATE('Start Here'!$B$6,C175-1)</f>
        <v>47818</v>
      </c>
      <c r="E175" s="11" t="n">
        <f aca="false">IF(AND(C175&gt;=Staffing!$F$8,C175&lt;=Staffing!$G$8,1=1),IF(C175&lt;=6,Staffing!$H$8,IF(C175&lt;=15,Staffing!$I$8,IF(C175&lt;=30,Staffing!$J$8,Staffing!$K$8))),0)</f>
        <v>1</v>
      </c>
      <c r="F175" s="10" t="n">
        <f aca="false">E175*Staffing!$L$8/12*(1+Assumptions!$C$10)^INT((C175-1)/12)*1</f>
        <v>13599.8981208333</v>
      </c>
      <c r="G175" s="10" t="n">
        <f aca="false">F175*Staffing!$N$8</f>
        <v>5439.95924833333</v>
      </c>
      <c r="H175" s="10" t="n">
        <f aca="false">F175+G175</f>
        <v>19039.8573691667</v>
      </c>
      <c r="I175" s="10" t="n">
        <f aca="false">0</f>
        <v>0</v>
      </c>
      <c r="J175" s="10" t="n">
        <f aca="false">MAX(0,E175-E174)*Staffing!$O$8</f>
        <v>0</v>
      </c>
      <c r="K175" s="10" t="n">
        <f aca="false">MAX(0,E175-E174)*Staffing!$P$8</f>
        <v>0</v>
      </c>
      <c r="L175" s="23" t="n">
        <f aca="false">ROUNDUP(E175,0)</f>
        <v>1</v>
      </c>
    </row>
    <row r="176" customFormat="false" ht="15" hidden="false" customHeight="false" outlineLevel="0" collapsed="false">
      <c r="A176" s="6" t="s">
        <v>72</v>
      </c>
      <c r="B176" s="6" t="s">
        <v>332</v>
      </c>
      <c r="C176" s="6" t="n">
        <v>51</v>
      </c>
      <c r="D176" s="25" t="n">
        <f aca="false">EDATE('Start Here'!$B$6,C176-1)</f>
        <v>47849</v>
      </c>
      <c r="E176" s="11" t="n">
        <f aca="false">IF(AND(C176&gt;=Staffing!$F$8,C176&lt;=Staffing!$G$8,1=1),IF(C176&lt;=6,Staffing!$H$8,IF(C176&lt;=15,Staffing!$I$8,IF(C176&lt;=30,Staffing!$J$8,Staffing!$K$8))),0)</f>
        <v>1</v>
      </c>
      <c r="F176" s="10" t="n">
        <f aca="false">E176*Staffing!$L$8/12*(1+Assumptions!$C$10)^INT((C176-1)/12)*1</f>
        <v>13599.8981208333</v>
      </c>
      <c r="G176" s="10" t="n">
        <f aca="false">F176*Staffing!$N$8</f>
        <v>5439.95924833333</v>
      </c>
      <c r="H176" s="10" t="n">
        <f aca="false">F176+G176</f>
        <v>19039.8573691667</v>
      </c>
      <c r="I176" s="10" t="n">
        <f aca="false">0</f>
        <v>0</v>
      </c>
      <c r="J176" s="10" t="n">
        <f aca="false">MAX(0,E176-E175)*Staffing!$O$8</f>
        <v>0</v>
      </c>
      <c r="K176" s="10" t="n">
        <f aca="false">MAX(0,E176-E175)*Staffing!$P$8</f>
        <v>0</v>
      </c>
      <c r="L176" s="23" t="n">
        <f aca="false">ROUNDUP(E176,0)</f>
        <v>1</v>
      </c>
    </row>
    <row r="177" customFormat="false" ht="15" hidden="false" customHeight="false" outlineLevel="0" collapsed="false">
      <c r="A177" s="6" t="s">
        <v>72</v>
      </c>
      <c r="B177" s="6" t="s">
        <v>332</v>
      </c>
      <c r="C177" s="6" t="n">
        <v>52</v>
      </c>
      <c r="D177" s="25" t="n">
        <f aca="false">EDATE('Start Here'!$B$6,C177-1)</f>
        <v>47880</v>
      </c>
      <c r="E177" s="11" t="n">
        <f aca="false">IF(AND(C177&gt;=Staffing!$F$8,C177&lt;=Staffing!$G$8,1=1),IF(C177&lt;=6,Staffing!$H$8,IF(C177&lt;=15,Staffing!$I$8,IF(C177&lt;=30,Staffing!$J$8,Staffing!$K$8))),0)</f>
        <v>1</v>
      </c>
      <c r="F177" s="10" t="n">
        <f aca="false">E177*Staffing!$L$8/12*(1+Assumptions!$C$10)^INT((C177-1)/12)*1</f>
        <v>13599.8981208333</v>
      </c>
      <c r="G177" s="10" t="n">
        <f aca="false">F177*Staffing!$N$8</f>
        <v>5439.95924833333</v>
      </c>
      <c r="H177" s="10" t="n">
        <f aca="false">F177+G177</f>
        <v>19039.8573691667</v>
      </c>
      <c r="I177" s="10" t="n">
        <f aca="false">0</f>
        <v>0</v>
      </c>
      <c r="J177" s="10" t="n">
        <f aca="false">MAX(0,E177-E176)*Staffing!$O$8</f>
        <v>0</v>
      </c>
      <c r="K177" s="10" t="n">
        <f aca="false">MAX(0,E177-E176)*Staffing!$P$8</f>
        <v>0</v>
      </c>
      <c r="L177" s="23" t="n">
        <f aca="false">ROUNDUP(E177,0)</f>
        <v>1</v>
      </c>
    </row>
    <row r="178" customFormat="false" ht="15" hidden="false" customHeight="false" outlineLevel="0" collapsed="false">
      <c r="A178" s="6" t="s">
        <v>72</v>
      </c>
      <c r="B178" s="6" t="s">
        <v>332</v>
      </c>
      <c r="C178" s="6" t="n">
        <v>53</v>
      </c>
      <c r="D178" s="25" t="n">
        <f aca="false">EDATE('Start Here'!$B$6,C178-1)</f>
        <v>47908</v>
      </c>
      <c r="E178" s="11" t="n">
        <f aca="false">IF(AND(C178&gt;=Staffing!$F$8,C178&lt;=Staffing!$G$8,1=1),IF(C178&lt;=6,Staffing!$H$8,IF(C178&lt;=15,Staffing!$I$8,IF(C178&lt;=30,Staffing!$J$8,Staffing!$K$8))),0)</f>
        <v>1</v>
      </c>
      <c r="F178" s="10" t="n">
        <f aca="false">E178*Staffing!$L$8/12*(1+Assumptions!$C$10)^INT((C178-1)/12)*1</f>
        <v>13599.8981208333</v>
      </c>
      <c r="G178" s="10" t="n">
        <f aca="false">F178*Staffing!$N$8</f>
        <v>5439.95924833333</v>
      </c>
      <c r="H178" s="10" t="n">
        <f aca="false">F178+G178</f>
        <v>19039.8573691667</v>
      </c>
      <c r="I178" s="10" t="n">
        <f aca="false">0</f>
        <v>0</v>
      </c>
      <c r="J178" s="10" t="n">
        <f aca="false">MAX(0,E178-E177)*Staffing!$O$8</f>
        <v>0</v>
      </c>
      <c r="K178" s="10" t="n">
        <f aca="false">MAX(0,E178-E177)*Staffing!$P$8</f>
        <v>0</v>
      </c>
      <c r="L178" s="23" t="n">
        <f aca="false">ROUNDUP(E178,0)</f>
        <v>1</v>
      </c>
    </row>
    <row r="179" customFormat="false" ht="15" hidden="false" customHeight="false" outlineLevel="0" collapsed="false">
      <c r="A179" s="6" t="s">
        <v>72</v>
      </c>
      <c r="B179" s="6" t="s">
        <v>332</v>
      </c>
      <c r="C179" s="6" t="n">
        <v>54</v>
      </c>
      <c r="D179" s="25" t="n">
        <f aca="false">EDATE('Start Here'!$B$6,C179-1)</f>
        <v>47939</v>
      </c>
      <c r="E179" s="11" t="n">
        <f aca="false">IF(AND(C179&gt;=Staffing!$F$8,C179&lt;=Staffing!$G$8,1=1),IF(C179&lt;=6,Staffing!$H$8,IF(C179&lt;=15,Staffing!$I$8,IF(C179&lt;=30,Staffing!$J$8,Staffing!$K$8))),0)</f>
        <v>1</v>
      </c>
      <c r="F179" s="10" t="n">
        <f aca="false">E179*Staffing!$L$8/12*(1+Assumptions!$C$10)^INT((C179-1)/12)*1</f>
        <v>13599.8981208333</v>
      </c>
      <c r="G179" s="10" t="n">
        <f aca="false">F179*Staffing!$N$8</f>
        <v>5439.95924833333</v>
      </c>
      <c r="H179" s="10" t="n">
        <f aca="false">F179+G179</f>
        <v>19039.8573691667</v>
      </c>
      <c r="I179" s="10" t="n">
        <f aca="false">0</f>
        <v>0</v>
      </c>
      <c r="J179" s="10" t="n">
        <f aca="false">MAX(0,E179-E178)*Staffing!$O$8</f>
        <v>0</v>
      </c>
      <c r="K179" s="10" t="n">
        <f aca="false">MAX(0,E179-E178)*Staffing!$P$8</f>
        <v>0</v>
      </c>
      <c r="L179" s="23" t="n">
        <f aca="false">ROUNDUP(E179,0)</f>
        <v>1</v>
      </c>
    </row>
    <row r="180" customFormat="false" ht="15" hidden="false" customHeight="false" outlineLevel="0" collapsed="false">
      <c r="A180" s="6" t="s">
        <v>72</v>
      </c>
      <c r="B180" s="6" t="s">
        <v>332</v>
      </c>
      <c r="C180" s="6" t="n">
        <v>55</v>
      </c>
      <c r="D180" s="25" t="n">
        <f aca="false">EDATE('Start Here'!$B$6,C180-1)</f>
        <v>47969</v>
      </c>
      <c r="E180" s="11" t="n">
        <f aca="false">IF(AND(C180&gt;=Staffing!$F$8,C180&lt;=Staffing!$G$8,1=1),IF(C180&lt;=6,Staffing!$H$8,IF(C180&lt;=15,Staffing!$I$8,IF(C180&lt;=30,Staffing!$J$8,Staffing!$K$8))),0)</f>
        <v>1</v>
      </c>
      <c r="F180" s="10" t="n">
        <f aca="false">E180*Staffing!$L$8/12*(1+Assumptions!$C$10)^INT((C180-1)/12)*1</f>
        <v>13599.8981208333</v>
      </c>
      <c r="G180" s="10" t="n">
        <f aca="false">F180*Staffing!$N$8</f>
        <v>5439.95924833333</v>
      </c>
      <c r="H180" s="10" t="n">
        <f aca="false">F180+G180</f>
        <v>19039.8573691667</v>
      </c>
      <c r="I180" s="10" t="n">
        <f aca="false">0</f>
        <v>0</v>
      </c>
      <c r="J180" s="10" t="n">
        <f aca="false">MAX(0,E180-E179)*Staffing!$O$8</f>
        <v>0</v>
      </c>
      <c r="K180" s="10" t="n">
        <f aca="false">MAX(0,E180-E179)*Staffing!$P$8</f>
        <v>0</v>
      </c>
      <c r="L180" s="23" t="n">
        <f aca="false">ROUNDUP(E180,0)</f>
        <v>1</v>
      </c>
    </row>
    <row r="181" customFormat="false" ht="15" hidden="false" customHeight="false" outlineLevel="0" collapsed="false">
      <c r="A181" s="6" t="s">
        <v>72</v>
      </c>
      <c r="B181" s="6" t="s">
        <v>332</v>
      </c>
      <c r="C181" s="6" t="n">
        <v>56</v>
      </c>
      <c r="D181" s="25" t="n">
        <f aca="false">EDATE('Start Here'!$B$6,C181-1)</f>
        <v>48000</v>
      </c>
      <c r="E181" s="11" t="n">
        <f aca="false">IF(AND(C181&gt;=Staffing!$F$8,C181&lt;=Staffing!$G$8,1=1),IF(C181&lt;=6,Staffing!$H$8,IF(C181&lt;=15,Staffing!$I$8,IF(C181&lt;=30,Staffing!$J$8,Staffing!$K$8))),0)</f>
        <v>1</v>
      </c>
      <c r="F181" s="10" t="n">
        <f aca="false">E181*Staffing!$L$8/12*(1+Assumptions!$C$10)^INT((C181-1)/12)*1</f>
        <v>13599.8981208333</v>
      </c>
      <c r="G181" s="10" t="n">
        <f aca="false">F181*Staffing!$N$8</f>
        <v>5439.95924833333</v>
      </c>
      <c r="H181" s="10" t="n">
        <f aca="false">F181+G181</f>
        <v>19039.8573691667</v>
      </c>
      <c r="I181" s="10" t="n">
        <f aca="false">0</f>
        <v>0</v>
      </c>
      <c r="J181" s="10" t="n">
        <f aca="false">MAX(0,E181-E180)*Staffing!$O$8</f>
        <v>0</v>
      </c>
      <c r="K181" s="10" t="n">
        <f aca="false">MAX(0,E181-E180)*Staffing!$P$8</f>
        <v>0</v>
      </c>
      <c r="L181" s="23" t="n">
        <f aca="false">ROUNDUP(E181,0)</f>
        <v>1</v>
      </c>
    </row>
    <row r="182" customFormat="false" ht="15" hidden="false" customHeight="false" outlineLevel="0" collapsed="false">
      <c r="A182" s="6" t="s">
        <v>72</v>
      </c>
      <c r="B182" s="6" t="s">
        <v>332</v>
      </c>
      <c r="C182" s="6" t="n">
        <v>57</v>
      </c>
      <c r="D182" s="25" t="n">
        <f aca="false">EDATE('Start Here'!$B$6,C182-1)</f>
        <v>48030</v>
      </c>
      <c r="E182" s="11" t="n">
        <f aca="false">IF(AND(C182&gt;=Staffing!$F$8,C182&lt;=Staffing!$G$8,1=1),IF(C182&lt;=6,Staffing!$H$8,IF(C182&lt;=15,Staffing!$I$8,IF(C182&lt;=30,Staffing!$J$8,Staffing!$K$8))),0)</f>
        <v>1</v>
      </c>
      <c r="F182" s="10" t="n">
        <f aca="false">E182*Staffing!$L$8/12*(1+Assumptions!$C$10)^INT((C182-1)/12)*1</f>
        <v>13599.8981208333</v>
      </c>
      <c r="G182" s="10" t="n">
        <f aca="false">F182*Staffing!$N$8</f>
        <v>5439.95924833333</v>
      </c>
      <c r="H182" s="10" t="n">
        <f aca="false">F182+G182</f>
        <v>19039.8573691667</v>
      </c>
      <c r="I182" s="10" t="n">
        <f aca="false">0</f>
        <v>0</v>
      </c>
      <c r="J182" s="10" t="n">
        <f aca="false">MAX(0,E182-E181)*Staffing!$O$8</f>
        <v>0</v>
      </c>
      <c r="K182" s="10" t="n">
        <f aca="false">MAX(0,E182-E181)*Staffing!$P$8</f>
        <v>0</v>
      </c>
      <c r="L182" s="23" t="n">
        <f aca="false">ROUNDUP(E182,0)</f>
        <v>1</v>
      </c>
    </row>
    <row r="183" customFormat="false" ht="15" hidden="false" customHeight="false" outlineLevel="0" collapsed="false">
      <c r="A183" s="6" t="s">
        <v>72</v>
      </c>
      <c r="B183" s="6" t="s">
        <v>332</v>
      </c>
      <c r="C183" s="6" t="n">
        <v>58</v>
      </c>
      <c r="D183" s="25" t="n">
        <f aca="false">EDATE('Start Here'!$B$6,C183-1)</f>
        <v>48061</v>
      </c>
      <c r="E183" s="11" t="n">
        <f aca="false">IF(AND(C183&gt;=Staffing!$F$8,C183&lt;=Staffing!$G$8,1=1),IF(C183&lt;=6,Staffing!$H$8,IF(C183&lt;=15,Staffing!$I$8,IF(C183&lt;=30,Staffing!$J$8,Staffing!$K$8))),0)</f>
        <v>1</v>
      </c>
      <c r="F183" s="10" t="n">
        <f aca="false">E183*Staffing!$L$8/12*(1+Assumptions!$C$10)^INT((C183-1)/12)*1</f>
        <v>13599.8981208333</v>
      </c>
      <c r="G183" s="10" t="n">
        <f aca="false">F183*Staffing!$N$8</f>
        <v>5439.95924833333</v>
      </c>
      <c r="H183" s="10" t="n">
        <f aca="false">F183+G183</f>
        <v>19039.8573691667</v>
      </c>
      <c r="I183" s="10" t="n">
        <f aca="false">0</f>
        <v>0</v>
      </c>
      <c r="J183" s="10" t="n">
        <f aca="false">MAX(0,E183-E182)*Staffing!$O$8</f>
        <v>0</v>
      </c>
      <c r="K183" s="10" t="n">
        <f aca="false">MAX(0,E183-E182)*Staffing!$P$8</f>
        <v>0</v>
      </c>
      <c r="L183" s="23" t="n">
        <f aca="false">ROUNDUP(E183,0)</f>
        <v>1</v>
      </c>
    </row>
    <row r="184" customFormat="false" ht="15" hidden="false" customHeight="false" outlineLevel="0" collapsed="false">
      <c r="A184" s="6" t="s">
        <v>72</v>
      </c>
      <c r="B184" s="6" t="s">
        <v>332</v>
      </c>
      <c r="C184" s="6" t="n">
        <v>59</v>
      </c>
      <c r="D184" s="25" t="n">
        <f aca="false">EDATE('Start Here'!$B$6,C184-1)</f>
        <v>48092</v>
      </c>
      <c r="E184" s="11" t="n">
        <f aca="false">IF(AND(C184&gt;=Staffing!$F$8,C184&lt;=Staffing!$G$8,1=1),IF(C184&lt;=6,Staffing!$H$8,IF(C184&lt;=15,Staffing!$I$8,IF(C184&lt;=30,Staffing!$J$8,Staffing!$K$8))),0)</f>
        <v>1</v>
      </c>
      <c r="F184" s="10" t="n">
        <f aca="false">E184*Staffing!$L$8/12*(1+Assumptions!$C$10)^INT((C184-1)/12)*1</f>
        <v>13599.8981208333</v>
      </c>
      <c r="G184" s="10" t="n">
        <f aca="false">F184*Staffing!$N$8</f>
        <v>5439.95924833333</v>
      </c>
      <c r="H184" s="10" t="n">
        <f aca="false">F184+G184</f>
        <v>19039.8573691667</v>
      </c>
      <c r="I184" s="10" t="n">
        <f aca="false">0</f>
        <v>0</v>
      </c>
      <c r="J184" s="10" t="n">
        <f aca="false">MAX(0,E184-E183)*Staffing!$O$8</f>
        <v>0</v>
      </c>
      <c r="K184" s="10" t="n">
        <f aca="false">MAX(0,E184-E183)*Staffing!$P$8</f>
        <v>0</v>
      </c>
      <c r="L184" s="23" t="n">
        <f aca="false">ROUNDUP(E184,0)</f>
        <v>1</v>
      </c>
    </row>
    <row r="185" customFormat="false" ht="15" hidden="false" customHeight="false" outlineLevel="0" collapsed="false">
      <c r="A185" s="6" t="s">
        <v>72</v>
      </c>
      <c r="B185" s="6" t="s">
        <v>332</v>
      </c>
      <c r="C185" s="6" t="n">
        <v>60</v>
      </c>
      <c r="D185" s="25" t="n">
        <f aca="false">EDATE('Start Here'!$B$6,C185-1)</f>
        <v>48122</v>
      </c>
      <c r="E185" s="11" t="n">
        <f aca="false">IF(AND(C185&gt;=Staffing!$F$8,C185&lt;=Staffing!$G$8,1=1),IF(C185&lt;=6,Staffing!$H$8,IF(C185&lt;=15,Staffing!$I$8,IF(C185&lt;=30,Staffing!$J$8,Staffing!$K$8))),0)</f>
        <v>1</v>
      </c>
      <c r="F185" s="10" t="n">
        <f aca="false">E185*Staffing!$L$8/12*(1+Assumptions!$C$10)^INT((C185-1)/12)*1</f>
        <v>13599.8981208333</v>
      </c>
      <c r="G185" s="10" t="n">
        <f aca="false">F185*Staffing!$N$8</f>
        <v>5439.95924833333</v>
      </c>
      <c r="H185" s="10" t="n">
        <f aca="false">F185+G185</f>
        <v>19039.8573691667</v>
      </c>
      <c r="I185" s="10" t="n">
        <f aca="false">0</f>
        <v>0</v>
      </c>
      <c r="J185" s="10" t="n">
        <f aca="false">MAX(0,E185-E184)*Staffing!$O$8</f>
        <v>0</v>
      </c>
      <c r="K185" s="10" t="n">
        <f aca="false">MAX(0,E185-E184)*Staffing!$P$8</f>
        <v>0</v>
      </c>
      <c r="L185" s="23" t="n">
        <f aca="false">ROUNDUP(E185,0)</f>
        <v>1</v>
      </c>
    </row>
    <row r="186" customFormat="false" ht="15" hidden="false" customHeight="false" outlineLevel="0" collapsed="false">
      <c r="A186" s="6" t="s">
        <v>72</v>
      </c>
      <c r="B186" s="6" t="s">
        <v>334</v>
      </c>
      <c r="C186" s="6" t="n">
        <v>1</v>
      </c>
      <c r="D186" s="25" t="n">
        <f aca="false">EDATE('Start Here'!$B$6,C186-1)</f>
        <v>46327</v>
      </c>
      <c r="E186" s="23" t="n">
        <f aca="false">IF(AND(C186&gt;=Staffing!$F$9,C186&lt;=Staffing!$G$9,1=1),IF(C186&lt;=6,Staffing!$H$9,IF(C186&lt;=15,Staffing!$I$9,IF(C186&lt;=30,Staffing!$J$9,Staffing!$K$9))),0)</f>
        <v>0</v>
      </c>
      <c r="F186" s="10" t="n">
        <f aca="false">E186*Staffing!$L$9/12*(1+Assumptions!$C$10)^INT((C186-1)/12)*1</f>
        <v>0</v>
      </c>
      <c r="G186" s="10" t="n">
        <f aca="false">F186*Staffing!$N$9</f>
        <v>0</v>
      </c>
      <c r="H186" s="10" t="n">
        <f aca="false">F186+G186</f>
        <v>0</v>
      </c>
      <c r="I186" s="10" t="n">
        <f aca="false">0</f>
        <v>0</v>
      </c>
      <c r="J186" s="10" t="n">
        <f aca="false">MAX(0,E186-0)*Staffing!$O$9</f>
        <v>0</v>
      </c>
      <c r="K186" s="10" t="n">
        <f aca="false">MAX(0,E186-0)*Staffing!$P$9</f>
        <v>0</v>
      </c>
      <c r="L186" s="23" t="n">
        <f aca="false">ROUNDUP(E186,0)</f>
        <v>0</v>
      </c>
    </row>
    <row r="187" customFormat="false" ht="15" hidden="false" customHeight="false" outlineLevel="0" collapsed="false">
      <c r="A187" s="6" t="s">
        <v>72</v>
      </c>
      <c r="B187" s="6" t="s">
        <v>334</v>
      </c>
      <c r="C187" s="6" t="n">
        <v>2</v>
      </c>
      <c r="D187" s="25" t="n">
        <f aca="false">EDATE('Start Here'!$B$6,C187-1)</f>
        <v>46357</v>
      </c>
      <c r="E187" s="23" t="n">
        <f aca="false">IF(AND(C187&gt;=Staffing!$F$9,C187&lt;=Staffing!$G$9,1=1),IF(C187&lt;=6,Staffing!$H$9,IF(C187&lt;=15,Staffing!$I$9,IF(C187&lt;=30,Staffing!$J$9,Staffing!$K$9))),0)</f>
        <v>0</v>
      </c>
      <c r="F187" s="10" t="n">
        <f aca="false">E187*Staffing!$L$9/12*(1+Assumptions!$C$10)^INT((C187-1)/12)*1</f>
        <v>0</v>
      </c>
      <c r="G187" s="10" t="n">
        <f aca="false">F187*Staffing!$N$9</f>
        <v>0</v>
      </c>
      <c r="H187" s="10" t="n">
        <f aca="false">F187+G187</f>
        <v>0</v>
      </c>
      <c r="I187" s="10" t="n">
        <f aca="false">0</f>
        <v>0</v>
      </c>
      <c r="J187" s="10" t="n">
        <f aca="false">MAX(0,E187-E186)*Staffing!$O$9</f>
        <v>0</v>
      </c>
      <c r="K187" s="10" t="n">
        <f aca="false">MAX(0,E187-E186)*Staffing!$P$9</f>
        <v>0</v>
      </c>
      <c r="L187" s="23" t="n">
        <f aca="false">ROUNDUP(E187,0)</f>
        <v>0</v>
      </c>
    </row>
    <row r="188" customFormat="false" ht="15" hidden="false" customHeight="false" outlineLevel="0" collapsed="false">
      <c r="A188" s="6" t="s">
        <v>72</v>
      </c>
      <c r="B188" s="6" t="s">
        <v>334</v>
      </c>
      <c r="C188" s="6" t="n">
        <v>3</v>
      </c>
      <c r="D188" s="25" t="n">
        <f aca="false">EDATE('Start Here'!$B$6,C188-1)</f>
        <v>46388</v>
      </c>
      <c r="E188" s="23" t="n">
        <f aca="false">IF(AND(C188&gt;=Staffing!$F$9,C188&lt;=Staffing!$G$9,1=1),IF(C188&lt;=6,Staffing!$H$9,IF(C188&lt;=15,Staffing!$I$9,IF(C188&lt;=30,Staffing!$J$9,Staffing!$K$9))),0)</f>
        <v>0</v>
      </c>
      <c r="F188" s="10" t="n">
        <f aca="false">E188*Staffing!$L$9/12*(1+Assumptions!$C$10)^INT((C188-1)/12)*1</f>
        <v>0</v>
      </c>
      <c r="G188" s="10" t="n">
        <f aca="false">F188*Staffing!$N$9</f>
        <v>0</v>
      </c>
      <c r="H188" s="10" t="n">
        <f aca="false">F188+G188</f>
        <v>0</v>
      </c>
      <c r="I188" s="10" t="n">
        <f aca="false">0</f>
        <v>0</v>
      </c>
      <c r="J188" s="10" t="n">
        <f aca="false">MAX(0,E188-E187)*Staffing!$O$9</f>
        <v>0</v>
      </c>
      <c r="K188" s="10" t="n">
        <f aca="false">MAX(0,E188-E187)*Staffing!$P$9</f>
        <v>0</v>
      </c>
      <c r="L188" s="23" t="n">
        <f aca="false">ROUNDUP(E188,0)</f>
        <v>0</v>
      </c>
    </row>
    <row r="189" customFormat="false" ht="15" hidden="false" customHeight="false" outlineLevel="0" collapsed="false">
      <c r="A189" s="6" t="s">
        <v>72</v>
      </c>
      <c r="B189" s="6" t="s">
        <v>334</v>
      </c>
      <c r="C189" s="6" t="n">
        <v>4</v>
      </c>
      <c r="D189" s="25" t="n">
        <f aca="false">EDATE('Start Here'!$B$6,C189-1)</f>
        <v>46419</v>
      </c>
      <c r="E189" s="23" t="n">
        <f aca="false">IF(AND(C189&gt;=Staffing!$F$9,C189&lt;=Staffing!$G$9,1=1),IF(C189&lt;=6,Staffing!$H$9,IF(C189&lt;=15,Staffing!$I$9,IF(C189&lt;=30,Staffing!$J$9,Staffing!$K$9))),0)</f>
        <v>0</v>
      </c>
      <c r="F189" s="10" t="n">
        <f aca="false">E189*Staffing!$L$9/12*(1+Assumptions!$C$10)^INT((C189-1)/12)*1</f>
        <v>0</v>
      </c>
      <c r="G189" s="10" t="n">
        <f aca="false">F189*Staffing!$N$9</f>
        <v>0</v>
      </c>
      <c r="H189" s="10" t="n">
        <f aca="false">F189+G189</f>
        <v>0</v>
      </c>
      <c r="I189" s="10" t="n">
        <f aca="false">0</f>
        <v>0</v>
      </c>
      <c r="J189" s="10" t="n">
        <f aca="false">MAX(0,E189-E188)*Staffing!$O$9</f>
        <v>0</v>
      </c>
      <c r="K189" s="10" t="n">
        <f aca="false">MAX(0,E189-E188)*Staffing!$P$9</f>
        <v>0</v>
      </c>
      <c r="L189" s="23" t="n">
        <f aca="false">ROUNDUP(E189,0)</f>
        <v>0</v>
      </c>
    </row>
    <row r="190" customFormat="false" ht="15" hidden="false" customHeight="false" outlineLevel="0" collapsed="false">
      <c r="A190" s="6" t="s">
        <v>72</v>
      </c>
      <c r="B190" s="6" t="s">
        <v>334</v>
      </c>
      <c r="C190" s="6" t="n">
        <v>5</v>
      </c>
      <c r="D190" s="25" t="n">
        <f aca="false">EDATE('Start Here'!$B$6,C190-1)</f>
        <v>46447</v>
      </c>
      <c r="E190" s="23" t="n">
        <f aca="false">IF(AND(C190&gt;=Staffing!$F$9,C190&lt;=Staffing!$G$9,1=1),IF(C190&lt;=6,Staffing!$H$9,IF(C190&lt;=15,Staffing!$I$9,IF(C190&lt;=30,Staffing!$J$9,Staffing!$K$9))),0)</f>
        <v>0</v>
      </c>
      <c r="F190" s="10" t="n">
        <f aca="false">E190*Staffing!$L$9/12*(1+Assumptions!$C$10)^INT((C190-1)/12)*1</f>
        <v>0</v>
      </c>
      <c r="G190" s="10" t="n">
        <f aca="false">F190*Staffing!$N$9</f>
        <v>0</v>
      </c>
      <c r="H190" s="10" t="n">
        <f aca="false">F190+G190</f>
        <v>0</v>
      </c>
      <c r="I190" s="10" t="n">
        <f aca="false">0</f>
        <v>0</v>
      </c>
      <c r="J190" s="10" t="n">
        <f aca="false">MAX(0,E190-E189)*Staffing!$O$9</f>
        <v>0</v>
      </c>
      <c r="K190" s="10" t="n">
        <f aca="false">MAX(0,E190-E189)*Staffing!$P$9</f>
        <v>0</v>
      </c>
      <c r="L190" s="23" t="n">
        <f aca="false">ROUNDUP(E190,0)</f>
        <v>0</v>
      </c>
    </row>
    <row r="191" customFormat="false" ht="15" hidden="false" customHeight="false" outlineLevel="0" collapsed="false">
      <c r="A191" s="6" t="s">
        <v>72</v>
      </c>
      <c r="B191" s="6" t="s">
        <v>334</v>
      </c>
      <c r="C191" s="6" t="n">
        <v>6</v>
      </c>
      <c r="D191" s="25" t="n">
        <f aca="false">EDATE('Start Here'!$B$6,C191-1)</f>
        <v>46478</v>
      </c>
      <c r="E191" s="23" t="n">
        <f aca="false">IF(AND(C191&gt;=Staffing!$F$9,C191&lt;=Staffing!$G$9,1=1),IF(C191&lt;=6,Staffing!$H$9,IF(C191&lt;=15,Staffing!$I$9,IF(C191&lt;=30,Staffing!$J$9,Staffing!$K$9))),0)</f>
        <v>0</v>
      </c>
      <c r="F191" s="10" t="n">
        <f aca="false">E191*Staffing!$L$9/12*(1+Assumptions!$C$10)^INT((C191-1)/12)*1</f>
        <v>0</v>
      </c>
      <c r="G191" s="10" t="n">
        <f aca="false">F191*Staffing!$N$9</f>
        <v>0</v>
      </c>
      <c r="H191" s="10" t="n">
        <f aca="false">F191+G191</f>
        <v>0</v>
      </c>
      <c r="I191" s="10" t="n">
        <f aca="false">0</f>
        <v>0</v>
      </c>
      <c r="J191" s="10" t="n">
        <f aca="false">MAX(0,E191-E190)*Staffing!$O$9</f>
        <v>0</v>
      </c>
      <c r="K191" s="10" t="n">
        <f aca="false">MAX(0,E191-E190)*Staffing!$P$9</f>
        <v>0</v>
      </c>
      <c r="L191" s="23" t="n">
        <f aca="false">ROUNDUP(E191,0)</f>
        <v>0</v>
      </c>
    </row>
    <row r="192" customFormat="false" ht="15" hidden="false" customHeight="false" outlineLevel="0" collapsed="false">
      <c r="A192" s="6" t="s">
        <v>72</v>
      </c>
      <c r="B192" s="6" t="s">
        <v>334</v>
      </c>
      <c r="C192" s="6" t="n">
        <v>7</v>
      </c>
      <c r="D192" s="25" t="n">
        <f aca="false">EDATE('Start Here'!$B$6,C192-1)</f>
        <v>46508</v>
      </c>
      <c r="E192" s="11" t="n">
        <f aca="false">IF(AND(C192&gt;=Staffing!$F$9,C192&lt;=Staffing!$G$9,1=1),IF(C192&lt;=6,Staffing!$H$9,IF(C192&lt;=15,Staffing!$I$9,IF(C192&lt;=30,Staffing!$J$9,Staffing!$K$9))),0)</f>
        <v>0.5</v>
      </c>
      <c r="F192" s="10" t="n">
        <f aca="false">E192*Staffing!$L$9/12*(1+Assumptions!$C$10)^INT((C192-1)/12)*1</f>
        <v>5833.33333333333</v>
      </c>
      <c r="G192" s="10" t="n">
        <f aca="false">F192*Staffing!$N$9</f>
        <v>2333.33333333333</v>
      </c>
      <c r="H192" s="10" t="n">
        <f aca="false">F192+G192</f>
        <v>8166.66666666667</v>
      </c>
      <c r="I192" s="10" t="n">
        <f aca="false">0</f>
        <v>0</v>
      </c>
      <c r="J192" s="10" t="n">
        <f aca="false">MAX(0,E192-E191)*Staffing!$O$9</f>
        <v>2500</v>
      </c>
      <c r="K192" s="10" t="n">
        <f aca="false">MAX(0,E192-E191)*Staffing!$P$9</f>
        <v>1250</v>
      </c>
      <c r="L192" s="23" t="n">
        <f aca="false">ROUNDUP(E192,0)</f>
        <v>1</v>
      </c>
    </row>
    <row r="193" customFormat="false" ht="15" hidden="false" customHeight="false" outlineLevel="0" collapsed="false">
      <c r="A193" s="6" t="s">
        <v>72</v>
      </c>
      <c r="B193" s="6" t="s">
        <v>334</v>
      </c>
      <c r="C193" s="6" t="n">
        <v>8</v>
      </c>
      <c r="D193" s="25" t="n">
        <f aca="false">EDATE('Start Here'!$B$6,C193-1)</f>
        <v>46539</v>
      </c>
      <c r="E193" s="11" t="n">
        <f aca="false">IF(AND(C193&gt;=Staffing!$F$9,C193&lt;=Staffing!$G$9,1=1),IF(C193&lt;=6,Staffing!$H$9,IF(C193&lt;=15,Staffing!$I$9,IF(C193&lt;=30,Staffing!$J$9,Staffing!$K$9))),0)</f>
        <v>0.5</v>
      </c>
      <c r="F193" s="10" t="n">
        <f aca="false">E193*Staffing!$L$9/12*(1+Assumptions!$C$10)^INT((C193-1)/12)*1</f>
        <v>5833.33333333333</v>
      </c>
      <c r="G193" s="10" t="n">
        <f aca="false">F193*Staffing!$N$9</f>
        <v>2333.33333333333</v>
      </c>
      <c r="H193" s="10" t="n">
        <f aca="false">F193+G193</f>
        <v>8166.66666666667</v>
      </c>
      <c r="I193" s="10" t="n">
        <f aca="false">0</f>
        <v>0</v>
      </c>
      <c r="J193" s="10" t="n">
        <f aca="false">MAX(0,E193-E192)*Staffing!$O$9</f>
        <v>0</v>
      </c>
      <c r="K193" s="10" t="n">
        <f aca="false">MAX(0,E193-E192)*Staffing!$P$9</f>
        <v>0</v>
      </c>
      <c r="L193" s="23" t="n">
        <f aca="false">ROUNDUP(E193,0)</f>
        <v>1</v>
      </c>
    </row>
    <row r="194" customFormat="false" ht="15" hidden="false" customHeight="false" outlineLevel="0" collapsed="false">
      <c r="A194" s="6" t="s">
        <v>72</v>
      </c>
      <c r="B194" s="6" t="s">
        <v>334</v>
      </c>
      <c r="C194" s="6" t="n">
        <v>9</v>
      </c>
      <c r="D194" s="25" t="n">
        <f aca="false">EDATE('Start Here'!$B$6,C194-1)</f>
        <v>46569</v>
      </c>
      <c r="E194" s="11" t="n">
        <f aca="false">IF(AND(C194&gt;=Staffing!$F$9,C194&lt;=Staffing!$G$9,1=1),IF(C194&lt;=6,Staffing!$H$9,IF(C194&lt;=15,Staffing!$I$9,IF(C194&lt;=30,Staffing!$J$9,Staffing!$K$9))),0)</f>
        <v>0.5</v>
      </c>
      <c r="F194" s="10" t="n">
        <f aca="false">E194*Staffing!$L$9/12*(1+Assumptions!$C$10)^INT((C194-1)/12)*1</f>
        <v>5833.33333333333</v>
      </c>
      <c r="G194" s="10" t="n">
        <f aca="false">F194*Staffing!$N$9</f>
        <v>2333.33333333333</v>
      </c>
      <c r="H194" s="10" t="n">
        <f aca="false">F194+G194</f>
        <v>8166.66666666667</v>
      </c>
      <c r="I194" s="10" t="n">
        <f aca="false">0</f>
        <v>0</v>
      </c>
      <c r="J194" s="10" t="n">
        <f aca="false">MAX(0,E194-E193)*Staffing!$O$9</f>
        <v>0</v>
      </c>
      <c r="K194" s="10" t="n">
        <f aca="false">MAX(0,E194-E193)*Staffing!$P$9</f>
        <v>0</v>
      </c>
      <c r="L194" s="23" t="n">
        <f aca="false">ROUNDUP(E194,0)</f>
        <v>1</v>
      </c>
    </row>
    <row r="195" customFormat="false" ht="15" hidden="false" customHeight="false" outlineLevel="0" collapsed="false">
      <c r="A195" s="6" t="s">
        <v>72</v>
      </c>
      <c r="B195" s="6" t="s">
        <v>334</v>
      </c>
      <c r="C195" s="6" t="n">
        <v>10</v>
      </c>
      <c r="D195" s="25" t="n">
        <f aca="false">EDATE('Start Here'!$B$6,C195-1)</f>
        <v>46600</v>
      </c>
      <c r="E195" s="11" t="n">
        <f aca="false">IF(AND(C195&gt;=Staffing!$F$9,C195&lt;=Staffing!$G$9,1=1),IF(C195&lt;=6,Staffing!$H$9,IF(C195&lt;=15,Staffing!$I$9,IF(C195&lt;=30,Staffing!$J$9,Staffing!$K$9))),0)</f>
        <v>0.5</v>
      </c>
      <c r="F195" s="10" t="n">
        <f aca="false">E195*Staffing!$L$9/12*(1+Assumptions!$C$10)^INT((C195-1)/12)*1</f>
        <v>5833.33333333333</v>
      </c>
      <c r="G195" s="10" t="n">
        <f aca="false">F195*Staffing!$N$9</f>
        <v>2333.33333333333</v>
      </c>
      <c r="H195" s="10" t="n">
        <f aca="false">F195+G195</f>
        <v>8166.66666666667</v>
      </c>
      <c r="I195" s="10" t="n">
        <f aca="false">0</f>
        <v>0</v>
      </c>
      <c r="J195" s="10" t="n">
        <f aca="false">MAX(0,E195-E194)*Staffing!$O$9</f>
        <v>0</v>
      </c>
      <c r="K195" s="10" t="n">
        <f aca="false">MAX(0,E195-E194)*Staffing!$P$9</f>
        <v>0</v>
      </c>
      <c r="L195" s="23" t="n">
        <f aca="false">ROUNDUP(E195,0)</f>
        <v>1</v>
      </c>
    </row>
    <row r="196" customFormat="false" ht="15" hidden="false" customHeight="false" outlineLevel="0" collapsed="false">
      <c r="A196" s="6" t="s">
        <v>72</v>
      </c>
      <c r="B196" s="6" t="s">
        <v>334</v>
      </c>
      <c r="C196" s="6" t="n">
        <v>11</v>
      </c>
      <c r="D196" s="25" t="n">
        <f aca="false">EDATE('Start Here'!$B$6,C196-1)</f>
        <v>46631</v>
      </c>
      <c r="E196" s="11" t="n">
        <f aca="false">IF(AND(C196&gt;=Staffing!$F$9,C196&lt;=Staffing!$G$9,1=1),IF(C196&lt;=6,Staffing!$H$9,IF(C196&lt;=15,Staffing!$I$9,IF(C196&lt;=30,Staffing!$J$9,Staffing!$K$9))),0)</f>
        <v>0.5</v>
      </c>
      <c r="F196" s="10" t="n">
        <f aca="false">E196*Staffing!$L$9/12*(1+Assumptions!$C$10)^INT((C196-1)/12)*1</f>
        <v>5833.33333333333</v>
      </c>
      <c r="G196" s="10" t="n">
        <f aca="false">F196*Staffing!$N$9</f>
        <v>2333.33333333333</v>
      </c>
      <c r="H196" s="10" t="n">
        <f aca="false">F196+G196</f>
        <v>8166.66666666667</v>
      </c>
      <c r="I196" s="10" t="n">
        <f aca="false">0</f>
        <v>0</v>
      </c>
      <c r="J196" s="10" t="n">
        <f aca="false">MAX(0,E196-E195)*Staffing!$O$9</f>
        <v>0</v>
      </c>
      <c r="K196" s="10" t="n">
        <f aca="false">MAX(0,E196-E195)*Staffing!$P$9</f>
        <v>0</v>
      </c>
      <c r="L196" s="23" t="n">
        <f aca="false">ROUNDUP(E196,0)</f>
        <v>1</v>
      </c>
    </row>
    <row r="197" customFormat="false" ht="15" hidden="false" customHeight="false" outlineLevel="0" collapsed="false">
      <c r="A197" s="6" t="s">
        <v>72</v>
      </c>
      <c r="B197" s="6" t="s">
        <v>334</v>
      </c>
      <c r="C197" s="6" t="n">
        <v>12</v>
      </c>
      <c r="D197" s="25" t="n">
        <f aca="false">EDATE('Start Here'!$B$6,C197-1)</f>
        <v>46661</v>
      </c>
      <c r="E197" s="11" t="n">
        <f aca="false">IF(AND(C197&gt;=Staffing!$F$9,C197&lt;=Staffing!$G$9,1=1),IF(C197&lt;=6,Staffing!$H$9,IF(C197&lt;=15,Staffing!$I$9,IF(C197&lt;=30,Staffing!$J$9,Staffing!$K$9))),0)</f>
        <v>0.5</v>
      </c>
      <c r="F197" s="10" t="n">
        <f aca="false">E197*Staffing!$L$9/12*(1+Assumptions!$C$10)^INT((C197-1)/12)*1</f>
        <v>5833.33333333333</v>
      </c>
      <c r="G197" s="10" t="n">
        <f aca="false">F197*Staffing!$N$9</f>
        <v>2333.33333333333</v>
      </c>
      <c r="H197" s="10" t="n">
        <f aca="false">F197+G197</f>
        <v>8166.66666666667</v>
      </c>
      <c r="I197" s="10" t="n">
        <f aca="false">0</f>
        <v>0</v>
      </c>
      <c r="J197" s="10" t="n">
        <f aca="false">MAX(0,E197-E196)*Staffing!$O$9</f>
        <v>0</v>
      </c>
      <c r="K197" s="10" t="n">
        <f aca="false">MAX(0,E197-E196)*Staffing!$P$9</f>
        <v>0</v>
      </c>
      <c r="L197" s="23" t="n">
        <f aca="false">ROUNDUP(E197,0)</f>
        <v>1</v>
      </c>
    </row>
    <row r="198" customFormat="false" ht="15" hidden="false" customHeight="false" outlineLevel="0" collapsed="false">
      <c r="A198" s="6" t="s">
        <v>72</v>
      </c>
      <c r="B198" s="6" t="s">
        <v>334</v>
      </c>
      <c r="C198" s="6" t="n">
        <v>13</v>
      </c>
      <c r="D198" s="25" t="n">
        <f aca="false">EDATE('Start Here'!$B$6,C198-1)</f>
        <v>46692</v>
      </c>
      <c r="E198" s="11" t="n">
        <f aca="false">IF(AND(C198&gt;=Staffing!$F$9,C198&lt;=Staffing!$G$9,1=1),IF(C198&lt;=6,Staffing!$H$9,IF(C198&lt;=15,Staffing!$I$9,IF(C198&lt;=30,Staffing!$J$9,Staffing!$K$9))),0)</f>
        <v>0.5</v>
      </c>
      <c r="F198" s="10" t="n">
        <f aca="false">E198*Staffing!$L$9/12*(1+Assumptions!$C$10)^INT((C198-1)/12)*1</f>
        <v>6008.33333333333</v>
      </c>
      <c r="G198" s="10" t="n">
        <f aca="false">F198*Staffing!$N$9</f>
        <v>2403.33333333333</v>
      </c>
      <c r="H198" s="10" t="n">
        <f aca="false">F198+G198</f>
        <v>8411.66666666667</v>
      </c>
      <c r="I198" s="10" t="n">
        <f aca="false">0</f>
        <v>0</v>
      </c>
      <c r="J198" s="10" t="n">
        <f aca="false">MAX(0,E198-E197)*Staffing!$O$9</f>
        <v>0</v>
      </c>
      <c r="K198" s="10" t="n">
        <f aca="false">MAX(0,E198-E197)*Staffing!$P$9</f>
        <v>0</v>
      </c>
      <c r="L198" s="23" t="n">
        <f aca="false">ROUNDUP(E198,0)</f>
        <v>1</v>
      </c>
    </row>
    <row r="199" customFormat="false" ht="15" hidden="false" customHeight="false" outlineLevel="0" collapsed="false">
      <c r="A199" s="6" t="s">
        <v>72</v>
      </c>
      <c r="B199" s="6" t="s">
        <v>334</v>
      </c>
      <c r="C199" s="6" t="n">
        <v>14</v>
      </c>
      <c r="D199" s="25" t="n">
        <f aca="false">EDATE('Start Here'!$B$6,C199-1)</f>
        <v>46722</v>
      </c>
      <c r="E199" s="11" t="n">
        <f aca="false">IF(AND(C199&gt;=Staffing!$F$9,C199&lt;=Staffing!$G$9,1=1),IF(C199&lt;=6,Staffing!$H$9,IF(C199&lt;=15,Staffing!$I$9,IF(C199&lt;=30,Staffing!$J$9,Staffing!$K$9))),0)</f>
        <v>0.5</v>
      </c>
      <c r="F199" s="10" t="n">
        <f aca="false">E199*Staffing!$L$9/12*(1+Assumptions!$C$10)^INT((C199-1)/12)*1</f>
        <v>6008.33333333333</v>
      </c>
      <c r="G199" s="10" t="n">
        <f aca="false">F199*Staffing!$N$9</f>
        <v>2403.33333333333</v>
      </c>
      <c r="H199" s="10" t="n">
        <f aca="false">F199+G199</f>
        <v>8411.66666666667</v>
      </c>
      <c r="I199" s="10" t="n">
        <f aca="false">0</f>
        <v>0</v>
      </c>
      <c r="J199" s="10" t="n">
        <f aca="false">MAX(0,E199-E198)*Staffing!$O$9</f>
        <v>0</v>
      </c>
      <c r="K199" s="10" t="n">
        <f aca="false">MAX(0,E199-E198)*Staffing!$P$9</f>
        <v>0</v>
      </c>
      <c r="L199" s="23" t="n">
        <f aca="false">ROUNDUP(E199,0)</f>
        <v>1</v>
      </c>
    </row>
    <row r="200" customFormat="false" ht="15" hidden="false" customHeight="false" outlineLevel="0" collapsed="false">
      <c r="A200" s="6" t="s">
        <v>72</v>
      </c>
      <c r="B200" s="6" t="s">
        <v>334</v>
      </c>
      <c r="C200" s="6" t="n">
        <v>15</v>
      </c>
      <c r="D200" s="25" t="n">
        <f aca="false">EDATE('Start Here'!$B$6,C200-1)</f>
        <v>46753</v>
      </c>
      <c r="E200" s="11" t="n">
        <f aca="false">IF(AND(C200&gt;=Staffing!$F$9,C200&lt;=Staffing!$G$9,1=1),IF(C200&lt;=6,Staffing!$H$9,IF(C200&lt;=15,Staffing!$I$9,IF(C200&lt;=30,Staffing!$J$9,Staffing!$K$9))),0)</f>
        <v>0.5</v>
      </c>
      <c r="F200" s="10" t="n">
        <f aca="false">E200*Staffing!$L$9/12*(1+Assumptions!$C$10)^INT((C200-1)/12)*1</f>
        <v>6008.33333333333</v>
      </c>
      <c r="G200" s="10" t="n">
        <f aca="false">F200*Staffing!$N$9</f>
        <v>2403.33333333333</v>
      </c>
      <c r="H200" s="10" t="n">
        <f aca="false">F200+G200</f>
        <v>8411.66666666667</v>
      </c>
      <c r="I200" s="10" t="n">
        <f aca="false">0</f>
        <v>0</v>
      </c>
      <c r="J200" s="10" t="n">
        <f aca="false">MAX(0,E200-E199)*Staffing!$O$9</f>
        <v>0</v>
      </c>
      <c r="K200" s="10" t="n">
        <f aca="false">MAX(0,E200-E199)*Staffing!$P$9</f>
        <v>0</v>
      </c>
      <c r="L200" s="23" t="n">
        <f aca="false">ROUNDUP(E200,0)</f>
        <v>1</v>
      </c>
    </row>
    <row r="201" customFormat="false" ht="15" hidden="false" customHeight="false" outlineLevel="0" collapsed="false">
      <c r="A201" s="6" t="s">
        <v>72</v>
      </c>
      <c r="B201" s="6" t="s">
        <v>334</v>
      </c>
      <c r="C201" s="6" t="n">
        <v>16</v>
      </c>
      <c r="D201" s="25" t="n">
        <f aca="false">EDATE('Start Here'!$B$6,C201-1)</f>
        <v>46784</v>
      </c>
      <c r="E201" s="11" t="n">
        <f aca="false">IF(AND(C201&gt;=Staffing!$F$9,C201&lt;=Staffing!$G$9,1=1),IF(C201&lt;=6,Staffing!$H$9,IF(C201&lt;=15,Staffing!$I$9,IF(C201&lt;=30,Staffing!$J$9,Staffing!$K$9))),0)</f>
        <v>0.75</v>
      </c>
      <c r="F201" s="10" t="n">
        <f aca="false">E201*Staffing!$L$9/12*(1+Assumptions!$C$10)^INT((C201-1)/12)*1</f>
        <v>9012.5</v>
      </c>
      <c r="G201" s="10" t="n">
        <f aca="false">F201*Staffing!$N$9</f>
        <v>3605</v>
      </c>
      <c r="H201" s="10" t="n">
        <f aca="false">F201+G201</f>
        <v>12617.5</v>
      </c>
      <c r="I201" s="10" t="n">
        <f aca="false">0</f>
        <v>0</v>
      </c>
      <c r="J201" s="10" t="n">
        <f aca="false">MAX(0,E201-E200)*Staffing!$O$9</f>
        <v>1250</v>
      </c>
      <c r="K201" s="10" t="n">
        <f aca="false">MAX(0,E201-E200)*Staffing!$P$9</f>
        <v>625</v>
      </c>
      <c r="L201" s="23" t="n">
        <f aca="false">ROUNDUP(E201,0)</f>
        <v>1</v>
      </c>
    </row>
    <row r="202" customFormat="false" ht="15" hidden="false" customHeight="false" outlineLevel="0" collapsed="false">
      <c r="A202" s="6" t="s">
        <v>72</v>
      </c>
      <c r="B202" s="6" t="s">
        <v>334</v>
      </c>
      <c r="C202" s="6" t="n">
        <v>17</v>
      </c>
      <c r="D202" s="25" t="n">
        <f aca="false">EDATE('Start Here'!$B$6,C202-1)</f>
        <v>46813</v>
      </c>
      <c r="E202" s="11" t="n">
        <f aca="false">IF(AND(C202&gt;=Staffing!$F$9,C202&lt;=Staffing!$G$9,1=1),IF(C202&lt;=6,Staffing!$H$9,IF(C202&lt;=15,Staffing!$I$9,IF(C202&lt;=30,Staffing!$J$9,Staffing!$K$9))),0)</f>
        <v>0.75</v>
      </c>
      <c r="F202" s="10" t="n">
        <f aca="false">E202*Staffing!$L$9/12*(1+Assumptions!$C$10)^INT((C202-1)/12)*1</f>
        <v>9012.5</v>
      </c>
      <c r="G202" s="10" t="n">
        <f aca="false">F202*Staffing!$N$9</f>
        <v>3605</v>
      </c>
      <c r="H202" s="10" t="n">
        <f aca="false">F202+G202</f>
        <v>12617.5</v>
      </c>
      <c r="I202" s="10" t="n">
        <f aca="false">0</f>
        <v>0</v>
      </c>
      <c r="J202" s="10" t="n">
        <f aca="false">MAX(0,E202-E201)*Staffing!$O$9</f>
        <v>0</v>
      </c>
      <c r="K202" s="10" t="n">
        <f aca="false">MAX(0,E202-E201)*Staffing!$P$9</f>
        <v>0</v>
      </c>
      <c r="L202" s="23" t="n">
        <f aca="false">ROUNDUP(E202,0)</f>
        <v>1</v>
      </c>
    </row>
    <row r="203" customFormat="false" ht="15" hidden="false" customHeight="false" outlineLevel="0" collapsed="false">
      <c r="A203" s="6" t="s">
        <v>72</v>
      </c>
      <c r="B203" s="6" t="s">
        <v>334</v>
      </c>
      <c r="C203" s="6" t="n">
        <v>18</v>
      </c>
      <c r="D203" s="25" t="n">
        <f aca="false">EDATE('Start Here'!$B$6,C203-1)</f>
        <v>46844</v>
      </c>
      <c r="E203" s="11" t="n">
        <f aca="false">IF(AND(C203&gt;=Staffing!$F$9,C203&lt;=Staffing!$G$9,1=1),IF(C203&lt;=6,Staffing!$H$9,IF(C203&lt;=15,Staffing!$I$9,IF(C203&lt;=30,Staffing!$J$9,Staffing!$K$9))),0)</f>
        <v>0.75</v>
      </c>
      <c r="F203" s="10" t="n">
        <f aca="false">E203*Staffing!$L$9/12*(1+Assumptions!$C$10)^INT((C203-1)/12)*1</f>
        <v>9012.5</v>
      </c>
      <c r="G203" s="10" t="n">
        <f aca="false">F203*Staffing!$N$9</f>
        <v>3605</v>
      </c>
      <c r="H203" s="10" t="n">
        <f aca="false">F203+G203</f>
        <v>12617.5</v>
      </c>
      <c r="I203" s="10" t="n">
        <f aca="false">0</f>
        <v>0</v>
      </c>
      <c r="J203" s="10" t="n">
        <f aca="false">MAX(0,E203-E202)*Staffing!$O$9</f>
        <v>0</v>
      </c>
      <c r="K203" s="10" t="n">
        <f aca="false">MAX(0,E203-E202)*Staffing!$P$9</f>
        <v>0</v>
      </c>
      <c r="L203" s="23" t="n">
        <f aca="false">ROUNDUP(E203,0)</f>
        <v>1</v>
      </c>
    </row>
    <row r="204" customFormat="false" ht="15" hidden="false" customHeight="false" outlineLevel="0" collapsed="false">
      <c r="A204" s="6" t="s">
        <v>72</v>
      </c>
      <c r="B204" s="6" t="s">
        <v>334</v>
      </c>
      <c r="C204" s="6" t="n">
        <v>19</v>
      </c>
      <c r="D204" s="25" t="n">
        <f aca="false">EDATE('Start Here'!$B$6,C204-1)</f>
        <v>46874</v>
      </c>
      <c r="E204" s="11" t="n">
        <f aca="false">IF(AND(C204&gt;=Staffing!$F$9,C204&lt;=Staffing!$G$9,1=1),IF(C204&lt;=6,Staffing!$H$9,IF(C204&lt;=15,Staffing!$I$9,IF(C204&lt;=30,Staffing!$J$9,Staffing!$K$9))),0)</f>
        <v>0.75</v>
      </c>
      <c r="F204" s="10" t="n">
        <f aca="false">E204*Staffing!$L$9/12*(1+Assumptions!$C$10)^INT((C204-1)/12)*1</f>
        <v>9012.5</v>
      </c>
      <c r="G204" s="10" t="n">
        <f aca="false">F204*Staffing!$N$9</f>
        <v>3605</v>
      </c>
      <c r="H204" s="10" t="n">
        <f aca="false">F204+G204</f>
        <v>12617.5</v>
      </c>
      <c r="I204" s="10" t="n">
        <f aca="false">0</f>
        <v>0</v>
      </c>
      <c r="J204" s="10" t="n">
        <f aca="false">MAX(0,E204-E203)*Staffing!$O$9</f>
        <v>0</v>
      </c>
      <c r="K204" s="10" t="n">
        <f aca="false">MAX(0,E204-E203)*Staffing!$P$9</f>
        <v>0</v>
      </c>
      <c r="L204" s="23" t="n">
        <f aca="false">ROUNDUP(E204,0)</f>
        <v>1</v>
      </c>
    </row>
    <row r="205" customFormat="false" ht="15" hidden="false" customHeight="false" outlineLevel="0" collapsed="false">
      <c r="A205" s="6" t="s">
        <v>72</v>
      </c>
      <c r="B205" s="6" t="s">
        <v>334</v>
      </c>
      <c r="C205" s="6" t="n">
        <v>20</v>
      </c>
      <c r="D205" s="25" t="n">
        <f aca="false">EDATE('Start Here'!$B$6,C205-1)</f>
        <v>46905</v>
      </c>
      <c r="E205" s="11" t="n">
        <f aca="false">IF(AND(C205&gt;=Staffing!$F$9,C205&lt;=Staffing!$G$9,1=1),IF(C205&lt;=6,Staffing!$H$9,IF(C205&lt;=15,Staffing!$I$9,IF(C205&lt;=30,Staffing!$J$9,Staffing!$K$9))),0)</f>
        <v>0.75</v>
      </c>
      <c r="F205" s="10" t="n">
        <f aca="false">E205*Staffing!$L$9/12*(1+Assumptions!$C$10)^INT((C205-1)/12)*1</f>
        <v>9012.5</v>
      </c>
      <c r="G205" s="10" t="n">
        <f aca="false">F205*Staffing!$N$9</f>
        <v>3605</v>
      </c>
      <c r="H205" s="10" t="n">
        <f aca="false">F205+G205</f>
        <v>12617.5</v>
      </c>
      <c r="I205" s="10" t="n">
        <f aca="false">0</f>
        <v>0</v>
      </c>
      <c r="J205" s="10" t="n">
        <f aca="false">MAX(0,E205-E204)*Staffing!$O$9</f>
        <v>0</v>
      </c>
      <c r="K205" s="10" t="n">
        <f aca="false">MAX(0,E205-E204)*Staffing!$P$9</f>
        <v>0</v>
      </c>
      <c r="L205" s="23" t="n">
        <f aca="false">ROUNDUP(E205,0)</f>
        <v>1</v>
      </c>
    </row>
    <row r="206" customFormat="false" ht="15" hidden="false" customHeight="false" outlineLevel="0" collapsed="false">
      <c r="A206" s="6" t="s">
        <v>72</v>
      </c>
      <c r="B206" s="6" t="s">
        <v>334</v>
      </c>
      <c r="C206" s="6" t="n">
        <v>21</v>
      </c>
      <c r="D206" s="25" t="n">
        <f aca="false">EDATE('Start Here'!$B$6,C206-1)</f>
        <v>46935</v>
      </c>
      <c r="E206" s="11" t="n">
        <f aca="false">IF(AND(C206&gt;=Staffing!$F$9,C206&lt;=Staffing!$G$9,1=1),IF(C206&lt;=6,Staffing!$H$9,IF(C206&lt;=15,Staffing!$I$9,IF(C206&lt;=30,Staffing!$J$9,Staffing!$K$9))),0)</f>
        <v>0.75</v>
      </c>
      <c r="F206" s="10" t="n">
        <f aca="false">E206*Staffing!$L$9/12*(1+Assumptions!$C$10)^INT((C206-1)/12)*1</f>
        <v>9012.5</v>
      </c>
      <c r="G206" s="10" t="n">
        <f aca="false">F206*Staffing!$N$9</f>
        <v>3605</v>
      </c>
      <c r="H206" s="10" t="n">
        <f aca="false">F206+G206</f>
        <v>12617.5</v>
      </c>
      <c r="I206" s="10" t="n">
        <f aca="false">0</f>
        <v>0</v>
      </c>
      <c r="J206" s="10" t="n">
        <f aca="false">MAX(0,E206-E205)*Staffing!$O$9</f>
        <v>0</v>
      </c>
      <c r="K206" s="10" t="n">
        <f aca="false">MAX(0,E206-E205)*Staffing!$P$9</f>
        <v>0</v>
      </c>
      <c r="L206" s="23" t="n">
        <f aca="false">ROUNDUP(E206,0)</f>
        <v>1</v>
      </c>
    </row>
    <row r="207" customFormat="false" ht="15" hidden="false" customHeight="false" outlineLevel="0" collapsed="false">
      <c r="A207" s="6" t="s">
        <v>72</v>
      </c>
      <c r="B207" s="6" t="s">
        <v>334</v>
      </c>
      <c r="C207" s="6" t="n">
        <v>22</v>
      </c>
      <c r="D207" s="25" t="n">
        <f aca="false">EDATE('Start Here'!$B$6,C207-1)</f>
        <v>46966</v>
      </c>
      <c r="E207" s="11" t="n">
        <f aca="false">IF(AND(C207&gt;=Staffing!$F$9,C207&lt;=Staffing!$G$9,1=1),IF(C207&lt;=6,Staffing!$H$9,IF(C207&lt;=15,Staffing!$I$9,IF(C207&lt;=30,Staffing!$J$9,Staffing!$K$9))),0)</f>
        <v>0.75</v>
      </c>
      <c r="F207" s="10" t="n">
        <f aca="false">E207*Staffing!$L$9/12*(1+Assumptions!$C$10)^INT((C207-1)/12)*1</f>
        <v>9012.5</v>
      </c>
      <c r="G207" s="10" t="n">
        <f aca="false">F207*Staffing!$N$9</f>
        <v>3605</v>
      </c>
      <c r="H207" s="10" t="n">
        <f aca="false">F207+G207</f>
        <v>12617.5</v>
      </c>
      <c r="I207" s="10" t="n">
        <f aca="false">0</f>
        <v>0</v>
      </c>
      <c r="J207" s="10" t="n">
        <f aca="false">MAX(0,E207-E206)*Staffing!$O$9</f>
        <v>0</v>
      </c>
      <c r="K207" s="10" t="n">
        <f aca="false">MAX(0,E207-E206)*Staffing!$P$9</f>
        <v>0</v>
      </c>
      <c r="L207" s="23" t="n">
        <f aca="false">ROUNDUP(E207,0)</f>
        <v>1</v>
      </c>
    </row>
    <row r="208" customFormat="false" ht="15" hidden="false" customHeight="false" outlineLevel="0" collapsed="false">
      <c r="A208" s="6" t="s">
        <v>72</v>
      </c>
      <c r="B208" s="6" t="s">
        <v>334</v>
      </c>
      <c r="C208" s="6" t="n">
        <v>23</v>
      </c>
      <c r="D208" s="25" t="n">
        <f aca="false">EDATE('Start Here'!$B$6,C208-1)</f>
        <v>46997</v>
      </c>
      <c r="E208" s="11" t="n">
        <f aca="false">IF(AND(C208&gt;=Staffing!$F$9,C208&lt;=Staffing!$G$9,1=1),IF(C208&lt;=6,Staffing!$H$9,IF(C208&lt;=15,Staffing!$I$9,IF(C208&lt;=30,Staffing!$J$9,Staffing!$K$9))),0)</f>
        <v>0.75</v>
      </c>
      <c r="F208" s="10" t="n">
        <f aca="false">E208*Staffing!$L$9/12*(1+Assumptions!$C$10)^INT((C208-1)/12)*1</f>
        <v>9012.5</v>
      </c>
      <c r="G208" s="10" t="n">
        <f aca="false">F208*Staffing!$N$9</f>
        <v>3605</v>
      </c>
      <c r="H208" s="10" t="n">
        <f aca="false">F208+G208</f>
        <v>12617.5</v>
      </c>
      <c r="I208" s="10" t="n">
        <f aca="false">0</f>
        <v>0</v>
      </c>
      <c r="J208" s="10" t="n">
        <f aca="false">MAX(0,E208-E207)*Staffing!$O$9</f>
        <v>0</v>
      </c>
      <c r="K208" s="10" t="n">
        <f aca="false">MAX(0,E208-E207)*Staffing!$P$9</f>
        <v>0</v>
      </c>
      <c r="L208" s="23" t="n">
        <f aca="false">ROUNDUP(E208,0)</f>
        <v>1</v>
      </c>
    </row>
    <row r="209" customFormat="false" ht="15" hidden="false" customHeight="false" outlineLevel="0" collapsed="false">
      <c r="A209" s="6" t="s">
        <v>72</v>
      </c>
      <c r="B209" s="6" t="s">
        <v>334</v>
      </c>
      <c r="C209" s="6" t="n">
        <v>24</v>
      </c>
      <c r="D209" s="25" t="n">
        <f aca="false">EDATE('Start Here'!$B$6,C209-1)</f>
        <v>47027</v>
      </c>
      <c r="E209" s="11" t="n">
        <f aca="false">IF(AND(C209&gt;=Staffing!$F$9,C209&lt;=Staffing!$G$9,1=1),IF(C209&lt;=6,Staffing!$H$9,IF(C209&lt;=15,Staffing!$I$9,IF(C209&lt;=30,Staffing!$J$9,Staffing!$K$9))),0)</f>
        <v>0.75</v>
      </c>
      <c r="F209" s="10" t="n">
        <f aca="false">E209*Staffing!$L$9/12*(1+Assumptions!$C$10)^INT((C209-1)/12)*1</f>
        <v>9012.5</v>
      </c>
      <c r="G209" s="10" t="n">
        <f aca="false">F209*Staffing!$N$9</f>
        <v>3605</v>
      </c>
      <c r="H209" s="10" t="n">
        <f aca="false">F209+G209</f>
        <v>12617.5</v>
      </c>
      <c r="I209" s="10" t="n">
        <f aca="false">0</f>
        <v>0</v>
      </c>
      <c r="J209" s="10" t="n">
        <f aca="false">MAX(0,E209-E208)*Staffing!$O$9</f>
        <v>0</v>
      </c>
      <c r="K209" s="10" t="n">
        <f aca="false">MAX(0,E209-E208)*Staffing!$P$9</f>
        <v>0</v>
      </c>
      <c r="L209" s="23" t="n">
        <f aca="false">ROUNDUP(E209,0)</f>
        <v>1</v>
      </c>
    </row>
    <row r="210" customFormat="false" ht="15" hidden="false" customHeight="false" outlineLevel="0" collapsed="false">
      <c r="A210" s="6" t="s">
        <v>72</v>
      </c>
      <c r="B210" s="6" t="s">
        <v>334</v>
      </c>
      <c r="C210" s="6" t="n">
        <v>25</v>
      </c>
      <c r="D210" s="25" t="n">
        <f aca="false">EDATE('Start Here'!$B$6,C210-1)</f>
        <v>47058</v>
      </c>
      <c r="E210" s="11" t="n">
        <f aca="false">IF(AND(C210&gt;=Staffing!$F$9,C210&lt;=Staffing!$G$9,1=1),IF(C210&lt;=6,Staffing!$H$9,IF(C210&lt;=15,Staffing!$I$9,IF(C210&lt;=30,Staffing!$J$9,Staffing!$K$9))),0)</f>
        <v>0.75</v>
      </c>
      <c r="F210" s="10" t="n">
        <f aca="false">E210*Staffing!$L$9/12*(1+Assumptions!$C$10)^INT((C210-1)/12)*1</f>
        <v>9282.875</v>
      </c>
      <c r="G210" s="10" t="n">
        <f aca="false">F210*Staffing!$N$9</f>
        <v>3713.15</v>
      </c>
      <c r="H210" s="10" t="n">
        <f aca="false">F210+G210</f>
        <v>12996.025</v>
      </c>
      <c r="I210" s="10" t="n">
        <f aca="false">0</f>
        <v>0</v>
      </c>
      <c r="J210" s="10" t="n">
        <f aca="false">MAX(0,E210-E209)*Staffing!$O$9</f>
        <v>0</v>
      </c>
      <c r="K210" s="10" t="n">
        <f aca="false">MAX(0,E210-E209)*Staffing!$P$9</f>
        <v>0</v>
      </c>
      <c r="L210" s="23" t="n">
        <f aca="false">ROUNDUP(E210,0)</f>
        <v>1</v>
      </c>
    </row>
    <row r="211" customFormat="false" ht="15" hidden="false" customHeight="false" outlineLevel="0" collapsed="false">
      <c r="A211" s="6" t="s">
        <v>72</v>
      </c>
      <c r="B211" s="6" t="s">
        <v>334</v>
      </c>
      <c r="C211" s="6" t="n">
        <v>26</v>
      </c>
      <c r="D211" s="25" t="n">
        <f aca="false">EDATE('Start Here'!$B$6,C211-1)</f>
        <v>47088</v>
      </c>
      <c r="E211" s="11" t="n">
        <f aca="false">IF(AND(C211&gt;=Staffing!$F$9,C211&lt;=Staffing!$G$9,1=1),IF(C211&lt;=6,Staffing!$H$9,IF(C211&lt;=15,Staffing!$I$9,IF(C211&lt;=30,Staffing!$J$9,Staffing!$K$9))),0)</f>
        <v>0.75</v>
      </c>
      <c r="F211" s="10" t="n">
        <f aca="false">E211*Staffing!$L$9/12*(1+Assumptions!$C$10)^INT((C211-1)/12)*1</f>
        <v>9282.875</v>
      </c>
      <c r="G211" s="10" t="n">
        <f aca="false">F211*Staffing!$N$9</f>
        <v>3713.15</v>
      </c>
      <c r="H211" s="10" t="n">
        <f aca="false">F211+G211</f>
        <v>12996.025</v>
      </c>
      <c r="I211" s="10" t="n">
        <f aca="false">0</f>
        <v>0</v>
      </c>
      <c r="J211" s="10" t="n">
        <f aca="false">MAX(0,E211-E210)*Staffing!$O$9</f>
        <v>0</v>
      </c>
      <c r="K211" s="10" t="n">
        <f aca="false">MAX(0,E211-E210)*Staffing!$P$9</f>
        <v>0</v>
      </c>
      <c r="L211" s="23" t="n">
        <f aca="false">ROUNDUP(E211,0)</f>
        <v>1</v>
      </c>
    </row>
    <row r="212" customFormat="false" ht="15" hidden="false" customHeight="false" outlineLevel="0" collapsed="false">
      <c r="A212" s="6" t="s">
        <v>72</v>
      </c>
      <c r="B212" s="6" t="s">
        <v>334</v>
      </c>
      <c r="C212" s="6" t="n">
        <v>27</v>
      </c>
      <c r="D212" s="25" t="n">
        <f aca="false">EDATE('Start Here'!$B$6,C212-1)</f>
        <v>47119</v>
      </c>
      <c r="E212" s="11" t="n">
        <f aca="false">IF(AND(C212&gt;=Staffing!$F$9,C212&lt;=Staffing!$G$9,1=1),IF(C212&lt;=6,Staffing!$H$9,IF(C212&lt;=15,Staffing!$I$9,IF(C212&lt;=30,Staffing!$J$9,Staffing!$K$9))),0)</f>
        <v>0.75</v>
      </c>
      <c r="F212" s="10" t="n">
        <f aca="false">E212*Staffing!$L$9/12*(1+Assumptions!$C$10)^INT((C212-1)/12)*1</f>
        <v>9282.875</v>
      </c>
      <c r="G212" s="10" t="n">
        <f aca="false">F212*Staffing!$N$9</f>
        <v>3713.15</v>
      </c>
      <c r="H212" s="10" t="n">
        <f aca="false">F212+G212</f>
        <v>12996.025</v>
      </c>
      <c r="I212" s="10" t="n">
        <f aca="false">0</f>
        <v>0</v>
      </c>
      <c r="J212" s="10" t="n">
        <f aca="false">MAX(0,E212-E211)*Staffing!$O$9</f>
        <v>0</v>
      </c>
      <c r="K212" s="10" t="n">
        <f aca="false">MAX(0,E212-E211)*Staffing!$P$9</f>
        <v>0</v>
      </c>
      <c r="L212" s="23" t="n">
        <f aca="false">ROUNDUP(E212,0)</f>
        <v>1</v>
      </c>
    </row>
    <row r="213" customFormat="false" ht="15" hidden="false" customHeight="false" outlineLevel="0" collapsed="false">
      <c r="A213" s="6" t="s">
        <v>72</v>
      </c>
      <c r="B213" s="6" t="s">
        <v>334</v>
      </c>
      <c r="C213" s="6" t="n">
        <v>28</v>
      </c>
      <c r="D213" s="25" t="n">
        <f aca="false">EDATE('Start Here'!$B$6,C213-1)</f>
        <v>47150</v>
      </c>
      <c r="E213" s="11" t="n">
        <f aca="false">IF(AND(C213&gt;=Staffing!$F$9,C213&lt;=Staffing!$G$9,1=1),IF(C213&lt;=6,Staffing!$H$9,IF(C213&lt;=15,Staffing!$I$9,IF(C213&lt;=30,Staffing!$J$9,Staffing!$K$9))),0)</f>
        <v>0.75</v>
      </c>
      <c r="F213" s="10" t="n">
        <f aca="false">E213*Staffing!$L$9/12*(1+Assumptions!$C$10)^INT((C213-1)/12)*1</f>
        <v>9282.875</v>
      </c>
      <c r="G213" s="10" t="n">
        <f aca="false">F213*Staffing!$N$9</f>
        <v>3713.15</v>
      </c>
      <c r="H213" s="10" t="n">
        <f aca="false">F213+G213</f>
        <v>12996.025</v>
      </c>
      <c r="I213" s="10" t="n">
        <f aca="false">0</f>
        <v>0</v>
      </c>
      <c r="J213" s="10" t="n">
        <f aca="false">MAX(0,E213-E212)*Staffing!$O$9</f>
        <v>0</v>
      </c>
      <c r="K213" s="10" t="n">
        <f aca="false">MAX(0,E213-E212)*Staffing!$P$9</f>
        <v>0</v>
      </c>
      <c r="L213" s="23" t="n">
        <f aca="false">ROUNDUP(E213,0)</f>
        <v>1</v>
      </c>
    </row>
    <row r="214" customFormat="false" ht="15" hidden="false" customHeight="false" outlineLevel="0" collapsed="false">
      <c r="A214" s="6" t="s">
        <v>72</v>
      </c>
      <c r="B214" s="6" t="s">
        <v>334</v>
      </c>
      <c r="C214" s="6" t="n">
        <v>29</v>
      </c>
      <c r="D214" s="25" t="n">
        <f aca="false">EDATE('Start Here'!$B$6,C214-1)</f>
        <v>47178</v>
      </c>
      <c r="E214" s="11" t="n">
        <f aca="false">IF(AND(C214&gt;=Staffing!$F$9,C214&lt;=Staffing!$G$9,1=1),IF(C214&lt;=6,Staffing!$H$9,IF(C214&lt;=15,Staffing!$I$9,IF(C214&lt;=30,Staffing!$J$9,Staffing!$K$9))),0)</f>
        <v>0.75</v>
      </c>
      <c r="F214" s="10" t="n">
        <f aca="false">E214*Staffing!$L$9/12*(1+Assumptions!$C$10)^INT((C214-1)/12)*1</f>
        <v>9282.875</v>
      </c>
      <c r="G214" s="10" t="n">
        <f aca="false">F214*Staffing!$N$9</f>
        <v>3713.15</v>
      </c>
      <c r="H214" s="10" t="n">
        <f aca="false">F214+G214</f>
        <v>12996.025</v>
      </c>
      <c r="I214" s="10" t="n">
        <f aca="false">0</f>
        <v>0</v>
      </c>
      <c r="J214" s="10" t="n">
        <f aca="false">MAX(0,E214-E213)*Staffing!$O$9</f>
        <v>0</v>
      </c>
      <c r="K214" s="10" t="n">
        <f aca="false">MAX(0,E214-E213)*Staffing!$P$9</f>
        <v>0</v>
      </c>
      <c r="L214" s="23" t="n">
        <f aca="false">ROUNDUP(E214,0)</f>
        <v>1</v>
      </c>
    </row>
    <row r="215" customFormat="false" ht="15" hidden="false" customHeight="false" outlineLevel="0" collapsed="false">
      <c r="A215" s="6" t="s">
        <v>72</v>
      </c>
      <c r="B215" s="6" t="s">
        <v>334</v>
      </c>
      <c r="C215" s="6" t="n">
        <v>30</v>
      </c>
      <c r="D215" s="25" t="n">
        <f aca="false">EDATE('Start Here'!$B$6,C215-1)</f>
        <v>47209</v>
      </c>
      <c r="E215" s="11" t="n">
        <f aca="false">IF(AND(C215&gt;=Staffing!$F$9,C215&lt;=Staffing!$G$9,1=1),IF(C215&lt;=6,Staffing!$H$9,IF(C215&lt;=15,Staffing!$I$9,IF(C215&lt;=30,Staffing!$J$9,Staffing!$K$9))),0)</f>
        <v>0.75</v>
      </c>
      <c r="F215" s="10" t="n">
        <f aca="false">E215*Staffing!$L$9/12*(1+Assumptions!$C$10)^INT((C215-1)/12)*1</f>
        <v>9282.875</v>
      </c>
      <c r="G215" s="10" t="n">
        <f aca="false">F215*Staffing!$N$9</f>
        <v>3713.15</v>
      </c>
      <c r="H215" s="10" t="n">
        <f aca="false">F215+G215</f>
        <v>12996.025</v>
      </c>
      <c r="I215" s="10" t="n">
        <f aca="false">0</f>
        <v>0</v>
      </c>
      <c r="J215" s="10" t="n">
        <f aca="false">MAX(0,E215-E214)*Staffing!$O$9</f>
        <v>0</v>
      </c>
      <c r="K215" s="10" t="n">
        <f aca="false">MAX(0,E215-E214)*Staffing!$P$9</f>
        <v>0</v>
      </c>
      <c r="L215" s="23" t="n">
        <f aca="false">ROUNDUP(E215,0)</f>
        <v>1</v>
      </c>
    </row>
    <row r="216" customFormat="false" ht="15" hidden="false" customHeight="false" outlineLevel="0" collapsed="false">
      <c r="A216" s="6" t="s">
        <v>72</v>
      </c>
      <c r="B216" s="6" t="s">
        <v>334</v>
      </c>
      <c r="C216" s="6" t="n">
        <v>31</v>
      </c>
      <c r="D216" s="25" t="n">
        <f aca="false">EDATE('Start Here'!$B$6,C216-1)</f>
        <v>47239</v>
      </c>
      <c r="E216" s="11" t="n">
        <f aca="false">IF(AND(C216&gt;=Staffing!$F$9,C216&lt;=Staffing!$G$9,1=1),IF(C216&lt;=6,Staffing!$H$9,IF(C216&lt;=15,Staffing!$I$9,IF(C216&lt;=30,Staffing!$J$9,Staffing!$K$9))),0)</f>
        <v>1</v>
      </c>
      <c r="F216" s="10" t="n">
        <f aca="false">E216*Staffing!$L$9/12*(1+Assumptions!$C$10)^INT((C216-1)/12)*1</f>
        <v>12377.1666666667</v>
      </c>
      <c r="G216" s="10" t="n">
        <f aca="false">F216*Staffing!$N$9</f>
        <v>4950.86666666667</v>
      </c>
      <c r="H216" s="10" t="n">
        <f aca="false">F216+G216</f>
        <v>17328.0333333333</v>
      </c>
      <c r="I216" s="10" t="n">
        <f aca="false">0</f>
        <v>0</v>
      </c>
      <c r="J216" s="10" t="n">
        <f aca="false">MAX(0,E216-E215)*Staffing!$O$9</f>
        <v>1250</v>
      </c>
      <c r="K216" s="10" t="n">
        <f aca="false">MAX(0,E216-E215)*Staffing!$P$9</f>
        <v>625</v>
      </c>
      <c r="L216" s="23" t="n">
        <f aca="false">ROUNDUP(E216,0)</f>
        <v>1</v>
      </c>
    </row>
    <row r="217" customFormat="false" ht="15" hidden="false" customHeight="false" outlineLevel="0" collapsed="false">
      <c r="A217" s="6" t="s">
        <v>72</v>
      </c>
      <c r="B217" s="6" t="s">
        <v>334</v>
      </c>
      <c r="C217" s="6" t="n">
        <v>32</v>
      </c>
      <c r="D217" s="25" t="n">
        <f aca="false">EDATE('Start Here'!$B$6,C217-1)</f>
        <v>47270</v>
      </c>
      <c r="E217" s="11" t="n">
        <f aca="false">IF(AND(C217&gt;=Staffing!$F$9,C217&lt;=Staffing!$G$9,1=1),IF(C217&lt;=6,Staffing!$H$9,IF(C217&lt;=15,Staffing!$I$9,IF(C217&lt;=30,Staffing!$J$9,Staffing!$K$9))),0)</f>
        <v>1</v>
      </c>
      <c r="F217" s="10" t="n">
        <f aca="false">E217*Staffing!$L$9/12*(1+Assumptions!$C$10)^INT((C217-1)/12)*1</f>
        <v>12377.1666666667</v>
      </c>
      <c r="G217" s="10" t="n">
        <f aca="false">F217*Staffing!$N$9</f>
        <v>4950.86666666667</v>
      </c>
      <c r="H217" s="10" t="n">
        <f aca="false">F217+G217</f>
        <v>17328.0333333333</v>
      </c>
      <c r="I217" s="10" t="n">
        <f aca="false">0</f>
        <v>0</v>
      </c>
      <c r="J217" s="10" t="n">
        <f aca="false">MAX(0,E217-E216)*Staffing!$O$9</f>
        <v>0</v>
      </c>
      <c r="K217" s="10" t="n">
        <f aca="false">MAX(0,E217-E216)*Staffing!$P$9</f>
        <v>0</v>
      </c>
      <c r="L217" s="23" t="n">
        <f aca="false">ROUNDUP(E217,0)</f>
        <v>1</v>
      </c>
    </row>
    <row r="218" customFormat="false" ht="15" hidden="false" customHeight="false" outlineLevel="0" collapsed="false">
      <c r="A218" s="6" t="s">
        <v>72</v>
      </c>
      <c r="B218" s="6" t="s">
        <v>334</v>
      </c>
      <c r="C218" s="6" t="n">
        <v>33</v>
      </c>
      <c r="D218" s="25" t="n">
        <f aca="false">EDATE('Start Here'!$B$6,C218-1)</f>
        <v>47300</v>
      </c>
      <c r="E218" s="11" t="n">
        <f aca="false">IF(AND(C218&gt;=Staffing!$F$9,C218&lt;=Staffing!$G$9,1=1),IF(C218&lt;=6,Staffing!$H$9,IF(C218&lt;=15,Staffing!$I$9,IF(C218&lt;=30,Staffing!$J$9,Staffing!$K$9))),0)</f>
        <v>1</v>
      </c>
      <c r="F218" s="10" t="n">
        <f aca="false">E218*Staffing!$L$9/12*(1+Assumptions!$C$10)^INT((C218-1)/12)*1</f>
        <v>12377.1666666667</v>
      </c>
      <c r="G218" s="10" t="n">
        <f aca="false">F218*Staffing!$N$9</f>
        <v>4950.86666666667</v>
      </c>
      <c r="H218" s="10" t="n">
        <f aca="false">F218+G218</f>
        <v>17328.0333333333</v>
      </c>
      <c r="I218" s="10" t="n">
        <f aca="false">0</f>
        <v>0</v>
      </c>
      <c r="J218" s="10" t="n">
        <f aca="false">MAX(0,E218-E217)*Staffing!$O$9</f>
        <v>0</v>
      </c>
      <c r="K218" s="10" t="n">
        <f aca="false">MAX(0,E218-E217)*Staffing!$P$9</f>
        <v>0</v>
      </c>
      <c r="L218" s="23" t="n">
        <f aca="false">ROUNDUP(E218,0)</f>
        <v>1</v>
      </c>
    </row>
    <row r="219" customFormat="false" ht="15" hidden="false" customHeight="false" outlineLevel="0" collapsed="false">
      <c r="A219" s="6" t="s">
        <v>72</v>
      </c>
      <c r="B219" s="6" t="s">
        <v>334</v>
      </c>
      <c r="C219" s="6" t="n">
        <v>34</v>
      </c>
      <c r="D219" s="25" t="n">
        <f aca="false">EDATE('Start Here'!$B$6,C219-1)</f>
        <v>47331</v>
      </c>
      <c r="E219" s="11" t="n">
        <f aca="false">IF(AND(C219&gt;=Staffing!$F$9,C219&lt;=Staffing!$G$9,1=1),IF(C219&lt;=6,Staffing!$H$9,IF(C219&lt;=15,Staffing!$I$9,IF(C219&lt;=30,Staffing!$J$9,Staffing!$K$9))),0)</f>
        <v>1</v>
      </c>
      <c r="F219" s="10" t="n">
        <f aca="false">E219*Staffing!$L$9/12*(1+Assumptions!$C$10)^INT((C219-1)/12)*1</f>
        <v>12377.1666666667</v>
      </c>
      <c r="G219" s="10" t="n">
        <f aca="false">F219*Staffing!$N$9</f>
        <v>4950.86666666667</v>
      </c>
      <c r="H219" s="10" t="n">
        <f aca="false">F219+G219</f>
        <v>17328.0333333333</v>
      </c>
      <c r="I219" s="10" t="n">
        <f aca="false">0</f>
        <v>0</v>
      </c>
      <c r="J219" s="10" t="n">
        <f aca="false">MAX(0,E219-E218)*Staffing!$O$9</f>
        <v>0</v>
      </c>
      <c r="K219" s="10" t="n">
        <f aca="false">MAX(0,E219-E218)*Staffing!$P$9</f>
        <v>0</v>
      </c>
      <c r="L219" s="23" t="n">
        <f aca="false">ROUNDUP(E219,0)</f>
        <v>1</v>
      </c>
    </row>
    <row r="220" customFormat="false" ht="15" hidden="false" customHeight="false" outlineLevel="0" collapsed="false">
      <c r="A220" s="6" t="s">
        <v>72</v>
      </c>
      <c r="B220" s="6" t="s">
        <v>334</v>
      </c>
      <c r="C220" s="6" t="n">
        <v>35</v>
      </c>
      <c r="D220" s="25" t="n">
        <f aca="false">EDATE('Start Here'!$B$6,C220-1)</f>
        <v>47362</v>
      </c>
      <c r="E220" s="11" t="n">
        <f aca="false">IF(AND(C220&gt;=Staffing!$F$9,C220&lt;=Staffing!$G$9,1=1),IF(C220&lt;=6,Staffing!$H$9,IF(C220&lt;=15,Staffing!$I$9,IF(C220&lt;=30,Staffing!$J$9,Staffing!$K$9))),0)</f>
        <v>1</v>
      </c>
      <c r="F220" s="10" t="n">
        <f aca="false">E220*Staffing!$L$9/12*(1+Assumptions!$C$10)^INT((C220-1)/12)*1</f>
        <v>12377.1666666667</v>
      </c>
      <c r="G220" s="10" t="n">
        <f aca="false">F220*Staffing!$N$9</f>
        <v>4950.86666666667</v>
      </c>
      <c r="H220" s="10" t="n">
        <f aca="false">F220+G220</f>
        <v>17328.0333333333</v>
      </c>
      <c r="I220" s="10" t="n">
        <f aca="false">0</f>
        <v>0</v>
      </c>
      <c r="J220" s="10" t="n">
        <f aca="false">MAX(0,E220-E219)*Staffing!$O$9</f>
        <v>0</v>
      </c>
      <c r="K220" s="10" t="n">
        <f aca="false">MAX(0,E220-E219)*Staffing!$P$9</f>
        <v>0</v>
      </c>
      <c r="L220" s="23" t="n">
        <f aca="false">ROUNDUP(E220,0)</f>
        <v>1</v>
      </c>
    </row>
    <row r="221" customFormat="false" ht="15" hidden="false" customHeight="false" outlineLevel="0" collapsed="false">
      <c r="A221" s="6" t="s">
        <v>72</v>
      </c>
      <c r="B221" s="6" t="s">
        <v>334</v>
      </c>
      <c r="C221" s="6" t="n">
        <v>36</v>
      </c>
      <c r="D221" s="25" t="n">
        <f aca="false">EDATE('Start Here'!$B$6,C221-1)</f>
        <v>47392</v>
      </c>
      <c r="E221" s="11" t="n">
        <f aca="false">IF(AND(C221&gt;=Staffing!$F$9,C221&lt;=Staffing!$G$9,1=1),IF(C221&lt;=6,Staffing!$H$9,IF(C221&lt;=15,Staffing!$I$9,IF(C221&lt;=30,Staffing!$J$9,Staffing!$K$9))),0)</f>
        <v>1</v>
      </c>
      <c r="F221" s="10" t="n">
        <f aca="false">E221*Staffing!$L$9/12*(1+Assumptions!$C$10)^INT((C221-1)/12)*1</f>
        <v>12377.1666666667</v>
      </c>
      <c r="G221" s="10" t="n">
        <f aca="false">F221*Staffing!$N$9</f>
        <v>4950.86666666667</v>
      </c>
      <c r="H221" s="10" t="n">
        <f aca="false">F221+G221</f>
        <v>17328.0333333333</v>
      </c>
      <c r="I221" s="10" t="n">
        <f aca="false">0</f>
        <v>0</v>
      </c>
      <c r="J221" s="10" t="n">
        <f aca="false">MAX(0,E221-E220)*Staffing!$O$9</f>
        <v>0</v>
      </c>
      <c r="K221" s="10" t="n">
        <f aca="false">MAX(0,E221-E220)*Staffing!$P$9</f>
        <v>0</v>
      </c>
      <c r="L221" s="23" t="n">
        <f aca="false">ROUNDUP(E221,0)</f>
        <v>1</v>
      </c>
    </row>
    <row r="222" customFormat="false" ht="15" hidden="false" customHeight="false" outlineLevel="0" collapsed="false">
      <c r="A222" s="6" t="s">
        <v>72</v>
      </c>
      <c r="B222" s="6" t="s">
        <v>334</v>
      </c>
      <c r="C222" s="6" t="n">
        <v>37</v>
      </c>
      <c r="D222" s="25" t="n">
        <f aca="false">EDATE('Start Here'!$B$6,C222-1)</f>
        <v>47423</v>
      </c>
      <c r="E222" s="11" t="n">
        <f aca="false">IF(AND(C222&gt;=Staffing!$F$9,C222&lt;=Staffing!$G$9,1=1),IF(C222&lt;=6,Staffing!$H$9,IF(C222&lt;=15,Staffing!$I$9,IF(C222&lt;=30,Staffing!$J$9,Staffing!$K$9))),0)</f>
        <v>1</v>
      </c>
      <c r="F222" s="10" t="n">
        <f aca="false">E222*Staffing!$L$9/12*(1+Assumptions!$C$10)^INT((C222-1)/12)*1</f>
        <v>12748.4816666667</v>
      </c>
      <c r="G222" s="10" t="n">
        <f aca="false">F222*Staffing!$N$9</f>
        <v>5099.39266666667</v>
      </c>
      <c r="H222" s="10" t="n">
        <f aca="false">F222+G222</f>
        <v>17847.8743333333</v>
      </c>
      <c r="I222" s="10" t="n">
        <f aca="false">0</f>
        <v>0</v>
      </c>
      <c r="J222" s="10" t="n">
        <f aca="false">MAX(0,E222-E221)*Staffing!$O$9</f>
        <v>0</v>
      </c>
      <c r="K222" s="10" t="n">
        <f aca="false">MAX(0,E222-E221)*Staffing!$P$9</f>
        <v>0</v>
      </c>
      <c r="L222" s="23" t="n">
        <f aca="false">ROUNDUP(E222,0)</f>
        <v>1</v>
      </c>
    </row>
    <row r="223" customFormat="false" ht="15" hidden="false" customHeight="false" outlineLevel="0" collapsed="false">
      <c r="A223" s="6" t="s">
        <v>72</v>
      </c>
      <c r="B223" s="6" t="s">
        <v>334</v>
      </c>
      <c r="C223" s="6" t="n">
        <v>38</v>
      </c>
      <c r="D223" s="25" t="n">
        <f aca="false">EDATE('Start Here'!$B$6,C223-1)</f>
        <v>47453</v>
      </c>
      <c r="E223" s="11" t="n">
        <f aca="false">IF(AND(C223&gt;=Staffing!$F$9,C223&lt;=Staffing!$G$9,1=1),IF(C223&lt;=6,Staffing!$H$9,IF(C223&lt;=15,Staffing!$I$9,IF(C223&lt;=30,Staffing!$J$9,Staffing!$K$9))),0)</f>
        <v>1</v>
      </c>
      <c r="F223" s="10" t="n">
        <f aca="false">E223*Staffing!$L$9/12*(1+Assumptions!$C$10)^INT((C223-1)/12)*1</f>
        <v>12748.4816666667</v>
      </c>
      <c r="G223" s="10" t="n">
        <f aca="false">F223*Staffing!$N$9</f>
        <v>5099.39266666667</v>
      </c>
      <c r="H223" s="10" t="n">
        <f aca="false">F223+G223</f>
        <v>17847.8743333333</v>
      </c>
      <c r="I223" s="10" t="n">
        <f aca="false">0</f>
        <v>0</v>
      </c>
      <c r="J223" s="10" t="n">
        <f aca="false">MAX(0,E223-E222)*Staffing!$O$9</f>
        <v>0</v>
      </c>
      <c r="K223" s="10" t="n">
        <f aca="false">MAX(0,E223-E222)*Staffing!$P$9</f>
        <v>0</v>
      </c>
      <c r="L223" s="23" t="n">
        <f aca="false">ROUNDUP(E223,0)</f>
        <v>1</v>
      </c>
    </row>
    <row r="224" customFormat="false" ht="15" hidden="false" customHeight="false" outlineLevel="0" collapsed="false">
      <c r="A224" s="6" t="s">
        <v>72</v>
      </c>
      <c r="B224" s="6" t="s">
        <v>334</v>
      </c>
      <c r="C224" s="6" t="n">
        <v>39</v>
      </c>
      <c r="D224" s="25" t="n">
        <f aca="false">EDATE('Start Here'!$B$6,C224-1)</f>
        <v>47484</v>
      </c>
      <c r="E224" s="11" t="n">
        <f aca="false">IF(AND(C224&gt;=Staffing!$F$9,C224&lt;=Staffing!$G$9,1=1),IF(C224&lt;=6,Staffing!$H$9,IF(C224&lt;=15,Staffing!$I$9,IF(C224&lt;=30,Staffing!$J$9,Staffing!$K$9))),0)</f>
        <v>1</v>
      </c>
      <c r="F224" s="10" t="n">
        <f aca="false">E224*Staffing!$L$9/12*(1+Assumptions!$C$10)^INT((C224-1)/12)*1</f>
        <v>12748.4816666667</v>
      </c>
      <c r="G224" s="10" t="n">
        <f aca="false">F224*Staffing!$N$9</f>
        <v>5099.39266666667</v>
      </c>
      <c r="H224" s="10" t="n">
        <f aca="false">F224+G224</f>
        <v>17847.8743333333</v>
      </c>
      <c r="I224" s="10" t="n">
        <f aca="false">0</f>
        <v>0</v>
      </c>
      <c r="J224" s="10" t="n">
        <f aca="false">MAX(0,E224-E223)*Staffing!$O$9</f>
        <v>0</v>
      </c>
      <c r="K224" s="10" t="n">
        <f aca="false">MAX(0,E224-E223)*Staffing!$P$9</f>
        <v>0</v>
      </c>
      <c r="L224" s="23" t="n">
        <f aca="false">ROUNDUP(E224,0)</f>
        <v>1</v>
      </c>
    </row>
    <row r="225" customFormat="false" ht="15" hidden="false" customHeight="false" outlineLevel="0" collapsed="false">
      <c r="A225" s="6" t="s">
        <v>72</v>
      </c>
      <c r="B225" s="6" t="s">
        <v>334</v>
      </c>
      <c r="C225" s="6" t="n">
        <v>40</v>
      </c>
      <c r="D225" s="25" t="n">
        <f aca="false">EDATE('Start Here'!$B$6,C225-1)</f>
        <v>47515</v>
      </c>
      <c r="E225" s="11" t="n">
        <f aca="false">IF(AND(C225&gt;=Staffing!$F$9,C225&lt;=Staffing!$G$9,1=1),IF(C225&lt;=6,Staffing!$H$9,IF(C225&lt;=15,Staffing!$I$9,IF(C225&lt;=30,Staffing!$J$9,Staffing!$K$9))),0)</f>
        <v>1</v>
      </c>
      <c r="F225" s="10" t="n">
        <f aca="false">E225*Staffing!$L$9/12*(1+Assumptions!$C$10)^INT((C225-1)/12)*1</f>
        <v>12748.4816666667</v>
      </c>
      <c r="G225" s="10" t="n">
        <f aca="false">F225*Staffing!$N$9</f>
        <v>5099.39266666667</v>
      </c>
      <c r="H225" s="10" t="n">
        <f aca="false">F225+G225</f>
        <v>17847.8743333333</v>
      </c>
      <c r="I225" s="10" t="n">
        <f aca="false">0</f>
        <v>0</v>
      </c>
      <c r="J225" s="10" t="n">
        <f aca="false">MAX(0,E225-E224)*Staffing!$O$9</f>
        <v>0</v>
      </c>
      <c r="K225" s="10" t="n">
        <f aca="false">MAX(0,E225-E224)*Staffing!$P$9</f>
        <v>0</v>
      </c>
      <c r="L225" s="23" t="n">
        <f aca="false">ROUNDUP(E225,0)</f>
        <v>1</v>
      </c>
    </row>
    <row r="226" customFormat="false" ht="15" hidden="false" customHeight="false" outlineLevel="0" collapsed="false">
      <c r="A226" s="6" t="s">
        <v>72</v>
      </c>
      <c r="B226" s="6" t="s">
        <v>334</v>
      </c>
      <c r="C226" s="6" t="n">
        <v>41</v>
      </c>
      <c r="D226" s="25" t="n">
        <f aca="false">EDATE('Start Here'!$B$6,C226-1)</f>
        <v>47543</v>
      </c>
      <c r="E226" s="11" t="n">
        <f aca="false">IF(AND(C226&gt;=Staffing!$F$9,C226&lt;=Staffing!$G$9,1=1),IF(C226&lt;=6,Staffing!$H$9,IF(C226&lt;=15,Staffing!$I$9,IF(C226&lt;=30,Staffing!$J$9,Staffing!$K$9))),0)</f>
        <v>1</v>
      </c>
      <c r="F226" s="10" t="n">
        <f aca="false">E226*Staffing!$L$9/12*(1+Assumptions!$C$10)^INT((C226-1)/12)*1</f>
        <v>12748.4816666667</v>
      </c>
      <c r="G226" s="10" t="n">
        <f aca="false">F226*Staffing!$N$9</f>
        <v>5099.39266666667</v>
      </c>
      <c r="H226" s="10" t="n">
        <f aca="false">F226+G226</f>
        <v>17847.8743333333</v>
      </c>
      <c r="I226" s="10" t="n">
        <f aca="false">0</f>
        <v>0</v>
      </c>
      <c r="J226" s="10" t="n">
        <f aca="false">MAX(0,E226-E225)*Staffing!$O$9</f>
        <v>0</v>
      </c>
      <c r="K226" s="10" t="n">
        <f aca="false">MAX(0,E226-E225)*Staffing!$P$9</f>
        <v>0</v>
      </c>
      <c r="L226" s="23" t="n">
        <f aca="false">ROUNDUP(E226,0)</f>
        <v>1</v>
      </c>
    </row>
    <row r="227" customFormat="false" ht="15" hidden="false" customHeight="false" outlineLevel="0" collapsed="false">
      <c r="A227" s="6" t="s">
        <v>72</v>
      </c>
      <c r="B227" s="6" t="s">
        <v>334</v>
      </c>
      <c r="C227" s="6" t="n">
        <v>42</v>
      </c>
      <c r="D227" s="25" t="n">
        <f aca="false">EDATE('Start Here'!$B$6,C227-1)</f>
        <v>47574</v>
      </c>
      <c r="E227" s="11" t="n">
        <f aca="false">IF(AND(C227&gt;=Staffing!$F$9,C227&lt;=Staffing!$G$9,1=1),IF(C227&lt;=6,Staffing!$H$9,IF(C227&lt;=15,Staffing!$I$9,IF(C227&lt;=30,Staffing!$J$9,Staffing!$K$9))),0)</f>
        <v>1</v>
      </c>
      <c r="F227" s="10" t="n">
        <f aca="false">E227*Staffing!$L$9/12*(1+Assumptions!$C$10)^INT((C227-1)/12)*1</f>
        <v>12748.4816666667</v>
      </c>
      <c r="G227" s="10" t="n">
        <f aca="false">F227*Staffing!$N$9</f>
        <v>5099.39266666667</v>
      </c>
      <c r="H227" s="10" t="n">
        <f aca="false">F227+G227</f>
        <v>17847.8743333333</v>
      </c>
      <c r="I227" s="10" t="n">
        <f aca="false">0</f>
        <v>0</v>
      </c>
      <c r="J227" s="10" t="n">
        <f aca="false">MAX(0,E227-E226)*Staffing!$O$9</f>
        <v>0</v>
      </c>
      <c r="K227" s="10" t="n">
        <f aca="false">MAX(0,E227-E226)*Staffing!$P$9</f>
        <v>0</v>
      </c>
      <c r="L227" s="23" t="n">
        <f aca="false">ROUNDUP(E227,0)</f>
        <v>1</v>
      </c>
    </row>
    <row r="228" customFormat="false" ht="15" hidden="false" customHeight="false" outlineLevel="0" collapsed="false">
      <c r="A228" s="6" t="s">
        <v>72</v>
      </c>
      <c r="B228" s="6" t="s">
        <v>334</v>
      </c>
      <c r="C228" s="6" t="n">
        <v>43</v>
      </c>
      <c r="D228" s="25" t="n">
        <f aca="false">EDATE('Start Here'!$B$6,C228-1)</f>
        <v>47604</v>
      </c>
      <c r="E228" s="11" t="n">
        <f aca="false">IF(AND(C228&gt;=Staffing!$F$9,C228&lt;=Staffing!$G$9,1=1),IF(C228&lt;=6,Staffing!$H$9,IF(C228&lt;=15,Staffing!$I$9,IF(C228&lt;=30,Staffing!$J$9,Staffing!$K$9))),0)</f>
        <v>1</v>
      </c>
      <c r="F228" s="10" t="n">
        <f aca="false">E228*Staffing!$L$9/12*(1+Assumptions!$C$10)^INT((C228-1)/12)*1</f>
        <v>12748.4816666667</v>
      </c>
      <c r="G228" s="10" t="n">
        <f aca="false">F228*Staffing!$N$9</f>
        <v>5099.39266666667</v>
      </c>
      <c r="H228" s="10" t="n">
        <f aca="false">F228+G228</f>
        <v>17847.8743333333</v>
      </c>
      <c r="I228" s="10" t="n">
        <f aca="false">0</f>
        <v>0</v>
      </c>
      <c r="J228" s="10" t="n">
        <f aca="false">MAX(0,E228-E227)*Staffing!$O$9</f>
        <v>0</v>
      </c>
      <c r="K228" s="10" t="n">
        <f aca="false">MAX(0,E228-E227)*Staffing!$P$9</f>
        <v>0</v>
      </c>
      <c r="L228" s="23" t="n">
        <f aca="false">ROUNDUP(E228,0)</f>
        <v>1</v>
      </c>
    </row>
    <row r="229" customFormat="false" ht="15" hidden="false" customHeight="false" outlineLevel="0" collapsed="false">
      <c r="A229" s="6" t="s">
        <v>72</v>
      </c>
      <c r="B229" s="6" t="s">
        <v>334</v>
      </c>
      <c r="C229" s="6" t="n">
        <v>44</v>
      </c>
      <c r="D229" s="25" t="n">
        <f aca="false">EDATE('Start Here'!$B$6,C229-1)</f>
        <v>47635</v>
      </c>
      <c r="E229" s="11" t="n">
        <f aca="false">IF(AND(C229&gt;=Staffing!$F$9,C229&lt;=Staffing!$G$9,1=1),IF(C229&lt;=6,Staffing!$H$9,IF(C229&lt;=15,Staffing!$I$9,IF(C229&lt;=30,Staffing!$J$9,Staffing!$K$9))),0)</f>
        <v>1</v>
      </c>
      <c r="F229" s="10" t="n">
        <f aca="false">E229*Staffing!$L$9/12*(1+Assumptions!$C$10)^INT((C229-1)/12)*1</f>
        <v>12748.4816666667</v>
      </c>
      <c r="G229" s="10" t="n">
        <f aca="false">F229*Staffing!$N$9</f>
        <v>5099.39266666667</v>
      </c>
      <c r="H229" s="10" t="n">
        <f aca="false">F229+G229</f>
        <v>17847.8743333333</v>
      </c>
      <c r="I229" s="10" t="n">
        <f aca="false">0</f>
        <v>0</v>
      </c>
      <c r="J229" s="10" t="n">
        <f aca="false">MAX(0,E229-E228)*Staffing!$O$9</f>
        <v>0</v>
      </c>
      <c r="K229" s="10" t="n">
        <f aca="false">MAX(0,E229-E228)*Staffing!$P$9</f>
        <v>0</v>
      </c>
      <c r="L229" s="23" t="n">
        <f aca="false">ROUNDUP(E229,0)</f>
        <v>1</v>
      </c>
    </row>
    <row r="230" customFormat="false" ht="15" hidden="false" customHeight="false" outlineLevel="0" collapsed="false">
      <c r="A230" s="6" t="s">
        <v>72</v>
      </c>
      <c r="B230" s="6" t="s">
        <v>334</v>
      </c>
      <c r="C230" s="6" t="n">
        <v>45</v>
      </c>
      <c r="D230" s="25" t="n">
        <f aca="false">EDATE('Start Here'!$B$6,C230-1)</f>
        <v>47665</v>
      </c>
      <c r="E230" s="11" t="n">
        <f aca="false">IF(AND(C230&gt;=Staffing!$F$9,C230&lt;=Staffing!$G$9,1=1),IF(C230&lt;=6,Staffing!$H$9,IF(C230&lt;=15,Staffing!$I$9,IF(C230&lt;=30,Staffing!$J$9,Staffing!$K$9))),0)</f>
        <v>1</v>
      </c>
      <c r="F230" s="10" t="n">
        <f aca="false">E230*Staffing!$L$9/12*(1+Assumptions!$C$10)^INT((C230-1)/12)*1</f>
        <v>12748.4816666667</v>
      </c>
      <c r="G230" s="10" t="n">
        <f aca="false">F230*Staffing!$N$9</f>
        <v>5099.39266666667</v>
      </c>
      <c r="H230" s="10" t="n">
        <f aca="false">F230+G230</f>
        <v>17847.8743333333</v>
      </c>
      <c r="I230" s="10" t="n">
        <f aca="false">0</f>
        <v>0</v>
      </c>
      <c r="J230" s="10" t="n">
        <f aca="false">MAX(0,E230-E229)*Staffing!$O$9</f>
        <v>0</v>
      </c>
      <c r="K230" s="10" t="n">
        <f aca="false">MAX(0,E230-E229)*Staffing!$P$9</f>
        <v>0</v>
      </c>
      <c r="L230" s="23" t="n">
        <f aca="false">ROUNDUP(E230,0)</f>
        <v>1</v>
      </c>
    </row>
    <row r="231" customFormat="false" ht="15" hidden="false" customHeight="false" outlineLevel="0" collapsed="false">
      <c r="A231" s="6" t="s">
        <v>72</v>
      </c>
      <c r="B231" s="6" t="s">
        <v>334</v>
      </c>
      <c r="C231" s="6" t="n">
        <v>46</v>
      </c>
      <c r="D231" s="25" t="n">
        <f aca="false">EDATE('Start Here'!$B$6,C231-1)</f>
        <v>47696</v>
      </c>
      <c r="E231" s="11" t="n">
        <f aca="false">IF(AND(C231&gt;=Staffing!$F$9,C231&lt;=Staffing!$G$9,1=1),IF(C231&lt;=6,Staffing!$H$9,IF(C231&lt;=15,Staffing!$I$9,IF(C231&lt;=30,Staffing!$J$9,Staffing!$K$9))),0)</f>
        <v>1</v>
      </c>
      <c r="F231" s="10" t="n">
        <f aca="false">E231*Staffing!$L$9/12*(1+Assumptions!$C$10)^INT((C231-1)/12)*1</f>
        <v>12748.4816666667</v>
      </c>
      <c r="G231" s="10" t="n">
        <f aca="false">F231*Staffing!$N$9</f>
        <v>5099.39266666667</v>
      </c>
      <c r="H231" s="10" t="n">
        <f aca="false">F231+G231</f>
        <v>17847.8743333333</v>
      </c>
      <c r="I231" s="10" t="n">
        <f aca="false">0</f>
        <v>0</v>
      </c>
      <c r="J231" s="10" t="n">
        <f aca="false">MAX(0,E231-E230)*Staffing!$O$9</f>
        <v>0</v>
      </c>
      <c r="K231" s="10" t="n">
        <f aca="false">MAX(0,E231-E230)*Staffing!$P$9</f>
        <v>0</v>
      </c>
      <c r="L231" s="23" t="n">
        <f aca="false">ROUNDUP(E231,0)</f>
        <v>1</v>
      </c>
    </row>
    <row r="232" customFormat="false" ht="15" hidden="false" customHeight="false" outlineLevel="0" collapsed="false">
      <c r="A232" s="6" t="s">
        <v>72</v>
      </c>
      <c r="B232" s="6" t="s">
        <v>334</v>
      </c>
      <c r="C232" s="6" t="n">
        <v>47</v>
      </c>
      <c r="D232" s="25" t="n">
        <f aca="false">EDATE('Start Here'!$B$6,C232-1)</f>
        <v>47727</v>
      </c>
      <c r="E232" s="11" t="n">
        <f aca="false">IF(AND(C232&gt;=Staffing!$F$9,C232&lt;=Staffing!$G$9,1=1),IF(C232&lt;=6,Staffing!$H$9,IF(C232&lt;=15,Staffing!$I$9,IF(C232&lt;=30,Staffing!$J$9,Staffing!$K$9))),0)</f>
        <v>1</v>
      </c>
      <c r="F232" s="10" t="n">
        <f aca="false">E232*Staffing!$L$9/12*(1+Assumptions!$C$10)^INT((C232-1)/12)*1</f>
        <v>12748.4816666667</v>
      </c>
      <c r="G232" s="10" t="n">
        <f aca="false">F232*Staffing!$N$9</f>
        <v>5099.39266666667</v>
      </c>
      <c r="H232" s="10" t="n">
        <f aca="false">F232+G232</f>
        <v>17847.8743333333</v>
      </c>
      <c r="I232" s="10" t="n">
        <f aca="false">0</f>
        <v>0</v>
      </c>
      <c r="J232" s="10" t="n">
        <f aca="false">MAX(0,E232-E231)*Staffing!$O$9</f>
        <v>0</v>
      </c>
      <c r="K232" s="10" t="n">
        <f aca="false">MAX(0,E232-E231)*Staffing!$P$9</f>
        <v>0</v>
      </c>
      <c r="L232" s="23" t="n">
        <f aca="false">ROUNDUP(E232,0)</f>
        <v>1</v>
      </c>
    </row>
    <row r="233" customFormat="false" ht="15" hidden="false" customHeight="false" outlineLevel="0" collapsed="false">
      <c r="A233" s="6" t="s">
        <v>72</v>
      </c>
      <c r="B233" s="6" t="s">
        <v>334</v>
      </c>
      <c r="C233" s="6" t="n">
        <v>48</v>
      </c>
      <c r="D233" s="25" t="n">
        <f aca="false">EDATE('Start Here'!$B$6,C233-1)</f>
        <v>47757</v>
      </c>
      <c r="E233" s="11" t="n">
        <f aca="false">IF(AND(C233&gt;=Staffing!$F$9,C233&lt;=Staffing!$G$9,1=1),IF(C233&lt;=6,Staffing!$H$9,IF(C233&lt;=15,Staffing!$I$9,IF(C233&lt;=30,Staffing!$J$9,Staffing!$K$9))),0)</f>
        <v>1</v>
      </c>
      <c r="F233" s="10" t="n">
        <f aca="false">E233*Staffing!$L$9/12*(1+Assumptions!$C$10)^INT((C233-1)/12)*1</f>
        <v>12748.4816666667</v>
      </c>
      <c r="G233" s="10" t="n">
        <f aca="false">F233*Staffing!$N$9</f>
        <v>5099.39266666667</v>
      </c>
      <c r="H233" s="10" t="n">
        <f aca="false">F233+G233</f>
        <v>17847.8743333333</v>
      </c>
      <c r="I233" s="10" t="n">
        <f aca="false">0</f>
        <v>0</v>
      </c>
      <c r="J233" s="10" t="n">
        <f aca="false">MAX(0,E233-E232)*Staffing!$O$9</f>
        <v>0</v>
      </c>
      <c r="K233" s="10" t="n">
        <f aca="false">MAX(0,E233-E232)*Staffing!$P$9</f>
        <v>0</v>
      </c>
      <c r="L233" s="23" t="n">
        <f aca="false">ROUNDUP(E233,0)</f>
        <v>1</v>
      </c>
    </row>
    <row r="234" customFormat="false" ht="15" hidden="false" customHeight="false" outlineLevel="0" collapsed="false">
      <c r="A234" s="6" t="s">
        <v>72</v>
      </c>
      <c r="B234" s="6" t="s">
        <v>334</v>
      </c>
      <c r="C234" s="6" t="n">
        <v>49</v>
      </c>
      <c r="D234" s="25" t="n">
        <f aca="false">EDATE('Start Here'!$B$6,C234-1)</f>
        <v>47788</v>
      </c>
      <c r="E234" s="11" t="n">
        <f aca="false">IF(AND(C234&gt;=Staffing!$F$9,C234&lt;=Staffing!$G$9,1=1),IF(C234&lt;=6,Staffing!$H$9,IF(C234&lt;=15,Staffing!$I$9,IF(C234&lt;=30,Staffing!$J$9,Staffing!$K$9))),0)</f>
        <v>1</v>
      </c>
      <c r="F234" s="10" t="n">
        <f aca="false">E234*Staffing!$L$9/12*(1+Assumptions!$C$10)^INT((C234-1)/12)*1</f>
        <v>13130.9361166667</v>
      </c>
      <c r="G234" s="10" t="n">
        <f aca="false">F234*Staffing!$N$9</f>
        <v>5252.37444666667</v>
      </c>
      <c r="H234" s="10" t="n">
        <f aca="false">F234+G234</f>
        <v>18383.3105633333</v>
      </c>
      <c r="I234" s="10" t="n">
        <f aca="false">0</f>
        <v>0</v>
      </c>
      <c r="J234" s="10" t="n">
        <f aca="false">MAX(0,E234-E233)*Staffing!$O$9</f>
        <v>0</v>
      </c>
      <c r="K234" s="10" t="n">
        <f aca="false">MAX(0,E234-E233)*Staffing!$P$9</f>
        <v>0</v>
      </c>
      <c r="L234" s="23" t="n">
        <f aca="false">ROUNDUP(E234,0)</f>
        <v>1</v>
      </c>
    </row>
    <row r="235" customFormat="false" ht="15" hidden="false" customHeight="false" outlineLevel="0" collapsed="false">
      <c r="A235" s="6" t="s">
        <v>72</v>
      </c>
      <c r="B235" s="6" t="s">
        <v>334</v>
      </c>
      <c r="C235" s="6" t="n">
        <v>50</v>
      </c>
      <c r="D235" s="25" t="n">
        <f aca="false">EDATE('Start Here'!$B$6,C235-1)</f>
        <v>47818</v>
      </c>
      <c r="E235" s="11" t="n">
        <f aca="false">IF(AND(C235&gt;=Staffing!$F$9,C235&lt;=Staffing!$G$9,1=1),IF(C235&lt;=6,Staffing!$H$9,IF(C235&lt;=15,Staffing!$I$9,IF(C235&lt;=30,Staffing!$J$9,Staffing!$K$9))),0)</f>
        <v>1</v>
      </c>
      <c r="F235" s="10" t="n">
        <f aca="false">E235*Staffing!$L$9/12*(1+Assumptions!$C$10)^INT((C235-1)/12)*1</f>
        <v>13130.9361166667</v>
      </c>
      <c r="G235" s="10" t="n">
        <f aca="false">F235*Staffing!$N$9</f>
        <v>5252.37444666667</v>
      </c>
      <c r="H235" s="10" t="n">
        <f aca="false">F235+G235</f>
        <v>18383.3105633333</v>
      </c>
      <c r="I235" s="10" t="n">
        <f aca="false">0</f>
        <v>0</v>
      </c>
      <c r="J235" s="10" t="n">
        <f aca="false">MAX(0,E235-E234)*Staffing!$O$9</f>
        <v>0</v>
      </c>
      <c r="K235" s="10" t="n">
        <f aca="false">MAX(0,E235-E234)*Staffing!$P$9</f>
        <v>0</v>
      </c>
      <c r="L235" s="23" t="n">
        <f aca="false">ROUNDUP(E235,0)</f>
        <v>1</v>
      </c>
    </row>
    <row r="236" customFormat="false" ht="15" hidden="false" customHeight="false" outlineLevel="0" collapsed="false">
      <c r="A236" s="6" t="s">
        <v>72</v>
      </c>
      <c r="B236" s="6" t="s">
        <v>334</v>
      </c>
      <c r="C236" s="6" t="n">
        <v>51</v>
      </c>
      <c r="D236" s="25" t="n">
        <f aca="false">EDATE('Start Here'!$B$6,C236-1)</f>
        <v>47849</v>
      </c>
      <c r="E236" s="11" t="n">
        <f aca="false">IF(AND(C236&gt;=Staffing!$F$9,C236&lt;=Staffing!$G$9,1=1),IF(C236&lt;=6,Staffing!$H$9,IF(C236&lt;=15,Staffing!$I$9,IF(C236&lt;=30,Staffing!$J$9,Staffing!$K$9))),0)</f>
        <v>1</v>
      </c>
      <c r="F236" s="10" t="n">
        <f aca="false">E236*Staffing!$L$9/12*(1+Assumptions!$C$10)^INT((C236-1)/12)*1</f>
        <v>13130.9361166667</v>
      </c>
      <c r="G236" s="10" t="n">
        <f aca="false">F236*Staffing!$N$9</f>
        <v>5252.37444666667</v>
      </c>
      <c r="H236" s="10" t="n">
        <f aca="false">F236+G236</f>
        <v>18383.3105633333</v>
      </c>
      <c r="I236" s="10" t="n">
        <f aca="false">0</f>
        <v>0</v>
      </c>
      <c r="J236" s="10" t="n">
        <f aca="false">MAX(0,E236-E235)*Staffing!$O$9</f>
        <v>0</v>
      </c>
      <c r="K236" s="10" t="n">
        <f aca="false">MAX(0,E236-E235)*Staffing!$P$9</f>
        <v>0</v>
      </c>
      <c r="L236" s="23" t="n">
        <f aca="false">ROUNDUP(E236,0)</f>
        <v>1</v>
      </c>
    </row>
    <row r="237" customFormat="false" ht="15" hidden="false" customHeight="false" outlineLevel="0" collapsed="false">
      <c r="A237" s="6" t="s">
        <v>72</v>
      </c>
      <c r="B237" s="6" t="s">
        <v>334</v>
      </c>
      <c r="C237" s="6" t="n">
        <v>52</v>
      </c>
      <c r="D237" s="25" t="n">
        <f aca="false">EDATE('Start Here'!$B$6,C237-1)</f>
        <v>47880</v>
      </c>
      <c r="E237" s="11" t="n">
        <f aca="false">IF(AND(C237&gt;=Staffing!$F$9,C237&lt;=Staffing!$G$9,1=1),IF(C237&lt;=6,Staffing!$H$9,IF(C237&lt;=15,Staffing!$I$9,IF(C237&lt;=30,Staffing!$J$9,Staffing!$K$9))),0)</f>
        <v>1</v>
      </c>
      <c r="F237" s="10" t="n">
        <f aca="false">E237*Staffing!$L$9/12*(1+Assumptions!$C$10)^INT((C237-1)/12)*1</f>
        <v>13130.9361166667</v>
      </c>
      <c r="G237" s="10" t="n">
        <f aca="false">F237*Staffing!$N$9</f>
        <v>5252.37444666667</v>
      </c>
      <c r="H237" s="10" t="n">
        <f aca="false">F237+G237</f>
        <v>18383.3105633333</v>
      </c>
      <c r="I237" s="10" t="n">
        <f aca="false">0</f>
        <v>0</v>
      </c>
      <c r="J237" s="10" t="n">
        <f aca="false">MAX(0,E237-E236)*Staffing!$O$9</f>
        <v>0</v>
      </c>
      <c r="K237" s="10" t="n">
        <f aca="false">MAX(0,E237-E236)*Staffing!$P$9</f>
        <v>0</v>
      </c>
      <c r="L237" s="23" t="n">
        <f aca="false">ROUNDUP(E237,0)</f>
        <v>1</v>
      </c>
    </row>
    <row r="238" customFormat="false" ht="15" hidden="false" customHeight="false" outlineLevel="0" collapsed="false">
      <c r="A238" s="6" t="s">
        <v>72</v>
      </c>
      <c r="B238" s="6" t="s">
        <v>334</v>
      </c>
      <c r="C238" s="6" t="n">
        <v>53</v>
      </c>
      <c r="D238" s="25" t="n">
        <f aca="false">EDATE('Start Here'!$B$6,C238-1)</f>
        <v>47908</v>
      </c>
      <c r="E238" s="11" t="n">
        <f aca="false">IF(AND(C238&gt;=Staffing!$F$9,C238&lt;=Staffing!$G$9,1=1),IF(C238&lt;=6,Staffing!$H$9,IF(C238&lt;=15,Staffing!$I$9,IF(C238&lt;=30,Staffing!$J$9,Staffing!$K$9))),0)</f>
        <v>1</v>
      </c>
      <c r="F238" s="10" t="n">
        <f aca="false">E238*Staffing!$L$9/12*(1+Assumptions!$C$10)^INT((C238-1)/12)*1</f>
        <v>13130.9361166667</v>
      </c>
      <c r="G238" s="10" t="n">
        <f aca="false">F238*Staffing!$N$9</f>
        <v>5252.37444666667</v>
      </c>
      <c r="H238" s="10" t="n">
        <f aca="false">F238+G238</f>
        <v>18383.3105633333</v>
      </c>
      <c r="I238" s="10" t="n">
        <f aca="false">0</f>
        <v>0</v>
      </c>
      <c r="J238" s="10" t="n">
        <f aca="false">MAX(0,E238-E237)*Staffing!$O$9</f>
        <v>0</v>
      </c>
      <c r="K238" s="10" t="n">
        <f aca="false">MAX(0,E238-E237)*Staffing!$P$9</f>
        <v>0</v>
      </c>
      <c r="L238" s="23" t="n">
        <f aca="false">ROUNDUP(E238,0)</f>
        <v>1</v>
      </c>
    </row>
    <row r="239" customFormat="false" ht="15" hidden="false" customHeight="false" outlineLevel="0" collapsed="false">
      <c r="A239" s="6" t="s">
        <v>72</v>
      </c>
      <c r="B239" s="6" t="s">
        <v>334</v>
      </c>
      <c r="C239" s="6" t="n">
        <v>54</v>
      </c>
      <c r="D239" s="25" t="n">
        <f aca="false">EDATE('Start Here'!$B$6,C239-1)</f>
        <v>47939</v>
      </c>
      <c r="E239" s="11" t="n">
        <f aca="false">IF(AND(C239&gt;=Staffing!$F$9,C239&lt;=Staffing!$G$9,1=1),IF(C239&lt;=6,Staffing!$H$9,IF(C239&lt;=15,Staffing!$I$9,IF(C239&lt;=30,Staffing!$J$9,Staffing!$K$9))),0)</f>
        <v>1</v>
      </c>
      <c r="F239" s="10" t="n">
        <f aca="false">E239*Staffing!$L$9/12*(1+Assumptions!$C$10)^INT((C239-1)/12)*1</f>
        <v>13130.9361166667</v>
      </c>
      <c r="G239" s="10" t="n">
        <f aca="false">F239*Staffing!$N$9</f>
        <v>5252.37444666667</v>
      </c>
      <c r="H239" s="10" t="n">
        <f aca="false">F239+G239</f>
        <v>18383.3105633333</v>
      </c>
      <c r="I239" s="10" t="n">
        <f aca="false">0</f>
        <v>0</v>
      </c>
      <c r="J239" s="10" t="n">
        <f aca="false">MAX(0,E239-E238)*Staffing!$O$9</f>
        <v>0</v>
      </c>
      <c r="K239" s="10" t="n">
        <f aca="false">MAX(0,E239-E238)*Staffing!$P$9</f>
        <v>0</v>
      </c>
      <c r="L239" s="23" t="n">
        <f aca="false">ROUNDUP(E239,0)</f>
        <v>1</v>
      </c>
    </row>
    <row r="240" customFormat="false" ht="15" hidden="false" customHeight="false" outlineLevel="0" collapsed="false">
      <c r="A240" s="6" t="s">
        <v>72</v>
      </c>
      <c r="B240" s="6" t="s">
        <v>334</v>
      </c>
      <c r="C240" s="6" t="n">
        <v>55</v>
      </c>
      <c r="D240" s="25" t="n">
        <f aca="false">EDATE('Start Here'!$B$6,C240-1)</f>
        <v>47969</v>
      </c>
      <c r="E240" s="11" t="n">
        <f aca="false">IF(AND(C240&gt;=Staffing!$F$9,C240&lt;=Staffing!$G$9,1=1),IF(C240&lt;=6,Staffing!$H$9,IF(C240&lt;=15,Staffing!$I$9,IF(C240&lt;=30,Staffing!$J$9,Staffing!$K$9))),0)</f>
        <v>1</v>
      </c>
      <c r="F240" s="10" t="n">
        <f aca="false">E240*Staffing!$L$9/12*(1+Assumptions!$C$10)^INT((C240-1)/12)*1</f>
        <v>13130.9361166667</v>
      </c>
      <c r="G240" s="10" t="n">
        <f aca="false">F240*Staffing!$N$9</f>
        <v>5252.37444666667</v>
      </c>
      <c r="H240" s="10" t="n">
        <f aca="false">F240+G240</f>
        <v>18383.3105633333</v>
      </c>
      <c r="I240" s="10" t="n">
        <f aca="false">0</f>
        <v>0</v>
      </c>
      <c r="J240" s="10" t="n">
        <f aca="false">MAX(0,E240-E239)*Staffing!$O$9</f>
        <v>0</v>
      </c>
      <c r="K240" s="10" t="n">
        <f aca="false">MAX(0,E240-E239)*Staffing!$P$9</f>
        <v>0</v>
      </c>
      <c r="L240" s="23" t="n">
        <f aca="false">ROUNDUP(E240,0)</f>
        <v>1</v>
      </c>
    </row>
    <row r="241" customFormat="false" ht="15" hidden="false" customHeight="false" outlineLevel="0" collapsed="false">
      <c r="A241" s="6" t="s">
        <v>72</v>
      </c>
      <c r="B241" s="6" t="s">
        <v>334</v>
      </c>
      <c r="C241" s="6" t="n">
        <v>56</v>
      </c>
      <c r="D241" s="25" t="n">
        <f aca="false">EDATE('Start Here'!$B$6,C241-1)</f>
        <v>48000</v>
      </c>
      <c r="E241" s="11" t="n">
        <f aca="false">IF(AND(C241&gt;=Staffing!$F$9,C241&lt;=Staffing!$G$9,1=1),IF(C241&lt;=6,Staffing!$H$9,IF(C241&lt;=15,Staffing!$I$9,IF(C241&lt;=30,Staffing!$J$9,Staffing!$K$9))),0)</f>
        <v>1</v>
      </c>
      <c r="F241" s="10" t="n">
        <f aca="false">E241*Staffing!$L$9/12*(1+Assumptions!$C$10)^INT((C241-1)/12)*1</f>
        <v>13130.9361166667</v>
      </c>
      <c r="G241" s="10" t="n">
        <f aca="false">F241*Staffing!$N$9</f>
        <v>5252.37444666667</v>
      </c>
      <c r="H241" s="10" t="n">
        <f aca="false">F241+G241</f>
        <v>18383.3105633333</v>
      </c>
      <c r="I241" s="10" t="n">
        <f aca="false">0</f>
        <v>0</v>
      </c>
      <c r="J241" s="10" t="n">
        <f aca="false">MAX(0,E241-E240)*Staffing!$O$9</f>
        <v>0</v>
      </c>
      <c r="K241" s="10" t="n">
        <f aca="false">MAX(0,E241-E240)*Staffing!$P$9</f>
        <v>0</v>
      </c>
      <c r="L241" s="23" t="n">
        <f aca="false">ROUNDUP(E241,0)</f>
        <v>1</v>
      </c>
    </row>
    <row r="242" customFormat="false" ht="15" hidden="false" customHeight="false" outlineLevel="0" collapsed="false">
      <c r="A242" s="6" t="s">
        <v>72</v>
      </c>
      <c r="B242" s="6" t="s">
        <v>334</v>
      </c>
      <c r="C242" s="6" t="n">
        <v>57</v>
      </c>
      <c r="D242" s="25" t="n">
        <f aca="false">EDATE('Start Here'!$B$6,C242-1)</f>
        <v>48030</v>
      </c>
      <c r="E242" s="11" t="n">
        <f aca="false">IF(AND(C242&gt;=Staffing!$F$9,C242&lt;=Staffing!$G$9,1=1),IF(C242&lt;=6,Staffing!$H$9,IF(C242&lt;=15,Staffing!$I$9,IF(C242&lt;=30,Staffing!$J$9,Staffing!$K$9))),0)</f>
        <v>1</v>
      </c>
      <c r="F242" s="10" t="n">
        <f aca="false">E242*Staffing!$L$9/12*(1+Assumptions!$C$10)^INT((C242-1)/12)*1</f>
        <v>13130.9361166667</v>
      </c>
      <c r="G242" s="10" t="n">
        <f aca="false">F242*Staffing!$N$9</f>
        <v>5252.37444666667</v>
      </c>
      <c r="H242" s="10" t="n">
        <f aca="false">F242+G242</f>
        <v>18383.3105633333</v>
      </c>
      <c r="I242" s="10" t="n">
        <f aca="false">0</f>
        <v>0</v>
      </c>
      <c r="J242" s="10" t="n">
        <f aca="false">MAX(0,E242-E241)*Staffing!$O$9</f>
        <v>0</v>
      </c>
      <c r="K242" s="10" t="n">
        <f aca="false">MAX(0,E242-E241)*Staffing!$P$9</f>
        <v>0</v>
      </c>
      <c r="L242" s="23" t="n">
        <f aca="false">ROUNDUP(E242,0)</f>
        <v>1</v>
      </c>
    </row>
    <row r="243" customFormat="false" ht="15" hidden="false" customHeight="false" outlineLevel="0" collapsed="false">
      <c r="A243" s="6" t="s">
        <v>72</v>
      </c>
      <c r="B243" s="6" t="s">
        <v>334</v>
      </c>
      <c r="C243" s="6" t="n">
        <v>58</v>
      </c>
      <c r="D243" s="25" t="n">
        <f aca="false">EDATE('Start Here'!$B$6,C243-1)</f>
        <v>48061</v>
      </c>
      <c r="E243" s="11" t="n">
        <f aca="false">IF(AND(C243&gt;=Staffing!$F$9,C243&lt;=Staffing!$G$9,1=1),IF(C243&lt;=6,Staffing!$H$9,IF(C243&lt;=15,Staffing!$I$9,IF(C243&lt;=30,Staffing!$J$9,Staffing!$K$9))),0)</f>
        <v>1</v>
      </c>
      <c r="F243" s="10" t="n">
        <f aca="false">E243*Staffing!$L$9/12*(1+Assumptions!$C$10)^INT((C243-1)/12)*1</f>
        <v>13130.9361166667</v>
      </c>
      <c r="G243" s="10" t="n">
        <f aca="false">F243*Staffing!$N$9</f>
        <v>5252.37444666667</v>
      </c>
      <c r="H243" s="10" t="n">
        <f aca="false">F243+G243</f>
        <v>18383.3105633333</v>
      </c>
      <c r="I243" s="10" t="n">
        <f aca="false">0</f>
        <v>0</v>
      </c>
      <c r="J243" s="10" t="n">
        <f aca="false">MAX(0,E243-E242)*Staffing!$O$9</f>
        <v>0</v>
      </c>
      <c r="K243" s="10" t="n">
        <f aca="false">MAX(0,E243-E242)*Staffing!$P$9</f>
        <v>0</v>
      </c>
      <c r="L243" s="23" t="n">
        <f aca="false">ROUNDUP(E243,0)</f>
        <v>1</v>
      </c>
    </row>
    <row r="244" customFormat="false" ht="15" hidden="false" customHeight="false" outlineLevel="0" collapsed="false">
      <c r="A244" s="6" t="s">
        <v>72</v>
      </c>
      <c r="B244" s="6" t="s">
        <v>334</v>
      </c>
      <c r="C244" s="6" t="n">
        <v>59</v>
      </c>
      <c r="D244" s="25" t="n">
        <f aca="false">EDATE('Start Here'!$B$6,C244-1)</f>
        <v>48092</v>
      </c>
      <c r="E244" s="11" t="n">
        <f aca="false">IF(AND(C244&gt;=Staffing!$F$9,C244&lt;=Staffing!$G$9,1=1),IF(C244&lt;=6,Staffing!$H$9,IF(C244&lt;=15,Staffing!$I$9,IF(C244&lt;=30,Staffing!$J$9,Staffing!$K$9))),0)</f>
        <v>1</v>
      </c>
      <c r="F244" s="10" t="n">
        <f aca="false">E244*Staffing!$L$9/12*(1+Assumptions!$C$10)^INT((C244-1)/12)*1</f>
        <v>13130.9361166667</v>
      </c>
      <c r="G244" s="10" t="n">
        <f aca="false">F244*Staffing!$N$9</f>
        <v>5252.37444666667</v>
      </c>
      <c r="H244" s="10" t="n">
        <f aca="false">F244+G244</f>
        <v>18383.3105633333</v>
      </c>
      <c r="I244" s="10" t="n">
        <f aca="false">0</f>
        <v>0</v>
      </c>
      <c r="J244" s="10" t="n">
        <f aca="false">MAX(0,E244-E243)*Staffing!$O$9</f>
        <v>0</v>
      </c>
      <c r="K244" s="10" t="n">
        <f aca="false">MAX(0,E244-E243)*Staffing!$P$9</f>
        <v>0</v>
      </c>
      <c r="L244" s="23" t="n">
        <f aca="false">ROUNDUP(E244,0)</f>
        <v>1</v>
      </c>
    </row>
    <row r="245" customFormat="false" ht="15" hidden="false" customHeight="false" outlineLevel="0" collapsed="false">
      <c r="A245" s="6" t="s">
        <v>72</v>
      </c>
      <c r="B245" s="6" t="s">
        <v>334</v>
      </c>
      <c r="C245" s="6" t="n">
        <v>60</v>
      </c>
      <c r="D245" s="25" t="n">
        <f aca="false">EDATE('Start Here'!$B$6,C245-1)</f>
        <v>48122</v>
      </c>
      <c r="E245" s="11" t="n">
        <f aca="false">IF(AND(C245&gt;=Staffing!$F$9,C245&lt;=Staffing!$G$9,1=1),IF(C245&lt;=6,Staffing!$H$9,IF(C245&lt;=15,Staffing!$I$9,IF(C245&lt;=30,Staffing!$J$9,Staffing!$K$9))),0)</f>
        <v>1</v>
      </c>
      <c r="F245" s="10" t="n">
        <f aca="false">E245*Staffing!$L$9/12*(1+Assumptions!$C$10)^INT((C245-1)/12)*1</f>
        <v>13130.9361166667</v>
      </c>
      <c r="G245" s="10" t="n">
        <f aca="false">F245*Staffing!$N$9</f>
        <v>5252.37444666667</v>
      </c>
      <c r="H245" s="10" t="n">
        <f aca="false">F245+G245</f>
        <v>18383.3105633333</v>
      </c>
      <c r="I245" s="10" t="n">
        <f aca="false">0</f>
        <v>0</v>
      </c>
      <c r="J245" s="10" t="n">
        <f aca="false">MAX(0,E245-E244)*Staffing!$O$9</f>
        <v>0</v>
      </c>
      <c r="K245" s="10" t="n">
        <f aca="false">MAX(0,E245-E244)*Staffing!$P$9</f>
        <v>0</v>
      </c>
      <c r="L245" s="23" t="n">
        <f aca="false">ROUNDUP(E245,0)</f>
        <v>1</v>
      </c>
    </row>
    <row r="246" customFormat="false" ht="15" hidden="false" customHeight="false" outlineLevel="0" collapsed="false">
      <c r="A246" s="6" t="s">
        <v>72</v>
      </c>
      <c r="B246" s="6" t="s">
        <v>336</v>
      </c>
      <c r="C246" s="6" t="n">
        <v>1</v>
      </c>
      <c r="D246" s="25" t="n">
        <f aca="false">EDATE('Start Here'!$B$6,C246-1)</f>
        <v>46327</v>
      </c>
      <c r="E246" s="23" t="n">
        <f aca="false">IF(AND(C246&gt;=Staffing!$F$10,C246&lt;=Staffing!$G$10,1=1),IF(C246&lt;=6,Staffing!$H$10,IF(C246&lt;=15,Staffing!$I$10,IF(C246&lt;=30,Staffing!$J$10,Staffing!$K$10))),0)</f>
        <v>0</v>
      </c>
      <c r="F246" s="10" t="n">
        <f aca="false">E246*Staffing!$L$10/12*(1+Assumptions!$C$10)^INT((C246-1)/12)*1</f>
        <v>0</v>
      </c>
      <c r="G246" s="10" t="n">
        <f aca="false">F246*Staffing!$N$10</f>
        <v>0</v>
      </c>
      <c r="H246" s="10" t="n">
        <f aca="false">F246+G246</f>
        <v>0</v>
      </c>
      <c r="I246" s="10" t="n">
        <f aca="false">0</f>
        <v>0</v>
      </c>
      <c r="J246" s="10" t="n">
        <f aca="false">MAX(0,E246-0)*Staffing!$O$10</f>
        <v>0</v>
      </c>
      <c r="K246" s="10" t="n">
        <f aca="false">MAX(0,E246-0)*Staffing!$P$10</f>
        <v>0</v>
      </c>
      <c r="L246" s="23" t="n">
        <f aca="false">ROUNDUP(E246,0)</f>
        <v>0</v>
      </c>
    </row>
    <row r="247" customFormat="false" ht="15" hidden="false" customHeight="false" outlineLevel="0" collapsed="false">
      <c r="A247" s="6" t="s">
        <v>72</v>
      </c>
      <c r="B247" s="6" t="s">
        <v>336</v>
      </c>
      <c r="C247" s="6" t="n">
        <v>2</v>
      </c>
      <c r="D247" s="25" t="n">
        <f aca="false">EDATE('Start Here'!$B$6,C247-1)</f>
        <v>46357</v>
      </c>
      <c r="E247" s="23" t="n">
        <f aca="false">IF(AND(C247&gt;=Staffing!$F$10,C247&lt;=Staffing!$G$10,1=1),IF(C247&lt;=6,Staffing!$H$10,IF(C247&lt;=15,Staffing!$I$10,IF(C247&lt;=30,Staffing!$J$10,Staffing!$K$10))),0)</f>
        <v>0</v>
      </c>
      <c r="F247" s="10" t="n">
        <f aca="false">E247*Staffing!$L$10/12*(1+Assumptions!$C$10)^INT((C247-1)/12)*1</f>
        <v>0</v>
      </c>
      <c r="G247" s="10" t="n">
        <f aca="false">F247*Staffing!$N$10</f>
        <v>0</v>
      </c>
      <c r="H247" s="10" t="n">
        <f aca="false">F247+G247</f>
        <v>0</v>
      </c>
      <c r="I247" s="10" t="n">
        <f aca="false">0</f>
        <v>0</v>
      </c>
      <c r="J247" s="10" t="n">
        <f aca="false">MAX(0,E247-E246)*Staffing!$O$10</f>
        <v>0</v>
      </c>
      <c r="K247" s="10" t="n">
        <f aca="false">MAX(0,E247-E246)*Staffing!$P$10</f>
        <v>0</v>
      </c>
      <c r="L247" s="23" t="n">
        <f aca="false">ROUNDUP(E247,0)</f>
        <v>0</v>
      </c>
    </row>
    <row r="248" customFormat="false" ht="15" hidden="false" customHeight="false" outlineLevel="0" collapsed="false">
      <c r="A248" s="6" t="s">
        <v>72</v>
      </c>
      <c r="B248" s="6" t="s">
        <v>336</v>
      </c>
      <c r="C248" s="6" t="n">
        <v>3</v>
      </c>
      <c r="D248" s="25" t="n">
        <f aca="false">EDATE('Start Here'!$B$6,C248-1)</f>
        <v>46388</v>
      </c>
      <c r="E248" s="23" t="n">
        <f aca="false">IF(AND(C248&gt;=Staffing!$F$10,C248&lt;=Staffing!$G$10,1=1),IF(C248&lt;=6,Staffing!$H$10,IF(C248&lt;=15,Staffing!$I$10,IF(C248&lt;=30,Staffing!$J$10,Staffing!$K$10))),0)</f>
        <v>0</v>
      </c>
      <c r="F248" s="10" t="n">
        <f aca="false">E248*Staffing!$L$10/12*(1+Assumptions!$C$10)^INT((C248-1)/12)*1</f>
        <v>0</v>
      </c>
      <c r="G248" s="10" t="n">
        <f aca="false">F248*Staffing!$N$10</f>
        <v>0</v>
      </c>
      <c r="H248" s="10" t="n">
        <f aca="false">F248+G248</f>
        <v>0</v>
      </c>
      <c r="I248" s="10" t="n">
        <f aca="false">0</f>
        <v>0</v>
      </c>
      <c r="J248" s="10" t="n">
        <f aca="false">MAX(0,E248-E247)*Staffing!$O$10</f>
        <v>0</v>
      </c>
      <c r="K248" s="10" t="n">
        <f aca="false">MAX(0,E248-E247)*Staffing!$P$10</f>
        <v>0</v>
      </c>
      <c r="L248" s="23" t="n">
        <f aca="false">ROUNDUP(E248,0)</f>
        <v>0</v>
      </c>
    </row>
    <row r="249" customFormat="false" ht="15" hidden="false" customHeight="false" outlineLevel="0" collapsed="false">
      <c r="A249" s="6" t="s">
        <v>72</v>
      </c>
      <c r="B249" s="6" t="s">
        <v>336</v>
      </c>
      <c r="C249" s="6" t="n">
        <v>4</v>
      </c>
      <c r="D249" s="25" t="n">
        <f aca="false">EDATE('Start Here'!$B$6,C249-1)</f>
        <v>46419</v>
      </c>
      <c r="E249" s="23" t="n">
        <f aca="false">IF(AND(C249&gt;=Staffing!$F$10,C249&lt;=Staffing!$G$10,1=1),IF(C249&lt;=6,Staffing!$H$10,IF(C249&lt;=15,Staffing!$I$10,IF(C249&lt;=30,Staffing!$J$10,Staffing!$K$10))),0)</f>
        <v>0</v>
      </c>
      <c r="F249" s="10" t="n">
        <f aca="false">E249*Staffing!$L$10/12*(1+Assumptions!$C$10)^INT((C249-1)/12)*1</f>
        <v>0</v>
      </c>
      <c r="G249" s="10" t="n">
        <f aca="false">F249*Staffing!$N$10</f>
        <v>0</v>
      </c>
      <c r="H249" s="10" t="n">
        <f aca="false">F249+G249</f>
        <v>0</v>
      </c>
      <c r="I249" s="10" t="n">
        <f aca="false">0</f>
        <v>0</v>
      </c>
      <c r="J249" s="10" t="n">
        <f aca="false">MAX(0,E249-E248)*Staffing!$O$10</f>
        <v>0</v>
      </c>
      <c r="K249" s="10" t="n">
        <f aca="false">MAX(0,E249-E248)*Staffing!$P$10</f>
        <v>0</v>
      </c>
      <c r="L249" s="23" t="n">
        <f aca="false">ROUNDUP(E249,0)</f>
        <v>0</v>
      </c>
    </row>
    <row r="250" customFormat="false" ht="15" hidden="false" customHeight="false" outlineLevel="0" collapsed="false">
      <c r="A250" s="6" t="s">
        <v>72</v>
      </c>
      <c r="B250" s="6" t="s">
        <v>336</v>
      </c>
      <c r="C250" s="6" t="n">
        <v>5</v>
      </c>
      <c r="D250" s="25" t="n">
        <f aca="false">EDATE('Start Here'!$B$6,C250-1)</f>
        <v>46447</v>
      </c>
      <c r="E250" s="11" t="n">
        <f aca="false">IF(AND(C250&gt;=Staffing!$F$10,C250&lt;=Staffing!$G$10,1=1),IF(C250&lt;=6,Staffing!$H$10,IF(C250&lt;=15,Staffing!$I$10,IF(C250&lt;=30,Staffing!$J$10,Staffing!$K$10))),0)</f>
        <v>0.25</v>
      </c>
      <c r="F250" s="10" t="n">
        <f aca="false">E250*Staffing!$L$10/12*(1+Assumptions!$C$10)^INT((C250-1)/12)*1</f>
        <v>2291.66666666667</v>
      </c>
      <c r="G250" s="10" t="n">
        <f aca="false">F250*Staffing!$N$10</f>
        <v>916.666666666667</v>
      </c>
      <c r="H250" s="10" t="n">
        <f aca="false">F250+G250</f>
        <v>3208.33333333333</v>
      </c>
      <c r="I250" s="10" t="n">
        <f aca="false">0</f>
        <v>0</v>
      </c>
      <c r="J250" s="10" t="n">
        <f aca="false">MAX(0,E250-E249)*Staffing!$O$10</f>
        <v>1250</v>
      </c>
      <c r="K250" s="10" t="n">
        <f aca="false">MAX(0,E250-E249)*Staffing!$P$10</f>
        <v>625</v>
      </c>
      <c r="L250" s="23" t="n">
        <f aca="false">ROUNDUP(E250,0)</f>
        <v>1</v>
      </c>
    </row>
    <row r="251" customFormat="false" ht="15" hidden="false" customHeight="false" outlineLevel="0" collapsed="false">
      <c r="A251" s="6" t="s">
        <v>72</v>
      </c>
      <c r="B251" s="6" t="s">
        <v>336</v>
      </c>
      <c r="C251" s="6" t="n">
        <v>6</v>
      </c>
      <c r="D251" s="25" t="n">
        <f aca="false">EDATE('Start Here'!$B$6,C251-1)</f>
        <v>46478</v>
      </c>
      <c r="E251" s="11" t="n">
        <f aca="false">IF(AND(C251&gt;=Staffing!$F$10,C251&lt;=Staffing!$G$10,1=1),IF(C251&lt;=6,Staffing!$H$10,IF(C251&lt;=15,Staffing!$I$10,IF(C251&lt;=30,Staffing!$J$10,Staffing!$K$10))),0)</f>
        <v>0.25</v>
      </c>
      <c r="F251" s="10" t="n">
        <f aca="false">E251*Staffing!$L$10/12*(1+Assumptions!$C$10)^INT((C251-1)/12)*1</f>
        <v>2291.66666666667</v>
      </c>
      <c r="G251" s="10" t="n">
        <f aca="false">F251*Staffing!$N$10</f>
        <v>916.666666666667</v>
      </c>
      <c r="H251" s="10" t="n">
        <f aca="false">F251+G251</f>
        <v>3208.33333333333</v>
      </c>
      <c r="I251" s="10" t="n">
        <f aca="false">0</f>
        <v>0</v>
      </c>
      <c r="J251" s="10" t="n">
        <f aca="false">MAX(0,E251-E250)*Staffing!$O$10</f>
        <v>0</v>
      </c>
      <c r="K251" s="10" t="n">
        <f aca="false">MAX(0,E251-E250)*Staffing!$P$10</f>
        <v>0</v>
      </c>
      <c r="L251" s="23" t="n">
        <f aca="false">ROUNDUP(E251,0)</f>
        <v>1</v>
      </c>
    </row>
    <row r="252" customFormat="false" ht="15" hidden="false" customHeight="false" outlineLevel="0" collapsed="false">
      <c r="A252" s="6" t="s">
        <v>72</v>
      </c>
      <c r="B252" s="6" t="s">
        <v>336</v>
      </c>
      <c r="C252" s="6" t="n">
        <v>7</v>
      </c>
      <c r="D252" s="25" t="n">
        <f aca="false">EDATE('Start Here'!$B$6,C252-1)</f>
        <v>46508</v>
      </c>
      <c r="E252" s="11" t="n">
        <f aca="false">IF(AND(C252&gt;=Staffing!$F$10,C252&lt;=Staffing!$G$10,1=1),IF(C252&lt;=6,Staffing!$H$10,IF(C252&lt;=15,Staffing!$I$10,IF(C252&lt;=30,Staffing!$J$10,Staffing!$K$10))),0)</f>
        <v>0.5</v>
      </c>
      <c r="F252" s="10" t="n">
        <f aca="false">E252*Staffing!$L$10/12*(1+Assumptions!$C$10)^INT((C252-1)/12)*1</f>
        <v>4583.33333333333</v>
      </c>
      <c r="G252" s="10" t="n">
        <f aca="false">F252*Staffing!$N$10</f>
        <v>1833.33333333333</v>
      </c>
      <c r="H252" s="10" t="n">
        <f aca="false">F252+G252</f>
        <v>6416.66666666667</v>
      </c>
      <c r="I252" s="10" t="n">
        <f aca="false">0</f>
        <v>0</v>
      </c>
      <c r="J252" s="10" t="n">
        <f aca="false">MAX(0,E252-E251)*Staffing!$O$10</f>
        <v>1250</v>
      </c>
      <c r="K252" s="10" t="n">
        <f aca="false">MAX(0,E252-E251)*Staffing!$P$10</f>
        <v>625</v>
      </c>
      <c r="L252" s="23" t="n">
        <f aca="false">ROUNDUP(E252,0)</f>
        <v>1</v>
      </c>
    </row>
    <row r="253" customFormat="false" ht="15" hidden="false" customHeight="false" outlineLevel="0" collapsed="false">
      <c r="A253" s="6" t="s">
        <v>72</v>
      </c>
      <c r="B253" s="6" t="s">
        <v>336</v>
      </c>
      <c r="C253" s="6" t="n">
        <v>8</v>
      </c>
      <c r="D253" s="25" t="n">
        <f aca="false">EDATE('Start Here'!$B$6,C253-1)</f>
        <v>46539</v>
      </c>
      <c r="E253" s="11" t="n">
        <f aca="false">IF(AND(C253&gt;=Staffing!$F$10,C253&lt;=Staffing!$G$10,1=1),IF(C253&lt;=6,Staffing!$H$10,IF(C253&lt;=15,Staffing!$I$10,IF(C253&lt;=30,Staffing!$J$10,Staffing!$K$10))),0)</f>
        <v>0.5</v>
      </c>
      <c r="F253" s="10" t="n">
        <f aca="false">E253*Staffing!$L$10/12*(1+Assumptions!$C$10)^INT((C253-1)/12)*1</f>
        <v>4583.33333333333</v>
      </c>
      <c r="G253" s="10" t="n">
        <f aca="false">F253*Staffing!$N$10</f>
        <v>1833.33333333333</v>
      </c>
      <c r="H253" s="10" t="n">
        <f aca="false">F253+G253</f>
        <v>6416.66666666667</v>
      </c>
      <c r="I253" s="10" t="n">
        <f aca="false">0</f>
        <v>0</v>
      </c>
      <c r="J253" s="10" t="n">
        <f aca="false">MAX(0,E253-E252)*Staffing!$O$10</f>
        <v>0</v>
      </c>
      <c r="K253" s="10" t="n">
        <f aca="false">MAX(0,E253-E252)*Staffing!$P$10</f>
        <v>0</v>
      </c>
      <c r="L253" s="23" t="n">
        <f aca="false">ROUNDUP(E253,0)</f>
        <v>1</v>
      </c>
    </row>
    <row r="254" customFormat="false" ht="15" hidden="false" customHeight="false" outlineLevel="0" collapsed="false">
      <c r="A254" s="6" t="s">
        <v>72</v>
      </c>
      <c r="B254" s="6" t="s">
        <v>336</v>
      </c>
      <c r="C254" s="6" t="n">
        <v>9</v>
      </c>
      <c r="D254" s="25" t="n">
        <f aca="false">EDATE('Start Here'!$B$6,C254-1)</f>
        <v>46569</v>
      </c>
      <c r="E254" s="11" t="n">
        <f aca="false">IF(AND(C254&gt;=Staffing!$F$10,C254&lt;=Staffing!$G$10,1=1),IF(C254&lt;=6,Staffing!$H$10,IF(C254&lt;=15,Staffing!$I$10,IF(C254&lt;=30,Staffing!$J$10,Staffing!$K$10))),0)</f>
        <v>0.5</v>
      </c>
      <c r="F254" s="10" t="n">
        <f aca="false">E254*Staffing!$L$10/12*(1+Assumptions!$C$10)^INT((C254-1)/12)*1</f>
        <v>4583.33333333333</v>
      </c>
      <c r="G254" s="10" t="n">
        <f aca="false">F254*Staffing!$N$10</f>
        <v>1833.33333333333</v>
      </c>
      <c r="H254" s="10" t="n">
        <f aca="false">F254+G254</f>
        <v>6416.66666666667</v>
      </c>
      <c r="I254" s="10" t="n">
        <f aca="false">0</f>
        <v>0</v>
      </c>
      <c r="J254" s="10" t="n">
        <f aca="false">MAX(0,E254-E253)*Staffing!$O$10</f>
        <v>0</v>
      </c>
      <c r="K254" s="10" t="n">
        <f aca="false">MAX(0,E254-E253)*Staffing!$P$10</f>
        <v>0</v>
      </c>
      <c r="L254" s="23" t="n">
        <f aca="false">ROUNDUP(E254,0)</f>
        <v>1</v>
      </c>
    </row>
    <row r="255" customFormat="false" ht="15" hidden="false" customHeight="false" outlineLevel="0" collapsed="false">
      <c r="A255" s="6" t="s">
        <v>72</v>
      </c>
      <c r="B255" s="6" t="s">
        <v>336</v>
      </c>
      <c r="C255" s="6" t="n">
        <v>10</v>
      </c>
      <c r="D255" s="25" t="n">
        <f aca="false">EDATE('Start Here'!$B$6,C255-1)</f>
        <v>46600</v>
      </c>
      <c r="E255" s="11" t="n">
        <f aca="false">IF(AND(C255&gt;=Staffing!$F$10,C255&lt;=Staffing!$G$10,1=1),IF(C255&lt;=6,Staffing!$H$10,IF(C255&lt;=15,Staffing!$I$10,IF(C255&lt;=30,Staffing!$J$10,Staffing!$K$10))),0)</f>
        <v>0.5</v>
      </c>
      <c r="F255" s="10" t="n">
        <f aca="false">E255*Staffing!$L$10/12*(1+Assumptions!$C$10)^INT((C255-1)/12)*1</f>
        <v>4583.33333333333</v>
      </c>
      <c r="G255" s="10" t="n">
        <f aca="false">F255*Staffing!$N$10</f>
        <v>1833.33333333333</v>
      </c>
      <c r="H255" s="10" t="n">
        <f aca="false">F255+G255</f>
        <v>6416.66666666667</v>
      </c>
      <c r="I255" s="10" t="n">
        <f aca="false">0</f>
        <v>0</v>
      </c>
      <c r="J255" s="10" t="n">
        <f aca="false">MAX(0,E255-E254)*Staffing!$O$10</f>
        <v>0</v>
      </c>
      <c r="K255" s="10" t="n">
        <f aca="false">MAX(0,E255-E254)*Staffing!$P$10</f>
        <v>0</v>
      </c>
      <c r="L255" s="23" t="n">
        <f aca="false">ROUNDUP(E255,0)</f>
        <v>1</v>
      </c>
    </row>
    <row r="256" customFormat="false" ht="15" hidden="false" customHeight="false" outlineLevel="0" collapsed="false">
      <c r="A256" s="6" t="s">
        <v>72</v>
      </c>
      <c r="B256" s="6" t="s">
        <v>336</v>
      </c>
      <c r="C256" s="6" t="n">
        <v>11</v>
      </c>
      <c r="D256" s="25" t="n">
        <f aca="false">EDATE('Start Here'!$B$6,C256-1)</f>
        <v>46631</v>
      </c>
      <c r="E256" s="11" t="n">
        <f aca="false">IF(AND(C256&gt;=Staffing!$F$10,C256&lt;=Staffing!$G$10,1=1),IF(C256&lt;=6,Staffing!$H$10,IF(C256&lt;=15,Staffing!$I$10,IF(C256&lt;=30,Staffing!$J$10,Staffing!$K$10))),0)</f>
        <v>0.5</v>
      </c>
      <c r="F256" s="10" t="n">
        <f aca="false">E256*Staffing!$L$10/12*(1+Assumptions!$C$10)^INT((C256-1)/12)*1</f>
        <v>4583.33333333333</v>
      </c>
      <c r="G256" s="10" t="n">
        <f aca="false">F256*Staffing!$N$10</f>
        <v>1833.33333333333</v>
      </c>
      <c r="H256" s="10" t="n">
        <f aca="false">F256+G256</f>
        <v>6416.66666666667</v>
      </c>
      <c r="I256" s="10" t="n">
        <f aca="false">0</f>
        <v>0</v>
      </c>
      <c r="J256" s="10" t="n">
        <f aca="false">MAX(0,E256-E255)*Staffing!$O$10</f>
        <v>0</v>
      </c>
      <c r="K256" s="10" t="n">
        <f aca="false">MAX(0,E256-E255)*Staffing!$P$10</f>
        <v>0</v>
      </c>
      <c r="L256" s="23" t="n">
        <f aca="false">ROUNDUP(E256,0)</f>
        <v>1</v>
      </c>
    </row>
    <row r="257" customFormat="false" ht="15" hidden="false" customHeight="false" outlineLevel="0" collapsed="false">
      <c r="A257" s="6" t="s">
        <v>72</v>
      </c>
      <c r="B257" s="6" t="s">
        <v>336</v>
      </c>
      <c r="C257" s="6" t="n">
        <v>12</v>
      </c>
      <c r="D257" s="25" t="n">
        <f aca="false">EDATE('Start Here'!$B$6,C257-1)</f>
        <v>46661</v>
      </c>
      <c r="E257" s="11" t="n">
        <f aca="false">IF(AND(C257&gt;=Staffing!$F$10,C257&lt;=Staffing!$G$10,1=1),IF(C257&lt;=6,Staffing!$H$10,IF(C257&lt;=15,Staffing!$I$10,IF(C257&lt;=30,Staffing!$J$10,Staffing!$K$10))),0)</f>
        <v>0.5</v>
      </c>
      <c r="F257" s="10" t="n">
        <f aca="false">E257*Staffing!$L$10/12*(1+Assumptions!$C$10)^INT((C257-1)/12)*1</f>
        <v>4583.33333333333</v>
      </c>
      <c r="G257" s="10" t="n">
        <f aca="false">F257*Staffing!$N$10</f>
        <v>1833.33333333333</v>
      </c>
      <c r="H257" s="10" t="n">
        <f aca="false">F257+G257</f>
        <v>6416.66666666667</v>
      </c>
      <c r="I257" s="10" t="n">
        <f aca="false">0</f>
        <v>0</v>
      </c>
      <c r="J257" s="10" t="n">
        <f aca="false">MAX(0,E257-E256)*Staffing!$O$10</f>
        <v>0</v>
      </c>
      <c r="K257" s="10" t="n">
        <f aca="false">MAX(0,E257-E256)*Staffing!$P$10</f>
        <v>0</v>
      </c>
      <c r="L257" s="23" t="n">
        <f aca="false">ROUNDUP(E257,0)</f>
        <v>1</v>
      </c>
    </row>
    <row r="258" customFormat="false" ht="15" hidden="false" customHeight="false" outlineLevel="0" collapsed="false">
      <c r="A258" s="6" t="s">
        <v>72</v>
      </c>
      <c r="B258" s="6" t="s">
        <v>336</v>
      </c>
      <c r="C258" s="6" t="n">
        <v>13</v>
      </c>
      <c r="D258" s="25" t="n">
        <f aca="false">EDATE('Start Here'!$B$6,C258-1)</f>
        <v>46692</v>
      </c>
      <c r="E258" s="11" t="n">
        <f aca="false">IF(AND(C258&gt;=Staffing!$F$10,C258&lt;=Staffing!$G$10,1=1),IF(C258&lt;=6,Staffing!$H$10,IF(C258&lt;=15,Staffing!$I$10,IF(C258&lt;=30,Staffing!$J$10,Staffing!$K$10))),0)</f>
        <v>0.5</v>
      </c>
      <c r="F258" s="10" t="n">
        <f aca="false">E258*Staffing!$L$10/12*(1+Assumptions!$C$10)^INT((C258-1)/12)*1</f>
        <v>4720.83333333333</v>
      </c>
      <c r="G258" s="10" t="n">
        <f aca="false">F258*Staffing!$N$10</f>
        <v>1888.33333333333</v>
      </c>
      <c r="H258" s="10" t="n">
        <f aca="false">F258+G258</f>
        <v>6609.16666666667</v>
      </c>
      <c r="I258" s="10" t="n">
        <f aca="false">0</f>
        <v>0</v>
      </c>
      <c r="J258" s="10" t="n">
        <f aca="false">MAX(0,E258-E257)*Staffing!$O$10</f>
        <v>0</v>
      </c>
      <c r="K258" s="10" t="n">
        <f aca="false">MAX(0,E258-E257)*Staffing!$P$10</f>
        <v>0</v>
      </c>
      <c r="L258" s="23" t="n">
        <f aca="false">ROUNDUP(E258,0)</f>
        <v>1</v>
      </c>
    </row>
    <row r="259" customFormat="false" ht="15" hidden="false" customHeight="false" outlineLevel="0" collapsed="false">
      <c r="A259" s="6" t="s">
        <v>72</v>
      </c>
      <c r="B259" s="6" t="s">
        <v>336</v>
      </c>
      <c r="C259" s="6" t="n">
        <v>14</v>
      </c>
      <c r="D259" s="25" t="n">
        <f aca="false">EDATE('Start Here'!$B$6,C259-1)</f>
        <v>46722</v>
      </c>
      <c r="E259" s="11" t="n">
        <f aca="false">IF(AND(C259&gt;=Staffing!$F$10,C259&lt;=Staffing!$G$10,1=1),IF(C259&lt;=6,Staffing!$H$10,IF(C259&lt;=15,Staffing!$I$10,IF(C259&lt;=30,Staffing!$J$10,Staffing!$K$10))),0)</f>
        <v>0.5</v>
      </c>
      <c r="F259" s="10" t="n">
        <f aca="false">E259*Staffing!$L$10/12*(1+Assumptions!$C$10)^INT((C259-1)/12)*1</f>
        <v>4720.83333333333</v>
      </c>
      <c r="G259" s="10" t="n">
        <f aca="false">F259*Staffing!$N$10</f>
        <v>1888.33333333333</v>
      </c>
      <c r="H259" s="10" t="n">
        <f aca="false">F259+G259</f>
        <v>6609.16666666667</v>
      </c>
      <c r="I259" s="10" t="n">
        <f aca="false">0</f>
        <v>0</v>
      </c>
      <c r="J259" s="10" t="n">
        <f aca="false">MAX(0,E259-E258)*Staffing!$O$10</f>
        <v>0</v>
      </c>
      <c r="K259" s="10" t="n">
        <f aca="false">MAX(0,E259-E258)*Staffing!$P$10</f>
        <v>0</v>
      </c>
      <c r="L259" s="23" t="n">
        <f aca="false">ROUNDUP(E259,0)</f>
        <v>1</v>
      </c>
    </row>
    <row r="260" customFormat="false" ht="15" hidden="false" customHeight="false" outlineLevel="0" collapsed="false">
      <c r="A260" s="6" t="s">
        <v>72</v>
      </c>
      <c r="B260" s="6" t="s">
        <v>336</v>
      </c>
      <c r="C260" s="6" t="n">
        <v>15</v>
      </c>
      <c r="D260" s="25" t="n">
        <f aca="false">EDATE('Start Here'!$B$6,C260-1)</f>
        <v>46753</v>
      </c>
      <c r="E260" s="11" t="n">
        <f aca="false">IF(AND(C260&gt;=Staffing!$F$10,C260&lt;=Staffing!$G$10,1=1),IF(C260&lt;=6,Staffing!$H$10,IF(C260&lt;=15,Staffing!$I$10,IF(C260&lt;=30,Staffing!$J$10,Staffing!$K$10))),0)</f>
        <v>0.5</v>
      </c>
      <c r="F260" s="10" t="n">
        <f aca="false">E260*Staffing!$L$10/12*(1+Assumptions!$C$10)^INT((C260-1)/12)*1</f>
        <v>4720.83333333333</v>
      </c>
      <c r="G260" s="10" t="n">
        <f aca="false">F260*Staffing!$N$10</f>
        <v>1888.33333333333</v>
      </c>
      <c r="H260" s="10" t="n">
        <f aca="false">F260+G260</f>
        <v>6609.16666666667</v>
      </c>
      <c r="I260" s="10" t="n">
        <f aca="false">0</f>
        <v>0</v>
      </c>
      <c r="J260" s="10" t="n">
        <f aca="false">MAX(0,E260-E259)*Staffing!$O$10</f>
        <v>0</v>
      </c>
      <c r="K260" s="10" t="n">
        <f aca="false">MAX(0,E260-E259)*Staffing!$P$10</f>
        <v>0</v>
      </c>
      <c r="L260" s="23" t="n">
        <f aca="false">ROUNDUP(E260,0)</f>
        <v>1</v>
      </c>
    </row>
    <row r="261" customFormat="false" ht="15" hidden="false" customHeight="false" outlineLevel="0" collapsed="false">
      <c r="A261" s="6" t="s">
        <v>72</v>
      </c>
      <c r="B261" s="6" t="s">
        <v>336</v>
      </c>
      <c r="C261" s="6" t="n">
        <v>16</v>
      </c>
      <c r="D261" s="25" t="n">
        <f aca="false">EDATE('Start Here'!$B$6,C261-1)</f>
        <v>46784</v>
      </c>
      <c r="E261" s="11" t="n">
        <f aca="false">IF(AND(C261&gt;=Staffing!$F$10,C261&lt;=Staffing!$G$10,1=1),IF(C261&lt;=6,Staffing!$H$10,IF(C261&lt;=15,Staffing!$I$10,IF(C261&lt;=30,Staffing!$J$10,Staffing!$K$10))),0)</f>
        <v>0.75</v>
      </c>
      <c r="F261" s="10" t="n">
        <f aca="false">E261*Staffing!$L$10/12*(1+Assumptions!$C$10)^INT((C261-1)/12)*1</f>
        <v>7081.25</v>
      </c>
      <c r="G261" s="10" t="n">
        <f aca="false">F261*Staffing!$N$10</f>
        <v>2832.5</v>
      </c>
      <c r="H261" s="10" t="n">
        <f aca="false">F261+G261</f>
        <v>9913.75</v>
      </c>
      <c r="I261" s="10" t="n">
        <f aca="false">0</f>
        <v>0</v>
      </c>
      <c r="J261" s="10" t="n">
        <f aca="false">MAX(0,E261-E260)*Staffing!$O$10</f>
        <v>1250</v>
      </c>
      <c r="K261" s="10" t="n">
        <f aca="false">MAX(0,E261-E260)*Staffing!$P$10</f>
        <v>625</v>
      </c>
      <c r="L261" s="23" t="n">
        <f aca="false">ROUNDUP(E261,0)</f>
        <v>1</v>
      </c>
    </row>
    <row r="262" customFormat="false" ht="15" hidden="false" customHeight="false" outlineLevel="0" collapsed="false">
      <c r="A262" s="6" t="s">
        <v>72</v>
      </c>
      <c r="B262" s="6" t="s">
        <v>336</v>
      </c>
      <c r="C262" s="6" t="n">
        <v>17</v>
      </c>
      <c r="D262" s="25" t="n">
        <f aca="false">EDATE('Start Here'!$B$6,C262-1)</f>
        <v>46813</v>
      </c>
      <c r="E262" s="11" t="n">
        <f aca="false">IF(AND(C262&gt;=Staffing!$F$10,C262&lt;=Staffing!$G$10,1=1),IF(C262&lt;=6,Staffing!$H$10,IF(C262&lt;=15,Staffing!$I$10,IF(C262&lt;=30,Staffing!$J$10,Staffing!$K$10))),0)</f>
        <v>0.75</v>
      </c>
      <c r="F262" s="10" t="n">
        <f aca="false">E262*Staffing!$L$10/12*(1+Assumptions!$C$10)^INT((C262-1)/12)*1</f>
        <v>7081.25</v>
      </c>
      <c r="G262" s="10" t="n">
        <f aca="false">F262*Staffing!$N$10</f>
        <v>2832.5</v>
      </c>
      <c r="H262" s="10" t="n">
        <f aca="false">F262+G262</f>
        <v>9913.75</v>
      </c>
      <c r="I262" s="10" t="n">
        <f aca="false">0</f>
        <v>0</v>
      </c>
      <c r="J262" s="10" t="n">
        <f aca="false">MAX(0,E262-E261)*Staffing!$O$10</f>
        <v>0</v>
      </c>
      <c r="K262" s="10" t="n">
        <f aca="false">MAX(0,E262-E261)*Staffing!$P$10</f>
        <v>0</v>
      </c>
      <c r="L262" s="23" t="n">
        <f aca="false">ROUNDUP(E262,0)</f>
        <v>1</v>
      </c>
    </row>
    <row r="263" customFormat="false" ht="15" hidden="false" customHeight="false" outlineLevel="0" collapsed="false">
      <c r="A263" s="6" t="s">
        <v>72</v>
      </c>
      <c r="B263" s="6" t="s">
        <v>336</v>
      </c>
      <c r="C263" s="6" t="n">
        <v>18</v>
      </c>
      <c r="D263" s="25" t="n">
        <f aca="false">EDATE('Start Here'!$B$6,C263-1)</f>
        <v>46844</v>
      </c>
      <c r="E263" s="11" t="n">
        <f aca="false">IF(AND(C263&gt;=Staffing!$F$10,C263&lt;=Staffing!$G$10,1=1),IF(C263&lt;=6,Staffing!$H$10,IF(C263&lt;=15,Staffing!$I$10,IF(C263&lt;=30,Staffing!$J$10,Staffing!$K$10))),0)</f>
        <v>0.75</v>
      </c>
      <c r="F263" s="10" t="n">
        <f aca="false">E263*Staffing!$L$10/12*(1+Assumptions!$C$10)^INT((C263-1)/12)*1</f>
        <v>7081.25</v>
      </c>
      <c r="G263" s="10" t="n">
        <f aca="false">F263*Staffing!$N$10</f>
        <v>2832.5</v>
      </c>
      <c r="H263" s="10" t="n">
        <f aca="false">F263+G263</f>
        <v>9913.75</v>
      </c>
      <c r="I263" s="10" t="n">
        <f aca="false">0</f>
        <v>0</v>
      </c>
      <c r="J263" s="10" t="n">
        <f aca="false">MAX(0,E263-E262)*Staffing!$O$10</f>
        <v>0</v>
      </c>
      <c r="K263" s="10" t="n">
        <f aca="false">MAX(0,E263-E262)*Staffing!$P$10</f>
        <v>0</v>
      </c>
      <c r="L263" s="23" t="n">
        <f aca="false">ROUNDUP(E263,0)</f>
        <v>1</v>
      </c>
    </row>
    <row r="264" customFormat="false" ht="15" hidden="false" customHeight="false" outlineLevel="0" collapsed="false">
      <c r="A264" s="6" t="s">
        <v>72</v>
      </c>
      <c r="B264" s="6" t="s">
        <v>336</v>
      </c>
      <c r="C264" s="6" t="n">
        <v>19</v>
      </c>
      <c r="D264" s="25" t="n">
        <f aca="false">EDATE('Start Here'!$B$6,C264-1)</f>
        <v>46874</v>
      </c>
      <c r="E264" s="11" t="n">
        <f aca="false">IF(AND(C264&gt;=Staffing!$F$10,C264&lt;=Staffing!$G$10,1=1),IF(C264&lt;=6,Staffing!$H$10,IF(C264&lt;=15,Staffing!$I$10,IF(C264&lt;=30,Staffing!$J$10,Staffing!$K$10))),0)</f>
        <v>0.75</v>
      </c>
      <c r="F264" s="10" t="n">
        <f aca="false">E264*Staffing!$L$10/12*(1+Assumptions!$C$10)^INT((C264-1)/12)*1</f>
        <v>7081.25</v>
      </c>
      <c r="G264" s="10" t="n">
        <f aca="false">F264*Staffing!$N$10</f>
        <v>2832.5</v>
      </c>
      <c r="H264" s="10" t="n">
        <f aca="false">F264+G264</f>
        <v>9913.75</v>
      </c>
      <c r="I264" s="10" t="n">
        <f aca="false">0</f>
        <v>0</v>
      </c>
      <c r="J264" s="10" t="n">
        <f aca="false">MAX(0,E264-E263)*Staffing!$O$10</f>
        <v>0</v>
      </c>
      <c r="K264" s="10" t="n">
        <f aca="false">MAX(0,E264-E263)*Staffing!$P$10</f>
        <v>0</v>
      </c>
      <c r="L264" s="23" t="n">
        <f aca="false">ROUNDUP(E264,0)</f>
        <v>1</v>
      </c>
    </row>
    <row r="265" customFormat="false" ht="15" hidden="false" customHeight="false" outlineLevel="0" collapsed="false">
      <c r="A265" s="6" t="s">
        <v>72</v>
      </c>
      <c r="B265" s="6" t="s">
        <v>336</v>
      </c>
      <c r="C265" s="6" t="n">
        <v>20</v>
      </c>
      <c r="D265" s="25" t="n">
        <f aca="false">EDATE('Start Here'!$B$6,C265-1)</f>
        <v>46905</v>
      </c>
      <c r="E265" s="11" t="n">
        <f aca="false">IF(AND(C265&gt;=Staffing!$F$10,C265&lt;=Staffing!$G$10,1=1),IF(C265&lt;=6,Staffing!$H$10,IF(C265&lt;=15,Staffing!$I$10,IF(C265&lt;=30,Staffing!$J$10,Staffing!$K$10))),0)</f>
        <v>0.75</v>
      </c>
      <c r="F265" s="10" t="n">
        <f aca="false">E265*Staffing!$L$10/12*(1+Assumptions!$C$10)^INT((C265-1)/12)*1</f>
        <v>7081.25</v>
      </c>
      <c r="G265" s="10" t="n">
        <f aca="false">F265*Staffing!$N$10</f>
        <v>2832.5</v>
      </c>
      <c r="H265" s="10" t="n">
        <f aca="false">F265+G265</f>
        <v>9913.75</v>
      </c>
      <c r="I265" s="10" t="n">
        <f aca="false">0</f>
        <v>0</v>
      </c>
      <c r="J265" s="10" t="n">
        <f aca="false">MAX(0,E265-E264)*Staffing!$O$10</f>
        <v>0</v>
      </c>
      <c r="K265" s="10" t="n">
        <f aca="false">MAX(0,E265-E264)*Staffing!$P$10</f>
        <v>0</v>
      </c>
      <c r="L265" s="23" t="n">
        <f aca="false">ROUNDUP(E265,0)</f>
        <v>1</v>
      </c>
    </row>
    <row r="266" customFormat="false" ht="15" hidden="false" customHeight="false" outlineLevel="0" collapsed="false">
      <c r="A266" s="6" t="s">
        <v>72</v>
      </c>
      <c r="B266" s="6" t="s">
        <v>336</v>
      </c>
      <c r="C266" s="6" t="n">
        <v>21</v>
      </c>
      <c r="D266" s="25" t="n">
        <f aca="false">EDATE('Start Here'!$B$6,C266-1)</f>
        <v>46935</v>
      </c>
      <c r="E266" s="11" t="n">
        <f aca="false">IF(AND(C266&gt;=Staffing!$F$10,C266&lt;=Staffing!$G$10,1=1),IF(C266&lt;=6,Staffing!$H$10,IF(C266&lt;=15,Staffing!$I$10,IF(C266&lt;=30,Staffing!$J$10,Staffing!$K$10))),0)</f>
        <v>0.75</v>
      </c>
      <c r="F266" s="10" t="n">
        <f aca="false">E266*Staffing!$L$10/12*(1+Assumptions!$C$10)^INT((C266-1)/12)*1</f>
        <v>7081.25</v>
      </c>
      <c r="G266" s="10" t="n">
        <f aca="false">F266*Staffing!$N$10</f>
        <v>2832.5</v>
      </c>
      <c r="H266" s="10" t="n">
        <f aca="false">F266+G266</f>
        <v>9913.75</v>
      </c>
      <c r="I266" s="10" t="n">
        <f aca="false">0</f>
        <v>0</v>
      </c>
      <c r="J266" s="10" t="n">
        <f aca="false">MAX(0,E266-E265)*Staffing!$O$10</f>
        <v>0</v>
      </c>
      <c r="K266" s="10" t="n">
        <f aca="false">MAX(0,E266-E265)*Staffing!$P$10</f>
        <v>0</v>
      </c>
      <c r="L266" s="23" t="n">
        <f aca="false">ROUNDUP(E266,0)</f>
        <v>1</v>
      </c>
    </row>
    <row r="267" customFormat="false" ht="15" hidden="false" customHeight="false" outlineLevel="0" collapsed="false">
      <c r="A267" s="6" t="s">
        <v>72</v>
      </c>
      <c r="B267" s="6" t="s">
        <v>336</v>
      </c>
      <c r="C267" s="6" t="n">
        <v>22</v>
      </c>
      <c r="D267" s="25" t="n">
        <f aca="false">EDATE('Start Here'!$B$6,C267-1)</f>
        <v>46966</v>
      </c>
      <c r="E267" s="11" t="n">
        <f aca="false">IF(AND(C267&gt;=Staffing!$F$10,C267&lt;=Staffing!$G$10,1=1),IF(C267&lt;=6,Staffing!$H$10,IF(C267&lt;=15,Staffing!$I$10,IF(C267&lt;=30,Staffing!$J$10,Staffing!$K$10))),0)</f>
        <v>0.75</v>
      </c>
      <c r="F267" s="10" t="n">
        <f aca="false">E267*Staffing!$L$10/12*(1+Assumptions!$C$10)^INT((C267-1)/12)*1</f>
        <v>7081.25</v>
      </c>
      <c r="G267" s="10" t="n">
        <f aca="false">F267*Staffing!$N$10</f>
        <v>2832.5</v>
      </c>
      <c r="H267" s="10" t="n">
        <f aca="false">F267+G267</f>
        <v>9913.75</v>
      </c>
      <c r="I267" s="10" t="n">
        <f aca="false">0</f>
        <v>0</v>
      </c>
      <c r="J267" s="10" t="n">
        <f aca="false">MAX(0,E267-E266)*Staffing!$O$10</f>
        <v>0</v>
      </c>
      <c r="K267" s="10" t="n">
        <f aca="false">MAX(0,E267-E266)*Staffing!$P$10</f>
        <v>0</v>
      </c>
      <c r="L267" s="23" t="n">
        <f aca="false">ROUNDUP(E267,0)</f>
        <v>1</v>
      </c>
    </row>
    <row r="268" customFormat="false" ht="15" hidden="false" customHeight="false" outlineLevel="0" collapsed="false">
      <c r="A268" s="6" t="s">
        <v>72</v>
      </c>
      <c r="B268" s="6" t="s">
        <v>336</v>
      </c>
      <c r="C268" s="6" t="n">
        <v>23</v>
      </c>
      <c r="D268" s="25" t="n">
        <f aca="false">EDATE('Start Here'!$B$6,C268-1)</f>
        <v>46997</v>
      </c>
      <c r="E268" s="11" t="n">
        <f aca="false">IF(AND(C268&gt;=Staffing!$F$10,C268&lt;=Staffing!$G$10,1=1),IF(C268&lt;=6,Staffing!$H$10,IF(C268&lt;=15,Staffing!$I$10,IF(C268&lt;=30,Staffing!$J$10,Staffing!$K$10))),0)</f>
        <v>0.75</v>
      </c>
      <c r="F268" s="10" t="n">
        <f aca="false">E268*Staffing!$L$10/12*(1+Assumptions!$C$10)^INT((C268-1)/12)*1</f>
        <v>7081.25</v>
      </c>
      <c r="G268" s="10" t="n">
        <f aca="false">F268*Staffing!$N$10</f>
        <v>2832.5</v>
      </c>
      <c r="H268" s="10" t="n">
        <f aca="false">F268+G268</f>
        <v>9913.75</v>
      </c>
      <c r="I268" s="10" t="n">
        <f aca="false">0</f>
        <v>0</v>
      </c>
      <c r="J268" s="10" t="n">
        <f aca="false">MAX(0,E268-E267)*Staffing!$O$10</f>
        <v>0</v>
      </c>
      <c r="K268" s="10" t="n">
        <f aca="false">MAX(0,E268-E267)*Staffing!$P$10</f>
        <v>0</v>
      </c>
      <c r="L268" s="23" t="n">
        <f aca="false">ROUNDUP(E268,0)</f>
        <v>1</v>
      </c>
    </row>
    <row r="269" customFormat="false" ht="15" hidden="false" customHeight="false" outlineLevel="0" collapsed="false">
      <c r="A269" s="6" t="s">
        <v>72</v>
      </c>
      <c r="B269" s="6" t="s">
        <v>336</v>
      </c>
      <c r="C269" s="6" t="n">
        <v>24</v>
      </c>
      <c r="D269" s="25" t="n">
        <f aca="false">EDATE('Start Here'!$B$6,C269-1)</f>
        <v>47027</v>
      </c>
      <c r="E269" s="11" t="n">
        <f aca="false">IF(AND(C269&gt;=Staffing!$F$10,C269&lt;=Staffing!$G$10,1=1),IF(C269&lt;=6,Staffing!$H$10,IF(C269&lt;=15,Staffing!$I$10,IF(C269&lt;=30,Staffing!$J$10,Staffing!$K$10))),0)</f>
        <v>0.75</v>
      </c>
      <c r="F269" s="10" t="n">
        <f aca="false">E269*Staffing!$L$10/12*(1+Assumptions!$C$10)^INT((C269-1)/12)*1</f>
        <v>7081.25</v>
      </c>
      <c r="G269" s="10" t="n">
        <f aca="false">F269*Staffing!$N$10</f>
        <v>2832.5</v>
      </c>
      <c r="H269" s="10" t="n">
        <f aca="false">F269+G269</f>
        <v>9913.75</v>
      </c>
      <c r="I269" s="10" t="n">
        <f aca="false">0</f>
        <v>0</v>
      </c>
      <c r="J269" s="10" t="n">
        <f aca="false">MAX(0,E269-E268)*Staffing!$O$10</f>
        <v>0</v>
      </c>
      <c r="K269" s="10" t="n">
        <f aca="false">MAX(0,E269-E268)*Staffing!$P$10</f>
        <v>0</v>
      </c>
      <c r="L269" s="23" t="n">
        <f aca="false">ROUNDUP(E269,0)</f>
        <v>1</v>
      </c>
    </row>
    <row r="270" customFormat="false" ht="15" hidden="false" customHeight="false" outlineLevel="0" collapsed="false">
      <c r="A270" s="6" t="s">
        <v>72</v>
      </c>
      <c r="B270" s="6" t="s">
        <v>336</v>
      </c>
      <c r="C270" s="6" t="n">
        <v>25</v>
      </c>
      <c r="D270" s="25" t="n">
        <f aca="false">EDATE('Start Here'!$B$6,C270-1)</f>
        <v>47058</v>
      </c>
      <c r="E270" s="11" t="n">
        <f aca="false">IF(AND(C270&gt;=Staffing!$F$10,C270&lt;=Staffing!$G$10,1=1),IF(C270&lt;=6,Staffing!$H$10,IF(C270&lt;=15,Staffing!$I$10,IF(C270&lt;=30,Staffing!$J$10,Staffing!$K$10))),0)</f>
        <v>0.75</v>
      </c>
      <c r="F270" s="10" t="n">
        <f aca="false">E270*Staffing!$L$10/12*(1+Assumptions!$C$10)^INT((C270-1)/12)*1</f>
        <v>7293.6875</v>
      </c>
      <c r="G270" s="10" t="n">
        <f aca="false">F270*Staffing!$N$10</f>
        <v>2917.475</v>
      </c>
      <c r="H270" s="10" t="n">
        <f aca="false">F270+G270</f>
        <v>10211.1625</v>
      </c>
      <c r="I270" s="10" t="n">
        <f aca="false">0</f>
        <v>0</v>
      </c>
      <c r="J270" s="10" t="n">
        <f aca="false">MAX(0,E270-E269)*Staffing!$O$10</f>
        <v>0</v>
      </c>
      <c r="K270" s="10" t="n">
        <f aca="false">MAX(0,E270-E269)*Staffing!$P$10</f>
        <v>0</v>
      </c>
      <c r="L270" s="23" t="n">
        <f aca="false">ROUNDUP(E270,0)</f>
        <v>1</v>
      </c>
    </row>
    <row r="271" customFormat="false" ht="15" hidden="false" customHeight="false" outlineLevel="0" collapsed="false">
      <c r="A271" s="6" t="s">
        <v>72</v>
      </c>
      <c r="B271" s="6" t="s">
        <v>336</v>
      </c>
      <c r="C271" s="6" t="n">
        <v>26</v>
      </c>
      <c r="D271" s="25" t="n">
        <f aca="false">EDATE('Start Here'!$B$6,C271-1)</f>
        <v>47088</v>
      </c>
      <c r="E271" s="11" t="n">
        <f aca="false">IF(AND(C271&gt;=Staffing!$F$10,C271&lt;=Staffing!$G$10,1=1),IF(C271&lt;=6,Staffing!$H$10,IF(C271&lt;=15,Staffing!$I$10,IF(C271&lt;=30,Staffing!$J$10,Staffing!$K$10))),0)</f>
        <v>0.75</v>
      </c>
      <c r="F271" s="10" t="n">
        <f aca="false">E271*Staffing!$L$10/12*(1+Assumptions!$C$10)^INT((C271-1)/12)*1</f>
        <v>7293.6875</v>
      </c>
      <c r="G271" s="10" t="n">
        <f aca="false">F271*Staffing!$N$10</f>
        <v>2917.475</v>
      </c>
      <c r="H271" s="10" t="n">
        <f aca="false">F271+G271</f>
        <v>10211.1625</v>
      </c>
      <c r="I271" s="10" t="n">
        <f aca="false">0</f>
        <v>0</v>
      </c>
      <c r="J271" s="10" t="n">
        <f aca="false">MAX(0,E271-E270)*Staffing!$O$10</f>
        <v>0</v>
      </c>
      <c r="K271" s="10" t="n">
        <f aca="false">MAX(0,E271-E270)*Staffing!$P$10</f>
        <v>0</v>
      </c>
      <c r="L271" s="23" t="n">
        <f aca="false">ROUNDUP(E271,0)</f>
        <v>1</v>
      </c>
    </row>
    <row r="272" customFormat="false" ht="15" hidden="false" customHeight="false" outlineLevel="0" collapsed="false">
      <c r="A272" s="6" t="s">
        <v>72</v>
      </c>
      <c r="B272" s="6" t="s">
        <v>336</v>
      </c>
      <c r="C272" s="6" t="n">
        <v>27</v>
      </c>
      <c r="D272" s="25" t="n">
        <f aca="false">EDATE('Start Here'!$B$6,C272-1)</f>
        <v>47119</v>
      </c>
      <c r="E272" s="11" t="n">
        <f aca="false">IF(AND(C272&gt;=Staffing!$F$10,C272&lt;=Staffing!$G$10,1=1),IF(C272&lt;=6,Staffing!$H$10,IF(C272&lt;=15,Staffing!$I$10,IF(C272&lt;=30,Staffing!$J$10,Staffing!$K$10))),0)</f>
        <v>0.75</v>
      </c>
      <c r="F272" s="10" t="n">
        <f aca="false">E272*Staffing!$L$10/12*(1+Assumptions!$C$10)^INT((C272-1)/12)*1</f>
        <v>7293.6875</v>
      </c>
      <c r="G272" s="10" t="n">
        <f aca="false">F272*Staffing!$N$10</f>
        <v>2917.475</v>
      </c>
      <c r="H272" s="10" t="n">
        <f aca="false">F272+G272</f>
        <v>10211.1625</v>
      </c>
      <c r="I272" s="10" t="n">
        <f aca="false">0</f>
        <v>0</v>
      </c>
      <c r="J272" s="10" t="n">
        <f aca="false">MAX(0,E272-E271)*Staffing!$O$10</f>
        <v>0</v>
      </c>
      <c r="K272" s="10" t="n">
        <f aca="false">MAX(0,E272-E271)*Staffing!$P$10</f>
        <v>0</v>
      </c>
      <c r="L272" s="23" t="n">
        <f aca="false">ROUNDUP(E272,0)</f>
        <v>1</v>
      </c>
    </row>
    <row r="273" customFormat="false" ht="15" hidden="false" customHeight="false" outlineLevel="0" collapsed="false">
      <c r="A273" s="6" t="s">
        <v>72</v>
      </c>
      <c r="B273" s="6" t="s">
        <v>336</v>
      </c>
      <c r="C273" s="6" t="n">
        <v>28</v>
      </c>
      <c r="D273" s="25" t="n">
        <f aca="false">EDATE('Start Here'!$B$6,C273-1)</f>
        <v>47150</v>
      </c>
      <c r="E273" s="11" t="n">
        <f aca="false">IF(AND(C273&gt;=Staffing!$F$10,C273&lt;=Staffing!$G$10,1=1),IF(C273&lt;=6,Staffing!$H$10,IF(C273&lt;=15,Staffing!$I$10,IF(C273&lt;=30,Staffing!$J$10,Staffing!$K$10))),0)</f>
        <v>0.75</v>
      </c>
      <c r="F273" s="10" t="n">
        <f aca="false">E273*Staffing!$L$10/12*(1+Assumptions!$C$10)^INT((C273-1)/12)*1</f>
        <v>7293.6875</v>
      </c>
      <c r="G273" s="10" t="n">
        <f aca="false">F273*Staffing!$N$10</f>
        <v>2917.475</v>
      </c>
      <c r="H273" s="10" t="n">
        <f aca="false">F273+G273</f>
        <v>10211.1625</v>
      </c>
      <c r="I273" s="10" t="n">
        <f aca="false">0</f>
        <v>0</v>
      </c>
      <c r="J273" s="10" t="n">
        <f aca="false">MAX(0,E273-E272)*Staffing!$O$10</f>
        <v>0</v>
      </c>
      <c r="K273" s="10" t="n">
        <f aca="false">MAX(0,E273-E272)*Staffing!$P$10</f>
        <v>0</v>
      </c>
      <c r="L273" s="23" t="n">
        <f aca="false">ROUNDUP(E273,0)</f>
        <v>1</v>
      </c>
    </row>
    <row r="274" customFormat="false" ht="15" hidden="false" customHeight="false" outlineLevel="0" collapsed="false">
      <c r="A274" s="6" t="s">
        <v>72</v>
      </c>
      <c r="B274" s="6" t="s">
        <v>336</v>
      </c>
      <c r="C274" s="6" t="n">
        <v>29</v>
      </c>
      <c r="D274" s="25" t="n">
        <f aca="false">EDATE('Start Here'!$B$6,C274-1)</f>
        <v>47178</v>
      </c>
      <c r="E274" s="11" t="n">
        <f aca="false">IF(AND(C274&gt;=Staffing!$F$10,C274&lt;=Staffing!$G$10,1=1),IF(C274&lt;=6,Staffing!$H$10,IF(C274&lt;=15,Staffing!$I$10,IF(C274&lt;=30,Staffing!$J$10,Staffing!$K$10))),0)</f>
        <v>0.75</v>
      </c>
      <c r="F274" s="10" t="n">
        <f aca="false">E274*Staffing!$L$10/12*(1+Assumptions!$C$10)^INT((C274-1)/12)*1</f>
        <v>7293.6875</v>
      </c>
      <c r="G274" s="10" t="n">
        <f aca="false">F274*Staffing!$N$10</f>
        <v>2917.475</v>
      </c>
      <c r="H274" s="10" t="n">
        <f aca="false">F274+G274</f>
        <v>10211.1625</v>
      </c>
      <c r="I274" s="10" t="n">
        <f aca="false">0</f>
        <v>0</v>
      </c>
      <c r="J274" s="10" t="n">
        <f aca="false">MAX(0,E274-E273)*Staffing!$O$10</f>
        <v>0</v>
      </c>
      <c r="K274" s="10" t="n">
        <f aca="false">MAX(0,E274-E273)*Staffing!$P$10</f>
        <v>0</v>
      </c>
      <c r="L274" s="23" t="n">
        <f aca="false">ROUNDUP(E274,0)</f>
        <v>1</v>
      </c>
    </row>
    <row r="275" customFormat="false" ht="15" hidden="false" customHeight="false" outlineLevel="0" collapsed="false">
      <c r="A275" s="6" t="s">
        <v>72</v>
      </c>
      <c r="B275" s="6" t="s">
        <v>336</v>
      </c>
      <c r="C275" s="6" t="n">
        <v>30</v>
      </c>
      <c r="D275" s="25" t="n">
        <f aca="false">EDATE('Start Here'!$B$6,C275-1)</f>
        <v>47209</v>
      </c>
      <c r="E275" s="11" t="n">
        <f aca="false">IF(AND(C275&gt;=Staffing!$F$10,C275&lt;=Staffing!$G$10,1=1),IF(C275&lt;=6,Staffing!$H$10,IF(C275&lt;=15,Staffing!$I$10,IF(C275&lt;=30,Staffing!$J$10,Staffing!$K$10))),0)</f>
        <v>0.75</v>
      </c>
      <c r="F275" s="10" t="n">
        <f aca="false">E275*Staffing!$L$10/12*(1+Assumptions!$C$10)^INT((C275-1)/12)*1</f>
        <v>7293.6875</v>
      </c>
      <c r="G275" s="10" t="n">
        <f aca="false">F275*Staffing!$N$10</f>
        <v>2917.475</v>
      </c>
      <c r="H275" s="10" t="n">
        <f aca="false">F275+G275</f>
        <v>10211.1625</v>
      </c>
      <c r="I275" s="10" t="n">
        <f aca="false">0</f>
        <v>0</v>
      </c>
      <c r="J275" s="10" t="n">
        <f aca="false">MAX(0,E275-E274)*Staffing!$O$10</f>
        <v>0</v>
      </c>
      <c r="K275" s="10" t="n">
        <f aca="false">MAX(0,E275-E274)*Staffing!$P$10</f>
        <v>0</v>
      </c>
      <c r="L275" s="23" t="n">
        <f aca="false">ROUNDUP(E275,0)</f>
        <v>1</v>
      </c>
    </row>
    <row r="276" customFormat="false" ht="15" hidden="false" customHeight="false" outlineLevel="0" collapsed="false">
      <c r="A276" s="6" t="s">
        <v>72</v>
      </c>
      <c r="B276" s="6" t="s">
        <v>336</v>
      </c>
      <c r="C276" s="6" t="n">
        <v>31</v>
      </c>
      <c r="D276" s="25" t="n">
        <f aca="false">EDATE('Start Here'!$B$6,C276-1)</f>
        <v>47239</v>
      </c>
      <c r="E276" s="11" t="n">
        <f aca="false">IF(AND(C276&gt;=Staffing!$F$10,C276&lt;=Staffing!$G$10,1=1),IF(C276&lt;=6,Staffing!$H$10,IF(C276&lt;=15,Staffing!$I$10,IF(C276&lt;=30,Staffing!$J$10,Staffing!$K$10))),0)</f>
        <v>1</v>
      </c>
      <c r="F276" s="10" t="n">
        <f aca="false">E276*Staffing!$L$10/12*(1+Assumptions!$C$10)^INT((C276-1)/12)*1</f>
        <v>9724.91666666667</v>
      </c>
      <c r="G276" s="10" t="n">
        <f aca="false">F276*Staffing!$N$10</f>
        <v>3889.96666666667</v>
      </c>
      <c r="H276" s="10" t="n">
        <f aca="false">F276+G276</f>
        <v>13614.8833333333</v>
      </c>
      <c r="I276" s="10" t="n">
        <f aca="false">0</f>
        <v>0</v>
      </c>
      <c r="J276" s="10" t="n">
        <f aca="false">MAX(0,E276-E275)*Staffing!$O$10</f>
        <v>1250</v>
      </c>
      <c r="K276" s="10" t="n">
        <f aca="false">MAX(0,E276-E275)*Staffing!$P$10</f>
        <v>625</v>
      </c>
      <c r="L276" s="23" t="n">
        <f aca="false">ROUNDUP(E276,0)</f>
        <v>1</v>
      </c>
    </row>
    <row r="277" customFormat="false" ht="15" hidden="false" customHeight="false" outlineLevel="0" collapsed="false">
      <c r="A277" s="6" t="s">
        <v>72</v>
      </c>
      <c r="B277" s="6" t="s">
        <v>336</v>
      </c>
      <c r="C277" s="6" t="n">
        <v>32</v>
      </c>
      <c r="D277" s="25" t="n">
        <f aca="false">EDATE('Start Here'!$B$6,C277-1)</f>
        <v>47270</v>
      </c>
      <c r="E277" s="11" t="n">
        <f aca="false">IF(AND(C277&gt;=Staffing!$F$10,C277&lt;=Staffing!$G$10,1=1),IF(C277&lt;=6,Staffing!$H$10,IF(C277&lt;=15,Staffing!$I$10,IF(C277&lt;=30,Staffing!$J$10,Staffing!$K$10))),0)</f>
        <v>1</v>
      </c>
      <c r="F277" s="10" t="n">
        <f aca="false">E277*Staffing!$L$10/12*(1+Assumptions!$C$10)^INT((C277-1)/12)*1</f>
        <v>9724.91666666667</v>
      </c>
      <c r="G277" s="10" t="n">
        <f aca="false">F277*Staffing!$N$10</f>
        <v>3889.96666666667</v>
      </c>
      <c r="H277" s="10" t="n">
        <f aca="false">F277+G277</f>
        <v>13614.8833333333</v>
      </c>
      <c r="I277" s="10" t="n">
        <f aca="false">0</f>
        <v>0</v>
      </c>
      <c r="J277" s="10" t="n">
        <f aca="false">MAX(0,E277-E276)*Staffing!$O$10</f>
        <v>0</v>
      </c>
      <c r="K277" s="10" t="n">
        <f aca="false">MAX(0,E277-E276)*Staffing!$P$10</f>
        <v>0</v>
      </c>
      <c r="L277" s="23" t="n">
        <f aca="false">ROUNDUP(E277,0)</f>
        <v>1</v>
      </c>
    </row>
    <row r="278" customFormat="false" ht="15" hidden="false" customHeight="false" outlineLevel="0" collapsed="false">
      <c r="A278" s="6" t="s">
        <v>72</v>
      </c>
      <c r="B278" s="6" t="s">
        <v>336</v>
      </c>
      <c r="C278" s="6" t="n">
        <v>33</v>
      </c>
      <c r="D278" s="25" t="n">
        <f aca="false">EDATE('Start Here'!$B$6,C278-1)</f>
        <v>47300</v>
      </c>
      <c r="E278" s="11" t="n">
        <f aca="false">IF(AND(C278&gt;=Staffing!$F$10,C278&lt;=Staffing!$G$10,1=1),IF(C278&lt;=6,Staffing!$H$10,IF(C278&lt;=15,Staffing!$I$10,IF(C278&lt;=30,Staffing!$J$10,Staffing!$K$10))),0)</f>
        <v>1</v>
      </c>
      <c r="F278" s="10" t="n">
        <f aca="false">E278*Staffing!$L$10/12*(1+Assumptions!$C$10)^INT((C278-1)/12)*1</f>
        <v>9724.91666666667</v>
      </c>
      <c r="G278" s="10" t="n">
        <f aca="false">F278*Staffing!$N$10</f>
        <v>3889.96666666667</v>
      </c>
      <c r="H278" s="10" t="n">
        <f aca="false">F278+G278</f>
        <v>13614.8833333333</v>
      </c>
      <c r="I278" s="10" t="n">
        <f aca="false">0</f>
        <v>0</v>
      </c>
      <c r="J278" s="10" t="n">
        <f aca="false">MAX(0,E278-E277)*Staffing!$O$10</f>
        <v>0</v>
      </c>
      <c r="K278" s="10" t="n">
        <f aca="false">MAX(0,E278-E277)*Staffing!$P$10</f>
        <v>0</v>
      </c>
      <c r="L278" s="23" t="n">
        <f aca="false">ROUNDUP(E278,0)</f>
        <v>1</v>
      </c>
    </row>
    <row r="279" customFormat="false" ht="15" hidden="false" customHeight="false" outlineLevel="0" collapsed="false">
      <c r="A279" s="6" t="s">
        <v>72</v>
      </c>
      <c r="B279" s="6" t="s">
        <v>336</v>
      </c>
      <c r="C279" s="6" t="n">
        <v>34</v>
      </c>
      <c r="D279" s="25" t="n">
        <f aca="false">EDATE('Start Here'!$B$6,C279-1)</f>
        <v>47331</v>
      </c>
      <c r="E279" s="11" t="n">
        <f aca="false">IF(AND(C279&gt;=Staffing!$F$10,C279&lt;=Staffing!$G$10,1=1),IF(C279&lt;=6,Staffing!$H$10,IF(C279&lt;=15,Staffing!$I$10,IF(C279&lt;=30,Staffing!$J$10,Staffing!$K$10))),0)</f>
        <v>1</v>
      </c>
      <c r="F279" s="10" t="n">
        <f aca="false">E279*Staffing!$L$10/12*(1+Assumptions!$C$10)^INT((C279-1)/12)*1</f>
        <v>9724.91666666667</v>
      </c>
      <c r="G279" s="10" t="n">
        <f aca="false">F279*Staffing!$N$10</f>
        <v>3889.96666666667</v>
      </c>
      <c r="H279" s="10" t="n">
        <f aca="false">F279+G279</f>
        <v>13614.8833333333</v>
      </c>
      <c r="I279" s="10" t="n">
        <f aca="false">0</f>
        <v>0</v>
      </c>
      <c r="J279" s="10" t="n">
        <f aca="false">MAX(0,E279-E278)*Staffing!$O$10</f>
        <v>0</v>
      </c>
      <c r="K279" s="10" t="n">
        <f aca="false">MAX(0,E279-E278)*Staffing!$P$10</f>
        <v>0</v>
      </c>
      <c r="L279" s="23" t="n">
        <f aca="false">ROUNDUP(E279,0)</f>
        <v>1</v>
      </c>
    </row>
    <row r="280" customFormat="false" ht="15" hidden="false" customHeight="false" outlineLevel="0" collapsed="false">
      <c r="A280" s="6" t="s">
        <v>72</v>
      </c>
      <c r="B280" s="6" t="s">
        <v>336</v>
      </c>
      <c r="C280" s="6" t="n">
        <v>35</v>
      </c>
      <c r="D280" s="25" t="n">
        <f aca="false">EDATE('Start Here'!$B$6,C280-1)</f>
        <v>47362</v>
      </c>
      <c r="E280" s="11" t="n">
        <f aca="false">IF(AND(C280&gt;=Staffing!$F$10,C280&lt;=Staffing!$G$10,1=1),IF(C280&lt;=6,Staffing!$H$10,IF(C280&lt;=15,Staffing!$I$10,IF(C280&lt;=30,Staffing!$J$10,Staffing!$K$10))),0)</f>
        <v>1</v>
      </c>
      <c r="F280" s="10" t="n">
        <f aca="false">E280*Staffing!$L$10/12*(1+Assumptions!$C$10)^INT((C280-1)/12)*1</f>
        <v>9724.91666666667</v>
      </c>
      <c r="G280" s="10" t="n">
        <f aca="false">F280*Staffing!$N$10</f>
        <v>3889.96666666667</v>
      </c>
      <c r="H280" s="10" t="n">
        <f aca="false">F280+G280</f>
        <v>13614.8833333333</v>
      </c>
      <c r="I280" s="10" t="n">
        <f aca="false">0</f>
        <v>0</v>
      </c>
      <c r="J280" s="10" t="n">
        <f aca="false">MAX(0,E280-E279)*Staffing!$O$10</f>
        <v>0</v>
      </c>
      <c r="K280" s="10" t="n">
        <f aca="false">MAX(0,E280-E279)*Staffing!$P$10</f>
        <v>0</v>
      </c>
      <c r="L280" s="23" t="n">
        <f aca="false">ROUNDUP(E280,0)</f>
        <v>1</v>
      </c>
    </row>
    <row r="281" customFormat="false" ht="15" hidden="false" customHeight="false" outlineLevel="0" collapsed="false">
      <c r="A281" s="6" t="s">
        <v>72</v>
      </c>
      <c r="B281" s="6" t="s">
        <v>336</v>
      </c>
      <c r="C281" s="6" t="n">
        <v>36</v>
      </c>
      <c r="D281" s="25" t="n">
        <f aca="false">EDATE('Start Here'!$B$6,C281-1)</f>
        <v>47392</v>
      </c>
      <c r="E281" s="11" t="n">
        <f aca="false">IF(AND(C281&gt;=Staffing!$F$10,C281&lt;=Staffing!$G$10,1=1),IF(C281&lt;=6,Staffing!$H$10,IF(C281&lt;=15,Staffing!$I$10,IF(C281&lt;=30,Staffing!$J$10,Staffing!$K$10))),0)</f>
        <v>1</v>
      </c>
      <c r="F281" s="10" t="n">
        <f aca="false">E281*Staffing!$L$10/12*(1+Assumptions!$C$10)^INT((C281-1)/12)*1</f>
        <v>9724.91666666667</v>
      </c>
      <c r="G281" s="10" t="n">
        <f aca="false">F281*Staffing!$N$10</f>
        <v>3889.96666666667</v>
      </c>
      <c r="H281" s="10" t="n">
        <f aca="false">F281+G281</f>
        <v>13614.8833333333</v>
      </c>
      <c r="I281" s="10" t="n">
        <f aca="false">0</f>
        <v>0</v>
      </c>
      <c r="J281" s="10" t="n">
        <f aca="false">MAX(0,E281-E280)*Staffing!$O$10</f>
        <v>0</v>
      </c>
      <c r="K281" s="10" t="n">
        <f aca="false">MAX(0,E281-E280)*Staffing!$P$10</f>
        <v>0</v>
      </c>
      <c r="L281" s="23" t="n">
        <f aca="false">ROUNDUP(E281,0)</f>
        <v>1</v>
      </c>
    </row>
    <row r="282" customFormat="false" ht="15" hidden="false" customHeight="false" outlineLevel="0" collapsed="false">
      <c r="A282" s="6" t="s">
        <v>72</v>
      </c>
      <c r="B282" s="6" t="s">
        <v>336</v>
      </c>
      <c r="C282" s="6" t="n">
        <v>37</v>
      </c>
      <c r="D282" s="25" t="n">
        <f aca="false">EDATE('Start Here'!$B$6,C282-1)</f>
        <v>47423</v>
      </c>
      <c r="E282" s="11" t="n">
        <f aca="false">IF(AND(C282&gt;=Staffing!$F$10,C282&lt;=Staffing!$G$10,1=1),IF(C282&lt;=6,Staffing!$H$10,IF(C282&lt;=15,Staffing!$I$10,IF(C282&lt;=30,Staffing!$J$10,Staffing!$K$10))),0)</f>
        <v>1</v>
      </c>
      <c r="F282" s="10" t="n">
        <f aca="false">E282*Staffing!$L$10/12*(1+Assumptions!$C$10)^INT((C282-1)/12)*1</f>
        <v>10016.6641666667</v>
      </c>
      <c r="G282" s="10" t="n">
        <f aca="false">F282*Staffing!$N$10</f>
        <v>4006.66566666667</v>
      </c>
      <c r="H282" s="10" t="n">
        <f aca="false">F282+G282</f>
        <v>14023.3298333333</v>
      </c>
      <c r="I282" s="10" t="n">
        <f aca="false">0</f>
        <v>0</v>
      </c>
      <c r="J282" s="10" t="n">
        <f aca="false">MAX(0,E282-E281)*Staffing!$O$10</f>
        <v>0</v>
      </c>
      <c r="K282" s="10" t="n">
        <f aca="false">MAX(0,E282-E281)*Staffing!$P$10</f>
        <v>0</v>
      </c>
      <c r="L282" s="23" t="n">
        <f aca="false">ROUNDUP(E282,0)</f>
        <v>1</v>
      </c>
    </row>
    <row r="283" customFormat="false" ht="15" hidden="false" customHeight="false" outlineLevel="0" collapsed="false">
      <c r="A283" s="6" t="s">
        <v>72</v>
      </c>
      <c r="B283" s="6" t="s">
        <v>336</v>
      </c>
      <c r="C283" s="6" t="n">
        <v>38</v>
      </c>
      <c r="D283" s="25" t="n">
        <f aca="false">EDATE('Start Here'!$B$6,C283-1)</f>
        <v>47453</v>
      </c>
      <c r="E283" s="11" t="n">
        <f aca="false">IF(AND(C283&gt;=Staffing!$F$10,C283&lt;=Staffing!$G$10,1=1),IF(C283&lt;=6,Staffing!$H$10,IF(C283&lt;=15,Staffing!$I$10,IF(C283&lt;=30,Staffing!$J$10,Staffing!$K$10))),0)</f>
        <v>1</v>
      </c>
      <c r="F283" s="10" t="n">
        <f aca="false">E283*Staffing!$L$10/12*(1+Assumptions!$C$10)^INT((C283-1)/12)*1</f>
        <v>10016.6641666667</v>
      </c>
      <c r="G283" s="10" t="n">
        <f aca="false">F283*Staffing!$N$10</f>
        <v>4006.66566666667</v>
      </c>
      <c r="H283" s="10" t="n">
        <f aca="false">F283+G283</f>
        <v>14023.3298333333</v>
      </c>
      <c r="I283" s="10" t="n">
        <f aca="false">0</f>
        <v>0</v>
      </c>
      <c r="J283" s="10" t="n">
        <f aca="false">MAX(0,E283-E282)*Staffing!$O$10</f>
        <v>0</v>
      </c>
      <c r="K283" s="10" t="n">
        <f aca="false">MAX(0,E283-E282)*Staffing!$P$10</f>
        <v>0</v>
      </c>
      <c r="L283" s="23" t="n">
        <f aca="false">ROUNDUP(E283,0)</f>
        <v>1</v>
      </c>
    </row>
    <row r="284" customFormat="false" ht="15" hidden="false" customHeight="false" outlineLevel="0" collapsed="false">
      <c r="A284" s="6" t="s">
        <v>72</v>
      </c>
      <c r="B284" s="6" t="s">
        <v>336</v>
      </c>
      <c r="C284" s="6" t="n">
        <v>39</v>
      </c>
      <c r="D284" s="25" t="n">
        <f aca="false">EDATE('Start Here'!$B$6,C284-1)</f>
        <v>47484</v>
      </c>
      <c r="E284" s="11" t="n">
        <f aca="false">IF(AND(C284&gt;=Staffing!$F$10,C284&lt;=Staffing!$G$10,1=1),IF(C284&lt;=6,Staffing!$H$10,IF(C284&lt;=15,Staffing!$I$10,IF(C284&lt;=30,Staffing!$J$10,Staffing!$K$10))),0)</f>
        <v>1</v>
      </c>
      <c r="F284" s="10" t="n">
        <f aca="false">E284*Staffing!$L$10/12*(1+Assumptions!$C$10)^INT((C284-1)/12)*1</f>
        <v>10016.6641666667</v>
      </c>
      <c r="G284" s="10" t="n">
        <f aca="false">F284*Staffing!$N$10</f>
        <v>4006.66566666667</v>
      </c>
      <c r="H284" s="10" t="n">
        <f aca="false">F284+G284</f>
        <v>14023.3298333333</v>
      </c>
      <c r="I284" s="10" t="n">
        <f aca="false">0</f>
        <v>0</v>
      </c>
      <c r="J284" s="10" t="n">
        <f aca="false">MAX(0,E284-E283)*Staffing!$O$10</f>
        <v>0</v>
      </c>
      <c r="K284" s="10" t="n">
        <f aca="false">MAX(0,E284-E283)*Staffing!$P$10</f>
        <v>0</v>
      </c>
      <c r="L284" s="23" t="n">
        <f aca="false">ROUNDUP(E284,0)</f>
        <v>1</v>
      </c>
    </row>
    <row r="285" customFormat="false" ht="15" hidden="false" customHeight="false" outlineLevel="0" collapsed="false">
      <c r="A285" s="6" t="s">
        <v>72</v>
      </c>
      <c r="B285" s="6" t="s">
        <v>336</v>
      </c>
      <c r="C285" s="6" t="n">
        <v>40</v>
      </c>
      <c r="D285" s="25" t="n">
        <f aca="false">EDATE('Start Here'!$B$6,C285-1)</f>
        <v>47515</v>
      </c>
      <c r="E285" s="11" t="n">
        <f aca="false">IF(AND(C285&gt;=Staffing!$F$10,C285&lt;=Staffing!$G$10,1=1),IF(C285&lt;=6,Staffing!$H$10,IF(C285&lt;=15,Staffing!$I$10,IF(C285&lt;=30,Staffing!$J$10,Staffing!$K$10))),0)</f>
        <v>1</v>
      </c>
      <c r="F285" s="10" t="n">
        <f aca="false">E285*Staffing!$L$10/12*(1+Assumptions!$C$10)^INT((C285-1)/12)*1</f>
        <v>10016.6641666667</v>
      </c>
      <c r="G285" s="10" t="n">
        <f aca="false">F285*Staffing!$N$10</f>
        <v>4006.66566666667</v>
      </c>
      <c r="H285" s="10" t="n">
        <f aca="false">F285+G285</f>
        <v>14023.3298333333</v>
      </c>
      <c r="I285" s="10" t="n">
        <f aca="false">0</f>
        <v>0</v>
      </c>
      <c r="J285" s="10" t="n">
        <f aca="false">MAX(0,E285-E284)*Staffing!$O$10</f>
        <v>0</v>
      </c>
      <c r="K285" s="10" t="n">
        <f aca="false">MAX(0,E285-E284)*Staffing!$P$10</f>
        <v>0</v>
      </c>
      <c r="L285" s="23" t="n">
        <f aca="false">ROUNDUP(E285,0)</f>
        <v>1</v>
      </c>
    </row>
    <row r="286" customFormat="false" ht="15" hidden="false" customHeight="false" outlineLevel="0" collapsed="false">
      <c r="A286" s="6" t="s">
        <v>72</v>
      </c>
      <c r="B286" s="6" t="s">
        <v>336</v>
      </c>
      <c r="C286" s="6" t="n">
        <v>41</v>
      </c>
      <c r="D286" s="25" t="n">
        <f aca="false">EDATE('Start Here'!$B$6,C286-1)</f>
        <v>47543</v>
      </c>
      <c r="E286" s="11" t="n">
        <f aca="false">IF(AND(C286&gt;=Staffing!$F$10,C286&lt;=Staffing!$G$10,1=1),IF(C286&lt;=6,Staffing!$H$10,IF(C286&lt;=15,Staffing!$I$10,IF(C286&lt;=30,Staffing!$J$10,Staffing!$K$10))),0)</f>
        <v>1</v>
      </c>
      <c r="F286" s="10" t="n">
        <f aca="false">E286*Staffing!$L$10/12*(1+Assumptions!$C$10)^INT((C286-1)/12)*1</f>
        <v>10016.6641666667</v>
      </c>
      <c r="G286" s="10" t="n">
        <f aca="false">F286*Staffing!$N$10</f>
        <v>4006.66566666667</v>
      </c>
      <c r="H286" s="10" t="n">
        <f aca="false">F286+G286</f>
        <v>14023.3298333333</v>
      </c>
      <c r="I286" s="10" t="n">
        <f aca="false">0</f>
        <v>0</v>
      </c>
      <c r="J286" s="10" t="n">
        <f aca="false">MAX(0,E286-E285)*Staffing!$O$10</f>
        <v>0</v>
      </c>
      <c r="K286" s="10" t="n">
        <f aca="false">MAX(0,E286-E285)*Staffing!$P$10</f>
        <v>0</v>
      </c>
      <c r="L286" s="23" t="n">
        <f aca="false">ROUNDUP(E286,0)</f>
        <v>1</v>
      </c>
    </row>
    <row r="287" customFormat="false" ht="15" hidden="false" customHeight="false" outlineLevel="0" collapsed="false">
      <c r="A287" s="6" t="s">
        <v>72</v>
      </c>
      <c r="B287" s="6" t="s">
        <v>336</v>
      </c>
      <c r="C287" s="6" t="n">
        <v>42</v>
      </c>
      <c r="D287" s="25" t="n">
        <f aca="false">EDATE('Start Here'!$B$6,C287-1)</f>
        <v>47574</v>
      </c>
      <c r="E287" s="11" t="n">
        <f aca="false">IF(AND(C287&gt;=Staffing!$F$10,C287&lt;=Staffing!$G$10,1=1),IF(C287&lt;=6,Staffing!$H$10,IF(C287&lt;=15,Staffing!$I$10,IF(C287&lt;=30,Staffing!$J$10,Staffing!$K$10))),0)</f>
        <v>1</v>
      </c>
      <c r="F287" s="10" t="n">
        <f aca="false">E287*Staffing!$L$10/12*(1+Assumptions!$C$10)^INT((C287-1)/12)*1</f>
        <v>10016.6641666667</v>
      </c>
      <c r="G287" s="10" t="n">
        <f aca="false">F287*Staffing!$N$10</f>
        <v>4006.66566666667</v>
      </c>
      <c r="H287" s="10" t="n">
        <f aca="false">F287+G287</f>
        <v>14023.3298333333</v>
      </c>
      <c r="I287" s="10" t="n">
        <f aca="false">0</f>
        <v>0</v>
      </c>
      <c r="J287" s="10" t="n">
        <f aca="false">MAX(0,E287-E286)*Staffing!$O$10</f>
        <v>0</v>
      </c>
      <c r="K287" s="10" t="n">
        <f aca="false">MAX(0,E287-E286)*Staffing!$P$10</f>
        <v>0</v>
      </c>
      <c r="L287" s="23" t="n">
        <f aca="false">ROUNDUP(E287,0)</f>
        <v>1</v>
      </c>
    </row>
    <row r="288" customFormat="false" ht="15" hidden="false" customHeight="false" outlineLevel="0" collapsed="false">
      <c r="A288" s="6" t="s">
        <v>72</v>
      </c>
      <c r="B288" s="6" t="s">
        <v>336</v>
      </c>
      <c r="C288" s="6" t="n">
        <v>43</v>
      </c>
      <c r="D288" s="25" t="n">
        <f aca="false">EDATE('Start Here'!$B$6,C288-1)</f>
        <v>47604</v>
      </c>
      <c r="E288" s="11" t="n">
        <f aca="false">IF(AND(C288&gt;=Staffing!$F$10,C288&lt;=Staffing!$G$10,1=1),IF(C288&lt;=6,Staffing!$H$10,IF(C288&lt;=15,Staffing!$I$10,IF(C288&lt;=30,Staffing!$J$10,Staffing!$K$10))),0)</f>
        <v>1</v>
      </c>
      <c r="F288" s="10" t="n">
        <f aca="false">E288*Staffing!$L$10/12*(1+Assumptions!$C$10)^INT((C288-1)/12)*1</f>
        <v>10016.6641666667</v>
      </c>
      <c r="G288" s="10" t="n">
        <f aca="false">F288*Staffing!$N$10</f>
        <v>4006.66566666667</v>
      </c>
      <c r="H288" s="10" t="n">
        <f aca="false">F288+G288</f>
        <v>14023.3298333333</v>
      </c>
      <c r="I288" s="10" t="n">
        <f aca="false">0</f>
        <v>0</v>
      </c>
      <c r="J288" s="10" t="n">
        <f aca="false">MAX(0,E288-E287)*Staffing!$O$10</f>
        <v>0</v>
      </c>
      <c r="K288" s="10" t="n">
        <f aca="false">MAX(0,E288-E287)*Staffing!$P$10</f>
        <v>0</v>
      </c>
      <c r="L288" s="23" t="n">
        <f aca="false">ROUNDUP(E288,0)</f>
        <v>1</v>
      </c>
    </row>
    <row r="289" customFormat="false" ht="15" hidden="false" customHeight="false" outlineLevel="0" collapsed="false">
      <c r="A289" s="6" t="s">
        <v>72</v>
      </c>
      <c r="B289" s="6" t="s">
        <v>336</v>
      </c>
      <c r="C289" s="6" t="n">
        <v>44</v>
      </c>
      <c r="D289" s="25" t="n">
        <f aca="false">EDATE('Start Here'!$B$6,C289-1)</f>
        <v>47635</v>
      </c>
      <c r="E289" s="11" t="n">
        <f aca="false">IF(AND(C289&gt;=Staffing!$F$10,C289&lt;=Staffing!$G$10,1=1),IF(C289&lt;=6,Staffing!$H$10,IF(C289&lt;=15,Staffing!$I$10,IF(C289&lt;=30,Staffing!$J$10,Staffing!$K$10))),0)</f>
        <v>1</v>
      </c>
      <c r="F289" s="10" t="n">
        <f aca="false">E289*Staffing!$L$10/12*(1+Assumptions!$C$10)^INT((C289-1)/12)*1</f>
        <v>10016.6641666667</v>
      </c>
      <c r="G289" s="10" t="n">
        <f aca="false">F289*Staffing!$N$10</f>
        <v>4006.66566666667</v>
      </c>
      <c r="H289" s="10" t="n">
        <f aca="false">F289+G289</f>
        <v>14023.3298333333</v>
      </c>
      <c r="I289" s="10" t="n">
        <f aca="false">0</f>
        <v>0</v>
      </c>
      <c r="J289" s="10" t="n">
        <f aca="false">MAX(0,E289-E288)*Staffing!$O$10</f>
        <v>0</v>
      </c>
      <c r="K289" s="10" t="n">
        <f aca="false">MAX(0,E289-E288)*Staffing!$P$10</f>
        <v>0</v>
      </c>
      <c r="L289" s="23" t="n">
        <f aca="false">ROUNDUP(E289,0)</f>
        <v>1</v>
      </c>
    </row>
    <row r="290" customFormat="false" ht="15" hidden="false" customHeight="false" outlineLevel="0" collapsed="false">
      <c r="A290" s="6" t="s">
        <v>72</v>
      </c>
      <c r="B290" s="6" t="s">
        <v>336</v>
      </c>
      <c r="C290" s="6" t="n">
        <v>45</v>
      </c>
      <c r="D290" s="25" t="n">
        <f aca="false">EDATE('Start Here'!$B$6,C290-1)</f>
        <v>47665</v>
      </c>
      <c r="E290" s="11" t="n">
        <f aca="false">IF(AND(C290&gt;=Staffing!$F$10,C290&lt;=Staffing!$G$10,1=1),IF(C290&lt;=6,Staffing!$H$10,IF(C290&lt;=15,Staffing!$I$10,IF(C290&lt;=30,Staffing!$J$10,Staffing!$K$10))),0)</f>
        <v>1</v>
      </c>
      <c r="F290" s="10" t="n">
        <f aca="false">E290*Staffing!$L$10/12*(1+Assumptions!$C$10)^INT((C290-1)/12)*1</f>
        <v>10016.6641666667</v>
      </c>
      <c r="G290" s="10" t="n">
        <f aca="false">F290*Staffing!$N$10</f>
        <v>4006.66566666667</v>
      </c>
      <c r="H290" s="10" t="n">
        <f aca="false">F290+G290</f>
        <v>14023.3298333333</v>
      </c>
      <c r="I290" s="10" t="n">
        <f aca="false">0</f>
        <v>0</v>
      </c>
      <c r="J290" s="10" t="n">
        <f aca="false">MAX(0,E290-E289)*Staffing!$O$10</f>
        <v>0</v>
      </c>
      <c r="K290" s="10" t="n">
        <f aca="false">MAX(0,E290-E289)*Staffing!$P$10</f>
        <v>0</v>
      </c>
      <c r="L290" s="23" t="n">
        <f aca="false">ROUNDUP(E290,0)</f>
        <v>1</v>
      </c>
    </row>
    <row r="291" customFormat="false" ht="15" hidden="false" customHeight="false" outlineLevel="0" collapsed="false">
      <c r="A291" s="6" t="s">
        <v>72</v>
      </c>
      <c r="B291" s="6" t="s">
        <v>336</v>
      </c>
      <c r="C291" s="6" t="n">
        <v>46</v>
      </c>
      <c r="D291" s="25" t="n">
        <f aca="false">EDATE('Start Here'!$B$6,C291-1)</f>
        <v>47696</v>
      </c>
      <c r="E291" s="11" t="n">
        <f aca="false">IF(AND(C291&gt;=Staffing!$F$10,C291&lt;=Staffing!$G$10,1=1),IF(C291&lt;=6,Staffing!$H$10,IF(C291&lt;=15,Staffing!$I$10,IF(C291&lt;=30,Staffing!$J$10,Staffing!$K$10))),0)</f>
        <v>1</v>
      </c>
      <c r="F291" s="10" t="n">
        <f aca="false">E291*Staffing!$L$10/12*(1+Assumptions!$C$10)^INT((C291-1)/12)*1</f>
        <v>10016.6641666667</v>
      </c>
      <c r="G291" s="10" t="n">
        <f aca="false">F291*Staffing!$N$10</f>
        <v>4006.66566666667</v>
      </c>
      <c r="H291" s="10" t="n">
        <f aca="false">F291+G291</f>
        <v>14023.3298333333</v>
      </c>
      <c r="I291" s="10" t="n">
        <f aca="false">0</f>
        <v>0</v>
      </c>
      <c r="J291" s="10" t="n">
        <f aca="false">MAX(0,E291-E290)*Staffing!$O$10</f>
        <v>0</v>
      </c>
      <c r="K291" s="10" t="n">
        <f aca="false">MAX(0,E291-E290)*Staffing!$P$10</f>
        <v>0</v>
      </c>
      <c r="L291" s="23" t="n">
        <f aca="false">ROUNDUP(E291,0)</f>
        <v>1</v>
      </c>
    </row>
    <row r="292" customFormat="false" ht="15" hidden="false" customHeight="false" outlineLevel="0" collapsed="false">
      <c r="A292" s="6" t="s">
        <v>72</v>
      </c>
      <c r="B292" s="6" t="s">
        <v>336</v>
      </c>
      <c r="C292" s="6" t="n">
        <v>47</v>
      </c>
      <c r="D292" s="25" t="n">
        <f aca="false">EDATE('Start Here'!$B$6,C292-1)</f>
        <v>47727</v>
      </c>
      <c r="E292" s="11" t="n">
        <f aca="false">IF(AND(C292&gt;=Staffing!$F$10,C292&lt;=Staffing!$G$10,1=1),IF(C292&lt;=6,Staffing!$H$10,IF(C292&lt;=15,Staffing!$I$10,IF(C292&lt;=30,Staffing!$J$10,Staffing!$K$10))),0)</f>
        <v>1</v>
      </c>
      <c r="F292" s="10" t="n">
        <f aca="false">E292*Staffing!$L$10/12*(1+Assumptions!$C$10)^INT((C292-1)/12)*1</f>
        <v>10016.6641666667</v>
      </c>
      <c r="G292" s="10" t="n">
        <f aca="false">F292*Staffing!$N$10</f>
        <v>4006.66566666667</v>
      </c>
      <c r="H292" s="10" t="n">
        <f aca="false">F292+G292</f>
        <v>14023.3298333333</v>
      </c>
      <c r="I292" s="10" t="n">
        <f aca="false">0</f>
        <v>0</v>
      </c>
      <c r="J292" s="10" t="n">
        <f aca="false">MAX(0,E292-E291)*Staffing!$O$10</f>
        <v>0</v>
      </c>
      <c r="K292" s="10" t="n">
        <f aca="false">MAX(0,E292-E291)*Staffing!$P$10</f>
        <v>0</v>
      </c>
      <c r="L292" s="23" t="n">
        <f aca="false">ROUNDUP(E292,0)</f>
        <v>1</v>
      </c>
    </row>
    <row r="293" customFormat="false" ht="15" hidden="false" customHeight="false" outlineLevel="0" collapsed="false">
      <c r="A293" s="6" t="s">
        <v>72</v>
      </c>
      <c r="B293" s="6" t="s">
        <v>336</v>
      </c>
      <c r="C293" s="6" t="n">
        <v>48</v>
      </c>
      <c r="D293" s="25" t="n">
        <f aca="false">EDATE('Start Here'!$B$6,C293-1)</f>
        <v>47757</v>
      </c>
      <c r="E293" s="11" t="n">
        <f aca="false">IF(AND(C293&gt;=Staffing!$F$10,C293&lt;=Staffing!$G$10,1=1),IF(C293&lt;=6,Staffing!$H$10,IF(C293&lt;=15,Staffing!$I$10,IF(C293&lt;=30,Staffing!$J$10,Staffing!$K$10))),0)</f>
        <v>1</v>
      </c>
      <c r="F293" s="10" t="n">
        <f aca="false">E293*Staffing!$L$10/12*(1+Assumptions!$C$10)^INT((C293-1)/12)*1</f>
        <v>10016.6641666667</v>
      </c>
      <c r="G293" s="10" t="n">
        <f aca="false">F293*Staffing!$N$10</f>
        <v>4006.66566666667</v>
      </c>
      <c r="H293" s="10" t="n">
        <f aca="false">F293+G293</f>
        <v>14023.3298333333</v>
      </c>
      <c r="I293" s="10" t="n">
        <f aca="false">0</f>
        <v>0</v>
      </c>
      <c r="J293" s="10" t="n">
        <f aca="false">MAX(0,E293-E292)*Staffing!$O$10</f>
        <v>0</v>
      </c>
      <c r="K293" s="10" t="n">
        <f aca="false">MAX(0,E293-E292)*Staffing!$P$10</f>
        <v>0</v>
      </c>
      <c r="L293" s="23" t="n">
        <f aca="false">ROUNDUP(E293,0)</f>
        <v>1</v>
      </c>
    </row>
    <row r="294" customFormat="false" ht="15" hidden="false" customHeight="false" outlineLevel="0" collapsed="false">
      <c r="A294" s="6" t="s">
        <v>72</v>
      </c>
      <c r="B294" s="6" t="s">
        <v>336</v>
      </c>
      <c r="C294" s="6" t="n">
        <v>49</v>
      </c>
      <c r="D294" s="25" t="n">
        <f aca="false">EDATE('Start Here'!$B$6,C294-1)</f>
        <v>47788</v>
      </c>
      <c r="E294" s="11" t="n">
        <f aca="false">IF(AND(C294&gt;=Staffing!$F$10,C294&lt;=Staffing!$G$10,1=1),IF(C294&lt;=6,Staffing!$H$10,IF(C294&lt;=15,Staffing!$I$10,IF(C294&lt;=30,Staffing!$J$10,Staffing!$K$10))),0)</f>
        <v>1</v>
      </c>
      <c r="F294" s="10" t="n">
        <f aca="false">E294*Staffing!$L$10/12*(1+Assumptions!$C$10)^INT((C294-1)/12)*1</f>
        <v>10317.1640916667</v>
      </c>
      <c r="G294" s="10" t="n">
        <f aca="false">F294*Staffing!$N$10</f>
        <v>4126.86563666667</v>
      </c>
      <c r="H294" s="10" t="n">
        <f aca="false">F294+G294</f>
        <v>14444.0297283333</v>
      </c>
      <c r="I294" s="10" t="n">
        <f aca="false">0</f>
        <v>0</v>
      </c>
      <c r="J294" s="10" t="n">
        <f aca="false">MAX(0,E294-E293)*Staffing!$O$10</f>
        <v>0</v>
      </c>
      <c r="K294" s="10" t="n">
        <f aca="false">MAX(0,E294-E293)*Staffing!$P$10</f>
        <v>0</v>
      </c>
      <c r="L294" s="23" t="n">
        <f aca="false">ROUNDUP(E294,0)</f>
        <v>1</v>
      </c>
    </row>
    <row r="295" customFormat="false" ht="15" hidden="false" customHeight="false" outlineLevel="0" collapsed="false">
      <c r="A295" s="6" t="s">
        <v>72</v>
      </c>
      <c r="B295" s="6" t="s">
        <v>336</v>
      </c>
      <c r="C295" s="6" t="n">
        <v>50</v>
      </c>
      <c r="D295" s="25" t="n">
        <f aca="false">EDATE('Start Here'!$B$6,C295-1)</f>
        <v>47818</v>
      </c>
      <c r="E295" s="11" t="n">
        <f aca="false">IF(AND(C295&gt;=Staffing!$F$10,C295&lt;=Staffing!$G$10,1=1),IF(C295&lt;=6,Staffing!$H$10,IF(C295&lt;=15,Staffing!$I$10,IF(C295&lt;=30,Staffing!$J$10,Staffing!$K$10))),0)</f>
        <v>1</v>
      </c>
      <c r="F295" s="10" t="n">
        <f aca="false">E295*Staffing!$L$10/12*(1+Assumptions!$C$10)^INT((C295-1)/12)*1</f>
        <v>10317.1640916667</v>
      </c>
      <c r="G295" s="10" t="n">
        <f aca="false">F295*Staffing!$N$10</f>
        <v>4126.86563666667</v>
      </c>
      <c r="H295" s="10" t="n">
        <f aca="false">F295+G295</f>
        <v>14444.0297283333</v>
      </c>
      <c r="I295" s="10" t="n">
        <f aca="false">0</f>
        <v>0</v>
      </c>
      <c r="J295" s="10" t="n">
        <f aca="false">MAX(0,E295-E294)*Staffing!$O$10</f>
        <v>0</v>
      </c>
      <c r="K295" s="10" t="n">
        <f aca="false">MAX(0,E295-E294)*Staffing!$P$10</f>
        <v>0</v>
      </c>
      <c r="L295" s="23" t="n">
        <f aca="false">ROUNDUP(E295,0)</f>
        <v>1</v>
      </c>
    </row>
    <row r="296" customFormat="false" ht="15" hidden="false" customHeight="false" outlineLevel="0" collapsed="false">
      <c r="A296" s="6" t="s">
        <v>72</v>
      </c>
      <c r="B296" s="6" t="s">
        <v>336</v>
      </c>
      <c r="C296" s="6" t="n">
        <v>51</v>
      </c>
      <c r="D296" s="25" t="n">
        <f aca="false">EDATE('Start Here'!$B$6,C296-1)</f>
        <v>47849</v>
      </c>
      <c r="E296" s="11" t="n">
        <f aca="false">IF(AND(C296&gt;=Staffing!$F$10,C296&lt;=Staffing!$G$10,1=1),IF(C296&lt;=6,Staffing!$H$10,IF(C296&lt;=15,Staffing!$I$10,IF(C296&lt;=30,Staffing!$J$10,Staffing!$K$10))),0)</f>
        <v>1</v>
      </c>
      <c r="F296" s="10" t="n">
        <f aca="false">E296*Staffing!$L$10/12*(1+Assumptions!$C$10)^INT((C296-1)/12)*1</f>
        <v>10317.1640916667</v>
      </c>
      <c r="G296" s="10" t="n">
        <f aca="false">F296*Staffing!$N$10</f>
        <v>4126.86563666667</v>
      </c>
      <c r="H296" s="10" t="n">
        <f aca="false">F296+G296</f>
        <v>14444.0297283333</v>
      </c>
      <c r="I296" s="10" t="n">
        <f aca="false">0</f>
        <v>0</v>
      </c>
      <c r="J296" s="10" t="n">
        <f aca="false">MAX(0,E296-E295)*Staffing!$O$10</f>
        <v>0</v>
      </c>
      <c r="K296" s="10" t="n">
        <f aca="false">MAX(0,E296-E295)*Staffing!$P$10</f>
        <v>0</v>
      </c>
      <c r="L296" s="23" t="n">
        <f aca="false">ROUNDUP(E296,0)</f>
        <v>1</v>
      </c>
    </row>
    <row r="297" customFormat="false" ht="15" hidden="false" customHeight="false" outlineLevel="0" collapsed="false">
      <c r="A297" s="6" t="s">
        <v>72</v>
      </c>
      <c r="B297" s="6" t="s">
        <v>336</v>
      </c>
      <c r="C297" s="6" t="n">
        <v>52</v>
      </c>
      <c r="D297" s="25" t="n">
        <f aca="false">EDATE('Start Here'!$B$6,C297-1)</f>
        <v>47880</v>
      </c>
      <c r="E297" s="11" t="n">
        <f aca="false">IF(AND(C297&gt;=Staffing!$F$10,C297&lt;=Staffing!$G$10,1=1),IF(C297&lt;=6,Staffing!$H$10,IF(C297&lt;=15,Staffing!$I$10,IF(C297&lt;=30,Staffing!$J$10,Staffing!$K$10))),0)</f>
        <v>1</v>
      </c>
      <c r="F297" s="10" t="n">
        <f aca="false">E297*Staffing!$L$10/12*(1+Assumptions!$C$10)^INT((C297-1)/12)*1</f>
        <v>10317.1640916667</v>
      </c>
      <c r="G297" s="10" t="n">
        <f aca="false">F297*Staffing!$N$10</f>
        <v>4126.86563666667</v>
      </c>
      <c r="H297" s="10" t="n">
        <f aca="false">F297+G297</f>
        <v>14444.0297283333</v>
      </c>
      <c r="I297" s="10" t="n">
        <f aca="false">0</f>
        <v>0</v>
      </c>
      <c r="J297" s="10" t="n">
        <f aca="false">MAX(0,E297-E296)*Staffing!$O$10</f>
        <v>0</v>
      </c>
      <c r="K297" s="10" t="n">
        <f aca="false">MAX(0,E297-E296)*Staffing!$P$10</f>
        <v>0</v>
      </c>
      <c r="L297" s="23" t="n">
        <f aca="false">ROUNDUP(E297,0)</f>
        <v>1</v>
      </c>
    </row>
    <row r="298" customFormat="false" ht="15" hidden="false" customHeight="false" outlineLevel="0" collapsed="false">
      <c r="A298" s="6" t="s">
        <v>72</v>
      </c>
      <c r="B298" s="6" t="s">
        <v>336</v>
      </c>
      <c r="C298" s="6" t="n">
        <v>53</v>
      </c>
      <c r="D298" s="25" t="n">
        <f aca="false">EDATE('Start Here'!$B$6,C298-1)</f>
        <v>47908</v>
      </c>
      <c r="E298" s="11" t="n">
        <f aca="false">IF(AND(C298&gt;=Staffing!$F$10,C298&lt;=Staffing!$G$10,1=1),IF(C298&lt;=6,Staffing!$H$10,IF(C298&lt;=15,Staffing!$I$10,IF(C298&lt;=30,Staffing!$J$10,Staffing!$K$10))),0)</f>
        <v>1</v>
      </c>
      <c r="F298" s="10" t="n">
        <f aca="false">E298*Staffing!$L$10/12*(1+Assumptions!$C$10)^INT((C298-1)/12)*1</f>
        <v>10317.1640916667</v>
      </c>
      <c r="G298" s="10" t="n">
        <f aca="false">F298*Staffing!$N$10</f>
        <v>4126.86563666667</v>
      </c>
      <c r="H298" s="10" t="n">
        <f aca="false">F298+G298</f>
        <v>14444.0297283333</v>
      </c>
      <c r="I298" s="10" t="n">
        <f aca="false">0</f>
        <v>0</v>
      </c>
      <c r="J298" s="10" t="n">
        <f aca="false">MAX(0,E298-E297)*Staffing!$O$10</f>
        <v>0</v>
      </c>
      <c r="K298" s="10" t="n">
        <f aca="false">MAX(0,E298-E297)*Staffing!$P$10</f>
        <v>0</v>
      </c>
      <c r="L298" s="23" t="n">
        <f aca="false">ROUNDUP(E298,0)</f>
        <v>1</v>
      </c>
    </row>
    <row r="299" customFormat="false" ht="15" hidden="false" customHeight="false" outlineLevel="0" collapsed="false">
      <c r="A299" s="6" t="s">
        <v>72</v>
      </c>
      <c r="B299" s="6" t="s">
        <v>336</v>
      </c>
      <c r="C299" s="6" t="n">
        <v>54</v>
      </c>
      <c r="D299" s="25" t="n">
        <f aca="false">EDATE('Start Here'!$B$6,C299-1)</f>
        <v>47939</v>
      </c>
      <c r="E299" s="11" t="n">
        <f aca="false">IF(AND(C299&gt;=Staffing!$F$10,C299&lt;=Staffing!$G$10,1=1),IF(C299&lt;=6,Staffing!$H$10,IF(C299&lt;=15,Staffing!$I$10,IF(C299&lt;=30,Staffing!$J$10,Staffing!$K$10))),0)</f>
        <v>1</v>
      </c>
      <c r="F299" s="10" t="n">
        <f aca="false">E299*Staffing!$L$10/12*(1+Assumptions!$C$10)^INT((C299-1)/12)*1</f>
        <v>10317.1640916667</v>
      </c>
      <c r="G299" s="10" t="n">
        <f aca="false">F299*Staffing!$N$10</f>
        <v>4126.86563666667</v>
      </c>
      <c r="H299" s="10" t="n">
        <f aca="false">F299+G299</f>
        <v>14444.0297283333</v>
      </c>
      <c r="I299" s="10" t="n">
        <f aca="false">0</f>
        <v>0</v>
      </c>
      <c r="J299" s="10" t="n">
        <f aca="false">MAX(0,E299-E298)*Staffing!$O$10</f>
        <v>0</v>
      </c>
      <c r="K299" s="10" t="n">
        <f aca="false">MAX(0,E299-E298)*Staffing!$P$10</f>
        <v>0</v>
      </c>
      <c r="L299" s="23" t="n">
        <f aca="false">ROUNDUP(E299,0)</f>
        <v>1</v>
      </c>
    </row>
    <row r="300" customFormat="false" ht="15" hidden="false" customHeight="false" outlineLevel="0" collapsed="false">
      <c r="A300" s="6" t="s">
        <v>72</v>
      </c>
      <c r="B300" s="6" t="s">
        <v>336</v>
      </c>
      <c r="C300" s="6" t="n">
        <v>55</v>
      </c>
      <c r="D300" s="25" t="n">
        <f aca="false">EDATE('Start Here'!$B$6,C300-1)</f>
        <v>47969</v>
      </c>
      <c r="E300" s="11" t="n">
        <f aca="false">IF(AND(C300&gt;=Staffing!$F$10,C300&lt;=Staffing!$G$10,1=1),IF(C300&lt;=6,Staffing!$H$10,IF(C300&lt;=15,Staffing!$I$10,IF(C300&lt;=30,Staffing!$J$10,Staffing!$K$10))),0)</f>
        <v>1</v>
      </c>
      <c r="F300" s="10" t="n">
        <f aca="false">E300*Staffing!$L$10/12*(1+Assumptions!$C$10)^INT((C300-1)/12)*1</f>
        <v>10317.1640916667</v>
      </c>
      <c r="G300" s="10" t="n">
        <f aca="false">F300*Staffing!$N$10</f>
        <v>4126.86563666667</v>
      </c>
      <c r="H300" s="10" t="n">
        <f aca="false">F300+G300</f>
        <v>14444.0297283333</v>
      </c>
      <c r="I300" s="10" t="n">
        <f aca="false">0</f>
        <v>0</v>
      </c>
      <c r="J300" s="10" t="n">
        <f aca="false">MAX(0,E300-E299)*Staffing!$O$10</f>
        <v>0</v>
      </c>
      <c r="K300" s="10" t="n">
        <f aca="false">MAX(0,E300-E299)*Staffing!$P$10</f>
        <v>0</v>
      </c>
      <c r="L300" s="23" t="n">
        <f aca="false">ROUNDUP(E300,0)</f>
        <v>1</v>
      </c>
    </row>
    <row r="301" customFormat="false" ht="15" hidden="false" customHeight="false" outlineLevel="0" collapsed="false">
      <c r="A301" s="6" t="s">
        <v>72</v>
      </c>
      <c r="B301" s="6" t="s">
        <v>336</v>
      </c>
      <c r="C301" s="6" t="n">
        <v>56</v>
      </c>
      <c r="D301" s="25" t="n">
        <f aca="false">EDATE('Start Here'!$B$6,C301-1)</f>
        <v>48000</v>
      </c>
      <c r="E301" s="11" t="n">
        <f aca="false">IF(AND(C301&gt;=Staffing!$F$10,C301&lt;=Staffing!$G$10,1=1),IF(C301&lt;=6,Staffing!$H$10,IF(C301&lt;=15,Staffing!$I$10,IF(C301&lt;=30,Staffing!$J$10,Staffing!$K$10))),0)</f>
        <v>1</v>
      </c>
      <c r="F301" s="10" t="n">
        <f aca="false">E301*Staffing!$L$10/12*(1+Assumptions!$C$10)^INT((C301-1)/12)*1</f>
        <v>10317.1640916667</v>
      </c>
      <c r="G301" s="10" t="n">
        <f aca="false">F301*Staffing!$N$10</f>
        <v>4126.86563666667</v>
      </c>
      <c r="H301" s="10" t="n">
        <f aca="false">F301+G301</f>
        <v>14444.0297283333</v>
      </c>
      <c r="I301" s="10" t="n">
        <f aca="false">0</f>
        <v>0</v>
      </c>
      <c r="J301" s="10" t="n">
        <f aca="false">MAX(0,E301-E300)*Staffing!$O$10</f>
        <v>0</v>
      </c>
      <c r="K301" s="10" t="n">
        <f aca="false">MAX(0,E301-E300)*Staffing!$P$10</f>
        <v>0</v>
      </c>
      <c r="L301" s="23" t="n">
        <f aca="false">ROUNDUP(E301,0)</f>
        <v>1</v>
      </c>
    </row>
    <row r="302" customFormat="false" ht="15" hidden="false" customHeight="false" outlineLevel="0" collapsed="false">
      <c r="A302" s="6" t="s">
        <v>72</v>
      </c>
      <c r="B302" s="6" t="s">
        <v>336</v>
      </c>
      <c r="C302" s="6" t="n">
        <v>57</v>
      </c>
      <c r="D302" s="25" t="n">
        <f aca="false">EDATE('Start Here'!$B$6,C302-1)</f>
        <v>48030</v>
      </c>
      <c r="E302" s="11" t="n">
        <f aca="false">IF(AND(C302&gt;=Staffing!$F$10,C302&lt;=Staffing!$G$10,1=1),IF(C302&lt;=6,Staffing!$H$10,IF(C302&lt;=15,Staffing!$I$10,IF(C302&lt;=30,Staffing!$J$10,Staffing!$K$10))),0)</f>
        <v>1</v>
      </c>
      <c r="F302" s="10" t="n">
        <f aca="false">E302*Staffing!$L$10/12*(1+Assumptions!$C$10)^INT((C302-1)/12)*1</f>
        <v>10317.1640916667</v>
      </c>
      <c r="G302" s="10" t="n">
        <f aca="false">F302*Staffing!$N$10</f>
        <v>4126.86563666667</v>
      </c>
      <c r="H302" s="10" t="n">
        <f aca="false">F302+G302</f>
        <v>14444.0297283333</v>
      </c>
      <c r="I302" s="10" t="n">
        <f aca="false">0</f>
        <v>0</v>
      </c>
      <c r="J302" s="10" t="n">
        <f aca="false">MAX(0,E302-E301)*Staffing!$O$10</f>
        <v>0</v>
      </c>
      <c r="K302" s="10" t="n">
        <f aca="false">MAX(0,E302-E301)*Staffing!$P$10</f>
        <v>0</v>
      </c>
      <c r="L302" s="23" t="n">
        <f aca="false">ROUNDUP(E302,0)</f>
        <v>1</v>
      </c>
    </row>
    <row r="303" customFormat="false" ht="15" hidden="false" customHeight="false" outlineLevel="0" collapsed="false">
      <c r="A303" s="6" t="s">
        <v>72</v>
      </c>
      <c r="B303" s="6" t="s">
        <v>336</v>
      </c>
      <c r="C303" s="6" t="n">
        <v>58</v>
      </c>
      <c r="D303" s="25" t="n">
        <f aca="false">EDATE('Start Here'!$B$6,C303-1)</f>
        <v>48061</v>
      </c>
      <c r="E303" s="11" t="n">
        <f aca="false">IF(AND(C303&gt;=Staffing!$F$10,C303&lt;=Staffing!$G$10,1=1),IF(C303&lt;=6,Staffing!$H$10,IF(C303&lt;=15,Staffing!$I$10,IF(C303&lt;=30,Staffing!$J$10,Staffing!$K$10))),0)</f>
        <v>1</v>
      </c>
      <c r="F303" s="10" t="n">
        <f aca="false">E303*Staffing!$L$10/12*(1+Assumptions!$C$10)^INT((C303-1)/12)*1</f>
        <v>10317.1640916667</v>
      </c>
      <c r="G303" s="10" t="n">
        <f aca="false">F303*Staffing!$N$10</f>
        <v>4126.86563666667</v>
      </c>
      <c r="H303" s="10" t="n">
        <f aca="false">F303+G303</f>
        <v>14444.0297283333</v>
      </c>
      <c r="I303" s="10" t="n">
        <f aca="false">0</f>
        <v>0</v>
      </c>
      <c r="J303" s="10" t="n">
        <f aca="false">MAX(0,E303-E302)*Staffing!$O$10</f>
        <v>0</v>
      </c>
      <c r="K303" s="10" t="n">
        <f aca="false">MAX(0,E303-E302)*Staffing!$P$10</f>
        <v>0</v>
      </c>
      <c r="L303" s="23" t="n">
        <f aca="false">ROUNDUP(E303,0)</f>
        <v>1</v>
      </c>
    </row>
    <row r="304" customFormat="false" ht="15" hidden="false" customHeight="false" outlineLevel="0" collapsed="false">
      <c r="A304" s="6" t="s">
        <v>72</v>
      </c>
      <c r="B304" s="6" t="s">
        <v>336</v>
      </c>
      <c r="C304" s="6" t="n">
        <v>59</v>
      </c>
      <c r="D304" s="25" t="n">
        <f aca="false">EDATE('Start Here'!$B$6,C304-1)</f>
        <v>48092</v>
      </c>
      <c r="E304" s="11" t="n">
        <f aca="false">IF(AND(C304&gt;=Staffing!$F$10,C304&lt;=Staffing!$G$10,1=1),IF(C304&lt;=6,Staffing!$H$10,IF(C304&lt;=15,Staffing!$I$10,IF(C304&lt;=30,Staffing!$J$10,Staffing!$K$10))),0)</f>
        <v>1</v>
      </c>
      <c r="F304" s="10" t="n">
        <f aca="false">E304*Staffing!$L$10/12*(1+Assumptions!$C$10)^INT((C304-1)/12)*1</f>
        <v>10317.1640916667</v>
      </c>
      <c r="G304" s="10" t="n">
        <f aca="false">F304*Staffing!$N$10</f>
        <v>4126.86563666667</v>
      </c>
      <c r="H304" s="10" t="n">
        <f aca="false">F304+G304</f>
        <v>14444.0297283333</v>
      </c>
      <c r="I304" s="10" t="n">
        <f aca="false">0</f>
        <v>0</v>
      </c>
      <c r="J304" s="10" t="n">
        <f aca="false">MAX(0,E304-E303)*Staffing!$O$10</f>
        <v>0</v>
      </c>
      <c r="K304" s="10" t="n">
        <f aca="false">MAX(0,E304-E303)*Staffing!$P$10</f>
        <v>0</v>
      </c>
      <c r="L304" s="23" t="n">
        <f aca="false">ROUNDUP(E304,0)</f>
        <v>1</v>
      </c>
    </row>
    <row r="305" customFormat="false" ht="15" hidden="false" customHeight="false" outlineLevel="0" collapsed="false">
      <c r="A305" s="6" t="s">
        <v>72</v>
      </c>
      <c r="B305" s="6" t="s">
        <v>336</v>
      </c>
      <c r="C305" s="6" t="n">
        <v>60</v>
      </c>
      <c r="D305" s="25" t="n">
        <f aca="false">EDATE('Start Here'!$B$6,C305-1)</f>
        <v>48122</v>
      </c>
      <c r="E305" s="11" t="n">
        <f aca="false">IF(AND(C305&gt;=Staffing!$F$10,C305&lt;=Staffing!$G$10,1=1),IF(C305&lt;=6,Staffing!$H$10,IF(C305&lt;=15,Staffing!$I$10,IF(C305&lt;=30,Staffing!$J$10,Staffing!$K$10))),0)</f>
        <v>1</v>
      </c>
      <c r="F305" s="10" t="n">
        <f aca="false">E305*Staffing!$L$10/12*(1+Assumptions!$C$10)^INT((C305-1)/12)*1</f>
        <v>10317.1640916667</v>
      </c>
      <c r="G305" s="10" t="n">
        <f aca="false">F305*Staffing!$N$10</f>
        <v>4126.86563666667</v>
      </c>
      <c r="H305" s="10" t="n">
        <f aca="false">F305+G305</f>
        <v>14444.0297283333</v>
      </c>
      <c r="I305" s="10" t="n">
        <f aca="false">0</f>
        <v>0</v>
      </c>
      <c r="J305" s="10" t="n">
        <f aca="false">MAX(0,E305-E304)*Staffing!$O$10</f>
        <v>0</v>
      </c>
      <c r="K305" s="10" t="n">
        <f aca="false">MAX(0,E305-E304)*Staffing!$P$10</f>
        <v>0</v>
      </c>
      <c r="L305" s="23" t="n">
        <f aca="false">ROUNDUP(E305,0)</f>
        <v>1</v>
      </c>
    </row>
    <row r="306" customFormat="false" ht="15" hidden="false" customHeight="false" outlineLevel="0" collapsed="false">
      <c r="A306" s="6" t="s">
        <v>72</v>
      </c>
      <c r="B306" s="6" t="s">
        <v>338</v>
      </c>
      <c r="C306" s="6" t="n">
        <v>1</v>
      </c>
      <c r="D306" s="25" t="n">
        <f aca="false">EDATE('Start Here'!$B$6,C306-1)</f>
        <v>46327</v>
      </c>
      <c r="E306" s="23" t="n">
        <f aca="false">IF(AND(C306&gt;=Staffing!$F$11,C306&lt;=Staffing!$G$11,1=1),IF(C306&lt;=6,Staffing!$H$11,IF(C306&lt;=15,Staffing!$I$11,IF(C306&lt;=30,Staffing!$J$11,Staffing!$K$11))),0)</f>
        <v>0</v>
      </c>
      <c r="F306" s="10" t="n">
        <f aca="false">E306*Staffing!$L$11/12*(1+Assumptions!$C$10)^INT((C306-1)/12)*1</f>
        <v>0</v>
      </c>
      <c r="G306" s="10" t="n">
        <f aca="false">F306*Staffing!$N$11</f>
        <v>0</v>
      </c>
      <c r="H306" s="10" t="n">
        <f aca="false">F306+G306</f>
        <v>0</v>
      </c>
      <c r="I306" s="10" t="n">
        <f aca="false">0</f>
        <v>0</v>
      </c>
      <c r="J306" s="10" t="n">
        <f aca="false">MAX(0,E306-0)*Staffing!$O$11</f>
        <v>0</v>
      </c>
      <c r="K306" s="10" t="n">
        <f aca="false">MAX(0,E306-0)*Staffing!$P$11</f>
        <v>0</v>
      </c>
      <c r="L306" s="23" t="n">
        <f aca="false">ROUNDUP(E306,0)</f>
        <v>0</v>
      </c>
    </row>
    <row r="307" customFormat="false" ht="15" hidden="false" customHeight="false" outlineLevel="0" collapsed="false">
      <c r="A307" s="6" t="s">
        <v>72</v>
      </c>
      <c r="B307" s="6" t="s">
        <v>338</v>
      </c>
      <c r="C307" s="6" t="n">
        <v>2</v>
      </c>
      <c r="D307" s="25" t="n">
        <f aca="false">EDATE('Start Here'!$B$6,C307-1)</f>
        <v>46357</v>
      </c>
      <c r="E307" s="11" t="n">
        <f aca="false">IF(AND(C307&gt;=Staffing!$F$11,C307&lt;=Staffing!$G$11,1=1),IF(C307&lt;=6,Staffing!$H$11,IF(C307&lt;=15,Staffing!$I$11,IF(C307&lt;=30,Staffing!$J$11,Staffing!$K$11))),0)</f>
        <v>0.15</v>
      </c>
      <c r="F307" s="10" t="n">
        <f aca="false">E307*Staffing!$L$11/12*(1+Assumptions!$C$10)^INT((C307-1)/12)*1</f>
        <v>2375</v>
      </c>
      <c r="G307" s="10" t="n">
        <f aca="false">F307*Staffing!$N$11</f>
        <v>0</v>
      </c>
      <c r="H307" s="10" t="n">
        <f aca="false">F307+G307</f>
        <v>2375</v>
      </c>
      <c r="I307" s="10" t="n">
        <f aca="false">0</f>
        <v>0</v>
      </c>
      <c r="J307" s="10" t="n">
        <f aca="false">MAX(0,E307-E306)*Staffing!$O$11</f>
        <v>0</v>
      </c>
      <c r="K307" s="10" t="n">
        <f aca="false">MAX(0,E307-E306)*Staffing!$P$11</f>
        <v>375</v>
      </c>
      <c r="L307" s="23" t="n">
        <f aca="false">ROUNDUP(E307,0)</f>
        <v>1</v>
      </c>
    </row>
    <row r="308" customFormat="false" ht="15" hidden="false" customHeight="false" outlineLevel="0" collapsed="false">
      <c r="A308" s="6" t="s">
        <v>72</v>
      </c>
      <c r="B308" s="6" t="s">
        <v>338</v>
      </c>
      <c r="C308" s="6" t="n">
        <v>3</v>
      </c>
      <c r="D308" s="25" t="n">
        <f aca="false">EDATE('Start Here'!$B$6,C308-1)</f>
        <v>46388</v>
      </c>
      <c r="E308" s="11" t="n">
        <f aca="false">IF(AND(C308&gt;=Staffing!$F$11,C308&lt;=Staffing!$G$11,1=1),IF(C308&lt;=6,Staffing!$H$11,IF(C308&lt;=15,Staffing!$I$11,IF(C308&lt;=30,Staffing!$J$11,Staffing!$K$11))),0)</f>
        <v>0.15</v>
      </c>
      <c r="F308" s="10" t="n">
        <f aca="false">E308*Staffing!$L$11/12*(1+Assumptions!$C$10)^INT((C308-1)/12)*1</f>
        <v>2375</v>
      </c>
      <c r="G308" s="10" t="n">
        <f aca="false">F308*Staffing!$N$11</f>
        <v>0</v>
      </c>
      <c r="H308" s="10" t="n">
        <f aca="false">F308+G308</f>
        <v>2375</v>
      </c>
      <c r="I308" s="10" t="n">
        <f aca="false">0</f>
        <v>0</v>
      </c>
      <c r="J308" s="10" t="n">
        <f aca="false">MAX(0,E308-E307)*Staffing!$O$11</f>
        <v>0</v>
      </c>
      <c r="K308" s="10" t="n">
        <f aca="false">MAX(0,E308-E307)*Staffing!$P$11</f>
        <v>0</v>
      </c>
      <c r="L308" s="23" t="n">
        <f aca="false">ROUNDUP(E308,0)</f>
        <v>1</v>
      </c>
    </row>
    <row r="309" customFormat="false" ht="15" hidden="false" customHeight="false" outlineLevel="0" collapsed="false">
      <c r="A309" s="6" t="s">
        <v>72</v>
      </c>
      <c r="B309" s="6" t="s">
        <v>338</v>
      </c>
      <c r="C309" s="6" t="n">
        <v>4</v>
      </c>
      <c r="D309" s="25" t="n">
        <f aca="false">EDATE('Start Here'!$B$6,C309-1)</f>
        <v>46419</v>
      </c>
      <c r="E309" s="11" t="n">
        <f aca="false">IF(AND(C309&gt;=Staffing!$F$11,C309&lt;=Staffing!$G$11,1=1),IF(C309&lt;=6,Staffing!$H$11,IF(C309&lt;=15,Staffing!$I$11,IF(C309&lt;=30,Staffing!$J$11,Staffing!$K$11))),0)</f>
        <v>0.15</v>
      </c>
      <c r="F309" s="10" t="n">
        <f aca="false">E309*Staffing!$L$11/12*(1+Assumptions!$C$10)^INT((C309-1)/12)*1</f>
        <v>2375</v>
      </c>
      <c r="G309" s="10" t="n">
        <f aca="false">F309*Staffing!$N$11</f>
        <v>0</v>
      </c>
      <c r="H309" s="10" t="n">
        <f aca="false">F309+G309</f>
        <v>2375</v>
      </c>
      <c r="I309" s="10" t="n">
        <f aca="false">0</f>
        <v>0</v>
      </c>
      <c r="J309" s="10" t="n">
        <f aca="false">MAX(0,E309-E308)*Staffing!$O$11</f>
        <v>0</v>
      </c>
      <c r="K309" s="10" t="n">
        <f aca="false">MAX(0,E309-E308)*Staffing!$P$11</f>
        <v>0</v>
      </c>
      <c r="L309" s="23" t="n">
        <f aca="false">ROUNDUP(E309,0)</f>
        <v>1</v>
      </c>
    </row>
    <row r="310" customFormat="false" ht="15" hidden="false" customHeight="false" outlineLevel="0" collapsed="false">
      <c r="A310" s="6" t="s">
        <v>72</v>
      </c>
      <c r="B310" s="6" t="s">
        <v>338</v>
      </c>
      <c r="C310" s="6" t="n">
        <v>5</v>
      </c>
      <c r="D310" s="25" t="n">
        <f aca="false">EDATE('Start Here'!$B$6,C310-1)</f>
        <v>46447</v>
      </c>
      <c r="E310" s="11" t="n">
        <f aca="false">IF(AND(C310&gt;=Staffing!$F$11,C310&lt;=Staffing!$G$11,1=1),IF(C310&lt;=6,Staffing!$H$11,IF(C310&lt;=15,Staffing!$I$11,IF(C310&lt;=30,Staffing!$J$11,Staffing!$K$11))),0)</f>
        <v>0.15</v>
      </c>
      <c r="F310" s="10" t="n">
        <f aca="false">E310*Staffing!$L$11/12*(1+Assumptions!$C$10)^INT((C310-1)/12)*1</f>
        <v>2375</v>
      </c>
      <c r="G310" s="10" t="n">
        <f aca="false">F310*Staffing!$N$11</f>
        <v>0</v>
      </c>
      <c r="H310" s="10" t="n">
        <f aca="false">F310+G310</f>
        <v>2375</v>
      </c>
      <c r="I310" s="10" t="n">
        <f aca="false">0</f>
        <v>0</v>
      </c>
      <c r="J310" s="10" t="n">
        <f aca="false">MAX(0,E310-E309)*Staffing!$O$11</f>
        <v>0</v>
      </c>
      <c r="K310" s="10" t="n">
        <f aca="false">MAX(0,E310-E309)*Staffing!$P$11</f>
        <v>0</v>
      </c>
      <c r="L310" s="23" t="n">
        <f aca="false">ROUNDUP(E310,0)</f>
        <v>1</v>
      </c>
    </row>
    <row r="311" customFormat="false" ht="15" hidden="false" customHeight="false" outlineLevel="0" collapsed="false">
      <c r="A311" s="6" t="s">
        <v>72</v>
      </c>
      <c r="B311" s="6" t="s">
        <v>338</v>
      </c>
      <c r="C311" s="6" t="n">
        <v>6</v>
      </c>
      <c r="D311" s="25" t="n">
        <f aca="false">EDATE('Start Here'!$B$6,C311-1)</f>
        <v>46478</v>
      </c>
      <c r="E311" s="11" t="n">
        <f aca="false">IF(AND(C311&gt;=Staffing!$F$11,C311&lt;=Staffing!$G$11,1=1),IF(C311&lt;=6,Staffing!$H$11,IF(C311&lt;=15,Staffing!$I$11,IF(C311&lt;=30,Staffing!$J$11,Staffing!$K$11))),0)</f>
        <v>0.15</v>
      </c>
      <c r="F311" s="10" t="n">
        <f aca="false">E311*Staffing!$L$11/12*(1+Assumptions!$C$10)^INT((C311-1)/12)*1</f>
        <v>2375</v>
      </c>
      <c r="G311" s="10" t="n">
        <f aca="false">F311*Staffing!$N$11</f>
        <v>0</v>
      </c>
      <c r="H311" s="10" t="n">
        <f aca="false">F311+G311</f>
        <v>2375</v>
      </c>
      <c r="I311" s="10" t="n">
        <f aca="false">0</f>
        <v>0</v>
      </c>
      <c r="J311" s="10" t="n">
        <f aca="false">MAX(0,E311-E310)*Staffing!$O$11</f>
        <v>0</v>
      </c>
      <c r="K311" s="10" t="n">
        <f aca="false">MAX(0,E311-E310)*Staffing!$P$11</f>
        <v>0</v>
      </c>
      <c r="L311" s="23" t="n">
        <f aca="false">ROUNDUP(E311,0)</f>
        <v>1</v>
      </c>
    </row>
    <row r="312" customFormat="false" ht="15" hidden="false" customHeight="false" outlineLevel="0" collapsed="false">
      <c r="A312" s="6" t="s">
        <v>72</v>
      </c>
      <c r="B312" s="6" t="s">
        <v>338</v>
      </c>
      <c r="C312" s="6" t="n">
        <v>7</v>
      </c>
      <c r="D312" s="25" t="n">
        <f aca="false">EDATE('Start Here'!$B$6,C312-1)</f>
        <v>46508</v>
      </c>
      <c r="E312" s="11" t="n">
        <f aca="false">IF(AND(C312&gt;=Staffing!$F$11,C312&lt;=Staffing!$G$11,1=1),IF(C312&lt;=6,Staffing!$H$11,IF(C312&lt;=15,Staffing!$I$11,IF(C312&lt;=30,Staffing!$J$11,Staffing!$K$11))),0)</f>
        <v>0.2</v>
      </c>
      <c r="F312" s="10" t="n">
        <f aca="false">E312*Staffing!$L$11/12*(1+Assumptions!$C$10)^INT((C312-1)/12)*1</f>
        <v>3166.66666666667</v>
      </c>
      <c r="G312" s="10" t="n">
        <f aca="false">F312*Staffing!$N$11</f>
        <v>0</v>
      </c>
      <c r="H312" s="10" t="n">
        <f aca="false">F312+G312</f>
        <v>3166.66666666667</v>
      </c>
      <c r="I312" s="10" t="n">
        <f aca="false">0</f>
        <v>0</v>
      </c>
      <c r="J312" s="10" t="n">
        <f aca="false">MAX(0,E312-E311)*Staffing!$O$11</f>
        <v>0</v>
      </c>
      <c r="K312" s="10" t="n">
        <f aca="false">MAX(0,E312-E311)*Staffing!$P$11</f>
        <v>125</v>
      </c>
      <c r="L312" s="23" t="n">
        <f aca="false">ROUNDUP(E312,0)</f>
        <v>1</v>
      </c>
    </row>
    <row r="313" customFormat="false" ht="15" hidden="false" customHeight="false" outlineLevel="0" collapsed="false">
      <c r="A313" s="6" t="s">
        <v>72</v>
      </c>
      <c r="B313" s="6" t="s">
        <v>338</v>
      </c>
      <c r="C313" s="6" t="n">
        <v>8</v>
      </c>
      <c r="D313" s="25" t="n">
        <f aca="false">EDATE('Start Here'!$B$6,C313-1)</f>
        <v>46539</v>
      </c>
      <c r="E313" s="11" t="n">
        <f aca="false">IF(AND(C313&gt;=Staffing!$F$11,C313&lt;=Staffing!$G$11,1=1),IF(C313&lt;=6,Staffing!$H$11,IF(C313&lt;=15,Staffing!$I$11,IF(C313&lt;=30,Staffing!$J$11,Staffing!$K$11))),0)</f>
        <v>0.2</v>
      </c>
      <c r="F313" s="10" t="n">
        <f aca="false">E313*Staffing!$L$11/12*(1+Assumptions!$C$10)^INT((C313-1)/12)*1</f>
        <v>3166.66666666667</v>
      </c>
      <c r="G313" s="10" t="n">
        <f aca="false">F313*Staffing!$N$11</f>
        <v>0</v>
      </c>
      <c r="H313" s="10" t="n">
        <f aca="false">F313+G313</f>
        <v>3166.66666666667</v>
      </c>
      <c r="I313" s="10" t="n">
        <f aca="false">0</f>
        <v>0</v>
      </c>
      <c r="J313" s="10" t="n">
        <f aca="false">MAX(0,E313-E312)*Staffing!$O$11</f>
        <v>0</v>
      </c>
      <c r="K313" s="10" t="n">
        <f aca="false">MAX(0,E313-E312)*Staffing!$P$11</f>
        <v>0</v>
      </c>
      <c r="L313" s="23" t="n">
        <f aca="false">ROUNDUP(E313,0)</f>
        <v>1</v>
      </c>
    </row>
    <row r="314" customFormat="false" ht="15" hidden="false" customHeight="false" outlineLevel="0" collapsed="false">
      <c r="A314" s="6" t="s">
        <v>72</v>
      </c>
      <c r="B314" s="6" t="s">
        <v>338</v>
      </c>
      <c r="C314" s="6" t="n">
        <v>9</v>
      </c>
      <c r="D314" s="25" t="n">
        <f aca="false">EDATE('Start Here'!$B$6,C314-1)</f>
        <v>46569</v>
      </c>
      <c r="E314" s="11" t="n">
        <f aca="false">IF(AND(C314&gt;=Staffing!$F$11,C314&lt;=Staffing!$G$11,1=1),IF(C314&lt;=6,Staffing!$H$11,IF(C314&lt;=15,Staffing!$I$11,IF(C314&lt;=30,Staffing!$J$11,Staffing!$K$11))),0)</f>
        <v>0.2</v>
      </c>
      <c r="F314" s="10" t="n">
        <f aca="false">E314*Staffing!$L$11/12*(1+Assumptions!$C$10)^INT((C314-1)/12)*1</f>
        <v>3166.66666666667</v>
      </c>
      <c r="G314" s="10" t="n">
        <f aca="false">F314*Staffing!$N$11</f>
        <v>0</v>
      </c>
      <c r="H314" s="10" t="n">
        <f aca="false">F314+G314</f>
        <v>3166.66666666667</v>
      </c>
      <c r="I314" s="10" t="n">
        <f aca="false">0</f>
        <v>0</v>
      </c>
      <c r="J314" s="10" t="n">
        <f aca="false">MAX(0,E314-E313)*Staffing!$O$11</f>
        <v>0</v>
      </c>
      <c r="K314" s="10" t="n">
        <f aca="false">MAX(0,E314-E313)*Staffing!$P$11</f>
        <v>0</v>
      </c>
      <c r="L314" s="23" t="n">
        <f aca="false">ROUNDUP(E314,0)</f>
        <v>1</v>
      </c>
    </row>
    <row r="315" customFormat="false" ht="15" hidden="false" customHeight="false" outlineLevel="0" collapsed="false">
      <c r="A315" s="6" t="s">
        <v>72</v>
      </c>
      <c r="B315" s="6" t="s">
        <v>338</v>
      </c>
      <c r="C315" s="6" t="n">
        <v>10</v>
      </c>
      <c r="D315" s="25" t="n">
        <f aca="false">EDATE('Start Here'!$B$6,C315-1)</f>
        <v>46600</v>
      </c>
      <c r="E315" s="11" t="n">
        <f aca="false">IF(AND(C315&gt;=Staffing!$F$11,C315&lt;=Staffing!$G$11,1=1),IF(C315&lt;=6,Staffing!$H$11,IF(C315&lt;=15,Staffing!$I$11,IF(C315&lt;=30,Staffing!$J$11,Staffing!$K$11))),0)</f>
        <v>0.2</v>
      </c>
      <c r="F315" s="10" t="n">
        <f aca="false">E315*Staffing!$L$11/12*(1+Assumptions!$C$10)^INT((C315-1)/12)*1</f>
        <v>3166.66666666667</v>
      </c>
      <c r="G315" s="10" t="n">
        <f aca="false">F315*Staffing!$N$11</f>
        <v>0</v>
      </c>
      <c r="H315" s="10" t="n">
        <f aca="false">F315+G315</f>
        <v>3166.66666666667</v>
      </c>
      <c r="I315" s="10" t="n">
        <f aca="false">0</f>
        <v>0</v>
      </c>
      <c r="J315" s="10" t="n">
        <f aca="false">MAX(0,E315-E314)*Staffing!$O$11</f>
        <v>0</v>
      </c>
      <c r="K315" s="10" t="n">
        <f aca="false">MAX(0,E315-E314)*Staffing!$P$11</f>
        <v>0</v>
      </c>
      <c r="L315" s="23" t="n">
        <f aca="false">ROUNDUP(E315,0)</f>
        <v>1</v>
      </c>
    </row>
    <row r="316" customFormat="false" ht="15" hidden="false" customHeight="false" outlineLevel="0" collapsed="false">
      <c r="A316" s="6" t="s">
        <v>72</v>
      </c>
      <c r="B316" s="6" t="s">
        <v>338</v>
      </c>
      <c r="C316" s="6" t="n">
        <v>11</v>
      </c>
      <c r="D316" s="25" t="n">
        <f aca="false">EDATE('Start Here'!$B$6,C316-1)</f>
        <v>46631</v>
      </c>
      <c r="E316" s="11" t="n">
        <f aca="false">IF(AND(C316&gt;=Staffing!$F$11,C316&lt;=Staffing!$G$11,1=1),IF(C316&lt;=6,Staffing!$H$11,IF(C316&lt;=15,Staffing!$I$11,IF(C316&lt;=30,Staffing!$J$11,Staffing!$K$11))),0)</f>
        <v>0.2</v>
      </c>
      <c r="F316" s="10" t="n">
        <f aca="false">E316*Staffing!$L$11/12*(1+Assumptions!$C$10)^INT((C316-1)/12)*1</f>
        <v>3166.66666666667</v>
      </c>
      <c r="G316" s="10" t="n">
        <f aca="false">F316*Staffing!$N$11</f>
        <v>0</v>
      </c>
      <c r="H316" s="10" t="n">
        <f aca="false">F316+G316</f>
        <v>3166.66666666667</v>
      </c>
      <c r="I316" s="10" t="n">
        <f aca="false">0</f>
        <v>0</v>
      </c>
      <c r="J316" s="10" t="n">
        <f aca="false">MAX(0,E316-E315)*Staffing!$O$11</f>
        <v>0</v>
      </c>
      <c r="K316" s="10" t="n">
        <f aca="false">MAX(0,E316-E315)*Staffing!$P$11</f>
        <v>0</v>
      </c>
      <c r="L316" s="23" t="n">
        <f aca="false">ROUNDUP(E316,0)</f>
        <v>1</v>
      </c>
    </row>
    <row r="317" customFormat="false" ht="15" hidden="false" customHeight="false" outlineLevel="0" collapsed="false">
      <c r="A317" s="6" t="s">
        <v>72</v>
      </c>
      <c r="B317" s="6" t="s">
        <v>338</v>
      </c>
      <c r="C317" s="6" t="n">
        <v>12</v>
      </c>
      <c r="D317" s="25" t="n">
        <f aca="false">EDATE('Start Here'!$B$6,C317-1)</f>
        <v>46661</v>
      </c>
      <c r="E317" s="11" t="n">
        <f aca="false">IF(AND(C317&gt;=Staffing!$F$11,C317&lt;=Staffing!$G$11,1=1),IF(C317&lt;=6,Staffing!$H$11,IF(C317&lt;=15,Staffing!$I$11,IF(C317&lt;=30,Staffing!$J$11,Staffing!$K$11))),0)</f>
        <v>0.2</v>
      </c>
      <c r="F317" s="10" t="n">
        <f aca="false">E317*Staffing!$L$11/12*(1+Assumptions!$C$10)^INT((C317-1)/12)*1</f>
        <v>3166.66666666667</v>
      </c>
      <c r="G317" s="10" t="n">
        <f aca="false">F317*Staffing!$N$11</f>
        <v>0</v>
      </c>
      <c r="H317" s="10" t="n">
        <f aca="false">F317+G317</f>
        <v>3166.66666666667</v>
      </c>
      <c r="I317" s="10" t="n">
        <f aca="false">0</f>
        <v>0</v>
      </c>
      <c r="J317" s="10" t="n">
        <f aca="false">MAX(0,E317-E316)*Staffing!$O$11</f>
        <v>0</v>
      </c>
      <c r="K317" s="10" t="n">
        <f aca="false">MAX(0,E317-E316)*Staffing!$P$11</f>
        <v>0</v>
      </c>
      <c r="L317" s="23" t="n">
        <f aca="false">ROUNDUP(E317,0)</f>
        <v>1</v>
      </c>
    </row>
    <row r="318" customFormat="false" ht="15" hidden="false" customHeight="false" outlineLevel="0" collapsed="false">
      <c r="A318" s="6" t="s">
        <v>72</v>
      </c>
      <c r="B318" s="6" t="s">
        <v>338</v>
      </c>
      <c r="C318" s="6" t="n">
        <v>13</v>
      </c>
      <c r="D318" s="25" t="n">
        <f aca="false">EDATE('Start Here'!$B$6,C318-1)</f>
        <v>46692</v>
      </c>
      <c r="E318" s="11" t="n">
        <f aca="false">IF(AND(C318&gt;=Staffing!$F$11,C318&lt;=Staffing!$G$11,1=1),IF(C318&lt;=6,Staffing!$H$11,IF(C318&lt;=15,Staffing!$I$11,IF(C318&lt;=30,Staffing!$J$11,Staffing!$K$11))),0)</f>
        <v>0.2</v>
      </c>
      <c r="F318" s="10" t="n">
        <f aca="false">E318*Staffing!$L$11/12*(1+Assumptions!$C$10)^INT((C318-1)/12)*1</f>
        <v>3261.66666666667</v>
      </c>
      <c r="G318" s="10" t="n">
        <f aca="false">F318*Staffing!$N$11</f>
        <v>0</v>
      </c>
      <c r="H318" s="10" t="n">
        <f aca="false">F318+G318</f>
        <v>3261.66666666667</v>
      </c>
      <c r="I318" s="10" t="n">
        <f aca="false">0</f>
        <v>0</v>
      </c>
      <c r="J318" s="10" t="n">
        <f aca="false">MAX(0,E318-E317)*Staffing!$O$11</f>
        <v>0</v>
      </c>
      <c r="K318" s="10" t="n">
        <f aca="false">MAX(0,E318-E317)*Staffing!$P$11</f>
        <v>0</v>
      </c>
      <c r="L318" s="23" t="n">
        <f aca="false">ROUNDUP(E318,0)</f>
        <v>1</v>
      </c>
    </row>
    <row r="319" customFormat="false" ht="15" hidden="false" customHeight="false" outlineLevel="0" collapsed="false">
      <c r="A319" s="6" t="s">
        <v>72</v>
      </c>
      <c r="B319" s="6" t="s">
        <v>338</v>
      </c>
      <c r="C319" s="6" t="n">
        <v>14</v>
      </c>
      <c r="D319" s="25" t="n">
        <f aca="false">EDATE('Start Here'!$B$6,C319-1)</f>
        <v>46722</v>
      </c>
      <c r="E319" s="11" t="n">
        <f aca="false">IF(AND(C319&gt;=Staffing!$F$11,C319&lt;=Staffing!$G$11,1=1),IF(C319&lt;=6,Staffing!$H$11,IF(C319&lt;=15,Staffing!$I$11,IF(C319&lt;=30,Staffing!$J$11,Staffing!$K$11))),0)</f>
        <v>0.2</v>
      </c>
      <c r="F319" s="10" t="n">
        <f aca="false">E319*Staffing!$L$11/12*(1+Assumptions!$C$10)^INT((C319-1)/12)*1</f>
        <v>3261.66666666667</v>
      </c>
      <c r="G319" s="10" t="n">
        <f aca="false">F319*Staffing!$N$11</f>
        <v>0</v>
      </c>
      <c r="H319" s="10" t="n">
        <f aca="false">F319+G319</f>
        <v>3261.66666666667</v>
      </c>
      <c r="I319" s="10" t="n">
        <f aca="false">0</f>
        <v>0</v>
      </c>
      <c r="J319" s="10" t="n">
        <f aca="false">MAX(0,E319-E318)*Staffing!$O$11</f>
        <v>0</v>
      </c>
      <c r="K319" s="10" t="n">
        <f aca="false">MAX(0,E319-E318)*Staffing!$P$11</f>
        <v>0</v>
      </c>
      <c r="L319" s="23" t="n">
        <f aca="false">ROUNDUP(E319,0)</f>
        <v>1</v>
      </c>
    </row>
    <row r="320" customFormat="false" ht="15" hidden="false" customHeight="false" outlineLevel="0" collapsed="false">
      <c r="A320" s="6" t="s">
        <v>72</v>
      </c>
      <c r="B320" s="6" t="s">
        <v>338</v>
      </c>
      <c r="C320" s="6" t="n">
        <v>15</v>
      </c>
      <c r="D320" s="25" t="n">
        <f aca="false">EDATE('Start Here'!$B$6,C320-1)</f>
        <v>46753</v>
      </c>
      <c r="E320" s="11" t="n">
        <f aca="false">IF(AND(C320&gt;=Staffing!$F$11,C320&lt;=Staffing!$G$11,1=1),IF(C320&lt;=6,Staffing!$H$11,IF(C320&lt;=15,Staffing!$I$11,IF(C320&lt;=30,Staffing!$J$11,Staffing!$K$11))),0)</f>
        <v>0.2</v>
      </c>
      <c r="F320" s="10" t="n">
        <f aca="false">E320*Staffing!$L$11/12*(1+Assumptions!$C$10)^INT((C320-1)/12)*1</f>
        <v>3261.66666666667</v>
      </c>
      <c r="G320" s="10" t="n">
        <f aca="false">F320*Staffing!$N$11</f>
        <v>0</v>
      </c>
      <c r="H320" s="10" t="n">
        <f aca="false">F320+G320</f>
        <v>3261.66666666667</v>
      </c>
      <c r="I320" s="10" t="n">
        <f aca="false">0</f>
        <v>0</v>
      </c>
      <c r="J320" s="10" t="n">
        <f aca="false">MAX(0,E320-E319)*Staffing!$O$11</f>
        <v>0</v>
      </c>
      <c r="K320" s="10" t="n">
        <f aca="false">MAX(0,E320-E319)*Staffing!$P$11</f>
        <v>0</v>
      </c>
      <c r="L320" s="23" t="n">
        <f aca="false">ROUNDUP(E320,0)</f>
        <v>1</v>
      </c>
    </row>
    <row r="321" customFormat="false" ht="15" hidden="false" customHeight="false" outlineLevel="0" collapsed="false">
      <c r="A321" s="6" t="s">
        <v>72</v>
      </c>
      <c r="B321" s="6" t="s">
        <v>338</v>
      </c>
      <c r="C321" s="6" t="n">
        <v>16</v>
      </c>
      <c r="D321" s="25" t="n">
        <f aca="false">EDATE('Start Here'!$B$6,C321-1)</f>
        <v>46784</v>
      </c>
      <c r="E321" s="11" t="n">
        <f aca="false">IF(AND(C321&gt;=Staffing!$F$11,C321&lt;=Staffing!$G$11,1=1),IF(C321&lt;=6,Staffing!$H$11,IF(C321&lt;=15,Staffing!$I$11,IF(C321&lt;=30,Staffing!$J$11,Staffing!$K$11))),0)</f>
        <v>0.25</v>
      </c>
      <c r="F321" s="10" t="n">
        <f aca="false">E321*Staffing!$L$11/12*(1+Assumptions!$C$10)^INT((C321-1)/12)*1</f>
        <v>4077.08333333333</v>
      </c>
      <c r="G321" s="10" t="n">
        <f aca="false">F321*Staffing!$N$11</f>
        <v>0</v>
      </c>
      <c r="H321" s="10" t="n">
        <f aca="false">F321+G321</f>
        <v>4077.08333333333</v>
      </c>
      <c r="I321" s="10" t="n">
        <f aca="false">0</f>
        <v>0</v>
      </c>
      <c r="J321" s="10" t="n">
        <f aca="false">MAX(0,E321-E320)*Staffing!$O$11</f>
        <v>0</v>
      </c>
      <c r="K321" s="10" t="n">
        <f aca="false">MAX(0,E321-E320)*Staffing!$P$11</f>
        <v>125</v>
      </c>
      <c r="L321" s="23" t="n">
        <f aca="false">ROUNDUP(E321,0)</f>
        <v>1</v>
      </c>
    </row>
    <row r="322" customFormat="false" ht="15" hidden="false" customHeight="false" outlineLevel="0" collapsed="false">
      <c r="A322" s="6" t="s">
        <v>72</v>
      </c>
      <c r="B322" s="6" t="s">
        <v>338</v>
      </c>
      <c r="C322" s="6" t="n">
        <v>17</v>
      </c>
      <c r="D322" s="25" t="n">
        <f aca="false">EDATE('Start Here'!$B$6,C322-1)</f>
        <v>46813</v>
      </c>
      <c r="E322" s="11" t="n">
        <f aca="false">IF(AND(C322&gt;=Staffing!$F$11,C322&lt;=Staffing!$G$11,1=1),IF(C322&lt;=6,Staffing!$H$11,IF(C322&lt;=15,Staffing!$I$11,IF(C322&lt;=30,Staffing!$J$11,Staffing!$K$11))),0)</f>
        <v>0.25</v>
      </c>
      <c r="F322" s="10" t="n">
        <f aca="false">E322*Staffing!$L$11/12*(1+Assumptions!$C$10)^INT((C322-1)/12)*1</f>
        <v>4077.08333333333</v>
      </c>
      <c r="G322" s="10" t="n">
        <f aca="false">F322*Staffing!$N$11</f>
        <v>0</v>
      </c>
      <c r="H322" s="10" t="n">
        <f aca="false">F322+G322</f>
        <v>4077.08333333333</v>
      </c>
      <c r="I322" s="10" t="n">
        <f aca="false">0</f>
        <v>0</v>
      </c>
      <c r="J322" s="10" t="n">
        <f aca="false">MAX(0,E322-E321)*Staffing!$O$11</f>
        <v>0</v>
      </c>
      <c r="K322" s="10" t="n">
        <f aca="false">MAX(0,E322-E321)*Staffing!$P$11</f>
        <v>0</v>
      </c>
      <c r="L322" s="23" t="n">
        <f aca="false">ROUNDUP(E322,0)</f>
        <v>1</v>
      </c>
    </row>
    <row r="323" customFormat="false" ht="15" hidden="false" customHeight="false" outlineLevel="0" collapsed="false">
      <c r="A323" s="6" t="s">
        <v>72</v>
      </c>
      <c r="B323" s="6" t="s">
        <v>338</v>
      </c>
      <c r="C323" s="6" t="n">
        <v>18</v>
      </c>
      <c r="D323" s="25" t="n">
        <f aca="false">EDATE('Start Here'!$B$6,C323-1)</f>
        <v>46844</v>
      </c>
      <c r="E323" s="11" t="n">
        <f aca="false">IF(AND(C323&gt;=Staffing!$F$11,C323&lt;=Staffing!$G$11,1=1),IF(C323&lt;=6,Staffing!$H$11,IF(C323&lt;=15,Staffing!$I$11,IF(C323&lt;=30,Staffing!$J$11,Staffing!$K$11))),0)</f>
        <v>0.25</v>
      </c>
      <c r="F323" s="10" t="n">
        <f aca="false">E323*Staffing!$L$11/12*(1+Assumptions!$C$10)^INT((C323-1)/12)*1</f>
        <v>4077.08333333333</v>
      </c>
      <c r="G323" s="10" t="n">
        <f aca="false">F323*Staffing!$N$11</f>
        <v>0</v>
      </c>
      <c r="H323" s="10" t="n">
        <f aca="false">F323+G323</f>
        <v>4077.08333333333</v>
      </c>
      <c r="I323" s="10" t="n">
        <f aca="false">0</f>
        <v>0</v>
      </c>
      <c r="J323" s="10" t="n">
        <f aca="false">MAX(0,E323-E322)*Staffing!$O$11</f>
        <v>0</v>
      </c>
      <c r="K323" s="10" t="n">
        <f aca="false">MAX(0,E323-E322)*Staffing!$P$11</f>
        <v>0</v>
      </c>
      <c r="L323" s="23" t="n">
        <f aca="false">ROUNDUP(E323,0)</f>
        <v>1</v>
      </c>
    </row>
    <row r="324" customFormat="false" ht="15" hidden="false" customHeight="false" outlineLevel="0" collapsed="false">
      <c r="A324" s="6" t="s">
        <v>72</v>
      </c>
      <c r="B324" s="6" t="s">
        <v>338</v>
      </c>
      <c r="C324" s="6" t="n">
        <v>19</v>
      </c>
      <c r="D324" s="25" t="n">
        <f aca="false">EDATE('Start Here'!$B$6,C324-1)</f>
        <v>46874</v>
      </c>
      <c r="E324" s="11" t="n">
        <f aca="false">IF(AND(C324&gt;=Staffing!$F$11,C324&lt;=Staffing!$G$11,1=1),IF(C324&lt;=6,Staffing!$H$11,IF(C324&lt;=15,Staffing!$I$11,IF(C324&lt;=30,Staffing!$J$11,Staffing!$K$11))),0)</f>
        <v>0.25</v>
      </c>
      <c r="F324" s="10" t="n">
        <f aca="false">E324*Staffing!$L$11/12*(1+Assumptions!$C$10)^INT((C324-1)/12)*1</f>
        <v>4077.08333333333</v>
      </c>
      <c r="G324" s="10" t="n">
        <f aca="false">F324*Staffing!$N$11</f>
        <v>0</v>
      </c>
      <c r="H324" s="10" t="n">
        <f aca="false">F324+G324</f>
        <v>4077.08333333333</v>
      </c>
      <c r="I324" s="10" t="n">
        <f aca="false">0</f>
        <v>0</v>
      </c>
      <c r="J324" s="10" t="n">
        <f aca="false">MAX(0,E324-E323)*Staffing!$O$11</f>
        <v>0</v>
      </c>
      <c r="K324" s="10" t="n">
        <f aca="false">MAX(0,E324-E323)*Staffing!$P$11</f>
        <v>0</v>
      </c>
      <c r="L324" s="23" t="n">
        <f aca="false">ROUNDUP(E324,0)</f>
        <v>1</v>
      </c>
    </row>
    <row r="325" customFormat="false" ht="15" hidden="false" customHeight="false" outlineLevel="0" collapsed="false">
      <c r="A325" s="6" t="s">
        <v>72</v>
      </c>
      <c r="B325" s="6" t="s">
        <v>338</v>
      </c>
      <c r="C325" s="6" t="n">
        <v>20</v>
      </c>
      <c r="D325" s="25" t="n">
        <f aca="false">EDATE('Start Here'!$B$6,C325-1)</f>
        <v>46905</v>
      </c>
      <c r="E325" s="11" t="n">
        <f aca="false">IF(AND(C325&gt;=Staffing!$F$11,C325&lt;=Staffing!$G$11,1=1),IF(C325&lt;=6,Staffing!$H$11,IF(C325&lt;=15,Staffing!$I$11,IF(C325&lt;=30,Staffing!$J$11,Staffing!$K$11))),0)</f>
        <v>0.25</v>
      </c>
      <c r="F325" s="10" t="n">
        <f aca="false">E325*Staffing!$L$11/12*(1+Assumptions!$C$10)^INT((C325-1)/12)*1</f>
        <v>4077.08333333333</v>
      </c>
      <c r="G325" s="10" t="n">
        <f aca="false">F325*Staffing!$N$11</f>
        <v>0</v>
      </c>
      <c r="H325" s="10" t="n">
        <f aca="false">F325+G325</f>
        <v>4077.08333333333</v>
      </c>
      <c r="I325" s="10" t="n">
        <f aca="false">0</f>
        <v>0</v>
      </c>
      <c r="J325" s="10" t="n">
        <f aca="false">MAX(0,E325-E324)*Staffing!$O$11</f>
        <v>0</v>
      </c>
      <c r="K325" s="10" t="n">
        <f aca="false">MAX(0,E325-E324)*Staffing!$P$11</f>
        <v>0</v>
      </c>
      <c r="L325" s="23" t="n">
        <f aca="false">ROUNDUP(E325,0)</f>
        <v>1</v>
      </c>
    </row>
    <row r="326" customFormat="false" ht="15" hidden="false" customHeight="false" outlineLevel="0" collapsed="false">
      <c r="A326" s="6" t="s">
        <v>72</v>
      </c>
      <c r="B326" s="6" t="s">
        <v>338</v>
      </c>
      <c r="C326" s="6" t="n">
        <v>21</v>
      </c>
      <c r="D326" s="25" t="n">
        <f aca="false">EDATE('Start Here'!$B$6,C326-1)</f>
        <v>46935</v>
      </c>
      <c r="E326" s="11" t="n">
        <f aca="false">IF(AND(C326&gt;=Staffing!$F$11,C326&lt;=Staffing!$G$11,1=1),IF(C326&lt;=6,Staffing!$H$11,IF(C326&lt;=15,Staffing!$I$11,IF(C326&lt;=30,Staffing!$J$11,Staffing!$K$11))),0)</f>
        <v>0.25</v>
      </c>
      <c r="F326" s="10" t="n">
        <f aca="false">E326*Staffing!$L$11/12*(1+Assumptions!$C$10)^INT((C326-1)/12)*1</f>
        <v>4077.08333333333</v>
      </c>
      <c r="G326" s="10" t="n">
        <f aca="false">F326*Staffing!$N$11</f>
        <v>0</v>
      </c>
      <c r="H326" s="10" t="n">
        <f aca="false">F326+G326</f>
        <v>4077.08333333333</v>
      </c>
      <c r="I326" s="10" t="n">
        <f aca="false">0</f>
        <v>0</v>
      </c>
      <c r="J326" s="10" t="n">
        <f aca="false">MAX(0,E326-E325)*Staffing!$O$11</f>
        <v>0</v>
      </c>
      <c r="K326" s="10" t="n">
        <f aca="false">MAX(0,E326-E325)*Staffing!$P$11</f>
        <v>0</v>
      </c>
      <c r="L326" s="23" t="n">
        <f aca="false">ROUNDUP(E326,0)</f>
        <v>1</v>
      </c>
    </row>
    <row r="327" customFormat="false" ht="15" hidden="false" customHeight="false" outlineLevel="0" collapsed="false">
      <c r="A327" s="6" t="s">
        <v>72</v>
      </c>
      <c r="B327" s="6" t="s">
        <v>338</v>
      </c>
      <c r="C327" s="6" t="n">
        <v>22</v>
      </c>
      <c r="D327" s="25" t="n">
        <f aca="false">EDATE('Start Here'!$B$6,C327-1)</f>
        <v>46966</v>
      </c>
      <c r="E327" s="11" t="n">
        <f aca="false">IF(AND(C327&gt;=Staffing!$F$11,C327&lt;=Staffing!$G$11,1=1),IF(C327&lt;=6,Staffing!$H$11,IF(C327&lt;=15,Staffing!$I$11,IF(C327&lt;=30,Staffing!$J$11,Staffing!$K$11))),0)</f>
        <v>0.25</v>
      </c>
      <c r="F327" s="10" t="n">
        <f aca="false">E327*Staffing!$L$11/12*(1+Assumptions!$C$10)^INT((C327-1)/12)*1</f>
        <v>4077.08333333333</v>
      </c>
      <c r="G327" s="10" t="n">
        <f aca="false">F327*Staffing!$N$11</f>
        <v>0</v>
      </c>
      <c r="H327" s="10" t="n">
        <f aca="false">F327+G327</f>
        <v>4077.08333333333</v>
      </c>
      <c r="I327" s="10" t="n">
        <f aca="false">0</f>
        <v>0</v>
      </c>
      <c r="J327" s="10" t="n">
        <f aca="false">MAX(0,E327-E326)*Staffing!$O$11</f>
        <v>0</v>
      </c>
      <c r="K327" s="10" t="n">
        <f aca="false">MAX(0,E327-E326)*Staffing!$P$11</f>
        <v>0</v>
      </c>
      <c r="L327" s="23" t="n">
        <f aca="false">ROUNDUP(E327,0)</f>
        <v>1</v>
      </c>
    </row>
    <row r="328" customFormat="false" ht="15" hidden="false" customHeight="false" outlineLevel="0" collapsed="false">
      <c r="A328" s="6" t="s">
        <v>72</v>
      </c>
      <c r="B328" s="6" t="s">
        <v>338</v>
      </c>
      <c r="C328" s="6" t="n">
        <v>23</v>
      </c>
      <c r="D328" s="25" t="n">
        <f aca="false">EDATE('Start Here'!$B$6,C328-1)</f>
        <v>46997</v>
      </c>
      <c r="E328" s="11" t="n">
        <f aca="false">IF(AND(C328&gt;=Staffing!$F$11,C328&lt;=Staffing!$G$11,1=1),IF(C328&lt;=6,Staffing!$H$11,IF(C328&lt;=15,Staffing!$I$11,IF(C328&lt;=30,Staffing!$J$11,Staffing!$K$11))),0)</f>
        <v>0.25</v>
      </c>
      <c r="F328" s="10" t="n">
        <f aca="false">E328*Staffing!$L$11/12*(1+Assumptions!$C$10)^INT((C328-1)/12)*1</f>
        <v>4077.08333333333</v>
      </c>
      <c r="G328" s="10" t="n">
        <f aca="false">F328*Staffing!$N$11</f>
        <v>0</v>
      </c>
      <c r="H328" s="10" t="n">
        <f aca="false">F328+G328</f>
        <v>4077.08333333333</v>
      </c>
      <c r="I328" s="10" t="n">
        <f aca="false">0</f>
        <v>0</v>
      </c>
      <c r="J328" s="10" t="n">
        <f aca="false">MAX(0,E328-E327)*Staffing!$O$11</f>
        <v>0</v>
      </c>
      <c r="K328" s="10" t="n">
        <f aca="false">MAX(0,E328-E327)*Staffing!$P$11</f>
        <v>0</v>
      </c>
      <c r="L328" s="23" t="n">
        <f aca="false">ROUNDUP(E328,0)</f>
        <v>1</v>
      </c>
    </row>
    <row r="329" customFormat="false" ht="15" hidden="false" customHeight="false" outlineLevel="0" collapsed="false">
      <c r="A329" s="6" t="s">
        <v>72</v>
      </c>
      <c r="B329" s="6" t="s">
        <v>338</v>
      </c>
      <c r="C329" s="6" t="n">
        <v>24</v>
      </c>
      <c r="D329" s="25" t="n">
        <f aca="false">EDATE('Start Here'!$B$6,C329-1)</f>
        <v>47027</v>
      </c>
      <c r="E329" s="11" t="n">
        <f aca="false">IF(AND(C329&gt;=Staffing!$F$11,C329&lt;=Staffing!$G$11,1=1),IF(C329&lt;=6,Staffing!$H$11,IF(C329&lt;=15,Staffing!$I$11,IF(C329&lt;=30,Staffing!$J$11,Staffing!$K$11))),0)</f>
        <v>0.25</v>
      </c>
      <c r="F329" s="10" t="n">
        <f aca="false">E329*Staffing!$L$11/12*(1+Assumptions!$C$10)^INT((C329-1)/12)*1</f>
        <v>4077.08333333333</v>
      </c>
      <c r="G329" s="10" t="n">
        <f aca="false">F329*Staffing!$N$11</f>
        <v>0</v>
      </c>
      <c r="H329" s="10" t="n">
        <f aca="false">F329+G329</f>
        <v>4077.08333333333</v>
      </c>
      <c r="I329" s="10" t="n">
        <f aca="false">0</f>
        <v>0</v>
      </c>
      <c r="J329" s="10" t="n">
        <f aca="false">MAX(0,E329-E328)*Staffing!$O$11</f>
        <v>0</v>
      </c>
      <c r="K329" s="10" t="n">
        <f aca="false">MAX(0,E329-E328)*Staffing!$P$11</f>
        <v>0</v>
      </c>
      <c r="L329" s="23" t="n">
        <f aca="false">ROUNDUP(E329,0)</f>
        <v>1</v>
      </c>
    </row>
    <row r="330" customFormat="false" ht="15" hidden="false" customHeight="false" outlineLevel="0" collapsed="false">
      <c r="A330" s="6" t="s">
        <v>72</v>
      </c>
      <c r="B330" s="6" t="s">
        <v>338</v>
      </c>
      <c r="C330" s="6" t="n">
        <v>25</v>
      </c>
      <c r="D330" s="25" t="n">
        <f aca="false">EDATE('Start Here'!$B$6,C330-1)</f>
        <v>47058</v>
      </c>
      <c r="E330" s="11" t="n">
        <f aca="false">IF(AND(C330&gt;=Staffing!$F$11,C330&lt;=Staffing!$G$11,1=1),IF(C330&lt;=6,Staffing!$H$11,IF(C330&lt;=15,Staffing!$I$11,IF(C330&lt;=30,Staffing!$J$11,Staffing!$K$11))),0)</f>
        <v>0.25</v>
      </c>
      <c r="F330" s="10" t="n">
        <f aca="false">E330*Staffing!$L$11/12*(1+Assumptions!$C$10)^INT((C330-1)/12)*1</f>
        <v>4199.39583333333</v>
      </c>
      <c r="G330" s="10" t="n">
        <f aca="false">F330*Staffing!$N$11</f>
        <v>0</v>
      </c>
      <c r="H330" s="10" t="n">
        <f aca="false">F330+G330</f>
        <v>4199.39583333333</v>
      </c>
      <c r="I330" s="10" t="n">
        <f aca="false">0</f>
        <v>0</v>
      </c>
      <c r="J330" s="10" t="n">
        <f aca="false">MAX(0,E330-E329)*Staffing!$O$11</f>
        <v>0</v>
      </c>
      <c r="K330" s="10" t="n">
        <f aca="false">MAX(0,E330-E329)*Staffing!$P$11</f>
        <v>0</v>
      </c>
      <c r="L330" s="23" t="n">
        <f aca="false">ROUNDUP(E330,0)</f>
        <v>1</v>
      </c>
    </row>
    <row r="331" customFormat="false" ht="15" hidden="false" customHeight="false" outlineLevel="0" collapsed="false">
      <c r="A331" s="6" t="s">
        <v>72</v>
      </c>
      <c r="B331" s="6" t="s">
        <v>338</v>
      </c>
      <c r="C331" s="6" t="n">
        <v>26</v>
      </c>
      <c r="D331" s="25" t="n">
        <f aca="false">EDATE('Start Here'!$B$6,C331-1)</f>
        <v>47088</v>
      </c>
      <c r="E331" s="11" t="n">
        <f aca="false">IF(AND(C331&gt;=Staffing!$F$11,C331&lt;=Staffing!$G$11,1=1),IF(C331&lt;=6,Staffing!$H$11,IF(C331&lt;=15,Staffing!$I$11,IF(C331&lt;=30,Staffing!$J$11,Staffing!$K$11))),0)</f>
        <v>0.25</v>
      </c>
      <c r="F331" s="10" t="n">
        <f aca="false">E331*Staffing!$L$11/12*(1+Assumptions!$C$10)^INT((C331-1)/12)*1</f>
        <v>4199.39583333333</v>
      </c>
      <c r="G331" s="10" t="n">
        <f aca="false">F331*Staffing!$N$11</f>
        <v>0</v>
      </c>
      <c r="H331" s="10" t="n">
        <f aca="false">F331+G331</f>
        <v>4199.39583333333</v>
      </c>
      <c r="I331" s="10" t="n">
        <f aca="false">0</f>
        <v>0</v>
      </c>
      <c r="J331" s="10" t="n">
        <f aca="false">MAX(0,E331-E330)*Staffing!$O$11</f>
        <v>0</v>
      </c>
      <c r="K331" s="10" t="n">
        <f aca="false">MAX(0,E331-E330)*Staffing!$P$11</f>
        <v>0</v>
      </c>
      <c r="L331" s="23" t="n">
        <f aca="false">ROUNDUP(E331,0)</f>
        <v>1</v>
      </c>
    </row>
    <row r="332" customFormat="false" ht="15" hidden="false" customHeight="false" outlineLevel="0" collapsed="false">
      <c r="A332" s="6" t="s">
        <v>72</v>
      </c>
      <c r="B332" s="6" t="s">
        <v>338</v>
      </c>
      <c r="C332" s="6" t="n">
        <v>27</v>
      </c>
      <c r="D332" s="25" t="n">
        <f aca="false">EDATE('Start Here'!$B$6,C332-1)</f>
        <v>47119</v>
      </c>
      <c r="E332" s="11" t="n">
        <f aca="false">IF(AND(C332&gt;=Staffing!$F$11,C332&lt;=Staffing!$G$11,1=1),IF(C332&lt;=6,Staffing!$H$11,IF(C332&lt;=15,Staffing!$I$11,IF(C332&lt;=30,Staffing!$J$11,Staffing!$K$11))),0)</f>
        <v>0.25</v>
      </c>
      <c r="F332" s="10" t="n">
        <f aca="false">E332*Staffing!$L$11/12*(1+Assumptions!$C$10)^INT((C332-1)/12)*1</f>
        <v>4199.39583333333</v>
      </c>
      <c r="G332" s="10" t="n">
        <f aca="false">F332*Staffing!$N$11</f>
        <v>0</v>
      </c>
      <c r="H332" s="10" t="n">
        <f aca="false">F332+G332</f>
        <v>4199.39583333333</v>
      </c>
      <c r="I332" s="10" t="n">
        <f aca="false">0</f>
        <v>0</v>
      </c>
      <c r="J332" s="10" t="n">
        <f aca="false">MAX(0,E332-E331)*Staffing!$O$11</f>
        <v>0</v>
      </c>
      <c r="K332" s="10" t="n">
        <f aca="false">MAX(0,E332-E331)*Staffing!$P$11</f>
        <v>0</v>
      </c>
      <c r="L332" s="23" t="n">
        <f aca="false">ROUNDUP(E332,0)</f>
        <v>1</v>
      </c>
    </row>
    <row r="333" customFormat="false" ht="15" hidden="false" customHeight="false" outlineLevel="0" collapsed="false">
      <c r="A333" s="6" t="s">
        <v>72</v>
      </c>
      <c r="B333" s="6" t="s">
        <v>338</v>
      </c>
      <c r="C333" s="6" t="n">
        <v>28</v>
      </c>
      <c r="D333" s="25" t="n">
        <f aca="false">EDATE('Start Here'!$B$6,C333-1)</f>
        <v>47150</v>
      </c>
      <c r="E333" s="11" t="n">
        <f aca="false">IF(AND(C333&gt;=Staffing!$F$11,C333&lt;=Staffing!$G$11,1=1),IF(C333&lt;=6,Staffing!$H$11,IF(C333&lt;=15,Staffing!$I$11,IF(C333&lt;=30,Staffing!$J$11,Staffing!$K$11))),0)</f>
        <v>0.25</v>
      </c>
      <c r="F333" s="10" t="n">
        <f aca="false">E333*Staffing!$L$11/12*(1+Assumptions!$C$10)^INT((C333-1)/12)*1</f>
        <v>4199.39583333333</v>
      </c>
      <c r="G333" s="10" t="n">
        <f aca="false">F333*Staffing!$N$11</f>
        <v>0</v>
      </c>
      <c r="H333" s="10" t="n">
        <f aca="false">F333+G333</f>
        <v>4199.39583333333</v>
      </c>
      <c r="I333" s="10" t="n">
        <f aca="false">0</f>
        <v>0</v>
      </c>
      <c r="J333" s="10" t="n">
        <f aca="false">MAX(0,E333-E332)*Staffing!$O$11</f>
        <v>0</v>
      </c>
      <c r="K333" s="10" t="n">
        <f aca="false">MAX(0,E333-E332)*Staffing!$P$11</f>
        <v>0</v>
      </c>
      <c r="L333" s="23" t="n">
        <f aca="false">ROUNDUP(E333,0)</f>
        <v>1</v>
      </c>
    </row>
    <row r="334" customFormat="false" ht="15" hidden="false" customHeight="false" outlineLevel="0" collapsed="false">
      <c r="A334" s="6" t="s">
        <v>72</v>
      </c>
      <c r="B334" s="6" t="s">
        <v>338</v>
      </c>
      <c r="C334" s="6" t="n">
        <v>29</v>
      </c>
      <c r="D334" s="25" t="n">
        <f aca="false">EDATE('Start Here'!$B$6,C334-1)</f>
        <v>47178</v>
      </c>
      <c r="E334" s="11" t="n">
        <f aca="false">IF(AND(C334&gt;=Staffing!$F$11,C334&lt;=Staffing!$G$11,1=1),IF(C334&lt;=6,Staffing!$H$11,IF(C334&lt;=15,Staffing!$I$11,IF(C334&lt;=30,Staffing!$J$11,Staffing!$K$11))),0)</f>
        <v>0.25</v>
      </c>
      <c r="F334" s="10" t="n">
        <f aca="false">E334*Staffing!$L$11/12*(1+Assumptions!$C$10)^INT((C334-1)/12)*1</f>
        <v>4199.39583333333</v>
      </c>
      <c r="G334" s="10" t="n">
        <f aca="false">F334*Staffing!$N$11</f>
        <v>0</v>
      </c>
      <c r="H334" s="10" t="n">
        <f aca="false">F334+G334</f>
        <v>4199.39583333333</v>
      </c>
      <c r="I334" s="10" t="n">
        <f aca="false">0</f>
        <v>0</v>
      </c>
      <c r="J334" s="10" t="n">
        <f aca="false">MAX(0,E334-E333)*Staffing!$O$11</f>
        <v>0</v>
      </c>
      <c r="K334" s="10" t="n">
        <f aca="false">MAX(0,E334-E333)*Staffing!$P$11</f>
        <v>0</v>
      </c>
      <c r="L334" s="23" t="n">
        <f aca="false">ROUNDUP(E334,0)</f>
        <v>1</v>
      </c>
    </row>
    <row r="335" customFormat="false" ht="15" hidden="false" customHeight="false" outlineLevel="0" collapsed="false">
      <c r="A335" s="6" t="s">
        <v>72</v>
      </c>
      <c r="B335" s="6" t="s">
        <v>338</v>
      </c>
      <c r="C335" s="6" t="n">
        <v>30</v>
      </c>
      <c r="D335" s="25" t="n">
        <f aca="false">EDATE('Start Here'!$B$6,C335-1)</f>
        <v>47209</v>
      </c>
      <c r="E335" s="11" t="n">
        <f aca="false">IF(AND(C335&gt;=Staffing!$F$11,C335&lt;=Staffing!$G$11,1=1),IF(C335&lt;=6,Staffing!$H$11,IF(C335&lt;=15,Staffing!$I$11,IF(C335&lt;=30,Staffing!$J$11,Staffing!$K$11))),0)</f>
        <v>0.25</v>
      </c>
      <c r="F335" s="10" t="n">
        <f aca="false">E335*Staffing!$L$11/12*(1+Assumptions!$C$10)^INT((C335-1)/12)*1</f>
        <v>4199.39583333333</v>
      </c>
      <c r="G335" s="10" t="n">
        <f aca="false">F335*Staffing!$N$11</f>
        <v>0</v>
      </c>
      <c r="H335" s="10" t="n">
        <f aca="false">F335+G335</f>
        <v>4199.39583333333</v>
      </c>
      <c r="I335" s="10" t="n">
        <f aca="false">0</f>
        <v>0</v>
      </c>
      <c r="J335" s="10" t="n">
        <f aca="false">MAX(0,E335-E334)*Staffing!$O$11</f>
        <v>0</v>
      </c>
      <c r="K335" s="10" t="n">
        <f aca="false">MAX(0,E335-E334)*Staffing!$P$11</f>
        <v>0</v>
      </c>
      <c r="L335" s="23" t="n">
        <f aca="false">ROUNDUP(E335,0)</f>
        <v>1</v>
      </c>
    </row>
    <row r="336" customFormat="false" ht="15" hidden="false" customHeight="false" outlineLevel="0" collapsed="false">
      <c r="A336" s="6" t="s">
        <v>72</v>
      </c>
      <c r="B336" s="6" t="s">
        <v>338</v>
      </c>
      <c r="C336" s="6" t="n">
        <v>31</v>
      </c>
      <c r="D336" s="25" t="n">
        <f aca="false">EDATE('Start Here'!$B$6,C336-1)</f>
        <v>47239</v>
      </c>
      <c r="E336" s="11" t="n">
        <f aca="false">IF(AND(C336&gt;=Staffing!$F$11,C336&lt;=Staffing!$G$11,1=1),IF(C336&lt;=6,Staffing!$H$11,IF(C336&lt;=15,Staffing!$I$11,IF(C336&lt;=30,Staffing!$J$11,Staffing!$K$11))),0)</f>
        <v>0.5</v>
      </c>
      <c r="F336" s="10" t="n">
        <f aca="false">E336*Staffing!$L$11/12*(1+Assumptions!$C$10)^INT((C336-1)/12)*1</f>
        <v>8398.79166666667</v>
      </c>
      <c r="G336" s="10" t="n">
        <f aca="false">F336*Staffing!$N$11</f>
        <v>0</v>
      </c>
      <c r="H336" s="10" t="n">
        <f aca="false">F336+G336</f>
        <v>8398.79166666667</v>
      </c>
      <c r="I336" s="10" t="n">
        <f aca="false">0</f>
        <v>0</v>
      </c>
      <c r="J336" s="10" t="n">
        <f aca="false">MAX(0,E336-E335)*Staffing!$O$11</f>
        <v>0</v>
      </c>
      <c r="K336" s="10" t="n">
        <f aca="false">MAX(0,E336-E335)*Staffing!$P$11</f>
        <v>625</v>
      </c>
      <c r="L336" s="23" t="n">
        <f aca="false">ROUNDUP(E336,0)</f>
        <v>1</v>
      </c>
    </row>
    <row r="337" customFormat="false" ht="15" hidden="false" customHeight="false" outlineLevel="0" collapsed="false">
      <c r="A337" s="6" t="s">
        <v>72</v>
      </c>
      <c r="B337" s="6" t="s">
        <v>338</v>
      </c>
      <c r="C337" s="6" t="n">
        <v>32</v>
      </c>
      <c r="D337" s="25" t="n">
        <f aca="false">EDATE('Start Here'!$B$6,C337-1)</f>
        <v>47270</v>
      </c>
      <c r="E337" s="11" t="n">
        <f aca="false">IF(AND(C337&gt;=Staffing!$F$11,C337&lt;=Staffing!$G$11,1=1),IF(C337&lt;=6,Staffing!$H$11,IF(C337&lt;=15,Staffing!$I$11,IF(C337&lt;=30,Staffing!$J$11,Staffing!$K$11))),0)</f>
        <v>0.5</v>
      </c>
      <c r="F337" s="10" t="n">
        <f aca="false">E337*Staffing!$L$11/12*(1+Assumptions!$C$10)^INT((C337-1)/12)*1</f>
        <v>8398.79166666667</v>
      </c>
      <c r="G337" s="10" t="n">
        <f aca="false">F337*Staffing!$N$11</f>
        <v>0</v>
      </c>
      <c r="H337" s="10" t="n">
        <f aca="false">F337+G337</f>
        <v>8398.79166666667</v>
      </c>
      <c r="I337" s="10" t="n">
        <f aca="false">0</f>
        <v>0</v>
      </c>
      <c r="J337" s="10" t="n">
        <f aca="false">MAX(0,E337-E336)*Staffing!$O$11</f>
        <v>0</v>
      </c>
      <c r="K337" s="10" t="n">
        <f aca="false">MAX(0,E337-E336)*Staffing!$P$11</f>
        <v>0</v>
      </c>
      <c r="L337" s="23" t="n">
        <f aca="false">ROUNDUP(E337,0)</f>
        <v>1</v>
      </c>
    </row>
    <row r="338" customFormat="false" ht="15" hidden="false" customHeight="false" outlineLevel="0" collapsed="false">
      <c r="A338" s="6" t="s">
        <v>72</v>
      </c>
      <c r="B338" s="6" t="s">
        <v>338</v>
      </c>
      <c r="C338" s="6" t="n">
        <v>33</v>
      </c>
      <c r="D338" s="25" t="n">
        <f aca="false">EDATE('Start Here'!$B$6,C338-1)</f>
        <v>47300</v>
      </c>
      <c r="E338" s="11" t="n">
        <f aca="false">IF(AND(C338&gt;=Staffing!$F$11,C338&lt;=Staffing!$G$11,1=1),IF(C338&lt;=6,Staffing!$H$11,IF(C338&lt;=15,Staffing!$I$11,IF(C338&lt;=30,Staffing!$J$11,Staffing!$K$11))),0)</f>
        <v>0.5</v>
      </c>
      <c r="F338" s="10" t="n">
        <f aca="false">E338*Staffing!$L$11/12*(1+Assumptions!$C$10)^INT((C338-1)/12)*1</f>
        <v>8398.79166666667</v>
      </c>
      <c r="G338" s="10" t="n">
        <f aca="false">F338*Staffing!$N$11</f>
        <v>0</v>
      </c>
      <c r="H338" s="10" t="n">
        <f aca="false">F338+G338</f>
        <v>8398.79166666667</v>
      </c>
      <c r="I338" s="10" t="n">
        <f aca="false">0</f>
        <v>0</v>
      </c>
      <c r="J338" s="10" t="n">
        <f aca="false">MAX(0,E338-E337)*Staffing!$O$11</f>
        <v>0</v>
      </c>
      <c r="K338" s="10" t="n">
        <f aca="false">MAX(0,E338-E337)*Staffing!$P$11</f>
        <v>0</v>
      </c>
      <c r="L338" s="23" t="n">
        <f aca="false">ROUNDUP(E338,0)</f>
        <v>1</v>
      </c>
    </row>
    <row r="339" customFormat="false" ht="15" hidden="false" customHeight="false" outlineLevel="0" collapsed="false">
      <c r="A339" s="6" t="s">
        <v>72</v>
      </c>
      <c r="B339" s="6" t="s">
        <v>338</v>
      </c>
      <c r="C339" s="6" t="n">
        <v>34</v>
      </c>
      <c r="D339" s="25" t="n">
        <f aca="false">EDATE('Start Here'!$B$6,C339-1)</f>
        <v>47331</v>
      </c>
      <c r="E339" s="11" t="n">
        <f aca="false">IF(AND(C339&gt;=Staffing!$F$11,C339&lt;=Staffing!$G$11,1=1),IF(C339&lt;=6,Staffing!$H$11,IF(C339&lt;=15,Staffing!$I$11,IF(C339&lt;=30,Staffing!$J$11,Staffing!$K$11))),0)</f>
        <v>0.5</v>
      </c>
      <c r="F339" s="10" t="n">
        <f aca="false">E339*Staffing!$L$11/12*(1+Assumptions!$C$10)^INT((C339-1)/12)*1</f>
        <v>8398.79166666667</v>
      </c>
      <c r="G339" s="10" t="n">
        <f aca="false">F339*Staffing!$N$11</f>
        <v>0</v>
      </c>
      <c r="H339" s="10" t="n">
        <f aca="false">F339+G339</f>
        <v>8398.79166666667</v>
      </c>
      <c r="I339" s="10" t="n">
        <f aca="false">0</f>
        <v>0</v>
      </c>
      <c r="J339" s="10" t="n">
        <f aca="false">MAX(0,E339-E338)*Staffing!$O$11</f>
        <v>0</v>
      </c>
      <c r="K339" s="10" t="n">
        <f aca="false">MAX(0,E339-E338)*Staffing!$P$11</f>
        <v>0</v>
      </c>
      <c r="L339" s="23" t="n">
        <f aca="false">ROUNDUP(E339,0)</f>
        <v>1</v>
      </c>
    </row>
    <row r="340" customFormat="false" ht="15" hidden="false" customHeight="false" outlineLevel="0" collapsed="false">
      <c r="A340" s="6" t="s">
        <v>72</v>
      </c>
      <c r="B340" s="6" t="s">
        <v>338</v>
      </c>
      <c r="C340" s="6" t="n">
        <v>35</v>
      </c>
      <c r="D340" s="25" t="n">
        <f aca="false">EDATE('Start Here'!$B$6,C340-1)</f>
        <v>47362</v>
      </c>
      <c r="E340" s="11" t="n">
        <f aca="false">IF(AND(C340&gt;=Staffing!$F$11,C340&lt;=Staffing!$G$11,1=1),IF(C340&lt;=6,Staffing!$H$11,IF(C340&lt;=15,Staffing!$I$11,IF(C340&lt;=30,Staffing!$J$11,Staffing!$K$11))),0)</f>
        <v>0.5</v>
      </c>
      <c r="F340" s="10" t="n">
        <f aca="false">E340*Staffing!$L$11/12*(1+Assumptions!$C$10)^INT((C340-1)/12)*1</f>
        <v>8398.79166666667</v>
      </c>
      <c r="G340" s="10" t="n">
        <f aca="false">F340*Staffing!$N$11</f>
        <v>0</v>
      </c>
      <c r="H340" s="10" t="n">
        <f aca="false">F340+G340</f>
        <v>8398.79166666667</v>
      </c>
      <c r="I340" s="10" t="n">
        <f aca="false">0</f>
        <v>0</v>
      </c>
      <c r="J340" s="10" t="n">
        <f aca="false">MAX(0,E340-E339)*Staffing!$O$11</f>
        <v>0</v>
      </c>
      <c r="K340" s="10" t="n">
        <f aca="false">MAX(0,E340-E339)*Staffing!$P$11</f>
        <v>0</v>
      </c>
      <c r="L340" s="23" t="n">
        <f aca="false">ROUNDUP(E340,0)</f>
        <v>1</v>
      </c>
    </row>
    <row r="341" customFormat="false" ht="15" hidden="false" customHeight="false" outlineLevel="0" collapsed="false">
      <c r="A341" s="6" t="s">
        <v>72</v>
      </c>
      <c r="B341" s="6" t="s">
        <v>338</v>
      </c>
      <c r="C341" s="6" t="n">
        <v>36</v>
      </c>
      <c r="D341" s="25" t="n">
        <f aca="false">EDATE('Start Here'!$B$6,C341-1)</f>
        <v>47392</v>
      </c>
      <c r="E341" s="11" t="n">
        <f aca="false">IF(AND(C341&gt;=Staffing!$F$11,C341&lt;=Staffing!$G$11,1=1),IF(C341&lt;=6,Staffing!$H$11,IF(C341&lt;=15,Staffing!$I$11,IF(C341&lt;=30,Staffing!$J$11,Staffing!$K$11))),0)</f>
        <v>0.5</v>
      </c>
      <c r="F341" s="10" t="n">
        <f aca="false">E341*Staffing!$L$11/12*(1+Assumptions!$C$10)^INT((C341-1)/12)*1</f>
        <v>8398.79166666667</v>
      </c>
      <c r="G341" s="10" t="n">
        <f aca="false">F341*Staffing!$N$11</f>
        <v>0</v>
      </c>
      <c r="H341" s="10" t="n">
        <f aca="false">F341+G341</f>
        <v>8398.79166666667</v>
      </c>
      <c r="I341" s="10" t="n">
        <f aca="false">0</f>
        <v>0</v>
      </c>
      <c r="J341" s="10" t="n">
        <f aca="false">MAX(0,E341-E340)*Staffing!$O$11</f>
        <v>0</v>
      </c>
      <c r="K341" s="10" t="n">
        <f aca="false">MAX(0,E341-E340)*Staffing!$P$11</f>
        <v>0</v>
      </c>
      <c r="L341" s="23" t="n">
        <f aca="false">ROUNDUP(E341,0)</f>
        <v>1</v>
      </c>
    </row>
    <row r="342" customFormat="false" ht="15" hidden="false" customHeight="false" outlineLevel="0" collapsed="false">
      <c r="A342" s="6" t="s">
        <v>72</v>
      </c>
      <c r="B342" s="6" t="s">
        <v>338</v>
      </c>
      <c r="C342" s="6" t="n">
        <v>37</v>
      </c>
      <c r="D342" s="25" t="n">
        <f aca="false">EDATE('Start Here'!$B$6,C342-1)</f>
        <v>47423</v>
      </c>
      <c r="E342" s="11" t="n">
        <f aca="false">IF(AND(C342&gt;=Staffing!$F$11,C342&lt;=Staffing!$G$11,1=1),IF(C342&lt;=6,Staffing!$H$11,IF(C342&lt;=15,Staffing!$I$11,IF(C342&lt;=30,Staffing!$J$11,Staffing!$K$11))),0)</f>
        <v>0.5</v>
      </c>
      <c r="F342" s="10" t="n">
        <f aca="false">E342*Staffing!$L$11/12*(1+Assumptions!$C$10)^INT((C342-1)/12)*1</f>
        <v>8650.75541666667</v>
      </c>
      <c r="G342" s="10" t="n">
        <f aca="false">F342*Staffing!$N$11</f>
        <v>0</v>
      </c>
      <c r="H342" s="10" t="n">
        <f aca="false">F342+G342</f>
        <v>8650.75541666667</v>
      </c>
      <c r="I342" s="10" t="n">
        <f aca="false">0</f>
        <v>0</v>
      </c>
      <c r="J342" s="10" t="n">
        <f aca="false">MAX(0,E342-E341)*Staffing!$O$11</f>
        <v>0</v>
      </c>
      <c r="K342" s="10" t="n">
        <f aca="false">MAX(0,E342-E341)*Staffing!$P$11</f>
        <v>0</v>
      </c>
      <c r="L342" s="23" t="n">
        <f aca="false">ROUNDUP(E342,0)</f>
        <v>1</v>
      </c>
    </row>
    <row r="343" customFormat="false" ht="15" hidden="false" customHeight="false" outlineLevel="0" collapsed="false">
      <c r="A343" s="6" t="s">
        <v>72</v>
      </c>
      <c r="B343" s="6" t="s">
        <v>338</v>
      </c>
      <c r="C343" s="6" t="n">
        <v>38</v>
      </c>
      <c r="D343" s="25" t="n">
        <f aca="false">EDATE('Start Here'!$B$6,C343-1)</f>
        <v>47453</v>
      </c>
      <c r="E343" s="11" t="n">
        <f aca="false">IF(AND(C343&gt;=Staffing!$F$11,C343&lt;=Staffing!$G$11,1=1),IF(C343&lt;=6,Staffing!$H$11,IF(C343&lt;=15,Staffing!$I$11,IF(C343&lt;=30,Staffing!$J$11,Staffing!$K$11))),0)</f>
        <v>0.5</v>
      </c>
      <c r="F343" s="10" t="n">
        <f aca="false">E343*Staffing!$L$11/12*(1+Assumptions!$C$10)^INT((C343-1)/12)*1</f>
        <v>8650.75541666667</v>
      </c>
      <c r="G343" s="10" t="n">
        <f aca="false">F343*Staffing!$N$11</f>
        <v>0</v>
      </c>
      <c r="H343" s="10" t="n">
        <f aca="false">F343+G343</f>
        <v>8650.75541666667</v>
      </c>
      <c r="I343" s="10" t="n">
        <f aca="false">0</f>
        <v>0</v>
      </c>
      <c r="J343" s="10" t="n">
        <f aca="false">MAX(0,E343-E342)*Staffing!$O$11</f>
        <v>0</v>
      </c>
      <c r="K343" s="10" t="n">
        <f aca="false">MAX(0,E343-E342)*Staffing!$P$11</f>
        <v>0</v>
      </c>
      <c r="L343" s="23" t="n">
        <f aca="false">ROUNDUP(E343,0)</f>
        <v>1</v>
      </c>
    </row>
    <row r="344" customFormat="false" ht="15" hidden="false" customHeight="false" outlineLevel="0" collapsed="false">
      <c r="A344" s="6" t="s">
        <v>72</v>
      </c>
      <c r="B344" s="6" t="s">
        <v>338</v>
      </c>
      <c r="C344" s="6" t="n">
        <v>39</v>
      </c>
      <c r="D344" s="25" t="n">
        <f aca="false">EDATE('Start Here'!$B$6,C344-1)</f>
        <v>47484</v>
      </c>
      <c r="E344" s="11" t="n">
        <f aca="false">IF(AND(C344&gt;=Staffing!$F$11,C344&lt;=Staffing!$G$11,1=1),IF(C344&lt;=6,Staffing!$H$11,IF(C344&lt;=15,Staffing!$I$11,IF(C344&lt;=30,Staffing!$J$11,Staffing!$K$11))),0)</f>
        <v>0.5</v>
      </c>
      <c r="F344" s="10" t="n">
        <f aca="false">E344*Staffing!$L$11/12*(1+Assumptions!$C$10)^INT((C344-1)/12)*1</f>
        <v>8650.75541666667</v>
      </c>
      <c r="G344" s="10" t="n">
        <f aca="false">F344*Staffing!$N$11</f>
        <v>0</v>
      </c>
      <c r="H344" s="10" t="n">
        <f aca="false">F344+G344</f>
        <v>8650.75541666667</v>
      </c>
      <c r="I344" s="10" t="n">
        <f aca="false">0</f>
        <v>0</v>
      </c>
      <c r="J344" s="10" t="n">
        <f aca="false">MAX(0,E344-E343)*Staffing!$O$11</f>
        <v>0</v>
      </c>
      <c r="K344" s="10" t="n">
        <f aca="false">MAX(0,E344-E343)*Staffing!$P$11</f>
        <v>0</v>
      </c>
      <c r="L344" s="23" t="n">
        <f aca="false">ROUNDUP(E344,0)</f>
        <v>1</v>
      </c>
    </row>
    <row r="345" customFormat="false" ht="15" hidden="false" customHeight="false" outlineLevel="0" collapsed="false">
      <c r="A345" s="6" t="s">
        <v>72</v>
      </c>
      <c r="B345" s="6" t="s">
        <v>338</v>
      </c>
      <c r="C345" s="6" t="n">
        <v>40</v>
      </c>
      <c r="D345" s="25" t="n">
        <f aca="false">EDATE('Start Here'!$B$6,C345-1)</f>
        <v>47515</v>
      </c>
      <c r="E345" s="11" t="n">
        <f aca="false">IF(AND(C345&gt;=Staffing!$F$11,C345&lt;=Staffing!$G$11,1=1),IF(C345&lt;=6,Staffing!$H$11,IF(C345&lt;=15,Staffing!$I$11,IF(C345&lt;=30,Staffing!$J$11,Staffing!$K$11))),0)</f>
        <v>0.5</v>
      </c>
      <c r="F345" s="10" t="n">
        <f aca="false">E345*Staffing!$L$11/12*(1+Assumptions!$C$10)^INT((C345-1)/12)*1</f>
        <v>8650.75541666667</v>
      </c>
      <c r="G345" s="10" t="n">
        <f aca="false">F345*Staffing!$N$11</f>
        <v>0</v>
      </c>
      <c r="H345" s="10" t="n">
        <f aca="false">F345+G345</f>
        <v>8650.75541666667</v>
      </c>
      <c r="I345" s="10" t="n">
        <f aca="false">0</f>
        <v>0</v>
      </c>
      <c r="J345" s="10" t="n">
        <f aca="false">MAX(0,E345-E344)*Staffing!$O$11</f>
        <v>0</v>
      </c>
      <c r="K345" s="10" t="n">
        <f aca="false">MAX(0,E345-E344)*Staffing!$P$11</f>
        <v>0</v>
      </c>
      <c r="L345" s="23" t="n">
        <f aca="false">ROUNDUP(E345,0)</f>
        <v>1</v>
      </c>
    </row>
    <row r="346" customFormat="false" ht="15" hidden="false" customHeight="false" outlineLevel="0" collapsed="false">
      <c r="A346" s="6" t="s">
        <v>72</v>
      </c>
      <c r="B346" s="6" t="s">
        <v>338</v>
      </c>
      <c r="C346" s="6" t="n">
        <v>41</v>
      </c>
      <c r="D346" s="25" t="n">
        <f aca="false">EDATE('Start Here'!$B$6,C346-1)</f>
        <v>47543</v>
      </c>
      <c r="E346" s="11" t="n">
        <f aca="false">IF(AND(C346&gt;=Staffing!$F$11,C346&lt;=Staffing!$G$11,1=1),IF(C346&lt;=6,Staffing!$H$11,IF(C346&lt;=15,Staffing!$I$11,IF(C346&lt;=30,Staffing!$J$11,Staffing!$K$11))),0)</f>
        <v>0.5</v>
      </c>
      <c r="F346" s="10" t="n">
        <f aca="false">E346*Staffing!$L$11/12*(1+Assumptions!$C$10)^INT((C346-1)/12)*1</f>
        <v>8650.75541666667</v>
      </c>
      <c r="G346" s="10" t="n">
        <f aca="false">F346*Staffing!$N$11</f>
        <v>0</v>
      </c>
      <c r="H346" s="10" t="n">
        <f aca="false">F346+G346</f>
        <v>8650.75541666667</v>
      </c>
      <c r="I346" s="10" t="n">
        <f aca="false">0</f>
        <v>0</v>
      </c>
      <c r="J346" s="10" t="n">
        <f aca="false">MAX(0,E346-E345)*Staffing!$O$11</f>
        <v>0</v>
      </c>
      <c r="K346" s="10" t="n">
        <f aca="false">MAX(0,E346-E345)*Staffing!$P$11</f>
        <v>0</v>
      </c>
      <c r="L346" s="23" t="n">
        <f aca="false">ROUNDUP(E346,0)</f>
        <v>1</v>
      </c>
    </row>
    <row r="347" customFormat="false" ht="15" hidden="false" customHeight="false" outlineLevel="0" collapsed="false">
      <c r="A347" s="6" t="s">
        <v>72</v>
      </c>
      <c r="B347" s="6" t="s">
        <v>338</v>
      </c>
      <c r="C347" s="6" t="n">
        <v>42</v>
      </c>
      <c r="D347" s="25" t="n">
        <f aca="false">EDATE('Start Here'!$B$6,C347-1)</f>
        <v>47574</v>
      </c>
      <c r="E347" s="11" t="n">
        <f aca="false">IF(AND(C347&gt;=Staffing!$F$11,C347&lt;=Staffing!$G$11,1=1),IF(C347&lt;=6,Staffing!$H$11,IF(C347&lt;=15,Staffing!$I$11,IF(C347&lt;=30,Staffing!$J$11,Staffing!$K$11))),0)</f>
        <v>0.5</v>
      </c>
      <c r="F347" s="10" t="n">
        <f aca="false">E347*Staffing!$L$11/12*(1+Assumptions!$C$10)^INT((C347-1)/12)*1</f>
        <v>8650.75541666667</v>
      </c>
      <c r="G347" s="10" t="n">
        <f aca="false">F347*Staffing!$N$11</f>
        <v>0</v>
      </c>
      <c r="H347" s="10" t="n">
        <f aca="false">F347+G347</f>
        <v>8650.75541666667</v>
      </c>
      <c r="I347" s="10" t="n">
        <f aca="false">0</f>
        <v>0</v>
      </c>
      <c r="J347" s="10" t="n">
        <f aca="false">MAX(0,E347-E346)*Staffing!$O$11</f>
        <v>0</v>
      </c>
      <c r="K347" s="10" t="n">
        <f aca="false">MAX(0,E347-E346)*Staffing!$P$11</f>
        <v>0</v>
      </c>
      <c r="L347" s="23" t="n">
        <f aca="false">ROUNDUP(E347,0)</f>
        <v>1</v>
      </c>
    </row>
    <row r="348" customFormat="false" ht="15" hidden="false" customHeight="false" outlineLevel="0" collapsed="false">
      <c r="A348" s="6" t="s">
        <v>72</v>
      </c>
      <c r="B348" s="6" t="s">
        <v>338</v>
      </c>
      <c r="C348" s="6" t="n">
        <v>43</v>
      </c>
      <c r="D348" s="25" t="n">
        <f aca="false">EDATE('Start Here'!$B$6,C348-1)</f>
        <v>47604</v>
      </c>
      <c r="E348" s="11" t="n">
        <f aca="false">IF(AND(C348&gt;=Staffing!$F$11,C348&lt;=Staffing!$G$11,1=1),IF(C348&lt;=6,Staffing!$H$11,IF(C348&lt;=15,Staffing!$I$11,IF(C348&lt;=30,Staffing!$J$11,Staffing!$K$11))),0)</f>
        <v>0.5</v>
      </c>
      <c r="F348" s="10" t="n">
        <f aca="false">E348*Staffing!$L$11/12*(1+Assumptions!$C$10)^INT((C348-1)/12)*1</f>
        <v>8650.75541666667</v>
      </c>
      <c r="G348" s="10" t="n">
        <f aca="false">F348*Staffing!$N$11</f>
        <v>0</v>
      </c>
      <c r="H348" s="10" t="n">
        <f aca="false">F348+G348</f>
        <v>8650.75541666667</v>
      </c>
      <c r="I348" s="10" t="n">
        <f aca="false">0</f>
        <v>0</v>
      </c>
      <c r="J348" s="10" t="n">
        <f aca="false">MAX(0,E348-E347)*Staffing!$O$11</f>
        <v>0</v>
      </c>
      <c r="K348" s="10" t="n">
        <f aca="false">MAX(0,E348-E347)*Staffing!$P$11</f>
        <v>0</v>
      </c>
      <c r="L348" s="23" t="n">
        <f aca="false">ROUNDUP(E348,0)</f>
        <v>1</v>
      </c>
    </row>
    <row r="349" customFormat="false" ht="15" hidden="false" customHeight="false" outlineLevel="0" collapsed="false">
      <c r="A349" s="6" t="s">
        <v>72</v>
      </c>
      <c r="B349" s="6" t="s">
        <v>338</v>
      </c>
      <c r="C349" s="6" t="n">
        <v>44</v>
      </c>
      <c r="D349" s="25" t="n">
        <f aca="false">EDATE('Start Here'!$B$6,C349-1)</f>
        <v>47635</v>
      </c>
      <c r="E349" s="11" t="n">
        <f aca="false">IF(AND(C349&gt;=Staffing!$F$11,C349&lt;=Staffing!$G$11,1=1),IF(C349&lt;=6,Staffing!$H$11,IF(C349&lt;=15,Staffing!$I$11,IF(C349&lt;=30,Staffing!$J$11,Staffing!$K$11))),0)</f>
        <v>0.5</v>
      </c>
      <c r="F349" s="10" t="n">
        <f aca="false">E349*Staffing!$L$11/12*(1+Assumptions!$C$10)^INT((C349-1)/12)*1</f>
        <v>8650.75541666667</v>
      </c>
      <c r="G349" s="10" t="n">
        <f aca="false">F349*Staffing!$N$11</f>
        <v>0</v>
      </c>
      <c r="H349" s="10" t="n">
        <f aca="false">F349+G349</f>
        <v>8650.75541666667</v>
      </c>
      <c r="I349" s="10" t="n">
        <f aca="false">0</f>
        <v>0</v>
      </c>
      <c r="J349" s="10" t="n">
        <f aca="false">MAX(0,E349-E348)*Staffing!$O$11</f>
        <v>0</v>
      </c>
      <c r="K349" s="10" t="n">
        <f aca="false">MAX(0,E349-E348)*Staffing!$P$11</f>
        <v>0</v>
      </c>
      <c r="L349" s="23" t="n">
        <f aca="false">ROUNDUP(E349,0)</f>
        <v>1</v>
      </c>
    </row>
    <row r="350" customFormat="false" ht="15" hidden="false" customHeight="false" outlineLevel="0" collapsed="false">
      <c r="A350" s="6" t="s">
        <v>72</v>
      </c>
      <c r="B350" s="6" t="s">
        <v>338</v>
      </c>
      <c r="C350" s="6" t="n">
        <v>45</v>
      </c>
      <c r="D350" s="25" t="n">
        <f aca="false">EDATE('Start Here'!$B$6,C350-1)</f>
        <v>47665</v>
      </c>
      <c r="E350" s="11" t="n">
        <f aca="false">IF(AND(C350&gt;=Staffing!$F$11,C350&lt;=Staffing!$G$11,1=1),IF(C350&lt;=6,Staffing!$H$11,IF(C350&lt;=15,Staffing!$I$11,IF(C350&lt;=30,Staffing!$J$11,Staffing!$K$11))),0)</f>
        <v>0.5</v>
      </c>
      <c r="F350" s="10" t="n">
        <f aca="false">E350*Staffing!$L$11/12*(1+Assumptions!$C$10)^INT((C350-1)/12)*1</f>
        <v>8650.75541666667</v>
      </c>
      <c r="G350" s="10" t="n">
        <f aca="false">F350*Staffing!$N$11</f>
        <v>0</v>
      </c>
      <c r="H350" s="10" t="n">
        <f aca="false">F350+G350</f>
        <v>8650.75541666667</v>
      </c>
      <c r="I350" s="10" t="n">
        <f aca="false">0</f>
        <v>0</v>
      </c>
      <c r="J350" s="10" t="n">
        <f aca="false">MAX(0,E350-E349)*Staffing!$O$11</f>
        <v>0</v>
      </c>
      <c r="K350" s="10" t="n">
        <f aca="false">MAX(0,E350-E349)*Staffing!$P$11</f>
        <v>0</v>
      </c>
      <c r="L350" s="23" t="n">
        <f aca="false">ROUNDUP(E350,0)</f>
        <v>1</v>
      </c>
    </row>
    <row r="351" customFormat="false" ht="15" hidden="false" customHeight="false" outlineLevel="0" collapsed="false">
      <c r="A351" s="6" t="s">
        <v>72</v>
      </c>
      <c r="B351" s="6" t="s">
        <v>338</v>
      </c>
      <c r="C351" s="6" t="n">
        <v>46</v>
      </c>
      <c r="D351" s="25" t="n">
        <f aca="false">EDATE('Start Here'!$B$6,C351-1)</f>
        <v>47696</v>
      </c>
      <c r="E351" s="11" t="n">
        <f aca="false">IF(AND(C351&gt;=Staffing!$F$11,C351&lt;=Staffing!$G$11,1=1),IF(C351&lt;=6,Staffing!$H$11,IF(C351&lt;=15,Staffing!$I$11,IF(C351&lt;=30,Staffing!$J$11,Staffing!$K$11))),0)</f>
        <v>0.5</v>
      </c>
      <c r="F351" s="10" t="n">
        <f aca="false">E351*Staffing!$L$11/12*(1+Assumptions!$C$10)^INT((C351-1)/12)*1</f>
        <v>8650.75541666667</v>
      </c>
      <c r="G351" s="10" t="n">
        <f aca="false">F351*Staffing!$N$11</f>
        <v>0</v>
      </c>
      <c r="H351" s="10" t="n">
        <f aca="false">F351+G351</f>
        <v>8650.75541666667</v>
      </c>
      <c r="I351" s="10" t="n">
        <f aca="false">0</f>
        <v>0</v>
      </c>
      <c r="J351" s="10" t="n">
        <f aca="false">MAX(0,E351-E350)*Staffing!$O$11</f>
        <v>0</v>
      </c>
      <c r="K351" s="10" t="n">
        <f aca="false">MAX(0,E351-E350)*Staffing!$P$11</f>
        <v>0</v>
      </c>
      <c r="L351" s="23" t="n">
        <f aca="false">ROUNDUP(E351,0)</f>
        <v>1</v>
      </c>
    </row>
    <row r="352" customFormat="false" ht="15" hidden="false" customHeight="false" outlineLevel="0" collapsed="false">
      <c r="A352" s="6" t="s">
        <v>72</v>
      </c>
      <c r="B352" s="6" t="s">
        <v>338</v>
      </c>
      <c r="C352" s="6" t="n">
        <v>47</v>
      </c>
      <c r="D352" s="25" t="n">
        <f aca="false">EDATE('Start Here'!$B$6,C352-1)</f>
        <v>47727</v>
      </c>
      <c r="E352" s="11" t="n">
        <f aca="false">IF(AND(C352&gt;=Staffing!$F$11,C352&lt;=Staffing!$G$11,1=1),IF(C352&lt;=6,Staffing!$H$11,IF(C352&lt;=15,Staffing!$I$11,IF(C352&lt;=30,Staffing!$J$11,Staffing!$K$11))),0)</f>
        <v>0.5</v>
      </c>
      <c r="F352" s="10" t="n">
        <f aca="false">E352*Staffing!$L$11/12*(1+Assumptions!$C$10)^INT((C352-1)/12)*1</f>
        <v>8650.75541666667</v>
      </c>
      <c r="G352" s="10" t="n">
        <f aca="false">F352*Staffing!$N$11</f>
        <v>0</v>
      </c>
      <c r="H352" s="10" t="n">
        <f aca="false">F352+G352</f>
        <v>8650.75541666667</v>
      </c>
      <c r="I352" s="10" t="n">
        <f aca="false">0</f>
        <v>0</v>
      </c>
      <c r="J352" s="10" t="n">
        <f aca="false">MAX(0,E352-E351)*Staffing!$O$11</f>
        <v>0</v>
      </c>
      <c r="K352" s="10" t="n">
        <f aca="false">MAX(0,E352-E351)*Staffing!$P$11</f>
        <v>0</v>
      </c>
      <c r="L352" s="23" t="n">
        <f aca="false">ROUNDUP(E352,0)</f>
        <v>1</v>
      </c>
    </row>
    <row r="353" customFormat="false" ht="15" hidden="false" customHeight="false" outlineLevel="0" collapsed="false">
      <c r="A353" s="6" t="s">
        <v>72</v>
      </c>
      <c r="B353" s="6" t="s">
        <v>338</v>
      </c>
      <c r="C353" s="6" t="n">
        <v>48</v>
      </c>
      <c r="D353" s="25" t="n">
        <f aca="false">EDATE('Start Here'!$B$6,C353-1)</f>
        <v>47757</v>
      </c>
      <c r="E353" s="11" t="n">
        <f aca="false">IF(AND(C353&gt;=Staffing!$F$11,C353&lt;=Staffing!$G$11,1=1),IF(C353&lt;=6,Staffing!$H$11,IF(C353&lt;=15,Staffing!$I$11,IF(C353&lt;=30,Staffing!$J$11,Staffing!$K$11))),0)</f>
        <v>0.5</v>
      </c>
      <c r="F353" s="10" t="n">
        <f aca="false">E353*Staffing!$L$11/12*(1+Assumptions!$C$10)^INT((C353-1)/12)*1</f>
        <v>8650.75541666667</v>
      </c>
      <c r="G353" s="10" t="n">
        <f aca="false">F353*Staffing!$N$11</f>
        <v>0</v>
      </c>
      <c r="H353" s="10" t="n">
        <f aca="false">F353+G353</f>
        <v>8650.75541666667</v>
      </c>
      <c r="I353" s="10" t="n">
        <f aca="false">0</f>
        <v>0</v>
      </c>
      <c r="J353" s="10" t="n">
        <f aca="false">MAX(0,E353-E352)*Staffing!$O$11</f>
        <v>0</v>
      </c>
      <c r="K353" s="10" t="n">
        <f aca="false">MAX(0,E353-E352)*Staffing!$P$11</f>
        <v>0</v>
      </c>
      <c r="L353" s="23" t="n">
        <f aca="false">ROUNDUP(E353,0)</f>
        <v>1</v>
      </c>
    </row>
    <row r="354" customFormat="false" ht="15" hidden="false" customHeight="false" outlineLevel="0" collapsed="false">
      <c r="A354" s="6" t="s">
        <v>72</v>
      </c>
      <c r="B354" s="6" t="s">
        <v>338</v>
      </c>
      <c r="C354" s="6" t="n">
        <v>49</v>
      </c>
      <c r="D354" s="25" t="n">
        <f aca="false">EDATE('Start Here'!$B$6,C354-1)</f>
        <v>47788</v>
      </c>
      <c r="E354" s="11" t="n">
        <f aca="false">IF(AND(C354&gt;=Staffing!$F$11,C354&lt;=Staffing!$G$11,1=1),IF(C354&lt;=6,Staffing!$H$11,IF(C354&lt;=15,Staffing!$I$11,IF(C354&lt;=30,Staffing!$J$11,Staffing!$K$11))),0)</f>
        <v>0.5</v>
      </c>
      <c r="F354" s="10" t="n">
        <f aca="false">E354*Staffing!$L$11/12*(1+Assumptions!$C$10)^INT((C354-1)/12)*1</f>
        <v>8910.27807916667</v>
      </c>
      <c r="G354" s="10" t="n">
        <f aca="false">F354*Staffing!$N$11</f>
        <v>0</v>
      </c>
      <c r="H354" s="10" t="n">
        <f aca="false">F354+G354</f>
        <v>8910.27807916667</v>
      </c>
      <c r="I354" s="10" t="n">
        <f aca="false">0</f>
        <v>0</v>
      </c>
      <c r="J354" s="10" t="n">
        <f aca="false">MAX(0,E354-E353)*Staffing!$O$11</f>
        <v>0</v>
      </c>
      <c r="K354" s="10" t="n">
        <f aca="false">MAX(0,E354-E353)*Staffing!$P$11</f>
        <v>0</v>
      </c>
      <c r="L354" s="23" t="n">
        <f aca="false">ROUNDUP(E354,0)</f>
        <v>1</v>
      </c>
    </row>
    <row r="355" customFormat="false" ht="15" hidden="false" customHeight="false" outlineLevel="0" collapsed="false">
      <c r="A355" s="6" t="s">
        <v>72</v>
      </c>
      <c r="B355" s="6" t="s">
        <v>338</v>
      </c>
      <c r="C355" s="6" t="n">
        <v>50</v>
      </c>
      <c r="D355" s="25" t="n">
        <f aca="false">EDATE('Start Here'!$B$6,C355-1)</f>
        <v>47818</v>
      </c>
      <c r="E355" s="11" t="n">
        <f aca="false">IF(AND(C355&gt;=Staffing!$F$11,C355&lt;=Staffing!$G$11,1=1),IF(C355&lt;=6,Staffing!$H$11,IF(C355&lt;=15,Staffing!$I$11,IF(C355&lt;=30,Staffing!$J$11,Staffing!$K$11))),0)</f>
        <v>0.5</v>
      </c>
      <c r="F355" s="10" t="n">
        <f aca="false">E355*Staffing!$L$11/12*(1+Assumptions!$C$10)^INT((C355-1)/12)*1</f>
        <v>8910.27807916667</v>
      </c>
      <c r="G355" s="10" t="n">
        <f aca="false">F355*Staffing!$N$11</f>
        <v>0</v>
      </c>
      <c r="H355" s="10" t="n">
        <f aca="false">F355+G355</f>
        <v>8910.27807916667</v>
      </c>
      <c r="I355" s="10" t="n">
        <f aca="false">0</f>
        <v>0</v>
      </c>
      <c r="J355" s="10" t="n">
        <f aca="false">MAX(0,E355-E354)*Staffing!$O$11</f>
        <v>0</v>
      </c>
      <c r="K355" s="10" t="n">
        <f aca="false">MAX(0,E355-E354)*Staffing!$P$11</f>
        <v>0</v>
      </c>
      <c r="L355" s="23" t="n">
        <f aca="false">ROUNDUP(E355,0)</f>
        <v>1</v>
      </c>
    </row>
    <row r="356" customFormat="false" ht="15" hidden="false" customHeight="false" outlineLevel="0" collapsed="false">
      <c r="A356" s="6" t="s">
        <v>72</v>
      </c>
      <c r="B356" s="6" t="s">
        <v>338</v>
      </c>
      <c r="C356" s="6" t="n">
        <v>51</v>
      </c>
      <c r="D356" s="25" t="n">
        <f aca="false">EDATE('Start Here'!$B$6,C356-1)</f>
        <v>47849</v>
      </c>
      <c r="E356" s="11" t="n">
        <f aca="false">IF(AND(C356&gt;=Staffing!$F$11,C356&lt;=Staffing!$G$11,1=1),IF(C356&lt;=6,Staffing!$H$11,IF(C356&lt;=15,Staffing!$I$11,IF(C356&lt;=30,Staffing!$J$11,Staffing!$K$11))),0)</f>
        <v>0.5</v>
      </c>
      <c r="F356" s="10" t="n">
        <f aca="false">E356*Staffing!$L$11/12*(1+Assumptions!$C$10)^INT((C356-1)/12)*1</f>
        <v>8910.27807916667</v>
      </c>
      <c r="G356" s="10" t="n">
        <f aca="false">F356*Staffing!$N$11</f>
        <v>0</v>
      </c>
      <c r="H356" s="10" t="n">
        <f aca="false">F356+G356</f>
        <v>8910.27807916667</v>
      </c>
      <c r="I356" s="10" t="n">
        <f aca="false">0</f>
        <v>0</v>
      </c>
      <c r="J356" s="10" t="n">
        <f aca="false">MAX(0,E356-E355)*Staffing!$O$11</f>
        <v>0</v>
      </c>
      <c r="K356" s="10" t="n">
        <f aca="false">MAX(0,E356-E355)*Staffing!$P$11</f>
        <v>0</v>
      </c>
      <c r="L356" s="23" t="n">
        <f aca="false">ROUNDUP(E356,0)</f>
        <v>1</v>
      </c>
    </row>
    <row r="357" customFormat="false" ht="15" hidden="false" customHeight="false" outlineLevel="0" collapsed="false">
      <c r="A357" s="6" t="s">
        <v>72</v>
      </c>
      <c r="B357" s="6" t="s">
        <v>338</v>
      </c>
      <c r="C357" s="6" t="n">
        <v>52</v>
      </c>
      <c r="D357" s="25" t="n">
        <f aca="false">EDATE('Start Here'!$B$6,C357-1)</f>
        <v>47880</v>
      </c>
      <c r="E357" s="11" t="n">
        <f aca="false">IF(AND(C357&gt;=Staffing!$F$11,C357&lt;=Staffing!$G$11,1=1),IF(C357&lt;=6,Staffing!$H$11,IF(C357&lt;=15,Staffing!$I$11,IF(C357&lt;=30,Staffing!$J$11,Staffing!$K$11))),0)</f>
        <v>0.5</v>
      </c>
      <c r="F357" s="10" t="n">
        <f aca="false">E357*Staffing!$L$11/12*(1+Assumptions!$C$10)^INT((C357-1)/12)*1</f>
        <v>8910.27807916667</v>
      </c>
      <c r="G357" s="10" t="n">
        <f aca="false">F357*Staffing!$N$11</f>
        <v>0</v>
      </c>
      <c r="H357" s="10" t="n">
        <f aca="false">F357+G357</f>
        <v>8910.27807916667</v>
      </c>
      <c r="I357" s="10" t="n">
        <f aca="false">0</f>
        <v>0</v>
      </c>
      <c r="J357" s="10" t="n">
        <f aca="false">MAX(0,E357-E356)*Staffing!$O$11</f>
        <v>0</v>
      </c>
      <c r="K357" s="10" t="n">
        <f aca="false">MAX(0,E357-E356)*Staffing!$P$11</f>
        <v>0</v>
      </c>
      <c r="L357" s="23" t="n">
        <f aca="false">ROUNDUP(E357,0)</f>
        <v>1</v>
      </c>
    </row>
    <row r="358" customFormat="false" ht="15" hidden="false" customHeight="false" outlineLevel="0" collapsed="false">
      <c r="A358" s="6" t="s">
        <v>72</v>
      </c>
      <c r="B358" s="6" t="s">
        <v>338</v>
      </c>
      <c r="C358" s="6" t="n">
        <v>53</v>
      </c>
      <c r="D358" s="25" t="n">
        <f aca="false">EDATE('Start Here'!$B$6,C358-1)</f>
        <v>47908</v>
      </c>
      <c r="E358" s="11" t="n">
        <f aca="false">IF(AND(C358&gt;=Staffing!$F$11,C358&lt;=Staffing!$G$11,1=1),IF(C358&lt;=6,Staffing!$H$11,IF(C358&lt;=15,Staffing!$I$11,IF(C358&lt;=30,Staffing!$J$11,Staffing!$K$11))),0)</f>
        <v>0.5</v>
      </c>
      <c r="F358" s="10" t="n">
        <f aca="false">E358*Staffing!$L$11/12*(1+Assumptions!$C$10)^INT((C358-1)/12)*1</f>
        <v>8910.27807916667</v>
      </c>
      <c r="G358" s="10" t="n">
        <f aca="false">F358*Staffing!$N$11</f>
        <v>0</v>
      </c>
      <c r="H358" s="10" t="n">
        <f aca="false">F358+G358</f>
        <v>8910.27807916667</v>
      </c>
      <c r="I358" s="10" t="n">
        <f aca="false">0</f>
        <v>0</v>
      </c>
      <c r="J358" s="10" t="n">
        <f aca="false">MAX(0,E358-E357)*Staffing!$O$11</f>
        <v>0</v>
      </c>
      <c r="K358" s="10" t="n">
        <f aca="false">MAX(0,E358-E357)*Staffing!$P$11</f>
        <v>0</v>
      </c>
      <c r="L358" s="23" t="n">
        <f aca="false">ROUNDUP(E358,0)</f>
        <v>1</v>
      </c>
    </row>
    <row r="359" customFormat="false" ht="15" hidden="false" customHeight="false" outlineLevel="0" collapsed="false">
      <c r="A359" s="6" t="s">
        <v>72</v>
      </c>
      <c r="B359" s="6" t="s">
        <v>338</v>
      </c>
      <c r="C359" s="6" t="n">
        <v>54</v>
      </c>
      <c r="D359" s="25" t="n">
        <f aca="false">EDATE('Start Here'!$B$6,C359-1)</f>
        <v>47939</v>
      </c>
      <c r="E359" s="11" t="n">
        <f aca="false">IF(AND(C359&gt;=Staffing!$F$11,C359&lt;=Staffing!$G$11,1=1),IF(C359&lt;=6,Staffing!$H$11,IF(C359&lt;=15,Staffing!$I$11,IF(C359&lt;=30,Staffing!$J$11,Staffing!$K$11))),0)</f>
        <v>0.5</v>
      </c>
      <c r="F359" s="10" t="n">
        <f aca="false">E359*Staffing!$L$11/12*(1+Assumptions!$C$10)^INT((C359-1)/12)*1</f>
        <v>8910.27807916667</v>
      </c>
      <c r="G359" s="10" t="n">
        <f aca="false">F359*Staffing!$N$11</f>
        <v>0</v>
      </c>
      <c r="H359" s="10" t="n">
        <f aca="false">F359+G359</f>
        <v>8910.27807916667</v>
      </c>
      <c r="I359" s="10" t="n">
        <f aca="false">0</f>
        <v>0</v>
      </c>
      <c r="J359" s="10" t="n">
        <f aca="false">MAX(0,E359-E358)*Staffing!$O$11</f>
        <v>0</v>
      </c>
      <c r="K359" s="10" t="n">
        <f aca="false">MAX(0,E359-E358)*Staffing!$P$11</f>
        <v>0</v>
      </c>
      <c r="L359" s="23" t="n">
        <f aca="false">ROUNDUP(E359,0)</f>
        <v>1</v>
      </c>
    </row>
    <row r="360" customFormat="false" ht="15" hidden="false" customHeight="false" outlineLevel="0" collapsed="false">
      <c r="A360" s="6" t="s">
        <v>72</v>
      </c>
      <c r="B360" s="6" t="s">
        <v>338</v>
      </c>
      <c r="C360" s="6" t="n">
        <v>55</v>
      </c>
      <c r="D360" s="25" t="n">
        <f aca="false">EDATE('Start Here'!$B$6,C360-1)</f>
        <v>47969</v>
      </c>
      <c r="E360" s="11" t="n">
        <f aca="false">IF(AND(C360&gt;=Staffing!$F$11,C360&lt;=Staffing!$G$11,1=1),IF(C360&lt;=6,Staffing!$H$11,IF(C360&lt;=15,Staffing!$I$11,IF(C360&lt;=30,Staffing!$J$11,Staffing!$K$11))),0)</f>
        <v>0.5</v>
      </c>
      <c r="F360" s="10" t="n">
        <f aca="false">E360*Staffing!$L$11/12*(1+Assumptions!$C$10)^INT((C360-1)/12)*1</f>
        <v>8910.27807916667</v>
      </c>
      <c r="G360" s="10" t="n">
        <f aca="false">F360*Staffing!$N$11</f>
        <v>0</v>
      </c>
      <c r="H360" s="10" t="n">
        <f aca="false">F360+G360</f>
        <v>8910.27807916667</v>
      </c>
      <c r="I360" s="10" t="n">
        <f aca="false">0</f>
        <v>0</v>
      </c>
      <c r="J360" s="10" t="n">
        <f aca="false">MAX(0,E360-E359)*Staffing!$O$11</f>
        <v>0</v>
      </c>
      <c r="K360" s="10" t="n">
        <f aca="false">MAX(0,E360-E359)*Staffing!$P$11</f>
        <v>0</v>
      </c>
      <c r="L360" s="23" t="n">
        <f aca="false">ROUNDUP(E360,0)</f>
        <v>1</v>
      </c>
    </row>
    <row r="361" customFormat="false" ht="15" hidden="false" customHeight="false" outlineLevel="0" collapsed="false">
      <c r="A361" s="6" t="s">
        <v>72</v>
      </c>
      <c r="B361" s="6" t="s">
        <v>338</v>
      </c>
      <c r="C361" s="6" t="n">
        <v>56</v>
      </c>
      <c r="D361" s="25" t="n">
        <f aca="false">EDATE('Start Here'!$B$6,C361-1)</f>
        <v>48000</v>
      </c>
      <c r="E361" s="11" t="n">
        <f aca="false">IF(AND(C361&gt;=Staffing!$F$11,C361&lt;=Staffing!$G$11,1=1),IF(C361&lt;=6,Staffing!$H$11,IF(C361&lt;=15,Staffing!$I$11,IF(C361&lt;=30,Staffing!$J$11,Staffing!$K$11))),0)</f>
        <v>0.5</v>
      </c>
      <c r="F361" s="10" t="n">
        <f aca="false">E361*Staffing!$L$11/12*(1+Assumptions!$C$10)^INT((C361-1)/12)*1</f>
        <v>8910.27807916667</v>
      </c>
      <c r="G361" s="10" t="n">
        <f aca="false">F361*Staffing!$N$11</f>
        <v>0</v>
      </c>
      <c r="H361" s="10" t="n">
        <f aca="false">F361+G361</f>
        <v>8910.27807916667</v>
      </c>
      <c r="I361" s="10" t="n">
        <f aca="false">0</f>
        <v>0</v>
      </c>
      <c r="J361" s="10" t="n">
        <f aca="false">MAX(0,E361-E360)*Staffing!$O$11</f>
        <v>0</v>
      </c>
      <c r="K361" s="10" t="n">
        <f aca="false">MAX(0,E361-E360)*Staffing!$P$11</f>
        <v>0</v>
      </c>
      <c r="L361" s="23" t="n">
        <f aca="false">ROUNDUP(E361,0)</f>
        <v>1</v>
      </c>
    </row>
    <row r="362" customFormat="false" ht="15" hidden="false" customHeight="false" outlineLevel="0" collapsed="false">
      <c r="A362" s="6" t="s">
        <v>72</v>
      </c>
      <c r="B362" s="6" t="s">
        <v>338</v>
      </c>
      <c r="C362" s="6" t="n">
        <v>57</v>
      </c>
      <c r="D362" s="25" t="n">
        <f aca="false">EDATE('Start Here'!$B$6,C362-1)</f>
        <v>48030</v>
      </c>
      <c r="E362" s="11" t="n">
        <f aca="false">IF(AND(C362&gt;=Staffing!$F$11,C362&lt;=Staffing!$G$11,1=1),IF(C362&lt;=6,Staffing!$H$11,IF(C362&lt;=15,Staffing!$I$11,IF(C362&lt;=30,Staffing!$J$11,Staffing!$K$11))),0)</f>
        <v>0.5</v>
      </c>
      <c r="F362" s="10" t="n">
        <f aca="false">E362*Staffing!$L$11/12*(1+Assumptions!$C$10)^INT((C362-1)/12)*1</f>
        <v>8910.27807916667</v>
      </c>
      <c r="G362" s="10" t="n">
        <f aca="false">F362*Staffing!$N$11</f>
        <v>0</v>
      </c>
      <c r="H362" s="10" t="n">
        <f aca="false">F362+G362</f>
        <v>8910.27807916667</v>
      </c>
      <c r="I362" s="10" t="n">
        <f aca="false">0</f>
        <v>0</v>
      </c>
      <c r="J362" s="10" t="n">
        <f aca="false">MAX(0,E362-E361)*Staffing!$O$11</f>
        <v>0</v>
      </c>
      <c r="K362" s="10" t="n">
        <f aca="false">MAX(0,E362-E361)*Staffing!$P$11</f>
        <v>0</v>
      </c>
      <c r="L362" s="23" t="n">
        <f aca="false">ROUNDUP(E362,0)</f>
        <v>1</v>
      </c>
    </row>
    <row r="363" customFormat="false" ht="15" hidden="false" customHeight="false" outlineLevel="0" collapsed="false">
      <c r="A363" s="6" t="s">
        <v>72</v>
      </c>
      <c r="B363" s="6" t="s">
        <v>338</v>
      </c>
      <c r="C363" s="6" t="n">
        <v>58</v>
      </c>
      <c r="D363" s="25" t="n">
        <f aca="false">EDATE('Start Here'!$B$6,C363-1)</f>
        <v>48061</v>
      </c>
      <c r="E363" s="11" t="n">
        <f aca="false">IF(AND(C363&gt;=Staffing!$F$11,C363&lt;=Staffing!$G$11,1=1),IF(C363&lt;=6,Staffing!$H$11,IF(C363&lt;=15,Staffing!$I$11,IF(C363&lt;=30,Staffing!$J$11,Staffing!$K$11))),0)</f>
        <v>0.5</v>
      </c>
      <c r="F363" s="10" t="n">
        <f aca="false">E363*Staffing!$L$11/12*(1+Assumptions!$C$10)^INT((C363-1)/12)*1</f>
        <v>8910.27807916667</v>
      </c>
      <c r="G363" s="10" t="n">
        <f aca="false">F363*Staffing!$N$11</f>
        <v>0</v>
      </c>
      <c r="H363" s="10" t="n">
        <f aca="false">F363+G363</f>
        <v>8910.27807916667</v>
      </c>
      <c r="I363" s="10" t="n">
        <f aca="false">0</f>
        <v>0</v>
      </c>
      <c r="J363" s="10" t="n">
        <f aca="false">MAX(0,E363-E362)*Staffing!$O$11</f>
        <v>0</v>
      </c>
      <c r="K363" s="10" t="n">
        <f aca="false">MAX(0,E363-E362)*Staffing!$P$11</f>
        <v>0</v>
      </c>
      <c r="L363" s="23" t="n">
        <f aca="false">ROUNDUP(E363,0)</f>
        <v>1</v>
      </c>
    </row>
    <row r="364" customFormat="false" ht="15" hidden="false" customHeight="false" outlineLevel="0" collapsed="false">
      <c r="A364" s="6" t="s">
        <v>72</v>
      </c>
      <c r="B364" s="6" t="s">
        <v>338</v>
      </c>
      <c r="C364" s="6" t="n">
        <v>59</v>
      </c>
      <c r="D364" s="25" t="n">
        <f aca="false">EDATE('Start Here'!$B$6,C364-1)</f>
        <v>48092</v>
      </c>
      <c r="E364" s="11" t="n">
        <f aca="false">IF(AND(C364&gt;=Staffing!$F$11,C364&lt;=Staffing!$G$11,1=1),IF(C364&lt;=6,Staffing!$H$11,IF(C364&lt;=15,Staffing!$I$11,IF(C364&lt;=30,Staffing!$J$11,Staffing!$K$11))),0)</f>
        <v>0.5</v>
      </c>
      <c r="F364" s="10" t="n">
        <f aca="false">E364*Staffing!$L$11/12*(1+Assumptions!$C$10)^INT((C364-1)/12)*1</f>
        <v>8910.27807916667</v>
      </c>
      <c r="G364" s="10" t="n">
        <f aca="false">F364*Staffing!$N$11</f>
        <v>0</v>
      </c>
      <c r="H364" s="10" t="n">
        <f aca="false">F364+G364</f>
        <v>8910.27807916667</v>
      </c>
      <c r="I364" s="10" t="n">
        <f aca="false">0</f>
        <v>0</v>
      </c>
      <c r="J364" s="10" t="n">
        <f aca="false">MAX(0,E364-E363)*Staffing!$O$11</f>
        <v>0</v>
      </c>
      <c r="K364" s="10" t="n">
        <f aca="false">MAX(0,E364-E363)*Staffing!$P$11</f>
        <v>0</v>
      </c>
      <c r="L364" s="23" t="n">
        <f aca="false">ROUNDUP(E364,0)</f>
        <v>1</v>
      </c>
    </row>
    <row r="365" customFormat="false" ht="15" hidden="false" customHeight="false" outlineLevel="0" collapsed="false">
      <c r="A365" s="6" t="s">
        <v>72</v>
      </c>
      <c r="B365" s="6" t="s">
        <v>338</v>
      </c>
      <c r="C365" s="6" t="n">
        <v>60</v>
      </c>
      <c r="D365" s="25" t="n">
        <f aca="false">EDATE('Start Here'!$B$6,C365-1)</f>
        <v>48122</v>
      </c>
      <c r="E365" s="11" t="n">
        <f aca="false">IF(AND(C365&gt;=Staffing!$F$11,C365&lt;=Staffing!$G$11,1=1),IF(C365&lt;=6,Staffing!$H$11,IF(C365&lt;=15,Staffing!$I$11,IF(C365&lt;=30,Staffing!$J$11,Staffing!$K$11))),0)</f>
        <v>0.5</v>
      </c>
      <c r="F365" s="10" t="n">
        <f aca="false">E365*Staffing!$L$11/12*(1+Assumptions!$C$10)^INT((C365-1)/12)*1</f>
        <v>8910.27807916667</v>
      </c>
      <c r="G365" s="10" t="n">
        <f aca="false">F365*Staffing!$N$11</f>
        <v>0</v>
      </c>
      <c r="H365" s="10" t="n">
        <f aca="false">F365+G365</f>
        <v>8910.27807916667</v>
      </c>
      <c r="I365" s="10" t="n">
        <f aca="false">0</f>
        <v>0</v>
      </c>
      <c r="J365" s="10" t="n">
        <f aca="false">MAX(0,E365-E364)*Staffing!$O$11</f>
        <v>0</v>
      </c>
      <c r="K365" s="10" t="n">
        <f aca="false">MAX(0,E365-E364)*Staffing!$P$11</f>
        <v>0</v>
      </c>
      <c r="L365" s="23" t="n">
        <f aca="false">ROUNDUP(E365,0)</f>
        <v>1</v>
      </c>
    </row>
    <row r="366" customFormat="false" ht="15" hidden="false" customHeight="false" outlineLevel="0" collapsed="false">
      <c r="A366" s="6" t="s">
        <v>72</v>
      </c>
      <c r="B366" s="6" t="s">
        <v>341</v>
      </c>
      <c r="C366" s="6" t="n">
        <v>1</v>
      </c>
      <c r="D366" s="25" t="n">
        <f aca="false">EDATE('Start Here'!$B$6,C366-1)</f>
        <v>46327</v>
      </c>
      <c r="E366" s="23" t="n">
        <f aca="false">IF(AND(C366&gt;=Staffing!$F$12,C366&lt;=Staffing!$G$12,1=1),IF(C366&lt;=6,Staffing!$H$12,IF(C366&lt;=15,Staffing!$I$12,IF(C366&lt;=30,Staffing!$J$12,Staffing!$K$12))),0)</f>
        <v>0</v>
      </c>
      <c r="F366" s="10" t="n">
        <f aca="false">E366*Staffing!$L$12/12*(1+Assumptions!$C$10)^INT((C366-1)/12)*1</f>
        <v>0</v>
      </c>
      <c r="G366" s="10" t="n">
        <f aca="false">F366*Staffing!$N$12</f>
        <v>0</v>
      </c>
      <c r="H366" s="10" t="n">
        <f aca="false">F366+G366</f>
        <v>0</v>
      </c>
      <c r="I366" s="10" t="n">
        <f aca="false">0</f>
        <v>0</v>
      </c>
      <c r="J366" s="10" t="n">
        <f aca="false">MAX(0,E366-0)*Staffing!$O$12</f>
        <v>0</v>
      </c>
      <c r="K366" s="10" t="n">
        <f aca="false">MAX(0,E366-0)*Staffing!$P$12</f>
        <v>0</v>
      </c>
      <c r="L366" s="23" t="n">
        <f aca="false">ROUNDUP(E366,0)</f>
        <v>0</v>
      </c>
    </row>
    <row r="367" customFormat="false" ht="15" hidden="false" customHeight="false" outlineLevel="0" collapsed="false">
      <c r="A367" s="6" t="s">
        <v>72</v>
      </c>
      <c r="B367" s="6" t="s">
        <v>341</v>
      </c>
      <c r="C367" s="6" t="n">
        <v>2</v>
      </c>
      <c r="D367" s="25" t="n">
        <f aca="false">EDATE('Start Here'!$B$6,C367-1)</f>
        <v>46357</v>
      </c>
      <c r="E367" s="11" t="n">
        <f aca="false">IF(AND(C367&gt;=Staffing!$F$12,C367&lt;=Staffing!$G$12,1=1),IF(C367&lt;=6,Staffing!$H$12,IF(C367&lt;=15,Staffing!$I$12,IF(C367&lt;=30,Staffing!$J$12,Staffing!$K$12))),0)</f>
        <v>0.15</v>
      </c>
      <c r="F367" s="10" t="n">
        <f aca="false">E367*Staffing!$L$12/12*(1+Assumptions!$C$10)^INT((C367-1)/12)*1</f>
        <v>1625</v>
      </c>
      <c r="G367" s="10" t="n">
        <f aca="false">F367*Staffing!$N$12</f>
        <v>0</v>
      </c>
      <c r="H367" s="10" t="n">
        <f aca="false">F367+G367</f>
        <v>1625</v>
      </c>
      <c r="I367" s="10" t="n">
        <f aca="false">0</f>
        <v>0</v>
      </c>
      <c r="J367" s="10" t="n">
        <f aca="false">MAX(0,E367-E366)*Staffing!$O$12</f>
        <v>0</v>
      </c>
      <c r="K367" s="10" t="n">
        <f aca="false">MAX(0,E367-E366)*Staffing!$P$12</f>
        <v>375</v>
      </c>
      <c r="L367" s="23" t="n">
        <f aca="false">ROUNDUP(E367,0)</f>
        <v>1</v>
      </c>
    </row>
    <row r="368" customFormat="false" ht="15" hidden="false" customHeight="false" outlineLevel="0" collapsed="false">
      <c r="A368" s="6" t="s">
        <v>72</v>
      </c>
      <c r="B368" s="6" t="s">
        <v>341</v>
      </c>
      <c r="C368" s="6" t="n">
        <v>3</v>
      </c>
      <c r="D368" s="25" t="n">
        <f aca="false">EDATE('Start Here'!$B$6,C368-1)</f>
        <v>46388</v>
      </c>
      <c r="E368" s="11" t="n">
        <f aca="false">IF(AND(C368&gt;=Staffing!$F$12,C368&lt;=Staffing!$G$12,1=1),IF(C368&lt;=6,Staffing!$H$12,IF(C368&lt;=15,Staffing!$I$12,IF(C368&lt;=30,Staffing!$J$12,Staffing!$K$12))),0)</f>
        <v>0.15</v>
      </c>
      <c r="F368" s="10" t="n">
        <f aca="false">E368*Staffing!$L$12/12*(1+Assumptions!$C$10)^INT((C368-1)/12)*1</f>
        <v>1625</v>
      </c>
      <c r="G368" s="10" t="n">
        <f aca="false">F368*Staffing!$N$12</f>
        <v>0</v>
      </c>
      <c r="H368" s="10" t="n">
        <f aca="false">F368+G368</f>
        <v>1625</v>
      </c>
      <c r="I368" s="10" t="n">
        <f aca="false">0</f>
        <v>0</v>
      </c>
      <c r="J368" s="10" t="n">
        <f aca="false">MAX(0,E368-E367)*Staffing!$O$12</f>
        <v>0</v>
      </c>
      <c r="K368" s="10" t="n">
        <f aca="false">MAX(0,E368-E367)*Staffing!$P$12</f>
        <v>0</v>
      </c>
      <c r="L368" s="23" t="n">
        <f aca="false">ROUNDUP(E368,0)</f>
        <v>1</v>
      </c>
    </row>
    <row r="369" customFormat="false" ht="15" hidden="false" customHeight="false" outlineLevel="0" collapsed="false">
      <c r="A369" s="6" t="s">
        <v>72</v>
      </c>
      <c r="B369" s="6" t="s">
        <v>341</v>
      </c>
      <c r="C369" s="6" t="n">
        <v>4</v>
      </c>
      <c r="D369" s="25" t="n">
        <f aca="false">EDATE('Start Here'!$B$6,C369-1)</f>
        <v>46419</v>
      </c>
      <c r="E369" s="11" t="n">
        <f aca="false">IF(AND(C369&gt;=Staffing!$F$12,C369&lt;=Staffing!$G$12,1=1),IF(C369&lt;=6,Staffing!$H$12,IF(C369&lt;=15,Staffing!$I$12,IF(C369&lt;=30,Staffing!$J$12,Staffing!$K$12))),0)</f>
        <v>0.15</v>
      </c>
      <c r="F369" s="10" t="n">
        <f aca="false">E369*Staffing!$L$12/12*(1+Assumptions!$C$10)^INT((C369-1)/12)*1</f>
        <v>1625</v>
      </c>
      <c r="G369" s="10" t="n">
        <f aca="false">F369*Staffing!$N$12</f>
        <v>0</v>
      </c>
      <c r="H369" s="10" t="n">
        <f aca="false">F369+G369</f>
        <v>1625</v>
      </c>
      <c r="I369" s="10" t="n">
        <f aca="false">0</f>
        <v>0</v>
      </c>
      <c r="J369" s="10" t="n">
        <f aca="false">MAX(0,E369-E368)*Staffing!$O$12</f>
        <v>0</v>
      </c>
      <c r="K369" s="10" t="n">
        <f aca="false">MAX(0,E369-E368)*Staffing!$P$12</f>
        <v>0</v>
      </c>
      <c r="L369" s="23" t="n">
        <f aca="false">ROUNDUP(E369,0)</f>
        <v>1</v>
      </c>
    </row>
    <row r="370" customFormat="false" ht="15" hidden="false" customHeight="false" outlineLevel="0" collapsed="false">
      <c r="A370" s="6" t="s">
        <v>72</v>
      </c>
      <c r="B370" s="6" t="s">
        <v>341</v>
      </c>
      <c r="C370" s="6" t="n">
        <v>5</v>
      </c>
      <c r="D370" s="25" t="n">
        <f aca="false">EDATE('Start Here'!$B$6,C370-1)</f>
        <v>46447</v>
      </c>
      <c r="E370" s="11" t="n">
        <f aca="false">IF(AND(C370&gt;=Staffing!$F$12,C370&lt;=Staffing!$G$12,1=1),IF(C370&lt;=6,Staffing!$H$12,IF(C370&lt;=15,Staffing!$I$12,IF(C370&lt;=30,Staffing!$J$12,Staffing!$K$12))),0)</f>
        <v>0.15</v>
      </c>
      <c r="F370" s="10" t="n">
        <f aca="false">E370*Staffing!$L$12/12*(1+Assumptions!$C$10)^INT((C370-1)/12)*1</f>
        <v>1625</v>
      </c>
      <c r="G370" s="10" t="n">
        <f aca="false">F370*Staffing!$N$12</f>
        <v>0</v>
      </c>
      <c r="H370" s="10" t="n">
        <f aca="false">F370+G370</f>
        <v>1625</v>
      </c>
      <c r="I370" s="10" t="n">
        <f aca="false">0</f>
        <v>0</v>
      </c>
      <c r="J370" s="10" t="n">
        <f aca="false">MAX(0,E370-E369)*Staffing!$O$12</f>
        <v>0</v>
      </c>
      <c r="K370" s="10" t="n">
        <f aca="false">MAX(0,E370-E369)*Staffing!$P$12</f>
        <v>0</v>
      </c>
      <c r="L370" s="23" t="n">
        <f aca="false">ROUNDUP(E370,0)</f>
        <v>1</v>
      </c>
    </row>
    <row r="371" customFormat="false" ht="15" hidden="false" customHeight="false" outlineLevel="0" collapsed="false">
      <c r="A371" s="6" t="s">
        <v>72</v>
      </c>
      <c r="B371" s="6" t="s">
        <v>341</v>
      </c>
      <c r="C371" s="6" t="n">
        <v>6</v>
      </c>
      <c r="D371" s="25" t="n">
        <f aca="false">EDATE('Start Here'!$B$6,C371-1)</f>
        <v>46478</v>
      </c>
      <c r="E371" s="11" t="n">
        <f aca="false">IF(AND(C371&gt;=Staffing!$F$12,C371&lt;=Staffing!$G$12,1=1),IF(C371&lt;=6,Staffing!$H$12,IF(C371&lt;=15,Staffing!$I$12,IF(C371&lt;=30,Staffing!$J$12,Staffing!$K$12))),0)</f>
        <v>0.15</v>
      </c>
      <c r="F371" s="10" t="n">
        <f aca="false">E371*Staffing!$L$12/12*(1+Assumptions!$C$10)^INT((C371-1)/12)*1</f>
        <v>1625</v>
      </c>
      <c r="G371" s="10" t="n">
        <f aca="false">F371*Staffing!$N$12</f>
        <v>0</v>
      </c>
      <c r="H371" s="10" t="n">
        <f aca="false">F371+G371</f>
        <v>1625</v>
      </c>
      <c r="I371" s="10" t="n">
        <f aca="false">0</f>
        <v>0</v>
      </c>
      <c r="J371" s="10" t="n">
        <f aca="false">MAX(0,E371-E370)*Staffing!$O$12</f>
        <v>0</v>
      </c>
      <c r="K371" s="10" t="n">
        <f aca="false">MAX(0,E371-E370)*Staffing!$P$12</f>
        <v>0</v>
      </c>
      <c r="L371" s="23" t="n">
        <f aca="false">ROUNDUP(E371,0)</f>
        <v>1</v>
      </c>
    </row>
    <row r="372" customFormat="false" ht="15" hidden="false" customHeight="false" outlineLevel="0" collapsed="false">
      <c r="A372" s="6" t="s">
        <v>72</v>
      </c>
      <c r="B372" s="6" t="s">
        <v>341</v>
      </c>
      <c r="C372" s="6" t="n">
        <v>7</v>
      </c>
      <c r="D372" s="25" t="n">
        <f aca="false">EDATE('Start Here'!$B$6,C372-1)</f>
        <v>46508</v>
      </c>
      <c r="E372" s="11" t="n">
        <f aca="false">IF(AND(C372&gt;=Staffing!$F$12,C372&lt;=Staffing!$G$12,1=1),IF(C372&lt;=6,Staffing!$H$12,IF(C372&lt;=15,Staffing!$I$12,IF(C372&lt;=30,Staffing!$J$12,Staffing!$K$12))),0)</f>
        <v>0.15</v>
      </c>
      <c r="F372" s="10" t="n">
        <f aca="false">E372*Staffing!$L$12/12*(1+Assumptions!$C$10)^INT((C372-1)/12)*1</f>
        <v>1625</v>
      </c>
      <c r="G372" s="10" t="n">
        <f aca="false">F372*Staffing!$N$12</f>
        <v>0</v>
      </c>
      <c r="H372" s="10" t="n">
        <f aca="false">F372+G372</f>
        <v>1625</v>
      </c>
      <c r="I372" s="10" t="n">
        <f aca="false">0</f>
        <v>0</v>
      </c>
      <c r="J372" s="10" t="n">
        <f aca="false">MAX(0,E372-E371)*Staffing!$O$12</f>
        <v>0</v>
      </c>
      <c r="K372" s="10" t="n">
        <f aca="false">MAX(0,E372-E371)*Staffing!$P$12</f>
        <v>0</v>
      </c>
      <c r="L372" s="23" t="n">
        <f aca="false">ROUNDUP(E372,0)</f>
        <v>1</v>
      </c>
    </row>
    <row r="373" customFormat="false" ht="15" hidden="false" customHeight="false" outlineLevel="0" collapsed="false">
      <c r="A373" s="6" t="s">
        <v>72</v>
      </c>
      <c r="B373" s="6" t="s">
        <v>341</v>
      </c>
      <c r="C373" s="6" t="n">
        <v>8</v>
      </c>
      <c r="D373" s="25" t="n">
        <f aca="false">EDATE('Start Here'!$B$6,C373-1)</f>
        <v>46539</v>
      </c>
      <c r="E373" s="11" t="n">
        <f aca="false">IF(AND(C373&gt;=Staffing!$F$12,C373&lt;=Staffing!$G$12,1=1),IF(C373&lt;=6,Staffing!$H$12,IF(C373&lt;=15,Staffing!$I$12,IF(C373&lt;=30,Staffing!$J$12,Staffing!$K$12))),0)</f>
        <v>0.15</v>
      </c>
      <c r="F373" s="10" t="n">
        <f aca="false">E373*Staffing!$L$12/12*(1+Assumptions!$C$10)^INT((C373-1)/12)*1</f>
        <v>1625</v>
      </c>
      <c r="G373" s="10" t="n">
        <f aca="false">F373*Staffing!$N$12</f>
        <v>0</v>
      </c>
      <c r="H373" s="10" t="n">
        <f aca="false">F373+G373</f>
        <v>1625</v>
      </c>
      <c r="I373" s="10" t="n">
        <f aca="false">0</f>
        <v>0</v>
      </c>
      <c r="J373" s="10" t="n">
        <f aca="false">MAX(0,E373-E372)*Staffing!$O$12</f>
        <v>0</v>
      </c>
      <c r="K373" s="10" t="n">
        <f aca="false">MAX(0,E373-E372)*Staffing!$P$12</f>
        <v>0</v>
      </c>
      <c r="L373" s="23" t="n">
        <f aca="false">ROUNDUP(E373,0)</f>
        <v>1</v>
      </c>
    </row>
    <row r="374" customFormat="false" ht="15" hidden="false" customHeight="false" outlineLevel="0" collapsed="false">
      <c r="A374" s="6" t="s">
        <v>72</v>
      </c>
      <c r="B374" s="6" t="s">
        <v>341</v>
      </c>
      <c r="C374" s="6" t="n">
        <v>9</v>
      </c>
      <c r="D374" s="25" t="n">
        <f aca="false">EDATE('Start Here'!$B$6,C374-1)</f>
        <v>46569</v>
      </c>
      <c r="E374" s="11" t="n">
        <f aca="false">IF(AND(C374&gt;=Staffing!$F$12,C374&lt;=Staffing!$G$12,1=1),IF(C374&lt;=6,Staffing!$H$12,IF(C374&lt;=15,Staffing!$I$12,IF(C374&lt;=30,Staffing!$J$12,Staffing!$K$12))),0)</f>
        <v>0.15</v>
      </c>
      <c r="F374" s="10" t="n">
        <f aca="false">E374*Staffing!$L$12/12*(1+Assumptions!$C$10)^INT((C374-1)/12)*1</f>
        <v>1625</v>
      </c>
      <c r="G374" s="10" t="n">
        <f aca="false">F374*Staffing!$N$12</f>
        <v>0</v>
      </c>
      <c r="H374" s="10" t="n">
        <f aca="false">F374+G374</f>
        <v>1625</v>
      </c>
      <c r="I374" s="10" t="n">
        <f aca="false">0</f>
        <v>0</v>
      </c>
      <c r="J374" s="10" t="n">
        <f aca="false">MAX(0,E374-E373)*Staffing!$O$12</f>
        <v>0</v>
      </c>
      <c r="K374" s="10" t="n">
        <f aca="false">MAX(0,E374-E373)*Staffing!$P$12</f>
        <v>0</v>
      </c>
      <c r="L374" s="23" t="n">
        <f aca="false">ROUNDUP(E374,0)</f>
        <v>1</v>
      </c>
    </row>
    <row r="375" customFormat="false" ht="15" hidden="false" customHeight="false" outlineLevel="0" collapsed="false">
      <c r="A375" s="6" t="s">
        <v>72</v>
      </c>
      <c r="B375" s="6" t="s">
        <v>341</v>
      </c>
      <c r="C375" s="6" t="n">
        <v>10</v>
      </c>
      <c r="D375" s="25" t="n">
        <f aca="false">EDATE('Start Here'!$B$6,C375-1)</f>
        <v>46600</v>
      </c>
      <c r="E375" s="11" t="n">
        <f aca="false">IF(AND(C375&gt;=Staffing!$F$12,C375&lt;=Staffing!$G$12,1=1),IF(C375&lt;=6,Staffing!$H$12,IF(C375&lt;=15,Staffing!$I$12,IF(C375&lt;=30,Staffing!$J$12,Staffing!$K$12))),0)</f>
        <v>0.15</v>
      </c>
      <c r="F375" s="10" t="n">
        <f aca="false">E375*Staffing!$L$12/12*(1+Assumptions!$C$10)^INT((C375-1)/12)*1</f>
        <v>1625</v>
      </c>
      <c r="G375" s="10" t="n">
        <f aca="false">F375*Staffing!$N$12</f>
        <v>0</v>
      </c>
      <c r="H375" s="10" t="n">
        <f aca="false">F375+G375</f>
        <v>1625</v>
      </c>
      <c r="I375" s="10" t="n">
        <f aca="false">0</f>
        <v>0</v>
      </c>
      <c r="J375" s="10" t="n">
        <f aca="false">MAX(0,E375-E374)*Staffing!$O$12</f>
        <v>0</v>
      </c>
      <c r="K375" s="10" t="n">
        <f aca="false">MAX(0,E375-E374)*Staffing!$P$12</f>
        <v>0</v>
      </c>
      <c r="L375" s="23" t="n">
        <f aca="false">ROUNDUP(E375,0)</f>
        <v>1</v>
      </c>
    </row>
    <row r="376" customFormat="false" ht="15" hidden="false" customHeight="false" outlineLevel="0" collapsed="false">
      <c r="A376" s="6" t="s">
        <v>72</v>
      </c>
      <c r="B376" s="6" t="s">
        <v>341</v>
      </c>
      <c r="C376" s="6" t="n">
        <v>11</v>
      </c>
      <c r="D376" s="25" t="n">
        <f aca="false">EDATE('Start Here'!$B$6,C376-1)</f>
        <v>46631</v>
      </c>
      <c r="E376" s="11" t="n">
        <f aca="false">IF(AND(C376&gt;=Staffing!$F$12,C376&lt;=Staffing!$G$12,1=1),IF(C376&lt;=6,Staffing!$H$12,IF(C376&lt;=15,Staffing!$I$12,IF(C376&lt;=30,Staffing!$J$12,Staffing!$K$12))),0)</f>
        <v>0.15</v>
      </c>
      <c r="F376" s="10" t="n">
        <f aca="false">E376*Staffing!$L$12/12*(1+Assumptions!$C$10)^INT((C376-1)/12)*1</f>
        <v>1625</v>
      </c>
      <c r="G376" s="10" t="n">
        <f aca="false">F376*Staffing!$N$12</f>
        <v>0</v>
      </c>
      <c r="H376" s="10" t="n">
        <f aca="false">F376+G376</f>
        <v>1625</v>
      </c>
      <c r="I376" s="10" t="n">
        <f aca="false">0</f>
        <v>0</v>
      </c>
      <c r="J376" s="10" t="n">
        <f aca="false">MAX(0,E376-E375)*Staffing!$O$12</f>
        <v>0</v>
      </c>
      <c r="K376" s="10" t="n">
        <f aca="false">MAX(0,E376-E375)*Staffing!$P$12</f>
        <v>0</v>
      </c>
      <c r="L376" s="23" t="n">
        <f aca="false">ROUNDUP(E376,0)</f>
        <v>1</v>
      </c>
    </row>
    <row r="377" customFormat="false" ht="15" hidden="false" customHeight="false" outlineLevel="0" collapsed="false">
      <c r="A377" s="6" t="s">
        <v>72</v>
      </c>
      <c r="B377" s="6" t="s">
        <v>341</v>
      </c>
      <c r="C377" s="6" t="n">
        <v>12</v>
      </c>
      <c r="D377" s="25" t="n">
        <f aca="false">EDATE('Start Here'!$B$6,C377-1)</f>
        <v>46661</v>
      </c>
      <c r="E377" s="11" t="n">
        <f aca="false">IF(AND(C377&gt;=Staffing!$F$12,C377&lt;=Staffing!$G$12,1=1),IF(C377&lt;=6,Staffing!$H$12,IF(C377&lt;=15,Staffing!$I$12,IF(C377&lt;=30,Staffing!$J$12,Staffing!$K$12))),0)</f>
        <v>0.15</v>
      </c>
      <c r="F377" s="10" t="n">
        <f aca="false">E377*Staffing!$L$12/12*(1+Assumptions!$C$10)^INT((C377-1)/12)*1</f>
        <v>1625</v>
      </c>
      <c r="G377" s="10" t="n">
        <f aca="false">F377*Staffing!$N$12</f>
        <v>0</v>
      </c>
      <c r="H377" s="10" t="n">
        <f aca="false">F377+G377</f>
        <v>1625</v>
      </c>
      <c r="I377" s="10" t="n">
        <f aca="false">0</f>
        <v>0</v>
      </c>
      <c r="J377" s="10" t="n">
        <f aca="false">MAX(0,E377-E376)*Staffing!$O$12</f>
        <v>0</v>
      </c>
      <c r="K377" s="10" t="n">
        <f aca="false">MAX(0,E377-E376)*Staffing!$P$12</f>
        <v>0</v>
      </c>
      <c r="L377" s="23" t="n">
        <f aca="false">ROUNDUP(E377,0)</f>
        <v>1</v>
      </c>
    </row>
    <row r="378" customFormat="false" ht="15" hidden="false" customHeight="false" outlineLevel="0" collapsed="false">
      <c r="A378" s="6" t="s">
        <v>72</v>
      </c>
      <c r="B378" s="6" t="s">
        <v>341</v>
      </c>
      <c r="C378" s="6" t="n">
        <v>13</v>
      </c>
      <c r="D378" s="25" t="n">
        <f aca="false">EDATE('Start Here'!$B$6,C378-1)</f>
        <v>46692</v>
      </c>
      <c r="E378" s="11" t="n">
        <f aca="false">IF(AND(C378&gt;=Staffing!$F$12,C378&lt;=Staffing!$G$12,1=1),IF(C378&lt;=6,Staffing!$H$12,IF(C378&lt;=15,Staffing!$I$12,IF(C378&lt;=30,Staffing!$J$12,Staffing!$K$12))),0)</f>
        <v>0.15</v>
      </c>
      <c r="F378" s="10" t="n">
        <f aca="false">E378*Staffing!$L$12/12*(1+Assumptions!$C$10)^INT((C378-1)/12)*1</f>
        <v>1673.75</v>
      </c>
      <c r="G378" s="10" t="n">
        <f aca="false">F378*Staffing!$N$12</f>
        <v>0</v>
      </c>
      <c r="H378" s="10" t="n">
        <f aca="false">F378+G378</f>
        <v>1673.75</v>
      </c>
      <c r="I378" s="10" t="n">
        <f aca="false">0</f>
        <v>0</v>
      </c>
      <c r="J378" s="10" t="n">
        <f aca="false">MAX(0,E378-E377)*Staffing!$O$12</f>
        <v>0</v>
      </c>
      <c r="K378" s="10" t="n">
        <f aca="false">MAX(0,E378-E377)*Staffing!$P$12</f>
        <v>0</v>
      </c>
      <c r="L378" s="23" t="n">
        <f aca="false">ROUNDUP(E378,0)</f>
        <v>1</v>
      </c>
    </row>
    <row r="379" customFormat="false" ht="15" hidden="false" customHeight="false" outlineLevel="0" collapsed="false">
      <c r="A379" s="6" t="s">
        <v>72</v>
      </c>
      <c r="B379" s="6" t="s">
        <v>341</v>
      </c>
      <c r="C379" s="6" t="n">
        <v>14</v>
      </c>
      <c r="D379" s="25" t="n">
        <f aca="false">EDATE('Start Here'!$B$6,C379-1)</f>
        <v>46722</v>
      </c>
      <c r="E379" s="11" t="n">
        <f aca="false">IF(AND(C379&gt;=Staffing!$F$12,C379&lt;=Staffing!$G$12,1=1),IF(C379&lt;=6,Staffing!$H$12,IF(C379&lt;=15,Staffing!$I$12,IF(C379&lt;=30,Staffing!$J$12,Staffing!$K$12))),0)</f>
        <v>0.15</v>
      </c>
      <c r="F379" s="10" t="n">
        <f aca="false">E379*Staffing!$L$12/12*(1+Assumptions!$C$10)^INT((C379-1)/12)*1</f>
        <v>1673.75</v>
      </c>
      <c r="G379" s="10" t="n">
        <f aca="false">F379*Staffing!$N$12</f>
        <v>0</v>
      </c>
      <c r="H379" s="10" t="n">
        <f aca="false">F379+G379</f>
        <v>1673.75</v>
      </c>
      <c r="I379" s="10" t="n">
        <f aca="false">0</f>
        <v>0</v>
      </c>
      <c r="J379" s="10" t="n">
        <f aca="false">MAX(0,E379-E378)*Staffing!$O$12</f>
        <v>0</v>
      </c>
      <c r="K379" s="10" t="n">
        <f aca="false">MAX(0,E379-E378)*Staffing!$P$12</f>
        <v>0</v>
      </c>
      <c r="L379" s="23" t="n">
        <f aca="false">ROUNDUP(E379,0)</f>
        <v>1</v>
      </c>
    </row>
    <row r="380" customFormat="false" ht="15" hidden="false" customHeight="false" outlineLevel="0" collapsed="false">
      <c r="A380" s="6" t="s">
        <v>72</v>
      </c>
      <c r="B380" s="6" t="s">
        <v>341</v>
      </c>
      <c r="C380" s="6" t="n">
        <v>15</v>
      </c>
      <c r="D380" s="25" t="n">
        <f aca="false">EDATE('Start Here'!$B$6,C380-1)</f>
        <v>46753</v>
      </c>
      <c r="E380" s="11" t="n">
        <f aca="false">IF(AND(C380&gt;=Staffing!$F$12,C380&lt;=Staffing!$G$12,1=1),IF(C380&lt;=6,Staffing!$H$12,IF(C380&lt;=15,Staffing!$I$12,IF(C380&lt;=30,Staffing!$J$12,Staffing!$K$12))),0)</f>
        <v>0.15</v>
      </c>
      <c r="F380" s="10" t="n">
        <f aca="false">E380*Staffing!$L$12/12*(1+Assumptions!$C$10)^INT((C380-1)/12)*1</f>
        <v>1673.75</v>
      </c>
      <c r="G380" s="10" t="n">
        <f aca="false">F380*Staffing!$N$12</f>
        <v>0</v>
      </c>
      <c r="H380" s="10" t="n">
        <f aca="false">F380+G380</f>
        <v>1673.75</v>
      </c>
      <c r="I380" s="10" t="n">
        <f aca="false">0</f>
        <v>0</v>
      </c>
      <c r="J380" s="10" t="n">
        <f aca="false">MAX(0,E380-E379)*Staffing!$O$12</f>
        <v>0</v>
      </c>
      <c r="K380" s="10" t="n">
        <f aca="false">MAX(0,E380-E379)*Staffing!$P$12</f>
        <v>0</v>
      </c>
      <c r="L380" s="23" t="n">
        <f aca="false">ROUNDUP(E380,0)</f>
        <v>1</v>
      </c>
    </row>
    <row r="381" customFormat="false" ht="15" hidden="false" customHeight="false" outlineLevel="0" collapsed="false">
      <c r="A381" s="6" t="s">
        <v>72</v>
      </c>
      <c r="B381" s="6" t="s">
        <v>341</v>
      </c>
      <c r="C381" s="6" t="n">
        <v>16</v>
      </c>
      <c r="D381" s="25" t="n">
        <f aca="false">EDATE('Start Here'!$B$6,C381-1)</f>
        <v>46784</v>
      </c>
      <c r="E381" s="11" t="n">
        <f aca="false">IF(AND(C381&gt;=Staffing!$F$12,C381&lt;=Staffing!$G$12,1=1),IF(C381&lt;=6,Staffing!$H$12,IF(C381&lt;=15,Staffing!$I$12,IF(C381&lt;=30,Staffing!$J$12,Staffing!$K$12))),0)</f>
        <v>0.1</v>
      </c>
      <c r="F381" s="10" t="n">
        <f aca="false">E381*Staffing!$L$12/12*(1+Assumptions!$C$10)^INT((C381-1)/12)*1</f>
        <v>1115.83333333333</v>
      </c>
      <c r="G381" s="10" t="n">
        <f aca="false">F381*Staffing!$N$12</f>
        <v>0</v>
      </c>
      <c r="H381" s="10" t="n">
        <f aca="false">F381+G381</f>
        <v>1115.83333333333</v>
      </c>
      <c r="I381" s="10" t="n">
        <f aca="false">0</f>
        <v>0</v>
      </c>
      <c r="J381" s="10" t="n">
        <f aca="false">MAX(0,E381-E380)*Staffing!$O$12</f>
        <v>0</v>
      </c>
      <c r="K381" s="10" t="n">
        <f aca="false">MAX(0,E381-E380)*Staffing!$P$12</f>
        <v>0</v>
      </c>
      <c r="L381" s="23" t="n">
        <f aca="false">ROUNDUP(E381,0)</f>
        <v>1</v>
      </c>
    </row>
    <row r="382" customFormat="false" ht="15" hidden="false" customHeight="false" outlineLevel="0" collapsed="false">
      <c r="A382" s="6" t="s">
        <v>72</v>
      </c>
      <c r="B382" s="6" t="s">
        <v>341</v>
      </c>
      <c r="C382" s="6" t="n">
        <v>17</v>
      </c>
      <c r="D382" s="25" t="n">
        <f aca="false">EDATE('Start Here'!$B$6,C382-1)</f>
        <v>46813</v>
      </c>
      <c r="E382" s="11" t="n">
        <f aca="false">IF(AND(C382&gt;=Staffing!$F$12,C382&lt;=Staffing!$G$12,1=1),IF(C382&lt;=6,Staffing!$H$12,IF(C382&lt;=15,Staffing!$I$12,IF(C382&lt;=30,Staffing!$J$12,Staffing!$K$12))),0)</f>
        <v>0.1</v>
      </c>
      <c r="F382" s="10" t="n">
        <f aca="false">E382*Staffing!$L$12/12*(1+Assumptions!$C$10)^INT((C382-1)/12)*1</f>
        <v>1115.83333333333</v>
      </c>
      <c r="G382" s="10" t="n">
        <f aca="false">F382*Staffing!$N$12</f>
        <v>0</v>
      </c>
      <c r="H382" s="10" t="n">
        <f aca="false">F382+G382</f>
        <v>1115.83333333333</v>
      </c>
      <c r="I382" s="10" t="n">
        <f aca="false">0</f>
        <v>0</v>
      </c>
      <c r="J382" s="10" t="n">
        <f aca="false">MAX(0,E382-E381)*Staffing!$O$12</f>
        <v>0</v>
      </c>
      <c r="K382" s="10" t="n">
        <f aca="false">MAX(0,E382-E381)*Staffing!$P$12</f>
        <v>0</v>
      </c>
      <c r="L382" s="23" t="n">
        <f aca="false">ROUNDUP(E382,0)</f>
        <v>1</v>
      </c>
    </row>
    <row r="383" customFormat="false" ht="15" hidden="false" customHeight="false" outlineLevel="0" collapsed="false">
      <c r="A383" s="6" t="s">
        <v>72</v>
      </c>
      <c r="B383" s="6" t="s">
        <v>341</v>
      </c>
      <c r="C383" s="6" t="n">
        <v>18</v>
      </c>
      <c r="D383" s="25" t="n">
        <f aca="false">EDATE('Start Here'!$B$6,C383-1)</f>
        <v>46844</v>
      </c>
      <c r="E383" s="11" t="n">
        <f aca="false">IF(AND(C383&gt;=Staffing!$F$12,C383&lt;=Staffing!$G$12,1=1),IF(C383&lt;=6,Staffing!$H$12,IF(C383&lt;=15,Staffing!$I$12,IF(C383&lt;=30,Staffing!$J$12,Staffing!$K$12))),0)</f>
        <v>0.1</v>
      </c>
      <c r="F383" s="10" t="n">
        <f aca="false">E383*Staffing!$L$12/12*(1+Assumptions!$C$10)^INT((C383-1)/12)*1</f>
        <v>1115.83333333333</v>
      </c>
      <c r="G383" s="10" t="n">
        <f aca="false">F383*Staffing!$N$12</f>
        <v>0</v>
      </c>
      <c r="H383" s="10" t="n">
        <f aca="false">F383+G383</f>
        <v>1115.83333333333</v>
      </c>
      <c r="I383" s="10" t="n">
        <f aca="false">0</f>
        <v>0</v>
      </c>
      <c r="J383" s="10" t="n">
        <f aca="false">MAX(0,E383-E382)*Staffing!$O$12</f>
        <v>0</v>
      </c>
      <c r="K383" s="10" t="n">
        <f aca="false">MAX(0,E383-E382)*Staffing!$P$12</f>
        <v>0</v>
      </c>
      <c r="L383" s="23" t="n">
        <f aca="false">ROUNDUP(E383,0)</f>
        <v>1</v>
      </c>
    </row>
    <row r="384" customFormat="false" ht="15" hidden="false" customHeight="false" outlineLevel="0" collapsed="false">
      <c r="A384" s="6" t="s">
        <v>72</v>
      </c>
      <c r="B384" s="6" t="s">
        <v>341</v>
      </c>
      <c r="C384" s="6" t="n">
        <v>19</v>
      </c>
      <c r="D384" s="25" t="n">
        <f aca="false">EDATE('Start Here'!$B$6,C384-1)</f>
        <v>46874</v>
      </c>
      <c r="E384" s="11" t="n">
        <f aca="false">IF(AND(C384&gt;=Staffing!$F$12,C384&lt;=Staffing!$G$12,1=1),IF(C384&lt;=6,Staffing!$H$12,IF(C384&lt;=15,Staffing!$I$12,IF(C384&lt;=30,Staffing!$J$12,Staffing!$K$12))),0)</f>
        <v>0.1</v>
      </c>
      <c r="F384" s="10" t="n">
        <f aca="false">E384*Staffing!$L$12/12*(1+Assumptions!$C$10)^INT((C384-1)/12)*1</f>
        <v>1115.83333333333</v>
      </c>
      <c r="G384" s="10" t="n">
        <f aca="false">F384*Staffing!$N$12</f>
        <v>0</v>
      </c>
      <c r="H384" s="10" t="n">
        <f aca="false">F384+G384</f>
        <v>1115.83333333333</v>
      </c>
      <c r="I384" s="10" t="n">
        <f aca="false">0</f>
        <v>0</v>
      </c>
      <c r="J384" s="10" t="n">
        <f aca="false">MAX(0,E384-E383)*Staffing!$O$12</f>
        <v>0</v>
      </c>
      <c r="K384" s="10" t="n">
        <f aca="false">MAX(0,E384-E383)*Staffing!$P$12</f>
        <v>0</v>
      </c>
      <c r="L384" s="23" t="n">
        <f aca="false">ROUNDUP(E384,0)</f>
        <v>1</v>
      </c>
    </row>
    <row r="385" customFormat="false" ht="15" hidden="false" customHeight="false" outlineLevel="0" collapsed="false">
      <c r="A385" s="6" t="s">
        <v>72</v>
      </c>
      <c r="B385" s="6" t="s">
        <v>341</v>
      </c>
      <c r="C385" s="6" t="n">
        <v>20</v>
      </c>
      <c r="D385" s="25" t="n">
        <f aca="false">EDATE('Start Here'!$B$6,C385-1)</f>
        <v>46905</v>
      </c>
      <c r="E385" s="11" t="n">
        <f aca="false">IF(AND(C385&gt;=Staffing!$F$12,C385&lt;=Staffing!$G$12,1=1),IF(C385&lt;=6,Staffing!$H$12,IF(C385&lt;=15,Staffing!$I$12,IF(C385&lt;=30,Staffing!$J$12,Staffing!$K$12))),0)</f>
        <v>0.1</v>
      </c>
      <c r="F385" s="10" t="n">
        <f aca="false">E385*Staffing!$L$12/12*(1+Assumptions!$C$10)^INT((C385-1)/12)*1</f>
        <v>1115.83333333333</v>
      </c>
      <c r="G385" s="10" t="n">
        <f aca="false">F385*Staffing!$N$12</f>
        <v>0</v>
      </c>
      <c r="H385" s="10" t="n">
        <f aca="false">F385+G385</f>
        <v>1115.83333333333</v>
      </c>
      <c r="I385" s="10" t="n">
        <f aca="false">0</f>
        <v>0</v>
      </c>
      <c r="J385" s="10" t="n">
        <f aca="false">MAX(0,E385-E384)*Staffing!$O$12</f>
        <v>0</v>
      </c>
      <c r="K385" s="10" t="n">
        <f aca="false">MAX(0,E385-E384)*Staffing!$P$12</f>
        <v>0</v>
      </c>
      <c r="L385" s="23" t="n">
        <f aca="false">ROUNDUP(E385,0)</f>
        <v>1</v>
      </c>
    </row>
    <row r="386" customFormat="false" ht="15" hidden="false" customHeight="false" outlineLevel="0" collapsed="false">
      <c r="A386" s="6" t="s">
        <v>72</v>
      </c>
      <c r="B386" s="6" t="s">
        <v>341</v>
      </c>
      <c r="C386" s="6" t="n">
        <v>21</v>
      </c>
      <c r="D386" s="25" t="n">
        <f aca="false">EDATE('Start Here'!$B$6,C386-1)</f>
        <v>46935</v>
      </c>
      <c r="E386" s="11" t="n">
        <f aca="false">IF(AND(C386&gt;=Staffing!$F$12,C386&lt;=Staffing!$G$12,1=1),IF(C386&lt;=6,Staffing!$H$12,IF(C386&lt;=15,Staffing!$I$12,IF(C386&lt;=30,Staffing!$J$12,Staffing!$K$12))),0)</f>
        <v>0.1</v>
      </c>
      <c r="F386" s="10" t="n">
        <f aca="false">E386*Staffing!$L$12/12*(1+Assumptions!$C$10)^INT((C386-1)/12)*1</f>
        <v>1115.83333333333</v>
      </c>
      <c r="G386" s="10" t="n">
        <f aca="false">F386*Staffing!$N$12</f>
        <v>0</v>
      </c>
      <c r="H386" s="10" t="n">
        <f aca="false">F386+G386</f>
        <v>1115.83333333333</v>
      </c>
      <c r="I386" s="10" t="n">
        <f aca="false">0</f>
        <v>0</v>
      </c>
      <c r="J386" s="10" t="n">
        <f aca="false">MAX(0,E386-E385)*Staffing!$O$12</f>
        <v>0</v>
      </c>
      <c r="K386" s="10" t="n">
        <f aca="false">MAX(0,E386-E385)*Staffing!$P$12</f>
        <v>0</v>
      </c>
      <c r="L386" s="23" t="n">
        <f aca="false">ROUNDUP(E386,0)</f>
        <v>1</v>
      </c>
    </row>
    <row r="387" customFormat="false" ht="15" hidden="false" customHeight="false" outlineLevel="0" collapsed="false">
      <c r="A387" s="6" t="s">
        <v>72</v>
      </c>
      <c r="B387" s="6" t="s">
        <v>341</v>
      </c>
      <c r="C387" s="6" t="n">
        <v>22</v>
      </c>
      <c r="D387" s="25" t="n">
        <f aca="false">EDATE('Start Here'!$B$6,C387-1)</f>
        <v>46966</v>
      </c>
      <c r="E387" s="11" t="n">
        <f aca="false">IF(AND(C387&gt;=Staffing!$F$12,C387&lt;=Staffing!$G$12,1=1),IF(C387&lt;=6,Staffing!$H$12,IF(C387&lt;=15,Staffing!$I$12,IF(C387&lt;=30,Staffing!$J$12,Staffing!$K$12))),0)</f>
        <v>0.1</v>
      </c>
      <c r="F387" s="10" t="n">
        <f aca="false">E387*Staffing!$L$12/12*(1+Assumptions!$C$10)^INT((C387-1)/12)*1</f>
        <v>1115.83333333333</v>
      </c>
      <c r="G387" s="10" t="n">
        <f aca="false">F387*Staffing!$N$12</f>
        <v>0</v>
      </c>
      <c r="H387" s="10" t="n">
        <f aca="false">F387+G387</f>
        <v>1115.83333333333</v>
      </c>
      <c r="I387" s="10" t="n">
        <f aca="false">0</f>
        <v>0</v>
      </c>
      <c r="J387" s="10" t="n">
        <f aca="false">MAX(0,E387-E386)*Staffing!$O$12</f>
        <v>0</v>
      </c>
      <c r="K387" s="10" t="n">
        <f aca="false">MAX(0,E387-E386)*Staffing!$P$12</f>
        <v>0</v>
      </c>
      <c r="L387" s="23" t="n">
        <f aca="false">ROUNDUP(E387,0)</f>
        <v>1</v>
      </c>
    </row>
    <row r="388" customFormat="false" ht="15" hidden="false" customHeight="false" outlineLevel="0" collapsed="false">
      <c r="A388" s="6" t="s">
        <v>72</v>
      </c>
      <c r="B388" s="6" t="s">
        <v>341</v>
      </c>
      <c r="C388" s="6" t="n">
        <v>23</v>
      </c>
      <c r="D388" s="25" t="n">
        <f aca="false">EDATE('Start Here'!$B$6,C388-1)</f>
        <v>46997</v>
      </c>
      <c r="E388" s="11" t="n">
        <f aca="false">IF(AND(C388&gt;=Staffing!$F$12,C388&lt;=Staffing!$G$12,1=1),IF(C388&lt;=6,Staffing!$H$12,IF(C388&lt;=15,Staffing!$I$12,IF(C388&lt;=30,Staffing!$J$12,Staffing!$K$12))),0)</f>
        <v>0.1</v>
      </c>
      <c r="F388" s="10" t="n">
        <f aca="false">E388*Staffing!$L$12/12*(1+Assumptions!$C$10)^INT((C388-1)/12)*1</f>
        <v>1115.83333333333</v>
      </c>
      <c r="G388" s="10" t="n">
        <f aca="false">F388*Staffing!$N$12</f>
        <v>0</v>
      </c>
      <c r="H388" s="10" t="n">
        <f aca="false">F388+G388</f>
        <v>1115.83333333333</v>
      </c>
      <c r="I388" s="10" t="n">
        <f aca="false">0</f>
        <v>0</v>
      </c>
      <c r="J388" s="10" t="n">
        <f aca="false">MAX(0,E388-E387)*Staffing!$O$12</f>
        <v>0</v>
      </c>
      <c r="K388" s="10" t="n">
        <f aca="false">MAX(0,E388-E387)*Staffing!$P$12</f>
        <v>0</v>
      </c>
      <c r="L388" s="23" t="n">
        <f aca="false">ROUNDUP(E388,0)</f>
        <v>1</v>
      </c>
    </row>
    <row r="389" customFormat="false" ht="15" hidden="false" customHeight="false" outlineLevel="0" collapsed="false">
      <c r="A389" s="6" t="s">
        <v>72</v>
      </c>
      <c r="B389" s="6" t="s">
        <v>341</v>
      </c>
      <c r="C389" s="6" t="n">
        <v>24</v>
      </c>
      <c r="D389" s="25" t="n">
        <f aca="false">EDATE('Start Here'!$B$6,C389-1)</f>
        <v>47027</v>
      </c>
      <c r="E389" s="11" t="n">
        <f aca="false">IF(AND(C389&gt;=Staffing!$F$12,C389&lt;=Staffing!$G$12,1=1),IF(C389&lt;=6,Staffing!$H$12,IF(C389&lt;=15,Staffing!$I$12,IF(C389&lt;=30,Staffing!$J$12,Staffing!$K$12))),0)</f>
        <v>0.1</v>
      </c>
      <c r="F389" s="10" t="n">
        <f aca="false">E389*Staffing!$L$12/12*(1+Assumptions!$C$10)^INT((C389-1)/12)*1</f>
        <v>1115.83333333333</v>
      </c>
      <c r="G389" s="10" t="n">
        <f aca="false">F389*Staffing!$N$12</f>
        <v>0</v>
      </c>
      <c r="H389" s="10" t="n">
        <f aca="false">F389+G389</f>
        <v>1115.83333333333</v>
      </c>
      <c r="I389" s="10" t="n">
        <f aca="false">0</f>
        <v>0</v>
      </c>
      <c r="J389" s="10" t="n">
        <f aca="false">MAX(0,E389-E388)*Staffing!$O$12</f>
        <v>0</v>
      </c>
      <c r="K389" s="10" t="n">
        <f aca="false">MAX(0,E389-E388)*Staffing!$P$12</f>
        <v>0</v>
      </c>
      <c r="L389" s="23" t="n">
        <f aca="false">ROUNDUP(E389,0)</f>
        <v>1</v>
      </c>
    </row>
    <row r="390" customFormat="false" ht="15" hidden="false" customHeight="false" outlineLevel="0" collapsed="false">
      <c r="A390" s="6" t="s">
        <v>72</v>
      </c>
      <c r="B390" s="6" t="s">
        <v>341</v>
      </c>
      <c r="C390" s="6" t="n">
        <v>25</v>
      </c>
      <c r="D390" s="25" t="n">
        <f aca="false">EDATE('Start Here'!$B$6,C390-1)</f>
        <v>47058</v>
      </c>
      <c r="E390" s="23" t="n">
        <f aca="false">IF(AND(C390&gt;=Staffing!$F$12,C390&lt;=Staffing!$G$12,1=1),IF(C390&lt;=6,Staffing!$H$12,IF(C390&lt;=15,Staffing!$I$12,IF(C390&lt;=30,Staffing!$J$12,Staffing!$K$12))),0)</f>
        <v>0</v>
      </c>
      <c r="F390" s="10" t="n">
        <f aca="false">E390*Staffing!$L$12/12*(1+Assumptions!$C$10)^INT((C390-1)/12)*1</f>
        <v>0</v>
      </c>
      <c r="G390" s="10" t="n">
        <f aca="false">F390*Staffing!$N$12</f>
        <v>0</v>
      </c>
      <c r="H390" s="10" t="n">
        <f aca="false">F390+G390</f>
        <v>0</v>
      </c>
      <c r="I390" s="10" t="n">
        <f aca="false">0</f>
        <v>0</v>
      </c>
      <c r="J390" s="10" t="n">
        <f aca="false">MAX(0,E390-E389)*Staffing!$O$12</f>
        <v>0</v>
      </c>
      <c r="K390" s="10" t="n">
        <f aca="false">MAX(0,E390-E389)*Staffing!$P$12</f>
        <v>0</v>
      </c>
      <c r="L390" s="23" t="n">
        <f aca="false">ROUNDUP(E390,0)</f>
        <v>0</v>
      </c>
    </row>
    <row r="391" customFormat="false" ht="15" hidden="false" customHeight="false" outlineLevel="0" collapsed="false">
      <c r="A391" s="6" t="s">
        <v>72</v>
      </c>
      <c r="B391" s="6" t="s">
        <v>341</v>
      </c>
      <c r="C391" s="6" t="n">
        <v>26</v>
      </c>
      <c r="D391" s="25" t="n">
        <f aca="false">EDATE('Start Here'!$B$6,C391-1)</f>
        <v>47088</v>
      </c>
      <c r="E391" s="23" t="n">
        <f aca="false">IF(AND(C391&gt;=Staffing!$F$12,C391&lt;=Staffing!$G$12,1=1),IF(C391&lt;=6,Staffing!$H$12,IF(C391&lt;=15,Staffing!$I$12,IF(C391&lt;=30,Staffing!$J$12,Staffing!$K$12))),0)</f>
        <v>0</v>
      </c>
      <c r="F391" s="10" t="n">
        <f aca="false">E391*Staffing!$L$12/12*(1+Assumptions!$C$10)^INT((C391-1)/12)*1</f>
        <v>0</v>
      </c>
      <c r="G391" s="10" t="n">
        <f aca="false">F391*Staffing!$N$12</f>
        <v>0</v>
      </c>
      <c r="H391" s="10" t="n">
        <f aca="false">F391+G391</f>
        <v>0</v>
      </c>
      <c r="I391" s="10" t="n">
        <f aca="false">0</f>
        <v>0</v>
      </c>
      <c r="J391" s="10" t="n">
        <f aca="false">MAX(0,E391-E390)*Staffing!$O$12</f>
        <v>0</v>
      </c>
      <c r="K391" s="10" t="n">
        <f aca="false">MAX(0,E391-E390)*Staffing!$P$12</f>
        <v>0</v>
      </c>
      <c r="L391" s="23" t="n">
        <f aca="false">ROUNDUP(E391,0)</f>
        <v>0</v>
      </c>
    </row>
    <row r="392" customFormat="false" ht="15" hidden="false" customHeight="false" outlineLevel="0" collapsed="false">
      <c r="A392" s="6" t="s">
        <v>72</v>
      </c>
      <c r="B392" s="6" t="s">
        <v>341</v>
      </c>
      <c r="C392" s="6" t="n">
        <v>27</v>
      </c>
      <c r="D392" s="25" t="n">
        <f aca="false">EDATE('Start Here'!$B$6,C392-1)</f>
        <v>47119</v>
      </c>
      <c r="E392" s="23" t="n">
        <f aca="false">IF(AND(C392&gt;=Staffing!$F$12,C392&lt;=Staffing!$G$12,1=1),IF(C392&lt;=6,Staffing!$H$12,IF(C392&lt;=15,Staffing!$I$12,IF(C392&lt;=30,Staffing!$J$12,Staffing!$K$12))),0)</f>
        <v>0</v>
      </c>
      <c r="F392" s="10" t="n">
        <f aca="false">E392*Staffing!$L$12/12*(1+Assumptions!$C$10)^INT((C392-1)/12)*1</f>
        <v>0</v>
      </c>
      <c r="G392" s="10" t="n">
        <f aca="false">F392*Staffing!$N$12</f>
        <v>0</v>
      </c>
      <c r="H392" s="10" t="n">
        <f aca="false">F392+G392</f>
        <v>0</v>
      </c>
      <c r="I392" s="10" t="n">
        <f aca="false">0</f>
        <v>0</v>
      </c>
      <c r="J392" s="10" t="n">
        <f aca="false">MAX(0,E392-E391)*Staffing!$O$12</f>
        <v>0</v>
      </c>
      <c r="K392" s="10" t="n">
        <f aca="false">MAX(0,E392-E391)*Staffing!$P$12</f>
        <v>0</v>
      </c>
      <c r="L392" s="23" t="n">
        <f aca="false">ROUNDUP(E392,0)</f>
        <v>0</v>
      </c>
    </row>
    <row r="393" customFormat="false" ht="15" hidden="false" customHeight="false" outlineLevel="0" collapsed="false">
      <c r="A393" s="6" t="s">
        <v>72</v>
      </c>
      <c r="B393" s="6" t="s">
        <v>341</v>
      </c>
      <c r="C393" s="6" t="n">
        <v>28</v>
      </c>
      <c r="D393" s="25" t="n">
        <f aca="false">EDATE('Start Here'!$B$6,C393-1)</f>
        <v>47150</v>
      </c>
      <c r="E393" s="23" t="n">
        <f aca="false">IF(AND(C393&gt;=Staffing!$F$12,C393&lt;=Staffing!$G$12,1=1),IF(C393&lt;=6,Staffing!$H$12,IF(C393&lt;=15,Staffing!$I$12,IF(C393&lt;=30,Staffing!$J$12,Staffing!$K$12))),0)</f>
        <v>0</v>
      </c>
      <c r="F393" s="10" t="n">
        <f aca="false">E393*Staffing!$L$12/12*(1+Assumptions!$C$10)^INT((C393-1)/12)*1</f>
        <v>0</v>
      </c>
      <c r="G393" s="10" t="n">
        <f aca="false">F393*Staffing!$N$12</f>
        <v>0</v>
      </c>
      <c r="H393" s="10" t="n">
        <f aca="false">F393+G393</f>
        <v>0</v>
      </c>
      <c r="I393" s="10" t="n">
        <f aca="false">0</f>
        <v>0</v>
      </c>
      <c r="J393" s="10" t="n">
        <f aca="false">MAX(0,E393-E392)*Staffing!$O$12</f>
        <v>0</v>
      </c>
      <c r="K393" s="10" t="n">
        <f aca="false">MAX(0,E393-E392)*Staffing!$P$12</f>
        <v>0</v>
      </c>
      <c r="L393" s="23" t="n">
        <f aca="false">ROUNDUP(E393,0)</f>
        <v>0</v>
      </c>
    </row>
    <row r="394" customFormat="false" ht="15" hidden="false" customHeight="false" outlineLevel="0" collapsed="false">
      <c r="A394" s="6" t="s">
        <v>72</v>
      </c>
      <c r="B394" s="6" t="s">
        <v>341</v>
      </c>
      <c r="C394" s="6" t="n">
        <v>29</v>
      </c>
      <c r="D394" s="25" t="n">
        <f aca="false">EDATE('Start Here'!$B$6,C394-1)</f>
        <v>47178</v>
      </c>
      <c r="E394" s="23" t="n">
        <f aca="false">IF(AND(C394&gt;=Staffing!$F$12,C394&lt;=Staffing!$G$12,1=1),IF(C394&lt;=6,Staffing!$H$12,IF(C394&lt;=15,Staffing!$I$12,IF(C394&lt;=30,Staffing!$J$12,Staffing!$K$12))),0)</f>
        <v>0</v>
      </c>
      <c r="F394" s="10" t="n">
        <f aca="false">E394*Staffing!$L$12/12*(1+Assumptions!$C$10)^INT((C394-1)/12)*1</f>
        <v>0</v>
      </c>
      <c r="G394" s="10" t="n">
        <f aca="false">F394*Staffing!$N$12</f>
        <v>0</v>
      </c>
      <c r="H394" s="10" t="n">
        <f aca="false">F394+G394</f>
        <v>0</v>
      </c>
      <c r="I394" s="10" t="n">
        <f aca="false">0</f>
        <v>0</v>
      </c>
      <c r="J394" s="10" t="n">
        <f aca="false">MAX(0,E394-E393)*Staffing!$O$12</f>
        <v>0</v>
      </c>
      <c r="K394" s="10" t="n">
        <f aca="false">MAX(0,E394-E393)*Staffing!$P$12</f>
        <v>0</v>
      </c>
      <c r="L394" s="23" t="n">
        <f aca="false">ROUNDUP(E394,0)</f>
        <v>0</v>
      </c>
    </row>
    <row r="395" customFormat="false" ht="15" hidden="false" customHeight="false" outlineLevel="0" collapsed="false">
      <c r="A395" s="6" t="s">
        <v>72</v>
      </c>
      <c r="B395" s="6" t="s">
        <v>341</v>
      </c>
      <c r="C395" s="6" t="n">
        <v>30</v>
      </c>
      <c r="D395" s="25" t="n">
        <f aca="false">EDATE('Start Here'!$B$6,C395-1)</f>
        <v>47209</v>
      </c>
      <c r="E395" s="23" t="n">
        <f aca="false">IF(AND(C395&gt;=Staffing!$F$12,C395&lt;=Staffing!$G$12,1=1),IF(C395&lt;=6,Staffing!$H$12,IF(C395&lt;=15,Staffing!$I$12,IF(C395&lt;=30,Staffing!$J$12,Staffing!$K$12))),0)</f>
        <v>0</v>
      </c>
      <c r="F395" s="10" t="n">
        <f aca="false">E395*Staffing!$L$12/12*(1+Assumptions!$C$10)^INT((C395-1)/12)*1</f>
        <v>0</v>
      </c>
      <c r="G395" s="10" t="n">
        <f aca="false">F395*Staffing!$N$12</f>
        <v>0</v>
      </c>
      <c r="H395" s="10" t="n">
        <f aca="false">F395+G395</f>
        <v>0</v>
      </c>
      <c r="I395" s="10" t="n">
        <f aca="false">0</f>
        <v>0</v>
      </c>
      <c r="J395" s="10" t="n">
        <f aca="false">MAX(0,E395-E394)*Staffing!$O$12</f>
        <v>0</v>
      </c>
      <c r="K395" s="10" t="n">
        <f aca="false">MAX(0,E395-E394)*Staffing!$P$12</f>
        <v>0</v>
      </c>
      <c r="L395" s="23" t="n">
        <f aca="false">ROUNDUP(E395,0)</f>
        <v>0</v>
      </c>
    </row>
    <row r="396" customFormat="false" ht="15" hidden="false" customHeight="false" outlineLevel="0" collapsed="false">
      <c r="A396" s="6" t="s">
        <v>72</v>
      </c>
      <c r="B396" s="6" t="s">
        <v>341</v>
      </c>
      <c r="C396" s="6" t="n">
        <v>31</v>
      </c>
      <c r="D396" s="25" t="n">
        <f aca="false">EDATE('Start Here'!$B$6,C396-1)</f>
        <v>47239</v>
      </c>
      <c r="E396" s="23" t="n">
        <f aca="false">IF(AND(C396&gt;=Staffing!$F$12,C396&lt;=Staffing!$G$12,1=1),IF(C396&lt;=6,Staffing!$H$12,IF(C396&lt;=15,Staffing!$I$12,IF(C396&lt;=30,Staffing!$J$12,Staffing!$K$12))),0)</f>
        <v>0</v>
      </c>
      <c r="F396" s="10" t="n">
        <f aca="false">E396*Staffing!$L$12/12*(1+Assumptions!$C$10)^INT((C396-1)/12)*1</f>
        <v>0</v>
      </c>
      <c r="G396" s="10" t="n">
        <f aca="false">F396*Staffing!$N$12</f>
        <v>0</v>
      </c>
      <c r="H396" s="10" t="n">
        <f aca="false">F396+G396</f>
        <v>0</v>
      </c>
      <c r="I396" s="10" t="n">
        <f aca="false">0</f>
        <v>0</v>
      </c>
      <c r="J396" s="10" t="n">
        <f aca="false">MAX(0,E396-E395)*Staffing!$O$12</f>
        <v>0</v>
      </c>
      <c r="K396" s="10" t="n">
        <f aca="false">MAX(0,E396-E395)*Staffing!$P$12</f>
        <v>0</v>
      </c>
      <c r="L396" s="23" t="n">
        <f aca="false">ROUNDUP(E396,0)</f>
        <v>0</v>
      </c>
    </row>
    <row r="397" customFormat="false" ht="15" hidden="false" customHeight="false" outlineLevel="0" collapsed="false">
      <c r="A397" s="6" t="s">
        <v>72</v>
      </c>
      <c r="B397" s="6" t="s">
        <v>341</v>
      </c>
      <c r="C397" s="6" t="n">
        <v>32</v>
      </c>
      <c r="D397" s="25" t="n">
        <f aca="false">EDATE('Start Here'!$B$6,C397-1)</f>
        <v>47270</v>
      </c>
      <c r="E397" s="23" t="n">
        <f aca="false">IF(AND(C397&gt;=Staffing!$F$12,C397&lt;=Staffing!$G$12,1=1),IF(C397&lt;=6,Staffing!$H$12,IF(C397&lt;=15,Staffing!$I$12,IF(C397&lt;=30,Staffing!$J$12,Staffing!$K$12))),0)</f>
        <v>0</v>
      </c>
      <c r="F397" s="10" t="n">
        <f aca="false">E397*Staffing!$L$12/12*(1+Assumptions!$C$10)^INT((C397-1)/12)*1</f>
        <v>0</v>
      </c>
      <c r="G397" s="10" t="n">
        <f aca="false">F397*Staffing!$N$12</f>
        <v>0</v>
      </c>
      <c r="H397" s="10" t="n">
        <f aca="false">F397+G397</f>
        <v>0</v>
      </c>
      <c r="I397" s="10" t="n">
        <f aca="false">0</f>
        <v>0</v>
      </c>
      <c r="J397" s="10" t="n">
        <f aca="false">MAX(0,E397-E396)*Staffing!$O$12</f>
        <v>0</v>
      </c>
      <c r="K397" s="10" t="n">
        <f aca="false">MAX(0,E397-E396)*Staffing!$P$12</f>
        <v>0</v>
      </c>
      <c r="L397" s="23" t="n">
        <f aca="false">ROUNDUP(E397,0)</f>
        <v>0</v>
      </c>
    </row>
    <row r="398" customFormat="false" ht="15" hidden="false" customHeight="false" outlineLevel="0" collapsed="false">
      <c r="A398" s="6" t="s">
        <v>72</v>
      </c>
      <c r="B398" s="6" t="s">
        <v>341</v>
      </c>
      <c r="C398" s="6" t="n">
        <v>33</v>
      </c>
      <c r="D398" s="25" t="n">
        <f aca="false">EDATE('Start Here'!$B$6,C398-1)</f>
        <v>47300</v>
      </c>
      <c r="E398" s="23" t="n">
        <f aca="false">IF(AND(C398&gt;=Staffing!$F$12,C398&lt;=Staffing!$G$12,1=1),IF(C398&lt;=6,Staffing!$H$12,IF(C398&lt;=15,Staffing!$I$12,IF(C398&lt;=30,Staffing!$J$12,Staffing!$K$12))),0)</f>
        <v>0</v>
      </c>
      <c r="F398" s="10" t="n">
        <f aca="false">E398*Staffing!$L$12/12*(1+Assumptions!$C$10)^INT((C398-1)/12)*1</f>
        <v>0</v>
      </c>
      <c r="G398" s="10" t="n">
        <f aca="false">F398*Staffing!$N$12</f>
        <v>0</v>
      </c>
      <c r="H398" s="10" t="n">
        <f aca="false">F398+G398</f>
        <v>0</v>
      </c>
      <c r="I398" s="10" t="n">
        <f aca="false">0</f>
        <v>0</v>
      </c>
      <c r="J398" s="10" t="n">
        <f aca="false">MAX(0,E398-E397)*Staffing!$O$12</f>
        <v>0</v>
      </c>
      <c r="K398" s="10" t="n">
        <f aca="false">MAX(0,E398-E397)*Staffing!$P$12</f>
        <v>0</v>
      </c>
      <c r="L398" s="23" t="n">
        <f aca="false">ROUNDUP(E398,0)</f>
        <v>0</v>
      </c>
    </row>
    <row r="399" customFormat="false" ht="15" hidden="false" customHeight="false" outlineLevel="0" collapsed="false">
      <c r="A399" s="6" t="s">
        <v>72</v>
      </c>
      <c r="B399" s="6" t="s">
        <v>341</v>
      </c>
      <c r="C399" s="6" t="n">
        <v>34</v>
      </c>
      <c r="D399" s="25" t="n">
        <f aca="false">EDATE('Start Here'!$B$6,C399-1)</f>
        <v>47331</v>
      </c>
      <c r="E399" s="23" t="n">
        <f aca="false">IF(AND(C399&gt;=Staffing!$F$12,C399&lt;=Staffing!$G$12,1=1),IF(C399&lt;=6,Staffing!$H$12,IF(C399&lt;=15,Staffing!$I$12,IF(C399&lt;=30,Staffing!$J$12,Staffing!$K$12))),0)</f>
        <v>0</v>
      </c>
      <c r="F399" s="10" t="n">
        <f aca="false">E399*Staffing!$L$12/12*(1+Assumptions!$C$10)^INT((C399-1)/12)*1</f>
        <v>0</v>
      </c>
      <c r="G399" s="10" t="n">
        <f aca="false">F399*Staffing!$N$12</f>
        <v>0</v>
      </c>
      <c r="H399" s="10" t="n">
        <f aca="false">F399+G399</f>
        <v>0</v>
      </c>
      <c r="I399" s="10" t="n">
        <f aca="false">0</f>
        <v>0</v>
      </c>
      <c r="J399" s="10" t="n">
        <f aca="false">MAX(0,E399-E398)*Staffing!$O$12</f>
        <v>0</v>
      </c>
      <c r="K399" s="10" t="n">
        <f aca="false">MAX(0,E399-E398)*Staffing!$P$12</f>
        <v>0</v>
      </c>
      <c r="L399" s="23" t="n">
        <f aca="false">ROUNDUP(E399,0)</f>
        <v>0</v>
      </c>
    </row>
    <row r="400" customFormat="false" ht="15" hidden="false" customHeight="false" outlineLevel="0" collapsed="false">
      <c r="A400" s="6" t="s">
        <v>72</v>
      </c>
      <c r="B400" s="6" t="s">
        <v>341</v>
      </c>
      <c r="C400" s="6" t="n">
        <v>35</v>
      </c>
      <c r="D400" s="25" t="n">
        <f aca="false">EDATE('Start Here'!$B$6,C400-1)</f>
        <v>47362</v>
      </c>
      <c r="E400" s="23" t="n">
        <f aca="false">IF(AND(C400&gt;=Staffing!$F$12,C400&lt;=Staffing!$G$12,1=1),IF(C400&lt;=6,Staffing!$H$12,IF(C400&lt;=15,Staffing!$I$12,IF(C400&lt;=30,Staffing!$J$12,Staffing!$K$12))),0)</f>
        <v>0</v>
      </c>
      <c r="F400" s="10" t="n">
        <f aca="false">E400*Staffing!$L$12/12*(1+Assumptions!$C$10)^INT((C400-1)/12)*1</f>
        <v>0</v>
      </c>
      <c r="G400" s="10" t="n">
        <f aca="false">F400*Staffing!$N$12</f>
        <v>0</v>
      </c>
      <c r="H400" s="10" t="n">
        <f aca="false">F400+G400</f>
        <v>0</v>
      </c>
      <c r="I400" s="10" t="n">
        <f aca="false">0</f>
        <v>0</v>
      </c>
      <c r="J400" s="10" t="n">
        <f aca="false">MAX(0,E400-E399)*Staffing!$O$12</f>
        <v>0</v>
      </c>
      <c r="K400" s="10" t="n">
        <f aca="false">MAX(0,E400-E399)*Staffing!$P$12</f>
        <v>0</v>
      </c>
      <c r="L400" s="23" t="n">
        <f aca="false">ROUNDUP(E400,0)</f>
        <v>0</v>
      </c>
    </row>
    <row r="401" customFormat="false" ht="15" hidden="false" customHeight="false" outlineLevel="0" collapsed="false">
      <c r="A401" s="6" t="s">
        <v>72</v>
      </c>
      <c r="B401" s="6" t="s">
        <v>341</v>
      </c>
      <c r="C401" s="6" t="n">
        <v>36</v>
      </c>
      <c r="D401" s="25" t="n">
        <f aca="false">EDATE('Start Here'!$B$6,C401-1)</f>
        <v>47392</v>
      </c>
      <c r="E401" s="23" t="n">
        <f aca="false">IF(AND(C401&gt;=Staffing!$F$12,C401&lt;=Staffing!$G$12,1=1),IF(C401&lt;=6,Staffing!$H$12,IF(C401&lt;=15,Staffing!$I$12,IF(C401&lt;=30,Staffing!$J$12,Staffing!$K$12))),0)</f>
        <v>0</v>
      </c>
      <c r="F401" s="10" t="n">
        <f aca="false">E401*Staffing!$L$12/12*(1+Assumptions!$C$10)^INT((C401-1)/12)*1</f>
        <v>0</v>
      </c>
      <c r="G401" s="10" t="n">
        <f aca="false">F401*Staffing!$N$12</f>
        <v>0</v>
      </c>
      <c r="H401" s="10" t="n">
        <f aca="false">F401+G401</f>
        <v>0</v>
      </c>
      <c r="I401" s="10" t="n">
        <f aca="false">0</f>
        <v>0</v>
      </c>
      <c r="J401" s="10" t="n">
        <f aca="false">MAX(0,E401-E400)*Staffing!$O$12</f>
        <v>0</v>
      </c>
      <c r="K401" s="10" t="n">
        <f aca="false">MAX(0,E401-E400)*Staffing!$P$12</f>
        <v>0</v>
      </c>
      <c r="L401" s="23" t="n">
        <f aca="false">ROUNDUP(E401,0)</f>
        <v>0</v>
      </c>
    </row>
    <row r="402" customFormat="false" ht="15" hidden="false" customHeight="false" outlineLevel="0" collapsed="false">
      <c r="A402" s="6" t="s">
        <v>72</v>
      </c>
      <c r="B402" s="6" t="s">
        <v>341</v>
      </c>
      <c r="C402" s="6" t="n">
        <v>37</v>
      </c>
      <c r="D402" s="25" t="n">
        <f aca="false">EDATE('Start Here'!$B$6,C402-1)</f>
        <v>47423</v>
      </c>
      <c r="E402" s="23" t="n">
        <f aca="false">IF(AND(C402&gt;=Staffing!$F$12,C402&lt;=Staffing!$G$12,1=1),IF(C402&lt;=6,Staffing!$H$12,IF(C402&lt;=15,Staffing!$I$12,IF(C402&lt;=30,Staffing!$J$12,Staffing!$K$12))),0)</f>
        <v>0</v>
      </c>
      <c r="F402" s="10" t="n">
        <f aca="false">E402*Staffing!$L$12/12*(1+Assumptions!$C$10)^INT((C402-1)/12)*1</f>
        <v>0</v>
      </c>
      <c r="G402" s="10" t="n">
        <f aca="false">F402*Staffing!$N$12</f>
        <v>0</v>
      </c>
      <c r="H402" s="10" t="n">
        <f aca="false">F402+G402</f>
        <v>0</v>
      </c>
      <c r="I402" s="10" t="n">
        <f aca="false">0</f>
        <v>0</v>
      </c>
      <c r="J402" s="10" t="n">
        <f aca="false">MAX(0,E402-E401)*Staffing!$O$12</f>
        <v>0</v>
      </c>
      <c r="K402" s="10" t="n">
        <f aca="false">MAX(0,E402-E401)*Staffing!$P$12</f>
        <v>0</v>
      </c>
      <c r="L402" s="23" t="n">
        <f aca="false">ROUNDUP(E402,0)</f>
        <v>0</v>
      </c>
    </row>
    <row r="403" customFormat="false" ht="15" hidden="false" customHeight="false" outlineLevel="0" collapsed="false">
      <c r="A403" s="6" t="s">
        <v>72</v>
      </c>
      <c r="B403" s="6" t="s">
        <v>341</v>
      </c>
      <c r="C403" s="6" t="n">
        <v>38</v>
      </c>
      <c r="D403" s="25" t="n">
        <f aca="false">EDATE('Start Here'!$B$6,C403-1)</f>
        <v>47453</v>
      </c>
      <c r="E403" s="23" t="n">
        <f aca="false">IF(AND(C403&gt;=Staffing!$F$12,C403&lt;=Staffing!$G$12,1=1),IF(C403&lt;=6,Staffing!$H$12,IF(C403&lt;=15,Staffing!$I$12,IF(C403&lt;=30,Staffing!$J$12,Staffing!$K$12))),0)</f>
        <v>0</v>
      </c>
      <c r="F403" s="10" t="n">
        <f aca="false">E403*Staffing!$L$12/12*(1+Assumptions!$C$10)^INT((C403-1)/12)*1</f>
        <v>0</v>
      </c>
      <c r="G403" s="10" t="n">
        <f aca="false">F403*Staffing!$N$12</f>
        <v>0</v>
      </c>
      <c r="H403" s="10" t="n">
        <f aca="false">F403+G403</f>
        <v>0</v>
      </c>
      <c r="I403" s="10" t="n">
        <f aca="false">0</f>
        <v>0</v>
      </c>
      <c r="J403" s="10" t="n">
        <f aca="false">MAX(0,E403-E402)*Staffing!$O$12</f>
        <v>0</v>
      </c>
      <c r="K403" s="10" t="n">
        <f aca="false">MAX(0,E403-E402)*Staffing!$P$12</f>
        <v>0</v>
      </c>
      <c r="L403" s="23" t="n">
        <f aca="false">ROUNDUP(E403,0)</f>
        <v>0</v>
      </c>
    </row>
    <row r="404" customFormat="false" ht="15" hidden="false" customHeight="false" outlineLevel="0" collapsed="false">
      <c r="A404" s="6" t="s">
        <v>72</v>
      </c>
      <c r="B404" s="6" t="s">
        <v>341</v>
      </c>
      <c r="C404" s="6" t="n">
        <v>39</v>
      </c>
      <c r="D404" s="25" t="n">
        <f aca="false">EDATE('Start Here'!$B$6,C404-1)</f>
        <v>47484</v>
      </c>
      <c r="E404" s="23" t="n">
        <f aca="false">IF(AND(C404&gt;=Staffing!$F$12,C404&lt;=Staffing!$G$12,1=1),IF(C404&lt;=6,Staffing!$H$12,IF(C404&lt;=15,Staffing!$I$12,IF(C404&lt;=30,Staffing!$J$12,Staffing!$K$12))),0)</f>
        <v>0</v>
      </c>
      <c r="F404" s="10" t="n">
        <f aca="false">E404*Staffing!$L$12/12*(1+Assumptions!$C$10)^INT((C404-1)/12)*1</f>
        <v>0</v>
      </c>
      <c r="G404" s="10" t="n">
        <f aca="false">F404*Staffing!$N$12</f>
        <v>0</v>
      </c>
      <c r="H404" s="10" t="n">
        <f aca="false">F404+G404</f>
        <v>0</v>
      </c>
      <c r="I404" s="10" t="n">
        <f aca="false">0</f>
        <v>0</v>
      </c>
      <c r="J404" s="10" t="n">
        <f aca="false">MAX(0,E404-E403)*Staffing!$O$12</f>
        <v>0</v>
      </c>
      <c r="K404" s="10" t="n">
        <f aca="false">MAX(0,E404-E403)*Staffing!$P$12</f>
        <v>0</v>
      </c>
      <c r="L404" s="23" t="n">
        <f aca="false">ROUNDUP(E404,0)</f>
        <v>0</v>
      </c>
    </row>
    <row r="405" customFormat="false" ht="15" hidden="false" customHeight="false" outlineLevel="0" collapsed="false">
      <c r="A405" s="6" t="s">
        <v>72</v>
      </c>
      <c r="B405" s="6" t="s">
        <v>341</v>
      </c>
      <c r="C405" s="6" t="n">
        <v>40</v>
      </c>
      <c r="D405" s="25" t="n">
        <f aca="false">EDATE('Start Here'!$B$6,C405-1)</f>
        <v>47515</v>
      </c>
      <c r="E405" s="23" t="n">
        <f aca="false">IF(AND(C405&gt;=Staffing!$F$12,C405&lt;=Staffing!$G$12,1=1),IF(C405&lt;=6,Staffing!$H$12,IF(C405&lt;=15,Staffing!$I$12,IF(C405&lt;=30,Staffing!$J$12,Staffing!$K$12))),0)</f>
        <v>0</v>
      </c>
      <c r="F405" s="10" t="n">
        <f aca="false">E405*Staffing!$L$12/12*(1+Assumptions!$C$10)^INT((C405-1)/12)*1</f>
        <v>0</v>
      </c>
      <c r="G405" s="10" t="n">
        <f aca="false">F405*Staffing!$N$12</f>
        <v>0</v>
      </c>
      <c r="H405" s="10" t="n">
        <f aca="false">F405+G405</f>
        <v>0</v>
      </c>
      <c r="I405" s="10" t="n">
        <f aca="false">0</f>
        <v>0</v>
      </c>
      <c r="J405" s="10" t="n">
        <f aca="false">MAX(0,E405-E404)*Staffing!$O$12</f>
        <v>0</v>
      </c>
      <c r="K405" s="10" t="n">
        <f aca="false">MAX(0,E405-E404)*Staffing!$P$12</f>
        <v>0</v>
      </c>
      <c r="L405" s="23" t="n">
        <f aca="false">ROUNDUP(E405,0)</f>
        <v>0</v>
      </c>
    </row>
    <row r="406" customFormat="false" ht="15" hidden="false" customHeight="false" outlineLevel="0" collapsed="false">
      <c r="A406" s="6" t="s">
        <v>72</v>
      </c>
      <c r="B406" s="6" t="s">
        <v>341</v>
      </c>
      <c r="C406" s="6" t="n">
        <v>41</v>
      </c>
      <c r="D406" s="25" t="n">
        <f aca="false">EDATE('Start Here'!$B$6,C406-1)</f>
        <v>47543</v>
      </c>
      <c r="E406" s="23" t="n">
        <f aca="false">IF(AND(C406&gt;=Staffing!$F$12,C406&lt;=Staffing!$G$12,1=1),IF(C406&lt;=6,Staffing!$H$12,IF(C406&lt;=15,Staffing!$I$12,IF(C406&lt;=30,Staffing!$J$12,Staffing!$K$12))),0)</f>
        <v>0</v>
      </c>
      <c r="F406" s="10" t="n">
        <f aca="false">E406*Staffing!$L$12/12*(1+Assumptions!$C$10)^INT((C406-1)/12)*1</f>
        <v>0</v>
      </c>
      <c r="G406" s="10" t="n">
        <f aca="false">F406*Staffing!$N$12</f>
        <v>0</v>
      </c>
      <c r="H406" s="10" t="n">
        <f aca="false">F406+G406</f>
        <v>0</v>
      </c>
      <c r="I406" s="10" t="n">
        <f aca="false">0</f>
        <v>0</v>
      </c>
      <c r="J406" s="10" t="n">
        <f aca="false">MAX(0,E406-E405)*Staffing!$O$12</f>
        <v>0</v>
      </c>
      <c r="K406" s="10" t="n">
        <f aca="false">MAX(0,E406-E405)*Staffing!$P$12</f>
        <v>0</v>
      </c>
      <c r="L406" s="23" t="n">
        <f aca="false">ROUNDUP(E406,0)</f>
        <v>0</v>
      </c>
    </row>
    <row r="407" customFormat="false" ht="15" hidden="false" customHeight="false" outlineLevel="0" collapsed="false">
      <c r="A407" s="6" t="s">
        <v>72</v>
      </c>
      <c r="B407" s="6" t="s">
        <v>341</v>
      </c>
      <c r="C407" s="6" t="n">
        <v>42</v>
      </c>
      <c r="D407" s="25" t="n">
        <f aca="false">EDATE('Start Here'!$B$6,C407-1)</f>
        <v>47574</v>
      </c>
      <c r="E407" s="23" t="n">
        <f aca="false">IF(AND(C407&gt;=Staffing!$F$12,C407&lt;=Staffing!$G$12,1=1),IF(C407&lt;=6,Staffing!$H$12,IF(C407&lt;=15,Staffing!$I$12,IF(C407&lt;=30,Staffing!$J$12,Staffing!$K$12))),0)</f>
        <v>0</v>
      </c>
      <c r="F407" s="10" t="n">
        <f aca="false">E407*Staffing!$L$12/12*(1+Assumptions!$C$10)^INT((C407-1)/12)*1</f>
        <v>0</v>
      </c>
      <c r="G407" s="10" t="n">
        <f aca="false">F407*Staffing!$N$12</f>
        <v>0</v>
      </c>
      <c r="H407" s="10" t="n">
        <f aca="false">F407+G407</f>
        <v>0</v>
      </c>
      <c r="I407" s="10" t="n">
        <f aca="false">0</f>
        <v>0</v>
      </c>
      <c r="J407" s="10" t="n">
        <f aca="false">MAX(0,E407-E406)*Staffing!$O$12</f>
        <v>0</v>
      </c>
      <c r="K407" s="10" t="n">
        <f aca="false">MAX(0,E407-E406)*Staffing!$P$12</f>
        <v>0</v>
      </c>
      <c r="L407" s="23" t="n">
        <f aca="false">ROUNDUP(E407,0)</f>
        <v>0</v>
      </c>
    </row>
    <row r="408" customFormat="false" ht="15" hidden="false" customHeight="false" outlineLevel="0" collapsed="false">
      <c r="A408" s="6" t="s">
        <v>72</v>
      </c>
      <c r="B408" s="6" t="s">
        <v>341</v>
      </c>
      <c r="C408" s="6" t="n">
        <v>43</v>
      </c>
      <c r="D408" s="25" t="n">
        <f aca="false">EDATE('Start Here'!$B$6,C408-1)</f>
        <v>47604</v>
      </c>
      <c r="E408" s="23" t="n">
        <f aca="false">IF(AND(C408&gt;=Staffing!$F$12,C408&lt;=Staffing!$G$12,1=1),IF(C408&lt;=6,Staffing!$H$12,IF(C408&lt;=15,Staffing!$I$12,IF(C408&lt;=30,Staffing!$J$12,Staffing!$K$12))),0)</f>
        <v>0</v>
      </c>
      <c r="F408" s="10" t="n">
        <f aca="false">E408*Staffing!$L$12/12*(1+Assumptions!$C$10)^INT((C408-1)/12)*1</f>
        <v>0</v>
      </c>
      <c r="G408" s="10" t="n">
        <f aca="false">F408*Staffing!$N$12</f>
        <v>0</v>
      </c>
      <c r="H408" s="10" t="n">
        <f aca="false">F408+G408</f>
        <v>0</v>
      </c>
      <c r="I408" s="10" t="n">
        <f aca="false">0</f>
        <v>0</v>
      </c>
      <c r="J408" s="10" t="n">
        <f aca="false">MAX(0,E408-E407)*Staffing!$O$12</f>
        <v>0</v>
      </c>
      <c r="K408" s="10" t="n">
        <f aca="false">MAX(0,E408-E407)*Staffing!$P$12</f>
        <v>0</v>
      </c>
      <c r="L408" s="23" t="n">
        <f aca="false">ROUNDUP(E408,0)</f>
        <v>0</v>
      </c>
    </row>
    <row r="409" customFormat="false" ht="15" hidden="false" customHeight="false" outlineLevel="0" collapsed="false">
      <c r="A409" s="6" t="s">
        <v>72</v>
      </c>
      <c r="B409" s="6" t="s">
        <v>341</v>
      </c>
      <c r="C409" s="6" t="n">
        <v>44</v>
      </c>
      <c r="D409" s="25" t="n">
        <f aca="false">EDATE('Start Here'!$B$6,C409-1)</f>
        <v>47635</v>
      </c>
      <c r="E409" s="23" t="n">
        <f aca="false">IF(AND(C409&gt;=Staffing!$F$12,C409&lt;=Staffing!$G$12,1=1),IF(C409&lt;=6,Staffing!$H$12,IF(C409&lt;=15,Staffing!$I$12,IF(C409&lt;=30,Staffing!$J$12,Staffing!$K$12))),0)</f>
        <v>0</v>
      </c>
      <c r="F409" s="10" t="n">
        <f aca="false">E409*Staffing!$L$12/12*(1+Assumptions!$C$10)^INT((C409-1)/12)*1</f>
        <v>0</v>
      </c>
      <c r="G409" s="10" t="n">
        <f aca="false">F409*Staffing!$N$12</f>
        <v>0</v>
      </c>
      <c r="H409" s="10" t="n">
        <f aca="false">F409+G409</f>
        <v>0</v>
      </c>
      <c r="I409" s="10" t="n">
        <f aca="false">0</f>
        <v>0</v>
      </c>
      <c r="J409" s="10" t="n">
        <f aca="false">MAX(0,E409-E408)*Staffing!$O$12</f>
        <v>0</v>
      </c>
      <c r="K409" s="10" t="n">
        <f aca="false">MAX(0,E409-E408)*Staffing!$P$12</f>
        <v>0</v>
      </c>
      <c r="L409" s="23" t="n">
        <f aca="false">ROUNDUP(E409,0)</f>
        <v>0</v>
      </c>
    </row>
    <row r="410" customFormat="false" ht="15" hidden="false" customHeight="false" outlineLevel="0" collapsed="false">
      <c r="A410" s="6" t="s">
        <v>72</v>
      </c>
      <c r="B410" s="6" t="s">
        <v>341</v>
      </c>
      <c r="C410" s="6" t="n">
        <v>45</v>
      </c>
      <c r="D410" s="25" t="n">
        <f aca="false">EDATE('Start Here'!$B$6,C410-1)</f>
        <v>47665</v>
      </c>
      <c r="E410" s="23" t="n">
        <f aca="false">IF(AND(C410&gt;=Staffing!$F$12,C410&lt;=Staffing!$G$12,1=1),IF(C410&lt;=6,Staffing!$H$12,IF(C410&lt;=15,Staffing!$I$12,IF(C410&lt;=30,Staffing!$J$12,Staffing!$K$12))),0)</f>
        <v>0</v>
      </c>
      <c r="F410" s="10" t="n">
        <f aca="false">E410*Staffing!$L$12/12*(1+Assumptions!$C$10)^INT((C410-1)/12)*1</f>
        <v>0</v>
      </c>
      <c r="G410" s="10" t="n">
        <f aca="false">F410*Staffing!$N$12</f>
        <v>0</v>
      </c>
      <c r="H410" s="10" t="n">
        <f aca="false">F410+G410</f>
        <v>0</v>
      </c>
      <c r="I410" s="10" t="n">
        <f aca="false">0</f>
        <v>0</v>
      </c>
      <c r="J410" s="10" t="n">
        <f aca="false">MAX(0,E410-E409)*Staffing!$O$12</f>
        <v>0</v>
      </c>
      <c r="K410" s="10" t="n">
        <f aca="false">MAX(0,E410-E409)*Staffing!$P$12</f>
        <v>0</v>
      </c>
      <c r="L410" s="23" t="n">
        <f aca="false">ROUNDUP(E410,0)</f>
        <v>0</v>
      </c>
    </row>
    <row r="411" customFormat="false" ht="15" hidden="false" customHeight="false" outlineLevel="0" collapsed="false">
      <c r="A411" s="6" t="s">
        <v>72</v>
      </c>
      <c r="B411" s="6" t="s">
        <v>341</v>
      </c>
      <c r="C411" s="6" t="n">
        <v>46</v>
      </c>
      <c r="D411" s="25" t="n">
        <f aca="false">EDATE('Start Here'!$B$6,C411-1)</f>
        <v>47696</v>
      </c>
      <c r="E411" s="23" t="n">
        <f aca="false">IF(AND(C411&gt;=Staffing!$F$12,C411&lt;=Staffing!$G$12,1=1),IF(C411&lt;=6,Staffing!$H$12,IF(C411&lt;=15,Staffing!$I$12,IF(C411&lt;=30,Staffing!$J$12,Staffing!$K$12))),0)</f>
        <v>0</v>
      </c>
      <c r="F411" s="10" t="n">
        <f aca="false">E411*Staffing!$L$12/12*(1+Assumptions!$C$10)^INT((C411-1)/12)*1</f>
        <v>0</v>
      </c>
      <c r="G411" s="10" t="n">
        <f aca="false">F411*Staffing!$N$12</f>
        <v>0</v>
      </c>
      <c r="H411" s="10" t="n">
        <f aca="false">F411+G411</f>
        <v>0</v>
      </c>
      <c r="I411" s="10" t="n">
        <f aca="false">0</f>
        <v>0</v>
      </c>
      <c r="J411" s="10" t="n">
        <f aca="false">MAX(0,E411-E410)*Staffing!$O$12</f>
        <v>0</v>
      </c>
      <c r="K411" s="10" t="n">
        <f aca="false">MAX(0,E411-E410)*Staffing!$P$12</f>
        <v>0</v>
      </c>
      <c r="L411" s="23" t="n">
        <f aca="false">ROUNDUP(E411,0)</f>
        <v>0</v>
      </c>
    </row>
    <row r="412" customFormat="false" ht="15" hidden="false" customHeight="false" outlineLevel="0" collapsed="false">
      <c r="A412" s="6" t="s">
        <v>72</v>
      </c>
      <c r="B412" s="6" t="s">
        <v>341</v>
      </c>
      <c r="C412" s="6" t="n">
        <v>47</v>
      </c>
      <c r="D412" s="25" t="n">
        <f aca="false">EDATE('Start Here'!$B$6,C412-1)</f>
        <v>47727</v>
      </c>
      <c r="E412" s="23" t="n">
        <f aca="false">IF(AND(C412&gt;=Staffing!$F$12,C412&lt;=Staffing!$G$12,1=1),IF(C412&lt;=6,Staffing!$H$12,IF(C412&lt;=15,Staffing!$I$12,IF(C412&lt;=30,Staffing!$J$12,Staffing!$K$12))),0)</f>
        <v>0</v>
      </c>
      <c r="F412" s="10" t="n">
        <f aca="false">E412*Staffing!$L$12/12*(1+Assumptions!$C$10)^INT((C412-1)/12)*1</f>
        <v>0</v>
      </c>
      <c r="G412" s="10" t="n">
        <f aca="false">F412*Staffing!$N$12</f>
        <v>0</v>
      </c>
      <c r="H412" s="10" t="n">
        <f aca="false">F412+G412</f>
        <v>0</v>
      </c>
      <c r="I412" s="10" t="n">
        <f aca="false">0</f>
        <v>0</v>
      </c>
      <c r="J412" s="10" t="n">
        <f aca="false">MAX(0,E412-E411)*Staffing!$O$12</f>
        <v>0</v>
      </c>
      <c r="K412" s="10" t="n">
        <f aca="false">MAX(0,E412-E411)*Staffing!$P$12</f>
        <v>0</v>
      </c>
      <c r="L412" s="23" t="n">
        <f aca="false">ROUNDUP(E412,0)</f>
        <v>0</v>
      </c>
    </row>
    <row r="413" customFormat="false" ht="15" hidden="false" customHeight="false" outlineLevel="0" collapsed="false">
      <c r="A413" s="6" t="s">
        <v>72</v>
      </c>
      <c r="B413" s="6" t="s">
        <v>341</v>
      </c>
      <c r="C413" s="6" t="n">
        <v>48</v>
      </c>
      <c r="D413" s="25" t="n">
        <f aca="false">EDATE('Start Here'!$B$6,C413-1)</f>
        <v>47757</v>
      </c>
      <c r="E413" s="23" t="n">
        <f aca="false">IF(AND(C413&gt;=Staffing!$F$12,C413&lt;=Staffing!$G$12,1=1),IF(C413&lt;=6,Staffing!$H$12,IF(C413&lt;=15,Staffing!$I$12,IF(C413&lt;=30,Staffing!$J$12,Staffing!$K$12))),0)</f>
        <v>0</v>
      </c>
      <c r="F413" s="10" t="n">
        <f aca="false">E413*Staffing!$L$12/12*(1+Assumptions!$C$10)^INT((C413-1)/12)*1</f>
        <v>0</v>
      </c>
      <c r="G413" s="10" t="n">
        <f aca="false">F413*Staffing!$N$12</f>
        <v>0</v>
      </c>
      <c r="H413" s="10" t="n">
        <f aca="false">F413+G413</f>
        <v>0</v>
      </c>
      <c r="I413" s="10" t="n">
        <f aca="false">0</f>
        <v>0</v>
      </c>
      <c r="J413" s="10" t="n">
        <f aca="false">MAX(0,E413-E412)*Staffing!$O$12</f>
        <v>0</v>
      </c>
      <c r="K413" s="10" t="n">
        <f aca="false">MAX(0,E413-E412)*Staffing!$P$12</f>
        <v>0</v>
      </c>
      <c r="L413" s="23" t="n">
        <f aca="false">ROUNDUP(E413,0)</f>
        <v>0</v>
      </c>
    </row>
    <row r="414" customFormat="false" ht="15" hidden="false" customHeight="false" outlineLevel="0" collapsed="false">
      <c r="A414" s="6" t="s">
        <v>72</v>
      </c>
      <c r="B414" s="6" t="s">
        <v>341</v>
      </c>
      <c r="C414" s="6" t="n">
        <v>49</v>
      </c>
      <c r="D414" s="25" t="n">
        <f aca="false">EDATE('Start Here'!$B$6,C414-1)</f>
        <v>47788</v>
      </c>
      <c r="E414" s="23" t="n">
        <f aca="false">IF(AND(C414&gt;=Staffing!$F$12,C414&lt;=Staffing!$G$12,1=1),IF(C414&lt;=6,Staffing!$H$12,IF(C414&lt;=15,Staffing!$I$12,IF(C414&lt;=30,Staffing!$J$12,Staffing!$K$12))),0)</f>
        <v>0</v>
      </c>
      <c r="F414" s="10" t="n">
        <f aca="false">E414*Staffing!$L$12/12*(1+Assumptions!$C$10)^INT((C414-1)/12)*1</f>
        <v>0</v>
      </c>
      <c r="G414" s="10" t="n">
        <f aca="false">F414*Staffing!$N$12</f>
        <v>0</v>
      </c>
      <c r="H414" s="10" t="n">
        <f aca="false">F414+G414</f>
        <v>0</v>
      </c>
      <c r="I414" s="10" t="n">
        <f aca="false">0</f>
        <v>0</v>
      </c>
      <c r="J414" s="10" t="n">
        <f aca="false">MAX(0,E414-E413)*Staffing!$O$12</f>
        <v>0</v>
      </c>
      <c r="K414" s="10" t="n">
        <f aca="false">MAX(0,E414-E413)*Staffing!$P$12</f>
        <v>0</v>
      </c>
      <c r="L414" s="23" t="n">
        <f aca="false">ROUNDUP(E414,0)</f>
        <v>0</v>
      </c>
    </row>
    <row r="415" customFormat="false" ht="15" hidden="false" customHeight="false" outlineLevel="0" collapsed="false">
      <c r="A415" s="6" t="s">
        <v>72</v>
      </c>
      <c r="B415" s="6" t="s">
        <v>341</v>
      </c>
      <c r="C415" s="6" t="n">
        <v>50</v>
      </c>
      <c r="D415" s="25" t="n">
        <f aca="false">EDATE('Start Here'!$B$6,C415-1)</f>
        <v>47818</v>
      </c>
      <c r="E415" s="23" t="n">
        <f aca="false">IF(AND(C415&gt;=Staffing!$F$12,C415&lt;=Staffing!$G$12,1=1),IF(C415&lt;=6,Staffing!$H$12,IF(C415&lt;=15,Staffing!$I$12,IF(C415&lt;=30,Staffing!$J$12,Staffing!$K$12))),0)</f>
        <v>0</v>
      </c>
      <c r="F415" s="10" t="n">
        <f aca="false">E415*Staffing!$L$12/12*(1+Assumptions!$C$10)^INT((C415-1)/12)*1</f>
        <v>0</v>
      </c>
      <c r="G415" s="10" t="n">
        <f aca="false">F415*Staffing!$N$12</f>
        <v>0</v>
      </c>
      <c r="H415" s="10" t="n">
        <f aca="false">F415+G415</f>
        <v>0</v>
      </c>
      <c r="I415" s="10" t="n">
        <f aca="false">0</f>
        <v>0</v>
      </c>
      <c r="J415" s="10" t="n">
        <f aca="false">MAX(0,E415-E414)*Staffing!$O$12</f>
        <v>0</v>
      </c>
      <c r="K415" s="10" t="n">
        <f aca="false">MAX(0,E415-E414)*Staffing!$P$12</f>
        <v>0</v>
      </c>
      <c r="L415" s="23" t="n">
        <f aca="false">ROUNDUP(E415,0)</f>
        <v>0</v>
      </c>
    </row>
    <row r="416" customFormat="false" ht="15" hidden="false" customHeight="false" outlineLevel="0" collapsed="false">
      <c r="A416" s="6" t="s">
        <v>72</v>
      </c>
      <c r="B416" s="6" t="s">
        <v>341</v>
      </c>
      <c r="C416" s="6" t="n">
        <v>51</v>
      </c>
      <c r="D416" s="25" t="n">
        <f aca="false">EDATE('Start Here'!$B$6,C416-1)</f>
        <v>47849</v>
      </c>
      <c r="E416" s="23" t="n">
        <f aca="false">IF(AND(C416&gt;=Staffing!$F$12,C416&lt;=Staffing!$G$12,1=1),IF(C416&lt;=6,Staffing!$H$12,IF(C416&lt;=15,Staffing!$I$12,IF(C416&lt;=30,Staffing!$J$12,Staffing!$K$12))),0)</f>
        <v>0</v>
      </c>
      <c r="F416" s="10" t="n">
        <f aca="false">E416*Staffing!$L$12/12*(1+Assumptions!$C$10)^INT((C416-1)/12)*1</f>
        <v>0</v>
      </c>
      <c r="G416" s="10" t="n">
        <f aca="false">F416*Staffing!$N$12</f>
        <v>0</v>
      </c>
      <c r="H416" s="10" t="n">
        <f aca="false">F416+G416</f>
        <v>0</v>
      </c>
      <c r="I416" s="10" t="n">
        <f aca="false">0</f>
        <v>0</v>
      </c>
      <c r="J416" s="10" t="n">
        <f aca="false">MAX(0,E416-E415)*Staffing!$O$12</f>
        <v>0</v>
      </c>
      <c r="K416" s="10" t="n">
        <f aca="false">MAX(0,E416-E415)*Staffing!$P$12</f>
        <v>0</v>
      </c>
      <c r="L416" s="23" t="n">
        <f aca="false">ROUNDUP(E416,0)</f>
        <v>0</v>
      </c>
    </row>
    <row r="417" customFormat="false" ht="15" hidden="false" customHeight="false" outlineLevel="0" collapsed="false">
      <c r="A417" s="6" t="s">
        <v>72</v>
      </c>
      <c r="B417" s="6" t="s">
        <v>341</v>
      </c>
      <c r="C417" s="6" t="n">
        <v>52</v>
      </c>
      <c r="D417" s="25" t="n">
        <f aca="false">EDATE('Start Here'!$B$6,C417-1)</f>
        <v>47880</v>
      </c>
      <c r="E417" s="23" t="n">
        <f aca="false">IF(AND(C417&gt;=Staffing!$F$12,C417&lt;=Staffing!$G$12,1=1),IF(C417&lt;=6,Staffing!$H$12,IF(C417&lt;=15,Staffing!$I$12,IF(C417&lt;=30,Staffing!$J$12,Staffing!$K$12))),0)</f>
        <v>0</v>
      </c>
      <c r="F417" s="10" t="n">
        <f aca="false">E417*Staffing!$L$12/12*(1+Assumptions!$C$10)^INT((C417-1)/12)*1</f>
        <v>0</v>
      </c>
      <c r="G417" s="10" t="n">
        <f aca="false">F417*Staffing!$N$12</f>
        <v>0</v>
      </c>
      <c r="H417" s="10" t="n">
        <f aca="false">F417+G417</f>
        <v>0</v>
      </c>
      <c r="I417" s="10" t="n">
        <f aca="false">0</f>
        <v>0</v>
      </c>
      <c r="J417" s="10" t="n">
        <f aca="false">MAX(0,E417-E416)*Staffing!$O$12</f>
        <v>0</v>
      </c>
      <c r="K417" s="10" t="n">
        <f aca="false">MAX(0,E417-E416)*Staffing!$P$12</f>
        <v>0</v>
      </c>
      <c r="L417" s="23" t="n">
        <f aca="false">ROUNDUP(E417,0)</f>
        <v>0</v>
      </c>
    </row>
    <row r="418" customFormat="false" ht="15" hidden="false" customHeight="false" outlineLevel="0" collapsed="false">
      <c r="A418" s="6" t="s">
        <v>72</v>
      </c>
      <c r="B418" s="6" t="s">
        <v>341</v>
      </c>
      <c r="C418" s="6" t="n">
        <v>53</v>
      </c>
      <c r="D418" s="25" t="n">
        <f aca="false">EDATE('Start Here'!$B$6,C418-1)</f>
        <v>47908</v>
      </c>
      <c r="E418" s="23" t="n">
        <f aca="false">IF(AND(C418&gt;=Staffing!$F$12,C418&lt;=Staffing!$G$12,1=1),IF(C418&lt;=6,Staffing!$H$12,IF(C418&lt;=15,Staffing!$I$12,IF(C418&lt;=30,Staffing!$J$12,Staffing!$K$12))),0)</f>
        <v>0</v>
      </c>
      <c r="F418" s="10" t="n">
        <f aca="false">E418*Staffing!$L$12/12*(1+Assumptions!$C$10)^INT((C418-1)/12)*1</f>
        <v>0</v>
      </c>
      <c r="G418" s="10" t="n">
        <f aca="false">F418*Staffing!$N$12</f>
        <v>0</v>
      </c>
      <c r="H418" s="10" t="n">
        <f aca="false">F418+G418</f>
        <v>0</v>
      </c>
      <c r="I418" s="10" t="n">
        <f aca="false">0</f>
        <v>0</v>
      </c>
      <c r="J418" s="10" t="n">
        <f aca="false">MAX(0,E418-E417)*Staffing!$O$12</f>
        <v>0</v>
      </c>
      <c r="K418" s="10" t="n">
        <f aca="false">MAX(0,E418-E417)*Staffing!$P$12</f>
        <v>0</v>
      </c>
      <c r="L418" s="23" t="n">
        <f aca="false">ROUNDUP(E418,0)</f>
        <v>0</v>
      </c>
    </row>
    <row r="419" customFormat="false" ht="15" hidden="false" customHeight="false" outlineLevel="0" collapsed="false">
      <c r="A419" s="6" t="s">
        <v>72</v>
      </c>
      <c r="B419" s="6" t="s">
        <v>341</v>
      </c>
      <c r="C419" s="6" t="n">
        <v>54</v>
      </c>
      <c r="D419" s="25" t="n">
        <f aca="false">EDATE('Start Here'!$B$6,C419-1)</f>
        <v>47939</v>
      </c>
      <c r="E419" s="23" t="n">
        <f aca="false">IF(AND(C419&gt;=Staffing!$F$12,C419&lt;=Staffing!$G$12,1=1),IF(C419&lt;=6,Staffing!$H$12,IF(C419&lt;=15,Staffing!$I$12,IF(C419&lt;=30,Staffing!$J$12,Staffing!$K$12))),0)</f>
        <v>0</v>
      </c>
      <c r="F419" s="10" t="n">
        <f aca="false">E419*Staffing!$L$12/12*(1+Assumptions!$C$10)^INT((C419-1)/12)*1</f>
        <v>0</v>
      </c>
      <c r="G419" s="10" t="n">
        <f aca="false">F419*Staffing!$N$12</f>
        <v>0</v>
      </c>
      <c r="H419" s="10" t="n">
        <f aca="false">F419+G419</f>
        <v>0</v>
      </c>
      <c r="I419" s="10" t="n">
        <f aca="false">0</f>
        <v>0</v>
      </c>
      <c r="J419" s="10" t="n">
        <f aca="false">MAX(0,E419-E418)*Staffing!$O$12</f>
        <v>0</v>
      </c>
      <c r="K419" s="10" t="n">
        <f aca="false">MAX(0,E419-E418)*Staffing!$P$12</f>
        <v>0</v>
      </c>
      <c r="L419" s="23" t="n">
        <f aca="false">ROUNDUP(E419,0)</f>
        <v>0</v>
      </c>
    </row>
    <row r="420" customFormat="false" ht="15" hidden="false" customHeight="false" outlineLevel="0" collapsed="false">
      <c r="A420" s="6" t="s">
        <v>72</v>
      </c>
      <c r="B420" s="6" t="s">
        <v>341</v>
      </c>
      <c r="C420" s="6" t="n">
        <v>55</v>
      </c>
      <c r="D420" s="25" t="n">
        <f aca="false">EDATE('Start Here'!$B$6,C420-1)</f>
        <v>47969</v>
      </c>
      <c r="E420" s="23" t="n">
        <f aca="false">IF(AND(C420&gt;=Staffing!$F$12,C420&lt;=Staffing!$G$12,1=1),IF(C420&lt;=6,Staffing!$H$12,IF(C420&lt;=15,Staffing!$I$12,IF(C420&lt;=30,Staffing!$J$12,Staffing!$K$12))),0)</f>
        <v>0</v>
      </c>
      <c r="F420" s="10" t="n">
        <f aca="false">E420*Staffing!$L$12/12*(1+Assumptions!$C$10)^INT((C420-1)/12)*1</f>
        <v>0</v>
      </c>
      <c r="G420" s="10" t="n">
        <f aca="false">F420*Staffing!$N$12</f>
        <v>0</v>
      </c>
      <c r="H420" s="10" t="n">
        <f aca="false">F420+G420</f>
        <v>0</v>
      </c>
      <c r="I420" s="10" t="n">
        <f aca="false">0</f>
        <v>0</v>
      </c>
      <c r="J420" s="10" t="n">
        <f aca="false">MAX(0,E420-E419)*Staffing!$O$12</f>
        <v>0</v>
      </c>
      <c r="K420" s="10" t="n">
        <f aca="false">MAX(0,E420-E419)*Staffing!$P$12</f>
        <v>0</v>
      </c>
      <c r="L420" s="23" t="n">
        <f aca="false">ROUNDUP(E420,0)</f>
        <v>0</v>
      </c>
    </row>
    <row r="421" customFormat="false" ht="15" hidden="false" customHeight="false" outlineLevel="0" collapsed="false">
      <c r="A421" s="6" t="s">
        <v>72</v>
      </c>
      <c r="B421" s="6" t="s">
        <v>341</v>
      </c>
      <c r="C421" s="6" t="n">
        <v>56</v>
      </c>
      <c r="D421" s="25" t="n">
        <f aca="false">EDATE('Start Here'!$B$6,C421-1)</f>
        <v>48000</v>
      </c>
      <c r="E421" s="23" t="n">
        <f aca="false">IF(AND(C421&gt;=Staffing!$F$12,C421&lt;=Staffing!$G$12,1=1),IF(C421&lt;=6,Staffing!$H$12,IF(C421&lt;=15,Staffing!$I$12,IF(C421&lt;=30,Staffing!$J$12,Staffing!$K$12))),0)</f>
        <v>0</v>
      </c>
      <c r="F421" s="10" t="n">
        <f aca="false">E421*Staffing!$L$12/12*(1+Assumptions!$C$10)^INT((C421-1)/12)*1</f>
        <v>0</v>
      </c>
      <c r="G421" s="10" t="n">
        <f aca="false">F421*Staffing!$N$12</f>
        <v>0</v>
      </c>
      <c r="H421" s="10" t="n">
        <f aca="false">F421+G421</f>
        <v>0</v>
      </c>
      <c r="I421" s="10" t="n">
        <f aca="false">0</f>
        <v>0</v>
      </c>
      <c r="J421" s="10" t="n">
        <f aca="false">MAX(0,E421-E420)*Staffing!$O$12</f>
        <v>0</v>
      </c>
      <c r="K421" s="10" t="n">
        <f aca="false">MAX(0,E421-E420)*Staffing!$P$12</f>
        <v>0</v>
      </c>
      <c r="L421" s="23" t="n">
        <f aca="false">ROUNDUP(E421,0)</f>
        <v>0</v>
      </c>
    </row>
    <row r="422" customFormat="false" ht="15" hidden="false" customHeight="false" outlineLevel="0" collapsed="false">
      <c r="A422" s="6" t="s">
        <v>72</v>
      </c>
      <c r="B422" s="6" t="s">
        <v>341</v>
      </c>
      <c r="C422" s="6" t="n">
        <v>57</v>
      </c>
      <c r="D422" s="25" t="n">
        <f aca="false">EDATE('Start Here'!$B$6,C422-1)</f>
        <v>48030</v>
      </c>
      <c r="E422" s="23" t="n">
        <f aca="false">IF(AND(C422&gt;=Staffing!$F$12,C422&lt;=Staffing!$G$12,1=1),IF(C422&lt;=6,Staffing!$H$12,IF(C422&lt;=15,Staffing!$I$12,IF(C422&lt;=30,Staffing!$J$12,Staffing!$K$12))),0)</f>
        <v>0</v>
      </c>
      <c r="F422" s="10" t="n">
        <f aca="false">E422*Staffing!$L$12/12*(1+Assumptions!$C$10)^INT((C422-1)/12)*1</f>
        <v>0</v>
      </c>
      <c r="G422" s="10" t="n">
        <f aca="false">F422*Staffing!$N$12</f>
        <v>0</v>
      </c>
      <c r="H422" s="10" t="n">
        <f aca="false">F422+G422</f>
        <v>0</v>
      </c>
      <c r="I422" s="10" t="n">
        <f aca="false">0</f>
        <v>0</v>
      </c>
      <c r="J422" s="10" t="n">
        <f aca="false">MAX(0,E422-E421)*Staffing!$O$12</f>
        <v>0</v>
      </c>
      <c r="K422" s="10" t="n">
        <f aca="false">MAX(0,E422-E421)*Staffing!$P$12</f>
        <v>0</v>
      </c>
      <c r="L422" s="23" t="n">
        <f aca="false">ROUNDUP(E422,0)</f>
        <v>0</v>
      </c>
    </row>
    <row r="423" customFormat="false" ht="15" hidden="false" customHeight="false" outlineLevel="0" collapsed="false">
      <c r="A423" s="6" t="s">
        <v>72</v>
      </c>
      <c r="B423" s="6" t="s">
        <v>341</v>
      </c>
      <c r="C423" s="6" t="n">
        <v>58</v>
      </c>
      <c r="D423" s="25" t="n">
        <f aca="false">EDATE('Start Here'!$B$6,C423-1)</f>
        <v>48061</v>
      </c>
      <c r="E423" s="23" t="n">
        <f aca="false">IF(AND(C423&gt;=Staffing!$F$12,C423&lt;=Staffing!$G$12,1=1),IF(C423&lt;=6,Staffing!$H$12,IF(C423&lt;=15,Staffing!$I$12,IF(C423&lt;=30,Staffing!$J$12,Staffing!$K$12))),0)</f>
        <v>0</v>
      </c>
      <c r="F423" s="10" t="n">
        <f aca="false">E423*Staffing!$L$12/12*(1+Assumptions!$C$10)^INT((C423-1)/12)*1</f>
        <v>0</v>
      </c>
      <c r="G423" s="10" t="n">
        <f aca="false">F423*Staffing!$N$12</f>
        <v>0</v>
      </c>
      <c r="H423" s="10" t="n">
        <f aca="false">F423+G423</f>
        <v>0</v>
      </c>
      <c r="I423" s="10" t="n">
        <f aca="false">0</f>
        <v>0</v>
      </c>
      <c r="J423" s="10" t="n">
        <f aca="false">MAX(0,E423-E422)*Staffing!$O$12</f>
        <v>0</v>
      </c>
      <c r="K423" s="10" t="n">
        <f aca="false">MAX(0,E423-E422)*Staffing!$P$12</f>
        <v>0</v>
      </c>
      <c r="L423" s="23" t="n">
        <f aca="false">ROUNDUP(E423,0)</f>
        <v>0</v>
      </c>
    </row>
    <row r="424" customFormat="false" ht="15" hidden="false" customHeight="false" outlineLevel="0" collapsed="false">
      <c r="A424" s="6" t="s">
        <v>72</v>
      </c>
      <c r="B424" s="6" t="s">
        <v>341</v>
      </c>
      <c r="C424" s="6" t="n">
        <v>59</v>
      </c>
      <c r="D424" s="25" t="n">
        <f aca="false">EDATE('Start Here'!$B$6,C424-1)</f>
        <v>48092</v>
      </c>
      <c r="E424" s="23" t="n">
        <f aca="false">IF(AND(C424&gt;=Staffing!$F$12,C424&lt;=Staffing!$G$12,1=1),IF(C424&lt;=6,Staffing!$H$12,IF(C424&lt;=15,Staffing!$I$12,IF(C424&lt;=30,Staffing!$J$12,Staffing!$K$12))),0)</f>
        <v>0</v>
      </c>
      <c r="F424" s="10" t="n">
        <f aca="false">E424*Staffing!$L$12/12*(1+Assumptions!$C$10)^INT((C424-1)/12)*1</f>
        <v>0</v>
      </c>
      <c r="G424" s="10" t="n">
        <f aca="false">F424*Staffing!$N$12</f>
        <v>0</v>
      </c>
      <c r="H424" s="10" t="n">
        <f aca="false">F424+G424</f>
        <v>0</v>
      </c>
      <c r="I424" s="10" t="n">
        <f aca="false">0</f>
        <v>0</v>
      </c>
      <c r="J424" s="10" t="n">
        <f aca="false">MAX(0,E424-E423)*Staffing!$O$12</f>
        <v>0</v>
      </c>
      <c r="K424" s="10" t="n">
        <f aca="false">MAX(0,E424-E423)*Staffing!$P$12</f>
        <v>0</v>
      </c>
      <c r="L424" s="23" t="n">
        <f aca="false">ROUNDUP(E424,0)</f>
        <v>0</v>
      </c>
    </row>
    <row r="425" customFormat="false" ht="15" hidden="false" customHeight="false" outlineLevel="0" collapsed="false">
      <c r="A425" s="6" t="s">
        <v>72</v>
      </c>
      <c r="B425" s="6" t="s">
        <v>341</v>
      </c>
      <c r="C425" s="6" t="n">
        <v>60</v>
      </c>
      <c r="D425" s="25" t="n">
        <f aca="false">EDATE('Start Here'!$B$6,C425-1)</f>
        <v>48122</v>
      </c>
      <c r="E425" s="23" t="n">
        <f aca="false">IF(AND(C425&gt;=Staffing!$F$12,C425&lt;=Staffing!$G$12,1=1),IF(C425&lt;=6,Staffing!$H$12,IF(C425&lt;=15,Staffing!$I$12,IF(C425&lt;=30,Staffing!$J$12,Staffing!$K$12))),0)</f>
        <v>0</v>
      </c>
      <c r="F425" s="10" t="n">
        <f aca="false">E425*Staffing!$L$12/12*(1+Assumptions!$C$10)^INT((C425-1)/12)*1</f>
        <v>0</v>
      </c>
      <c r="G425" s="10" t="n">
        <f aca="false">F425*Staffing!$N$12</f>
        <v>0</v>
      </c>
      <c r="H425" s="10" t="n">
        <f aca="false">F425+G425</f>
        <v>0</v>
      </c>
      <c r="I425" s="10" t="n">
        <f aca="false">0</f>
        <v>0</v>
      </c>
      <c r="J425" s="10" t="n">
        <f aca="false">MAX(0,E425-E424)*Staffing!$O$12</f>
        <v>0</v>
      </c>
      <c r="K425" s="10" t="n">
        <f aca="false">MAX(0,E425-E424)*Staffing!$P$12</f>
        <v>0</v>
      </c>
      <c r="L425" s="23" t="n">
        <f aca="false">ROUNDUP(E425,0)</f>
        <v>0</v>
      </c>
    </row>
    <row r="426" customFormat="false" ht="15" hidden="false" customHeight="false" outlineLevel="0" collapsed="false">
      <c r="A426" s="6" t="s">
        <v>72</v>
      </c>
      <c r="B426" s="6" t="s">
        <v>343</v>
      </c>
      <c r="C426" s="6" t="n">
        <v>1</v>
      </c>
      <c r="D426" s="25" t="n">
        <f aca="false">EDATE('Start Here'!$B$6,C426-1)</f>
        <v>46327</v>
      </c>
      <c r="E426" s="23" t="n">
        <f aca="false">IF(AND(C426&gt;=Staffing!$F$13,C426&lt;=Staffing!$G$13,1=1),IF(C426&lt;=6,Staffing!$H$13,IF(C426&lt;=15,Staffing!$I$13,IF(C426&lt;=30,Staffing!$J$13,Staffing!$K$13))),0)</f>
        <v>0</v>
      </c>
      <c r="F426" s="10" t="n">
        <f aca="false">E426*Staffing!$L$13/12*(1+Assumptions!$C$10)^INT((C426-1)/12)*1</f>
        <v>0</v>
      </c>
      <c r="G426" s="10" t="n">
        <f aca="false">F426*Staffing!$N$13</f>
        <v>0</v>
      </c>
      <c r="H426" s="10" t="n">
        <f aca="false">F426+G426</f>
        <v>0</v>
      </c>
      <c r="I426" s="10" t="n">
        <f aca="false">0</f>
        <v>0</v>
      </c>
      <c r="J426" s="10" t="n">
        <f aca="false">MAX(0,E426-0)*Staffing!$O$13</f>
        <v>0</v>
      </c>
      <c r="K426" s="10" t="n">
        <f aca="false">MAX(0,E426-0)*Staffing!$P$13</f>
        <v>0</v>
      </c>
      <c r="L426" s="23" t="n">
        <f aca="false">ROUNDUP(E426,0)</f>
        <v>0</v>
      </c>
    </row>
    <row r="427" customFormat="false" ht="15" hidden="false" customHeight="false" outlineLevel="0" collapsed="false">
      <c r="A427" s="6" t="s">
        <v>72</v>
      </c>
      <c r="B427" s="6" t="s">
        <v>343</v>
      </c>
      <c r="C427" s="6" t="n">
        <v>2</v>
      </c>
      <c r="D427" s="25" t="n">
        <f aca="false">EDATE('Start Here'!$B$6,C427-1)</f>
        <v>46357</v>
      </c>
      <c r="E427" s="11" t="n">
        <f aca="false">IF(AND(C427&gt;=Staffing!$F$13,C427&lt;=Staffing!$G$13,1=1),IF(C427&lt;=6,Staffing!$H$13,IF(C427&lt;=15,Staffing!$I$13,IF(C427&lt;=30,Staffing!$J$13,Staffing!$K$13))),0)</f>
        <v>0.1</v>
      </c>
      <c r="F427" s="10" t="n">
        <f aca="false">E427*Staffing!$L$13/12*(1+Assumptions!$C$10)^INT((C427-1)/12)*1</f>
        <v>1666.66666666667</v>
      </c>
      <c r="G427" s="10" t="n">
        <f aca="false">F427*Staffing!$N$13</f>
        <v>0</v>
      </c>
      <c r="H427" s="10" t="n">
        <f aca="false">F427+G427</f>
        <v>1666.66666666667</v>
      </c>
      <c r="I427" s="10" t="n">
        <f aca="false">0</f>
        <v>0</v>
      </c>
      <c r="J427" s="10" t="n">
        <f aca="false">MAX(0,E427-E426)*Staffing!$O$13</f>
        <v>0</v>
      </c>
      <c r="K427" s="10" t="n">
        <f aca="false">MAX(0,E427-E426)*Staffing!$P$13</f>
        <v>250</v>
      </c>
      <c r="L427" s="23" t="n">
        <f aca="false">ROUNDUP(E427,0)</f>
        <v>1</v>
      </c>
    </row>
    <row r="428" customFormat="false" ht="15" hidden="false" customHeight="false" outlineLevel="0" collapsed="false">
      <c r="A428" s="6" t="s">
        <v>72</v>
      </c>
      <c r="B428" s="6" t="s">
        <v>343</v>
      </c>
      <c r="C428" s="6" t="n">
        <v>3</v>
      </c>
      <c r="D428" s="25" t="n">
        <f aca="false">EDATE('Start Here'!$B$6,C428-1)</f>
        <v>46388</v>
      </c>
      <c r="E428" s="11" t="n">
        <f aca="false">IF(AND(C428&gt;=Staffing!$F$13,C428&lt;=Staffing!$G$13,1=1),IF(C428&lt;=6,Staffing!$H$13,IF(C428&lt;=15,Staffing!$I$13,IF(C428&lt;=30,Staffing!$J$13,Staffing!$K$13))),0)</f>
        <v>0.1</v>
      </c>
      <c r="F428" s="10" t="n">
        <f aca="false">E428*Staffing!$L$13/12*(1+Assumptions!$C$10)^INT((C428-1)/12)*1</f>
        <v>1666.66666666667</v>
      </c>
      <c r="G428" s="10" t="n">
        <f aca="false">F428*Staffing!$N$13</f>
        <v>0</v>
      </c>
      <c r="H428" s="10" t="n">
        <f aca="false">F428+G428</f>
        <v>1666.66666666667</v>
      </c>
      <c r="I428" s="10" t="n">
        <f aca="false">0</f>
        <v>0</v>
      </c>
      <c r="J428" s="10" t="n">
        <f aca="false">MAX(0,E428-E427)*Staffing!$O$13</f>
        <v>0</v>
      </c>
      <c r="K428" s="10" t="n">
        <f aca="false">MAX(0,E428-E427)*Staffing!$P$13</f>
        <v>0</v>
      </c>
      <c r="L428" s="23" t="n">
        <f aca="false">ROUNDUP(E428,0)</f>
        <v>1</v>
      </c>
    </row>
    <row r="429" customFormat="false" ht="15" hidden="false" customHeight="false" outlineLevel="0" collapsed="false">
      <c r="A429" s="6" t="s">
        <v>72</v>
      </c>
      <c r="B429" s="6" t="s">
        <v>343</v>
      </c>
      <c r="C429" s="6" t="n">
        <v>4</v>
      </c>
      <c r="D429" s="25" t="n">
        <f aca="false">EDATE('Start Here'!$B$6,C429-1)</f>
        <v>46419</v>
      </c>
      <c r="E429" s="11" t="n">
        <f aca="false">IF(AND(C429&gt;=Staffing!$F$13,C429&lt;=Staffing!$G$13,1=1),IF(C429&lt;=6,Staffing!$H$13,IF(C429&lt;=15,Staffing!$I$13,IF(C429&lt;=30,Staffing!$J$13,Staffing!$K$13))),0)</f>
        <v>0.1</v>
      </c>
      <c r="F429" s="10" t="n">
        <f aca="false">E429*Staffing!$L$13/12*(1+Assumptions!$C$10)^INT((C429-1)/12)*1</f>
        <v>1666.66666666667</v>
      </c>
      <c r="G429" s="10" t="n">
        <f aca="false">F429*Staffing!$N$13</f>
        <v>0</v>
      </c>
      <c r="H429" s="10" t="n">
        <f aca="false">F429+G429</f>
        <v>1666.66666666667</v>
      </c>
      <c r="I429" s="10" t="n">
        <f aca="false">0</f>
        <v>0</v>
      </c>
      <c r="J429" s="10" t="n">
        <f aca="false">MAX(0,E429-E428)*Staffing!$O$13</f>
        <v>0</v>
      </c>
      <c r="K429" s="10" t="n">
        <f aca="false">MAX(0,E429-E428)*Staffing!$P$13</f>
        <v>0</v>
      </c>
      <c r="L429" s="23" t="n">
        <f aca="false">ROUNDUP(E429,0)</f>
        <v>1</v>
      </c>
    </row>
    <row r="430" customFormat="false" ht="15" hidden="false" customHeight="false" outlineLevel="0" collapsed="false">
      <c r="A430" s="6" t="s">
        <v>72</v>
      </c>
      <c r="B430" s="6" t="s">
        <v>343</v>
      </c>
      <c r="C430" s="6" t="n">
        <v>5</v>
      </c>
      <c r="D430" s="25" t="n">
        <f aca="false">EDATE('Start Here'!$B$6,C430-1)</f>
        <v>46447</v>
      </c>
      <c r="E430" s="11" t="n">
        <f aca="false">IF(AND(C430&gt;=Staffing!$F$13,C430&lt;=Staffing!$G$13,1=1),IF(C430&lt;=6,Staffing!$H$13,IF(C430&lt;=15,Staffing!$I$13,IF(C430&lt;=30,Staffing!$J$13,Staffing!$K$13))),0)</f>
        <v>0.1</v>
      </c>
      <c r="F430" s="10" t="n">
        <f aca="false">E430*Staffing!$L$13/12*(1+Assumptions!$C$10)^INT((C430-1)/12)*1</f>
        <v>1666.66666666667</v>
      </c>
      <c r="G430" s="10" t="n">
        <f aca="false">F430*Staffing!$N$13</f>
        <v>0</v>
      </c>
      <c r="H430" s="10" t="n">
        <f aca="false">F430+G430</f>
        <v>1666.66666666667</v>
      </c>
      <c r="I430" s="10" t="n">
        <f aca="false">0</f>
        <v>0</v>
      </c>
      <c r="J430" s="10" t="n">
        <f aca="false">MAX(0,E430-E429)*Staffing!$O$13</f>
        <v>0</v>
      </c>
      <c r="K430" s="10" t="n">
        <f aca="false">MAX(0,E430-E429)*Staffing!$P$13</f>
        <v>0</v>
      </c>
      <c r="L430" s="23" t="n">
        <f aca="false">ROUNDUP(E430,0)</f>
        <v>1</v>
      </c>
    </row>
    <row r="431" customFormat="false" ht="15" hidden="false" customHeight="false" outlineLevel="0" collapsed="false">
      <c r="A431" s="6" t="s">
        <v>72</v>
      </c>
      <c r="B431" s="6" t="s">
        <v>343</v>
      </c>
      <c r="C431" s="6" t="n">
        <v>6</v>
      </c>
      <c r="D431" s="25" t="n">
        <f aca="false">EDATE('Start Here'!$B$6,C431-1)</f>
        <v>46478</v>
      </c>
      <c r="E431" s="11" t="n">
        <f aca="false">IF(AND(C431&gt;=Staffing!$F$13,C431&lt;=Staffing!$G$13,1=1),IF(C431&lt;=6,Staffing!$H$13,IF(C431&lt;=15,Staffing!$I$13,IF(C431&lt;=30,Staffing!$J$13,Staffing!$K$13))),0)</f>
        <v>0.1</v>
      </c>
      <c r="F431" s="10" t="n">
        <f aca="false">E431*Staffing!$L$13/12*(1+Assumptions!$C$10)^INT((C431-1)/12)*1</f>
        <v>1666.66666666667</v>
      </c>
      <c r="G431" s="10" t="n">
        <f aca="false">F431*Staffing!$N$13</f>
        <v>0</v>
      </c>
      <c r="H431" s="10" t="n">
        <f aca="false">F431+G431</f>
        <v>1666.66666666667</v>
      </c>
      <c r="I431" s="10" t="n">
        <f aca="false">0</f>
        <v>0</v>
      </c>
      <c r="J431" s="10" t="n">
        <f aca="false">MAX(0,E431-E430)*Staffing!$O$13</f>
        <v>0</v>
      </c>
      <c r="K431" s="10" t="n">
        <f aca="false">MAX(0,E431-E430)*Staffing!$P$13</f>
        <v>0</v>
      </c>
      <c r="L431" s="23" t="n">
        <f aca="false">ROUNDUP(E431,0)</f>
        <v>1</v>
      </c>
    </row>
    <row r="432" customFormat="false" ht="15" hidden="false" customHeight="false" outlineLevel="0" collapsed="false">
      <c r="A432" s="6" t="s">
        <v>72</v>
      </c>
      <c r="B432" s="6" t="s">
        <v>343</v>
      </c>
      <c r="C432" s="6" t="n">
        <v>7</v>
      </c>
      <c r="D432" s="25" t="n">
        <f aca="false">EDATE('Start Here'!$B$6,C432-1)</f>
        <v>46508</v>
      </c>
      <c r="E432" s="11" t="n">
        <f aca="false">IF(AND(C432&gt;=Staffing!$F$13,C432&lt;=Staffing!$G$13,1=1),IF(C432&lt;=6,Staffing!$H$13,IF(C432&lt;=15,Staffing!$I$13,IF(C432&lt;=30,Staffing!$J$13,Staffing!$K$13))),0)</f>
        <v>0.15</v>
      </c>
      <c r="F432" s="10" t="n">
        <f aca="false">E432*Staffing!$L$13/12*(1+Assumptions!$C$10)^INT((C432-1)/12)*1</f>
        <v>2500</v>
      </c>
      <c r="G432" s="10" t="n">
        <f aca="false">F432*Staffing!$N$13</f>
        <v>0</v>
      </c>
      <c r="H432" s="10" t="n">
        <f aca="false">F432+G432</f>
        <v>2500</v>
      </c>
      <c r="I432" s="10" t="n">
        <f aca="false">0</f>
        <v>0</v>
      </c>
      <c r="J432" s="10" t="n">
        <f aca="false">MAX(0,E432-E431)*Staffing!$O$13</f>
        <v>0</v>
      </c>
      <c r="K432" s="10" t="n">
        <f aca="false">MAX(0,E432-E431)*Staffing!$P$13</f>
        <v>125</v>
      </c>
      <c r="L432" s="23" t="n">
        <f aca="false">ROUNDUP(E432,0)</f>
        <v>1</v>
      </c>
    </row>
    <row r="433" customFormat="false" ht="15" hidden="false" customHeight="false" outlineLevel="0" collapsed="false">
      <c r="A433" s="6" t="s">
        <v>72</v>
      </c>
      <c r="B433" s="6" t="s">
        <v>343</v>
      </c>
      <c r="C433" s="6" t="n">
        <v>8</v>
      </c>
      <c r="D433" s="25" t="n">
        <f aca="false">EDATE('Start Here'!$B$6,C433-1)</f>
        <v>46539</v>
      </c>
      <c r="E433" s="11" t="n">
        <f aca="false">IF(AND(C433&gt;=Staffing!$F$13,C433&lt;=Staffing!$G$13,1=1),IF(C433&lt;=6,Staffing!$H$13,IF(C433&lt;=15,Staffing!$I$13,IF(C433&lt;=30,Staffing!$J$13,Staffing!$K$13))),0)</f>
        <v>0.15</v>
      </c>
      <c r="F433" s="10" t="n">
        <f aca="false">E433*Staffing!$L$13/12*(1+Assumptions!$C$10)^INT((C433-1)/12)*1</f>
        <v>2500</v>
      </c>
      <c r="G433" s="10" t="n">
        <f aca="false">F433*Staffing!$N$13</f>
        <v>0</v>
      </c>
      <c r="H433" s="10" t="n">
        <f aca="false">F433+G433</f>
        <v>2500</v>
      </c>
      <c r="I433" s="10" t="n">
        <f aca="false">0</f>
        <v>0</v>
      </c>
      <c r="J433" s="10" t="n">
        <f aca="false">MAX(0,E433-E432)*Staffing!$O$13</f>
        <v>0</v>
      </c>
      <c r="K433" s="10" t="n">
        <f aca="false">MAX(0,E433-E432)*Staffing!$P$13</f>
        <v>0</v>
      </c>
      <c r="L433" s="23" t="n">
        <f aca="false">ROUNDUP(E433,0)</f>
        <v>1</v>
      </c>
    </row>
    <row r="434" customFormat="false" ht="15" hidden="false" customHeight="false" outlineLevel="0" collapsed="false">
      <c r="A434" s="6" t="s">
        <v>72</v>
      </c>
      <c r="B434" s="6" t="s">
        <v>343</v>
      </c>
      <c r="C434" s="6" t="n">
        <v>9</v>
      </c>
      <c r="D434" s="25" t="n">
        <f aca="false">EDATE('Start Here'!$B$6,C434-1)</f>
        <v>46569</v>
      </c>
      <c r="E434" s="11" t="n">
        <f aca="false">IF(AND(C434&gt;=Staffing!$F$13,C434&lt;=Staffing!$G$13,1=1),IF(C434&lt;=6,Staffing!$H$13,IF(C434&lt;=15,Staffing!$I$13,IF(C434&lt;=30,Staffing!$J$13,Staffing!$K$13))),0)</f>
        <v>0.15</v>
      </c>
      <c r="F434" s="10" t="n">
        <f aca="false">E434*Staffing!$L$13/12*(1+Assumptions!$C$10)^INT((C434-1)/12)*1</f>
        <v>2500</v>
      </c>
      <c r="G434" s="10" t="n">
        <f aca="false">F434*Staffing!$N$13</f>
        <v>0</v>
      </c>
      <c r="H434" s="10" t="n">
        <f aca="false">F434+G434</f>
        <v>2500</v>
      </c>
      <c r="I434" s="10" t="n">
        <f aca="false">0</f>
        <v>0</v>
      </c>
      <c r="J434" s="10" t="n">
        <f aca="false">MAX(0,E434-E433)*Staffing!$O$13</f>
        <v>0</v>
      </c>
      <c r="K434" s="10" t="n">
        <f aca="false">MAX(0,E434-E433)*Staffing!$P$13</f>
        <v>0</v>
      </c>
      <c r="L434" s="23" t="n">
        <f aca="false">ROUNDUP(E434,0)</f>
        <v>1</v>
      </c>
    </row>
    <row r="435" customFormat="false" ht="15" hidden="false" customHeight="false" outlineLevel="0" collapsed="false">
      <c r="A435" s="6" t="s">
        <v>72</v>
      </c>
      <c r="B435" s="6" t="s">
        <v>343</v>
      </c>
      <c r="C435" s="6" t="n">
        <v>10</v>
      </c>
      <c r="D435" s="25" t="n">
        <f aca="false">EDATE('Start Here'!$B$6,C435-1)</f>
        <v>46600</v>
      </c>
      <c r="E435" s="11" t="n">
        <f aca="false">IF(AND(C435&gt;=Staffing!$F$13,C435&lt;=Staffing!$G$13,1=1),IF(C435&lt;=6,Staffing!$H$13,IF(C435&lt;=15,Staffing!$I$13,IF(C435&lt;=30,Staffing!$J$13,Staffing!$K$13))),0)</f>
        <v>0.15</v>
      </c>
      <c r="F435" s="10" t="n">
        <f aca="false">E435*Staffing!$L$13/12*(1+Assumptions!$C$10)^INT((C435-1)/12)*1</f>
        <v>2500</v>
      </c>
      <c r="G435" s="10" t="n">
        <f aca="false">F435*Staffing!$N$13</f>
        <v>0</v>
      </c>
      <c r="H435" s="10" t="n">
        <f aca="false">F435+G435</f>
        <v>2500</v>
      </c>
      <c r="I435" s="10" t="n">
        <f aca="false">0</f>
        <v>0</v>
      </c>
      <c r="J435" s="10" t="n">
        <f aca="false">MAX(0,E435-E434)*Staffing!$O$13</f>
        <v>0</v>
      </c>
      <c r="K435" s="10" t="n">
        <f aca="false">MAX(0,E435-E434)*Staffing!$P$13</f>
        <v>0</v>
      </c>
      <c r="L435" s="23" t="n">
        <f aca="false">ROUNDUP(E435,0)</f>
        <v>1</v>
      </c>
    </row>
    <row r="436" customFormat="false" ht="15" hidden="false" customHeight="false" outlineLevel="0" collapsed="false">
      <c r="A436" s="6" t="s">
        <v>72</v>
      </c>
      <c r="B436" s="6" t="s">
        <v>343</v>
      </c>
      <c r="C436" s="6" t="n">
        <v>11</v>
      </c>
      <c r="D436" s="25" t="n">
        <f aca="false">EDATE('Start Here'!$B$6,C436-1)</f>
        <v>46631</v>
      </c>
      <c r="E436" s="11" t="n">
        <f aca="false">IF(AND(C436&gt;=Staffing!$F$13,C436&lt;=Staffing!$G$13,1=1),IF(C436&lt;=6,Staffing!$H$13,IF(C436&lt;=15,Staffing!$I$13,IF(C436&lt;=30,Staffing!$J$13,Staffing!$K$13))),0)</f>
        <v>0.15</v>
      </c>
      <c r="F436" s="10" t="n">
        <f aca="false">E436*Staffing!$L$13/12*(1+Assumptions!$C$10)^INT((C436-1)/12)*1</f>
        <v>2500</v>
      </c>
      <c r="G436" s="10" t="n">
        <f aca="false">F436*Staffing!$N$13</f>
        <v>0</v>
      </c>
      <c r="H436" s="10" t="n">
        <f aca="false">F436+G436</f>
        <v>2500</v>
      </c>
      <c r="I436" s="10" t="n">
        <f aca="false">0</f>
        <v>0</v>
      </c>
      <c r="J436" s="10" t="n">
        <f aca="false">MAX(0,E436-E435)*Staffing!$O$13</f>
        <v>0</v>
      </c>
      <c r="K436" s="10" t="n">
        <f aca="false">MAX(0,E436-E435)*Staffing!$P$13</f>
        <v>0</v>
      </c>
      <c r="L436" s="23" t="n">
        <f aca="false">ROUNDUP(E436,0)</f>
        <v>1</v>
      </c>
    </row>
    <row r="437" customFormat="false" ht="15" hidden="false" customHeight="false" outlineLevel="0" collapsed="false">
      <c r="A437" s="6" t="s">
        <v>72</v>
      </c>
      <c r="B437" s="6" t="s">
        <v>343</v>
      </c>
      <c r="C437" s="6" t="n">
        <v>12</v>
      </c>
      <c r="D437" s="25" t="n">
        <f aca="false">EDATE('Start Here'!$B$6,C437-1)</f>
        <v>46661</v>
      </c>
      <c r="E437" s="11" t="n">
        <f aca="false">IF(AND(C437&gt;=Staffing!$F$13,C437&lt;=Staffing!$G$13,1=1),IF(C437&lt;=6,Staffing!$H$13,IF(C437&lt;=15,Staffing!$I$13,IF(C437&lt;=30,Staffing!$J$13,Staffing!$K$13))),0)</f>
        <v>0.15</v>
      </c>
      <c r="F437" s="10" t="n">
        <f aca="false">E437*Staffing!$L$13/12*(1+Assumptions!$C$10)^INT((C437-1)/12)*1</f>
        <v>2500</v>
      </c>
      <c r="G437" s="10" t="n">
        <f aca="false">F437*Staffing!$N$13</f>
        <v>0</v>
      </c>
      <c r="H437" s="10" t="n">
        <f aca="false">F437+G437</f>
        <v>2500</v>
      </c>
      <c r="I437" s="10" t="n">
        <f aca="false">0</f>
        <v>0</v>
      </c>
      <c r="J437" s="10" t="n">
        <f aca="false">MAX(0,E437-E436)*Staffing!$O$13</f>
        <v>0</v>
      </c>
      <c r="K437" s="10" t="n">
        <f aca="false">MAX(0,E437-E436)*Staffing!$P$13</f>
        <v>0</v>
      </c>
      <c r="L437" s="23" t="n">
        <f aca="false">ROUNDUP(E437,0)</f>
        <v>1</v>
      </c>
    </row>
    <row r="438" customFormat="false" ht="15" hidden="false" customHeight="false" outlineLevel="0" collapsed="false">
      <c r="A438" s="6" t="s">
        <v>72</v>
      </c>
      <c r="B438" s="6" t="s">
        <v>343</v>
      </c>
      <c r="C438" s="6" t="n">
        <v>13</v>
      </c>
      <c r="D438" s="25" t="n">
        <f aca="false">EDATE('Start Here'!$B$6,C438-1)</f>
        <v>46692</v>
      </c>
      <c r="E438" s="11" t="n">
        <f aca="false">IF(AND(C438&gt;=Staffing!$F$13,C438&lt;=Staffing!$G$13,1=1),IF(C438&lt;=6,Staffing!$H$13,IF(C438&lt;=15,Staffing!$I$13,IF(C438&lt;=30,Staffing!$J$13,Staffing!$K$13))),0)</f>
        <v>0.15</v>
      </c>
      <c r="F438" s="10" t="n">
        <f aca="false">E438*Staffing!$L$13/12*(1+Assumptions!$C$10)^INT((C438-1)/12)*1</f>
        <v>2575</v>
      </c>
      <c r="G438" s="10" t="n">
        <f aca="false">F438*Staffing!$N$13</f>
        <v>0</v>
      </c>
      <c r="H438" s="10" t="n">
        <f aca="false">F438+G438</f>
        <v>2575</v>
      </c>
      <c r="I438" s="10" t="n">
        <f aca="false">0</f>
        <v>0</v>
      </c>
      <c r="J438" s="10" t="n">
        <f aca="false">MAX(0,E438-E437)*Staffing!$O$13</f>
        <v>0</v>
      </c>
      <c r="K438" s="10" t="n">
        <f aca="false">MAX(0,E438-E437)*Staffing!$P$13</f>
        <v>0</v>
      </c>
      <c r="L438" s="23" t="n">
        <f aca="false">ROUNDUP(E438,0)</f>
        <v>1</v>
      </c>
    </row>
    <row r="439" customFormat="false" ht="15" hidden="false" customHeight="false" outlineLevel="0" collapsed="false">
      <c r="A439" s="6" t="s">
        <v>72</v>
      </c>
      <c r="B439" s="6" t="s">
        <v>343</v>
      </c>
      <c r="C439" s="6" t="n">
        <v>14</v>
      </c>
      <c r="D439" s="25" t="n">
        <f aca="false">EDATE('Start Here'!$B$6,C439-1)</f>
        <v>46722</v>
      </c>
      <c r="E439" s="11" t="n">
        <f aca="false">IF(AND(C439&gt;=Staffing!$F$13,C439&lt;=Staffing!$G$13,1=1),IF(C439&lt;=6,Staffing!$H$13,IF(C439&lt;=15,Staffing!$I$13,IF(C439&lt;=30,Staffing!$J$13,Staffing!$K$13))),0)</f>
        <v>0.15</v>
      </c>
      <c r="F439" s="10" t="n">
        <f aca="false">E439*Staffing!$L$13/12*(1+Assumptions!$C$10)^INT((C439-1)/12)*1</f>
        <v>2575</v>
      </c>
      <c r="G439" s="10" t="n">
        <f aca="false">F439*Staffing!$N$13</f>
        <v>0</v>
      </c>
      <c r="H439" s="10" t="n">
        <f aca="false">F439+G439</f>
        <v>2575</v>
      </c>
      <c r="I439" s="10" t="n">
        <f aca="false">0</f>
        <v>0</v>
      </c>
      <c r="J439" s="10" t="n">
        <f aca="false">MAX(0,E439-E438)*Staffing!$O$13</f>
        <v>0</v>
      </c>
      <c r="K439" s="10" t="n">
        <f aca="false">MAX(0,E439-E438)*Staffing!$P$13</f>
        <v>0</v>
      </c>
      <c r="L439" s="23" t="n">
        <f aca="false">ROUNDUP(E439,0)</f>
        <v>1</v>
      </c>
    </row>
    <row r="440" customFormat="false" ht="15" hidden="false" customHeight="false" outlineLevel="0" collapsed="false">
      <c r="A440" s="6" t="s">
        <v>72</v>
      </c>
      <c r="B440" s="6" t="s">
        <v>343</v>
      </c>
      <c r="C440" s="6" t="n">
        <v>15</v>
      </c>
      <c r="D440" s="25" t="n">
        <f aca="false">EDATE('Start Here'!$B$6,C440-1)</f>
        <v>46753</v>
      </c>
      <c r="E440" s="11" t="n">
        <f aca="false">IF(AND(C440&gt;=Staffing!$F$13,C440&lt;=Staffing!$G$13,1=1),IF(C440&lt;=6,Staffing!$H$13,IF(C440&lt;=15,Staffing!$I$13,IF(C440&lt;=30,Staffing!$J$13,Staffing!$K$13))),0)</f>
        <v>0.15</v>
      </c>
      <c r="F440" s="10" t="n">
        <f aca="false">E440*Staffing!$L$13/12*(1+Assumptions!$C$10)^INT((C440-1)/12)*1</f>
        <v>2575</v>
      </c>
      <c r="G440" s="10" t="n">
        <f aca="false">F440*Staffing!$N$13</f>
        <v>0</v>
      </c>
      <c r="H440" s="10" t="n">
        <f aca="false">F440+G440</f>
        <v>2575</v>
      </c>
      <c r="I440" s="10" t="n">
        <f aca="false">0</f>
        <v>0</v>
      </c>
      <c r="J440" s="10" t="n">
        <f aca="false">MAX(0,E440-E439)*Staffing!$O$13</f>
        <v>0</v>
      </c>
      <c r="K440" s="10" t="n">
        <f aca="false">MAX(0,E440-E439)*Staffing!$P$13</f>
        <v>0</v>
      </c>
      <c r="L440" s="23" t="n">
        <f aca="false">ROUNDUP(E440,0)</f>
        <v>1</v>
      </c>
    </row>
    <row r="441" customFormat="false" ht="15" hidden="false" customHeight="false" outlineLevel="0" collapsed="false">
      <c r="A441" s="6" t="s">
        <v>72</v>
      </c>
      <c r="B441" s="6" t="s">
        <v>343</v>
      </c>
      <c r="C441" s="6" t="n">
        <v>16</v>
      </c>
      <c r="D441" s="25" t="n">
        <f aca="false">EDATE('Start Here'!$B$6,C441-1)</f>
        <v>46784</v>
      </c>
      <c r="E441" s="11" t="n">
        <f aca="false">IF(AND(C441&gt;=Staffing!$F$13,C441&lt;=Staffing!$G$13,1=1),IF(C441&lt;=6,Staffing!$H$13,IF(C441&lt;=15,Staffing!$I$13,IF(C441&lt;=30,Staffing!$J$13,Staffing!$K$13))),0)</f>
        <v>0.15</v>
      </c>
      <c r="F441" s="10" t="n">
        <f aca="false">E441*Staffing!$L$13/12*(1+Assumptions!$C$10)^INT((C441-1)/12)*1</f>
        <v>2575</v>
      </c>
      <c r="G441" s="10" t="n">
        <f aca="false">F441*Staffing!$N$13</f>
        <v>0</v>
      </c>
      <c r="H441" s="10" t="n">
        <f aca="false">F441+G441</f>
        <v>2575</v>
      </c>
      <c r="I441" s="10" t="n">
        <f aca="false">0</f>
        <v>0</v>
      </c>
      <c r="J441" s="10" t="n">
        <f aca="false">MAX(0,E441-E440)*Staffing!$O$13</f>
        <v>0</v>
      </c>
      <c r="K441" s="10" t="n">
        <f aca="false">MAX(0,E441-E440)*Staffing!$P$13</f>
        <v>0</v>
      </c>
      <c r="L441" s="23" t="n">
        <f aca="false">ROUNDUP(E441,0)</f>
        <v>1</v>
      </c>
    </row>
    <row r="442" customFormat="false" ht="15" hidden="false" customHeight="false" outlineLevel="0" collapsed="false">
      <c r="A442" s="6" t="s">
        <v>72</v>
      </c>
      <c r="B442" s="6" t="s">
        <v>343</v>
      </c>
      <c r="C442" s="6" t="n">
        <v>17</v>
      </c>
      <c r="D442" s="25" t="n">
        <f aca="false">EDATE('Start Here'!$B$6,C442-1)</f>
        <v>46813</v>
      </c>
      <c r="E442" s="11" t="n">
        <f aca="false">IF(AND(C442&gt;=Staffing!$F$13,C442&lt;=Staffing!$G$13,1=1),IF(C442&lt;=6,Staffing!$H$13,IF(C442&lt;=15,Staffing!$I$13,IF(C442&lt;=30,Staffing!$J$13,Staffing!$K$13))),0)</f>
        <v>0.15</v>
      </c>
      <c r="F442" s="10" t="n">
        <f aca="false">E442*Staffing!$L$13/12*(1+Assumptions!$C$10)^INT((C442-1)/12)*1</f>
        <v>2575</v>
      </c>
      <c r="G442" s="10" t="n">
        <f aca="false">F442*Staffing!$N$13</f>
        <v>0</v>
      </c>
      <c r="H442" s="10" t="n">
        <f aca="false">F442+G442</f>
        <v>2575</v>
      </c>
      <c r="I442" s="10" t="n">
        <f aca="false">0</f>
        <v>0</v>
      </c>
      <c r="J442" s="10" t="n">
        <f aca="false">MAX(0,E442-E441)*Staffing!$O$13</f>
        <v>0</v>
      </c>
      <c r="K442" s="10" t="n">
        <f aca="false">MAX(0,E442-E441)*Staffing!$P$13</f>
        <v>0</v>
      </c>
      <c r="L442" s="23" t="n">
        <f aca="false">ROUNDUP(E442,0)</f>
        <v>1</v>
      </c>
    </row>
    <row r="443" customFormat="false" ht="15" hidden="false" customHeight="false" outlineLevel="0" collapsed="false">
      <c r="A443" s="6" t="s">
        <v>72</v>
      </c>
      <c r="B443" s="6" t="s">
        <v>343</v>
      </c>
      <c r="C443" s="6" t="n">
        <v>18</v>
      </c>
      <c r="D443" s="25" t="n">
        <f aca="false">EDATE('Start Here'!$B$6,C443-1)</f>
        <v>46844</v>
      </c>
      <c r="E443" s="11" t="n">
        <f aca="false">IF(AND(C443&gt;=Staffing!$F$13,C443&lt;=Staffing!$G$13,1=1),IF(C443&lt;=6,Staffing!$H$13,IF(C443&lt;=15,Staffing!$I$13,IF(C443&lt;=30,Staffing!$J$13,Staffing!$K$13))),0)</f>
        <v>0.15</v>
      </c>
      <c r="F443" s="10" t="n">
        <f aca="false">E443*Staffing!$L$13/12*(1+Assumptions!$C$10)^INT((C443-1)/12)*1</f>
        <v>2575</v>
      </c>
      <c r="G443" s="10" t="n">
        <f aca="false">F443*Staffing!$N$13</f>
        <v>0</v>
      </c>
      <c r="H443" s="10" t="n">
        <f aca="false">F443+G443</f>
        <v>2575</v>
      </c>
      <c r="I443" s="10" t="n">
        <f aca="false">0</f>
        <v>0</v>
      </c>
      <c r="J443" s="10" t="n">
        <f aca="false">MAX(0,E443-E442)*Staffing!$O$13</f>
        <v>0</v>
      </c>
      <c r="K443" s="10" t="n">
        <f aca="false">MAX(0,E443-E442)*Staffing!$P$13</f>
        <v>0</v>
      </c>
      <c r="L443" s="23" t="n">
        <f aca="false">ROUNDUP(E443,0)</f>
        <v>1</v>
      </c>
    </row>
    <row r="444" customFormat="false" ht="15" hidden="false" customHeight="false" outlineLevel="0" collapsed="false">
      <c r="A444" s="6" t="s">
        <v>72</v>
      </c>
      <c r="B444" s="6" t="s">
        <v>343</v>
      </c>
      <c r="C444" s="6" t="n">
        <v>19</v>
      </c>
      <c r="D444" s="25" t="n">
        <f aca="false">EDATE('Start Here'!$B$6,C444-1)</f>
        <v>46874</v>
      </c>
      <c r="E444" s="11" t="n">
        <f aca="false">IF(AND(C444&gt;=Staffing!$F$13,C444&lt;=Staffing!$G$13,1=1),IF(C444&lt;=6,Staffing!$H$13,IF(C444&lt;=15,Staffing!$I$13,IF(C444&lt;=30,Staffing!$J$13,Staffing!$K$13))),0)</f>
        <v>0.15</v>
      </c>
      <c r="F444" s="10" t="n">
        <f aca="false">E444*Staffing!$L$13/12*(1+Assumptions!$C$10)^INT((C444-1)/12)*1</f>
        <v>2575</v>
      </c>
      <c r="G444" s="10" t="n">
        <f aca="false">F444*Staffing!$N$13</f>
        <v>0</v>
      </c>
      <c r="H444" s="10" t="n">
        <f aca="false">F444+G444</f>
        <v>2575</v>
      </c>
      <c r="I444" s="10" t="n">
        <f aca="false">0</f>
        <v>0</v>
      </c>
      <c r="J444" s="10" t="n">
        <f aca="false">MAX(0,E444-E443)*Staffing!$O$13</f>
        <v>0</v>
      </c>
      <c r="K444" s="10" t="n">
        <f aca="false">MAX(0,E444-E443)*Staffing!$P$13</f>
        <v>0</v>
      </c>
      <c r="L444" s="23" t="n">
        <f aca="false">ROUNDUP(E444,0)</f>
        <v>1</v>
      </c>
    </row>
    <row r="445" customFormat="false" ht="15" hidden="false" customHeight="false" outlineLevel="0" collapsed="false">
      <c r="A445" s="6" t="s">
        <v>72</v>
      </c>
      <c r="B445" s="6" t="s">
        <v>343</v>
      </c>
      <c r="C445" s="6" t="n">
        <v>20</v>
      </c>
      <c r="D445" s="25" t="n">
        <f aca="false">EDATE('Start Here'!$B$6,C445-1)</f>
        <v>46905</v>
      </c>
      <c r="E445" s="11" t="n">
        <f aca="false">IF(AND(C445&gt;=Staffing!$F$13,C445&lt;=Staffing!$G$13,1=1),IF(C445&lt;=6,Staffing!$H$13,IF(C445&lt;=15,Staffing!$I$13,IF(C445&lt;=30,Staffing!$J$13,Staffing!$K$13))),0)</f>
        <v>0.15</v>
      </c>
      <c r="F445" s="10" t="n">
        <f aca="false">E445*Staffing!$L$13/12*(1+Assumptions!$C$10)^INT((C445-1)/12)*1</f>
        <v>2575</v>
      </c>
      <c r="G445" s="10" t="n">
        <f aca="false">F445*Staffing!$N$13</f>
        <v>0</v>
      </c>
      <c r="H445" s="10" t="n">
        <f aca="false">F445+G445</f>
        <v>2575</v>
      </c>
      <c r="I445" s="10" t="n">
        <f aca="false">0</f>
        <v>0</v>
      </c>
      <c r="J445" s="10" t="n">
        <f aca="false">MAX(0,E445-E444)*Staffing!$O$13</f>
        <v>0</v>
      </c>
      <c r="K445" s="10" t="n">
        <f aca="false">MAX(0,E445-E444)*Staffing!$P$13</f>
        <v>0</v>
      </c>
      <c r="L445" s="23" t="n">
        <f aca="false">ROUNDUP(E445,0)</f>
        <v>1</v>
      </c>
    </row>
    <row r="446" customFormat="false" ht="15" hidden="false" customHeight="false" outlineLevel="0" collapsed="false">
      <c r="A446" s="6" t="s">
        <v>72</v>
      </c>
      <c r="B446" s="6" t="s">
        <v>343</v>
      </c>
      <c r="C446" s="6" t="n">
        <v>21</v>
      </c>
      <c r="D446" s="25" t="n">
        <f aca="false">EDATE('Start Here'!$B$6,C446-1)</f>
        <v>46935</v>
      </c>
      <c r="E446" s="11" t="n">
        <f aca="false">IF(AND(C446&gt;=Staffing!$F$13,C446&lt;=Staffing!$G$13,1=1),IF(C446&lt;=6,Staffing!$H$13,IF(C446&lt;=15,Staffing!$I$13,IF(C446&lt;=30,Staffing!$J$13,Staffing!$K$13))),0)</f>
        <v>0.15</v>
      </c>
      <c r="F446" s="10" t="n">
        <f aca="false">E446*Staffing!$L$13/12*(1+Assumptions!$C$10)^INT((C446-1)/12)*1</f>
        <v>2575</v>
      </c>
      <c r="G446" s="10" t="n">
        <f aca="false">F446*Staffing!$N$13</f>
        <v>0</v>
      </c>
      <c r="H446" s="10" t="n">
        <f aca="false">F446+G446</f>
        <v>2575</v>
      </c>
      <c r="I446" s="10" t="n">
        <f aca="false">0</f>
        <v>0</v>
      </c>
      <c r="J446" s="10" t="n">
        <f aca="false">MAX(0,E446-E445)*Staffing!$O$13</f>
        <v>0</v>
      </c>
      <c r="K446" s="10" t="n">
        <f aca="false">MAX(0,E446-E445)*Staffing!$P$13</f>
        <v>0</v>
      </c>
      <c r="L446" s="23" t="n">
        <f aca="false">ROUNDUP(E446,0)</f>
        <v>1</v>
      </c>
    </row>
    <row r="447" customFormat="false" ht="15" hidden="false" customHeight="false" outlineLevel="0" collapsed="false">
      <c r="A447" s="6" t="s">
        <v>72</v>
      </c>
      <c r="B447" s="6" t="s">
        <v>343</v>
      </c>
      <c r="C447" s="6" t="n">
        <v>22</v>
      </c>
      <c r="D447" s="25" t="n">
        <f aca="false">EDATE('Start Here'!$B$6,C447-1)</f>
        <v>46966</v>
      </c>
      <c r="E447" s="11" t="n">
        <f aca="false">IF(AND(C447&gt;=Staffing!$F$13,C447&lt;=Staffing!$G$13,1=1),IF(C447&lt;=6,Staffing!$H$13,IF(C447&lt;=15,Staffing!$I$13,IF(C447&lt;=30,Staffing!$J$13,Staffing!$K$13))),0)</f>
        <v>0.15</v>
      </c>
      <c r="F447" s="10" t="n">
        <f aca="false">E447*Staffing!$L$13/12*(1+Assumptions!$C$10)^INT((C447-1)/12)*1</f>
        <v>2575</v>
      </c>
      <c r="G447" s="10" t="n">
        <f aca="false">F447*Staffing!$N$13</f>
        <v>0</v>
      </c>
      <c r="H447" s="10" t="n">
        <f aca="false">F447+G447</f>
        <v>2575</v>
      </c>
      <c r="I447" s="10" t="n">
        <f aca="false">0</f>
        <v>0</v>
      </c>
      <c r="J447" s="10" t="n">
        <f aca="false">MAX(0,E447-E446)*Staffing!$O$13</f>
        <v>0</v>
      </c>
      <c r="K447" s="10" t="n">
        <f aca="false">MAX(0,E447-E446)*Staffing!$P$13</f>
        <v>0</v>
      </c>
      <c r="L447" s="23" t="n">
        <f aca="false">ROUNDUP(E447,0)</f>
        <v>1</v>
      </c>
    </row>
    <row r="448" customFormat="false" ht="15" hidden="false" customHeight="false" outlineLevel="0" collapsed="false">
      <c r="A448" s="6" t="s">
        <v>72</v>
      </c>
      <c r="B448" s="6" t="s">
        <v>343</v>
      </c>
      <c r="C448" s="6" t="n">
        <v>23</v>
      </c>
      <c r="D448" s="25" t="n">
        <f aca="false">EDATE('Start Here'!$B$6,C448-1)</f>
        <v>46997</v>
      </c>
      <c r="E448" s="11" t="n">
        <f aca="false">IF(AND(C448&gt;=Staffing!$F$13,C448&lt;=Staffing!$G$13,1=1),IF(C448&lt;=6,Staffing!$H$13,IF(C448&lt;=15,Staffing!$I$13,IF(C448&lt;=30,Staffing!$J$13,Staffing!$K$13))),0)</f>
        <v>0.15</v>
      </c>
      <c r="F448" s="10" t="n">
        <f aca="false">E448*Staffing!$L$13/12*(1+Assumptions!$C$10)^INT((C448-1)/12)*1</f>
        <v>2575</v>
      </c>
      <c r="G448" s="10" t="n">
        <f aca="false">F448*Staffing!$N$13</f>
        <v>0</v>
      </c>
      <c r="H448" s="10" t="n">
        <f aca="false">F448+G448</f>
        <v>2575</v>
      </c>
      <c r="I448" s="10" t="n">
        <f aca="false">0</f>
        <v>0</v>
      </c>
      <c r="J448" s="10" t="n">
        <f aca="false">MAX(0,E448-E447)*Staffing!$O$13</f>
        <v>0</v>
      </c>
      <c r="K448" s="10" t="n">
        <f aca="false">MAX(0,E448-E447)*Staffing!$P$13</f>
        <v>0</v>
      </c>
      <c r="L448" s="23" t="n">
        <f aca="false">ROUNDUP(E448,0)</f>
        <v>1</v>
      </c>
    </row>
    <row r="449" customFormat="false" ht="15" hidden="false" customHeight="false" outlineLevel="0" collapsed="false">
      <c r="A449" s="6" t="s">
        <v>72</v>
      </c>
      <c r="B449" s="6" t="s">
        <v>343</v>
      </c>
      <c r="C449" s="6" t="n">
        <v>24</v>
      </c>
      <c r="D449" s="25" t="n">
        <f aca="false">EDATE('Start Here'!$B$6,C449-1)</f>
        <v>47027</v>
      </c>
      <c r="E449" s="11" t="n">
        <f aca="false">IF(AND(C449&gt;=Staffing!$F$13,C449&lt;=Staffing!$G$13,1=1),IF(C449&lt;=6,Staffing!$H$13,IF(C449&lt;=15,Staffing!$I$13,IF(C449&lt;=30,Staffing!$J$13,Staffing!$K$13))),0)</f>
        <v>0.15</v>
      </c>
      <c r="F449" s="10" t="n">
        <f aca="false">E449*Staffing!$L$13/12*(1+Assumptions!$C$10)^INT((C449-1)/12)*1</f>
        <v>2575</v>
      </c>
      <c r="G449" s="10" t="n">
        <f aca="false">F449*Staffing!$N$13</f>
        <v>0</v>
      </c>
      <c r="H449" s="10" t="n">
        <f aca="false">F449+G449</f>
        <v>2575</v>
      </c>
      <c r="I449" s="10" t="n">
        <f aca="false">0</f>
        <v>0</v>
      </c>
      <c r="J449" s="10" t="n">
        <f aca="false">MAX(0,E449-E448)*Staffing!$O$13</f>
        <v>0</v>
      </c>
      <c r="K449" s="10" t="n">
        <f aca="false">MAX(0,E449-E448)*Staffing!$P$13</f>
        <v>0</v>
      </c>
      <c r="L449" s="23" t="n">
        <f aca="false">ROUNDUP(E449,0)</f>
        <v>1</v>
      </c>
    </row>
    <row r="450" customFormat="false" ht="15" hidden="false" customHeight="false" outlineLevel="0" collapsed="false">
      <c r="A450" s="6" t="s">
        <v>72</v>
      </c>
      <c r="B450" s="6" t="s">
        <v>343</v>
      </c>
      <c r="C450" s="6" t="n">
        <v>25</v>
      </c>
      <c r="D450" s="25" t="n">
        <f aca="false">EDATE('Start Here'!$B$6,C450-1)</f>
        <v>47058</v>
      </c>
      <c r="E450" s="11" t="n">
        <f aca="false">IF(AND(C450&gt;=Staffing!$F$13,C450&lt;=Staffing!$G$13,1=1),IF(C450&lt;=6,Staffing!$H$13,IF(C450&lt;=15,Staffing!$I$13,IF(C450&lt;=30,Staffing!$J$13,Staffing!$K$13))),0)</f>
        <v>0.15</v>
      </c>
      <c r="F450" s="10" t="n">
        <f aca="false">E450*Staffing!$L$13/12*(1+Assumptions!$C$10)^INT((C450-1)/12)*1</f>
        <v>2652.25</v>
      </c>
      <c r="G450" s="10" t="n">
        <f aca="false">F450*Staffing!$N$13</f>
        <v>0</v>
      </c>
      <c r="H450" s="10" t="n">
        <f aca="false">F450+G450</f>
        <v>2652.25</v>
      </c>
      <c r="I450" s="10" t="n">
        <f aca="false">0</f>
        <v>0</v>
      </c>
      <c r="J450" s="10" t="n">
        <f aca="false">MAX(0,E450-E449)*Staffing!$O$13</f>
        <v>0</v>
      </c>
      <c r="K450" s="10" t="n">
        <f aca="false">MAX(0,E450-E449)*Staffing!$P$13</f>
        <v>0</v>
      </c>
      <c r="L450" s="23" t="n">
        <f aca="false">ROUNDUP(E450,0)</f>
        <v>1</v>
      </c>
    </row>
    <row r="451" customFormat="false" ht="15" hidden="false" customHeight="false" outlineLevel="0" collapsed="false">
      <c r="A451" s="6" t="s">
        <v>72</v>
      </c>
      <c r="B451" s="6" t="s">
        <v>343</v>
      </c>
      <c r="C451" s="6" t="n">
        <v>26</v>
      </c>
      <c r="D451" s="25" t="n">
        <f aca="false">EDATE('Start Here'!$B$6,C451-1)</f>
        <v>47088</v>
      </c>
      <c r="E451" s="11" t="n">
        <f aca="false">IF(AND(C451&gt;=Staffing!$F$13,C451&lt;=Staffing!$G$13,1=1),IF(C451&lt;=6,Staffing!$H$13,IF(C451&lt;=15,Staffing!$I$13,IF(C451&lt;=30,Staffing!$J$13,Staffing!$K$13))),0)</f>
        <v>0.15</v>
      </c>
      <c r="F451" s="10" t="n">
        <f aca="false">E451*Staffing!$L$13/12*(1+Assumptions!$C$10)^INT((C451-1)/12)*1</f>
        <v>2652.25</v>
      </c>
      <c r="G451" s="10" t="n">
        <f aca="false">F451*Staffing!$N$13</f>
        <v>0</v>
      </c>
      <c r="H451" s="10" t="n">
        <f aca="false">F451+G451</f>
        <v>2652.25</v>
      </c>
      <c r="I451" s="10" t="n">
        <f aca="false">0</f>
        <v>0</v>
      </c>
      <c r="J451" s="10" t="n">
        <f aca="false">MAX(0,E451-E450)*Staffing!$O$13</f>
        <v>0</v>
      </c>
      <c r="K451" s="10" t="n">
        <f aca="false">MAX(0,E451-E450)*Staffing!$P$13</f>
        <v>0</v>
      </c>
      <c r="L451" s="23" t="n">
        <f aca="false">ROUNDUP(E451,0)</f>
        <v>1</v>
      </c>
    </row>
    <row r="452" customFormat="false" ht="15" hidden="false" customHeight="false" outlineLevel="0" collapsed="false">
      <c r="A452" s="6" t="s">
        <v>72</v>
      </c>
      <c r="B452" s="6" t="s">
        <v>343</v>
      </c>
      <c r="C452" s="6" t="n">
        <v>27</v>
      </c>
      <c r="D452" s="25" t="n">
        <f aca="false">EDATE('Start Here'!$B$6,C452-1)</f>
        <v>47119</v>
      </c>
      <c r="E452" s="11" t="n">
        <f aca="false">IF(AND(C452&gt;=Staffing!$F$13,C452&lt;=Staffing!$G$13,1=1),IF(C452&lt;=6,Staffing!$H$13,IF(C452&lt;=15,Staffing!$I$13,IF(C452&lt;=30,Staffing!$J$13,Staffing!$K$13))),0)</f>
        <v>0.15</v>
      </c>
      <c r="F452" s="10" t="n">
        <f aca="false">E452*Staffing!$L$13/12*(1+Assumptions!$C$10)^INT((C452-1)/12)*1</f>
        <v>2652.25</v>
      </c>
      <c r="G452" s="10" t="n">
        <f aca="false">F452*Staffing!$N$13</f>
        <v>0</v>
      </c>
      <c r="H452" s="10" t="n">
        <f aca="false">F452+G452</f>
        <v>2652.25</v>
      </c>
      <c r="I452" s="10" t="n">
        <f aca="false">0</f>
        <v>0</v>
      </c>
      <c r="J452" s="10" t="n">
        <f aca="false">MAX(0,E452-E451)*Staffing!$O$13</f>
        <v>0</v>
      </c>
      <c r="K452" s="10" t="n">
        <f aca="false">MAX(0,E452-E451)*Staffing!$P$13</f>
        <v>0</v>
      </c>
      <c r="L452" s="23" t="n">
        <f aca="false">ROUNDUP(E452,0)</f>
        <v>1</v>
      </c>
    </row>
    <row r="453" customFormat="false" ht="15" hidden="false" customHeight="false" outlineLevel="0" collapsed="false">
      <c r="A453" s="6" t="s">
        <v>72</v>
      </c>
      <c r="B453" s="6" t="s">
        <v>343</v>
      </c>
      <c r="C453" s="6" t="n">
        <v>28</v>
      </c>
      <c r="D453" s="25" t="n">
        <f aca="false">EDATE('Start Here'!$B$6,C453-1)</f>
        <v>47150</v>
      </c>
      <c r="E453" s="11" t="n">
        <f aca="false">IF(AND(C453&gt;=Staffing!$F$13,C453&lt;=Staffing!$G$13,1=1),IF(C453&lt;=6,Staffing!$H$13,IF(C453&lt;=15,Staffing!$I$13,IF(C453&lt;=30,Staffing!$J$13,Staffing!$K$13))),0)</f>
        <v>0.15</v>
      </c>
      <c r="F453" s="10" t="n">
        <f aca="false">E453*Staffing!$L$13/12*(1+Assumptions!$C$10)^INT((C453-1)/12)*1</f>
        <v>2652.25</v>
      </c>
      <c r="G453" s="10" t="n">
        <f aca="false">F453*Staffing!$N$13</f>
        <v>0</v>
      </c>
      <c r="H453" s="10" t="n">
        <f aca="false">F453+G453</f>
        <v>2652.25</v>
      </c>
      <c r="I453" s="10" t="n">
        <f aca="false">0</f>
        <v>0</v>
      </c>
      <c r="J453" s="10" t="n">
        <f aca="false">MAX(0,E453-E452)*Staffing!$O$13</f>
        <v>0</v>
      </c>
      <c r="K453" s="10" t="n">
        <f aca="false">MAX(0,E453-E452)*Staffing!$P$13</f>
        <v>0</v>
      </c>
      <c r="L453" s="23" t="n">
        <f aca="false">ROUNDUP(E453,0)</f>
        <v>1</v>
      </c>
    </row>
    <row r="454" customFormat="false" ht="15" hidden="false" customHeight="false" outlineLevel="0" collapsed="false">
      <c r="A454" s="6" t="s">
        <v>72</v>
      </c>
      <c r="B454" s="6" t="s">
        <v>343</v>
      </c>
      <c r="C454" s="6" t="n">
        <v>29</v>
      </c>
      <c r="D454" s="25" t="n">
        <f aca="false">EDATE('Start Here'!$B$6,C454-1)</f>
        <v>47178</v>
      </c>
      <c r="E454" s="11" t="n">
        <f aca="false">IF(AND(C454&gt;=Staffing!$F$13,C454&lt;=Staffing!$G$13,1=1),IF(C454&lt;=6,Staffing!$H$13,IF(C454&lt;=15,Staffing!$I$13,IF(C454&lt;=30,Staffing!$J$13,Staffing!$K$13))),0)</f>
        <v>0.15</v>
      </c>
      <c r="F454" s="10" t="n">
        <f aca="false">E454*Staffing!$L$13/12*(1+Assumptions!$C$10)^INT((C454-1)/12)*1</f>
        <v>2652.25</v>
      </c>
      <c r="G454" s="10" t="n">
        <f aca="false">F454*Staffing!$N$13</f>
        <v>0</v>
      </c>
      <c r="H454" s="10" t="n">
        <f aca="false">F454+G454</f>
        <v>2652.25</v>
      </c>
      <c r="I454" s="10" t="n">
        <f aca="false">0</f>
        <v>0</v>
      </c>
      <c r="J454" s="10" t="n">
        <f aca="false">MAX(0,E454-E453)*Staffing!$O$13</f>
        <v>0</v>
      </c>
      <c r="K454" s="10" t="n">
        <f aca="false">MAX(0,E454-E453)*Staffing!$P$13</f>
        <v>0</v>
      </c>
      <c r="L454" s="23" t="n">
        <f aca="false">ROUNDUP(E454,0)</f>
        <v>1</v>
      </c>
    </row>
    <row r="455" customFormat="false" ht="15" hidden="false" customHeight="false" outlineLevel="0" collapsed="false">
      <c r="A455" s="6" t="s">
        <v>72</v>
      </c>
      <c r="B455" s="6" t="s">
        <v>343</v>
      </c>
      <c r="C455" s="6" t="n">
        <v>30</v>
      </c>
      <c r="D455" s="25" t="n">
        <f aca="false">EDATE('Start Here'!$B$6,C455-1)</f>
        <v>47209</v>
      </c>
      <c r="E455" s="11" t="n">
        <f aca="false">IF(AND(C455&gt;=Staffing!$F$13,C455&lt;=Staffing!$G$13,1=1),IF(C455&lt;=6,Staffing!$H$13,IF(C455&lt;=15,Staffing!$I$13,IF(C455&lt;=30,Staffing!$J$13,Staffing!$K$13))),0)</f>
        <v>0.15</v>
      </c>
      <c r="F455" s="10" t="n">
        <f aca="false">E455*Staffing!$L$13/12*(1+Assumptions!$C$10)^INT((C455-1)/12)*1</f>
        <v>2652.25</v>
      </c>
      <c r="G455" s="10" t="n">
        <f aca="false">F455*Staffing!$N$13</f>
        <v>0</v>
      </c>
      <c r="H455" s="10" t="n">
        <f aca="false">F455+G455</f>
        <v>2652.25</v>
      </c>
      <c r="I455" s="10" t="n">
        <f aca="false">0</f>
        <v>0</v>
      </c>
      <c r="J455" s="10" t="n">
        <f aca="false">MAX(0,E455-E454)*Staffing!$O$13</f>
        <v>0</v>
      </c>
      <c r="K455" s="10" t="n">
        <f aca="false">MAX(0,E455-E454)*Staffing!$P$13</f>
        <v>0</v>
      </c>
      <c r="L455" s="23" t="n">
        <f aca="false">ROUNDUP(E455,0)</f>
        <v>1</v>
      </c>
    </row>
    <row r="456" customFormat="false" ht="15" hidden="false" customHeight="false" outlineLevel="0" collapsed="false">
      <c r="A456" s="6" t="s">
        <v>72</v>
      </c>
      <c r="B456" s="6" t="s">
        <v>343</v>
      </c>
      <c r="C456" s="6" t="n">
        <v>31</v>
      </c>
      <c r="D456" s="25" t="n">
        <f aca="false">EDATE('Start Here'!$B$6,C456-1)</f>
        <v>47239</v>
      </c>
      <c r="E456" s="11" t="n">
        <f aca="false">IF(AND(C456&gt;=Staffing!$F$13,C456&lt;=Staffing!$G$13,1=1),IF(C456&lt;=6,Staffing!$H$13,IF(C456&lt;=15,Staffing!$I$13,IF(C456&lt;=30,Staffing!$J$13,Staffing!$K$13))),0)</f>
        <v>0.2</v>
      </c>
      <c r="F456" s="10" t="n">
        <f aca="false">E456*Staffing!$L$13/12*(1+Assumptions!$C$10)^INT((C456-1)/12)*1</f>
        <v>3536.33333333333</v>
      </c>
      <c r="G456" s="10" t="n">
        <f aca="false">F456*Staffing!$N$13</f>
        <v>0</v>
      </c>
      <c r="H456" s="10" t="n">
        <f aca="false">F456+G456</f>
        <v>3536.33333333333</v>
      </c>
      <c r="I456" s="10" t="n">
        <f aca="false">0</f>
        <v>0</v>
      </c>
      <c r="J456" s="10" t="n">
        <f aca="false">MAX(0,E456-E455)*Staffing!$O$13</f>
        <v>0</v>
      </c>
      <c r="K456" s="10" t="n">
        <f aca="false">MAX(0,E456-E455)*Staffing!$P$13</f>
        <v>125</v>
      </c>
      <c r="L456" s="23" t="n">
        <f aca="false">ROUNDUP(E456,0)</f>
        <v>1</v>
      </c>
    </row>
    <row r="457" customFormat="false" ht="15" hidden="false" customHeight="false" outlineLevel="0" collapsed="false">
      <c r="A457" s="6" t="s">
        <v>72</v>
      </c>
      <c r="B457" s="6" t="s">
        <v>343</v>
      </c>
      <c r="C457" s="6" t="n">
        <v>32</v>
      </c>
      <c r="D457" s="25" t="n">
        <f aca="false">EDATE('Start Here'!$B$6,C457-1)</f>
        <v>47270</v>
      </c>
      <c r="E457" s="11" t="n">
        <f aca="false">IF(AND(C457&gt;=Staffing!$F$13,C457&lt;=Staffing!$G$13,1=1),IF(C457&lt;=6,Staffing!$H$13,IF(C457&lt;=15,Staffing!$I$13,IF(C457&lt;=30,Staffing!$J$13,Staffing!$K$13))),0)</f>
        <v>0.2</v>
      </c>
      <c r="F457" s="10" t="n">
        <f aca="false">E457*Staffing!$L$13/12*(1+Assumptions!$C$10)^INT((C457-1)/12)*1</f>
        <v>3536.33333333333</v>
      </c>
      <c r="G457" s="10" t="n">
        <f aca="false">F457*Staffing!$N$13</f>
        <v>0</v>
      </c>
      <c r="H457" s="10" t="n">
        <f aca="false">F457+G457</f>
        <v>3536.33333333333</v>
      </c>
      <c r="I457" s="10" t="n">
        <f aca="false">0</f>
        <v>0</v>
      </c>
      <c r="J457" s="10" t="n">
        <f aca="false">MAX(0,E457-E456)*Staffing!$O$13</f>
        <v>0</v>
      </c>
      <c r="K457" s="10" t="n">
        <f aca="false">MAX(0,E457-E456)*Staffing!$P$13</f>
        <v>0</v>
      </c>
      <c r="L457" s="23" t="n">
        <f aca="false">ROUNDUP(E457,0)</f>
        <v>1</v>
      </c>
    </row>
    <row r="458" customFormat="false" ht="15" hidden="false" customHeight="false" outlineLevel="0" collapsed="false">
      <c r="A458" s="6" t="s">
        <v>72</v>
      </c>
      <c r="B458" s="6" t="s">
        <v>343</v>
      </c>
      <c r="C458" s="6" t="n">
        <v>33</v>
      </c>
      <c r="D458" s="25" t="n">
        <f aca="false">EDATE('Start Here'!$B$6,C458-1)</f>
        <v>47300</v>
      </c>
      <c r="E458" s="11" t="n">
        <f aca="false">IF(AND(C458&gt;=Staffing!$F$13,C458&lt;=Staffing!$G$13,1=1),IF(C458&lt;=6,Staffing!$H$13,IF(C458&lt;=15,Staffing!$I$13,IF(C458&lt;=30,Staffing!$J$13,Staffing!$K$13))),0)</f>
        <v>0.2</v>
      </c>
      <c r="F458" s="10" t="n">
        <f aca="false">E458*Staffing!$L$13/12*(1+Assumptions!$C$10)^INT((C458-1)/12)*1</f>
        <v>3536.33333333333</v>
      </c>
      <c r="G458" s="10" t="n">
        <f aca="false">F458*Staffing!$N$13</f>
        <v>0</v>
      </c>
      <c r="H458" s="10" t="n">
        <f aca="false">F458+G458</f>
        <v>3536.33333333333</v>
      </c>
      <c r="I458" s="10" t="n">
        <f aca="false">0</f>
        <v>0</v>
      </c>
      <c r="J458" s="10" t="n">
        <f aca="false">MAX(0,E458-E457)*Staffing!$O$13</f>
        <v>0</v>
      </c>
      <c r="K458" s="10" t="n">
        <f aca="false">MAX(0,E458-E457)*Staffing!$P$13</f>
        <v>0</v>
      </c>
      <c r="L458" s="23" t="n">
        <f aca="false">ROUNDUP(E458,0)</f>
        <v>1</v>
      </c>
    </row>
    <row r="459" customFormat="false" ht="15" hidden="false" customHeight="false" outlineLevel="0" collapsed="false">
      <c r="A459" s="6" t="s">
        <v>72</v>
      </c>
      <c r="B459" s="6" t="s">
        <v>343</v>
      </c>
      <c r="C459" s="6" t="n">
        <v>34</v>
      </c>
      <c r="D459" s="25" t="n">
        <f aca="false">EDATE('Start Here'!$B$6,C459-1)</f>
        <v>47331</v>
      </c>
      <c r="E459" s="11" t="n">
        <f aca="false">IF(AND(C459&gt;=Staffing!$F$13,C459&lt;=Staffing!$G$13,1=1),IF(C459&lt;=6,Staffing!$H$13,IF(C459&lt;=15,Staffing!$I$13,IF(C459&lt;=30,Staffing!$J$13,Staffing!$K$13))),0)</f>
        <v>0.2</v>
      </c>
      <c r="F459" s="10" t="n">
        <f aca="false">E459*Staffing!$L$13/12*(1+Assumptions!$C$10)^INT((C459-1)/12)*1</f>
        <v>3536.33333333333</v>
      </c>
      <c r="G459" s="10" t="n">
        <f aca="false">F459*Staffing!$N$13</f>
        <v>0</v>
      </c>
      <c r="H459" s="10" t="n">
        <f aca="false">F459+G459</f>
        <v>3536.33333333333</v>
      </c>
      <c r="I459" s="10" t="n">
        <f aca="false">0</f>
        <v>0</v>
      </c>
      <c r="J459" s="10" t="n">
        <f aca="false">MAX(0,E459-E458)*Staffing!$O$13</f>
        <v>0</v>
      </c>
      <c r="K459" s="10" t="n">
        <f aca="false">MAX(0,E459-E458)*Staffing!$P$13</f>
        <v>0</v>
      </c>
      <c r="L459" s="23" t="n">
        <f aca="false">ROUNDUP(E459,0)</f>
        <v>1</v>
      </c>
    </row>
    <row r="460" customFormat="false" ht="15" hidden="false" customHeight="false" outlineLevel="0" collapsed="false">
      <c r="A460" s="6" t="s">
        <v>72</v>
      </c>
      <c r="B460" s="6" t="s">
        <v>343</v>
      </c>
      <c r="C460" s="6" t="n">
        <v>35</v>
      </c>
      <c r="D460" s="25" t="n">
        <f aca="false">EDATE('Start Here'!$B$6,C460-1)</f>
        <v>47362</v>
      </c>
      <c r="E460" s="11" t="n">
        <f aca="false">IF(AND(C460&gt;=Staffing!$F$13,C460&lt;=Staffing!$G$13,1=1),IF(C460&lt;=6,Staffing!$H$13,IF(C460&lt;=15,Staffing!$I$13,IF(C460&lt;=30,Staffing!$J$13,Staffing!$K$13))),0)</f>
        <v>0.2</v>
      </c>
      <c r="F460" s="10" t="n">
        <f aca="false">E460*Staffing!$L$13/12*(1+Assumptions!$C$10)^INT((C460-1)/12)*1</f>
        <v>3536.33333333333</v>
      </c>
      <c r="G460" s="10" t="n">
        <f aca="false">F460*Staffing!$N$13</f>
        <v>0</v>
      </c>
      <c r="H460" s="10" t="n">
        <f aca="false">F460+G460</f>
        <v>3536.33333333333</v>
      </c>
      <c r="I460" s="10" t="n">
        <f aca="false">0</f>
        <v>0</v>
      </c>
      <c r="J460" s="10" t="n">
        <f aca="false">MAX(0,E460-E459)*Staffing!$O$13</f>
        <v>0</v>
      </c>
      <c r="K460" s="10" t="n">
        <f aca="false">MAX(0,E460-E459)*Staffing!$P$13</f>
        <v>0</v>
      </c>
      <c r="L460" s="23" t="n">
        <f aca="false">ROUNDUP(E460,0)</f>
        <v>1</v>
      </c>
    </row>
    <row r="461" customFormat="false" ht="15" hidden="false" customHeight="false" outlineLevel="0" collapsed="false">
      <c r="A461" s="6" t="s">
        <v>72</v>
      </c>
      <c r="B461" s="6" t="s">
        <v>343</v>
      </c>
      <c r="C461" s="6" t="n">
        <v>36</v>
      </c>
      <c r="D461" s="25" t="n">
        <f aca="false">EDATE('Start Here'!$B$6,C461-1)</f>
        <v>47392</v>
      </c>
      <c r="E461" s="11" t="n">
        <f aca="false">IF(AND(C461&gt;=Staffing!$F$13,C461&lt;=Staffing!$G$13,1=1),IF(C461&lt;=6,Staffing!$H$13,IF(C461&lt;=15,Staffing!$I$13,IF(C461&lt;=30,Staffing!$J$13,Staffing!$K$13))),0)</f>
        <v>0.2</v>
      </c>
      <c r="F461" s="10" t="n">
        <f aca="false">E461*Staffing!$L$13/12*(1+Assumptions!$C$10)^INT((C461-1)/12)*1</f>
        <v>3536.33333333333</v>
      </c>
      <c r="G461" s="10" t="n">
        <f aca="false">F461*Staffing!$N$13</f>
        <v>0</v>
      </c>
      <c r="H461" s="10" t="n">
        <f aca="false">F461+G461</f>
        <v>3536.33333333333</v>
      </c>
      <c r="I461" s="10" t="n">
        <f aca="false">0</f>
        <v>0</v>
      </c>
      <c r="J461" s="10" t="n">
        <f aca="false">MAX(0,E461-E460)*Staffing!$O$13</f>
        <v>0</v>
      </c>
      <c r="K461" s="10" t="n">
        <f aca="false">MAX(0,E461-E460)*Staffing!$P$13</f>
        <v>0</v>
      </c>
      <c r="L461" s="23" t="n">
        <f aca="false">ROUNDUP(E461,0)</f>
        <v>1</v>
      </c>
    </row>
    <row r="462" customFormat="false" ht="15" hidden="false" customHeight="false" outlineLevel="0" collapsed="false">
      <c r="A462" s="6" t="s">
        <v>72</v>
      </c>
      <c r="B462" s="6" t="s">
        <v>343</v>
      </c>
      <c r="C462" s="6" t="n">
        <v>37</v>
      </c>
      <c r="D462" s="25" t="n">
        <f aca="false">EDATE('Start Here'!$B$6,C462-1)</f>
        <v>47423</v>
      </c>
      <c r="E462" s="11" t="n">
        <f aca="false">IF(AND(C462&gt;=Staffing!$F$13,C462&lt;=Staffing!$G$13,1=1),IF(C462&lt;=6,Staffing!$H$13,IF(C462&lt;=15,Staffing!$I$13,IF(C462&lt;=30,Staffing!$J$13,Staffing!$K$13))),0)</f>
        <v>0.2</v>
      </c>
      <c r="F462" s="10" t="n">
        <f aca="false">E462*Staffing!$L$13/12*(1+Assumptions!$C$10)^INT((C462-1)/12)*1</f>
        <v>3642.42333333333</v>
      </c>
      <c r="G462" s="10" t="n">
        <f aca="false">F462*Staffing!$N$13</f>
        <v>0</v>
      </c>
      <c r="H462" s="10" t="n">
        <f aca="false">F462+G462</f>
        <v>3642.42333333333</v>
      </c>
      <c r="I462" s="10" t="n">
        <f aca="false">0</f>
        <v>0</v>
      </c>
      <c r="J462" s="10" t="n">
        <f aca="false">MAX(0,E462-E461)*Staffing!$O$13</f>
        <v>0</v>
      </c>
      <c r="K462" s="10" t="n">
        <f aca="false">MAX(0,E462-E461)*Staffing!$P$13</f>
        <v>0</v>
      </c>
      <c r="L462" s="23" t="n">
        <f aca="false">ROUNDUP(E462,0)</f>
        <v>1</v>
      </c>
    </row>
    <row r="463" customFormat="false" ht="15" hidden="false" customHeight="false" outlineLevel="0" collapsed="false">
      <c r="A463" s="6" t="s">
        <v>72</v>
      </c>
      <c r="B463" s="6" t="s">
        <v>343</v>
      </c>
      <c r="C463" s="6" t="n">
        <v>38</v>
      </c>
      <c r="D463" s="25" t="n">
        <f aca="false">EDATE('Start Here'!$B$6,C463-1)</f>
        <v>47453</v>
      </c>
      <c r="E463" s="11" t="n">
        <f aca="false">IF(AND(C463&gt;=Staffing!$F$13,C463&lt;=Staffing!$G$13,1=1),IF(C463&lt;=6,Staffing!$H$13,IF(C463&lt;=15,Staffing!$I$13,IF(C463&lt;=30,Staffing!$J$13,Staffing!$K$13))),0)</f>
        <v>0.2</v>
      </c>
      <c r="F463" s="10" t="n">
        <f aca="false">E463*Staffing!$L$13/12*(1+Assumptions!$C$10)^INT((C463-1)/12)*1</f>
        <v>3642.42333333333</v>
      </c>
      <c r="G463" s="10" t="n">
        <f aca="false">F463*Staffing!$N$13</f>
        <v>0</v>
      </c>
      <c r="H463" s="10" t="n">
        <f aca="false">F463+G463</f>
        <v>3642.42333333333</v>
      </c>
      <c r="I463" s="10" t="n">
        <f aca="false">0</f>
        <v>0</v>
      </c>
      <c r="J463" s="10" t="n">
        <f aca="false">MAX(0,E463-E462)*Staffing!$O$13</f>
        <v>0</v>
      </c>
      <c r="K463" s="10" t="n">
        <f aca="false">MAX(0,E463-E462)*Staffing!$P$13</f>
        <v>0</v>
      </c>
      <c r="L463" s="23" t="n">
        <f aca="false">ROUNDUP(E463,0)</f>
        <v>1</v>
      </c>
    </row>
    <row r="464" customFormat="false" ht="15" hidden="false" customHeight="false" outlineLevel="0" collapsed="false">
      <c r="A464" s="6" t="s">
        <v>72</v>
      </c>
      <c r="B464" s="6" t="s">
        <v>343</v>
      </c>
      <c r="C464" s="6" t="n">
        <v>39</v>
      </c>
      <c r="D464" s="25" t="n">
        <f aca="false">EDATE('Start Here'!$B$6,C464-1)</f>
        <v>47484</v>
      </c>
      <c r="E464" s="11" t="n">
        <f aca="false">IF(AND(C464&gt;=Staffing!$F$13,C464&lt;=Staffing!$G$13,1=1),IF(C464&lt;=6,Staffing!$H$13,IF(C464&lt;=15,Staffing!$I$13,IF(C464&lt;=30,Staffing!$J$13,Staffing!$K$13))),0)</f>
        <v>0.2</v>
      </c>
      <c r="F464" s="10" t="n">
        <f aca="false">E464*Staffing!$L$13/12*(1+Assumptions!$C$10)^INT((C464-1)/12)*1</f>
        <v>3642.42333333333</v>
      </c>
      <c r="G464" s="10" t="n">
        <f aca="false">F464*Staffing!$N$13</f>
        <v>0</v>
      </c>
      <c r="H464" s="10" t="n">
        <f aca="false">F464+G464</f>
        <v>3642.42333333333</v>
      </c>
      <c r="I464" s="10" t="n">
        <f aca="false">0</f>
        <v>0</v>
      </c>
      <c r="J464" s="10" t="n">
        <f aca="false">MAX(0,E464-E463)*Staffing!$O$13</f>
        <v>0</v>
      </c>
      <c r="K464" s="10" t="n">
        <f aca="false">MAX(0,E464-E463)*Staffing!$P$13</f>
        <v>0</v>
      </c>
      <c r="L464" s="23" t="n">
        <f aca="false">ROUNDUP(E464,0)</f>
        <v>1</v>
      </c>
    </row>
    <row r="465" customFormat="false" ht="15" hidden="false" customHeight="false" outlineLevel="0" collapsed="false">
      <c r="A465" s="6" t="s">
        <v>72</v>
      </c>
      <c r="B465" s="6" t="s">
        <v>343</v>
      </c>
      <c r="C465" s="6" t="n">
        <v>40</v>
      </c>
      <c r="D465" s="25" t="n">
        <f aca="false">EDATE('Start Here'!$B$6,C465-1)</f>
        <v>47515</v>
      </c>
      <c r="E465" s="11" t="n">
        <f aca="false">IF(AND(C465&gt;=Staffing!$F$13,C465&lt;=Staffing!$G$13,1=1),IF(C465&lt;=6,Staffing!$H$13,IF(C465&lt;=15,Staffing!$I$13,IF(C465&lt;=30,Staffing!$J$13,Staffing!$K$13))),0)</f>
        <v>0.2</v>
      </c>
      <c r="F465" s="10" t="n">
        <f aca="false">E465*Staffing!$L$13/12*(1+Assumptions!$C$10)^INT((C465-1)/12)*1</f>
        <v>3642.42333333333</v>
      </c>
      <c r="G465" s="10" t="n">
        <f aca="false">F465*Staffing!$N$13</f>
        <v>0</v>
      </c>
      <c r="H465" s="10" t="n">
        <f aca="false">F465+G465</f>
        <v>3642.42333333333</v>
      </c>
      <c r="I465" s="10" t="n">
        <f aca="false">0</f>
        <v>0</v>
      </c>
      <c r="J465" s="10" t="n">
        <f aca="false">MAX(0,E465-E464)*Staffing!$O$13</f>
        <v>0</v>
      </c>
      <c r="K465" s="10" t="n">
        <f aca="false">MAX(0,E465-E464)*Staffing!$P$13</f>
        <v>0</v>
      </c>
      <c r="L465" s="23" t="n">
        <f aca="false">ROUNDUP(E465,0)</f>
        <v>1</v>
      </c>
    </row>
    <row r="466" customFormat="false" ht="15" hidden="false" customHeight="false" outlineLevel="0" collapsed="false">
      <c r="A466" s="6" t="s">
        <v>72</v>
      </c>
      <c r="B466" s="6" t="s">
        <v>343</v>
      </c>
      <c r="C466" s="6" t="n">
        <v>41</v>
      </c>
      <c r="D466" s="25" t="n">
        <f aca="false">EDATE('Start Here'!$B$6,C466-1)</f>
        <v>47543</v>
      </c>
      <c r="E466" s="11" t="n">
        <f aca="false">IF(AND(C466&gt;=Staffing!$F$13,C466&lt;=Staffing!$G$13,1=1),IF(C466&lt;=6,Staffing!$H$13,IF(C466&lt;=15,Staffing!$I$13,IF(C466&lt;=30,Staffing!$J$13,Staffing!$K$13))),0)</f>
        <v>0.2</v>
      </c>
      <c r="F466" s="10" t="n">
        <f aca="false">E466*Staffing!$L$13/12*(1+Assumptions!$C$10)^INT((C466-1)/12)*1</f>
        <v>3642.42333333333</v>
      </c>
      <c r="G466" s="10" t="n">
        <f aca="false">F466*Staffing!$N$13</f>
        <v>0</v>
      </c>
      <c r="H466" s="10" t="n">
        <f aca="false">F466+G466</f>
        <v>3642.42333333333</v>
      </c>
      <c r="I466" s="10" t="n">
        <f aca="false">0</f>
        <v>0</v>
      </c>
      <c r="J466" s="10" t="n">
        <f aca="false">MAX(0,E466-E465)*Staffing!$O$13</f>
        <v>0</v>
      </c>
      <c r="K466" s="10" t="n">
        <f aca="false">MAX(0,E466-E465)*Staffing!$P$13</f>
        <v>0</v>
      </c>
      <c r="L466" s="23" t="n">
        <f aca="false">ROUNDUP(E466,0)</f>
        <v>1</v>
      </c>
    </row>
    <row r="467" customFormat="false" ht="15" hidden="false" customHeight="false" outlineLevel="0" collapsed="false">
      <c r="A467" s="6" t="s">
        <v>72</v>
      </c>
      <c r="B467" s="6" t="s">
        <v>343</v>
      </c>
      <c r="C467" s="6" t="n">
        <v>42</v>
      </c>
      <c r="D467" s="25" t="n">
        <f aca="false">EDATE('Start Here'!$B$6,C467-1)</f>
        <v>47574</v>
      </c>
      <c r="E467" s="11" t="n">
        <f aca="false">IF(AND(C467&gt;=Staffing!$F$13,C467&lt;=Staffing!$G$13,1=1),IF(C467&lt;=6,Staffing!$H$13,IF(C467&lt;=15,Staffing!$I$13,IF(C467&lt;=30,Staffing!$J$13,Staffing!$K$13))),0)</f>
        <v>0.2</v>
      </c>
      <c r="F467" s="10" t="n">
        <f aca="false">E467*Staffing!$L$13/12*(1+Assumptions!$C$10)^INT((C467-1)/12)*1</f>
        <v>3642.42333333333</v>
      </c>
      <c r="G467" s="10" t="n">
        <f aca="false">F467*Staffing!$N$13</f>
        <v>0</v>
      </c>
      <c r="H467" s="10" t="n">
        <f aca="false">F467+G467</f>
        <v>3642.42333333333</v>
      </c>
      <c r="I467" s="10" t="n">
        <f aca="false">0</f>
        <v>0</v>
      </c>
      <c r="J467" s="10" t="n">
        <f aca="false">MAX(0,E467-E466)*Staffing!$O$13</f>
        <v>0</v>
      </c>
      <c r="K467" s="10" t="n">
        <f aca="false">MAX(0,E467-E466)*Staffing!$P$13</f>
        <v>0</v>
      </c>
      <c r="L467" s="23" t="n">
        <f aca="false">ROUNDUP(E467,0)</f>
        <v>1</v>
      </c>
    </row>
    <row r="468" customFormat="false" ht="15" hidden="false" customHeight="false" outlineLevel="0" collapsed="false">
      <c r="A468" s="6" t="s">
        <v>72</v>
      </c>
      <c r="B468" s="6" t="s">
        <v>343</v>
      </c>
      <c r="C468" s="6" t="n">
        <v>43</v>
      </c>
      <c r="D468" s="25" t="n">
        <f aca="false">EDATE('Start Here'!$B$6,C468-1)</f>
        <v>47604</v>
      </c>
      <c r="E468" s="11" t="n">
        <f aca="false">IF(AND(C468&gt;=Staffing!$F$13,C468&lt;=Staffing!$G$13,1=1),IF(C468&lt;=6,Staffing!$H$13,IF(C468&lt;=15,Staffing!$I$13,IF(C468&lt;=30,Staffing!$J$13,Staffing!$K$13))),0)</f>
        <v>0.2</v>
      </c>
      <c r="F468" s="10" t="n">
        <f aca="false">E468*Staffing!$L$13/12*(1+Assumptions!$C$10)^INT((C468-1)/12)*1</f>
        <v>3642.42333333333</v>
      </c>
      <c r="G468" s="10" t="n">
        <f aca="false">F468*Staffing!$N$13</f>
        <v>0</v>
      </c>
      <c r="H468" s="10" t="n">
        <f aca="false">F468+G468</f>
        <v>3642.42333333333</v>
      </c>
      <c r="I468" s="10" t="n">
        <f aca="false">0</f>
        <v>0</v>
      </c>
      <c r="J468" s="10" t="n">
        <f aca="false">MAX(0,E468-E467)*Staffing!$O$13</f>
        <v>0</v>
      </c>
      <c r="K468" s="10" t="n">
        <f aca="false">MAX(0,E468-E467)*Staffing!$P$13</f>
        <v>0</v>
      </c>
      <c r="L468" s="23" t="n">
        <f aca="false">ROUNDUP(E468,0)</f>
        <v>1</v>
      </c>
    </row>
    <row r="469" customFormat="false" ht="15" hidden="false" customHeight="false" outlineLevel="0" collapsed="false">
      <c r="A469" s="6" t="s">
        <v>72</v>
      </c>
      <c r="B469" s="6" t="s">
        <v>343</v>
      </c>
      <c r="C469" s="6" t="n">
        <v>44</v>
      </c>
      <c r="D469" s="25" t="n">
        <f aca="false">EDATE('Start Here'!$B$6,C469-1)</f>
        <v>47635</v>
      </c>
      <c r="E469" s="11" t="n">
        <f aca="false">IF(AND(C469&gt;=Staffing!$F$13,C469&lt;=Staffing!$G$13,1=1),IF(C469&lt;=6,Staffing!$H$13,IF(C469&lt;=15,Staffing!$I$13,IF(C469&lt;=30,Staffing!$J$13,Staffing!$K$13))),0)</f>
        <v>0.2</v>
      </c>
      <c r="F469" s="10" t="n">
        <f aca="false">E469*Staffing!$L$13/12*(1+Assumptions!$C$10)^INT((C469-1)/12)*1</f>
        <v>3642.42333333333</v>
      </c>
      <c r="G469" s="10" t="n">
        <f aca="false">F469*Staffing!$N$13</f>
        <v>0</v>
      </c>
      <c r="H469" s="10" t="n">
        <f aca="false">F469+G469</f>
        <v>3642.42333333333</v>
      </c>
      <c r="I469" s="10" t="n">
        <f aca="false">0</f>
        <v>0</v>
      </c>
      <c r="J469" s="10" t="n">
        <f aca="false">MAX(0,E469-E468)*Staffing!$O$13</f>
        <v>0</v>
      </c>
      <c r="K469" s="10" t="n">
        <f aca="false">MAX(0,E469-E468)*Staffing!$P$13</f>
        <v>0</v>
      </c>
      <c r="L469" s="23" t="n">
        <f aca="false">ROUNDUP(E469,0)</f>
        <v>1</v>
      </c>
    </row>
    <row r="470" customFormat="false" ht="15" hidden="false" customHeight="false" outlineLevel="0" collapsed="false">
      <c r="A470" s="6" t="s">
        <v>72</v>
      </c>
      <c r="B470" s="6" t="s">
        <v>343</v>
      </c>
      <c r="C470" s="6" t="n">
        <v>45</v>
      </c>
      <c r="D470" s="25" t="n">
        <f aca="false">EDATE('Start Here'!$B$6,C470-1)</f>
        <v>47665</v>
      </c>
      <c r="E470" s="11" t="n">
        <f aca="false">IF(AND(C470&gt;=Staffing!$F$13,C470&lt;=Staffing!$G$13,1=1),IF(C470&lt;=6,Staffing!$H$13,IF(C470&lt;=15,Staffing!$I$13,IF(C470&lt;=30,Staffing!$J$13,Staffing!$K$13))),0)</f>
        <v>0.2</v>
      </c>
      <c r="F470" s="10" t="n">
        <f aca="false">E470*Staffing!$L$13/12*(1+Assumptions!$C$10)^INT((C470-1)/12)*1</f>
        <v>3642.42333333333</v>
      </c>
      <c r="G470" s="10" t="n">
        <f aca="false">F470*Staffing!$N$13</f>
        <v>0</v>
      </c>
      <c r="H470" s="10" t="n">
        <f aca="false">F470+G470</f>
        <v>3642.42333333333</v>
      </c>
      <c r="I470" s="10" t="n">
        <f aca="false">0</f>
        <v>0</v>
      </c>
      <c r="J470" s="10" t="n">
        <f aca="false">MAX(0,E470-E469)*Staffing!$O$13</f>
        <v>0</v>
      </c>
      <c r="K470" s="10" t="n">
        <f aca="false">MAX(0,E470-E469)*Staffing!$P$13</f>
        <v>0</v>
      </c>
      <c r="L470" s="23" t="n">
        <f aca="false">ROUNDUP(E470,0)</f>
        <v>1</v>
      </c>
    </row>
    <row r="471" customFormat="false" ht="15" hidden="false" customHeight="false" outlineLevel="0" collapsed="false">
      <c r="A471" s="6" t="s">
        <v>72</v>
      </c>
      <c r="B471" s="6" t="s">
        <v>343</v>
      </c>
      <c r="C471" s="6" t="n">
        <v>46</v>
      </c>
      <c r="D471" s="25" t="n">
        <f aca="false">EDATE('Start Here'!$B$6,C471-1)</f>
        <v>47696</v>
      </c>
      <c r="E471" s="11" t="n">
        <f aca="false">IF(AND(C471&gt;=Staffing!$F$13,C471&lt;=Staffing!$G$13,1=1),IF(C471&lt;=6,Staffing!$H$13,IF(C471&lt;=15,Staffing!$I$13,IF(C471&lt;=30,Staffing!$J$13,Staffing!$K$13))),0)</f>
        <v>0.2</v>
      </c>
      <c r="F471" s="10" t="n">
        <f aca="false">E471*Staffing!$L$13/12*(1+Assumptions!$C$10)^INT((C471-1)/12)*1</f>
        <v>3642.42333333333</v>
      </c>
      <c r="G471" s="10" t="n">
        <f aca="false">F471*Staffing!$N$13</f>
        <v>0</v>
      </c>
      <c r="H471" s="10" t="n">
        <f aca="false">F471+G471</f>
        <v>3642.42333333333</v>
      </c>
      <c r="I471" s="10" t="n">
        <f aca="false">0</f>
        <v>0</v>
      </c>
      <c r="J471" s="10" t="n">
        <f aca="false">MAX(0,E471-E470)*Staffing!$O$13</f>
        <v>0</v>
      </c>
      <c r="K471" s="10" t="n">
        <f aca="false">MAX(0,E471-E470)*Staffing!$P$13</f>
        <v>0</v>
      </c>
      <c r="L471" s="23" t="n">
        <f aca="false">ROUNDUP(E471,0)</f>
        <v>1</v>
      </c>
    </row>
    <row r="472" customFormat="false" ht="15" hidden="false" customHeight="false" outlineLevel="0" collapsed="false">
      <c r="A472" s="6" t="s">
        <v>72</v>
      </c>
      <c r="B472" s="6" t="s">
        <v>343</v>
      </c>
      <c r="C472" s="6" t="n">
        <v>47</v>
      </c>
      <c r="D472" s="25" t="n">
        <f aca="false">EDATE('Start Here'!$B$6,C472-1)</f>
        <v>47727</v>
      </c>
      <c r="E472" s="11" t="n">
        <f aca="false">IF(AND(C472&gt;=Staffing!$F$13,C472&lt;=Staffing!$G$13,1=1),IF(C472&lt;=6,Staffing!$H$13,IF(C472&lt;=15,Staffing!$I$13,IF(C472&lt;=30,Staffing!$J$13,Staffing!$K$13))),0)</f>
        <v>0.2</v>
      </c>
      <c r="F472" s="10" t="n">
        <f aca="false">E472*Staffing!$L$13/12*(1+Assumptions!$C$10)^INT((C472-1)/12)*1</f>
        <v>3642.42333333333</v>
      </c>
      <c r="G472" s="10" t="n">
        <f aca="false">F472*Staffing!$N$13</f>
        <v>0</v>
      </c>
      <c r="H472" s="10" t="n">
        <f aca="false">F472+G472</f>
        <v>3642.42333333333</v>
      </c>
      <c r="I472" s="10" t="n">
        <f aca="false">0</f>
        <v>0</v>
      </c>
      <c r="J472" s="10" t="n">
        <f aca="false">MAX(0,E472-E471)*Staffing!$O$13</f>
        <v>0</v>
      </c>
      <c r="K472" s="10" t="n">
        <f aca="false">MAX(0,E472-E471)*Staffing!$P$13</f>
        <v>0</v>
      </c>
      <c r="L472" s="23" t="n">
        <f aca="false">ROUNDUP(E472,0)</f>
        <v>1</v>
      </c>
    </row>
    <row r="473" customFormat="false" ht="15" hidden="false" customHeight="false" outlineLevel="0" collapsed="false">
      <c r="A473" s="6" t="s">
        <v>72</v>
      </c>
      <c r="B473" s="6" t="s">
        <v>343</v>
      </c>
      <c r="C473" s="6" t="n">
        <v>48</v>
      </c>
      <c r="D473" s="25" t="n">
        <f aca="false">EDATE('Start Here'!$B$6,C473-1)</f>
        <v>47757</v>
      </c>
      <c r="E473" s="11" t="n">
        <f aca="false">IF(AND(C473&gt;=Staffing!$F$13,C473&lt;=Staffing!$G$13,1=1),IF(C473&lt;=6,Staffing!$H$13,IF(C473&lt;=15,Staffing!$I$13,IF(C473&lt;=30,Staffing!$J$13,Staffing!$K$13))),0)</f>
        <v>0.2</v>
      </c>
      <c r="F473" s="10" t="n">
        <f aca="false">E473*Staffing!$L$13/12*(1+Assumptions!$C$10)^INT((C473-1)/12)*1</f>
        <v>3642.42333333333</v>
      </c>
      <c r="G473" s="10" t="n">
        <f aca="false">F473*Staffing!$N$13</f>
        <v>0</v>
      </c>
      <c r="H473" s="10" t="n">
        <f aca="false">F473+G473</f>
        <v>3642.42333333333</v>
      </c>
      <c r="I473" s="10" t="n">
        <f aca="false">0</f>
        <v>0</v>
      </c>
      <c r="J473" s="10" t="n">
        <f aca="false">MAX(0,E473-E472)*Staffing!$O$13</f>
        <v>0</v>
      </c>
      <c r="K473" s="10" t="n">
        <f aca="false">MAX(0,E473-E472)*Staffing!$P$13</f>
        <v>0</v>
      </c>
      <c r="L473" s="23" t="n">
        <f aca="false">ROUNDUP(E473,0)</f>
        <v>1</v>
      </c>
    </row>
    <row r="474" customFormat="false" ht="15" hidden="false" customHeight="false" outlineLevel="0" collapsed="false">
      <c r="A474" s="6" t="s">
        <v>72</v>
      </c>
      <c r="B474" s="6" t="s">
        <v>343</v>
      </c>
      <c r="C474" s="6" t="n">
        <v>49</v>
      </c>
      <c r="D474" s="25" t="n">
        <f aca="false">EDATE('Start Here'!$B$6,C474-1)</f>
        <v>47788</v>
      </c>
      <c r="E474" s="11" t="n">
        <f aca="false">IF(AND(C474&gt;=Staffing!$F$13,C474&lt;=Staffing!$G$13,1=1),IF(C474&lt;=6,Staffing!$H$13,IF(C474&lt;=15,Staffing!$I$13,IF(C474&lt;=30,Staffing!$J$13,Staffing!$K$13))),0)</f>
        <v>0.2</v>
      </c>
      <c r="F474" s="10" t="n">
        <f aca="false">E474*Staffing!$L$13/12*(1+Assumptions!$C$10)^INT((C474-1)/12)*1</f>
        <v>3751.69603333333</v>
      </c>
      <c r="G474" s="10" t="n">
        <f aca="false">F474*Staffing!$N$13</f>
        <v>0</v>
      </c>
      <c r="H474" s="10" t="n">
        <f aca="false">F474+G474</f>
        <v>3751.69603333333</v>
      </c>
      <c r="I474" s="10" t="n">
        <f aca="false">0</f>
        <v>0</v>
      </c>
      <c r="J474" s="10" t="n">
        <f aca="false">MAX(0,E474-E473)*Staffing!$O$13</f>
        <v>0</v>
      </c>
      <c r="K474" s="10" t="n">
        <f aca="false">MAX(0,E474-E473)*Staffing!$P$13</f>
        <v>0</v>
      </c>
      <c r="L474" s="23" t="n">
        <f aca="false">ROUNDUP(E474,0)</f>
        <v>1</v>
      </c>
    </row>
    <row r="475" customFormat="false" ht="15" hidden="false" customHeight="false" outlineLevel="0" collapsed="false">
      <c r="A475" s="6" t="s">
        <v>72</v>
      </c>
      <c r="B475" s="6" t="s">
        <v>343</v>
      </c>
      <c r="C475" s="6" t="n">
        <v>50</v>
      </c>
      <c r="D475" s="25" t="n">
        <f aca="false">EDATE('Start Here'!$B$6,C475-1)</f>
        <v>47818</v>
      </c>
      <c r="E475" s="11" t="n">
        <f aca="false">IF(AND(C475&gt;=Staffing!$F$13,C475&lt;=Staffing!$G$13,1=1),IF(C475&lt;=6,Staffing!$H$13,IF(C475&lt;=15,Staffing!$I$13,IF(C475&lt;=30,Staffing!$J$13,Staffing!$K$13))),0)</f>
        <v>0.2</v>
      </c>
      <c r="F475" s="10" t="n">
        <f aca="false">E475*Staffing!$L$13/12*(1+Assumptions!$C$10)^INT((C475-1)/12)*1</f>
        <v>3751.69603333333</v>
      </c>
      <c r="G475" s="10" t="n">
        <f aca="false">F475*Staffing!$N$13</f>
        <v>0</v>
      </c>
      <c r="H475" s="10" t="n">
        <f aca="false">F475+G475</f>
        <v>3751.69603333333</v>
      </c>
      <c r="I475" s="10" t="n">
        <f aca="false">0</f>
        <v>0</v>
      </c>
      <c r="J475" s="10" t="n">
        <f aca="false">MAX(0,E475-E474)*Staffing!$O$13</f>
        <v>0</v>
      </c>
      <c r="K475" s="10" t="n">
        <f aca="false">MAX(0,E475-E474)*Staffing!$P$13</f>
        <v>0</v>
      </c>
      <c r="L475" s="23" t="n">
        <f aca="false">ROUNDUP(E475,0)</f>
        <v>1</v>
      </c>
    </row>
    <row r="476" customFormat="false" ht="15" hidden="false" customHeight="false" outlineLevel="0" collapsed="false">
      <c r="A476" s="6" t="s">
        <v>72</v>
      </c>
      <c r="B476" s="6" t="s">
        <v>343</v>
      </c>
      <c r="C476" s="6" t="n">
        <v>51</v>
      </c>
      <c r="D476" s="25" t="n">
        <f aca="false">EDATE('Start Here'!$B$6,C476-1)</f>
        <v>47849</v>
      </c>
      <c r="E476" s="11" t="n">
        <f aca="false">IF(AND(C476&gt;=Staffing!$F$13,C476&lt;=Staffing!$G$13,1=1),IF(C476&lt;=6,Staffing!$H$13,IF(C476&lt;=15,Staffing!$I$13,IF(C476&lt;=30,Staffing!$J$13,Staffing!$K$13))),0)</f>
        <v>0.2</v>
      </c>
      <c r="F476" s="10" t="n">
        <f aca="false">E476*Staffing!$L$13/12*(1+Assumptions!$C$10)^INT((C476-1)/12)*1</f>
        <v>3751.69603333333</v>
      </c>
      <c r="G476" s="10" t="n">
        <f aca="false">F476*Staffing!$N$13</f>
        <v>0</v>
      </c>
      <c r="H476" s="10" t="n">
        <f aca="false">F476+G476</f>
        <v>3751.69603333333</v>
      </c>
      <c r="I476" s="10" t="n">
        <f aca="false">0</f>
        <v>0</v>
      </c>
      <c r="J476" s="10" t="n">
        <f aca="false">MAX(0,E476-E475)*Staffing!$O$13</f>
        <v>0</v>
      </c>
      <c r="K476" s="10" t="n">
        <f aca="false">MAX(0,E476-E475)*Staffing!$P$13</f>
        <v>0</v>
      </c>
      <c r="L476" s="23" t="n">
        <f aca="false">ROUNDUP(E476,0)</f>
        <v>1</v>
      </c>
    </row>
    <row r="477" customFormat="false" ht="15" hidden="false" customHeight="false" outlineLevel="0" collapsed="false">
      <c r="A477" s="6" t="s">
        <v>72</v>
      </c>
      <c r="B477" s="6" t="s">
        <v>343</v>
      </c>
      <c r="C477" s="6" t="n">
        <v>52</v>
      </c>
      <c r="D477" s="25" t="n">
        <f aca="false">EDATE('Start Here'!$B$6,C477-1)</f>
        <v>47880</v>
      </c>
      <c r="E477" s="11" t="n">
        <f aca="false">IF(AND(C477&gt;=Staffing!$F$13,C477&lt;=Staffing!$G$13,1=1),IF(C477&lt;=6,Staffing!$H$13,IF(C477&lt;=15,Staffing!$I$13,IF(C477&lt;=30,Staffing!$J$13,Staffing!$K$13))),0)</f>
        <v>0.2</v>
      </c>
      <c r="F477" s="10" t="n">
        <f aca="false">E477*Staffing!$L$13/12*(1+Assumptions!$C$10)^INT((C477-1)/12)*1</f>
        <v>3751.69603333333</v>
      </c>
      <c r="G477" s="10" t="n">
        <f aca="false">F477*Staffing!$N$13</f>
        <v>0</v>
      </c>
      <c r="H477" s="10" t="n">
        <f aca="false">F477+G477</f>
        <v>3751.69603333333</v>
      </c>
      <c r="I477" s="10" t="n">
        <f aca="false">0</f>
        <v>0</v>
      </c>
      <c r="J477" s="10" t="n">
        <f aca="false">MAX(0,E477-E476)*Staffing!$O$13</f>
        <v>0</v>
      </c>
      <c r="K477" s="10" t="n">
        <f aca="false">MAX(0,E477-E476)*Staffing!$P$13</f>
        <v>0</v>
      </c>
      <c r="L477" s="23" t="n">
        <f aca="false">ROUNDUP(E477,0)</f>
        <v>1</v>
      </c>
    </row>
    <row r="478" customFormat="false" ht="15" hidden="false" customHeight="false" outlineLevel="0" collapsed="false">
      <c r="A478" s="6" t="s">
        <v>72</v>
      </c>
      <c r="B478" s="6" t="s">
        <v>343</v>
      </c>
      <c r="C478" s="6" t="n">
        <v>53</v>
      </c>
      <c r="D478" s="25" t="n">
        <f aca="false">EDATE('Start Here'!$B$6,C478-1)</f>
        <v>47908</v>
      </c>
      <c r="E478" s="11" t="n">
        <f aca="false">IF(AND(C478&gt;=Staffing!$F$13,C478&lt;=Staffing!$G$13,1=1),IF(C478&lt;=6,Staffing!$H$13,IF(C478&lt;=15,Staffing!$I$13,IF(C478&lt;=30,Staffing!$J$13,Staffing!$K$13))),0)</f>
        <v>0.2</v>
      </c>
      <c r="F478" s="10" t="n">
        <f aca="false">E478*Staffing!$L$13/12*(1+Assumptions!$C$10)^INT((C478-1)/12)*1</f>
        <v>3751.69603333333</v>
      </c>
      <c r="G478" s="10" t="n">
        <f aca="false">F478*Staffing!$N$13</f>
        <v>0</v>
      </c>
      <c r="H478" s="10" t="n">
        <f aca="false">F478+G478</f>
        <v>3751.69603333333</v>
      </c>
      <c r="I478" s="10" t="n">
        <f aca="false">0</f>
        <v>0</v>
      </c>
      <c r="J478" s="10" t="n">
        <f aca="false">MAX(0,E478-E477)*Staffing!$O$13</f>
        <v>0</v>
      </c>
      <c r="K478" s="10" t="n">
        <f aca="false">MAX(0,E478-E477)*Staffing!$P$13</f>
        <v>0</v>
      </c>
      <c r="L478" s="23" t="n">
        <f aca="false">ROUNDUP(E478,0)</f>
        <v>1</v>
      </c>
    </row>
    <row r="479" customFormat="false" ht="15" hidden="false" customHeight="false" outlineLevel="0" collapsed="false">
      <c r="A479" s="6" t="s">
        <v>72</v>
      </c>
      <c r="B479" s="6" t="s">
        <v>343</v>
      </c>
      <c r="C479" s="6" t="n">
        <v>54</v>
      </c>
      <c r="D479" s="25" t="n">
        <f aca="false">EDATE('Start Here'!$B$6,C479-1)</f>
        <v>47939</v>
      </c>
      <c r="E479" s="11" t="n">
        <f aca="false">IF(AND(C479&gt;=Staffing!$F$13,C479&lt;=Staffing!$G$13,1=1),IF(C479&lt;=6,Staffing!$H$13,IF(C479&lt;=15,Staffing!$I$13,IF(C479&lt;=30,Staffing!$J$13,Staffing!$K$13))),0)</f>
        <v>0.2</v>
      </c>
      <c r="F479" s="10" t="n">
        <f aca="false">E479*Staffing!$L$13/12*(1+Assumptions!$C$10)^INT((C479-1)/12)*1</f>
        <v>3751.69603333333</v>
      </c>
      <c r="G479" s="10" t="n">
        <f aca="false">F479*Staffing!$N$13</f>
        <v>0</v>
      </c>
      <c r="H479" s="10" t="n">
        <f aca="false">F479+G479</f>
        <v>3751.69603333333</v>
      </c>
      <c r="I479" s="10" t="n">
        <f aca="false">0</f>
        <v>0</v>
      </c>
      <c r="J479" s="10" t="n">
        <f aca="false">MAX(0,E479-E478)*Staffing!$O$13</f>
        <v>0</v>
      </c>
      <c r="K479" s="10" t="n">
        <f aca="false">MAX(0,E479-E478)*Staffing!$P$13</f>
        <v>0</v>
      </c>
      <c r="L479" s="23" t="n">
        <f aca="false">ROUNDUP(E479,0)</f>
        <v>1</v>
      </c>
    </row>
    <row r="480" customFormat="false" ht="15" hidden="false" customHeight="false" outlineLevel="0" collapsed="false">
      <c r="A480" s="6" t="s">
        <v>72</v>
      </c>
      <c r="B480" s="6" t="s">
        <v>343</v>
      </c>
      <c r="C480" s="6" t="n">
        <v>55</v>
      </c>
      <c r="D480" s="25" t="n">
        <f aca="false">EDATE('Start Here'!$B$6,C480-1)</f>
        <v>47969</v>
      </c>
      <c r="E480" s="11" t="n">
        <f aca="false">IF(AND(C480&gt;=Staffing!$F$13,C480&lt;=Staffing!$G$13,1=1),IF(C480&lt;=6,Staffing!$H$13,IF(C480&lt;=15,Staffing!$I$13,IF(C480&lt;=30,Staffing!$J$13,Staffing!$K$13))),0)</f>
        <v>0.2</v>
      </c>
      <c r="F480" s="10" t="n">
        <f aca="false">E480*Staffing!$L$13/12*(1+Assumptions!$C$10)^INT((C480-1)/12)*1</f>
        <v>3751.69603333333</v>
      </c>
      <c r="G480" s="10" t="n">
        <f aca="false">F480*Staffing!$N$13</f>
        <v>0</v>
      </c>
      <c r="H480" s="10" t="n">
        <f aca="false">F480+G480</f>
        <v>3751.69603333333</v>
      </c>
      <c r="I480" s="10" t="n">
        <f aca="false">0</f>
        <v>0</v>
      </c>
      <c r="J480" s="10" t="n">
        <f aca="false">MAX(0,E480-E479)*Staffing!$O$13</f>
        <v>0</v>
      </c>
      <c r="K480" s="10" t="n">
        <f aca="false">MAX(0,E480-E479)*Staffing!$P$13</f>
        <v>0</v>
      </c>
      <c r="L480" s="23" t="n">
        <f aca="false">ROUNDUP(E480,0)</f>
        <v>1</v>
      </c>
    </row>
    <row r="481" customFormat="false" ht="15" hidden="false" customHeight="false" outlineLevel="0" collapsed="false">
      <c r="A481" s="6" t="s">
        <v>72</v>
      </c>
      <c r="B481" s="6" t="s">
        <v>343</v>
      </c>
      <c r="C481" s="6" t="n">
        <v>56</v>
      </c>
      <c r="D481" s="25" t="n">
        <f aca="false">EDATE('Start Here'!$B$6,C481-1)</f>
        <v>48000</v>
      </c>
      <c r="E481" s="11" t="n">
        <f aca="false">IF(AND(C481&gt;=Staffing!$F$13,C481&lt;=Staffing!$G$13,1=1),IF(C481&lt;=6,Staffing!$H$13,IF(C481&lt;=15,Staffing!$I$13,IF(C481&lt;=30,Staffing!$J$13,Staffing!$K$13))),0)</f>
        <v>0.2</v>
      </c>
      <c r="F481" s="10" t="n">
        <f aca="false">E481*Staffing!$L$13/12*(1+Assumptions!$C$10)^INT((C481-1)/12)*1</f>
        <v>3751.69603333333</v>
      </c>
      <c r="G481" s="10" t="n">
        <f aca="false">F481*Staffing!$N$13</f>
        <v>0</v>
      </c>
      <c r="H481" s="10" t="n">
        <f aca="false">F481+G481</f>
        <v>3751.69603333333</v>
      </c>
      <c r="I481" s="10" t="n">
        <f aca="false">0</f>
        <v>0</v>
      </c>
      <c r="J481" s="10" t="n">
        <f aca="false">MAX(0,E481-E480)*Staffing!$O$13</f>
        <v>0</v>
      </c>
      <c r="K481" s="10" t="n">
        <f aca="false">MAX(0,E481-E480)*Staffing!$P$13</f>
        <v>0</v>
      </c>
      <c r="L481" s="23" t="n">
        <f aca="false">ROUNDUP(E481,0)</f>
        <v>1</v>
      </c>
    </row>
    <row r="482" customFormat="false" ht="15" hidden="false" customHeight="false" outlineLevel="0" collapsed="false">
      <c r="A482" s="6" t="s">
        <v>72</v>
      </c>
      <c r="B482" s="6" t="s">
        <v>343</v>
      </c>
      <c r="C482" s="6" t="n">
        <v>57</v>
      </c>
      <c r="D482" s="25" t="n">
        <f aca="false">EDATE('Start Here'!$B$6,C482-1)</f>
        <v>48030</v>
      </c>
      <c r="E482" s="11" t="n">
        <f aca="false">IF(AND(C482&gt;=Staffing!$F$13,C482&lt;=Staffing!$G$13,1=1),IF(C482&lt;=6,Staffing!$H$13,IF(C482&lt;=15,Staffing!$I$13,IF(C482&lt;=30,Staffing!$J$13,Staffing!$K$13))),0)</f>
        <v>0.2</v>
      </c>
      <c r="F482" s="10" t="n">
        <f aca="false">E482*Staffing!$L$13/12*(1+Assumptions!$C$10)^INT((C482-1)/12)*1</f>
        <v>3751.69603333333</v>
      </c>
      <c r="G482" s="10" t="n">
        <f aca="false">F482*Staffing!$N$13</f>
        <v>0</v>
      </c>
      <c r="H482" s="10" t="n">
        <f aca="false">F482+G482</f>
        <v>3751.69603333333</v>
      </c>
      <c r="I482" s="10" t="n">
        <f aca="false">0</f>
        <v>0</v>
      </c>
      <c r="J482" s="10" t="n">
        <f aca="false">MAX(0,E482-E481)*Staffing!$O$13</f>
        <v>0</v>
      </c>
      <c r="K482" s="10" t="n">
        <f aca="false">MAX(0,E482-E481)*Staffing!$P$13</f>
        <v>0</v>
      </c>
      <c r="L482" s="23" t="n">
        <f aca="false">ROUNDUP(E482,0)</f>
        <v>1</v>
      </c>
    </row>
    <row r="483" customFormat="false" ht="15" hidden="false" customHeight="false" outlineLevel="0" collapsed="false">
      <c r="A483" s="6" t="s">
        <v>72</v>
      </c>
      <c r="B483" s="6" t="s">
        <v>343</v>
      </c>
      <c r="C483" s="6" t="n">
        <v>58</v>
      </c>
      <c r="D483" s="25" t="n">
        <f aca="false">EDATE('Start Here'!$B$6,C483-1)</f>
        <v>48061</v>
      </c>
      <c r="E483" s="11" t="n">
        <f aca="false">IF(AND(C483&gt;=Staffing!$F$13,C483&lt;=Staffing!$G$13,1=1),IF(C483&lt;=6,Staffing!$H$13,IF(C483&lt;=15,Staffing!$I$13,IF(C483&lt;=30,Staffing!$J$13,Staffing!$K$13))),0)</f>
        <v>0.2</v>
      </c>
      <c r="F483" s="10" t="n">
        <f aca="false">E483*Staffing!$L$13/12*(1+Assumptions!$C$10)^INT((C483-1)/12)*1</f>
        <v>3751.69603333333</v>
      </c>
      <c r="G483" s="10" t="n">
        <f aca="false">F483*Staffing!$N$13</f>
        <v>0</v>
      </c>
      <c r="H483" s="10" t="n">
        <f aca="false">F483+G483</f>
        <v>3751.69603333333</v>
      </c>
      <c r="I483" s="10" t="n">
        <f aca="false">0</f>
        <v>0</v>
      </c>
      <c r="J483" s="10" t="n">
        <f aca="false">MAX(0,E483-E482)*Staffing!$O$13</f>
        <v>0</v>
      </c>
      <c r="K483" s="10" t="n">
        <f aca="false">MAX(0,E483-E482)*Staffing!$P$13</f>
        <v>0</v>
      </c>
      <c r="L483" s="23" t="n">
        <f aca="false">ROUNDUP(E483,0)</f>
        <v>1</v>
      </c>
    </row>
    <row r="484" customFormat="false" ht="15" hidden="false" customHeight="false" outlineLevel="0" collapsed="false">
      <c r="A484" s="6" t="s">
        <v>72</v>
      </c>
      <c r="B484" s="6" t="s">
        <v>343</v>
      </c>
      <c r="C484" s="6" t="n">
        <v>59</v>
      </c>
      <c r="D484" s="25" t="n">
        <f aca="false">EDATE('Start Here'!$B$6,C484-1)</f>
        <v>48092</v>
      </c>
      <c r="E484" s="11" t="n">
        <f aca="false">IF(AND(C484&gt;=Staffing!$F$13,C484&lt;=Staffing!$G$13,1=1),IF(C484&lt;=6,Staffing!$H$13,IF(C484&lt;=15,Staffing!$I$13,IF(C484&lt;=30,Staffing!$J$13,Staffing!$K$13))),0)</f>
        <v>0.2</v>
      </c>
      <c r="F484" s="10" t="n">
        <f aca="false">E484*Staffing!$L$13/12*(1+Assumptions!$C$10)^INT((C484-1)/12)*1</f>
        <v>3751.69603333333</v>
      </c>
      <c r="G484" s="10" t="n">
        <f aca="false">F484*Staffing!$N$13</f>
        <v>0</v>
      </c>
      <c r="H484" s="10" t="n">
        <f aca="false">F484+G484</f>
        <v>3751.69603333333</v>
      </c>
      <c r="I484" s="10" t="n">
        <f aca="false">0</f>
        <v>0</v>
      </c>
      <c r="J484" s="10" t="n">
        <f aca="false">MAX(0,E484-E483)*Staffing!$O$13</f>
        <v>0</v>
      </c>
      <c r="K484" s="10" t="n">
        <f aca="false">MAX(0,E484-E483)*Staffing!$P$13</f>
        <v>0</v>
      </c>
      <c r="L484" s="23" t="n">
        <f aca="false">ROUNDUP(E484,0)</f>
        <v>1</v>
      </c>
    </row>
    <row r="485" customFormat="false" ht="15" hidden="false" customHeight="false" outlineLevel="0" collapsed="false">
      <c r="A485" s="6" t="s">
        <v>72</v>
      </c>
      <c r="B485" s="6" t="s">
        <v>343</v>
      </c>
      <c r="C485" s="6" t="n">
        <v>60</v>
      </c>
      <c r="D485" s="25" t="n">
        <f aca="false">EDATE('Start Here'!$B$6,C485-1)</f>
        <v>48122</v>
      </c>
      <c r="E485" s="11" t="n">
        <f aca="false">IF(AND(C485&gt;=Staffing!$F$13,C485&lt;=Staffing!$G$13,1=1),IF(C485&lt;=6,Staffing!$H$13,IF(C485&lt;=15,Staffing!$I$13,IF(C485&lt;=30,Staffing!$J$13,Staffing!$K$13))),0)</f>
        <v>0.2</v>
      </c>
      <c r="F485" s="10" t="n">
        <f aca="false">E485*Staffing!$L$13/12*(1+Assumptions!$C$10)^INT((C485-1)/12)*1</f>
        <v>3751.69603333333</v>
      </c>
      <c r="G485" s="10" t="n">
        <f aca="false">F485*Staffing!$N$13</f>
        <v>0</v>
      </c>
      <c r="H485" s="10" t="n">
        <f aca="false">F485+G485</f>
        <v>3751.69603333333</v>
      </c>
      <c r="I485" s="10" t="n">
        <f aca="false">0</f>
        <v>0</v>
      </c>
      <c r="J485" s="10" t="n">
        <f aca="false">MAX(0,E485-E484)*Staffing!$O$13</f>
        <v>0</v>
      </c>
      <c r="K485" s="10" t="n">
        <f aca="false">MAX(0,E485-E484)*Staffing!$P$13</f>
        <v>0</v>
      </c>
      <c r="L485" s="23" t="n">
        <f aca="false">ROUNDUP(E485,0)</f>
        <v>1</v>
      </c>
    </row>
    <row r="486" customFormat="false" ht="15" hidden="false" customHeight="false" outlineLevel="0" collapsed="false">
      <c r="A486" s="6" t="s">
        <v>72</v>
      </c>
      <c r="B486" s="6" t="s">
        <v>345</v>
      </c>
      <c r="C486" s="6" t="n">
        <v>1</v>
      </c>
      <c r="D486" s="25" t="n">
        <f aca="false">EDATE('Start Here'!$B$6,C486-1)</f>
        <v>46327</v>
      </c>
      <c r="E486" s="23" t="n">
        <f aca="false">IF(AND(C486&gt;=Staffing!$F$14,C486&lt;=Staffing!$G$14,1=1),IF(C486&lt;=6,Staffing!$H$14,IF(C486&lt;=15,Staffing!$I$14,IF(C486&lt;=30,Staffing!$J$14,Staffing!$K$14))),0)</f>
        <v>0</v>
      </c>
      <c r="F486" s="10" t="n">
        <f aca="false">E486*Staffing!$L$14/12*(1+Assumptions!$C$10)^INT((C486-1)/12)*1</f>
        <v>0</v>
      </c>
      <c r="G486" s="10" t="n">
        <f aca="false">F486*Staffing!$N$14</f>
        <v>0</v>
      </c>
      <c r="H486" s="10" t="n">
        <f aca="false">F486+G486</f>
        <v>0</v>
      </c>
      <c r="I486" s="10" t="n">
        <f aca="false">0</f>
        <v>0</v>
      </c>
      <c r="J486" s="10" t="n">
        <f aca="false">MAX(0,E486-0)*Staffing!$O$14</f>
        <v>0</v>
      </c>
      <c r="K486" s="10" t="n">
        <f aca="false">MAX(0,E486-0)*Staffing!$P$14</f>
        <v>0</v>
      </c>
      <c r="L486" s="23" t="n">
        <f aca="false">ROUNDUP(E486,0)</f>
        <v>0</v>
      </c>
    </row>
    <row r="487" customFormat="false" ht="15" hidden="false" customHeight="false" outlineLevel="0" collapsed="false">
      <c r="A487" s="6" t="s">
        <v>72</v>
      </c>
      <c r="B487" s="6" t="s">
        <v>345</v>
      </c>
      <c r="C487" s="6" t="n">
        <v>2</v>
      </c>
      <c r="D487" s="25" t="n">
        <f aca="false">EDATE('Start Here'!$B$6,C487-1)</f>
        <v>46357</v>
      </c>
      <c r="E487" s="23" t="n">
        <f aca="false">IF(AND(C487&gt;=Staffing!$F$14,C487&lt;=Staffing!$G$14,1=1),IF(C487&lt;=6,Staffing!$H$14,IF(C487&lt;=15,Staffing!$I$14,IF(C487&lt;=30,Staffing!$J$14,Staffing!$K$14))),0)</f>
        <v>0</v>
      </c>
      <c r="F487" s="10" t="n">
        <f aca="false">E487*Staffing!$L$14/12*(1+Assumptions!$C$10)^INT((C487-1)/12)*1</f>
        <v>0</v>
      </c>
      <c r="G487" s="10" t="n">
        <f aca="false">F487*Staffing!$N$14</f>
        <v>0</v>
      </c>
      <c r="H487" s="10" t="n">
        <f aca="false">F487+G487</f>
        <v>0</v>
      </c>
      <c r="I487" s="10" t="n">
        <f aca="false">0</f>
        <v>0</v>
      </c>
      <c r="J487" s="10" t="n">
        <f aca="false">MAX(0,E487-E486)*Staffing!$O$14</f>
        <v>0</v>
      </c>
      <c r="K487" s="10" t="n">
        <f aca="false">MAX(0,E487-E486)*Staffing!$P$14</f>
        <v>0</v>
      </c>
      <c r="L487" s="23" t="n">
        <f aca="false">ROUNDUP(E487,0)</f>
        <v>0</v>
      </c>
    </row>
    <row r="488" customFormat="false" ht="15" hidden="false" customHeight="false" outlineLevel="0" collapsed="false">
      <c r="A488" s="6" t="s">
        <v>72</v>
      </c>
      <c r="B488" s="6" t="s">
        <v>345</v>
      </c>
      <c r="C488" s="6" t="n">
        <v>3</v>
      </c>
      <c r="D488" s="25" t="n">
        <f aca="false">EDATE('Start Here'!$B$6,C488-1)</f>
        <v>46388</v>
      </c>
      <c r="E488" s="23" t="n">
        <f aca="false">IF(AND(C488&gt;=Staffing!$F$14,C488&lt;=Staffing!$G$14,1=1),IF(C488&lt;=6,Staffing!$H$14,IF(C488&lt;=15,Staffing!$I$14,IF(C488&lt;=30,Staffing!$J$14,Staffing!$K$14))),0)</f>
        <v>0</v>
      </c>
      <c r="F488" s="10" t="n">
        <f aca="false">E488*Staffing!$L$14/12*(1+Assumptions!$C$10)^INT((C488-1)/12)*1</f>
        <v>0</v>
      </c>
      <c r="G488" s="10" t="n">
        <f aca="false">F488*Staffing!$N$14</f>
        <v>0</v>
      </c>
      <c r="H488" s="10" t="n">
        <f aca="false">F488+G488</f>
        <v>0</v>
      </c>
      <c r="I488" s="10" t="n">
        <f aca="false">0</f>
        <v>0</v>
      </c>
      <c r="J488" s="10" t="n">
        <f aca="false">MAX(0,E488-E487)*Staffing!$O$14</f>
        <v>0</v>
      </c>
      <c r="K488" s="10" t="n">
        <f aca="false">MAX(0,E488-E487)*Staffing!$P$14</f>
        <v>0</v>
      </c>
      <c r="L488" s="23" t="n">
        <f aca="false">ROUNDUP(E488,0)</f>
        <v>0</v>
      </c>
    </row>
    <row r="489" customFormat="false" ht="15" hidden="false" customHeight="false" outlineLevel="0" collapsed="false">
      <c r="A489" s="6" t="s">
        <v>72</v>
      </c>
      <c r="B489" s="6" t="s">
        <v>345</v>
      </c>
      <c r="C489" s="6" t="n">
        <v>4</v>
      </c>
      <c r="D489" s="25" t="n">
        <f aca="false">EDATE('Start Here'!$B$6,C489-1)</f>
        <v>46419</v>
      </c>
      <c r="E489" s="23" t="n">
        <f aca="false">IF(AND(C489&gt;=Staffing!$F$14,C489&lt;=Staffing!$G$14,1=1),IF(C489&lt;=6,Staffing!$H$14,IF(C489&lt;=15,Staffing!$I$14,IF(C489&lt;=30,Staffing!$J$14,Staffing!$K$14))),0)</f>
        <v>0</v>
      </c>
      <c r="F489" s="10" t="n">
        <f aca="false">E489*Staffing!$L$14/12*(1+Assumptions!$C$10)^INT((C489-1)/12)*1</f>
        <v>0</v>
      </c>
      <c r="G489" s="10" t="n">
        <f aca="false">F489*Staffing!$N$14</f>
        <v>0</v>
      </c>
      <c r="H489" s="10" t="n">
        <f aca="false">F489+G489</f>
        <v>0</v>
      </c>
      <c r="I489" s="10" t="n">
        <f aca="false">0</f>
        <v>0</v>
      </c>
      <c r="J489" s="10" t="n">
        <f aca="false">MAX(0,E489-E488)*Staffing!$O$14</f>
        <v>0</v>
      </c>
      <c r="K489" s="10" t="n">
        <f aca="false">MAX(0,E489-E488)*Staffing!$P$14</f>
        <v>0</v>
      </c>
      <c r="L489" s="23" t="n">
        <f aca="false">ROUNDUP(E489,0)</f>
        <v>0</v>
      </c>
    </row>
    <row r="490" customFormat="false" ht="15" hidden="false" customHeight="false" outlineLevel="0" collapsed="false">
      <c r="A490" s="6" t="s">
        <v>72</v>
      </c>
      <c r="B490" s="6" t="s">
        <v>345</v>
      </c>
      <c r="C490" s="6" t="n">
        <v>5</v>
      </c>
      <c r="D490" s="25" t="n">
        <f aca="false">EDATE('Start Here'!$B$6,C490-1)</f>
        <v>46447</v>
      </c>
      <c r="E490" s="23" t="n">
        <f aca="false">IF(AND(C490&gt;=Staffing!$F$14,C490&lt;=Staffing!$G$14,1=1),IF(C490&lt;=6,Staffing!$H$14,IF(C490&lt;=15,Staffing!$I$14,IF(C490&lt;=30,Staffing!$J$14,Staffing!$K$14))),0)</f>
        <v>0</v>
      </c>
      <c r="F490" s="10" t="n">
        <f aca="false">E490*Staffing!$L$14/12*(1+Assumptions!$C$10)^INT((C490-1)/12)*1</f>
        <v>0</v>
      </c>
      <c r="G490" s="10" t="n">
        <f aca="false">F490*Staffing!$N$14</f>
        <v>0</v>
      </c>
      <c r="H490" s="10" t="n">
        <f aca="false">F490+G490</f>
        <v>0</v>
      </c>
      <c r="I490" s="10" t="n">
        <f aca="false">0</f>
        <v>0</v>
      </c>
      <c r="J490" s="10" t="n">
        <f aca="false">MAX(0,E490-E489)*Staffing!$O$14</f>
        <v>0</v>
      </c>
      <c r="K490" s="10" t="n">
        <f aca="false">MAX(0,E490-E489)*Staffing!$P$14</f>
        <v>0</v>
      </c>
      <c r="L490" s="23" t="n">
        <f aca="false">ROUNDUP(E490,0)</f>
        <v>0</v>
      </c>
    </row>
    <row r="491" customFormat="false" ht="15" hidden="false" customHeight="false" outlineLevel="0" collapsed="false">
      <c r="A491" s="6" t="s">
        <v>72</v>
      </c>
      <c r="B491" s="6" t="s">
        <v>345</v>
      </c>
      <c r="C491" s="6" t="n">
        <v>6</v>
      </c>
      <c r="D491" s="25" t="n">
        <f aca="false">EDATE('Start Here'!$B$6,C491-1)</f>
        <v>46478</v>
      </c>
      <c r="E491" s="23" t="n">
        <f aca="false">IF(AND(C491&gt;=Staffing!$F$14,C491&lt;=Staffing!$G$14,1=1),IF(C491&lt;=6,Staffing!$H$14,IF(C491&lt;=15,Staffing!$I$14,IF(C491&lt;=30,Staffing!$J$14,Staffing!$K$14))),0)</f>
        <v>0</v>
      </c>
      <c r="F491" s="10" t="n">
        <f aca="false">E491*Staffing!$L$14/12*(1+Assumptions!$C$10)^INT((C491-1)/12)*1</f>
        <v>0</v>
      </c>
      <c r="G491" s="10" t="n">
        <f aca="false">F491*Staffing!$N$14</f>
        <v>0</v>
      </c>
      <c r="H491" s="10" t="n">
        <f aca="false">F491+G491</f>
        <v>0</v>
      </c>
      <c r="I491" s="10" t="n">
        <f aca="false">0</f>
        <v>0</v>
      </c>
      <c r="J491" s="10" t="n">
        <f aca="false">MAX(0,E491-E490)*Staffing!$O$14</f>
        <v>0</v>
      </c>
      <c r="K491" s="10" t="n">
        <f aca="false">MAX(0,E491-E490)*Staffing!$P$14</f>
        <v>0</v>
      </c>
      <c r="L491" s="23" t="n">
        <f aca="false">ROUNDUP(E491,0)</f>
        <v>0</v>
      </c>
    </row>
    <row r="492" customFormat="false" ht="15" hidden="false" customHeight="false" outlineLevel="0" collapsed="false">
      <c r="A492" s="6" t="s">
        <v>72</v>
      </c>
      <c r="B492" s="6" t="s">
        <v>345</v>
      </c>
      <c r="C492" s="6" t="n">
        <v>7</v>
      </c>
      <c r="D492" s="25" t="n">
        <f aca="false">EDATE('Start Here'!$B$6,C492-1)</f>
        <v>46508</v>
      </c>
      <c r="E492" s="23" t="n">
        <f aca="false">IF(AND(C492&gt;=Staffing!$F$14,C492&lt;=Staffing!$G$14,1=1),IF(C492&lt;=6,Staffing!$H$14,IF(C492&lt;=15,Staffing!$I$14,IF(C492&lt;=30,Staffing!$J$14,Staffing!$K$14))),0)</f>
        <v>0</v>
      </c>
      <c r="F492" s="10" t="n">
        <f aca="false">E492*Staffing!$L$14/12*(1+Assumptions!$C$10)^INT((C492-1)/12)*1</f>
        <v>0</v>
      </c>
      <c r="G492" s="10" t="n">
        <f aca="false">F492*Staffing!$N$14</f>
        <v>0</v>
      </c>
      <c r="H492" s="10" t="n">
        <f aca="false">F492+G492</f>
        <v>0</v>
      </c>
      <c r="I492" s="10" t="n">
        <f aca="false">0</f>
        <v>0</v>
      </c>
      <c r="J492" s="10" t="n">
        <f aca="false">MAX(0,E492-E491)*Staffing!$O$14</f>
        <v>0</v>
      </c>
      <c r="K492" s="10" t="n">
        <f aca="false">MAX(0,E492-E491)*Staffing!$P$14</f>
        <v>0</v>
      </c>
      <c r="L492" s="23" t="n">
        <f aca="false">ROUNDUP(E492,0)</f>
        <v>0</v>
      </c>
    </row>
    <row r="493" customFormat="false" ht="15" hidden="false" customHeight="false" outlineLevel="0" collapsed="false">
      <c r="A493" s="6" t="s">
        <v>72</v>
      </c>
      <c r="B493" s="6" t="s">
        <v>345</v>
      </c>
      <c r="C493" s="6" t="n">
        <v>8</v>
      </c>
      <c r="D493" s="25" t="n">
        <f aca="false">EDATE('Start Here'!$B$6,C493-1)</f>
        <v>46539</v>
      </c>
      <c r="E493" s="23" t="n">
        <f aca="false">IF(AND(C493&gt;=Staffing!$F$14,C493&lt;=Staffing!$G$14,1=1),IF(C493&lt;=6,Staffing!$H$14,IF(C493&lt;=15,Staffing!$I$14,IF(C493&lt;=30,Staffing!$J$14,Staffing!$K$14))),0)</f>
        <v>0</v>
      </c>
      <c r="F493" s="10" t="n">
        <f aca="false">E493*Staffing!$L$14/12*(1+Assumptions!$C$10)^INT((C493-1)/12)*1</f>
        <v>0</v>
      </c>
      <c r="G493" s="10" t="n">
        <f aca="false">F493*Staffing!$N$14</f>
        <v>0</v>
      </c>
      <c r="H493" s="10" t="n">
        <f aca="false">F493+G493</f>
        <v>0</v>
      </c>
      <c r="I493" s="10" t="n">
        <f aca="false">0</f>
        <v>0</v>
      </c>
      <c r="J493" s="10" t="n">
        <f aca="false">MAX(0,E493-E492)*Staffing!$O$14</f>
        <v>0</v>
      </c>
      <c r="K493" s="10" t="n">
        <f aca="false">MAX(0,E493-E492)*Staffing!$P$14</f>
        <v>0</v>
      </c>
      <c r="L493" s="23" t="n">
        <f aca="false">ROUNDUP(E493,0)</f>
        <v>0</v>
      </c>
    </row>
    <row r="494" customFormat="false" ht="15" hidden="false" customHeight="false" outlineLevel="0" collapsed="false">
      <c r="A494" s="6" t="s">
        <v>72</v>
      </c>
      <c r="B494" s="6" t="s">
        <v>345</v>
      </c>
      <c r="C494" s="6" t="n">
        <v>9</v>
      </c>
      <c r="D494" s="25" t="n">
        <f aca="false">EDATE('Start Here'!$B$6,C494-1)</f>
        <v>46569</v>
      </c>
      <c r="E494" s="23" t="n">
        <f aca="false">IF(AND(C494&gt;=Staffing!$F$14,C494&lt;=Staffing!$G$14,1=1),IF(C494&lt;=6,Staffing!$H$14,IF(C494&lt;=15,Staffing!$I$14,IF(C494&lt;=30,Staffing!$J$14,Staffing!$K$14))),0)</f>
        <v>0</v>
      </c>
      <c r="F494" s="10" t="n">
        <f aca="false">E494*Staffing!$L$14/12*(1+Assumptions!$C$10)^INT((C494-1)/12)*1</f>
        <v>0</v>
      </c>
      <c r="G494" s="10" t="n">
        <f aca="false">F494*Staffing!$N$14</f>
        <v>0</v>
      </c>
      <c r="H494" s="10" t="n">
        <f aca="false">F494+G494</f>
        <v>0</v>
      </c>
      <c r="I494" s="10" t="n">
        <f aca="false">0</f>
        <v>0</v>
      </c>
      <c r="J494" s="10" t="n">
        <f aca="false">MAX(0,E494-E493)*Staffing!$O$14</f>
        <v>0</v>
      </c>
      <c r="K494" s="10" t="n">
        <f aca="false">MAX(0,E494-E493)*Staffing!$P$14</f>
        <v>0</v>
      </c>
      <c r="L494" s="23" t="n">
        <f aca="false">ROUNDUP(E494,0)</f>
        <v>0</v>
      </c>
    </row>
    <row r="495" customFormat="false" ht="15" hidden="false" customHeight="false" outlineLevel="0" collapsed="false">
      <c r="A495" s="6" t="s">
        <v>72</v>
      </c>
      <c r="B495" s="6" t="s">
        <v>345</v>
      </c>
      <c r="C495" s="6" t="n">
        <v>10</v>
      </c>
      <c r="D495" s="25" t="n">
        <f aca="false">EDATE('Start Here'!$B$6,C495-1)</f>
        <v>46600</v>
      </c>
      <c r="E495" s="23" t="n">
        <f aca="false">IF(AND(C495&gt;=Staffing!$F$14,C495&lt;=Staffing!$G$14,1=1),IF(C495&lt;=6,Staffing!$H$14,IF(C495&lt;=15,Staffing!$I$14,IF(C495&lt;=30,Staffing!$J$14,Staffing!$K$14))),0)</f>
        <v>0</v>
      </c>
      <c r="F495" s="10" t="n">
        <f aca="false">E495*Staffing!$L$14/12*(1+Assumptions!$C$10)^INT((C495-1)/12)*1</f>
        <v>0</v>
      </c>
      <c r="G495" s="10" t="n">
        <f aca="false">F495*Staffing!$N$14</f>
        <v>0</v>
      </c>
      <c r="H495" s="10" t="n">
        <f aca="false">F495+G495</f>
        <v>0</v>
      </c>
      <c r="I495" s="10" t="n">
        <f aca="false">0</f>
        <v>0</v>
      </c>
      <c r="J495" s="10" t="n">
        <f aca="false">MAX(0,E495-E494)*Staffing!$O$14</f>
        <v>0</v>
      </c>
      <c r="K495" s="10" t="n">
        <f aca="false">MAX(0,E495-E494)*Staffing!$P$14</f>
        <v>0</v>
      </c>
      <c r="L495" s="23" t="n">
        <f aca="false">ROUNDUP(E495,0)</f>
        <v>0</v>
      </c>
    </row>
    <row r="496" customFormat="false" ht="15" hidden="false" customHeight="false" outlineLevel="0" collapsed="false">
      <c r="A496" s="6" t="s">
        <v>72</v>
      </c>
      <c r="B496" s="6" t="s">
        <v>345</v>
      </c>
      <c r="C496" s="6" t="n">
        <v>11</v>
      </c>
      <c r="D496" s="25" t="n">
        <f aca="false">EDATE('Start Here'!$B$6,C496-1)</f>
        <v>46631</v>
      </c>
      <c r="E496" s="23" t="n">
        <f aca="false">IF(AND(C496&gt;=Staffing!$F$14,C496&lt;=Staffing!$G$14,1=1),IF(C496&lt;=6,Staffing!$H$14,IF(C496&lt;=15,Staffing!$I$14,IF(C496&lt;=30,Staffing!$J$14,Staffing!$K$14))),0)</f>
        <v>0</v>
      </c>
      <c r="F496" s="10" t="n">
        <f aca="false">E496*Staffing!$L$14/12*(1+Assumptions!$C$10)^INT((C496-1)/12)*1</f>
        <v>0</v>
      </c>
      <c r="G496" s="10" t="n">
        <f aca="false">F496*Staffing!$N$14</f>
        <v>0</v>
      </c>
      <c r="H496" s="10" t="n">
        <f aca="false">F496+G496</f>
        <v>0</v>
      </c>
      <c r="I496" s="10" t="n">
        <f aca="false">0</f>
        <v>0</v>
      </c>
      <c r="J496" s="10" t="n">
        <f aca="false">MAX(0,E496-E495)*Staffing!$O$14</f>
        <v>0</v>
      </c>
      <c r="K496" s="10" t="n">
        <f aca="false">MAX(0,E496-E495)*Staffing!$P$14</f>
        <v>0</v>
      </c>
      <c r="L496" s="23" t="n">
        <f aca="false">ROUNDUP(E496,0)</f>
        <v>0</v>
      </c>
    </row>
    <row r="497" customFormat="false" ht="15" hidden="false" customHeight="false" outlineLevel="0" collapsed="false">
      <c r="A497" s="6" t="s">
        <v>72</v>
      </c>
      <c r="B497" s="6" t="s">
        <v>345</v>
      </c>
      <c r="C497" s="6" t="n">
        <v>12</v>
      </c>
      <c r="D497" s="25" t="n">
        <f aca="false">EDATE('Start Here'!$B$6,C497-1)</f>
        <v>46661</v>
      </c>
      <c r="E497" s="11" t="n">
        <f aca="false">IF(AND(C497&gt;=Staffing!$F$14,C497&lt;=Staffing!$G$14,1=1),IF(C497&lt;=6,Staffing!$H$14,IF(C497&lt;=15,Staffing!$I$14,IF(C497&lt;=30,Staffing!$J$14,Staffing!$K$14))),0)</f>
        <v>0.25</v>
      </c>
      <c r="F497" s="10" t="n">
        <f aca="false">E497*Staffing!$L$14/12*(1+Assumptions!$C$10)^INT((C497-1)/12)*1</f>
        <v>1875</v>
      </c>
      <c r="G497" s="10" t="n">
        <f aca="false">F497*Staffing!$N$14</f>
        <v>750</v>
      </c>
      <c r="H497" s="10" t="n">
        <f aca="false">F497+G497</f>
        <v>2625</v>
      </c>
      <c r="I497" s="10" t="n">
        <f aca="false">0</f>
        <v>0</v>
      </c>
      <c r="J497" s="10" t="n">
        <f aca="false">MAX(0,E497-E496)*Staffing!$O$14</f>
        <v>1250</v>
      </c>
      <c r="K497" s="10" t="n">
        <f aca="false">MAX(0,E497-E496)*Staffing!$P$14</f>
        <v>625</v>
      </c>
      <c r="L497" s="23" t="n">
        <f aca="false">ROUNDUP(E497,0)</f>
        <v>1</v>
      </c>
    </row>
    <row r="498" customFormat="false" ht="15" hidden="false" customHeight="false" outlineLevel="0" collapsed="false">
      <c r="A498" s="6" t="s">
        <v>72</v>
      </c>
      <c r="B498" s="6" t="s">
        <v>345</v>
      </c>
      <c r="C498" s="6" t="n">
        <v>13</v>
      </c>
      <c r="D498" s="25" t="n">
        <f aca="false">EDATE('Start Here'!$B$6,C498-1)</f>
        <v>46692</v>
      </c>
      <c r="E498" s="11" t="n">
        <f aca="false">IF(AND(C498&gt;=Staffing!$F$14,C498&lt;=Staffing!$G$14,1=1),IF(C498&lt;=6,Staffing!$H$14,IF(C498&lt;=15,Staffing!$I$14,IF(C498&lt;=30,Staffing!$J$14,Staffing!$K$14))),0)</f>
        <v>0.25</v>
      </c>
      <c r="F498" s="10" t="n">
        <f aca="false">E498*Staffing!$L$14/12*(1+Assumptions!$C$10)^INT((C498-1)/12)*1</f>
        <v>1931.25</v>
      </c>
      <c r="G498" s="10" t="n">
        <f aca="false">F498*Staffing!$N$14</f>
        <v>772.5</v>
      </c>
      <c r="H498" s="10" t="n">
        <f aca="false">F498+G498</f>
        <v>2703.75</v>
      </c>
      <c r="I498" s="10" t="n">
        <f aca="false">0</f>
        <v>0</v>
      </c>
      <c r="J498" s="10" t="n">
        <f aca="false">MAX(0,E498-E497)*Staffing!$O$14</f>
        <v>0</v>
      </c>
      <c r="K498" s="10" t="n">
        <f aca="false">MAX(0,E498-E497)*Staffing!$P$14</f>
        <v>0</v>
      </c>
      <c r="L498" s="23" t="n">
        <f aca="false">ROUNDUP(E498,0)</f>
        <v>1</v>
      </c>
    </row>
    <row r="499" customFormat="false" ht="15" hidden="false" customHeight="false" outlineLevel="0" collapsed="false">
      <c r="A499" s="6" t="s">
        <v>72</v>
      </c>
      <c r="B499" s="6" t="s">
        <v>345</v>
      </c>
      <c r="C499" s="6" t="n">
        <v>14</v>
      </c>
      <c r="D499" s="25" t="n">
        <f aca="false">EDATE('Start Here'!$B$6,C499-1)</f>
        <v>46722</v>
      </c>
      <c r="E499" s="11" t="n">
        <f aca="false">IF(AND(C499&gt;=Staffing!$F$14,C499&lt;=Staffing!$G$14,1=1),IF(C499&lt;=6,Staffing!$H$14,IF(C499&lt;=15,Staffing!$I$14,IF(C499&lt;=30,Staffing!$J$14,Staffing!$K$14))),0)</f>
        <v>0.25</v>
      </c>
      <c r="F499" s="10" t="n">
        <f aca="false">E499*Staffing!$L$14/12*(1+Assumptions!$C$10)^INT((C499-1)/12)*1</f>
        <v>1931.25</v>
      </c>
      <c r="G499" s="10" t="n">
        <f aca="false">F499*Staffing!$N$14</f>
        <v>772.5</v>
      </c>
      <c r="H499" s="10" t="n">
        <f aca="false">F499+G499</f>
        <v>2703.75</v>
      </c>
      <c r="I499" s="10" t="n">
        <f aca="false">0</f>
        <v>0</v>
      </c>
      <c r="J499" s="10" t="n">
        <f aca="false">MAX(0,E499-E498)*Staffing!$O$14</f>
        <v>0</v>
      </c>
      <c r="K499" s="10" t="n">
        <f aca="false">MAX(0,E499-E498)*Staffing!$P$14</f>
        <v>0</v>
      </c>
      <c r="L499" s="23" t="n">
        <f aca="false">ROUNDUP(E499,0)</f>
        <v>1</v>
      </c>
    </row>
    <row r="500" customFormat="false" ht="15" hidden="false" customHeight="false" outlineLevel="0" collapsed="false">
      <c r="A500" s="6" t="s">
        <v>72</v>
      </c>
      <c r="B500" s="6" t="s">
        <v>345</v>
      </c>
      <c r="C500" s="6" t="n">
        <v>15</v>
      </c>
      <c r="D500" s="25" t="n">
        <f aca="false">EDATE('Start Here'!$B$6,C500-1)</f>
        <v>46753</v>
      </c>
      <c r="E500" s="11" t="n">
        <f aca="false">IF(AND(C500&gt;=Staffing!$F$14,C500&lt;=Staffing!$G$14,1=1),IF(C500&lt;=6,Staffing!$H$14,IF(C500&lt;=15,Staffing!$I$14,IF(C500&lt;=30,Staffing!$J$14,Staffing!$K$14))),0)</f>
        <v>0.25</v>
      </c>
      <c r="F500" s="10" t="n">
        <f aca="false">E500*Staffing!$L$14/12*(1+Assumptions!$C$10)^INT((C500-1)/12)*1</f>
        <v>1931.25</v>
      </c>
      <c r="G500" s="10" t="n">
        <f aca="false">F500*Staffing!$N$14</f>
        <v>772.5</v>
      </c>
      <c r="H500" s="10" t="n">
        <f aca="false">F500+G500</f>
        <v>2703.75</v>
      </c>
      <c r="I500" s="10" t="n">
        <f aca="false">0</f>
        <v>0</v>
      </c>
      <c r="J500" s="10" t="n">
        <f aca="false">MAX(0,E500-E499)*Staffing!$O$14</f>
        <v>0</v>
      </c>
      <c r="K500" s="10" t="n">
        <f aca="false">MAX(0,E500-E499)*Staffing!$P$14</f>
        <v>0</v>
      </c>
      <c r="L500" s="23" t="n">
        <f aca="false">ROUNDUP(E500,0)</f>
        <v>1</v>
      </c>
    </row>
    <row r="501" customFormat="false" ht="15" hidden="false" customHeight="false" outlineLevel="0" collapsed="false">
      <c r="A501" s="6" t="s">
        <v>72</v>
      </c>
      <c r="B501" s="6" t="s">
        <v>345</v>
      </c>
      <c r="C501" s="6" t="n">
        <v>16</v>
      </c>
      <c r="D501" s="25" t="n">
        <f aca="false">EDATE('Start Here'!$B$6,C501-1)</f>
        <v>46784</v>
      </c>
      <c r="E501" s="11" t="n">
        <f aca="false">IF(AND(C501&gt;=Staffing!$F$14,C501&lt;=Staffing!$G$14,1=1),IF(C501&lt;=6,Staffing!$H$14,IF(C501&lt;=15,Staffing!$I$14,IF(C501&lt;=30,Staffing!$J$14,Staffing!$K$14))),0)</f>
        <v>0.5</v>
      </c>
      <c r="F501" s="10" t="n">
        <f aca="false">E501*Staffing!$L$14/12*(1+Assumptions!$C$10)^INT((C501-1)/12)*1</f>
        <v>3862.5</v>
      </c>
      <c r="G501" s="10" t="n">
        <f aca="false">F501*Staffing!$N$14</f>
        <v>1545</v>
      </c>
      <c r="H501" s="10" t="n">
        <f aca="false">F501+G501</f>
        <v>5407.5</v>
      </c>
      <c r="I501" s="10" t="n">
        <f aca="false">0</f>
        <v>0</v>
      </c>
      <c r="J501" s="10" t="n">
        <f aca="false">MAX(0,E501-E500)*Staffing!$O$14</f>
        <v>1250</v>
      </c>
      <c r="K501" s="10" t="n">
        <f aca="false">MAX(0,E501-E500)*Staffing!$P$14</f>
        <v>625</v>
      </c>
      <c r="L501" s="23" t="n">
        <f aca="false">ROUNDUP(E501,0)</f>
        <v>1</v>
      </c>
    </row>
    <row r="502" customFormat="false" ht="15" hidden="false" customHeight="false" outlineLevel="0" collapsed="false">
      <c r="A502" s="6" t="s">
        <v>72</v>
      </c>
      <c r="B502" s="6" t="s">
        <v>345</v>
      </c>
      <c r="C502" s="6" t="n">
        <v>17</v>
      </c>
      <c r="D502" s="25" t="n">
        <f aca="false">EDATE('Start Here'!$B$6,C502-1)</f>
        <v>46813</v>
      </c>
      <c r="E502" s="11" t="n">
        <f aca="false">IF(AND(C502&gt;=Staffing!$F$14,C502&lt;=Staffing!$G$14,1=1),IF(C502&lt;=6,Staffing!$H$14,IF(C502&lt;=15,Staffing!$I$14,IF(C502&lt;=30,Staffing!$J$14,Staffing!$K$14))),0)</f>
        <v>0.5</v>
      </c>
      <c r="F502" s="10" t="n">
        <f aca="false">E502*Staffing!$L$14/12*(1+Assumptions!$C$10)^INT((C502-1)/12)*1</f>
        <v>3862.5</v>
      </c>
      <c r="G502" s="10" t="n">
        <f aca="false">F502*Staffing!$N$14</f>
        <v>1545</v>
      </c>
      <c r="H502" s="10" t="n">
        <f aca="false">F502+G502</f>
        <v>5407.5</v>
      </c>
      <c r="I502" s="10" t="n">
        <f aca="false">0</f>
        <v>0</v>
      </c>
      <c r="J502" s="10" t="n">
        <f aca="false">MAX(0,E502-E501)*Staffing!$O$14</f>
        <v>0</v>
      </c>
      <c r="K502" s="10" t="n">
        <f aca="false">MAX(0,E502-E501)*Staffing!$P$14</f>
        <v>0</v>
      </c>
      <c r="L502" s="23" t="n">
        <f aca="false">ROUNDUP(E502,0)</f>
        <v>1</v>
      </c>
    </row>
    <row r="503" customFormat="false" ht="15" hidden="false" customHeight="false" outlineLevel="0" collapsed="false">
      <c r="A503" s="6" t="s">
        <v>72</v>
      </c>
      <c r="B503" s="6" t="s">
        <v>345</v>
      </c>
      <c r="C503" s="6" t="n">
        <v>18</v>
      </c>
      <c r="D503" s="25" t="n">
        <f aca="false">EDATE('Start Here'!$B$6,C503-1)</f>
        <v>46844</v>
      </c>
      <c r="E503" s="11" t="n">
        <f aca="false">IF(AND(C503&gt;=Staffing!$F$14,C503&lt;=Staffing!$G$14,1=1),IF(C503&lt;=6,Staffing!$H$14,IF(C503&lt;=15,Staffing!$I$14,IF(C503&lt;=30,Staffing!$J$14,Staffing!$K$14))),0)</f>
        <v>0.5</v>
      </c>
      <c r="F503" s="10" t="n">
        <f aca="false">E503*Staffing!$L$14/12*(1+Assumptions!$C$10)^INT((C503-1)/12)*1</f>
        <v>3862.5</v>
      </c>
      <c r="G503" s="10" t="n">
        <f aca="false">F503*Staffing!$N$14</f>
        <v>1545</v>
      </c>
      <c r="H503" s="10" t="n">
        <f aca="false">F503+G503</f>
        <v>5407.5</v>
      </c>
      <c r="I503" s="10" t="n">
        <f aca="false">0</f>
        <v>0</v>
      </c>
      <c r="J503" s="10" t="n">
        <f aca="false">MAX(0,E503-E502)*Staffing!$O$14</f>
        <v>0</v>
      </c>
      <c r="K503" s="10" t="n">
        <f aca="false">MAX(0,E503-E502)*Staffing!$P$14</f>
        <v>0</v>
      </c>
      <c r="L503" s="23" t="n">
        <f aca="false">ROUNDUP(E503,0)</f>
        <v>1</v>
      </c>
    </row>
    <row r="504" customFormat="false" ht="15" hidden="false" customHeight="false" outlineLevel="0" collapsed="false">
      <c r="A504" s="6" t="s">
        <v>72</v>
      </c>
      <c r="B504" s="6" t="s">
        <v>345</v>
      </c>
      <c r="C504" s="6" t="n">
        <v>19</v>
      </c>
      <c r="D504" s="25" t="n">
        <f aca="false">EDATE('Start Here'!$B$6,C504-1)</f>
        <v>46874</v>
      </c>
      <c r="E504" s="11" t="n">
        <f aca="false">IF(AND(C504&gt;=Staffing!$F$14,C504&lt;=Staffing!$G$14,1=1),IF(C504&lt;=6,Staffing!$H$14,IF(C504&lt;=15,Staffing!$I$14,IF(C504&lt;=30,Staffing!$J$14,Staffing!$K$14))),0)</f>
        <v>0.5</v>
      </c>
      <c r="F504" s="10" t="n">
        <f aca="false">E504*Staffing!$L$14/12*(1+Assumptions!$C$10)^INT((C504-1)/12)*1</f>
        <v>3862.5</v>
      </c>
      <c r="G504" s="10" t="n">
        <f aca="false">F504*Staffing!$N$14</f>
        <v>1545</v>
      </c>
      <c r="H504" s="10" t="n">
        <f aca="false">F504+G504</f>
        <v>5407.5</v>
      </c>
      <c r="I504" s="10" t="n">
        <f aca="false">0</f>
        <v>0</v>
      </c>
      <c r="J504" s="10" t="n">
        <f aca="false">MAX(0,E504-E503)*Staffing!$O$14</f>
        <v>0</v>
      </c>
      <c r="K504" s="10" t="n">
        <f aca="false">MAX(0,E504-E503)*Staffing!$P$14</f>
        <v>0</v>
      </c>
      <c r="L504" s="23" t="n">
        <f aca="false">ROUNDUP(E504,0)</f>
        <v>1</v>
      </c>
    </row>
    <row r="505" customFormat="false" ht="15" hidden="false" customHeight="false" outlineLevel="0" collapsed="false">
      <c r="A505" s="6" t="s">
        <v>72</v>
      </c>
      <c r="B505" s="6" t="s">
        <v>345</v>
      </c>
      <c r="C505" s="6" t="n">
        <v>20</v>
      </c>
      <c r="D505" s="25" t="n">
        <f aca="false">EDATE('Start Here'!$B$6,C505-1)</f>
        <v>46905</v>
      </c>
      <c r="E505" s="11" t="n">
        <f aca="false">IF(AND(C505&gt;=Staffing!$F$14,C505&lt;=Staffing!$G$14,1=1),IF(C505&lt;=6,Staffing!$H$14,IF(C505&lt;=15,Staffing!$I$14,IF(C505&lt;=30,Staffing!$J$14,Staffing!$K$14))),0)</f>
        <v>0.5</v>
      </c>
      <c r="F505" s="10" t="n">
        <f aca="false">E505*Staffing!$L$14/12*(1+Assumptions!$C$10)^INT((C505-1)/12)*1</f>
        <v>3862.5</v>
      </c>
      <c r="G505" s="10" t="n">
        <f aca="false">F505*Staffing!$N$14</f>
        <v>1545</v>
      </c>
      <c r="H505" s="10" t="n">
        <f aca="false">F505+G505</f>
        <v>5407.5</v>
      </c>
      <c r="I505" s="10" t="n">
        <f aca="false">0</f>
        <v>0</v>
      </c>
      <c r="J505" s="10" t="n">
        <f aca="false">MAX(0,E505-E504)*Staffing!$O$14</f>
        <v>0</v>
      </c>
      <c r="K505" s="10" t="n">
        <f aca="false">MAX(0,E505-E504)*Staffing!$P$14</f>
        <v>0</v>
      </c>
      <c r="L505" s="23" t="n">
        <f aca="false">ROUNDUP(E505,0)</f>
        <v>1</v>
      </c>
    </row>
    <row r="506" customFormat="false" ht="15" hidden="false" customHeight="false" outlineLevel="0" collapsed="false">
      <c r="A506" s="6" t="s">
        <v>72</v>
      </c>
      <c r="B506" s="6" t="s">
        <v>345</v>
      </c>
      <c r="C506" s="6" t="n">
        <v>21</v>
      </c>
      <c r="D506" s="25" t="n">
        <f aca="false">EDATE('Start Here'!$B$6,C506-1)</f>
        <v>46935</v>
      </c>
      <c r="E506" s="11" t="n">
        <f aca="false">IF(AND(C506&gt;=Staffing!$F$14,C506&lt;=Staffing!$G$14,1=1),IF(C506&lt;=6,Staffing!$H$14,IF(C506&lt;=15,Staffing!$I$14,IF(C506&lt;=30,Staffing!$J$14,Staffing!$K$14))),0)</f>
        <v>0.5</v>
      </c>
      <c r="F506" s="10" t="n">
        <f aca="false">E506*Staffing!$L$14/12*(1+Assumptions!$C$10)^INT((C506-1)/12)*1</f>
        <v>3862.5</v>
      </c>
      <c r="G506" s="10" t="n">
        <f aca="false">F506*Staffing!$N$14</f>
        <v>1545</v>
      </c>
      <c r="H506" s="10" t="n">
        <f aca="false">F506+G506</f>
        <v>5407.5</v>
      </c>
      <c r="I506" s="10" t="n">
        <f aca="false">0</f>
        <v>0</v>
      </c>
      <c r="J506" s="10" t="n">
        <f aca="false">MAX(0,E506-E505)*Staffing!$O$14</f>
        <v>0</v>
      </c>
      <c r="K506" s="10" t="n">
        <f aca="false">MAX(0,E506-E505)*Staffing!$P$14</f>
        <v>0</v>
      </c>
      <c r="L506" s="23" t="n">
        <f aca="false">ROUNDUP(E506,0)</f>
        <v>1</v>
      </c>
    </row>
    <row r="507" customFormat="false" ht="15" hidden="false" customHeight="false" outlineLevel="0" collapsed="false">
      <c r="A507" s="6" t="s">
        <v>72</v>
      </c>
      <c r="B507" s="6" t="s">
        <v>345</v>
      </c>
      <c r="C507" s="6" t="n">
        <v>22</v>
      </c>
      <c r="D507" s="25" t="n">
        <f aca="false">EDATE('Start Here'!$B$6,C507-1)</f>
        <v>46966</v>
      </c>
      <c r="E507" s="11" t="n">
        <f aca="false">IF(AND(C507&gt;=Staffing!$F$14,C507&lt;=Staffing!$G$14,1=1),IF(C507&lt;=6,Staffing!$H$14,IF(C507&lt;=15,Staffing!$I$14,IF(C507&lt;=30,Staffing!$J$14,Staffing!$K$14))),0)</f>
        <v>0.5</v>
      </c>
      <c r="F507" s="10" t="n">
        <f aca="false">E507*Staffing!$L$14/12*(1+Assumptions!$C$10)^INT((C507-1)/12)*1</f>
        <v>3862.5</v>
      </c>
      <c r="G507" s="10" t="n">
        <f aca="false">F507*Staffing!$N$14</f>
        <v>1545</v>
      </c>
      <c r="H507" s="10" t="n">
        <f aca="false">F507+G507</f>
        <v>5407.5</v>
      </c>
      <c r="I507" s="10" t="n">
        <f aca="false">0</f>
        <v>0</v>
      </c>
      <c r="J507" s="10" t="n">
        <f aca="false">MAX(0,E507-E506)*Staffing!$O$14</f>
        <v>0</v>
      </c>
      <c r="K507" s="10" t="n">
        <f aca="false">MAX(0,E507-E506)*Staffing!$P$14</f>
        <v>0</v>
      </c>
      <c r="L507" s="23" t="n">
        <f aca="false">ROUNDUP(E507,0)</f>
        <v>1</v>
      </c>
    </row>
    <row r="508" customFormat="false" ht="15" hidden="false" customHeight="false" outlineLevel="0" collapsed="false">
      <c r="A508" s="6" t="s">
        <v>72</v>
      </c>
      <c r="B508" s="6" t="s">
        <v>345</v>
      </c>
      <c r="C508" s="6" t="n">
        <v>23</v>
      </c>
      <c r="D508" s="25" t="n">
        <f aca="false">EDATE('Start Here'!$B$6,C508-1)</f>
        <v>46997</v>
      </c>
      <c r="E508" s="11" t="n">
        <f aca="false">IF(AND(C508&gt;=Staffing!$F$14,C508&lt;=Staffing!$G$14,1=1),IF(C508&lt;=6,Staffing!$H$14,IF(C508&lt;=15,Staffing!$I$14,IF(C508&lt;=30,Staffing!$J$14,Staffing!$K$14))),0)</f>
        <v>0.5</v>
      </c>
      <c r="F508" s="10" t="n">
        <f aca="false">E508*Staffing!$L$14/12*(1+Assumptions!$C$10)^INT((C508-1)/12)*1</f>
        <v>3862.5</v>
      </c>
      <c r="G508" s="10" t="n">
        <f aca="false">F508*Staffing!$N$14</f>
        <v>1545</v>
      </c>
      <c r="H508" s="10" t="n">
        <f aca="false">F508+G508</f>
        <v>5407.5</v>
      </c>
      <c r="I508" s="10" t="n">
        <f aca="false">0</f>
        <v>0</v>
      </c>
      <c r="J508" s="10" t="n">
        <f aca="false">MAX(0,E508-E507)*Staffing!$O$14</f>
        <v>0</v>
      </c>
      <c r="K508" s="10" t="n">
        <f aca="false">MAX(0,E508-E507)*Staffing!$P$14</f>
        <v>0</v>
      </c>
      <c r="L508" s="23" t="n">
        <f aca="false">ROUNDUP(E508,0)</f>
        <v>1</v>
      </c>
    </row>
    <row r="509" customFormat="false" ht="15" hidden="false" customHeight="false" outlineLevel="0" collapsed="false">
      <c r="A509" s="6" t="s">
        <v>72</v>
      </c>
      <c r="B509" s="6" t="s">
        <v>345</v>
      </c>
      <c r="C509" s="6" t="n">
        <v>24</v>
      </c>
      <c r="D509" s="25" t="n">
        <f aca="false">EDATE('Start Here'!$B$6,C509-1)</f>
        <v>47027</v>
      </c>
      <c r="E509" s="11" t="n">
        <f aca="false">IF(AND(C509&gt;=Staffing!$F$14,C509&lt;=Staffing!$G$14,1=1),IF(C509&lt;=6,Staffing!$H$14,IF(C509&lt;=15,Staffing!$I$14,IF(C509&lt;=30,Staffing!$J$14,Staffing!$K$14))),0)</f>
        <v>0.5</v>
      </c>
      <c r="F509" s="10" t="n">
        <f aca="false">E509*Staffing!$L$14/12*(1+Assumptions!$C$10)^INT((C509-1)/12)*1</f>
        <v>3862.5</v>
      </c>
      <c r="G509" s="10" t="n">
        <f aca="false">F509*Staffing!$N$14</f>
        <v>1545</v>
      </c>
      <c r="H509" s="10" t="n">
        <f aca="false">F509+G509</f>
        <v>5407.5</v>
      </c>
      <c r="I509" s="10" t="n">
        <f aca="false">0</f>
        <v>0</v>
      </c>
      <c r="J509" s="10" t="n">
        <f aca="false">MAX(0,E509-E508)*Staffing!$O$14</f>
        <v>0</v>
      </c>
      <c r="K509" s="10" t="n">
        <f aca="false">MAX(0,E509-E508)*Staffing!$P$14</f>
        <v>0</v>
      </c>
      <c r="L509" s="23" t="n">
        <f aca="false">ROUNDUP(E509,0)</f>
        <v>1</v>
      </c>
    </row>
    <row r="510" customFormat="false" ht="15" hidden="false" customHeight="false" outlineLevel="0" collapsed="false">
      <c r="A510" s="6" t="s">
        <v>72</v>
      </c>
      <c r="B510" s="6" t="s">
        <v>345</v>
      </c>
      <c r="C510" s="6" t="n">
        <v>25</v>
      </c>
      <c r="D510" s="25" t="n">
        <f aca="false">EDATE('Start Here'!$B$6,C510-1)</f>
        <v>47058</v>
      </c>
      <c r="E510" s="11" t="n">
        <f aca="false">IF(AND(C510&gt;=Staffing!$F$14,C510&lt;=Staffing!$G$14,1=1),IF(C510&lt;=6,Staffing!$H$14,IF(C510&lt;=15,Staffing!$I$14,IF(C510&lt;=30,Staffing!$J$14,Staffing!$K$14))),0)</f>
        <v>0.5</v>
      </c>
      <c r="F510" s="10" t="n">
        <f aca="false">E510*Staffing!$L$14/12*(1+Assumptions!$C$10)^INT((C510-1)/12)*1</f>
        <v>3978.375</v>
      </c>
      <c r="G510" s="10" t="n">
        <f aca="false">F510*Staffing!$N$14</f>
        <v>1591.35</v>
      </c>
      <c r="H510" s="10" t="n">
        <f aca="false">F510+G510</f>
        <v>5569.725</v>
      </c>
      <c r="I510" s="10" t="n">
        <f aca="false">0</f>
        <v>0</v>
      </c>
      <c r="J510" s="10" t="n">
        <f aca="false">MAX(0,E510-E509)*Staffing!$O$14</f>
        <v>0</v>
      </c>
      <c r="K510" s="10" t="n">
        <f aca="false">MAX(0,E510-E509)*Staffing!$P$14</f>
        <v>0</v>
      </c>
      <c r="L510" s="23" t="n">
        <f aca="false">ROUNDUP(E510,0)</f>
        <v>1</v>
      </c>
    </row>
    <row r="511" customFormat="false" ht="15" hidden="false" customHeight="false" outlineLevel="0" collapsed="false">
      <c r="A511" s="6" t="s">
        <v>72</v>
      </c>
      <c r="B511" s="6" t="s">
        <v>345</v>
      </c>
      <c r="C511" s="6" t="n">
        <v>26</v>
      </c>
      <c r="D511" s="25" t="n">
        <f aca="false">EDATE('Start Here'!$B$6,C511-1)</f>
        <v>47088</v>
      </c>
      <c r="E511" s="11" t="n">
        <f aca="false">IF(AND(C511&gt;=Staffing!$F$14,C511&lt;=Staffing!$G$14,1=1),IF(C511&lt;=6,Staffing!$H$14,IF(C511&lt;=15,Staffing!$I$14,IF(C511&lt;=30,Staffing!$J$14,Staffing!$K$14))),0)</f>
        <v>0.5</v>
      </c>
      <c r="F511" s="10" t="n">
        <f aca="false">E511*Staffing!$L$14/12*(1+Assumptions!$C$10)^INT((C511-1)/12)*1</f>
        <v>3978.375</v>
      </c>
      <c r="G511" s="10" t="n">
        <f aca="false">F511*Staffing!$N$14</f>
        <v>1591.35</v>
      </c>
      <c r="H511" s="10" t="n">
        <f aca="false">F511+G511</f>
        <v>5569.725</v>
      </c>
      <c r="I511" s="10" t="n">
        <f aca="false">0</f>
        <v>0</v>
      </c>
      <c r="J511" s="10" t="n">
        <f aca="false">MAX(0,E511-E510)*Staffing!$O$14</f>
        <v>0</v>
      </c>
      <c r="K511" s="10" t="n">
        <f aca="false">MAX(0,E511-E510)*Staffing!$P$14</f>
        <v>0</v>
      </c>
      <c r="L511" s="23" t="n">
        <f aca="false">ROUNDUP(E511,0)</f>
        <v>1</v>
      </c>
    </row>
    <row r="512" customFormat="false" ht="15" hidden="false" customHeight="false" outlineLevel="0" collapsed="false">
      <c r="A512" s="6" t="s">
        <v>72</v>
      </c>
      <c r="B512" s="6" t="s">
        <v>345</v>
      </c>
      <c r="C512" s="6" t="n">
        <v>27</v>
      </c>
      <c r="D512" s="25" t="n">
        <f aca="false">EDATE('Start Here'!$B$6,C512-1)</f>
        <v>47119</v>
      </c>
      <c r="E512" s="11" t="n">
        <f aca="false">IF(AND(C512&gt;=Staffing!$F$14,C512&lt;=Staffing!$G$14,1=1),IF(C512&lt;=6,Staffing!$H$14,IF(C512&lt;=15,Staffing!$I$14,IF(C512&lt;=30,Staffing!$J$14,Staffing!$K$14))),0)</f>
        <v>0.5</v>
      </c>
      <c r="F512" s="10" t="n">
        <f aca="false">E512*Staffing!$L$14/12*(1+Assumptions!$C$10)^INT((C512-1)/12)*1</f>
        <v>3978.375</v>
      </c>
      <c r="G512" s="10" t="n">
        <f aca="false">F512*Staffing!$N$14</f>
        <v>1591.35</v>
      </c>
      <c r="H512" s="10" t="n">
        <f aca="false">F512+G512</f>
        <v>5569.725</v>
      </c>
      <c r="I512" s="10" t="n">
        <f aca="false">0</f>
        <v>0</v>
      </c>
      <c r="J512" s="10" t="n">
        <f aca="false">MAX(0,E512-E511)*Staffing!$O$14</f>
        <v>0</v>
      </c>
      <c r="K512" s="10" t="n">
        <f aca="false">MAX(0,E512-E511)*Staffing!$P$14</f>
        <v>0</v>
      </c>
      <c r="L512" s="23" t="n">
        <f aca="false">ROUNDUP(E512,0)</f>
        <v>1</v>
      </c>
    </row>
    <row r="513" customFormat="false" ht="15" hidden="false" customHeight="false" outlineLevel="0" collapsed="false">
      <c r="A513" s="6" t="s">
        <v>72</v>
      </c>
      <c r="B513" s="6" t="s">
        <v>345</v>
      </c>
      <c r="C513" s="6" t="n">
        <v>28</v>
      </c>
      <c r="D513" s="25" t="n">
        <f aca="false">EDATE('Start Here'!$B$6,C513-1)</f>
        <v>47150</v>
      </c>
      <c r="E513" s="11" t="n">
        <f aca="false">IF(AND(C513&gt;=Staffing!$F$14,C513&lt;=Staffing!$G$14,1=1),IF(C513&lt;=6,Staffing!$H$14,IF(C513&lt;=15,Staffing!$I$14,IF(C513&lt;=30,Staffing!$J$14,Staffing!$K$14))),0)</f>
        <v>0.5</v>
      </c>
      <c r="F513" s="10" t="n">
        <f aca="false">E513*Staffing!$L$14/12*(1+Assumptions!$C$10)^INT((C513-1)/12)*1</f>
        <v>3978.375</v>
      </c>
      <c r="G513" s="10" t="n">
        <f aca="false">F513*Staffing!$N$14</f>
        <v>1591.35</v>
      </c>
      <c r="H513" s="10" t="n">
        <f aca="false">F513+G513</f>
        <v>5569.725</v>
      </c>
      <c r="I513" s="10" t="n">
        <f aca="false">0</f>
        <v>0</v>
      </c>
      <c r="J513" s="10" t="n">
        <f aca="false">MAX(0,E513-E512)*Staffing!$O$14</f>
        <v>0</v>
      </c>
      <c r="K513" s="10" t="n">
        <f aca="false">MAX(0,E513-E512)*Staffing!$P$14</f>
        <v>0</v>
      </c>
      <c r="L513" s="23" t="n">
        <f aca="false">ROUNDUP(E513,0)</f>
        <v>1</v>
      </c>
    </row>
    <row r="514" customFormat="false" ht="15" hidden="false" customHeight="false" outlineLevel="0" collapsed="false">
      <c r="A514" s="6" t="s">
        <v>72</v>
      </c>
      <c r="B514" s="6" t="s">
        <v>345</v>
      </c>
      <c r="C514" s="6" t="n">
        <v>29</v>
      </c>
      <c r="D514" s="25" t="n">
        <f aca="false">EDATE('Start Here'!$B$6,C514-1)</f>
        <v>47178</v>
      </c>
      <c r="E514" s="11" t="n">
        <f aca="false">IF(AND(C514&gt;=Staffing!$F$14,C514&lt;=Staffing!$G$14,1=1),IF(C514&lt;=6,Staffing!$H$14,IF(C514&lt;=15,Staffing!$I$14,IF(C514&lt;=30,Staffing!$J$14,Staffing!$K$14))),0)</f>
        <v>0.5</v>
      </c>
      <c r="F514" s="10" t="n">
        <f aca="false">E514*Staffing!$L$14/12*(1+Assumptions!$C$10)^INT((C514-1)/12)*1</f>
        <v>3978.375</v>
      </c>
      <c r="G514" s="10" t="n">
        <f aca="false">F514*Staffing!$N$14</f>
        <v>1591.35</v>
      </c>
      <c r="H514" s="10" t="n">
        <f aca="false">F514+G514</f>
        <v>5569.725</v>
      </c>
      <c r="I514" s="10" t="n">
        <f aca="false">0</f>
        <v>0</v>
      </c>
      <c r="J514" s="10" t="n">
        <f aca="false">MAX(0,E514-E513)*Staffing!$O$14</f>
        <v>0</v>
      </c>
      <c r="K514" s="10" t="n">
        <f aca="false">MAX(0,E514-E513)*Staffing!$P$14</f>
        <v>0</v>
      </c>
      <c r="L514" s="23" t="n">
        <f aca="false">ROUNDUP(E514,0)</f>
        <v>1</v>
      </c>
    </row>
    <row r="515" customFormat="false" ht="15" hidden="false" customHeight="false" outlineLevel="0" collapsed="false">
      <c r="A515" s="6" t="s">
        <v>72</v>
      </c>
      <c r="B515" s="6" t="s">
        <v>345</v>
      </c>
      <c r="C515" s="6" t="n">
        <v>30</v>
      </c>
      <c r="D515" s="25" t="n">
        <f aca="false">EDATE('Start Here'!$B$6,C515-1)</f>
        <v>47209</v>
      </c>
      <c r="E515" s="11" t="n">
        <f aca="false">IF(AND(C515&gt;=Staffing!$F$14,C515&lt;=Staffing!$G$14,1=1),IF(C515&lt;=6,Staffing!$H$14,IF(C515&lt;=15,Staffing!$I$14,IF(C515&lt;=30,Staffing!$J$14,Staffing!$K$14))),0)</f>
        <v>0.5</v>
      </c>
      <c r="F515" s="10" t="n">
        <f aca="false">E515*Staffing!$L$14/12*(1+Assumptions!$C$10)^INT((C515-1)/12)*1</f>
        <v>3978.375</v>
      </c>
      <c r="G515" s="10" t="n">
        <f aca="false">F515*Staffing!$N$14</f>
        <v>1591.35</v>
      </c>
      <c r="H515" s="10" t="n">
        <f aca="false">F515+G515</f>
        <v>5569.725</v>
      </c>
      <c r="I515" s="10" t="n">
        <f aca="false">0</f>
        <v>0</v>
      </c>
      <c r="J515" s="10" t="n">
        <f aca="false">MAX(0,E515-E514)*Staffing!$O$14</f>
        <v>0</v>
      </c>
      <c r="K515" s="10" t="n">
        <f aca="false">MAX(0,E515-E514)*Staffing!$P$14</f>
        <v>0</v>
      </c>
      <c r="L515" s="23" t="n">
        <f aca="false">ROUNDUP(E515,0)</f>
        <v>1</v>
      </c>
    </row>
    <row r="516" customFormat="false" ht="15" hidden="false" customHeight="false" outlineLevel="0" collapsed="false">
      <c r="A516" s="6" t="s">
        <v>72</v>
      </c>
      <c r="B516" s="6" t="s">
        <v>345</v>
      </c>
      <c r="C516" s="6" t="n">
        <v>31</v>
      </c>
      <c r="D516" s="25" t="n">
        <f aca="false">EDATE('Start Here'!$B$6,C516-1)</f>
        <v>47239</v>
      </c>
      <c r="E516" s="11" t="n">
        <f aca="false">IF(AND(C516&gt;=Staffing!$F$14,C516&lt;=Staffing!$G$14,1=1),IF(C516&lt;=6,Staffing!$H$14,IF(C516&lt;=15,Staffing!$I$14,IF(C516&lt;=30,Staffing!$J$14,Staffing!$K$14))),0)</f>
        <v>1</v>
      </c>
      <c r="F516" s="10" t="n">
        <f aca="false">E516*Staffing!$L$14/12*(1+Assumptions!$C$10)^INT((C516-1)/12)*1</f>
        <v>7956.75</v>
      </c>
      <c r="G516" s="10" t="n">
        <f aca="false">F516*Staffing!$N$14</f>
        <v>3182.7</v>
      </c>
      <c r="H516" s="10" t="n">
        <f aca="false">F516+G516</f>
        <v>11139.45</v>
      </c>
      <c r="I516" s="10" t="n">
        <f aca="false">0</f>
        <v>0</v>
      </c>
      <c r="J516" s="10" t="n">
        <f aca="false">MAX(0,E516-E515)*Staffing!$O$14</f>
        <v>2500</v>
      </c>
      <c r="K516" s="10" t="n">
        <f aca="false">MAX(0,E516-E515)*Staffing!$P$14</f>
        <v>1250</v>
      </c>
      <c r="L516" s="23" t="n">
        <f aca="false">ROUNDUP(E516,0)</f>
        <v>1</v>
      </c>
    </row>
    <row r="517" customFormat="false" ht="15" hidden="false" customHeight="false" outlineLevel="0" collapsed="false">
      <c r="A517" s="6" t="s">
        <v>72</v>
      </c>
      <c r="B517" s="6" t="s">
        <v>345</v>
      </c>
      <c r="C517" s="6" t="n">
        <v>32</v>
      </c>
      <c r="D517" s="25" t="n">
        <f aca="false">EDATE('Start Here'!$B$6,C517-1)</f>
        <v>47270</v>
      </c>
      <c r="E517" s="11" t="n">
        <f aca="false">IF(AND(C517&gt;=Staffing!$F$14,C517&lt;=Staffing!$G$14,1=1),IF(C517&lt;=6,Staffing!$H$14,IF(C517&lt;=15,Staffing!$I$14,IF(C517&lt;=30,Staffing!$J$14,Staffing!$K$14))),0)</f>
        <v>1</v>
      </c>
      <c r="F517" s="10" t="n">
        <f aca="false">E517*Staffing!$L$14/12*(1+Assumptions!$C$10)^INT((C517-1)/12)*1</f>
        <v>7956.75</v>
      </c>
      <c r="G517" s="10" t="n">
        <f aca="false">F517*Staffing!$N$14</f>
        <v>3182.7</v>
      </c>
      <c r="H517" s="10" t="n">
        <f aca="false">F517+G517</f>
        <v>11139.45</v>
      </c>
      <c r="I517" s="10" t="n">
        <f aca="false">0</f>
        <v>0</v>
      </c>
      <c r="J517" s="10" t="n">
        <f aca="false">MAX(0,E517-E516)*Staffing!$O$14</f>
        <v>0</v>
      </c>
      <c r="K517" s="10" t="n">
        <f aca="false">MAX(0,E517-E516)*Staffing!$P$14</f>
        <v>0</v>
      </c>
      <c r="L517" s="23" t="n">
        <f aca="false">ROUNDUP(E517,0)</f>
        <v>1</v>
      </c>
    </row>
    <row r="518" customFormat="false" ht="15" hidden="false" customHeight="false" outlineLevel="0" collapsed="false">
      <c r="A518" s="6" t="s">
        <v>72</v>
      </c>
      <c r="B518" s="6" t="s">
        <v>345</v>
      </c>
      <c r="C518" s="6" t="n">
        <v>33</v>
      </c>
      <c r="D518" s="25" t="n">
        <f aca="false">EDATE('Start Here'!$B$6,C518-1)</f>
        <v>47300</v>
      </c>
      <c r="E518" s="11" t="n">
        <f aca="false">IF(AND(C518&gt;=Staffing!$F$14,C518&lt;=Staffing!$G$14,1=1),IF(C518&lt;=6,Staffing!$H$14,IF(C518&lt;=15,Staffing!$I$14,IF(C518&lt;=30,Staffing!$J$14,Staffing!$K$14))),0)</f>
        <v>1</v>
      </c>
      <c r="F518" s="10" t="n">
        <f aca="false">E518*Staffing!$L$14/12*(1+Assumptions!$C$10)^INT((C518-1)/12)*1</f>
        <v>7956.75</v>
      </c>
      <c r="G518" s="10" t="n">
        <f aca="false">F518*Staffing!$N$14</f>
        <v>3182.7</v>
      </c>
      <c r="H518" s="10" t="n">
        <f aca="false">F518+G518</f>
        <v>11139.45</v>
      </c>
      <c r="I518" s="10" t="n">
        <f aca="false">0</f>
        <v>0</v>
      </c>
      <c r="J518" s="10" t="n">
        <f aca="false">MAX(0,E518-E517)*Staffing!$O$14</f>
        <v>0</v>
      </c>
      <c r="K518" s="10" t="n">
        <f aca="false">MAX(0,E518-E517)*Staffing!$P$14</f>
        <v>0</v>
      </c>
      <c r="L518" s="23" t="n">
        <f aca="false">ROUNDUP(E518,0)</f>
        <v>1</v>
      </c>
    </row>
    <row r="519" customFormat="false" ht="15" hidden="false" customHeight="false" outlineLevel="0" collapsed="false">
      <c r="A519" s="6" t="s">
        <v>72</v>
      </c>
      <c r="B519" s="6" t="s">
        <v>345</v>
      </c>
      <c r="C519" s="6" t="n">
        <v>34</v>
      </c>
      <c r="D519" s="25" t="n">
        <f aca="false">EDATE('Start Here'!$B$6,C519-1)</f>
        <v>47331</v>
      </c>
      <c r="E519" s="11" t="n">
        <f aca="false">IF(AND(C519&gt;=Staffing!$F$14,C519&lt;=Staffing!$G$14,1=1),IF(C519&lt;=6,Staffing!$H$14,IF(C519&lt;=15,Staffing!$I$14,IF(C519&lt;=30,Staffing!$J$14,Staffing!$K$14))),0)</f>
        <v>1</v>
      </c>
      <c r="F519" s="10" t="n">
        <f aca="false">E519*Staffing!$L$14/12*(1+Assumptions!$C$10)^INT((C519-1)/12)*1</f>
        <v>7956.75</v>
      </c>
      <c r="G519" s="10" t="n">
        <f aca="false">F519*Staffing!$N$14</f>
        <v>3182.7</v>
      </c>
      <c r="H519" s="10" t="n">
        <f aca="false">F519+G519</f>
        <v>11139.45</v>
      </c>
      <c r="I519" s="10" t="n">
        <f aca="false">0</f>
        <v>0</v>
      </c>
      <c r="J519" s="10" t="n">
        <f aca="false">MAX(0,E519-E518)*Staffing!$O$14</f>
        <v>0</v>
      </c>
      <c r="K519" s="10" t="n">
        <f aca="false">MAX(0,E519-E518)*Staffing!$P$14</f>
        <v>0</v>
      </c>
      <c r="L519" s="23" t="n">
        <f aca="false">ROUNDUP(E519,0)</f>
        <v>1</v>
      </c>
    </row>
    <row r="520" customFormat="false" ht="15" hidden="false" customHeight="false" outlineLevel="0" collapsed="false">
      <c r="A520" s="6" t="s">
        <v>72</v>
      </c>
      <c r="B520" s="6" t="s">
        <v>345</v>
      </c>
      <c r="C520" s="6" t="n">
        <v>35</v>
      </c>
      <c r="D520" s="25" t="n">
        <f aca="false">EDATE('Start Here'!$B$6,C520-1)</f>
        <v>47362</v>
      </c>
      <c r="E520" s="11" t="n">
        <f aca="false">IF(AND(C520&gt;=Staffing!$F$14,C520&lt;=Staffing!$G$14,1=1),IF(C520&lt;=6,Staffing!$H$14,IF(C520&lt;=15,Staffing!$I$14,IF(C520&lt;=30,Staffing!$J$14,Staffing!$K$14))),0)</f>
        <v>1</v>
      </c>
      <c r="F520" s="10" t="n">
        <f aca="false">E520*Staffing!$L$14/12*(1+Assumptions!$C$10)^INT((C520-1)/12)*1</f>
        <v>7956.75</v>
      </c>
      <c r="G520" s="10" t="n">
        <f aca="false">F520*Staffing!$N$14</f>
        <v>3182.7</v>
      </c>
      <c r="H520" s="10" t="n">
        <f aca="false">F520+G520</f>
        <v>11139.45</v>
      </c>
      <c r="I520" s="10" t="n">
        <f aca="false">0</f>
        <v>0</v>
      </c>
      <c r="J520" s="10" t="n">
        <f aca="false">MAX(0,E520-E519)*Staffing!$O$14</f>
        <v>0</v>
      </c>
      <c r="K520" s="10" t="n">
        <f aca="false">MAX(0,E520-E519)*Staffing!$P$14</f>
        <v>0</v>
      </c>
      <c r="L520" s="23" t="n">
        <f aca="false">ROUNDUP(E520,0)</f>
        <v>1</v>
      </c>
    </row>
    <row r="521" customFormat="false" ht="15" hidden="false" customHeight="false" outlineLevel="0" collapsed="false">
      <c r="A521" s="6" t="s">
        <v>72</v>
      </c>
      <c r="B521" s="6" t="s">
        <v>345</v>
      </c>
      <c r="C521" s="6" t="n">
        <v>36</v>
      </c>
      <c r="D521" s="25" t="n">
        <f aca="false">EDATE('Start Here'!$B$6,C521-1)</f>
        <v>47392</v>
      </c>
      <c r="E521" s="11" t="n">
        <f aca="false">IF(AND(C521&gt;=Staffing!$F$14,C521&lt;=Staffing!$G$14,1=1),IF(C521&lt;=6,Staffing!$H$14,IF(C521&lt;=15,Staffing!$I$14,IF(C521&lt;=30,Staffing!$J$14,Staffing!$K$14))),0)</f>
        <v>1</v>
      </c>
      <c r="F521" s="10" t="n">
        <f aca="false">E521*Staffing!$L$14/12*(1+Assumptions!$C$10)^INT((C521-1)/12)*1</f>
        <v>7956.75</v>
      </c>
      <c r="G521" s="10" t="n">
        <f aca="false">F521*Staffing!$N$14</f>
        <v>3182.7</v>
      </c>
      <c r="H521" s="10" t="n">
        <f aca="false">F521+G521</f>
        <v>11139.45</v>
      </c>
      <c r="I521" s="10" t="n">
        <f aca="false">0</f>
        <v>0</v>
      </c>
      <c r="J521" s="10" t="n">
        <f aca="false">MAX(0,E521-E520)*Staffing!$O$14</f>
        <v>0</v>
      </c>
      <c r="K521" s="10" t="n">
        <f aca="false">MAX(0,E521-E520)*Staffing!$P$14</f>
        <v>0</v>
      </c>
      <c r="L521" s="23" t="n">
        <f aca="false">ROUNDUP(E521,0)</f>
        <v>1</v>
      </c>
    </row>
    <row r="522" customFormat="false" ht="15" hidden="false" customHeight="false" outlineLevel="0" collapsed="false">
      <c r="A522" s="6" t="s">
        <v>72</v>
      </c>
      <c r="B522" s="6" t="s">
        <v>345</v>
      </c>
      <c r="C522" s="6" t="n">
        <v>37</v>
      </c>
      <c r="D522" s="25" t="n">
        <f aca="false">EDATE('Start Here'!$B$6,C522-1)</f>
        <v>47423</v>
      </c>
      <c r="E522" s="11" t="n">
        <f aca="false">IF(AND(C522&gt;=Staffing!$F$14,C522&lt;=Staffing!$G$14,1=1),IF(C522&lt;=6,Staffing!$H$14,IF(C522&lt;=15,Staffing!$I$14,IF(C522&lt;=30,Staffing!$J$14,Staffing!$K$14))),0)</f>
        <v>1</v>
      </c>
      <c r="F522" s="10" t="n">
        <f aca="false">E522*Staffing!$L$14/12*(1+Assumptions!$C$10)^INT((C522-1)/12)*1</f>
        <v>8195.4525</v>
      </c>
      <c r="G522" s="10" t="n">
        <f aca="false">F522*Staffing!$N$14</f>
        <v>3278.181</v>
      </c>
      <c r="H522" s="10" t="n">
        <f aca="false">F522+G522</f>
        <v>11473.6335</v>
      </c>
      <c r="I522" s="10" t="n">
        <f aca="false">0</f>
        <v>0</v>
      </c>
      <c r="J522" s="10" t="n">
        <f aca="false">MAX(0,E522-E521)*Staffing!$O$14</f>
        <v>0</v>
      </c>
      <c r="K522" s="10" t="n">
        <f aca="false">MAX(0,E522-E521)*Staffing!$P$14</f>
        <v>0</v>
      </c>
      <c r="L522" s="23" t="n">
        <f aca="false">ROUNDUP(E522,0)</f>
        <v>1</v>
      </c>
    </row>
    <row r="523" customFormat="false" ht="15" hidden="false" customHeight="false" outlineLevel="0" collapsed="false">
      <c r="A523" s="6" t="s">
        <v>72</v>
      </c>
      <c r="B523" s="6" t="s">
        <v>345</v>
      </c>
      <c r="C523" s="6" t="n">
        <v>38</v>
      </c>
      <c r="D523" s="25" t="n">
        <f aca="false">EDATE('Start Here'!$B$6,C523-1)</f>
        <v>47453</v>
      </c>
      <c r="E523" s="11" t="n">
        <f aca="false">IF(AND(C523&gt;=Staffing!$F$14,C523&lt;=Staffing!$G$14,1=1),IF(C523&lt;=6,Staffing!$H$14,IF(C523&lt;=15,Staffing!$I$14,IF(C523&lt;=30,Staffing!$J$14,Staffing!$K$14))),0)</f>
        <v>1</v>
      </c>
      <c r="F523" s="10" t="n">
        <f aca="false">E523*Staffing!$L$14/12*(1+Assumptions!$C$10)^INT((C523-1)/12)*1</f>
        <v>8195.4525</v>
      </c>
      <c r="G523" s="10" t="n">
        <f aca="false">F523*Staffing!$N$14</f>
        <v>3278.181</v>
      </c>
      <c r="H523" s="10" t="n">
        <f aca="false">F523+G523</f>
        <v>11473.6335</v>
      </c>
      <c r="I523" s="10" t="n">
        <f aca="false">0</f>
        <v>0</v>
      </c>
      <c r="J523" s="10" t="n">
        <f aca="false">MAX(0,E523-E522)*Staffing!$O$14</f>
        <v>0</v>
      </c>
      <c r="K523" s="10" t="n">
        <f aca="false">MAX(0,E523-E522)*Staffing!$P$14</f>
        <v>0</v>
      </c>
      <c r="L523" s="23" t="n">
        <f aca="false">ROUNDUP(E523,0)</f>
        <v>1</v>
      </c>
    </row>
    <row r="524" customFormat="false" ht="15" hidden="false" customHeight="false" outlineLevel="0" collapsed="false">
      <c r="A524" s="6" t="s">
        <v>72</v>
      </c>
      <c r="B524" s="6" t="s">
        <v>345</v>
      </c>
      <c r="C524" s="6" t="n">
        <v>39</v>
      </c>
      <c r="D524" s="25" t="n">
        <f aca="false">EDATE('Start Here'!$B$6,C524-1)</f>
        <v>47484</v>
      </c>
      <c r="E524" s="11" t="n">
        <f aca="false">IF(AND(C524&gt;=Staffing!$F$14,C524&lt;=Staffing!$G$14,1=1),IF(C524&lt;=6,Staffing!$H$14,IF(C524&lt;=15,Staffing!$I$14,IF(C524&lt;=30,Staffing!$J$14,Staffing!$K$14))),0)</f>
        <v>1</v>
      </c>
      <c r="F524" s="10" t="n">
        <f aca="false">E524*Staffing!$L$14/12*(1+Assumptions!$C$10)^INT((C524-1)/12)*1</f>
        <v>8195.4525</v>
      </c>
      <c r="G524" s="10" t="n">
        <f aca="false">F524*Staffing!$N$14</f>
        <v>3278.181</v>
      </c>
      <c r="H524" s="10" t="n">
        <f aca="false">F524+G524</f>
        <v>11473.6335</v>
      </c>
      <c r="I524" s="10" t="n">
        <f aca="false">0</f>
        <v>0</v>
      </c>
      <c r="J524" s="10" t="n">
        <f aca="false">MAX(0,E524-E523)*Staffing!$O$14</f>
        <v>0</v>
      </c>
      <c r="K524" s="10" t="n">
        <f aca="false">MAX(0,E524-E523)*Staffing!$P$14</f>
        <v>0</v>
      </c>
      <c r="L524" s="23" t="n">
        <f aca="false">ROUNDUP(E524,0)</f>
        <v>1</v>
      </c>
    </row>
    <row r="525" customFormat="false" ht="15" hidden="false" customHeight="false" outlineLevel="0" collapsed="false">
      <c r="A525" s="6" t="s">
        <v>72</v>
      </c>
      <c r="B525" s="6" t="s">
        <v>345</v>
      </c>
      <c r="C525" s="6" t="n">
        <v>40</v>
      </c>
      <c r="D525" s="25" t="n">
        <f aca="false">EDATE('Start Here'!$B$6,C525-1)</f>
        <v>47515</v>
      </c>
      <c r="E525" s="11" t="n">
        <f aca="false">IF(AND(C525&gt;=Staffing!$F$14,C525&lt;=Staffing!$G$14,1=1),IF(C525&lt;=6,Staffing!$H$14,IF(C525&lt;=15,Staffing!$I$14,IF(C525&lt;=30,Staffing!$J$14,Staffing!$K$14))),0)</f>
        <v>1</v>
      </c>
      <c r="F525" s="10" t="n">
        <f aca="false">E525*Staffing!$L$14/12*(1+Assumptions!$C$10)^INT((C525-1)/12)*1</f>
        <v>8195.4525</v>
      </c>
      <c r="G525" s="10" t="n">
        <f aca="false">F525*Staffing!$N$14</f>
        <v>3278.181</v>
      </c>
      <c r="H525" s="10" t="n">
        <f aca="false">F525+G525</f>
        <v>11473.6335</v>
      </c>
      <c r="I525" s="10" t="n">
        <f aca="false">0</f>
        <v>0</v>
      </c>
      <c r="J525" s="10" t="n">
        <f aca="false">MAX(0,E525-E524)*Staffing!$O$14</f>
        <v>0</v>
      </c>
      <c r="K525" s="10" t="n">
        <f aca="false">MAX(0,E525-E524)*Staffing!$P$14</f>
        <v>0</v>
      </c>
      <c r="L525" s="23" t="n">
        <f aca="false">ROUNDUP(E525,0)</f>
        <v>1</v>
      </c>
    </row>
    <row r="526" customFormat="false" ht="15" hidden="false" customHeight="false" outlineLevel="0" collapsed="false">
      <c r="A526" s="6" t="s">
        <v>72</v>
      </c>
      <c r="B526" s="6" t="s">
        <v>345</v>
      </c>
      <c r="C526" s="6" t="n">
        <v>41</v>
      </c>
      <c r="D526" s="25" t="n">
        <f aca="false">EDATE('Start Here'!$B$6,C526-1)</f>
        <v>47543</v>
      </c>
      <c r="E526" s="11" t="n">
        <f aca="false">IF(AND(C526&gt;=Staffing!$F$14,C526&lt;=Staffing!$G$14,1=1),IF(C526&lt;=6,Staffing!$H$14,IF(C526&lt;=15,Staffing!$I$14,IF(C526&lt;=30,Staffing!$J$14,Staffing!$K$14))),0)</f>
        <v>1</v>
      </c>
      <c r="F526" s="10" t="n">
        <f aca="false">E526*Staffing!$L$14/12*(1+Assumptions!$C$10)^INT((C526-1)/12)*1</f>
        <v>8195.4525</v>
      </c>
      <c r="G526" s="10" t="n">
        <f aca="false">F526*Staffing!$N$14</f>
        <v>3278.181</v>
      </c>
      <c r="H526" s="10" t="n">
        <f aca="false">F526+G526</f>
        <v>11473.6335</v>
      </c>
      <c r="I526" s="10" t="n">
        <f aca="false">0</f>
        <v>0</v>
      </c>
      <c r="J526" s="10" t="n">
        <f aca="false">MAX(0,E526-E525)*Staffing!$O$14</f>
        <v>0</v>
      </c>
      <c r="K526" s="10" t="n">
        <f aca="false">MAX(0,E526-E525)*Staffing!$P$14</f>
        <v>0</v>
      </c>
      <c r="L526" s="23" t="n">
        <f aca="false">ROUNDUP(E526,0)</f>
        <v>1</v>
      </c>
    </row>
    <row r="527" customFormat="false" ht="15" hidden="false" customHeight="false" outlineLevel="0" collapsed="false">
      <c r="A527" s="6" t="s">
        <v>72</v>
      </c>
      <c r="B527" s="6" t="s">
        <v>345</v>
      </c>
      <c r="C527" s="6" t="n">
        <v>42</v>
      </c>
      <c r="D527" s="25" t="n">
        <f aca="false">EDATE('Start Here'!$B$6,C527-1)</f>
        <v>47574</v>
      </c>
      <c r="E527" s="11" t="n">
        <f aca="false">IF(AND(C527&gt;=Staffing!$F$14,C527&lt;=Staffing!$G$14,1=1),IF(C527&lt;=6,Staffing!$H$14,IF(C527&lt;=15,Staffing!$I$14,IF(C527&lt;=30,Staffing!$J$14,Staffing!$K$14))),0)</f>
        <v>1</v>
      </c>
      <c r="F527" s="10" t="n">
        <f aca="false">E527*Staffing!$L$14/12*(1+Assumptions!$C$10)^INT((C527-1)/12)*1</f>
        <v>8195.4525</v>
      </c>
      <c r="G527" s="10" t="n">
        <f aca="false">F527*Staffing!$N$14</f>
        <v>3278.181</v>
      </c>
      <c r="H527" s="10" t="n">
        <f aca="false">F527+G527</f>
        <v>11473.6335</v>
      </c>
      <c r="I527" s="10" t="n">
        <f aca="false">0</f>
        <v>0</v>
      </c>
      <c r="J527" s="10" t="n">
        <f aca="false">MAX(0,E527-E526)*Staffing!$O$14</f>
        <v>0</v>
      </c>
      <c r="K527" s="10" t="n">
        <f aca="false">MAX(0,E527-E526)*Staffing!$P$14</f>
        <v>0</v>
      </c>
      <c r="L527" s="23" t="n">
        <f aca="false">ROUNDUP(E527,0)</f>
        <v>1</v>
      </c>
    </row>
    <row r="528" customFormat="false" ht="15" hidden="false" customHeight="false" outlineLevel="0" collapsed="false">
      <c r="A528" s="6" t="s">
        <v>72</v>
      </c>
      <c r="B528" s="6" t="s">
        <v>345</v>
      </c>
      <c r="C528" s="6" t="n">
        <v>43</v>
      </c>
      <c r="D528" s="25" t="n">
        <f aca="false">EDATE('Start Here'!$B$6,C528-1)</f>
        <v>47604</v>
      </c>
      <c r="E528" s="11" t="n">
        <f aca="false">IF(AND(C528&gt;=Staffing!$F$14,C528&lt;=Staffing!$G$14,1=1),IF(C528&lt;=6,Staffing!$H$14,IF(C528&lt;=15,Staffing!$I$14,IF(C528&lt;=30,Staffing!$J$14,Staffing!$K$14))),0)</f>
        <v>1</v>
      </c>
      <c r="F528" s="10" t="n">
        <f aca="false">E528*Staffing!$L$14/12*(1+Assumptions!$C$10)^INT((C528-1)/12)*1</f>
        <v>8195.4525</v>
      </c>
      <c r="G528" s="10" t="n">
        <f aca="false">F528*Staffing!$N$14</f>
        <v>3278.181</v>
      </c>
      <c r="H528" s="10" t="n">
        <f aca="false">F528+G528</f>
        <v>11473.6335</v>
      </c>
      <c r="I528" s="10" t="n">
        <f aca="false">0</f>
        <v>0</v>
      </c>
      <c r="J528" s="10" t="n">
        <f aca="false">MAX(0,E528-E527)*Staffing!$O$14</f>
        <v>0</v>
      </c>
      <c r="K528" s="10" t="n">
        <f aca="false">MAX(0,E528-E527)*Staffing!$P$14</f>
        <v>0</v>
      </c>
      <c r="L528" s="23" t="n">
        <f aca="false">ROUNDUP(E528,0)</f>
        <v>1</v>
      </c>
    </row>
    <row r="529" customFormat="false" ht="15" hidden="false" customHeight="false" outlineLevel="0" collapsed="false">
      <c r="A529" s="6" t="s">
        <v>72</v>
      </c>
      <c r="B529" s="6" t="s">
        <v>345</v>
      </c>
      <c r="C529" s="6" t="n">
        <v>44</v>
      </c>
      <c r="D529" s="25" t="n">
        <f aca="false">EDATE('Start Here'!$B$6,C529-1)</f>
        <v>47635</v>
      </c>
      <c r="E529" s="11" t="n">
        <f aca="false">IF(AND(C529&gt;=Staffing!$F$14,C529&lt;=Staffing!$G$14,1=1),IF(C529&lt;=6,Staffing!$H$14,IF(C529&lt;=15,Staffing!$I$14,IF(C529&lt;=30,Staffing!$J$14,Staffing!$K$14))),0)</f>
        <v>1</v>
      </c>
      <c r="F529" s="10" t="n">
        <f aca="false">E529*Staffing!$L$14/12*(1+Assumptions!$C$10)^INT((C529-1)/12)*1</f>
        <v>8195.4525</v>
      </c>
      <c r="G529" s="10" t="n">
        <f aca="false">F529*Staffing!$N$14</f>
        <v>3278.181</v>
      </c>
      <c r="H529" s="10" t="n">
        <f aca="false">F529+G529</f>
        <v>11473.6335</v>
      </c>
      <c r="I529" s="10" t="n">
        <f aca="false">0</f>
        <v>0</v>
      </c>
      <c r="J529" s="10" t="n">
        <f aca="false">MAX(0,E529-E528)*Staffing!$O$14</f>
        <v>0</v>
      </c>
      <c r="K529" s="10" t="n">
        <f aca="false">MAX(0,E529-E528)*Staffing!$P$14</f>
        <v>0</v>
      </c>
      <c r="L529" s="23" t="n">
        <f aca="false">ROUNDUP(E529,0)</f>
        <v>1</v>
      </c>
    </row>
    <row r="530" customFormat="false" ht="15" hidden="false" customHeight="false" outlineLevel="0" collapsed="false">
      <c r="A530" s="6" t="s">
        <v>72</v>
      </c>
      <c r="B530" s="6" t="s">
        <v>345</v>
      </c>
      <c r="C530" s="6" t="n">
        <v>45</v>
      </c>
      <c r="D530" s="25" t="n">
        <f aca="false">EDATE('Start Here'!$B$6,C530-1)</f>
        <v>47665</v>
      </c>
      <c r="E530" s="11" t="n">
        <f aca="false">IF(AND(C530&gt;=Staffing!$F$14,C530&lt;=Staffing!$G$14,1=1),IF(C530&lt;=6,Staffing!$H$14,IF(C530&lt;=15,Staffing!$I$14,IF(C530&lt;=30,Staffing!$J$14,Staffing!$K$14))),0)</f>
        <v>1</v>
      </c>
      <c r="F530" s="10" t="n">
        <f aca="false">E530*Staffing!$L$14/12*(1+Assumptions!$C$10)^INT((C530-1)/12)*1</f>
        <v>8195.4525</v>
      </c>
      <c r="G530" s="10" t="n">
        <f aca="false">F530*Staffing!$N$14</f>
        <v>3278.181</v>
      </c>
      <c r="H530" s="10" t="n">
        <f aca="false">F530+G530</f>
        <v>11473.6335</v>
      </c>
      <c r="I530" s="10" t="n">
        <f aca="false">0</f>
        <v>0</v>
      </c>
      <c r="J530" s="10" t="n">
        <f aca="false">MAX(0,E530-E529)*Staffing!$O$14</f>
        <v>0</v>
      </c>
      <c r="K530" s="10" t="n">
        <f aca="false">MAX(0,E530-E529)*Staffing!$P$14</f>
        <v>0</v>
      </c>
      <c r="L530" s="23" t="n">
        <f aca="false">ROUNDUP(E530,0)</f>
        <v>1</v>
      </c>
    </row>
    <row r="531" customFormat="false" ht="15" hidden="false" customHeight="false" outlineLevel="0" collapsed="false">
      <c r="A531" s="6" t="s">
        <v>72</v>
      </c>
      <c r="B531" s="6" t="s">
        <v>345</v>
      </c>
      <c r="C531" s="6" t="n">
        <v>46</v>
      </c>
      <c r="D531" s="25" t="n">
        <f aca="false">EDATE('Start Here'!$B$6,C531-1)</f>
        <v>47696</v>
      </c>
      <c r="E531" s="11" t="n">
        <f aca="false">IF(AND(C531&gt;=Staffing!$F$14,C531&lt;=Staffing!$G$14,1=1),IF(C531&lt;=6,Staffing!$H$14,IF(C531&lt;=15,Staffing!$I$14,IF(C531&lt;=30,Staffing!$J$14,Staffing!$K$14))),0)</f>
        <v>1</v>
      </c>
      <c r="F531" s="10" t="n">
        <f aca="false">E531*Staffing!$L$14/12*(1+Assumptions!$C$10)^INT((C531-1)/12)*1</f>
        <v>8195.4525</v>
      </c>
      <c r="G531" s="10" t="n">
        <f aca="false">F531*Staffing!$N$14</f>
        <v>3278.181</v>
      </c>
      <c r="H531" s="10" t="n">
        <f aca="false">F531+G531</f>
        <v>11473.6335</v>
      </c>
      <c r="I531" s="10" t="n">
        <f aca="false">0</f>
        <v>0</v>
      </c>
      <c r="J531" s="10" t="n">
        <f aca="false">MAX(0,E531-E530)*Staffing!$O$14</f>
        <v>0</v>
      </c>
      <c r="K531" s="10" t="n">
        <f aca="false">MAX(0,E531-E530)*Staffing!$P$14</f>
        <v>0</v>
      </c>
      <c r="L531" s="23" t="n">
        <f aca="false">ROUNDUP(E531,0)</f>
        <v>1</v>
      </c>
    </row>
    <row r="532" customFormat="false" ht="15" hidden="false" customHeight="false" outlineLevel="0" collapsed="false">
      <c r="A532" s="6" t="s">
        <v>72</v>
      </c>
      <c r="B532" s="6" t="s">
        <v>345</v>
      </c>
      <c r="C532" s="6" t="n">
        <v>47</v>
      </c>
      <c r="D532" s="25" t="n">
        <f aca="false">EDATE('Start Here'!$B$6,C532-1)</f>
        <v>47727</v>
      </c>
      <c r="E532" s="11" t="n">
        <f aca="false">IF(AND(C532&gt;=Staffing!$F$14,C532&lt;=Staffing!$G$14,1=1),IF(C532&lt;=6,Staffing!$H$14,IF(C532&lt;=15,Staffing!$I$14,IF(C532&lt;=30,Staffing!$J$14,Staffing!$K$14))),0)</f>
        <v>1</v>
      </c>
      <c r="F532" s="10" t="n">
        <f aca="false">E532*Staffing!$L$14/12*(1+Assumptions!$C$10)^INT((C532-1)/12)*1</f>
        <v>8195.4525</v>
      </c>
      <c r="G532" s="10" t="n">
        <f aca="false">F532*Staffing!$N$14</f>
        <v>3278.181</v>
      </c>
      <c r="H532" s="10" t="n">
        <f aca="false">F532+G532</f>
        <v>11473.6335</v>
      </c>
      <c r="I532" s="10" t="n">
        <f aca="false">0</f>
        <v>0</v>
      </c>
      <c r="J532" s="10" t="n">
        <f aca="false">MAX(0,E532-E531)*Staffing!$O$14</f>
        <v>0</v>
      </c>
      <c r="K532" s="10" t="n">
        <f aca="false">MAX(0,E532-E531)*Staffing!$P$14</f>
        <v>0</v>
      </c>
      <c r="L532" s="23" t="n">
        <f aca="false">ROUNDUP(E532,0)</f>
        <v>1</v>
      </c>
    </row>
    <row r="533" customFormat="false" ht="15" hidden="false" customHeight="false" outlineLevel="0" collapsed="false">
      <c r="A533" s="6" t="s">
        <v>72</v>
      </c>
      <c r="B533" s="6" t="s">
        <v>345</v>
      </c>
      <c r="C533" s="6" t="n">
        <v>48</v>
      </c>
      <c r="D533" s="25" t="n">
        <f aca="false">EDATE('Start Here'!$B$6,C533-1)</f>
        <v>47757</v>
      </c>
      <c r="E533" s="11" t="n">
        <f aca="false">IF(AND(C533&gt;=Staffing!$F$14,C533&lt;=Staffing!$G$14,1=1),IF(C533&lt;=6,Staffing!$H$14,IF(C533&lt;=15,Staffing!$I$14,IF(C533&lt;=30,Staffing!$J$14,Staffing!$K$14))),0)</f>
        <v>1</v>
      </c>
      <c r="F533" s="10" t="n">
        <f aca="false">E533*Staffing!$L$14/12*(1+Assumptions!$C$10)^INT((C533-1)/12)*1</f>
        <v>8195.4525</v>
      </c>
      <c r="G533" s="10" t="n">
        <f aca="false">F533*Staffing!$N$14</f>
        <v>3278.181</v>
      </c>
      <c r="H533" s="10" t="n">
        <f aca="false">F533+G533</f>
        <v>11473.6335</v>
      </c>
      <c r="I533" s="10" t="n">
        <f aca="false">0</f>
        <v>0</v>
      </c>
      <c r="J533" s="10" t="n">
        <f aca="false">MAX(0,E533-E532)*Staffing!$O$14</f>
        <v>0</v>
      </c>
      <c r="K533" s="10" t="n">
        <f aca="false">MAX(0,E533-E532)*Staffing!$P$14</f>
        <v>0</v>
      </c>
      <c r="L533" s="23" t="n">
        <f aca="false">ROUNDUP(E533,0)</f>
        <v>1</v>
      </c>
    </row>
    <row r="534" customFormat="false" ht="15" hidden="false" customHeight="false" outlineLevel="0" collapsed="false">
      <c r="A534" s="6" t="s">
        <v>72</v>
      </c>
      <c r="B534" s="6" t="s">
        <v>345</v>
      </c>
      <c r="C534" s="6" t="n">
        <v>49</v>
      </c>
      <c r="D534" s="25" t="n">
        <f aca="false">EDATE('Start Here'!$B$6,C534-1)</f>
        <v>47788</v>
      </c>
      <c r="E534" s="11" t="n">
        <f aca="false">IF(AND(C534&gt;=Staffing!$F$14,C534&lt;=Staffing!$G$14,1=1),IF(C534&lt;=6,Staffing!$H$14,IF(C534&lt;=15,Staffing!$I$14,IF(C534&lt;=30,Staffing!$J$14,Staffing!$K$14))),0)</f>
        <v>1</v>
      </c>
      <c r="F534" s="10" t="n">
        <f aca="false">E534*Staffing!$L$14/12*(1+Assumptions!$C$10)^INT((C534-1)/12)*1</f>
        <v>8441.316075</v>
      </c>
      <c r="G534" s="10" t="n">
        <f aca="false">F534*Staffing!$N$14</f>
        <v>3376.52643</v>
      </c>
      <c r="H534" s="10" t="n">
        <f aca="false">F534+G534</f>
        <v>11817.842505</v>
      </c>
      <c r="I534" s="10" t="n">
        <f aca="false">0</f>
        <v>0</v>
      </c>
      <c r="J534" s="10" t="n">
        <f aca="false">MAX(0,E534-E533)*Staffing!$O$14</f>
        <v>0</v>
      </c>
      <c r="K534" s="10" t="n">
        <f aca="false">MAX(0,E534-E533)*Staffing!$P$14</f>
        <v>0</v>
      </c>
      <c r="L534" s="23" t="n">
        <f aca="false">ROUNDUP(E534,0)</f>
        <v>1</v>
      </c>
    </row>
    <row r="535" customFormat="false" ht="15" hidden="false" customHeight="false" outlineLevel="0" collapsed="false">
      <c r="A535" s="6" t="s">
        <v>72</v>
      </c>
      <c r="B535" s="6" t="s">
        <v>345</v>
      </c>
      <c r="C535" s="6" t="n">
        <v>50</v>
      </c>
      <c r="D535" s="25" t="n">
        <f aca="false">EDATE('Start Here'!$B$6,C535-1)</f>
        <v>47818</v>
      </c>
      <c r="E535" s="11" t="n">
        <f aca="false">IF(AND(C535&gt;=Staffing!$F$14,C535&lt;=Staffing!$G$14,1=1),IF(C535&lt;=6,Staffing!$H$14,IF(C535&lt;=15,Staffing!$I$14,IF(C535&lt;=30,Staffing!$J$14,Staffing!$K$14))),0)</f>
        <v>1</v>
      </c>
      <c r="F535" s="10" t="n">
        <f aca="false">E535*Staffing!$L$14/12*(1+Assumptions!$C$10)^INT((C535-1)/12)*1</f>
        <v>8441.316075</v>
      </c>
      <c r="G535" s="10" t="n">
        <f aca="false">F535*Staffing!$N$14</f>
        <v>3376.52643</v>
      </c>
      <c r="H535" s="10" t="n">
        <f aca="false">F535+G535</f>
        <v>11817.842505</v>
      </c>
      <c r="I535" s="10" t="n">
        <f aca="false">0</f>
        <v>0</v>
      </c>
      <c r="J535" s="10" t="n">
        <f aca="false">MAX(0,E535-E534)*Staffing!$O$14</f>
        <v>0</v>
      </c>
      <c r="K535" s="10" t="n">
        <f aca="false">MAX(0,E535-E534)*Staffing!$P$14</f>
        <v>0</v>
      </c>
      <c r="L535" s="23" t="n">
        <f aca="false">ROUNDUP(E535,0)</f>
        <v>1</v>
      </c>
    </row>
    <row r="536" customFormat="false" ht="15" hidden="false" customHeight="false" outlineLevel="0" collapsed="false">
      <c r="A536" s="6" t="s">
        <v>72</v>
      </c>
      <c r="B536" s="6" t="s">
        <v>345</v>
      </c>
      <c r="C536" s="6" t="n">
        <v>51</v>
      </c>
      <c r="D536" s="25" t="n">
        <f aca="false">EDATE('Start Here'!$B$6,C536-1)</f>
        <v>47849</v>
      </c>
      <c r="E536" s="11" t="n">
        <f aca="false">IF(AND(C536&gt;=Staffing!$F$14,C536&lt;=Staffing!$G$14,1=1),IF(C536&lt;=6,Staffing!$H$14,IF(C536&lt;=15,Staffing!$I$14,IF(C536&lt;=30,Staffing!$J$14,Staffing!$K$14))),0)</f>
        <v>1</v>
      </c>
      <c r="F536" s="10" t="n">
        <f aca="false">E536*Staffing!$L$14/12*(1+Assumptions!$C$10)^INT((C536-1)/12)*1</f>
        <v>8441.316075</v>
      </c>
      <c r="G536" s="10" t="n">
        <f aca="false">F536*Staffing!$N$14</f>
        <v>3376.52643</v>
      </c>
      <c r="H536" s="10" t="n">
        <f aca="false">F536+G536</f>
        <v>11817.842505</v>
      </c>
      <c r="I536" s="10" t="n">
        <f aca="false">0</f>
        <v>0</v>
      </c>
      <c r="J536" s="10" t="n">
        <f aca="false">MAX(0,E536-E535)*Staffing!$O$14</f>
        <v>0</v>
      </c>
      <c r="K536" s="10" t="n">
        <f aca="false">MAX(0,E536-E535)*Staffing!$P$14</f>
        <v>0</v>
      </c>
      <c r="L536" s="23" t="n">
        <f aca="false">ROUNDUP(E536,0)</f>
        <v>1</v>
      </c>
    </row>
    <row r="537" customFormat="false" ht="15" hidden="false" customHeight="false" outlineLevel="0" collapsed="false">
      <c r="A537" s="6" t="s">
        <v>72</v>
      </c>
      <c r="B537" s="6" t="s">
        <v>345</v>
      </c>
      <c r="C537" s="6" t="n">
        <v>52</v>
      </c>
      <c r="D537" s="25" t="n">
        <f aca="false">EDATE('Start Here'!$B$6,C537-1)</f>
        <v>47880</v>
      </c>
      <c r="E537" s="11" t="n">
        <f aca="false">IF(AND(C537&gt;=Staffing!$F$14,C537&lt;=Staffing!$G$14,1=1),IF(C537&lt;=6,Staffing!$H$14,IF(C537&lt;=15,Staffing!$I$14,IF(C537&lt;=30,Staffing!$J$14,Staffing!$K$14))),0)</f>
        <v>1</v>
      </c>
      <c r="F537" s="10" t="n">
        <f aca="false">E537*Staffing!$L$14/12*(1+Assumptions!$C$10)^INT((C537-1)/12)*1</f>
        <v>8441.316075</v>
      </c>
      <c r="G537" s="10" t="n">
        <f aca="false">F537*Staffing!$N$14</f>
        <v>3376.52643</v>
      </c>
      <c r="H537" s="10" t="n">
        <f aca="false">F537+G537</f>
        <v>11817.842505</v>
      </c>
      <c r="I537" s="10" t="n">
        <f aca="false">0</f>
        <v>0</v>
      </c>
      <c r="J537" s="10" t="n">
        <f aca="false">MAX(0,E537-E536)*Staffing!$O$14</f>
        <v>0</v>
      </c>
      <c r="K537" s="10" t="n">
        <f aca="false">MAX(0,E537-E536)*Staffing!$P$14</f>
        <v>0</v>
      </c>
      <c r="L537" s="23" t="n">
        <f aca="false">ROUNDUP(E537,0)</f>
        <v>1</v>
      </c>
    </row>
    <row r="538" customFormat="false" ht="15" hidden="false" customHeight="false" outlineLevel="0" collapsed="false">
      <c r="A538" s="6" t="s">
        <v>72</v>
      </c>
      <c r="B538" s="6" t="s">
        <v>345</v>
      </c>
      <c r="C538" s="6" t="n">
        <v>53</v>
      </c>
      <c r="D538" s="25" t="n">
        <f aca="false">EDATE('Start Here'!$B$6,C538-1)</f>
        <v>47908</v>
      </c>
      <c r="E538" s="11" t="n">
        <f aca="false">IF(AND(C538&gt;=Staffing!$F$14,C538&lt;=Staffing!$G$14,1=1),IF(C538&lt;=6,Staffing!$H$14,IF(C538&lt;=15,Staffing!$I$14,IF(C538&lt;=30,Staffing!$J$14,Staffing!$K$14))),0)</f>
        <v>1</v>
      </c>
      <c r="F538" s="10" t="n">
        <f aca="false">E538*Staffing!$L$14/12*(1+Assumptions!$C$10)^INT((C538-1)/12)*1</f>
        <v>8441.316075</v>
      </c>
      <c r="G538" s="10" t="n">
        <f aca="false">F538*Staffing!$N$14</f>
        <v>3376.52643</v>
      </c>
      <c r="H538" s="10" t="n">
        <f aca="false">F538+G538</f>
        <v>11817.842505</v>
      </c>
      <c r="I538" s="10" t="n">
        <f aca="false">0</f>
        <v>0</v>
      </c>
      <c r="J538" s="10" t="n">
        <f aca="false">MAX(0,E538-E537)*Staffing!$O$14</f>
        <v>0</v>
      </c>
      <c r="K538" s="10" t="n">
        <f aca="false">MAX(0,E538-E537)*Staffing!$P$14</f>
        <v>0</v>
      </c>
      <c r="L538" s="23" t="n">
        <f aca="false">ROUNDUP(E538,0)</f>
        <v>1</v>
      </c>
    </row>
    <row r="539" customFormat="false" ht="15" hidden="false" customHeight="false" outlineLevel="0" collapsed="false">
      <c r="A539" s="6" t="s">
        <v>72</v>
      </c>
      <c r="B539" s="6" t="s">
        <v>345</v>
      </c>
      <c r="C539" s="6" t="n">
        <v>54</v>
      </c>
      <c r="D539" s="25" t="n">
        <f aca="false">EDATE('Start Here'!$B$6,C539-1)</f>
        <v>47939</v>
      </c>
      <c r="E539" s="11" t="n">
        <f aca="false">IF(AND(C539&gt;=Staffing!$F$14,C539&lt;=Staffing!$G$14,1=1),IF(C539&lt;=6,Staffing!$H$14,IF(C539&lt;=15,Staffing!$I$14,IF(C539&lt;=30,Staffing!$J$14,Staffing!$K$14))),0)</f>
        <v>1</v>
      </c>
      <c r="F539" s="10" t="n">
        <f aca="false">E539*Staffing!$L$14/12*(1+Assumptions!$C$10)^INT((C539-1)/12)*1</f>
        <v>8441.316075</v>
      </c>
      <c r="G539" s="10" t="n">
        <f aca="false">F539*Staffing!$N$14</f>
        <v>3376.52643</v>
      </c>
      <c r="H539" s="10" t="n">
        <f aca="false">F539+G539</f>
        <v>11817.842505</v>
      </c>
      <c r="I539" s="10" t="n">
        <f aca="false">0</f>
        <v>0</v>
      </c>
      <c r="J539" s="10" t="n">
        <f aca="false">MAX(0,E539-E538)*Staffing!$O$14</f>
        <v>0</v>
      </c>
      <c r="K539" s="10" t="n">
        <f aca="false">MAX(0,E539-E538)*Staffing!$P$14</f>
        <v>0</v>
      </c>
      <c r="L539" s="23" t="n">
        <f aca="false">ROUNDUP(E539,0)</f>
        <v>1</v>
      </c>
    </row>
    <row r="540" customFormat="false" ht="15" hidden="false" customHeight="false" outlineLevel="0" collapsed="false">
      <c r="A540" s="6" t="s">
        <v>72</v>
      </c>
      <c r="B540" s="6" t="s">
        <v>345</v>
      </c>
      <c r="C540" s="6" t="n">
        <v>55</v>
      </c>
      <c r="D540" s="25" t="n">
        <f aca="false">EDATE('Start Here'!$B$6,C540-1)</f>
        <v>47969</v>
      </c>
      <c r="E540" s="11" t="n">
        <f aca="false">IF(AND(C540&gt;=Staffing!$F$14,C540&lt;=Staffing!$G$14,1=1),IF(C540&lt;=6,Staffing!$H$14,IF(C540&lt;=15,Staffing!$I$14,IF(C540&lt;=30,Staffing!$J$14,Staffing!$K$14))),0)</f>
        <v>1</v>
      </c>
      <c r="F540" s="10" t="n">
        <f aca="false">E540*Staffing!$L$14/12*(1+Assumptions!$C$10)^INT((C540-1)/12)*1</f>
        <v>8441.316075</v>
      </c>
      <c r="G540" s="10" t="n">
        <f aca="false">F540*Staffing!$N$14</f>
        <v>3376.52643</v>
      </c>
      <c r="H540" s="10" t="n">
        <f aca="false">F540+G540</f>
        <v>11817.842505</v>
      </c>
      <c r="I540" s="10" t="n">
        <f aca="false">0</f>
        <v>0</v>
      </c>
      <c r="J540" s="10" t="n">
        <f aca="false">MAX(0,E540-E539)*Staffing!$O$14</f>
        <v>0</v>
      </c>
      <c r="K540" s="10" t="n">
        <f aca="false">MAX(0,E540-E539)*Staffing!$P$14</f>
        <v>0</v>
      </c>
      <c r="L540" s="23" t="n">
        <f aca="false">ROUNDUP(E540,0)</f>
        <v>1</v>
      </c>
    </row>
    <row r="541" customFormat="false" ht="15" hidden="false" customHeight="false" outlineLevel="0" collapsed="false">
      <c r="A541" s="6" t="s">
        <v>72</v>
      </c>
      <c r="B541" s="6" t="s">
        <v>345</v>
      </c>
      <c r="C541" s="6" t="n">
        <v>56</v>
      </c>
      <c r="D541" s="25" t="n">
        <f aca="false">EDATE('Start Here'!$B$6,C541-1)</f>
        <v>48000</v>
      </c>
      <c r="E541" s="11" t="n">
        <f aca="false">IF(AND(C541&gt;=Staffing!$F$14,C541&lt;=Staffing!$G$14,1=1),IF(C541&lt;=6,Staffing!$H$14,IF(C541&lt;=15,Staffing!$I$14,IF(C541&lt;=30,Staffing!$J$14,Staffing!$K$14))),0)</f>
        <v>1</v>
      </c>
      <c r="F541" s="10" t="n">
        <f aca="false">E541*Staffing!$L$14/12*(1+Assumptions!$C$10)^INT((C541-1)/12)*1</f>
        <v>8441.316075</v>
      </c>
      <c r="G541" s="10" t="n">
        <f aca="false">F541*Staffing!$N$14</f>
        <v>3376.52643</v>
      </c>
      <c r="H541" s="10" t="n">
        <f aca="false">F541+G541</f>
        <v>11817.842505</v>
      </c>
      <c r="I541" s="10" t="n">
        <f aca="false">0</f>
        <v>0</v>
      </c>
      <c r="J541" s="10" t="n">
        <f aca="false">MAX(0,E541-E540)*Staffing!$O$14</f>
        <v>0</v>
      </c>
      <c r="K541" s="10" t="n">
        <f aca="false">MAX(0,E541-E540)*Staffing!$P$14</f>
        <v>0</v>
      </c>
      <c r="L541" s="23" t="n">
        <f aca="false">ROUNDUP(E541,0)</f>
        <v>1</v>
      </c>
    </row>
    <row r="542" customFormat="false" ht="15" hidden="false" customHeight="false" outlineLevel="0" collapsed="false">
      <c r="A542" s="6" t="s">
        <v>72</v>
      </c>
      <c r="B542" s="6" t="s">
        <v>345</v>
      </c>
      <c r="C542" s="6" t="n">
        <v>57</v>
      </c>
      <c r="D542" s="25" t="n">
        <f aca="false">EDATE('Start Here'!$B$6,C542-1)</f>
        <v>48030</v>
      </c>
      <c r="E542" s="11" t="n">
        <f aca="false">IF(AND(C542&gt;=Staffing!$F$14,C542&lt;=Staffing!$G$14,1=1),IF(C542&lt;=6,Staffing!$H$14,IF(C542&lt;=15,Staffing!$I$14,IF(C542&lt;=30,Staffing!$J$14,Staffing!$K$14))),0)</f>
        <v>1</v>
      </c>
      <c r="F542" s="10" t="n">
        <f aca="false">E542*Staffing!$L$14/12*(1+Assumptions!$C$10)^INT((C542-1)/12)*1</f>
        <v>8441.316075</v>
      </c>
      <c r="G542" s="10" t="n">
        <f aca="false">F542*Staffing!$N$14</f>
        <v>3376.52643</v>
      </c>
      <c r="H542" s="10" t="n">
        <f aca="false">F542+G542</f>
        <v>11817.842505</v>
      </c>
      <c r="I542" s="10" t="n">
        <f aca="false">0</f>
        <v>0</v>
      </c>
      <c r="J542" s="10" t="n">
        <f aca="false">MAX(0,E542-E541)*Staffing!$O$14</f>
        <v>0</v>
      </c>
      <c r="K542" s="10" t="n">
        <f aca="false">MAX(0,E542-E541)*Staffing!$P$14</f>
        <v>0</v>
      </c>
      <c r="L542" s="23" t="n">
        <f aca="false">ROUNDUP(E542,0)</f>
        <v>1</v>
      </c>
    </row>
    <row r="543" customFormat="false" ht="15" hidden="false" customHeight="false" outlineLevel="0" collapsed="false">
      <c r="A543" s="6" t="s">
        <v>72</v>
      </c>
      <c r="B543" s="6" t="s">
        <v>345</v>
      </c>
      <c r="C543" s="6" t="n">
        <v>58</v>
      </c>
      <c r="D543" s="25" t="n">
        <f aca="false">EDATE('Start Here'!$B$6,C543-1)</f>
        <v>48061</v>
      </c>
      <c r="E543" s="11" t="n">
        <f aca="false">IF(AND(C543&gt;=Staffing!$F$14,C543&lt;=Staffing!$G$14,1=1),IF(C543&lt;=6,Staffing!$H$14,IF(C543&lt;=15,Staffing!$I$14,IF(C543&lt;=30,Staffing!$J$14,Staffing!$K$14))),0)</f>
        <v>1</v>
      </c>
      <c r="F543" s="10" t="n">
        <f aca="false">E543*Staffing!$L$14/12*(1+Assumptions!$C$10)^INT((C543-1)/12)*1</f>
        <v>8441.316075</v>
      </c>
      <c r="G543" s="10" t="n">
        <f aca="false">F543*Staffing!$N$14</f>
        <v>3376.52643</v>
      </c>
      <c r="H543" s="10" t="n">
        <f aca="false">F543+G543</f>
        <v>11817.842505</v>
      </c>
      <c r="I543" s="10" t="n">
        <f aca="false">0</f>
        <v>0</v>
      </c>
      <c r="J543" s="10" t="n">
        <f aca="false">MAX(0,E543-E542)*Staffing!$O$14</f>
        <v>0</v>
      </c>
      <c r="K543" s="10" t="n">
        <f aca="false">MAX(0,E543-E542)*Staffing!$P$14</f>
        <v>0</v>
      </c>
      <c r="L543" s="23" t="n">
        <f aca="false">ROUNDUP(E543,0)</f>
        <v>1</v>
      </c>
    </row>
    <row r="544" customFormat="false" ht="15" hidden="false" customHeight="false" outlineLevel="0" collapsed="false">
      <c r="A544" s="6" t="s">
        <v>72</v>
      </c>
      <c r="B544" s="6" t="s">
        <v>345</v>
      </c>
      <c r="C544" s="6" t="n">
        <v>59</v>
      </c>
      <c r="D544" s="25" t="n">
        <f aca="false">EDATE('Start Here'!$B$6,C544-1)</f>
        <v>48092</v>
      </c>
      <c r="E544" s="11" t="n">
        <f aca="false">IF(AND(C544&gt;=Staffing!$F$14,C544&lt;=Staffing!$G$14,1=1),IF(C544&lt;=6,Staffing!$H$14,IF(C544&lt;=15,Staffing!$I$14,IF(C544&lt;=30,Staffing!$J$14,Staffing!$K$14))),0)</f>
        <v>1</v>
      </c>
      <c r="F544" s="10" t="n">
        <f aca="false">E544*Staffing!$L$14/12*(1+Assumptions!$C$10)^INT((C544-1)/12)*1</f>
        <v>8441.316075</v>
      </c>
      <c r="G544" s="10" t="n">
        <f aca="false">F544*Staffing!$N$14</f>
        <v>3376.52643</v>
      </c>
      <c r="H544" s="10" t="n">
        <f aca="false">F544+G544</f>
        <v>11817.842505</v>
      </c>
      <c r="I544" s="10" t="n">
        <f aca="false">0</f>
        <v>0</v>
      </c>
      <c r="J544" s="10" t="n">
        <f aca="false">MAX(0,E544-E543)*Staffing!$O$14</f>
        <v>0</v>
      </c>
      <c r="K544" s="10" t="n">
        <f aca="false">MAX(0,E544-E543)*Staffing!$P$14</f>
        <v>0</v>
      </c>
      <c r="L544" s="23" t="n">
        <f aca="false">ROUNDUP(E544,0)</f>
        <v>1</v>
      </c>
    </row>
    <row r="545" customFormat="false" ht="15" hidden="false" customHeight="false" outlineLevel="0" collapsed="false">
      <c r="A545" s="6" t="s">
        <v>72</v>
      </c>
      <c r="B545" s="6" t="s">
        <v>345</v>
      </c>
      <c r="C545" s="6" t="n">
        <v>60</v>
      </c>
      <c r="D545" s="25" t="n">
        <f aca="false">EDATE('Start Here'!$B$6,C545-1)</f>
        <v>48122</v>
      </c>
      <c r="E545" s="11" t="n">
        <f aca="false">IF(AND(C545&gt;=Staffing!$F$14,C545&lt;=Staffing!$G$14,1=1),IF(C545&lt;=6,Staffing!$H$14,IF(C545&lt;=15,Staffing!$I$14,IF(C545&lt;=30,Staffing!$J$14,Staffing!$K$14))),0)</f>
        <v>1</v>
      </c>
      <c r="F545" s="10" t="n">
        <f aca="false">E545*Staffing!$L$14/12*(1+Assumptions!$C$10)^INT((C545-1)/12)*1</f>
        <v>8441.316075</v>
      </c>
      <c r="G545" s="10" t="n">
        <f aca="false">F545*Staffing!$N$14</f>
        <v>3376.52643</v>
      </c>
      <c r="H545" s="10" t="n">
        <f aca="false">F545+G545</f>
        <v>11817.842505</v>
      </c>
      <c r="I545" s="10" t="n">
        <f aca="false">0</f>
        <v>0</v>
      </c>
      <c r="J545" s="10" t="n">
        <f aca="false">MAX(0,E545-E544)*Staffing!$O$14</f>
        <v>0</v>
      </c>
      <c r="K545" s="10" t="n">
        <f aca="false">MAX(0,E545-E544)*Staffing!$P$14</f>
        <v>0</v>
      </c>
      <c r="L545" s="23" t="n">
        <f aca="false">ROUNDUP(E545,0)</f>
        <v>1</v>
      </c>
    </row>
    <row r="546" customFormat="false" ht="15" hidden="false" customHeight="false" outlineLevel="0" collapsed="false">
      <c r="A546" s="6" t="s">
        <v>72</v>
      </c>
      <c r="B546" s="6" t="s">
        <v>347</v>
      </c>
      <c r="C546" s="6" t="n">
        <v>1</v>
      </c>
      <c r="D546" s="25" t="n">
        <f aca="false">EDATE('Start Here'!$B$6,C546-1)</f>
        <v>46327</v>
      </c>
      <c r="E546" s="23" t="n">
        <f aca="false">IF(AND(C546&gt;=Staffing!$F$15,C546&lt;=Staffing!$G$15,1=1),IF(C546&lt;=6,Staffing!$H$15,IF(C546&lt;=15,Staffing!$I$15,IF(C546&lt;=30,Staffing!$J$15,Staffing!$K$15))),0)</f>
        <v>0</v>
      </c>
      <c r="F546" s="10" t="n">
        <f aca="false">E546*Staffing!$L$15/12*(1+Assumptions!$C$10)^INT((C546-1)/12)*1</f>
        <v>0</v>
      </c>
      <c r="G546" s="10" t="n">
        <f aca="false">F546*Staffing!$N$15</f>
        <v>0</v>
      </c>
      <c r="H546" s="10" t="n">
        <f aca="false">F546+G546</f>
        <v>0</v>
      </c>
      <c r="I546" s="10" t="n">
        <f aca="false">0</f>
        <v>0</v>
      </c>
      <c r="J546" s="10" t="n">
        <f aca="false">MAX(0,E546-0)*Staffing!$O$15</f>
        <v>0</v>
      </c>
      <c r="K546" s="10" t="n">
        <f aca="false">MAX(0,E546-0)*Staffing!$P$15</f>
        <v>0</v>
      </c>
      <c r="L546" s="23" t="n">
        <f aca="false">ROUNDUP(E546,0)</f>
        <v>0</v>
      </c>
    </row>
    <row r="547" customFormat="false" ht="15" hidden="false" customHeight="false" outlineLevel="0" collapsed="false">
      <c r="A547" s="6" t="s">
        <v>72</v>
      </c>
      <c r="B547" s="6" t="s">
        <v>347</v>
      </c>
      <c r="C547" s="6" t="n">
        <v>2</v>
      </c>
      <c r="D547" s="25" t="n">
        <f aca="false">EDATE('Start Here'!$B$6,C547-1)</f>
        <v>46357</v>
      </c>
      <c r="E547" s="23" t="n">
        <f aca="false">IF(AND(C547&gt;=Staffing!$F$15,C547&lt;=Staffing!$G$15,1=1),IF(C547&lt;=6,Staffing!$H$15,IF(C547&lt;=15,Staffing!$I$15,IF(C547&lt;=30,Staffing!$J$15,Staffing!$K$15))),0)</f>
        <v>0</v>
      </c>
      <c r="F547" s="10" t="n">
        <f aca="false">E547*Staffing!$L$15/12*(1+Assumptions!$C$10)^INT((C547-1)/12)*1</f>
        <v>0</v>
      </c>
      <c r="G547" s="10" t="n">
        <f aca="false">F547*Staffing!$N$15</f>
        <v>0</v>
      </c>
      <c r="H547" s="10" t="n">
        <f aca="false">F547+G547</f>
        <v>0</v>
      </c>
      <c r="I547" s="10" t="n">
        <f aca="false">0</f>
        <v>0</v>
      </c>
      <c r="J547" s="10" t="n">
        <f aca="false">MAX(0,E547-E546)*Staffing!$O$15</f>
        <v>0</v>
      </c>
      <c r="K547" s="10" t="n">
        <f aca="false">MAX(0,E547-E546)*Staffing!$P$15</f>
        <v>0</v>
      </c>
      <c r="L547" s="23" t="n">
        <f aca="false">ROUNDUP(E547,0)</f>
        <v>0</v>
      </c>
    </row>
    <row r="548" customFormat="false" ht="15" hidden="false" customHeight="false" outlineLevel="0" collapsed="false">
      <c r="A548" s="6" t="s">
        <v>72</v>
      </c>
      <c r="B548" s="6" t="s">
        <v>347</v>
      </c>
      <c r="C548" s="6" t="n">
        <v>3</v>
      </c>
      <c r="D548" s="25" t="n">
        <f aca="false">EDATE('Start Here'!$B$6,C548-1)</f>
        <v>46388</v>
      </c>
      <c r="E548" s="23" t="n">
        <f aca="false">IF(AND(C548&gt;=Staffing!$F$15,C548&lt;=Staffing!$G$15,1=1),IF(C548&lt;=6,Staffing!$H$15,IF(C548&lt;=15,Staffing!$I$15,IF(C548&lt;=30,Staffing!$J$15,Staffing!$K$15))),0)</f>
        <v>0</v>
      </c>
      <c r="F548" s="10" t="n">
        <f aca="false">E548*Staffing!$L$15/12*(1+Assumptions!$C$10)^INT((C548-1)/12)*1</f>
        <v>0</v>
      </c>
      <c r="G548" s="10" t="n">
        <f aca="false">F548*Staffing!$N$15</f>
        <v>0</v>
      </c>
      <c r="H548" s="10" t="n">
        <f aca="false">F548+G548</f>
        <v>0</v>
      </c>
      <c r="I548" s="10" t="n">
        <f aca="false">0</f>
        <v>0</v>
      </c>
      <c r="J548" s="10" t="n">
        <f aca="false">MAX(0,E548-E547)*Staffing!$O$15</f>
        <v>0</v>
      </c>
      <c r="K548" s="10" t="n">
        <f aca="false">MAX(0,E548-E547)*Staffing!$P$15</f>
        <v>0</v>
      </c>
      <c r="L548" s="23" t="n">
        <f aca="false">ROUNDUP(E548,0)</f>
        <v>0</v>
      </c>
    </row>
    <row r="549" customFormat="false" ht="15" hidden="false" customHeight="false" outlineLevel="0" collapsed="false">
      <c r="A549" s="6" t="s">
        <v>72</v>
      </c>
      <c r="B549" s="6" t="s">
        <v>347</v>
      </c>
      <c r="C549" s="6" t="n">
        <v>4</v>
      </c>
      <c r="D549" s="25" t="n">
        <f aca="false">EDATE('Start Here'!$B$6,C549-1)</f>
        <v>46419</v>
      </c>
      <c r="E549" s="23" t="n">
        <f aca="false">IF(AND(C549&gt;=Staffing!$F$15,C549&lt;=Staffing!$G$15,1=1),IF(C549&lt;=6,Staffing!$H$15,IF(C549&lt;=15,Staffing!$I$15,IF(C549&lt;=30,Staffing!$J$15,Staffing!$K$15))),0)</f>
        <v>0</v>
      </c>
      <c r="F549" s="10" t="n">
        <f aca="false">E549*Staffing!$L$15/12*(1+Assumptions!$C$10)^INT((C549-1)/12)*1</f>
        <v>0</v>
      </c>
      <c r="G549" s="10" t="n">
        <f aca="false">F549*Staffing!$N$15</f>
        <v>0</v>
      </c>
      <c r="H549" s="10" t="n">
        <f aca="false">F549+G549</f>
        <v>0</v>
      </c>
      <c r="I549" s="10" t="n">
        <f aca="false">0</f>
        <v>0</v>
      </c>
      <c r="J549" s="10" t="n">
        <f aca="false">MAX(0,E549-E548)*Staffing!$O$15</f>
        <v>0</v>
      </c>
      <c r="K549" s="10" t="n">
        <f aca="false">MAX(0,E549-E548)*Staffing!$P$15</f>
        <v>0</v>
      </c>
      <c r="L549" s="23" t="n">
        <f aca="false">ROUNDUP(E549,0)</f>
        <v>0</v>
      </c>
    </row>
    <row r="550" customFormat="false" ht="15" hidden="false" customHeight="false" outlineLevel="0" collapsed="false">
      <c r="A550" s="6" t="s">
        <v>72</v>
      </c>
      <c r="B550" s="6" t="s">
        <v>347</v>
      </c>
      <c r="C550" s="6" t="n">
        <v>5</v>
      </c>
      <c r="D550" s="25" t="n">
        <f aca="false">EDATE('Start Here'!$B$6,C550-1)</f>
        <v>46447</v>
      </c>
      <c r="E550" s="23" t="n">
        <f aca="false">IF(AND(C550&gt;=Staffing!$F$15,C550&lt;=Staffing!$G$15,1=1),IF(C550&lt;=6,Staffing!$H$15,IF(C550&lt;=15,Staffing!$I$15,IF(C550&lt;=30,Staffing!$J$15,Staffing!$K$15))),0)</f>
        <v>0</v>
      </c>
      <c r="F550" s="10" t="n">
        <f aca="false">E550*Staffing!$L$15/12*(1+Assumptions!$C$10)^INT((C550-1)/12)*1</f>
        <v>0</v>
      </c>
      <c r="G550" s="10" t="n">
        <f aca="false">F550*Staffing!$N$15</f>
        <v>0</v>
      </c>
      <c r="H550" s="10" t="n">
        <f aca="false">F550+G550</f>
        <v>0</v>
      </c>
      <c r="I550" s="10" t="n">
        <f aca="false">0</f>
        <v>0</v>
      </c>
      <c r="J550" s="10" t="n">
        <f aca="false">MAX(0,E550-E549)*Staffing!$O$15</f>
        <v>0</v>
      </c>
      <c r="K550" s="10" t="n">
        <f aca="false">MAX(0,E550-E549)*Staffing!$P$15</f>
        <v>0</v>
      </c>
      <c r="L550" s="23" t="n">
        <f aca="false">ROUNDUP(E550,0)</f>
        <v>0</v>
      </c>
    </row>
    <row r="551" customFormat="false" ht="15" hidden="false" customHeight="false" outlineLevel="0" collapsed="false">
      <c r="A551" s="6" t="s">
        <v>72</v>
      </c>
      <c r="B551" s="6" t="s">
        <v>347</v>
      </c>
      <c r="C551" s="6" t="n">
        <v>6</v>
      </c>
      <c r="D551" s="25" t="n">
        <f aca="false">EDATE('Start Here'!$B$6,C551-1)</f>
        <v>46478</v>
      </c>
      <c r="E551" s="23" t="n">
        <f aca="false">IF(AND(C551&gt;=Staffing!$F$15,C551&lt;=Staffing!$G$15,1=1),IF(C551&lt;=6,Staffing!$H$15,IF(C551&lt;=15,Staffing!$I$15,IF(C551&lt;=30,Staffing!$J$15,Staffing!$K$15))),0)</f>
        <v>0</v>
      </c>
      <c r="F551" s="10" t="n">
        <f aca="false">E551*Staffing!$L$15/12*(1+Assumptions!$C$10)^INT((C551-1)/12)*1</f>
        <v>0</v>
      </c>
      <c r="G551" s="10" t="n">
        <f aca="false">F551*Staffing!$N$15</f>
        <v>0</v>
      </c>
      <c r="H551" s="10" t="n">
        <f aca="false">F551+G551</f>
        <v>0</v>
      </c>
      <c r="I551" s="10" t="n">
        <f aca="false">0</f>
        <v>0</v>
      </c>
      <c r="J551" s="10" t="n">
        <f aca="false">MAX(0,E551-E550)*Staffing!$O$15</f>
        <v>0</v>
      </c>
      <c r="K551" s="10" t="n">
        <f aca="false">MAX(0,E551-E550)*Staffing!$P$15</f>
        <v>0</v>
      </c>
      <c r="L551" s="23" t="n">
        <f aca="false">ROUNDUP(E551,0)</f>
        <v>0</v>
      </c>
    </row>
    <row r="552" customFormat="false" ht="15" hidden="false" customHeight="false" outlineLevel="0" collapsed="false">
      <c r="A552" s="6" t="s">
        <v>72</v>
      </c>
      <c r="B552" s="6" t="s">
        <v>347</v>
      </c>
      <c r="C552" s="6" t="n">
        <v>7</v>
      </c>
      <c r="D552" s="25" t="n">
        <f aca="false">EDATE('Start Here'!$B$6,C552-1)</f>
        <v>46508</v>
      </c>
      <c r="E552" s="23" t="n">
        <f aca="false">IF(AND(C552&gt;=Staffing!$F$15,C552&lt;=Staffing!$G$15,1=1),IF(C552&lt;=6,Staffing!$H$15,IF(C552&lt;=15,Staffing!$I$15,IF(C552&lt;=30,Staffing!$J$15,Staffing!$K$15))),0)</f>
        <v>0</v>
      </c>
      <c r="F552" s="10" t="n">
        <f aca="false">E552*Staffing!$L$15/12*(1+Assumptions!$C$10)^INT((C552-1)/12)*1</f>
        <v>0</v>
      </c>
      <c r="G552" s="10" t="n">
        <f aca="false">F552*Staffing!$N$15</f>
        <v>0</v>
      </c>
      <c r="H552" s="10" t="n">
        <f aca="false">F552+G552</f>
        <v>0</v>
      </c>
      <c r="I552" s="10" t="n">
        <f aca="false">0</f>
        <v>0</v>
      </c>
      <c r="J552" s="10" t="n">
        <f aca="false">MAX(0,E552-E551)*Staffing!$O$15</f>
        <v>0</v>
      </c>
      <c r="K552" s="10" t="n">
        <f aca="false">MAX(0,E552-E551)*Staffing!$P$15</f>
        <v>0</v>
      </c>
      <c r="L552" s="23" t="n">
        <f aca="false">ROUNDUP(E552,0)</f>
        <v>0</v>
      </c>
    </row>
    <row r="553" customFormat="false" ht="15" hidden="false" customHeight="false" outlineLevel="0" collapsed="false">
      <c r="A553" s="6" t="s">
        <v>72</v>
      </c>
      <c r="B553" s="6" t="s">
        <v>347</v>
      </c>
      <c r="C553" s="6" t="n">
        <v>8</v>
      </c>
      <c r="D553" s="25" t="n">
        <f aca="false">EDATE('Start Here'!$B$6,C553-1)</f>
        <v>46539</v>
      </c>
      <c r="E553" s="23" t="n">
        <f aca="false">IF(AND(C553&gt;=Staffing!$F$15,C553&lt;=Staffing!$G$15,1=1),IF(C553&lt;=6,Staffing!$H$15,IF(C553&lt;=15,Staffing!$I$15,IF(C553&lt;=30,Staffing!$J$15,Staffing!$K$15))),0)</f>
        <v>0</v>
      </c>
      <c r="F553" s="10" t="n">
        <f aca="false">E553*Staffing!$L$15/12*(1+Assumptions!$C$10)^INT((C553-1)/12)*1</f>
        <v>0</v>
      </c>
      <c r="G553" s="10" t="n">
        <f aca="false">F553*Staffing!$N$15</f>
        <v>0</v>
      </c>
      <c r="H553" s="10" t="n">
        <f aca="false">F553+G553</f>
        <v>0</v>
      </c>
      <c r="I553" s="10" t="n">
        <f aca="false">0</f>
        <v>0</v>
      </c>
      <c r="J553" s="10" t="n">
        <f aca="false">MAX(0,E553-E552)*Staffing!$O$15</f>
        <v>0</v>
      </c>
      <c r="K553" s="10" t="n">
        <f aca="false">MAX(0,E553-E552)*Staffing!$P$15</f>
        <v>0</v>
      </c>
      <c r="L553" s="23" t="n">
        <f aca="false">ROUNDUP(E553,0)</f>
        <v>0</v>
      </c>
    </row>
    <row r="554" customFormat="false" ht="15" hidden="false" customHeight="false" outlineLevel="0" collapsed="false">
      <c r="A554" s="6" t="s">
        <v>72</v>
      </c>
      <c r="B554" s="6" t="s">
        <v>347</v>
      </c>
      <c r="C554" s="6" t="n">
        <v>9</v>
      </c>
      <c r="D554" s="25" t="n">
        <f aca="false">EDATE('Start Here'!$B$6,C554-1)</f>
        <v>46569</v>
      </c>
      <c r="E554" s="23" t="n">
        <f aca="false">IF(AND(C554&gt;=Staffing!$F$15,C554&lt;=Staffing!$G$15,1=1),IF(C554&lt;=6,Staffing!$H$15,IF(C554&lt;=15,Staffing!$I$15,IF(C554&lt;=30,Staffing!$J$15,Staffing!$K$15))),0)</f>
        <v>0</v>
      </c>
      <c r="F554" s="10" t="n">
        <f aca="false">E554*Staffing!$L$15/12*(1+Assumptions!$C$10)^INT((C554-1)/12)*1</f>
        <v>0</v>
      </c>
      <c r="G554" s="10" t="n">
        <f aca="false">F554*Staffing!$N$15</f>
        <v>0</v>
      </c>
      <c r="H554" s="10" t="n">
        <f aca="false">F554+G554</f>
        <v>0</v>
      </c>
      <c r="I554" s="10" t="n">
        <f aca="false">0</f>
        <v>0</v>
      </c>
      <c r="J554" s="10" t="n">
        <f aca="false">MAX(0,E554-E553)*Staffing!$O$15</f>
        <v>0</v>
      </c>
      <c r="K554" s="10" t="n">
        <f aca="false">MAX(0,E554-E553)*Staffing!$P$15</f>
        <v>0</v>
      </c>
      <c r="L554" s="23" t="n">
        <f aca="false">ROUNDUP(E554,0)</f>
        <v>0</v>
      </c>
    </row>
    <row r="555" customFormat="false" ht="15" hidden="false" customHeight="false" outlineLevel="0" collapsed="false">
      <c r="A555" s="6" t="s">
        <v>72</v>
      </c>
      <c r="B555" s="6" t="s">
        <v>347</v>
      </c>
      <c r="C555" s="6" t="n">
        <v>10</v>
      </c>
      <c r="D555" s="25" t="n">
        <f aca="false">EDATE('Start Here'!$B$6,C555-1)</f>
        <v>46600</v>
      </c>
      <c r="E555" s="23" t="n">
        <f aca="false">IF(AND(C555&gt;=Staffing!$F$15,C555&lt;=Staffing!$G$15,1=1),IF(C555&lt;=6,Staffing!$H$15,IF(C555&lt;=15,Staffing!$I$15,IF(C555&lt;=30,Staffing!$J$15,Staffing!$K$15))),0)</f>
        <v>0</v>
      </c>
      <c r="F555" s="10" t="n">
        <f aca="false">E555*Staffing!$L$15/12*(1+Assumptions!$C$10)^INT((C555-1)/12)*1</f>
        <v>0</v>
      </c>
      <c r="G555" s="10" t="n">
        <f aca="false">F555*Staffing!$N$15</f>
        <v>0</v>
      </c>
      <c r="H555" s="10" t="n">
        <f aca="false">F555+G555</f>
        <v>0</v>
      </c>
      <c r="I555" s="10" t="n">
        <f aca="false">0</f>
        <v>0</v>
      </c>
      <c r="J555" s="10" t="n">
        <f aca="false">MAX(0,E555-E554)*Staffing!$O$15</f>
        <v>0</v>
      </c>
      <c r="K555" s="10" t="n">
        <f aca="false">MAX(0,E555-E554)*Staffing!$P$15</f>
        <v>0</v>
      </c>
      <c r="L555" s="23" t="n">
        <f aca="false">ROUNDUP(E555,0)</f>
        <v>0</v>
      </c>
    </row>
    <row r="556" customFormat="false" ht="15" hidden="false" customHeight="false" outlineLevel="0" collapsed="false">
      <c r="A556" s="6" t="s">
        <v>72</v>
      </c>
      <c r="B556" s="6" t="s">
        <v>347</v>
      </c>
      <c r="C556" s="6" t="n">
        <v>11</v>
      </c>
      <c r="D556" s="25" t="n">
        <f aca="false">EDATE('Start Here'!$B$6,C556-1)</f>
        <v>46631</v>
      </c>
      <c r="E556" s="23" t="n">
        <f aca="false">IF(AND(C556&gt;=Staffing!$F$15,C556&lt;=Staffing!$G$15,1=1),IF(C556&lt;=6,Staffing!$H$15,IF(C556&lt;=15,Staffing!$I$15,IF(C556&lt;=30,Staffing!$J$15,Staffing!$K$15))),0)</f>
        <v>0</v>
      </c>
      <c r="F556" s="10" t="n">
        <f aca="false">E556*Staffing!$L$15/12*(1+Assumptions!$C$10)^INT((C556-1)/12)*1</f>
        <v>0</v>
      </c>
      <c r="G556" s="10" t="n">
        <f aca="false">F556*Staffing!$N$15</f>
        <v>0</v>
      </c>
      <c r="H556" s="10" t="n">
        <f aca="false">F556+G556</f>
        <v>0</v>
      </c>
      <c r="I556" s="10" t="n">
        <f aca="false">0</f>
        <v>0</v>
      </c>
      <c r="J556" s="10" t="n">
        <f aca="false">MAX(0,E556-E555)*Staffing!$O$15</f>
        <v>0</v>
      </c>
      <c r="K556" s="10" t="n">
        <f aca="false">MAX(0,E556-E555)*Staffing!$P$15</f>
        <v>0</v>
      </c>
      <c r="L556" s="23" t="n">
        <f aca="false">ROUNDUP(E556,0)</f>
        <v>0</v>
      </c>
    </row>
    <row r="557" customFormat="false" ht="15" hidden="false" customHeight="false" outlineLevel="0" collapsed="false">
      <c r="A557" s="6" t="s">
        <v>72</v>
      </c>
      <c r="B557" s="6" t="s">
        <v>347</v>
      </c>
      <c r="C557" s="6" t="n">
        <v>12</v>
      </c>
      <c r="D557" s="25" t="n">
        <f aca="false">EDATE('Start Here'!$B$6,C557-1)</f>
        <v>46661</v>
      </c>
      <c r="E557" s="23" t="n">
        <f aca="false">IF(AND(C557&gt;=Staffing!$F$15,C557&lt;=Staffing!$G$15,1=1),IF(C557&lt;=6,Staffing!$H$15,IF(C557&lt;=15,Staffing!$I$15,IF(C557&lt;=30,Staffing!$J$15,Staffing!$K$15))),0)</f>
        <v>0</v>
      </c>
      <c r="F557" s="10" t="n">
        <f aca="false">E557*Staffing!$L$15/12*(1+Assumptions!$C$10)^INT((C557-1)/12)*1</f>
        <v>0</v>
      </c>
      <c r="G557" s="10" t="n">
        <f aca="false">F557*Staffing!$N$15</f>
        <v>0</v>
      </c>
      <c r="H557" s="10" t="n">
        <f aca="false">F557+G557</f>
        <v>0</v>
      </c>
      <c r="I557" s="10" t="n">
        <f aca="false">0</f>
        <v>0</v>
      </c>
      <c r="J557" s="10" t="n">
        <f aca="false">MAX(0,E557-E556)*Staffing!$O$15</f>
        <v>0</v>
      </c>
      <c r="K557" s="10" t="n">
        <f aca="false">MAX(0,E557-E556)*Staffing!$P$15</f>
        <v>0</v>
      </c>
      <c r="L557" s="23" t="n">
        <f aca="false">ROUNDUP(E557,0)</f>
        <v>0</v>
      </c>
    </row>
    <row r="558" customFormat="false" ht="15" hidden="false" customHeight="false" outlineLevel="0" collapsed="false">
      <c r="A558" s="6" t="s">
        <v>72</v>
      </c>
      <c r="B558" s="6" t="s">
        <v>347</v>
      </c>
      <c r="C558" s="6" t="n">
        <v>13</v>
      </c>
      <c r="D558" s="25" t="n">
        <f aca="false">EDATE('Start Here'!$B$6,C558-1)</f>
        <v>46692</v>
      </c>
      <c r="E558" s="23" t="n">
        <f aca="false">IF(AND(C558&gt;=Staffing!$F$15,C558&lt;=Staffing!$G$15,1=1),IF(C558&lt;=6,Staffing!$H$15,IF(C558&lt;=15,Staffing!$I$15,IF(C558&lt;=30,Staffing!$J$15,Staffing!$K$15))),0)</f>
        <v>0</v>
      </c>
      <c r="F558" s="10" t="n">
        <f aca="false">E558*Staffing!$L$15/12*(1+Assumptions!$C$10)^INT((C558-1)/12)*1</f>
        <v>0</v>
      </c>
      <c r="G558" s="10" t="n">
        <f aca="false">F558*Staffing!$N$15</f>
        <v>0</v>
      </c>
      <c r="H558" s="10" t="n">
        <f aca="false">F558+G558</f>
        <v>0</v>
      </c>
      <c r="I558" s="10" t="n">
        <f aca="false">0</f>
        <v>0</v>
      </c>
      <c r="J558" s="10" t="n">
        <f aca="false">MAX(0,E558-E557)*Staffing!$O$15</f>
        <v>0</v>
      </c>
      <c r="K558" s="10" t="n">
        <f aca="false">MAX(0,E558-E557)*Staffing!$P$15</f>
        <v>0</v>
      </c>
      <c r="L558" s="23" t="n">
        <f aca="false">ROUNDUP(E558,0)</f>
        <v>0</v>
      </c>
    </row>
    <row r="559" customFormat="false" ht="15" hidden="false" customHeight="false" outlineLevel="0" collapsed="false">
      <c r="A559" s="6" t="s">
        <v>72</v>
      </c>
      <c r="B559" s="6" t="s">
        <v>347</v>
      </c>
      <c r="C559" s="6" t="n">
        <v>14</v>
      </c>
      <c r="D559" s="25" t="n">
        <f aca="false">EDATE('Start Here'!$B$6,C559-1)</f>
        <v>46722</v>
      </c>
      <c r="E559" s="23" t="n">
        <f aca="false">IF(AND(C559&gt;=Staffing!$F$15,C559&lt;=Staffing!$G$15,1=1),IF(C559&lt;=6,Staffing!$H$15,IF(C559&lt;=15,Staffing!$I$15,IF(C559&lt;=30,Staffing!$J$15,Staffing!$K$15))),0)</f>
        <v>0</v>
      </c>
      <c r="F559" s="10" t="n">
        <f aca="false">E559*Staffing!$L$15/12*(1+Assumptions!$C$10)^INT((C559-1)/12)*1</f>
        <v>0</v>
      </c>
      <c r="G559" s="10" t="n">
        <f aca="false">F559*Staffing!$N$15</f>
        <v>0</v>
      </c>
      <c r="H559" s="10" t="n">
        <f aca="false">F559+G559</f>
        <v>0</v>
      </c>
      <c r="I559" s="10" t="n">
        <f aca="false">0</f>
        <v>0</v>
      </c>
      <c r="J559" s="10" t="n">
        <f aca="false">MAX(0,E559-E558)*Staffing!$O$15</f>
        <v>0</v>
      </c>
      <c r="K559" s="10" t="n">
        <f aca="false">MAX(0,E559-E558)*Staffing!$P$15</f>
        <v>0</v>
      </c>
      <c r="L559" s="23" t="n">
        <f aca="false">ROUNDUP(E559,0)</f>
        <v>0</v>
      </c>
    </row>
    <row r="560" customFormat="false" ht="15" hidden="false" customHeight="false" outlineLevel="0" collapsed="false">
      <c r="A560" s="6" t="s">
        <v>72</v>
      </c>
      <c r="B560" s="6" t="s">
        <v>347</v>
      </c>
      <c r="C560" s="6" t="n">
        <v>15</v>
      </c>
      <c r="D560" s="25" t="n">
        <f aca="false">EDATE('Start Here'!$B$6,C560-1)</f>
        <v>46753</v>
      </c>
      <c r="E560" s="23" t="n">
        <f aca="false">IF(AND(C560&gt;=Staffing!$F$15,C560&lt;=Staffing!$G$15,1=1),IF(C560&lt;=6,Staffing!$H$15,IF(C560&lt;=15,Staffing!$I$15,IF(C560&lt;=30,Staffing!$J$15,Staffing!$K$15))),0)</f>
        <v>0</v>
      </c>
      <c r="F560" s="10" t="n">
        <f aca="false">E560*Staffing!$L$15/12*(1+Assumptions!$C$10)^INT((C560-1)/12)*1</f>
        <v>0</v>
      </c>
      <c r="G560" s="10" t="n">
        <f aca="false">F560*Staffing!$N$15</f>
        <v>0</v>
      </c>
      <c r="H560" s="10" t="n">
        <f aca="false">F560+G560</f>
        <v>0</v>
      </c>
      <c r="I560" s="10" t="n">
        <f aca="false">0</f>
        <v>0</v>
      </c>
      <c r="J560" s="10" t="n">
        <f aca="false">MAX(0,E560-E559)*Staffing!$O$15</f>
        <v>0</v>
      </c>
      <c r="K560" s="10" t="n">
        <f aca="false">MAX(0,E560-E559)*Staffing!$P$15</f>
        <v>0</v>
      </c>
      <c r="L560" s="23" t="n">
        <f aca="false">ROUNDUP(E560,0)</f>
        <v>0</v>
      </c>
    </row>
    <row r="561" customFormat="false" ht="15" hidden="false" customHeight="false" outlineLevel="0" collapsed="false">
      <c r="A561" s="6" t="s">
        <v>72</v>
      </c>
      <c r="B561" s="6" t="s">
        <v>347</v>
      </c>
      <c r="C561" s="6" t="n">
        <v>16</v>
      </c>
      <c r="D561" s="25" t="n">
        <f aca="false">EDATE('Start Here'!$B$6,C561-1)</f>
        <v>46784</v>
      </c>
      <c r="E561" s="23" t="n">
        <f aca="false">IF(AND(C561&gt;=Staffing!$F$15,C561&lt;=Staffing!$G$15,1=1),IF(C561&lt;=6,Staffing!$H$15,IF(C561&lt;=15,Staffing!$I$15,IF(C561&lt;=30,Staffing!$J$15,Staffing!$K$15))),0)</f>
        <v>0</v>
      </c>
      <c r="F561" s="10" t="n">
        <f aca="false">E561*Staffing!$L$15/12*(1+Assumptions!$C$10)^INT((C561-1)/12)*1</f>
        <v>0</v>
      </c>
      <c r="G561" s="10" t="n">
        <f aca="false">F561*Staffing!$N$15</f>
        <v>0</v>
      </c>
      <c r="H561" s="10" t="n">
        <f aca="false">F561+G561</f>
        <v>0</v>
      </c>
      <c r="I561" s="10" t="n">
        <f aca="false">0</f>
        <v>0</v>
      </c>
      <c r="J561" s="10" t="n">
        <f aca="false">MAX(0,E561-E560)*Staffing!$O$15</f>
        <v>0</v>
      </c>
      <c r="K561" s="10" t="n">
        <f aca="false">MAX(0,E561-E560)*Staffing!$P$15</f>
        <v>0</v>
      </c>
      <c r="L561" s="23" t="n">
        <f aca="false">ROUNDUP(E561,0)</f>
        <v>0</v>
      </c>
    </row>
    <row r="562" customFormat="false" ht="15" hidden="false" customHeight="false" outlineLevel="0" collapsed="false">
      <c r="A562" s="6" t="s">
        <v>72</v>
      </c>
      <c r="B562" s="6" t="s">
        <v>347</v>
      </c>
      <c r="C562" s="6" t="n">
        <v>17</v>
      </c>
      <c r="D562" s="25" t="n">
        <f aca="false">EDATE('Start Here'!$B$6,C562-1)</f>
        <v>46813</v>
      </c>
      <c r="E562" s="23" t="n">
        <f aca="false">IF(AND(C562&gt;=Staffing!$F$15,C562&lt;=Staffing!$G$15,1=1),IF(C562&lt;=6,Staffing!$H$15,IF(C562&lt;=15,Staffing!$I$15,IF(C562&lt;=30,Staffing!$J$15,Staffing!$K$15))),0)</f>
        <v>0</v>
      </c>
      <c r="F562" s="10" t="n">
        <f aca="false">E562*Staffing!$L$15/12*(1+Assumptions!$C$10)^INT((C562-1)/12)*1</f>
        <v>0</v>
      </c>
      <c r="G562" s="10" t="n">
        <f aca="false">F562*Staffing!$N$15</f>
        <v>0</v>
      </c>
      <c r="H562" s="10" t="n">
        <f aca="false">F562+G562</f>
        <v>0</v>
      </c>
      <c r="I562" s="10" t="n">
        <f aca="false">0</f>
        <v>0</v>
      </c>
      <c r="J562" s="10" t="n">
        <f aca="false">MAX(0,E562-E561)*Staffing!$O$15</f>
        <v>0</v>
      </c>
      <c r="K562" s="10" t="n">
        <f aca="false">MAX(0,E562-E561)*Staffing!$P$15</f>
        <v>0</v>
      </c>
      <c r="L562" s="23" t="n">
        <f aca="false">ROUNDUP(E562,0)</f>
        <v>0</v>
      </c>
    </row>
    <row r="563" customFormat="false" ht="15" hidden="false" customHeight="false" outlineLevel="0" collapsed="false">
      <c r="A563" s="6" t="s">
        <v>72</v>
      </c>
      <c r="B563" s="6" t="s">
        <v>347</v>
      </c>
      <c r="C563" s="6" t="n">
        <v>18</v>
      </c>
      <c r="D563" s="25" t="n">
        <f aca="false">EDATE('Start Here'!$B$6,C563-1)</f>
        <v>46844</v>
      </c>
      <c r="E563" s="23" t="n">
        <f aca="false">IF(AND(C563&gt;=Staffing!$F$15,C563&lt;=Staffing!$G$15,1=1),IF(C563&lt;=6,Staffing!$H$15,IF(C563&lt;=15,Staffing!$I$15,IF(C563&lt;=30,Staffing!$J$15,Staffing!$K$15))),0)</f>
        <v>0</v>
      </c>
      <c r="F563" s="10" t="n">
        <f aca="false">E563*Staffing!$L$15/12*(1+Assumptions!$C$10)^INT((C563-1)/12)*1</f>
        <v>0</v>
      </c>
      <c r="G563" s="10" t="n">
        <f aca="false">F563*Staffing!$N$15</f>
        <v>0</v>
      </c>
      <c r="H563" s="10" t="n">
        <f aca="false">F563+G563</f>
        <v>0</v>
      </c>
      <c r="I563" s="10" t="n">
        <f aca="false">0</f>
        <v>0</v>
      </c>
      <c r="J563" s="10" t="n">
        <f aca="false">MAX(0,E563-E562)*Staffing!$O$15</f>
        <v>0</v>
      </c>
      <c r="K563" s="10" t="n">
        <f aca="false">MAX(0,E563-E562)*Staffing!$P$15</f>
        <v>0</v>
      </c>
      <c r="L563" s="23" t="n">
        <f aca="false">ROUNDUP(E563,0)</f>
        <v>0</v>
      </c>
    </row>
    <row r="564" customFormat="false" ht="15" hidden="false" customHeight="false" outlineLevel="0" collapsed="false">
      <c r="A564" s="6" t="s">
        <v>72</v>
      </c>
      <c r="B564" s="6" t="s">
        <v>347</v>
      </c>
      <c r="C564" s="6" t="n">
        <v>19</v>
      </c>
      <c r="D564" s="25" t="n">
        <f aca="false">EDATE('Start Here'!$B$6,C564-1)</f>
        <v>46874</v>
      </c>
      <c r="E564" s="23" t="n">
        <f aca="false">IF(AND(C564&gt;=Staffing!$F$15,C564&lt;=Staffing!$G$15,1=1),IF(C564&lt;=6,Staffing!$H$15,IF(C564&lt;=15,Staffing!$I$15,IF(C564&lt;=30,Staffing!$J$15,Staffing!$K$15))),0)</f>
        <v>0</v>
      </c>
      <c r="F564" s="10" t="n">
        <f aca="false">E564*Staffing!$L$15/12*(1+Assumptions!$C$10)^INT((C564-1)/12)*1</f>
        <v>0</v>
      </c>
      <c r="G564" s="10" t="n">
        <f aca="false">F564*Staffing!$N$15</f>
        <v>0</v>
      </c>
      <c r="H564" s="10" t="n">
        <f aca="false">F564+G564</f>
        <v>0</v>
      </c>
      <c r="I564" s="10" t="n">
        <f aca="false">0</f>
        <v>0</v>
      </c>
      <c r="J564" s="10" t="n">
        <f aca="false">MAX(0,E564-E563)*Staffing!$O$15</f>
        <v>0</v>
      </c>
      <c r="K564" s="10" t="n">
        <f aca="false">MAX(0,E564-E563)*Staffing!$P$15</f>
        <v>0</v>
      </c>
      <c r="L564" s="23" t="n">
        <f aca="false">ROUNDUP(E564,0)</f>
        <v>0</v>
      </c>
    </row>
    <row r="565" customFormat="false" ht="15" hidden="false" customHeight="false" outlineLevel="0" collapsed="false">
      <c r="A565" s="6" t="s">
        <v>72</v>
      </c>
      <c r="B565" s="6" t="s">
        <v>347</v>
      </c>
      <c r="C565" s="6" t="n">
        <v>20</v>
      </c>
      <c r="D565" s="25" t="n">
        <f aca="false">EDATE('Start Here'!$B$6,C565-1)</f>
        <v>46905</v>
      </c>
      <c r="E565" s="23" t="n">
        <f aca="false">IF(AND(C565&gt;=Staffing!$F$15,C565&lt;=Staffing!$G$15,1=1),IF(C565&lt;=6,Staffing!$H$15,IF(C565&lt;=15,Staffing!$I$15,IF(C565&lt;=30,Staffing!$J$15,Staffing!$K$15))),0)</f>
        <v>0</v>
      </c>
      <c r="F565" s="10" t="n">
        <f aca="false">E565*Staffing!$L$15/12*(1+Assumptions!$C$10)^INT((C565-1)/12)*1</f>
        <v>0</v>
      </c>
      <c r="G565" s="10" t="n">
        <f aca="false">F565*Staffing!$N$15</f>
        <v>0</v>
      </c>
      <c r="H565" s="10" t="n">
        <f aca="false">F565+G565</f>
        <v>0</v>
      </c>
      <c r="I565" s="10" t="n">
        <f aca="false">0</f>
        <v>0</v>
      </c>
      <c r="J565" s="10" t="n">
        <f aca="false">MAX(0,E565-E564)*Staffing!$O$15</f>
        <v>0</v>
      </c>
      <c r="K565" s="10" t="n">
        <f aca="false">MAX(0,E565-E564)*Staffing!$P$15</f>
        <v>0</v>
      </c>
      <c r="L565" s="23" t="n">
        <f aca="false">ROUNDUP(E565,0)</f>
        <v>0</v>
      </c>
    </row>
    <row r="566" customFormat="false" ht="15" hidden="false" customHeight="false" outlineLevel="0" collapsed="false">
      <c r="A566" s="6" t="s">
        <v>72</v>
      </c>
      <c r="B566" s="6" t="s">
        <v>347</v>
      </c>
      <c r="C566" s="6" t="n">
        <v>21</v>
      </c>
      <c r="D566" s="25" t="n">
        <f aca="false">EDATE('Start Here'!$B$6,C566-1)</f>
        <v>46935</v>
      </c>
      <c r="E566" s="23" t="n">
        <f aca="false">IF(AND(C566&gt;=Staffing!$F$15,C566&lt;=Staffing!$G$15,1=1),IF(C566&lt;=6,Staffing!$H$15,IF(C566&lt;=15,Staffing!$I$15,IF(C566&lt;=30,Staffing!$J$15,Staffing!$K$15))),0)</f>
        <v>0</v>
      </c>
      <c r="F566" s="10" t="n">
        <f aca="false">E566*Staffing!$L$15/12*(1+Assumptions!$C$10)^INT((C566-1)/12)*1</f>
        <v>0</v>
      </c>
      <c r="G566" s="10" t="n">
        <f aca="false">F566*Staffing!$N$15</f>
        <v>0</v>
      </c>
      <c r="H566" s="10" t="n">
        <f aca="false">F566+G566</f>
        <v>0</v>
      </c>
      <c r="I566" s="10" t="n">
        <f aca="false">0</f>
        <v>0</v>
      </c>
      <c r="J566" s="10" t="n">
        <f aca="false">MAX(0,E566-E565)*Staffing!$O$15</f>
        <v>0</v>
      </c>
      <c r="K566" s="10" t="n">
        <f aca="false">MAX(0,E566-E565)*Staffing!$P$15</f>
        <v>0</v>
      </c>
      <c r="L566" s="23" t="n">
        <f aca="false">ROUNDUP(E566,0)</f>
        <v>0</v>
      </c>
    </row>
    <row r="567" customFormat="false" ht="15" hidden="false" customHeight="false" outlineLevel="0" collapsed="false">
      <c r="A567" s="6" t="s">
        <v>72</v>
      </c>
      <c r="B567" s="6" t="s">
        <v>347</v>
      </c>
      <c r="C567" s="6" t="n">
        <v>22</v>
      </c>
      <c r="D567" s="25" t="n">
        <f aca="false">EDATE('Start Here'!$B$6,C567-1)</f>
        <v>46966</v>
      </c>
      <c r="E567" s="23" t="n">
        <f aca="false">IF(AND(C567&gt;=Staffing!$F$15,C567&lt;=Staffing!$G$15,1=1),IF(C567&lt;=6,Staffing!$H$15,IF(C567&lt;=15,Staffing!$I$15,IF(C567&lt;=30,Staffing!$J$15,Staffing!$K$15))),0)</f>
        <v>0</v>
      </c>
      <c r="F567" s="10" t="n">
        <f aca="false">E567*Staffing!$L$15/12*(1+Assumptions!$C$10)^INT((C567-1)/12)*1</f>
        <v>0</v>
      </c>
      <c r="G567" s="10" t="n">
        <f aca="false">F567*Staffing!$N$15</f>
        <v>0</v>
      </c>
      <c r="H567" s="10" t="n">
        <f aca="false">F567+G567</f>
        <v>0</v>
      </c>
      <c r="I567" s="10" t="n">
        <f aca="false">0</f>
        <v>0</v>
      </c>
      <c r="J567" s="10" t="n">
        <f aca="false">MAX(0,E567-E566)*Staffing!$O$15</f>
        <v>0</v>
      </c>
      <c r="K567" s="10" t="n">
        <f aca="false">MAX(0,E567-E566)*Staffing!$P$15</f>
        <v>0</v>
      </c>
      <c r="L567" s="23" t="n">
        <f aca="false">ROUNDUP(E567,0)</f>
        <v>0</v>
      </c>
    </row>
    <row r="568" customFormat="false" ht="15" hidden="false" customHeight="false" outlineLevel="0" collapsed="false">
      <c r="A568" s="6" t="s">
        <v>72</v>
      </c>
      <c r="B568" s="6" t="s">
        <v>347</v>
      </c>
      <c r="C568" s="6" t="n">
        <v>23</v>
      </c>
      <c r="D568" s="25" t="n">
        <f aca="false">EDATE('Start Here'!$B$6,C568-1)</f>
        <v>46997</v>
      </c>
      <c r="E568" s="23" t="n">
        <f aca="false">IF(AND(C568&gt;=Staffing!$F$15,C568&lt;=Staffing!$G$15,1=1),IF(C568&lt;=6,Staffing!$H$15,IF(C568&lt;=15,Staffing!$I$15,IF(C568&lt;=30,Staffing!$J$15,Staffing!$K$15))),0)</f>
        <v>0</v>
      </c>
      <c r="F568" s="10" t="n">
        <f aca="false">E568*Staffing!$L$15/12*(1+Assumptions!$C$10)^INT((C568-1)/12)*1</f>
        <v>0</v>
      </c>
      <c r="G568" s="10" t="n">
        <f aca="false">F568*Staffing!$N$15</f>
        <v>0</v>
      </c>
      <c r="H568" s="10" t="n">
        <f aca="false">F568+G568</f>
        <v>0</v>
      </c>
      <c r="I568" s="10" t="n">
        <f aca="false">0</f>
        <v>0</v>
      </c>
      <c r="J568" s="10" t="n">
        <f aca="false">MAX(0,E568-E567)*Staffing!$O$15</f>
        <v>0</v>
      </c>
      <c r="K568" s="10" t="n">
        <f aca="false">MAX(0,E568-E567)*Staffing!$P$15</f>
        <v>0</v>
      </c>
      <c r="L568" s="23" t="n">
        <f aca="false">ROUNDUP(E568,0)</f>
        <v>0</v>
      </c>
    </row>
    <row r="569" customFormat="false" ht="15" hidden="false" customHeight="false" outlineLevel="0" collapsed="false">
      <c r="A569" s="6" t="s">
        <v>72</v>
      </c>
      <c r="B569" s="6" t="s">
        <v>347</v>
      </c>
      <c r="C569" s="6" t="n">
        <v>24</v>
      </c>
      <c r="D569" s="25" t="n">
        <f aca="false">EDATE('Start Here'!$B$6,C569-1)</f>
        <v>47027</v>
      </c>
      <c r="E569" s="23" t="n">
        <f aca="false">IF(AND(C569&gt;=Staffing!$F$15,C569&lt;=Staffing!$G$15,1=1),IF(C569&lt;=6,Staffing!$H$15,IF(C569&lt;=15,Staffing!$I$15,IF(C569&lt;=30,Staffing!$J$15,Staffing!$K$15))),0)</f>
        <v>0</v>
      </c>
      <c r="F569" s="10" t="n">
        <f aca="false">E569*Staffing!$L$15/12*(1+Assumptions!$C$10)^INT((C569-1)/12)*1</f>
        <v>0</v>
      </c>
      <c r="G569" s="10" t="n">
        <f aca="false">F569*Staffing!$N$15</f>
        <v>0</v>
      </c>
      <c r="H569" s="10" t="n">
        <f aca="false">F569+G569</f>
        <v>0</v>
      </c>
      <c r="I569" s="10" t="n">
        <f aca="false">0</f>
        <v>0</v>
      </c>
      <c r="J569" s="10" t="n">
        <f aca="false">MAX(0,E569-E568)*Staffing!$O$15</f>
        <v>0</v>
      </c>
      <c r="K569" s="10" t="n">
        <f aca="false">MAX(0,E569-E568)*Staffing!$P$15</f>
        <v>0</v>
      </c>
      <c r="L569" s="23" t="n">
        <f aca="false">ROUNDUP(E569,0)</f>
        <v>0</v>
      </c>
    </row>
    <row r="570" customFormat="false" ht="15" hidden="false" customHeight="false" outlineLevel="0" collapsed="false">
      <c r="A570" s="6" t="s">
        <v>72</v>
      </c>
      <c r="B570" s="6" t="s">
        <v>347</v>
      </c>
      <c r="C570" s="6" t="n">
        <v>25</v>
      </c>
      <c r="D570" s="25" t="n">
        <f aca="false">EDATE('Start Here'!$B$6,C570-1)</f>
        <v>47058</v>
      </c>
      <c r="E570" s="11" t="n">
        <f aca="false">IF(AND(C570&gt;=Staffing!$F$15,C570&lt;=Staffing!$G$15,1=1),IF(C570&lt;=6,Staffing!$H$15,IF(C570&lt;=15,Staffing!$I$15,IF(C570&lt;=30,Staffing!$J$15,Staffing!$K$15))),0)</f>
        <v>0.25</v>
      </c>
      <c r="F570" s="10" t="n">
        <f aca="false">E570*Staffing!$L$15/12*(1+Assumptions!$C$10)^INT((C570-1)/12)*1</f>
        <v>2652.25</v>
      </c>
      <c r="G570" s="10" t="n">
        <f aca="false">F570*Staffing!$N$15</f>
        <v>1060.9</v>
      </c>
      <c r="H570" s="10" t="n">
        <f aca="false">F570+G570</f>
        <v>3713.15</v>
      </c>
      <c r="I570" s="10" t="n">
        <f aca="false">0</f>
        <v>0</v>
      </c>
      <c r="J570" s="10" t="n">
        <f aca="false">MAX(0,E570-E569)*Staffing!$O$15</f>
        <v>1250</v>
      </c>
      <c r="K570" s="10" t="n">
        <f aca="false">MAX(0,E570-E569)*Staffing!$P$15</f>
        <v>625</v>
      </c>
      <c r="L570" s="23" t="n">
        <f aca="false">ROUNDUP(E570,0)</f>
        <v>1</v>
      </c>
    </row>
    <row r="571" customFormat="false" ht="15" hidden="false" customHeight="false" outlineLevel="0" collapsed="false">
      <c r="A571" s="6" t="s">
        <v>72</v>
      </c>
      <c r="B571" s="6" t="s">
        <v>347</v>
      </c>
      <c r="C571" s="6" t="n">
        <v>26</v>
      </c>
      <c r="D571" s="25" t="n">
        <f aca="false">EDATE('Start Here'!$B$6,C571-1)</f>
        <v>47088</v>
      </c>
      <c r="E571" s="11" t="n">
        <f aca="false">IF(AND(C571&gt;=Staffing!$F$15,C571&lt;=Staffing!$G$15,1=1),IF(C571&lt;=6,Staffing!$H$15,IF(C571&lt;=15,Staffing!$I$15,IF(C571&lt;=30,Staffing!$J$15,Staffing!$K$15))),0)</f>
        <v>0.25</v>
      </c>
      <c r="F571" s="10" t="n">
        <f aca="false">E571*Staffing!$L$15/12*(1+Assumptions!$C$10)^INT((C571-1)/12)*1</f>
        <v>2652.25</v>
      </c>
      <c r="G571" s="10" t="n">
        <f aca="false">F571*Staffing!$N$15</f>
        <v>1060.9</v>
      </c>
      <c r="H571" s="10" t="n">
        <f aca="false">F571+G571</f>
        <v>3713.15</v>
      </c>
      <c r="I571" s="10" t="n">
        <f aca="false">0</f>
        <v>0</v>
      </c>
      <c r="J571" s="10" t="n">
        <f aca="false">MAX(0,E571-E570)*Staffing!$O$15</f>
        <v>0</v>
      </c>
      <c r="K571" s="10" t="n">
        <f aca="false">MAX(0,E571-E570)*Staffing!$P$15</f>
        <v>0</v>
      </c>
      <c r="L571" s="23" t="n">
        <f aca="false">ROUNDUP(E571,0)</f>
        <v>1</v>
      </c>
    </row>
    <row r="572" customFormat="false" ht="15" hidden="false" customHeight="false" outlineLevel="0" collapsed="false">
      <c r="A572" s="6" t="s">
        <v>72</v>
      </c>
      <c r="B572" s="6" t="s">
        <v>347</v>
      </c>
      <c r="C572" s="6" t="n">
        <v>27</v>
      </c>
      <c r="D572" s="25" t="n">
        <f aca="false">EDATE('Start Here'!$B$6,C572-1)</f>
        <v>47119</v>
      </c>
      <c r="E572" s="11" t="n">
        <f aca="false">IF(AND(C572&gt;=Staffing!$F$15,C572&lt;=Staffing!$G$15,1=1),IF(C572&lt;=6,Staffing!$H$15,IF(C572&lt;=15,Staffing!$I$15,IF(C572&lt;=30,Staffing!$J$15,Staffing!$K$15))),0)</f>
        <v>0.25</v>
      </c>
      <c r="F572" s="10" t="n">
        <f aca="false">E572*Staffing!$L$15/12*(1+Assumptions!$C$10)^INT((C572-1)/12)*1</f>
        <v>2652.25</v>
      </c>
      <c r="G572" s="10" t="n">
        <f aca="false">F572*Staffing!$N$15</f>
        <v>1060.9</v>
      </c>
      <c r="H572" s="10" t="n">
        <f aca="false">F572+G572</f>
        <v>3713.15</v>
      </c>
      <c r="I572" s="10" t="n">
        <f aca="false">0</f>
        <v>0</v>
      </c>
      <c r="J572" s="10" t="n">
        <f aca="false">MAX(0,E572-E571)*Staffing!$O$15</f>
        <v>0</v>
      </c>
      <c r="K572" s="10" t="n">
        <f aca="false">MAX(0,E572-E571)*Staffing!$P$15</f>
        <v>0</v>
      </c>
      <c r="L572" s="23" t="n">
        <f aca="false">ROUNDUP(E572,0)</f>
        <v>1</v>
      </c>
    </row>
    <row r="573" customFormat="false" ht="15" hidden="false" customHeight="false" outlineLevel="0" collapsed="false">
      <c r="A573" s="6" t="s">
        <v>72</v>
      </c>
      <c r="B573" s="6" t="s">
        <v>347</v>
      </c>
      <c r="C573" s="6" t="n">
        <v>28</v>
      </c>
      <c r="D573" s="25" t="n">
        <f aca="false">EDATE('Start Here'!$B$6,C573-1)</f>
        <v>47150</v>
      </c>
      <c r="E573" s="11" t="n">
        <f aca="false">IF(AND(C573&gt;=Staffing!$F$15,C573&lt;=Staffing!$G$15,1=1),IF(C573&lt;=6,Staffing!$H$15,IF(C573&lt;=15,Staffing!$I$15,IF(C573&lt;=30,Staffing!$J$15,Staffing!$K$15))),0)</f>
        <v>0.25</v>
      </c>
      <c r="F573" s="10" t="n">
        <f aca="false">E573*Staffing!$L$15/12*(1+Assumptions!$C$10)^INT((C573-1)/12)*1</f>
        <v>2652.25</v>
      </c>
      <c r="G573" s="10" t="n">
        <f aca="false">F573*Staffing!$N$15</f>
        <v>1060.9</v>
      </c>
      <c r="H573" s="10" t="n">
        <f aca="false">F573+G573</f>
        <v>3713.15</v>
      </c>
      <c r="I573" s="10" t="n">
        <f aca="false">0</f>
        <v>0</v>
      </c>
      <c r="J573" s="10" t="n">
        <f aca="false">MAX(0,E573-E572)*Staffing!$O$15</f>
        <v>0</v>
      </c>
      <c r="K573" s="10" t="n">
        <f aca="false">MAX(0,E573-E572)*Staffing!$P$15</f>
        <v>0</v>
      </c>
      <c r="L573" s="23" t="n">
        <f aca="false">ROUNDUP(E573,0)</f>
        <v>1</v>
      </c>
    </row>
    <row r="574" customFormat="false" ht="15" hidden="false" customHeight="false" outlineLevel="0" collapsed="false">
      <c r="A574" s="6" t="s">
        <v>72</v>
      </c>
      <c r="B574" s="6" t="s">
        <v>347</v>
      </c>
      <c r="C574" s="6" t="n">
        <v>29</v>
      </c>
      <c r="D574" s="25" t="n">
        <f aca="false">EDATE('Start Here'!$B$6,C574-1)</f>
        <v>47178</v>
      </c>
      <c r="E574" s="11" t="n">
        <f aca="false">IF(AND(C574&gt;=Staffing!$F$15,C574&lt;=Staffing!$G$15,1=1),IF(C574&lt;=6,Staffing!$H$15,IF(C574&lt;=15,Staffing!$I$15,IF(C574&lt;=30,Staffing!$J$15,Staffing!$K$15))),0)</f>
        <v>0.25</v>
      </c>
      <c r="F574" s="10" t="n">
        <f aca="false">E574*Staffing!$L$15/12*(1+Assumptions!$C$10)^INT((C574-1)/12)*1</f>
        <v>2652.25</v>
      </c>
      <c r="G574" s="10" t="n">
        <f aca="false">F574*Staffing!$N$15</f>
        <v>1060.9</v>
      </c>
      <c r="H574" s="10" t="n">
        <f aca="false">F574+G574</f>
        <v>3713.15</v>
      </c>
      <c r="I574" s="10" t="n">
        <f aca="false">0</f>
        <v>0</v>
      </c>
      <c r="J574" s="10" t="n">
        <f aca="false">MAX(0,E574-E573)*Staffing!$O$15</f>
        <v>0</v>
      </c>
      <c r="K574" s="10" t="n">
        <f aca="false">MAX(0,E574-E573)*Staffing!$P$15</f>
        <v>0</v>
      </c>
      <c r="L574" s="23" t="n">
        <f aca="false">ROUNDUP(E574,0)</f>
        <v>1</v>
      </c>
    </row>
    <row r="575" customFormat="false" ht="15" hidden="false" customHeight="false" outlineLevel="0" collapsed="false">
      <c r="A575" s="6" t="s">
        <v>72</v>
      </c>
      <c r="B575" s="6" t="s">
        <v>347</v>
      </c>
      <c r="C575" s="6" t="n">
        <v>30</v>
      </c>
      <c r="D575" s="25" t="n">
        <f aca="false">EDATE('Start Here'!$B$6,C575-1)</f>
        <v>47209</v>
      </c>
      <c r="E575" s="11" t="n">
        <f aca="false">IF(AND(C575&gt;=Staffing!$F$15,C575&lt;=Staffing!$G$15,1=1),IF(C575&lt;=6,Staffing!$H$15,IF(C575&lt;=15,Staffing!$I$15,IF(C575&lt;=30,Staffing!$J$15,Staffing!$K$15))),0)</f>
        <v>0.25</v>
      </c>
      <c r="F575" s="10" t="n">
        <f aca="false">E575*Staffing!$L$15/12*(1+Assumptions!$C$10)^INT((C575-1)/12)*1</f>
        <v>2652.25</v>
      </c>
      <c r="G575" s="10" t="n">
        <f aca="false">F575*Staffing!$N$15</f>
        <v>1060.9</v>
      </c>
      <c r="H575" s="10" t="n">
        <f aca="false">F575+G575</f>
        <v>3713.15</v>
      </c>
      <c r="I575" s="10" t="n">
        <f aca="false">0</f>
        <v>0</v>
      </c>
      <c r="J575" s="10" t="n">
        <f aca="false">MAX(0,E575-E574)*Staffing!$O$15</f>
        <v>0</v>
      </c>
      <c r="K575" s="10" t="n">
        <f aca="false">MAX(0,E575-E574)*Staffing!$P$15</f>
        <v>0</v>
      </c>
      <c r="L575" s="23" t="n">
        <f aca="false">ROUNDUP(E575,0)</f>
        <v>1</v>
      </c>
    </row>
    <row r="576" customFormat="false" ht="15" hidden="false" customHeight="false" outlineLevel="0" collapsed="false">
      <c r="A576" s="6" t="s">
        <v>72</v>
      </c>
      <c r="B576" s="6" t="s">
        <v>347</v>
      </c>
      <c r="C576" s="6" t="n">
        <v>31</v>
      </c>
      <c r="D576" s="25" t="n">
        <f aca="false">EDATE('Start Here'!$B$6,C576-1)</f>
        <v>47239</v>
      </c>
      <c r="E576" s="11" t="n">
        <f aca="false">IF(AND(C576&gt;=Staffing!$F$15,C576&lt;=Staffing!$G$15,1=1),IF(C576&lt;=6,Staffing!$H$15,IF(C576&lt;=15,Staffing!$I$15,IF(C576&lt;=30,Staffing!$J$15,Staffing!$K$15))),0)</f>
        <v>0.5</v>
      </c>
      <c r="F576" s="10" t="n">
        <f aca="false">E576*Staffing!$L$15/12*(1+Assumptions!$C$10)^INT((C576-1)/12)*1</f>
        <v>5304.5</v>
      </c>
      <c r="G576" s="10" t="n">
        <f aca="false">F576*Staffing!$N$15</f>
        <v>2121.8</v>
      </c>
      <c r="H576" s="10" t="n">
        <f aca="false">F576+G576</f>
        <v>7426.3</v>
      </c>
      <c r="I576" s="10" t="n">
        <f aca="false">0</f>
        <v>0</v>
      </c>
      <c r="J576" s="10" t="n">
        <f aca="false">MAX(0,E576-E575)*Staffing!$O$15</f>
        <v>1250</v>
      </c>
      <c r="K576" s="10" t="n">
        <f aca="false">MAX(0,E576-E575)*Staffing!$P$15</f>
        <v>625</v>
      </c>
      <c r="L576" s="23" t="n">
        <f aca="false">ROUNDUP(E576,0)</f>
        <v>1</v>
      </c>
    </row>
    <row r="577" customFormat="false" ht="15" hidden="false" customHeight="false" outlineLevel="0" collapsed="false">
      <c r="A577" s="6" t="s">
        <v>72</v>
      </c>
      <c r="B577" s="6" t="s">
        <v>347</v>
      </c>
      <c r="C577" s="6" t="n">
        <v>32</v>
      </c>
      <c r="D577" s="25" t="n">
        <f aca="false">EDATE('Start Here'!$B$6,C577-1)</f>
        <v>47270</v>
      </c>
      <c r="E577" s="11" t="n">
        <f aca="false">IF(AND(C577&gt;=Staffing!$F$15,C577&lt;=Staffing!$G$15,1=1),IF(C577&lt;=6,Staffing!$H$15,IF(C577&lt;=15,Staffing!$I$15,IF(C577&lt;=30,Staffing!$J$15,Staffing!$K$15))),0)</f>
        <v>0.5</v>
      </c>
      <c r="F577" s="10" t="n">
        <f aca="false">E577*Staffing!$L$15/12*(1+Assumptions!$C$10)^INT((C577-1)/12)*1</f>
        <v>5304.5</v>
      </c>
      <c r="G577" s="10" t="n">
        <f aca="false">F577*Staffing!$N$15</f>
        <v>2121.8</v>
      </c>
      <c r="H577" s="10" t="n">
        <f aca="false">F577+G577</f>
        <v>7426.3</v>
      </c>
      <c r="I577" s="10" t="n">
        <f aca="false">0</f>
        <v>0</v>
      </c>
      <c r="J577" s="10" t="n">
        <f aca="false">MAX(0,E577-E576)*Staffing!$O$15</f>
        <v>0</v>
      </c>
      <c r="K577" s="10" t="n">
        <f aca="false">MAX(0,E577-E576)*Staffing!$P$15</f>
        <v>0</v>
      </c>
      <c r="L577" s="23" t="n">
        <f aca="false">ROUNDUP(E577,0)</f>
        <v>1</v>
      </c>
    </row>
    <row r="578" customFormat="false" ht="15" hidden="false" customHeight="false" outlineLevel="0" collapsed="false">
      <c r="A578" s="6" t="s">
        <v>72</v>
      </c>
      <c r="B578" s="6" t="s">
        <v>347</v>
      </c>
      <c r="C578" s="6" t="n">
        <v>33</v>
      </c>
      <c r="D578" s="25" t="n">
        <f aca="false">EDATE('Start Here'!$B$6,C578-1)</f>
        <v>47300</v>
      </c>
      <c r="E578" s="11" t="n">
        <f aca="false">IF(AND(C578&gt;=Staffing!$F$15,C578&lt;=Staffing!$G$15,1=1),IF(C578&lt;=6,Staffing!$H$15,IF(C578&lt;=15,Staffing!$I$15,IF(C578&lt;=30,Staffing!$J$15,Staffing!$K$15))),0)</f>
        <v>0.5</v>
      </c>
      <c r="F578" s="10" t="n">
        <f aca="false">E578*Staffing!$L$15/12*(1+Assumptions!$C$10)^INT((C578-1)/12)*1</f>
        <v>5304.5</v>
      </c>
      <c r="G578" s="10" t="n">
        <f aca="false">F578*Staffing!$N$15</f>
        <v>2121.8</v>
      </c>
      <c r="H578" s="10" t="n">
        <f aca="false">F578+G578</f>
        <v>7426.3</v>
      </c>
      <c r="I578" s="10" t="n">
        <f aca="false">0</f>
        <v>0</v>
      </c>
      <c r="J578" s="10" t="n">
        <f aca="false">MAX(0,E578-E577)*Staffing!$O$15</f>
        <v>0</v>
      </c>
      <c r="K578" s="10" t="n">
        <f aca="false">MAX(0,E578-E577)*Staffing!$P$15</f>
        <v>0</v>
      </c>
      <c r="L578" s="23" t="n">
        <f aca="false">ROUNDUP(E578,0)</f>
        <v>1</v>
      </c>
    </row>
    <row r="579" customFormat="false" ht="15" hidden="false" customHeight="false" outlineLevel="0" collapsed="false">
      <c r="A579" s="6" t="s">
        <v>72</v>
      </c>
      <c r="B579" s="6" t="s">
        <v>347</v>
      </c>
      <c r="C579" s="6" t="n">
        <v>34</v>
      </c>
      <c r="D579" s="25" t="n">
        <f aca="false">EDATE('Start Here'!$B$6,C579-1)</f>
        <v>47331</v>
      </c>
      <c r="E579" s="11" t="n">
        <f aca="false">IF(AND(C579&gt;=Staffing!$F$15,C579&lt;=Staffing!$G$15,1=1),IF(C579&lt;=6,Staffing!$H$15,IF(C579&lt;=15,Staffing!$I$15,IF(C579&lt;=30,Staffing!$J$15,Staffing!$K$15))),0)</f>
        <v>0.5</v>
      </c>
      <c r="F579" s="10" t="n">
        <f aca="false">E579*Staffing!$L$15/12*(1+Assumptions!$C$10)^INT((C579-1)/12)*1</f>
        <v>5304.5</v>
      </c>
      <c r="G579" s="10" t="n">
        <f aca="false">F579*Staffing!$N$15</f>
        <v>2121.8</v>
      </c>
      <c r="H579" s="10" t="n">
        <f aca="false">F579+G579</f>
        <v>7426.3</v>
      </c>
      <c r="I579" s="10" t="n">
        <f aca="false">0</f>
        <v>0</v>
      </c>
      <c r="J579" s="10" t="n">
        <f aca="false">MAX(0,E579-E578)*Staffing!$O$15</f>
        <v>0</v>
      </c>
      <c r="K579" s="10" t="n">
        <f aca="false">MAX(0,E579-E578)*Staffing!$P$15</f>
        <v>0</v>
      </c>
      <c r="L579" s="23" t="n">
        <f aca="false">ROUNDUP(E579,0)</f>
        <v>1</v>
      </c>
    </row>
    <row r="580" customFormat="false" ht="15" hidden="false" customHeight="false" outlineLevel="0" collapsed="false">
      <c r="A580" s="6" t="s">
        <v>72</v>
      </c>
      <c r="B580" s="6" t="s">
        <v>347</v>
      </c>
      <c r="C580" s="6" t="n">
        <v>35</v>
      </c>
      <c r="D580" s="25" t="n">
        <f aca="false">EDATE('Start Here'!$B$6,C580-1)</f>
        <v>47362</v>
      </c>
      <c r="E580" s="11" t="n">
        <f aca="false">IF(AND(C580&gt;=Staffing!$F$15,C580&lt;=Staffing!$G$15,1=1),IF(C580&lt;=6,Staffing!$H$15,IF(C580&lt;=15,Staffing!$I$15,IF(C580&lt;=30,Staffing!$J$15,Staffing!$K$15))),0)</f>
        <v>0.5</v>
      </c>
      <c r="F580" s="10" t="n">
        <f aca="false">E580*Staffing!$L$15/12*(1+Assumptions!$C$10)^INT((C580-1)/12)*1</f>
        <v>5304.5</v>
      </c>
      <c r="G580" s="10" t="n">
        <f aca="false">F580*Staffing!$N$15</f>
        <v>2121.8</v>
      </c>
      <c r="H580" s="10" t="n">
        <f aca="false">F580+G580</f>
        <v>7426.3</v>
      </c>
      <c r="I580" s="10" t="n">
        <f aca="false">0</f>
        <v>0</v>
      </c>
      <c r="J580" s="10" t="n">
        <f aca="false">MAX(0,E580-E579)*Staffing!$O$15</f>
        <v>0</v>
      </c>
      <c r="K580" s="10" t="n">
        <f aca="false">MAX(0,E580-E579)*Staffing!$P$15</f>
        <v>0</v>
      </c>
      <c r="L580" s="23" t="n">
        <f aca="false">ROUNDUP(E580,0)</f>
        <v>1</v>
      </c>
    </row>
    <row r="581" customFormat="false" ht="15" hidden="false" customHeight="false" outlineLevel="0" collapsed="false">
      <c r="A581" s="6" t="s">
        <v>72</v>
      </c>
      <c r="B581" s="6" t="s">
        <v>347</v>
      </c>
      <c r="C581" s="6" t="n">
        <v>36</v>
      </c>
      <c r="D581" s="25" t="n">
        <f aca="false">EDATE('Start Here'!$B$6,C581-1)</f>
        <v>47392</v>
      </c>
      <c r="E581" s="11" t="n">
        <f aca="false">IF(AND(C581&gt;=Staffing!$F$15,C581&lt;=Staffing!$G$15,1=1),IF(C581&lt;=6,Staffing!$H$15,IF(C581&lt;=15,Staffing!$I$15,IF(C581&lt;=30,Staffing!$J$15,Staffing!$K$15))),0)</f>
        <v>0.5</v>
      </c>
      <c r="F581" s="10" t="n">
        <f aca="false">E581*Staffing!$L$15/12*(1+Assumptions!$C$10)^INT((C581-1)/12)*1</f>
        <v>5304.5</v>
      </c>
      <c r="G581" s="10" t="n">
        <f aca="false">F581*Staffing!$N$15</f>
        <v>2121.8</v>
      </c>
      <c r="H581" s="10" t="n">
        <f aca="false">F581+G581</f>
        <v>7426.3</v>
      </c>
      <c r="I581" s="10" t="n">
        <f aca="false">0</f>
        <v>0</v>
      </c>
      <c r="J581" s="10" t="n">
        <f aca="false">MAX(0,E581-E580)*Staffing!$O$15</f>
        <v>0</v>
      </c>
      <c r="K581" s="10" t="n">
        <f aca="false">MAX(0,E581-E580)*Staffing!$P$15</f>
        <v>0</v>
      </c>
      <c r="L581" s="23" t="n">
        <f aca="false">ROUNDUP(E581,0)</f>
        <v>1</v>
      </c>
    </row>
    <row r="582" customFormat="false" ht="15" hidden="false" customHeight="false" outlineLevel="0" collapsed="false">
      <c r="A582" s="6" t="s">
        <v>72</v>
      </c>
      <c r="B582" s="6" t="s">
        <v>347</v>
      </c>
      <c r="C582" s="6" t="n">
        <v>37</v>
      </c>
      <c r="D582" s="25" t="n">
        <f aca="false">EDATE('Start Here'!$B$6,C582-1)</f>
        <v>47423</v>
      </c>
      <c r="E582" s="11" t="n">
        <f aca="false">IF(AND(C582&gt;=Staffing!$F$15,C582&lt;=Staffing!$G$15,1=1),IF(C582&lt;=6,Staffing!$H$15,IF(C582&lt;=15,Staffing!$I$15,IF(C582&lt;=30,Staffing!$J$15,Staffing!$K$15))),0)</f>
        <v>0.5</v>
      </c>
      <c r="F582" s="10" t="n">
        <f aca="false">E582*Staffing!$L$15/12*(1+Assumptions!$C$10)^INT((C582-1)/12)*1</f>
        <v>5463.635</v>
      </c>
      <c r="G582" s="10" t="n">
        <f aca="false">F582*Staffing!$N$15</f>
        <v>2185.454</v>
      </c>
      <c r="H582" s="10" t="n">
        <f aca="false">F582+G582</f>
        <v>7649.089</v>
      </c>
      <c r="I582" s="10" t="n">
        <f aca="false">0</f>
        <v>0</v>
      </c>
      <c r="J582" s="10" t="n">
        <f aca="false">MAX(0,E582-E581)*Staffing!$O$15</f>
        <v>0</v>
      </c>
      <c r="K582" s="10" t="n">
        <f aca="false">MAX(0,E582-E581)*Staffing!$P$15</f>
        <v>0</v>
      </c>
      <c r="L582" s="23" t="n">
        <f aca="false">ROUNDUP(E582,0)</f>
        <v>1</v>
      </c>
    </row>
    <row r="583" customFormat="false" ht="15" hidden="false" customHeight="false" outlineLevel="0" collapsed="false">
      <c r="A583" s="6" t="s">
        <v>72</v>
      </c>
      <c r="B583" s="6" t="s">
        <v>347</v>
      </c>
      <c r="C583" s="6" t="n">
        <v>38</v>
      </c>
      <c r="D583" s="25" t="n">
        <f aca="false">EDATE('Start Here'!$B$6,C583-1)</f>
        <v>47453</v>
      </c>
      <c r="E583" s="11" t="n">
        <f aca="false">IF(AND(C583&gt;=Staffing!$F$15,C583&lt;=Staffing!$G$15,1=1),IF(C583&lt;=6,Staffing!$H$15,IF(C583&lt;=15,Staffing!$I$15,IF(C583&lt;=30,Staffing!$J$15,Staffing!$K$15))),0)</f>
        <v>0.5</v>
      </c>
      <c r="F583" s="10" t="n">
        <f aca="false">E583*Staffing!$L$15/12*(1+Assumptions!$C$10)^INT((C583-1)/12)*1</f>
        <v>5463.635</v>
      </c>
      <c r="G583" s="10" t="n">
        <f aca="false">F583*Staffing!$N$15</f>
        <v>2185.454</v>
      </c>
      <c r="H583" s="10" t="n">
        <f aca="false">F583+G583</f>
        <v>7649.089</v>
      </c>
      <c r="I583" s="10" t="n">
        <f aca="false">0</f>
        <v>0</v>
      </c>
      <c r="J583" s="10" t="n">
        <f aca="false">MAX(0,E583-E582)*Staffing!$O$15</f>
        <v>0</v>
      </c>
      <c r="K583" s="10" t="n">
        <f aca="false">MAX(0,E583-E582)*Staffing!$P$15</f>
        <v>0</v>
      </c>
      <c r="L583" s="23" t="n">
        <f aca="false">ROUNDUP(E583,0)</f>
        <v>1</v>
      </c>
    </row>
    <row r="584" customFormat="false" ht="15" hidden="false" customHeight="false" outlineLevel="0" collapsed="false">
      <c r="A584" s="6" t="s">
        <v>72</v>
      </c>
      <c r="B584" s="6" t="s">
        <v>347</v>
      </c>
      <c r="C584" s="6" t="n">
        <v>39</v>
      </c>
      <c r="D584" s="25" t="n">
        <f aca="false">EDATE('Start Here'!$B$6,C584-1)</f>
        <v>47484</v>
      </c>
      <c r="E584" s="11" t="n">
        <f aca="false">IF(AND(C584&gt;=Staffing!$F$15,C584&lt;=Staffing!$G$15,1=1),IF(C584&lt;=6,Staffing!$H$15,IF(C584&lt;=15,Staffing!$I$15,IF(C584&lt;=30,Staffing!$J$15,Staffing!$K$15))),0)</f>
        <v>0.5</v>
      </c>
      <c r="F584" s="10" t="n">
        <f aca="false">E584*Staffing!$L$15/12*(1+Assumptions!$C$10)^INT((C584-1)/12)*1</f>
        <v>5463.635</v>
      </c>
      <c r="G584" s="10" t="n">
        <f aca="false">F584*Staffing!$N$15</f>
        <v>2185.454</v>
      </c>
      <c r="H584" s="10" t="n">
        <f aca="false">F584+G584</f>
        <v>7649.089</v>
      </c>
      <c r="I584" s="10" t="n">
        <f aca="false">0</f>
        <v>0</v>
      </c>
      <c r="J584" s="10" t="n">
        <f aca="false">MAX(0,E584-E583)*Staffing!$O$15</f>
        <v>0</v>
      </c>
      <c r="K584" s="10" t="n">
        <f aca="false">MAX(0,E584-E583)*Staffing!$P$15</f>
        <v>0</v>
      </c>
      <c r="L584" s="23" t="n">
        <f aca="false">ROUNDUP(E584,0)</f>
        <v>1</v>
      </c>
    </row>
    <row r="585" customFormat="false" ht="15" hidden="false" customHeight="false" outlineLevel="0" collapsed="false">
      <c r="A585" s="6" t="s">
        <v>72</v>
      </c>
      <c r="B585" s="6" t="s">
        <v>347</v>
      </c>
      <c r="C585" s="6" t="n">
        <v>40</v>
      </c>
      <c r="D585" s="25" t="n">
        <f aca="false">EDATE('Start Here'!$B$6,C585-1)</f>
        <v>47515</v>
      </c>
      <c r="E585" s="11" t="n">
        <f aca="false">IF(AND(C585&gt;=Staffing!$F$15,C585&lt;=Staffing!$G$15,1=1),IF(C585&lt;=6,Staffing!$H$15,IF(C585&lt;=15,Staffing!$I$15,IF(C585&lt;=30,Staffing!$J$15,Staffing!$K$15))),0)</f>
        <v>0.5</v>
      </c>
      <c r="F585" s="10" t="n">
        <f aca="false">E585*Staffing!$L$15/12*(1+Assumptions!$C$10)^INT((C585-1)/12)*1</f>
        <v>5463.635</v>
      </c>
      <c r="G585" s="10" t="n">
        <f aca="false">F585*Staffing!$N$15</f>
        <v>2185.454</v>
      </c>
      <c r="H585" s="10" t="n">
        <f aca="false">F585+G585</f>
        <v>7649.089</v>
      </c>
      <c r="I585" s="10" t="n">
        <f aca="false">0</f>
        <v>0</v>
      </c>
      <c r="J585" s="10" t="n">
        <f aca="false">MAX(0,E585-E584)*Staffing!$O$15</f>
        <v>0</v>
      </c>
      <c r="K585" s="10" t="n">
        <f aca="false">MAX(0,E585-E584)*Staffing!$P$15</f>
        <v>0</v>
      </c>
      <c r="L585" s="23" t="n">
        <f aca="false">ROUNDUP(E585,0)</f>
        <v>1</v>
      </c>
    </row>
    <row r="586" customFormat="false" ht="15" hidden="false" customHeight="false" outlineLevel="0" collapsed="false">
      <c r="A586" s="6" t="s">
        <v>72</v>
      </c>
      <c r="B586" s="6" t="s">
        <v>347</v>
      </c>
      <c r="C586" s="6" t="n">
        <v>41</v>
      </c>
      <c r="D586" s="25" t="n">
        <f aca="false">EDATE('Start Here'!$B$6,C586-1)</f>
        <v>47543</v>
      </c>
      <c r="E586" s="11" t="n">
        <f aca="false">IF(AND(C586&gt;=Staffing!$F$15,C586&lt;=Staffing!$G$15,1=1),IF(C586&lt;=6,Staffing!$H$15,IF(C586&lt;=15,Staffing!$I$15,IF(C586&lt;=30,Staffing!$J$15,Staffing!$K$15))),0)</f>
        <v>0.5</v>
      </c>
      <c r="F586" s="10" t="n">
        <f aca="false">E586*Staffing!$L$15/12*(1+Assumptions!$C$10)^INT((C586-1)/12)*1</f>
        <v>5463.635</v>
      </c>
      <c r="G586" s="10" t="n">
        <f aca="false">F586*Staffing!$N$15</f>
        <v>2185.454</v>
      </c>
      <c r="H586" s="10" t="n">
        <f aca="false">F586+G586</f>
        <v>7649.089</v>
      </c>
      <c r="I586" s="10" t="n">
        <f aca="false">0</f>
        <v>0</v>
      </c>
      <c r="J586" s="10" t="n">
        <f aca="false">MAX(0,E586-E585)*Staffing!$O$15</f>
        <v>0</v>
      </c>
      <c r="K586" s="10" t="n">
        <f aca="false">MAX(0,E586-E585)*Staffing!$P$15</f>
        <v>0</v>
      </c>
      <c r="L586" s="23" t="n">
        <f aca="false">ROUNDUP(E586,0)</f>
        <v>1</v>
      </c>
    </row>
    <row r="587" customFormat="false" ht="15" hidden="false" customHeight="false" outlineLevel="0" collapsed="false">
      <c r="A587" s="6" t="s">
        <v>72</v>
      </c>
      <c r="B587" s="6" t="s">
        <v>347</v>
      </c>
      <c r="C587" s="6" t="n">
        <v>42</v>
      </c>
      <c r="D587" s="25" t="n">
        <f aca="false">EDATE('Start Here'!$B$6,C587-1)</f>
        <v>47574</v>
      </c>
      <c r="E587" s="11" t="n">
        <f aca="false">IF(AND(C587&gt;=Staffing!$F$15,C587&lt;=Staffing!$G$15,1=1),IF(C587&lt;=6,Staffing!$H$15,IF(C587&lt;=15,Staffing!$I$15,IF(C587&lt;=30,Staffing!$J$15,Staffing!$K$15))),0)</f>
        <v>0.5</v>
      </c>
      <c r="F587" s="10" t="n">
        <f aca="false">E587*Staffing!$L$15/12*(1+Assumptions!$C$10)^INT((C587-1)/12)*1</f>
        <v>5463.635</v>
      </c>
      <c r="G587" s="10" t="n">
        <f aca="false">F587*Staffing!$N$15</f>
        <v>2185.454</v>
      </c>
      <c r="H587" s="10" t="n">
        <f aca="false">F587+G587</f>
        <v>7649.089</v>
      </c>
      <c r="I587" s="10" t="n">
        <f aca="false">0</f>
        <v>0</v>
      </c>
      <c r="J587" s="10" t="n">
        <f aca="false">MAX(0,E587-E586)*Staffing!$O$15</f>
        <v>0</v>
      </c>
      <c r="K587" s="10" t="n">
        <f aca="false">MAX(0,E587-E586)*Staffing!$P$15</f>
        <v>0</v>
      </c>
      <c r="L587" s="23" t="n">
        <f aca="false">ROUNDUP(E587,0)</f>
        <v>1</v>
      </c>
    </row>
    <row r="588" customFormat="false" ht="15" hidden="false" customHeight="false" outlineLevel="0" collapsed="false">
      <c r="A588" s="6" t="s">
        <v>72</v>
      </c>
      <c r="B588" s="6" t="s">
        <v>347</v>
      </c>
      <c r="C588" s="6" t="n">
        <v>43</v>
      </c>
      <c r="D588" s="25" t="n">
        <f aca="false">EDATE('Start Here'!$B$6,C588-1)</f>
        <v>47604</v>
      </c>
      <c r="E588" s="11" t="n">
        <f aca="false">IF(AND(C588&gt;=Staffing!$F$15,C588&lt;=Staffing!$G$15,1=1),IF(C588&lt;=6,Staffing!$H$15,IF(C588&lt;=15,Staffing!$I$15,IF(C588&lt;=30,Staffing!$J$15,Staffing!$K$15))),0)</f>
        <v>0.5</v>
      </c>
      <c r="F588" s="10" t="n">
        <f aca="false">E588*Staffing!$L$15/12*(1+Assumptions!$C$10)^INT((C588-1)/12)*1</f>
        <v>5463.635</v>
      </c>
      <c r="G588" s="10" t="n">
        <f aca="false">F588*Staffing!$N$15</f>
        <v>2185.454</v>
      </c>
      <c r="H588" s="10" t="n">
        <f aca="false">F588+G588</f>
        <v>7649.089</v>
      </c>
      <c r="I588" s="10" t="n">
        <f aca="false">0</f>
        <v>0</v>
      </c>
      <c r="J588" s="10" t="n">
        <f aca="false">MAX(0,E588-E587)*Staffing!$O$15</f>
        <v>0</v>
      </c>
      <c r="K588" s="10" t="n">
        <f aca="false">MAX(0,E588-E587)*Staffing!$P$15</f>
        <v>0</v>
      </c>
      <c r="L588" s="23" t="n">
        <f aca="false">ROUNDUP(E588,0)</f>
        <v>1</v>
      </c>
    </row>
    <row r="589" customFormat="false" ht="15" hidden="false" customHeight="false" outlineLevel="0" collapsed="false">
      <c r="A589" s="6" t="s">
        <v>72</v>
      </c>
      <c r="B589" s="6" t="s">
        <v>347</v>
      </c>
      <c r="C589" s="6" t="n">
        <v>44</v>
      </c>
      <c r="D589" s="25" t="n">
        <f aca="false">EDATE('Start Here'!$B$6,C589-1)</f>
        <v>47635</v>
      </c>
      <c r="E589" s="11" t="n">
        <f aca="false">IF(AND(C589&gt;=Staffing!$F$15,C589&lt;=Staffing!$G$15,1=1),IF(C589&lt;=6,Staffing!$H$15,IF(C589&lt;=15,Staffing!$I$15,IF(C589&lt;=30,Staffing!$J$15,Staffing!$K$15))),0)</f>
        <v>0.5</v>
      </c>
      <c r="F589" s="10" t="n">
        <f aca="false">E589*Staffing!$L$15/12*(1+Assumptions!$C$10)^INT((C589-1)/12)*1</f>
        <v>5463.635</v>
      </c>
      <c r="G589" s="10" t="n">
        <f aca="false">F589*Staffing!$N$15</f>
        <v>2185.454</v>
      </c>
      <c r="H589" s="10" t="n">
        <f aca="false">F589+G589</f>
        <v>7649.089</v>
      </c>
      <c r="I589" s="10" t="n">
        <f aca="false">0</f>
        <v>0</v>
      </c>
      <c r="J589" s="10" t="n">
        <f aca="false">MAX(0,E589-E588)*Staffing!$O$15</f>
        <v>0</v>
      </c>
      <c r="K589" s="10" t="n">
        <f aca="false">MAX(0,E589-E588)*Staffing!$P$15</f>
        <v>0</v>
      </c>
      <c r="L589" s="23" t="n">
        <f aca="false">ROUNDUP(E589,0)</f>
        <v>1</v>
      </c>
    </row>
    <row r="590" customFormat="false" ht="15" hidden="false" customHeight="false" outlineLevel="0" collapsed="false">
      <c r="A590" s="6" t="s">
        <v>72</v>
      </c>
      <c r="B590" s="6" t="s">
        <v>347</v>
      </c>
      <c r="C590" s="6" t="n">
        <v>45</v>
      </c>
      <c r="D590" s="25" t="n">
        <f aca="false">EDATE('Start Here'!$B$6,C590-1)</f>
        <v>47665</v>
      </c>
      <c r="E590" s="11" t="n">
        <f aca="false">IF(AND(C590&gt;=Staffing!$F$15,C590&lt;=Staffing!$G$15,1=1),IF(C590&lt;=6,Staffing!$H$15,IF(C590&lt;=15,Staffing!$I$15,IF(C590&lt;=30,Staffing!$J$15,Staffing!$K$15))),0)</f>
        <v>0.5</v>
      </c>
      <c r="F590" s="10" t="n">
        <f aca="false">E590*Staffing!$L$15/12*(1+Assumptions!$C$10)^INT((C590-1)/12)*1</f>
        <v>5463.635</v>
      </c>
      <c r="G590" s="10" t="n">
        <f aca="false">F590*Staffing!$N$15</f>
        <v>2185.454</v>
      </c>
      <c r="H590" s="10" t="n">
        <f aca="false">F590+G590</f>
        <v>7649.089</v>
      </c>
      <c r="I590" s="10" t="n">
        <f aca="false">0</f>
        <v>0</v>
      </c>
      <c r="J590" s="10" t="n">
        <f aca="false">MAX(0,E590-E589)*Staffing!$O$15</f>
        <v>0</v>
      </c>
      <c r="K590" s="10" t="n">
        <f aca="false">MAX(0,E590-E589)*Staffing!$P$15</f>
        <v>0</v>
      </c>
      <c r="L590" s="23" t="n">
        <f aca="false">ROUNDUP(E590,0)</f>
        <v>1</v>
      </c>
    </row>
    <row r="591" customFormat="false" ht="15" hidden="false" customHeight="false" outlineLevel="0" collapsed="false">
      <c r="A591" s="6" t="s">
        <v>72</v>
      </c>
      <c r="B591" s="6" t="s">
        <v>347</v>
      </c>
      <c r="C591" s="6" t="n">
        <v>46</v>
      </c>
      <c r="D591" s="25" t="n">
        <f aca="false">EDATE('Start Here'!$B$6,C591-1)</f>
        <v>47696</v>
      </c>
      <c r="E591" s="11" t="n">
        <f aca="false">IF(AND(C591&gt;=Staffing!$F$15,C591&lt;=Staffing!$G$15,1=1),IF(C591&lt;=6,Staffing!$H$15,IF(C591&lt;=15,Staffing!$I$15,IF(C591&lt;=30,Staffing!$J$15,Staffing!$K$15))),0)</f>
        <v>0.5</v>
      </c>
      <c r="F591" s="10" t="n">
        <f aca="false">E591*Staffing!$L$15/12*(1+Assumptions!$C$10)^INT((C591-1)/12)*1</f>
        <v>5463.635</v>
      </c>
      <c r="G591" s="10" t="n">
        <f aca="false">F591*Staffing!$N$15</f>
        <v>2185.454</v>
      </c>
      <c r="H591" s="10" t="n">
        <f aca="false">F591+G591</f>
        <v>7649.089</v>
      </c>
      <c r="I591" s="10" t="n">
        <f aca="false">0</f>
        <v>0</v>
      </c>
      <c r="J591" s="10" t="n">
        <f aca="false">MAX(0,E591-E590)*Staffing!$O$15</f>
        <v>0</v>
      </c>
      <c r="K591" s="10" t="n">
        <f aca="false">MAX(0,E591-E590)*Staffing!$P$15</f>
        <v>0</v>
      </c>
      <c r="L591" s="23" t="n">
        <f aca="false">ROUNDUP(E591,0)</f>
        <v>1</v>
      </c>
    </row>
    <row r="592" customFormat="false" ht="15" hidden="false" customHeight="false" outlineLevel="0" collapsed="false">
      <c r="A592" s="6" t="s">
        <v>72</v>
      </c>
      <c r="B592" s="6" t="s">
        <v>347</v>
      </c>
      <c r="C592" s="6" t="n">
        <v>47</v>
      </c>
      <c r="D592" s="25" t="n">
        <f aca="false">EDATE('Start Here'!$B$6,C592-1)</f>
        <v>47727</v>
      </c>
      <c r="E592" s="11" t="n">
        <f aca="false">IF(AND(C592&gt;=Staffing!$F$15,C592&lt;=Staffing!$G$15,1=1),IF(C592&lt;=6,Staffing!$H$15,IF(C592&lt;=15,Staffing!$I$15,IF(C592&lt;=30,Staffing!$J$15,Staffing!$K$15))),0)</f>
        <v>0.5</v>
      </c>
      <c r="F592" s="10" t="n">
        <f aca="false">E592*Staffing!$L$15/12*(1+Assumptions!$C$10)^INT((C592-1)/12)*1</f>
        <v>5463.635</v>
      </c>
      <c r="G592" s="10" t="n">
        <f aca="false">F592*Staffing!$N$15</f>
        <v>2185.454</v>
      </c>
      <c r="H592" s="10" t="n">
        <f aca="false">F592+G592</f>
        <v>7649.089</v>
      </c>
      <c r="I592" s="10" t="n">
        <f aca="false">0</f>
        <v>0</v>
      </c>
      <c r="J592" s="10" t="n">
        <f aca="false">MAX(0,E592-E591)*Staffing!$O$15</f>
        <v>0</v>
      </c>
      <c r="K592" s="10" t="n">
        <f aca="false">MAX(0,E592-E591)*Staffing!$P$15</f>
        <v>0</v>
      </c>
      <c r="L592" s="23" t="n">
        <f aca="false">ROUNDUP(E592,0)</f>
        <v>1</v>
      </c>
    </row>
    <row r="593" customFormat="false" ht="15" hidden="false" customHeight="false" outlineLevel="0" collapsed="false">
      <c r="A593" s="6" t="s">
        <v>72</v>
      </c>
      <c r="B593" s="6" t="s">
        <v>347</v>
      </c>
      <c r="C593" s="6" t="n">
        <v>48</v>
      </c>
      <c r="D593" s="25" t="n">
        <f aca="false">EDATE('Start Here'!$B$6,C593-1)</f>
        <v>47757</v>
      </c>
      <c r="E593" s="11" t="n">
        <f aca="false">IF(AND(C593&gt;=Staffing!$F$15,C593&lt;=Staffing!$G$15,1=1),IF(C593&lt;=6,Staffing!$H$15,IF(C593&lt;=15,Staffing!$I$15,IF(C593&lt;=30,Staffing!$J$15,Staffing!$K$15))),0)</f>
        <v>0.5</v>
      </c>
      <c r="F593" s="10" t="n">
        <f aca="false">E593*Staffing!$L$15/12*(1+Assumptions!$C$10)^INT((C593-1)/12)*1</f>
        <v>5463.635</v>
      </c>
      <c r="G593" s="10" t="n">
        <f aca="false">F593*Staffing!$N$15</f>
        <v>2185.454</v>
      </c>
      <c r="H593" s="10" t="n">
        <f aca="false">F593+G593</f>
        <v>7649.089</v>
      </c>
      <c r="I593" s="10" t="n">
        <f aca="false">0</f>
        <v>0</v>
      </c>
      <c r="J593" s="10" t="n">
        <f aca="false">MAX(0,E593-E592)*Staffing!$O$15</f>
        <v>0</v>
      </c>
      <c r="K593" s="10" t="n">
        <f aca="false">MAX(0,E593-E592)*Staffing!$P$15</f>
        <v>0</v>
      </c>
      <c r="L593" s="23" t="n">
        <f aca="false">ROUNDUP(E593,0)</f>
        <v>1</v>
      </c>
    </row>
    <row r="594" customFormat="false" ht="15" hidden="false" customHeight="false" outlineLevel="0" collapsed="false">
      <c r="A594" s="6" t="s">
        <v>72</v>
      </c>
      <c r="B594" s="6" t="s">
        <v>347</v>
      </c>
      <c r="C594" s="6" t="n">
        <v>49</v>
      </c>
      <c r="D594" s="25" t="n">
        <f aca="false">EDATE('Start Here'!$B$6,C594-1)</f>
        <v>47788</v>
      </c>
      <c r="E594" s="11" t="n">
        <f aca="false">IF(AND(C594&gt;=Staffing!$F$15,C594&lt;=Staffing!$G$15,1=1),IF(C594&lt;=6,Staffing!$H$15,IF(C594&lt;=15,Staffing!$I$15,IF(C594&lt;=30,Staffing!$J$15,Staffing!$K$15))),0)</f>
        <v>0.5</v>
      </c>
      <c r="F594" s="10" t="n">
        <f aca="false">E594*Staffing!$L$15/12*(1+Assumptions!$C$10)^INT((C594-1)/12)*1</f>
        <v>5627.54405</v>
      </c>
      <c r="G594" s="10" t="n">
        <f aca="false">F594*Staffing!$N$15</f>
        <v>2251.01762</v>
      </c>
      <c r="H594" s="10" t="n">
        <f aca="false">F594+G594</f>
        <v>7878.56167</v>
      </c>
      <c r="I594" s="10" t="n">
        <f aca="false">0</f>
        <v>0</v>
      </c>
      <c r="J594" s="10" t="n">
        <f aca="false">MAX(0,E594-E593)*Staffing!$O$15</f>
        <v>0</v>
      </c>
      <c r="K594" s="10" t="n">
        <f aca="false">MAX(0,E594-E593)*Staffing!$P$15</f>
        <v>0</v>
      </c>
      <c r="L594" s="23" t="n">
        <f aca="false">ROUNDUP(E594,0)</f>
        <v>1</v>
      </c>
    </row>
    <row r="595" customFormat="false" ht="15" hidden="false" customHeight="false" outlineLevel="0" collapsed="false">
      <c r="A595" s="6" t="s">
        <v>72</v>
      </c>
      <c r="B595" s="6" t="s">
        <v>347</v>
      </c>
      <c r="C595" s="6" t="n">
        <v>50</v>
      </c>
      <c r="D595" s="25" t="n">
        <f aca="false">EDATE('Start Here'!$B$6,C595-1)</f>
        <v>47818</v>
      </c>
      <c r="E595" s="11" t="n">
        <f aca="false">IF(AND(C595&gt;=Staffing!$F$15,C595&lt;=Staffing!$G$15,1=1),IF(C595&lt;=6,Staffing!$H$15,IF(C595&lt;=15,Staffing!$I$15,IF(C595&lt;=30,Staffing!$J$15,Staffing!$K$15))),0)</f>
        <v>0.5</v>
      </c>
      <c r="F595" s="10" t="n">
        <f aca="false">E595*Staffing!$L$15/12*(1+Assumptions!$C$10)^INT((C595-1)/12)*1</f>
        <v>5627.54405</v>
      </c>
      <c r="G595" s="10" t="n">
        <f aca="false">F595*Staffing!$N$15</f>
        <v>2251.01762</v>
      </c>
      <c r="H595" s="10" t="n">
        <f aca="false">F595+G595</f>
        <v>7878.56167</v>
      </c>
      <c r="I595" s="10" t="n">
        <f aca="false">0</f>
        <v>0</v>
      </c>
      <c r="J595" s="10" t="n">
        <f aca="false">MAX(0,E595-E594)*Staffing!$O$15</f>
        <v>0</v>
      </c>
      <c r="K595" s="10" t="n">
        <f aca="false">MAX(0,E595-E594)*Staffing!$P$15</f>
        <v>0</v>
      </c>
      <c r="L595" s="23" t="n">
        <f aca="false">ROUNDUP(E595,0)</f>
        <v>1</v>
      </c>
    </row>
    <row r="596" customFormat="false" ht="15" hidden="false" customHeight="false" outlineLevel="0" collapsed="false">
      <c r="A596" s="6" t="s">
        <v>72</v>
      </c>
      <c r="B596" s="6" t="s">
        <v>347</v>
      </c>
      <c r="C596" s="6" t="n">
        <v>51</v>
      </c>
      <c r="D596" s="25" t="n">
        <f aca="false">EDATE('Start Here'!$B$6,C596-1)</f>
        <v>47849</v>
      </c>
      <c r="E596" s="11" t="n">
        <f aca="false">IF(AND(C596&gt;=Staffing!$F$15,C596&lt;=Staffing!$G$15,1=1),IF(C596&lt;=6,Staffing!$H$15,IF(C596&lt;=15,Staffing!$I$15,IF(C596&lt;=30,Staffing!$J$15,Staffing!$K$15))),0)</f>
        <v>0.5</v>
      </c>
      <c r="F596" s="10" t="n">
        <f aca="false">E596*Staffing!$L$15/12*(1+Assumptions!$C$10)^INT((C596-1)/12)*1</f>
        <v>5627.54405</v>
      </c>
      <c r="G596" s="10" t="n">
        <f aca="false">F596*Staffing!$N$15</f>
        <v>2251.01762</v>
      </c>
      <c r="H596" s="10" t="n">
        <f aca="false">F596+G596</f>
        <v>7878.56167</v>
      </c>
      <c r="I596" s="10" t="n">
        <f aca="false">0</f>
        <v>0</v>
      </c>
      <c r="J596" s="10" t="n">
        <f aca="false">MAX(0,E596-E595)*Staffing!$O$15</f>
        <v>0</v>
      </c>
      <c r="K596" s="10" t="n">
        <f aca="false">MAX(0,E596-E595)*Staffing!$P$15</f>
        <v>0</v>
      </c>
      <c r="L596" s="23" t="n">
        <f aca="false">ROUNDUP(E596,0)</f>
        <v>1</v>
      </c>
    </row>
    <row r="597" customFormat="false" ht="15" hidden="false" customHeight="false" outlineLevel="0" collapsed="false">
      <c r="A597" s="6" t="s">
        <v>72</v>
      </c>
      <c r="B597" s="6" t="s">
        <v>347</v>
      </c>
      <c r="C597" s="6" t="n">
        <v>52</v>
      </c>
      <c r="D597" s="25" t="n">
        <f aca="false">EDATE('Start Here'!$B$6,C597-1)</f>
        <v>47880</v>
      </c>
      <c r="E597" s="11" t="n">
        <f aca="false">IF(AND(C597&gt;=Staffing!$F$15,C597&lt;=Staffing!$G$15,1=1),IF(C597&lt;=6,Staffing!$H$15,IF(C597&lt;=15,Staffing!$I$15,IF(C597&lt;=30,Staffing!$J$15,Staffing!$K$15))),0)</f>
        <v>0.5</v>
      </c>
      <c r="F597" s="10" t="n">
        <f aca="false">E597*Staffing!$L$15/12*(1+Assumptions!$C$10)^INT((C597-1)/12)*1</f>
        <v>5627.54405</v>
      </c>
      <c r="G597" s="10" t="n">
        <f aca="false">F597*Staffing!$N$15</f>
        <v>2251.01762</v>
      </c>
      <c r="H597" s="10" t="n">
        <f aca="false">F597+G597</f>
        <v>7878.56167</v>
      </c>
      <c r="I597" s="10" t="n">
        <f aca="false">0</f>
        <v>0</v>
      </c>
      <c r="J597" s="10" t="n">
        <f aca="false">MAX(0,E597-E596)*Staffing!$O$15</f>
        <v>0</v>
      </c>
      <c r="K597" s="10" t="n">
        <f aca="false">MAX(0,E597-E596)*Staffing!$P$15</f>
        <v>0</v>
      </c>
      <c r="L597" s="23" t="n">
        <f aca="false">ROUNDUP(E597,0)</f>
        <v>1</v>
      </c>
    </row>
    <row r="598" customFormat="false" ht="15" hidden="false" customHeight="false" outlineLevel="0" collapsed="false">
      <c r="A598" s="6" t="s">
        <v>72</v>
      </c>
      <c r="B598" s="6" t="s">
        <v>347</v>
      </c>
      <c r="C598" s="6" t="n">
        <v>53</v>
      </c>
      <c r="D598" s="25" t="n">
        <f aca="false">EDATE('Start Here'!$B$6,C598-1)</f>
        <v>47908</v>
      </c>
      <c r="E598" s="11" t="n">
        <f aca="false">IF(AND(C598&gt;=Staffing!$F$15,C598&lt;=Staffing!$G$15,1=1),IF(C598&lt;=6,Staffing!$H$15,IF(C598&lt;=15,Staffing!$I$15,IF(C598&lt;=30,Staffing!$J$15,Staffing!$K$15))),0)</f>
        <v>0.5</v>
      </c>
      <c r="F598" s="10" t="n">
        <f aca="false">E598*Staffing!$L$15/12*(1+Assumptions!$C$10)^INT((C598-1)/12)*1</f>
        <v>5627.54405</v>
      </c>
      <c r="G598" s="10" t="n">
        <f aca="false">F598*Staffing!$N$15</f>
        <v>2251.01762</v>
      </c>
      <c r="H598" s="10" t="n">
        <f aca="false">F598+G598</f>
        <v>7878.56167</v>
      </c>
      <c r="I598" s="10" t="n">
        <f aca="false">0</f>
        <v>0</v>
      </c>
      <c r="J598" s="10" t="n">
        <f aca="false">MAX(0,E598-E597)*Staffing!$O$15</f>
        <v>0</v>
      </c>
      <c r="K598" s="10" t="n">
        <f aca="false">MAX(0,E598-E597)*Staffing!$P$15</f>
        <v>0</v>
      </c>
      <c r="L598" s="23" t="n">
        <f aca="false">ROUNDUP(E598,0)</f>
        <v>1</v>
      </c>
    </row>
    <row r="599" customFormat="false" ht="15" hidden="false" customHeight="false" outlineLevel="0" collapsed="false">
      <c r="A599" s="6" t="s">
        <v>72</v>
      </c>
      <c r="B599" s="6" t="s">
        <v>347</v>
      </c>
      <c r="C599" s="6" t="n">
        <v>54</v>
      </c>
      <c r="D599" s="25" t="n">
        <f aca="false">EDATE('Start Here'!$B$6,C599-1)</f>
        <v>47939</v>
      </c>
      <c r="E599" s="11" t="n">
        <f aca="false">IF(AND(C599&gt;=Staffing!$F$15,C599&lt;=Staffing!$G$15,1=1),IF(C599&lt;=6,Staffing!$H$15,IF(C599&lt;=15,Staffing!$I$15,IF(C599&lt;=30,Staffing!$J$15,Staffing!$K$15))),0)</f>
        <v>0.5</v>
      </c>
      <c r="F599" s="10" t="n">
        <f aca="false">E599*Staffing!$L$15/12*(1+Assumptions!$C$10)^INT((C599-1)/12)*1</f>
        <v>5627.54405</v>
      </c>
      <c r="G599" s="10" t="n">
        <f aca="false">F599*Staffing!$N$15</f>
        <v>2251.01762</v>
      </c>
      <c r="H599" s="10" t="n">
        <f aca="false">F599+G599</f>
        <v>7878.56167</v>
      </c>
      <c r="I599" s="10" t="n">
        <f aca="false">0</f>
        <v>0</v>
      </c>
      <c r="J599" s="10" t="n">
        <f aca="false">MAX(0,E599-E598)*Staffing!$O$15</f>
        <v>0</v>
      </c>
      <c r="K599" s="10" t="n">
        <f aca="false">MAX(0,E599-E598)*Staffing!$P$15</f>
        <v>0</v>
      </c>
      <c r="L599" s="23" t="n">
        <f aca="false">ROUNDUP(E599,0)</f>
        <v>1</v>
      </c>
    </row>
    <row r="600" customFormat="false" ht="15" hidden="false" customHeight="false" outlineLevel="0" collapsed="false">
      <c r="A600" s="6" t="s">
        <v>72</v>
      </c>
      <c r="B600" s="6" t="s">
        <v>347</v>
      </c>
      <c r="C600" s="6" t="n">
        <v>55</v>
      </c>
      <c r="D600" s="25" t="n">
        <f aca="false">EDATE('Start Here'!$B$6,C600-1)</f>
        <v>47969</v>
      </c>
      <c r="E600" s="11" t="n">
        <f aca="false">IF(AND(C600&gt;=Staffing!$F$15,C600&lt;=Staffing!$G$15,1=1),IF(C600&lt;=6,Staffing!$H$15,IF(C600&lt;=15,Staffing!$I$15,IF(C600&lt;=30,Staffing!$J$15,Staffing!$K$15))),0)</f>
        <v>0.5</v>
      </c>
      <c r="F600" s="10" t="n">
        <f aca="false">E600*Staffing!$L$15/12*(1+Assumptions!$C$10)^INT((C600-1)/12)*1</f>
        <v>5627.54405</v>
      </c>
      <c r="G600" s="10" t="n">
        <f aca="false">F600*Staffing!$N$15</f>
        <v>2251.01762</v>
      </c>
      <c r="H600" s="10" t="n">
        <f aca="false">F600+G600</f>
        <v>7878.56167</v>
      </c>
      <c r="I600" s="10" t="n">
        <f aca="false">0</f>
        <v>0</v>
      </c>
      <c r="J600" s="10" t="n">
        <f aca="false">MAX(0,E600-E599)*Staffing!$O$15</f>
        <v>0</v>
      </c>
      <c r="K600" s="10" t="n">
        <f aca="false">MAX(0,E600-E599)*Staffing!$P$15</f>
        <v>0</v>
      </c>
      <c r="L600" s="23" t="n">
        <f aca="false">ROUNDUP(E600,0)</f>
        <v>1</v>
      </c>
    </row>
    <row r="601" customFormat="false" ht="15" hidden="false" customHeight="false" outlineLevel="0" collapsed="false">
      <c r="A601" s="6" t="s">
        <v>72</v>
      </c>
      <c r="B601" s="6" t="s">
        <v>347</v>
      </c>
      <c r="C601" s="6" t="n">
        <v>56</v>
      </c>
      <c r="D601" s="25" t="n">
        <f aca="false">EDATE('Start Here'!$B$6,C601-1)</f>
        <v>48000</v>
      </c>
      <c r="E601" s="11" t="n">
        <f aca="false">IF(AND(C601&gt;=Staffing!$F$15,C601&lt;=Staffing!$G$15,1=1),IF(C601&lt;=6,Staffing!$H$15,IF(C601&lt;=15,Staffing!$I$15,IF(C601&lt;=30,Staffing!$J$15,Staffing!$K$15))),0)</f>
        <v>0.5</v>
      </c>
      <c r="F601" s="10" t="n">
        <f aca="false">E601*Staffing!$L$15/12*(1+Assumptions!$C$10)^INT((C601-1)/12)*1</f>
        <v>5627.54405</v>
      </c>
      <c r="G601" s="10" t="n">
        <f aca="false">F601*Staffing!$N$15</f>
        <v>2251.01762</v>
      </c>
      <c r="H601" s="10" t="n">
        <f aca="false">F601+G601</f>
        <v>7878.56167</v>
      </c>
      <c r="I601" s="10" t="n">
        <f aca="false">0</f>
        <v>0</v>
      </c>
      <c r="J601" s="10" t="n">
        <f aca="false">MAX(0,E601-E600)*Staffing!$O$15</f>
        <v>0</v>
      </c>
      <c r="K601" s="10" t="n">
        <f aca="false">MAX(0,E601-E600)*Staffing!$P$15</f>
        <v>0</v>
      </c>
      <c r="L601" s="23" t="n">
        <f aca="false">ROUNDUP(E601,0)</f>
        <v>1</v>
      </c>
    </row>
    <row r="602" customFormat="false" ht="15" hidden="false" customHeight="false" outlineLevel="0" collapsed="false">
      <c r="A602" s="6" t="s">
        <v>72</v>
      </c>
      <c r="B602" s="6" t="s">
        <v>347</v>
      </c>
      <c r="C602" s="6" t="n">
        <v>57</v>
      </c>
      <c r="D602" s="25" t="n">
        <f aca="false">EDATE('Start Here'!$B$6,C602-1)</f>
        <v>48030</v>
      </c>
      <c r="E602" s="11" t="n">
        <f aca="false">IF(AND(C602&gt;=Staffing!$F$15,C602&lt;=Staffing!$G$15,1=1),IF(C602&lt;=6,Staffing!$H$15,IF(C602&lt;=15,Staffing!$I$15,IF(C602&lt;=30,Staffing!$J$15,Staffing!$K$15))),0)</f>
        <v>0.5</v>
      </c>
      <c r="F602" s="10" t="n">
        <f aca="false">E602*Staffing!$L$15/12*(1+Assumptions!$C$10)^INT((C602-1)/12)*1</f>
        <v>5627.54405</v>
      </c>
      <c r="G602" s="10" t="n">
        <f aca="false">F602*Staffing!$N$15</f>
        <v>2251.01762</v>
      </c>
      <c r="H602" s="10" t="n">
        <f aca="false">F602+G602</f>
        <v>7878.56167</v>
      </c>
      <c r="I602" s="10" t="n">
        <f aca="false">0</f>
        <v>0</v>
      </c>
      <c r="J602" s="10" t="n">
        <f aca="false">MAX(0,E602-E601)*Staffing!$O$15</f>
        <v>0</v>
      </c>
      <c r="K602" s="10" t="n">
        <f aca="false">MAX(0,E602-E601)*Staffing!$P$15</f>
        <v>0</v>
      </c>
      <c r="L602" s="23" t="n">
        <f aca="false">ROUNDUP(E602,0)</f>
        <v>1</v>
      </c>
    </row>
    <row r="603" customFormat="false" ht="15" hidden="false" customHeight="false" outlineLevel="0" collapsed="false">
      <c r="A603" s="6" t="s">
        <v>72</v>
      </c>
      <c r="B603" s="6" t="s">
        <v>347</v>
      </c>
      <c r="C603" s="6" t="n">
        <v>58</v>
      </c>
      <c r="D603" s="25" t="n">
        <f aca="false">EDATE('Start Here'!$B$6,C603-1)</f>
        <v>48061</v>
      </c>
      <c r="E603" s="11" t="n">
        <f aca="false">IF(AND(C603&gt;=Staffing!$F$15,C603&lt;=Staffing!$G$15,1=1),IF(C603&lt;=6,Staffing!$H$15,IF(C603&lt;=15,Staffing!$I$15,IF(C603&lt;=30,Staffing!$J$15,Staffing!$K$15))),0)</f>
        <v>0.5</v>
      </c>
      <c r="F603" s="10" t="n">
        <f aca="false">E603*Staffing!$L$15/12*(1+Assumptions!$C$10)^INT((C603-1)/12)*1</f>
        <v>5627.54405</v>
      </c>
      <c r="G603" s="10" t="n">
        <f aca="false">F603*Staffing!$N$15</f>
        <v>2251.01762</v>
      </c>
      <c r="H603" s="10" t="n">
        <f aca="false">F603+G603</f>
        <v>7878.56167</v>
      </c>
      <c r="I603" s="10" t="n">
        <f aca="false">0</f>
        <v>0</v>
      </c>
      <c r="J603" s="10" t="n">
        <f aca="false">MAX(0,E603-E602)*Staffing!$O$15</f>
        <v>0</v>
      </c>
      <c r="K603" s="10" t="n">
        <f aca="false">MAX(0,E603-E602)*Staffing!$P$15</f>
        <v>0</v>
      </c>
      <c r="L603" s="23" t="n">
        <f aca="false">ROUNDUP(E603,0)</f>
        <v>1</v>
      </c>
    </row>
    <row r="604" customFormat="false" ht="15" hidden="false" customHeight="false" outlineLevel="0" collapsed="false">
      <c r="A604" s="6" t="s">
        <v>72</v>
      </c>
      <c r="B604" s="6" t="s">
        <v>347</v>
      </c>
      <c r="C604" s="6" t="n">
        <v>59</v>
      </c>
      <c r="D604" s="25" t="n">
        <f aca="false">EDATE('Start Here'!$B$6,C604-1)</f>
        <v>48092</v>
      </c>
      <c r="E604" s="11" t="n">
        <f aca="false">IF(AND(C604&gt;=Staffing!$F$15,C604&lt;=Staffing!$G$15,1=1),IF(C604&lt;=6,Staffing!$H$15,IF(C604&lt;=15,Staffing!$I$15,IF(C604&lt;=30,Staffing!$J$15,Staffing!$K$15))),0)</f>
        <v>0.5</v>
      </c>
      <c r="F604" s="10" t="n">
        <f aca="false">E604*Staffing!$L$15/12*(1+Assumptions!$C$10)^INT((C604-1)/12)*1</f>
        <v>5627.54405</v>
      </c>
      <c r="G604" s="10" t="n">
        <f aca="false">F604*Staffing!$N$15</f>
        <v>2251.01762</v>
      </c>
      <c r="H604" s="10" t="n">
        <f aca="false">F604+G604</f>
        <v>7878.56167</v>
      </c>
      <c r="I604" s="10" t="n">
        <f aca="false">0</f>
        <v>0</v>
      </c>
      <c r="J604" s="10" t="n">
        <f aca="false">MAX(0,E604-E603)*Staffing!$O$15</f>
        <v>0</v>
      </c>
      <c r="K604" s="10" t="n">
        <f aca="false">MAX(0,E604-E603)*Staffing!$P$15</f>
        <v>0</v>
      </c>
      <c r="L604" s="23" t="n">
        <f aca="false">ROUNDUP(E604,0)</f>
        <v>1</v>
      </c>
    </row>
    <row r="605" customFormat="false" ht="15" hidden="false" customHeight="false" outlineLevel="0" collapsed="false">
      <c r="A605" s="6" t="s">
        <v>72</v>
      </c>
      <c r="B605" s="6" t="s">
        <v>347</v>
      </c>
      <c r="C605" s="6" t="n">
        <v>60</v>
      </c>
      <c r="D605" s="25" t="n">
        <f aca="false">EDATE('Start Here'!$B$6,C605-1)</f>
        <v>48122</v>
      </c>
      <c r="E605" s="11" t="n">
        <f aca="false">IF(AND(C605&gt;=Staffing!$F$15,C605&lt;=Staffing!$G$15,1=1),IF(C605&lt;=6,Staffing!$H$15,IF(C605&lt;=15,Staffing!$I$15,IF(C605&lt;=30,Staffing!$J$15,Staffing!$K$15))),0)</f>
        <v>0.5</v>
      </c>
      <c r="F605" s="10" t="n">
        <f aca="false">E605*Staffing!$L$15/12*(1+Assumptions!$C$10)^INT((C605-1)/12)*1</f>
        <v>5627.54405</v>
      </c>
      <c r="G605" s="10" t="n">
        <f aca="false">F605*Staffing!$N$15</f>
        <v>2251.01762</v>
      </c>
      <c r="H605" s="10" t="n">
        <f aca="false">F605+G605</f>
        <v>7878.56167</v>
      </c>
      <c r="I605" s="10" t="n">
        <f aca="false">0</f>
        <v>0</v>
      </c>
      <c r="J605" s="10" t="n">
        <f aca="false">MAX(0,E605-E604)*Staffing!$O$15</f>
        <v>0</v>
      </c>
      <c r="K605" s="10" t="n">
        <f aca="false">MAX(0,E605-E604)*Staffing!$P$15</f>
        <v>0</v>
      </c>
      <c r="L605" s="23" t="n">
        <f aca="false">ROUNDUP(E605,0)</f>
        <v>1</v>
      </c>
    </row>
    <row r="606" customFormat="false" ht="15" hidden="false" customHeight="false" outlineLevel="0" collapsed="false">
      <c r="A606" s="6" t="s">
        <v>72</v>
      </c>
      <c r="B606" s="6" t="s">
        <v>349</v>
      </c>
      <c r="C606" s="6" t="n">
        <v>1</v>
      </c>
      <c r="D606" s="25" t="n">
        <f aca="false">EDATE('Start Here'!$B$6,C606-1)</f>
        <v>46327</v>
      </c>
      <c r="E606" s="23" t="n">
        <f aca="false">IF(AND(C606&gt;=Assumptions!$C$24,C606&lt;=Staffing!$G$16,'Start Here'!$B$7=1),IF(C606&lt;=6,Staffing!$H$16,IF(C606&lt;=15,Staffing!$I$16,IF(C606&lt;=30,Staffing!$J$16,Staffing!$K$16))),0)</f>
        <v>0</v>
      </c>
      <c r="F606" s="10" t="n">
        <f aca="false">E606*Staffing!$L$16/12*(1+Assumptions!$C$10)^INT((C606-1)/12)*1</f>
        <v>0</v>
      </c>
      <c r="G606" s="10" t="n">
        <f aca="false">F606*Staffing!$N$16</f>
        <v>0</v>
      </c>
      <c r="H606" s="10" t="n">
        <f aca="false">F606+G606</f>
        <v>0</v>
      </c>
      <c r="I606" s="10" t="n">
        <f aca="false">0</f>
        <v>0</v>
      </c>
      <c r="J606" s="10" t="n">
        <f aca="false">MAX(0,E606-0)*Staffing!$O$16</f>
        <v>0</v>
      </c>
      <c r="K606" s="10" t="n">
        <f aca="false">MAX(0,E606-0)*Staffing!$P$16</f>
        <v>0</v>
      </c>
      <c r="L606" s="23" t="n">
        <f aca="false">ROUNDUP(E606,0)</f>
        <v>0</v>
      </c>
    </row>
    <row r="607" customFormat="false" ht="15" hidden="false" customHeight="false" outlineLevel="0" collapsed="false">
      <c r="A607" s="6" t="s">
        <v>72</v>
      </c>
      <c r="B607" s="6" t="s">
        <v>349</v>
      </c>
      <c r="C607" s="6" t="n">
        <v>2</v>
      </c>
      <c r="D607" s="25" t="n">
        <f aca="false">EDATE('Start Here'!$B$6,C607-1)</f>
        <v>46357</v>
      </c>
      <c r="E607" s="23" t="n">
        <f aca="false">IF(AND(C607&gt;=Assumptions!$C$24,C607&lt;=Staffing!$G$16,'Start Here'!$B$7=1),IF(C607&lt;=6,Staffing!$H$16,IF(C607&lt;=15,Staffing!$I$16,IF(C607&lt;=30,Staffing!$J$16,Staffing!$K$16))),0)</f>
        <v>0</v>
      </c>
      <c r="F607" s="10" t="n">
        <f aca="false">E607*Staffing!$L$16/12*(1+Assumptions!$C$10)^INT((C607-1)/12)*1</f>
        <v>0</v>
      </c>
      <c r="G607" s="10" t="n">
        <f aca="false">F607*Staffing!$N$16</f>
        <v>0</v>
      </c>
      <c r="H607" s="10" t="n">
        <f aca="false">F607+G607</f>
        <v>0</v>
      </c>
      <c r="I607" s="10" t="n">
        <f aca="false">0</f>
        <v>0</v>
      </c>
      <c r="J607" s="10" t="n">
        <f aca="false">MAX(0,E607-E606)*Staffing!$O$16</f>
        <v>0</v>
      </c>
      <c r="K607" s="10" t="n">
        <f aca="false">MAX(0,E607-E606)*Staffing!$P$16</f>
        <v>0</v>
      </c>
      <c r="L607" s="23" t="n">
        <f aca="false">ROUNDUP(E607,0)</f>
        <v>0</v>
      </c>
    </row>
    <row r="608" customFormat="false" ht="15" hidden="false" customHeight="false" outlineLevel="0" collapsed="false">
      <c r="A608" s="6" t="s">
        <v>72</v>
      </c>
      <c r="B608" s="6" t="s">
        <v>349</v>
      </c>
      <c r="C608" s="6" t="n">
        <v>3</v>
      </c>
      <c r="D608" s="25" t="n">
        <f aca="false">EDATE('Start Here'!$B$6,C608-1)</f>
        <v>46388</v>
      </c>
      <c r="E608" s="23" t="n">
        <f aca="false">IF(AND(C608&gt;=Assumptions!$C$24,C608&lt;=Staffing!$G$16,'Start Here'!$B$7=1),IF(C608&lt;=6,Staffing!$H$16,IF(C608&lt;=15,Staffing!$I$16,IF(C608&lt;=30,Staffing!$J$16,Staffing!$K$16))),0)</f>
        <v>0</v>
      </c>
      <c r="F608" s="10" t="n">
        <f aca="false">E608*Staffing!$L$16/12*(1+Assumptions!$C$10)^INT((C608-1)/12)*1</f>
        <v>0</v>
      </c>
      <c r="G608" s="10" t="n">
        <f aca="false">F608*Staffing!$N$16</f>
        <v>0</v>
      </c>
      <c r="H608" s="10" t="n">
        <f aca="false">F608+G608</f>
        <v>0</v>
      </c>
      <c r="I608" s="10" t="n">
        <f aca="false">0</f>
        <v>0</v>
      </c>
      <c r="J608" s="10" t="n">
        <f aca="false">MAX(0,E608-E607)*Staffing!$O$16</f>
        <v>0</v>
      </c>
      <c r="K608" s="10" t="n">
        <f aca="false">MAX(0,E608-E607)*Staffing!$P$16</f>
        <v>0</v>
      </c>
      <c r="L608" s="23" t="n">
        <f aca="false">ROUNDUP(E608,0)</f>
        <v>0</v>
      </c>
    </row>
    <row r="609" customFormat="false" ht="15" hidden="false" customHeight="false" outlineLevel="0" collapsed="false">
      <c r="A609" s="6" t="s">
        <v>72</v>
      </c>
      <c r="B609" s="6" t="s">
        <v>349</v>
      </c>
      <c r="C609" s="6" t="n">
        <v>4</v>
      </c>
      <c r="D609" s="25" t="n">
        <f aca="false">EDATE('Start Here'!$B$6,C609-1)</f>
        <v>46419</v>
      </c>
      <c r="E609" s="23" t="n">
        <f aca="false">IF(AND(C609&gt;=Assumptions!$C$24,C609&lt;=Staffing!$G$16,'Start Here'!$B$7=1),IF(C609&lt;=6,Staffing!$H$16,IF(C609&lt;=15,Staffing!$I$16,IF(C609&lt;=30,Staffing!$J$16,Staffing!$K$16))),0)</f>
        <v>0</v>
      </c>
      <c r="F609" s="10" t="n">
        <f aca="false">E609*Staffing!$L$16/12*(1+Assumptions!$C$10)^INT((C609-1)/12)*1</f>
        <v>0</v>
      </c>
      <c r="G609" s="10" t="n">
        <f aca="false">F609*Staffing!$N$16</f>
        <v>0</v>
      </c>
      <c r="H609" s="10" t="n">
        <f aca="false">F609+G609</f>
        <v>0</v>
      </c>
      <c r="I609" s="10" t="n">
        <f aca="false">0</f>
        <v>0</v>
      </c>
      <c r="J609" s="10" t="n">
        <f aca="false">MAX(0,E609-E608)*Staffing!$O$16</f>
        <v>0</v>
      </c>
      <c r="K609" s="10" t="n">
        <f aca="false">MAX(0,E609-E608)*Staffing!$P$16</f>
        <v>0</v>
      </c>
      <c r="L609" s="23" t="n">
        <f aca="false">ROUNDUP(E609,0)</f>
        <v>0</v>
      </c>
    </row>
    <row r="610" customFormat="false" ht="15" hidden="false" customHeight="false" outlineLevel="0" collapsed="false">
      <c r="A610" s="6" t="s">
        <v>72</v>
      </c>
      <c r="B610" s="6" t="s">
        <v>349</v>
      </c>
      <c r="C610" s="6" t="n">
        <v>5</v>
      </c>
      <c r="D610" s="25" t="n">
        <f aca="false">EDATE('Start Here'!$B$6,C610-1)</f>
        <v>46447</v>
      </c>
      <c r="E610" s="23" t="n">
        <f aca="false">IF(AND(C610&gt;=Assumptions!$C$24,C610&lt;=Staffing!$G$16,'Start Here'!$B$7=1),IF(C610&lt;=6,Staffing!$H$16,IF(C610&lt;=15,Staffing!$I$16,IF(C610&lt;=30,Staffing!$J$16,Staffing!$K$16))),0)</f>
        <v>0</v>
      </c>
      <c r="F610" s="10" t="n">
        <f aca="false">E610*Staffing!$L$16/12*(1+Assumptions!$C$10)^INT((C610-1)/12)*1</f>
        <v>0</v>
      </c>
      <c r="G610" s="10" t="n">
        <f aca="false">F610*Staffing!$N$16</f>
        <v>0</v>
      </c>
      <c r="H610" s="10" t="n">
        <f aca="false">F610+G610</f>
        <v>0</v>
      </c>
      <c r="I610" s="10" t="n">
        <f aca="false">0</f>
        <v>0</v>
      </c>
      <c r="J610" s="10" t="n">
        <f aca="false">MAX(0,E610-E609)*Staffing!$O$16</f>
        <v>0</v>
      </c>
      <c r="K610" s="10" t="n">
        <f aca="false">MAX(0,E610-E609)*Staffing!$P$16</f>
        <v>0</v>
      </c>
      <c r="L610" s="23" t="n">
        <f aca="false">ROUNDUP(E610,0)</f>
        <v>0</v>
      </c>
    </row>
    <row r="611" customFormat="false" ht="15" hidden="false" customHeight="false" outlineLevel="0" collapsed="false">
      <c r="A611" s="6" t="s">
        <v>72</v>
      </c>
      <c r="B611" s="6" t="s">
        <v>349</v>
      </c>
      <c r="C611" s="6" t="n">
        <v>6</v>
      </c>
      <c r="D611" s="25" t="n">
        <f aca="false">EDATE('Start Here'!$B$6,C611-1)</f>
        <v>46478</v>
      </c>
      <c r="E611" s="23" t="n">
        <f aca="false">IF(AND(C611&gt;=Assumptions!$C$24,C611&lt;=Staffing!$G$16,'Start Here'!$B$7=1),IF(C611&lt;=6,Staffing!$H$16,IF(C611&lt;=15,Staffing!$I$16,IF(C611&lt;=30,Staffing!$J$16,Staffing!$K$16))),0)</f>
        <v>0</v>
      </c>
      <c r="F611" s="10" t="n">
        <f aca="false">E611*Staffing!$L$16/12*(1+Assumptions!$C$10)^INT((C611-1)/12)*1</f>
        <v>0</v>
      </c>
      <c r="G611" s="10" t="n">
        <f aca="false">F611*Staffing!$N$16</f>
        <v>0</v>
      </c>
      <c r="H611" s="10" t="n">
        <f aca="false">F611+G611</f>
        <v>0</v>
      </c>
      <c r="I611" s="10" t="n">
        <f aca="false">0</f>
        <v>0</v>
      </c>
      <c r="J611" s="10" t="n">
        <f aca="false">MAX(0,E611-E610)*Staffing!$O$16</f>
        <v>0</v>
      </c>
      <c r="K611" s="10" t="n">
        <f aca="false">MAX(0,E611-E610)*Staffing!$P$16</f>
        <v>0</v>
      </c>
      <c r="L611" s="23" t="n">
        <f aca="false">ROUNDUP(E611,0)</f>
        <v>0</v>
      </c>
    </row>
    <row r="612" customFormat="false" ht="15" hidden="false" customHeight="false" outlineLevel="0" collapsed="false">
      <c r="A612" s="6" t="s">
        <v>72</v>
      </c>
      <c r="B612" s="6" t="s">
        <v>349</v>
      </c>
      <c r="C612" s="6" t="n">
        <v>7</v>
      </c>
      <c r="D612" s="25" t="n">
        <f aca="false">EDATE('Start Here'!$B$6,C612-1)</f>
        <v>46508</v>
      </c>
      <c r="E612" s="23" t="n">
        <f aca="false">IF(AND(C612&gt;=Assumptions!$C$24,C612&lt;=Staffing!$G$16,'Start Here'!$B$7=1),IF(C612&lt;=6,Staffing!$H$16,IF(C612&lt;=15,Staffing!$I$16,IF(C612&lt;=30,Staffing!$J$16,Staffing!$K$16))),0)</f>
        <v>0</v>
      </c>
      <c r="F612" s="10" t="n">
        <f aca="false">E612*Staffing!$L$16/12*(1+Assumptions!$C$10)^INT((C612-1)/12)*1</f>
        <v>0</v>
      </c>
      <c r="G612" s="10" t="n">
        <f aca="false">F612*Staffing!$N$16</f>
        <v>0</v>
      </c>
      <c r="H612" s="10" t="n">
        <f aca="false">F612+G612</f>
        <v>0</v>
      </c>
      <c r="I612" s="10" t="n">
        <f aca="false">0</f>
        <v>0</v>
      </c>
      <c r="J612" s="10" t="n">
        <f aca="false">MAX(0,E612-E611)*Staffing!$O$16</f>
        <v>0</v>
      </c>
      <c r="K612" s="10" t="n">
        <f aca="false">MAX(0,E612-E611)*Staffing!$P$16</f>
        <v>0</v>
      </c>
      <c r="L612" s="23" t="n">
        <f aca="false">ROUNDUP(E612,0)</f>
        <v>0</v>
      </c>
    </row>
    <row r="613" customFormat="false" ht="15" hidden="false" customHeight="false" outlineLevel="0" collapsed="false">
      <c r="A613" s="6" t="s">
        <v>72</v>
      </c>
      <c r="B613" s="6" t="s">
        <v>349</v>
      </c>
      <c r="C613" s="6" t="n">
        <v>8</v>
      </c>
      <c r="D613" s="25" t="n">
        <f aca="false">EDATE('Start Here'!$B$6,C613-1)</f>
        <v>46539</v>
      </c>
      <c r="E613" s="23" t="n">
        <f aca="false">IF(AND(C613&gt;=Assumptions!$C$24,C613&lt;=Staffing!$G$16,'Start Here'!$B$7=1),IF(C613&lt;=6,Staffing!$H$16,IF(C613&lt;=15,Staffing!$I$16,IF(C613&lt;=30,Staffing!$J$16,Staffing!$K$16))),0)</f>
        <v>0</v>
      </c>
      <c r="F613" s="10" t="n">
        <f aca="false">E613*Staffing!$L$16/12*(1+Assumptions!$C$10)^INT((C613-1)/12)*1</f>
        <v>0</v>
      </c>
      <c r="G613" s="10" t="n">
        <f aca="false">F613*Staffing!$N$16</f>
        <v>0</v>
      </c>
      <c r="H613" s="10" t="n">
        <f aca="false">F613+G613</f>
        <v>0</v>
      </c>
      <c r="I613" s="10" t="n">
        <f aca="false">0</f>
        <v>0</v>
      </c>
      <c r="J613" s="10" t="n">
        <f aca="false">MAX(0,E613-E612)*Staffing!$O$16</f>
        <v>0</v>
      </c>
      <c r="K613" s="10" t="n">
        <f aca="false">MAX(0,E613-E612)*Staffing!$P$16</f>
        <v>0</v>
      </c>
      <c r="L613" s="23" t="n">
        <f aca="false">ROUNDUP(E613,0)</f>
        <v>0</v>
      </c>
    </row>
    <row r="614" customFormat="false" ht="15" hidden="false" customHeight="false" outlineLevel="0" collapsed="false">
      <c r="A614" s="6" t="s">
        <v>72</v>
      </c>
      <c r="B614" s="6" t="s">
        <v>349</v>
      </c>
      <c r="C614" s="6" t="n">
        <v>9</v>
      </c>
      <c r="D614" s="25" t="n">
        <f aca="false">EDATE('Start Here'!$B$6,C614-1)</f>
        <v>46569</v>
      </c>
      <c r="E614" s="23" t="n">
        <f aca="false">IF(AND(C614&gt;=Assumptions!$C$24,C614&lt;=Staffing!$G$16,'Start Here'!$B$7=1),IF(C614&lt;=6,Staffing!$H$16,IF(C614&lt;=15,Staffing!$I$16,IF(C614&lt;=30,Staffing!$J$16,Staffing!$K$16))),0)</f>
        <v>0</v>
      </c>
      <c r="F614" s="10" t="n">
        <f aca="false">E614*Staffing!$L$16/12*(1+Assumptions!$C$10)^INT((C614-1)/12)*1</f>
        <v>0</v>
      </c>
      <c r="G614" s="10" t="n">
        <f aca="false">F614*Staffing!$N$16</f>
        <v>0</v>
      </c>
      <c r="H614" s="10" t="n">
        <f aca="false">F614+G614</f>
        <v>0</v>
      </c>
      <c r="I614" s="10" t="n">
        <f aca="false">0</f>
        <v>0</v>
      </c>
      <c r="J614" s="10" t="n">
        <f aca="false">MAX(0,E614-E613)*Staffing!$O$16</f>
        <v>0</v>
      </c>
      <c r="K614" s="10" t="n">
        <f aca="false">MAX(0,E614-E613)*Staffing!$P$16</f>
        <v>0</v>
      </c>
      <c r="L614" s="23" t="n">
        <f aca="false">ROUNDUP(E614,0)</f>
        <v>0</v>
      </c>
    </row>
    <row r="615" customFormat="false" ht="15" hidden="false" customHeight="false" outlineLevel="0" collapsed="false">
      <c r="A615" s="6" t="s">
        <v>72</v>
      </c>
      <c r="B615" s="6" t="s">
        <v>349</v>
      </c>
      <c r="C615" s="6" t="n">
        <v>10</v>
      </c>
      <c r="D615" s="25" t="n">
        <f aca="false">EDATE('Start Here'!$B$6,C615-1)</f>
        <v>46600</v>
      </c>
      <c r="E615" s="23" t="n">
        <f aca="false">IF(AND(C615&gt;=Assumptions!$C$24,C615&lt;=Staffing!$G$16,'Start Here'!$B$7=1),IF(C615&lt;=6,Staffing!$H$16,IF(C615&lt;=15,Staffing!$I$16,IF(C615&lt;=30,Staffing!$J$16,Staffing!$K$16))),0)</f>
        <v>0</v>
      </c>
      <c r="F615" s="10" t="n">
        <f aca="false">E615*Staffing!$L$16/12*(1+Assumptions!$C$10)^INT((C615-1)/12)*1</f>
        <v>0</v>
      </c>
      <c r="G615" s="10" t="n">
        <f aca="false">F615*Staffing!$N$16</f>
        <v>0</v>
      </c>
      <c r="H615" s="10" t="n">
        <f aca="false">F615+G615</f>
        <v>0</v>
      </c>
      <c r="I615" s="10" t="n">
        <f aca="false">0</f>
        <v>0</v>
      </c>
      <c r="J615" s="10" t="n">
        <f aca="false">MAX(0,E615-E614)*Staffing!$O$16</f>
        <v>0</v>
      </c>
      <c r="K615" s="10" t="n">
        <f aca="false">MAX(0,E615-E614)*Staffing!$P$16</f>
        <v>0</v>
      </c>
      <c r="L615" s="23" t="n">
        <f aca="false">ROUNDUP(E615,0)</f>
        <v>0</v>
      </c>
    </row>
    <row r="616" customFormat="false" ht="15" hidden="false" customHeight="false" outlineLevel="0" collapsed="false">
      <c r="A616" s="6" t="s">
        <v>72</v>
      </c>
      <c r="B616" s="6" t="s">
        <v>349</v>
      </c>
      <c r="C616" s="6" t="n">
        <v>11</v>
      </c>
      <c r="D616" s="25" t="n">
        <f aca="false">EDATE('Start Here'!$B$6,C616-1)</f>
        <v>46631</v>
      </c>
      <c r="E616" s="23" t="n">
        <f aca="false">IF(AND(C616&gt;=Assumptions!$C$24,C616&lt;=Staffing!$G$16,'Start Here'!$B$7=1),IF(C616&lt;=6,Staffing!$H$16,IF(C616&lt;=15,Staffing!$I$16,IF(C616&lt;=30,Staffing!$J$16,Staffing!$K$16))),0)</f>
        <v>0</v>
      </c>
      <c r="F616" s="10" t="n">
        <f aca="false">E616*Staffing!$L$16/12*(1+Assumptions!$C$10)^INT((C616-1)/12)*1</f>
        <v>0</v>
      </c>
      <c r="G616" s="10" t="n">
        <f aca="false">F616*Staffing!$N$16</f>
        <v>0</v>
      </c>
      <c r="H616" s="10" t="n">
        <f aca="false">F616+G616</f>
        <v>0</v>
      </c>
      <c r="I616" s="10" t="n">
        <f aca="false">0</f>
        <v>0</v>
      </c>
      <c r="J616" s="10" t="n">
        <f aca="false">MAX(0,E616-E615)*Staffing!$O$16</f>
        <v>0</v>
      </c>
      <c r="K616" s="10" t="n">
        <f aca="false">MAX(0,E616-E615)*Staffing!$P$16</f>
        <v>0</v>
      </c>
      <c r="L616" s="23" t="n">
        <f aca="false">ROUNDUP(E616,0)</f>
        <v>0</v>
      </c>
    </row>
    <row r="617" customFormat="false" ht="15" hidden="false" customHeight="false" outlineLevel="0" collapsed="false">
      <c r="A617" s="6" t="s">
        <v>72</v>
      </c>
      <c r="B617" s="6" t="s">
        <v>349</v>
      </c>
      <c r="C617" s="6" t="n">
        <v>12</v>
      </c>
      <c r="D617" s="25" t="n">
        <f aca="false">EDATE('Start Here'!$B$6,C617-1)</f>
        <v>46661</v>
      </c>
      <c r="E617" s="23" t="n">
        <f aca="false">IF(AND(C617&gt;=Assumptions!$C$24,C617&lt;=Staffing!$G$16,'Start Here'!$B$7=1),IF(C617&lt;=6,Staffing!$H$16,IF(C617&lt;=15,Staffing!$I$16,IF(C617&lt;=30,Staffing!$J$16,Staffing!$K$16))),0)</f>
        <v>0</v>
      </c>
      <c r="F617" s="10" t="n">
        <f aca="false">E617*Staffing!$L$16/12*(1+Assumptions!$C$10)^INT((C617-1)/12)*1</f>
        <v>0</v>
      </c>
      <c r="G617" s="10" t="n">
        <f aca="false">F617*Staffing!$N$16</f>
        <v>0</v>
      </c>
      <c r="H617" s="10" t="n">
        <f aca="false">F617+G617</f>
        <v>0</v>
      </c>
      <c r="I617" s="10" t="n">
        <f aca="false">0</f>
        <v>0</v>
      </c>
      <c r="J617" s="10" t="n">
        <f aca="false">MAX(0,E617-E616)*Staffing!$O$16</f>
        <v>0</v>
      </c>
      <c r="K617" s="10" t="n">
        <f aca="false">MAX(0,E617-E616)*Staffing!$P$16</f>
        <v>0</v>
      </c>
      <c r="L617" s="23" t="n">
        <f aca="false">ROUNDUP(E617,0)</f>
        <v>0</v>
      </c>
    </row>
    <row r="618" customFormat="false" ht="15" hidden="false" customHeight="false" outlineLevel="0" collapsed="false">
      <c r="A618" s="6" t="s">
        <v>72</v>
      </c>
      <c r="B618" s="6" t="s">
        <v>349</v>
      </c>
      <c r="C618" s="6" t="n">
        <v>13</v>
      </c>
      <c r="D618" s="25" t="n">
        <f aca="false">EDATE('Start Here'!$B$6,C618-1)</f>
        <v>46692</v>
      </c>
      <c r="E618" s="23" t="n">
        <f aca="false">IF(AND(C618&gt;=Assumptions!$C$24,C618&lt;=Staffing!$G$16,'Start Here'!$B$7=1),IF(C618&lt;=6,Staffing!$H$16,IF(C618&lt;=15,Staffing!$I$16,IF(C618&lt;=30,Staffing!$J$16,Staffing!$K$16))),0)</f>
        <v>0</v>
      </c>
      <c r="F618" s="10" t="n">
        <f aca="false">E618*Staffing!$L$16/12*(1+Assumptions!$C$10)^INT((C618-1)/12)*1</f>
        <v>0</v>
      </c>
      <c r="G618" s="10" t="n">
        <f aca="false">F618*Staffing!$N$16</f>
        <v>0</v>
      </c>
      <c r="H618" s="10" t="n">
        <f aca="false">F618+G618</f>
        <v>0</v>
      </c>
      <c r="I618" s="10" t="n">
        <f aca="false">0</f>
        <v>0</v>
      </c>
      <c r="J618" s="10" t="n">
        <f aca="false">MAX(0,E618-E617)*Staffing!$O$16</f>
        <v>0</v>
      </c>
      <c r="K618" s="10" t="n">
        <f aca="false">MAX(0,E618-E617)*Staffing!$P$16</f>
        <v>0</v>
      </c>
      <c r="L618" s="23" t="n">
        <f aca="false">ROUNDUP(E618,0)</f>
        <v>0</v>
      </c>
    </row>
    <row r="619" customFormat="false" ht="15" hidden="false" customHeight="false" outlineLevel="0" collapsed="false">
      <c r="A619" s="6" t="s">
        <v>72</v>
      </c>
      <c r="B619" s="6" t="s">
        <v>349</v>
      </c>
      <c r="C619" s="6" t="n">
        <v>14</v>
      </c>
      <c r="D619" s="25" t="n">
        <f aca="false">EDATE('Start Here'!$B$6,C619-1)</f>
        <v>46722</v>
      </c>
      <c r="E619" s="23" t="n">
        <f aca="false">IF(AND(C619&gt;=Assumptions!$C$24,C619&lt;=Staffing!$G$16,'Start Here'!$B$7=1),IF(C619&lt;=6,Staffing!$H$16,IF(C619&lt;=15,Staffing!$I$16,IF(C619&lt;=30,Staffing!$J$16,Staffing!$K$16))),0)</f>
        <v>0</v>
      </c>
      <c r="F619" s="10" t="n">
        <f aca="false">E619*Staffing!$L$16/12*(1+Assumptions!$C$10)^INT((C619-1)/12)*1</f>
        <v>0</v>
      </c>
      <c r="G619" s="10" t="n">
        <f aca="false">F619*Staffing!$N$16</f>
        <v>0</v>
      </c>
      <c r="H619" s="10" t="n">
        <f aca="false">F619+G619</f>
        <v>0</v>
      </c>
      <c r="I619" s="10" t="n">
        <f aca="false">0</f>
        <v>0</v>
      </c>
      <c r="J619" s="10" t="n">
        <f aca="false">MAX(0,E619-E618)*Staffing!$O$16</f>
        <v>0</v>
      </c>
      <c r="K619" s="10" t="n">
        <f aca="false">MAX(0,E619-E618)*Staffing!$P$16</f>
        <v>0</v>
      </c>
      <c r="L619" s="23" t="n">
        <f aca="false">ROUNDUP(E619,0)</f>
        <v>0</v>
      </c>
    </row>
    <row r="620" customFormat="false" ht="15" hidden="false" customHeight="false" outlineLevel="0" collapsed="false">
      <c r="A620" s="6" t="s">
        <v>72</v>
      </c>
      <c r="B620" s="6" t="s">
        <v>349</v>
      </c>
      <c r="C620" s="6" t="n">
        <v>15</v>
      </c>
      <c r="D620" s="25" t="n">
        <f aca="false">EDATE('Start Here'!$B$6,C620-1)</f>
        <v>46753</v>
      </c>
      <c r="E620" s="23" t="n">
        <f aca="false">IF(AND(C620&gt;=Assumptions!$C$24,C620&lt;=Staffing!$G$16,'Start Here'!$B$7=1),IF(C620&lt;=6,Staffing!$H$16,IF(C620&lt;=15,Staffing!$I$16,IF(C620&lt;=30,Staffing!$J$16,Staffing!$K$16))),0)</f>
        <v>0</v>
      </c>
      <c r="F620" s="10" t="n">
        <f aca="false">E620*Staffing!$L$16/12*(1+Assumptions!$C$10)^INT((C620-1)/12)*1</f>
        <v>0</v>
      </c>
      <c r="G620" s="10" t="n">
        <f aca="false">F620*Staffing!$N$16</f>
        <v>0</v>
      </c>
      <c r="H620" s="10" t="n">
        <f aca="false">F620+G620</f>
        <v>0</v>
      </c>
      <c r="I620" s="10" t="n">
        <f aca="false">0</f>
        <v>0</v>
      </c>
      <c r="J620" s="10" t="n">
        <f aca="false">MAX(0,E620-E619)*Staffing!$O$16</f>
        <v>0</v>
      </c>
      <c r="K620" s="10" t="n">
        <f aca="false">MAX(0,E620-E619)*Staffing!$P$16</f>
        <v>0</v>
      </c>
      <c r="L620" s="23" t="n">
        <f aca="false">ROUNDUP(E620,0)</f>
        <v>0</v>
      </c>
    </row>
    <row r="621" customFormat="false" ht="15" hidden="false" customHeight="false" outlineLevel="0" collapsed="false">
      <c r="A621" s="6" t="s">
        <v>72</v>
      </c>
      <c r="B621" s="6" t="s">
        <v>349</v>
      </c>
      <c r="C621" s="6" t="n">
        <v>16</v>
      </c>
      <c r="D621" s="25" t="n">
        <f aca="false">EDATE('Start Here'!$B$6,C621-1)</f>
        <v>46784</v>
      </c>
      <c r="E621" s="23" t="n">
        <f aca="false">IF(AND(C621&gt;=Assumptions!$C$24,C621&lt;=Staffing!$G$16,'Start Here'!$B$7=1),IF(C621&lt;=6,Staffing!$H$16,IF(C621&lt;=15,Staffing!$I$16,IF(C621&lt;=30,Staffing!$J$16,Staffing!$K$16))),0)</f>
        <v>0</v>
      </c>
      <c r="F621" s="10" t="n">
        <f aca="false">E621*Staffing!$L$16/12*(1+Assumptions!$C$10)^INT((C621-1)/12)*1</f>
        <v>0</v>
      </c>
      <c r="G621" s="10" t="n">
        <f aca="false">F621*Staffing!$N$16</f>
        <v>0</v>
      </c>
      <c r="H621" s="10" t="n">
        <f aca="false">F621+G621</f>
        <v>0</v>
      </c>
      <c r="I621" s="10" t="n">
        <f aca="false">0</f>
        <v>0</v>
      </c>
      <c r="J621" s="10" t="n">
        <f aca="false">MAX(0,E621-E620)*Staffing!$O$16</f>
        <v>0</v>
      </c>
      <c r="K621" s="10" t="n">
        <f aca="false">MAX(0,E621-E620)*Staffing!$P$16</f>
        <v>0</v>
      </c>
      <c r="L621" s="23" t="n">
        <f aca="false">ROUNDUP(E621,0)</f>
        <v>0</v>
      </c>
    </row>
    <row r="622" customFormat="false" ht="15" hidden="false" customHeight="false" outlineLevel="0" collapsed="false">
      <c r="A622" s="6" t="s">
        <v>72</v>
      </c>
      <c r="B622" s="6" t="s">
        <v>349</v>
      </c>
      <c r="C622" s="6" t="n">
        <v>17</v>
      </c>
      <c r="D622" s="25" t="n">
        <f aca="false">EDATE('Start Here'!$B$6,C622-1)</f>
        <v>46813</v>
      </c>
      <c r="E622" s="23" t="n">
        <f aca="false">IF(AND(C622&gt;=Assumptions!$C$24,C622&lt;=Staffing!$G$16,'Start Here'!$B$7=1),IF(C622&lt;=6,Staffing!$H$16,IF(C622&lt;=15,Staffing!$I$16,IF(C622&lt;=30,Staffing!$J$16,Staffing!$K$16))),0)</f>
        <v>0</v>
      </c>
      <c r="F622" s="10" t="n">
        <f aca="false">E622*Staffing!$L$16/12*(1+Assumptions!$C$10)^INT((C622-1)/12)*1</f>
        <v>0</v>
      </c>
      <c r="G622" s="10" t="n">
        <f aca="false">F622*Staffing!$N$16</f>
        <v>0</v>
      </c>
      <c r="H622" s="10" t="n">
        <f aca="false">F622+G622</f>
        <v>0</v>
      </c>
      <c r="I622" s="10" t="n">
        <f aca="false">0</f>
        <v>0</v>
      </c>
      <c r="J622" s="10" t="n">
        <f aca="false">MAX(0,E622-E621)*Staffing!$O$16</f>
        <v>0</v>
      </c>
      <c r="K622" s="10" t="n">
        <f aca="false">MAX(0,E622-E621)*Staffing!$P$16</f>
        <v>0</v>
      </c>
      <c r="L622" s="23" t="n">
        <f aca="false">ROUNDUP(E622,0)</f>
        <v>0</v>
      </c>
    </row>
    <row r="623" customFormat="false" ht="15" hidden="false" customHeight="false" outlineLevel="0" collapsed="false">
      <c r="A623" s="6" t="s">
        <v>72</v>
      </c>
      <c r="B623" s="6" t="s">
        <v>349</v>
      </c>
      <c r="C623" s="6" t="n">
        <v>18</v>
      </c>
      <c r="D623" s="25" t="n">
        <f aca="false">EDATE('Start Here'!$B$6,C623-1)</f>
        <v>46844</v>
      </c>
      <c r="E623" s="23" t="n">
        <f aca="false">IF(AND(C623&gt;=Assumptions!$C$24,C623&lt;=Staffing!$G$16,'Start Here'!$B$7=1),IF(C623&lt;=6,Staffing!$H$16,IF(C623&lt;=15,Staffing!$I$16,IF(C623&lt;=30,Staffing!$J$16,Staffing!$K$16))),0)</f>
        <v>0</v>
      </c>
      <c r="F623" s="10" t="n">
        <f aca="false">E623*Staffing!$L$16/12*(1+Assumptions!$C$10)^INT((C623-1)/12)*1</f>
        <v>0</v>
      </c>
      <c r="G623" s="10" t="n">
        <f aca="false">F623*Staffing!$N$16</f>
        <v>0</v>
      </c>
      <c r="H623" s="10" t="n">
        <f aca="false">F623+G623</f>
        <v>0</v>
      </c>
      <c r="I623" s="10" t="n">
        <f aca="false">0</f>
        <v>0</v>
      </c>
      <c r="J623" s="10" t="n">
        <f aca="false">MAX(0,E623-E622)*Staffing!$O$16</f>
        <v>0</v>
      </c>
      <c r="K623" s="10" t="n">
        <f aca="false">MAX(0,E623-E622)*Staffing!$P$16</f>
        <v>0</v>
      </c>
      <c r="L623" s="23" t="n">
        <f aca="false">ROUNDUP(E623,0)</f>
        <v>0</v>
      </c>
    </row>
    <row r="624" customFormat="false" ht="15" hidden="false" customHeight="false" outlineLevel="0" collapsed="false">
      <c r="A624" s="6" t="s">
        <v>72</v>
      </c>
      <c r="B624" s="6" t="s">
        <v>349</v>
      </c>
      <c r="C624" s="6" t="n">
        <v>19</v>
      </c>
      <c r="D624" s="25" t="n">
        <f aca="false">EDATE('Start Here'!$B$6,C624-1)</f>
        <v>46874</v>
      </c>
      <c r="E624" s="23" t="n">
        <f aca="false">IF(AND(C624&gt;=Assumptions!$C$24,C624&lt;=Staffing!$G$16,'Start Here'!$B$7=1),IF(C624&lt;=6,Staffing!$H$16,IF(C624&lt;=15,Staffing!$I$16,IF(C624&lt;=30,Staffing!$J$16,Staffing!$K$16))),0)</f>
        <v>0</v>
      </c>
      <c r="F624" s="10" t="n">
        <f aca="false">E624*Staffing!$L$16/12*(1+Assumptions!$C$10)^INT((C624-1)/12)*1</f>
        <v>0</v>
      </c>
      <c r="G624" s="10" t="n">
        <f aca="false">F624*Staffing!$N$16</f>
        <v>0</v>
      </c>
      <c r="H624" s="10" t="n">
        <f aca="false">F624+G624</f>
        <v>0</v>
      </c>
      <c r="I624" s="10" t="n">
        <f aca="false">0</f>
        <v>0</v>
      </c>
      <c r="J624" s="10" t="n">
        <f aca="false">MAX(0,E624-E623)*Staffing!$O$16</f>
        <v>0</v>
      </c>
      <c r="K624" s="10" t="n">
        <f aca="false">MAX(0,E624-E623)*Staffing!$P$16</f>
        <v>0</v>
      </c>
      <c r="L624" s="23" t="n">
        <f aca="false">ROUNDUP(E624,0)</f>
        <v>0</v>
      </c>
    </row>
    <row r="625" customFormat="false" ht="15" hidden="false" customHeight="false" outlineLevel="0" collapsed="false">
      <c r="A625" s="6" t="s">
        <v>72</v>
      </c>
      <c r="B625" s="6" t="s">
        <v>349</v>
      </c>
      <c r="C625" s="6" t="n">
        <v>20</v>
      </c>
      <c r="D625" s="25" t="n">
        <f aca="false">EDATE('Start Here'!$B$6,C625-1)</f>
        <v>46905</v>
      </c>
      <c r="E625" s="23" t="n">
        <f aca="false">IF(AND(C625&gt;=Assumptions!$C$24,C625&lt;=Staffing!$G$16,'Start Here'!$B$7=1),IF(C625&lt;=6,Staffing!$H$16,IF(C625&lt;=15,Staffing!$I$16,IF(C625&lt;=30,Staffing!$J$16,Staffing!$K$16))),0)</f>
        <v>0</v>
      </c>
      <c r="F625" s="10" t="n">
        <f aca="false">E625*Staffing!$L$16/12*(1+Assumptions!$C$10)^INT((C625-1)/12)*1</f>
        <v>0</v>
      </c>
      <c r="G625" s="10" t="n">
        <f aca="false">F625*Staffing!$N$16</f>
        <v>0</v>
      </c>
      <c r="H625" s="10" t="n">
        <f aca="false">F625+G625</f>
        <v>0</v>
      </c>
      <c r="I625" s="10" t="n">
        <f aca="false">0</f>
        <v>0</v>
      </c>
      <c r="J625" s="10" t="n">
        <f aca="false">MAX(0,E625-E624)*Staffing!$O$16</f>
        <v>0</v>
      </c>
      <c r="K625" s="10" t="n">
        <f aca="false">MAX(0,E625-E624)*Staffing!$P$16</f>
        <v>0</v>
      </c>
      <c r="L625" s="23" t="n">
        <f aca="false">ROUNDUP(E625,0)</f>
        <v>0</v>
      </c>
    </row>
    <row r="626" customFormat="false" ht="15" hidden="false" customHeight="false" outlineLevel="0" collapsed="false">
      <c r="A626" s="6" t="s">
        <v>72</v>
      </c>
      <c r="B626" s="6" t="s">
        <v>349</v>
      </c>
      <c r="C626" s="6" t="n">
        <v>21</v>
      </c>
      <c r="D626" s="25" t="n">
        <f aca="false">EDATE('Start Here'!$B$6,C626-1)</f>
        <v>46935</v>
      </c>
      <c r="E626" s="23" t="n">
        <f aca="false">IF(AND(C626&gt;=Assumptions!$C$24,C626&lt;=Staffing!$G$16,'Start Here'!$B$7=1),IF(C626&lt;=6,Staffing!$H$16,IF(C626&lt;=15,Staffing!$I$16,IF(C626&lt;=30,Staffing!$J$16,Staffing!$K$16))),0)</f>
        <v>0</v>
      </c>
      <c r="F626" s="10" t="n">
        <f aca="false">E626*Staffing!$L$16/12*(1+Assumptions!$C$10)^INT((C626-1)/12)*1</f>
        <v>0</v>
      </c>
      <c r="G626" s="10" t="n">
        <f aca="false">F626*Staffing!$N$16</f>
        <v>0</v>
      </c>
      <c r="H626" s="10" t="n">
        <f aca="false">F626+G626</f>
        <v>0</v>
      </c>
      <c r="I626" s="10" t="n">
        <f aca="false">0</f>
        <v>0</v>
      </c>
      <c r="J626" s="10" t="n">
        <f aca="false">MAX(0,E626-E625)*Staffing!$O$16</f>
        <v>0</v>
      </c>
      <c r="K626" s="10" t="n">
        <f aca="false">MAX(0,E626-E625)*Staffing!$P$16</f>
        <v>0</v>
      </c>
      <c r="L626" s="23" t="n">
        <f aca="false">ROUNDUP(E626,0)</f>
        <v>0</v>
      </c>
    </row>
    <row r="627" customFormat="false" ht="15" hidden="false" customHeight="false" outlineLevel="0" collapsed="false">
      <c r="A627" s="6" t="s">
        <v>72</v>
      </c>
      <c r="B627" s="6" t="s">
        <v>349</v>
      </c>
      <c r="C627" s="6" t="n">
        <v>22</v>
      </c>
      <c r="D627" s="25" t="n">
        <f aca="false">EDATE('Start Here'!$B$6,C627-1)</f>
        <v>46966</v>
      </c>
      <c r="E627" s="23" t="n">
        <f aca="false">IF(AND(C627&gt;=Assumptions!$C$24,C627&lt;=Staffing!$G$16,'Start Here'!$B$7=1),IF(C627&lt;=6,Staffing!$H$16,IF(C627&lt;=15,Staffing!$I$16,IF(C627&lt;=30,Staffing!$J$16,Staffing!$K$16))),0)</f>
        <v>0</v>
      </c>
      <c r="F627" s="10" t="n">
        <f aca="false">E627*Staffing!$L$16/12*(1+Assumptions!$C$10)^INT((C627-1)/12)*1</f>
        <v>0</v>
      </c>
      <c r="G627" s="10" t="n">
        <f aca="false">F627*Staffing!$N$16</f>
        <v>0</v>
      </c>
      <c r="H627" s="10" t="n">
        <f aca="false">F627+G627</f>
        <v>0</v>
      </c>
      <c r="I627" s="10" t="n">
        <f aca="false">0</f>
        <v>0</v>
      </c>
      <c r="J627" s="10" t="n">
        <f aca="false">MAX(0,E627-E626)*Staffing!$O$16</f>
        <v>0</v>
      </c>
      <c r="K627" s="10" t="n">
        <f aca="false">MAX(0,E627-E626)*Staffing!$P$16</f>
        <v>0</v>
      </c>
      <c r="L627" s="23" t="n">
        <f aca="false">ROUNDUP(E627,0)</f>
        <v>0</v>
      </c>
    </row>
    <row r="628" customFormat="false" ht="15" hidden="false" customHeight="false" outlineLevel="0" collapsed="false">
      <c r="A628" s="6" t="s">
        <v>72</v>
      </c>
      <c r="B628" s="6" t="s">
        <v>349</v>
      </c>
      <c r="C628" s="6" t="n">
        <v>23</v>
      </c>
      <c r="D628" s="25" t="n">
        <f aca="false">EDATE('Start Here'!$B$6,C628-1)</f>
        <v>46997</v>
      </c>
      <c r="E628" s="23" t="n">
        <f aca="false">IF(AND(C628&gt;=Assumptions!$C$24,C628&lt;=Staffing!$G$16,'Start Here'!$B$7=1),IF(C628&lt;=6,Staffing!$H$16,IF(C628&lt;=15,Staffing!$I$16,IF(C628&lt;=30,Staffing!$J$16,Staffing!$K$16))),0)</f>
        <v>0</v>
      </c>
      <c r="F628" s="10" t="n">
        <f aca="false">E628*Staffing!$L$16/12*(1+Assumptions!$C$10)^INT((C628-1)/12)*1</f>
        <v>0</v>
      </c>
      <c r="G628" s="10" t="n">
        <f aca="false">F628*Staffing!$N$16</f>
        <v>0</v>
      </c>
      <c r="H628" s="10" t="n">
        <f aca="false">F628+G628</f>
        <v>0</v>
      </c>
      <c r="I628" s="10" t="n">
        <f aca="false">0</f>
        <v>0</v>
      </c>
      <c r="J628" s="10" t="n">
        <f aca="false">MAX(0,E628-E627)*Staffing!$O$16</f>
        <v>0</v>
      </c>
      <c r="K628" s="10" t="n">
        <f aca="false">MAX(0,E628-E627)*Staffing!$P$16</f>
        <v>0</v>
      </c>
      <c r="L628" s="23" t="n">
        <f aca="false">ROUNDUP(E628,0)</f>
        <v>0</v>
      </c>
    </row>
    <row r="629" customFormat="false" ht="15" hidden="false" customHeight="false" outlineLevel="0" collapsed="false">
      <c r="A629" s="6" t="s">
        <v>72</v>
      </c>
      <c r="B629" s="6" t="s">
        <v>349</v>
      </c>
      <c r="C629" s="6" t="n">
        <v>24</v>
      </c>
      <c r="D629" s="25" t="n">
        <f aca="false">EDATE('Start Here'!$B$6,C629-1)</f>
        <v>47027</v>
      </c>
      <c r="E629" s="23" t="n">
        <f aca="false">IF(AND(C629&gt;=Assumptions!$C$24,C629&lt;=Staffing!$G$16,'Start Here'!$B$7=1),IF(C629&lt;=6,Staffing!$H$16,IF(C629&lt;=15,Staffing!$I$16,IF(C629&lt;=30,Staffing!$J$16,Staffing!$K$16))),0)</f>
        <v>0</v>
      </c>
      <c r="F629" s="10" t="n">
        <f aca="false">E629*Staffing!$L$16/12*(1+Assumptions!$C$10)^INT((C629-1)/12)*1</f>
        <v>0</v>
      </c>
      <c r="G629" s="10" t="n">
        <f aca="false">F629*Staffing!$N$16</f>
        <v>0</v>
      </c>
      <c r="H629" s="10" t="n">
        <f aca="false">F629+G629</f>
        <v>0</v>
      </c>
      <c r="I629" s="10" t="n">
        <f aca="false">0</f>
        <v>0</v>
      </c>
      <c r="J629" s="10" t="n">
        <f aca="false">MAX(0,E629-E628)*Staffing!$O$16</f>
        <v>0</v>
      </c>
      <c r="K629" s="10" t="n">
        <f aca="false">MAX(0,E629-E628)*Staffing!$P$16</f>
        <v>0</v>
      </c>
      <c r="L629" s="23" t="n">
        <f aca="false">ROUNDUP(E629,0)</f>
        <v>0</v>
      </c>
    </row>
    <row r="630" customFormat="false" ht="15" hidden="false" customHeight="false" outlineLevel="0" collapsed="false">
      <c r="A630" s="6" t="s">
        <v>72</v>
      </c>
      <c r="B630" s="6" t="s">
        <v>349</v>
      </c>
      <c r="C630" s="6" t="n">
        <v>25</v>
      </c>
      <c r="D630" s="25" t="n">
        <f aca="false">EDATE('Start Here'!$B$6,C630-1)</f>
        <v>47058</v>
      </c>
      <c r="E630" s="23" t="n">
        <f aca="false">IF(AND(C630&gt;=Assumptions!$C$24,C630&lt;=Staffing!$G$16,'Start Here'!$B$7=1),IF(C630&lt;=6,Staffing!$H$16,IF(C630&lt;=15,Staffing!$I$16,IF(C630&lt;=30,Staffing!$J$16,Staffing!$K$16))),0)</f>
        <v>0</v>
      </c>
      <c r="F630" s="10" t="n">
        <f aca="false">E630*Staffing!$L$16/12*(1+Assumptions!$C$10)^INT((C630-1)/12)*1</f>
        <v>0</v>
      </c>
      <c r="G630" s="10" t="n">
        <f aca="false">F630*Staffing!$N$16</f>
        <v>0</v>
      </c>
      <c r="H630" s="10" t="n">
        <f aca="false">F630+G630</f>
        <v>0</v>
      </c>
      <c r="I630" s="10" t="n">
        <f aca="false">0</f>
        <v>0</v>
      </c>
      <c r="J630" s="10" t="n">
        <f aca="false">MAX(0,E630-E629)*Staffing!$O$16</f>
        <v>0</v>
      </c>
      <c r="K630" s="10" t="n">
        <f aca="false">MAX(0,E630-E629)*Staffing!$P$16</f>
        <v>0</v>
      </c>
      <c r="L630" s="23" t="n">
        <f aca="false">ROUNDUP(E630,0)</f>
        <v>0</v>
      </c>
    </row>
    <row r="631" customFormat="false" ht="15" hidden="false" customHeight="false" outlineLevel="0" collapsed="false">
      <c r="A631" s="6" t="s">
        <v>72</v>
      </c>
      <c r="B631" s="6" t="s">
        <v>349</v>
      </c>
      <c r="C631" s="6" t="n">
        <v>26</v>
      </c>
      <c r="D631" s="25" t="n">
        <f aca="false">EDATE('Start Here'!$B$6,C631-1)</f>
        <v>47088</v>
      </c>
      <c r="E631" s="23" t="n">
        <f aca="false">IF(AND(C631&gt;=Assumptions!$C$24,C631&lt;=Staffing!$G$16,'Start Here'!$B$7=1),IF(C631&lt;=6,Staffing!$H$16,IF(C631&lt;=15,Staffing!$I$16,IF(C631&lt;=30,Staffing!$J$16,Staffing!$K$16))),0)</f>
        <v>0</v>
      </c>
      <c r="F631" s="10" t="n">
        <f aca="false">E631*Staffing!$L$16/12*(1+Assumptions!$C$10)^INT((C631-1)/12)*1</f>
        <v>0</v>
      </c>
      <c r="G631" s="10" t="n">
        <f aca="false">F631*Staffing!$N$16</f>
        <v>0</v>
      </c>
      <c r="H631" s="10" t="n">
        <f aca="false">F631+G631</f>
        <v>0</v>
      </c>
      <c r="I631" s="10" t="n">
        <f aca="false">0</f>
        <v>0</v>
      </c>
      <c r="J631" s="10" t="n">
        <f aca="false">MAX(0,E631-E630)*Staffing!$O$16</f>
        <v>0</v>
      </c>
      <c r="K631" s="10" t="n">
        <f aca="false">MAX(0,E631-E630)*Staffing!$P$16</f>
        <v>0</v>
      </c>
      <c r="L631" s="23" t="n">
        <f aca="false">ROUNDUP(E631,0)</f>
        <v>0</v>
      </c>
    </row>
    <row r="632" customFormat="false" ht="15" hidden="false" customHeight="false" outlineLevel="0" collapsed="false">
      <c r="A632" s="6" t="s">
        <v>72</v>
      </c>
      <c r="B632" s="6" t="s">
        <v>349</v>
      </c>
      <c r="C632" s="6" t="n">
        <v>27</v>
      </c>
      <c r="D632" s="25" t="n">
        <f aca="false">EDATE('Start Here'!$B$6,C632-1)</f>
        <v>47119</v>
      </c>
      <c r="E632" s="23" t="n">
        <f aca="false">IF(AND(C632&gt;=Assumptions!$C$24,C632&lt;=Staffing!$G$16,'Start Here'!$B$7=1),IF(C632&lt;=6,Staffing!$H$16,IF(C632&lt;=15,Staffing!$I$16,IF(C632&lt;=30,Staffing!$J$16,Staffing!$K$16))),0)</f>
        <v>0</v>
      </c>
      <c r="F632" s="10" t="n">
        <f aca="false">E632*Staffing!$L$16/12*(1+Assumptions!$C$10)^INT((C632-1)/12)*1</f>
        <v>0</v>
      </c>
      <c r="G632" s="10" t="n">
        <f aca="false">F632*Staffing!$N$16</f>
        <v>0</v>
      </c>
      <c r="H632" s="10" t="n">
        <f aca="false">F632+G632</f>
        <v>0</v>
      </c>
      <c r="I632" s="10" t="n">
        <f aca="false">0</f>
        <v>0</v>
      </c>
      <c r="J632" s="10" t="n">
        <f aca="false">MAX(0,E632-E631)*Staffing!$O$16</f>
        <v>0</v>
      </c>
      <c r="K632" s="10" t="n">
        <f aca="false">MAX(0,E632-E631)*Staffing!$P$16</f>
        <v>0</v>
      </c>
      <c r="L632" s="23" t="n">
        <f aca="false">ROUNDUP(E632,0)</f>
        <v>0</v>
      </c>
    </row>
    <row r="633" customFormat="false" ht="15" hidden="false" customHeight="false" outlineLevel="0" collapsed="false">
      <c r="A633" s="6" t="s">
        <v>72</v>
      </c>
      <c r="B633" s="6" t="s">
        <v>349</v>
      </c>
      <c r="C633" s="6" t="n">
        <v>28</v>
      </c>
      <c r="D633" s="25" t="n">
        <f aca="false">EDATE('Start Here'!$B$6,C633-1)</f>
        <v>47150</v>
      </c>
      <c r="E633" s="23" t="n">
        <f aca="false">IF(AND(C633&gt;=Assumptions!$C$24,C633&lt;=Staffing!$G$16,'Start Here'!$B$7=1),IF(C633&lt;=6,Staffing!$H$16,IF(C633&lt;=15,Staffing!$I$16,IF(C633&lt;=30,Staffing!$J$16,Staffing!$K$16))),0)</f>
        <v>0</v>
      </c>
      <c r="F633" s="10" t="n">
        <f aca="false">E633*Staffing!$L$16/12*(1+Assumptions!$C$10)^INT((C633-1)/12)*1</f>
        <v>0</v>
      </c>
      <c r="G633" s="10" t="n">
        <f aca="false">F633*Staffing!$N$16</f>
        <v>0</v>
      </c>
      <c r="H633" s="10" t="n">
        <f aca="false">F633+G633</f>
        <v>0</v>
      </c>
      <c r="I633" s="10" t="n">
        <f aca="false">0</f>
        <v>0</v>
      </c>
      <c r="J633" s="10" t="n">
        <f aca="false">MAX(0,E633-E632)*Staffing!$O$16</f>
        <v>0</v>
      </c>
      <c r="K633" s="10" t="n">
        <f aca="false">MAX(0,E633-E632)*Staffing!$P$16</f>
        <v>0</v>
      </c>
      <c r="L633" s="23" t="n">
        <f aca="false">ROUNDUP(E633,0)</f>
        <v>0</v>
      </c>
    </row>
    <row r="634" customFormat="false" ht="15" hidden="false" customHeight="false" outlineLevel="0" collapsed="false">
      <c r="A634" s="6" t="s">
        <v>72</v>
      </c>
      <c r="B634" s="6" t="s">
        <v>349</v>
      </c>
      <c r="C634" s="6" t="n">
        <v>29</v>
      </c>
      <c r="D634" s="25" t="n">
        <f aca="false">EDATE('Start Here'!$B$6,C634-1)</f>
        <v>47178</v>
      </c>
      <c r="E634" s="23" t="n">
        <f aca="false">IF(AND(C634&gt;=Assumptions!$C$24,C634&lt;=Staffing!$G$16,'Start Here'!$B$7=1),IF(C634&lt;=6,Staffing!$H$16,IF(C634&lt;=15,Staffing!$I$16,IF(C634&lt;=30,Staffing!$J$16,Staffing!$K$16))),0)</f>
        <v>0</v>
      </c>
      <c r="F634" s="10" t="n">
        <f aca="false">E634*Staffing!$L$16/12*(1+Assumptions!$C$10)^INT((C634-1)/12)*1</f>
        <v>0</v>
      </c>
      <c r="G634" s="10" t="n">
        <f aca="false">F634*Staffing!$N$16</f>
        <v>0</v>
      </c>
      <c r="H634" s="10" t="n">
        <f aca="false">F634+G634</f>
        <v>0</v>
      </c>
      <c r="I634" s="10" t="n">
        <f aca="false">0</f>
        <v>0</v>
      </c>
      <c r="J634" s="10" t="n">
        <f aca="false">MAX(0,E634-E633)*Staffing!$O$16</f>
        <v>0</v>
      </c>
      <c r="K634" s="10" t="n">
        <f aca="false">MAX(0,E634-E633)*Staffing!$P$16</f>
        <v>0</v>
      </c>
      <c r="L634" s="23" t="n">
        <f aca="false">ROUNDUP(E634,0)</f>
        <v>0</v>
      </c>
    </row>
    <row r="635" customFormat="false" ht="15" hidden="false" customHeight="false" outlineLevel="0" collapsed="false">
      <c r="A635" s="6" t="s">
        <v>72</v>
      </c>
      <c r="B635" s="6" t="s">
        <v>349</v>
      </c>
      <c r="C635" s="6" t="n">
        <v>30</v>
      </c>
      <c r="D635" s="25" t="n">
        <f aca="false">EDATE('Start Here'!$B$6,C635-1)</f>
        <v>47209</v>
      </c>
      <c r="E635" s="23" t="n">
        <f aca="false">IF(AND(C635&gt;=Assumptions!$C$24,C635&lt;=Staffing!$G$16,'Start Here'!$B$7=1),IF(C635&lt;=6,Staffing!$H$16,IF(C635&lt;=15,Staffing!$I$16,IF(C635&lt;=30,Staffing!$J$16,Staffing!$K$16))),0)</f>
        <v>0</v>
      </c>
      <c r="F635" s="10" t="n">
        <f aca="false">E635*Staffing!$L$16/12*(1+Assumptions!$C$10)^INT((C635-1)/12)*1</f>
        <v>0</v>
      </c>
      <c r="G635" s="10" t="n">
        <f aca="false">F635*Staffing!$N$16</f>
        <v>0</v>
      </c>
      <c r="H635" s="10" t="n">
        <f aca="false">F635+G635</f>
        <v>0</v>
      </c>
      <c r="I635" s="10" t="n">
        <f aca="false">0</f>
        <v>0</v>
      </c>
      <c r="J635" s="10" t="n">
        <f aca="false">MAX(0,E635-E634)*Staffing!$O$16</f>
        <v>0</v>
      </c>
      <c r="K635" s="10" t="n">
        <f aca="false">MAX(0,E635-E634)*Staffing!$P$16</f>
        <v>0</v>
      </c>
      <c r="L635" s="23" t="n">
        <f aca="false">ROUNDUP(E635,0)</f>
        <v>0</v>
      </c>
    </row>
    <row r="636" customFormat="false" ht="15" hidden="false" customHeight="false" outlineLevel="0" collapsed="false">
      <c r="A636" s="6" t="s">
        <v>72</v>
      </c>
      <c r="B636" s="6" t="s">
        <v>349</v>
      </c>
      <c r="C636" s="6" t="n">
        <v>31</v>
      </c>
      <c r="D636" s="25" t="n">
        <f aca="false">EDATE('Start Here'!$B$6,C636-1)</f>
        <v>47239</v>
      </c>
      <c r="E636" s="23" t="n">
        <f aca="false">IF(AND(C636&gt;=Assumptions!$C$24,C636&lt;=Staffing!$G$16,'Start Here'!$B$7=1),IF(C636&lt;=6,Staffing!$H$16,IF(C636&lt;=15,Staffing!$I$16,IF(C636&lt;=30,Staffing!$J$16,Staffing!$K$16))),0)</f>
        <v>0</v>
      </c>
      <c r="F636" s="10" t="n">
        <f aca="false">E636*Staffing!$L$16/12*(1+Assumptions!$C$10)^INT((C636-1)/12)*1</f>
        <v>0</v>
      </c>
      <c r="G636" s="10" t="n">
        <f aca="false">F636*Staffing!$N$16</f>
        <v>0</v>
      </c>
      <c r="H636" s="10" t="n">
        <f aca="false">F636+G636</f>
        <v>0</v>
      </c>
      <c r="I636" s="10" t="n">
        <f aca="false">0</f>
        <v>0</v>
      </c>
      <c r="J636" s="10" t="n">
        <f aca="false">MAX(0,E636-E635)*Staffing!$O$16</f>
        <v>0</v>
      </c>
      <c r="K636" s="10" t="n">
        <f aca="false">MAX(0,E636-E635)*Staffing!$P$16</f>
        <v>0</v>
      </c>
      <c r="L636" s="23" t="n">
        <f aca="false">ROUNDUP(E636,0)</f>
        <v>0</v>
      </c>
    </row>
    <row r="637" customFormat="false" ht="15" hidden="false" customHeight="false" outlineLevel="0" collapsed="false">
      <c r="A637" s="6" t="s">
        <v>72</v>
      </c>
      <c r="B637" s="6" t="s">
        <v>349</v>
      </c>
      <c r="C637" s="6" t="n">
        <v>32</v>
      </c>
      <c r="D637" s="25" t="n">
        <f aca="false">EDATE('Start Here'!$B$6,C637-1)</f>
        <v>47270</v>
      </c>
      <c r="E637" s="23" t="n">
        <f aca="false">IF(AND(C637&gt;=Assumptions!$C$24,C637&lt;=Staffing!$G$16,'Start Here'!$B$7=1),IF(C637&lt;=6,Staffing!$H$16,IF(C637&lt;=15,Staffing!$I$16,IF(C637&lt;=30,Staffing!$J$16,Staffing!$K$16))),0)</f>
        <v>0</v>
      </c>
      <c r="F637" s="10" t="n">
        <f aca="false">E637*Staffing!$L$16/12*(1+Assumptions!$C$10)^INT((C637-1)/12)*1</f>
        <v>0</v>
      </c>
      <c r="G637" s="10" t="n">
        <f aca="false">F637*Staffing!$N$16</f>
        <v>0</v>
      </c>
      <c r="H637" s="10" t="n">
        <f aca="false">F637+G637</f>
        <v>0</v>
      </c>
      <c r="I637" s="10" t="n">
        <f aca="false">0</f>
        <v>0</v>
      </c>
      <c r="J637" s="10" t="n">
        <f aca="false">MAX(0,E637-E636)*Staffing!$O$16</f>
        <v>0</v>
      </c>
      <c r="K637" s="10" t="n">
        <f aca="false">MAX(0,E637-E636)*Staffing!$P$16</f>
        <v>0</v>
      </c>
      <c r="L637" s="23" t="n">
        <f aca="false">ROUNDUP(E637,0)</f>
        <v>0</v>
      </c>
    </row>
    <row r="638" customFormat="false" ht="15" hidden="false" customHeight="false" outlineLevel="0" collapsed="false">
      <c r="A638" s="6" t="s">
        <v>72</v>
      </c>
      <c r="B638" s="6" t="s">
        <v>349</v>
      </c>
      <c r="C638" s="6" t="n">
        <v>33</v>
      </c>
      <c r="D638" s="25" t="n">
        <f aca="false">EDATE('Start Here'!$B$6,C638-1)</f>
        <v>47300</v>
      </c>
      <c r="E638" s="23" t="n">
        <f aca="false">IF(AND(C638&gt;=Assumptions!$C$24,C638&lt;=Staffing!$G$16,'Start Here'!$B$7=1),IF(C638&lt;=6,Staffing!$H$16,IF(C638&lt;=15,Staffing!$I$16,IF(C638&lt;=30,Staffing!$J$16,Staffing!$K$16))),0)</f>
        <v>0</v>
      </c>
      <c r="F638" s="10" t="n">
        <f aca="false">E638*Staffing!$L$16/12*(1+Assumptions!$C$10)^INT((C638-1)/12)*1</f>
        <v>0</v>
      </c>
      <c r="G638" s="10" t="n">
        <f aca="false">F638*Staffing!$N$16</f>
        <v>0</v>
      </c>
      <c r="H638" s="10" t="n">
        <f aca="false">F638+G638</f>
        <v>0</v>
      </c>
      <c r="I638" s="10" t="n">
        <f aca="false">0</f>
        <v>0</v>
      </c>
      <c r="J638" s="10" t="n">
        <f aca="false">MAX(0,E638-E637)*Staffing!$O$16</f>
        <v>0</v>
      </c>
      <c r="K638" s="10" t="n">
        <f aca="false">MAX(0,E638-E637)*Staffing!$P$16</f>
        <v>0</v>
      </c>
      <c r="L638" s="23" t="n">
        <f aca="false">ROUNDUP(E638,0)</f>
        <v>0</v>
      </c>
    </row>
    <row r="639" customFormat="false" ht="15" hidden="false" customHeight="false" outlineLevel="0" collapsed="false">
      <c r="A639" s="6" t="s">
        <v>72</v>
      </c>
      <c r="B639" s="6" t="s">
        <v>349</v>
      </c>
      <c r="C639" s="6" t="n">
        <v>34</v>
      </c>
      <c r="D639" s="25" t="n">
        <f aca="false">EDATE('Start Here'!$B$6,C639-1)</f>
        <v>47331</v>
      </c>
      <c r="E639" s="23" t="n">
        <f aca="false">IF(AND(C639&gt;=Assumptions!$C$24,C639&lt;=Staffing!$G$16,'Start Here'!$B$7=1),IF(C639&lt;=6,Staffing!$H$16,IF(C639&lt;=15,Staffing!$I$16,IF(C639&lt;=30,Staffing!$J$16,Staffing!$K$16))),0)</f>
        <v>0</v>
      </c>
      <c r="F639" s="10" t="n">
        <f aca="false">E639*Staffing!$L$16/12*(1+Assumptions!$C$10)^INT((C639-1)/12)*1</f>
        <v>0</v>
      </c>
      <c r="G639" s="10" t="n">
        <f aca="false">F639*Staffing!$N$16</f>
        <v>0</v>
      </c>
      <c r="H639" s="10" t="n">
        <f aca="false">F639+G639</f>
        <v>0</v>
      </c>
      <c r="I639" s="10" t="n">
        <f aca="false">0</f>
        <v>0</v>
      </c>
      <c r="J639" s="10" t="n">
        <f aca="false">MAX(0,E639-E638)*Staffing!$O$16</f>
        <v>0</v>
      </c>
      <c r="K639" s="10" t="n">
        <f aca="false">MAX(0,E639-E638)*Staffing!$P$16</f>
        <v>0</v>
      </c>
      <c r="L639" s="23" t="n">
        <f aca="false">ROUNDUP(E639,0)</f>
        <v>0</v>
      </c>
    </row>
    <row r="640" customFormat="false" ht="15" hidden="false" customHeight="false" outlineLevel="0" collapsed="false">
      <c r="A640" s="6" t="s">
        <v>72</v>
      </c>
      <c r="B640" s="6" t="s">
        <v>349</v>
      </c>
      <c r="C640" s="6" t="n">
        <v>35</v>
      </c>
      <c r="D640" s="25" t="n">
        <f aca="false">EDATE('Start Here'!$B$6,C640-1)</f>
        <v>47362</v>
      </c>
      <c r="E640" s="23" t="n">
        <f aca="false">IF(AND(C640&gt;=Assumptions!$C$24,C640&lt;=Staffing!$G$16,'Start Here'!$B$7=1),IF(C640&lt;=6,Staffing!$H$16,IF(C640&lt;=15,Staffing!$I$16,IF(C640&lt;=30,Staffing!$J$16,Staffing!$K$16))),0)</f>
        <v>0</v>
      </c>
      <c r="F640" s="10" t="n">
        <f aca="false">E640*Staffing!$L$16/12*(1+Assumptions!$C$10)^INT((C640-1)/12)*1</f>
        <v>0</v>
      </c>
      <c r="G640" s="10" t="n">
        <f aca="false">F640*Staffing!$N$16</f>
        <v>0</v>
      </c>
      <c r="H640" s="10" t="n">
        <f aca="false">F640+G640</f>
        <v>0</v>
      </c>
      <c r="I640" s="10" t="n">
        <f aca="false">0</f>
        <v>0</v>
      </c>
      <c r="J640" s="10" t="n">
        <f aca="false">MAX(0,E640-E639)*Staffing!$O$16</f>
        <v>0</v>
      </c>
      <c r="K640" s="10" t="n">
        <f aca="false">MAX(0,E640-E639)*Staffing!$P$16</f>
        <v>0</v>
      </c>
      <c r="L640" s="23" t="n">
        <f aca="false">ROUNDUP(E640,0)</f>
        <v>0</v>
      </c>
    </row>
    <row r="641" customFormat="false" ht="15" hidden="false" customHeight="false" outlineLevel="0" collapsed="false">
      <c r="A641" s="6" t="s">
        <v>72</v>
      </c>
      <c r="B641" s="6" t="s">
        <v>349</v>
      </c>
      <c r="C641" s="6" t="n">
        <v>36</v>
      </c>
      <c r="D641" s="25" t="n">
        <f aca="false">EDATE('Start Here'!$B$6,C641-1)</f>
        <v>47392</v>
      </c>
      <c r="E641" s="23" t="n">
        <f aca="false">IF(AND(C641&gt;=Assumptions!$C$24,C641&lt;=Staffing!$G$16,'Start Here'!$B$7=1),IF(C641&lt;=6,Staffing!$H$16,IF(C641&lt;=15,Staffing!$I$16,IF(C641&lt;=30,Staffing!$J$16,Staffing!$K$16))),0)</f>
        <v>0</v>
      </c>
      <c r="F641" s="10" t="n">
        <f aca="false">E641*Staffing!$L$16/12*(1+Assumptions!$C$10)^INT((C641-1)/12)*1</f>
        <v>0</v>
      </c>
      <c r="G641" s="10" t="n">
        <f aca="false">F641*Staffing!$N$16</f>
        <v>0</v>
      </c>
      <c r="H641" s="10" t="n">
        <f aca="false">F641+G641</f>
        <v>0</v>
      </c>
      <c r="I641" s="10" t="n">
        <f aca="false">0</f>
        <v>0</v>
      </c>
      <c r="J641" s="10" t="n">
        <f aca="false">MAX(0,E641-E640)*Staffing!$O$16</f>
        <v>0</v>
      </c>
      <c r="K641" s="10" t="n">
        <f aca="false">MAX(0,E641-E640)*Staffing!$P$16</f>
        <v>0</v>
      </c>
      <c r="L641" s="23" t="n">
        <f aca="false">ROUNDUP(E641,0)</f>
        <v>0</v>
      </c>
    </row>
    <row r="642" customFormat="false" ht="15" hidden="false" customHeight="false" outlineLevel="0" collapsed="false">
      <c r="A642" s="6" t="s">
        <v>72</v>
      </c>
      <c r="B642" s="6" t="s">
        <v>349</v>
      </c>
      <c r="C642" s="6" t="n">
        <v>37</v>
      </c>
      <c r="D642" s="25" t="n">
        <f aca="false">EDATE('Start Here'!$B$6,C642-1)</f>
        <v>47423</v>
      </c>
      <c r="E642" s="23" t="n">
        <f aca="false">IF(AND(C642&gt;=Assumptions!$C$24,C642&lt;=Staffing!$G$16,'Start Here'!$B$7=1),IF(C642&lt;=6,Staffing!$H$16,IF(C642&lt;=15,Staffing!$I$16,IF(C642&lt;=30,Staffing!$J$16,Staffing!$K$16))),0)</f>
        <v>0</v>
      </c>
      <c r="F642" s="10" t="n">
        <f aca="false">E642*Staffing!$L$16/12*(1+Assumptions!$C$10)^INT((C642-1)/12)*1</f>
        <v>0</v>
      </c>
      <c r="G642" s="10" t="n">
        <f aca="false">F642*Staffing!$N$16</f>
        <v>0</v>
      </c>
      <c r="H642" s="10" t="n">
        <f aca="false">F642+G642</f>
        <v>0</v>
      </c>
      <c r="I642" s="10" t="n">
        <f aca="false">0</f>
        <v>0</v>
      </c>
      <c r="J642" s="10" t="n">
        <f aca="false">MAX(0,E642-E641)*Staffing!$O$16</f>
        <v>0</v>
      </c>
      <c r="K642" s="10" t="n">
        <f aca="false">MAX(0,E642-E641)*Staffing!$P$16</f>
        <v>0</v>
      </c>
      <c r="L642" s="23" t="n">
        <f aca="false">ROUNDUP(E642,0)</f>
        <v>0</v>
      </c>
    </row>
    <row r="643" customFormat="false" ht="15" hidden="false" customHeight="false" outlineLevel="0" collapsed="false">
      <c r="A643" s="6" t="s">
        <v>72</v>
      </c>
      <c r="B643" s="6" t="s">
        <v>349</v>
      </c>
      <c r="C643" s="6" t="n">
        <v>38</v>
      </c>
      <c r="D643" s="25" t="n">
        <f aca="false">EDATE('Start Here'!$B$6,C643-1)</f>
        <v>47453</v>
      </c>
      <c r="E643" s="23" t="n">
        <f aca="false">IF(AND(C643&gt;=Assumptions!$C$24,C643&lt;=Staffing!$G$16,'Start Here'!$B$7=1),IF(C643&lt;=6,Staffing!$H$16,IF(C643&lt;=15,Staffing!$I$16,IF(C643&lt;=30,Staffing!$J$16,Staffing!$K$16))),0)</f>
        <v>0</v>
      </c>
      <c r="F643" s="10" t="n">
        <f aca="false">E643*Staffing!$L$16/12*(1+Assumptions!$C$10)^INT((C643-1)/12)*1</f>
        <v>0</v>
      </c>
      <c r="G643" s="10" t="n">
        <f aca="false">F643*Staffing!$N$16</f>
        <v>0</v>
      </c>
      <c r="H643" s="10" t="n">
        <f aca="false">F643+G643</f>
        <v>0</v>
      </c>
      <c r="I643" s="10" t="n">
        <f aca="false">0</f>
        <v>0</v>
      </c>
      <c r="J643" s="10" t="n">
        <f aca="false">MAX(0,E643-E642)*Staffing!$O$16</f>
        <v>0</v>
      </c>
      <c r="K643" s="10" t="n">
        <f aca="false">MAX(0,E643-E642)*Staffing!$P$16</f>
        <v>0</v>
      </c>
      <c r="L643" s="23" t="n">
        <f aca="false">ROUNDUP(E643,0)</f>
        <v>0</v>
      </c>
    </row>
    <row r="644" customFormat="false" ht="15" hidden="false" customHeight="false" outlineLevel="0" collapsed="false">
      <c r="A644" s="6" t="s">
        <v>72</v>
      </c>
      <c r="B644" s="6" t="s">
        <v>349</v>
      </c>
      <c r="C644" s="6" t="n">
        <v>39</v>
      </c>
      <c r="D644" s="25" t="n">
        <f aca="false">EDATE('Start Here'!$B$6,C644-1)</f>
        <v>47484</v>
      </c>
      <c r="E644" s="23" t="n">
        <f aca="false">IF(AND(C644&gt;=Assumptions!$C$24,C644&lt;=Staffing!$G$16,'Start Here'!$B$7=1),IF(C644&lt;=6,Staffing!$H$16,IF(C644&lt;=15,Staffing!$I$16,IF(C644&lt;=30,Staffing!$J$16,Staffing!$K$16))),0)</f>
        <v>0</v>
      </c>
      <c r="F644" s="10" t="n">
        <f aca="false">E644*Staffing!$L$16/12*(1+Assumptions!$C$10)^INT((C644-1)/12)*1</f>
        <v>0</v>
      </c>
      <c r="G644" s="10" t="n">
        <f aca="false">F644*Staffing!$N$16</f>
        <v>0</v>
      </c>
      <c r="H644" s="10" t="n">
        <f aca="false">F644+G644</f>
        <v>0</v>
      </c>
      <c r="I644" s="10" t="n">
        <f aca="false">0</f>
        <v>0</v>
      </c>
      <c r="J644" s="10" t="n">
        <f aca="false">MAX(0,E644-E643)*Staffing!$O$16</f>
        <v>0</v>
      </c>
      <c r="K644" s="10" t="n">
        <f aca="false">MAX(0,E644-E643)*Staffing!$P$16</f>
        <v>0</v>
      </c>
      <c r="L644" s="23" t="n">
        <f aca="false">ROUNDUP(E644,0)</f>
        <v>0</v>
      </c>
    </row>
    <row r="645" customFormat="false" ht="15" hidden="false" customHeight="false" outlineLevel="0" collapsed="false">
      <c r="A645" s="6" t="s">
        <v>72</v>
      </c>
      <c r="B645" s="6" t="s">
        <v>349</v>
      </c>
      <c r="C645" s="6" t="n">
        <v>40</v>
      </c>
      <c r="D645" s="25" t="n">
        <f aca="false">EDATE('Start Here'!$B$6,C645-1)</f>
        <v>47515</v>
      </c>
      <c r="E645" s="23" t="n">
        <f aca="false">IF(AND(C645&gt;=Assumptions!$C$24,C645&lt;=Staffing!$G$16,'Start Here'!$B$7=1),IF(C645&lt;=6,Staffing!$H$16,IF(C645&lt;=15,Staffing!$I$16,IF(C645&lt;=30,Staffing!$J$16,Staffing!$K$16))),0)</f>
        <v>0</v>
      </c>
      <c r="F645" s="10" t="n">
        <f aca="false">E645*Staffing!$L$16/12*(1+Assumptions!$C$10)^INT((C645-1)/12)*1</f>
        <v>0</v>
      </c>
      <c r="G645" s="10" t="n">
        <f aca="false">F645*Staffing!$N$16</f>
        <v>0</v>
      </c>
      <c r="H645" s="10" t="n">
        <f aca="false">F645+G645</f>
        <v>0</v>
      </c>
      <c r="I645" s="10" t="n">
        <f aca="false">0</f>
        <v>0</v>
      </c>
      <c r="J645" s="10" t="n">
        <f aca="false">MAX(0,E645-E644)*Staffing!$O$16</f>
        <v>0</v>
      </c>
      <c r="K645" s="10" t="n">
        <f aca="false">MAX(0,E645-E644)*Staffing!$P$16</f>
        <v>0</v>
      </c>
      <c r="L645" s="23" t="n">
        <f aca="false">ROUNDUP(E645,0)</f>
        <v>0</v>
      </c>
    </row>
    <row r="646" customFormat="false" ht="15" hidden="false" customHeight="false" outlineLevel="0" collapsed="false">
      <c r="A646" s="6" t="s">
        <v>72</v>
      </c>
      <c r="B646" s="6" t="s">
        <v>349</v>
      </c>
      <c r="C646" s="6" t="n">
        <v>41</v>
      </c>
      <c r="D646" s="25" t="n">
        <f aca="false">EDATE('Start Here'!$B$6,C646-1)</f>
        <v>47543</v>
      </c>
      <c r="E646" s="23" t="n">
        <f aca="false">IF(AND(C646&gt;=Assumptions!$C$24,C646&lt;=Staffing!$G$16,'Start Here'!$B$7=1),IF(C646&lt;=6,Staffing!$H$16,IF(C646&lt;=15,Staffing!$I$16,IF(C646&lt;=30,Staffing!$J$16,Staffing!$K$16))),0)</f>
        <v>0</v>
      </c>
      <c r="F646" s="10" t="n">
        <f aca="false">E646*Staffing!$L$16/12*(1+Assumptions!$C$10)^INT((C646-1)/12)*1</f>
        <v>0</v>
      </c>
      <c r="G646" s="10" t="n">
        <f aca="false">F646*Staffing!$N$16</f>
        <v>0</v>
      </c>
      <c r="H646" s="10" t="n">
        <f aca="false">F646+G646</f>
        <v>0</v>
      </c>
      <c r="I646" s="10" t="n">
        <f aca="false">0</f>
        <v>0</v>
      </c>
      <c r="J646" s="10" t="n">
        <f aca="false">MAX(0,E646-E645)*Staffing!$O$16</f>
        <v>0</v>
      </c>
      <c r="K646" s="10" t="n">
        <f aca="false">MAX(0,E646-E645)*Staffing!$P$16</f>
        <v>0</v>
      </c>
      <c r="L646" s="23" t="n">
        <f aca="false">ROUNDUP(E646,0)</f>
        <v>0</v>
      </c>
    </row>
    <row r="647" customFormat="false" ht="15" hidden="false" customHeight="false" outlineLevel="0" collapsed="false">
      <c r="A647" s="6" t="s">
        <v>72</v>
      </c>
      <c r="B647" s="6" t="s">
        <v>349</v>
      </c>
      <c r="C647" s="6" t="n">
        <v>42</v>
      </c>
      <c r="D647" s="25" t="n">
        <f aca="false">EDATE('Start Here'!$B$6,C647-1)</f>
        <v>47574</v>
      </c>
      <c r="E647" s="23" t="n">
        <f aca="false">IF(AND(C647&gt;=Assumptions!$C$24,C647&lt;=Staffing!$G$16,'Start Here'!$B$7=1),IF(C647&lt;=6,Staffing!$H$16,IF(C647&lt;=15,Staffing!$I$16,IF(C647&lt;=30,Staffing!$J$16,Staffing!$K$16))),0)</f>
        <v>0</v>
      </c>
      <c r="F647" s="10" t="n">
        <f aca="false">E647*Staffing!$L$16/12*(1+Assumptions!$C$10)^INT((C647-1)/12)*1</f>
        <v>0</v>
      </c>
      <c r="G647" s="10" t="n">
        <f aca="false">F647*Staffing!$N$16</f>
        <v>0</v>
      </c>
      <c r="H647" s="10" t="n">
        <f aca="false">F647+G647</f>
        <v>0</v>
      </c>
      <c r="I647" s="10" t="n">
        <f aca="false">0</f>
        <v>0</v>
      </c>
      <c r="J647" s="10" t="n">
        <f aca="false">MAX(0,E647-E646)*Staffing!$O$16</f>
        <v>0</v>
      </c>
      <c r="K647" s="10" t="n">
        <f aca="false">MAX(0,E647-E646)*Staffing!$P$16</f>
        <v>0</v>
      </c>
      <c r="L647" s="23" t="n">
        <f aca="false">ROUNDUP(E647,0)</f>
        <v>0</v>
      </c>
    </row>
    <row r="648" customFormat="false" ht="15" hidden="false" customHeight="false" outlineLevel="0" collapsed="false">
      <c r="A648" s="6" t="s">
        <v>72</v>
      </c>
      <c r="B648" s="6" t="s">
        <v>349</v>
      </c>
      <c r="C648" s="6" t="n">
        <v>43</v>
      </c>
      <c r="D648" s="25" t="n">
        <f aca="false">EDATE('Start Here'!$B$6,C648-1)</f>
        <v>47604</v>
      </c>
      <c r="E648" s="23" t="n">
        <f aca="false">IF(AND(C648&gt;=Assumptions!$C$24,C648&lt;=Staffing!$G$16,'Start Here'!$B$7=1),IF(C648&lt;=6,Staffing!$H$16,IF(C648&lt;=15,Staffing!$I$16,IF(C648&lt;=30,Staffing!$J$16,Staffing!$K$16))),0)</f>
        <v>0</v>
      </c>
      <c r="F648" s="10" t="n">
        <f aca="false">E648*Staffing!$L$16/12*(1+Assumptions!$C$10)^INT((C648-1)/12)*1</f>
        <v>0</v>
      </c>
      <c r="G648" s="10" t="n">
        <f aca="false">F648*Staffing!$N$16</f>
        <v>0</v>
      </c>
      <c r="H648" s="10" t="n">
        <f aca="false">F648+G648</f>
        <v>0</v>
      </c>
      <c r="I648" s="10" t="n">
        <f aca="false">0</f>
        <v>0</v>
      </c>
      <c r="J648" s="10" t="n">
        <f aca="false">MAX(0,E648-E647)*Staffing!$O$16</f>
        <v>0</v>
      </c>
      <c r="K648" s="10" t="n">
        <f aca="false">MAX(0,E648-E647)*Staffing!$P$16</f>
        <v>0</v>
      </c>
      <c r="L648" s="23" t="n">
        <f aca="false">ROUNDUP(E648,0)</f>
        <v>0</v>
      </c>
    </row>
    <row r="649" customFormat="false" ht="15" hidden="false" customHeight="false" outlineLevel="0" collapsed="false">
      <c r="A649" s="6" t="s">
        <v>72</v>
      </c>
      <c r="B649" s="6" t="s">
        <v>349</v>
      </c>
      <c r="C649" s="6" t="n">
        <v>44</v>
      </c>
      <c r="D649" s="25" t="n">
        <f aca="false">EDATE('Start Here'!$B$6,C649-1)</f>
        <v>47635</v>
      </c>
      <c r="E649" s="23" t="n">
        <f aca="false">IF(AND(C649&gt;=Assumptions!$C$24,C649&lt;=Staffing!$G$16,'Start Here'!$B$7=1),IF(C649&lt;=6,Staffing!$H$16,IF(C649&lt;=15,Staffing!$I$16,IF(C649&lt;=30,Staffing!$J$16,Staffing!$K$16))),0)</f>
        <v>0</v>
      </c>
      <c r="F649" s="10" t="n">
        <f aca="false">E649*Staffing!$L$16/12*(1+Assumptions!$C$10)^INT((C649-1)/12)*1</f>
        <v>0</v>
      </c>
      <c r="G649" s="10" t="n">
        <f aca="false">F649*Staffing!$N$16</f>
        <v>0</v>
      </c>
      <c r="H649" s="10" t="n">
        <f aca="false">F649+G649</f>
        <v>0</v>
      </c>
      <c r="I649" s="10" t="n">
        <f aca="false">0</f>
        <v>0</v>
      </c>
      <c r="J649" s="10" t="n">
        <f aca="false">MAX(0,E649-E648)*Staffing!$O$16</f>
        <v>0</v>
      </c>
      <c r="K649" s="10" t="n">
        <f aca="false">MAX(0,E649-E648)*Staffing!$P$16</f>
        <v>0</v>
      </c>
      <c r="L649" s="23" t="n">
        <f aca="false">ROUNDUP(E649,0)</f>
        <v>0</v>
      </c>
    </row>
    <row r="650" customFormat="false" ht="15" hidden="false" customHeight="false" outlineLevel="0" collapsed="false">
      <c r="A650" s="6" t="s">
        <v>72</v>
      </c>
      <c r="B650" s="6" t="s">
        <v>349</v>
      </c>
      <c r="C650" s="6" t="n">
        <v>45</v>
      </c>
      <c r="D650" s="25" t="n">
        <f aca="false">EDATE('Start Here'!$B$6,C650-1)</f>
        <v>47665</v>
      </c>
      <c r="E650" s="23" t="n">
        <f aca="false">IF(AND(C650&gt;=Assumptions!$C$24,C650&lt;=Staffing!$G$16,'Start Here'!$B$7=1),IF(C650&lt;=6,Staffing!$H$16,IF(C650&lt;=15,Staffing!$I$16,IF(C650&lt;=30,Staffing!$J$16,Staffing!$K$16))),0)</f>
        <v>0</v>
      </c>
      <c r="F650" s="10" t="n">
        <f aca="false">E650*Staffing!$L$16/12*(1+Assumptions!$C$10)^INT((C650-1)/12)*1</f>
        <v>0</v>
      </c>
      <c r="G650" s="10" t="n">
        <f aca="false">F650*Staffing!$N$16</f>
        <v>0</v>
      </c>
      <c r="H650" s="10" t="n">
        <f aca="false">F650+G650</f>
        <v>0</v>
      </c>
      <c r="I650" s="10" t="n">
        <f aca="false">0</f>
        <v>0</v>
      </c>
      <c r="J650" s="10" t="n">
        <f aca="false">MAX(0,E650-E649)*Staffing!$O$16</f>
        <v>0</v>
      </c>
      <c r="K650" s="10" t="n">
        <f aca="false">MAX(0,E650-E649)*Staffing!$P$16</f>
        <v>0</v>
      </c>
      <c r="L650" s="23" t="n">
        <f aca="false">ROUNDUP(E650,0)</f>
        <v>0</v>
      </c>
    </row>
    <row r="651" customFormat="false" ht="15" hidden="false" customHeight="false" outlineLevel="0" collapsed="false">
      <c r="A651" s="6" t="s">
        <v>72</v>
      </c>
      <c r="B651" s="6" t="s">
        <v>349</v>
      </c>
      <c r="C651" s="6" t="n">
        <v>46</v>
      </c>
      <c r="D651" s="25" t="n">
        <f aca="false">EDATE('Start Here'!$B$6,C651-1)</f>
        <v>47696</v>
      </c>
      <c r="E651" s="23" t="n">
        <f aca="false">IF(AND(C651&gt;=Assumptions!$C$24,C651&lt;=Staffing!$G$16,'Start Here'!$B$7=1),IF(C651&lt;=6,Staffing!$H$16,IF(C651&lt;=15,Staffing!$I$16,IF(C651&lt;=30,Staffing!$J$16,Staffing!$K$16))),0)</f>
        <v>0</v>
      </c>
      <c r="F651" s="10" t="n">
        <f aca="false">E651*Staffing!$L$16/12*(1+Assumptions!$C$10)^INT((C651-1)/12)*1</f>
        <v>0</v>
      </c>
      <c r="G651" s="10" t="n">
        <f aca="false">F651*Staffing!$N$16</f>
        <v>0</v>
      </c>
      <c r="H651" s="10" t="n">
        <f aca="false">F651+G651</f>
        <v>0</v>
      </c>
      <c r="I651" s="10" t="n">
        <f aca="false">0</f>
        <v>0</v>
      </c>
      <c r="J651" s="10" t="n">
        <f aca="false">MAX(0,E651-E650)*Staffing!$O$16</f>
        <v>0</v>
      </c>
      <c r="K651" s="10" t="n">
        <f aca="false">MAX(0,E651-E650)*Staffing!$P$16</f>
        <v>0</v>
      </c>
      <c r="L651" s="23" t="n">
        <f aca="false">ROUNDUP(E651,0)</f>
        <v>0</v>
      </c>
    </row>
    <row r="652" customFormat="false" ht="15" hidden="false" customHeight="false" outlineLevel="0" collapsed="false">
      <c r="A652" s="6" t="s">
        <v>72</v>
      </c>
      <c r="B652" s="6" t="s">
        <v>349</v>
      </c>
      <c r="C652" s="6" t="n">
        <v>47</v>
      </c>
      <c r="D652" s="25" t="n">
        <f aca="false">EDATE('Start Here'!$B$6,C652-1)</f>
        <v>47727</v>
      </c>
      <c r="E652" s="23" t="n">
        <f aca="false">IF(AND(C652&gt;=Assumptions!$C$24,C652&lt;=Staffing!$G$16,'Start Here'!$B$7=1),IF(C652&lt;=6,Staffing!$H$16,IF(C652&lt;=15,Staffing!$I$16,IF(C652&lt;=30,Staffing!$J$16,Staffing!$K$16))),0)</f>
        <v>0</v>
      </c>
      <c r="F652" s="10" t="n">
        <f aca="false">E652*Staffing!$L$16/12*(1+Assumptions!$C$10)^INT((C652-1)/12)*1</f>
        <v>0</v>
      </c>
      <c r="G652" s="10" t="n">
        <f aca="false">F652*Staffing!$N$16</f>
        <v>0</v>
      </c>
      <c r="H652" s="10" t="n">
        <f aca="false">F652+G652</f>
        <v>0</v>
      </c>
      <c r="I652" s="10" t="n">
        <f aca="false">0</f>
        <v>0</v>
      </c>
      <c r="J652" s="10" t="n">
        <f aca="false">MAX(0,E652-E651)*Staffing!$O$16</f>
        <v>0</v>
      </c>
      <c r="K652" s="10" t="n">
        <f aca="false">MAX(0,E652-E651)*Staffing!$P$16</f>
        <v>0</v>
      </c>
      <c r="L652" s="23" t="n">
        <f aca="false">ROUNDUP(E652,0)</f>
        <v>0</v>
      </c>
    </row>
    <row r="653" customFormat="false" ht="15" hidden="false" customHeight="false" outlineLevel="0" collapsed="false">
      <c r="A653" s="6" t="s">
        <v>72</v>
      </c>
      <c r="B653" s="6" t="s">
        <v>349</v>
      </c>
      <c r="C653" s="6" t="n">
        <v>48</v>
      </c>
      <c r="D653" s="25" t="n">
        <f aca="false">EDATE('Start Here'!$B$6,C653-1)</f>
        <v>47757</v>
      </c>
      <c r="E653" s="23" t="n">
        <f aca="false">IF(AND(C653&gt;=Assumptions!$C$24,C653&lt;=Staffing!$G$16,'Start Here'!$B$7=1),IF(C653&lt;=6,Staffing!$H$16,IF(C653&lt;=15,Staffing!$I$16,IF(C653&lt;=30,Staffing!$J$16,Staffing!$K$16))),0)</f>
        <v>0</v>
      </c>
      <c r="F653" s="10" t="n">
        <f aca="false">E653*Staffing!$L$16/12*(1+Assumptions!$C$10)^INT((C653-1)/12)*1</f>
        <v>0</v>
      </c>
      <c r="G653" s="10" t="n">
        <f aca="false">F653*Staffing!$N$16</f>
        <v>0</v>
      </c>
      <c r="H653" s="10" t="n">
        <f aca="false">F653+G653</f>
        <v>0</v>
      </c>
      <c r="I653" s="10" t="n">
        <f aca="false">0</f>
        <v>0</v>
      </c>
      <c r="J653" s="10" t="n">
        <f aca="false">MAX(0,E653-E652)*Staffing!$O$16</f>
        <v>0</v>
      </c>
      <c r="K653" s="10" t="n">
        <f aca="false">MAX(0,E653-E652)*Staffing!$P$16</f>
        <v>0</v>
      </c>
      <c r="L653" s="23" t="n">
        <f aca="false">ROUNDUP(E653,0)</f>
        <v>0</v>
      </c>
    </row>
    <row r="654" customFormat="false" ht="15" hidden="false" customHeight="false" outlineLevel="0" collapsed="false">
      <c r="A654" s="6" t="s">
        <v>72</v>
      </c>
      <c r="B654" s="6" t="s">
        <v>349</v>
      </c>
      <c r="C654" s="6" t="n">
        <v>49</v>
      </c>
      <c r="D654" s="25" t="n">
        <f aca="false">EDATE('Start Here'!$B$6,C654-1)</f>
        <v>47788</v>
      </c>
      <c r="E654" s="23" t="n">
        <f aca="false">IF(AND(C654&gt;=Assumptions!$C$24,C654&lt;=Staffing!$G$16,'Start Here'!$B$7=1),IF(C654&lt;=6,Staffing!$H$16,IF(C654&lt;=15,Staffing!$I$16,IF(C654&lt;=30,Staffing!$J$16,Staffing!$K$16))),0)</f>
        <v>0</v>
      </c>
      <c r="F654" s="10" t="n">
        <f aca="false">E654*Staffing!$L$16/12*(1+Assumptions!$C$10)^INT((C654-1)/12)*1</f>
        <v>0</v>
      </c>
      <c r="G654" s="10" t="n">
        <f aca="false">F654*Staffing!$N$16</f>
        <v>0</v>
      </c>
      <c r="H654" s="10" t="n">
        <f aca="false">F654+G654</f>
        <v>0</v>
      </c>
      <c r="I654" s="10" t="n">
        <f aca="false">0</f>
        <v>0</v>
      </c>
      <c r="J654" s="10" t="n">
        <f aca="false">MAX(0,E654-E653)*Staffing!$O$16</f>
        <v>0</v>
      </c>
      <c r="K654" s="10" t="n">
        <f aca="false">MAX(0,E654-E653)*Staffing!$P$16</f>
        <v>0</v>
      </c>
      <c r="L654" s="23" t="n">
        <f aca="false">ROUNDUP(E654,0)</f>
        <v>0</v>
      </c>
    </row>
    <row r="655" customFormat="false" ht="15" hidden="false" customHeight="false" outlineLevel="0" collapsed="false">
      <c r="A655" s="6" t="s">
        <v>72</v>
      </c>
      <c r="B655" s="6" t="s">
        <v>349</v>
      </c>
      <c r="C655" s="6" t="n">
        <v>50</v>
      </c>
      <c r="D655" s="25" t="n">
        <f aca="false">EDATE('Start Here'!$B$6,C655-1)</f>
        <v>47818</v>
      </c>
      <c r="E655" s="23" t="n">
        <f aca="false">IF(AND(C655&gt;=Assumptions!$C$24,C655&lt;=Staffing!$G$16,'Start Here'!$B$7=1),IF(C655&lt;=6,Staffing!$H$16,IF(C655&lt;=15,Staffing!$I$16,IF(C655&lt;=30,Staffing!$J$16,Staffing!$K$16))),0)</f>
        <v>0</v>
      </c>
      <c r="F655" s="10" t="n">
        <f aca="false">E655*Staffing!$L$16/12*(1+Assumptions!$C$10)^INT((C655-1)/12)*1</f>
        <v>0</v>
      </c>
      <c r="G655" s="10" t="n">
        <f aca="false">F655*Staffing!$N$16</f>
        <v>0</v>
      </c>
      <c r="H655" s="10" t="n">
        <f aca="false">F655+G655</f>
        <v>0</v>
      </c>
      <c r="I655" s="10" t="n">
        <f aca="false">0</f>
        <v>0</v>
      </c>
      <c r="J655" s="10" t="n">
        <f aca="false">MAX(0,E655-E654)*Staffing!$O$16</f>
        <v>0</v>
      </c>
      <c r="K655" s="10" t="n">
        <f aca="false">MAX(0,E655-E654)*Staffing!$P$16</f>
        <v>0</v>
      </c>
      <c r="L655" s="23" t="n">
        <f aca="false">ROUNDUP(E655,0)</f>
        <v>0</v>
      </c>
    </row>
    <row r="656" customFormat="false" ht="15" hidden="false" customHeight="false" outlineLevel="0" collapsed="false">
      <c r="A656" s="6" t="s">
        <v>72</v>
      </c>
      <c r="B656" s="6" t="s">
        <v>349</v>
      </c>
      <c r="C656" s="6" t="n">
        <v>51</v>
      </c>
      <c r="D656" s="25" t="n">
        <f aca="false">EDATE('Start Here'!$B$6,C656-1)</f>
        <v>47849</v>
      </c>
      <c r="E656" s="23" t="n">
        <f aca="false">IF(AND(C656&gt;=Assumptions!$C$24,C656&lt;=Staffing!$G$16,'Start Here'!$B$7=1),IF(C656&lt;=6,Staffing!$H$16,IF(C656&lt;=15,Staffing!$I$16,IF(C656&lt;=30,Staffing!$J$16,Staffing!$K$16))),0)</f>
        <v>0</v>
      </c>
      <c r="F656" s="10" t="n">
        <f aca="false">E656*Staffing!$L$16/12*(1+Assumptions!$C$10)^INT((C656-1)/12)*1</f>
        <v>0</v>
      </c>
      <c r="G656" s="10" t="n">
        <f aca="false">F656*Staffing!$N$16</f>
        <v>0</v>
      </c>
      <c r="H656" s="10" t="n">
        <f aca="false">F656+G656</f>
        <v>0</v>
      </c>
      <c r="I656" s="10" t="n">
        <f aca="false">0</f>
        <v>0</v>
      </c>
      <c r="J656" s="10" t="n">
        <f aca="false">MAX(0,E656-E655)*Staffing!$O$16</f>
        <v>0</v>
      </c>
      <c r="K656" s="10" t="n">
        <f aca="false">MAX(0,E656-E655)*Staffing!$P$16</f>
        <v>0</v>
      </c>
      <c r="L656" s="23" t="n">
        <f aca="false">ROUNDUP(E656,0)</f>
        <v>0</v>
      </c>
    </row>
    <row r="657" customFormat="false" ht="15" hidden="false" customHeight="false" outlineLevel="0" collapsed="false">
      <c r="A657" s="6" t="s">
        <v>72</v>
      </c>
      <c r="B657" s="6" t="s">
        <v>349</v>
      </c>
      <c r="C657" s="6" t="n">
        <v>52</v>
      </c>
      <c r="D657" s="25" t="n">
        <f aca="false">EDATE('Start Here'!$B$6,C657-1)</f>
        <v>47880</v>
      </c>
      <c r="E657" s="23" t="n">
        <f aca="false">IF(AND(C657&gt;=Assumptions!$C$24,C657&lt;=Staffing!$G$16,'Start Here'!$B$7=1),IF(C657&lt;=6,Staffing!$H$16,IF(C657&lt;=15,Staffing!$I$16,IF(C657&lt;=30,Staffing!$J$16,Staffing!$K$16))),0)</f>
        <v>0</v>
      </c>
      <c r="F657" s="10" t="n">
        <f aca="false">E657*Staffing!$L$16/12*(1+Assumptions!$C$10)^INT((C657-1)/12)*1</f>
        <v>0</v>
      </c>
      <c r="G657" s="10" t="n">
        <f aca="false">F657*Staffing!$N$16</f>
        <v>0</v>
      </c>
      <c r="H657" s="10" t="n">
        <f aca="false">F657+G657</f>
        <v>0</v>
      </c>
      <c r="I657" s="10" t="n">
        <f aca="false">0</f>
        <v>0</v>
      </c>
      <c r="J657" s="10" t="n">
        <f aca="false">MAX(0,E657-E656)*Staffing!$O$16</f>
        <v>0</v>
      </c>
      <c r="K657" s="10" t="n">
        <f aca="false">MAX(0,E657-E656)*Staffing!$P$16</f>
        <v>0</v>
      </c>
      <c r="L657" s="23" t="n">
        <f aca="false">ROUNDUP(E657,0)</f>
        <v>0</v>
      </c>
    </row>
    <row r="658" customFormat="false" ht="15" hidden="false" customHeight="false" outlineLevel="0" collapsed="false">
      <c r="A658" s="6" t="s">
        <v>72</v>
      </c>
      <c r="B658" s="6" t="s">
        <v>349</v>
      </c>
      <c r="C658" s="6" t="n">
        <v>53</v>
      </c>
      <c r="D658" s="25" t="n">
        <f aca="false">EDATE('Start Here'!$B$6,C658-1)</f>
        <v>47908</v>
      </c>
      <c r="E658" s="23" t="n">
        <f aca="false">IF(AND(C658&gt;=Assumptions!$C$24,C658&lt;=Staffing!$G$16,'Start Here'!$B$7=1),IF(C658&lt;=6,Staffing!$H$16,IF(C658&lt;=15,Staffing!$I$16,IF(C658&lt;=30,Staffing!$J$16,Staffing!$K$16))),0)</f>
        <v>0</v>
      </c>
      <c r="F658" s="10" t="n">
        <f aca="false">E658*Staffing!$L$16/12*(1+Assumptions!$C$10)^INT((C658-1)/12)*1</f>
        <v>0</v>
      </c>
      <c r="G658" s="10" t="n">
        <f aca="false">F658*Staffing!$N$16</f>
        <v>0</v>
      </c>
      <c r="H658" s="10" t="n">
        <f aca="false">F658+G658</f>
        <v>0</v>
      </c>
      <c r="I658" s="10" t="n">
        <f aca="false">0</f>
        <v>0</v>
      </c>
      <c r="J658" s="10" t="n">
        <f aca="false">MAX(0,E658-E657)*Staffing!$O$16</f>
        <v>0</v>
      </c>
      <c r="K658" s="10" t="n">
        <f aca="false">MAX(0,E658-E657)*Staffing!$P$16</f>
        <v>0</v>
      </c>
      <c r="L658" s="23" t="n">
        <f aca="false">ROUNDUP(E658,0)</f>
        <v>0</v>
      </c>
    </row>
    <row r="659" customFormat="false" ht="15" hidden="false" customHeight="false" outlineLevel="0" collapsed="false">
      <c r="A659" s="6" t="s">
        <v>72</v>
      </c>
      <c r="B659" s="6" t="s">
        <v>349</v>
      </c>
      <c r="C659" s="6" t="n">
        <v>54</v>
      </c>
      <c r="D659" s="25" t="n">
        <f aca="false">EDATE('Start Here'!$B$6,C659-1)</f>
        <v>47939</v>
      </c>
      <c r="E659" s="23" t="n">
        <f aca="false">IF(AND(C659&gt;=Assumptions!$C$24,C659&lt;=Staffing!$G$16,'Start Here'!$B$7=1),IF(C659&lt;=6,Staffing!$H$16,IF(C659&lt;=15,Staffing!$I$16,IF(C659&lt;=30,Staffing!$J$16,Staffing!$K$16))),0)</f>
        <v>0</v>
      </c>
      <c r="F659" s="10" t="n">
        <f aca="false">E659*Staffing!$L$16/12*(1+Assumptions!$C$10)^INT((C659-1)/12)*1</f>
        <v>0</v>
      </c>
      <c r="G659" s="10" t="n">
        <f aca="false">F659*Staffing!$N$16</f>
        <v>0</v>
      </c>
      <c r="H659" s="10" t="n">
        <f aca="false">F659+G659</f>
        <v>0</v>
      </c>
      <c r="I659" s="10" t="n">
        <f aca="false">0</f>
        <v>0</v>
      </c>
      <c r="J659" s="10" t="n">
        <f aca="false">MAX(0,E659-E658)*Staffing!$O$16</f>
        <v>0</v>
      </c>
      <c r="K659" s="10" t="n">
        <f aca="false">MAX(0,E659-E658)*Staffing!$P$16</f>
        <v>0</v>
      </c>
      <c r="L659" s="23" t="n">
        <f aca="false">ROUNDUP(E659,0)</f>
        <v>0</v>
      </c>
    </row>
    <row r="660" customFormat="false" ht="15" hidden="false" customHeight="false" outlineLevel="0" collapsed="false">
      <c r="A660" s="6" t="s">
        <v>72</v>
      </c>
      <c r="B660" s="6" t="s">
        <v>349</v>
      </c>
      <c r="C660" s="6" t="n">
        <v>55</v>
      </c>
      <c r="D660" s="25" t="n">
        <f aca="false">EDATE('Start Here'!$B$6,C660-1)</f>
        <v>47969</v>
      </c>
      <c r="E660" s="23" t="n">
        <f aca="false">IF(AND(C660&gt;=Assumptions!$C$24,C660&lt;=Staffing!$G$16,'Start Here'!$B$7=1),IF(C660&lt;=6,Staffing!$H$16,IF(C660&lt;=15,Staffing!$I$16,IF(C660&lt;=30,Staffing!$J$16,Staffing!$K$16))),0)</f>
        <v>0</v>
      </c>
      <c r="F660" s="10" t="n">
        <f aca="false">E660*Staffing!$L$16/12*(1+Assumptions!$C$10)^INT((C660-1)/12)*1</f>
        <v>0</v>
      </c>
      <c r="G660" s="10" t="n">
        <f aca="false">F660*Staffing!$N$16</f>
        <v>0</v>
      </c>
      <c r="H660" s="10" t="n">
        <f aca="false">F660+G660</f>
        <v>0</v>
      </c>
      <c r="I660" s="10" t="n">
        <f aca="false">0</f>
        <v>0</v>
      </c>
      <c r="J660" s="10" t="n">
        <f aca="false">MAX(0,E660-E659)*Staffing!$O$16</f>
        <v>0</v>
      </c>
      <c r="K660" s="10" t="n">
        <f aca="false">MAX(0,E660-E659)*Staffing!$P$16</f>
        <v>0</v>
      </c>
      <c r="L660" s="23" t="n">
        <f aca="false">ROUNDUP(E660,0)</f>
        <v>0</v>
      </c>
    </row>
    <row r="661" customFormat="false" ht="15" hidden="false" customHeight="false" outlineLevel="0" collapsed="false">
      <c r="A661" s="6" t="s">
        <v>72</v>
      </c>
      <c r="B661" s="6" t="s">
        <v>349</v>
      </c>
      <c r="C661" s="6" t="n">
        <v>56</v>
      </c>
      <c r="D661" s="25" t="n">
        <f aca="false">EDATE('Start Here'!$B$6,C661-1)</f>
        <v>48000</v>
      </c>
      <c r="E661" s="23" t="n">
        <f aca="false">IF(AND(C661&gt;=Assumptions!$C$24,C661&lt;=Staffing!$G$16,'Start Here'!$B$7=1),IF(C661&lt;=6,Staffing!$H$16,IF(C661&lt;=15,Staffing!$I$16,IF(C661&lt;=30,Staffing!$J$16,Staffing!$K$16))),0)</f>
        <v>0</v>
      </c>
      <c r="F661" s="10" t="n">
        <f aca="false">E661*Staffing!$L$16/12*(1+Assumptions!$C$10)^INT((C661-1)/12)*1</f>
        <v>0</v>
      </c>
      <c r="G661" s="10" t="n">
        <f aca="false">F661*Staffing!$N$16</f>
        <v>0</v>
      </c>
      <c r="H661" s="10" t="n">
        <f aca="false">F661+G661</f>
        <v>0</v>
      </c>
      <c r="I661" s="10" t="n">
        <f aca="false">0</f>
        <v>0</v>
      </c>
      <c r="J661" s="10" t="n">
        <f aca="false">MAX(0,E661-E660)*Staffing!$O$16</f>
        <v>0</v>
      </c>
      <c r="K661" s="10" t="n">
        <f aca="false">MAX(0,E661-E660)*Staffing!$P$16</f>
        <v>0</v>
      </c>
      <c r="L661" s="23" t="n">
        <f aca="false">ROUNDUP(E661,0)</f>
        <v>0</v>
      </c>
    </row>
    <row r="662" customFormat="false" ht="15" hidden="false" customHeight="false" outlineLevel="0" collapsed="false">
      <c r="A662" s="6" t="s">
        <v>72</v>
      </c>
      <c r="B662" s="6" t="s">
        <v>349</v>
      </c>
      <c r="C662" s="6" t="n">
        <v>57</v>
      </c>
      <c r="D662" s="25" t="n">
        <f aca="false">EDATE('Start Here'!$B$6,C662-1)</f>
        <v>48030</v>
      </c>
      <c r="E662" s="23" t="n">
        <f aca="false">IF(AND(C662&gt;=Assumptions!$C$24,C662&lt;=Staffing!$G$16,'Start Here'!$B$7=1),IF(C662&lt;=6,Staffing!$H$16,IF(C662&lt;=15,Staffing!$I$16,IF(C662&lt;=30,Staffing!$J$16,Staffing!$K$16))),0)</f>
        <v>0</v>
      </c>
      <c r="F662" s="10" t="n">
        <f aca="false">E662*Staffing!$L$16/12*(1+Assumptions!$C$10)^INT((C662-1)/12)*1</f>
        <v>0</v>
      </c>
      <c r="G662" s="10" t="n">
        <f aca="false">F662*Staffing!$N$16</f>
        <v>0</v>
      </c>
      <c r="H662" s="10" t="n">
        <f aca="false">F662+G662</f>
        <v>0</v>
      </c>
      <c r="I662" s="10" t="n">
        <f aca="false">0</f>
        <v>0</v>
      </c>
      <c r="J662" s="10" t="n">
        <f aca="false">MAX(0,E662-E661)*Staffing!$O$16</f>
        <v>0</v>
      </c>
      <c r="K662" s="10" t="n">
        <f aca="false">MAX(0,E662-E661)*Staffing!$P$16</f>
        <v>0</v>
      </c>
      <c r="L662" s="23" t="n">
        <f aca="false">ROUNDUP(E662,0)</f>
        <v>0</v>
      </c>
    </row>
    <row r="663" customFormat="false" ht="15" hidden="false" customHeight="false" outlineLevel="0" collapsed="false">
      <c r="A663" s="6" t="s">
        <v>72</v>
      </c>
      <c r="B663" s="6" t="s">
        <v>349</v>
      </c>
      <c r="C663" s="6" t="n">
        <v>58</v>
      </c>
      <c r="D663" s="25" t="n">
        <f aca="false">EDATE('Start Here'!$B$6,C663-1)</f>
        <v>48061</v>
      </c>
      <c r="E663" s="23" t="n">
        <f aca="false">IF(AND(C663&gt;=Assumptions!$C$24,C663&lt;=Staffing!$G$16,'Start Here'!$B$7=1),IF(C663&lt;=6,Staffing!$H$16,IF(C663&lt;=15,Staffing!$I$16,IF(C663&lt;=30,Staffing!$J$16,Staffing!$K$16))),0)</f>
        <v>0</v>
      </c>
      <c r="F663" s="10" t="n">
        <f aca="false">E663*Staffing!$L$16/12*(1+Assumptions!$C$10)^INT((C663-1)/12)*1</f>
        <v>0</v>
      </c>
      <c r="G663" s="10" t="n">
        <f aca="false">F663*Staffing!$N$16</f>
        <v>0</v>
      </c>
      <c r="H663" s="10" t="n">
        <f aca="false">F663+G663</f>
        <v>0</v>
      </c>
      <c r="I663" s="10" t="n">
        <f aca="false">0</f>
        <v>0</v>
      </c>
      <c r="J663" s="10" t="n">
        <f aca="false">MAX(0,E663-E662)*Staffing!$O$16</f>
        <v>0</v>
      </c>
      <c r="K663" s="10" t="n">
        <f aca="false">MAX(0,E663-E662)*Staffing!$P$16</f>
        <v>0</v>
      </c>
      <c r="L663" s="23" t="n">
        <f aca="false">ROUNDUP(E663,0)</f>
        <v>0</v>
      </c>
    </row>
    <row r="664" customFormat="false" ht="15" hidden="false" customHeight="false" outlineLevel="0" collapsed="false">
      <c r="A664" s="6" t="s">
        <v>72</v>
      </c>
      <c r="B664" s="6" t="s">
        <v>349</v>
      </c>
      <c r="C664" s="6" t="n">
        <v>59</v>
      </c>
      <c r="D664" s="25" t="n">
        <f aca="false">EDATE('Start Here'!$B$6,C664-1)</f>
        <v>48092</v>
      </c>
      <c r="E664" s="23" t="n">
        <f aca="false">IF(AND(C664&gt;=Assumptions!$C$24,C664&lt;=Staffing!$G$16,'Start Here'!$B$7=1),IF(C664&lt;=6,Staffing!$H$16,IF(C664&lt;=15,Staffing!$I$16,IF(C664&lt;=30,Staffing!$J$16,Staffing!$K$16))),0)</f>
        <v>0</v>
      </c>
      <c r="F664" s="10" t="n">
        <f aca="false">E664*Staffing!$L$16/12*(1+Assumptions!$C$10)^INT((C664-1)/12)*1</f>
        <v>0</v>
      </c>
      <c r="G664" s="10" t="n">
        <f aca="false">F664*Staffing!$N$16</f>
        <v>0</v>
      </c>
      <c r="H664" s="10" t="n">
        <f aca="false">F664+G664</f>
        <v>0</v>
      </c>
      <c r="I664" s="10" t="n">
        <f aca="false">0</f>
        <v>0</v>
      </c>
      <c r="J664" s="10" t="n">
        <f aca="false">MAX(0,E664-E663)*Staffing!$O$16</f>
        <v>0</v>
      </c>
      <c r="K664" s="10" t="n">
        <f aca="false">MAX(0,E664-E663)*Staffing!$P$16</f>
        <v>0</v>
      </c>
      <c r="L664" s="23" t="n">
        <f aca="false">ROUNDUP(E664,0)</f>
        <v>0</v>
      </c>
    </row>
    <row r="665" customFormat="false" ht="15" hidden="false" customHeight="false" outlineLevel="0" collapsed="false">
      <c r="A665" s="6" t="s">
        <v>72</v>
      </c>
      <c r="B665" s="6" t="s">
        <v>349</v>
      </c>
      <c r="C665" s="6" t="n">
        <v>60</v>
      </c>
      <c r="D665" s="25" t="n">
        <f aca="false">EDATE('Start Here'!$B$6,C665-1)</f>
        <v>48122</v>
      </c>
      <c r="E665" s="23" t="n">
        <f aca="false">IF(AND(C665&gt;=Assumptions!$C$24,C665&lt;=Staffing!$G$16,'Start Here'!$B$7=1),IF(C665&lt;=6,Staffing!$H$16,IF(C665&lt;=15,Staffing!$I$16,IF(C665&lt;=30,Staffing!$J$16,Staffing!$K$16))),0)</f>
        <v>0</v>
      </c>
      <c r="F665" s="10" t="n">
        <f aca="false">E665*Staffing!$L$16/12*(1+Assumptions!$C$10)^INT((C665-1)/12)*1</f>
        <v>0</v>
      </c>
      <c r="G665" s="10" t="n">
        <f aca="false">F665*Staffing!$N$16</f>
        <v>0</v>
      </c>
      <c r="H665" s="10" t="n">
        <f aca="false">F665+G665</f>
        <v>0</v>
      </c>
      <c r="I665" s="10" t="n">
        <f aca="false">0</f>
        <v>0</v>
      </c>
      <c r="J665" s="10" t="n">
        <f aca="false">MAX(0,E665-E664)*Staffing!$O$16</f>
        <v>0</v>
      </c>
      <c r="K665" s="10" t="n">
        <f aca="false">MAX(0,E665-E664)*Staffing!$P$16</f>
        <v>0</v>
      </c>
      <c r="L665" s="23" t="n">
        <f aca="false">ROUNDUP(E665,0)</f>
        <v>0</v>
      </c>
    </row>
    <row r="666" customFormat="false" ht="15" hidden="false" customHeight="false" outlineLevel="0" collapsed="false">
      <c r="A666" s="6" t="s">
        <v>72</v>
      </c>
      <c r="B666" s="6" t="s">
        <v>351</v>
      </c>
      <c r="C666" s="6" t="n">
        <v>1</v>
      </c>
      <c r="D666" s="25" t="n">
        <f aca="false">EDATE('Start Here'!$B$6,C666-1)</f>
        <v>46327</v>
      </c>
      <c r="E666" s="23" t="n">
        <f aca="false">IF(AND(C666&gt;=Assumptions!$C$25,C666&lt;=Staffing!$G$17,'Start Here'!$B$8=1),IF(C666&lt;=6,Staffing!$H$17,IF(C666&lt;=15,Staffing!$I$17,IF(C666&lt;=30,Staffing!$J$17,Staffing!$K$17))),0)</f>
        <v>0</v>
      </c>
      <c r="F666" s="10" t="n">
        <f aca="false">E666*Staffing!$L$17/12*(1+Assumptions!$C$10)^INT((C666-1)/12)*1</f>
        <v>0</v>
      </c>
      <c r="G666" s="10" t="n">
        <f aca="false">F666*Staffing!$N$17</f>
        <v>0</v>
      </c>
      <c r="H666" s="10" t="n">
        <f aca="false">F666+G666</f>
        <v>0</v>
      </c>
      <c r="I666" s="10" t="n">
        <f aca="false">0</f>
        <v>0</v>
      </c>
      <c r="J666" s="10" t="n">
        <f aca="false">MAX(0,E666-0)*Staffing!$O$17</f>
        <v>0</v>
      </c>
      <c r="K666" s="10" t="n">
        <f aca="false">MAX(0,E666-0)*Staffing!$P$17</f>
        <v>0</v>
      </c>
      <c r="L666" s="23" t="n">
        <f aca="false">ROUNDUP(E666,0)</f>
        <v>0</v>
      </c>
    </row>
    <row r="667" customFormat="false" ht="15" hidden="false" customHeight="false" outlineLevel="0" collapsed="false">
      <c r="A667" s="6" t="s">
        <v>72</v>
      </c>
      <c r="B667" s="6" t="s">
        <v>351</v>
      </c>
      <c r="C667" s="6" t="n">
        <v>2</v>
      </c>
      <c r="D667" s="25" t="n">
        <f aca="false">EDATE('Start Here'!$B$6,C667-1)</f>
        <v>46357</v>
      </c>
      <c r="E667" s="23" t="n">
        <f aca="false">IF(AND(C667&gt;=Assumptions!$C$25,C667&lt;=Staffing!$G$17,'Start Here'!$B$8=1),IF(C667&lt;=6,Staffing!$H$17,IF(C667&lt;=15,Staffing!$I$17,IF(C667&lt;=30,Staffing!$J$17,Staffing!$K$17))),0)</f>
        <v>0</v>
      </c>
      <c r="F667" s="10" t="n">
        <f aca="false">E667*Staffing!$L$17/12*(1+Assumptions!$C$10)^INT((C667-1)/12)*1</f>
        <v>0</v>
      </c>
      <c r="G667" s="10" t="n">
        <f aca="false">F667*Staffing!$N$17</f>
        <v>0</v>
      </c>
      <c r="H667" s="10" t="n">
        <f aca="false">F667+G667</f>
        <v>0</v>
      </c>
      <c r="I667" s="10" t="n">
        <f aca="false">0</f>
        <v>0</v>
      </c>
      <c r="J667" s="10" t="n">
        <f aca="false">MAX(0,E667-E666)*Staffing!$O$17</f>
        <v>0</v>
      </c>
      <c r="K667" s="10" t="n">
        <f aca="false">MAX(0,E667-E666)*Staffing!$P$17</f>
        <v>0</v>
      </c>
      <c r="L667" s="23" t="n">
        <f aca="false">ROUNDUP(E667,0)</f>
        <v>0</v>
      </c>
    </row>
    <row r="668" customFormat="false" ht="15" hidden="false" customHeight="false" outlineLevel="0" collapsed="false">
      <c r="A668" s="6" t="s">
        <v>72</v>
      </c>
      <c r="B668" s="6" t="s">
        <v>351</v>
      </c>
      <c r="C668" s="6" t="n">
        <v>3</v>
      </c>
      <c r="D668" s="25" t="n">
        <f aca="false">EDATE('Start Here'!$B$6,C668-1)</f>
        <v>46388</v>
      </c>
      <c r="E668" s="23" t="n">
        <f aca="false">IF(AND(C668&gt;=Assumptions!$C$25,C668&lt;=Staffing!$G$17,'Start Here'!$B$8=1),IF(C668&lt;=6,Staffing!$H$17,IF(C668&lt;=15,Staffing!$I$17,IF(C668&lt;=30,Staffing!$J$17,Staffing!$K$17))),0)</f>
        <v>0</v>
      </c>
      <c r="F668" s="10" t="n">
        <f aca="false">E668*Staffing!$L$17/12*(1+Assumptions!$C$10)^INT((C668-1)/12)*1</f>
        <v>0</v>
      </c>
      <c r="G668" s="10" t="n">
        <f aca="false">F668*Staffing!$N$17</f>
        <v>0</v>
      </c>
      <c r="H668" s="10" t="n">
        <f aca="false">F668+G668</f>
        <v>0</v>
      </c>
      <c r="I668" s="10" t="n">
        <f aca="false">0</f>
        <v>0</v>
      </c>
      <c r="J668" s="10" t="n">
        <f aca="false">MAX(0,E668-E667)*Staffing!$O$17</f>
        <v>0</v>
      </c>
      <c r="K668" s="10" t="n">
        <f aca="false">MAX(0,E668-E667)*Staffing!$P$17</f>
        <v>0</v>
      </c>
      <c r="L668" s="23" t="n">
        <f aca="false">ROUNDUP(E668,0)</f>
        <v>0</v>
      </c>
    </row>
    <row r="669" customFormat="false" ht="15" hidden="false" customHeight="false" outlineLevel="0" collapsed="false">
      <c r="A669" s="6" t="s">
        <v>72</v>
      </c>
      <c r="B669" s="6" t="s">
        <v>351</v>
      </c>
      <c r="C669" s="6" t="n">
        <v>4</v>
      </c>
      <c r="D669" s="25" t="n">
        <f aca="false">EDATE('Start Here'!$B$6,C669-1)</f>
        <v>46419</v>
      </c>
      <c r="E669" s="23" t="n">
        <f aca="false">IF(AND(C669&gt;=Assumptions!$C$25,C669&lt;=Staffing!$G$17,'Start Here'!$B$8=1),IF(C669&lt;=6,Staffing!$H$17,IF(C669&lt;=15,Staffing!$I$17,IF(C669&lt;=30,Staffing!$J$17,Staffing!$K$17))),0)</f>
        <v>0</v>
      </c>
      <c r="F669" s="10" t="n">
        <f aca="false">E669*Staffing!$L$17/12*(1+Assumptions!$C$10)^INT((C669-1)/12)*1</f>
        <v>0</v>
      </c>
      <c r="G669" s="10" t="n">
        <f aca="false">F669*Staffing!$N$17</f>
        <v>0</v>
      </c>
      <c r="H669" s="10" t="n">
        <f aca="false">F669+G669</f>
        <v>0</v>
      </c>
      <c r="I669" s="10" t="n">
        <f aca="false">0</f>
        <v>0</v>
      </c>
      <c r="J669" s="10" t="n">
        <f aca="false">MAX(0,E669-E668)*Staffing!$O$17</f>
        <v>0</v>
      </c>
      <c r="K669" s="10" t="n">
        <f aca="false">MAX(0,E669-E668)*Staffing!$P$17</f>
        <v>0</v>
      </c>
      <c r="L669" s="23" t="n">
        <f aca="false">ROUNDUP(E669,0)</f>
        <v>0</v>
      </c>
    </row>
    <row r="670" customFormat="false" ht="15" hidden="false" customHeight="false" outlineLevel="0" collapsed="false">
      <c r="A670" s="6" t="s">
        <v>72</v>
      </c>
      <c r="B670" s="6" t="s">
        <v>351</v>
      </c>
      <c r="C670" s="6" t="n">
        <v>5</v>
      </c>
      <c r="D670" s="25" t="n">
        <f aca="false">EDATE('Start Here'!$B$6,C670-1)</f>
        <v>46447</v>
      </c>
      <c r="E670" s="23" t="n">
        <f aca="false">IF(AND(C670&gt;=Assumptions!$C$25,C670&lt;=Staffing!$G$17,'Start Here'!$B$8=1),IF(C670&lt;=6,Staffing!$H$17,IF(C670&lt;=15,Staffing!$I$17,IF(C670&lt;=30,Staffing!$J$17,Staffing!$K$17))),0)</f>
        <v>0</v>
      </c>
      <c r="F670" s="10" t="n">
        <f aca="false">E670*Staffing!$L$17/12*(1+Assumptions!$C$10)^INT((C670-1)/12)*1</f>
        <v>0</v>
      </c>
      <c r="G670" s="10" t="n">
        <f aca="false">F670*Staffing!$N$17</f>
        <v>0</v>
      </c>
      <c r="H670" s="10" t="n">
        <f aca="false">F670+G670</f>
        <v>0</v>
      </c>
      <c r="I670" s="10" t="n">
        <f aca="false">0</f>
        <v>0</v>
      </c>
      <c r="J670" s="10" t="n">
        <f aca="false">MAX(0,E670-E669)*Staffing!$O$17</f>
        <v>0</v>
      </c>
      <c r="K670" s="10" t="n">
        <f aca="false">MAX(0,E670-E669)*Staffing!$P$17</f>
        <v>0</v>
      </c>
      <c r="L670" s="23" t="n">
        <f aca="false">ROUNDUP(E670,0)</f>
        <v>0</v>
      </c>
    </row>
    <row r="671" customFormat="false" ht="15" hidden="false" customHeight="false" outlineLevel="0" collapsed="false">
      <c r="A671" s="6" t="s">
        <v>72</v>
      </c>
      <c r="B671" s="6" t="s">
        <v>351</v>
      </c>
      <c r="C671" s="6" t="n">
        <v>6</v>
      </c>
      <c r="D671" s="25" t="n">
        <f aca="false">EDATE('Start Here'!$B$6,C671-1)</f>
        <v>46478</v>
      </c>
      <c r="E671" s="23" t="n">
        <f aca="false">IF(AND(C671&gt;=Assumptions!$C$25,C671&lt;=Staffing!$G$17,'Start Here'!$B$8=1),IF(C671&lt;=6,Staffing!$H$17,IF(C671&lt;=15,Staffing!$I$17,IF(C671&lt;=30,Staffing!$J$17,Staffing!$K$17))),0)</f>
        <v>0</v>
      </c>
      <c r="F671" s="10" t="n">
        <f aca="false">E671*Staffing!$L$17/12*(1+Assumptions!$C$10)^INT((C671-1)/12)*1</f>
        <v>0</v>
      </c>
      <c r="G671" s="10" t="n">
        <f aca="false">F671*Staffing!$N$17</f>
        <v>0</v>
      </c>
      <c r="H671" s="10" t="n">
        <f aca="false">F671+G671</f>
        <v>0</v>
      </c>
      <c r="I671" s="10" t="n">
        <f aca="false">0</f>
        <v>0</v>
      </c>
      <c r="J671" s="10" t="n">
        <f aca="false">MAX(0,E671-E670)*Staffing!$O$17</f>
        <v>0</v>
      </c>
      <c r="K671" s="10" t="n">
        <f aca="false">MAX(0,E671-E670)*Staffing!$P$17</f>
        <v>0</v>
      </c>
      <c r="L671" s="23" t="n">
        <f aca="false">ROUNDUP(E671,0)</f>
        <v>0</v>
      </c>
    </row>
    <row r="672" customFormat="false" ht="15" hidden="false" customHeight="false" outlineLevel="0" collapsed="false">
      <c r="A672" s="6" t="s">
        <v>72</v>
      </c>
      <c r="B672" s="6" t="s">
        <v>351</v>
      </c>
      <c r="C672" s="6" t="n">
        <v>7</v>
      </c>
      <c r="D672" s="25" t="n">
        <f aca="false">EDATE('Start Here'!$B$6,C672-1)</f>
        <v>46508</v>
      </c>
      <c r="E672" s="23" t="n">
        <f aca="false">IF(AND(C672&gt;=Assumptions!$C$25,C672&lt;=Staffing!$G$17,'Start Here'!$B$8=1),IF(C672&lt;=6,Staffing!$H$17,IF(C672&lt;=15,Staffing!$I$17,IF(C672&lt;=30,Staffing!$J$17,Staffing!$K$17))),0)</f>
        <v>0</v>
      </c>
      <c r="F672" s="10" t="n">
        <f aca="false">E672*Staffing!$L$17/12*(1+Assumptions!$C$10)^INT((C672-1)/12)*1</f>
        <v>0</v>
      </c>
      <c r="G672" s="10" t="n">
        <f aca="false">F672*Staffing!$N$17</f>
        <v>0</v>
      </c>
      <c r="H672" s="10" t="n">
        <f aca="false">F672+G672</f>
        <v>0</v>
      </c>
      <c r="I672" s="10" t="n">
        <f aca="false">0</f>
        <v>0</v>
      </c>
      <c r="J672" s="10" t="n">
        <f aca="false">MAX(0,E672-E671)*Staffing!$O$17</f>
        <v>0</v>
      </c>
      <c r="K672" s="10" t="n">
        <f aca="false">MAX(0,E672-E671)*Staffing!$P$17</f>
        <v>0</v>
      </c>
      <c r="L672" s="23" t="n">
        <f aca="false">ROUNDUP(E672,0)</f>
        <v>0</v>
      </c>
    </row>
    <row r="673" customFormat="false" ht="15" hidden="false" customHeight="false" outlineLevel="0" collapsed="false">
      <c r="A673" s="6" t="s">
        <v>72</v>
      </c>
      <c r="B673" s="6" t="s">
        <v>351</v>
      </c>
      <c r="C673" s="6" t="n">
        <v>8</v>
      </c>
      <c r="D673" s="25" t="n">
        <f aca="false">EDATE('Start Here'!$B$6,C673-1)</f>
        <v>46539</v>
      </c>
      <c r="E673" s="23" t="n">
        <f aca="false">IF(AND(C673&gt;=Assumptions!$C$25,C673&lt;=Staffing!$G$17,'Start Here'!$B$8=1),IF(C673&lt;=6,Staffing!$H$17,IF(C673&lt;=15,Staffing!$I$17,IF(C673&lt;=30,Staffing!$J$17,Staffing!$K$17))),0)</f>
        <v>0</v>
      </c>
      <c r="F673" s="10" t="n">
        <f aca="false">E673*Staffing!$L$17/12*(1+Assumptions!$C$10)^INT((C673-1)/12)*1</f>
        <v>0</v>
      </c>
      <c r="G673" s="10" t="n">
        <f aca="false">F673*Staffing!$N$17</f>
        <v>0</v>
      </c>
      <c r="H673" s="10" t="n">
        <f aca="false">F673+G673</f>
        <v>0</v>
      </c>
      <c r="I673" s="10" t="n">
        <f aca="false">0</f>
        <v>0</v>
      </c>
      <c r="J673" s="10" t="n">
        <f aca="false">MAX(0,E673-E672)*Staffing!$O$17</f>
        <v>0</v>
      </c>
      <c r="K673" s="10" t="n">
        <f aca="false">MAX(0,E673-E672)*Staffing!$P$17</f>
        <v>0</v>
      </c>
      <c r="L673" s="23" t="n">
        <f aca="false">ROUNDUP(E673,0)</f>
        <v>0</v>
      </c>
    </row>
    <row r="674" customFormat="false" ht="15" hidden="false" customHeight="false" outlineLevel="0" collapsed="false">
      <c r="A674" s="6" t="s">
        <v>72</v>
      </c>
      <c r="B674" s="6" t="s">
        <v>351</v>
      </c>
      <c r="C674" s="6" t="n">
        <v>9</v>
      </c>
      <c r="D674" s="25" t="n">
        <f aca="false">EDATE('Start Here'!$B$6,C674-1)</f>
        <v>46569</v>
      </c>
      <c r="E674" s="23" t="n">
        <f aca="false">IF(AND(C674&gt;=Assumptions!$C$25,C674&lt;=Staffing!$G$17,'Start Here'!$B$8=1),IF(C674&lt;=6,Staffing!$H$17,IF(C674&lt;=15,Staffing!$I$17,IF(C674&lt;=30,Staffing!$J$17,Staffing!$K$17))),0)</f>
        <v>0</v>
      </c>
      <c r="F674" s="10" t="n">
        <f aca="false">E674*Staffing!$L$17/12*(1+Assumptions!$C$10)^INT((C674-1)/12)*1</f>
        <v>0</v>
      </c>
      <c r="G674" s="10" t="n">
        <f aca="false">F674*Staffing!$N$17</f>
        <v>0</v>
      </c>
      <c r="H674" s="10" t="n">
        <f aca="false">F674+G674</f>
        <v>0</v>
      </c>
      <c r="I674" s="10" t="n">
        <f aca="false">0</f>
        <v>0</v>
      </c>
      <c r="J674" s="10" t="n">
        <f aca="false">MAX(0,E674-E673)*Staffing!$O$17</f>
        <v>0</v>
      </c>
      <c r="K674" s="10" t="n">
        <f aca="false">MAX(0,E674-E673)*Staffing!$P$17</f>
        <v>0</v>
      </c>
      <c r="L674" s="23" t="n">
        <f aca="false">ROUNDUP(E674,0)</f>
        <v>0</v>
      </c>
    </row>
    <row r="675" customFormat="false" ht="15" hidden="false" customHeight="false" outlineLevel="0" collapsed="false">
      <c r="A675" s="6" t="s">
        <v>72</v>
      </c>
      <c r="B675" s="6" t="s">
        <v>351</v>
      </c>
      <c r="C675" s="6" t="n">
        <v>10</v>
      </c>
      <c r="D675" s="25" t="n">
        <f aca="false">EDATE('Start Here'!$B$6,C675-1)</f>
        <v>46600</v>
      </c>
      <c r="E675" s="23" t="n">
        <f aca="false">IF(AND(C675&gt;=Assumptions!$C$25,C675&lt;=Staffing!$G$17,'Start Here'!$B$8=1),IF(C675&lt;=6,Staffing!$H$17,IF(C675&lt;=15,Staffing!$I$17,IF(C675&lt;=30,Staffing!$J$17,Staffing!$K$17))),0)</f>
        <v>0</v>
      </c>
      <c r="F675" s="10" t="n">
        <f aca="false">E675*Staffing!$L$17/12*(1+Assumptions!$C$10)^INT((C675-1)/12)*1</f>
        <v>0</v>
      </c>
      <c r="G675" s="10" t="n">
        <f aca="false">F675*Staffing!$N$17</f>
        <v>0</v>
      </c>
      <c r="H675" s="10" t="n">
        <f aca="false">F675+G675</f>
        <v>0</v>
      </c>
      <c r="I675" s="10" t="n">
        <f aca="false">0</f>
        <v>0</v>
      </c>
      <c r="J675" s="10" t="n">
        <f aca="false">MAX(0,E675-E674)*Staffing!$O$17</f>
        <v>0</v>
      </c>
      <c r="K675" s="10" t="n">
        <f aca="false">MAX(0,E675-E674)*Staffing!$P$17</f>
        <v>0</v>
      </c>
      <c r="L675" s="23" t="n">
        <f aca="false">ROUNDUP(E675,0)</f>
        <v>0</v>
      </c>
    </row>
    <row r="676" customFormat="false" ht="15" hidden="false" customHeight="false" outlineLevel="0" collapsed="false">
      <c r="A676" s="6" t="s">
        <v>72</v>
      </c>
      <c r="B676" s="6" t="s">
        <v>351</v>
      </c>
      <c r="C676" s="6" t="n">
        <v>11</v>
      </c>
      <c r="D676" s="25" t="n">
        <f aca="false">EDATE('Start Here'!$B$6,C676-1)</f>
        <v>46631</v>
      </c>
      <c r="E676" s="23" t="n">
        <f aca="false">IF(AND(C676&gt;=Assumptions!$C$25,C676&lt;=Staffing!$G$17,'Start Here'!$B$8=1),IF(C676&lt;=6,Staffing!$H$17,IF(C676&lt;=15,Staffing!$I$17,IF(C676&lt;=30,Staffing!$J$17,Staffing!$K$17))),0)</f>
        <v>0</v>
      </c>
      <c r="F676" s="10" t="n">
        <f aca="false">E676*Staffing!$L$17/12*(1+Assumptions!$C$10)^INT((C676-1)/12)*1</f>
        <v>0</v>
      </c>
      <c r="G676" s="10" t="n">
        <f aca="false">F676*Staffing!$N$17</f>
        <v>0</v>
      </c>
      <c r="H676" s="10" t="n">
        <f aca="false">F676+G676</f>
        <v>0</v>
      </c>
      <c r="I676" s="10" t="n">
        <f aca="false">0</f>
        <v>0</v>
      </c>
      <c r="J676" s="10" t="n">
        <f aca="false">MAX(0,E676-E675)*Staffing!$O$17</f>
        <v>0</v>
      </c>
      <c r="K676" s="10" t="n">
        <f aca="false">MAX(0,E676-E675)*Staffing!$P$17</f>
        <v>0</v>
      </c>
      <c r="L676" s="23" t="n">
        <f aca="false">ROUNDUP(E676,0)</f>
        <v>0</v>
      </c>
    </row>
    <row r="677" customFormat="false" ht="15" hidden="false" customHeight="false" outlineLevel="0" collapsed="false">
      <c r="A677" s="6" t="s">
        <v>72</v>
      </c>
      <c r="B677" s="6" t="s">
        <v>351</v>
      </c>
      <c r="C677" s="6" t="n">
        <v>12</v>
      </c>
      <c r="D677" s="25" t="n">
        <f aca="false">EDATE('Start Here'!$B$6,C677-1)</f>
        <v>46661</v>
      </c>
      <c r="E677" s="23" t="n">
        <f aca="false">IF(AND(C677&gt;=Assumptions!$C$25,C677&lt;=Staffing!$G$17,'Start Here'!$B$8=1),IF(C677&lt;=6,Staffing!$H$17,IF(C677&lt;=15,Staffing!$I$17,IF(C677&lt;=30,Staffing!$J$17,Staffing!$K$17))),0)</f>
        <v>0</v>
      </c>
      <c r="F677" s="10" t="n">
        <f aca="false">E677*Staffing!$L$17/12*(1+Assumptions!$C$10)^INT((C677-1)/12)*1</f>
        <v>0</v>
      </c>
      <c r="G677" s="10" t="n">
        <f aca="false">F677*Staffing!$N$17</f>
        <v>0</v>
      </c>
      <c r="H677" s="10" t="n">
        <f aca="false">F677+G677</f>
        <v>0</v>
      </c>
      <c r="I677" s="10" t="n">
        <f aca="false">0</f>
        <v>0</v>
      </c>
      <c r="J677" s="10" t="n">
        <f aca="false">MAX(0,E677-E676)*Staffing!$O$17</f>
        <v>0</v>
      </c>
      <c r="K677" s="10" t="n">
        <f aca="false">MAX(0,E677-E676)*Staffing!$P$17</f>
        <v>0</v>
      </c>
      <c r="L677" s="23" t="n">
        <f aca="false">ROUNDUP(E677,0)</f>
        <v>0</v>
      </c>
    </row>
    <row r="678" customFormat="false" ht="15" hidden="false" customHeight="false" outlineLevel="0" collapsed="false">
      <c r="A678" s="6" t="s">
        <v>72</v>
      </c>
      <c r="B678" s="6" t="s">
        <v>351</v>
      </c>
      <c r="C678" s="6" t="n">
        <v>13</v>
      </c>
      <c r="D678" s="25" t="n">
        <f aca="false">EDATE('Start Here'!$B$6,C678-1)</f>
        <v>46692</v>
      </c>
      <c r="E678" s="23" t="n">
        <f aca="false">IF(AND(C678&gt;=Assumptions!$C$25,C678&lt;=Staffing!$G$17,'Start Here'!$B$8=1),IF(C678&lt;=6,Staffing!$H$17,IF(C678&lt;=15,Staffing!$I$17,IF(C678&lt;=30,Staffing!$J$17,Staffing!$K$17))),0)</f>
        <v>0</v>
      </c>
      <c r="F678" s="10" t="n">
        <f aca="false">E678*Staffing!$L$17/12*(1+Assumptions!$C$10)^INT((C678-1)/12)*1</f>
        <v>0</v>
      </c>
      <c r="G678" s="10" t="n">
        <f aca="false">F678*Staffing!$N$17</f>
        <v>0</v>
      </c>
      <c r="H678" s="10" t="n">
        <f aca="false">F678+G678</f>
        <v>0</v>
      </c>
      <c r="I678" s="10" t="n">
        <f aca="false">0</f>
        <v>0</v>
      </c>
      <c r="J678" s="10" t="n">
        <f aca="false">MAX(0,E678-E677)*Staffing!$O$17</f>
        <v>0</v>
      </c>
      <c r="K678" s="10" t="n">
        <f aca="false">MAX(0,E678-E677)*Staffing!$P$17</f>
        <v>0</v>
      </c>
      <c r="L678" s="23" t="n">
        <f aca="false">ROUNDUP(E678,0)</f>
        <v>0</v>
      </c>
    </row>
    <row r="679" customFormat="false" ht="15" hidden="false" customHeight="false" outlineLevel="0" collapsed="false">
      <c r="A679" s="6" t="s">
        <v>72</v>
      </c>
      <c r="B679" s="6" t="s">
        <v>351</v>
      </c>
      <c r="C679" s="6" t="n">
        <v>14</v>
      </c>
      <c r="D679" s="25" t="n">
        <f aca="false">EDATE('Start Here'!$B$6,C679-1)</f>
        <v>46722</v>
      </c>
      <c r="E679" s="23" t="n">
        <f aca="false">IF(AND(C679&gt;=Assumptions!$C$25,C679&lt;=Staffing!$G$17,'Start Here'!$B$8=1),IF(C679&lt;=6,Staffing!$H$17,IF(C679&lt;=15,Staffing!$I$17,IF(C679&lt;=30,Staffing!$J$17,Staffing!$K$17))),0)</f>
        <v>0</v>
      </c>
      <c r="F679" s="10" t="n">
        <f aca="false">E679*Staffing!$L$17/12*(1+Assumptions!$C$10)^INT((C679-1)/12)*1</f>
        <v>0</v>
      </c>
      <c r="G679" s="10" t="n">
        <f aca="false">F679*Staffing!$N$17</f>
        <v>0</v>
      </c>
      <c r="H679" s="10" t="n">
        <f aca="false">F679+G679</f>
        <v>0</v>
      </c>
      <c r="I679" s="10" t="n">
        <f aca="false">0</f>
        <v>0</v>
      </c>
      <c r="J679" s="10" t="n">
        <f aca="false">MAX(0,E679-E678)*Staffing!$O$17</f>
        <v>0</v>
      </c>
      <c r="K679" s="10" t="n">
        <f aca="false">MAX(0,E679-E678)*Staffing!$P$17</f>
        <v>0</v>
      </c>
      <c r="L679" s="23" t="n">
        <f aca="false">ROUNDUP(E679,0)</f>
        <v>0</v>
      </c>
    </row>
    <row r="680" customFormat="false" ht="15" hidden="false" customHeight="false" outlineLevel="0" collapsed="false">
      <c r="A680" s="6" t="s">
        <v>72</v>
      </c>
      <c r="B680" s="6" t="s">
        <v>351</v>
      </c>
      <c r="C680" s="6" t="n">
        <v>15</v>
      </c>
      <c r="D680" s="25" t="n">
        <f aca="false">EDATE('Start Here'!$B$6,C680-1)</f>
        <v>46753</v>
      </c>
      <c r="E680" s="23" t="n">
        <f aca="false">IF(AND(C680&gt;=Assumptions!$C$25,C680&lt;=Staffing!$G$17,'Start Here'!$B$8=1),IF(C680&lt;=6,Staffing!$H$17,IF(C680&lt;=15,Staffing!$I$17,IF(C680&lt;=30,Staffing!$J$17,Staffing!$K$17))),0)</f>
        <v>0</v>
      </c>
      <c r="F680" s="10" t="n">
        <f aca="false">E680*Staffing!$L$17/12*(1+Assumptions!$C$10)^INT((C680-1)/12)*1</f>
        <v>0</v>
      </c>
      <c r="G680" s="10" t="n">
        <f aca="false">F680*Staffing!$N$17</f>
        <v>0</v>
      </c>
      <c r="H680" s="10" t="n">
        <f aca="false">F680+G680</f>
        <v>0</v>
      </c>
      <c r="I680" s="10" t="n">
        <f aca="false">0</f>
        <v>0</v>
      </c>
      <c r="J680" s="10" t="n">
        <f aca="false">MAX(0,E680-E679)*Staffing!$O$17</f>
        <v>0</v>
      </c>
      <c r="K680" s="10" t="n">
        <f aca="false">MAX(0,E680-E679)*Staffing!$P$17</f>
        <v>0</v>
      </c>
      <c r="L680" s="23" t="n">
        <f aca="false">ROUNDUP(E680,0)</f>
        <v>0</v>
      </c>
    </row>
    <row r="681" customFormat="false" ht="15" hidden="false" customHeight="false" outlineLevel="0" collapsed="false">
      <c r="A681" s="6" t="s">
        <v>72</v>
      </c>
      <c r="B681" s="6" t="s">
        <v>351</v>
      </c>
      <c r="C681" s="6" t="n">
        <v>16</v>
      </c>
      <c r="D681" s="25" t="n">
        <f aca="false">EDATE('Start Here'!$B$6,C681-1)</f>
        <v>46784</v>
      </c>
      <c r="E681" s="23" t="n">
        <f aca="false">IF(AND(C681&gt;=Assumptions!$C$25,C681&lt;=Staffing!$G$17,'Start Here'!$B$8=1),IF(C681&lt;=6,Staffing!$H$17,IF(C681&lt;=15,Staffing!$I$17,IF(C681&lt;=30,Staffing!$J$17,Staffing!$K$17))),0)</f>
        <v>0</v>
      </c>
      <c r="F681" s="10" t="n">
        <f aca="false">E681*Staffing!$L$17/12*(1+Assumptions!$C$10)^INT((C681-1)/12)*1</f>
        <v>0</v>
      </c>
      <c r="G681" s="10" t="n">
        <f aca="false">F681*Staffing!$N$17</f>
        <v>0</v>
      </c>
      <c r="H681" s="10" t="n">
        <f aca="false">F681+G681</f>
        <v>0</v>
      </c>
      <c r="I681" s="10" t="n">
        <f aca="false">0</f>
        <v>0</v>
      </c>
      <c r="J681" s="10" t="n">
        <f aca="false">MAX(0,E681-E680)*Staffing!$O$17</f>
        <v>0</v>
      </c>
      <c r="K681" s="10" t="n">
        <f aca="false">MAX(0,E681-E680)*Staffing!$P$17</f>
        <v>0</v>
      </c>
      <c r="L681" s="23" t="n">
        <f aca="false">ROUNDUP(E681,0)</f>
        <v>0</v>
      </c>
    </row>
    <row r="682" customFormat="false" ht="15" hidden="false" customHeight="false" outlineLevel="0" collapsed="false">
      <c r="A682" s="6" t="s">
        <v>72</v>
      </c>
      <c r="B682" s="6" t="s">
        <v>351</v>
      </c>
      <c r="C682" s="6" t="n">
        <v>17</v>
      </c>
      <c r="D682" s="25" t="n">
        <f aca="false">EDATE('Start Here'!$B$6,C682-1)</f>
        <v>46813</v>
      </c>
      <c r="E682" s="23" t="n">
        <f aca="false">IF(AND(C682&gt;=Assumptions!$C$25,C682&lt;=Staffing!$G$17,'Start Here'!$B$8=1),IF(C682&lt;=6,Staffing!$H$17,IF(C682&lt;=15,Staffing!$I$17,IF(C682&lt;=30,Staffing!$J$17,Staffing!$K$17))),0)</f>
        <v>0</v>
      </c>
      <c r="F682" s="10" t="n">
        <f aca="false">E682*Staffing!$L$17/12*(1+Assumptions!$C$10)^INT((C682-1)/12)*1</f>
        <v>0</v>
      </c>
      <c r="G682" s="10" t="n">
        <f aca="false">F682*Staffing!$N$17</f>
        <v>0</v>
      </c>
      <c r="H682" s="10" t="n">
        <f aca="false">F682+G682</f>
        <v>0</v>
      </c>
      <c r="I682" s="10" t="n">
        <f aca="false">0</f>
        <v>0</v>
      </c>
      <c r="J682" s="10" t="n">
        <f aca="false">MAX(0,E682-E681)*Staffing!$O$17</f>
        <v>0</v>
      </c>
      <c r="K682" s="10" t="n">
        <f aca="false">MAX(0,E682-E681)*Staffing!$P$17</f>
        <v>0</v>
      </c>
      <c r="L682" s="23" t="n">
        <f aca="false">ROUNDUP(E682,0)</f>
        <v>0</v>
      </c>
    </row>
    <row r="683" customFormat="false" ht="15" hidden="false" customHeight="false" outlineLevel="0" collapsed="false">
      <c r="A683" s="6" t="s">
        <v>72</v>
      </c>
      <c r="B683" s="6" t="s">
        <v>351</v>
      </c>
      <c r="C683" s="6" t="n">
        <v>18</v>
      </c>
      <c r="D683" s="25" t="n">
        <f aca="false">EDATE('Start Here'!$B$6,C683-1)</f>
        <v>46844</v>
      </c>
      <c r="E683" s="23" t="n">
        <f aca="false">IF(AND(C683&gt;=Assumptions!$C$25,C683&lt;=Staffing!$G$17,'Start Here'!$B$8=1),IF(C683&lt;=6,Staffing!$H$17,IF(C683&lt;=15,Staffing!$I$17,IF(C683&lt;=30,Staffing!$J$17,Staffing!$K$17))),0)</f>
        <v>0</v>
      </c>
      <c r="F683" s="10" t="n">
        <f aca="false">E683*Staffing!$L$17/12*(1+Assumptions!$C$10)^INT((C683-1)/12)*1</f>
        <v>0</v>
      </c>
      <c r="G683" s="10" t="n">
        <f aca="false">F683*Staffing!$N$17</f>
        <v>0</v>
      </c>
      <c r="H683" s="10" t="n">
        <f aca="false">F683+G683</f>
        <v>0</v>
      </c>
      <c r="I683" s="10" t="n">
        <f aca="false">0</f>
        <v>0</v>
      </c>
      <c r="J683" s="10" t="n">
        <f aca="false">MAX(0,E683-E682)*Staffing!$O$17</f>
        <v>0</v>
      </c>
      <c r="K683" s="10" t="n">
        <f aca="false">MAX(0,E683-E682)*Staffing!$P$17</f>
        <v>0</v>
      </c>
      <c r="L683" s="23" t="n">
        <f aca="false">ROUNDUP(E683,0)</f>
        <v>0</v>
      </c>
    </row>
    <row r="684" customFormat="false" ht="15" hidden="false" customHeight="false" outlineLevel="0" collapsed="false">
      <c r="A684" s="6" t="s">
        <v>72</v>
      </c>
      <c r="B684" s="6" t="s">
        <v>351</v>
      </c>
      <c r="C684" s="6" t="n">
        <v>19</v>
      </c>
      <c r="D684" s="25" t="n">
        <f aca="false">EDATE('Start Here'!$B$6,C684-1)</f>
        <v>46874</v>
      </c>
      <c r="E684" s="23" t="n">
        <f aca="false">IF(AND(C684&gt;=Assumptions!$C$25,C684&lt;=Staffing!$G$17,'Start Here'!$B$8=1),IF(C684&lt;=6,Staffing!$H$17,IF(C684&lt;=15,Staffing!$I$17,IF(C684&lt;=30,Staffing!$J$17,Staffing!$K$17))),0)</f>
        <v>0</v>
      </c>
      <c r="F684" s="10" t="n">
        <f aca="false">E684*Staffing!$L$17/12*(1+Assumptions!$C$10)^INT((C684-1)/12)*1</f>
        <v>0</v>
      </c>
      <c r="G684" s="10" t="n">
        <f aca="false">F684*Staffing!$N$17</f>
        <v>0</v>
      </c>
      <c r="H684" s="10" t="n">
        <f aca="false">F684+G684</f>
        <v>0</v>
      </c>
      <c r="I684" s="10" t="n">
        <f aca="false">0</f>
        <v>0</v>
      </c>
      <c r="J684" s="10" t="n">
        <f aca="false">MAX(0,E684-E683)*Staffing!$O$17</f>
        <v>0</v>
      </c>
      <c r="K684" s="10" t="n">
        <f aca="false">MAX(0,E684-E683)*Staffing!$P$17</f>
        <v>0</v>
      </c>
      <c r="L684" s="23" t="n">
        <f aca="false">ROUNDUP(E684,0)</f>
        <v>0</v>
      </c>
    </row>
    <row r="685" customFormat="false" ht="15" hidden="false" customHeight="false" outlineLevel="0" collapsed="false">
      <c r="A685" s="6" t="s">
        <v>72</v>
      </c>
      <c r="B685" s="6" t="s">
        <v>351</v>
      </c>
      <c r="C685" s="6" t="n">
        <v>20</v>
      </c>
      <c r="D685" s="25" t="n">
        <f aca="false">EDATE('Start Here'!$B$6,C685-1)</f>
        <v>46905</v>
      </c>
      <c r="E685" s="23" t="n">
        <f aca="false">IF(AND(C685&gt;=Assumptions!$C$25,C685&lt;=Staffing!$G$17,'Start Here'!$B$8=1),IF(C685&lt;=6,Staffing!$H$17,IF(C685&lt;=15,Staffing!$I$17,IF(C685&lt;=30,Staffing!$J$17,Staffing!$K$17))),0)</f>
        <v>0</v>
      </c>
      <c r="F685" s="10" t="n">
        <f aca="false">E685*Staffing!$L$17/12*(1+Assumptions!$C$10)^INT((C685-1)/12)*1</f>
        <v>0</v>
      </c>
      <c r="G685" s="10" t="n">
        <f aca="false">F685*Staffing!$N$17</f>
        <v>0</v>
      </c>
      <c r="H685" s="10" t="n">
        <f aca="false">F685+G685</f>
        <v>0</v>
      </c>
      <c r="I685" s="10" t="n">
        <f aca="false">0</f>
        <v>0</v>
      </c>
      <c r="J685" s="10" t="n">
        <f aca="false">MAX(0,E685-E684)*Staffing!$O$17</f>
        <v>0</v>
      </c>
      <c r="K685" s="10" t="n">
        <f aca="false">MAX(0,E685-E684)*Staffing!$P$17</f>
        <v>0</v>
      </c>
      <c r="L685" s="23" t="n">
        <f aca="false">ROUNDUP(E685,0)</f>
        <v>0</v>
      </c>
    </row>
    <row r="686" customFormat="false" ht="15" hidden="false" customHeight="false" outlineLevel="0" collapsed="false">
      <c r="A686" s="6" t="s">
        <v>72</v>
      </c>
      <c r="B686" s="6" t="s">
        <v>351</v>
      </c>
      <c r="C686" s="6" t="n">
        <v>21</v>
      </c>
      <c r="D686" s="25" t="n">
        <f aca="false">EDATE('Start Here'!$B$6,C686-1)</f>
        <v>46935</v>
      </c>
      <c r="E686" s="23" t="n">
        <f aca="false">IF(AND(C686&gt;=Assumptions!$C$25,C686&lt;=Staffing!$G$17,'Start Here'!$B$8=1),IF(C686&lt;=6,Staffing!$H$17,IF(C686&lt;=15,Staffing!$I$17,IF(C686&lt;=30,Staffing!$J$17,Staffing!$K$17))),0)</f>
        <v>0</v>
      </c>
      <c r="F686" s="10" t="n">
        <f aca="false">E686*Staffing!$L$17/12*(1+Assumptions!$C$10)^INT((C686-1)/12)*1</f>
        <v>0</v>
      </c>
      <c r="G686" s="10" t="n">
        <f aca="false">F686*Staffing!$N$17</f>
        <v>0</v>
      </c>
      <c r="H686" s="10" t="n">
        <f aca="false">F686+G686</f>
        <v>0</v>
      </c>
      <c r="I686" s="10" t="n">
        <f aca="false">0</f>
        <v>0</v>
      </c>
      <c r="J686" s="10" t="n">
        <f aca="false">MAX(0,E686-E685)*Staffing!$O$17</f>
        <v>0</v>
      </c>
      <c r="K686" s="10" t="n">
        <f aca="false">MAX(0,E686-E685)*Staffing!$P$17</f>
        <v>0</v>
      </c>
      <c r="L686" s="23" t="n">
        <f aca="false">ROUNDUP(E686,0)</f>
        <v>0</v>
      </c>
    </row>
    <row r="687" customFormat="false" ht="15" hidden="false" customHeight="false" outlineLevel="0" collapsed="false">
      <c r="A687" s="6" t="s">
        <v>72</v>
      </c>
      <c r="B687" s="6" t="s">
        <v>351</v>
      </c>
      <c r="C687" s="6" t="n">
        <v>22</v>
      </c>
      <c r="D687" s="25" t="n">
        <f aca="false">EDATE('Start Here'!$B$6,C687-1)</f>
        <v>46966</v>
      </c>
      <c r="E687" s="23" t="n">
        <f aca="false">IF(AND(C687&gt;=Assumptions!$C$25,C687&lt;=Staffing!$G$17,'Start Here'!$B$8=1),IF(C687&lt;=6,Staffing!$H$17,IF(C687&lt;=15,Staffing!$I$17,IF(C687&lt;=30,Staffing!$J$17,Staffing!$K$17))),0)</f>
        <v>0</v>
      </c>
      <c r="F687" s="10" t="n">
        <f aca="false">E687*Staffing!$L$17/12*(1+Assumptions!$C$10)^INT((C687-1)/12)*1</f>
        <v>0</v>
      </c>
      <c r="G687" s="10" t="n">
        <f aca="false">F687*Staffing!$N$17</f>
        <v>0</v>
      </c>
      <c r="H687" s="10" t="n">
        <f aca="false">F687+G687</f>
        <v>0</v>
      </c>
      <c r="I687" s="10" t="n">
        <f aca="false">0</f>
        <v>0</v>
      </c>
      <c r="J687" s="10" t="n">
        <f aca="false">MAX(0,E687-E686)*Staffing!$O$17</f>
        <v>0</v>
      </c>
      <c r="K687" s="10" t="n">
        <f aca="false">MAX(0,E687-E686)*Staffing!$P$17</f>
        <v>0</v>
      </c>
      <c r="L687" s="23" t="n">
        <f aca="false">ROUNDUP(E687,0)</f>
        <v>0</v>
      </c>
    </row>
    <row r="688" customFormat="false" ht="15" hidden="false" customHeight="false" outlineLevel="0" collapsed="false">
      <c r="A688" s="6" t="s">
        <v>72</v>
      </c>
      <c r="B688" s="6" t="s">
        <v>351</v>
      </c>
      <c r="C688" s="6" t="n">
        <v>23</v>
      </c>
      <c r="D688" s="25" t="n">
        <f aca="false">EDATE('Start Here'!$B$6,C688-1)</f>
        <v>46997</v>
      </c>
      <c r="E688" s="23" t="n">
        <f aca="false">IF(AND(C688&gt;=Assumptions!$C$25,C688&lt;=Staffing!$G$17,'Start Here'!$B$8=1),IF(C688&lt;=6,Staffing!$H$17,IF(C688&lt;=15,Staffing!$I$17,IF(C688&lt;=30,Staffing!$J$17,Staffing!$K$17))),0)</f>
        <v>0</v>
      </c>
      <c r="F688" s="10" t="n">
        <f aca="false">E688*Staffing!$L$17/12*(1+Assumptions!$C$10)^INT((C688-1)/12)*1</f>
        <v>0</v>
      </c>
      <c r="G688" s="10" t="n">
        <f aca="false">F688*Staffing!$N$17</f>
        <v>0</v>
      </c>
      <c r="H688" s="10" t="n">
        <f aca="false">F688+G688</f>
        <v>0</v>
      </c>
      <c r="I688" s="10" t="n">
        <f aca="false">0</f>
        <v>0</v>
      </c>
      <c r="J688" s="10" t="n">
        <f aca="false">MAX(0,E688-E687)*Staffing!$O$17</f>
        <v>0</v>
      </c>
      <c r="K688" s="10" t="n">
        <f aca="false">MAX(0,E688-E687)*Staffing!$P$17</f>
        <v>0</v>
      </c>
      <c r="L688" s="23" t="n">
        <f aca="false">ROUNDUP(E688,0)</f>
        <v>0</v>
      </c>
    </row>
    <row r="689" customFormat="false" ht="15" hidden="false" customHeight="false" outlineLevel="0" collapsed="false">
      <c r="A689" s="6" t="s">
        <v>72</v>
      </c>
      <c r="B689" s="6" t="s">
        <v>351</v>
      </c>
      <c r="C689" s="6" t="n">
        <v>24</v>
      </c>
      <c r="D689" s="25" t="n">
        <f aca="false">EDATE('Start Here'!$B$6,C689-1)</f>
        <v>47027</v>
      </c>
      <c r="E689" s="23" t="n">
        <f aca="false">IF(AND(C689&gt;=Assumptions!$C$25,C689&lt;=Staffing!$G$17,'Start Here'!$B$8=1),IF(C689&lt;=6,Staffing!$H$17,IF(C689&lt;=15,Staffing!$I$17,IF(C689&lt;=30,Staffing!$J$17,Staffing!$K$17))),0)</f>
        <v>0</v>
      </c>
      <c r="F689" s="10" t="n">
        <f aca="false">E689*Staffing!$L$17/12*(1+Assumptions!$C$10)^INT((C689-1)/12)*1</f>
        <v>0</v>
      </c>
      <c r="G689" s="10" t="n">
        <f aca="false">F689*Staffing!$N$17</f>
        <v>0</v>
      </c>
      <c r="H689" s="10" t="n">
        <f aca="false">F689+G689</f>
        <v>0</v>
      </c>
      <c r="I689" s="10" t="n">
        <f aca="false">0</f>
        <v>0</v>
      </c>
      <c r="J689" s="10" t="n">
        <f aca="false">MAX(0,E689-E688)*Staffing!$O$17</f>
        <v>0</v>
      </c>
      <c r="K689" s="10" t="n">
        <f aca="false">MAX(0,E689-E688)*Staffing!$P$17</f>
        <v>0</v>
      </c>
      <c r="L689" s="23" t="n">
        <f aca="false">ROUNDUP(E689,0)</f>
        <v>0</v>
      </c>
    </row>
    <row r="690" customFormat="false" ht="15" hidden="false" customHeight="false" outlineLevel="0" collapsed="false">
      <c r="A690" s="6" t="s">
        <v>72</v>
      </c>
      <c r="B690" s="6" t="s">
        <v>351</v>
      </c>
      <c r="C690" s="6" t="n">
        <v>25</v>
      </c>
      <c r="D690" s="25" t="n">
        <f aca="false">EDATE('Start Here'!$B$6,C690-1)</f>
        <v>47058</v>
      </c>
      <c r="E690" s="23" t="n">
        <f aca="false">IF(AND(C690&gt;=Assumptions!$C$25,C690&lt;=Staffing!$G$17,'Start Here'!$B$8=1),IF(C690&lt;=6,Staffing!$H$17,IF(C690&lt;=15,Staffing!$I$17,IF(C690&lt;=30,Staffing!$J$17,Staffing!$K$17))),0)</f>
        <v>0</v>
      </c>
      <c r="F690" s="10" t="n">
        <f aca="false">E690*Staffing!$L$17/12*(1+Assumptions!$C$10)^INT((C690-1)/12)*1</f>
        <v>0</v>
      </c>
      <c r="G690" s="10" t="n">
        <f aca="false">F690*Staffing!$N$17</f>
        <v>0</v>
      </c>
      <c r="H690" s="10" t="n">
        <f aca="false">F690+G690</f>
        <v>0</v>
      </c>
      <c r="I690" s="10" t="n">
        <f aca="false">0</f>
        <v>0</v>
      </c>
      <c r="J690" s="10" t="n">
        <f aca="false">MAX(0,E690-E689)*Staffing!$O$17</f>
        <v>0</v>
      </c>
      <c r="K690" s="10" t="n">
        <f aca="false">MAX(0,E690-E689)*Staffing!$P$17</f>
        <v>0</v>
      </c>
      <c r="L690" s="23" t="n">
        <f aca="false">ROUNDUP(E690,0)</f>
        <v>0</v>
      </c>
    </row>
    <row r="691" customFormat="false" ht="15" hidden="false" customHeight="false" outlineLevel="0" collapsed="false">
      <c r="A691" s="6" t="s">
        <v>72</v>
      </c>
      <c r="B691" s="6" t="s">
        <v>351</v>
      </c>
      <c r="C691" s="6" t="n">
        <v>26</v>
      </c>
      <c r="D691" s="25" t="n">
        <f aca="false">EDATE('Start Here'!$B$6,C691-1)</f>
        <v>47088</v>
      </c>
      <c r="E691" s="23" t="n">
        <f aca="false">IF(AND(C691&gt;=Assumptions!$C$25,C691&lt;=Staffing!$G$17,'Start Here'!$B$8=1),IF(C691&lt;=6,Staffing!$H$17,IF(C691&lt;=15,Staffing!$I$17,IF(C691&lt;=30,Staffing!$J$17,Staffing!$K$17))),0)</f>
        <v>0</v>
      </c>
      <c r="F691" s="10" t="n">
        <f aca="false">E691*Staffing!$L$17/12*(1+Assumptions!$C$10)^INT((C691-1)/12)*1</f>
        <v>0</v>
      </c>
      <c r="G691" s="10" t="n">
        <f aca="false">F691*Staffing!$N$17</f>
        <v>0</v>
      </c>
      <c r="H691" s="10" t="n">
        <f aca="false">F691+G691</f>
        <v>0</v>
      </c>
      <c r="I691" s="10" t="n">
        <f aca="false">0</f>
        <v>0</v>
      </c>
      <c r="J691" s="10" t="n">
        <f aca="false">MAX(0,E691-E690)*Staffing!$O$17</f>
        <v>0</v>
      </c>
      <c r="K691" s="10" t="n">
        <f aca="false">MAX(0,E691-E690)*Staffing!$P$17</f>
        <v>0</v>
      </c>
      <c r="L691" s="23" t="n">
        <f aca="false">ROUNDUP(E691,0)</f>
        <v>0</v>
      </c>
    </row>
    <row r="692" customFormat="false" ht="15" hidden="false" customHeight="false" outlineLevel="0" collapsed="false">
      <c r="A692" s="6" t="s">
        <v>72</v>
      </c>
      <c r="B692" s="6" t="s">
        <v>351</v>
      </c>
      <c r="C692" s="6" t="n">
        <v>27</v>
      </c>
      <c r="D692" s="25" t="n">
        <f aca="false">EDATE('Start Here'!$B$6,C692-1)</f>
        <v>47119</v>
      </c>
      <c r="E692" s="23" t="n">
        <f aca="false">IF(AND(C692&gt;=Assumptions!$C$25,C692&lt;=Staffing!$G$17,'Start Here'!$B$8=1),IF(C692&lt;=6,Staffing!$H$17,IF(C692&lt;=15,Staffing!$I$17,IF(C692&lt;=30,Staffing!$J$17,Staffing!$K$17))),0)</f>
        <v>0</v>
      </c>
      <c r="F692" s="10" t="n">
        <f aca="false">E692*Staffing!$L$17/12*(1+Assumptions!$C$10)^INT((C692-1)/12)*1</f>
        <v>0</v>
      </c>
      <c r="G692" s="10" t="n">
        <f aca="false">F692*Staffing!$N$17</f>
        <v>0</v>
      </c>
      <c r="H692" s="10" t="n">
        <f aca="false">F692+G692</f>
        <v>0</v>
      </c>
      <c r="I692" s="10" t="n">
        <f aca="false">0</f>
        <v>0</v>
      </c>
      <c r="J692" s="10" t="n">
        <f aca="false">MAX(0,E692-E691)*Staffing!$O$17</f>
        <v>0</v>
      </c>
      <c r="K692" s="10" t="n">
        <f aca="false">MAX(0,E692-E691)*Staffing!$P$17</f>
        <v>0</v>
      </c>
      <c r="L692" s="23" t="n">
        <f aca="false">ROUNDUP(E692,0)</f>
        <v>0</v>
      </c>
    </row>
    <row r="693" customFormat="false" ht="15" hidden="false" customHeight="false" outlineLevel="0" collapsed="false">
      <c r="A693" s="6" t="s">
        <v>72</v>
      </c>
      <c r="B693" s="6" t="s">
        <v>351</v>
      </c>
      <c r="C693" s="6" t="n">
        <v>28</v>
      </c>
      <c r="D693" s="25" t="n">
        <f aca="false">EDATE('Start Here'!$B$6,C693-1)</f>
        <v>47150</v>
      </c>
      <c r="E693" s="23" t="n">
        <f aca="false">IF(AND(C693&gt;=Assumptions!$C$25,C693&lt;=Staffing!$G$17,'Start Here'!$B$8=1),IF(C693&lt;=6,Staffing!$H$17,IF(C693&lt;=15,Staffing!$I$17,IF(C693&lt;=30,Staffing!$J$17,Staffing!$K$17))),0)</f>
        <v>0</v>
      </c>
      <c r="F693" s="10" t="n">
        <f aca="false">E693*Staffing!$L$17/12*(1+Assumptions!$C$10)^INT((C693-1)/12)*1</f>
        <v>0</v>
      </c>
      <c r="G693" s="10" t="n">
        <f aca="false">F693*Staffing!$N$17</f>
        <v>0</v>
      </c>
      <c r="H693" s="10" t="n">
        <f aca="false">F693+G693</f>
        <v>0</v>
      </c>
      <c r="I693" s="10" t="n">
        <f aca="false">0</f>
        <v>0</v>
      </c>
      <c r="J693" s="10" t="n">
        <f aca="false">MAX(0,E693-E692)*Staffing!$O$17</f>
        <v>0</v>
      </c>
      <c r="K693" s="10" t="n">
        <f aca="false">MAX(0,E693-E692)*Staffing!$P$17</f>
        <v>0</v>
      </c>
      <c r="L693" s="23" t="n">
        <f aca="false">ROUNDUP(E693,0)</f>
        <v>0</v>
      </c>
    </row>
    <row r="694" customFormat="false" ht="15" hidden="false" customHeight="false" outlineLevel="0" collapsed="false">
      <c r="A694" s="6" t="s">
        <v>72</v>
      </c>
      <c r="B694" s="6" t="s">
        <v>351</v>
      </c>
      <c r="C694" s="6" t="n">
        <v>29</v>
      </c>
      <c r="D694" s="25" t="n">
        <f aca="false">EDATE('Start Here'!$B$6,C694-1)</f>
        <v>47178</v>
      </c>
      <c r="E694" s="23" t="n">
        <f aca="false">IF(AND(C694&gt;=Assumptions!$C$25,C694&lt;=Staffing!$G$17,'Start Here'!$B$8=1),IF(C694&lt;=6,Staffing!$H$17,IF(C694&lt;=15,Staffing!$I$17,IF(C694&lt;=30,Staffing!$J$17,Staffing!$K$17))),0)</f>
        <v>0</v>
      </c>
      <c r="F694" s="10" t="n">
        <f aca="false">E694*Staffing!$L$17/12*(1+Assumptions!$C$10)^INT((C694-1)/12)*1</f>
        <v>0</v>
      </c>
      <c r="G694" s="10" t="n">
        <f aca="false">F694*Staffing!$N$17</f>
        <v>0</v>
      </c>
      <c r="H694" s="10" t="n">
        <f aca="false">F694+G694</f>
        <v>0</v>
      </c>
      <c r="I694" s="10" t="n">
        <f aca="false">0</f>
        <v>0</v>
      </c>
      <c r="J694" s="10" t="n">
        <f aca="false">MAX(0,E694-E693)*Staffing!$O$17</f>
        <v>0</v>
      </c>
      <c r="K694" s="10" t="n">
        <f aca="false">MAX(0,E694-E693)*Staffing!$P$17</f>
        <v>0</v>
      </c>
      <c r="L694" s="23" t="n">
        <f aca="false">ROUNDUP(E694,0)</f>
        <v>0</v>
      </c>
    </row>
    <row r="695" customFormat="false" ht="15" hidden="false" customHeight="false" outlineLevel="0" collapsed="false">
      <c r="A695" s="6" t="s">
        <v>72</v>
      </c>
      <c r="B695" s="6" t="s">
        <v>351</v>
      </c>
      <c r="C695" s="6" t="n">
        <v>30</v>
      </c>
      <c r="D695" s="25" t="n">
        <f aca="false">EDATE('Start Here'!$B$6,C695-1)</f>
        <v>47209</v>
      </c>
      <c r="E695" s="23" t="n">
        <f aca="false">IF(AND(C695&gt;=Assumptions!$C$25,C695&lt;=Staffing!$G$17,'Start Here'!$B$8=1),IF(C695&lt;=6,Staffing!$H$17,IF(C695&lt;=15,Staffing!$I$17,IF(C695&lt;=30,Staffing!$J$17,Staffing!$K$17))),0)</f>
        <v>0</v>
      </c>
      <c r="F695" s="10" t="n">
        <f aca="false">E695*Staffing!$L$17/12*(1+Assumptions!$C$10)^INT((C695-1)/12)*1</f>
        <v>0</v>
      </c>
      <c r="G695" s="10" t="n">
        <f aca="false">F695*Staffing!$N$17</f>
        <v>0</v>
      </c>
      <c r="H695" s="10" t="n">
        <f aca="false">F695+G695</f>
        <v>0</v>
      </c>
      <c r="I695" s="10" t="n">
        <f aca="false">0</f>
        <v>0</v>
      </c>
      <c r="J695" s="10" t="n">
        <f aca="false">MAX(0,E695-E694)*Staffing!$O$17</f>
        <v>0</v>
      </c>
      <c r="K695" s="10" t="n">
        <f aca="false">MAX(0,E695-E694)*Staffing!$P$17</f>
        <v>0</v>
      </c>
      <c r="L695" s="23" t="n">
        <f aca="false">ROUNDUP(E695,0)</f>
        <v>0</v>
      </c>
    </row>
    <row r="696" customFormat="false" ht="15" hidden="false" customHeight="false" outlineLevel="0" collapsed="false">
      <c r="A696" s="6" t="s">
        <v>72</v>
      </c>
      <c r="B696" s="6" t="s">
        <v>351</v>
      </c>
      <c r="C696" s="6" t="n">
        <v>31</v>
      </c>
      <c r="D696" s="25" t="n">
        <f aca="false">EDATE('Start Here'!$B$6,C696-1)</f>
        <v>47239</v>
      </c>
      <c r="E696" s="23" t="n">
        <f aca="false">IF(AND(C696&gt;=Assumptions!$C$25,C696&lt;=Staffing!$G$17,'Start Here'!$B$8=1),IF(C696&lt;=6,Staffing!$H$17,IF(C696&lt;=15,Staffing!$I$17,IF(C696&lt;=30,Staffing!$J$17,Staffing!$K$17))),0)</f>
        <v>0</v>
      </c>
      <c r="F696" s="10" t="n">
        <f aca="false">E696*Staffing!$L$17/12*(1+Assumptions!$C$10)^INT((C696-1)/12)*1</f>
        <v>0</v>
      </c>
      <c r="G696" s="10" t="n">
        <f aca="false">F696*Staffing!$N$17</f>
        <v>0</v>
      </c>
      <c r="H696" s="10" t="n">
        <f aca="false">F696+G696</f>
        <v>0</v>
      </c>
      <c r="I696" s="10" t="n">
        <f aca="false">0</f>
        <v>0</v>
      </c>
      <c r="J696" s="10" t="n">
        <f aca="false">MAX(0,E696-E695)*Staffing!$O$17</f>
        <v>0</v>
      </c>
      <c r="K696" s="10" t="n">
        <f aca="false">MAX(0,E696-E695)*Staffing!$P$17</f>
        <v>0</v>
      </c>
      <c r="L696" s="23" t="n">
        <f aca="false">ROUNDUP(E696,0)</f>
        <v>0</v>
      </c>
    </row>
    <row r="697" customFormat="false" ht="15" hidden="false" customHeight="false" outlineLevel="0" collapsed="false">
      <c r="A697" s="6" t="s">
        <v>72</v>
      </c>
      <c r="B697" s="6" t="s">
        <v>351</v>
      </c>
      <c r="C697" s="6" t="n">
        <v>32</v>
      </c>
      <c r="D697" s="25" t="n">
        <f aca="false">EDATE('Start Here'!$B$6,C697-1)</f>
        <v>47270</v>
      </c>
      <c r="E697" s="23" t="n">
        <f aca="false">IF(AND(C697&gt;=Assumptions!$C$25,C697&lt;=Staffing!$G$17,'Start Here'!$B$8=1),IF(C697&lt;=6,Staffing!$H$17,IF(C697&lt;=15,Staffing!$I$17,IF(C697&lt;=30,Staffing!$J$17,Staffing!$K$17))),0)</f>
        <v>0</v>
      </c>
      <c r="F697" s="10" t="n">
        <f aca="false">E697*Staffing!$L$17/12*(1+Assumptions!$C$10)^INT((C697-1)/12)*1</f>
        <v>0</v>
      </c>
      <c r="G697" s="10" t="n">
        <f aca="false">F697*Staffing!$N$17</f>
        <v>0</v>
      </c>
      <c r="H697" s="10" t="n">
        <f aca="false">F697+G697</f>
        <v>0</v>
      </c>
      <c r="I697" s="10" t="n">
        <f aca="false">0</f>
        <v>0</v>
      </c>
      <c r="J697" s="10" t="n">
        <f aca="false">MAX(0,E697-E696)*Staffing!$O$17</f>
        <v>0</v>
      </c>
      <c r="K697" s="10" t="n">
        <f aca="false">MAX(0,E697-E696)*Staffing!$P$17</f>
        <v>0</v>
      </c>
      <c r="L697" s="23" t="n">
        <f aca="false">ROUNDUP(E697,0)</f>
        <v>0</v>
      </c>
    </row>
    <row r="698" customFormat="false" ht="15" hidden="false" customHeight="false" outlineLevel="0" collapsed="false">
      <c r="A698" s="6" t="s">
        <v>72</v>
      </c>
      <c r="B698" s="6" t="s">
        <v>351</v>
      </c>
      <c r="C698" s="6" t="n">
        <v>33</v>
      </c>
      <c r="D698" s="25" t="n">
        <f aca="false">EDATE('Start Here'!$B$6,C698-1)</f>
        <v>47300</v>
      </c>
      <c r="E698" s="23" t="n">
        <f aca="false">IF(AND(C698&gt;=Assumptions!$C$25,C698&lt;=Staffing!$G$17,'Start Here'!$B$8=1),IF(C698&lt;=6,Staffing!$H$17,IF(C698&lt;=15,Staffing!$I$17,IF(C698&lt;=30,Staffing!$J$17,Staffing!$K$17))),0)</f>
        <v>0</v>
      </c>
      <c r="F698" s="10" t="n">
        <f aca="false">E698*Staffing!$L$17/12*(1+Assumptions!$C$10)^INT((C698-1)/12)*1</f>
        <v>0</v>
      </c>
      <c r="G698" s="10" t="n">
        <f aca="false">F698*Staffing!$N$17</f>
        <v>0</v>
      </c>
      <c r="H698" s="10" t="n">
        <f aca="false">F698+G698</f>
        <v>0</v>
      </c>
      <c r="I698" s="10" t="n">
        <f aca="false">0</f>
        <v>0</v>
      </c>
      <c r="J698" s="10" t="n">
        <f aca="false">MAX(0,E698-E697)*Staffing!$O$17</f>
        <v>0</v>
      </c>
      <c r="K698" s="10" t="n">
        <f aca="false">MAX(0,E698-E697)*Staffing!$P$17</f>
        <v>0</v>
      </c>
      <c r="L698" s="23" t="n">
        <f aca="false">ROUNDUP(E698,0)</f>
        <v>0</v>
      </c>
    </row>
    <row r="699" customFormat="false" ht="15" hidden="false" customHeight="false" outlineLevel="0" collapsed="false">
      <c r="A699" s="6" t="s">
        <v>72</v>
      </c>
      <c r="B699" s="6" t="s">
        <v>351</v>
      </c>
      <c r="C699" s="6" t="n">
        <v>34</v>
      </c>
      <c r="D699" s="25" t="n">
        <f aca="false">EDATE('Start Here'!$B$6,C699-1)</f>
        <v>47331</v>
      </c>
      <c r="E699" s="23" t="n">
        <f aca="false">IF(AND(C699&gt;=Assumptions!$C$25,C699&lt;=Staffing!$G$17,'Start Here'!$B$8=1),IF(C699&lt;=6,Staffing!$H$17,IF(C699&lt;=15,Staffing!$I$17,IF(C699&lt;=30,Staffing!$J$17,Staffing!$K$17))),0)</f>
        <v>0</v>
      </c>
      <c r="F699" s="10" t="n">
        <f aca="false">E699*Staffing!$L$17/12*(1+Assumptions!$C$10)^INT((C699-1)/12)*1</f>
        <v>0</v>
      </c>
      <c r="G699" s="10" t="n">
        <f aca="false">F699*Staffing!$N$17</f>
        <v>0</v>
      </c>
      <c r="H699" s="10" t="n">
        <f aca="false">F699+G699</f>
        <v>0</v>
      </c>
      <c r="I699" s="10" t="n">
        <f aca="false">0</f>
        <v>0</v>
      </c>
      <c r="J699" s="10" t="n">
        <f aca="false">MAX(0,E699-E698)*Staffing!$O$17</f>
        <v>0</v>
      </c>
      <c r="K699" s="10" t="n">
        <f aca="false">MAX(0,E699-E698)*Staffing!$P$17</f>
        <v>0</v>
      </c>
      <c r="L699" s="23" t="n">
        <f aca="false">ROUNDUP(E699,0)</f>
        <v>0</v>
      </c>
    </row>
    <row r="700" customFormat="false" ht="15" hidden="false" customHeight="false" outlineLevel="0" collapsed="false">
      <c r="A700" s="6" t="s">
        <v>72</v>
      </c>
      <c r="B700" s="6" t="s">
        <v>351</v>
      </c>
      <c r="C700" s="6" t="n">
        <v>35</v>
      </c>
      <c r="D700" s="25" t="n">
        <f aca="false">EDATE('Start Here'!$B$6,C700-1)</f>
        <v>47362</v>
      </c>
      <c r="E700" s="23" t="n">
        <f aca="false">IF(AND(C700&gt;=Assumptions!$C$25,C700&lt;=Staffing!$G$17,'Start Here'!$B$8=1),IF(C700&lt;=6,Staffing!$H$17,IF(C700&lt;=15,Staffing!$I$17,IF(C700&lt;=30,Staffing!$J$17,Staffing!$K$17))),0)</f>
        <v>0</v>
      </c>
      <c r="F700" s="10" t="n">
        <f aca="false">E700*Staffing!$L$17/12*(1+Assumptions!$C$10)^INT((C700-1)/12)*1</f>
        <v>0</v>
      </c>
      <c r="G700" s="10" t="n">
        <f aca="false">F700*Staffing!$N$17</f>
        <v>0</v>
      </c>
      <c r="H700" s="10" t="n">
        <f aca="false">F700+G700</f>
        <v>0</v>
      </c>
      <c r="I700" s="10" t="n">
        <f aca="false">0</f>
        <v>0</v>
      </c>
      <c r="J700" s="10" t="n">
        <f aca="false">MAX(0,E700-E699)*Staffing!$O$17</f>
        <v>0</v>
      </c>
      <c r="K700" s="10" t="n">
        <f aca="false">MAX(0,E700-E699)*Staffing!$P$17</f>
        <v>0</v>
      </c>
      <c r="L700" s="23" t="n">
        <f aca="false">ROUNDUP(E700,0)</f>
        <v>0</v>
      </c>
    </row>
    <row r="701" customFormat="false" ht="15" hidden="false" customHeight="false" outlineLevel="0" collapsed="false">
      <c r="A701" s="6" t="s">
        <v>72</v>
      </c>
      <c r="B701" s="6" t="s">
        <v>351</v>
      </c>
      <c r="C701" s="6" t="n">
        <v>36</v>
      </c>
      <c r="D701" s="25" t="n">
        <f aca="false">EDATE('Start Here'!$B$6,C701-1)</f>
        <v>47392</v>
      </c>
      <c r="E701" s="23" t="n">
        <f aca="false">IF(AND(C701&gt;=Assumptions!$C$25,C701&lt;=Staffing!$G$17,'Start Here'!$B$8=1),IF(C701&lt;=6,Staffing!$H$17,IF(C701&lt;=15,Staffing!$I$17,IF(C701&lt;=30,Staffing!$J$17,Staffing!$K$17))),0)</f>
        <v>0</v>
      </c>
      <c r="F701" s="10" t="n">
        <f aca="false">E701*Staffing!$L$17/12*(1+Assumptions!$C$10)^INT((C701-1)/12)*1</f>
        <v>0</v>
      </c>
      <c r="G701" s="10" t="n">
        <f aca="false">F701*Staffing!$N$17</f>
        <v>0</v>
      </c>
      <c r="H701" s="10" t="n">
        <f aca="false">F701+G701</f>
        <v>0</v>
      </c>
      <c r="I701" s="10" t="n">
        <f aca="false">0</f>
        <v>0</v>
      </c>
      <c r="J701" s="10" t="n">
        <f aca="false">MAX(0,E701-E700)*Staffing!$O$17</f>
        <v>0</v>
      </c>
      <c r="K701" s="10" t="n">
        <f aca="false">MAX(0,E701-E700)*Staffing!$P$17</f>
        <v>0</v>
      </c>
      <c r="L701" s="23" t="n">
        <f aca="false">ROUNDUP(E701,0)</f>
        <v>0</v>
      </c>
    </row>
    <row r="702" customFormat="false" ht="15" hidden="false" customHeight="false" outlineLevel="0" collapsed="false">
      <c r="A702" s="6" t="s">
        <v>72</v>
      </c>
      <c r="B702" s="6" t="s">
        <v>351</v>
      </c>
      <c r="C702" s="6" t="n">
        <v>37</v>
      </c>
      <c r="D702" s="25" t="n">
        <f aca="false">EDATE('Start Here'!$B$6,C702-1)</f>
        <v>47423</v>
      </c>
      <c r="E702" s="23" t="n">
        <f aca="false">IF(AND(C702&gt;=Assumptions!$C$25,C702&lt;=Staffing!$G$17,'Start Here'!$B$8=1),IF(C702&lt;=6,Staffing!$H$17,IF(C702&lt;=15,Staffing!$I$17,IF(C702&lt;=30,Staffing!$J$17,Staffing!$K$17))),0)</f>
        <v>0</v>
      </c>
      <c r="F702" s="10" t="n">
        <f aca="false">E702*Staffing!$L$17/12*(1+Assumptions!$C$10)^INT((C702-1)/12)*1</f>
        <v>0</v>
      </c>
      <c r="G702" s="10" t="n">
        <f aca="false">F702*Staffing!$N$17</f>
        <v>0</v>
      </c>
      <c r="H702" s="10" t="n">
        <f aca="false">F702+G702</f>
        <v>0</v>
      </c>
      <c r="I702" s="10" t="n">
        <f aca="false">0</f>
        <v>0</v>
      </c>
      <c r="J702" s="10" t="n">
        <f aca="false">MAX(0,E702-E701)*Staffing!$O$17</f>
        <v>0</v>
      </c>
      <c r="K702" s="10" t="n">
        <f aca="false">MAX(0,E702-E701)*Staffing!$P$17</f>
        <v>0</v>
      </c>
      <c r="L702" s="23" t="n">
        <f aca="false">ROUNDUP(E702,0)</f>
        <v>0</v>
      </c>
    </row>
    <row r="703" customFormat="false" ht="15" hidden="false" customHeight="false" outlineLevel="0" collapsed="false">
      <c r="A703" s="6" t="s">
        <v>72</v>
      </c>
      <c r="B703" s="6" t="s">
        <v>351</v>
      </c>
      <c r="C703" s="6" t="n">
        <v>38</v>
      </c>
      <c r="D703" s="25" t="n">
        <f aca="false">EDATE('Start Here'!$B$6,C703-1)</f>
        <v>47453</v>
      </c>
      <c r="E703" s="23" t="n">
        <f aca="false">IF(AND(C703&gt;=Assumptions!$C$25,C703&lt;=Staffing!$G$17,'Start Here'!$B$8=1),IF(C703&lt;=6,Staffing!$H$17,IF(C703&lt;=15,Staffing!$I$17,IF(C703&lt;=30,Staffing!$J$17,Staffing!$K$17))),0)</f>
        <v>0</v>
      </c>
      <c r="F703" s="10" t="n">
        <f aca="false">E703*Staffing!$L$17/12*(1+Assumptions!$C$10)^INT((C703-1)/12)*1</f>
        <v>0</v>
      </c>
      <c r="G703" s="10" t="n">
        <f aca="false">F703*Staffing!$N$17</f>
        <v>0</v>
      </c>
      <c r="H703" s="10" t="n">
        <f aca="false">F703+G703</f>
        <v>0</v>
      </c>
      <c r="I703" s="10" t="n">
        <f aca="false">0</f>
        <v>0</v>
      </c>
      <c r="J703" s="10" t="n">
        <f aca="false">MAX(0,E703-E702)*Staffing!$O$17</f>
        <v>0</v>
      </c>
      <c r="K703" s="10" t="n">
        <f aca="false">MAX(0,E703-E702)*Staffing!$P$17</f>
        <v>0</v>
      </c>
      <c r="L703" s="23" t="n">
        <f aca="false">ROUNDUP(E703,0)</f>
        <v>0</v>
      </c>
    </row>
    <row r="704" customFormat="false" ht="15" hidden="false" customHeight="false" outlineLevel="0" collapsed="false">
      <c r="A704" s="6" t="s">
        <v>72</v>
      </c>
      <c r="B704" s="6" t="s">
        <v>351</v>
      </c>
      <c r="C704" s="6" t="n">
        <v>39</v>
      </c>
      <c r="D704" s="25" t="n">
        <f aca="false">EDATE('Start Here'!$B$6,C704-1)</f>
        <v>47484</v>
      </c>
      <c r="E704" s="23" t="n">
        <f aca="false">IF(AND(C704&gt;=Assumptions!$C$25,C704&lt;=Staffing!$G$17,'Start Here'!$B$8=1),IF(C704&lt;=6,Staffing!$H$17,IF(C704&lt;=15,Staffing!$I$17,IF(C704&lt;=30,Staffing!$J$17,Staffing!$K$17))),0)</f>
        <v>0</v>
      </c>
      <c r="F704" s="10" t="n">
        <f aca="false">E704*Staffing!$L$17/12*(1+Assumptions!$C$10)^INT((C704-1)/12)*1</f>
        <v>0</v>
      </c>
      <c r="G704" s="10" t="n">
        <f aca="false">F704*Staffing!$N$17</f>
        <v>0</v>
      </c>
      <c r="H704" s="10" t="n">
        <f aca="false">F704+G704</f>
        <v>0</v>
      </c>
      <c r="I704" s="10" t="n">
        <f aca="false">0</f>
        <v>0</v>
      </c>
      <c r="J704" s="10" t="n">
        <f aca="false">MAX(0,E704-E703)*Staffing!$O$17</f>
        <v>0</v>
      </c>
      <c r="K704" s="10" t="n">
        <f aca="false">MAX(0,E704-E703)*Staffing!$P$17</f>
        <v>0</v>
      </c>
      <c r="L704" s="23" t="n">
        <f aca="false">ROUNDUP(E704,0)</f>
        <v>0</v>
      </c>
    </row>
    <row r="705" customFormat="false" ht="15" hidden="false" customHeight="false" outlineLevel="0" collapsed="false">
      <c r="A705" s="6" t="s">
        <v>72</v>
      </c>
      <c r="B705" s="6" t="s">
        <v>351</v>
      </c>
      <c r="C705" s="6" t="n">
        <v>40</v>
      </c>
      <c r="D705" s="25" t="n">
        <f aca="false">EDATE('Start Here'!$B$6,C705-1)</f>
        <v>47515</v>
      </c>
      <c r="E705" s="23" t="n">
        <f aca="false">IF(AND(C705&gt;=Assumptions!$C$25,C705&lt;=Staffing!$G$17,'Start Here'!$B$8=1),IF(C705&lt;=6,Staffing!$H$17,IF(C705&lt;=15,Staffing!$I$17,IF(C705&lt;=30,Staffing!$J$17,Staffing!$K$17))),0)</f>
        <v>0</v>
      </c>
      <c r="F705" s="10" t="n">
        <f aca="false">E705*Staffing!$L$17/12*(1+Assumptions!$C$10)^INT((C705-1)/12)*1</f>
        <v>0</v>
      </c>
      <c r="G705" s="10" t="n">
        <f aca="false">F705*Staffing!$N$17</f>
        <v>0</v>
      </c>
      <c r="H705" s="10" t="n">
        <f aca="false">F705+G705</f>
        <v>0</v>
      </c>
      <c r="I705" s="10" t="n">
        <f aca="false">0</f>
        <v>0</v>
      </c>
      <c r="J705" s="10" t="n">
        <f aca="false">MAX(0,E705-E704)*Staffing!$O$17</f>
        <v>0</v>
      </c>
      <c r="K705" s="10" t="n">
        <f aca="false">MAX(0,E705-E704)*Staffing!$P$17</f>
        <v>0</v>
      </c>
      <c r="L705" s="23" t="n">
        <f aca="false">ROUNDUP(E705,0)</f>
        <v>0</v>
      </c>
    </row>
    <row r="706" customFormat="false" ht="15" hidden="false" customHeight="false" outlineLevel="0" collapsed="false">
      <c r="A706" s="6" t="s">
        <v>72</v>
      </c>
      <c r="B706" s="6" t="s">
        <v>351</v>
      </c>
      <c r="C706" s="6" t="n">
        <v>41</v>
      </c>
      <c r="D706" s="25" t="n">
        <f aca="false">EDATE('Start Here'!$B$6,C706-1)</f>
        <v>47543</v>
      </c>
      <c r="E706" s="23" t="n">
        <f aca="false">IF(AND(C706&gt;=Assumptions!$C$25,C706&lt;=Staffing!$G$17,'Start Here'!$B$8=1),IF(C706&lt;=6,Staffing!$H$17,IF(C706&lt;=15,Staffing!$I$17,IF(C706&lt;=30,Staffing!$J$17,Staffing!$K$17))),0)</f>
        <v>0</v>
      </c>
      <c r="F706" s="10" t="n">
        <f aca="false">E706*Staffing!$L$17/12*(1+Assumptions!$C$10)^INT((C706-1)/12)*1</f>
        <v>0</v>
      </c>
      <c r="G706" s="10" t="n">
        <f aca="false">F706*Staffing!$N$17</f>
        <v>0</v>
      </c>
      <c r="H706" s="10" t="n">
        <f aca="false">F706+G706</f>
        <v>0</v>
      </c>
      <c r="I706" s="10" t="n">
        <f aca="false">0</f>
        <v>0</v>
      </c>
      <c r="J706" s="10" t="n">
        <f aca="false">MAX(0,E706-E705)*Staffing!$O$17</f>
        <v>0</v>
      </c>
      <c r="K706" s="10" t="n">
        <f aca="false">MAX(0,E706-E705)*Staffing!$P$17</f>
        <v>0</v>
      </c>
      <c r="L706" s="23" t="n">
        <f aca="false">ROUNDUP(E706,0)</f>
        <v>0</v>
      </c>
    </row>
    <row r="707" customFormat="false" ht="15" hidden="false" customHeight="false" outlineLevel="0" collapsed="false">
      <c r="A707" s="6" t="s">
        <v>72</v>
      </c>
      <c r="B707" s="6" t="s">
        <v>351</v>
      </c>
      <c r="C707" s="6" t="n">
        <v>42</v>
      </c>
      <c r="D707" s="25" t="n">
        <f aca="false">EDATE('Start Here'!$B$6,C707-1)</f>
        <v>47574</v>
      </c>
      <c r="E707" s="23" t="n">
        <f aca="false">IF(AND(C707&gt;=Assumptions!$C$25,C707&lt;=Staffing!$G$17,'Start Here'!$B$8=1),IF(C707&lt;=6,Staffing!$H$17,IF(C707&lt;=15,Staffing!$I$17,IF(C707&lt;=30,Staffing!$J$17,Staffing!$K$17))),0)</f>
        <v>0</v>
      </c>
      <c r="F707" s="10" t="n">
        <f aca="false">E707*Staffing!$L$17/12*(1+Assumptions!$C$10)^INT((C707-1)/12)*1</f>
        <v>0</v>
      </c>
      <c r="G707" s="10" t="n">
        <f aca="false">F707*Staffing!$N$17</f>
        <v>0</v>
      </c>
      <c r="H707" s="10" t="n">
        <f aca="false">F707+G707</f>
        <v>0</v>
      </c>
      <c r="I707" s="10" t="n">
        <f aca="false">0</f>
        <v>0</v>
      </c>
      <c r="J707" s="10" t="n">
        <f aca="false">MAX(0,E707-E706)*Staffing!$O$17</f>
        <v>0</v>
      </c>
      <c r="K707" s="10" t="n">
        <f aca="false">MAX(0,E707-E706)*Staffing!$P$17</f>
        <v>0</v>
      </c>
      <c r="L707" s="23" t="n">
        <f aca="false">ROUNDUP(E707,0)</f>
        <v>0</v>
      </c>
    </row>
    <row r="708" customFormat="false" ht="15" hidden="false" customHeight="false" outlineLevel="0" collapsed="false">
      <c r="A708" s="6" t="s">
        <v>72</v>
      </c>
      <c r="B708" s="6" t="s">
        <v>351</v>
      </c>
      <c r="C708" s="6" t="n">
        <v>43</v>
      </c>
      <c r="D708" s="25" t="n">
        <f aca="false">EDATE('Start Here'!$B$6,C708-1)</f>
        <v>47604</v>
      </c>
      <c r="E708" s="23" t="n">
        <f aca="false">IF(AND(C708&gt;=Assumptions!$C$25,C708&lt;=Staffing!$G$17,'Start Here'!$B$8=1),IF(C708&lt;=6,Staffing!$H$17,IF(C708&lt;=15,Staffing!$I$17,IF(C708&lt;=30,Staffing!$J$17,Staffing!$K$17))),0)</f>
        <v>0</v>
      </c>
      <c r="F708" s="10" t="n">
        <f aca="false">E708*Staffing!$L$17/12*(1+Assumptions!$C$10)^INT((C708-1)/12)*1</f>
        <v>0</v>
      </c>
      <c r="G708" s="10" t="n">
        <f aca="false">F708*Staffing!$N$17</f>
        <v>0</v>
      </c>
      <c r="H708" s="10" t="n">
        <f aca="false">F708+G708</f>
        <v>0</v>
      </c>
      <c r="I708" s="10" t="n">
        <f aca="false">0</f>
        <v>0</v>
      </c>
      <c r="J708" s="10" t="n">
        <f aca="false">MAX(0,E708-E707)*Staffing!$O$17</f>
        <v>0</v>
      </c>
      <c r="K708" s="10" t="n">
        <f aca="false">MAX(0,E708-E707)*Staffing!$P$17</f>
        <v>0</v>
      </c>
      <c r="L708" s="23" t="n">
        <f aca="false">ROUNDUP(E708,0)</f>
        <v>0</v>
      </c>
    </row>
    <row r="709" customFormat="false" ht="15" hidden="false" customHeight="false" outlineLevel="0" collapsed="false">
      <c r="A709" s="6" t="s">
        <v>72</v>
      </c>
      <c r="B709" s="6" t="s">
        <v>351</v>
      </c>
      <c r="C709" s="6" t="n">
        <v>44</v>
      </c>
      <c r="D709" s="25" t="n">
        <f aca="false">EDATE('Start Here'!$B$6,C709-1)</f>
        <v>47635</v>
      </c>
      <c r="E709" s="23" t="n">
        <f aca="false">IF(AND(C709&gt;=Assumptions!$C$25,C709&lt;=Staffing!$G$17,'Start Here'!$B$8=1),IF(C709&lt;=6,Staffing!$H$17,IF(C709&lt;=15,Staffing!$I$17,IF(C709&lt;=30,Staffing!$J$17,Staffing!$K$17))),0)</f>
        <v>0</v>
      </c>
      <c r="F709" s="10" t="n">
        <f aca="false">E709*Staffing!$L$17/12*(1+Assumptions!$C$10)^INT((C709-1)/12)*1</f>
        <v>0</v>
      </c>
      <c r="G709" s="10" t="n">
        <f aca="false">F709*Staffing!$N$17</f>
        <v>0</v>
      </c>
      <c r="H709" s="10" t="n">
        <f aca="false">F709+G709</f>
        <v>0</v>
      </c>
      <c r="I709" s="10" t="n">
        <f aca="false">0</f>
        <v>0</v>
      </c>
      <c r="J709" s="10" t="n">
        <f aca="false">MAX(0,E709-E708)*Staffing!$O$17</f>
        <v>0</v>
      </c>
      <c r="K709" s="10" t="n">
        <f aca="false">MAX(0,E709-E708)*Staffing!$P$17</f>
        <v>0</v>
      </c>
      <c r="L709" s="23" t="n">
        <f aca="false">ROUNDUP(E709,0)</f>
        <v>0</v>
      </c>
    </row>
    <row r="710" customFormat="false" ht="15" hidden="false" customHeight="false" outlineLevel="0" collapsed="false">
      <c r="A710" s="6" t="s">
        <v>72</v>
      </c>
      <c r="B710" s="6" t="s">
        <v>351</v>
      </c>
      <c r="C710" s="6" t="n">
        <v>45</v>
      </c>
      <c r="D710" s="25" t="n">
        <f aca="false">EDATE('Start Here'!$B$6,C710-1)</f>
        <v>47665</v>
      </c>
      <c r="E710" s="23" t="n">
        <f aca="false">IF(AND(C710&gt;=Assumptions!$C$25,C710&lt;=Staffing!$G$17,'Start Here'!$B$8=1),IF(C710&lt;=6,Staffing!$H$17,IF(C710&lt;=15,Staffing!$I$17,IF(C710&lt;=30,Staffing!$J$17,Staffing!$K$17))),0)</f>
        <v>0</v>
      </c>
      <c r="F710" s="10" t="n">
        <f aca="false">E710*Staffing!$L$17/12*(1+Assumptions!$C$10)^INT((C710-1)/12)*1</f>
        <v>0</v>
      </c>
      <c r="G710" s="10" t="n">
        <f aca="false">F710*Staffing!$N$17</f>
        <v>0</v>
      </c>
      <c r="H710" s="10" t="n">
        <f aca="false">F710+G710</f>
        <v>0</v>
      </c>
      <c r="I710" s="10" t="n">
        <f aca="false">0</f>
        <v>0</v>
      </c>
      <c r="J710" s="10" t="n">
        <f aca="false">MAX(0,E710-E709)*Staffing!$O$17</f>
        <v>0</v>
      </c>
      <c r="K710" s="10" t="n">
        <f aca="false">MAX(0,E710-E709)*Staffing!$P$17</f>
        <v>0</v>
      </c>
      <c r="L710" s="23" t="n">
        <f aca="false">ROUNDUP(E710,0)</f>
        <v>0</v>
      </c>
    </row>
    <row r="711" customFormat="false" ht="15" hidden="false" customHeight="false" outlineLevel="0" collapsed="false">
      <c r="A711" s="6" t="s">
        <v>72</v>
      </c>
      <c r="B711" s="6" t="s">
        <v>351</v>
      </c>
      <c r="C711" s="6" t="n">
        <v>46</v>
      </c>
      <c r="D711" s="25" t="n">
        <f aca="false">EDATE('Start Here'!$B$6,C711-1)</f>
        <v>47696</v>
      </c>
      <c r="E711" s="23" t="n">
        <f aca="false">IF(AND(C711&gt;=Assumptions!$C$25,C711&lt;=Staffing!$G$17,'Start Here'!$B$8=1),IF(C711&lt;=6,Staffing!$H$17,IF(C711&lt;=15,Staffing!$I$17,IF(C711&lt;=30,Staffing!$J$17,Staffing!$K$17))),0)</f>
        <v>0</v>
      </c>
      <c r="F711" s="10" t="n">
        <f aca="false">E711*Staffing!$L$17/12*(1+Assumptions!$C$10)^INT((C711-1)/12)*1</f>
        <v>0</v>
      </c>
      <c r="G711" s="10" t="n">
        <f aca="false">F711*Staffing!$N$17</f>
        <v>0</v>
      </c>
      <c r="H711" s="10" t="n">
        <f aca="false">F711+G711</f>
        <v>0</v>
      </c>
      <c r="I711" s="10" t="n">
        <f aca="false">0</f>
        <v>0</v>
      </c>
      <c r="J711" s="10" t="n">
        <f aca="false">MAX(0,E711-E710)*Staffing!$O$17</f>
        <v>0</v>
      </c>
      <c r="K711" s="10" t="n">
        <f aca="false">MAX(0,E711-E710)*Staffing!$P$17</f>
        <v>0</v>
      </c>
      <c r="L711" s="23" t="n">
        <f aca="false">ROUNDUP(E711,0)</f>
        <v>0</v>
      </c>
    </row>
    <row r="712" customFormat="false" ht="15" hidden="false" customHeight="false" outlineLevel="0" collapsed="false">
      <c r="A712" s="6" t="s">
        <v>72</v>
      </c>
      <c r="B712" s="6" t="s">
        <v>351</v>
      </c>
      <c r="C712" s="6" t="n">
        <v>47</v>
      </c>
      <c r="D712" s="25" t="n">
        <f aca="false">EDATE('Start Here'!$B$6,C712-1)</f>
        <v>47727</v>
      </c>
      <c r="E712" s="23" t="n">
        <f aca="false">IF(AND(C712&gt;=Assumptions!$C$25,C712&lt;=Staffing!$G$17,'Start Here'!$B$8=1),IF(C712&lt;=6,Staffing!$H$17,IF(C712&lt;=15,Staffing!$I$17,IF(C712&lt;=30,Staffing!$J$17,Staffing!$K$17))),0)</f>
        <v>0</v>
      </c>
      <c r="F712" s="10" t="n">
        <f aca="false">E712*Staffing!$L$17/12*(1+Assumptions!$C$10)^INT((C712-1)/12)*1</f>
        <v>0</v>
      </c>
      <c r="G712" s="10" t="n">
        <f aca="false">F712*Staffing!$N$17</f>
        <v>0</v>
      </c>
      <c r="H712" s="10" t="n">
        <f aca="false">F712+G712</f>
        <v>0</v>
      </c>
      <c r="I712" s="10" t="n">
        <f aca="false">0</f>
        <v>0</v>
      </c>
      <c r="J712" s="10" t="n">
        <f aca="false">MAX(0,E712-E711)*Staffing!$O$17</f>
        <v>0</v>
      </c>
      <c r="K712" s="10" t="n">
        <f aca="false">MAX(0,E712-E711)*Staffing!$P$17</f>
        <v>0</v>
      </c>
      <c r="L712" s="23" t="n">
        <f aca="false">ROUNDUP(E712,0)</f>
        <v>0</v>
      </c>
    </row>
    <row r="713" customFormat="false" ht="15" hidden="false" customHeight="false" outlineLevel="0" collapsed="false">
      <c r="A713" s="6" t="s">
        <v>72</v>
      </c>
      <c r="B713" s="6" t="s">
        <v>351</v>
      </c>
      <c r="C713" s="6" t="n">
        <v>48</v>
      </c>
      <c r="D713" s="25" t="n">
        <f aca="false">EDATE('Start Here'!$B$6,C713-1)</f>
        <v>47757</v>
      </c>
      <c r="E713" s="23" t="n">
        <f aca="false">IF(AND(C713&gt;=Assumptions!$C$25,C713&lt;=Staffing!$G$17,'Start Here'!$B$8=1),IF(C713&lt;=6,Staffing!$H$17,IF(C713&lt;=15,Staffing!$I$17,IF(C713&lt;=30,Staffing!$J$17,Staffing!$K$17))),0)</f>
        <v>0</v>
      </c>
      <c r="F713" s="10" t="n">
        <f aca="false">E713*Staffing!$L$17/12*(1+Assumptions!$C$10)^INT((C713-1)/12)*1</f>
        <v>0</v>
      </c>
      <c r="G713" s="10" t="n">
        <f aca="false">F713*Staffing!$N$17</f>
        <v>0</v>
      </c>
      <c r="H713" s="10" t="n">
        <f aca="false">F713+G713</f>
        <v>0</v>
      </c>
      <c r="I713" s="10" t="n">
        <f aca="false">0</f>
        <v>0</v>
      </c>
      <c r="J713" s="10" t="n">
        <f aca="false">MAX(0,E713-E712)*Staffing!$O$17</f>
        <v>0</v>
      </c>
      <c r="K713" s="10" t="n">
        <f aca="false">MAX(0,E713-E712)*Staffing!$P$17</f>
        <v>0</v>
      </c>
      <c r="L713" s="23" t="n">
        <f aca="false">ROUNDUP(E713,0)</f>
        <v>0</v>
      </c>
    </row>
    <row r="714" customFormat="false" ht="15" hidden="false" customHeight="false" outlineLevel="0" collapsed="false">
      <c r="A714" s="6" t="s">
        <v>72</v>
      </c>
      <c r="B714" s="6" t="s">
        <v>351</v>
      </c>
      <c r="C714" s="6" t="n">
        <v>49</v>
      </c>
      <c r="D714" s="25" t="n">
        <f aca="false">EDATE('Start Here'!$B$6,C714-1)</f>
        <v>47788</v>
      </c>
      <c r="E714" s="23" t="n">
        <f aca="false">IF(AND(C714&gt;=Assumptions!$C$25,C714&lt;=Staffing!$G$17,'Start Here'!$B$8=1),IF(C714&lt;=6,Staffing!$H$17,IF(C714&lt;=15,Staffing!$I$17,IF(C714&lt;=30,Staffing!$J$17,Staffing!$K$17))),0)</f>
        <v>0</v>
      </c>
      <c r="F714" s="10" t="n">
        <f aca="false">E714*Staffing!$L$17/12*(1+Assumptions!$C$10)^INT((C714-1)/12)*1</f>
        <v>0</v>
      </c>
      <c r="G714" s="10" t="n">
        <f aca="false">F714*Staffing!$N$17</f>
        <v>0</v>
      </c>
      <c r="H714" s="10" t="n">
        <f aca="false">F714+G714</f>
        <v>0</v>
      </c>
      <c r="I714" s="10" t="n">
        <f aca="false">0</f>
        <v>0</v>
      </c>
      <c r="J714" s="10" t="n">
        <f aca="false">MAX(0,E714-E713)*Staffing!$O$17</f>
        <v>0</v>
      </c>
      <c r="K714" s="10" t="n">
        <f aca="false">MAX(0,E714-E713)*Staffing!$P$17</f>
        <v>0</v>
      </c>
      <c r="L714" s="23" t="n">
        <f aca="false">ROUNDUP(E714,0)</f>
        <v>0</v>
      </c>
    </row>
    <row r="715" customFormat="false" ht="15" hidden="false" customHeight="false" outlineLevel="0" collapsed="false">
      <c r="A715" s="6" t="s">
        <v>72</v>
      </c>
      <c r="B715" s="6" t="s">
        <v>351</v>
      </c>
      <c r="C715" s="6" t="n">
        <v>50</v>
      </c>
      <c r="D715" s="25" t="n">
        <f aca="false">EDATE('Start Here'!$B$6,C715-1)</f>
        <v>47818</v>
      </c>
      <c r="E715" s="23" t="n">
        <f aca="false">IF(AND(C715&gt;=Assumptions!$C$25,C715&lt;=Staffing!$G$17,'Start Here'!$B$8=1),IF(C715&lt;=6,Staffing!$H$17,IF(C715&lt;=15,Staffing!$I$17,IF(C715&lt;=30,Staffing!$J$17,Staffing!$K$17))),0)</f>
        <v>0</v>
      </c>
      <c r="F715" s="10" t="n">
        <f aca="false">E715*Staffing!$L$17/12*(1+Assumptions!$C$10)^INT((C715-1)/12)*1</f>
        <v>0</v>
      </c>
      <c r="G715" s="10" t="n">
        <f aca="false">F715*Staffing!$N$17</f>
        <v>0</v>
      </c>
      <c r="H715" s="10" t="n">
        <f aca="false">F715+G715</f>
        <v>0</v>
      </c>
      <c r="I715" s="10" t="n">
        <f aca="false">0</f>
        <v>0</v>
      </c>
      <c r="J715" s="10" t="n">
        <f aca="false">MAX(0,E715-E714)*Staffing!$O$17</f>
        <v>0</v>
      </c>
      <c r="K715" s="10" t="n">
        <f aca="false">MAX(0,E715-E714)*Staffing!$P$17</f>
        <v>0</v>
      </c>
      <c r="L715" s="23" t="n">
        <f aca="false">ROUNDUP(E715,0)</f>
        <v>0</v>
      </c>
    </row>
    <row r="716" customFormat="false" ht="15" hidden="false" customHeight="false" outlineLevel="0" collapsed="false">
      <c r="A716" s="6" t="s">
        <v>72</v>
      </c>
      <c r="B716" s="6" t="s">
        <v>351</v>
      </c>
      <c r="C716" s="6" t="n">
        <v>51</v>
      </c>
      <c r="D716" s="25" t="n">
        <f aca="false">EDATE('Start Here'!$B$6,C716-1)</f>
        <v>47849</v>
      </c>
      <c r="E716" s="23" t="n">
        <f aca="false">IF(AND(C716&gt;=Assumptions!$C$25,C716&lt;=Staffing!$G$17,'Start Here'!$B$8=1),IF(C716&lt;=6,Staffing!$H$17,IF(C716&lt;=15,Staffing!$I$17,IF(C716&lt;=30,Staffing!$J$17,Staffing!$K$17))),0)</f>
        <v>0</v>
      </c>
      <c r="F716" s="10" t="n">
        <f aca="false">E716*Staffing!$L$17/12*(1+Assumptions!$C$10)^INT((C716-1)/12)*1</f>
        <v>0</v>
      </c>
      <c r="G716" s="10" t="n">
        <f aca="false">F716*Staffing!$N$17</f>
        <v>0</v>
      </c>
      <c r="H716" s="10" t="n">
        <f aca="false">F716+G716</f>
        <v>0</v>
      </c>
      <c r="I716" s="10" t="n">
        <f aca="false">0</f>
        <v>0</v>
      </c>
      <c r="J716" s="10" t="n">
        <f aca="false">MAX(0,E716-E715)*Staffing!$O$17</f>
        <v>0</v>
      </c>
      <c r="K716" s="10" t="n">
        <f aca="false">MAX(0,E716-E715)*Staffing!$P$17</f>
        <v>0</v>
      </c>
      <c r="L716" s="23" t="n">
        <f aca="false">ROUNDUP(E716,0)</f>
        <v>0</v>
      </c>
    </row>
    <row r="717" customFormat="false" ht="15" hidden="false" customHeight="false" outlineLevel="0" collapsed="false">
      <c r="A717" s="6" t="s">
        <v>72</v>
      </c>
      <c r="B717" s="6" t="s">
        <v>351</v>
      </c>
      <c r="C717" s="6" t="n">
        <v>52</v>
      </c>
      <c r="D717" s="25" t="n">
        <f aca="false">EDATE('Start Here'!$B$6,C717-1)</f>
        <v>47880</v>
      </c>
      <c r="E717" s="23" t="n">
        <f aca="false">IF(AND(C717&gt;=Assumptions!$C$25,C717&lt;=Staffing!$G$17,'Start Here'!$B$8=1),IF(C717&lt;=6,Staffing!$H$17,IF(C717&lt;=15,Staffing!$I$17,IF(C717&lt;=30,Staffing!$J$17,Staffing!$K$17))),0)</f>
        <v>0</v>
      </c>
      <c r="F717" s="10" t="n">
        <f aca="false">E717*Staffing!$L$17/12*(1+Assumptions!$C$10)^INT((C717-1)/12)*1</f>
        <v>0</v>
      </c>
      <c r="G717" s="10" t="n">
        <f aca="false">F717*Staffing!$N$17</f>
        <v>0</v>
      </c>
      <c r="H717" s="10" t="n">
        <f aca="false">F717+G717</f>
        <v>0</v>
      </c>
      <c r="I717" s="10" t="n">
        <f aca="false">0</f>
        <v>0</v>
      </c>
      <c r="J717" s="10" t="n">
        <f aca="false">MAX(0,E717-E716)*Staffing!$O$17</f>
        <v>0</v>
      </c>
      <c r="K717" s="10" t="n">
        <f aca="false">MAX(0,E717-E716)*Staffing!$P$17</f>
        <v>0</v>
      </c>
      <c r="L717" s="23" t="n">
        <f aca="false">ROUNDUP(E717,0)</f>
        <v>0</v>
      </c>
    </row>
    <row r="718" customFormat="false" ht="15" hidden="false" customHeight="false" outlineLevel="0" collapsed="false">
      <c r="A718" s="6" t="s">
        <v>72</v>
      </c>
      <c r="B718" s="6" t="s">
        <v>351</v>
      </c>
      <c r="C718" s="6" t="n">
        <v>53</v>
      </c>
      <c r="D718" s="25" t="n">
        <f aca="false">EDATE('Start Here'!$B$6,C718-1)</f>
        <v>47908</v>
      </c>
      <c r="E718" s="23" t="n">
        <f aca="false">IF(AND(C718&gt;=Assumptions!$C$25,C718&lt;=Staffing!$G$17,'Start Here'!$B$8=1),IF(C718&lt;=6,Staffing!$H$17,IF(C718&lt;=15,Staffing!$I$17,IF(C718&lt;=30,Staffing!$J$17,Staffing!$K$17))),0)</f>
        <v>0</v>
      </c>
      <c r="F718" s="10" t="n">
        <f aca="false">E718*Staffing!$L$17/12*(1+Assumptions!$C$10)^INT((C718-1)/12)*1</f>
        <v>0</v>
      </c>
      <c r="G718" s="10" t="n">
        <f aca="false">F718*Staffing!$N$17</f>
        <v>0</v>
      </c>
      <c r="H718" s="10" t="n">
        <f aca="false">F718+G718</f>
        <v>0</v>
      </c>
      <c r="I718" s="10" t="n">
        <f aca="false">0</f>
        <v>0</v>
      </c>
      <c r="J718" s="10" t="n">
        <f aca="false">MAX(0,E718-E717)*Staffing!$O$17</f>
        <v>0</v>
      </c>
      <c r="K718" s="10" t="n">
        <f aca="false">MAX(0,E718-E717)*Staffing!$P$17</f>
        <v>0</v>
      </c>
      <c r="L718" s="23" t="n">
        <f aca="false">ROUNDUP(E718,0)</f>
        <v>0</v>
      </c>
    </row>
    <row r="719" customFormat="false" ht="15" hidden="false" customHeight="false" outlineLevel="0" collapsed="false">
      <c r="A719" s="6" t="s">
        <v>72</v>
      </c>
      <c r="B719" s="6" t="s">
        <v>351</v>
      </c>
      <c r="C719" s="6" t="n">
        <v>54</v>
      </c>
      <c r="D719" s="25" t="n">
        <f aca="false">EDATE('Start Here'!$B$6,C719-1)</f>
        <v>47939</v>
      </c>
      <c r="E719" s="23" t="n">
        <f aca="false">IF(AND(C719&gt;=Assumptions!$C$25,C719&lt;=Staffing!$G$17,'Start Here'!$B$8=1),IF(C719&lt;=6,Staffing!$H$17,IF(C719&lt;=15,Staffing!$I$17,IF(C719&lt;=30,Staffing!$J$17,Staffing!$K$17))),0)</f>
        <v>0</v>
      </c>
      <c r="F719" s="10" t="n">
        <f aca="false">E719*Staffing!$L$17/12*(1+Assumptions!$C$10)^INT((C719-1)/12)*1</f>
        <v>0</v>
      </c>
      <c r="G719" s="10" t="n">
        <f aca="false">F719*Staffing!$N$17</f>
        <v>0</v>
      </c>
      <c r="H719" s="10" t="n">
        <f aca="false">F719+G719</f>
        <v>0</v>
      </c>
      <c r="I719" s="10" t="n">
        <f aca="false">0</f>
        <v>0</v>
      </c>
      <c r="J719" s="10" t="n">
        <f aca="false">MAX(0,E719-E718)*Staffing!$O$17</f>
        <v>0</v>
      </c>
      <c r="K719" s="10" t="n">
        <f aca="false">MAX(0,E719-E718)*Staffing!$P$17</f>
        <v>0</v>
      </c>
      <c r="L719" s="23" t="n">
        <f aca="false">ROUNDUP(E719,0)</f>
        <v>0</v>
      </c>
    </row>
    <row r="720" customFormat="false" ht="15" hidden="false" customHeight="false" outlineLevel="0" collapsed="false">
      <c r="A720" s="6" t="s">
        <v>72</v>
      </c>
      <c r="B720" s="6" t="s">
        <v>351</v>
      </c>
      <c r="C720" s="6" t="n">
        <v>55</v>
      </c>
      <c r="D720" s="25" t="n">
        <f aca="false">EDATE('Start Here'!$B$6,C720-1)</f>
        <v>47969</v>
      </c>
      <c r="E720" s="23" t="n">
        <f aca="false">IF(AND(C720&gt;=Assumptions!$C$25,C720&lt;=Staffing!$G$17,'Start Here'!$B$8=1),IF(C720&lt;=6,Staffing!$H$17,IF(C720&lt;=15,Staffing!$I$17,IF(C720&lt;=30,Staffing!$J$17,Staffing!$K$17))),0)</f>
        <v>0</v>
      </c>
      <c r="F720" s="10" t="n">
        <f aca="false">E720*Staffing!$L$17/12*(1+Assumptions!$C$10)^INT((C720-1)/12)*1</f>
        <v>0</v>
      </c>
      <c r="G720" s="10" t="n">
        <f aca="false">F720*Staffing!$N$17</f>
        <v>0</v>
      </c>
      <c r="H720" s="10" t="n">
        <f aca="false">F720+G720</f>
        <v>0</v>
      </c>
      <c r="I720" s="10" t="n">
        <f aca="false">0</f>
        <v>0</v>
      </c>
      <c r="J720" s="10" t="n">
        <f aca="false">MAX(0,E720-E719)*Staffing!$O$17</f>
        <v>0</v>
      </c>
      <c r="K720" s="10" t="n">
        <f aca="false">MAX(0,E720-E719)*Staffing!$P$17</f>
        <v>0</v>
      </c>
      <c r="L720" s="23" t="n">
        <f aca="false">ROUNDUP(E720,0)</f>
        <v>0</v>
      </c>
    </row>
    <row r="721" customFormat="false" ht="15" hidden="false" customHeight="false" outlineLevel="0" collapsed="false">
      <c r="A721" s="6" t="s">
        <v>72</v>
      </c>
      <c r="B721" s="6" t="s">
        <v>351</v>
      </c>
      <c r="C721" s="6" t="n">
        <v>56</v>
      </c>
      <c r="D721" s="25" t="n">
        <f aca="false">EDATE('Start Here'!$B$6,C721-1)</f>
        <v>48000</v>
      </c>
      <c r="E721" s="23" t="n">
        <f aca="false">IF(AND(C721&gt;=Assumptions!$C$25,C721&lt;=Staffing!$G$17,'Start Here'!$B$8=1),IF(C721&lt;=6,Staffing!$H$17,IF(C721&lt;=15,Staffing!$I$17,IF(C721&lt;=30,Staffing!$J$17,Staffing!$K$17))),0)</f>
        <v>0</v>
      </c>
      <c r="F721" s="10" t="n">
        <f aca="false">E721*Staffing!$L$17/12*(1+Assumptions!$C$10)^INT((C721-1)/12)*1</f>
        <v>0</v>
      </c>
      <c r="G721" s="10" t="n">
        <f aca="false">F721*Staffing!$N$17</f>
        <v>0</v>
      </c>
      <c r="H721" s="10" t="n">
        <f aca="false">F721+G721</f>
        <v>0</v>
      </c>
      <c r="I721" s="10" t="n">
        <f aca="false">0</f>
        <v>0</v>
      </c>
      <c r="J721" s="10" t="n">
        <f aca="false">MAX(0,E721-E720)*Staffing!$O$17</f>
        <v>0</v>
      </c>
      <c r="K721" s="10" t="n">
        <f aca="false">MAX(0,E721-E720)*Staffing!$P$17</f>
        <v>0</v>
      </c>
      <c r="L721" s="23" t="n">
        <f aca="false">ROUNDUP(E721,0)</f>
        <v>0</v>
      </c>
    </row>
    <row r="722" customFormat="false" ht="15" hidden="false" customHeight="false" outlineLevel="0" collapsed="false">
      <c r="A722" s="6" t="s">
        <v>72</v>
      </c>
      <c r="B722" s="6" t="s">
        <v>351</v>
      </c>
      <c r="C722" s="6" t="n">
        <v>57</v>
      </c>
      <c r="D722" s="25" t="n">
        <f aca="false">EDATE('Start Here'!$B$6,C722-1)</f>
        <v>48030</v>
      </c>
      <c r="E722" s="23" t="n">
        <f aca="false">IF(AND(C722&gt;=Assumptions!$C$25,C722&lt;=Staffing!$G$17,'Start Here'!$B$8=1),IF(C722&lt;=6,Staffing!$H$17,IF(C722&lt;=15,Staffing!$I$17,IF(C722&lt;=30,Staffing!$J$17,Staffing!$K$17))),0)</f>
        <v>0</v>
      </c>
      <c r="F722" s="10" t="n">
        <f aca="false">E722*Staffing!$L$17/12*(1+Assumptions!$C$10)^INT((C722-1)/12)*1</f>
        <v>0</v>
      </c>
      <c r="G722" s="10" t="n">
        <f aca="false">F722*Staffing!$N$17</f>
        <v>0</v>
      </c>
      <c r="H722" s="10" t="n">
        <f aca="false">F722+G722</f>
        <v>0</v>
      </c>
      <c r="I722" s="10" t="n">
        <f aca="false">0</f>
        <v>0</v>
      </c>
      <c r="J722" s="10" t="n">
        <f aca="false">MAX(0,E722-E721)*Staffing!$O$17</f>
        <v>0</v>
      </c>
      <c r="K722" s="10" t="n">
        <f aca="false">MAX(0,E722-E721)*Staffing!$P$17</f>
        <v>0</v>
      </c>
      <c r="L722" s="23" t="n">
        <f aca="false">ROUNDUP(E722,0)</f>
        <v>0</v>
      </c>
    </row>
    <row r="723" customFormat="false" ht="15" hidden="false" customHeight="false" outlineLevel="0" collapsed="false">
      <c r="A723" s="6" t="s">
        <v>72</v>
      </c>
      <c r="B723" s="6" t="s">
        <v>351</v>
      </c>
      <c r="C723" s="6" t="n">
        <v>58</v>
      </c>
      <c r="D723" s="25" t="n">
        <f aca="false">EDATE('Start Here'!$B$6,C723-1)</f>
        <v>48061</v>
      </c>
      <c r="E723" s="23" t="n">
        <f aca="false">IF(AND(C723&gt;=Assumptions!$C$25,C723&lt;=Staffing!$G$17,'Start Here'!$B$8=1),IF(C723&lt;=6,Staffing!$H$17,IF(C723&lt;=15,Staffing!$I$17,IF(C723&lt;=30,Staffing!$J$17,Staffing!$K$17))),0)</f>
        <v>0</v>
      </c>
      <c r="F723" s="10" t="n">
        <f aca="false">E723*Staffing!$L$17/12*(1+Assumptions!$C$10)^INT((C723-1)/12)*1</f>
        <v>0</v>
      </c>
      <c r="G723" s="10" t="n">
        <f aca="false">F723*Staffing!$N$17</f>
        <v>0</v>
      </c>
      <c r="H723" s="10" t="n">
        <f aca="false">F723+G723</f>
        <v>0</v>
      </c>
      <c r="I723" s="10" t="n">
        <f aca="false">0</f>
        <v>0</v>
      </c>
      <c r="J723" s="10" t="n">
        <f aca="false">MAX(0,E723-E722)*Staffing!$O$17</f>
        <v>0</v>
      </c>
      <c r="K723" s="10" t="n">
        <f aca="false">MAX(0,E723-E722)*Staffing!$P$17</f>
        <v>0</v>
      </c>
      <c r="L723" s="23" t="n">
        <f aca="false">ROUNDUP(E723,0)</f>
        <v>0</v>
      </c>
    </row>
    <row r="724" customFormat="false" ht="15" hidden="false" customHeight="false" outlineLevel="0" collapsed="false">
      <c r="A724" s="6" t="s">
        <v>72</v>
      </c>
      <c r="B724" s="6" t="s">
        <v>351</v>
      </c>
      <c r="C724" s="6" t="n">
        <v>59</v>
      </c>
      <c r="D724" s="25" t="n">
        <f aca="false">EDATE('Start Here'!$B$6,C724-1)</f>
        <v>48092</v>
      </c>
      <c r="E724" s="23" t="n">
        <f aca="false">IF(AND(C724&gt;=Assumptions!$C$25,C724&lt;=Staffing!$G$17,'Start Here'!$B$8=1),IF(C724&lt;=6,Staffing!$H$17,IF(C724&lt;=15,Staffing!$I$17,IF(C724&lt;=30,Staffing!$J$17,Staffing!$K$17))),0)</f>
        <v>0</v>
      </c>
      <c r="F724" s="10" t="n">
        <f aca="false">E724*Staffing!$L$17/12*(1+Assumptions!$C$10)^INT((C724-1)/12)*1</f>
        <v>0</v>
      </c>
      <c r="G724" s="10" t="n">
        <f aca="false">F724*Staffing!$N$17</f>
        <v>0</v>
      </c>
      <c r="H724" s="10" t="n">
        <f aca="false">F724+G724</f>
        <v>0</v>
      </c>
      <c r="I724" s="10" t="n">
        <f aca="false">0</f>
        <v>0</v>
      </c>
      <c r="J724" s="10" t="n">
        <f aca="false">MAX(0,E724-E723)*Staffing!$O$17</f>
        <v>0</v>
      </c>
      <c r="K724" s="10" t="n">
        <f aca="false">MAX(0,E724-E723)*Staffing!$P$17</f>
        <v>0</v>
      </c>
      <c r="L724" s="23" t="n">
        <f aca="false">ROUNDUP(E724,0)</f>
        <v>0</v>
      </c>
    </row>
    <row r="725" customFormat="false" ht="15" hidden="false" customHeight="false" outlineLevel="0" collapsed="false">
      <c r="A725" s="6" t="s">
        <v>72</v>
      </c>
      <c r="B725" s="6" t="s">
        <v>351</v>
      </c>
      <c r="C725" s="6" t="n">
        <v>60</v>
      </c>
      <c r="D725" s="25" t="n">
        <f aca="false">EDATE('Start Here'!$B$6,C725-1)</f>
        <v>48122</v>
      </c>
      <c r="E725" s="23" t="n">
        <f aca="false">IF(AND(C725&gt;=Assumptions!$C$25,C725&lt;=Staffing!$G$17,'Start Here'!$B$8=1),IF(C725&lt;=6,Staffing!$H$17,IF(C725&lt;=15,Staffing!$I$17,IF(C725&lt;=30,Staffing!$J$17,Staffing!$K$17))),0)</f>
        <v>0</v>
      </c>
      <c r="F725" s="10" t="n">
        <f aca="false">E725*Staffing!$L$17/12*(1+Assumptions!$C$10)^INT((C725-1)/12)*1</f>
        <v>0</v>
      </c>
      <c r="G725" s="10" t="n">
        <f aca="false">F725*Staffing!$N$17</f>
        <v>0</v>
      </c>
      <c r="H725" s="10" t="n">
        <f aca="false">F725+G725</f>
        <v>0</v>
      </c>
      <c r="I725" s="10" t="n">
        <f aca="false">0</f>
        <v>0</v>
      </c>
      <c r="J725" s="10" t="n">
        <f aca="false">MAX(0,E725-E724)*Staffing!$O$17</f>
        <v>0</v>
      </c>
      <c r="K725" s="10" t="n">
        <f aca="false">MAX(0,E725-E724)*Staffing!$P$17</f>
        <v>0</v>
      </c>
      <c r="L725" s="23" t="n">
        <f aca="false">ROUNDUP(E725,0)</f>
        <v>0</v>
      </c>
    </row>
    <row r="726" customFormat="false" ht="15" hidden="false" customHeight="false" outlineLevel="0" collapsed="false">
      <c r="A726" s="6" t="s">
        <v>72</v>
      </c>
      <c r="B726" s="6" t="s">
        <v>353</v>
      </c>
      <c r="C726" s="6" t="n">
        <v>1</v>
      </c>
      <c r="D726" s="25" t="n">
        <f aca="false">EDATE('Start Here'!$B$6,C726-1)</f>
        <v>46327</v>
      </c>
      <c r="E726" s="23" t="n">
        <f aca="false">IF(AND(C726&gt;=Assumptions!$C$25,C726&lt;=Staffing!$G$18,'Start Here'!$B$8=1),IF(C726&lt;=6,Staffing!$H$18,IF(C726&lt;=15,Staffing!$I$18,IF(C726&lt;=30,Staffing!$J$18,Staffing!$K$18))),0)</f>
        <v>0</v>
      </c>
      <c r="F726" s="10" t="n">
        <f aca="false">E726*Staffing!$L$18/12*(1+Assumptions!$C$10)^INT((C726-1)/12)*1</f>
        <v>0</v>
      </c>
      <c r="G726" s="10" t="n">
        <f aca="false">F726*Staffing!$N$18</f>
        <v>0</v>
      </c>
      <c r="H726" s="10" t="n">
        <f aca="false">F726+G726</f>
        <v>0</v>
      </c>
      <c r="I726" s="10" t="n">
        <f aca="false">0</f>
        <v>0</v>
      </c>
      <c r="J726" s="10" t="n">
        <f aca="false">MAX(0,E726-0)*Staffing!$O$18</f>
        <v>0</v>
      </c>
      <c r="K726" s="10" t="n">
        <f aca="false">MAX(0,E726-0)*Staffing!$P$18</f>
        <v>0</v>
      </c>
      <c r="L726" s="23" t="n">
        <f aca="false">ROUNDUP(E726,0)</f>
        <v>0</v>
      </c>
    </row>
    <row r="727" customFormat="false" ht="15" hidden="false" customHeight="false" outlineLevel="0" collapsed="false">
      <c r="A727" s="6" t="s">
        <v>72</v>
      </c>
      <c r="B727" s="6" t="s">
        <v>353</v>
      </c>
      <c r="C727" s="6" t="n">
        <v>2</v>
      </c>
      <c r="D727" s="25" t="n">
        <f aca="false">EDATE('Start Here'!$B$6,C727-1)</f>
        <v>46357</v>
      </c>
      <c r="E727" s="23" t="n">
        <f aca="false">IF(AND(C727&gt;=Assumptions!$C$25,C727&lt;=Staffing!$G$18,'Start Here'!$B$8=1),IF(C727&lt;=6,Staffing!$H$18,IF(C727&lt;=15,Staffing!$I$18,IF(C727&lt;=30,Staffing!$J$18,Staffing!$K$18))),0)</f>
        <v>0</v>
      </c>
      <c r="F727" s="10" t="n">
        <f aca="false">E727*Staffing!$L$18/12*(1+Assumptions!$C$10)^INT((C727-1)/12)*1</f>
        <v>0</v>
      </c>
      <c r="G727" s="10" t="n">
        <f aca="false">F727*Staffing!$N$18</f>
        <v>0</v>
      </c>
      <c r="H727" s="10" t="n">
        <f aca="false">F727+G727</f>
        <v>0</v>
      </c>
      <c r="I727" s="10" t="n">
        <f aca="false">0</f>
        <v>0</v>
      </c>
      <c r="J727" s="10" t="n">
        <f aca="false">MAX(0,E727-E726)*Staffing!$O$18</f>
        <v>0</v>
      </c>
      <c r="K727" s="10" t="n">
        <f aca="false">MAX(0,E727-E726)*Staffing!$P$18</f>
        <v>0</v>
      </c>
      <c r="L727" s="23" t="n">
        <f aca="false">ROUNDUP(E727,0)</f>
        <v>0</v>
      </c>
    </row>
    <row r="728" customFormat="false" ht="15" hidden="false" customHeight="false" outlineLevel="0" collapsed="false">
      <c r="A728" s="6" t="s">
        <v>72</v>
      </c>
      <c r="B728" s="6" t="s">
        <v>353</v>
      </c>
      <c r="C728" s="6" t="n">
        <v>3</v>
      </c>
      <c r="D728" s="25" t="n">
        <f aca="false">EDATE('Start Here'!$B$6,C728-1)</f>
        <v>46388</v>
      </c>
      <c r="E728" s="23" t="n">
        <f aca="false">IF(AND(C728&gt;=Assumptions!$C$25,C728&lt;=Staffing!$G$18,'Start Here'!$B$8=1),IF(C728&lt;=6,Staffing!$H$18,IF(C728&lt;=15,Staffing!$I$18,IF(C728&lt;=30,Staffing!$J$18,Staffing!$K$18))),0)</f>
        <v>0</v>
      </c>
      <c r="F728" s="10" t="n">
        <f aca="false">E728*Staffing!$L$18/12*(1+Assumptions!$C$10)^INT((C728-1)/12)*1</f>
        <v>0</v>
      </c>
      <c r="G728" s="10" t="n">
        <f aca="false">F728*Staffing!$N$18</f>
        <v>0</v>
      </c>
      <c r="H728" s="10" t="n">
        <f aca="false">F728+G728</f>
        <v>0</v>
      </c>
      <c r="I728" s="10" t="n">
        <f aca="false">0</f>
        <v>0</v>
      </c>
      <c r="J728" s="10" t="n">
        <f aca="false">MAX(0,E728-E727)*Staffing!$O$18</f>
        <v>0</v>
      </c>
      <c r="K728" s="10" t="n">
        <f aca="false">MAX(0,E728-E727)*Staffing!$P$18</f>
        <v>0</v>
      </c>
      <c r="L728" s="23" t="n">
        <f aca="false">ROUNDUP(E728,0)</f>
        <v>0</v>
      </c>
    </row>
    <row r="729" customFormat="false" ht="15" hidden="false" customHeight="false" outlineLevel="0" collapsed="false">
      <c r="A729" s="6" t="s">
        <v>72</v>
      </c>
      <c r="B729" s="6" t="s">
        <v>353</v>
      </c>
      <c r="C729" s="6" t="n">
        <v>4</v>
      </c>
      <c r="D729" s="25" t="n">
        <f aca="false">EDATE('Start Here'!$B$6,C729-1)</f>
        <v>46419</v>
      </c>
      <c r="E729" s="23" t="n">
        <f aca="false">IF(AND(C729&gt;=Assumptions!$C$25,C729&lt;=Staffing!$G$18,'Start Here'!$B$8=1),IF(C729&lt;=6,Staffing!$H$18,IF(C729&lt;=15,Staffing!$I$18,IF(C729&lt;=30,Staffing!$J$18,Staffing!$K$18))),0)</f>
        <v>0</v>
      </c>
      <c r="F729" s="10" t="n">
        <f aca="false">E729*Staffing!$L$18/12*(1+Assumptions!$C$10)^INT((C729-1)/12)*1</f>
        <v>0</v>
      </c>
      <c r="G729" s="10" t="n">
        <f aca="false">F729*Staffing!$N$18</f>
        <v>0</v>
      </c>
      <c r="H729" s="10" t="n">
        <f aca="false">F729+G729</f>
        <v>0</v>
      </c>
      <c r="I729" s="10" t="n">
        <f aca="false">0</f>
        <v>0</v>
      </c>
      <c r="J729" s="10" t="n">
        <f aca="false">MAX(0,E729-E728)*Staffing!$O$18</f>
        <v>0</v>
      </c>
      <c r="K729" s="10" t="n">
        <f aca="false">MAX(0,E729-E728)*Staffing!$P$18</f>
        <v>0</v>
      </c>
      <c r="L729" s="23" t="n">
        <f aca="false">ROUNDUP(E729,0)</f>
        <v>0</v>
      </c>
    </row>
    <row r="730" customFormat="false" ht="15" hidden="false" customHeight="false" outlineLevel="0" collapsed="false">
      <c r="A730" s="6" t="s">
        <v>72</v>
      </c>
      <c r="B730" s="6" t="s">
        <v>353</v>
      </c>
      <c r="C730" s="6" t="n">
        <v>5</v>
      </c>
      <c r="D730" s="25" t="n">
        <f aca="false">EDATE('Start Here'!$B$6,C730-1)</f>
        <v>46447</v>
      </c>
      <c r="E730" s="23" t="n">
        <f aca="false">IF(AND(C730&gt;=Assumptions!$C$25,C730&lt;=Staffing!$G$18,'Start Here'!$B$8=1),IF(C730&lt;=6,Staffing!$H$18,IF(C730&lt;=15,Staffing!$I$18,IF(C730&lt;=30,Staffing!$J$18,Staffing!$K$18))),0)</f>
        <v>0</v>
      </c>
      <c r="F730" s="10" t="n">
        <f aca="false">E730*Staffing!$L$18/12*(1+Assumptions!$C$10)^INT((C730-1)/12)*1</f>
        <v>0</v>
      </c>
      <c r="G730" s="10" t="n">
        <f aca="false">F730*Staffing!$N$18</f>
        <v>0</v>
      </c>
      <c r="H730" s="10" t="n">
        <f aca="false">F730+G730</f>
        <v>0</v>
      </c>
      <c r="I730" s="10" t="n">
        <f aca="false">0</f>
        <v>0</v>
      </c>
      <c r="J730" s="10" t="n">
        <f aca="false">MAX(0,E730-E729)*Staffing!$O$18</f>
        <v>0</v>
      </c>
      <c r="K730" s="10" t="n">
        <f aca="false">MAX(0,E730-E729)*Staffing!$P$18</f>
        <v>0</v>
      </c>
      <c r="L730" s="23" t="n">
        <f aca="false">ROUNDUP(E730,0)</f>
        <v>0</v>
      </c>
    </row>
    <row r="731" customFormat="false" ht="15" hidden="false" customHeight="false" outlineLevel="0" collapsed="false">
      <c r="A731" s="6" t="s">
        <v>72</v>
      </c>
      <c r="B731" s="6" t="s">
        <v>353</v>
      </c>
      <c r="C731" s="6" t="n">
        <v>6</v>
      </c>
      <c r="D731" s="25" t="n">
        <f aca="false">EDATE('Start Here'!$B$6,C731-1)</f>
        <v>46478</v>
      </c>
      <c r="E731" s="23" t="n">
        <f aca="false">IF(AND(C731&gt;=Assumptions!$C$25,C731&lt;=Staffing!$G$18,'Start Here'!$B$8=1),IF(C731&lt;=6,Staffing!$H$18,IF(C731&lt;=15,Staffing!$I$18,IF(C731&lt;=30,Staffing!$J$18,Staffing!$K$18))),0)</f>
        <v>0</v>
      </c>
      <c r="F731" s="10" t="n">
        <f aca="false">E731*Staffing!$L$18/12*(1+Assumptions!$C$10)^INT((C731-1)/12)*1</f>
        <v>0</v>
      </c>
      <c r="G731" s="10" t="n">
        <f aca="false">F731*Staffing!$N$18</f>
        <v>0</v>
      </c>
      <c r="H731" s="10" t="n">
        <f aca="false">F731+G731</f>
        <v>0</v>
      </c>
      <c r="I731" s="10" t="n">
        <f aca="false">0</f>
        <v>0</v>
      </c>
      <c r="J731" s="10" t="n">
        <f aca="false">MAX(0,E731-E730)*Staffing!$O$18</f>
        <v>0</v>
      </c>
      <c r="K731" s="10" t="n">
        <f aca="false">MAX(0,E731-E730)*Staffing!$P$18</f>
        <v>0</v>
      </c>
      <c r="L731" s="23" t="n">
        <f aca="false">ROUNDUP(E731,0)</f>
        <v>0</v>
      </c>
    </row>
    <row r="732" customFormat="false" ht="15" hidden="false" customHeight="false" outlineLevel="0" collapsed="false">
      <c r="A732" s="6" t="s">
        <v>72</v>
      </c>
      <c r="B732" s="6" t="s">
        <v>353</v>
      </c>
      <c r="C732" s="6" t="n">
        <v>7</v>
      </c>
      <c r="D732" s="25" t="n">
        <f aca="false">EDATE('Start Here'!$B$6,C732-1)</f>
        <v>46508</v>
      </c>
      <c r="E732" s="23" t="n">
        <f aca="false">IF(AND(C732&gt;=Assumptions!$C$25,C732&lt;=Staffing!$G$18,'Start Here'!$B$8=1),IF(C732&lt;=6,Staffing!$H$18,IF(C732&lt;=15,Staffing!$I$18,IF(C732&lt;=30,Staffing!$J$18,Staffing!$K$18))),0)</f>
        <v>0</v>
      </c>
      <c r="F732" s="10" t="n">
        <f aca="false">E732*Staffing!$L$18/12*(1+Assumptions!$C$10)^INT((C732-1)/12)*1</f>
        <v>0</v>
      </c>
      <c r="G732" s="10" t="n">
        <f aca="false">F732*Staffing!$N$18</f>
        <v>0</v>
      </c>
      <c r="H732" s="10" t="n">
        <f aca="false">F732+G732</f>
        <v>0</v>
      </c>
      <c r="I732" s="10" t="n">
        <f aca="false">0</f>
        <v>0</v>
      </c>
      <c r="J732" s="10" t="n">
        <f aca="false">MAX(0,E732-E731)*Staffing!$O$18</f>
        <v>0</v>
      </c>
      <c r="K732" s="10" t="n">
        <f aca="false">MAX(0,E732-E731)*Staffing!$P$18</f>
        <v>0</v>
      </c>
      <c r="L732" s="23" t="n">
        <f aca="false">ROUNDUP(E732,0)</f>
        <v>0</v>
      </c>
    </row>
    <row r="733" customFormat="false" ht="15" hidden="false" customHeight="false" outlineLevel="0" collapsed="false">
      <c r="A733" s="6" t="s">
        <v>72</v>
      </c>
      <c r="B733" s="6" t="s">
        <v>353</v>
      </c>
      <c r="C733" s="6" t="n">
        <v>8</v>
      </c>
      <c r="D733" s="25" t="n">
        <f aca="false">EDATE('Start Here'!$B$6,C733-1)</f>
        <v>46539</v>
      </c>
      <c r="E733" s="23" t="n">
        <f aca="false">IF(AND(C733&gt;=Assumptions!$C$25,C733&lt;=Staffing!$G$18,'Start Here'!$B$8=1),IF(C733&lt;=6,Staffing!$H$18,IF(C733&lt;=15,Staffing!$I$18,IF(C733&lt;=30,Staffing!$J$18,Staffing!$K$18))),0)</f>
        <v>0</v>
      </c>
      <c r="F733" s="10" t="n">
        <f aca="false">E733*Staffing!$L$18/12*(1+Assumptions!$C$10)^INT((C733-1)/12)*1</f>
        <v>0</v>
      </c>
      <c r="G733" s="10" t="n">
        <f aca="false">F733*Staffing!$N$18</f>
        <v>0</v>
      </c>
      <c r="H733" s="10" t="n">
        <f aca="false">F733+G733</f>
        <v>0</v>
      </c>
      <c r="I733" s="10" t="n">
        <f aca="false">0</f>
        <v>0</v>
      </c>
      <c r="J733" s="10" t="n">
        <f aca="false">MAX(0,E733-E732)*Staffing!$O$18</f>
        <v>0</v>
      </c>
      <c r="K733" s="10" t="n">
        <f aca="false">MAX(0,E733-E732)*Staffing!$P$18</f>
        <v>0</v>
      </c>
      <c r="L733" s="23" t="n">
        <f aca="false">ROUNDUP(E733,0)</f>
        <v>0</v>
      </c>
    </row>
    <row r="734" customFormat="false" ht="15" hidden="false" customHeight="false" outlineLevel="0" collapsed="false">
      <c r="A734" s="6" t="s">
        <v>72</v>
      </c>
      <c r="B734" s="6" t="s">
        <v>353</v>
      </c>
      <c r="C734" s="6" t="n">
        <v>9</v>
      </c>
      <c r="D734" s="25" t="n">
        <f aca="false">EDATE('Start Here'!$B$6,C734-1)</f>
        <v>46569</v>
      </c>
      <c r="E734" s="23" t="n">
        <f aca="false">IF(AND(C734&gt;=Assumptions!$C$25,C734&lt;=Staffing!$G$18,'Start Here'!$B$8=1),IF(C734&lt;=6,Staffing!$H$18,IF(C734&lt;=15,Staffing!$I$18,IF(C734&lt;=30,Staffing!$J$18,Staffing!$K$18))),0)</f>
        <v>0</v>
      </c>
      <c r="F734" s="10" t="n">
        <f aca="false">E734*Staffing!$L$18/12*(1+Assumptions!$C$10)^INT((C734-1)/12)*1</f>
        <v>0</v>
      </c>
      <c r="G734" s="10" t="n">
        <f aca="false">F734*Staffing!$N$18</f>
        <v>0</v>
      </c>
      <c r="H734" s="10" t="n">
        <f aca="false">F734+G734</f>
        <v>0</v>
      </c>
      <c r="I734" s="10" t="n">
        <f aca="false">0</f>
        <v>0</v>
      </c>
      <c r="J734" s="10" t="n">
        <f aca="false">MAX(0,E734-E733)*Staffing!$O$18</f>
        <v>0</v>
      </c>
      <c r="K734" s="10" t="n">
        <f aca="false">MAX(0,E734-E733)*Staffing!$P$18</f>
        <v>0</v>
      </c>
      <c r="L734" s="23" t="n">
        <f aca="false">ROUNDUP(E734,0)</f>
        <v>0</v>
      </c>
    </row>
    <row r="735" customFormat="false" ht="15" hidden="false" customHeight="false" outlineLevel="0" collapsed="false">
      <c r="A735" s="6" t="s">
        <v>72</v>
      </c>
      <c r="B735" s="6" t="s">
        <v>353</v>
      </c>
      <c r="C735" s="6" t="n">
        <v>10</v>
      </c>
      <c r="D735" s="25" t="n">
        <f aca="false">EDATE('Start Here'!$B$6,C735-1)</f>
        <v>46600</v>
      </c>
      <c r="E735" s="23" t="n">
        <f aca="false">IF(AND(C735&gt;=Assumptions!$C$25,C735&lt;=Staffing!$G$18,'Start Here'!$B$8=1),IF(C735&lt;=6,Staffing!$H$18,IF(C735&lt;=15,Staffing!$I$18,IF(C735&lt;=30,Staffing!$J$18,Staffing!$K$18))),0)</f>
        <v>0</v>
      </c>
      <c r="F735" s="10" t="n">
        <f aca="false">E735*Staffing!$L$18/12*(1+Assumptions!$C$10)^INT((C735-1)/12)*1</f>
        <v>0</v>
      </c>
      <c r="G735" s="10" t="n">
        <f aca="false">F735*Staffing!$N$18</f>
        <v>0</v>
      </c>
      <c r="H735" s="10" t="n">
        <f aca="false">F735+G735</f>
        <v>0</v>
      </c>
      <c r="I735" s="10" t="n">
        <f aca="false">0</f>
        <v>0</v>
      </c>
      <c r="J735" s="10" t="n">
        <f aca="false">MAX(0,E735-E734)*Staffing!$O$18</f>
        <v>0</v>
      </c>
      <c r="K735" s="10" t="n">
        <f aca="false">MAX(0,E735-E734)*Staffing!$P$18</f>
        <v>0</v>
      </c>
      <c r="L735" s="23" t="n">
        <f aca="false">ROUNDUP(E735,0)</f>
        <v>0</v>
      </c>
    </row>
    <row r="736" customFormat="false" ht="15" hidden="false" customHeight="false" outlineLevel="0" collapsed="false">
      <c r="A736" s="6" t="s">
        <v>72</v>
      </c>
      <c r="B736" s="6" t="s">
        <v>353</v>
      </c>
      <c r="C736" s="6" t="n">
        <v>11</v>
      </c>
      <c r="D736" s="25" t="n">
        <f aca="false">EDATE('Start Here'!$B$6,C736-1)</f>
        <v>46631</v>
      </c>
      <c r="E736" s="23" t="n">
        <f aca="false">IF(AND(C736&gt;=Assumptions!$C$25,C736&lt;=Staffing!$G$18,'Start Here'!$B$8=1),IF(C736&lt;=6,Staffing!$H$18,IF(C736&lt;=15,Staffing!$I$18,IF(C736&lt;=30,Staffing!$J$18,Staffing!$K$18))),0)</f>
        <v>0</v>
      </c>
      <c r="F736" s="10" t="n">
        <f aca="false">E736*Staffing!$L$18/12*(1+Assumptions!$C$10)^INT((C736-1)/12)*1</f>
        <v>0</v>
      </c>
      <c r="G736" s="10" t="n">
        <f aca="false">F736*Staffing!$N$18</f>
        <v>0</v>
      </c>
      <c r="H736" s="10" t="n">
        <f aca="false">F736+G736</f>
        <v>0</v>
      </c>
      <c r="I736" s="10" t="n">
        <f aca="false">0</f>
        <v>0</v>
      </c>
      <c r="J736" s="10" t="n">
        <f aca="false">MAX(0,E736-E735)*Staffing!$O$18</f>
        <v>0</v>
      </c>
      <c r="K736" s="10" t="n">
        <f aca="false">MAX(0,E736-E735)*Staffing!$P$18</f>
        <v>0</v>
      </c>
      <c r="L736" s="23" t="n">
        <f aca="false">ROUNDUP(E736,0)</f>
        <v>0</v>
      </c>
    </row>
    <row r="737" customFormat="false" ht="15" hidden="false" customHeight="false" outlineLevel="0" collapsed="false">
      <c r="A737" s="6" t="s">
        <v>72</v>
      </c>
      <c r="B737" s="6" t="s">
        <v>353</v>
      </c>
      <c r="C737" s="6" t="n">
        <v>12</v>
      </c>
      <c r="D737" s="25" t="n">
        <f aca="false">EDATE('Start Here'!$B$6,C737-1)</f>
        <v>46661</v>
      </c>
      <c r="E737" s="23" t="n">
        <f aca="false">IF(AND(C737&gt;=Assumptions!$C$25,C737&lt;=Staffing!$G$18,'Start Here'!$B$8=1),IF(C737&lt;=6,Staffing!$H$18,IF(C737&lt;=15,Staffing!$I$18,IF(C737&lt;=30,Staffing!$J$18,Staffing!$K$18))),0)</f>
        <v>0</v>
      </c>
      <c r="F737" s="10" t="n">
        <f aca="false">E737*Staffing!$L$18/12*(1+Assumptions!$C$10)^INT((C737-1)/12)*1</f>
        <v>0</v>
      </c>
      <c r="G737" s="10" t="n">
        <f aca="false">F737*Staffing!$N$18</f>
        <v>0</v>
      </c>
      <c r="H737" s="10" t="n">
        <f aca="false">F737+G737</f>
        <v>0</v>
      </c>
      <c r="I737" s="10" t="n">
        <f aca="false">0</f>
        <v>0</v>
      </c>
      <c r="J737" s="10" t="n">
        <f aca="false">MAX(0,E737-E736)*Staffing!$O$18</f>
        <v>0</v>
      </c>
      <c r="K737" s="10" t="n">
        <f aca="false">MAX(0,E737-E736)*Staffing!$P$18</f>
        <v>0</v>
      </c>
      <c r="L737" s="23" t="n">
        <f aca="false">ROUNDUP(E737,0)</f>
        <v>0</v>
      </c>
    </row>
    <row r="738" customFormat="false" ht="15" hidden="false" customHeight="false" outlineLevel="0" collapsed="false">
      <c r="A738" s="6" t="s">
        <v>72</v>
      </c>
      <c r="B738" s="6" t="s">
        <v>353</v>
      </c>
      <c r="C738" s="6" t="n">
        <v>13</v>
      </c>
      <c r="D738" s="25" t="n">
        <f aca="false">EDATE('Start Here'!$B$6,C738-1)</f>
        <v>46692</v>
      </c>
      <c r="E738" s="23" t="n">
        <f aca="false">IF(AND(C738&gt;=Assumptions!$C$25,C738&lt;=Staffing!$G$18,'Start Here'!$B$8=1),IF(C738&lt;=6,Staffing!$H$18,IF(C738&lt;=15,Staffing!$I$18,IF(C738&lt;=30,Staffing!$J$18,Staffing!$K$18))),0)</f>
        <v>0</v>
      </c>
      <c r="F738" s="10" t="n">
        <f aca="false">E738*Staffing!$L$18/12*(1+Assumptions!$C$10)^INT((C738-1)/12)*1</f>
        <v>0</v>
      </c>
      <c r="G738" s="10" t="n">
        <f aca="false">F738*Staffing!$N$18</f>
        <v>0</v>
      </c>
      <c r="H738" s="10" t="n">
        <f aca="false">F738+G738</f>
        <v>0</v>
      </c>
      <c r="I738" s="10" t="n">
        <f aca="false">0</f>
        <v>0</v>
      </c>
      <c r="J738" s="10" t="n">
        <f aca="false">MAX(0,E738-E737)*Staffing!$O$18</f>
        <v>0</v>
      </c>
      <c r="K738" s="10" t="n">
        <f aca="false">MAX(0,E738-E737)*Staffing!$P$18</f>
        <v>0</v>
      </c>
      <c r="L738" s="23" t="n">
        <f aca="false">ROUNDUP(E738,0)</f>
        <v>0</v>
      </c>
    </row>
    <row r="739" customFormat="false" ht="15" hidden="false" customHeight="false" outlineLevel="0" collapsed="false">
      <c r="A739" s="6" t="s">
        <v>72</v>
      </c>
      <c r="B739" s="6" t="s">
        <v>353</v>
      </c>
      <c r="C739" s="6" t="n">
        <v>14</v>
      </c>
      <c r="D739" s="25" t="n">
        <f aca="false">EDATE('Start Here'!$B$6,C739-1)</f>
        <v>46722</v>
      </c>
      <c r="E739" s="23" t="n">
        <f aca="false">IF(AND(C739&gt;=Assumptions!$C$25,C739&lt;=Staffing!$G$18,'Start Here'!$B$8=1),IF(C739&lt;=6,Staffing!$H$18,IF(C739&lt;=15,Staffing!$I$18,IF(C739&lt;=30,Staffing!$J$18,Staffing!$K$18))),0)</f>
        <v>0</v>
      </c>
      <c r="F739" s="10" t="n">
        <f aca="false">E739*Staffing!$L$18/12*(1+Assumptions!$C$10)^INT((C739-1)/12)*1</f>
        <v>0</v>
      </c>
      <c r="G739" s="10" t="n">
        <f aca="false">F739*Staffing!$N$18</f>
        <v>0</v>
      </c>
      <c r="H739" s="10" t="n">
        <f aca="false">F739+G739</f>
        <v>0</v>
      </c>
      <c r="I739" s="10" t="n">
        <f aca="false">0</f>
        <v>0</v>
      </c>
      <c r="J739" s="10" t="n">
        <f aca="false">MAX(0,E739-E738)*Staffing!$O$18</f>
        <v>0</v>
      </c>
      <c r="K739" s="10" t="n">
        <f aca="false">MAX(0,E739-E738)*Staffing!$P$18</f>
        <v>0</v>
      </c>
      <c r="L739" s="23" t="n">
        <f aca="false">ROUNDUP(E739,0)</f>
        <v>0</v>
      </c>
    </row>
    <row r="740" customFormat="false" ht="15" hidden="false" customHeight="false" outlineLevel="0" collapsed="false">
      <c r="A740" s="6" t="s">
        <v>72</v>
      </c>
      <c r="B740" s="6" t="s">
        <v>353</v>
      </c>
      <c r="C740" s="6" t="n">
        <v>15</v>
      </c>
      <c r="D740" s="25" t="n">
        <f aca="false">EDATE('Start Here'!$B$6,C740-1)</f>
        <v>46753</v>
      </c>
      <c r="E740" s="23" t="n">
        <f aca="false">IF(AND(C740&gt;=Assumptions!$C$25,C740&lt;=Staffing!$G$18,'Start Here'!$B$8=1),IF(C740&lt;=6,Staffing!$H$18,IF(C740&lt;=15,Staffing!$I$18,IF(C740&lt;=30,Staffing!$J$18,Staffing!$K$18))),0)</f>
        <v>0</v>
      </c>
      <c r="F740" s="10" t="n">
        <f aca="false">E740*Staffing!$L$18/12*(1+Assumptions!$C$10)^INT((C740-1)/12)*1</f>
        <v>0</v>
      </c>
      <c r="G740" s="10" t="n">
        <f aca="false">F740*Staffing!$N$18</f>
        <v>0</v>
      </c>
      <c r="H740" s="10" t="n">
        <f aca="false">F740+G740</f>
        <v>0</v>
      </c>
      <c r="I740" s="10" t="n">
        <f aca="false">0</f>
        <v>0</v>
      </c>
      <c r="J740" s="10" t="n">
        <f aca="false">MAX(0,E740-E739)*Staffing!$O$18</f>
        <v>0</v>
      </c>
      <c r="K740" s="10" t="n">
        <f aca="false">MAX(0,E740-E739)*Staffing!$P$18</f>
        <v>0</v>
      </c>
      <c r="L740" s="23" t="n">
        <f aca="false">ROUNDUP(E740,0)</f>
        <v>0</v>
      </c>
    </row>
    <row r="741" customFormat="false" ht="15" hidden="false" customHeight="false" outlineLevel="0" collapsed="false">
      <c r="A741" s="6" t="s">
        <v>72</v>
      </c>
      <c r="B741" s="6" t="s">
        <v>353</v>
      </c>
      <c r="C741" s="6" t="n">
        <v>16</v>
      </c>
      <c r="D741" s="25" t="n">
        <f aca="false">EDATE('Start Here'!$B$6,C741-1)</f>
        <v>46784</v>
      </c>
      <c r="E741" s="23" t="n">
        <f aca="false">IF(AND(C741&gt;=Assumptions!$C$25,C741&lt;=Staffing!$G$18,'Start Here'!$B$8=1),IF(C741&lt;=6,Staffing!$H$18,IF(C741&lt;=15,Staffing!$I$18,IF(C741&lt;=30,Staffing!$J$18,Staffing!$K$18))),0)</f>
        <v>0</v>
      </c>
      <c r="F741" s="10" t="n">
        <f aca="false">E741*Staffing!$L$18/12*(1+Assumptions!$C$10)^INT((C741-1)/12)*1</f>
        <v>0</v>
      </c>
      <c r="G741" s="10" t="n">
        <f aca="false">F741*Staffing!$N$18</f>
        <v>0</v>
      </c>
      <c r="H741" s="10" t="n">
        <f aca="false">F741+G741</f>
        <v>0</v>
      </c>
      <c r="I741" s="10" t="n">
        <f aca="false">0</f>
        <v>0</v>
      </c>
      <c r="J741" s="10" t="n">
        <f aca="false">MAX(0,E741-E740)*Staffing!$O$18</f>
        <v>0</v>
      </c>
      <c r="K741" s="10" t="n">
        <f aca="false">MAX(0,E741-E740)*Staffing!$P$18</f>
        <v>0</v>
      </c>
      <c r="L741" s="23" t="n">
        <f aca="false">ROUNDUP(E741,0)</f>
        <v>0</v>
      </c>
    </row>
    <row r="742" customFormat="false" ht="15" hidden="false" customHeight="false" outlineLevel="0" collapsed="false">
      <c r="A742" s="6" t="s">
        <v>72</v>
      </c>
      <c r="B742" s="6" t="s">
        <v>353</v>
      </c>
      <c r="C742" s="6" t="n">
        <v>17</v>
      </c>
      <c r="D742" s="25" t="n">
        <f aca="false">EDATE('Start Here'!$B$6,C742-1)</f>
        <v>46813</v>
      </c>
      <c r="E742" s="23" t="n">
        <f aca="false">IF(AND(C742&gt;=Assumptions!$C$25,C742&lt;=Staffing!$G$18,'Start Here'!$B$8=1),IF(C742&lt;=6,Staffing!$H$18,IF(C742&lt;=15,Staffing!$I$18,IF(C742&lt;=30,Staffing!$J$18,Staffing!$K$18))),0)</f>
        <v>0</v>
      </c>
      <c r="F742" s="10" t="n">
        <f aca="false">E742*Staffing!$L$18/12*(1+Assumptions!$C$10)^INT((C742-1)/12)*1</f>
        <v>0</v>
      </c>
      <c r="G742" s="10" t="n">
        <f aca="false">F742*Staffing!$N$18</f>
        <v>0</v>
      </c>
      <c r="H742" s="10" t="n">
        <f aca="false">F742+G742</f>
        <v>0</v>
      </c>
      <c r="I742" s="10" t="n">
        <f aca="false">0</f>
        <v>0</v>
      </c>
      <c r="J742" s="10" t="n">
        <f aca="false">MAX(0,E742-E741)*Staffing!$O$18</f>
        <v>0</v>
      </c>
      <c r="K742" s="10" t="n">
        <f aca="false">MAX(0,E742-E741)*Staffing!$P$18</f>
        <v>0</v>
      </c>
      <c r="L742" s="23" t="n">
        <f aca="false">ROUNDUP(E742,0)</f>
        <v>0</v>
      </c>
    </row>
    <row r="743" customFormat="false" ht="15" hidden="false" customHeight="false" outlineLevel="0" collapsed="false">
      <c r="A743" s="6" t="s">
        <v>72</v>
      </c>
      <c r="B743" s="6" t="s">
        <v>353</v>
      </c>
      <c r="C743" s="6" t="n">
        <v>18</v>
      </c>
      <c r="D743" s="25" t="n">
        <f aca="false">EDATE('Start Here'!$B$6,C743-1)</f>
        <v>46844</v>
      </c>
      <c r="E743" s="23" t="n">
        <f aca="false">IF(AND(C743&gt;=Assumptions!$C$25,C743&lt;=Staffing!$G$18,'Start Here'!$B$8=1),IF(C743&lt;=6,Staffing!$H$18,IF(C743&lt;=15,Staffing!$I$18,IF(C743&lt;=30,Staffing!$J$18,Staffing!$K$18))),0)</f>
        <v>0</v>
      </c>
      <c r="F743" s="10" t="n">
        <f aca="false">E743*Staffing!$L$18/12*(1+Assumptions!$C$10)^INT((C743-1)/12)*1</f>
        <v>0</v>
      </c>
      <c r="G743" s="10" t="n">
        <f aca="false">F743*Staffing!$N$18</f>
        <v>0</v>
      </c>
      <c r="H743" s="10" t="n">
        <f aca="false">F743+G743</f>
        <v>0</v>
      </c>
      <c r="I743" s="10" t="n">
        <f aca="false">0</f>
        <v>0</v>
      </c>
      <c r="J743" s="10" t="n">
        <f aca="false">MAX(0,E743-E742)*Staffing!$O$18</f>
        <v>0</v>
      </c>
      <c r="K743" s="10" t="n">
        <f aca="false">MAX(0,E743-E742)*Staffing!$P$18</f>
        <v>0</v>
      </c>
      <c r="L743" s="23" t="n">
        <f aca="false">ROUNDUP(E743,0)</f>
        <v>0</v>
      </c>
    </row>
    <row r="744" customFormat="false" ht="15" hidden="false" customHeight="false" outlineLevel="0" collapsed="false">
      <c r="A744" s="6" t="s">
        <v>72</v>
      </c>
      <c r="B744" s="6" t="s">
        <v>353</v>
      </c>
      <c r="C744" s="6" t="n">
        <v>19</v>
      </c>
      <c r="D744" s="25" t="n">
        <f aca="false">EDATE('Start Here'!$B$6,C744-1)</f>
        <v>46874</v>
      </c>
      <c r="E744" s="23" t="n">
        <f aca="false">IF(AND(C744&gt;=Assumptions!$C$25,C744&lt;=Staffing!$G$18,'Start Here'!$B$8=1),IF(C744&lt;=6,Staffing!$H$18,IF(C744&lt;=15,Staffing!$I$18,IF(C744&lt;=30,Staffing!$J$18,Staffing!$K$18))),0)</f>
        <v>0</v>
      </c>
      <c r="F744" s="10" t="n">
        <f aca="false">E744*Staffing!$L$18/12*(1+Assumptions!$C$10)^INT((C744-1)/12)*1</f>
        <v>0</v>
      </c>
      <c r="G744" s="10" t="n">
        <f aca="false">F744*Staffing!$N$18</f>
        <v>0</v>
      </c>
      <c r="H744" s="10" t="n">
        <f aca="false">F744+G744</f>
        <v>0</v>
      </c>
      <c r="I744" s="10" t="n">
        <f aca="false">0</f>
        <v>0</v>
      </c>
      <c r="J744" s="10" t="n">
        <f aca="false">MAX(0,E744-E743)*Staffing!$O$18</f>
        <v>0</v>
      </c>
      <c r="K744" s="10" t="n">
        <f aca="false">MAX(0,E744-E743)*Staffing!$P$18</f>
        <v>0</v>
      </c>
      <c r="L744" s="23" t="n">
        <f aca="false">ROUNDUP(E744,0)</f>
        <v>0</v>
      </c>
    </row>
    <row r="745" customFormat="false" ht="15" hidden="false" customHeight="false" outlineLevel="0" collapsed="false">
      <c r="A745" s="6" t="s">
        <v>72</v>
      </c>
      <c r="B745" s="6" t="s">
        <v>353</v>
      </c>
      <c r="C745" s="6" t="n">
        <v>20</v>
      </c>
      <c r="D745" s="25" t="n">
        <f aca="false">EDATE('Start Here'!$B$6,C745-1)</f>
        <v>46905</v>
      </c>
      <c r="E745" s="23" t="n">
        <f aca="false">IF(AND(C745&gt;=Assumptions!$C$25,C745&lt;=Staffing!$G$18,'Start Here'!$B$8=1),IF(C745&lt;=6,Staffing!$H$18,IF(C745&lt;=15,Staffing!$I$18,IF(C745&lt;=30,Staffing!$J$18,Staffing!$K$18))),0)</f>
        <v>0</v>
      </c>
      <c r="F745" s="10" t="n">
        <f aca="false">E745*Staffing!$L$18/12*(1+Assumptions!$C$10)^INT((C745-1)/12)*1</f>
        <v>0</v>
      </c>
      <c r="G745" s="10" t="n">
        <f aca="false">F745*Staffing!$N$18</f>
        <v>0</v>
      </c>
      <c r="H745" s="10" t="n">
        <f aca="false">F745+G745</f>
        <v>0</v>
      </c>
      <c r="I745" s="10" t="n">
        <f aca="false">0</f>
        <v>0</v>
      </c>
      <c r="J745" s="10" t="n">
        <f aca="false">MAX(0,E745-E744)*Staffing!$O$18</f>
        <v>0</v>
      </c>
      <c r="K745" s="10" t="n">
        <f aca="false">MAX(0,E745-E744)*Staffing!$P$18</f>
        <v>0</v>
      </c>
      <c r="L745" s="23" t="n">
        <f aca="false">ROUNDUP(E745,0)</f>
        <v>0</v>
      </c>
    </row>
    <row r="746" customFormat="false" ht="15" hidden="false" customHeight="false" outlineLevel="0" collapsed="false">
      <c r="A746" s="6" t="s">
        <v>72</v>
      </c>
      <c r="B746" s="6" t="s">
        <v>353</v>
      </c>
      <c r="C746" s="6" t="n">
        <v>21</v>
      </c>
      <c r="D746" s="25" t="n">
        <f aca="false">EDATE('Start Here'!$B$6,C746-1)</f>
        <v>46935</v>
      </c>
      <c r="E746" s="23" t="n">
        <f aca="false">IF(AND(C746&gt;=Assumptions!$C$25,C746&lt;=Staffing!$G$18,'Start Here'!$B$8=1),IF(C746&lt;=6,Staffing!$H$18,IF(C746&lt;=15,Staffing!$I$18,IF(C746&lt;=30,Staffing!$J$18,Staffing!$K$18))),0)</f>
        <v>0</v>
      </c>
      <c r="F746" s="10" t="n">
        <f aca="false">E746*Staffing!$L$18/12*(1+Assumptions!$C$10)^INT((C746-1)/12)*1</f>
        <v>0</v>
      </c>
      <c r="G746" s="10" t="n">
        <f aca="false">F746*Staffing!$N$18</f>
        <v>0</v>
      </c>
      <c r="H746" s="10" t="n">
        <f aca="false">F746+G746</f>
        <v>0</v>
      </c>
      <c r="I746" s="10" t="n">
        <f aca="false">0</f>
        <v>0</v>
      </c>
      <c r="J746" s="10" t="n">
        <f aca="false">MAX(0,E746-E745)*Staffing!$O$18</f>
        <v>0</v>
      </c>
      <c r="K746" s="10" t="n">
        <f aca="false">MAX(0,E746-E745)*Staffing!$P$18</f>
        <v>0</v>
      </c>
      <c r="L746" s="23" t="n">
        <f aca="false">ROUNDUP(E746,0)</f>
        <v>0</v>
      </c>
    </row>
    <row r="747" customFormat="false" ht="15" hidden="false" customHeight="false" outlineLevel="0" collapsed="false">
      <c r="A747" s="6" t="s">
        <v>72</v>
      </c>
      <c r="B747" s="6" t="s">
        <v>353</v>
      </c>
      <c r="C747" s="6" t="n">
        <v>22</v>
      </c>
      <c r="D747" s="25" t="n">
        <f aca="false">EDATE('Start Here'!$B$6,C747-1)</f>
        <v>46966</v>
      </c>
      <c r="E747" s="23" t="n">
        <f aca="false">IF(AND(C747&gt;=Assumptions!$C$25,C747&lt;=Staffing!$G$18,'Start Here'!$B$8=1),IF(C747&lt;=6,Staffing!$H$18,IF(C747&lt;=15,Staffing!$I$18,IF(C747&lt;=30,Staffing!$J$18,Staffing!$K$18))),0)</f>
        <v>0</v>
      </c>
      <c r="F747" s="10" t="n">
        <f aca="false">E747*Staffing!$L$18/12*(1+Assumptions!$C$10)^INT((C747-1)/12)*1</f>
        <v>0</v>
      </c>
      <c r="G747" s="10" t="n">
        <f aca="false">F747*Staffing!$N$18</f>
        <v>0</v>
      </c>
      <c r="H747" s="10" t="n">
        <f aca="false">F747+G747</f>
        <v>0</v>
      </c>
      <c r="I747" s="10" t="n">
        <f aca="false">0</f>
        <v>0</v>
      </c>
      <c r="J747" s="10" t="n">
        <f aca="false">MAX(0,E747-E746)*Staffing!$O$18</f>
        <v>0</v>
      </c>
      <c r="K747" s="10" t="n">
        <f aca="false">MAX(0,E747-E746)*Staffing!$P$18</f>
        <v>0</v>
      </c>
      <c r="L747" s="23" t="n">
        <f aca="false">ROUNDUP(E747,0)</f>
        <v>0</v>
      </c>
    </row>
    <row r="748" customFormat="false" ht="15" hidden="false" customHeight="false" outlineLevel="0" collapsed="false">
      <c r="A748" s="6" t="s">
        <v>72</v>
      </c>
      <c r="B748" s="6" t="s">
        <v>353</v>
      </c>
      <c r="C748" s="6" t="n">
        <v>23</v>
      </c>
      <c r="D748" s="25" t="n">
        <f aca="false">EDATE('Start Here'!$B$6,C748-1)</f>
        <v>46997</v>
      </c>
      <c r="E748" s="23" t="n">
        <f aca="false">IF(AND(C748&gt;=Assumptions!$C$25,C748&lt;=Staffing!$G$18,'Start Here'!$B$8=1),IF(C748&lt;=6,Staffing!$H$18,IF(C748&lt;=15,Staffing!$I$18,IF(C748&lt;=30,Staffing!$J$18,Staffing!$K$18))),0)</f>
        <v>0</v>
      </c>
      <c r="F748" s="10" t="n">
        <f aca="false">E748*Staffing!$L$18/12*(1+Assumptions!$C$10)^INT((C748-1)/12)*1</f>
        <v>0</v>
      </c>
      <c r="G748" s="10" t="n">
        <f aca="false">F748*Staffing!$N$18</f>
        <v>0</v>
      </c>
      <c r="H748" s="10" t="n">
        <f aca="false">F748+G748</f>
        <v>0</v>
      </c>
      <c r="I748" s="10" t="n">
        <f aca="false">0</f>
        <v>0</v>
      </c>
      <c r="J748" s="10" t="n">
        <f aca="false">MAX(0,E748-E747)*Staffing!$O$18</f>
        <v>0</v>
      </c>
      <c r="K748" s="10" t="n">
        <f aca="false">MAX(0,E748-E747)*Staffing!$P$18</f>
        <v>0</v>
      </c>
      <c r="L748" s="23" t="n">
        <f aca="false">ROUNDUP(E748,0)</f>
        <v>0</v>
      </c>
    </row>
    <row r="749" customFormat="false" ht="15" hidden="false" customHeight="false" outlineLevel="0" collapsed="false">
      <c r="A749" s="6" t="s">
        <v>72</v>
      </c>
      <c r="B749" s="6" t="s">
        <v>353</v>
      </c>
      <c r="C749" s="6" t="n">
        <v>24</v>
      </c>
      <c r="D749" s="25" t="n">
        <f aca="false">EDATE('Start Here'!$B$6,C749-1)</f>
        <v>47027</v>
      </c>
      <c r="E749" s="23" t="n">
        <f aca="false">IF(AND(C749&gt;=Assumptions!$C$25,C749&lt;=Staffing!$G$18,'Start Here'!$B$8=1),IF(C749&lt;=6,Staffing!$H$18,IF(C749&lt;=15,Staffing!$I$18,IF(C749&lt;=30,Staffing!$J$18,Staffing!$K$18))),0)</f>
        <v>0</v>
      </c>
      <c r="F749" s="10" t="n">
        <f aca="false">E749*Staffing!$L$18/12*(1+Assumptions!$C$10)^INT((C749-1)/12)*1</f>
        <v>0</v>
      </c>
      <c r="G749" s="10" t="n">
        <f aca="false">F749*Staffing!$N$18</f>
        <v>0</v>
      </c>
      <c r="H749" s="10" t="n">
        <f aca="false">F749+G749</f>
        <v>0</v>
      </c>
      <c r="I749" s="10" t="n">
        <f aca="false">0</f>
        <v>0</v>
      </c>
      <c r="J749" s="10" t="n">
        <f aca="false">MAX(0,E749-E748)*Staffing!$O$18</f>
        <v>0</v>
      </c>
      <c r="K749" s="10" t="n">
        <f aca="false">MAX(0,E749-E748)*Staffing!$P$18</f>
        <v>0</v>
      </c>
      <c r="L749" s="23" t="n">
        <f aca="false">ROUNDUP(E749,0)</f>
        <v>0</v>
      </c>
    </row>
    <row r="750" customFormat="false" ht="15" hidden="false" customHeight="false" outlineLevel="0" collapsed="false">
      <c r="A750" s="6" t="s">
        <v>72</v>
      </c>
      <c r="B750" s="6" t="s">
        <v>353</v>
      </c>
      <c r="C750" s="6" t="n">
        <v>25</v>
      </c>
      <c r="D750" s="25" t="n">
        <f aca="false">EDATE('Start Here'!$B$6,C750-1)</f>
        <v>47058</v>
      </c>
      <c r="E750" s="23" t="n">
        <f aca="false">IF(AND(C750&gt;=Assumptions!$C$25,C750&lt;=Staffing!$G$18,'Start Here'!$B$8=1),IF(C750&lt;=6,Staffing!$H$18,IF(C750&lt;=15,Staffing!$I$18,IF(C750&lt;=30,Staffing!$J$18,Staffing!$K$18))),0)</f>
        <v>0</v>
      </c>
      <c r="F750" s="10" t="n">
        <f aca="false">E750*Staffing!$L$18/12*(1+Assumptions!$C$10)^INT((C750-1)/12)*1</f>
        <v>0</v>
      </c>
      <c r="G750" s="10" t="n">
        <f aca="false">F750*Staffing!$N$18</f>
        <v>0</v>
      </c>
      <c r="H750" s="10" t="n">
        <f aca="false">F750+G750</f>
        <v>0</v>
      </c>
      <c r="I750" s="10" t="n">
        <f aca="false">0</f>
        <v>0</v>
      </c>
      <c r="J750" s="10" t="n">
        <f aca="false">MAX(0,E750-E749)*Staffing!$O$18</f>
        <v>0</v>
      </c>
      <c r="K750" s="10" t="n">
        <f aca="false">MAX(0,E750-E749)*Staffing!$P$18</f>
        <v>0</v>
      </c>
      <c r="L750" s="23" t="n">
        <f aca="false">ROUNDUP(E750,0)</f>
        <v>0</v>
      </c>
    </row>
    <row r="751" customFormat="false" ht="15" hidden="false" customHeight="false" outlineLevel="0" collapsed="false">
      <c r="A751" s="6" t="s">
        <v>72</v>
      </c>
      <c r="B751" s="6" t="s">
        <v>353</v>
      </c>
      <c r="C751" s="6" t="n">
        <v>26</v>
      </c>
      <c r="D751" s="25" t="n">
        <f aca="false">EDATE('Start Here'!$B$6,C751-1)</f>
        <v>47088</v>
      </c>
      <c r="E751" s="23" t="n">
        <f aca="false">IF(AND(C751&gt;=Assumptions!$C$25,C751&lt;=Staffing!$G$18,'Start Here'!$B$8=1),IF(C751&lt;=6,Staffing!$H$18,IF(C751&lt;=15,Staffing!$I$18,IF(C751&lt;=30,Staffing!$J$18,Staffing!$K$18))),0)</f>
        <v>0</v>
      </c>
      <c r="F751" s="10" t="n">
        <f aca="false">E751*Staffing!$L$18/12*(1+Assumptions!$C$10)^INT((C751-1)/12)*1</f>
        <v>0</v>
      </c>
      <c r="G751" s="10" t="n">
        <f aca="false">F751*Staffing!$N$18</f>
        <v>0</v>
      </c>
      <c r="H751" s="10" t="n">
        <f aca="false">F751+G751</f>
        <v>0</v>
      </c>
      <c r="I751" s="10" t="n">
        <f aca="false">0</f>
        <v>0</v>
      </c>
      <c r="J751" s="10" t="n">
        <f aca="false">MAX(0,E751-E750)*Staffing!$O$18</f>
        <v>0</v>
      </c>
      <c r="K751" s="10" t="n">
        <f aca="false">MAX(0,E751-E750)*Staffing!$P$18</f>
        <v>0</v>
      </c>
      <c r="L751" s="23" t="n">
        <f aca="false">ROUNDUP(E751,0)</f>
        <v>0</v>
      </c>
    </row>
    <row r="752" customFormat="false" ht="15" hidden="false" customHeight="false" outlineLevel="0" collapsed="false">
      <c r="A752" s="6" t="s">
        <v>72</v>
      </c>
      <c r="B752" s="6" t="s">
        <v>353</v>
      </c>
      <c r="C752" s="6" t="n">
        <v>27</v>
      </c>
      <c r="D752" s="25" t="n">
        <f aca="false">EDATE('Start Here'!$B$6,C752-1)</f>
        <v>47119</v>
      </c>
      <c r="E752" s="23" t="n">
        <f aca="false">IF(AND(C752&gt;=Assumptions!$C$25,C752&lt;=Staffing!$G$18,'Start Here'!$B$8=1),IF(C752&lt;=6,Staffing!$H$18,IF(C752&lt;=15,Staffing!$I$18,IF(C752&lt;=30,Staffing!$J$18,Staffing!$K$18))),0)</f>
        <v>0</v>
      </c>
      <c r="F752" s="10" t="n">
        <f aca="false">E752*Staffing!$L$18/12*(1+Assumptions!$C$10)^INT((C752-1)/12)*1</f>
        <v>0</v>
      </c>
      <c r="G752" s="10" t="n">
        <f aca="false">F752*Staffing!$N$18</f>
        <v>0</v>
      </c>
      <c r="H752" s="10" t="n">
        <f aca="false">F752+G752</f>
        <v>0</v>
      </c>
      <c r="I752" s="10" t="n">
        <f aca="false">0</f>
        <v>0</v>
      </c>
      <c r="J752" s="10" t="n">
        <f aca="false">MAX(0,E752-E751)*Staffing!$O$18</f>
        <v>0</v>
      </c>
      <c r="K752" s="10" t="n">
        <f aca="false">MAX(0,E752-E751)*Staffing!$P$18</f>
        <v>0</v>
      </c>
      <c r="L752" s="23" t="n">
        <f aca="false">ROUNDUP(E752,0)</f>
        <v>0</v>
      </c>
    </row>
    <row r="753" customFormat="false" ht="15" hidden="false" customHeight="false" outlineLevel="0" collapsed="false">
      <c r="A753" s="6" t="s">
        <v>72</v>
      </c>
      <c r="B753" s="6" t="s">
        <v>353</v>
      </c>
      <c r="C753" s="6" t="n">
        <v>28</v>
      </c>
      <c r="D753" s="25" t="n">
        <f aca="false">EDATE('Start Here'!$B$6,C753-1)</f>
        <v>47150</v>
      </c>
      <c r="E753" s="23" t="n">
        <f aca="false">IF(AND(C753&gt;=Assumptions!$C$25,C753&lt;=Staffing!$G$18,'Start Here'!$B$8=1),IF(C753&lt;=6,Staffing!$H$18,IF(C753&lt;=15,Staffing!$I$18,IF(C753&lt;=30,Staffing!$J$18,Staffing!$K$18))),0)</f>
        <v>0</v>
      </c>
      <c r="F753" s="10" t="n">
        <f aca="false">E753*Staffing!$L$18/12*(1+Assumptions!$C$10)^INT((C753-1)/12)*1</f>
        <v>0</v>
      </c>
      <c r="G753" s="10" t="n">
        <f aca="false">F753*Staffing!$N$18</f>
        <v>0</v>
      </c>
      <c r="H753" s="10" t="n">
        <f aca="false">F753+G753</f>
        <v>0</v>
      </c>
      <c r="I753" s="10" t="n">
        <f aca="false">0</f>
        <v>0</v>
      </c>
      <c r="J753" s="10" t="n">
        <f aca="false">MAX(0,E753-E752)*Staffing!$O$18</f>
        <v>0</v>
      </c>
      <c r="K753" s="10" t="n">
        <f aca="false">MAX(0,E753-E752)*Staffing!$P$18</f>
        <v>0</v>
      </c>
      <c r="L753" s="23" t="n">
        <f aca="false">ROUNDUP(E753,0)</f>
        <v>0</v>
      </c>
    </row>
    <row r="754" customFormat="false" ht="15" hidden="false" customHeight="false" outlineLevel="0" collapsed="false">
      <c r="A754" s="6" t="s">
        <v>72</v>
      </c>
      <c r="B754" s="6" t="s">
        <v>353</v>
      </c>
      <c r="C754" s="6" t="n">
        <v>29</v>
      </c>
      <c r="D754" s="25" t="n">
        <f aca="false">EDATE('Start Here'!$B$6,C754-1)</f>
        <v>47178</v>
      </c>
      <c r="E754" s="23" t="n">
        <f aca="false">IF(AND(C754&gt;=Assumptions!$C$25,C754&lt;=Staffing!$G$18,'Start Here'!$B$8=1),IF(C754&lt;=6,Staffing!$H$18,IF(C754&lt;=15,Staffing!$I$18,IF(C754&lt;=30,Staffing!$J$18,Staffing!$K$18))),0)</f>
        <v>0</v>
      </c>
      <c r="F754" s="10" t="n">
        <f aca="false">E754*Staffing!$L$18/12*(1+Assumptions!$C$10)^INT((C754-1)/12)*1</f>
        <v>0</v>
      </c>
      <c r="G754" s="10" t="n">
        <f aca="false">F754*Staffing!$N$18</f>
        <v>0</v>
      </c>
      <c r="H754" s="10" t="n">
        <f aca="false">F754+G754</f>
        <v>0</v>
      </c>
      <c r="I754" s="10" t="n">
        <f aca="false">0</f>
        <v>0</v>
      </c>
      <c r="J754" s="10" t="n">
        <f aca="false">MAX(0,E754-E753)*Staffing!$O$18</f>
        <v>0</v>
      </c>
      <c r="K754" s="10" t="n">
        <f aca="false">MAX(0,E754-E753)*Staffing!$P$18</f>
        <v>0</v>
      </c>
      <c r="L754" s="23" t="n">
        <f aca="false">ROUNDUP(E754,0)</f>
        <v>0</v>
      </c>
    </row>
    <row r="755" customFormat="false" ht="15" hidden="false" customHeight="false" outlineLevel="0" collapsed="false">
      <c r="A755" s="6" t="s">
        <v>72</v>
      </c>
      <c r="B755" s="6" t="s">
        <v>353</v>
      </c>
      <c r="C755" s="6" t="n">
        <v>30</v>
      </c>
      <c r="D755" s="25" t="n">
        <f aca="false">EDATE('Start Here'!$B$6,C755-1)</f>
        <v>47209</v>
      </c>
      <c r="E755" s="23" t="n">
        <f aca="false">IF(AND(C755&gt;=Assumptions!$C$25,C755&lt;=Staffing!$G$18,'Start Here'!$B$8=1),IF(C755&lt;=6,Staffing!$H$18,IF(C755&lt;=15,Staffing!$I$18,IF(C755&lt;=30,Staffing!$J$18,Staffing!$K$18))),0)</f>
        <v>0</v>
      </c>
      <c r="F755" s="10" t="n">
        <f aca="false">E755*Staffing!$L$18/12*(1+Assumptions!$C$10)^INT((C755-1)/12)*1</f>
        <v>0</v>
      </c>
      <c r="G755" s="10" t="n">
        <f aca="false">F755*Staffing!$N$18</f>
        <v>0</v>
      </c>
      <c r="H755" s="10" t="n">
        <f aca="false">F755+G755</f>
        <v>0</v>
      </c>
      <c r="I755" s="10" t="n">
        <f aca="false">0</f>
        <v>0</v>
      </c>
      <c r="J755" s="10" t="n">
        <f aca="false">MAX(0,E755-E754)*Staffing!$O$18</f>
        <v>0</v>
      </c>
      <c r="K755" s="10" t="n">
        <f aca="false">MAX(0,E755-E754)*Staffing!$P$18</f>
        <v>0</v>
      </c>
      <c r="L755" s="23" t="n">
        <f aca="false">ROUNDUP(E755,0)</f>
        <v>0</v>
      </c>
    </row>
    <row r="756" customFormat="false" ht="15" hidden="false" customHeight="false" outlineLevel="0" collapsed="false">
      <c r="A756" s="6" t="s">
        <v>72</v>
      </c>
      <c r="B756" s="6" t="s">
        <v>353</v>
      </c>
      <c r="C756" s="6" t="n">
        <v>31</v>
      </c>
      <c r="D756" s="25" t="n">
        <f aca="false">EDATE('Start Here'!$B$6,C756-1)</f>
        <v>47239</v>
      </c>
      <c r="E756" s="23" t="n">
        <f aca="false">IF(AND(C756&gt;=Assumptions!$C$25,C756&lt;=Staffing!$G$18,'Start Here'!$B$8=1),IF(C756&lt;=6,Staffing!$H$18,IF(C756&lt;=15,Staffing!$I$18,IF(C756&lt;=30,Staffing!$J$18,Staffing!$K$18))),0)</f>
        <v>0</v>
      </c>
      <c r="F756" s="10" t="n">
        <f aca="false">E756*Staffing!$L$18/12*(1+Assumptions!$C$10)^INT((C756-1)/12)*1</f>
        <v>0</v>
      </c>
      <c r="G756" s="10" t="n">
        <f aca="false">F756*Staffing!$N$18</f>
        <v>0</v>
      </c>
      <c r="H756" s="10" t="n">
        <f aca="false">F756+G756</f>
        <v>0</v>
      </c>
      <c r="I756" s="10" t="n">
        <f aca="false">0</f>
        <v>0</v>
      </c>
      <c r="J756" s="10" t="n">
        <f aca="false">MAX(0,E756-E755)*Staffing!$O$18</f>
        <v>0</v>
      </c>
      <c r="K756" s="10" t="n">
        <f aca="false">MAX(0,E756-E755)*Staffing!$P$18</f>
        <v>0</v>
      </c>
      <c r="L756" s="23" t="n">
        <f aca="false">ROUNDUP(E756,0)</f>
        <v>0</v>
      </c>
    </row>
    <row r="757" customFormat="false" ht="15" hidden="false" customHeight="false" outlineLevel="0" collapsed="false">
      <c r="A757" s="6" t="s">
        <v>72</v>
      </c>
      <c r="B757" s="6" t="s">
        <v>353</v>
      </c>
      <c r="C757" s="6" t="n">
        <v>32</v>
      </c>
      <c r="D757" s="25" t="n">
        <f aca="false">EDATE('Start Here'!$B$6,C757-1)</f>
        <v>47270</v>
      </c>
      <c r="E757" s="23" t="n">
        <f aca="false">IF(AND(C757&gt;=Assumptions!$C$25,C757&lt;=Staffing!$G$18,'Start Here'!$B$8=1),IF(C757&lt;=6,Staffing!$H$18,IF(C757&lt;=15,Staffing!$I$18,IF(C757&lt;=30,Staffing!$J$18,Staffing!$K$18))),0)</f>
        <v>0</v>
      </c>
      <c r="F757" s="10" t="n">
        <f aca="false">E757*Staffing!$L$18/12*(1+Assumptions!$C$10)^INT((C757-1)/12)*1</f>
        <v>0</v>
      </c>
      <c r="G757" s="10" t="n">
        <f aca="false">F757*Staffing!$N$18</f>
        <v>0</v>
      </c>
      <c r="H757" s="10" t="n">
        <f aca="false">F757+G757</f>
        <v>0</v>
      </c>
      <c r="I757" s="10" t="n">
        <f aca="false">0</f>
        <v>0</v>
      </c>
      <c r="J757" s="10" t="n">
        <f aca="false">MAX(0,E757-E756)*Staffing!$O$18</f>
        <v>0</v>
      </c>
      <c r="K757" s="10" t="n">
        <f aca="false">MAX(0,E757-E756)*Staffing!$P$18</f>
        <v>0</v>
      </c>
      <c r="L757" s="23" t="n">
        <f aca="false">ROUNDUP(E757,0)</f>
        <v>0</v>
      </c>
    </row>
    <row r="758" customFormat="false" ht="15" hidden="false" customHeight="false" outlineLevel="0" collapsed="false">
      <c r="A758" s="6" t="s">
        <v>72</v>
      </c>
      <c r="B758" s="6" t="s">
        <v>353</v>
      </c>
      <c r="C758" s="6" t="n">
        <v>33</v>
      </c>
      <c r="D758" s="25" t="n">
        <f aca="false">EDATE('Start Here'!$B$6,C758-1)</f>
        <v>47300</v>
      </c>
      <c r="E758" s="23" t="n">
        <f aca="false">IF(AND(C758&gt;=Assumptions!$C$25,C758&lt;=Staffing!$G$18,'Start Here'!$B$8=1),IF(C758&lt;=6,Staffing!$H$18,IF(C758&lt;=15,Staffing!$I$18,IF(C758&lt;=30,Staffing!$J$18,Staffing!$K$18))),0)</f>
        <v>0</v>
      </c>
      <c r="F758" s="10" t="n">
        <f aca="false">E758*Staffing!$L$18/12*(1+Assumptions!$C$10)^INT((C758-1)/12)*1</f>
        <v>0</v>
      </c>
      <c r="G758" s="10" t="n">
        <f aca="false">F758*Staffing!$N$18</f>
        <v>0</v>
      </c>
      <c r="H758" s="10" t="n">
        <f aca="false">F758+G758</f>
        <v>0</v>
      </c>
      <c r="I758" s="10" t="n">
        <f aca="false">0</f>
        <v>0</v>
      </c>
      <c r="J758" s="10" t="n">
        <f aca="false">MAX(0,E758-E757)*Staffing!$O$18</f>
        <v>0</v>
      </c>
      <c r="K758" s="10" t="n">
        <f aca="false">MAX(0,E758-E757)*Staffing!$P$18</f>
        <v>0</v>
      </c>
      <c r="L758" s="23" t="n">
        <f aca="false">ROUNDUP(E758,0)</f>
        <v>0</v>
      </c>
    </row>
    <row r="759" customFormat="false" ht="15" hidden="false" customHeight="false" outlineLevel="0" collapsed="false">
      <c r="A759" s="6" t="s">
        <v>72</v>
      </c>
      <c r="B759" s="6" t="s">
        <v>353</v>
      </c>
      <c r="C759" s="6" t="n">
        <v>34</v>
      </c>
      <c r="D759" s="25" t="n">
        <f aca="false">EDATE('Start Here'!$B$6,C759-1)</f>
        <v>47331</v>
      </c>
      <c r="E759" s="23" t="n">
        <f aca="false">IF(AND(C759&gt;=Assumptions!$C$25,C759&lt;=Staffing!$G$18,'Start Here'!$B$8=1),IF(C759&lt;=6,Staffing!$H$18,IF(C759&lt;=15,Staffing!$I$18,IF(C759&lt;=30,Staffing!$J$18,Staffing!$K$18))),0)</f>
        <v>0</v>
      </c>
      <c r="F759" s="10" t="n">
        <f aca="false">E759*Staffing!$L$18/12*(1+Assumptions!$C$10)^INT((C759-1)/12)*1</f>
        <v>0</v>
      </c>
      <c r="G759" s="10" t="n">
        <f aca="false">F759*Staffing!$N$18</f>
        <v>0</v>
      </c>
      <c r="H759" s="10" t="n">
        <f aca="false">F759+G759</f>
        <v>0</v>
      </c>
      <c r="I759" s="10" t="n">
        <f aca="false">0</f>
        <v>0</v>
      </c>
      <c r="J759" s="10" t="n">
        <f aca="false">MAX(0,E759-E758)*Staffing!$O$18</f>
        <v>0</v>
      </c>
      <c r="K759" s="10" t="n">
        <f aca="false">MAX(0,E759-E758)*Staffing!$P$18</f>
        <v>0</v>
      </c>
      <c r="L759" s="23" t="n">
        <f aca="false">ROUNDUP(E759,0)</f>
        <v>0</v>
      </c>
    </row>
    <row r="760" customFormat="false" ht="15" hidden="false" customHeight="false" outlineLevel="0" collapsed="false">
      <c r="A760" s="6" t="s">
        <v>72</v>
      </c>
      <c r="B760" s="6" t="s">
        <v>353</v>
      </c>
      <c r="C760" s="6" t="n">
        <v>35</v>
      </c>
      <c r="D760" s="25" t="n">
        <f aca="false">EDATE('Start Here'!$B$6,C760-1)</f>
        <v>47362</v>
      </c>
      <c r="E760" s="23" t="n">
        <f aca="false">IF(AND(C760&gt;=Assumptions!$C$25,C760&lt;=Staffing!$G$18,'Start Here'!$B$8=1),IF(C760&lt;=6,Staffing!$H$18,IF(C760&lt;=15,Staffing!$I$18,IF(C760&lt;=30,Staffing!$J$18,Staffing!$K$18))),0)</f>
        <v>0</v>
      </c>
      <c r="F760" s="10" t="n">
        <f aca="false">E760*Staffing!$L$18/12*(1+Assumptions!$C$10)^INT((C760-1)/12)*1</f>
        <v>0</v>
      </c>
      <c r="G760" s="10" t="n">
        <f aca="false">F760*Staffing!$N$18</f>
        <v>0</v>
      </c>
      <c r="H760" s="10" t="n">
        <f aca="false">F760+G760</f>
        <v>0</v>
      </c>
      <c r="I760" s="10" t="n">
        <f aca="false">0</f>
        <v>0</v>
      </c>
      <c r="J760" s="10" t="n">
        <f aca="false">MAX(0,E760-E759)*Staffing!$O$18</f>
        <v>0</v>
      </c>
      <c r="K760" s="10" t="n">
        <f aca="false">MAX(0,E760-E759)*Staffing!$P$18</f>
        <v>0</v>
      </c>
      <c r="L760" s="23" t="n">
        <f aca="false">ROUNDUP(E760,0)</f>
        <v>0</v>
      </c>
    </row>
    <row r="761" customFormat="false" ht="15" hidden="false" customHeight="false" outlineLevel="0" collapsed="false">
      <c r="A761" s="6" t="s">
        <v>72</v>
      </c>
      <c r="B761" s="6" t="s">
        <v>353</v>
      </c>
      <c r="C761" s="6" t="n">
        <v>36</v>
      </c>
      <c r="D761" s="25" t="n">
        <f aca="false">EDATE('Start Here'!$B$6,C761-1)</f>
        <v>47392</v>
      </c>
      <c r="E761" s="23" t="n">
        <f aca="false">IF(AND(C761&gt;=Assumptions!$C$25,C761&lt;=Staffing!$G$18,'Start Here'!$B$8=1),IF(C761&lt;=6,Staffing!$H$18,IF(C761&lt;=15,Staffing!$I$18,IF(C761&lt;=30,Staffing!$J$18,Staffing!$K$18))),0)</f>
        <v>0</v>
      </c>
      <c r="F761" s="10" t="n">
        <f aca="false">E761*Staffing!$L$18/12*(1+Assumptions!$C$10)^INT((C761-1)/12)*1</f>
        <v>0</v>
      </c>
      <c r="G761" s="10" t="n">
        <f aca="false">F761*Staffing!$N$18</f>
        <v>0</v>
      </c>
      <c r="H761" s="10" t="n">
        <f aca="false">F761+G761</f>
        <v>0</v>
      </c>
      <c r="I761" s="10" t="n">
        <f aca="false">0</f>
        <v>0</v>
      </c>
      <c r="J761" s="10" t="n">
        <f aca="false">MAX(0,E761-E760)*Staffing!$O$18</f>
        <v>0</v>
      </c>
      <c r="K761" s="10" t="n">
        <f aca="false">MAX(0,E761-E760)*Staffing!$P$18</f>
        <v>0</v>
      </c>
      <c r="L761" s="23" t="n">
        <f aca="false">ROUNDUP(E761,0)</f>
        <v>0</v>
      </c>
    </row>
    <row r="762" customFormat="false" ht="15" hidden="false" customHeight="false" outlineLevel="0" collapsed="false">
      <c r="A762" s="6" t="s">
        <v>72</v>
      </c>
      <c r="B762" s="6" t="s">
        <v>353</v>
      </c>
      <c r="C762" s="6" t="n">
        <v>37</v>
      </c>
      <c r="D762" s="25" t="n">
        <f aca="false">EDATE('Start Here'!$B$6,C762-1)</f>
        <v>47423</v>
      </c>
      <c r="E762" s="23" t="n">
        <f aca="false">IF(AND(C762&gt;=Assumptions!$C$25,C762&lt;=Staffing!$G$18,'Start Here'!$B$8=1),IF(C762&lt;=6,Staffing!$H$18,IF(C762&lt;=15,Staffing!$I$18,IF(C762&lt;=30,Staffing!$J$18,Staffing!$K$18))),0)</f>
        <v>0</v>
      </c>
      <c r="F762" s="10" t="n">
        <f aca="false">E762*Staffing!$L$18/12*(1+Assumptions!$C$10)^INT((C762-1)/12)*1</f>
        <v>0</v>
      </c>
      <c r="G762" s="10" t="n">
        <f aca="false">F762*Staffing!$N$18</f>
        <v>0</v>
      </c>
      <c r="H762" s="10" t="n">
        <f aca="false">F762+G762</f>
        <v>0</v>
      </c>
      <c r="I762" s="10" t="n">
        <f aca="false">0</f>
        <v>0</v>
      </c>
      <c r="J762" s="10" t="n">
        <f aca="false">MAX(0,E762-E761)*Staffing!$O$18</f>
        <v>0</v>
      </c>
      <c r="K762" s="10" t="n">
        <f aca="false">MAX(0,E762-E761)*Staffing!$P$18</f>
        <v>0</v>
      </c>
      <c r="L762" s="23" t="n">
        <f aca="false">ROUNDUP(E762,0)</f>
        <v>0</v>
      </c>
    </row>
    <row r="763" customFormat="false" ht="15" hidden="false" customHeight="false" outlineLevel="0" collapsed="false">
      <c r="A763" s="6" t="s">
        <v>72</v>
      </c>
      <c r="B763" s="6" t="s">
        <v>353</v>
      </c>
      <c r="C763" s="6" t="n">
        <v>38</v>
      </c>
      <c r="D763" s="25" t="n">
        <f aca="false">EDATE('Start Here'!$B$6,C763-1)</f>
        <v>47453</v>
      </c>
      <c r="E763" s="23" t="n">
        <f aca="false">IF(AND(C763&gt;=Assumptions!$C$25,C763&lt;=Staffing!$G$18,'Start Here'!$B$8=1),IF(C763&lt;=6,Staffing!$H$18,IF(C763&lt;=15,Staffing!$I$18,IF(C763&lt;=30,Staffing!$J$18,Staffing!$K$18))),0)</f>
        <v>0</v>
      </c>
      <c r="F763" s="10" t="n">
        <f aca="false">E763*Staffing!$L$18/12*(1+Assumptions!$C$10)^INT((C763-1)/12)*1</f>
        <v>0</v>
      </c>
      <c r="G763" s="10" t="n">
        <f aca="false">F763*Staffing!$N$18</f>
        <v>0</v>
      </c>
      <c r="H763" s="10" t="n">
        <f aca="false">F763+G763</f>
        <v>0</v>
      </c>
      <c r="I763" s="10" t="n">
        <f aca="false">0</f>
        <v>0</v>
      </c>
      <c r="J763" s="10" t="n">
        <f aca="false">MAX(0,E763-E762)*Staffing!$O$18</f>
        <v>0</v>
      </c>
      <c r="K763" s="10" t="n">
        <f aca="false">MAX(0,E763-E762)*Staffing!$P$18</f>
        <v>0</v>
      </c>
      <c r="L763" s="23" t="n">
        <f aca="false">ROUNDUP(E763,0)</f>
        <v>0</v>
      </c>
    </row>
    <row r="764" customFormat="false" ht="15" hidden="false" customHeight="false" outlineLevel="0" collapsed="false">
      <c r="A764" s="6" t="s">
        <v>72</v>
      </c>
      <c r="B764" s="6" t="s">
        <v>353</v>
      </c>
      <c r="C764" s="6" t="n">
        <v>39</v>
      </c>
      <c r="D764" s="25" t="n">
        <f aca="false">EDATE('Start Here'!$B$6,C764-1)</f>
        <v>47484</v>
      </c>
      <c r="E764" s="23" t="n">
        <f aca="false">IF(AND(C764&gt;=Assumptions!$C$25,C764&lt;=Staffing!$G$18,'Start Here'!$B$8=1),IF(C764&lt;=6,Staffing!$H$18,IF(C764&lt;=15,Staffing!$I$18,IF(C764&lt;=30,Staffing!$J$18,Staffing!$K$18))),0)</f>
        <v>0</v>
      </c>
      <c r="F764" s="10" t="n">
        <f aca="false">E764*Staffing!$L$18/12*(1+Assumptions!$C$10)^INT((C764-1)/12)*1</f>
        <v>0</v>
      </c>
      <c r="G764" s="10" t="n">
        <f aca="false">F764*Staffing!$N$18</f>
        <v>0</v>
      </c>
      <c r="H764" s="10" t="n">
        <f aca="false">F764+G764</f>
        <v>0</v>
      </c>
      <c r="I764" s="10" t="n">
        <f aca="false">0</f>
        <v>0</v>
      </c>
      <c r="J764" s="10" t="n">
        <f aca="false">MAX(0,E764-E763)*Staffing!$O$18</f>
        <v>0</v>
      </c>
      <c r="K764" s="10" t="n">
        <f aca="false">MAX(0,E764-E763)*Staffing!$P$18</f>
        <v>0</v>
      </c>
      <c r="L764" s="23" t="n">
        <f aca="false">ROUNDUP(E764,0)</f>
        <v>0</v>
      </c>
    </row>
    <row r="765" customFormat="false" ht="15" hidden="false" customHeight="false" outlineLevel="0" collapsed="false">
      <c r="A765" s="6" t="s">
        <v>72</v>
      </c>
      <c r="B765" s="6" t="s">
        <v>353</v>
      </c>
      <c r="C765" s="6" t="n">
        <v>40</v>
      </c>
      <c r="D765" s="25" t="n">
        <f aca="false">EDATE('Start Here'!$B$6,C765-1)</f>
        <v>47515</v>
      </c>
      <c r="E765" s="23" t="n">
        <f aca="false">IF(AND(C765&gt;=Assumptions!$C$25,C765&lt;=Staffing!$G$18,'Start Here'!$B$8=1),IF(C765&lt;=6,Staffing!$H$18,IF(C765&lt;=15,Staffing!$I$18,IF(C765&lt;=30,Staffing!$J$18,Staffing!$K$18))),0)</f>
        <v>0</v>
      </c>
      <c r="F765" s="10" t="n">
        <f aca="false">E765*Staffing!$L$18/12*(1+Assumptions!$C$10)^INT((C765-1)/12)*1</f>
        <v>0</v>
      </c>
      <c r="G765" s="10" t="n">
        <f aca="false">F765*Staffing!$N$18</f>
        <v>0</v>
      </c>
      <c r="H765" s="10" t="n">
        <f aca="false">F765+G765</f>
        <v>0</v>
      </c>
      <c r="I765" s="10" t="n">
        <f aca="false">0</f>
        <v>0</v>
      </c>
      <c r="J765" s="10" t="n">
        <f aca="false">MAX(0,E765-E764)*Staffing!$O$18</f>
        <v>0</v>
      </c>
      <c r="K765" s="10" t="n">
        <f aca="false">MAX(0,E765-E764)*Staffing!$P$18</f>
        <v>0</v>
      </c>
      <c r="L765" s="23" t="n">
        <f aca="false">ROUNDUP(E765,0)</f>
        <v>0</v>
      </c>
    </row>
    <row r="766" customFormat="false" ht="15" hidden="false" customHeight="false" outlineLevel="0" collapsed="false">
      <c r="A766" s="6" t="s">
        <v>72</v>
      </c>
      <c r="B766" s="6" t="s">
        <v>353</v>
      </c>
      <c r="C766" s="6" t="n">
        <v>41</v>
      </c>
      <c r="D766" s="25" t="n">
        <f aca="false">EDATE('Start Here'!$B$6,C766-1)</f>
        <v>47543</v>
      </c>
      <c r="E766" s="23" t="n">
        <f aca="false">IF(AND(C766&gt;=Assumptions!$C$25,C766&lt;=Staffing!$G$18,'Start Here'!$B$8=1),IF(C766&lt;=6,Staffing!$H$18,IF(C766&lt;=15,Staffing!$I$18,IF(C766&lt;=30,Staffing!$J$18,Staffing!$K$18))),0)</f>
        <v>0</v>
      </c>
      <c r="F766" s="10" t="n">
        <f aca="false">E766*Staffing!$L$18/12*(1+Assumptions!$C$10)^INT((C766-1)/12)*1</f>
        <v>0</v>
      </c>
      <c r="G766" s="10" t="n">
        <f aca="false">F766*Staffing!$N$18</f>
        <v>0</v>
      </c>
      <c r="H766" s="10" t="n">
        <f aca="false">F766+G766</f>
        <v>0</v>
      </c>
      <c r="I766" s="10" t="n">
        <f aca="false">0</f>
        <v>0</v>
      </c>
      <c r="J766" s="10" t="n">
        <f aca="false">MAX(0,E766-E765)*Staffing!$O$18</f>
        <v>0</v>
      </c>
      <c r="K766" s="10" t="n">
        <f aca="false">MAX(0,E766-E765)*Staffing!$P$18</f>
        <v>0</v>
      </c>
      <c r="L766" s="23" t="n">
        <f aca="false">ROUNDUP(E766,0)</f>
        <v>0</v>
      </c>
    </row>
    <row r="767" customFormat="false" ht="15" hidden="false" customHeight="false" outlineLevel="0" collapsed="false">
      <c r="A767" s="6" t="s">
        <v>72</v>
      </c>
      <c r="B767" s="6" t="s">
        <v>353</v>
      </c>
      <c r="C767" s="6" t="n">
        <v>42</v>
      </c>
      <c r="D767" s="25" t="n">
        <f aca="false">EDATE('Start Here'!$B$6,C767-1)</f>
        <v>47574</v>
      </c>
      <c r="E767" s="23" t="n">
        <f aca="false">IF(AND(C767&gt;=Assumptions!$C$25,C767&lt;=Staffing!$G$18,'Start Here'!$B$8=1),IF(C767&lt;=6,Staffing!$H$18,IF(C767&lt;=15,Staffing!$I$18,IF(C767&lt;=30,Staffing!$J$18,Staffing!$K$18))),0)</f>
        <v>0</v>
      </c>
      <c r="F767" s="10" t="n">
        <f aca="false">E767*Staffing!$L$18/12*(1+Assumptions!$C$10)^INT((C767-1)/12)*1</f>
        <v>0</v>
      </c>
      <c r="G767" s="10" t="n">
        <f aca="false">F767*Staffing!$N$18</f>
        <v>0</v>
      </c>
      <c r="H767" s="10" t="n">
        <f aca="false">F767+G767</f>
        <v>0</v>
      </c>
      <c r="I767" s="10" t="n">
        <f aca="false">0</f>
        <v>0</v>
      </c>
      <c r="J767" s="10" t="n">
        <f aca="false">MAX(0,E767-E766)*Staffing!$O$18</f>
        <v>0</v>
      </c>
      <c r="K767" s="10" t="n">
        <f aca="false">MAX(0,E767-E766)*Staffing!$P$18</f>
        <v>0</v>
      </c>
      <c r="L767" s="23" t="n">
        <f aca="false">ROUNDUP(E767,0)</f>
        <v>0</v>
      </c>
    </row>
    <row r="768" customFormat="false" ht="15" hidden="false" customHeight="false" outlineLevel="0" collapsed="false">
      <c r="A768" s="6" t="s">
        <v>72</v>
      </c>
      <c r="B768" s="6" t="s">
        <v>353</v>
      </c>
      <c r="C768" s="6" t="n">
        <v>43</v>
      </c>
      <c r="D768" s="25" t="n">
        <f aca="false">EDATE('Start Here'!$B$6,C768-1)</f>
        <v>47604</v>
      </c>
      <c r="E768" s="23" t="n">
        <f aca="false">IF(AND(C768&gt;=Assumptions!$C$25,C768&lt;=Staffing!$G$18,'Start Here'!$B$8=1),IF(C768&lt;=6,Staffing!$H$18,IF(C768&lt;=15,Staffing!$I$18,IF(C768&lt;=30,Staffing!$J$18,Staffing!$K$18))),0)</f>
        <v>0</v>
      </c>
      <c r="F768" s="10" t="n">
        <f aca="false">E768*Staffing!$L$18/12*(1+Assumptions!$C$10)^INT((C768-1)/12)*1</f>
        <v>0</v>
      </c>
      <c r="G768" s="10" t="n">
        <f aca="false">F768*Staffing!$N$18</f>
        <v>0</v>
      </c>
      <c r="H768" s="10" t="n">
        <f aca="false">F768+G768</f>
        <v>0</v>
      </c>
      <c r="I768" s="10" t="n">
        <f aca="false">0</f>
        <v>0</v>
      </c>
      <c r="J768" s="10" t="n">
        <f aca="false">MAX(0,E768-E767)*Staffing!$O$18</f>
        <v>0</v>
      </c>
      <c r="K768" s="10" t="n">
        <f aca="false">MAX(0,E768-E767)*Staffing!$P$18</f>
        <v>0</v>
      </c>
      <c r="L768" s="23" t="n">
        <f aca="false">ROUNDUP(E768,0)</f>
        <v>0</v>
      </c>
    </row>
    <row r="769" customFormat="false" ht="15" hidden="false" customHeight="false" outlineLevel="0" collapsed="false">
      <c r="A769" s="6" t="s">
        <v>72</v>
      </c>
      <c r="B769" s="6" t="s">
        <v>353</v>
      </c>
      <c r="C769" s="6" t="n">
        <v>44</v>
      </c>
      <c r="D769" s="25" t="n">
        <f aca="false">EDATE('Start Here'!$B$6,C769-1)</f>
        <v>47635</v>
      </c>
      <c r="E769" s="23" t="n">
        <f aca="false">IF(AND(C769&gt;=Assumptions!$C$25,C769&lt;=Staffing!$G$18,'Start Here'!$B$8=1),IF(C769&lt;=6,Staffing!$H$18,IF(C769&lt;=15,Staffing!$I$18,IF(C769&lt;=30,Staffing!$J$18,Staffing!$K$18))),0)</f>
        <v>0</v>
      </c>
      <c r="F769" s="10" t="n">
        <f aca="false">E769*Staffing!$L$18/12*(1+Assumptions!$C$10)^INT((C769-1)/12)*1</f>
        <v>0</v>
      </c>
      <c r="G769" s="10" t="n">
        <f aca="false">F769*Staffing!$N$18</f>
        <v>0</v>
      </c>
      <c r="H769" s="10" t="n">
        <f aca="false">F769+G769</f>
        <v>0</v>
      </c>
      <c r="I769" s="10" t="n">
        <f aca="false">0</f>
        <v>0</v>
      </c>
      <c r="J769" s="10" t="n">
        <f aca="false">MAX(0,E769-E768)*Staffing!$O$18</f>
        <v>0</v>
      </c>
      <c r="K769" s="10" t="n">
        <f aca="false">MAX(0,E769-E768)*Staffing!$P$18</f>
        <v>0</v>
      </c>
      <c r="L769" s="23" t="n">
        <f aca="false">ROUNDUP(E769,0)</f>
        <v>0</v>
      </c>
    </row>
    <row r="770" customFormat="false" ht="15" hidden="false" customHeight="false" outlineLevel="0" collapsed="false">
      <c r="A770" s="6" t="s">
        <v>72</v>
      </c>
      <c r="B770" s="6" t="s">
        <v>353</v>
      </c>
      <c r="C770" s="6" t="n">
        <v>45</v>
      </c>
      <c r="D770" s="25" t="n">
        <f aca="false">EDATE('Start Here'!$B$6,C770-1)</f>
        <v>47665</v>
      </c>
      <c r="E770" s="23" t="n">
        <f aca="false">IF(AND(C770&gt;=Assumptions!$C$25,C770&lt;=Staffing!$G$18,'Start Here'!$B$8=1),IF(C770&lt;=6,Staffing!$H$18,IF(C770&lt;=15,Staffing!$I$18,IF(C770&lt;=30,Staffing!$J$18,Staffing!$K$18))),0)</f>
        <v>0</v>
      </c>
      <c r="F770" s="10" t="n">
        <f aca="false">E770*Staffing!$L$18/12*(1+Assumptions!$C$10)^INT((C770-1)/12)*1</f>
        <v>0</v>
      </c>
      <c r="G770" s="10" t="n">
        <f aca="false">F770*Staffing!$N$18</f>
        <v>0</v>
      </c>
      <c r="H770" s="10" t="n">
        <f aca="false">F770+G770</f>
        <v>0</v>
      </c>
      <c r="I770" s="10" t="n">
        <f aca="false">0</f>
        <v>0</v>
      </c>
      <c r="J770" s="10" t="n">
        <f aca="false">MAX(0,E770-E769)*Staffing!$O$18</f>
        <v>0</v>
      </c>
      <c r="K770" s="10" t="n">
        <f aca="false">MAX(0,E770-E769)*Staffing!$P$18</f>
        <v>0</v>
      </c>
      <c r="L770" s="23" t="n">
        <f aca="false">ROUNDUP(E770,0)</f>
        <v>0</v>
      </c>
    </row>
    <row r="771" customFormat="false" ht="15" hidden="false" customHeight="false" outlineLevel="0" collapsed="false">
      <c r="A771" s="6" t="s">
        <v>72</v>
      </c>
      <c r="B771" s="6" t="s">
        <v>353</v>
      </c>
      <c r="C771" s="6" t="n">
        <v>46</v>
      </c>
      <c r="D771" s="25" t="n">
        <f aca="false">EDATE('Start Here'!$B$6,C771-1)</f>
        <v>47696</v>
      </c>
      <c r="E771" s="23" t="n">
        <f aca="false">IF(AND(C771&gt;=Assumptions!$C$25,C771&lt;=Staffing!$G$18,'Start Here'!$B$8=1),IF(C771&lt;=6,Staffing!$H$18,IF(C771&lt;=15,Staffing!$I$18,IF(C771&lt;=30,Staffing!$J$18,Staffing!$K$18))),0)</f>
        <v>0</v>
      </c>
      <c r="F771" s="10" t="n">
        <f aca="false">E771*Staffing!$L$18/12*(1+Assumptions!$C$10)^INT((C771-1)/12)*1</f>
        <v>0</v>
      </c>
      <c r="G771" s="10" t="n">
        <f aca="false">F771*Staffing!$N$18</f>
        <v>0</v>
      </c>
      <c r="H771" s="10" t="n">
        <f aca="false">F771+G771</f>
        <v>0</v>
      </c>
      <c r="I771" s="10" t="n">
        <f aca="false">0</f>
        <v>0</v>
      </c>
      <c r="J771" s="10" t="n">
        <f aca="false">MAX(0,E771-E770)*Staffing!$O$18</f>
        <v>0</v>
      </c>
      <c r="K771" s="10" t="n">
        <f aca="false">MAX(0,E771-E770)*Staffing!$P$18</f>
        <v>0</v>
      </c>
      <c r="L771" s="23" t="n">
        <f aca="false">ROUNDUP(E771,0)</f>
        <v>0</v>
      </c>
    </row>
    <row r="772" customFormat="false" ht="15" hidden="false" customHeight="false" outlineLevel="0" collapsed="false">
      <c r="A772" s="6" t="s">
        <v>72</v>
      </c>
      <c r="B772" s="6" t="s">
        <v>353</v>
      </c>
      <c r="C772" s="6" t="n">
        <v>47</v>
      </c>
      <c r="D772" s="25" t="n">
        <f aca="false">EDATE('Start Here'!$B$6,C772-1)</f>
        <v>47727</v>
      </c>
      <c r="E772" s="23" t="n">
        <f aca="false">IF(AND(C772&gt;=Assumptions!$C$25,C772&lt;=Staffing!$G$18,'Start Here'!$B$8=1),IF(C772&lt;=6,Staffing!$H$18,IF(C772&lt;=15,Staffing!$I$18,IF(C772&lt;=30,Staffing!$J$18,Staffing!$K$18))),0)</f>
        <v>0</v>
      </c>
      <c r="F772" s="10" t="n">
        <f aca="false">E772*Staffing!$L$18/12*(1+Assumptions!$C$10)^INT((C772-1)/12)*1</f>
        <v>0</v>
      </c>
      <c r="G772" s="10" t="n">
        <f aca="false">F772*Staffing!$N$18</f>
        <v>0</v>
      </c>
      <c r="H772" s="10" t="n">
        <f aca="false">F772+G772</f>
        <v>0</v>
      </c>
      <c r="I772" s="10" t="n">
        <f aca="false">0</f>
        <v>0</v>
      </c>
      <c r="J772" s="10" t="n">
        <f aca="false">MAX(0,E772-E771)*Staffing!$O$18</f>
        <v>0</v>
      </c>
      <c r="K772" s="10" t="n">
        <f aca="false">MAX(0,E772-E771)*Staffing!$P$18</f>
        <v>0</v>
      </c>
      <c r="L772" s="23" t="n">
        <f aca="false">ROUNDUP(E772,0)</f>
        <v>0</v>
      </c>
    </row>
    <row r="773" customFormat="false" ht="15" hidden="false" customHeight="false" outlineLevel="0" collapsed="false">
      <c r="A773" s="6" t="s">
        <v>72</v>
      </c>
      <c r="B773" s="6" t="s">
        <v>353</v>
      </c>
      <c r="C773" s="6" t="n">
        <v>48</v>
      </c>
      <c r="D773" s="25" t="n">
        <f aca="false">EDATE('Start Here'!$B$6,C773-1)</f>
        <v>47757</v>
      </c>
      <c r="E773" s="23" t="n">
        <f aca="false">IF(AND(C773&gt;=Assumptions!$C$25,C773&lt;=Staffing!$G$18,'Start Here'!$B$8=1),IF(C773&lt;=6,Staffing!$H$18,IF(C773&lt;=15,Staffing!$I$18,IF(C773&lt;=30,Staffing!$J$18,Staffing!$K$18))),0)</f>
        <v>0</v>
      </c>
      <c r="F773" s="10" t="n">
        <f aca="false">E773*Staffing!$L$18/12*(1+Assumptions!$C$10)^INT((C773-1)/12)*1</f>
        <v>0</v>
      </c>
      <c r="G773" s="10" t="n">
        <f aca="false">F773*Staffing!$N$18</f>
        <v>0</v>
      </c>
      <c r="H773" s="10" t="n">
        <f aca="false">F773+G773</f>
        <v>0</v>
      </c>
      <c r="I773" s="10" t="n">
        <f aca="false">0</f>
        <v>0</v>
      </c>
      <c r="J773" s="10" t="n">
        <f aca="false">MAX(0,E773-E772)*Staffing!$O$18</f>
        <v>0</v>
      </c>
      <c r="K773" s="10" t="n">
        <f aca="false">MAX(0,E773-E772)*Staffing!$P$18</f>
        <v>0</v>
      </c>
      <c r="L773" s="23" t="n">
        <f aca="false">ROUNDUP(E773,0)</f>
        <v>0</v>
      </c>
    </row>
    <row r="774" customFormat="false" ht="15" hidden="false" customHeight="false" outlineLevel="0" collapsed="false">
      <c r="A774" s="6" t="s">
        <v>72</v>
      </c>
      <c r="B774" s="6" t="s">
        <v>353</v>
      </c>
      <c r="C774" s="6" t="n">
        <v>49</v>
      </c>
      <c r="D774" s="25" t="n">
        <f aca="false">EDATE('Start Here'!$B$6,C774-1)</f>
        <v>47788</v>
      </c>
      <c r="E774" s="23" t="n">
        <f aca="false">IF(AND(C774&gt;=Assumptions!$C$25,C774&lt;=Staffing!$G$18,'Start Here'!$B$8=1),IF(C774&lt;=6,Staffing!$H$18,IF(C774&lt;=15,Staffing!$I$18,IF(C774&lt;=30,Staffing!$J$18,Staffing!$K$18))),0)</f>
        <v>0</v>
      </c>
      <c r="F774" s="10" t="n">
        <f aca="false">E774*Staffing!$L$18/12*(1+Assumptions!$C$10)^INT((C774-1)/12)*1</f>
        <v>0</v>
      </c>
      <c r="G774" s="10" t="n">
        <f aca="false">F774*Staffing!$N$18</f>
        <v>0</v>
      </c>
      <c r="H774" s="10" t="n">
        <f aca="false">F774+G774</f>
        <v>0</v>
      </c>
      <c r="I774" s="10" t="n">
        <f aca="false">0</f>
        <v>0</v>
      </c>
      <c r="J774" s="10" t="n">
        <f aca="false">MAX(0,E774-E773)*Staffing!$O$18</f>
        <v>0</v>
      </c>
      <c r="K774" s="10" t="n">
        <f aca="false">MAX(0,E774-E773)*Staffing!$P$18</f>
        <v>0</v>
      </c>
      <c r="L774" s="23" t="n">
        <f aca="false">ROUNDUP(E774,0)</f>
        <v>0</v>
      </c>
    </row>
    <row r="775" customFormat="false" ht="15" hidden="false" customHeight="false" outlineLevel="0" collapsed="false">
      <c r="A775" s="6" t="s">
        <v>72</v>
      </c>
      <c r="B775" s="6" t="s">
        <v>353</v>
      </c>
      <c r="C775" s="6" t="n">
        <v>50</v>
      </c>
      <c r="D775" s="25" t="n">
        <f aca="false">EDATE('Start Here'!$B$6,C775-1)</f>
        <v>47818</v>
      </c>
      <c r="E775" s="23" t="n">
        <f aca="false">IF(AND(C775&gt;=Assumptions!$C$25,C775&lt;=Staffing!$G$18,'Start Here'!$B$8=1),IF(C775&lt;=6,Staffing!$H$18,IF(C775&lt;=15,Staffing!$I$18,IF(C775&lt;=30,Staffing!$J$18,Staffing!$K$18))),0)</f>
        <v>0</v>
      </c>
      <c r="F775" s="10" t="n">
        <f aca="false">E775*Staffing!$L$18/12*(1+Assumptions!$C$10)^INT((C775-1)/12)*1</f>
        <v>0</v>
      </c>
      <c r="G775" s="10" t="n">
        <f aca="false">F775*Staffing!$N$18</f>
        <v>0</v>
      </c>
      <c r="H775" s="10" t="n">
        <f aca="false">F775+G775</f>
        <v>0</v>
      </c>
      <c r="I775" s="10" t="n">
        <f aca="false">0</f>
        <v>0</v>
      </c>
      <c r="J775" s="10" t="n">
        <f aca="false">MAX(0,E775-E774)*Staffing!$O$18</f>
        <v>0</v>
      </c>
      <c r="K775" s="10" t="n">
        <f aca="false">MAX(0,E775-E774)*Staffing!$P$18</f>
        <v>0</v>
      </c>
      <c r="L775" s="23" t="n">
        <f aca="false">ROUNDUP(E775,0)</f>
        <v>0</v>
      </c>
    </row>
    <row r="776" customFormat="false" ht="15" hidden="false" customHeight="false" outlineLevel="0" collapsed="false">
      <c r="A776" s="6" t="s">
        <v>72</v>
      </c>
      <c r="B776" s="6" t="s">
        <v>353</v>
      </c>
      <c r="C776" s="6" t="n">
        <v>51</v>
      </c>
      <c r="D776" s="25" t="n">
        <f aca="false">EDATE('Start Here'!$B$6,C776-1)</f>
        <v>47849</v>
      </c>
      <c r="E776" s="23" t="n">
        <f aca="false">IF(AND(C776&gt;=Assumptions!$C$25,C776&lt;=Staffing!$G$18,'Start Here'!$B$8=1),IF(C776&lt;=6,Staffing!$H$18,IF(C776&lt;=15,Staffing!$I$18,IF(C776&lt;=30,Staffing!$J$18,Staffing!$K$18))),0)</f>
        <v>0</v>
      </c>
      <c r="F776" s="10" t="n">
        <f aca="false">E776*Staffing!$L$18/12*(1+Assumptions!$C$10)^INT((C776-1)/12)*1</f>
        <v>0</v>
      </c>
      <c r="G776" s="10" t="n">
        <f aca="false">F776*Staffing!$N$18</f>
        <v>0</v>
      </c>
      <c r="H776" s="10" t="n">
        <f aca="false">F776+G776</f>
        <v>0</v>
      </c>
      <c r="I776" s="10" t="n">
        <f aca="false">0</f>
        <v>0</v>
      </c>
      <c r="J776" s="10" t="n">
        <f aca="false">MAX(0,E776-E775)*Staffing!$O$18</f>
        <v>0</v>
      </c>
      <c r="K776" s="10" t="n">
        <f aca="false">MAX(0,E776-E775)*Staffing!$P$18</f>
        <v>0</v>
      </c>
      <c r="L776" s="23" t="n">
        <f aca="false">ROUNDUP(E776,0)</f>
        <v>0</v>
      </c>
    </row>
    <row r="777" customFormat="false" ht="15" hidden="false" customHeight="false" outlineLevel="0" collapsed="false">
      <c r="A777" s="6" t="s">
        <v>72</v>
      </c>
      <c r="B777" s="6" t="s">
        <v>353</v>
      </c>
      <c r="C777" s="6" t="n">
        <v>52</v>
      </c>
      <c r="D777" s="25" t="n">
        <f aca="false">EDATE('Start Here'!$B$6,C777-1)</f>
        <v>47880</v>
      </c>
      <c r="E777" s="23" t="n">
        <f aca="false">IF(AND(C777&gt;=Assumptions!$C$25,C777&lt;=Staffing!$G$18,'Start Here'!$B$8=1),IF(C777&lt;=6,Staffing!$H$18,IF(C777&lt;=15,Staffing!$I$18,IF(C777&lt;=30,Staffing!$J$18,Staffing!$K$18))),0)</f>
        <v>0</v>
      </c>
      <c r="F777" s="10" t="n">
        <f aca="false">E777*Staffing!$L$18/12*(1+Assumptions!$C$10)^INT((C777-1)/12)*1</f>
        <v>0</v>
      </c>
      <c r="G777" s="10" t="n">
        <f aca="false">F777*Staffing!$N$18</f>
        <v>0</v>
      </c>
      <c r="H777" s="10" t="n">
        <f aca="false">F777+G777</f>
        <v>0</v>
      </c>
      <c r="I777" s="10" t="n">
        <f aca="false">0</f>
        <v>0</v>
      </c>
      <c r="J777" s="10" t="n">
        <f aca="false">MAX(0,E777-E776)*Staffing!$O$18</f>
        <v>0</v>
      </c>
      <c r="K777" s="10" t="n">
        <f aca="false">MAX(0,E777-E776)*Staffing!$P$18</f>
        <v>0</v>
      </c>
      <c r="L777" s="23" t="n">
        <f aca="false">ROUNDUP(E777,0)</f>
        <v>0</v>
      </c>
    </row>
    <row r="778" customFormat="false" ht="15" hidden="false" customHeight="false" outlineLevel="0" collapsed="false">
      <c r="A778" s="6" t="s">
        <v>72</v>
      </c>
      <c r="B778" s="6" t="s">
        <v>353</v>
      </c>
      <c r="C778" s="6" t="n">
        <v>53</v>
      </c>
      <c r="D778" s="25" t="n">
        <f aca="false">EDATE('Start Here'!$B$6,C778-1)</f>
        <v>47908</v>
      </c>
      <c r="E778" s="23" t="n">
        <f aca="false">IF(AND(C778&gt;=Assumptions!$C$25,C778&lt;=Staffing!$G$18,'Start Here'!$B$8=1),IF(C778&lt;=6,Staffing!$H$18,IF(C778&lt;=15,Staffing!$I$18,IF(C778&lt;=30,Staffing!$J$18,Staffing!$K$18))),0)</f>
        <v>0</v>
      </c>
      <c r="F778" s="10" t="n">
        <f aca="false">E778*Staffing!$L$18/12*(1+Assumptions!$C$10)^INT((C778-1)/12)*1</f>
        <v>0</v>
      </c>
      <c r="G778" s="10" t="n">
        <f aca="false">F778*Staffing!$N$18</f>
        <v>0</v>
      </c>
      <c r="H778" s="10" t="n">
        <f aca="false">F778+G778</f>
        <v>0</v>
      </c>
      <c r="I778" s="10" t="n">
        <f aca="false">0</f>
        <v>0</v>
      </c>
      <c r="J778" s="10" t="n">
        <f aca="false">MAX(0,E778-E777)*Staffing!$O$18</f>
        <v>0</v>
      </c>
      <c r="K778" s="10" t="n">
        <f aca="false">MAX(0,E778-E777)*Staffing!$P$18</f>
        <v>0</v>
      </c>
      <c r="L778" s="23" t="n">
        <f aca="false">ROUNDUP(E778,0)</f>
        <v>0</v>
      </c>
    </row>
    <row r="779" customFormat="false" ht="15" hidden="false" customHeight="false" outlineLevel="0" collapsed="false">
      <c r="A779" s="6" t="s">
        <v>72</v>
      </c>
      <c r="B779" s="6" t="s">
        <v>353</v>
      </c>
      <c r="C779" s="6" t="n">
        <v>54</v>
      </c>
      <c r="D779" s="25" t="n">
        <f aca="false">EDATE('Start Here'!$B$6,C779-1)</f>
        <v>47939</v>
      </c>
      <c r="E779" s="23" t="n">
        <f aca="false">IF(AND(C779&gt;=Assumptions!$C$25,C779&lt;=Staffing!$G$18,'Start Here'!$B$8=1),IF(C779&lt;=6,Staffing!$H$18,IF(C779&lt;=15,Staffing!$I$18,IF(C779&lt;=30,Staffing!$J$18,Staffing!$K$18))),0)</f>
        <v>0</v>
      </c>
      <c r="F779" s="10" t="n">
        <f aca="false">E779*Staffing!$L$18/12*(1+Assumptions!$C$10)^INT((C779-1)/12)*1</f>
        <v>0</v>
      </c>
      <c r="G779" s="10" t="n">
        <f aca="false">F779*Staffing!$N$18</f>
        <v>0</v>
      </c>
      <c r="H779" s="10" t="n">
        <f aca="false">F779+G779</f>
        <v>0</v>
      </c>
      <c r="I779" s="10" t="n">
        <f aca="false">0</f>
        <v>0</v>
      </c>
      <c r="J779" s="10" t="n">
        <f aca="false">MAX(0,E779-E778)*Staffing!$O$18</f>
        <v>0</v>
      </c>
      <c r="K779" s="10" t="n">
        <f aca="false">MAX(0,E779-E778)*Staffing!$P$18</f>
        <v>0</v>
      </c>
      <c r="L779" s="23" t="n">
        <f aca="false">ROUNDUP(E779,0)</f>
        <v>0</v>
      </c>
    </row>
    <row r="780" customFormat="false" ht="15" hidden="false" customHeight="false" outlineLevel="0" collapsed="false">
      <c r="A780" s="6" t="s">
        <v>72</v>
      </c>
      <c r="B780" s="6" t="s">
        <v>353</v>
      </c>
      <c r="C780" s="6" t="n">
        <v>55</v>
      </c>
      <c r="D780" s="25" t="n">
        <f aca="false">EDATE('Start Here'!$B$6,C780-1)</f>
        <v>47969</v>
      </c>
      <c r="E780" s="23" t="n">
        <f aca="false">IF(AND(C780&gt;=Assumptions!$C$25,C780&lt;=Staffing!$G$18,'Start Here'!$B$8=1),IF(C780&lt;=6,Staffing!$H$18,IF(C780&lt;=15,Staffing!$I$18,IF(C780&lt;=30,Staffing!$J$18,Staffing!$K$18))),0)</f>
        <v>0</v>
      </c>
      <c r="F780" s="10" t="n">
        <f aca="false">E780*Staffing!$L$18/12*(1+Assumptions!$C$10)^INT((C780-1)/12)*1</f>
        <v>0</v>
      </c>
      <c r="G780" s="10" t="n">
        <f aca="false">F780*Staffing!$N$18</f>
        <v>0</v>
      </c>
      <c r="H780" s="10" t="n">
        <f aca="false">F780+G780</f>
        <v>0</v>
      </c>
      <c r="I780" s="10" t="n">
        <f aca="false">0</f>
        <v>0</v>
      </c>
      <c r="J780" s="10" t="n">
        <f aca="false">MAX(0,E780-E779)*Staffing!$O$18</f>
        <v>0</v>
      </c>
      <c r="K780" s="10" t="n">
        <f aca="false">MAX(0,E780-E779)*Staffing!$P$18</f>
        <v>0</v>
      </c>
      <c r="L780" s="23" t="n">
        <f aca="false">ROUNDUP(E780,0)</f>
        <v>0</v>
      </c>
    </row>
    <row r="781" customFormat="false" ht="15" hidden="false" customHeight="false" outlineLevel="0" collapsed="false">
      <c r="A781" s="6" t="s">
        <v>72</v>
      </c>
      <c r="B781" s="6" t="s">
        <v>353</v>
      </c>
      <c r="C781" s="6" t="n">
        <v>56</v>
      </c>
      <c r="D781" s="25" t="n">
        <f aca="false">EDATE('Start Here'!$B$6,C781-1)</f>
        <v>48000</v>
      </c>
      <c r="E781" s="23" t="n">
        <f aca="false">IF(AND(C781&gt;=Assumptions!$C$25,C781&lt;=Staffing!$G$18,'Start Here'!$B$8=1),IF(C781&lt;=6,Staffing!$H$18,IF(C781&lt;=15,Staffing!$I$18,IF(C781&lt;=30,Staffing!$J$18,Staffing!$K$18))),0)</f>
        <v>0</v>
      </c>
      <c r="F781" s="10" t="n">
        <f aca="false">E781*Staffing!$L$18/12*(1+Assumptions!$C$10)^INT((C781-1)/12)*1</f>
        <v>0</v>
      </c>
      <c r="G781" s="10" t="n">
        <f aca="false">F781*Staffing!$N$18</f>
        <v>0</v>
      </c>
      <c r="H781" s="10" t="n">
        <f aca="false">F781+G781</f>
        <v>0</v>
      </c>
      <c r="I781" s="10" t="n">
        <f aca="false">0</f>
        <v>0</v>
      </c>
      <c r="J781" s="10" t="n">
        <f aca="false">MAX(0,E781-E780)*Staffing!$O$18</f>
        <v>0</v>
      </c>
      <c r="K781" s="10" t="n">
        <f aca="false">MAX(0,E781-E780)*Staffing!$P$18</f>
        <v>0</v>
      </c>
      <c r="L781" s="23" t="n">
        <f aca="false">ROUNDUP(E781,0)</f>
        <v>0</v>
      </c>
    </row>
    <row r="782" customFormat="false" ht="15" hidden="false" customHeight="false" outlineLevel="0" collapsed="false">
      <c r="A782" s="6" t="s">
        <v>72</v>
      </c>
      <c r="B782" s="6" t="s">
        <v>353</v>
      </c>
      <c r="C782" s="6" t="n">
        <v>57</v>
      </c>
      <c r="D782" s="25" t="n">
        <f aca="false">EDATE('Start Here'!$B$6,C782-1)</f>
        <v>48030</v>
      </c>
      <c r="E782" s="23" t="n">
        <f aca="false">IF(AND(C782&gt;=Assumptions!$C$25,C782&lt;=Staffing!$G$18,'Start Here'!$B$8=1),IF(C782&lt;=6,Staffing!$H$18,IF(C782&lt;=15,Staffing!$I$18,IF(C782&lt;=30,Staffing!$J$18,Staffing!$K$18))),0)</f>
        <v>0</v>
      </c>
      <c r="F782" s="10" t="n">
        <f aca="false">E782*Staffing!$L$18/12*(1+Assumptions!$C$10)^INT((C782-1)/12)*1</f>
        <v>0</v>
      </c>
      <c r="G782" s="10" t="n">
        <f aca="false">F782*Staffing!$N$18</f>
        <v>0</v>
      </c>
      <c r="H782" s="10" t="n">
        <f aca="false">F782+G782</f>
        <v>0</v>
      </c>
      <c r="I782" s="10" t="n">
        <f aca="false">0</f>
        <v>0</v>
      </c>
      <c r="J782" s="10" t="n">
        <f aca="false">MAX(0,E782-E781)*Staffing!$O$18</f>
        <v>0</v>
      </c>
      <c r="K782" s="10" t="n">
        <f aca="false">MAX(0,E782-E781)*Staffing!$P$18</f>
        <v>0</v>
      </c>
      <c r="L782" s="23" t="n">
        <f aca="false">ROUNDUP(E782,0)</f>
        <v>0</v>
      </c>
    </row>
    <row r="783" customFormat="false" ht="15" hidden="false" customHeight="false" outlineLevel="0" collapsed="false">
      <c r="A783" s="6" t="s">
        <v>72</v>
      </c>
      <c r="B783" s="6" t="s">
        <v>353</v>
      </c>
      <c r="C783" s="6" t="n">
        <v>58</v>
      </c>
      <c r="D783" s="25" t="n">
        <f aca="false">EDATE('Start Here'!$B$6,C783-1)</f>
        <v>48061</v>
      </c>
      <c r="E783" s="23" t="n">
        <f aca="false">IF(AND(C783&gt;=Assumptions!$C$25,C783&lt;=Staffing!$G$18,'Start Here'!$B$8=1),IF(C783&lt;=6,Staffing!$H$18,IF(C783&lt;=15,Staffing!$I$18,IF(C783&lt;=30,Staffing!$J$18,Staffing!$K$18))),0)</f>
        <v>0</v>
      </c>
      <c r="F783" s="10" t="n">
        <f aca="false">E783*Staffing!$L$18/12*(1+Assumptions!$C$10)^INT((C783-1)/12)*1</f>
        <v>0</v>
      </c>
      <c r="G783" s="10" t="n">
        <f aca="false">F783*Staffing!$N$18</f>
        <v>0</v>
      </c>
      <c r="H783" s="10" t="n">
        <f aca="false">F783+G783</f>
        <v>0</v>
      </c>
      <c r="I783" s="10" t="n">
        <f aca="false">0</f>
        <v>0</v>
      </c>
      <c r="J783" s="10" t="n">
        <f aca="false">MAX(0,E783-E782)*Staffing!$O$18</f>
        <v>0</v>
      </c>
      <c r="K783" s="10" t="n">
        <f aca="false">MAX(0,E783-E782)*Staffing!$P$18</f>
        <v>0</v>
      </c>
      <c r="L783" s="23" t="n">
        <f aca="false">ROUNDUP(E783,0)</f>
        <v>0</v>
      </c>
    </row>
    <row r="784" customFormat="false" ht="15" hidden="false" customHeight="false" outlineLevel="0" collapsed="false">
      <c r="A784" s="6" t="s">
        <v>72</v>
      </c>
      <c r="B784" s="6" t="s">
        <v>353</v>
      </c>
      <c r="C784" s="6" t="n">
        <v>59</v>
      </c>
      <c r="D784" s="25" t="n">
        <f aca="false">EDATE('Start Here'!$B$6,C784-1)</f>
        <v>48092</v>
      </c>
      <c r="E784" s="23" t="n">
        <f aca="false">IF(AND(C784&gt;=Assumptions!$C$25,C784&lt;=Staffing!$G$18,'Start Here'!$B$8=1),IF(C784&lt;=6,Staffing!$H$18,IF(C784&lt;=15,Staffing!$I$18,IF(C784&lt;=30,Staffing!$J$18,Staffing!$K$18))),0)</f>
        <v>0</v>
      </c>
      <c r="F784" s="10" t="n">
        <f aca="false">E784*Staffing!$L$18/12*(1+Assumptions!$C$10)^INT((C784-1)/12)*1</f>
        <v>0</v>
      </c>
      <c r="G784" s="10" t="n">
        <f aca="false">F784*Staffing!$N$18</f>
        <v>0</v>
      </c>
      <c r="H784" s="10" t="n">
        <f aca="false">F784+G784</f>
        <v>0</v>
      </c>
      <c r="I784" s="10" t="n">
        <f aca="false">0</f>
        <v>0</v>
      </c>
      <c r="J784" s="10" t="n">
        <f aca="false">MAX(0,E784-E783)*Staffing!$O$18</f>
        <v>0</v>
      </c>
      <c r="K784" s="10" t="n">
        <f aca="false">MAX(0,E784-E783)*Staffing!$P$18</f>
        <v>0</v>
      </c>
      <c r="L784" s="23" t="n">
        <f aca="false">ROUNDUP(E784,0)</f>
        <v>0</v>
      </c>
    </row>
    <row r="785" customFormat="false" ht="15" hidden="false" customHeight="false" outlineLevel="0" collapsed="false">
      <c r="A785" s="6" t="s">
        <v>72</v>
      </c>
      <c r="B785" s="6" t="s">
        <v>353</v>
      </c>
      <c r="C785" s="6" t="n">
        <v>60</v>
      </c>
      <c r="D785" s="25" t="n">
        <f aca="false">EDATE('Start Here'!$B$6,C785-1)</f>
        <v>48122</v>
      </c>
      <c r="E785" s="23" t="n">
        <f aca="false">IF(AND(C785&gt;=Assumptions!$C$25,C785&lt;=Staffing!$G$18,'Start Here'!$B$8=1),IF(C785&lt;=6,Staffing!$H$18,IF(C785&lt;=15,Staffing!$I$18,IF(C785&lt;=30,Staffing!$J$18,Staffing!$K$18))),0)</f>
        <v>0</v>
      </c>
      <c r="F785" s="10" t="n">
        <f aca="false">E785*Staffing!$L$18/12*(1+Assumptions!$C$10)^INT((C785-1)/12)*1</f>
        <v>0</v>
      </c>
      <c r="G785" s="10" t="n">
        <f aca="false">F785*Staffing!$N$18</f>
        <v>0</v>
      </c>
      <c r="H785" s="10" t="n">
        <f aca="false">F785+G785</f>
        <v>0</v>
      </c>
      <c r="I785" s="10" t="n">
        <f aca="false">0</f>
        <v>0</v>
      </c>
      <c r="J785" s="10" t="n">
        <f aca="false">MAX(0,E785-E784)*Staffing!$O$18</f>
        <v>0</v>
      </c>
      <c r="K785" s="10" t="n">
        <f aca="false">MAX(0,E785-E784)*Staffing!$P$18</f>
        <v>0</v>
      </c>
      <c r="L785" s="23" t="n">
        <f aca="false">ROUNDUP(E785,0)</f>
        <v>0</v>
      </c>
    </row>
    <row r="786" customFormat="false" ht="15" hidden="false" customHeight="false" outlineLevel="0" collapsed="false">
      <c r="A786" s="6" t="s">
        <v>4</v>
      </c>
      <c r="B786" s="6" t="s">
        <v>325</v>
      </c>
      <c r="C786" s="6" t="n">
        <v>1</v>
      </c>
      <c r="D786" s="25" t="n">
        <f aca="false">EDATE('Start Here'!$B$6,C786-1)</f>
        <v>46327</v>
      </c>
      <c r="E786" s="11" t="n">
        <f aca="false">IF(AND(C786&gt;=Staffing!$F$19,C786&lt;=Staffing!$G$19,1=1),IF(C786&lt;=6,Staffing!$H$19,IF(C786&lt;=15,Staffing!$I$19,IF(C786&lt;=30,Staffing!$J$19,Staffing!$K$19))),0)</f>
        <v>1</v>
      </c>
      <c r="F786" s="10" t="n">
        <f aca="false">E786*Assumptions!$D$26/12*(1+Assumptions!$D$10)^INT((C786-1)/12)*'Start Here'!$B$10</f>
        <v>0</v>
      </c>
      <c r="G786" s="10" t="n">
        <f aca="false">F786*Staffing!$N$19</f>
        <v>0</v>
      </c>
      <c r="H786" s="10" t="n">
        <f aca="false">F786+G786</f>
        <v>0</v>
      </c>
      <c r="I786" s="10" t="n">
        <f aca="false">E786*Assumptions!$D$26/12*(1+Assumptions!$D$10)^INT((C786-1)/12)*(1-'Start Here'!$B$10)</f>
        <v>15000</v>
      </c>
      <c r="J786" s="10" t="n">
        <f aca="false">MAX(0,E786-0)*Staffing!$O$19</f>
        <v>0</v>
      </c>
      <c r="K786" s="10" t="n">
        <f aca="false">MAX(0,E786-0)*Staffing!$P$19</f>
        <v>3000</v>
      </c>
      <c r="L786" s="23" t="n">
        <f aca="false">ROUNDUP(E786,0)</f>
        <v>1</v>
      </c>
    </row>
    <row r="787" customFormat="false" ht="15" hidden="false" customHeight="false" outlineLevel="0" collapsed="false">
      <c r="A787" s="6" t="s">
        <v>4</v>
      </c>
      <c r="B787" s="6" t="s">
        <v>325</v>
      </c>
      <c r="C787" s="6" t="n">
        <v>2</v>
      </c>
      <c r="D787" s="25" t="n">
        <f aca="false">EDATE('Start Here'!$B$6,C787-1)</f>
        <v>46357</v>
      </c>
      <c r="E787" s="11" t="n">
        <f aca="false">IF(AND(C787&gt;=Staffing!$F$19,C787&lt;=Staffing!$G$19,1=1),IF(C787&lt;=6,Staffing!$H$19,IF(C787&lt;=15,Staffing!$I$19,IF(C787&lt;=30,Staffing!$J$19,Staffing!$K$19))),0)</f>
        <v>1</v>
      </c>
      <c r="F787" s="10" t="n">
        <f aca="false">E787*Assumptions!$D$26/12*(1+Assumptions!$D$10)^INT((C787-1)/12)*'Start Here'!$B$10</f>
        <v>0</v>
      </c>
      <c r="G787" s="10" t="n">
        <f aca="false">F787*Staffing!$N$19</f>
        <v>0</v>
      </c>
      <c r="H787" s="10" t="n">
        <f aca="false">F787+G787</f>
        <v>0</v>
      </c>
      <c r="I787" s="10" t="n">
        <f aca="false">E787*Assumptions!$D$26/12*(1+Assumptions!$D$10)^INT((C787-1)/12)*(1-'Start Here'!$B$10)</f>
        <v>15000</v>
      </c>
      <c r="J787" s="10" t="n">
        <f aca="false">MAX(0,E787-E786)*Staffing!$O$19</f>
        <v>0</v>
      </c>
      <c r="K787" s="10" t="n">
        <f aca="false">MAX(0,E787-E786)*Staffing!$P$19</f>
        <v>0</v>
      </c>
      <c r="L787" s="23" t="n">
        <f aca="false">ROUNDUP(E787,0)</f>
        <v>1</v>
      </c>
    </row>
    <row r="788" customFormat="false" ht="15" hidden="false" customHeight="false" outlineLevel="0" collapsed="false">
      <c r="A788" s="6" t="s">
        <v>4</v>
      </c>
      <c r="B788" s="6" t="s">
        <v>325</v>
      </c>
      <c r="C788" s="6" t="n">
        <v>3</v>
      </c>
      <c r="D788" s="25" t="n">
        <f aca="false">EDATE('Start Here'!$B$6,C788-1)</f>
        <v>46388</v>
      </c>
      <c r="E788" s="11" t="n">
        <f aca="false">IF(AND(C788&gt;=Staffing!$F$19,C788&lt;=Staffing!$G$19,1=1),IF(C788&lt;=6,Staffing!$H$19,IF(C788&lt;=15,Staffing!$I$19,IF(C788&lt;=30,Staffing!$J$19,Staffing!$K$19))),0)</f>
        <v>1</v>
      </c>
      <c r="F788" s="10" t="n">
        <f aca="false">E788*Assumptions!$D$26/12*(1+Assumptions!$D$10)^INT((C788-1)/12)*'Start Here'!$B$10</f>
        <v>0</v>
      </c>
      <c r="G788" s="10" t="n">
        <f aca="false">F788*Staffing!$N$19</f>
        <v>0</v>
      </c>
      <c r="H788" s="10" t="n">
        <f aca="false">F788+G788</f>
        <v>0</v>
      </c>
      <c r="I788" s="10" t="n">
        <f aca="false">E788*Assumptions!$D$26/12*(1+Assumptions!$D$10)^INT((C788-1)/12)*(1-'Start Here'!$B$10)</f>
        <v>15000</v>
      </c>
      <c r="J788" s="10" t="n">
        <f aca="false">MAX(0,E788-E787)*Staffing!$O$19</f>
        <v>0</v>
      </c>
      <c r="K788" s="10" t="n">
        <f aca="false">MAX(0,E788-E787)*Staffing!$P$19</f>
        <v>0</v>
      </c>
      <c r="L788" s="23" t="n">
        <f aca="false">ROUNDUP(E788,0)</f>
        <v>1</v>
      </c>
    </row>
    <row r="789" customFormat="false" ht="15" hidden="false" customHeight="false" outlineLevel="0" collapsed="false">
      <c r="A789" s="6" t="s">
        <v>4</v>
      </c>
      <c r="B789" s="6" t="s">
        <v>325</v>
      </c>
      <c r="C789" s="6" t="n">
        <v>4</v>
      </c>
      <c r="D789" s="25" t="n">
        <f aca="false">EDATE('Start Here'!$B$6,C789-1)</f>
        <v>46419</v>
      </c>
      <c r="E789" s="11" t="n">
        <f aca="false">IF(AND(C789&gt;=Staffing!$F$19,C789&lt;=Staffing!$G$19,1=1),IF(C789&lt;=6,Staffing!$H$19,IF(C789&lt;=15,Staffing!$I$19,IF(C789&lt;=30,Staffing!$J$19,Staffing!$K$19))),0)</f>
        <v>1</v>
      </c>
      <c r="F789" s="10" t="n">
        <f aca="false">E789*Assumptions!$D$26/12*(1+Assumptions!$D$10)^INT((C789-1)/12)*'Start Here'!$B$10</f>
        <v>0</v>
      </c>
      <c r="G789" s="10" t="n">
        <f aca="false">F789*Staffing!$N$19</f>
        <v>0</v>
      </c>
      <c r="H789" s="10" t="n">
        <f aca="false">F789+G789</f>
        <v>0</v>
      </c>
      <c r="I789" s="10" t="n">
        <f aca="false">E789*Assumptions!$D$26/12*(1+Assumptions!$D$10)^INT((C789-1)/12)*(1-'Start Here'!$B$10)</f>
        <v>15000</v>
      </c>
      <c r="J789" s="10" t="n">
        <f aca="false">MAX(0,E789-E788)*Staffing!$O$19</f>
        <v>0</v>
      </c>
      <c r="K789" s="10" t="n">
        <f aca="false">MAX(0,E789-E788)*Staffing!$P$19</f>
        <v>0</v>
      </c>
      <c r="L789" s="23" t="n">
        <f aca="false">ROUNDUP(E789,0)</f>
        <v>1</v>
      </c>
    </row>
    <row r="790" customFormat="false" ht="15" hidden="false" customHeight="false" outlineLevel="0" collapsed="false">
      <c r="A790" s="6" t="s">
        <v>4</v>
      </c>
      <c r="B790" s="6" t="s">
        <v>325</v>
      </c>
      <c r="C790" s="6" t="n">
        <v>5</v>
      </c>
      <c r="D790" s="25" t="n">
        <f aca="false">EDATE('Start Here'!$B$6,C790-1)</f>
        <v>46447</v>
      </c>
      <c r="E790" s="11" t="n">
        <f aca="false">IF(AND(C790&gt;=Staffing!$F$19,C790&lt;=Staffing!$G$19,1=1),IF(C790&lt;=6,Staffing!$H$19,IF(C790&lt;=15,Staffing!$I$19,IF(C790&lt;=30,Staffing!$J$19,Staffing!$K$19))),0)</f>
        <v>1</v>
      </c>
      <c r="F790" s="10" t="n">
        <f aca="false">E790*Assumptions!$D$26/12*(1+Assumptions!$D$10)^INT((C790-1)/12)*'Start Here'!$B$10</f>
        <v>0</v>
      </c>
      <c r="G790" s="10" t="n">
        <f aca="false">F790*Staffing!$N$19</f>
        <v>0</v>
      </c>
      <c r="H790" s="10" t="n">
        <f aca="false">F790+G790</f>
        <v>0</v>
      </c>
      <c r="I790" s="10" t="n">
        <f aca="false">E790*Assumptions!$D$26/12*(1+Assumptions!$D$10)^INT((C790-1)/12)*(1-'Start Here'!$B$10)</f>
        <v>15000</v>
      </c>
      <c r="J790" s="10" t="n">
        <f aca="false">MAX(0,E790-E789)*Staffing!$O$19</f>
        <v>0</v>
      </c>
      <c r="K790" s="10" t="n">
        <f aca="false">MAX(0,E790-E789)*Staffing!$P$19</f>
        <v>0</v>
      </c>
      <c r="L790" s="23" t="n">
        <f aca="false">ROUNDUP(E790,0)</f>
        <v>1</v>
      </c>
    </row>
    <row r="791" customFormat="false" ht="15" hidden="false" customHeight="false" outlineLevel="0" collapsed="false">
      <c r="A791" s="6" t="s">
        <v>4</v>
      </c>
      <c r="B791" s="6" t="s">
        <v>325</v>
      </c>
      <c r="C791" s="6" t="n">
        <v>6</v>
      </c>
      <c r="D791" s="25" t="n">
        <f aca="false">EDATE('Start Here'!$B$6,C791-1)</f>
        <v>46478</v>
      </c>
      <c r="E791" s="11" t="n">
        <f aca="false">IF(AND(C791&gt;=Staffing!$F$19,C791&lt;=Staffing!$G$19,1=1),IF(C791&lt;=6,Staffing!$H$19,IF(C791&lt;=15,Staffing!$I$19,IF(C791&lt;=30,Staffing!$J$19,Staffing!$K$19))),0)</f>
        <v>1</v>
      </c>
      <c r="F791" s="10" t="n">
        <f aca="false">E791*Assumptions!$D$26/12*(1+Assumptions!$D$10)^INT((C791-1)/12)*'Start Here'!$B$10</f>
        <v>0</v>
      </c>
      <c r="G791" s="10" t="n">
        <f aca="false">F791*Staffing!$N$19</f>
        <v>0</v>
      </c>
      <c r="H791" s="10" t="n">
        <f aca="false">F791+G791</f>
        <v>0</v>
      </c>
      <c r="I791" s="10" t="n">
        <f aca="false">E791*Assumptions!$D$26/12*(1+Assumptions!$D$10)^INT((C791-1)/12)*(1-'Start Here'!$B$10)</f>
        <v>15000</v>
      </c>
      <c r="J791" s="10" t="n">
        <f aca="false">MAX(0,E791-E790)*Staffing!$O$19</f>
        <v>0</v>
      </c>
      <c r="K791" s="10" t="n">
        <f aca="false">MAX(0,E791-E790)*Staffing!$P$19</f>
        <v>0</v>
      </c>
      <c r="L791" s="23" t="n">
        <f aca="false">ROUNDUP(E791,0)</f>
        <v>1</v>
      </c>
    </row>
    <row r="792" customFormat="false" ht="15" hidden="false" customHeight="false" outlineLevel="0" collapsed="false">
      <c r="A792" s="6" t="s">
        <v>4</v>
      </c>
      <c r="B792" s="6" t="s">
        <v>325</v>
      </c>
      <c r="C792" s="6" t="n">
        <v>7</v>
      </c>
      <c r="D792" s="25" t="n">
        <f aca="false">EDATE('Start Here'!$B$6,C792-1)</f>
        <v>46508</v>
      </c>
      <c r="E792" s="11" t="n">
        <f aca="false">IF(AND(C792&gt;=Staffing!$F$19,C792&lt;=Staffing!$G$19,1=1),IF(C792&lt;=6,Staffing!$H$19,IF(C792&lt;=15,Staffing!$I$19,IF(C792&lt;=30,Staffing!$J$19,Staffing!$K$19))),0)</f>
        <v>1</v>
      </c>
      <c r="F792" s="10" t="n">
        <f aca="false">E792*Assumptions!$D$26/12*(1+Assumptions!$D$10)^INT((C792-1)/12)*'Start Here'!$B$10</f>
        <v>0</v>
      </c>
      <c r="G792" s="10" t="n">
        <f aca="false">F792*Staffing!$N$19</f>
        <v>0</v>
      </c>
      <c r="H792" s="10" t="n">
        <f aca="false">F792+G792</f>
        <v>0</v>
      </c>
      <c r="I792" s="10" t="n">
        <f aca="false">E792*Assumptions!$D$26/12*(1+Assumptions!$D$10)^INT((C792-1)/12)*(1-'Start Here'!$B$10)</f>
        <v>15000</v>
      </c>
      <c r="J792" s="10" t="n">
        <f aca="false">MAX(0,E792-E791)*Staffing!$O$19</f>
        <v>0</v>
      </c>
      <c r="K792" s="10" t="n">
        <f aca="false">MAX(0,E792-E791)*Staffing!$P$19</f>
        <v>0</v>
      </c>
      <c r="L792" s="23" t="n">
        <f aca="false">ROUNDUP(E792,0)</f>
        <v>1</v>
      </c>
    </row>
    <row r="793" customFormat="false" ht="15" hidden="false" customHeight="false" outlineLevel="0" collapsed="false">
      <c r="A793" s="6" t="s">
        <v>4</v>
      </c>
      <c r="B793" s="6" t="s">
        <v>325</v>
      </c>
      <c r="C793" s="6" t="n">
        <v>8</v>
      </c>
      <c r="D793" s="25" t="n">
        <f aca="false">EDATE('Start Here'!$B$6,C793-1)</f>
        <v>46539</v>
      </c>
      <c r="E793" s="11" t="n">
        <f aca="false">IF(AND(C793&gt;=Staffing!$F$19,C793&lt;=Staffing!$G$19,1=1),IF(C793&lt;=6,Staffing!$H$19,IF(C793&lt;=15,Staffing!$I$19,IF(C793&lt;=30,Staffing!$J$19,Staffing!$K$19))),0)</f>
        <v>1</v>
      </c>
      <c r="F793" s="10" t="n">
        <f aca="false">E793*Assumptions!$D$26/12*(1+Assumptions!$D$10)^INT((C793-1)/12)*'Start Here'!$B$10</f>
        <v>0</v>
      </c>
      <c r="G793" s="10" t="n">
        <f aca="false">F793*Staffing!$N$19</f>
        <v>0</v>
      </c>
      <c r="H793" s="10" t="n">
        <f aca="false">F793+G793</f>
        <v>0</v>
      </c>
      <c r="I793" s="10" t="n">
        <f aca="false">E793*Assumptions!$D$26/12*(1+Assumptions!$D$10)^INT((C793-1)/12)*(1-'Start Here'!$B$10)</f>
        <v>15000</v>
      </c>
      <c r="J793" s="10" t="n">
        <f aca="false">MAX(0,E793-E792)*Staffing!$O$19</f>
        <v>0</v>
      </c>
      <c r="K793" s="10" t="n">
        <f aca="false">MAX(0,E793-E792)*Staffing!$P$19</f>
        <v>0</v>
      </c>
      <c r="L793" s="23" t="n">
        <f aca="false">ROUNDUP(E793,0)</f>
        <v>1</v>
      </c>
    </row>
    <row r="794" customFormat="false" ht="15" hidden="false" customHeight="false" outlineLevel="0" collapsed="false">
      <c r="A794" s="6" t="s">
        <v>4</v>
      </c>
      <c r="B794" s="6" t="s">
        <v>325</v>
      </c>
      <c r="C794" s="6" t="n">
        <v>9</v>
      </c>
      <c r="D794" s="25" t="n">
        <f aca="false">EDATE('Start Here'!$B$6,C794-1)</f>
        <v>46569</v>
      </c>
      <c r="E794" s="11" t="n">
        <f aca="false">IF(AND(C794&gt;=Staffing!$F$19,C794&lt;=Staffing!$G$19,1=1),IF(C794&lt;=6,Staffing!$H$19,IF(C794&lt;=15,Staffing!$I$19,IF(C794&lt;=30,Staffing!$J$19,Staffing!$K$19))),0)</f>
        <v>1</v>
      </c>
      <c r="F794" s="10" t="n">
        <f aca="false">E794*Assumptions!$D$26/12*(1+Assumptions!$D$10)^INT((C794-1)/12)*'Start Here'!$B$10</f>
        <v>0</v>
      </c>
      <c r="G794" s="10" t="n">
        <f aca="false">F794*Staffing!$N$19</f>
        <v>0</v>
      </c>
      <c r="H794" s="10" t="n">
        <f aca="false">F794+G794</f>
        <v>0</v>
      </c>
      <c r="I794" s="10" t="n">
        <f aca="false">E794*Assumptions!$D$26/12*(1+Assumptions!$D$10)^INT((C794-1)/12)*(1-'Start Here'!$B$10)</f>
        <v>15000</v>
      </c>
      <c r="J794" s="10" t="n">
        <f aca="false">MAX(0,E794-E793)*Staffing!$O$19</f>
        <v>0</v>
      </c>
      <c r="K794" s="10" t="n">
        <f aca="false">MAX(0,E794-E793)*Staffing!$P$19</f>
        <v>0</v>
      </c>
      <c r="L794" s="23" t="n">
        <f aca="false">ROUNDUP(E794,0)</f>
        <v>1</v>
      </c>
    </row>
    <row r="795" customFormat="false" ht="15" hidden="false" customHeight="false" outlineLevel="0" collapsed="false">
      <c r="A795" s="6" t="s">
        <v>4</v>
      </c>
      <c r="B795" s="6" t="s">
        <v>325</v>
      </c>
      <c r="C795" s="6" t="n">
        <v>10</v>
      </c>
      <c r="D795" s="25" t="n">
        <f aca="false">EDATE('Start Here'!$B$6,C795-1)</f>
        <v>46600</v>
      </c>
      <c r="E795" s="11" t="n">
        <f aca="false">IF(AND(C795&gt;=Staffing!$F$19,C795&lt;=Staffing!$G$19,1=1),IF(C795&lt;=6,Staffing!$H$19,IF(C795&lt;=15,Staffing!$I$19,IF(C795&lt;=30,Staffing!$J$19,Staffing!$K$19))),0)</f>
        <v>1</v>
      </c>
      <c r="F795" s="10" t="n">
        <f aca="false">E795*Assumptions!$D$26/12*(1+Assumptions!$D$10)^INT((C795-1)/12)*'Start Here'!$B$10</f>
        <v>0</v>
      </c>
      <c r="G795" s="10" t="n">
        <f aca="false">F795*Staffing!$N$19</f>
        <v>0</v>
      </c>
      <c r="H795" s="10" t="n">
        <f aca="false">F795+G795</f>
        <v>0</v>
      </c>
      <c r="I795" s="10" t="n">
        <f aca="false">E795*Assumptions!$D$26/12*(1+Assumptions!$D$10)^INT((C795-1)/12)*(1-'Start Here'!$B$10)</f>
        <v>15000</v>
      </c>
      <c r="J795" s="10" t="n">
        <f aca="false">MAX(0,E795-E794)*Staffing!$O$19</f>
        <v>0</v>
      </c>
      <c r="K795" s="10" t="n">
        <f aca="false">MAX(0,E795-E794)*Staffing!$P$19</f>
        <v>0</v>
      </c>
      <c r="L795" s="23" t="n">
        <f aca="false">ROUNDUP(E795,0)</f>
        <v>1</v>
      </c>
    </row>
    <row r="796" customFormat="false" ht="15" hidden="false" customHeight="false" outlineLevel="0" collapsed="false">
      <c r="A796" s="6" t="s">
        <v>4</v>
      </c>
      <c r="B796" s="6" t="s">
        <v>325</v>
      </c>
      <c r="C796" s="6" t="n">
        <v>11</v>
      </c>
      <c r="D796" s="25" t="n">
        <f aca="false">EDATE('Start Here'!$B$6,C796-1)</f>
        <v>46631</v>
      </c>
      <c r="E796" s="11" t="n">
        <f aca="false">IF(AND(C796&gt;=Staffing!$F$19,C796&lt;=Staffing!$G$19,1=1),IF(C796&lt;=6,Staffing!$H$19,IF(C796&lt;=15,Staffing!$I$19,IF(C796&lt;=30,Staffing!$J$19,Staffing!$K$19))),0)</f>
        <v>1</v>
      </c>
      <c r="F796" s="10" t="n">
        <f aca="false">E796*Assumptions!$D$26/12*(1+Assumptions!$D$10)^INT((C796-1)/12)*'Start Here'!$B$10</f>
        <v>0</v>
      </c>
      <c r="G796" s="10" t="n">
        <f aca="false">F796*Staffing!$N$19</f>
        <v>0</v>
      </c>
      <c r="H796" s="10" t="n">
        <f aca="false">F796+G796</f>
        <v>0</v>
      </c>
      <c r="I796" s="10" t="n">
        <f aca="false">E796*Assumptions!$D$26/12*(1+Assumptions!$D$10)^INT((C796-1)/12)*(1-'Start Here'!$B$10)</f>
        <v>15000</v>
      </c>
      <c r="J796" s="10" t="n">
        <f aca="false">MAX(0,E796-E795)*Staffing!$O$19</f>
        <v>0</v>
      </c>
      <c r="K796" s="10" t="n">
        <f aca="false">MAX(0,E796-E795)*Staffing!$P$19</f>
        <v>0</v>
      </c>
      <c r="L796" s="23" t="n">
        <f aca="false">ROUNDUP(E796,0)</f>
        <v>1</v>
      </c>
    </row>
    <row r="797" customFormat="false" ht="15" hidden="false" customHeight="false" outlineLevel="0" collapsed="false">
      <c r="A797" s="6" t="s">
        <v>4</v>
      </c>
      <c r="B797" s="6" t="s">
        <v>325</v>
      </c>
      <c r="C797" s="6" t="n">
        <v>12</v>
      </c>
      <c r="D797" s="25" t="n">
        <f aca="false">EDATE('Start Here'!$B$6,C797-1)</f>
        <v>46661</v>
      </c>
      <c r="E797" s="11" t="n">
        <f aca="false">IF(AND(C797&gt;=Staffing!$F$19,C797&lt;=Staffing!$G$19,1=1),IF(C797&lt;=6,Staffing!$H$19,IF(C797&lt;=15,Staffing!$I$19,IF(C797&lt;=30,Staffing!$J$19,Staffing!$K$19))),0)</f>
        <v>1</v>
      </c>
      <c r="F797" s="10" t="n">
        <f aca="false">E797*Assumptions!$D$26/12*(1+Assumptions!$D$10)^INT((C797-1)/12)*'Start Here'!$B$10</f>
        <v>0</v>
      </c>
      <c r="G797" s="10" t="n">
        <f aca="false">F797*Staffing!$N$19</f>
        <v>0</v>
      </c>
      <c r="H797" s="10" t="n">
        <f aca="false">F797+G797</f>
        <v>0</v>
      </c>
      <c r="I797" s="10" t="n">
        <f aca="false">E797*Assumptions!$D$26/12*(1+Assumptions!$D$10)^INT((C797-1)/12)*(1-'Start Here'!$B$10)</f>
        <v>15000</v>
      </c>
      <c r="J797" s="10" t="n">
        <f aca="false">MAX(0,E797-E796)*Staffing!$O$19</f>
        <v>0</v>
      </c>
      <c r="K797" s="10" t="n">
        <f aca="false">MAX(0,E797-E796)*Staffing!$P$19</f>
        <v>0</v>
      </c>
      <c r="L797" s="23" t="n">
        <f aca="false">ROUNDUP(E797,0)</f>
        <v>1</v>
      </c>
    </row>
    <row r="798" customFormat="false" ht="15" hidden="false" customHeight="false" outlineLevel="0" collapsed="false">
      <c r="A798" s="6" t="s">
        <v>4</v>
      </c>
      <c r="B798" s="6" t="s">
        <v>325</v>
      </c>
      <c r="C798" s="6" t="n">
        <v>13</v>
      </c>
      <c r="D798" s="25" t="n">
        <f aca="false">EDATE('Start Here'!$B$6,C798-1)</f>
        <v>46692</v>
      </c>
      <c r="E798" s="11" t="n">
        <f aca="false">IF(AND(C798&gt;=Staffing!$F$19,C798&lt;=Staffing!$G$19,1=1),IF(C798&lt;=6,Staffing!$H$19,IF(C798&lt;=15,Staffing!$I$19,IF(C798&lt;=30,Staffing!$J$19,Staffing!$K$19))),0)</f>
        <v>1</v>
      </c>
      <c r="F798" s="10" t="n">
        <f aca="false">E798*Assumptions!$D$26/12*(1+Assumptions!$D$10)^INT((C798-1)/12)*'Start Here'!$B$10</f>
        <v>0</v>
      </c>
      <c r="G798" s="10" t="n">
        <f aca="false">F798*Staffing!$N$19</f>
        <v>0</v>
      </c>
      <c r="H798" s="10" t="n">
        <f aca="false">F798+G798</f>
        <v>0</v>
      </c>
      <c r="I798" s="10" t="n">
        <f aca="false">E798*Assumptions!$D$26/12*(1+Assumptions!$D$10)^INT((C798-1)/12)*(1-'Start Here'!$B$10)</f>
        <v>15600</v>
      </c>
      <c r="J798" s="10" t="n">
        <f aca="false">MAX(0,E798-E797)*Staffing!$O$19</f>
        <v>0</v>
      </c>
      <c r="K798" s="10" t="n">
        <f aca="false">MAX(0,E798-E797)*Staffing!$P$19</f>
        <v>0</v>
      </c>
      <c r="L798" s="23" t="n">
        <f aca="false">ROUNDUP(E798,0)</f>
        <v>1</v>
      </c>
    </row>
    <row r="799" customFormat="false" ht="15" hidden="false" customHeight="false" outlineLevel="0" collapsed="false">
      <c r="A799" s="6" t="s">
        <v>4</v>
      </c>
      <c r="B799" s="6" t="s">
        <v>325</v>
      </c>
      <c r="C799" s="6" t="n">
        <v>14</v>
      </c>
      <c r="D799" s="25" t="n">
        <f aca="false">EDATE('Start Here'!$B$6,C799-1)</f>
        <v>46722</v>
      </c>
      <c r="E799" s="11" t="n">
        <f aca="false">IF(AND(C799&gt;=Staffing!$F$19,C799&lt;=Staffing!$G$19,1=1),IF(C799&lt;=6,Staffing!$H$19,IF(C799&lt;=15,Staffing!$I$19,IF(C799&lt;=30,Staffing!$J$19,Staffing!$K$19))),0)</f>
        <v>1</v>
      </c>
      <c r="F799" s="10" t="n">
        <f aca="false">E799*Assumptions!$D$26/12*(1+Assumptions!$D$10)^INT((C799-1)/12)*'Start Here'!$B$10</f>
        <v>0</v>
      </c>
      <c r="G799" s="10" t="n">
        <f aca="false">F799*Staffing!$N$19</f>
        <v>0</v>
      </c>
      <c r="H799" s="10" t="n">
        <f aca="false">F799+G799</f>
        <v>0</v>
      </c>
      <c r="I799" s="10" t="n">
        <f aca="false">E799*Assumptions!$D$26/12*(1+Assumptions!$D$10)^INT((C799-1)/12)*(1-'Start Here'!$B$10)</f>
        <v>15600</v>
      </c>
      <c r="J799" s="10" t="n">
        <f aca="false">MAX(0,E799-E798)*Staffing!$O$19</f>
        <v>0</v>
      </c>
      <c r="K799" s="10" t="n">
        <f aca="false">MAX(0,E799-E798)*Staffing!$P$19</f>
        <v>0</v>
      </c>
      <c r="L799" s="23" t="n">
        <f aca="false">ROUNDUP(E799,0)</f>
        <v>1</v>
      </c>
    </row>
    <row r="800" customFormat="false" ht="15" hidden="false" customHeight="false" outlineLevel="0" collapsed="false">
      <c r="A800" s="6" t="s">
        <v>4</v>
      </c>
      <c r="B800" s="6" t="s">
        <v>325</v>
      </c>
      <c r="C800" s="6" t="n">
        <v>15</v>
      </c>
      <c r="D800" s="25" t="n">
        <f aca="false">EDATE('Start Here'!$B$6,C800-1)</f>
        <v>46753</v>
      </c>
      <c r="E800" s="11" t="n">
        <f aca="false">IF(AND(C800&gt;=Staffing!$F$19,C800&lt;=Staffing!$G$19,1=1),IF(C800&lt;=6,Staffing!$H$19,IF(C800&lt;=15,Staffing!$I$19,IF(C800&lt;=30,Staffing!$J$19,Staffing!$K$19))),0)</f>
        <v>1</v>
      </c>
      <c r="F800" s="10" t="n">
        <f aca="false">E800*Assumptions!$D$26/12*(1+Assumptions!$D$10)^INT((C800-1)/12)*'Start Here'!$B$10</f>
        <v>0</v>
      </c>
      <c r="G800" s="10" t="n">
        <f aca="false">F800*Staffing!$N$19</f>
        <v>0</v>
      </c>
      <c r="H800" s="10" t="n">
        <f aca="false">F800+G800</f>
        <v>0</v>
      </c>
      <c r="I800" s="10" t="n">
        <f aca="false">E800*Assumptions!$D$26/12*(1+Assumptions!$D$10)^INT((C800-1)/12)*(1-'Start Here'!$B$10)</f>
        <v>15600</v>
      </c>
      <c r="J800" s="10" t="n">
        <f aca="false">MAX(0,E800-E799)*Staffing!$O$19</f>
        <v>0</v>
      </c>
      <c r="K800" s="10" t="n">
        <f aca="false">MAX(0,E800-E799)*Staffing!$P$19</f>
        <v>0</v>
      </c>
      <c r="L800" s="23" t="n">
        <f aca="false">ROUNDUP(E800,0)</f>
        <v>1</v>
      </c>
    </row>
    <row r="801" customFormat="false" ht="15" hidden="false" customHeight="false" outlineLevel="0" collapsed="false">
      <c r="A801" s="6" t="s">
        <v>4</v>
      </c>
      <c r="B801" s="6" t="s">
        <v>325</v>
      </c>
      <c r="C801" s="6" t="n">
        <v>16</v>
      </c>
      <c r="D801" s="25" t="n">
        <f aca="false">EDATE('Start Here'!$B$6,C801-1)</f>
        <v>46784</v>
      </c>
      <c r="E801" s="11" t="n">
        <f aca="false">IF(AND(C801&gt;=Staffing!$F$19,C801&lt;=Staffing!$G$19,1=1),IF(C801&lt;=6,Staffing!$H$19,IF(C801&lt;=15,Staffing!$I$19,IF(C801&lt;=30,Staffing!$J$19,Staffing!$K$19))),0)</f>
        <v>1</v>
      </c>
      <c r="F801" s="10" t="n">
        <f aca="false">E801*Assumptions!$D$26/12*(1+Assumptions!$D$10)^INT((C801-1)/12)*'Start Here'!$B$10</f>
        <v>0</v>
      </c>
      <c r="G801" s="10" t="n">
        <f aca="false">F801*Staffing!$N$19</f>
        <v>0</v>
      </c>
      <c r="H801" s="10" t="n">
        <f aca="false">F801+G801</f>
        <v>0</v>
      </c>
      <c r="I801" s="10" t="n">
        <f aca="false">E801*Assumptions!$D$26/12*(1+Assumptions!$D$10)^INT((C801-1)/12)*(1-'Start Here'!$B$10)</f>
        <v>15600</v>
      </c>
      <c r="J801" s="10" t="n">
        <f aca="false">MAX(0,E801-E800)*Staffing!$O$19</f>
        <v>0</v>
      </c>
      <c r="K801" s="10" t="n">
        <f aca="false">MAX(0,E801-E800)*Staffing!$P$19</f>
        <v>0</v>
      </c>
      <c r="L801" s="23" t="n">
        <f aca="false">ROUNDUP(E801,0)</f>
        <v>1</v>
      </c>
    </row>
    <row r="802" customFormat="false" ht="15" hidden="false" customHeight="false" outlineLevel="0" collapsed="false">
      <c r="A802" s="6" t="s">
        <v>4</v>
      </c>
      <c r="B802" s="6" t="s">
        <v>325</v>
      </c>
      <c r="C802" s="6" t="n">
        <v>17</v>
      </c>
      <c r="D802" s="25" t="n">
        <f aca="false">EDATE('Start Here'!$B$6,C802-1)</f>
        <v>46813</v>
      </c>
      <c r="E802" s="11" t="n">
        <f aca="false">IF(AND(C802&gt;=Staffing!$F$19,C802&lt;=Staffing!$G$19,1=1),IF(C802&lt;=6,Staffing!$H$19,IF(C802&lt;=15,Staffing!$I$19,IF(C802&lt;=30,Staffing!$J$19,Staffing!$K$19))),0)</f>
        <v>1</v>
      </c>
      <c r="F802" s="10" t="n">
        <f aca="false">E802*Assumptions!$D$26/12*(1+Assumptions!$D$10)^INT((C802-1)/12)*'Start Here'!$B$10</f>
        <v>0</v>
      </c>
      <c r="G802" s="10" t="n">
        <f aca="false">F802*Staffing!$N$19</f>
        <v>0</v>
      </c>
      <c r="H802" s="10" t="n">
        <f aca="false">F802+G802</f>
        <v>0</v>
      </c>
      <c r="I802" s="10" t="n">
        <f aca="false">E802*Assumptions!$D$26/12*(1+Assumptions!$D$10)^INT((C802-1)/12)*(1-'Start Here'!$B$10)</f>
        <v>15600</v>
      </c>
      <c r="J802" s="10" t="n">
        <f aca="false">MAX(0,E802-E801)*Staffing!$O$19</f>
        <v>0</v>
      </c>
      <c r="K802" s="10" t="n">
        <f aca="false">MAX(0,E802-E801)*Staffing!$P$19</f>
        <v>0</v>
      </c>
      <c r="L802" s="23" t="n">
        <f aca="false">ROUNDUP(E802,0)</f>
        <v>1</v>
      </c>
    </row>
    <row r="803" customFormat="false" ht="15" hidden="false" customHeight="false" outlineLevel="0" collapsed="false">
      <c r="A803" s="6" t="s">
        <v>4</v>
      </c>
      <c r="B803" s="6" t="s">
        <v>325</v>
      </c>
      <c r="C803" s="6" t="n">
        <v>18</v>
      </c>
      <c r="D803" s="25" t="n">
        <f aca="false">EDATE('Start Here'!$B$6,C803-1)</f>
        <v>46844</v>
      </c>
      <c r="E803" s="11" t="n">
        <f aca="false">IF(AND(C803&gt;=Staffing!$F$19,C803&lt;=Staffing!$G$19,1=1),IF(C803&lt;=6,Staffing!$H$19,IF(C803&lt;=15,Staffing!$I$19,IF(C803&lt;=30,Staffing!$J$19,Staffing!$K$19))),0)</f>
        <v>1</v>
      </c>
      <c r="F803" s="10" t="n">
        <f aca="false">E803*Assumptions!$D$26/12*(1+Assumptions!$D$10)^INT((C803-1)/12)*'Start Here'!$B$10</f>
        <v>0</v>
      </c>
      <c r="G803" s="10" t="n">
        <f aca="false">F803*Staffing!$N$19</f>
        <v>0</v>
      </c>
      <c r="H803" s="10" t="n">
        <f aca="false">F803+G803</f>
        <v>0</v>
      </c>
      <c r="I803" s="10" t="n">
        <f aca="false">E803*Assumptions!$D$26/12*(1+Assumptions!$D$10)^INT((C803-1)/12)*(1-'Start Here'!$B$10)</f>
        <v>15600</v>
      </c>
      <c r="J803" s="10" t="n">
        <f aca="false">MAX(0,E803-E802)*Staffing!$O$19</f>
        <v>0</v>
      </c>
      <c r="K803" s="10" t="n">
        <f aca="false">MAX(0,E803-E802)*Staffing!$P$19</f>
        <v>0</v>
      </c>
      <c r="L803" s="23" t="n">
        <f aca="false">ROUNDUP(E803,0)</f>
        <v>1</v>
      </c>
    </row>
    <row r="804" customFormat="false" ht="15" hidden="false" customHeight="false" outlineLevel="0" collapsed="false">
      <c r="A804" s="6" t="s">
        <v>4</v>
      </c>
      <c r="B804" s="6" t="s">
        <v>325</v>
      </c>
      <c r="C804" s="6" t="n">
        <v>19</v>
      </c>
      <c r="D804" s="25" t="n">
        <f aca="false">EDATE('Start Here'!$B$6,C804-1)</f>
        <v>46874</v>
      </c>
      <c r="E804" s="11" t="n">
        <f aca="false">IF(AND(C804&gt;=Staffing!$F$19,C804&lt;=Staffing!$G$19,1=1),IF(C804&lt;=6,Staffing!$H$19,IF(C804&lt;=15,Staffing!$I$19,IF(C804&lt;=30,Staffing!$J$19,Staffing!$K$19))),0)</f>
        <v>1</v>
      </c>
      <c r="F804" s="10" t="n">
        <f aca="false">E804*Assumptions!$D$26/12*(1+Assumptions!$D$10)^INT((C804-1)/12)*'Start Here'!$B$10</f>
        <v>0</v>
      </c>
      <c r="G804" s="10" t="n">
        <f aca="false">F804*Staffing!$N$19</f>
        <v>0</v>
      </c>
      <c r="H804" s="10" t="n">
        <f aca="false">F804+G804</f>
        <v>0</v>
      </c>
      <c r="I804" s="10" t="n">
        <f aca="false">E804*Assumptions!$D$26/12*(1+Assumptions!$D$10)^INT((C804-1)/12)*(1-'Start Here'!$B$10)</f>
        <v>15600</v>
      </c>
      <c r="J804" s="10" t="n">
        <f aca="false">MAX(0,E804-E803)*Staffing!$O$19</f>
        <v>0</v>
      </c>
      <c r="K804" s="10" t="n">
        <f aca="false">MAX(0,E804-E803)*Staffing!$P$19</f>
        <v>0</v>
      </c>
      <c r="L804" s="23" t="n">
        <f aca="false">ROUNDUP(E804,0)</f>
        <v>1</v>
      </c>
    </row>
    <row r="805" customFormat="false" ht="15" hidden="false" customHeight="false" outlineLevel="0" collapsed="false">
      <c r="A805" s="6" t="s">
        <v>4</v>
      </c>
      <c r="B805" s="6" t="s">
        <v>325</v>
      </c>
      <c r="C805" s="6" t="n">
        <v>20</v>
      </c>
      <c r="D805" s="25" t="n">
        <f aca="false">EDATE('Start Here'!$B$6,C805-1)</f>
        <v>46905</v>
      </c>
      <c r="E805" s="11" t="n">
        <f aca="false">IF(AND(C805&gt;=Staffing!$F$19,C805&lt;=Staffing!$G$19,1=1),IF(C805&lt;=6,Staffing!$H$19,IF(C805&lt;=15,Staffing!$I$19,IF(C805&lt;=30,Staffing!$J$19,Staffing!$K$19))),0)</f>
        <v>1</v>
      </c>
      <c r="F805" s="10" t="n">
        <f aca="false">E805*Assumptions!$D$26/12*(1+Assumptions!$D$10)^INT((C805-1)/12)*'Start Here'!$B$10</f>
        <v>0</v>
      </c>
      <c r="G805" s="10" t="n">
        <f aca="false">F805*Staffing!$N$19</f>
        <v>0</v>
      </c>
      <c r="H805" s="10" t="n">
        <f aca="false">F805+G805</f>
        <v>0</v>
      </c>
      <c r="I805" s="10" t="n">
        <f aca="false">E805*Assumptions!$D$26/12*(1+Assumptions!$D$10)^INT((C805-1)/12)*(1-'Start Here'!$B$10)</f>
        <v>15600</v>
      </c>
      <c r="J805" s="10" t="n">
        <f aca="false">MAX(0,E805-E804)*Staffing!$O$19</f>
        <v>0</v>
      </c>
      <c r="K805" s="10" t="n">
        <f aca="false">MAX(0,E805-E804)*Staffing!$P$19</f>
        <v>0</v>
      </c>
      <c r="L805" s="23" t="n">
        <f aca="false">ROUNDUP(E805,0)</f>
        <v>1</v>
      </c>
    </row>
    <row r="806" customFormat="false" ht="15" hidden="false" customHeight="false" outlineLevel="0" collapsed="false">
      <c r="A806" s="6" t="s">
        <v>4</v>
      </c>
      <c r="B806" s="6" t="s">
        <v>325</v>
      </c>
      <c r="C806" s="6" t="n">
        <v>21</v>
      </c>
      <c r="D806" s="25" t="n">
        <f aca="false">EDATE('Start Here'!$B$6,C806-1)</f>
        <v>46935</v>
      </c>
      <c r="E806" s="11" t="n">
        <f aca="false">IF(AND(C806&gt;=Staffing!$F$19,C806&lt;=Staffing!$G$19,1=1),IF(C806&lt;=6,Staffing!$H$19,IF(C806&lt;=15,Staffing!$I$19,IF(C806&lt;=30,Staffing!$J$19,Staffing!$K$19))),0)</f>
        <v>1</v>
      </c>
      <c r="F806" s="10" t="n">
        <f aca="false">E806*Assumptions!$D$26/12*(1+Assumptions!$D$10)^INT((C806-1)/12)*'Start Here'!$B$10</f>
        <v>0</v>
      </c>
      <c r="G806" s="10" t="n">
        <f aca="false">F806*Staffing!$N$19</f>
        <v>0</v>
      </c>
      <c r="H806" s="10" t="n">
        <f aca="false">F806+G806</f>
        <v>0</v>
      </c>
      <c r="I806" s="10" t="n">
        <f aca="false">E806*Assumptions!$D$26/12*(1+Assumptions!$D$10)^INT((C806-1)/12)*(1-'Start Here'!$B$10)</f>
        <v>15600</v>
      </c>
      <c r="J806" s="10" t="n">
        <f aca="false">MAX(0,E806-E805)*Staffing!$O$19</f>
        <v>0</v>
      </c>
      <c r="K806" s="10" t="n">
        <f aca="false">MAX(0,E806-E805)*Staffing!$P$19</f>
        <v>0</v>
      </c>
      <c r="L806" s="23" t="n">
        <f aca="false">ROUNDUP(E806,0)</f>
        <v>1</v>
      </c>
    </row>
    <row r="807" customFormat="false" ht="15" hidden="false" customHeight="false" outlineLevel="0" collapsed="false">
      <c r="A807" s="6" t="s">
        <v>4</v>
      </c>
      <c r="B807" s="6" t="s">
        <v>325</v>
      </c>
      <c r="C807" s="6" t="n">
        <v>22</v>
      </c>
      <c r="D807" s="25" t="n">
        <f aca="false">EDATE('Start Here'!$B$6,C807-1)</f>
        <v>46966</v>
      </c>
      <c r="E807" s="11" t="n">
        <f aca="false">IF(AND(C807&gt;=Staffing!$F$19,C807&lt;=Staffing!$G$19,1=1),IF(C807&lt;=6,Staffing!$H$19,IF(C807&lt;=15,Staffing!$I$19,IF(C807&lt;=30,Staffing!$J$19,Staffing!$K$19))),0)</f>
        <v>1</v>
      </c>
      <c r="F807" s="10" t="n">
        <f aca="false">E807*Assumptions!$D$26/12*(1+Assumptions!$D$10)^INT((C807-1)/12)*'Start Here'!$B$10</f>
        <v>0</v>
      </c>
      <c r="G807" s="10" t="n">
        <f aca="false">F807*Staffing!$N$19</f>
        <v>0</v>
      </c>
      <c r="H807" s="10" t="n">
        <f aca="false">F807+G807</f>
        <v>0</v>
      </c>
      <c r="I807" s="10" t="n">
        <f aca="false">E807*Assumptions!$D$26/12*(1+Assumptions!$D$10)^INT((C807-1)/12)*(1-'Start Here'!$B$10)</f>
        <v>15600</v>
      </c>
      <c r="J807" s="10" t="n">
        <f aca="false">MAX(0,E807-E806)*Staffing!$O$19</f>
        <v>0</v>
      </c>
      <c r="K807" s="10" t="n">
        <f aca="false">MAX(0,E807-E806)*Staffing!$P$19</f>
        <v>0</v>
      </c>
      <c r="L807" s="23" t="n">
        <f aca="false">ROUNDUP(E807,0)</f>
        <v>1</v>
      </c>
    </row>
    <row r="808" customFormat="false" ht="15" hidden="false" customHeight="false" outlineLevel="0" collapsed="false">
      <c r="A808" s="6" t="s">
        <v>4</v>
      </c>
      <c r="B808" s="6" t="s">
        <v>325</v>
      </c>
      <c r="C808" s="6" t="n">
        <v>23</v>
      </c>
      <c r="D808" s="25" t="n">
        <f aca="false">EDATE('Start Here'!$B$6,C808-1)</f>
        <v>46997</v>
      </c>
      <c r="E808" s="11" t="n">
        <f aca="false">IF(AND(C808&gt;=Staffing!$F$19,C808&lt;=Staffing!$G$19,1=1),IF(C808&lt;=6,Staffing!$H$19,IF(C808&lt;=15,Staffing!$I$19,IF(C808&lt;=30,Staffing!$J$19,Staffing!$K$19))),0)</f>
        <v>1</v>
      </c>
      <c r="F808" s="10" t="n">
        <f aca="false">E808*Assumptions!$D$26/12*(1+Assumptions!$D$10)^INT((C808-1)/12)*'Start Here'!$B$10</f>
        <v>0</v>
      </c>
      <c r="G808" s="10" t="n">
        <f aca="false">F808*Staffing!$N$19</f>
        <v>0</v>
      </c>
      <c r="H808" s="10" t="n">
        <f aca="false">F808+G808</f>
        <v>0</v>
      </c>
      <c r="I808" s="10" t="n">
        <f aca="false">E808*Assumptions!$D$26/12*(1+Assumptions!$D$10)^INT((C808-1)/12)*(1-'Start Here'!$B$10)</f>
        <v>15600</v>
      </c>
      <c r="J808" s="10" t="n">
        <f aca="false">MAX(0,E808-E807)*Staffing!$O$19</f>
        <v>0</v>
      </c>
      <c r="K808" s="10" t="n">
        <f aca="false">MAX(0,E808-E807)*Staffing!$P$19</f>
        <v>0</v>
      </c>
      <c r="L808" s="23" t="n">
        <f aca="false">ROUNDUP(E808,0)</f>
        <v>1</v>
      </c>
    </row>
    <row r="809" customFormat="false" ht="15" hidden="false" customHeight="false" outlineLevel="0" collapsed="false">
      <c r="A809" s="6" t="s">
        <v>4</v>
      </c>
      <c r="B809" s="6" t="s">
        <v>325</v>
      </c>
      <c r="C809" s="6" t="n">
        <v>24</v>
      </c>
      <c r="D809" s="25" t="n">
        <f aca="false">EDATE('Start Here'!$B$6,C809-1)</f>
        <v>47027</v>
      </c>
      <c r="E809" s="11" t="n">
        <f aca="false">IF(AND(C809&gt;=Staffing!$F$19,C809&lt;=Staffing!$G$19,1=1),IF(C809&lt;=6,Staffing!$H$19,IF(C809&lt;=15,Staffing!$I$19,IF(C809&lt;=30,Staffing!$J$19,Staffing!$K$19))),0)</f>
        <v>1</v>
      </c>
      <c r="F809" s="10" t="n">
        <f aca="false">E809*Assumptions!$D$26/12*(1+Assumptions!$D$10)^INT((C809-1)/12)*'Start Here'!$B$10</f>
        <v>0</v>
      </c>
      <c r="G809" s="10" t="n">
        <f aca="false">F809*Staffing!$N$19</f>
        <v>0</v>
      </c>
      <c r="H809" s="10" t="n">
        <f aca="false">F809+G809</f>
        <v>0</v>
      </c>
      <c r="I809" s="10" t="n">
        <f aca="false">E809*Assumptions!$D$26/12*(1+Assumptions!$D$10)^INT((C809-1)/12)*(1-'Start Here'!$B$10)</f>
        <v>15600</v>
      </c>
      <c r="J809" s="10" t="n">
        <f aca="false">MAX(0,E809-E808)*Staffing!$O$19</f>
        <v>0</v>
      </c>
      <c r="K809" s="10" t="n">
        <f aca="false">MAX(0,E809-E808)*Staffing!$P$19</f>
        <v>0</v>
      </c>
      <c r="L809" s="23" t="n">
        <f aca="false">ROUNDUP(E809,0)</f>
        <v>1</v>
      </c>
    </row>
    <row r="810" customFormat="false" ht="15" hidden="false" customHeight="false" outlineLevel="0" collapsed="false">
      <c r="A810" s="6" t="s">
        <v>4</v>
      </c>
      <c r="B810" s="6" t="s">
        <v>325</v>
      </c>
      <c r="C810" s="6" t="n">
        <v>25</v>
      </c>
      <c r="D810" s="25" t="n">
        <f aca="false">EDATE('Start Here'!$B$6,C810-1)</f>
        <v>47058</v>
      </c>
      <c r="E810" s="11" t="n">
        <f aca="false">IF(AND(C810&gt;=Staffing!$F$19,C810&lt;=Staffing!$G$19,1=1),IF(C810&lt;=6,Staffing!$H$19,IF(C810&lt;=15,Staffing!$I$19,IF(C810&lt;=30,Staffing!$J$19,Staffing!$K$19))),0)</f>
        <v>1</v>
      </c>
      <c r="F810" s="10" t="n">
        <f aca="false">E810*Assumptions!$D$26/12*(1+Assumptions!$D$10)^INT((C810-1)/12)*'Start Here'!$B$10</f>
        <v>0</v>
      </c>
      <c r="G810" s="10" t="n">
        <f aca="false">F810*Staffing!$N$19</f>
        <v>0</v>
      </c>
      <c r="H810" s="10" t="n">
        <f aca="false">F810+G810</f>
        <v>0</v>
      </c>
      <c r="I810" s="10" t="n">
        <f aca="false">E810*Assumptions!$D$26/12*(1+Assumptions!$D$10)^INT((C810-1)/12)*(1-'Start Here'!$B$10)</f>
        <v>16224</v>
      </c>
      <c r="J810" s="10" t="n">
        <f aca="false">MAX(0,E810-E809)*Staffing!$O$19</f>
        <v>0</v>
      </c>
      <c r="K810" s="10" t="n">
        <f aca="false">MAX(0,E810-E809)*Staffing!$P$19</f>
        <v>0</v>
      </c>
      <c r="L810" s="23" t="n">
        <f aca="false">ROUNDUP(E810,0)</f>
        <v>1</v>
      </c>
    </row>
    <row r="811" customFormat="false" ht="15" hidden="false" customHeight="false" outlineLevel="0" collapsed="false">
      <c r="A811" s="6" t="s">
        <v>4</v>
      </c>
      <c r="B811" s="6" t="s">
        <v>325</v>
      </c>
      <c r="C811" s="6" t="n">
        <v>26</v>
      </c>
      <c r="D811" s="25" t="n">
        <f aca="false">EDATE('Start Here'!$B$6,C811-1)</f>
        <v>47088</v>
      </c>
      <c r="E811" s="11" t="n">
        <f aca="false">IF(AND(C811&gt;=Staffing!$F$19,C811&lt;=Staffing!$G$19,1=1),IF(C811&lt;=6,Staffing!$H$19,IF(C811&lt;=15,Staffing!$I$19,IF(C811&lt;=30,Staffing!$J$19,Staffing!$K$19))),0)</f>
        <v>1</v>
      </c>
      <c r="F811" s="10" t="n">
        <f aca="false">E811*Assumptions!$D$26/12*(1+Assumptions!$D$10)^INT((C811-1)/12)*'Start Here'!$B$10</f>
        <v>0</v>
      </c>
      <c r="G811" s="10" t="n">
        <f aca="false">F811*Staffing!$N$19</f>
        <v>0</v>
      </c>
      <c r="H811" s="10" t="n">
        <f aca="false">F811+G811</f>
        <v>0</v>
      </c>
      <c r="I811" s="10" t="n">
        <f aca="false">E811*Assumptions!$D$26/12*(1+Assumptions!$D$10)^INT((C811-1)/12)*(1-'Start Here'!$B$10)</f>
        <v>16224</v>
      </c>
      <c r="J811" s="10" t="n">
        <f aca="false">MAX(0,E811-E810)*Staffing!$O$19</f>
        <v>0</v>
      </c>
      <c r="K811" s="10" t="n">
        <f aca="false">MAX(0,E811-E810)*Staffing!$P$19</f>
        <v>0</v>
      </c>
      <c r="L811" s="23" t="n">
        <f aca="false">ROUNDUP(E811,0)</f>
        <v>1</v>
      </c>
    </row>
    <row r="812" customFormat="false" ht="15" hidden="false" customHeight="false" outlineLevel="0" collapsed="false">
      <c r="A812" s="6" t="s">
        <v>4</v>
      </c>
      <c r="B812" s="6" t="s">
        <v>325</v>
      </c>
      <c r="C812" s="6" t="n">
        <v>27</v>
      </c>
      <c r="D812" s="25" t="n">
        <f aca="false">EDATE('Start Here'!$B$6,C812-1)</f>
        <v>47119</v>
      </c>
      <c r="E812" s="11" t="n">
        <f aca="false">IF(AND(C812&gt;=Staffing!$F$19,C812&lt;=Staffing!$G$19,1=1),IF(C812&lt;=6,Staffing!$H$19,IF(C812&lt;=15,Staffing!$I$19,IF(C812&lt;=30,Staffing!$J$19,Staffing!$K$19))),0)</f>
        <v>1</v>
      </c>
      <c r="F812" s="10" t="n">
        <f aca="false">E812*Assumptions!$D$26/12*(1+Assumptions!$D$10)^INT((C812-1)/12)*'Start Here'!$B$10</f>
        <v>0</v>
      </c>
      <c r="G812" s="10" t="n">
        <f aca="false">F812*Staffing!$N$19</f>
        <v>0</v>
      </c>
      <c r="H812" s="10" t="n">
        <f aca="false">F812+G812</f>
        <v>0</v>
      </c>
      <c r="I812" s="10" t="n">
        <f aca="false">E812*Assumptions!$D$26/12*(1+Assumptions!$D$10)^INT((C812-1)/12)*(1-'Start Here'!$B$10)</f>
        <v>16224</v>
      </c>
      <c r="J812" s="10" t="n">
        <f aca="false">MAX(0,E812-E811)*Staffing!$O$19</f>
        <v>0</v>
      </c>
      <c r="K812" s="10" t="n">
        <f aca="false">MAX(0,E812-E811)*Staffing!$P$19</f>
        <v>0</v>
      </c>
      <c r="L812" s="23" t="n">
        <f aca="false">ROUNDUP(E812,0)</f>
        <v>1</v>
      </c>
    </row>
    <row r="813" customFormat="false" ht="15" hidden="false" customHeight="false" outlineLevel="0" collapsed="false">
      <c r="A813" s="6" t="s">
        <v>4</v>
      </c>
      <c r="B813" s="6" t="s">
        <v>325</v>
      </c>
      <c r="C813" s="6" t="n">
        <v>28</v>
      </c>
      <c r="D813" s="25" t="n">
        <f aca="false">EDATE('Start Here'!$B$6,C813-1)</f>
        <v>47150</v>
      </c>
      <c r="E813" s="11" t="n">
        <f aca="false">IF(AND(C813&gt;=Staffing!$F$19,C813&lt;=Staffing!$G$19,1=1),IF(C813&lt;=6,Staffing!$H$19,IF(C813&lt;=15,Staffing!$I$19,IF(C813&lt;=30,Staffing!$J$19,Staffing!$K$19))),0)</f>
        <v>1</v>
      </c>
      <c r="F813" s="10" t="n">
        <f aca="false">E813*Assumptions!$D$26/12*(1+Assumptions!$D$10)^INT((C813-1)/12)*'Start Here'!$B$10</f>
        <v>0</v>
      </c>
      <c r="G813" s="10" t="n">
        <f aca="false">F813*Staffing!$N$19</f>
        <v>0</v>
      </c>
      <c r="H813" s="10" t="n">
        <f aca="false">F813+G813</f>
        <v>0</v>
      </c>
      <c r="I813" s="10" t="n">
        <f aca="false">E813*Assumptions!$D$26/12*(1+Assumptions!$D$10)^INT((C813-1)/12)*(1-'Start Here'!$B$10)</f>
        <v>16224</v>
      </c>
      <c r="J813" s="10" t="n">
        <f aca="false">MAX(0,E813-E812)*Staffing!$O$19</f>
        <v>0</v>
      </c>
      <c r="K813" s="10" t="n">
        <f aca="false">MAX(0,E813-E812)*Staffing!$P$19</f>
        <v>0</v>
      </c>
      <c r="L813" s="23" t="n">
        <f aca="false">ROUNDUP(E813,0)</f>
        <v>1</v>
      </c>
    </row>
    <row r="814" customFormat="false" ht="15" hidden="false" customHeight="false" outlineLevel="0" collapsed="false">
      <c r="A814" s="6" t="s">
        <v>4</v>
      </c>
      <c r="B814" s="6" t="s">
        <v>325</v>
      </c>
      <c r="C814" s="6" t="n">
        <v>29</v>
      </c>
      <c r="D814" s="25" t="n">
        <f aca="false">EDATE('Start Here'!$B$6,C814-1)</f>
        <v>47178</v>
      </c>
      <c r="E814" s="11" t="n">
        <f aca="false">IF(AND(C814&gt;=Staffing!$F$19,C814&lt;=Staffing!$G$19,1=1),IF(C814&lt;=6,Staffing!$H$19,IF(C814&lt;=15,Staffing!$I$19,IF(C814&lt;=30,Staffing!$J$19,Staffing!$K$19))),0)</f>
        <v>1</v>
      </c>
      <c r="F814" s="10" t="n">
        <f aca="false">E814*Assumptions!$D$26/12*(1+Assumptions!$D$10)^INT((C814-1)/12)*'Start Here'!$B$10</f>
        <v>0</v>
      </c>
      <c r="G814" s="10" t="n">
        <f aca="false">F814*Staffing!$N$19</f>
        <v>0</v>
      </c>
      <c r="H814" s="10" t="n">
        <f aca="false">F814+G814</f>
        <v>0</v>
      </c>
      <c r="I814" s="10" t="n">
        <f aca="false">E814*Assumptions!$D$26/12*(1+Assumptions!$D$10)^INT((C814-1)/12)*(1-'Start Here'!$B$10)</f>
        <v>16224</v>
      </c>
      <c r="J814" s="10" t="n">
        <f aca="false">MAX(0,E814-E813)*Staffing!$O$19</f>
        <v>0</v>
      </c>
      <c r="K814" s="10" t="n">
        <f aca="false">MAX(0,E814-E813)*Staffing!$P$19</f>
        <v>0</v>
      </c>
      <c r="L814" s="23" t="n">
        <f aca="false">ROUNDUP(E814,0)</f>
        <v>1</v>
      </c>
    </row>
    <row r="815" customFormat="false" ht="15" hidden="false" customHeight="false" outlineLevel="0" collapsed="false">
      <c r="A815" s="6" t="s">
        <v>4</v>
      </c>
      <c r="B815" s="6" t="s">
        <v>325</v>
      </c>
      <c r="C815" s="6" t="n">
        <v>30</v>
      </c>
      <c r="D815" s="25" t="n">
        <f aca="false">EDATE('Start Here'!$B$6,C815-1)</f>
        <v>47209</v>
      </c>
      <c r="E815" s="11" t="n">
        <f aca="false">IF(AND(C815&gt;=Staffing!$F$19,C815&lt;=Staffing!$G$19,1=1),IF(C815&lt;=6,Staffing!$H$19,IF(C815&lt;=15,Staffing!$I$19,IF(C815&lt;=30,Staffing!$J$19,Staffing!$K$19))),0)</f>
        <v>1</v>
      </c>
      <c r="F815" s="10" t="n">
        <f aca="false">E815*Assumptions!$D$26/12*(1+Assumptions!$D$10)^INT((C815-1)/12)*'Start Here'!$B$10</f>
        <v>0</v>
      </c>
      <c r="G815" s="10" t="n">
        <f aca="false">F815*Staffing!$N$19</f>
        <v>0</v>
      </c>
      <c r="H815" s="10" t="n">
        <f aca="false">F815+G815</f>
        <v>0</v>
      </c>
      <c r="I815" s="10" t="n">
        <f aca="false">E815*Assumptions!$D$26/12*(1+Assumptions!$D$10)^INT((C815-1)/12)*(1-'Start Here'!$B$10)</f>
        <v>16224</v>
      </c>
      <c r="J815" s="10" t="n">
        <f aca="false">MAX(0,E815-E814)*Staffing!$O$19</f>
        <v>0</v>
      </c>
      <c r="K815" s="10" t="n">
        <f aca="false">MAX(0,E815-E814)*Staffing!$P$19</f>
        <v>0</v>
      </c>
      <c r="L815" s="23" t="n">
        <f aca="false">ROUNDUP(E815,0)</f>
        <v>1</v>
      </c>
    </row>
    <row r="816" customFormat="false" ht="15" hidden="false" customHeight="false" outlineLevel="0" collapsed="false">
      <c r="A816" s="6" t="s">
        <v>4</v>
      </c>
      <c r="B816" s="6" t="s">
        <v>325</v>
      </c>
      <c r="C816" s="6" t="n">
        <v>31</v>
      </c>
      <c r="D816" s="25" t="n">
        <f aca="false">EDATE('Start Here'!$B$6,C816-1)</f>
        <v>47239</v>
      </c>
      <c r="E816" s="11" t="n">
        <f aca="false">IF(AND(C816&gt;=Staffing!$F$19,C816&lt;=Staffing!$G$19,1=1),IF(C816&lt;=6,Staffing!$H$19,IF(C816&lt;=15,Staffing!$I$19,IF(C816&lt;=30,Staffing!$J$19,Staffing!$K$19))),0)</f>
        <v>1</v>
      </c>
      <c r="F816" s="10" t="n">
        <f aca="false">E816*Assumptions!$D$26/12*(1+Assumptions!$D$10)^INT((C816-1)/12)*'Start Here'!$B$10</f>
        <v>0</v>
      </c>
      <c r="G816" s="10" t="n">
        <f aca="false">F816*Staffing!$N$19</f>
        <v>0</v>
      </c>
      <c r="H816" s="10" t="n">
        <f aca="false">F816+G816</f>
        <v>0</v>
      </c>
      <c r="I816" s="10" t="n">
        <f aca="false">E816*Assumptions!$D$26/12*(1+Assumptions!$D$10)^INT((C816-1)/12)*(1-'Start Here'!$B$10)</f>
        <v>16224</v>
      </c>
      <c r="J816" s="10" t="n">
        <f aca="false">MAX(0,E816-E815)*Staffing!$O$19</f>
        <v>0</v>
      </c>
      <c r="K816" s="10" t="n">
        <f aca="false">MAX(0,E816-E815)*Staffing!$P$19</f>
        <v>0</v>
      </c>
      <c r="L816" s="23" t="n">
        <f aca="false">ROUNDUP(E816,0)</f>
        <v>1</v>
      </c>
    </row>
    <row r="817" customFormat="false" ht="15" hidden="false" customHeight="false" outlineLevel="0" collapsed="false">
      <c r="A817" s="6" t="s">
        <v>4</v>
      </c>
      <c r="B817" s="6" t="s">
        <v>325</v>
      </c>
      <c r="C817" s="6" t="n">
        <v>32</v>
      </c>
      <c r="D817" s="25" t="n">
        <f aca="false">EDATE('Start Here'!$B$6,C817-1)</f>
        <v>47270</v>
      </c>
      <c r="E817" s="11" t="n">
        <f aca="false">IF(AND(C817&gt;=Staffing!$F$19,C817&lt;=Staffing!$G$19,1=1),IF(C817&lt;=6,Staffing!$H$19,IF(C817&lt;=15,Staffing!$I$19,IF(C817&lt;=30,Staffing!$J$19,Staffing!$K$19))),0)</f>
        <v>1</v>
      </c>
      <c r="F817" s="10" t="n">
        <f aca="false">E817*Assumptions!$D$26/12*(1+Assumptions!$D$10)^INT((C817-1)/12)*'Start Here'!$B$10</f>
        <v>0</v>
      </c>
      <c r="G817" s="10" t="n">
        <f aca="false">F817*Staffing!$N$19</f>
        <v>0</v>
      </c>
      <c r="H817" s="10" t="n">
        <f aca="false">F817+G817</f>
        <v>0</v>
      </c>
      <c r="I817" s="10" t="n">
        <f aca="false">E817*Assumptions!$D$26/12*(1+Assumptions!$D$10)^INT((C817-1)/12)*(1-'Start Here'!$B$10)</f>
        <v>16224</v>
      </c>
      <c r="J817" s="10" t="n">
        <f aca="false">MAX(0,E817-E816)*Staffing!$O$19</f>
        <v>0</v>
      </c>
      <c r="K817" s="10" t="n">
        <f aca="false">MAX(0,E817-E816)*Staffing!$P$19</f>
        <v>0</v>
      </c>
      <c r="L817" s="23" t="n">
        <f aca="false">ROUNDUP(E817,0)</f>
        <v>1</v>
      </c>
    </row>
    <row r="818" customFormat="false" ht="15" hidden="false" customHeight="false" outlineLevel="0" collapsed="false">
      <c r="A818" s="6" t="s">
        <v>4</v>
      </c>
      <c r="B818" s="6" t="s">
        <v>325</v>
      </c>
      <c r="C818" s="6" t="n">
        <v>33</v>
      </c>
      <c r="D818" s="25" t="n">
        <f aca="false">EDATE('Start Here'!$B$6,C818-1)</f>
        <v>47300</v>
      </c>
      <c r="E818" s="11" t="n">
        <f aca="false">IF(AND(C818&gt;=Staffing!$F$19,C818&lt;=Staffing!$G$19,1=1),IF(C818&lt;=6,Staffing!$H$19,IF(C818&lt;=15,Staffing!$I$19,IF(C818&lt;=30,Staffing!$J$19,Staffing!$K$19))),0)</f>
        <v>1</v>
      </c>
      <c r="F818" s="10" t="n">
        <f aca="false">E818*Assumptions!$D$26/12*(1+Assumptions!$D$10)^INT((C818-1)/12)*'Start Here'!$B$10</f>
        <v>0</v>
      </c>
      <c r="G818" s="10" t="n">
        <f aca="false">F818*Staffing!$N$19</f>
        <v>0</v>
      </c>
      <c r="H818" s="10" t="n">
        <f aca="false">F818+G818</f>
        <v>0</v>
      </c>
      <c r="I818" s="10" t="n">
        <f aca="false">E818*Assumptions!$D$26/12*(1+Assumptions!$D$10)^INT((C818-1)/12)*(1-'Start Here'!$B$10)</f>
        <v>16224</v>
      </c>
      <c r="J818" s="10" t="n">
        <f aca="false">MAX(0,E818-E817)*Staffing!$O$19</f>
        <v>0</v>
      </c>
      <c r="K818" s="10" t="n">
        <f aca="false">MAX(0,E818-E817)*Staffing!$P$19</f>
        <v>0</v>
      </c>
      <c r="L818" s="23" t="n">
        <f aca="false">ROUNDUP(E818,0)</f>
        <v>1</v>
      </c>
    </row>
    <row r="819" customFormat="false" ht="15" hidden="false" customHeight="false" outlineLevel="0" collapsed="false">
      <c r="A819" s="6" t="s">
        <v>4</v>
      </c>
      <c r="B819" s="6" t="s">
        <v>325</v>
      </c>
      <c r="C819" s="6" t="n">
        <v>34</v>
      </c>
      <c r="D819" s="25" t="n">
        <f aca="false">EDATE('Start Here'!$B$6,C819-1)</f>
        <v>47331</v>
      </c>
      <c r="E819" s="11" t="n">
        <f aca="false">IF(AND(C819&gt;=Staffing!$F$19,C819&lt;=Staffing!$G$19,1=1),IF(C819&lt;=6,Staffing!$H$19,IF(C819&lt;=15,Staffing!$I$19,IF(C819&lt;=30,Staffing!$J$19,Staffing!$K$19))),0)</f>
        <v>1</v>
      </c>
      <c r="F819" s="10" t="n">
        <f aca="false">E819*Assumptions!$D$26/12*(1+Assumptions!$D$10)^INT((C819-1)/12)*'Start Here'!$B$10</f>
        <v>0</v>
      </c>
      <c r="G819" s="10" t="n">
        <f aca="false">F819*Staffing!$N$19</f>
        <v>0</v>
      </c>
      <c r="H819" s="10" t="n">
        <f aca="false">F819+G819</f>
        <v>0</v>
      </c>
      <c r="I819" s="10" t="n">
        <f aca="false">E819*Assumptions!$D$26/12*(1+Assumptions!$D$10)^INT((C819-1)/12)*(1-'Start Here'!$B$10)</f>
        <v>16224</v>
      </c>
      <c r="J819" s="10" t="n">
        <f aca="false">MAX(0,E819-E818)*Staffing!$O$19</f>
        <v>0</v>
      </c>
      <c r="K819" s="10" t="n">
        <f aca="false">MAX(0,E819-E818)*Staffing!$P$19</f>
        <v>0</v>
      </c>
      <c r="L819" s="23" t="n">
        <f aca="false">ROUNDUP(E819,0)</f>
        <v>1</v>
      </c>
    </row>
    <row r="820" customFormat="false" ht="15" hidden="false" customHeight="false" outlineLevel="0" collapsed="false">
      <c r="A820" s="6" t="s">
        <v>4</v>
      </c>
      <c r="B820" s="6" t="s">
        <v>325</v>
      </c>
      <c r="C820" s="6" t="n">
        <v>35</v>
      </c>
      <c r="D820" s="25" t="n">
        <f aca="false">EDATE('Start Here'!$B$6,C820-1)</f>
        <v>47362</v>
      </c>
      <c r="E820" s="11" t="n">
        <f aca="false">IF(AND(C820&gt;=Staffing!$F$19,C820&lt;=Staffing!$G$19,1=1),IF(C820&lt;=6,Staffing!$H$19,IF(C820&lt;=15,Staffing!$I$19,IF(C820&lt;=30,Staffing!$J$19,Staffing!$K$19))),0)</f>
        <v>1</v>
      </c>
      <c r="F820" s="10" t="n">
        <f aca="false">E820*Assumptions!$D$26/12*(1+Assumptions!$D$10)^INT((C820-1)/12)*'Start Here'!$B$10</f>
        <v>0</v>
      </c>
      <c r="G820" s="10" t="n">
        <f aca="false">F820*Staffing!$N$19</f>
        <v>0</v>
      </c>
      <c r="H820" s="10" t="n">
        <f aca="false">F820+G820</f>
        <v>0</v>
      </c>
      <c r="I820" s="10" t="n">
        <f aca="false">E820*Assumptions!$D$26/12*(1+Assumptions!$D$10)^INT((C820-1)/12)*(1-'Start Here'!$B$10)</f>
        <v>16224</v>
      </c>
      <c r="J820" s="10" t="n">
        <f aca="false">MAX(0,E820-E819)*Staffing!$O$19</f>
        <v>0</v>
      </c>
      <c r="K820" s="10" t="n">
        <f aca="false">MAX(0,E820-E819)*Staffing!$P$19</f>
        <v>0</v>
      </c>
      <c r="L820" s="23" t="n">
        <f aca="false">ROUNDUP(E820,0)</f>
        <v>1</v>
      </c>
    </row>
    <row r="821" customFormat="false" ht="15" hidden="false" customHeight="false" outlineLevel="0" collapsed="false">
      <c r="A821" s="6" t="s">
        <v>4</v>
      </c>
      <c r="B821" s="6" t="s">
        <v>325</v>
      </c>
      <c r="C821" s="6" t="n">
        <v>36</v>
      </c>
      <c r="D821" s="25" t="n">
        <f aca="false">EDATE('Start Here'!$B$6,C821-1)</f>
        <v>47392</v>
      </c>
      <c r="E821" s="11" t="n">
        <f aca="false">IF(AND(C821&gt;=Staffing!$F$19,C821&lt;=Staffing!$G$19,1=1),IF(C821&lt;=6,Staffing!$H$19,IF(C821&lt;=15,Staffing!$I$19,IF(C821&lt;=30,Staffing!$J$19,Staffing!$K$19))),0)</f>
        <v>1</v>
      </c>
      <c r="F821" s="10" t="n">
        <f aca="false">E821*Assumptions!$D$26/12*(1+Assumptions!$D$10)^INT((C821-1)/12)*'Start Here'!$B$10</f>
        <v>0</v>
      </c>
      <c r="G821" s="10" t="n">
        <f aca="false">F821*Staffing!$N$19</f>
        <v>0</v>
      </c>
      <c r="H821" s="10" t="n">
        <f aca="false">F821+G821</f>
        <v>0</v>
      </c>
      <c r="I821" s="10" t="n">
        <f aca="false">E821*Assumptions!$D$26/12*(1+Assumptions!$D$10)^INT((C821-1)/12)*(1-'Start Here'!$B$10)</f>
        <v>16224</v>
      </c>
      <c r="J821" s="10" t="n">
        <f aca="false">MAX(0,E821-E820)*Staffing!$O$19</f>
        <v>0</v>
      </c>
      <c r="K821" s="10" t="n">
        <f aca="false">MAX(0,E821-E820)*Staffing!$P$19</f>
        <v>0</v>
      </c>
      <c r="L821" s="23" t="n">
        <f aca="false">ROUNDUP(E821,0)</f>
        <v>1</v>
      </c>
    </row>
    <row r="822" customFormat="false" ht="15" hidden="false" customHeight="false" outlineLevel="0" collapsed="false">
      <c r="A822" s="6" t="s">
        <v>4</v>
      </c>
      <c r="B822" s="6" t="s">
        <v>325</v>
      </c>
      <c r="C822" s="6" t="n">
        <v>37</v>
      </c>
      <c r="D822" s="25" t="n">
        <f aca="false">EDATE('Start Here'!$B$6,C822-1)</f>
        <v>47423</v>
      </c>
      <c r="E822" s="11" t="n">
        <f aca="false">IF(AND(C822&gt;=Staffing!$F$19,C822&lt;=Staffing!$G$19,1=1),IF(C822&lt;=6,Staffing!$H$19,IF(C822&lt;=15,Staffing!$I$19,IF(C822&lt;=30,Staffing!$J$19,Staffing!$K$19))),0)</f>
        <v>1</v>
      </c>
      <c r="F822" s="10" t="n">
        <f aca="false">E822*Assumptions!$D$26/12*(1+Assumptions!$D$10)^INT((C822-1)/12)*'Start Here'!$B$10</f>
        <v>0</v>
      </c>
      <c r="G822" s="10" t="n">
        <f aca="false">F822*Staffing!$N$19</f>
        <v>0</v>
      </c>
      <c r="H822" s="10" t="n">
        <f aca="false">F822+G822</f>
        <v>0</v>
      </c>
      <c r="I822" s="10" t="n">
        <f aca="false">E822*Assumptions!$D$26/12*(1+Assumptions!$D$10)^INT((C822-1)/12)*(1-'Start Here'!$B$10)</f>
        <v>16872.96</v>
      </c>
      <c r="J822" s="10" t="n">
        <f aca="false">MAX(0,E822-E821)*Staffing!$O$19</f>
        <v>0</v>
      </c>
      <c r="K822" s="10" t="n">
        <f aca="false">MAX(0,E822-E821)*Staffing!$P$19</f>
        <v>0</v>
      </c>
      <c r="L822" s="23" t="n">
        <f aca="false">ROUNDUP(E822,0)</f>
        <v>1</v>
      </c>
    </row>
    <row r="823" customFormat="false" ht="15" hidden="false" customHeight="false" outlineLevel="0" collapsed="false">
      <c r="A823" s="6" t="s">
        <v>4</v>
      </c>
      <c r="B823" s="6" t="s">
        <v>325</v>
      </c>
      <c r="C823" s="6" t="n">
        <v>38</v>
      </c>
      <c r="D823" s="25" t="n">
        <f aca="false">EDATE('Start Here'!$B$6,C823-1)</f>
        <v>47453</v>
      </c>
      <c r="E823" s="11" t="n">
        <f aca="false">IF(AND(C823&gt;=Staffing!$F$19,C823&lt;=Staffing!$G$19,1=1),IF(C823&lt;=6,Staffing!$H$19,IF(C823&lt;=15,Staffing!$I$19,IF(C823&lt;=30,Staffing!$J$19,Staffing!$K$19))),0)</f>
        <v>1</v>
      </c>
      <c r="F823" s="10" t="n">
        <f aca="false">E823*Assumptions!$D$26/12*(1+Assumptions!$D$10)^INT((C823-1)/12)*'Start Here'!$B$10</f>
        <v>0</v>
      </c>
      <c r="G823" s="10" t="n">
        <f aca="false">F823*Staffing!$N$19</f>
        <v>0</v>
      </c>
      <c r="H823" s="10" t="n">
        <f aca="false">F823+G823</f>
        <v>0</v>
      </c>
      <c r="I823" s="10" t="n">
        <f aca="false">E823*Assumptions!$D$26/12*(1+Assumptions!$D$10)^INT((C823-1)/12)*(1-'Start Here'!$B$10)</f>
        <v>16872.96</v>
      </c>
      <c r="J823" s="10" t="n">
        <f aca="false">MAX(0,E823-E822)*Staffing!$O$19</f>
        <v>0</v>
      </c>
      <c r="K823" s="10" t="n">
        <f aca="false">MAX(0,E823-E822)*Staffing!$P$19</f>
        <v>0</v>
      </c>
      <c r="L823" s="23" t="n">
        <f aca="false">ROUNDUP(E823,0)</f>
        <v>1</v>
      </c>
    </row>
    <row r="824" customFormat="false" ht="15" hidden="false" customHeight="false" outlineLevel="0" collapsed="false">
      <c r="A824" s="6" t="s">
        <v>4</v>
      </c>
      <c r="B824" s="6" t="s">
        <v>325</v>
      </c>
      <c r="C824" s="6" t="n">
        <v>39</v>
      </c>
      <c r="D824" s="25" t="n">
        <f aca="false">EDATE('Start Here'!$B$6,C824-1)</f>
        <v>47484</v>
      </c>
      <c r="E824" s="11" t="n">
        <f aca="false">IF(AND(C824&gt;=Staffing!$F$19,C824&lt;=Staffing!$G$19,1=1),IF(C824&lt;=6,Staffing!$H$19,IF(C824&lt;=15,Staffing!$I$19,IF(C824&lt;=30,Staffing!$J$19,Staffing!$K$19))),0)</f>
        <v>1</v>
      </c>
      <c r="F824" s="10" t="n">
        <f aca="false">E824*Assumptions!$D$26/12*(1+Assumptions!$D$10)^INT((C824-1)/12)*'Start Here'!$B$10</f>
        <v>0</v>
      </c>
      <c r="G824" s="10" t="n">
        <f aca="false">F824*Staffing!$N$19</f>
        <v>0</v>
      </c>
      <c r="H824" s="10" t="n">
        <f aca="false">F824+G824</f>
        <v>0</v>
      </c>
      <c r="I824" s="10" t="n">
        <f aca="false">E824*Assumptions!$D$26/12*(1+Assumptions!$D$10)^INT((C824-1)/12)*(1-'Start Here'!$B$10)</f>
        <v>16872.96</v>
      </c>
      <c r="J824" s="10" t="n">
        <f aca="false">MAX(0,E824-E823)*Staffing!$O$19</f>
        <v>0</v>
      </c>
      <c r="K824" s="10" t="n">
        <f aca="false">MAX(0,E824-E823)*Staffing!$P$19</f>
        <v>0</v>
      </c>
      <c r="L824" s="23" t="n">
        <f aca="false">ROUNDUP(E824,0)</f>
        <v>1</v>
      </c>
    </row>
    <row r="825" customFormat="false" ht="15" hidden="false" customHeight="false" outlineLevel="0" collapsed="false">
      <c r="A825" s="6" t="s">
        <v>4</v>
      </c>
      <c r="B825" s="6" t="s">
        <v>325</v>
      </c>
      <c r="C825" s="6" t="n">
        <v>40</v>
      </c>
      <c r="D825" s="25" t="n">
        <f aca="false">EDATE('Start Here'!$B$6,C825-1)</f>
        <v>47515</v>
      </c>
      <c r="E825" s="11" t="n">
        <f aca="false">IF(AND(C825&gt;=Staffing!$F$19,C825&lt;=Staffing!$G$19,1=1),IF(C825&lt;=6,Staffing!$H$19,IF(C825&lt;=15,Staffing!$I$19,IF(C825&lt;=30,Staffing!$J$19,Staffing!$K$19))),0)</f>
        <v>1</v>
      </c>
      <c r="F825" s="10" t="n">
        <f aca="false">E825*Assumptions!$D$26/12*(1+Assumptions!$D$10)^INT((C825-1)/12)*'Start Here'!$B$10</f>
        <v>0</v>
      </c>
      <c r="G825" s="10" t="n">
        <f aca="false">F825*Staffing!$N$19</f>
        <v>0</v>
      </c>
      <c r="H825" s="10" t="n">
        <f aca="false">F825+G825</f>
        <v>0</v>
      </c>
      <c r="I825" s="10" t="n">
        <f aca="false">E825*Assumptions!$D$26/12*(1+Assumptions!$D$10)^INT((C825-1)/12)*(1-'Start Here'!$B$10)</f>
        <v>16872.96</v>
      </c>
      <c r="J825" s="10" t="n">
        <f aca="false">MAX(0,E825-E824)*Staffing!$O$19</f>
        <v>0</v>
      </c>
      <c r="K825" s="10" t="n">
        <f aca="false">MAX(0,E825-E824)*Staffing!$P$19</f>
        <v>0</v>
      </c>
      <c r="L825" s="23" t="n">
        <f aca="false">ROUNDUP(E825,0)</f>
        <v>1</v>
      </c>
    </row>
    <row r="826" customFormat="false" ht="15" hidden="false" customHeight="false" outlineLevel="0" collapsed="false">
      <c r="A826" s="6" t="s">
        <v>4</v>
      </c>
      <c r="B826" s="6" t="s">
        <v>325</v>
      </c>
      <c r="C826" s="6" t="n">
        <v>41</v>
      </c>
      <c r="D826" s="25" t="n">
        <f aca="false">EDATE('Start Here'!$B$6,C826-1)</f>
        <v>47543</v>
      </c>
      <c r="E826" s="11" t="n">
        <f aca="false">IF(AND(C826&gt;=Staffing!$F$19,C826&lt;=Staffing!$G$19,1=1),IF(C826&lt;=6,Staffing!$H$19,IF(C826&lt;=15,Staffing!$I$19,IF(C826&lt;=30,Staffing!$J$19,Staffing!$K$19))),0)</f>
        <v>1</v>
      </c>
      <c r="F826" s="10" t="n">
        <f aca="false">E826*Assumptions!$D$26/12*(1+Assumptions!$D$10)^INT((C826-1)/12)*'Start Here'!$B$10</f>
        <v>0</v>
      </c>
      <c r="G826" s="10" t="n">
        <f aca="false">F826*Staffing!$N$19</f>
        <v>0</v>
      </c>
      <c r="H826" s="10" t="n">
        <f aca="false">F826+G826</f>
        <v>0</v>
      </c>
      <c r="I826" s="10" t="n">
        <f aca="false">E826*Assumptions!$D$26/12*(1+Assumptions!$D$10)^INT((C826-1)/12)*(1-'Start Here'!$B$10)</f>
        <v>16872.96</v>
      </c>
      <c r="J826" s="10" t="n">
        <f aca="false">MAX(0,E826-E825)*Staffing!$O$19</f>
        <v>0</v>
      </c>
      <c r="K826" s="10" t="n">
        <f aca="false">MAX(0,E826-E825)*Staffing!$P$19</f>
        <v>0</v>
      </c>
      <c r="L826" s="23" t="n">
        <f aca="false">ROUNDUP(E826,0)</f>
        <v>1</v>
      </c>
    </row>
    <row r="827" customFormat="false" ht="15" hidden="false" customHeight="false" outlineLevel="0" collapsed="false">
      <c r="A827" s="6" t="s">
        <v>4</v>
      </c>
      <c r="B827" s="6" t="s">
        <v>325</v>
      </c>
      <c r="C827" s="6" t="n">
        <v>42</v>
      </c>
      <c r="D827" s="25" t="n">
        <f aca="false">EDATE('Start Here'!$B$6,C827-1)</f>
        <v>47574</v>
      </c>
      <c r="E827" s="11" t="n">
        <f aca="false">IF(AND(C827&gt;=Staffing!$F$19,C827&lt;=Staffing!$G$19,1=1),IF(C827&lt;=6,Staffing!$H$19,IF(C827&lt;=15,Staffing!$I$19,IF(C827&lt;=30,Staffing!$J$19,Staffing!$K$19))),0)</f>
        <v>1</v>
      </c>
      <c r="F827" s="10" t="n">
        <f aca="false">E827*Assumptions!$D$26/12*(1+Assumptions!$D$10)^INT((C827-1)/12)*'Start Here'!$B$10</f>
        <v>0</v>
      </c>
      <c r="G827" s="10" t="n">
        <f aca="false">F827*Staffing!$N$19</f>
        <v>0</v>
      </c>
      <c r="H827" s="10" t="n">
        <f aca="false">F827+G827</f>
        <v>0</v>
      </c>
      <c r="I827" s="10" t="n">
        <f aca="false">E827*Assumptions!$D$26/12*(1+Assumptions!$D$10)^INT((C827-1)/12)*(1-'Start Here'!$B$10)</f>
        <v>16872.96</v>
      </c>
      <c r="J827" s="10" t="n">
        <f aca="false">MAX(0,E827-E826)*Staffing!$O$19</f>
        <v>0</v>
      </c>
      <c r="K827" s="10" t="n">
        <f aca="false">MAX(0,E827-E826)*Staffing!$P$19</f>
        <v>0</v>
      </c>
      <c r="L827" s="23" t="n">
        <f aca="false">ROUNDUP(E827,0)</f>
        <v>1</v>
      </c>
    </row>
    <row r="828" customFormat="false" ht="15" hidden="false" customHeight="false" outlineLevel="0" collapsed="false">
      <c r="A828" s="6" t="s">
        <v>4</v>
      </c>
      <c r="B828" s="6" t="s">
        <v>325</v>
      </c>
      <c r="C828" s="6" t="n">
        <v>43</v>
      </c>
      <c r="D828" s="25" t="n">
        <f aca="false">EDATE('Start Here'!$B$6,C828-1)</f>
        <v>47604</v>
      </c>
      <c r="E828" s="11" t="n">
        <f aca="false">IF(AND(C828&gt;=Staffing!$F$19,C828&lt;=Staffing!$G$19,1=1),IF(C828&lt;=6,Staffing!$H$19,IF(C828&lt;=15,Staffing!$I$19,IF(C828&lt;=30,Staffing!$J$19,Staffing!$K$19))),0)</f>
        <v>1</v>
      </c>
      <c r="F828" s="10" t="n">
        <f aca="false">E828*Assumptions!$D$26/12*(1+Assumptions!$D$10)^INT((C828-1)/12)*'Start Here'!$B$10</f>
        <v>0</v>
      </c>
      <c r="G828" s="10" t="n">
        <f aca="false">F828*Staffing!$N$19</f>
        <v>0</v>
      </c>
      <c r="H828" s="10" t="n">
        <f aca="false">F828+G828</f>
        <v>0</v>
      </c>
      <c r="I828" s="10" t="n">
        <f aca="false">E828*Assumptions!$D$26/12*(1+Assumptions!$D$10)^INT((C828-1)/12)*(1-'Start Here'!$B$10)</f>
        <v>16872.96</v>
      </c>
      <c r="J828" s="10" t="n">
        <f aca="false">MAX(0,E828-E827)*Staffing!$O$19</f>
        <v>0</v>
      </c>
      <c r="K828" s="10" t="n">
        <f aca="false">MAX(0,E828-E827)*Staffing!$P$19</f>
        <v>0</v>
      </c>
      <c r="L828" s="23" t="n">
        <f aca="false">ROUNDUP(E828,0)</f>
        <v>1</v>
      </c>
    </row>
    <row r="829" customFormat="false" ht="15" hidden="false" customHeight="false" outlineLevel="0" collapsed="false">
      <c r="A829" s="6" t="s">
        <v>4</v>
      </c>
      <c r="B829" s="6" t="s">
        <v>325</v>
      </c>
      <c r="C829" s="6" t="n">
        <v>44</v>
      </c>
      <c r="D829" s="25" t="n">
        <f aca="false">EDATE('Start Here'!$B$6,C829-1)</f>
        <v>47635</v>
      </c>
      <c r="E829" s="11" t="n">
        <f aca="false">IF(AND(C829&gt;=Staffing!$F$19,C829&lt;=Staffing!$G$19,1=1),IF(C829&lt;=6,Staffing!$H$19,IF(C829&lt;=15,Staffing!$I$19,IF(C829&lt;=30,Staffing!$J$19,Staffing!$K$19))),0)</f>
        <v>1</v>
      </c>
      <c r="F829" s="10" t="n">
        <f aca="false">E829*Assumptions!$D$26/12*(1+Assumptions!$D$10)^INT((C829-1)/12)*'Start Here'!$B$10</f>
        <v>0</v>
      </c>
      <c r="G829" s="10" t="n">
        <f aca="false">F829*Staffing!$N$19</f>
        <v>0</v>
      </c>
      <c r="H829" s="10" t="n">
        <f aca="false">F829+G829</f>
        <v>0</v>
      </c>
      <c r="I829" s="10" t="n">
        <f aca="false">E829*Assumptions!$D$26/12*(1+Assumptions!$D$10)^INT((C829-1)/12)*(1-'Start Here'!$B$10)</f>
        <v>16872.96</v>
      </c>
      <c r="J829" s="10" t="n">
        <f aca="false">MAX(0,E829-E828)*Staffing!$O$19</f>
        <v>0</v>
      </c>
      <c r="K829" s="10" t="n">
        <f aca="false">MAX(0,E829-E828)*Staffing!$P$19</f>
        <v>0</v>
      </c>
      <c r="L829" s="23" t="n">
        <f aca="false">ROUNDUP(E829,0)</f>
        <v>1</v>
      </c>
    </row>
    <row r="830" customFormat="false" ht="15" hidden="false" customHeight="false" outlineLevel="0" collapsed="false">
      <c r="A830" s="6" t="s">
        <v>4</v>
      </c>
      <c r="B830" s="6" t="s">
        <v>325</v>
      </c>
      <c r="C830" s="6" t="n">
        <v>45</v>
      </c>
      <c r="D830" s="25" t="n">
        <f aca="false">EDATE('Start Here'!$B$6,C830-1)</f>
        <v>47665</v>
      </c>
      <c r="E830" s="11" t="n">
        <f aca="false">IF(AND(C830&gt;=Staffing!$F$19,C830&lt;=Staffing!$G$19,1=1),IF(C830&lt;=6,Staffing!$H$19,IF(C830&lt;=15,Staffing!$I$19,IF(C830&lt;=30,Staffing!$J$19,Staffing!$K$19))),0)</f>
        <v>1</v>
      </c>
      <c r="F830" s="10" t="n">
        <f aca="false">E830*Assumptions!$D$26/12*(1+Assumptions!$D$10)^INT((C830-1)/12)*'Start Here'!$B$10</f>
        <v>0</v>
      </c>
      <c r="G830" s="10" t="n">
        <f aca="false">F830*Staffing!$N$19</f>
        <v>0</v>
      </c>
      <c r="H830" s="10" t="n">
        <f aca="false">F830+G830</f>
        <v>0</v>
      </c>
      <c r="I830" s="10" t="n">
        <f aca="false">E830*Assumptions!$D$26/12*(1+Assumptions!$D$10)^INT((C830-1)/12)*(1-'Start Here'!$B$10)</f>
        <v>16872.96</v>
      </c>
      <c r="J830" s="10" t="n">
        <f aca="false">MAX(0,E830-E829)*Staffing!$O$19</f>
        <v>0</v>
      </c>
      <c r="K830" s="10" t="n">
        <f aca="false">MAX(0,E830-E829)*Staffing!$P$19</f>
        <v>0</v>
      </c>
      <c r="L830" s="23" t="n">
        <f aca="false">ROUNDUP(E830,0)</f>
        <v>1</v>
      </c>
    </row>
    <row r="831" customFormat="false" ht="15" hidden="false" customHeight="false" outlineLevel="0" collapsed="false">
      <c r="A831" s="6" t="s">
        <v>4</v>
      </c>
      <c r="B831" s="6" t="s">
        <v>325</v>
      </c>
      <c r="C831" s="6" t="n">
        <v>46</v>
      </c>
      <c r="D831" s="25" t="n">
        <f aca="false">EDATE('Start Here'!$B$6,C831-1)</f>
        <v>47696</v>
      </c>
      <c r="E831" s="11" t="n">
        <f aca="false">IF(AND(C831&gt;=Staffing!$F$19,C831&lt;=Staffing!$G$19,1=1),IF(C831&lt;=6,Staffing!$H$19,IF(C831&lt;=15,Staffing!$I$19,IF(C831&lt;=30,Staffing!$J$19,Staffing!$K$19))),0)</f>
        <v>1</v>
      </c>
      <c r="F831" s="10" t="n">
        <f aca="false">E831*Assumptions!$D$26/12*(1+Assumptions!$D$10)^INT((C831-1)/12)*'Start Here'!$B$10</f>
        <v>0</v>
      </c>
      <c r="G831" s="10" t="n">
        <f aca="false">F831*Staffing!$N$19</f>
        <v>0</v>
      </c>
      <c r="H831" s="10" t="n">
        <f aca="false">F831+G831</f>
        <v>0</v>
      </c>
      <c r="I831" s="10" t="n">
        <f aca="false">E831*Assumptions!$D$26/12*(1+Assumptions!$D$10)^INT((C831-1)/12)*(1-'Start Here'!$B$10)</f>
        <v>16872.96</v>
      </c>
      <c r="J831" s="10" t="n">
        <f aca="false">MAX(0,E831-E830)*Staffing!$O$19</f>
        <v>0</v>
      </c>
      <c r="K831" s="10" t="n">
        <f aca="false">MAX(0,E831-E830)*Staffing!$P$19</f>
        <v>0</v>
      </c>
      <c r="L831" s="23" t="n">
        <f aca="false">ROUNDUP(E831,0)</f>
        <v>1</v>
      </c>
    </row>
    <row r="832" customFormat="false" ht="15" hidden="false" customHeight="false" outlineLevel="0" collapsed="false">
      <c r="A832" s="6" t="s">
        <v>4</v>
      </c>
      <c r="B832" s="6" t="s">
        <v>325</v>
      </c>
      <c r="C832" s="6" t="n">
        <v>47</v>
      </c>
      <c r="D832" s="25" t="n">
        <f aca="false">EDATE('Start Here'!$B$6,C832-1)</f>
        <v>47727</v>
      </c>
      <c r="E832" s="11" t="n">
        <f aca="false">IF(AND(C832&gt;=Staffing!$F$19,C832&lt;=Staffing!$G$19,1=1),IF(C832&lt;=6,Staffing!$H$19,IF(C832&lt;=15,Staffing!$I$19,IF(C832&lt;=30,Staffing!$J$19,Staffing!$K$19))),0)</f>
        <v>1</v>
      </c>
      <c r="F832" s="10" t="n">
        <f aca="false">E832*Assumptions!$D$26/12*(1+Assumptions!$D$10)^INT((C832-1)/12)*'Start Here'!$B$10</f>
        <v>0</v>
      </c>
      <c r="G832" s="10" t="n">
        <f aca="false">F832*Staffing!$N$19</f>
        <v>0</v>
      </c>
      <c r="H832" s="10" t="n">
        <f aca="false">F832+G832</f>
        <v>0</v>
      </c>
      <c r="I832" s="10" t="n">
        <f aca="false">E832*Assumptions!$D$26/12*(1+Assumptions!$D$10)^INT((C832-1)/12)*(1-'Start Here'!$B$10)</f>
        <v>16872.96</v>
      </c>
      <c r="J832" s="10" t="n">
        <f aca="false">MAX(0,E832-E831)*Staffing!$O$19</f>
        <v>0</v>
      </c>
      <c r="K832" s="10" t="n">
        <f aca="false">MAX(0,E832-E831)*Staffing!$P$19</f>
        <v>0</v>
      </c>
      <c r="L832" s="23" t="n">
        <f aca="false">ROUNDUP(E832,0)</f>
        <v>1</v>
      </c>
    </row>
    <row r="833" customFormat="false" ht="15" hidden="false" customHeight="false" outlineLevel="0" collapsed="false">
      <c r="A833" s="6" t="s">
        <v>4</v>
      </c>
      <c r="B833" s="6" t="s">
        <v>325</v>
      </c>
      <c r="C833" s="6" t="n">
        <v>48</v>
      </c>
      <c r="D833" s="25" t="n">
        <f aca="false">EDATE('Start Here'!$B$6,C833-1)</f>
        <v>47757</v>
      </c>
      <c r="E833" s="11" t="n">
        <f aca="false">IF(AND(C833&gt;=Staffing!$F$19,C833&lt;=Staffing!$G$19,1=1),IF(C833&lt;=6,Staffing!$H$19,IF(C833&lt;=15,Staffing!$I$19,IF(C833&lt;=30,Staffing!$J$19,Staffing!$K$19))),0)</f>
        <v>1</v>
      </c>
      <c r="F833" s="10" t="n">
        <f aca="false">E833*Assumptions!$D$26/12*(1+Assumptions!$D$10)^INT((C833-1)/12)*'Start Here'!$B$10</f>
        <v>0</v>
      </c>
      <c r="G833" s="10" t="n">
        <f aca="false">F833*Staffing!$N$19</f>
        <v>0</v>
      </c>
      <c r="H833" s="10" t="n">
        <f aca="false">F833+G833</f>
        <v>0</v>
      </c>
      <c r="I833" s="10" t="n">
        <f aca="false">E833*Assumptions!$D$26/12*(1+Assumptions!$D$10)^INT((C833-1)/12)*(1-'Start Here'!$B$10)</f>
        <v>16872.96</v>
      </c>
      <c r="J833" s="10" t="n">
        <f aca="false">MAX(0,E833-E832)*Staffing!$O$19</f>
        <v>0</v>
      </c>
      <c r="K833" s="10" t="n">
        <f aca="false">MAX(0,E833-E832)*Staffing!$P$19</f>
        <v>0</v>
      </c>
      <c r="L833" s="23" t="n">
        <f aca="false">ROUNDUP(E833,0)</f>
        <v>1</v>
      </c>
    </row>
    <row r="834" customFormat="false" ht="15" hidden="false" customHeight="false" outlineLevel="0" collapsed="false">
      <c r="A834" s="6" t="s">
        <v>4</v>
      </c>
      <c r="B834" s="6" t="s">
        <v>325</v>
      </c>
      <c r="C834" s="6" t="n">
        <v>49</v>
      </c>
      <c r="D834" s="25" t="n">
        <f aca="false">EDATE('Start Here'!$B$6,C834-1)</f>
        <v>47788</v>
      </c>
      <c r="E834" s="11" t="n">
        <f aca="false">IF(AND(C834&gt;=Staffing!$F$19,C834&lt;=Staffing!$G$19,1=1),IF(C834&lt;=6,Staffing!$H$19,IF(C834&lt;=15,Staffing!$I$19,IF(C834&lt;=30,Staffing!$J$19,Staffing!$K$19))),0)</f>
        <v>1</v>
      </c>
      <c r="F834" s="10" t="n">
        <f aca="false">E834*Assumptions!$D$26/12*(1+Assumptions!$D$10)^INT((C834-1)/12)*'Start Here'!$B$10</f>
        <v>0</v>
      </c>
      <c r="G834" s="10" t="n">
        <f aca="false">F834*Staffing!$N$19</f>
        <v>0</v>
      </c>
      <c r="H834" s="10" t="n">
        <f aca="false">F834+G834</f>
        <v>0</v>
      </c>
      <c r="I834" s="10" t="n">
        <f aca="false">E834*Assumptions!$D$26/12*(1+Assumptions!$D$10)^INT((C834-1)/12)*(1-'Start Here'!$B$10)</f>
        <v>17547.8784</v>
      </c>
      <c r="J834" s="10" t="n">
        <f aca="false">MAX(0,E834-E833)*Staffing!$O$19</f>
        <v>0</v>
      </c>
      <c r="K834" s="10" t="n">
        <f aca="false">MAX(0,E834-E833)*Staffing!$P$19</f>
        <v>0</v>
      </c>
      <c r="L834" s="23" t="n">
        <f aca="false">ROUNDUP(E834,0)</f>
        <v>1</v>
      </c>
    </row>
    <row r="835" customFormat="false" ht="15" hidden="false" customHeight="false" outlineLevel="0" collapsed="false">
      <c r="A835" s="6" t="s">
        <v>4</v>
      </c>
      <c r="B835" s="6" t="s">
        <v>325</v>
      </c>
      <c r="C835" s="6" t="n">
        <v>50</v>
      </c>
      <c r="D835" s="25" t="n">
        <f aca="false">EDATE('Start Here'!$B$6,C835-1)</f>
        <v>47818</v>
      </c>
      <c r="E835" s="11" t="n">
        <f aca="false">IF(AND(C835&gt;=Staffing!$F$19,C835&lt;=Staffing!$G$19,1=1),IF(C835&lt;=6,Staffing!$H$19,IF(C835&lt;=15,Staffing!$I$19,IF(C835&lt;=30,Staffing!$J$19,Staffing!$K$19))),0)</f>
        <v>1</v>
      </c>
      <c r="F835" s="10" t="n">
        <f aca="false">E835*Assumptions!$D$26/12*(1+Assumptions!$D$10)^INT((C835-1)/12)*'Start Here'!$B$10</f>
        <v>0</v>
      </c>
      <c r="G835" s="10" t="n">
        <f aca="false">F835*Staffing!$N$19</f>
        <v>0</v>
      </c>
      <c r="H835" s="10" t="n">
        <f aca="false">F835+G835</f>
        <v>0</v>
      </c>
      <c r="I835" s="10" t="n">
        <f aca="false">E835*Assumptions!$D$26/12*(1+Assumptions!$D$10)^INT((C835-1)/12)*(1-'Start Here'!$B$10)</f>
        <v>17547.8784</v>
      </c>
      <c r="J835" s="10" t="n">
        <f aca="false">MAX(0,E835-E834)*Staffing!$O$19</f>
        <v>0</v>
      </c>
      <c r="K835" s="10" t="n">
        <f aca="false">MAX(0,E835-E834)*Staffing!$P$19</f>
        <v>0</v>
      </c>
      <c r="L835" s="23" t="n">
        <f aca="false">ROUNDUP(E835,0)</f>
        <v>1</v>
      </c>
    </row>
    <row r="836" customFormat="false" ht="15" hidden="false" customHeight="false" outlineLevel="0" collapsed="false">
      <c r="A836" s="6" t="s">
        <v>4</v>
      </c>
      <c r="B836" s="6" t="s">
        <v>325</v>
      </c>
      <c r="C836" s="6" t="n">
        <v>51</v>
      </c>
      <c r="D836" s="25" t="n">
        <f aca="false">EDATE('Start Here'!$B$6,C836-1)</f>
        <v>47849</v>
      </c>
      <c r="E836" s="11" t="n">
        <f aca="false">IF(AND(C836&gt;=Staffing!$F$19,C836&lt;=Staffing!$G$19,1=1),IF(C836&lt;=6,Staffing!$H$19,IF(C836&lt;=15,Staffing!$I$19,IF(C836&lt;=30,Staffing!$J$19,Staffing!$K$19))),0)</f>
        <v>1</v>
      </c>
      <c r="F836" s="10" t="n">
        <f aca="false">E836*Assumptions!$D$26/12*(1+Assumptions!$D$10)^INT((C836-1)/12)*'Start Here'!$B$10</f>
        <v>0</v>
      </c>
      <c r="G836" s="10" t="n">
        <f aca="false">F836*Staffing!$N$19</f>
        <v>0</v>
      </c>
      <c r="H836" s="10" t="n">
        <f aca="false">F836+G836</f>
        <v>0</v>
      </c>
      <c r="I836" s="10" t="n">
        <f aca="false">E836*Assumptions!$D$26/12*(1+Assumptions!$D$10)^INT((C836-1)/12)*(1-'Start Here'!$B$10)</f>
        <v>17547.8784</v>
      </c>
      <c r="J836" s="10" t="n">
        <f aca="false">MAX(0,E836-E835)*Staffing!$O$19</f>
        <v>0</v>
      </c>
      <c r="K836" s="10" t="n">
        <f aca="false">MAX(0,E836-E835)*Staffing!$P$19</f>
        <v>0</v>
      </c>
      <c r="L836" s="23" t="n">
        <f aca="false">ROUNDUP(E836,0)</f>
        <v>1</v>
      </c>
    </row>
    <row r="837" customFormat="false" ht="15" hidden="false" customHeight="false" outlineLevel="0" collapsed="false">
      <c r="A837" s="6" t="s">
        <v>4</v>
      </c>
      <c r="B837" s="6" t="s">
        <v>325</v>
      </c>
      <c r="C837" s="6" t="n">
        <v>52</v>
      </c>
      <c r="D837" s="25" t="n">
        <f aca="false">EDATE('Start Here'!$B$6,C837-1)</f>
        <v>47880</v>
      </c>
      <c r="E837" s="11" t="n">
        <f aca="false">IF(AND(C837&gt;=Staffing!$F$19,C837&lt;=Staffing!$G$19,1=1),IF(C837&lt;=6,Staffing!$H$19,IF(C837&lt;=15,Staffing!$I$19,IF(C837&lt;=30,Staffing!$J$19,Staffing!$K$19))),0)</f>
        <v>1</v>
      </c>
      <c r="F837" s="10" t="n">
        <f aca="false">E837*Assumptions!$D$26/12*(1+Assumptions!$D$10)^INT((C837-1)/12)*'Start Here'!$B$10</f>
        <v>0</v>
      </c>
      <c r="G837" s="10" t="n">
        <f aca="false">F837*Staffing!$N$19</f>
        <v>0</v>
      </c>
      <c r="H837" s="10" t="n">
        <f aca="false">F837+G837</f>
        <v>0</v>
      </c>
      <c r="I837" s="10" t="n">
        <f aca="false">E837*Assumptions!$D$26/12*(1+Assumptions!$D$10)^INT((C837-1)/12)*(1-'Start Here'!$B$10)</f>
        <v>17547.8784</v>
      </c>
      <c r="J837" s="10" t="n">
        <f aca="false">MAX(0,E837-E836)*Staffing!$O$19</f>
        <v>0</v>
      </c>
      <c r="K837" s="10" t="n">
        <f aca="false">MAX(0,E837-E836)*Staffing!$P$19</f>
        <v>0</v>
      </c>
      <c r="L837" s="23" t="n">
        <f aca="false">ROUNDUP(E837,0)</f>
        <v>1</v>
      </c>
    </row>
    <row r="838" customFormat="false" ht="15" hidden="false" customHeight="false" outlineLevel="0" collapsed="false">
      <c r="A838" s="6" t="s">
        <v>4</v>
      </c>
      <c r="B838" s="6" t="s">
        <v>325</v>
      </c>
      <c r="C838" s="6" t="n">
        <v>53</v>
      </c>
      <c r="D838" s="25" t="n">
        <f aca="false">EDATE('Start Here'!$B$6,C838-1)</f>
        <v>47908</v>
      </c>
      <c r="E838" s="11" t="n">
        <f aca="false">IF(AND(C838&gt;=Staffing!$F$19,C838&lt;=Staffing!$G$19,1=1),IF(C838&lt;=6,Staffing!$H$19,IF(C838&lt;=15,Staffing!$I$19,IF(C838&lt;=30,Staffing!$J$19,Staffing!$K$19))),0)</f>
        <v>1</v>
      </c>
      <c r="F838" s="10" t="n">
        <f aca="false">E838*Assumptions!$D$26/12*(1+Assumptions!$D$10)^INT((C838-1)/12)*'Start Here'!$B$10</f>
        <v>0</v>
      </c>
      <c r="G838" s="10" t="n">
        <f aca="false">F838*Staffing!$N$19</f>
        <v>0</v>
      </c>
      <c r="H838" s="10" t="n">
        <f aca="false">F838+G838</f>
        <v>0</v>
      </c>
      <c r="I838" s="10" t="n">
        <f aca="false">E838*Assumptions!$D$26/12*(1+Assumptions!$D$10)^INT((C838-1)/12)*(1-'Start Here'!$B$10)</f>
        <v>17547.8784</v>
      </c>
      <c r="J838" s="10" t="n">
        <f aca="false">MAX(0,E838-E837)*Staffing!$O$19</f>
        <v>0</v>
      </c>
      <c r="K838" s="10" t="n">
        <f aca="false">MAX(0,E838-E837)*Staffing!$P$19</f>
        <v>0</v>
      </c>
      <c r="L838" s="23" t="n">
        <f aca="false">ROUNDUP(E838,0)</f>
        <v>1</v>
      </c>
    </row>
    <row r="839" customFormat="false" ht="15" hidden="false" customHeight="false" outlineLevel="0" collapsed="false">
      <c r="A839" s="6" t="s">
        <v>4</v>
      </c>
      <c r="B839" s="6" t="s">
        <v>325</v>
      </c>
      <c r="C839" s="6" t="n">
        <v>54</v>
      </c>
      <c r="D839" s="25" t="n">
        <f aca="false">EDATE('Start Here'!$B$6,C839-1)</f>
        <v>47939</v>
      </c>
      <c r="E839" s="11" t="n">
        <f aca="false">IF(AND(C839&gt;=Staffing!$F$19,C839&lt;=Staffing!$G$19,1=1),IF(C839&lt;=6,Staffing!$H$19,IF(C839&lt;=15,Staffing!$I$19,IF(C839&lt;=30,Staffing!$J$19,Staffing!$K$19))),0)</f>
        <v>1</v>
      </c>
      <c r="F839" s="10" t="n">
        <f aca="false">E839*Assumptions!$D$26/12*(1+Assumptions!$D$10)^INT((C839-1)/12)*'Start Here'!$B$10</f>
        <v>0</v>
      </c>
      <c r="G839" s="10" t="n">
        <f aca="false">F839*Staffing!$N$19</f>
        <v>0</v>
      </c>
      <c r="H839" s="10" t="n">
        <f aca="false">F839+G839</f>
        <v>0</v>
      </c>
      <c r="I839" s="10" t="n">
        <f aca="false">E839*Assumptions!$D$26/12*(1+Assumptions!$D$10)^INT((C839-1)/12)*(1-'Start Here'!$B$10)</f>
        <v>17547.8784</v>
      </c>
      <c r="J839" s="10" t="n">
        <f aca="false">MAX(0,E839-E838)*Staffing!$O$19</f>
        <v>0</v>
      </c>
      <c r="K839" s="10" t="n">
        <f aca="false">MAX(0,E839-E838)*Staffing!$P$19</f>
        <v>0</v>
      </c>
      <c r="L839" s="23" t="n">
        <f aca="false">ROUNDUP(E839,0)</f>
        <v>1</v>
      </c>
    </row>
    <row r="840" customFormat="false" ht="15" hidden="false" customHeight="false" outlineLevel="0" collapsed="false">
      <c r="A840" s="6" t="s">
        <v>4</v>
      </c>
      <c r="B840" s="6" t="s">
        <v>325</v>
      </c>
      <c r="C840" s="6" t="n">
        <v>55</v>
      </c>
      <c r="D840" s="25" t="n">
        <f aca="false">EDATE('Start Here'!$B$6,C840-1)</f>
        <v>47969</v>
      </c>
      <c r="E840" s="11" t="n">
        <f aca="false">IF(AND(C840&gt;=Staffing!$F$19,C840&lt;=Staffing!$G$19,1=1),IF(C840&lt;=6,Staffing!$H$19,IF(C840&lt;=15,Staffing!$I$19,IF(C840&lt;=30,Staffing!$J$19,Staffing!$K$19))),0)</f>
        <v>1</v>
      </c>
      <c r="F840" s="10" t="n">
        <f aca="false">E840*Assumptions!$D$26/12*(1+Assumptions!$D$10)^INT((C840-1)/12)*'Start Here'!$B$10</f>
        <v>0</v>
      </c>
      <c r="G840" s="10" t="n">
        <f aca="false">F840*Staffing!$N$19</f>
        <v>0</v>
      </c>
      <c r="H840" s="10" t="n">
        <f aca="false">F840+G840</f>
        <v>0</v>
      </c>
      <c r="I840" s="10" t="n">
        <f aca="false">E840*Assumptions!$D$26/12*(1+Assumptions!$D$10)^INT((C840-1)/12)*(1-'Start Here'!$B$10)</f>
        <v>17547.8784</v>
      </c>
      <c r="J840" s="10" t="n">
        <f aca="false">MAX(0,E840-E839)*Staffing!$O$19</f>
        <v>0</v>
      </c>
      <c r="K840" s="10" t="n">
        <f aca="false">MAX(0,E840-E839)*Staffing!$P$19</f>
        <v>0</v>
      </c>
      <c r="L840" s="23" t="n">
        <f aca="false">ROUNDUP(E840,0)</f>
        <v>1</v>
      </c>
    </row>
    <row r="841" customFormat="false" ht="15" hidden="false" customHeight="false" outlineLevel="0" collapsed="false">
      <c r="A841" s="6" t="s">
        <v>4</v>
      </c>
      <c r="B841" s="6" t="s">
        <v>325</v>
      </c>
      <c r="C841" s="6" t="n">
        <v>56</v>
      </c>
      <c r="D841" s="25" t="n">
        <f aca="false">EDATE('Start Here'!$B$6,C841-1)</f>
        <v>48000</v>
      </c>
      <c r="E841" s="11" t="n">
        <f aca="false">IF(AND(C841&gt;=Staffing!$F$19,C841&lt;=Staffing!$G$19,1=1),IF(C841&lt;=6,Staffing!$H$19,IF(C841&lt;=15,Staffing!$I$19,IF(C841&lt;=30,Staffing!$J$19,Staffing!$K$19))),0)</f>
        <v>1</v>
      </c>
      <c r="F841" s="10" t="n">
        <f aca="false">E841*Assumptions!$D$26/12*(1+Assumptions!$D$10)^INT((C841-1)/12)*'Start Here'!$B$10</f>
        <v>0</v>
      </c>
      <c r="G841" s="10" t="n">
        <f aca="false">F841*Staffing!$N$19</f>
        <v>0</v>
      </c>
      <c r="H841" s="10" t="n">
        <f aca="false">F841+G841</f>
        <v>0</v>
      </c>
      <c r="I841" s="10" t="n">
        <f aca="false">E841*Assumptions!$D$26/12*(1+Assumptions!$D$10)^INT((C841-1)/12)*(1-'Start Here'!$B$10)</f>
        <v>17547.8784</v>
      </c>
      <c r="J841" s="10" t="n">
        <f aca="false">MAX(0,E841-E840)*Staffing!$O$19</f>
        <v>0</v>
      </c>
      <c r="K841" s="10" t="n">
        <f aca="false">MAX(0,E841-E840)*Staffing!$P$19</f>
        <v>0</v>
      </c>
      <c r="L841" s="23" t="n">
        <f aca="false">ROUNDUP(E841,0)</f>
        <v>1</v>
      </c>
    </row>
    <row r="842" customFormat="false" ht="15" hidden="false" customHeight="false" outlineLevel="0" collapsed="false">
      <c r="A842" s="6" t="s">
        <v>4</v>
      </c>
      <c r="B842" s="6" t="s">
        <v>325</v>
      </c>
      <c r="C842" s="6" t="n">
        <v>57</v>
      </c>
      <c r="D842" s="25" t="n">
        <f aca="false">EDATE('Start Here'!$B$6,C842-1)</f>
        <v>48030</v>
      </c>
      <c r="E842" s="11" t="n">
        <f aca="false">IF(AND(C842&gt;=Staffing!$F$19,C842&lt;=Staffing!$G$19,1=1),IF(C842&lt;=6,Staffing!$H$19,IF(C842&lt;=15,Staffing!$I$19,IF(C842&lt;=30,Staffing!$J$19,Staffing!$K$19))),0)</f>
        <v>1</v>
      </c>
      <c r="F842" s="10" t="n">
        <f aca="false">E842*Assumptions!$D$26/12*(1+Assumptions!$D$10)^INT((C842-1)/12)*'Start Here'!$B$10</f>
        <v>0</v>
      </c>
      <c r="G842" s="10" t="n">
        <f aca="false">F842*Staffing!$N$19</f>
        <v>0</v>
      </c>
      <c r="H842" s="10" t="n">
        <f aca="false">F842+G842</f>
        <v>0</v>
      </c>
      <c r="I842" s="10" t="n">
        <f aca="false">E842*Assumptions!$D$26/12*(1+Assumptions!$D$10)^INT((C842-1)/12)*(1-'Start Here'!$B$10)</f>
        <v>17547.8784</v>
      </c>
      <c r="J842" s="10" t="n">
        <f aca="false">MAX(0,E842-E841)*Staffing!$O$19</f>
        <v>0</v>
      </c>
      <c r="K842" s="10" t="n">
        <f aca="false">MAX(0,E842-E841)*Staffing!$P$19</f>
        <v>0</v>
      </c>
      <c r="L842" s="23" t="n">
        <f aca="false">ROUNDUP(E842,0)</f>
        <v>1</v>
      </c>
    </row>
    <row r="843" customFormat="false" ht="15" hidden="false" customHeight="false" outlineLevel="0" collapsed="false">
      <c r="A843" s="6" t="s">
        <v>4</v>
      </c>
      <c r="B843" s="6" t="s">
        <v>325</v>
      </c>
      <c r="C843" s="6" t="n">
        <v>58</v>
      </c>
      <c r="D843" s="25" t="n">
        <f aca="false">EDATE('Start Here'!$B$6,C843-1)</f>
        <v>48061</v>
      </c>
      <c r="E843" s="11" t="n">
        <f aca="false">IF(AND(C843&gt;=Staffing!$F$19,C843&lt;=Staffing!$G$19,1=1),IF(C843&lt;=6,Staffing!$H$19,IF(C843&lt;=15,Staffing!$I$19,IF(C843&lt;=30,Staffing!$J$19,Staffing!$K$19))),0)</f>
        <v>1</v>
      </c>
      <c r="F843" s="10" t="n">
        <f aca="false">E843*Assumptions!$D$26/12*(1+Assumptions!$D$10)^INT((C843-1)/12)*'Start Here'!$B$10</f>
        <v>0</v>
      </c>
      <c r="G843" s="10" t="n">
        <f aca="false">F843*Staffing!$N$19</f>
        <v>0</v>
      </c>
      <c r="H843" s="10" t="n">
        <f aca="false">F843+G843</f>
        <v>0</v>
      </c>
      <c r="I843" s="10" t="n">
        <f aca="false">E843*Assumptions!$D$26/12*(1+Assumptions!$D$10)^INT((C843-1)/12)*(1-'Start Here'!$B$10)</f>
        <v>17547.8784</v>
      </c>
      <c r="J843" s="10" t="n">
        <f aca="false">MAX(0,E843-E842)*Staffing!$O$19</f>
        <v>0</v>
      </c>
      <c r="K843" s="10" t="n">
        <f aca="false">MAX(0,E843-E842)*Staffing!$P$19</f>
        <v>0</v>
      </c>
      <c r="L843" s="23" t="n">
        <f aca="false">ROUNDUP(E843,0)</f>
        <v>1</v>
      </c>
    </row>
    <row r="844" customFormat="false" ht="15" hidden="false" customHeight="false" outlineLevel="0" collapsed="false">
      <c r="A844" s="6" t="s">
        <v>4</v>
      </c>
      <c r="B844" s="6" t="s">
        <v>325</v>
      </c>
      <c r="C844" s="6" t="n">
        <v>59</v>
      </c>
      <c r="D844" s="25" t="n">
        <f aca="false">EDATE('Start Here'!$B$6,C844-1)</f>
        <v>48092</v>
      </c>
      <c r="E844" s="11" t="n">
        <f aca="false">IF(AND(C844&gt;=Staffing!$F$19,C844&lt;=Staffing!$G$19,1=1),IF(C844&lt;=6,Staffing!$H$19,IF(C844&lt;=15,Staffing!$I$19,IF(C844&lt;=30,Staffing!$J$19,Staffing!$K$19))),0)</f>
        <v>1</v>
      </c>
      <c r="F844" s="10" t="n">
        <f aca="false">E844*Assumptions!$D$26/12*(1+Assumptions!$D$10)^INT((C844-1)/12)*'Start Here'!$B$10</f>
        <v>0</v>
      </c>
      <c r="G844" s="10" t="n">
        <f aca="false">F844*Staffing!$N$19</f>
        <v>0</v>
      </c>
      <c r="H844" s="10" t="n">
        <f aca="false">F844+G844</f>
        <v>0</v>
      </c>
      <c r="I844" s="10" t="n">
        <f aca="false">E844*Assumptions!$D$26/12*(1+Assumptions!$D$10)^INT((C844-1)/12)*(1-'Start Here'!$B$10)</f>
        <v>17547.8784</v>
      </c>
      <c r="J844" s="10" t="n">
        <f aca="false">MAX(0,E844-E843)*Staffing!$O$19</f>
        <v>0</v>
      </c>
      <c r="K844" s="10" t="n">
        <f aca="false">MAX(0,E844-E843)*Staffing!$P$19</f>
        <v>0</v>
      </c>
      <c r="L844" s="23" t="n">
        <f aca="false">ROUNDUP(E844,0)</f>
        <v>1</v>
      </c>
    </row>
    <row r="845" customFormat="false" ht="15" hidden="false" customHeight="false" outlineLevel="0" collapsed="false">
      <c r="A845" s="6" t="s">
        <v>4</v>
      </c>
      <c r="B845" s="6" t="s">
        <v>325</v>
      </c>
      <c r="C845" s="6" t="n">
        <v>60</v>
      </c>
      <c r="D845" s="25" t="n">
        <f aca="false">EDATE('Start Here'!$B$6,C845-1)</f>
        <v>48122</v>
      </c>
      <c r="E845" s="11" t="n">
        <f aca="false">IF(AND(C845&gt;=Staffing!$F$19,C845&lt;=Staffing!$G$19,1=1),IF(C845&lt;=6,Staffing!$H$19,IF(C845&lt;=15,Staffing!$I$19,IF(C845&lt;=30,Staffing!$J$19,Staffing!$K$19))),0)</f>
        <v>1</v>
      </c>
      <c r="F845" s="10" t="n">
        <f aca="false">E845*Assumptions!$D$26/12*(1+Assumptions!$D$10)^INT((C845-1)/12)*'Start Here'!$B$10</f>
        <v>0</v>
      </c>
      <c r="G845" s="10" t="n">
        <f aca="false">F845*Staffing!$N$19</f>
        <v>0</v>
      </c>
      <c r="H845" s="10" t="n">
        <f aca="false">F845+G845</f>
        <v>0</v>
      </c>
      <c r="I845" s="10" t="n">
        <f aca="false">E845*Assumptions!$D$26/12*(1+Assumptions!$D$10)^INT((C845-1)/12)*(1-'Start Here'!$B$10)</f>
        <v>17547.8784</v>
      </c>
      <c r="J845" s="10" t="n">
        <f aca="false">MAX(0,E845-E844)*Staffing!$O$19</f>
        <v>0</v>
      </c>
      <c r="K845" s="10" t="n">
        <f aca="false">MAX(0,E845-E844)*Staffing!$P$19</f>
        <v>0</v>
      </c>
      <c r="L845" s="23" t="n">
        <f aca="false">ROUNDUP(E845,0)</f>
        <v>1</v>
      </c>
    </row>
    <row r="846" customFormat="false" ht="15" hidden="false" customHeight="false" outlineLevel="0" collapsed="false">
      <c r="A846" s="6" t="s">
        <v>4</v>
      </c>
      <c r="B846" s="6" t="s">
        <v>329</v>
      </c>
      <c r="C846" s="6" t="n">
        <v>1</v>
      </c>
      <c r="D846" s="25" t="n">
        <f aca="false">EDATE('Start Here'!$B$6,C846-1)</f>
        <v>46327</v>
      </c>
      <c r="E846" s="11" t="n">
        <f aca="false">IF(AND(C846&gt;=Staffing!$F$20,C846&lt;=Staffing!$G$20,1=1),IF(C846&lt;=6,Staffing!$H$20,IF(C846&lt;=15,Staffing!$I$20,IF(C846&lt;=30,Staffing!$J$20,Staffing!$K$20))),0)</f>
        <v>1</v>
      </c>
      <c r="F846" s="10" t="n">
        <f aca="false">E846*Staffing!$L$20/12*(1+Assumptions!$D$10)^INT((C846-1)/12)*1</f>
        <v>13750</v>
      </c>
      <c r="G846" s="10" t="n">
        <f aca="false">F846*Staffing!$N$20</f>
        <v>5500</v>
      </c>
      <c r="H846" s="10" t="n">
        <f aca="false">F846+G846</f>
        <v>19250</v>
      </c>
      <c r="I846" s="10" t="n">
        <f aca="false">0</f>
        <v>0</v>
      </c>
      <c r="J846" s="10" t="n">
        <f aca="false">MAX(0,E846-0)*Staffing!$O$20</f>
        <v>8000</v>
      </c>
      <c r="K846" s="10" t="n">
        <f aca="false">MAX(0,E846-0)*Staffing!$P$20</f>
        <v>3000</v>
      </c>
      <c r="L846" s="23" t="n">
        <f aca="false">ROUNDUP(E846,0)</f>
        <v>1</v>
      </c>
    </row>
    <row r="847" customFormat="false" ht="15" hidden="false" customHeight="false" outlineLevel="0" collapsed="false">
      <c r="A847" s="6" t="s">
        <v>4</v>
      </c>
      <c r="B847" s="6" t="s">
        <v>329</v>
      </c>
      <c r="C847" s="6" t="n">
        <v>2</v>
      </c>
      <c r="D847" s="25" t="n">
        <f aca="false">EDATE('Start Here'!$B$6,C847-1)</f>
        <v>46357</v>
      </c>
      <c r="E847" s="11" t="n">
        <f aca="false">IF(AND(C847&gt;=Staffing!$F$20,C847&lt;=Staffing!$G$20,1=1),IF(C847&lt;=6,Staffing!$H$20,IF(C847&lt;=15,Staffing!$I$20,IF(C847&lt;=30,Staffing!$J$20,Staffing!$K$20))),0)</f>
        <v>1</v>
      </c>
      <c r="F847" s="10" t="n">
        <f aca="false">E847*Staffing!$L$20/12*(1+Assumptions!$D$10)^INT((C847-1)/12)*1</f>
        <v>13750</v>
      </c>
      <c r="G847" s="10" t="n">
        <f aca="false">F847*Staffing!$N$20</f>
        <v>5500</v>
      </c>
      <c r="H847" s="10" t="n">
        <f aca="false">F847+G847</f>
        <v>19250</v>
      </c>
      <c r="I847" s="10" t="n">
        <f aca="false">0</f>
        <v>0</v>
      </c>
      <c r="J847" s="10" t="n">
        <f aca="false">MAX(0,E847-E846)*Staffing!$O$20</f>
        <v>0</v>
      </c>
      <c r="K847" s="10" t="n">
        <f aca="false">MAX(0,E847-E846)*Staffing!$P$20</f>
        <v>0</v>
      </c>
      <c r="L847" s="23" t="n">
        <f aca="false">ROUNDUP(E847,0)</f>
        <v>1</v>
      </c>
    </row>
    <row r="848" customFormat="false" ht="15" hidden="false" customHeight="false" outlineLevel="0" collapsed="false">
      <c r="A848" s="6" t="s">
        <v>4</v>
      </c>
      <c r="B848" s="6" t="s">
        <v>329</v>
      </c>
      <c r="C848" s="6" t="n">
        <v>3</v>
      </c>
      <c r="D848" s="25" t="n">
        <f aca="false">EDATE('Start Here'!$B$6,C848-1)</f>
        <v>46388</v>
      </c>
      <c r="E848" s="11" t="n">
        <f aca="false">IF(AND(C848&gt;=Staffing!$F$20,C848&lt;=Staffing!$G$20,1=1),IF(C848&lt;=6,Staffing!$H$20,IF(C848&lt;=15,Staffing!$I$20,IF(C848&lt;=30,Staffing!$J$20,Staffing!$K$20))),0)</f>
        <v>1</v>
      </c>
      <c r="F848" s="10" t="n">
        <f aca="false">E848*Staffing!$L$20/12*(1+Assumptions!$D$10)^INT((C848-1)/12)*1</f>
        <v>13750</v>
      </c>
      <c r="G848" s="10" t="n">
        <f aca="false">F848*Staffing!$N$20</f>
        <v>5500</v>
      </c>
      <c r="H848" s="10" t="n">
        <f aca="false">F848+G848</f>
        <v>19250</v>
      </c>
      <c r="I848" s="10" t="n">
        <f aca="false">0</f>
        <v>0</v>
      </c>
      <c r="J848" s="10" t="n">
        <f aca="false">MAX(0,E848-E847)*Staffing!$O$20</f>
        <v>0</v>
      </c>
      <c r="K848" s="10" t="n">
        <f aca="false">MAX(0,E848-E847)*Staffing!$P$20</f>
        <v>0</v>
      </c>
      <c r="L848" s="23" t="n">
        <f aca="false">ROUNDUP(E848,0)</f>
        <v>1</v>
      </c>
    </row>
    <row r="849" customFormat="false" ht="15" hidden="false" customHeight="false" outlineLevel="0" collapsed="false">
      <c r="A849" s="6" t="s">
        <v>4</v>
      </c>
      <c r="B849" s="6" t="s">
        <v>329</v>
      </c>
      <c r="C849" s="6" t="n">
        <v>4</v>
      </c>
      <c r="D849" s="25" t="n">
        <f aca="false">EDATE('Start Here'!$B$6,C849-1)</f>
        <v>46419</v>
      </c>
      <c r="E849" s="11" t="n">
        <f aca="false">IF(AND(C849&gt;=Staffing!$F$20,C849&lt;=Staffing!$G$20,1=1),IF(C849&lt;=6,Staffing!$H$20,IF(C849&lt;=15,Staffing!$I$20,IF(C849&lt;=30,Staffing!$J$20,Staffing!$K$20))),0)</f>
        <v>1</v>
      </c>
      <c r="F849" s="10" t="n">
        <f aca="false">E849*Staffing!$L$20/12*(1+Assumptions!$D$10)^INT((C849-1)/12)*1</f>
        <v>13750</v>
      </c>
      <c r="G849" s="10" t="n">
        <f aca="false">F849*Staffing!$N$20</f>
        <v>5500</v>
      </c>
      <c r="H849" s="10" t="n">
        <f aca="false">F849+G849</f>
        <v>19250</v>
      </c>
      <c r="I849" s="10" t="n">
        <f aca="false">0</f>
        <v>0</v>
      </c>
      <c r="J849" s="10" t="n">
        <f aca="false">MAX(0,E849-E848)*Staffing!$O$20</f>
        <v>0</v>
      </c>
      <c r="K849" s="10" t="n">
        <f aca="false">MAX(0,E849-E848)*Staffing!$P$20</f>
        <v>0</v>
      </c>
      <c r="L849" s="23" t="n">
        <f aca="false">ROUNDUP(E849,0)</f>
        <v>1</v>
      </c>
    </row>
    <row r="850" customFormat="false" ht="15" hidden="false" customHeight="false" outlineLevel="0" collapsed="false">
      <c r="A850" s="6" t="s">
        <v>4</v>
      </c>
      <c r="B850" s="6" t="s">
        <v>329</v>
      </c>
      <c r="C850" s="6" t="n">
        <v>5</v>
      </c>
      <c r="D850" s="25" t="n">
        <f aca="false">EDATE('Start Here'!$B$6,C850-1)</f>
        <v>46447</v>
      </c>
      <c r="E850" s="11" t="n">
        <f aca="false">IF(AND(C850&gt;=Staffing!$F$20,C850&lt;=Staffing!$G$20,1=1),IF(C850&lt;=6,Staffing!$H$20,IF(C850&lt;=15,Staffing!$I$20,IF(C850&lt;=30,Staffing!$J$20,Staffing!$K$20))),0)</f>
        <v>1</v>
      </c>
      <c r="F850" s="10" t="n">
        <f aca="false">E850*Staffing!$L$20/12*(1+Assumptions!$D$10)^INT((C850-1)/12)*1</f>
        <v>13750</v>
      </c>
      <c r="G850" s="10" t="n">
        <f aca="false">F850*Staffing!$N$20</f>
        <v>5500</v>
      </c>
      <c r="H850" s="10" t="n">
        <f aca="false">F850+G850</f>
        <v>19250</v>
      </c>
      <c r="I850" s="10" t="n">
        <f aca="false">0</f>
        <v>0</v>
      </c>
      <c r="J850" s="10" t="n">
        <f aca="false">MAX(0,E850-E849)*Staffing!$O$20</f>
        <v>0</v>
      </c>
      <c r="K850" s="10" t="n">
        <f aca="false">MAX(0,E850-E849)*Staffing!$P$20</f>
        <v>0</v>
      </c>
      <c r="L850" s="23" t="n">
        <f aca="false">ROUNDUP(E850,0)</f>
        <v>1</v>
      </c>
    </row>
    <row r="851" customFormat="false" ht="15" hidden="false" customHeight="false" outlineLevel="0" collapsed="false">
      <c r="A851" s="6" t="s">
        <v>4</v>
      </c>
      <c r="B851" s="6" t="s">
        <v>329</v>
      </c>
      <c r="C851" s="6" t="n">
        <v>6</v>
      </c>
      <c r="D851" s="25" t="n">
        <f aca="false">EDATE('Start Here'!$B$6,C851-1)</f>
        <v>46478</v>
      </c>
      <c r="E851" s="11" t="n">
        <f aca="false">IF(AND(C851&gt;=Staffing!$F$20,C851&lt;=Staffing!$G$20,1=1),IF(C851&lt;=6,Staffing!$H$20,IF(C851&lt;=15,Staffing!$I$20,IF(C851&lt;=30,Staffing!$J$20,Staffing!$K$20))),0)</f>
        <v>1</v>
      </c>
      <c r="F851" s="10" t="n">
        <f aca="false">E851*Staffing!$L$20/12*(1+Assumptions!$D$10)^INT((C851-1)/12)*1</f>
        <v>13750</v>
      </c>
      <c r="G851" s="10" t="n">
        <f aca="false">F851*Staffing!$N$20</f>
        <v>5500</v>
      </c>
      <c r="H851" s="10" t="n">
        <f aca="false">F851+G851</f>
        <v>19250</v>
      </c>
      <c r="I851" s="10" t="n">
        <f aca="false">0</f>
        <v>0</v>
      </c>
      <c r="J851" s="10" t="n">
        <f aca="false">MAX(0,E851-E850)*Staffing!$O$20</f>
        <v>0</v>
      </c>
      <c r="K851" s="10" t="n">
        <f aca="false">MAX(0,E851-E850)*Staffing!$P$20</f>
        <v>0</v>
      </c>
      <c r="L851" s="23" t="n">
        <f aca="false">ROUNDUP(E851,0)</f>
        <v>1</v>
      </c>
    </row>
    <row r="852" customFormat="false" ht="15" hidden="false" customHeight="false" outlineLevel="0" collapsed="false">
      <c r="A852" s="6" t="s">
        <v>4</v>
      </c>
      <c r="B852" s="6" t="s">
        <v>329</v>
      </c>
      <c r="C852" s="6" t="n">
        <v>7</v>
      </c>
      <c r="D852" s="25" t="n">
        <f aca="false">EDATE('Start Here'!$B$6,C852-1)</f>
        <v>46508</v>
      </c>
      <c r="E852" s="11" t="n">
        <f aca="false">IF(AND(C852&gt;=Staffing!$F$20,C852&lt;=Staffing!$G$20,1=1),IF(C852&lt;=6,Staffing!$H$20,IF(C852&lt;=15,Staffing!$I$20,IF(C852&lt;=30,Staffing!$J$20,Staffing!$K$20))),0)</f>
        <v>1</v>
      </c>
      <c r="F852" s="10" t="n">
        <f aca="false">E852*Staffing!$L$20/12*(1+Assumptions!$D$10)^INT((C852-1)/12)*1</f>
        <v>13750</v>
      </c>
      <c r="G852" s="10" t="n">
        <f aca="false">F852*Staffing!$N$20</f>
        <v>5500</v>
      </c>
      <c r="H852" s="10" t="n">
        <f aca="false">F852+G852</f>
        <v>19250</v>
      </c>
      <c r="I852" s="10" t="n">
        <f aca="false">0</f>
        <v>0</v>
      </c>
      <c r="J852" s="10" t="n">
        <f aca="false">MAX(0,E852-E851)*Staffing!$O$20</f>
        <v>0</v>
      </c>
      <c r="K852" s="10" t="n">
        <f aca="false">MAX(0,E852-E851)*Staffing!$P$20</f>
        <v>0</v>
      </c>
      <c r="L852" s="23" t="n">
        <f aca="false">ROUNDUP(E852,0)</f>
        <v>1</v>
      </c>
    </row>
    <row r="853" customFormat="false" ht="15" hidden="false" customHeight="false" outlineLevel="0" collapsed="false">
      <c r="A853" s="6" t="s">
        <v>4</v>
      </c>
      <c r="B853" s="6" t="s">
        <v>329</v>
      </c>
      <c r="C853" s="6" t="n">
        <v>8</v>
      </c>
      <c r="D853" s="25" t="n">
        <f aca="false">EDATE('Start Here'!$B$6,C853-1)</f>
        <v>46539</v>
      </c>
      <c r="E853" s="11" t="n">
        <f aca="false">IF(AND(C853&gt;=Staffing!$F$20,C853&lt;=Staffing!$G$20,1=1),IF(C853&lt;=6,Staffing!$H$20,IF(C853&lt;=15,Staffing!$I$20,IF(C853&lt;=30,Staffing!$J$20,Staffing!$K$20))),0)</f>
        <v>1</v>
      </c>
      <c r="F853" s="10" t="n">
        <f aca="false">E853*Staffing!$L$20/12*(1+Assumptions!$D$10)^INT((C853-1)/12)*1</f>
        <v>13750</v>
      </c>
      <c r="G853" s="10" t="n">
        <f aca="false">F853*Staffing!$N$20</f>
        <v>5500</v>
      </c>
      <c r="H853" s="10" t="n">
        <f aca="false">F853+G853</f>
        <v>19250</v>
      </c>
      <c r="I853" s="10" t="n">
        <f aca="false">0</f>
        <v>0</v>
      </c>
      <c r="J853" s="10" t="n">
        <f aca="false">MAX(0,E853-E852)*Staffing!$O$20</f>
        <v>0</v>
      </c>
      <c r="K853" s="10" t="n">
        <f aca="false">MAX(0,E853-E852)*Staffing!$P$20</f>
        <v>0</v>
      </c>
      <c r="L853" s="23" t="n">
        <f aca="false">ROUNDUP(E853,0)</f>
        <v>1</v>
      </c>
    </row>
    <row r="854" customFormat="false" ht="15" hidden="false" customHeight="false" outlineLevel="0" collapsed="false">
      <c r="A854" s="6" t="s">
        <v>4</v>
      </c>
      <c r="B854" s="6" t="s">
        <v>329</v>
      </c>
      <c r="C854" s="6" t="n">
        <v>9</v>
      </c>
      <c r="D854" s="25" t="n">
        <f aca="false">EDATE('Start Here'!$B$6,C854-1)</f>
        <v>46569</v>
      </c>
      <c r="E854" s="11" t="n">
        <f aca="false">IF(AND(C854&gt;=Staffing!$F$20,C854&lt;=Staffing!$G$20,1=1),IF(C854&lt;=6,Staffing!$H$20,IF(C854&lt;=15,Staffing!$I$20,IF(C854&lt;=30,Staffing!$J$20,Staffing!$K$20))),0)</f>
        <v>1</v>
      </c>
      <c r="F854" s="10" t="n">
        <f aca="false">E854*Staffing!$L$20/12*(1+Assumptions!$D$10)^INT((C854-1)/12)*1</f>
        <v>13750</v>
      </c>
      <c r="G854" s="10" t="n">
        <f aca="false">F854*Staffing!$N$20</f>
        <v>5500</v>
      </c>
      <c r="H854" s="10" t="n">
        <f aca="false">F854+G854</f>
        <v>19250</v>
      </c>
      <c r="I854" s="10" t="n">
        <f aca="false">0</f>
        <v>0</v>
      </c>
      <c r="J854" s="10" t="n">
        <f aca="false">MAX(0,E854-E853)*Staffing!$O$20</f>
        <v>0</v>
      </c>
      <c r="K854" s="10" t="n">
        <f aca="false">MAX(0,E854-E853)*Staffing!$P$20</f>
        <v>0</v>
      </c>
      <c r="L854" s="23" t="n">
        <f aca="false">ROUNDUP(E854,0)</f>
        <v>1</v>
      </c>
    </row>
    <row r="855" customFormat="false" ht="15" hidden="false" customHeight="false" outlineLevel="0" collapsed="false">
      <c r="A855" s="6" t="s">
        <v>4</v>
      </c>
      <c r="B855" s="6" t="s">
        <v>329</v>
      </c>
      <c r="C855" s="6" t="n">
        <v>10</v>
      </c>
      <c r="D855" s="25" t="n">
        <f aca="false">EDATE('Start Here'!$B$6,C855-1)</f>
        <v>46600</v>
      </c>
      <c r="E855" s="11" t="n">
        <f aca="false">IF(AND(C855&gt;=Staffing!$F$20,C855&lt;=Staffing!$G$20,1=1),IF(C855&lt;=6,Staffing!$H$20,IF(C855&lt;=15,Staffing!$I$20,IF(C855&lt;=30,Staffing!$J$20,Staffing!$K$20))),0)</f>
        <v>1</v>
      </c>
      <c r="F855" s="10" t="n">
        <f aca="false">E855*Staffing!$L$20/12*(1+Assumptions!$D$10)^INT((C855-1)/12)*1</f>
        <v>13750</v>
      </c>
      <c r="G855" s="10" t="n">
        <f aca="false">F855*Staffing!$N$20</f>
        <v>5500</v>
      </c>
      <c r="H855" s="10" t="n">
        <f aca="false">F855+G855</f>
        <v>19250</v>
      </c>
      <c r="I855" s="10" t="n">
        <f aca="false">0</f>
        <v>0</v>
      </c>
      <c r="J855" s="10" t="n">
        <f aca="false">MAX(0,E855-E854)*Staffing!$O$20</f>
        <v>0</v>
      </c>
      <c r="K855" s="10" t="n">
        <f aca="false">MAX(0,E855-E854)*Staffing!$P$20</f>
        <v>0</v>
      </c>
      <c r="L855" s="23" t="n">
        <f aca="false">ROUNDUP(E855,0)</f>
        <v>1</v>
      </c>
    </row>
    <row r="856" customFormat="false" ht="15" hidden="false" customHeight="false" outlineLevel="0" collapsed="false">
      <c r="A856" s="6" t="s">
        <v>4</v>
      </c>
      <c r="B856" s="6" t="s">
        <v>329</v>
      </c>
      <c r="C856" s="6" t="n">
        <v>11</v>
      </c>
      <c r="D856" s="25" t="n">
        <f aca="false">EDATE('Start Here'!$B$6,C856-1)</f>
        <v>46631</v>
      </c>
      <c r="E856" s="11" t="n">
        <f aca="false">IF(AND(C856&gt;=Staffing!$F$20,C856&lt;=Staffing!$G$20,1=1),IF(C856&lt;=6,Staffing!$H$20,IF(C856&lt;=15,Staffing!$I$20,IF(C856&lt;=30,Staffing!$J$20,Staffing!$K$20))),0)</f>
        <v>1</v>
      </c>
      <c r="F856" s="10" t="n">
        <f aca="false">E856*Staffing!$L$20/12*(1+Assumptions!$D$10)^INT((C856-1)/12)*1</f>
        <v>13750</v>
      </c>
      <c r="G856" s="10" t="n">
        <f aca="false">F856*Staffing!$N$20</f>
        <v>5500</v>
      </c>
      <c r="H856" s="10" t="n">
        <f aca="false">F856+G856</f>
        <v>19250</v>
      </c>
      <c r="I856" s="10" t="n">
        <f aca="false">0</f>
        <v>0</v>
      </c>
      <c r="J856" s="10" t="n">
        <f aca="false">MAX(0,E856-E855)*Staffing!$O$20</f>
        <v>0</v>
      </c>
      <c r="K856" s="10" t="n">
        <f aca="false">MAX(0,E856-E855)*Staffing!$P$20</f>
        <v>0</v>
      </c>
      <c r="L856" s="23" t="n">
        <f aca="false">ROUNDUP(E856,0)</f>
        <v>1</v>
      </c>
    </row>
    <row r="857" customFormat="false" ht="15" hidden="false" customHeight="false" outlineLevel="0" collapsed="false">
      <c r="A857" s="6" t="s">
        <v>4</v>
      </c>
      <c r="B857" s="6" t="s">
        <v>329</v>
      </c>
      <c r="C857" s="6" t="n">
        <v>12</v>
      </c>
      <c r="D857" s="25" t="n">
        <f aca="false">EDATE('Start Here'!$B$6,C857-1)</f>
        <v>46661</v>
      </c>
      <c r="E857" s="11" t="n">
        <f aca="false">IF(AND(C857&gt;=Staffing!$F$20,C857&lt;=Staffing!$G$20,1=1),IF(C857&lt;=6,Staffing!$H$20,IF(C857&lt;=15,Staffing!$I$20,IF(C857&lt;=30,Staffing!$J$20,Staffing!$K$20))),0)</f>
        <v>1</v>
      </c>
      <c r="F857" s="10" t="n">
        <f aca="false">E857*Staffing!$L$20/12*(1+Assumptions!$D$10)^INT((C857-1)/12)*1</f>
        <v>13750</v>
      </c>
      <c r="G857" s="10" t="n">
        <f aca="false">F857*Staffing!$N$20</f>
        <v>5500</v>
      </c>
      <c r="H857" s="10" t="n">
        <f aca="false">F857+G857</f>
        <v>19250</v>
      </c>
      <c r="I857" s="10" t="n">
        <f aca="false">0</f>
        <v>0</v>
      </c>
      <c r="J857" s="10" t="n">
        <f aca="false">MAX(0,E857-E856)*Staffing!$O$20</f>
        <v>0</v>
      </c>
      <c r="K857" s="10" t="n">
        <f aca="false">MAX(0,E857-E856)*Staffing!$P$20</f>
        <v>0</v>
      </c>
      <c r="L857" s="23" t="n">
        <f aca="false">ROUNDUP(E857,0)</f>
        <v>1</v>
      </c>
    </row>
    <row r="858" customFormat="false" ht="15" hidden="false" customHeight="false" outlineLevel="0" collapsed="false">
      <c r="A858" s="6" t="s">
        <v>4</v>
      </c>
      <c r="B858" s="6" t="s">
        <v>329</v>
      </c>
      <c r="C858" s="6" t="n">
        <v>13</v>
      </c>
      <c r="D858" s="25" t="n">
        <f aca="false">EDATE('Start Here'!$B$6,C858-1)</f>
        <v>46692</v>
      </c>
      <c r="E858" s="11" t="n">
        <f aca="false">IF(AND(C858&gt;=Staffing!$F$20,C858&lt;=Staffing!$G$20,1=1),IF(C858&lt;=6,Staffing!$H$20,IF(C858&lt;=15,Staffing!$I$20,IF(C858&lt;=30,Staffing!$J$20,Staffing!$K$20))),0)</f>
        <v>1</v>
      </c>
      <c r="F858" s="10" t="n">
        <f aca="false">E858*Staffing!$L$20/12*(1+Assumptions!$D$10)^INT((C858-1)/12)*1</f>
        <v>14300</v>
      </c>
      <c r="G858" s="10" t="n">
        <f aca="false">F858*Staffing!$N$20</f>
        <v>5720</v>
      </c>
      <c r="H858" s="10" t="n">
        <f aca="false">F858+G858</f>
        <v>20020</v>
      </c>
      <c r="I858" s="10" t="n">
        <f aca="false">0</f>
        <v>0</v>
      </c>
      <c r="J858" s="10" t="n">
        <f aca="false">MAX(0,E858-E857)*Staffing!$O$20</f>
        <v>0</v>
      </c>
      <c r="K858" s="10" t="n">
        <f aca="false">MAX(0,E858-E857)*Staffing!$P$20</f>
        <v>0</v>
      </c>
      <c r="L858" s="23" t="n">
        <f aca="false">ROUNDUP(E858,0)</f>
        <v>1</v>
      </c>
    </row>
    <row r="859" customFormat="false" ht="15" hidden="false" customHeight="false" outlineLevel="0" collapsed="false">
      <c r="A859" s="6" t="s">
        <v>4</v>
      </c>
      <c r="B859" s="6" t="s">
        <v>329</v>
      </c>
      <c r="C859" s="6" t="n">
        <v>14</v>
      </c>
      <c r="D859" s="25" t="n">
        <f aca="false">EDATE('Start Here'!$B$6,C859-1)</f>
        <v>46722</v>
      </c>
      <c r="E859" s="11" t="n">
        <f aca="false">IF(AND(C859&gt;=Staffing!$F$20,C859&lt;=Staffing!$G$20,1=1),IF(C859&lt;=6,Staffing!$H$20,IF(C859&lt;=15,Staffing!$I$20,IF(C859&lt;=30,Staffing!$J$20,Staffing!$K$20))),0)</f>
        <v>1</v>
      </c>
      <c r="F859" s="10" t="n">
        <f aca="false">E859*Staffing!$L$20/12*(1+Assumptions!$D$10)^INT((C859-1)/12)*1</f>
        <v>14300</v>
      </c>
      <c r="G859" s="10" t="n">
        <f aca="false">F859*Staffing!$N$20</f>
        <v>5720</v>
      </c>
      <c r="H859" s="10" t="n">
        <f aca="false">F859+G859</f>
        <v>20020</v>
      </c>
      <c r="I859" s="10" t="n">
        <f aca="false">0</f>
        <v>0</v>
      </c>
      <c r="J859" s="10" t="n">
        <f aca="false">MAX(0,E859-E858)*Staffing!$O$20</f>
        <v>0</v>
      </c>
      <c r="K859" s="10" t="n">
        <f aca="false">MAX(0,E859-E858)*Staffing!$P$20</f>
        <v>0</v>
      </c>
      <c r="L859" s="23" t="n">
        <f aca="false">ROUNDUP(E859,0)</f>
        <v>1</v>
      </c>
    </row>
    <row r="860" customFormat="false" ht="15" hidden="false" customHeight="false" outlineLevel="0" collapsed="false">
      <c r="A860" s="6" t="s">
        <v>4</v>
      </c>
      <c r="B860" s="6" t="s">
        <v>329</v>
      </c>
      <c r="C860" s="6" t="n">
        <v>15</v>
      </c>
      <c r="D860" s="25" t="n">
        <f aca="false">EDATE('Start Here'!$B$6,C860-1)</f>
        <v>46753</v>
      </c>
      <c r="E860" s="11" t="n">
        <f aca="false">IF(AND(C860&gt;=Staffing!$F$20,C860&lt;=Staffing!$G$20,1=1),IF(C860&lt;=6,Staffing!$H$20,IF(C860&lt;=15,Staffing!$I$20,IF(C860&lt;=30,Staffing!$J$20,Staffing!$K$20))),0)</f>
        <v>1</v>
      </c>
      <c r="F860" s="10" t="n">
        <f aca="false">E860*Staffing!$L$20/12*(1+Assumptions!$D$10)^INT((C860-1)/12)*1</f>
        <v>14300</v>
      </c>
      <c r="G860" s="10" t="n">
        <f aca="false">F860*Staffing!$N$20</f>
        <v>5720</v>
      </c>
      <c r="H860" s="10" t="n">
        <f aca="false">F860+G860</f>
        <v>20020</v>
      </c>
      <c r="I860" s="10" t="n">
        <f aca="false">0</f>
        <v>0</v>
      </c>
      <c r="J860" s="10" t="n">
        <f aca="false">MAX(0,E860-E859)*Staffing!$O$20</f>
        <v>0</v>
      </c>
      <c r="K860" s="10" t="n">
        <f aca="false">MAX(0,E860-E859)*Staffing!$P$20</f>
        <v>0</v>
      </c>
      <c r="L860" s="23" t="n">
        <f aca="false">ROUNDUP(E860,0)</f>
        <v>1</v>
      </c>
    </row>
    <row r="861" customFormat="false" ht="15" hidden="false" customHeight="false" outlineLevel="0" collapsed="false">
      <c r="A861" s="6" t="s">
        <v>4</v>
      </c>
      <c r="B861" s="6" t="s">
        <v>329</v>
      </c>
      <c r="C861" s="6" t="n">
        <v>16</v>
      </c>
      <c r="D861" s="25" t="n">
        <f aca="false">EDATE('Start Here'!$B$6,C861-1)</f>
        <v>46784</v>
      </c>
      <c r="E861" s="11" t="n">
        <f aca="false">IF(AND(C861&gt;=Staffing!$F$20,C861&lt;=Staffing!$G$20,1=1),IF(C861&lt;=6,Staffing!$H$20,IF(C861&lt;=15,Staffing!$I$20,IF(C861&lt;=30,Staffing!$J$20,Staffing!$K$20))),0)</f>
        <v>1</v>
      </c>
      <c r="F861" s="10" t="n">
        <f aca="false">E861*Staffing!$L$20/12*(1+Assumptions!$D$10)^INT((C861-1)/12)*1</f>
        <v>14300</v>
      </c>
      <c r="G861" s="10" t="n">
        <f aca="false">F861*Staffing!$N$20</f>
        <v>5720</v>
      </c>
      <c r="H861" s="10" t="n">
        <f aca="false">F861+G861</f>
        <v>20020</v>
      </c>
      <c r="I861" s="10" t="n">
        <f aca="false">0</f>
        <v>0</v>
      </c>
      <c r="J861" s="10" t="n">
        <f aca="false">MAX(0,E861-E860)*Staffing!$O$20</f>
        <v>0</v>
      </c>
      <c r="K861" s="10" t="n">
        <f aca="false">MAX(0,E861-E860)*Staffing!$P$20</f>
        <v>0</v>
      </c>
      <c r="L861" s="23" t="n">
        <f aca="false">ROUNDUP(E861,0)</f>
        <v>1</v>
      </c>
    </row>
    <row r="862" customFormat="false" ht="15" hidden="false" customHeight="false" outlineLevel="0" collapsed="false">
      <c r="A862" s="6" t="s">
        <v>4</v>
      </c>
      <c r="B862" s="6" t="s">
        <v>329</v>
      </c>
      <c r="C862" s="6" t="n">
        <v>17</v>
      </c>
      <c r="D862" s="25" t="n">
        <f aca="false">EDATE('Start Here'!$B$6,C862-1)</f>
        <v>46813</v>
      </c>
      <c r="E862" s="11" t="n">
        <f aca="false">IF(AND(C862&gt;=Staffing!$F$20,C862&lt;=Staffing!$G$20,1=1),IF(C862&lt;=6,Staffing!$H$20,IF(C862&lt;=15,Staffing!$I$20,IF(C862&lt;=30,Staffing!$J$20,Staffing!$K$20))),0)</f>
        <v>1</v>
      </c>
      <c r="F862" s="10" t="n">
        <f aca="false">E862*Staffing!$L$20/12*(1+Assumptions!$D$10)^INT((C862-1)/12)*1</f>
        <v>14300</v>
      </c>
      <c r="G862" s="10" t="n">
        <f aca="false">F862*Staffing!$N$20</f>
        <v>5720</v>
      </c>
      <c r="H862" s="10" t="n">
        <f aca="false">F862+G862</f>
        <v>20020</v>
      </c>
      <c r="I862" s="10" t="n">
        <f aca="false">0</f>
        <v>0</v>
      </c>
      <c r="J862" s="10" t="n">
        <f aca="false">MAX(0,E862-E861)*Staffing!$O$20</f>
        <v>0</v>
      </c>
      <c r="K862" s="10" t="n">
        <f aca="false">MAX(0,E862-E861)*Staffing!$P$20</f>
        <v>0</v>
      </c>
      <c r="L862" s="23" t="n">
        <f aca="false">ROUNDUP(E862,0)</f>
        <v>1</v>
      </c>
    </row>
    <row r="863" customFormat="false" ht="15" hidden="false" customHeight="false" outlineLevel="0" collapsed="false">
      <c r="A863" s="6" t="s">
        <v>4</v>
      </c>
      <c r="B863" s="6" t="s">
        <v>329</v>
      </c>
      <c r="C863" s="6" t="n">
        <v>18</v>
      </c>
      <c r="D863" s="25" t="n">
        <f aca="false">EDATE('Start Here'!$B$6,C863-1)</f>
        <v>46844</v>
      </c>
      <c r="E863" s="11" t="n">
        <f aca="false">IF(AND(C863&gt;=Staffing!$F$20,C863&lt;=Staffing!$G$20,1=1),IF(C863&lt;=6,Staffing!$H$20,IF(C863&lt;=15,Staffing!$I$20,IF(C863&lt;=30,Staffing!$J$20,Staffing!$K$20))),0)</f>
        <v>1</v>
      </c>
      <c r="F863" s="10" t="n">
        <f aca="false">E863*Staffing!$L$20/12*(1+Assumptions!$D$10)^INT((C863-1)/12)*1</f>
        <v>14300</v>
      </c>
      <c r="G863" s="10" t="n">
        <f aca="false">F863*Staffing!$N$20</f>
        <v>5720</v>
      </c>
      <c r="H863" s="10" t="n">
        <f aca="false">F863+G863</f>
        <v>20020</v>
      </c>
      <c r="I863" s="10" t="n">
        <f aca="false">0</f>
        <v>0</v>
      </c>
      <c r="J863" s="10" t="n">
        <f aca="false">MAX(0,E863-E862)*Staffing!$O$20</f>
        <v>0</v>
      </c>
      <c r="K863" s="10" t="n">
        <f aca="false">MAX(0,E863-E862)*Staffing!$P$20</f>
        <v>0</v>
      </c>
      <c r="L863" s="23" t="n">
        <f aca="false">ROUNDUP(E863,0)</f>
        <v>1</v>
      </c>
    </row>
    <row r="864" customFormat="false" ht="15" hidden="false" customHeight="false" outlineLevel="0" collapsed="false">
      <c r="A864" s="6" t="s">
        <v>4</v>
      </c>
      <c r="B864" s="6" t="s">
        <v>329</v>
      </c>
      <c r="C864" s="6" t="n">
        <v>19</v>
      </c>
      <c r="D864" s="25" t="n">
        <f aca="false">EDATE('Start Here'!$B$6,C864-1)</f>
        <v>46874</v>
      </c>
      <c r="E864" s="11" t="n">
        <f aca="false">IF(AND(C864&gt;=Staffing!$F$20,C864&lt;=Staffing!$G$20,1=1),IF(C864&lt;=6,Staffing!$H$20,IF(C864&lt;=15,Staffing!$I$20,IF(C864&lt;=30,Staffing!$J$20,Staffing!$K$20))),0)</f>
        <v>1</v>
      </c>
      <c r="F864" s="10" t="n">
        <f aca="false">E864*Staffing!$L$20/12*(1+Assumptions!$D$10)^INT((C864-1)/12)*1</f>
        <v>14300</v>
      </c>
      <c r="G864" s="10" t="n">
        <f aca="false">F864*Staffing!$N$20</f>
        <v>5720</v>
      </c>
      <c r="H864" s="10" t="n">
        <f aca="false">F864+G864</f>
        <v>20020</v>
      </c>
      <c r="I864" s="10" t="n">
        <f aca="false">0</f>
        <v>0</v>
      </c>
      <c r="J864" s="10" t="n">
        <f aca="false">MAX(0,E864-E863)*Staffing!$O$20</f>
        <v>0</v>
      </c>
      <c r="K864" s="10" t="n">
        <f aca="false">MAX(0,E864-E863)*Staffing!$P$20</f>
        <v>0</v>
      </c>
      <c r="L864" s="23" t="n">
        <f aca="false">ROUNDUP(E864,0)</f>
        <v>1</v>
      </c>
    </row>
    <row r="865" customFormat="false" ht="15" hidden="false" customHeight="false" outlineLevel="0" collapsed="false">
      <c r="A865" s="6" t="s">
        <v>4</v>
      </c>
      <c r="B865" s="6" t="s">
        <v>329</v>
      </c>
      <c r="C865" s="6" t="n">
        <v>20</v>
      </c>
      <c r="D865" s="25" t="n">
        <f aca="false">EDATE('Start Here'!$B$6,C865-1)</f>
        <v>46905</v>
      </c>
      <c r="E865" s="11" t="n">
        <f aca="false">IF(AND(C865&gt;=Staffing!$F$20,C865&lt;=Staffing!$G$20,1=1),IF(C865&lt;=6,Staffing!$H$20,IF(C865&lt;=15,Staffing!$I$20,IF(C865&lt;=30,Staffing!$J$20,Staffing!$K$20))),0)</f>
        <v>1</v>
      </c>
      <c r="F865" s="10" t="n">
        <f aca="false">E865*Staffing!$L$20/12*(1+Assumptions!$D$10)^INT((C865-1)/12)*1</f>
        <v>14300</v>
      </c>
      <c r="G865" s="10" t="n">
        <f aca="false">F865*Staffing!$N$20</f>
        <v>5720</v>
      </c>
      <c r="H865" s="10" t="n">
        <f aca="false">F865+G865</f>
        <v>20020</v>
      </c>
      <c r="I865" s="10" t="n">
        <f aca="false">0</f>
        <v>0</v>
      </c>
      <c r="J865" s="10" t="n">
        <f aca="false">MAX(0,E865-E864)*Staffing!$O$20</f>
        <v>0</v>
      </c>
      <c r="K865" s="10" t="n">
        <f aca="false">MAX(0,E865-E864)*Staffing!$P$20</f>
        <v>0</v>
      </c>
      <c r="L865" s="23" t="n">
        <f aca="false">ROUNDUP(E865,0)</f>
        <v>1</v>
      </c>
    </row>
    <row r="866" customFormat="false" ht="15" hidden="false" customHeight="false" outlineLevel="0" collapsed="false">
      <c r="A866" s="6" t="s">
        <v>4</v>
      </c>
      <c r="B866" s="6" t="s">
        <v>329</v>
      </c>
      <c r="C866" s="6" t="n">
        <v>21</v>
      </c>
      <c r="D866" s="25" t="n">
        <f aca="false">EDATE('Start Here'!$B$6,C866-1)</f>
        <v>46935</v>
      </c>
      <c r="E866" s="11" t="n">
        <f aca="false">IF(AND(C866&gt;=Staffing!$F$20,C866&lt;=Staffing!$G$20,1=1),IF(C866&lt;=6,Staffing!$H$20,IF(C866&lt;=15,Staffing!$I$20,IF(C866&lt;=30,Staffing!$J$20,Staffing!$K$20))),0)</f>
        <v>1</v>
      </c>
      <c r="F866" s="10" t="n">
        <f aca="false">E866*Staffing!$L$20/12*(1+Assumptions!$D$10)^INT((C866-1)/12)*1</f>
        <v>14300</v>
      </c>
      <c r="G866" s="10" t="n">
        <f aca="false">F866*Staffing!$N$20</f>
        <v>5720</v>
      </c>
      <c r="H866" s="10" t="n">
        <f aca="false">F866+G866</f>
        <v>20020</v>
      </c>
      <c r="I866" s="10" t="n">
        <f aca="false">0</f>
        <v>0</v>
      </c>
      <c r="J866" s="10" t="n">
        <f aca="false">MAX(0,E866-E865)*Staffing!$O$20</f>
        <v>0</v>
      </c>
      <c r="K866" s="10" t="n">
        <f aca="false">MAX(0,E866-E865)*Staffing!$P$20</f>
        <v>0</v>
      </c>
      <c r="L866" s="23" t="n">
        <f aca="false">ROUNDUP(E866,0)</f>
        <v>1</v>
      </c>
    </row>
    <row r="867" customFormat="false" ht="15" hidden="false" customHeight="false" outlineLevel="0" collapsed="false">
      <c r="A867" s="6" t="s">
        <v>4</v>
      </c>
      <c r="B867" s="6" t="s">
        <v>329</v>
      </c>
      <c r="C867" s="6" t="n">
        <v>22</v>
      </c>
      <c r="D867" s="25" t="n">
        <f aca="false">EDATE('Start Here'!$B$6,C867-1)</f>
        <v>46966</v>
      </c>
      <c r="E867" s="11" t="n">
        <f aca="false">IF(AND(C867&gt;=Staffing!$F$20,C867&lt;=Staffing!$G$20,1=1),IF(C867&lt;=6,Staffing!$H$20,IF(C867&lt;=15,Staffing!$I$20,IF(C867&lt;=30,Staffing!$J$20,Staffing!$K$20))),0)</f>
        <v>1</v>
      </c>
      <c r="F867" s="10" t="n">
        <f aca="false">E867*Staffing!$L$20/12*(1+Assumptions!$D$10)^INT((C867-1)/12)*1</f>
        <v>14300</v>
      </c>
      <c r="G867" s="10" t="n">
        <f aca="false">F867*Staffing!$N$20</f>
        <v>5720</v>
      </c>
      <c r="H867" s="10" t="n">
        <f aca="false">F867+G867</f>
        <v>20020</v>
      </c>
      <c r="I867" s="10" t="n">
        <f aca="false">0</f>
        <v>0</v>
      </c>
      <c r="J867" s="10" t="n">
        <f aca="false">MAX(0,E867-E866)*Staffing!$O$20</f>
        <v>0</v>
      </c>
      <c r="K867" s="10" t="n">
        <f aca="false">MAX(0,E867-E866)*Staffing!$P$20</f>
        <v>0</v>
      </c>
      <c r="L867" s="23" t="n">
        <f aca="false">ROUNDUP(E867,0)</f>
        <v>1</v>
      </c>
    </row>
    <row r="868" customFormat="false" ht="15" hidden="false" customHeight="false" outlineLevel="0" collapsed="false">
      <c r="A868" s="6" t="s">
        <v>4</v>
      </c>
      <c r="B868" s="6" t="s">
        <v>329</v>
      </c>
      <c r="C868" s="6" t="n">
        <v>23</v>
      </c>
      <c r="D868" s="25" t="n">
        <f aca="false">EDATE('Start Here'!$B$6,C868-1)</f>
        <v>46997</v>
      </c>
      <c r="E868" s="11" t="n">
        <f aca="false">IF(AND(C868&gt;=Staffing!$F$20,C868&lt;=Staffing!$G$20,1=1),IF(C868&lt;=6,Staffing!$H$20,IF(C868&lt;=15,Staffing!$I$20,IF(C868&lt;=30,Staffing!$J$20,Staffing!$K$20))),0)</f>
        <v>1</v>
      </c>
      <c r="F868" s="10" t="n">
        <f aca="false">E868*Staffing!$L$20/12*(1+Assumptions!$D$10)^INT((C868-1)/12)*1</f>
        <v>14300</v>
      </c>
      <c r="G868" s="10" t="n">
        <f aca="false">F868*Staffing!$N$20</f>
        <v>5720</v>
      </c>
      <c r="H868" s="10" t="n">
        <f aca="false">F868+G868</f>
        <v>20020</v>
      </c>
      <c r="I868" s="10" t="n">
        <f aca="false">0</f>
        <v>0</v>
      </c>
      <c r="J868" s="10" t="n">
        <f aca="false">MAX(0,E868-E867)*Staffing!$O$20</f>
        <v>0</v>
      </c>
      <c r="K868" s="10" t="n">
        <f aca="false">MAX(0,E868-E867)*Staffing!$P$20</f>
        <v>0</v>
      </c>
      <c r="L868" s="23" t="n">
        <f aca="false">ROUNDUP(E868,0)</f>
        <v>1</v>
      </c>
    </row>
    <row r="869" customFormat="false" ht="15" hidden="false" customHeight="false" outlineLevel="0" collapsed="false">
      <c r="A869" s="6" t="s">
        <v>4</v>
      </c>
      <c r="B869" s="6" t="s">
        <v>329</v>
      </c>
      <c r="C869" s="6" t="n">
        <v>24</v>
      </c>
      <c r="D869" s="25" t="n">
        <f aca="false">EDATE('Start Here'!$B$6,C869-1)</f>
        <v>47027</v>
      </c>
      <c r="E869" s="11" t="n">
        <f aca="false">IF(AND(C869&gt;=Staffing!$F$20,C869&lt;=Staffing!$G$20,1=1),IF(C869&lt;=6,Staffing!$H$20,IF(C869&lt;=15,Staffing!$I$20,IF(C869&lt;=30,Staffing!$J$20,Staffing!$K$20))),0)</f>
        <v>1</v>
      </c>
      <c r="F869" s="10" t="n">
        <f aca="false">E869*Staffing!$L$20/12*(1+Assumptions!$D$10)^INT((C869-1)/12)*1</f>
        <v>14300</v>
      </c>
      <c r="G869" s="10" t="n">
        <f aca="false">F869*Staffing!$N$20</f>
        <v>5720</v>
      </c>
      <c r="H869" s="10" t="n">
        <f aca="false">F869+G869</f>
        <v>20020</v>
      </c>
      <c r="I869" s="10" t="n">
        <f aca="false">0</f>
        <v>0</v>
      </c>
      <c r="J869" s="10" t="n">
        <f aca="false">MAX(0,E869-E868)*Staffing!$O$20</f>
        <v>0</v>
      </c>
      <c r="K869" s="10" t="n">
        <f aca="false">MAX(0,E869-E868)*Staffing!$P$20</f>
        <v>0</v>
      </c>
      <c r="L869" s="23" t="n">
        <f aca="false">ROUNDUP(E869,0)</f>
        <v>1</v>
      </c>
    </row>
    <row r="870" customFormat="false" ht="15" hidden="false" customHeight="false" outlineLevel="0" collapsed="false">
      <c r="A870" s="6" t="s">
        <v>4</v>
      </c>
      <c r="B870" s="6" t="s">
        <v>329</v>
      </c>
      <c r="C870" s="6" t="n">
        <v>25</v>
      </c>
      <c r="D870" s="25" t="n">
        <f aca="false">EDATE('Start Here'!$B$6,C870-1)</f>
        <v>47058</v>
      </c>
      <c r="E870" s="11" t="n">
        <f aca="false">IF(AND(C870&gt;=Staffing!$F$20,C870&lt;=Staffing!$G$20,1=1),IF(C870&lt;=6,Staffing!$H$20,IF(C870&lt;=15,Staffing!$I$20,IF(C870&lt;=30,Staffing!$J$20,Staffing!$K$20))),0)</f>
        <v>1</v>
      </c>
      <c r="F870" s="10" t="n">
        <f aca="false">E870*Staffing!$L$20/12*(1+Assumptions!$D$10)^INT((C870-1)/12)*1</f>
        <v>14872</v>
      </c>
      <c r="G870" s="10" t="n">
        <f aca="false">F870*Staffing!$N$20</f>
        <v>5948.8</v>
      </c>
      <c r="H870" s="10" t="n">
        <f aca="false">F870+G870</f>
        <v>20820.8</v>
      </c>
      <c r="I870" s="10" t="n">
        <f aca="false">0</f>
        <v>0</v>
      </c>
      <c r="J870" s="10" t="n">
        <f aca="false">MAX(0,E870-E869)*Staffing!$O$20</f>
        <v>0</v>
      </c>
      <c r="K870" s="10" t="n">
        <f aca="false">MAX(0,E870-E869)*Staffing!$P$20</f>
        <v>0</v>
      </c>
      <c r="L870" s="23" t="n">
        <f aca="false">ROUNDUP(E870,0)</f>
        <v>1</v>
      </c>
    </row>
    <row r="871" customFormat="false" ht="15" hidden="false" customHeight="false" outlineLevel="0" collapsed="false">
      <c r="A871" s="6" t="s">
        <v>4</v>
      </c>
      <c r="B871" s="6" t="s">
        <v>329</v>
      </c>
      <c r="C871" s="6" t="n">
        <v>26</v>
      </c>
      <c r="D871" s="25" t="n">
        <f aca="false">EDATE('Start Here'!$B$6,C871-1)</f>
        <v>47088</v>
      </c>
      <c r="E871" s="11" t="n">
        <f aca="false">IF(AND(C871&gt;=Staffing!$F$20,C871&lt;=Staffing!$G$20,1=1),IF(C871&lt;=6,Staffing!$H$20,IF(C871&lt;=15,Staffing!$I$20,IF(C871&lt;=30,Staffing!$J$20,Staffing!$K$20))),0)</f>
        <v>1</v>
      </c>
      <c r="F871" s="10" t="n">
        <f aca="false">E871*Staffing!$L$20/12*(1+Assumptions!$D$10)^INT((C871-1)/12)*1</f>
        <v>14872</v>
      </c>
      <c r="G871" s="10" t="n">
        <f aca="false">F871*Staffing!$N$20</f>
        <v>5948.8</v>
      </c>
      <c r="H871" s="10" t="n">
        <f aca="false">F871+G871</f>
        <v>20820.8</v>
      </c>
      <c r="I871" s="10" t="n">
        <f aca="false">0</f>
        <v>0</v>
      </c>
      <c r="J871" s="10" t="n">
        <f aca="false">MAX(0,E871-E870)*Staffing!$O$20</f>
        <v>0</v>
      </c>
      <c r="K871" s="10" t="n">
        <f aca="false">MAX(0,E871-E870)*Staffing!$P$20</f>
        <v>0</v>
      </c>
      <c r="L871" s="23" t="n">
        <f aca="false">ROUNDUP(E871,0)</f>
        <v>1</v>
      </c>
    </row>
    <row r="872" customFormat="false" ht="15" hidden="false" customHeight="false" outlineLevel="0" collapsed="false">
      <c r="A872" s="6" t="s">
        <v>4</v>
      </c>
      <c r="B872" s="6" t="s">
        <v>329</v>
      </c>
      <c r="C872" s="6" t="n">
        <v>27</v>
      </c>
      <c r="D872" s="25" t="n">
        <f aca="false">EDATE('Start Here'!$B$6,C872-1)</f>
        <v>47119</v>
      </c>
      <c r="E872" s="11" t="n">
        <f aca="false">IF(AND(C872&gt;=Staffing!$F$20,C872&lt;=Staffing!$G$20,1=1),IF(C872&lt;=6,Staffing!$H$20,IF(C872&lt;=15,Staffing!$I$20,IF(C872&lt;=30,Staffing!$J$20,Staffing!$K$20))),0)</f>
        <v>1</v>
      </c>
      <c r="F872" s="10" t="n">
        <f aca="false">E872*Staffing!$L$20/12*(1+Assumptions!$D$10)^INT((C872-1)/12)*1</f>
        <v>14872</v>
      </c>
      <c r="G872" s="10" t="n">
        <f aca="false">F872*Staffing!$N$20</f>
        <v>5948.8</v>
      </c>
      <c r="H872" s="10" t="n">
        <f aca="false">F872+G872</f>
        <v>20820.8</v>
      </c>
      <c r="I872" s="10" t="n">
        <f aca="false">0</f>
        <v>0</v>
      </c>
      <c r="J872" s="10" t="n">
        <f aca="false">MAX(0,E872-E871)*Staffing!$O$20</f>
        <v>0</v>
      </c>
      <c r="K872" s="10" t="n">
        <f aca="false">MAX(0,E872-E871)*Staffing!$P$20</f>
        <v>0</v>
      </c>
      <c r="L872" s="23" t="n">
        <f aca="false">ROUNDUP(E872,0)</f>
        <v>1</v>
      </c>
    </row>
    <row r="873" customFormat="false" ht="15" hidden="false" customHeight="false" outlineLevel="0" collapsed="false">
      <c r="A873" s="6" t="s">
        <v>4</v>
      </c>
      <c r="B873" s="6" t="s">
        <v>329</v>
      </c>
      <c r="C873" s="6" t="n">
        <v>28</v>
      </c>
      <c r="D873" s="25" t="n">
        <f aca="false">EDATE('Start Here'!$B$6,C873-1)</f>
        <v>47150</v>
      </c>
      <c r="E873" s="11" t="n">
        <f aca="false">IF(AND(C873&gt;=Staffing!$F$20,C873&lt;=Staffing!$G$20,1=1),IF(C873&lt;=6,Staffing!$H$20,IF(C873&lt;=15,Staffing!$I$20,IF(C873&lt;=30,Staffing!$J$20,Staffing!$K$20))),0)</f>
        <v>1</v>
      </c>
      <c r="F873" s="10" t="n">
        <f aca="false">E873*Staffing!$L$20/12*(1+Assumptions!$D$10)^INT((C873-1)/12)*1</f>
        <v>14872</v>
      </c>
      <c r="G873" s="10" t="n">
        <f aca="false">F873*Staffing!$N$20</f>
        <v>5948.8</v>
      </c>
      <c r="H873" s="10" t="n">
        <f aca="false">F873+G873</f>
        <v>20820.8</v>
      </c>
      <c r="I873" s="10" t="n">
        <f aca="false">0</f>
        <v>0</v>
      </c>
      <c r="J873" s="10" t="n">
        <f aca="false">MAX(0,E873-E872)*Staffing!$O$20</f>
        <v>0</v>
      </c>
      <c r="K873" s="10" t="n">
        <f aca="false">MAX(0,E873-E872)*Staffing!$P$20</f>
        <v>0</v>
      </c>
      <c r="L873" s="23" t="n">
        <f aca="false">ROUNDUP(E873,0)</f>
        <v>1</v>
      </c>
    </row>
    <row r="874" customFormat="false" ht="15" hidden="false" customHeight="false" outlineLevel="0" collapsed="false">
      <c r="A874" s="6" t="s">
        <v>4</v>
      </c>
      <c r="B874" s="6" t="s">
        <v>329</v>
      </c>
      <c r="C874" s="6" t="n">
        <v>29</v>
      </c>
      <c r="D874" s="25" t="n">
        <f aca="false">EDATE('Start Here'!$B$6,C874-1)</f>
        <v>47178</v>
      </c>
      <c r="E874" s="11" t="n">
        <f aca="false">IF(AND(C874&gt;=Staffing!$F$20,C874&lt;=Staffing!$G$20,1=1),IF(C874&lt;=6,Staffing!$H$20,IF(C874&lt;=15,Staffing!$I$20,IF(C874&lt;=30,Staffing!$J$20,Staffing!$K$20))),0)</f>
        <v>1</v>
      </c>
      <c r="F874" s="10" t="n">
        <f aca="false">E874*Staffing!$L$20/12*(1+Assumptions!$D$10)^INT((C874-1)/12)*1</f>
        <v>14872</v>
      </c>
      <c r="G874" s="10" t="n">
        <f aca="false">F874*Staffing!$N$20</f>
        <v>5948.8</v>
      </c>
      <c r="H874" s="10" t="n">
        <f aca="false">F874+G874</f>
        <v>20820.8</v>
      </c>
      <c r="I874" s="10" t="n">
        <f aca="false">0</f>
        <v>0</v>
      </c>
      <c r="J874" s="10" t="n">
        <f aca="false">MAX(0,E874-E873)*Staffing!$O$20</f>
        <v>0</v>
      </c>
      <c r="K874" s="10" t="n">
        <f aca="false">MAX(0,E874-E873)*Staffing!$P$20</f>
        <v>0</v>
      </c>
      <c r="L874" s="23" t="n">
        <f aca="false">ROUNDUP(E874,0)</f>
        <v>1</v>
      </c>
    </row>
    <row r="875" customFormat="false" ht="15" hidden="false" customHeight="false" outlineLevel="0" collapsed="false">
      <c r="A875" s="6" t="s">
        <v>4</v>
      </c>
      <c r="B875" s="6" t="s">
        <v>329</v>
      </c>
      <c r="C875" s="6" t="n">
        <v>30</v>
      </c>
      <c r="D875" s="25" t="n">
        <f aca="false">EDATE('Start Here'!$B$6,C875-1)</f>
        <v>47209</v>
      </c>
      <c r="E875" s="11" t="n">
        <f aca="false">IF(AND(C875&gt;=Staffing!$F$20,C875&lt;=Staffing!$G$20,1=1),IF(C875&lt;=6,Staffing!$H$20,IF(C875&lt;=15,Staffing!$I$20,IF(C875&lt;=30,Staffing!$J$20,Staffing!$K$20))),0)</f>
        <v>1</v>
      </c>
      <c r="F875" s="10" t="n">
        <f aca="false">E875*Staffing!$L$20/12*(1+Assumptions!$D$10)^INT((C875-1)/12)*1</f>
        <v>14872</v>
      </c>
      <c r="G875" s="10" t="n">
        <f aca="false">F875*Staffing!$N$20</f>
        <v>5948.8</v>
      </c>
      <c r="H875" s="10" t="n">
        <f aca="false">F875+G875</f>
        <v>20820.8</v>
      </c>
      <c r="I875" s="10" t="n">
        <f aca="false">0</f>
        <v>0</v>
      </c>
      <c r="J875" s="10" t="n">
        <f aca="false">MAX(0,E875-E874)*Staffing!$O$20</f>
        <v>0</v>
      </c>
      <c r="K875" s="10" t="n">
        <f aca="false">MAX(0,E875-E874)*Staffing!$P$20</f>
        <v>0</v>
      </c>
      <c r="L875" s="23" t="n">
        <f aca="false">ROUNDUP(E875,0)</f>
        <v>1</v>
      </c>
    </row>
    <row r="876" customFormat="false" ht="15" hidden="false" customHeight="false" outlineLevel="0" collapsed="false">
      <c r="A876" s="6" t="s">
        <v>4</v>
      </c>
      <c r="B876" s="6" t="s">
        <v>329</v>
      </c>
      <c r="C876" s="6" t="n">
        <v>31</v>
      </c>
      <c r="D876" s="25" t="n">
        <f aca="false">EDATE('Start Here'!$B$6,C876-1)</f>
        <v>47239</v>
      </c>
      <c r="E876" s="11" t="n">
        <f aca="false">IF(AND(C876&gt;=Staffing!$F$20,C876&lt;=Staffing!$G$20,1=1),IF(C876&lt;=6,Staffing!$H$20,IF(C876&lt;=15,Staffing!$I$20,IF(C876&lt;=30,Staffing!$J$20,Staffing!$K$20))),0)</f>
        <v>1</v>
      </c>
      <c r="F876" s="10" t="n">
        <f aca="false">E876*Staffing!$L$20/12*(1+Assumptions!$D$10)^INT((C876-1)/12)*1</f>
        <v>14872</v>
      </c>
      <c r="G876" s="10" t="n">
        <f aca="false">F876*Staffing!$N$20</f>
        <v>5948.8</v>
      </c>
      <c r="H876" s="10" t="n">
        <f aca="false">F876+G876</f>
        <v>20820.8</v>
      </c>
      <c r="I876" s="10" t="n">
        <f aca="false">0</f>
        <v>0</v>
      </c>
      <c r="J876" s="10" t="n">
        <f aca="false">MAX(0,E876-E875)*Staffing!$O$20</f>
        <v>0</v>
      </c>
      <c r="K876" s="10" t="n">
        <f aca="false">MAX(0,E876-E875)*Staffing!$P$20</f>
        <v>0</v>
      </c>
      <c r="L876" s="23" t="n">
        <f aca="false">ROUNDUP(E876,0)</f>
        <v>1</v>
      </c>
    </row>
    <row r="877" customFormat="false" ht="15" hidden="false" customHeight="false" outlineLevel="0" collapsed="false">
      <c r="A877" s="6" t="s">
        <v>4</v>
      </c>
      <c r="B877" s="6" t="s">
        <v>329</v>
      </c>
      <c r="C877" s="6" t="n">
        <v>32</v>
      </c>
      <c r="D877" s="25" t="n">
        <f aca="false">EDATE('Start Here'!$B$6,C877-1)</f>
        <v>47270</v>
      </c>
      <c r="E877" s="11" t="n">
        <f aca="false">IF(AND(C877&gt;=Staffing!$F$20,C877&lt;=Staffing!$G$20,1=1),IF(C877&lt;=6,Staffing!$H$20,IF(C877&lt;=15,Staffing!$I$20,IF(C877&lt;=30,Staffing!$J$20,Staffing!$K$20))),0)</f>
        <v>1</v>
      </c>
      <c r="F877" s="10" t="n">
        <f aca="false">E877*Staffing!$L$20/12*(1+Assumptions!$D$10)^INT((C877-1)/12)*1</f>
        <v>14872</v>
      </c>
      <c r="G877" s="10" t="n">
        <f aca="false">F877*Staffing!$N$20</f>
        <v>5948.8</v>
      </c>
      <c r="H877" s="10" t="n">
        <f aca="false">F877+G877</f>
        <v>20820.8</v>
      </c>
      <c r="I877" s="10" t="n">
        <f aca="false">0</f>
        <v>0</v>
      </c>
      <c r="J877" s="10" t="n">
        <f aca="false">MAX(0,E877-E876)*Staffing!$O$20</f>
        <v>0</v>
      </c>
      <c r="K877" s="10" t="n">
        <f aca="false">MAX(0,E877-E876)*Staffing!$P$20</f>
        <v>0</v>
      </c>
      <c r="L877" s="23" t="n">
        <f aca="false">ROUNDUP(E877,0)</f>
        <v>1</v>
      </c>
    </row>
    <row r="878" customFormat="false" ht="15" hidden="false" customHeight="false" outlineLevel="0" collapsed="false">
      <c r="A878" s="6" t="s">
        <v>4</v>
      </c>
      <c r="B878" s="6" t="s">
        <v>329</v>
      </c>
      <c r="C878" s="6" t="n">
        <v>33</v>
      </c>
      <c r="D878" s="25" t="n">
        <f aca="false">EDATE('Start Here'!$B$6,C878-1)</f>
        <v>47300</v>
      </c>
      <c r="E878" s="11" t="n">
        <f aca="false">IF(AND(C878&gt;=Staffing!$F$20,C878&lt;=Staffing!$G$20,1=1),IF(C878&lt;=6,Staffing!$H$20,IF(C878&lt;=15,Staffing!$I$20,IF(C878&lt;=30,Staffing!$J$20,Staffing!$K$20))),0)</f>
        <v>1</v>
      </c>
      <c r="F878" s="10" t="n">
        <f aca="false">E878*Staffing!$L$20/12*(1+Assumptions!$D$10)^INT((C878-1)/12)*1</f>
        <v>14872</v>
      </c>
      <c r="G878" s="10" t="n">
        <f aca="false">F878*Staffing!$N$20</f>
        <v>5948.8</v>
      </c>
      <c r="H878" s="10" t="n">
        <f aca="false">F878+G878</f>
        <v>20820.8</v>
      </c>
      <c r="I878" s="10" t="n">
        <f aca="false">0</f>
        <v>0</v>
      </c>
      <c r="J878" s="10" t="n">
        <f aca="false">MAX(0,E878-E877)*Staffing!$O$20</f>
        <v>0</v>
      </c>
      <c r="K878" s="10" t="n">
        <f aca="false">MAX(0,E878-E877)*Staffing!$P$20</f>
        <v>0</v>
      </c>
      <c r="L878" s="23" t="n">
        <f aca="false">ROUNDUP(E878,0)</f>
        <v>1</v>
      </c>
    </row>
    <row r="879" customFormat="false" ht="15" hidden="false" customHeight="false" outlineLevel="0" collapsed="false">
      <c r="A879" s="6" t="s">
        <v>4</v>
      </c>
      <c r="B879" s="6" t="s">
        <v>329</v>
      </c>
      <c r="C879" s="6" t="n">
        <v>34</v>
      </c>
      <c r="D879" s="25" t="n">
        <f aca="false">EDATE('Start Here'!$B$6,C879-1)</f>
        <v>47331</v>
      </c>
      <c r="E879" s="11" t="n">
        <f aca="false">IF(AND(C879&gt;=Staffing!$F$20,C879&lt;=Staffing!$G$20,1=1),IF(C879&lt;=6,Staffing!$H$20,IF(C879&lt;=15,Staffing!$I$20,IF(C879&lt;=30,Staffing!$J$20,Staffing!$K$20))),0)</f>
        <v>1</v>
      </c>
      <c r="F879" s="10" t="n">
        <f aca="false">E879*Staffing!$L$20/12*(1+Assumptions!$D$10)^INT((C879-1)/12)*1</f>
        <v>14872</v>
      </c>
      <c r="G879" s="10" t="n">
        <f aca="false">F879*Staffing!$N$20</f>
        <v>5948.8</v>
      </c>
      <c r="H879" s="10" t="n">
        <f aca="false">F879+G879</f>
        <v>20820.8</v>
      </c>
      <c r="I879" s="10" t="n">
        <f aca="false">0</f>
        <v>0</v>
      </c>
      <c r="J879" s="10" t="n">
        <f aca="false">MAX(0,E879-E878)*Staffing!$O$20</f>
        <v>0</v>
      </c>
      <c r="K879" s="10" t="n">
        <f aca="false">MAX(0,E879-E878)*Staffing!$P$20</f>
        <v>0</v>
      </c>
      <c r="L879" s="23" t="n">
        <f aca="false">ROUNDUP(E879,0)</f>
        <v>1</v>
      </c>
    </row>
    <row r="880" customFormat="false" ht="15" hidden="false" customHeight="false" outlineLevel="0" collapsed="false">
      <c r="A880" s="6" t="s">
        <v>4</v>
      </c>
      <c r="B880" s="6" t="s">
        <v>329</v>
      </c>
      <c r="C880" s="6" t="n">
        <v>35</v>
      </c>
      <c r="D880" s="25" t="n">
        <f aca="false">EDATE('Start Here'!$B$6,C880-1)</f>
        <v>47362</v>
      </c>
      <c r="E880" s="11" t="n">
        <f aca="false">IF(AND(C880&gt;=Staffing!$F$20,C880&lt;=Staffing!$G$20,1=1),IF(C880&lt;=6,Staffing!$H$20,IF(C880&lt;=15,Staffing!$I$20,IF(C880&lt;=30,Staffing!$J$20,Staffing!$K$20))),0)</f>
        <v>1</v>
      </c>
      <c r="F880" s="10" t="n">
        <f aca="false">E880*Staffing!$L$20/12*(1+Assumptions!$D$10)^INT((C880-1)/12)*1</f>
        <v>14872</v>
      </c>
      <c r="G880" s="10" t="n">
        <f aca="false">F880*Staffing!$N$20</f>
        <v>5948.8</v>
      </c>
      <c r="H880" s="10" t="n">
        <f aca="false">F880+G880</f>
        <v>20820.8</v>
      </c>
      <c r="I880" s="10" t="n">
        <f aca="false">0</f>
        <v>0</v>
      </c>
      <c r="J880" s="10" t="n">
        <f aca="false">MAX(0,E880-E879)*Staffing!$O$20</f>
        <v>0</v>
      </c>
      <c r="K880" s="10" t="n">
        <f aca="false">MAX(0,E880-E879)*Staffing!$P$20</f>
        <v>0</v>
      </c>
      <c r="L880" s="23" t="n">
        <f aca="false">ROUNDUP(E880,0)</f>
        <v>1</v>
      </c>
    </row>
    <row r="881" customFormat="false" ht="15" hidden="false" customHeight="false" outlineLevel="0" collapsed="false">
      <c r="A881" s="6" t="s">
        <v>4</v>
      </c>
      <c r="B881" s="6" t="s">
        <v>329</v>
      </c>
      <c r="C881" s="6" t="n">
        <v>36</v>
      </c>
      <c r="D881" s="25" t="n">
        <f aca="false">EDATE('Start Here'!$B$6,C881-1)</f>
        <v>47392</v>
      </c>
      <c r="E881" s="11" t="n">
        <f aca="false">IF(AND(C881&gt;=Staffing!$F$20,C881&lt;=Staffing!$G$20,1=1),IF(C881&lt;=6,Staffing!$H$20,IF(C881&lt;=15,Staffing!$I$20,IF(C881&lt;=30,Staffing!$J$20,Staffing!$K$20))),0)</f>
        <v>1</v>
      </c>
      <c r="F881" s="10" t="n">
        <f aca="false">E881*Staffing!$L$20/12*(1+Assumptions!$D$10)^INT((C881-1)/12)*1</f>
        <v>14872</v>
      </c>
      <c r="G881" s="10" t="n">
        <f aca="false">F881*Staffing!$N$20</f>
        <v>5948.8</v>
      </c>
      <c r="H881" s="10" t="n">
        <f aca="false">F881+G881</f>
        <v>20820.8</v>
      </c>
      <c r="I881" s="10" t="n">
        <f aca="false">0</f>
        <v>0</v>
      </c>
      <c r="J881" s="10" t="n">
        <f aca="false">MAX(0,E881-E880)*Staffing!$O$20</f>
        <v>0</v>
      </c>
      <c r="K881" s="10" t="n">
        <f aca="false">MAX(0,E881-E880)*Staffing!$P$20</f>
        <v>0</v>
      </c>
      <c r="L881" s="23" t="n">
        <f aca="false">ROUNDUP(E881,0)</f>
        <v>1</v>
      </c>
    </row>
    <row r="882" customFormat="false" ht="15" hidden="false" customHeight="false" outlineLevel="0" collapsed="false">
      <c r="A882" s="6" t="s">
        <v>4</v>
      </c>
      <c r="B882" s="6" t="s">
        <v>329</v>
      </c>
      <c r="C882" s="6" t="n">
        <v>37</v>
      </c>
      <c r="D882" s="25" t="n">
        <f aca="false">EDATE('Start Here'!$B$6,C882-1)</f>
        <v>47423</v>
      </c>
      <c r="E882" s="11" t="n">
        <f aca="false">IF(AND(C882&gt;=Staffing!$F$20,C882&lt;=Staffing!$G$20,1=1),IF(C882&lt;=6,Staffing!$H$20,IF(C882&lt;=15,Staffing!$I$20,IF(C882&lt;=30,Staffing!$J$20,Staffing!$K$20))),0)</f>
        <v>1</v>
      </c>
      <c r="F882" s="10" t="n">
        <f aca="false">E882*Staffing!$L$20/12*(1+Assumptions!$D$10)^INT((C882-1)/12)*1</f>
        <v>15466.88</v>
      </c>
      <c r="G882" s="10" t="n">
        <f aca="false">F882*Staffing!$N$20</f>
        <v>6186.752</v>
      </c>
      <c r="H882" s="10" t="n">
        <f aca="false">F882+G882</f>
        <v>21653.632</v>
      </c>
      <c r="I882" s="10" t="n">
        <f aca="false">0</f>
        <v>0</v>
      </c>
      <c r="J882" s="10" t="n">
        <f aca="false">MAX(0,E882-E881)*Staffing!$O$20</f>
        <v>0</v>
      </c>
      <c r="K882" s="10" t="n">
        <f aca="false">MAX(0,E882-E881)*Staffing!$P$20</f>
        <v>0</v>
      </c>
      <c r="L882" s="23" t="n">
        <f aca="false">ROUNDUP(E882,0)</f>
        <v>1</v>
      </c>
    </row>
    <row r="883" customFormat="false" ht="15" hidden="false" customHeight="false" outlineLevel="0" collapsed="false">
      <c r="A883" s="6" t="s">
        <v>4</v>
      </c>
      <c r="B883" s="6" t="s">
        <v>329</v>
      </c>
      <c r="C883" s="6" t="n">
        <v>38</v>
      </c>
      <c r="D883" s="25" t="n">
        <f aca="false">EDATE('Start Here'!$B$6,C883-1)</f>
        <v>47453</v>
      </c>
      <c r="E883" s="11" t="n">
        <f aca="false">IF(AND(C883&gt;=Staffing!$F$20,C883&lt;=Staffing!$G$20,1=1),IF(C883&lt;=6,Staffing!$H$20,IF(C883&lt;=15,Staffing!$I$20,IF(C883&lt;=30,Staffing!$J$20,Staffing!$K$20))),0)</f>
        <v>1</v>
      </c>
      <c r="F883" s="10" t="n">
        <f aca="false">E883*Staffing!$L$20/12*(1+Assumptions!$D$10)^INT((C883-1)/12)*1</f>
        <v>15466.88</v>
      </c>
      <c r="G883" s="10" t="n">
        <f aca="false">F883*Staffing!$N$20</f>
        <v>6186.752</v>
      </c>
      <c r="H883" s="10" t="n">
        <f aca="false">F883+G883</f>
        <v>21653.632</v>
      </c>
      <c r="I883" s="10" t="n">
        <f aca="false">0</f>
        <v>0</v>
      </c>
      <c r="J883" s="10" t="n">
        <f aca="false">MAX(0,E883-E882)*Staffing!$O$20</f>
        <v>0</v>
      </c>
      <c r="K883" s="10" t="n">
        <f aca="false">MAX(0,E883-E882)*Staffing!$P$20</f>
        <v>0</v>
      </c>
      <c r="L883" s="23" t="n">
        <f aca="false">ROUNDUP(E883,0)</f>
        <v>1</v>
      </c>
    </row>
    <row r="884" customFormat="false" ht="15" hidden="false" customHeight="false" outlineLevel="0" collapsed="false">
      <c r="A884" s="6" t="s">
        <v>4</v>
      </c>
      <c r="B884" s="6" t="s">
        <v>329</v>
      </c>
      <c r="C884" s="6" t="n">
        <v>39</v>
      </c>
      <c r="D884" s="25" t="n">
        <f aca="false">EDATE('Start Here'!$B$6,C884-1)</f>
        <v>47484</v>
      </c>
      <c r="E884" s="11" t="n">
        <f aca="false">IF(AND(C884&gt;=Staffing!$F$20,C884&lt;=Staffing!$G$20,1=1),IF(C884&lt;=6,Staffing!$H$20,IF(C884&lt;=15,Staffing!$I$20,IF(C884&lt;=30,Staffing!$J$20,Staffing!$K$20))),0)</f>
        <v>1</v>
      </c>
      <c r="F884" s="10" t="n">
        <f aca="false">E884*Staffing!$L$20/12*(1+Assumptions!$D$10)^INT((C884-1)/12)*1</f>
        <v>15466.88</v>
      </c>
      <c r="G884" s="10" t="n">
        <f aca="false">F884*Staffing!$N$20</f>
        <v>6186.752</v>
      </c>
      <c r="H884" s="10" t="n">
        <f aca="false">F884+G884</f>
        <v>21653.632</v>
      </c>
      <c r="I884" s="10" t="n">
        <f aca="false">0</f>
        <v>0</v>
      </c>
      <c r="J884" s="10" t="n">
        <f aca="false">MAX(0,E884-E883)*Staffing!$O$20</f>
        <v>0</v>
      </c>
      <c r="K884" s="10" t="n">
        <f aca="false">MAX(0,E884-E883)*Staffing!$P$20</f>
        <v>0</v>
      </c>
      <c r="L884" s="23" t="n">
        <f aca="false">ROUNDUP(E884,0)</f>
        <v>1</v>
      </c>
    </row>
    <row r="885" customFormat="false" ht="15" hidden="false" customHeight="false" outlineLevel="0" collapsed="false">
      <c r="A885" s="6" t="s">
        <v>4</v>
      </c>
      <c r="B885" s="6" t="s">
        <v>329</v>
      </c>
      <c r="C885" s="6" t="n">
        <v>40</v>
      </c>
      <c r="D885" s="25" t="n">
        <f aca="false">EDATE('Start Here'!$B$6,C885-1)</f>
        <v>47515</v>
      </c>
      <c r="E885" s="11" t="n">
        <f aca="false">IF(AND(C885&gt;=Staffing!$F$20,C885&lt;=Staffing!$G$20,1=1),IF(C885&lt;=6,Staffing!$H$20,IF(C885&lt;=15,Staffing!$I$20,IF(C885&lt;=30,Staffing!$J$20,Staffing!$K$20))),0)</f>
        <v>1</v>
      </c>
      <c r="F885" s="10" t="n">
        <f aca="false">E885*Staffing!$L$20/12*(1+Assumptions!$D$10)^INT((C885-1)/12)*1</f>
        <v>15466.88</v>
      </c>
      <c r="G885" s="10" t="n">
        <f aca="false">F885*Staffing!$N$20</f>
        <v>6186.752</v>
      </c>
      <c r="H885" s="10" t="n">
        <f aca="false">F885+G885</f>
        <v>21653.632</v>
      </c>
      <c r="I885" s="10" t="n">
        <f aca="false">0</f>
        <v>0</v>
      </c>
      <c r="J885" s="10" t="n">
        <f aca="false">MAX(0,E885-E884)*Staffing!$O$20</f>
        <v>0</v>
      </c>
      <c r="K885" s="10" t="n">
        <f aca="false">MAX(0,E885-E884)*Staffing!$P$20</f>
        <v>0</v>
      </c>
      <c r="L885" s="23" t="n">
        <f aca="false">ROUNDUP(E885,0)</f>
        <v>1</v>
      </c>
    </row>
    <row r="886" customFormat="false" ht="15" hidden="false" customHeight="false" outlineLevel="0" collapsed="false">
      <c r="A886" s="6" t="s">
        <v>4</v>
      </c>
      <c r="B886" s="6" t="s">
        <v>329</v>
      </c>
      <c r="C886" s="6" t="n">
        <v>41</v>
      </c>
      <c r="D886" s="25" t="n">
        <f aca="false">EDATE('Start Here'!$B$6,C886-1)</f>
        <v>47543</v>
      </c>
      <c r="E886" s="11" t="n">
        <f aca="false">IF(AND(C886&gt;=Staffing!$F$20,C886&lt;=Staffing!$G$20,1=1),IF(C886&lt;=6,Staffing!$H$20,IF(C886&lt;=15,Staffing!$I$20,IF(C886&lt;=30,Staffing!$J$20,Staffing!$K$20))),0)</f>
        <v>1</v>
      </c>
      <c r="F886" s="10" t="n">
        <f aca="false">E886*Staffing!$L$20/12*(1+Assumptions!$D$10)^INT((C886-1)/12)*1</f>
        <v>15466.88</v>
      </c>
      <c r="G886" s="10" t="n">
        <f aca="false">F886*Staffing!$N$20</f>
        <v>6186.752</v>
      </c>
      <c r="H886" s="10" t="n">
        <f aca="false">F886+G886</f>
        <v>21653.632</v>
      </c>
      <c r="I886" s="10" t="n">
        <f aca="false">0</f>
        <v>0</v>
      </c>
      <c r="J886" s="10" t="n">
        <f aca="false">MAX(0,E886-E885)*Staffing!$O$20</f>
        <v>0</v>
      </c>
      <c r="K886" s="10" t="n">
        <f aca="false">MAX(0,E886-E885)*Staffing!$P$20</f>
        <v>0</v>
      </c>
      <c r="L886" s="23" t="n">
        <f aca="false">ROUNDUP(E886,0)</f>
        <v>1</v>
      </c>
    </row>
    <row r="887" customFormat="false" ht="15" hidden="false" customHeight="false" outlineLevel="0" collapsed="false">
      <c r="A887" s="6" t="s">
        <v>4</v>
      </c>
      <c r="B887" s="6" t="s">
        <v>329</v>
      </c>
      <c r="C887" s="6" t="n">
        <v>42</v>
      </c>
      <c r="D887" s="25" t="n">
        <f aca="false">EDATE('Start Here'!$B$6,C887-1)</f>
        <v>47574</v>
      </c>
      <c r="E887" s="11" t="n">
        <f aca="false">IF(AND(C887&gt;=Staffing!$F$20,C887&lt;=Staffing!$G$20,1=1),IF(C887&lt;=6,Staffing!$H$20,IF(C887&lt;=15,Staffing!$I$20,IF(C887&lt;=30,Staffing!$J$20,Staffing!$K$20))),0)</f>
        <v>1</v>
      </c>
      <c r="F887" s="10" t="n">
        <f aca="false">E887*Staffing!$L$20/12*(1+Assumptions!$D$10)^INT((C887-1)/12)*1</f>
        <v>15466.88</v>
      </c>
      <c r="G887" s="10" t="n">
        <f aca="false">F887*Staffing!$N$20</f>
        <v>6186.752</v>
      </c>
      <c r="H887" s="10" t="n">
        <f aca="false">F887+G887</f>
        <v>21653.632</v>
      </c>
      <c r="I887" s="10" t="n">
        <f aca="false">0</f>
        <v>0</v>
      </c>
      <c r="J887" s="10" t="n">
        <f aca="false">MAX(0,E887-E886)*Staffing!$O$20</f>
        <v>0</v>
      </c>
      <c r="K887" s="10" t="n">
        <f aca="false">MAX(0,E887-E886)*Staffing!$P$20</f>
        <v>0</v>
      </c>
      <c r="L887" s="23" t="n">
        <f aca="false">ROUNDUP(E887,0)</f>
        <v>1</v>
      </c>
    </row>
    <row r="888" customFormat="false" ht="15" hidden="false" customHeight="false" outlineLevel="0" collapsed="false">
      <c r="A888" s="6" t="s">
        <v>4</v>
      </c>
      <c r="B888" s="6" t="s">
        <v>329</v>
      </c>
      <c r="C888" s="6" t="n">
        <v>43</v>
      </c>
      <c r="D888" s="25" t="n">
        <f aca="false">EDATE('Start Here'!$B$6,C888-1)</f>
        <v>47604</v>
      </c>
      <c r="E888" s="11" t="n">
        <f aca="false">IF(AND(C888&gt;=Staffing!$F$20,C888&lt;=Staffing!$G$20,1=1),IF(C888&lt;=6,Staffing!$H$20,IF(C888&lt;=15,Staffing!$I$20,IF(C888&lt;=30,Staffing!$J$20,Staffing!$K$20))),0)</f>
        <v>1</v>
      </c>
      <c r="F888" s="10" t="n">
        <f aca="false">E888*Staffing!$L$20/12*(1+Assumptions!$D$10)^INT((C888-1)/12)*1</f>
        <v>15466.88</v>
      </c>
      <c r="G888" s="10" t="n">
        <f aca="false">F888*Staffing!$N$20</f>
        <v>6186.752</v>
      </c>
      <c r="H888" s="10" t="n">
        <f aca="false">F888+G888</f>
        <v>21653.632</v>
      </c>
      <c r="I888" s="10" t="n">
        <f aca="false">0</f>
        <v>0</v>
      </c>
      <c r="J888" s="10" t="n">
        <f aca="false">MAX(0,E888-E887)*Staffing!$O$20</f>
        <v>0</v>
      </c>
      <c r="K888" s="10" t="n">
        <f aca="false">MAX(0,E888-E887)*Staffing!$P$20</f>
        <v>0</v>
      </c>
      <c r="L888" s="23" t="n">
        <f aca="false">ROUNDUP(E888,0)</f>
        <v>1</v>
      </c>
    </row>
    <row r="889" customFormat="false" ht="15" hidden="false" customHeight="false" outlineLevel="0" collapsed="false">
      <c r="A889" s="6" t="s">
        <v>4</v>
      </c>
      <c r="B889" s="6" t="s">
        <v>329</v>
      </c>
      <c r="C889" s="6" t="n">
        <v>44</v>
      </c>
      <c r="D889" s="25" t="n">
        <f aca="false">EDATE('Start Here'!$B$6,C889-1)</f>
        <v>47635</v>
      </c>
      <c r="E889" s="11" t="n">
        <f aca="false">IF(AND(C889&gt;=Staffing!$F$20,C889&lt;=Staffing!$G$20,1=1),IF(C889&lt;=6,Staffing!$H$20,IF(C889&lt;=15,Staffing!$I$20,IF(C889&lt;=30,Staffing!$J$20,Staffing!$K$20))),0)</f>
        <v>1</v>
      </c>
      <c r="F889" s="10" t="n">
        <f aca="false">E889*Staffing!$L$20/12*(1+Assumptions!$D$10)^INT((C889-1)/12)*1</f>
        <v>15466.88</v>
      </c>
      <c r="G889" s="10" t="n">
        <f aca="false">F889*Staffing!$N$20</f>
        <v>6186.752</v>
      </c>
      <c r="H889" s="10" t="n">
        <f aca="false">F889+G889</f>
        <v>21653.632</v>
      </c>
      <c r="I889" s="10" t="n">
        <f aca="false">0</f>
        <v>0</v>
      </c>
      <c r="J889" s="10" t="n">
        <f aca="false">MAX(0,E889-E888)*Staffing!$O$20</f>
        <v>0</v>
      </c>
      <c r="K889" s="10" t="n">
        <f aca="false">MAX(0,E889-E888)*Staffing!$P$20</f>
        <v>0</v>
      </c>
      <c r="L889" s="23" t="n">
        <f aca="false">ROUNDUP(E889,0)</f>
        <v>1</v>
      </c>
    </row>
    <row r="890" customFormat="false" ht="15" hidden="false" customHeight="false" outlineLevel="0" collapsed="false">
      <c r="A890" s="6" t="s">
        <v>4</v>
      </c>
      <c r="B890" s="6" t="s">
        <v>329</v>
      </c>
      <c r="C890" s="6" t="n">
        <v>45</v>
      </c>
      <c r="D890" s="25" t="n">
        <f aca="false">EDATE('Start Here'!$B$6,C890-1)</f>
        <v>47665</v>
      </c>
      <c r="E890" s="11" t="n">
        <f aca="false">IF(AND(C890&gt;=Staffing!$F$20,C890&lt;=Staffing!$G$20,1=1),IF(C890&lt;=6,Staffing!$H$20,IF(C890&lt;=15,Staffing!$I$20,IF(C890&lt;=30,Staffing!$J$20,Staffing!$K$20))),0)</f>
        <v>1</v>
      </c>
      <c r="F890" s="10" t="n">
        <f aca="false">E890*Staffing!$L$20/12*(1+Assumptions!$D$10)^INT((C890-1)/12)*1</f>
        <v>15466.88</v>
      </c>
      <c r="G890" s="10" t="n">
        <f aca="false">F890*Staffing!$N$20</f>
        <v>6186.752</v>
      </c>
      <c r="H890" s="10" t="n">
        <f aca="false">F890+G890</f>
        <v>21653.632</v>
      </c>
      <c r="I890" s="10" t="n">
        <f aca="false">0</f>
        <v>0</v>
      </c>
      <c r="J890" s="10" t="n">
        <f aca="false">MAX(0,E890-E889)*Staffing!$O$20</f>
        <v>0</v>
      </c>
      <c r="K890" s="10" t="n">
        <f aca="false">MAX(0,E890-E889)*Staffing!$P$20</f>
        <v>0</v>
      </c>
      <c r="L890" s="23" t="n">
        <f aca="false">ROUNDUP(E890,0)</f>
        <v>1</v>
      </c>
    </row>
    <row r="891" customFormat="false" ht="15" hidden="false" customHeight="false" outlineLevel="0" collapsed="false">
      <c r="A891" s="6" t="s">
        <v>4</v>
      </c>
      <c r="B891" s="6" t="s">
        <v>329</v>
      </c>
      <c r="C891" s="6" t="n">
        <v>46</v>
      </c>
      <c r="D891" s="25" t="n">
        <f aca="false">EDATE('Start Here'!$B$6,C891-1)</f>
        <v>47696</v>
      </c>
      <c r="E891" s="11" t="n">
        <f aca="false">IF(AND(C891&gt;=Staffing!$F$20,C891&lt;=Staffing!$G$20,1=1),IF(C891&lt;=6,Staffing!$H$20,IF(C891&lt;=15,Staffing!$I$20,IF(C891&lt;=30,Staffing!$J$20,Staffing!$K$20))),0)</f>
        <v>1</v>
      </c>
      <c r="F891" s="10" t="n">
        <f aca="false">E891*Staffing!$L$20/12*(1+Assumptions!$D$10)^INT((C891-1)/12)*1</f>
        <v>15466.88</v>
      </c>
      <c r="G891" s="10" t="n">
        <f aca="false">F891*Staffing!$N$20</f>
        <v>6186.752</v>
      </c>
      <c r="H891" s="10" t="n">
        <f aca="false">F891+G891</f>
        <v>21653.632</v>
      </c>
      <c r="I891" s="10" t="n">
        <f aca="false">0</f>
        <v>0</v>
      </c>
      <c r="J891" s="10" t="n">
        <f aca="false">MAX(0,E891-E890)*Staffing!$O$20</f>
        <v>0</v>
      </c>
      <c r="K891" s="10" t="n">
        <f aca="false">MAX(0,E891-E890)*Staffing!$P$20</f>
        <v>0</v>
      </c>
      <c r="L891" s="23" t="n">
        <f aca="false">ROUNDUP(E891,0)</f>
        <v>1</v>
      </c>
    </row>
    <row r="892" customFormat="false" ht="15" hidden="false" customHeight="false" outlineLevel="0" collapsed="false">
      <c r="A892" s="6" t="s">
        <v>4</v>
      </c>
      <c r="B892" s="6" t="s">
        <v>329</v>
      </c>
      <c r="C892" s="6" t="n">
        <v>47</v>
      </c>
      <c r="D892" s="25" t="n">
        <f aca="false">EDATE('Start Here'!$B$6,C892-1)</f>
        <v>47727</v>
      </c>
      <c r="E892" s="11" t="n">
        <f aca="false">IF(AND(C892&gt;=Staffing!$F$20,C892&lt;=Staffing!$G$20,1=1),IF(C892&lt;=6,Staffing!$H$20,IF(C892&lt;=15,Staffing!$I$20,IF(C892&lt;=30,Staffing!$J$20,Staffing!$K$20))),0)</f>
        <v>1</v>
      </c>
      <c r="F892" s="10" t="n">
        <f aca="false">E892*Staffing!$L$20/12*(1+Assumptions!$D$10)^INT((C892-1)/12)*1</f>
        <v>15466.88</v>
      </c>
      <c r="G892" s="10" t="n">
        <f aca="false">F892*Staffing!$N$20</f>
        <v>6186.752</v>
      </c>
      <c r="H892" s="10" t="n">
        <f aca="false">F892+G892</f>
        <v>21653.632</v>
      </c>
      <c r="I892" s="10" t="n">
        <f aca="false">0</f>
        <v>0</v>
      </c>
      <c r="J892" s="10" t="n">
        <f aca="false">MAX(0,E892-E891)*Staffing!$O$20</f>
        <v>0</v>
      </c>
      <c r="K892" s="10" t="n">
        <f aca="false">MAX(0,E892-E891)*Staffing!$P$20</f>
        <v>0</v>
      </c>
      <c r="L892" s="23" t="n">
        <f aca="false">ROUNDUP(E892,0)</f>
        <v>1</v>
      </c>
    </row>
    <row r="893" customFormat="false" ht="15" hidden="false" customHeight="false" outlineLevel="0" collapsed="false">
      <c r="A893" s="6" t="s">
        <v>4</v>
      </c>
      <c r="B893" s="6" t="s">
        <v>329</v>
      </c>
      <c r="C893" s="6" t="n">
        <v>48</v>
      </c>
      <c r="D893" s="25" t="n">
        <f aca="false">EDATE('Start Here'!$B$6,C893-1)</f>
        <v>47757</v>
      </c>
      <c r="E893" s="11" t="n">
        <f aca="false">IF(AND(C893&gt;=Staffing!$F$20,C893&lt;=Staffing!$G$20,1=1),IF(C893&lt;=6,Staffing!$H$20,IF(C893&lt;=15,Staffing!$I$20,IF(C893&lt;=30,Staffing!$J$20,Staffing!$K$20))),0)</f>
        <v>1</v>
      </c>
      <c r="F893" s="10" t="n">
        <f aca="false">E893*Staffing!$L$20/12*(1+Assumptions!$D$10)^INT((C893-1)/12)*1</f>
        <v>15466.88</v>
      </c>
      <c r="G893" s="10" t="n">
        <f aca="false">F893*Staffing!$N$20</f>
        <v>6186.752</v>
      </c>
      <c r="H893" s="10" t="n">
        <f aca="false">F893+G893</f>
        <v>21653.632</v>
      </c>
      <c r="I893" s="10" t="n">
        <f aca="false">0</f>
        <v>0</v>
      </c>
      <c r="J893" s="10" t="n">
        <f aca="false">MAX(0,E893-E892)*Staffing!$O$20</f>
        <v>0</v>
      </c>
      <c r="K893" s="10" t="n">
        <f aca="false">MAX(0,E893-E892)*Staffing!$P$20</f>
        <v>0</v>
      </c>
      <c r="L893" s="23" t="n">
        <f aca="false">ROUNDUP(E893,0)</f>
        <v>1</v>
      </c>
    </row>
    <row r="894" customFormat="false" ht="15" hidden="false" customHeight="false" outlineLevel="0" collapsed="false">
      <c r="A894" s="6" t="s">
        <v>4</v>
      </c>
      <c r="B894" s="6" t="s">
        <v>329</v>
      </c>
      <c r="C894" s="6" t="n">
        <v>49</v>
      </c>
      <c r="D894" s="25" t="n">
        <f aca="false">EDATE('Start Here'!$B$6,C894-1)</f>
        <v>47788</v>
      </c>
      <c r="E894" s="11" t="n">
        <f aca="false">IF(AND(C894&gt;=Staffing!$F$20,C894&lt;=Staffing!$G$20,1=1),IF(C894&lt;=6,Staffing!$H$20,IF(C894&lt;=15,Staffing!$I$20,IF(C894&lt;=30,Staffing!$J$20,Staffing!$K$20))),0)</f>
        <v>1</v>
      </c>
      <c r="F894" s="10" t="n">
        <f aca="false">E894*Staffing!$L$20/12*(1+Assumptions!$D$10)^INT((C894-1)/12)*1</f>
        <v>16085.5552</v>
      </c>
      <c r="G894" s="10" t="n">
        <f aca="false">F894*Staffing!$N$20</f>
        <v>6434.22208</v>
      </c>
      <c r="H894" s="10" t="n">
        <f aca="false">F894+G894</f>
        <v>22519.77728</v>
      </c>
      <c r="I894" s="10" t="n">
        <f aca="false">0</f>
        <v>0</v>
      </c>
      <c r="J894" s="10" t="n">
        <f aca="false">MAX(0,E894-E893)*Staffing!$O$20</f>
        <v>0</v>
      </c>
      <c r="K894" s="10" t="n">
        <f aca="false">MAX(0,E894-E893)*Staffing!$P$20</f>
        <v>0</v>
      </c>
      <c r="L894" s="23" t="n">
        <f aca="false">ROUNDUP(E894,0)</f>
        <v>1</v>
      </c>
    </row>
    <row r="895" customFormat="false" ht="15" hidden="false" customHeight="false" outlineLevel="0" collapsed="false">
      <c r="A895" s="6" t="s">
        <v>4</v>
      </c>
      <c r="B895" s="6" t="s">
        <v>329</v>
      </c>
      <c r="C895" s="6" t="n">
        <v>50</v>
      </c>
      <c r="D895" s="25" t="n">
        <f aca="false">EDATE('Start Here'!$B$6,C895-1)</f>
        <v>47818</v>
      </c>
      <c r="E895" s="11" t="n">
        <f aca="false">IF(AND(C895&gt;=Staffing!$F$20,C895&lt;=Staffing!$G$20,1=1),IF(C895&lt;=6,Staffing!$H$20,IF(C895&lt;=15,Staffing!$I$20,IF(C895&lt;=30,Staffing!$J$20,Staffing!$K$20))),0)</f>
        <v>1</v>
      </c>
      <c r="F895" s="10" t="n">
        <f aca="false">E895*Staffing!$L$20/12*(1+Assumptions!$D$10)^INT((C895-1)/12)*1</f>
        <v>16085.5552</v>
      </c>
      <c r="G895" s="10" t="n">
        <f aca="false">F895*Staffing!$N$20</f>
        <v>6434.22208</v>
      </c>
      <c r="H895" s="10" t="n">
        <f aca="false">F895+G895</f>
        <v>22519.77728</v>
      </c>
      <c r="I895" s="10" t="n">
        <f aca="false">0</f>
        <v>0</v>
      </c>
      <c r="J895" s="10" t="n">
        <f aca="false">MAX(0,E895-E894)*Staffing!$O$20</f>
        <v>0</v>
      </c>
      <c r="K895" s="10" t="n">
        <f aca="false">MAX(0,E895-E894)*Staffing!$P$20</f>
        <v>0</v>
      </c>
      <c r="L895" s="23" t="n">
        <f aca="false">ROUNDUP(E895,0)</f>
        <v>1</v>
      </c>
    </row>
    <row r="896" customFormat="false" ht="15" hidden="false" customHeight="false" outlineLevel="0" collapsed="false">
      <c r="A896" s="6" t="s">
        <v>4</v>
      </c>
      <c r="B896" s="6" t="s">
        <v>329</v>
      </c>
      <c r="C896" s="6" t="n">
        <v>51</v>
      </c>
      <c r="D896" s="25" t="n">
        <f aca="false">EDATE('Start Here'!$B$6,C896-1)</f>
        <v>47849</v>
      </c>
      <c r="E896" s="11" t="n">
        <f aca="false">IF(AND(C896&gt;=Staffing!$F$20,C896&lt;=Staffing!$G$20,1=1),IF(C896&lt;=6,Staffing!$H$20,IF(C896&lt;=15,Staffing!$I$20,IF(C896&lt;=30,Staffing!$J$20,Staffing!$K$20))),0)</f>
        <v>1</v>
      </c>
      <c r="F896" s="10" t="n">
        <f aca="false">E896*Staffing!$L$20/12*(1+Assumptions!$D$10)^INT((C896-1)/12)*1</f>
        <v>16085.5552</v>
      </c>
      <c r="G896" s="10" t="n">
        <f aca="false">F896*Staffing!$N$20</f>
        <v>6434.22208</v>
      </c>
      <c r="H896" s="10" t="n">
        <f aca="false">F896+G896</f>
        <v>22519.77728</v>
      </c>
      <c r="I896" s="10" t="n">
        <f aca="false">0</f>
        <v>0</v>
      </c>
      <c r="J896" s="10" t="n">
        <f aca="false">MAX(0,E896-E895)*Staffing!$O$20</f>
        <v>0</v>
      </c>
      <c r="K896" s="10" t="n">
        <f aca="false">MAX(0,E896-E895)*Staffing!$P$20</f>
        <v>0</v>
      </c>
      <c r="L896" s="23" t="n">
        <f aca="false">ROUNDUP(E896,0)</f>
        <v>1</v>
      </c>
    </row>
    <row r="897" customFormat="false" ht="15" hidden="false" customHeight="false" outlineLevel="0" collapsed="false">
      <c r="A897" s="6" t="s">
        <v>4</v>
      </c>
      <c r="B897" s="6" t="s">
        <v>329</v>
      </c>
      <c r="C897" s="6" t="n">
        <v>52</v>
      </c>
      <c r="D897" s="25" t="n">
        <f aca="false">EDATE('Start Here'!$B$6,C897-1)</f>
        <v>47880</v>
      </c>
      <c r="E897" s="11" t="n">
        <f aca="false">IF(AND(C897&gt;=Staffing!$F$20,C897&lt;=Staffing!$G$20,1=1),IF(C897&lt;=6,Staffing!$H$20,IF(C897&lt;=15,Staffing!$I$20,IF(C897&lt;=30,Staffing!$J$20,Staffing!$K$20))),0)</f>
        <v>1</v>
      </c>
      <c r="F897" s="10" t="n">
        <f aca="false">E897*Staffing!$L$20/12*(1+Assumptions!$D$10)^INT((C897-1)/12)*1</f>
        <v>16085.5552</v>
      </c>
      <c r="G897" s="10" t="n">
        <f aca="false">F897*Staffing!$N$20</f>
        <v>6434.22208</v>
      </c>
      <c r="H897" s="10" t="n">
        <f aca="false">F897+G897</f>
        <v>22519.77728</v>
      </c>
      <c r="I897" s="10" t="n">
        <f aca="false">0</f>
        <v>0</v>
      </c>
      <c r="J897" s="10" t="n">
        <f aca="false">MAX(0,E897-E896)*Staffing!$O$20</f>
        <v>0</v>
      </c>
      <c r="K897" s="10" t="n">
        <f aca="false">MAX(0,E897-E896)*Staffing!$P$20</f>
        <v>0</v>
      </c>
      <c r="L897" s="23" t="n">
        <f aca="false">ROUNDUP(E897,0)</f>
        <v>1</v>
      </c>
    </row>
    <row r="898" customFormat="false" ht="15" hidden="false" customHeight="false" outlineLevel="0" collapsed="false">
      <c r="A898" s="6" t="s">
        <v>4</v>
      </c>
      <c r="B898" s="6" t="s">
        <v>329</v>
      </c>
      <c r="C898" s="6" t="n">
        <v>53</v>
      </c>
      <c r="D898" s="25" t="n">
        <f aca="false">EDATE('Start Here'!$B$6,C898-1)</f>
        <v>47908</v>
      </c>
      <c r="E898" s="11" t="n">
        <f aca="false">IF(AND(C898&gt;=Staffing!$F$20,C898&lt;=Staffing!$G$20,1=1),IF(C898&lt;=6,Staffing!$H$20,IF(C898&lt;=15,Staffing!$I$20,IF(C898&lt;=30,Staffing!$J$20,Staffing!$K$20))),0)</f>
        <v>1</v>
      </c>
      <c r="F898" s="10" t="n">
        <f aca="false">E898*Staffing!$L$20/12*(1+Assumptions!$D$10)^INT((C898-1)/12)*1</f>
        <v>16085.5552</v>
      </c>
      <c r="G898" s="10" t="n">
        <f aca="false">F898*Staffing!$N$20</f>
        <v>6434.22208</v>
      </c>
      <c r="H898" s="10" t="n">
        <f aca="false">F898+G898</f>
        <v>22519.77728</v>
      </c>
      <c r="I898" s="10" t="n">
        <f aca="false">0</f>
        <v>0</v>
      </c>
      <c r="J898" s="10" t="n">
        <f aca="false">MAX(0,E898-E897)*Staffing!$O$20</f>
        <v>0</v>
      </c>
      <c r="K898" s="10" t="n">
        <f aca="false">MAX(0,E898-E897)*Staffing!$P$20</f>
        <v>0</v>
      </c>
      <c r="L898" s="23" t="n">
        <f aca="false">ROUNDUP(E898,0)</f>
        <v>1</v>
      </c>
    </row>
    <row r="899" customFormat="false" ht="15" hidden="false" customHeight="false" outlineLevel="0" collapsed="false">
      <c r="A899" s="6" t="s">
        <v>4</v>
      </c>
      <c r="B899" s="6" t="s">
        <v>329</v>
      </c>
      <c r="C899" s="6" t="n">
        <v>54</v>
      </c>
      <c r="D899" s="25" t="n">
        <f aca="false">EDATE('Start Here'!$B$6,C899-1)</f>
        <v>47939</v>
      </c>
      <c r="E899" s="11" t="n">
        <f aca="false">IF(AND(C899&gt;=Staffing!$F$20,C899&lt;=Staffing!$G$20,1=1),IF(C899&lt;=6,Staffing!$H$20,IF(C899&lt;=15,Staffing!$I$20,IF(C899&lt;=30,Staffing!$J$20,Staffing!$K$20))),0)</f>
        <v>1</v>
      </c>
      <c r="F899" s="10" t="n">
        <f aca="false">E899*Staffing!$L$20/12*(1+Assumptions!$D$10)^INT((C899-1)/12)*1</f>
        <v>16085.5552</v>
      </c>
      <c r="G899" s="10" t="n">
        <f aca="false">F899*Staffing!$N$20</f>
        <v>6434.22208</v>
      </c>
      <c r="H899" s="10" t="n">
        <f aca="false">F899+G899</f>
        <v>22519.77728</v>
      </c>
      <c r="I899" s="10" t="n">
        <f aca="false">0</f>
        <v>0</v>
      </c>
      <c r="J899" s="10" t="n">
        <f aca="false">MAX(0,E899-E898)*Staffing!$O$20</f>
        <v>0</v>
      </c>
      <c r="K899" s="10" t="n">
        <f aca="false">MAX(0,E899-E898)*Staffing!$P$20</f>
        <v>0</v>
      </c>
      <c r="L899" s="23" t="n">
        <f aca="false">ROUNDUP(E899,0)</f>
        <v>1</v>
      </c>
    </row>
    <row r="900" customFormat="false" ht="15" hidden="false" customHeight="false" outlineLevel="0" collapsed="false">
      <c r="A900" s="6" t="s">
        <v>4</v>
      </c>
      <c r="B900" s="6" t="s">
        <v>329</v>
      </c>
      <c r="C900" s="6" t="n">
        <v>55</v>
      </c>
      <c r="D900" s="25" t="n">
        <f aca="false">EDATE('Start Here'!$B$6,C900-1)</f>
        <v>47969</v>
      </c>
      <c r="E900" s="11" t="n">
        <f aca="false">IF(AND(C900&gt;=Staffing!$F$20,C900&lt;=Staffing!$G$20,1=1),IF(C900&lt;=6,Staffing!$H$20,IF(C900&lt;=15,Staffing!$I$20,IF(C900&lt;=30,Staffing!$J$20,Staffing!$K$20))),0)</f>
        <v>1</v>
      </c>
      <c r="F900" s="10" t="n">
        <f aca="false">E900*Staffing!$L$20/12*(1+Assumptions!$D$10)^INT((C900-1)/12)*1</f>
        <v>16085.5552</v>
      </c>
      <c r="G900" s="10" t="n">
        <f aca="false">F900*Staffing!$N$20</f>
        <v>6434.22208</v>
      </c>
      <c r="H900" s="10" t="n">
        <f aca="false">F900+G900</f>
        <v>22519.77728</v>
      </c>
      <c r="I900" s="10" t="n">
        <f aca="false">0</f>
        <v>0</v>
      </c>
      <c r="J900" s="10" t="n">
        <f aca="false">MAX(0,E900-E899)*Staffing!$O$20</f>
        <v>0</v>
      </c>
      <c r="K900" s="10" t="n">
        <f aca="false">MAX(0,E900-E899)*Staffing!$P$20</f>
        <v>0</v>
      </c>
      <c r="L900" s="23" t="n">
        <f aca="false">ROUNDUP(E900,0)</f>
        <v>1</v>
      </c>
    </row>
    <row r="901" customFormat="false" ht="15" hidden="false" customHeight="false" outlineLevel="0" collapsed="false">
      <c r="A901" s="6" t="s">
        <v>4</v>
      </c>
      <c r="B901" s="6" t="s">
        <v>329</v>
      </c>
      <c r="C901" s="6" t="n">
        <v>56</v>
      </c>
      <c r="D901" s="25" t="n">
        <f aca="false">EDATE('Start Here'!$B$6,C901-1)</f>
        <v>48000</v>
      </c>
      <c r="E901" s="11" t="n">
        <f aca="false">IF(AND(C901&gt;=Staffing!$F$20,C901&lt;=Staffing!$G$20,1=1),IF(C901&lt;=6,Staffing!$H$20,IF(C901&lt;=15,Staffing!$I$20,IF(C901&lt;=30,Staffing!$J$20,Staffing!$K$20))),0)</f>
        <v>1</v>
      </c>
      <c r="F901" s="10" t="n">
        <f aca="false">E901*Staffing!$L$20/12*(1+Assumptions!$D$10)^INT((C901-1)/12)*1</f>
        <v>16085.5552</v>
      </c>
      <c r="G901" s="10" t="n">
        <f aca="false">F901*Staffing!$N$20</f>
        <v>6434.22208</v>
      </c>
      <c r="H901" s="10" t="n">
        <f aca="false">F901+G901</f>
        <v>22519.77728</v>
      </c>
      <c r="I901" s="10" t="n">
        <f aca="false">0</f>
        <v>0</v>
      </c>
      <c r="J901" s="10" t="n">
        <f aca="false">MAX(0,E901-E900)*Staffing!$O$20</f>
        <v>0</v>
      </c>
      <c r="K901" s="10" t="n">
        <f aca="false">MAX(0,E901-E900)*Staffing!$P$20</f>
        <v>0</v>
      </c>
      <c r="L901" s="23" t="n">
        <f aca="false">ROUNDUP(E901,0)</f>
        <v>1</v>
      </c>
    </row>
    <row r="902" customFormat="false" ht="15" hidden="false" customHeight="false" outlineLevel="0" collapsed="false">
      <c r="A902" s="6" t="s">
        <v>4</v>
      </c>
      <c r="B902" s="6" t="s">
        <v>329</v>
      </c>
      <c r="C902" s="6" t="n">
        <v>57</v>
      </c>
      <c r="D902" s="25" t="n">
        <f aca="false">EDATE('Start Here'!$B$6,C902-1)</f>
        <v>48030</v>
      </c>
      <c r="E902" s="11" t="n">
        <f aca="false">IF(AND(C902&gt;=Staffing!$F$20,C902&lt;=Staffing!$G$20,1=1),IF(C902&lt;=6,Staffing!$H$20,IF(C902&lt;=15,Staffing!$I$20,IF(C902&lt;=30,Staffing!$J$20,Staffing!$K$20))),0)</f>
        <v>1</v>
      </c>
      <c r="F902" s="10" t="n">
        <f aca="false">E902*Staffing!$L$20/12*(1+Assumptions!$D$10)^INT((C902-1)/12)*1</f>
        <v>16085.5552</v>
      </c>
      <c r="G902" s="10" t="n">
        <f aca="false">F902*Staffing!$N$20</f>
        <v>6434.22208</v>
      </c>
      <c r="H902" s="10" t="n">
        <f aca="false">F902+G902</f>
        <v>22519.77728</v>
      </c>
      <c r="I902" s="10" t="n">
        <f aca="false">0</f>
        <v>0</v>
      </c>
      <c r="J902" s="10" t="n">
        <f aca="false">MAX(0,E902-E901)*Staffing!$O$20</f>
        <v>0</v>
      </c>
      <c r="K902" s="10" t="n">
        <f aca="false">MAX(0,E902-E901)*Staffing!$P$20</f>
        <v>0</v>
      </c>
      <c r="L902" s="23" t="n">
        <f aca="false">ROUNDUP(E902,0)</f>
        <v>1</v>
      </c>
    </row>
    <row r="903" customFormat="false" ht="15" hidden="false" customHeight="false" outlineLevel="0" collapsed="false">
      <c r="A903" s="6" t="s">
        <v>4</v>
      </c>
      <c r="B903" s="6" t="s">
        <v>329</v>
      </c>
      <c r="C903" s="6" t="n">
        <v>58</v>
      </c>
      <c r="D903" s="25" t="n">
        <f aca="false">EDATE('Start Here'!$B$6,C903-1)</f>
        <v>48061</v>
      </c>
      <c r="E903" s="11" t="n">
        <f aca="false">IF(AND(C903&gt;=Staffing!$F$20,C903&lt;=Staffing!$G$20,1=1),IF(C903&lt;=6,Staffing!$H$20,IF(C903&lt;=15,Staffing!$I$20,IF(C903&lt;=30,Staffing!$J$20,Staffing!$K$20))),0)</f>
        <v>1</v>
      </c>
      <c r="F903" s="10" t="n">
        <f aca="false">E903*Staffing!$L$20/12*(1+Assumptions!$D$10)^INT((C903-1)/12)*1</f>
        <v>16085.5552</v>
      </c>
      <c r="G903" s="10" t="n">
        <f aca="false">F903*Staffing!$N$20</f>
        <v>6434.22208</v>
      </c>
      <c r="H903" s="10" t="n">
        <f aca="false">F903+G903</f>
        <v>22519.77728</v>
      </c>
      <c r="I903" s="10" t="n">
        <f aca="false">0</f>
        <v>0</v>
      </c>
      <c r="J903" s="10" t="n">
        <f aca="false">MAX(0,E903-E902)*Staffing!$O$20</f>
        <v>0</v>
      </c>
      <c r="K903" s="10" t="n">
        <f aca="false">MAX(0,E903-E902)*Staffing!$P$20</f>
        <v>0</v>
      </c>
      <c r="L903" s="23" t="n">
        <f aca="false">ROUNDUP(E903,0)</f>
        <v>1</v>
      </c>
    </row>
    <row r="904" customFormat="false" ht="15" hidden="false" customHeight="false" outlineLevel="0" collapsed="false">
      <c r="A904" s="6" t="s">
        <v>4</v>
      </c>
      <c r="B904" s="6" t="s">
        <v>329</v>
      </c>
      <c r="C904" s="6" t="n">
        <v>59</v>
      </c>
      <c r="D904" s="25" t="n">
        <f aca="false">EDATE('Start Here'!$B$6,C904-1)</f>
        <v>48092</v>
      </c>
      <c r="E904" s="11" t="n">
        <f aca="false">IF(AND(C904&gt;=Staffing!$F$20,C904&lt;=Staffing!$G$20,1=1),IF(C904&lt;=6,Staffing!$H$20,IF(C904&lt;=15,Staffing!$I$20,IF(C904&lt;=30,Staffing!$J$20,Staffing!$K$20))),0)</f>
        <v>1</v>
      </c>
      <c r="F904" s="10" t="n">
        <f aca="false">E904*Staffing!$L$20/12*(1+Assumptions!$D$10)^INT((C904-1)/12)*1</f>
        <v>16085.5552</v>
      </c>
      <c r="G904" s="10" t="n">
        <f aca="false">F904*Staffing!$N$20</f>
        <v>6434.22208</v>
      </c>
      <c r="H904" s="10" t="n">
        <f aca="false">F904+G904</f>
        <v>22519.77728</v>
      </c>
      <c r="I904" s="10" t="n">
        <f aca="false">0</f>
        <v>0</v>
      </c>
      <c r="J904" s="10" t="n">
        <f aca="false">MAX(0,E904-E903)*Staffing!$O$20</f>
        <v>0</v>
      </c>
      <c r="K904" s="10" t="n">
        <f aca="false">MAX(0,E904-E903)*Staffing!$P$20</f>
        <v>0</v>
      </c>
      <c r="L904" s="23" t="n">
        <f aca="false">ROUNDUP(E904,0)</f>
        <v>1</v>
      </c>
    </row>
    <row r="905" customFormat="false" ht="15" hidden="false" customHeight="false" outlineLevel="0" collapsed="false">
      <c r="A905" s="6" t="s">
        <v>4</v>
      </c>
      <c r="B905" s="6" t="s">
        <v>329</v>
      </c>
      <c r="C905" s="6" t="n">
        <v>60</v>
      </c>
      <c r="D905" s="25" t="n">
        <f aca="false">EDATE('Start Here'!$B$6,C905-1)</f>
        <v>48122</v>
      </c>
      <c r="E905" s="11" t="n">
        <f aca="false">IF(AND(C905&gt;=Staffing!$F$20,C905&lt;=Staffing!$G$20,1=1),IF(C905&lt;=6,Staffing!$H$20,IF(C905&lt;=15,Staffing!$I$20,IF(C905&lt;=30,Staffing!$J$20,Staffing!$K$20))),0)</f>
        <v>1</v>
      </c>
      <c r="F905" s="10" t="n">
        <f aca="false">E905*Staffing!$L$20/12*(1+Assumptions!$D$10)^INT((C905-1)/12)*1</f>
        <v>16085.5552</v>
      </c>
      <c r="G905" s="10" t="n">
        <f aca="false">F905*Staffing!$N$20</f>
        <v>6434.22208</v>
      </c>
      <c r="H905" s="10" t="n">
        <f aca="false">F905+G905</f>
        <v>22519.77728</v>
      </c>
      <c r="I905" s="10" t="n">
        <f aca="false">0</f>
        <v>0</v>
      </c>
      <c r="J905" s="10" t="n">
        <f aca="false">MAX(0,E905-E904)*Staffing!$O$20</f>
        <v>0</v>
      </c>
      <c r="K905" s="10" t="n">
        <f aca="false">MAX(0,E905-E904)*Staffing!$P$20</f>
        <v>0</v>
      </c>
      <c r="L905" s="23" t="n">
        <f aca="false">ROUNDUP(E905,0)</f>
        <v>1</v>
      </c>
    </row>
    <row r="906" customFormat="false" ht="15" hidden="false" customHeight="false" outlineLevel="0" collapsed="false">
      <c r="A906" s="6" t="s">
        <v>4</v>
      </c>
      <c r="B906" s="6" t="s">
        <v>332</v>
      </c>
      <c r="C906" s="6" t="n">
        <v>1</v>
      </c>
      <c r="D906" s="25" t="n">
        <f aca="false">EDATE('Start Here'!$B$6,C906-1)</f>
        <v>46327</v>
      </c>
      <c r="E906" s="23" t="n">
        <f aca="false">IF(AND(C906&gt;=Staffing!$F$21,C906&lt;=Staffing!$G$21,1=1),IF(C906&lt;=6,Staffing!$H$21,IF(C906&lt;=15,Staffing!$I$21,IF(C906&lt;=30,Staffing!$J$21,Staffing!$K$21))),0)</f>
        <v>0</v>
      </c>
      <c r="F906" s="10" t="n">
        <f aca="false">E906*Staffing!$L$21/12*(1+Assumptions!$D$10)^INT((C906-1)/12)*1</f>
        <v>0</v>
      </c>
      <c r="G906" s="10" t="n">
        <f aca="false">F906*Staffing!$N$21</f>
        <v>0</v>
      </c>
      <c r="H906" s="10" t="n">
        <f aca="false">F906+G906</f>
        <v>0</v>
      </c>
      <c r="I906" s="10" t="n">
        <f aca="false">0</f>
        <v>0</v>
      </c>
      <c r="J906" s="10" t="n">
        <f aca="false">MAX(0,E906-0)*Staffing!$O$21</f>
        <v>0</v>
      </c>
      <c r="K906" s="10" t="n">
        <f aca="false">MAX(0,E906-0)*Staffing!$P$21</f>
        <v>0</v>
      </c>
      <c r="L906" s="23" t="n">
        <f aca="false">ROUNDUP(E906,0)</f>
        <v>0</v>
      </c>
    </row>
    <row r="907" customFormat="false" ht="15" hidden="false" customHeight="false" outlineLevel="0" collapsed="false">
      <c r="A907" s="6" t="s">
        <v>4</v>
      </c>
      <c r="B907" s="6" t="s">
        <v>332</v>
      </c>
      <c r="C907" s="6" t="n">
        <v>2</v>
      </c>
      <c r="D907" s="25" t="n">
        <f aca="false">EDATE('Start Here'!$B$6,C907-1)</f>
        <v>46357</v>
      </c>
      <c r="E907" s="23" t="n">
        <f aca="false">IF(AND(C907&gt;=Staffing!$F$21,C907&lt;=Staffing!$G$21,1=1),IF(C907&lt;=6,Staffing!$H$21,IF(C907&lt;=15,Staffing!$I$21,IF(C907&lt;=30,Staffing!$J$21,Staffing!$K$21))),0)</f>
        <v>0</v>
      </c>
      <c r="F907" s="10" t="n">
        <f aca="false">E907*Staffing!$L$21/12*(1+Assumptions!$D$10)^INT((C907-1)/12)*1</f>
        <v>0</v>
      </c>
      <c r="G907" s="10" t="n">
        <f aca="false">F907*Staffing!$N$21</f>
        <v>0</v>
      </c>
      <c r="H907" s="10" t="n">
        <f aca="false">F907+G907</f>
        <v>0</v>
      </c>
      <c r="I907" s="10" t="n">
        <f aca="false">0</f>
        <v>0</v>
      </c>
      <c r="J907" s="10" t="n">
        <f aca="false">MAX(0,E907-E906)*Staffing!$O$21</f>
        <v>0</v>
      </c>
      <c r="K907" s="10" t="n">
        <f aca="false">MAX(0,E907-E906)*Staffing!$P$21</f>
        <v>0</v>
      </c>
      <c r="L907" s="23" t="n">
        <f aca="false">ROUNDUP(E907,0)</f>
        <v>0</v>
      </c>
    </row>
    <row r="908" customFormat="false" ht="15" hidden="false" customHeight="false" outlineLevel="0" collapsed="false">
      <c r="A908" s="6" t="s">
        <v>4</v>
      </c>
      <c r="B908" s="6" t="s">
        <v>332</v>
      </c>
      <c r="C908" s="6" t="n">
        <v>3</v>
      </c>
      <c r="D908" s="25" t="n">
        <f aca="false">EDATE('Start Here'!$B$6,C908-1)</f>
        <v>46388</v>
      </c>
      <c r="E908" s="11" t="n">
        <f aca="false">IF(AND(C908&gt;=Staffing!$F$21,C908&lt;=Staffing!$G$21,1=1),IF(C908&lt;=6,Staffing!$H$21,IF(C908&lt;=15,Staffing!$I$21,IF(C908&lt;=30,Staffing!$J$21,Staffing!$K$21))),0)</f>
        <v>1</v>
      </c>
      <c r="F908" s="10" t="n">
        <f aca="false">E908*Staffing!$L$21/12*(1+Assumptions!$D$10)^INT((C908-1)/12)*1</f>
        <v>12083.3333333333</v>
      </c>
      <c r="G908" s="10" t="n">
        <f aca="false">F908*Staffing!$N$21</f>
        <v>4833.33333333333</v>
      </c>
      <c r="H908" s="10" t="n">
        <f aca="false">F908+G908</f>
        <v>16916.6666666667</v>
      </c>
      <c r="I908" s="10" t="n">
        <f aca="false">0</f>
        <v>0</v>
      </c>
      <c r="J908" s="10" t="n">
        <f aca="false">MAX(0,E908-E907)*Staffing!$O$21</f>
        <v>8000</v>
      </c>
      <c r="K908" s="10" t="n">
        <f aca="false">MAX(0,E908-E907)*Staffing!$P$21</f>
        <v>3000</v>
      </c>
      <c r="L908" s="23" t="n">
        <f aca="false">ROUNDUP(E908,0)</f>
        <v>1</v>
      </c>
    </row>
    <row r="909" customFormat="false" ht="15" hidden="false" customHeight="false" outlineLevel="0" collapsed="false">
      <c r="A909" s="6" t="s">
        <v>4</v>
      </c>
      <c r="B909" s="6" t="s">
        <v>332</v>
      </c>
      <c r="C909" s="6" t="n">
        <v>4</v>
      </c>
      <c r="D909" s="25" t="n">
        <f aca="false">EDATE('Start Here'!$B$6,C909-1)</f>
        <v>46419</v>
      </c>
      <c r="E909" s="11" t="n">
        <f aca="false">IF(AND(C909&gt;=Staffing!$F$21,C909&lt;=Staffing!$G$21,1=1),IF(C909&lt;=6,Staffing!$H$21,IF(C909&lt;=15,Staffing!$I$21,IF(C909&lt;=30,Staffing!$J$21,Staffing!$K$21))),0)</f>
        <v>1</v>
      </c>
      <c r="F909" s="10" t="n">
        <f aca="false">E909*Staffing!$L$21/12*(1+Assumptions!$D$10)^INT((C909-1)/12)*1</f>
        <v>12083.3333333333</v>
      </c>
      <c r="G909" s="10" t="n">
        <f aca="false">F909*Staffing!$N$21</f>
        <v>4833.33333333333</v>
      </c>
      <c r="H909" s="10" t="n">
        <f aca="false">F909+G909</f>
        <v>16916.6666666667</v>
      </c>
      <c r="I909" s="10" t="n">
        <f aca="false">0</f>
        <v>0</v>
      </c>
      <c r="J909" s="10" t="n">
        <f aca="false">MAX(0,E909-E908)*Staffing!$O$21</f>
        <v>0</v>
      </c>
      <c r="K909" s="10" t="n">
        <f aca="false">MAX(0,E909-E908)*Staffing!$P$21</f>
        <v>0</v>
      </c>
      <c r="L909" s="23" t="n">
        <f aca="false">ROUNDUP(E909,0)</f>
        <v>1</v>
      </c>
    </row>
    <row r="910" customFormat="false" ht="15" hidden="false" customHeight="false" outlineLevel="0" collapsed="false">
      <c r="A910" s="6" t="s">
        <v>4</v>
      </c>
      <c r="B910" s="6" t="s">
        <v>332</v>
      </c>
      <c r="C910" s="6" t="n">
        <v>5</v>
      </c>
      <c r="D910" s="25" t="n">
        <f aca="false">EDATE('Start Here'!$B$6,C910-1)</f>
        <v>46447</v>
      </c>
      <c r="E910" s="11" t="n">
        <f aca="false">IF(AND(C910&gt;=Staffing!$F$21,C910&lt;=Staffing!$G$21,1=1),IF(C910&lt;=6,Staffing!$H$21,IF(C910&lt;=15,Staffing!$I$21,IF(C910&lt;=30,Staffing!$J$21,Staffing!$K$21))),0)</f>
        <v>1</v>
      </c>
      <c r="F910" s="10" t="n">
        <f aca="false">E910*Staffing!$L$21/12*(1+Assumptions!$D$10)^INT((C910-1)/12)*1</f>
        <v>12083.3333333333</v>
      </c>
      <c r="G910" s="10" t="n">
        <f aca="false">F910*Staffing!$N$21</f>
        <v>4833.33333333333</v>
      </c>
      <c r="H910" s="10" t="n">
        <f aca="false">F910+G910</f>
        <v>16916.6666666667</v>
      </c>
      <c r="I910" s="10" t="n">
        <f aca="false">0</f>
        <v>0</v>
      </c>
      <c r="J910" s="10" t="n">
        <f aca="false">MAX(0,E910-E909)*Staffing!$O$21</f>
        <v>0</v>
      </c>
      <c r="K910" s="10" t="n">
        <f aca="false">MAX(0,E910-E909)*Staffing!$P$21</f>
        <v>0</v>
      </c>
      <c r="L910" s="23" t="n">
        <f aca="false">ROUNDUP(E910,0)</f>
        <v>1</v>
      </c>
    </row>
    <row r="911" customFormat="false" ht="15" hidden="false" customHeight="false" outlineLevel="0" collapsed="false">
      <c r="A911" s="6" t="s">
        <v>4</v>
      </c>
      <c r="B911" s="6" t="s">
        <v>332</v>
      </c>
      <c r="C911" s="6" t="n">
        <v>6</v>
      </c>
      <c r="D911" s="25" t="n">
        <f aca="false">EDATE('Start Here'!$B$6,C911-1)</f>
        <v>46478</v>
      </c>
      <c r="E911" s="11" t="n">
        <f aca="false">IF(AND(C911&gt;=Staffing!$F$21,C911&lt;=Staffing!$G$21,1=1),IF(C911&lt;=6,Staffing!$H$21,IF(C911&lt;=15,Staffing!$I$21,IF(C911&lt;=30,Staffing!$J$21,Staffing!$K$21))),0)</f>
        <v>1</v>
      </c>
      <c r="F911" s="10" t="n">
        <f aca="false">E911*Staffing!$L$21/12*(1+Assumptions!$D$10)^INT((C911-1)/12)*1</f>
        <v>12083.3333333333</v>
      </c>
      <c r="G911" s="10" t="n">
        <f aca="false">F911*Staffing!$N$21</f>
        <v>4833.33333333333</v>
      </c>
      <c r="H911" s="10" t="n">
        <f aca="false">F911+G911</f>
        <v>16916.6666666667</v>
      </c>
      <c r="I911" s="10" t="n">
        <f aca="false">0</f>
        <v>0</v>
      </c>
      <c r="J911" s="10" t="n">
        <f aca="false">MAX(0,E911-E910)*Staffing!$O$21</f>
        <v>0</v>
      </c>
      <c r="K911" s="10" t="n">
        <f aca="false">MAX(0,E911-E910)*Staffing!$P$21</f>
        <v>0</v>
      </c>
      <c r="L911" s="23" t="n">
        <f aca="false">ROUNDUP(E911,0)</f>
        <v>1</v>
      </c>
    </row>
    <row r="912" customFormat="false" ht="15" hidden="false" customHeight="false" outlineLevel="0" collapsed="false">
      <c r="A912" s="6" t="s">
        <v>4</v>
      </c>
      <c r="B912" s="6" t="s">
        <v>332</v>
      </c>
      <c r="C912" s="6" t="n">
        <v>7</v>
      </c>
      <c r="D912" s="25" t="n">
        <f aca="false">EDATE('Start Here'!$B$6,C912-1)</f>
        <v>46508</v>
      </c>
      <c r="E912" s="11" t="n">
        <f aca="false">IF(AND(C912&gt;=Staffing!$F$21,C912&lt;=Staffing!$G$21,1=1),IF(C912&lt;=6,Staffing!$H$21,IF(C912&lt;=15,Staffing!$I$21,IF(C912&lt;=30,Staffing!$J$21,Staffing!$K$21))),0)</f>
        <v>1</v>
      </c>
      <c r="F912" s="10" t="n">
        <f aca="false">E912*Staffing!$L$21/12*(1+Assumptions!$D$10)^INT((C912-1)/12)*1</f>
        <v>12083.3333333333</v>
      </c>
      <c r="G912" s="10" t="n">
        <f aca="false">F912*Staffing!$N$21</f>
        <v>4833.33333333333</v>
      </c>
      <c r="H912" s="10" t="n">
        <f aca="false">F912+G912</f>
        <v>16916.6666666667</v>
      </c>
      <c r="I912" s="10" t="n">
        <f aca="false">0</f>
        <v>0</v>
      </c>
      <c r="J912" s="10" t="n">
        <f aca="false">MAX(0,E912-E911)*Staffing!$O$21</f>
        <v>0</v>
      </c>
      <c r="K912" s="10" t="n">
        <f aca="false">MAX(0,E912-E911)*Staffing!$P$21</f>
        <v>0</v>
      </c>
      <c r="L912" s="23" t="n">
        <f aca="false">ROUNDUP(E912,0)</f>
        <v>1</v>
      </c>
    </row>
    <row r="913" customFormat="false" ht="15" hidden="false" customHeight="false" outlineLevel="0" collapsed="false">
      <c r="A913" s="6" t="s">
        <v>4</v>
      </c>
      <c r="B913" s="6" t="s">
        <v>332</v>
      </c>
      <c r="C913" s="6" t="n">
        <v>8</v>
      </c>
      <c r="D913" s="25" t="n">
        <f aca="false">EDATE('Start Here'!$B$6,C913-1)</f>
        <v>46539</v>
      </c>
      <c r="E913" s="11" t="n">
        <f aca="false">IF(AND(C913&gt;=Staffing!$F$21,C913&lt;=Staffing!$G$21,1=1),IF(C913&lt;=6,Staffing!$H$21,IF(C913&lt;=15,Staffing!$I$21,IF(C913&lt;=30,Staffing!$J$21,Staffing!$K$21))),0)</f>
        <v>1</v>
      </c>
      <c r="F913" s="10" t="n">
        <f aca="false">E913*Staffing!$L$21/12*(1+Assumptions!$D$10)^INT((C913-1)/12)*1</f>
        <v>12083.3333333333</v>
      </c>
      <c r="G913" s="10" t="n">
        <f aca="false">F913*Staffing!$N$21</f>
        <v>4833.33333333333</v>
      </c>
      <c r="H913" s="10" t="n">
        <f aca="false">F913+G913</f>
        <v>16916.6666666667</v>
      </c>
      <c r="I913" s="10" t="n">
        <f aca="false">0</f>
        <v>0</v>
      </c>
      <c r="J913" s="10" t="n">
        <f aca="false">MAX(0,E913-E912)*Staffing!$O$21</f>
        <v>0</v>
      </c>
      <c r="K913" s="10" t="n">
        <f aca="false">MAX(0,E913-E912)*Staffing!$P$21</f>
        <v>0</v>
      </c>
      <c r="L913" s="23" t="n">
        <f aca="false">ROUNDUP(E913,0)</f>
        <v>1</v>
      </c>
    </row>
    <row r="914" customFormat="false" ht="15" hidden="false" customHeight="false" outlineLevel="0" collapsed="false">
      <c r="A914" s="6" t="s">
        <v>4</v>
      </c>
      <c r="B914" s="6" t="s">
        <v>332</v>
      </c>
      <c r="C914" s="6" t="n">
        <v>9</v>
      </c>
      <c r="D914" s="25" t="n">
        <f aca="false">EDATE('Start Here'!$B$6,C914-1)</f>
        <v>46569</v>
      </c>
      <c r="E914" s="11" t="n">
        <f aca="false">IF(AND(C914&gt;=Staffing!$F$21,C914&lt;=Staffing!$G$21,1=1),IF(C914&lt;=6,Staffing!$H$21,IF(C914&lt;=15,Staffing!$I$21,IF(C914&lt;=30,Staffing!$J$21,Staffing!$K$21))),0)</f>
        <v>1</v>
      </c>
      <c r="F914" s="10" t="n">
        <f aca="false">E914*Staffing!$L$21/12*(1+Assumptions!$D$10)^INT((C914-1)/12)*1</f>
        <v>12083.3333333333</v>
      </c>
      <c r="G914" s="10" t="n">
        <f aca="false">F914*Staffing!$N$21</f>
        <v>4833.33333333333</v>
      </c>
      <c r="H914" s="10" t="n">
        <f aca="false">F914+G914</f>
        <v>16916.6666666667</v>
      </c>
      <c r="I914" s="10" t="n">
        <f aca="false">0</f>
        <v>0</v>
      </c>
      <c r="J914" s="10" t="n">
        <f aca="false">MAX(0,E914-E913)*Staffing!$O$21</f>
        <v>0</v>
      </c>
      <c r="K914" s="10" t="n">
        <f aca="false">MAX(0,E914-E913)*Staffing!$P$21</f>
        <v>0</v>
      </c>
      <c r="L914" s="23" t="n">
        <f aca="false">ROUNDUP(E914,0)</f>
        <v>1</v>
      </c>
    </row>
    <row r="915" customFormat="false" ht="15" hidden="false" customHeight="false" outlineLevel="0" collapsed="false">
      <c r="A915" s="6" t="s">
        <v>4</v>
      </c>
      <c r="B915" s="6" t="s">
        <v>332</v>
      </c>
      <c r="C915" s="6" t="n">
        <v>10</v>
      </c>
      <c r="D915" s="25" t="n">
        <f aca="false">EDATE('Start Here'!$B$6,C915-1)</f>
        <v>46600</v>
      </c>
      <c r="E915" s="11" t="n">
        <f aca="false">IF(AND(C915&gt;=Staffing!$F$21,C915&lt;=Staffing!$G$21,1=1),IF(C915&lt;=6,Staffing!$H$21,IF(C915&lt;=15,Staffing!$I$21,IF(C915&lt;=30,Staffing!$J$21,Staffing!$K$21))),0)</f>
        <v>1</v>
      </c>
      <c r="F915" s="10" t="n">
        <f aca="false">E915*Staffing!$L$21/12*(1+Assumptions!$D$10)^INT((C915-1)/12)*1</f>
        <v>12083.3333333333</v>
      </c>
      <c r="G915" s="10" t="n">
        <f aca="false">F915*Staffing!$N$21</f>
        <v>4833.33333333333</v>
      </c>
      <c r="H915" s="10" t="n">
        <f aca="false">F915+G915</f>
        <v>16916.6666666667</v>
      </c>
      <c r="I915" s="10" t="n">
        <f aca="false">0</f>
        <v>0</v>
      </c>
      <c r="J915" s="10" t="n">
        <f aca="false">MAX(0,E915-E914)*Staffing!$O$21</f>
        <v>0</v>
      </c>
      <c r="K915" s="10" t="n">
        <f aca="false">MAX(0,E915-E914)*Staffing!$P$21</f>
        <v>0</v>
      </c>
      <c r="L915" s="23" t="n">
        <f aca="false">ROUNDUP(E915,0)</f>
        <v>1</v>
      </c>
    </row>
    <row r="916" customFormat="false" ht="15" hidden="false" customHeight="false" outlineLevel="0" collapsed="false">
      <c r="A916" s="6" t="s">
        <v>4</v>
      </c>
      <c r="B916" s="6" t="s">
        <v>332</v>
      </c>
      <c r="C916" s="6" t="n">
        <v>11</v>
      </c>
      <c r="D916" s="25" t="n">
        <f aca="false">EDATE('Start Here'!$B$6,C916-1)</f>
        <v>46631</v>
      </c>
      <c r="E916" s="11" t="n">
        <f aca="false">IF(AND(C916&gt;=Staffing!$F$21,C916&lt;=Staffing!$G$21,1=1),IF(C916&lt;=6,Staffing!$H$21,IF(C916&lt;=15,Staffing!$I$21,IF(C916&lt;=30,Staffing!$J$21,Staffing!$K$21))),0)</f>
        <v>1</v>
      </c>
      <c r="F916" s="10" t="n">
        <f aca="false">E916*Staffing!$L$21/12*(1+Assumptions!$D$10)^INT((C916-1)/12)*1</f>
        <v>12083.3333333333</v>
      </c>
      <c r="G916" s="10" t="n">
        <f aca="false">F916*Staffing!$N$21</f>
        <v>4833.33333333333</v>
      </c>
      <c r="H916" s="10" t="n">
        <f aca="false">F916+G916</f>
        <v>16916.6666666667</v>
      </c>
      <c r="I916" s="10" t="n">
        <f aca="false">0</f>
        <v>0</v>
      </c>
      <c r="J916" s="10" t="n">
        <f aca="false">MAX(0,E916-E915)*Staffing!$O$21</f>
        <v>0</v>
      </c>
      <c r="K916" s="10" t="n">
        <f aca="false">MAX(0,E916-E915)*Staffing!$P$21</f>
        <v>0</v>
      </c>
      <c r="L916" s="23" t="n">
        <f aca="false">ROUNDUP(E916,0)</f>
        <v>1</v>
      </c>
    </row>
    <row r="917" customFormat="false" ht="15" hidden="false" customHeight="false" outlineLevel="0" collapsed="false">
      <c r="A917" s="6" t="s">
        <v>4</v>
      </c>
      <c r="B917" s="6" t="s">
        <v>332</v>
      </c>
      <c r="C917" s="6" t="n">
        <v>12</v>
      </c>
      <c r="D917" s="25" t="n">
        <f aca="false">EDATE('Start Here'!$B$6,C917-1)</f>
        <v>46661</v>
      </c>
      <c r="E917" s="11" t="n">
        <f aca="false">IF(AND(C917&gt;=Staffing!$F$21,C917&lt;=Staffing!$G$21,1=1),IF(C917&lt;=6,Staffing!$H$21,IF(C917&lt;=15,Staffing!$I$21,IF(C917&lt;=30,Staffing!$J$21,Staffing!$K$21))),0)</f>
        <v>1</v>
      </c>
      <c r="F917" s="10" t="n">
        <f aca="false">E917*Staffing!$L$21/12*(1+Assumptions!$D$10)^INT((C917-1)/12)*1</f>
        <v>12083.3333333333</v>
      </c>
      <c r="G917" s="10" t="n">
        <f aca="false">F917*Staffing!$N$21</f>
        <v>4833.33333333333</v>
      </c>
      <c r="H917" s="10" t="n">
        <f aca="false">F917+G917</f>
        <v>16916.6666666667</v>
      </c>
      <c r="I917" s="10" t="n">
        <f aca="false">0</f>
        <v>0</v>
      </c>
      <c r="J917" s="10" t="n">
        <f aca="false">MAX(0,E917-E916)*Staffing!$O$21</f>
        <v>0</v>
      </c>
      <c r="K917" s="10" t="n">
        <f aca="false">MAX(0,E917-E916)*Staffing!$P$21</f>
        <v>0</v>
      </c>
      <c r="L917" s="23" t="n">
        <f aca="false">ROUNDUP(E917,0)</f>
        <v>1</v>
      </c>
    </row>
    <row r="918" customFormat="false" ht="15" hidden="false" customHeight="false" outlineLevel="0" collapsed="false">
      <c r="A918" s="6" t="s">
        <v>4</v>
      </c>
      <c r="B918" s="6" t="s">
        <v>332</v>
      </c>
      <c r="C918" s="6" t="n">
        <v>13</v>
      </c>
      <c r="D918" s="25" t="n">
        <f aca="false">EDATE('Start Here'!$B$6,C918-1)</f>
        <v>46692</v>
      </c>
      <c r="E918" s="11" t="n">
        <f aca="false">IF(AND(C918&gt;=Staffing!$F$21,C918&lt;=Staffing!$G$21,1=1),IF(C918&lt;=6,Staffing!$H$21,IF(C918&lt;=15,Staffing!$I$21,IF(C918&lt;=30,Staffing!$J$21,Staffing!$K$21))),0)</f>
        <v>1</v>
      </c>
      <c r="F918" s="10" t="n">
        <f aca="false">E918*Staffing!$L$21/12*(1+Assumptions!$D$10)^INT((C918-1)/12)*1</f>
        <v>12566.6666666667</v>
      </c>
      <c r="G918" s="10" t="n">
        <f aca="false">F918*Staffing!$N$21</f>
        <v>5026.66666666667</v>
      </c>
      <c r="H918" s="10" t="n">
        <f aca="false">F918+G918</f>
        <v>17593.3333333333</v>
      </c>
      <c r="I918" s="10" t="n">
        <f aca="false">0</f>
        <v>0</v>
      </c>
      <c r="J918" s="10" t="n">
        <f aca="false">MAX(0,E918-E917)*Staffing!$O$21</f>
        <v>0</v>
      </c>
      <c r="K918" s="10" t="n">
        <f aca="false">MAX(0,E918-E917)*Staffing!$P$21</f>
        <v>0</v>
      </c>
      <c r="L918" s="23" t="n">
        <f aca="false">ROUNDUP(E918,0)</f>
        <v>1</v>
      </c>
    </row>
    <row r="919" customFormat="false" ht="15" hidden="false" customHeight="false" outlineLevel="0" collapsed="false">
      <c r="A919" s="6" t="s">
        <v>4</v>
      </c>
      <c r="B919" s="6" t="s">
        <v>332</v>
      </c>
      <c r="C919" s="6" t="n">
        <v>14</v>
      </c>
      <c r="D919" s="25" t="n">
        <f aca="false">EDATE('Start Here'!$B$6,C919-1)</f>
        <v>46722</v>
      </c>
      <c r="E919" s="11" t="n">
        <f aca="false">IF(AND(C919&gt;=Staffing!$F$21,C919&lt;=Staffing!$G$21,1=1),IF(C919&lt;=6,Staffing!$H$21,IF(C919&lt;=15,Staffing!$I$21,IF(C919&lt;=30,Staffing!$J$21,Staffing!$K$21))),0)</f>
        <v>1</v>
      </c>
      <c r="F919" s="10" t="n">
        <f aca="false">E919*Staffing!$L$21/12*(1+Assumptions!$D$10)^INT((C919-1)/12)*1</f>
        <v>12566.6666666667</v>
      </c>
      <c r="G919" s="10" t="n">
        <f aca="false">F919*Staffing!$N$21</f>
        <v>5026.66666666667</v>
      </c>
      <c r="H919" s="10" t="n">
        <f aca="false">F919+G919</f>
        <v>17593.3333333333</v>
      </c>
      <c r="I919" s="10" t="n">
        <f aca="false">0</f>
        <v>0</v>
      </c>
      <c r="J919" s="10" t="n">
        <f aca="false">MAX(0,E919-E918)*Staffing!$O$21</f>
        <v>0</v>
      </c>
      <c r="K919" s="10" t="n">
        <f aca="false">MAX(0,E919-E918)*Staffing!$P$21</f>
        <v>0</v>
      </c>
      <c r="L919" s="23" t="n">
        <f aca="false">ROUNDUP(E919,0)</f>
        <v>1</v>
      </c>
    </row>
    <row r="920" customFormat="false" ht="15" hidden="false" customHeight="false" outlineLevel="0" collapsed="false">
      <c r="A920" s="6" t="s">
        <v>4</v>
      </c>
      <c r="B920" s="6" t="s">
        <v>332</v>
      </c>
      <c r="C920" s="6" t="n">
        <v>15</v>
      </c>
      <c r="D920" s="25" t="n">
        <f aca="false">EDATE('Start Here'!$B$6,C920-1)</f>
        <v>46753</v>
      </c>
      <c r="E920" s="11" t="n">
        <f aca="false">IF(AND(C920&gt;=Staffing!$F$21,C920&lt;=Staffing!$G$21,1=1),IF(C920&lt;=6,Staffing!$H$21,IF(C920&lt;=15,Staffing!$I$21,IF(C920&lt;=30,Staffing!$J$21,Staffing!$K$21))),0)</f>
        <v>1</v>
      </c>
      <c r="F920" s="10" t="n">
        <f aca="false">E920*Staffing!$L$21/12*(1+Assumptions!$D$10)^INT((C920-1)/12)*1</f>
        <v>12566.6666666667</v>
      </c>
      <c r="G920" s="10" t="n">
        <f aca="false">F920*Staffing!$N$21</f>
        <v>5026.66666666667</v>
      </c>
      <c r="H920" s="10" t="n">
        <f aca="false">F920+G920</f>
        <v>17593.3333333333</v>
      </c>
      <c r="I920" s="10" t="n">
        <f aca="false">0</f>
        <v>0</v>
      </c>
      <c r="J920" s="10" t="n">
        <f aca="false">MAX(0,E920-E919)*Staffing!$O$21</f>
        <v>0</v>
      </c>
      <c r="K920" s="10" t="n">
        <f aca="false">MAX(0,E920-E919)*Staffing!$P$21</f>
        <v>0</v>
      </c>
      <c r="L920" s="23" t="n">
        <f aca="false">ROUNDUP(E920,0)</f>
        <v>1</v>
      </c>
    </row>
    <row r="921" customFormat="false" ht="15" hidden="false" customHeight="false" outlineLevel="0" collapsed="false">
      <c r="A921" s="6" t="s">
        <v>4</v>
      </c>
      <c r="B921" s="6" t="s">
        <v>332</v>
      </c>
      <c r="C921" s="6" t="n">
        <v>16</v>
      </c>
      <c r="D921" s="25" t="n">
        <f aca="false">EDATE('Start Here'!$B$6,C921-1)</f>
        <v>46784</v>
      </c>
      <c r="E921" s="11" t="n">
        <f aca="false">IF(AND(C921&gt;=Staffing!$F$21,C921&lt;=Staffing!$G$21,1=1),IF(C921&lt;=6,Staffing!$H$21,IF(C921&lt;=15,Staffing!$I$21,IF(C921&lt;=30,Staffing!$J$21,Staffing!$K$21))),0)</f>
        <v>2</v>
      </c>
      <c r="F921" s="10" t="n">
        <f aca="false">E921*Staffing!$L$21/12*(1+Assumptions!$D$10)^INT((C921-1)/12)*1</f>
        <v>25133.3333333333</v>
      </c>
      <c r="G921" s="10" t="n">
        <f aca="false">F921*Staffing!$N$21</f>
        <v>10053.3333333333</v>
      </c>
      <c r="H921" s="10" t="n">
        <f aca="false">F921+G921</f>
        <v>35186.6666666667</v>
      </c>
      <c r="I921" s="10" t="n">
        <f aca="false">0</f>
        <v>0</v>
      </c>
      <c r="J921" s="10" t="n">
        <f aca="false">MAX(0,E921-E920)*Staffing!$O$21</f>
        <v>8000</v>
      </c>
      <c r="K921" s="10" t="n">
        <f aca="false">MAX(0,E921-E920)*Staffing!$P$21</f>
        <v>3000</v>
      </c>
      <c r="L921" s="23" t="n">
        <f aca="false">ROUNDUP(E921,0)</f>
        <v>2</v>
      </c>
    </row>
    <row r="922" customFormat="false" ht="15" hidden="false" customHeight="false" outlineLevel="0" collapsed="false">
      <c r="A922" s="6" t="s">
        <v>4</v>
      </c>
      <c r="B922" s="6" t="s">
        <v>332</v>
      </c>
      <c r="C922" s="6" t="n">
        <v>17</v>
      </c>
      <c r="D922" s="25" t="n">
        <f aca="false">EDATE('Start Here'!$B$6,C922-1)</f>
        <v>46813</v>
      </c>
      <c r="E922" s="11" t="n">
        <f aca="false">IF(AND(C922&gt;=Staffing!$F$21,C922&lt;=Staffing!$G$21,1=1),IF(C922&lt;=6,Staffing!$H$21,IF(C922&lt;=15,Staffing!$I$21,IF(C922&lt;=30,Staffing!$J$21,Staffing!$K$21))),0)</f>
        <v>2</v>
      </c>
      <c r="F922" s="10" t="n">
        <f aca="false">E922*Staffing!$L$21/12*(1+Assumptions!$D$10)^INT((C922-1)/12)*1</f>
        <v>25133.3333333333</v>
      </c>
      <c r="G922" s="10" t="n">
        <f aca="false">F922*Staffing!$N$21</f>
        <v>10053.3333333333</v>
      </c>
      <c r="H922" s="10" t="n">
        <f aca="false">F922+G922</f>
        <v>35186.6666666667</v>
      </c>
      <c r="I922" s="10" t="n">
        <f aca="false">0</f>
        <v>0</v>
      </c>
      <c r="J922" s="10" t="n">
        <f aca="false">MAX(0,E922-E921)*Staffing!$O$21</f>
        <v>0</v>
      </c>
      <c r="K922" s="10" t="n">
        <f aca="false">MAX(0,E922-E921)*Staffing!$P$21</f>
        <v>0</v>
      </c>
      <c r="L922" s="23" t="n">
        <f aca="false">ROUNDUP(E922,0)</f>
        <v>2</v>
      </c>
    </row>
    <row r="923" customFormat="false" ht="15" hidden="false" customHeight="false" outlineLevel="0" collapsed="false">
      <c r="A923" s="6" t="s">
        <v>4</v>
      </c>
      <c r="B923" s="6" t="s">
        <v>332</v>
      </c>
      <c r="C923" s="6" t="n">
        <v>18</v>
      </c>
      <c r="D923" s="25" t="n">
        <f aca="false">EDATE('Start Here'!$B$6,C923-1)</f>
        <v>46844</v>
      </c>
      <c r="E923" s="11" t="n">
        <f aca="false">IF(AND(C923&gt;=Staffing!$F$21,C923&lt;=Staffing!$G$21,1=1),IF(C923&lt;=6,Staffing!$H$21,IF(C923&lt;=15,Staffing!$I$21,IF(C923&lt;=30,Staffing!$J$21,Staffing!$K$21))),0)</f>
        <v>2</v>
      </c>
      <c r="F923" s="10" t="n">
        <f aca="false">E923*Staffing!$L$21/12*(1+Assumptions!$D$10)^INT((C923-1)/12)*1</f>
        <v>25133.3333333333</v>
      </c>
      <c r="G923" s="10" t="n">
        <f aca="false">F923*Staffing!$N$21</f>
        <v>10053.3333333333</v>
      </c>
      <c r="H923" s="10" t="n">
        <f aca="false">F923+G923</f>
        <v>35186.6666666667</v>
      </c>
      <c r="I923" s="10" t="n">
        <f aca="false">0</f>
        <v>0</v>
      </c>
      <c r="J923" s="10" t="n">
        <f aca="false">MAX(0,E923-E922)*Staffing!$O$21</f>
        <v>0</v>
      </c>
      <c r="K923" s="10" t="n">
        <f aca="false">MAX(0,E923-E922)*Staffing!$P$21</f>
        <v>0</v>
      </c>
      <c r="L923" s="23" t="n">
        <f aca="false">ROUNDUP(E923,0)</f>
        <v>2</v>
      </c>
    </row>
    <row r="924" customFormat="false" ht="15" hidden="false" customHeight="false" outlineLevel="0" collapsed="false">
      <c r="A924" s="6" t="s">
        <v>4</v>
      </c>
      <c r="B924" s="6" t="s">
        <v>332</v>
      </c>
      <c r="C924" s="6" t="n">
        <v>19</v>
      </c>
      <c r="D924" s="25" t="n">
        <f aca="false">EDATE('Start Here'!$B$6,C924-1)</f>
        <v>46874</v>
      </c>
      <c r="E924" s="11" t="n">
        <f aca="false">IF(AND(C924&gt;=Staffing!$F$21,C924&lt;=Staffing!$G$21,1=1),IF(C924&lt;=6,Staffing!$H$21,IF(C924&lt;=15,Staffing!$I$21,IF(C924&lt;=30,Staffing!$J$21,Staffing!$K$21))),0)</f>
        <v>2</v>
      </c>
      <c r="F924" s="10" t="n">
        <f aca="false">E924*Staffing!$L$21/12*(1+Assumptions!$D$10)^INT((C924-1)/12)*1</f>
        <v>25133.3333333333</v>
      </c>
      <c r="G924" s="10" t="n">
        <f aca="false">F924*Staffing!$N$21</f>
        <v>10053.3333333333</v>
      </c>
      <c r="H924" s="10" t="n">
        <f aca="false">F924+G924</f>
        <v>35186.6666666667</v>
      </c>
      <c r="I924" s="10" t="n">
        <f aca="false">0</f>
        <v>0</v>
      </c>
      <c r="J924" s="10" t="n">
        <f aca="false">MAX(0,E924-E923)*Staffing!$O$21</f>
        <v>0</v>
      </c>
      <c r="K924" s="10" t="n">
        <f aca="false">MAX(0,E924-E923)*Staffing!$P$21</f>
        <v>0</v>
      </c>
      <c r="L924" s="23" t="n">
        <f aca="false">ROUNDUP(E924,0)</f>
        <v>2</v>
      </c>
    </row>
    <row r="925" customFormat="false" ht="15" hidden="false" customHeight="false" outlineLevel="0" collapsed="false">
      <c r="A925" s="6" t="s">
        <v>4</v>
      </c>
      <c r="B925" s="6" t="s">
        <v>332</v>
      </c>
      <c r="C925" s="6" t="n">
        <v>20</v>
      </c>
      <c r="D925" s="25" t="n">
        <f aca="false">EDATE('Start Here'!$B$6,C925-1)</f>
        <v>46905</v>
      </c>
      <c r="E925" s="11" t="n">
        <f aca="false">IF(AND(C925&gt;=Staffing!$F$21,C925&lt;=Staffing!$G$21,1=1),IF(C925&lt;=6,Staffing!$H$21,IF(C925&lt;=15,Staffing!$I$21,IF(C925&lt;=30,Staffing!$J$21,Staffing!$K$21))),0)</f>
        <v>2</v>
      </c>
      <c r="F925" s="10" t="n">
        <f aca="false">E925*Staffing!$L$21/12*(1+Assumptions!$D$10)^INT((C925-1)/12)*1</f>
        <v>25133.3333333333</v>
      </c>
      <c r="G925" s="10" t="n">
        <f aca="false">F925*Staffing!$N$21</f>
        <v>10053.3333333333</v>
      </c>
      <c r="H925" s="10" t="n">
        <f aca="false">F925+G925</f>
        <v>35186.6666666667</v>
      </c>
      <c r="I925" s="10" t="n">
        <f aca="false">0</f>
        <v>0</v>
      </c>
      <c r="J925" s="10" t="n">
        <f aca="false">MAX(0,E925-E924)*Staffing!$O$21</f>
        <v>0</v>
      </c>
      <c r="K925" s="10" t="n">
        <f aca="false">MAX(0,E925-E924)*Staffing!$P$21</f>
        <v>0</v>
      </c>
      <c r="L925" s="23" t="n">
        <f aca="false">ROUNDUP(E925,0)</f>
        <v>2</v>
      </c>
    </row>
    <row r="926" customFormat="false" ht="15" hidden="false" customHeight="false" outlineLevel="0" collapsed="false">
      <c r="A926" s="6" t="s">
        <v>4</v>
      </c>
      <c r="B926" s="6" t="s">
        <v>332</v>
      </c>
      <c r="C926" s="6" t="n">
        <v>21</v>
      </c>
      <c r="D926" s="25" t="n">
        <f aca="false">EDATE('Start Here'!$B$6,C926-1)</f>
        <v>46935</v>
      </c>
      <c r="E926" s="11" t="n">
        <f aca="false">IF(AND(C926&gt;=Staffing!$F$21,C926&lt;=Staffing!$G$21,1=1),IF(C926&lt;=6,Staffing!$H$21,IF(C926&lt;=15,Staffing!$I$21,IF(C926&lt;=30,Staffing!$J$21,Staffing!$K$21))),0)</f>
        <v>2</v>
      </c>
      <c r="F926" s="10" t="n">
        <f aca="false">E926*Staffing!$L$21/12*(1+Assumptions!$D$10)^INT((C926-1)/12)*1</f>
        <v>25133.3333333333</v>
      </c>
      <c r="G926" s="10" t="n">
        <f aca="false">F926*Staffing!$N$21</f>
        <v>10053.3333333333</v>
      </c>
      <c r="H926" s="10" t="n">
        <f aca="false">F926+G926</f>
        <v>35186.6666666667</v>
      </c>
      <c r="I926" s="10" t="n">
        <f aca="false">0</f>
        <v>0</v>
      </c>
      <c r="J926" s="10" t="n">
        <f aca="false">MAX(0,E926-E925)*Staffing!$O$21</f>
        <v>0</v>
      </c>
      <c r="K926" s="10" t="n">
        <f aca="false">MAX(0,E926-E925)*Staffing!$P$21</f>
        <v>0</v>
      </c>
      <c r="L926" s="23" t="n">
        <f aca="false">ROUNDUP(E926,0)</f>
        <v>2</v>
      </c>
    </row>
    <row r="927" customFormat="false" ht="15" hidden="false" customHeight="false" outlineLevel="0" collapsed="false">
      <c r="A927" s="6" t="s">
        <v>4</v>
      </c>
      <c r="B927" s="6" t="s">
        <v>332</v>
      </c>
      <c r="C927" s="6" t="n">
        <v>22</v>
      </c>
      <c r="D927" s="25" t="n">
        <f aca="false">EDATE('Start Here'!$B$6,C927-1)</f>
        <v>46966</v>
      </c>
      <c r="E927" s="11" t="n">
        <f aca="false">IF(AND(C927&gt;=Staffing!$F$21,C927&lt;=Staffing!$G$21,1=1),IF(C927&lt;=6,Staffing!$H$21,IF(C927&lt;=15,Staffing!$I$21,IF(C927&lt;=30,Staffing!$J$21,Staffing!$K$21))),0)</f>
        <v>2</v>
      </c>
      <c r="F927" s="10" t="n">
        <f aca="false">E927*Staffing!$L$21/12*(1+Assumptions!$D$10)^INT((C927-1)/12)*1</f>
        <v>25133.3333333333</v>
      </c>
      <c r="G927" s="10" t="n">
        <f aca="false">F927*Staffing!$N$21</f>
        <v>10053.3333333333</v>
      </c>
      <c r="H927" s="10" t="n">
        <f aca="false">F927+G927</f>
        <v>35186.6666666667</v>
      </c>
      <c r="I927" s="10" t="n">
        <f aca="false">0</f>
        <v>0</v>
      </c>
      <c r="J927" s="10" t="n">
        <f aca="false">MAX(0,E927-E926)*Staffing!$O$21</f>
        <v>0</v>
      </c>
      <c r="K927" s="10" t="n">
        <f aca="false">MAX(0,E927-E926)*Staffing!$P$21</f>
        <v>0</v>
      </c>
      <c r="L927" s="23" t="n">
        <f aca="false">ROUNDUP(E927,0)</f>
        <v>2</v>
      </c>
    </row>
    <row r="928" customFormat="false" ht="15" hidden="false" customHeight="false" outlineLevel="0" collapsed="false">
      <c r="A928" s="6" t="s">
        <v>4</v>
      </c>
      <c r="B928" s="6" t="s">
        <v>332</v>
      </c>
      <c r="C928" s="6" t="n">
        <v>23</v>
      </c>
      <c r="D928" s="25" t="n">
        <f aca="false">EDATE('Start Here'!$B$6,C928-1)</f>
        <v>46997</v>
      </c>
      <c r="E928" s="11" t="n">
        <f aca="false">IF(AND(C928&gt;=Staffing!$F$21,C928&lt;=Staffing!$G$21,1=1),IF(C928&lt;=6,Staffing!$H$21,IF(C928&lt;=15,Staffing!$I$21,IF(C928&lt;=30,Staffing!$J$21,Staffing!$K$21))),0)</f>
        <v>2</v>
      </c>
      <c r="F928" s="10" t="n">
        <f aca="false">E928*Staffing!$L$21/12*(1+Assumptions!$D$10)^INT((C928-1)/12)*1</f>
        <v>25133.3333333333</v>
      </c>
      <c r="G928" s="10" t="n">
        <f aca="false">F928*Staffing!$N$21</f>
        <v>10053.3333333333</v>
      </c>
      <c r="H928" s="10" t="n">
        <f aca="false">F928+G928</f>
        <v>35186.6666666667</v>
      </c>
      <c r="I928" s="10" t="n">
        <f aca="false">0</f>
        <v>0</v>
      </c>
      <c r="J928" s="10" t="n">
        <f aca="false">MAX(0,E928-E927)*Staffing!$O$21</f>
        <v>0</v>
      </c>
      <c r="K928" s="10" t="n">
        <f aca="false">MAX(0,E928-E927)*Staffing!$P$21</f>
        <v>0</v>
      </c>
      <c r="L928" s="23" t="n">
        <f aca="false">ROUNDUP(E928,0)</f>
        <v>2</v>
      </c>
    </row>
    <row r="929" customFormat="false" ht="15" hidden="false" customHeight="false" outlineLevel="0" collapsed="false">
      <c r="A929" s="6" t="s">
        <v>4</v>
      </c>
      <c r="B929" s="6" t="s">
        <v>332</v>
      </c>
      <c r="C929" s="6" t="n">
        <v>24</v>
      </c>
      <c r="D929" s="25" t="n">
        <f aca="false">EDATE('Start Here'!$B$6,C929-1)</f>
        <v>47027</v>
      </c>
      <c r="E929" s="11" t="n">
        <f aca="false">IF(AND(C929&gt;=Staffing!$F$21,C929&lt;=Staffing!$G$21,1=1),IF(C929&lt;=6,Staffing!$H$21,IF(C929&lt;=15,Staffing!$I$21,IF(C929&lt;=30,Staffing!$J$21,Staffing!$K$21))),0)</f>
        <v>2</v>
      </c>
      <c r="F929" s="10" t="n">
        <f aca="false">E929*Staffing!$L$21/12*(1+Assumptions!$D$10)^INT((C929-1)/12)*1</f>
        <v>25133.3333333333</v>
      </c>
      <c r="G929" s="10" t="n">
        <f aca="false">F929*Staffing!$N$21</f>
        <v>10053.3333333333</v>
      </c>
      <c r="H929" s="10" t="n">
        <f aca="false">F929+G929</f>
        <v>35186.6666666667</v>
      </c>
      <c r="I929" s="10" t="n">
        <f aca="false">0</f>
        <v>0</v>
      </c>
      <c r="J929" s="10" t="n">
        <f aca="false">MAX(0,E929-E928)*Staffing!$O$21</f>
        <v>0</v>
      </c>
      <c r="K929" s="10" t="n">
        <f aca="false">MAX(0,E929-E928)*Staffing!$P$21</f>
        <v>0</v>
      </c>
      <c r="L929" s="23" t="n">
        <f aca="false">ROUNDUP(E929,0)</f>
        <v>2</v>
      </c>
    </row>
    <row r="930" customFormat="false" ht="15" hidden="false" customHeight="false" outlineLevel="0" collapsed="false">
      <c r="A930" s="6" t="s">
        <v>4</v>
      </c>
      <c r="B930" s="6" t="s">
        <v>332</v>
      </c>
      <c r="C930" s="6" t="n">
        <v>25</v>
      </c>
      <c r="D930" s="25" t="n">
        <f aca="false">EDATE('Start Here'!$B$6,C930-1)</f>
        <v>47058</v>
      </c>
      <c r="E930" s="11" t="n">
        <f aca="false">IF(AND(C930&gt;=Staffing!$F$21,C930&lt;=Staffing!$G$21,1=1),IF(C930&lt;=6,Staffing!$H$21,IF(C930&lt;=15,Staffing!$I$21,IF(C930&lt;=30,Staffing!$J$21,Staffing!$K$21))),0)</f>
        <v>2</v>
      </c>
      <c r="F930" s="10" t="n">
        <f aca="false">E930*Staffing!$L$21/12*(1+Assumptions!$D$10)^INT((C930-1)/12)*1</f>
        <v>26138.6666666667</v>
      </c>
      <c r="G930" s="10" t="n">
        <f aca="false">F930*Staffing!$N$21</f>
        <v>10455.4666666667</v>
      </c>
      <c r="H930" s="10" t="n">
        <f aca="false">F930+G930</f>
        <v>36594.1333333333</v>
      </c>
      <c r="I930" s="10" t="n">
        <f aca="false">0</f>
        <v>0</v>
      </c>
      <c r="J930" s="10" t="n">
        <f aca="false">MAX(0,E930-E929)*Staffing!$O$21</f>
        <v>0</v>
      </c>
      <c r="K930" s="10" t="n">
        <f aca="false">MAX(0,E930-E929)*Staffing!$P$21</f>
        <v>0</v>
      </c>
      <c r="L930" s="23" t="n">
        <f aca="false">ROUNDUP(E930,0)</f>
        <v>2</v>
      </c>
    </row>
    <row r="931" customFormat="false" ht="15" hidden="false" customHeight="false" outlineLevel="0" collapsed="false">
      <c r="A931" s="6" t="s">
        <v>4</v>
      </c>
      <c r="B931" s="6" t="s">
        <v>332</v>
      </c>
      <c r="C931" s="6" t="n">
        <v>26</v>
      </c>
      <c r="D931" s="25" t="n">
        <f aca="false">EDATE('Start Here'!$B$6,C931-1)</f>
        <v>47088</v>
      </c>
      <c r="E931" s="11" t="n">
        <f aca="false">IF(AND(C931&gt;=Staffing!$F$21,C931&lt;=Staffing!$G$21,1=1),IF(C931&lt;=6,Staffing!$H$21,IF(C931&lt;=15,Staffing!$I$21,IF(C931&lt;=30,Staffing!$J$21,Staffing!$K$21))),0)</f>
        <v>2</v>
      </c>
      <c r="F931" s="10" t="n">
        <f aca="false">E931*Staffing!$L$21/12*(1+Assumptions!$D$10)^INT((C931-1)/12)*1</f>
        <v>26138.6666666667</v>
      </c>
      <c r="G931" s="10" t="n">
        <f aca="false">F931*Staffing!$N$21</f>
        <v>10455.4666666667</v>
      </c>
      <c r="H931" s="10" t="n">
        <f aca="false">F931+G931</f>
        <v>36594.1333333333</v>
      </c>
      <c r="I931" s="10" t="n">
        <f aca="false">0</f>
        <v>0</v>
      </c>
      <c r="J931" s="10" t="n">
        <f aca="false">MAX(0,E931-E930)*Staffing!$O$21</f>
        <v>0</v>
      </c>
      <c r="K931" s="10" t="n">
        <f aca="false">MAX(0,E931-E930)*Staffing!$P$21</f>
        <v>0</v>
      </c>
      <c r="L931" s="23" t="n">
        <f aca="false">ROUNDUP(E931,0)</f>
        <v>2</v>
      </c>
    </row>
    <row r="932" customFormat="false" ht="15" hidden="false" customHeight="false" outlineLevel="0" collapsed="false">
      <c r="A932" s="6" t="s">
        <v>4</v>
      </c>
      <c r="B932" s="6" t="s">
        <v>332</v>
      </c>
      <c r="C932" s="6" t="n">
        <v>27</v>
      </c>
      <c r="D932" s="25" t="n">
        <f aca="false">EDATE('Start Here'!$B$6,C932-1)</f>
        <v>47119</v>
      </c>
      <c r="E932" s="11" t="n">
        <f aca="false">IF(AND(C932&gt;=Staffing!$F$21,C932&lt;=Staffing!$G$21,1=1),IF(C932&lt;=6,Staffing!$H$21,IF(C932&lt;=15,Staffing!$I$21,IF(C932&lt;=30,Staffing!$J$21,Staffing!$K$21))),0)</f>
        <v>2</v>
      </c>
      <c r="F932" s="10" t="n">
        <f aca="false">E932*Staffing!$L$21/12*(1+Assumptions!$D$10)^INT((C932-1)/12)*1</f>
        <v>26138.6666666667</v>
      </c>
      <c r="G932" s="10" t="n">
        <f aca="false">F932*Staffing!$N$21</f>
        <v>10455.4666666667</v>
      </c>
      <c r="H932" s="10" t="n">
        <f aca="false">F932+G932</f>
        <v>36594.1333333333</v>
      </c>
      <c r="I932" s="10" t="n">
        <f aca="false">0</f>
        <v>0</v>
      </c>
      <c r="J932" s="10" t="n">
        <f aca="false">MAX(0,E932-E931)*Staffing!$O$21</f>
        <v>0</v>
      </c>
      <c r="K932" s="10" t="n">
        <f aca="false">MAX(0,E932-E931)*Staffing!$P$21</f>
        <v>0</v>
      </c>
      <c r="L932" s="23" t="n">
        <f aca="false">ROUNDUP(E932,0)</f>
        <v>2</v>
      </c>
    </row>
    <row r="933" customFormat="false" ht="15" hidden="false" customHeight="false" outlineLevel="0" collapsed="false">
      <c r="A933" s="6" t="s">
        <v>4</v>
      </c>
      <c r="B933" s="6" t="s">
        <v>332</v>
      </c>
      <c r="C933" s="6" t="n">
        <v>28</v>
      </c>
      <c r="D933" s="25" t="n">
        <f aca="false">EDATE('Start Here'!$B$6,C933-1)</f>
        <v>47150</v>
      </c>
      <c r="E933" s="11" t="n">
        <f aca="false">IF(AND(C933&gt;=Staffing!$F$21,C933&lt;=Staffing!$G$21,1=1),IF(C933&lt;=6,Staffing!$H$21,IF(C933&lt;=15,Staffing!$I$21,IF(C933&lt;=30,Staffing!$J$21,Staffing!$K$21))),0)</f>
        <v>2</v>
      </c>
      <c r="F933" s="10" t="n">
        <f aca="false">E933*Staffing!$L$21/12*(1+Assumptions!$D$10)^INT((C933-1)/12)*1</f>
        <v>26138.6666666667</v>
      </c>
      <c r="G933" s="10" t="n">
        <f aca="false">F933*Staffing!$N$21</f>
        <v>10455.4666666667</v>
      </c>
      <c r="H933" s="10" t="n">
        <f aca="false">F933+G933</f>
        <v>36594.1333333333</v>
      </c>
      <c r="I933" s="10" t="n">
        <f aca="false">0</f>
        <v>0</v>
      </c>
      <c r="J933" s="10" t="n">
        <f aca="false">MAX(0,E933-E932)*Staffing!$O$21</f>
        <v>0</v>
      </c>
      <c r="K933" s="10" t="n">
        <f aca="false">MAX(0,E933-E932)*Staffing!$P$21</f>
        <v>0</v>
      </c>
      <c r="L933" s="23" t="n">
        <f aca="false">ROUNDUP(E933,0)</f>
        <v>2</v>
      </c>
    </row>
    <row r="934" customFormat="false" ht="15" hidden="false" customHeight="false" outlineLevel="0" collapsed="false">
      <c r="A934" s="6" t="s">
        <v>4</v>
      </c>
      <c r="B934" s="6" t="s">
        <v>332</v>
      </c>
      <c r="C934" s="6" t="n">
        <v>29</v>
      </c>
      <c r="D934" s="25" t="n">
        <f aca="false">EDATE('Start Here'!$B$6,C934-1)</f>
        <v>47178</v>
      </c>
      <c r="E934" s="11" t="n">
        <f aca="false">IF(AND(C934&gt;=Staffing!$F$21,C934&lt;=Staffing!$G$21,1=1),IF(C934&lt;=6,Staffing!$H$21,IF(C934&lt;=15,Staffing!$I$21,IF(C934&lt;=30,Staffing!$J$21,Staffing!$K$21))),0)</f>
        <v>2</v>
      </c>
      <c r="F934" s="10" t="n">
        <f aca="false">E934*Staffing!$L$21/12*(1+Assumptions!$D$10)^INT((C934-1)/12)*1</f>
        <v>26138.6666666667</v>
      </c>
      <c r="G934" s="10" t="n">
        <f aca="false">F934*Staffing!$N$21</f>
        <v>10455.4666666667</v>
      </c>
      <c r="H934" s="10" t="n">
        <f aca="false">F934+G934</f>
        <v>36594.1333333333</v>
      </c>
      <c r="I934" s="10" t="n">
        <f aca="false">0</f>
        <v>0</v>
      </c>
      <c r="J934" s="10" t="n">
        <f aca="false">MAX(0,E934-E933)*Staffing!$O$21</f>
        <v>0</v>
      </c>
      <c r="K934" s="10" t="n">
        <f aca="false">MAX(0,E934-E933)*Staffing!$P$21</f>
        <v>0</v>
      </c>
      <c r="L934" s="23" t="n">
        <f aca="false">ROUNDUP(E934,0)</f>
        <v>2</v>
      </c>
    </row>
    <row r="935" customFormat="false" ht="15" hidden="false" customHeight="false" outlineLevel="0" collapsed="false">
      <c r="A935" s="6" t="s">
        <v>4</v>
      </c>
      <c r="B935" s="6" t="s">
        <v>332</v>
      </c>
      <c r="C935" s="6" t="n">
        <v>30</v>
      </c>
      <c r="D935" s="25" t="n">
        <f aca="false">EDATE('Start Here'!$B$6,C935-1)</f>
        <v>47209</v>
      </c>
      <c r="E935" s="11" t="n">
        <f aca="false">IF(AND(C935&gt;=Staffing!$F$21,C935&lt;=Staffing!$G$21,1=1),IF(C935&lt;=6,Staffing!$H$21,IF(C935&lt;=15,Staffing!$I$21,IF(C935&lt;=30,Staffing!$J$21,Staffing!$K$21))),0)</f>
        <v>2</v>
      </c>
      <c r="F935" s="10" t="n">
        <f aca="false">E935*Staffing!$L$21/12*(1+Assumptions!$D$10)^INT((C935-1)/12)*1</f>
        <v>26138.6666666667</v>
      </c>
      <c r="G935" s="10" t="n">
        <f aca="false">F935*Staffing!$N$21</f>
        <v>10455.4666666667</v>
      </c>
      <c r="H935" s="10" t="n">
        <f aca="false">F935+G935</f>
        <v>36594.1333333333</v>
      </c>
      <c r="I935" s="10" t="n">
        <f aca="false">0</f>
        <v>0</v>
      </c>
      <c r="J935" s="10" t="n">
        <f aca="false">MAX(0,E935-E934)*Staffing!$O$21</f>
        <v>0</v>
      </c>
      <c r="K935" s="10" t="n">
        <f aca="false">MAX(0,E935-E934)*Staffing!$P$21</f>
        <v>0</v>
      </c>
      <c r="L935" s="23" t="n">
        <f aca="false">ROUNDUP(E935,0)</f>
        <v>2</v>
      </c>
    </row>
    <row r="936" customFormat="false" ht="15" hidden="false" customHeight="false" outlineLevel="0" collapsed="false">
      <c r="A936" s="6" t="s">
        <v>4</v>
      </c>
      <c r="B936" s="6" t="s">
        <v>332</v>
      </c>
      <c r="C936" s="6" t="n">
        <v>31</v>
      </c>
      <c r="D936" s="25" t="n">
        <f aca="false">EDATE('Start Here'!$B$6,C936-1)</f>
        <v>47239</v>
      </c>
      <c r="E936" s="11" t="n">
        <f aca="false">IF(AND(C936&gt;=Staffing!$F$21,C936&lt;=Staffing!$G$21,1=1),IF(C936&lt;=6,Staffing!$H$21,IF(C936&lt;=15,Staffing!$I$21,IF(C936&lt;=30,Staffing!$J$21,Staffing!$K$21))),0)</f>
        <v>2</v>
      </c>
      <c r="F936" s="10" t="n">
        <f aca="false">E936*Staffing!$L$21/12*(1+Assumptions!$D$10)^INT((C936-1)/12)*1</f>
        <v>26138.6666666667</v>
      </c>
      <c r="G936" s="10" t="n">
        <f aca="false">F936*Staffing!$N$21</f>
        <v>10455.4666666667</v>
      </c>
      <c r="H936" s="10" t="n">
        <f aca="false">F936+G936</f>
        <v>36594.1333333333</v>
      </c>
      <c r="I936" s="10" t="n">
        <f aca="false">0</f>
        <v>0</v>
      </c>
      <c r="J936" s="10" t="n">
        <f aca="false">MAX(0,E936-E935)*Staffing!$O$21</f>
        <v>0</v>
      </c>
      <c r="K936" s="10" t="n">
        <f aca="false">MAX(0,E936-E935)*Staffing!$P$21</f>
        <v>0</v>
      </c>
      <c r="L936" s="23" t="n">
        <f aca="false">ROUNDUP(E936,0)</f>
        <v>2</v>
      </c>
    </row>
    <row r="937" customFormat="false" ht="15" hidden="false" customHeight="false" outlineLevel="0" collapsed="false">
      <c r="A937" s="6" t="s">
        <v>4</v>
      </c>
      <c r="B937" s="6" t="s">
        <v>332</v>
      </c>
      <c r="C937" s="6" t="n">
        <v>32</v>
      </c>
      <c r="D937" s="25" t="n">
        <f aca="false">EDATE('Start Here'!$B$6,C937-1)</f>
        <v>47270</v>
      </c>
      <c r="E937" s="11" t="n">
        <f aca="false">IF(AND(C937&gt;=Staffing!$F$21,C937&lt;=Staffing!$G$21,1=1),IF(C937&lt;=6,Staffing!$H$21,IF(C937&lt;=15,Staffing!$I$21,IF(C937&lt;=30,Staffing!$J$21,Staffing!$K$21))),0)</f>
        <v>2</v>
      </c>
      <c r="F937" s="10" t="n">
        <f aca="false">E937*Staffing!$L$21/12*(1+Assumptions!$D$10)^INT((C937-1)/12)*1</f>
        <v>26138.6666666667</v>
      </c>
      <c r="G937" s="10" t="n">
        <f aca="false">F937*Staffing!$N$21</f>
        <v>10455.4666666667</v>
      </c>
      <c r="H937" s="10" t="n">
        <f aca="false">F937+G937</f>
        <v>36594.1333333333</v>
      </c>
      <c r="I937" s="10" t="n">
        <f aca="false">0</f>
        <v>0</v>
      </c>
      <c r="J937" s="10" t="n">
        <f aca="false">MAX(0,E937-E936)*Staffing!$O$21</f>
        <v>0</v>
      </c>
      <c r="K937" s="10" t="n">
        <f aca="false">MAX(0,E937-E936)*Staffing!$P$21</f>
        <v>0</v>
      </c>
      <c r="L937" s="23" t="n">
        <f aca="false">ROUNDUP(E937,0)</f>
        <v>2</v>
      </c>
    </row>
    <row r="938" customFormat="false" ht="15" hidden="false" customHeight="false" outlineLevel="0" collapsed="false">
      <c r="A938" s="6" t="s">
        <v>4</v>
      </c>
      <c r="B938" s="6" t="s">
        <v>332</v>
      </c>
      <c r="C938" s="6" t="n">
        <v>33</v>
      </c>
      <c r="D938" s="25" t="n">
        <f aca="false">EDATE('Start Here'!$B$6,C938-1)</f>
        <v>47300</v>
      </c>
      <c r="E938" s="11" t="n">
        <f aca="false">IF(AND(C938&gt;=Staffing!$F$21,C938&lt;=Staffing!$G$21,1=1),IF(C938&lt;=6,Staffing!$H$21,IF(C938&lt;=15,Staffing!$I$21,IF(C938&lt;=30,Staffing!$J$21,Staffing!$K$21))),0)</f>
        <v>2</v>
      </c>
      <c r="F938" s="10" t="n">
        <f aca="false">E938*Staffing!$L$21/12*(1+Assumptions!$D$10)^INT((C938-1)/12)*1</f>
        <v>26138.6666666667</v>
      </c>
      <c r="G938" s="10" t="n">
        <f aca="false">F938*Staffing!$N$21</f>
        <v>10455.4666666667</v>
      </c>
      <c r="H938" s="10" t="n">
        <f aca="false">F938+G938</f>
        <v>36594.1333333333</v>
      </c>
      <c r="I938" s="10" t="n">
        <f aca="false">0</f>
        <v>0</v>
      </c>
      <c r="J938" s="10" t="n">
        <f aca="false">MAX(0,E938-E937)*Staffing!$O$21</f>
        <v>0</v>
      </c>
      <c r="K938" s="10" t="n">
        <f aca="false">MAX(0,E938-E937)*Staffing!$P$21</f>
        <v>0</v>
      </c>
      <c r="L938" s="23" t="n">
        <f aca="false">ROUNDUP(E938,0)</f>
        <v>2</v>
      </c>
    </row>
    <row r="939" customFormat="false" ht="15" hidden="false" customHeight="false" outlineLevel="0" collapsed="false">
      <c r="A939" s="6" t="s">
        <v>4</v>
      </c>
      <c r="B939" s="6" t="s">
        <v>332</v>
      </c>
      <c r="C939" s="6" t="n">
        <v>34</v>
      </c>
      <c r="D939" s="25" t="n">
        <f aca="false">EDATE('Start Here'!$B$6,C939-1)</f>
        <v>47331</v>
      </c>
      <c r="E939" s="11" t="n">
        <f aca="false">IF(AND(C939&gt;=Staffing!$F$21,C939&lt;=Staffing!$G$21,1=1),IF(C939&lt;=6,Staffing!$H$21,IF(C939&lt;=15,Staffing!$I$21,IF(C939&lt;=30,Staffing!$J$21,Staffing!$K$21))),0)</f>
        <v>2</v>
      </c>
      <c r="F939" s="10" t="n">
        <f aca="false">E939*Staffing!$L$21/12*(1+Assumptions!$D$10)^INT((C939-1)/12)*1</f>
        <v>26138.6666666667</v>
      </c>
      <c r="G939" s="10" t="n">
        <f aca="false">F939*Staffing!$N$21</f>
        <v>10455.4666666667</v>
      </c>
      <c r="H939" s="10" t="n">
        <f aca="false">F939+G939</f>
        <v>36594.1333333333</v>
      </c>
      <c r="I939" s="10" t="n">
        <f aca="false">0</f>
        <v>0</v>
      </c>
      <c r="J939" s="10" t="n">
        <f aca="false">MAX(0,E939-E938)*Staffing!$O$21</f>
        <v>0</v>
      </c>
      <c r="K939" s="10" t="n">
        <f aca="false">MAX(0,E939-E938)*Staffing!$P$21</f>
        <v>0</v>
      </c>
      <c r="L939" s="23" t="n">
        <f aca="false">ROUNDUP(E939,0)</f>
        <v>2</v>
      </c>
    </row>
    <row r="940" customFormat="false" ht="15" hidden="false" customHeight="false" outlineLevel="0" collapsed="false">
      <c r="A940" s="6" t="s">
        <v>4</v>
      </c>
      <c r="B940" s="6" t="s">
        <v>332</v>
      </c>
      <c r="C940" s="6" t="n">
        <v>35</v>
      </c>
      <c r="D940" s="25" t="n">
        <f aca="false">EDATE('Start Here'!$B$6,C940-1)</f>
        <v>47362</v>
      </c>
      <c r="E940" s="11" t="n">
        <f aca="false">IF(AND(C940&gt;=Staffing!$F$21,C940&lt;=Staffing!$G$21,1=1),IF(C940&lt;=6,Staffing!$H$21,IF(C940&lt;=15,Staffing!$I$21,IF(C940&lt;=30,Staffing!$J$21,Staffing!$K$21))),0)</f>
        <v>2</v>
      </c>
      <c r="F940" s="10" t="n">
        <f aca="false">E940*Staffing!$L$21/12*(1+Assumptions!$D$10)^INT((C940-1)/12)*1</f>
        <v>26138.6666666667</v>
      </c>
      <c r="G940" s="10" t="n">
        <f aca="false">F940*Staffing!$N$21</f>
        <v>10455.4666666667</v>
      </c>
      <c r="H940" s="10" t="n">
        <f aca="false">F940+G940</f>
        <v>36594.1333333333</v>
      </c>
      <c r="I940" s="10" t="n">
        <f aca="false">0</f>
        <v>0</v>
      </c>
      <c r="J940" s="10" t="n">
        <f aca="false">MAX(0,E940-E939)*Staffing!$O$21</f>
        <v>0</v>
      </c>
      <c r="K940" s="10" t="n">
        <f aca="false">MAX(0,E940-E939)*Staffing!$P$21</f>
        <v>0</v>
      </c>
      <c r="L940" s="23" t="n">
        <f aca="false">ROUNDUP(E940,0)</f>
        <v>2</v>
      </c>
    </row>
    <row r="941" customFormat="false" ht="15" hidden="false" customHeight="false" outlineLevel="0" collapsed="false">
      <c r="A941" s="6" t="s">
        <v>4</v>
      </c>
      <c r="B941" s="6" t="s">
        <v>332</v>
      </c>
      <c r="C941" s="6" t="n">
        <v>36</v>
      </c>
      <c r="D941" s="25" t="n">
        <f aca="false">EDATE('Start Here'!$B$6,C941-1)</f>
        <v>47392</v>
      </c>
      <c r="E941" s="11" t="n">
        <f aca="false">IF(AND(C941&gt;=Staffing!$F$21,C941&lt;=Staffing!$G$21,1=1),IF(C941&lt;=6,Staffing!$H$21,IF(C941&lt;=15,Staffing!$I$21,IF(C941&lt;=30,Staffing!$J$21,Staffing!$K$21))),0)</f>
        <v>2</v>
      </c>
      <c r="F941" s="10" t="n">
        <f aca="false">E941*Staffing!$L$21/12*(1+Assumptions!$D$10)^INT((C941-1)/12)*1</f>
        <v>26138.6666666667</v>
      </c>
      <c r="G941" s="10" t="n">
        <f aca="false">F941*Staffing!$N$21</f>
        <v>10455.4666666667</v>
      </c>
      <c r="H941" s="10" t="n">
        <f aca="false">F941+G941</f>
        <v>36594.1333333333</v>
      </c>
      <c r="I941" s="10" t="n">
        <f aca="false">0</f>
        <v>0</v>
      </c>
      <c r="J941" s="10" t="n">
        <f aca="false">MAX(0,E941-E940)*Staffing!$O$21</f>
        <v>0</v>
      </c>
      <c r="K941" s="10" t="n">
        <f aca="false">MAX(0,E941-E940)*Staffing!$P$21</f>
        <v>0</v>
      </c>
      <c r="L941" s="23" t="n">
        <f aca="false">ROUNDUP(E941,0)</f>
        <v>2</v>
      </c>
    </row>
    <row r="942" customFormat="false" ht="15" hidden="false" customHeight="false" outlineLevel="0" collapsed="false">
      <c r="A942" s="6" t="s">
        <v>4</v>
      </c>
      <c r="B942" s="6" t="s">
        <v>332</v>
      </c>
      <c r="C942" s="6" t="n">
        <v>37</v>
      </c>
      <c r="D942" s="25" t="n">
        <f aca="false">EDATE('Start Here'!$B$6,C942-1)</f>
        <v>47423</v>
      </c>
      <c r="E942" s="11" t="n">
        <f aca="false">IF(AND(C942&gt;=Staffing!$F$21,C942&lt;=Staffing!$G$21,1=1),IF(C942&lt;=6,Staffing!$H$21,IF(C942&lt;=15,Staffing!$I$21,IF(C942&lt;=30,Staffing!$J$21,Staffing!$K$21))),0)</f>
        <v>2</v>
      </c>
      <c r="F942" s="10" t="n">
        <f aca="false">E942*Staffing!$L$21/12*(1+Assumptions!$D$10)^INT((C942-1)/12)*1</f>
        <v>27184.2133333333</v>
      </c>
      <c r="G942" s="10" t="n">
        <f aca="false">F942*Staffing!$N$21</f>
        <v>10873.6853333333</v>
      </c>
      <c r="H942" s="10" t="n">
        <f aca="false">F942+G942</f>
        <v>38057.8986666667</v>
      </c>
      <c r="I942" s="10" t="n">
        <f aca="false">0</f>
        <v>0</v>
      </c>
      <c r="J942" s="10" t="n">
        <f aca="false">MAX(0,E942-E941)*Staffing!$O$21</f>
        <v>0</v>
      </c>
      <c r="K942" s="10" t="n">
        <f aca="false">MAX(0,E942-E941)*Staffing!$P$21</f>
        <v>0</v>
      </c>
      <c r="L942" s="23" t="n">
        <f aca="false">ROUNDUP(E942,0)</f>
        <v>2</v>
      </c>
    </row>
    <row r="943" customFormat="false" ht="15" hidden="false" customHeight="false" outlineLevel="0" collapsed="false">
      <c r="A943" s="6" t="s">
        <v>4</v>
      </c>
      <c r="B943" s="6" t="s">
        <v>332</v>
      </c>
      <c r="C943" s="6" t="n">
        <v>38</v>
      </c>
      <c r="D943" s="25" t="n">
        <f aca="false">EDATE('Start Here'!$B$6,C943-1)</f>
        <v>47453</v>
      </c>
      <c r="E943" s="11" t="n">
        <f aca="false">IF(AND(C943&gt;=Staffing!$F$21,C943&lt;=Staffing!$G$21,1=1),IF(C943&lt;=6,Staffing!$H$21,IF(C943&lt;=15,Staffing!$I$21,IF(C943&lt;=30,Staffing!$J$21,Staffing!$K$21))),0)</f>
        <v>2</v>
      </c>
      <c r="F943" s="10" t="n">
        <f aca="false">E943*Staffing!$L$21/12*(1+Assumptions!$D$10)^INT((C943-1)/12)*1</f>
        <v>27184.2133333333</v>
      </c>
      <c r="G943" s="10" t="n">
        <f aca="false">F943*Staffing!$N$21</f>
        <v>10873.6853333333</v>
      </c>
      <c r="H943" s="10" t="n">
        <f aca="false">F943+G943</f>
        <v>38057.8986666667</v>
      </c>
      <c r="I943" s="10" t="n">
        <f aca="false">0</f>
        <v>0</v>
      </c>
      <c r="J943" s="10" t="n">
        <f aca="false">MAX(0,E943-E942)*Staffing!$O$21</f>
        <v>0</v>
      </c>
      <c r="K943" s="10" t="n">
        <f aca="false">MAX(0,E943-E942)*Staffing!$P$21</f>
        <v>0</v>
      </c>
      <c r="L943" s="23" t="n">
        <f aca="false">ROUNDUP(E943,0)</f>
        <v>2</v>
      </c>
    </row>
    <row r="944" customFormat="false" ht="15" hidden="false" customHeight="false" outlineLevel="0" collapsed="false">
      <c r="A944" s="6" t="s">
        <v>4</v>
      </c>
      <c r="B944" s="6" t="s">
        <v>332</v>
      </c>
      <c r="C944" s="6" t="n">
        <v>39</v>
      </c>
      <c r="D944" s="25" t="n">
        <f aca="false">EDATE('Start Here'!$B$6,C944-1)</f>
        <v>47484</v>
      </c>
      <c r="E944" s="11" t="n">
        <f aca="false">IF(AND(C944&gt;=Staffing!$F$21,C944&lt;=Staffing!$G$21,1=1),IF(C944&lt;=6,Staffing!$H$21,IF(C944&lt;=15,Staffing!$I$21,IF(C944&lt;=30,Staffing!$J$21,Staffing!$K$21))),0)</f>
        <v>2</v>
      </c>
      <c r="F944" s="10" t="n">
        <f aca="false">E944*Staffing!$L$21/12*(1+Assumptions!$D$10)^INT((C944-1)/12)*1</f>
        <v>27184.2133333333</v>
      </c>
      <c r="G944" s="10" t="n">
        <f aca="false">F944*Staffing!$N$21</f>
        <v>10873.6853333333</v>
      </c>
      <c r="H944" s="10" t="n">
        <f aca="false">F944+G944</f>
        <v>38057.8986666667</v>
      </c>
      <c r="I944" s="10" t="n">
        <f aca="false">0</f>
        <v>0</v>
      </c>
      <c r="J944" s="10" t="n">
        <f aca="false">MAX(0,E944-E943)*Staffing!$O$21</f>
        <v>0</v>
      </c>
      <c r="K944" s="10" t="n">
        <f aca="false">MAX(0,E944-E943)*Staffing!$P$21</f>
        <v>0</v>
      </c>
      <c r="L944" s="23" t="n">
        <f aca="false">ROUNDUP(E944,0)</f>
        <v>2</v>
      </c>
    </row>
    <row r="945" customFormat="false" ht="15" hidden="false" customHeight="false" outlineLevel="0" collapsed="false">
      <c r="A945" s="6" t="s">
        <v>4</v>
      </c>
      <c r="B945" s="6" t="s">
        <v>332</v>
      </c>
      <c r="C945" s="6" t="n">
        <v>40</v>
      </c>
      <c r="D945" s="25" t="n">
        <f aca="false">EDATE('Start Here'!$B$6,C945-1)</f>
        <v>47515</v>
      </c>
      <c r="E945" s="11" t="n">
        <f aca="false">IF(AND(C945&gt;=Staffing!$F$21,C945&lt;=Staffing!$G$21,1=1),IF(C945&lt;=6,Staffing!$H$21,IF(C945&lt;=15,Staffing!$I$21,IF(C945&lt;=30,Staffing!$J$21,Staffing!$K$21))),0)</f>
        <v>2</v>
      </c>
      <c r="F945" s="10" t="n">
        <f aca="false">E945*Staffing!$L$21/12*(1+Assumptions!$D$10)^INT((C945-1)/12)*1</f>
        <v>27184.2133333333</v>
      </c>
      <c r="G945" s="10" t="n">
        <f aca="false">F945*Staffing!$N$21</f>
        <v>10873.6853333333</v>
      </c>
      <c r="H945" s="10" t="n">
        <f aca="false">F945+G945</f>
        <v>38057.8986666667</v>
      </c>
      <c r="I945" s="10" t="n">
        <f aca="false">0</f>
        <v>0</v>
      </c>
      <c r="J945" s="10" t="n">
        <f aca="false">MAX(0,E945-E944)*Staffing!$O$21</f>
        <v>0</v>
      </c>
      <c r="K945" s="10" t="n">
        <f aca="false">MAX(0,E945-E944)*Staffing!$P$21</f>
        <v>0</v>
      </c>
      <c r="L945" s="23" t="n">
        <f aca="false">ROUNDUP(E945,0)</f>
        <v>2</v>
      </c>
    </row>
    <row r="946" customFormat="false" ht="15" hidden="false" customHeight="false" outlineLevel="0" collapsed="false">
      <c r="A946" s="6" t="s">
        <v>4</v>
      </c>
      <c r="B946" s="6" t="s">
        <v>332</v>
      </c>
      <c r="C946" s="6" t="n">
        <v>41</v>
      </c>
      <c r="D946" s="25" t="n">
        <f aca="false">EDATE('Start Here'!$B$6,C946-1)</f>
        <v>47543</v>
      </c>
      <c r="E946" s="11" t="n">
        <f aca="false">IF(AND(C946&gt;=Staffing!$F$21,C946&lt;=Staffing!$G$21,1=1),IF(C946&lt;=6,Staffing!$H$21,IF(C946&lt;=15,Staffing!$I$21,IF(C946&lt;=30,Staffing!$J$21,Staffing!$K$21))),0)</f>
        <v>2</v>
      </c>
      <c r="F946" s="10" t="n">
        <f aca="false">E946*Staffing!$L$21/12*(1+Assumptions!$D$10)^INT((C946-1)/12)*1</f>
        <v>27184.2133333333</v>
      </c>
      <c r="G946" s="10" t="n">
        <f aca="false">F946*Staffing!$N$21</f>
        <v>10873.6853333333</v>
      </c>
      <c r="H946" s="10" t="n">
        <f aca="false">F946+G946</f>
        <v>38057.8986666667</v>
      </c>
      <c r="I946" s="10" t="n">
        <f aca="false">0</f>
        <v>0</v>
      </c>
      <c r="J946" s="10" t="n">
        <f aca="false">MAX(0,E946-E945)*Staffing!$O$21</f>
        <v>0</v>
      </c>
      <c r="K946" s="10" t="n">
        <f aca="false">MAX(0,E946-E945)*Staffing!$P$21</f>
        <v>0</v>
      </c>
      <c r="L946" s="23" t="n">
        <f aca="false">ROUNDUP(E946,0)</f>
        <v>2</v>
      </c>
    </row>
    <row r="947" customFormat="false" ht="15" hidden="false" customHeight="false" outlineLevel="0" collapsed="false">
      <c r="A947" s="6" t="s">
        <v>4</v>
      </c>
      <c r="B947" s="6" t="s">
        <v>332</v>
      </c>
      <c r="C947" s="6" t="n">
        <v>42</v>
      </c>
      <c r="D947" s="25" t="n">
        <f aca="false">EDATE('Start Here'!$B$6,C947-1)</f>
        <v>47574</v>
      </c>
      <c r="E947" s="11" t="n">
        <f aca="false">IF(AND(C947&gt;=Staffing!$F$21,C947&lt;=Staffing!$G$21,1=1),IF(C947&lt;=6,Staffing!$H$21,IF(C947&lt;=15,Staffing!$I$21,IF(C947&lt;=30,Staffing!$J$21,Staffing!$K$21))),0)</f>
        <v>2</v>
      </c>
      <c r="F947" s="10" t="n">
        <f aca="false">E947*Staffing!$L$21/12*(1+Assumptions!$D$10)^INT((C947-1)/12)*1</f>
        <v>27184.2133333333</v>
      </c>
      <c r="G947" s="10" t="n">
        <f aca="false">F947*Staffing!$N$21</f>
        <v>10873.6853333333</v>
      </c>
      <c r="H947" s="10" t="n">
        <f aca="false">F947+G947</f>
        <v>38057.8986666667</v>
      </c>
      <c r="I947" s="10" t="n">
        <f aca="false">0</f>
        <v>0</v>
      </c>
      <c r="J947" s="10" t="n">
        <f aca="false">MAX(0,E947-E946)*Staffing!$O$21</f>
        <v>0</v>
      </c>
      <c r="K947" s="10" t="n">
        <f aca="false">MAX(0,E947-E946)*Staffing!$P$21</f>
        <v>0</v>
      </c>
      <c r="L947" s="23" t="n">
        <f aca="false">ROUNDUP(E947,0)</f>
        <v>2</v>
      </c>
    </row>
    <row r="948" customFormat="false" ht="15" hidden="false" customHeight="false" outlineLevel="0" collapsed="false">
      <c r="A948" s="6" t="s">
        <v>4</v>
      </c>
      <c r="B948" s="6" t="s">
        <v>332</v>
      </c>
      <c r="C948" s="6" t="n">
        <v>43</v>
      </c>
      <c r="D948" s="25" t="n">
        <f aca="false">EDATE('Start Here'!$B$6,C948-1)</f>
        <v>47604</v>
      </c>
      <c r="E948" s="11" t="n">
        <f aca="false">IF(AND(C948&gt;=Staffing!$F$21,C948&lt;=Staffing!$G$21,1=1),IF(C948&lt;=6,Staffing!$H$21,IF(C948&lt;=15,Staffing!$I$21,IF(C948&lt;=30,Staffing!$J$21,Staffing!$K$21))),0)</f>
        <v>2</v>
      </c>
      <c r="F948" s="10" t="n">
        <f aca="false">E948*Staffing!$L$21/12*(1+Assumptions!$D$10)^INT((C948-1)/12)*1</f>
        <v>27184.2133333333</v>
      </c>
      <c r="G948" s="10" t="n">
        <f aca="false">F948*Staffing!$N$21</f>
        <v>10873.6853333333</v>
      </c>
      <c r="H948" s="10" t="n">
        <f aca="false">F948+G948</f>
        <v>38057.8986666667</v>
      </c>
      <c r="I948" s="10" t="n">
        <f aca="false">0</f>
        <v>0</v>
      </c>
      <c r="J948" s="10" t="n">
        <f aca="false">MAX(0,E948-E947)*Staffing!$O$21</f>
        <v>0</v>
      </c>
      <c r="K948" s="10" t="n">
        <f aca="false">MAX(0,E948-E947)*Staffing!$P$21</f>
        <v>0</v>
      </c>
      <c r="L948" s="23" t="n">
        <f aca="false">ROUNDUP(E948,0)</f>
        <v>2</v>
      </c>
    </row>
    <row r="949" customFormat="false" ht="15" hidden="false" customHeight="false" outlineLevel="0" collapsed="false">
      <c r="A949" s="6" t="s">
        <v>4</v>
      </c>
      <c r="B949" s="6" t="s">
        <v>332</v>
      </c>
      <c r="C949" s="6" t="n">
        <v>44</v>
      </c>
      <c r="D949" s="25" t="n">
        <f aca="false">EDATE('Start Here'!$B$6,C949-1)</f>
        <v>47635</v>
      </c>
      <c r="E949" s="11" t="n">
        <f aca="false">IF(AND(C949&gt;=Staffing!$F$21,C949&lt;=Staffing!$G$21,1=1),IF(C949&lt;=6,Staffing!$H$21,IF(C949&lt;=15,Staffing!$I$21,IF(C949&lt;=30,Staffing!$J$21,Staffing!$K$21))),0)</f>
        <v>2</v>
      </c>
      <c r="F949" s="10" t="n">
        <f aca="false">E949*Staffing!$L$21/12*(1+Assumptions!$D$10)^INT((C949-1)/12)*1</f>
        <v>27184.2133333333</v>
      </c>
      <c r="G949" s="10" t="n">
        <f aca="false">F949*Staffing!$N$21</f>
        <v>10873.6853333333</v>
      </c>
      <c r="H949" s="10" t="n">
        <f aca="false">F949+G949</f>
        <v>38057.8986666667</v>
      </c>
      <c r="I949" s="10" t="n">
        <f aca="false">0</f>
        <v>0</v>
      </c>
      <c r="J949" s="10" t="n">
        <f aca="false">MAX(0,E949-E948)*Staffing!$O$21</f>
        <v>0</v>
      </c>
      <c r="K949" s="10" t="n">
        <f aca="false">MAX(0,E949-E948)*Staffing!$P$21</f>
        <v>0</v>
      </c>
      <c r="L949" s="23" t="n">
        <f aca="false">ROUNDUP(E949,0)</f>
        <v>2</v>
      </c>
    </row>
    <row r="950" customFormat="false" ht="15" hidden="false" customHeight="false" outlineLevel="0" collapsed="false">
      <c r="A950" s="6" t="s">
        <v>4</v>
      </c>
      <c r="B950" s="6" t="s">
        <v>332</v>
      </c>
      <c r="C950" s="6" t="n">
        <v>45</v>
      </c>
      <c r="D950" s="25" t="n">
        <f aca="false">EDATE('Start Here'!$B$6,C950-1)</f>
        <v>47665</v>
      </c>
      <c r="E950" s="11" t="n">
        <f aca="false">IF(AND(C950&gt;=Staffing!$F$21,C950&lt;=Staffing!$G$21,1=1),IF(C950&lt;=6,Staffing!$H$21,IF(C950&lt;=15,Staffing!$I$21,IF(C950&lt;=30,Staffing!$J$21,Staffing!$K$21))),0)</f>
        <v>2</v>
      </c>
      <c r="F950" s="10" t="n">
        <f aca="false">E950*Staffing!$L$21/12*(1+Assumptions!$D$10)^INT((C950-1)/12)*1</f>
        <v>27184.2133333333</v>
      </c>
      <c r="G950" s="10" t="n">
        <f aca="false">F950*Staffing!$N$21</f>
        <v>10873.6853333333</v>
      </c>
      <c r="H950" s="10" t="n">
        <f aca="false">F950+G950</f>
        <v>38057.8986666667</v>
      </c>
      <c r="I950" s="10" t="n">
        <f aca="false">0</f>
        <v>0</v>
      </c>
      <c r="J950" s="10" t="n">
        <f aca="false">MAX(0,E950-E949)*Staffing!$O$21</f>
        <v>0</v>
      </c>
      <c r="K950" s="10" t="n">
        <f aca="false">MAX(0,E950-E949)*Staffing!$P$21</f>
        <v>0</v>
      </c>
      <c r="L950" s="23" t="n">
        <f aca="false">ROUNDUP(E950,0)</f>
        <v>2</v>
      </c>
    </row>
    <row r="951" customFormat="false" ht="15" hidden="false" customHeight="false" outlineLevel="0" collapsed="false">
      <c r="A951" s="6" t="s">
        <v>4</v>
      </c>
      <c r="B951" s="6" t="s">
        <v>332</v>
      </c>
      <c r="C951" s="6" t="n">
        <v>46</v>
      </c>
      <c r="D951" s="25" t="n">
        <f aca="false">EDATE('Start Here'!$B$6,C951-1)</f>
        <v>47696</v>
      </c>
      <c r="E951" s="11" t="n">
        <f aca="false">IF(AND(C951&gt;=Staffing!$F$21,C951&lt;=Staffing!$G$21,1=1),IF(C951&lt;=6,Staffing!$H$21,IF(C951&lt;=15,Staffing!$I$21,IF(C951&lt;=30,Staffing!$J$21,Staffing!$K$21))),0)</f>
        <v>2</v>
      </c>
      <c r="F951" s="10" t="n">
        <f aca="false">E951*Staffing!$L$21/12*(1+Assumptions!$D$10)^INT((C951-1)/12)*1</f>
        <v>27184.2133333333</v>
      </c>
      <c r="G951" s="10" t="n">
        <f aca="false">F951*Staffing!$N$21</f>
        <v>10873.6853333333</v>
      </c>
      <c r="H951" s="10" t="n">
        <f aca="false">F951+G951</f>
        <v>38057.8986666667</v>
      </c>
      <c r="I951" s="10" t="n">
        <f aca="false">0</f>
        <v>0</v>
      </c>
      <c r="J951" s="10" t="n">
        <f aca="false">MAX(0,E951-E950)*Staffing!$O$21</f>
        <v>0</v>
      </c>
      <c r="K951" s="10" t="n">
        <f aca="false">MAX(0,E951-E950)*Staffing!$P$21</f>
        <v>0</v>
      </c>
      <c r="L951" s="23" t="n">
        <f aca="false">ROUNDUP(E951,0)</f>
        <v>2</v>
      </c>
    </row>
    <row r="952" customFormat="false" ht="15" hidden="false" customHeight="false" outlineLevel="0" collapsed="false">
      <c r="A952" s="6" t="s">
        <v>4</v>
      </c>
      <c r="B952" s="6" t="s">
        <v>332</v>
      </c>
      <c r="C952" s="6" t="n">
        <v>47</v>
      </c>
      <c r="D952" s="25" t="n">
        <f aca="false">EDATE('Start Here'!$B$6,C952-1)</f>
        <v>47727</v>
      </c>
      <c r="E952" s="11" t="n">
        <f aca="false">IF(AND(C952&gt;=Staffing!$F$21,C952&lt;=Staffing!$G$21,1=1),IF(C952&lt;=6,Staffing!$H$21,IF(C952&lt;=15,Staffing!$I$21,IF(C952&lt;=30,Staffing!$J$21,Staffing!$K$21))),0)</f>
        <v>2</v>
      </c>
      <c r="F952" s="10" t="n">
        <f aca="false">E952*Staffing!$L$21/12*(1+Assumptions!$D$10)^INT((C952-1)/12)*1</f>
        <v>27184.2133333333</v>
      </c>
      <c r="G952" s="10" t="n">
        <f aca="false">F952*Staffing!$N$21</f>
        <v>10873.6853333333</v>
      </c>
      <c r="H952" s="10" t="n">
        <f aca="false">F952+G952</f>
        <v>38057.8986666667</v>
      </c>
      <c r="I952" s="10" t="n">
        <f aca="false">0</f>
        <v>0</v>
      </c>
      <c r="J952" s="10" t="n">
        <f aca="false">MAX(0,E952-E951)*Staffing!$O$21</f>
        <v>0</v>
      </c>
      <c r="K952" s="10" t="n">
        <f aca="false">MAX(0,E952-E951)*Staffing!$P$21</f>
        <v>0</v>
      </c>
      <c r="L952" s="23" t="n">
        <f aca="false">ROUNDUP(E952,0)</f>
        <v>2</v>
      </c>
    </row>
    <row r="953" customFormat="false" ht="15" hidden="false" customHeight="false" outlineLevel="0" collapsed="false">
      <c r="A953" s="6" t="s">
        <v>4</v>
      </c>
      <c r="B953" s="6" t="s">
        <v>332</v>
      </c>
      <c r="C953" s="6" t="n">
        <v>48</v>
      </c>
      <c r="D953" s="25" t="n">
        <f aca="false">EDATE('Start Here'!$B$6,C953-1)</f>
        <v>47757</v>
      </c>
      <c r="E953" s="11" t="n">
        <f aca="false">IF(AND(C953&gt;=Staffing!$F$21,C953&lt;=Staffing!$G$21,1=1),IF(C953&lt;=6,Staffing!$H$21,IF(C953&lt;=15,Staffing!$I$21,IF(C953&lt;=30,Staffing!$J$21,Staffing!$K$21))),0)</f>
        <v>2</v>
      </c>
      <c r="F953" s="10" t="n">
        <f aca="false">E953*Staffing!$L$21/12*(1+Assumptions!$D$10)^INT((C953-1)/12)*1</f>
        <v>27184.2133333333</v>
      </c>
      <c r="G953" s="10" t="n">
        <f aca="false">F953*Staffing!$N$21</f>
        <v>10873.6853333333</v>
      </c>
      <c r="H953" s="10" t="n">
        <f aca="false">F953+G953</f>
        <v>38057.8986666667</v>
      </c>
      <c r="I953" s="10" t="n">
        <f aca="false">0</f>
        <v>0</v>
      </c>
      <c r="J953" s="10" t="n">
        <f aca="false">MAX(0,E953-E952)*Staffing!$O$21</f>
        <v>0</v>
      </c>
      <c r="K953" s="10" t="n">
        <f aca="false">MAX(0,E953-E952)*Staffing!$P$21</f>
        <v>0</v>
      </c>
      <c r="L953" s="23" t="n">
        <f aca="false">ROUNDUP(E953,0)</f>
        <v>2</v>
      </c>
    </row>
    <row r="954" customFormat="false" ht="15" hidden="false" customHeight="false" outlineLevel="0" collapsed="false">
      <c r="A954" s="6" t="s">
        <v>4</v>
      </c>
      <c r="B954" s="6" t="s">
        <v>332</v>
      </c>
      <c r="C954" s="6" t="n">
        <v>49</v>
      </c>
      <c r="D954" s="25" t="n">
        <f aca="false">EDATE('Start Here'!$B$6,C954-1)</f>
        <v>47788</v>
      </c>
      <c r="E954" s="11" t="n">
        <f aca="false">IF(AND(C954&gt;=Staffing!$F$21,C954&lt;=Staffing!$G$21,1=1),IF(C954&lt;=6,Staffing!$H$21,IF(C954&lt;=15,Staffing!$I$21,IF(C954&lt;=30,Staffing!$J$21,Staffing!$K$21))),0)</f>
        <v>2</v>
      </c>
      <c r="F954" s="10" t="n">
        <f aca="false">E954*Staffing!$L$21/12*(1+Assumptions!$D$10)^INT((C954-1)/12)*1</f>
        <v>28271.5818666667</v>
      </c>
      <c r="G954" s="10" t="n">
        <f aca="false">F954*Staffing!$N$21</f>
        <v>11308.6327466667</v>
      </c>
      <c r="H954" s="10" t="n">
        <f aca="false">F954+G954</f>
        <v>39580.2146133333</v>
      </c>
      <c r="I954" s="10" t="n">
        <f aca="false">0</f>
        <v>0</v>
      </c>
      <c r="J954" s="10" t="n">
        <f aca="false">MAX(0,E954-E953)*Staffing!$O$21</f>
        <v>0</v>
      </c>
      <c r="K954" s="10" t="n">
        <f aca="false">MAX(0,E954-E953)*Staffing!$P$21</f>
        <v>0</v>
      </c>
      <c r="L954" s="23" t="n">
        <f aca="false">ROUNDUP(E954,0)</f>
        <v>2</v>
      </c>
    </row>
    <row r="955" customFormat="false" ht="15" hidden="false" customHeight="false" outlineLevel="0" collapsed="false">
      <c r="A955" s="6" t="s">
        <v>4</v>
      </c>
      <c r="B955" s="6" t="s">
        <v>332</v>
      </c>
      <c r="C955" s="6" t="n">
        <v>50</v>
      </c>
      <c r="D955" s="25" t="n">
        <f aca="false">EDATE('Start Here'!$B$6,C955-1)</f>
        <v>47818</v>
      </c>
      <c r="E955" s="11" t="n">
        <f aca="false">IF(AND(C955&gt;=Staffing!$F$21,C955&lt;=Staffing!$G$21,1=1),IF(C955&lt;=6,Staffing!$H$21,IF(C955&lt;=15,Staffing!$I$21,IF(C955&lt;=30,Staffing!$J$21,Staffing!$K$21))),0)</f>
        <v>2</v>
      </c>
      <c r="F955" s="10" t="n">
        <f aca="false">E955*Staffing!$L$21/12*(1+Assumptions!$D$10)^INT((C955-1)/12)*1</f>
        <v>28271.5818666667</v>
      </c>
      <c r="G955" s="10" t="n">
        <f aca="false">F955*Staffing!$N$21</f>
        <v>11308.6327466667</v>
      </c>
      <c r="H955" s="10" t="n">
        <f aca="false">F955+G955</f>
        <v>39580.2146133333</v>
      </c>
      <c r="I955" s="10" t="n">
        <f aca="false">0</f>
        <v>0</v>
      </c>
      <c r="J955" s="10" t="n">
        <f aca="false">MAX(0,E955-E954)*Staffing!$O$21</f>
        <v>0</v>
      </c>
      <c r="K955" s="10" t="n">
        <f aca="false">MAX(0,E955-E954)*Staffing!$P$21</f>
        <v>0</v>
      </c>
      <c r="L955" s="23" t="n">
        <f aca="false">ROUNDUP(E955,0)</f>
        <v>2</v>
      </c>
    </row>
    <row r="956" customFormat="false" ht="15" hidden="false" customHeight="false" outlineLevel="0" collapsed="false">
      <c r="A956" s="6" t="s">
        <v>4</v>
      </c>
      <c r="B956" s="6" t="s">
        <v>332</v>
      </c>
      <c r="C956" s="6" t="n">
        <v>51</v>
      </c>
      <c r="D956" s="25" t="n">
        <f aca="false">EDATE('Start Here'!$B$6,C956-1)</f>
        <v>47849</v>
      </c>
      <c r="E956" s="11" t="n">
        <f aca="false">IF(AND(C956&gt;=Staffing!$F$21,C956&lt;=Staffing!$G$21,1=1),IF(C956&lt;=6,Staffing!$H$21,IF(C956&lt;=15,Staffing!$I$21,IF(C956&lt;=30,Staffing!$J$21,Staffing!$K$21))),0)</f>
        <v>2</v>
      </c>
      <c r="F956" s="10" t="n">
        <f aca="false">E956*Staffing!$L$21/12*(1+Assumptions!$D$10)^INT((C956-1)/12)*1</f>
        <v>28271.5818666667</v>
      </c>
      <c r="G956" s="10" t="n">
        <f aca="false">F956*Staffing!$N$21</f>
        <v>11308.6327466667</v>
      </c>
      <c r="H956" s="10" t="n">
        <f aca="false">F956+G956</f>
        <v>39580.2146133333</v>
      </c>
      <c r="I956" s="10" t="n">
        <f aca="false">0</f>
        <v>0</v>
      </c>
      <c r="J956" s="10" t="n">
        <f aca="false">MAX(0,E956-E955)*Staffing!$O$21</f>
        <v>0</v>
      </c>
      <c r="K956" s="10" t="n">
        <f aca="false">MAX(0,E956-E955)*Staffing!$P$21</f>
        <v>0</v>
      </c>
      <c r="L956" s="23" t="n">
        <f aca="false">ROUNDUP(E956,0)</f>
        <v>2</v>
      </c>
    </row>
    <row r="957" customFormat="false" ht="15" hidden="false" customHeight="false" outlineLevel="0" collapsed="false">
      <c r="A957" s="6" t="s">
        <v>4</v>
      </c>
      <c r="B957" s="6" t="s">
        <v>332</v>
      </c>
      <c r="C957" s="6" t="n">
        <v>52</v>
      </c>
      <c r="D957" s="25" t="n">
        <f aca="false">EDATE('Start Here'!$B$6,C957-1)</f>
        <v>47880</v>
      </c>
      <c r="E957" s="11" t="n">
        <f aca="false">IF(AND(C957&gt;=Staffing!$F$21,C957&lt;=Staffing!$G$21,1=1),IF(C957&lt;=6,Staffing!$H$21,IF(C957&lt;=15,Staffing!$I$21,IF(C957&lt;=30,Staffing!$J$21,Staffing!$K$21))),0)</f>
        <v>2</v>
      </c>
      <c r="F957" s="10" t="n">
        <f aca="false">E957*Staffing!$L$21/12*(1+Assumptions!$D$10)^INT((C957-1)/12)*1</f>
        <v>28271.5818666667</v>
      </c>
      <c r="G957" s="10" t="n">
        <f aca="false">F957*Staffing!$N$21</f>
        <v>11308.6327466667</v>
      </c>
      <c r="H957" s="10" t="n">
        <f aca="false">F957+G957</f>
        <v>39580.2146133333</v>
      </c>
      <c r="I957" s="10" t="n">
        <f aca="false">0</f>
        <v>0</v>
      </c>
      <c r="J957" s="10" t="n">
        <f aca="false">MAX(0,E957-E956)*Staffing!$O$21</f>
        <v>0</v>
      </c>
      <c r="K957" s="10" t="n">
        <f aca="false">MAX(0,E957-E956)*Staffing!$P$21</f>
        <v>0</v>
      </c>
      <c r="L957" s="23" t="n">
        <f aca="false">ROUNDUP(E957,0)</f>
        <v>2</v>
      </c>
    </row>
    <row r="958" customFormat="false" ht="15" hidden="false" customHeight="false" outlineLevel="0" collapsed="false">
      <c r="A958" s="6" t="s">
        <v>4</v>
      </c>
      <c r="B958" s="6" t="s">
        <v>332</v>
      </c>
      <c r="C958" s="6" t="n">
        <v>53</v>
      </c>
      <c r="D958" s="25" t="n">
        <f aca="false">EDATE('Start Here'!$B$6,C958-1)</f>
        <v>47908</v>
      </c>
      <c r="E958" s="11" t="n">
        <f aca="false">IF(AND(C958&gt;=Staffing!$F$21,C958&lt;=Staffing!$G$21,1=1),IF(C958&lt;=6,Staffing!$H$21,IF(C958&lt;=15,Staffing!$I$21,IF(C958&lt;=30,Staffing!$J$21,Staffing!$K$21))),0)</f>
        <v>2</v>
      </c>
      <c r="F958" s="10" t="n">
        <f aca="false">E958*Staffing!$L$21/12*(1+Assumptions!$D$10)^INT((C958-1)/12)*1</f>
        <v>28271.5818666667</v>
      </c>
      <c r="G958" s="10" t="n">
        <f aca="false">F958*Staffing!$N$21</f>
        <v>11308.6327466667</v>
      </c>
      <c r="H958" s="10" t="n">
        <f aca="false">F958+G958</f>
        <v>39580.2146133333</v>
      </c>
      <c r="I958" s="10" t="n">
        <f aca="false">0</f>
        <v>0</v>
      </c>
      <c r="J958" s="10" t="n">
        <f aca="false">MAX(0,E958-E957)*Staffing!$O$21</f>
        <v>0</v>
      </c>
      <c r="K958" s="10" t="n">
        <f aca="false">MAX(0,E958-E957)*Staffing!$P$21</f>
        <v>0</v>
      </c>
      <c r="L958" s="23" t="n">
        <f aca="false">ROUNDUP(E958,0)</f>
        <v>2</v>
      </c>
    </row>
    <row r="959" customFormat="false" ht="15" hidden="false" customHeight="false" outlineLevel="0" collapsed="false">
      <c r="A959" s="6" t="s">
        <v>4</v>
      </c>
      <c r="B959" s="6" t="s">
        <v>332</v>
      </c>
      <c r="C959" s="6" t="n">
        <v>54</v>
      </c>
      <c r="D959" s="25" t="n">
        <f aca="false">EDATE('Start Here'!$B$6,C959-1)</f>
        <v>47939</v>
      </c>
      <c r="E959" s="11" t="n">
        <f aca="false">IF(AND(C959&gt;=Staffing!$F$21,C959&lt;=Staffing!$G$21,1=1),IF(C959&lt;=6,Staffing!$H$21,IF(C959&lt;=15,Staffing!$I$21,IF(C959&lt;=30,Staffing!$J$21,Staffing!$K$21))),0)</f>
        <v>2</v>
      </c>
      <c r="F959" s="10" t="n">
        <f aca="false">E959*Staffing!$L$21/12*(1+Assumptions!$D$10)^INT((C959-1)/12)*1</f>
        <v>28271.5818666667</v>
      </c>
      <c r="G959" s="10" t="n">
        <f aca="false">F959*Staffing!$N$21</f>
        <v>11308.6327466667</v>
      </c>
      <c r="H959" s="10" t="n">
        <f aca="false">F959+G959</f>
        <v>39580.2146133333</v>
      </c>
      <c r="I959" s="10" t="n">
        <f aca="false">0</f>
        <v>0</v>
      </c>
      <c r="J959" s="10" t="n">
        <f aca="false">MAX(0,E959-E958)*Staffing!$O$21</f>
        <v>0</v>
      </c>
      <c r="K959" s="10" t="n">
        <f aca="false">MAX(0,E959-E958)*Staffing!$P$21</f>
        <v>0</v>
      </c>
      <c r="L959" s="23" t="n">
        <f aca="false">ROUNDUP(E959,0)</f>
        <v>2</v>
      </c>
    </row>
    <row r="960" customFormat="false" ht="15" hidden="false" customHeight="false" outlineLevel="0" collapsed="false">
      <c r="A960" s="6" t="s">
        <v>4</v>
      </c>
      <c r="B960" s="6" t="s">
        <v>332</v>
      </c>
      <c r="C960" s="6" t="n">
        <v>55</v>
      </c>
      <c r="D960" s="25" t="n">
        <f aca="false">EDATE('Start Here'!$B$6,C960-1)</f>
        <v>47969</v>
      </c>
      <c r="E960" s="11" t="n">
        <f aca="false">IF(AND(C960&gt;=Staffing!$F$21,C960&lt;=Staffing!$G$21,1=1),IF(C960&lt;=6,Staffing!$H$21,IF(C960&lt;=15,Staffing!$I$21,IF(C960&lt;=30,Staffing!$J$21,Staffing!$K$21))),0)</f>
        <v>2</v>
      </c>
      <c r="F960" s="10" t="n">
        <f aca="false">E960*Staffing!$L$21/12*(1+Assumptions!$D$10)^INT((C960-1)/12)*1</f>
        <v>28271.5818666667</v>
      </c>
      <c r="G960" s="10" t="n">
        <f aca="false">F960*Staffing!$N$21</f>
        <v>11308.6327466667</v>
      </c>
      <c r="H960" s="10" t="n">
        <f aca="false">F960+G960</f>
        <v>39580.2146133333</v>
      </c>
      <c r="I960" s="10" t="n">
        <f aca="false">0</f>
        <v>0</v>
      </c>
      <c r="J960" s="10" t="n">
        <f aca="false">MAX(0,E960-E959)*Staffing!$O$21</f>
        <v>0</v>
      </c>
      <c r="K960" s="10" t="n">
        <f aca="false">MAX(0,E960-E959)*Staffing!$P$21</f>
        <v>0</v>
      </c>
      <c r="L960" s="23" t="n">
        <f aca="false">ROUNDUP(E960,0)</f>
        <v>2</v>
      </c>
    </row>
    <row r="961" customFormat="false" ht="15" hidden="false" customHeight="false" outlineLevel="0" collapsed="false">
      <c r="A961" s="6" t="s">
        <v>4</v>
      </c>
      <c r="B961" s="6" t="s">
        <v>332</v>
      </c>
      <c r="C961" s="6" t="n">
        <v>56</v>
      </c>
      <c r="D961" s="25" t="n">
        <f aca="false">EDATE('Start Here'!$B$6,C961-1)</f>
        <v>48000</v>
      </c>
      <c r="E961" s="11" t="n">
        <f aca="false">IF(AND(C961&gt;=Staffing!$F$21,C961&lt;=Staffing!$G$21,1=1),IF(C961&lt;=6,Staffing!$H$21,IF(C961&lt;=15,Staffing!$I$21,IF(C961&lt;=30,Staffing!$J$21,Staffing!$K$21))),0)</f>
        <v>2</v>
      </c>
      <c r="F961" s="10" t="n">
        <f aca="false">E961*Staffing!$L$21/12*(1+Assumptions!$D$10)^INT((C961-1)/12)*1</f>
        <v>28271.5818666667</v>
      </c>
      <c r="G961" s="10" t="n">
        <f aca="false">F961*Staffing!$N$21</f>
        <v>11308.6327466667</v>
      </c>
      <c r="H961" s="10" t="n">
        <f aca="false">F961+G961</f>
        <v>39580.2146133333</v>
      </c>
      <c r="I961" s="10" t="n">
        <f aca="false">0</f>
        <v>0</v>
      </c>
      <c r="J961" s="10" t="n">
        <f aca="false">MAX(0,E961-E960)*Staffing!$O$21</f>
        <v>0</v>
      </c>
      <c r="K961" s="10" t="n">
        <f aca="false">MAX(0,E961-E960)*Staffing!$P$21</f>
        <v>0</v>
      </c>
      <c r="L961" s="23" t="n">
        <f aca="false">ROUNDUP(E961,0)</f>
        <v>2</v>
      </c>
    </row>
    <row r="962" customFormat="false" ht="15" hidden="false" customHeight="false" outlineLevel="0" collapsed="false">
      <c r="A962" s="6" t="s">
        <v>4</v>
      </c>
      <c r="B962" s="6" t="s">
        <v>332</v>
      </c>
      <c r="C962" s="6" t="n">
        <v>57</v>
      </c>
      <c r="D962" s="25" t="n">
        <f aca="false">EDATE('Start Here'!$B$6,C962-1)</f>
        <v>48030</v>
      </c>
      <c r="E962" s="11" t="n">
        <f aca="false">IF(AND(C962&gt;=Staffing!$F$21,C962&lt;=Staffing!$G$21,1=1),IF(C962&lt;=6,Staffing!$H$21,IF(C962&lt;=15,Staffing!$I$21,IF(C962&lt;=30,Staffing!$J$21,Staffing!$K$21))),0)</f>
        <v>2</v>
      </c>
      <c r="F962" s="10" t="n">
        <f aca="false">E962*Staffing!$L$21/12*(1+Assumptions!$D$10)^INT((C962-1)/12)*1</f>
        <v>28271.5818666667</v>
      </c>
      <c r="G962" s="10" t="n">
        <f aca="false">F962*Staffing!$N$21</f>
        <v>11308.6327466667</v>
      </c>
      <c r="H962" s="10" t="n">
        <f aca="false">F962+G962</f>
        <v>39580.2146133333</v>
      </c>
      <c r="I962" s="10" t="n">
        <f aca="false">0</f>
        <v>0</v>
      </c>
      <c r="J962" s="10" t="n">
        <f aca="false">MAX(0,E962-E961)*Staffing!$O$21</f>
        <v>0</v>
      </c>
      <c r="K962" s="10" t="n">
        <f aca="false">MAX(0,E962-E961)*Staffing!$P$21</f>
        <v>0</v>
      </c>
      <c r="L962" s="23" t="n">
        <f aca="false">ROUNDUP(E962,0)</f>
        <v>2</v>
      </c>
    </row>
    <row r="963" customFormat="false" ht="15" hidden="false" customHeight="false" outlineLevel="0" collapsed="false">
      <c r="A963" s="6" t="s">
        <v>4</v>
      </c>
      <c r="B963" s="6" t="s">
        <v>332</v>
      </c>
      <c r="C963" s="6" t="n">
        <v>58</v>
      </c>
      <c r="D963" s="25" t="n">
        <f aca="false">EDATE('Start Here'!$B$6,C963-1)</f>
        <v>48061</v>
      </c>
      <c r="E963" s="11" t="n">
        <f aca="false">IF(AND(C963&gt;=Staffing!$F$21,C963&lt;=Staffing!$G$21,1=1),IF(C963&lt;=6,Staffing!$H$21,IF(C963&lt;=15,Staffing!$I$21,IF(C963&lt;=30,Staffing!$J$21,Staffing!$K$21))),0)</f>
        <v>2</v>
      </c>
      <c r="F963" s="10" t="n">
        <f aca="false">E963*Staffing!$L$21/12*(1+Assumptions!$D$10)^INT((C963-1)/12)*1</f>
        <v>28271.5818666667</v>
      </c>
      <c r="G963" s="10" t="n">
        <f aca="false">F963*Staffing!$N$21</f>
        <v>11308.6327466667</v>
      </c>
      <c r="H963" s="10" t="n">
        <f aca="false">F963+G963</f>
        <v>39580.2146133333</v>
      </c>
      <c r="I963" s="10" t="n">
        <f aca="false">0</f>
        <v>0</v>
      </c>
      <c r="J963" s="10" t="n">
        <f aca="false">MAX(0,E963-E962)*Staffing!$O$21</f>
        <v>0</v>
      </c>
      <c r="K963" s="10" t="n">
        <f aca="false">MAX(0,E963-E962)*Staffing!$P$21</f>
        <v>0</v>
      </c>
      <c r="L963" s="23" t="n">
        <f aca="false">ROUNDUP(E963,0)</f>
        <v>2</v>
      </c>
    </row>
    <row r="964" customFormat="false" ht="15" hidden="false" customHeight="false" outlineLevel="0" collapsed="false">
      <c r="A964" s="6" t="s">
        <v>4</v>
      </c>
      <c r="B964" s="6" t="s">
        <v>332</v>
      </c>
      <c r="C964" s="6" t="n">
        <v>59</v>
      </c>
      <c r="D964" s="25" t="n">
        <f aca="false">EDATE('Start Here'!$B$6,C964-1)</f>
        <v>48092</v>
      </c>
      <c r="E964" s="11" t="n">
        <f aca="false">IF(AND(C964&gt;=Staffing!$F$21,C964&lt;=Staffing!$G$21,1=1),IF(C964&lt;=6,Staffing!$H$21,IF(C964&lt;=15,Staffing!$I$21,IF(C964&lt;=30,Staffing!$J$21,Staffing!$K$21))),0)</f>
        <v>2</v>
      </c>
      <c r="F964" s="10" t="n">
        <f aca="false">E964*Staffing!$L$21/12*(1+Assumptions!$D$10)^INT((C964-1)/12)*1</f>
        <v>28271.5818666667</v>
      </c>
      <c r="G964" s="10" t="n">
        <f aca="false">F964*Staffing!$N$21</f>
        <v>11308.6327466667</v>
      </c>
      <c r="H964" s="10" t="n">
        <f aca="false">F964+G964</f>
        <v>39580.2146133333</v>
      </c>
      <c r="I964" s="10" t="n">
        <f aca="false">0</f>
        <v>0</v>
      </c>
      <c r="J964" s="10" t="n">
        <f aca="false">MAX(0,E964-E963)*Staffing!$O$21</f>
        <v>0</v>
      </c>
      <c r="K964" s="10" t="n">
        <f aca="false">MAX(0,E964-E963)*Staffing!$P$21</f>
        <v>0</v>
      </c>
      <c r="L964" s="23" t="n">
        <f aca="false">ROUNDUP(E964,0)</f>
        <v>2</v>
      </c>
    </row>
    <row r="965" customFormat="false" ht="15" hidden="false" customHeight="false" outlineLevel="0" collapsed="false">
      <c r="A965" s="6" t="s">
        <v>4</v>
      </c>
      <c r="B965" s="6" t="s">
        <v>332</v>
      </c>
      <c r="C965" s="6" t="n">
        <v>60</v>
      </c>
      <c r="D965" s="25" t="n">
        <f aca="false">EDATE('Start Here'!$B$6,C965-1)</f>
        <v>48122</v>
      </c>
      <c r="E965" s="11" t="n">
        <f aca="false">IF(AND(C965&gt;=Staffing!$F$21,C965&lt;=Staffing!$G$21,1=1),IF(C965&lt;=6,Staffing!$H$21,IF(C965&lt;=15,Staffing!$I$21,IF(C965&lt;=30,Staffing!$J$21,Staffing!$K$21))),0)</f>
        <v>2</v>
      </c>
      <c r="F965" s="10" t="n">
        <f aca="false">E965*Staffing!$L$21/12*(1+Assumptions!$D$10)^INT((C965-1)/12)*1</f>
        <v>28271.5818666667</v>
      </c>
      <c r="G965" s="10" t="n">
        <f aca="false">F965*Staffing!$N$21</f>
        <v>11308.6327466667</v>
      </c>
      <c r="H965" s="10" t="n">
        <f aca="false">F965+G965</f>
        <v>39580.2146133333</v>
      </c>
      <c r="I965" s="10" t="n">
        <f aca="false">0</f>
        <v>0</v>
      </c>
      <c r="J965" s="10" t="n">
        <f aca="false">MAX(0,E965-E964)*Staffing!$O$21</f>
        <v>0</v>
      </c>
      <c r="K965" s="10" t="n">
        <f aca="false">MAX(0,E965-E964)*Staffing!$P$21</f>
        <v>0</v>
      </c>
      <c r="L965" s="23" t="n">
        <f aca="false">ROUNDUP(E965,0)</f>
        <v>2</v>
      </c>
    </row>
    <row r="966" customFormat="false" ht="15" hidden="false" customHeight="false" outlineLevel="0" collapsed="false">
      <c r="A966" s="6" t="s">
        <v>4</v>
      </c>
      <c r="B966" s="6" t="s">
        <v>334</v>
      </c>
      <c r="C966" s="6" t="n">
        <v>1</v>
      </c>
      <c r="D966" s="25" t="n">
        <f aca="false">EDATE('Start Here'!$B$6,C966-1)</f>
        <v>46327</v>
      </c>
      <c r="E966" s="23" t="n">
        <f aca="false">IF(AND(C966&gt;=Staffing!$F$22,C966&lt;=Staffing!$G$22,1=1),IF(C966&lt;=6,Staffing!$H$22,IF(C966&lt;=15,Staffing!$I$22,IF(C966&lt;=30,Staffing!$J$22,Staffing!$K$22))),0)</f>
        <v>0</v>
      </c>
      <c r="F966" s="10" t="n">
        <f aca="false">E966*Staffing!$L$22/12*(1+Assumptions!$D$10)^INT((C966-1)/12)*1</f>
        <v>0</v>
      </c>
      <c r="G966" s="10" t="n">
        <f aca="false">F966*Staffing!$N$22</f>
        <v>0</v>
      </c>
      <c r="H966" s="10" t="n">
        <f aca="false">F966+G966</f>
        <v>0</v>
      </c>
      <c r="I966" s="10" t="n">
        <f aca="false">0</f>
        <v>0</v>
      </c>
      <c r="J966" s="10" t="n">
        <f aca="false">MAX(0,E966-0)*Staffing!$O$22</f>
        <v>0</v>
      </c>
      <c r="K966" s="10" t="n">
        <f aca="false">MAX(0,E966-0)*Staffing!$P$22</f>
        <v>0</v>
      </c>
      <c r="L966" s="23" t="n">
        <f aca="false">ROUNDUP(E966,0)</f>
        <v>0</v>
      </c>
    </row>
    <row r="967" customFormat="false" ht="15" hidden="false" customHeight="false" outlineLevel="0" collapsed="false">
      <c r="A967" s="6" t="s">
        <v>4</v>
      </c>
      <c r="B967" s="6" t="s">
        <v>334</v>
      </c>
      <c r="C967" s="6" t="n">
        <v>2</v>
      </c>
      <c r="D967" s="25" t="n">
        <f aca="false">EDATE('Start Here'!$B$6,C967-1)</f>
        <v>46357</v>
      </c>
      <c r="E967" s="23" t="n">
        <f aca="false">IF(AND(C967&gt;=Staffing!$F$22,C967&lt;=Staffing!$G$22,1=1),IF(C967&lt;=6,Staffing!$H$22,IF(C967&lt;=15,Staffing!$I$22,IF(C967&lt;=30,Staffing!$J$22,Staffing!$K$22))),0)</f>
        <v>0</v>
      </c>
      <c r="F967" s="10" t="n">
        <f aca="false">E967*Staffing!$L$22/12*(1+Assumptions!$D$10)^INT((C967-1)/12)*1</f>
        <v>0</v>
      </c>
      <c r="G967" s="10" t="n">
        <f aca="false">F967*Staffing!$N$22</f>
        <v>0</v>
      </c>
      <c r="H967" s="10" t="n">
        <f aca="false">F967+G967</f>
        <v>0</v>
      </c>
      <c r="I967" s="10" t="n">
        <f aca="false">0</f>
        <v>0</v>
      </c>
      <c r="J967" s="10" t="n">
        <f aca="false">MAX(0,E967-E966)*Staffing!$O$22</f>
        <v>0</v>
      </c>
      <c r="K967" s="10" t="n">
        <f aca="false">MAX(0,E967-E966)*Staffing!$P$22</f>
        <v>0</v>
      </c>
      <c r="L967" s="23" t="n">
        <f aca="false">ROUNDUP(E967,0)</f>
        <v>0</v>
      </c>
    </row>
    <row r="968" customFormat="false" ht="15" hidden="false" customHeight="false" outlineLevel="0" collapsed="false">
      <c r="A968" s="6" t="s">
        <v>4</v>
      </c>
      <c r="B968" s="6" t="s">
        <v>334</v>
      </c>
      <c r="C968" s="6" t="n">
        <v>3</v>
      </c>
      <c r="D968" s="25" t="n">
        <f aca="false">EDATE('Start Here'!$B$6,C968-1)</f>
        <v>46388</v>
      </c>
      <c r="E968" s="23" t="n">
        <f aca="false">IF(AND(C968&gt;=Staffing!$F$22,C968&lt;=Staffing!$G$22,1=1),IF(C968&lt;=6,Staffing!$H$22,IF(C968&lt;=15,Staffing!$I$22,IF(C968&lt;=30,Staffing!$J$22,Staffing!$K$22))),0)</f>
        <v>0</v>
      </c>
      <c r="F968" s="10" t="n">
        <f aca="false">E968*Staffing!$L$22/12*(1+Assumptions!$D$10)^INT((C968-1)/12)*1</f>
        <v>0</v>
      </c>
      <c r="G968" s="10" t="n">
        <f aca="false">F968*Staffing!$N$22</f>
        <v>0</v>
      </c>
      <c r="H968" s="10" t="n">
        <f aca="false">F968+G968</f>
        <v>0</v>
      </c>
      <c r="I968" s="10" t="n">
        <f aca="false">0</f>
        <v>0</v>
      </c>
      <c r="J968" s="10" t="n">
        <f aca="false">MAX(0,E968-E967)*Staffing!$O$22</f>
        <v>0</v>
      </c>
      <c r="K968" s="10" t="n">
        <f aca="false">MAX(0,E968-E967)*Staffing!$P$22</f>
        <v>0</v>
      </c>
      <c r="L968" s="23" t="n">
        <f aca="false">ROUNDUP(E968,0)</f>
        <v>0</v>
      </c>
    </row>
    <row r="969" customFormat="false" ht="15" hidden="false" customHeight="false" outlineLevel="0" collapsed="false">
      <c r="A969" s="6" t="s">
        <v>4</v>
      </c>
      <c r="B969" s="6" t="s">
        <v>334</v>
      </c>
      <c r="C969" s="6" t="n">
        <v>4</v>
      </c>
      <c r="D969" s="25" t="n">
        <f aca="false">EDATE('Start Here'!$B$6,C969-1)</f>
        <v>46419</v>
      </c>
      <c r="E969" s="11" t="n">
        <f aca="false">IF(AND(C969&gt;=Staffing!$F$22,C969&lt;=Staffing!$G$22,1=1),IF(C969&lt;=6,Staffing!$H$22,IF(C969&lt;=15,Staffing!$I$22,IF(C969&lt;=30,Staffing!$J$22,Staffing!$K$22))),0)</f>
        <v>0.5</v>
      </c>
      <c r="F969" s="10" t="n">
        <f aca="false">E969*Staffing!$L$22/12*(1+Assumptions!$D$10)^INT((C969-1)/12)*1</f>
        <v>5833.33333333333</v>
      </c>
      <c r="G969" s="10" t="n">
        <f aca="false">F969*Staffing!$N$22</f>
        <v>2333.33333333333</v>
      </c>
      <c r="H969" s="10" t="n">
        <f aca="false">F969+G969</f>
        <v>8166.66666666667</v>
      </c>
      <c r="I969" s="10" t="n">
        <f aca="false">0</f>
        <v>0</v>
      </c>
      <c r="J969" s="10" t="n">
        <f aca="false">MAX(0,E969-E968)*Staffing!$O$22</f>
        <v>4000</v>
      </c>
      <c r="K969" s="10" t="n">
        <f aca="false">MAX(0,E969-E968)*Staffing!$P$22</f>
        <v>1500</v>
      </c>
      <c r="L969" s="23" t="n">
        <f aca="false">ROUNDUP(E969,0)</f>
        <v>1</v>
      </c>
    </row>
    <row r="970" customFormat="false" ht="15" hidden="false" customHeight="false" outlineLevel="0" collapsed="false">
      <c r="A970" s="6" t="s">
        <v>4</v>
      </c>
      <c r="B970" s="6" t="s">
        <v>334</v>
      </c>
      <c r="C970" s="6" t="n">
        <v>5</v>
      </c>
      <c r="D970" s="25" t="n">
        <f aca="false">EDATE('Start Here'!$B$6,C970-1)</f>
        <v>46447</v>
      </c>
      <c r="E970" s="11" t="n">
        <f aca="false">IF(AND(C970&gt;=Staffing!$F$22,C970&lt;=Staffing!$G$22,1=1),IF(C970&lt;=6,Staffing!$H$22,IF(C970&lt;=15,Staffing!$I$22,IF(C970&lt;=30,Staffing!$J$22,Staffing!$K$22))),0)</f>
        <v>0.5</v>
      </c>
      <c r="F970" s="10" t="n">
        <f aca="false">E970*Staffing!$L$22/12*(1+Assumptions!$D$10)^INT((C970-1)/12)*1</f>
        <v>5833.33333333333</v>
      </c>
      <c r="G970" s="10" t="n">
        <f aca="false">F970*Staffing!$N$22</f>
        <v>2333.33333333333</v>
      </c>
      <c r="H970" s="10" t="n">
        <f aca="false">F970+G970</f>
        <v>8166.66666666667</v>
      </c>
      <c r="I970" s="10" t="n">
        <f aca="false">0</f>
        <v>0</v>
      </c>
      <c r="J970" s="10" t="n">
        <f aca="false">MAX(0,E970-E969)*Staffing!$O$22</f>
        <v>0</v>
      </c>
      <c r="K970" s="10" t="n">
        <f aca="false">MAX(0,E970-E969)*Staffing!$P$22</f>
        <v>0</v>
      </c>
      <c r="L970" s="23" t="n">
        <f aca="false">ROUNDUP(E970,0)</f>
        <v>1</v>
      </c>
    </row>
    <row r="971" customFormat="false" ht="15" hidden="false" customHeight="false" outlineLevel="0" collapsed="false">
      <c r="A971" s="6" t="s">
        <v>4</v>
      </c>
      <c r="B971" s="6" t="s">
        <v>334</v>
      </c>
      <c r="C971" s="6" t="n">
        <v>6</v>
      </c>
      <c r="D971" s="25" t="n">
        <f aca="false">EDATE('Start Here'!$B$6,C971-1)</f>
        <v>46478</v>
      </c>
      <c r="E971" s="11" t="n">
        <f aca="false">IF(AND(C971&gt;=Staffing!$F$22,C971&lt;=Staffing!$G$22,1=1),IF(C971&lt;=6,Staffing!$H$22,IF(C971&lt;=15,Staffing!$I$22,IF(C971&lt;=30,Staffing!$J$22,Staffing!$K$22))),0)</f>
        <v>0.5</v>
      </c>
      <c r="F971" s="10" t="n">
        <f aca="false">E971*Staffing!$L$22/12*(1+Assumptions!$D$10)^INT((C971-1)/12)*1</f>
        <v>5833.33333333333</v>
      </c>
      <c r="G971" s="10" t="n">
        <f aca="false">F971*Staffing!$N$22</f>
        <v>2333.33333333333</v>
      </c>
      <c r="H971" s="10" t="n">
        <f aca="false">F971+G971</f>
        <v>8166.66666666667</v>
      </c>
      <c r="I971" s="10" t="n">
        <f aca="false">0</f>
        <v>0</v>
      </c>
      <c r="J971" s="10" t="n">
        <f aca="false">MAX(0,E971-E970)*Staffing!$O$22</f>
        <v>0</v>
      </c>
      <c r="K971" s="10" t="n">
        <f aca="false">MAX(0,E971-E970)*Staffing!$P$22</f>
        <v>0</v>
      </c>
      <c r="L971" s="23" t="n">
        <f aca="false">ROUNDUP(E971,0)</f>
        <v>1</v>
      </c>
    </row>
    <row r="972" customFormat="false" ht="15" hidden="false" customHeight="false" outlineLevel="0" collapsed="false">
      <c r="A972" s="6" t="s">
        <v>4</v>
      </c>
      <c r="B972" s="6" t="s">
        <v>334</v>
      </c>
      <c r="C972" s="6" t="n">
        <v>7</v>
      </c>
      <c r="D972" s="25" t="n">
        <f aca="false">EDATE('Start Here'!$B$6,C972-1)</f>
        <v>46508</v>
      </c>
      <c r="E972" s="11" t="n">
        <f aca="false">IF(AND(C972&gt;=Staffing!$F$22,C972&lt;=Staffing!$G$22,1=1),IF(C972&lt;=6,Staffing!$H$22,IF(C972&lt;=15,Staffing!$I$22,IF(C972&lt;=30,Staffing!$J$22,Staffing!$K$22))),0)</f>
        <v>1</v>
      </c>
      <c r="F972" s="10" t="n">
        <f aca="false">E972*Staffing!$L$22/12*(1+Assumptions!$D$10)^INT((C972-1)/12)*1</f>
        <v>11666.6666666667</v>
      </c>
      <c r="G972" s="10" t="n">
        <f aca="false">F972*Staffing!$N$22</f>
        <v>4666.66666666667</v>
      </c>
      <c r="H972" s="10" t="n">
        <f aca="false">F972+G972</f>
        <v>16333.3333333333</v>
      </c>
      <c r="I972" s="10" t="n">
        <f aca="false">0</f>
        <v>0</v>
      </c>
      <c r="J972" s="10" t="n">
        <f aca="false">MAX(0,E972-E971)*Staffing!$O$22</f>
        <v>4000</v>
      </c>
      <c r="K972" s="10" t="n">
        <f aca="false">MAX(0,E972-E971)*Staffing!$P$22</f>
        <v>1500</v>
      </c>
      <c r="L972" s="23" t="n">
        <f aca="false">ROUNDUP(E972,0)</f>
        <v>1</v>
      </c>
    </row>
    <row r="973" customFormat="false" ht="15" hidden="false" customHeight="false" outlineLevel="0" collapsed="false">
      <c r="A973" s="6" t="s">
        <v>4</v>
      </c>
      <c r="B973" s="6" t="s">
        <v>334</v>
      </c>
      <c r="C973" s="6" t="n">
        <v>8</v>
      </c>
      <c r="D973" s="25" t="n">
        <f aca="false">EDATE('Start Here'!$B$6,C973-1)</f>
        <v>46539</v>
      </c>
      <c r="E973" s="11" t="n">
        <f aca="false">IF(AND(C973&gt;=Staffing!$F$22,C973&lt;=Staffing!$G$22,1=1),IF(C973&lt;=6,Staffing!$H$22,IF(C973&lt;=15,Staffing!$I$22,IF(C973&lt;=30,Staffing!$J$22,Staffing!$K$22))),0)</f>
        <v>1</v>
      </c>
      <c r="F973" s="10" t="n">
        <f aca="false">E973*Staffing!$L$22/12*(1+Assumptions!$D$10)^INT((C973-1)/12)*1</f>
        <v>11666.6666666667</v>
      </c>
      <c r="G973" s="10" t="n">
        <f aca="false">F973*Staffing!$N$22</f>
        <v>4666.66666666667</v>
      </c>
      <c r="H973" s="10" t="n">
        <f aca="false">F973+G973</f>
        <v>16333.3333333333</v>
      </c>
      <c r="I973" s="10" t="n">
        <f aca="false">0</f>
        <v>0</v>
      </c>
      <c r="J973" s="10" t="n">
        <f aca="false">MAX(0,E973-E972)*Staffing!$O$22</f>
        <v>0</v>
      </c>
      <c r="K973" s="10" t="n">
        <f aca="false">MAX(0,E973-E972)*Staffing!$P$22</f>
        <v>0</v>
      </c>
      <c r="L973" s="23" t="n">
        <f aca="false">ROUNDUP(E973,0)</f>
        <v>1</v>
      </c>
    </row>
    <row r="974" customFormat="false" ht="15" hidden="false" customHeight="false" outlineLevel="0" collapsed="false">
      <c r="A974" s="6" t="s">
        <v>4</v>
      </c>
      <c r="B974" s="6" t="s">
        <v>334</v>
      </c>
      <c r="C974" s="6" t="n">
        <v>9</v>
      </c>
      <c r="D974" s="25" t="n">
        <f aca="false">EDATE('Start Here'!$B$6,C974-1)</f>
        <v>46569</v>
      </c>
      <c r="E974" s="11" t="n">
        <f aca="false">IF(AND(C974&gt;=Staffing!$F$22,C974&lt;=Staffing!$G$22,1=1),IF(C974&lt;=6,Staffing!$H$22,IF(C974&lt;=15,Staffing!$I$22,IF(C974&lt;=30,Staffing!$J$22,Staffing!$K$22))),0)</f>
        <v>1</v>
      </c>
      <c r="F974" s="10" t="n">
        <f aca="false">E974*Staffing!$L$22/12*(1+Assumptions!$D$10)^INT((C974-1)/12)*1</f>
        <v>11666.6666666667</v>
      </c>
      <c r="G974" s="10" t="n">
        <f aca="false">F974*Staffing!$N$22</f>
        <v>4666.66666666667</v>
      </c>
      <c r="H974" s="10" t="n">
        <f aca="false">F974+G974</f>
        <v>16333.3333333333</v>
      </c>
      <c r="I974" s="10" t="n">
        <f aca="false">0</f>
        <v>0</v>
      </c>
      <c r="J974" s="10" t="n">
        <f aca="false">MAX(0,E974-E973)*Staffing!$O$22</f>
        <v>0</v>
      </c>
      <c r="K974" s="10" t="n">
        <f aca="false">MAX(0,E974-E973)*Staffing!$P$22</f>
        <v>0</v>
      </c>
      <c r="L974" s="23" t="n">
        <f aca="false">ROUNDUP(E974,0)</f>
        <v>1</v>
      </c>
    </row>
    <row r="975" customFormat="false" ht="15" hidden="false" customHeight="false" outlineLevel="0" collapsed="false">
      <c r="A975" s="6" t="s">
        <v>4</v>
      </c>
      <c r="B975" s="6" t="s">
        <v>334</v>
      </c>
      <c r="C975" s="6" t="n">
        <v>10</v>
      </c>
      <c r="D975" s="25" t="n">
        <f aca="false">EDATE('Start Here'!$B$6,C975-1)</f>
        <v>46600</v>
      </c>
      <c r="E975" s="11" t="n">
        <f aca="false">IF(AND(C975&gt;=Staffing!$F$22,C975&lt;=Staffing!$G$22,1=1),IF(C975&lt;=6,Staffing!$H$22,IF(C975&lt;=15,Staffing!$I$22,IF(C975&lt;=30,Staffing!$J$22,Staffing!$K$22))),0)</f>
        <v>1</v>
      </c>
      <c r="F975" s="10" t="n">
        <f aca="false">E975*Staffing!$L$22/12*(1+Assumptions!$D$10)^INT((C975-1)/12)*1</f>
        <v>11666.6666666667</v>
      </c>
      <c r="G975" s="10" t="n">
        <f aca="false">F975*Staffing!$N$22</f>
        <v>4666.66666666667</v>
      </c>
      <c r="H975" s="10" t="n">
        <f aca="false">F975+G975</f>
        <v>16333.3333333333</v>
      </c>
      <c r="I975" s="10" t="n">
        <f aca="false">0</f>
        <v>0</v>
      </c>
      <c r="J975" s="10" t="n">
        <f aca="false">MAX(0,E975-E974)*Staffing!$O$22</f>
        <v>0</v>
      </c>
      <c r="K975" s="10" t="n">
        <f aca="false">MAX(0,E975-E974)*Staffing!$P$22</f>
        <v>0</v>
      </c>
      <c r="L975" s="23" t="n">
        <f aca="false">ROUNDUP(E975,0)</f>
        <v>1</v>
      </c>
    </row>
    <row r="976" customFormat="false" ht="15" hidden="false" customHeight="false" outlineLevel="0" collapsed="false">
      <c r="A976" s="6" t="s">
        <v>4</v>
      </c>
      <c r="B976" s="6" t="s">
        <v>334</v>
      </c>
      <c r="C976" s="6" t="n">
        <v>11</v>
      </c>
      <c r="D976" s="25" t="n">
        <f aca="false">EDATE('Start Here'!$B$6,C976-1)</f>
        <v>46631</v>
      </c>
      <c r="E976" s="11" t="n">
        <f aca="false">IF(AND(C976&gt;=Staffing!$F$22,C976&lt;=Staffing!$G$22,1=1),IF(C976&lt;=6,Staffing!$H$22,IF(C976&lt;=15,Staffing!$I$22,IF(C976&lt;=30,Staffing!$J$22,Staffing!$K$22))),0)</f>
        <v>1</v>
      </c>
      <c r="F976" s="10" t="n">
        <f aca="false">E976*Staffing!$L$22/12*(1+Assumptions!$D$10)^INT((C976-1)/12)*1</f>
        <v>11666.6666666667</v>
      </c>
      <c r="G976" s="10" t="n">
        <f aca="false">F976*Staffing!$N$22</f>
        <v>4666.66666666667</v>
      </c>
      <c r="H976" s="10" t="n">
        <f aca="false">F976+G976</f>
        <v>16333.3333333333</v>
      </c>
      <c r="I976" s="10" t="n">
        <f aca="false">0</f>
        <v>0</v>
      </c>
      <c r="J976" s="10" t="n">
        <f aca="false">MAX(0,E976-E975)*Staffing!$O$22</f>
        <v>0</v>
      </c>
      <c r="K976" s="10" t="n">
        <f aca="false">MAX(0,E976-E975)*Staffing!$P$22</f>
        <v>0</v>
      </c>
      <c r="L976" s="23" t="n">
        <f aca="false">ROUNDUP(E976,0)</f>
        <v>1</v>
      </c>
    </row>
    <row r="977" customFormat="false" ht="15" hidden="false" customHeight="false" outlineLevel="0" collapsed="false">
      <c r="A977" s="6" t="s">
        <v>4</v>
      </c>
      <c r="B977" s="6" t="s">
        <v>334</v>
      </c>
      <c r="C977" s="6" t="n">
        <v>12</v>
      </c>
      <c r="D977" s="25" t="n">
        <f aca="false">EDATE('Start Here'!$B$6,C977-1)</f>
        <v>46661</v>
      </c>
      <c r="E977" s="11" t="n">
        <f aca="false">IF(AND(C977&gt;=Staffing!$F$22,C977&lt;=Staffing!$G$22,1=1),IF(C977&lt;=6,Staffing!$H$22,IF(C977&lt;=15,Staffing!$I$22,IF(C977&lt;=30,Staffing!$J$22,Staffing!$K$22))),0)</f>
        <v>1</v>
      </c>
      <c r="F977" s="10" t="n">
        <f aca="false">E977*Staffing!$L$22/12*(1+Assumptions!$D$10)^INT((C977-1)/12)*1</f>
        <v>11666.6666666667</v>
      </c>
      <c r="G977" s="10" t="n">
        <f aca="false">F977*Staffing!$N$22</f>
        <v>4666.66666666667</v>
      </c>
      <c r="H977" s="10" t="n">
        <f aca="false">F977+G977</f>
        <v>16333.3333333333</v>
      </c>
      <c r="I977" s="10" t="n">
        <f aca="false">0</f>
        <v>0</v>
      </c>
      <c r="J977" s="10" t="n">
        <f aca="false">MAX(0,E977-E976)*Staffing!$O$22</f>
        <v>0</v>
      </c>
      <c r="K977" s="10" t="n">
        <f aca="false">MAX(0,E977-E976)*Staffing!$P$22</f>
        <v>0</v>
      </c>
      <c r="L977" s="23" t="n">
        <f aca="false">ROUNDUP(E977,0)</f>
        <v>1</v>
      </c>
    </row>
    <row r="978" customFormat="false" ht="15" hidden="false" customHeight="false" outlineLevel="0" collapsed="false">
      <c r="A978" s="6" t="s">
        <v>4</v>
      </c>
      <c r="B978" s="6" t="s">
        <v>334</v>
      </c>
      <c r="C978" s="6" t="n">
        <v>13</v>
      </c>
      <c r="D978" s="25" t="n">
        <f aca="false">EDATE('Start Here'!$B$6,C978-1)</f>
        <v>46692</v>
      </c>
      <c r="E978" s="11" t="n">
        <f aca="false">IF(AND(C978&gt;=Staffing!$F$22,C978&lt;=Staffing!$G$22,1=1),IF(C978&lt;=6,Staffing!$H$22,IF(C978&lt;=15,Staffing!$I$22,IF(C978&lt;=30,Staffing!$J$22,Staffing!$K$22))),0)</f>
        <v>1</v>
      </c>
      <c r="F978" s="10" t="n">
        <f aca="false">E978*Staffing!$L$22/12*(1+Assumptions!$D$10)^INT((C978-1)/12)*1</f>
        <v>12133.3333333333</v>
      </c>
      <c r="G978" s="10" t="n">
        <f aca="false">F978*Staffing!$N$22</f>
        <v>4853.33333333333</v>
      </c>
      <c r="H978" s="10" t="n">
        <f aca="false">F978+G978</f>
        <v>16986.6666666667</v>
      </c>
      <c r="I978" s="10" t="n">
        <f aca="false">0</f>
        <v>0</v>
      </c>
      <c r="J978" s="10" t="n">
        <f aca="false">MAX(0,E978-E977)*Staffing!$O$22</f>
        <v>0</v>
      </c>
      <c r="K978" s="10" t="n">
        <f aca="false">MAX(0,E978-E977)*Staffing!$P$22</f>
        <v>0</v>
      </c>
      <c r="L978" s="23" t="n">
        <f aca="false">ROUNDUP(E978,0)</f>
        <v>1</v>
      </c>
    </row>
    <row r="979" customFormat="false" ht="15" hidden="false" customHeight="false" outlineLevel="0" collapsed="false">
      <c r="A979" s="6" t="s">
        <v>4</v>
      </c>
      <c r="B979" s="6" t="s">
        <v>334</v>
      </c>
      <c r="C979" s="6" t="n">
        <v>14</v>
      </c>
      <c r="D979" s="25" t="n">
        <f aca="false">EDATE('Start Here'!$B$6,C979-1)</f>
        <v>46722</v>
      </c>
      <c r="E979" s="11" t="n">
        <f aca="false">IF(AND(C979&gt;=Staffing!$F$22,C979&lt;=Staffing!$G$22,1=1),IF(C979&lt;=6,Staffing!$H$22,IF(C979&lt;=15,Staffing!$I$22,IF(C979&lt;=30,Staffing!$J$22,Staffing!$K$22))),0)</f>
        <v>1</v>
      </c>
      <c r="F979" s="10" t="n">
        <f aca="false">E979*Staffing!$L$22/12*(1+Assumptions!$D$10)^INT((C979-1)/12)*1</f>
        <v>12133.3333333333</v>
      </c>
      <c r="G979" s="10" t="n">
        <f aca="false">F979*Staffing!$N$22</f>
        <v>4853.33333333333</v>
      </c>
      <c r="H979" s="10" t="n">
        <f aca="false">F979+G979</f>
        <v>16986.6666666667</v>
      </c>
      <c r="I979" s="10" t="n">
        <f aca="false">0</f>
        <v>0</v>
      </c>
      <c r="J979" s="10" t="n">
        <f aca="false">MAX(0,E979-E978)*Staffing!$O$22</f>
        <v>0</v>
      </c>
      <c r="K979" s="10" t="n">
        <f aca="false">MAX(0,E979-E978)*Staffing!$P$22</f>
        <v>0</v>
      </c>
      <c r="L979" s="23" t="n">
        <f aca="false">ROUNDUP(E979,0)</f>
        <v>1</v>
      </c>
    </row>
    <row r="980" customFormat="false" ht="15" hidden="false" customHeight="false" outlineLevel="0" collapsed="false">
      <c r="A980" s="6" t="s">
        <v>4</v>
      </c>
      <c r="B980" s="6" t="s">
        <v>334</v>
      </c>
      <c r="C980" s="6" t="n">
        <v>15</v>
      </c>
      <c r="D980" s="25" t="n">
        <f aca="false">EDATE('Start Here'!$B$6,C980-1)</f>
        <v>46753</v>
      </c>
      <c r="E980" s="11" t="n">
        <f aca="false">IF(AND(C980&gt;=Staffing!$F$22,C980&lt;=Staffing!$G$22,1=1),IF(C980&lt;=6,Staffing!$H$22,IF(C980&lt;=15,Staffing!$I$22,IF(C980&lt;=30,Staffing!$J$22,Staffing!$K$22))),0)</f>
        <v>1</v>
      </c>
      <c r="F980" s="10" t="n">
        <f aca="false">E980*Staffing!$L$22/12*(1+Assumptions!$D$10)^INT((C980-1)/12)*1</f>
        <v>12133.3333333333</v>
      </c>
      <c r="G980" s="10" t="n">
        <f aca="false">F980*Staffing!$N$22</f>
        <v>4853.33333333333</v>
      </c>
      <c r="H980" s="10" t="n">
        <f aca="false">F980+G980</f>
        <v>16986.6666666667</v>
      </c>
      <c r="I980" s="10" t="n">
        <f aca="false">0</f>
        <v>0</v>
      </c>
      <c r="J980" s="10" t="n">
        <f aca="false">MAX(0,E980-E979)*Staffing!$O$22</f>
        <v>0</v>
      </c>
      <c r="K980" s="10" t="n">
        <f aca="false">MAX(0,E980-E979)*Staffing!$P$22</f>
        <v>0</v>
      </c>
      <c r="L980" s="23" t="n">
        <f aca="false">ROUNDUP(E980,0)</f>
        <v>1</v>
      </c>
    </row>
    <row r="981" customFormat="false" ht="15" hidden="false" customHeight="false" outlineLevel="0" collapsed="false">
      <c r="A981" s="6" t="s">
        <v>4</v>
      </c>
      <c r="B981" s="6" t="s">
        <v>334</v>
      </c>
      <c r="C981" s="6" t="n">
        <v>16</v>
      </c>
      <c r="D981" s="25" t="n">
        <f aca="false">EDATE('Start Here'!$B$6,C981-1)</f>
        <v>46784</v>
      </c>
      <c r="E981" s="11" t="n">
        <f aca="false">IF(AND(C981&gt;=Staffing!$F$22,C981&lt;=Staffing!$G$22,1=1),IF(C981&lt;=6,Staffing!$H$22,IF(C981&lt;=15,Staffing!$I$22,IF(C981&lt;=30,Staffing!$J$22,Staffing!$K$22))),0)</f>
        <v>1</v>
      </c>
      <c r="F981" s="10" t="n">
        <f aca="false">E981*Staffing!$L$22/12*(1+Assumptions!$D$10)^INT((C981-1)/12)*1</f>
        <v>12133.3333333333</v>
      </c>
      <c r="G981" s="10" t="n">
        <f aca="false">F981*Staffing!$N$22</f>
        <v>4853.33333333333</v>
      </c>
      <c r="H981" s="10" t="n">
        <f aca="false">F981+G981</f>
        <v>16986.6666666667</v>
      </c>
      <c r="I981" s="10" t="n">
        <f aca="false">0</f>
        <v>0</v>
      </c>
      <c r="J981" s="10" t="n">
        <f aca="false">MAX(0,E981-E980)*Staffing!$O$22</f>
        <v>0</v>
      </c>
      <c r="K981" s="10" t="n">
        <f aca="false">MAX(0,E981-E980)*Staffing!$P$22</f>
        <v>0</v>
      </c>
      <c r="L981" s="23" t="n">
        <f aca="false">ROUNDUP(E981,0)</f>
        <v>1</v>
      </c>
    </row>
    <row r="982" customFormat="false" ht="15" hidden="false" customHeight="false" outlineLevel="0" collapsed="false">
      <c r="A982" s="6" t="s">
        <v>4</v>
      </c>
      <c r="B982" s="6" t="s">
        <v>334</v>
      </c>
      <c r="C982" s="6" t="n">
        <v>17</v>
      </c>
      <c r="D982" s="25" t="n">
        <f aca="false">EDATE('Start Here'!$B$6,C982-1)</f>
        <v>46813</v>
      </c>
      <c r="E982" s="11" t="n">
        <f aca="false">IF(AND(C982&gt;=Staffing!$F$22,C982&lt;=Staffing!$G$22,1=1),IF(C982&lt;=6,Staffing!$H$22,IF(C982&lt;=15,Staffing!$I$22,IF(C982&lt;=30,Staffing!$J$22,Staffing!$K$22))),0)</f>
        <v>1</v>
      </c>
      <c r="F982" s="10" t="n">
        <f aca="false">E982*Staffing!$L$22/12*(1+Assumptions!$D$10)^INT((C982-1)/12)*1</f>
        <v>12133.3333333333</v>
      </c>
      <c r="G982" s="10" t="n">
        <f aca="false">F982*Staffing!$N$22</f>
        <v>4853.33333333333</v>
      </c>
      <c r="H982" s="10" t="n">
        <f aca="false">F982+G982</f>
        <v>16986.6666666667</v>
      </c>
      <c r="I982" s="10" t="n">
        <f aca="false">0</f>
        <v>0</v>
      </c>
      <c r="J982" s="10" t="n">
        <f aca="false">MAX(0,E982-E981)*Staffing!$O$22</f>
        <v>0</v>
      </c>
      <c r="K982" s="10" t="n">
        <f aca="false">MAX(0,E982-E981)*Staffing!$P$22</f>
        <v>0</v>
      </c>
      <c r="L982" s="23" t="n">
        <f aca="false">ROUNDUP(E982,0)</f>
        <v>1</v>
      </c>
    </row>
    <row r="983" customFormat="false" ht="15" hidden="false" customHeight="false" outlineLevel="0" collapsed="false">
      <c r="A983" s="6" t="s">
        <v>4</v>
      </c>
      <c r="B983" s="6" t="s">
        <v>334</v>
      </c>
      <c r="C983" s="6" t="n">
        <v>18</v>
      </c>
      <c r="D983" s="25" t="n">
        <f aca="false">EDATE('Start Here'!$B$6,C983-1)</f>
        <v>46844</v>
      </c>
      <c r="E983" s="11" t="n">
        <f aca="false">IF(AND(C983&gt;=Staffing!$F$22,C983&lt;=Staffing!$G$22,1=1),IF(C983&lt;=6,Staffing!$H$22,IF(C983&lt;=15,Staffing!$I$22,IF(C983&lt;=30,Staffing!$J$22,Staffing!$K$22))),0)</f>
        <v>1</v>
      </c>
      <c r="F983" s="10" t="n">
        <f aca="false">E983*Staffing!$L$22/12*(1+Assumptions!$D$10)^INT((C983-1)/12)*1</f>
        <v>12133.3333333333</v>
      </c>
      <c r="G983" s="10" t="n">
        <f aca="false">F983*Staffing!$N$22</f>
        <v>4853.33333333333</v>
      </c>
      <c r="H983" s="10" t="n">
        <f aca="false">F983+G983</f>
        <v>16986.6666666667</v>
      </c>
      <c r="I983" s="10" t="n">
        <f aca="false">0</f>
        <v>0</v>
      </c>
      <c r="J983" s="10" t="n">
        <f aca="false">MAX(0,E983-E982)*Staffing!$O$22</f>
        <v>0</v>
      </c>
      <c r="K983" s="10" t="n">
        <f aca="false">MAX(0,E983-E982)*Staffing!$P$22</f>
        <v>0</v>
      </c>
      <c r="L983" s="23" t="n">
        <f aca="false">ROUNDUP(E983,0)</f>
        <v>1</v>
      </c>
    </row>
    <row r="984" customFormat="false" ht="15" hidden="false" customHeight="false" outlineLevel="0" collapsed="false">
      <c r="A984" s="6" t="s">
        <v>4</v>
      </c>
      <c r="B984" s="6" t="s">
        <v>334</v>
      </c>
      <c r="C984" s="6" t="n">
        <v>19</v>
      </c>
      <c r="D984" s="25" t="n">
        <f aca="false">EDATE('Start Here'!$B$6,C984-1)</f>
        <v>46874</v>
      </c>
      <c r="E984" s="11" t="n">
        <f aca="false">IF(AND(C984&gt;=Staffing!$F$22,C984&lt;=Staffing!$G$22,1=1),IF(C984&lt;=6,Staffing!$H$22,IF(C984&lt;=15,Staffing!$I$22,IF(C984&lt;=30,Staffing!$J$22,Staffing!$K$22))),0)</f>
        <v>1</v>
      </c>
      <c r="F984" s="10" t="n">
        <f aca="false">E984*Staffing!$L$22/12*(1+Assumptions!$D$10)^INT((C984-1)/12)*1</f>
        <v>12133.3333333333</v>
      </c>
      <c r="G984" s="10" t="n">
        <f aca="false">F984*Staffing!$N$22</f>
        <v>4853.33333333333</v>
      </c>
      <c r="H984" s="10" t="n">
        <f aca="false">F984+G984</f>
        <v>16986.6666666667</v>
      </c>
      <c r="I984" s="10" t="n">
        <f aca="false">0</f>
        <v>0</v>
      </c>
      <c r="J984" s="10" t="n">
        <f aca="false">MAX(0,E984-E983)*Staffing!$O$22</f>
        <v>0</v>
      </c>
      <c r="K984" s="10" t="n">
        <f aca="false">MAX(0,E984-E983)*Staffing!$P$22</f>
        <v>0</v>
      </c>
      <c r="L984" s="23" t="n">
        <f aca="false">ROUNDUP(E984,0)</f>
        <v>1</v>
      </c>
    </row>
    <row r="985" customFormat="false" ht="15" hidden="false" customHeight="false" outlineLevel="0" collapsed="false">
      <c r="A985" s="6" t="s">
        <v>4</v>
      </c>
      <c r="B985" s="6" t="s">
        <v>334</v>
      </c>
      <c r="C985" s="6" t="n">
        <v>20</v>
      </c>
      <c r="D985" s="25" t="n">
        <f aca="false">EDATE('Start Here'!$B$6,C985-1)</f>
        <v>46905</v>
      </c>
      <c r="E985" s="11" t="n">
        <f aca="false">IF(AND(C985&gt;=Staffing!$F$22,C985&lt;=Staffing!$G$22,1=1),IF(C985&lt;=6,Staffing!$H$22,IF(C985&lt;=15,Staffing!$I$22,IF(C985&lt;=30,Staffing!$J$22,Staffing!$K$22))),0)</f>
        <v>1</v>
      </c>
      <c r="F985" s="10" t="n">
        <f aca="false">E985*Staffing!$L$22/12*(1+Assumptions!$D$10)^INT((C985-1)/12)*1</f>
        <v>12133.3333333333</v>
      </c>
      <c r="G985" s="10" t="n">
        <f aca="false">F985*Staffing!$N$22</f>
        <v>4853.33333333333</v>
      </c>
      <c r="H985" s="10" t="n">
        <f aca="false">F985+G985</f>
        <v>16986.6666666667</v>
      </c>
      <c r="I985" s="10" t="n">
        <f aca="false">0</f>
        <v>0</v>
      </c>
      <c r="J985" s="10" t="n">
        <f aca="false">MAX(0,E985-E984)*Staffing!$O$22</f>
        <v>0</v>
      </c>
      <c r="K985" s="10" t="n">
        <f aca="false">MAX(0,E985-E984)*Staffing!$P$22</f>
        <v>0</v>
      </c>
      <c r="L985" s="23" t="n">
        <f aca="false">ROUNDUP(E985,0)</f>
        <v>1</v>
      </c>
    </row>
    <row r="986" customFormat="false" ht="15" hidden="false" customHeight="false" outlineLevel="0" collapsed="false">
      <c r="A986" s="6" t="s">
        <v>4</v>
      </c>
      <c r="B986" s="6" t="s">
        <v>334</v>
      </c>
      <c r="C986" s="6" t="n">
        <v>21</v>
      </c>
      <c r="D986" s="25" t="n">
        <f aca="false">EDATE('Start Here'!$B$6,C986-1)</f>
        <v>46935</v>
      </c>
      <c r="E986" s="11" t="n">
        <f aca="false">IF(AND(C986&gt;=Staffing!$F$22,C986&lt;=Staffing!$G$22,1=1),IF(C986&lt;=6,Staffing!$H$22,IF(C986&lt;=15,Staffing!$I$22,IF(C986&lt;=30,Staffing!$J$22,Staffing!$K$22))),0)</f>
        <v>1</v>
      </c>
      <c r="F986" s="10" t="n">
        <f aca="false">E986*Staffing!$L$22/12*(1+Assumptions!$D$10)^INT((C986-1)/12)*1</f>
        <v>12133.3333333333</v>
      </c>
      <c r="G986" s="10" t="n">
        <f aca="false">F986*Staffing!$N$22</f>
        <v>4853.33333333333</v>
      </c>
      <c r="H986" s="10" t="n">
        <f aca="false">F986+G986</f>
        <v>16986.6666666667</v>
      </c>
      <c r="I986" s="10" t="n">
        <f aca="false">0</f>
        <v>0</v>
      </c>
      <c r="J986" s="10" t="n">
        <f aca="false">MAX(0,E986-E985)*Staffing!$O$22</f>
        <v>0</v>
      </c>
      <c r="K986" s="10" t="n">
        <f aca="false">MAX(0,E986-E985)*Staffing!$P$22</f>
        <v>0</v>
      </c>
      <c r="L986" s="23" t="n">
        <f aca="false">ROUNDUP(E986,0)</f>
        <v>1</v>
      </c>
    </row>
    <row r="987" customFormat="false" ht="15" hidden="false" customHeight="false" outlineLevel="0" collapsed="false">
      <c r="A987" s="6" t="s">
        <v>4</v>
      </c>
      <c r="B987" s="6" t="s">
        <v>334</v>
      </c>
      <c r="C987" s="6" t="n">
        <v>22</v>
      </c>
      <c r="D987" s="25" t="n">
        <f aca="false">EDATE('Start Here'!$B$6,C987-1)</f>
        <v>46966</v>
      </c>
      <c r="E987" s="11" t="n">
        <f aca="false">IF(AND(C987&gt;=Staffing!$F$22,C987&lt;=Staffing!$G$22,1=1),IF(C987&lt;=6,Staffing!$H$22,IF(C987&lt;=15,Staffing!$I$22,IF(C987&lt;=30,Staffing!$J$22,Staffing!$K$22))),0)</f>
        <v>1</v>
      </c>
      <c r="F987" s="10" t="n">
        <f aca="false">E987*Staffing!$L$22/12*(1+Assumptions!$D$10)^INT((C987-1)/12)*1</f>
        <v>12133.3333333333</v>
      </c>
      <c r="G987" s="10" t="n">
        <f aca="false">F987*Staffing!$N$22</f>
        <v>4853.33333333333</v>
      </c>
      <c r="H987" s="10" t="n">
        <f aca="false">F987+G987</f>
        <v>16986.6666666667</v>
      </c>
      <c r="I987" s="10" t="n">
        <f aca="false">0</f>
        <v>0</v>
      </c>
      <c r="J987" s="10" t="n">
        <f aca="false">MAX(0,E987-E986)*Staffing!$O$22</f>
        <v>0</v>
      </c>
      <c r="K987" s="10" t="n">
        <f aca="false">MAX(0,E987-E986)*Staffing!$P$22</f>
        <v>0</v>
      </c>
      <c r="L987" s="23" t="n">
        <f aca="false">ROUNDUP(E987,0)</f>
        <v>1</v>
      </c>
    </row>
    <row r="988" customFormat="false" ht="15" hidden="false" customHeight="false" outlineLevel="0" collapsed="false">
      <c r="A988" s="6" t="s">
        <v>4</v>
      </c>
      <c r="B988" s="6" t="s">
        <v>334</v>
      </c>
      <c r="C988" s="6" t="n">
        <v>23</v>
      </c>
      <c r="D988" s="25" t="n">
        <f aca="false">EDATE('Start Here'!$B$6,C988-1)</f>
        <v>46997</v>
      </c>
      <c r="E988" s="11" t="n">
        <f aca="false">IF(AND(C988&gt;=Staffing!$F$22,C988&lt;=Staffing!$G$22,1=1),IF(C988&lt;=6,Staffing!$H$22,IF(C988&lt;=15,Staffing!$I$22,IF(C988&lt;=30,Staffing!$J$22,Staffing!$K$22))),0)</f>
        <v>1</v>
      </c>
      <c r="F988" s="10" t="n">
        <f aca="false">E988*Staffing!$L$22/12*(1+Assumptions!$D$10)^INT((C988-1)/12)*1</f>
        <v>12133.3333333333</v>
      </c>
      <c r="G988" s="10" t="n">
        <f aca="false">F988*Staffing!$N$22</f>
        <v>4853.33333333333</v>
      </c>
      <c r="H988" s="10" t="n">
        <f aca="false">F988+G988</f>
        <v>16986.6666666667</v>
      </c>
      <c r="I988" s="10" t="n">
        <f aca="false">0</f>
        <v>0</v>
      </c>
      <c r="J988" s="10" t="n">
        <f aca="false">MAX(0,E988-E987)*Staffing!$O$22</f>
        <v>0</v>
      </c>
      <c r="K988" s="10" t="n">
        <f aca="false">MAX(0,E988-E987)*Staffing!$P$22</f>
        <v>0</v>
      </c>
      <c r="L988" s="23" t="n">
        <f aca="false">ROUNDUP(E988,0)</f>
        <v>1</v>
      </c>
    </row>
    <row r="989" customFormat="false" ht="15" hidden="false" customHeight="false" outlineLevel="0" collapsed="false">
      <c r="A989" s="6" t="s">
        <v>4</v>
      </c>
      <c r="B989" s="6" t="s">
        <v>334</v>
      </c>
      <c r="C989" s="6" t="n">
        <v>24</v>
      </c>
      <c r="D989" s="25" t="n">
        <f aca="false">EDATE('Start Here'!$B$6,C989-1)</f>
        <v>47027</v>
      </c>
      <c r="E989" s="11" t="n">
        <f aca="false">IF(AND(C989&gt;=Staffing!$F$22,C989&lt;=Staffing!$G$22,1=1),IF(C989&lt;=6,Staffing!$H$22,IF(C989&lt;=15,Staffing!$I$22,IF(C989&lt;=30,Staffing!$J$22,Staffing!$K$22))),0)</f>
        <v>1</v>
      </c>
      <c r="F989" s="10" t="n">
        <f aca="false">E989*Staffing!$L$22/12*(1+Assumptions!$D$10)^INT((C989-1)/12)*1</f>
        <v>12133.3333333333</v>
      </c>
      <c r="G989" s="10" t="n">
        <f aca="false">F989*Staffing!$N$22</f>
        <v>4853.33333333333</v>
      </c>
      <c r="H989" s="10" t="n">
        <f aca="false">F989+G989</f>
        <v>16986.6666666667</v>
      </c>
      <c r="I989" s="10" t="n">
        <f aca="false">0</f>
        <v>0</v>
      </c>
      <c r="J989" s="10" t="n">
        <f aca="false">MAX(0,E989-E988)*Staffing!$O$22</f>
        <v>0</v>
      </c>
      <c r="K989" s="10" t="n">
        <f aca="false">MAX(0,E989-E988)*Staffing!$P$22</f>
        <v>0</v>
      </c>
      <c r="L989" s="23" t="n">
        <f aca="false">ROUNDUP(E989,0)</f>
        <v>1</v>
      </c>
    </row>
    <row r="990" customFormat="false" ht="15" hidden="false" customHeight="false" outlineLevel="0" collapsed="false">
      <c r="A990" s="6" t="s">
        <v>4</v>
      </c>
      <c r="B990" s="6" t="s">
        <v>334</v>
      </c>
      <c r="C990" s="6" t="n">
        <v>25</v>
      </c>
      <c r="D990" s="25" t="n">
        <f aca="false">EDATE('Start Here'!$B$6,C990-1)</f>
        <v>47058</v>
      </c>
      <c r="E990" s="11" t="n">
        <f aca="false">IF(AND(C990&gt;=Staffing!$F$22,C990&lt;=Staffing!$G$22,1=1),IF(C990&lt;=6,Staffing!$H$22,IF(C990&lt;=15,Staffing!$I$22,IF(C990&lt;=30,Staffing!$J$22,Staffing!$K$22))),0)</f>
        <v>1</v>
      </c>
      <c r="F990" s="10" t="n">
        <f aca="false">E990*Staffing!$L$22/12*(1+Assumptions!$D$10)^INT((C990-1)/12)*1</f>
        <v>12618.6666666667</v>
      </c>
      <c r="G990" s="10" t="n">
        <f aca="false">F990*Staffing!$N$22</f>
        <v>5047.46666666667</v>
      </c>
      <c r="H990" s="10" t="n">
        <f aca="false">F990+G990</f>
        <v>17666.1333333333</v>
      </c>
      <c r="I990" s="10" t="n">
        <f aca="false">0</f>
        <v>0</v>
      </c>
      <c r="J990" s="10" t="n">
        <f aca="false">MAX(0,E990-E989)*Staffing!$O$22</f>
        <v>0</v>
      </c>
      <c r="K990" s="10" t="n">
        <f aca="false">MAX(0,E990-E989)*Staffing!$P$22</f>
        <v>0</v>
      </c>
      <c r="L990" s="23" t="n">
        <f aca="false">ROUNDUP(E990,0)</f>
        <v>1</v>
      </c>
    </row>
    <row r="991" customFormat="false" ht="15" hidden="false" customHeight="false" outlineLevel="0" collapsed="false">
      <c r="A991" s="6" t="s">
        <v>4</v>
      </c>
      <c r="B991" s="6" t="s">
        <v>334</v>
      </c>
      <c r="C991" s="6" t="n">
        <v>26</v>
      </c>
      <c r="D991" s="25" t="n">
        <f aca="false">EDATE('Start Here'!$B$6,C991-1)</f>
        <v>47088</v>
      </c>
      <c r="E991" s="11" t="n">
        <f aca="false">IF(AND(C991&gt;=Staffing!$F$22,C991&lt;=Staffing!$G$22,1=1),IF(C991&lt;=6,Staffing!$H$22,IF(C991&lt;=15,Staffing!$I$22,IF(C991&lt;=30,Staffing!$J$22,Staffing!$K$22))),0)</f>
        <v>1</v>
      </c>
      <c r="F991" s="10" t="n">
        <f aca="false">E991*Staffing!$L$22/12*(1+Assumptions!$D$10)^INT((C991-1)/12)*1</f>
        <v>12618.6666666667</v>
      </c>
      <c r="G991" s="10" t="n">
        <f aca="false">F991*Staffing!$N$22</f>
        <v>5047.46666666667</v>
      </c>
      <c r="H991" s="10" t="n">
        <f aca="false">F991+G991</f>
        <v>17666.1333333333</v>
      </c>
      <c r="I991" s="10" t="n">
        <f aca="false">0</f>
        <v>0</v>
      </c>
      <c r="J991" s="10" t="n">
        <f aca="false">MAX(0,E991-E990)*Staffing!$O$22</f>
        <v>0</v>
      </c>
      <c r="K991" s="10" t="n">
        <f aca="false">MAX(0,E991-E990)*Staffing!$P$22</f>
        <v>0</v>
      </c>
      <c r="L991" s="23" t="n">
        <f aca="false">ROUNDUP(E991,0)</f>
        <v>1</v>
      </c>
    </row>
    <row r="992" customFormat="false" ht="15" hidden="false" customHeight="false" outlineLevel="0" collapsed="false">
      <c r="A992" s="6" t="s">
        <v>4</v>
      </c>
      <c r="B992" s="6" t="s">
        <v>334</v>
      </c>
      <c r="C992" s="6" t="n">
        <v>27</v>
      </c>
      <c r="D992" s="25" t="n">
        <f aca="false">EDATE('Start Here'!$B$6,C992-1)</f>
        <v>47119</v>
      </c>
      <c r="E992" s="11" t="n">
        <f aca="false">IF(AND(C992&gt;=Staffing!$F$22,C992&lt;=Staffing!$G$22,1=1),IF(C992&lt;=6,Staffing!$H$22,IF(C992&lt;=15,Staffing!$I$22,IF(C992&lt;=30,Staffing!$J$22,Staffing!$K$22))),0)</f>
        <v>1</v>
      </c>
      <c r="F992" s="10" t="n">
        <f aca="false">E992*Staffing!$L$22/12*(1+Assumptions!$D$10)^INT((C992-1)/12)*1</f>
        <v>12618.6666666667</v>
      </c>
      <c r="G992" s="10" t="n">
        <f aca="false">F992*Staffing!$N$22</f>
        <v>5047.46666666667</v>
      </c>
      <c r="H992" s="10" t="n">
        <f aca="false">F992+G992</f>
        <v>17666.1333333333</v>
      </c>
      <c r="I992" s="10" t="n">
        <f aca="false">0</f>
        <v>0</v>
      </c>
      <c r="J992" s="10" t="n">
        <f aca="false">MAX(0,E992-E991)*Staffing!$O$22</f>
        <v>0</v>
      </c>
      <c r="K992" s="10" t="n">
        <f aca="false">MAX(0,E992-E991)*Staffing!$P$22</f>
        <v>0</v>
      </c>
      <c r="L992" s="23" t="n">
        <f aca="false">ROUNDUP(E992,0)</f>
        <v>1</v>
      </c>
    </row>
    <row r="993" customFormat="false" ht="15" hidden="false" customHeight="false" outlineLevel="0" collapsed="false">
      <c r="A993" s="6" t="s">
        <v>4</v>
      </c>
      <c r="B993" s="6" t="s">
        <v>334</v>
      </c>
      <c r="C993" s="6" t="n">
        <v>28</v>
      </c>
      <c r="D993" s="25" t="n">
        <f aca="false">EDATE('Start Here'!$B$6,C993-1)</f>
        <v>47150</v>
      </c>
      <c r="E993" s="11" t="n">
        <f aca="false">IF(AND(C993&gt;=Staffing!$F$22,C993&lt;=Staffing!$G$22,1=1),IF(C993&lt;=6,Staffing!$H$22,IF(C993&lt;=15,Staffing!$I$22,IF(C993&lt;=30,Staffing!$J$22,Staffing!$K$22))),0)</f>
        <v>1</v>
      </c>
      <c r="F993" s="10" t="n">
        <f aca="false">E993*Staffing!$L$22/12*(1+Assumptions!$D$10)^INT((C993-1)/12)*1</f>
        <v>12618.6666666667</v>
      </c>
      <c r="G993" s="10" t="n">
        <f aca="false">F993*Staffing!$N$22</f>
        <v>5047.46666666667</v>
      </c>
      <c r="H993" s="10" t="n">
        <f aca="false">F993+G993</f>
        <v>17666.1333333333</v>
      </c>
      <c r="I993" s="10" t="n">
        <f aca="false">0</f>
        <v>0</v>
      </c>
      <c r="J993" s="10" t="n">
        <f aca="false">MAX(0,E993-E992)*Staffing!$O$22</f>
        <v>0</v>
      </c>
      <c r="K993" s="10" t="n">
        <f aca="false">MAX(0,E993-E992)*Staffing!$P$22</f>
        <v>0</v>
      </c>
      <c r="L993" s="23" t="n">
        <f aca="false">ROUNDUP(E993,0)</f>
        <v>1</v>
      </c>
    </row>
    <row r="994" customFormat="false" ht="15" hidden="false" customHeight="false" outlineLevel="0" collapsed="false">
      <c r="A994" s="6" t="s">
        <v>4</v>
      </c>
      <c r="B994" s="6" t="s">
        <v>334</v>
      </c>
      <c r="C994" s="6" t="n">
        <v>29</v>
      </c>
      <c r="D994" s="25" t="n">
        <f aca="false">EDATE('Start Here'!$B$6,C994-1)</f>
        <v>47178</v>
      </c>
      <c r="E994" s="11" t="n">
        <f aca="false">IF(AND(C994&gt;=Staffing!$F$22,C994&lt;=Staffing!$G$22,1=1),IF(C994&lt;=6,Staffing!$H$22,IF(C994&lt;=15,Staffing!$I$22,IF(C994&lt;=30,Staffing!$J$22,Staffing!$K$22))),0)</f>
        <v>1</v>
      </c>
      <c r="F994" s="10" t="n">
        <f aca="false">E994*Staffing!$L$22/12*(1+Assumptions!$D$10)^INT((C994-1)/12)*1</f>
        <v>12618.6666666667</v>
      </c>
      <c r="G994" s="10" t="n">
        <f aca="false">F994*Staffing!$N$22</f>
        <v>5047.46666666667</v>
      </c>
      <c r="H994" s="10" t="n">
        <f aca="false">F994+G994</f>
        <v>17666.1333333333</v>
      </c>
      <c r="I994" s="10" t="n">
        <f aca="false">0</f>
        <v>0</v>
      </c>
      <c r="J994" s="10" t="n">
        <f aca="false">MAX(0,E994-E993)*Staffing!$O$22</f>
        <v>0</v>
      </c>
      <c r="K994" s="10" t="n">
        <f aca="false">MAX(0,E994-E993)*Staffing!$P$22</f>
        <v>0</v>
      </c>
      <c r="L994" s="23" t="n">
        <f aca="false">ROUNDUP(E994,0)</f>
        <v>1</v>
      </c>
    </row>
    <row r="995" customFormat="false" ht="15" hidden="false" customHeight="false" outlineLevel="0" collapsed="false">
      <c r="A995" s="6" t="s">
        <v>4</v>
      </c>
      <c r="B995" s="6" t="s">
        <v>334</v>
      </c>
      <c r="C995" s="6" t="n">
        <v>30</v>
      </c>
      <c r="D995" s="25" t="n">
        <f aca="false">EDATE('Start Here'!$B$6,C995-1)</f>
        <v>47209</v>
      </c>
      <c r="E995" s="11" t="n">
        <f aca="false">IF(AND(C995&gt;=Staffing!$F$22,C995&lt;=Staffing!$G$22,1=1),IF(C995&lt;=6,Staffing!$H$22,IF(C995&lt;=15,Staffing!$I$22,IF(C995&lt;=30,Staffing!$J$22,Staffing!$K$22))),0)</f>
        <v>1</v>
      </c>
      <c r="F995" s="10" t="n">
        <f aca="false">E995*Staffing!$L$22/12*(1+Assumptions!$D$10)^INT((C995-1)/12)*1</f>
        <v>12618.6666666667</v>
      </c>
      <c r="G995" s="10" t="n">
        <f aca="false">F995*Staffing!$N$22</f>
        <v>5047.46666666667</v>
      </c>
      <c r="H995" s="10" t="n">
        <f aca="false">F995+G995</f>
        <v>17666.1333333333</v>
      </c>
      <c r="I995" s="10" t="n">
        <f aca="false">0</f>
        <v>0</v>
      </c>
      <c r="J995" s="10" t="n">
        <f aca="false">MAX(0,E995-E994)*Staffing!$O$22</f>
        <v>0</v>
      </c>
      <c r="K995" s="10" t="n">
        <f aca="false">MAX(0,E995-E994)*Staffing!$P$22</f>
        <v>0</v>
      </c>
      <c r="L995" s="23" t="n">
        <f aca="false">ROUNDUP(E995,0)</f>
        <v>1</v>
      </c>
    </row>
    <row r="996" customFormat="false" ht="15" hidden="false" customHeight="false" outlineLevel="0" collapsed="false">
      <c r="A996" s="6" t="s">
        <v>4</v>
      </c>
      <c r="B996" s="6" t="s">
        <v>334</v>
      </c>
      <c r="C996" s="6" t="n">
        <v>31</v>
      </c>
      <c r="D996" s="25" t="n">
        <f aca="false">EDATE('Start Here'!$B$6,C996-1)</f>
        <v>47239</v>
      </c>
      <c r="E996" s="11" t="n">
        <f aca="false">IF(AND(C996&gt;=Staffing!$F$22,C996&lt;=Staffing!$G$22,1=1),IF(C996&lt;=6,Staffing!$H$22,IF(C996&lt;=15,Staffing!$I$22,IF(C996&lt;=30,Staffing!$J$22,Staffing!$K$22))),0)</f>
        <v>2</v>
      </c>
      <c r="F996" s="10" t="n">
        <f aca="false">E996*Staffing!$L$22/12*(1+Assumptions!$D$10)^INT((C996-1)/12)*1</f>
        <v>25237.3333333333</v>
      </c>
      <c r="G996" s="10" t="n">
        <f aca="false">F996*Staffing!$N$22</f>
        <v>10094.9333333333</v>
      </c>
      <c r="H996" s="10" t="n">
        <f aca="false">F996+G996</f>
        <v>35332.2666666667</v>
      </c>
      <c r="I996" s="10" t="n">
        <f aca="false">0</f>
        <v>0</v>
      </c>
      <c r="J996" s="10" t="n">
        <f aca="false">MAX(0,E996-E995)*Staffing!$O$22</f>
        <v>8000</v>
      </c>
      <c r="K996" s="10" t="n">
        <f aca="false">MAX(0,E996-E995)*Staffing!$P$22</f>
        <v>3000</v>
      </c>
      <c r="L996" s="23" t="n">
        <f aca="false">ROUNDUP(E996,0)</f>
        <v>2</v>
      </c>
    </row>
    <row r="997" customFormat="false" ht="15" hidden="false" customHeight="false" outlineLevel="0" collapsed="false">
      <c r="A997" s="6" t="s">
        <v>4</v>
      </c>
      <c r="B997" s="6" t="s">
        <v>334</v>
      </c>
      <c r="C997" s="6" t="n">
        <v>32</v>
      </c>
      <c r="D997" s="25" t="n">
        <f aca="false">EDATE('Start Here'!$B$6,C997-1)</f>
        <v>47270</v>
      </c>
      <c r="E997" s="11" t="n">
        <f aca="false">IF(AND(C997&gt;=Staffing!$F$22,C997&lt;=Staffing!$G$22,1=1),IF(C997&lt;=6,Staffing!$H$22,IF(C997&lt;=15,Staffing!$I$22,IF(C997&lt;=30,Staffing!$J$22,Staffing!$K$22))),0)</f>
        <v>2</v>
      </c>
      <c r="F997" s="10" t="n">
        <f aca="false">E997*Staffing!$L$22/12*(1+Assumptions!$D$10)^INT((C997-1)/12)*1</f>
        <v>25237.3333333333</v>
      </c>
      <c r="G997" s="10" t="n">
        <f aca="false">F997*Staffing!$N$22</f>
        <v>10094.9333333333</v>
      </c>
      <c r="H997" s="10" t="n">
        <f aca="false">F997+G997</f>
        <v>35332.2666666667</v>
      </c>
      <c r="I997" s="10" t="n">
        <f aca="false">0</f>
        <v>0</v>
      </c>
      <c r="J997" s="10" t="n">
        <f aca="false">MAX(0,E997-E996)*Staffing!$O$22</f>
        <v>0</v>
      </c>
      <c r="K997" s="10" t="n">
        <f aca="false">MAX(0,E997-E996)*Staffing!$P$22</f>
        <v>0</v>
      </c>
      <c r="L997" s="23" t="n">
        <f aca="false">ROUNDUP(E997,0)</f>
        <v>2</v>
      </c>
    </row>
    <row r="998" customFormat="false" ht="15" hidden="false" customHeight="false" outlineLevel="0" collapsed="false">
      <c r="A998" s="6" t="s">
        <v>4</v>
      </c>
      <c r="B998" s="6" t="s">
        <v>334</v>
      </c>
      <c r="C998" s="6" t="n">
        <v>33</v>
      </c>
      <c r="D998" s="25" t="n">
        <f aca="false">EDATE('Start Here'!$B$6,C998-1)</f>
        <v>47300</v>
      </c>
      <c r="E998" s="11" t="n">
        <f aca="false">IF(AND(C998&gt;=Staffing!$F$22,C998&lt;=Staffing!$G$22,1=1),IF(C998&lt;=6,Staffing!$H$22,IF(C998&lt;=15,Staffing!$I$22,IF(C998&lt;=30,Staffing!$J$22,Staffing!$K$22))),0)</f>
        <v>2</v>
      </c>
      <c r="F998" s="10" t="n">
        <f aca="false">E998*Staffing!$L$22/12*(1+Assumptions!$D$10)^INT((C998-1)/12)*1</f>
        <v>25237.3333333333</v>
      </c>
      <c r="G998" s="10" t="n">
        <f aca="false">F998*Staffing!$N$22</f>
        <v>10094.9333333333</v>
      </c>
      <c r="H998" s="10" t="n">
        <f aca="false">F998+G998</f>
        <v>35332.2666666667</v>
      </c>
      <c r="I998" s="10" t="n">
        <f aca="false">0</f>
        <v>0</v>
      </c>
      <c r="J998" s="10" t="n">
        <f aca="false">MAX(0,E998-E997)*Staffing!$O$22</f>
        <v>0</v>
      </c>
      <c r="K998" s="10" t="n">
        <f aca="false">MAX(0,E998-E997)*Staffing!$P$22</f>
        <v>0</v>
      </c>
      <c r="L998" s="23" t="n">
        <f aca="false">ROUNDUP(E998,0)</f>
        <v>2</v>
      </c>
    </row>
    <row r="999" customFormat="false" ht="15" hidden="false" customHeight="false" outlineLevel="0" collapsed="false">
      <c r="A999" s="6" t="s">
        <v>4</v>
      </c>
      <c r="B999" s="6" t="s">
        <v>334</v>
      </c>
      <c r="C999" s="6" t="n">
        <v>34</v>
      </c>
      <c r="D999" s="25" t="n">
        <f aca="false">EDATE('Start Here'!$B$6,C999-1)</f>
        <v>47331</v>
      </c>
      <c r="E999" s="11" t="n">
        <f aca="false">IF(AND(C999&gt;=Staffing!$F$22,C999&lt;=Staffing!$G$22,1=1),IF(C999&lt;=6,Staffing!$H$22,IF(C999&lt;=15,Staffing!$I$22,IF(C999&lt;=30,Staffing!$J$22,Staffing!$K$22))),0)</f>
        <v>2</v>
      </c>
      <c r="F999" s="10" t="n">
        <f aca="false">E999*Staffing!$L$22/12*(1+Assumptions!$D$10)^INT((C999-1)/12)*1</f>
        <v>25237.3333333333</v>
      </c>
      <c r="G999" s="10" t="n">
        <f aca="false">F999*Staffing!$N$22</f>
        <v>10094.9333333333</v>
      </c>
      <c r="H999" s="10" t="n">
        <f aca="false">F999+G999</f>
        <v>35332.2666666667</v>
      </c>
      <c r="I999" s="10" t="n">
        <f aca="false">0</f>
        <v>0</v>
      </c>
      <c r="J999" s="10" t="n">
        <f aca="false">MAX(0,E999-E998)*Staffing!$O$22</f>
        <v>0</v>
      </c>
      <c r="K999" s="10" t="n">
        <f aca="false">MAX(0,E999-E998)*Staffing!$P$22</f>
        <v>0</v>
      </c>
      <c r="L999" s="23" t="n">
        <f aca="false">ROUNDUP(E999,0)</f>
        <v>2</v>
      </c>
    </row>
    <row r="1000" customFormat="false" ht="15" hidden="false" customHeight="false" outlineLevel="0" collapsed="false">
      <c r="A1000" s="6" t="s">
        <v>4</v>
      </c>
      <c r="B1000" s="6" t="s">
        <v>334</v>
      </c>
      <c r="C1000" s="6" t="n">
        <v>35</v>
      </c>
      <c r="D1000" s="25" t="n">
        <f aca="false">EDATE('Start Here'!$B$6,C1000-1)</f>
        <v>47362</v>
      </c>
      <c r="E1000" s="11" t="n">
        <f aca="false">IF(AND(C1000&gt;=Staffing!$F$22,C1000&lt;=Staffing!$G$22,1=1),IF(C1000&lt;=6,Staffing!$H$22,IF(C1000&lt;=15,Staffing!$I$22,IF(C1000&lt;=30,Staffing!$J$22,Staffing!$K$22))),0)</f>
        <v>2</v>
      </c>
      <c r="F1000" s="10" t="n">
        <f aca="false">E1000*Staffing!$L$22/12*(1+Assumptions!$D$10)^INT((C1000-1)/12)*1</f>
        <v>25237.3333333333</v>
      </c>
      <c r="G1000" s="10" t="n">
        <f aca="false">F1000*Staffing!$N$22</f>
        <v>10094.9333333333</v>
      </c>
      <c r="H1000" s="10" t="n">
        <f aca="false">F1000+G1000</f>
        <v>35332.2666666667</v>
      </c>
      <c r="I1000" s="10" t="n">
        <f aca="false">0</f>
        <v>0</v>
      </c>
      <c r="J1000" s="10" t="n">
        <f aca="false">MAX(0,E1000-E999)*Staffing!$O$22</f>
        <v>0</v>
      </c>
      <c r="K1000" s="10" t="n">
        <f aca="false">MAX(0,E1000-E999)*Staffing!$P$22</f>
        <v>0</v>
      </c>
      <c r="L1000" s="23" t="n">
        <f aca="false">ROUNDUP(E1000,0)</f>
        <v>2</v>
      </c>
    </row>
    <row r="1001" customFormat="false" ht="15" hidden="false" customHeight="false" outlineLevel="0" collapsed="false">
      <c r="A1001" s="6" t="s">
        <v>4</v>
      </c>
      <c r="B1001" s="6" t="s">
        <v>334</v>
      </c>
      <c r="C1001" s="6" t="n">
        <v>36</v>
      </c>
      <c r="D1001" s="25" t="n">
        <f aca="false">EDATE('Start Here'!$B$6,C1001-1)</f>
        <v>47392</v>
      </c>
      <c r="E1001" s="11" t="n">
        <f aca="false">IF(AND(C1001&gt;=Staffing!$F$22,C1001&lt;=Staffing!$G$22,1=1),IF(C1001&lt;=6,Staffing!$H$22,IF(C1001&lt;=15,Staffing!$I$22,IF(C1001&lt;=30,Staffing!$J$22,Staffing!$K$22))),0)</f>
        <v>2</v>
      </c>
      <c r="F1001" s="10" t="n">
        <f aca="false">E1001*Staffing!$L$22/12*(1+Assumptions!$D$10)^INT((C1001-1)/12)*1</f>
        <v>25237.3333333333</v>
      </c>
      <c r="G1001" s="10" t="n">
        <f aca="false">F1001*Staffing!$N$22</f>
        <v>10094.9333333333</v>
      </c>
      <c r="H1001" s="10" t="n">
        <f aca="false">F1001+G1001</f>
        <v>35332.2666666667</v>
      </c>
      <c r="I1001" s="10" t="n">
        <f aca="false">0</f>
        <v>0</v>
      </c>
      <c r="J1001" s="10" t="n">
        <f aca="false">MAX(0,E1001-E1000)*Staffing!$O$22</f>
        <v>0</v>
      </c>
      <c r="K1001" s="10" t="n">
        <f aca="false">MAX(0,E1001-E1000)*Staffing!$P$22</f>
        <v>0</v>
      </c>
      <c r="L1001" s="23" t="n">
        <f aca="false">ROUNDUP(E1001,0)</f>
        <v>2</v>
      </c>
    </row>
    <row r="1002" customFormat="false" ht="15" hidden="false" customHeight="false" outlineLevel="0" collapsed="false">
      <c r="A1002" s="6" t="s">
        <v>4</v>
      </c>
      <c r="B1002" s="6" t="s">
        <v>334</v>
      </c>
      <c r="C1002" s="6" t="n">
        <v>37</v>
      </c>
      <c r="D1002" s="25" t="n">
        <f aca="false">EDATE('Start Here'!$B$6,C1002-1)</f>
        <v>47423</v>
      </c>
      <c r="E1002" s="11" t="n">
        <f aca="false">IF(AND(C1002&gt;=Staffing!$F$22,C1002&lt;=Staffing!$G$22,1=1),IF(C1002&lt;=6,Staffing!$H$22,IF(C1002&lt;=15,Staffing!$I$22,IF(C1002&lt;=30,Staffing!$J$22,Staffing!$K$22))),0)</f>
        <v>2</v>
      </c>
      <c r="F1002" s="10" t="n">
        <f aca="false">E1002*Staffing!$L$22/12*(1+Assumptions!$D$10)^INT((C1002-1)/12)*1</f>
        <v>26246.8266666667</v>
      </c>
      <c r="G1002" s="10" t="n">
        <f aca="false">F1002*Staffing!$N$22</f>
        <v>10498.7306666667</v>
      </c>
      <c r="H1002" s="10" t="n">
        <f aca="false">F1002+G1002</f>
        <v>36745.5573333333</v>
      </c>
      <c r="I1002" s="10" t="n">
        <f aca="false">0</f>
        <v>0</v>
      </c>
      <c r="J1002" s="10" t="n">
        <f aca="false">MAX(0,E1002-E1001)*Staffing!$O$22</f>
        <v>0</v>
      </c>
      <c r="K1002" s="10" t="n">
        <f aca="false">MAX(0,E1002-E1001)*Staffing!$P$22</f>
        <v>0</v>
      </c>
      <c r="L1002" s="23" t="n">
        <f aca="false">ROUNDUP(E1002,0)</f>
        <v>2</v>
      </c>
    </row>
    <row r="1003" customFormat="false" ht="15" hidden="false" customHeight="false" outlineLevel="0" collapsed="false">
      <c r="A1003" s="6" t="s">
        <v>4</v>
      </c>
      <c r="B1003" s="6" t="s">
        <v>334</v>
      </c>
      <c r="C1003" s="6" t="n">
        <v>38</v>
      </c>
      <c r="D1003" s="25" t="n">
        <f aca="false">EDATE('Start Here'!$B$6,C1003-1)</f>
        <v>47453</v>
      </c>
      <c r="E1003" s="11" t="n">
        <f aca="false">IF(AND(C1003&gt;=Staffing!$F$22,C1003&lt;=Staffing!$G$22,1=1),IF(C1003&lt;=6,Staffing!$H$22,IF(C1003&lt;=15,Staffing!$I$22,IF(C1003&lt;=30,Staffing!$J$22,Staffing!$K$22))),0)</f>
        <v>2</v>
      </c>
      <c r="F1003" s="10" t="n">
        <f aca="false">E1003*Staffing!$L$22/12*(1+Assumptions!$D$10)^INT((C1003-1)/12)*1</f>
        <v>26246.8266666667</v>
      </c>
      <c r="G1003" s="10" t="n">
        <f aca="false">F1003*Staffing!$N$22</f>
        <v>10498.7306666667</v>
      </c>
      <c r="H1003" s="10" t="n">
        <f aca="false">F1003+G1003</f>
        <v>36745.5573333333</v>
      </c>
      <c r="I1003" s="10" t="n">
        <f aca="false">0</f>
        <v>0</v>
      </c>
      <c r="J1003" s="10" t="n">
        <f aca="false">MAX(0,E1003-E1002)*Staffing!$O$22</f>
        <v>0</v>
      </c>
      <c r="K1003" s="10" t="n">
        <f aca="false">MAX(0,E1003-E1002)*Staffing!$P$22</f>
        <v>0</v>
      </c>
      <c r="L1003" s="23" t="n">
        <f aca="false">ROUNDUP(E1003,0)</f>
        <v>2</v>
      </c>
    </row>
    <row r="1004" customFormat="false" ht="15" hidden="false" customHeight="false" outlineLevel="0" collapsed="false">
      <c r="A1004" s="6" t="s">
        <v>4</v>
      </c>
      <c r="B1004" s="6" t="s">
        <v>334</v>
      </c>
      <c r="C1004" s="6" t="n">
        <v>39</v>
      </c>
      <c r="D1004" s="25" t="n">
        <f aca="false">EDATE('Start Here'!$B$6,C1004-1)</f>
        <v>47484</v>
      </c>
      <c r="E1004" s="11" t="n">
        <f aca="false">IF(AND(C1004&gt;=Staffing!$F$22,C1004&lt;=Staffing!$G$22,1=1),IF(C1004&lt;=6,Staffing!$H$22,IF(C1004&lt;=15,Staffing!$I$22,IF(C1004&lt;=30,Staffing!$J$22,Staffing!$K$22))),0)</f>
        <v>2</v>
      </c>
      <c r="F1004" s="10" t="n">
        <f aca="false">E1004*Staffing!$L$22/12*(1+Assumptions!$D$10)^INT((C1004-1)/12)*1</f>
        <v>26246.8266666667</v>
      </c>
      <c r="G1004" s="10" t="n">
        <f aca="false">F1004*Staffing!$N$22</f>
        <v>10498.7306666667</v>
      </c>
      <c r="H1004" s="10" t="n">
        <f aca="false">F1004+G1004</f>
        <v>36745.5573333333</v>
      </c>
      <c r="I1004" s="10" t="n">
        <f aca="false">0</f>
        <v>0</v>
      </c>
      <c r="J1004" s="10" t="n">
        <f aca="false">MAX(0,E1004-E1003)*Staffing!$O$22</f>
        <v>0</v>
      </c>
      <c r="K1004" s="10" t="n">
        <f aca="false">MAX(0,E1004-E1003)*Staffing!$P$22</f>
        <v>0</v>
      </c>
      <c r="L1004" s="23" t="n">
        <f aca="false">ROUNDUP(E1004,0)</f>
        <v>2</v>
      </c>
    </row>
    <row r="1005" customFormat="false" ht="15" hidden="false" customHeight="false" outlineLevel="0" collapsed="false">
      <c r="A1005" s="6" t="s">
        <v>4</v>
      </c>
      <c r="B1005" s="6" t="s">
        <v>334</v>
      </c>
      <c r="C1005" s="6" t="n">
        <v>40</v>
      </c>
      <c r="D1005" s="25" t="n">
        <f aca="false">EDATE('Start Here'!$B$6,C1005-1)</f>
        <v>47515</v>
      </c>
      <c r="E1005" s="11" t="n">
        <f aca="false">IF(AND(C1005&gt;=Staffing!$F$22,C1005&lt;=Staffing!$G$22,1=1),IF(C1005&lt;=6,Staffing!$H$22,IF(C1005&lt;=15,Staffing!$I$22,IF(C1005&lt;=30,Staffing!$J$22,Staffing!$K$22))),0)</f>
        <v>2</v>
      </c>
      <c r="F1005" s="10" t="n">
        <f aca="false">E1005*Staffing!$L$22/12*(1+Assumptions!$D$10)^INT((C1005-1)/12)*1</f>
        <v>26246.8266666667</v>
      </c>
      <c r="G1005" s="10" t="n">
        <f aca="false">F1005*Staffing!$N$22</f>
        <v>10498.7306666667</v>
      </c>
      <c r="H1005" s="10" t="n">
        <f aca="false">F1005+G1005</f>
        <v>36745.5573333333</v>
      </c>
      <c r="I1005" s="10" t="n">
        <f aca="false">0</f>
        <v>0</v>
      </c>
      <c r="J1005" s="10" t="n">
        <f aca="false">MAX(0,E1005-E1004)*Staffing!$O$22</f>
        <v>0</v>
      </c>
      <c r="K1005" s="10" t="n">
        <f aca="false">MAX(0,E1005-E1004)*Staffing!$P$22</f>
        <v>0</v>
      </c>
      <c r="L1005" s="23" t="n">
        <f aca="false">ROUNDUP(E1005,0)</f>
        <v>2</v>
      </c>
    </row>
    <row r="1006" customFormat="false" ht="15" hidden="false" customHeight="false" outlineLevel="0" collapsed="false">
      <c r="A1006" s="6" t="s">
        <v>4</v>
      </c>
      <c r="B1006" s="6" t="s">
        <v>334</v>
      </c>
      <c r="C1006" s="6" t="n">
        <v>41</v>
      </c>
      <c r="D1006" s="25" t="n">
        <f aca="false">EDATE('Start Here'!$B$6,C1006-1)</f>
        <v>47543</v>
      </c>
      <c r="E1006" s="11" t="n">
        <f aca="false">IF(AND(C1006&gt;=Staffing!$F$22,C1006&lt;=Staffing!$G$22,1=1),IF(C1006&lt;=6,Staffing!$H$22,IF(C1006&lt;=15,Staffing!$I$22,IF(C1006&lt;=30,Staffing!$J$22,Staffing!$K$22))),0)</f>
        <v>2</v>
      </c>
      <c r="F1006" s="10" t="n">
        <f aca="false">E1006*Staffing!$L$22/12*(1+Assumptions!$D$10)^INT((C1006-1)/12)*1</f>
        <v>26246.8266666667</v>
      </c>
      <c r="G1006" s="10" t="n">
        <f aca="false">F1006*Staffing!$N$22</f>
        <v>10498.7306666667</v>
      </c>
      <c r="H1006" s="10" t="n">
        <f aca="false">F1006+G1006</f>
        <v>36745.5573333333</v>
      </c>
      <c r="I1006" s="10" t="n">
        <f aca="false">0</f>
        <v>0</v>
      </c>
      <c r="J1006" s="10" t="n">
        <f aca="false">MAX(0,E1006-E1005)*Staffing!$O$22</f>
        <v>0</v>
      </c>
      <c r="K1006" s="10" t="n">
        <f aca="false">MAX(0,E1006-E1005)*Staffing!$P$22</f>
        <v>0</v>
      </c>
      <c r="L1006" s="23" t="n">
        <f aca="false">ROUNDUP(E1006,0)</f>
        <v>2</v>
      </c>
    </row>
    <row r="1007" customFormat="false" ht="15" hidden="false" customHeight="false" outlineLevel="0" collapsed="false">
      <c r="A1007" s="6" t="s">
        <v>4</v>
      </c>
      <c r="B1007" s="6" t="s">
        <v>334</v>
      </c>
      <c r="C1007" s="6" t="n">
        <v>42</v>
      </c>
      <c r="D1007" s="25" t="n">
        <f aca="false">EDATE('Start Here'!$B$6,C1007-1)</f>
        <v>47574</v>
      </c>
      <c r="E1007" s="11" t="n">
        <f aca="false">IF(AND(C1007&gt;=Staffing!$F$22,C1007&lt;=Staffing!$G$22,1=1),IF(C1007&lt;=6,Staffing!$H$22,IF(C1007&lt;=15,Staffing!$I$22,IF(C1007&lt;=30,Staffing!$J$22,Staffing!$K$22))),0)</f>
        <v>2</v>
      </c>
      <c r="F1007" s="10" t="n">
        <f aca="false">E1007*Staffing!$L$22/12*(1+Assumptions!$D$10)^INT((C1007-1)/12)*1</f>
        <v>26246.8266666667</v>
      </c>
      <c r="G1007" s="10" t="n">
        <f aca="false">F1007*Staffing!$N$22</f>
        <v>10498.7306666667</v>
      </c>
      <c r="H1007" s="10" t="n">
        <f aca="false">F1007+G1007</f>
        <v>36745.5573333333</v>
      </c>
      <c r="I1007" s="10" t="n">
        <f aca="false">0</f>
        <v>0</v>
      </c>
      <c r="J1007" s="10" t="n">
        <f aca="false">MAX(0,E1007-E1006)*Staffing!$O$22</f>
        <v>0</v>
      </c>
      <c r="K1007" s="10" t="n">
        <f aca="false">MAX(0,E1007-E1006)*Staffing!$P$22</f>
        <v>0</v>
      </c>
      <c r="L1007" s="23" t="n">
        <f aca="false">ROUNDUP(E1007,0)</f>
        <v>2</v>
      </c>
    </row>
    <row r="1008" customFormat="false" ht="15" hidden="false" customHeight="false" outlineLevel="0" collapsed="false">
      <c r="A1008" s="6" t="s">
        <v>4</v>
      </c>
      <c r="B1008" s="6" t="s">
        <v>334</v>
      </c>
      <c r="C1008" s="6" t="n">
        <v>43</v>
      </c>
      <c r="D1008" s="25" t="n">
        <f aca="false">EDATE('Start Here'!$B$6,C1008-1)</f>
        <v>47604</v>
      </c>
      <c r="E1008" s="11" t="n">
        <f aca="false">IF(AND(C1008&gt;=Staffing!$F$22,C1008&lt;=Staffing!$G$22,1=1),IF(C1008&lt;=6,Staffing!$H$22,IF(C1008&lt;=15,Staffing!$I$22,IF(C1008&lt;=30,Staffing!$J$22,Staffing!$K$22))),0)</f>
        <v>2</v>
      </c>
      <c r="F1008" s="10" t="n">
        <f aca="false">E1008*Staffing!$L$22/12*(1+Assumptions!$D$10)^INT((C1008-1)/12)*1</f>
        <v>26246.8266666667</v>
      </c>
      <c r="G1008" s="10" t="n">
        <f aca="false">F1008*Staffing!$N$22</f>
        <v>10498.7306666667</v>
      </c>
      <c r="H1008" s="10" t="n">
        <f aca="false">F1008+G1008</f>
        <v>36745.5573333333</v>
      </c>
      <c r="I1008" s="10" t="n">
        <f aca="false">0</f>
        <v>0</v>
      </c>
      <c r="J1008" s="10" t="n">
        <f aca="false">MAX(0,E1008-E1007)*Staffing!$O$22</f>
        <v>0</v>
      </c>
      <c r="K1008" s="10" t="n">
        <f aca="false">MAX(0,E1008-E1007)*Staffing!$P$22</f>
        <v>0</v>
      </c>
      <c r="L1008" s="23" t="n">
        <f aca="false">ROUNDUP(E1008,0)</f>
        <v>2</v>
      </c>
    </row>
    <row r="1009" customFormat="false" ht="15" hidden="false" customHeight="false" outlineLevel="0" collapsed="false">
      <c r="A1009" s="6" t="s">
        <v>4</v>
      </c>
      <c r="B1009" s="6" t="s">
        <v>334</v>
      </c>
      <c r="C1009" s="6" t="n">
        <v>44</v>
      </c>
      <c r="D1009" s="25" t="n">
        <f aca="false">EDATE('Start Here'!$B$6,C1009-1)</f>
        <v>47635</v>
      </c>
      <c r="E1009" s="11" t="n">
        <f aca="false">IF(AND(C1009&gt;=Staffing!$F$22,C1009&lt;=Staffing!$G$22,1=1),IF(C1009&lt;=6,Staffing!$H$22,IF(C1009&lt;=15,Staffing!$I$22,IF(C1009&lt;=30,Staffing!$J$22,Staffing!$K$22))),0)</f>
        <v>2</v>
      </c>
      <c r="F1009" s="10" t="n">
        <f aca="false">E1009*Staffing!$L$22/12*(1+Assumptions!$D$10)^INT((C1009-1)/12)*1</f>
        <v>26246.8266666667</v>
      </c>
      <c r="G1009" s="10" t="n">
        <f aca="false">F1009*Staffing!$N$22</f>
        <v>10498.7306666667</v>
      </c>
      <c r="H1009" s="10" t="n">
        <f aca="false">F1009+G1009</f>
        <v>36745.5573333333</v>
      </c>
      <c r="I1009" s="10" t="n">
        <f aca="false">0</f>
        <v>0</v>
      </c>
      <c r="J1009" s="10" t="n">
        <f aca="false">MAX(0,E1009-E1008)*Staffing!$O$22</f>
        <v>0</v>
      </c>
      <c r="K1009" s="10" t="n">
        <f aca="false">MAX(0,E1009-E1008)*Staffing!$P$22</f>
        <v>0</v>
      </c>
      <c r="L1009" s="23" t="n">
        <f aca="false">ROUNDUP(E1009,0)</f>
        <v>2</v>
      </c>
    </row>
    <row r="1010" customFormat="false" ht="15" hidden="false" customHeight="false" outlineLevel="0" collapsed="false">
      <c r="A1010" s="6" t="s">
        <v>4</v>
      </c>
      <c r="B1010" s="6" t="s">
        <v>334</v>
      </c>
      <c r="C1010" s="6" t="n">
        <v>45</v>
      </c>
      <c r="D1010" s="25" t="n">
        <f aca="false">EDATE('Start Here'!$B$6,C1010-1)</f>
        <v>47665</v>
      </c>
      <c r="E1010" s="11" t="n">
        <f aca="false">IF(AND(C1010&gt;=Staffing!$F$22,C1010&lt;=Staffing!$G$22,1=1),IF(C1010&lt;=6,Staffing!$H$22,IF(C1010&lt;=15,Staffing!$I$22,IF(C1010&lt;=30,Staffing!$J$22,Staffing!$K$22))),0)</f>
        <v>2</v>
      </c>
      <c r="F1010" s="10" t="n">
        <f aca="false">E1010*Staffing!$L$22/12*(1+Assumptions!$D$10)^INT((C1010-1)/12)*1</f>
        <v>26246.8266666667</v>
      </c>
      <c r="G1010" s="10" t="n">
        <f aca="false">F1010*Staffing!$N$22</f>
        <v>10498.7306666667</v>
      </c>
      <c r="H1010" s="10" t="n">
        <f aca="false">F1010+G1010</f>
        <v>36745.5573333333</v>
      </c>
      <c r="I1010" s="10" t="n">
        <f aca="false">0</f>
        <v>0</v>
      </c>
      <c r="J1010" s="10" t="n">
        <f aca="false">MAX(0,E1010-E1009)*Staffing!$O$22</f>
        <v>0</v>
      </c>
      <c r="K1010" s="10" t="n">
        <f aca="false">MAX(0,E1010-E1009)*Staffing!$P$22</f>
        <v>0</v>
      </c>
      <c r="L1010" s="23" t="n">
        <f aca="false">ROUNDUP(E1010,0)</f>
        <v>2</v>
      </c>
    </row>
    <row r="1011" customFormat="false" ht="15" hidden="false" customHeight="false" outlineLevel="0" collapsed="false">
      <c r="A1011" s="6" t="s">
        <v>4</v>
      </c>
      <c r="B1011" s="6" t="s">
        <v>334</v>
      </c>
      <c r="C1011" s="6" t="n">
        <v>46</v>
      </c>
      <c r="D1011" s="25" t="n">
        <f aca="false">EDATE('Start Here'!$B$6,C1011-1)</f>
        <v>47696</v>
      </c>
      <c r="E1011" s="11" t="n">
        <f aca="false">IF(AND(C1011&gt;=Staffing!$F$22,C1011&lt;=Staffing!$G$22,1=1),IF(C1011&lt;=6,Staffing!$H$22,IF(C1011&lt;=15,Staffing!$I$22,IF(C1011&lt;=30,Staffing!$J$22,Staffing!$K$22))),0)</f>
        <v>2</v>
      </c>
      <c r="F1011" s="10" t="n">
        <f aca="false">E1011*Staffing!$L$22/12*(1+Assumptions!$D$10)^INT((C1011-1)/12)*1</f>
        <v>26246.8266666667</v>
      </c>
      <c r="G1011" s="10" t="n">
        <f aca="false">F1011*Staffing!$N$22</f>
        <v>10498.7306666667</v>
      </c>
      <c r="H1011" s="10" t="n">
        <f aca="false">F1011+G1011</f>
        <v>36745.5573333333</v>
      </c>
      <c r="I1011" s="10" t="n">
        <f aca="false">0</f>
        <v>0</v>
      </c>
      <c r="J1011" s="10" t="n">
        <f aca="false">MAX(0,E1011-E1010)*Staffing!$O$22</f>
        <v>0</v>
      </c>
      <c r="K1011" s="10" t="n">
        <f aca="false">MAX(0,E1011-E1010)*Staffing!$P$22</f>
        <v>0</v>
      </c>
      <c r="L1011" s="23" t="n">
        <f aca="false">ROUNDUP(E1011,0)</f>
        <v>2</v>
      </c>
    </row>
    <row r="1012" customFormat="false" ht="15" hidden="false" customHeight="false" outlineLevel="0" collapsed="false">
      <c r="A1012" s="6" t="s">
        <v>4</v>
      </c>
      <c r="B1012" s="6" t="s">
        <v>334</v>
      </c>
      <c r="C1012" s="6" t="n">
        <v>47</v>
      </c>
      <c r="D1012" s="25" t="n">
        <f aca="false">EDATE('Start Here'!$B$6,C1012-1)</f>
        <v>47727</v>
      </c>
      <c r="E1012" s="11" t="n">
        <f aca="false">IF(AND(C1012&gt;=Staffing!$F$22,C1012&lt;=Staffing!$G$22,1=1),IF(C1012&lt;=6,Staffing!$H$22,IF(C1012&lt;=15,Staffing!$I$22,IF(C1012&lt;=30,Staffing!$J$22,Staffing!$K$22))),0)</f>
        <v>2</v>
      </c>
      <c r="F1012" s="10" t="n">
        <f aca="false">E1012*Staffing!$L$22/12*(1+Assumptions!$D$10)^INT((C1012-1)/12)*1</f>
        <v>26246.8266666667</v>
      </c>
      <c r="G1012" s="10" t="n">
        <f aca="false">F1012*Staffing!$N$22</f>
        <v>10498.7306666667</v>
      </c>
      <c r="H1012" s="10" t="n">
        <f aca="false">F1012+G1012</f>
        <v>36745.5573333333</v>
      </c>
      <c r="I1012" s="10" t="n">
        <f aca="false">0</f>
        <v>0</v>
      </c>
      <c r="J1012" s="10" t="n">
        <f aca="false">MAX(0,E1012-E1011)*Staffing!$O$22</f>
        <v>0</v>
      </c>
      <c r="K1012" s="10" t="n">
        <f aca="false">MAX(0,E1012-E1011)*Staffing!$P$22</f>
        <v>0</v>
      </c>
      <c r="L1012" s="23" t="n">
        <f aca="false">ROUNDUP(E1012,0)</f>
        <v>2</v>
      </c>
    </row>
    <row r="1013" customFormat="false" ht="15" hidden="false" customHeight="false" outlineLevel="0" collapsed="false">
      <c r="A1013" s="6" t="s">
        <v>4</v>
      </c>
      <c r="B1013" s="6" t="s">
        <v>334</v>
      </c>
      <c r="C1013" s="6" t="n">
        <v>48</v>
      </c>
      <c r="D1013" s="25" t="n">
        <f aca="false">EDATE('Start Here'!$B$6,C1013-1)</f>
        <v>47757</v>
      </c>
      <c r="E1013" s="11" t="n">
        <f aca="false">IF(AND(C1013&gt;=Staffing!$F$22,C1013&lt;=Staffing!$G$22,1=1),IF(C1013&lt;=6,Staffing!$H$22,IF(C1013&lt;=15,Staffing!$I$22,IF(C1013&lt;=30,Staffing!$J$22,Staffing!$K$22))),0)</f>
        <v>2</v>
      </c>
      <c r="F1013" s="10" t="n">
        <f aca="false">E1013*Staffing!$L$22/12*(1+Assumptions!$D$10)^INT((C1013-1)/12)*1</f>
        <v>26246.8266666667</v>
      </c>
      <c r="G1013" s="10" t="n">
        <f aca="false">F1013*Staffing!$N$22</f>
        <v>10498.7306666667</v>
      </c>
      <c r="H1013" s="10" t="n">
        <f aca="false">F1013+G1013</f>
        <v>36745.5573333333</v>
      </c>
      <c r="I1013" s="10" t="n">
        <f aca="false">0</f>
        <v>0</v>
      </c>
      <c r="J1013" s="10" t="n">
        <f aca="false">MAX(0,E1013-E1012)*Staffing!$O$22</f>
        <v>0</v>
      </c>
      <c r="K1013" s="10" t="n">
        <f aca="false">MAX(0,E1013-E1012)*Staffing!$P$22</f>
        <v>0</v>
      </c>
      <c r="L1013" s="23" t="n">
        <f aca="false">ROUNDUP(E1013,0)</f>
        <v>2</v>
      </c>
    </row>
    <row r="1014" customFormat="false" ht="15" hidden="false" customHeight="false" outlineLevel="0" collapsed="false">
      <c r="A1014" s="6" t="s">
        <v>4</v>
      </c>
      <c r="B1014" s="6" t="s">
        <v>334</v>
      </c>
      <c r="C1014" s="6" t="n">
        <v>49</v>
      </c>
      <c r="D1014" s="25" t="n">
        <f aca="false">EDATE('Start Here'!$B$6,C1014-1)</f>
        <v>47788</v>
      </c>
      <c r="E1014" s="11" t="n">
        <f aca="false">IF(AND(C1014&gt;=Staffing!$F$22,C1014&lt;=Staffing!$G$22,1=1),IF(C1014&lt;=6,Staffing!$H$22,IF(C1014&lt;=15,Staffing!$I$22,IF(C1014&lt;=30,Staffing!$J$22,Staffing!$K$22))),0)</f>
        <v>2</v>
      </c>
      <c r="F1014" s="10" t="n">
        <f aca="false">E1014*Staffing!$L$22/12*(1+Assumptions!$D$10)^INT((C1014-1)/12)*1</f>
        <v>27296.6997333333</v>
      </c>
      <c r="G1014" s="10" t="n">
        <f aca="false">F1014*Staffing!$N$22</f>
        <v>10918.6798933333</v>
      </c>
      <c r="H1014" s="10" t="n">
        <f aca="false">F1014+G1014</f>
        <v>38215.3796266667</v>
      </c>
      <c r="I1014" s="10" t="n">
        <f aca="false">0</f>
        <v>0</v>
      </c>
      <c r="J1014" s="10" t="n">
        <f aca="false">MAX(0,E1014-E1013)*Staffing!$O$22</f>
        <v>0</v>
      </c>
      <c r="K1014" s="10" t="n">
        <f aca="false">MAX(0,E1014-E1013)*Staffing!$P$22</f>
        <v>0</v>
      </c>
      <c r="L1014" s="23" t="n">
        <f aca="false">ROUNDUP(E1014,0)</f>
        <v>2</v>
      </c>
    </row>
    <row r="1015" customFormat="false" ht="15" hidden="false" customHeight="false" outlineLevel="0" collapsed="false">
      <c r="A1015" s="6" t="s">
        <v>4</v>
      </c>
      <c r="B1015" s="6" t="s">
        <v>334</v>
      </c>
      <c r="C1015" s="6" t="n">
        <v>50</v>
      </c>
      <c r="D1015" s="25" t="n">
        <f aca="false">EDATE('Start Here'!$B$6,C1015-1)</f>
        <v>47818</v>
      </c>
      <c r="E1015" s="11" t="n">
        <f aca="false">IF(AND(C1015&gt;=Staffing!$F$22,C1015&lt;=Staffing!$G$22,1=1),IF(C1015&lt;=6,Staffing!$H$22,IF(C1015&lt;=15,Staffing!$I$22,IF(C1015&lt;=30,Staffing!$J$22,Staffing!$K$22))),0)</f>
        <v>2</v>
      </c>
      <c r="F1015" s="10" t="n">
        <f aca="false">E1015*Staffing!$L$22/12*(1+Assumptions!$D$10)^INT((C1015-1)/12)*1</f>
        <v>27296.6997333333</v>
      </c>
      <c r="G1015" s="10" t="n">
        <f aca="false">F1015*Staffing!$N$22</f>
        <v>10918.6798933333</v>
      </c>
      <c r="H1015" s="10" t="n">
        <f aca="false">F1015+G1015</f>
        <v>38215.3796266667</v>
      </c>
      <c r="I1015" s="10" t="n">
        <f aca="false">0</f>
        <v>0</v>
      </c>
      <c r="J1015" s="10" t="n">
        <f aca="false">MAX(0,E1015-E1014)*Staffing!$O$22</f>
        <v>0</v>
      </c>
      <c r="K1015" s="10" t="n">
        <f aca="false">MAX(0,E1015-E1014)*Staffing!$P$22</f>
        <v>0</v>
      </c>
      <c r="L1015" s="23" t="n">
        <f aca="false">ROUNDUP(E1015,0)</f>
        <v>2</v>
      </c>
    </row>
    <row r="1016" customFormat="false" ht="15" hidden="false" customHeight="false" outlineLevel="0" collapsed="false">
      <c r="A1016" s="6" t="s">
        <v>4</v>
      </c>
      <c r="B1016" s="6" t="s">
        <v>334</v>
      </c>
      <c r="C1016" s="6" t="n">
        <v>51</v>
      </c>
      <c r="D1016" s="25" t="n">
        <f aca="false">EDATE('Start Here'!$B$6,C1016-1)</f>
        <v>47849</v>
      </c>
      <c r="E1016" s="11" t="n">
        <f aca="false">IF(AND(C1016&gt;=Staffing!$F$22,C1016&lt;=Staffing!$G$22,1=1),IF(C1016&lt;=6,Staffing!$H$22,IF(C1016&lt;=15,Staffing!$I$22,IF(C1016&lt;=30,Staffing!$J$22,Staffing!$K$22))),0)</f>
        <v>2</v>
      </c>
      <c r="F1016" s="10" t="n">
        <f aca="false">E1016*Staffing!$L$22/12*(1+Assumptions!$D$10)^INT((C1016-1)/12)*1</f>
        <v>27296.6997333333</v>
      </c>
      <c r="G1016" s="10" t="n">
        <f aca="false">F1016*Staffing!$N$22</f>
        <v>10918.6798933333</v>
      </c>
      <c r="H1016" s="10" t="n">
        <f aca="false">F1016+G1016</f>
        <v>38215.3796266667</v>
      </c>
      <c r="I1016" s="10" t="n">
        <f aca="false">0</f>
        <v>0</v>
      </c>
      <c r="J1016" s="10" t="n">
        <f aca="false">MAX(0,E1016-E1015)*Staffing!$O$22</f>
        <v>0</v>
      </c>
      <c r="K1016" s="10" t="n">
        <f aca="false">MAX(0,E1016-E1015)*Staffing!$P$22</f>
        <v>0</v>
      </c>
      <c r="L1016" s="23" t="n">
        <f aca="false">ROUNDUP(E1016,0)</f>
        <v>2</v>
      </c>
    </row>
    <row r="1017" customFormat="false" ht="15" hidden="false" customHeight="false" outlineLevel="0" collapsed="false">
      <c r="A1017" s="6" t="s">
        <v>4</v>
      </c>
      <c r="B1017" s="6" t="s">
        <v>334</v>
      </c>
      <c r="C1017" s="6" t="n">
        <v>52</v>
      </c>
      <c r="D1017" s="25" t="n">
        <f aca="false">EDATE('Start Here'!$B$6,C1017-1)</f>
        <v>47880</v>
      </c>
      <c r="E1017" s="11" t="n">
        <f aca="false">IF(AND(C1017&gt;=Staffing!$F$22,C1017&lt;=Staffing!$G$22,1=1),IF(C1017&lt;=6,Staffing!$H$22,IF(C1017&lt;=15,Staffing!$I$22,IF(C1017&lt;=30,Staffing!$J$22,Staffing!$K$22))),0)</f>
        <v>2</v>
      </c>
      <c r="F1017" s="10" t="n">
        <f aca="false">E1017*Staffing!$L$22/12*(1+Assumptions!$D$10)^INT((C1017-1)/12)*1</f>
        <v>27296.6997333333</v>
      </c>
      <c r="G1017" s="10" t="n">
        <f aca="false">F1017*Staffing!$N$22</f>
        <v>10918.6798933333</v>
      </c>
      <c r="H1017" s="10" t="n">
        <f aca="false">F1017+G1017</f>
        <v>38215.3796266667</v>
      </c>
      <c r="I1017" s="10" t="n">
        <f aca="false">0</f>
        <v>0</v>
      </c>
      <c r="J1017" s="10" t="n">
        <f aca="false">MAX(0,E1017-E1016)*Staffing!$O$22</f>
        <v>0</v>
      </c>
      <c r="K1017" s="10" t="n">
        <f aca="false">MAX(0,E1017-E1016)*Staffing!$P$22</f>
        <v>0</v>
      </c>
      <c r="L1017" s="23" t="n">
        <f aca="false">ROUNDUP(E1017,0)</f>
        <v>2</v>
      </c>
    </row>
    <row r="1018" customFormat="false" ht="15" hidden="false" customHeight="false" outlineLevel="0" collapsed="false">
      <c r="A1018" s="6" t="s">
        <v>4</v>
      </c>
      <c r="B1018" s="6" t="s">
        <v>334</v>
      </c>
      <c r="C1018" s="6" t="n">
        <v>53</v>
      </c>
      <c r="D1018" s="25" t="n">
        <f aca="false">EDATE('Start Here'!$B$6,C1018-1)</f>
        <v>47908</v>
      </c>
      <c r="E1018" s="11" t="n">
        <f aca="false">IF(AND(C1018&gt;=Staffing!$F$22,C1018&lt;=Staffing!$G$22,1=1),IF(C1018&lt;=6,Staffing!$H$22,IF(C1018&lt;=15,Staffing!$I$22,IF(C1018&lt;=30,Staffing!$J$22,Staffing!$K$22))),0)</f>
        <v>2</v>
      </c>
      <c r="F1018" s="10" t="n">
        <f aca="false">E1018*Staffing!$L$22/12*(1+Assumptions!$D$10)^INT((C1018-1)/12)*1</f>
        <v>27296.6997333333</v>
      </c>
      <c r="G1018" s="10" t="n">
        <f aca="false">F1018*Staffing!$N$22</f>
        <v>10918.6798933333</v>
      </c>
      <c r="H1018" s="10" t="n">
        <f aca="false">F1018+G1018</f>
        <v>38215.3796266667</v>
      </c>
      <c r="I1018" s="10" t="n">
        <f aca="false">0</f>
        <v>0</v>
      </c>
      <c r="J1018" s="10" t="n">
        <f aca="false">MAX(0,E1018-E1017)*Staffing!$O$22</f>
        <v>0</v>
      </c>
      <c r="K1018" s="10" t="n">
        <f aca="false">MAX(0,E1018-E1017)*Staffing!$P$22</f>
        <v>0</v>
      </c>
      <c r="L1018" s="23" t="n">
        <f aca="false">ROUNDUP(E1018,0)</f>
        <v>2</v>
      </c>
    </row>
    <row r="1019" customFormat="false" ht="15" hidden="false" customHeight="false" outlineLevel="0" collapsed="false">
      <c r="A1019" s="6" t="s">
        <v>4</v>
      </c>
      <c r="B1019" s="6" t="s">
        <v>334</v>
      </c>
      <c r="C1019" s="6" t="n">
        <v>54</v>
      </c>
      <c r="D1019" s="25" t="n">
        <f aca="false">EDATE('Start Here'!$B$6,C1019-1)</f>
        <v>47939</v>
      </c>
      <c r="E1019" s="11" t="n">
        <f aca="false">IF(AND(C1019&gt;=Staffing!$F$22,C1019&lt;=Staffing!$G$22,1=1),IF(C1019&lt;=6,Staffing!$H$22,IF(C1019&lt;=15,Staffing!$I$22,IF(C1019&lt;=30,Staffing!$J$22,Staffing!$K$22))),0)</f>
        <v>2</v>
      </c>
      <c r="F1019" s="10" t="n">
        <f aca="false">E1019*Staffing!$L$22/12*(1+Assumptions!$D$10)^INT((C1019-1)/12)*1</f>
        <v>27296.6997333333</v>
      </c>
      <c r="G1019" s="10" t="n">
        <f aca="false">F1019*Staffing!$N$22</f>
        <v>10918.6798933333</v>
      </c>
      <c r="H1019" s="10" t="n">
        <f aca="false">F1019+G1019</f>
        <v>38215.3796266667</v>
      </c>
      <c r="I1019" s="10" t="n">
        <f aca="false">0</f>
        <v>0</v>
      </c>
      <c r="J1019" s="10" t="n">
        <f aca="false">MAX(0,E1019-E1018)*Staffing!$O$22</f>
        <v>0</v>
      </c>
      <c r="K1019" s="10" t="n">
        <f aca="false">MAX(0,E1019-E1018)*Staffing!$P$22</f>
        <v>0</v>
      </c>
      <c r="L1019" s="23" t="n">
        <f aca="false">ROUNDUP(E1019,0)</f>
        <v>2</v>
      </c>
    </row>
    <row r="1020" customFormat="false" ht="15" hidden="false" customHeight="false" outlineLevel="0" collapsed="false">
      <c r="A1020" s="6" t="s">
        <v>4</v>
      </c>
      <c r="B1020" s="6" t="s">
        <v>334</v>
      </c>
      <c r="C1020" s="6" t="n">
        <v>55</v>
      </c>
      <c r="D1020" s="25" t="n">
        <f aca="false">EDATE('Start Here'!$B$6,C1020-1)</f>
        <v>47969</v>
      </c>
      <c r="E1020" s="11" t="n">
        <f aca="false">IF(AND(C1020&gt;=Staffing!$F$22,C1020&lt;=Staffing!$G$22,1=1),IF(C1020&lt;=6,Staffing!$H$22,IF(C1020&lt;=15,Staffing!$I$22,IF(C1020&lt;=30,Staffing!$J$22,Staffing!$K$22))),0)</f>
        <v>2</v>
      </c>
      <c r="F1020" s="10" t="n">
        <f aca="false">E1020*Staffing!$L$22/12*(1+Assumptions!$D$10)^INT((C1020-1)/12)*1</f>
        <v>27296.6997333333</v>
      </c>
      <c r="G1020" s="10" t="n">
        <f aca="false">F1020*Staffing!$N$22</f>
        <v>10918.6798933333</v>
      </c>
      <c r="H1020" s="10" t="n">
        <f aca="false">F1020+G1020</f>
        <v>38215.3796266667</v>
      </c>
      <c r="I1020" s="10" t="n">
        <f aca="false">0</f>
        <v>0</v>
      </c>
      <c r="J1020" s="10" t="n">
        <f aca="false">MAX(0,E1020-E1019)*Staffing!$O$22</f>
        <v>0</v>
      </c>
      <c r="K1020" s="10" t="n">
        <f aca="false">MAX(0,E1020-E1019)*Staffing!$P$22</f>
        <v>0</v>
      </c>
      <c r="L1020" s="23" t="n">
        <f aca="false">ROUNDUP(E1020,0)</f>
        <v>2</v>
      </c>
    </row>
    <row r="1021" customFormat="false" ht="15" hidden="false" customHeight="false" outlineLevel="0" collapsed="false">
      <c r="A1021" s="6" t="s">
        <v>4</v>
      </c>
      <c r="B1021" s="6" t="s">
        <v>334</v>
      </c>
      <c r="C1021" s="6" t="n">
        <v>56</v>
      </c>
      <c r="D1021" s="25" t="n">
        <f aca="false">EDATE('Start Here'!$B$6,C1021-1)</f>
        <v>48000</v>
      </c>
      <c r="E1021" s="11" t="n">
        <f aca="false">IF(AND(C1021&gt;=Staffing!$F$22,C1021&lt;=Staffing!$G$22,1=1),IF(C1021&lt;=6,Staffing!$H$22,IF(C1021&lt;=15,Staffing!$I$22,IF(C1021&lt;=30,Staffing!$J$22,Staffing!$K$22))),0)</f>
        <v>2</v>
      </c>
      <c r="F1021" s="10" t="n">
        <f aca="false">E1021*Staffing!$L$22/12*(1+Assumptions!$D$10)^INT((C1021-1)/12)*1</f>
        <v>27296.6997333333</v>
      </c>
      <c r="G1021" s="10" t="n">
        <f aca="false">F1021*Staffing!$N$22</f>
        <v>10918.6798933333</v>
      </c>
      <c r="H1021" s="10" t="n">
        <f aca="false">F1021+G1021</f>
        <v>38215.3796266667</v>
      </c>
      <c r="I1021" s="10" t="n">
        <f aca="false">0</f>
        <v>0</v>
      </c>
      <c r="J1021" s="10" t="n">
        <f aca="false">MAX(0,E1021-E1020)*Staffing!$O$22</f>
        <v>0</v>
      </c>
      <c r="K1021" s="10" t="n">
        <f aca="false">MAX(0,E1021-E1020)*Staffing!$P$22</f>
        <v>0</v>
      </c>
      <c r="L1021" s="23" t="n">
        <f aca="false">ROUNDUP(E1021,0)</f>
        <v>2</v>
      </c>
    </row>
    <row r="1022" customFormat="false" ht="15" hidden="false" customHeight="false" outlineLevel="0" collapsed="false">
      <c r="A1022" s="6" t="s">
        <v>4</v>
      </c>
      <c r="B1022" s="6" t="s">
        <v>334</v>
      </c>
      <c r="C1022" s="6" t="n">
        <v>57</v>
      </c>
      <c r="D1022" s="25" t="n">
        <f aca="false">EDATE('Start Here'!$B$6,C1022-1)</f>
        <v>48030</v>
      </c>
      <c r="E1022" s="11" t="n">
        <f aca="false">IF(AND(C1022&gt;=Staffing!$F$22,C1022&lt;=Staffing!$G$22,1=1),IF(C1022&lt;=6,Staffing!$H$22,IF(C1022&lt;=15,Staffing!$I$22,IF(C1022&lt;=30,Staffing!$J$22,Staffing!$K$22))),0)</f>
        <v>2</v>
      </c>
      <c r="F1022" s="10" t="n">
        <f aca="false">E1022*Staffing!$L$22/12*(1+Assumptions!$D$10)^INT((C1022-1)/12)*1</f>
        <v>27296.6997333333</v>
      </c>
      <c r="G1022" s="10" t="n">
        <f aca="false">F1022*Staffing!$N$22</f>
        <v>10918.6798933333</v>
      </c>
      <c r="H1022" s="10" t="n">
        <f aca="false">F1022+G1022</f>
        <v>38215.3796266667</v>
      </c>
      <c r="I1022" s="10" t="n">
        <f aca="false">0</f>
        <v>0</v>
      </c>
      <c r="J1022" s="10" t="n">
        <f aca="false">MAX(0,E1022-E1021)*Staffing!$O$22</f>
        <v>0</v>
      </c>
      <c r="K1022" s="10" t="n">
        <f aca="false">MAX(0,E1022-E1021)*Staffing!$P$22</f>
        <v>0</v>
      </c>
      <c r="L1022" s="23" t="n">
        <f aca="false">ROUNDUP(E1022,0)</f>
        <v>2</v>
      </c>
    </row>
    <row r="1023" customFormat="false" ht="15" hidden="false" customHeight="false" outlineLevel="0" collapsed="false">
      <c r="A1023" s="6" t="s">
        <v>4</v>
      </c>
      <c r="B1023" s="6" t="s">
        <v>334</v>
      </c>
      <c r="C1023" s="6" t="n">
        <v>58</v>
      </c>
      <c r="D1023" s="25" t="n">
        <f aca="false">EDATE('Start Here'!$B$6,C1023-1)</f>
        <v>48061</v>
      </c>
      <c r="E1023" s="11" t="n">
        <f aca="false">IF(AND(C1023&gt;=Staffing!$F$22,C1023&lt;=Staffing!$G$22,1=1),IF(C1023&lt;=6,Staffing!$H$22,IF(C1023&lt;=15,Staffing!$I$22,IF(C1023&lt;=30,Staffing!$J$22,Staffing!$K$22))),0)</f>
        <v>2</v>
      </c>
      <c r="F1023" s="10" t="n">
        <f aca="false">E1023*Staffing!$L$22/12*(1+Assumptions!$D$10)^INT((C1023-1)/12)*1</f>
        <v>27296.6997333333</v>
      </c>
      <c r="G1023" s="10" t="n">
        <f aca="false">F1023*Staffing!$N$22</f>
        <v>10918.6798933333</v>
      </c>
      <c r="H1023" s="10" t="n">
        <f aca="false">F1023+G1023</f>
        <v>38215.3796266667</v>
      </c>
      <c r="I1023" s="10" t="n">
        <f aca="false">0</f>
        <v>0</v>
      </c>
      <c r="J1023" s="10" t="n">
        <f aca="false">MAX(0,E1023-E1022)*Staffing!$O$22</f>
        <v>0</v>
      </c>
      <c r="K1023" s="10" t="n">
        <f aca="false">MAX(0,E1023-E1022)*Staffing!$P$22</f>
        <v>0</v>
      </c>
      <c r="L1023" s="23" t="n">
        <f aca="false">ROUNDUP(E1023,0)</f>
        <v>2</v>
      </c>
    </row>
    <row r="1024" customFormat="false" ht="15" hidden="false" customHeight="false" outlineLevel="0" collapsed="false">
      <c r="A1024" s="6" t="s">
        <v>4</v>
      </c>
      <c r="B1024" s="6" t="s">
        <v>334</v>
      </c>
      <c r="C1024" s="6" t="n">
        <v>59</v>
      </c>
      <c r="D1024" s="25" t="n">
        <f aca="false">EDATE('Start Here'!$B$6,C1024-1)</f>
        <v>48092</v>
      </c>
      <c r="E1024" s="11" t="n">
        <f aca="false">IF(AND(C1024&gt;=Staffing!$F$22,C1024&lt;=Staffing!$G$22,1=1),IF(C1024&lt;=6,Staffing!$H$22,IF(C1024&lt;=15,Staffing!$I$22,IF(C1024&lt;=30,Staffing!$J$22,Staffing!$K$22))),0)</f>
        <v>2</v>
      </c>
      <c r="F1024" s="10" t="n">
        <f aca="false">E1024*Staffing!$L$22/12*(1+Assumptions!$D$10)^INT((C1024-1)/12)*1</f>
        <v>27296.6997333333</v>
      </c>
      <c r="G1024" s="10" t="n">
        <f aca="false">F1024*Staffing!$N$22</f>
        <v>10918.6798933333</v>
      </c>
      <c r="H1024" s="10" t="n">
        <f aca="false">F1024+G1024</f>
        <v>38215.3796266667</v>
      </c>
      <c r="I1024" s="10" t="n">
        <f aca="false">0</f>
        <v>0</v>
      </c>
      <c r="J1024" s="10" t="n">
        <f aca="false">MAX(0,E1024-E1023)*Staffing!$O$22</f>
        <v>0</v>
      </c>
      <c r="K1024" s="10" t="n">
        <f aca="false">MAX(0,E1024-E1023)*Staffing!$P$22</f>
        <v>0</v>
      </c>
      <c r="L1024" s="23" t="n">
        <f aca="false">ROUNDUP(E1024,0)</f>
        <v>2</v>
      </c>
    </row>
    <row r="1025" customFormat="false" ht="15" hidden="false" customHeight="false" outlineLevel="0" collapsed="false">
      <c r="A1025" s="6" t="s">
        <v>4</v>
      </c>
      <c r="B1025" s="6" t="s">
        <v>334</v>
      </c>
      <c r="C1025" s="6" t="n">
        <v>60</v>
      </c>
      <c r="D1025" s="25" t="n">
        <f aca="false">EDATE('Start Here'!$B$6,C1025-1)</f>
        <v>48122</v>
      </c>
      <c r="E1025" s="11" t="n">
        <f aca="false">IF(AND(C1025&gt;=Staffing!$F$22,C1025&lt;=Staffing!$G$22,1=1),IF(C1025&lt;=6,Staffing!$H$22,IF(C1025&lt;=15,Staffing!$I$22,IF(C1025&lt;=30,Staffing!$J$22,Staffing!$K$22))),0)</f>
        <v>2</v>
      </c>
      <c r="F1025" s="10" t="n">
        <f aca="false">E1025*Staffing!$L$22/12*(1+Assumptions!$D$10)^INT((C1025-1)/12)*1</f>
        <v>27296.6997333333</v>
      </c>
      <c r="G1025" s="10" t="n">
        <f aca="false">F1025*Staffing!$N$22</f>
        <v>10918.6798933333</v>
      </c>
      <c r="H1025" s="10" t="n">
        <f aca="false">F1025+G1025</f>
        <v>38215.3796266667</v>
      </c>
      <c r="I1025" s="10" t="n">
        <f aca="false">0</f>
        <v>0</v>
      </c>
      <c r="J1025" s="10" t="n">
        <f aca="false">MAX(0,E1025-E1024)*Staffing!$O$22</f>
        <v>0</v>
      </c>
      <c r="K1025" s="10" t="n">
        <f aca="false">MAX(0,E1025-E1024)*Staffing!$P$22</f>
        <v>0</v>
      </c>
      <c r="L1025" s="23" t="n">
        <f aca="false">ROUNDUP(E1025,0)</f>
        <v>2</v>
      </c>
    </row>
    <row r="1026" customFormat="false" ht="15" hidden="false" customHeight="false" outlineLevel="0" collapsed="false">
      <c r="A1026" s="6" t="s">
        <v>4</v>
      </c>
      <c r="B1026" s="6" t="s">
        <v>336</v>
      </c>
      <c r="C1026" s="6" t="n">
        <v>1</v>
      </c>
      <c r="D1026" s="25" t="n">
        <f aca="false">EDATE('Start Here'!$B$6,C1026-1)</f>
        <v>46327</v>
      </c>
      <c r="E1026" s="23" t="n">
        <f aca="false">IF(AND(C1026&gt;=Staffing!$F$23,C1026&lt;=Staffing!$G$23,1=1),IF(C1026&lt;=6,Staffing!$H$23,IF(C1026&lt;=15,Staffing!$I$23,IF(C1026&lt;=30,Staffing!$J$23,Staffing!$K$23))),0)</f>
        <v>0</v>
      </c>
      <c r="F1026" s="10" t="n">
        <f aca="false">E1026*Staffing!$L$23/12*(1+Assumptions!$D$10)^INT((C1026-1)/12)*1</f>
        <v>0</v>
      </c>
      <c r="G1026" s="10" t="n">
        <f aca="false">F1026*Staffing!$N$23</f>
        <v>0</v>
      </c>
      <c r="H1026" s="10" t="n">
        <f aca="false">F1026+G1026</f>
        <v>0</v>
      </c>
      <c r="I1026" s="10" t="n">
        <f aca="false">0</f>
        <v>0</v>
      </c>
      <c r="J1026" s="10" t="n">
        <f aca="false">MAX(0,E1026-0)*Staffing!$O$23</f>
        <v>0</v>
      </c>
      <c r="K1026" s="10" t="n">
        <f aca="false">MAX(0,E1026-0)*Staffing!$P$23</f>
        <v>0</v>
      </c>
      <c r="L1026" s="23" t="n">
        <f aca="false">ROUNDUP(E1026,0)</f>
        <v>0</v>
      </c>
    </row>
    <row r="1027" customFormat="false" ht="15" hidden="false" customHeight="false" outlineLevel="0" collapsed="false">
      <c r="A1027" s="6" t="s">
        <v>4</v>
      </c>
      <c r="B1027" s="6" t="s">
        <v>336</v>
      </c>
      <c r="C1027" s="6" t="n">
        <v>2</v>
      </c>
      <c r="D1027" s="25" t="n">
        <f aca="false">EDATE('Start Here'!$B$6,C1027-1)</f>
        <v>46357</v>
      </c>
      <c r="E1027" s="23" t="n">
        <f aca="false">IF(AND(C1027&gt;=Staffing!$F$23,C1027&lt;=Staffing!$G$23,1=1),IF(C1027&lt;=6,Staffing!$H$23,IF(C1027&lt;=15,Staffing!$I$23,IF(C1027&lt;=30,Staffing!$J$23,Staffing!$K$23))),0)</f>
        <v>0</v>
      </c>
      <c r="F1027" s="10" t="n">
        <f aca="false">E1027*Staffing!$L$23/12*(1+Assumptions!$D$10)^INT((C1027-1)/12)*1</f>
        <v>0</v>
      </c>
      <c r="G1027" s="10" t="n">
        <f aca="false">F1027*Staffing!$N$23</f>
        <v>0</v>
      </c>
      <c r="H1027" s="10" t="n">
        <f aca="false">F1027+G1027</f>
        <v>0</v>
      </c>
      <c r="I1027" s="10" t="n">
        <f aca="false">0</f>
        <v>0</v>
      </c>
      <c r="J1027" s="10" t="n">
        <f aca="false">MAX(0,E1027-E1026)*Staffing!$O$23</f>
        <v>0</v>
      </c>
      <c r="K1027" s="10" t="n">
        <f aca="false">MAX(0,E1027-E1026)*Staffing!$P$23</f>
        <v>0</v>
      </c>
      <c r="L1027" s="23" t="n">
        <f aca="false">ROUNDUP(E1027,0)</f>
        <v>0</v>
      </c>
    </row>
    <row r="1028" customFormat="false" ht="15" hidden="false" customHeight="false" outlineLevel="0" collapsed="false">
      <c r="A1028" s="6" t="s">
        <v>4</v>
      </c>
      <c r="B1028" s="6" t="s">
        <v>336</v>
      </c>
      <c r="C1028" s="6" t="n">
        <v>3</v>
      </c>
      <c r="D1028" s="25" t="n">
        <f aca="false">EDATE('Start Here'!$B$6,C1028-1)</f>
        <v>46388</v>
      </c>
      <c r="E1028" s="23" t="n">
        <f aca="false">IF(AND(C1028&gt;=Staffing!$F$23,C1028&lt;=Staffing!$G$23,1=1),IF(C1028&lt;=6,Staffing!$H$23,IF(C1028&lt;=15,Staffing!$I$23,IF(C1028&lt;=30,Staffing!$J$23,Staffing!$K$23))),0)</f>
        <v>0</v>
      </c>
      <c r="F1028" s="10" t="n">
        <f aca="false">E1028*Staffing!$L$23/12*(1+Assumptions!$D$10)^INT((C1028-1)/12)*1</f>
        <v>0</v>
      </c>
      <c r="G1028" s="10" t="n">
        <f aca="false">F1028*Staffing!$N$23</f>
        <v>0</v>
      </c>
      <c r="H1028" s="10" t="n">
        <f aca="false">F1028+G1028</f>
        <v>0</v>
      </c>
      <c r="I1028" s="10" t="n">
        <f aca="false">0</f>
        <v>0</v>
      </c>
      <c r="J1028" s="10" t="n">
        <f aca="false">MAX(0,E1028-E1027)*Staffing!$O$23</f>
        <v>0</v>
      </c>
      <c r="K1028" s="10" t="n">
        <f aca="false">MAX(0,E1028-E1027)*Staffing!$P$23</f>
        <v>0</v>
      </c>
      <c r="L1028" s="23" t="n">
        <f aca="false">ROUNDUP(E1028,0)</f>
        <v>0</v>
      </c>
    </row>
    <row r="1029" customFormat="false" ht="15" hidden="false" customHeight="false" outlineLevel="0" collapsed="false">
      <c r="A1029" s="6" t="s">
        <v>4</v>
      </c>
      <c r="B1029" s="6" t="s">
        <v>336</v>
      </c>
      <c r="C1029" s="6" t="n">
        <v>4</v>
      </c>
      <c r="D1029" s="25" t="n">
        <f aca="false">EDATE('Start Here'!$B$6,C1029-1)</f>
        <v>46419</v>
      </c>
      <c r="E1029" s="11" t="n">
        <f aca="false">IF(AND(C1029&gt;=Staffing!$F$23,C1029&lt;=Staffing!$G$23,1=1),IF(C1029&lt;=6,Staffing!$H$23,IF(C1029&lt;=15,Staffing!$I$23,IF(C1029&lt;=30,Staffing!$J$23,Staffing!$K$23))),0)</f>
        <v>0.5</v>
      </c>
      <c r="F1029" s="10" t="n">
        <f aca="false">E1029*Staffing!$L$23/12*(1+Assumptions!$D$10)^INT((C1029-1)/12)*1</f>
        <v>4583.33333333333</v>
      </c>
      <c r="G1029" s="10" t="n">
        <f aca="false">F1029*Staffing!$N$23</f>
        <v>1833.33333333333</v>
      </c>
      <c r="H1029" s="10" t="n">
        <f aca="false">F1029+G1029</f>
        <v>6416.66666666667</v>
      </c>
      <c r="I1029" s="10" t="n">
        <f aca="false">0</f>
        <v>0</v>
      </c>
      <c r="J1029" s="10" t="n">
        <f aca="false">MAX(0,E1029-E1028)*Staffing!$O$23</f>
        <v>4000</v>
      </c>
      <c r="K1029" s="10" t="n">
        <f aca="false">MAX(0,E1029-E1028)*Staffing!$P$23</f>
        <v>1500</v>
      </c>
      <c r="L1029" s="23" t="n">
        <f aca="false">ROUNDUP(E1029,0)</f>
        <v>1</v>
      </c>
    </row>
    <row r="1030" customFormat="false" ht="15" hidden="false" customHeight="false" outlineLevel="0" collapsed="false">
      <c r="A1030" s="6" t="s">
        <v>4</v>
      </c>
      <c r="B1030" s="6" t="s">
        <v>336</v>
      </c>
      <c r="C1030" s="6" t="n">
        <v>5</v>
      </c>
      <c r="D1030" s="25" t="n">
        <f aca="false">EDATE('Start Here'!$B$6,C1030-1)</f>
        <v>46447</v>
      </c>
      <c r="E1030" s="11" t="n">
        <f aca="false">IF(AND(C1030&gt;=Staffing!$F$23,C1030&lt;=Staffing!$G$23,1=1),IF(C1030&lt;=6,Staffing!$H$23,IF(C1030&lt;=15,Staffing!$I$23,IF(C1030&lt;=30,Staffing!$J$23,Staffing!$K$23))),0)</f>
        <v>0.5</v>
      </c>
      <c r="F1030" s="10" t="n">
        <f aca="false">E1030*Staffing!$L$23/12*(1+Assumptions!$D$10)^INT((C1030-1)/12)*1</f>
        <v>4583.33333333333</v>
      </c>
      <c r="G1030" s="10" t="n">
        <f aca="false">F1030*Staffing!$N$23</f>
        <v>1833.33333333333</v>
      </c>
      <c r="H1030" s="10" t="n">
        <f aca="false">F1030+G1030</f>
        <v>6416.66666666667</v>
      </c>
      <c r="I1030" s="10" t="n">
        <f aca="false">0</f>
        <v>0</v>
      </c>
      <c r="J1030" s="10" t="n">
        <f aca="false">MAX(0,E1030-E1029)*Staffing!$O$23</f>
        <v>0</v>
      </c>
      <c r="K1030" s="10" t="n">
        <f aca="false">MAX(0,E1030-E1029)*Staffing!$P$23</f>
        <v>0</v>
      </c>
      <c r="L1030" s="23" t="n">
        <f aca="false">ROUNDUP(E1030,0)</f>
        <v>1</v>
      </c>
    </row>
    <row r="1031" customFormat="false" ht="15" hidden="false" customHeight="false" outlineLevel="0" collapsed="false">
      <c r="A1031" s="6" t="s">
        <v>4</v>
      </c>
      <c r="B1031" s="6" t="s">
        <v>336</v>
      </c>
      <c r="C1031" s="6" t="n">
        <v>6</v>
      </c>
      <c r="D1031" s="25" t="n">
        <f aca="false">EDATE('Start Here'!$B$6,C1031-1)</f>
        <v>46478</v>
      </c>
      <c r="E1031" s="11" t="n">
        <f aca="false">IF(AND(C1031&gt;=Staffing!$F$23,C1031&lt;=Staffing!$G$23,1=1),IF(C1031&lt;=6,Staffing!$H$23,IF(C1031&lt;=15,Staffing!$I$23,IF(C1031&lt;=30,Staffing!$J$23,Staffing!$K$23))),0)</f>
        <v>0.5</v>
      </c>
      <c r="F1031" s="10" t="n">
        <f aca="false">E1031*Staffing!$L$23/12*(1+Assumptions!$D$10)^INT((C1031-1)/12)*1</f>
        <v>4583.33333333333</v>
      </c>
      <c r="G1031" s="10" t="n">
        <f aca="false">F1031*Staffing!$N$23</f>
        <v>1833.33333333333</v>
      </c>
      <c r="H1031" s="10" t="n">
        <f aca="false">F1031+G1031</f>
        <v>6416.66666666667</v>
      </c>
      <c r="I1031" s="10" t="n">
        <f aca="false">0</f>
        <v>0</v>
      </c>
      <c r="J1031" s="10" t="n">
        <f aca="false">MAX(0,E1031-E1030)*Staffing!$O$23</f>
        <v>0</v>
      </c>
      <c r="K1031" s="10" t="n">
        <f aca="false">MAX(0,E1031-E1030)*Staffing!$P$23</f>
        <v>0</v>
      </c>
      <c r="L1031" s="23" t="n">
        <f aca="false">ROUNDUP(E1031,0)</f>
        <v>1</v>
      </c>
    </row>
    <row r="1032" customFormat="false" ht="15" hidden="false" customHeight="false" outlineLevel="0" collapsed="false">
      <c r="A1032" s="6" t="s">
        <v>4</v>
      </c>
      <c r="B1032" s="6" t="s">
        <v>336</v>
      </c>
      <c r="C1032" s="6" t="n">
        <v>7</v>
      </c>
      <c r="D1032" s="25" t="n">
        <f aca="false">EDATE('Start Here'!$B$6,C1032-1)</f>
        <v>46508</v>
      </c>
      <c r="E1032" s="11" t="n">
        <f aca="false">IF(AND(C1032&gt;=Staffing!$F$23,C1032&lt;=Staffing!$G$23,1=1),IF(C1032&lt;=6,Staffing!$H$23,IF(C1032&lt;=15,Staffing!$I$23,IF(C1032&lt;=30,Staffing!$J$23,Staffing!$K$23))),0)</f>
        <v>0.75</v>
      </c>
      <c r="F1032" s="10" t="n">
        <f aca="false">E1032*Staffing!$L$23/12*(1+Assumptions!$D$10)^INT((C1032-1)/12)*1</f>
        <v>6875</v>
      </c>
      <c r="G1032" s="10" t="n">
        <f aca="false">F1032*Staffing!$N$23</f>
        <v>2750</v>
      </c>
      <c r="H1032" s="10" t="n">
        <f aca="false">F1032+G1032</f>
        <v>9625</v>
      </c>
      <c r="I1032" s="10" t="n">
        <f aca="false">0</f>
        <v>0</v>
      </c>
      <c r="J1032" s="10" t="n">
        <f aca="false">MAX(0,E1032-E1031)*Staffing!$O$23</f>
        <v>2000</v>
      </c>
      <c r="K1032" s="10" t="n">
        <f aca="false">MAX(0,E1032-E1031)*Staffing!$P$23</f>
        <v>750</v>
      </c>
      <c r="L1032" s="23" t="n">
        <f aca="false">ROUNDUP(E1032,0)</f>
        <v>1</v>
      </c>
    </row>
    <row r="1033" customFormat="false" ht="15" hidden="false" customHeight="false" outlineLevel="0" collapsed="false">
      <c r="A1033" s="6" t="s">
        <v>4</v>
      </c>
      <c r="B1033" s="6" t="s">
        <v>336</v>
      </c>
      <c r="C1033" s="6" t="n">
        <v>8</v>
      </c>
      <c r="D1033" s="25" t="n">
        <f aca="false">EDATE('Start Here'!$B$6,C1033-1)</f>
        <v>46539</v>
      </c>
      <c r="E1033" s="11" t="n">
        <f aca="false">IF(AND(C1033&gt;=Staffing!$F$23,C1033&lt;=Staffing!$G$23,1=1),IF(C1033&lt;=6,Staffing!$H$23,IF(C1033&lt;=15,Staffing!$I$23,IF(C1033&lt;=30,Staffing!$J$23,Staffing!$K$23))),0)</f>
        <v>0.75</v>
      </c>
      <c r="F1033" s="10" t="n">
        <f aca="false">E1033*Staffing!$L$23/12*(1+Assumptions!$D$10)^INT((C1033-1)/12)*1</f>
        <v>6875</v>
      </c>
      <c r="G1033" s="10" t="n">
        <f aca="false">F1033*Staffing!$N$23</f>
        <v>2750</v>
      </c>
      <c r="H1033" s="10" t="n">
        <f aca="false">F1033+G1033</f>
        <v>9625</v>
      </c>
      <c r="I1033" s="10" t="n">
        <f aca="false">0</f>
        <v>0</v>
      </c>
      <c r="J1033" s="10" t="n">
        <f aca="false">MAX(0,E1033-E1032)*Staffing!$O$23</f>
        <v>0</v>
      </c>
      <c r="K1033" s="10" t="n">
        <f aca="false">MAX(0,E1033-E1032)*Staffing!$P$23</f>
        <v>0</v>
      </c>
      <c r="L1033" s="23" t="n">
        <f aca="false">ROUNDUP(E1033,0)</f>
        <v>1</v>
      </c>
    </row>
    <row r="1034" customFormat="false" ht="15" hidden="false" customHeight="false" outlineLevel="0" collapsed="false">
      <c r="A1034" s="6" t="s">
        <v>4</v>
      </c>
      <c r="B1034" s="6" t="s">
        <v>336</v>
      </c>
      <c r="C1034" s="6" t="n">
        <v>9</v>
      </c>
      <c r="D1034" s="25" t="n">
        <f aca="false">EDATE('Start Here'!$B$6,C1034-1)</f>
        <v>46569</v>
      </c>
      <c r="E1034" s="11" t="n">
        <f aca="false">IF(AND(C1034&gt;=Staffing!$F$23,C1034&lt;=Staffing!$G$23,1=1),IF(C1034&lt;=6,Staffing!$H$23,IF(C1034&lt;=15,Staffing!$I$23,IF(C1034&lt;=30,Staffing!$J$23,Staffing!$K$23))),0)</f>
        <v>0.75</v>
      </c>
      <c r="F1034" s="10" t="n">
        <f aca="false">E1034*Staffing!$L$23/12*(1+Assumptions!$D$10)^INT((C1034-1)/12)*1</f>
        <v>6875</v>
      </c>
      <c r="G1034" s="10" t="n">
        <f aca="false">F1034*Staffing!$N$23</f>
        <v>2750</v>
      </c>
      <c r="H1034" s="10" t="n">
        <f aca="false">F1034+G1034</f>
        <v>9625</v>
      </c>
      <c r="I1034" s="10" t="n">
        <f aca="false">0</f>
        <v>0</v>
      </c>
      <c r="J1034" s="10" t="n">
        <f aca="false">MAX(0,E1034-E1033)*Staffing!$O$23</f>
        <v>0</v>
      </c>
      <c r="K1034" s="10" t="n">
        <f aca="false">MAX(0,E1034-E1033)*Staffing!$P$23</f>
        <v>0</v>
      </c>
      <c r="L1034" s="23" t="n">
        <f aca="false">ROUNDUP(E1034,0)</f>
        <v>1</v>
      </c>
    </row>
    <row r="1035" customFormat="false" ht="15" hidden="false" customHeight="false" outlineLevel="0" collapsed="false">
      <c r="A1035" s="6" t="s">
        <v>4</v>
      </c>
      <c r="B1035" s="6" t="s">
        <v>336</v>
      </c>
      <c r="C1035" s="6" t="n">
        <v>10</v>
      </c>
      <c r="D1035" s="25" t="n">
        <f aca="false">EDATE('Start Here'!$B$6,C1035-1)</f>
        <v>46600</v>
      </c>
      <c r="E1035" s="11" t="n">
        <f aca="false">IF(AND(C1035&gt;=Staffing!$F$23,C1035&lt;=Staffing!$G$23,1=1),IF(C1035&lt;=6,Staffing!$H$23,IF(C1035&lt;=15,Staffing!$I$23,IF(C1035&lt;=30,Staffing!$J$23,Staffing!$K$23))),0)</f>
        <v>0.75</v>
      </c>
      <c r="F1035" s="10" t="n">
        <f aca="false">E1035*Staffing!$L$23/12*(1+Assumptions!$D$10)^INT((C1035-1)/12)*1</f>
        <v>6875</v>
      </c>
      <c r="G1035" s="10" t="n">
        <f aca="false">F1035*Staffing!$N$23</f>
        <v>2750</v>
      </c>
      <c r="H1035" s="10" t="n">
        <f aca="false">F1035+G1035</f>
        <v>9625</v>
      </c>
      <c r="I1035" s="10" t="n">
        <f aca="false">0</f>
        <v>0</v>
      </c>
      <c r="J1035" s="10" t="n">
        <f aca="false">MAX(0,E1035-E1034)*Staffing!$O$23</f>
        <v>0</v>
      </c>
      <c r="K1035" s="10" t="n">
        <f aca="false">MAX(0,E1035-E1034)*Staffing!$P$23</f>
        <v>0</v>
      </c>
      <c r="L1035" s="23" t="n">
        <f aca="false">ROUNDUP(E1035,0)</f>
        <v>1</v>
      </c>
    </row>
    <row r="1036" customFormat="false" ht="15" hidden="false" customHeight="false" outlineLevel="0" collapsed="false">
      <c r="A1036" s="6" t="s">
        <v>4</v>
      </c>
      <c r="B1036" s="6" t="s">
        <v>336</v>
      </c>
      <c r="C1036" s="6" t="n">
        <v>11</v>
      </c>
      <c r="D1036" s="25" t="n">
        <f aca="false">EDATE('Start Here'!$B$6,C1036-1)</f>
        <v>46631</v>
      </c>
      <c r="E1036" s="11" t="n">
        <f aca="false">IF(AND(C1036&gt;=Staffing!$F$23,C1036&lt;=Staffing!$G$23,1=1),IF(C1036&lt;=6,Staffing!$H$23,IF(C1036&lt;=15,Staffing!$I$23,IF(C1036&lt;=30,Staffing!$J$23,Staffing!$K$23))),0)</f>
        <v>0.75</v>
      </c>
      <c r="F1036" s="10" t="n">
        <f aca="false">E1036*Staffing!$L$23/12*(1+Assumptions!$D$10)^INT((C1036-1)/12)*1</f>
        <v>6875</v>
      </c>
      <c r="G1036" s="10" t="n">
        <f aca="false">F1036*Staffing!$N$23</f>
        <v>2750</v>
      </c>
      <c r="H1036" s="10" t="n">
        <f aca="false">F1036+G1036</f>
        <v>9625</v>
      </c>
      <c r="I1036" s="10" t="n">
        <f aca="false">0</f>
        <v>0</v>
      </c>
      <c r="J1036" s="10" t="n">
        <f aca="false">MAX(0,E1036-E1035)*Staffing!$O$23</f>
        <v>0</v>
      </c>
      <c r="K1036" s="10" t="n">
        <f aca="false">MAX(0,E1036-E1035)*Staffing!$P$23</f>
        <v>0</v>
      </c>
      <c r="L1036" s="23" t="n">
        <f aca="false">ROUNDUP(E1036,0)</f>
        <v>1</v>
      </c>
    </row>
    <row r="1037" customFormat="false" ht="15" hidden="false" customHeight="false" outlineLevel="0" collapsed="false">
      <c r="A1037" s="6" t="s">
        <v>4</v>
      </c>
      <c r="B1037" s="6" t="s">
        <v>336</v>
      </c>
      <c r="C1037" s="6" t="n">
        <v>12</v>
      </c>
      <c r="D1037" s="25" t="n">
        <f aca="false">EDATE('Start Here'!$B$6,C1037-1)</f>
        <v>46661</v>
      </c>
      <c r="E1037" s="11" t="n">
        <f aca="false">IF(AND(C1037&gt;=Staffing!$F$23,C1037&lt;=Staffing!$G$23,1=1),IF(C1037&lt;=6,Staffing!$H$23,IF(C1037&lt;=15,Staffing!$I$23,IF(C1037&lt;=30,Staffing!$J$23,Staffing!$K$23))),0)</f>
        <v>0.75</v>
      </c>
      <c r="F1037" s="10" t="n">
        <f aca="false">E1037*Staffing!$L$23/12*(1+Assumptions!$D$10)^INT((C1037-1)/12)*1</f>
        <v>6875</v>
      </c>
      <c r="G1037" s="10" t="n">
        <f aca="false">F1037*Staffing!$N$23</f>
        <v>2750</v>
      </c>
      <c r="H1037" s="10" t="n">
        <f aca="false">F1037+G1037</f>
        <v>9625</v>
      </c>
      <c r="I1037" s="10" t="n">
        <f aca="false">0</f>
        <v>0</v>
      </c>
      <c r="J1037" s="10" t="n">
        <f aca="false">MAX(0,E1037-E1036)*Staffing!$O$23</f>
        <v>0</v>
      </c>
      <c r="K1037" s="10" t="n">
        <f aca="false">MAX(0,E1037-E1036)*Staffing!$P$23</f>
        <v>0</v>
      </c>
      <c r="L1037" s="23" t="n">
        <f aca="false">ROUNDUP(E1037,0)</f>
        <v>1</v>
      </c>
    </row>
    <row r="1038" customFormat="false" ht="15" hidden="false" customHeight="false" outlineLevel="0" collapsed="false">
      <c r="A1038" s="6" t="s">
        <v>4</v>
      </c>
      <c r="B1038" s="6" t="s">
        <v>336</v>
      </c>
      <c r="C1038" s="6" t="n">
        <v>13</v>
      </c>
      <c r="D1038" s="25" t="n">
        <f aca="false">EDATE('Start Here'!$B$6,C1038-1)</f>
        <v>46692</v>
      </c>
      <c r="E1038" s="11" t="n">
        <f aca="false">IF(AND(C1038&gt;=Staffing!$F$23,C1038&lt;=Staffing!$G$23,1=1),IF(C1038&lt;=6,Staffing!$H$23,IF(C1038&lt;=15,Staffing!$I$23,IF(C1038&lt;=30,Staffing!$J$23,Staffing!$K$23))),0)</f>
        <v>0.75</v>
      </c>
      <c r="F1038" s="10" t="n">
        <f aca="false">E1038*Staffing!$L$23/12*(1+Assumptions!$D$10)^INT((C1038-1)/12)*1</f>
        <v>7150</v>
      </c>
      <c r="G1038" s="10" t="n">
        <f aca="false">F1038*Staffing!$N$23</f>
        <v>2860</v>
      </c>
      <c r="H1038" s="10" t="n">
        <f aca="false">F1038+G1038</f>
        <v>10010</v>
      </c>
      <c r="I1038" s="10" t="n">
        <f aca="false">0</f>
        <v>0</v>
      </c>
      <c r="J1038" s="10" t="n">
        <f aca="false">MAX(0,E1038-E1037)*Staffing!$O$23</f>
        <v>0</v>
      </c>
      <c r="K1038" s="10" t="n">
        <f aca="false">MAX(0,E1038-E1037)*Staffing!$P$23</f>
        <v>0</v>
      </c>
      <c r="L1038" s="23" t="n">
        <f aca="false">ROUNDUP(E1038,0)</f>
        <v>1</v>
      </c>
    </row>
    <row r="1039" customFormat="false" ht="15" hidden="false" customHeight="false" outlineLevel="0" collapsed="false">
      <c r="A1039" s="6" t="s">
        <v>4</v>
      </c>
      <c r="B1039" s="6" t="s">
        <v>336</v>
      </c>
      <c r="C1039" s="6" t="n">
        <v>14</v>
      </c>
      <c r="D1039" s="25" t="n">
        <f aca="false">EDATE('Start Here'!$B$6,C1039-1)</f>
        <v>46722</v>
      </c>
      <c r="E1039" s="11" t="n">
        <f aca="false">IF(AND(C1039&gt;=Staffing!$F$23,C1039&lt;=Staffing!$G$23,1=1),IF(C1039&lt;=6,Staffing!$H$23,IF(C1039&lt;=15,Staffing!$I$23,IF(C1039&lt;=30,Staffing!$J$23,Staffing!$K$23))),0)</f>
        <v>0.75</v>
      </c>
      <c r="F1039" s="10" t="n">
        <f aca="false">E1039*Staffing!$L$23/12*(1+Assumptions!$D$10)^INT((C1039-1)/12)*1</f>
        <v>7150</v>
      </c>
      <c r="G1039" s="10" t="n">
        <f aca="false">F1039*Staffing!$N$23</f>
        <v>2860</v>
      </c>
      <c r="H1039" s="10" t="n">
        <f aca="false">F1039+G1039</f>
        <v>10010</v>
      </c>
      <c r="I1039" s="10" t="n">
        <f aca="false">0</f>
        <v>0</v>
      </c>
      <c r="J1039" s="10" t="n">
        <f aca="false">MAX(0,E1039-E1038)*Staffing!$O$23</f>
        <v>0</v>
      </c>
      <c r="K1039" s="10" t="n">
        <f aca="false">MAX(0,E1039-E1038)*Staffing!$P$23</f>
        <v>0</v>
      </c>
      <c r="L1039" s="23" t="n">
        <f aca="false">ROUNDUP(E1039,0)</f>
        <v>1</v>
      </c>
    </row>
    <row r="1040" customFormat="false" ht="15" hidden="false" customHeight="false" outlineLevel="0" collapsed="false">
      <c r="A1040" s="6" t="s">
        <v>4</v>
      </c>
      <c r="B1040" s="6" t="s">
        <v>336</v>
      </c>
      <c r="C1040" s="6" t="n">
        <v>15</v>
      </c>
      <c r="D1040" s="25" t="n">
        <f aca="false">EDATE('Start Here'!$B$6,C1040-1)</f>
        <v>46753</v>
      </c>
      <c r="E1040" s="11" t="n">
        <f aca="false">IF(AND(C1040&gt;=Staffing!$F$23,C1040&lt;=Staffing!$G$23,1=1),IF(C1040&lt;=6,Staffing!$H$23,IF(C1040&lt;=15,Staffing!$I$23,IF(C1040&lt;=30,Staffing!$J$23,Staffing!$K$23))),0)</f>
        <v>0.75</v>
      </c>
      <c r="F1040" s="10" t="n">
        <f aca="false">E1040*Staffing!$L$23/12*(1+Assumptions!$D$10)^INT((C1040-1)/12)*1</f>
        <v>7150</v>
      </c>
      <c r="G1040" s="10" t="n">
        <f aca="false">F1040*Staffing!$N$23</f>
        <v>2860</v>
      </c>
      <c r="H1040" s="10" t="n">
        <f aca="false">F1040+G1040</f>
        <v>10010</v>
      </c>
      <c r="I1040" s="10" t="n">
        <f aca="false">0</f>
        <v>0</v>
      </c>
      <c r="J1040" s="10" t="n">
        <f aca="false">MAX(0,E1040-E1039)*Staffing!$O$23</f>
        <v>0</v>
      </c>
      <c r="K1040" s="10" t="n">
        <f aca="false">MAX(0,E1040-E1039)*Staffing!$P$23</f>
        <v>0</v>
      </c>
      <c r="L1040" s="23" t="n">
        <f aca="false">ROUNDUP(E1040,0)</f>
        <v>1</v>
      </c>
    </row>
    <row r="1041" customFormat="false" ht="15" hidden="false" customHeight="false" outlineLevel="0" collapsed="false">
      <c r="A1041" s="6" t="s">
        <v>4</v>
      </c>
      <c r="B1041" s="6" t="s">
        <v>336</v>
      </c>
      <c r="C1041" s="6" t="n">
        <v>16</v>
      </c>
      <c r="D1041" s="25" t="n">
        <f aca="false">EDATE('Start Here'!$B$6,C1041-1)</f>
        <v>46784</v>
      </c>
      <c r="E1041" s="11" t="n">
        <f aca="false">IF(AND(C1041&gt;=Staffing!$F$23,C1041&lt;=Staffing!$G$23,1=1),IF(C1041&lt;=6,Staffing!$H$23,IF(C1041&lt;=15,Staffing!$I$23,IF(C1041&lt;=30,Staffing!$J$23,Staffing!$K$23))),0)</f>
        <v>1</v>
      </c>
      <c r="F1041" s="10" t="n">
        <f aca="false">E1041*Staffing!$L$23/12*(1+Assumptions!$D$10)^INT((C1041-1)/12)*1</f>
        <v>9533.33333333333</v>
      </c>
      <c r="G1041" s="10" t="n">
        <f aca="false">F1041*Staffing!$N$23</f>
        <v>3813.33333333333</v>
      </c>
      <c r="H1041" s="10" t="n">
        <f aca="false">F1041+G1041</f>
        <v>13346.6666666667</v>
      </c>
      <c r="I1041" s="10" t="n">
        <f aca="false">0</f>
        <v>0</v>
      </c>
      <c r="J1041" s="10" t="n">
        <f aca="false">MAX(0,E1041-E1040)*Staffing!$O$23</f>
        <v>2000</v>
      </c>
      <c r="K1041" s="10" t="n">
        <f aca="false">MAX(0,E1041-E1040)*Staffing!$P$23</f>
        <v>750</v>
      </c>
      <c r="L1041" s="23" t="n">
        <f aca="false">ROUNDUP(E1041,0)</f>
        <v>1</v>
      </c>
    </row>
    <row r="1042" customFormat="false" ht="15" hidden="false" customHeight="false" outlineLevel="0" collapsed="false">
      <c r="A1042" s="6" t="s">
        <v>4</v>
      </c>
      <c r="B1042" s="6" t="s">
        <v>336</v>
      </c>
      <c r="C1042" s="6" t="n">
        <v>17</v>
      </c>
      <c r="D1042" s="25" t="n">
        <f aca="false">EDATE('Start Here'!$B$6,C1042-1)</f>
        <v>46813</v>
      </c>
      <c r="E1042" s="11" t="n">
        <f aca="false">IF(AND(C1042&gt;=Staffing!$F$23,C1042&lt;=Staffing!$G$23,1=1),IF(C1042&lt;=6,Staffing!$H$23,IF(C1042&lt;=15,Staffing!$I$23,IF(C1042&lt;=30,Staffing!$J$23,Staffing!$K$23))),0)</f>
        <v>1</v>
      </c>
      <c r="F1042" s="10" t="n">
        <f aca="false">E1042*Staffing!$L$23/12*(1+Assumptions!$D$10)^INT((C1042-1)/12)*1</f>
        <v>9533.33333333333</v>
      </c>
      <c r="G1042" s="10" t="n">
        <f aca="false">F1042*Staffing!$N$23</f>
        <v>3813.33333333333</v>
      </c>
      <c r="H1042" s="10" t="n">
        <f aca="false">F1042+G1042</f>
        <v>13346.6666666667</v>
      </c>
      <c r="I1042" s="10" t="n">
        <f aca="false">0</f>
        <v>0</v>
      </c>
      <c r="J1042" s="10" t="n">
        <f aca="false">MAX(0,E1042-E1041)*Staffing!$O$23</f>
        <v>0</v>
      </c>
      <c r="K1042" s="10" t="n">
        <f aca="false">MAX(0,E1042-E1041)*Staffing!$P$23</f>
        <v>0</v>
      </c>
      <c r="L1042" s="23" t="n">
        <f aca="false">ROUNDUP(E1042,0)</f>
        <v>1</v>
      </c>
    </row>
    <row r="1043" customFormat="false" ht="15" hidden="false" customHeight="false" outlineLevel="0" collapsed="false">
      <c r="A1043" s="6" t="s">
        <v>4</v>
      </c>
      <c r="B1043" s="6" t="s">
        <v>336</v>
      </c>
      <c r="C1043" s="6" t="n">
        <v>18</v>
      </c>
      <c r="D1043" s="25" t="n">
        <f aca="false">EDATE('Start Here'!$B$6,C1043-1)</f>
        <v>46844</v>
      </c>
      <c r="E1043" s="11" t="n">
        <f aca="false">IF(AND(C1043&gt;=Staffing!$F$23,C1043&lt;=Staffing!$G$23,1=1),IF(C1043&lt;=6,Staffing!$H$23,IF(C1043&lt;=15,Staffing!$I$23,IF(C1043&lt;=30,Staffing!$J$23,Staffing!$K$23))),0)</f>
        <v>1</v>
      </c>
      <c r="F1043" s="10" t="n">
        <f aca="false">E1043*Staffing!$L$23/12*(1+Assumptions!$D$10)^INT((C1043-1)/12)*1</f>
        <v>9533.33333333333</v>
      </c>
      <c r="G1043" s="10" t="n">
        <f aca="false">F1043*Staffing!$N$23</f>
        <v>3813.33333333333</v>
      </c>
      <c r="H1043" s="10" t="n">
        <f aca="false">F1043+G1043</f>
        <v>13346.6666666667</v>
      </c>
      <c r="I1043" s="10" t="n">
        <f aca="false">0</f>
        <v>0</v>
      </c>
      <c r="J1043" s="10" t="n">
        <f aca="false">MAX(0,E1043-E1042)*Staffing!$O$23</f>
        <v>0</v>
      </c>
      <c r="K1043" s="10" t="n">
        <f aca="false">MAX(0,E1043-E1042)*Staffing!$P$23</f>
        <v>0</v>
      </c>
      <c r="L1043" s="23" t="n">
        <f aca="false">ROUNDUP(E1043,0)</f>
        <v>1</v>
      </c>
    </row>
    <row r="1044" customFormat="false" ht="15" hidden="false" customHeight="false" outlineLevel="0" collapsed="false">
      <c r="A1044" s="6" t="s">
        <v>4</v>
      </c>
      <c r="B1044" s="6" t="s">
        <v>336</v>
      </c>
      <c r="C1044" s="6" t="n">
        <v>19</v>
      </c>
      <c r="D1044" s="25" t="n">
        <f aca="false">EDATE('Start Here'!$B$6,C1044-1)</f>
        <v>46874</v>
      </c>
      <c r="E1044" s="11" t="n">
        <f aca="false">IF(AND(C1044&gt;=Staffing!$F$23,C1044&lt;=Staffing!$G$23,1=1),IF(C1044&lt;=6,Staffing!$H$23,IF(C1044&lt;=15,Staffing!$I$23,IF(C1044&lt;=30,Staffing!$J$23,Staffing!$K$23))),0)</f>
        <v>1</v>
      </c>
      <c r="F1044" s="10" t="n">
        <f aca="false">E1044*Staffing!$L$23/12*(1+Assumptions!$D$10)^INT((C1044-1)/12)*1</f>
        <v>9533.33333333333</v>
      </c>
      <c r="G1044" s="10" t="n">
        <f aca="false">F1044*Staffing!$N$23</f>
        <v>3813.33333333333</v>
      </c>
      <c r="H1044" s="10" t="n">
        <f aca="false">F1044+G1044</f>
        <v>13346.6666666667</v>
      </c>
      <c r="I1044" s="10" t="n">
        <f aca="false">0</f>
        <v>0</v>
      </c>
      <c r="J1044" s="10" t="n">
        <f aca="false">MAX(0,E1044-E1043)*Staffing!$O$23</f>
        <v>0</v>
      </c>
      <c r="K1044" s="10" t="n">
        <f aca="false">MAX(0,E1044-E1043)*Staffing!$P$23</f>
        <v>0</v>
      </c>
      <c r="L1044" s="23" t="n">
        <f aca="false">ROUNDUP(E1044,0)</f>
        <v>1</v>
      </c>
    </row>
    <row r="1045" customFormat="false" ht="15" hidden="false" customHeight="false" outlineLevel="0" collapsed="false">
      <c r="A1045" s="6" t="s">
        <v>4</v>
      </c>
      <c r="B1045" s="6" t="s">
        <v>336</v>
      </c>
      <c r="C1045" s="6" t="n">
        <v>20</v>
      </c>
      <c r="D1045" s="25" t="n">
        <f aca="false">EDATE('Start Here'!$B$6,C1045-1)</f>
        <v>46905</v>
      </c>
      <c r="E1045" s="11" t="n">
        <f aca="false">IF(AND(C1045&gt;=Staffing!$F$23,C1045&lt;=Staffing!$G$23,1=1),IF(C1045&lt;=6,Staffing!$H$23,IF(C1045&lt;=15,Staffing!$I$23,IF(C1045&lt;=30,Staffing!$J$23,Staffing!$K$23))),0)</f>
        <v>1</v>
      </c>
      <c r="F1045" s="10" t="n">
        <f aca="false">E1045*Staffing!$L$23/12*(1+Assumptions!$D$10)^INT((C1045-1)/12)*1</f>
        <v>9533.33333333333</v>
      </c>
      <c r="G1045" s="10" t="n">
        <f aca="false">F1045*Staffing!$N$23</f>
        <v>3813.33333333333</v>
      </c>
      <c r="H1045" s="10" t="n">
        <f aca="false">F1045+G1045</f>
        <v>13346.6666666667</v>
      </c>
      <c r="I1045" s="10" t="n">
        <f aca="false">0</f>
        <v>0</v>
      </c>
      <c r="J1045" s="10" t="n">
        <f aca="false">MAX(0,E1045-E1044)*Staffing!$O$23</f>
        <v>0</v>
      </c>
      <c r="K1045" s="10" t="n">
        <f aca="false">MAX(0,E1045-E1044)*Staffing!$P$23</f>
        <v>0</v>
      </c>
      <c r="L1045" s="23" t="n">
        <f aca="false">ROUNDUP(E1045,0)</f>
        <v>1</v>
      </c>
    </row>
    <row r="1046" customFormat="false" ht="15" hidden="false" customHeight="false" outlineLevel="0" collapsed="false">
      <c r="A1046" s="6" t="s">
        <v>4</v>
      </c>
      <c r="B1046" s="6" t="s">
        <v>336</v>
      </c>
      <c r="C1046" s="6" t="n">
        <v>21</v>
      </c>
      <c r="D1046" s="25" t="n">
        <f aca="false">EDATE('Start Here'!$B$6,C1046-1)</f>
        <v>46935</v>
      </c>
      <c r="E1046" s="11" t="n">
        <f aca="false">IF(AND(C1046&gt;=Staffing!$F$23,C1046&lt;=Staffing!$G$23,1=1),IF(C1046&lt;=6,Staffing!$H$23,IF(C1046&lt;=15,Staffing!$I$23,IF(C1046&lt;=30,Staffing!$J$23,Staffing!$K$23))),0)</f>
        <v>1</v>
      </c>
      <c r="F1046" s="10" t="n">
        <f aca="false">E1046*Staffing!$L$23/12*(1+Assumptions!$D$10)^INT((C1046-1)/12)*1</f>
        <v>9533.33333333333</v>
      </c>
      <c r="G1046" s="10" t="n">
        <f aca="false">F1046*Staffing!$N$23</f>
        <v>3813.33333333333</v>
      </c>
      <c r="H1046" s="10" t="n">
        <f aca="false">F1046+G1046</f>
        <v>13346.6666666667</v>
      </c>
      <c r="I1046" s="10" t="n">
        <f aca="false">0</f>
        <v>0</v>
      </c>
      <c r="J1046" s="10" t="n">
        <f aca="false">MAX(0,E1046-E1045)*Staffing!$O$23</f>
        <v>0</v>
      </c>
      <c r="K1046" s="10" t="n">
        <f aca="false">MAX(0,E1046-E1045)*Staffing!$P$23</f>
        <v>0</v>
      </c>
      <c r="L1046" s="23" t="n">
        <f aca="false">ROUNDUP(E1046,0)</f>
        <v>1</v>
      </c>
    </row>
    <row r="1047" customFormat="false" ht="15" hidden="false" customHeight="false" outlineLevel="0" collapsed="false">
      <c r="A1047" s="6" t="s">
        <v>4</v>
      </c>
      <c r="B1047" s="6" t="s">
        <v>336</v>
      </c>
      <c r="C1047" s="6" t="n">
        <v>22</v>
      </c>
      <c r="D1047" s="25" t="n">
        <f aca="false">EDATE('Start Here'!$B$6,C1047-1)</f>
        <v>46966</v>
      </c>
      <c r="E1047" s="11" t="n">
        <f aca="false">IF(AND(C1047&gt;=Staffing!$F$23,C1047&lt;=Staffing!$G$23,1=1),IF(C1047&lt;=6,Staffing!$H$23,IF(C1047&lt;=15,Staffing!$I$23,IF(C1047&lt;=30,Staffing!$J$23,Staffing!$K$23))),0)</f>
        <v>1</v>
      </c>
      <c r="F1047" s="10" t="n">
        <f aca="false">E1047*Staffing!$L$23/12*(1+Assumptions!$D$10)^INT((C1047-1)/12)*1</f>
        <v>9533.33333333333</v>
      </c>
      <c r="G1047" s="10" t="n">
        <f aca="false">F1047*Staffing!$N$23</f>
        <v>3813.33333333333</v>
      </c>
      <c r="H1047" s="10" t="n">
        <f aca="false">F1047+G1047</f>
        <v>13346.6666666667</v>
      </c>
      <c r="I1047" s="10" t="n">
        <f aca="false">0</f>
        <v>0</v>
      </c>
      <c r="J1047" s="10" t="n">
        <f aca="false">MAX(0,E1047-E1046)*Staffing!$O$23</f>
        <v>0</v>
      </c>
      <c r="K1047" s="10" t="n">
        <f aca="false">MAX(0,E1047-E1046)*Staffing!$P$23</f>
        <v>0</v>
      </c>
      <c r="L1047" s="23" t="n">
        <f aca="false">ROUNDUP(E1047,0)</f>
        <v>1</v>
      </c>
    </row>
    <row r="1048" customFormat="false" ht="15" hidden="false" customHeight="false" outlineLevel="0" collapsed="false">
      <c r="A1048" s="6" t="s">
        <v>4</v>
      </c>
      <c r="B1048" s="6" t="s">
        <v>336</v>
      </c>
      <c r="C1048" s="6" t="n">
        <v>23</v>
      </c>
      <c r="D1048" s="25" t="n">
        <f aca="false">EDATE('Start Here'!$B$6,C1048-1)</f>
        <v>46997</v>
      </c>
      <c r="E1048" s="11" t="n">
        <f aca="false">IF(AND(C1048&gt;=Staffing!$F$23,C1048&lt;=Staffing!$G$23,1=1),IF(C1048&lt;=6,Staffing!$H$23,IF(C1048&lt;=15,Staffing!$I$23,IF(C1048&lt;=30,Staffing!$J$23,Staffing!$K$23))),0)</f>
        <v>1</v>
      </c>
      <c r="F1048" s="10" t="n">
        <f aca="false">E1048*Staffing!$L$23/12*(1+Assumptions!$D$10)^INT((C1048-1)/12)*1</f>
        <v>9533.33333333333</v>
      </c>
      <c r="G1048" s="10" t="n">
        <f aca="false">F1048*Staffing!$N$23</f>
        <v>3813.33333333333</v>
      </c>
      <c r="H1048" s="10" t="n">
        <f aca="false">F1048+G1048</f>
        <v>13346.6666666667</v>
      </c>
      <c r="I1048" s="10" t="n">
        <f aca="false">0</f>
        <v>0</v>
      </c>
      <c r="J1048" s="10" t="n">
        <f aca="false">MAX(0,E1048-E1047)*Staffing!$O$23</f>
        <v>0</v>
      </c>
      <c r="K1048" s="10" t="n">
        <f aca="false">MAX(0,E1048-E1047)*Staffing!$P$23</f>
        <v>0</v>
      </c>
      <c r="L1048" s="23" t="n">
        <f aca="false">ROUNDUP(E1048,0)</f>
        <v>1</v>
      </c>
    </row>
    <row r="1049" customFormat="false" ht="15" hidden="false" customHeight="false" outlineLevel="0" collapsed="false">
      <c r="A1049" s="6" t="s">
        <v>4</v>
      </c>
      <c r="B1049" s="6" t="s">
        <v>336</v>
      </c>
      <c r="C1049" s="6" t="n">
        <v>24</v>
      </c>
      <c r="D1049" s="25" t="n">
        <f aca="false">EDATE('Start Here'!$B$6,C1049-1)</f>
        <v>47027</v>
      </c>
      <c r="E1049" s="11" t="n">
        <f aca="false">IF(AND(C1049&gt;=Staffing!$F$23,C1049&lt;=Staffing!$G$23,1=1),IF(C1049&lt;=6,Staffing!$H$23,IF(C1049&lt;=15,Staffing!$I$23,IF(C1049&lt;=30,Staffing!$J$23,Staffing!$K$23))),0)</f>
        <v>1</v>
      </c>
      <c r="F1049" s="10" t="n">
        <f aca="false">E1049*Staffing!$L$23/12*(1+Assumptions!$D$10)^INT((C1049-1)/12)*1</f>
        <v>9533.33333333333</v>
      </c>
      <c r="G1049" s="10" t="n">
        <f aca="false">F1049*Staffing!$N$23</f>
        <v>3813.33333333333</v>
      </c>
      <c r="H1049" s="10" t="n">
        <f aca="false">F1049+G1049</f>
        <v>13346.6666666667</v>
      </c>
      <c r="I1049" s="10" t="n">
        <f aca="false">0</f>
        <v>0</v>
      </c>
      <c r="J1049" s="10" t="n">
        <f aca="false">MAX(0,E1049-E1048)*Staffing!$O$23</f>
        <v>0</v>
      </c>
      <c r="K1049" s="10" t="n">
        <f aca="false">MAX(0,E1049-E1048)*Staffing!$P$23</f>
        <v>0</v>
      </c>
      <c r="L1049" s="23" t="n">
        <f aca="false">ROUNDUP(E1049,0)</f>
        <v>1</v>
      </c>
    </row>
    <row r="1050" customFormat="false" ht="15" hidden="false" customHeight="false" outlineLevel="0" collapsed="false">
      <c r="A1050" s="6" t="s">
        <v>4</v>
      </c>
      <c r="B1050" s="6" t="s">
        <v>336</v>
      </c>
      <c r="C1050" s="6" t="n">
        <v>25</v>
      </c>
      <c r="D1050" s="25" t="n">
        <f aca="false">EDATE('Start Here'!$B$6,C1050-1)</f>
        <v>47058</v>
      </c>
      <c r="E1050" s="11" t="n">
        <f aca="false">IF(AND(C1050&gt;=Staffing!$F$23,C1050&lt;=Staffing!$G$23,1=1),IF(C1050&lt;=6,Staffing!$H$23,IF(C1050&lt;=15,Staffing!$I$23,IF(C1050&lt;=30,Staffing!$J$23,Staffing!$K$23))),0)</f>
        <v>1</v>
      </c>
      <c r="F1050" s="10" t="n">
        <f aca="false">E1050*Staffing!$L$23/12*(1+Assumptions!$D$10)^INT((C1050-1)/12)*1</f>
        <v>9914.66666666667</v>
      </c>
      <c r="G1050" s="10" t="n">
        <f aca="false">F1050*Staffing!$N$23</f>
        <v>3965.86666666667</v>
      </c>
      <c r="H1050" s="10" t="n">
        <f aca="false">F1050+G1050</f>
        <v>13880.5333333333</v>
      </c>
      <c r="I1050" s="10" t="n">
        <f aca="false">0</f>
        <v>0</v>
      </c>
      <c r="J1050" s="10" t="n">
        <f aca="false">MAX(0,E1050-E1049)*Staffing!$O$23</f>
        <v>0</v>
      </c>
      <c r="K1050" s="10" t="n">
        <f aca="false">MAX(0,E1050-E1049)*Staffing!$P$23</f>
        <v>0</v>
      </c>
      <c r="L1050" s="23" t="n">
        <f aca="false">ROUNDUP(E1050,0)</f>
        <v>1</v>
      </c>
    </row>
    <row r="1051" customFormat="false" ht="15" hidden="false" customHeight="false" outlineLevel="0" collapsed="false">
      <c r="A1051" s="6" t="s">
        <v>4</v>
      </c>
      <c r="B1051" s="6" t="s">
        <v>336</v>
      </c>
      <c r="C1051" s="6" t="n">
        <v>26</v>
      </c>
      <c r="D1051" s="25" t="n">
        <f aca="false">EDATE('Start Here'!$B$6,C1051-1)</f>
        <v>47088</v>
      </c>
      <c r="E1051" s="11" t="n">
        <f aca="false">IF(AND(C1051&gt;=Staffing!$F$23,C1051&lt;=Staffing!$G$23,1=1),IF(C1051&lt;=6,Staffing!$H$23,IF(C1051&lt;=15,Staffing!$I$23,IF(C1051&lt;=30,Staffing!$J$23,Staffing!$K$23))),0)</f>
        <v>1</v>
      </c>
      <c r="F1051" s="10" t="n">
        <f aca="false">E1051*Staffing!$L$23/12*(1+Assumptions!$D$10)^INT((C1051-1)/12)*1</f>
        <v>9914.66666666667</v>
      </c>
      <c r="G1051" s="10" t="n">
        <f aca="false">F1051*Staffing!$N$23</f>
        <v>3965.86666666667</v>
      </c>
      <c r="H1051" s="10" t="n">
        <f aca="false">F1051+G1051</f>
        <v>13880.5333333333</v>
      </c>
      <c r="I1051" s="10" t="n">
        <f aca="false">0</f>
        <v>0</v>
      </c>
      <c r="J1051" s="10" t="n">
        <f aca="false">MAX(0,E1051-E1050)*Staffing!$O$23</f>
        <v>0</v>
      </c>
      <c r="K1051" s="10" t="n">
        <f aca="false">MAX(0,E1051-E1050)*Staffing!$P$23</f>
        <v>0</v>
      </c>
      <c r="L1051" s="23" t="n">
        <f aca="false">ROUNDUP(E1051,0)</f>
        <v>1</v>
      </c>
    </row>
    <row r="1052" customFormat="false" ht="15" hidden="false" customHeight="false" outlineLevel="0" collapsed="false">
      <c r="A1052" s="6" t="s">
        <v>4</v>
      </c>
      <c r="B1052" s="6" t="s">
        <v>336</v>
      </c>
      <c r="C1052" s="6" t="n">
        <v>27</v>
      </c>
      <c r="D1052" s="25" t="n">
        <f aca="false">EDATE('Start Here'!$B$6,C1052-1)</f>
        <v>47119</v>
      </c>
      <c r="E1052" s="11" t="n">
        <f aca="false">IF(AND(C1052&gt;=Staffing!$F$23,C1052&lt;=Staffing!$G$23,1=1),IF(C1052&lt;=6,Staffing!$H$23,IF(C1052&lt;=15,Staffing!$I$23,IF(C1052&lt;=30,Staffing!$J$23,Staffing!$K$23))),0)</f>
        <v>1</v>
      </c>
      <c r="F1052" s="10" t="n">
        <f aca="false">E1052*Staffing!$L$23/12*(1+Assumptions!$D$10)^INT((C1052-1)/12)*1</f>
        <v>9914.66666666667</v>
      </c>
      <c r="G1052" s="10" t="n">
        <f aca="false">F1052*Staffing!$N$23</f>
        <v>3965.86666666667</v>
      </c>
      <c r="H1052" s="10" t="n">
        <f aca="false">F1052+G1052</f>
        <v>13880.5333333333</v>
      </c>
      <c r="I1052" s="10" t="n">
        <f aca="false">0</f>
        <v>0</v>
      </c>
      <c r="J1052" s="10" t="n">
        <f aca="false">MAX(0,E1052-E1051)*Staffing!$O$23</f>
        <v>0</v>
      </c>
      <c r="K1052" s="10" t="n">
        <f aca="false">MAX(0,E1052-E1051)*Staffing!$P$23</f>
        <v>0</v>
      </c>
      <c r="L1052" s="23" t="n">
        <f aca="false">ROUNDUP(E1052,0)</f>
        <v>1</v>
      </c>
    </row>
    <row r="1053" customFormat="false" ht="15" hidden="false" customHeight="false" outlineLevel="0" collapsed="false">
      <c r="A1053" s="6" t="s">
        <v>4</v>
      </c>
      <c r="B1053" s="6" t="s">
        <v>336</v>
      </c>
      <c r="C1053" s="6" t="n">
        <v>28</v>
      </c>
      <c r="D1053" s="25" t="n">
        <f aca="false">EDATE('Start Here'!$B$6,C1053-1)</f>
        <v>47150</v>
      </c>
      <c r="E1053" s="11" t="n">
        <f aca="false">IF(AND(C1053&gt;=Staffing!$F$23,C1053&lt;=Staffing!$G$23,1=1),IF(C1053&lt;=6,Staffing!$H$23,IF(C1053&lt;=15,Staffing!$I$23,IF(C1053&lt;=30,Staffing!$J$23,Staffing!$K$23))),0)</f>
        <v>1</v>
      </c>
      <c r="F1053" s="10" t="n">
        <f aca="false">E1053*Staffing!$L$23/12*(1+Assumptions!$D$10)^INT((C1053-1)/12)*1</f>
        <v>9914.66666666667</v>
      </c>
      <c r="G1053" s="10" t="n">
        <f aca="false">F1053*Staffing!$N$23</f>
        <v>3965.86666666667</v>
      </c>
      <c r="H1053" s="10" t="n">
        <f aca="false">F1053+G1053</f>
        <v>13880.5333333333</v>
      </c>
      <c r="I1053" s="10" t="n">
        <f aca="false">0</f>
        <v>0</v>
      </c>
      <c r="J1053" s="10" t="n">
        <f aca="false">MAX(0,E1053-E1052)*Staffing!$O$23</f>
        <v>0</v>
      </c>
      <c r="K1053" s="10" t="n">
        <f aca="false">MAX(0,E1053-E1052)*Staffing!$P$23</f>
        <v>0</v>
      </c>
      <c r="L1053" s="23" t="n">
        <f aca="false">ROUNDUP(E1053,0)</f>
        <v>1</v>
      </c>
    </row>
    <row r="1054" customFormat="false" ht="15" hidden="false" customHeight="false" outlineLevel="0" collapsed="false">
      <c r="A1054" s="6" t="s">
        <v>4</v>
      </c>
      <c r="B1054" s="6" t="s">
        <v>336</v>
      </c>
      <c r="C1054" s="6" t="n">
        <v>29</v>
      </c>
      <c r="D1054" s="25" t="n">
        <f aca="false">EDATE('Start Here'!$B$6,C1054-1)</f>
        <v>47178</v>
      </c>
      <c r="E1054" s="11" t="n">
        <f aca="false">IF(AND(C1054&gt;=Staffing!$F$23,C1054&lt;=Staffing!$G$23,1=1),IF(C1054&lt;=6,Staffing!$H$23,IF(C1054&lt;=15,Staffing!$I$23,IF(C1054&lt;=30,Staffing!$J$23,Staffing!$K$23))),0)</f>
        <v>1</v>
      </c>
      <c r="F1054" s="10" t="n">
        <f aca="false">E1054*Staffing!$L$23/12*(1+Assumptions!$D$10)^INT((C1054-1)/12)*1</f>
        <v>9914.66666666667</v>
      </c>
      <c r="G1054" s="10" t="n">
        <f aca="false">F1054*Staffing!$N$23</f>
        <v>3965.86666666667</v>
      </c>
      <c r="H1054" s="10" t="n">
        <f aca="false">F1054+G1054</f>
        <v>13880.5333333333</v>
      </c>
      <c r="I1054" s="10" t="n">
        <f aca="false">0</f>
        <v>0</v>
      </c>
      <c r="J1054" s="10" t="n">
        <f aca="false">MAX(0,E1054-E1053)*Staffing!$O$23</f>
        <v>0</v>
      </c>
      <c r="K1054" s="10" t="n">
        <f aca="false">MAX(0,E1054-E1053)*Staffing!$P$23</f>
        <v>0</v>
      </c>
      <c r="L1054" s="23" t="n">
        <f aca="false">ROUNDUP(E1054,0)</f>
        <v>1</v>
      </c>
    </row>
    <row r="1055" customFormat="false" ht="15" hidden="false" customHeight="false" outlineLevel="0" collapsed="false">
      <c r="A1055" s="6" t="s">
        <v>4</v>
      </c>
      <c r="B1055" s="6" t="s">
        <v>336</v>
      </c>
      <c r="C1055" s="6" t="n">
        <v>30</v>
      </c>
      <c r="D1055" s="25" t="n">
        <f aca="false">EDATE('Start Here'!$B$6,C1055-1)</f>
        <v>47209</v>
      </c>
      <c r="E1055" s="11" t="n">
        <f aca="false">IF(AND(C1055&gt;=Staffing!$F$23,C1055&lt;=Staffing!$G$23,1=1),IF(C1055&lt;=6,Staffing!$H$23,IF(C1055&lt;=15,Staffing!$I$23,IF(C1055&lt;=30,Staffing!$J$23,Staffing!$K$23))),0)</f>
        <v>1</v>
      </c>
      <c r="F1055" s="10" t="n">
        <f aca="false">E1055*Staffing!$L$23/12*(1+Assumptions!$D$10)^INT((C1055-1)/12)*1</f>
        <v>9914.66666666667</v>
      </c>
      <c r="G1055" s="10" t="n">
        <f aca="false">F1055*Staffing!$N$23</f>
        <v>3965.86666666667</v>
      </c>
      <c r="H1055" s="10" t="n">
        <f aca="false">F1055+G1055</f>
        <v>13880.5333333333</v>
      </c>
      <c r="I1055" s="10" t="n">
        <f aca="false">0</f>
        <v>0</v>
      </c>
      <c r="J1055" s="10" t="n">
        <f aca="false">MAX(0,E1055-E1054)*Staffing!$O$23</f>
        <v>0</v>
      </c>
      <c r="K1055" s="10" t="n">
        <f aca="false">MAX(0,E1055-E1054)*Staffing!$P$23</f>
        <v>0</v>
      </c>
      <c r="L1055" s="23" t="n">
        <f aca="false">ROUNDUP(E1055,0)</f>
        <v>1</v>
      </c>
    </row>
    <row r="1056" customFormat="false" ht="15" hidden="false" customHeight="false" outlineLevel="0" collapsed="false">
      <c r="A1056" s="6" t="s">
        <v>4</v>
      </c>
      <c r="B1056" s="6" t="s">
        <v>336</v>
      </c>
      <c r="C1056" s="6" t="n">
        <v>31</v>
      </c>
      <c r="D1056" s="25" t="n">
        <f aca="false">EDATE('Start Here'!$B$6,C1056-1)</f>
        <v>47239</v>
      </c>
      <c r="E1056" s="11" t="n">
        <f aca="false">IF(AND(C1056&gt;=Staffing!$F$23,C1056&lt;=Staffing!$G$23,1=1),IF(C1056&lt;=6,Staffing!$H$23,IF(C1056&lt;=15,Staffing!$I$23,IF(C1056&lt;=30,Staffing!$J$23,Staffing!$K$23))),0)</f>
        <v>2</v>
      </c>
      <c r="F1056" s="10" t="n">
        <f aca="false">E1056*Staffing!$L$23/12*(1+Assumptions!$D$10)^INT((C1056-1)/12)*1</f>
        <v>19829.3333333333</v>
      </c>
      <c r="G1056" s="10" t="n">
        <f aca="false">F1056*Staffing!$N$23</f>
        <v>7931.73333333333</v>
      </c>
      <c r="H1056" s="10" t="n">
        <f aca="false">F1056+G1056</f>
        <v>27761.0666666667</v>
      </c>
      <c r="I1056" s="10" t="n">
        <f aca="false">0</f>
        <v>0</v>
      </c>
      <c r="J1056" s="10" t="n">
        <f aca="false">MAX(0,E1056-E1055)*Staffing!$O$23</f>
        <v>8000</v>
      </c>
      <c r="K1056" s="10" t="n">
        <f aca="false">MAX(0,E1056-E1055)*Staffing!$P$23</f>
        <v>3000</v>
      </c>
      <c r="L1056" s="23" t="n">
        <f aca="false">ROUNDUP(E1056,0)</f>
        <v>2</v>
      </c>
    </row>
    <row r="1057" customFormat="false" ht="15" hidden="false" customHeight="false" outlineLevel="0" collapsed="false">
      <c r="A1057" s="6" t="s">
        <v>4</v>
      </c>
      <c r="B1057" s="6" t="s">
        <v>336</v>
      </c>
      <c r="C1057" s="6" t="n">
        <v>32</v>
      </c>
      <c r="D1057" s="25" t="n">
        <f aca="false">EDATE('Start Here'!$B$6,C1057-1)</f>
        <v>47270</v>
      </c>
      <c r="E1057" s="11" t="n">
        <f aca="false">IF(AND(C1057&gt;=Staffing!$F$23,C1057&lt;=Staffing!$G$23,1=1),IF(C1057&lt;=6,Staffing!$H$23,IF(C1057&lt;=15,Staffing!$I$23,IF(C1057&lt;=30,Staffing!$J$23,Staffing!$K$23))),0)</f>
        <v>2</v>
      </c>
      <c r="F1057" s="10" t="n">
        <f aca="false">E1057*Staffing!$L$23/12*(1+Assumptions!$D$10)^INT((C1057-1)/12)*1</f>
        <v>19829.3333333333</v>
      </c>
      <c r="G1057" s="10" t="n">
        <f aca="false">F1057*Staffing!$N$23</f>
        <v>7931.73333333333</v>
      </c>
      <c r="H1057" s="10" t="n">
        <f aca="false">F1057+G1057</f>
        <v>27761.0666666667</v>
      </c>
      <c r="I1057" s="10" t="n">
        <f aca="false">0</f>
        <v>0</v>
      </c>
      <c r="J1057" s="10" t="n">
        <f aca="false">MAX(0,E1057-E1056)*Staffing!$O$23</f>
        <v>0</v>
      </c>
      <c r="K1057" s="10" t="n">
        <f aca="false">MAX(0,E1057-E1056)*Staffing!$P$23</f>
        <v>0</v>
      </c>
      <c r="L1057" s="23" t="n">
        <f aca="false">ROUNDUP(E1057,0)</f>
        <v>2</v>
      </c>
    </row>
    <row r="1058" customFormat="false" ht="15" hidden="false" customHeight="false" outlineLevel="0" collapsed="false">
      <c r="A1058" s="6" t="s">
        <v>4</v>
      </c>
      <c r="B1058" s="6" t="s">
        <v>336</v>
      </c>
      <c r="C1058" s="6" t="n">
        <v>33</v>
      </c>
      <c r="D1058" s="25" t="n">
        <f aca="false">EDATE('Start Here'!$B$6,C1058-1)</f>
        <v>47300</v>
      </c>
      <c r="E1058" s="11" t="n">
        <f aca="false">IF(AND(C1058&gt;=Staffing!$F$23,C1058&lt;=Staffing!$G$23,1=1),IF(C1058&lt;=6,Staffing!$H$23,IF(C1058&lt;=15,Staffing!$I$23,IF(C1058&lt;=30,Staffing!$J$23,Staffing!$K$23))),0)</f>
        <v>2</v>
      </c>
      <c r="F1058" s="10" t="n">
        <f aca="false">E1058*Staffing!$L$23/12*(1+Assumptions!$D$10)^INT((C1058-1)/12)*1</f>
        <v>19829.3333333333</v>
      </c>
      <c r="G1058" s="10" t="n">
        <f aca="false">F1058*Staffing!$N$23</f>
        <v>7931.73333333333</v>
      </c>
      <c r="H1058" s="10" t="n">
        <f aca="false">F1058+G1058</f>
        <v>27761.0666666667</v>
      </c>
      <c r="I1058" s="10" t="n">
        <f aca="false">0</f>
        <v>0</v>
      </c>
      <c r="J1058" s="10" t="n">
        <f aca="false">MAX(0,E1058-E1057)*Staffing!$O$23</f>
        <v>0</v>
      </c>
      <c r="K1058" s="10" t="n">
        <f aca="false">MAX(0,E1058-E1057)*Staffing!$P$23</f>
        <v>0</v>
      </c>
      <c r="L1058" s="23" t="n">
        <f aca="false">ROUNDUP(E1058,0)</f>
        <v>2</v>
      </c>
    </row>
    <row r="1059" customFormat="false" ht="15" hidden="false" customHeight="false" outlineLevel="0" collapsed="false">
      <c r="A1059" s="6" t="s">
        <v>4</v>
      </c>
      <c r="B1059" s="6" t="s">
        <v>336</v>
      </c>
      <c r="C1059" s="6" t="n">
        <v>34</v>
      </c>
      <c r="D1059" s="25" t="n">
        <f aca="false">EDATE('Start Here'!$B$6,C1059-1)</f>
        <v>47331</v>
      </c>
      <c r="E1059" s="11" t="n">
        <f aca="false">IF(AND(C1059&gt;=Staffing!$F$23,C1059&lt;=Staffing!$G$23,1=1),IF(C1059&lt;=6,Staffing!$H$23,IF(C1059&lt;=15,Staffing!$I$23,IF(C1059&lt;=30,Staffing!$J$23,Staffing!$K$23))),0)</f>
        <v>2</v>
      </c>
      <c r="F1059" s="10" t="n">
        <f aca="false">E1059*Staffing!$L$23/12*(1+Assumptions!$D$10)^INT((C1059-1)/12)*1</f>
        <v>19829.3333333333</v>
      </c>
      <c r="G1059" s="10" t="n">
        <f aca="false">F1059*Staffing!$N$23</f>
        <v>7931.73333333333</v>
      </c>
      <c r="H1059" s="10" t="n">
        <f aca="false">F1059+G1059</f>
        <v>27761.0666666667</v>
      </c>
      <c r="I1059" s="10" t="n">
        <f aca="false">0</f>
        <v>0</v>
      </c>
      <c r="J1059" s="10" t="n">
        <f aca="false">MAX(0,E1059-E1058)*Staffing!$O$23</f>
        <v>0</v>
      </c>
      <c r="K1059" s="10" t="n">
        <f aca="false">MAX(0,E1059-E1058)*Staffing!$P$23</f>
        <v>0</v>
      </c>
      <c r="L1059" s="23" t="n">
        <f aca="false">ROUNDUP(E1059,0)</f>
        <v>2</v>
      </c>
    </row>
    <row r="1060" customFormat="false" ht="15" hidden="false" customHeight="false" outlineLevel="0" collapsed="false">
      <c r="A1060" s="6" t="s">
        <v>4</v>
      </c>
      <c r="B1060" s="6" t="s">
        <v>336</v>
      </c>
      <c r="C1060" s="6" t="n">
        <v>35</v>
      </c>
      <c r="D1060" s="25" t="n">
        <f aca="false">EDATE('Start Here'!$B$6,C1060-1)</f>
        <v>47362</v>
      </c>
      <c r="E1060" s="11" t="n">
        <f aca="false">IF(AND(C1060&gt;=Staffing!$F$23,C1060&lt;=Staffing!$G$23,1=1),IF(C1060&lt;=6,Staffing!$H$23,IF(C1060&lt;=15,Staffing!$I$23,IF(C1060&lt;=30,Staffing!$J$23,Staffing!$K$23))),0)</f>
        <v>2</v>
      </c>
      <c r="F1060" s="10" t="n">
        <f aca="false">E1060*Staffing!$L$23/12*(1+Assumptions!$D$10)^INT((C1060-1)/12)*1</f>
        <v>19829.3333333333</v>
      </c>
      <c r="G1060" s="10" t="n">
        <f aca="false">F1060*Staffing!$N$23</f>
        <v>7931.73333333333</v>
      </c>
      <c r="H1060" s="10" t="n">
        <f aca="false">F1060+G1060</f>
        <v>27761.0666666667</v>
      </c>
      <c r="I1060" s="10" t="n">
        <f aca="false">0</f>
        <v>0</v>
      </c>
      <c r="J1060" s="10" t="n">
        <f aca="false">MAX(0,E1060-E1059)*Staffing!$O$23</f>
        <v>0</v>
      </c>
      <c r="K1060" s="10" t="n">
        <f aca="false">MAX(0,E1060-E1059)*Staffing!$P$23</f>
        <v>0</v>
      </c>
      <c r="L1060" s="23" t="n">
        <f aca="false">ROUNDUP(E1060,0)</f>
        <v>2</v>
      </c>
    </row>
    <row r="1061" customFormat="false" ht="15" hidden="false" customHeight="false" outlineLevel="0" collapsed="false">
      <c r="A1061" s="6" t="s">
        <v>4</v>
      </c>
      <c r="B1061" s="6" t="s">
        <v>336</v>
      </c>
      <c r="C1061" s="6" t="n">
        <v>36</v>
      </c>
      <c r="D1061" s="25" t="n">
        <f aca="false">EDATE('Start Here'!$B$6,C1061-1)</f>
        <v>47392</v>
      </c>
      <c r="E1061" s="11" t="n">
        <f aca="false">IF(AND(C1061&gt;=Staffing!$F$23,C1061&lt;=Staffing!$G$23,1=1),IF(C1061&lt;=6,Staffing!$H$23,IF(C1061&lt;=15,Staffing!$I$23,IF(C1061&lt;=30,Staffing!$J$23,Staffing!$K$23))),0)</f>
        <v>2</v>
      </c>
      <c r="F1061" s="10" t="n">
        <f aca="false">E1061*Staffing!$L$23/12*(1+Assumptions!$D$10)^INT((C1061-1)/12)*1</f>
        <v>19829.3333333333</v>
      </c>
      <c r="G1061" s="10" t="n">
        <f aca="false">F1061*Staffing!$N$23</f>
        <v>7931.73333333333</v>
      </c>
      <c r="H1061" s="10" t="n">
        <f aca="false">F1061+G1061</f>
        <v>27761.0666666667</v>
      </c>
      <c r="I1061" s="10" t="n">
        <f aca="false">0</f>
        <v>0</v>
      </c>
      <c r="J1061" s="10" t="n">
        <f aca="false">MAX(0,E1061-E1060)*Staffing!$O$23</f>
        <v>0</v>
      </c>
      <c r="K1061" s="10" t="n">
        <f aca="false">MAX(0,E1061-E1060)*Staffing!$P$23</f>
        <v>0</v>
      </c>
      <c r="L1061" s="23" t="n">
        <f aca="false">ROUNDUP(E1061,0)</f>
        <v>2</v>
      </c>
    </row>
    <row r="1062" customFormat="false" ht="15" hidden="false" customHeight="false" outlineLevel="0" collapsed="false">
      <c r="A1062" s="6" t="s">
        <v>4</v>
      </c>
      <c r="B1062" s="6" t="s">
        <v>336</v>
      </c>
      <c r="C1062" s="6" t="n">
        <v>37</v>
      </c>
      <c r="D1062" s="25" t="n">
        <f aca="false">EDATE('Start Here'!$B$6,C1062-1)</f>
        <v>47423</v>
      </c>
      <c r="E1062" s="11" t="n">
        <f aca="false">IF(AND(C1062&gt;=Staffing!$F$23,C1062&lt;=Staffing!$G$23,1=1),IF(C1062&lt;=6,Staffing!$H$23,IF(C1062&lt;=15,Staffing!$I$23,IF(C1062&lt;=30,Staffing!$J$23,Staffing!$K$23))),0)</f>
        <v>2</v>
      </c>
      <c r="F1062" s="10" t="n">
        <f aca="false">E1062*Staffing!$L$23/12*(1+Assumptions!$D$10)^INT((C1062-1)/12)*1</f>
        <v>20622.5066666667</v>
      </c>
      <c r="G1062" s="10" t="n">
        <f aca="false">F1062*Staffing!$N$23</f>
        <v>8249.00266666667</v>
      </c>
      <c r="H1062" s="10" t="n">
        <f aca="false">F1062+G1062</f>
        <v>28871.5093333333</v>
      </c>
      <c r="I1062" s="10" t="n">
        <f aca="false">0</f>
        <v>0</v>
      </c>
      <c r="J1062" s="10" t="n">
        <f aca="false">MAX(0,E1062-E1061)*Staffing!$O$23</f>
        <v>0</v>
      </c>
      <c r="K1062" s="10" t="n">
        <f aca="false">MAX(0,E1062-E1061)*Staffing!$P$23</f>
        <v>0</v>
      </c>
      <c r="L1062" s="23" t="n">
        <f aca="false">ROUNDUP(E1062,0)</f>
        <v>2</v>
      </c>
    </row>
    <row r="1063" customFormat="false" ht="15" hidden="false" customHeight="false" outlineLevel="0" collapsed="false">
      <c r="A1063" s="6" t="s">
        <v>4</v>
      </c>
      <c r="B1063" s="6" t="s">
        <v>336</v>
      </c>
      <c r="C1063" s="6" t="n">
        <v>38</v>
      </c>
      <c r="D1063" s="25" t="n">
        <f aca="false">EDATE('Start Here'!$B$6,C1063-1)</f>
        <v>47453</v>
      </c>
      <c r="E1063" s="11" t="n">
        <f aca="false">IF(AND(C1063&gt;=Staffing!$F$23,C1063&lt;=Staffing!$G$23,1=1),IF(C1063&lt;=6,Staffing!$H$23,IF(C1063&lt;=15,Staffing!$I$23,IF(C1063&lt;=30,Staffing!$J$23,Staffing!$K$23))),0)</f>
        <v>2</v>
      </c>
      <c r="F1063" s="10" t="n">
        <f aca="false">E1063*Staffing!$L$23/12*(1+Assumptions!$D$10)^INT((C1063-1)/12)*1</f>
        <v>20622.5066666667</v>
      </c>
      <c r="G1063" s="10" t="n">
        <f aca="false">F1063*Staffing!$N$23</f>
        <v>8249.00266666667</v>
      </c>
      <c r="H1063" s="10" t="n">
        <f aca="false">F1063+G1063</f>
        <v>28871.5093333333</v>
      </c>
      <c r="I1063" s="10" t="n">
        <f aca="false">0</f>
        <v>0</v>
      </c>
      <c r="J1063" s="10" t="n">
        <f aca="false">MAX(0,E1063-E1062)*Staffing!$O$23</f>
        <v>0</v>
      </c>
      <c r="K1063" s="10" t="n">
        <f aca="false">MAX(0,E1063-E1062)*Staffing!$P$23</f>
        <v>0</v>
      </c>
      <c r="L1063" s="23" t="n">
        <f aca="false">ROUNDUP(E1063,0)</f>
        <v>2</v>
      </c>
    </row>
    <row r="1064" customFormat="false" ht="15" hidden="false" customHeight="false" outlineLevel="0" collapsed="false">
      <c r="A1064" s="6" t="s">
        <v>4</v>
      </c>
      <c r="B1064" s="6" t="s">
        <v>336</v>
      </c>
      <c r="C1064" s="6" t="n">
        <v>39</v>
      </c>
      <c r="D1064" s="25" t="n">
        <f aca="false">EDATE('Start Here'!$B$6,C1064-1)</f>
        <v>47484</v>
      </c>
      <c r="E1064" s="11" t="n">
        <f aca="false">IF(AND(C1064&gt;=Staffing!$F$23,C1064&lt;=Staffing!$G$23,1=1),IF(C1064&lt;=6,Staffing!$H$23,IF(C1064&lt;=15,Staffing!$I$23,IF(C1064&lt;=30,Staffing!$J$23,Staffing!$K$23))),0)</f>
        <v>2</v>
      </c>
      <c r="F1064" s="10" t="n">
        <f aca="false">E1064*Staffing!$L$23/12*(1+Assumptions!$D$10)^INT((C1064-1)/12)*1</f>
        <v>20622.5066666667</v>
      </c>
      <c r="G1064" s="10" t="n">
        <f aca="false">F1064*Staffing!$N$23</f>
        <v>8249.00266666667</v>
      </c>
      <c r="H1064" s="10" t="n">
        <f aca="false">F1064+G1064</f>
        <v>28871.5093333333</v>
      </c>
      <c r="I1064" s="10" t="n">
        <f aca="false">0</f>
        <v>0</v>
      </c>
      <c r="J1064" s="10" t="n">
        <f aca="false">MAX(0,E1064-E1063)*Staffing!$O$23</f>
        <v>0</v>
      </c>
      <c r="K1064" s="10" t="n">
        <f aca="false">MAX(0,E1064-E1063)*Staffing!$P$23</f>
        <v>0</v>
      </c>
      <c r="L1064" s="23" t="n">
        <f aca="false">ROUNDUP(E1064,0)</f>
        <v>2</v>
      </c>
    </row>
    <row r="1065" customFormat="false" ht="15" hidden="false" customHeight="false" outlineLevel="0" collapsed="false">
      <c r="A1065" s="6" t="s">
        <v>4</v>
      </c>
      <c r="B1065" s="6" t="s">
        <v>336</v>
      </c>
      <c r="C1065" s="6" t="n">
        <v>40</v>
      </c>
      <c r="D1065" s="25" t="n">
        <f aca="false">EDATE('Start Here'!$B$6,C1065-1)</f>
        <v>47515</v>
      </c>
      <c r="E1065" s="11" t="n">
        <f aca="false">IF(AND(C1065&gt;=Staffing!$F$23,C1065&lt;=Staffing!$G$23,1=1),IF(C1065&lt;=6,Staffing!$H$23,IF(C1065&lt;=15,Staffing!$I$23,IF(C1065&lt;=30,Staffing!$J$23,Staffing!$K$23))),0)</f>
        <v>2</v>
      </c>
      <c r="F1065" s="10" t="n">
        <f aca="false">E1065*Staffing!$L$23/12*(1+Assumptions!$D$10)^INT((C1065-1)/12)*1</f>
        <v>20622.5066666667</v>
      </c>
      <c r="G1065" s="10" t="n">
        <f aca="false">F1065*Staffing!$N$23</f>
        <v>8249.00266666667</v>
      </c>
      <c r="H1065" s="10" t="n">
        <f aca="false">F1065+G1065</f>
        <v>28871.5093333333</v>
      </c>
      <c r="I1065" s="10" t="n">
        <f aca="false">0</f>
        <v>0</v>
      </c>
      <c r="J1065" s="10" t="n">
        <f aca="false">MAX(0,E1065-E1064)*Staffing!$O$23</f>
        <v>0</v>
      </c>
      <c r="K1065" s="10" t="n">
        <f aca="false">MAX(0,E1065-E1064)*Staffing!$P$23</f>
        <v>0</v>
      </c>
      <c r="L1065" s="23" t="n">
        <f aca="false">ROUNDUP(E1065,0)</f>
        <v>2</v>
      </c>
    </row>
    <row r="1066" customFormat="false" ht="15" hidden="false" customHeight="false" outlineLevel="0" collapsed="false">
      <c r="A1066" s="6" t="s">
        <v>4</v>
      </c>
      <c r="B1066" s="6" t="s">
        <v>336</v>
      </c>
      <c r="C1066" s="6" t="n">
        <v>41</v>
      </c>
      <c r="D1066" s="25" t="n">
        <f aca="false">EDATE('Start Here'!$B$6,C1066-1)</f>
        <v>47543</v>
      </c>
      <c r="E1066" s="11" t="n">
        <f aca="false">IF(AND(C1066&gt;=Staffing!$F$23,C1066&lt;=Staffing!$G$23,1=1),IF(C1066&lt;=6,Staffing!$H$23,IF(C1066&lt;=15,Staffing!$I$23,IF(C1066&lt;=30,Staffing!$J$23,Staffing!$K$23))),0)</f>
        <v>2</v>
      </c>
      <c r="F1066" s="10" t="n">
        <f aca="false">E1066*Staffing!$L$23/12*(1+Assumptions!$D$10)^INT((C1066-1)/12)*1</f>
        <v>20622.5066666667</v>
      </c>
      <c r="G1066" s="10" t="n">
        <f aca="false">F1066*Staffing!$N$23</f>
        <v>8249.00266666667</v>
      </c>
      <c r="H1066" s="10" t="n">
        <f aca="false">F1066+G1066</f>
        <v>28871.5093333333</v>
      </c>
      <c r="I1066" s="10" t="n">
        <f aca="false">0</f>
        <v>0</v>
      </c>
      <c r="J1066" s="10" t="n">
        <f aca="false">MAX(0,E1066-E1065)*Staffing!$O$23</f>
        <v>0</v>
      </c>
      <c r="K1066" s="10" t="n">
        <f aca="false">MAX(0,E1066-E1065)*Staffing!$P$23</f>
        <v>0</v>
      </c>
      <c r="L1066" s="23" t="n">
        <f aca="false">ROUNDUP(E1066,0)</f>
        <v>2</v>
      </c>
    </row>
    <row r="1067" customFormat="false" ht="15" hidden="false" customHeight="false" outlineLevel="0" collapsed="false">
      <c r="A1067" s="6" t="s">
        <v>4</v>
      </c>
      <c r="B1067" s="6" t="s">
        <v>336</v>
      </c>
      <c r="C1067" s="6" t="n">
        <v>42</v>
      </c>
      <c r="D1067" s="25" t="n">
        <f aca="false">EDATE('Start Here'!$B$6,C1067-1)</f>
        <v>47574</v>
      </c>
      <c r="E1067" s="11" t="n">
        <f aca="false">IF(AND(C1067&gt;=Staffing!$F$23,C1067&lt;=Staffing!$G$23,1=1),IF(C1067&lt;=6,Staffing!$H$23,IF(C1067&lt;=15,Staffing!$I$23,IF(C1067&lt;=30,Staffing!$J$23,Staffing!$K$23))),0)</f>
        <v>2</v>
      </c>
      <c r="F1067" s="10" t="n">
        <f aca="false">E1067*Staffing!$L$23/12*(1+Assumptions!$D$10)^INT((C1067-1)/12)*1</f>
        <v>20622.5066666667</v>
      </c>
      <c r="G1067" s="10" t="n">
        <f aca="false">F1067*Staffing!$N$23</f>
        <v>8249.00266666667</v>
      </c>
      <c r="H1067" s="10" t="n">
        <f aca="false">F1067+G1067</f>
        <v>28871.5093333333</v>
      </c>
      <c r="I1067" s="10" t="n">
        <f aca="false">0</f>
        <v>0</v>
      </c>
      <c r="J1067" s="10" t="n">
        <f aca="false">MAX(0,E1067-E1066)*Staffing!$O$23</f>
        <v>0</v>
      </c>
      <c r="K1067" s="10" t="n">
        <f aca="false">MAX(0,E1067-E1066)*Staffing!$P$23</f>
        <v>0</v>
      </c>
      <c r="L1067" s="23" t="n">
        <f aca="false">ROUNDUP(E1067,0)</f>
        <v>2</v>
      </c>
    </row>
    <row r="1068" customFormat="false" ht="15" hidden="false" customHeight="false" outlineLevel="0" collapsed="false">
      <c r="A1068" s="6" t="s">
        <v>4</v>
      </c>
      <c r="B1068" s="6" t="s">
        <v>336</v>
      </c>
      <c r="C1068" s="6" t="n">
        <v>43</v>
      </c>
      <c r="D1068" s="25" t="n">
        <f aca="false">EDATE('Start Here'!$B$6,C1068-1)</f>
        <v>47604</v>
      </c>
      <c r="E1068" s="11" t="n">
        <f aca="false">IF(AND(C1068&gt;=Staffing!$F$23,C1068&lt;=Staffing!$G$23,1=1),IF(C1068&lt;=6,Staffing!$H$23,IF(C1068&lt;=15,Staffing!$I$23,IF(C1068&lt;=30,Staffing!$J$23,Staffing!$K$23))),0)</f>
        <v>2</v>
      </c>
      <c r="F1068" s="10" t="n">
        <f aca="false">E1068*Staffing!$L$23/12*(1+Assumptions!$D$10)^INT((C1068-1)/12)*1</f>
        <v>20622.5066666667</v>
      </c>
      <c r="G1068" s="10" t="n">
        <f aca="false">F1068*Staffing!$N$23</f>
        <v>8249.00266666667</v>
      </c>
      <c r="H1068" s="10" t="n">
        <f aca="false">F1068+G1068</f>
        <v>28871.5093333333</v>
      </c>
      <c r="I1068" s="10" t="n">
        <f aca="false">0</f>
        <v>0</v>
      </c>
      <c r="J1068" s="10" t="n">
        <f aca="false">MAX(0,E1068-E1067)*Staffing!$O$23</f>
        <v>0</v>
      </c>
      <c r="K1068" s="10" t="n">
        <f aca="false">MAX(0,E1068-E1067)*Staffing!$P$23</f>
        <v>0</v>
      </c>
      <c r="L1068" s="23" t="n">
        <f aca="false">ROUNDUP(E1068,0)</f>
        <v>2</v>
      </c>
    </row>
    <row r="1069" customFormat="false" ht="15" hidden="false" customHeight="false" outlineLevel="0" collapsed="false">
      <c r="A1069" s="6" t="s">
        <v>4</v>
      </c>
      <c r="B1069" s="6" t="s">
        <v>336</v>
      </c>
      <c r="C1069" s="6" t="n">
        <v>44</v>
      </c>
      <c r="D1069" s="25" t="n">
        <f aca="false">EDATE('Start Here'!$B$6,C1069-1)</f>
        <v>47635</v>
      </c>
      <c r="E1069" s="11" t="n">
        <f aca="false">IF(AND(C1069&gt;=Staffing!$F$23,C1069&lt;=Staffing!$G$23,1=1),IF(C1069&lt;=6,Staffing!$H$23,IF(C1069&lt;=15,Staffing!$I$23,IF(C1069&lt;=30,Staffing!$J$23,Staffing!$K$23))),0)</f>
        <v>2</v>
      </c>
      <c r="F1069" s="10" t="n">
        <f aca="false">E1069*Staffing!$L$23/12*(1+Assumptions!$D$10)^INT((C1069-1)/12)*1</f>
        <v>20622.5066666667</v>
      </c>
      <c r="G1069" s="10" t="n">
        <f aca="false">F1069*Staffing!$N$23</f>
        <v>8249.00266666667</v>
      </c>
      <c r="H1069" s="10" t="n">
        <f aca="false">F1069+G1069</f>
        <v>28871.5093333333</v>
      </c>
      <c r="I1069" s="10" t="n">
        <f aca="false">0</f>
        <v>0</v>
      </c>
      <c r="J1069" s="10" t="n">
        <f aca="false">MAX(0,E1069-E1068)*Staffing!$O$23</f>
        <v>0</v>
      </c>
      <c r="K1069" s="10" t="n">
        <f aca="false">MAX(0,E1069-E1068)*Staffing!$P$23</f>
        <v>0</v>
      </c>
      <c r="L1069" s="23" t="n">
        <f aca="false">ROUNDUP(E1069,0)</f>
        <v>2</v>
      </c>
    </row>
    <row r="1070" customFormat="false" ht="15" hidden="false" customHeight="false" outlineLevel="0" collapsed="false">
      <c r="A1070" s="6" t="s">
        <v>4</v>
      </c>
      <c r="B1070" s="6" t="s">
        <v>336</v>
      </c>
      <c r="C1070" s="6" t="n">
        <v>45</v>
      </c>
      <c r="D1070" s="25" t="n">
        <f aca="false">EDATE('Start Here'!$B$6,C1070-1)</f>
        <v>47665</v>
      </c>
      <c r="E1070" s="11" t="n">
        <f aca="false">IF(AND(C1070&gt;=Staffing!$F$23,C1070&lt;=Staffing!$G$23,1=1),IF(C1070&lt;=6,Staffing!$H$23,IF(C1070&lt;=15,Staffing!$I$23,IF(C1070&lt;=30,Staffing!$J$23,Staffing!$K$23))),0)</f>
        <v>2</v>
      </c>
      <c r="F1070" s="10" t="n">
        <f aca="false">E1070*Staffing!$L$23/12*(1+Assumptions!$D$10)^INT((C1070-1)/12)*1</f>
        <v>20622.5066666667</v>
      </c>
      <c r="G1070" s="10" t="n">
        <f aca="false">F1070*Staffing!$N$23</f>
        <v>8249.00266666667</v>
      </c>
      <c r="H1070" s="10" t="n">
        <f aca="false">F1070+G1070</f>
        <v>28871.5093333333</v>
      </c>
      <c r="I1070" s="10" t="n">
        <f aca="false">0</f>
        <v>0</v>
      </c>
      <c r="J1070" s="10" t="n">
        <f aca="false">MAX(0,E1070-E1069)*Staffing!$O$23</f>
        <v>0</v>
      </c>
      <c r="K1070" s="10" t="n">
        <f aca="false">MAX(0,E1070-E1069)*Staffing!$P$23</f>
        <v>0</v>
      </c>
      <c r="L1070" s="23" t="n">
        <f aca="false">ROUNDUP(E1070,0)</f>
        <v>2</v>
      </c>
    </row>
    <row r="1071" customFormat="false" ht="15" hidden="false" customHeight="false" outlineLevel="0" collapsed="false">
      <c r="A1071" s="6" t="s">
        <v>4</v>
      </c>
      <c r="B1071" s="6" t="s">
        <v>336</v>
      </c>
      <c r="C1071" s="6" t="n">
        <v>46</v>
      </c>
      <c r="D1071" s="25" t="n">
        <f aca="false">EDATE('Start Here'!$B$6,C1071-1)</f>
        <v>47696</v>
      </c>
      <c r="E1071" s="11" t="n">
        <f aca="false">IF(AND(C1071&gt;=Staffing!$F$23,C1071&lt;=Staffing!$G$23,1=1),IF(C1071&lt;=6,Staffing!$H$23,IF(C1071&lt;=15,Staffing!$I$23,IF(C1071&lt;=30,Staffing!$J$23,Staffing!$K$23))),0)</f>
        <v>2</v>
      </c>
      <c r="F1071" s="10" t="n">
        <f aca="false">E1071*Staffing!$L$23/12*(1+Assumptions!$D$10)^INT((C1071-1)/12)*1</f>
        <v>20622.5066666667</v>
      </c>
      <c r="G1071" s="10" t="n">
        <f aca="false">F1071*Staffing!$N$23</f>
        <v>8249.00266666667</v>
      </c>
      <c r="H1071" s="10" t="n">
        <f aca="false">F1071+G1071</f>
        <v>28871.5093333333</v>
      </c>
      <c r="I1071" s="10" t="n">
        <f aca="false">0</f>
        <v>0</v>
      </c>
      <c r="J1071" s="10" t="n">
        <f aca="false">MAX(0,E1071-E1070)*Staffing!$O$23</f>
        <v>0</v>
      </c>
      <c r="K1071" s="10" t="n">
        <f aca="false">MAX(0,E1071-E1070)*Staffing!$P$23</f>
        <v>0</v>
      </c>
      <c r="L1071" s="23" t="n">
        <f aca="false">ROUNDUP(E1071,0)</f>
        <v>2</v>
      </c>
    </row>
    <row r="1072" customFormat="false" ht="15" hidden="false" customHeight="false" outlineLevel="0" collapsed="false">
      <c r="A1072" s="6" t="s">
        <v>4</v>
      </c>
      <c r="B1072" s="6" t="s">
        <v>336</v>
      </c>
      <c r="C1072" s="6" t="n">
        <v>47</v>
      </c>
      <c r="D1072" s="25" t="n">
        <f aca="false">EDATE('Start Here'!$B$6,C1072-1)</f>
        <v>47727</v>
      </c>
      <c r="E1072" s="11" t="n">
        <f aca="false">IF(AND(C1072&gt;=Staffing!$F$23,C1072&lt;=Staffing!$G$23,1=1),IF(C1072&lt;=6,Staffing!$H$23,IF(C1072&lt;=15,Staffing!$I$23,IF(C1072&lt;=30,Staffing!$J$23,Staffing!$K$23))),0)</f>
        <v>2</v>
      </c>
      <c r="F1072" s="10" t="n">
        <f aca="false">E1072*Staffing!$L$23/12*(1+Assumptions!$D$10)^INT((C1072-1)/12)*1</f>
        <v>20622.5066666667</v>
      </c>
      <c r="G1072" s="10" t="n">
        <f aca="false">F1072*Staffing!$N$23</f>
        <v>8249.00266666667</v>
      </c>
      <c r="H1072" s="10" t="n">
        <f aca="false">F1072+G1072</f>
        <v>28871.5093333333</v>
      </c>
      <c r="I1072" s="10" t="n">
        <f aca="false">0</f>
        <v>0</v>
      </c>
      <c r="J1072" s="10" t="n">
        <f aca="false">MAX(0,E1072-E1071)*Staffing!$O$23</f>
        <v>0</v>
      </c>
      <c r="K1072" s="10" t="n">
        <f aca="false">MAX(0,E1072-E1071)*Staffing!$P$23</f>
        <v>0</v>
      </c>
      <c r="L1072" s="23" t="n">
        <f aca="false">ROUNDUP(E1072,0)</f>
        <v>2</v>
      </c>
    </row>
    <row r="1073" customFormat="false" ht="15" hidden="false" customHeight="false" outlineLevel="0" collapsed="false">
      <c r="A1073" s="6" t="s">
        <v>4</v>
      </c>
      <c r="B1073" s="6" t="s">
        <v>336</v>
      </c>
      <c r="C1073" s="6" t="n">
        <v>48</v>
      </c>
      <c r="D1073" s="25" t="n">
        <f aca="false">EDATE('Start Here'!$B$6,C1073-1)</f>
        <v>47757</v>
      </c>
      <c r="E1073" s="11" t="n">
        <f aca="false">IF(AND(C1073&gt;=Staffing!$F$23,C1073&lt;=Staffing!$G$23,1=1),IF(C1073&lt;=6,Staffing!$H$23,IF(C1073&lt;=15,Staffing!$I$23,IF(C1073&lt;=30,Staffing!$J$23,Staffing!$K$23))),0)</f>
        <v>2</v>
      </c>
      <c r="F1073" s="10" t="n">
        <f aca="false">E1073*Staffing!$L$23/12*(1+Assumptions!$D$10)^INT((C1073-1)/12)*1</f>
        <v>20622.5066666667</v>
      </c>
      <c r="G1073" s="10" t="n">
        <f aca="false">F1073*Staffing!$N$23</f>
        <v>8249.00266666667</v>
      </c>
      <c r="H1073" s="10" t="n">
        <f aca="false">F1073+G1073</f>
        <v>28871.5093333333</v>
      </c>
      <c r="I1073" s="10" t="n">
        <f aca="false">0</f>
        <v>0</v>
      </c>
      <c r="J1073" s="10" t="n">
        <f aca="false">MAX(0,E1073-E1072)*Staffing!$O$23</f>
        <v>0</v>
      </c>
      <c r="K1073" s="10" t="n">
        <f aca="false">MAX(0,E1073-E1072)*Staffing!$P$23</f>
        <v>0</v>
      </c>
      <c r="L1073" s="23" t="n">
        <f aca="false">ROUNDUP(E1073,0)</f>
        <v>2</v>
      </c>
    </row>
    <row r="1074" customFormat="false" ht="15" hidden="false" customHeight="false" outlineLevel="0" collapsed="false">
      <c r="A1074" s="6" t="s">
        <v>4</v>
      </c>
      <c r="B1074" s="6" t="s">
        <v>336</v>
      </c>
      <c r="C1074" s="6" t="n">
        <v>49</v>
      </c>
      <c r="D1074" s="25" t="n">
        <f aca="false">EDATE('Start Here'!$B$6,C1074-1)</f>
        <v>47788</v>
      </c>
      <c r="E1074" s="11" t="n">
        <f aca="false">IF(AND(C1074&gt;=Staffing!$F$23,C1074&lt;=Staffing!$G$23,1=1),IF(C1074&lt;=6,Staffing!$H$23,IF(C1074&lt;=15,Staffing!$I$23,IF(C1074&lt;=30,Staffing!$J$23,Staffing!$K$23))),0)</f>
        <v>2</v>
      </c>
      <c r="F1074" s="10" t="n">
        <f aca="false">E1074*Staffing!$L$23/12*(1+Assumptions!$D$10)^INT((C1074-1)/12)*1</f>
        <v>21447.4069333333</v>
      </c>
      <c r="G1074" s="10" t="n">
        <f aca="false">F1074*Staffing!$N$23</f>
        <v>8578.96277333334</v>
      </c>
      <c r="H1074" s="10" t="n">
        <f aca="false">F1074+G1074</f>
        <v>30026.3697066667</v>
      </c>
      <c r="I1074" s="10" t="n">
        <f aca="false">0</f>
        <v>0</v>
      </c>
      <c r="J1074" s="10" t="n">
        <f aca="false">MAX(0,E1074-E1073)*Staffing!$O$23</f>
        <v>0</v>
      </c>
      <c r="K1074" s="10" t="n">
        <f aca="false">MAX(0,E1074-E1073)*Staffing!$P$23</f>
        <v>0</v>
      </c>
      <c r="L1074" s="23" t="n">
        <f aca="false">ROUNDUP(E1074,0)</f>
        <v>2</v>
      </c>
    </row>
    <row r="1075" customFormat="false" ht="15" hidden="false" customHeight="false" outlineLevel="0" collapsed="false">
      <c r="A1075" s="6" t="s">
        <v>4</v>
      </c>
      <c r="B1075" s="6" t="s">
        <v>336</v>
      </c>
      <c r="C1075" s="6" t="n">
        <v>50</v>
      </c>
      <c r="D1075" s="25" t="n">
        <f aca="false">EDATE('Start Here'!$B$6,C1075-1)</f>
        <v>47818</v>
      </c>
      <c r="E1075" s="11" t="n">
        <f aca="false">IF(AND(C1075&gt;=Staffing!$F$23,C1075&lt;=Staffing!$G$23,1=1),IF(C1075&lt;=6,Staffing!$H$23,IF(C1075&lt;=15,Staffing!$I$23,IF(C1075&lt;=30,Staffing!$J$23,Staffing!$K$23))),0)</f>
        <v>2</v>
      </c>
      <c r="F1075" s="10" t="n">
        <f aca="false">E1075*Staffing!$L$23/12*(1+Assumptions!$D$10)^INT((C1075-1)/12)*1</f>
        <v>21447.4069333333</v>
      </c>
      <c r="G1075" s="10" t="n">
        <f aca="false">F1075*Staffing!$N$23</f>
        <v>8578.96277333334</v>
      </c>
      <c r="H1075" s="10" t="n">
        <f aca="false">F1075+G1075</f>
        <v>30026.3697066667</v>
      </c>
      <c r="I1075" s="10" t="n">
        <f aca="false">0</f>
        <v>0</v>
      </c>
      <c r="J1075" s="10" t="n">
        <f aca="false">MAX(0,E1075-E1074)*Staffing!$O$23</f>
        <v>0</v>
      </c>
      <c r="K1075" s="10" t="n">
        <f aca="false">MAX(0,E1075-E1074)*Staffing!$P$23</f>
        <v>0</v>
      </c>
      <c r="L1075" s="23" t="n">
        <f aca="false">ROUNDUP(E1075,0)</f>
        <v>2</v>
      </c>
    </row>
    <row r="1076" customFormat="false" ht="15" hidden="false" customHeight="false" outlineLevel="0" collapsed="false">
      <c r="A1076" s="6" t="s">
        <v>4</v>
      </c>
      <c r="B1076" s="6" t="s">
        <v>336</v>
      </c>
      <c r="C1076" s="6" t="n">
        <v>51</v>
      </c>
      <c r="D1076" s="25" t="n">
        <f aca="false">EDATE('Start Here'!$B$6,C1076-1)</f>
        <v>47849</v>
      </c>
      <c r="E1076" s="11" t="n">
        <f aca="false">IF(AND(C1076&gt;=Staffing!$F$23,C1076&lt;=Staffing!$G$23,1=1),IF(C1076&lt;=6,Staffing!$H$23,IF(C1076&lt;=15,Staffing!$I$23,IF(C1076&lt;=30,Staffing!$J$23,Staffing!$K$23))),0)</f>
        <v>2</v>
      </c>
      <c r="F1076" s="10" t="n">
        <f aca="false">E1076*Staffing!$L$23/12*(1+Assumptions!$D$10)^INT((C1076-1)/12)*1</f>
        <v>21447.4069333333</v>
      </c>
      <c r="G1076" s="10" t="n">
        <f aca="false">F1076*Staffing!$N$23</f>
        <v>8578.96277333334</v>
      </c>
      <c r="H1076" s="10" t="n">
        <f aca="false">F1076+G1076</f>
        <v>30026.3697066667</v>
      </c>
      <c r="I1076" s="10" t="n">
        <f aca="false">0</f>
        <v>0</v>
      </c>
      <c r="J1076" s="10" t="n">
        <f aca="false">MAX(0,E1076-E1075)*Staffing!$O$23</f>
        <v>0</v>
      </c>
      <c r="K1076" s="10" t="n">
        <f aca="false">MAX(0,E1076-E1075)*Staffing!$P$23</f>
        <v>0</v>
      </c>
      <c r="L1076" s="23" t="n">
        <f aca="false">ROUNDUP(E1076,0)</f>
        <v>2</v>
      </c>
    </row>
    <row r="1077" customFormat="false" ht="15" hidden="false" customHeight="false" outlineLevel="0" collapsed="false">
      <c r="A1077" s="6" t="s">
        <v>4</v>
      </c>
      <c r="B1077" s="6" t="s">
        <v>336</v>
      </c>
      <c r="C1077" s="6" t="n">
        <v>52</v>
      </c>
      <c r="D1077" s="25" t="n">
        <f aca="false">EDATE('Start Here'!$B$6,C1077-1)</f>
        <v>47880</v>
      </c>
      <c r="E1077" s="11" t="n">
        <f aca="false">IF(AND(C1077&gt;=Staffing!$F$23,C1077&lt;=Staffing!$G$23,1=1),IF(C1077&lt;=6,Staffing!$H$23,IF(C1077&lt;=15,Staffing!$I$23,IF(C1077&lt;=30,Staffing!$J$23,Staffing!$K$23))),0)</f>
        <v>2</v>
      </c>
      <c r="F1077" s="10" t="n">
        <f aca="false">E1077*Staffing!$L$23/12*(1+Assumptions!$D$10)^INT((C1077-1)/12)*1</f>
        <v>21447.4069333333</v>
      </c>
      <c r="G1077" s="10" t="n">
        <f aca="false">F1077*Staffing!$N$23</f>
        <v>8578.96277333334</v>
      </c>
      <c r="H1077" s="10" t="n">
        <f aca="false">F1077+G1077</f>
        <v>30026.3697066667</v>
      </c>
      <c r="I1077" s="10" t="n">
        <f aca="false">0</f>
        <v>0</v>
      </c>
      <c r="J1077" s="10" t="n">
        <f aca="false">MAX(0,E1077-E1076)*Staffing!$O$23</f>
        <v>0</v>
      </c>
      <c r="K1077" s="10" t="n">
        <f aca="false">MAX(0,E1077-E1076)*Staffing!$P$23</f>
        <v>0</v>
      </c>
      <c r="L1077" s="23" t="n">
        <f aca="false">ROUNDUP(E1077,0)</f>
        <v>2</v>
      </c>
    </row>
    <row r="1078" customFormat="false" ht="15" hidden="false" customHeight="false" outlineLevel="0" collapsed="false">
      <c r="A1078" s="6" t="s">
        <v>4</v>
      </c>
      <c r="B1078" s="6" t="s">
        <v>336</v>
      </c>
      <c r="C1078" s="6" t="n">
        <v>53</v>
      </c>
      <c r="D1078" s="25" t="n">
        <f aca="false">EDATE('Start Here'!$B$6,C1078-1)</f>
        <v>47908</v>
      </c>
      <c r="E1078" s="11" t="n">
        <f aca="false">IF(AND(C1078&gt;=Staffing!$F$23,C1078&lt;=Staffing!$G$23,1=1),IF(C1078&lt;=6,Staffing!$H$23,IF(C1078&lt;=15,Staffing!$I$23,IF(C1078&lt;=30,Staffing!$J$23,Staffing!$K$23))),0)</f>
        <v>2</v>
      </c>
      <c r="F1078" s="10" t="n">
        <f aca="false">E1078*Staffing!$L$23/12*(1+Assumptions!$D$10)^INT((C1078-1)/12)*1</f>
        <v>21447.4069333333</v>
      </c>
      <c r="G1078" s="10" t="n">
        <f aca="false">F1078*Staffing!$N$23</f>
        <v>8578.96277333334</v>
      </c>
      <c r="H1078" s="10" t="n">
        <f aca="false">F1078+G1078</f>
        <v>30026.3697066667</v>
      </c>
      <c r="I1078" s="10" t="n">
        <f aca="false">0</f>
        <v>0</v>
      </c>
      <c r="J1078" s="10" t="n">
        <f aca="false">MAX(0,E1078-E1077)*Staffing!$O$23</f>
        <v>0</v>
      </c>
      <c r="K1078" s="10" t="n">
        <f aca="false">MAX(0,E1078-E1077)*Staffing!$P$23</f>
        <v>0</v>
      </c>
      <c r="L1078" s="23" t="n">
        <f aca="false">ROUNDUP(E1078,0)</f>
        <v>2</v>
      </c>
    </row>
    <row r="1079" customFormat="false" ht="15" hidden="false" customHeight="false" outlineLevel="0" collapsed="false">
      <c r="A1079" s="6" t="s">
        <v>4</v>
      </c>
      <c r="B1079" s="6" t="s">
        <v>336</v>
      </c>
      <c r="C1079" s="6" t="n">
        <v>54</v>
      </c>
      <c r="D1079" s="25" t="n">
        <f aca="false">EDATE('Start Here'!$B$6,C1079-1)</f>
        <v>47939</v>
      </c>
      <c r="E1079" s="11" t="n">
        <f aca="false">IF(AND(C1079&gt;=Staffing!$F$23,C1079&lt;=Staffing!$G$23,1=1),IF(C1079&lt;=6,Staffing!$H$23,IF(C1079&lt;=15,Staffing!$I$23,IF(C1079&lt;=30,Staffing!$J$23,Staffing!$K$23))),0)</f>
        <v>2</v>
      </c>
      <c r="F1079" s="10" t="n">
        <f aca="false">E1079*Staffing!$L$23/12*(1+Assumptions!$D$10)^INT((C1079-1)/12)*1</f>
        <v>21447.4069333333</v>
      </c>
      <c r="G1079" s="10" t="n">
        <f aca="false">F1079*Staffing!$N$23</f>
        <v>8578.96277333334</v>
      </c>
      <c r="H1079" s="10" t="n">
        <f aca="false">F1079+G1079</f>
        <v>30026.3697066667</v>
      </c>
      <c r="I1079" s="10" t="n">
        <f aca="false">0</f>
        <v>0</v>
      </c>
      <c r="J1079" s="10" t="n">
        <f aca="false">MAX(0,E1079-E1078)*Staffing!$O$23</f>
        <v>0</v>
      </c>
      <c r="K1079" s="10" t="n">
        <f aca="false">MAX(0,E1079-E1078)*Staffing!$P$23</f>
        <v>0</v>
      </c>
      <c r="L1079" s="23" t="n">
        <f aca="false">ROUNDUP(E1079,0)</f>
        <v>2</v>
      </c>
    </row>
    <row r="1080" customFormat="false" ht="15" hidden="false" customHeight="false" outlineLevel="0" collapsed="false">
      <c r="A1080" s="6" t="s">
        <v>4</v>
      </c>
      <c r="B1080" s="6" t="s">
        <v>336</v>
      </c>
      <c r="C1080" s="6" t="n">
        <v>55</v>
      </c>
      <c r="D1080" s="25" t="n">
        <f aca="false">EDATE('Start Here'!$B$6,C1080-1)</f>
        <v>47969</v>
      </c>
      <c r="E1080" s="11" t="n">
        <f aca="false">IF(AND(C1080&gt;=Staffing!$F$23,C1080&lt;=Staffing!$G$23,1=1),IF(C1080&lt;=6,Staffing!$H$23,IF(C1080&lt;=15,Staffing!$I$23,IF(C1080&lt;=30,Staffing!$J$23,Staffing!$K$23))),0)</f>
        <v>2</v>
      </c>
      <c r="F1080" s="10" t="n">
        <f aca="false">E1080*Staffing!$L$23/12*(1+Assumptions!$D$10)^INT((C1080-1)/12)*1</f>
        <v>21447.4069333333</v>
      </c>
      <c r="G1080" s="10" t="n">
        <f aca="false">F1080*Staffing!$N$23</f>
        <v>8578.96277333334</v>
      </c>
      <c r="H1080" s="10" t="n">
        <f aca="false">F1080+G1080</f>
        <v>30026.3697066667</v>
      </c>
      <c r="I1080" s="10" t="n">
        <f aca="false">0</f>
        <v>0</v>
      </c>
      <c r="J1080" s="10" t="n">
        <f aca="false">MAX(0,E1080-E1079)*Staffing!$O$23</f>
        <v>0</v>
      </c>
      <c r="K1080" s="10" t="n">
        <f aca="false">MAX(0,E1080-E1079)*Staffing!$P$23</f>
        <v>0</v>
      </c>
      <c r="L1080" s="23" t="n">
        <f aca="false">ROUNDUP(E1080,0)</f>
        <v>2</v>
      </c>
    </row>
    <row r="1081" customFormat="false" ht="15" hidden="false" customHeight="false" outlineLevel="0" collapsed="false">
      <c r="A1081" s="6" t="s">
        <v>4</v>
      </c>
      <c r="B1081" s="6" t="s">
        <v>336</v>
      </c>
      <c r="C1081" s="6" t="n">
        <v>56</v>
      </c>
      <c r="D1081" s="25" t="n">
        <f aca="false">EDATE('Start Here'!$B$6,C1081-1)</f>
        <v>48000</v>
      </c>
      <c r="E1081" s="11" t="n">
        <f aca="false">IF(AND(C1081&gt;=Staffing!$F$23,C1081&lt;=Staffing!$G$23,1=1),IF(C1081&lt;=6,Staffing!$H$23,IF(C1081&lt;=15,Staffing!$I$23,IF(C1081&lt;=30,Staffing!$J$23,Staffing!$K$23))),0)</f>
        <v>2</v>
      </c>
      <c r="F1081" s="10" t="n">
        <f aca="false">E1081*Staffing!$L$23/12*(1+Assumptions!$D$10)^INT((C1081-1)/12)*1</f>
        <v>21447.4069333333</v>
      </c>
      <c r="G1081" s="10" t="n">
        <f aca="false">F1081*Staffing!$N$23</f>
        <v>8578.96277333334</v>
      </c>
      <c r="H1081" s="10" t="n">
        <f aca="false">F1081+G1081</f>
        <v>30026.3697066667</v>
      </c>
      <c r="I1081" s="10" t="n">
        <f aca="false">0</f>
        <v>0</v>
      </c>
      <c r="J1081" s="10" t="n">
        <f aca="false">MAX(0,E1081-E1080)*Staffing!$O$23</f>
        <v>0</v>
      </c>
      <c r="K1081" s="10" t="n">
        <f aca="false">MAX(0,E1081-E1080)*Staffing!$P$23</f>
        <v>0</v>
      </c>
      <c r="L1081" s="23" t="n">
        <f aca="false">ROUNDUP(E1081,0)</f>
        <v>2</v>
      </c>
    </row>
    <row r="1082" customFormat="false" ht="15" hidden="false" customHeight="false" outlineLevel="0" collapsed="false">
      <c r="A1082" s="6" t="s">
        <v>4</v>
      </c>
      <c r="B1082" s="6" t="s">
        <v>336</v>
      </c>
      <c r="C1082" s="6" t="n">
        <v>57</v>
      </c>
      <c r="D1082" s="25" t="n">
        <f aca="false">EDATE('Start Here'!$B$6,C1082-1)</f>
        <v>48030</v>
      </c>
      <c r="E1082" s="11" t="n">
        <f aca="false">IF(AND(C1082&gt;=Staffing!$F$23,C1082&lt;=Staffing!$G$23,1=1),IF(C1082&lt;=6,Staffing!$H$23,IF(C1082&lt;=15,Staffing!$I$23,IF(C1082&lt;=30,Staffing!$J$23,Staffing!$K$23))),0)</f>
        <v>2</v>
      </c>
      <c r="F1082" s="10" t="n">
        <f aca="false">E1082*Staffing!$L$23/12*(1+Assumptions!$D$10)^INT((C1082-1)/12)*1</f>
        <v>21447.4069333333</v>
      </c>
      <c r="G1082" s="10" t="n">
        <f aca="false">F1082*Staffing!$N$23</f>
        <v>8578.96277333334</v>
      </c>
      <c r="H1082" s="10" t="n">
        <f aca="false">F1082+G1082</f>
        <v>30026.3697066667</v>
      </c>
      <c r="I1082" s="10" t="n">
        <f aca="false">0</f>
        <v>0</v>
      </c>
      <c r="J1082" s="10" t="n">
        <f aca="false">MAX(0,E1082-E1081)*Staffing!$O$23</f>
        <v>0</v>
      </c>
      <c r="K1082" s="10" t="n">
        <f aca="false">MAX(0,E1082-E1081)*Staffing!$P$23</f>
        <v>0</v>
      </c>
      <c r="L1082" s="23" t="n">
        <f aca="false">ROUNDUP(E1082,0)</f>
        <v>2</v>
      </c>
    </row>
    <row r="1083" customFormat="false" ht="15" hidden="false" customHeight="false" outlineLevel="0" collapsed="false">
      <c r="A1083" s="6" t="s">
        <v>4</v>
      </c>
      <c r="B1083" s="6" t="s">
        <v>336</v>
      </c>
      <c r="C1083" s="6" t="n">
        <v>58</v>
      </c>
      <c r="D1083" s="25" t="n">
        <f aca="false">EDATE('Start Here'!$B$6,C1083-1)</f>
        <v>48061</v>
      </c>
      <c r="E1083" s="11" t="n">
        <f aca="false">IF(AND(C1083&gt;=Staffing!$F$23,C1083&lt;=Staffing!$G$23,1=1),IF(C1083&lt;=6,Staffing!$H$23,IF(C1083&lt;=15,Staffing!$I$23,IF(C1083&lt;=30,Staffing!$J$23,Staffing!$K$23))),0)</f>
        <v>2</v>
      </c>
      <c r="F1083" s="10" t="n">
        <f aca="false">E1083*Staffing!$L$23/12*(1+Assumptions!$D$10)^INT((C1083-1)/12)*1</f>
        <v>21447.4069333333</v>
      </c>
      <c r="G1083" s="10" t="n">
        <f aca="false">F1083*Staffing!$N$23</f>
        <v>8578.96277333334</v>
      </c>
      <c r="H1083" s="10" t="n">
        <f aca="false">F1083+G1083</f>
        <v>30026.3697066667</v>
      </c>
      <c r="I1083" s="10" t="n">
        <f aca="false">0</f>
        <v>0</v>
      </c>
      <c r="J1083" s="10" t="n">
        <f aca="false">MAX(0,E1083-E1082)*Staffing!$O$23</f>
        <v>0</v>
      </c>
      <c r="K1083" s="10" t="n">
        <f aca="false">MAX(0,E1083-E1082)*Staffing!$P$23</f>
        <v>0</v>
      </c>
      <c r="L1083" s="23" t="n">
        <f aca="false">ROUNDUP(E1083,0)</f>
        <v>2</v>
      </c>
    </row>
    <row r="1084" customFormat="false" ht="15" hidden="false" customHeight="false" outlineLevel="0" collapsed="false">
      <c r="A1084" s="6" t="s">
        <v>4</v>
      </c>
      <c r="B1084" s="6" t="s">
        <v>336</v>
      </c>
      <c r="C1084" s="6" t="n">
        <v>59</v>
      </c>
      <c r="D1084" s="25" t="n">
        <f aca="false">EDATE('Start Here'!$B$6,C1084-1)</f>
        <v>48092</v>
      </c>
      <c r="E1084" s="11" t="n">
        <f aca="false">IF(AND(C1084&gt;=Staffing!$F$23,C1084&lt;=Staffing!$G$23,1=1),IF(C1084&lt;=6,Staffing!$H$23,IF(C1084&lt;=15,Staffing!$I$23,IF(C1084&lt;=30,Staffing!$J$23,Staffing!$K$23))),0)</f>
        <v>2</v>
      </c>
      <c r="F1084" s="10" t="n">
        <f aca="false">E1084*Staffing!$L$23/12*(1+Assumptions!$D$10)^INT((C1084-1)/12)*1</f>
        <v>21447.4069333333</v>
      </c>
      <c r="G1084" s="10" t="n">
        <f aca="false">F1084*Staffing!$N$23</f>
        <v>8578.96277333334</v>
      </c>
      <c r="H1084" s="10" t="n">
        <f aca="false">F1084+G1084</f>
        <v>30026.3697066667</v>
      </c>
      <c r="I1084" s="10" t="n">
        <f aca="false">0</f>
        <v>0</v>
      </c>
      <c r="J1084" s="10" t="n">
        <f aca="false">MAX(0,E1084-E1083)*Staffing!$O$23</f>
        <v>0</v>
      </c>
      <c r="K1084" s="10" t="n">
        <f aca="false">MAX(0,E1084-E1083)*Staffing!$P$23</f>
        <v>0</v>
      </c>
      <c r="L1084" s="23" t="n">
        <f aca="false">ROUNDUP(E1084,0)</f>
        <v>2</v>
      </c>
    </row>
    <row r="1085" customFormat="false" ht="15" hidden="false" customHeight="false" outlineLevel="0" collapsed="false">
      <c r="A1085" s="6" t="s">
        <v>4</v>
      </c>
      <c r="B1085" s="6" t="s">
        <v>336</v>
      </c>
      <c r="C1085" s="6" t="n">
        <v>60</v>
      </c>
      <c r="D1085" s="25" t="n">
        <f aca="false">EDATE('Start Here'!$B$6,C1085-1)</f>
        <v>48122</v>
      </c>
      <c r="E1085" s="11" t="n">
        <f aca="false">IF(AND(C1085&gt;=Staffing!$F$23,C1085&lt;=Staffing!$G$23,1=1),IF(C1085&lt;=6,Staffing!$H$23,IF(C1085&lt;=15,Staffing!$I$23,IF(C1085&lt;=30,Staffing!$J$23,Staffing!$K$23))),0)</f>
        <v>2</v>
      </c>
      <c r="F1085" s="10" t="n">
        <f aca="false">E1085*Staffing!$L$23/12*(1+Assumptions!$D$10)^INT((C1085-1)/12)*1</f>
        <v>21447.4069333333</v>
      </c>
      <c r="G1085" s="10" t="n">
        <f aca="false">F1085*Staffing!$N$23</f>
        <v>8578.96277333334</v>
      </c>
      <c r="H1085" s="10" t="n">
        <f aca="false">F1085+G1085</f>
        <v>30026.3697066667</v>
      </c>
      <c r="I1085" s="10" t="n">
        <f aca="false">0</f>
        <v>0</v>
      </c>
      <c r="J1085" s="10" t="n">
        <f aca="false">MAX(0,E1085-E1084)*Staffing!$O$23</f>
        <v>0</v>
      </c>
      <c r="K1085" s="10" t="n">
        <f aca="false">MAX(0,E1085-E1084)*Staffing!$P$23</f>
        <v>0</v>
      </c>
      <c r="L1085" s="23" t="n">
        <f aca="false">ROUNDUP(E1085,0)</f>
        <v>2</v>
      </c>
    </row>
    <row r="1086" customFormat="false" ht="15" hidden="false" customHeight="false" outlineLevel="0" collapsed="false">
      <c r="A1086" s="6" t="s">
        <v>4</v>
      </c>
      <c r="B1086" s="6" t="s">
        <v>338</v>
      </c>
      <c r="C1086" s="6" t="n">
        <v>1</v>
      </c>
      <c r="D1086" s="25" t="n">
        <f aca="false">EDATE('Start Here'!$B$6,C1086-1)</f>
        <v>46327</v>
      </c>
      <c r="E1086" s="23" t="n">
        <f aca="false">IF(AND(C1086&gt;=Staffing!$F$24,C1086&lt;=Staffing!$G$24,1=1),IF(C1086&lt;=6,Staffing!$H$24,IF(C1086&lt;=15,Staffing!$I$24,IF(C1086&lt;=30,Staffing!$J$24,Staffing!$K$24))),0)</f>
        <v>0</v>
      </c>
      <c r="F1086" s="10" t="n">
        <f aca="false">E1086*Staffing!$L$24/12*(1+Assumptions!$D$10)^INT((C1086-1)/12)*1</f>
        <v>0</v>
      </c>
      <c r="G1086" s="10" t="n">
        <f aca="false">F1086*Staffing!$N$24</f>
        <v>0</v>
      </c>
      <c r="H1086" s="10" t="n">
        <f aca="false">F1086+G1086</f>
        <v>0</v>
      </c>
      <c r="I1086" s="10" t="n">
        <f aca="false">0</f>
        <v>0</v>
      </c>
      <c r="J1086" s="10" t="n">
        <f aca="false">MAX(0,E1086-0)*Staffing!$O$24</f>
        <v>0</v>
      </c>
      <c r="K1086" s="10" t="n">
        <f aca="false">MAX(0,E1086-0)*Staffing!$P$24</f>
        <v>0</v>
      </c>
      <c r="L1086" s="23" t="n">
        <f aca="false">ROUNDUP(E1086,0)</f>
        <v>0</v>
      </c>
    </row>
    <row r="1087" customFormat="false" ht="15" hidden="false" customHeight="false" outlineLevel="0" collapsed="false">
      <c r="A1087" s="6" t="s">
        <v>4</v>
      </c>
      <c r="B1087" s="6" t="s">
        <v>338</v>
      </c>
      <c r="C1087" s="6" t="n">
        <v>2</v>
      </c>
      <c r="D1087" s="25" t="n">
        <f aca="false">EDATE('Start Here'!$B$6,C1087-1)</f>
        <v>46357</v>
      </c>
      <c r="E1087" s="11" t="n">
        <f aca="false">IF(AND(C1087&gt;=Staffing!$F$24,C1087&lt;=Staffing!$G$24,1=1),IF(C1087&lt;=6,Staffing!$H$24,IF(C1087&lt;=15,Staffing!$I$24,IF(C1087&lt;=30,Staffing!$J$24,Staffing!$K$24))),0)</f>
        <v>0.25</v>
      </c>
      <c r="F1087" s="10" t="n">
        <f aca="false">E1087*Staffing!$L$24/12*(1+Assumptions!$D$10)^INT((C1087-1)/12)*1</f>
        <v>3958.33333333333</v>
      </c>
      <c r="G1087" s="10" t="n">
        <f aca="false">F1087*Staffing!$N$24</f>
        <v>0</v>
      </c>
      <c r="H1087" s="10" t="n">
        <f aca="false">F1087+G1087</f>
        <v>3958.33333333333</v>
      </c>
      <c r="I1087" s="10" t="n">
        <f aca="false">0</f>
        <v>0</v>
      </c>
      <c r="J1087" s="10" t="n">
        <f aca="false">MAX(0,E1087-E1086)*Staffing!$O$24</f>
        <v>0</v>
      </c>
      <c r="K1087" s="10" t="n">
        <f aca="false">MAX(0,E1087-E1086)*Staffing!$P$24</f>
        <v>750</v>
      </c>
      <c r="L1087" s="23" t="n">
        <f aca="false">ROUNDUP(E1087,0)</f>
        <v>1</v>
      </c>
    </row>
    <row r="1088" customFormat="false" ht="15" hidden="false" customHeight="false" outlineLevel="0" collapsed="false">
      <c r="A1088" s="6" t="s">
        <v>4</v>
      </c>
      <c r="B1088" s="6" t="s">
        <v>338</v>
      </c>
      <c r="C1088" s="6" t="n">
        <v>3</v>
      </c>
      <c r="D1088" s="25" t="n">
        <f aca="false">EDATE('Start Here'!$B$6,C1088-1)</f>
        <v>46388</v>
      </c>
      <c r="E1088" s="11" t="n">
        <f aca="false">IF(AND(C1088&gt;=Staffing!$F$24,C1088&lt;=Staffing!$G$24,1=1),IF(C1088&lt;=6,Staffing!$H$24,IF(C1088&lt;=15,Staffing!$I$24,IF(C1088&lt;=30,Staffing!$J$24,Staffing!$K$24))),0)</f>
        <v>0.25</v>
      </c>
      <c r="F1088" s="10" t="n">
        <f aca="false">E1088*Staffing!$L$24/12*(1+Assumptions!$D$10)^INT((C1088-1)/12)*1</f>
        <v>3958.33333333333</v>
      </c>
      <c r="G1088" s="10" t="n">
        <f aca="false">F1088*Staffing!$N$24</f>
        <v>0</v>
      </c>
      <c r="H1088" s="10" t="n">
        <f aca="false">F1088+G1088</f>
        <v>3958.33333333333</v>
      </c>
      <c r="I1088" s="10" t="n">
        <f aca="false">0</f>
        <v>0</v>
      </c>
      <c r="J1088" s="10" t="n">
        <f aca="false">MAX(0,E1088-E1087)*Staffing!$O$24</f>
        <v>0</v>
      </c>
      <c r="K1088" s="10" t="n">
        <f aca="false">MAX(0,E1088-E1087)*Staffing!$P$24</f>
        <v>0</v>
      </c>
      <c r="L1088" s="23" t="n">
        <f aca="false">ROUNDUP(E1088,0)</f>
        <v>1</v>
      </c>
    </row>
    <row r="1089" customFormat="false" ht="15" hidden="false" customHeight="false" outlineLevel="0" collapsed="false">
      <c r="A1089" s="6" t="s">
        <v>4</v>
      </c>
      <c r="B1089" s="6" t="s">
        <v>338</v>
      </c>
      <c r="C1089" s="6" t="n">
        <v>4</v>
      </c>
      <c r="D1089" s="25" t="n">
        <f aca="false">EDATE('Start Here'!$B$6,C1089-1)</f>
        <v>46419</v>
      </c>
      <c r="E1089" s="11" t="n">
        <f aca="false">IF(AND(C1089&gt;=Staffing!$F$24,C1089&lt;=Staffing!$G$24,1=1),IF(C1089&lt;=6,Staffing!$H$24,IF(C1089&lt;=15,Staffing!$I$24,IF(C1089&lt;=30,Staffing!$J$24,Staffing!$K$24))),0)</f>
        <v>0.25</v>
      </c>
      <c r="F1089" s="10" t="n">
        <f aca="false">E1089*Staffing!$L$24/12*(1+Assumptions!$D$10)^INT((C1089-1)/12)*1</f>
        <v>3958.33333333333</v>
      </c>
      <c r="G1089" s="10" t="n">
        <f aca="false">F1089*Staffing!$N$24</f>
        <v>0</v>
      </c>
      <c r="H1089" s="10" t="n">
        <f aca="false">F1089+G1089</f>
        <v>3958.33333333333</v>
      </c>
      <c r="I1089" s="10" t="n">
        <f aca="false">0</f>
        <v>0</v>
      </c>
      <c r="J1089" s="10" t="n">
        <f aca="false">MAX(0,E1089-E1088)*Staffing!$O$24</f>
        <v>0</v>
      </c>
      <c r="K1089" s="10" t="n">
        <f aca="false">MAX(0,E1089-E1088)*Staffing!$P$24</f>
        <v>0</v>
      </c>
      <c r="L1089" s="23" t="n">
        <f aca="false">ROUNDUP(E1089,0)</f>
        <v>1</v>
      </c>
    </row>
    <row r="1090" customFormat="false" ht="15" hidden="false" customHeight="false" outlineLevel="0" collapsed="false">
      <c r="A1090" s="6" t="s">
        <v>4</v>
      </c>
      <c r="B1090" s="6" t="s">
        <v>338</v>
      </c>
      <c r="C1090" s="6" t="n">
        <v>5</v>
      </c>
      <c r="D1090" s="25" t="n">
        <f aca="false">EDATE('Start Here'!$B$6,C1090-1)</f>
        <v>46447</v>
      </c>
      <c r="E1090" s="11" t="n">
        <f aca="false">IF(AND(C1090&gt;=Staffing!$F$24,C1090&lt;=Staffing!$G$24,1=1),IF(C1090&lt;=6,Staffing!$H$24,IF(C1090&lt;=15,Staffing!$I$24,IF(C1090&lt;=30,Staffing!$J$24,Staffing!$K$24))),0)</f>
        <v>0.25</v>
      </c>
      <c r="F1090" s="10" t="n">
        <f aca="false">E1090*Staffing!$L$24/12*(1+Assumptions!$D$10)^INT((C1090-1)/12)*1</f>
        <v>3958.33333333333</v>
      </c>
      <c r="G1090" s="10" t="n">
        <f aca="false">F1090*Staffing!$N$24</f>
        <v>0</v>
      </c>
      <c r="H1090" s="10" t="n">
        <f aca="false">F1090+G1090</f>
        <v>3958.33333333333</v>
      </c>
      <c r="I1090" s="10" t="n">
        <f aca="false">0</f>
        <v>0</v>
      </c>
      <c r="J1090" s="10" t="n">
        <f aca="false">MAX(0,E1090-E1089)*Staffing!$O$24</f>
        <v>0</v>
      </c>
      <c r="K1090" s="10" t="n">
        <f aca="false">MAX(0,E1090-E1089)*Staffing!$P$24</f>
        <v>0</v>
      </c>
      <c r="L1090" s="23" t="n">
        <f aca="false">ROUNDUP(E1090,0)</f>
        <v>1</v>
      </c>
    </row>
    <row r="1091" customFormat="false" ht="15" hidden="false" customHeight="false" outlineLevel="0" collapsed="false">
      <c r="A1091" s="6" t="s">
        <v>4</v>
      </c>
      <c r="B1091" s="6" t="s">
        <v>338</v>
      </c>
      <c r="C1091" s="6" t="n">
        <v>6</v>
      </c>
      <c r="D1091" s="25" t="n">
        <f aca="false">EDATE('Start Here'!$B$6,C1091-1)</f>
        <v>46478</v>
      </c>
      <c r="E1091" s="11" t="n">
        <f aca="false">IF(AND(C1091&gt;=Staffing!$F$24,C1091&lt;=Staffing!$G$24,1=1),IF(C1091&lt;=6,Staffing!$H$24,IF(C1091&lt;=15,Staffing!$I$24,IF(C1091&lt;=30,Staffing!$J$24,Staffing!$K$24))),0)</f>
        <v>0.25</v>
      </c>
      <c r="F1091" s="10" t="n">
        <f aca="false">E1091*Staffing!$L$24/12*(1+Assumptions!$D$10)^INT((C1091-1)/12)*1</f>
        <v>3958.33333333333</v>
      </c>
      <c r="G1091" s="10" t="n">
        <f aca="false">F1091*Staffing!$N$24</f>
        <v>0</v>
      </c>
      <c r="H1091" s="10" t="n">
        <f aca="false">F1091+G1091</f>
        <v>3958.33333333333</v>
      </c>
      <c r="I1091" s="10" t="n">
        <f aca="false">0</f>
        <v>0</v>
      </c>
      <c r="J1091" s="10" t="n">
        <f aca="false">MAX(0,E1091-E1090)*Staffing!$O$24</f>
        <v>0</v>
      </c>
      <c r="K1091" s="10" t="n">
        <f aca="false">MAX(0,E1091-E1090)*Staffing!$P$24</f>
        <v>0</v>
      </c>
      <c r="L1091" s="23" t="n">
        <f aca="false">ROUNDUP(E1091,0)</f>
        <v>1</v>
      </c>
    </row>
    <row r="1092" customFormat="false" ht="15" hidden="false" customHeight="false" outlineLevel="0" collapsed="false">
      <c r="A1092" s="6" t="s">
        <v>4</v>
      </c>
      <c r="B1092" s="6" t="s">
        <v>338</v>
      </c>
      <c r="C1092" s="6" t="n">
        <v>7</v>
      </c>
      <c r="D1092" s="25" t="n">
        <f aca="false">EDATE('Start Here'!$B$6,C1092-1)</f>
        <v>46508</v>
      </c>
      <c r="E1092" s="11" t="n">
        <f aca="false">IF(AND(C1092&gt;=Staffing!$F$24,C1092&lt;=Staffing!$G$24,1=1),IF(C1092&lt;=6,Staffing!$H$24,IF(C1092&lt;=15,Staffing!$I$24,IF(C1092&lt;=30,Staffing!$J$24,Staffing!$K$24))),0)</f>
        <v>0.5</v>
      </c>
      <c r="F1092" s="10" t="n">
        <f aca="false">E1092*Staffing!$L$24/12*(1+Assumptions!$D$10)^INT((C1092-1)/12)*1</f>
        <v>7916.66666666667</v>
      </c>
      <c r="G1092" s="10" t="n">
        <f aca="false">F1092*Staffing!$N$24</f>
        <v>0</v>
      </c>
      <c r="H1092" s="10" t="n">
        <f aca="false">F1092+G1092</f>
        <v>7916.66666666667</v>
      </c>
      <c r="I1092" s="10" t="n">
        <f aca="false">0</f>
        <v>0</v>
      </c>
      <c r="J1092" s="10" t="n">
        <f aca="false">MAX(0,E1092-E1091)*Staffing!$O$24</f>
        <v>0</v>
      </c>
      <c r="K1092" s="10" t="n">
        <f aca="false">MAX(0,E1092-E1091)*Staffing!$P$24</f>
        <v>750</v>
      </c>
      <c r="L1092" s="23" t="n">
        <f aca="false">ROUNDUP(E1092,0)</f>
        <v>1</v>
      </c>
    </row>
    <row r="1093" customFormat="false" ht="15" hidden="false" customHeight="false" outlineLevel="0" collapsed="false">
      <c r="A1093" s="6" t="s">
        <v>4</v>
      </c>
      <c r="B1093" s="6" t="s">
        <v>338</v>
      </c>
      <c r="C1093" s="6" t="n">
        <v>8</v>
      </c>
      <c r="D1093" s="25" t="n">
        <f aca="false">EDATE('Start Here'!$B$6,C1093-1)</f>
        <v>46539</v>
      </c>
      <c r="E1093" s="11" t="n">
        <f aca="false">IF(AND(C1093&gt;=Staffing!$F$24,C1093&lt;=Staffing!$G$24,1=1),IF(C1093&lt;=6,Staffing!$H$24,IF(C1093&lt;=15,Staffing!$I$24,IF(C1093&lt;=30,Staffing!$J$24,Staffing!$K$24))),0)</f>
        <v>0.5</v>
      </c>
      <c r="F1093" s="10" t="n">
        <f aca="false">E1093*Staffing!$L$24/12*(1+Assumptions!$D$10)^INT((C1093-1)/12)*1</f>
        <v>7916.66666666667</v>
      </c>
      <c r="G1093" s="10" t="n">
        <f aca="false">F1093*Staffing!$N$24</f>
        <v>0</v>
      </c>
      <c r="H1093" s="10" t="n">
        <f aca="false">F1093+G1093</f>
        <v>7916.66666666667</v>
      </c>
      <c r="I1093" s="10" t="n">
        <f aca="false">0</f>
        <v>0</v>
      </c>
      <c r="J1093" s="10" t="n">
        <f aca="false">MAX(0,E1093-E1092)*Staffing!$O$24</f>
        <v>0</v>
      </c>
      <c r="K1093" s="10" t="n">
        <f aca="false">MAX(0,E1093-E1092)*Staffing!$P$24</f>
        <v>0</v>
      </c>
      <c r="L1093" s="23" t="n">
        <f aca="false">ROUNDUP(E1093,0)</f>
        <v>1</v>
      </c>
    </row>
    <row r="1094" customFormat="false" ht="15" hidden="false" customHeight="false" outlineLevel="0" collapsed="false">
      <c r="A1094" s="6" t="s">
        <v>4</v>
      </c>
      <c r="B1094" s="6" t="s">
        <v>338</v>
      </c>
      <c r="C1094" s="6" t="n">
        <v>9</v>
      </c>
      <c r="D1094" s="25" t="n">
        <f aca="false">EDATE('Start Here'!$B$6,C1094-1)</f>
        <v>46569</v>
      </c>
      <c r="E1094" s="11" t="n">
        <f aca="false">IF(AND(C1094&gt;=Staffing!$F$24,C1094&lt;=Staffing!$G$24,1=1),IF(C1094&lt;=6,Staffing!$H$24,IF(C1094&lt;=15,Staffing!$I$24,IF(C1094&lt;=30,Staffing!$J$24,Staffing!$K$24))),0)</f>
        <v>0.5</v>
      </c>
      <c r="F1094" s="10" t="n">
        <f aca="false">E1094*Staffing!$L$24/12*(1+Assumptions!$D$10)^INT((C1094-1)/12)*1</f>
        <v>7916.66666666667</v>
      </c>
      <c r="G1094" s="10" t="n">
        <f aca="false">F1094*Staffing!$N$24</f>
        <v>0</v>
      </c>
      <c r="H1094" s="10" t="n">
        <f aca="false">F1094+G1094</f>
        <v>7916.66666666667</v>
      </c>
      <c r="I1094" s="10" t="n">
        <f aca="false">0</f>
        <v>0</v>
      </c>
      <c r="J1094" s="10" t="n">
        <f aca="false">MAX(0,E1094-E1093)*Staffing!$O$24</f>
        <v>0</v>
      </c>
      <c r="K1094" s="10" t="n">
        <f aca="false">MAX(0,E1094-E1093)*Staffing!$P$24</f>
        <v>0</v>
      </c>
      <c r="L1094" s="23" t="n">
        <f aca="false">ROUNDUP(E1094,0)</f>
        <v>1</v>
      </c>
    </row>
    <row r="1095" customFormat="false" ht="15" hidden="false" customHeight="false" outlineLevel="0" collapsed="false">
      <c r="A1095" s="6" t="s">
        <v>4</v>
      </c>
      <c r="B1095" s="6" t="s">
        <v>338</v>
      </c>
      <c r="C1095" s="6" t="n">
        <v>10</v>
      </c>
      <c r="D1095" s="25" t="n">
        <f aca="false">EDATE('Start Here'!$B$6,C1095-1)</f>
        <v>46600</v>
      </c>
      <c r="E1095" s="11" t="n">
        <f aca="false">IF(AND(C1095&gt;=Staffing!$F$24,C1095&lt;=Staffing!$G$24,1=1),IF(C1095&lt;=6,Staffing!$H$24,IF(C1095&lt;=15,Staffing!$I$24,IF(C1095&lt;=30,Staffing!$J$24,Staffing!$K$24))),0)</f>
        <v>0.5</v>
      </c>
      <c r="F1095" s="10" t="n">
        <f aca="false">E1095*Staffing!$L$24/12*(1+Assumptions!$D$10)^INT((C1095-1)/12)*1</f>
        <v>7916.66666666667</v>
      </c>
      <c r="G1095" s="10" t="n">
        <f aca="false">F1095*Staffing!$N$24</f>
        <v>0</v>
      </c>
      <c r="H1095" s="10" t="n">
        <f aca="false">F1095+G1095</f>
        <v>7916.66666666667</v>
      </c>
      <c r="I1095" s="10" t="n">
        <f aca="false">0</f>
        <v>0</v>
      </c>
      <c r="J1095" s="10" t="n">
        <f aca="false">MAX(0,E1095-E1094)*Staffing!$O$24</f>
        <v>0</v>
      </c>
      <c r="K1095" s="10" t="n">
        <f aca="false">MAX(0,E1095-E1094)*Staffing!$P$24</f>
        <v>0</v>
      </c>
      <c r="L1095" s="23" t="n">
        <f aca="false">ROUNDUP(E1095,0)</f>
        <v>1</v>
      </c>
    </row>
    <row r="1096" customFormat="false" ht="15" hidden="false" customHeight="false" outlineLevel="0" collapsed="false">
      <c r="A1096" s="6" t="s">
        <v>4</v>
      </c>
      <c r="B1096" s="6" t="s">
        <v>338</v>
      </c>
      <c r="C1096" s="6" t="n">
        <v>11</v>
      </c>
      <c r="D1096" s="25" t="n">
        <f aca="false">EDATE('Start Here'!$B$6,C1096-1)</f>
        <v>46631</v>
      </c>
      <c r="E1096" s="11" t="n">
        <f aca="false">IF(AND(C1096&gt;=Staffing!$F$24,C1096&lt;=Staffing!$G$24,1=1),IF(C1096&lt;=6,Staffing!$H$24,IF(C1096&lt;=15,Staffing!$I$24,IF(C1096&lt;=30,Staffing!$J$24,Staffing!$K$24))),0)</f>
        <v>0.5</v>
      </c>
      <c r="F1096" s="10" t="n">
        <f aca="false">E1096*Staffing!$L$24/12*(1+Assumptions!$D$10)^INT((C1096-1)/12)*1</f>
        <v>7916.66666666667</v>
      </c>
      <c r="G1096" s="10" t="n">
        <f aca="false">F1096*Staffing!$N$24</f>
        <v>0</v>
      </c>
      <c r="H1096" s="10" t="n">
        <f aca="false">F1096+G1096</f>
        <v>7916.66666666667</v>
      </c>
      <c r="I1096" s="10" t="n">
        <f aca="false">0</f>
        <v>0</v>
      </c>
      <c r="J1096" s="10" t="n">
        <f aca="false">MAX(0,E1096-E1095)*Staffing!$O$24</f>
        <v>0</v>
      </c>
      <c r="K1096" s="10" t="n">
        <f aca="false">MAX(0,E1096-E1095)*Staffing!$P$24</f>
        <v>0</v>
      </c>
      <c r="L1096" s="23" t="n">
        <f aca="false">ROUNDUP(E1096,0)</f>
        <v>1</v>
      </c>
    </row>
    <row r="1097" customFormat="false" ht="15" hidden="false" customHeight="false" outlineLevel="0" collapsed="false">
      <c r="A1097" s="6" t="s">
        <v>4</v>
      </c>
      <c r="B1097" s="6" t="s">
        <v>338</v>
      </c>
      <c r="C1097" s="6" t="n">
        <v>12</v>
      </c>
      <c r="D1097" s="25" t="n">
        <f aca="false">EDATE('Start Here'!$B$6,C1097-1)</f>
        <v>46661</v>
      </c>
      <c r="E1097" s="11" t="n">
        <f aca="false">IF(AND(C1097&gt;=Staffing!$F$24,C1097&lt;=Staffing!$G$24,1=1),IF(C1097&lt;=6,Staffing!$H$24,IF(C1097&lt;=15,Staffing!$I$24,IF(C1097&lt;=30,Staffing!$J$24,Staffing!$K$24))),0)</f>
        <v>0.5</v>
      </c>
      <c r="F1097" s="10" t="n">
        <f aca="false">E1097*Staffing!$L$24/12*(1+Assumptions!$D$10)^INT((C1097-1)/12)*1</f>
        <v>7916.66666666667</v>
      </c>
      <c r="G1097" s="10" t="n">
        <f aca="false">F1097*Staffing!$N$24</f>
        <v>0</v>
      </c>
      <c r="H1097" s="10" t="n">
        <f aca="false">F1097+G1097</f>
        <v>7916.66666666667</v>
      </c>
      <c r="I1097" s="10" t="n">
        <f aca="false">0</f>
        <v>0</v>
      </c>
      <c r="J1097" s="10" t="n">
        <f aca="false">MAX(0,E1097-E1096)*Staffing!$O$24</f>
        <v>0</v>
      </c>
      <c r="K1097" s="10" t="n">
        <f aca="false">MAX(0,E1097-E1096)*Staffing!$P$24</f>
        <v>0</v>
      </c>
      <c r="L1097" s="23" t="n">
        <f aca="false">ROUNDUP(E1097,0)</f>
        <v>1</v>
      </c>
    </row>
    <row r="1098" customFormat="false" ht="15" hidden="false" customHeight="false" outlineLevel="0" collapsed="false">
      <c r="A1098" s="6" t="s">
        <v>4</v>
      </c>
      <c r="B1098" s="6" t="s">
        <v>338</v>
      </c>
      <c r="C1098" s="6" t="n">
        <v>13</v>
      </c>
      <c r="D1098" s="25" t="n">
        <f aca="false">EDATE('Start Here'!$B$6,C1098-1)</f>
        <v>46692</v>
      </c>
      <c r="E1098" s="11" t="n">
        <f aca="false">IF(AND(C1098&gt;=Staffing!$F$24,C1098&lt;=Staffing!$G$24,1=1),IF(C1098&lt;=6,Staffing!$H$24,IF(C1098&lt;=15,Staffing!$I$24,IF(C1098&lt;=30,Staffing!$J$24,Staffing!$K$24))),0)</f>
        <v>0.5</v>
      </c>
      <c r="F1098" s="10" t="n">
        <f aca="false">E1098*Staffing!$L$24/12*(1+Assumptions!$D$10)^INT((C1098-1)/12)*1</f>
        <v>8233.33333333333</v>
      </c>
      <c r="G1098" s="10" t="n">
        <f aca="false">F1098*Staffing!$N$24</f>
        <v>0</v>
      </c>
      <c r="H1098" s="10" t="n">
        <f aca="false">F1098+G1098</f>
        <v>8233.33333333333</v>
      </c>
      <c r="I1098" s="10" t="n">
        <f aca="false">0</f>
        <v>0</v>
      </c>
      <c r="J1098" s="10" t="n">
        <f aca="false">MAX(0,E1098-E1097)*Staffing!$O$24</f>
        <v>0</v>
      </c>
      <c r="K1098" s="10" t="n">
        <f aca="false">MAX(0,E1098-E1097)*Staffing!$P$24</f>
        <v>0</v>
      </c>
      <c r="L1098" s="23" t="n">
        <f aca="false">ROUNDUP(E1098,0)</f>
        <v>1</v>
      </c>
    </row>
    <row r="1099" customFormat="false" ht="15" hidden="false" customHeight="false" outlineLevel="0" collapsed="false">
      <c r="A1099" s="6" t="s">
        <v>4</v>
      </c>
      <c r="B1099" s="6" t="s">
        <v>338</v>
      </c>
      <c r="C1099" s="6" t="n">
        <v>14</v>
      </c>
      <c r="D1099" s="25" t="n">
        <f aca="false">EDATE('Start Here'!$B$6,C1099-1)</f>
        <v>46722</v>
      </c>
      <c r="E1099" s="11" t="n">
        <f aca="false">IF(AND(C1099&gt;=Staffing!$F$24,C1099&lt;=Staffing!$G$24,1=1),IF(C1099&lt;=6,Staffing!$H$24,IF(C1099&lt;=15,Staffing!$I$24,IF(C1099&lt;=30,Staffing!$J$24,Staffing!$K$24))),0)</f>
        <v>0.5</v>
      </c>
      <c r="F1099" s="10" t="n">
        <f aca="false">E1099*Staffing!$L$24/12*(1+Assumptions!$D$10)^INT((C1099-1)/12)*1</f>
        <v>8233.33333333333</v>
      </c>
      <c r="G1099" s="10" t="n">
        <f aca="false">F1099*Staffing!$N$24</f>
        <v>0</v>
      </c>
      <c r="H1099" s="10" t="n">
        <f aca="false">F1099+G1099</f>
        <v>8233.33333333333</v>
      </c>
      <c r="I1099" s="10" t="n">
        <f aca="false">0</f>
        <v>0</v>
      </c>
      <c r="J1099" s="10" t="n">
        <f aca="false">MAX(0,E1099-E1098)*Staffing!$O$24</f>
        <v>0</v>
      </c>
      <c r="K1099" s="10" t="n">
        <f aca="false">MAX(0,E1099-E1098)*Staffing!$P$24</f>
        <v>0</v>
      </c>
      <c r="L1099" s="23" t="n">
        <f aca="false">ROUNDUP(E1099,0)</f>
        <v>1</v>
      </c>
    </row>
    <row r="1100" customFormat="false" ht="15" hidden="false" customHeight="false" outlineLevel="0" collapsed="false">
      <c r="A1100" s="6" t="s">
        <v>4</v>
      </c>
      <c r="B1100" s="6" t="s">
        <v>338</v>
      </c>
      <c r="C1100" s="6" t="n">
        <v>15</v>
      </c>
      <c r="D1100" s="25" t="n">
        <f aca="false">EDATE('Start Here'!$B$6,C1100-1)</f>
        <v>46753</v>
      </c>
      <c r="E1100" s="11" t="n">
        <f aca="false">IF(AND(C1100&gt;=Staffing!$F$24,C1100&lt;=Staffing!$G$24,1=1),IF(C1100&lt;=6,Staffing!$H$24,IF(C1100&lt;=15,Staffing!$I$24,IF(C1100&lt;=30,Staffing!$J$24,Staffing!$K$24))),0)</f>
        <v>0.5</v>
      </c>
      <c r="F1100" s="10" t="n">
        <f aca="false">E1100*Staffing!$L$24/12*(1+Assumptions!$D$10)^INT((C1100-1)/12)*1</f>
        <v>8233.33333333333</v>
      </c>
      <c r="G1100" s="10" t="n">
        <f aca="false">F1100*Staffing!$N$24</f>
        <v>0</v>
      </c>
      <c r="H1100" s="10" t="n">
        <f aca="false">F1100+G1100</f>
        <v>8233.33333333333</v>
      </c>
      <c r="I1100" s="10" t="n">
        <f aca="false">0</f>
        <v>0</v>
      </c>
      <c r="J1100" s="10" t="n">
        <f aca="false">MAX(0,E1100-E1099)*Staffing!$O$24</f>
        <v>0</v>
      </c>
      <c r="K1100" s="10" t="n">
        <f aca="false">MAX(0,E1100-E1099)*Staffing!$P$24</f>
        <v>0</v>
      </c>
      <c r="L1100" s="23" t="n">
        <f aca="false">ROUNDUP(E1100,0)</f>
        <v>1</v>
      </c>
    </row>
    <row r="1101" customFormat="false" ht="15" hidden="false" customHeight="false" outlineLevel="0" collapsed="false">
      <c r="A1101" s="6" t="s">
        <v>4</v>
      </c>
      <c r="B1101" s="6" t="s">
        <v>338</v>
      </c>
      <c r="C1101" s="6" t="n">
        <v>16</v>
      </c>
      <c r="D1101" s="25" t="n">
        <f aca="false">EDATE('Start Here'!$B$6,C1101-1)</f>
        <v>46784</v>
      </c>
      <c r="E1101" s="11" t="n">
        <f aca="false">IF(AND(C1101&gt;=Staffing!$F$24,C1101&lt;=Staffing!$G$24,1=1),IF(C1101&lt;=6,Staffing!$H$24,IF(C1101&lt;=15,Staffing!$I$24,IF(C1101&lt;=30,Staffing!$J$24,Staffing!$K$24))),0)</f>
        <v>0.75</v>
      </c>
      <c r="F1101" s="10" t="n">
        <f aca="false">E1101*Staffing!$L$24/12*(1+Assumptions!$D$10)^INT((C1101-1)/12)*1</f>
        <v>12350</v>
      </c>
      <c r="G1101" s="10" t="n">
        <f aca="false">F1101*Staffing!$N$24</f>
        <v>0</v>
      </c>
      <c r="H1101" s="10" t="n">
        <f aca="false">F1101+G1101</f>
        <v>12350</v>
      </c>
      <c r="I1101" s="10" t="n">
        <f aca="false">0</f>
        <v>0</v>
      </c>
      <c r="J1101" s="10" t="n">
        <f aca="false">MAX(0,E1101-E1100)*Staffing!$O$24</f>
        <v>0</v>
      </c>
      <c r="K1101" s="10" t="n">
        <f aca="false">MAX(0,E1101-E1100)*Staffing!$P$24</f>
        <v>750</v>
      </c>
      <c r="L1101" s="23" t="n">
        <f aca="false">ROUNDUP(E1101,0)</f>
        <v>1</v>
      </c>
    </row>
    <row r="1102" customFormat="false" ht="15" hidden="false" customHeight="false" outlineLevel="0" collapsed="false">
      <c r="A1102" s="6" t="s">
        <v>4</v>
      </c>
      <c r="B1102" s="6" t="s">
        <v>338</v>
      </c>
      <c r="C1102" s="6" t="n">
        <v>17</v>
      </c>
      <c r="D1102" s="25" t="n">
        <f aca="false">EDATE('Start Here'!$B$6,C1102-1)</f>
        <v>46813</v>
      </c>
      <c r="E1102" s="11" t="n">
        <f aca="false">IF(AND(C1102&gt;=Staffing!$F$24,C1102&lt;=Staffing!$G$24,1=1),IF(C1102&lt;=6,Staffing!$H$24,IF(C1102&lt;=15,Staffing!$I$24,IF(C1102&lt;=30,Staffing!$J$24,Staffing!$K$24))),0)</f>
        <v>0.75</v>
      </c>
      <c r="F1102" s="10" t="n">
        <f aca="false">E1102*Staffing!$L$24/12*(1+Assumptions!$D$10)^INT((C1102-1)/12)*1</f>
        <v>12350</v>
      </c>
      <c r="G1102" s="10" t="n">
        <f aca="false">F1102*Staffing!$N$24</f>
        <v>0</v>
      </c>
      <c r="H1102" s="10" t="n">
        <f aca="false">F1102+G1102</f>
        <v>12350</v>
      </c>
      <c r="I1102" s="10" t="n">
        <f aca="false">0</f>
        <v>0</v>
      </c>
      <c r="J1102" s="10" t="n">
        <f aca="false">MAX(0,E1102-E1101)*Staffing!$O$24</f>
        <v>0</v>
      </c>
      <c r="K1102" s="10" t="n">
        <f aca="false">MAX(0,E1102-E1101)*Staffing!$P$24</f>
        <v>0</v>
      </c>
      <c r="L1102" s="23" t="n">
        <f aca="false">ROUNDUP(E1102,0)</f>
        <v>1</v>
      </c>
    </row>
    <row r="1103" customFormat="false" ht="15" hidden="false" customHeight="false" outlineLevel="0" collapsed="false">
      <c r="A1103" s="6" t="s">
        <v>4</v>
      </c>
      <c r="B1103" s="6" t="s">
        <v>338</v>
      </c>
      <c r="C1103" s="6" t="n">
        <v>18</v>
      </c>
      <c r="D1103" s="25" t="n">
        <f aca="false">EDATE('Start Here'!$B$6,C1103-1)</f>
        <v>46844</v>
      </c>
      <c r="E1103" s="11" t="n">
        <f aca="false">IF(AND(C1103&gt;=Staffing!$F$24,C1103&lt;=Staffing!$G$24,1=1),IF(C1103&lt;=6,Staffing!$H$24,IF(C1103&lt;=15,Staffing!$I$24,IF(C1103&lt;=30,Staffing!$J$24,Staffing!$K$24))),0)</f>
        <v>0.75</v>
      </c>
      <c r="F1103" s="10" t="n">
        <f aca="false">E1103*Staffing!$L$24/12*(1+Assumptions!$D$10)^INT((C1103-1)/12)*1</f>
        <v>12350</v>
      </c>
      <c r="G1103" s="10" t="n">
        <f aca="false">F1103*Staffing!$N$24</f>
        <v>0</v>
      </c>
      <c r="H1103" s="10" t="n">
        <f aca="false">F1103+G1103</f>
        <v>12350</v>
      </c>
      <c r="I1103" s="10" t="n">
        <f aca="false">0</f>
        <v>0</v>
      </c>
      <c r="J1103" s="10" t="n">
        <f aca="false">MAX(0,E1103-E1102)*Staffing!$O$24</f>
        <v>0</v>
      </c>
      <c r="K1103" s="10" t="n">
        <f aca="false">MAX(0,E1103-E1102)*Staffing!$P$24</f>
        <v>0</v>
      </c>
      <c r="L1103" s="23" t="n">
        <f aca="false">ROUNDUP(E1103,0)</f>
        <v>1</v>
      </c>
    </row>
    <row r="1104" customFormat="false" ht="15" hidden="false" customHeight="false" outlineLevel="0" collapsed="false">
      <c r="A1104" s="6" t="s">
        <v>4</v>
      </c>
      <c r="B1104" s="6" t="s">
        <v>338</v>
      </c>
      <c r="C1104" s="6" t="n">
        <v>19</v>
      </c>
      <c r="D1104" s="25" t="n">
        <f aca="false">EDATE('Start Here'!$B$6,C1104-1)</f>
        <v>46874</v>
      </c>
      <c r="E1104" s="11" t="n">
        <f aca="false">IF(AND(C1104&gt;=Staffing!$F$24,C1104&lt;=Staffing!$G$24,1=1),IF(C1104&lt;=6,Staffing!$H$24,IF(C1104&lt;=15,Staffing!$I$24,IF(C1104&lt;=30,Staffing!$J$24,Staffing!$K$24))),0)</f>
        <v>0.75</v>
      </c>
      <c r="F1104" s="10" t="n">
        <f aca="false">E1104*Staffing!$L$24/12*(1+Assumptions!$D$10)^INT((C1104-1)/12)*1</f>
        <v>12350</v>
      </c>
      <c r="G1104" s="10" t="n">
        <f aca="false">F1104*Staffing!$N$24</f>
        <v>0</v>
      </c>
      <c r="H1104" s="10" t="n">
        <f aca="false">F1104+G1104</f>
        <v>12350</v>
      </c>
      <c r="I1104" s="10" t="n">
        <f aca="false">0</f>
        <v>0</v>
      </c>
      <c r="J1104" s="10" t="n">
        <f aca="false">MAX(0,E1104-E1103)*Staffing!$O$24</f>
        <v>0</v>
      </c>
      <c r="K1104" s="10" t="n">
        <f aca="false">MAX(0,E1104-E1103)*Staffing!$P$24</f>
        <v>0</v>
      </c>
      <c r="L1104" s="23" t="n">
        <f aca="false">ROUNDUP(E1104,0)</f>
        <v>1</v>
      </c>
    </row>
    <row r="1105" customFormat="false" ht="15" hidden="false" customHeight="false" outlineLevel="0" collapsed="false">
      <c r="A1105" s="6" t="s">
        <v>4</v>
      </c>
      <c r="B1105" s="6" t="s">
        <v>338</v>
      </c>
      <c r="C1105" s="6" t="n">
        <v>20</v>
      </c>
      <c r="D1105" s="25" t="n">
        <f aca="false">EDATE('Start Here'!$B$6,C1105-1)</f>
        <v>46905</v>
      </c>
      <c r="E1105" s="11" t="n">
        <f aca="false">IF(AND(C1105&gt;=Staffing!$F$24,C1105&lt;=Staffing!$G$24,1=1),IF(C1105&lt;=6,Staffing!$H$24,IF(C1105&lt;=15,Staffing!$I$24,IF(C1105&lt;=30,Staffing!$J$24,Staffing!$K$24))),0)</f>
        <v>0.75</v>
      </c>
      <c r="F1105" s="10" t="n">
        <f aca="false">E1105*Staffing!$L$24/12*(1+Assumptions!$D$10)^INT((C1105-1)/12)*1</f>
        <v>12350</v>
      </c>
      <c r="G1105" s="10" t="n">
        <f aca="false">F1105*Staffing!$N$24</f>
        <v>0</v>
      </c>
      <c r="H1105" s="10" t="n">
        <f aca="false">F1105+G1105</f>
        <v>12350</v>
      </c>
      <c r="I1105" s="10" t="n">
        <f aca="false">0</f>
        <v>0</v>
      </c>
      <c r="J1105" s="10" t="n">
        <f aca="false">MAX(0,E1105-E1104)*Staffing!$O$24</f>
        <v>0</v>
      </c>
      <c r="K1105" s="10" t="n">
        <f aca="false">MAX(0,E1105-E1104)*Staffing!$P$24</f>
        <v>0</v>
      </c>
      <c r="L1105" s="23" t="n">
        <f aca="false">ROUNDUP(E1105,0)</f>
        <v>1</v>
      </c>
    </row>
    <row r="1106" customFormat="false" ht="15" hidden="false" customHeight="false" outlineLevel="0" collapsed="false">
      <c r="A1106" s="6" t="s">
        <v>4</v>
      </c>
      <c r="B1106" s="6" t="s">
        <v>338</v>
      </c>
      <c r="C1106" s="6" t="n">
        <v>21</v>
      </c>
      <c r="D1106" s="25" t="n">
        <f aca="false">EDATE('Start Here'!$B$6,C1106-1)</f>
        <v>46935</v>
      </c>
      <c r="E1106" s="11" t="n">
        <f aca="false">IF(AND(C1106&gt;=Staffing!$F$24,C1106&lt;=Staffing!$G$24,1=1),IF(C1106&lt;=6,Staffing!$H$24,IF(C1106&lt;=15,Staffing!$I$24,IF(C1106&lt;=30,Staffing!$J$24,Staffing!$K$24))),0)</f>
        <v>0.75</v>
      </c>
      <c r="F1106" s="10" t="n">
        <f aca="false">E1106*Staffing!$L$24/12*(1+Assumptions!$D$10)^INT((C1106-1)/12)*1</f>
        <v>12350</v>
      </c>
      <c r="G1106" s="10" t="n">
        <f aca="false">F1106*Staffing!$N$24</f>
        <v>0</v>
      </c>
      <c r="H1106" s="10" t="n">
        <f aca="false">F1106+G1106</f>
        <v>12350</v>
      </c>
      <c r="I1106" s="10" t="n">
        <f aca="false">0</f>
        <v>0</v>
      </c>
      <c r="J1106" s="10" t="n">
        <f aca="false">MAX(0,E1106-E1105)*Staffing!$O$24</f>
        <v>0</v>
      </c>
      <c r="K1106" s="10" t="n">
        <f aca="false">MAX(0,E1106-E1105)*Staffing!$P$24</f>
        <v>0</v>
      </c>
      <c r="L1106" s="23" t="n">
        <f aca="false">ROUNDUP(E1106,0)</f>
        <v>1</v>
      </c>
    </row>
    <row r="1107" customFormat="false" ht="15" hidden="false" customHeight="false" outlineLevel="0" collapsed="false">
      <c r="A1107" s="6" t="s">
        <v>4</v>
      </c>
      <c r="B1107" s="6" t="s">
        <v>338</v>
      </c>
      <c r="C1107" s="6" t="n">
        <v>22</v>
      </c>
      <c r="D1107" s="25" t="n">
        <f aca="false">EDATE('Start Here'!$B$6,C1107-1)</f>
        <v>46966</v>
      </c>
      <c r="E1107" s="11" t="n">
        <f aca="false">IF(AND(C1107&gt;=Staffing!$F$24,C1107&lt;=Staffing!$G$24,1=1),IF(C1107&lt;=6,Staffing!$H$24,IF(C1107&lt;=15,Staffing!$I$24,IF(C1107&lt;=30,Staffing!$J$24,Staffing!$K$24))),0)</f>
        <v>0.75</v>
      </c>
      <c r="F1107" s="10" t="n">
        <f aca="false">E1107*Staffing!$L$24/12*(1+Assumptions!$D$10)^INT((C1107-1)/12)*1</f>
        <v>12350</v>
      </c>
      <c r="G1107" s="10" t="n">
        <f aca="false">F1107*Staffing!$N$24</f>
        <v>0</v>
      </c>
      <c r="H1107" s="10" t="n">
        <f aca="false">F1107+G1107</f>
        <v>12350</v>
      </c>
      <c r="I1107" s="10" t="n">
        <f aca="false">0</f>
        <v>0</v>
      </c>
      <c r="J1107" s="10" t="n">
        <f aca="false">MAX(0,E1107-E1106)*Staffing!$O$24</f>
        <v>0</v>
      </c>
      <c r="K1107" s="10" t="n">
        <f aca="false">MAX(0,E1107-E1106)*Staffing!$P$24</f>
        <v>0</v>
      </c>
      <c r="L1107" s="23" t="n">
        <f aca="false">ROUNDUP(E1107,0)</f>
        <v>1</v>
      </c>
    </row>
    <row r="1108" customFormat="false" ht="15" hidden="false" customHeight="false" outlineLevel="0" collapsed="false">
      <c r="A1108" s="6" t="s">
        <v>4</v>
      </c>
      <c r="B1108" s="6" t="s">
        <v>338</v>
      </c>
      <c r="C1108" s="6" t="n">
        <v>23</v>
      </c>
      <c r="D1108" s="25" t="n">
        <f aca="false">EDATE('Start Here'!$B$6,C1108-1)</f>
        <v>46997</v>
      </c>
      <c r="E1108" s="11" t="n">
        <f aca="false">IF(AND(C1108&gt;=Staffing!$F$24,C1108&lt;=Staffing!$G$24,1=1),IF(C1108&lt;=6,Staffing!$H$24,IF(C1108&lt;=15,Staffing!$I$24,IF(C1108&lt;=30,Staffing!$J$24,Staffing!$K$24))),0)</f>
        <v>0.75</v>
      </c>
      <c r="F1108" s="10" t="n">
        <f aca="false">E1108*Staffing!$L$24/12*(1+Assumptions!$D$10)^INT((C1108-1)/12)*1</f>
        <v>12350</v>
      </c>
      <c r="G1108" s="10" t="n">
        <f aca="false">F1108*Staffing!$N$24</f>
        <v>0</v>
      </c>
      <c r="H1108" s="10" t="n">
        <f aca="false">F1108+G1108</f>
        <v>12350</v>
      </c>
      <c r="I1108" s="10" t="n">
        <f aca="false">0</f>
        <v>0</v>
      </c>
      <c r="J1108" s="10" t="n">
        <f aca="false">MAX(0,E1108-E1107)*Staffing!$O$24</f>
        <v>0</v>
      </c>
      <c r="K1108" s="10" t="n">
        <f aca="false">MAX(0,E1108-E1107)*Staffing!$P$24</f>
        <v>0</v>
      </c>
      <c r="L1108" s="23" t="n">
        <f aca="false">ROUNDUP(E1108,0)</f>
        <v>1</v>
      </c>
    </row>
    <row r="1109" customFormat="false" ht="15" hidden="false" customHeight="false" outlineLevel="0" collapsed="false">
      <c r="A1109" s="6" t="s">
        <v>4</v>
      </c>
      <c r="B1109" s="6" t="s">
        <v>338</v>
      </c>
      <c r="C1109" s="6" t="n">
        <v>24</v>
      </c>
      <c r="D1109" s="25" t="n">
        <f aca="false">EDATE('Start Here'!$B$6,C1109-1)</f>
        <v>47027</v>
      </c>
      <c r="E1109" s="11" t="n">
        <f aca="false">IF(AND(C1109&gt;=Staffing!$F$24,C1109&lt;=Staffing!$G$24,1=1),IF(C1109&lt;=6,Staffing!$H$24,IF(C1109&lt;=15,Staffing!$I$24,IF(C1109&lt;=30,Staffing!$J$24,Staffing!$K$24))),0)</f>
        <v>0.75</v>
      </c>
      <c r="F1109" s="10" t="n">
        <f aca="false">E1109*Staffing!$L$24/12*(1+Assumptions!$D$10)^INT((C1109-1)/12)*1</f>
        <v>12350</v>
      </c>
      <c r="G1109" s="10" t="n">
        <f aca="false">F1109*Staffing!$N$24</f>
        <v>0</v>
      </c>
      <c r="H1109" s="10" t="n">
        <f aca="false">F1109+G1109</f>
        <v>12350</v>
      </c>
      <c r="I1109" s="10" t="n">
        <f aca="false">0</f>
        <v>0</v>
      </c>
      <c r="J1109" s="10" t="n">
        <f aca="false">MAX(0,E1109-E1108)*Staffing!$O$24</f>
        <v>0</v>
      </c>
      <c r="K1109" s="10" t="n">
        <f aca="false">MAX(0,E1109-E1108)*Staffing!$P$24</f>
        <v>0</v>
      </c>
      <c r="L1109" s="23" t="n">
        <f aca="false">ROUNDUP(E1109,0)</f>
        <v>1</v>
      </c>
    </row>
    <row r="1110" customFormat="false" ht="15" hidden="false" customHeight="false" outlineLevel="0" collapsed="false">
      <c r="A1110" s="6" t="s">
        <v>4</v>
      </c>
      <c r="B1110" s="6" t="s">
        <v>338</v>
      </c>
      <c r="C1110" s="6" t="n">
        <v>25</v>
      </c>
      <c r="D1110" s="25" t="n">
        <f aca="false">EDATE('Start Here'!$B$6,C1110-1)</f>
        <v>47058</v>
      </c>
      <c r="E1110" s="11" t="n">
        <f aca="false">IF(AND(C1110&gt;=Staffing!$F$24,C1110&lt;=Staffing!$G$24,1=1),IF(C1110&lt;=6,Staffing!$H$24,IF(C1110&lt;=15,Staffing!$I$24,IF(C1110&lt;=30,Staffing!$J$24,Staffing!$K$24))),0)</f>
        <v>0.75</v>
      </c>
      <c r="F1110" s="10" t="n">
        <f aca="false">E1110*Staffing!$L$24/12*(1+Assumptions!$D$10)^INT((C1110-1)/12)*1</f>
        <v>12844</v>
      </c>
      <c r="G1110" s="10" t="n">
        <f aca="false">F1110*Staffing!$N$24</f>
        <v>0</v>
      </c>
      <c r="H1110" s="10" t="n">
        <f aca="false">F1110+G1110</f>
        <v>12844</v>
      </c>
      <c r="I1110" s="10" t="n">
        <f aca="false">0</f>
        <v>0</v>
      </c>
      <c r="J1110" s="10" t="n">
        <f aca="false">MAX(0,E1110-E1109)*Staffing!$O$24</f>
        <v>0</v>
      </c>
      <c r="K1110" s="10" t="n">
        <f aca="false">MAX(0,E1110-E1109)*Staffing!$P$24</f>
        <v>0</v>
      </c>
      <c r="L1110" s="23" t="n">
        <f aca="false">ROUNDUP(E1110,0)</f>
        <v>1</v>
      </c>
    </row>
    <row r="1111" customFormat="false" ht="15" hidden="false" customHeight="false" outlineLevel="0" collapsed="false">
      <c r="A1111" s="6" t="s">
        <v>4</v>
      </c>
      <c r="B1111" s="6" t="s">
        <v>338</v>
      </c>
      <c r="C1111" s="6" t="n">
        <v>26</v>
      </c>
      <c r="D1111" s="25" t="n">
        <f aca="false">EDATE('Start Here'!$B$6,C1111-1)</f>
        <v>47088</v>
      </c>
      <c r="E1111" s="11" t="n">
        <f aca="false">IF(AND(C1111&gt;=Staffing!$F$24,C1111&lt;=Staffing!$G$24,1=1),IF(C1111&lt;=6,Staffing!$H$24,IF(C1111&lt;=15,Staffing!$I$24,IF(C1111&lt;=30,Staffing!$J$24,Staffing!$K$24))),0)</f>
        <v>0.75</v>
      </c>
      <c r="F1111" s="10" t="n">
        <f aca="false">E1111*Staffing!$L$24/12*(1+Assumptions!$D$10)^INT((C1111-1)/12)*1</f>
        <v>12844</v>
      </c>
      <c r="G1111" s="10" t="n">
        <f aca="false">F1111*Staffing!$N$24</f>
        <v>0</v>
      </c>
      <c r="H1111" s="10" t="n">
        <f aca="false">F1111+G1111</f>
        <v>12844</v>
      </c>
      <c r="I1111" s="10" t="n">
        <f aca="false">0</f>
        <v>0</v>
      </c>
      <c r="J1111" s="10" t="n">
        <f aca="false">MAX(0,E1111-E1110)*Staffing!$O$24</f>
        <v>0</v>
      </c>
      <c r="K1111" s="10" t="n">
        <f aca="false">MAX(0,E1111-E1110)*Staffing!$P$24</f>
        <v>0</v>
      </c>
      <c r="L1111" s="23" t="n">
        <f aca="false">ROUNDUP(E1111,0)</f>
        <v>1</v>
      </c>
    </row>
    <row r="1112" customFormat="false" ht="15" hidden="false" customHeight="false" outlineLevel="0" collapsed="false">
      <c r="A1112" s="6" t="s">
        <v>4</v>
      </c>
      <c r="B1112" s="6" t="s">
        <v>338</v>
      </c>
      <c r="C1112" s="6" t="n">
        <v>27</v>
      </c>
      <c r="D1112" s="25" t="n">
        <f aca="false">EDATE('Start Here'!$B$6,C1112-1)</f>
        <v>47119</v>
      </c>
      <c r="E1112" s="11" t="n">
        <f aca="false">IF(AND(C1112&gt;=Staffing!$F$24,C1112&lt;=Staffing!$G$24,1=1),IF(C1112&lt;=6,Staffing!$H$24,IF(C1112&lt;=15,Staffing!$I$24,IF(C1112&lt;=30,Staffing!$J$24,Staffing!$K$24))),0)</f>
        <v>0.75</v>
      </c>
      <c r="F1112" s="10" t="n">
        <f aca="false">E1112*Staffing!$L$24/12*(1+Assumptions!$D$10)^INT((C1112-1)/12)*1</f>
        <v>12844</v>
      </c>
      <c r="G1112" s="10" t="n">
        <f aca="false">F1112*Staffing!$N$24</f>
        <v>0</v>
      </c>
      <c r="H1112" s="10" t="n">
        <f aca="false">F1112+G1112</f>
        <v>12844</v>
      </c>
      <c r="I1112" s="10" t="n">
        <f aca="false">0</f>
        <v>0</v>
      </c>
      <c r="J1112" s="10" t="n">
        <f aca="false">MAX(0,E1112-E1111)*Staffing!$O$24</f>
        <v>0</v>
      </c>
      <c r="K1112" s="10" t="n">
        <f aca="false">MAX(0,E1112-E1111)*Staffing!$P$24</f>
        <v>0</v>
      </c>
      <c r="L1112" s="23" t="n">
        <f aca="false">ROUNDUP(E1112,0)</f>
        <v>1</v>
      </c>
    </row>
    <row r="1113" customFormat="false" ht="15" hidden="false" customHeight="false" outlineLevel="0" collapsed="false">
      <c r="A1113" s="6" t="s">
        <v>4</v>
      </c>
      <c r="B1113" s="6" t="s">
        <v>338</v>
      </c>
      <c r="C1113" s="6" t="n">
        <v>28</v>
      </c>
      <c r="D1113" s="25" t="n">
        <f aca="false">EDATE('Start Here'!$B$6,C1113-1)</f>
        <v>47150</v>
      </c>
      <c r="E1113" s="11" t="n">
        <f aca="false">IF(AND(C1113&gt;=Staffing!$F$24,C1113&lt;=Staffing!$G$24,1=1),IF(C1113&lt;=6,Staffing!$H$24,IF(C1113&lt;=15,Staffing!$I$24,IF(C1113&lt;=30,Staffing!$J$24,Staffing!$K$24))),0)</f>
        <v>0.75</v>
      </c>
      <c r="F1113" s="10" t="n">
        <f aca="false">E1113*Staffing!$L$24/12*(1+Assumptions!$D$10)^INT((C1113-1)/12)*1</f>
        <v>12844</v>
      </c>
      <c r="G1113" s="10" t="n">
        <f aca="false">F1113*Staffing!$N$24</f>
        <v>0</v>
      </c>
      <c r="H1113" s="10" t="n">
        <f aca="false">F1113+G1113</f>
        <v>12844</v>
      </c>
      <c r="I1113" s="10" t="n">
        <f aca="false">0</f>
        <v>0</v>
      </c>
      <c r="J1113" s="10" t="n">
        <f aca="false">MAX(0,E1113-E1112)*Staffing!$O$24</f>
        <v>0</v>
      </c>
      <c r="K1113" s="10" t="n">
        <f aca="false">MAX(0,E1113-E1112)*Staffing!$P$24</f>
        <v>0</v>
      </c>
      <c r="L1113" s="23" t="n">
        <f aca="false">ROUNDUP(E1113,0)</f>
        <v>1</v>
      </c>
    </row>
    <row r="1114" customFormat="false" ht="15" hidden="false" customHeight="false" outlineLevel="0" collapsed="false">
      <c r="A1114" s="6" t="s">
        <v>4</v>
      </c>
      <c r="B1114" s="6" t="s">
        <v>338</v>
      </c>
      <c r="C1114" s="6" t="n">
        <v>29</v>
      </c>
      <c r="D1114" s="25" t="n">
        <f aca="false">EDATE('Start Here'!$B$6,C1114-1)</f>
        <v>47178</v>
      </c>
      <c r="E1114" s="11" t="n">
        <f aca="false">IF(AND(C1114&gt;=Staffing!$F$24,C1114&lt;=Staffing!$G$24,1=1),IF(C1114&lt;=6,Staffing!$H$24,IF(C1114&lt;=15,Staffing!$I$24,IF(C1114&lt;=30,Staffing!$J$24,Staffing!$K$24))),0)</f>
        <v>0.75</v>
      </c>
      <c r="F1114" s="10" t="n">
        <f aca="false">E1114*Staffing!$L$24/12*(1+Assumptions!$D$10)^INT((C1114-1)/12)*1</f>
        <v>12844</v>
      </c>
      <c r="G1114" s="10" t="n">
        <f aca="false">F1114*Staffing!$N$24</f>
        <v>0</v>
      </c>
      <c r="H1114" s="10" t="n">
        <f aca="false">F1114+G1114</f>
        <v>12844</v>
      </c>
      <c r="I1114" s="10" t="n">
        <f aca="false">0</f>
        <v>0</v>
      </c>
      <c r="J1114" s="10" t="n">
        <f aca="false">MAX(0,E1114-E1113)*Staffing!$O$24</f>
        <v>0</v>
      </c>
      <c r="K1114" s="10" t="n">
        <f aca="false">MAX(0,E1114-E1113)*Staffing!$P$24</f>
        <v>0</v>
      </c>
      <c r="L1114" s="23" t="n">
        <f aca="false">ROUNDUP(E1114,0)</f>
        <v>1</v>
      </c>
    </row>
    <row r="1115" customFormat="false" ht="15" hidden="false" customHeight="false" outlineLevel="0" collapsed="false">
      <c r="A1115" s="6" t="s">
        <v>4</v>
      </c>
      <c r="B1115" s="6" t="s">
        <v>338</v>
      </c>
      <c r="C1115" s="6" t="n">
        <v>30</v>
      </c>
      <c r="D1115" s="25" t="n">
        <f aca="false">EDATE('Start Here'!$B$6,C1115-1)</f>
        <v>47209</v>
      </c>
      <c r="E1115" s="11" t="n">
        <f aca="false">IF(AND(C1115&gt;=Staffing!$F$24,C1115&lt;=Staffing!$G$24,1=1),IF(C1115&lt;=6,Staffing!$H$24,IF(C1115&lt;=15,Staffing!$I$24,IF(C1115&lt;=30,Staffing!$J$24,Staffing!$K$24))),0)</f>
        <v>0.75</v>
      </c>
      <c r="F1115" s="10" t="n">
        <f aca="false">E1115*Staffing!$L$24/12*(1+Assumptions!$D$10)^INT((C1115-1)/12)*1</f>
        <v>12844</v>
      </c>
      <c r="G1115" s="10" t="n">
        <f aca="false">F1115*Staffing!$N$24</f>
        <v>0</v>
      </c>
      <c r="H1115" s="10" t="n">
        <f aca="false">F1115+G1115</f>
        <v>12844</v>
      </c>
      <c r="I1115" s="10" t="n">
        <f aca="false">0</f>
        <v>0</v>
      </c>
      <c r="J1115" s="10" t="n">
        <f aca="false">MAX(0,E1115-E1114)*Staffing!$O$24</f>
        <v>0</v>
      </c>
      <c r="K1115" s="10" t="n">
        <f aca="false">MAX(0,E1115-E1114)*Staffing!$P$24</f>
        <v>0</v>
      </c>
      <c r="L1115" s="23" t="n">
        <f aca="false">ROUNDUP(E1115,0)</f>
        <v>1</v>
      </c>
    </row>
    <row r="1116" customFormat="false" ht="15" hidden="false" customHeight="false" outlineLevel="0" collapsed="false">
      <c r="A1116" s="6" t="s">
        <v>4</v>
      </c>
      <c r="B1116" s="6" t="s">
        <v>338</v>
      </c>
      <c r="C1116" s="6" t="n">
        <v>31</v>
      </c>
      <c r="D1116" s="25" t="n">
        <f aca="false">EDATE('Start Here'!$B$6,C1116-1)</f>
        <v>47239</v>
      </c>
      <c r="E1116" s="11" t="n">
        <f aca="false">IF(AND(C1116&gt;=Staffing!$F$24,C1116&lt;=Staffing!$G$24,1=1),IF(C1116&lt;=6,Staffing!$H$24,IF(C1116&lt;=15,Staffing!$I$24,IF(C1116&lt;=30,Staffing!$J$24,Staffing!$K$24))),0)</f>
        <v>1</v>
      </c>
      <c r="F1116" s="10" t="n">
        <f aca="false">E1116*Staffing!$L$24/12*(1+Assumptions!$D$10)^INT((C1116-1)/12)*1</f>
        <v>17125.3333333333</v>
      </c>
      <c r="G1116" s="10" t="n">
        <f aca="false">F1116*Staffing!$N$24</f>
        <v>0</v>
      </c>
      <c r="H1116" s="10" t="n">
        <f aca="false">F1116+G1116</f>
        <v>17125.3333333333</v>
      </c>
      <c r="I1116" s="10" t="n">
        <f aca="false">0</f>
        <v>0</v>
      </c>
      <c r="J1116" s="10" t="n">
        <f aca="false">MAX(0,E1116-E1115)*Staffing!$O$24</f>
        <v>0</v>
      </c>
      <c r="K1116" s="10" t="n">
        <f aca="false">MAX(0,E1116-E1115)*Staffing!$P$24</f>
        <v>750</v>
      </c>
      <c r="L1116" s="23" t="n">
        <f aca="false">ROUNDUP(E1116,0)</f>
        <v>1</v>
      </c>
    </row>
    <row r="1117" customFormat="false" ht="15" hidden="false" customHeight="false" outlineLevel="0" collapsed="false">
      <c r="A1117" s="6" t="s">
        <v>4</v>
      </c>
      <c r="B1117" s="6" t="s">
        <v>338</v>
      </c>
      <c r="C1117" s="6" t="n">
        <v>32</v>
      </c>
      <c r="D1117" s="25" t="n">
        <f aca="false">EDATE('Start Here'!$B$6,C1117-1)</f>
        <v>47270</v>
      </c>
      <c r="E1117" s="11" t="n">
        <f aca="false">IF(AND(C1117&gt;=Staffing!$F$24,C1117&lt;=Staffing!$G$24,1=1),IF(C1117&lt;=6,Staffing!$H$24,IF(C1117&lt;=15,Staffing!$I$24,IF(C1117&lt;=30,Staffing!$J$24,Staffing!$K$24))),0)</f>
        <v>1</v>
      </c>
      <c r="F1117" s="10" t="n">
        <f aca="false">E1117*Staffing!$L$24/12*(1+Assumptions!$D$10)^INT((C1117-1)/12)*1</f>
        <v>17125.3333333333</v>
      </c>
      <c r="G1117" s="10" t="n">
        <f aca="false">F1117*Staffing!$N$24</f>
        <v>0</v>
      </c>
      <c r="H1117" s="10" t="n">
        <f aca="false">F1117+G1117</f>
        <v>17125.3333333333</v>
      </c>
      <c r="I1117" s="10" t="n">
        <f aca="false">0</f>
        <v>0</v>
      </c>
      <c r="J1117" s="10" t="n">
        <f aca="false">MAX(0,E1117-E1116)*Staffing!$O$24</f>
        <v>0</v>
      </c>
      <c r="K1117" s="10" t="n">
        <f aca="false">MAX(0,E1117-E1116)*Staffing!$P$24</f>
        <v>0</v>
      </c>
      <c r="L1117" s="23" t="n">
        <f aca="false">ROUNDUP(E1117,0)</f>
        <v>1</v>
      </c>
    </row>
    <row r="1118" customFormat="false" ht="15" hidden="false" customHeight="false" outlineLevel="0" collapsed="false">
      <c r="A1118" s="6" t="s">
        <v>4</v>
      </c>
      <c r="B1118" s="6" t="s">
        <v>338</v>
      </c>
      <c r="C1118" s="6" t="n">
        <v>33</v>
      </c>
      <c r="D1118" s="25" t="n">
        <f aca="false">EDATE('Start Here'!$B$6,C1118-1)</f>
        <v>47300</v>
      </c>
      <c r="E1118" s="11" t="n">
        <f aca="false">IF(AND(C1118&gt;=Staffing!$F$24,C1118&lt;=Staffing!$G$24,1=1),IF(C1118&lt;=6,Staffing!$H$24,IF(C1118&lt;=15,Staffing!$I$24,IF(C1118&lt;=30,Staffing!$J$24,Staffing!$K$24))),0)</f>
        <v>1</v>
      </c>
      <c r="F1118" s="10" t="n">
        <f aca="false">E1118*Staffing!$L$24/12*(1+Assumptions!$D$10)^INT((C1118-1)/12)*1</f>
        <v>17125.3333333333</v>
      </c>
      <c r="G1118" s="10" t="n">
        <f aca="false">F1118*Staffing!$N$24</f>
        <v>0</v>
      </c>
      <c r="H1118" s="10" t="n">
        <f aca="false">F1118+G1118</f>
        <v>17125.3333333333</v>
      </c>
      <c r="I1118" s="10" t="n">
        <f aca="false">0</f>
        <v>0</v>
      </c>
      <c r="J1118" s="10" t="n">
        <f aca="false">MAX(0,E1118-E1117)*Staffing!$O$24</f>
        <v>0</v>
      </c>
      <c r="K1118" s="10" t="n">
        <f aca="false">MAX(0,E1118-E1117)*Staffing!$P$24</f>
        <v>0</v>
      </c>
      <c r="L1118" s="23" t="n">
        <f aca="false">ROUNDUP(E1118,0)</f>
        <v>1</v>
      </c>
    </row>
    <row r="1119" customFormat="false" ht="15" hidden="false" customHeight="false" outlineLevel="0" collapsed="false">
      <c r="A1119" s="6" t="s">
        <v>4</v>
      </c>
      <c r="B1119" s="6" t="s">
        <v>338</v>
      </c>
      <c r="C1119" s="6" t="n">
        <v>34</v>
      </c>
      <c r="D1119" s="25" t="n">
        <f aca="false">EDATE('Start Here'!$B$6,C1119-1)</f>
        <v>47331</v>
      </c>
      <c r="E1119" s="11" t="n">
        <f aca="false">IF(AND(C1119&gt;=Staffing!$F$24,C1119&lt;=Staffing!$G$24,1=1),IF(C1119&lt;=6,Staffing!$H$24,IF(C1119&lt;=15,Staffing!$I$24,IF(C1119&lt;=30,Staffing!$J$24,Staffing!$K$24))),0)</f>
        <v>1</v>
      </c>
      <c r="F1119" s="10" t="n">
        <f aca="false">E1119*Staffing!$L$24/12*(1+Assumptions!$D$10)^INT((C1119-1)/12)*1</f>
        <v>17125.3333333333</v>
      </c>
      <c r="G1119" s="10" t="n">
        <f aca="false">F1119*Staffing!$N$24</f>
        <v>0</v>
      </c>
      <c r="H1119" s="10" t="n">
        <f aca="false">F1119+G1119</f>
        <v>17125.3333333333</v>
      </c>
      <c r="I1119" s="10" t="n">
        <f aca="false">0</f>
        <v>0</v>
      </c>
      <c r="J1119" s="10" t="n">
        <f aca="false">MAX(0,E1119-E1118)*Staffing!$O$24</f>
        <v>0</v>
      </c>
      <c r="K1119" s="10" t="n">
        <f aca="false">MAX(0,E1119-E1118)*Staffing!$P$24</f>
        <v>0</v>
      </c>
      <c r="L1119" s="23" t="n">
        <f aca="false">ROUNDUP(E1119,0)</f>
        <v>1</v>
      </c>
    </row>
    <row r="1120" customFormat="false" ht="15" hidden="false" customHeight="false" outlineLevel="0" collapsed="false">
      <c r="A1120" s="6" t="s">
        <v>4</v>
      </c>
      <c r="B1120" s="6" t="s">
        <v>338</v>
      </c>
      <c r="C1120" s="6" t="n">
        <v>35</v>
      </c>
      <c r="D1120" s="25" t="n">
        <f aca="false">EDATE('Start Here'!$B$6,C1120-1)</f>
        <v>47362</v>
      </c>
      <c r="E1120" s="11" t="n">
        <f aca="false">IF(AND(C1120&gt;=Staffing!$F$24,C1120&lt;=Staffing!$G$24,1=1),IF(C1120&lt;=6,Staffing!$H$24,IF(C1120&lt;=15,Staffing!$I$24,IF(C1120&lt;=30,Staffing!$J$24,Staffing!$K$24))),0)</f>
        <v>1</v>
      </c>
      <c r="F1120" s="10" t="n">
        <f aca="false">E1120*Staffing!$L$24/12*(1+Assumptions!$D$10)^INT((C1120-1)/12)*1</f>
        <v>17125.3333333333</v>
      </c>
      <c r="G1120" s="10" t="n">
        <f aca="false">F1120*Staffing!$N$24</f>
        <v>0</v>
      </c>
      <c r="H1120" s="10" t="n">
        <f aca="false">F1120+G1120</f>
        <v>17125.3333333333</v>
      </c>
      <c r="I1120" s="10" t="n">
        <f aca="false">0</f>
        <v>0</v>
      </c>
      <c r="J1120" s="10" t="n">
        <f aca="false">MAX(0,E1120-E1119)*Staffing!$O$24</f>
        <v>0</v>
      </c>
      <c r="K1120" s="10" t="n">
        <f aca="false">MAX(0,E1120-E1119)*Staffing!$P$24</f>
        <v>0</v>
      </c>
      <c r="L1120" s="23" t="n">
        <f aca="false">ROUNDUP(E1120,0)</f>
        <v>1</v>
      </c>
    </row>
    <row r="1121" customFormat="false" ht="15" hidden="false" customHeight="false" outlineLevel="0" collapsed="false">
      <c r="A1121" s="6" t="s">
        <v>4</v>
      </c>
      <c r="B1121" s="6" t="s">
        <v>338</v>
      </c>
      <c r="C1121" s="6" t="n">
        <v>36</v>
      </c>
      <c r="D1121" s="25" t="n">
        <f aca="false">EDATE('Start Here'!$B$6,C1121-1)</f>
        <v>47392</v>
      </c>
      <c r="E1121" s="11" t="n">
        <f aca="false">IF(AND(C1121&gt;=Staffing!$F$24,C1121&lt;=Staffing!$G$24,1=1),IF(C1121&lt;=6,Staffing!$H$24,IF(C1121&lt;=15,Staffing!$I$24,IF(C1121&lt;=30,Staffing!$J$24,Staffing!$K$24))),0)</f>
        <v>1</v>
      </c>
      <c r="F1121" s="10" t="n">
        <f aca="false">E1121*Staffing!$L$24/12*(1+Assumptions!$D$10)^INT((C1121-1)/12)*1</f>
        <v>17125.3333333333</v>
      </c>
      <c r="G1121" s="10" t="n">
        <f aca="false">F1121*Staffing!$N$24</f>
        <v>0</v>
      </c>
      <c r="H1121" s="10" t="n">
        <f aca="false">F1121+G1121</f>
        <v>17125.3333333333</v>
      </c>
      <c r="I1121" s="10" t="n">
        <f aca="false">0</f>
        <v>0</v>
      </c>
      <c r="J1121" s="10" t="n">
        <f aca="false">MAX(0,E1121-E1120)*Staffing!$O$24</f>
        <v>0</v>
      </c>
      <c r="K1121" s="10" t="n">
        <f aca="false">MAX(0,E1121-E1120)*Staffing!$P$24</f>
        <v>0</v>
      </c>
      <c r="L1121" s="23" t="n">
        <f aca="false">ROUNDUP(E1121,0)</f>
        <v>1</v>
      </c>
    </row>
    <row r="1122" customFormat="false" ht="15" hidden="false" customHeight="false" outlineLevel="0" collapsed="false">
      <c r="A1122" s="6" t="s">
        <v>4</v>
      </c>
      <c r="B1122" s="6" t="s">
        <v>338</v>
      </c>
      <c r="C1122" s="6" t="n">
        <v>37</v>
      </c>
      <c r="D1122" s="25" t="n">
        <f aca="false">EDATE('Start Here'!$B$6,C1122-1)</f>
        <v>47423</v>
      </c>
      <c r="E1122" s="11" t="n">
        <f aca="false">IF(AND(C1122&gt;=Staffing!$F$24,C1122&lt;=Staffing!$G$24,1=1),IF(C1122&lt;=6,Staffing!$H$24,IF(C1122&lt;=15,Staffing!$I$24,IF(C1122&lt;=30,Staffing!$J$24,Staffing!$K$24))),0)</f>
        <v>1</v>
      </c>
      <c r="F1122" s="10" t="n">
        <f aca="false">E1122*Staffing!$L$24/12*(1+Assumptions!$D$10)^INT((C1122-1)/12)*1</f>
        <v>17810.3466666667</v>
      </c>
      <c r="G1122" s="10" t="n">
        <f aca="false">F1122*Staffing!$N$24</f>
        <v>0</v>
      </c>
      <c r="H1122" s="10" t="n">
        <f aca="false">F1122+G1122</f>
        <v>17810.3466666667</v>
      </c>
      <c r="I1122" s="10" t="n">
        <f aca="false">0</f>
        <v>0</v>
      </c>
      <c r="J1122" s="10" t="n">
        <f aca="false">MAX(0,E1122-E1121)*Staffing!$O$24</f>
        <v>0</v>
      </c>
      <c r="K1122" s="10" t="n">
        <f aca="false">MAX(0,E1122-E1121)*Staffing!$P$24</f>
        <v>0</v>
      </c>
      <c r="L1122" s="23" t="n">
        <f aca="false">ROUNDUP(E1122,0)</f>
        <v>1</v>
      </c>
    </row>
    <row r="1123" customFormat="false" ht="15" hidden="false" customHeight="false" outlineLevel="0" collapsed="false">
      <c r="A1123" s="6" t="s">
        <v>4</v>
      </c>
      <c r="B1123" s="6" t="s">
        <v>338</v>
      </c>
      <c r="C1123" s="6" t="n">
        <v>38</v>
      </c>
      <c r="D1123" s="25" t="n">
        <f aca="false">EDATE('Start Here'!$B$6,C1123-1)</f>
        <v>47453</v>
      </c>
      <c r="E1123" s="11" t="n">
        <f aca="false">IF(AND(C1123&gt;=Staffing!$F$24,C1123&lt;=Staffing!$G$24,1=1),IF(C1123&lt;=6,Staffing!$H$24,IF(C1123&lt;=15,Staffing!$I$24,IF(C1123&lt;=30,Staffing!$J$24,Staffing!$K$24))),0)</f>
        <v>1</v>
      </c>
      <c r="F1123" s="10" t="n">
        <f aca="false">E1123*Staffing!$L$24/12*(1+Assumptions!$D$10)^INT((C1123-1)/12)*1</f>
        <v>17810.3466666667</v>
      </c>
      <c r="G1123" s="10" t="n">
        <f aca="false">F1123*Staffing!$N$24</f>
        <v>0</v>
      </c>
      <c r="H1123" s="10" t="n">
        <f aca="false">F1123+G1123</f>
        <v>17810.3466666667</v>
      </c>
      <c r="I1123" s="10" t="n">
        <f aca="false">0</f>
        <v>0</v>
      </c>
      <c r="J1123" s="10" t="n">
        <f aca="false">MAX(0,E1123-E1122)*Staffing!$O$24</f>
        <v>0</v>
      </c>
      <c r="K1123" s="10" t="n">
        <f aca="false">MAX(0,E1123-E1122)*Staffing!$P$24</f>
        <v>0</v>
      </c>
      <c r="L1123" s="23" t="n">
        <f aca="false">ROUNDUP(E1123,0)</f>
        <v>1</v>
      </c>
    </row>
    <row r="1124" customFormat="false" ht="15" hidden="false" customHeight="false" outlineLevel="0" collapsed="false">
      <c r="A1124" s="6" t="s">
        <v>4</v>
      </c>
      <c r="B1124" s="6" t="s">
        <v>338</v>
      </c>
      <c r="C1124" s="6" t="n">
        <v>39</v>
      </c>
      <c r="D1124" s="25" t="n">
        <f aca="false">EDATE('Start Here'!$B$6,C1124-1)</f>
        <v>47484</v>
      </c>
      <c r="E1124" s="11" t="n">
        <f aca="false">IF(AND(C1124&gt;=Staffing!$F$24,C1124&lt;=Staffing!$G$24,1=1),IF(C1124&lt;=6,Staffing!$H$24,IF(C1124&lt;=15,Staffing!$I$24,IF(C1124&lt;=30,Staffing!$J$24,Staffing!$K$24))),0)</f>
        <v>1</v>
      </c>
      <c r="F1124" s="10" t="n">
        <f aca="false">E1124*Staffing!$L$24/12*(1+Assumptions!$D$10)^INT((C1124-1)/12)*1</f>
        <v>17810.3466666667</v>
      </c>
      <c r="G1124" s="10" t="n">
        <f aca="false">F1124*Staffing!$N$24</f>
        <v>0</v>
      </c>
      <c r="H1124" s="10" t="n">
        <f aca="false">F1124+G1124</f>
        <v>17810.3466666667</v>
      </c>
      <c r="I1124" s="10" t="n">
        <f aca="false">0</f>
        <v>0</v>
      </c>
      <c r="J1124" s="10" t="n">
        <f aca="false">MAX(0,E1124-E1123)*Staffing!$O$24</f>
        <v>0</v>
      </c>
      <c r="K1124" s="10" t="n">
        <f aca="false">MAX(0,E1124-E1123)*Staffing!$P$24</f>
        <v>0</v>
      </c>
      <c r="L1124" s="23" t="n">
        <f aca="false">ROUNDUP(E1124,0)</f>
        <v>1</v>
      </c>
    </row>
    <row r="1125" customFormat="false" ht="15" hidden="false" customHeight="false" outlineLevel="0" collapsed="false">
      <c r="A1125" s="6" t="s">
        <v>4</v>
      </c>
      <c r="B1125" s="6" t="s">
        <v>338</v>
      </c>
      <c r="C1125" s="6" t="n">
        <v>40</v>
      </c>
      <c r="D1125" s="25" t="n">
        <f aca="false">EDATE('Start Here'!$B$6,C1125-1)</f>
        <v>47515</v>
      </c>
      <c r="E1125" s="11" t="n">
        <f aca="false">IF(AND(C1125&gt;=Staffing!$F$24,C1125&lt;=Staffing!$G$24,1=1),IF(C1125&lt;=6,Staffing!$H$24,IF(C1125&lt;=15,Staffing!$I$24,IF(C1125&lt;=30,Staffing!$J$24,Staffing!$K$24))),0)</f>
        <v>1</v>
      </c>
      <c r="F1125" s="10" t="n">
        <f aca="false">E1125*Staffing!$L$24/12*(1+Assumptions!$D$10)^INT((C1125-1)/12)*1</f>
        <v>17810.3466666667</v>
      </c>
      <c r="G1125" s="10" t="n">
        <f aca="false">F1125*Staffing!$N$24</f>
        <v>0</v>
      </c>
      <c r="H1125" s="10" t="n">
        <f aca="false">F1125+G1125</f>
        <v>17810.3466666667</v>
      </c>
      <c r="I1125" s="10" t="n">
        <f aca="false">0</f>
        <v>0</v>
      </c>
      <c r="J1125" s="10" t="n">
        <f aca="false">MAX(0,E1125-E1124)*Staffing!$O$24</f>
        <v>0</v>
      </c>
      <c r="K1125" s="10" t="n">
        <f aca="false">MAX(0,E1125-E1124)*Staffing!$P$24</f>
        <v>0</v>
      </c>
      <c r="L1125" s="23" t="n">
        <f aca="false">ROUNDUP(E1125,0)</f>
        <v>1</v>
      </c>
    </row>
    <row r="1126" customFormat="false" ht="15" hidden="false" customHeight="false" outlineLevel="0" collapsed="false">
      <c r="A1126" s="6" t="s">
        <v>4</v>
      </c>
      <c r="B1126" s="6" t="s">
        <v>338</v>
      </c>
      <c r="C1126" s="6" t="n">
        <v>41</v>
      </c>
      <c r="D1126" s="25" t="n">
        <f aca="false">EDATE('Start Here'!$B$6,C1126-1)</f>
        <v>47543</v>
      </c>
      <c r="E1126" s="11" t="n">
        <f aca="false">IF(AND(C1126&gt;=Staffing!$F$24,C1126&lt;=Staffing!$G$24,1=1),IF(C1126&lt;=6,Staffing!$H$24,IF(C1126&lt;=15,Staffing!$I$24,IF(C1126&lt;=30,Staffing!$J$24,Staffing!$K$24))),0)</f>
        <v>1</v>
      </c>
      <c r="F1126" s="10" t="n">
        <f aca="false">E1126*Staffing!$L$24/12*(1+Assumptions!$D$10)^INT((C1126-1)/12)*1</f>
        <v>17810.3466666667</v>
      </c>
      <c r="G1126" s="10" t="n">
        <f aca="false">F1126*Staffing!$N$24</f>
        <v>0</v>
      </c>
      <c r="H1126" s="10" t="n">
        <f aca="false">F1126+G1126</f>
        <v>17810.3466666667</v>
      </c>
      <c r="I1126" s="10" t="n">
        <f aca="false">0</f>
        <v>0</v>
      </c>
      <c r="J1126" s="10" t="n">
        <f aca="false">MAX(0,E1126-E1125)*Staffing!$O$24</f>
        <v>0</v>
      </c>
      <c r="K1126" s="10" t="n">
        <f aca="false">MAX(0,E1126-E1125)*Staffing!$P$24</f>
        <v>0</v>
      </c>
      <c r="L1126" s="23" t="n">
        <f aca="false">ROUNDUP(E1126,0)</f>
        <v>1</v>
      </c>
    </row>
    <row r="1127" customFormat="false" ht="15" hidden="false" customHeight="false" outlineLevel="0" collapsed="false">
      <c r="A1127" s="6" t="s">
        <v>4</v>
      </c>
      <c r="B1127" s="6" t="s">
        <v>338</v>
      </c>
      <c r="C1127" s="6" t="n">
        <v>42</v>
      </c>
      <c r="D1127" s="25" t="n">
        <f aca="false">EDATE('Start Here'!$B$6,C1127-1)</f>
        <v>47574</v>
      </c>
      <c r="E1127" s="11" t="n">
        <f aca="false">IF(AND(C1127&gt;=Staffing!$F$24,C1127&lt;=Staffing!$G$24,1=1),IF(C1127&lt;=6,Staffing!$H$24,IF(C1127&lt;=15,Staffing!$I$24,IF(C1127&lt;=30,Staffing!$J$24,Staffing!$K$24))),0)</f>
        <v>1</v>
      </c>
      <c r="F1127" s="10" t="n">
        <f aca="false">E1127*Staffing!$L$24/12*(1+Assumptions!$D$10)^INT((C1127-1)/12)*1</f>
        <v>17810.3466666667</v>
      </c>
      <c r="G1127" s="10" t="n">
        <f aca="false">F1127*Staffing!$N$24</f>
        <v>0</v>
      </c>
      <c r="H1127" s="10" t="n">
        <f aca="false">F1127+G1127</f>
        <v>17810.3466666667</v>
      </c>
      <c r="I1127" s="10" t="n">
        <f aca="false">0</f>
        <v>0</v>
      </c>
      <c r="J1127" s="10" t="n">
        <f aca="false">MAX(0,E1127-E1126)*Staffing!$O$24</f>
        <v>0</v>
      </c>
      <c r="K1127" s="10" t="n">
        <f aca="false">MAX(0,E1127-E1126)*Staffing!$P$24</f>
        <v>0</v>
      </c>
      <c r="L1127" s="23" t="n">
        <f aca="false">ROUNDUP(E1127,0)</f>
        <v>1</v>
      </c>
    </row>
    <row r="1128" customFormat="false" ht="15" hidden="false" customHeight="false" outlineLevel="0" collapsed="false">
      <c r="A1128" s="6" t="s">
        <v>4</v>
      </c>
      <c r="B1128" s="6" t="s">
        <v>338</v>
      </c>
      <c r="C1128" s="6" t="n">
        <v>43</v>
      </c>
      <c r="D1128" s="25" t="n">
        <f aca="false">EDATE('Start Here'!$B$6,C1128-1)</f>
        <v>47604</v>
      </c>
      <c r="E1128" s="11" t="n">
        <f aca="false">IF(AND(C1128&gt;=Staffing!$F$24,C1128&lt;=Staffing!$G$24,1=1),IF(C1128&lt;=6,Staffing!$H$24,IF(C1128&lt;=15,Staffing!$I$24,IF(C1128&lt;=30,Staffing!$J$24,Staffing!$K$24))),0)</f>
        <v>1</v>
      </c>
      <c r="F1128" s="10" t="n">
        <f aca="false">E1128*Staffing!$L$24/12*(1+Assumptions!$D$10)^INT((C1128-1)/12)*1</f>
        <v>17810.3466666667</v>
      </c>
      <c r="G1128" s="10" t="n">
        <f aca="false">F1128*Staffing!$N$24</f>
        <v>0</v>
      </c>
      <c r="H1128" s="10" t="n">
        <f aca="false">F1128+G1128</f>
        <v>17810.3466666667</v>
      </c>
      <c r="I1128" s="10" t="n">
        <f aca="false">0</f>
        <v>0</v>
      </c>
      <c r="J1128" s="10" t="n">
        <f aca="false">MAX(0,E1128-E1127)*Staffing!$O$24</f>
        <v>0</v>
      </c>
      <c r="K1128" s="10" t="n">
        <f aca="false">MAX(0,E1128-E1127)*Staffing!$P$24</f>
        <v>0</v>
      </c>
      <c r="L1128" s="23" t="n">
        <f aca="false">ROUNDUP(E1128,0)</f>
        <v>1</v>
      </c>
    </row>
    <row r="1129" customFormat="false" ht="15" hidden="false" customHeight="false" outlineLevel="0" collapsed="false">
      <c r="A1129" s="6" t="s">
        <v>4</v>
      </c>
      <c r="B1129" s="6" t="s">
        <v>338</v>
      </c>
      <c r="C1129" s="6" t="n">
        <v>44</v>
      </c>
      <c r="D1129" s="25" t="n">
        <f aca="false">EDATE('Start Here'!$B$6,C1129-1)</f>
        <v>47635</v>
      </c>
      <c r="E1129" s="11" t="n">
        <f aca="false">IF(AND(C1129&gt;=Staffing!$F$24,C1129&lt;=Staffing!$G$24,1=1),IF(C1129&lt;=6,Staffing!$H$24,IF(C1129&lt;=15,Staffing!$I$24,IF(C1129&lt;=30,Staffing!$J$24,Staffing!$K$24))),0)</f>
        <v>1</v>
      </c>
      <c r="F1129" s="10" t="n">
        <f aca="false">E1129*Staffing!$L$24/12*(1+Assumptions!$D$10)^INT((C1129-1)/12)*1</f>
        <v>17810.3466666667</v>
      </c>
      <c r="G1129" s="10" t="n">
        <f aca="false">F1129*Staffing!$N$24</f>
        <v>0</v>
      </c>
      <c r="H1129" s="10" t="n">
        <f aca="false">F1129+G1129</f>
        <v>17810.3466666667</v>
      </c>
      <c r="I1129" s="10" t="n">
        <f aca="false">0</f>
        <v>0</v>
      </c>
      <c r="J1129" s="10" t="n">
        <f aca="false">MAX(0,E1129-E1128)*Staffing!$O$24</f>
        <v>0</v>
      </c>
      <c r="K1129" s="10" t="n">
        <f aca="false">MAX(0,E1129-E1128)*Staffing!$P$24</f>
        <v>0</v>
      </c>
      <c r="L1129" s="23" t="n">
        <f aca="false">ROUNDUP(E1129,0)</f>
        <v>1</v>
      </c>
    </row>
    <row r="1130" customFormat="false" ht="15" hidden="false" customHeight="false" outlineLevel="0" collapsed="false">
      <c r="A1130" s="6" t="s">
        <v>4</v>
      </c>
      <c r="B1130" s="6" t="s">
        <v>338</v>
      </c>
      <c r="C1130" s="6" t="n">
        <v>45</v>
      </c>
      <c r="D1130" s="25" t="n">
        <f aca="false">EDATE('Start Here'!$B$6,C1130-1)</f>
        <v>47665</v>
      </c>
      <c r="E1130" s="11" t="n">
        <f aca="false">IF(AND(C1130&gt;=Staffing!$F$24,C1130&lt;=Staffing!$G$24,1=1),IF(C1130&lt;=6,Staffing!$H$24,IF(C1130&lt;=15,Staffing!$I$24,IF(C1130&lt;=30,Staffing!$J$24,Staffing!$K$24))),0)</f>
        <v>1</v>
      </c>
      <c r="F1130" s="10" t="n">
        <f aca="false">E1130*Staffing!$L$24/12*(1+Assumptions!$D$10)^INT((C1130-1)/12)*1</f>
        <v>17810.3466666667</v>
      </c>
      <c r="G1130" s="10" t="n">
        <f aca="false">F1130*Staffing!$N$24</f>
        <v>0</v>
      </c>
      <c r="H1130" s="10" t="n">
        <f aca="false">F1130+G1130</f>
        <v>17810.3466666667</v>
      </c>
      <c r="I1130" s="10" t="n">
        <f aca="false">0</f>
        <v>0</v>
      </c>
      <c r="J1130" s="10" t="n">
        <f aca="false">MAX(0,E1130-E1129)*Staffing!$O$24</f>
        <v>0</v>
      </c>
      <c r="K1130" s="10" t="n">
        <f aca="false">MAX(0,E1130-E1129)*Staffing!$P$24</f>
        <v>0</v>
      </c>
      <c r="L1130" s="23" t="n">
        <f aca="false">ROUNDUP(E1130,0)</f>
        <v>1</v>
      </c>
    </row>
    <row r="1131" customFormat="false" ht="15" hidden="false" customHeight="false" outlineLevel="0" collapsed="false">
      <c r="A1131" s="6" t="s">
        <v>4</v>
      </c>
      <c r="B1131" s="6" t="s">
        <v>338</v>
      </c>
      <c r="C1131" s="6" t="n">
        <v>46</v>
      </c>
      <c r="D1131" s="25" t="n">
        <f aca="false">EDATE('Start Here'!$B$6,C1131-1)</f>
        <v>47696</v>
      </c>
      <c r="E1131" s="11" t="n">
        <f aca="false">IF(AND(C1131&gt;=Staffing!$F$24,C1131&lt;=Staffing!$G$24,1=1),IF(C1131&lt;=6,Staffing!$H$24,IF(C1131&lt;=15,Staffing!$I$24,IF(C1131&lt;=30,Staffing!$J$24,Staffing!$K$24))),0)</f>
        <v>1</v>
      </c>
      <c r="F1131" s="10" t="n">
        <f aca="false">E1131*Staffing!$L$24/12*(1+Assumptions!$D$10)^INT((C1131-1)/12)*1</f>
        <v>17810.3466666667</v>
      </c>
      <c r="G1131" s="10" t="n">
        <f aca="false">F1131*Staffing!$N$24</f>
        <v>0</v>
      </c>
      <c r="H1131" s="10" t="n">
        <f aca="false">F1131+G1131</f>
        <v>17810.3466666667</v>
      </c>
      <c r="I1131" s="10" t="n">
        <f aca="false">0</f>
        <v>0</v>
      </c>
      <c r="J1131" s="10" t="n">
        <f aca="false">MAX(0,E1131-E1130)*Staffing!$O$24</f>
        <v>0</v>
      </c>
      <c r="K1131" s="10" t="n">
        <f aca="false">MAX(0,E1131-E1130)*Staffing!$P$24</f>
        <v>0</v>
      </c>
      <c r="L1131" s="23" t="n">
        <f aca="false">ROUNDUP(E1131,0)</f>
        <v>1</v>
      </c>
    </row>
    <row r="1132" customFormat="false" ht="15" hidden="false" customHeight="false" outlineLevel="0" collapsed="false">
      <c r="A1132" s="6" t="s">
        <v>4</v>
      </c>
      <c r="B1132" s="6" t="s">
        <v>338</v>
      </c>
      <c r="C1132" s="6" t="n">
        <v>47</v>
      </c>
      <c r="D1132" s="25" t="n">
        <f aca="false">EDATE('Start Here'!$B$6,C1132-1)</f>
        <v>47727</v>
      </c>
      <c r="E1132" s="11" t="n">
        <f aca="false">IF(AND(C1132&gt;=Staffing!$F$24,C1132&lt;=Staffing!$G$24,1=1),IF(C1132&lt;=6,Staffing!$H$24,IF(C1132&lt;=15,Staffing!$I$24,IF(C1132&lt;=30,Staffing!$J$24,Staffing!$K$24))),0)</f>
        <v>1</v>
      </c>
      <c r="F1132" s="10" t="n">
        <f aca="false">E1132*Staffing!$L$24/12*(1+Assumptions!$D$10)^INT((C1132-1)/12)*1</f>
        <v>17810.3466666667</v>
      </c>
      <c r="G1132" s="10" t="n">
        <f aca="false">F1132*Staffing!$N$24</f>
        <v>0</v>
      </c>
      <c r="H1132" s="10" t="n">
        <f aca="false">F1132+G1132</f>
        <v>17810.3466666667</v>
      </c>
      <c r="I1132" s="10" t="n">
        <f aca="false">0</f>
        <v>0</v>
      </c>
      <c r="J1132" s="10" t="n">
        <f aca="false">MAX(0,E1132-E1131)*Staffing!$O$24</f>
        <v>0</v>
      </c>
      <c r="K1132" s="10" t="n">
        <f aca="false">MAX(0,E1132-E1131)*Staffing!$P$24</f>
        <v>0</v>
      </c>
      <c r="L1132" s="23" t="n">
        <f aca="false">ROUNDUP(E1132,0)</f>
        <v>1</v>
      </c>
    </row>
    <row r="1133" customFormat="false" ht="15" hidden="false" customHeight="false" outlineLevel="0" collapsed="false">
      <c r="A1133" s="6" t="s">
        <v>4</v>
      </c>
      <c r="B1133" s="6" t="s">
        <v>338</v>
      </c>
      <c r="C1133" s="6" t="n">
        <v>48</v>
      </c>
      <c r="D1133" s="25" t="n">
        <f aca="false">EDATE('Start Here'!$B$6,C1133-1)</f>
        <v>47757</v>
      </c>
      <c r="E1133" s="11" t="n">
        <f aca="false">IF(AND(C1133&gt;=Staffing!$F$24,C1133&lt;=Staffing!$G$24,1=1),IF(C1133&lt;=6,Staffing!$H$24,IF(C1133&lt;=15,Staffing!$I$24,IF(C1133&lt;=30,Staffing!$J$24,Staffing!$K$24))),0)</f>
        <v>1</v>
      </c>
      <c r="F1133" s="10" t="n">
        <f aca="false">E1133*Staffing!$L$24/12*(1+Assumptions!$D$10)^INT((C1133-1)/12)*1</f>
        <v>17810.3466666667</v>
      </c>
      <c r="G1133" s="10" t="n">
        <f aca="false">F1133*Staffing!$N$24</f>
        <v>0</v>
      </c>
      <c r="H1133" s="10" t="n">
        <f aca="false">F1133+G1133</f>
        <v>17810.3466666667</v>
      </c>
      <c r="I1133" s="10" t="n">
        <f aca="false">0</f>
        <v>0</v>
      </c>
      <c r="J1133" s="10" t="n">
        <f aca="false">MAX(0,E1133-E1132)*Staffing!$O$24</f>
        <v>0</v>
      </c>
      <c r="K1133" s="10" t="n">
        <f aca="false">MAX(0,E1133-E1132)*Staffing!$P$24</f>
        <v>0</v>
      </c>
      <c r="L1133" s="23" t="n">
        <f aca="false">ROUNDUP(E1133,0)</f>
        <v>1</v>
      </c>
    </row>
    <row r="1134" customFormat="false" ht="15" hidden="false" customHeight="false" outlineLevel="0" collapsed="false">
      <c r="A1134" s="6" t="s">
        <v>4</v>
      </c>
      <c r="B1134" s="6" t="s">
        <v>338</v>
      </c>
      <c r="C1134" s="6" t="n">
        <v>49</v>
      </c>
      <c r="D1134" s="25" t="n">
        <f aca="false">EDATE('Start Here'!$B$6,C1134-1)</f>
        <v>47788</v>
      </c>
      <c r="E1134" s="11" t="n">
        <f aca="false">IF(AND(C1134&gt;=Staffing!$F$24,C1134&lt;=Staffing!$G$24,1=1),IF(C1134&lt;=6,Staffing!$H$24,IF(C1134&lt;=15,Staffing!$I$24,IF(C1134&lt;=30,Staffing!$J$24,Staffing!$K$24))),0)</f>
        <v>1</v>
      </c>
      <c r="F1134" s="10" t="n">
        <f aca="false">E1134*Staffing!$L$24/12*(1+Assumptions!$D$10)^INT((C1134-1)/12)*1</f>
        <v>18522.7605333333</v>
      </c>
      <c r="G1134" s="10" t="n">
        <f aca="false">F1134*Staffing!$N$24</f>
        <v>0</v>
      </c>
      <c r="H1134" s="10" t="n">
        <f aca="false">F1134+G1134</f>
        <v>18522.7605333333</v>
      </c>
      <c r="I1134" s="10" t="n">
        <f aca="false">0</f>
        <v>0</v>
      </c>
      <c r="J1134" s="10" t="n">
        <f aca="false">MAX(0,E1134-E1133)*Staffing!$O$24</f>
        <v>0</v>
      </c>
      <c r="K1134" s="10" t="n">
        <f aca="false">MAX(0,E1134-E1133)*Staffing!$P$24</f>
        <v>0</v>
      </c>
      <c r="L1134" s="23" t="n">
        <f aca="false">ROUNDUP(E1134,0)</f>
        <v>1</v>
      </c>
    </row>
    <row r="1135" customFormat="false" ht="15" hidden="false" customHeight="false" outlineLevel="0" collapsed="false">
      <c r="A1135" s="6" t="s">
        <v>4</v>
      </c>
      <c r="B1135" s="6" t="s">
        <v>338</v>
      </c>
      <c r="C1135" s="6" t="n">
        <v>50</v>
      </c>
      <c r="D1135" s="25" t="n">
        <f aca="false">EDATE('Start Here'!$B$6,C1135-1)</f>
        <v>47818</v>
      </c>
      <c r="E1135" s="11" t="n">
        <f aca="false">IF(AND(C1135&gt;=Staffing!$F$24,C1135&lt;=Staffing!$G$24,1=1),IF(C1135&lt;=6,Staffing!$H$24,IF(C1135&lt;=15,Staffing!$I$24,IF(C1135&lt;=30,Staffing!$J$24,Staffing!$K$24))),0)</f>
        <v>1</v>
      </c>
      <c r="F1135" s="10" t="n">
        <f aca="false">E1135*Staffing!$L$24/12*(1+Assumptions!$D$10)^INT((C1135-1)/12)*1</f>
        <v>18522.7605333333</v>
      </c>
      <c r="G1135" s="10" t="n">
        <f aca="false">F1135*Staffing!$N$24</f>
        <v>0</v>
      </c>
      <c r="H1135" s="10" t="n">
        <f aca="false">F1135+G1135</f>
        <v>18522.7605333333</v>
      </c>
      <c r="I1135" s="10" t="n">
        <f aca="false">0</f>
        <v>0</v>
      </c>
      <c r="J1135" s="10" t="n">
        <f aca="false">MAX(0,E1135-E1134)*Staffing!$O$24</f>
        <v>0</v>
      </c>
      <c r="K1135" s="10" t="n">
        <f aca="false">MAX(0,E1135-E1134)*Staffing!$P$24</f>
        <v>0</v>
      </c>
      <c r="L1135" s="23" t="n">
        <f aca="false">ROUNDUP(E1135,0)</f>
        <v>1</v>
      </c>
    </row>
    <row r="1136" customFormat="false" ht="15" hidden="false" customHeight="false" outlineLevel="0" collapsed="false">
      <c r="A1136" s="6" t="s">
        <v>4</v>
      </c>
      <c r="B1136" s="6" t="s">
        <v>338</v>
      </c>
      <c r="C1136" s="6" t="n">
        <v>51</v>
      </c>
      <c r="D1136" s="25" t="n">
        <f aca="false">EDATE('Start Here'!$B$6,C1136-1)</f>
        <v>47849</v>
      </c>
      <c r="E1136" s="11" t="n">
        <f aca="false">IF(AND(C1136&gt;=Staffing!$F$24,C1136&lt;=Staffing!$G$24,1=1),IF(C1136&lt;=6,Staffing!$H$24,IF(C1136&lt;=15,Staffing!$I$24,IF(C1136&lt;=30,Staffing!$J$24,Staffing!$K$24))),0)</f>
        <v>1</v>
      </c>
      <c r="F1136" s="10" t="n">
        <f aca="false">E1136*Staffing!$L$24/12*(1+Assumptions!$D$10)^INT((C1136-1)/12)*1</f>
        <v>18522.7605333333</v>
      </c>
      <c r="G1136" s="10" t="n">
        <f aca="false">F1136*Staffing!$N$24</f>
        <v>0</v>
      </c>
      <c r="H1136" s="10" t="n">
        <f aca="false">F1136+G1136</f>
        <v>18522.7605333333</v>
      </c>
      <c r="I1136" s="10" t="n">
        <f aca="false">0</f>
        <v>0</v>
      </c>
      <c r="J1136" s="10" t="n">
        <f aca="false">MAX(0,E1136-E1135)*Staffing!$O$24</f>
        <v>0</v>
      </c>
      <c r="K1136" s="10" t="n">
        <f aca="false">MAX(0,E1136-E1135)*Staffing!$P$24</f>
        <v>0</v>
      </c>
      <c r="L1136" s="23" t="n">
        <f aca="false">ROUNDUP(E1136,0)</f>
        <v>1</v>
      </c>
    </row>
    <row r="1137" customFormat="false" ht="15" hidden="false" customHeight="false" outlineLevel="0" collapsed="false">
      <c r="A1137" s="6" t="s">
        <v>4</v>
      </c>
      <c r="B1137" s="6" t="s">
        <v>338</v>
      </c>
      <c r="C1137" s="6" t="n">
        <v>52</v>
      </c>
      <c r="D1137" s="25" t="n">
        <f aca="false">EDATE('Start Here'!$B$6,C1137-1)</f>
        <v>47880</v>
      </c>
      <c r="E1137" s="11" t="n">
        <f aca="false">IF(AND(C1137&gt;=Staffing!$F$24,C1137&lt;=Staffing!$G$24,1=1),IF(C1137&lt;=6,Staffing!$H$24,IF(C1137&lt;=15,Staffing!$I$24,IF(C1137&lt;=30,Staffing!$J$24,Staffing!$K$24))),0)</f>
        <v>1</v>
      </c>
      <c r="F1137" s="10" t="n">
        <f aca="false">E1137*Staffing!$L$24/12*(1+Assumptions!$D$10)^INT((C1137-1)/12)*1</f>
        <v>18522.7605333333</v>
      </c>
      <c r="G1137" s="10" t="n">
        <f aca="false">F1137*Staffing!$N$24</f>
        <v>0</v>
      </c>
      <c r="H1137" s="10" t="n">
        <f aca="false">F1137+G1137</f>
        <v>18522.7605333333</v>
      </c>
      <c r="I1137" s="10" t="n">
        <f aca="false">0</f>
        <v>0</v>
      </c>
      <c r="J1137" s="10" t="n">
        <f aca="false">MAX(0,E1137-E1136)*Staffing!$O$24</f>
        <v>0</v>
      </c>
      <c r="K1137" s="10" t="n">
        <f aca="false">MAX(0,E1137-E1136)*Staffing!$P$24</f>
        <v>0</v>
      </c>
      <c r="L1137" s="23" t="n">
        <f aca="false">ROUNDUP(E1137,0)</f>
        <v>1</v>
      </c>
    </row>
    <row r="1138" customFormat="false" ht="15" hidden="false" customHeight="false" outlineLevel="0" collapsed="false">
      <c r="A1138" s="6" t="s">
        <v>4</v>
      </c>
      <c r="B1138" s="6" t="s">
        <v>338</v>
      </c>
      <c r="C1138" s="6" t="n">
        <v>53</v>
      </c>
      <c r="D1138" s="25" t="n">
        <f aca="false">EDATE('Start Here'!$B$6,C1138-1)</f>
        <v>47908</v>
      </c>
      <c r="E1138" s="11" t="n">
        <f aca="false">IF(AND(C1138&gt;=Staffing!$F$24,C1138&lt;=Staffing!$G$24,1=1),IF(C1138&lt;=6,Staffing!$H$24,IF(C1138&lt;=15,Staffing!$I$24,IF(C1138&lt;=30,Staffing!$J$24,Staffing!$K$24))),0)</f>
        <v>1</v>
      </c>
      <c r="F1138" s="10" t="n">
        <f aca="false">E1138*Staffing!$L$24/12*(1+Assumptions!$D$10)^INT((C1138-1)/12)*1</f>
        <v>18522.7605333333</v>
      </c>
      <c r="G1138" s="10" t="n">
        <f aca="false">F1138*Staffing!$N$24</f>
        <v>0</v>
      </c>
      <c r="H1138" s="10" t="n">
        <f aca="false">F1138+G1138</f>
        <v>18522.7605333333</v>
      </c>
      <c r="I1138" s="10" t="n">
        <f aca="false">0</f>
        <v>0</v>
      </c>
      <c r="J1138" s="10" t="n">
        <f aca="false">MAX(0,E1138-E1137)*Staffing!$O$24</f>
        <v>0</v>
      </c>
      <c r="K1138" s="10" t="n">
        <f aca="false">MAX(0,E1138-E1137)*Staffing!$P$24</f>
        <v>0</v>
      </c>
      <c r="L1138" s="23" t="n">
        <f aca="false">ROUNDUP(E1138,0)</f>
        <v>1</v>
      </c>
    </row>
    <row r="1139" customFormat="false" ht="15" hidden="false" customHeight="false" outlineLevel="0" collapsed="false">
      <c r="A1139" s="6" t="s">
        <v>4</v>
      </c>
      <c r="B1139" s="6" t="s">
        <v>338</v>
      </c>
      <c r="C1139" s="6" t="n">
        <v>54</v>
      </c>
      <c r="D1139" s="25" t="n">
        <f aca="false">EDATE('Start Here'!$B$6,C1139-1)</f>
        <v>47939</v>
      </c>
      <c r="E1139" s="11" t="n">
        <f aca="false">IF(AND(C1139&gt;=Staffing!$F$24,C1139&lt;=Staffing!$G$24,1=1),IF(C1139&lt;=6,Staffing!$H$24,IF(C1139&lt;=15,Staffing!$I$24,IF(C1139&lt;=30,Staffing!$J$24,Staffing!$K$24))),0)</f>
        <v>1</v>
      </c>
      <c r="F1139" s="10" t="n">
        <f aca="false">E1139*Staffing!$L$24/12*(1+Assumptions!$D$10)^INT((C1139-1)/12)*1</f>
        <v>18522.7605333333</v>
      </c>
      <c r="G1139" s="10" t="n">
        <f aca="false">F1139*Staffing!$N$24</f>
        <v>0</v>
      </c>
      <c r="H1139" s="10" t="n">
        <f aca="false">F1139+G1139</f>
        <v>18522.7605333333</v>
      </c>
      <c r="I1139" s="10" t="n">
        <f aca="false">0</f>
        <v>0</v>
      </c>
      <c r="J1139" s="10" t="n">
        <f aca="false">MAX(0,E1139-E1138)*Staffing!$O$24</f>
        <v>0</v>
      </c>
      <c r="K1139" s="10" t="n">
        <f aca="false">MAX(0,E1139-E1138)*Staffing!$P$24</f>
        <v>0</v>
      </c>
      <c r="L1139" s="23" t="n">
        <f aca="false">ROUNDUP(E1139,0)</f>
        <v>1</v>
      </c>
    </row>
    <row r="1140" customFormat="false" ht="15" hidden="false" customHeight="false" outlineLevel="0" collapsed="false">
      <c r="A1140" s="6" t="s">
        <v>4</v>
      </c>
      <c r="B1140" s="6" t="s">
        <v>338</v>
      </c>
      <c r="C1140" s="6" t="n">
        <v>55</v>
      </c>
      <c r="D1140" s="25" t="n">
        <f aca="false">EDATE('Start Here'!$B$6,C1140-1)</f>
        <v>47969</v>
      </c>
      <c r="E1140" s="11" t="n">
        <f aca="false">IF(AND(C1140&gt;=Staffing!$F$24,C1140&lt;=Staffing!$G$24,1=1),IF(C1140&lt;=6,Staffing!$H$24,IF(C1140&lt;=15,Staffing!$I$24,IF(C1140&lt;=30,Staffing!$J$24,Staffing!$K$24))),0)</f>
        <v>1</v>
      </c>
      <c r="F1140" s="10" t="n">
        <f aca="false">E1140*Staffing!$L$24/12*(1+Assumptions!$D$10)^INT((C1140-1)/12)*1</f>
        <v>18522.7605333333</v>
      </c>
      <c r="G1140" s="10" t="n">
        <f aca="false">F1140*Staffing!$N$24</f>
        <v>0</v>
      </c>
      <c r="H1140" s="10" t="n">
        <f aca="false">F1140+G1140</f>
        <v>18522.7605333333</v>
      </c>
      <c r="I1140" s="10" t="n">
        <f aca="false">0</f>
        <v>0</v>
      </c>
      <c r="J1140" s="10" t="n">
        <f aca="false">MAX(0,E1140-E1139)*Staffing!$O$24</f>
        <v>0</v>
      </c>
      <c r="K1140" s="10" t="n">
        <f aca="false">MAX(0,E1140-E1139)*Staffing!$P$24</f>
        <v>0</v>
      </c>
      <c r="L1140" s="23" t="n">
        <f aca="false">ROUNDUP(E1140,0)</f>
        <v>1</v>
      </c>
    </row>
    <row r="1141" customFormat="false" ht="15" hidden="false" customHeight="false" outlineLevel="0" collapsed="false">
      <c r="A1141" s="6" t="s">
        <v>4</v>
      </c>
      <c r="B1141" s="6" t="s">
        <v>338</v>
      </c>
      <c r="C1141" s="6" t="n">
        <v>56</v>
      </c>
      <c r="D1141" s="25" t="n">
        <f aca="false">EDATE('Start Here'!$B$6,C1141-1)</f>
        <v>48000</v>
      </c>
      <c r="E1141" s="11" t="n">
        <f aca="false">IF(AND(C1141&gt;=Staffing!$F$24,C1141&lt;=Staffing!$G$24,1=1),IF(C1141&lt;=6,Staffing!$H$24,IF(C1141&lt;=15,Staffing!$I$24,IF(C1141&lt;=30,Staffing!$J$24,Staffing!$K$24))),0)</f>
        <v>1</v>
      </c>
      <c r="F1141" s="10" t="n">
        <f aca="false">E1141*Staffing!$L$24/12*(1+Assumptions!$D$10)^INT((C1141-1)/12)*1</f>
        <v>18522.7605333333</v>
      </c>
      <c r="G1141" s="10" t="n">
        <f aca="false">F1141*Staffing!$N$24</f>
        <v>0</v>
      </c>
      <c r="H1141" s="10" t="n">
        <f aca="false">F1141+G1141</f>
        <v>18522.7605333333</v>
      </c>
      <c r="I1141" s="10" t="n">
        <f aca="false">0</f>
        <v>0</v>
      </c>
      <c r="J1141" s="10" t="n">
        <f aca="false">MAX(0,E1141-E1140)*Staffing!$O$24</f>
        <v>0</v>
      </c>
      <c r="K1141" s="10" t="n">
        <f aca="false">MAX(0,E1141-E1140)*Staffing!$P$24</f>
        <v>0</v>
      </c>
      <c r="L1141" s="23" t="n">
        <f aca="false">ROUNDUP(E1141,0)</f>
        <v>1</v>
      </c>
    </row>
    <row r="1142" customFormat="false" ht="15" hidden="false" customHeight="false" outlineLevel="0" collapsed="false">
      <c r="A1142" s="6" t="s">
        <v>4</v>
      </c>
      <c r="B1142" s="6" t="s">
        <v>338</v>
      </c>
      <c r="C1142" s="6" t="n">
        <v>57</v>
      </c>
      <c r="D1142" s="25" t="n">
        <f aca="false">EDATE('Start Here'!$B$6,C1142-1)</f>
        <v>48030</v>
      </c>
      <c r="E1142" s="11" t="n">
        <f aca="false">IF(AND(C1142&gt;=Staffing!$F$24,C1142&lt;=Staffing!$G$24,1=1),IF(C1142&lt;=6,Staffing!$H$24,IF(C1142&lt;=15,Staffing!$I$24,IF(C1142&lt;=30,Staffing!$J$24,Staffing!$K$24))),0)</f>
        <v>1</v>
      </c>
      <c r="F1142" s="10" t="n">
        <f aca="false">E1142*Staffing!$L$24/12*(1+Assumptions!$D$10)^INT((C1142-1)/12)*1</f>
        <v>18522.7605333333</v>
      </c>
      <c r="G1142" s="10" t="n">
        <f aca="false">F1142*Staffing!$N$24</f>
        <v>0</v>
      </c>
      <c r="H1142" s="10" t="n">
        <f aca="false">F1142+G1142</f>
        <v>18522.7605333333</v>
      </c>
      <c r="I1142" s="10" t="n">
        <f aca="false">0</f>
        <v>0</v>
      </c>
      <c r="J1142" s="10" t="n">
        <f aca="false">MAX(0,E1142-E1141)*Staffing!$O$24</f>
        <v>0</v>
      </c>
      <c r="K1142" s="10" t="n">
        <f aca="false">MAX(0,E1142-E1141)*Staffing!$P$24</f>
        <v>0</v>
      </c>
      <c r="L1142" s="23" t="n">
        <f aca="false">ROUNDUP(E1142,0)</f>
        <v>1</v>
      </c>
    </row>
    <row r="1143" customFormat="false" ht="15" hidden="false" customHeight="false" outlineLevel="0" collapsed="false">
      <c r="A1143" s="6" t="s">
        <v>4</v>
      </c>
      <c r="B1143" s="6" t="s">
        <v>338</v>
      </c>
      <c r="C1143" s="6" t="n">
        <v>58</v>
      </c>
      <c r="D1143" s="25" t="n">
        <f aca="false">EDATE('Start Here'!$B$6,C1143-1)</f>
        <v>48061</v>
      </c>
      <c r="E1143" s="11" t="n">
        <f aca="false">IF(AND(C1143&gt;=Staffing!$F$24,C1143&lt;=Staffing!$G$24,1=1),IF(C1143&lt;=6,Staffing!$H$24,IF(C1143&lt;=15,Staffing!$I$24,IF(C1143&lt;=30,Staffing!$J$24,Staffing!$K$24))),0)</f>
        <v>1</v>
      </c>
      <c r="F1143" s="10" t="n">
        <f aca="false">E1143*Staffing!$L$24/12*(1+Assumptions!$D$10)^INT((C1143-1)/12)*1</f>
        <v>18522.7605333333</v>
      </c>
      <c r="G1143" s="10" t="n">
        <f aca="false">F1143*Staffing!$N$24</f>
        <v>0</v>
      </c>
      <c r="H1143" s="10" t="n">
        <f aca="false">F1143+G1143</f>
        <v>18522.7605333333</v>
      </c>
      <c r="I1143" s="10" t="n">
        <f aca="false">0</f>
        <v>0</v>
      </c>
      <c r="J1143" s="10" t="n">
        <f aca="false">MAX(0,E1143-E1142)*Staffing!$O$24</f>
        <v>0</v>
      </c>
      <c r="K1143" s="10" t="n">
        <f aca="false">MAX(0,E1143-E1142)*Staffing!$P$24</f>
        <v>0</v>
      </c>
      <c r="L1143" s="23" t="n">
        <f aca="false">ROUNDUP(E1143,0)</f>
        <v>1</v>
      </c>
    </row>
    <row r="1144" customFormat="false" ht="15" hidden="false" customHeight="false" outlineLevel="0" collapsed="false">
      <c r="A1144" s="6" t="s">
        <v>4</v>
      </c>
      <c r="B1144" s="6" t="s">
        <v>338</v>
      </c>
      <c r="C1144" s="6" t="n">
        <v>59</v>
      </c>
      <c r="D1144" s="25" t="n">
        <f aca="false">EDATE('Start Here'!$B$6,C1144-1)</f>
        <v>48092</v>
      </c>
      <c r="E1144" s="11" t="n">
        <f aca="false">IF(AND(C1144&gt;=Staffing!$F$24,C1144&lt;=Staffing!$G$24,1=1),IF(C1144&lt;=6,Staffing!$H$24,IF(C1144&lt;=15,Staffing!$I$24,IF(C1144&lt;=30,Staffing!$J$24,Staffing!$K$24))),0)</f>
        <v>1</v>
      </c>
      <c r="F1144" s="10" t="n">
        <f aca="false">E1144*Staffing!$L$24/12*(1+Assumptions!$D$10)^INT((C1144-1)/12)*1</f>
        <v>18522.7605333333</v>
      </c>
      <c r="G1144" s="10" t="n">
        <f aca="false">F1144*Staffing!$N$24</f>
        <v>0</v>
      </c>
      <c r="H1144" s="10" t="n">
        <f aca="false">F1144+G1144</f>
        <v>18522.7605333333</v>
      </c>
      <c r="I1144" s="10" t="n">
        <f aca="false">0</f>
        <v>0</v>
      </c>
      <c r="J1144" s="10" t="n">
        <f aca="false">MAX(0,E1144-E1143)*Staffing!$O$24</f>
        <v>0</v>
      </c>
      <c r="K1144" s="10" t="n">
        <f aca="false">MAX(0,E1144-E1143)*Staffing!$P$24</f>
        <v>0</v>
      </c>
      <c r="L1144" s="23" t="n">
        <f aca="false">ROUNDUP(E1144,0)</f>
        <v>1</v>
      </c>
    </row>
    <row r="1145" customFormat="false" ht="15" hidden="false" customHeight="false" outlineLevel="0" collapsed="false">
      <c r="A1145" s="6" t="s">
        <v>4</v>
      </c>
      <c r="B1145" s="6" t="s">
        <v>338</v>
      </c>
      <c r="C1145" s="6" t="n">
        <v>60</v>
      </c>
      <c r="D1145" s="25" t="n">
        <f aca="false">EDATE('Start Here'!$B$6,C1145-1)</f>
        <v>48122</v>
      </c>
      <c r="E1145" s="11" t="n">
        <f aca="false">IF(AND(C1145&gt;=Staffing!$F$24,C1145&lt;=Staffing!$G$24,1=1),IF(C1145&lt;=6,Staffing!$H$24,IF(C1145&lt;=15,Staffing!$I$24,IF(C1145&lt;=30,Staffing!$J$24,Staffing!$K$24))),0)</f>
        <v>1</v>
      </c>
      <c r="F1145" s="10" t="n">
        <f aca="false">E1145*Staffing!$L$24/12*(1+Assumptions!$D$10)^INT((C1145-1)/12)*1</f>
        <v>18522.7605333333</v>
      </c>
      <c r="G1145" s="10" t="n">
        <f aca="false">F1145*Staffing!$N$24</f>
        <v>0</v>
      </c>
      <c r="H1145" s="10" t="n">
        <f aca="false">F1145+G1145</f>
        <v>18522.7605333333</v>
      </c>
      <c r="I1145" s="10" t="n">
        <f aca="false">0</f>
        <v>0</v>
      </c>
      <c r="J1145" s="10" t="n">
        <f aca="false">MAX(0,E1145-E1144)*Staffing!$O$24</f>
        <v>0</v>
      </c>
      <c r="K1145" s="10" t="n">
        <f aca="false">MAX(0,E1145-E1144)*Staffing!$P$24</f>
        <v>0</v>
      </c>
      <c r="L1145" s="23" t="n">
        <f aca="false">ROUNDUP(E1145,0)</f>
        <v>1</v>
      </c>
    </row>
    <row r="1146" customFormat="false" ht="15" hidden="false" customHeight="false" outlineLevel="0" collapsed="false">
      <c r="A1146" s="6" t="s">
        <v>4</v>
      </c>
      <c r="B1146" s="6" t="s">
        <v>341</v>
      </c>
      <c r="C1146" s="6" t="n">
        <v>1</v>
      </c>
      <c r="D1146" s="25" t="n">
        <f aca="false">EDATE('Start Here'!$B$6,C1146-1)</f>
        <v>46327</v>
      </c>
      <c r="E1146" s="23" t="n">
        <f aca="false">IF(AND(C1146&gt;=Staffing!$F$25,C1146&lt;=Staffing!$G$25,1=1),IF(C1146&lt;=6,Staffing!$H$25,IF(C1146&lt;=15,Staffing!$I$25,IF(C1146&lt;=30,Staffing!$J$25,Staffing!$K$25))),0)</f>
        <v>0</v>
      </c>
      <c r="F1146" s="10" t="n">
        <f aca="false">E1146*Staffing!$L$25/12*(1+Assumptions!$D$10)^INT((C1146-1)/12)*1</f>
        <v>0</v>
      </c>
      <c r="G1146" s="10" t="n">
        <f aca="false">F1146*Staffing!$N$25</f>
        <v>0</v>
      </c>
      <c r="H1146" s="10" t="n">
        <f aca="false">F1146+G1146</f>
        <v>0</v>
      </c>
      <c r="I1146" s="10" t="n">
        <f aca="false">0</f>
        <v>0</v>
      </c>
      <c r="J1146" s="10" t="n">
        <f aca="false">MAX(0,E1146-0)*Staffing!$O$25</f>
        <v>0</v>
      </c>
      <c r="K1146" s="10" t="n">
        <f aca="false">MAX(0,E1146-0)*Staffing!$P$25</f>
        <v>0</v>
      </c>
      <c r="L1146" s="23" t="n">
        <f aca="false">ROUNDUP(E1146,0)</f>
        <v>0</v>
      </c>
    </row>
    <row r="1147" customFormat="false" ht="15" hidden="false" customHeight="false" outlineLevel="0" collapsed="false">
      <c r="A1147" s="6" t="s">
        <v>4</v>
      </c>
      <c r="B1147" s="6" t="s">
        <v>341</v>
      </c>
      <c r="C1147" s="6" t="n">
        <v>2</v>
      </c>
      <c r="D1147" s="25" t="n">
        <f aca="false">EDATE('Start Here'!$B$6,C1147-1)</f>
        <v>46357</v>
      </c>
      <c r="E1147" s="11" t="n">
        <f aca="false">IF(AND(C1147&gt;=Staffing!$F$25,C1147&lt;=Staffing!$G$25,1=1),IF(C1147&lt;=6,Staffing!$H$25,IF(C1147&lt;=15,Staffing!$I$25,IF(C1147&lt;=30,Staffing!$J$25,Staffing!$K$25))),0)</f>
        <v>0.25</v>
      </c>
      <c r="F1147" s="10" t="n">
        <f aca="false">E1147*Staffing!$L$25/12*(1+Assumptions!$D$10)^INT((C1147-1)/12)*1</f>
        <v>2708.33333333333</v>
      </c>
      <c r="G1147" s="10" t="n">
        <f aca="false">F1147*Staffing!$N$25</f>
        <v>0</v>
      </c>
      <c r="H1147" s="10" t="n">
        <f aca="false">F1147+G1147</f>
        <v>2708.33333333333</v>
      </c>
      <c r="I1147" s="10" t="n">
        <f aca="false">0</f>
        <v>0</v>
      </c>
      <c r="J1147" s="10" t="n">
        <f aca="false">MAX(0,E1147-E1146)*Staffing!$O$25</f>
        <v>0</v>
      </c>
      <c r="K1147" s="10" t="n">
        <f aca="false">MAX(0,E1147-E1146)*Staffing!$P$25</f>
        <v>750</v>
      </c>
      <c r="L1147" s="23" t="n">
        <f aca="false">ROUNDUP(E1147,0)</f>
        <v>1</v>
      </c>
    </row>
    <row r="1148" customFormat="false" ht="15" hidden="false" customHeight="false" outlineLevel="0" collapsed="false">
      <c r="A1148" s="6" t="s">
        <v>4</v>
      </c>
      <c r="B1148" s="6" t="s">
        <v>341</v>
      </c>
      <c r="C1148" s="6" t="n">
        <v>3</v>
      </c>
      <c r="D1148" s="25" t="n">
        <f aca="false">EDATE('Start Here'!$B$6,C1148-1)</f>
        <v>46388</v>
      </c>
      <c r="E1148" s="11" t="n">
        <f aca="false">IF(AND(C1148&gt;=Staffing!$F$25,C1148&lt;=Staffing!$G$25,1=1),IF(C1148&lt;=6,Staffing!$H$25,IF(C1148&lt;=15,Staffing!$I$25,IF(C1148&lt;=30,Staffing!$J$25,Staffing!$K$25))),0)</f>
        <v>0.25</v>
      </c>
      <c r="F1148" s="10" t="n">
        <f aca="false">E1148*Staffing!$L$25/12*(1+Assumptions!$D$10)^INT((C1148-1)/12)*1</f>
        <v>2708.33333333333</v>
      </c>
      <c r="G1148" s="10" t="n">
        <f aca="false">F1148*Staffing!$N$25</f>
        <v>0</v>
      </c>
      <c r="H1148" s="10" t="n">
        <f aca="false">F1148+G1148</f>
        <v>2708.33333333333</v>
      </c>
      <c r="I1148" s="10" t="n">
        <f aca="false">0</f>
        <v>0</v>
      </c>
      <c r="J1148" s="10" t="n">
        <f aca="false">MAX(0,E1148-E1147)*Staffing!$O$25</f>
        <v>0</v>
      </c>
      <c r="K1148" s="10" t="n">
        <f aca="false">MAX(0,E1148-E1147)*Staffing!$P$25</f>
        <v>0</v>
      </c>
      <c r="L1148" s="23" t="n">
        <f aca="false">ROUNDUP(E1148,0)</f>
        <v>1</v>
      </c>
    </row>
    <row r="1149" customFormat="false" ht="15" hidden="false" customHeight="false" outlineLevel="0" collapsed="false">
      <c r="A1149" s="6" t="s">
        <v>4</v>
      </c>
      <c r="B1149" s="6" t="s">
        <v>341</v>
      </c>
      <c r="C1149" s="6" t="n">
        <v>4</v>
      </c>
      <c r="D1149" s="25" t="n">
        <f aca="false">EDATE('Start Here'!$B$6,C1149-1)</f>
        <v>46419</v>
      </c>
      <c r="E1149" s="11" t="n">
        <f aca="false">IF(AND(C1149&gt;=Staffing!$F$25,C1149&lt;=Staffing!$G$25,1=1),IF(C1149&lt;=6,Staffing!$H$25,IF(C1149&lt;=15,Staffing!$I$25,IF(C1149&lt;=30,Staffing!$J$25,Staffing!$K$25))),0)</f>
        <v>0.25</v>
      </c>
      <c r="F1149" s="10" t="n">
        <f aca="false">E1149*Staffing!$L$25/12*(1+Assumptions!$D$10)^INT((C1149-1)/12)*1</f>
        <v>2708.33333333333</v>
      </c>
      <c r="G1149" s="10" t="n">
        <f aca="false">F1149*Staffing!$N$25</f>
        <v>0</v>
      </c>
      <c r="H1149" s="10" t="n">
        <f aca="false">F1149+G1149</f>
        <v>2708.33333333333</v>
      </c>
      <c r="I1149" s="10" t="n">
        <f aca="false">0</f>
        <v>0</v>
      </c>
      <c r="J1149" s="10" t="n">
        <f aca="false">MAX(0,E1149-E1148)*Staffing!$O$25</f>
        <v>0</v>
      </c>
      <c r="K1149" s="10" t="n">
        <f aca="false">MAX(0,E1149-E1148)*Staffing!$P$25</f>
        <v>0</v>
      </c>
      <c r="L1149" s="23" t="n">
        <f aca="false">ROUNDUP(E1149,0)</f>
        <v>1</v>
      </c>
    </row>
    <row r="1150" customFormat="false" ht="15" hidden="false" customHeight="false" outlineLevel="0" collapsed="false">
      <c r="A1150" s="6" t="s">
        <v>4</v>
      </c>
      <c r="B1150" s="6" t="s">
        <v>341</v>
      </c>
      <c r="C1150" s="6" t="n">
        <v>5</v>
      </c>
      <c r="D1150" s="25" t="n">
        <f aca="false">EDATE('Start Here'!$B$6,C1150-1)</f>
        <v>46447</v>
      </c>
      <c r="E1150" s="11" t="n">
        <f aca="false">IF(AND(C1150&gt;=Staffing!$F$25,C1150&lt;=Staffing!$G$25,1=1),IF(C1150&lt;=6,Staffing!$H$25,IF(C1150&lt;=15,Staffing!$I$25,IF(C1150&lt;=30,Staffing!$J$25,Staffing!$K$25))),0)</f>
        <v>0.25</v>
      </c>
      <c r="F1150" s="10" t="n">
        <f aca="false">E1150*Staffing!$L$25/12*(1+Assumptions!$D$10)^INT((C1150-1)/12)*1</f>
        <v>2708.33333333333</v>
      </c>
      <c r="G1150" s="10" t="n">
        <f aca="false">F1150*Staffing!$N$25</f>
        <v>0</v>
      </c>
      <c r="H1150" s="10" t="n">
        <f aca="false">F1150+G1150</f>
        <v>2708.33333333333</v>
      </c>
      <c r="I1150" s="10" t="n">
        <f aca="false">0</f>
        <v>0</v>
      </c>
      <c r="J1150" s="10" t="n">
        <f aca="false">MAX(0,E1150-E1149)*Staffing!$O$25</f>
        <v>0</v>
      </c>
      <c r="K1150" s="10" t="n">
        <f aca="false">MAX(0,E1150-E1149)*Staffing!$P$25</f>
        <v>0</v>
      </c>
      <c r="L1150" s="23" t="n">
        <f aca="false">ROUNDUP(E1150,0)</f>
        <v>1</v>
      </c>
    </row>
    <row r="1151" customFormat="false" ht="15" hidden="false" customHeight="false" outlineLevel="0" collapsed="false">
      <c r="A1151" s="6" t="s">
        <v>4</v>
      </c>
      <c r="B1151" s="6" t="s">
        <v>341</v>
      </c>
      <c r="C1151" s="6" t="n">
        <v>6</v>
      </c>
      <c r="D1151" s="25" t="n">
        <f aca="false">EDATE('Start Here'!$B$6,C1151-1)</f>
        <v>46478</v>
      </c>
      <c r="E1151" s="11" t="n">
        <f aca="false">IF(AND(C1151&gt;=Staffing!$F$25,C1151&lt;=Staffing!$G$25,1=1),IF(C1151&lt;=6,Staffing!$H$25,IF(C1151&lt;=15,Staffing!$I$25,IF(C1151&lt;=30,Staffing!$J$25,Staffing!$K$25))),0)</f>
        <v>0.25</v>
      </c>
      <c r="F1151" s="10" t="n">
        <f aca="false">E1151*Staffing!$L$25/12*(1+Assumptions!$D$10)^INT((C1151-1)/12)*1</f>
        <v>2708.33333333333</v>
      </c>
      <c r="G1151" s="10" t="n">
        <f aca="false">F1151*Staffing!$N$25</f>
        <v>0</v>
      </c>
      <c r="H1151" s="10" t="n">
        <f aca="false">F1151+G1151</f>
        <v>2708.33333333333</v>
      </c>
      <c r="I1151" s="10" t="n">
        <f aca="false">0</f>
        <v>0</v>
      </c>
      <c r="J1151" s="10" t="n">
        <f aca="false">MAX(0,E1151-E1150)*Staffing!$O$25</f>
        <v>0</v>
      </c>
      <c r="K1151" s="10" t="n">
        <f aca="false">MAX(0,E1151-E1150)*Staffing!$P$25</f>
        <v>0</v>
      </c>
      <c r="L1151" s="23" t="n">
        <f aca="false">ROUNDUP(E1151,0)</f>
        <v>1</v>
      </c>
    </row>
    <row r="1152" customFormat="false" ht="15" hidden="false" customHeight="false" outlineLevel="0" collapsed="false">
      <c r="A1152" s="6" t="s">
        <v>4</v>
      </c>
      <c r="B1152" s="6" t="s">
        <v>341</v>
      </c>
      <c r="C1152" s="6" t="n">
        <v>7</v>
      </c>
      <c r="D1152" s="25" t="n">
        <f aca="false">EDATE('Start Here'!$B$6,C1152-1)</f>
        <v>46508</v>
      </c>
      <c r="E1152" s="11" t="n">
        <f aca="false">IF(AND(C1152&gt;=Staffing!$F$25,C1152&lt;=Staffing!$G$25,1=1),IF(C1152&lt;=6,Staffing!$H$25,IF(C1152&lt;=15,Staffing!$I$25,IF(C1152&lt;=30,Staffing!$J$25,Staffing!$K$25))),0)</f>
        <v>0.25</v>
      </c>
      <c r="F1152" s="10" t="n">
        <f aca="false">E1152*Staffing!$L$25/12*(1+Assumptions!$D$10)^INT((C1152-1)/12)*1</f>
        <v>2708.33333333333</v>
      </c>
      <c r="G1152" s="10" t="n">
        <f aca="false">F1152*Staffing!$N$25</f>
        <v>0</v>
      </c>
      <c r="H1152" s="10" t="n">
        <f aca="false">F1152+G1152</f>
        <v>2708.33333333333</v>
      </c>
      <c r="I1152" s="10" t="n">
        <f aca="false">0</f>
        <v>0</v>
      </c>
      <c r="J1152" s="10" t="n">
        <f aca="false">MAX(0,E1152-E1151)*Staffing!$O$25</f>
        <v>0</v>
      </c>
      <c r="K1152" s="10" t="n">
        <f aca="false">MAX(0,E1152-E1151)*Staffing!$P$25</f>
        <v>0</v>
      </c>
      <c r="L1152" s="23" t="n">
        <f aca="false">ROUNDUP(E1152,0)</f>
        <v>1</v>
      </c>
    </row>
    <row r="1153" customFormat="false" ht="15" hidden="false" customHeight="false" outlineLevel="0" collapsed="false">
      <c r="A1153" s="6" t="s">
        <v>4</v>
      </c>
      <c r="B1153" s="6" t="s">
        <v>341</v>
      </c>
      <c r="C1153" s="6" t="n">
        <v>8</v>
      </c>
      <c r="D1153" s="25" t="n">
        <f aca="false">EDATE('Start Here'!$B$6,C1153-1)</f>
        <v>46539</v>
      </c>
      <c r="E1153" s="11" t="n">
        <f aca="false">IF(AND(C1153&gt;=Staffing!$F$25,C1153&lt;=Staffing!$G$25,1=1),IF(C1153&lt;=6,Staffing!$H$25,IF(C1153&lt;=15,Staffing!$I$25,IF(C1153&lt;=30,Staffing!$J$25,Staffing!$K$25))),0)</f>
        <v>0.25</v>
      </c>
      <c r="F1153" s="10" t="n">
        <f aca="false">E1153*Staffing!$L$25/12*(1+Assumptions!$D$10)^INT((C1153-1)/12)*1</f>
        <v>2708.33333333333</v>
      </c>
      <c r="G1153" s="10" t="n">
        <f aca="false">F1153*Staffing!$N$25</f>
        <v>0</v>
      </c>
      <c r="H1153" s="10" t="n">
        <f aca="false">F1153+G1153</f>
        <v>2708.33333333333</v>
      </c>
      <c r="I1153" s="10" t="n">
        <f aca="false">0</f>
        <v>0</v>
      </c>
      <c r="J1153" s="10" t="n">
        <f aca="false">MAX(0,E1153-E1152)*Staffing!$O$25</f>
        <v>0</v>
      </c>
      <c r="K1153" s="10" t="n">
        <f aca="false">MAX(0,E1153-E1152)*Staffing!$P$25</f>
        <v>0</v>
      </c>
      <c r="L1153" s="23" t="n">
        <f aca="false">ROUNDUP(E1153,0)</f>
        <v>1</v>
      </c>
    </row>
    <row r="1154" customFormat="false" ht="15" hidden="false" customHeight="false" outlineLevel="0" collapsed="false">
      <c r="A1154" s="6" t="s">
        <v>4</v>
      </c>
      <c r="B1154" s="6" t="s">
        <v>341</v>
      </c>
      <c r="C1154" s="6" t="n">
        <v>9</v>
      </c>
      <c r="D1154" s="25" t="n">
        <f aca="false">EDATE('Start Here'!$B$6,C1154-1)</f>
        <v>46569</v>
      </c>
      <c r="E1154" s="11" t="n">
        <f aca="false">IF(AND(C1154&gt;=Staffing!$F$25,C1154&lt;=Staffing!$G$25,1=1),IF(C1154&lt;=6,Staffing!$H$25,IF(C1154&lt;=15,Staffing!$I$25,IF(C1154&lt;=30,Staffing!$J$25,Staffing!$K$25))),0)</f>
        <v>0.25</v>
      </c>
      <c r="F1154" s="10" t="n">
        <f aca="false">E1154*Staffing!$L$25/12*(1+Assumptions!$D$10)^INT((C1154-1)/12)*1</f>
        <v>2708.33333333333</v>
      </c>
      <c r="G1154" s="10" t="n">
        <f aca="false">F1154*Staffing!$N$25</f>
        <v>0</v>
      </c>
      <c r="H1154" s="10" t="n">
        <f aca="false">F1154+G1154</f>
        <v>2708.33333333333</v>
      </c>
      <c r="I1154" s="10" t="n">
        <f aca="false">0</f>
        <v>0</v>
      </c>
      <c r="J1154" s="10" t="n">
        <f aca="false">MAX(0,E1154-E1153)*Staffing!$O$25</f>
        <v>0</v>
      </c>
      <c r="K1154" s="10" t="n">
        <f aca="false">MAX(0,E1154-E1153)*Staffing!$P$25</f>
        <v>0</v>
      </c>
      <c r="L1154" s="23" t="n">
        <f aca="false">ROUNDUP(E1154,0)</f>
        <v>1</v>
      </c>
    </row>
    <row r="1155" customFormat="false" ht="15" hidden="false" customHeight="false" outlineLevel="0" collapsed="false">
      <c r="A1155" s="6" t="s">
        <v>4</v>
      </c>
      <c r="B1155" s="6" t="s">
        <v>341</v>
      </c>
      <c r="C1155" s="6" t="n">
        <v>10</v>
      </c>
      <c r="D1155" s="25" t="n">
        <f aca="false">EDATE('Start Here'!$B$6,C1155-1)</f>
        <v>46600</v>
      </c>
      <c r="E1155" s="11" t="n">
        <f aca="false">IF(AND(C1155&gt;=Staffing!$F$25,C1155&lt;=Staffing!$G$25,1=1),IF(C1155&lt;=6,Staffing!$H$25,IF(C1155&lt;=15,Staffing!$I$25,IF(C1155&lt;=30,Staffing!$J$25,Staffing!$K$25))),0)</f>
        <v>0.25</v>
      </c>
      <c r="F1155" s="10" t="n">
        <f aca="false">E1155*Staffing!$L$25/12*(1+Assumptions!$D$10)^INT((C1155-1)/12)*1</f>
        <v>2708.33333333333</v>
      </c>
      <c r="G1155" s="10" t="n">
        <f aca="false">F1155*Staffing!$N$25</f>
        <v>0</v>
      </c>
      <c r="H1155" s="10" t="n">
        <f aca="false">F1155+G1155</f>
        <v>2708.33333333333</v>
      </c>
      <c r="I1155" s="10" t="n">
        <f aca="false">0</f>
        <v>0</v>
      </c>
      <c r="J1155" s="10" t="n">
        <f aca="false">MAX(0,E1155-E1154)*Staffing!$O$25</f>
        <v>0</v>
      </c>
      <c r="K1155" s="10" t="n">
        <f aca="false">MAX(0,E1155-E1154)*Staffing!$P$25</f>
        <v>0</v>
      </c>
      <c r="L1155" s="23" t="n">
        <f aca="false">ROUNDUP(E1155,0)</f>
        <v>1</v>
      </c>
    </row>
    <row r="1156" customFormat="false" ht="15" hidden="false" customHeight="false" outlineLevel="0" collapsed="false">
      <c r="A1156" s="6" t="s">
        <v>4</v>
      </c>
      <c r="B1156" s="6" t="s">
        <v>341</v>
      </c>
      <c r="C1156" s="6" t="n">
        <v>11</v>
      </c>
      <c r="D1156" s="25" t="n">
        <f aca="false">EDATE('Start Here'!$B$6,C1156-1)</f>
        <v>46631</v>
      </c>
      <c r="E1156" s="11" t="n">
        <f aca="false">IF(AND(C1156&gt;=Staffing!$F$25,C1156&lt;=Staffing!$G$25,1=1),IF(C1156&lt;=6,Staffing!$H$25,IF(C1156&lt;=15,Staffing!$I$25,IF(C1156&lt;=30,Staffing!$J$25,Staffing!$K$25))),0)</f>
        <v>0.25</v>
      </c>
      <c r="F1156" s="10" t="n">
        <f aca="false">E1156*Staffing!$L$25/12*(1+Assumptions!$D$10)^INT((C1156-1)/12)*1</f>
        <v>2708.33333333333</v>
      </c>
      <c r="G1156" s="10" t="n">
        <f aca="false">F1156*Staffing!$N$25</f>
        <v>0</v>
      </c>
      <c r="H1156" s="10" t="n">
        <f aca="false">F1156+G1156</f>
        <v>2708.33333333333</v>
      </c>
      <c r="I1156" s="10" t="n">
        <f aca="false">0</f>
        <v>0</v>
      </c>
      <c r="J1156" s="10" t="n">
        <f aca="false">MAX(0,E1156-E1155)*Staffing!$O$25</f>
        <v>0</v>
      </c>
      <c r="K1156" s="10" t="n">
        <f aca="false">MAX(0,E1156-E1155)*Staffing!$P$25</f>
        <v>0</v>
      </c>
      <c r="L1156" s="23" t="n">
        <f aca="false">ROUNDUP(E1156,0)</f>
        <v>1</v>
      </c>
    </row>
    <row r="1157" customFormat="false" ht="15" hidden="false" customHeight="false" outlineLevel="0" collapsed="false">
      <c r="A1157" s="6" t="s">
        <v>4</v>
      </c>
      <c r="B1157" s="6" t="s">
        <v>341</v>
      </c>
      <c r="C1157" s="6" t="n">
        <v>12</v>
      </c>
      <c r="D1157" s="25" t="n">
        <f aca="false">EDATE('Start Here'!$B$6,C1157-1)</f>
        <v>46661</v>
      </c>
      <c r="E1157" s="11" t="n">
        <f aca="false">IF(AND(C1157&gt;=Staffing!$F$25,C1157&lt;=Staffing!$G$25,1=1),IF(C1157&lt;=6,Staffing!$H$25,IF(C1157&lt;=15,Staffing!$I$25,IF(C1157&lt;=30,Staffing!$J$25,Staffing!$K$25))),0)</f>
        <v>0.25</v>
      </c>
      <c r="F1157" s="10" t="n">
        <f aca="false">E1157*Staffing!$L$25/12*(1+Assumptions!$D$10)^INT((C1157-1)/12)*1</f>
        <v>2708.33333333333</v>
      </c>
      <c r="G1157" s="10" t="n">
        <f aca="false">F1157*Staffing!$N$25</f>
        <v>0</v>
      </c>
      <c r="H1157" s="10" t="n">
        <f aca="false">F1157+G1157</f>
        <v>2708.33333333333</v>
      </c>
      <c r="I1157" s="10" t="n">
        <f aca="false">0</f>
        <v>0</v>
      </c>
      <c r="J1157" s="10" t="n">
        <f aca="false">MAX(0,E1157-E1156)*Staffing!$O$25</f>
        <v>0</v>
      </c>
      <c r="K1157" s="10" t="n">
        <f aca="false">MAX(0,E1157-E1156)*Staffing!$P$25</f>
        <v>0</v>
      </c>
      <c r="L1157" s="23" t="n">
        <f aca="false">ROUNDUP(E1157,0)</f>
        <v>1</v>
      </c>
    </row>
    <row r="1158" customFormat="false" ht="15" hidden="false" customHeight="false" outlineLevel="0" collapsed="false">
      <c r="A1158" s="6" t="s">
        <v>4</v>
      </c>
      <c r="B1158" s="6" t="s">
        <v>341</v>
      </c>
      <c r="C1158" s="6" t="n">
        <v>13</v>
      </c>
      <c r="D1158" s="25" t="n">
        <f aca="false">EDATE('Start Here'!$B$6,C1158-1)</f>
        <v>46692</v>
      </c>
      <c r="E1158" s="11" t="n">
        <f aca="false">IF(AND(C1158&gt;=Staffing!$F$25,C1158&lt;=Staffing!$G$25,1=1),IF(C1158&lt;=6,Staffing!$H$25,IF(C1158&lt;=15,Staffing!$I$25,IF(C1158&lt;=30,Staffing!$J$25,Staffing!$K$25))),0)</f>
        <v>0.25</v>
      </c>
      <c r="F1158" s="10" t="n">
        <f aca="false">E1158*Staffing!$L$25/12*(1+Assumptions!$D$10)^INT((C1158-1)/12)*1</f>
        <v>2816.66666666667</v>
      </c>
      <c r="G1158" s="10" t="n">
        <f aca="false">F1158*Staffing!$N$25</f>
        <v>0</v>
      </c>
      <c r="H1158" s="10" t="n">
        <f aca="false">F1158+G1158</f>
        <v>2816.66666666667</v>
      </c>
      <c r="I1158" s="10" t="n">
        <f aca="false">0</f>
        <v>0</v>
      </c>
      <c r="J1158" s="10" t="n">
        <f aca="false">MAX(0,E1158-E1157)*Staffing!$O$25</f>
        <v>0</v>
      </c>
      <c r="K1158" s="10" t="n">
        <f aca="false">MAX(0,E1158-E1157)*Staffing!$P$25</f>
        <v>0</v>
      </c>
      <c r="L1158" s="23" t="n">
        <f aca="false">ROUNDUP(E1158,0)</f>
        <v>1</v>
      </c>
    </row>
    <row r="1159" customFormat="false" ht="15" hidden="false" customHeight="false" outlineLevel="0" collapsed="false">
      <c r="A1159" s="6" t="s">
        <v>4</v>
      </c>
      <c r="B1159" s="6" t="s">
        <v>341</v>
      </c>
      <c r="C1159" s="6" t="n">
        <v>14</v>
      </c>
      <c r="D1159" s="25" t="n">
        <f aca="false">EDATE('Start Here'!$B$6,C1159-1)</f>
        <v>46722</v>
      </c>
      <c r="E1159" s="11" t="n">
        <f aca="false">IF(AND(C1159&gt;=Staffing!$F$25,C1159&lt;=Staffing!$G$25,1=1),IF(C1159&lt;=6,Staffing!$H$25,IF(C1159&lt;=15,Staffing!$I$25,IF(C1159&lt;=30,Staffing!$J$25,Staffing!$K$25))),0)</f>
        <v>0.25</v>
      </c>
      <c r="F1159" s="10" t="n">
        <f aca="false">E1159*Staffing!$L$25/12*(1+Assumptions!$D$10)^INT((C1159-1)/12)*1</f>
        <v>2816.66666666667</v>
      </c>
      <c r="G1159" s="10" t="n">
        <f aca="false">F1159*Staffing!$N$25</f>
        <v>0</v>
      </c>
      <c r="H1159" s="10" t="n">
        <f aca="false">F1159+G1159</f>
        <v>2816.66666666667</v>
      </c>
      <c r="I1159" s="10" t="n">
        <f aca="false">0</f>
        <v>0</v>
      </c>
      <c r="J1159" s="10" t="n">
        <f aca="false">MAX(0,E1159-E1158)*Staffing!$O$25</f>
        <v>0</v>
      </c>
      <c r="K1159" s="10" t="n">
        <f aca="false">MAX(0,E1159-E1158)*Staffing!$P$25</f>
        <v>0</v>
      </c>
      <c r="L1159" s="23" t="n">
        <f aca="false">ROUNDUP(E1159,0)</f>
        <v>1</v>
      </c>
    </row>
    <row r="1160" customFormat="false" ht="15" hidden="false" customHeight="false" outlineLevel="0" collapsed="false">
      <c r="A1160" s="6" t="s">
        <v>4</v>
      </c>
      <c r="B1160" s="6" t="s">
        <v>341</v>
      </c>
      <c r="C1160" s="6" t="n">
        <v>15</v>
      </c>
      <c r="D1160" s="25" t="n">
        <f aca="false">EDATE('Start Here'!$B$6,C1160-1)</f>
        <v>46753</v>
      </c>
      <c r="E1160" s="11" t="n">
        <f aca="false">IF(AND(C1160&gt;=Staffing!$F$25,C1160&lt;=Staffing!$G$25,1=1),IF(C1160&lt;=6,Staffing!$H$25,IF(C1160&lt;=15,Staffing!$I$25,IF(C1160&lt;=30,Staffing!$J$25,Staffing!$K$25))),0)</f>
        <v>0.25</v>
      </c>
      <c r="F1160" s="10" t="n">
        <f aca="false">E1160*Staffing!$L$25/12*(1+Assumptions!$D$10)^INT((C1160-1)/12)*1</f>
        <v>2816.66666666667</v>
      </c>
      <c r="G1160" s="10" t="n">
        <f aca="false">F1160*Staffing!$N$25</f>
        <v>0</v>
      </c>
      <c r="H1160" s="10" t="n">
        <f aca="false">F1160+G1160</f>
        <v>2816.66666666667</v>
      </c>
      <c r="I1160" s="10" t="n">
        <f aca="false">0</f>
        <v>0</v>
      </c>
      <c r="J1160" s="10" t="n">
        <f aca="false">MAX(0,E1160-E1159)*Staffing!$O$25</f>
        <v>0</v>
      </c>
      <c r="K1160" s="10" t="n">
        <f aca="false">MAX(0,E1160-E1159)*Staffing!$P$25</f>
        <v>0</v>
      </c>
      <c r="L1160" s="23" t="n">
        <f aca="false">ROUNDUP(E1160,0)</f>
        <v>1</v>
      </c>
    </row>
    <row r="1161" customFormat="false" ht="15" hidden="false" customHeight="false" outlineLevel="0" collapsed="false">
      <c r="A1161" s="6" t="s">
        <v>4</v>
      </c>
      <c r="B1161" s="6" t="s">
        <v>341</v>
      </c>
      <c r="C1161" s="6" t="n">
        <v>16</v>
      </c>
      <c r="D1161" s="25" t="n">
        <f aca="false">EDATE('Start Here'!$B$6,C1161-1)</f>
        <v>46784</v>
      </c>
      <c r="E1161" s="11" t="n">
        <f aca="false">IF(AND(C1161&gt;=Staffing!$F$25,C1161&lt;=Staffing!$G$25,1=1),IF(C1161&lt;=6,Staffing!$H$25,IF(C1161&lt;=15,Staffing!$I$25,IF(C1161&lt;=30,Staffing!$J$25,Staffing!$K$25))),0)</f>
        <v>0.25</v>
      </c>
      <c r="F1161" s="10" t="n">
        <f aca="false">E1161*Staffing!$L$25/12*(1+Assumptions!$D$10)^INT((C1161-1)/12)*1</f>
        <v>2816.66666666667</v>
      </c>
      <c r="G1161" s="10" t="n">
        <f aca="false">F1161*Staffing!$N$25</f>
        <v>0</v>
      </c>
      <c r="H1161" s="10" t="n">
        <f aca="false">F1161+G1161</f>
        <v>2816.66666666667</v>
      </c>
      <c r="I1161" s="10" t="n">
        <f aca="false">0</f>
        <v>0</v>
      </c>
      <c r="J1161" s="10" t="n">
        <f aca="false">MAX(0,E1161-E1160)*Staffing!$O$25</f>
        <v>0</v>
      </c>
      <c r="K1161" s="10" t="n">
        <f aca="false">MAX(0,E1161-E1160)*Staffing!$P$25</f>
        <v>0</v>
      </c>
      <c r="L1161" s="23" t="n">
        <f aca="false">ROUNDUP(E1161,0)</f>
        <v>1</v>
      </c>
    </row>
    <row r="1162" customFormat="false" ht="15" hidden="false" customHeight="false" outlineLevel="0" collapsed="false">
      <c r="A1162" s="6" t="s">
        <v>4</v>
      </c>
      <c r="B1162" s="6" t="s">
        <v>341</v>
      </c>
      <c r="C1162" s="6" t="n">
        <v>17</v>
      </c>
      <c r="D1162" s="25" t="n">
        <f aca="false">EDATE('Start Here'!$B$6,C1162-1)</f>
        <v>46813</v>
      </c>
      <c r="E1162" s="11" t="n">
        <f aca="false">IF(AND(C1162&gt;=Staffing!$F$25,C1162&lt;=Staffing!$G$25,1=1),IF(C1162&lt;=6,Staffing!$H$25,IF(C1162&lt;=15,Staffing!$I$25,IF(C1162&lt;=30,Staffing!$J$25,Staffing!$K$25))),0)</f>
        <v>0.25</v>
      </c>
      <c r="F1162" s="10" t="n">
        <f aca="false">E1162*Staffing!$L$25/12*(1+Assumptions!$D$10)^INT((C1162-1)/12)*1</f>
        <v>2816.66666666667</v>
      </c>
      <c r="G1162" s="10" t="n">
        <f aca="false">F1162*Staffing!$N$25</f>
        <v>0</v>
      </c>
      <c r="H1162" s="10" t="n">
        <f aca="false">F1162+G1162</f>
        <v>2816.66666666667</v>
      </c>
      <c r="I1162" s="10" t="n">
        <f aca="false">0</f>
        <v>0</v>
      </c>
      <c r="J1162" s="10" t="n">
        <f aca="false">MAX(0,E1162-E1161)*Staffing!$O$25</f>
        <v>0</v>
      </c>
      <c r="K1162" s="10" t="n">
        <f aca="false">MAX(0,E1162-E1161)*Staffing!$P$25</f>
        <v>0</v>
      </c>
      <c r="L1162" s="23" t="n">
        <f aca="false">ROUNDUP(E1162,0)</f>
        <v>1</v>
      </c>
    </row>
    <row r="1163" customFormat="false" ht="15" hidden="false" customHeight="false" outlineLevel="0" collapsed="false">
      <c r="A1163" s="6" t="s">
        <v>4</v>
      </c>
      <c r="B1163" s="6" t="s">
        <v>341</v>
      </c>
      <c r="C1163" s="6" t="n">
        <v>18</v>
      </c>
      <c r="D1163" s="25" t="n">
        <f aca="false">EDATE('Start Here'!$B$6,C1163-1)</f>
        <v>46844</v>
      </c>
      <c r="E1163" s="11" t="n">
        <f aca="false">IF(AND(C1163&gt;=Staffing!$F$25,C1163&lt;=Staffing!$G$25,1=1),IF(C1163&lt;=6,Staffing!$H$25,IF(C1163&lt;=15,Staffing!$I$25,IF(C1163&lt;=30,Staffing!$J$25,Staffing!$K$25))),0)</f>
        <v>0.25</v>
      </c>
      <c r="F1163" s="10" t="n">
        <f aca="false">E1163*Staffing!$L$25/12*(1+Assumptions!$D$10)^INT((C1163-1)/12)*1</f>
        <v>2816.66666666667</v>
      </c>
      <c r="G1163" s="10" t="n">
        <f aca="false">F1163*Staffing!$N$25</f>
        <v>0</v>
      </c>
      <c r="H1163" s="10" t="n">
        <f aca="false">F1163+G1163</f>
        <v>2816.66666666667</v>
      </c>
      <c r="I1163" s="10" t="n">
        <f aca="false">0</f>
        <v>0</v>
      </c>
      <c r="J1163" s="10" t="n">
        <f aca="false">MAX(0,E1163-E1162)*Staffing!$O$25</f>
        <v>0</v>
      </c>
      <c r="K1163" s="10" t="n">
        <f aca="false">MAX(0,E1163-E1162)*Staffing!$P$25</f>
        <v>0</v>
      </c>
      <c r="L1163" s="23" t="n">
        <f aca="false">ROUNDUP(E1163,0)</f>
        <v>1</v>
      </c>
    </row>
    <row r="1164" customFormat="false" ht="15" hidden="false" customHeight="false" outlineLevel="0" collapsed="false">
      <c r="A1164" s="6" t="s">
        <v>4</v>
      </c>
      <c r="B1164" s="6" t="s">
        <v>341</v>
      </c>
      <c r="C1164" s="6" t="n">
        <v>19</v>
      </c>
      <c r="D1164" s="25" t="n">
        <f aca="false">EDATE('Start Here'!$B$6,C1164-1)</f>
        <v>46874</v>
      </c>
      <c r="E1164" s="11" t="n">
        <f aca="false">IF(AND(C1164&gt;=Staffing!$F$25,C1164&lt;=Staffing!$G$25,1=1),IF(C1164&lt;=6,Staffing!$H$25,IF(C1164&lt;=15,Staffing!$I$25,IF(C1164&lt;=30,Staffing!$J$25,Staffing!$K$25))),0)</f>
        <v>0.25</v>
      </c>
      <c r="F1164" s="10" t="n">
        <f aca="false">E1164*Staffing!$L$25/12*(1+Assumptions!$D$10)^INT((C1164-1)/12)*1</f>
        <v>2816.66666666667</v>
      </c>
      <c r="G1164" s="10" t="n">
        <f aca="false">F1164*Staffing!$N$25</f>
        <v>0</v>
      </c>
      <c r="H1164" s="10" t="n">
        <f aca="false">F1164+G1164</f>
        <v>2816.66666666667</v>
      </c>
      <c r="I1164" s="10" t="n">
        <f aca="false">0</f>
        <v>0</v>
      </c>
      <c r="J1164" s="10" t="n">
        <f aca="false">MAX(0,E1164-E1163)*Staffing!$O$25</f>
        <v>0</v>
      </c>
      <c r="K1164" s="10" t="n">
        <f aca="false">MAX(0,E1164-E1163)*Staffing!$P$25</f>
        <v>0</v>
      </c>
      <c r="L1164" s="23" t="n">
        <f aca="false">ROUNDUP(E1164,0)</f>
        <v>1</v>
      </c>
    </row>
    <row r="1165" customFormat="false" ht="15" hidden="false" customHeight="false" outlineLevel="0" collapsed="false">
      <c r="A1165" s="6" t="s">
        <v>4</v>
      </c>
      <c r="B1165" s="6" t="s">
        <v>341</v>
      </c>
      <c r="C1165" s="6" t="n">
        <v>20</v>
      </c>
      <c r="D1165" s="25" t="n">
        <f aca="false">EDATE('Start Here'!$B$6,C1165-1)</f>
        <v>46905</v>
      </c>
      <c r="E1165" s="11" t="n">
        <f aca="false">IF(AND(C1165&gt;=Staffing!$F$25,C1165&lt;=Staffing!$G$25,1=1),IF(C1165&lt;=6,Staffing!$H$25,IF(C1165&lt;=15,Staffing!$I$25,IF(C1165&lt;=30,Staffing!$J$25,Staffing!$K$25))),0)</f>
        <v>0.25</v>
      </c>
      <c r="F1165" s="10" t="n">
        <f aca="false">E1165*Staffing!$L$25/12*(1+Assumptions!$D$10)^INT((C1165-1)/12)*1</f>
        <v>2816.66666666667</v>
      </c>
      <c r="G1165" s="10" t="n">
        <f aca="false">F1165*Staffing!$N$25</f>
        <v>0</v>
      </c>
      <c r="H1165" s="10" t="n">
        <f aca="false">F1165+G1165</f>
        <v>2816.66666666667</v>
      </c>
      <c r="I1165" s="10" t="n">
        <f aca="false">0</f>
        <v>0</v>
      </c>
      <c r="J1165" s="10" t="n">
        <f aca="false">MAX(0,E1165-E1164)*Staffing!$O$25</f>
        <v>0</v>
      </c>
      <c r="K1165" s="10" t="n">
        <f aca="false">MAX(0,E1165-E1164)*Staffing!$P$25</f>
        <v>0</v>
      </c>
      <c r="L1165" s="23" t="n">
        <f aca="false">ROUNDUP(E1165,0)</f>
        <v>1</v>
      </c>
    </row>
    <row r="1166" customFormat="false" ht="15" hidden="false" customHeight="false" outlineLevel="0" collapsed="false">
      <c r="A1166" s="6" t="s">
        <v>4</v>
      </c>
      <c r="B1166" s="6" t="s">
        <v>341</v>
      </c>
      <c r="C1166" s="6" t="n">
        <v>21</v>
      </c>
      <c r="D1166" s="25" t="n">
        <f aca="false">EDATE('Start Here'!$B$6,C1166-1)</f>
        <v>46935</v>
      </c>
      <c r="E1166" s="11" t="n">
        <f aca="false">IF(AND(C1166&gt;=Staffing!$F$25,C1166&lt;=Staffing!$G$25,1=1),IF(C1166&lt;=6,Staffing!$H$25,IF(C1166&lt;=15,Staffing!$I$25,IF(C1166&lt;=30,Staffing!$J$25,Staffing!$K$25))),0)</f>
        <v>0.25</v>
      </c>
      <c r="F1166" s="10" t="n">
        <f aca="false">E1166*Staffing!$L$25/12*(1+Assumptions!$D$10)^INT((C1166-1)/12)*1</f>
        <v>2816.66666666667</v>
      </c>
      <c r="G1166" s="10" t="n">
        <f aca="false">F1166*Staffing!$N$25</f>
        <v>0</v>
      </c>
      <c r="H1166" s="10" t="n">
        <f aca="false">F1166+G1166</f>
        <v>2816.66666666667</v>
      </c>
      <c r="I1166" s="10" t="n">
        <f aca="false">0</f>
        <v>0</v>
      </c>
      <c r="J1166" s="10" t="n">
        <f aca="false">MAX(0,E1166-E1165)*Staffing!$O$25</f>
        <v>0</v>
      </c>
      <c r="K1166" s="10" t="n">
        <f aca="false">MAX(0,E1166-E1165)*Staffing!$P$25</f>
        <v>0</v>
      </c>
      <c r="L1166" s="23" t="n">
        <f aca="false">ROUNDUP(E1166,0)</f>
        <v>1</v>
      </c>
    </row>
    <row r="1167" customFormat="false" ht="15" hidden="false" customHeight="false" outlineLevel="0" collapsed="false">
      <c r="A1167" s="6" t="s">
        <v>4</v>
      </c>
      <c r="B1167" s="6" t="s">
        <v>341</v>
      </c>
      <c r="C1167" s="6" t="n">
        <v>22</v>
      </c>
      <c r="D1167" s="25" t="n">
        <f aca="false">EDATE('Start Here'!$B$6,C1167-1)</f>
        <v>46966</v>
      </c>
      <c r="E1167" s="11" t="n">
        <f aca="false">IF(AND(C1167&gt;=Staffing!$F$25,C1167&lt;=Staffing!$G$25,1=1),IF(C1167&lt;=6,Staffing!$H$25,IF(C1167&lt;=15,Staffing!$I$25,IF(C1167&lt;=30,Staffing!$J$25,Staffing!$K$25))),0)</f>
        <v>0.25</v>
      </c>
      <c r="F1167" s="10" t="n">
        <f aca="false">E1167*Staffing!$L$25/12*(1+Assumptions!$D$10)^INT((C1167-1)/12)*1</f>
        <v>2816.66666666667</v>
      </c>
      <c r="G1167" s="10" t="n">
        <f aca="false">F1167*Staffing!$N$25</f>
        <v>0</v>
      </c>
      <c r="H1167" s="10" t="n">
        <f aca="false">F1167+G1167</f>
        <v>2816.66666666667</v>
      </c>
      <c r="I1167" s="10" t="n">
        <f aca="false">0</f>
        <v>0</v>
      </c>
      <c r="J1167" s="10" t="n">
        <f aca="false">MAX(0,E1167-E1166)*Staffing!$O$25</f>
        <v>0</v>
      </c>
      <c r="K1167" s="10" t="n">
        <f aca="false">MAX(0,E1167-E1166)*Staffing!$P$25</f>
        <v>0</v>
      </c>
      <c r="L1167" s="23" t="n">
        <f aca="false">ROUNDUP(E1167,0)</f>
        <v>1</v>
      </c>
    </row>
    <row r="1168" customFormat="false" ht="15" hidden="false" customHeight="false" outlineLevel="0" collapsed="false">
      <c r="A1168" s="6" t="s">
        <v>4</v>
      </c>
      <c r="B1168" s="6" t="s">
        <v>341</v>
      </c>
      <c r="C1168" s="6" t="n">
        <v>23</v>
      </c>
      <c r="D1168" s="25" t="n">
        <f aca="false">EDATE('Start Here'!$B$6,C1168-1)</f>
        <v>46997</v>
      </c>
      <c r="E1168" s="11" t="n">
        <f aca="false">IF(AND(C1168&gt;=Staffing!$F$25,C1168&lt;=Staffing!$G$25,1=1),IF(C1168&lt;=6,Staffing!$H$25,IF(C1168&lt;=15,Staffing!$I$25,IF(C1168&lt;=30,Staffing!$J$25,Staffing!$K$25))),0)</f>
        <v>0.25</v>
      </c>
      <c r="F1168" s="10" t="n">
        <f aca="false">E1168*Staffing!$L$25/12*(1+Assumptions!$D$10)^INT((C1168-1)/12)*1</f>
        <v>2816.66666666667</v>
      </c>
      <c r="G1168" s="10" t="n">
        <f aca="false">F1168*Staffing!$N$25</f>
        <v>0</v>
      </c>
      <c r="H1168" s="10" t="n">
        <f aca="false">F1168+G1168</f>
        <v>2816.66666666667</v>
      </c>
      <c r="I1168" s="10" t="n">
        <f aca="false">0</f>
        <v>0</v>
      </c>
      <c r="J1168" s="10" t="n">
        <f aca="false">MAX(0,E1168-E1167)*Staffing!$O$25</f>
        <v>0</v>
      </c>
      <c r="K1168" s="10" t="n">
        <f aca="false">MAX(0,E1168-E1167)*Staffing!$P$25</f>
        <v>0</v>
      </c>
      <c r="L1168" s="23" t="n">
        <f aca="false">ROUNDUP(E1168,0)</f>
        <v>1</v>
      </c>
    </row>
    <row r="1169" customFormat="false" ht="15" hidden="false" customHeight="false" outlineLevel="0" collapsed="false">
      <c r="A1169" s="6" t="s">
        <v>4</v>
      </c>
      <c r="B1169" s="6" t="s">
        <v>341</v>
      </c>
      <c r="C1169" s="6" t="n">
        <v>24</v>
      </c>
      <c r="D1169" s="25" t="n">
        <f aca="false">EDATE('Start Here'!$B$6,C1169-1)</f>
        <v>47027</v>
      </c>
      <c r="E1169" s="11" t="n">
        <f aca="false">IF(AND(C1169&gt;=Staffing!$F$25,C1169&lt;=Staffing!$G$25,1=1),IF(C1169&lt;=6,Staffing!$H$25,IF(C1169&lt;=15,Staffing!$I$25,IF(C1169&lt;=30,Staffing!$J$25,Staffing!$K$25))),0)</f>
        <v>0.25</v>
      </c>
      <c r="F1169" s="10" t="n">
        <f aca="false">E1169*Staffing!$L$25/12*(1+Assumptions!$D$10)^INT((C1169-1)/12)*1</f>
        <v>2816.66666666667</v>
      </c>
      <c r="G1169" s="10" t="n">
        <f aca="false">F1169*Staffing!$N$25</f>
        <v>0</v>
      </c>
      <c r="H1169" s="10" t="n">
        <f aca="false">F1169+G1169</f>
        <v>2816.66666666667</v>
      </c>
      <c r="I1169" s="10" t="n">
        <f aca="false">0</f>
        <v>0</v>
      </c>
      <c r="J1169" s="10" t="n">
        <f aca="false">MAX(0,E1169-E1168)*Staffing!$O$25</f>
        <v>0</v>
      </c>
      <c r="K1169" s="10" t="n">
        <f aca="false">MAX(0,E1169-E1168)*Staffing!$P$25</f>
        <v>0</v>
      </c>
      <c r="L1169" s="23" t="n">
        <f aca="false">ROUNDUP(E1169,0)</f>
        <v>1</v>
      </c>
    </row>
    <row r="1170" customFormat="false" ht="15" hidden="false" customHeight="false" outlineLevel="0" collapsed="false">
      <c r="A1170" s="6" t="s">
        <v>4</v>
      </c>
      <c r="B1170" s="6" t="s">
        <v>341</v>
      </c>
      <c r="C1170" s="6" t="n">
        <v>25</v>
      </c>
      <c r="D1170" s="25" t="n">
        <f aca="false">EDATE('Start Here'!$B$6,C1170-1)</f>
        <v>47058</v>
      </c>
      <c r="E1170" s="11" t="n">
        <f aca="false">IF(AND(C1170&gt;=Staffing!$F$25,C1170&lt;=Staffing!$G$25,1=1),IF(C1170&lt;=6,Staffing!$H$25,IF(C1170&lt;=15,Staffing!$I$25,IF(C1170&lt;=30,Staffing!$J$25,Staffing!$K$25))),0)</f>
        <v>0.25</v>
      </c>
      <c r="F1170" s="10" t="n">
        <f aca="false">E1170*Staffing!$L$25/12*(1+Assumptions!$D$10)^INT((C1170-1)/12)*1</f>
        <v>2929.33333333333</v>
      </c>
      <c r="G1170" s="10" t="n">
        <f aca="false">F1170*Staffing!$N$25</f>
        <v>0</v>
      </c>
      <c r="H1170" s="10" t="n">
        <f aca="false">F1170+G1170</f>
        <v>2929.33333333333</v>
      </c>
      <c r="I1170" s="10" t="n">
        <f aca="false">0</f>
        <v>0</v>
      </c>
      <c r="J1170" s="10" t="n">
        <f aca="false">MAX(0,E1170-E1169)*Staffing!$O$25</f>
        <v>0</v>
      </c>
      <c r="K1170" s="10" t="n">
        <f aca="false">MAX(0,E1170-E1169)*Staffing!$P$25</f>
        <v>0</v>
      </c>
      <c r="L1170" s="23" t="n">
        <f aca="false">ROUNDUP(E1170,0)</f>
        <v>1</v>
      </c>
    </row>
    <row r="1171" customFormat="false" ht="15" hidden="false" customHeight="false" outlineLevel="0" collapsed="false">
      <c r="A1171" s="6" t="s">
        <v>4</v>
      </c>
      <c r="B1171" s="6" t="s">
        <v>341</v>
      </c>
      <c r="C1171" s="6" t="n">
        <v>26</v>
      </c>
      <c r="D1171" s="25" t="n">
        <f aca="false">EDATE('Start Here'!$B$6,C1171-1)</f>
        <v>47088</v>
      </c>
      <c r="E1171" s="11" t="n">
        <f aca="false">IF(AND(C1171&gt;=Staffing!$F$25,C1171&lt;=Staffing!$G$25,1=1),IF(C1171&lt;=6,Staffing!$H$25,IF(C1171&lt;=15,Staffing!$I$25,IF(C1171&lt;=30,Staffing!$J$25,Staffing!$K$25))),0)</f>
        <v>0.25</v>
      </c>
      <c r="F1171" s="10" t="n">
        <f aca="false">E1171*Staffing!$L$25/12*(1+Assumptions!$D$10)^INT((C1171-1)/12)*1</f>
        <v>2929.33333333333</v>
      </c>
      <c r="G1171" s="10" t="n">
        <f aca="false">F1171*Staffing!$N$25</f>
        <v>0</v>
      </c>
      <c r="H1171" s="10" t="n">
        <f aca="false">F1171+G1171</f>
        <v>2929.33333333333</v>
      </c>
      <c r="I1171" s="10" t="n">
        <f aca="false">0</f>
        <v>0</v>
      </c>
      <c r="J1171" s="10" t="n">
        <f aca="false">MAX(0,E1171-E1170)*Staffing!$O$25</f>
        <v>0</v>
      </c>
      <c r="K1171" s="10" t="n">
        <f aca="false">MAX(0,E1171-E1170)*Staffing!$P$25</f>
        <v>0</v>
      </c>
      <c r="L1171" s="23" t="n">
        <f aca="false">ROUNDUP(E1171,0)</f>
        <v>1</v>
      </c>
    </row>
    <row r="1172" customFormat="false" ht="15" hidden="false" customHeight="false" outlineLevel="0" collapsed="false">
      <c r="A1172" s="6" t="s">
        <v>4</v>
      </c>
      <c r="B1172" s="6" t="s">
        <v>341</v>
      </c>
      <c r="C1172" s="6" t="n">
        <v>27</v>
      </c>
      <c r="D1172" s="25" t="n">
        <f aca="false">EDATE('Start Here'!$B$6,C1172-1)</f>
        <v>47119</v>
      </c>
      <c r="E1172" s="11" t="n">
        <f aca="false">IF(AND(C1172&gt;=Staffing!$F$25,C1172&lt;=Staffing!$G$25,1=1),IF(C1172&lt;=6,Staffing!$H$25,IF(C1172&lt;=15,Staffing!$I$25,IF(C1172&lt;=30,Staffing!$J$25,Staffing!$K$25))),0)</f>
        <v>0.25</v>
      </c>
      <c r="F1172" s="10" t="n">
        <f aca="false">E1172*Staffing!$L$25/12*(1+Assumptions!$D$10)^INT((C1172-1)/12)*1</f>
        <v>2929.33333333333</v>
      </c>
      <c r="G1172" s="10" t="n">
        <f aca="false">F1172*Staffing!$N$25</f>
        <v>0</v>
      </c>
      <c r="H1172" s="10" t="n">
        <f aca="false">F1172+G1172</f>
        <v>2929.33333333333</v>
      </c>
      <c r="I1172" s="10" t="n">
        <f aca="false">0</f>
        <v>0</v>
      </c>
      <c r="J1172" s="10" t="n">
        <f aca="false">MAX(0,E1172-E1171)*Staffing!$O$25</f>
        <v>0</v>
      </c>
      <c r="K1172" s="10" t="n">
        <f aca="false">MAX(0,E1172-E1171)*Staffing!$P$25</f>
        <v>0</v>
      </c>
      <c r="L1172" s="23" t="n">
        <f aca="false">ROUNDUP(E1172,0)</f>
        <v>1</v>
      </c>
    </row>
    <row r="1173" customFormat="false" ht="15" hidden="false" customHeight="false" outlineLevel="0" collapsed="false">
      <c r="A1173" s="6" t="s">
        <v>4</v>
      </c>
      <c r="B1173" s="6" t="s">
        <v>341</v>
      </c>
      <c r="C1173" s="6" t="n">
        <v>28</v>
      </c>
      <c r="D1173" s="25" t="n">
        <f aca="false">EDATE('Start Here'!$B$6,C1173-1)</f>
        <v>47150</v>
      </c>
      <c r="E1173" s="11" t="n">
        <f aca="false">IF(AND(C1173&gt;=Staffing!$F$25,C1173&lt;=Staffing!$G$25,1=1),IF(C1173&lt;=6,Staffing!$H$25,IF(C1173&lt;=15,Staffing!$I$25,IF(C1173&lt;=30,Staffing!$J$25,Staffing!$K$25))),0)</f>
        <v>0.25</v>
      </c>
      <c r="F1173" s="10" t="n">
        <f aca="false">E1173*Staffing!$L$25/12*(1+Assumptions!$D$10)^INT((C1173-1)/12)*1</f>
        <v>2929.33333333333</v>
      </c>
      <c r="G1173" s="10" t="n">
        <f aca="false">F1173*Staffing!$N$25</f>
        <v>0</v>
      </c>
      <c r="H1173" s="10" t="n">
        <f aca="false">F1173+G1173</f>
        <v>2929.33333333333</v>
      </c>
      <c r="I1173" s="10" t="n">
        <f aca="false">0</f>
        <v>0</v>
      </c>
      <c r="J1173" s="10" t="n">
        <f aca="false">MAX(0,E1173-E1172)*Staffing!$O$25</f>
        <v>0</v>
      </c>
      <c r="K1173" s="10" t="n">
        <f aca="false">MAX(0,E1173-E1172)*Staffing!$P$25</f>
        <v>0</v>
      </c>
      <c r="L1173" s="23" t="n">
        <f aca="false">ROUNDUP(E1173,0)</f>
        <v>1</v>
      </c>
    </row>
    <row r="1174" customFormat="false" ht="15" hidden="false" customHeight="false" outlineLevel="0" collapsed="false">
      <c r="A1174" s="6" t="s">
        <v>4</v>
      </c>
      <c r="B1174" s="6" t="s">
        <v>341</v>
      </c>
      <c r="C1174" s="6" t="n">
        <v>29</v>
      </c>
      <c r="D1174" s="25" t="n">
        <f aca="false">EDATE('Start Here'!$B$6,C1174-1)</f>
        <v>47178</v>
      </c>
      <c r="E1174" s="11" t="n">
        <f aca="false">IF(AND(C1174&gt;=Staffing!$F$25,C1174&lt;=Staffing!$G$25,1=1),IF(C1174&lt;=6,Staffing!$H$25,IF(C1174&lt;=15,Staffing!$I$25,IF(C1174&lt;=30,Staffing!$J$25,Staffing!$K$25))),0)</f>
        <v>0.25</v>
      </c>
      <c r="F1174" s="10" t="n">
        <f aca="false">E1174*Staffing!$L$25/12*(1+Assumptions!$D$10)^INT((C1174-1)/12)*1</f>
        <v>2929.33333333333</v>
      </c>
      <c r="G1174" s="10" t="n">
        <f aca="false">F1174*Staffing!$N$25</f>
        <v>0</v>
      </c>
      <c r="H1174" s="10" t="n">
        <f aca="false">F1174+G1174</f>
        <v>2929.33333333333</v>
      </c>
      <c r="I1174" s="10" t="n">
        <f aca="false">0</f>
        <v>0</v>
      </c>
      <c r="J1174" s="10" t="n">
        <f aca="false">MAX(0,E1174-E1173)*Staffing!$O$25</f>
        <v>0</v>
      </c>
      <c r="K1174" s="10" t="n">
        <f aca="false">MAX(0,E1174-E1173)*Staffing!$P$25</f>
        <v>0</v>
      </c>
      <c r="L1174" s="23" t="n">
        <f aca="false">ROUNDUP(E1174,0)</f>
        <v>1</v>
      </c>
    </row>
    <row r="1175" customFormat="false" ht="15" hidden="false" customHeight="false" outlineLevel="0" collapsed="false">
      <c r="A1175" s="6" t="s">
        <v>4</v>
      </c>
      <c r="B1175" s="6" t="s">
        <v>341</v>
      </c>
      <c r="C1175" s="6" t="n">
        <v>30</v>
      </c>
      <c r="D1175" s="25" t="n">
        <f aca="false">EDATE('Start Here'!$B$6,C1175-1)</f>
        <v>47209</v>
      </c>
      <c r="E1175" s="11" t="n">
        <f aca="false">IF(AND(C1175&gt;=Staffing!$F$25,C1175&lt;=Staffing!$G$25,1=1),IF(C1175&lt;=6,Staffing!$H$25,IF(C1175&lt;=15,Staffing!$I$25,IF(C1175&lt;=30,Staffing!$J$25,Staffing!$K$25))),0)</f>
        <v>0.25</v>
      </c>
      <c r="F1175" s="10" t="n">
        <f aca="false">E1175*Staffing!$L$25/12*(1+Assumptions!$D$10)^INT((C1175-1)/12)*1</f>
        <v>2929.33333333333</v>
      </c>
      <c r="G1175" s="10" t="n">
        <f aca="false">F1175*Staffing!$N$25</f>
        <v>0</v>
      </c>
      <c r="H1175" s="10" t="n">
        <f aca="false">F1175+G1175</f>
        <v>2929.33333333333</v>
      </c>
      <c r="I1175" s="10" t="n">
        <f aca="false">0</f>
        <v>0</v>
      </c>
      <c r="J1175" s="10" t="n">
        <f aca="false">MAX(0,E1175-E1174)*Staffing!$O$25</f>
        <v>0</v>
      </c>
      <c r="K1175" s="10" t="n">
        <f aca="false">MAX(0,E1175-E1174)*Staffing!$P$25</f>
        <v>0</v>
      </c>
      <c r="L1175" s="23" t="n">
        <f aca="false">ROUNDUP(E1175,0)</f>
        <v>1</v>
      </c>
    </row>
    <row r="1176" customFormat="false" ht="15" hidden="false" customHeight="false" outlineLevel="0" collapsed="false">
      <c r="A1176" s="6" t="s">
        <v>4</v>
      </c>
      <c r="B1176" s="6" t="s">
        <v>341</v>
      </c>
      <c r="C1176" s="6" t="n">
        <v>31</v>
      </c>
      <c r="D1176" s="25" t="n">
        <f aca="false">EDATE('Start Here'!$B$6,C1176-1)</f>
        <v>47239</v>
      </c>
      <c r="E1176" s="11" t="n">
        <f aca="false">IF(AND(C1176&gt;=Staffing!$F$25,C1176&lt;=Staffing!$G$25,1=1),IF(C1176&lt;=6,Staffing!$H$25,IF(C1176&lt;=15,Staffing!$I$25,IF(C1176&lt;=30,Staffing!$J$25,Staffing!$K$25))),0)</f>
        <v>0.25</v>
      </c>
      <c r="F1176" s="10" t="n">
        <f aca="false">E1176*Staffing!$L$25/12*(1+Assumptions!$D$10)^INT((C1176-1)/12)*1</f>
        <v>2929.33333333333</v>
      </c>
      <c r="G1176" s="10" t="n">
        <f aca="false">F1176*Staffing!$N$25</f>
        <v>0</v>
      </c>
      <c r="H1176" s="10" t="n">
        <f aca="false">F1176+G1176</f>
        <v>2929.33333333333</v>
      </c>
      <c r="I1176" s="10" t="n">
        <f aca="false">0</f>
        <v>0</v>
      </c>
      <c r="J1176" s="10" t="n">
        <f aca="false">MAX(0,E1176-E1175)*Staffing!$O$25</f>
        <v>0</v>
      </c>
      <c r="K1176" s="10" t="n">
        <f aca="false">MAX(0,E1176-E1175)*Staffing!$P$25</f>
        <v>0</v>
      </c>
      <c r="L1176" s="23" t="n">
        <f aca="false">ROUNDUP(E1176,0)</f>
        <v>1</v>
      </c>
    </row>
    <row r="1177" customFormat="false" ht="15" hidden="false" customHeight="false" outlineLevel="0" collapsed="false">
      <c r="A1177" s="6" t="s">
        <v>4</v>
      </c>
      <c r="B1177" s="6" t="s">
        <v>341</v>
      </c>
      <c r="C1177" s="6" t="n">
        <v>32</v>
      </c>
      <c r="D1177" s="25" t="n">
        <f aca="false">EDATE('Start Here'!$B$6,C1177-1)</f>
        <v>47270</v>
      </c>
      <c r="E1177" s="11" t="n">
        <f aca="false">IF(AND(C1177&gt;=Staffing!$F$25,C1177&lt;=Staffing!$G$25,1=1),IF(C1177&lt;=6,Staffing!$H$25,IF(C1177&lt;=15,Staffing!$I$25,IF(C1177&lt;=30,Staffing!$J$25,Staffing!$K$25))),0)</f>
        <v>0.25</v>
      </c>
      <c r="F1177" s="10" t="n">
        <f aca="false">E1177*Staffing!$L$25/12*(1+Assumptions!$D$10)^INT((C1177-1)/12)*1</f>
        <v>2929.33333333333</v>
      </c>
      <c r="G1177" s="10" t="n">
        <f aca="false">F1177*Staffing!$N$25</f>
        <v>0</v>
      </c>
      <c r="H1177" s="10" t="n">
        <f aca="false">F1177+G1177</f>
        <v>2929.33333333333</v>
      </c>
      <c r="I1177" s="10" t="n">
        <f aca="false">0</f>
        <v>0</v>
      </c>
      <c r="J1177" s="10" t="n">
        <f aca="false">MAX(0,E1177-E1176)*Staffing!$O$25</f>
        <v>0</v>
      </c>
      <c r="K1177" s="10" t="n">
        <f aca="false">MAX(0,E1177-E1176)*Staffing!$P$25</f>
        <v>0</v>
      </c>
      <c r="L1177" s="23" t="n">
        <f aca="false">ROUNDUP(E1177,0)</f>
        <v>1</v>
      </c>
    </row>
    <row r="1178" customFormat="false" ht="15" hidden="false" customHeight="false" outlineLevel="0" collapsed="false">
      <c r="A1178" s="6" t="s">
        <v>4</v>
      </c>
      <c r="B1178" s="6" t="s">
        <v>341</v>
      </c>
      <c r="C1178" s="6" t="n">
        <v>33</v>
      </c>
      <c r="D1178" s="25" t="n">
        <f aca="false">EDATE('Start Here'!$B$6,C1178-1)</f>
        <v>47300</v>
      </c>
      <c r="E1178" s="11" t="n">
        <f aca="false">IF(AND(C1178&gt;=Staffing!$F$25,C1178&lt;=Staffing!$G$25,1=1),IF(C1178&lt;=6,Staffing!$H$25,IF(C1178&lt;=15,Staffing!$I$25,IF(C1178&lt;=30,Staffing!$J$25,Staffing!$K$25))),0)</f>
        <v>0.25</v>
      </c>
      <c r="F1178" s="10" t="n">
        <f aca="false">E1178*Staffing!$L$25/12*(1+Assumptions!$D$10)^INT((C1178-1)/12)*1</f>
        <v>2929.33333333333</v>
      </c>
      <c r="G1178" s="10" t="n">
        <f aca="false">F1178*Staffing!$N$25</f>
        <v>0</v>
      </c>
      <c r="H1178" s="10" t="n">
        <f aca="false">F1178+G1178</f>
        <v>2929.33333333333</v>
      </c>
      <c r="I1178" s="10" t="n">
        <f aca="false">0</f>
        <v>0</v>
      </c>
      <c r="J1178" s="10" t="n">
        <f aca="false">MAX(0,E1178-E1177)*Staffing!$O$25</f>
        <v>0</v>
      </c>
      <c r="K1178" s="10" t="n">
        <f aca="false">MAX(0,E1178-E1177)*Staffing!$P$25</f>
        <v>0</v>
      </c>
      <c r="L1178" s="23" t="n">
        <f aca="false">ROUNDUP(E1178,0)</f>
        <v>1</v>
      </c>
    </row>
    <row r="1179" customFormat="false" ht="15" hidden="false" customHeight="false" outlineLevel="0" collapsed="false">
      <c r="A1179" s="6" t="s">
        <v>4</v>
      </c>
      <c r="B1179" s="6" t="s">
        <v>341</v>
      </c>
      <c r="C1179" s="6" t="n">
        <v>34</v>
      </c>
      <c r="D1179" s="25" t="n">
        <f aca="false">EDATE('Start Here'!$B$6,C1179-1)</f>
        <v>47331</v>
      </c>
      <c r="E1179" s="11" t="n">
        <f aca="false">IF(AND(C1179&gt;=Staffing!$F$25,C1179&lt;=Staffing!$G$25,1=1),IF(C1179&lt;=6,Staffing!$H$25,IF(C1179&lt;=15,Staffing!$I$25,IF(C1179&lt;=30,Staffing!$J$25,Staffing!$K$25))),0)</f>
        <v>0.25</v>
      </c>
      <c r="F1179" s="10" t="n">
        <f aca="false">E1179*Staffing!$L$25/12*(1+Assumptions!$D$10)^INT((C1179-1)/12)*1</f>
        <v>2929.33333333333</v>
      </c>
      <c r="G1179" s="10" t="n">
        <f aca="false">F1179*Staffing!$N$25</f>
        <v>0</v>
      </c>
      <c r="H1179" s="10" t="n">
        <f aca="false">F1179+G1179</f>
        <v>2929.33333333333</v>
      </c>
      <c r="I1179" s="10" t="n">
        <f aca="false">0</f>
        <v>0</v>
      </c>
      <c r="J1179" s="10" t="n">
        <f aca="false">MAX(0,E1179-E1178)*Staffing!$O$25</f>
        <v>0</v>
      </c>
      <c r="K1179" s="10" t="n">
        <f aca="false">MAX(0,E1179-E1178)*Staffing!$P$25</f>
        <v>0</v>
      </c>
      <c r="L1179" s="23" t="n">
        <f aca="false">ROUNDUP(E1179,0)</f>
        <v>1</v>
      </c>
    </row>
    <row r="1180" customFormat="false" ht="15" hidden="false" customHeight="false" outlineLevel="0" collapsed="false">
      <c r="A1180" s="6" t="s">
        <v>4</v>
      </c>
      <c r="B1180" s="6" t="s">
        <v>341</v>
      </c>
      <c r="C1180" s="6" t="n">
        <v>35</v>
      </c>
      <c r="D1180" s="25" t="n">
        <f aca="false">EDATE('Start Here'!$B$6,C1180-1)</f>
        <v>47362</v>
      </c>
      <c r="E1180" s="11" t="n">
        <f aca="false">IF(AND(C1180&gt;=Staffing!$F$25,C1180&lt;=Staffing!$G$25,1=1),IF(C1180&lt;=6,Staffing!$H$25,IF(C1180&lt;=15,Staffing!$I$25,IF(C1180&lt;=30,Staffing!$J$25,Staffing!$K$25))),0)</f>
        <v>0.25</v>
      </c>
      <c r="F1180" s="10" t="n">
        <f aca="false">E1180*Staffing!$L$25/12*(1+Assumptions!$D$10)^INT((C1180-1)/12)*1</f>
        <v>2929.33333333333</v>
      </c>
      <c r="G1180" s="10" t="n">
        <f aca="false">F1180*Staffing!$N$25</f>
        <v>0</v>
      </c>
      <c r="H1180" s="10" t="n">
        <f aca="false">F1180+G1180</f>
        <v>2929.33333333333</v>
      </c>
      <c r="I1180" s="10" t="n">
        <f aca="false">0</f>
        <v>0</v>
      </c>
      <c r="J1180" s="10" t="n">
        <f aca="false">MAX(0,E1180-E1179)*Staffing!$O$25</f>
        <v>0</v>
      </c>
      <c r="K1180" s="10" t="n">
        <f aca="false">MAX(0,E1180-E1179)*Staffing!$P$25</f>
        <v>0</v>
      </c>
      <c r="L1180" s="23" t="n">
        <f aca="false">ROUNDUP(E1180,0)</f>
        <v>1</v>
      </c>
    </row>
    <row r="1181" customFormat="false" ht="15" hidden="false" customHeight="false" outlineLevel="0" collapsed="false">
      <c r="A1181" s="6" t="s">
        <v>4</v>
      </c>
      <c r="B1181" s="6" t="s">
        <v>341</v>
      </c>
      <c r="C1181" s="6" t="n">
        <v>36</v>
      </c>
      <c r="D1181" s="25" t="n">
        <f aca="false">EDATE('Start Here'!$B$6,C1181-1)</f>
        <v>47392</v>
      </c>
      <c r="E1181" s="11" t="n">
        <f aca="false">IF(AND(C1181&gt;=Staffing!$F$25,C1181&lt;=Staffing!$G$25,1=1),IF(C1181&lt;=6,Staffing!$H$25,IF(C1181&lt;=15,Staffing!$I$25,IF(C1181&lt;=30,Staffing!$J$25,Staffing!$K$25))),0)</f>
        <v>0.25</v>
      </c>
      <c r="F1181" s="10" t="n">
        <f aca="false">E1181*Staffing!$L$25/12*(1+Assumptions!$D$10)^INT((C1181-1)/12)*1</f>
        <v>2929.33333333333</v>
      </c>
      <c r="G1181" s="10" t="n">
        <f aca="false">F1181*Staffing!$N$25</f>
        <v>0</v>
      </c>
      <c r="H1181" s="10" t="n">
        <f aca="false">F1181+G1181</f>
        <v>2929.33333333333</v>
      </c>
      <c r="I1181" s="10" t="n">
        <f aca="false">0</f>
        <v>0</v>
      </c>
      <c r="J1181" s="10" t="n">
        <f aca="false">MAX(0,E1181-E1180)*Staffing!$O$25</f>
        <v>0</v>
      </c>
      <c r="K1181" s="10" t="n">
        <f aca="false">MAX(0,E1181-E1180)*Staffing!$P$25</f>
        <v>0</v>
      </c>
      <c r="L1181" s="23" t="n">
        <f aca="false">ROUNDUP(E1181,0)</f>
        <v>1</v>
      </c>
    </row>
    <row r="1182" customFormat="false" ht="15" hidden="false" customHeight="false" outlineLevel="0" collapsed="false">
      <c r="A1182" s="6" t="s">
        <v>4</v>
      </c>
      <c r="B1182" s="6" t="s">
        <v>341</v>
      </c>
      <c r="C1182" s="6" t="n">
        <v>37</v>
      </c>
      <c r="D1182" s="25" t="n">
        <f aca="false">EDATE('Start Here'!$B$6,C1182-1)</f>
        <v>47423</v>
      </c>
      <c r="E1182" s="23" t="n">
        <f aca="false">IF(AND(C1182&gt;=Staffing!$F$25,C1182&lt;=Staffing!$G$25,1=1),IF(C1182&lt;=6,Staffing!$H$25,IF(C1182&lt;=15,Staffing!$I$25,IF(C1182&lt;=30,Staffing!$J$25,Staffing!$K$25))),0)</f>
        <v>0</v>
      </c>
      <c r="F1182" s="10" t="n">
        <f aca="false">E1182*Staffing!$L$25/12*(1+Assumptions!$D$10)^INT((C1182-1)/12)*1</f>
        <v>0</v>
      </c>
      <c r="G1182" s="10" t="n">
        <f aca="false">F1182*Staffing!$N$25</f>
        <v>0</v>
      </c>
      <c r="H1182" s="10" t="n">
        <f aca="false">F1182+G1182</f>
        <v>0</v>
      </c>
      <c r="I1182" s="10" t="n">
        <f aca="false">0</f>
        <v>0</v>
      </c>
      <c r="J1182" s="10" t="n">
        <f aca="false">MAX(0,E1182-E1181)*Staffing!$O$25</f>
        <v>0</v>
      </c>
      <c r="K1182" s="10" t="n">
        <f aca="false">MAX(0,E1182-E1181)*Staffing!$P$25</f>
        <v>0</v>
      </c>
      <c r="L1182" s="23" t="n">
        <f aca="false">ROUNDUP(E1182,0)</f>
        <v>0</v>
      </c>
    </row>
    <row r="1183" customFormat="false" ht="15" hidden="false" customHeight="false" outlineLevel="0" collapsed="false">
      <c r="A1183" s="6" t="s">
        <v>4</v>
      </c>
      <c r="B1183" s="6" t="s">
        <v>341</v>
      </c>
      <c r="C1183" s="6" t="n">
        <v>38</v>
      </c>
      <c r="D1183" s="25" t="n">
        <f aca="false">EDATE('Start Here'!$B$6,C1183-1)</f>
        <v>47453</v>
      </c>
      <c r="E1183" s="23" t="n">
        <f aca="false">IF(AND(C1183&gt;=Staffing!$F$25,C1183&lt;=Staffing!$G$25,1=1),IF(C1183&lt;=6,Staffing!$H$25,IF(C1183&lt;=15,Staffing!$I$25,IF(C1183&lt;=30,Staffing!$J$25,Staffing!$K$25))),0)</f>
        <v>0</v>
      </c>
      <c r="F1183" s="10" t="n">
        <f aca="false">E1183*Staffing!$L$25/12*(1+Assumptions!$D$10)^INT((C1183-1)/12)*1</f>
        <v>0</v>
      </c>
      <c r="G1183" s="10" t="n">
        <f aca="false">F1183*Staffing!$N$25</f>
        <v>0</v>
      </c>
      <c r="H1183" s="10" t="n">
        <f aca="false">F1183+G1183</f>
        <v>0</v>
      </c>
      <c r="I1183" s="10" t="n">
        <f aca="false">0</f>
        <v>0</v>
      </c>
      <c r="J1183" s="10" t="n">
        <f aca="false">MAX(0,E1183-E1182)*Staffing!$O$25</f>
        <v>0</v>
      </c>
      <c r="K1183" s="10" t="n">
        <f aca="false">MAX(0,E1183-E1182)*Staffing!$P$25</f>
        <v>0</v>
      </c>
      <c r="L1183" s="23" t="n">
        <f aca="false">ROUNDUP(E1183,0)</f>
        <v>0</v>
      </c>
    </row>
    <row r="1184" customFormat="false" ht="15" hidden="false" customHeight="false" outlineLevel="0" collapsed="false">
      <c r="A1184" s="6" t="s">
        <v>4</v>
      </c>
      <c r="B1184" s="6" t="s">
        <v>341</v>
      </c>
      <c r="C1184" s="6" t="n">
        <v>39</v>
      </c>
      <c r="D1184" s="25" t="n">
        <f aca="false">EDATE('Start Here'!$B$6,C1184-1)</f>
        <v>47484</v>
      </c>
      <c r="E1184" s="23" t="n">
        <f aca="false">IF(AND(C1184&gt;=Staffing!$F$25,C1184&lt;=Staffing!$G$25,1=1),IF(C1184&lt;=6,Staffing!$H$25,IF(C1184&lt;=15,Staffing!$I$25,IF(C1184&lt;=30,Staffing!$J$25,Staffing!$K$25))),0)</f>
        <v>0</v>
      </c>
      <c r="F1184" s="10" t="n">
        <f aca="false">E1184*Staffing!$L$25/12*(1+Assumptions!$D$10)^INT((C1184-1)/12)*1</f>
        <v>0</v>
      </c>
      <c r="G1184" s="10" t="n">
        <f aca="false">F1184*Staffing!$N$25</f>
        <v>0</v>
      </c>
      <c r="H1184" s="10" t="n">
        <f aca="false">F1184+G1184</f>
        <v>0</v>
      </c>
      <c r="I1184" s="10" t="n">
        <f aca="false">0</f>
        <v>0</v>
      </c>
      <c r="J1184" s="10" t="n">
        <f aca="false">MAX(0,E1184-E1183)*Staffing!$O$25</f>
        <v>0</v>
      </c>
      <c r="K1184" s="10" t="n">
        <f aca="false">MAX(0,E1184-E1183)*Staffing!$P$25</f>
        <v>0</v>
      </c>
      <c r="L1184" s="23" t="n">
        <f aca="false">ROUNDUP(E1184,0)</f>
        <v>0</v>
      </c>
    </row>
    <row r="1185" customFormat="false" ht="15" hidden="false" customHeight="false" outlineLevel="0" collapsed="false">
      <c r="A1185" s="6" t="s">
        <v>4</v>
      </c>
      <c r="B1185" s="6" t="s">
        <v>341</v>
      </c>
      <c r="C1185" s="6" t="n">
        <v>40</v>
      </c>
      <c r="D1185" s="25" t="n">
        <f aca="false">EDATE('Start Here'!$B$6,C1185-1)</f>
        <v>47515</v>
      </c>
      <c r="E1185" s="23" t="n">
        <f aca="false">IF(AND(C1185&gt;=Staffing!$F$25,C1185&lt;=Staffing!$G$25,1=1),IF(C1185&lt;=6,Staffing!$H$25,IF(C1185&lt;=15,Staffing!$I$25,IF(C1185&lt;=30,Staffing!$J$25,Staffing!$K$25))),0)</f>
        <v>0</v>
      </c>
      <c r="F1185" s="10" t="n">
        <f aca="false">E1185*Staffing!$L$25/12*(1+Assumptions!$D$10)^INT((C1185-1)/12)*1</f>
        <v>0</v>
      </c>
      <c r="G1185" s="10" t="n">
        <f aca="false">F1185*Staffing!$N$25</f>
        <v>0</v>
      </c>
      <c r="H1185" s="10" t="n">
        <f aca="false">F1185+G1185</f>
        <v>0</v>
      </c>
      <c r="I1185" s="10" t="n">
        <f aca="false">0</f>
        <v>0</v>
      </c>
      <c r="J1185" s="10" t="n">
        <f aca="false">MAX(0,E1185-E1184)*Staffing!$O$25</f>
        <v>0</v>
      </c>
      <c r="K1185" s="10" t="n">
        <f aca="false">MAX(0,E1185-E1184)*Staffing!$P$25</f>
        <v>0</v>
      </c>
      <c r="L1185" s="23" t="n">
        <f aca="false">ROUNDUP(E1185,0)</f>
        <v>0</v>
      </c>
    </row>
    <row r="1186" customFormat="false" ht="15" hidden="false" customHeight="false" outlineLevel="0" collapsed="false">
      <c r="A1186" s="6" t="s">
        <v>4</v>
      </c>
      <c r="B1186" s="6" t="s">
        <v>341</v>
      </c>
      <c r="C1186" s="6" t="n">
        <v>41</v>
      </c>
      <c r="D1186" s="25" t="n">
        <f aca="false">EDATE('Start Here'!$B$6,C1186-1)</f>
        <v>47543</v>
      </c>
      <c r="E1186" s="23" t="n">
        <f aca="false">IF(AND(C1186&gt;=Staffing!$F$25,C1186&lt;=Staffing!$G$25,1=1),IF(C1186&lt;=6,Staffing!$H$25,IF(C1186&lt;=15,Staffing!$I$25,IF(C1186&lt;=30,Staffing!$J$25,Staffing!$K$25))),0)</f>
        <v>0</v>
      </c>
      <c r="F1186" s="10" t="n">
        <f aca="false">E1186*Staffing!$L$25/12*(1+Assumptions!$D$10)^INT((C1186-1)/12)*1</f>
        <v>0</v>
      </c>
      <c r="G1186" s="10" t="n">
        <f aca="false">F1186*Staffing!$N$25</f>
        <v>0</v>
      </c>
      <c r="H1186" s="10" t="n">
        <f aca="false">F1186+G1186</f>
        <v>0</v>
      </c>
      <c r="I1186" s="10" t="n">
        <f aca="false">0</f>
        <v>0</v>
      </c>
      <c r="J1186" s="10" t="n">
        <f aca="false">MAX(0,E1186-E1185)*Staffing!$O$25</f>
        <v>0</v>
      </c>
      <c r="K1186" s="10" t="n">
        <f aca="false">MAX(0,E1186-E1185)*Staffing!$P$25</f>
        <v>0</v>
      </c>
      <c r="L1186" s="23" t="n">
        <f aca="false">ROUNDUP(E1186,0)</f>
        <v>0</v>
      </c>
    </row>
    <row r="1187" customFormat="false" ht="15" hidden="false" customHeight="false" outlineLevel="0" collapsed="false">
      <c r="A1187" s="6" t="s">
        <v>4</v>
      </c>
      <c r="B1187" s="6" t="s">
        <v>341</v>
      </c>
      <c r="C1187" s="6" t="n">
        <v>42</v>
      </c>
      <c r="D1187" s="25" t="n">
        <f aca="false">EDATE('Start Here'!$B$6,C1187-1)</f>
        <v>47574</v>
      </c>
      <c r="E1187" s="23" t="n">
        <f aca="false">IF(AND(C1187&gt;=Staffing!$F$25,C1187&lt;=Staffing!$G$25,1=1),IF(C1187&lt;=6,Staffing!$H$25,IF(C1187&lt;=15,Staffing!$I$25,IF(C1187&lt;=30,Staffing!$J$25,Staffing!$K$25))),0)</f>
        <v>0</v>
      </c>
      <c r="F1187" s="10" t="n">
        <f aca="false">E1187*Staffing!$L$25/12*(1+Assumptions!$D$10)^INT((C1187-1)/12)*1</f>
        <v>0</v>
      </c>
      <c r="G1187" s="10" t="n">
        <f aca="false">F1187*Staffing!$N$25</f>
        <v>0</v>
      </c>
      <c r="H1187" s="10" t="n">
        <f aca="false">F1187+G1187</f>
        <v>0</v>
      </c>
      <c r="I1187" s="10" t="n">
        <f aca="false">0</f>
        <v>0</v>
      </c>
      <c r="J1187" s="10" t="n">
        <f aca="false">MAX(0,E1187-E1186)*Staffing!$O$25</f>
        <v>0</v>
      </c>
      <c r="K1187" s="10" t="n">
        <f aca="false">MAX(0,E1187-E1186)*Staffing!$P$25</f>
        <v>0</v>
      </c>
      <c r="L1187" s="23" t="n">
        <f aca="false">ROUNDUP(E1187,0)</f>
        <v>0</v>
      </c>
    </row>
    <row r="1188" customFormat="false" ht="15" hidden="false" customHeight="false" outlineLevel="0" collapsed="false">
      <c r="A1188" s="6" t="s">
        <v>4</v>
      </c>
      <c r="B1188" s="6" t="s">
        <v>341</v>
      </c>
      <c r="C1188" s="6" t="n">
        <v>43</v>
      </c>
      <c r="D1188" s="25" t="n">
        <f aca="false">EDATE('Start Here'!$B$6,C1188-1)</f>
        <v>47604</v>
      </c>
      <c r="E1188" s="23" t="n">
        <f aca="false">IF(AND(C1188&gt;=Staffing!$F$25,C1188&lt;=Staffing!$G$25,1=1),IF(C1188&lt;=6,Staffing!$H$25,IF(C1188&lt;=15,Staffing!$I$25,IF(C1188&lt;=30,Staffing!$J$25,Staffing!$K$25))),0)</f>
        <v>0</v>
      </c>
      <c r="F1188" s="10" t="n">
        <f aca="false">E1188*Staffing!$L$25/12*(1+Assumptions!$D$10)^INT((C1188-1)/12)*1</f>
        <v>0</v>
      </c>
      <c r="G1188" s="10" t="n">
        <f aca="false">F1188*Staffing!$N$25</f>
        <v>0</v>
      </c>
      <c r="H1188" s="10" t="n">
        <f aca="false">F1188+G1188</f>
        <v>0</v>
      </c>
      <c r="I1188" s="10" t="n">
        <f aca="false">0</f>
        <v>0</v>
      </c>
      <c r="J1188" s="10" t="n">
        <f aca="false">MAX(0,E1188-E1187)*Staffing!$O$25</f>
        <v>0</v>
      </c>
      <c r="K1188" s="10" t="n">
        <f aca="false">MAX(0,E1188-E1187)*Staffing!$P$25</f>
        <v>0</v>
      </c>
      <c r="L1188" s="23" t="n">
        <f aca="false">ROUNDUP(E1188,0)</f>
        <v>0</v>
      </c>
    </row>
    <row r="1189" customFormat="false" ht="15" hidden="false" customHeight="false" outlineLevel="0" collapsed="false">
      <c r="A1189" s="6" t="s">
        <v>4</v>
      </c>
      <c r="B1189" s="6" t="s">
        <v>341</v>
      </c>
      <c r="C1189" s="6" t="n">
        <v>44</v>
      </c>
      <c r="D1189" s="25" t="n">
        <f aca="false">EDATE('Start Here'!$B$6,C1189-1)</f>
        <v>47635</v>
      </c>
      <c r="E1189" s="23" t="n">
        <f aca="false">IF(AND(C1189&gt;=Staffing!$F$25,C1189&lt;=Staffing!$G$25,1=1),IF(C1189&lt;=6,Staffing!$H$25,IF(C1189&lt;=15,Staffing!$I$25,IF(C1189&lt;=30,Staffing!$J$25,Staffing!$K$25))),0)</f>
        <v>0</v>
      </c>
      <c r="F1189" s="10" t="n">
        <f aca="false">E1189*Staffing!$L$25/12*(1+Assumptions!$D$10)^INT((C1189-1)/12)*1</f>
        <v>0</v>
      </c>
      <c r="G1189" s="10" t="n">
        <f aca="false">F1189*Staffing!$N$25</f>
        <v>0</v>
      </c>
      <c r="H1189" s="10" t="n">
        <f aca="false">F1189+G1189</f>
        <v>0</v>
      </c>
      <c r="I1189" s="10" t="n">
        <f aca="false">0</f>
        <v>0</v>
      </c>
      <c r="J1189" s="10" t="n">
        <f aca="false">MAX(0,E1189-E1188)*Staffing!$O$25</f>
        <v>0</v>
      </c>
      <c r="K1189" s="10" t="n">
        <f aca="false">MAX(0,E1189-E1188)*Staffing!$P$25</f>
        <v>0</v>
      </c>
      <c r="L1189" s="23" t="n">
        <f aca="false">ROUNDUP(E1189,0)</f>
        <v>0</v>
      </c>
    </row>
    <row r="1190" customFormat="false" ht="15" hidden="false" customHeight="false" outlineLevel="0" collapsed="false">
      <c r="A1190" s="6" t="s">
        <v>4</v>
      </c>
      <c r="B1190" s="6" t="s">
        <v>341</v>
      </c>
      <c r="C1190" s="6" t="n">
        <v>45</v>
      </c>
      <c r="D1190" s="25" t="n">
        <f aca="false">EDATE('Start Here'!$B$6,C1190-1)</f>
        <v>47665</v>
      </c>
      <c r="E1190" s="23" t="n">
        <f aca="false">IF(AND(C1190&gt;=Staffing!$F$25,C1190&lt;=Staffing!$G$25,1=1),IF(C1190&lt;=6,Staffing!$H$25,IF(C1190&lt;=15,Staffing!$I$25,IF(C1190&lt;=30,Staffing!$J$25,Staffing!$K$25))),0)</f>
        <v>0</v>
      </c>
      <c r="F1190" s="10" t="n">
        <f aca="false">E1190*Staffing!$L$25/12*(1+Assumptions!$D$10)^INT((C1190-1)/12)*1</f>
        <v>0</v>
      </c>
      <c r="G1190" s="10" t="n">
        <f aca="false">F1190*Staffing!$N$25</f>
        <v>0</v>
      </c>
      <c r="H1190" s="10" t="n">
        <f aca="false">F1190+G1190</f>
        <v>0</v>
      </c>
      <c r="I1190" s="10" t="n">
        <f aca="false">0</f>
        <v>0</v>
      </c>
      <c r="J1190" s="10" t="n">
        <f aca="false">MAX(0,E1190-E1189)*Staffing!$O$25</f>
        <v>0</v>
      </c>
      <c r="K1190" s="10" t="n">
        <f aca="false">MAX(0,E1190-E1189)*Staffing!$P$25</f>
        <v>0</v>
      </c>
      <c r="L1190" s="23" t="n">
        <f aca="false">ROUNDUP(E1190,0)</f>
        <v>0</v>
      </c>
    </row>
    <row r="1191" customFormat="false" ht="15" hidden="false" customHeight="false" outlineLevel="0" collapsed="false">
      <c r="A1191" s="6" t="s">
        <v>4</v>
      </c>
      <c r="B1191" s="6" t="s">
        <v>341</v>
      </c>
      <c r="C1191" s="6" t="n">
        <v>46</v>
      </c>
      <c r="D1191" s="25" t="n">
        <f aca="false">EDATE('Start Here'!$B$6,C1191-1)</f>
        <v>47696</v>
      </c>
      <c r="E1191" s="23" t="n">
        <f aca="false">IF(AND(C1191&gt;=Staffing!$F$25,C1191&lt;=Staffing!$G$25,1=1),IF(C1191&lt;=6,Staffing!$H$25,IF(C1191&lt;=15,Staffing!$I$25,IF(C1191&lt;=30,Staffing!$J$25,Staffing!$K$25))),0)</f>
        <v>0</v>
      </c>
      <c r="F1191" s="10" t="n">
        <f aca="false">E1191*Staffing!$L$25/12*(1+Assumptions!$D$10)^INT((C1191-1)/12)*1</f>
        <v>0</v>
      </c>
      <c r="G1191" s="10" t="n">
        <f aca="false">F1191*Staffing!$N$25</f>
        <v>0</v>
      </c>
      <c r="H1191" s="10" t="n">
        <f aca="false">F1191+G1191</f>
        <v>0</v>
      </c>
      <c r="I1191" s="10" t="n">
        <f aca="false">0</f>
        <v>0</v>
      </c>
      <c r="J1191" s="10" t="n">
        <f aca="false">MAX(0,E1191-E1190)*Staffing!$O$25</f>
        <v>0</v>
      </c>
      <c r="K1191" s="10" t="n">
        <f aca="false">MAX(0,E1191-E1190)*Staffing!$P$25</f>
        <v>0</v>
      </c>
      <c r="L1191" s="23" t="n">
        <f aca="false">ROUNDUP(E1191,0)</f>
        <v>0</v>
      </c>
    </row>
    <row r="1192" customFormat="false" ht="15" hidden="false" customHeight="false" outlineLevel="0" collapsed="false">
      <c r="A1192" s="6" t="s">
        <v>4</v>
      </c>
      <c r="B1192" s="6" t="s">
        <v>341</v>
      </c>
      <c r="C1192" s="6" t="n">
        <v>47</v>
      </c>
      <c r="D1192" s="25" t="n">
        <f aca="false">EDATE('Start Here'!$B$6,C1192-1)</f>
        <v>47727</v>
      </c>
      <c r="E1192" s="23" t="n">
        <f aca="false">IF(AND(C1192&gt;=Staffing!$F$25,C1192&lt;=Staffing!$G$25,1=1),IF(C1192&lt;=6,Staffing!$H$25,IF(C1192&lt;=15,Staffing!$I$25,IF(C1192&lt;=30,Staffing!$J$25,Staffing!$K$25))),0)</f>
        <v>0</v>
      </c>
      <c r="F1192" s="10" t="n">
        <f aca="false">E1192*Staffing!$L$25/12*(1+Assumptions!$D$10)^INT((C1192-1)/12)*1</f>
        <v>0</v>
      </c>
      <c r="G1192" s="10" t="n">
        <f aca="false">F1192*Staffing!$N$25</f>
        <v>0</v>
      </c>
      <c r="H1192" s="10" t="n">
        <f aca="false">F1192+G1192</f>
        <v>0</v>
      </c>
      <c r="I1192" s="10" t="n">
        <f aca="false">0</f>
        <v>0</v>
      </c>
      <c r="J1192" s="10" t="n">
        <f aca="false">MAX(0,E1192-E1191)*Staffing!$O$25</f>
        <v>0</v>
      </c>
      <c r="K1192" s="10" t="n">
        <f aca="false">MAX(0,E1192-E1191)*Staffing!$P$25</f>
        <v>0</v>
      </c>
      <c r="L1192" s="23" t="n">
        <f aca="false">ROUNDUP(E1192,0)</f>
        <v>0</v>
      </c>
    </row>
    <row r="1193" customFormat="false" ht="15" hidden="false" customHeight="false" outlineLevel="0" collapsed="false">
      <c r="A1193" s="6" t="s">
        <v>4</v>
      </c>
      <c r="B1193" s="6" t="s">
        <v>341</v>
      </c>
      <c r="C1193" s="6" t="n">
        <v>48</v>
      </c>
      <c r="D1193" s="25" t="n">
        <f aca="false">EDATE('Start Here'!$B$6,C1193-1)</f>
        <v>47757</v>
      </c>
      <c r="E1193" s="23" t="n">
        <f aca="false">IF(AND(C1193&gt;=Staffing!$F$25,C1193&lt;=Staffing!$G$25,1=1),IF(C1193&lt;=6,Staffing!$H$25,IF(C1193&lt;=15,Staffing!$I$25,IF(C1193&lt;=30,Staffing!$J$25,Staffing!$K$25))),0)</f>
        <v>0</v>
      </c>
      <c r="F1193" s="10" t="n">
        <f aca="false">E1193*Staffing!$L$25/12*(1+Assumptions!$D$10)^INT((C1193-1)/12)*1</f>
        <v>0</v>
      </c>
      <c r="G1193" s="10" t="n">
        <f aca="false">F1193*Staffing!$N$25</f>
        <v>0</v>
      </c>
      <c r="H1193" s="10" t="n">
        <f aca="false">F1193+G1193</f>
        <v>0</v>
      </c>
      <c r="I1193" s="10" t="n">
        <f aca="false">0</f>
        <v>0</v>
      </c>
      <c r="J1193" s="10" t="n">
        <f aca="false">MAX(0,E1193-E1192)*Staffing!$O$25</f>
        <v>0</v>
      </c>
      <c r="K1193" s="10" t="n">
        <f aca="false">MAX(0,E1193-E1192)*Staffing!$P$25</f>
        <v>0</v>
      </c>
      <c r="L1193" s="23" t="n">
        <f aca="false">ROUNDUP(E1193,0)</f>
        <v>0</v>
      </c>
    </row>
    <row r="1194" customFormat="false" ht="15" hidden="false" customHeight="false" outlineLevel="0" collapsed="false">
      <c r="A1194" s="6" t="s">
        <v>4</v>
      </c>
      <c r="B1194" s="6" t="s">
        <v>341</v>
      </c>
      <c r="C1194" s="6" t="n">
        <v>49</v>
      </c>
      <c r="D1194" s="25" t="n">
        <f aca="false">EDATE('Start Here'!$B$6,C1194-1)</f>
        <v>47788</v>
      </c>
      <c r="E1194" s="23" t="n">
        <f aca="false">IF(AND(C1194&gt;=Staffing!$F$25,C1194&lt;=Staffing!$G$25,1=1),IF(C1194&lt;=6,Staffing!$H$25,IF(C1194&lt;=15,Staffing!$I$25,IF(C1194&lt;=30,Staffing!$J$25,Staffing!$K$25))),0)</f>
        <v>0</v>
      </c>
      <c r="F1194" s="10" t="n">
        <f aca="false">E1194*Staffing!$L$25/12*(1+Assumptions!$D$10)^INT((C1194-1)/12)*1</f>
        <v>0</v>
      </c>
      <c r="G1194" s="10" t="n">
        <f aca="false">F1194*Staffing!$N$25</f>
        <v>0</v>
      </c>
      <c r="H1194" s="10" t="n">
        <f aca="false">F1194+G1194</f>
        <v>0</v>
      </c>
      <c r="I1194" s="10" t="n">
        <f aca="false">0</f>
        <v>0</v>
      </c>
      <c r="J1194" s="10" t="n">
        <f aca="false">MAX(0,E1194-E1193)*Staffing!$O$25</f>
        <v>0</v>
      </c>
      <c r="K1194" s="10" t="n">
        <f aca="false">MAX(0,E1194-E1193)*Staffing!$P$25</f>
        <v>0</v>
      </c>
      <c r="L1194" s="23" t="n">
        <f aca="false">ROUNDUP(E1194,0)</f>
        <v>0</v>
      </c>
    </row>
    <row r="1195" customFormat="false" ht="15" hidden="false" customHeight="false" outlineLevel="0" collapsed="false">
      <c r="A1195" s="6" t="s">
        <v>4</v>
      </c>
      <c r="B1195" s="6" t="s">
        <v>341</v>
      </c>
      <c r="C1195" s="6" t="n">
        <v>50</v>
      </c>
      <c r="D1195" s="25" t="n">
        <f aca="false">EDATE('Start Here'!$B$6,C1195-1)</f>
        <v>47818</v>
      </c>
      <c r="E1195" s="23" t="n">
        <f aca="false">IF(AND(C1195&gt;=Staffing!$F$25,C1195&lt;=Staffing!$G$25,1=1),IF(C1195&lt;=6,Staffing!$H$25,IF(C1195&lt;=15,Staffing!$I$25,IF(C1195&lt;=30,Staffing!$J$25,Staffing!$K$25))),0)</f>
        <v>0</v>
      </c>
      <c r="F1195" s="10" t="n">
        <f aca="false">E1195*Staffing!$L$25/12*(1+Assumptions!$D$10)^INT((C1195-1)/12)*1</f>
        <v>0</v>
      </c>
      <c r="G1195" s="10" t="n">
        <f aca="false">F1195*Staffing!$N$25</f>
        <v>0</v>
      </c>
      <c r="H1195" s="10" t="n">
        <f aca="false">F1195+G1195</f>
        <v>0</v>
      </c>
      <c r="I1195" s="10" t="n">
        <f aca="false">0</f>
        <v>0</v>
      </c>
      <c r="J1195" s="10" t="n">
        <f aca="false">MAX(0,E1195-E1194)*Staffing!$O$25</f>
        <v>0</v>
      </c>
      <c r="K1195" s="10" t="n">
        <f aca="false">MAX(0,E1195-E1194)*Staffing!$P$25</f>
        <v>0</v>
      </c>
      <c r="L1195" s="23" t="n">
        <f aca="false">ROUNDUP(E1195,0)</f>
        <v>0</v>
      </c>
    </row>
    <row r="1196" customFormat="false" ht="15" hidden="false" customHeight="false" outlineLevel="0" collapsed="false">
      <c r="A1196" s="6" t="s">
        <v>4</v>
      </c>
      <c r="B1196" s="6" t="s">
        <v>341</v>
      </c>
      <c r="C1196" s="6" t="n">
        <v>51</v>
      </c>
      <c r="D1196" s="25" t="n">
        <f aca="false">EDATE('Start Here'!$B$6,C1196-1)</f>
        <v>47849</v>
      </c>
      <c r="E1196" s="23" t="n">
        <f aca="false">IF(AND(C1196&gt;=Staffing!$F$25,C1196&lt;=Staffing!$G$25,1=1),IF(C1196&lt;=6,Staffing!$H$25,IF(C1196&lt;=15,Staffing!$I$25,IF(C1196&lt;=30,Staffing!$J$25,Staffing!$K$25))),0)</f>
        <v>0</v>
      </c>
      <c r="F1196" s="10" t="n">
        <f aca="false">E1196*Staffing!$L$25/12*(1+Assumptions!$D$10)^INT((C1196-1)/12)*1</f>
        <v>0</v>
      </c>
      <c r="G1196" s="10" t="n">
        <f aca="false">F1196*Staffing!$N$25</f>
        <v>0</v>
      </c>
      <c r="H1196" s="10" t="n">
        <f aca="false">F1196+G1196</f>
        <v>0</v>
      </c>
      <c r="I1196" s="10" t="n">
        <f aca="false">0</f>
        <v>0</v>
      </c>
      <c r="J1196" s="10" t="n">
        <f aca="false">MAX(0,E1196-E1195)*Staffing!$O$25</f>
        <v>0</v>
      </c>
      <c r="K1196" s="10" t="n">
        <f aca="false">MAX(0,E1196-E1195)*Staffing!$P$25</f>
        <v>0</v>
      </c>
      <c r="L1196" s="23" t="n">
        <f aca="false">ROUNDUP(E1196,0)</f>
        <v>0</v>
      </c>
    </row>
    <row r="1197" customFormat="false" ht="15" hidden="false" customHeight="false" outlineLevel="0" collapsed="false">
      <c r="A1197" s="6" t="s">
        <v>4</v>
      </c>
      <c r="B1197" s="6" t="s">
        <v>341</v>
      </c>
      <c r="C1197" s="6" t="n">
        <v>52</v>
      </c>
      <c r="D1197" s="25" t="n">
        <f aca="false">EDATE('Start Here'!$B$6,C1197-1)</f>
        <v>47880</v>
      </c>
      <c r="E1197" s="23" t="n">
        <f aca="false">IF(AND(C1197&gt;=Staffing!$F$25,C1197&lt;=Staffing!$G$25,1=1),IF(C1197&lt;=6,Staffing!$H$25,IF(C1197&lt;=15,Staffing!$I$25,IF(C1197&lt;=30,Staffing!$J$25,Staffing!$K$25))),0)</f>
        <v>0</v>
      </c>
      <c r="F1197" s="10" t="n">
        <f aca="false">E1197*Staffing!$L$25/12*(1+Assumptions!$D$10)^INT((C1197-1)/12)*1</f>
        <v>0</v>
      </c>
      <c r="G1197" s="10" t="n">
        <f aca="false">F1197*Staffing!$N$25</f>
        <v>0</v>
      </c>
      <c r="H1197" s="10" t="n">
        <f aca="false">F1197+G1197</f>
        <v>0</v>
      </c>
      <c r="I1197" s="10" t="n">
        <f aca="false">0</f>
        <v>0</v>
      </c>
      <c r="J1197" s="10" t="n">
        <f aca="false">MAX(0,E1197-E1196)*Staffing!$O$25</f>
        <v>0</v>
      </c>
      <c r="K1197" s="10" t="n">
        <f aca="false">MAX(0,E1197-E1196)*Staffing!$P$25</f>
        <v>0</v>
      </c>
      <c r="L1197" s="23" t="n">
        <f aca="false">ROUNDUP(E1197,0)</f>
        <v>0</v>
      </c>
    </row>
    <row r="1198" customFormat="false" ht="15" hidden="false" customHeight="false" outlineLevel="0" collapsed="false">
      <c r="A1198" s="6" t="s">
        <v>4</v>
      </c>
      <c r="B1198" s="6" t="s">
        <v>341</v>
      </c>
      <c r="C1198" s="6" t="n">
        <v>53</v>
      </c>
      <c r="D1198" s="25" t="n">
        <f aca="false">EDATE('Start Here'!$B$6,C1198-1)</f>
        <v>47908</v>
      </c>
      <c r="E1198" s="23" t="n">
        <f aca="false">IF(AND(C1198&gt;=Staffing!$F$25,C1198&lt;=Staffing!$G$25,1=1),IF(C1198&lt;=6,Staffing!$H$25,IF(C1198&lt;=15,Staffing!$I$25,IF(C1198&lt;=30,Staffing!$J$25,Staffing!$K$25))),0)</f>
        <v>0</v>
      </c>
      <c r="F1198" s="10" t="n">
        <f aca="false">E1198*Staffing!$L$25/12*(1+Assumptions!$D$10)^INT((C1198-1)/12)*1</f>
        <v>0</v>
      </c>
      <c r="G1198" s="10" t="n">
        <f aca="false">F1198*Staffing!$N$25</f>
        <v>0</v>
      </c>
      <c r="H1198" s="10" t="n">
        <f aca="false">F1198+G1198</f>
        <v>0</v>
      </c>
      <c r="I1198" s="10" t="n">
        <f aca="false">0</f>
        <v>0</v>
      </c>
      <c r="J1198" s="10" t="n">
        <f aca="false">MAX(0,E1198-E1197)*Staffing!$O$25</f>
        <v>0</v>
      </c>
      <c r="K1198" s="10" t="n">
        <f aca="false">MAX(0,E1198-E1197)*Staffing!$P$25</f>
        <v>0</v>
      </c>
      <c r="L1198" s="23" t="n">
        <f aca="false">ROUNDUP(E1198,0)</f>
        <v>0</v>
      </c>
    </row>
    <row r="1199" customFormat="false" ht="15" hidden="false" customHeight="false" outlineLevel="0" collapsed="false">
      <c r="A1199" s="6" t="s">
        <v>4</v>
      </c>
      <c r="B1199" s="6" t="s">
        <v>341</v>
      </c>
      <c r="C1199" s="6" t="n">
        <v>54</v>
      </c>
      <c r="D1199" s="25" t="n">
        <f aca="false">EDATE('Start Here'!$B$6,C1199-1)</f>
        <v>47939</v>
      </c>
      <c r="E1199" s="23" t="n">
        <f aca="false">IF(AND(C1199&gt;=Staffing!$F$25,C1199&lt;=Staffing!$G$25,1=1),IF(C1199&lt;=6,Staffing!$H$25,IF(C1199&lt;=15,Staffing!$I$25,IF(C1199&lt;=30,Staffing!$J$25,Staffing!$K$25))),0)</f>
        <v>0</v>
      </c>
      <c r="F1199" s="10" t="n">
        <f aca="false">E1199*Staffing!$L$25/12*(1+Assumptions!$D$10)^INT((C1199-1)/12)*1</f>
        <v>0</v>
      </c>
      <c r="G1199" s="10" t="n">
        <f aca="false">F1199*Staffing!$N$25</f>
        <v>0</v>
      </c>
      <c r="H1199" s="10" t="n">
        <f aca="false">F1199+G1199</f>
        <v>0</v>
      </c>
      <c r="I1199" s="10" t="n">
        <f aca="false">0</f>
        <v>0</v>
      </c>
      <c r="J1199" s="10" t="n">
        <f aca="false">MAX(0,E1199-E1198)*Staffing!$O$25</f>
        <v>0</v>
      </c>
      <c r="K1199" s="10" t="n">
        <f aca="false">MAX(0,E1199-E1198)*Staffing!$P$25</f>
        <v>0</v>
      </c>
      <c r="L1199" s="23" t="n">
        <f aca="false">ROUNDUP(E1199,0)</f>
        <v>0</v>
      </c>
    </row>
    <row r="1200" customFormat="false" ht="15" hidden="false" customHeight="false" outlineLevel="0" collapsed="false">
      <c r="A1200" s="6" t="s">
        <v>4</v>
      </c>
      <c r="B1200" s="6" t="s">
        <v>341</v>
      </c>
      <c r="C1200" s="6" t="n">
        <v>55</v>
      </c>
      <c r="D1200" s="25" t="n">
        <f aca="false">EDATE('Start Here'!$B$6,C1200-1)</f>
        <v>47969</v>
      </c>
      <c r="E1200" s="23" t="n">
        <f aca="false">IF(AND(C1200&gt;=Staffing!$F$25,C1200&lt;=Staffing!$G$25,1=1),IF(C1200&lt;=6,Staffing!$H$25,IF(C1200&lt;=15,Staffing!$I$25,IF(C1200&lt;=30,Staffing!$J$25,Staffing!$K$25))),0)</f>
        <v>0</v>
      </c>
      <c r="F1200" s="10" t="n">
        <f aca="false">E1200*Staffing!$L$25/12*(1+Assumptions!$D$10)^INT((C1200-1)/12)*1</f>
        <v>0</v>
      </c>
      <c r="G1200" s="10" t="n">
        <f aca="false">F1200*Staffing!$N$25</f>
        <v>0</v>
      </c>
      <c r="H1200" s="10" t="n">
        <f aca="false">F1200+G1200</f>
        <v>0</v>
      </c>
      <c r="I1200" s="10" t="n">
        <f aca="false">0</f>
        <v>0</v>
      </c>
      <c r="J1200" s="10" t="n">
        <f aca="false">MAX(0,E1200-E1199)*Staffing!$O$25</f>
        <v>0</v>
      </c>
      <c r="K1200" s="10" t="n">
        <f aca="false">MAX(0,E1200-E1199)*Staffing!$P$25</f>
        <v>0</v>
      </c>
      <c r="L1200" s="23" t="n">
        <f aca="false">ROUNDUP(E1200,0)</f>
        <v>0</v>
      </c>
    </row>
    <row r="1201" customFormat="false" ht="15" hidden="false" customHeight="false" outlineLevel="0" collapsed="false">
      <c r="A1201" s="6" t="s">
        <v>4</v>
      </c>
      <c r="B1201" s="6" t="s">
        <v>341</v>
      </c>
      <c r="C1201" s="6" t="n">
        <v>56</v>
      </c>
      <c r="D1201" s="25" t="n">
        <f aca="false">EDATE('Start Here'!$B$6,C1201-1)</f>
        <v>48000</v>
      </c>
      <c r="E1201" s="23" t="n">
        <f aca="false">IF(AND(C1201&gt;=Staffing!$F$25,C1201&lt;=Staffing!$G$25,1=1),IF(C1201&lt;=6,Staffing!$H$25,IF(C1201&lt;=15,Staffing!$I$25,IF(C1201&lt;=30,Staffing!$J$25,Staffing!$K$25))),0)</f>
        <v>0</v>
      </c>
      <c r="F1201" s="10" t="n">
        <f aca="false">E1201*Staffing!$L$25/12*(1+Assumptions!$D$10)^INT((C1201-1)/12)*1</f>
        <v>0</v>
      </c>
      <c r="G1201" s="10" t="n">
        <f aca="false">F1201*Staffing!$N$25</f>
        <v>0</v>
      </c>
      <c r="H1201" s="10" t="n">
        <f aca="false">F1201+G1201</f>
        <v>0</v>
      </c>
      <c r="I1201" s="10" t="n">
        <f aca="false">0</f>
        <v>0</v>
      </c>
      <c r="J1201" s="10" t="n">
        <f aca="false">MAX(0,E1201-E1200)*Staffing!$O$25</f>
        <v>0</v>
      </c>
      <c r="K1201" s="10" t="n">
        <f aca="false">MAX(0,E1201-E1200)*Staffing!$P$25</f>
        <v>0</v>
      </c>
      <c r="L1201" s="23" t="n">
        <f aca="false">ROUNDUP(E1201,0)</f>
        <v>0</v>
      </c>
    </row>
    <row r="1202" customFormat="false" ht="15" hidden="false" customHeight="false" outlineLevel="0" collapsed="false">
      <c r="A1202" s="6" t="s">
        <v>4</v>
      </c>
      <c r="B1202" s="6" t="s">
        <v>341</v>
      </c>
      <c r="C1202" s="6" t="n">
        <v>57</v>
      </c>
      <c r="D1202" s="25" t="n">
        <f aca="false">EDATE('Start Here'!$B$6,C1202-1)</f>
        <v>48030</v>
      </c>
      <c r="E1202" s="23" t="n">
        <f aca="false">IF(AND(C1202&gt;=Staffing!$F$25,C1202&lt;=Staffing!$G$25,1=1),IF(C1202&lt;=6,Staffing!$H$25,IF(C1202&lt;=15,Staffing!$I$25,IF(C1202&lt;=30,Staffing!$J$25,Staffing!$K$25))),0)</f>
        <v>0</v>
      </c>
      <c r="F1202" s="10" t="n">
        <f aca="false">E1202*Staffing!$L$25/12*(1+Assumptions!$D$10)^INT((C1202-1)/12)*1</f>
        <v>0</v>
      </c>
      <c r="G1202" s="10" t="n">
        <f aca="false">F1202*Staffing!$N$25</f>
        <v>0</v>
      </c>
      <c r="H1202" s="10" t="n">
        <f aca="false">F1202+G1202</f>
        <v>0</v>
      </c>
      <c r="I1202" s="10" t="n">
        <f aca="false">0</f>
        <v>0</v>
      </c>
      <c r="J1202" s="10" t="n">
        <f aca="false">MAX(0,E1202-E1201)*Staffing!$O$25</f>
        <v>0</v>
      </c>
      <c r="K1202" s="10" t="n">
        <f aca="false">MAX(0,E1202-E1201)*Staffing!$P$25</f>
        <v>0</v>
      </c>
      <c r="L1202" s="23" t="n">
        <f aca="false">ROUNDUP(E1202,0)</f>
        <v>0</v>
      </c>
    </row>
    <row r="1203" customFormat="false" ht="15" hidden="false" customHeight="false" outlineLevel="0" collapsed="false">
      <c r="A1203" s="6" t="s">
        <v>4</v>
      </c>
      <c r="B1203" s="6" t="s">
        <v>341</v>
      </c>
      <c r="C1203" s="6" t="n">
        <v>58</v>
      </c>
      <c r="D1203" s="25" t="n">
        <f aca="false">EDATE('Start Here'!$B$6,C1203-1)</f>
        <v>48061</v>
      </c>
      <c r="E1203" s="23" t="n">
        <f aca="false">IF(AND(C1203&gt;=Staffing!$F$25,C1203&lt;=Staffing!$G$25,1=1),IF(C1203&lt;=6,Staffing!$H$25,IF(C1203&lt;=15,Staffing!$I$25,IF(C1203&lt;=30,Staffing!$J$25,Staffing!$K$25))),0)</f>
        <v>0</v>
      </c>
      <c r="F1203" s="10" t="n">
        <f aca="false">E1203*Staffing!$L$25/12*(1+Assumptions!$D$10)^INT((C1203-1)/12)*1</f>
        <v>0</v>
      </c>
      <c r="G1203" s="10" t="n">
        <f aca="false">F1203*Staffing!$N$25</f>
        <v>0</v>
      </c>
      <c r="H1203" s="10" t="n">
        <f aca="false">F1203+G1203</f>
        <v>0</v>
      </c>
      <c r="I1203" s="10" t="n">
        <f aca="false">0</f>
        <v>0</v>
      </c>
      <c r="J1203" s="10" t="n">
        <f aca="false">MAX(0,E1203-E1202)*Staffing!$O$25</f>
        <v>0</v>
      </c>
      <c r="K1203" s="10" t="n">
        <f aca="false">MAX(0,E1203-E1202)*Staffing!$P$25</f>
        <v>0</v>
      </c>
      <c r="L1203" s="23" t="n">
        <f aca="false">ROUNDUP(E1203,0)</f>
        <v>0</v>
      </c>
    </row>
    <row r="1204" customFormat="false" ht="15" hidden="false" customHeight="false" outlineLevel="0" collapsed="false">
      <c r="A1204" s="6" t="s">
        <v>4</v>
      </c>
      <c r="B1204" s="6" t="s">
        <v>341</v>
      </c>
      <c r="C1204" s="6" t="n">
        <v>59</v>
      </c>
      <c r="D1204" s="25" t="n">
        <f aca="false">EDATE('Start Here'!$B$6,C1204-1)</f>
        <v>48092</v>
      </c>
      <c r="E1204" s="23" t="n">
        <f aca="false">IF(AND(C1204&gt;=Staffing!$F$25,C1204&lt;=Staffing!$G$25,1=1),IF(C1204&lt;=6,Staffing!$H$25,IF(C1204&lt;=15,Staffing!$I$25,IF(C1204&lt;=30,Staffing!$J$25,Staffing!$K$25))),0)</f>
        <v>0</v>
      </c>
      <c r="F1204" s="10" t="n">
        <f aca="false">E1204*Staffing!$L$25/12*(1+Assumptions!$D$10)^INT((C1204-1)/12)*1</f>
        <v>0</v>
      </c>
      <c r="G1204" s="10" t="n">
        <f aca="false">F1204*Staffing!$N$25</f>
        <v>0</v>
      </c>
      <c r="H1204" s="10" t="n">
        <f aca="false">F1204+G1204</f>
        <v>0</v>
      </c>
      <c r="I1204" s="10" t="n">
        <f aca="false">0</f>
        <v>0</v>
      </c>
      <c r="J1204" s="10" t="n">
        <f aca="false">MAX(0,E1204-E1203)*Staffing!$O$25</f>
        <v>0</v>
      </c>
      <c r="K1204" s="10" t="n">
        <f aca="false">MAX(0,E1204-E1203)*Staffing!$P$25</f>
        <v>0</v>
      </c>
      <c r="L1204" s="23" t="n">
        <f aca="false">ROUNDUP(E1204,0)</f>
        <v>0</v>
      </c>
    </row>
    <row r="1205" customFormat="false" ht="15" hidden="false" customHeight="false" outlineLevel="0" collapsed="false">
      <c r="A1205" s="6" t="s">
        <v>4</v>
      </c>
      <c r="B1205" s="6" t="s">
        <v>341</v>
      </c>
      <c r="C1205" s="6" t="n">
        <v>60</v>
      </c>
      <c r="D1205" s="25" t="n">
        <f aca="false">EDATE('Start Here'!$B$6,C1205-1)</f>
        <v>48122</v>
      </c>
      <c r="E1205" s="23" t="n">
        <f aca="false">IF(AND(C1205&gt;=Staffing!$F$25,C1205&lt;=Staffing!$G$25,1=1),IF(C1205&lt;=6,Staffing!$H$25,IF(C1205&lt;=15,Staffing!$I$25,IF(C1205&lt;=30,Staffing!$J$25,Staffing!$K$25))),0)</f>
        <v>0</v>
      </c>
      <c r="F1205" s="10" t="n">
        <f aca="false">E1205*Staffing!$L$25/12*(1+Assumptions!$D$10)^INT((C1205-1)/12)*1</f>
        <v>0</v>
      </c>
      <c r="G1205" s="10" t="n">
        <f aca="false">F1205*Staffing!$N$25</f>
        <v>0</v>
      </c>
      <c r="H1205" s="10" t="n">
        <f aca="false">F1205+G1205</f>
        <v>0</v>
      </c>
      <c r="I1205" s="10" t="n">
        <f aca="false">0</f>
        <v>0</v>
      </c>
      <c r="J1205" s="10" t="n">
        <f aca="false">MAX(0,E1205-E1204)*Staffing!$O$25</f>
        <v>0</v>
      </c>
      <c r="K1205" s="10" t="n">
        <f aca="false">MAX(0,E1205-E1204)*Staffing!$P$25</f>
        <v>0</v>
      </c>
      <c r="L1205" s="23" t="n">
        <f aca="false">ROUNDUP(E1205,0)</f>
        <v>0</v>
      </c>
    </row>
    <row r="1206" customFormat="false" ht="15" hidden="false" customHeight="false" outlineLevel="0" collapsed="false">
      <c r="A1206" s="6" t="s">
        <v>4</v>
      </c>
      <c r="B1206" s="6" t="s">
        <v>343</v>
      </c>
      <c r="C1206" s="6" t="n">
        <v>1</v>
      </c>
      <c r="D1206" s="25" t="n">
        <f aca="false">EDATE('Start Here'!$B$6,C1206-1)</f>
        <v>46327</v>
      </c>
      <c r="E1206" s="23" t="n">
        <f aca="false">IF(AND(C1206&gt;=Staffing!$F$26,C1206&lt;=Staffing!$G$26,1=1),IF(C1206&lt;=6,Staffing!$H$26,IF(C1206&lt;=15,Staffing!$I$26,IF(C1206&lt;=30,Staffing!$J$26,Staffing!$K$26))),0)</f>
        <v>0</v>
      </c>
      <c r="F1206" s="10" t="n">
        <f aca="false">E1206*Staffing!$L$26/12*(1+Assumptions!$D$10)^INT((C1206-1)/12)*1</f>
        <v>0</v>
      </c>
      <c r="G1206" s="10" t="n">
        <f aca="false">F1206*Staffing!$N$26</f>
        <v>0</v>
      </c>
      <c r="H1206" s="10" t="n">
        <f aca="false">F1206+G1206</f>
        <v>0</v>
      </c>
      <c r="I1206" s="10" t="n">
        <f aca="false">0</f>
        <v>0</v>
      </c>
      <c r="J1206" s="10" t="n">
        <f aca="false">MAX(0,E1206-0)*Staffing!$O$26</f>
        <v>0</v>
      </c>
      <c r="K1206" s="10" t="n">
        <f aca="false">MAX(0,E1206-0)*Staffing!$P$26</f>
        <v>0</v>
      </c>
      <c r="L1206" s="23" t="n">
        <f aca="false">ROUNDUP(E1206,0)</f>
        <v>0</v>
      </c>
    </row>
    <row r="1207" customFormat="false" ht="15" hidden="false" customHeight="false" outlineLevel="0" collapsed="false">
      <c r="A1207" s="6" t="s">
        <v>4</v>
      </c>
      <c r="B1207" s="6" t="s">
        <v>343</v>
      </c>
      <c r="C1207" s="6" t="n">
        <v>2</v>
      </c>
      <c r="D1207" s="25" t="n">
        <f aca="false">EDATE('Start Here'!$B$6,C1207-1)</f>
        <v>46357</v>
      </c>
      <c r="E1207" s="11" t="n">
        <f aca="false">IF(AND(C1207&gt;=Staffing!$F$26,C1207&lt;=Staffing!$G$26,1=1),IF(C1207&lt;=6,Staffing!$H$26,IF(C1207&lt;=15,Staffing!$I$26,IF(C1207&lt;=30,Staffing!$J$26,Staffing!$K$26))),0)</f>
        <v>0.15</v>
      </c>
      <c r="F1207" s="10" t="n">
        <f aca="false">E1207*Staffing!$L$26/12*(1+Assumptions!$D$10)^INT((C1207-1)/12)*1</f>
        <v>2500</v>
      </c>
      <c r="G1207" s="10" t="n">
        <f aca="false">F1207*Staffing!$N$26</f>
        <v>0</v>
      </c>
      <c r="H1207" s="10" t="n">
        <f aca="false">F1207+G1207</f>
        <v>2500</v>
      </c>
      <c r="I1207" s="10" t="n">
        <f aca="false">0</f>
        <v>0</v>
      </c>
      <c r="J1207" s="10" t="n">
        <f aca="false">MAX(0,E1207-E1206)*Staffing!$O$26</f>
        <v>0</v>
      </c>
      <c r="K1207" s="10" t="n">
        <f aca="false">MAX(0,E1207-E1206)*Staffing!$P$26</f>
        <v>450</v>
      </c>
      <c r="L1207" s="23" t="n">
        <f aca="false">ROUNDUP(E1207,0)</f>
        <v>1</v>
      </c>
    </row>
    <row r="1208" customFormat="false" ht="15" hidden="false" customHeight="false" outlineLevel="0" collapsed="false">
      <c r="A1208" s="6" t="s">
        <v>4</v>
      </c>
      <c r="B1208" s="6" t="s">
        <v>343</v>
      </c>
      <c r="C1208" s="6" t="n">
        <v>3</v>
      </c>
      <c r="D1208" s="25" t="n">
        <f aca="false">EDATE('Start Here'!$B$6,C1208-1)</f>
        <v>46388</v>
      </c>
      <c r="E1208" s="11" t="n">
        <f aca="false">IF(AND(C1208&gt;=Staffing!$F$26,C1208&lt;=Staffing!$G$26,1=1),IF(C1208&lt;=6,Staffing!$H$26,IF(C1208&lt;=15,Staffing!$I$26,IF(C1208&lt;=30,Staffing!$J$26,Staffing!$K$26))),0)</f>
        <v>0.15</v>
      </c>
      <c r="F1208" s="10" t="n">
        <f aca="false">E1208*Staffing!$L$26/12*(1+Assumptions!$D$10)^INT((C1208-1)/12)*1</f>
        <v>2500</v>
      </c>
      <c r="G1208" s="10" t="n">
        <f aca="false">F1208*Staffing!$N$26</f>
        <v>0</v>
      </c>
      <c r="H1208" s="10" t="n">
        <f aca="false">F1208+G1208</f>
        <v>2500</v>
      </c>
      <c r="I1208" s="10" t="n">
        <f aca="false">0</f>
        <v>0</v>
      </c>
      <c r="J1208" s="10" t="n">
        <f aca="false">MAX(0,E1208-E1207)*Staffing!$O$26</f>
        <v>0</v>
      </c>
      <c r="K1208" s="10" t="n">
        <f aca="false">MAX(0,E1208-E1207)*Staffing!$P$26</f>
        <v>0</v>
      </c>
      <c r="L1208" s="23" t="n">
        <f aca="false">ROUNDUP(E1208,0)</f>
        <v>1</v>
      </c>
    </row>
    <row r="1209" customFormat="false" ht="15" hidden="false" customHeight="false" outlineLevel="0" collapsed="false">
      <c r="A1209" s="6" t="s">
        <v>4</v>
      </c>
      <c r="B1209" s="6" t="s">
        <v>343</v>
      </c>
      <c r="C1209" s="6" t="n">
        <v>4</v>
      </c>
      <c r="D1209" s="25" t="n">
        <f aca="false">EDATE('Start Here'!$B$6,C1209-1)</f>
        <v>46419</v>
      </c>
      <c r="E1209" s="11" t="n">
        <f aca="false">IF(AND(C1209&gt;=Staffing!$F$26,C1209&lt;=Staffing!$G$26,1=1),IF(C1209&lt;=6,Staffing!$H$26,IF(C1209&lt;=15,Staffing!$I$26,IF(C1209&lt;=30,Staffing!$J$26,Staffing!$K$26))),0)</f>
        <v>0.15</v>
      </c>
      <c r="F1209" s="10" t="n">
        <f aca="false">E1209*Staffing!$L$26/12*(1+Assumptions!$D$10)^INT((C1209-1)/12)*1</f>
        <v>2500</v>
      </c>
      <c r="G1209" s="10" t="n">
        <f aca="false">F1209*Staffing!$N$26</f>
        <v>0</v>
      </c>
      <c r="H1209" s="10" t="n">
        <f aca="false">F1209+G1209</f>
        <v>2500</v>
      </c>
      <c r="I1209" s="10" t="n">
        <f aca="false">0</f>
        <v>0</v>
      </c>
      <c r="J1209" s="10" t="n">
        <f aca="false">MAX(0,E1209-E1208)*Staffing!$O$26</f>
        <v>0</v>
      </c>
      <c r="K1209" s="10" t="n">
        <f aca="false">MAX(0,E1209-E1208)*Staffing!$P$26</f>
        <v>0</v>
      </c>
      <c r="L1209" s="23" t="n">
        <f aca="false">ROUNDUP(E1209,0)</f>
        <v>1</v>
      </c>
    </row>
    <row r="1210" customFormat="false" ht="15" hidden="false" customHeight="false" outlineLevel="0" collapsed="false">
      <c r="A1210" s="6" t="s">
        <v>4</v>
      </c>
      <c r="B1210" s="6" t="s">
        <v>343</v>
      </c>
      <c r="C1210" s="6" t="n">
        <v>5</v>
      </c>
      <c r="D1210" s="25" t="n">
        <f aca="false">EDATE('Start Here'!$B$6,C1210-1)</f>
        <v>46447</v>
      </c>
      <c r="E1210" s="11" t="n">
        <f aca="false">IF(AND(C1210&gt;=Staffing!$F$26,C1210&lt;=Staffing!$G$26,1=1),IF(C1210&lt;=6,Staffing!$H$26,IF(C1210&lt;=15,Staffing!$I$26,IF(C1210&lt;=30,Staffing!$J$26,Staffing!$K$26))),0)</f>
        <v>0.15</v>
      </c>
      <c r="F1210" s="10" t="n">
        <f aca="false">E1210*Staffing!$L$26/12*(1+Assumptions!$D$10)^INT((C1210-1)/12)*1</f>
        <v>2500</v>
      </c>
      <c r="G1210" s="10" t="n">
        <f aca="false">F1210*Staffing!$N$26</f>
        <v>0</v>
      </c>
      <c r="H1210" s="10" t="n">
        <f aca="false">F1210+G1210</f>
        <v>2500</v>
      </c>
      <c r="I1210" s="10" t="n">
        <f aca="false">0</f>
        <v>0</v>
      </c>
      <c r="J1210" s="10" t="n">
        <f aca="false">MAX(0,E1210-E1209)*Staffing!$O$26</f>
        <v>0</v>
      </c>
      <c r="K1210" s="10" t="n">
        <f aca="false">MAX(0,E1210-E1209)*Staffing!$P$26</f>
        <v>0</v>
      </c>
      <c r="L1210" s="23" t="n">
        <f aca="false">ROUNDUP(E1210,0)</f>
        <v>1</v>
      </c>
    </row>
    <row r="1211" customFormat="false" ht="15" hidden="false" customHeight="false" outlineLevel="0" collapsed="false">
      <c r="A1211" s="6" t="s">
        <v>4</v>
      </c>
      <c r="B1211" s="6" t="s">
        <v>343</v>
      </c>
      <c r="C1211" s="6" t="n">
        <v>6</v>
      </c>
      <c r="D1211" s="25" t="n">
        <f aca="false">EDATE('Start Here'!$B$6,C1211-1)</f>
        <v>46478</v>
      </c>
      <c r="E1211" s="11" t="n">
        <f aca="false">IF(AND(C1211&gt;=Staffing!$F$26,C1211&lt;=Staffing!$G$26,1=1),IF(C1211&lt;=6,Staffing!$H$26,IF(C1211&lt;=15,Staffing!$I$26,IF(C1211&lt;=30,Staffing!$J$26,Staffing!$K$26))),0)</f>
        <v>0.15</v>
      </c>
      <c r="F1211" s="10" t="n">
        <f aca="false">E1211*Staffing!$L$26/12*(1+Assumptions!$D$10)^INT((C1211-1)/12)*1</f>
        <v>2500</v>
      </c>
      <c r="G1211" s="10" t="n">
        <f aca="false">F1211*Staffing!$N$26</f>
        <v>0</v>
      </c>
      <c r="H1211" s="10" t="n">
        <f aca="false">F1211+G1211</f>
        <v>2500</v>
      </c>
      <c r="I1211" s="10" t="n">
        <f aca="false">0</f>
        <v>0</v>
      </c>
      <c r="J1211" s="10" t="n">
        <f aca="false">MAX(0,E1211-E1210)*Staffing!$O$26</f>
        <v>0</v>
      </c>
      <c r="K1211" s="10" t="n">
        <f aca="false">MAX(0,E1211-E1210)*Staffing!$P$26</f>
        <v>0</v>
      </c>
      <c r="L1211" s="23" t="n">
        <f aca="false">ROUNDUP(E1211,0)</f>
        <v>1</v>
      </c>
    </row>
    <row r="1212" customFormat="false" ht="15" hidden="false" customHeight="false" outlineLevel="0" collapsed="false">
      <c r="A1212" s="6" t="s">
        <v>4</v>
      </c>
      <c r="B1212" s="6" t="s">
        <v>343</v>
      </c>
      <c r="C1212" s="6" t="n">
        <v>7</v>
      </c>
      <c r="D1212" s="25" t="n">
        <f aca="false">EDATE('Start Here'!$B$6,C1212-1)</f>
        <v>46508</v>
      </c>
      <c r="E1212" s="11" t="n">
        <f aca="false">IF(AND(C1212&gt;=Staffing!$F$26,C1212&lt;=Staffing!$G$26,1=1),IF(C1212&lt;=6,Staffing!$H$26,IF(C1212&lt;=15,Staffing!$I$26,IF(C1212&lt;=30,Staffing!$J$26,Staffing!$K$26))),0)</f>
        <v>0.25</v>
      </c>
      <c r="F1212" s="10" t="n">
        <f aca="false">E1212*Staffing!$L$26/12*(1+Assumptions!$D$10)^INT((C1212-1)/12)*1</f>
        <v>4166.66666666667</v>
      </c>
      <c r="G1212" s="10" t="n">
        <f aca="false">F1212*Staffing!$N$26</f>
        <v>0</v>
      </c>
      <c r="H1212" s="10" t="n">
        <f aca="false">F1212+G1212</f>
        <v>4166.66666666667</v>
      </c>
      <c r="I1212" s="10" t="n">
        <f aca="false">0</f>
        <v>0</v>
      </c>
      <c r="J1212" s="10" t="n">
        <f aca="false">MAX(0,E1212-E1211)*Staffing!$O$26</f>
        <v>0</v>
      </c>
      <c r="K1212" s="10" t="n">
        <f aca="false">MAX(0,E1212-E1211)*Staffing!$P$26</f>
        <v>300</v>
      </c>
      <c r="L1212" s="23" t="n">
        <f aca="false">ROUNDUP(E1212,0)</f>
        <v>1</v>
      </c>
    </row>
    <row r="1213" customFormat="false" ht="15" hidden="false" customHeight="false" outlineLevel="0" collapsed="false">
      <c r="A1213" s="6" t="s">
        <v>4</v>
      </c>
      <c r="B1213" s="6" t="s">
        <v>343</v>
      </c>
      <c r="C1213" s="6" t="n">
        <v>8</v>
      </c>
      <c r="D1213" s="25" t="n">
        <f aca="false">EDATE('Start Here'!$B$6,C1213-1)</f>
        <v>46539</v>
      </c>
      <c r="E1213" s="11" t="n">
        <f aca="false">IF(AND(C1213&gt;=Staffing!$F$26,C1213&lt;=Staffing!$G$26,1=1),IF(C1213&lt;=6,Staffing!$H$26,IF(C1213&lt;=15,Staffing!$I$26,IF(C1213&lt;=30,Staffing!$J$26,Staffing!$K$26))),0)</f>
        <v>0.25</v>
      </c>
      <c r="F1213" s="10" t="n">
        <f aca="false">E1213*Staffing!$L$26/12*(1+Assumptions!$D$10)^INT((C1213-1)/12)*1</f>
        <v>4166.66666666667</v>
      </c>
      <c r="G1213" s="10" t="n">
        <f aca="false">F1213*Staffing!$N$26</f>
        <v>0</v>
      </c>
      <c r="H1213" s="10" t="n">
        <f aca="false">F1213+G1213</f>
        <v>4166.66666666667</v>
      </c>
      <c r="I1213" s="10" t="n">
        <f aca="false">0</f>
        <v>0</v>
      </c>
      <c r="J1213" s="10" t="n">
        <f aca="false">MAX(0,E1213-E1212)*Staffing!$O$26</f>
        <v>0</v>
      </c>
      <c r="K1213" s="10" t="n">
        <f aca="false">MAX(0,E1213-E1212)*Staffing!$P$26</f>
        <v>0</v>
      </c>
      <c r="L1213" s="23" t="n">
        <f aca="false">ROUNDUP(E1213,0)</f>
        <v>1</v>
      </c>
    </row>
    <row r="1214" customFormat="false" ht="15" hidden="false" customHeight="false" outlineLevel="0" collapsed="false">
      <c r="A1214" s="6" t="s">
        <v>4</v>
      </c>
      <c r="B1214" s="6" t="s">
        <v>343</v>
      </c>
      <c r="C1214" s="6" t="n">
        <v>9</v>
      </c>
      <c r="D1214" s="25" t="n">
        <f aca="false">EDATE('Start Here'!$B$6,C1214-1)</f>
        <v>46569</v>
      </c>
      <c r="E1214" s="11" t="n">
        <f aca="false">IF(AND(C1214&gt;=Staffing!$F$26,C1214&lt;=Staffing!$G$26,1=1),IF(C1214&lt;=6,Staffing!$H$26,IF(C1214&lt;=15,Staffing!$I$26,IF(C1214&lt;=30,Staffing!$J$26,Staffing!$K$26))),0)</f>
        <v>0.25</v>
      </c>
      <c r="F1214" s="10" t="n">
        <f aca="false">E1214*Staffing!$L$26/12*(1+Assumptions!$D$10)^INT((C1214-1)/12)*1</f>
        <v>4166.66666666667</v>
      </c>
      <c r="G1214" s="10" t="n">
        <f aca="false">F1214*Staffing!$N$26</f>
        <v>0</v>
      </c>
      <c r="H1214" s="10" t="n">
        <f aca="false">F1214+G1214</f>
        <v>4166.66666666667</v>
      </c>
      <c r="I1214" s="10" t="n">
        <f aca="false">0</f>
        <v>0</v>
      </c>
      <c r="J1214" s="10" t="n">
        <f aca="false">MAX(0,E1214-E1213)*Staffing!$O$26</f>
        <v>0</v>
      </c>
      <c r="K1214" s="10" t="n">
        <f aca="false">MAX(0,E1214-E1213)*Staffing!$P$26</f>
        <v>0</v>
      </c>
      <c r="L1214" s="23" t="n">
        <f aca="false">ROUNDUP(E1214,0)</f>
        <v>1</v>
      </c>
    </row>
    <row r="1215" customFormat="false" ht="15" hidden="false" customHeight="false" outlineLevel="0" collapsed="false">
      <c r="A1215" s="6" t="s">
        <v>4</v>
      </c>
      <c r="B1215" s="6" t="s">
        <v>343</v>
      </c>
      <c r="C1215" s="6" t="n">
        <v>10</v>
      </c>
      <c r="D1215" s="25" t="n">
        <f aca="false">EDATE('Start Here'!$B$6,C1215-1)</f>
        <v>46600</v>
      </c>
      <c r="E1215" s="11" t="n">
        <f aca="false">IF(AND(C1215&gt;=Staffing!$F$26,C1215&lt;=Staffing!$G$26,1=1),IF(C1215&lt;=6,Staffing!$H$26,IF(C1215&lt;=15,Staffing!$I$26,IF(C1215&lt;=30,Staffing!$J$26,Staffing!$K$26))),0)</f>
        <v>0.25</v>
      </c>
      <c r="F1215" s="10" t="n">
        <f aca="false">E1215*Staffing!$L$26/12*(1+Assumptions!$D$10)^INT((C1215-1)/12)*1</f>
        <v>4166.66666666667</v>
      </c>
      <c r="G1215" s="10" t="n">
        <f aca="false">F1215*Staffing!$N$26</f>
        <v>0</v>
      </c>
      <c r="H1215" s="10" t="n">
        <f aca="false">F1215+G1215</f>
        <v>4166.66666666667</v>
      </c>
      <c r="I1215" s="10" t="n">
        <f aca="false">0</f>
        <v>0</v>
      </c>
      <c r="J1215" s="10" t="n">
        <f aca="false">MAX(0,E1215-E1214)*Staffing!$O$26</f>
        <v>0</v>
      </c>
      <c r="K1215" s="10" t="n">
        <f aca="false">MAX(0,E1215-E1214)*Staffing!$P$26</f>
        <v>0</v>
      </c>
      <c r="L1215" s="23" t="n">
        <f aca="false">ROUNDUP(E1215,0)</f>
        <v>1</v>
      </c>
    </row>
    <row r="1216" customFormat="false" ht="15" hidden="false" customHeight="false" outlineLevel="0" collapsed="false">
      <c r="A1216" s="6" t="s">
        <v>4</v>
      </c>
      <c r="B1216" s="6" t="s">
        <v>343</v>
      </c>
      <c r="C1216" s="6" t="n">
        <v>11</v>
      </c>
      <c r="D1216" s="25" t="n">
        <f aca="false">EDATE('Start Here'!$B$6,C1216-1)</f>
        <v>46631</v>
      </c>
      <c r="E1216" s="11" t="n">
        <f aca="false">IF(AND(C1216&gt;=Staffing!$F$26,C1216&lt;=Staffing!$G$26,1=1),IF(C1216&lt;=6,Staffing!$H$26,IF(C1216&lt;=15,Staffing!$I$26,IF(C1216&lt;=30,Staffing!$J$26,Staffing!$K$26))),0)</f>
        <v>0.25</v>
      </c>
      <c r="F1216" s="10" t="n">
        <f aca="false">E1216*Staffing!$L$26/12*(1+Assumptions!$D$10)^INT((C1216-1)/12)*1</f>
        <v>4166.66666666667</v>
      </c>
      <c r="G1216" s="10" t="n">
        <f aca="false">F1216*Staffing!$N$26</f>
        <v>0</v>
      </c>
      <c r="H1216" s="10" t="n">
        <f aca="false">F1216+G1216</f>
        <v>4166.66666666667</v>
      </c>
      <c r="I1216" s="10" t="n">
        <f aca="false">0</f>
        <v>0</v>
      </c>
      <c r="J1216" s="10" t="n">
        <f aca="false">MAX(0,E1216-E1215)*Staffing!$O$26</f>
        <v>0</v>
      </c>
      <c r="K1216" s="10" t="n">
        <f aca="false">MAX(0,E1216-E1215)*Staffing!$P$26</f>
        <v>0</v>
      </c>
      <c r="L1216" s="23" t="n">
        <f aca="false">ROUNDUP(E1216,0)</f>
        <v>1</v>
      </c>
    </row>
    <row r="1217" customFormat="false" ht="15" hidden="false" customHeight="false" outlineLevel="0" collapsed="false">
      <c r="A1217" s="6" t="s">
        <v>4</v>
      </c>
      <c r="B1217" s="6" t="s">
        <v>343</v>
      </c>
      <c r="C1217" s="6" t="n">
        <v>12</v>
      </c>
      <c r="D1217" s="25" t="n">
        <f aca="false">EDATE('Start Here'!$B$6,C1217-1)</f>
        <v>46661</v>
      </c>
      <c r="E1217" s="11" t="n">
        <f aca="false">IF(AND(C1217&gt;=Staffing!$F$26,C1217&lt;=Staffing!$G$26,1=1),IF(C1217&lt;=6,Staffing!$H$26,IF(C1217&lt;=15,Staffing!$I$26,IF(C1217&lt;=30,Staffing!$J$26,Staffing!$K$26))),0)</f>
        <v>0.25</v>
      </c>
      <c r="F1217" s="10" t="n">
        <f aca="false">E1217*Staffing!$L$26/12*(1+Assumptions!$D$10)^INT((C1217-1)/12)*1</f>
        <v>4166.66666666667</v>
      </c>
      <c r="G1217" s="10" t="n">
        <f aca="false">F1217*Staffing!$N$26</f>
        <v>0</v>
      </c>
      <c r="H1217" s="10" t="n">
        <f aca="false">F1217+G1217</f>
        <v>4166.66666666667</v>
      </c>
      <c r="I1217" s="10" t="n">
        <f aca="false">0</f>
        <v>0</v>
      </c>
      <c r="J1217" s="10" t="n">
        <f aca="false">MAX(0,E1217-E1216)*Staffing!$O$26</f>
        <v>0</v>
      </c>
      <c r="K1217" s="10" t="n">
        <f aca="false">MAX(0,E1217-E1216)*Staffing!$P$26</f>
        <v>0</v>
      </c>
      <c r="L1217" s="23" t="n">
        <f aca="false">ROUNDUP(E1217,0)</f>
        <v>1</v>
      </c>
    </row>
    <row r="1218" customFormat="false" ht="15" hidden="false" customHeight="false" outlineLevel="0" collapsed="false">
      <c r="A1218" s="6" t="s">
        <v>4</v>
      </c>
      <c r="B1218" s="6" t="s">
        <v>343</v>
      </c>
      <c r="C1218" s="6" t="n">
        <v>13</v>
      </c>
      <c r="D1218" s="25" t="n">
        <f aca="false">EDATE('Start Here'!$B$6,C1218-1)</f>
        <v>46692</v>
      </c>
      <c r="E1218" s="11" t="n">
        <f aca="false">IF(AND(C1218&gt;=Staffing!$F$26,C1218&lt;=Staffing!$G$26,1=1),IF(C1218&lt;=6,Staffing!$H$26,IF(C1218&lt;=15,Staffing!$I$26,IF(C1218&lt;=30,Staffing!$J$26,Staffing!$K$26))),0)</f>
        <v>0.25</v>
      </c>
      <c r="F1218" s="10" t="n">
        <f aca="false">E1218*Staffing!$L$26/12*(1+Assumptions!$D$10)^INT((C1218-1)/12)*1</f>
        <v>4333.33333333333</v>
      </c>
      <c r="G1218" s="10" t="n">
        <f aca="false">F1218*Staffing!$N$26</f>
        <v>0</v>
      </c>
      <c r="H1218" s="10" t="n">
        <f aca="false">F1218+G1218</f>
        <v>4333.33333333333</v>
      </c>
      <c r="I1218" s="10" t="n">
        <f aca="false">0</f>
        <v>0</v>
      </c>
      <c r="J1218" s="10" t="n">
        <f aca="false">MAX(0,E1218-E1217)*Staffing!$O$26</f>
        <v>0</v>
      </c>
      <c r="K1218" s="10" t="n">
        <f aca="false">MAX(0,E1218-E1217)*Staffing!$P$26</f>
        <v>0</v>
      </c>
      <c r="L1218" s="23" t="n">
        <f aca="false">ROUNDUP(E1218,0)</f>
        <v>1</v>
      </c>
    </row>
    <row r="1219" customFormat="false" ht="15" hidden="false" customHeight="false" outlineLevel="0" collapsed="false">
      <c r="A1219" s="6" t="s">
        <v>4</v>
      </c>
      <c r="B1219" s="6" t="s">
        <v>343</v>
      </c>
      <c r="C1219" s="6" t="n">
        <v>14</v>
      </c>
      <c r="D1219" s="25" t="n">
        <f aca="false">EDATE('Start Here'!$B$6,C1219-1)</f>
        <v>46722</v>
      </c>
      <c r="E1219" s="11" t="n">
        <f aca="false">IF(AND(C1219&gt;=Staffing!$F$26,C1219&lt;=Staffing!$G$26,1=1),IF(C1219&lt;=6,Staffing!$H$26,IF(C1219&lt;=15,Staffing!$I$26,IF(C1219&lt;=30,Staffing!$J$26,Staffing!$K$26))),0)</f>
        <v>0.25</v>
      </c>
      <c r="F1219" s="10" t="n">
        <f aca="false">E1219*Staffing!$L$26/12*(1+Assumptions!$D$10)^INT((C1219-1)/12)*1</f>
        <v>4333.33333333333</v>
      </c>
      <c r="G1219" s="10" t="n">
        <f aca="false">F1219*Staffing!$N$26</f>
        <v>0</v>
      </c>
      <c r="H1219" s="10" t="n">
        <f aca="false">F1219+G1219</f>
        <v>4333.33333333333</v>
      </c>
      <c r="I1219" s="10" t="n">
        <f aca="false">0</f>
        <v>0</v>
      </c>
      <c r="J1219" s="10" t="n">
        <f aca="false">MAX(0,E1219-E1218)*Staffing!$O$26</f>
        <v>0</v>
      </c>
      <c r="K1219" s="10" t="n">
        <f aca="false">MAX(0,E1219-E1218)*Staffing!$P$26</f>
        <v>0</v>
      </c>
      <c r="L1219" s="23" t="n">
        <f aca="false">ROUNDUP(E1219,0)</f>
        <v>1</v>
      </c>
    </row>
    <row r="1220" customFormat="false" ht="15" hidden="false" customHeight="false" outlineLevel="0" collapsed="false">
      <c r="A1220" s="6" t="s">
        <v>4</v>
      </c>
      <c r="B1220" s="6" t="s">
        <v>343</v>
      </c>
      <c r="C1220" s="6" t="n">
        <v>15</v>
      </c>
      <c r="D1220" s="25" t="n">
        <f aca="false">EDATE('Start Here'!$B$6,C1220-1)</f>
        <v>46753</v>
      </c>
      <c r="E1220" s="11" t="n">
        <f aca="false">IF(AND(C1220&gt;=Staffing!$F$26,C1220&lt;=Staffing!$G$26,1=1),IF(C1220&lt;=6,Staffing!$H$26,IF(C1220&lt;=15,Staffing!$I$26,IF(C1220&lt;=30,Staffing!$J$26,Staffing!$K$26))),0)</f>
        <v>0.25</v>
      </c>
      <c r="F1220" s="10" t="n">
        <f aca="false">E1220*Staffing!$L$26/12*(1+Assumptions!$D$10)^INT((C1220-1)/12)*1</f>
        <v>4333.33333333333</v>
      </c>
      <c r="G1220" s="10" t="n">
        <f aca="false">F1220*Staffing!$N$26</f>
        <v>0</v>
      </c>
      <c r="H1220" s="10" t="n">
        <f aca="false">F1220+G1220</f>
        <v>4333.33333333333</v>
      </c>
      <c r="I1220" s="10" t="n">
        <f aca="false">0</f>
        <v>0</v>
      </c>
      <c r="J1220" s="10" t="n">
        <f aca="false">MAX(0,E1220-E1219)*Staffing!$O$26</f>
        <v>0</v>
      </c>
      <c r="K1220" s="10" t="n">
        <f aca="false">MAX(0,E1220-E1219)*Staffing!$P$26</f>
        <v>0</v>
      </c>
      <c r="L1220" s="23" t="n">
        <f aca="false">ROUNDUP(E1220,0)</f>
        <v>1</v>
      </c>
    </row>
    <row r="1221" customFormat="false" ht="15" hidden="false" customHeight="false" outlineLevel="0" collapsed="false">
      <c r="A1221" s="6" t="s">
        <v>4</v>
      </c>
      <c r="B1221" s="6" t="s">
        <v>343</v>
      </c>
      <c r="C1221" s="6" t="n">
        <v>16</v>
      </c>
      <c r="D1221" s="25" t="n">
        <f aca="false">EDATE('Start Here'!$B$6,C1221-1)</f>
        <v>46784</v>
      </c>
      <c r="E1221" s="11" t="n">
        <f aca="false">IF(AND(C1221&gt;=Staffing!$F$26,C1221&lt;=Staffing!$G$26,1=1),IF(C1221&lt;=6,Staffing!$H$26,IF(C1221&lt;=15,Staffing!$I$26,IF(C1221&lt;=30,Staffing!$J$26,Staffing!$K$26))),0)</f>
        <v>0.25</v>
      </c>
      <c r="F1221" s="10" t="n">
        <f aca="false">E1221*Staffing!$L$26/12*(1+Assumptions!$D$10)^INT((C1221-1)/12)*1</f>
        <v>4333.33333333333</v>
      </c>
      <c r="G1221" s="10" t="n">
        <f aca="false">F1221*Staffing!$N$26</f>
        <v>0</v>
      </c>
      <c r="H1221" s="10" t="n">
        <f aca="false">F1221+G1221</f>
        <v>4333.33333333333</v>
      </c>
      <c r="I1221" s="10" t="n">
        <f aca="false">0</f>
        <v>0</v>
      </c>
      <c r="J1221" s="10" t="n">
        <f aca="false">MAX(0,E1221-E1220)*Staffing!$O$26</f>
        <v>0</v>
      </c>
      <c r="K1221" s="10" t="n">
        <f aca="false">MAX(0,E1221-E1220)*Staffing!$P$26</f>
        <v>0</v>
      </c>
      <c r="L1221" s="23" t="n">
        <f aca="false">ROUNDUP(E1221,0)</f>
        <v>1</v>
      </c>
    </row>
    <row r="1222" customFormat="false" ht="15" hidden="false" customHeight="false" outlineLevel="0" collapsed="false">
      <c r="A1222" s="6" t="s">
        <v>4</v>
      </c>
      <c r="B1222" s="6" t="s">
        <v>343</v>
      </c>
      <c r="C1222" s="6" t="n">
        <v>17</v>
      </c>
      <c r="D1222" s="25" t="n">
        <f aca="false">EDATE('Start Here'!$B$6,C1222-1)</f>
        <v>46813</v>
      </c>
      <c r="E1222" s="11" t="n">
        <f aca="false">IF(AND(C1222&gt;=Staffing!$F$26,C1222&lt;=Staffing!$G$26,1=1),IF(C1222&lt;=6,Staffing!$H$26,IF(C1222&lt;=15,Staffing!$I$26,IF(C1222&lt;=30,Staffing!$J$26,Staffing!$K$26))),0)</f>
        <v>0.25</v>
      </c>
      <c r="F1222" s="10" t="n">
        <f aca="false">E1222*Staffing!$L$26/12*(1+Assumptions!$D$10)^INT((C1222-1)/12)*1</f>
        <v>4333.33333333333</v>
      </c>
      <c r="G1222" s="10" t="n">
        <f aca="false">F1222*Staffing!$N$26</f>
        <v>0</v>
      </c>
      <c r="H1222" s="10" t="n">
        <f aca="false">F1222+G1222</f>
        <v>4333.33333333333</v>
      </c>
      <c r="I1222" s="10" t="n">
        <f aca="false">0</f>
        <v>0</v>
      </c>
      <c r="J1222" s="10" t="n">
        <f aca="false">MAX(0,E1222-E1221)*Staffing!$O$26</f>
        <v>0</v>
      </c>
      <c r="K1222" s="10" t="n">
        <f aca="false">MAX(0,E1222-E1221)*Staffing!$P$26</f>
        <v>0</v>
      </c>
      <c r="L1222" s="23" t="n">
        <f aca="false">ROUNDUP(E1222,0)</f>
        <v>1</v>
      </c>
    </row>
    <row r="1223" customFormat="false" ht="15" hidden="false" customHeight="false" outlineLevel="0" collapsed="false">
      <c r="A1223" s="6" t="s">
        <v>4</v>
      </c>
      <c r="B1223" s="6" t="s">
        <v>343</v>
      </c>
      <c r="C1223" s="6" t="n">
        <v>18</v>
      </c>
      <c r="D1223" s="25" t="n">
        <f aca="false">EDATE('Start Here'!$B$6,C1223-1)</f>
        <v>46844</v>
      </c>
      <c r="E1223" s="11" t="n">
        <f aca="false">IF(AND(C1223&gt;=Staffing!$F$26,C1223&lt;=Staffing!$G$26,1=1),IF(C1223&lt;=6,Staffing!$H$26,IF(C1223&lt;=15,Staffing!$I$26,IF(C1223&lt;=30,Staffing!$J$26,Staffing!$K$26))),0)</f>
        <v>0.25</v>
      </c>
      <c r="F1223" s="10" t="n">
        <f aca="false">E1223*Staffing!$L$26/12*(1+Assumptions!$D$10)^INT((C1223-1)/12)*1</f>
        <v>4333.33333333333</v>
      </c>
      <c r="G1223" s="10" t="n">
        <f aca="false">F1223*Staffing!$N$26</f>
        <v>0</v>
      </c>
      <c r="H1223" s="10" t="n">
        <f aca="false">F1223+G1223</f>
        <v>4333.33333333333</v>
      </c>
      <c r="I1223" s="10" t="n">
        <f aca="false">0</f>
        <v>0</v>
      </c>
      <c r="J1223" s="10" t="n">
        <f aca="false">MAX(0,E1223-E1222)*Staffing!$O$26</f>
        <v>0</v>
      </c>
      <c r="K1223" s="10" t="n">
        <f aca="false">MAX(0,E1223-E1222)*Staffing!$P$26</f>
        <v>0</v>
      </c>
      <c r="L1223" s="23" t="n">
        <f aca="false">ROUNDUP(E1223,0)</f>
        <v>1</v>
      </c>
    </row>
    <row r="1224" customFormat="false" ht="15" hidden="false" customHeight="false" outlineLevel="0" collapsed="false">
      <c r="A1224" s="6" t="s">
        <v>4</v>
      </c>
      <c r="B1224" s="6" t="s">
        <v>343</v>
      </c>
      <c r="C1224" s="6" t="n">
        <v>19</v>
      </c>
      <c r="D1224" s="25" t="n">
        <f aca="false">EDATE('Start Here'!$B$6,C1224-1)</f>
        <v>46874</v>
      </c>
      <c r="E1224" s="11" t="n">
        <f aca="false">IF(AND(C1224&gt;=Staffing!$F$26,C1224&lt;=Staffing!$G$26,1=1),IF(C1224&lt;=6,Staffing!$H$26,IF(C1224&lt;=15,Staffing!$I$26,IF(C1224&lt;=30,Staffing!$J$26,Staffing!$K$26))),0)</f>
        <v>0.25</v>
      </c>
      <c r="F1224" s="10" t="n">
        <f aca="false">E1224*Staffing!$L$26/12*(1+Assumptions!$D$10)^INT((C1224-1)/12)*1</f>
        <v>4333.33333333333</v>
      </c>
      <c r="G1224" s="10" t="n">
        <f aca="false">F1224*Staffing!$N$26</f>
        <v>0</v>
      </c>
      <c r="H1224" s="10" t="n">
        <f aca="false">F1224+G1224</f>
        <v>4333.33333333333</v>
      </c>
      <c r="I1224" s="10" t="n">
        <f aca="false">0</f>
        <v>0</v>
      </c>
      <c r="J1224" s="10" t="n">
        <f aca="false">MAX(0,E1224-E1223)*Staffing!$O$26</f>
        <v>0</v>
      </c>
      <c r="K1224" s="10" t="n">
        <f aca="false">MAX(0,E1224-E1223)*Staffing!$P$26</f>
        <v>0</v>
      </c>
      <c r="L1224" s="23" t="n">
        <f aca="false">ROUNDUP(E1224,0)</f>
        <v>1</v>
      </c>
    </row>
    <row r="1225" customFormat="false" ht="15" hidden="false" customHeight="false" outlineLevel="0" collapsed="false">
      <c r="A1225" s="6" t="s">
        <v>4</v>
      </c>
      <c r="B1225" s="6" t="s">
        <v>343</v>
      </c>
      <c r="C1225" s="6" t="n">
        <v>20</v>
      </c>
      <c r="D1225" s="25" t="n">
        <f aca="false">EDATE('Start Here'!$B$6,C1225-1)</f>
        <v>46905</v>
      </c>
      <c r="E1225" s="11" t="n">
        <f aca="false">IF(AND(C1225&gt;=Staffing!$F$26,C1225&lt;=Staffing!$G$26,1=1),IF(C1225&lt;=6,Staffing!$H$26,IF(C1225&lt;=15,Staffing!$I$26,IF(C1225&lt;=30,Staffing!$J$26,Staffing!$K$26))),0)</f>
        <v>0.25</v>
      </c>
      <c r="F1225" s="10" t="n">
        <f aca="false">E1225*Staffing!$L$26/12*(1+Assumptions!$D$10)^INT((C1225-1)/12)*1</f>
        <v>4333.33333333333</v>
      </c>
      <c r="G1225" s="10" t="n">
        <f aca="false">F1225*Staffing!$N$26</f>
        <v>0</v>
      </c>
      <c r="H1225" s="10" t="n">
        <f aca="false">F1225+G1225</f>
        <v>4333.33333333333</v>
      </c>
      <c r="I1225" s="10" t="n">
        <f aca="false">0</f>
        <v>0</v>
      </c>
      <c r="J1225" s="10" t="n">
        <f aca="false">MAX(0,E1225-E1224)*Staffing!$O$26</f>
        <v>0</v>
      </c>
      <c r="K1225" s="10" t="n">
        <f aca="false">MAX(0,E1225-E1224)*Staffing!$P$26</f>
        <v>0</v>
      </c>
      <c r="L1225" s="23" t="n">
        <f aca="false">ROUNDUP(E1225,0)</f>
        <v>1</v>
      </c>
    </row>
    <row r="1226" customFormat="false" ht="15" hidden="false" customHeight="false" outlineLevel="0" collapsed="false">
      <c r="A1226" s="6" t="s">
        <v>4</v>
      </c>
      <c r="B1226" s="6" t="s">
        <v>343</v>
      </c>
      <c r="C1226" s="6" t="n">
        <v>21</v>
      </c>
      <c r="D1226" s="25" t="n">
        <f aca="false">EDATE('Start Here'!$B$6,C1226-1)</f>
        <v>46935</v>
      </c>
      <c r="E1226" s="11" t="n">
        <f aca="false">IF(AND(C1226&gt;=Staffing!$F$26,C1226&lt;=Staffing!$G$26,1=1),IF(C1226&lt;=6,Staffing!$H$26,IF(C1226&lt;=15,Staffing!$I$26,IF(C1226&lt;=30,Staffing!$J$26,Staffing!$K$26))),0)</f>
        <v>0.25</v>
      </c>
      <c r="F1226" s="10" t="n">
        <f aca="false">E1226*Staffing!$L$26/12*(1+Assumptions!$D$10)^INT((C1226-1)/12)*1</f>
        <v>4333.33333333333</v>
      </c>
      <c r="G1226" s="10" t="n">
        <f aca="false">F1226*Staffing!$N$26</f>
        <v>0</v>
      </c>
      <c r="H1226" s="10" t="n">
        <f aca="false">F1226+G1226</f>
        <v>4333.33333333333</v>
      </c>
      <c r="I1226" s="10" t="n">
        <f aca="false">0</f>
        <v>0</v>
      </c>
      <c r="J1226" s="10" t="n">
        <f aca="false">MAX(0,E1226-E1225)*Staffing!$O$26</f>
        <v>0</v>
      </c>
      <c r="K1226" s="10" t="n">
        <f aca="false">MAX(0,E1226-E1225)*Staffing!$P$26</f>
        <v>0</v>
      </c>
      <c r="L1226" s="23" t="n">
        <f aca="false">ROUNDUP(E1226,0)</f>
        <v>1</v>
      </c>
    </row>
    <row r="1227" customFormat="false" ht="15" hidden="false" customHeight="false" outlineLevel="0" collapsed="false">
      <c r="A1227" s="6" t="s">
        <v>4</v>
      </c>
      <c r="B1227" s="6" t="s">
        <v>343</v>
      </c>
      <c r="C1227" s="6" t="n">
        <v>22</v>
      </c>
      <c r="D1227" s="25" t="n">
        <f aca="false">EDATE('Start Here'!$B$6,C1227-1)</f>
        <v>46966</v>
      </c>
      <c r="E1227" s="11" t="n">
        <f aca="false">IF(AND(C1227&gt;=Staffing!$F$26,C1227&lt;=Staffing!$G$26,1=1),IF(C1227&lt;=6,Staffing!$H$26,IF(C1227&lt;=15,Staffing!$I$26,IF(C1227&lt;=30,Staffing!$J$26,Staffing!$K$26))),0)</f>
        <v>0.25</v>
      </c>
      <c r="F1227" s="10" t="n">
        <f aca="false">E1227*Staffing!$L$26/12*(1+Assumptions!$D$10)^INT((C1227-1)/12)*1</f>
        <v>4333.33333333333</v>
      </c>
      <c r="G1227" s="10" t="n">
        <f aca="false">F1227*Staffing!$N$26</f>
        <v>0</v>
      </c>
      <c r="H1227" s="10" t="n">
        <f aca="false">F1227+G1227</f>
        <v>4333.33333333333</v>
      </c>
      <c r="I1227" s="10" t="n">
        <f aca="false">0</f>
        <v>0</v>
      </c>
      <c r="J1227" s="10" t="n">
        <f aca="false">MAX(0,E1227-E1226)*Staffing!$O$26</f>
        <v>0</v>
      </c>
      <c r="K1227" s="10" t="n">
        <f aca="false">MAX(0,E1227-E1226)*Staffing!$P$26</f>
        <v>0</v>
      </c>
      <c r="L1227" s="23" t="n">
        <f aca="false">ROUNDUP(E1227,0)</f>
        <v>1</v>
      </c>
    </row>
    <row r="1228" customFormat="false" ht="15" hidden="false" customHeight="false" outlineLevel="0" collapsed="false">
      <c r="A1228" s="6" t="s">
        <v>4</v>
      </c>
      <c r="B1228" s="6" t="s">
        <v>343</v>
      </c>
      <c r="C1228" s="6" t="n">
        <v>23</v>
      </c>
      <c r="D1228" s="25" t="n">
        <f aca="false">EDATE('Start Here'!$B$6,C1228-1)</f>
        <v>46997</v>
      </c>
      <c r="E1228" s="11" t="n">
        <f aca="false">IF(AND(C1228&gt;=Staffing!$F$26,C1228&lt;=Staffing!$G$26,1=1),IF(C1228&lt;=6,Staffing!$H$26,IF(C1228&lt;=15,Staffing!$I$26,IF(C1228&lt;=30,Staffing!$J$26,Staffing!$K$26))),0)</f>
        <v>0.25</v>
      </c>
      <c r="F1228" s="10" t="n">
        <f aca="false">E1228*Staffing!$L$26/12*(1+Assumptions!$D$10)^INT((C1228-1)/12)*1</f>
        <v>4333.33333333333</v>
      </c>
      <c r="G1228" s="10" t="n">
        <f aca="false">F1228*Staffing!$N$26</f>
        <v>0</v>
      </c>
      <c r="H1228" s="10" t="n">
        <f aca="false">F1228+G1228</f>
        <v>4333.33333333333</v>
      </c>
      <c r="I1228" s="10" t="n">
        <f aca="false">0</f>
        <v>0</v>
      </c>
      <c r="J1228" s="10" t="n">
        <f aca="false">MAX(0,E1228-E1227)*Staffing!$O$26</f>
        <v>0</v>
      </c>
      <c r="K1228" s="10" t="n">
        <f aca="false">MAX(0,E1228-E1227)*Staffing!$P$26</f>
        <v>0</v>
      </c>
      <c r="L1228" s="23" t="n">
        <f aca="false">ROUNDUP(E1228,0)</f>
        <v>1</v>
      </c>
    </row>
    <row r="1229" customFormat="false" ht="15" hidden="false" customHeight="false" outlineLevel="0" collapsed="false">
      <c r="A1229" s="6" t="s">
        <v>4</v>
      </c>
      <c r="B1229" s="6" t="s">
        <v>343</v>
      </c>
      <c r="C1229" s="6" t="n">
        <v>24</v>
      </c>
      <c r="D1229" s="25" t="n">
        <f aca="false">EDATE('Start Here'!$B$6,C1229-1)</f>
        <v>47027</v>
      </c>
      <c r="E1229" s="11" t="n">
        <f aca="false">IF(AND(C1229&gt;=Staffing!$F$26,C1229&lt;=Staffing!$G$26,1=1),IF(C1229&lt;=6,Staffing!$H$26,IF(C1229&lt;=15,Staffing!$I$26,IF(C1229&lt;=30,Staffing!$J$26,Staffing!$K$26))),0)</f>
        <v>0.25</v>
      </c>
      <c r="F1229" s="10" t="n">
        <f aca="false">E1229*Staffing!$L$26/12*(1+Assumptions!$D$10)^INT((C1229-1)/12)*1</f>
        <v>4333.33333333333</v>
      </c>
      <c r="G1229" s="10" t="n">
        <f aca="false">F1229*Staffing!$N$26</f>
        <v>0</v>
      </c>
      <c r="H1229" s="10" t="n">
        <f aca="false">F1229+G1229</f>
        <v>4333.33333333333</v>
      </c>
      <c r="I1229" s="10" t="n">
        <f aca="false">0</f>
        <v>0</v>
      </c>
      <c r="J1229" s="10" t="n">
        <f aca="false">MAX(0,E1229-E1228)*Staffing!$O$26</f>
        <v>0</v>
      </c>
      <c r="K1229" s="10" t="n">
        <f aca="false">MAX(0,E1229-E1228)*Staffing!$P$26</f>
        <v>0</v>
      </c>
      <c r="L1229" s="23" t="n">
        <f aca="false">ROUNDUP(E1229,0)</f>
        <v>1</v>
      </c>
    </row>
    <row r="1230" customFormat="false" ht="15" hidden="false" customHeight="false" outlineLevel="0" collapsed="false">
      <c r="A1230" s="6" t="s">
        <v>4</v>
      </c>
      <c r="B1230" s="6" t="s">
        <v>343</v>
      </c>
      <c r="C1230" s="6" t="n">
        <v>25</v>
      </c>
      <c r="D1230" s="25" t="n">
        <f aca="false">EDATE('Start Here'!$B$6,C1230-1)</f>
        <v>47058</v>
      </c>
      <c r="E1230" s="11" t="n">
        <f aca="false">IF(AND(C1230&gt;=Staffing!$F$26,C1230&lt;=Staffing!$G$26,1=1),IF(C1230&lt;=6,Staffing!$H$26,IF(C1230&lt;=15,Staffing!$I$26,IF(C1230&lt;=30,Staffing!$J$26,Staffing!$K$26))),0)</f>
        <v>0.25</v>
      </c>
      <c r="F1230" s="10" t="n">
        <f aca="false">E1230*Staffing!$L$26/12*(1+Assumptions!$D$10)^INT((C1230-1)/12)*1</f>
        <v>4506.66666666667</v>
      </c>
      <c r="G1230" s="10" t="n">
        <f aca="false">F1230*Staffing!$N$26</f>
        <v>0</v>
      </c>
      <c r="H1230" s="10" t="n">
        <f aca="false">F1230+G1230</f>
        <v>4506.66666666667</v>
      </c>
      <c r="I1230" s="10" t="n">
        <f aca="false">0</f>
        <v>0</v>
      </c>
      <c r="J1230" s="10" t="n">
        <f aca="false">MAX(0,E1230-E1229)*Staffing!$O$26</f>
        <v>0</v>
      </c>
      <c r="K1230" s="10" t="n">
        <f aca="false">MAX(0,E1230-E1229)*Staffing!$P$26</f>
        <v>0</v>
      </c>
      <c r="L1230" s="23" t="n">
        <f aca="false">ROUNDUP(E1230,0)</f>
        <v>1</v>
      </c>
    </row>
    <row r="1231" customFormat="false" ht="15" hidden="false" customHeight="false" outlineLevel="0" collapsed="false">
      <c r="A1231" s="6" t="s">
        <v>4</v>
      </c>
      <c r="B1231" s="6" t="s">
        <v>343</v>
      </c>
      <c r="C1231" s="6" t="n">
        <v>26</v>
      </c>
      <c r="D1231" s="25" t="n">
        <f aca="false">EDATE('Start Here'!$B$6,C1231-1)</f>
        <v>47088</v>
      </c>
      <c r="E1231" s="11" t="n">
        <f aca="false">IF(AND(C1231&gt;=Staffing!$F$26,C1231&lt;=Staffing!$G$26,1=1),IF(C1231&lt;=6,Staffing!$H$26,IF(C1231&lt;=15,Staffing!$I$26,IF(C1231&lt;=30,Staffing!$J$26,Staffing!$K$26))),0)</f>
        <v>0.25</v>
      </c>
      <c r="F1231" s="10" t="n">
        <f aca="false">E1231*Staffing!$L$26/12*(1+Assumptions!$D$10)^INT((C1231-1)/12)*1</f>
        <v>4506.66666666667</v>
      </c>
      <c r="G1231" s="10" t="n">
        <f aca="false">F1231*Staffing!$N$26</f>
        <v>0</v>
      </c>
      <c r="H1231" s="10" t="n">
        <f aca="false">F1231+G1231</f>
        <v>4506.66666666667</v>
      </c>
      <c r="I1231" s="10" t="n">
        <f aca="false">0</f>
        <v>0</v>
      </c>
      <c r="J1231" s="10" t="n">
        <f aca="false">MAX(0,E1231-E1230)*Staffing!$O$26</f>
        <v>0</v>
      </c>
      <c r="K1231" s="10" t="n">
        <f aca="false">MAX(0,E1231-E1230)*Staffing!$P$26</f>
        <v>0</v>
      </c>
      <c r="L1231" s="23" t="n">
        <f aca="false">ROUNDUP(E1231,0)</f>
        <v>1</v>
      </c>
    </row>
    <row r="1232" customFormat="false" ht="15" hidden="false" customHeight="false" outlineLevel="0" collapsed="false">
      <c r="A1232" s="6" t="s">
        <v>4</v>
      </c>
      <c r="B1232" s="6" t="s">
        <v>343</v>
      </c>
      <c r="C1232" s="6" t="n">
        <v>27</v>
      </c>
      <c r="D1232" s="25" t="n">
        <f aca="false">EDATE('Start Here'!$B$6,C1232-1)</f>
        <v>47119</v>
      </c>
      <c r="E1232" s="11" t="n">
        <f aca="false">IF(AND(C1232&gt;=Staffing!$F$26,C1232&lt;=Staffing!$G$26,1=1),IF(C1232&lt;=6,Staffing!$H$26,IF(C1232&lt;=15,Staffing!$I$26,IF(C1232&lt;=30,Staffing!$J$26,Staffing!$K$26))),0)</f>
        <v>0.25</v>
      </c>
      <c r="F1232" s="10" t="n">
        <f aca="false">E1232*Staffing!$L$26/12*(1+Assumptions!$D$10)^INT((C1232-1)/12)*1</f>
        <v>4506.66666666667</v>
      </c>
      <c r="G1232" s="10" t="n">
        <f aca="false">F1232*Staffing!$N$26</f>
        <v>0</v>
      </c>
      <c r="H1232" s="10" t="n">
        <f aca="false">F1232+G1232</f>
        <v>4506.66666666667</v>
      </c>
      <c r="I1232" s="10" t="n">
        <f aca="false">0</f>
        <v>0</v>
      </c>
      <c r="J1232" s="10" t="n">
        <f aca="false">MAX(0,E1232-E1231)*Staffing!$O$26</f>
        <v>0</v>
      </c>
      <c r="K1232" s="10" t="n">
        <f aca="false">MAX(0,E1232-E1231)*Staffing!$P$26</f>
        <v>0</v>
      </c>
      <c r="L1232" s="23" t="n">
        <f aca="false">ROUNDUP(E1232,0)</f>
        <v>1</v>
      </c>
    </row>
    <row r="1233" customFormat="false" ht="15" hidden="false" customHeight="false" outlineLevel="0" collapsed="false">
      <c r="A1233" s="6" t="s">
        <v>4</v>
      </c>
      <c r="B1233" s="6" t="s">
        <v>343</v>
      </c>
      <c r="C1233" s="6" t="n">
        <v>28</v>
      </c>
      <c r="D1233" s="25" t="n">
        <f aca="false">EDATE('Start Here'!$B$6,C1233-1)</f>
        <v>47150</v>
      </c>
      <c r="E1233" s="11" t="n">
        <f aca="false">IF(AND(C1233&gt;=Staffing!$F$26,C1233&lt;=Staffing!$G$26,1=1),IF(C1233&lt;=6,Staffing!$H$26,IF(C1233&lt;=15,Staffing!$I$26,IF(C1233&lt;=30,Staffing!$J$26,Staffing!$K$26))),0)</f>
        <v>0.25</v>
      </c>
      <c r="F1233" s="10" t="n">
        <f aca="false">E1233*Staffing!$L$26/12*(1+Assumptions!$D$10)^INT((C1233-1)/12)*1</f>
        <v>4506.66666666667</v>
      </c>
      <c r="G1233" s="10" t="n">
        <f aca="false">F1233*Staffing!$N$26</f>
        <v>0</v>
      </c>
      <c r="H1233" s="10" t="n">
        <f aca="false">F1233+G1233</f>
        <v>4506.66666666667</v>
      </c>
      <c r="I1233" s="10" t="n">
        <f aca="false">0</f>
        <v>0</v>
      </c>
      <c r="J1233" s="10" t="n">
        <f aca="false">MAX(0,E1233-E1232)*Staffing!$O$26</f>
        <v>0</v>
      </c>
      <c r="K1233" s="10" t="n">
        <f aca="false">MAX(0,E1233-E1232)*Staffing!$P$26</f>
        <v>0</v>
      </c>
      <c r="L1233" s="23" t="n">
        <f aca="false">ROUNDUP(E1233,0)</f>
        <v>1</v>
      </c>
    </row>
    <row r="1234" customFormat="false" ht="15" hidden="false" customHeight="false" outlineLevel="0" collapsed="false">
      <c r="A1234" s="6" t="s">
        <v>4</v>
      </c>
      <c r="B1234" s="6" t="s">
        <v>343</v>
      </c>
      <c r="C1234" s="6" t="n">
        <v>29</v>
      </c>
      <c r="D1234" s="25" t="n">
        <f aca="false">EDATE('Start Here'!$B$6,C1234-1)</f>
        <v>47178</v>
      </c>
      <c r="E1234" s="11" t="n">
        <f aca="false">IF(AND(C1234&gt;=Staffing!$F$26,C1234&lt;=Staffing!$G$26,1=1),IF(C1234&lt;=6,Staffing!$H$26,IF(C1234&lt;=15,Staffing!$I$26,IF(C1234&lt;=30,Staffing!$J$26,Staffing!$K$26))),0)</f>
        <v>0.25</v>
      </c>
      <c r="F1234" s="10" t="n">
        <f aca="false">E1234*Staffing!$L$26/12*(1+Assumptions!$D$10)^INT((C1234-1)/12)*1</f>
        <v>4506.66666666667</v>
      </c>
      <c r="G1234" s="10" t="n">
        <f aca="false">F1234*Staffing!$N$26</f>
        <v>0</v>
      </c>
      <c r="H1234" s="10" t="n">
        <f aca="false">F1234+G1234</f>
        <v>4506.66666666667</v>
      </c>
      <c r="I1234" s="10" t="n">
        <f aca="false">0</f>
        <v>0</v>
      </c>
      <c r="J1234" s="10" t="n">
        <f aca="false">MAX(0,E1234-E1233)*Staffing!$O$26</f>
        <v>0</v>
      </c>
      <c r="K1234" s="10" t="n">
        <f aca="false">MAX(0,E1234-E1233)*Staffing!$P$26</f>
        <v>0</v>
      </c>
      <c r="L1234" s="23" t="n">
        <f aca="false">ROUNDUP(E1234,0)</f>
        <v>1</v>
      </c>
    </row>
    <row r="1235" customFormat="false" ht="15" hidden="false" customHeight="false" outlineLevel="0" collapsed="false">
      <c r="A1235" s="6" t="s">
        <v>4</v>
      </c>
      <c r="B1235" s="6" t="s">
        <v>343</v>
      </c>
      <c r="C1235" s="6" t="n">
        <v>30</v>
      </c>
      <c r="D1235" s="25" t="n">
        <f aca="false">EDATE('Start Here'!$B$6,C1235-1)</f>
        <v>47209</v>
      </c>
      <c r="E1235" s="11" t="n">
        <f aca="false">IF(AND(C1235&gt;=Staffing!$F$26,C1235&lt;=Staffing!$G$26,1=1),IF(C1235&lt;=6,Staffing!$H$26,IF(C1235&lt;=15,Staffing!$I$26,IF(C1235&lt;=30,Staffing!$J$26,Staffing!$K$26))),0)</f>
        <v>0.25</v>
      </c>
      <c r="F1235" s="10" t="n">
        <f aca="false">E1235*Staffing!$L$26/12*(1+Assumptions!$D$10)^INT((C1235-1)/12)*1</f>
        <v>4506.66666666667</v>
      </c>
      <c r="G1235" s="10" t="n">
        <f aca="false">F1235*Staffing!$N$26</f>
        <v>0</v>
      </c>
      <c r="H1235" s="10" t="n">
        <f aca="false">F1235+G1235</f>
        <v>4506.66666666667</v>
      </c>
      <c r="I1235" s="10" t="n">
        <f aca="false">0</f>
        <v>0</v>
      </c>
      <c r="J1235" s="10" t="n">
        <f aca="false">MAX(0,E1235-E1234)*Staffing!$O$26</f>
        <v>0</v>
      </c>
      <c r="K1235" s="10" t="n">
        <f aca="false">MAX(0,E1235-E1234)*Staffing!$P$26</f>
        <v>0</v>
      </c>
      <c r="L1235" s="23" t="n">
        <f aca="false">ROUNDUP(E1235,0)</f>
        <v>1</v>
      </c>
    </row>
    <row r="1236" customFormat="false" ht="15" hidden="false" customHeight="false" outlineLevel="0" collapsed="false">
      <c r="A1236" s="6" t="s">
        <v>4</v>
      </c>
      <c r="B1236" s="6" t="s">
        <v>343</v>
      </c>
      <c r="C1236" s="6" t="n">
        <v>31</v>
      </c>
      <c r="D1236" s="25" t="n">
        <f aca="false">EDATE('Start Here'!$B$6,C1236-1)</f>
        <v>47239</v>
      </c>
      <c r="E1236" s="11" t="n">
        <f aca="false">IF(AND(C1236&gt;=Staffing!$F$26,C1236&lt;=Staffing!$G$26,1=1),IF(C1236&lt;=6,Staffing!$H$26,IF(C1236&lt;=15,Staffing!$I$26,IF(C1236&lt;=30,Staffing!$J$26,Staffing!$K$26))),0)</f>
        <v>0.5</v>
      </c>
      <c r="F1236" s="10" t="n">
        <f aca="false">E1236*Staffing!$L$26/12*(1+Assumptions!$D$10)^INT((C1236-1)/12)*1</f>
        <v>9013.33333333334</v>
      </c>
      <c r="G1236" s="10" t="n">
        <f aca="false">F1236*Staffing!$N$26</f>
        <v>0</v>
      </c>
      <c r="H1236" s="10" t="n">
        <f aca="false">F1236+G1236</f>
        <v>9013.33333333334</v>
      </c>
      <c r="I1236" s="10" t="n">
        <f aca="false">0</f>
        <v>0</v>
      </c>
      <c r="J1236" s="10" t="n">
        <f aca="false">MAX(0,E1236-E1235)*Staffing!$O$26</f>
        <v>0</v>
      </c>
      <c r="K1236" s="10" t="n">
        <f aca="false">MAX(0,E1236-E1235)*Staffing!$P$26</f>
        <v>750</v>
      </c>
      <c r="L1236" s="23" t="n">
        <f aca="false">ROUNDUP(E1236,0)</f>
        <v>1</v>
      </c>
    </row>
    <row r="1237" customFormat="false" ht="15" hidden="false" customHeight="false" outlineLevel="0" collapsed="false">
      <c r="A1237" s="6" t="s">
        <v>4</v>
      </c>
      <c r="B1237" s="6" t="s">
        <v>343</v>
      </c>
      <c r="C1237" s="6" t="n">
        <v>32</v>
      </c>
      <c r="D1237" s="25" t="n">
        <f aca="false">EDATE('Start Here'!$B$6,C1237-1)</f>
        <v>47270</v>
      </c>
      <c r="E1237" s="11" t="n">
        <f aca="false">IF(AND(C1237&gt;=Staffing!$F$26,C1237&lt;=Staffing!$G$26,1=1),IF(C1237&lt;=6,Staffing!$H$26,IF(C1237&lt;=15,Staffing!$I$26,IF(C1237&lt;=30,Staffing!$J$26,Staffing!$K$26))),0)</f>
        <v>0.5</v>
      </c>
      <c r="F1237" s="10" t="n">
        <f aca="false">E1237*Staffing!$L$26/12*(1+Assumptions!$D$10)^INT((C1237-1)/12)*1</f>
        <v>9013.33333333334</v>
      </c>
      <c r="G1237" s="10" t="n">
        <f aca="false">F1237*Staffing!$N$26</f>
        <v>0</v>
      </c>
      <c r="H1237" s="10" t="n">
        <f aca="false">F1237+G1237</f>
        <v>9013.33333333334</v>
      </c>
      <c r="I1237" s="10" t="n">
        <f aca="false">0</f>
        <v>0</v>
      </c>
      <c r="J1237" s="10" t="n">
        <f aca="false">MAX(0,E1237-E1236)*Staffing!$O$26</f>
        <v>0</v>
      </c>
      <c r="K1237" s="10" t="n">
        <f aca="false">MAX(0,E1237-E1236)*Staffing!$P$26</f>
        <v>0</v>
      </c>
      <c r="L1237" s="23" t="n">
        <f aca="false">ROUNDUP(E1237,0)</f>
        <v>1</v>
      </c>
    </row>
    <row r="1238" customFormat="false" ht="15" hidden="false" customHeight="false" outlineLevel="0" collapsed="false">
      <c r="A1238" s="6" t="s">
        <v>4</v>
      </c>
      <c r="B1238" s="6" t="s">
        <v>343</v>
      </c>
      <c r="C1238" s="6" t="n">
        <v>33</v>
      </c>
      <c r="D1238" s="25" t="n">
        <f aca="false">EDATE('Start Here'!$B$6,C1238-1)</f>
        <v>47300</v>
      </c>
      <c r="E1238" s="11" t="n">
        <f aca="false">IF(AND(C1238&gt;=Staffing!$F$26,C1238&lt;=Staffing!$G$26,1=1),IF(C1238&lt;=6,Staffing!$H$26,IF(C1238&lt;=15,Staffing!$I$26,IF(C1238&lt;=30,Staffing!$J$26,Staffing!$K$26))),0)</f>
        <v>0.5</v>
      </c>
      <c r="F1238" s="10" t="n">
        <f aca="false">E1238*Staffing!$L$26/12*(1+Assumptions!$D$10)^INT((C1238-1)/12)*1</f>
        <v>9013.33333333334</v>
      </c>
      <c r="G1238" s="10" t="n">
        <f aca="false">F1238*Staffing!$N$26</f>
        <v>0</v>
      </c>
      <c r="H1238" s="10" t="n">
        <f aca="false">F1238+G1238</f>
        <v>9013.33333333334</v>
      </c>
      <c r="I1238" s="10" t="n">
        <f aca="false">0</f>
        <v>0</v>
      </c>
      <c r="J1238" s="10" t="n">
        <f aca="false">MAX(0,E1238-E1237)*Staffing!$O$26</f>
        <v>0</v>
      </c>
      <c r="K1238" s="10" t="n">
        <f aca="false">MAX(0,E1238-E1237)*Staffing!$P$26</f>
        <v>0</v>
      </c>
      <c r="L1238" s="23" t="n">
        <f aca="false">ROUNDUP(E1238,0)</f>
        <v>1</v>
      </c>
    </row>
    <row r="1239" customFormat="false" ht="15" hidden="false" customHeight="false" outlineLevel="0" collapsed="false">
      <c r="A1239" s="6" t="s">
        <v>4</v>
      </c>
      <c r="B1239" s="6" t="s">
        <v>343</v>
      </c>
      <c r="C1239" s="6" t="n">
        <v>34</v>
      </c>
      <c r="D1239" s="25" t="n">
        <f aca="false">EDATE('Start Here'!$B$6,C1239-1)</f>
        <v>47331</v>
      </c>
      <c r="E1239" s="11" t="n">
        <f aca="false">IF(AND(C1239&gt;=Staffing!$F$26,C1239&lt;=Staffing!$G$26,1=1),IF(C1239&lt;=6,Staffing!$H$26,IF(C1239&lt;=15,Staffing!$I$26,IF(C1239&lt;=30,Staffing!$J$26,Staffing!$K$26))),0)</f>
        <v>0.5</v>
      </c>
      <c r="F1239" s="10" t="n">
        <f aca="false">E1239*Staffing!$L$26/12*(1+Assumptions!$D$10)^INT((C1239-1)/12)*1</f>
        <v>9013.33333333334</v>
      </c>
      <c r="G1239" s="10" t="n">
        <f aca="false">F1239*Staffing!$N$26</f>
        <v>0</v>
      </c>
      <c r="H1239" s="10" t="n">
        <f aca="false">F1239+G1239</f>
        <v>9013.33333333334</v>
      </c>
      <c r="I1239" s="10" t="n">
        <f aca="false">0</f>
        <v>0</v>
      </c>
      <c r="J1239" s="10" t="n">
        <f aca="false">MAX(0,E1239-E1238)*Staffing!$O$26</f>
        <v>0</v>
      </c>
      <c r="K1239" s="10" t="n">
        <f aca="false">MAX(0,E1239-E1238)*Staffing!$P$26</f>
        <v>0</v>
      </c>
      <c r="L1239" s="23" t="n">
        <f aca="false">ROUNDUP(E1239,0)</f>
        <v>1</v>
      </c>
    </row>
    <row r="1240" customFormat="false" ht="15" hidden="false" customHeight="false" outlineLevel="0" collapsed="false">
      <c r="A1240" s="6" t="s">
        <v>4</v>
      </c>
      <c r="B1240" s="6" t="s">
        <v>343</v>
      </c>
      <c r="C1240" s="6" t="n">
        <v>35</v>
      </c>
      <c r="D1240" s="25" t="n">
        <f aca="false">EDATE('Start Here'!$B$6,C1240-1)</f>
        <v>47362</v>
      </c>
      <c r="E1240" s="11" t="n">
        <f aca="false">IF(AND(C1240&gt;=Staffing!$F$26,C1240&lt;=Staffing!$G$26,1=1),IF(C1240&lt;=6,Staffing!$H$26,IF(C1240&lt;=15,Staffing!$I$26,IF(C1240&lt;=30,Staffing!$J$26,Staffing!$K$26))),0)</f>
        <v>0.5</v>
      </c>
      <c r="F1240" s="10" t="n">
        <f aca="false">E1240*Staffing!$L$26/12*(1+Assumptions!$D$10)^INT((C1240-1)/12)*1</f>
        <v>9013.33333333334</v>
      </c>
      <c r="G1240" s="10" t="n">
        <f aca="false">F1240*Staffing!$N$26</f>
        <v>0</v>
      </c>
      <c r="H1240" s="10" t="n">
        <f aca="false">F1240+G1240</f>
        <v>9013.33333333334</v>
      </c>
      <c r="I1240" s="10" t="n">
        <f aca="false">0</f>
        <v>0</v>
      </c>
      <c r="J1240" s="10" t="n">
        <f aca="false">MAX(0,E1240-E1239)*Staffing!$O$26</f>
        <v>0</v>
      </c>
      <c r="K1240" s="10" t="n">
        <f aca="false">MAX(0,E1240-E1239)*Staffing!$P$26</f>
        <v>0</v>
      </c>
      <c r="L1240" s="23" t="n">
        <f aca="false">ROUNDUP(E1240,0)</f>
        <v>1</v>
      </c>
    </row>
    <row r="1241" customFormat="false" ht="15" hidden="false" customHeight="false" outlineLevel="0" collapsed="false">
      <c r="A1241" s="6" t="s">
        <v>4</v>
      </c>
      <c r="B1241" s="6" t="s">
        <v>343</v>
      </c>
      <c r="C1241" s="6" t="n">
        <v>36</v>
      </c>
      <c r="D1241" s="25" t="n">
        <f aca="false">EDATE('Start Here'!$B$6,C1241-1)</f>
        <v>47392</v>
      </c>
      <c r="E1241" s="11" t="n">
        <f aca="false">IF(AND(C1241&gt;=Staffing!$F$26,C1241&lt;=Staffing!$G$26,1=1),IF(C1241&lt;=6,Staffing!$H$26,IF(C1241&lt;=15,Staffing!$I$26,IF(C1241&lt;=30,Staffing!$J$26,Staffing!$K$26))),0)</f>
        <v>0.5</v>
      </c>
      <c r="F1241" s="10" t="n">
        <f aca="false">E1241*Staffing!$L$26/12*(1+Assumptions!$D$10)^INT((C1241-1)/12)*1</f>
        <v>9013.33333333334</v>
      </c>
      <c r="G1241" s="10" t="n">
        <f aca="false">F1241*Staffing!$N$26</f>
        <v>0</v>
      </c>
      <c r="H1241" s="10" t="n">
        <f aca="false">F1241+G1241</f>
        <v>9013.33333333334</v>
      </c>
      <c r="I1241" s="10" t="n">
        <f aca="false">0</f>
        <v>0</v>
      </c>
      <c r="J1241" s="10" t="n">
        <f aca="false">MAX(0,E1241-E1240)*Staffing!$O$26</f>
        <v>0</v>
      </c>
      <c r="K1241" s="10" t="n">
        <f aca="false">MAX(0,E1241-E1240)*Staffing!$P$26</f>
        <v>0</v>
      </c>
      <c r="L1241" s="23" t="n">
        <f aca="false">ROUNDUP(E1241,0)</f>
        <v>1</v>
      </c>
    </row>
    <row r="1242" customFormat="false" ht="15" hidden="false" customHeight="false" outlineLevel="0" collapsed="false">
      <c r="A1242" s="6" t="s">
        <v>4</v>
      </c>
      <c r="B1242" s="6" t="s">
        <v>343</v>
      </c>
      <c r="C1242" s="6" t="n">
        <v>37</v>
      </c>
      <c r="D1242" s="25" t="n">
        <f aca="false">EDATE('Start Here'!$B$6,C1242-1)</f>
        <v>47423</v>
      </c>
      <c r="E1242" s="11" t="n">
        <f aca="false">IF(AND(C1242&gt;=Staffing!$F$26,C1242&lt;=Staffing!$G$26,1=1),IF(C1242&lt;=6,Staffing!$H$26,IF(C1242&lt;=15,Staffing!$I$26,IF(C1242&lt;=30,Staffing!$J$26,Staffing!$K$26))),0)</f>
        <v>0.5</v>
      </c>
      <c r="F1242" s="10" t="n">
        <f aca="false">E1242*Staffing!$L$26/12*(1+Assumptions!$D$10)^INT((C1242-1)/12)*1</f>
        <v>9373.86666666667</v>
      </c>
      <c r="G1242" s="10" t="n">
        <f aca="false">F1242*Staffing!$N$26</f>
        <v>0</v>
      </c>
      <c r="H1242" s="10" t="n">
        <f aca="false">F1242+G1242</f>
        <v>9373.86666666667</v>
      </c>
      <c r="I1242" s="10" t="n">
        <f aca="false">0</f>
        <v>0</v>
      </c>
      <c r="J1242" s="10" t="n">
        <f aca="false">MAX(0,E1242-E1241)*Staffing!$O$26</f>
        <v>0</v>
      </c>
      <c r="K1242" s="10" t="n">
        <f aca="false">MAX(0,E1242-E1241)*Staffing!$P$26</f>
        <v>0</v>
      </c>
      <c r="L1242" s="23" t="n">
        <f aca="false">ROUNDUP(E1242,0)</f>
        <v>1</v>
      </c>
    </row>
    <row r="1243" customFormat="false" ht="15" hidden="false" customHeight="false" outlineLevel="0" collapsed="false">
      <c r="A1243" s="6" t="s">
        <v>4</v>
      </c>
      <c r="B1243" s="6" t="s">
        <v>343</v>
      </c>
      <c r="C1243" s="6" t="n">
        <v>38</v>
      </c>
      <c r="D1243" s="25" t="n">
        <f aca="false">EDATE('Start Here'!$B$6,C1243-1)</f>
        <v>47453</v>
      </c>
      <c r="E1243" s="11" t="n">
        <f aca="false">IF(AND(C1243&gt;=Staffing!$F$26,C1243&lt;=Staffing!$G$26,1=1),IF(C1243&lt;=6,Staffing!$H$26,IF(C1243&lt;=15,Staffing!$I$26,IF(C1243&lt;=30,Staffing!$J$26,Staffing!$K$26))),0)</f>
        <v>0.5</v>
      </c>
      <c r="F1243" s="10" t="n">
        <f aca="false">E1243*Staffing!$L$26/12*(1+Assumptions!$D$10)^INT((C1243-1)/12)*1</f>
        <v>9373.86666666667</v>
      </c>
      <c r="G1243" s="10" t="n">
        <f aca="false">F1243*Staffing!$N$26</f>
        <v>0</v>
      </c>
      <c r="H1243" s="10" t="n">
        <f aca="false">F1243+G1243</f>
        <v>9373.86666666667</v>
      </c>
      <c r="I1243" s="10" t="n">
        <f aca="false">0</f>
        <v>0</v>
      </c>
      <c r="J1243" s="10" t="n">
        <f aca="false">MAX(0,E1243-E1242)*Staffing!$O$26</f>
        <v>0</v>
      </c>
      <c r="K1243" s="10" t="n">
        <f aca="false">MAX(0,E1243-E1242)*Staffing!$P$26</f>
        <v>0</v>
      </c>
      <c r="L1243" s="23" t="n">
        <f aca="false">ROUNDUP(E1243,0)</f>
        <v>1</v>
      </c>
    </row>
    <row r="1244" customFormat="false" ht="15" hidden="false" customHeight="false" outlineLevel="0" collapsed="false">
      <c r="A1244" s="6" t="s">
        <v>4</v>
      </c>
      <c r="B1244" s="6" t="s">
        <v>343</v>
      </c>
      <c r="C1244" s="6" t="n">
        <v>39</v>
      </c>
      <c r="D1244" s="25" t="n">
        <f aca="false">EDATE('Start Here'!$B$6,C1244-1)</f>
        <v>47484</v>
      </c>
      <c r="E1244" s="11" t="n">
        <f aca="false">IF(AND(C1244&gt;=Staffing!$F$26,C1244&lt;=Staffing!$G$26,1=1),IF(C1244&lt;=6,Staffing!$H$26,IF(C1244&lt;=15,Staffing!$I$26,IF(C1244&lt;=30,Staffing!$J$26,Staffing!$K$26))),0)</f>
        <v>0.5</v>
      </c>
      <c r="F1244" s="10" t="n">
        <f aca="false">E1244*Staffing!$L$26/12*(1+Assumptions!$D$10)^INT((C1244-1)/12)*1</f>
        <v>9373.86666666667</v>
      </c>
      <c r="G1244" s="10" t="n">
        <f aca="false">F1244*Staffing!$N$26</f>
        <v>0</v>
      </c>
      <c r="H1244" s="10" t="n">
        <f aca="false">F1244+G1244</f>
        <v>9373.86666666667</v>
      </c>
      <c r="I1244" s="10" t="n">
        <f aca="false">0</f>
        <v>0</v>
      </c>
      <c r="J1244" s="10" t="n">
        <f aca="false">MAX(0,E1244-E1243)*Staffing!$O$26</f>
        <v>0</v>
      </c>
      <c r="K1244" s="10" t="n">
        <f aca="false">MAX(0,E1244-E1243)*Staffing!$P$26</f>
        <v>0</v>
      </c>
      <c r="L1244" s="23" t="n">
        <f aca="false">ROUNDUP(E1244,0)</f>
        <v>1</v>
      </c>
    </row>
    <row r="1245" customFormat="false" ht="15" hidden="false" customHeight="false" outlineLevel="0" collapsed="false">
      <c r="A1245" s="6" t="s">
        <v>4</v>
      </c>
      <c r="B1245" s="6" t="s">
        <v>343</v>
      </c>
      <c r="C1245" s="6" t="n">
        <v>40</v>
      </c>
      <c r="D1245" s="25" t="n">
        <f aca="false">EDATE('Start Here'!$B$6,C1245-1)</f>
        <v>47515</v>
      </c>
      <c r="E1245" s="11" t="n">
        <f aca="false">IF(AND(C1245&gt;=Staffing!$F$26,C1245&lt;=Staffing!$G$26,1=1),IF(C1245&lt;=6,Staffing!$H$26,IF(C1245&lt;=15,Staffing!$I$26,IF(C1245&lt;=30,Staffing!$J$26,Staffing!$K$26))),0)</f>
        <v>0.5</v>
      </c>
      <c r="F1245" s="10" t="n">
        <f aca="false">E1245*Staffing!$L$26/12*(1+Assumptions!$D$10)^INT((C1245-1)/12)*1</f>
        <v>9373.86666666667</v>
      </c>
      <c r="G1245" s="10" t="n">
        <f aca="false">F1245*Staffing!$N$26</f>
        <v>0</v>
      </c>
      <c r="H1245" s="10" t="n">
        <f aca="false">F1245+G1245</f>
        <v>9373.86666666667</v>
      </c>
      <c r="I1245" s="10" t="n">
        <f aca="false">0</f>
        <v>0</v>
      </c>
      <c r="J1245" s="10" t="n">
        <f aca="false">MAX(0,E1245-E1244)*Staffing!$O$26</f>
        <v>0</v>
      </c>
      <c r="K1245" s="10" t="n">
        <f aca="false">MAX(0,E1245-E1244)*Staffing!$P$26</f>
        <v>0</v>
      </c>
      <c r="L1245" s="23" t="n">
        <f aca="false">ROUNDUP(E1245,0)</f>
        <v>1</v>
      </c>
    </row>
    <row r="1246" customFormat="false" ht="15" hidden="false" customHeight="false" outlineLevel="0" collapsed="false">
      <c r="A1246" s="6" t="s">
        <v>4</v>
      </c>
      <c r="B1246" s="6" t="s">
        <v>343</v>
      </c>
      <c r="C1246" s="6" t="n">
        <v>41</v>
      </c>
      <c r="D1246" s="25" t="n">
        <f aca="false">EDATE('Start Here'!$B$6,C1246-1)</f>
        <v>47543</v>
      </c>
      <c r="E1246" s="11" t="n">
        <f aca="false">IF(AND(C1246&gt;=Staffing!$F$26,C1246&lt;=Staffing!$G$26,1=1),IF(C1246&lt;=6,Staffing!$H$26,IF(C1246&lt;=15,Staffing!$I$26,IF(C1246&lt;=30,Staffing!$J$26,Staffing!$K$26))),0)</f>
        <v>0.5</v>
      </c>
      <c r="F1246" s="10" t="n">
        <f aca="false">E1246*Staffing!$L$26/12*(1+Assumptions!$D$10)^INT((C1246-1)/12)*1</f>
        <v>9373.86666666667</v>
      </c>
      <c r="G1246" s="10" t="n">
        <f aca="false">F1246*Staffing!$N$26</f>
        <v>0</v>
      </c>
      <c r="H1246" s="10" t="n">
        <f aca="false">F1246+G1246</f>
        <v>9373.86666666667</v>
      </c>
      <c r="I1246" s="10" t="n">
        <f aca="false">0</f>
        <v>0</v>
      </c>
      <c r="J1246" s="10" t="n">
        <f aca="false">MAX(0,E1246-E1245)*Staffing!$O$26</f>
        <v>0</v>
      </c>
      <c r="K1246" s="10" t="n">
        <f aca="false">MAX(0,E1246-E1245)*Staffing!$P$26</f>
        <v>0</v>
      </c>
      <c r="L1246" s="23" t="n">
        <f aca="false">ROUNDUP(E1246,0)</f>
        <v>1</v>
      </c>
    </row>
    <row r="1247" customFormat="false" ht="15" hidden="false" customHeight="false" outlineLevel="0" collapsed="false">
      <c r="A1247" s="6" t="s">
        <v>4</v>
      </c>
      <c r="B1247" s="6" t="s">
        <v>343</v>
      </c>
      <c r="C1247" s="6" t="n">
        <v>42</v>
      </c>
      <c r="D1247" s="25" t="n">
        <f aca="false">EDATE('Start Here'!$B$6,C1247-1)</f>
        <v>47574</v>
      </c>
      <c r="E1247" s="11" t="n">
        <f aca="false">IF(AND(C1247&gt;=Staffing!$F$26,C1247&lt;=Staffing!$G$26,1=1),IF(C1247&lt;=6,Staffing!$H$26,IF(C1247&lt;=15,Staffing!$I$26,IF(C1247&lt;=30,Staffing!$J$26,Staffing!$K$26))),0)</f>
        <v>0.5</v>
      </c>
      <c r="F1247" s="10" t="n">
        <f aca="false">E1247*Staffing!$L$26/12*(1+Assumptions!$D$10)^INT((C1247-1)/12)*1</f>
        <v>9373.86666666667</v>
      </c>
      <c r="G1247" s="10" t="n">
        <f aca="false">F1247*Staffing!$N$26</f>
        <v>0</v>
      </c>
      <c r="H1247" s="10" t="n">
        <f aca="false">F1247+G1247</f>
        <v>9373.86666666667</v>
      </c>
      <c r="I1247" s="10" t="n">
        <f aca="false">0</f>
        <v>0</v>
      </c>
      <c r="J1247" s="10" t="n">
        <f aca="false">MAX(0,E1247-E1246)*Staffing!$O$26</f>
        <v>0</v>
      </c>
      <c r="K1247" s="10" t="n">
        <f aca="false">MAX(0,E1247-E1246)*Staffing!$P$26</f>
        <v>0</v>
      </c>
      <c r="L1247" s="23" t="n">
        <f aca="false">ROUNDUP(E1247,0)</f>
        <v>1</v>
      </c>
    </row>
    <row r="1248" customFormat="false" ht="15" hidden="false" customHeight="false" outlineLevel="0" collapsed="false">
      <c r="A1248" s="6" t="s">
        <v>4</v>
      </c>
      <c r="B1248" s="6" t="s">
        <v>343</v>
      </c>
      <c r="C1248" s="6" t="n">
        <v>43</v>
      </c>
      <c r="D1248" s="25" t="n">
        <f aca="false">EDATE('Start Here'!$B$6,C1248-1)</f>
        <v>47604</v>
      </c>
      <c r="E1248" s="11" t="n">
        <f aca="false">IF(AND(C1248&gt;=Staffing!$F$26,C1248&lt;=Staffing!$G$26,1=1),IF(C1248&lt;=6,Staffing!$H$26,IF(C1248&lt;=15,Staffing!$I$26,IF(C1248&lt;=30,Staffing!$J$26,Staffing!$K$26))),0)</f>
        <v>0.5</v>
      </c>
      <c r="F1248" s="10" t="n">
        <f aca="false">E1248*Staffing!$L$26/12*(1+Assumptions!$D$10)^INT((C1248-1)/12)*1</f>
        <v>9373.86666666667</v>
      </c>
      <c r="G1248" s="10" t="n">
        <f aca="false">F1248*Staffing!$N$26</f>
        <v>0</v>
      </c>
      <c r="H1248" s="10" t="n">
        <f aca="false">F1248+G1248</f>
        <v>9373.86666666667</v>
      </c>
      <c r="I1248" s="10" t="n">
        <f aca="false">0</f>
        <v>0</v>
      </c>
      <c r="J1248" s="10" t="n">
        <f aca="false">MAX(0,E1248-E1247)*Staffing!$O$26</f>
        <v>0</v>
      </c>
      <c r="K1248" s="10" t="n">
        <f aca="false">MAX(0,E1248-E1247)*Staffing!$P$26</f>
        <v>0</v>
      </c>
      <c r="L1248" s="23" t="n">
        <f aca="false">ROUNDUP(E1248,0)</f>
        <v>1</v>
      </c>
    </row>
    <row r="1249" customFormat="false" ht="15" hidden="false" customHeight="false" outlineLevel="0" collapsed="false">
      <c r="A1249" s="6" t="s">
        <v>4</v>
      </c>
      <c r="B1249" s="6" t="s">
        <v>343</v>
      </c>
      <c r="C1249" s="6" t="n">
        <v>44</v>
      </c>
      <c r="D1249" s="25" t="n">
        <f aca="false">EDATE('Start Here'!$B$6,C1249-1)</f>
        <v>47635</v>
      </c>
      <c r="E1249" s="11" t="n">
        <f aca="false">IF(AND(C1249&gt;=Staffing!$F$26,C1249&lt;=Staffing!$G$26,1=1),IF(C1249&lt;=6,Staffing!$H$26,IF(C1249&lt;=15,Staffing!$I$26,IF(C1249&lt;=30,Staffing!$J$26,Staffing!$K$26))),0)</f>
        <v>0.5</v>
      </c>
      <c r="F1249" s="10" t="n">
        <f aca="false">E1249*Staffing!$L$26/12*(1+Assumptions!$D$10)^INT((C1249-1)/12)*1</f>
        <v>9373.86666666667</v>
      </c>
      <c r="G1249" s="10" t="n">
        <f aca="false">F1249*Staffing!$N$26</f>
        <v>0</v>
      </c>
      <c r="H1249" s="10" t="n">
        <f aca="false">F1249+G1249</f>
        <v>9373.86666666667</v>
      </c>
      <c r="I1249" s="10" t="n">
        <f aca="false">0</f>
        <v>0</v>
      </c>
      <c r="J1249" s="10" t="n">
        <f aca="false">MAX(0,E1249-E1248)*Staffing!$O$26</f>
        <v>0</v>
      </c>
      <c r="K1249" s="10" t="n">
        <f aca="false">MAX(0,E1249-E1248)*Staffing!$P$26</f>
        <v>0</v>
      </c>
      <c r="L1249" s="23" t="n">
        <f aca="false">ROUNDUP(E1249,0)</f>
        <v>1</v>
      </c>
    </row>
    <row r="1250" customFormat="false" ht="15" hidden="false" customHeight="false" outlineLevel="0" collapsed="false">
      <c r="A1250" s="6" t="s">
        <v>4</v>
      </c>
      <c r="B1250" s="6" t="s">
        <v>343</v>
      </c>
      <c r="C1250" s="6" t="n">
        <v>45</v>
      </c>
      <c r="D1250" s="25" t="n">
        <f aca="false">EDATE('Start Here'!$B$6,C1250-1)</f>
        <v>47665</v>
      </c>
      <c r="E1250" s="11" t="n">
        <f aca="false">IF(AND(C1250&gt;=Staffing!$F$26,C1250&lt;=Staffing!$G$26,1=1),IF(C1250&lt;=6,Staffing!$H$26,IF(C1250&lt;=15,Staffing!$I$26,IF(C1250&lt;=30,Staffing!$J$26,Staffing!$K$26))),0)</f>
        <v>0.5</v>
      </c>
      <c r="F1250" s="10" t="n">
        <f aca="false">E1250*Staffing!$L$26/12*(1+Assumptions!$D$10)^INT((C1250-1)/12)*1</f>
        <v>9373.86666666667</v>
      </c>
      <c r="G1250" s="10" t="n">
        <f aca="false">F1250*Staffing!$N$26</f>
        <v>0</v>
      </c>
      <c r="H1250" s="10" t="n">
        <f aca="false">F1250+G1250</f>
        <v>9373.86666666667</v>
      </c>
      <c r="I1250" s="10" t="n">
        <f aca="false">0</f>
        <v>0</v>
      </c>
      <c r="J1250" s="10" t="n">
        <f aca="false">MAX(0,E1250-E1249)*Staffing!$O$26</f>
        <v>0</v>
      </c>
      <c r="K1250" s="10" t="n">
        <f aca="false">MAX(0,E1250-E1249)*Staffing!$P$26</f>
        <v>0</v>
      </c>
      <c r="L1250" s="23" t="n">
        <f aca="false">ROUNDUP(E1250,0)</f>
        <v>1</v>
      </c>
    </row>
    <row r="1251" customFormat="false" ht="15" hidden="false" customHeight="false" outlineLevel="0" collapsed="false">
      <c r="A1251" s="6" t="s">
        <v>4</v>
      </c>
      <c r="B1251" s="6" t="s">
        <v>343</v>
      </c>
      <c r="C1251" s="6" t="n">
        <v>46</v>
      </c>
      <c r="D1251" s="25" t="n">
        <f aca="false">EDATE('Start Here'!$B$6,C1251-1)</f>
        <v>47696</v>
      </c>
      <c r="E1251" s="11" t="n">
        <f aca="false">IF(AND(C1251&gt;=Staffing!$F$26,C1251&lt;=Staffing!$G$26,1=1),IF(C1251&lt;=6,Staffing!$H$26,IF(C1251&lt;=15,Staffing!$I$26,IF(C1251&lt;=30,Staffing!$J$26,Staffing!$K$26))),0)</f>
        <v>0.5</v>
      </c>
      <c r="F1251" s="10" t="n">
        <f aca="false">E1251*Staffing!$L$26/12*(1+Assumptions!$D$10)^INT((C1251-1)/12)*1</f>
        <v>9373.86666666667</v>
      </c>
      <c r="G1251" s="10" t="n">
        <f aca="false">F1251*Staffing!$N$26</f>
        <v>0</v>
      </c>
      <c r="H1251" s="10" t="n">
        <f aca="false">F1251+G1251</f>
        <v>9373.86666666667</v>
      </c>
      <c r="I1251" s="10" t="n">
        <f aca="false">0</f>
        <v>0</v>
      </c>
      <c r="J1251" s="10" t="n">
        <f aca="false">MAX(0,E1251-E1250)*Staffing!$O$26</f>
        <v>0</v>
      </c>
      <c r="K1251" s="10" t="n">
        <f aca="false">MAX(0,E1251-E1250)*Staffing!$P$26</f>
        <v>0</v>
      </c>
      <c r="L1251" s="23" t="n">
        <f aca="false">ROUNDUP(E1251,0)</f>
        <v>1</v>
      </c>
    </row>
    <row r="1252" customFormat="false" ht="15" hidden="false" customHeight="false" outlineLevel="0" collapsed="false">
      <c r="A1252" s="6" t="s">
        <v>4</v>
      </c>
      <c r="B1252" s="6" t="s">
        <v>343</v>
      </c>
      <c r="C1252" s="6" t="n">
        <v>47</v>
      </c>
      <c r="D1252" s="25" t="n">
        <f aca="false">EDATE('Start Here'!$B$6,C1252-1)</f>
        <v>47727</v>
      </c>
      <c r="E1252" s="11" t="n">
        <f aca="false">IF(AND(C1252&gt;=Staffing!$F$26,C1252&lt;=Staffing!$G$26,1=1),IF(C1252&lt;=6,Staffing!$H$26,IF(C1252&lt;=15,Staffing!$I$26,IF(C1252&lt;=30,Staffing!$J$26,Staffing!$K$26))),0)</f>
        <v>0.5</v>
      </c>
      <c r="F1252" s="10" t="n">
        <f aca="false">E1252*Staffing!$L$26/12*(1+Assumptions!$D$10)^INT((C1252-1)/12)*1</f>
        <v>9373.86666666667</v>
      </c>
      <c r="G1252" s="10" t="n">
        <f aca="false">F1252*Staffing!$N$26</f>
        <v>0</v>
      </c>
      <c r="H1252" s="10" t="n">
        <f aca="false">F1252+G1252</f>
        <v>9373.86666666667</v>
      </c>
      <c r="I1252" s="10" t="n">
        <f aca="false">0</f>
        <v>0</v>
      </c>
      <c r="J1252" s="10" t="n">
        <f aca="false">MAX(0,E1252-E1251)*Staffing!$O$26</f>
        <v>0</v>
      </c>
      <c r="K1252" s="10" t="n">
        <f aca="false">MAX(0,E1252-E1251)*Staffing!$P$26</f>
        <v>0</v>
      </c>
      <c r="L1252" s="23" t="n">
        <f aca="false">ROUNDUP(E1252,0)</f>
        <v>1</v>
      </c>
    </row>
    <row r="1253" customFormat="false" ht="15" hidden="false" customHeight="false" outlineLevel="0" collapsed="false">
      <c r="A1253" s="6" t="s">
        <v>4</v>
      </c>
      <c r="B1253" s="6" t="s">
        <v>343</v>
      </c>
      <c r="C1253" s="6" t="n">
        <v>48</v>
      </c>
      <c r="D1253" s="25" t="n">
        <f aca="false">EDATE('Start Here'!$B$6,C1253-1)</f>
        <v>47757</v>
      </c>
      <c r="E1253" s="11" t="n">
        <f aca="false">IF(AND(C1253&gt;=Staffing!$F$26,C1253&lt;=Staffing!$G$26,1=1),IF(C1253&lt;=6,Staffing!$H$26,IF(C1253&lt;=15,Staffing!$I$26,IF(C1253&lt;=30,Staffing!$J$26,Staffing!$K$26))),0)</f>
        <v>0.5</v>
      </c>
      <c r="F1253" s="10" t="n">
        <f aca="false">E1253*Staffing!$L$26/12*(1+Assumptions!$D$10)^INT((C1253-1)/12)*1</f>
        <v>9373.86666666667</v>
      </c>
      <c r="G1253" s="10" t="n">
        <f aca="false">F1253*Staffing!$N$26</f>
        <v>0</v>
      </c>
      <c r="H1253" s="10" t="n">
        <f aca="false">F1253+G1253</f>
        <v>9373.86666666667</v>
      </c>
      <c r="I1253" s="10" t="n">
        <f aca="false">0</f>
        <v>0</v>
      </c>
      <c r="J1253" s="10" t="n">
        <f aca="false">MAX(0,E1253-E1252)*Staffing!$O$26</f>
        <v>0</v>
      </c>
      <c r="K1253" s="10" t="n">
        <f aca="false">MAX(0,E1253-E1252)*Staffing!$P$26</f>
        <v>0</v>
      </c>
      <c r="L1253" s="23" t="n">
        <f aca="false">ROUNDUP(E1253,0)</f>
        <v>1</v>
      </c>
    </row>
    <row r="1254" customFormat="false" ht="15" hidden="false" customHeight="false" outlineLevel="0" collapsed="false">
      <c r="A1254" s="6" t="s">
        <v>4</v>
      </c>
      <c r="B1254" s="6" t="s">
        <v>343</v>
      </c>
      <c r="C1254" s="6" t="n">
        <v>49</v>
      </c>
      <c r="D1254" s="25" t="n">
        <f aca="false">EDATE('Start Here'!$B$6,C1254-1)</f>
        <v>47788</v>
      </c>
      <c r="E1254" s="11" t="n">
        <f aca="false">IF(AND(C1254&gt;=Staffing!$F$26,C1254&lt;=Staffing!$G$26,1=1),IF(C1254&lt;=6,Staffing!$H$26,IF(C1254&lt;=15,Staffing!$I$26,IF(C1254&lt;=30,Staffing!$J$26,Staffing!$K$26))),0)</f>
        <v>0.5</v>
      </c>
      <c r="F1254" s="10" t="n">
        <f aca="false">E1254*Staffing!$L$26/12*(1+Assumptions!$D$10)^INT((C1254-1)/12)*1</f>
        <v>9748.82133333334</v>
      </c>
      <c r="G1254" s="10" t="n">
        <f aca="false">F1254*Staffing!$N$26</f>
        <v>0</v>
      </c>
      <c r="H1254" s="10" t="n">
        <f aca="false">F1254+G1254</f>
        <v>9748.82133333334</v>
      </c>
      <c r="I1254" s="10" t="n">
        <f aca="false">0</f>
        <v>0</v>
      </c>
      <c r="J1254" s="10" t="n">
        <f aca="false">MAX(0,E1254-E1253)*Staffing!$O$26</f>
        <v>0</v>
      </c>
      <c r="K1254" s="10" t="n">
        <f aca="false">MAX(0,E1254-E1253)*Staffing!$P$26</f>
        <v>0</v>
      </c>
      <c r="L1254" s="23" t="n">
        <f aca="false">ROUNDUP(E1254,0)</f>
        <v>1</v>
      </c>
    </row>
    <row r="1255" customFormat="false" ht="15" hidden="false" customHeight="false" outlineLevel="0" collapsed="false">
      <c r="A1255" s="6" t="s">
        <v>4</v>
      </c>
      <c r="B1255" s="6" t="s">
        <v>343</v>
      </c>
      <c r="C1255" s="6" t="n">
        <v>50</v>
      </c>
      <c r="D1255" s="25" t="n">
        <f aca="false">EDATE('Start Here'!$B$6,C1255-1)</f>
        <v>47818</v>
      </c>
      <c r="E1255" s="11" t="n">
        <f aca="false">IF(AND(C1255&gt;=Staffing!$F$26,C1255&lt;=Staffing!$G$26,1=1),IF(C1255&lt;=6,Staffing!$H$26,IF(C1255&lt;=15,Staffing!$I$26,IF(C1255&lt;=30,Staffing!$J$26,Staffing!$K$26))),0)</f>
        <v>0.5</v>
      </c>
      <c r="F1255" s="10" t="n">
        <f aca="false">E1255*Staffing!$L$26/12*(1+Assumptions!$D$10)^INT((C1255-1)/12)*1</f>
        <v>9748.82133333334</v>
      </c>
      <c r="G1255" s="10" t="n">
        <f aca="false">F1255*Staffing!$N$26</f>
        <v>0</v>
      </c>
      <c r="H1255" s="10" t="n">
        <f aca="false">F1255+G1255</f>
        <v>9748.82133333334</v>
      </c>
      <c r="I1255" s="10" t="n">
        <f aca="false">0</f>
        <v>0</v>
      </c>
      <c r="J1255" s="10" t="n">
        <f aca="false">MAX(0,E1255-E1254)*Staffing!$O$26</f>
        <v>0</v>
      </c>
      <c r="K1255" s="10" t="n">
        <f aca="false">MAX(0,E1255-E1254)*Staffing!$P$26</f>
        <v>0</v>
      </c>
      <c r="L1255" s="23" t="n">
        <f aca="false">ROUNDUP(E1255,0)</f>
        <v>1</v>
      </c>
    </row>
    <row r="1256" customFormat="false" ht="15" hidden="false" customHeight="false" outlineLevel="0" collapsed="false">
      <c r="A1256" s="6" t="s">
        <v>4</v>
      </c>
      <c r="B1256" s="6" t="s">
        <v>343</v>
      </c>
      <c r="C1256" s="6" t="n">
        <v>51</v>
      </c>
      <c r="D1256" s="25" t="n">
        <f aca="false">EDATE('Start Here'!$B$6,C1256-1)</f>
        <v>47849</v>
      </c>
      <c r="E1256" s="11" t="n">
        <f aca="false">IF(AND(C1256&gt;=Staffing!$F$26,C1256&lt;=Staffing!$G$26,1=1),IF(C1256&lt;=6,Staffing!$H$26,IF(C1256&lt;=15,Staffing!$I$26,IF(C1256&lt;=30,Staffing!$J$26,Staffing!$K$26))),0)</f>
        <v>0.5</v>
      </c>
      <c r="F1256" s="10" t="n">
        <f aca="false">E1256*Staffing!$L$26/12*(1+Assumptions!$D$10)^INT((C1256-1)/12)*1</f>
        <v>9748.82133333334</v>
      </c>
      <c r="G1256" s="10" t="n">
        <f aca="false">F1256*Staffing!$N$26</f>
        <v>0</v>
      </c>
      <c r="H1256" s="10" t="n">
        <f aca="false">F1256+G1256</f>
        <v>9748.82133333334</v>
      </c>
      <c r="I1256" s="10" t="n">
        <f aca="false">0</f>
        <v>0</v>
      </c>
      <c r="J1256" s="10" t="n">
        <f aca="false">MAX(0,E1256-E1255)*Staffing!$O$26</f>
        <v>0</v>
      </c>
      <c r="K1256" s="10" t="n">
        <f aca="false">MAX(0,E1256-E1255)*Staffing!$P$26</f>
        <v>0</v>
      </c>
      <c r="L1256" s="23" t="n">
        <f aca="false">ROUNDUP(E1256,0)</f>
        <v>1</v>
      </c>
    </row>
    <row r="1257" customFormat="false" ht="15" hidden="false" customHeight="false" outlineLevel="0" collapsed="false">
      <c r="A1257" s="6" t="s">
        <v>4</v>
      </c>
      <c r="B1257" s="6" t="s">
        <v>343</v>
      </c>
      <c r="C1257" s="6" t="n">
        <v>52</v>
      </c>
      <c r="D1257" s="25" t="n">
        <f aca="false">EDATE('Start Here'!$B$6,C1257-1)</f>
        <v>47880</v>
      </c>
      <c r="E1257" s="11" t="n">
        <f aca="false">IF(AND(C1257&gt;=Staffing!$F$26,C1257&lt;=Staffing!$G$26,1=1),IF(C1257&lt;=6,Staffing!$H$26,IF(C1257&lt;=15,Staffing!$I$26,IF(C1257&lt;=30,Staffing!$J$26,Staffing!$K$26))),0)</f>
        <v>0.5</v>
      </c>
      <c r="F1257" s="10" t="n">
        <f aca="false">E1257*Staffing!$L$26/12*(1+Assumptions!$D$10)^INT((C1257-1)/12)*1</f>
        <v>9748.82133333334</v>
      </c>
      <c r="G1257" s="10" t="n">
        <f aca="false">F1257*Staffing!$N$26</f>
        <v>0</v>
      </c>
      <c r="H1257" s="10" t="n">
        <f aca="false">F1257+G1257</f>
        <v>9748.82133333334</v>
      </c>
      <c r="I1257" s="10" t="n">
        <f aca="false">0</f>
        <v>0</v>
      </c>
      <c r="J1257" s="10" t="n">
        <f aca="false">MAX(0,E1257-E1256)*Staffing!$O$26</f>
        <v>0</v>
      </c>
      <c r="K1257" s="10" t="n">
        <f aca="false">MAX(0,E1257-E1256)*Staffing!$P$26</f>
        <v>0</v>
      </c>
      <c r="L1257" s="23" t="n">
        <f aca="false">ROUNDUP(E1257,0)</f>
        <v>1</v>
      </c>
    </row>
    <row r="1258" customFormat="false" ht="15" hidden="false" customHeight="false" outlineLevel="0" collapsed="false">
      <c r="A1258" s="6" t="s">
        <v>4</v>
      </c>
      <c r="B1258" s="6" t="s">
        <v>343</v>
      </c>
      <c r="C1258" s="6" t="n">
        <v>53</v>
      </c>
      <c r="D1258" s="25" t="n">
        <f aca="false">EDATE('Start Here'!$B$6,C1258-1)</f>
        <v>47908</v>
      </c>
      <c r="E1258" s="11" t="n">
        <f aca="false">IF(AND(C1258&gt;=Staffing!$F$26,C1258&lt;=Staffing!$G$26,1=1),IF(C1258&lt;=6,Staffing!$H$26,IF(C1258&lt;=15,Staffing!$I$26,IF(C1258&lt;=30,Staffing!$J$26,Staffing!$K$26))),0)</f>
        <v>0.5</v>
      </c>
      <c r="F1258" s="10" t="n">
        <f aca="false">E1258*Staffing!$L$26/12*(1+Assumptions!$D$10)^INT((C1258-1)/12)*1</f>
        <v>9748.82133333334</v>
      </c>
      <c r="G1258" s="10" t="n">
        <f aca="false">F1258*Staffing!$N$26</f>
        <v>0</v>
      </c>
      <c r="H1258" s="10" t="n">
        <f aca="false">F1258+G1258</f>
        <v>9748.82133333334</v>
      </c>
      <c r="I1258" s="10" t="n">
        <f aca="false">0</f>
        <v>0</v>
      </c>
      <c r="J1258" s="10" t="n">
        <f aca="false">MAX(0,E1258-E1257)*Staffing!$O$26</f>
        <v>0</v>
      </c>
      <c r="K1258" s="10" t="n">
        <f aca="false">MAX(0,E1258-E1257)*Staffing!$P$26</f>
        <v>0</v>
      </c>
      <c r="L1258" s="23" t="n">
        <f aca="false">ROUNDUP(E1258,0)</f>
        <v>1</v>
      </c>
    </row>
    <row r="1259" customFormat="false" ht="15" hidden="false" customHeight="false" outlineLevel="0" collapsed="false">
      <c r="A1259" s="6" t="s">
        <v>4</v>
      </c>
      <c r="B1259" s="6" t="s">
        <v>343</v>
      </c>
      <c r="C1259" s="6" t="n">
        <v>54</v>
      </c>
      <c r="D1259" s="25" t="n">
        <f aca="false">EDATE('Start Here'!$B$6,C1259-1)</f>
        <v>47939</v>
      </c>
      <c r="E1259" s="11" t="n">
        <f aca="false">IF(AND(C1259&gt;=Staffing!$F$26,C1259&lt;=Staffing!$G$26,1=1),IF(C1259&lt;=6,Staffing!$H$26,IF(C1259&lt;=15,Staffing!$I$26,IF(C1259&lt;=30,Staffing!$J$26,Staffing!$K$26))),0)</f>
        <v>0.5</v>
      </c>
      <c r="F1259" s="10" t="n">
        <f aca="false">E1259*Staffing!$L$26/12*(1+Assumptions!$D$10)^INT((C1259-1)/12)*1</f>
        <v>9748.82133333334</v>
      </c>
      <c r="G1259" s="10" t="n">
        <f aca="false">F1259*Staffing!$N$26</f>
        <v>0</v>
      </c>
      <c r="H1259" s="10" t="n">
        <f aca="false">F1259+G1259</f>
        <v>9748.82133333334</v>
      </c>
      <c r="I1259" s="10" t="n">
        <f aca="false">0</f>
        <v>0</v>
      </c>
      <c r="J1259" s="10" t="n">
        <f aca="false">MAX(0,E1259-E1258)*Staffing!$O$26</f>
        <v>0</v>
      </c>
      <c r="K1259" s="10" t="n">
        <f aca="false">MAX(0,E1259-E1258)*Staffing!$P$26</f>
        <v>0</v>
      </c>
      <c r="L1259" s="23" t="n">
        <f aca="false">ROUNDUP(E1259,0)</f>
        <v>1</v>
      </c>
    </row>
    <row r="1260" customFormat="false" ht="15" hidden="false" customHeight="false" outlineLevel="0" collapsed="false">
      <c r="A1260" s="6" t="s">
        <v>4</v>
      </c>
      <c r="B1260" s="6" t="s">
        <v>343</v>
      </c>
      <c r="C1260" s="6" t="n">
        <v>55</v>
      </c>
      <c r="D1260" s="25" t="n">
        <f aca="false">EDATE('Start Here'!$B$6,C1260-1)</f>
        <v>47969</v>
      </c>
      <c r="E1260" s="11" t="n">
        <f aca="false">IF(AND(C1260&gt;=Staffing!$F$26,C1260&lt;=Staffing!$G$26,1=1),IF(C1260&lt;=6,Staffing!$H$26,IF(C1260&lt;=15,Staffing!$I$26,IF(C1260&lt;=30,Staffing!$J$26,Staffing!$K$26))),0)</f>
        <v>0.5</v>
      </c>
      <c r="F1260" s="10" t="n">
        <f aca="false">E1260*Staffing!$L$26/12*(1+Assumptions!$D$10)^INT((C1260-1)/12)*1</f>
        <v>9748.82133333334</v>
      </c>
      <c r="G1260" s="10" t="n">
        <f aca="false">F1260*Staffing!$N$26</f>
        <v>0</v>
      </c>
      <c r="H1260" s="10" t="n">
        <f aca="false">F1260+G1260</f>
        <v>9748.82133333334</v>
      </c>
      <c r="I1260" s="10" t="n">
        <f aca="false">0</f>
        <v>0</v>
      </c>
      <c r="J1260" s="10" t="n">
        <f aca="false">MAX(0,E1260-E1259)*Staffing!$O$26</f>
        <v>0</v>
      </c>
      <c r="K1260" s="10" t="n">
        <f aca="false">MAX(0,E1260-E1259)*Staffing!$P$26</f>
        <v>0</v>
      </c>
      <c r="L1260" s="23" t="n">
        <f aca="false">ROUNDUP(E1260,0)</f>
        <v>1</v>
      </c>
    </row>
    <row r="1261" customFormat="false" ht="15" hidden="false" customHeight="false" outlineLevel="0" collapsed="false">
      <c r="A1261" s="6" t="s">
        <v>4</v>
      </c>
      <c r="B1261" s="6" t="s">
        <v>343</v>
      </c>
      <c r="C1261" s="6" t="n">
        <v>56</v>
      </c>
      <c r="D1261" s="25" t="n">
        <f aca="false">EDATE('Start Here'!$B$6,C1261-1)</f>
        <v>48000</v>
      </c>
      <c r="E1261" s="11" t="n">
        <f aca="false">IF(AND(C1261&gt;=Staffing!$F$26,C1261&lt;=Staffing!$G$26,1=1),IF(C1261&lt;=6,Staffing!$H$26,IF(C1261&lt;=15,Staffing!$I$26,IF(C1261&lt;=30,Staffing!$J$26,Staffing!$K$26))),0)</f>
        <v>0.5</v>
      </c>
      <c r="F1261" s="10" t="n">
        <f aca="false">E1261*Staffing!$L$26/12*(1+Assumptions!$D$10)^INT((C1261-1)/12)*1</f>
        <v>9748.82133333334</v>
      </c>
      <c r="G1261" s="10" t="n">
        <f aca="false">F1261*Staffing!$N$26</f>
        <v>0</v>
      </c>
      <c r="H1261" s="10" t="n">
        <f aca="false">F1261+G1261</f>
        <v>9748.82133333334</v>
      </c>
      <c r="I1261" s="10" t="n">
        <f aca="false">0</f>
        <v>0</v>
      </c>
      <c r="J1261" s="10" t="n">
        <f aca="false">MAX(0,E1261-E1260)*Staffing!$O$26</f>
        <v>0</v>
      </c>
      <c r="K1261" s="10" t="n">
        <f aca="false">MAX(0,E1261-E1260)*Staffing!$P$26</f>
        <v>0</v>
      </c>
      <c r="L1261" s="23" t="n">
        <f aca="false">ROUNDUP(E1261,0)</f>
        <v>1</v>
      </c>
    </row>
    <row r="1262" customFormat="false" ht="15" hidden="false" customHeight="false" outlineLevel="0" collapsed="false">
      <c r="A1262" s="6" t="s">
        <v>4</v>
      </c>
      <c r="B1262" s="6" t="s">
        <v>343</v>
      </c>
      <c r="C1262" s="6" t="n">
        <v>57</v>
      </c>
      <c r="D1262" s="25" t="n">
        <f aca="false">EDATE('Start Here'!$B$6,C1262-1)</f>
        <v>48030</v>
      </c>
      <c r="E1262" s="11" t="n">
        <f aca="false">IF(AND(C1262&gt;=Staffing!$F$26,C1262&lt;=Staffing!$G$26,1=1),IF(C1262&lt;=6,Staffing!$H$26,IF(C1262&lt;=15,Staffing!$I$26,IF(C1262&lt;=30,Staffing!$J$26,Staffing!$K$26))),0)</f>
        <v>0.5</v>
      </c>
      <c r="F1262" s="10" t="n">
        <f aca="false">E1262*Staffing!$L$26/12*(1+Assumptions!$D$10)^INT((C1262-1)/12)*1</f>
        <v>9748.82133333334</v>
      </c>
      <c r="G1262" s="10" t="n">
        <f aca="false">F1262*Staffing!$N$26</f>
        <v>0</v>
      </c>
      <c r="H1262" s="10" t="n">
        <f aca="false">F1262+G1262</f>
        <v>9748.82133333334</v>
      </c>
      <c r="I1262" s="10" t="n">
        <f aca="false">0</f>
        <v>0</v>
      </c>
      <c r="J1262" s="10" t="n">
        <f aca="false">MAX(0,E1262-E1261)*Staffing!$O$26</f>
        <v>0</v>
      </c>
      <c r="K1262" s="10" t="n">
        <f aca="false">MAX(0,E1262-E1261)*Staffing!$P$26</f>
        <v>0</v>
      </c>
      <c r="L1262" s="23" t="n">
        <f aca="false">ROUNDUP(E1262,0)</f>
        <v>1</v>
      </c>
    </row>
    <row r="1263" customFormat="false" ht="15" hidden="false" customHeight="false" outlineLevel="0" collapsed="false">
      <c r="A1263" s="6" t="s">
        <v>4</v>
      </c>
      <c r="B1263" s="6" t="s">
        <v>343</v>
      </c>
      <c r="C1263" s="6" t="n">
        <v>58</v>
      </c>
      <c r="D1263" s="25" t="n">
        <f aca="false">EDATE('Start Here'!$B$6,C1263-1)</f>
        <v>48061</v>
      </c>
      <c r="E1263" s="11" t="n">
        <f aca="false">IF(AND(C1263&gt;=Staffing!$F$26,C1263&lt;=Staffing!$G$26,1=1),IF(C1263&lt;=6,Staffing!$H$26,IF(C1263&lt;=15,Staffing!$I$26,IF(C1263&lt;=30,Staffing!$J$26,Staffing!$K$26))),0)</f>
        <v>0.5</v>
      </c>
      <c r="F1263" s="10" t="n">
        <f aca="false">E1263*Staffing!$L$26/12*(1+Assumptions!$D$10)^INT((C1263-1)/12)*1</f>
        <v>9748.82133333334</v>
      </c>
      <c r="G1263" s="10" t="n">
        <f aca="false">F1263*Staffing!$N$26</f>
        <v>0</v>
      </c>
      <c r="H1263" s="10" t="n">
        <f aca="false">F1263+G1263</f>
        <v>9748.82133333334</v>
      </c>
      <c r="I1263" s="10" t="n">
        <f aca="false">0</f>
        <v>0</v>
      </c>
      <c r="J1263" s="10" t="n">
        <f aca="false">MAX(0,E1263-E1262)*Staffing!$O$26</f>
        <v>0</v>
      </c>
      <c r="K1263" s="10" t="n">
        <f aca="false">MAX(0,E1263-E1262)*Staffing!$P$26</f>
        <v>0</v>
      </c>
      <c r="L1263" s="23" t="n">
        <f aca="false">ROUNDUP(E1263,0)</f>
        <v>1</v>
      </c>
    </row>
    <row r="1264" customFormat="false" ht="15" hidden="false" customHeight="false" outlineLevel="0" collapsed="false">
      <c r="A1264" s="6" t="s">
        <v>4</v>
      </c>
      <c r="B1264" s="6" t="s">
        <v>343</v>
      </c>
      <c r="C1264" s="6" t="n">
        <v>59</v>
      </c>
      <c r="D1264" s="25" t="n">
        <f aca="false">EDATE('Start Here'!$B$6,C1264-1)</f>
        <v>48092</v>
      </c>
      <c r="E1264" s="11" t="n">
        <f aca="false">IF(AND(C1264&gt;=Staffing!$F$26,C1264&lt;=Staffing!$G$26,1=1),IF(C1264&lt;=6,Staffing!$H$26,IF(C1264&lt;=15,Staffing!$I$26,IF(C1264&lt;=30,Staffing!$J$26,Staffing!$K$26))),0)</f>
        <v>0.5</v>
      </c>
      <c r="F1264" s="10" t="n">
        <f aca="false">E1264*Staffing!$L$26/12*(1+Assumptions!$D$10)^INT((C1264-1)/12)*1</f>
        <v>9748.82133333334</v>
      </c>
      <c r="G1264" s="10" t="n">
        <f aca="false">F1264*Staffing!$N$26</f>
        <v>0</v>
      </c>
      <c r="H1264" s="10" t="n">
        <f aca="false">F1264+G1264</f>
        <v>9748.82133333334</v>
      </c>
      <c r="I1264" s="10" t="n">
        <f aca="false">0</f>
        <v>0</v>
      </c>
      <c r="J1264" s="10" t="n">
        <f aca="false">MAX(0,E1264-E1263)*Staffing!$O$26</f>
        <v>0</v>
      </c>
      <c r="K1264" s="10" t="n">
        <f aca="false">MAX(0,E1264-E1263)*Staffing!$P$26</f>
        <v>0</v>
      </c>
      <c r="L1264" s="23" t="n">
        <f aca="false">ROUNDUP(E1264,0)</f>
        <v>1</v>
      </c>
    </row>
    <row r="1265" customFormat="false" ht="15" hidden="false" customHeight="false" outlineLevel="0" collapsed="false">
      <c r="A1265" s="6" t="s">
        <v>4</v>
      </c>
      <c r="B1265" s="6" t="s">
        <v>343</v>
      </c>
      <c r="C1265" s="6" t="n">
        <v>60</v>
      </c>
      <c r="D1265" s="25" t="n">
        <f aca="false">EDATE('Start Here'!$B$6,C1265-1)</f>
        <v>48122</v>
      </c>
      <c r="E1265" s="11" t="n">
        <f aca="false">IF(AND(C1265&gt;=Staffing!$F$26,C1265&lt;=Staffing!$G$26,1=1),IF(C1265&lt;=6,Staffing!$H$26,IF(C1265&lt;=15,Staffing!$I$26,IF(C1265&lt;=30,Staffing!$J$26,Staffing!$K$26))),0)</f>
        <v>0.5</v>
      </c>
      <c r="F1265" s="10" t="n">
        <f aca="false">E1265*Staffing!$L$26/12*(1+Assumptions!$D$10)^INT((C1265-1)/12)*1</f>
        <v>9748.82133333334</v>
      </c>
      <c r="G1265" s="10" t="n">
        <f aca="false">F1265*Staffing!$N$26</f>
        <v>0</v>
      </c>
      <c r="H1265" s="10" t="n">
        <f aca="false">F1265+G1265</f>
        <v>9748.82133333334</v>
      </c>
      <c r="I1265" s="10" t="n">
        <f aca="false">0</f>
        <v>0</v>
      </c>
      <c r="J1265" s="10" t="n">
        <f aca="false">MAX(0,E1265-E1264)*Staffing!$O$26</f>
        <v>0</v>
      </c>
      <c r="K1265" s="10" t="n">
        <f aca="false">MAX(0,E1265-E1264)*Staffing!$P$26</f>
        <v>0</v>
      </c>
      <c r="L1265" s="23" t="n">
        <f aca="false">ROUNDUP(E1265,0)</f>
        <v>1</v>
      </c>
    </row>
    <row r="1266" customFormat="false" ht="15" hidden="false" customHeight="false" outlineLevel="0" collapsed="false">
      <c r="A1266" s="6" t="s">
        <v>4</v>
      </c>
      <c r="B1266" s="6" t="s">
        <v>345</v>
      </c>
      <c r="C1266" s="6" t="n">
        <v>1</v>
      </c>
      <c r="D1266" s="25" t="n">
        <f aca="false">EDATE('Start Here'!$B$6,C1266-1)</f>
        <v>46327</v>
      </c>
      <c r="E1266" s="23" t="n">
        <f aca="false">IF(AND(C1266&gt;=Staffing!$F$27,C1266&lt;=Staffing!$G$27,1=1),IF(C1266&lt;=6,Staffing!$H$27,IF(C1266&lt;=15,Staffing!$I$27,IF(C1266&lt;=30,Staffing!$J$27,Staffing!$K$27))),0)</f>
        <v>0</v>
      </c>
      <c r="F1266" s="10" t="n">
        <f aca="false">E1266*Staffing!$L$27/12*(1+Assumptions!$D$10)^INT((C1266-1)/12)*1</f>
        <v>0</v>
      </c>
      <c r="G1266" s="10" t="n">
        <f aca="false">F1266*Staffing!$N$27</f>
        <v>0</v>
      </c>
      <c r="H1266" s="10" t="n">
        <f aca="false">F1266+G1266</f>
        <v>0</v>
      </c>
      <c r="I1266" s="10" t="n">
        <f aca="false">0</f>
        <v>0</v>
      </c>
      <c r="J1266" s="10" t="n">
        <f aca="false">MAX(0,E1266-0)*Staffing!$O$27</f>
        <v>0</v>
      </c>
      <c r="K1266" s="10" t="n">
        <f aca="false">MAX(0,E1266-0)*Staffing!$P$27</f>
        <v>0</v>
      </c>
      <c r="L1266" s="23" t="n">
        <f aca="false">ROUNDUP(E1266,0)</f>
        <v>0</v>
      </c>
    </row>
    <row r="1267" customFormat="false" ht="15" hidden="false" customHeight="false" outlineLevel="0" collapsed="false">
      <c r="A1267" s="6" t="s">
        <v>4</v>
      </c>
      <c r="B1267" s="6" t="s">
        <v>345</v>
      </c>
      <c r="C1267" s="6" t="n">
        <v>2</v>
      </c>
      <c r="D1267" s="25" t="n">
        <f aca="false">EDATE('Start Here'!$B$6,C1267-1)</f>
        <v>46357</v>
      </c>
      <c r="E1267" s="23" t="n">
        <f aca="false">IF(AND(C1267&gt;=Staffing!$F$27,C1267&lt;=Staffing!$G$27,1=1),IF(C1267&lt;=6,Staffing!$H$27,IF(C1267&lt;=15,Staffing!$I$27,IF(C1267&lt;=30,Staffing!$J$27,Staffing!$K$27))),0)</f>
        <v>0</v>
      </c>
      <c r="F1267" s="10" t="n">
        <f aca="false">E1267*Staffing!$L$27/12*(1+Assumptions!$D$10)^INT((C1267-1)/12)*1</f>
        <v>0</v>
      </c>
      <c r="G1267" s="10" t="n">
        <f aca="false">F1267*Staffing!$N$27</f>
        <v>0</v>
      </c>
      <c r="H1267" s="10" t="n">
        <f aca="false">F1267+G1267</f>
        <v>0</v>
      </c>
      <c r="I1267" s="10" t="n">
        <f aca="false">0</f>
        <v>0</v>
      </c>
      <c r="J1267" s="10" t="n">
        <f aca="false">MAX(0,E1267-E1266)*Staffing!$O$27</f>
        <v>0</v>
      </c>
      <c r="K1267" s="10" t="n">
        <f aca="false">MAX(0,E1267-E1266)*Staffing!$P$27</f>
        <v>0</v>
      </c>
      <c r="L1267" s="23" t="n">
        <f aca="false">ROUNDUP(E1267,0)</f>
        <v>0</v>
      </c>
    </row>
    <row r="1268" customFormat="false" ht="15" hidden="false" customHeight="false" outlineLevel="0" collapsed="false">
      <c r="A1268" s="6" t="s">
        <v>4</v>
      </c>
      <c r="B1268" s="6" t="s">
        <v>345</v>
      </c>
      <c r="C1268" s="6" t="n">
        <v>3</v>
      </c>
      <c r="D1268" s="25" t="n">
        <f aca="false">EDATE('Start Here'!$B$6,C1268-1)</f>
        <v>46388</v>
      </c>
      <c r="E1268" s="23" t="n">
        <f aca="false">IF(AND(C1268&gt;=Staffing!$F$27,C1268&lt;=Staffing!$G$27,1=1),IF(C1268&lt;=6,Staffing!$H$27,IF(C1268&lt;=15,Staffing!$I$27,IF(C1268&lt;=30,Staffing!$J$27,Staffing!$K$27))),0)</f>
        <v>0</v>
      </c>
      <c r="F1268" s="10" t="n">
        <f aca="false">E1268*Staffing!$L$27/12*(1+Assumptions!$D$10)^INT((C1268-1)/12)*1</f>
        <v>0</v>
      </c>
      <c r="G1268" s="10" t="n">
        <f aca="false">F1268*Staffing!$N$27</f>
        <v>0</v>
      </c>
      <c r="H1268" s="10" t="n">
        <f aca="false">F1268+G1268</f>
        <v>0</v>
      </c>
      <c r="I1268" s="10" t="n">
        <f aca="false">0</f>
        <v>0</v>
      </c>
      <c r="J1268" s="10" t="n">
        <f aca="false">MAX(0,E1268-E1267)*Staffing!$O$27</f>
        <v>0</v>
      </c>
      <c r="K1268" s="10" t="n">
        <f aca="false">MAX(0,E1268-E1267)*Staffing!$P$27</f>
        <v>0</v>
      </c>
      <c r="L1268" s="23" t="n">
        <f aca="false">ROUNDUP(E1268,0)</f>
        <v>0</v>
      </c>
    </row>
    <row r="1269" customFormat="false" ht="15" hidden="false" customHeight="false" outlineLevel="0" collapsed="false">
      <c r="A1269" s="6" t="s">
        <v>4</v>
      </c>
      <c r="B1269" s="6" t="s">
        <v>345</v>
      </c>
      <c r="C1269" s="6" t="n">
        <v>4</v>
      </c>
      <c r="D1269" s="25" t="n">
        <f aca="false">EDATE('Start Here'!$B$6,C1269-1)</f>
        <v>46419</v>
      </c>
      <c r="E1269" s="23" t="n">
        <f aca="false">IF(AND(C1269&gt;=Staffing!$F$27,C1269&lt;=Staffing!$G$27,1=1),IF(C1269&lt;=6,Staffing!$H$27,IF(C1269&lt;=15,Staffing!$I$27,IF(C1269&lt;=30,Staffing!$J$27,Staffing!$K$27))),0)</f>
        <v>0</v>
      </c>
      <c r="F1269" s="10" t="n">
        <f aca="false">E1269*Staffing!$L$27/12*(1+Assumptions!$D$10)^INT((C1269-1)/12)*1</f>
        <v>0</v>
      </c>
      <c r="G1269" s="10" t="n">
        <f aca="false">F1269*Staffing!$N$27</f>
        <v>0</v>
      </c>
      <c r="H1269" s="10" t="n">
        <f aca="false">F1269+G1269</f>
        <v>0</v>
      </c>
      <c r="I1269" s="10" t="n">
        <f aca="false">0</f>
        <v>0</v>
      </c>
      <c r="J1269" s="10" t="n">
        <f aca="false">MAX(0,E1269-E1268)*Staffing!$O$27</f>
        <v>0</v>
      </c>
      <c r="K1269" s="10" t="n">
        <f aca="false">MAX(0,E1269-E1268)*Staffing!$P$27</f>
        <v>0</v>
      </c>
      <c r="L1269" s="23" t="n">
        <f aca="false">ROUNDUP(E1269,0)</f>
        <v>0</v>
      </c>
    </row>
    <row r="1270" customFormat="false" ht="15" hidden="false" customHeight="false" outlineLevel="0" collapsed="false">
      <c r="A1270" s="6" t="s">
        <v>4</v>
      </c>
      <c r="B1270" s="6" t="s">
        <v>345</v>
      </c>
      <c r="C1270" s="6" t="n">
        <v>5</v>
      </c>
      <c r="D1270" s="25" t="n">
        <f aca="false">EDATE('Start Here'!$B$6,C1270-1)</f>
        <v>46447</v>
      </c>
      <c r="E1270" s="23" t="n">
        <f aca="false">IF(AND(C1270&gt;=Staffing!$F$27,C1270&lt;=Staffing!$G$27,1=1),IF(C1270&lt;=6,Staffing!$H$27,IF(C1270&lt;=15,Staffing!$I$27,IF(C1270&lt;=30,Staffing!$J$27,Staffing!$K$27))),0)</f>
        <v>0</v>
      </c>
      <c r="F1270" s="10" t="n">
        <f aca="false">E1270*Staffing!$L$27/12*(1+Assumptions!$D$10)^INT((C1270-1)/12)*1</f>
        <v>0</v>
      </c>
      <c r="G1270" s="10" t="n">
        <f aca="false">F1270*Staffing!$N$27</f>
        <v>0</v>
      </c>
      <c r="H1270" s="10" t="n">
        <f aca="false">F1270+G1270</f>
        <v>0</v>
      </c>
      <c r="I1270" s="10" t="n">
        <f aca="false">0</f>
        <v>0</v>
      </c>
      <c r="J1270" s="10" t="n">
        <f aca="false">MAX(0,E1270-E1269)*Staffing!$O$27</f>
        <v>0</v>
      </c>
      <c r="K1270" s="10" t="n">
        <f aca="false">MAX(0,E1270-E1269)*Staffing!$P$27</f>
        <v>0</v>
      </c>
      <c r="L1270" s="23" t="n">
        <f aca="false">ROUNDUP(E1270,0)</f>
        <v>0</v>
      </c>
    </row>
    <row r="1271" customFormat="false" ht="15" hidden="false" customHeight="false" outlineLevel="0" collapsed="false">
      <c r="A1271" s="6" t="s">
        <v>4</v>
      </c>
      <c r="B1271" s="6" t="s">
        <v>345</v>
      </c>
      <c r="C1271" s="6" t="n">
        <v>6</v>
      </c>
      <c r="D1271" s="25" t="n">
        <f aca="false">EDATE('Start Here'!$B$6,C1271-1)</f>
        <v>46478</v>
      </c>
      <c r="E1271" s="23" t="n">
        <f aca="false">IF(AND(C1271&gt;=Staffing!$F$27,C1271&lt;=Staffing!$G$27,1=1),IF(C1271&lt;=6,Staffing!$H$27,IF(C1271&lt;=15,Staffing!$I$27,IF(C1271&lt;=30,Staffing!$J$27,Staffing!$K$27))),0)</f>
        <v>0</v>
      </c>
      <c r="F1271" s="10" t="n">
        <f aca="false">E1271*Staffing!$L$27/12*(1+Assumptions!$D$10)^INT((C1271-1)/12)*1</f>
        <v>0</v>
      </c>
      <c r="G1271" s="10" t="n">
        <f aca="false">F1271*Staffing!$N$27</f>
        <v>0</v>
      </c>
      <c r="H1271" s="10" t="n">
        <f aca="false">F1271+G1271</f>
        <v>0</v>
      </c>
      <c r="I1271" s="10" t="n">
        <f aca="false">0</f>
        <v>0</v>
      </c>
      <c r="J1271" s="10" t="n">
        <f aca="false">MAX(0,E1271-E1270)*Staffing!$O$27</f>
        <v>0</v>
      </c>
      <c r="K1271" s="10" t="n">
        <f aca="false">MAX(0,E1271-E1270)*Staffing!$P$27</f>
        <v>0</v>
      </c>
      <c r="L1271" s="23" t="n">
        <f aca="false">ROUNDUP(E1271,0)</f>
        <v>0</v>
      </c>
    </row>
    <row r="1272" customFormat="false" ht="15" hidden="false" customHeight="false" outlineLevel="0" collapsed="false">
      <c r="A1272" s="6" t="s">
        <v>4</v>
      </c>
      <c r="B1272" s="6" t="s">
        <v>345</v>
      </c>
      <c r="C1272" s="6" t="n">
        <v>7</v>
      </c>
      <c r="D1272" s="25" t="n">
        <f aca="false">EDATE('Start Here'!$B$6,C1272-1)</f>
        <v>46508</v>
      </c>
      <c r="E1272" s="23" t="n">
        <f aca="false">IF(AND(C1272&gt;=Staffing!$F$27,C1272&lt;=Staffing!$G$27,1=1),IF(C1272&lt;=6,Staffing!$H$27,IF(C1272&lt;=15,Staffing!$I$27,IF(C1272&lt;=30,Staffing!$J$27,Staffing!$K$27))),0)</f>
        <v>0</v>
      </c>
      <c r="F1272" s="10" t="n">
        <f aca="false">E1272*Staffing!$L$27/12*(1+Assumptions!$D$10)^INT((C1272-1)/12)*1</f>
        <v>0</v>
      </c>
      <c r="G1272" s="10" t="n">
        <f aca="false">F1272*Staffing!$N$27</f>
        <v>0</v>
      </c>
      <c r="H1272" s="10" t="n">
        <f aca="false">F1272+G1272</f>
        <v>0</v>
      </c>
      <c r="I1272" s="10" t="n">
        <f aca="false">0</f>
        <v>0</v>
      </c>
      <c r="J1272" s="10" t="n">
        <f aca="false">MAX(0,E1272-E1271)*Staffing!$O$27</f>
        <v>0</v>
      </c>
      <c r="K1272" s="10" t="n">
        <f aca="false">MAX(0,E1272-E1271)*Staffing!$P$27</f>
        <v>0</v>
      </c>
      <c r="L1272" s="23" t="n">
        <f aca="false">ROUNDUP(E1272,0)</f>
        <v>0</v>
      </c>
    </row>
    <row r="1273" customFormat="false" ht="15" hidden="false" customHeight="false" outlineLevel="0" collapsed="false">
      <c r="A1273" s="6" t="s">
        <v>4</v>
      </c>
      <c r="B1273" s="6" t="s">
        <v>345</v>
      </c>
      <c r="C1273" s="6" t="n">
        <v>8</v>
      </c>
      <c r="D1273" s="25" t="n">
        <f aca="false">EDATE('Start Here'!$B$6,C1273-1)</f>
        <v>46539</v>
      </c>
      <c r="E1273" s="23" t="n">
        <f aca="false">IF(AND(C1273&gt;=Staffing!$F$27,C1273&lt;=Staffing!$G$27,1=1),IF(C1273&lt;=6,Staffing!$H$27,IF(C1273&lt;=15,Staffing!$I$27,IF(C1273&lt;=30,Staffing!$J$27,Staffing!$K$27))),0)</f>
        <v>0</v>
      </c>
      <c r="F1273" s="10" t="n">
        <f aca="false">E1273*Staffing!$L$27/12*(1+Assumptions!$D$10)^INT((C1273-1)/12)*1</f>
        <v>0</v>
      </c>
      <c r="G1273" s="10" t="n">
        <f aca="false">F1273*Staffing!$N$27</f>
        <v>0</v>
      </c>
      <c r="H1273" s="10" t="n">
        <f aca="false">F1273+G1273</f>
        <v>0</v>
      </c>
      <c r="I1273" s="10" t="n">
        <f aca="false">0</f>
        <v>0</v>
      </c>
      <c r="J1273" s="10" t="n">
        <f aca="false">MAX(0,E1273-E1272)*Staffing!$O$27</f>
        <v>0</v>
      </c>
      <c r="K1273" s="10" t="n">
        <f aca="false">MAX(0,E1273-E1272)*Staffing!$P$27</f>
        <v>0</v>
      </c>
      <c r="L1273" s="23" t="n">
        <f aca="false">ROUNDUP(E1273,0)</f>
        <v>0</v>
      </c>
    </row>
    <row r="1274" customFormat="false" ht="15" hidden="false" customHeight="false" outlineLevel="0" collapsed="false">
      <c r="A1274" s="6" t="s">
        <v>4</v>
      </c>
      <c r="B1274" s="6" t="s">
        <v>345</v>
      </c>
      <c r="C1274" s="6" t="n">
        <v>9</v>
      </c>
      <c r="D1274" s="25" t="n">
        <f aca="false">EDATE('Start Here'!$B$6,C1274-1)</f>
        <v>46569</v>
      </c>
      <c r="E1274" s="23" t="n">
        <f aca="false">IF(AND(C1274&gt;=Staffing!$F$27,C1274&lt;=Staffing!$G$27,1=1),IF(C1274&lt;=6,Staffing!$H$27,IF(C1274&lt;=15,Staffing!$I$27,IF(C1274&lt;=30,Staffing!$J$27,Staffing!$K$27))),0)</f>
        <v>0</v>
      </c>
      <c r="F1274" s="10" t="n">
        <f aca="false">E1274*Staffing!$L$27/12*(1+Assumptions!$D$10)^INT((C1274-1)/12)*1</f>
        <v>0</v>
      </c>
      <c r="G1274" s="10" t="n">
        <f aca="false">F1274*Staffing!$N$27</f>
        <v>0</v>
      </c>
      <c r="H1274" s="10" t="n">
        <f aca="false">F1274+G1274</f>
        <v>0</v>
      </c>
      <c r="I1274" s="10" t="n">
        <f aca="false">0</f>
        <v>0</v>
      </c>
      <c r="J1274" s="10" t="n">
        <f aca="false">MAX(0,E1274-E1273)*Staffing!$O$27</f>
        <v>0</v>
      </c>
      <c r="K1274" s="10" t="n">
        <f aca="false">MAX(0,E1274-E1273)*Staffing!$P$27</f>
        <v>0</v>
      </c>
      <c r="L1274" s="23" t="n">
        <f aca="false">ROUNDUP(E1274,0)</f>
        <v>0</v>
      </c>
    </row>
    <row r="1275" customFormat="false" ht="15" hidden="false" customHeight="false" outlineLevel="0" collapsed="false">
      <c r="A1275" s="6" t="s">
        <v>4</v>
      </c>
      <c r="B1275" s="6" t="s">
        <v>345</v>
      </c>
      <c r="C1275" s="6" t="n">
        <v>10</v>
      </c>
      <c r="D1275" s="25" t="n">
        <f aca="false">EDATE('Start Here'!$B$6,C1275-1)</f>
        <v>46600</v>
      </c>
      <c r="E1275" s="11" t="n">
        <f aca="false">IF(AND(C1275&gt;=Staffing!$F$27,C1275&lt;=Staffing!$G$27,1=1),IF(C1275&lt;=6,Staffing!$H$27,IF(C1275&lt;=15,Staffing!$I$27,IF(C1275&lt;=30,Staffing!$J$27,Staffing!$K$27))),0)</f>
        <v>0.5</v>
      </c>
      <c r="F1275" s="10" t="n">
        <f aca="false">E1275*Staffing!$L$27/12*(1+Assumptions!$D$10)^INT((C1275-1)/12)*1</f>
        <v>3750</v>
      </c>
      <c r="G1275" s="10" t="n">
        <f aca="false">F1275*Staffing!$N$27</f>
        <v>1500</v>
      </c>
      <c r="H1275" s="10" t="n">
        <f aca="false">F1275+G1275</f>
        <v>5250</v>
      </c>
      <c r="I1275" s="10" t="n">
        <f aca="false">0</f>
        <v>0</v>
      </c>
      <c r="J1275" s="10" t="n">
        <f aca="false">MAX(0,E1275-E1274)*Staffing!$O$27</f>
        <v>4000</v>
      </c>
      <c r="K1275" s="10" t="n">
        <f aca="false">MAX(0,E1275-E1274)*Staffing!$P$27</f>
        <v>1500</v>
      </c>
      <c r="L1275" s="23" t="n">
        <f aca="false">ROUNDUP(E1275,0)</f>
        <v>1</v>
      </c>
    </row>
    <row r="1276" customFormat="false" ht="15" hidden="false" customHeight="false" outlineLevel="0" collapsed="false">
      <c r="A1276" s="6" t="s">
        <v>4</v>
      </c>
      <c r="B1276" s="6" t="s">
        <v>345</v>
      </c>
      <c r="C1276" s="6" t="n">
        <v>11</v>
      </c>
      <c r="D1276" s="25" t="n">
        <f aca="false">EDATE('Start Here'!$B$6,C1276-1)</f>
        <v>46631</v>
      </c>
      <c r="E1276" s="11" t="n">
        <f aca="false">IF(AND(C1276&gt;=Staffing!$F$27,C1276&lt;=Staffing!$G$27,1=1),IF(C1276&lt;=6,Staffing!$H$27,IF(C1276&lt;=15,Staffing!$I$27,IF(C1276&lt;=30,Staffing!$J$27,Staffing!$K$27))),0)</f>
        <v>0.5</v>
      </c>
      <c r="F1276" s="10" t="n">
        <f aca="false">E1276*Staffing!$L$27/12*(1+Assumptions!$D$10)^INT((C1276-1)/12)*1</f>
        <v>3750</v>
      </c>
      <c r="G1276" s="10" t="n">
        <f aca="false">F1276*Staffing!$N$27</f>
        <v>1500</v>
      </c>
      <c r="H1276" s="10" t="n">
        <f aca="false">F1276+G1276</f>
        <v>5250</v>
      </c>
      <c r="I1276" s="10" t="n">
        <f aca="false">0</f>
        <v>0</v>
      </c>
      <c r="J1276" s="10" t="n">
        <f aca="false">MAX(0,E1276-E1275)*Staffing!$O$27</f>
        <v>0</v>
      </c>
      <c r="K1276" s="10" t="n">
        <f aca="false">MAX(0,E1276-E1275)*Staffing!$P$27</f>
        <v>0</v>
      </c>
      <c r="L1276" s="23" t="n">
        <f aca="false">ROUNDUP(E1276,0)</f>
        <v>1</v>
      </c>
    </row>
    <row r="1277" customFormat="false" ht="15" hidden="false" customHeight="false" outlineLevel="0" collapsed="false">
      <c r="A1277" s="6" t="s">
        <v>4</v>
      </c>
      <c r="B1277" s="6" t="s">
        <v>345</v>
      </c>
      <c r="C1277" s="6" t="n">
        <v>12</v>
      </c>
      <c r="D1277" s="25" t="n">
        <f aca="false">EDATE('Start Here'!$B$6,C1277-1)</f>
        <v>46661</v>
      </c>
      <c r="E1277" s="11" t="n">
        <f aca="false">IF(AND(C1277&gt;=Staffing!$F$27,C1277&lt;=Staffing!$G$27,1=1),IF(C1277&lt;=6,Staffing!$H$27,IF(C1277&lt;=15,Staffing!$I$27,IF(C1277&lt;=30,Staffing!$J$27,Staffing!$K$27))),0)</f>
        <v>0.5</v>
      </c>
      <c r="F1277" s="10" t="n">
        <f aca="false">E1277*Staffing!$L$27/12*(1+Assumptions!$D$10)^INT((C1277-1)/12)*1</f>
        <v>3750</v>
      </c>
      <c r="G1277" s="10" t="n">
        <f aca="false">F1277*Staffing!$N$27</f>
        <v>1500</v>
      </c>
      <c r="H1277" s="10" t="n">
        <f aca="false">F1277+G1277</f>
        <v>5250</v>
      </c>
      <c r="I1277" s="10" t="n">
        <f aca="false">0</f>
        <v>0</v>
      </c>
      <c r="J1277" s="10" t="n">
        <f aca="false">MAX(0,E1277-E1276)*Staffing!$O$27</f>
        <v>0</v>
      </c>
      <c r="K1277" s="10" t="n">
        <f aca="false">MAX(0,E1277-E1276)*Staffing!$P$27</f>
        <v>0</v>
      </c>
      <c r="L1277" s="23" t="n">
        <f aca="false">ROUNDUP(E1277,0)</f>
        <v>1</v>
      </c>
    </row>
    <row r="1278" customFormat="false" ht="15" hidden="false" customHeight="false" outlineLevel="0" collapsed="false">
      <c r="A1278" s="6" t="s">
        <v>4</v>
      </c>
      <c r="B1278" s="6" t="s">
        <v>345</v>
      </c>
      <c r="C1278" s="6" t="n">
        <v>13</v>
      </c>
      <c r="D1278" s="25" t="n">
        <f aca="false">EDATE('Start Here'!$B$6,C1278-1)</f>
        <v>46692</v>
      </c>
      <c r="E1278" s="11" t="n">
        <f aca="false">IF(AND(C1278&gt;=Staffing!$F$27,C1278&lt;=Staffing!$G$27,1=1),IF(C1278&lt;=6,Staffing!$H$27,IF(C1278&lt;=15,Staffing!$I$27,IF(C1278&lt;=30,Staffing!$J$27,Staffing!$K$27))),0)</f>
        <v>0.5</v>
      </c>
      <c r="F1278" s="10" t="n">
        <f aca="false">E1278*Staffing!$L$27/12*(1+Assumptions!$D$10)^INT((C1278-1)/12)*1</f>
        <v>3900</v>
      </c>
      <c r="G1278" s="10" t="n">
        <f aca="false">F1278*Staffing!$N$27</f>
        <v>1560</v>
      </c>
      <c r="H1278" s="10" t="n">
        <f aca="false">F1278+G1278</f>
        <v>5460</v>
      </c>
      <c r="I1278" s="10" t="n">
        <f aca="false">0</f>
        <v>0</v>
      </c>
      <c r="J1278" s="10" t="n">
        <f aca="false">MAX(0,E1278-E1277)*Staffing!$O$27</f>
        <v>0</v>
      </c>
      <c r="K1278" s="10" t="n">
        <f aca="false">MAX(0,E1278-E1277)*Staffing!$P$27</f>
        <v>0</v>
      </c>
      <c r="L1278" s="23" t="n">
        <f aca="false">ROUNDUP(E1278,0)</f>
        <v>1</v>
      </c>
    </row>
    <row r="1279" customFormat="false" ht="15" hidden="false" customHeight="false" outlineLevel="0" collapsed="false">
      <c r="A1279" s="6" t="s">
        <v>4</v>
      </c>
      <c r="B1279" s="6" t="s">
        <v>345</v>
      </c>
      <c r="C1279" s="6" t="n">
        <v>14</v>
      </c>
      <c r="D1279" s="25" t="n">
        <f aca="false">EDATE('Start Here'!$B$6,C1279-1)</f>
        <v>46722</v>
      </c>
      <c r="E1279" s="11" t="n">
        <f aca="false">IF(AND(C1279&gt;=Staffing!$F$27,C1279&lt;=Staffing!$G$27,1=1),IF(C1279&lt;=6,Staffing!$H$27,IF(C1279&lt;=15,Staffing!$I$27,IF(C1279&lt;=30,Staffing!$J$27,Staffing!$K$27))),0)</f>
        <v>0.5</v>
      </c>
      <c r="F1279" s="10" t="n">
        <f aca="false">E1279*Staffing!$L$27/12*(1+Assumptions!$D$10)^INT((C1279-1)/12)*1</f>
        <v>3900</v>
      </c>
      <c r="G1279" s="10" t="n">
        <f aca="false">F1279*Staffing!$N$27</f>
        <v>1560</v>
      </c>
      <c r="H1279" s="10" t="n">
        <f aca="false">F1279+G1279</f>
        <v>5460</v>
      </c>
      <c r="I1279" s="10" t="n">
        <f aca="false">0</f>
        <v>0</v>
      </c>
      <c r="J1279" s="10" t="n">
        <f aca="false">MAX(0,E1279-E1278)*Staffing!$O$27</f>
        <v>0</v>
      </c>
      <c r="K1279" s="10" t="n">
        <f aca="false">MAX(0,E1279-E1278)*Staffing!$P$27</f>
        <v>0</v>
      </c>
      <c r="L1279" s="23" t="n">
        <f aca="false">ROUNDUP(E1279,0)</f>
        <v>1</v>
      </c>
    </row>
    <row r="1280" customFormat="false" ht="15" hidden="false" customHeight="false" outlineLevel="0" collapsed="false">
      <c r="A1280" s="6" t="s">
        <v>4</v>
      </c>
      <c r="B1280" s="6" t="s">
        <v>345</v>
      </c>
      <c r="C1280" s="6" t="n">
        <v>15</v>
      </c>
      <c r="D1280" s="25" t="n">
        <f aca="false">EDATE('Start Here'!$B$6,C1280-1)</f>
        <v>46753</v>
      </c>
      <c r="E1280" s="11" t="n">
        <f aca="false">IF(AND(C1280&gt;=Staffing!$F$27,C1280&lt;=Staffing!$G$27,1=1),IF(C1280&lt;=6,Staffing!$H$27,IF(C1280&lt;=15,Staffing!$I$27,IF(C1280&lt;=30,Staffing!$J$27,Staffing!$K$27))),0)</f>
        <v>0.5</v>
      </c>
      <c r="F1280" s="10" t="n">
        <f aca="false">E1280*Staffing!$L$27/12*(1+Assumptions!$D$10)^INT((C1280-1)/12)*1</f>
        <v>3900</v>
      </c>
      <c r="G1280" s="10" t="n">
        <f aca="false">F1280*Staffing!$N$27</f>
        <v>1560</v>
      </c>
      <c r="H1280" s="10" t="n">
        <f aca="false">F1280+G1280</f>
        <v>5460</v>
      </c>
      <c r="I1280" s="10" t="n">
        <f aca="false">0</f>
        <v>0</v>
      </c>
      <c r="J1280" s="10" t="n">
        <f aca="false">MAX(0,E1280-E1279)*Staffing!$O$27</f>
        <v>0</v>
      </c>
      <c r="K1280" s="10" t="n">
        <f aca="false">MAX(0,E1280-E1279)*Staffing!$P$27</f>
        <v>0</v>
      </c>
      <c r="L1280" s="23" t="n">
        <f aca="false">ROUNDUP(E1280,0)</f>
        <v>1</v>
      </c>
    </row>
    <row r="1281" customFormat="false" ht="15" hidden="false" customHeight="false" outlineLevel="0" collapsed="false">
      <c r="A1281" s="6" t="s">
        <v>4</v>
      </c>
      <c r="B1281" s="6" t="s">
        <v>345</v>
      </c>
      <c r="C1281" s="6" t="n">
        <v>16</v>
      </c>
      <c r="D1281" s="25" t="n">
        <f aca="false">EDATE('Start Here'!$B$6,C1281-1)</f>
        <v>46784</v>
      </c>
      <c r="E1281" s="11" t="n">
        <f aca="false">IF(AND(C1281&gt;=Staffing!$F$27,C1281&lt;=Staffing!$G$27,1=1),IF(C1281&lt;=6,Staffing!$H$27,IF(C1281&lt;=15,Staffing!$I$27,IF(C1281&lt;=30,Staffing!$J$27,Staffing!$K$27))),0)</f>
        <v>1</v>
      </c>
      <c r="F1281" s="10" t="n">
        <f aca="false">E1281*Staffing!$L$27/12*(1+Assumptions!$D$10)^INT((C1281-1)/12)*1</f>
        <v>7800</v>
      </c>
      <c r="G1281" s="10" t="n">
        <f aca="false">F1281*Staffing!$N$27</f>
        <v>3120</v>
      </c>
      <c r="H1281" s="10" t="n">
        <f aca="false">F1281+G1281</f>
        <v>10920</v>
      </c>
      <c r="I1281" s="10" t="n">
        <f aca="false">0</f>
        <v>0</v>
      </c>
      <c r="J1281" s="10" t="n">
        <f aca="false">MAX(0,E1281-E1280)*Staffing!$O$27</f>
        <v>4000</v>
      </c>
      <c r="K1281" s="10" t="n">
        <f aca="false">MAX(0,E1281-E1280)*Staffing!$P$27</f>
        <v>1500</v>
      </c>
      <c r="L1281" s="23" t="n">
        <f aca="false">ROUNDUP(E1281,0)</f>
        <v>1</v>
      </c>
    </row>
    <row r="1282" customFormat="false" ht="15" hidden="false" customHeight="false" outlineLevel="0" collapsed="false">
      <c r="A1282" s="6" t="s">
        <v>4</v>
      </c>
      <c r="B1282" s="6" t="s">
        <v>345</v>
      </c>
      <c r="C1282" s="6" t="n">
        <v>17</v>
      </c>
      <c r="D1282" s="25" t="n">
        <f aca="false">EDATE('Start Here'!$B$6,C1282-1)</f>
        <v>46813</v>
      </c>
      <c r="E1282" s="11" t="n">
        <f aca="false">IF(AND(C1282&gt;=Staffing!$F$27,C1282&lt;=Staffing!$G$27,1=1),IF(C1282&lt;=6,Staffing!$H$27,IF(C1282&lt;=15,Staffing!$I$27,IF(C1282&lt;=30,Staffing!$J$27,Staffing!$K$27))),0)</f>
        <v>1</v>
      </c>
      <c r="F1282" s="10" t="n">
        <f aca="false">E1282*Staffing!$L$27/12*(1+Assumptions!$D$10)^INT((C1282-1)/12)*1</f>
        <v>7800</v>
      </c>
      <c r="G1282" s="10" t="n">
        <f aca="false">F1282*Staffing!$N$27</f>
        <v>3120</v>
      </c>
      <c r="H1282" s="10" t="n">
        <f aca="false">F1282+G1282</f>
        <v>10920</v>
      </c>
      <c r="I1282" s="10" t="n">
        <f aca="false">0</f>
        <v>0</v>
      </c>
      <c r="J1282" s="10" t="n">
        <f aca="false">MAX(0,E1282-E1281)*Staffing!$O$27</f>
        <v>0</v>
      </c>
      <c r="K1282" s="10" t="n">
        <f aca="false">MAX(0,E1282-E1281)*Staffing!$P$27</f>
        <v>0</v>
      </c>
      <c r="L1282" s="23" t="n">
        <f aca="false">ROUNDUP(E1282,0)</f>
        <v>1</v>
      </c>
    </row>
    <row r="1283" customFormat="false" ht="15" hidden="false" customHeight="false" outlineLevel="0" collapsed="false">
      <c r="A1283" s="6" t="s">
        <v>4</v>
      </c>
      <c r="B1283" s="6" t="s">
        <v>345</v>
      </c>
      <c r="C1283" s="6" t="n">
        <v>18</v>
      </c>
      <c r="D1283" s="25" t="n">
        <f aca="false">EDATE('Start Here'!$B$6,C1283-1)</f>
        <v>46844</v>
      </c>
      <c r="E1283" s="11" t="n">
        <f aca="false">IF(AND(C1283&gt;=Staffing!$F$27,C1283&lt;=Staffing!$G$27,1=1),IF(C1283&lt;=6,Staffing!$H$27,IF(C1283&lt;=15,Staffing!$I$27,IF(C1283&lt;=30,Staffing!$J$27,Staffing!$K$27))),0)</f>
        <v>1</v>
      </c>
      <c r="F1283" s="10" t="n">
        <f aca="false">E1283*Staffing!$L$27/12*(1+Assumptions!$D$10)^INT((C1283-1)/12)*1</f>
        <v>7800</v>
      </c>
      <c r="G1283" s="10" t="n">
        <f aca="false">F1283*Staffing!$N$27</f>
        <v>3120</v>
      </c>
      <c r="H1283" s="10" t="n">
        <f aca="false">F1283+G1283</f>
        <v>10920</v>
      </c>
      <c r="I1283" s="10" t="n">
        <f aca="false">0</f>
        <v>0</v>
      </c>
      <c r="J1283" s="10" t="n">
        <f aca="false">MAX(0,E1283-E1282)*Staffing!$O$27</f>
        <v>0</v>
      </c>
      <c r="K1283" s="10" t="n">
        <f aca="false">MAX(0,E1283-E1282)*Staffing!$P$27</f>
        <v>0</v>
      </c>
      <c r="L1283" s="23" t="n">
        <f aca="false">ROUNDUP(E1283,0)</f>
        <v>1</v>
      </c>
    </row>
    <row r="1284" customFormat="false" ht="15" hidden="false" customHeight="false" outlineLevel="0" collapsed="false">
      <c r="A1284" s="6" t="s">
        <v>4</v>
      </c>
      <c r="B1284" s="6" t="s">
        <v>345</v>
      </c>
      <c r="C1284" s="6" t="n">
        <v>19</v>
      </c>
      <c r="D1284" s="25" t="n">
        <f aca="false">EDATE('Start Here'!$B$6,C1284-1)</f>
        <v>46874</v>
      </c>
      <c r="E1284" s="11" t="n">
        <f aca="false">IF(AND(C1284&gt;=Staffing!$F$27,C1284&lt;=Staffing!$G$27,1=1),IF(C1284&lt;=6,Staffing!$H$27,IF(C1284&lt;=15,Staffing!$I$27,IF(C1284&lt;=30,Staffing!$J$27,Staffing!$K$27))),0)</f>
        <v>1</v>
      </c>
      <c r="F1284" s="10" t="n">
        <f aca="false">E1284*Staffing!$L$27/12*(1+Assumptions!$D$10)^INT((C1284-1)/12)*1</f>
        <v>7800</v>
      </c>
      <c r="G1284" s="10" t="n">
        <f aca="false">F1284*Staffing!$N$27</f>
        <v>3120</v>
      </c>
      <c r="H1284" s="10" t="n">
        <f aca="false">F1284+G1284</f>
        <v>10920</v>
      </c>
      <c r="I1284" s="10" t="n">
        <f aca="false">0</f>
        <v>0</v>
      </c>
      <c r="J1284" s="10" t="n">
        <f aca="false">MAX(0,E1284-E1283)*Staffing!$O$27</f>
        <v>0</v>
      </c>
      <c r="K1284" s="10" t="n">
        <f aca="false">MAX(0,E1284-E1283)*Staffing!$P$27</f>
        <v>0</v>
      </c>
      <c r="L1284" s="23" t="n">
        <f aca="false">ROUNDUP(E1284,0)</f>
        <v>1</v>
      </c>
    </row>
    <row r="1285" customFormat="false" ht="15" hidden="false" customHeight="false" outlineLevel="0" collapsed="false">
      <c r="A1285" s="6" t="s">
        <v>4</v>
      </c>
      <c r="B1285" s="6" t="s">
        <v>345</v>
      </c>
      <c r="C1285" s="6" t="n">
        <v>20</v>
      </c>
      <c r="D1285" s="25" t="n">
        <f aca="false">EDATE('Start Here'!$B$6,C1285-1)</f>
        <v>46905</v>
      </c>
      <c r="E1285" s="11" t="n">
        <f aca="false">IF(AND(C1285&gt;=Staffing!$F$27,C1285&lt;=Staffing!$G$27,1=1),IF(C1285&lt;=6,Staffing!$H$27,IF(C1285&lt;=15,Staffing!$I$27,IF(C1285&lt;=30,Staffing!$J$27,Staffing!$K$27))),0)</f>
        <v>1</v>
      </c>
      <c r="F1285" s="10" t="n">
        <f aca="false">E1285*Staffing!$L$27/12*(1+Assumptions!$D$10)^INT((C1285-1)/12)*1</f>
        <v>7800</v>
      </c>
      <c r="G1285" s="10" t="n">
        <f aca="false">F1285*Staffing!$N$27</f>
        <v>3120</v>
      </c>
      <c r="H1285" s="10" t="n">
        <f aca="false">F1285+G1285</f>
        <v>10920</v>
      </c>
      <c r="I1285" s="10" t="n">
        <f aca="false">0</f>
        <v>0</v>
      </c>
      <c r="J1285" s="10" t="n">
        <f aca="false">MAX(0,E1285-E1284)*Staffing!$O$27</f>
        <v>0</v>
      </c>
      <c r="K1285" s="10" t="n">
        <f aca="false">MAX(0,E1285-E1284)*Staffing!$P$27</f>
        <v>0</v>
      </c>
      <c r="L1285" s="23" t="n">
        <f aca="false">ROUNDUP(E1285,0)</f>
        <v>1</v>
      </c>
    </row>
    <row r="1286" customFormat="false" ht="15" hidden="false" customHeight="false" outlineLevel="0" collapsed="false">
      <c r="A1286" s="6" t="s">
        <v>4</v>
      </c>
      <c r="B1286" s="6" t="s">
        <v>345</v>
      </c>
      <c r="C1286" s="6" t="n">
        <v>21</v>
      </c>
      <c r="D1286" s="25" t="n">
        <f aca="false">EDATE('Start Here'!$B$6,C1286-1)</f>
        <v>46935</v>
      </c>
      <c r="E1286" s="11" t="n">
        <f aca="false">IF(AND(C1286&gt;=Staffing!$F$27,C1286&lt;=Staffing!$G$27,1=1),IF(C1286&lt;=6,Staffing!$H$27,IF(C1286&lt;=15,Staffing!$I$27,IF(C1286&lt;=30,Staffing!$J$27,Staffing!$K$27))),0)</f>
        <v>1</v>
      </c>
      <c r="F1286" s="10" t="n">
        <f aca="false">E1286*Staffing!$L$27/12*(1+Assumptions!$D$10)^INT((C1286-1)/12)*1</f>
        <v>7800</v>
      </c>
      <c r="G1286" s="10" t="n">
        <f aca="false">F1286*Staffing!$N$27</f>
        <v>3120</v>
      </c>
      <c r="H1286" s="10" t="n">
        <f aca="false">F1286+G1286</f>
        <v>10920</v>
      </c>
      <c r="I1286" s="10" t="n">
        <f aca="false">0</f>
        <v>0</v>
      </c>
      <c r="J1286" s="10" t="n">
        <f aca="false">MAX(0,E1286-E1285)*Staffing!$O$27</f>
        <v>0</v>
      </c>
      <c r="K1286" s="10" t="n">
        <f aca="false">MAX(0,E1286-E1285)*Staffing!$P$27</f>
        <v>0</v>
      </c>
      <c r="L1286" s="23" t="n">
        <f aca="false">ROUNDUP(E1286,0)</f>
        <v>1</v>
      </c>
    </row>
    <row r="1287" customFormat="false" ht="15" hidden="false" customHeight="false" outlineLevel="0" collapsed="false">
      <c r="A1287" s="6" t="s">
        <v>4</v>
      </c>
      <c r="B1287" s="6" t="s">
        <v>345</v>
      </c>
      <c r="C1287" s="6" t="n">
        <v>22</v>
      </c>
      <c r="D1287" s="25" t="n">
        <f aca="false">EDATE('Start Here'!$B$6,C1287-1)</f>
        <v>46966</v>
      </c>
      <c r="E1287" s="11" t="n">
        <f aca="false">IF(AND(C1287&gt;=Staffing!$F$27,C1287&lt;=Staffing!$G$27,1=1),IF(C1287&lt;=6,Staffing!$H$27,IF(C1287&lt;=15,Staffing!$I$27,IF(C1287&lt;=30,Staffing!$J$27,Staffing!$K$27))),0)</f>
        <v>1</v>
      </c>
      <c r="F1287" s="10" t="n">
        <f aca="false">E1287*Staffing!$L$27/12*(1+Assumptions!$D$10)^INT((C1287-1)/12)*1</f>
        <v>7800</v>
      </c>
      <c r="G1287" s="10" t="n">
        <f aca="false">F1287*Staffing!$N$27</f>
        <v>3120</v>
      </c>
      <c r="H1287" s="10" t="n">
        <f aca="false">F1287+G1287</f>
        <v>10920</v>
      </c>
      <c r="I1287" s="10" t="n">
        <f aca="false">0</f>
        <v>0</v>
      </c>
      <c r="J1287" s="10" t="n">
        <f aca="false">MAX(0,E1287-E1286)*Staffing!$O$27</f>
        <v>0</v>
      </c>
      <c r="K1287" s="10" t="n">
        <f aca="false">MAX(0,E1287-E1286)*Staffing!$P$27</f>
        <v>0</v>
      </c>
      <c r="L1287" s="23" t="n">
        <f aca="false">ROUNDUP(E1287,0)</f>
        <v>1</v>
      </c>
    </row>
    <row r="1288" customFormat="false" ht="15" hidden="false" customHeight="false" outlineLevel="0" collapsed="false">
      <c r="A1288" s="6" t="s">
        <v>4</v>
      </c>
      <c r="B1288" s="6" t="s">
        <v>345</v>
      </c>
      <c r="C1288" s="6" t="n">
        <v>23</v>
      </c>
      <c r="D1288" s="25" t="n">
        <f aca="false">EDATE('Start Here'!$B$6,C1288-1)</f>
        <v>46997</v>
      </c>
      <c r="E1288" s="11" t="n">
        <f aca="false">IF(AND(C1288&gt;=Staffing!$F$27,C1288&lt;=Staffing!$G$27,1=1),IF(C1288&lt;=6,Staffing!$H$27,IF(C1288&lt;=15,Staffing!$I$27,IF(C1288&lt;=30,Staffing!$J$27,Staffing!$K$27))),0)</f>
        <v>1</v>
      </c>
      <c r="F1288" s="10" t="n">
        <f aca="false">E1288*Staffing!$L$27/12*(1+Assumptions!$D$10)^INT((C1288-1)/12)*1</f>
        <v>7800</v>
      </c>
      <c r="G1288" s="10" t="n">
        <f aca="false">F1288*Staffing!$N$27</f>
        <v>3120</v>
      </c>
      <c r="H1288" s="10" t="n">
        <f aca="false">F1288+G1288</f>
        <v>10920</v>
      </c>
      <c r="I1288" s="10" t="n">
        <f aca="false">0</f>
        <v>0</v>
      </c>
      <c r="J1288" s="10" t="n">
        <f aca="false">MAX(0,E1288-E1287)*Staffing!$O$27</f>
        <v>0</v>
      </c>
      <c r="K1288" s="10" t="n">
        <f aca="false">MAX(0,E1288-E1287)*Staffing!$P$27</f>
        <v>0</v>
      </c>
      <c r="L1288" s="23" t="n">
        <f aca="false">ROUNDUP(E1288,0)</f>
        <v>1</v>
      </c>
    </row>
    <row r="1289" customFormat="false" ht="15" hidden="false" customHeight="false" outlineLevel="0" collapsed="false">
      <c r="A1289" s="6" t="s">
        <v>4</v>
      </c>
      <c r="B1289" s="6" t="s">
        <v>345</v>
      </c>
      <c r="C1289" s="6" t="n">
        <v>24</v>
      </c>
      <c r="D1289" s="25" t="n">
        <f aca="false">EDATE('Start Here'!$B$6,C1289-1)</f>
        <v>47027</v>
      </c>
      <c r="E1289" s="11" t="n">
        <f aca="false">IF(AND(C1289&gt;=Staffing!$F$27,C1289&lt;=Staffing!$G$27,1=1),IF(C1289&lt;=6,Staffing!$H$27,IF(C1289&lt;=15,Staffing!$I$27,IF(C1289&lt;=30,Staffing!$J$27,Staffing!$K$27))),0)</f>
        <v>1</v>
      </c>
      <c r="F1289" s="10" t="n">
        <f aca="false">E1289*Staffing!$L$27/12*(1+Assumptions!$D$10)^INT((C1289-1)/12)*1</f>
        <v>7800</v>
      </c>
      <c r="G1289" s="10" t="n">
        <f aca="false">F1289*Staffing!$N$27</f>
        <v>3120</v>
      </c>
      <c r="H1289" s="10" t="n">
        <f aca="false">F1289+G1289</f>
        <v>10920</v>
      </c>
      <c r="I1289" s="10" t="n">
        <f aca="false">0</f>
        <v>0</v>
      </c>
      <c r="J1289" s="10" t="n">
        <f aca="false">MAX(0,E1289-E1288)*Staffing!$O$27</f>
        <v>0</v>
      </c>
      <c r="K1289" s="10" t="n">
        <f aca="false">MAX(0,E1289-E1288)*Staffing!$P$27</f>
        <v>0</v>
      </c>
      <c r="L1289" s="23" t="n">
        <f aca="false">ROUNDUP(E1289,0)</f>
        <v>1</v>
      </c>
    </row>
    <row r="1290" customFormat="false" ht="15" hidden="false" customHeight="false" outlineLevel="0" collapsed="false">
      <c r="A1290" s="6" t="s">
        <v>4</v>
      </c>
      <c r="B1290" s="6" t="s">
        <v>345</v>
      </c>
      <c r="C1290" s="6" t="n">
        <v>25</v>
      </c>
      <c r="D1290" s="25" t="n">
        <f aca="false">EDATE('Start Here'!$B$6,C1290-1)</f>
        <v>47058</v>
      </c>
      <c r="E1290" s="11" t="n">
        <f aca="false">IF(AND(C1290&gt;=Staffing!$F$27,C1290&lt;=Staffing!$G$27,1=1),IF(C1290&lt;=6,Staffing!$H$27,IF(C1290&lt;=15,Staffing!$I$27,IF(C1290&lt;=30,Staffing!$J$27,Staffing!$K$27))),0)</f>
        <v>1</v>
      </c>
      <c r="F1290" s="10" t="n">
        <f aca="false">E1290*Staffing!$L$27/12*(1+Assumptions!$D$10)^INT((C1290-1)/12)*1</f>
        <v>8112</v>
      </c>
      <c r="G1290" s="10" t="n">
        <f aca="false">F1290*Staffing!$N$27</f>
        <v>3244.8</v>
      </c>
      <c r="H1290" s="10" t="n">
        <f aca="false">F1290+G1290</f>
        <v>11356.8</v>
      </c>
      <c r="I1290" s="10" t="n">
        <f aca="false">0</f>
        <v>0</v>
      </c>
      <c r="J1290" s="10" t="n">
        <f aca="false">MAX(0,E1290-E1289)*Staffing!$O$27</f>
        <v>0</v>
      </c>
      <c r="K1290" s="10" t="n">
        <f aca="false">MAX(0,E1290-E1289)*Staffing!$P$27</f>
        <v>0</v>
      </c>
      <c r="L1290" s="23" t="n">
        <f aca="false">ROUNDUP(E1290,0)</f>
        <v>1</v>
      </c>
    </row>
    <row r="1291" customFormat="false" ht="15" hidden="false" customHeight="false" outlineLevel="0" collapsed="false">
      <c r="A1291" s="6" t="s">
        <v>4</v>
      </c>
      <c r="B1291" s="6" t="s">
        <v>345</v>
      </c>
      <c r="C1291" s="6" t="n">
        <v>26</v>
      </c>
      <c r="D1291" s="25" t="n">
        <f aca="false">EDATE('Start Here'!$B$6,C1291-1)</f>
        <v>47088</v>
      </c>
      <c r="E1291" s="11" t="n">
        <f aca="false">IF(AND(C1291&gt;=Staffing!$F$27,C1291&lt;=Staffing!$G$27,1=1),IF(C1291&lt;=6,Staffing!$H$27,IF(C1291&lt;=15,Staffing!$I$27,IF(C1291&lt;=30,Staffing!$J$27,Staffing!$K$27))),0)</f>
        <v>1</v>
      </c>
      <c r="F1291" s="10" t="n">
        <f aca="false">E1291*Staffing!$L$27/12*(1+Assumptions!$D$10)^INT((C1291-1)/12)*1</f>
        <v>8112</v>
      </c>
      <c r="G1291" s="10" t="n">
        <f aca="false">F1291*Staffing!$N$27</f>
        <v>3244.8</v>
      </c>
      <c r="H1291" s="10" t="n">
        <f aca="false">F1291+G1291</f>
        <v>11356.8</v>
      </c>
      <c r="I1291" s="10" t="n">
        <f aca="false">0</f>
        <v>0</v>
      </c>
      <c r="J1291" s="10" t="n">
        <f aca="false">MAX(0,E1291-E1290)*Staffing!$O$27</f>
        <v>0</v>
      </c>
      <c r="K1291" s="10" t="n">
        <f aca="false">MAX(0,E1291-E1290)*Staffing!$P$27</f>
        <v>0</v>
      </c>
      <c r="L1291" s="23" t="n">
        <f aca="false">ROUNDUP(E1291,0)</f>
        <v>1</v>
      </c>
    </row>
    <row r="1292" customFormat="false" ht="15" hidden="false" customHeight="false" outlineLevel="0" collapsed="false">
      <c r="A1292" s="6" t="s">
        <v>4</v>
      </c>
      <c r="B1292" s="6" t="s">
        <v>345</v>
      </c>
      <c r="C1292" s="6" t="n">
        <v>27</v>
      </c>
      <c r="D1292" s="25" t="n">
        <f aca="false">EDATE('Start Here'!$B$6,C1292-1)</f>
        <v>47119</v>
      </c>
      <c r="E1292" s="11" t="n">
        <f aca="false">IF(AND(C1292&gt;=Staffing!$F$27,C1292&lt;=Staffing!$G$27,1=1),IF(C1292&lt;=6,Staffing!$H$27,IF(C1292&lt;=15,Staffing!$I$27,IF(C1292&lt;=30,Staffing!$J$27,Staffing!$K$27))),0)</f>
        <v>1</v>
      </c>
      <c r="F1292" s="10" t="n">
        <f aca="false">E1292*Staffing!$L$27/12*(1+Assumptions!$D$10)^INT((C1292-1)/12)*1</f>
        <v>8112</v>
      </c>
      <c r="G1292" s="10" t="n">
        <f aca="false">F1292*Staffing!$N$27</f>
        <v>3244.8</v>
      </c>
      <c r="H1292" s="10" t="n">
        <f aca="false">F1292+G1292</f>
        <v>11356.8</v>
      </c>
      <c r="I1292" s="10" t="n">
        <f aca="false">0</f>
        <v>0</v>
      </c>
      <c r="J1292" s="10" t="n">
        <f aca="false">MAX(0,E1292-E1291)*Staffing!$O$27</f>
        <v>0</v>
      </c>
      <c r="K1292" s="10" t="n">
        <f aca="false">MAX(0,E1292-E1291)*Staffing!$P$27</f>
        <v>0</v>
      </c>
      <c r="L1292" s="23" t="n">
        <f aca="false">ROUNDUP(E1292,0)</f>
        <v>1</v>
      </c>
    </row>
    <row r="1293" customFormat="false" ht="15" hidden="false" customHeight="false" outlineLevel="0" collapsed="false">
      <c r="A1293" s="6" t="s">
        <v>4</v>
      </c>
      <c r="B1293" s="6" t="s">
        <v>345</v>
      </c>
      <c r="C1293" s="6" t="n">
        <v>28</v>
      </c>
      <c r="D1293" s="25" t="n">
        <f aca="false">EDATE('Start Here'!$B$6,C1293-1)</f>
        <v>47150</v>
      </c>
      <c r="E1293" s="11" t="n">
        <f aca="false">IF(AND(C1293&gt;=Staffing!$F$27,C1293&lt;=Staffing!$G$27,1=1),IF(C1293&lt;=6,Staffing!$H$27,IF(C1293&lt;=15,Staffing!$I$27,IF(C1293&lt;=30,Staffing!$J$27,Staffing!$K$27))),0)</f>
        <v>1</v>
      </c>
      <c r="F1293" s="10" t="n">
        <f aca="false">E1293*Staffing!$L$27/12*(1+Assumptions!$D$10)^INT((C1293-1)/12)*1</f>
        <v>8112</v>
      </c>
      <c r="G1293" s="10" t="n">
        <f aca="false">F1293*Staffing!$N$27</f>
        <v>3244.8</v>
      </c>
      <c r="H1293" s="10" t="n">
        <f aca="false">F1293+G1293</f>
        <v>11356.8</v>
      </c>
      <c r="I1293" s="10" t="n">
        <f aca="false">0</f>
        <v>0</v>
      </c>
      <c r="J1293" s="10" t="n">
        <f aca="false">MAX(0,E1293-E1292)*Staffing!$O$27</f>
        <v>0</v>
      </c>
      <c r="K1293" s="10" t="n">
        <f aca="false">MAX(0,E1293-E1292)*Staffing!$P$27</f>
        <v>0</v>
      </c>
      <c r="L1293" s="23" t="n">
        <f aca="false">ROUNDUP(E1293,0)</f>
        <v>1</v>
      </c>
    </row>
    <row r="1294" customFormat="false" ht="15" hidden="false" customHeight="false" outlineLevel="0" collapsed="false">
      <c r="A1294" s="6" t="s">
        <v>4</v>
      </c>
      <c r="B1294" s="6" t="s">
        <v>345</v>
      </c>
      <c r="C1294" s="6" t="n">
        <v>29</v>
      </c>
      <c r="D1294" s="25" t="n">
        <f aca="false">EDATE('Start Here'!$B$6,C1294-1)</f>
        <v>47178</v>
      </c>
      <c r="E1294" s="11" t="n">
        <f aca="false">IF(AND(C1294&gt;=Staffing!$F$27,C1294&lt;=Staffing!$G$27,1=1),IF(C1294&lt;=6,Staffing!$H$27,IF(C1294&lt;=15,Staffing!$I$27,IF(C1294&lt;=30,Staffing!$J$27,Staffing!$K$27))),0)</f>
        <v>1</v>
      </c>
      <c r="F1294" s="10" t="n">
        <f aca="false">E1294*Staffing!$L$27/12*(1+Assumptions!$D$10)^INT((C1294-1)/12)*1</f>
        <v>8112</v>
      </c>
      <c r="G1294" s="10" t="n">
        <f aca="false">F1294*Staffing!$N$27</f>
        <v>3244.8</v>
      </c>
      <c r="H1294" s="10" t="n">
        <f aca="false">F1294+G1294</f>
        <v>11356.8</v>
      </c>
      <c r="I1294" s="10" t="n">
        <f aca="false">0</f>
        <v>0</v>
      </c>
      <c r="J1294" s="10" t="n">
        <f aca="false">MAX(0,E1294-E1293)*Staffing!$O$27</f>
        <v>0</v>
      </c>
      <c r="K1294" s="10" t="n">
        <f aca="false">MAX(0,E1294-E1293)*Staffing!$P$27</f>
        <v>0</v>
      </c>
      <c r="L1294" s="23" t="n">
        <f aca="false">ROUNDUP(E1294,0)</f>
        <v>1</v>
      </c>
    </row>
    <row r="1295" customFormat="false" ht="15" hidden="false" customHeight="false" outlineLevel="0" collapsed="false">
      <c r="A1295" s="6" t="s">
        <v>4</v>
      </c>
      <c r="B1295" s="6" t="s">
        <v>345</v>
      </c>
      <c r="C1295" s="6" t="n">
        <v>30</v>
      </c>
      <c r="D1295" s="25" t="n">
        <f aca="false">EDATE('Start Here'!$B$6,C1295-1)</f>
        <v>47209</v>
      </c>
      <c r="E1295" s="11" t="n">
        <f aca="false">IF(AND(C1295&gt;=Staffing!$F$27,C1295&lt;=Staffing!$G$27,1=1),IF(C1295&lt;=6,Staffing!$H$27,IF(C1295&lt;=15,Staffing!$I$27,IF(C1295&lt;=30,Staffing!$J$27,Staffing!$K$27))),0)</f>
        <v>1</v>
      </c>
      <c r="F1295" s="10" t="n">
        <f aca="false">E1295*Staffing!$L$27/12*(1+Assumptions!$D$10)^INT((C1295-1)/12)*1</f>
        <v>8112</v>
      </c>
      <c r="G1295" s="10" t="n">
        <f aca="false">F1295*Staffing!$N$27</f>
        <v>3244.8</v>
      </c>
      <c r="H1295" s="10" t="n">
        <f aca="false">F1295+G1295</f>
        <v>11356.8</v>
      </c>
      <c r="I1295" s="10" t="n">
        <f aca="false">0</f>
        <v>0</v>
      </c>
      <c r="J1295" s="10" t="n">
        <f aca="false">MAX(0,E1295-E1294)*Staffing!$O$27</f>
        <v>0</v>
      </c>
      <c r="K1295" s="10" t="n">
        <f aca="false">MAX(0,E1295-E1294)*Staffing!$P$27</f>
        <v>0</v>
      </c>
      <c r="L1295" s="23" t="n">
        <f aca="false">ROUNDUP(E1295,0)</f>
        <v>1</v>
      </c>
    </row>
    <row r="1296" customFormat="false" ht="15" hidden="false" customHeight="false" outlineLevel="0" collapsed="false">
      <c r="A1296" s="6" t="s">
        <v>4</v>
      </c>
      <c r="B1296" s="6" t="s">
        <v>345</v>
      </c>
      <c r="C1296" s="6" t="n">
        <v>31</v>
      </c>
      <c r="D1296" s="25" t="n">
        <f aca="false">EDATE('Start Here'!$B$6,C1296-1)</f>
        <v>47239</v>
      </c>
      <c r="E1296" s="11" t="n">
        <f aca="false">IF(AND(C1296&gt;=Staffing!$F$27,C1296&lt;=Staffing!$G$27,1=1),IF(C1296&lt;=6,Staffing!$H$27,IF(C1296&lt;=15,Staffing!$I$27,IF(C1296&lt;=30,Staffing!$J$27,Staffing!$K$27))),0)</f>
        <v>2</v>
      </c>
      <c r="F1296" s="10" t="n">
        <f aca="false">E1296*Staffing!$L$27/12*(1+Assumptions!$D$10)^INT((C1296-1)/12)*1</f>
        <v>16224</v>
      </c>
      <c r="G1296" s="10" t="n">
        <f aca="false">F1296*Staffing!$N$27</f>
        <v>6489.6</v>
      </c>
      <c r="H1296" s="10" t="n">
        <f aca="false">F1296+G1296</f>
        <v>22713.6</v>
      </c>
      <c r="I1296" s="10" t="n">
        <f aca="false">0</f>
        <v>0</v>
      </c>
      <c r="J1296" s="10" t="n">
        <f aca="false">MAX(0,E1296-E1295)*Staffing!$O$27</f>
        <v>8000</v>
      </c>
      <c r="K1296" s="10" t="n">
        <f aca="false">MAX(0,E1296-E1295)*Staffing!$P$27</f>
        <v>3000</v>
      </c>
      <c r="L1296" s="23" t="n">
        <f aca="false">ROUNDUP(E1296,0)</f>
        <v>2</v>
      </c>
    </row>
    <row r="1297" customFormat="false" ht="15" hidden="false" customHeight="false" outlineLevel="0" collapsed="false">
      <c r="A1297" s="6" t="s">
        <v>4</v>
      </c>
      <c r="B1297" s="6" t="s">
        <v>345</v>
      </c>
      <c r="C1297" s="6" t="n">
        <v>32</v>
      </c>
      <c r="D1297" s="25" t="n">
        <f aca="false">EDATE('Start Here'!$B$6,C1297-1)</f>
        <v>47270</v>
      </c>
      <c r="E1297" s="11" t="n">
        <f aca="false">IF(AND(C1297&gt;=Staffing!$F$27,C1297&lt;=Staffing!$G$27,1=1),IF(C1297&lt;=6,Staffing!$H$27,IF(C1297&lt;=15,Staffing!$I$27,IF(C1297&lt;=30,Staffing!$J$27,Staffing!$K$27))),0)</f>
        <v>2</v>
      </c>
      <c r="F1297" s="10" t="n">
        <f aca="false">E1297*Staffing!$L$27/12*(1+Assumptions!$D$10)^INT((C1297-1)/12)*1</f>
        <v>16224</v>
      </c>
      <c r="G1297" s="10" t="n">
        <f aca="false">F1297*Staffing!$N$27</f>
        <v>6489.6</v>
      </c>
      <c r="H1297" s="10" t="n">
        <f aca="false">F1297+G1297</f>
        <v>22713.6</v>
      </c>
      <c r="I1297" s="10" t="n">
        <f aca="false">0</f>
        <v>0</v>
      </c>
      <c r="J1297" s="10" t="n">
        <f aca="false">MAX(0,E1297-E1296)*Staffing!$O$27</f>
        <v>0</v>
      </c>
      <c r="K1297" s="10" t="n">
        <f aca="false">MAX(0,E1297-E1296)*Staffing!$P$27</f>
        <v>0</v>
      </c>
      <c r="L1297" s="23" t="n">
        <f aca="false">ROUNDUP(E1297,0)</f>
        <v>2</v>
      </c>
    </row>
    <row r="1298" customFormat="false" ht="15" hidden="false" customHeight="false" outlineLevel="0" collapsed="false">
      <c r="A1298" s="6" t="s">
        <v>4</v>
      </c>
      <c r="B1298" s="6" t="s">
        <v>345</v>
      </c>
      <c r="C1298" s="6" t="n">
        <v>33</v>
      </c>
      <c r="D1298" s="25" t="n">
        <f aca="false">EDATE('Start Here'!$B$6,C1298-1)</f>
        <v>47300</v>
      </c>
      <c r="E1298" s="11" t="n">
        <f aca="false">IF(AND(C1298&gt;=Staffing!$F$27,C1298&lt;=Staffing!$G$27,1=1),IF(C1298&lt;=6,Staffing!$H$27,IF(C1298&lt;=15,Staffing!$I$27,IF(C1298&lt;=30,Staffing!$J$27,Staffing!$K$27))),0)</f>
        <v>2</v>
      </c>
      <c r="F1298" s="10" t="n">
        <f aca="false">E1298*Staffing!$L$27/12*(1+Assumptions!$D$10)^INT((C1298-1)/12)*1</f>
        <v>16224</v>
      </c>
      <c r="G1298" s="10" t="n">
        <f aca="false">F1298*Staffing!$N$27</f>
        <v>6489.6</v>
      </c>
      <c r="H1298" s="10" t="n">
        <f aca="false">F1298+G1298</f>
        <v>22713.6</v>
      </c>
      <c r="I1298" s="10" t="n">
        <f aca="false">0</f>
        <v>0</v>
      </c>
      <c r="J1298" s="10" t="n">
        <f aca="false">MAX(0,E1298-E1297)*Staffing!$O$27</f>
        <v>0</v>
      </c>
      <c r="K1298" s="10" t="n">
        <f aca="false">MAX(0,E1298-E1297)*Staffing!$P$27</f>
        <v>0</v>
      </c>
      <c r="L1298" s="23" t="n">
        <f aca="false">ROUNDUP(E1298,0)</f>
        <v>2</v>
      </c>
    </row>
    <row r="1299" customFormat="false" ht="15" hidden="false" customHeight="false" outlineLevel="0" collapsed="false">
      <c r="A1299" s="6" t="s">
        <v>4</v>
      </c>
      <c r="B1299" s="6" t="s">
        <v>345</v>
      </c>
      <c r="C1299" s="6" t="n">
        <v>34</v>
      </c>
      <c r="D1299" s="25" t="n">
        <f aca="false">EDATE('Start Here'!$B$6,C1299-1)</f>
        <v>47331</v>
      </c>
      <c r="E1299" s="11" t="n">
        <f aca="false">IF(AND(C1299&gt;=Staffing!$F$27,C1299&lt;=Staffing!$G$27,1=1),IF(C1299&lt;=6,Staffing!$H$27,IF(C1299&lt;=15,Staffing!$I$27,IF(C1299&lt;=30,Staffing!$J$27,Staffing!$K$27))),0)</f>
        <v>2</v>
      </c>
      <c r="F1299" s="10" t="n">
        <f aca="false">E1299*Staffing!$L$27/12*(1+Assumptions!$D$10)^INT((C1299-1)/12)*1</f>
        <v>16224</v>
      </c>
      <c r="G1299" s="10" t="n">
        <f aca="false">F1299*Staffing!$N$27</f>
        <v>6489.6</v>
      </c>
      <c r="H1299" s="10" t="n">
        <f aca="false">F1299+G1299</f>
        <v>22713.6</v>
      </c>
      <c r="I1299" s="10" t="n">
        <f aca="false">0</f>
        <v>0</v>
      </c>
      <c r="J1299" s="10" t="n">
        <f aca="false">MAX(0,E1299-E1298)*Staffing!$O$27</f>
        <v>0</v>
      </c>
      <c r="K1299" s="10" t="n">
        <f aca="false">MAX(0,E1299-E1298)*Staffing!$P$27</f>
        <v>0</v>
      </c>
      <c r="L1299" s="23" t="n">
        <f aca="false">ROUNDUP(E1299,0)</f>
        <v>2</v>
      </c>
    </row>
    <row r="1300" customFormat="false" ht="15" hidden="false" customHeight="false" outlineLevel="0" collapsed="false">
      <c r="A1300" s="6" t="s">
        <v>4</v>
      </c>
      <c r="B1300" s="6" t="s">
        <v>345</v>
      </c>
      <c r="C1300" s="6" t="n">
        <v>35</v>
      </c>
      <c r="D1300" s="25" t="n">
        <f aca="false">EDATE('Start Here'!$B$6,C1300-1)</f>
        <v>47362</v>
      </c>
      <c r="E1300" s="11" t="n">
        <f aca="false">IF(AND(C1300&gt;=Staffing!$F$27,C1300&lt;=Staffing!$G$27,1=1),IF(C1300&lt;=6,Staffing!$H$27,IF(C1300&lt;=15,Staffing!$I$27,IF(C1300&lt;=30,Staffing!$J$27,Staffing!$K$27))),0)</f>
        <v>2</v>
      </c>
      <c r="F1300" s="10" t="n">
        <f aca="false">E1300*Staffing!$L$27/12*(1+Assumptions!$D$10)^INT((C1300-1)/12)*1</f>
        <v>16224</v>
      </c>
      <c r="G1300" s="10" t="n">
        <f aca="false">F1300*Staffing!$N$27</f>
        <v>6489.6</v>
      </c>
      <c r="H1300" s="10" t="n">
        <f aca="false">F1300+G1300</f>
        <v>22713.6</v>
      </c>
      <c r="I1300" s="10" t="n">
        <f aca="false">0</f>
        <v>0</v>
      </c>
      <c r="J1300" s="10" t="n">
        <f aca="false">MAX(0,E1300-E1299)*Staffing!$O$27</f>
        <v>0</v>
      </c>
      <c r="K1300" s="10" t="n">
        <f aca="false">MAX(0,E1300-E1299)*Staffing!$P$27</f>
        <v>0</v>
      </c>
      <c r="L1300" s="23" t="n">
        <f aca="false">ROUNDUP(E1300,0)</f>
        <v>2</v>
      </c>
    </row>
    <row r="1301" customFormat="false" ht="15" hidden="false" customHeight="false" outlineLevel="0" collapsed="false">
      <c r="A1301" s="6" t="s">
        <v>4</v>
      </c>
      <c r="B1301" s="6" t="s">
        <v>345</v>
      </c>
      <c r="C1301" s="6" t="n">
        <v>36</v>
      </c>
      <c r="D1301" s="25" t="n">
        <f aca="false">EDATE('Start Here'!$B$6,C1301-1)</f>
        <v>47392</v>
      </c>
      <c r="E1301" s="11" t="n">
        <f aca="false">IF(AND(C1301&gt;=Staffing!$F$27,C1301&lt;=Staffing!$G$27,1=1),IF(C1301&lt;=6,Staffing!$H$27,IF(C1301&lt;=15,Staffing!$I$27,IF(C1301&lt;=30,Staffing!$J$27,Staffing!$K$27))),0)</f>
        <v>2</v>
      </c>
      <c r="F1301" s="10" t="n">
        <f aca="false">E1301*Staffing!$L$27/12*(1+Assumptions!$D$10)^INT((C1301-1)/12)*1</f>
        <v>16224</v>
      </c>
      <c r="G1301" s="10" t="n">
        <f aca="false">F1301*Staffing!$N$27</f>
        <v>6489.6</v>
      </c>
      <c r="H1301" s="10" t="n">
        <f aca="false">F1301+G1301</f>
        <v>22713.6</v>
      </c>
      <c r="I1301" s="10" t="n">
        <f aca="false">0</f>
        <v>0</v>
      </c>
      <c r="J1301" s="10" t="n">
        <f aca="false">MAX(0,E1301-E1300)*Staffing!$O$27</f>
        <v>0</v>
      </c>
      <c r="K1301" s="10" t="n">
        <f aca="false">MAX(0,E1301-E1300)*Staffing!$P$27</f>
        <v>0</v>
      </c>
      <c r="L1301" s="23" t="n">
        <f aca="false">ROUNDUP(E1301,0)</f>
        <v>2</v>
      </c>
    </row>
    <row r="1302" customFormat="false" ht="15" hidden="false" customHeight="false" outlineLevel="0" collapsed="false">
      <c r="A1302" s="6" t="s">
        <v>4</v>
      </c>
      <c r="B1302" s="6" t="s">
        <v>345</v>
      </c>
      <c r="C1302" s="6" t="n">
        <v>37</v>
      </c>
      <c r="D1302" s="25" t="n">
        <f aca="false">EDATE('Start Here'!$B$6,C1302-1)</f>
        <v>47423</v>
      </c>
      <c r="E1302" s="11" t="n">
        <f aca="false">IF(AND(C1302&gt;=Staffing!$F$27,C1302&lt;=Staffing!$G$27,1=1),IF(C1302&lt;=6,Staffing!$H$27,IF(C1302&lt;=15,Staffing!$I$27,IF(C1302&lt;=30,Staffing!$J$27,Staffing!$K$27))),0)</f>
        <v>2</v>
      </c>
      <c r="F1302" s="10" t="n">
        <f aca="false">E1302*Staffing!$L$27/12*(1+Assumptions!$D$10)^INT((C1302-1)/12)*1</f>
        <v>16872.96</v>
      </c>
      <c r="G1302" s="10" t="n">
        <f aca="false">F1302*Staffing!$N$27</f>
        <v>6749.184</v>
      </c>
      <c r="H1302" s="10" t="n">
        <f aca="false">F1302+G1302</f>
        <v>23622.144</v>
      </c>
      <c r="I1302" s="10" t="n">
        <f aca="false">0</f>
        <v>0</v>
      </c>
      <c r="J1302" s="10" t="n">
        <f aca="false">MAX(0,E1302-E1301)*Staffing!$O$27</f>
        <v>0</v>
      </c>
      <c r="K1302" s="10" t="n">
        <f aca="false">MAX(0,E1302-E1301)*Staffing!$P$27</f>
        <v>0</v>
      </c>
      <c r="L1302" s="23" t="n">
        <f aca="false">ROUNDUP(E1302,0)</f>
        <v>2</v>
      </c>
    </row>
    <row r="1303" customFormat="false" ht="15" hidden="false" customHeight="false" outlineLevel="0" collapsed="false">
      <c r="A1303" s="6" t="s">
        <v>4</v>
      </c>
      <c r="B1303" s="6" t="s">
        <v>345</v>
      </c>
      <c r="C1303" s="6" t="n">
        <v>38</v>
      </c>
      <c r="D1303" s="25" t="n">
        <f aca="false">EDATE('Start Here'!$B$6,C1303-1)</f>
        <v>47453</v>
      </c>
      <c r="E1303" s="11" t="n">
        <f aca="false">IF(AND(C1303&gt;=Staffing!$F$27,C1303&lt;=Staffing!$G$27,1=1),IF(C1303&lt;=6,Staffing!$H$27,IF(C1303&lt;=15,Staffing!$I$27,IF(C1303&lt;=30,Staffing!$J$27,Staffing!$K$27))),0)</f>
        <v>2</v>
      </c>
      <c r="F1303" s="10" t="n">
        <f aca="false">E1303*Staffing!$L$27/12*(1+Assumptions!$D$10)^INT((C1303-1)/12)*1</f>
        <v>16872.96</v>
      </c>
      <c r="G1303" s="10" t="n">
        <f aca="false">F1303*Staffing!$N$27</f>
        <v>6749.184</v>
      </c>
      <c r="H1303" s="10" t="n">
        <f aca="false">F1303+G1303</f>
        <v>23622.144</v>
      </c>
      <c r="I1303" s="10" t="n">
        <f aca="false">0</f>
        <v>0</v>
      </c>
      <c r="J1303" s="10" t="n">
        <f aca="false">MAX(0,E1303-E1302)*Staffing!$O$27</f>
        <v>0</v>
      </c>
      <c r="K1303" s="10" t="n">
        <f aca="false">MAX(0,E1303-E1302)*Staffing!$P$27</f>
        <v>0</v>
      </c>
      <c r="L1303" s="23" t="n">
        <f aca="false">ROUNDUP(E1303,0)</f>
        <v>2</v>
      </c>
    </row>
    <row r="1304" customFormat="false" ht="15" hidden="false" customHeight="false" outlineLevel="0" collapsed="false">
      <c r="A1304" s="6" t="s">
        <v>4</v>
      </c>
      <c r="B1304" s="6" t="s">
        <v>345</v>
      </c>
      <c r="C1304" s="6" t="n">
        <v>39</v>
      </c>
      <c r="D1304" s="25" t="n">
        <f aca="false">EDATE('Start Here'!$B$6,C1304-1)</f>
        <v>47484</v>
      </c>
      <c r="E1304" s="11" t="n">
        <f aca="false">IF(AND(C1304&gt;=Staffing!$F$27,C1304&lt;=Staffing!$G$27,1=1),IF(C1304&lt;=6,Staffing!$H$27,IF(C1304&lt;=15,Staffing!$I$27,IF(C1304&lt;=30,Staffing!$J$27,Staffing!$K$27))),0)</f>
        <v>2</v>
      </c>
      <c r="F1304" s="10" t="n">
        <f aca="false">E1304*Staffing!$L$27/12*(1+Assumptions!$D$10)^INT((C1304-1)/12)*1</f>
        <v>16872.96</v>
      </c>
      <c r="G1304" s="10" t="n">
        <f aca="false">F1304*Staffing!$N$27</f>
        <v>6749.184</v>
      </c>
      <c r="H1304" s="10" t="n">
        <f aca="false">F1304+G1304</f>
        <v>23622.144</v>
      </c>
      <c r="I1304" s="10" t="n">
        <f aca="false">0</f>
        <v>0</v>
      </c>
      <c r="J1304" s="10" t="n">
        <f aca="false">MAX(0,E1304-E1303)*Staffing!$O$27</f>
        <v>0</v>
      </c>
      <c r="K1304" s="10" t="n">
        <f aca="false">MAX(0,E1304-E1303)*Staffing!$P$27</f>
        <v>0</v>
      </c>
      <c r="L1304" s="23" t="n">
        <f aca="false">ROUNDUP(E1304,0)</f>
        <v>2</v>
      </c>
    </row>
    <row r="1305" customFormat="false" ht="15" hidden="false" customHeight="false" outlineLevel="0" collapsed="false">
      <c r="A1305" s="6" t="s">
        <v>4</v>
      </c>
      <c r="B1305" s="6" t="s">
        <v>345</v>
      </c>
      <c r="C1305" s="6" t="n">
        <v>40</v>
      </c>
      <c r="D1305" s="25" t="n">
        <f aca="false">EDATE('Start Here'!$B$6,C1305-1)</f>
        <v>47515</v>
      </c>
      <c r="E1305" s="11" t="n">
        <f aca="false">IF(AND(C1305&gt;=Staffing!$F$27,C1305&lt;=Staffing!$G$27,1=1),IF(C1305&lt;=6,Staffing!$H$27,IF(C1305&lt;=15,Staffing!$I$27,IF(C1305&lt;=30,Staffing!$J$27,Staffing!$K$27))),0)</f>
        <v>2</v>
      </c>
      <c r="F1305" s="10" t="n">
        <f aca="false">E1305*Staffing!$L$27/12*(1+Assumptions!$D$10)^INT((C1305-1)/12)*1</f>
        <v>16872.96</v>
      </c>
      <c r="G1305" s="10" t="n">
        <f aca="false">F1305*Staffing!$N$27</f>
        <v>6749.184</v>
      </c>
      <c r="H1305" s="10" t="n">
        <f aca="false">F1305+G1305</f>
        <v>23622.144</v>
      </c>
      <c r="I1305" s="10" t="n">
        <f aca="false">0</f>
        <v>0</v>
      </c>
      <c r="J1305" s="10" t="n">
        <f aca="false">MAX(0,E1305-E1304)*Staffing!$O$27</f>
        <v>0</v>
      </c>
      <c r="K1305" s="10" t="n">
        <f aca="false">MAX(0,E1305-E1304)*Staffing!$P$27</f>
        <v>0</v>
      </c>
      <c r="L1305" s="23" t="n">
        <f aca="false">ROUNDUP(E1305,0)</f>
        <v>2</v>
      </c>
    </row>
    <row r="1306" customFormat="false" ht="15" hidden="false" customHeight="false" outlineLevel="0" collapsed="false">
      <c r="A1306" s="6" t="s">
        <v>4</v>
      </c>
      <c r="B1306" s="6" t="s">
        <v>345</v>
      </c>
      <c r="C1306" s="6" t="n">
        <v>41</v>
      </c>
      <c r="D1306" s="25" t="n">
        <f aca="false">EDATE('Start Here'!$B$6,C1306-1)</f>
        <v>47543</v>
      </c>
      <c r="E1306" s="11" t="n">
        <f aca="false">IF(AND(C1306&gt;=Staffing!$F$27,C1306&lt;=Staffing!$G$27,1=1),IF(C1306&lt;=6,Staffing!$H$27,IF(C1306&lt;=15,Staffing!$I$27,IF(C1306&lt;=30,Staffing!$J$27,Staffing!$K$27))),0)</f>
        <v>2</v>
      </c>
      <c r="F1306" s="10" t="n">
        <f aca="false">E1306*Staffing!$L$27/12*(1+Assumptions!$D$10)^INT((C1306-1)/12)*1</f>
        <v>16872.96</v>
      </c>
      <c r="G1306" s="10" t="n">
        <f aca="false">F1306*Staffing!$N$27</f>
        <v>6749.184</v>
      </c>
      <c r="H1306" s="10" t="n">
        <f aca="false">F1306+G1306</f>
        <v>23622.144</v>
      </c>
      <c r="I1306" s="10" t="n">
        <f aca="false">0</f>
        <v>0</v>
      </c>
      <c r="J1306" s="10" t="n">
        <f aca="false">MAX(0,E1306-E1305)*Staffing!$O$27</f>
        <v>0</v>
      </c>
      <c r="K1306" s="10" t="n">
        <f aca="false">MAX(0,E1306-E1305)*Staffing!$P$27</f>
        <v>0</v>
      </c>
      <c r="L1306" s="23" t="n">
        <f aca="false">ROUNDUP(E1306,0)</f>
        <v>2</v>
      </c>
    </row>
    <row r="1307" customFormat="false" ht="15" hidden="false" customHeight="false" outlineLevel="0" collapsed="false">
      <c r="A1307" s="6" t="s">
        <v>4</v>
      </c>
      <c r="B1307" s="6" t="s">
        <v>345</v>
      </c>
      <c r="C1307" s="6" t="n">
        <v>42</v>
      </c>
      <c r="D1307" s="25" t="n">
        <f aca="false">EDATE('Start Here'!$B$6,C1307-1)</f>
        <v>47574</v>
      </c>
      <c r="E1307" s="11" t="n">
        <f aca="false">IF(AND(C1307&gt;=Staffing!$F$27,C1307&lt;=Staffing!$G$27,1=1),IF(C1307&lt;=6,Staffing!$H$27,IF(C1307&lt;=15,Staffing!$I$27,IF(C1307&lt;=30,Staffing!$J$27,Staffing!$K$27))),0)</f>
        <v>2</v>
      </c>
      <c r="F1307" s="10" t="n">
        <f aca="false">E1307*Staffing!$L$27/12*(1+Assumptions!$D$10)^INT((C1307-1)/12)*1</f>
        <v>16872.96</v>
      </c>
      <c r="G1307" s="10" t="n">
        <f aca="false">F1307*Staffing!$N$27</f>
        <v>6749.184</v>
      </c>
      <c r="H1307" s="10" t="n">
        <f aca="false">F1307+G1307</f>
        <v>23622.144</v>
      </c>
      <c r="I1307" s="10" t="n">
        <f aca="false">0</f>
        <v>0</v>
      </c>
      <c r="J1307" s="10" t="n">
        <f aca="false">MAX(0,E1307-E1306)*Staffing!$O$27</f>
        <v>0</v>
      </c>
      <c r="K1307" s="10" t="n">
        <f aca="false">MAX(0,E1307-E1306)*Staffing!$P$27</f>
        <v>0</v>
      </c>
      <c r="L1307" s="23" t="n">
        <f aca="false">ROUNDUP(E1307,0)</f>
        <v>2</v>
      </c>
    </row>
    <row r="1308" customFormat="false" ht="15" hidden="false" customHeight="false" outlineLevel="0" collapsed="false">
      <c r="A1308" s="6" t="s">
        <v>4</v>
      </c>
      <c r="B1308" s="6" t="s">
        <v>345</v>
      </c>
      <c r="C1308" s="6" t="n">
        <v>43</v>
      </c>
      <c r="D1308" s="25" t="n">
        <f aca="false">EDATE('Start Here'!$B$6,C1308-1)</f>
        <v>47604</v>
      </c>
      <c r="E1308" s="11" t="n">
        <f aca="false">IF(AND(C1308&gt;=Staffing!$F$27,C1308&lt;=Staffing!$G$27,1=1),IF(C1308&lt;=6,Staffing!$H$27,IF(C1308&lt;=15,Staffing!$I$27,IF(C1308&lt;=30,Staffing!$J$27,Staffing!$K$27))),0)</f>
        <v>2</v>
      </c>
      <c r="F1308" s="10" t="n">
        <f aca="false">E1308*Staffing!$L$27/12*(1+Assumptions!$D$10)^INT((C1308-1)/12)*1</f>
        <v>16872.96</v>
      </c>
      <c r="G1308" s="10" t="n">
        <f aca="false">F1308*Staffing!$N$27</f>
        <v>6749.184</v>
      </c>
      <c r="H1308" s="10" t="n">
        <f aca="false">F1308+G1308</f>
        <v>23622.144</v>
      </c>
      <c r="I1308" s="10" t="n">
        <f aca="false">0</f>
        <v>0</v>
      </c>
      <c r="J1308" s="10" t="n">
        <f aca="false">MAX(0,E1308-E1307)*Staffing!$O$27</f>
        <v>0</v>
      </c>
      <c r="K1308" s="10" t="n">
        <f aca="false">MAX(0,E1308-E1307)*Staffing!$P$27</f>
        <v>0</v>
      </c>
      <c r="L1308" s="23" t="n">
        <f aca="false">ROUNDUP(E1308,0)</f>
        <v>2</v>
      </c>
    </row>
    <row r="1309" customFormat="false" ht="15" hidden="false" customHeight="false" outlineLevel="0" collapsed="false">
      <c r="A1309" s="6" t="s">
        <v>4</v>
      </c>
      <c r="B1309" s="6" t="s">
        <v>345</v>
      </c>
      <c r="C1309" s="6" t="n">
        <v>44</v>
      </c>
      <c r="D1309" s="25" t="n">
        <f aca="false">EDATE('Start Here'!$B$6,C1309-1)</f>
        <v>47635</v>
      </c>
      <c r="E1309" s="11" t="n">
        <f aca="false">IF(AND(C1309&gt;=Staffing!$F$27,C1309&lt;=Staffing!$G$27,1=1),IF(C1309&lt;=6,Staffing!$H$27,IF(C1309&lt;=15,Staffing!$I$27,IF(C1309&lt;=30,Staffing!$J$27,Staffing!$K$27))),0)</f>
        <v>2</v>
      </c>
      <c r="F1309" s="10" t="n">
        <f aca="false">E1309*Staffing!$L$27/12*(1+Assumptions!$D$10)^INT((C1309-1)/12)*1</f>
        <v>16872.96</v>
      </c>
      <c r="G1309" s="10" t="n">
        <f aca="false">F1309*Staffing!$N$27</f>
        <v>6749.184</v>
      </c>
      <c r="H1309" s="10" t="n">
        <f aca="false">F1309+G1309</f>
        <v>23622.144</v>
      </c>
      <c r="I1309" s="10" t="n">
        <f aca="false">0</f>
        <v>0</v>
      </c>
      <c r="J1309" s="10" t="n">
        <f aca="false">MAX(0,E1309-E1308)*Staffing!$O$27</f>
        <v>0</v>
      </c>
      <c r="K1309" s="10" t="n">
        <f aca="false">MAX(0,E1309-E1308)*Staffing!$P$27</f>
        <v>0</v>
      </c>
      <c r="L1309" s="23" t="n">
        <f aca="false">ROUNDUP(E1309,0)</f>
        <v>2</v>
      </c>
    </row>
    <row r="1310" customFormat="false" ht="15" hidden="false" customHeight="false" outlineLevel="0" collapsed="false">
      <c r="A1310" s="6" t="s">
        <v>4</v>
      </c>
      <c r="B1310" s="6" t="s">
        <v>345</v>
      </c>
      <c r="C1310" s="6" t="n">
        <v>45</v>
      </c>
      <c r="D1310" s="25" t="n">
        <f aca="false">EDATE('Start Here'!$B$6,C1310-1)</f>
        <v>47665</v>
      </c>
      <c r="E1310" s="11" t="n">
        <f aca="false">IF(AND(C1310&gt;=Staffing!$F$27,C1310&lt;=Staffing!$G$27,1=1),IF(C1310&lt;=6,Staffing!$H$27,IF(C1310&lt;=15,Staffing!$I$27,IF(C1310&lt;=30,Staffing!$J$27,Staffing!$K$27))),0)</f>
        <v>2</v>
      </c>
      <c r="F1310" s="10" t="n">
        <f aca="false">E1310*Staffing!$L$27/12*(1+Assumptions!$D$10)^INT((C1310-1)/12)*1</f>
        <v>16872.96</v>
      </c>
      <c r="G1310" s="10" t="n">
        <f aca="false">F1310*Staffing!$N$27</f>
        <v>6749.184</v>
      </c>
      <c r="H1310" s="10" t="n">
        <f aca="false">F1310+G1310</f>
        <v>23622.144</v>
      </c>
      <c r="I1310" s="10" t="n">
        <f aca="false">0</f>
        <v>0</v>
      </c>
      <c r="J1310" s="10" t="n">
        <f aca="false">MAX(0,E1310-E1309)*Staffing!$O$27</f>
        <v>0</v>
      </c>
      <c r="K1310" s="10" t="n">
        <f aca="false">MAX(0,E1310-E1309)*Staffing!$P$27</f>
        <v>0</v>
      </c>
      <c r="L1310" s="23" t="n">
        <f aca="false">ROUNDUP(E1310,0)</f>
        <v>2</v>
      </c>
    </row>
    <row r="1311" customFormat="false" ht="15" hidden="false" customHeight="false" outlineLevel="0" collapsed="false">
      <c r="A1311" s="6" t="s">
        <v>4</v>
      </c>
      <c r="B1311" s="6" t="s">
        <v>345</v>
      </c>
      <c r="C1311" s="6" t="n">
        <v>46</v>
      </c>
      <c r="D1311" s="25" t="n">
        <f aca="false">EDATE('Start Here'!$B$6,C1311-1)</f>
        <v>47696</v>
      </c>
      <c r="E1311" s="11" t="n">
        <f aca="false">IF(AND(C1311&gt;=Staffing!$F$27,C1311&lt;=Staffing!$G$27,1=1),IF(C1311&lt;=6,Staffing!$H$27,IF(C1311&lt;=15,Staffing!$I$27,IF(C1311&lt;=30,Staffing!$J$27,Staffing!$K$27))),0)</f>
        <v>2</v>
      </c>
      <c r="F1311" s="10" t="n">
        <f aca="false">E1311*Staffing!$L$27/12*(1+Assumptions!$D$10)^INT((C1311-1)/12)*1</f>
        <v>16872.96</v>
      </c>
      <c r="G1311" s="10" t="n">
        <f aca="false">F1311*Staffing!$N$27</f>
        <v>6749.184</v>
      </c>
      <c r="H1311" s="10" t="n">
        <f aca="false">F1311+G1311</f>
        <v>23622.144</v>
      </c>
      <c r="I1311" s="10" t="n">
        <f aca="false">0</f>
        <v>0</v>
      </c>
      <c r="J1311" s="10" t="n">
        <f aca="false">MAX(0,E1311-E1310)*Staffing!$O$27</f>
        <v>0</v>
      </c>
      <c r="K1311" s="10" t="n">
        <f aca="false">MAX(0,E1311-E1310)*Staffing!$P$27</f>
        <v>0</v>
      </c>
      <c r="L1311" s="23" t="n">
        <f aca="false">ROUNDUP(E1311,0)</f>
        <v>2</v>
      </c>
    </row>
    <row r="1312" customFormat="false" ht="15" hidden="false" customHeight="false" outlineLevel="0" collapsed="false">
      <c r="A1312" s="6" t="s">
        <v>4</v>
      </c>
      <c r="B1312" s="6" t="s">
        <v>345</v>
      </c>
      <c r="C1312" s="6" t="n">
        <v>47</v>
      </c>
      <c r="D1312" s="25" t="n">
        <f aca="false">EDATE('Start Here'!$B$6,C1312-1)</f>
        <v>47727</v>
      </c>
      <c r="E1312" s="11" t="n">
        <f aca="false">IF(AND(C1312&gt;=Staffing!$F$27,C1312&lt;=Staffing!$G$27,1=1),IF(C1312&lt;=6,Staffing!$H$27,IF(C1312&lt;=15,Staffing!$I$27,IF(C1312&lt;=30,Staffing!$J$27,Staffing!$K$27))),0)</f>
        <v>2</v>
      </c>
      <c r="F1312" s="10" t="n">
        <f aca="false">E1312*Staffing!$L$27/12*(1+Assumptions!$D$10)^INT((C1312-1)/12)*1</f>
        <v>16872.96</v>
      </c>
      <c r="G1312" s="10" t="n">
        <f aca="false">F1312*Staffing!$N$27</f>
        <v>6749.184</v>
      </c>
      <c r="H1312" s="10" t="n">
        <f aca="false">F1312+G1312</f>
        <v>23622.144</v>
      </c>
      <c r="I1312" s="10" t="n">
        <f aca="false">0</f>
        <v>0</v>
      </c>
      <c r="J1312" s="10" t="n">
        <f aca="false">MAX(0,E1312-E1311)*Staffing!$O$27</f>
        <v>0</v>
      </c>
      <c r="K1312" s="10" t="n">
        <f aca="false">MAX(0,E1312-E1311)*Staffing!$P$27</f>
        <v>0</v>
      </c>
      <c r="L1312" s="23" t="n">
        <f aca="false">ROUNDUP(E1312,0)</f>
        <v>2</v>
      </c>
    </row>
    <row r="1313" customFormat="false" ht="15" hidden="false" customHeight="false" outlineLevel="0" collapsed="false">
      <c r="A1313" s="6" t="s">
        <v>4</v>
      </c>
      <c r="B1313" s="6" t="s">
        <v>345</v>
      </c>
      <c r="C1313" s="6" t="n">
        <v>48</v>
      </c>
      <c r="D1313" s="25" t="n">
        <f aca="false">EDATE('Start Here'!$B$6,C1313-1)</f>
        <v>47757</v>
      </c>
      <c r="E1313" s="11" t="n">
        <f aca="false">IF(AND(C1313&gt;=Staffing!$F$27,C1313&lt;=Staffing!$G$27,1=1),IF(C1313&lt;=6,Staffing!$H$27,IF(C1313&lt;=15,Staffing!$I$27,IF(C1313&lt;=30,Staffing!$J$27,Staffing!$K$27))),0)</f>
        <v>2</v>
      </c>
      <c r="F1313" s="10" t="n">
        <f aca="false">E1313*Staffing!$L$27/12*(1+Assumptions!$D$10)^INT((C1313-1)/12)*1</f>
        <v>16872.96</v>
      </c>
      <c r="G1313" s="10" t="n">
        <f aca="false">F1313*Staffing!$N$27</f>
        <v>6749.184</v>
      </c>
      <c r="H1313" s="10" t="n">
        <f aca="false">F1313+G1313</f>
        <v>23622.144</v>
      </c>
      <c r="I1313" s="10" t="n">
        <f aca="false">0</f>
        <v>0</v>
      </c>
      <c r="J1313" s="10" t="n">
        <f aca="false">MAX(0,E1313-E1312)*Staffing!$O$27</f>
        <v>0</v>
      </c>
      <c r="K1313" s="10" t="n">
        <f aca="false">MAX(0,E1313-E1312)*Staffing!$P$27</f>
        <v>0</v>
      </c>
      <c r="L1313" s="23" t="n">
        <f aca="false">ROUNDUP(E1313,0)</f>
        <v>2</v>
      </c>
    </row>
    <row r="1314" customFormat="false" ht="15" hidden="false" customHeight="false" outlineLevel="0" collapsed="false">
      <c r="A1314" s="6" t="s">
        <v>4</v>
      </c>
      <c r="B1314" s="6" t="s">
        <v>345</v>
      </c>
      <c r="C1314" s="6" t="n">
        <v>49</v>
      </c>
      <c r="D1314" s="25" t="n">
        <f aca="false">EDATE('Start Here'!$B$6,C1314-1)</f>
        <v>47788</v>
      </c>
      <c r="E1314" s="11" t="n">
        <f aca="false">IF(AND(C1314&gt;=Staffing!$F$27,C1314&lt;=Staffing!$G$27,1=1),IF(C1314&lt;=6,Staffing!$H$27,IF(C1314&lt;=15,Staffing!$I$27,IF(C1314&lt;=30,Staffing!$J$27,Staffing!$K$27))),0)</f>
        <v>2</v>
      </c>
      <c r="F1314" s="10" t="n">
        <f aca="false">E1314*Staffing!$L$27/12*(1+Assumptions!$D$10)^INT((C1314-1)/12)*1</f>
        <v>17547.8784</v>
      </c>
      <c r="G1314" s="10" t="n">
        <f aca="false">F1314*Staffing!$N$27</f>
        <v>7019.15136</v>
      </c>
      <c r="H1314" s="10" t="n">
        <f aca="false">F1314+G1314</f>
        <v>24567.02976</v>
      </c>
      <c r="I1314" s="10" t="n">
        <f aca="false">0</f>
        <v>0</v>
      </c>
      <c r="J1314" s="10" t="n">
        <f aca="false">MAX(0,E1314-E1313)*Staffing!$O$27</f>
        <v>0</v>
      </c>
      <c r="K1314" s="10" t="n">
        <f aca="false">MAX(0,E1314-E1313)*Staffing!$P$27</f>
        <v>0</v>
      </c>
      <c r="L1314" s="23" t="n">
        <f aca="false">ROUNDUP(E1314,0)</f>
        <v>2</v>
      </c>
    </row>
    <row r="1315" customFormat="false" ht="15" hidden="false" customHeight="false" outlineLevel="0" collapsed="false">
      <c r="A1315" s="6" t="s">
        <v>4</v>
      </c>
      <c r="B1315" s="6" t="s">
        <v>345</v>
      </c>
      <c r="C1315" s="6" t="n">
        <v>50</v>
      </c>
      <c r="D1315" s="25" t="n">
        <f aca="false">EDATE('Start Here'!$B$6,C1315-1)</f>
        <v>47818</v>
      </c>
      <c r="E1315" s="11" t="n">
        <f aca="false">IF(AND(C1315&gt;=Staffing!$F$27,C1315&lt;=Staffing!$G$27,1=1),IF(C1315&lt;=6,Staffing!$H$27,IF(C1315&lt;=15,Staffing!$I$27,IF(C1315&lt;=30,Staffing!$J$27,Staffing!$K$27))),0)</f>
        <v>2</v>
      </c>
      <c r="F1315" s="10" t="n">
        <f aca="false">E1315*Staffing!$L$27/12*(1+Assumptions!$D$10)^INT((C1315-1)/12)*1</f>
        <v>17547.8784</v>
      </c>
      <c r="G1315" s="10" t="n">
        <f aca="false">F1315*Staffing!$N$27</f>
        <v>7019.15136</v>
      </c>
      <c r="H1315" s="10" t="n">
        <f aca="false">F1315+G1315</f>
        <v>24567.02976</v>
      </c>
      <c r="I1315" s="10" t="n">
        <f aca="false">0</f>
        <v>0</v>
      </c>
      <c r="J1315" s="10" t="n">
        <f aca="false">MAX(0,E1315-E1314)*Staffing!$O$27</f>
        <v>0</v>
      </c>
      <c r="K1315" s="10" t="n">
        <f aca="false">MAX(0,E1315-E1314)*Staffing!$P$27</f>
        <v>0</v>
      </c>
      <c r="L1315" s="23" t="n">
        <f aca="false">ROUNDUP(E1315,0)</f>
        <v>2</v>
      </c>
    </row>
    <row r="1316" customFormat="false" ht="15" hidden="false" customHeight="false" outlineLevel="0" collapsed="false">
      <c r="A1316" s="6" t="s">
        <v>4</v>
      </c>
      <c r="B1316" s="6" t="s">
        <v>345</v>
      </c>
      <c r="C1316" s="6" t="n">
        <v>51</v>
      </c>
      <c r="D1316" s="25" t="n">
        <f aca="false">EDATE('Start Here'!$B$6,C1316-1)</f>
        <v>47849</v>
      </c>
      <c r="E1316" s="11" t="n">
        <f aca="false">IF(AND(C1316&gt;=Staffing!$F$27,C1316&lt;=Staffing!$G$27,1=1),IF(C1316&lt;=6,Staffing!$H$27,IF(C1316&lt;=15,Staffing!$I$27,IF(C1316&lt;=30,Staffing!$J$27,Staffing!$K$27))),0)</f>
        <v>2</v>
      </c>
      <c r="F1316" s="10" t="n">
        <f aca="false">E1316*Staffing!$L$27/12*(1+Assumptions!$D$10)^INT((C1316-1)/12)*1</f>
        <v>17547.8784</v>
      </c>
      <c r="G1316" s="10" t="n">
        <f aca="false">F1316*Staffing!$N$27</f>
        <v>7019.15136</v>
      </c>
      <c r="H1316" s="10" t="n">
        <f aca="false">F1316+G1316</f>
        <v>24567.02976</v>
      </c>
      <c r="I1316" s="10" t="n">
        <f aca="false">0</f>
        <v>0</v>
      </c>
      <c r="J1316" s="10" t="n">
        <f aca="false">MAX(0,E1316-E1315)*Staffing!$O$27</f>
        <v>0</v>
      </c>
      <c r="K1316" s="10" t="n">
        <f aca="false">MAX(0,E1316-E1315)*Staffing!$P$27</f>
        <v>0</v>
      </c>
      <c r="L1316" s="23" t="n">
        <f aca="false">ROUNDUP(E1316,0)</f>
        <v>2</v>
      </c>
    </row>
    <row r="1317" customFormat="false" ht="15" hidden="false" customHeight="false" outlineLevel="0" collapsed="false">
      <c r="A1317" s="6" t="s">
        <v>4</v>
      </c>
      <c r="B1317" s="6" t="s">
        <v>345</v>
      </c>
      <c r="C1317" s="6" t="n">
        <v>52</v>
      </c>
      <c r="D1317" s="25" t="n">
        <f aca="false">EDATE('Start Here'!$B$6,C1317-1)</f>
        <v>47880</v>
      </c>
      <c r="E1317" s="11" t="n">
        <f aca="false">IF(AND(C1317&gt;=Staffing!$F$27,C1317&lt;=Staffing!$G$27,1=1),IF(C1317&lt;=6,Staffing!$H$27,IF(C1317&lt;=15,Staffing!$I$27,IF(C1317&lt;=30,Staffing!$J$27,Staffing!$K$27))),0)</f>
        <v>2</v>
      </c>
      <c r="F1317" s="10" t="n">
        <f aca="false">E1317*Staffing!$L$27/12*(1+Assumptions!$D$10)^INT((C1317-1)/12)*1</f>
        <v>17547.8784</v>
      </c>
      <c r="G1317" s="10" t="n">
        <f aca="false">F1317*Staffing!$N$27</f>
        <v>7019.15136</v>
      </c>
      <c r="H1317" s="10" t="n">
        <f aca="false">F1317+G1317</f>
        <v>24567.02976</v>
      </c>
      <c r="I1317" s="10" t="n">
        <f aca="false">0</f>
        <v>0</v>
      </c>
      <c r="J1317" s="10" t="n">
        <f aca="false">MAX(0,E1317-E1316)*Staffing!$O$27</f>
        <v>0</v>
      </c>
      <c r="K1317" s="10" t="n">
        <f aca="false">MAX(0,E1317-E1316)*Staffing!$P$27</f>
        <v>0</v>
      </c>
      <c r="L1317" s="23" t="n">
        <f aca="false">ROUNDUP(E1317,0)</f>
        <v>2</v>
      </c>
    </row>
    <row r="1318" customFormat="false" ht="15" hidden="false" customHeight="false" outlineLevel="0" collapsed="false">
      <c r="A1318" s="6" t="s">
        <v>4</v>
      </c>
      <c r="B1318" s="6" t="s">
        <v>345</v>
      </c>
      <c r="C1318" s="6" t="n">
        <v>53</v>
      </c>
      <c r="D1318" s="25" t="n">
        <f aca="false">EDATE('Start Here'!$B$6,C1318-1)</f>
        <v>47908</v>
      </c>
      <c r="E1318" s="11" t="n">
        <f aca="false">IF(AND(C1318&gt;=Staffing!$F$27,C1318&lt;=Staffing!$G$27,1=1),IF(C1318&lt;=6,Staffing!$H$27,IF(C1318&lt;=15,Staffing!$I$27,IF(C1318&lt;=30,Staffing!$J$27,Staffing!$K$27))),0)</f>
        <v>2</v>
      </c>
      <c r="F1318" s="10" t="n">
        <f aca="false">E1318*Staffing!$L$27/12*(1+Assumptions!$D$10)^INT((C1318-1)/12)*1</f>
        <v>17547.8784</v>
      </c>
      <c r="G1318" s="10" t="n">
        <f aca="false">F1318*Staffing!$N$27</f>
        <v>7019.15136</v>
      </c>
      <c r="H1318" s="10" t="n">
        <f aca="false">F1318+G1318</f>
        <v>24567.02976</v>
      </c>
      <c r="I1318" s="10" t="n">
        <f aca="false">0</f>
        <v>0</v>
      </c>
      <c r="J1318" s="10" t="n">
        <f aca="false">MAX(0,E1318-E1317)*Staffing!$O$27</f>
        <v>0</v>
      </c>
      <c r="K1318" s="10" t="n">
        <f aca="false">MAX(0,E1318-E1317)*Staffing!$P$27</f>
        <v>0</v>
      </c>
      <c r="L1318" s="23" t="n">
        <f aca="false">ROUNDUP(E1318,0)</f>
        <v>2</v>
      </c>
    </row>
    <row r="1319" customFormat="false" ht="15" hidden="false" customHeight="false" outlineLevel="0" collapsed="false">
      <c r="A1319" s="6" t="s">
        <v>4</v>
      </c>
      <c r="B1319" s="6" t="s">
        <v>345</v>
      </c>
      <c r="C1319" s="6" t="n">
        <v>54</v>
      </c>
      <c r="D1319" s="25" t="n">
        <f aca="false">EDATE('Start Here'!$B$6,C1319-1)</f>
        <v>47939</v>
      </c>
      <c r="E1319" s="11" t="n">
        <f aca="false">IF(AND(C1319&gt;=Staffing!$F$27,C1319&lt;=Staffing!$G$27,1=1),IF(C1319&lt;=6,Staffing!$H$27,IF(C1319&lt;=15,Staffing!$I$27,IF(C1319&lt;=30,Staffing!$J$27,Staffing!$K$27))),0)</f>
        <v>2</v>
      </c>
      <c r="F1319" s="10" t="n">
        <f aca="false">E1319*Staffing!$L$27/12*(1+Assumptions!$D$10)^INT((C1319-1)/12)*1</f>
        <v>17547.8784</v>
      </c>
      <c r="G1319" s="10" t="n">
        <f aca="false">F1319*Staffing!$N$27</f>
        <v>7019.15136</v>
      </c>
      <c r="H1319" s="10" t="n">
        <f aca="false">F1319+G1319</f>
        <v>24567.02976</v>
      </c>
      <c r="I1319" s="10" t="n">
        <f aca="false">0</f>
        <v>0</v>
      </c>
      <c r="J1319" s="10" t="n">
        <f aca="false">MAX(0,E1319-E1318)*Staffing!$O$27</f>
        <v>0</v>
      </c>
      <c r="K1319" s="10" t="n">
        <f aca="false">MAX(0,E1319-E1318)*Staffing!$P$27</f>
        <v>0</v>
      </c>
      <c r="L1319" s="23" t="n">
        <f aca="false">ROUNDUP(E1319,0)</f>
        <v>2</v>
      </c>
    </row>
    <row r="1320" customFormat="false" ht="15" hidden="false" customHeight="false" outlineLevel="0" collapsed="false">
      <c r="A1320" s="6" t="s">
        <v>4</v>
      </c>
      <c r="B1320" s="6" t="s">
        <v>345</v>
      </c>
      <c r="C1320" s="6" t="n">
        <v>55</v>
      </c>
      <c r="D1320" s="25" t="n">
        <f aca="false">EDATE('Start Here'!$B$6,C1320-1)</f>
        <v>47969</v>
      </c>
      <c r="E1320" s="11" t="n">
        <f aca="false">IF(AND(C1320&gt;=Staffing!$F$27,C1320&lt;=Staffing!$G$27,1=1),IF(C1320&lt;=6,Staffing!$H$27,IF(C1320&lt;=15,Staffing!$I$27,IF(C1320&lt;=30,Staffing!$J$27,Staffing!$K$27))),0)</f>
        <v>2</v>
      </c>
      <c r="F1320" s="10" t="n">
        <f aca="false">E1320*Staffing!$L$27/12*(1+Assumptions!$D$10)^INT((C1320-1)/12)*1</f>
        <v>17547.8784</v>
      </c>
      <c r="G1320" s="10" t="n">
        <f aca="false">F1320*Staffing!$N$27</f>
        <v>7019.15136</v>
      </c>
      <c r="H1320" s="10" t="n">
        <f aca="false">F1320+G1320</f>
        <v>24567.02976</v>
      </c>
      <c r="I1320" s="10" t="n">
        <f aca="false">0</f>
        <v>0</v>
      </c>
      <c r="J1320" s="10" t="n">
        <f aca="false">MAX(0,E1320-E1319)*Staffing!$O$27</f>
        <v>0</v>
      </c>
      <c r="K1320" s="10" t="n">
        <f aca="false">MAX(0,E1320-E1319)*Staffing!$P$27</f>
        <v>0</v>
      </c>
      <c r="L1320" s="23" t="n">
        <f aca="false">ROUNDUP(E1320,0)</f>
        <v>2</v>
      </c>
    </row>
    <row r="1321" customFormat="false" ht="15" hidden="false" customHeight="false" outlineLevel="0" collapsed="false">
      <c r="A1321" s="6" t="s">
        <v>4</v>
      </c>
      <c r="B1321" s="6" t="s">
        <v>345</v>
      </c>
      <c r="C1321" s="6" t="n">
        <v>56</v>
      </c>
      <c r="D1321" s="25" t="n">
        <f aca="false">EDATE('Start Here'!$B$6,C1321-1)</f>
        <v>48000</v>
      </c>
      <c r="E1321" s="11" t="n">
        <f aca="false">IF(AND(C1321&gt;=Staffing!$F$27,C1321&lt;=Staffing!$G$27,1=1),IF(C1321&lt;=6,Staffing!$H$27,IF(C1321&lt;=15,Staffing!$I$27,IF(C1321&lt;=30,Staffing!$J$27,Staffing!$K$27))),0)</f>
        <v>2</v>
      </c>
      <c r="F1321" s="10" t="n">
        <f aca="false">E1321*Staffing!$L$27/12*(1+Assumptions!$D$10)^INT((C1321-1)/12)*1</f>
        <v>17547.8784</v>
      </c>
      <c r="G1321" s="10" t="n">
        <f aca="false">F1321*Staffing!$N$27</f>
        <v>7019.15136</v>
      </c>
      <c r="H1321" s="10" t="n">
        <f aca="false">F1321+G1321</f>
        <v>24567.02976</v>
      </c>
      <c r="I1321" s="10" t="n">
        <f aca="false">0</f>
        <v>0</v>
      </c>
      <c r="J1321" s="10" t="n">
        <f aca="false">MAX(0,E1321-E1320)*Staffing!$O$27</f>
        <v>0</v>
      </c>
      <c r="K1321" s="10" t="n">
        <f aca="false">MAX(0,E1321-E1320)*Staffing!$P$27</f>
        <v>0</v>
      </c>
      <c r="L1321" s="23" t="n">
        <f aca="false">ROUNDUP(E1321,0)</f>
        <v>2</v>
      </c>
    </row>
    <row r="1322" customFormat="false" ht="15" hidden="false" customHeight="false" outlineLevel="0" collapsed="false">
      <c r="A1322" s="6" t="s">
        <v>4</v>
      </c>
      <c r="B1322" s="6" t="s">
        <v>345</v>
      </c>
      <c r="C1322" s="6" t="n">
        <v>57</v>
      </c>
      <c r="D1322" s="25" t="n">
        <f aca="false">EDATE('Start Here'!$B$6,C1322-1)</f>
        <v>48030</v>
      </c>
      <c r="E1322" s="11" t="n">
        <f aca="false">IF(AND(C1322&gt;=Staffing!$F$27,C1322&lt;=Staffing!$G$27,1=1),IF(C1322&lt;=6,Staffing!$H$27,IF(C1322&lt;=15,Staffing!$I$27,IF(C1322&lt;=30,Staffing!$J$27,Staffing!$K$27))),0)</f>
        <v>2</v>
      </c>
      <c r="F1322" s="10" t="n">
        <f aca="false">E1322*Staffing!$L$27/12*(1+Assumptions!$D$10)^INT((C1322-1)/12)*1</f>
        <v>17547.8784</v>
      </c>
      <c r="G1322" s="10" t="n">
        <f aca="false">F1322*Staffing!$N$27</f>
        <v>7019.15136</v>
      </c>
      <c r="H1322" s="10" t="n">
        <f aca="false">F1322+G1322</f>
        <v>24567.02976</v>
      </c>
      <c r="I1322" s="10" t="n">
        <f aca="false">0</f>
        <v>0</v>
      </c>
      <c r="J1322" s="10" t="n">
        <f aca="false">MAX(0,E1322-E1321)*Staffing!$O$27</f>
        <v>0</v>
      </c>
      <c r="K1322" s="10" t="n">
        <f aca="false">MAX(0,E1322-E1321)*Staffing!$P$27</f>
        <v>0</v>
      </c>
      <c r="L1322" s="23" t="n">
        <f aca="false">ROUNDUP(E1322,0)</f>
        <v>2</v>
      </c>
    </row>
    <row r="1323" customFormat="false" ht="15" hidden="false" customHeight="false" outlineLevel="0" collapsed="false">
      <c r="A1323" s="6" t="s">
        <v>4</v>
      </c>
      <c r="B1323" s="6" t="s">
        <v>345</v>
      </c>
      <c r="C1323" s="6" t="n">
        <v>58</v>
      </c>
      <c r="D1323" s="25" t="n">
        <f aca="false">EDATE('Start Here'!$B$6,C1323-1)</f>
        <v>48061</v>
      </c>
      <c r="E1323" s="11" t="n">
        <f aca="false">IF(AND(C1323&gt;=Staffing!$F$27,C1323&lt;=Staffing!$G$27,1=1),IF(C1323&lt;=6,Staffing!$H$27,IF(C1323&lt;=15,Staffing!$I$27,IF(C1323&lt;=30,Staffing!$J$27,Staffing!$K$27))),0)</f>
        <v>2</v>
      </c>
      <c r="F1323" s="10" t="n">
        <f aca="false">E1323*Staffing!$L$27/12*(1+Assumptions!$D$10)^INT((C1323-1)/12)*1</f>
        <v>17547.8784</v>
      </c>
      <c r="G1323" s="10" t="n">
        <f aca="false">F1323*Staffing!$N$27</f>
        <v>7019.15136</v>
      </c>
      <c r="H1323" s="10" t="n">
        <f aca="false">F1323+G1323</f>
        <v>24567.02976</v>
      </c>
      <c r="I1323" s="10" t="n">
        <f aca="false">0</f>
        <v>0</v>
      </c>
      <c r="J1323" s="10" t="n">
        <f aca="false">MAX(0,E1323-E1322)*Staffing!$O$27</f>
        <v>0</v>
      </c>
      <c r="K1323" s="10" t="n">
        <f aca="false">MAX(0,E1323-E1322)*Staffing!$P$27</f>
        <v>0</v>
      </c>
      <c r="L1323" s="23" t="n">
        <f aca="false">ROUNDUP(E1323,0)</f>
        <v>2</v>
      </c>
    </row>
    <row r="1324" customFormat="false" ht="15" hidden="false" customHeight="false" outlineLevel="0" collapsed="false">
      <c r="A1324" s="6" t="s">
        <v>4</v>
      </c>
      <c r="B1324" s="6" t="s">
        <v>345</v>
      </c>
      <c r="C1324" s="6" t="n">
        <v>59</v>
      </c>
      <c r="D1324" s="25" t="n">
        <f aca="false">EDATE('Start Here'!$B$6,C1324-1)</f>
        <v>48092</v>
      </c>
      <c r="E1324" s="11" t="n">
        <f aca="false">IF(AND(C1324&gt;=Staffing!$F$27,C1324&lt;=Staffing!$G$27,1=1),IF(C1324&lt;=6,Staffing!$H$27,IF(C1324&lt;=15,Staffing!$I$27,IF(C1324&lt;=30,Staffing!$J$27,Staffing!$K$27))),0)</f>
        <v>2</v>
      </c>
      <c r="F1324" s="10" t="n">
        <f aca="false">E1324*Staffing!$L$27/12*(1+Assumptions!$D$10)^INT((C1324-1)/12)*1</f>
        <v>17547.8784</v>
      </c>
      <c r="G1324" s="10" t="n">
        <f aca="false">F1324*Staffing!$N$27</f>
        <v>7019.15136</v>
      </c>
      <c r="H1324" s="10" t="n">
        <f aca="false">F1324+G1324</f>
        <v>24567.02976</v>
      </c>
      <c r="I1324" s="10" t="n">
        <f aca="false">0</f>
        <v>0</v>
      </c>
      <c r="J1324" s="10" t="n">
        <f aca="false">MAX(0,E1324-E1323)*Staffing!$O$27</f>
        <v>0</v>
      </c>
      <c r="K1324" s="10" t="n">
        <f aca="false">MAX(0,E1324-E1323)*Staffing!$P$27</f>
        <v>0</v>
      </c>
      <c r="L1324" s="23" t="n">
        <f aca="false">ROUNDUP(E1324,0)</f>
        <v>2</v>
      </c>
    </row>
    <row r="1325" customFormat="false" ht="15" hidden="false" customHeight="false" outlineLevel="0" collapsed="false">
      <c r="A1325" s="6" t="s">
        <v>4</v>
      </c>
      <c r="B1325" s="6" t="s">
        <v>345</v>
      </c>
      <c r="C1325" s="6" t="n">
        <v>60</v>
      </c>
      <c r="D1325" s="25" t="n">
        <f aca="false">EDATE('Start Here'!$B$6,C1325-1)</f>
        <v>48122</v>
      </c>
      <c r="E1325" s="11" t="n">
        <f aca="false">IF(AND(C1325&gt;=Staffing!$F$27,C1325&lt;=Staffing!$G$27,1=1),IF(C1325&lt;=6,Staffing!$H$27,IF(C1325&lt;=15,Staffing!$I$27,IF(C1325&lt;=30,Staffing!$J$27,Staffing!$K$27))),0)</f>
        <v>2</v>
      </c>
      <c r="F1325" s="10" t="n">
        <f aca="false">E1325*Staffing!$L$27/12*(1+Assumptions!$D$10)^INT((C1325-1)/12)*1</f>
        <v>17547.8784</v>
      </c>
      <c r="G1325" s="10" t="n">
        <f aca="false">F1325*Staffing!$N$27</f>
        <v>7019.15136</v>
      </c>
      <c r="H1325" s="10" t="n">
        <f aca="false">F1325+G1325</f>
        <v>24567.02976</v>
      </c>
      <c r="I1325" s="10" t="n">
        <f aca="false">0</f>
        <v>0</v>
      </c>
      <c r="J1325" s="10" t="n">
        <f aca="false">MAX(0,E1325-E1324)*Staffing!$O$27</f>
        <v>0</v>
      </c>
      <c r="K1325" s="10" t="n">
        <f aca="false">MAX(0,E1325-E1324)*Staffing!$P$27</f>
        <v>0</v>
      </c>
      <c r="L1325" s="23" t="n">
        <f aca="false">ROUNDUP(E1325,0)</f>
        <v>2</v>
      </c>
    </row>
    <row r="1326" customFormat="false" ht="15" hidden="false" customHeight="false" outlineLevel="0" collapsed="false">
      <c r="A1326" s="6" t="s">
        <v>4</v>
      </c>
      <c r="B1326" s="6" t="s">
        <v>347</v>
      </c>
      <c r="C1326" s="6" t="n">
        <v>1</v>
      </c>
      <c r="D1326" s="25" t="n">
        <f aca="false">EDATE('Start Here'!$B$6,C1326-1)</f>
        <v>46327</v>
      </c>
      <c r="E1326" s="23" t="n">
        <f aca="false">IF(AND(C1326&gt;=Staffing!$F$28,C1326&lt;=Staffing!$G$28,1=1),IF(C1326&lt;=6,Staffing!$H$28,IF(C1326&lt;=15,Staffing!$I$28,IF(C1326&lt;=30,Staffing!$J$28,Staffing!$K$28))),0)</f>
        <v>0</v>
      </c>
      <c r="F1326" s="10" t="n">
        <f aca="false">E1326*Staffing!$L$28/12*(1+Assumptions!$D$10)^INT((C1326-1)/12)*1</f>
        <v>0</v>
      </c>
      <c r="G1326" s="10" t="n">
        <f aca="false">F1326*Staffing!$N$28</f>
        <v>0</v>
      </c>
      <c r="H1326" s="10" t="n">
        <f aca="false">F1326+G1326</f>
        <v>0</v>
      </c>
      <c r="I1326" s="10" t="n">
        <f aca="false">0</f>
        <v>0</v>
      </c>
      <c r="J1326" s="10" t="n">
        <f aca="false">MAX(0,E1326-0)*Staffing!$O$28</f>
        <v>0</v>
      </c>
      <c r="K1326" s="10" t="n">
        <f aca="false">MAX(0,E1326-0)*Staffing!$P$28</f>
        <v>0</v>
      </c>
      <c r="L1326" s="23" t="n">
        <f aca="false">ROUNDUP(E1326,0)</f>
        <v>0</v>
      </c>
    </row>
    <row r="1327" customFormat="false" ht="15" hidden="false" customHeight="false" outlineLevel="0" collapsed="false">
      <c r="A1327" s="6" t="s">
        <v>4</v>
      </c>
      <c r="B1327" s="6" t="s">
        <v>347</v>
      </c>
      <c r="C1327" s="6" t="n">
        <v>2</v>
      </c>
      <c r="D1327" s="25" t="n">
        <f aca="false">EDATE('Start Here'!$B$6,C1327-1)</f>
        <v>46357</v>
      </c>
      <c r="E1327" s="23" t="n">
        <f aca="false">IF(AND(C1327&gt;=Staffing!$F$28,C1327&lt;=Staffing!$G$28,1=1),IF(C1327&lt;=6,Staffing!$H$28,IF(C1327&lt;=15,Staffing!$I$28,IF(C1327&lt;=30,Staffing!$J$28,Staffing!$K$28))),0)</f>
        <v>0</v>
      </c>
      <c r="F1327" s="10" t="n">
        <f aca="false">E1327*Staffing!$L$28/12*(1+Assumptions!$D$10)^INT((C1327-1)/12)*1</f>
        <v>0</v>
      </c>
      <c r="G1327" s="10" t="n">
        <f aca="false">F1327*Staffing!$N$28</f>
        <v>0</v>
      </c>
      <c r="H1327" s="10" t="n">
        <f aca="false">F1327+G1327</f>
        <v>0</v>
      </c>
      <c r="I1327" s="10" t="n">
        <f aca="false">0</f>
        <v>0</v>
      </c>
      <c r="J1327" s="10" t="n">
        <f aca="false">MAX(0,E1327-E1326)*Staffing!$O$28</f>
        <v>0</v>
      </c>
      <c r="K1327" s="10" t="n">
        <f aca="false">MAX(0,E1327-E1326)*Staffing!$P$28</f>
        <v>0</v>
      </c>
      <c r="L1327" s="23" t="n">
        <f aca="false">ROUNDUP(E1327,0)</f>
        <v>0</v>
      </c>
    </row>
    <row r="1328" customFormat="false" ht="15" hidden="false" customHeight="false" outlineLevel="0" collapsed="false">
      <c r="A1328" s="6" t="s">
        <v>4</v>
      </c>
      <c r="B1328" s="6" t="s">
        <v>347</v>
      </c>
      <c r="C1328" s="6" t="n">
        <v>3</v>
      </c>
      <c r="D1328" s="25" t="n">
        <f aca="false">EDATE('Start Here'!$B$6,C1328-1)</f>
        <v>46388</v>
      </c>
      <c r="E1328" s="23" t="n">
        <f aca="false">IF(AND(C1328&gt;=Staffing!$F$28,C1328&lt;=Staffing!$G$28,1=1),IF(C1328&lt;=6,Staffing!$H$28,IF(C1328&lt;=15,Staffing!$I$28,IF(C1328&lt;=30,Staffing!$J$28,Staffing!$K$28))),0)</f>
        <v>0</v>
      </c>
      <c r="F1328" s="10" t="n">
        <f aca="false">E1328*Staffing!$L$28/12*(1+Assumptions!$D$10)^INT((C1328-1)/12)*1</f>
        <v>0</v>
      </c>
      <c r="G1328" s="10" t="n">
        <f aca="false">F1328*Staffing!$N$28</f>
        <v>0</v>
      </c>
      <c r="H1328" s="10" t="n">
        <f aca="false">F1328+G1328</f>
        <v>0</v>
      </c>
      <c r="I1328" s="10" t="n">
        <f aca="false">0</f>
        <v>0</v>
      </c>
      <c r="J1328" s="10" t="n">
        <f aca="false">MAX(0,E1328-E1327)*Staffing!$O$28</f>
        <v>0</v>
      </c>
      <c r="K1328" s="10" t="n">
        <f aca="false">MAX(0,E1328-E1327)*Staffing!$P$28</f>
        <v>0</v>
      </c>
      <c r="L1328" s="23" t="n">
        <f aca="false">ROUNDUP(E1328,0)</f>
        <v>0</v>
      </c>
    </row>
    <row r="1329" customFormat="false" ht="15" hidden="false" customHeight="false" outlineLevel="0" collapsed="false">
      <c r="A1329" s="6" t="s">
        <v>4</v>
      </c>
      <c r="B1329" s="6" t="s">
        <v>347</v>
      </c>
      <c r="C1329" s="6" t="n">
        <v>4</v>
      </c>
      <c r="D1329" s="25" t="n">
        <f aca="false">EDATE('Start Here'!$B$6,C1329-1)</f>
        <v>46419</v>
      </c>
      <c r="E1329" s="23" t="n">
        <f aca="false">IF(AND(C1329&gt;=Staffing!$F$28,C1329&lt;=Staffing!$G$28,1=1),IF(C1329&lt;=6,Staffing!$H$28,IF(C1329&lt;=15,Staffing!$I$28,IF(C1329&lt;=30,Staffing!$J$28,Staffing!$K$28))),0)</f>
        <v>0</v>
      </c>
      <c r="F1329" s="10" t="n">
        <f aca="false">E1329*Staffing!$L$28/12*(1+Assumptions!$D$10)^INT((C1329-1)/12)*1</f>
        <v>0</v>
      </c>
      <c r="G1329" s="10" t="n">
        <f aca="false">F1329*Staffing!$N$28</f>
        <v>0</v>
      </c>
      <c r="H1329" s="10" t="n">
        <f aca="false">F1329+G1329</f>
        <v>0</v>
      </c>
      <c r="I1329" s="10" t="n">
        <f aca="false">0</f>
        <v>0</v>
      </c>
      <c r="J1329" s="10" t="n">
        <f aca="false">MAX(0,E1329-E1328)*Staffing!$O$28</f>
        <v>0</v>
      </c>
      <c r="K1329" s="10" t="n">
        <f aca="false">MAX(0,E1329-E1328)*Staffing!$P$28</f>
        <v>0</v>
      </c>
      <c r="L1329" s="23" t="n">
        <f aca="false">ROUNDUP(E1329,0)</f>
        <v>0</v>
      </c>
    </row>
    <row r="1330" customFormat="false" ht="15" hidden="false" customHeight="false" outlineLevel="0" collapsed="false">
      <c r="A1330" s="6" t="s">
        <v>4</v>
      </c>
      <c r="B1330" s="6" t="s">
        <v>347</v>
      </c>
      <c r="C1330" s="6" t="n">
        <v>5</v>
      </c>
      <c r="D1330" s="25" t="n">
        <f aca="false">EDATE('Start Here'!$B$6,C1330-1)</f>
        <v>46447</v>
      </c>
      <c r="E1330" s="23" t="n">
        <f aca="false">IF(AND(C1330&gt;=Staffing!$F$28,C1330&lt;=Staffing!$G$28,1=1),IF(C1330&lt;=6,Staffing!$H$28,IF(C1330&lt;=15,Staffing!$I$28,IF(C1330&lt;=30,Staffing!$J$28,Staffing!$K$28))),0)</f>
        <v>0</v>
      </c>
      <c r="F1330" s="10" t="n">
        <f aca="false">E1330*Staffing!$L$28/12*(1+Assumptions!$D$10)^INT((C1330-1)/12)*1</f>
        <v>0</v>
      </c>
      <c r="G1330" s="10" t="n">
        <f aca="false">F1330*Staffing!$N$28</f>
        <v>0</v>
      </c>
      <c r="H1330" s="10" t="n">
        <f aca="false">F1330+G1330</f>
        <v>0</v>
      </c>
      <c r="I1330" s="10" t="n">
        <f aca="false">0</f>
        <v>0</v>
      </c>
      <c r="J1330" s="10" t="n">
        <f aca="false">MAX(0,E1330-E1329)*Staffing!$O$28</f>
        <v>0</v>
      </c>
      <c r="K1330" s="10" t="n">
        <f aca="false">MAX(0,E1330-E1329)*Staffing!$P$28</f>
        <v>0</v>
      </c>
      <c r="L1330" s="23" t="n">
        <f aca="false">ROUNDUP(E1330,0)</f>
        <v>0</v>
      </c>
    </row>
    <row r="1331" customFormat="false" ht="15" hidden="false" customHeight="false" outlineLevel="0" collapsed="false">
      <c r="A1331" s="6" t="s">
        <v>4</v>
      </c>
      <c r="B1331" s="6" t="s">
        <v>347</v>
      </c>
      <c r="C1331" s="6" t="n">
        <v>6</v>
      </c>
      <c r="D1331" s="25" t="n">
        <f aca="false">EDATE('Start Here'!$B$6,C1331-1)</f>
        <v>46478</v>
      </c>
      <c r="E1331" s="23" t="n">
        <f aca="false">IF(AND(C1331&gt;=Staffing!$F$28,C1331&lt;=Staffing!$G$28,1=1),IF(C1331&lt;=6,Staffing!$H$28,IF(C1331&lt;=15,Staffing!$I$28,IF(C1331&lt;=30,Staffing!$J$28,Staffing!$K$28))),0)</f>
        <v>0</v>
      </c>
      <c r="F1331" s="10" t="n">
        <f aca="false">E1331*Staffing!$L$28/12*(1+Assumptions!$D$10)^INT((C1331-1)/12)*1</f>
        <v>0</v>
      </c>
      <c r="G1331" s="10" t="n">
        <f aca="false">F1331*Staffing!$N$28</f>
        <v>0</v>
      </c>
      <c r="H1331" s="10" t="n">
        <f aca="false">F1331+G1331</f>
        <v>0</v>
      </c>
      <c r="I1331" s="10" t="n">
        <f aca="false">0</f>
        <v>0</v>
      </c>
      <c r="J1331" s="10" t="n">
        <f aca="false">MAX(0,E1331-E1330)*Staffing!$O$28</f>
        <v>0</v>
      </c>
      <c r="K1331" s="10" t="n">
        <f aca="false">MAX(0,E1331-E1330)*Staffing!$P$28</f>
        <v>0</v>
      </c>
      <c r="L1331" s="23" t="n">
        <f aca="false">ROUNDUP(E1331,0)</f>
        <v>0</v>
      </c>
    </row>
    <row r="1332" customFormat="false" ht="15" hidden="false" customHeight="false" outlineLevel="0" collapsed="false">
      <c r="A1332" s="6" t="s">
        <v>4</v>
      </c>
      <c r="B1332" s="6" t="s">
        <v>347</v>
      </c>
      <c r="C1332" s="6" t="n">
        <v>7</v>
      </c>
      <c r="D1332" s="25" t="n">
        <f aca="false">EDATE('Start Here'!$B$6,C1332-1)</f>
        <v>46508</v>
      </c>
      <c r="E1332" s="23" t="n">
        <f aca="false">IF(AND(C1332&gt;=Staffing!$F$28,C1332&lt;=Staffing!$G$28,1=1),IF(C1332&lt;=6,Staffing!$H$28,IF(C1332&lt;=15,Staffing!$I$28,IF(C1332&lt;=30,Staffing!$J$28,Staffing!$K$28))),0)</f>
        <v>0</v>
      </c>
      <c r="F1332" s="10" t="n">
        <f aca="false">E1332*Staffing!$L$28/12*(1+Assumptions!$D$10)^INT((C1332-1)/12)*1</f>
        <v>0</v>
      </c>
      <c r="G1332" s="10" t="n">
        <f aca="false">F1332*Staffing!$N$28</f>
        <v>0</v>
      </c>
      <c r="H1332" s="10" t="n">
        <f aca="false">F1332+G1332</f>
        <v>0</v>
      </c>
      <c r="I1332" s="10" t="n">
        <f aca="false">0</f>
        <v>0</v>
      </c>
      <c r="J1332" s="10" t="n">
        <f aca="false">MAX(0,E1332-E1331)*Staffing!$O$28</f>
        <v>0</v>
      </c>
      <c r="K1332" s="10" t="n">
        <f aca="false">MAX(0,E1332-E1331)*Staffing!$P$28</f>
        <v>0</v>
      </c>
      <c r="L1332" s="23" t="n">
        <f aca="false">ROUNDUP(E1332,0)</f>
        <v>0</v>
      </c>
    </row>
    <row r="1333" customFormat="false" ht="15" hidden="false" customHeight="false" outlineLevel="0" collapsed="false">
      <c r="A1333" s="6" t="s">
        <v>4</v>
      </c>
      <c r="B1333" s="6" t="s">
        <v>347</v>
      </c>
      <c r="C1333" s="6" t="n">
        <v>8</v>
      </c>
      <c r="D1333" s="25" t="n">
        <f aca="false">EDATE('Start Here'!$B$6,C1333-1)</f>
        <v>46539</v>
      </c>
      <c r="E1333" s="23" t="n">
        <f aca="false">IF(AND(C1333&gt;=Staffing!$F$28,C1333&lt;=Staffing!$G$28,1=1),IF(C1333&lt;=6,Staffing!$H$28,IF(C1333&lt;=15,Staffing!$I$28,IF(C1333&lt;=30,Staffing!$J$28,Staffing!$K$28))),0)</f>
        <v>0</v>
      </c>
      <c r="F1333" s="10" t="n">
        <f aca="false">E1333*Staffing!$L$28/12*(1+Assumptions!$D$10)^INT((C1333-1)/12)*1</f>
        <v>0</v>
      </c>
      <c r="G1333" s="10" t="n">
        <f aca="false">F1333*Staffing!$N$28</f>
        <v>0</v>
      </c>
      <c r="H1333" s="10" t="n">
        <f aca="false">F1333+G1333</f>
        <v>0</v>
      </c>
      <c r="I1333" s="10" t="n">
        <f aca="false">0</f>
        <v>0</v>
      </c>
      <c r="J1333" s="10" t="n">
        <f aca="false">MAX(0,E1333-E1332)*Staffing!$O$28</f>
        <v>0</v>
      </c>
      <c r="K1333" s="10" t="n">
        <f aca="false">MAX(0,E1333-E1332)*Staffing!$P$28</f>
        <v>0</v>
      </c>
      <c r="L1333" s="23" t="n">
        <f aca="false">ROUNDUP(E1333,0)</f>
        <v>0</v>
      </c>
    </row>
    <row r="1334" customFormat="false" ht="15" hidden="false" customHeight="false" outlineLevel="0" collapsed="false">
      <c r="A1334" s="6" t="s">
        <v>4</v>
      </c>
      <c r="B1334" s="6" t="s">
        <v>347</v>
      </c>
      <c r="C1334" s="6" t="n">
        <v>9</v>
      </c>
      <c r="D1334" s="25" t="n">
        <f aca="false">EDATE('Start Here'!$B$6,C1334-1)</f>
        <v>46569</v>
      </c>
      <c r="E1334" s="23" t="n">
        <f aca="false">IF(AND(C1334&gt;=Staffing!$F$28,C1334&lt;=Staffing!$G$28,1=1),IF(C1334&lt;=6,Staffing!$H$28,IF(C1334&lt;=15,Staffing!$I$28,IF(C1334&lt;=30,Staffing!$J$28,Staffing!$K$28))),0)</f>
        <v>0</v>
      </c>
      <c r="F1334" s="10" t="n">
        <f aca="false">E1334*Staffing!$L$28/12*(1+Assumptions!$D$10)^INT((C1334-1)/12)*1</f>
        <v>0</v>
      </c>
      <c r="G1334" s="10" t="n">
        <f aca="false">F1334*Staffing!$N$28</f>
        <v>0</v>
      </c>
      <c r="H1334" s="10" t="n">
        <f aca="false">F1334+G1334</f>
        <v>0</v>
      </c>
      <c r="I1334" s="10" t="n">
        <f aca="false">0</f>
        <v>0</v>
      </c>
      <c r="J1334" s="10" t="n">
        <f aca="false">MAX(0,E1334-E1333)*Staffing!$O$28</f>
        <v>0</v>
      </c>
      <c r="K1334" s="10" t="n">
        <f aca="false">MAX(0,E1334-E1333)*Staffing!$P$28</f>
        <v>0</v>
      </c>
      <c r="L1334" s="23" t="n">
        <f aca="false">ROUNDUP(E1334,0)</f>
        <v>0</v>
      </c>
    </row>
    <row r="1335" customFormat="false" ht="15" hidden="false" customHeight="false" outlineLevel="0" collapsed="false">
      <c r="A1335" s="6" t="s">
        <v>4</v>
      </c>
      <c r="B1335" s="6" t="s">
        <v>347</v>
      </c>
      <c r="C1335" s="6" t="n">
        <v>10</v>
      </c>
      <c r="D1335" s="25" t="n">
        <f aca="false">EDATE('Start Here'!$B$6,C1335-1)</f>
        <v>46600</v>
      </c>
      <c r="E1335" s="23" t="n">
        <f aca="false">IF(AND(C1335&gt;=Staffing!$F$28,C1335&lt;=Staffing!$G$28,1=1),IF(C1335&lt;=6,Staffing!$H$28,IF(C1335&lt;=15,Staffing!$I$28,IF(C1335&lt;=30,Staffing!$J$28,Staffing!$K$28))),0)</f>
        <v>0</v>
      </c>
      <c r="F1335" s="10" t="n">
        <f aca="false">E1335*Staffing!$L$28/12*(1+Assumptions!$D$10)^INT((C1335-1)/12)*1</f>
        <v>0</v>
      </c>
      <c r="G1335" s="10" t="n">
        <f aca="false">F1335*Staffing!$N$28</f>
        <v>0</v>
      </c>
      <c r="H1335" s="10" t="n">
        <f aca="false">F1335+G1335</f>
        <v>0</v>
      </c>
      <c r="I1335" s="10" t="n">
        <f aca="false">0</f>
        <v>0</v>
      </c>
      <c r="J1335" s="10" t="n">
        <f aca="false">MAX(0,E1335-E1334)*Staffing!$O$28</f>
        <v>0</v>
      </c>
      <c r="K1335" s="10" t="n">
        <f aca="false">MAX(0,E1335-E1334)*Staffing!$P$28</f>
        <v>0</v>
      </c>
      <c r="L1335" s="23" t="n">
        <f aca="false">ROUNDUP(E1335,0)</f>
        <v>0</v>
      </c>
    </row>
    <row r="1336" customFormat="false" ht="15" hidden="false" customHeight="false" outlineLevel="0" collapsed="false">
      <c r="A1336" s="6" t="s">
        <v>4</v>
      </c>
      <c r="B1336" s="6" t="s">
        <v>347</v>
      </c>
      <c r="C1336" s="6" t="n">
        <v>11</v>
      </c>
      <c r="D1336" s="25" t="n">
        <f aca="false">EDATE('Start Here'!$B$6,C1336-1)</f>
        <v>46631</v>
      </c>
      <c r="E1336" s="23" t="n">
        <f aca="false">IF(AND(C1336&gt;=Staffing!$F$28,C1336&lt;=Staffing!$G$28,1=1),IF(C1336&lt;=6,Staffing!$H$28,IF(C1336&lt;=15,Staffing!$I$28,IF(C1336&lt;=30,Staffing!$J$28,Staffing!$K$28))),0)</f>
        <v>0</v>
      </c>
      <c r="F1336" s="10" t="n">
        <f aca="false">E1336*Staffing!$L$28/12*(1+Assumptions!$D$10)^INT((C1336-1)/12)*1</f>
        <v>0</v>
      </c>
      <c r="G1336" s="10" t="n">
        <f aca="false">F1336*Staffing!$N$28</f>
        <v>0</v>
      </c>
      <c r="H1336" s="10" t="n">
        <f aca="false">F1336+G1336</f>
        <v>0</v>
      </c>
      <c r="I1336" s="10" t="n">
        <f aca="false">0</f>
        <v>0</v>
      </c>
      <c r="J1336" s="10" t="n">
        <f aca="false">MAX(0,E1336-E1335)*Staffing!$O$28</f>
        <v>0</v>
      </c>
      <c r="K1336" s="10" t="n">
        <f aca="false">MAX(0,E1336-E1335)*Staffing!$P$28</f>
        <v>0</v>
      </c>
      <c r="L1336" s="23" t="n">
        <f aca="false">ROUNDUP(E1336,0)</f>
        <v>0</v>
      </c>
    </row>
    <row r="1337" customFormat="false" ht="15" hidden="false" customHeight="false" outlineLevel="0" collapsed="false">
      <c r="A1337" s="6" t="s">
        <v>4</v>
      </c>
      <c r="B1337" s="6" t="s">
        <v>347</v>
      </c>
      <c r="C1337" s="6" t="n">
        <v>12</v>
      </c>
      <c r="D1337" s="25" t="n">
        <f aca="false">EDATE('Start Here'!$B$6,C1337-1)</f>
        <v>46661</v>
      </c>
      <c r="E1337" s="23" t="n">
        <f aca="false">IF(AND(C1337&gt;=Staffing!$F$28,C1337&lt;=Staffing!$G$28,1=1),IF(C1337&lt;=6,Staffing!$H$28,IF(C1337&lt;=15,Staffing!$I$28,IF(C1337&lt;=30,Staffing!$J$28,Staffing!$K$28))),0)</f>
        <v>0</v>
      </c>
      <c r="F1337" s="10" t="n">
        <f aca="false">E1337*Staffing!$L$28/12*(1+Assumptions!$D$10)^INT((C1337-1)/12)*1</f>
        <v>0</v>
      </c>
      <c r="G1337" s="10" t="n">
        <f aca="false">F1337*Staffing!$N$28</f>
        <v>0</v>
      </c>
      <c r="H1337" s="10" t="n">
        <f aca="false">F1337+G1337</f>
        <v>0</v>
      </c>
      <c r="I1337" s="10" t="n">
        <f aca="false">0</f>
        <v>0</v>
      </c>
      <c r="J1337" s="10" t="n">
        <f aca="false">MAX(0,E1337-E1336)*Staffing!$O$28</f>
        <v>0</v>
      </c>
      <c r="K1337" s="10" t="n">
        <f aca="false">MAX(0,E1337-E1336)*Staffing!$P$28</f>
        <v>0</v>
      </c>
      <c r="L1337" s="23" t="n">
        <f aca="false">ROUNDUP(E1337,0)</f>
        <v>0</v>
      </c>
    </row>
    <row r="1338" customFormat="false" ht="15" hidden="false" customHeight="false" outlineLevel="0" collapsed="false">
      <c r="A1338" s="6" t="s">
        <v>4</v>
      </c>
      <c r="B1338" s="6" t="s">
        <v>347</v>
      </c>
      <c r="C1338" s="6" t="n">
        <v>13</v>
      </c>
      <c r="D1338" s="25" t="n">
        <f aca="false">EDATE('Start Here'!$B$6,C1338-1)</f>
        <v>46692</v>
      </c>
      <c r="E1338" s="23" t="n">
        <f aca="false">IF(AND(C1338&gt;=Staffing!$F$28,C1338&lt;=Staffing!$G$28,1=1),IF(C1338&lt;=6,Staffing!$H$28,IF(C1338&lt;=15,Staffing!$I$28,IF(C1338&lt;=30,Staffing!$J$28,Staffing!$K$28))),0)</f>
        <v>0</v>
      </c>
      <c r="F1338" s="10" t="n">
        <f aca="false">E1338*Staffing!$L$28/12*(1+Assumptions!$D$10)^INT((C1338-1)/12)*1</f>
        <v>0</v>
      </c>
      <c r="G1338" s="10" t="n">
        <f aca="false">F1338*Staffing!$N$28</f>
        <v>0</v>
      </c>
      <c r="H1338" s="10" t="n">
        <f aca="false">F1338+G1338</f>
        <v>0</v>
      </c>
      <c r="I1338" s="10" t="n">
        <f aca="false">0</f>
        <v>0</v>
      </c>
      <c r="J1338" s="10" t="n">
        <f aca="false">MAX(0,E1338-E1337)*Staffing!$O$28</f>
        <v>0</v>
      </c>
      <c r="K1338" s="10" t="n">
        <f aca="false">MAX(0,E1338-E1337)*Staffing!$P$28</f>
        <v>0</v>
      </c>
      <c r="L1338" s="23" t="n">
        <f aca="false">ROUNDUP(E1338,0)</f>
        <v>0</v>
      </c>
    </row>
    <row r="1339" customFormat="false" ht="15" hidden="false" customHeight="false" outlineLevel="0" collapsed="false">
      <c r="A1339" s="6" t="s">
        <v>4</v>
      </c>
      <c r="B1339" s="6" t="s">
        <v>347</v>
      </c>
      <c r="C1339" s="6" t="n">
        <v>14</v>
      </c>
      <c r="D1339" s="25" t="n">
        <f aca="false">EDATE('Start Here'!$B$6,C1339-1)</f>
        <v>46722</v>
      </c>
      <c r="E1339" s="23" t="n">
        <f aca="false">IF(AND(C1339&gt;=Staffing!$F$28,C1339&lt;=Staffing!$G$28,1=1),IF(C1339&lt;=6,Staffing!$H$28,IF(C1339&lt;=15,Staffing!$I$28,IF(C1339&lt;=30,Staffing!$J$28,Staffing!$K$28))),0)</f>
        <v>0</v>
      </c>
      <c r="F1339" s="10" t="n">
        <f aca="false">E1339*Staffing!$L$28/12*(1+Assumptions!$D$10)^INT((C1339-1)/12)*1</f>
        <v>0</v>
      </c>
      <c r="G1339" s="10" t="n">
        <f aca="false">F1339*Staffing!$N$28</f>
        <v>0</v>
      </c>
      <c r="H1339" s="10" t="n">
        <f aca="false">F1339+G1339</f>
        <v>0</v>
      </c>
      <c r="I1339" s="10" t="n">
        <f aca="false">0</f>
        <v>0</v>
      </c>
      <c r="J1339" s="10" t="n">
        <f aca="false">MAX(0,E1339-E1338)*Staffing!$O$28</f>
        <v>0</v>
      </c>
      <c r="K1339" s="10" t="n">
        <f aca="false">MAX(0,E1339-E1338)*Staffing!$P$28</f>
        <v>0</v>
      </c>
      <c r="L1339" s="23" t="n">
        <f aca="false">ROUNDUP(E1339,0)</f>
        <v>0</v>
      </c>
    </row>
    <row r="1340" customFormat="false" ht="15" hidden="false" customHeight="false" outlineLevel="0" collapsed="false">
      <c r="A1340" s="6" t="s">
        <v>4</v>
      </c>
      <c r="B1340" s="6" t="s">
        <v>347</v>
      </c>
      <c r="C1340" s="6" t="n">
        <v>15</v>
      </c>
      <c r="D1340" s="25" t="n">
        <f aca="false">EDATE('Start Here'!$B$6,C1340-1)</f>
        <v>46753</v>
      </c>
      <c r="E1340" s="23" t="n">
        <f aca="false">IF(AND(C1340&gt;=Staffing!$F$28,C1340&lt;=Staffing!$G$28,1=1),IF(C1340&lt;=6,Staffing!$H$28,IF(C1340&lt;=15,Staffing!$I$28,IF(C1340&lt;=30,Staffing!$J$28,Staffing!$K$28))),0)</f>
        <v>0</v>
      </c>
      <c r="F1340" s="10" t="n">
        <f aca="false">E1340*Staffing!$L$28/12*(1+Assumptions!$D$10)^INT((C1340-1)/12)*1</f>
        <v>0</v>
      </c>
      <c r="G1340" s="10" t="n">
        <f aca="false">F1340*Staffing!$N$28</f>
        <v>0</v>
      </c>
      <c r="H1340" s="10" t="n">
        <f aca="false">F1340+G1340</f>
        <v>0</v>
      </c>
      <c r="I1340" s="10" t="n">
        <f aca="false">0</f>
        <v>0</v>
      </c>
      <c r="J1340" s="10" t="n">
        <f aca="false">MAX(0,E1340-E1339)*Staffing!$O$28</f>
        <v>0</v>
      </c>
      <c r="K1340" s="10" t="n">
        <f aca="false">MAX(0,E1340-E1339)*Staffing!$P$28</f>
        <v>0</v>
      </c>
      <c r="L1340" s="23" t="n">
        <f aca="false">ROUNDUP(E1340,0)</f>
        <v>0</v>
      </c>
    </row>
    <row r="1341" customFormat="false" ht="15" hidden="false" customHeight="false" outlineLevel="0" collapsed="false">
      <c r="A1341" s="6" t="s">
        <v>4</v>
      </c>
      <c r="B1341" s="6" t="s">
        <v>347</v>
      </c>
      <c r="C1341" s="6" t="n">
        <v>16</v>
      </c>
      <c r="D1341" s="25" t="n">
        <f aca="false">EDATE('Start Here'!$B$6,C1341-1)</f>
        <v>46784</v>
      </c>
      <c r="E1341" s="23" t="n">
        <f aca="false">IF(AND(C1341&gt;=Staffing!$F$28,C1341&lt;=Staffing!$G$28,1=1),IF(C1341&lt;=6,Staffing!$H$28,IF(C1341&lt;=15,Staffing!$I$28,IF(C1341&lt;=30,Staffing!$J$28,Staffing!$K$28))),0)</f>
        <v>0</v>
      </c>
      <c r="F1341" s="10" t="n">
        <f aca="false">E1341*Staffing!$L$28/12*(1+Assumptions!$D$10)^INT((C1341-1)/12)*1</f>
        <v>0</v>
      </c>
      <c r="G1341" s="10" t="n">
        <f aca="false">F1341*Staffing!$N$28</f>
        <v>0</v>
      </c>
      <c r="H1341" s="10" t="n">
        <f aca="false">F1341+G1341</f>
        <v>0</v>
      </c>
      <c r="I1341" s="10" t="n">
        <f aca="false">0</f>
        <v>0</v>
      </c>
      <c r="J1341" s="10" t="n">
        <f aca="false">MAX(0,E1341-E1340)*Staffing!$O$28</f>
        <v>0</v>
      </c>
      <c r="K1341" s="10" t="n">
        <f aca="false">MAX(0,E1341-E1340)*Staffing!$P$28</f>
        <v>0</v>
      </c>
      <c r="L1341" s="23" t="n">
        <f aca="false">ROUNDUP(E1341,0)</f>
        <v>0</v>
      </c>
    </row>
    <row r="1342" customFormat="false" ht="15" hidden="false" customHeight="false" outlineLevel="0" collapsed="false">
      <c r="A1342" s="6" t="s">
        <v>4</v>
      </c>
      <c r="B1342" s="6" t="s">
        <v>347</v>
      </c>
      <c r="C1342" s="6" t="n">
        <v>17</v>
      </c>
      <c r="D1342" s="25" t="n">
        <f aca="false">EDATE('Start Here'!$B$6,C1342-1)</f>
        <v>46813</v>
      </c>
      <c r="E1342" s="23" t="n">
        <f aca="false">IF(AND(C1342&gt;=Staffing!$F$28,C1342&lt;=Staffing!$G$28,1=1),IF(C1342&lt;=6,Staffing!$H$28,IF(C1342&lt;=15,Staffing!$I$28,IF(C1342&lt;=30,Staffing!$J$28,Staffing!$K$28))),0)</f>
        <v>0</v>
      </c>
      <c r="F1342" s="10" t="n">
        <f aca="false">E1342*Staffing!$L$28/12*(1+Assumptions!$D$10)^INT((C1342-1)/12)*1</f>
        <v>0</v>
      </c>
      <c r="G1342" s="10" t="n">
        <f aca="false">F1342*Staffing!$N$28</f>
        <v>0</v>
      </c>
      <c r="H1342" s="10" t="n">
        <f aca="false">F1342+G1342</f>
        <v>0</v>
      </c>
      <c r="I1342" s="10" t="n">
        <f aca="false">0</f>
        <v>0</v>
      </c>
      <c r="J1342" s="10" t="n">
        <f aca="false">MAX(0,E1342-E1341)*Staffing!$O$28</f>
        <v>0</v>
      </c>
      <c r="K1342" s="10" t="n">
        <f aca="false">MAX(0,E1342-E1341)*Staffing!$P$28</f>
        <v>0</v>
      </c>
      <c r="L1342" s="23" t="n">
        <f aca="false">ROUNDUP(E1342,0)</f>
        <v>0</v>
      </c>
    </row>
    <row r="1343" customFormat="false" ht="15" hidden="false" customHeight="false" outlineLevel="0" collapsed="false">
      <c r="A1343" s="6" t="s">
        <v>4</v>
      </c>
      <c r="B1343" s="6" t="s">
        <v>347</v>
      </c>
      <c r="C1343" s="6" t="n">
        <v>18</v>
      </c>
      <c r="D1343" s="25" t="n">
        <f aca="false">EDATE('Start Here'!$B$6,C1343-1)</f>
        <v>46844</v>
      </c>
      <c r="E1343" s="23" t="n">
        <f aca="false">IF(AND(C1343&gt;=Staffing!$F$28,C1343&lt;=Staffing!$G$28,1=1),IF(C1343&lt;=6,Staffing!$H$28,IF(C1343&lt;=15,Staffing!$I$28,IF(C1343&lt;=30,Staffing!$J$28,Staffing!$K$28))),0)</f>
        <v>0</v>
      </c>
      <c r="F1343" s="10" t="n">
        <f aca="false">E1343*Staffing!$L$28/12*(1+Assumptions!$D$10)^INT((C1343-1)/12)*1</f>
        <v>0</v>
      </c>
      <c r="G1343" s="10" t="n">
        <f aca="false">F1343*Staffing!$N$28</f>
        <v>0</v>
      </c>
      <c r="H1343" s="10" t="n">
        <f aca="false">F1343+G1343</f>
        <v>0</v>
      </c>
      <c r="I1343" s="10" t="n">
        <f aca="false">0</f>
        <v>0</v>
      </c>
      <c r="J1343" s="10" t="n">
        <f aca="false">MAX(0,E1343-E1342)*Staffing!$O$28</f>
        <v>0</v>
      </c>
      <c r="K1343" s="10" t="n">
        <f aca="false">MAX(0,E1343-E1342)*Staffing!$P$28</f>
        <v>0</v>
      </c>
      <c r="L1343" s="23" t="n">
        <f aca="false">ROUNDUP(E1343,0)</f>
        <v>0</v>
      </c>
    </row>
    <row r="1344" customFormat="false" ht="15" hidden="false" customHeight="false" outlineLevel="0" collapsed="false">
      <c r="A1344" s="6" t="s">
        <v>4</v>
      </c>
      <c r="B1344" s="6" t="s">
        <v>347</v>
      </c>
      <c r="C1344" s="6" t="n">
        <v>19</v>
      </c>
      <c r="D1344" s="25" t="n">
        <f aca="false">EDATE('Start Here'!$B$6,C1344-1)</f>
        <v>46874</v>
      </c>
      <c r="E1344" s="11" t="n">
        <f aca="false">IF(AND(C1344&gt;=Staffing!$F$28,C1344&lt;=Staffing!$G$28,1=1),IF(C1344&lt;=6,Staffing!$H$28,IF(C1344&lt;=15,Staffing!$I$28,IF(C1344&lt;=30,Staffing!$J$28,Staffing!$K$28))),0)</f>
        <v>0.5</v>
      </c>
      <c r="F1344" s="10" t="n">
        <f aca="false">E1344*Staffing!$L$28/12*(1+Assumptions!$D$10)^INT((C1344-1)/12)*1</f>
        <v>5200</v>
      </c>
      <c r="G1344" s="10" t="n">
        <f aca="false">F1344*Staffing!$N$28</f>
        <v>2080</v>
      </c>
      <c r="H1344" s="10" t="n">
        <f aca="false">F1344+G1344</f>
        <v>7280</v>
      </c>
      <c r="I1344" s="10" t="n">
        <f aca="false">0</f>
        <v>0</v>
      </c>
      <c r="J1344" s="10" t="n">
        <f aca="false">MAX(0,E1344-E1343)*Staffing!$O$28</f>
        <v>4000</v>
      </c>
      <c r="K1344" s="10" t="n">
        <f aca="false">MAX(0,E1344-E1343)*Staffing!$P$28</f>
        <v>1500</v>
      </c>
      <c r="L1344" s="23" t="n">
        <f aca="false">ROUNDUP(E1344,0)</f>
        <v>1</v>
      </c>
    </row>
    <row r="1345" customFormat="false" ht="15" hidden="false" customHeight="false" outlineLevel="0" collapsed="false">
      <c r="A1345" s="6" t="s">
        <v>4</v>
      </c>
      <c r="B1345" s="6" t="s">
        <v>347</v>
      </c>
      <c r="C1345" s="6" t="n">
        <v>20</v>
      </c>
      <c r="D1345" s="25" t="n">
        <f aca="false">EDATE('Start Here'!$B$6,C1345-1)</f>
        <v>46905</v>
      </c>
      <c r="E1345" s="11" t="n">
        <f aca="false">IF(AND(C1345&gt;=Staffing!$F$28,C1345&lt;=Staffing!$G$28,1=1),IF(C1345&lt;=6,Staffing!$H$28,IF(C1345&lt;=15,Staffing!$I$28,IF(C1345&lt;=30,Staffing!$J$28,Staffing!$K$28))),0)</f>
        <v>0.5</v>
      </c>
      <c r="F1345" s="10" t="n">
        <f aca="false">E1345*Staffing!$L$28/12*(1+Assumptions!$D$10)^INT((C1345-1)/12)*1</f>
        <v>5200</v>
      </c>
      <c r="G1345" s="10" t="n">
        <f aca="false">F1345*Staffing!$N$28</f>
        <v>2080</v>
      </c>
      <c r="H1345" s="10" t="n">
        <f aca="false">F1345+G1345</f>
        <v>7280</v>
      </c>
      <c r="I1345" s="10" t="n">
        <f aca="false">0</f>
        <v>0</v>
      </c>
      <c r="J1345" s="10" t="n">
        <f aca="false">MAX(0,E1345-E1344)*Staffing!$O$28</f>
        <v>0</v>
      </c>
      <c r="K1345" s="10" t="n">
        <f aca="false">MAX(0,E1345-E1344)*Staffing!$P$28</f>
        <v>0</v>
      </c>
      <c r="L1345" s="23" t="n">
        <f aca="false">ROUNDUP(E1345,0)</f>
        <v>1</v>
      </c>
    </row>
    <row r="1346" customFormat="false" ht="15" hidden="false" customHeight="false" outlineLevel="0" collapsed="false">
      <c r="A1346" s="6" t="s">
        <v>4</v>
      </c>
      <c r="B1346" s="6" t="s">
        <v>347</v>
      </c>
      <c r="C1346" s="6" t="n">
        <v>21</v>
      </c>
      <c r="D1346" s="25" t="n">
        <f aca="false">EDATE('Start Here'!$B$6,C1346-1)</f>
        <v>46935</v>
      </c>
      <c r="E1346" s="11" t="n">
        <f aca="false">IF(AND(C1346&gt;=Staffing!$F$28,C1346&lt;=Staffing!$G$28,1=1),IF(C1346&lt;=6,Staffing!$H$28,IF(C1346&lt;=15,Staffing!$I$28,IF(C1346&lt;=30,Staffing!$J$28,Staffing!$K$28))),0)</f>
        <v>0.5</v>
      </c>
      <c r="F1346" s="10" t="n">
        <f aca="false">E1346*Staffing!$L$28/12*(1+Assumptions!$D$10)^INT((C1346-1)/12)*1</f>
        <v>5200</v>
      </c>
      <c r="G1346" s="10" t="n">
        <f aca="false">F1346*Staffing!$N$28</f>
        <v>2080</v>
      </c>
      <c r="H1346" s="10" t="n">
        <f aca="false">F1346+G1346</f>
        <v>7280</v>
      </c>
      <c r="I1346" s="10" t="n">
        <f aca="false">0</f>
        <v>0</v>
      </c>
      <c r="J1346" s="10" t="n">
        <f aca="false">MAX(0,E1346-E1345)*Staffing!$O$28</f>
        <v>0</v>
      </c>
      <c r="K1346" s="10" t="n">
        <f aca="false">MAX(0,E1346-E1345)*Staffing!$P$28</f>
        <v>0</v>
      </c>
      <c r="L1346" s="23" t="n">
        <f aca="false">ROUNDUP(E1346,0)</f>
        <v>1</v>
      </c>
    </row>
    <row r="1347" customFormat="false" ht="15" hidden="false" customHeight="false" outlineLevel="0" collapsed="false">
      <c r="A1347" s="6" t="s">
        <v>4</v>
      </c>
      <c r="B1347" s="6" t="s">
        <v>347</v>
      </c>
      <c r="C1347" s="6" t="n">
        <v>22</v>
      </c>
      <c r="D1347" s="25" t="n">
        <f aca="false">EDATE('Start Here'!$B$6,C1347-1)</f>
        <v>46966</v>
      </c>
      <c r="E1347" s="11" t="n">
        <f aca="false">IF(AND(C1347&gt;=Staffing!$F$28,C1347&lt;=Staffing!$G$28,1=1),IF(C1347&lt;=6,Staffing!$H$28,IF(C1347&lt;=15,Staffing!$I$28,IF(C1347&lt;=30,Staffing!$J$28,Staffing!$K$28))),0)</f>
        <v>0.5</v>
      </c>
      <c r="F1347" s="10" t="n">
        <f aca="false">E1347*Staffing!$L$28/12*(1+Assumptions!$D$10)^INT((C1347-1)/12)*1</f>
        <v>5200</v>
      </c>
      <c r="G1347" s="10" t="n">
        <f aca="false">F1347*Staffing!$N$28</f>
        <v>2080</v>
      </c>
      <c r="H1347" s="10" t="n">
        <f aca="false">F1347+G1347</f>
        <v>7280</v>
      </c>
      <c r="I1347" s="10" t="n">
        <f aca="false">0</f>
        <v>0</v>
      </c>
      <c r="J1347" s="10" t="n">
        <f aca="false">MAX(0,E1347-E1346)*Staffing!$O$28</f>
        <v>0</v>
      </c>
      <c r="K1347" s="10" t="n">
        <f aca="false">MAX(0,E1347-E1346)*Staffing!$P$28</f>
        <v>0</v>
      </c>
      <c r="L1347" s="23" t="n">
        <f aca="false">ROUNDUP(E1347,0)</f>
        <v>1</v>
      </c>
    </row>
    <row r="1348" customFormat="false" ht="15" hidden="false" customHeight="false" outlineLevel="0" collapsed="false">
      <c r="A1348" s="6" t="s">
        <v>4</v>
      </c>
      <c r="B1348" s="6" t="s">
        <v>347</v>
      </c>
      <c r="C1348" s="6" t="n">
        <v>23</v>
      </c>
      <c r="D1348" s="25" t="n">
        <f aca="false">EDATE('Start Here'!$B$6,C1348-1)</f>
        <v>46997</v>
      </c>
      <c r="E1348" s="11" t="n">
        <f aca="false">IF(AND(C1348&gt;=Staffing!$F$28,C1348&lt;=Staffing!$G$28,1=1),IF(C1348&lt;=6,Staffing!$H$28,IF(C1348&lt;=15,Staffing!$I$28,IF(C1348&lt;=30,Staffing!$J$28,Staffing!$K$28))),0)</f>
        <v>0.5</v>
      </c>
      <c r="F1348" s="10" t="n">
        <f aca="false">E1348*Staffing!$L$28/12*(1+Assumptions!$D$10)^INT((C1348-1)/12)*1</f>
        <v>5200</v>
      </c>
      <c r="G1348" s="10" t="n">
        <f aca="false">F1348*Staffing!$N$28</f>
        <v>2080</v>
      </c>
      <c r="H1348" s="10" t="n">
        <f aca="false">F1348+G1348</f>
        <v>7280</v>
      </c>
      <c r="I1348" s="10" t="n">
        <f aca="false">0</f>
        <v>0</v>
      </c>
      <c r="J1348" s="10" t="n">
        <f aca="false">MAX(0,E1348-E1347)*Staffing!$O$28</f>
        <v>0</v>
      </c>
      <c r="K1348" s="10" t="n">
        <f aca="false">MAX(0,E1348-E1347)*Staffing!$P$28</f>
        <v>0</v>
      </c>
      <c r="L1348" s="23" t="n">
        <f aca="false">ROUNDUP(E1348,0)</f>
        <v>1</v>
      </c>
    </row>
    <row r="1349" customFormat="false" ht="15" hidden="false" customHeight="false" outlineLevel="0" collapsed="false">
      <c r="A1349" s="6" t="s">
        <v>4</v>
      </c>
      <c r="B1349" s="6" t="s">
        <v>347</v>
      </c>
      <c r="C1349" s="6" t="n">
        <v>24</v>
      </c>
      <c r="D1349" s="25" t="n">
        <f aca="false">EDATE('Start Here'!$B$6,C1349-1)</f>
        <v>47027</v>
      </c>
      <c r="E1349" s="11" t="n">
        <f aca="false">IF(AND(C1349&gt;=Staffing!$F$28,C1349&lt;=Staffing!$G$28,1=1),IF(C1349&lt;=6,Staffing!$H$28,IF(C1349&lt;=15,Staffing!$I$28,IF(C1349&lt;=30,Staffing!$J$28,Staffing!$K$28))),0)</f>
        <v>0.5</v>
      </c>
      <c r="F1349" s="10" t="n">
        <f aca="false">E1349*Staffing!$L$28/12*(1+Assumptions!$D$10)^INT((C1349-1)/12)*1</f>
        <v>5200</v>
      </c>
      <c r="G1349" s="10" t="n">
        <f aca="false">F1349*Staffing!$N$28</f>
        <v>2080</v>
      </c>
      <c r="H1349" s="10" t="n">
        <f aca="false">F1349+G1349</f>
        <v>7280</v>
      </c>
      <c r="I1349" s="10" t="n">
        <f aca="false">0</f>
        <v>0</v>
      </c>
      <c r="J1349" s="10" t="n">
        <f aca="false">MAX(0,E1349-E1348)*Staffing!$O$28</f>
        <v>0</v>
      </c>
      <c r="K1349" s="10" t="n">
        <f aca="false">MAX(0,E1349-E1348)*Staffing!$P$28</f>
        <v>0</v>
      </c>
      <c r="L1349" s="23" t="n">
        <f aca="false">ROUNDUP(E1349,0)</f>
        <v>1</v>
      </c>
    </row>
    <row r="1350" customFormat="false" ht="15" hidden="false" customHeight="false" outlineLevel="0" collapsed="false">
      <c r="A1350" s="6" t="s">
        <v>4</v>
      </c>
      <c r="B1350" s="6" t="s">
        <v>347</v>
      </c>
      <c r="C1350" s="6" t="n">
        <v>25</v>
      </c>
      <c r="D1350" s="25" t="n">
        <f aca="false">EDATE('Start Here'!$B$6,C1350-1)</f>
        <v>47058</v>
      </c>
      <c r="E1350" s="11" t="n">
        <f aca="false">IF(AND(C1350&gt;=Staffing!$F$28,C1350&lt;=Staffing!$G$28,1=1),IF(C1350&lt;=6,Staffing!$H$28,IF(C1350&lt;=15,Staffing!$I$28,IF(C1350&lt;=30,Staffing!$J$28,Staffing!$K$28))),0)</f>
        <v>0.5</v>
      </c>
      <c r="F1350" s="10" t="n">
        <f aca="false">E1350*Staffing!$L$28/12*(1+Assumptions!$D$10)^INT((C1350-1)/12)*1</f>
        <v>5408</v>
      </c>
      <c r="G1350" s="10" t="n">
        <f aca="false">F1350*Staffing!$N$28</f>
        <v>2163.2</v>
      </c>
      <c r="H1350" s="10" t="n">
        <f aca="false">F1350+G1350</f>
        <v>7571.2</v>
      </c>
      <c r="I1350" s="10" t="n">
        <f aca="false">0</f>
        <v>0</v>
      </c>
      <c r="J1350" s="10" t="n">
        <f aca="false">MAX(0,E1350-E1349)*Staffing!$O$28</f>
        <v>0</v>
      </c>
      <c r="K1350" s="10" t="n">
        <f aca="false">MAX(0,E1350-E1349)*Staffing!$P$28</f>
        <v>0</v>
      </c>
      <c r="L1350" s="23" t="n">
        <f aca="false">ROUNDUP(E1350,0)</f>
        <v>1</v>
      </c>
    </row>
    <row r="1351" customFormat="false" ht="15" hidden="false" customHeight="false" outlineLevel="0" collapsed="false">
      <c r="A1351" s="6" t="s">
        <v>4</v>
      </c>
      <c r="B1351" s="6" t="s">
        <v>347</v>
      </c>
      <c r="C1351" s="6" t="n">
        <v>26</v>
      </c>
      <c r="D1351" s="25" t="n">
        <f aca="false">EDATE('Start Here'!$B$6,C1351-1)</f>
        <v>47088</v>
      </c>
      <c r="E1351" s="11" t="n">
        <f aca="false">IF(AND(C1351&gt;=Staffing!$F$28,C1351&lt;=Staffing!$G$28,1=1),IF(C1351&lt;=6,Staffing!$H$28,IF(C1351&lt;=15,Staffing!$I$28,IF(C1351&lt;=30,Staffing!$J$28,Staffing!$K$28))),0)</f>
        <v>0.5</v>
      </c>
      <c r="F1351" s="10" t="n">
        <f aca="false">E1351*Staffing!$L$28/12*(1+Assumptions!$D$10)^INT((C1351-1)/12)*1</f>
        <v>5408</v>
      </c>
      <c r="G1351" s="10" t="n">
        <f aca="false">F1351*Staffing!$N$28</f>
        <v>2163.2</v>
      </c>
      <c r="H1351" s="10" t="n">
        <f aca="false">F1351+G1351</f>
        <v>7571.2</v>
      </c>
      <c r="I1351" s="10" t="n">
        <f aca="false">0</f>
        <v>0</v>
      </c>
      <c r="J1351" s="10" t="n">
        <f aca="false">MAX(0,E1351-E1350)*Staffing!$O$28</f>
        <v>0</v>
      </c>
      <c r="K1351" s="10" t="n">
        <f aca="false">MAX(0,E1351-E1350)*Staffing!$P$28</f>
        <v>0</v>
      </c>
      <c r="L1351" s="23" t="n">
        <f aca="false">ROUNDUP(E1351,0)</f>
        <v>1</v>
      </c>
    </row>
    <row r="1352" customFormat="false" ht="15" hidden="false" customHeight="false" outlineLevel="0" collapsed="false">
      <c r="A1352" s="6" t="s">
        <v>4</v>
      </c>
      <c r="B1352" s="6" t="s">
        <v>347</v>
      </c>
      <c r="C1352" s="6" t="n">
        <v>27</v>
      </c>
      <c r="D1352" s="25" t="n">
        <f aca="false">EDATE('Start Here'!$B$6,C1352-1)</f>
        <v>47119</v>
      </c>
      <c r="E1352" s="11" t="n">
        <f aca="false">IF(AND(C1352&gt;=Staffing!$F$28,C1352&lt;=Staffing!$G$28,1=1),IF(C1352&lt;=6,Staffing!$H$28,IF(C1352&lt;=15,Staffing!$I$28,IF(C1352&lt;=30,Staffing!$J$28,Staffing!$K$28))),0)</f>
        <v>0.5</v>
      </c>
      <c r="F1352" s="10" t="n">
        <f aca="false">E1352*Staffing!$L$28/12*(1+Assumptions!$D$10)^INT((C1352-1)/12)*1</f>
        <v>5408</v>
      </c>
      <c r="G1352" s="10" t="n">
        <f aca="false">F1352*Staffing!$N$28</f>
        <v>2163.2</v>
      </c>
      <c r="H1352" s="10" t="n">
        <f aca="false">F1352+G1352</f>
        <v>7571.2</v>
      </c>
      <c r="I1352" s="10" t="n">
        <f aca="false">0</f>
        <v>0</v>
      </c>
      <c r="J1352" s="10" t="n">
        <f aca="false">MAX(0,E1352-E1351)*Staffing!$O$28</f>
        <v>0</v>
      </c>
      <c r="K1352" s="10" t="n">
        <f aca="false">MAX(0,E1352-E1351)*Staffing!$P$28</f>
        <v>0</v>
      </c>
      <c r="L1352" s="23" t="n">
        <f aca="false">ROUNDUP(E1352,0)</f>
        <v>1</v>
      </c>
    </row>
    <row r="1353" customFormat="false" ht="15" hidden="false" customHeight="false" outlineLevel="0" collapsed="false">
      <c r="A1353" s="6" t="s">
        <v>4</v>
      </c>
      <c r="B1353" s="6" t="s">
        <v>347</v>
      </c>
      <c r="C1353" s="6" t="n">
        <v>28</v>
      </c>
      <c r="D1353" s="25" t="n">
        <f aca="false">EDATE('Start Here'!$B$6,C1353-1)</f>
        <v>47150</v>
      </c>
      <c r="E1353" s="11" t="n">
        <f aca="false">IF(AND(C1353&gt;=Staffing!$F$28,C1353&lt;=Staffing!$G$28,1=1),IF(C1353&lt;=6,Staffing!$H$28,IF(C1353&lt;=15,Staffing!$I$28,IF(C1353&lt;=30,Staffing!$J$28,Staffing!$K$28))),0)</f>
        <v>0.5</v>
      </c>
      <c r="F1353" s="10" t="n">
        <f aca="false">E1353*Staffing!$L$28/12*(1+Assumptions!$D$10)^INT((C1353-1)/12)*1</f>
        <v>5408</v>
      </c>
      <c r="G1353" s="10" t="n">
        <f aca="false">F1353*Staffing!$N$28</f>
        <v>2163.2</v>
      </c>
      <c r="H1353" s="10" t="n">
        <f aca="false">F1353+G1353</f>
        <v>7571.2</v>
      </c>
      <c r="I1353" s="10" t="n">
        <f aca="false">0</f>
        <v>0</v>
      </c>
      <c r="J1353" s="10" t="n">
        <f aca="false">MAX(0,E1353-E1352)*Staffing!$O$28</f>
        <v>0</v>
      </c>
      <c r="K1353" s="10" t="n">
        <f aca="false">MAX(0,E1353-E1352)*Staffing!$P$28</f>
        <v>0</v>
      </c>
      <c r="L1353" s="23" t="n">
        <f aca="false">ROUNDUP(E1353,0)</f>
        <v>1</v>
      </c>
    </row>
    <row r="1354" customFormat="false" ht="15" hidden="false" customHeight="false" outlineLevel="0" collapsed="false">
      <c r="A1354" s="6" t="s">
        <v>4</v>
      </c>
      <c r="B1354" s="6" t="s">
        <v>347</v>
      </c>
      <c r="C1354" s="6" t="n">
        <v>29</v>
      </c>
      <c r="D1354" s="25" t="n">
        <f aca="false">EDATE('Start Here'!$B$6,C1354-1)</f>
        <v>47178</v>
      </c>
      <c r="E1354" s="11" t="n">
        <f aca="false">IF(AND(C1354&gt;=Staffing!$F$28,C1354&lt;=Staffing!$G$28,1=1),IF(C1354&lt;=6,Staffing!$H$28,IF(C1354&lt;=15,Staffing!$I$28,IF(C1354&lt;=30,Staffing!$J$28,Staffing!$K$28))),0)</f>
        <v>0.5</v>
      </c>
      <c r="F1354" s="10" t="n">
        <f aca="false">E1354*Staffing!$L$28/12*(1+Assumptions!$D$10)^INT((C1354-1)/12)*1</f>
        <v>5408</v>
      </c>
      <c r="G1354" s="10" t="n">
        <f aca="false">F1354*Staffing!$N$28</f>
        <v>2163.2</v>
      </c>
      <c r="H1354" s="10" t="n">
        <f aca="false">F1354+G1354</f>
        <v>7571.2</v>
      </c>
      <c r="I1354" s="10" t="n">
        <f aca="false">0</f>
        <v>0</v>
      </c>
      <c r="J1354" s="10" t="n">
        <f aca="false">MAX(0,E1354-E1353)*Staffing!$O$28</f>
        <v>0</v>
      </c>
      <c r="K1354" s="10" t="n">
        <f aca="false">MAX(0,E1354-E1353)*Staffing!$P$28</f>
        <v>0</v>
      </c>
      <c r="L1354" s="23" t="n">
        <f aca="false">ROUNDUP(E1354,0)</f>
        <v>1</v>
      </c>
    </row>
    <row r="1355" customFormat="false" ht="15" hidden="false" customHeight="false" outlineLevel="0" collapsed="false">
      <c r="A1355" s="6" t="s">
        <v>4</v>
      </c>
      <c r="B1355" s="6" t="s">
        <v>347</v>
      </c>
      <c r="C1355" s="6" t="n">
        <v>30</v>
      </c>
      <c r="D1355" s="25" t="n">
        <f aca="false">EDATE('Start Here'!$B$6,C1355-1)</f>
        <v>47209</v>
      </c>
      <c r="E1355" s="11" t="n">
        <f aca="false">IF(AND(C1355&gt;=Staffing!$F$28,C1355&lt;=Staffing!$G$28,1=1),IF(C1355&lt;=6,Staffing!$H$28,IF(C1355&lt;=15,Staffing!$I$28,IF(C1355&lt;=30,Staffing!$J$28,Staffing!$K$28))),0)</f>
        <v>0.5</v>
      </c>
      <c r="F1355" s="10" t="n">
        <f aca="false">E1355*Staffing!$L$28/12*(1+Assumptions!$D$10)^INT((C1355-1)/12)*1</f>
        <v>5408</v>
      </c>
      <c r="G1355" s="10" t="n">
        <f aca="false">F1355*Staffing!$N$28</f>
        <v>2163.2</v>
      </c>
      <c r="H1355" s="10" t="n">
        <f aca="false">F1355+G1355</f>
        <v>7571.2</v>
      </c>
      <c r="I1355" s="10" t="n">
        <f aca="false">0</f>
        <v>0</v>
      </c>
      <c r="J1355" s="10" t="n">
        <f aca="false">MAX(0,E1355-E1354)*Staffing!$O$28</f>
        <v>0</v>
      </c>
      <c r="K1355" s="10" t="n">
        <f aca="false">MAX(0,E1355-E1354)*Staffing!$P$28</f>
        <v>0</v>
      </c>
      <c r="L1355" s="23" t="n">
        <f aca="false">ROUNDUP(E1355,0)</f>
        <v>1</v>
      </c>
    </row>
    <row r="1356" customFormat="false" ht="15" hidden="false" customHeight="false" outlineLevel="0" collapsed="false">
      <c r="A1356" s="6" t="s">
        <v>4</v>
      </c>
      <c r="B1356" s="6" t="s">
        <v>347</v>
      </c>
      <c r="C1356" s="6" t="n">
        <v>31</v>
      </c>
      <c r="D1356" s="25" t="n">
        <f aca="false">EDATE('Start Here'!$B$6,C1356-1)</f>
        <v>47239</v>
      </c>
      <c r="E1356" s="11" t="n">
        <f aca="false">IF(AND(C1356&gt;=Staffing!$F$28,C1356&lt;=Staffing!$G$28,1=1),IF(C1356&lt;=6,Staffing!$H$28,IF(C1356&lt;=15,Staffing!$I$28,IF(C1356&lt;=30,Staffing!$J$28,Staffing!$K$28))),0)</f>
        <v>1</v>
      </c>
      <c r="F1356" s="10" t="n">
        <f aca="false">E1356*Staffing!$L$28/12*(1+Assumptions!$D$10)^INT((C1356-1)/12)*1</f>
        <v>10816</v>
      </c>
      <c r="G1356" s="10" t="n">
        <f aca="false">F1356*Staffing!$N$28</f>
        <v>4326.4</v>
      </c>
      <c r="H1356" s="10" t="n">
        <f aca="false">F1356+G1356</f>
        <v>15142.4</v>
      </c>
      <c r="I1356" s="10" t="n">
        <f aca="false">0</f>
        <v>0</v>
      </c>
      <c r="J1356" s="10" t="n">
        <f aca="false">MAX(0,E1356-E1355)*Staffing!$O$28</f>
        <v>4000</v>
      </c>
      <c r="K1356" s="10" t="n">
        <f aca="false">MAX(0,E1356-E1355)*Staffing!$P$28</f>
        <v>1500</v>
      </c>
      <c r="L1356" s="23" t="n">
        <f aca="false">ROUNDUP(E1356,0)</f>
        <v>1</v>
      </c>
    </row>
    <row r="1357" customFormat="false" ht="15" hidden="false" customHeight="false" outlineLevel="0" collapsed="false">
      <c r="A1357" s="6" t="s">
        <v>4</v>
      </c>
      <c r="B1357" s="6" t="s">
        <v>347</v>
      </c>
      <c r="C1357" s="6" t="n">
        <v>32</v>
      </c>
      <c r="D1357" s="25" t="n">
        <f aca="false">EDATE('Start Here'!$B$6,C1357-1)</f>
        <v>47270</v>
      </c>
      <c r="E1357" s="11" t="n">
        <f aca="false">IF(AND(C1357&gt;=Staffing!$F$28,C1357&lt;=Staffing!$G$28,1=1),IF(C1357&lt;=6,Staffing!$H$28,IF(C1357&lt;=15,Staffing!$I$28,IF(C1357&lt;=30,Staffing!$J$28,Staffing!$K$28))),0)</f>
        <v>1</v>
      </c>
      <c r="F1357" s="10" t="n">
        <f aca="false">E1357*Staffing!$L$28/12*(1+Assumptions!$D$10)^INT((C1357-1)/12)*1</f>
        <v>10816</v>
      </c>
      <c r="G1357" s="10" t="n">
        <f aca="false">F1357*Staffing!$N$28</f>
        <v>4326.4</v>
      </c>
      <c r="H1357" s="10" t="n">
        <f aca="false">F1357+G1357</f>
        <v>15142.4</v>
      </c>
      <c r="I1357" s="10" t="n">
        <f aca="false">0</f>
        <v>0</v>
      </c>
      <c r="J1357" s="10" t="n">
        <f aca="false">MAX(0,E1357-E1356)*Staffing!$O$28</f>
        <v>0</v>
      </c>
      <c r="K1357" s="10" t="n">
        <f aca="false">MAX(0,E1357-E1356)*Staffing!$P$28</f>
        <v>0</v>
      </c>
      <c r="L1357" s="23" t="n">
        <f aca="false">ROUNDUP(E1357,0)</f>
        <v>1</v>
      </c>
    </row>
    <row r="1358" customFormat="false" ht="15" hidden="false" customHeight="false" outlineLevel="0" collapsed="false">
      <c r="A1358" s="6" t="s">
        <v>4</v>
      </c>
      <c r="B1358" s="6" t="s">
        <v>347</v>
      </c>
      <c r="C1358" s="6" t="n">
        <v>33</v>
      </c>
      <c r="D1358" s="25" t="n">
        <f aca="false">EDATE('Start Here'!$B$6,C1358-1)</f>
        <v>47300</v>
      </c>
      <c r="E1358" s="11" t="n">
        <f aca="false">IF(AND(C1358&gt;=Staffing!$F$28,C1358&lt;=Staffing!$G$28,1=1),IF(C1358&lt;=6,Staffing!$H$28,IF(C1358&lt;=15,Staffing!$I$28,IF(C1358&lt;=30,Staffing!$J$28,Staffing!$K$28))),0)</f>
        <v>1</v>
      </c>
      <c r="F1358" s="10" t="n">
        <f aca="false">E1358*Staffing!$L$28/12*(1+Assumptions!$D$10)^INT((C1358-1)/12)*1</f>
        <v>10816</v>
      </c>
      <c r="G1358" s="10" t="n">
        <f aca="false">F1358*Staffing!$N$28</f>
        <v>4326.4</v>
      </c>
      <c r="H1358" s="10" t="n">
        <f aca="false">F1358+G1358</f>
        <v>15142.4</v>
      </c>
      <c r="I1358" s="10" t="n">
        <f aca="false">0</f>
        <v>0</v>
      </c>
      <c r="J1358" s="10" t="n">
        <f aca="false">MAX(0,E1358-E1357)*Staffing!$O$28</f>
        <v>0</v>
      </c>
      <c r="K1358" s="10" t="n">
        <f aca="false">MAX(0,E1358-E1357)*Staffing!$P$28</f>
        <v>0</v>
      </c>
      <c r="L1358" s="23" t="n">
        <f aca="false">ROUNDUP(E1358,0)</f>
        <v>1</v>
      </c>
    </row>
    <row r="1359" customFormat="false" ht="15" hidden="false" customHeight="false" outlineLevel="0" collapsed="false">
      <c r="A1359" s="6" t="s">
        <v>4</v>
      </c>
      <c r="B1359" s="6" t="s">
        <v>347</v>
      </c>
      <c r="C1359" s="6" t="n">
        <v>34</v>
      </c>
      <c r="D1359" s="25" t="n">
        <f aca="false">EDATE('Start Here'!$B$6,C1359-1)</f>
        <v>47331</v>
      </c>
      <c r="E1359" s="11" t="n">
        <f aca="false">IF(AND(C1359&gt;=Staffing!$F$28,C1359&lt;=Staffing!$G$28,1=1),IF(C1359&lt;=6,Staffing!$H$28,IF(C1359&lt;=15,Staffing!$I$28,IF(C1359&lt;=30,Staffing!$J$28,Staffing!$K$28))),0)</f>
        <v>1</v>
      </c>
      <c r="F1359" s="10" t="n">
        <f aca="false">E1359*Staffing!$L$28/12*(1+Assumptions!$D$10)^INT((C1359-1)/12)*1</f>
        <v>10816</v>
      </c>
      <c r="G1359" s="10" t="n">
        <f aca="false">F1359*Staffing!$N$28</f>
        <v>4326.4</v>
      </c>
      <c r="H1359" s="10" t="n">
        <f aca="false">F1359+G1359</f>
        <v>15142.4</v>
      </c>
      <c r="I1359" s="10" t="n">
        <f aca="false">0</f>
        <v>0</v>
      </c>
      <c r="J1359" s="10" t="n">
        <f aca="false">MAX(0,E1359-E1358)*Staffing!$O$28</f>
        <v>0</v>
      </c>
      <c r="K1359" s="10" t="n">
        <f aca="false">MAX(0,E1359-E1358)*Staffing!$P$28</f>
        <v>0</v>
      </c>
      <c r="L1359" s="23" t="n">
        <f aca="false">ROUNDUP(E1359,0)</f>
        <v>1</v>
      </c>
    </row>
    <row r="1360" customFormat="false" ht="15" hidden="false" customHeight="false" outlineLevel="0" collapsed="false">
      <c r="A1360" s="6" t="s">
        <v>4</v>
      </c>
      <c r="B1360" s="6" t="s">
        <v>347</v>
      </c>
      <c r="C1360" s="6" t="n">
        <v>35</v>
      </c>
      <c r="D1360" s="25" t="n">
        <f aca="false">EDATE('Start Here'!$B$6,C1360-1)</f>
        <v>47362</v>
      </c>
      <c r="E1360" s="11" t="n">
        <f aca="false">IF(AND(C1360&gt;=Staffing!$F$28,C1360&lt;=Staffing!$G$28,1=1),IF(C1360&lt;=6,Staffing!$H$28,IF(C1360&lt;=15,Staffing!$I$28,IF(C1360&lt;=30,Staffing!$J$28,Staffing!$K$28))),0)</f>
        <v>1</v>
      </c>
      <c r="F1360" s="10" t="n">
        <f aca="false">E1360*Staffing!$L$28/12*(1+Assumptions!$D$10)^INT((C1360-1)/12)*1</f>
        <v>10816</v>
      </c>
      <c r="G1360" s="10" t="n">
        <f aca="false">F1360*Staffing!$N$28</f>
        <v>4326.4</v>
      </c>
      <c r="H1360" s="10" t="n">
        <f aca="false">F1360+G1360</f>
        <v>15142.4</v>
      </c>
      <c r="I1360" s="10" t="n">
        <f aca="false">0</f>
        <v>0</v>
      </c>
      <c r="J1360" s="10" t="n">
        <f aca="false">MAX(0,E1360-E1359)*Staffing!$O$28</f>
        <v>0</v>
      </c>
      <c r="K1360" s="10" t="n">
        <f aca="false">MAX(0,E1360-E1359)*Staffing!$P$28</f>
        <v>0</v>
      </c>
      <c r="L1360" s="23" t="n">
        <f aca="false">ROUNDUP(E1360,0)</f>
        <v>1</v>
      </c>
    </row>
    <row r="1361" customFormat="false" ht="15" hidden="false" customHeight="false" outlineLevel="0" collapsed="false">
      <c r="A1361" s="6" t="s">
        <v>4</v>
      </c>
      <c r="B1361" s="6" t="s">
        <v>347</v>
      </c>
      <c r="C1361" s="6" t="n">
        <v>36</v>
      </c>
      <c r="D1361" s="25" t="n">
        <f aca="false">EDATE('Start Here'!$B$6,C1361-1)</f>
        <v>47392</v>
      </c>
      <c r="E1361" s="11" t="n">
        <f aca="false">IF(AND(C1361&gt;=Staffing!$F$28,C1361&lt;=Staffing!$G$28,1=1),IF(C1361&lt;=6,Staffing!$H$28,IF(C1361&lt;=15,Staffing!$I$28,IF(C1361&lt;=30,Staffing!$J$28,Staffing!$K$28))),0)</f>
        <v>1</v>
      </c>
      <c r="F1361" s="10" t="n">
        <f aca="false">E1361*Staffing!$L$28/12*(1+Assumptions!$D$10)^INT((C1361-1)/12)*1</f>
        <v>10816</v>
      </c>
      <c r="G1361" s="10" t="n">
        <f aca="false">F1361*Staffing!$N$28</f>
        <v>4326.4</v>
      </c>
      <c r="H1361" s="10" t="n">
        <f aca="false">F1361+G1361</f>
        <v>15142.4</v>
      </c>
      <c r="I1361" s="10" t="n">
        <f aca="false">0</f>
        <v>0</v>
      </c>
      <c r="J1361" s="10" t="n">
        <f aca="false">MAX(0,E1361-E1360)*Staffing!$O$28</f>
        <v>0</v>
      </c>
      <c r="K1361" s="10" t="n">
        <f aca="false">MAX(0,E1361-E1360)*Staffing!$P$28</f>
        <v>0</v>
      </c>
      <c r="L1361" s="23" t="n">
        <f aca="false">ROUNDUP(E1361,0)</f>
        <v>1</v>
      </c>
    </row>
    <row r="1362" customFormat="false" ht="15" hidden="false" customHeight="false" outlineLevel="0" collapsed="false">
      <c r="A1362" s="6" t="s">
        <v>4</v>
      </c>
      <c r="B1362" s="6" t="s">
        <v>347</v>
      </c>
      <c r="C1362" s="6" t="n">
        <v>37</v>
      </c>
      <c r="D1362" s="25" t="n">
        <f aca="false">EDATE('Start Here'!$B$6,C1362-1)</f>
        <v>47423</v>
      </c>
      <c r="E1362" s="11" t="n">
        <f aca="false">IF(AND(C1362&gt;=Staffing!$F$28,C1362&lt;=Staffing!$G$28,1=1),IF(C1362&lt;=6,Staffing!$H$28,IF(C1362&lt;=15,Staffing!$I$28,IF(C1362&lt;=30,Staffing!$J$28,Staffing!$K$28))),0)</f>
        <v>1</v>
      </c>
      <c r="F1362" s="10" t="n">
        <f aca="false">E1362*Staffing!$L$28/12*(1+Assumptions!$D$10)^INT((C1362-1)/12)*1</f>
        <v>11248.64</v>
      </c>
      <c r="G1362" s="10" t="n">
        <f aca="false">F1362*Staffing!$N$28</f>
        <v>4499.456</v>
      </c>
      <c r="H1362" s="10" t="n">
        <f aca="false">F1362+G1362</f>
        <v>15748.096</v>
      </c>
      <c r="I1362" s="10" t="n">
        <f aca="false">0</f>
        <v>0</v>
      </c>
      <c r="J1362" s="10" t="n">
        <f aca="false">MAX(0,E1362-E1361)*Staffing!$O$28</f>
        <v>0</v>
      </c>
      <c r="K1362" s="10" t="n">
        <f aca="false">MAX(0,E1362-E1361)*Staffing!$P$28</f>
        <v>0</v>
      </c>
      <c r="L1362" s="23" t="n">
        <f aca="false">ROUNDUP(E1362,0)</f>
        <v>1</v>
      </c>
    </row>
    <row r="1363" customFormat="false" ht="15" hidden="false" customHeight="false" outlineLevel="0" collapsed="false">
      <c r="A1363" s="6" t="s">
        <v>4</v>
      </c>
      <c r="B1363" s="6" t="s">
        <v>347</v>
      </c>
      <c r="C1363" s="6" t="n">
        <v>38</v>
      </c>
      <c r="D1363" s="25" t="n">
        <f aca="false">EDATE('Start Here'!$B$6,C1363-1)</f>
        <v>47453</v>
      </c>
      <c r="E1363" s="11" t="n">
        <f aca="false">IF(AND(C1363&gt;=Staffing!$F$28,C1363&lt;=Staffing!$G$28,1=1),IF(C1363&lt;=6,Staffing!$H$28,IF(C1363&lt;=15,Staffing!$I$28,IF(C1363&lt;=30,Staffing!$J$28,Staffing!$K$28))),0)</f>
        <v>1</v>
      </c>
      <c r="F1363" s="10" t="n">
        <f aca="false">E1363*Staffing!$L$28/12*(1+Assumptions!$D$10)^INT((C1363-1)/12)*1</f>
        <v>11248.64</v>
      </c>
      <c r="G1363" s="10" t="n">
        <f aca="false">F1363*Staffing!$N$28</f>
        <v>4499.456</v>
      </c>
      <c r="H1363" s="10" t="n">
        <f aca="false">F1363+G1363</f>
        <v>15748.096</v>
      </c>
      <c r="I1363" s="10" t="n">
        <f aca="false">0</f>
        <v>0</v>
      </c>
      <c r="J1363" s="10" t="n">
        <f aca="false">MAX(0,E1363-E1362)*Staffing!$O$28</f>
        <v>0</v>
      </c>
      <c r="K1363" s="10" t="n">
        <f aca="false">MAX(0,E1363-E1362)*Staffing!$P$28</f>
        <v>0</v>
      </c>
      <c r="L1363" s="23" t="n">
        <f aca="false">ROUNDUP(E1363,0)</f>
        <v>1</v>
      </c>
    </row>
    <row r="1364" customFormat="false" ht="15" hidden="false" customHeight="false" outlineLevel="0" collapsed="false">
      <c r="A1364" s="6" t="s">
        <v>4</v>
      </c>
      <c r="B1364" s="6" t="s">
        <v>347</v>
      </c>
      <c r="C1364" s="6" t="n">
        <v>39</v>
      </c>
      <c r="D1364" s="25" t="n">
        <f aca="false">EDATE('Start Here'!$B$6,C1364-1)</f>
        <v>47484</v>
      </c>
      <c r="E1364" s="11" t="n">
        <f aca="false">IF(AND(C1364&gt;=Staffing!$F$28,C1364&lt;=Staffing!$G$28,1=1),IF(C1364&lt;=6,Staffing!$H$28,IF(C1364&lt;=15,Staffing!$I$28,IF(C1364&lt;=30,Staffing!$J$28,Staffing!$K$28))),0)</f>
        <v>1</v>
      </c>
      <c r="F1364" s="10" t="n">
        <f aca="false">E1364*Staffing!$L$28/12*(1+Assumptions!$D$10)^INT((C1364-1)/12)*1</f>
        <v>11248.64</v>
      </c>
      <c r="G1364" s="10" t="n">
        <f aca="false">F1364*Staffing!$N$28</f>
        <v>4499.456</v>
      </c>
      <c r="H1364" s="10" t="n">
        <f aca="false">F1364+G1364</f>
        <v>15748.096</v>
      </c>
      <c r="I1364" s="10" t="n">
        <f aca="false">0</f>
        <v>0</v>
      </c>
      <c r="J1364" s="10" t="n">
        <f aca="false">MAX(0,E1364-E1363)*Staffing!$O$28</f>
        <v>0</v>
      </c>
      <c r="K1364" s="10" t="n">
        <f aca="false">MAX(0,E1364-E1363)*Staffing!$P$28</f>
        <v>0</v>
      </c>
      <c r="L1364" s="23" t="n">
        <f aca="false">ROUNDUP(E1364,0)</f>
        <v>1</v>
      </c>
    </row>
    <row r="1365" customFormat="false" ht="15" hidden="false" customHeight="false" outlineLevel="0" collapsed="false">
      <c r="A1365" s="6" t="s">
        <v>4</v>
      </c>
      <c r="B1365" s="6" t="s">
        <v>347</v>
      </c>
      <c r="C1365" s="6" t="n">
        <v>40</v>
      </c>
      <c r="D1365" s="25" t="n">
        <f aca="false">EDATE('Start Here'!$B$6,C1365-1)</f>
        <v>47515</v>
      </c>
      <c r="E1365" s="11" t="n">
        <f aca="false">IF(AND(C1365&gt;=Staffing!$F$28,C1365&lt;=Staffing!$G$28,1=1),IF(C1365&lt;=6,Staffing!$H$28,IF(C1365&lt;=15,Staffing!$I$28,IF(C1365&lt;=30,Staffing!$J$28,Staffing!$K$28))),0)</f>
        <v>1</v>
      </c>
      <c r="F1365" s="10" t="n">
        <f aca="false">E1365*Staffing!$L$28/12*(1+Assumptions!$D$10)^INT((C1365-1)/12)*1</f>
        <v>11248.64</v>
      </c>
      <c r="G1365" s="10" t="n">
        <f aca="false">F1365*Staffing!$N$28</f>
        <v>4499.456</v>
      </c>
      <c r="H1365" s="10" t="n">
        <f aca="false">F1365+G1365</f>
        <v>15748.096</v>
      </c>
      <c r="I1365" s="10" t="n">
        <f aca="false">0</f>
        <v>0</v>
      </c>
      <c r="J1365" s="10" t="n">
        <f aca="false">MAX(0,E1365-E1364)*Staffing!$O$28</f>
        <v>0</v>
      </c>
      <c r="K1365" s="10" t="n">
        <f aca="false">MAX(0,E1365-E1364)*Staffing!$P$28</f>
        <v>0</v>
      </c>
      <c r="L1365" s="23" t="n">
        <f aca="false">ROUNDUP(E1365,0)</f>
        <v>1</v>
      </c>
    </row>
    <row r="1366" customFormat="false" ht="15" hidden="false" customHeight="false" outlineLevel="0" collapsed="false">
      <c r="A1366" s="6" t="s">
        <v>4</v>
      </c>
      <c r="B1366" s="6" t="s">
        <v>347</v>
      </c>
      <c r="C1366" s="6" t="n">
        <v>41</v>
      </c>
      <c r="D1366" s="25" t="n">
        <f aca="false">EDATE('Start Here'!$B$6,C1366-1)</f>
        <v>47543</v>
      </c>
      <c r="E1366" s="11" t="n">
        <f aca="false">IF(AND(C1366&gt;=Staffing!$F$28,C1366&lt;=Staffing!$G$28,1=1),IF(C1366&lt;=6,Staffing!$H$28,IF(C1366&lt;=15,Staffing!$I$28,IF(C1366&lt;=30,Staffing!$J$28,Staffing!$K$28))),0)</f>
        <v>1</v>
      </c>
      <c r="F1366" s="10" t="n">
        <f aca="false">E1366*Staffing!$L$28/12*(1+Assumptions!$D$10)^INT((C1366-1)/12)*1</f>
        <v>11248.64</v>
      </c>
      <c r="G1366" s="10" t="n">
        <f aca="false">F1366*Staffing!$N$28</f>
        <v>4499.456</v>
      </c>
      <c r="H1366" s="10" t="n">
        <f aca="false">F1366+G1366</f>
        <v>15748.096</v>
      </c>
      <c r="I1366" s="10" t="n">
        <f aca="false">0</f>
        <v>0</v>
      </c>
      <c r="J1366" s="10" t="n">
        <f aca="false">MAX(0,E1366-E1365)*Staffing!$O$28</f>
        <v>0</v>
      </c>
      <c r="K1366" s="10" t="n">
        <f aca="false">MAX(0,E1366-E1365)*Staffing!$P$28</f>
        <v>0</v>
      </c>
      <c r="L1366" s="23" t="n">
        <f aca="false">ROUNDUP(E1366,0)</f>
        <v>1</v>
      </c>
    </row>
    <row r="1367" customFormat="false" ht="15" hidden="false" customHeight="false" outlineLevel="0" collapsed="false">
      <c r="A1367" s="6" t="s">
        <v>4</v>
      </c>
      <c r="B1367" s="6" t="s">
        <v>347</v>
      </c>
      <c r="C1367" s="6" t="n">
        <v>42</v>
      </c>
      <c r="D1367" s="25" t="n">
        <f aca="false">EDATE('Start Here'!$B$6,C1367-1)</f>
        <v>47574</v>
      </c>
      <c r="E1367" s="11" t="n">
        <f aca="false">IF(AND(C1367&gt;=Staffing!$F$28,C1367&lt;=Staffing!$G$28,1=1),IF(C1367&lt;=6,Staffing!$H$28,IF(C1367&lt;=15,Staffing!$I$28,IF(C1367&lt;=30,Staffing!$J$28,Staffing!$K$28))),0)</f>
        <v>1</v>
      </c>
      <c r="F1367" s="10" t="n">
        <f aca="false">E1367*Staffing!$L$28/12*(1+Assumptions!$D$10)^INT((C1367-1)/12)*1</f>
        <v>11248.64</v>
      </c>
      <c r="G1367" s="10" t="n">
        <f aca="false">F1367*Staffing!$N$28</f>
        <v>4499.456</v>
      </c>
      <c r="H1367" s="10" t="n">
        <f aca="false">F1367+G1367</f>
        <v>15748.096</v>
      </c>
      <c r="I1367" s="10" t="n">
        <f aca="false">0</f>
        <v>0</v>
      </c>
      <c r="J1367" s="10" t="n">
        <f aca="false">MAX(0,E1367-E1366)*Staffing!$O$28</f>
        <v>0</v>
      </c>
      <c r="K1367" s="10" t="n">
        <f aca="false">MAX(0,E1367-E1366)*Staffing!$P$28</f>
        <v>0</v>
      </c>
      <c r="L1367" s="23" t="n">
        <f aca="false">ROUNDUP(E1367,0)</f>
        <v>1</v>
      </c>
    </row>
    <row r="1368" customFormat="false" ht="15" hidden="false" customHeight="false" outlineLevel="0" collapsed="false">
      <c r="A1368" s="6" t="s">
        <v>4</v>
      </c>
      <c r="B1368" s="6" t="s">
        <v>347</v>
      </c>
      <c r="C1368" s="6" t="n">
        <v>43</v>
      </c>
      <c r="D1368" s="25" t="n">
        <f aca="false">EDATE('Start Here'!$B$6,C1368-1)</f>
        <v>47604</v>
      </c>
      <c r="E1368" s="11" t="n">
        <f aca="false">IF(AND(C1368&gt;=Staffing!$F$28,C1368&lt;=Staffing!$G$28,1=1),IF(C1368&lt;=6,Staffing!$H$28,IF(C1368&lt;=15,Staffing!$I$28,IF(C1368&lt;=30,Staffing!$J$28,Staffing!$K$28))),0)</f>
        <v>1</v>
      </c>
      <c r="F1368" s="10" t="n">
        <f aca="false">E1368*Staffing!$L$28/12*(1+Assumptions!$D$10)^INT((C1368-1)/12)*1</f>
        <v>11248.64</v>
      </c>
      <c r="G1368" s="10" t="n">
        <f aca="false">F1368*Staffing!$N$28</f>
        <v>4499.456</v>
      </c>
      <c r="H1368" s="10" t="n">
        <f aca="false">F1368+G1368</f>
        <v>15748.096</v>
      </c>
      <c r="I1368" s="10" t="n">
        <f aca="false">0</f>
        <v>0</v>
      </c>
      <c r="J1368" s="10" t="n">
        <f aca="false">MAX(0,E1368-E1367)*Staffing!$O$28</f>
        <v>0</v>
      </c>
      <c r="K1368" s="10" t="n">
        <f aca="false">MAX(0,E1368-E1367)*Staffing!$P$28</f>
        <v>0</v>
      </c>
      <c r="L1368" s="23" t="n">
        <f aca="false">ROUNDUP(E1368,0)</f>
        <v>1</v>
      </c>
    </row>
    <row r="1369" customFormat="false" ht="15" hidden="false" customHeight="false" outlineLevel="0" collapsed="false">
      <c r="A1369" s="6" t="s">
        <v>4</v>
      </c>
      <c r="B1369" s="6" t="s">
        <v>347</v>
      </c>
      <c r="C1369" s="6" t="n">
        <v>44</v>
      </c>
      <c r="D1369" s="25" t="n">
        <f aca="false">EDATE('Start Here'!$B$6,C1369-1)</f>
        <v>47635</v>
      </c>
      <c r="E1369" s="11" t="n">
        <f aca="false">IF(AND(C1369&gt;=Staffing!$F$28,C1369&lt;=Staffing!$G$28,1=1),IF(C1369&lt;=6,Staffing!$H$28,IF(C1369&lt;=15,Staffing!$I$28,IF(C1369&lt;=30,Staffing!$J$28,Staffing!$K$28))),0)</f>
        <v>1</v>
      </c>
      <c r="F1369" s="10" t="n">
        <f aca="false">E1369*Staffing!$L$28/12*(1+Assumptions!$D$10)^INT((C1369-1)/12)*1</f>
        <v>11248.64</v>
      </c>
      <c r="G1369" s="10" t="n">
        <f aca="false">F1369*Staffing!$N$28</f>
        <v>4499.456</v>
      </c>
      <c r="H1369" s="10" t="n">
        <f aca="false">F1369+G1369</f>
        <v>15748.096</v>
      </c>
      <c r="I1369" s="10" t="n">
        <f aca="false">0</f>
        <v>0</v>
      </c>
      <c r="J1369" s="10" t="n">
        <f aca="false">MAX(0,E1369-E1368)*Staffing!$O$28</f>
        <v>0</v>
      </c>
      <c r="K1369" s="10" t="n">
        <f aca="false">MAX(0,E1369-E1368)*Staffing!$P$28</f>
        <v>0</v>
      </c>
      <c r="L1369" s="23" t="n">
        <f aca="false">ROUNDUP(E1369,0)</f>
        <v>1</v>
      </c>
    </row>
    <row r="1370" customFormat="false" ht="15" hidden="false" customHeight="false" outlineLevel="0" collapsed="false">
      <c r="A1370" s="6" t="s">
        <v>4</v>
      </c>
      <c r="B1370" s="6" t="s">
        <v>347</v>
      </c>
      <c r="C1370" s="6" t="n">
        <v>45</v>
      </c>
      <c r="D1370" s="25" t="n">
        <f aca="false">EDATE('Start Here'!$B$6,C1370-1)</f>
        <v>47665</v>
      </c>
      <c r="E1370" s="11" t="n">
        <f aca="false">IF(AND(C1370&gt;=Staffing!$F$28,C1370&lt;=Staffing!$G$28,1=1),IF(C1370&lt;=6,Staffing!$H$28,IF(C1370&lt;=15,Staffing!$I$28,IF(C1370&lt;=30,Staffing!$J$28,Staffing!$K$28))),0)</f>
        <v>1</v>
      </c>
      <c r="F1370" s="10" t="n">
        <f aca="false">E1370*Staffing!$L$28/12*(1+Assumptions!$D$10)^INT((C1370-1)/12)*1</f>
        <v>11248.64</v>
      </c>
      <c r="G1370" s="10" t="n">
        <f aca="false">F1370*Staffing!$N$28</f>
        <v>4499.456</v>
      </c>
      <c r="H1370" s="10" t="n">
        <f aca="false">F1370+G1370</f>
        <v>15748.096</v>
      </c>
      <c r="I1370" s="10" t="n">
        <f aca="false">0</f>
        <v>0</v>
      </c>
      <c r="J1370" s="10" t="n">
        <f aca="false">MAX(0,E1370-E1369)*Staffing!$O$28</f>
        <v>0</v>
      </c>
      <c r="K1370" s="10" t="n">
        <f aca="false">MAX(0,E1370-E1369)*Staffing!$P$28</f>
        <v>0</v>
      </c>
      <c r="L1370" s="23" t="n">
        <f aca="false">ROUNDUP(E1370,0)</f>
        <v>1</v>
      </c>
    </row>
    <row r="1371" customFormat="false" ht="15" hidden="false" customHeight="false" outlineLevel="0" collapsed="false">
      <c r="A1371" s="6" t="s">
        <v>4</v>
      </c>
      <c r="B1371" s="6" t="s">
        <v>347</v>
      </c>
      <c r="C1371" s="6" t="n">
        <v>46</v>
      </c>
      <c r="D1371" s="25" t="n">
        <f aca="false">EDATE('Start Here'!$B$6,C1371-1)</f>
        <v>47696</v>
      </c>
      <c r="E1371" s="11" t="n">
        <f aca="false">IF(AND(C1371&gt;=Staffing!$F$28,C1371&lt;=Staffing!$G$28,1=1),IF(C1371&lt;=6,Staffing!$H$28,IF(C1371&lt;=15,Staffing!$I$28,IF(C1371&lt;=30,Staffing!$J$28,Staffing!$K$28))),0)</f>
        <v>1</v>
      </c>
      <c r="F1371" s="10" t="n">
        <f aca="false">E1371*Staffing!$L$28/12*(1+Assumptions!$D$10)^INT((C1371-1)/12)*1</f>
        <v>11248.64</v>
      </c>
      <c r="G1371" s="10" t="n">
        <f aca="false">F1371*Staffing!$N$28</f>
        <v>4499.456</v>
      </c>
      <c r="H1371" s="10" t="n">
        <f aca="false">F1371+G1371</f>
        <v>15748.096</v>
      </c>
      <c r="I1371" s="10" t="n">
        <f aca="false">0</f>
        <v>0</v>
      </c>
      <c r="J1371" s="10" t="n">
        <f aca="false">MAX(0,E1371-E1370)*Staffing!$O$28</f>
        <v>0</v>
      </c>
      <c r="K1371" s="10" t="n">
        <f aca="false">MAX(0,E1371-E1370)*Staffing!$P$28</f>
        <v>0</v>
      </c>
      <c r="L1371" s="23" t="n">
        <f aca="false">ROUNDUP(E1371,0)</f>
        <v>1</v>
      </c>
    </row>
    <row r="1372" customFormat="false" ht="15" hidden="false" customHeight="false" outlineLevel="0" collapsed="false">
      <c r="A1372" s="6" t="s">
        <v>4</v>
      </c>
      <c r="B1372" s="6" t="s">
        <v>347</v>
      </c>
      <c r="C1372" s="6" t="n">
        <v>47</v>
      </c>
      <c r="D1372" s="25" t="n">
        <f aca="false">EDATE('Start Here'!$B$6,C1372-1)</f>
        <v>47727</v>
      </c>
      <c r="E1372" s="11" t="n">
        <f aca="false">IF(AND(C1372&gt;=Staffing!$F$28,C1372&lt;=Staffing!$G$28,1=1),IF(C1372&lt;=6,Staffing!$H$28,IF(C1372&lt;=15,Staffing!$I$28,IF(C1372&lt;=30,Staffing!$J$28,Staffing!$K$28))),0)</f>
        <v>1</v>
      </c>
      <c r="F1372" s="10" t="n">
        <f aca="false">E1372*Staffing!$L$28/12*(1+Assumptions!$D$10)^INT((C1372-1)/12)*1</f>
        <v>11248.64</v>
      </c>
      <c r="G1372" s="10" t="n">
        <f aca="false">F1372*Staffing!$N$28</f>
        <v>4499.456</v>
      </c>
      <c r="H1372" s="10" t="n">
        <f aca="false">F1372+G1372</f>
        <v>15748.096</v>
      </c>
      <c r="I1372" s="10" t="n">
        <f aca="false">0</f>
        <v>0</v>
      </c>
      <c r="J1372" s="10" t="n">
        <f aca="false">MAX(0,E1372-E1371)*Staffing!$O$28</f>
        <v>0</v>
      </c>
      <c r="K1372" s="10" t="n">
        <f aca="false">MAX(0,E1372-E1371)*Staffing!$P$28</f>
        <v>0</v>
      </c>
      <c r="L1372" s="23" t="n">
        <f aca="false">ROUNDUP(E1372,0)</f>
        <v>1</v>
      </c>
    </row>
    <row r="1373" customFormat="false" ht="15" hidden="false" customHeight="false" outlineLevel="0" collapsed="false">
      <c r="A1373" s="6" t="s">
        <v>4</v>
      </c>
      <c r="B1373" s="6" t="s">
        <v>347</v>
      </c>
      <c r="C1373" s="6" t="n">
        <v>48</v>
      </c>
      <c r="D1373" s="25" t="n">
        <f aca="false">EDATE('Start Here'!$B$6,C1373-1)</f>
        <v>47757</v>
      </c>
      <c r="E1373" s="11" t="n">
        <f aca="false">IF(AND(C1373&gt;=Staffing!$F$28,C1373&lt;=Staffing!$G$28,1=1),IF(C1373&lt;=6,Staffing!$H$28,IF(C1373&lt;=15,Staffing!$I$28,IF(C1373&lt;=30,Staffing!$J$28,Staffing!$K$28))),0)</f>
        <v>1</v>
      </c>
      <c r="F1373" s="10" t="n">
        <f aca="false">E1373*Staffing!$L$28/12*(1+Assumptions!$D$10)^INT((C1373-1)/12)*1</f>
        <v>11248.64</v>
      </c>
      <c r="G1373" s="10" t="n">
        <f aca="false">F1373*Staffing!$N$28</f>
        <v>4499.456</v>
      </c>
      <c r="H1373" s="10" t="n">
        <f aca="false">F1373+G1373</f>
        <v>15748.096</v>
      </c>
      <c r="I1373" s="10" t="n">
        <f aca="false">0</f>
        <v>0</v>
      </c>
      <c r="J1373" s="10" t="n">
        <f aca="false">MAX(0,E1373-E1372)*Staffing!$O$28</f>
        <v>0</v>
      </c>
      <c r="K1373" s="10" t="n">
        <f aca="false">MAX(0,E1373-E1372)*Staffing!$P$28</f>
        <v>0</v>
      </c>
      <c r="L1373" s="23" t="n">
        <f aca="false">ROUNDUP(E1373,0)</f>
        <v>1</v>
      </c>
    </row>
    <row r="1374" customFormat="false" ht="15" hidden="false" customHeight="false" outlineLevel="0" collapsed="false">
      <c r="A1374" s="6" t="s">
        <v>4</v>
      </c>
      <c r="B1374" s="6" t="s">
        <v>347</v>
      </c>
      <c r="C1374" s="6" t="n">
        <v>49</v>
      </c>
      <c r="D1374" s="25" t="n">
        <f aca="false">EDATE('Start Here'!$B$6,C1374-1)</f>
        <v>47788</v>
      </c>
      <c r="E1374" s="11" t="n">
        <f aca="false">IF(AND(C1374&gt;=Staffing!$F$28,C1374&lt;=Staffing!$G$28,1=1),IF(C1374&lt;=6,Staffing!$H$28,IF(C1374&lt;=15,Staffing!$I$28,IF(C1374&lt;=30,Staffing!$J$28,Staffing!$K$28))),0)</f>
        <v>1</v>
      </c>
      <c r="F1374" s="10" t="n">
        <f aca="false">E1374*Staffing!$L$28/12*(1+Assumptions!$D$10)^INT((C1374-1)/12)*1</f>
        <v>11698.5856</v>
      </c>
      <c r="G1374" s="10" t="n">
        <f aca="false">F1374*Staffing!$N$28</f>
        <v>4679.43424</v>
      </c>
      <c r="H1374" s="10" t="n">
        <f aca="false">F1374+G1374</f>
        <v>16378.01984</v>
      </c>
      <c r="I1374" s="10" t="n">
        <f aca="false">0</f>
        <v>0</v>
      </c>
      <c r="J1374" s="10" t="n">
        <f aca="false">MAX(0,E1374-E1373)*Staffing!$O$28</f>
        <v>0</v>
      </c>
      <c r="K1374" s="10" t="n">
        <f aca="false">MAX(0,E1374-E1373)*Staffing!$P$28</f>
        <v>0</v>
      </c>
      <c r="L1374" s="23" t="n">
        <f aca="false">ROUNDUP(E1374,0)</f>
        <v>1</v>
      </c>
    </row>
    <row r="1375" customFormat="false" ht="15" hidden="false" customHeight="false" outlineLevel="0" collapsed="false">
      <c r="A1375" s="6" t="s">
        <v>4</v>
      </c>
      <c r="B1375" s="6" t="s">
        <v>347</v>
      </c>
      <c r="C1375" s="6" t="n">
        <v>50</v>
      </c>
      <c r="D1375" s="25" t="n">
        <f aca="false">EDATE('Start Here'!$B$6,C1375-1)</f>
        <v>47818</v>
      </c>
      <c r="E1375" s="11" t="n">
        <f aca="false">IF(AND(C1375&gt;=Staffing!$F$28,C1375&lt;=Staffing!$G$28,1=1),IF(C1375&lt;=6,Staffing!$H$28,IF(C1375&lt;=15,Staffing!$I$28,IF(C1375&lt;=30,Staffing!$J$28,Staffing!$K$28))),0)</f>
        <v>1</v>
      </c>
      <c r="F1375" s="10" t="n">
        <f aca="false">E1375*Staffing!$L$28/12*(1+Assumptions!$D$10)^INT((C1375-1)/12)*1</f>
        <v>11698.5856</v>
      </c>
      <c r="G1375" s="10" t="n">
        <f aca="false">F1375*Staffing!$N$28</f>
        <v>4679.43424</v>
      </c>
      <c r="H1375" s="10" t="n">
        <f aca="false">F1375+G1375</f>
        <v>16378.01984</v>
      </c>
      <c r="I1375" s="10" t="n">
        <f aca="false">0</f>
        <v>0</v>
      </c>
      <c r="J1375" s="10" t="n">
        <f aca="false">MAX(0,E1375-E1374)*Staffing!$O$28</f>
        <v>0</v>
      </c>
      <c r="K1375" s="10" t="n">
        <f aca="false">MAX(0,E1375-E1374)*Staffing!$P$28</f>
        <v>0</v>
      </c>
      <c r="L1375" s="23" t="n">
        <f aca="false">ROUNDUP(E1375,0)</f>
        <v>1</v>
      </c>
    </row>
    <row r="1376" customFormat="false" ht="15" hidden="false" customHeight="false" outlineLevel="0" collapsed="false">
      <c r="A1376" s="6" t="s">
        <v>4</v>
      </c>
      <c r="B1376" s="6" t="s">
        <v>347</v>
      </c>
      <c r="C1376" s="6" t="n">
        <v>51</v>
      </c>
      <c r="D1376" s="25" t="n">
        <f aca="false">EDATE('Start Here'!$B$6,C1376-1)</f>
        <v>47849</v>
      </c>
      <c r="E1376" s="11" t="n">
        <f aca="false">IF(AND(C1376&gt;=Staffing!$F$28,C1376&lt;=Staffing!$G$28,1=1),IF(C1376&lt;=6,Staffing!$H$28,IF(C1376&lt;=15,Staffing!$I$28,IF(C1376&lt;=30,Staffing!$J$28,Staffing!$K$28))),0)</f>
        <v>1</v>
      </c>
      <c r="F1376" s="10" t="n">
        <f aca="false">E1376*Staffing!$L$28/12*(1+Assumptions!$D$10)^INT((C1376-1)/12)*1</f>
        <v>11698.5856</v>
      </c>
      <c r="G1376" s="10" t="n">
        <f aca="false">F1376*Staffing!$N$28</f>
        <v>4679.43424</v>
      </c>
      <c r="H1376" s="10" t="n">
        <f aca="false">F1376+G1376</f>
        <v>16378.01984</v>
      </c>
      <c r="I1376" s="10" t="n">
        <f aca="false">0</f>
        <v>0</v>
      </c>
      <c r="J1376" s="10" t="n">
        <f aca="false">MAX(0,E1376-E1375)*Staffing!$O$28</f>
        <v>0</v>
      </c>
      <c r="K1376" s="10" t="n">
        <f aca="false">MAX(0,E1376-E1375)*Staffing!$P$28</f>
        <v>0</v>
      </c>
      <c r="L1376" s="23" t="n">
        <f aca="false">ROUNDUP(E1376,0)</f>
        <v>1</v>
      </c>
    </row>
    <row r="1377" customFormat="false" ht="15" hidden="false" customHeight="false" outlineLevel="0" collapsed="false">
      <c r="A1377" s="6" t="s">
        <v>4</v>
      </c>
      <c r="B1377" s="6" t="s">
        <v>347</v>
      </c>
      <c r="C1377" s="6" t="n">
        <v>52</v>
      </c>
      <c r="D1377" s="25" t="n">
        <f aca="false">EDATE('Start Here'!$B$6,C1377-1)</f>
        <v>47880</v>
      </c>
      <c r="E1377" s="11" t="n">
        <f aca="false">IF(AND(C1377&gt;=Staffing!$F$28,C1377&lt;=Staffing!$G$28,1=1),IF(C1377&lt;=6,Staffing!$H$28,IF(C1377&lt;=15,Staffing!$I$28,IF(C1377&lt;=30,Staffing!$J$28,Staffing!$K$28))),0)</f>
        <v>1</v>
      </c>
      <c r="F1377" s="10" t="n">
        <f aca="false">E1377*Staffing!$L$28/12*(1+Assumptions!$D$10)^INT((C1377-1)/12)*1</f>
        <v>11698.5856</v>
      </c>
      <c r="G1377" s="10" t="n">
        <f aca="false">F1377*Staffing!$N$28</f>
        <v>4679.43424</v>
      </c>
      <c r="H1377" s="10" t="n">
        <f aca="false">F1377+G1377</f>
        <v>16378.01984</v>
      </c>
      <c r="I1377" s="10" t="n">
        <f aca="false">0</f>
        <v>0</v>
      </c>
      <c r="J1377" s="10" t="n">
        <f aca="false">MAX(0,E1377-E1376)*Staffing!$O$28</f>
        <v>0</v>
      </c>
      <c r="K1377" s="10" t="n">
        <f aca="false">MAX(0,E1377-E1376)*Staffing!$P$28</f>
        <v>0</v>
      </c>
      <c r="L1377" s="23" t="n">
        <f aca="false">ROUNDUP(E1377,0)</f>
        <v>1</v>
      </c>
    </row>
    <row r="1378" customFormat="false" ht="15" hidden="false" customHeight="false" outlineLevel="0" collapsed="false">
      <c r="A1378" s="6" t="s">
        <v>4</v>
      </c>
      <c r="B1378" s="6" t="s">
        <v>347</v>
      </c>
      <c r="C1378" s="6" t="n">
        <v>53</v>
      </c>
      <c r="D1378" s="25" t="n">
        <f aca="false">EDATE('Start Here'!$B$6,C1378-1)</f>
        <v>47908</v>
      </c>
      <c r="E1378" s="11" t="n">
        <f aca="false">IF(AND(C1378&gt;=Staffing!$F$28,C1378&lt;=Staffing!$G$28,1=1),IF(C1378&lt;=6,Staffing!$H$28,IF(C1378&lt;=15,Staffing!$I$28,IF(C1378&lt;=30,Staffing!$J$28,Staffing!$K$28))),0)</f>
        <v>1</v>
      </c>
      <c r="F1378" s="10" t="n">
        <f aca="false">E1378*Staffing!$L$28/12*(1+Assumptions!$D$10)^INT((C1378-1)/12)*1</f>
        <v>11698.5856</v>
      </c>
      <c r="G1378" s="10" t="n">
        <f aca="false">F1378*Staffing!$N$28</f>
        <v>4679.43424</v>
      </c>
      <c r="H1378" s="10" t="n">
        <f aca="false">F1378+G1378</f>
        <v>16378.01984</v>
      </c>
      <c r="I1378" s="10" t="n">
        <f aca="false">0</f>
        <v>0</v>
      </c>
      <c r="J1378" s="10" t="n">
        <f aca="false">MAX(0,E1378-E1377)*Staffing!$O$28</f>
        <v>0</v>
      </c>
      <c r="K1378" s="10" t="n">
        <f aca="false">MAX(0,E1378-E1377)*Staffing!$P$28</f>
        <v>0</v>
      </c>
      <c r="L1378" s="23" t="n">
        <f aca="false">ROUNDUP(E1378,0)</f>
        <v>1</v>
      </c>
    </row>
    <row r="1379" customFormat="false" ht="15" hidden="false" customHeight="false" outlineLevel="0" collapsed="false">
      <c r="A1379" s="6" t="s">
        <v>4</v>
      </c>
      <c r="B1379" s="6" t="s">
        <v>347</v>
      </c>
      <c r="C1379" s="6" t="n">
        <v>54</v>
      </c>
      <c r="D1379" s="25" t="n">
        <f aca="false">EDATE('Start Here'!$B$6,C1379-1)</f>
        <v>47939</v>
      </c>
      <c r="E1379" s="11" t="n">
        <f aca="false">IF(AND(C1379&gt;=Staffing!$F$28,C1379&lt;=Staffing!$G$28,1=1),IF(C1379&lt;=6,Staffing!$H$28,IF(C1379&lt;=15,Staffing!$I$28,IF(C1379&lt;=30,Staffing!$J$28,Staffing!$K$28))),0)</f>
        <v>1</v>
      </c>
      <c r="F1379" s="10" t="n">
        <f aca="false">E1379*Staffing!$L$28/12*(1+Assumptions!$D$10)^INT((C1379-1)/12)*1</f>
        <v>11698.5856</v>
      </c>
      <c r="G1379" s="10" t="n">
        <f aca="false">F1379*Staffing!$N$28</f>
        <v>4679.43424</v>
      </c>
      <c r="H1379" s="10" t="n">
        <f aca="false">F1379+G1379</f>
        <v>16378.01984</v>
      </c>
      <c r="I1379" s="10" t="n">
        <f aca="false">0</f>
        <v>0</v>
      </c>
      <c r="J1379" s="10" t="n">
        <f aca="false">MAX(0,E1379-E1378)*Staffing!$O$28</f>
        <v>0</v>
      </c>
      <c r="K1379" s="10" t="n">
        <f aca="false">MAX(0,E1379-E1378)*Staffing!$P$28</f>
        <v>0</v>
      </c>
      <c r="L1379" s="23" t="n">
        <f aca="false">ROUNDUP(E1379,0)</f>
        <v>1</v>
      </c>
    </row>
    <row r="1380" customFormat="false" ht="15" hidden="false" customHeight="false" outlineLevel="0" collapsed="false">
      <c r="A1380" s="6" t="s">
        <v>4</v>
      </c>
      <c r="B1380" s="6" t="s">
        <v>347</v>
      </c>
      <c r="C1380" s="6" t="n">
        <v>55</v>
      </c>
      <c r="D1380" s="25" t="n">
        <f aca="false">EDATE('Start Here'!$B$6,C1380-1)</f>
        <v>47969</v>
      </c>
      <c r="E1380" s="11" t="n">
        <f aca="false">IF(AND(C1380&gt;=Staffing!$F$28,C1380&lt;=Staffing!$G$28,1=1),IF(C1380&lt;=6,Staffing!$H$28,IF(C1380&lt;=15,Staffing!$I$28,IF(C1380&lt;=30,Staffing!$J$28,Staffing!$K$28))),0)</f>
        <v>1</v>
      </c>
      <c r="F1380" s="10" t="n">
        <f aca="false">E1380*Staffing!$L$28/12*(1+Assumptions!$D$10)^INT((C1380-1)/12)*1</f>
        <v>11698.5856</v>
      </c>
      <c r="G1380" s="10" t="n">
        <f aca="false">F1380*Staffing!$N$28</f>
        <v>4679.43424</v>
      </c>
      <c r="H1380" s="10" t="n">
        <f aca="false">F1380+G1380</f>
        <v>16378.01984</v>
      </c>
      <c r="I1380" s="10" t="n">
        <f aca="false">0</f>
        <v>0</v>
      </c>
      <c r="J1380" s="10" t="n">
        <f aca="false">MAX(0,E1380-E1379)*Staffing!$O$28</f>
        <v>0</v>
      </c>
      <c r="K1380" s="10" t="n">
        <f aca="false">MAX(0,E1380-E1379)*Staffing!$P$28</f>
        <v>0</v>
      </c>
      <c r="L1380" s="23" t="n">
        <f aca="false">ROUNDUP(E1380,0)</f>
        <v>1</v>
      </c>
    </row>
    <row r="1381" customFormat="false" ht="15" hidden="false" customHeight="false" outlineLevel="0" collapsed="false">
      <c r="A1381" s="6" t="s">
        <v>4</v>
      </c>
      <c r="B1381" s="6" t="s">
        <v>347</v>
      </c>
      <c r="C1381" s="6" t="n">
        <v>56</v>
      </c>
      <c r="D1381" s="25" t="n">
        <f aca="false">EDATE('Start Here'!$B$6,C1381-1)</f>
        <v>48000</v>
      </c>
      <c r="E1381" s="11" t="n">
        <f aca="false">IF(AND(C1381&gt;=Staffing!$F$28,C1381&lt;=Staffing!$G$28,1=1),IF(C1381&lt;=6,Staffing!$H$28,IF(C1381&lt;=15,Staffing!$I$28,IF(C1381&lt;=30,Staffing!$J$28,Staffing!$K$28))),0)</f>
        <v>1</v>
      </c>
      <c r="F1381" s="10" t="n">
        <f aca="false">E1381*Staffing!$L$28/12*(1+Assumptions!$D$10)^INT((C1381-1)/12)*1</f>
        <v>11698.5856</v>
      </c>
      <c r="G1381" s="10" t="n">
        <f aca="false">F1381*Staffing!$N$28</f>
        <v>4679.43424</v>
      </c>
      <c r="H1381" s="10" t="n">
        <f aca="false">F1381+G1381</f>
        <v>16378.01984</v>
      </c>
      <c r="I1381" s="10" t="n">
        <f aca="false">0</f>
        <v>0</v>
      </c>
      <c r="J1381" s="10" t="n">
        <f aca="false">MAX(0,E1381-E1380)*Staffing!$O$28</f>
        <v>0</v>
      </c>
      <c r="K1381" s="10" t="n">
        <f aca="false">MAX(0,E1381-E1380)*Staffing!$P$28</f>
        <v>0</v>
      </c>
      <c r="L1381" s="23" t="n">
        <f aca="false">ROUNDUP(E1381,0)</f>
        <v>1</v>
      </c>
    </row>
    <row r="1382" customFormat="false" ht="15" hidden="false" customHeight="false" outlineLevel="0" collapsed="false">
      <c r="A1382" s="6" t="s">
        <v>4</v>
      </c>
      <c r="B1382" s="6" t="s">
        <v>347</v>
      </c>
      <c r="C1382" s="6" t="n">
        <v>57</v>
      </c>
      <c r="D1382" s="25" t="n">
        <f aca="false">EDATE('Start Here'!$B$6,C1382-1)</f>
        <v>48030</v>
      </c>
      <c r="E1382" s="11" t="n">
        <f aca="false">IF(AND(C1382&gt;=Staffing!$F$28,C1382&lt;=Staffing!$G$28,1=1),IF(C1382&lt;=6,Staffing!$H$28,IF(C1382&lt;=15,Staffing!$I$28,IF(C1382&lt;=30,Staffing!$J$28,Staffing!$K$28))),0)</f>
        <v>1</v>
      </c>
      <c r="F1382" s="10" t="n">
        <f aca="false">E1382*Staffing!$L$28/12*(1+Assumptions!$D$10)^INT((C1382-1)/12)*1</f>
        <v>11698.5856</v>
      </c>
      <c r="G1382" s="10" t="n">
        <f aca="false">F1382*Staffing!$N$28</f>
        <v>4679.43424</v>
      </c>
      <c r="H1382" s="10" t="n">
        <f aca="false">F1382+G1382</f>
        <v>16378.01984</v>
      </c>
      <c r="I1382" s="10" t="n">
        <f aca="false">0</f>
        <v>0</v>
      </c>
      <c r="J1382" s="10" t="n">
        <f aca="false">MAX(0,E1382-E1381)*Staffing!$O$28</f>
        <v>0</v>
      </c>
      <c r="K1382" s="10" t="n">
        <f aca="false">MAX(0,E1382-E1381)*Staffing!$P$28</f>
        <v>0</v>
      </c>
      <c r="L1382" s="23" t="n">
        <f aca="false">ROUNDUP(E1382,0)</f>
        <v>1</v>
      </c>
    </row>
    <row r="1383" customFormat="false" ht="15" hidden="false" customHeight="false" outlineLevel="0" collapsed="false">
      <c r="A1383" s="6" t="s">
        <v>4</v>
      </c>
      <c r="B1383" s="6" t="s">
        <v>347</v>
      </c>
      <c r="C1383" s="6" t="n">
        <v>58</v>
      </c>
      <c r="D1383" s="25" t="n">
        <f aca="false">EDATE('Start Here'!$B$6,C1383-1)</f>
        <v>48061</v>
      </c>
      <c r="E1383" s="11" t="n">
        <f aca="false">IF(AND(C1383&gt;=Staffing!$F$28,C1383&lt;=Staffing!$G$28,1=1),IF(C1383&lt;=6,Staffing!$H$28,IF(C1383&lt;=15,Staffing!$I$28,IF(C1383&lt;=30,Staffing!$J$28,Staffing!$K$28))),0)</f>
        <v>1</v>
      </c>
      <c r="F1383" s="10" t="n">
        <f aca="false">E1383*Staffing!$L$28/12*(1+Assumptions!$D$10)^INT((C1383-1)/12)*1</f>
        <v>11698.5856</v>
      </c>
      <c r="G1383" s="10" t="n">
        <f aca="false">F1383*Staffing!$N$28</f>
        <v>4679.43424</v>
      </c>
      <c r="H1383" s="10" t="n">
        <f aca="false">F1383+G1383</f>
        <v>16378.01984</v>
      </c>
      <c r="I1383" s="10" t="n">
        <f aca="false">0</f>
        <v>0</v>
      </c>
      <c r="J1383" s="10" t="n">
        <f aca="false">MAX(0,E1383-E1382)*Staffing!$O$28</f>
        <v>0</v>
      </c>
      <c r="K1383" s="10" t="n">
        <f aca="false">MAX(0,E1383-E1382)*Staffing!$P$28</f>
        <v>0</v>
      </c>
      <c r="L1383" s="23" t="n">
        <f aca="false">ROUNDUP(E1383,0)</f>
        <v>1</v>
      </c>
    </row>
    <row r="1384" customFormat="false" ht="15" hidden="false" customHeight="false" outlineLevel="0" collapsed="false">
      <c r="A1384" s="6" t="s">
        <v>4</v>
      </c>
      <c r="B1384" s="6" t="s">
        <v>347</v>
      </c>
      <c r="C1384" s="6" t="n">
        <v>59</v>
      </c>
      <c r="D1384" s="25" t="n">
        <f aca="false">EDATE('Start Here'!$B$6,C1384-1)</f>
        <v>48092</v>
      </c>
      <c r="E1384" s="11" t="n">
        <f aca="false">IF(AND(C1384&gt;=Staffing!$F$28,C1384&lt;=Staffing!$G$28,1=1),IF(C1384&lt;=6,Staffing!$H$28,IF(C1384&lt;=15,Staffing!$I$28,IF(C1384&lt;=30,Staffing!$J$28,Staffing!$K$28))),0)</f>
        <v>1</v>
      </c>
      <c r="F1384" s="10" t="n">
        <f aca="false">E1384*Staffing!$L$28/12*(1+Assumptions!$D$10)^INT((C1384-1)/12)*1</f>
        <v>11698.5856</v>
      </c>
      <c r="G1384" s="10" t="n">
        <f aca="false">F1384*Staffing!$N$28</f>
        <v>4679.43424</v>
      </c>
      <c r="H1384" s="10" t="n">
        <f aca="false">F1384+G1384</f>
        <v>16378.01984</v>
      </c>
      <c r="I1384" s="10" t="n">
        <f aca="false">0</f>
        <v>0</v>
      </c>
      <c r="J1384" s="10" t="n">
        <f aca="false">MAX(0,E1384-E1383)*Staffing!$O$28</f>
        <v>0</v>
      </c>
      <c r="K1384" s="10" t="n">
        <f aca="false">MAX(0,E1384-E1383)*Staffing!$P$28</f>
        <v>0</v>
      </c>
      <c r="L1384" s="23" t="n">
        <f aca="false">ROUNDUP(E1384,0)</f>
        <v>1</v>
      </c>
    </row>
    <row r="1385" customFormat="false" ht="15" hidden="false" customHeight="false" outlineLevel="0" collapsed="false">
      <c r="A1385" s="6" t="s">
        <v>4</v>
      </c>
      <c r="B1385" s="6" t="s">
        <v>347</v>
      </c>
      <c r="C1385" s="6" t="n">
        <v>60</v>
      </c>
      <c r="D1385" s="25" t="n">
        <f aca="false">EDATE('Start Here'!$B$6,C1385-1)</f>
        <v>48122</v>
      </c>
      <c r="E1385" s="11" t="n">
        <f aca="false">IF(AND(C1385&gt;=Staffing!$F$28,C1385&lt;=Staffing!$G$28,1=1),IF(C1385&lt;=6,Staffing!$H$28,IF(C1385&lt;=15,Staffing!$I$28,IF(C1385&lt;=30,Staffing!$J$28,Staffing!$K$28))),0)</f>
        <v>1</v>
      </c>
      <c r="F1385" s="10" t="n">
        <f aca="false">E1385*Staffing!$L$28/12*(1+Assumptions!$D$10)^INT((C1385-1)/12)*1</f>
        <v>11698.5856</v>
      </c>
      <c r="G1385" s="10" t="n">
        <f aca="false">F1385*Staffing!$N$28</f>
        <v>4679.43424</v>
      </c>
      <c r="H1385" s="10" t="n">
        <f aca="false">F1385+G1385</f>
        <v>16378.01984</v>
      </c>
      <c r="I1385" s="10" t="n">
        <f aca="false">0</f>
        <v>0</v>
      </c>
      <c r="J1385" s="10" t="n">
        <f aca="false">MAX(0,E1385-E1384)*Staffing!$O$28</f>
        <v>0</v>
      </c>
      <c r="K1385" s="10" t="n">
        <f aca="false">MAX(0,E1385-E1384)*Staffing!$P$28</f>
        <v>0</v>
      </c>
      <c r="L1385" s="23" t="n">
        <f aca="false">ROUNDUP(E1385,0)</f>
        <v>1</v>
      </c>
    </row>
    <row r="1386" customFormat="false" ht="15" hidden="false" customHeight="false" outlineLevel="0" collapsed="false">
      <c r="A1386" s="6" t="s">
        <v>4</v>
      </c>
      <c r="B1386" s="6" t="s">
        <v>349</v>
      </c>
      <c r="C1386" s="6" t="n">
        <v>1</v>
      </c>
      <c r="D1386" s="25" t="n">
        <f aca="false">EDATE('Start Here'!$B$6,C1386-1)</f>
        <v>46327</v>
      </c>
      <c r="E1386" s="23" t="n">
        <f aca="false">IF(AND(C1386&gt;=Assumptions!$D$24,C1386&lt;=Staffing!$G$29,'Start Here'!$B$7=1),IF(C1386&lt;=6,Staffing!$H$29,IF(C1386&lt;=15,Staffing!$I$29,IF(C1386&lt;=30,Staffing!$J$29,Staffing!$K$29))),0)</f>
        <v>0</v>
      </c>
      <c r="F1386" s="10" t="n">
        <f aca="false">E1386*Staffing!$L$29/12*(1+Assumptions!$D$10)^INT((C1386-1)/12)*1</f>
        <v>0</v>
      </c>
      <c r="G1386" s="10" t="n">
        <f aca="false">F1386*Staffing!$N$29</f>
        <v>0</v>
      </c>
      <c r="H1386" s="10" t="n">
        <f aca="false">F1386+G1386</f>
        <v>0</v>
      </c>
      <c r="I1386" s="10" t="n">
        <f aca="false">0</f>
        <v>0</v>
      </c>
      <c r="J1386" s="10" t="n">
        <f aca="false">MAX(0,E1386-0)*Staffing!$O$29</f>
        <v>0</v>
      </c>
      <c r="K1386" s="10" t="n">
        <f aca="false">MAX(0,E1386-0)*Staffing!$P$29</f>
        <v>0</v>
      </c>
      <c r="L1386" s="23" t="n">
        <f aca="false">ROUNDUP(E1386,0)</f>
        <v>0</v>
      </c>
    </row>
    <row r="1387" customFormat="false" ht="15" hidden="false" customHeight="false" outlineLevel="0" collapsed="false">
      <c r="A1387" s="6" t="s">
        <v>4</v>
      </c>
      <c r="B1387" s="6" t="s">
        <v>349</v>
      </c>
      <c r="C1387" s="6" t="n">
        <v>2</v>
      </c>
      <c r="D1387" s="25" t="n">
        <f aca="false">EDATE('Start Here'!$B$6,C1387-1)</f>
        <v>46357</v>
      </c>
      <c r="E1387" s="23" t="n">
        <f aca="false">IF(AND(C1387&gt;=Assumptions!$D$24,C1387&lt;=Staffing!$G$29,'Start Here'!$B$7=1),IF(C1387&lt;=6,Staffing!$H$29,IF(C1387&lt;=15,Staffing!$I$29,IF(C1387&lt;=30,Staffing!$J$29,Staffing!$K$29))),0)</f>
        <v>0</v>
      </c>
      <c r="F1387" s="10" t="n">
        <f aca="false">E1387*Staffing!$L$29/12*(1+Assumptions!$D$10)^INT((C1387-1)/12)*1</f>
        <v>0</v>
      </c>
      <c r="G1387" s="10" t="n">
        <f aca="false">F1387*Staffing!$N$29</f>
        <v>0</v>
      </c>
      <c r="H1387" s="10" t="n">
        <f aca="false">F1387+G1387</f>
        <v>0</v>
      </c>
      <c r="I1387" s="10" t="n">
        <f aca="false">0</f>
        <v>0</v>
      </c>
      <c r="J1387" s="10" t="n">
        <f aca="false">MAX(0,E1387-E1386)*Staffing!$O$29</f>
        <v>0</v>
      </c>
      <c r="K1387" s="10" t="n">
        <f aca="false">MAX(0,E1387-E1386)*Staffing!$P$29</f>
        <v>0</v>
      </c>
      <c r="L1387" s="23" t="n">
        <f aca="false">ROUNDUP(E1387,0)</f>
        <v>0</v>
      </c>
    </row>
    <row r="1388" customFormat="false" ht="15" hidden="false" customHeight="false" outlineLevel="0" collapsed="false">
      <c r="A1388" s="6" t="s">
        <v>4</v>
      </c>
      <c r="B1388" s="6" t="s">
        <v>349</v>
      </c>
      <c r="C1388" s="6" t="n">
        <v>3</v>
      </c>
      <c r="D1388" s="25" t="n">
        <f aca="false">EDATE('Start Here'!$B$6,C1388-1)</f>
        <v>46388</v>
      </c>
      <c r="E1388" s="23" t="n">
        <f aca="false">IF(AND(C1388&gt;=Assumptions!$D$24,C1388&lt;=Staffing!$G$29,'Start Here'!$B$7=1),IF(C1388&lt;=6,Staffing!$H$29,IF(C1388&lt;=15,Staffing!$I$29,IF(C1388&lt;=30,Staffing!$J$29,Staffing!$K$29))),0)</f>
        <v>0</v>
      </c>
      <c r="F1388" s="10" t="n">
        <f aca="false">E1388*Staffing!$L$29/12*(1+Assumptions!$D$10)^INT((C1388-1)/12)*1</f>
        <v>0</v>
      </c>
      <c r="G1388" s="10" t="n">
        <f aca="false">F1388*Staffing!$N$29</f>
        <v>0</v>
      </c>
      <c r="H1388" s="10" t="n">
        <f aca="false">F1388+G1388</f>
        <v>0</v>
      </c>
      <c r="I1388" s="10" t="n">
        <f aca="false">0</f>
        <v>0</v>
      </c>
      <c r="J1388" s="10" t="n">
        <f aca="false">MAX(0,E1388-E1387)*Staffing!$O$29</f>
        <v>0</v>
      </c>
      <c r="K1388" s="10" t="n">
        <f aca="false">MAX(0,E1388-E1387)*Staffing!$P$29</f>
        <v>0</v>
      </c>
      <c r="L1388" s="23" t="n">
        <f aca="false">ROUNDUP(E1388,0)</f>
        <v>0</v>
      </c>
    </row>
    <row r="1389" customFormat="false" ht="15" hidden="false" customHeight="false" outlineLevel="0" collapsed="false">
      <c r="A1389" s="6" t="s">
        <v>4</v>
      </c>
      <c r="B1389" s="6" t="s">
        <v>349</v>
      </c>
      <c r="C1389" s="6" t="n">
        <v>4</v>
      </c>
      <c r="D1389" s="25" t="n">
        <f aca="false">EDATE('Start Here'!$B$6,C1389-1)</f>
        <v>46419</v>
      </c>
      <c r="E1389" s="23" t="n">
        <f aca="false">IF(AND(C1389&gt;=Assumptions!$D$24,C1389&lt;=Staffing!$G$29,'Start Here'!$B$7=1),IF(C1389&lt;=6,Staffing!$H$29,IF(C1389&lt;=15,Staffing!$I$29,IF(C1389&lt;=30,Staffing!$J$29,Staffing!$K$29))),0)</f>
        <v>0</v>
      </c>
      <c r="F1389" s="10" t="n">
        <f aca="false">E1389*Staffing!$L$29/12*(1+Assumptions!$D$10)^INT((C1389-1)/12)*1</f>
        <v>0</v>
      </c>
      <c r="G1389" s="10" t="n">
        <f aca="false">F1389*Staffing!$N$29</f>
        <v>0</v>
      </c>
      <c r="H1389" s="10" t="n">
        <f aca="false">F1389+G1389</f>
        <v>0</v>
      </c>
      <c r="I1389" s="10" t="n">
        <f aca="false">0</f>
        <v>0</v>
      </c>
      <c r="J1389" s="10" t="n">
        <f aca="false">MAX(0,E1389-E1388)*Staffing!$O$29</f>
        <v>0</v>
      </c>
      <c r="K1389" s="10" t="n">
        <f aca="false">MAX(0,E1389-E1388)*Staffing!$P$29</f>
        <v>0</v>
      </c>
      <c r="L1389" s="23" t="n">
        <f aca="false">ROUNDUP(E1389,0)</f>
        <v>0</v>
      </c>
    </row>
    <row r="1390" customFormat="false" ht="15" hidden="false" customHeight="false" outlineLevel="0" collapsed="false">
      <c r="A1390" s="6" t="s">
        <v>4</v>
      </c>
      <c r="B1390" s="6" t="s">
        <v>349</v>
      </c>
      <c r="C1390" s="6" t="n">
        <v>5</v>
      </c>
      <c r="D1390" s="25" t="n">
        <f aca="false">EDATE('Start Here'!$B$6,C1390-1)</f>
        <v>46447</v>
      </c>
      <c r="E1390" s="23" t="n">
        <f aca="false">IF(AND(C1390&gt;=Assumptions!$D$24,C1390&lt;=Staffing!$G$29,'Start Here'!$B$7=1),IF(C1390&lt;=6,Staffing!$H$29,IF(C1390&lt;=15,Staffing!$I$29,IF(C1390&lt;=30,Staffing!$J$29,Staffing!$K$29))),0)</f>
        <v>0</v>
      </c>
      <c r="F1390" s="10" t="n">
        <f aca="false">E1390*Staffing!$L$29/12*(1+Assumptions!$D$10)^INT((C1390-1)/12)*1</f>
        <v>0</v>
      </c>
      <c r="G1390" s="10" t="n">
        <f aca="false">F1390*Staffing!$N$29</f>
        <v>0</v>
      </c>
      <c r="H1390" s="10" t="n">
        <f aca="false">F1390+G1390</f>
        <v>0</v>
      </c>
      <c r="I1390" s="10" t="n">
        <f aca="false">0</f>
        <v>0</v>
      </c>
      <c r="J1390" s="10" t="n">
        <f aca="false">MAX(0,E1390-E1389)*Staffing!$O$29</f>
        <v>0</v>
      </c>
      <c r="K1390" s="10" t="n">
        <f aca="false">MAX(0,E1390-E1389)*Staffing!$P$29</f>
        <v>0</v>
      </c>
      <c r="L1390" s="23" t="n">
        <f aca="false">ROUNDUP(E1390,0)</f>
        <v>0</v>
      </c>
    </row>
    <row r="1391" customFormat="false" ht="15" hidden="false" customHeight="false" outlineLevel="0" collapsed="false">
      <c r="A1391" s="6" t="s">
        <v>4</v>
      </c>
      <c r="B1391" s="6" t="s">
        <v>349</v>
      </c>
      <c r="C1391" s="6" t="n">
        <v>6</v>
      </c>
      <c r="D1391" s="25" t="n">
        <f aca="false">EDATE('Start Here'!$B$6,C1391-1)</f>
        <v>46478</v>
      </c>
      <c r="E1391" s="23" t="n">
        <f aca="false">IF(AND(C1391&gt;=Assumptions!$D$24,C1391&lt;=Staffing!$G$29,'Start Here'!$B$7=1),IF(C1391&lt;=6,Staffing!$H$29,IF(C1391&lt;=15,Staffing!$I$29,IF(C1391&lt;=30,Staffing!$J$29,Staffing!$K$29))),0)</f>
        <v>0</v>
      </c>
      <c r="F1391" s="10" t="n">
        <f aca="false">E1391*Staffing!$L$29/12*(1+Assumptions!$D$10)^INT((C1391-1)/12)*1</f>
        <v>0</v>
      </c>
      <c r="G1391" s="10" t="n">
        <f aca="false">F1391*Staffing!$N$29</f>
        <v>0</v>
      </c>
      <c r="H1391" s="10" t="n">
        <f aca="false">F1391+G1391</f>
        <v>0</v>
      </c>
      <c r="I1391" s="10" t="n">
        <f aca="false">0</f>
        <v>0</v>
      </c>
      <c r="J1391" s="10" t="n">
        <f aca="false">MAX(0,E1391-E1390)*Staffing!$O$29</f>
        <v>0</v>
      </c>
      <c r="K1391" s="10" t="n">
        <f aca="false">MAX(0,E1391-E1390)*Staffing!$P$29</f>
        <v>0</v>
      </c>
      <c r="L1391" s="23" t="n">
        <f aca="false">ROUNDUP(E1391,0)</f>
        <v>0</v>
      </c>
    </row>
    <row r="1392" customFormat="false" ht="15" hidden="false" customHeight="false" outlineLevel="0" collapsed="false">
      <c r="A1392" s="6" t="s">
        <v>4</v>
      </c>
      <c r="B1392" s="6" t="s">
        <v>349</v>
      </c>
      <c r="C1392" s="6" t="n">
        <v>7</v>
      </c>
      <c r="D1392" s="25" t="n">
        <f aca="false">EDATE('Start Here'!$B$6,C1392-1)</f>
        <v>46508</v>
      </c>
      <c r="E1392" s="23" t="n">
        <f aca="false">IF(AND(C1392&gt;=Assumptions!$D$24,C1392&lt;=Staffing!$G$29,'Start Here'!$B$7=1),IF(C1392&lt;=6,Staffing!$H$29,IF(C1392&lt;=15,Staffing!$I$29,IF(C1392&lt;=30,Staffing!$J$29,Staffing!$K$29))),0)</f>
        <v>0</v>
      </c>
      <c r="F1392" s="10" t="n">
        <f aca="false">E1392*Staffing!$L$29/12*(1+Assumptions!$D$10)^INT((C1392-1)/12)*1</f>
        <v>0</v>
      </c>
      <c r="G1392" s="10" t="n">
        <f aca="false">F1392*Staffing!$N$29</f>
        <v>0</v>
      </c>
      <c r="H1392" s="10" t="n">
        <f aca="false">F1392+G1392</f>
        <v>0</v>
      </c>
      <c r="I1392" s="10" t="n">
        <f aca="false">0</f>
        <v>0</v>
      </c>
      <c r="J1392" s="10" t="n">
        <f aca="false">MAX(0,E1392-E1391)*Staffing!$O$29</f>
        <v>0</v>
      </c>
      <c r="K1392" s="10" t="n">
        <f aca="false">MAX(0,E1392-E1391)*Staffing!$P$29</f>
        <v>0</v>
      </c>
      <c r="L1392" s="23" t="n">
        <f aca="false">ROUNDUP(E1392,0)</f>
        <v>0</v>
      </c>
    </row>
    <row r="1393" customFormat="false" ht="15" hidden="false" customHeight="false" outlineLevel="0" collapsed="false">
      <c r="A1393" s="6" t="s">
        <v>4</v>
      </c>
      <c r="B1393" s="6" t="s">
        <v>349</v>
      </c>
      <c r="C1393" s="6" t="n">
        <v>8</v>
      </c>
      <c r="D1393" s="25" t="n">
        <f aca="false">EDATE('Start Here'!$B$6,C1393-1)</f>
        <v>46539</v>
      </c>
      <c r="E1393" s="23" t="n">
        <f aca="false">IF(AND(C1393&gt;=Assumptions!$D$24,C1393&lt;=Staffing!$G$29,'Start Here'!$B$7=1),IF(C1393&lt;=6,Staffing!$H$29,IF(C1393&lt;=15,Staffing!$I$29,IF(C1393&lt;=30,Staffing!$J$29,Staffing!$K$29))),0)</f>
        <v>0</v>
      </c>
      <c r="F1393" s="10" t="n">
        <f aca="false">E1393*Staffing!$L$29/12*(1+Assumptions!$D$10)^INT((C1393-1)/12)*1</f>
        <v>0</v>
      </c>
      <c r="G1393" s="10" t="n">
        <f aca="false">F1393*Staffing!$N$29</f>
        <v>0</v>
      </c>
      <c r="H1393" s="10" t="n">
        <f aca="false">F1393+G1393</f>
        <v>0</v>
      </c>
      <c r="I1393" s="10" t="n">
        <f aca="false">0</f>
        <v>0</v>
      </c>
      <c r="J1393" s="10" t="n">
        <f aca="false">MAX(0,E1393-E1392)*Staffing!$O$29</f>
        <v>0</v>
      </c>
      <c r="K1393" s="10" t="n">
        <f aca="false">MAX(0,E1393-E1392)*Staffing!$P$29</f>
        <v>0</v>
      </c>
      <c r="L1393" s="23" t="n">
        <f aca="false">ROUNDUP(E1393,0)</f>
        <v>0</v>
      </c>
    </row>
    <row r="1394" customFormat="false" ht="15" hidden="false" customHeight="false" outlineLevel="0" collapsed="false">
      <c r="A1394" s="6" t="s">
        <v>4</v>
      </c>
      <c r="B1394" s="6" t="s">
        <v>349</v>
      </c>
      <c r="C1394" s="6" t="n">
        <v>9</v>
      </c>
      <c r="D1394" s="25" t="n">
        <f aca="false">EDATE('Start Here'!$B$6,C1394-1)</f>
        <v>46569</v>
      </c>
      <c r="E1394" s="23" t="n">
        <f aca="false">IF(AND(C1394&gt;=Assumptions!$D$24,C1394&lt;=Staffing!$G$29,'Start Here'!$B$7=1),IF(C1394&lt;=6,Staffing!$H$29,IF(C1394&lt;=15,Staffing!$I$29,IF(C1394&lt;=30,Staffing!$J$29,Staffing!$K$29))),0)</f>
        <v>0</v>
      </c>
      <c r="F1394" s="10" t="n">
        <f aca="false">E1394*Staffing!$L$29/12*(1+Assumptions!$D$10)^INT((C1394-1)/12)*1</f>
        <v>0</v>
      </c>
      <c r="G1394" s="10" t="n">
        <f aca="false">F1394*Staffing!$N$29</f>
        <v>0</v>
      </c>
      <c r="H1394" s="10" t="n">
        <f aca="false">F1394+G1394</f>
        <v>0</v>
      </c>
      <c r="I1394" s="10" t="n">
        <f aca="false">0</f>
        <v>0</v>
      </c>
      <c r="J1394" s="10" t="n">
        <f aca="false">MAX(0,E1394-E1393)*Staffing!$O$29</f>
        <v>0</v>
      </c>
      <c r="K1394" s="10" t="n">
        <f aca="false">MAX(0,E1394-E1393)*Staffing!$P$29</f>
        <v>0</v>
      </c>
      <c r="L1394" s="23" t="n">
        <f aca="false">ROUNDUP(E1394,0)</f>
        <v>0</v>
      </c>
    </row>
    <row r="1395" customFormat="false" ht="15" hidden="false" customHeight="false" outlineLevel="0" collapsed="false">
      <c r="A1395" s="6" t="s">
        <v>4</v>
      </c>
      <c r="B1395" s="6" t="s">
        <v>349</v>
      </c>
      <c r="C1395" s="6" t="n">
        <v>10</v>
      </c>
      <c r="D1395" s="25" t="n">
        <f aca="false">EDATE('Start Here'!$B$6,C1395-1)</f>
        <v>46600</v>
      </c>
      <c r="E1395" s="23" t="n">
        <f aca="false">IF(AND(C1395&gt;=Assumptions!$D$24,C1395&lt;=Staffing!$G$29,'Start Here'!$B$7=1),IF(C1395&lt;=6,Staffing!$H$29,IF(C1395&lt;=15,Staffing!$I$29,IF(C1395&lt;=30,Staffing!$J$29,Staffing!$K$29))),0)</f>
        <v>0</v>
      </c>
      <c r="F1395" s="10" t="n">
        <f aca="false">E1395*Staffing!$L$29/12*(1+Assumptions!$D$10)^INT((C1395-1)/12)*1</f>
        <v>0</v>
      </c>
      <c r="G1395" s="10" t="n">
        <f aca="false">F1395*Staffing!$N$29</f>
        <v>0</v>
      </c>
      <c r="H1395" s="10" t="n">
        <f aca="false">F1395+G1395</f>
        <v>0</v>
      </c>
      <c r="I1395" s="10" t="n">
        <f aca="false">0</f>
        <v>0</v>
      </c>
      <c r="J1395" s="10" t="n">
        <f aca="false">MAX(0,E1395-E1394)*Staffing!$O$29</f>
        <v>0</v>
      </c>
      <c r="K1395" s="10" t="n">
        <f aca="false">MAX(0,E1395-E1394)*Staffing!$P$29</f>
        <v>0</v>
      </c>
      <c r="L1395" s="23" t="n">
        <f aca="false">ROUNDUP(E1395,0)</f>
        <v>0</v>
      </c>
    </row>
    <row r="1396" customFormat="false" ht="15" hidden="false" customHeight="false" outlineLevel="0" collapsed="false">
      <c r="A1396" s="6" t="s">
        <v>4</v>
      </c>
      <c r="B1396" s="6" t="s">
        <v>349</v>
      </c>
      <c r="C1396" s="6" t="n">
        <v>11</v>
      </c>
      <c r="D1396" s="25" t="n">
        <f aca="false">EDATE('Start Here'!$B$6,C1396-1)</f>
        <v>46631</v>
      </c>
      <c r="E1396" s="23" t="n">
        <f aca="false">IF(AND(C1396&gt;=Assumptions!$D$24,C1396&lt;=Staffing!$G$29,'Start Here'!$B$7=1),IF(C1396&lt;=6,Staffing!$H$29,IF(C1396&lt;=15,Staffing!$I$29,IF(C1396&lt;=30,Staffing!$J$29,Staffing!$K$29))),0)</f>
        <v>0</v>
      </c>
      <c r="F1396" s="10" t="n">
        <f aca="false">E1396*Staffing!$L$29/12*(1+Assumptions!$D$10)^INT((C1396-1)/12)*1</f>
        <v>0</v>
      </c>
      <c r="G1396" s="10" t="n">
        <f aca="false">F1396*Staffing!$N$29</f>
        <v>0</v>
      </c>
      <c r="H1396" s="10" t="n">
        <f aca="false">F1396+G1396</f>
        <v>0</v>
      </c>
      <c r="I1396" s="10" t="n">
        <f aca="false">0</f>
        <v>0</v>
      </c>
      <c r="J1396" s="10" t="n">
        <f aca="false">MAX(0,E1396-E1395)*Staffing!$O$29</f>
        <v>0</v>
      </c>
      <c r="K1396" s="10" t="n">
        <f aca="false">MAX(0,E1396-E1395)*Staffing!$P$29</f>
        <v>0</v>
      </c>
      <c r="L1396" s="23" t="n">
        <f aca="false">ROUNDUP(E1396,0)</f>
        <v>0</v>
      </c>
    </row>
    <row r="1397" customFormat="false" ht="15" hidden="false" customHeight="false" outlineLevel="0" collapsed="false">
      <c r="A1397" s="6" t="s">
        <v>4</v>
      </c>
      <c r="B1397" s="6" t="s">
        <v>349</v>
      </c>
      <c r="C1397" s="6" t="n">
        <v>12</v>
      </c>
      <c r="D1397" s="25" t="n">
        <f aca="false">EDATE('Start Here'!$B$6,C1397-1)</f>
        <v>46661</v>
      </c>
      <c r="E1397" s="23" t="n">
        <f aca="false">IF(AND(C1397&gt;=Assumptions!$D$24,C1397&lt;=Staffing!$G$29,'Start Here'!$B$7=1),IF(C1397&lt;=6,Staffing!$H$29,IF(C1397&lt;=15,Staffing!$I$29,IF(C1397&lt;=30,Staffing!$J$29,Staffing!$K$29))),0)</f>
        <v>0</v>
      </c>
      <c r="F1397" s="10" t="n">
        <f aca="false">E1397*Staffing!$L$29/12*(1+Assumptions!$D$10)^INT((C1397-1)/12)*1</f>
        <v>0</v>
      </c>
      <c r="G1397" s="10" t="n">
        <f aca="false">F1397*Staffing!$N$29</f>
        <v>0</v>
      </c>
      <c r="H1397" s="10" t="n">
        <f aca="false">F1397+G1397</f>
        <v>0</v>
      </c>
      <c r="I1397" s="10" t="n">
        <f aca="false">0</f>
        <v>0</v>
      </c>
      <c r="J1397" s="10" t="n">
        <f aca="false">MAX(0,E1397-E1396)*Staffing!$O$29</f>
        <v>0</v>
      </c>
      <c r="K1397" s="10" t="n">
        <f aca="false">MAX(0,E1397-E1396)*Staffing!$P$29</f>
        <v>0</v>
      </c>
      <c r="L1397" s="23" t="n">
        <f aca="false">ROUNDUP(E1397,0)</f>
        <v>0</v>
      </c>
    </row>
    <row r="1398" customFormat="false" ht="15" hidden="false" customHeight="false" outlineLevel="0" collapsed="false">
      <c r="A1398" s="6" t="s">
        <v>4</v>
      </c>
      <c r="B1398" s="6" t="s">
        <v>349</v>
      </c>
      <c r="C1398" s="6" t="n">
        <v>13</v>
      </c>
      <c r="D1398" s="25" t="n">
        <f aca="false">EDATE('Start Here'!$B$6,C1398-1)</f>
        <v>46692</v>
      </c>
      <c r="E1398" s="23" t="n">
        <f aca="false">IF(AND(C1398&gt;=Assumptions!$D$24,C1398&lt;=Staffing!$G$29,'Start Here'!$B$7=1),IF(C1398&lt;=6,Staffing!$H$29,IF(C1398&lt;=15,Staffing!$I$29,IF(C1398&lt;=30,Staffing!$J$29,Staffing!$K$29))),0)</f>
        <v>0</v>
      </c>
      <c r="F1398" s="10" t="n">
        <f aca="false">E1398*Staffing!$L$29/12*(1+Assumptions!$D$10)^INT((C1398-1)/12)*1</f>
        <v>0</v>
      </c>
      <c r="G1398" s="10" t="n">
        <f aca="false">F1398*Staffing!$N$29</f>
        <v>0</v>
      </c>
      <c r="H1398" s="10" t="n">
        <f aca="false">F1398+G1398</f>
        <v>0</v>
      </c>
      <c r="I1398" s="10" t="n">
        <f aca="false">0</f>
        <v>0</v>
      </c>
      <c r="J1398" s="10" t="n">
        <f aca="false">MAX(0,E1398-E1397)*Staffing!$O$29</f>
        <v>0</v>
      </c>
      <c r="K1398" s="10" t="n">
        <f aca="false">MAX(0,E1398-E1397)*Staffing!$P$29</f>
        <v>0</v>
      </c>
      <c r="L1398" s="23" t="n">
        <f aca="false">ROUNDUP(E1398,0)</f>
        <v>0</v>
      </c>
    </row>
    <row r="1399" customFormat="false" ht="15" hidden="false" customHeight="false" outlineLevel="0" collapsed="false">
      <c r="A1399" s="6" t="s">
        <v>4</v>
      </c>
      <c r="B1399" s="6" t="s">
        <v>349</v>
      </c>
      <c r="C1399" s="6" t="n">
        <v>14</v>
      </c>
      <c r="D1399" s="25" t="n">
        <f aca="false">EDATE('Start Here'!$B$6,C1399-1)</f>
        <v>46722</v>
      </c>
      <c r="E1399" s="23" t="n">
        <f aca="false">IF(AND(C1399&gt;=Assumptions!$D$24,C1399&lt;=Staffing!$G$29,'Start Here'!$B$7=1),IF(C1399&lt;=6,Staffing!$H$29,IF(C1399&lt;=15,Staffing!$I$29,IF(C1399&lt;=30,Staffing!$J$29,Staffing!$K$29))),0)</f>
        <v>0</v>
      </c>
      <c r="F1399" s="10" t="n">
        <f aca="false">E1399*Staffing!$L$29/12*(1+Assumptions!$D$10)^INT((C1399-1)/12)*1</f>
        <v>0</v>
      </c>
      <c r="G1399" s="10" t="n">
        <f aca="false">F1399*Staffing!$N$29</f>
        <v>0</v>
      </c>
      <c r="H1399" s="10" t="n">
        <f aca="false">F1399+G1399</f>
        <v>0</v>
      </c>
      <c r="I1399" s="10" t="n">
        <f aca="false">0</f>
        <v>0</v>
      </c>
      <c r="J1399" s="10" t="n">
        <f aca="false">MAX(0,E1399-E1398)*Staffing!$O$29</f>
        <v>0</v>
      </c>
      <c r="K1399" s="10" t="n">
        <f aca="false">MAX(0,E1399-E1398)*Staffing!$P$29</f>
        <v>0</v>
      </c>
      <c r="L1399" s="23" t="n">
        <f aca="false">ROUNDUP(E1399,0)</f>
        <v>0</v>
      </c>
    </row>
    <row r="1400" customFormat="false" ht="15" hidden="false" customHeight="false" outlineLevel="0" collapsed="false">
      <c r="A1400" s="6" t="s">
        <v>4</v>
      </c>
      <c r="B1400" s="6" t="s">
        <v>349</v>
      </c>
      <c r="C1400" s="6" t="n">
        <v>15</v>
      </c>
      <c r="D1400" s="25" t="n">
        <f aca="false">EDATE('Start Here'!$B$6,C1400-1)</f>
        <v>46753</v>
      </c>
      <c r="E1400" s="23" t="n">
        <f aca="false">IF(AND(C1400&gt;=Assumptions!$D$24,C1400&lt;=Staffing!$G$29,'Start Here'!$B$7=1),IF(C1400&lt;=6,Staffing!$H$29,IF(C1400&lt;=15,Staffing!$I$29,IF(C1400&lt;=30,Staffing!$J$29,Staffing!$K$29))),0)</f>
        <v>0</v>
      </c>
      <c r="F1400" s="10" t="n">
        <f aca="false">E1400*Staffing!$L$29/12*(1+Assumptions!$D$10)^INT((C1400-1)/12)*1</f>
        <v>0</v>
      </c>
      <c r="G1400" s="10" t="n">
        <f aca="false">F1400*Staffing!$N$29</f>
        <v>0</v>
      </c>
      <c r="H1400" s="10" t="n">
        <f aca="false">F1400+G1400</f>
        <v>0</v>
      </c>
      <c r="I1400" s="10" t="n">
        <f aca="false">0</f>
        <v>0</v>
      </c>
      <c r="J1400" s="10" t="n">
        <f aca="false">MAX(0,E1400-E1399)*Staffing!$O$29</f>
        <v>0</v>
      </c>
      <c r="K1400" s="10" t="n">
        <f aca="false">MAX(0,E1400-E1399)*Staffing!$P$29</f>
        <v>0</v>
      </c>
      <c r="L1400" s="23" t="n">
        <f aca="false">ROUNDUP(E1400,0)</f>
        <v>0</v>
      </c>
    </row>
    <row r="1401" customFormat="false" ht="15" hidden="false" customHeight="false" outlineLevel="0" collapsed="false">
      <c r="A1401" s="6" t="s">
        <v>4</v>
      </c>
      <c r="B1401" s="6" t="s">
        <v>349</v>
      </c>
      <c r="C1401" s="6" t="n">
        <v>16</v>
      </c>
      <c r="D1401" s="25" t="n">
        <f aca="false">EDATE('Start Here'!$B$6,C1401-1)</f>
        <v>46784</v>
      </c>
      <c r="E1401" s="23" t="n">
        <f aca="false">IF(AND(C1401&gt;=Assumptions!$D$24,C1401&lt;=Staffing!$G$29,'Start Here'!$B$7=1),IF(C1401&lt;=6,Staffing!$H$29,IF(C1401&lt;=15,Staffing!$I$29,IF(C1401&lt;=30,Staffing!$J$29,Staffing!$K$29))),0)</f>
        <v>0</v>
      </c>
      <c r="F1401" s="10" t="n">
        <f aca="false">E1401*Staffing!$L$29/12*(1+Assumptions!$D$10)^INT((C1401-1)/12)*1</f>
        <v>0</v>
      </c>
      <c r="G1401" s="10" t="n">
        <f aca="false">F1401*Staffing!$N$29</f>
        <v>0</v>
      </c>
      <c r="H1401" s="10" t="n">
        <f aca="false">F1401+G1401</f>
        <v>0</v>
      </c>
      <c r="I1401" s="10" t="n">
        <f aca="false">0</f>
        <v>0</v>
      </c>
      <c r="J1401" s="10" t="n">
        <f aca="false">MAX(0,E1401-E1400)*Staffing!$O$29</f>
        <v>0</v>
      </c>
      <c r="K1401" s="10" t="n">
        <f aca="false">MAX(0,E1401-E1400)*Staffing!$P$29</f>
        <v>0</v>
      </c>
      <c r="L1401" s="23" t="n">
        <f aca="false">ROUNDUP(E1401,0)</f>
        <v>0</v>
      </c>
    </row>
    <row r="1402" customFormat="false" ht="15" hidden="false" customHeight="false" outlineLevel="0" collapsed="false">
      <c r="A1402" s="6" t="s">
        <v>4</v>
      </c>
      <c r="B1402" s="6" t="s">
        <v>349</v>
      </c>
      <c r="C1402" s="6" t="n">
        <v>17</v>
      </c>
      <c r="D1402" s="25" t="n">
        <f aca="false">EDATE('Start Here'!$B$6,C1402-1)</f>
        <v>46813</v>
      </c>
      <c r="E1402" s="23" t="n">
        <f aca="false">IF(AND(C1402&gt;=Assumptions!$D$24,C1402&lt;=Staffing!$G$29,'Start Here'!$B$7=1),IF(C1402&lt;=6,Staffing!$H$29,IF(C1402&lt;=15,Staffing!$I$29,IF(C1402&lt;=30,Staffing!$J$29,Staffing!$K$29))),0)</f>
        <v>0</v>
      </c>
      <c r="F1402" s="10" t="n">
        <f aca="false">E1402*Staffing!$L$29/12*(1+Assumptions!$D$10)^INT((C1402-1)/12)*1</f>
        <v>0</v>
      </c>
      <c r="G1402" s="10" t="n">
        <f aca="false">F1402*Staffing!$N$29</f>
        <v>0</v>
      </c>
      <c r="H1402" s="10" t="n">
        <f aca="false">F1402+G1402</f>
        <v>0</v>
      </c>
      <c r="I1402" s="10" t="n">
        <f aca="false">0</f>
        <v>0</v>
      </c>
      <c r="J1402" s="10" t="n">
        <f aca="false">MAX(0,E1402-E1401)*Staffing!$O$29</f>
        <v>0</v>
      </c>
      <c r="K1402" s="10" t="n">
        <f aca="false">MAX(0,E1402-E1401)*Staffing!$P$29</f>
        <v>0</v>
      </c>
      <c r="L1402" s="23" t="n">
        <f aca="false">ROUNDUP(E1402,0)</f>
        <v>0</v>
      </c>
    </row>
    <row r="1403" customFormat="false" ht="15" hidden="false" customHeight="false" outlineLevel="0" collapsed="false">
      <c r="A1403" s="6" t="s">
        <v>4</v>
      </c>
      <c r="B1403" s="6" t="s">
        <v>349</v>
      </c>
      <c r="C1403" s="6" t="n">
        <v>18</v>
      </c>
      <c r="D1403" s="25" t="n">
        <f aca="false">EDATE('Start Here'!$B$6,C1403-1)</f>
        <v>46844</v>
      </c>
      <c r="E1403" s="23" t="n">
        <f aca="false">IF(AND(C1403&gt;=Assumptions!$D$24,C1403&lt;=Staffing!$G$29,'Start Here'!$B$7=1),IF(C1403&lt;=6,Staffing!$H$29,IF(C1403&lt;=15,Staffing!$I$29,IF(C1403&lt;=30,Staffing!$J$29,Staffing!$K$29))),0)</f>
        <v>0</v>
      </c>
      <c r="F1403" s="10" t="n">
        <f aca="false">E1403*Staffing!$L$29/12*(1+Assumptions!$D$10)^INT((C1403-1)/12)*1</f>
        <v>0</v>
      </c>
      <c r="G1403" s="10" t="n">
        <f aca="false">F1403*Staffing!$N$29</f>
        <v>0</v>
      </c>
      <c r="H1403" s="10" t="n">
        <f aca="false">F1403+G1403</f>
        <v>0</v>
      </c>
      <c r="I1403" s="10" t="n">
        <f aca="false">0</f>
        <v>0</v>
      </c>
      <c r="J1403" s="10" t="n">
        <f aca="false">MAX(0,E1403-E1402)*Staffing!$O$29</f>
        <v>0</v>
      </c>
      <c r="K1403" s="10" t="n">
        <f aca="false">MAX(0,E1403-E1402)*Staffing!$P$29</f>
        <v>0</v>
      </c>
      <c r="L1403" s="23" t="n">
        <f aca="false">ROUNDUP(E1403,0)</f>
        <v>0</v>
      </c>
    </row>
    <row r="1404" customFormat="false" ht="15" hidden="false" customHeight="false" outlineLevel="0" collapsed="false">
      <c r="A1404" s="6" t="s">
        <v>4</v>
      </c>
      <c r="B1404" s="6" t="s">
        <v>349</v>
      </c>
      <c r="C1404" s="6" t="n">
        <v>19</v>
      </c>
      <c r="D1404" s="25" t="n">
        <f aca="false">EDATE('Start Here'!$B$6,C1404-1)</f>
        <v>46874</v>
      </c>
      <c r="E1404" s="23" t="n">
        <f aca="false">IF(AND(C1404&gt;=Assumptions!$D$24,C1404&lt;=Staffing!$G$29,'Start Here'!$B$7=1),IF(C1404&lt;=6,Staffing!$H$29,IF(C1404&lt;=15,Staffing!$I$29,IF(C1404&lt;=30,Staffing!$J$29,Staffing!$K$29))),0)</f>
        <v>0</v>
      </c>
      <c r="F1404" s="10" t="n">
        <f aca="false">E1404*Staffing!$L$29/12*(1+Assumptions!$D$10)^INT((C1404-1)/12)*1</f>
        <v>0</v>
      </c>
      <c r="G1404" s="10" t="n">
        <f aca="false">F1404*Staffing!$N$29</f>
        <v>0</v>
      </c>
      <c r="H1404" s="10" t="n">
        <f aca="false">F1404+G1404</f>
        <v>0</v>
      </c>
      <c r="I1404" s="10" t="n">
        <f aca="false">0</f>
        <v>0</v>
      </c>
      <c r="J1404" s="10" t="n">
        <f aca="false">MAX(0,E1404-E1403)*Staffing!$O$29</f>
        <v>0</v>
      </c>
      <c r="K1404" s="10" t="n">
        <f aca="false">MAX(0,E1404-E1403)*Staffing!$P$29</f>
        <v>0</v>
      </c>
      <c r="L1404" s="23" t="n">
        <f aca="false">ROUNDUP(E1404,0)</f>
        <v>0</v>
      </c>
    </row>
    <row r="1405" customFormat="false" ht="15" hidden="false" customHeight="false" outlineLevel="0" collapsed="false">
      <c r="A1405" s="6" t="s">
        <v>4</v>
      </c>
      <c r="B1405" s="6" t="s">
        <v>349</v>
      </c>
      <c r="C1405" s="6" t="n">
        <v>20</v>
      </c>
      <c r="D1405" s="25" t="n">
        <f aca="false">EDATE('Start Here'!$B$6,C1405-1)</f>
        <v>46905</v>
      </c>
      <c r="E1405" s="23" t="n">
        <f aca="false">IF(AND(C1405&gt;=Assumptions!$D$24,C1405&lt;=Staffing!$G$29,'Start Here'!$B$7=1),IF(C1405&lt;=6,Staffing!$H$29,IF(C1405&lt;=15,Staffing!$I$29,IF(C1405&lt;=30,Staffing!$J$29,Staffing!$K$29))),0)</f>
        <v>0</v>
      </c>
      <c r="F1405" s="10" t="n">
        <f aca="false">E1405*Staffing!$L$29/12*(1+Assumptions!$D$10)^INT((C1405-1)/12)*1</f>
        <v>0</v>
      </c>
      <c r="G1405" s="10" t="n">
        <f aca="false">F1405*Staffing!$N$29</f>
        <v>0</v>
      </c>
      <c r="H1405" s="10" t="n">
        <f aca="false">F1405+G1405</f>
        <v>0</v>
      </c>
      <c r="I1405" s="10" t="n">
        <f aca="false">0</f>
        <v>0</v>
      </c>
      <c r="J1405" s="10" t="n">
        <f aca="false">MAX(0,E1405-E1404)*Staffing!$O$29</f>
        <v>0</v>
      </c>
      <c r="K1405" s="10" t="n">
        <f aca="false">MAX(0,E1405-E1404)*Staffing!$P$29</f>
        <v>0</v>
      </c>
      <c r="L1405" s="23" t="n">
        <f aca="false">ROUNDUP(E1405,0)</f>
        <v>0</v>
      </c>
    </row>
    <row r="1406" customFormat="false" ht="15" hidden="false" customHeight="false" outlineLevel="0" collapsed="false">
      <c r="A1406" s="6" t="s">
        <v>4</v>
      </c>
      <c r="B1406" s="6" t="s">
        <v>349</v>
      </c>
      <c r="C1406" s="6" t="n">
        <v>21</v>
      </c>
      <c r="D1406" s="25" t="n">
        <f aca="false">EDATE('Start Here'!$B$6,C1406-1)</f>
        <v>46935</v>
      </c>
      <c r="E1406" s="23" t="n">
        <f aca="false">IF(AND(C1406&gt;=Assumptions!$D$24,C1406&lt;=Staffing!$G$29,'Start Here'!$B$7=1),IF(C1406&lt;=6,Staffing!$H$29,IF(C1406&lt;=15,Staffing!$I$29,IF(C1406&lt;=30,Staffing!$J$29,Staffing!$K$29))),0)</f>
        <v>0</v>
      </c>
      <c r="F1406" s="10" t="n">
        <f aca="false">E1406*Staffing!$L$29/12*(1+Assumptions!$D$10)^INT((C1406-1)/12)*1</f>
        <v>0</v>
      </c>
      <c r="G1406" s="10" t="n">
        <f aca="false">F1406*Staffing!$N$29</f>
        <v>0</v>
      </c>
      <c r="H1406" s="10" t="n">
        <f aca="false">F1406+G1406</f>
        <v>0</v>
      </c>
      <c r="I1406" s="10" t="n">
        <f aca="false">0</f>
        <v>0</v>
      </c>
      <c r="J1406" s="10" t="n">
        <f aca="false">MAX(0,E1406-E1405)*Staffing!$O$29</f>
        <v>0</v>
      </c>
      <c r="K1406" s="10" t="n">
        <f aca="false">MAX(0,E1406-E1405)*Staffing!$P$29</f>
        <v>0</v>
      </c>
      <c r="L1406" s="23" t="n">
        <f aca="false">ROUNDUP(E1406,0)</f>
        <v>0</v>
      </c>
    </row>
    <row r="1407" customFormat="false" ht="15" hidden="false" customHeight="false" outlineLevel="0" collapsed="false">
      <c r="A1407" s="6" t="s">
        <v>4</v>
      </c>
      <c r="B1407" s="6" t="s">
        <v>349</v>
      </c>
      <c r="C1407" s="6" t="n">
        <v>22</v>
      </c>
      <c r="D1407" s="25" t="n">
        <f aca="false">EDATE('Start Here'!$B$6,C1407-1)</f>
        <v>46966</v>
      </c>
      <c r="E1407" s="23" t="n">
        <f aca="false">IF(AND(C1407&gt;=Assumptions!$D$24,C1407&lt;=Staffing!$G$29,'Start Here'!$B$7=1),IF(C1407&lt;=6,Staffing!$H$29,IF(C1407&lt;=15,Staffing!$I$29,IF(C1407&lt;=30,Staffing!$J$29,Staffing!$K$29))),0)</f>
        <v>0</v>
      </c>
      <c r="F1407" s="10" t="n">
        <f aca="false">E1407*Staffing!$L$29/12*(1+Assumptions!$D$10)^INT((C1407-1)/12)*1</f>
        <v>0</v>
      </c>
      <c r="G1407" s="10" t="n">
        <f aca="false">F1407*Staffing!$N$29</f>
        <v>0</v>
      </c>
      <c r="H1407" s="10" t="n">
        <f aca="false">F1407+G1407</f>
        <v>0</v>
      </c>
      <c r="I1407" s="10" t="n">
        <f aca="false">0</f>
        <v>0</v>
      </c>
      <c r="J1407" s="10" t="n">
        <f aca="false">MAX(0,E1407-E1406)*Staffing!$O$29</f>
        <v>0</v>
      </c>
      <c r="K1407" s="10" t="n">
        <f aca="false">MAX(0,E1407-E1406)*Staffing!$P$29</f>
        <v>0</v>
      </c>
      <c r="L1407" s="23" t="n">
        <f aca="false">ROUNDUP(E1407,0)</f>
        <v>0</v>
      </c>
    </row>
    <row r="1408" customFormat="false" ht="15" hidden="false" customHeight="false" outlineLevel="0" collapsed="false">
      <c r="A1408" s="6" t="s">
        <v>4</v>
      </c>
      <c r="B1408" s="6" t="s">
        <v>349</v>
      </c>
      <c r="C1408" s="6" t="n">
        <v>23</v>
      </c>
      <c r="D1408" s="25" t="n">
        <f aca="false">EDATE('Start Here'!$B$6,C1408-1)</f>
        <v>46997</v>
      </c>
      <c r="E1408" s="23" t="n">
        <f aca="false">IF(AND(C1408&gt;=Assumptions!$D$24,C1408&lt;=Staffing!$G$29,'Start Here'!$B$7=1),IF(C1408&lt;=6,Staffing!$H$29,IF(C1408&lt;=15,Staffing!$I$29,IF(C1408&lt;=30,Staffing!$J$29,Staffing!$K$29))),0)</f>
        <v>0</v>
      </c>
      <c r="F1408" s="10" t="n">
        <f aca="false">E1408*Staffing!$L$29/12*(1+Assumptions!$D$10)^INT((C1408-1)/12)*1</f>
        <v>0</v>
      </c>
      <c r="G1408" s="10" t="n">
        <f aca="false">F1408*Staffing!$N$29</f>
        <v>0</v>
      </c>
      <c r="H1408" s="10" t="n">
        <f aca="false">F1408+G1408</f>
        <v>0</v>
      </c>
      <c r="I1408" s="10" t="n">
        <f aca="false">0</f>
        <v>0</v>
      </c>
      <c r="J1408" s="10" t="n">
        <f aca="false">MAX(0,E1408-E1407)*Staffing!$O$29</f>
        <v>0</v>
      </c>
      <c r="K1408" s="10" t="n">
        <f aca="false">MAX(0,E1408-E1407)*Staffing!$P$29</f>
        <v>0</v>
      </c>
      <c r="L1408" s="23" t="n">
        <f aca="false">ROUNDUP(E1408,0)</f>
        <v>0</v>
      </c>
    </row>
    <row r="1409" customFormat="false" ht="15" hidden="false" customHeight="false" outlineLevel="0" collapsed="false">
      <c r="A1409" s="6" t="s">
        <v>4</v>
      </c>
      <c r="B1409" s="6" t="s">
        <v>349</v>
      </c>
      <c r="C1409" s="6" t="n">
        <v>24</v>
      </c>
      <c r="D1409" s="25" t="n">
        <f aca="false">EDATE('Start Here'!$B$6,C1409-1)</f>
        <v>47027</v>
      </c>
      <c r="E1409" s="23" t="n">
        <f aca="false">IF(AND(C1409&gt;=Assumptions!$D$24,C1409&lt;=Staffing!$G$29,'Start Here'!$B$7=1),IF(C1409&lt;=6,Staffing!$H$29,IF(C1409&lt;=15,Staffing!$I$29,IF(C1409&lt;=30,Staffing!$J$29,Staffing!$K$29))),0)</f>
        <v>0</v>
      </c>
      <c r="F1409" s="10" t="n">
        <f aca="false">E1409*Staffing!$L$29/12*(1+Assumptions!$D$10)^INT((C1409-1)/12)*1</f>
        <v>0</v>
      </c>
      <c r="G1409" s="10" t="n">
        <f aca="false">F1409*Staffing!$N$29</f>
        <v>0</v>
      </c>
      <c r="H1409" s="10" t="n">
        <f aca="false">F1409+G1409</f>
        <v>0</v>
      </c>
      <c r="I1409" s="10" t="n">
        <f aca="false">0</f>
        <v>0</v>
      </c>
      <c r="J1409" s="10" t="n">
        <f aca="false">MAX(0,E1409-E1408)*Staffing!$O$29</f>
        <v>0</v>
      </c>
      <c r="K1409" s="10" t="n">
        <f aca="false">MAX(0,E1409-E1408)*Staffing!$P$29</f>
        <v>0</v>
      </c>
      <c r="L1409" s="23" t="n">
        <f aca="false">ROUNDUP(E1409,0)</f>
        <v>0</v>
      </c>
    </row>
    <row r="1410" customFormat="false" ht="15" hidden="false" customHeight="false" outlineLevel="0" collapsed="false">
      <c r="A1410" s="6" t="s">
        <v>4</v>
      </c>
      <c r="B1410" s="6" t="s">
        <v>349</v>
      </c>
      <c r="C1410" s="6" t="n">
        <v>25</v>
      </c>
      <c r="D1410" s="25" t="n">
        <f aca="false">EDATE('Start Here'!$B$6,C1410-1)</f>
        <v>47058</v>
      </c>
      <c r="E1410" s="23" t="n">
        <f aca="false">IF(AND(C1410&gt;=Assumptions!$D$24,C1410&lt;=Staffing!$G$29,'Start Here'!$B$7=1),IF(C1410&lt;=6,Staffing!$H$29,IF(C1410&lt;=15,Staffing!$I$29,IF(C1410&lt;=30,Staffing!$J$29,Staffing!$K$29))),0)</f>
        <v>0</v>
      </c>
      <c r="F1410" s="10" t="n">
        <f aca="false">E1410*Staffing!$L$29/12*(1+Assumptions!$D$10)^INT((C1410-1)/12)*1</f>
        <v>0</v>
      </c>
      <c r="G1410" s="10" t="n">
        <f aca="false">F1410*Staffing!$N$29</f>
        <v>0</v>
      </c>
      <c r="H1410" s="10" t="n">
        <f aca="false">F1410+G1410</f>
        <v>0</v>
      </c>
      <c r="I1410" s="10" t="n">
        <f aca="false">0</f>
        <v>0</v>
      </c>
      <c r="J1410" s="10" t="n">
        <f aca="false">MAX(0,E1410-E1409)*Staffing!$O$29</f>
        <v>0</v>
      </c>
      <c r="K1410" s="10" t="n">
        <f aca="false">MAX(0,E1410-E1409)*Staffing!$P$29</f>
        <v>0</v>
      </c>
      <c r="L1410" s="23" t="n">
        <f aca="false">ROUNDUP(E1410,0)</f>
        <v>0</v>
      </c>
    </row>
    <row r="1411" customFormat="false" ht="15" hidden="false" customHeight="false" outlineLevel="0" collapsed="false">
      <c r="A1411" s="6" t="s">
        <v>4</v>
      </c>
      <c r="B1411" s="6" t="s">
        <v>349</v>
      </c>
      <c r="C1411" s="6" t="n">
        <v>26</v>
      </c>
      <c r="D1411" s="25" t="n">
        <f aca="false">EDATE('Start Here'!$B$6,C1411-1)</f>
        <v>47088</v>
      </c>
      <c r="E1411" s="23" t="n">
        <f aca="false">IF(AND(C1411&gt;=Assumptions!$D$24,C1411&lt;=Staffing!$G$29,'Start Here'!$B$7=1),IF(C1411&lt;=6,Staffing!$H$29,IF(C1411&lt;=15,Staffing!$I$29,IF(C1411&lt;=30,Staffing!$J$29,Staffing!$K$29))),0)</f>
        <v>0</v>
      </c>
      <c r="F1411" s="10" t="n">
        <f aca="false">E1411*Staffing!$L$29/12*(1+Assumptions!$D$10)^INT((C1411-1)/12)*1</f>
        <v>0</v>
      </c>
      <c r="G1411" s="10" t="n">
        <f aca="false">F1411*Staffing!$N$29</f>
        <v>0</v>
      </c>
      <c r="H1411" s="10" t="n">
        <f aca="false">F1411+G1411</f>
        <v>0</v>
      </c>
      <c r="I1411" s="10" t="n">
        <f aca="false">0</f>
        <v>0</v>
      </c>
      <c r="J1411" s="10" t="n">
        <f aca="false">MAX(0,E1411-E1410)*Staffing!$O$29</f>
        <v>0</v>
      </c>
      <c r="K1411" s="10" t="n">
        <f aca="false">MAX(0,E1411-E1410)*Staffing!$P$29</f>
        <v>0</v>
      </c>
      <c r="L1411" s="23" t="n">
        <f aca="false">ROUNDUP(E1411,0)</f>
        <v>0</v>
      </c>
    </row>
    <row r="1412" customFormat="false" ht="15" hidden="false" customHeight="false" outlineLevel="0" collapsed="false">
      <c r="A1412" s="6" t="s">
        <v>4</v>
      </c>
      <c r="B1412" s="6" t="s">
        <v>349</v>
      </c>
      <c r="C1412" s="6" t="n">
        <v>27</v>
      </c>
      <c r="D1412" s="25" t="n">
        <f aca="false">EDATE('Start Here'!$B$6,C1412-1)</f>
        <v>47119</v>
      </c>
      <c r="E1412" s="23" t="n">
        <f aca="false">IF(AND(C1412&gt;=Assumptions!$D$24,C1412&lt;=Staffing!$G$29,'Start Here'!$B$7=1),IF(C1412&lt;=6,Staffing!$H$29,IF(C1412&lt;=15,Staffing!$I$29,IF(C1412&lt;=30,Staffing!$J$29,Staffing!$K$29))),0)</f>
        <v>0</v>
      </c>
      <c r="F1412" s="10" t="n">
        <f aca="false">E1412*Staffing!$L$29/12*(1+Assumptions!$D$10)^INT((C1412-1)/12)*1</f>
        <v>0</v>
      </c>
      <c r="G1412" s="10" t="n">
        <f aca="false">F1412*Staffing!$N$29</f>
        <v>0</v>
      </c>
      <c r="H1412" s="10" t="n">
        <f aca="false">F1412+G1412</f>
        <v>0</v>
      </c>
      <c r="I1412" s="10" t="n">
        <f aca="false">0</f>
        <v>0</v>
      </c>
      <c r="J1412" s="10" t="n">
        <f aca="false">MAX(0,E1412-E1411)*Staffing!$O$29</f>
        <v>0</v>
      </c>
      <c r="K1412" s="10" t="n">
        <f aca="false">MAX(0,E1412-E1411)*Staffing!$P$29</f>
        <v>0</v>
      </c>
      <c r="L1412" s="23" t="n">
        <f aca="false">ROUNDUP(E1412,0)</f>
        <v>0</v>
      </c>
    </row>
    <row r="1413" customFormat="false" ht="15" hidden="false" customHeight="false" outlineLevel="0" collapsed="false">
      <c r="A1413" s="6" t="s">
        <v>4</v>
      </c>
      <c r="B1413" s="6" t="s">
        <v>349</v>
      </c>
      <c r="C1413" s="6" t="n">
        <v>28</v>
      </c>
      <c r="D1413" s="25" t="n">
        <f aca="false">EDATE('Start Here'!$B$6,C1413-1)</f>
        <v>47150</v>
      </c>
      <c r="E1413" s="23" t="n">
        <f aca="false">IF(AND(C1413&gt;=Assumptions!$D$24,C1413&lt;=Staffing!$G$29,'Start Here'!$B$7=1),IF(C1413&lt;=6,Staffing!$H$29,IF(C1413&lt;=15,Staffing!$I$29,IF(C1413&lt;=30,Staffing!$J$29,Staffing!$K$29))),0)</f>
        <v>0</v>
      </c>
      <c r="F1413" s="10" t="n">
        <f aca="false">E1413*Staffing!$L$29/12*(1+Assumptions!$D$10)^INT((C1413-1)/12)*1</f>
        <v>0</v>
      </c>
      <c r="G1413" s="10" t="n">
        <f aca="false">F1413*Staffing!$N$29</f>
        <v>0</v>
      </c>
      <c r="H1413" s="10" t="n">
        <f aca="false">F1413+G1413</f>
        <v>0</v>
      </c>
      <c r="I1413" s="10" t="n">
        <f aca="false">0</f>
        <v>0</v>
      </c>
      <c r="J1413" s="10" t="n">
        <f aca="false">MAX(0,E1413-E1412)*Staffing!$O$29</f>
        <v>0</v>
      </c>
      <c r="K1413" s="10" t="n">
        <f aca="false">MAX(0,E1413-E1412)*Staffing!$P$29</f>
        <v>0</v>
      </c>
      <c r="L1413" s="23" t="n">
        <f aca="false">ROUNDUP(E1413,0)</f>
        <v>0</v>
      </c>
    </row>
    <row r="1414" customFormat="false" ht="15" hidden="false" customHeight="false" outlineLevel="0" collapsed="false">
      <c r="A1414" s="6" t="s">
        <v>4</v>
      </c>
      <c r="B1414" s="6" t="s">
        <v>349</v>
      </c>
      <c r="C1414" s="6" t="n">
        <v>29</v>
      </c>
      <c r="D1414" s="25" t="n">
        <f aca="false">EDATE('Start Here'!$B$6,C1414-1)</f>
        <v>47178</v>
      </c>
      <c r="E1414" s="23" t="n">
        <f aca="false">IF(AND(C1414&gt;=Assumptions!$D$24,C1414&lt;=Staffing!$G$29,'Start Here'!$B$7=1),IF(C1414&lt;=6,Staffing!$H$29,IF(C1414&lt;=15,Staffing!$I$29,IF(C1414&lt;=30,Staffing!$J$29,Staffing!$K$29))),0)</f>
        <v>0</v>
      </c>
      <c r="F1414" s="10" t="n">
        <f aca="false">E1414*Staffing!$L$29/12*(1+Assumptions!$D$10)^INT((C1414-1)/12)*1</f>
        <v>0</v>
      </c>
      <c r="G1414" s="10" t="n">
        <f aca="false">F1414*Staffing!$N$29</f>
        <v>0</v>
      </c>
      <c r="H1414" s="10" t="n">
        <f aca="false">F1414+G1414</f>
        <v>0</v>
      </c>
      <c r="I1414" s="10" t="n">
        <f aca="false">0</f>
        <v>0</v>
      </c>
      <c r="J1414" s="10" t="n">
        <f aca="false">MAX(0,E1414-E1413)*Staffing!$O$29</f>
        <v>0</v>
      </c>
      <c r="K1414" s="10" t="n">
        <f aca="false">MAX(0,E1414-E1413)*Staffing!$P$29</f>
        <v>0</v>
      </c>
      <c r="L1414" s="23" t="n">
        <f aca="false">ROUNDUP(E1414,0)</f>
        <v>0</v>
      </c>
    </row>
    <row r="1415" customFormat="false" ht="15" hidden="false" customHeight="false" outlineLevel="0" collapsed="false">
      <c r="A1415" s="6" t="s">
        <v>4</v>
      </c>
      <c r="B1415" s="6" t="s">
        <v>349</v>
      </c>
      <c r="C1415" s="6" t="n">
        <v>30</v>
      </c>
      <c r="D1415" s="25" t="n">
        <f aca="false">EDATE('Start Here'!$B$6,C1415-1)</f>
        <v>47209</v>
      </c>
      <c r="E1415" s="23" t="n">
        <f aca="false">IF(AND(C1415&gt;=Assumptions!$D$24,C1415&lt;=Staffing!$G$29,'Start Here'!$B$7=1),IF(C1415&lt;=6,Staffing!$H$29,IF(C1415&lt;=15,Staffing!$I$29,IF(C1415&lt;=30,Staffing!$J$29,Staffing!$K$29))),0)</f>
        <v>0</v>
      </c>
      <c r="F1415" s="10" t="n">
        <f aca="false">E1415*Staffing!$L$29/12*(1+Assumptions!$D$10)^INT((C1415-1)/12)*1</f>
        <v>0</v>
      </c>
      <c r="G1415" s="10" t="n">
        <f aca="false">F1415*Staffing!$N$29</f>
        <v>0</v>
      </c>
      <c r="H1415" s="10" t="n">
        <f aca="false">F1415+G1415</f>
        <v>0</v>
      </c>
      <c r="I1415" s="10" t="n">
        <f aca="false">0</f>
        <v>0</v>
      </c>
      <c r="J1415" s="10" t="n">
        <f aca="false">MAX(0,E1415-E1414)*Staffing!$O$29</f>
        <v>0</v>
      </c>
      <c r="K1415" s="10" t="n">
        <f aca="false">MAX(0,E1415-E1414)*Staffing!$P$29</f>
        <v>0</v>
      </c>
      <c r="L1415" s="23" t="n">
        <f aca="false">ROUNDUP(E1415,0)</f>
        <v>0</v>
      </c>
    </row>
    <row r="1416" customFormat="false" ht="15" hidden="false" customHeight="false" outlineLevel="0" collapsed="false">
      <c r="A1416" s="6" t="s">
        <v>4</v>
      </c>
      <c r="B1416" s="6" t="s">
        <v>349</v>
      </c>
      <c r="C1416" s="6" t="n">
        <v>31</v>
      </c>
      <c r="D1416" s="25" t="n">
        <f aca="false">EDATE('Start Here'!$B$6,C1416-1)</f>
        <v>47239</v>
      </c>
      <c r="E1416" s="23" t="n">
        <f aca="false">IF(AND(C1416&gt;=Assumptions!$D$24,C1416&lt;=Staffing!$G$29,'Start Here'!$B$7=1),IF(C1416&lt;=6,Staffing!$H$29,IF(C1416&lt;=15,Staffing!$I$29,IF(C1416&lt;=30,Staffing!$J$29,Staffing!$K$29))),0)</f>
        <v>0</v>
      </c>
      <c r="F1416" s="10" t="n">
        <f aca="false">E1416*Staffing!$L$29/12*(1+Assumptions!$D$10)^INT((C1416-1)/12)*1</f>
        <v>0</v>
      </c>
      <c r="G1416" s="10" t="n">
        <f aca="false">F1416*Staffing!$N$29</f>
        <v>0</v>
      </c>
      <c r="H1416" s="10" t="n">
        <f aca="false">F1416+G1416</f>
        <v>0</v>
      </c>
      <c r="I1416" s="10" t="n">
        <f aca="false">0</f>
        <v>0</v>
      </c>
      <c r="J1416" s="10" t="n">
        <f aca="false">MAX(0,E1416-E1415)*Staffing!$O$29</f>
        <v>0</v>
      </c>
      <c r="K1416" s="10" t="n">
        <f aca="false">MAX(0,E1416-E1415)*Staffing!$P$29</f>
        <v>0</v>
      </c>
      <c r="L1416" s="23" t="n">
        <f aca="false">ROUNDUP(E1416,0)</f>
        <v>0</v>
      </c>
    </row>
    <row r="1417" customFormat="false" ht="15" hidden="false" customHeight="false" outlineLevel="0" collapsed="false">
      <c r="A1417" s="6" t="s">
        <v>4</v>
      </c>
      <c r="B1417" s="6" t="s">
        <v>349</v>
      </c>
      <c r="C1417" s="6" t="n">
        <v>32</v>
      </c>
      <c r="D1417" s="25" t="n">
        <f aca="false">EDATE('Start Here'!$B$6,C1417-1)</f>
        <v>47270</v>
      </c>
      <c r="E1417" s="23" t="n">
        <f aca="false">IF(AND(C1417&gt;=Assumptions!$D$24,C1417&lt;=Staffing!$G$29,'Start Here'!$B$7=1),IF(C1417&lt;=6,Staffing!$H$29,IF(C1417&lt;=15,Staffing!$I$29,IF(C1417&lt;=30,Staffing!$J$29,Staffing!$K$29))),0)</f>
        <v>0</v>
      </c>
      <c r="F1417" s="10" t="n">
        <f aca="false">E1417*Staffing!$L$29/12*(1+Assumptions!$D$10)^INT((C1417-1)/12)*1</f>
        <v>0</v>
      </c>
      <c r="G1417" s="10" t="n">
        <f aca="false">F1417*Staffing!$N$29</f>
        <v>0</v>
      </c>
      <c r="H1417" s="10" t="n">
        <f aca="false">F1417+G1417</f>
        <v>0</v>
      </c>
      <c r="I1417" s="10" t="n">
        <f aca="false">0</f>
        <v>0</v>
      </c>
      <c r="J1417" s="10" t="n">
        <f aca="false">MAX(0,E1417-E1416)*Staffing!$O$29</f>
        <v>0</v>
      </c>
      <c r="K1417" s="10" t="n">
        <f aca="false">MAX(0,E1417-E1416)*Staffing!$P$29</f>
        <v>0</v>
      </c>
      <c r="L1417" s="23" t="n">
        <f aca="false">ROUNDUP(E1417,0)</f>
        <v>0</v>
      </c>
    </row>
    <row r="1418" customFormat="false" ht="15" hidden="false" customHeight="false" outlineLevel="0" collapsed="false">
      <c r="A1418" s="6" t="s">
        <v>4</v>
      </c>
      <c r="B1418" s="6" t="s">
        <v>349</v>
      </c>
      <c r="C1418" s="6" t="n">
        <v>33</v>
      </c>
      <c r="D1418" s="25" t="n">
        <f aca="false">EDATE('Start Here'!$B$6,C1418-1)</f>
        <v>47300</v>
      </c>
      <c r="E1418" s="23" t="n">
        <f aca="false">IF(AND(C1418&gt;=Assumptions!$D$24,C1418&lt;=Staffing!$G$29,'Start Here'!$B$7=1),IF(C1418&lt;=6,Staffing!$H$29,IF(C1418&lt;=15,Staffing!$I$29,IF(C1418&lt;=30,Staffing!$J$29,Staffing!$K$29))),0)</f>
        <v>0</v>
      </c>
      <c r="F1418" s="10" t="n">
        <f aca="false">E1418*Staffing!$L$29/12*(1+Assumptions!$D$10)^INT((C1418-1)/12)*1</f>
        <v>0</v>
      </c>
      <c r="G1418" s="10" t="n">
        <f aca="false">F1418*Staffing!$N$29</f>
        <v>0</v>
      </c>
      <c r="H1418" s="10" t="n">
        <f aca="false">F1418+G1418</f>
        <v>0</v>
      </c>
      <c r="I1418" s="10" t="n">
        <f aca="false">0</f>
        <v>0</v>
      </c>
      <c r="J1418" s="10" t="n">
        <f aca="false">MAX(0,E1418-E1417)*Staffing!$O$29</f>
        <v>0</v>
      </c>
      <c r="K1418" s="10" t="n">
        <f aca="false">MAX(0,E1418-E1417)*Staffing!$P$29</f>
        <v>0</v>
      </c>
      <c r="L1418" s="23" t="n">
        <f aca="false">ROUNDUP(E1418,0)</f>
        <v>0</v>
      </c>
    </row>
    <row r="1419" customFormat="false" ht="15" hidden="false" customHeight="false" outlineLevel="0" collapsed="false">
      <c r="A1419" s="6" t="s">
        <v>4</v>
      </c>
      <c r="B1419" s="6" t="s">
        <v>349</v>
      </c>
      <c r="C1419" s="6" t="n">
        <v>34</v>
      </c>
      <c r="D1419" s="25" t="n">
        <f aca="false">EDATE('Start Here'!$B$6,C1419-1)</f>
        <v>47331</v>
      </c>
      <c r="E1419" s="23" t="n">
        <f aca="false">IF(AND(C1419&gt;=Assumptions!$D$24,C1419&lt;=Staffing!$G$29,'Start Here'!$B$7=1),IF(C1419&lt;=6,Staffing!$H$29,IF(C1419&lt;=15,Staffing!$I$29,IF(C1419&lt;=30,Staffing!$J$29,Staffing!$K$29))),0)</f>
        <v>0</v>
      </c>
      <c r="F1419" s="10" t="n">
        <f aca="false">E1419*Staffing!$L$29/12*(1+Assumptions!$D$10)^INT((C1419-1)/12)*1</f>
        <v>0</v>
      </c>
      <c r="G1419" s="10" t="n">
        <f aca="false">F1419*Staffing!$N$29</f>
        <v>0</v>
      </c>
      <c r="H1419" s="10" t="n">
        <f aca="false">F1419+G1419</f>
        <v>0</v>
      </c>
      <c r="I1419" s="10" t="n">
        <f aca="false">0</f>
        <v>0</v>
      </c>
      <c r="J1419" s="10" t="n">
        <f aca="false">MAX(0,E1419-E1418)*Staffing!$O$29</f>
        <v>0</v>
      </c>
      <c r="K1419" s="10" t="n">
        <f aca="false">MAX(0,E1419-E1418)*Staffing!$P$29</f>
        <v>0</v>
      </c>
      <c r="L1419" s="23" t="n">
        <f aca="false">ROUNDUP(E1419,0)</f>
        <v>0</v>
      </c>
    </row>
    <row r="1420" customFormat="false" ht="15" hidden="false" customHeight="false" outlineLevel="0" collapsed="false">
      <c r="A1420" s="6" t="s">
        <v>4</v>
      </c>
      <c r="B1420" s="6" t="s">
        <v>349</v>
      </c>
      <c r="C1420" s="6" t="n">
        <v>35</v>
      </c>
      <c r="D1420" s="25" t="n">
        <f aca="false">EDATE('Start Here'!$B$6,C1420-1)</f>
        <v>47362</v>
      </c>
      <c r="E1420" s="23" t="n">
        <f aca="false">IF(AND(C1420&gt;=Assumptions!$D$24,C1420&lt;=Staffing!$G$29,'Start Here'!$B$7=1),IF(C1420&lt;=6,Staffing!$H$29,IF(C1420&lt;=15,Staffing!$I$29,IF(C1420&lt;=30,Staffing!$J$29,Staffing!$K$29))),0)</f>
        <v>0</v>
      </c>
      <c r="F1420" s="10" t="n">
        <f aca="false">E1420*Staffing!$L$29/12*(1+Assumptions!$D$10)^INT((C1420-1)/12)*1</f>
        <v>0</v>
      </c>
      <c r="G1420" s="10" t="n">
        <f aca="false">F1420*Staffing!$N$29</f>
        <v>0</v>
      </c>
      <c r="H1420" s="10" t="n">
        <f aca="false">F1420+G1420</f>
        <v>0</v>
      </c>
      <c r="I1420" s="10" t="n">
        <f aca="false">0</f>
        <v>0</v>
      </c>
      <c r="J1420" s="10" t="n">
        <f aca="false">MAX(0,E1420-E1419)*Staffing!$O$29</f>
        <v>0</v>
      </c>
      <c r="K1420" s="10" t="n">
        <f aca="false">MAX(0,E1420-E1419)*Staffing!$P$29</f>
        <v>0</v>
      </c>
      <c r="L1420" s="23" t="n">
        <f aca="false">ROUNDUP(E1420,0)</f>
        <v>0</v>
      </c>
    </row>
    <row r="1421" customFormat="false" ht="15" hidden="false" customHeight="false" outlineLevel="0" collapsed="false">
      <c r="A1421" s="6" t="s">
        <v>4</v>
      </c>
      <c r="B1421" s="6" t="s">
        <v>349</v>
      </c>
      <c r="C1421" s="6" t="n">
        <v>36</v>
      </c>
      <c r="D1421" s="25" t="n">
        <f aca="false">EDATE('Start Here'!$B$6,C1421-1)</f>
        <v>47392</v>
      </c>
      <c r="E1421" s="23" t="n">
        <f aca="false">IF(AND(C1421&gt;=Assumptions!$D$24,C1421&lt;=Staffing!$G$29,'Start Here'!$B$7=1),IF(C1421&lt;=6,Staffing!$H$29,IF(C1421&lt;=15,Staffing!$I$29,IF(C1421&lt;=30,Staffing!$J$29,Staffing!$K$29))),0)</f>
        <v>0</v>
      </c>
      <c r="F1421" s="10" t="n">
        <f aca="false">E1421*Staffing!$L$29/12*(1+Assumptions!$D$10)^INT((C1421-1)/12)*1</f>
        <v>0</v>
      </c>
      <c r="G1421" s="10" t="n">
        <f aca="false">F1421*Staffing!$N$29</f>
        <v>0</v>
      </c>
      <c r="H1421" s="10" t="n">
        <f aca="false">F1421+G1421</f>
        <v>0</v>
      </c>
      <c r="I1421" s="10" t="n">
        <f aca="false">0</f>
        <v>0</v>
      </c>
      <c r="J1421" s="10" t="n">
        <f aca="false">MAX(0,E1421-E1420)*Staffing!$O$29</f>
        <v>0</v>
      </c>
      <c r="K1421" s="10" t="n">
        <f aca="false">MAX(0,E1421-E1420)*Staffing!$P$29</f>
        <v>0</v>
      </c>
      <c r="L1421" s="23" t="n">
        <f aca="false">ROUNDUP(E1421,0)</f>
        <v>0</v>
      </c>
    </row>
    <row r="1422" customFormat="false" ht="15" hidden="false" customHeight="false" outlineLevel="0" collapsed="false">
      <c r="A1422" s="6" t="s">
        <v>4</v>
      </c>
      <c r="B1422" s="6" t="s">
        <v>349</v>
      </c>
      <c r="C1422" s="6" t="n">
        <v>37</v>
      </c>
      <c r="D1422" s="25" t="n">
        <f aca="false">EDATE('Start Here'!$B$6,C1422-1)</f>
        <v>47423</v>
      </c>
      <c r="E1422" s="23" t="n">
        <f aca="false">IF(AND(C1422&gt;=Assumptions!$D$24,C1422&lt;=Staffing!$G$29,'Start Here'!$B$7=1),IF(C1422&lt;=6,Staffing!$H$29,IF(C1422&lt;=15,Staffing!$I$29,IF(C1422&lt;=30,Staffing!$J$29,Staffing!$K$29))),0)</f>
        <v>0</v>
      </c>
      <c r="F1422" s="10" t="n">
        <f aca="false">E1422*Staffing!$L$29/12*(1+Assumptions!$D$10)^INT((C1422-1)/12)*1</f>
        <v>0</v>
      </c>
      <c r="G1422" s="10" t="n">
        <f aca="false">F1422*Staffing!$N$29</f>
        <v>0</v>
      </c>
      <c r="H1422" s="10" t="n">
        <f aca="false">F1422+G1422</f>
        <v>0</v>
      </c>
      <c r="I1422" s="10" t="n">
        <f aca="false">0</f>
        <v>0</v>
      </c>
      <c r="J1422" s="10" t="n">
        <f aca="false">MAX(0,E1422-E1421)*Staffing!$O$29</f>
        <v>0</v>
      </c>
      <c r="K1422" s="10" t="n">
        <f aca="false">MAX(0,E1422-E1421)*Staffing!$P$29</f>
        <v>0</v>
      </c>
      <c r="L1422" s="23" t="n">
        <f aca="false">ROUNDUP(E1422,0)</f>
        <v>0</v>
      </c>
    </row>
    <row r="1423" customFormat="false" ht="15" hidden="false" customHeight="false" outlineLevel="0" collapsed="false">
      <c r="A1423" s="6" t="s">
        <v>4</v>
      </c>
      <c r="B1423" s="6" t="s">
        <v>349</v>
      </c>
      <c r="C1423" s="6" t="n">
        <v>38</v>
      </c>
      <c r="D1423" s="25" t="n">
        <f aca="false">EDATE('Start Here'!$B$6,C1423-1)</f>
        <v>47453</v>
      </c>
      <c r="E1423" s="23" t="n">
        <f aca="false">IF(AND(C1423&gt;=Assumptions!$D$24,C1423&lt;=Staffing!$G$29,'Start Here'!$B$7=1),IF(C1423&lt;=6,Staffing!$H$29,IF(C1423&lt;=15,Staffing!$I$29,IF(C1423&lt;=30,Staffing!$J$29,Staffing!$K$29))),0)</f>
        <v>0</v>
      </c>
      <c r="F1423" s="10" t="n">
        <f aca="false">E1423*Staffing!$L$29/12*(1+Assumptions!$D$10)^INT((C1423-1)/12)*1</f>
        <v>0</v>
      </c>
      <c r="G1423" s="10" t="n">
        <f aca="false">F1423*Staffing!$N$29</f>
        <v>0</v>
      </c>
      <c r="H1423" s="10" t="n">
        <f aca="false">F1423+G1423</f>
        <v>0</v>
      </c>
      <c r="I1423" s="10" t="n">
        <f aca="false">0</f>
        <v>0</v>
      </c>
      <c r="J1423" s="10" t="n">
        <f aca="false">MAX(0,E1423-E1422)*Staffing!$O$29</f>
        <v>0</v>
      </c>
      <c r="K1423" s="10" t="n">
        <f aca="false">MAX(0,E1423-E1422)*Staffing!$P$29</f>
        <v>0</v>
      </c>
      <c r="L1423" s="23" t="n">
        <f aca="false">ROUNDUP(E1423,0)</f>
        <v>0</v>
      </c>
    </row>
    <row r="1424" customFormat="false" ht="15" hidden="false" customHeight="false" outlineLevel="0" collapsed="false">
      <c r="A1424" s="6" t="s">
        <v>4</v>
      </c>
      <c r="B1424" s="6" t="s">
        <v>349</v>
      </c>
      <c r="C1424" s="6" t="n">
        <v>39</v>
      </c>
      <c r="D1424" s="25" t="n">
        <f aca="false">EDATE('Start Here'!$B$6,C1424-1)</f>
        <v>47484</v>
      </c>
      <c r="E1424" s="23" t="n">
        <f aca="false">IF(AND(C1424&gt;=Assumptions!$D$24,C1424&lt;=Staffing!$G$29,'Start Here'!$B$7=1),IF(C1424&lt;=6,Staffing!$H$29,IF(C1424&lt;=15,Staffing!$I$29,IF(C1424&lt;=30,Staffing!$J$29,Staffing!$K$29))),0)</f>
        <v>0</v>
      </c>
      <c r="F1424" s="10" t="n">
        <f aca="false">E1424*Staffing!$L$29/12*(1+Assumptions!$D$10)^INT((C1424-1)/12)*1</f>
        <v>0</v>
      </c>
      <c r="G1424" s="10" t="n">
        <f aca="false">F1424*Staffing!$N$29</f>
        <v>0</v>
      </c>
      <c r="H1424" s="10" t="n">
        <f aca="false">F1424+G1424</f>
        <v>0</v>
      </c>
      <c r="I1424" s="10" t="n">
        <f aca="false">0</f>
        <v>0</v>
      </c>
      <c r="J1424" s="10" t="n">
        <f aca="false">MAX(0,E1424-E1423)*Staffing!$O$29</f>
        <v>0</v>
      </c>
      <c r="K1424" s="10" t="n">
        <f aca="false">MAX(0,E1424-E1423)*Staffing!$P$29</f>
        <v>0</v>
      </c>
      <c r="L1424" s="23" t="n">
        <f aca="false">ROUNDUP(E1424,0)</f>
        <v>0</v>
      </c>
    </row>
    <row r="1425" customFormat="false" ht="15" hidden="false" customHeight="false" outlineLevel="0" collapsed="false">
      <c r="A1425" s="6" t="s">
        <v>4</v>
      </c>
      <c r="B1425" s="6" t="s">
        <v>349</v>
      </c>
      <c r="C1425" s="6" t="n">
        <v>40</v>
      </c>
      <c r="D1425" s="25" t="n">
        <f aca="false">EDATE('Start Here'!$B$6,C1425-1)</f>
        <v>47515</v>
      </c>
      <c r="E1425" s="23" t="n">
        <f aca="false">IF(AND(C1425&gt;=Assumptions!$D$24,C1425&lt;=Staffing!$G$29,'Start Here'!$B$7=1),IF(C1425&lt;=6,Staffing!$H$29,IF(C1425&lt;=15,Staffing!$I$29,IF(C1425&lt;=30,Staffing!$J$29,Staffing!$K$29))),0)</f>
        <v>0</v>
      </c>
      <c r="F1425" s="10" t="n">
        <f aca="false">E1425*Staffing!$L$29/12*(1+Assumptions!$D$10)^INT((C1425-1)/12)*1</f>
        <v>0</v>
      </c>
      <c r="G1425" s="10" t="n">
        <f aca="false">F1425*Staffing!$N$29</f>
        <v>0</v>
      </c>
      <c r="H1425" s="10" t="n">
        <f aca="false">F1425+G1425</f>
        <v>0</v>
      </c>
      <c r="I1425" s="10" t="n">
        <f aca="false">0</f>
        <v>0</v>
      </c>
      <c r="J1425" s="10" t="n">
        <f aca="false">MAX(0,E1425-E1424)*Staffing!$O$29</f>
        <v>0</v>
      </c>
      <c r="K1425" s="10" t="n">
        <f aca="false">MAX(0,E1425-E1424)*Staffing!$P$29</f>
        <v>0</v>
      </c>
      <c r="L1425" s="23" t="n">
        <f aca="false">ROUNDUP(E1425,0)</f>
        <v>0</v>
      </c>
    </row>
    <row r="1426" customFormat="false" ht="15" hidden="false" customHeight="false" outlineLevel="0" collapsed="false">
      <c r="A1426" s="6" t="s">
        <v>4</v>
      </c>
      <c r="B1426" s="6" t="s">
        <v>349</v>
      </c>
      <c r="C1426" s="6" t="n">
        <v>41</v>
      </c>
      <c r="D1426" s="25" t="n">
        <f aca="false">EDATE('Start Here'!$B$6,C1426-1)</f>
        <v>47543</v>
      </c>
      <c r="E1426" s="23" t="n">
        <f aca="false">IF(AND(C1426&gt;=Assumptions!$D$24,C1426&lt;=Staffing!$G$29,'Start Here'!$B$7=1),IF(C1426&lt;=6,Staffing!$H$29,IF(C1426&lt;=15,Staffing!$I$29,IF(C1426&lt;=30,Staffing!$J$29,Staffing!$K$29))),0)</f>
        <v>0</v>
      </c>
      <c r="F1426" s="10" t="n">
        <f aca="false">E1426*Staffing!$L$29/12*(1+Assumptions!$D$10)^INT((C1426-1)/12)*1</f>
        <v>0</v>
      </c>
      <c r="G1426" s="10" t="n">
        <f aca="false">F1426*Staffing!$N$29</f>
        <v>0</v>
      </c>
      <c r="H1426" s="10" t="n">
        <f aca="false">F1426+G1426</f>
        <v>0</v>
      </c>
      <c r="I1426" s="10" t="n">
        <f aca="false">0</f>
        <v>0</v>
      </c>
      <c r="J1426" s="10" t="n">
        <f aca="false">MAX(0,E1426-E1425)*Staffing!$O$29</f>
        <v>0</v>
      </c>
      <c r="K1426" s="10" t="n">
        <f aca="false">MAX(0,E1426-E1425)*Staffing!$P$29</f>
        <v>0</v>
      </c>
      <c r="L1426" s="23" t="n">
        <f aca="false">ROUNDUP(E1426,0)</f>
        <v>0</v>
      </c>
    </row>
    <row r="1427" customFormat="false" ht="15" hidden="false" customHeight="false" outlineLevel="0" collapsed="false">
      <c r="A1427" s="6" t="s">
        <v>4</v>
      </c>
      <c r="B1427" s="6" t="s">
        <v>349</v>
      </c>
      <c r="C1427" s="6" t="n">
        <v>42</v>
      </c>
      <c r="D1427" s="25" t="n">
        <f aca="false">EDATE('Start Here'!$B$6,C1427-1)</f>
        <v>47574</v>
      </c>
      <c r="E1427" s="23" t="n">
        <f aca="false">IF(AND(C1427&gt;=Assumptions!$D$24,C1427&lt;=Staffing!$G$29,'Start Here'!$B$7=1),IF(C1427&lt;=6,Staffing!$H$29,IF(C1427&lt;=15,Staffing!$I$29,IF(C1427&lt;=30,Staffing!$J$29,Staffing!$K$29))),0)</f>
        <v>0</v>
      </c>
      <c r="F1427" s="10" t="n">
        <f aca="false">E1427*Staffing!$L$29/12*(1+Assumptions!$D$10)^INT((C1427-1)/12)*1</f>
        <v>0</v>
      </c>
      <c r="G1427" s="10" t="n">
        <f aca="false">F1427*Staffing!$N$29</f>
        <v>0</v>
      </c>
      <c r="H1427" s="10" t="n">
        <f aca="false">F1427+G1427</f>
        <v>0</v>
      </c>
      <c r="I1427" s="10" t="n">
        <f aca="false">0</f>
        <v>0</v>
      </c>
      <c r="J1427" s="10" t="n">
        <f aca="false">MAX(0,E1427-E1426)*Staffing!$O$29</f>
        <v>0</v>
      </c>
      <c r="K1427" s="10" t="n">
        <f aca="false">MAX(0,E1427-E1426)*Staffing!$P$29</f>
        <v>0</v>
      </c>
      <c r="L1427" s="23" t="n">
        <f aca="false">ROUNDUP(E1427,0)</f>
        <v>0</v>
      </c>
    </row>
    <row r="1428" customFormat="false" ht="15" hidden="false" customHeight="false" outlineLevel="0" collapsed="false">
      <c r="A1428" s="6" t="s">
        <v>4</v>
      </c>
      <c r="B1428" s="6" t="s">
        <v>349</v>
      </c>
      <c r="C1428" s="6" t="n">
        <v>43</v>
      </c>
      <c r="D1428" s="25" t="n">
        <f aca="false">EDATE('Start Here'!$B$6,C1428-1)</f>
        <v>47604</v>
      </c>
      <c r="E1428" s="23" t="n">
        <f aca="false">IF(AND(C1428&gt;=Assumptions!$D$24,C1428&lt;=Staffing!$G$29,'Start Here'!$B$7=1),IF(C1428&lt;=6,Staffing!$H$29,IF(C1428&lt;=15,Staffing!$I$29,IF(C1428&lt;=30,Staffing!$J$29,Staffing!$K$29))),0)</f>
        <v>0</v>
      </c>
      <c r="F1428" s="10" t="n">
        <f aca="false">E1428*Staffing!$L$29/12*(1+Assumptions!$D$10)^INT((C1428-1)/12)*1</f>
        <v>0</v>
      </c>
      <c r="G1428" s="10" t="n">
        <f aca="false">F1428*Staffing!$N$29</f>
        <v>0</v>
      </c>
      <c r="H1428" s="10" t="n">
        <f aca="false">F1428+G1428</f>
        <v>0</v>
      </c>
      <c r="I1428" s="10" t="n">
        <f aca="false">0</f>
        <v>0</v>
      </c>
      <c r="J1428" s="10" t="n">
        <f aca="false">MAX(0,E1428-E1427)*Staffing!$O$29</f>
        <v>0</v>
      </c>
      <c r="K1428" s="10" t="n">
        <f aca="false">MAX(0,E1428-E1427)*Staffing!$P$29</f>
        <v>0</v>
      </c>
      <c r="L1428" s="23" t="n">
        <f aca="false">ROUNDUP(E1428,0)</f>
        <v>0</v>
      </c>
    </row>
    <row r="1429" customFormat="false" ht="15" hidden="false" customHeight="false" outlineLevel="0" collapsed="false">
      <c r="A1429" s="6" t="s">
        <v>4</v>
      </c>
      <c r="B1429" s="6" t="s">
        <v>349</v>
      </c>
      <c r="C1429" s="6" t="n">
        <v>44</v>
      </c>
      <c r="D1429" s="25" t="n">
        <f aca="false">EDATE('Start Here'!$B$6,C1429-1)</f>
        <v>47635</v>
      </c>
      <c r="E1429" s="23" t="n">
        <f aca="false">IF(AND(C1429&gt;=Assumptions!$D$24,C1429&lt;=Staffing!$G$29,'Start Here'!$B$7=1),IF(C1429&lt;=6,Staffing!$H$29,IF(C1429&lt;=15,Staffing!$I$29,IF(C1429&lt;=30,Staffing!$J$29,Staffing!$K$29))),0)</f>
        <v>0</v>
      </c>
      <c r="F1429" s="10" t="n">
        <f aca="false">E1429*Staffing!$L$29/12*(1+Assumptions!$D$10)^INT((C1429-1)/12)*1</f>
        <v>0</v>
      </c>
      <c r="G1429" s="10" t="n">
        <f aca="false">F1429*Staffing!$N$29</f>
        <v>0</v>
      </c>
      <c r="H1429" s="10" t="n">
        <f aca="false">F1429+G1429</f>
        <v>0</v>
      </c>
      <c r="I1429" s="10" t="n">
        <f aca="false">0</f>
        <v>0</v>
      </c>
      <c r="J1429" s="10" t="n">
        <f aca="false">MAX(0,E1429-E1428)*Staffing!$O$29</f>
        <v>0</v>
      </c>
      <c r="K1429" s="10" t="n">
        <f aca="false">MAX(0,E1429-E1428)*Staffing!$P$29</f>
        <v>0</v>
      </c>
      <c r="L1429" s="23" t="n">
        <f aca="false">ROUNDUP(E1429,0)</f>
        <v>0</v>
      </c>
    </row>
    <row r="1430" customFormat="false" ht="15" hidden="false" customHeight="false" outlineLevel="0" collapsed="false">
      <c r="A1430" s="6" t="s">
        <v>4</v>
      </c>
      <c r="B1430" s="6" t="s">
        <v>349</v>
      </c>
      <c r="C1430" s="6" t="n">
        <v>45</v>
      </c>
      <c r="D1430" s="25" t="n">
        <f aca="false">EDATE('Start Here'!$B$6,C1430-1)</f>
        <v>47665</v>
      </c>
      <c r="E1430" s="23" t="n">
        <f aca="false">IF(AND(C1430&gt;=Assumptions!$D$24,C1430&lt;=Staffing!$G$29,'Start Here'!$B$7=1),IF(C1430&lt;=6,Staffing!$H$29,IF(C1430&lt;=15,Staffing!$I$29,IF(C1430&lt;=30,Staffing!$J$29,Staffing!$K$29))),0)</f>
        <v>0</v>
      </c>
      <c r="F1430" s="10" t="n">
        <f aca="false">E1430*Staffing!$L$29/12*(1+Assumptions!$D$10)^INT((C1430-1)/12)*1</f>
        <v>0</v>
      </c>
      <c r="G1430" s="10" t="n">
        <f aca="false">F1430*Staffing!$N$29</f>
        <v>0</v>
      </c>
      <c r="H1430" s="10" t="n">
        <f aca="false">F1430+G1430</f>
        <v>0</v>
      </c>
      <c r="I1430" s="10" t="n">
        <f aca="false">0</f>
        <v>0</v>
      </c>
      <c r="J1430" s="10" t="n">
        <f aca="false">MAX(0,E1430-E1429)*Staffing!$O$29</f>
        <v>0</v>
      </c>
      <c r="K1430" s="10" t="n">
        <f aca="false">MAX(0,E1430-E1429)*Staffing!$P$29</f>
        <v>0</v>
      </c>
      <c r="L1430" s="23" t="n">
        <f aca="false">ROUNDUP(E1430,0)</f>
        <v>0</v>
      </c>
    </row>
    <row r="1431" customFormat="false" ht="15" hidden="false" customHeight="false" outlineLevel="0" collapsed="false">
      <c r="A1431" s="6" t="s">
        <v>4</v>
      </c>
      <c r="B1431" s="6" t="s">
        <v>349</v>
      </c>
      <c r="C1431" s="6" t="n">
        <v>46</v>
      </c>
      <c r="D1431" s="25" t="n">
        <f aca="false">EDATE('Start Here'!$B$6,C1431-1)</f>
        <v>47696</v>
      </c>
      <c r="E1431" s="23" t="n">
        <f aca="false">IF(AND(C1431&gt;=Assumptions!$D$24,C1431&lt;=Staffing!$G$29,'Start Here'!$B$7=1),IF(C1431&lt;=6,Staffing!$H$29,IF(C1431&lt;=15,Staffing!$I$29,IF(C1431&lt;=30,Staffing!$J$29,Staffing!$K$29))),0)</f>
        <v>0</v>
      </c>
      <c r="F1431" s="10" t="n">
        <f aca="false">E1431*Staffing!$L$29/12*(1+Assumptions!$D$10)^INT((C1431-1)/12)*1</f>
        <v>0</v>
      </c>
      <c r="G1431" s="10" t="n">
        <f aca="false">F1431*Staffing!$N$29</f>
        <v>0</v>
      </c>
      <c r="H1431" s="10" t="n">
        <f aca="false">F1431+G1431</f>
        <v>0</v>
      </c>
      <c r="I1431" s="10" t="n">
        <f aca="false">0</f>
        <v>0</v>
      </c>
      <c r="J1431" s="10" t="n">
        <f aca="false">MAX(0,E1431-E1430)*Staffing!$O$29</f>
        <v>0</v>
      </c>
      <c r="K1431" s="10" t="n">
        <f aca="false">MAX(0,E1431-E1430)*Staffing!$P$29</f>
        <v>0</v>
      </c>
      <c r="L1431" s="23" t="n">
        <f aca="false">ROUNDUP(E1431,0)</f>
        <v>0</v>
      </c>
    </row>
    <row r="1432" customFormat="false" ht="15" hidden="false" customHeight="false" outlineLevel="0" collapsed="false">
      <c r="A1432" s="6" t="s">
        <v>4</v>
      </c>
      <c r="B1432" s="6" t="s">
        <v>349</v>
      </c>
      <c r="C1432" s="6" t="n">
        <v>47</v>
      </c>
      <c r="D1432" s="25" t="n">
        <f aca="false">EDATE('Start Here'!$B$6,C1432-1)</f>
        <v>47727</v>
      </c>
      <c r="E1432" s="23" t="n">
        <f aca="false">IF(AND(C1432&gt;=Assumptions!$D$24,C1432&lt;=Staffing!$G$29,'Start Here'!$B$7=1),IF(C1432&lt;=6,Staffing!$H$29,IF(C1432&lt;=15,Staffing!$I$29,IF(C1432&lt;=30,Staffing!$J$29,Staffing!$K$29))),0)</f>
        <v>0</v>
      </c>
      <c r="F1432" s="10" t="n">
        <f aca="false">E1432*Staffing!$L$29/12*(1+Assumptions!$D$10)^INT((C1432-1)/12)*1</f>
        <v>0</v>
      </c>
      <c r="G1432" s="10" t="n">
        <f aca="false">F1432*Staffing!$N$29</f>
        <v>0</v>
      </c>
      <c r="H1432" s="10" t="n">
        <f aca="false">F1432+G1432</f>
        <v>0</v>
      </c>
      <c r="I1432" s="10" t="n">
        <f aca="false">0</f>
        <v>0</v>
      </c>
      <c r="J1432" s="10" t="n">
        <f aca="false">MAX(0,E1432-E1431)*Staffing!$O$29</f>
        <v>0</v>
      </c>
      <c r="K1432" s="10" t="n">
        <f aca="false">MAX(0,E1432-E1431)*Staffing!$P$29</f>
        <v>0</v>
      </c>
      <c r="L1432" s="23" t="n">
        <f aca="false">ROUNDUP(E1432,0)</f>
        <v>0</v>
      </c>
    </row>
    <row r="1433" customFormat="false" ht="15" hidden="false" customHeight="false" outlineLevel="0" collapsed="false">
      <c r="A1433" s="6" t="s">
        <v>4</v>
      </c>
      <c r="B1433" s="6" t="s">
        <v>349</v>
      </c>
      <c r="C1433" s="6" t="n">
        <v>48</v>
      </c>
      <c r="D1433" s="25" t="n">
        <f aca="false">EDATE('Start Here'!$B$6,C1433-1)</f>
        <v>47757</v>
      </c>
      <c r="E1433" s="23" t="n">
        <f aca="false">IF(AND(C1433&gt;=Assumptions!$D$24,C1433&lt;=Staffing!$G$29,'Start Here'!$B$7=1),IF(C1433&lt;=6,Staffing!$H$29,IF(C1433&lt;=15,Staffing!$I$29,IF(C1433&lt;=30,Staffing!$J$29,Staffing!$K$29))),0)</f>
        <v>0</v>
      </c>
      <c r="F1433" s="10" t="n">
        <f aca="false">E1433*Staffing!$L$29/12*(1+Assumptions!$D$10)^INT((C1433-1)/12)*1</f>
        <v>0</v>
      </c>
      <c r="G1433" s="10" t="n">
        <f aca="false">F1433*Staffing!$N$29</f>
        <v>0</v>
      </c>
      <c r="H1433" s="10" t="n">
        <f aca="false">F1433+G1433</f>
        <v>0</v>
      </c>
      <c r="I1433" s="10" t="n">
        <f aca="false">0</f>
        <v>0</v>
      </c>
      <c r="J1433" s="10" t="n">
        <f aca="false">MAX(0,E1433-E1432)*Staffing!$O$29</f>
        <v>0</v>
      </c>
      <c r="K1433" s="10" t="n">
        <f aca="false">MAX(0,E1433-E1432)*Staffing!$P$29</f>
        <v>0</v>
      </c>
      <c r="L1433" s="23" t="n">
        <f aca="false">ROUNDUP(E1433,0)</f>
        <v>0</v>
      </c>
    </row>
    <row r="1434" customFormat="false" ht="15" hidden="false" customHeight="false" outlineLevel="0" collapsed="false">
      <c r="A1434" s="6" t="s">
        <v>4</v>
      </c>
      <c r="B1434" s="6" t="s">
        <v>349</v>
      </c>
      <c r="C1434" s="6" t="n">
        <v>49</v>
      </c>
      <c r="D1434" s="25" t="n">
        <f aca="false">EDATE('Start Here'!$B$6,C1434-1)</f>
        <v>47788</v>
      </c>
      <c r="E1434" s="23" t="n">
        <f aca="false">IF(AND(C1434&gt;=Assumptions!$D$24,C1434&lt;=Staffing!$G$29,'Start Here'!$B$7=1),IF(C1434&lt;=6,Staffing!$H$29,IF(C1434&lt;=15,Staffing!$I$29,IF(C1434&lt;=30,Staffing!$J$29,Staffing!$K$29))),0)</f>
        <v>0</v>
      </c>
      <c r="F1434" s="10" t="n">
        <f aca="false">E1434*Staffing!$L$29/12*(1+Assumptions!$D$10)^INT((C1434-1)/12)*1</f>
        <v>0</v>
      </c>
      <c r="G1434" s="10" t="n">
        <f aca="false">F1434*Staffing!$N$29</f>
        <v>0</v>
      </c>
      <c r="H1434" s="10" t="n">
        <f aca="false">F1434+G1434</f>
        <v>0</v>
      </c>
      <c r="I1434" s="10" t="n">
        <f aca="false">0</f>
        <v>0</v>
      </c>
      <c r="J1434" s="10" t="n">
        <f aca="false">MAX(0,E1434-E1433)*Staffing!$O$29</f>
        <v>0</v>
      </c>
      <c r="K1434" s="10" t="n">
        <f aca="false">MAX(0,E1434-E1433)*Staffing!$P$29</f>
        <v>0</v>
      </c>
      <c r="L1434" s="23" t="n">
        <f aca="false">ROUNDUP(E1434,0)</f>
        <v>0</v>
      </c>
    </row>
    <row r="1435" customFormat="false" ht="15" hidden="false" customHeight="false" outlineLevel="0" collapsed="false">
      <c r="A1435" s="6" t="s">
        <v>4</v>
      </c>
      <c r="B1435" s="6" t="s">
        <v>349</v>
      </c>
      <c r="C1435" s="6" t="n">
        <v>50</v>
      </c>
      <c r="D1435" s="25" t="n">
        <f aca="false">EDATE('Start Here'!$B$6,C1435-1)</f>
        <v>47818</v>
      </c>
      <c r="E1435" s="23" t="n">
        <f aca="false">IF(AND(C1435&gt;=Assumptions!$D$24,C1435&lt;=Staffing!$G$29,'Start Here'!$B$7=1),IF(C1435&lt;=6,Staffing!$H$29,IF(C1435&lt;=15,Staffing!$I$29,IF(C1435&lt;=30,Staffing!$J$29,Staffing!$K$29))),0)</f>
        <v>0</v>
      </c>
      <c r="F1435" s="10" t="n">
        <f aca="false">E1435*Staffing!$L$29/12*(1+Assumptions!$D$10)^INT((C1435-1)/12)*1</f>
        <v>0</v>
      </c>
      <c r="G1435" s="10" t="n">
        <f aca="false">F1435*Staffing!$N$29</f>
        <v>0</v>
      </c>
      <c r="H1435" s="10" t="n">
        <f aca="false">F1435+G1435</f>
        <v>0</v>
      </c>
      <c r="I1435" s="10" t="n">
        <f aca="false">0</f>
        <v>0</v>
      </c>
      <c r="J1435" s="10" t="n">
        <f aca="false">MAX(0,E1435-E1434)*Staffing!$O$29</f>
        <v>0</v>
      </c>
      <c r="K1435" s="10" t="n">
        <f aca="false">MAX(0,E1435-E1434)*Staffing!$P$29</f>
        <v>0</v>
      </c>
      <c r="L1435" s="23" t="n">
        <f aca="false">ROUNDUP(E1435,0)</f>
        <v>0</v>
      </c>
    </row>
    <row r="1436" customFormat="false" ht="15" hidden="false" customHeight="false" outlineLevel="0" collapsed="false">
      <c r="A1436" s="6" t="s">
        <v>4</v>
      </c>
      <c r="B1436" s="6" t="s">
        <v>349</v>
      </c>
      <c r="C1436" s="6" t="n">
        <v>51</v>
      </c>
      <c r="D1436" s="25" t="n">
        <f aca="false">EDATE('Start Here'!$B$6,C1436-1)</f>
        <v>47849</v>
      </c>
      <c r="E1436" s="23" t="n">
        <f aca="false">IF(AND(C1436&gt;=Assumptions!$D$24,C1436&lt;=Staffing!$G$29,'Start Here'!$B$7=1),IF(C1436&lt;=6,Staffing!$H$29,IF(C1436&lt;=15,Staffing!$I$29,IF(C1436&lt;=30,Staffing!$J$29,Staffing!$K$29))),0)</f>
        <v>0</v>
      </c>
      <c r="F1436" s="10" t="n">
        <f aca="false">E1436*Staffing!$L$29/12*(1+Assumptions!$D$10)^INT((C1436-1)/12)*1</f>
        <v>0</v>
      </c>
      <c r="G1436" s="10" t="n">
        <f aca="false">F1436*Staffing!$N$29</f>
        <v>0</v>
      </c>
      <c r="H1436" s="10" t="n">
        <f aca="false">F1436+G1436</f>
        <v>0</v>
      </c>
      <c r="I1436" s="10" t="n">
        <f aca="false">0</f>
        <v>0</v>
      </c>
      <c r="J1436" s="10" t="n">
        <f aca="false">MAX(0,E1436-E1435)*Staffing!$O$29</f>
        <v>0</v>
      </c>
      <c r="K1436" s="10" t="n">
        <f aca="false">MAX(0,E1436-E1435)*Staffing!$P$29</f>
        <v>0</v>
      </c>
      <c r="L1436" s="23" t="n">
        <f aca="false">ROUNDUP(E1436,0)</f>
        <v>0</v>
      </c>
    </row>
    <row r="1437" customFormat="false" ht="15" hidden="false" customHeight="false" outlineLevel="0" collapsed="false">
      <c r="A1437" s="6" t="s">
        <v>4</v>
      </c>
      <c r="B1437" s="6" t="s">
        <v>349</v>
      </c>
      <c r="C1437" s="6" t="n">
        <v>52</v>
      </c>
      <c r="D1437" s="25" t="n">
        <f aca="false">EDATE('Start Here'!$B$6,C1437-1)</f>
        <v>47880</v>
      </c>
      <c r="E1437" s="23" t="n">
        <f aca="false">IF(AND(C1437&gt;=Assumptions!$D$24,C1437&lt;=Staffing!$G$29,'Start Here'!$B$7=1),IF(C1437&lt;=6,Staffing!$H$29,IF(C1437&lt;=15,Staffing!$I$29,IF(C1437&lt;=30,Staffing!$J$29,Staffing!$K$29))),0)</f>
        <v>0</v>
      </c>
      <c r="F1437" s="10" t="n">
        <f aca="false">E1437*Staffing!$L$29/12*(1+Assumptions!$D$10)^INT((C1437-1)/12)*1</f>
        <v>0</v>
      </c>
      <c r="G1437" s="10" t="n">
        <f aca="false">F1437*Staffing!$N$29</f>
        <v>0</v>
      </c>
      <c r="H1437" s="10" t="n">
        <f aca="false">F1437+G1437</f>
        <v>0</v>
      </c>
      <c r="I1437" s="10" t="n">
        <f aca="false">0</f>
        <v>0</v>
      </c>
      <c r="J1437" s="10" t="n">
        <f aca="false">MAX(0,E1437-E1436)*Staffing!$O$29</f>
        <v>0</v>
      </c>
      <c r="K1437" s="10" t="n">
        <f aca="false">MAX(0,E1437-E1436)*Staffing!$P$29</f>
        <v>0</v>
      </c>
      <c r="L1437" s="23" t="n">
        <f aca="false">ROUNDUP(E1437,0)</f>
        <v>0</v>
      </c>
    </row>
    <row r="1438" customFormat="false" ht="15" hidden="false" customHeight="false" outlineLevel="0" collapsed="false">
      <c r="A1438" s="6" t="s">
        <v>4</v>
      </c>
      <c r="B1438" s="6" t="s">
        <v>349</v>
      </c>
      <c r="C1438" s="6" t="n">
        <v>53</v>
      </c>
      <c r="D1438" s="25" t="n">
        <f aca="false">EDATE('Start Here'!$B$6,C1438-1)</f>
        <v>47908</v>
      </c>
      <c r="E1438" s="23" t="n">
        <f aca="false">IF(AND(C1438&gt;=Assumptions!$D$24,C1438&lt;=Staffing!$G$29,'Start Here'!$B$7=1),IF(C1438&lt;=6,Staffing!$H$29,IF(C1438&lt;=15,Staffing!$I$29,IF(C1438&lt;=30,Staffing!$J$29,Staffing!$K$29))),0)</f>
        <v>0</v>
      </c>
      <c r="F1438" s="10" t="n">
        <f aca="false">E1438*Staffing!$L$29/12*(1+Assumptions!$D$10)^INT((C1438-1)/12)*1</f>
        <v>0</v>
      </c>
      <c r="G1438" s="10" t="n">
        <f aca="false">F1438*Staffing!$N$29</f>
        <v>0</v>
      </c>
      <c r="H1438" s="10" t="n">
        <f aca="false">F1438+G1438</f>
        <v>0</v>
      </c>
      <c r="I1438" s="10" t="n">
        <f aca="false">0</f>
        <v>0</v>
      </c>
      <c r="J1438" s="10" t="n">
        <f aca="false">MAX(0,E1438-E1437)*Staffing!$O$29</f>
        <v>0</v>
      </c>
      <c r="K1438" s="10" t="n">
        <f aca="false">MAX(0,E1438-E1437)*Staffing!$P$29</f>
        <v>0</v>
      </c>
      <c r="L1438" s="23" t="n">
        <f aca="false">ROUNDUP(E1438,0)</f>
        <v>0</v>
      </c>
    </row>
    <row r="1439" customFormat="false" ht="15" hidden="false" customHeight="false" outlineLevel="0" collapsed="false">
      <c r="A1439" s="6" t="s">
        <v>4</v>
      </c>
      <c r="B1439" s="6" t="s">
        <v>349</v>
      </c>
      <c r="C1439" s="6" t="n">
        <v>54</v>
      </c>
      <c r="D1439" s="25" t="n">
        <f aca="false">EDATE('Start Here'!$B$6,C1439-1)</f>
        <v>47939</v>
      </c>
      <c r="E1439" s="23" t="n">
        <f aca="false">IF(AND(C1439&gt;=Assumptions!$D$24,C1439&lt;=Staffing!$G$29,'Start Here'!$B$7=1),IF(C1439&lt;=6,Staffing!$H$29,IF(C1439&lt;=15,Staffing!$I$29,IF(C1439&lt;=30,Staffing!$J$29,Staffing!$K$29))),0)</f>
        <v>0</v>
      </c>
      <c r="F1439" s="10" t="n">
        <f aca="false">E1439*Staffing!$L$29/12*(1+Assumptions!$D$10)^INT((C1439-1)/12)*1</f>
        <v>0</v>
      </c>
      <c r="G1439" s="10" t="n">
        <f aca="false">F1439*Staffing!$N$29</f>
        <v>0</v>
      </c>
      <c r="H1439" s="10" t="n">
        <f aca="false">F1439+G1439</f>
        <v>0</v>
      </c>
      <c r="I1439" s="10" t="n">
        <f aca="false">0</f>
        <v>0</v>
      </c>
      <c r="J1439" s="10" t="n">
        <f aca="false">MAX(0,E1439-E1438)*Staffing!$O$29</f>
        <v>0</v>
      </c>
      <c r="K1439" s="10" t="n">
        <f aca="false">MAX(0,E1439-E1438)*Staffing!$P$29</f>
        <v>0</v>
      </c>
      <c r="L1439" s="23" t="n">
        <f aca="false">ROUNDUP(E1439,0)</f>
        <v>0</v>
      </c>
    </row>
    <row r="1440" customFormat="false" ht="15" hidden="false" customHeight="false" outlineLevel="0" collapsed="false">
      <c r="A1440" s="6" t="s">
        <v>4</v>
      </c>
      <c r="B1440" s="6" t="s">
        <v>349</v>
      </c>
      <c r="C1440" s="6" t="n">
        <v>55</v>
      </c>
      <c r="D1440" s="25" t="n">
        <f aca="false">EDATE('Start Here'!$B$6,C1440-1)</f>
        <v>47969</v>
      </c>
      <c r="E1440" s="23" t="n">
        <f aca="false">IF(AND(C1440&gt;=Assumptions!$D$24,C1440&lt;=Staffing!$G$29,'Start Here'!$B$7=1),IF(C1440&lt;=6,Staffing!$H$29,IF(C1440&lt;=15,Staffing!$I$29,IF(C1440&lt;=30,Staffing!$J$29,Staffing!$K$29))),0)</f>
        <v>0</v>
      </c>
      <c r="F1440" s="10" t="n">
        <f aca="false">E1440*Staffing!$L$29/12*(1+Assumptions!$D$10)^INT((C1440-1)/12)*1</f>
        <v>0</v>
      </c>
      <c r="G1440" s="10" t="n">
        <f aca="false">F1440*Staffing!$N$29</f>
        <v>0</v>
      </c>
      <c r="H1440" s="10" t="n">
        <f aca="false">F1440+G1440</f>
        <v>0</v>
      </c>
      <c r="I1440" s="10" t="n">
        <f aca="false">0</f>
        <v>0</v>
      </c>
      <c r="J1440" s="10" t="n">
        <f aca="false">MAX(0,E1440-E1439)*Staffing!$O$29</f>
        <v>0</v>
      </c>
      <c r="K1440" s="10" t="n">
        <f aca="false">MAX(0,E1440-E1439)*Staffing!$P$29</f>
        <v>0</v>
      </c>
      <c r="L1440" s="23" t="n">
        <f aca="false">ROUNDUP(E1440,0)</f>
        <v>0</v>
      </c>
    </row>
    <row r="1441" customFormat="false" ht="15" hidden="false" customHeight="false" outlineLevel="0" collapsed="false">
      <c r="A1441" s="6" t="s">
        <v>4</v>
      </c>
      <c r="B1441" s="6" t="s">
        <v>349</v>
      </c>
      <c r="C1441" s="6" t="n">
        <v>56</v>
      </c>
      <c r="D1441" s="25" t="n">
        <f aca="false">EDATE('Start Here'!$B$6,C1441-1)</f>
        <v>48000</v>
      </c>
      <c r="E1441" s="23" t="n">
        <f aca="false">IF(AND(C1441&gt;=Assumptions!$D$24,C1441&lt;=Staffing!$G$29,'Start Here'!$B$7=1),IF(C1441&lt;=6,Staffing!$H$29,IF(C1441&lt;=15,Staffing!$I$29,IF(C1441&lt;=30,Staffing!$J$29,Staffing!$K$29))),0)</f>
        <v>0</v>
      </c>
      <c r="F1441" s="10" t="n">
        <f aca="false">E1441*Staffing!$L$29/12*(1+Assumptions!$D$10)^INT((C1441-1)/12)*1</f>
        <v>0</v>
      </c>
      <c r="G1441" s="10" t="n">
        <f aca="false">F1441*Staffing!$N$29</f>
        <v>0</v>
      </c>
      <c r="H1441" s="10" t="n">
        <f aca="false">F1441+G1441</f>
        <v>0</v>
      </c>
      <c r="I1441" s="10" t="n">
        <f aca="false">0</f>
        <v>0</v>
      </c>
      <c r="J1441" s="10" t="n">
        <f aca="false">MAX(0,E1441-E1440)*Staffing!$O$29</f>
        <v>0</v>
      </c>
      <c r="K1441" s="10" t="n">
        <f aca="false">MAX(0,E1441-E1440)*Staffing!$P$29</f>
        <v>0</v>
      </c>
      <c r="L1441" s="23" t="n">
        <f aca="false">ROUNDUP(E1441,0)</f>
        <v>0</v>
      </c>
    </row>
    <row r="1442" customFormat="false" ht="15" hidden="false" customHeight="false" outlineLevel="0" collapsed="false">
      <c r="A1442" s="6" t="s">
        <v>4</v>
      </c>
      <c r="B1442" s="6" t="s">
        <v>349</v>
      </c>
      <c r="C1442" s="6" t="n">
        <v>57</v>
      </c>
      <c r="D1442" s="25" t="n">
        <f aca="false">EDATE('Start Here'!$B$6,C1442-1)</f>
        <v>48030</v>
      </c>
      <c r="E1442" s="23" t="n">
        <f aca="false">IF(AND(C1442&gt;=Assumptions!$D$24,C1442&lt;=Staffing!$G$29,'Start Here'!$B$7=1),IF(C1442&lt;=6,Staffing!$H$29,IF(C1442&lt;=15,Staffing!$I$29,IF(C1442&lt;=30,Staffing!$J$29,Staffing!$K$29))),0)</f>
        <v>0</v>
      </c>
      <c r="F1442" s="10" t="n">
        <f aca="false">E1442*Staffing!$L$29/12*(1+Assumptions!$D$10)^INT((C1442-1)/12)*1</f>
        <v>0</v>
      </c>
      <c r="G1442" s="10" t="n">
        <f aca="false">F1442*Staffing!$N$29</f>
        <v>0</v>
      </c>
      <c r="H1442" s="10" t="n">
        <f aca="false">F1442+G1442</f>
        <v>0</v>
      </c>
      <c r="I1442" s="10" t="n">
        <f aca="false">0</f>
        <v>0</v>
      </c>
      <c r="J1442" s="10" t="n">
        <f aca="false">MAX(0,E1442-E1441)*Staffing!$O$29</f>
        <v>0</v>
      </c>
      <c r="K1442" s="10" t="n">
        <f aca="false">MAX(0,E1442-E1441)*Staffing!$P$29</f>
        <v>0</v>
      </c>
      <c r="L1442" s="23" t="n">
        <f aca="false">ROUNDUP(E1442,0)</f>
        <v>0</v>
      </c>
    </row>
    <row r="1443" customFormat="false" ht="15" hidden="false" customHeight="false" outlineLevel="0" collapsed="false">
      <c r="A1443" s="6" t="s">
        <v>4</v>
      </c>
      <c r="B1443" s="6" t="s">
        <v>349</v>
      </c>
      <c r="C1443" s="6" t="n">
        <v>58</v>
      </c>
      <c r="D1443" s="25" t="n">
        <f aca="false">EDATE('Start Here'!$B$6,C1443-1)</f>
        <v>48061</v>
      </c>
      <c r="E1443" s="23" t="n">
        <f aca="false">IF(AND(C1443&gt;=Assumptions!$D$24,C1443&lt;=Staffing!$G$29,'Start Here'!$B$7=1),IF(C1443&lt;=6,Staffing!$H$29,IF(C1443&lt;=15,Staffing!$I$29,IF(C1443&lt;=30,Staffing!$J$29,Staffing!$K$29))),0)</f>
        <v>0</v>
      </c>
      <c r="F1443" s="10" t="n">
        <f aca="false">E1443*Staffing!$L$29/12*(1+Assumptions!$D$10)^INT((C1443-1)/12)*1</f>
        <v>0</v>
      </c>
      <c r="G1443" s="10" t="n">
        <f aca="false">F1443*Staffing!$N$29</f>
        <v>0</v>
      </c>
      <c r="H1443" s="10" t="n">
        <f aca="false">F1443+G1443</f>
        <v>0</v>
      </c>
      <c r="I1443" s="10" t="n">
        <f aca="false">0</f>
        <v>0</v>
      </c>
      <c r="J1443" s="10" t="n">
        <f aca="false">MAX(0,E1443-E1442)*Staffing!$O$29</f>
        <v>0</v>
      </c>
      <c r="K1443" s="10" t="n">
        <f aca="false">MAX(0,E1443-E1442)*Staffing!$P$29</f>
        <v>0</v>
      </c>
      <c r="L1443" s="23" t="n">
        <f aca="false">ROUNDUP(E1443,0)</f>
        <v>0</v>
      </c>
    </row>
    <row r="1444" customFormat="false" ht="15" hidden="false" customHeight="false" outlineLevel="0" collapsed="false">
      <c r="A1444" s="6" t="s">
        <v>4</v>
      </c>
      <c r="B1444" s="6" t="s">
        <v>349</v>
      </c>
      <c r="C1444" s="6" t="n">
        <v>59</v>
      </c>
      <c r="D1444" s="25" t="n">
        <f aca="false">EDATE('Start Here'!$B$6,C1444-1)</f>
        <v>48092</v>
      </c>
      <c r="E1444" s="23" t="n">
        <f aca="false">IF(AND(C1444&gt;=Assumptions!$D$24,C1444&lt;=Staffing!$G$29,'Start Here'!$B$7=1),IF(C1444&lt;=6,Staffing!$H$29,IF(C1444&lt;=15,Staffing!$I$29,IF(C1444&lt;=30,Staffing!$J$29,Staffing!$K$29))),0)</f>
        <v>0</v>
      </c>
      <c r="F1444" s="10" t="n">
        <f aca="false">E1444*Staffing!$L$29/12*(1+Assumptions!$D$10)^INT((C1444-1)/12)*1</f>
        <v>0</v>
      </c>
      <c r="G1444" s="10" t="n">
        <f aca="false">F1444*Staffing!$N$29</f>
        <v>0</v>
      </c>
      <c r="H1444" s="10" t="n">
        <f aca="false">F1444+G1444</f>
        <v>0</v>
      </c>
      <c r="I1444" s="10" t="n">
        <f aca="false">0</f>
        <v>0</v>
      </c>
      <c r="J1444" s="10" t="n">
        <f aca="false">MAX(0,E1444-E1443)*Staffing!$O$29</f>
        <v>0</v>
      </c>
      <c r="K1444" s="10" t="n">
        <f aca="false">MAX(0,E1444-E1443)*Staffing!$P$29</f>
        <v>0</v>
      </c>
      <c r="L1444" s="23" t="n">
        <f aca="false">ROUNDUP(E1444,0)</f>
        <v>0</v>
      </c>
    </row>
    <row r="1445" customFormat="false" ht="15" hidden="false" customHeight="false" outlineLevel="0" collapsed="false">
      <c r="A1445" s="6" t="s">
        <v>4</v>
      </c>
      <c r="B1445" s="6" t="s">
        <v>349</v>
      </c>
      <c r="C1445" s="6" t="n">
        <v>60</v>
      </c>
      <c r="D1445" s="25" t="n">
        <f aca="false">EDATE('Start Here'!$B$6,C1445-1)</f>
        <v>48122</v>
      </c>
      <c r="E1445" s="23" t="n">
        <f aca="false">IF(AND(C1445&gt;=Assumptions!$D$24,C1445&lt;=Staffing!$G$29,'Start Here'!$B$7=1),IF(C1445&lt;=6,Staffing!$H$29,IF(C1445&lt;=15,Staffing!$I$29,IF(C1445&lt;=30,Staffing!$J$29,Staffing!$K$29))),0)</f>
        <v>0</v>
      </c>
      <c r="F1445" s="10" t="n">
        <f aca="false">E1445*Staffing!$L$29/12*(1+Assumptions!$D$10)^INT((C1445-1)/12)*1</f>
        <v>0</v>
      </c>
      <c r="G1445" s="10" t="n">
        <f aca="false">F1445*Staffing!$N$29</f>
        <v>0</v>
      </c>
      <c r="H1445" s="10" t="n">
        <f aca="false">F1445+G1445</f>
        <v>0</v>
      </c>
      <c r="I1445" s="10" t="n">
        <f aca="false">0</f>
        <v>0</v>
      </c>
      <c r="J1445" s="10" t="n">
        <f aca="false">MAX(0,E1445-E1444)*Staffing!$O$29</f>
        <v>0</v>
      </c>
      <c r="K1445" s="10" t="n">
        <f aca="false">MAX(0,E1445-E1444)*Staffing!$P$29</f>
        <v>0</v>
      </c>
      <c r="L1445" s="23" t="n">
        <f aca="false">ROUNDUP(E1445,0)</f>
        <v>0</v>
      </c>
    </row>
    <row r="1446" customFormat="false" ht="15" hidden="false" customHeight="false" outlineLevel="0" collapsed="false">
      <c r="A1446" s="6" t="s">
        <v>4</v>
      </c>
      <c r="B1446" s="6" t="s">
        <v>351</v>
      </c>
      <c r="C1446" s="6" t="n">
        <v>1</v>
      </c>
      <c r="D1446" s="25" t="n">
        <f aca="false">EDATE('Start Here'!$B$6,C1446-1)</f>
        <v>46327</v>
      </c>
      <c r="E1446" s="23" t="n">
        <f aca="false">IF(AND(C1446&gt;=Assumptions!$D$25,C1446&lt;=Staffing!$G$30,'Start Here'!$B$8=1),IF(C1446&lt;=6,Staffing!$H$30,IF(C1446&lt;=15,Staffing!$I$30,IF(C1446&lt;=30,Staffing!$J$30,Staffing!$K$30))),0)</f>
        <v>0</v>
      </c>
      <c r="F1446" s="10" t="n">
        <f aca="false">E1446*Staffing!$L$30/12*(1+Assumptions!$D$10)^INT((C1446-1)/12)*1</f>
        <v>0</v>
      </c>
      <c r="G1446" s="10" t="n">
        <f aca="false">F1446*Staffing!$N$30</f>
        <v>0</v>
      </c>
      <c r="H1446" s="10" t="n">
        <f aca="false">F1446+G1446</f>
        <v>0</v>
      </c>
      <c r="I1446" s="10" t="n">
        <f aca="false">0</f>
        <v>0</v>
      </c>
      <c r="J1446" s="10" t="n">
        <f aca="false">MAX(0,E1446-0)*Staffing!$O$30</f>
        <v>0</v>
      </c>
      <c r="K1446" s="10" t="n">
        <f aca="false">MAX(0,E1446-0)*Staffing!$P$30</f>
        <v>0</v>
      </c>
      <c r="L1446" s="23" t="n">
        <f aca="false">ROUNDUP(E1446,0)</f>
        <v>0</v>
      </c>
    </row>
    <row r="1447" customFormat="false" ht="15" hidden="false" customHeight="false" outlineLevel="0" collapsed="false">
      <c r="A1447" s="6" t="s">
        <v>4</v>
      </c>
      <c r="B1447" s="6" t="s">
        <v>351</v>
      </c>
      <c r="C1447" s="6" t="n">
        <v>2</v>
      </c>
      <c r="D1447" s="25" t="n">
        <f aca="false">EDATE('Start Here'!$B$6,C1447-1)</f>
        <v>46357</v>
      </c>
      <c r="E1447" s="23" t="n">
        <f aca="false">IF(AND(C1447&gt;=Assumptions!$D$25,C1447&lt;=Staffing!$G$30,'Start Here'!$B$8=1),IF(C1447&lt;=6,Staffing!$H$30,IF(C1447&lt;=15,Staffing!$I$30,IF(C1447&lt;=30,Staffing!$J$30,Staffing!$K$30))),0)</f>
        <v>0</v>
      </c>
      <c r="F1447" s="10" t="n">
        <f aca="false">E1447*Staffing!$L$30/12*(1+Assumptions!$D$10)^INT((C1447-1)/12)*1</f>
        <v>0</v>
      </c>
      <c r="G1447" s="10" t="n">
        <f aca="false">F1447*Staffing!$N$30</f>
        <v>0</v>
      </c>
      <c r="H1447" s="10" t="n">
        <f aca="false">F1447+G1447</f>
        <v>0</v>
      </c>
      <c r="I1447" s="10" t="n">
        <f aca="false">0</f>
        <v>0</v>
      </c>
      <c r="J1447" s="10" t="n">
        <f aca="false">MAX(0,E1447-E1446)*Staffing!$O$30</f>
        <v>0</v>
      </c>
      <c r="K1447" s="10" t="n">
        <f aca="false">MAX(0,E1447-E1446)*Staffing!$P$30</f>
        <v>0</v>
      </c>
      <c r="L1447" s="23" t="n">
        <f aca="false">ROUNDUP(E1447,0)</f>
        <v>0</v>
      </c>
    </row>
    <row r="1448" customFormat="false" ht="15" hidden="false" customHeight="false" outlineLevel="0" collapsed="false">
      <c r="A1448" s="6" t="s">
        <v>4</v>
      </c>
      <c r="B1448" s="6" t="s">
        <v>351</v>
      </c>
      <c r="C1448" s="6" t="n">
        <v>3</v>
      </c>
      <c r="D1448" s="25" t="n">
        <f aca="false">EDATE('Start Here'!$B$6,C1448-1)</f>
        <v>46388</v>
      </c>
      <c r="E1448" s="23" t="n">
        <f aca="false">IF(AND(C1448&gt;=Assumptions!$D$25,C1448&lt;=Staffing!$G$30,'Start Here'!$B$8=1),IF(C1448&lt;=6,Staffing!$H$30,IF(C1448&lt;=15,Staffing!$I$30,IF(C1448&lt;=30,Staffing!$J$30,Staffing!$K$30))),0)</f>
        <v>0</v>
      </c>
      <c r="F1448" s="10" t="n">
        <f aca="false">E1448*Staffing!$L$30/12*(1+Assumptions!$D$10)^INT((C1448-1)/12)*1</f>
        <v>0</v>
      </c>
      <c r="G1448" s="10" t="n">
        <f aca="false">F1448*Staffing!$N$30</f>
        <v>0</v>
      </c>
      <c r="H1448" s="10" t="n">
        <f aca="false">F1448+G1448</f>
        <v>0</v>
      </c>
      <c r="I1448" s="10" t="n">
        <f aca="false">0</f>
        <v>0</v>
      </c>
      <c r="J1448" s="10" t="n">
        <f aca="false">MAX(0,E1448-E1447)*Staffing!$O$30</f>
        <v>0</v>
      </c>
      <c r="K1448" s="10" t="n">
        <f aca="false">MAX(0,E1448-E1447)*Staffing!$P$30</f>
        <v>0</v>
      </c>
      <c r="L1448" s="23" t="n">
        <f aca="false">ROUNDUP(E1448,0)</f>
        <v>0</v>
      </c>
    </row>
    <row r="1449" customFormat="false" ht="15" hidden="false" customHeight="false" outlineLevel="0" collapsed="false">
      <c r="A1449" s="6" t="s">
        <v>4</v>
      </c>
      <c r="B1449" s="6" t="s">
        <v>351</v>
      </c>
      <c r="C1449" s="6" t="n">
        <v>4</v>
      </c>
      <c r="D1449" s="25" t="n">
        <f aca="false">EDATE('Start Here'!$B$6,C1449-1)</f>
        <v>46419</v>
      </c>
      <c r="E1449" s="23" t="n">
        <f aca="false">IF(AND(C1449&gt;=Assumptions!$D$25,C1449&lt;=Staffing!$G$30,'Start Here'!$B$8=1),IF(C1449&lt;=6,Staffing!$H$30,IF(C1449&lt;=15,Staffing!$I$30,IF(C1449&lt;=30,Staffing!$J$30,Staffing!$K$30))),0)</f>
        <v>0</v>
      </c>
      <c r="F1449" s="10" t="n">
        <f aca="false">E1449*Staffing!$L$30/12*(1+Assumptions!$D$10)^INT((C1449-1)/12)*1</f>
        <v>0</v>
      </c>
      <c r="G1449" s="10" t="n">
        <f aca="false">F1449*Staffing!$N$30</f>
        <v>0</v>
      </c>
      <c r="H1449" s="10" t="n">
        <f aca="false">F1449+G1449</f>
        <v>0</v>
      </c>
      <c r="I1449" s="10" t="n">
        <f aca="false">0</f>
        <v>0</v>
      </c>
      <c r="J1449" s="10" t="n">
        <f aca="false">MAX(0,E1449-E1448)*Staffing!$O$30</f>
        <v>0</v>
      </c>
      <c r="K1449" s="10" t="n">
        <f aca="false">MAX(0,E1449-E1448)*Staffing!$P$30</f>
        <v>0</v>
      </c>
      <c r="L1449" s="23" t="n">
        <f aca="false">ROUNDUP(E1449,0)</f>
        <v>0</v>
      </c>
    </row>
    <row r="1450" customFormat="false" ht="15" hidden="false" customHeight="false" outlineLevel="0" collapsed="false">
      <c r="A1450" s="6" t="s">
        <v>4</v>
      </c>
      <c r="B1450" s="6" t="s">
        <v>351</v>
      </c>
      <c r="C1450" s="6" t="n">
        <v>5</v>
      </c>
      <c r="D1450" s="25" t="n">
        <f aca="false">EDATE('Start Here'!$B$6,C1450-1)</f>
        <v>46447</v>
      </c>
      <c r="E1450" s="23" t="n">
        <f aca="false">IF(AND(C1450&gt;=Assumptions!$D$25,C1450&lt;=Staffing!$G$30,'Start Here'!$B$8=1),IF(C1450&lt;=6,Staffing!$H$30,IF(C1450&lt;=15,Staffing!$I$30,IF(C1450&lt;=30,Staffing!$J$30,Staffing!$K$30))),0)</f>
        <v>0</v>
      </c>
      <c r="F1450" s="10" t="n">
        <f aca="false">E1450*Staffing!$L$30/12*(1+Assumptions!$D$10)^INT((C1450-1)/12)*1</f>
        <v>0</v>
      </c>
      <c r="G1450" s="10" t="n">
        <f aca="false">F1450*Staffing!$N$30</f>
        <v>0</v>
      </c>
      <c r="H1450" s="10" t="n">
        <f aca="false">F1450+G1450</f>
        <v>0</v>
      </c>
      <c r="I1450" s="10" t="n">
        <f aca="false">0</f>
        <v>0</v>
      </c>
      <c r="J1450" s="10" t="n">
        <f aca="false">MAX(0,E1450-E1449)*Staffing!$O$30</f>
        <v>0</v>
      </c>
      <c r="K1450" s="10" t="n">
        <f aca="false">MAX(0,E1450-E1449)*Staffing!$P$30</f>
        <v>0</v>
      </c>
      <c r="L1450" s="23" t="n">
        <f aca="false">ROUNDUP(E1450,0)</f>
        <v>0</v>
      </c>
    </row>
    <row r="1451" customFormat="false" ht="15" hidden="false" customHeight="false" outlineLevel="0" collapsed="false">
      <c r="A1451" s="6" t="s">
        <v>4</v>
      </c>
      <c r="B1451" s="6" t="s">
        <v>351</v>
      </c>
      <c r="C1451" s="6" t="n">
        <v>6</v>
      </c>
      <c r="D1451" s="25" t="n">
        <f aca="false">EDATE('Start Here'!$B$6,C1451-1)</f>
        <v>46478</v>
      </c>
      <c r="E1451" s="23" t="n">
        <f aca="false">IF(AND(C1451&gt;=Assumptions!$D$25,C1451&lt;=Staffing!$G$30,'Start Here'!$B$8=1),IF(C1451&lt;=6,Staffing!$H$30,IF(C1451&lt;=15,Staffing!$I$30,IF(C1451&lt;=30,Staffing!$J$30,Staffing!$K$30))),0)</f>
        <v>0</v>
      </c>
      <c r="F1451" s="10" t="n">
        <f aca="false">E1451*Staffing!$L$30/12*(1+Assumptions!$D$10)^INT((C1451-1)/12)*1</f>
        <v>0</v>
      </c>
      <c r="G1451" s="10" t="n">
        <f aca="false">F1451*Staffing!$N$30</f>
        <v>0</v>
      </c>
      <c r="H1451" s="10" t="n">
        <f aca="false">F1451+G1451</f>
        <v>0</v>
      </c>
      <c r="I1451" s="10" t="n">
        <f aca="false">0</f>
        <v>0</v>
      </c>
      <c r="J1451" s="10" t="n">
        <f aca="false">MAX(0,E1451-E1450)*Staffing!$O$30</f>
        <v>0</v>
      </c>
      <c r="K1451" s="10" t="n">
        <f aca="false">MAX(0,E1451-E1450)*Staffing!$P$30</f>
        <v>0</v>
      </c>
      <c r="L1451" s="23" t="n">
        <f aca="false">ROUNDUP(E1451,0)</f>
        <v>0</v>
      </c>
    </row>
    <row r="1452" customFormat="false" ht="15" hidden="false" customHeight="false" outlineLevel="0" collapsed="false">
      <c r="A1452" s="6" t="s">
        <v>4</v>
      </c>
      <c r="B1452" s="6" t="s">
        <v>351</v>
      </c>
      <c r="C1452" s="6" t="n">
        <v>7</v>
      </c>
      <c r="D1452" s="25" t="n">
        <f aca="false">EDATE('Start Here'!$B$6,C1452-1)</f>
        <v>46508</v>
      </c>
      <c r="E1452" s="23" t="n">
        <f aca="false">IF(AND(C1452&gt;=Assumptions!$D$25,C1452&lt;=Staffing!$G$30,'Start Here'!$B$8=1),IF(C1452&lt;=6,Staffing!$H$30,IF(C1452&lt;=15,Staffing!$I$30,IF(C1452&lt;=30,Staffing!$J$30,Staffing!$K$30))),0)</f>
        <v>0</v>
      </c>
      <c r="F1452" s="10" t="n">
        <f aca="false">E1452*Staffing!$L$30/12*(1+Assumptions!$D$10)^INT((C1452-1)/12)*1</f>
        <v>0</v>
      </c>
      <c r="G1452" s="10" t="n">
        <f aca="false">F1452*Staffing!$N$30</f>
        <v>0</v>
      </c>
      <c r="H1452" s="10" t="n">
        <f aca="false">F1452+G1452</f>
        <v>0</v>
      </c>
      <c r="I1452" s="10" t="n">
        <f aca="false">0</f>
        <v>0</v>
      </c>
      <c r="J1452" s="10" t="n">
        <f aca="false">MAX(0,E1452-E1451)*Staffing!$O$30</f>
        <v>0</v>
      </c>
      <c r="K1452" s="10" t="n">
        <f aca="false">MAX(0,E1452-E1451)*Staffing!$P$30</f>
        <v>0</v>
      </c>
      <c r="L1452" s="23" t="n">
        <f aca="false">ROUNDUP(E1452,0)</f>
        <v>0</v>
      </c>
    </row>
    <row r="1453" customFormat="false" ht="15" hidden="false" customHeight="false" outlineLevel="0" collapsed="false">
      <c r="A1453" s="6" t="s">
        <v>4</v>
      </c>
      <c r="B1453" s="6" t="s">
        <v>351</v>
      </c>
      <c r="C1453" s="6" t="n">
        <v>8</v>
      </c>
      <c r="D1453" s="25" t="n">
        <f aca="false">EDATE('Start Here'!$B$6,C1453-1)</f>
        <v>46539</v>
      </c>
      <c r="E1453" s="23" t="n">
        <f aca="false">IF(AND(C1453&gt;=Assumptions!$D$25,C1453&lt;=Staffing!$G$30,'Start Here'!$B$8=1),IF(C1453&lt;=6,Staffing!$H$30,IF(C1453&lt;=15,Staffing!$I$30,IF(C1453&lt;=30,Staffing!$J$30,Staffing!$K$30))),0)</f>
        <v>0</v>
      </c>
      <c r="F1453" s="10" t="n">
        <f aca="false">E1453*Staffing!$L$30/12*(1+Assumptions!$D$10)^INT((C1453-1)/12)*1</f>
        <v>0</v>
      </c>
      <c r="G1453" s="10" t="n">
        <f aca="false">F1453*Staffing!$N$30</f>
        <v>0</v>
      </c>
      <c r="H1453" s="10" t="n">
        <f aca="false">F1453+G1453</f>
        <v>0</v>
      </c>
      <c r="I1453" s="10" t="n">
        <f aca="false">0</f>
        <v>0</v>
      </c>
      <c r="J1453" s="10" t="n">
        <f aca="false">MAX(0,E1453-E1452)*Staffing!$O$30</f>
        <v>0</v>
      </c>
      <c r="K1453" s="10" t="n">
        <f aca="false">MAX(0,E1453-E1452)*Staffing!$P$30</f>
        <v>0</v>
      </c>
      <c r="L1453" s="23" t="n">
        <f aca="false">ROUNDUP(E1453,0)</f>
        <v>0</v>
      </c>
    </row>
    <row r="1454" customFormat="false" ht="15" hidden="false" customHeight="false" outlineLevel="0" collapsed="false">
      <c r="A1454" s="6" t="s">
        <v>4</v>
      </c>
      <c r="B1454" s="6" t="s">
        <v>351</v>
      </c>
      <c r="C1454" s="6" t="n">
        <v>9</v>
      </c>
      <c r="D1454" s="25" t="n">
        <f aca="false">EDATE('Start Here'!$B$6,C1454-1)</f>
        <v>46569</v>
      </c>
      <c r="E1454" s="23" t="n">
        <f aca="false">IF(AND(C1454&gt;=Assumptions!$D$25,C1454&lt;=Staffing!$G$30,'Start Here'!$B$8=1),IF(C1454&lt;=6,Staffing!$H$30,IF(C1454&lt;=15,Staffing!$I$30,IF(C1454&lt;=30,Staffing!$J$30,Staffing!$K$30))),0)</f>
        <v>0</v>
      </c>
      <c r="F1454" s="10" t="n">
        <f aca="false">E1454*Staffing!$L$30/12*(1+Assumptions!$D$10)^INT((C1454-1)/12)*1</f>
        <v>0</v>
      </c>
      <c r="G1454" s="10" t="n">
        <f aca="false">F1454*Staffing!$N$30</f>
        <v>0</v>
      </c>
      <c r="H1454" s="10" t="n">
        <f aca="false">F1454+G1454</f>
        <v>0</v>
      </c>
      <c r="I1454" s="10" t="n">
        <f aca="false">0</f>
        <v>0</v>
      </c>
      <c r="J1454" s="10" t="n">
        <f aca="false">MAX(0,E1454-E1453)*Staffing!$O$30</f>
        <v>0</v>
      </c>
      <c r="K1454" s="10" t="n">
        <f aca="false">MAX(0,E1454-E1453)*Staffing!$P$30</f>
        <v>0</v>
      </c>
      <c r="L1454" s="23" t="n">
        <f aca="false">ROUNDUP(E1454,0)</f>
        <v>0</v>
      </c>
    </row>
    <row r="1455" customFormat="false" ht="15" hidden="false" customHeight="false" outlineLevel="0" collapsed="false">
      <c r="A1455" s="6" t="s">
        <v>4</v>
      </c>
      <c r="B1455" s="6" t="s">
        <v>351</v>
      </c>
      <c r="C1455" s="6" t="n">
        <v>10</v>
      </c>
      <c r="D1455" s="25" t="n">
        <f aca="false">EDATE('Start Here'!$B$6,C1455-1)</f>
        <v>46600</v>
      </c>
      <c r="E1455" s="23" t="n">
        <f aca="false">IF(AND(C1455&gt;=Assumptions!$D$25,C1455&lt;=Staffing!$G$30,'Start Here'!$B$8=1),IF(C1455&lt;=6,Staffing!$H$30,IF(C1455&lt;=15,Staffing!$I$30,IF(C1455&lt;=30,Staffing!$J$30,Staffing!$K$30))),0)</f>
        <v>0</v>
      </c>
      <c r="F1455" s="10" t="n">
        <f aca="false">E1455*Staffing!$L$30/12*(1+Assumptions!$D$10)^INT((C1455-1)/12)*1</f>
        <v>0</v>
      </c>
      <c r="G1455" s="10" t="n">
        <f aca="false">F1455*Staffing!$N$30</f>
        <v>0</v>
      </c>
      <c r="H1455" s="10" t="n">
        <f aca="false">F1455+G1455</f>
        <v>0</v>
      </c>
      <c r="I1455" s="10" t="n">
        <f aca="false">0</f>
        <v>0</v>
      </c>
      <c r="J1455" s="10" t="n">
        <f aca="false">MAX(0,E1455-E1454)*Staffing!$O$30</f>
        <v>0</v>
      </c>
      <c r="K1455" s="10" t="n">
        <f aca="false">MAX(0,E1455-E1454)*Staffing!$P$30</f>
        <v>0</v>
      </c>
      <c r="L1455" s="23" t="n">
        <f aca="false">ROUNDUP(E1455,0)</f>
        <v>0</v>
      </c>
    </row>
    <row r="1456" customFormat="false" ht="15" hidden="false" customHeight="false" outlineLevel="0" collapsed="false">
      <c r="A1456" s="6" t="s">
        <v>4</v>
      </c>
      <c r="B1456" s="6" t="s">
        <v>351</v>
      </c>
      <c r="C1456" s="6" t="n">
        <v>11</v>
      </c>
      <c r="D1456" s="25" t="n">
        <f aca="false">EDATE('Start Here'!$B$6,C1456-1)</f>
        <v>46631</v>
      </c>
      <c r="E1456" s="23" t="n">
        <f aca="false">IF(AND(C1456&gt;=Assumptions!$D$25,C1456&lt;=Staffing!$G$30,'Start Here'!$B$8=1),IF(C1456&lt;=6,Staffing!$H$30,IF(C1456&lt;=15,Staffing!$I$30,IF(C1456&lt;=30,Staffing!$J$30,Staffing!$K$30))),0)</f>
        <v>0</v>
      </c>
      <c r="F1456" s="10" t="n">
        <f aca="false">E1456*Staffing!$L$30/12*(1+Assumptions!$D$10)^INT((C1456-1)/12)*1</f>
        <v>0</v>
      </c>
      <c r="G1456" s="10" t="n">
        <f aca="false">F1456*Staffing!$N$30</f>
        <v>0</v>
      </c>
      <c r="H1456" s="10" t="n">
        <f aca="false">F1456+G1456</f>
        <v>0</v>
      </c>
      <c r="I1456" s="10" t="n">
        <f aca="false">0</f>
        <v>0</v>
      </c>
      <c r="J1456" s="10" t="n">
        <f aca="false">MAX(0,E1456-E1455)*Staffing!$O$30</f>
        <v>0</v>
      </c>
      <c r="K1456" s="10" t="n">
        <f aca="false">MAX(0,E1456-E1455)*Staffing!$P$30</f>
        <v>0</v>
      </c>
      <c r="L1456" s="23" t="n">
        <f aca="false">ROUNDUP(E1456,0)</f>
        <v>0</v>
      </c>
    </row>
    <row r="1457" customFormat="false" ht="15" hidden="false" customHeight="false" outlineLevel="0" collapsed="false">
      <c r="A1457" s="6" t="s">
        <v>4</v>
      </c>
      <c r="B1457" s="6" t="s">
        <v>351</v>
      </c>
      <c r="C1457" s="6" t="n">
        <v>12</v>
      </c>
      <c r="D1457" s="25" t="n">
        <f aca="false">EDATE('Start Here'!$B$6,C1457-1)</f>
        <v>46661</v>
      </c>
      <c r="E1457" s="23" t="n">
        <f aca="false">IF(AND(C1457&gt;=Assumptions!$D$25,C1457&lt;=Staffing!$G$30,'Start Here'!$B$8=1),IF(C1457&lt;=6,Staffing!$H$30,IF(C1457&lt;=15,Staffing!$I$30,IF(C1457&lt;=30,Staffing!$J$30,Staffing!$K$30))),0)</f>
        <v>0</v>
      </c>
      <c r="F1457" s="10" t="n">
        <f aca="false">E1457*Staffing!$L$30/12*(1+Assumptions!$D$10)^INT((C1457-1)/12)*1</f>
        <v>0</v>
      </c>
      <c r="G1457" s="10" t="n">
        <f aca="false">F1457*Staffing!$N$30</f>
        <v>0</v>
      </c>
      <c r="H1457" s="10" t="n">
        <f aca="false">F1457+G1457</f>
        <v>0</v>
      </c>
      <c r="I1457" s="10" t="n">
        <f aca="false">0</f>
        <v>0</v>
      </c>
      <c r="J1457" s="10" t="n">
        <f aca="false">MAX(0,E1457-E1456)*Staffing!$O$30</f>
        <v>0</v>
      </c>
      <c r="K1457" s="10" t="n">
        <f aca="false">MAX(0,E1457-E1456)*Staffing!$P$30</f>
        <v>0</v>
      </c>
      <c r="L1457" s="23" t="n">
        <f aca="false">ROUNDUP(E1457,0)</f>
        <v>0</v>
      </c>
    </row>
    <row r="1458" customFormat="false" ht="15" hidden="false" customHeight="false" outlineLevel="0" collapsed="false">
      <c r="A1458" s="6" t="s">
        <v>4</v>
      </c>
      <c r="B1458" s="6" t="s">
        <v>351</v>
      </c>
      <c r="C1458" s="6" t="n">
        <v>13</v>
      </c>
      <c r="D1458" s="25" t="n">
        <f aca="false">EDATE('Start Here'!$B$6,C1458-1)</f>
        <v>46692</v>
      </c>
      <c r="E1458" s="23" t="n">
        <f aca="false">IF(AND(C1458&gt;=Assumptions!$D$25,C1458&lt;=Staffing!$G$30,'Start Here'!$B$8=1),IF(C1458&lt;=6,Staffing!$H$30,IF(C1458&lt;=15,Staffing!$I$30,IF(C1458&lt;=30,Staffing!$J$30,Staffing!$K$30))),0)</f>
        <v>0</v>
      </c>
      <c r="F1458" s="10" t="n">
        <f aca="false">E1458*Staffing!$L$30/12*(1+Assumptions!$D$10)^INT((C1458-1)/12)*1</f>
        <v>0</v>
      </c>
      <c r="G1458" s="10" t="n">
        <f aca="false">F1458*Staffing!$N$30</f>
        <v>0</v>
      </c>
      <c r="H1458" s="10" t="n">
        <f aca="false">F1458+G1458</f>
        <v>0</v>
      </c>
      <c r="I1458" s="10" t="n">
        <f aca="false">0</f>
        <v>0</v>
      </c>
      <c r="J1458" s="10" t="n">
        <f aca="false">MAX(0,E1458-E1457)*Staffing!$O$30</f>
        <v>0</v>
      </c>
      <c r="K1458" s="10" t="n">
        <f aca="false">MAX(0,E1458-E1457)*Staffing!$P$30</f>
        <v>0</v>
      </c>
      <c r="L1458" s="23" t="n">
        <f aca="false">ROUNDUP(E1458,0)</f>
        <v>0</v>
      </c>
    </row>
    <row r="1459" customFormat="false" ht="15" hidden="false" customHeight="false" outlineLevel="0" collapsed="false">
      <c r="A1459" s="6" t="s">
        <v>4</v>
      </c>
      <c r="B1459" s="6" t="s">
        <v>351</v>
      </c>
      <c r="C1459" s="6" t="n">
        <v>14</v>
      </c>
      <c r="D1459" s="25" t="n">
        <f aca="false">EDATE('Start Here'!$B$6,C1459-1)</f>
        <v>46722</v>
      </c>
      <c r="E1459" s="23" t="n">
        <f aca="false">IF(AND(C1459&gt;=Assumptions!$D$25,C1459&lt;=Staffing!$G$30,'Start Here'!$B$8=1),IF(C1459&lt;=6,Staffing!$H$30,IF(C1459&lt;=15,Staffing!$I$30,IF(C1459&lt;=30,Staffing!$J$30,Staffing!$K$30))),0)</f>
        <v>0</v>
      </c>
      <c r="F1459" s="10" t="n">
        <f aca="false">E1459*Staffing!$L$30/12*(1+Assumptions!$D$10)^INT((C1459-1)/12)*1</f>
        <v>0</v>
      </c>
      <c r="G1459" s="10" t="n">
        <f aca="false">F1459*Staffing!$N$30</f>
        <v>0</v>
      </c>
      <c r="H1459" s="10" t="n">
        <f aca="false">F1459+G1459</f>
        <v>0</v>
      </c>
      <c r="I1459" s="10" t="n">
        <f aca="false">0</f>
        <v>0</v>
      </c>
      <c r="J1459" s="10" t="n">
        <f aca="false">MAX(0,E1459-E1458)*Staffing!$O$30</f>
        <v>0</v>
      </c>
      <c r="K1459" s="10" t="n">
        <f aca="false">MAX(0,E1459-E1458)*Staffing!$P$30</f>
        <v>0</v>
      </c>
      <c r="L1459" s="23" t="n">
        <f aca="false">ROUNDUP(E1459,0)</f>
        <v>0</v>
      </c>
    </row>
    <row r="1460" customFormat="false" ht="15" hidden="false" customHeight="false" outlineLevel="0" collapsed="false">
      <c r="A1460" s="6" t="s">
        <v>4</v>
      </c>
      <c r="B1460" s="6" t="s">
        <v>351</v>
      </c>
      <c r="C1460" s="6" t="n">
        <v>15</v>
      </c>
      <c r="D1460" s="25" t="n">
        <f aca="false">EDATE('Start Here'!$B$6,C1460-1)</f>
        <v>46753</v>
      </c>
      <c r="E1460" s="23" t="n">
        <f aca="false">IF(AND(C1460&gt;=Assumptions!$D$25,C1460&lt;=Staffing!$G$30,'Start Here'!$B$8=1),IF(C1460&lt;=6,Staffing!$H$30,IF(C1460&lt;=15,Staffing!$I$30,IF(C1460&lt;=30,Staffing!$J$30,Staffing!$K$30))),0)</f>
        <v>0</v>
      </c>
      <c r="F1460" s="10" t="n">
        <f aca="false">E1460*Staffing!$L$30/12*(1+Assumptions!$D$10)^INT((C1460-1)/12)*1</f>
        <v>0</v>
      </c>
      <c r="G1460" s="10" t="n">
        <f aca="false">F1460*Staffing!$N$30</f>
        <v>0</v>
      </c>
      <c r="H1460" s="10" t="n">
        <f aca="false">F1460+G1460</f>
        <v>0</v>
      </c>
      <c r="I1460" s="10" t="n">
        <f aca="false">0</f>
        <v>0</v>
      </c>
      <c r="J1460" s="10" t="n">
        <f aca="false">MAX(0,E1460-E1459)*Staffing!$O$30</f>
        <v>0</v>
      </c>
      <c r="K1460" s="10" t="n">
        <f aca="false">MAX(0,E1460-E1459)*Staffing!$P$30</f>
        <v>0</v>
      </c>
      <c r="L1460" s="23" t="n">
        <f aca="false">ROUNDUP(E1460,0)</f>
        <v>0</v>
      </c>
    </row>
    <row r="1461" customFormat="false" ht="15" hidden="false" customHeight="false" outlineLevel="0" collapsed="false">
      <c r="A1461" s="6" t="s">
        <v>4</v>
      </c>
      <c r="B1461" s="6" t="s">
        <v>351</v>
      </c>
      <c r="C1461" s="6" t="n">
        <v>16</v>
      </c>
      <c r="D1461" s="25" t="n">
        <f aca="false">EDATE('Start Here'!$B$6,C1461-1)</f>
        <v>46784</v>
      </c>
      <c r="E1461" s="23" t="n">
        <f aca="false">IF(AND(C1461&gt;=Assumptions!$D$25,C1461&lt;=Staffing!$G$30,'Start Here'!$B$8=1),IF(C1461&lt;=6,Staffing!$H$30,IF(C1461&lt;=15,Staffing!$I$30,IF(C1461&lt;=30,Staffing!$J$30,Staffing!$K$30))),0)</f>
        <v>0</v>
      </c>
      <c r="F1461" s="10" t="n">
        <f aca="false">E1461*Staffing!$L$30/12*(1+Assumptions!$D$10)^INT((C1461-1)/12)*1</f>
        <v>0</v>
      </c>
      <c r="G1461" s="10" t="n">
        <f aca="false">F1461*Staffing!$N$30</f>
        <v>0</v>
      </c>
      <c r="H1461" s="10" t="n">
        <f aca="false">F1461+G1461</f>
        <v>0</v>
      </c>
      <c r="I1461" s="10" t="n">
        <f aca="false">0</f>
        <v>0</v>
      </c>
      <c r="J1461" s="10" t="n">
        <f aca="false">MAX(0,E1461-E1460)*Staffing!$O$30</f>
        <v>0</v>
      </c>
      <c r="K1461" s="10" t="n">
        <f aca="false">MAX(0,E1461-E1460)*Staffing!$P$30</f>
        <v>0</v>
      </c>
      <c r="L1461" s="23" t="n">
        <f aca="false">ROUNDUP(E1461,0)</f>
        <v>0</v>
      </c>
    </row>
    <row r="1462" customFormat="false" ht="15" hidden="false" customHeight="false" outlineLevel="0" collapsed="false">
      <c r="A1462" s="6" t="s">
        <v>4</v>
      </c>
      <c r="B1462" s="6" t="s">
        <v>351</v>
      </c>
      <c r="C1462" s="6" t="n">
        <v>17</v>
      </c>
      <c r="D1462" s="25" t="n">
        <f aca="false">EDATE('Start Here'!$B$6,C1462-1)</f>
        <v>46813</v>
      </c>
      <c r="E1462" s="23" t="n">
        <f aca="false">IF(AND(C1462&gt;=Assumptions!$D$25,C1462&lt;=Staffing!$G$30,'Start Here'!$B$8=1),IF(C1462&lt;=6,Staffing!$H$30,IF(C1462&lt;=15,Staffing!$I$30,IF(C1462&lt;=30,Staffing!$J$30,Staffing!$K$30))),0)</f>
        <v>0</v>
      </c>
      <c r="F1462" s="10" t="n">
        <f aca="false">E1462*Staffing!$L$30/12*(1+Assumptions!$D$10)^INT((C1462-1)/12)*1</f>
        <v>0</v>
      </c>
      <c r="G1462" s="10" t="n">
        <f aca="false">F1462*Staffing!$N$30</f>
        <v>0</v>
      </c>
      <c r="H1462" s="10" t="n">
        <f aca="false">F1462+G1462</f>
        <v>0</v>
      </c>
      <c r="I1462" s="10" t="n">
        <f aca="false">0</f>
        <v>0</v>
      </c>
      <c r="J1462" s="10" t="n">
        <f aca="false">MAX(0,E1462-E1461)*Staffing!$O$30</f>
        <v>0</v>
      </c>
      <c r="K1462" s="10" t="n">
        <f aca="false">MAX(0,E1462-E1461)*Staffing!$P$30</f>
        <v>0</v>
      </c>
      <c r="L1462" s="23" t="n">
        <f aca="false">ROUNDUP(E1462,0)</f>
        <v>0</v>
      </c>
    </row>
    <row r="1463" customFormat="false" ht="15" hidden="false" customHeight="false" outlineLevel="0" collapsed="false">
      <c r="A1463" s="6" t="s">
        <v>4</v>
      </c>
      <c r="B1463" s="6" t="s">
        <v>351</v>
      </c>
      <c r="C1463" s="6" t="n">
        <v>18</v>
      </c>
      <c r="D1463" s="25" t="n">
        <f aca="false">EDATE('Start Here'!$B$6,C1463-1)</f>
        <v>46844</v>
      </c>
      <c r="E1463" s="23" t="n">
        <f aca="false">IF(AND(C1463&gt;=Assumptions!$D$25,C1463&lt;=Staffing!$G$30,'Start Here'!$B$8=1),IF(C1463&lt;=6,Staffing!$H$30,IF(C1463&lt;=15,Staffing!$I$30,IF(C1463&lt;=30,Staffing!$J$30,Staffing!$K$30))),0)</f>
        <v>0</v>
      </c>
      <c r="F1463" s="10" t="n">
        <f aca="false">E1463*Staffing!$L$30/12*(1+Assumptions!$D$10)^INT((C1463-1)/12)*1</f>
        <v>0</v>
      </c>
      <c r="G1463" s="10" t="n">
        <f aca="false">F1463*Staffing!$N$30</f>
        <v>0</v>
      </c>
      <c r="H1463" s="10" t="n">
        <f aca="false">F1463+G1463</f>
        <v>0</v>
      </c>
      <c r="I1463" s="10" t="n">
        <f aca="false">0</f>
        <v>0</v>
      </c>
      <c r="J1463" s="10" t="n">
        <f aca="false">MAX(0,E1463-E1462)*Staffing!$O$30</f>
        <v>0</v>
      </c>
      <c r="K1463" s="10" t="n">
        <f aca="false">MAX(0,E1463-E1462)*Staffing!$P$30</f>
        <v>0</v>
      </c>
      <c r="L1463" s="23" t="n">
        <f aca="false">ROUNDUP(E1463,0)</f>
        <v>0</v>
      </c>
    </row>
    <row r="1464" customFormat="false" ht="15" hidden="false" customHeight="false" outlineLevel="0" collapsed="false">
      <c r="A1464" s="6" t="s">
        <v>4</v>
      </c>
      <c r="B1464" s="6" t="s">
        <v>351</v>
      </c>
      <c r="C1464" s="6" t="n">
        <v>19</v>
      </c>
      <c r="D1464" s="25" t="n">
        <f aca="false">EDATE('Start Here'!$B$6,C1464-1)</f>
        <v>46874</v>
      </c>
      <c r="E1464" s="23" t="n">
        <f aca="false">IF(AND(C1464&gt;=Assumptions!$D$25,C1464&lt;=Staffing!$G$30,'Start Here'!$B$8=1),IF(C1464&lt;=6,Staffing!$H$30,IF(C1464&lt;=15,Staffing!$I$30,IF(C1464&lt;=30,Staffing!$J$30,Staffing!$K$30))),0)</f>
        <v>0</v>
      </c>
      <c r="F1464" s="10" t="n">
        <f aca="false">E1464*Staffing!$L$30/12*(1+Assumptions!$D$10)^INT((C1464-1)/12)*1</f>
        <v>0</v>
      </c>
      <c r="G1464" s="10" t="n">
        <f aca="false">F1464*Staffing!$N$30</f>
        <v>0</v>
      </c>
      <c r="H1464" s="10" t="n">
        <f aca="false">F1464+G1464</f>
        <v>0</v>
      </c>
      <c r="I1464" s="10" t="n">
        <f aca="false">0</f>
        <v>0</v>
      </c>
      <c r="J1464" s="10" t="n">
        <f aca="false">MAX(0,E1464-E1463)*Staffing!$O$30</f>
        <v>0</v>
      </c>
      <c r="K1464" s="10" t="n">
        <f aca="false">MAX(0,E1464-E1463)*Staffing!$P$30</f>
        <v>0</v>
      </c>
      <c r="L1464" s="23" t="n">
        <f aca="false">ROUNDUP(E1464,0)</f>
        <v>0</v>
      </c>
    </row>
    <row r="1465" customFormat="false" ht="15" hidden="false" customHeight="false" outlineLevel="0" collapsed="false">
      <c r="A1465" s="6" t="s">
        <v>4</v>
      </c>
      <c r="B1465" s="6" t="s">
        <v>351</v>
      </c>
      <c r="C1465" s="6" t="n">
        <v>20</v>
      </c>
      <c r="D1465" s="25" t="n">
        <f aca="false">EDATE('Start Here'!$B$6,C1465-1)</f>
        <v>46905</v>
      </c>
      <c r="E1465" s="23" t="n">
        <f aca="false">IF(AND(C1465&gt;=Assumptions!$D$25,C1465&lt;=Staffing!$G$30,'Start Here'!$B$8=1),IF(C1465&lt;=6,Staffing!$H$30,IF(C1465&lt;=15,Staffing!$I$30,IF(C1465&lt;=30,Staffing!$J$30,Staffing!$K$30))),0)</f>
        <v>0</v>
      </c>
      <c r="F1465" s="10" t="n">
        <f aca="false">E1465*Staffing!$L$30/12*(1+Assumptions!$D$10)^INT((C1465-1)/12)*1</f>
        <v>0</v>
      </c>
      <c r="G1465" s="10" t="n">
        <f aca="false">F1465*Staffing!$N$30</f>
        <v>0</v>
      </c>
      <c r="H1465" s="10" t="n">
        <f aca="false">F1465+G1465</f>
        <v>0</v>
      </c>
      <c r="I1465" s="10" t="n">
        <f aca="false">0</f>
        <v>0</v>
      </c>
      <c r="J1465" s="10" t="n">
        <f aca="false">MAX(0,E1465-E1464)*Staffing!$O$30</f>
        <v>0</v>
      </c>
      <c r="K1465" s="10" t="n">
        <f aca="false">MAX(0,E1465-E1464)*Staffing!$P$30</f>
        <v>0</v>
      </c>
      <c r="L1465" s="23" t="n">
        <f aca="false">ROUNDUP(E1465,0)</f>
        <v>0</v>
      </c>
    </row>
    <row r="1466" customFormat="false" ht="15" hidden="false" customHeight="false" outlineLevel="0" collapsed="false">
      <c r="A1466" s="6" t="s">
        <v>4</v>
      </c>
      <c r="B1466" s="6" t="s">
        <v>351</v>
      </c>
      <c r="C1466" s="6" t="n">
        <v>21</v>
      </c>
      <c r="D1466" s="25" t="n">
        <f aca="false">EDATE('Start Here'!$B$6,C1466-1)</f>
        <v>46935</v>
      </c>
      <c r="E1466" s="23" t="n">
        <f aca="false">IF(AND(C1466&gt;=Assumptions!$D$25,C1466&lt;=Staffing!$G$30,'Start Here'!$B$8=1),IF(C1466&lt;=6,Staffing!$H$30,IF(C1466&lt;=15,Staffing!$I$30,IF(C1466&lt;=30,Staffing!$J$30,Staffing!$K$30))),0)</f>
        <v>0</v>
      </c>
      <c r="F1466" s="10" t="n">
        <f aca="false">E1466*Staffing!$L$30/12*(1+Assumptions!$D$10)^INT((C1466-1)/12)*1</f>
        <v>0</v>
      </c>
      <c r="G1466" s="10" t="n">
        <f aca="false">F1466*Staffing!$N$30</f>
        <v>0</v>
      </c>
      <c r="H1466" s="10" t="n">
        <f aca="false">F1466+G1466</f>
        <v>0</v>
      </c>
      <c r="I1466" s="10" t="n">
        <f aca="false">0</f>
        <v>0</v>
      </c>
      <c r="J1466" s="10" t="n">
        <f aca="false">MAX(0,E1466-E1465)*Staffing!$O$30</f>
        <v>0</v>
      </c>
      <c r="K1466" s="10" t="n">
        <f aca="false">MAX(0,E1466-E1465)*Staffing!$P$30</f>
        <v>0</v>
      </c>
      <c r="L1466" s="23" t="n">
        <f aca="false">ROUNDUP(E1466,0)</f>
        <v>0</v>
      </c>
    </row>
    <row r="1467" customFormat="false" ht="15" hidden="false" customHeight="false" outlineLevel="0" collapsed="false">
      <c r="A1467" s="6" t="s">
        <v>4</v>
      </c>
      <c r="B1467" s="6" t="s">
        <v>351</v>
      </c>
      <c r="C1467" s="6" t="n">
        <v>22</v>
      </c>
      <c r="D1467" s="25" t="n">
        <f aca="false">EDATE('Start Here'!$B$6,C1467-1)</f>
        <v>46966</v>
      </c>
      <c r="E1467" s="23" t="n">
        <f aca="false">IF(AND(C1467&gt;=Assumptions!$D$25,C1467&lt;=Staffing!$G$30,'Start Here'!$B$8=1),IF(C1467&lt;=6,Staffing!$H$30,IF(C1467&lt;=15,Staffing!$I$30,IF(C1467&lt;=30,Staffing!$J$30,Staffing!$K$30))),0)</f>
        <v>0</v>
      </c>
      <c r="F1467" s="10" t="n">
        <f aca="false">E1467*Staffing!$L$30/12*(1+Assumptions!$D$10)^INT((C1467-1)/12)*1</f>
        <v>0</v>
      </c>
      <c r="G1467" s="10" t="n">
        <f aca="false">F1467*Staffing!$N$30</f>
        <v>0</v>
      </c>
      <c r="H1467" s="10" t="n">
        <f aca="false">F1467+G1467</f>
        <v>0</v>
      </c>
      <c r="I1467" s="10" t="n">
        <f aca="false">0</f>
        <v>0</v>
      </c>
      <c r="J1467" s="10" t="n">
        <f aca="false">MAX(0,E1467-E1466)*Staffing!$O$30</f>
        <v>0</v>
      </c>
      <c r="K1467" s="10" t="n">
        <f aca="false">MAX(0,E1467-E1466)*Staffing!$P$30</f>
        <v>0</v>
      </c>
      <c r="L1467" s="23" t="n">
        <f aca="false">ROUNDUP(E1467,0)</f>
        <v>0</v>
      </c>
    </row>
    <row r="1468" customFormat="false" ht="15" hidden="false" customHeight="false" outlineLevel="0" collapsed="false">
      <c r="A1468" s="6" t="s">
        <v>4</v>
      </c>
      <c r="B1468" s="6" t="s">
        <v>351</v>
      </c>
      <c r="C1468" s="6" t="n">
        <v>23</v>
      </c>
      <c r="D1468" s="25" t="n">
        <f aca="false">EDATE('Start Here'!$B$6,C1468-1)</f>
        <v>46997</v>
      </c>
      <c r="E1468" s="23" t="n">
        <f aca="false">IF(AND(C1468&gt;=Assumptions!$D$25,C1468&lt;=Staffing!$G$30,'Start Here'!$B$8=1),IF(C1468&lt;=6,Staffing!$H$30,IF(C1468&lt;=15,Staffing!$I$30,IF(C1468&lt;=30,Staffing!$J$30,Staffing!$K$30))),0)</f>
        <v>0</v>
      </c>
      <c r="F1468" s="10" t="n">
        <f aca="false">E1468*Staffing!$L$30/12*(1+Assumptions!$D$10)^INT((C1468-1)/12)*1</f>
        <v>0</v>
      </c>
      <c r="G1468" s="10" t="n">
        <f aca="false">F1468*Staffing!$N$30</f>
        <v>0</v>
      </c>
      <c r="H1468" s="10" t="n">
        <f aca="false">F1468+G1468</f>
        <v>0</v>
      </c>
      <c r="I1468" s="10" t="n">
        <f aca="false">0</f>
        <v>0</v>
      </c>
      <c r="J1468" s="10" t="n">
        <f aca="false">MAX(0,E1468-E1467)*Staffing!$O$30</f>
        <v>0</v>
      </c>
      <c r="K1468" s="10" t="n">
        <f aca="false">MAX(0,E1468-E1467)*Staffing!$P$30</f>
        <v>0</v>
      </c>
      <c r="L1468" s="23" t="n">
        <f aca="false">ROUNDUP(E1468,0)</f>
        <v>0</v>
      </c>
    </row>
    <row r="1469" customFormat="false" ht="15" hidden="false" customHeight="false" outlineLevel="0" collapsed="false">
      <c r="A1469" s="6" t="s">
        <v>4</v>
      </c>
      <c r="B1469" s="6" t="s">
        <v>351</v>
      </c>
      <c r="C1469" s="6" t="n">
        <v>24</v>
      </c>
      <c r="D1469" s="25" t="n">
        <f aca="false">EDATE('Start Here'!$B$6,C1469-1)</f>
        <v>47027</v>
      </c>
      <c r="E1469" s="23" t="n">
        <f aca="false">IF(AND(C1469&gt;=Assumptions!$D$25,C1469&lt;=Staffing!$G$30,'Start Here'!$B$8=1),IF(C1469&lt;=6,Staffing!$H$30,IF(C1469&lt;=15,Staffing!$I$30,IF(C1469&lt;=30,Staffing!$J$30,Staffing!$K$30))),0)</f>
        <v>0</v>
      </c>
      <c r="F1469" s="10" t="n">
        <f aca="false">E1469*Staffing!$L$30/12*(1+Assumptions!$D$10)^INT((C1469-1)/12)*1</f>
        <v>0</v>
      </c>
      <c r="G1469" s="10" t="n">
        <f aca="false">F1469*Staffing!$N$30</f>
        <v>0</v>
      </c>
      <c r="H1469" s="10" t="n">
        <f aca="false">F1469+G1469</f>
        <v>0</v>
      </c>
      <c r="I1469" s="10" t="n">
        <f aca="false">0</f>
        <v>0</v>
      </c>
      <c r="J1469" s="10" t="n">
        <f aca="false">MAX(0,E1469-E1468)*Staffing!$O$30</f>
        <v>0</v>
      </c>
      <c r="K1469" s="10" t="n">
        <f aca="false">MAX(0,E1469-E1468)*Staffing!$P$30</f>
        <v>0</v>
      </c>
      <c r="L1469" s="23" t="n">
        <f aca="false">ROUNDUP(E1469,0)</f>
        <v>0</v>
      </c>
    </row>
    <row r="1470" customFormat="false" ht="15" hidden="false" customHeight="false" outlineLevel="0" collapsed="false">
      <c r="A1470" s="6" t="s">
        <v>4</v>
      </c>
      <c r="B1470" s="6" t="s">
        <v>351</v>
      </c>
      <c r="C1470" s="6" t="n">
        <v>25</v>
      </c>
      <c r="D1470" s="25" t="n">
        <f aca="false">EDATE('Start Here'!$B$6,C1470-1)</f>
        <v>47058</v>
      </c>
      <c r="E1470" s="23" t="n">
        <f aca="false">IF(AND(C1470&gt;=Assumptions!$D$25,C1470&lt;=Staffing!$G$30,'Start Here'!$B$8=1),IF(C1470&lt;=6,Staffing!$H$30,IF(C1470&lt;=15,Staffing!$I$30,IF(C1470&lt;=30,Staffing!$J$30,Staffing!$K$30))),0)</f>
        <v>0</v>
      </c>
      <c r="F1470" s="10" t="n">
        <f aca="false">E1470*Staffing!$L$30/12*(1+Assumptions!$D$10)^INT((C1470-1)/12)*1</f>
        <v>0</v>
      </c>
      <c r="G1470" s="10" t="n">
        <f aca="false">F1470*Staffing!$N$30</f>
        <v>0</v>
      </c>
      <c r="H1470" s="10" t="n">
        <f aca="false">F1470+G1470</f>
        <v>0</v>
      </c>
      <c r="I1470" s="10" t="n">
        <f aca="false">0</f>
        <v>0</v>
      </c>
      <c r="J1470" s="10" t="n">
        <f aca="false">MAX(0,E1470-E1469)*Staffing!$O$30</f>
        <v>0</v>
      </c>
      <c r="K1470" s="10" t="n">
        <f aca="false">MAX(0,E1470-E1469)*Staffing!$P$30</f>
        <v>0</v>
      </c>
      <c r="L1470" s="23" t="n">
        <f aca="false">ROUNDUP(E1470,0)</f>
        <v>0</v>
      </c>
    </row>
    <row r="1471" customFormat="false" ht="15" hidden="false" customHeight="false" outlineLevel="0" collapsed="false">
      <c r="A1471" s="6" t="s">
        <v>4</v>
      </c>
      <c r="B1471" s="6" t="s">
        <v>351</v>
      </c>
      <c r="C1471" s="6" t="n">
        <v>26</v>
      </c>
      <c r="D1471" s="25" t="n">
        <f aca="false">EDATE('Start Here'!$B$6,C1471-1)</f>
        <v>47088</v>
      </c>
      <c r="E1471" s="23" t="n">
        <f aca="false">IF(AND(C1471&gt;=Assumptions!$D$25,C1471&lt;=Staffing!$G$30,'Start Here'!$B$8=1),IF(C1471&lt;=6,Staffing!$H$30,IF(C1471&lt;=15,Staffing!$I$30,IF(C1471&lt;=30,Staffing!$J$30,Staffing!$K$30))),0)</f>
        <v>0</v>
      </c>
      <c r="F1471" s="10" t="n">
        <f aca="false">E1471*Staffing!$L$30/12*(1+Assumptions!$D$10)^INT((C1471-1)/12)*1</f>
        <v>0</v>
      </c>
      <c r="G1471" s="10" t="n">
        <f aca="false">F1471*Staffing!$N$30</f>
        <v>0</v>
      </c>
      <c r="H1471" s="10" t="n">
        <f aca="false">F1471+G1471</f>
        <v>0</v>
      </c>
      <c r="I1471" s="10" t="n">
        <f aca="false">0</f>
        <v>0</v>
      </c>
      <c r="J1471" s="10" t="n">
        <f aca="false">MAX(0,E1471-E1470)*Staffing!$O$30</f>
        <v>0</v>
      </c>
      <c r="K1471" s="10" t="n">
        <f aca="false">MAX(0,E1471-E1470)*Staffing!$P$30</f>
        <v>0</v>
      </c>
      <c r="L1471" s="23" t="n">
        <f aca="false">ROUNDUP(E1471,0)</f>
        <v>0</v>
      </c>
    </row>
    <row r="1472" customFormat="false" ht="15" hidden="false" customHeight="false" outlineLevel="0" collapsed="false">
      <c r="A1472" s="6" t="s">
        <v>4</v>
      </c>
      <c r="B1472" s="6" t="s">
        <v>351</v>
      </c>
      <c r="C1472" s="6" t="n">
        <v>27</v>
      </c>
      <c r="D1472" s="25" t="n">
        <f aca="false">EDATE('Start Here'!$B$6,C1472-1)</f>
        <v>47119</v>
      </c>
      <c r="E1472" s="23" t="n">
        <f aca="false">IF(AND(C1472&gt;=Assumptions!$D$25,C1472&lt;=Staffing!$G$30,'Start Here'!$B$8=1),IF(C1472&lt;=6,Staffing!$H$30,IF(C1472&lt;=15,Staffing!$I$30,IF(C1472&lt;=30,Staffing!$J$30,Staffing!$K$30))),0)</f>
        <v>0</v>
      </c>
      <c r="F1472" s="10" t="n">
        <f aca="false">E1472*Staffing!$L$30/12*(1+Assumptions!$D$10)^INT((C1472-1)/12)*1</f>
        <v>0</v>
      </c>
      <c r="G1472" s="10" t="n">
        <f aca="false">F1472*Staffing!$N$30</f>
        <v>0</v>
      </c>
      <c r="H1472" s="10" t="n">
        <f aca="false">F1472+G1472</f>
        <v>0</v>
      </c>
      <c r="I1472" s="10" t="n">
        <f aca="false">0</f>
        <v>0</v>
      </c>
      <c r="J1472" s="10" t="n">
        <f aca="false">MAX(0,E1472-E1471)*Staffing!$O$30</f>
        <v>0</v>
      </c>
      <c r="K1472" s="10" t="n">
        <f aca="false">MAX(0,E1472-E1471)*Staffing!$P$30</f>
        <v>0</v>
      </c>
      <c r="L1472" s="23" t="n">
        <f aca="false">ROUNDUP(E1472,0)</f>
        <v>0</v>
      </c>
    </row>
    <row r="1473" customFormat="false" ht="15" hidden="false" customHeight="false" outlineLevel="0" collapsed="false">
      <c r="A1473" s="6" t="s">
        <v>4</v>
      </c>
      <c r="B1473" s="6" t="s">
        <v>351</v>
      </c>
      <c r="C1473" s="6" t="n">
        <v>28</v>
      </c>
      <c r="D1473" s="25" t="n">
        <f aca="false">EDATE('Start Here'!$B$6,C1473-1)</f>
        <v>47150</v>
      </c>
      <c r="E1473" s="23" t="n">
        <f aca="false">IF(AND(C1473&gt;=Assumptions!$D$25,C1473&lt;=Staffing!$G$30,'Start Here'!$B$8=1),IF(C1473&lt;=6,Staffing!$H$30,IF(C1473&lt;=15,Staffing!$I$30,IF(C1473&lt;=30,Staffing!$J$30,Staffing!$K$30))),0)</f>
        <v>0</v>
      </c>
      <c r="F1473" s="10" t="n">
        <f aca="false">E1473*Staffing!$L$30/12*(1+Assumptions!$D$10)^INT((C1473-1)/12)*1</f>
        <v>0</v>
      </c>
      <c r="G1473" s="10" t="n">
        <f aca="false">F1473*Staffing!$N$30</f>
        <v>0</v>
      </c>
      <c r="H1473" s="10" t="n">
        <f aca="false">F1473+G1473</f>
        <v>0</v>
      </c>
      <c r="I1473" s="10" t="n">
        <f aca="false">0</f>
        <v>0</v>
      </c>
      <c r="J1473" s="10" t="n">
        <f aca="false">MAX(0,E1473-E1472)*Staffing!$O$30</f>
        <v>0</v>
      </c>
      <c r="K1473" s="10" t="n">
        <f aca="false">MAX(0,E1473-E1472)*Staffing!$P$30</f>
        <v>0</v>
      </c>
      <c r="L1473" s="23" t="n">
        <f aca="false">ROUNDUP(E1473,0)</f>
        <v>0</v>
      </c>
    </row>
    <row r="1474" customFormat="false" ht="15" hidden="false" customHeight="false" outlineLevel="0" collapsed="false">
      <c r="A1474" s="6" t="s">
        <v>4</v>
      </c>
      <c r="B1474" s="6" t="s">
        <v>351</v>
      </c>
      <c r="C1474" s="6" t="n">
        <v>29</v>
      </c>
      <c r="D1474" s="25" t="n">
        <f aca="false">EDATE('Start Here'!$B$6,C1474-1)</f>
        <v>47178</v>
      </c>
      <c r="E1474" s="23" t="n">
        <f aca="false">IF(AND(C1474&gt;=Assumptions!$D$25,C1474&lt;=Staffing!$G$30,'Start Here'!$B$8=1),IF(C1474&lt;=6,Staffing!$H$30,IF(C1474&lt;=15,Staffing!$I$30,IF(C1474&lt;=30,Staffing!$J$30,Staffing!$K$30))),0)</f>
        <v>0</v>
      </c>
      <c r="F1474" s="10" t="n">
        <f aca="false">E1474*Staffing!$L$30/12*(1+Assumptions!$D$10)^INT((C1474-1)/12)*1</f>
        <v>0</v>
      </c>
      <c r="G1474" s="10" t="n">
        <f aca="false">F1474*Staffing!$N$30</f>
        <v>0</v>
      </c>
      <c r="H1474" s="10" t="n">
        <f aca="false">F1474+G1474</f>
        <v>0</v>
      </c>
      <c r="I1474" s="10" t="n">
        <f aca="false">0</f>
        <v>0</v>
      </c>
      <c r="J1474" s="10" t="n">
        <f aca="false">MAX(0,E1474-E1473)*Staffing!$O$30</f>
        <v>0</v>
      </c>
      <c r="K1474" s="10" t="n">
        <f aca="false">MAX(0,E1474-E1473)*Staffing!$P$30</f>
        <v>0</v>
      </c>
      <c r="L1474" s="23" t="n">
        <f aca="false">ROUNDUP(E1474,0)</f>
        <v>0</v>
      </c>
    </row>
    <row r="1475" customFormat="false" ht="15" hidden="false" customHeight="false" outlineLevel="0" collapsed="false">
      <c r="A1475" s="6" t="s">
        <v>4</v>
      </c>
      <c r="B1475" s="6" t="s">
        <v>351</v>
      </c>
      <c r="C1475" s="6" t="n">
        <v>30</v>
      </c>
      <c r="D1475" s="25" t="n">
        <f aca="false">EDATE('Start Here'!$B$6,C1475-1)</f>
        <v>47209</v>
      </c>
      <c r="E1475" s="23" t="n">
        <f aca="false">IF(AND(C1475&gt;=Assumptions!$D$25,C1475&lt;=Staffing!$G$30,'Start Here'!$B$8=1),IF(C1475&lt;=6,Staffing!$H$30,IF(C1475&lt;=15,Staffing!$I$30,IF(C1475&lt;=30,Staffing!$J$30,Staffing!$K$30))),0)</f>
        <v>0</v>
      </c>
      <c r="F1475" s="10" t="n">
        <f aca="false">E1475*Staffing!$L$30/12*(1+Assumptions!$D$10)^INT((C1475-1)/12)*1</f>
        <v>0</v>
      </c>
      <c r="G1475" s="10" t="n">
        <f aca="false">F1475*Staffing!$N$30</f>
        <v>0</v>
      </c>
      <c r="H1475" s="10" t="n">
        <f aca="false">F1475+G1475</f>
        <v>0</v>
      </c>
      <c r="I1475" s="10" t="n">
        <f aca="false">0</f>
        <v>0</v>
      </c>
      <c r="J1475" s="10" t="n">
        <f aca="false">MAX(0,E1475-E1474)*Staffing!$O$30</f>
        <v>0</v>
      </c>
      <c r="K1475" s="10" t="n">
        <f aca="false">MAX(0,E1475-E1474)*Staffing!$P$30</f>
        <v>0</v>
      </c>
      <c r="L1475" s="23" t="n">
        <f aca="false">ROUNDUP(E1475,0)</f>
        <v>0</v>
      </c>
    </row>
    <row r="1476" customFormat="false" ht="15" hidden="false" customHeight="false" outlineLevel="0" collapsed="false">
      <c r="A1476" s="6" t="s">
        <v>4</v>
      </c>
      <c r="B1476" s="6" t="s">
        <v>351</v>
      </c>
      <c r="C1476" s="6" t="n">
        <v>31</v>
      </c>
      <c r="D1476" s="25" t="n">
        <f aca="false">EDATE('Start Here'!$B$6,C1476-1)</f>
        <v>47239</v>
      </c>
      <c r="E1476" s="23" t="n">
        <f aca="false">IF(AND(C1476&gt;=Assumptions!$D$25,C1476&lt;=Staffing!$G$30,'Start Here'!$B$8=1),IF(C1476&lt;=6,Staffing!$H$30,IF(C1476&lt;=15,Staffing!$I$30,IF(C1476&lt;=30,Staffing!$J$30,Staffing!$K$30))),0)</f>
        <v>0</v>
      </c>
      <c r="F1476" s="10" t="n">
        <f aca="false">E1476*Staffing!$L$30/12*(1+Assumptions!$D$10)^INT((C1476-1)/12)*1</f>
        <v>0</v>
      </c>
      <c r="G1476" s="10" t="n">
        <f aca="false">F1476*Staffing!$N$30</f>
        <v>0</v>
      </c>
      <c r="H1476" s="10" t="n">
        <f aca="false">F1476+G1476</f>
        <v>0</v>
      </c>
      <c r="I1476" s="10" t="n">
        <f aca="false">0</f>
        <v>0</v>
      </c>
      <c r="J1476" s="10" t="n">
        <f aca="false">MAX(0,E1476-E1475)*Staffing!$O$30</f>
        <v>0</v>
      </c>
      <c r="K1476" s="10" t="n">
        <f aca="false">MAX(0,E1476-E1475)*Staffing!$P$30</f>
        <v>0</v>
      </c>
      <c r="L1476" s="23" t="n">
        <f aca="false">ROUNDUP(E1476,0)</f>
        <v>0</v>
      </c>
    </row>
    <row r="1477" customFormat="false" ht="15" hidden="false" customHeight="false" outlineLevel="0" collapsed="false">
      <c r="A1477" s="6" t="s">
        <v>4</v>
      </c>
      <c r="B1477" s="6" t="s">
        <v>351</v>
      </c>
      <c r="C1477" s="6" t="n">
        <v>32</v>
      </c>
      <c r="D1477" s="25" t="n">
        <f aca="false">EDATE('Start Here'!$B$6,C1477-1)</f>
        <v>47270</v>
      </c>
      <c r="E1477" s="23" t="n">
        <f aca="false">IF(AND(C1477&gt;=Assumptions!$D$25,C1477&lt;=Staffing!$G$30,'Start Here'!$B$8=1),IF(C1477&lt;=6,Staffing!$H$30,IF(C1477&lt;=15,Staffing!$I$30,IF(C1477&lt;=30,Staffing!$J$30,Staffing!$K$30))),0)</f>
        <v>0</v>
      </c>
      <c r="F1477" s="10" t="n">
        <f aca="false">E1477*Staffing!$L$30/12*(1+Assumptions!$D$10)^INT((C1477-1)/12)*1</f>
        <v>0</v>
      </c>
      <c r="G1477" s="10" t="n">
        <f aca="false">F1477*Staffing!$N$30</f>
        <v>0</v>
      </c>
      <c r="H1477" s="10" t="n">
        <f aca="false">F1477+G1477</f>
        <v>0</v>
      </c>
      <c r="I1477" s="10" t="n">
        <f aca="false">0</f>
        <v>0</v>
      </c>
      <c r="J1477" s="10" t="n">
        <f aca="false">MAX(0,E1477-E1476)*Staffing!$O$30</f>
        <v>0</v>
      </c>
      <c r="K1477" s="10" t="n">
        <f aca="false">MAX(0,E1477-E1476)*Staffing!$P$30</f>
        <v>0</v>
      </c>
      <c r="L1477" s="23" t="n">
        <f aca="false">ROUNDUP(E1477,0)</f>
        <v>0</v>
      </c>
    </row>
    <row r="1478" customFormat="false" ht="15" hidden="false" customHeight="false" outlineLevel="0" collapsed="false">
      <c r="A1478" s="6" t="s">
        <v>4</v>
      </c>
      <c r="B1478" s="6" t="s">
        <v>351</v>
      </c>
      <c r="C1478" s="6" t="n">
        <v>33</v>
      </c>
      <c r="D1478" s="25" t="n">
        <f aca="false">EDATE('Start Here'!$B$6,C1478-1)</f>
        <v>47300</v>
      </c>
      <c r="E1478" s="23" t="n">
        <f aca="false">IF(AND(C1478&gt;=Assumptions!$D$25,C1478&lt;=Staffing!$G$30,'Start Here'!$B$8=1),IF(C1478&lt;=6,Staffing!$H$30,IF(C1478&lt;=15,Staffing!$I$30,IF(C1478&lt;=30,Staffing!$J$30,Staffing!$K$30))),0)</f>
        <v>0</v>
      </c>
      <c r="F1478" s="10" t="n">
        <f aca="false">E1478*Staffing!$L$30/12*(1+Assumptions!$D$10)^INT((C1478-1)/12)*1</f>
        <v>0</v>
      </c>
      <c r="G1478" s="10" t="n">
        <f aca="false">F1478*Staffing!$N$30</f>
        <v>0</v>
      </c>
      <c r="H1478" s="10" t="n">
        <f aca="false">F1478+G1478</f>
        <v>0</v>
      </c>
      <c r="I1478" s="10" t="n">
        <f aca="false">0</f>
        <v>0</v>
      </c>
      <c r="J1478" s="10" t="n">
        <f aca="false">MAX(0,E1478-E1477)*Staffing!$O$30</f>
        <v>0</v>
      </c>
      <c r="K1478" s="10" t="n">
        <f aca="false">MAX(0,E1478-E1477)*Staffing!$P$30</f>
        <v>0</v>
      </c>
      <c r="L1478" s="23" t="n">
        <f aca="false">ROUNDUP(E1478,0)</f>
        <v>0</v>
      </c>
    </row>
    <row r="1479" customFormat="false" ht="15" hidden="false" customHeight="false" outlineLevel="0" collapsed="false">
      <c r="A1479" s="6" t="s">
        <v>4</v>
      </c>
      <c r="B1479" s="6" t="s">
        <v>351</v>
      </c>
      <c r="C1479" s="6" t="n">
        <v>34</v>
      </c>
      <c r="D1479" s="25" t="n">
        <f aca="false">EDATE('Start Here'!$B$6,C1479-1)</f>
        <v>47331</v>
      </c>
      <c r="E1479" s="23" t="n">
        <f aca="false">IF(AND(C1479&gt;=Assumptions!$D$25,C1479&lt;=Staffing!$G$30,'Start Here'!$B$8=1),IF(C1479&lt;=6,Staffing!$H$30,IF(C1479&lt;=15,Staffing!$I$30,IF(C1479&lt;=30,Staffing!$J$30,Staffing!$K$30))),0)</f>
        <v>0</v>
      </c>
      <c r="F1479" s="10" t="n">
        <f aca="false">E1479*Staffing!$L$30/12*(1+Assumptions!$D$10)^INT((C1479-1)/12)*1</f>
        <v>0</v>
      </c>
      <c r="G1479" s="10" t="n">
        <f aca="false">F1479*Staffing!$N$30</f>
        <v>0</v>
      </c>
      <c r="H1479" s="10" t="n">
        <f aca="false">F1479+G1479</f>
        <v>0</v>
      </c>
      <c r="I1479" s="10" t="n">
        <f aca="false">0</f>
        <v>0</v>
      </c>
      <c r="J1479" s="10" t="n">
        <f aca="false">MAX(0,E1479-E1478)*Staffing!$O$30</f>
        <v>0</v>
      </c>
      <c r="K1479" s="10" t="n">
        <f aca="false">MAX(0,E1479-E1478)*Staffing!$P$30</f>
        <v>0</v>
      </c>
      <c r="L1479" s="23" t="n">
        <f aca="false">ROUNDUP(E1479,0)</f>
        <v>0</v>
      </c>
    </row>
    <row r="1480" customFormat="false" ht="15" hidden="false" customHeight="false" outlineLevel="0" collapsed="false">
      <c r="A1480" s="6" t="s">
        <v>4</v>
      </c>
      <c r="B1480" s="6" t="s">
        <v>351</v>
      </c>
      <c r="C1480" s="6" t="n">
        <v>35</v>
      </c>
      <c r="D1480" s="25" t="n">
        <f aca="false">EDATE('Start Here'!$B$6,C1480-1)</f>
        <v>47362</v>
      </c>
      <c r="E1480" s="23" t="n">
        <f aca="false">IF(AND(C1480&gt;=Assumptions!$D$25,C1480&lt;=Staffing!$G$30,'Start Here'!$B$8=1),IF(C1480&lt;=6,Staffing!$H$30,IF(C1480&lt;=15,Staffing!$I$30,IF(C1480&lt;=30,Staffing!$J$30,Staffing!$K$30))),0)</f>
        <v>0</v>
      </c>
      <c r="F1480" s="10" t="n">
        <f aca="false">E1480*Staffing!$L$30/12*(1+Assumptions!$D$10)^INT((C1480-1)/12)*1</f>
        <v>0</v>
      </c>
      <c r="G1480" s="10" t="n">
        <f aca="false">F1480*Staffing!$N$30</f>
        <v>0</v>
      </c>
      <c r="H1480" s="10" t="n">
        <f aca="false">F1480+G1480</f>
        <v>0</v>
      </c>
      <c r="I1480" s="10" t="n">
        <f aca="false">0</f>
        <v>0</v>
      </c>
      <c r="J1480" s="10" t="n">
        <f aca="false">MAX(0,E1480-E1479)*Staffing!$O$30</f>
        <v>0</v>
      </c>
      <c r="K1480" s="10" t="n">
        <f aca="false">MAX(0,E1480-E1479)*Staffing!$P$30</f>
        <v>0</v>
      </c>
      <c r="L1480" s="23" t="n">
        <f aca="false">ROUNDUP(E1480,0)</f>
        <v>0</v>
      </c>
    </row>
    <row r="1481" customFormat="false" ht="15" hidden="false" customHeight="false" outlineLevel="0" collapsed="false">
      <c r="A1481" s="6" t="s">
        <v>4</v>
      </c>
      <c r="B1481" s="6" t="s">
        <v>351</v>
      </c>
      <c r="C1481" s="6" t="n">
        <v>36</v>
      </c>
      <c r="D1481" s="25" t="n">
        <f aca="false">EDATE('Start Here'!$B$6,C1481-1)</f>
        <v>47392</v>
      </c>
      <c r="E1481" s="23" t="n">
        <f aca="false">IF(AND(C1481&gt;=Assumptions!$D$25,C1481&lt;=Staffing!$G$30,'Start Here'!$B$8=1),IF(C1481&lt;=6,Staffing!$H$30,IF(C1481&lt;=15,Staffing!$I$30,IF(C1481&lt;=30,Staffing!$J$30,Staffing!$K$30))),0)</f>
        <v>0</v>
      </c>
      <c r="F1481" s="10" t="n">
        <f aca="false">E1481*Staffing!$L$30/12*(1+Assumptions!$D$10)^INT((C1481-1)/12)*1</f>
        <v>0</v>
      </c>
      <c r="G1481" s="10" t="n">
        <f aca="false">F1481*Staffing!$N$30</f>
        <v>0</v>
      </c>
      <c r="H1481" s="10" t="n">
        <f aca="false">F1481+G1481</f>
        <v>0</v>
      </c>
      <c r="I1481" s="10" t="n">
        <f aca="false">0</f>
        <v>0</v>
      </c>
      <c r="J1481" s="10" t="n">
        <f aca="false">MAX(0,E1481-E1480)*Staffing!$O$30</f>
        <v>0</v>
      </c>
      <c r="K1481" s="10" t="n">
        <f aca="false">MAX(0,E1481-E1480)*Staffing!$P$30</f>
        <v>0</v>
      </c>
      <c r="L1481" s="23" t="n">
        <f aca="false">ROUNDUP(E1481,0)</f>
        <v>0</v>
      </c>
    </row>
    <row r="1482" customFormat="false" ht="15" hidden="false" customHeight="false" outlineLevel="0" collapsed="false">
      <c r="A1482" s="6" t="s">
        <v>4</v>
      </c>
      <c r="B1482" s="6" t="s">
        <v>351</v>
      </c>
      <c r="C1482" s="6" t="n">
        <v>37</v>
      </c>
      <c r="D1482" s="25" t="n">
        <f aca="false">EDATE('Start Here'!$B$6,C1482-1)</f>
        <v>47423</v>
      </c>
      <c r="E1482" s="23" t="n">
        <f aca="false">IF(AND(C1482&gt;=Assumptions!$D$25,C1482&lt;=Staffing!$G$30,'Start Here'!$B$8=1),IF(C1482&lt;=6,Staffing!$H$30,IF(C1482&lt;=15,Staffing!$I$30,IF(C1482&lt;=30,Staffing!$J$30,Staffing!$K$30))),0)</f>
        <v>0</v>
      </c>
      <c r="F1482" s="10" t="n">
        <f aca="false">E1482*Staffing!$L$30/12*(1+Assumptions!$D$10)^INT((C1482-1)/12)*1</f>
        <v>0</v>
      </c>
      <c r="G1482" s="10" t="n">
        <f aca="false">F1482*Staffing!$N$30</f>
        <v>0</v>
      </c>
      <c r="H1482" s="10" t="n">
        <f aca="false">F1482+G1482</f>
        <v>0</v>
      </c>
      <c r="I1482" s="10" t="n">
        <f aca="false">0</f>
        <v>0</v>
      </c>
      <c r="J1482" s="10" t="n">
        <f aca="false">MAX(0,E1482-E1481)*Staffing!$O$30</f>
        <v>0</v>
      </c>
      <c r="K1482" s="10" t="n">
        <f aca="false">MAX(0,E1482-E1481)*Staffing!$P$30</f>
        <v>0</v>
      </c>
      <c r="L1482" s="23" t="n">
        <f aca="false">ROUNDUP(E1482,0)</f>
        <v>0</v>
      </c>
    </row>
    <row r="1483" customFormat="false" ht="15" hidden="false" customHeight="false" outlineLevel="0" collapsed="false">
      <c r="A1483" s="6" t="s">
        <v>4</v>
      </c>
      <c r="B1483" s="6" t="s">
        <v>351</v>
      </c>
      <c r="C1483" s="6" t="n">
        <v>38</v>
      </c>
      <c r="D1483" s="25" t="n">
        <f aca="false">EDATE('Start Here'!$B$6,C1483-1)</f>
        <v>47453</v>
      </c>
      <c r="E1483" s="23" t="n">
        <f aca="false">IF(AND(C1483&gt;=Assumptions!$D$25,C1483&lt;=Staffing!$G$30,'Start Here'!$B$8=1),IF(C1483&lt;=6,Staffing!$H$30,IF(C1483&lt;=15,Staffing!$I$30,IF(C1483&lt;=30,Staffing!$J$30,Staffing!$K$30))),0)</f>
        <v>0</v>
      </c>
      <c r="F1483" s="10" t="n">
        <f aca="false">E1483*Staffing!$L$30/12*(1+Assumptions!$D$10)^INT((C1483-1)/12)*1</f>
        <v>0</v>
      </c>
      <c r="G1483" s="10" t="n">
        <f aca="false">F1483*Staffing!$N$30</f>
        <v>0</v>
      </c>
      <c r="H1483" s="10" t="n">
        <f aca="false">F1483+G1483</f>
        <v>0</v>
      </c>
      <c r="I1483" s="10" t="n">
        <f aca="false">0</f>
        <v>0</v>
      </c>
      <c r="J1483" s="10" t="n">
        <f aca="false">MAX(0,E1483-E1482)*Staffing!$O$30</f>
        <v>0</v>
      </c>
      <c r="K1483" s="10" t="n">
        <f aca="false">MAX(0,E1483-E1482)*Staffing!$P$30</f>
        <v>0</v>
      </c>
      <c r="L1483" s="23" t="n">
        <f aca="false">ROUNDUP(E1483,0)</f>
        <v>0</v>
      </c>
    </row>
    <row r="1484" customFormat="false" ht="15" hidden="false" customHeight="false" outlineLevel="0" collapsed="false">
      <c r="A1484" s="6" t="s">
        <v>4</v>
      </c>
      <c r="B1484" s="6" t="s">
        <v>351</v>
      </c>
      <c r="C1484" s="6" t="n">
        <v>39</v>
      </c>
      <c r="D1484" s="25" t="n">
        <f aca="false">EDATE('Start Here'!$B$6,C1484-1)</f>
        <v>47484</v>
      </c>
      <c r="E1484" s="23" t="n">
        <f aca="false">IF(AND(C1484&gt;=Assumptions!$D$25,C1484&lt;=Staffing!$G$30,'Start Here'!$B$8=1),IF(C1484&lt;=6,Staffing!$H$30,IF(C1484&lt;=15,Staffing!$I$30,IF(C1484&lt;=30,Staffing!$J$30,Staffing!$K$30))),0)</f>
        <v>0</v>
      </c>
      <c r="F1484" s="10" t="n">
        <f aca="false">E1484*Staffing!$L$30/12*(1+Assumptions!$D$10)^INT((C1484-1)/12)*1</f>
        <v>0</v>
      </c>
      <c r="G1484" s="10" t="n">
        <f aca="false">F1484*Staffing!$N$30</f>
        <v>0</v>
      </c>
      <c r="H1484" s="10" t="n">
        <f aca="false">F1484+G1484</f>
        <v>0</v>
      </c>
      <c r="I1484" s="10" t="n">
        <f aca="false">0</f>
        <v>0</v>
      </c>
      <c r="J1484" s="10" t="n">
        <f aca="false">MAX(0,E1484-E1483)*Staffing!$O$30</f>
        <v>0</v>
      </c>
      <c r="K1484" s="10" t="n">
        <f aca="false">MAX(0,E1484-E1483)*Staffing!$P$30</f>
        <v>0</v>
      </c>
      <c r="L1484" s="23" t="n">
        <f aca="false">ROUNDUP(E1484,0)</f>
        <v>0</v>
      </c>
    </row>
    <row r="1485" customFormat="false" ht="15" hidden="false" customHeight="false" outlineLevel="0" collapsed="false">
      <c r="A1485" s="6" t="s">
        <v>4</v>
      </c>
      <c r="B1485" s="6" t="s">
        <v>351</v>
      </c>
      <c r="C1485" s="6" t="n">
        <v>40</v>
      </c>
      <c r="D1485" s="25" t="n">
        <f aca="false">EDATE('Start Here'!$B$6,C1485-1)</f>
        <v>47515</v>
      </c>
      <c r="E1485" s="23" t="n">
        <f aca="false">IF(AND(C1485&gt;=Assumptions!$D$25,C1485&lt;=Staffing!$G$30,'Start Here'!$B$8=1),IF(C1485&lt;=6,Staffing!$H$30,IF(C1485&lt;=15,Staffing!$I$30,IF(C1485&lt;=30,Staffing!$J$30,Staffing!$K$30))),0)</f>
        <v>0</v>
      </c>
      <c r="F1485" s="10" t="n">
        <f aca="false">E1485*Staffing!$L$30/12*(1+Assumptions!$D$10)^INT((C1485-1)/12)*1</f>
        <v>0</v>
      </c>
      <c r="G1485" s="10" t="n">
        <f aca="false">F1485*Staffing!$N$30</f>
        <v>0</v>
      </c>
      <c r="H1485" s="10" t="n">
        <f aca="false">F1485+G1485</f>
        <v>0</v>
      </c>
      <c r="I1485" s="10" t="n">
        <f aca="false">0</f>
        <v>0</v>
      </c>
      <c r="J1485" s="10" t="n">
        <f aca="false">MAX(0,E1485-E1484)*Staffing!$O$30</f>
        <v>0</v>
      </c>
      <c r="K1485" s="10" t="n">
        <f aca="false">MAX(0,E1485-E1484)*Staffing!$P$30</f>
        <v>0</v>
      </c>
      <c r="L1485" s="23" t="n">
        <f aca="false">ROUNDUP(E1485,0)</f>
        <v>0</v>
      </c>
    </row>
    <row r="1486" customFormat="false" ht="15" hidden="false" customHeight="false" outlineLevel="0" collapsed="false">
      <c r="A1486" s="6" t="s">
        <v>4</v>
      </c>
      <c r="B1486" s="6" t="s">
        <v>351</v>
      </c>
      <c r="C1486" s="6" t="n">
        <v>41</v>
      </c>
      <c r="D1486" s="25" t="n">
        <f aca="false">EDATE('Start Here'!$B$6,C1486-1)</f>
        <v>47543</v>
      </c>
      <c r="E1486" s="23" t="n">
        <f aca="false">IF(AND(C1486&gt;=Assumptions!$D$25,C1486&lt;=Staffing!$G$30,'Start Here'!$B$8=1),IF(C1486&lt;=6,Staffing!$H$30,IF(C1486&lt;=15,Staffing!$I$30,IF(C1486&lt;=30,Staffing!$J$30,Staffing!$K$30))),0)</f>
        <v>0</v>
      </c>
      <c r="F1486" s="10" t="n">
        <f aca="false">E1486*Staffing!$L$30/12*(1+Assumptions!$D$10)^INT((C1486-1)/12)*1</f>
        <v>0</v>
      </c>
      <c r="G1486" s="10" t="n">
        <f aca="false">F1486*Staffing!$N$30</f>
        <v>0</v>
      </c>
      <c r="H1486" s="10" t="n">
        <f aca="false">F1486+G1486</f>
        <v>0</v>
      </c>
      <c r="I1486" s="10" t="n">
        <f aca="false">0</f>
        <v>0</v>
      </c>
      <c r="J1486" s="10" t="n">
        <f aca="false">MAX(0,E1486-E1485)*Staffing!$O$30</f>
        <v>0</v>
      </c>
      <c r="K1486" s="10" t="n">
        <f aca="false">MAX(0,E1486-E1485)*Staffing!$P$30</f>
        <v>0</v>
      </c>
      <c r="L1486" s="23" t="n">
        <f aca="false">ROUNDUP(E1486,0)</f>
        <v>0</v>
      </c>
    </row>
    <row r="1487" customFormat="false" ht="15" hidden="false" customHeight="false" outlineLevel="0" collapsed="false">
      <c r="A1487" s="6" t="s">
        <v>4</v>
      </c>
      <c r="B1487" s="6" t="s">
        <v>351</v>
      </c>
      <c r="C1487" s="6" t="n">
        <v>42</v>
      </c>
      <c r="D1487" s="25" t="n">
        <f aca="false">EDATE('Start Here'!$B$6,C1487-1)</f>
        <v>47574</v>
      </c>
      <c r="E1487" s="23" t="n">
        <f aca="false">IF(AND(C1487&gt;=Assumptions!$D$25,C1487&lt;=Staffing!$G$30,'Start Here'!$B$8=1),IF(C1487&lt;=6,Staffing!$H$30,IF(C1487&lt;=15,Staffing!$I$30,IF(C1487&lt;=30,Staffing!$J$30,Staffing!$K$30))),0)</f>
        <v>0</v>
      </c>
      <c r="F1487" s="10" t="n">
        <f aca="false">E1487*Staffing!$L$30/12*(1+Assumptions!$D$10)^INT((C1487-1)/12)*1</f>
        <v>0</v>
      </c>
      <c r="G1487" s="10" t="n">
        <f aca="false">F1487*Staffing!$N$30</f>
        <v>0</v>
      </c>
      <c r="H1487" s="10" t="n">
        <f aca="false">F1487+G1487</f>
        <v>0</v>
      </c>
      <c r="I1487" s="10" t="n">
        <f aca="false">0</f>
        <v>0</v>
      </c>
      <c r="J1487" s="10" t="n">
        <f aca="false">MAX(0,E1487-E1486)*Staffing!$O$30</f>
        <v>0</v>
      </c>
      <c r="K1487" s="10" t="n">
        <f aca="false">MAX(0,E1487-E1486)*Staffing!$P$30</f>
        <v>0</v>
      </c>
      <c r="L1487" s="23" t="n">
        <f aca="false">ROUNDUP(E1487,0)</f>
        <v>0</v>
      </c>
    </row>
    <row r="1488" customFormat="false" ht="15" hidden="false" customHeight="false" outlineLevel="0" collapsed="false">
      <c r="A1488" s="6" t="s">
        <v>4</v>
      </c>
      <c r="B1488" s="6" t="s">
        <v>351</v>
      </c>
      <c r="C1488" s="6" t="n">
        <v>43</v>
      </c>
      <c r="D1488" s="25" t="n">
        <f aca="false">EDATE('Start Here'!$B$6,C1488-1)</f>
        <v>47604</v>
      </c>
      <c r="E1488" s="23" t="n">
        <f aca="false">IF(AND(C1488&gt;=Assumptions!$D$25,C1488&lt;=Staffing!$G$30,'Start Here'!$B$8=1),IF(C1488&lt;=6,Staffing!$H$30,IF(C1488&lt;=15,Staffing!$I$30,IF(C1488&lt;=30,Staffing!$J$30,Staffing!$K$30))),0)</f>
        <v>0</v>
      </c>
      <c r="F1488" s="10" t="n">
        <f aca="false">E1488*Staffing!$L$30/12*(1+Assumptions!$D$10)^INT((C1488-1)/12)*1</f>
        <v>0</v>
      </c>
      <c r="G1488" s="10" t="n">
        <f aca="false">F1488*Staffing!$N$30</f>
        <v>0</v>
      </c>
      <c r="H1488" s="10" t="n">
        <f aca="false">F1488+G1488</f>
        <v>0</v>
      </c>
      <c r="I1488" s="10" t="n">
        <f aca="false">0</f>
        <v>0</v>
      </c>
      <c r="J1488" s="10" t="n">
        <f aca="false">MAX(0,E1488-E1487)*Staffing!$O$30</f>
        <v>0</v>
      </c>
      <c r="K1488" s="10" t="n">
        <f aca="false">MAX(0,E1488-E1487)*Staffing!$P$30</f>
        <v>0</v>
      </c>
      <c r="L1488" s="23" t="n">
        <f aca="false">ROUNDUP(E1488,0)</f>
        <v>0</v>
      </c>
    </row>
    <row r="1489" customFormat="false" ht="15" hidden="false" customHeight="false" outlineLevel="0" collapsed="false">
      <c r="A1489" s="6" t="s">
        <v>4</v>
      </c>
      <c r="B1489" s="6" t="s">
        <v>351</v>
      </c>
      <c r="C1489" s="6" t="n">
        <v>44</v>
      </c>
      <c r="D1489" s="25" t="n">
        <f aca="false">EDATE('Start Here'!$B$6,C1489-1)</f>
        <v>47635</v>
      </c>
      <c r="E1489" s="23" t="n">
        <f aca="false">IF(AND(C1489&gt;=Assumptions!$D$25,C1489&lt;=Staffing!$G$30,'Start Here'!$B$8=1),IF(C1489&lt;=6,Staffing!$H$30,IF(C1489&lt;=15,Staffing!$I$30,IF(C1489&lt;=30,Staffing!$J$30,Staffing!$K$30))),0)</f>
        <v>0</v>
      </c>
      <c r="F1489" s="10" t="n">
        <f aca="false">E1489*Staffing!$L$30/12*(1+Assumptions!$D$10)^INT((C1489-1)/12)*1</f>
        <v>0</v>
      </c>
      <c r="G1489" s="10" t="n">
        <f aca="false">F1489*Staffing!$N$30</f>
        <v>0</v>
      </c>
      <c r="H1489" s="10" t="n">
        <f aca="false">F1489+G1489</f>
        <v>0</v>
      </c>
      <c r="I1489" s="10" t="n">
        <f aca="false">0</f>
        <v>0</v>
      </c>
      <c r="J1489" s="10" t="n">
        <f aca="false">MAX(0,E1489-E1488)*Staffing!$O$30</f>
        <v>0</v>
      </c>
      <c r="K1489" s="10" t="n">
        <f aca="false">MAX(0,E1489-E1488)*Staffing!$P$30</f>
        <v>0</v>
      </c>
      <c r="L1489" s="23" t="n">
        <f aca="false">ROUNDUP(E1489,0)</f>
        <v>0</v>
      </c>
    </row>
    <row r="1490" customFormat="false" ht="15" hidden="false" customHeight="false" outlineLevel="0" collapsed="false">
      <c r="A1490" s="6" t="s">
        <v>4</v>
      </c>
      <c r="B1490" s="6" t="s">
        <v>351</v>
      </c>
      <c r="C1490" s="6" t="n">
        <v>45</v>
      </c>
      <c r="D1490" s="25" t="n">
        <f aca="false">EDATE('Start Here'!$B$6,C1490-1)</f>
        <v>47665</v>
      </c>
      <c r="E1490" s="23" t="n">
        <f aca="false">IF(AND(C1490&gt;=Assumptions!$D$25,C1490&lt;=Staffing!$G$30,'Start Here'!$B$8=1),IF(C1490&lt;=6,Staffing!$H$30,IF(C1490&lt;=15,Staffing!$I$30,IF(C1490&lt;=30,Staffing!$J$30,Staffing!$K$30))),0)</f>
        <v>0</v>
      </c>
      <c r="F1490" s="10" t="n">
        <f aca="false">E1490*Staffing!$L$30/12*(1+Assumptions!$D$10)^INT((C1490-1)/12)*1</f>
        <v>0</v>
      </c>
      <c r="G1490" s="10" t="n">
        <f aca="false">F1490*Staffing!$N$30</f>
        <v>0</v>
      </c>
      <c r="H1490" s="10" t="n">
        <f aca="false">F1490+G1490</f>
        <v>0</v>
      </c>
      <c r="I1490" s="10" t="n">
        <f aca="false">0</f>
        <v>0</v>
      </c>
      <c r="J1490" s="10" t="n">
        <f aca="false">MAX(0,E1490-E1489)*Staffing!$O$30</f>
        <v>0</v>
      </c>
      <c r="K1490" s="10" t="n">
        <f aca="false">MAX(0,E1490-E1489)*Staffing!$P$30</f>
        <v>0</v>
      </c>
      <c r="L1490" s="23" t="n">
        <f aca="false">ROUNDUP(E1490,0)</f>
        <v>0</v>
      </c>
    </row>
    <row r="1491" customFormat="false" ht="15" hidden="false" customHeight="false" outlineLevel="0" collapsed="false">
      <c r="A1491" s="6" t="s">
        <v>4</v>
      </c>
      <c r="B1491" s="6" t="s">
        <v>351</v>
      </c>
      <c r="C1491" s="6" t="n">
        <v>46</v>
      </c>
      <c r="D1491" s="25" t="n">
        <f aca="false">EDATE('Start Here'!$B$6,C1491-1)</f>
        <v>47696</v>
      </c>
      <c r="E1491" s="23" t="n">
        <f aca="false">IF(AND(C1491&gt;=Assumptions!$D$25,C1491&lt;=Staffing!$G$30,'Start Here'!$B$8=1),IF(C1491&lt;=6,Staffing!$H$30,IF(C1491&lt;=15,Staffing!$I$30,IF(C1491&lt;=30,Staffing!$J$30,Staffing!$K$30))),0)</f>
        <v>0</v>
      </c>
      <c r="F1491" s="10" t="n">
        <f aca="false">E1491*Staffing!$L$30/12*(1+Assumptions!$D$10)^INT((C1491-1)/12)*1</f>
        <v>0</v>
      </c>
      <c r="G1491" s="10" t="n">
        <f aca="false">F1491*Staffing!$N$30</f>
        <v>0</v>
      </c>
      <c r="H1491" s="10" t="n">
        <f aca="false">F1491+G1491</f>
        <v>0</v>
      </c>
      <c r="I1491" s="10" t="n">
        <f aca="false">0</f>
        <v>0</v>
      </c>
      <c r="J1491" s="10" t="n">
        <f aca="false">MAX(0,E1491-E1490)*Staffing!$O$30</f>
        <v>0</v>
      </c>
      <c r="K1491" s="10" t="n">
        <f aca="false">MAX(0,E1491-E1490)*Staffing!$P$30</f>
        <v>0</v>
      </c>
      <c r="L1491" s="23" t="n">
        <f aca="false">ROUNDUP(E1491,0)</f>
        <v>0</v>
      </c>
    </row>
    <row r="1492" customFormat="false" ht="15" hidden="false" customHeight="false" outlineLevel="0" collapsed="false">
      <c r="A1492" s="6" t="s">
        <v>4</v>
      </c>
      <c r="B1492" s="6" t="s">
        <v>351</v>
      </c>
      <c r="C1492" s="6" t="n">
        <v>47</v>
      </c>
      <c r="D1492" s="25" t="n">
        <f aca="false">EDATE('Start Here'!$B$6,C1492-1)</f>
        <v>47727</v>
      </c>
      <c r="E1492" s="23" t="n">
        <f aca="false">IF(AND(C1492&gt;=Assumptions!$D$25,C1492&lt;=Staffing!$G$30,'Start Here'!$B$8=1),IF(C1492&lt;=6,Staffing!$H$30,IF(C1492&lt;=15,Staffing!$I$30,IF(C1492&lt;=30,Staffing!$J$30,Staffing!$K$30))),0)</f>
        <v>0</v>
      </c>
      <c r="F1492" s="10" t="n">
        <f aca="false">E1492*Staffing!$L$30/12*(1+Assumptions!$D$10)^INT((C1492-1)/12)*1</f>
        <v>0</v>
      </c>
      <c r="G1492" s="10" t="n">
        <f aca="false">F1492*Staffing!$N$30</f>
        <v>0</v>
      </c>
      <c r="H1492" s="10" t="n">
        <f aca="false">F1492+G1492</f>
        <v>0</v>
      </c>
      <c r="I1492" s="10" t="n">
        <f aca="false">0</f>
        <v>0</v>
      </c>
      <c r="J1492" s="10" t="n">
        <f aca="false">MAX(0,E1492-E1491)*Staffing!$O$30</f>
        <v>0</v>
      </c>
      <c r="K1492" s="10" t="n">
        <f aca="false">MAX(0,E1492-E1491)*Staffing!$P$30</f>
        <v>0</v>
      </c>
      <c r="L1492" s="23" t="n">
        <f aca="false">ROUNDUP(E1492,0)</f>
        <v>0</v>
      </c>
    </row>
    <row r="1493" customFormat="false" ht="15" hidden="false" customHeight="false" outlineLevel="0" collapsed="false">
      <c r="A1493" s="6" t="s">
        <v>4</v>
      </c>
      <c r="B1493" s="6" t="s">
        <v>351</v>
      </c>
      <c r="C1493" s="6" t="n">
        <v>48</v>
      </c>
      <c r="D1493" s="25" t="n">
        <f aca="false">EDATE('Start Here'!$B$6,C1493-1)</f>
        <v>47757</v>
      </c>
      <c r="E1493" s="23" t="n">
        <f aca="false">IF(AND(C1493&gt;=Assumptions!$D$25,C1493&lt;=Staffing!$G$30,'Start Here'!$B$8=1),IF(C1493&lt;=6,Staffing!$H$30,IF(C1493&lt;=15,Staffing!$I$30,IF(C1493&lt;=30,Staffing!$J$30,Staffing!$K$30))),0)</f>
        <v>0</v>
      </c>
      <c r="F1493" s="10" t="n">
        <f aca="false">E1493*Staffing!$L$30/12*(1+Assumptions!$D$10)^INT((C1493-1)/12)*1</f>
        <v>0</v>
      </c>
      <c r="G1493" s="10" t="n">
        <f aca="false">F1493*Staffing!$N$30</f>
        <v>0</v>
      </c>
      <c r="H1493" s="10" t="n">
        <f aca="false">F1493+G1493</f>
        <v>0</v>
      </c>
      <c r="I1493" s="10" t="n">
        <f aca="false">0</f>
        <v>0</v>
      </c>
      <c r="J1493" s="10" t="n">
        <f aca="false">MAX(0,E1493-E1492)*Staffing!$O$30</f>
        <v>0</v>
      </c>
      <c r="K1493" s="10" t="n">
        <f aca="false">MAX(0,E1493-E1492)*Staffing!$P$30</f>
        <v>0</v>
      </c>
      <c r="L1493" s="23" t="n">
        <f aca="false">ROUNDUP(E1493,0)</f>
        <v>0</v>
      </c>
    </row>
    <row r="1494" customFormat="false" ht="15" hidden="false" customHeight="false" outlineLevel="0" collapsed="false">
      <c r="A1494" s="6" t="s">
        <v>4</v>
      </c>
      <c r="B1494" s="6" t="s">
        <v>351</v>
      </c>
      <c r="C1494" s="6" t="n">
        <v>49</v>
      </c>
      <c r="D1494" s="25" t="n">
        <f aca="false">EDATE('Start Here'!$B$6,C1494-1)</f>
        <v>47788</v>
      </c>
      <c r="E1494" s="23" t="n">
        <f aca="false">IF(AND(C1494&gt;=Assumptions!$D$25,C1494&lt;=Staffing!$G$30,'Start Here'!$B$8=1),IF(C1494&lt;=6,Staffing!$H$30,IF(C1494&lt;=15,Staffing!$I$30,IF(C1494&lt;=30,Staffing!$J$30,Staffing!$K$30))),0)</f>
        <v>0</v>
      </c>
      <c r="F1494" s="10" t="n">
        <f aca="false">E1494*Staffing!$L$30/12*(1+Assumptions!$D$10)^INT((C1494-1)/12)*1</f>
        <v>0</v>
      </c>
      <c r="G1494" s="10" t="n">
        <f aca="false">F1494*Staffing!$N$30</f>
        <v>0</v>
      </c>
      <c r="H1494" s="10" t="n">
        <f aca="false">F1494+G1494</f>
        <v>0</v>
      </c>
      <c r="I1494" s="10" t="n">
        <f aca="false">0</f>
        <v>0</v>
      </c>
      <c r="J1494" s="10" t="n">
        <f aca="false">MAX(0,E1494-E1493)*Staffing!$O$30</f>
        <v>0</v>
      </c>
      <c r="K1494" s="10" t="n">
        <f aca="false">MAX(0,E1494-E1493)*Staffing!$P$30</f>
        <v>0</v>
      </c>
      <c r="L1494" s="23" t="n">
        <f aca="false">ROUNDUP(E1494,0)</f>
        <v>0</v>
      </c>
    </row>
    <row r="1495" customFormat="false" ht="15" hidden="false" customHeight="false" outlineLevel="0" collapsed="false">
      <c r="A1495" s="6" t="s">
        <v>4</v>
      </c>
      <c r="B1495" s="6" t="s">
        <v>351</v>
      </c>
      <c r="C1495" s="6" t="n">
        <v>50</v>
      </c>
      <c r="D1495" s="25" t="n">
        <f aca="false">EDATE('Start Here'!$B$6,C1495-1)</f>
        <v>47818</v>
      </c>
      <c r="E1495" s="23" t="n">
        <f aca="false">IF(AND(C1495&gt;=Assumptions!$D$25,C1495&lt;=Staffing!$G$30,'Start Here'!$B$8=1),IF(C1495&lt;=6,Staffing!$H$30,IF(C1495&lt;=15,Staffing!$I$30,IF(C1495&lt;=30,Staffing!$J$30,Staffing!$K$30))),0)</f>
        <v>0</v>
      </c>
      <c r="F1495" s="10" t="n">
        <f aca="false">E1495*Staffing!$L$30/12*(1+Assumptions!$D$10)^INT((C1495-1)/12)*1</f>
        <v>0</v>
      </c>
      <c r="G1495" s="10" t="n">
        <f aca="false">F1495*Staffing!$N$30</f>
        <v>0</v>
      </c>
      <c r="H1495" s="10" t="n">
        <f aca="false">F1495+G1495</f>
        <v>0</v>
      </c>
      <c r="I1495" s="10" t="n">
        <f aca="false">0</f>
        <v>0</v>
      </c>
      <c r="J1495" s="10" t="n">
        <f aca="false">MAX(0,E1495-E1494)*Staffing!$O$30</f>
        <v>0</v>
      </c>
      <c r="K1495" s="10" t="n">
        <f aca="false">MAX(0,E1495-E1494)*Staffing!$P$30</f>
        <v>0</v>
      </c>
      <c r="L1495" s="23" t="n">
        <f aca="false">ROUNDUP(E1495,0)</f>
        <v>0</v>
      </c>
    </row>
    <row r="1496" customFormat="false" ht="15" hidden="false" customHeight="false" outlineLevel="0" collapsed="false">
      <c r="A1496" s="6" t="s">
        <v>4</v>
      </c>
      <c r="B1496" s="6" t="s">
        <v>351</v>
      </c>
      <c r="C1496" s="6" t="n">
        <v>51</v>
      </c>
      <c r="D1496" s="25" t="n">
        <f aca="false">EDATE('Start Here'!$B$6,C1496-1)</f>
        <v>47849</v>
      </c>
      <c r="E1496" s="23" t="n">
        <f aca="false">IF(AND(C1496&gt;=Assumptions!$D$25,C1496&lt;=Staffing!$G$30,'Start Here'!$B$8=1),IF(C1496&lt;=6,Staffing!$H$30,IF(C1496&lt;=15,Staffing!$I$30,IF(C1496&lt;=30,Staffing!$J$30,Staffing!$K$30))),0)</f>
        <v>0</v>
      </c>
      <c r="F1496" s="10" t="n">
        <f aca="false">E1496*Staffing!$L$30/12*(1+Assumptions!$D$10)^INT((C1496-1)/12)*1</f>
        <v>0</v>
      </c>
      <c r="G1496" s="10" t="n">
        <f aca="false">F1496*Staffing!$N$30</f>
        <v>0</v>
      </c>
      <c r="H1496" s="10" t="n">
        <f aca="false">F1496+G1496</f>
        <v>0</v>
      </c>
      <c r="I1496" s="10" t="n">
        <f aca="false">0</f>
        <v>0</v>
      </c>
      <c r="J1496" s="10" t="n">
        <f aca="false">MAX(0,E1496-E1495)*Staffing!$O$30</f>
        <v>0</v>
      </c>
      <c r="K1496" s="10" t="n">
        <f aca="false">MAX(0,E1496-E1495)*Staffing!$P$30</f>
        <v>0</v>
      </c>
      <c r="L1496" s="23" t="n">
        <f aca="false">ROUNDUP(E1496,0)</f>
        <v>0</v>
      </c>
    </row>
    <row r="1497" customFormat="false" ht="15" hidden="false" customHeight="false" outlineLevel="0" collapsed="false">
      <c r="A1497" s="6" t="s">
        <v>4</v>
      </c>
      <c r="B1497" s="6" t="s">
        <v>351</v>
      </c>
      <c r="C1497" s="6" t="n">
        <v>52</v>
      </c>
      <c r="D1497" s="25" t="n">
        <f aca="false">EDATE('Start Here'!$B$6,C1497-1)</f>
        <v>47880</v>
      </c>
      <c r="E1497" s="23" t="n">
        <f aca="false">IF(AND(C1497&gt;=Assumptions!$D$25,C1497&lt;=Staffing!$G$30,'Start Here'!$B$8=1),IF(C1497&lt;=6,Staffing!$H$30,IF(C1497&lt;=15,Staffing!$I$30,IF(C1497&lt;=30,Staffing!$J$30,Staffing!$K$30))),0)</f>
        <v>0</v>
      </c>
      <c r="F1497" s="10" t="n">
        <f aca="false">E1497*Staffing!$L$30/12*(1+Assumptions!$D$10)^INT((C1497-1)/12)*1</f>
        <v>0</v>
      </c>
      <c r="G1497" s="10" t="n">
        <f aca="false">F1497*Staffing!$N$30</f>
        <v>0</v>
      </c>
      <c r="H1497" s="10" t="n">
        <f aca="false">F1497+G1497</f>
        <v>0</v>
      </c>
      <c r="I1497" s="10" t="n">
        <f aca="false">0</f>
        <v>0</v>
      </c>
      <c r="J1497" s="10" t="n">
        <f aca="false">MAX(0,E1497-E1496)*Staffing!$O$30</f>
        <v>0</v>
      </c>
      <c r="K1497" s="10" t="n">
        <f aca="false">MAX(0,E1497-E1496)*Staffing!$P$30</f>
        <v>0</v>
      </c>
      <c r="L1497" s="23" t="n">
        <f aca="false">ROUNDUP(E1497,0)</f>
        <v>0</v>
      </c>
    </row>
    <row r="1498" customFormat="false" ht="15" hidden="false" customHeight="false" outlineLevel="0" collapsed="false">
      <c r="A1498" s="6" t="s">
        <v>4</v>
      </c>
      <c r="B1498" s="6" t="s">
        <v>351</v>
      </c>
      <c r="C1498" s="6" t="n">
        <v>53</v>
      </c>
      <c r="D1498" s="25" t="n">
        <f aca="false">EDATE('Start Here'!$B$6,C1498-1)</f>
        <v>47908</v>
      </c>
      <c r="E1498" s="23" t="n">
        <f aca="false">IF(AND(C1498&gt;=Assumptions!$D$25,C1498&lt;=Staffing!$G$30,'Start Here'!$B$8=1),IF(C1498&lt;=6,Staffing!$H$30,IF(C1498&lt;=15,Staffing!$I$30,IF(C1498&lt;=30,Staffing!$J$30,Staffing!$K$30))),0)</f>
        <v>0</v>
      </c>
      <c r="F1498" s="10" t="n">
        <f aca="false">E1498*Staffing!$L$30/12*(1+Assumptions!$D$10)^INT((C1498-1)/12)*1</f>
        <v>0</v>
      </c>
      <c r="G1498" s="10" t="n">
        <f aca="false">F1498*Staffing!$N$30</f>
        <v>0</v>
      </c>
      <c r="H1498" s="10" t="n">
        <f aca="false">F1498+G1498</f>
        <v>0</v>
      </c>
      <c r="I1498" s="10" t="n">
        <f aca="false">0</f>
        <v>0</v>
      </c>
      <c r="J1498" s="10" t="n">
        <f aca="false">MAX(0,E1498-E1497)*Staffing!$O$30</f>
        <v>0</v>
      </c>
      <c r="K1498" s="10" t="n">
        <f aca="false">MAX(0,E1498-E1497)*Staffing!$P$30</f>
        <v>0</v>
      </c>
      <c r="L1498" s="23" t="n">
        <f aca="false">ROUNDUP(E1498,0)</f>
        <v>0</v>
      </c>
    </row>
    <row r="1499" customFormat="false" ht="15" hidden="false" customHeight="false" outlineLevel="0" collapsed="false">
      <c r="A1499" s="6" t="s">
        <v>4</v>
      </c>
      <c r="B1499" s="6" t="s">
        <v>351</v>
      </c>
      <c r="C1499" s="6" t="n">
        <v>54</v>
      </c>
      <c r="D1499" s="25" t="n">
        <f aca="false">EDATE('Start Here'!$B$6,C1499-1)</f>
        <v>47939</v>
      </c>
      <c r="E1499" s="23" t="n">
        <f aca="false">IF(AND(C1499&gt;=Assumptions!$D$25,C1499&lt;=Staffing!$G$30,'Start Here'!$B$8=1),IF(C1499&lt;=6,Staffing!$H$30,IF(C1499&lt;=15,Staffing!$I$30,IF(C1499&lt;=30,Staffing!$J$30,Staffing!$K$30))),0)</f>
        <v>0</v>
      </c>
      <c r="F1499" s="10" t="n">
        <f aca="false">E1499*Staffing!$L$30/12*(1+Assumptions!$D$10)^INT((C1499-1)/12)*1</f>
        <v>0</v>
      </c>
      <c r="G1499" s="10" t="n">
        <f aca="false">F1499*Staffing!$N$30</f>
        <v>0</v>
      </c>
      <c r="H1499" s="10" t="n">
        <f aca="false">F1499+G1499</f>
        <v>0</v>
      </c>
      <c r="I1499" s="10" t="n">
        <f aca="false">0</f>
        <v>0</v>
      </c>
      <c r="J1499" s="10" t="n">
        <f aca="false">MAX(0,E1499-E1498)*Staffing!$O$30</f>
        <v>0</v>
      </c>
      <c r="K1499" s="10" t="n">
        <f aca="false">MAX(0,E1499-E1498)*Staffing!$P$30</f>
        <v>0</v>
      </c>
      <c r="L1499" s="23" t="n">
        <f aca="false">ROUNDUP(E1499,0)</f>
        <v>0</v>
      </c>
    </row>
    <row r="1500" customFormat="false" ht="15" hidden="false" customHeight="false" outlineLevel="0" collapsed="false">
      <c r="A1500" s="6" t="s">
        <v>4</v>
      </c>
      <c r="B1500" s="6" t="s">
        <v>351</v>
      </c>
      <c r="C1500" s="6" t="n">
        <v>55</v>
      </c>
      <c r="D1500" s="25" t="n">
        <f aca="false">EDATE('Start Here'!$B$6,C1500-1)</f>
        <v>47969</v>
      </c>
      <c r="E1500" s="23" t="n">
        <f aca="false">IF(AND(C1500&gt;=Assumptions!$D$25,C1500&lt;=Staffing!$G$30,'Start Here'!$B$8=1),IF(C1500&lt;=6,Staffing!$H$30,IF(C1500&lt;=15,Staffing!$I$30,IF(C1500&lt;=30,Staffing!$J$30,Staffing!$K$30))),0)</f>
        <v>0</v>
      </c>
      <c r="F1500" s="10" t="n">
        <f aca="false">E1500*Staffing!$L$30/12*(1+Assumptions!$D$10)^INT((C1500-1)/12)*1</f>
        <v>0</v>
      </c>
      <c r="G1500" s="10" t="n">
        <f aca="false">F1500*Staffing!$N$30</f>
        <v>0</v>
      </c>
      <c r="H1500" s="10" t="n">
        <f aca="false">F1500+G1500</f>
        <v>0</v>
      </c>
      <c r="I1500" s="10" t="n">
        <f aca="false">0</f>
        <v>0</v>
      </c>
      <c r="J1500" s="10" t="n">
        <f aca="false">MAX(0,E1500-E1499)*Staffing!$O$30</f>
        <v>0</v>
      </c>
      <c r="K1500" s="10" t="n">
        <f aca="false">MAX(0,E1500-E1499)*Staffing!$P$30</f>
        <v>0</v>
      </c>
      <c r="L1500" s="23" t="n">
        <f aca="false">ROUNDUP(E1500,0)</f>
        <v>0</v>
      </c>
    </row>
    <row r="1501" customFormat="false" ht="15" hidden="false" customHeight="false" outlineLevel="0" collapsed="false">
      <c r="A1501" s="6" t="s">
        <v>4</v>
      </c>
      <c r="B1501" s="6" t="s">
        <v>351</v>
      </c>
      <c r="C1501" s="6" t="n">
        <v>56</v>
      </c>
      <c r="D1501" s="25" t="n">
        <f aca="false">EDATE('Start Here'!$B$6,C1501-1)</f>
        <v>48000</v>
      </c>
      <c r="E1501" s="23" t="n">
        <f aca="false">IF(AND(C1501&gt;=Assumptions!$D$25,C1501&lt;=Staffing!$G$30,'Start Here'!$B$8=1),IF(C1501&lt;=6,Staffing!$H$30,IF(C1501&lt;=15,Staffing!$I$30,IF(C1501&lt;=30,Staffing!$J$30,Staffing!$K$30))),0)</f>
        <v>0</v>
      </c>
      <c r="F1501" s="10" t="n">
        <f aca="false">E1501*Staffing!$L$30/12*(1+Assumptions!$D$10)^INT((C1501-1)/12)*1</f>
        <v>0</v>
      </c>
      <c r="G1501" s="10" t="n">
        <f aca="false">F1501*Staffing!$N$30</f>
        <v>0</v>
      </c>
      <c r="H1501" s="10" t="n">
        <f aca="false">F1501+G1501</f>
        <v>0</v>
      </c>
      <c r="I1501" s="10" t="n">
        <f aca="false">0</f>
        <v>0</v>
      </c>
      <c r="J1501" s="10" t="n">
        <f aca="false">MAX(0,E1501-E1500)*Staffing!$O$30</f>
        <v>0</v>
      </c>
      <c r="K1501" s="10" t="n">
        <f aca="false">MAX(0,E1501-E1500)*Staffing!$P$30</f>
        <v>0</v>
      </c>
      <c r="L1501" s="23" t="n">
        <f aca="false">ROUNDUP(E1501,0)</f>
        <v>0</v>
      </c>
    </row>
    <row r="1502" customFormat="false" ht="15" hidden="false" customHeight="false" outlineLevel="0" collapsed="false">
      <c r="A1502" s="6" t="s">
        <v>4</v>
      </c>
      <c r="B1502" s="6" t="s">
        <v>351</v>
      </c>
      <c r="C1502" s="6" t="n">
        <v>57</v>
      </c>
      <c r="D1502" s="25" t="n">
        <f aca="false">EDATE('Start Here'!$B$6,C1502-1)</f>
        <v>48030</v>
      </c>
      <c r="E1502" s="23" t="n">
        <f aca="false">IF(AND(C1502&gt;=Assumptions!$D$25,C1502&lt;=Staffing!$G$30,'Start Here'!$B$8=1),IF(C1502&lt;=6,Staffing!$H$30,IF(C1502&lt;=15,Staffing!$I$30,IF(C1502&lt;=30,Staffing!$J$30,Staffing!$K$30))),0)</f>
        <v>0</v>
      </c>
      <c r="F1502" s="10" t="n">
        <f aca="false">E1502*Staffing!$L$30/12*(1+Assumptions!$D$10)^INT((C1502-1)/12)*1</f>
        <v>0</v>
      </c>
      <c r="G1502" s="10" t="n">
        <f aca="false">F1502*Staffing!$N$30</f>
        <v>0</v>
      </c>
      <c r="H1502" s="10" t="n">
        <f aca="false">F1502+G1502</f>
        <v>0</v>
      </c>
      <c r="I1502" s="10" t="n">
        <f aca="false">0</f>
        <v>0</v>
      </c>
      <c r="J1502" s="10" t="n">
        <f aca="false">MAX(0,E1502-E1501)*Staffing!$O$30</f>
        <v>0</v>
      </c>
      <c r="K1502" s="10" t="n">
        <f aca="false">MAX(0,E1502-E1501)*Staffing!$P$30</f>
        <v>0</v>
      </c>
      <c r="L1502" s="23" t="n">
        <f aca="false">ROUNDUP(E1502,0)</f>
        <v>0</v>
      </c>
    </row>
    <row r="1503" customFormat="false" ht="15" hidden="false" customHeight="false" outlineLevel="0" collapsed="false">
      <c r="A1503" s="6" t="s">
        <v>4</v>
      </c>
      <c r="B1503" s="6" t="s">
        <v>351</v>
      </c>
      <c r="C1503" s="6" t="n">
        <v>58</v>
      </c>
      <c r="D1503" s="25" t="n">
        <f aca="false">EDATE('Start Here'!$B$6,C1503-1)</f>
        <v>48061</v>
      </c>
      <c r="E1503" s="23" t="n">
        <f aca="false">IF(AND(C1503&gt;=Assumptions!$D$25,C1503&lt;=Staffing!$G$30,'Start Here'!$B$8=1),IF(C1503&lt;=6,Staffing!$H$30,IF(C1503&lt;=15,Staffing!$I$30,IF(C1503&lt;=30,Staffing!$J$30,Staffing!$K$30))),0)</f>
        <v>0</v>
      </c>
      <c r="F1503" s="10" t="n">
        <f aca="false">E1503*Staffing!$L$30/12*(1+Assumptions!$D$10)^INT((C1503-1)/12)*1</f>
        <v>0</v>
      </c>
      <c r="G1503" s="10" t="n">
        <f aca="false">F1503*Staffing!$N$30</f>
        <v>0</v>
      </c>
      <c r="H1503" s="10" t="n">
        <f aca="false">F1503+G1503</f>
        <v>0</v>
      </c>
      <c r="I1503" s="10" t="n">
        <f aca="false">0</f>
        <v>0</v>
      </c>
      <c r="J1503" s="10" t="n">
        <f aca="false">MAX(0,E1503-E1502)*Staffing!$O$30</f>
        <v>0</v>
      </c>
      <c r="K1503" s="10" t="n">
        <f aca="false">MAX(0,E1503-E1502)*Staffing!$P$30</f>
        <v>0</v>
      </c>
      <c r="L1503" s="23" t="n">
        <f aca="false">ROUNDUP(E1503,0)</f>
        <v>0</v>
      </c>
    </row>
    <row r="1504" customFormat="false" ht="15" hidden="false" customHeight="false" outlineLevel="0" collapsed="false">
      <c r="A1504" s="6" t="s">
        <v>4</v>
      </c>
      <c r="B1504" s="6" t="s">
        <v>351</v>
      </c>
      <c r="C1504" s="6" t="n">
        <v>59</v>
      </c>
      <c r="D1504" s="25" t="n">
        <f aca="false">EDATE('Start Here'!$B$6,C1504-1)</f>
        <v>48092</v>
      </c>
      <c r="E1504" s="23" t="n">
        <f aca="false">IF(AND(C1504&gt;=Assumptions!$D$25,C1504&lt;=Staffing!$G$30,'Start Here'!$B$8=1),IF(C1504&lt;=6,Staffing!$H$30,IF(C1504&lt;=15,Staffing!$I$30,IF(C1504&lt;=30,Staffing!$J$30,Staffing!$K$30))),0)</f>
        <v>0</v>
      </c>
      <c r="F1504" s="10" t="n">
        <f aca="false">E1504*Staffing!$L$30/12*(1+Assumptions!$D$10)^INT((C1504-1)/12)*1</f>
        <v>0</v>
      </c>
      <c r="G1504" s="10" t="n">
        <f aca="false">F1504*Staffing!$N$30</f>
        <v>0</v>
      </c>
      <c r="H1504" s="10" t="n">
        <f aca="false">F1504+G1504</f>
        <v>0</v>
      </c>
      <c r="I1504" s="10" t="n">
        <f aca="false">0</f>
        <v>0</v>
      </c>
      <c r="J1504" s="10" t="n">
        <f aca="false">MAX(0,E1504-E1503)*Staffing!$O$30</f>
        <v>0</v>
      </c>
      <c r="K1504" s="10" t="n">
        <f aca="false">MAX(0,E1504-E1503)*Staffing!$P$30</f>
        <v>0</v>
      </c>
      <c r="L1504" s="23" t="n">
        <f aca="false">ROUNDUP(E1504,0)</f>
        <v>0</v>
      </c>
    </row>
    <row r="1505" customFormat="false" ht="15" hidden="false" customHeight="false" outlineLevel="0" collapsed="false">
      <c r="A1505" s="6" t="s">
        <v>4</v>
      </c>
      <c r="B1505" s="6" t="s">
        <v>351</v>
      </c>
      <c r="C1505" s="6" t="n">
        <v>60</v>
      </c>
      <c r="D1505" s="25" t="n">
        <f aca="false">EDATE('Start Here'!$B$6,C1505-1)</f>
        <v>48122</v>
      </c>
      <c r="E1505" s="23" t="n">
        <f aca="false">IF(AND(C1505&gt;=Assumptions!$D$25,C1505&lt;=Staffing!$G$30,'Start Here'!$B$8=1),IF(C1505&lt;=6,Staffing!$H$30,IF(C1505&lt;=15,Staffing!$I$30,IF(C1505&lt;=30,Staffing!$J$30,Staffing!$K$30))),0)</f>
        <v>0</v>
      </c>
      <c r="F1505" s="10" t="n">
        <f aca="false">E1505*Staffing!$L$30/12*(1+Assumptions!$D$10)^INT((C1505-1)/12)*1</f>
        <v>0</v>
      </c>
      <c r="G1505" s="10" t="n">
        <f aca="false">F1505*Staffing!$N$30</f>
        <v>0</v>
      </c>
      <c r="H1505" s="10" t="n">
        <f aca="false">F1505+G1505</f>
        <v>0</v>
      </c>
      <c r="I1505" s="10" t="n">
        <f aca="false">0</f>
        <v>0</v>
      </c>
      <c r="J1505" s="10" t="n">
        <f aca="false">MAX(0,E1505-E1504)*Staffing!$O$30</f>
        <v>0</v>
      </c>
      <c r="K1505" s="10" t="n">
        <f aca="false">MAX(0,E1505-E1504)*Staffing!$P$30</f>
        <v>0</v>
      </c>
      <c r="L1505" s="23" t="n">
        <f aca="false">ROUNDUP(E1505,0)</f>
        <v>0</v>
      </c>
    </row>
    <row r="1506" customFormat="false" ht="15" hidden="false" customHeight="false" outlineLevel="0" collapsed="false">
      <c r="A1506" s="6" t="s">
        <v>4</v>
      </c>
      <c r="B1506" s="6" t="s">
        <v>353</v>
      </c>
      <c r="C1506" s="6" t="n">
        <v>1</v>
      </c>
      <c r="D1506" s="25" t="n">
        <f aca="false">EDATE('Start Here'!$B$6,C1506-1)</f>
        <v>46327</v>
      </c>
      <c r="E1506" s="23" t="n">
        <f aca="false">IF(AND(C1506&gt;=Assumptions!$D$25,C1506&lt;=Staffing!$G$31,'Start Here'!$B$8=1),IF(C1506&lt;=6,Staffing!$H$31,IF(C1506&lt;=15,Staffing!$I$31,IF(C1506&lt;=30,Staffing!$J$31,Staffing!$K$31))),0)</f>
        <v>0</v>
      </c>
      <c r="F1506" s="10" t="n">
        <f aca="false">E1506*Staffing!$L$31/12*(1+Assumptions!$D$10)^INT((C1506-1)/12)*1</f>
        <v>0</v>
      </c>
      <c r="G1506" s="10" t="n">
        <f aca="false">F1506*Staffing!$N$31</f>
        <v>0</v>
      </c>
      <c r="H1506" s="10" t="n">
        <f aca="false">F1506+G1506</f>
        <v>0</v>
      </c>
      <c r="I1506" s="10" t="n">
        <f aca="false">0</f>
        <v>0</v>
      </c>
      <c r="J1506" s="10" t="n">
        <f aca="false">MAX(0,E1506-0)*Staffing!$O$31</f>
        <v>0</v>
      </c>
      <c r="K1506" s="10" t="n">
        <f aca="false">MAX(0,E1506-0)*Staffing!$P$31</f>
        <v>0</v>
      </c>
      <c r="L1506" s="23" t="n">
        <f aca="false">ROUNDUP(E1506,0)</f>
        <v>0</v>
      </c>
    </row>
    <row r="1507" customFormat="false" ht="15" hidden="false" customHeight="false" outlineLevel="0" collapsed="false">
      <c r="A1507" s="6" t="s">
        <v>4</v>
      </c>
      <c r="B1507" s="6" t="s">
        <v>353</v>
      </c>
      <c r="C1507" s="6" t="n">
        <v>2</v>
      </c>
      <c r="D1507" s="25" t="n">
        <f aca="false">EDATE('Start Here'!$B$6,C1507-1)</f>
        <v>46357</v>
      </c>
      <c r="E1507" s="23" t="n">
        <f aca="false">IF(AND(C1507&gt;=Assumptions!$D$25,C1507&lt;=Staffing!$G$31,'Start Here'!$B$8=1),IF(C1507&lt;=6,Staffing!$H$31,IF(C1507&lt;=15,Staffing!$I$31,IF(C1507&lt;=30,Staffing!$J$31,Staffing!$K$31))),0)</f>
        <v>0</v>
      </c>
      <c r="F1507" s="10" t="n">
        <f aca="false">E1507*Staffing!$L$31/12*(1+Assumptions!$D$10)^INT((C1507-1)/12)*1</f>
        <v>0</v>
      </c>
      <c r="G1507" s="10" t="n">
        <f aca="false">F1507*Staffing!$N$31</f>
        <v>0</v>
      </c>
      <c r="H1507" s="10" t="n">
        <f aca="false">F1507+G1507</f>
        <v>0</v>
      </c>
      <c r="I1507" s="10" t="n">
        <f aca="false">0</f>
        <v>0</v>
      </c>
      <c r="J1507" s="10" t="n">
        <f aca="false">MAX(0,E1507-E1506)*Staffing!$O$31</f>
        <v>0</v>
      </c>
      <c r="K1507" s="10" t="n">
        <f aca="false">MAX(0,E1507-E1506)*Staffing!$P$31</f>
        <v>0</v>
      </c>
      <c r="L1507" s="23" t="n">
        <f aca="false">ROUNDUP(E1507,0)</f>
        <v>0</v>
      </c>
    </row>
    <row r="1508" customFormat="false" ht="15" hidden="false" customHeight="false" outlineLevel="0" collapsed="false">
      <c r="A1508" s="6" t="s">
        <v>4</v>
      </c>
      <c r="B1508" s="6" t="s">
        <v>353</v>
      </c>
      <c r="C1508" s="6" t="n">
        <v>3</v>
      </c>
      <c r="D1508" s="25" t="n">
        <f aca="false">EDATE('Start Here'!$B$6,C1508-1)</f>
        <v>46388</v>
      </c>
      <c r="E1508" s="23" t="n">
        <f aca="false">IF(AND(C1508&gt;=Assumptions!$D$25,C1508&lt;=Staffing!$G$31,'Start Here'!$B$8=1),IF(C1508&lt;=6,Staffing!$H$31,IF(C1508&lt;=15,Staffing!$I$31,IF(C1508&lt;=30,Staffing!$J$31,Staffing!$K$31))),0)</f>
        <v>0</v>
      </c>
      <c r="F1508" s="10" t="n">
        <f aca="false">E1508*Staffing!$L$31/12*(1+Assumptions!$D$10)^INT((C1508-1)/12)*1</f>
        <v>0</v>
      </c>
      <c r="G1508" s="10" t="n">
        <f aca="false">F1508*Staffing!$N$31</f>
        <v>0</v>
      </c>
      <c r="H1508" s="10" t="n">
        <f aca="false">F1508+G1508</f>
        <v>0</v>
      </c>
      <c r="I1508" s="10" t="n">
        <f aca="false">0</f>
        <v>0</v>
      </c>
      <c r="J1508" s="10" t="n">
        <f aca="false">MAX(0,E1508-E1507)*Staffing!$O$31</f>
        <v>0</v>
      </c>
      <c r="K1508" s="10" t="n">
        <f aca="false">MAX(0,E1508-E1507)*Staffing!$P$31</f>
        <v>0</v>
      </c>
      <c r="L1508" s="23" t="n">
        <f aca="false">ROUNDUP(E1508,0)</f>
        <v>0</v>
      </c>
    </row>
    <row r="1509" customFormat="false" ht="15" hidden="false" customHeight="false" outlineLevel="0" collapsed="false">
      <c r="A1509" s="6" t="s">
        <v>4</v>
      </c>
      <c r="B1509" s="6" t="s">
        <v>353</v>
      </c>
      <c r="C1509" s="6" t="n">
        <v>4</v>
      </c>
      <c r="D1509" s="25" t="n">
        <f aca="false">EDATE('Start Here'!$B$6,C1509-1)</f>
        <v>46419</v>
      </c>
      <c r="E1509" s="23" t="n">
        <f aca="false">IF(AND(C1509&gt;=Assumptions!$D$25,C1509&lt;=Staffing!$G$31,'Start Here'!$B$8=1),IF(C1509&lt;=6,Staffing!$H$31,IF(C1509&lt;=15,Staffing!$I$31,IF(C1509&lt;=30,Staffing!$J$31,Staffing!$K$31))),0)</f>
        <v>0</v>
      </c>
      <c r="F1509" s="10" t="n">
        <f aca="false">E1509*Staffing!$L$31/12*(1+Assumptions!$D$10)^INT((C1509-1)/12)*1</f>
        <v>0</v>
      </c>
      <c r="G1509" s="10" t="n">
        <f aca="false">F1509*Staffing!$N$31</f>
        <v>0</v>
      </c>
      <c r="H1509" s="10" t="n">
        <f aca="false">F1509+G1509</f>
        <v>0</v>
      </c>
      <c r="I1509" s="10" t="n">
        <f aca="false">0</f>
        <v>0</v>
      </c>
      <c r="J1509" s="10" t="n">
        <f aca="false">MAX(0,E1509-E1508)*Staffing!$O$31</f>
        <v>0</v>
      </c>
      <c r="K1509" s="10" t="n">
        <f aca="false">MAX(0,E1509-E1508)*Staffing!$P$31</f>
        <v>0</v>
      </c>
      <c r="L1509" s="23" t="n">
        <f aca="false">ROUNDUP(E1509,0)</f>
        <v>0</v>
      </c>
    </row>
    <row r="1510" customFormat="false" ht="15" hidden="false" customHeight="false" outlineLevel="0" collapsed="false">
      <c r="A1510" s="6" t="s">
        <v>4</v>
      </c>
      <c r="B1510" s="6" t="s">
        <v>353</v>
      </c>
      <c r="C1510" s="6" t="n">
        <v>5</v>
      </c>
      <c r="D1510" s="25" t="n">
        <f aca="false">EDATE('Start Here'!$B$6,C1510-1)</f>
        <v>46447</v>
      </c>
      <c r="E1510" s="23" t="n">
        <f aca="false">IF(AND(C1510&gt;=Assumptions!$D$25,C1510&lt;=Staffing!$G$31,'Start Here'!$B$8=1),IF(C1510&lt;=6,Staffing!$H$31,IF(C1510&lt;=15,Staffing!$I$31,IF(C1510&lt;=30,Staffing!$J$31,Staffing!$K$31))),0)</f>
        <v>0</v>
      </c>
      <c r="F1510" s="10" t="n">
        <f aca="false">E1510*Staffing!$L$31/12*(1+Assumptions!$D$10)^INT((C1510-1)/12)*1</f>
        <v>0</v>
      </c>
      <c r="G1510" s="10" t="n">
        <f aca="false">F1510*Staffing!$N$31</f>
        <v>0</v>
      </c>
      <c r="H1510" s="10" t="n">
        <f aca="false">F1510+G1510</f>
        <v>0</v>
      </c>
      <c r="I1510" s="10" t="n">
        <f aca="false">0</f>
        <v>0</v>
      </c>
      <c r="J1510" s="10" t="n">
        <f aca="false">MAX(0,E1510-E1509)*Staffing!$O$31</f>
        <v>0</v>
      </c>
      <c r="K1510" s="10" t="n">
        <f aca="false">MAX(0,E1510-E1509)*Staffing!$P$31</f>
        <v>0</v>
      </c>
      <c r="L1510" s="23" t="n">
        <f aca="false">ROUNDUP(E1510,0)</f>
        <v>0</v>
      </c>
    </row>
    <row r="1511" customFormat="false" ht="15" hidden="false" customHeight="false" outlineLevel="0" collapsed="false">
      <c r="A1511" s="6" t="s">
        <v>4</v>
      </c>
      <c r="B1511" s="6" t="s">
        <v>353</v>
      </c>
      <c r="C1511" s="6" t="n">
        <v>6</v>
      </c>
      <c r="D1511" s="25" t="n">
        <f aca="false">EDATE('Start Here'!$B$6,C1511-1)</f>
        <v>46478</v>
      </c>
      <c r="E1511" s="23" t="n">
        <f aca="false">IF(AND(C1511&gt;=Assumptions!$D$25,C1511&lt;=Staffing!$G$31,'Start Here'!$B$8=1),IF(C1511&lt;=6,Staffing!$H$31,IF(C1511&lt;=15,Staffing!$I$31,IF(C1511&lt;=30,Staffing!$J$31,Staffing!$K$31))),0)</f>
        <v>0</v>
      </c>
      <c r="F1511" s="10" t="n">
        <f aca="false">E1511*Staffing!$L$31/12*(1+Assumptions!$D$10)^INT((C1511-1)/12)*1</f>
        <v>0</v>
      </c>
      <c r="G1511" s="10" t="n">
        <f aca="false">F1511*Staffing!$N$31</f>
        <v>0</v>
      </c>
      <c r="H1511" s="10" t="n">
        <f aca="false">F1511+G1511</f>
        <v>0</v>
      </c>
      <c r="I1511" s="10" t="n">
        <f aca="false">0</f>
        <v>0</v>
      </c>
      <c r="J1511" s="10" t="n">
        <f aca="false">MAX(0,E1511-E1510)*Staffing!$O$31</f>
        <v>0</v>
      </c>
      <c r="K1511" s="10" t="n">
        <f aca="false">MAX(0,E1511-E1510)*Staffing!$P$31</f>
        <v>0</v>
      </c>
      <c r="L1511" s="23" t="n">
        <f aca="false">ROUNDUP(E1511,0)</f>
        <v>0</v>
      </c>
    </row>
    <row r="1512" customFormat="false" ht="15" hidden="false" customHeight="false" outlineLevel="0" collapsed="false">
      <c r="A1512" s="6" t="s">
        <v>4</v>
      </c>
      <c r="B1512" s="6" t="s">
        <v>353</v>
      </c>
      <c r="C1512" s="6" t="n">
        <v>7</v>
      </c>
      <c r="D1512" s="25" t="n">
        <f aca="false">EDATE('Start Here'!$B$6,C1512-1)</f>
        <v>46508</v>
      </c>
      <c r="E1512" s="23" t="n">
        <f aca="false">IF(AND(C1512&gt;=Assumptions!$D$25,C1512&lt;=Staffing!$G$31,'Start Here'!$B$8=1),IF(C1512&lt;=6,Staffing!$H$31,IF(C1512&lt;=15,Staffing!$I$31,IF(C1512&lt;=30,Staffing!$J$31,Staffing!$K$31))),0)</f>
        <v>0</v>
      </c>
      <c r="F1512" s="10" t="n">
        <f aca="false">E1512*Staffing!$L$31/12*(1+Assumptions!$D$10)^INT((C1512-1)/12)*1</f>
        <v>0</v>
      </c>
      <c r="G1512" s="10" t="n">
        <f aca="false">F1512*Staffing!$N$31</f>
        <v>0</v>
      </c>
      <c r="H1512" s="10" t="n">
        <f aca="false">F1512+G1512</f>
        <v>0</v>
      </c>
      <c r="I1512" s="10" t="n">
        <f aca="false">0</f>
        <v>0</v>
      </c>
      <c r="J1512" s="10" t="n">
        <f aca="false">MAX(0,E1512-E1511)*Staffing!$O$31</f>
        <v>0</v>
      </c>
      <c r="K1512" s="10" t="n">
        <f aca="false">MAX(0,E1512-E1511)*Staffing!$P$31</f>
        <v>0</v>
      </c>
      <c r="L1512" s="23" t="n">
        <f aca="false">ROUNDUP(E1512,0)</f>
        <v>0</v>
      </c>
    </row>
    <row r="1513" customFormat="false" ht="15" hidden="false" customHeight="false" outlineLevel="0" collapsed="false">
      <c r="A1513" s="6" t="s">
        <v>4</v>
      </c>
      <c r="B1513" s="6" t="s">
        <v>353</v>
      </c>
      <c r="C1513" s="6" t="n">
        <v>8</v>
      </c>
      <c r="D1513" s="25" t="n">
        <f aca="false">EDATE('Start Here'!$B$6,C1513-1)</f>
        <v>46539</v>
      </c>
      <c r="E1513" s="23" t="n">
        <f aca="false">IF(AND(C1513&gt;=Assumptions!$D$25,C1513&lt;=Staffing!$G$31,'Start Here'!$B$8=1),IF(C1513&lt;=6,Staffing!$H$31,IF(C1513&lt;=15,Staffing!$I$31,IF(C1513&lt;=30,Staffing!$J$31,Staffing!$K$31))),0)</f>
        <v>0</v>
      </c>
      <c r="F1513" s="10" t="n">
        <f aca="false">E1513*Staffing!$L$31/12*(1+Assumptions!$D$10)^INT((C1513-1)/12)*1</f>
        <v>0</v>
      </c>
      <c r="G1513" s="10" t="n">
        <f aca="false">F1513*Staffing!$N$31</f>
        <v>0</v>
      </c>
      <c r="H1513" s="10" t="n">
        <f aca="false">F1513+G1513</f>
        <v>0</v>
      </c>
      <c r="I1513" s="10" t="n">
        <f aca="false">0</f>
        <v>0</v>
      </c>
      <c r="J1513" s="10" t="n">
        <f aca="false">MAX(0,E1513-E1512)*Staffing!$O$31</f>
        <v>0</v>
      </c>
      <c r="K1513" s="10" t="n">
        <f aca="false">MAX(0,E1513-E1512)*Staffing!$P$31</f>
        <v>0</v>
      </c>
      <c r="L1513" s="23" t="n">
        <f aca="false">ROUNDUP(E1513,0)</f>
        <v>0</v>
      </c>
    </row>
    <row r="1514" customFormat="false" ht="15" hidden="false" customHeight="false" outlineLevel="0" collapsed="false">
      <c r="A1514" s="6" t="s">
        <v>4</v>
      </c>
      <c r="B1514" s="6" t="s">
        <v>353</v>
      </c>
      <c r="C1514" s="6" t="n">
        <v>9</v>
      </c>
      <c r="D1514" s="25" t="n">
        <f aca="false">EDATE('Start Here'!$B$6,C1514-1)</f>
        <v>46569</v>
      </c>
      <c r="E1514" s="23" t="n">
        <f aca="false">IF(AND(C1514&gt;=Assumptions!$D$25,C1514&lt;=Staffing!$G$31,'Start Here'!$B$8=1),IF(C1514&lt;=6,Staffing!$H$31,IF(C1514&lt;=15,Staffing!$I$31,IF(C1514&lt;=30,Staffing!$J$31,Staffing!$K$31))),0)</f>
        <v>0</v>
      </c>
      <c r="F1514" s="10" t="n">
        <f aca="false">E1514*Staffing!$L$31/12*(1+Assumptions!$D$10)^INT((C1514-1)/12)*1</f>
        <v>0</v>
      </c>
      <c r="G1514" s="10" t="n">
        <f aca="false">F1514*Staffing!$N$31</f>
        <v>0</v>
      </c>
      <c r="H1514" s="10" t="n">
        <f aca="false">F1514+G1514</f>
        <v>0</v>
      </c>
      <c r="I1514" s="10" t="n">
        <f aca="false">0</f>
        <v>0</v>
      </c>
      <c r="J1514" s="10" t="n">
        <f aca="false">MAX(0,E1514-E1513)*Staffing!$O$31</f>
        <v>0</v>
      </c>
      <c r="K1514" s="10" t="n">
        <f aca="false">MAX(0,E1514-E1513)*Staffing!$P$31</f>
        <v>0</v>
      </c>
      <c r="L1514" s="23" t="n">
        <f aca="false">ROUNDUP(E1514,0)</f>
        <v>0</v>
      </c>
    </row>
    <row r="1515" customFormat="false" ht="15" hidden="false" customHeight="false" outlineLevel="0" collapsed="false">
      <c r="A1515" s="6" t="s">
        <v>4</v>
      </c>
      <c r="B1515" s="6" t="s">
        <v>353</v>
      </c>
      <c r="C1515" s="6" t="n">
        <v>10</v>
      </c>
      <c r="D1515" s="25" t="n">
        <f aca="false">EDATE('Start Here'!$B$6,C1515-1)</f>
        <v>46600</v>
      </c>
      <c r="E1515" s="23" t="n">
        <f aca="false">IF(AND(C1515&gt;=Assumptions!$D$25,C1515&lt;=Staffing!$G$31,'Start Here'!$B$8=1),IF(C1515&lt;=6,Staffing!$H$31,IF(C1515&lt;=15,Staffing!$I$31,IF(C1515&lt;=30,Staffing!$J$31,Staffing!$K$31))),0)</f>
        <v>0</v>
      </c>
      <c r="F1515" s="10" t="n">
        <f aca="false">E1515*Staffing!$L$31/12*(1+Assumptions!$D$10)^INT((C1515-1)/12)*1</f>
        <v>0</v>
      </c>
      <c r="G1515" s="10" t="n">
        <f aca="false">F1515*Staffing!$N$31</f>
        <v>0</v>
      </c>
      <c r="H1515" s="10" t="n">
        <f aca="false">F1515+G1515</f>
        <v>0</v>
      </c>
      <c r="I1515" s="10" t="n">
        <f aca="false">0</f>
        <v>0</v>
      </c>
      <c r="J1515" s="10" t="n">
        <f aca="false">MAX(0,E1515-E1514)*Staffing!$O$31</f>
        <v>0</v>
      </c>
      <c r="K1515" s="10" t="n">
        <f aca="false">MAX(0,E1515-E1514)*Staffing!$P$31</f>
        <v>0</v>
      </c>
      <c r="L1515" s="23" t="n">
        <f aca="false">ROUNDUP(E1515,0)</f>
        <v>0</v>
      </c>
    </row>
    <row r="1516" customFormat="false" ht="15" hidden="false" customHeight="false" outlineLevel="0" collapsed="false">
      <c r="A1516" s="6" t="s">
        <v>4</v>
      </c>
      <c r="B1516" s="6" t="s">
        <v>353</v>
      </c>
      <c r="C1516" s="6" t="n">
        <v>11</v>
      </c>
      <c r="D1516" s="25" t="n">
        <f aca="false">EDATE('Start Here'!$B$6,C1516-1)</f>
        <v>46631</v>
      </c>
      <c r="E1516" s="23" t="n">
        <f aca="false">IF(AND(C1516&gt;=Assumptions!$D$25,C1516&lt;=Staffing!$G$31,'Start Here'!$B$8=1),IF(C1516&lt;=6,Staffing!$H$31,IF(C1516&lt;=15,Staffing!$I$31,IF(C1516&lt;=30,Staffing!$J$31,Staffing!$K$31))),0)</f>
        <v>0</v>
      </c>
      <c r="F1516" s="10" t="n">
        <f aca="false">E1516*Staffing!$L$31/12*(1+Assumptions!$D$10)^INT((C1516-1)/12)*1</f>
        <v>0</v>
      </c>
      <c r="G1516" s="10" t="n">
        <f aca="false">F1516*Staffing!$N$31</f>
        <v>0</v>
      </c>
      <c r="H1516" s="10" t="n">
        <f aca="false">F1516+G1516</f>
        <v>0</v>
      </c>
      <c r="I1516" s="10" t="n">
        <f aca="false">0</f>
        <v>0</v>
      </c>
      <c r="J1516" s="10" t="n">
        <f aca="false">MAX(0,E1516-E1515)*Staffing!$O$31</f>
        <v>0</v>
      </c>
      <c r="K1516" s="10" t="n">
        <f aca="false">MAX(0,E1516-E1515)*Staffing!$P$31</f>
        <v>0</v>
      </c>
      <c r="L1516" s="23" t="n">
        <f aca="false">ROUNDUP(E1516,0)</f>
        <v>0</v>
      </c>
    </row>
    <row r="1517" customFormat="false" ht="15" hidden="false" customHeight="false" outlineLevel="0" collapsed="false">
      <c r="A1517" s="6" t="s">
        <v>4</v>
      </c>
      <c r="B1517" s="6" t="s">
        <v>353</v>
      </c>
      <c r="C1517" s="6" t="n">
        <v>12</v>
      </c>
      <c r="D1517" s="25" t="n">
        <f aca="false">EDATE('Start Here'!$B$6,C1517-1)</f>
        <v>46661</v>
      </c>
      <c r="E1517" s="23" t="n">
        <f aca="false">IF(AND(C1517&gt;=Assumptions!$D$25,C1517&lt;=Staffing!$G$31,'Start Here'!$B$8=1),IF(C1517&lt;=6,Staffing!$H$31,IF(C1517&lt;=15,Staffing!$I$31,IF(C1517&lt;=30,Staffing!$J$31,Staffing!$K$31))),0)</f>
        <v>0</v>
      </c>
      <c r="F1517" s="10" t="n">
        <f aca="false">E1517*Staffing!$L$31/12*(1+Assumptions!$D$10)^INT((C1517-1)/12)*1</f>
        <v>0</v>
      </c>
      <c r="G1517" s="10" t="n">
        <f aca="false">F1517*Staffing!$N$31</f>
        <v>0</v>
      </c>
      <c r="H1517" s="10" t="n">
        <f aca="false">F1517+G1517</f>
        <v>0</v>
      </c>
      <c r="I1517" s="10" t="n">
        <f aca="false">0</f>
        <v>0</v>
      </c>
      <c r="J1517" s="10" t="n">
        <f aca="false">MAX(0,E1517-E1516)*Staffing!$O$31</f>
        <v>0</v>
      </c>
      <c r="K1517" s="10" t="n">
        <f aca="false">MAX(0,E1517-E1516)*Staffing!$P$31</f>
        <v>0</v>
      </c>
      <c r="L1517" s="23" t="n">
        <f aca="false">ROUNDUP(E1517,0)</f>
        <v>0</v>
      </c>
    </row>
    <row r="1518" customFormat="false" ht="15" hidden="false" customHeight="false" outlineLevel="0" collapsed="false">
      <c r="A1518" s="6" t="s">
        <v>4</v>
      </c>
      <c r="B1518" s="6" t="s">
        <v>353</v>
      </c>
      <c r="C1518" s="6" t="n">
        <v>13</v>
      </c>
      <c r="D1518" s="25" t="n">
        <f aca="false">EDATE('Start Here'!$B$6,C1518-1)</f>
        <v>46692</v>
      </c>
      <c r="E1518" s="23" t="n">
        <f aca="false">IF(AND(C1518&gt;=Assumptions!$D$25,C1518&lt;=Staffing!$G$31,'Start Here'!$B$8=1),IF(C1518&lt;=6,Staffing!$H$31,IF(C1518&lt;=15,Staffing!$I$31,IF(C1518&lt;=30,Staffing!$J$31,Staffing!$K$31))),0)</f>
        <v>0</v>
      </c>
      <c r="F1518" s="10" t="n">
        <f aca="false">E1518*Staffing!$L$31/12*(1+Assumptions!$D$10)^INT((C1518-1)/12)*1</f>
        <v>0</v>
      </c>
      <c r="G1518" s="10" t="n">
        <f aca="false">F1518*Staffing!$N$31</f>
        <v>0</v>
      </c>
      <c r="H1518" s="10" t="n">
        <f aca="false">F1518+G1518</f>
        <v>0</v>
      </c>
      <c r="I1518" s="10" t="n">
        <f aca="false">0</f>
        <v>0</v>
      </c>
      <c r="J1518" s="10" t="n">
        <f aca="false">MAX(0,E1518-E1517)*Staffing!$O$31</f>
        <v>0</v>
      </c>
      <c r="K1518" s="10" t="n">
        <f aca="false">MAX(0,E1518-E1517)*Staffing!$P$31</f>
        <v>0</v>
      </c>
      <c r="L1518" s="23" t="n">
        <f aca="false">ROUNDUP(E1518,0)</f>
        <v>0</v>
      </c>
    </row>
    <row r="1519" customFormat="false" ht="15" hidden="false" customHeight="false" outlineLevel="0" collapsed="false">
      <c r="A1519" s="6" t="s">
        <v>4</v>
      </c>
      <c r="B1519" s="6" t="s">
        <v>353</v>
      </c>
      <c r="C1519" s="6" t="n">
        <v>14</v>
      </c>
      <c r="D1519" s="25" t="n">
        <f aca="false">EDATE('Start Here'!$B$6,C1519-1)</f>
        <v>46722</v>
      </c>
      <c r="E1519" s="23" t="n">
        <f aca="false">IF(AND(C1519&gt;=Assumptions!$D$25,C1519&lt;=Staffing!$G$31,'Start Here'!$B$8=1),IF(C1519&lt;=6,Staffing!$H$31,IF(C1519&lt;=15,Staffing!$I$31,IF(C1519&lt;=30,Staffing!$J$31,Staffing!$K$31))),0)</f>
        <v>0</v>
      </c>
      <c r="F1519" s="10" t="n">
        <f aca="false">E1519*Staffing!$L$31/12*(1+Assumptions!$D$10)^INT((C1519-1)/12)*1</f>
        <v>0</v>
      </c>
      <c r="G1519" s="10" t="n">
        <f aca="false">F1519*Staffing!$N$31</f>
        <v>0</v>
      </c>
      <c r="H1519" s="10" t="n">
        <f aca="false">F1519+G1519</f>
        <v>0</v>
      </c>
      <c r="I1519" s="10" t="n">
        <f aca="false">0</f>
        <v>0</v>
      </c>
      <c r="J1519" s="10" t="n">
        <f aca="false">MAX(0,E1519-E1518)*Staffing!$O$31</f>
        <v>0</v>
      </c>
      <c r="K1519" s="10" t="n">
        <f aca="false">MAX(0,E1519-E1518)*Staffing!$P$31</f>
        <v>0</v>
      </c>
      <c r="L1519" s="23" t="n">
        <f aca="false">ROUNDUP(E1519,0)</f>
        <v>0</v>
      </c>
    </row>
    <row r="1520" customFormat="false" ht="15" hidden="false" customHeight="false" outlineLevel="0" collapsed="false">
      <c r="A1520" s="6" t="s">
        <v>4</v>
      </c>
      <c r="B1520" s="6" t="s">
        <v>353</v>
      </c>
      <c r="C1520" s="6" t="n">
        <v>15</v>
      </c>
      <c r="D1520" s="25" t="n">
        <f aca="false">EDATE('Start Here'!$B$6,C1520-1)</f>
        <v>46753</v>
      </c>
      <c r="E1520" s="23" t="n">
        <f aca="false">IF(AND(C1520&gt;=Assumptions!$D$25,C1520&lt;=Staffing!$G$31,'Start Here'!$B$8=1),IF(C1520&lt;=6,Staffing!$H$31,IF(C1520&lt;=15,Staffing!$I$31,IF(C1520&lt;=30,Staffing!$J$31,Staffing!$K$31))),0)</f>
        <v>0</v>
      </c>
      <c r="F1520" s="10" t="n">
        <f aca="false">E1520*Staffing!$L$31/12*(1+Assumptions!$D$10)^INT((C1520-1)/12)*1</f>
        <v>0</v>
      </c>
      <c r="G1520" s="10" t="n">
        <f aca="false">F1520*Staffing!$N$31</f>
        <v>0</v>
      </c>
      <c r="H1520" s="10" t="n">
        <f aca="false">F1520+G1520</f>
        <v>0</v>
      </c>
      <c r="I1520" s="10" t="n">
        <f aca="false">0</f>
        <v>0</v>
      </c>
      <c r="J1520" s="10" t="n">
        <f aca="false">MAX(0,E1520-E1519)*Staffing!$O$31</f>
        <v>0</v>
      </c>
      <c r="K1520" s="10" t="n">
        <f aca="false">MAX(0,E1520-E1519)*Staffing!$P$31</f>
        <v>0</v>
      </c>
      <c r="L1520" s="23" t="n">
        <f aca="false">ROUNDUP(E1520,0)</f>
        <v>0</v>
      </c>
    </row>
    <row r="1521" customFormat="false" ht="15" hidden="false" customHeight="false" outlineLevel="0" collapsed="false">
      <c r="A1521" s="6" t="s">
        <v>4</v>
      </c>
      <c r="B1521" s="6" t="s">
        <v>353</v>
      </c>
      <c r="C1521" s="6" t="n">
        <v>16</v>
      </c>
      <c r="D1521" s="25" t="n">
        <f aca="false">EDATE('Start Here'!$B$6,C1521-1)</f>
        <v>46784</v>
      </c>
      <c r="E1521" s="23" t="n">
        <f aca="false">IF(AND(C1521&gt;=Assumptions!$D$25,C1521&lt;=Staffing!$G$31,'Start Here'!$B$8=1),IF(C1521&lt;=6,Staffing!$H$31,IF(C1521&lt;=15,Staffing!$I$31,IF(C1521&lt;=30,Staffing!$J$31,Staffing!$K$31))),0)</f>
        <v>0</v>
      </c>
      <c r="F1521" s="10" t="n">
        <f aca="false">E1521*Staffing!$L$31/12*(1+Assumptions!$D$10)^INT((C1521-1)/12)*1</f>
        <v>0</v>
      </c>
      <c r="G1521" s="10" t="n">
        <f aca="false">F1521*Staffing!$N$31</f>
        <v>0</v>
      </c>
      <c r="H1521" s="10" t="n">
        <f aca="false">F1521+G1521</f>
        <v>0</v>
      </c>
      <c r="I1521" s="10" t="n">
        <f aca="false">0</f>
        <v>0</v>
      </c>
      <c r="J1521" s="10" t="n">
        <f aca="false">MAX(0,E1521-E1520)*Staffing!$O$31</f>
        <v>0</v>
      </c>
      <c r="K1521" s="10" t="n">
        <f aca="false">MAX(0,E1521-E1520)*Staffing!$P$31</f>
        <v>0</v>
      </c>
      <c r="L1521" s="23" t="n">
        <f aca="false">ROUNDUP(E1521,0)</f>
        <v>0</v>
      </c>
    </row>
    <row r="1522" customFormat="false" ht="15" hidden="false" customHeight="false" outlineLevel="0" collapsed="false">
      <c r="A1522" s="6" t="s">
        <v>4</v>
      </c>
      <c r="B1522" s="6" t="s">
        <v>353</v>
      </c>
      <c r="C1522" s="6" t="n">
        <v>17</v>
      </c>
      <c r="D1522" s="25" t="n">
        <f aca="false">EDATE('Start Here'!$B$6,C1522-1)</f>
        <v>46813</v>
      </c>
      <c r="E1522" s="23" t="n">
        <f aca="false">IF(AND(C1522&gt;=Assumptions!$D$25,C1522&lt;=Staffing!$G$31,'Start Here'!$B$8=1),IF(C1522&lt;=6,Staffing!$H$31,IF(C1522&lt;=15,Staffing!$I$31,IF(C1522&lt;=30,Staffing!$J$31,Staffing!$K$31))),0)</f>
        <v>0</v>
      </c>
      <c r="F1522" s="10" t="n">
        <f aca="false">E1522*Staffing!$L$31/12*(1+Assumptions!$D$10)^INT((C1522-1)/12)*1</f>
        <v>0</v>
      </c>
      <c r="G1522" s="10" t="n">
        <f aca="false">F1522*Staffing!$N$31</f>
        <v>0</v>
      </c>
      <c r="H1522" s="10" t="n">
        <f aca="false">F1522+G1522</f>
        <v>0</v>
      </c>
      <c r="I1522" s="10" t="n">
        <f aca="false">0</f>
        <v>0</v>
      </c>
      <c r="J1522" s="10" t="n">
        <f aca="false">MAX(0,E1522-E1521)*Staffing!$O$31</f>
        <v>0</v>
      </c>
      <c r="K1522" s="10" t="n">
        <f aca="false">MAX(0,E1522-E1521)*Staffing!$P$31</f>
        <v>0</v>
      </c>
      <c r="L1522" s="23" t="n">
        <f aca="false">ROUNDUP(E1522,0)</f>
        <v>0</v>
      </c>
    </row>
    <row r="1523" customFormat="false" ht="15" hidden="false" customHeight="false" outlineLevel="0" collapsed="false">
      <c r="A1523" s="6" t="s">
        <v>4</v>
      </c>
      <c r="B1523" s="6" t="s">
        <v>353</v>
      </c>
      <c r="C1523" s="6" t="n">
        <v>18</v>
      </c>
      <c r="D1523" s="25" t="n">
        <f aca="false">EDATE('Start Here'!$B$6,C1523-1)</f>
        <v>46844</v>
      </c>
      <c r="E1523" s="23" t="n">
        <f aca="false">IF(AND(C1523&gt;=Assumptions!$D$25,C1523&lt;=Staffing!$G$31,'Start Here'!$B$8=1),IF(C1523&lt;=6,Staffing!$H$31,IF(C1523&lt;=15,Staffing!$I$31,IF(C1523&lt;=30,Staffing!$J$31,Staffing!$K$31))),0)</f>
        <v>0</v>
      </c>
      <c r="F1523" s="10" t="n">
        <f aca="false">E1523*Staffing!$L$31/12*(1+Assumptions!$D$10)^INT((C1523-1)/12)*1</f>
        <v>0</v>
      </c>
      <c r="G1523" s="10" t="n">
        <f aca="false">F1523*Staffing!$N$31</f>
        <v>0</v>
      </c>
      <c r="H1523" s="10" t="n">
        <f aca="false">F1523+G1523</f>
        <v>0</v>
      </c>
      <c r="I1523" s="10" t="n">
        <f aca="false">0</f>
        <v>0</v>
      </c>
      <c r="J1523" s="10" t="n">
        <f aca="false">MAX(0,E1523-E1522)*Staffing!$O$31</f>
        <v>0</v>
      </c>
      <c r="K1523" s="10" t="n">
        <f aca="false">MAX(0,E1523-E1522)*Staffing!$P$31</f>
        <v>0</v>
      </c>
      <c r="L1523" s="23" t="n">
        <f aca="false">ROUNDUP(E1523,0)</f>
        <v>0</v>
      </c>
    </row>
    <row r="1524" customFormat="false" ht="15" hidden="false" customHeight="false" outlineLevel="0" collapsed="false">
      <c r="A1524" s="6" t="s">
        <v>4</v>
      </c>
      <c r="B1524" s="6" t="s">
        <v>353</v>
      </c>
      <c r="C1524" s="6" t="n">
        <v>19</v>
      </c>
      <c r="D1524" s="25" t="n">
        <f aca="false">EDATE('Start Here'!$B$6,C1524-1)</f>
        <v>46874</v>
      </c>
      <c r="E1524" s="23" t="n">
        <f aca="false">IF(AND(C1524&gt;=Assumptions!$D$25,C1524&lt;=Staffing!$G$31,'Start Here'!$B$8=1),IF(C1524&lt;=6,Staffing!$H$31,IF(C1524&lt;=15,Staffing!$I$31,IF(C1524&lt;=30,Staffing!$J$31,Staffing!$K$31))),0)</f>
        <v>0</v>
      </c>
      <c r="F1524" s="10" t="n">
        <f aca="false">E1524*Staffing!$L$31/12*(1+Assumptions!$D$10)^INT((C1524-1)/12)*1</f>
        <v>0</v>
      </c>
      <c r="G1524" s="10" t="n">
        <f aca="false">F1524*Staffing!$N$31</f>
        <v>0</v>
      </c>
      <c r="H1524" s="10" t="n">
        <f aca="false">F1524+G1524</f>
        <v>0</v>
      </c>
      <c r="I1524" s="10" t="n">
        <f aca="false">0</f>
        <v>0</v>
      </c>
      <c r="J1524" s="10" t="n">
        <f aca="false">MAX(0,E1524-E1523)*Staffing!$O$31</f>
        <v>0</v>
      </c>
      <c r="K1524" s="10" t="n">
        <f aca="false">MAX(0,E1524-E1523)*Staffing!$P$31</f>
        <v>0</v>
      </c>
      <c r="L1524" s="23" t="n">
        <f aca="false">ROUNDUP(E1524,0)</f>
        <v>0</v>
      </c>
    </row>
    <row r="1525" customFormat="false" ht="15" hidden="false" customHeight="false" outlineLevel="0" collapsed="false">
      <c r="A1525" s="6" t="s">
        <v>4</v>
      </c>
      <c r="B1525" s="6" t="s">
        <v>353</v>
      </c>
      <c r="C1525" s="6" t="n">
        <v>20</v>
      </c>
      <c r="D1525" s="25" t="n">
        <f aca="false">EDATE('Start Here'!$B$6,C1525-1)</f>
        <v>46905</v>
      </c>
      <c r="E1525" s="23" t="n">
        <f aca="false">IF(AND(C1525&gt;=Assumptions!$D$25,C1525&lt;=Staffing!$G$31,'Start Here'!$B$8=1),IF(C1525&lt;=6,Staffing!$H$31,IF(C1525&lt;=15,Staffing!$I$31,IF(C1525&lt;=30,Staffing!$J$31,Staffing!$K$31))),0)</f>
        <v>0</v>
      </c>
      <c r="F1525" s="10" t="n">
        <f aca="false">E1525*Staffing!$L$31/12*(1+Assumptions!$D$10)^INT((C1525-1)/12)*1</f>
        <v>0</v>
      </c>
      <c r="G1525" s="10" t="n">
        <f aca="false">F1525*Staffing!$N$31</f>
        <v>0</v>
      </c>
      <c r="H1525" s="10" t="n">
        <f aca="false">F1525+G1525</f>
        <v>0</v>
      </c>
      <c r="I1525" s="10" t="n">
        <f aca="false">0</f>
        <v>0</v>
      </c>
      <c r="J1525" s="10" t="n">
        <f aca="false">MAX(0,E1525-E1524)*Staffing!$O$31</f>
        <v>0</v>
      </c>
      <c r="K1525" s="10" t="n">
        <f aca="false">MAX(0,E1525-E1524)*Staffing!$P$31</f>
        <v>0</v>
      </c>
      <c r="L1525" s="23" t="n">
        <f aca="false">ROUNDUP(E1525,0)</f>
        <v>0</v>
      </c>
    </row>
    <row r="1526" customFormat="false" ht="15" hidden="false" customHeight="false" outlineLevel="0" collapsed="false">
      <c r="A1526" s="6" t="s">
        <v>4</v>
      </c>
      <c r="B1526" s="6" t="s">
        <v>353</v>
      </c>
      <c r="C1526" s="6" t="n">
        <v>21</v>
      </c>
      <c r="D1526" s="25" t="n">
        <f aca="false">EDATE('Start Here'!$B$6,C1526-1)</f>
        <v>46935</v>
      </c>
      <c r="E1526" s="23" t="n">
        <f aca="false">IF(AND(C1526&gt;=Assumptions!$D$25,C1526&lt;=Staffing!$G$31,'Start Here'!$B$8=1),IF(C1526&lt;=6,Staffing!$H$31,IF(C1526&lt;=15,Staffing!$I$31,IF(C1526&lt;=30,Staffing!$J$31,Staffing!$K$31))),0)</f>
        <v>0</v>
      </c>
      <c r="F1526" s="10" t="n">
        <f aca="false">E1526*Staffing!$L$31/12*(1+Assumptions!$D$10)^INT((C1526-1)/12)*1</f>
        <v>0</v>
      </c>
      <c r="G1526" s="10" t="n">
        <f aca="false">F1526*Staffing!$N$31</f>
        <v>0</v>
      </c>
      <c r="H1526" s="10" t="n">
        <f aca="false">F1526+G1526</f>
        <v>0</v>
      </c>
      <c r="I1526" s="10" t="n">
        <f aca="false">0</f>
        <v>0</v>
      </c>
      <c r="J1526" s="10" t="n">
        <f aca="false">MAX(0,E1526-E1525)*Staffing!$O$31</f>
        <v>0</v>
      </c>
      <c r="K1526" s="10" t="n">
        <f aca="false">MAX(0,E1526-E1525)*Staffing!$P$31</f>
        <v>0</v>
      </c>
      <c r="L1526" s="23" t="n">
        <f aca="false">ROUNDUP(E1526,0)</f>
        <v>0</v>
      </c>
    </row>
    <row r="1527" customFormat="false" ht="15" hidden="false" customHeight="false" outlineLevel="0" collapsed="false">
      <c r="A1527" s="6" t="s">
        <v>4</v>
      </c>
      <c r="B1527" s="6" t="s">
        <v>353</v>
      </c>
      <c r="C1527" s="6" t="n">
        <v>22</v>
      </c>
      <c r="D1527" s="25" t="n">
        <f aca="false">EDATE('Start Here'!$B$6,C1527-1)</f>
        <v>46966</v>
      </c>
      <c r="E1527" s="23" t="n">
        <f aca="false">IF(AND(C1527&gt;=Assumptions!$D$25,C1527&lt;=Staffing!$G$31,'Start Here'!$B$8=1),IF(C1527&lt;=6,Staffing!$H$31,IF(C1527&lt;=15,Staffing!$I$31,IF(C1527&lt;=30,Staffing!$J$31,Staffing!$K$31))),0)</f>
        <v>0</v>
      </c>
      <c r="F1527" s="10" t="n">
        <f aca="false">E1527*Staffing!$L$31/12*(1+Assumptions!$D$10)^INT((C1527-1)/12)*1</f>
        <v>0</v>
      </c>
      <c r="G1527" s="10" t="n">
        <f aca="false">F1527*Staffing!$N$31</f>
        <v>0</v>
      </c>
      <c r="H1527" s="10" t="n">
        <f aca="false">F1527+G1527</f>
        <v>0</v>
      </c>
      <c r="I1527" s="10" t="n">
        <f aca="false">0</f>
        <v>0</v>
      </c>
      <c r="J1527" s="10" t="n">
        <f aca="false">MAX(0,E1527-E1526)*Staffing!$O$31</f>
        <v>0</v>
      </c>
      <c r="K1527" s="10" t="n">
        <f aca="false">MAX(0,E1527-E1526)*Staffing!$P$31</f>
        <v>0</v>
      </c>
      <c r="L1527" s="23" t="n">
        <f aca="false">ROUNDUP(E1527,0)</f>
        <v>0</v>
      </c>
    </row>
    <row r="1528" customFormat="false" ht="15" hidden="false" customHeight="false" outlineLevel="0" collapsed="false">
      <c r="A1528" s="6" t="s">
        <v>4</v>
      </c>
      <c r="B1528" s="6" t="s">
        <v>353</v>
      </c>
      <c r="C1528" s="6" t="n">
        <v>23</v>
      </c>
      <c r="D1528" s="25" t="n">
        <f aca="false">EDATE('Start Here'!$B$6,C1528-1)</f>
        <v>46997</v>
      </c>
      <c r="E1528" s="23" t="n">
        <f aca="false">IF(AND(C1528&gt;=Assumptions!$D$25,C1528&lt;=Staffing!$G$31,'Start Here'!$B$8=1),IF(C1528&lt;=6,Staffing!$H$31,IF(C1528&lt;=15,Staffing!$I$31,IF(C1528&lt;=30,Staffing!$J$31,Staffing!$K$31))),0)</f>
        <v>0</v>
      </c>
      <c r="F1528" s="10" t="n">
        <f aca="false">E1528*Staffing!$L$31/12*(1+Assumptions!$D$10)^INT((C1528-1)/12)*1</f>
        <v>0</v>
      </c>
      <c r="G1528" s="10" t="n">
        <f aca="false">F1528*Staffing!$N$31</f>
        <v>0</v>
      </c>
      <c r="H1528" s="10" t="n">
        <f aca="false">F1528+G1528</f>
        <v>0</v>
      </c>
      <c r="I1528" s="10" t="n">
        <f aca="false">0</f>
        <v>0</v>
      </c>
      <c r="J1528" s="10" t="n">
        <f aca="false">MAX(0,E1528-E1527)*Staffing!$O$31</f>
        <v>0</v>
      </c>
      <c r="K1528" s="10" t="n">
        <f aca="false">MAX(0,E1528-E1527)*Staffing!$P$31</f>
        <v>0</v>
      </c>
      <c r="L1528" s="23" t="n">
        <f aca="false">ROUNDUP(E1528,0)</f>
        <v>0</v>
      </c>
    </row>
    <row r="1529" customFormat="false" ht="15" hidden="false" customHeight="false" outlineLevel="0" collapsed="false">
      <c r="A1529" s="6" t="s">
        <v>4</v>
      </c>
      <c r="B1529" s="6" t="s">
        <v>353</v>
      </c>
      <c r="C1529" s="6" t="n">
        <v>24</v>
      </c>
      <c r="D1529" s="25" t="n">
        <f aca="false">EDATE('Start Here'!$B$6,C1529-1)</f>
        <v>47027</v>
      </c>
      <c r="E1529" s="23" t="n">
        <f aca="false">IF(AND(C1529&gt;=Assumptions!$D$25,C1529&lt;=Staffing!$G$31,'Start Here'!$B$8=1),IF(C1529&lt;=6,Staffing!$H$31,IF(C1529&lt;=15,Staffing!$I$31,IF(C1529&lt;=30,Staffing!$J$31,Staffing!$K$31))),0)</f>
        <v>0</v>
      </c>
      <c r="F1529" s="10" t="n">
        <f aca="false">E1529*Staffing!$L$31/12*(1+Assumptions!$D$10)^INT((C1529-1)/12)*1</f>
        <v>0</v>
      </c>
      <c r="G1529" s="10" t="n">
        <f aca="false">F1529*Staffing!$N$31</f>
        <v>0</v>
      </c>
      <c r="H1529" s="10" t="n">
        <f aca="false">F1529+G1529</f>
        <v>0</v>
      </c>
      <c r="I1529" s="10" t="n">
        <f aca="false">0</f>
        <v>0</v>
      </c>
      <c r="J1529" s="10" t="n">
        <f aca="false">MAX(0,E1529-E1528)*Staffing!$O$31</f>
        <v>0</v>
      </c>
      <c r="K1529" s="10" t="n">
        <f aca="false">MAX(0,E1529-E1528)*Staffing!$P$31</f>
        <v>0</v>
      </c>
      <c r="L1529" s="23" t="n">
        <f aca="false">ROUNDUP(E1529,0)</f>
        <v>0</v>
      </c>
    </row>
    <row r="1530" customFormat="false" ht="15" hidden="false" customHeight="false" outlineLevel="0" collapsed="false">
      <c r="A1530" s="6" t="s">
        <v>4</v>
      </c>
      <c r="B1530" s="6" t="s">
        <v>353</v>
      </c>
      <c r="C1530" s="6" t="n">
        <v>25</v>
      </c>
      <c r="D1530" s="25" t="n">
        <f aca="false">EDATE('Start Here'!$B$6,C1530-1)</f>
        <v>47058</v>
      </c>
      <c r="E1530" s="23" t="n">
        <f aca="false">IF(AND(C1530&gt;=Assumptions!$D$25,C1530&lt;=Staffing!$G$31,'Start Here'!$B$8=1),IF(C1530&lt;=6,Staffing!$H$31,IF(C1530&lt;=15,Staffing!$I$31,IF(C1530&lt;=30,Staffing!$J$31,Staffing!$K$31))),0)</f>
        <v>0</v>
      </c>
      <c r="F1530" s="10" t="n">
        <f aca="false">E1530*Staffing!$L$31/12*(1+Assumptions!$D$10)^INT((C1530-1)/12)*1</f>
        <v>0</v>
      </c>
      <c r="G1530" s="10" t="n">
        <f aca="false">F1530*Staffing!$N$31</f>
        <v>0</v>
      </c>
      <c r="H1530" s="10" t="n">
        <f aca="false">F1530+G1530</f>
        <v>0</v>
      </c>
      <c r="I1530" s="10" t="n">
        <f aca="false">0</f>
        <v>0</v>
      </c>
      <c r="J1530" s="10" t="n">
        <f aca="false">MAX(0,E1530-E1529)*Staffing!$O$31</f>
        <v>0</v>
      </c>
      <c r="K1530" s="10" t="n">
        <f aca="false">MAX(0,E1530-E1529)*Staffing!$P$31</f>
        <v>0</v>
      </c>
      <c r="L1530" s="23" t="n">
        <f aca="false">ROUNDUP(E1530,0)</f>
        <v>0</v>
      </c>
    </row>
    <row r="1531" customFormat="false" ht="15" hidden="false" customHeight="false" outlineLevel="0" collapsed="false">
      <c r="A1531" s="6" t="s">
        <v>4</v>
      </c>
      <c r="B1531" s="6" t="s">
        <v>353</v>
      </c>
      <c r="C1531" s="6" t="n">
        <v>26</v>
      </c>
      <c r="D1531" s="25" t="n">
        <f aca="false">EDATE('Start Here'!$B$6,C1531-1)</f>
        <v>47088</v>
      </c>
      <c r="E1531" s="23" t="n">
        <f aca="false">IF(AND(C1531&gt;=Assumptions!$D$25,C1531&lt;=Staffing!$G$31,'Start Here'!$B$8=1),IF(C1531&lt;=6,Staffing!$H$31,IF(C1531&lt;=15,Staffing!$I$31,IF(C1531&lt;=30,Staffing!$J$31,Staffing!$K$31))),0)</f>
        <v>0</v>
      </c>
      <c r="F1531" s="10" t="n">
        <f aca="false">E1531*Staffing!$L$31/12*(1+Assumptions!$D$10)^INT((C1531-1)/12)*1</f>
        <v>0</v>
      </c>
      <c r="G1531" s="10" t="n">
        <f aca="false">F1531*Staffing!$N$31</f>
        <v>0</v>
      </c>
      <c r="H1531" s="10" t="n">
        <f aca="false">F1531+G1531</f>
        <v>0</v>
      </c>
      <c r="I1531" s="10" t="n">
        <f aca="false">0</f>
        <v>0</v>
      </c>
      <c r="J1531" s="10" t="n">
        <f aca="false">MAX(0,E1531-E1530)*Staffing!$O$31</f>
        <v>0</v>
      </c>
      <c r="K1531" s="10" t="n">
        <f aca="false">MAX(0,E1531-E1530)*Staffing!$P$31</f>
        <v>0</v>
      </c>
      <c r="L1531" s="23" t="n">
        <f aca="false">ROUNDUP(E1531,0)</f>
        <v>0</v>
      </c>
    </row>
    <row r="1532" customFormat="false" ht="15" hidden="false" customHeight="false" outlineLevel="0" collapsed="false">
      <c r="A1532" s="6" t="s">
        <v>4</v>
      </c>
      <c r="B1532" s="6" t="s">
        <v>353</v>
      </c>
      <c r="C1532" s="6" t="n">
        <v>27</v>
      </c>
      <c r="D1532" s="25" t="n">
        <f aca="false">EDATE('Start Here'!$B$6,C1532-1)</f>
        <v>47119</v>
      </c>
      <c r="E1532" s="23" t="n">
        <f aca="false">IF(AND(C1532&gt;=Assumptions!$D$25,C1532&lt;=Staffing!$G$31,'Start Here'!$B$8=1),IF(C1532&lt;=6,Staffing!$H$31,IF(C1532&lt;=15,Staffing!$I$31,IF(C1532&lt;=30,Staffing!$J$31,Staffing!$K$31))),0)</f>
        <v>0</v>
      </c>
      <c r="F1532" s="10" t="n">
        <f aca="false">E1532*Staffing!$L$31/12*(1+Assumptions!$D$10)^INT((C1532-1)/12)*1</f>
        <v>0</v>
      </c>
      <c r="G1532" s="10" t="n">
        <f aca="false">F1532*Staffing!$N$31</f>
        <v>0</v>
      </c>
      <c r="H1532" s="10" t="n">
        <f aca="false">F1532+G1532</f>
        <v>0</v>
      </c>
      <c r="I1532" s="10" t="n">
        <f aca="false">0</f>
        <v>0</v>
      </c>
      <c r="J1532" s="10" t="n">
        <f aca="false">MAX(0,E1532-E1531)*Staffing!$O$31</f>
        <v>0</v>
      </c>
      <c r="K1532" s="10" t="n">
        <f aca="false">MAX(0,E1532-E1531)*Staffing!$P$31</f>
        <v>0</v>
      </c>
      <c r="L1532" s="23" t="n">
        <f aca="false">ROUNDUP(E1532,0)</f>
        <v>0</v>
      </c>
    </row>
    <row r="1533" customFormat="false" ht="15" hidden="false" customHeight="false" outlineLevel="0" collapsed="false">
      <c r="A1533" s="6" t="s">
        <v>4</v>
      </c>
      <c r="B1533" s="6" t="s">
        <v>353</v>
      </c>
      <c r="C1533" s="6" t="n">
        <v>28</v>
      </c>
      <c r="D1533" s="25" t="n">
        <f aca="false">EDATE('Start Here'!$B$6,C1533-1)</f>
        <v>47150</v>
      </c>
      <c r="E1533" s="23" t="n">
        <f aca="false">IF(AND(C1533&gt;=Assumptions!$D$25,C1533&lt;=Staffing!$G$31,'Start Here'!$B$8=1),IF(C1533&lt;=6,Staffing!$H$31,IF(C1533&lt;=15,Staffing!$I$31,IF(C1533&lt;=30,Staffing!$J$31,Staffing!$K$31))),0)</f>
        <v>0</v>
      </c>
      <c r="F1533" s="10" t="n">
        <f aca="false">E1533*Staffing!$L$31/12*(1+Assumptions!$D$10)^INT((C1533-1)/12)*1</f>
        <v>0</v>
      </c>
      <c r="G1533" s="10" t="n">
        <f aca="false">F1533*Staffing!$N$31</f>
        <v>0</v>
      </c>
      <c r="H1533" s="10" t="n">
        <f aca="false">F1533+G1533</f>
        <v>0</v>
      </c>
      <c r="I1533" s="10" t="n">
        <f aca="false">0</f>
        <v>0</v>
      </c>
      <c r="J1533" s="10" t="n">
        <f aca="false">MAX(0,E1533-E1532)*Staffing!$O$31</f>
        <v>0</v>
      </c>
      <c r="K1533" s="10" t="n">
        <f aca="false">MAX(0,E1533-E1532)*Staffing!$P$31</f>
        <v>0</v>
      </c>
      <c r="L1533" s="23" t="n">
        <f aca="false">ROUNDUP(E1533,0)</f>
        <v>0</v>
      </c>
    </row>
    <row r="1534" customFormat="false" ht="15" hidden="false" customHeight="false" outlineLevel="0" collapsed="false">
      <c r="A1534" s="6" t="s">
        <v>4</v>
      </c>
      <c r="B1534" s="6" t="s">
        <v>353</v>
      </c>
      <c r="C1534" s="6" t="n">
        <v>29</v>
      </c>
      <c r="D1534" s="25" t="n">
        <f aca="false">EDATE('Start Here'!$B$6,C1534-1)</f>
        <v>47178</v>
      </c>
      <c r="E1534" s="23" t="n">
        <f aca="false">IF(AND(C1534&gt;=Assumptions!$D$25,C1534&lt;=Staffing!$G$31,'Start Here'!$B$8=1),IF(C1534&lt;=6,Staffing!$H$31,IF(C1534&lt;=15,Staffing!$I$31,IF(C1534&lt;=30,Staffing!$J$31,Staffing!$K$31))),0)</f>
        <v>0</v>
      </c>
      <c r="F1534" s="10" t="n">
        <f aca="false">E1534*Staffing!$L$31/12*(1+Assumptions!$D$10)^INT((C1534-1)/12)*1</f>
        <v>0</v>
      </c>
      <c r="G1534" s="10" t="n">
        <f aca="false">F1534*Staffing!$N$31</f>
        <v>0</v>
      </c>
      <c r="H1534" s="10" t="n">
        <f aca="false">F1534+G1534</f>
        <v>0</v>
      </c>
      <c r="I1534" s="10" t="n">
        <f aca="false">0</f>
        <v>0</v>
      </c>
      <c r="J1534" s="10" t="n">
        <f aca="false">MAX(0,E1534-E1533)*Staffing!$O$31</f>
        <v>0</v>
      </c>
      <c r="K1534" s="10" t="n">
        <f aca="false">MAX(0,E1534-E1533)*Staffing!$P$31</f>
        <v>0</v>
      </c>
      <c r="L1534" s="23" t="n">
        <f aca="false">ROUNDUP(E1534,0)</f>
        <v>0</v>
      </c>
    </row>
    <row r="1535" customFormat="false" ht="15" hidden="false" customHeight="false" outlineLevel="0" collapsed="false">
      <c r="A1535" s="6" t="s">
        <v>4</v>
      </c>
      <c r="B1535" s="6" t="s">
        <v>353</v>
      </c>
      <c r="C1535" s="6" t="n">
        <v>30</v>
      </c>
      <c r="D1535" s="25" t="n">
        <f aca="false">EDATE('Start Here'!$B$6,C1535-1)</f>
        <v>47209</v>
      </c>
      <c r="E1535" s="23" t="n">
        <f aca="false">IF(AND(C1535&gt;=Assumptions!$D$25,C1535&lt;=Staffing!$G$31,'Start Here'!$B$8=1),IF(C1535&lt;=6,Staffing!$H$31,IF(C1535&lt;=15,Staffing!$I$31,IF(C1535&lt;=30,Staffing!$J$31,Staffing!$K$31))),0)</f>
        <v>0</v>
      </c>
      <c r="F1535" s="10" t="n">
        <f aca="false">E1535*Staffing!$L$31/12*(1+Assumptions!$D$10)^INT((C1535-1)/12)*1</f>
        <v>0</v>
      </c>
      <c r="G1535" s="10" t="n">
        <f aca="false">F1535*Staffing!$N$31</f>
        <v>0</v>
      </c>
      <c r="H1535" s="10" t="n">
        <f aca="false">F1535+G1535</f>
        <v>0</v>
      </c>
      <c r="I1535" s="10" t="n">
        <f aca="false">0</f>
        <v>0</v>
      </c>
      <c r="J1535" s="10" t="n">
        <f aca="false">MAX(0,E1535-E1534)*Staffing!$O$31</f>
        <v>0</v>
      </c>
      <c r="K1535" s="10" t="n">
        <f aca="false">MAX(0,E1535-E1534)*Staffing!$P$31</f>
        <v>0</v>
      </c>
      <c r="L1535" s="23" t="n">
        <f aca="false">ROUNDUP(E1535,0)</f>
        <v>0</v>
      </c>
    </row>
    <row r="1536" customFormat="false" ht="15" hidden="false" customHeight="false" outlineLevel="0" collapsed="false">
      <c r="A1536" s="6" t="s">
        <v>4</v>
      </c>
      <c r="B1536" s="6" t="s">
        <v>353</v>
      </c>
      <c r="C1536" s="6" t="n">
        <v>31</v>
      </c>
      <c r="D1536" s="25" t="n">
        <f aca="false">EDATE('Start Here'!$B$6,C1536-1)</f>
        <v>47239</v>
      </c>
      <c r="E1536" s="23" t="n">
        <f aca="false">IF(AND(C1536&gt;=Assumptions!$D$25,C1536&lt;=Staffing!$G$31,'Start Here'!$B$8=1),IF(C1536&lt;=6,Staffing!$H$31,IF(C1536&lt;=15,Staffing!$I$31,IF(C1536&lt;=30,Staffing!$J$31,Staffing!$K$31))),0)</f>
        <v>0</v>
      </c>
      <c r="F1536" s="10" t="n">
        <f aca="false">E1536*Staffing!$L$31/12*(1+Assumptions!$D$10)^INT((C1536-1)/12)*1</f>
        <v>0</v>
      </c>
      <c r="G1536" s="10" t="n">
        <f aca="false">F1536*Staffing!$N$31</f>
        <v>0</v>
      </c>
      <c r="H1536" s="10" t="n">
        <f aca="false">F1536+G1536</f>
        <v>0</v>
      </c>
      <c r="I1536" s="10" t="n">
        <f aca="false">0</f>
        <v>0</v>
      </c>
      <c r="J1536" s="10" t="n">
        <f aca="false">MAX(0,E1536-E1535)*Staffing!$O$31</f>
        <v>0</v>
      </c>
      <c r="K1536" s="10" t="n">
        <f aca="false">MAX(0,E1536-E1535)*Staffing!$P$31</f>
        <v>0</v>
      </c>
      <c r="L1536" s="23" t="n">
        <f aca="false">ROUNDUP(E1536,0)</f>
        <v>0</v>
      </c>
    </row>
    <row r="1537" customFormat="false" ht="15" hidden="false" customHeight="false" outlineLevel="0" collapsed="false">
      <c r="A1537" s="6" t="s">
        <v>4</v>
      </c>
      <c r="B1537" s="6" t="s">
        <v>353</v>
      </c>
      <c r="C1537" s="6" t="n">
        <v>32</v>
      </c>
      <c r="D1537" s="25" t="n">
        <f aca="false">EDATE('Start Here'!$B$6,C1537-1)</f>
        <v>47270</v>
      </c>
      <c r="E1537" s="23" t="n">
        <f aca="false">IF(AND(C1537&gt;=Assumptions!$D$25,C1537&lt;=Staffing!$G$31,'Start Here'!$B$8=1),IF(C1537&lt;=6,Staffing!$H$31,IF(C1537&lt;=15,Staffing!$I$31,IF(C1537&lt;=30,Staffing!$J$31,Staffing!$K$31))),0)</f>
        <v>0</v>
      </c>
      <c r="F1537" s="10" t="n">
        <f aca="false">E1537*Staffing!$L$31/12*(1+Assumptions!$D$10)^INT((C1537-1)/12)*1</f>
        <v>0</v>
      </c>
      <c r="G1537" s="10" t="n">
        <f aca="false">F1537*Staffing!$N$31</f>
        <v>0</v>
      </c>
      <c r="H1537" s="10" t="n">
        <f aca="false">F1537+G1537</f>
        <v>0</v>
      </c>
      <c r="I1537" s="10" t="n">
        <f aca="false">0</f>
        <v>0</v>
      </c>
      <c r="J1537" s="10" t="n">
        <f aca="false">MAX(0,E1537-E1536)*Staffing!$O$31</f>
        <v>0</v>
      </c>
      <c r="K1537" s="10" t="n">
        <f aca="false">MAX(0,E1537-E1536)*Staffing!$P$31</f>
        <v>0</v>
      </c>
      <c r="L1537" s="23" t="n">
        <f aca="false">ROUNDUP(E1537,0)</f>
        <v>0</v>
      </c>
    </row>
    <row r="1538" customFormat="false" ht="15" hidden="false" customHeight="false" outlineLevel="0" collapsed="false">
      <c r="A1538" s="6" t="s">
        <v>4</v>
      </c>
      <c r="B1538" s="6" t="s">
        <v>353</v>
      </c>
      <c r="C1538" s="6" t="n">
        <v>33</v>
      </c>
      <c r="D1538" s="25" t="n">
        <f aca="false">EDATE('Start Here'!$B$6,C1538-1)</f>
        <v>47300</v>
      </c>
      <c r="E1538" s="23" t="n">
        <f aca="false">IF(AND(C1538&gt;=Assumptions!$D$25,C1538&lt;=Staffing!$G$31,'Start Here'!$B$8=1),IF(C1538&lt;=6,Staffing!$H$31,IF(C1538&lt;=15,Staffing!$I$31,IF(C1538&lt;=30,Staffing!$J$31,Staffing!$K$31))),0)</f>
        <v>0</v>
      </c>
      <c r="F1538" s="10" t="n">
        <f aca="false">E1538*Staffing!$L$31/12*(1+Assumptions!$D$10)^INT((C1538-1)/12)*1</f>
        <v>0</v>
      </c>
      <c r="G1538" s="10" t="n">
        <f aca="false">F1538*Staffing!$N$31</f>
        <v>0</v>
      </c>
      <c r="H1538" s="10" t="n">
        <f aca="false">F1538+G1538</f>
        <v>0</v>
      </c>
      <c r="I1538" s="10" t="n">
        <f aca="false">0</f>
        <v>0</v>
      </c>
      <c r="J1538" s="10" t="n">
        <f aca="false">MAX(0,E1538-E1537)*Staffing!$O$31</f>
        <v>0</v>
      </c>
      <c r="K1538" s="10" t="n">
        <f aca="false">MAX(0,E1538-E1537)*Staffing!$P$31</f>
        <v>0</v>
      </c>
      <c r="L1538" s="23" t="n">
        <f aca="false">ROUNDUP(E1538,0)</f>
        <v>0</v>
      </c>
    </row>
    <row r="1539" customFormat="false" ht="15" hidden="false" customHeight="false" outlineLevel="0" collapsed="false">
      <c r="A1539" s="6" t="s">
        <v>4</v>
      </c>
      <c r="B1539" s="6" t="s">
        <v>353</v>
      </c>
      <c r="C1539" s="6" t="n">
        <v>34</v>
      </c>
      <c r="D1539" s="25" t="n">
        <f aca="false">EDATE('Start Here'!$B$6,C1539-1)</f>
        <v>47331</v>
      </c>
      <c r="E1539" s="23" t="n">
        <f aca="false">IF(AND(C1539&gt;=Assumptions!$D$25,C1539&lt;=Staffing!$G$31,'Start Here'!$B$8=1),IF(C1539&lt;=6,Staffing!$H$31,IF(C1539&lt;=15,Staffing!$I$31,IF(C1539&lt;=30,Staffing!$J$31,Staffing!$K$31))),0)</f>
        <v>0</v>
      </c>
      <c r="F1539" s="10" t="n">
        <f aca="false">E1539*Staffing!$L$31/12*(1+Assumptions!$D$10)^INT((C1539-1)/12)*1</f>
        <v>0</v>
      </c>
      <c r="G1539" s="10" t="n">
        <f aca="false">F1539*Staffing!$N$31</f>
        <v>0</v>
      </c>
      <c r="H1539" s="10" t="n">
        <f aca="false">F1539+G1539</f>
        <v>0</v>
      </c>
      <c r="I1539" s="10" t="n">
        <f aca="false">0</f>
        <v>0</v>
      </c>
      <c r="J1539" s="10" t="n">
        <f aca="false">MAX(0,E1539-E1538)*Staffing!$O$31</f>
        <v>0</v>
      </c>
      <c r="K1539" s="10" t="n">
        <f aca="false">MAX(0,E1539-E1538)*Staffing!$P$31</f>
        <v>0</v>
      </c>
      <c r="L1539" s="23" t="n">
        <f aca="false">ROUNDUP(E1539,0)</f>
        <v>0</v>
      </c>
    </row>
    <row r="1540" customFormat="false" ht="15" hidden="false" customHeight="false" outlineLevel="0" collapsed="false">
      <c r="A1540" s="6" t="s">
        <v>4</v>
      </c>
      <c r="B1540" s="6" t="s">
        <v>353</v>
      </c>
      <c r="C1540" s="6" t="n">
        <v>35</v>
      </c>
      <c r="D1540" s="25" t="n">
        <f aca="false">EDATE('Start Here'!$B$6,C1540-1)</f>
        <v>47362</v>
      </c>
      <c r="E1540" s="23" t="n">
        <f aca="false">IF(AND(C1540&gt;=Assumptions!$D$25,C1540&lt;=Staffing!$G$31,'Start Here'!$B$8=1),IF(C1540&lt;=6,Staffing!$H$31,IF(C1540&lt;=15,Staffing!$I$31,IF(C1540&lt;=30,Staffing!$J$31,Staffing!$K$31))),0)</f>
        <v>0</v>
      </c>
      <c r="F1540" s="10" t="n">
        <f aca="false">E1540*Staffing!$L$31/12*(1+Assumptions!$D$10)^INT((C1540-1)/12)*1</f>
        <v>0</v>
      </c>
      <c r="G1540" s="10" t="n">
        <f aca="false">F1540*Staffing!$N$31</f>
        <v>0</v>
      </c>
      <c r="H1540" s="10" t="n">
        <f aca="false">F1540+G1540</f>
        <v>0</v>
      </c>
      <c r="I1540" s="10" t="n">
        <f aca="false">0</f>
        <v>0</v>
      </c>
      <c r="J1540" s="10" t="n">
        <f aca="false">MAX(0,E1540-E1539)*Staffing!$O$31</f>
        <v>0</v>
      </c>
      <c r="K1540" s="10" t="n">
        <f aca="false">MAX(0,E1540-E1539)*Staffing!$P$31</f>
        <v>0</v>
      </c>
      <c r="L1540" s="23" t="n">
        <f aca="false">ROUNDUP(E1540,0)</f>
        <v>0</v>
      </c>
    </row>
    <row r="1541" customFormat="false" ht="15" hidden="false" customHeight="false" outlineLevel="0" collapsed="false">
      <c r="A1541" s="6" t="s">
        <v>4</v>
      </c>
      <c r="B1541" s="6" t="s">
        <v>353</v>
      </c>
      <c r="C1541" s="6" t="n">
        <v>36</v>
      </c>
      <c r="D1541" s="25" t="n">
        <f aca="false">EDATE('Start Here'!$B$6,C1541-1)</f>
        <v>47392</v>
      </c>
      <c r="E1541" s="23" t="n">
        <f aca="false">IF(AND(C1541&gt;=Assumptions!$D$25,C1541&lt;=Staffing!$G$31,'Start Here'!$B$8=1),IF(C1541&lt;=6,Staffing!$H$31,IF(C1541&lt;=15,Staffing!$I$31,IF(C1541&lt;=30,Staffing!$J$31,Staffing!$K$31))),0)</f>
        <v>0</v>
      </c>
      <c r="F1541" s="10" t="n">
        <f aca="false">E1541*Staffing!$L$31/12*(1+Assumptions!$D$10)^INT((C1541-1)/12)*1</f>
        <v>0</v>
      </c>
      <c r="G1541" s="10" t="n">
        <f aca="false">F1541*Staffing!$N$31</f>
        <v>0</v>
      </c>
      <c r="H1541" s="10" t="n">
        <f aca="false">F1541+G1541</f>
        <v>0</v>
      </c>
      <c r="I1541" s="10" t="n">
        <f aca="false">0</f>
        <v>0</v>
      </c>
      <c r="J1541" s="10" t="n">
        <f aca="false">MAX(0,E1541-E1540)*Staffing!$O$31</f>
        <v>0</v>
      </c>
      <c r="K1541" s="10" t="n">
        <f aca="false">MAX(0,E1541-E1540)*Staffing!$P$31</f>
        <v>0</v>
      </c>
      <c r="L1541" s="23" t="n">
        <f aca="false">ROUNDUP(E1541,0)</f>
        <v>0</v>
      </c>
    </row>
    <row r="1542" customFormat="false" ht="15" hidden="false" customHeight="false" outlineLevel="0" collapsed="false">
      <c r="A1542" s="6" t="s">
        <v>4</v>
      </c>
      <c r="B1542" s="6" t="s">
        <v>353</v>
      </c>
      <c r="C1542" s="6" t="n">
        <v>37</v>
      </c>
      <c r="D1542" s="25" t="n">
        <f aca="false">EDATE('Start Here'!$B$6,C1542-1)</f>
        <v>47423</v>
      </c>
      <c r="E1542" s="23" t="n">
        <f aca="false">IF(AND(C1542&gt;=Assumptions!$D$25,C1542&lt;=Staffing!$G$31,'Start Here'!$B$8=1),IF(C1542&lt;=6,Staffing!$H$31,IF(C1542&lt;=15,Staffing!$I$31,IF(C1542&lt;=30,Staffing!$J$31,Staffing!$K$31))),0)</f>
        <v>0</v>
      </c>
      <c r="F1542" s="10" t="n">
        <f aca="false">E1542*Staffing!$L$31/12*(1+Assumptions!$D$10)^INT((C1542-1)/12)*1</f>
        <v>0</v>
      </c>
      <c r="G1542" s="10" t="n">
        <f aca="false">F1542*Staffing!$N$31</f>
        <v>0</v>
      </c>
      <c r="H1542" s="10" t="n">
        <f aca="false">F1542+G1542</f>
        <v>0</v>
      </c>
      <c r="I1542" s="10" t="n">
        <f aca="false">0</f>
        <v>0</v>
      </c>
      <c r="J1542" s="10" t="n">
        <f aca="false">MAX(0,E1542-E1541)*Staffing!$O$31</f>
        <v>0</v>
      </c>
      <c r="K1542" s="10" t="n">
        <f aca="false">MAX(0,E1542-E1541)*Staffing!$P$31</f>
        <v>0</v>
      </c>
      <c r="L1542" s="23" t="n">
        <f aca="false">ROUNDUP(E1542,0)</f>
        <v>0</v>
      </c>
    </row>
    <row r="1543" customFormat="false" ht="15" hidden="false" customHeight="false" outlineLevel="0" collapsed="false">
      <c r="A1543" s="6" t="s">
        <v>4</v>
      </c>
      <c r="B1543" s="6" t="s">
        <v>353</v>
      </c>
      <c r="C1543" s="6" t="n">
        <v>38</v>
      </c>
      <c r="D1543" s="25" t="n">
        <f aca="false">EDATE('Start Here'!$B$6,C1543-1)</f>
        <v>47453</v>
      </c>
      <c r="E1543" s="23" t="n">
        <f aca="false">IF(AND(C1543&gt;=Assumptions!$D$25,C1543&lt;=Staffing!$G$31,'Start Here'!$B$8=1),IF(C1543&lt;=6,Staffing!$H$31,IF(C1543&lt;=15,Staffing!$I$31,IF(C1543&lt;=30,Staffing!$J$31,Staffing!$K$31))),0)</f>
        <v>0</v>
      </c>
      <c r="F1543" s="10" t="n">
        <f aca="false">E1543*Staffing!$L$31/12*(1+Assumptions!$D$10)^INT((C1543-1)/12)*1</f>
        <v>0</v>
      </c>
      <c r="G1543" s="10" t="n">
        <f aca="false">F1543*Staffing!$N$31</f>
        <v>0</v>
      </c>
      <c r="H1543" s="10" t="n">
        <f aca="false">F1543+G1543</f>
        <v>0</v>
      </c>
      <c r="I1543" s="10" t="n">
        <f aca="false">0</f>
        <v>0</v>
      </c>
      <c r="J1543" s="10" t="n">
        <f aca="false">MAX(0,E1543-E1542)*Staffing!$O$31</f>
        <v>0</v>
      </c>
      <c r="K1543" s="10" t="n">
        <f aca="false">MAX(0,E1543-E1542)*Staffing!$P$31</f>
        <v>0</v>
      </c>
      <c r="L1543" s="23" t="n">
        <f aca="false">ROUNDUP(E1543,0)</f>
        <v>0</v>
      </c>
    </row>
    <row r="1544" customFormat="false" ht="15" hidden="false" customHeight="false" outlineLevel="0" collapsed="false">
      <c r="A1544" s="6" t="s">
        <v>4</v>
      </c>
      <c r="B1544" s="6" t="s">
        <v>353</v>
      </c>
      <c r="C1544" s="6" t="n">
        <v>39</v>
      </c>
      <c r="D1544" s="25" t="n">
        <f aca="false">EDATE('Start Here'!$B$6,C1544-1)</f>
        <v>47484</v>
      </c>
      <c r="E1544" s="23" t="n">
        <f aca="false">IF(AND(C1544&gt;=Assumptions!$D$25,C1544&lt;=Staffing!$G$31,'Start Here'!$B$8=1),IF(C1544&lt;=6,Staffing!$H$31,IF(C1544&lt;=15,Staffing!$I$31,IF(C1544&lt;=30,Staffing!$J$31,Staffing!$K$31))),0)</f>
        <v>0</v>
      </c>
      <c r="F1544" s="10" t="n">
        <f aca="false">E1544*Staffing!$L$31/12*(1+Assumptions!$D$10)^INT((C1544-1)/12)*1</f>
        <v>0</v>
      </c>
      <c r="G1544" s="10" t="n">
        <f aca="false">F1544*Staffing!$N$31</f>
        <v>0</v>
      </c>
      <c r="H1544" s="10" t="n">
        <f aca="false">F1544+G1544</f>
        <v>0</v>
      </c>
      <c r="I1544" s="10" t="n">
        <f aca="false">0</f>
        <v>0</v>
      </c>
      <c r="J1544" s="10" t="n">
        <f aca="false">MAX(0,E1544-E1543)*Staffing!$O$31</f>
        <v>0</v>
      </c>
      <c r="K1544" s="10" t="n">
        <f aca="false">MAX(0,E1544-E1543)*Staffing!$P$31</f>
        <v>0</v>
      </c>
      <c r="L1544" s="23" t="n">
        <f aca="false">ROUNDUP(E1544,0)</f>
        <v>0</v>
      </c>
    </row>
    <row r="1545" customFormat="false" ht="15" hidden="false" customHeight="false" outlineLevel="0" collapsed="false">
      <c r="A1545" s="6" t="s">
        <v>4</v>
      </c>
      <c r="B1545" s="6" t="s">
        <v>353</v>
      </c>
      <c r="C1545" s="6" t="n">
        <v>40</v>
      </c>
      <c r="D1545" s="25" t="n">
        <f aca="false">EDATE('Start Here'!$B$6,C1545-1)</f>
        <v>47515</v>
      </c>
      <c r="E1545" s="23" t="n">
        <f aca="false">IF(AND(C1545&gt;=Assumptions!$D$25,C1545&lt;=Staffing!$G$31,'Start Here'!$B$8=1),IF(C1545&lt;=6,Staffing!$H$31,IF(C1545&lt;=15,Staffing!$I$31,IF(C1545&lt;=30,Staffing!$J$31,Staffing!$K$31))),0)</f>
        <v>0</v>
      </c>
      <c r="F1545" s="10" t="n">
        <f aca="false">E1545*Staffing!$L$31/12*(1+Assumptions!$D$10)^INT((C1545-1)/12)*1</f>
        <v>0</v>
      </c>
      <c r="G1545" s="10" t="n">
        <f aca="false">F1545*Staffing!$N$31</f>
        <v>0</v>
      </c>
      <c r="H1545" s="10" t="n">
        <f aca="false">F1545+G1545</f>
        <v>0</v>
      </c>
      <c r="I1545" s="10" t="n">
        <f aca="false">0</f>
        <v>0</v>
      </c>
      <c r="J1545" s="10" t="n">
        <f aca="false">MAX(0,E1545-E1544)*Staffing!$O$31</f>
        <v>0</v>
      </c>
      <c r="K1545" s="10" t="n">
        <f aca="false">MAX(0,E1545-E1544)*Staffing!$P$31</f>
        <v>0</v>
      </c>
      <c r="L1545" s="23" t="n">
        <f aca="false">ROUNDUP(E1545,0)</f>
        <v>0</v>
      </c>
    </row>
    <row r="1546" customFormat="false" ht="15" hidden="false" customHeight="false" outlineLevel="0" collapsed="false">
      <c r="A1546" s="6" t="s">
        <v>4</v>
      </c>
      <c r="B1546" s="6" t="s">
        <v>353</v>
      </c>
      <c r="C1546" s="6" t="n">
        <v>41</v>
      </c>
      <c r="D1546" s="25" t="n">
        <f aca="false">EDATE('Start Here'!$B$6,C1546-1)</f>
        <v>47543</v>
      </c>
      <c r="E1546" s="23" t="n">
        <f aca="false">IF(AND(C1546&gt;=Assumptions!$D$25,C1546&lt;=Staffing!$G$31,'Start Here'!$B$8=1),IF(C1546&lt;=6,Staffing!$H$31,IF(C1546&lt;=15,Staffing!$I$31,IF(C1546&lt;=30,Staffing!$J$31,Staffing!$K$31))),0)</f>
        <v>0</v>
      </c>
      <c r="F1546" s="10" t="n">
        <f aca="false">E1546*Staffing!$L$31/12*(1+Assumptions!$D$10)^INT((C1546-1)/12)*1</f>
        <v>0</v>
      </c>
      <c r="G1546" s="10" t="n">
        <f aca="false">F1546*Staffing!$N$31</f>
        <v>0</v>
      </c>
      <c r="H1546" s="10" t="n">
        <f aca="false">F1546+G1546</f>
        <v>0</v>
      </c>
      <c r="I1546" s="10" t="n">
        <f aca="false">0</f>
        <v>0</v>
      </c>
      <c r="J1546" s="10" t="n">
        <f aca="false">MAX(0,E1546-E1545)*Staffing!$O$31</f>
        <v>0</v>
      </c>
      <c r="K1546" s="10" t="n">
        <f aca="false">MAX(0,E1546-E1545)*Staffing!$P$31</f>
        <v>0</v>
      </c>
      <c r="L1546" s="23" t="n">
        <f aca="false">ROUNDUP(E1546,0)</f>
        <v>0</v>
      </c>
    </row>
    <row r="1547" customFormat="false" ht="15" hidden="false" customHeight="false" outlineLevel="0" collapsed="false">
      <c r="A1547" s="6" t="s">
        <v>4</v>
      </c>
      <c r="B1547" s="6" t="s">
        <v>353</v>
      </c>
      <c r="C1547" s="6" t="n">
        <v>42</v>
      </c>
      <c r="D1547" s="25" t="n">
        <f aca="false">EDATE('Start Here'!$B$6,C1547-1)</f>
        <v>47574</v>
      </c>
      <c r="E1547" s="23" t="n">
        <f aca="false">IF(AND(C1547&gt;=Assumptions!$D$25,C1547&lt;=Staffing!$G$31,'Start Here'!$B$8=1),IF(C1547&lt;=6,Staffing!$H$31,IF(C1547&lt;=15,Staffing!$I$31,IF(C1547&lt;=30,Staffing!$J$31,Staffing!$K$31))),0)</f>
        <v>0</v>
      </c>
      <c r="F1547" s="10" t="n">
        <f aca="false">E1547*Staffing!$L$31/12*(1+Assumptions!$D$10)^INT((C1547-1)/12)*1</f>
        <v>0</v>
      </c>
      <c r="G1547" s="10" t="n">
        <f aca="false">F1547*Staffing!$N$31</f>
        <v>0</v>
      </c>
      <c r="H1547" s="10" t="n">
        <f aca="false">F1547+G1547</f>
        <v>0</v>
      </c>
      <c r="I1547" s="10" t="n">
        <f aca="false">0</f>
        <v>0</v>
      </c>
      <c r="J1547" s="10" t="n">
        <f aca="false">MAX(0,E1547-E1546)*Staffing!$O$31</f>
        <v>0</v>
      </c>
      <c r="K1547" s="10" t="n">
        <f aca="false">MAX(0,E1547-E1546)*Staffing!$P$31</f>
        <v>0</v>
      </c>
      <c r="L1547" s="23" t="n">
        <f aca="false">ROUNDUP(E1547,0)</f>
        <v>0</v>
      </c>
    </row>
    <row r="1548" customFormat="false" ht="15" hidden="false" customHeight="false" outlineLevel="0" collapsed="false">
      <c r="A1548" s="6" t="s">
        <v>4</v>
      </c>
      <c r="B1548" s="6" t="s">
        <v>353</v>
      </c>
      <c r="C1548" s="6" t="n">
        <v>43</v>
      </c>
      <c r="D1548" s="25" t="n">
        <f aca="false">EDATE('Start Here'!$B$6,C1548-1)</f>
        <v>47604</v>
      </c>
      <c r="E1548" s="23" t="n">
        <f aca="false">IF(AND(C1548&gt;=Assumptions!$D$25,C1548&lt;=Staffing!$G$31,'Start Here'!$B$8=1),IF(C1548&lt;=6,Staffing!$H$31,IF(C1548&lt;=15,Staffing!$I$31,IF(C1548&lt;=30,Staffing!$J$31,Staffing!$K$31))),0)</f>
        <v>0</v>
      </c>
      <c r="F1548" s="10" t="n">
        <f aca="false">E1548*Staffing!$L$31/12*(1+Assumptions!$D$10)^INT((C1548-1)/12)*1</f>
        <v>0</v>
      </c>
      <c r="G1548" s="10" t="n">
        <f aca="false">F1548*Staffing!$N$31</f>
        <v>0</v>
      </c>
      <c r="H1548" s="10" t="n">
        <f aca="false">F1548+G1548</f>
        <v>0</v>
      </c>
      <c r="I1548" s="10" t="n">
        <f aca="false">0</f>
        <v>0</v>
      </c>
      <c r="J1548" s="10" t="n">
        <f aca="false">MAX(0,E1548-E1547)*Staffing!$O$31</f>
        <v>0</v>
      </c>
      <c r="K1548" s="10" t="n">
        <f aca="false">MAX(0,E1548-E1547)*Staffing!$P$31</f>
        <v>0</v>
      </c>
      <c r="L1548" s="23" t="n">
        <f aca="false">ROUNDUP(E1548,0)</f>
        <v>0</v>
      </c>
    </row>
    <row r="1549" customFormat="false" ht="15" hidden="false" customHeight="false" outlineLevel="0" collapsed="false">
      <c r="A1549" s="6" t="s">
        <v>4</v>
      </c>
      <c r="B1549" s="6" t="s">
        <v>353</v>
      </c>
      <c r="C1549" s="6" t="n">
        <v>44</v>
      </c>
      <c r="D1549" s="25" t="n">
        <f aca="false">EDATE('Start Here'!$B$6,C1549-1)</f>
        <v>47635</v>
      </c>
      <c r="E1549" s="23" t="n">
        <f aca="false">IF(AND(C1549&gt;=Assumptions!$D$25,C1549&lt;=Staffing!$G$31,'Start Here'!$B$8=1),IF(C1549&lt;=6,Staffing!$H$31,IF(C1549&lt;=15,Staffing!$I$31,IF(C1549&lt;=30,Staffing!$J$31,Staffing!$K$31))),0)</f>
        <v>0</v>
      </c>
      <c r="F1549" s="10" t="n">
        <f aca="false">E1549*Staffing!$L$31/12*(1+Assumptions!$D$10)^INT((C1549-1)/12)*1</f>
        <v>0</v>
      </c>
      <c r="G1549" s="10" t="n">
        <f aca="false">F1549*Staffing!$N$31</f>
        <v>0</v>
      </c>
      <c r="H1549" s="10" t="n">
        <f aca="false">F1549+G1549</f>
        <v>0</v>
      </c>
      <c r="I1549" s="10" t="n">
        <f aca="false">0</f>
        <v>0</v>
      </c>
      <c r="J1549" s="10" t="n">
        <f aca="false">MAX(0,E1549-E1548)*Staffing!$O$31</f>
        <v>0</v>
      </c>
      <c r="K1549" s="10" t="n">
        <f aca="false">MAX(0,E1549-E1548)*Staffing!$P$31</f>
        <v>0</v>
      </c>
      <c r="L1549" s="23" t="n">
        <f aca="false">ROUNDUP(E1549,0)</f>
        <v>0</v>
      </c>
    </row>
    <row r="1550" customFormat="false" ht="15" hidden="false" customHeight="false" outlineLevel="0" collapsed="false">
      <c r="A1550" s="6" t="s">
        <v>4</v>
      </c>
      <c r="B1550" s="6" t="s">
        <v>353</v>
      </c>
      <c r="C1550" s="6" t="n">
        <v>45</v>
      </c>
      <c r="D1550" s="25" t="n">
        <f aca="false">EDATE('Start Here'!$B$6,C1550-1)</f>
        <v>47665</v>
      </c>
      <c r="E1550" s="23" t="n">
        <f aca="false">IF(AND(C1550&gt;=Assumptions!$D$25,C1550&lt;=Staffing!$G$31,'Start Here'!$B$8=1),IF(C1550&lt;=6,Staffing!$H$31,IF(C1550&lt;=15,Staffing!$I$31,IF(C1550&lt;=30,Staffing!$J$31,Staffing!$K$31))),0)</f>
        <v>0</v>
      </c>
      <c r="F1550" s="10" t="n">
        <f aca="false">E1550*Staffing!$L$31/12*(1+Assumptions!$D$10)^INT((C1550-1)/12)*1</f>
        <v>0</v>
      </c>
      <c r="G1550" s="10" t="n">
        <f aca="false">F1550*Staffing!$N$31</f>
        <v>0</v>
      </c>
      <c r="H1550" s="10" t="n">
        <f aca="false">F1550+G1550</f>
        <v>0</v>
      </c>
      <c r="I1550" s="10" t="n">
        <f aca="false">0</f>
        <v>0</v>
      </c>
      <c r="J1550" s="10" t="n">
        <f aca="false">MAX(0,E1550-E1549)*Staffing!$O$31</f>
        <v>0</v>
      </c>
      <c r="K1550" s="10" t="n">
        <f aca="false">MAX(0,E1550-E1549)*Staffing!$P$31</f>
        <v>0</v>
      </c>
      <c r="L1550" s="23" t="n">
        <f aca="false">ROUNDUP(E1550,0)</f>
        <v>0</v>
      </c>
    </row>
    <row r="1551" customFormat="false" ht="15" hidden="false" customHeight="false" outlineLevel="0" collapsed="false">
      <c r="A1551" s="6" t="s">
        <v>4</v>
      </c>
      <c r="B1551" s="6" t="s">
        <v>353</v>
      </c>
      <c r="C1551" s="6" t="n">
        <v>46</v>
      </c>
      <c r="D1551" s="25" t="n">
        <f aca="false">EDATE('Start Here'!$B$6,C1551-1)</f>
        <v>47696</v>
      </c>
      <c r="E1551" s="23" t="n">
        <f aca="false">IF(AND(C1551&gt;=Assumptions!$D$25,C1551&lt;=Staffing!$G$31,'Start Here'!$B$8=1),IF(C1551&lt;=6,Staffing!$H$31,IF(C1551&lt;=15,Staffing!$I$31,IF(C1551&lt;=30,Staffing!$J$31,Staffing!$K$31))),0)</f>
        <v>0</v>
      </c>
      <c r="F1551" s="10" t="n">
        <f aca="false">E1551*Staffing!$L$31/12*(1+Assumptions!$D$10)^INT((C1551-1)/12)*1</f>
        <v>0</v>
      </c>
      <c r="G1551" s="10" t="n">
        <f aca="false">F1551*Staffing!$N$31</f>
        <v>0</v>
      </c>
      <c r="H1551" s="10" t="n">
        <f aca="false">F1551+G1551</f>
        <v>0</v>
      </c>
      <c r="I1551" s="10" t="n">
        <f aca="false">0</f>
        <v>0</v>
      </c>
      <c r="J1551" s="10" t="n">
        <f aca="false">MAX(0,E1551-E1550)*Staffing!$O$31</f>
        <v>0</v>
      </c>
      <c r="K1551" s="10" t="n">
        <f aca="false">MAX(0,E1551-E1550)*Staffing!$P$31</f>
        <v>0</v>
      </c>
      <c r="L1551" s="23" t="n">
        <f aca="false">ROUNDUP(E1551,0)</f>
        <v>0</v>
      </c>
    </row>
    <row r="1552" customFormat="false" ht="15" hidden="false" customHeight="false" outlineLevel="0" collapsed="false">
      <c r="A1552" s="6" t="s">
        <v>4</v>
      </c>
      <c r="B1552" s="6" t="s">
        <v>353</v>
      </c>
      <c r="C1552" s="6" t="n">
        <v>47</v>
      </c>
      <c r="D1552" s="25" t="n">
        <f aca="false">EDATE('Start Here'!$B$6,C1552-1)</f>
        <v>47727</v>
      </c>
      <c r="E1552" s="23" t="n">
        <f aca="false">IF(AND(C1552&gt;=Assumptions!$D$25,C1552&lt;=Staffing!$G$31,'Start Here'!$B$8=1),IF(C1552&lt;=6,Staffing!$H$31,IF(C1552&lt;=15,Staffing!$I$31,IF(C1552&lt;=30,Staffing!$J$31,Staffing!$K$31))),0)</f>
        <v>0</v>
      </c>
      <c r="F1552" s="10" t="n">
        <f aca="false">E1552*Staffing!$L$31/12*(1+Assumptions!$D$10)^INT((C1552-1)/12)*1</f>
        <v>0</v>
      </c>
      <c r="G1552" s="10" t="n">
        <f aca="false">F1552*Staffing!$N$31</f>
        <v>0</v>
      </c>
      <c r="H1552" s="10" t="n">
        <f aca="false">F1552+G1552</f>
        <v>0</v>
      </c>
      <c r="I1552" s="10" t="n">
        <f aca="false">0</f>
        <v>0</v>
      </c>
      <c r="J1552" s="10" t="n">
        <f aca="false">MAX(0,E1552-E1551)*Staffing!$O$31</f>
        <v>0</v>
      </c>
      <c r="K1552" s="10" t="n">
        <f aca="false">MAX(0,E1552-E1551)*Staffing!$P$31</f>
        <v>0</v>
      </c>
      <c r="L1552" s="23" t="n">
        <f aca="false">ROUNDUP(E1552,0)</f>
        <v>0</v>
      </c>
    </row>
    <row r="1553" customFormat="false" ht="15" hidden="false" customHeight="false" outlineLevel="0" collapsed="false">
      <c r="A1553" s="6" t="s">
        <v>4</v>
      </c>
      <c r="B1553" s="6" t="s">
        <v>353</v>
      </c>
      <c r="C1553" s="6" t="n">
        <v>48</v>
      </c>
      <c r="D1553" s="25" t="n">
        <f aca="false">EDATE('Start Here'!$B$6,C1553-1)</f>
        <v>47757</v>
      </c>
      <c r="E1553" s="23" t="n">
        <f aca="false">IF(AND(C1553&gt;=Assumptions!$D$25,C1553&lt;=Staffing!$G$31,'Start Here'!$B$8=1),IF(C1553&lt;=6,Staffing!$H$31,IF(C1553&lt;=15,Staffing!$I$31,IF(C1553&lt;=30,Staffing!$J$31,Staffing!$K$31))),0)</f>
        <v>0</v>
      </c>
      <c r="F1553" s="10" t="n">
        <f aca="false">E1553*Staffing!$L$31/12*(1+Assumptions!$D$10)^INT((C1553-1)/12)*1</f>
        <v>0</v>
      </c>
      <c r="G1553" s="10" t="n">
        <f aca="false">F1553*Staffing!$N$31</f>
        <v>0</v>
      </c>
      <c r="H1553" s="10" t="n">
        <f aca="false">F1553+G1553</f>
        <v>0</v>
      </c>
      <c r="I1553" s="10" t="n">
        <f aca="false">0</f>
        <v>0</v>
      </c>
      <c r="J1553" s="10" t="n">
        <f aca="false">MAX(0,E1553-E1552)*Staffing!$O$31</f>
        <v>0</v>
      </c>
      <c r="K1553" s="10" t="n">
        <f aca="false">MAX(0,E1553-E1552)*Staffing!$P$31</f>
        <v>0</v>
      </c>
      <c r="L1553" s="23" t="n">
        <f aca="false">ROUNDUP(E1553,0)</f>
        <v>0</v>
      </c>
    </row>
    <row r="1554" customFormat="false" ht="15" hidden="false" customHeight="false" outlineLevel="0" collapsed="false">
      <c r="A1554" s="6" t="s">
        <v>4</v>
      </c>
      <c r="B1554" s="6" t="s">
        <v>353</v>
      </c>
      <c r="C1554" s="6" t="n">
        <v>49</v>
      </c>
      <c r="D1554" s="25" t="n">
        <f aca="false">EDATE('Start Here'!$B$6,C1554-1)</f>
        <v>47788</v>
      </c>
      <c r="E1554" s="23" t="n">
        <f aca="false">IF(AND(C1554&gt;=Assumptions!$D$25,C1554&lt;=Staffing!$G$31,'Start Here'!$B$8=1),IF(C1554&lt;=6,Staffing!$H$31,IF(C1554&lt;=15,Staffing!$I$31,IF(C1554&lt;=30,Staffing!$J$31,Staffing!$K$31))),0)</f>
        <v>0</v>
      </c>
      <c r="F1554" s="10" t="n">
        <f aca="false">E1554*Staffing!$L$31/12*(1+Assumptions!$D$10)^INT((C1554-1)/12)*1</f>
        <v>0</v>
      </c>
      <c r="G1554" s="10" t="n">
        <f aca="false">F1554*Staffing!$N$31</f>
        <v>0</v>
      </c>
      <c r="H1554" s="10" t="n">
        <f aca="false">F1554+G1554</f>
        <v>0</v>
      </c>
      <c r="I1554" s="10" t="n">
        <f aca="false">0</f>
        <v>0</v>
      </c>
      <c r="J1554" s="10" t="n">
        <f aca="false">MAX(0,E1554-E1553)*Staffing!$O$31</f>
        <v>0</v>
      </c>
      <c r="K1554" s="10" t="n">
        <f aca="false">MAX(0,E1554-E1553)*Staffing!$P$31</f>
        <v>0</v>
      </c>
      <c r="L1554" s="23" t="n">
        <f aca="false">ROUNDUP(E1554,0)</f>
        <v>0</v>
      </c>
    </row>
    <row r="1555" customFormat="false" ht="15" hidden="false" customHeight="false" outlineLevel="0" collapsed="false">
      <c r="A1555" s="6" t="s">
        <v>4</v>
      </c>
      <c r="B1555" s="6" t="s">
        <v>353</v>
      </c>
      <c r="C1555" s="6" t="n">
        <v>50</v>
      </c>
      <c r="D1555" s="25" t="n">
        <f aca="false">EDATE('Start Here'!$B$6,C1555-1)</f>
        <v>47818</v>
      </c>
      <c r="E1555" s="23" t="n">
        <f aca="false">IF(AND(C1555&gt;=Assumptions!$D$25,C1555&lt;=Staffing!$G$31,'Start Here'!$B$8=1),IF(C1555&lt;=6,Staffing!$H$31,IF(C1555&lt;=15,Staffing!$I$31,IF(C1555&lt;=30,Staffing!$J$31,Staffing!$K$31))),0)</f>
        <v>0</v>
      </c>
      <c r="F1555" s="10" t="n">
        <f aca="false">E1555*Staffing!$L$31/12*(1+Assumptions!$D$10)^INT((C1555-1)/12)*1</f>
        <v>0</v>
      </c>
      <c r="G1555" s="10" t="n">
        <f aca="false">F1555*Staffing!$N$31</f>
        <v>0</v>
      </c>
      <c r="H1555" s="10" t="n">
        <f aca="false">F1555+G1555</f>
        <v>0</v>
      </c>
      <c r="I1555" s="10" t="n">
        <f aca="false">0</f>
        <v>0</v>
      </c>
      <c r="J1555" s="10" t="n">
        <f aca="false">MAX(0,E1555-E1554)*Staffing!$O$31</f>
        <v>0</v>
      </c>
      <c r="K1555" s="10" t="n">
        <f aca="false">MAX(0,E1555-E1554)*Staffing!$P$31</f>
        <v>0</v>
      </c>
      <c r="L1555" s="23" t="n">
        <f aca="false">ROUNDUP(E1555,0)</f>
        <v>0</v>
      </c>
    </row>
    <row r="1556" customFormat="false" ht="15" hidden="false" customHeight="false" outlineLevel="0" collapsed="false">
      <c r="A1556" s="6" t="s">
        <v>4</v>
      </c>
      <c r="B1556" s="6" t="s">
        <v>353</v>
      </c>
      <c r="C1556" s="6" t="n">
        <v>51</v>
      </c>
      <c r="D1556" s="25" t="n">
        <f aca="false">EDATE('Start Here'!$B$6,C1556-1)</f>
        <v>47849</v>
      </c>
      <c r="E1556" s="23" t="n">
        <f aca="false">IF(AND(C1556&gt;=Assumptions!$D$25,C1556&lt;=Staffing!$G$31,'Start Here'!$B$8=1),IF(C1556&lt;=6,Staffing!$H$31,IF(C1556&lt;=15,Staffing!$I$31,IF(C1556&lt;=30,Staffing!$J$31,Staffing!$K$31))),0)</f>
        <v>0</v>
      </c>
      <c r="F1556" s="10" t="n">
        <f aca="false">E1556*Staffing!$L$31/12*(1+Assumptions!$D$10)^INT((C1556-1)/12)*1</f>
        <v>0</v>
      </c>
      <c r="G1556" s="10" t="n">
        <f aca="false">F1556*Staffing!$N$31</f>
        <v>0</v>
      </c>
      <c r="H1556" s="10" t="n">
        <f aca="false">F1556+G1556</f>
        <v>0</v>
      </c>
      <c r="I1556" s="10" t="n">
        <f aca="false">0</f>
        <v>0</v>
      </c>
      <c r="J1556" s="10" t="n">
        <f aca="false">MAX(0,E1556-E1555)*Staffing!$O$31</f>
        <v>0</v>
      </c>
      <c r="K1556" s="10" t="n">
        <f aca="false">MAX(0,E1556-E1555)*Staffing!$P$31</f>
        <v>0</v>
      </c>
      <c r="L1556" s="23" t="n">
        <f aca="false">ROUNDUP(E1556,0)</f>
        <v>0</v>
      </c>
    </row>
    <row r="1557" customFormat="false" ht="15" hidden="false" customHeight="false" outlineLevel="0" collapsed="false">
      <c r="A1557" s="6" t="s">
        <v>4</v>
      </c>
      <c r="B1557" s="6" t="s">
        <v>353</v>
      </c>
      <c r="C1557" s="6" t="n">
        <v>52</v>
      </c>
      <c r="D1557" s="25" t="n">
        <f aca="false">EDATE('Start Here'!$B$6,C1557-1)</f>
        <v>47880</v>
      </c>
      <c r="E1557" s="23" t="n">
        <f aca="false">IF(AND(C1557&gt;=Assumptions!$D$25,C1557&lt;=Staffing!$G$31,'Start Here'!$B$8=1),IF(C1557&lt;=6,Staffing!$H$31,IF(C1557&lt;=15,Staffing!$I$31,IF(C1557&lt;=30,Staffing!$J$31,Staffing!$K$31))),0)</f>
        <v>0</v>
      </c>
      <c r="F1557" s="10" t="n">
        <f aca="false">E1557*Staffing!$L$31/12*(1+Assumptions!$D$10)^INT((C1557-1)/12)*1</f>
        <v>0</v>
      </c>
      <c r="G1557" s="10" t="n">
        <f aca="false">F1557*Staffing!$N$31</f>
        <v>0</v>
      </c>
      <c r="H1557" s="10" t="n">
        <f aca="false">F1557+G1557</f>
        <v>0</v>
      </c>
      <c r="I1557" s="10" t="n">
        <f aca="false">0</f>
        <v>0</v>
      </c>
      <c r="J1557" s="10" t="n">
        <f aca="false">MAX(0,E1557-E1556)*Staffing!$O$31</f>
        <v>0</v>
      </c>
      <c r="K1557" s="10" t="n">
        <f aca="false">MAX(0,E1557-E1556)*Staffing!$P$31</f>
        <v>0</v>
      </c>
      <c r="L1557" s="23" t="n">
        <f aca="false">ROUNDUP(E1557,0)</f>
        <v>0</v>
      </c>
    </row>
    <row r="1558" customFormat="false" ht="15" hidden="false" customHeight="false" outlineLevel="0" collapsed="false">
      <c r="A1558" s="6" t="s">
        <v>4</v>
      </c>
      <c r="B1558" s="6" t="s">
        <v>353</v>
      </c>
      <c r="C1558" s="6" t="n">
        <v>53</v>
      </c>
      <c r="D1558" s="25" t="n">
        <f aca="false">EDATE('Start Here'!$B$6,C1558-1)</f>
        <v>47908</v>
      </c>
      <c r="E1558" s="23" t="n">
        <f aca="false">IF(AND(C1558&gt;=Assumptions!$D$25,C1558&lt;=Staffing!$G$31,'Start Here'!$B$8=1),IF(C1558&lt;=6,Staffing!$H$31,IF(C1558&lt;=15,Staffing!$I$31,IF(C1558&lt;=30,Staffing!$J$31,Staffing!$K$31))),0)</f>
        <v>0</v>
      </c>
      <c r="F1558" s="10" t="n">
        <f aca="false">E1558*Staffing!$L$31/12*(1+Assumptions!$D$10)^INT((C1558-1)/12)*1</f>
        <v>0</v>
      </c>
      <c r="G1558" s="10" t="n">
        <f aca="false">F1558*Staffing!$N$31</f>
        <v>0</v>
      </c>
      <c r="H1558" s="10" t="n">
        <f aca="false">F1558+G1558</f>
        <v>0</v>
      </c>
      <c r="I1558" s="10" t="n">
        <f aca="false">0</f>
        <v>0</v>
      </c>
      <c r="J1558" s="10" t="n">
        <f aca="false">MAX(0,E1558-E1557)*Staffing!$O$31</f>
        <v>0</v>
      </c>
      <c r="K1558" s="10" t="n">
        <f aca="false">MAX(0,E1558-E1557)*Staffing!$P$31</f>
        <v>0</v>
      </c>
      <c r="L1558" s="23" t="n">
        <f aca="false">ROUNDUP(E1558,0)</f>
        <v>0</v>
      </c>
    </row>
    <row r="1559" customFormat="false" ht="15" hidden="false" customHeight="false" outlineLevel="0" collapsed="false">
      <c r="A1559" s="6" t="s">
        <v>4</v>
      </c>
      <c r="B1559" s="6" t="s">
        <v>353</v>
      </c>
      <c r="C1559" s="6" t="n">
        <v>54</v>
      </c>
      <c r="D1559" s="25" t="n">
        <f aca="false">EDATE('Start Here'!$B$6,C1559-1)</f>
        <v>47939</v>
      </c>
      <c r="E1559" s="23" t="n">
        <f aca="false">IF(AND(C1559&gt;=Assumptions!$D$25,C1559&lt;=Staffing!$G$31,'Start Here'!$B$8=1),IF(C1559&lt;=6,Staffing!$H$31,IF(C1559&lt;=15,Staffing!$I$31,IF(C1559&lt;=30,Staffing!$J$31,Staffing!$K$31))),0)</f>
        <v>0</v>
      </c>
      <c r="F1559" s="10" t="n">
        <f aca="false">E1559*Staffing!$L$31/12*(1+Assumptions!$D$10)^INT((C1559-1)/12)*1</f>
        <v>0</v>
      </c>
      <c r="G1559" s="10" t="n">
        <f aca="false">F1559*Staffing!$N$31</f>
        <v>0</v>
      </c>
      <c r="H1559" s="10" t="n">
        <f aca="false">F1559+G1559</f>
        <v>0</v>
      </c>
      <c r="I1559" s="10" t="n">
        <f aca="false">0</f>
        <v>0</v>
      </c>
      <c r="J1559" s="10" t="n">
        <f aca="false">MAX(0,E1559-E1558)*Staffing!$O$31</f>
        <v>0</v>
      </c>
      <c r="K1559" s="10" t="n">
        <f aca="false">MAX(0,E1559-E1558)*Staffing!$P$31</f>
        <v>0</v>
      </c>
      <c r="L1559" s="23" t="n">
        <f aca="false">ROUNDUP(E1559,0)</f>
        <v>0</v>
      </c>
    </row>
    <row r="1560" customFormat="false" ht="15" hidden="false" customHeight="false" outlineLevel="0" collapsed="false">
      <c r="A1560" s="6" t="s">
        <v>4</v>
      </c>
      <c r="B1560" s="6" t="s">
        <v>353</v>
      </c>
      <c r="C1560" s="6" t="n">
        <v>55</v>
      </c>
      <c r="D1560" s="25" t="n">
        <f aca="false">EDATE('Start Here'!$B$6,C1560-1)</f>
        <v>47969</v>
      </c>
      <c r="E1560" s="23" t="n">
        <f aca="false">IF(AND(C1560&gt;=Assumptions!$D$25,C1560&lt;=Staffing!$G$31,'Start Here'!$B$8=1),IF(C1560&lt;=6,Staffing!$H$31,IF(C1560&lt;=15,Staffing!$I$31,IF(C1560&lt;=30,Staffing!$J$31,Staffing!$K$31))),0)</f>
        <v>0</v>
      </c>
      <c r="F1560" s="10" t="n">
        <f aca="false">E1560*Staffing!$L$31/12*(1+Assumptions!$D$10)^INT((C1560-1)/12)*1</f>
        <v>0</v>
      </c>
      <c r="G1560" s="10" t="n">
        <f aca="false">F1560*Staffing!$N$31</f>
        <v>0</v>
      </c>
      <c r="H1560" s="10" t="n">
        <f aca="false">F1560+G1560</f>
        <v>0</v>
      </c>
      <c r="I1560" s="10" t="n">
        <f aca="false">0</f>
        <v>0</v>
      </c>
      <c r="J1560" s="10" t="n">
        <f aca="false">MAX(0,E1560-E1559)*Staffing!$O$31</f>
        <v>0</v>
      </c>
      <c r="K1560" s="10" t="n">
        <f aca="false">MAX(0,E1560-E1559)*Staffing!$P$31</f>
        <v>0</v>
      </c>
      <c r="L1560" s="23" t="n">
        <f aca="false">ROUNDUP(E1560,0)</f>
        <v>0</v>
      </c>
    </row>
    <row r="1561" customFormat="false" ht="15" hidden="false" customHeight="false" outlineLevel="0" collapsed="false">
      <c r="A1561" s="6" t="s">
        <v>4</v>
      </c>
      <c r="B1561" s="6" t="s">
        <v>353</v>
      </c>
      <c r="C1561" s="6" t="n">
        <v>56</v>
      </c>
      <c r="D1561" s="25" t="n">
        <f aca="false">EDATE('Start Here'!$B$6,C1561-1)</f>
        <v>48000</v>
      </c>
      <c r="E1561" s="23" t="n">
        <f aca="false">IF(AND(C1561&gt;=Assumptions!$D$25,C1561&lt;=Staffing!$G$31,'Start Here'!$B$8=1),IF(C1561&lt;=6,Staffing!$H$31,IF(C1561&lt;=15,Staffing!$I$31,IF(C1561&lt;=30,Staffing!$J$31,Staffing!$K$31))),0)</f>
        <v>0</v>
      </c>
      <c r="F1561" s="10" t="n">
        <f aca="false">E1561*Staffing!$L$31/12*(1+Assumptions!$D$10)^INT((C1561-1)/12)*1</f>
        <v>0</v>
      </c>
      <c r="G1561" s="10" t="n">
        <f aca="false">F1561*Staffing!$N$31</f>
        <v>0</v>
      </c>
      <c r="H1561" s="10" t="n">
        <f aca="false">F1561+G1561</f>
        <v>0</v>
      </c>
      <c r="I1561" s="10" t="n">
        <f aca="false">0</f>
        <v>0</v>
      </c>
      <c r="J1561" s="10" t="n">
        <f aca="false">MAX(0,E1561-E1560)*Staffing!$O$31</f>
        <v>0</v>
      </c>
      <c r="K1561" s="10" t="n">
        <f aca="false">MAX(0,E1561-E1560)*Staffing!$P$31</f>
        <v>0</v>
      </c>
      <c r="L1561" s="23" t="n">
        <f aca="false">ROUNDUP(E1561,0)</f>
        <v>0</v>
      </c>
    </row>
    <row r="1562" customFormat="false" ht="15" hidden="false" customHeight="false" outlineLevel="0" collapsed="false">
      <c r="A1562" s="6" t="s">
        <v>4</v>
      </c>
      <c r="B1562" s="6" t="s">
        <v>353</v>
      </c>
      <c r="C1562" s="6" t="n">
        <v>57</v>
      </c>
      <c r="D1562" s="25" t="n">
        <f aca="false">EDATE('Start Here'!$B$6,C1562-1)</f>
        <v>48030</v>
      </c>
      <c r="E1562" s="23" t="n">
        <f aca="false">IF(AND(C1562&gt;=Assumptions!$D$25,C1562&lt;=Staffing!$G$31,'Start Here'!$B$8=1),IF(C1562&lt;=6,Staffing!$H$31,IF(C1562&lt;=15,Staffing!$I$31,IF(C1562&lt;=30,Staffing!$J$31,Staffing!$K$31))),0)</f>
        <v>0</v>
      </c>
      <c r="F1562" s="10" t="n">
        <f aca="false">E1562*Staffing!$L$31/12*(1+Assumptions!$D$10)^INT((C1562-1)/12)*1</f>
        <v>0</v>
      </c>
      <c r="G1562" s="10" t="n">
        <f aca="false">F1562*Staffing!$N$31</f>
        <v>0</v>
      </c>
      <c r="H1562" s="10" t="n">
        <f aca="false">F1562+G1562</f>
        <v>0</v>
      </c>
      <c r="I1562" s="10" t="n">
        <f aca="false">0</f>
        <v>0</v>
      </c>
      <c r="J1562" s="10" t="n">
        <f aca="false">MAX(0,E1562-E1561)*Staffing!$O$31</f>
        <v>0</v>
      </c>
      <c r="K1562" s="10" t="n">
        <f aca="false">MAX(0,E1562-E1561)*Staffing!$P$31</f>
        <v>0</v>
      </c>
      <c r="L1562" s="23" t="n">
        <f aca="false">ROUNDUP(E1562,0)</f>
        <v>0</v>
      </c>
    </row>
    <row r="1563" customFormat="false" ht="15" hidden="false" customHeight="false" outlineLevel="0" collapsed="false">
      <c r="A1563" s="6" t="s">
        <v>4</v>
      </c>
      <c r="B1563" s="6" t="s">
        <v>353</v>
      </c>
      <c r="C1563" s="6" t="n">
        <v>58</v>
      </c>
      <c r="D1563" s="25" t="n">
        <f aca="false">EDATE('Start Here'!$B$6,C1563-1)</f>
        <v>48061</v>
      </c>
      <c r="E1563" s="23" t="n">
        <f aca="false">IF(AND(C1563&gt;=Assumptions!$D$25,C1563&lt;=Staffing!$G$31,'Start Here'!$B$8=1),IF(C1563&lt;=6,Staffing!$H$31,IF(C1563&lt;=15,Staffing!$I$31,IF(C1563&lt;=30,Staffing!$J$31,Staffing!$K$31))),0)</f>
        <v>0</v>
      </c>
      <c r="F1563" s="10" t="n">
        <f aca="false">E1563*Staffing!$L$31/12*(1+Assumptions!$D$10)^INT((C1563-1)/12)*1</f>
        <v>0</v>
      </c>
      <c r="G1563" s="10" t="n">
        <f aca="false">F1563*Staffing!$N$31</f>
        <v>0</v>
      </c>
      <c r="H1563" s="10" t="n">
        <f aca="false">F1563+G1563</f>
        <v>0</v>
      </c>
      <c r="I1563" s="10" t="n">
        <f aca="false">0</f>
        <v>0</v>
      </c>
      <c r="J1563" s="10" t="n">
        <f aca="false">MAX(0,E1563-E1562)*Staffing!$O$31</f>
        <v>0</v>
      </c>
      <c r="K1563" s="10" t="n">
        <f aca="false">MAX(0,E1563-E1562)*Staffing!$P$31</f>
        <v>0</v>
      </c>
      <c r="L1563" s="23" t="n">
        <f aca="false">ROUNDUP(E1563,0)</f>
        <v>0</v>
      </c>
    </row>
    <row r="1564" customFormat="false" ht="15" hidden="false" customHeight="false" outlineLevel="0" collapsed="false">
      <c r="A1564" s="6" t="s">
        <v>4</v>
      </c>
      <c r="B1564" s="6" t="s">
        <v>353</v>
      </c>
      <c r="C1564" s="6" t="n">
        <v>59</v>
      </c>
      <c r="D1564" s="25" t="n">
        <f aca="false">EDATE('Start Here'!$B$6,C1564-1)</f>
        <v>48092</v>
      </c>
      <c r="E1564" s="23" t="n">
        <f aca="false">IF(AND(C1564&gt;=Assumptions!$D$25,C1564&lt;=Staffing!$G$31,'Start Here'!$B$8=1),IF(C1564&lt;=6,Staffing!$H$31,IF(C1564&lt;=15,Staffing!$I$31,IF(C1564&lt;=30,Staffing!$J$31,Staffing!$K$31))),0)</f>
        <v>0</v>
      </c>
      <c r="F1564" s="10" t="n">
        <f aca="false">E1564*Staffing!$L$31/12*(1+Assumptions!$D$10)^INT((C1564-1)/12)*1</f>
        <v>0</v>
      </c>
      <c r="G1564" s="10" t="n">
        <f aca="false">F1564*Staffing!$N$31</f>
        <v>0</v>
      </c>
      <c r="H1564" s="10" t="n">
        <f aca="false">F1564+G1564</f>
        <v>0</v>
      </c>
      <c r="I1564" s="10" t="n">
        <f aca="false">0</f>
        <v>0</v>
      </c>
      <c r="J1564" s="10" t="n">
        <f aca="false">MAX(0,E1564-E1563)*Staffing!$O$31</f>
        <v>0</v>
      </c>
      <c r="K1564" s="10" t="n">
        <f aca="false">MAX(0,E1564-E1563)*Staffing!$P$31</f>
        <v>0</v>
      </c>
      <c r="L1564" s="23" t="n">
        <f aca="false">ROUNDUP(E1564,0)</f>
        <v>0</v>
      </c>
    </row>
    <row r="1565" customFormat="false" ht="15" hidden="false" customHeight="false" outlineLevel="0" collapsed="false">
      <c r="A1565" s="6" t="s">
        <v>4</v>
      </c>
      <c r="B1565" s="6" t="s">
        <v>353</v>
      </c>
      <c r="C1565" s="6" t="n">
        <v>60</v>
      </c>
      <c r="D1565" s="25" t="n">
        <f aca="false">EDATE('Start Here'!$B$6,C1565-1)</f>
        <v>48122</v>
      </c>
      <c r="E1565" s="23" t="n">
        <f aca="false">IF(AND(C1565&gt;=Assumptions!$D$25,C1565&lt;=Staffing!$G$31,'Start Here'!$B$8=1),IF(C1565&lt;=6,Staffing!$H$31,IF(C1565&lt;=15,Staffing!$I$31,IF(C1565&lt;=30,Staffing!$J$31,Staffing!$K$31))),0)</f>
        <v>0</v>
      </c>
      <c r="F1565" s="10" t="n">
        <f aca="false">E1565*Staffing!$L$31/12*(1+Assumptions!$D$10)^INT((C1565-1)/12)*1</f>
        <v>0</v>
      </c>
      <c r="G1565" s="10" t="n">
        <f aca="false">F1565*Staffing!$N$31</f>
        <v>0</v>
      </c>
      <c r="H1565" s="10" t="n">
        <f aca="false">F1565+G1565</f>
        <v>0</v>
      </c>
      <c r="I1565" s="10" t="n">
        <f aca="false">0</f>
        <v>0</v>
      </c>
      <c r="J1565" s="10" t="n">
        <f aca="false">MAX(0,E1565-E1564)*Staffing!$O$31</f>
        <v>0</v>
      </c>
      <c r="K1565" s="10" t="n">
        <f aca="false">MAX(0,E1565-E1564)*Staffing!$P$31</f>
        <v>0</v>
      </c>
      <c r="L1565" s="23" t="n">
        <f aca="false">ROUNDUP(E1565,0)</f>
        <v>0</v>
      </c>
    </row>
    <row r="1566" customFormat="false" ht="15" hidden="false" customHeight="false" outlineLevel="0" collapsed="false">
      <c r="A1566" s="6" t="s">
        <v>73</v>
      </c>
      <c r="B1566" s="6" t="s">
        <v>325</v>
      </c>
      <c r="C1566" s="6" t="n">
        <v>1</v>
      </c>
      <c r="D1566" s="25" t="n">
        <f aca="false">EDATE('Start Here'!$B$6,C1566-1)</f>
        <v>46327</v>
      </c>
      <c r="E1566" s="11" t="n">
        <f aca="false">IF(AND(C1566&gt;=Staffing!$F$32,C1566&lt;=Staffing!$G$32,1=1),IF(C1566&lt;=6,Staffing!$H$32,IF(C1566&lt;=15,Staffing!$I$32,IF(C1566&lt;=30,Staffing!$J$32,Staffing!$K$32))),0)</f>
        <v>1</v>
      </c>
      <c r="F1566" s="10" t="n">
        <f aca="false">E1566*Assumptions!$E$26/12*(1+Assumptions!$E$10)^INT((C1566-1)/12)*'Start Here'!$B$10</f>
        <v>0</v>
      </c>
      <c r="G1566" s="10" t="n">
        <f aca="false">F1566*Staffing!$N$32</f>
        <v>0</v>
      </c>
      <c r="H1566" s="10" t="n">
        <f aca="false">F1566+G1566</f>
        <v>0</v>
      </c>
      <c r="I1566" s="10" t="n">
        <f aca="false">E1566*Assumptions!$E$26/12*(1+Assumptions!$E$10)^INT((C1566-1)/12)*(1-'Start Here'!$B$10)</f>
        <v>16666.6666666667</v>
      </c>
      <c r="J1566" s="10" t="n">
        <f aca="false">MAX(0,E1566-0)*Staffing!$O$32</f>
        <v>0</v>
      </c>
      <c r="K1566" s="10" t="n">
        <f aca="false">MAX(0,E1566-0)*Staffing!$P$32</f>
        <v>3500</v>
      </c>
      <c r="L1566" s="23" t="n">
        <f aca="false">ROUNDUP(E1566,0)</f>
        <v>1</v>
      </c>
    </row>
    <row r="1567" customFormat="false" ht="15" hidden="false" customHeight="false" outlineLevel="0" collapsed="false">
      <c r="A1567" s="6" t="s">
        <v>73</v>
      </c>
      <c r="B1567" s="6" t="s">
        <v>325</v>
      </c>
      <c r="C1567" s="6" t="n">
        <v>2</v>
      </c>
      <c r="D1567" s="25" t="n">
        <f aca="false">EDATE('Start Here'!$B$6,C1567-1)</f>
        <v>46357</v>
      </c>
      <c r="E1567" s="11" t="n">
        <f aca="false">IF(AND(C1567&gt;=Staffing!$F$32,C1567&lt;=Staffing!$G$32,1=1),IF(C1567&lt;=6,Staffing!$H$32,IF(C1567&lt;=15,Staffing!$I$32,IF(C1567&lt;=30,Staffing!$J$32,Staffing!$K$32))),0)</f>
        <v>1</v>
      </c>
      <c r="F1567" s="10" t="n">
        <f aca="false">E1567*Assumptions!$E$26/12*(1+Assumptions!$E$10)^INT((C1567-1)/12)*'Start Here'!$B$10</f>
        <v>0</v>
      </c>
      <c r="G1567" s="10" t="n">
        <f aca="false">F1567*Staffing!$N$32</f>
        <v>0</v>
      </c>
      <c r="H1567" s="10" t="n">
        <f aca="false">F1567+G1567</f>
        <v>0</v>
      </c>
      <c r="I1567" s="10" t="n">
        <f aca="false">E1567*Assumptions!$E$26/12*(1+Assumptions!$E$10)^INT((C1567-1)/12)*(1-'Start Here'!$B$10)</f>
        <v>16666.6666666667</v>
      </c>
      <c r="J1567" s="10" t="n">
        <f aca="false">MAX(0,E1567-E1566)*Staffing!$O$32</f>
        <v>0</v>
      </c>
      <c r="K1567" s="10" t="n">
        <f aca="false">MAX(0,E1567-E1566)*Staffing!$P$32</f>
        <v>0</v>
      </c>
      <c r="L1567" s="23" t="n">
        <f aca="false">ROUNDUP(E1567,0)</f>
        <v>1</v>
      </c>
    </row>
    <row r="1568" customFormat="false" ht="15" hidden="false" customHeight="false" outlineLevel="0" collapsed="false">
      <c r="A1568" s="6" t="s">
        <v>73</v>
      </c>
      <c r="B1568" s="6" t="s">
        <v>325</v>
      </c>
      <c r="C1568" s="6" t="n">
        <v>3</v>
      </c>
      <c r="D1568" s="25" t="n">
        <f aca="false">EDATE('Start Here'!$B$6,C1568-1)</f>
        <v>46388</v>
      </c>
      <c r="E1568" s="11" t="n">
        <f aca="false">IF(AND(C1568&gt;=Staffing!$F$32,C1568&lt;=Staffing!$G$32,1=1),IF(C1568&lt;=6,Staffing!$H$32,IF(C1568&lt;=15,Staffing!$I$32,IF(C1568&lt;=30,Staffing!$J$32,Staffing!$K$32))),0)</f>
        <v>1</v>
      </c>
      <c r="F1568" s="10" t="n">
        <f aca="false">E1568*Assumptions!$E$26/12*(1+Assumptions!$E$10)^INT((C1568-1)/12)*'Start Here'!$B$10</f>
        <v>0</v>
      </c>
      <c r="G1568" s="10" t="n">
        <f aca="false">F1568*Staffing!$N$32</f>
        <v>0</v>
      </c>
      <c r="H1568" s="10" t="n">
        <f aca="false">F1568+G1568</f>
        <v>0</v>
      </c>
      <c r="I1568" s="10" t="n">
        <f aca="false">E1568*Assumptions!$E$26/12*(1+Assumptions!$E$10)^INT((C1568-1)/12)*(1-'Start Here'!$B$10)</f>
        <v>16666.6666666667</v>
      </c>
      <c r="J1568" s="10" t="n">
        <f aca="false">MAX(0,E1568-E1567)*Staffing!$O$32</f>
        <v>0</v>
      </c>
      <c r="K1568" s="10" t="n">
        <f aca="false">MAX(0,E1568-E1567)*Staffing!$P$32</f>
        <v>0</v>
      </c>
      <c r="L1568" s="23" t="n">
        <f aca="false">ROUNDUP(E1568,0)</f>
        <v>1</v>
      </c>
    </row>
    <row r="1569" customFormat="false" ht="15" hidden="false" customHeight="false" outlineLevel="0" collapsed="false">
      <c r="A1569" s="6" t="s">
        <v>73</v>
      </c>
      <c r="B1569" s="6" t="s">
        <v>325</v>
      </c>
      <c r="C1569" s="6" t="n">
        <v>4</v>
      </c>
      <c r="D1569" s="25" t="n">
        <f aca="false">EDATE('Start Here'!$B$6,C1569-1)</f>
        <v>46419</v>
      </c>
      <c r="E1569" s="11" t="n">
        <f aca="false">IF(AND(C1569&gt;=Staffing!$F$32,C1569&lt;=Staffing!$G$32,1=1),IF(C1569&lt;=6,Staffing!$H$32,IF(C1569&lt;=15,Staffing!$I$32,IF(C1569&lt;=30,Staffing!$J$32,Staffing!$K$32))),0)</f>
        <v>1</v>
      </c>
      <c r="F1569" s="10" t="n">
        <f aca="false">E1569*Assumptions!$E$26/12*(1+Assumptions!$E$10)^INT((C1569-1)/12)*'Start Here'!$B$10</f>
        <v>0</v>
      </c>
      <c r="G1569" s="10" t="n">
        <f aca="false">F1569*Staffing!$N$32</f>
        <v>0</v>
      </c>
      <c r="H1569" s="10" t="n">
        <f aca="false">F1569+G1569</f>
        <v>0</v>
      </c>
      <c r="I1569" s="10" t="n">
        <f aca="false">E1569*Assumptions!$E$26/12*(1+Assumptions!$E$10)^INT((C1569-1)/12)*(1-'Start Here'!$B$10)</f>
        <v>16666.6666666667</v>
      </c>
      <c r="J1569" s="10" t="n">
        <f aca="false">MAX(0,E1569-E1568)*Staffing!$O$32</f>
        <v>0</v>
      </c>
      <c r="K1569" s="10" t="n">
        <f aca="false">MAX(0,E1569-E1568)*Staffing!$P$32</f>
        <v>0</v>
      </c>
      <c r="L1569" s="23" t="n">
        <f aca="false">ROUNDUP(E1569,0)</f>
        <v>1</v>
      </c>
    </row>
    <row r="1570" customFormat="false" ht="15" hidden="false" customHeight="false" outlineLevel="0" collapsed="false">
      <c r="A1570" s="6" t="s">
        <v>73</v>
      </c>
      <c r="B1570" s="6" t="s">
        <v>325</v>
      </c>
      <c r="C1570" s="6" t="n">
        <v>5</v>
      </c>
      <c r="D1570" s="25" t="n">
        <f aca="false">EDATE('Start Here'!$B$6,C1570-1)</f>
        <v>46447</v>
      </c>
      <c r="E1570" s="11" t="n">
        <f aca="false">IF(AND(C1570&gt;=Staffing!$F$32,C1570&lt;=Staffing!$G$32,1=1),IF(C1570&lt;=6,Staffing!$H$32,IF(C1570&lt;=15,Staffing!$I$32,IF(C1570&lt;=30,Staffing!$J$32,Staffing!$K$32))),0)</f>
        <v>1</v>
      </c>
      <c r="F1570" s="10" t="n">
        <f aca="false">E1570*Assumptions!$E$26/12*(1+Assumptions!$E$10)^INT((C1570-1)/12)*'Start Here'!$B$10</f>
        <v>0</v>
      </c>
      <c r="G1570" s="10" t="n">
        <f aca="false">F1570*Staffing!$N$32</f>
        <v>0</v>
      </c>
      <c r="H1570" s="10" t="n">
        <f aca="false">F1570+G1570</f>
        <v>0</v>
      </c>
      <c r="I1570" s="10" t="n">
        <f aca="false">E1570*Assumptions!$E$26/12*(1+Assumptions!$E$10)^INT((C1570-1)/12)*(1-'Start Here'!$B$10)</f>
        <v>16666.6666666667</v>
      </c>
      <c r="J1570" s="10" t="n">
        <f aca="false">MAX(0,E1570-E1569)*Staffing!$O$32</f>
        <v>0</v>
      </c>
      <c r="K1570" s="10" t="n">
        <f aca="false">MAX(0,E1570-E1569)*Staffing!$P$32</f>
        <v>0</v>
      </c>
      <c r="L1570" s="23" t="n">
        <f aca="false">ROUNDUP(E1570,0)</f>
        <v>1</v>
      </c>
    </row>
    <row r="1571" customFormat="false" ht="15" hidden="false" customHeight="false" outlineLevel="0" collapsed="false">
      <c r="A1571" s="6" t="s">
        <v>73</v>
      </c>
      <c r="B1571" s="6" t="s">
        <v>325</v>
      </c>
      <c r="C1571" s="6" t="n">
        <v>6</v>
      </c>
      <c r="D1571" s="25" t="n">
        <f aca="false">EDATE('Start Here'!$B$6,C1571-1)</f>
        <v>46478</v>
      </c>
      <c r="E1571" s="11" t="n">
        <f aca="false">IF(AND(C1571&gt;=Staffing!$F$32,C1571&lt;=Staffing!$G$32,1=1),IF(C1571&lt;=6,Staffing!$H$32,IF(C1571&lt;=15,Staffing!$I$32,IF(C1571&lt;=30,Staffing!$J$32,Staffing!$K$32))),0)</f>
        <v>1</v>
      </c>
      <c r="F1571" s="10" t="n">
        <f aca="false">E1571*Assumptions!$E$26/12*(1+Assumptions!$E$10)^INT((C1571-1)/12)*'Start Here'!$B$10</f>
        <v>0</v>
      </c>
      <c r="G1571" s="10" t="n">
        <f aca="false">F1571*Staffing!$N$32</f>
        <v>0</v>
      </c>
      <c r="H1571" s="10" t="n">
        <f aca="false">F1571+G1571</f>
        <v>0</v>
      </c>
      <c r="I1571" s="10" t="n">
        <f aca="false">E1571*Assumptions!$E$26/12*(1+Assumptions!$E$10)^INT((C1571-1)/12)*(1-'Start Here'!$B$10)</f>
        <v>16666.6666666667</v>
      </c>
      <c r="J1571" s="10" t="n">
        <f aca="false">MAX(0,E1571-E1570)*Staffing!$O$32</f>
        <v>0</v>
      </c>
      <c r="K1571" s="10" t="n">
        <f aca="false">MAX(0,E1571-E1570)*Staffing!$P$32</f>
        <v>0</v>
      </c>
      <c r="L1571" s="23" t="n">
        <f aca="false">ROUNDUP(E1571,0)</f>
        <v>1</v>
      </c>
    </row>
    <row r="1572" customFormat="false" ht="15" hidden="false" customHeight="false" outlineLevel="0" collapsed="false">
      <c r="A1572" s="6" t="s">
        <v>73</v>
      </c>
      <c r="B1572" s="6" t="s">
        <v>325</v>
      </c>
      <c r="C1572" s="6" t="n">
        <v>7</v>
      </c>
      <c r="D1572" s="25" t="n">
        <f aca="false">EDATE('Start Here'!$B$6,C1572-1)</f>
        <v>46508</v>
      </c>
      <c r="E1572" s="11" t="n">
        <f aca="false">IF(AND(C1572&gt;=Staffing!$F$32,C1572&lt;=Staffing!$G$32,1=1),IF(C1572&lt;=6,Staffing!$H$32,IF(C1572&lt;=15,Staffing!$I$32,IF(C1572&lt;=30,Staffing!$J$32,Staffing!$K$32))),0)</f>
        <v>1</v>
      </c>
      <c r="F1572" s="10" t="n">
        <f aca="false">E1572*Assumptions!$E$26/12*(1+Assumptions!$E$10)^INT((C1572-1)/12)*'Start Here'!$B$10</f>
        <v>0</v>
      </c>
      <c r="G1572" s="10" t="n">
        <f aca="false">F1572*Staffing!$N$32</f>
        <v>0</v>
      </c>
      <c r="H1572" s="10" t="n">
        <f aca="false">F1572+G1572</f>
        <v>0</v>
      </c>
      <c r="I1572" s="10" t="n">
        <f aca="false">E1572*Assumptions!$E$26/12*(1+Assumptions!$E$10)^INT((C1572-1)/12)*(1-'Start Here'!$B$10)</f>
        <v>16666.6666666667</v>
      </c>
      <c r="J1572" s="10" t="n">
        <f aca="false">MAX(0,E1572-E1571)*Staffing!$O$32</f>
        <v>0</v>
      </c>
      <c r="K1572" s="10" t="n">
        <f aca="false">MAX(0,E1572-E1571)*Staffing!$P$32</f>
        <v>0</v>
      </c>
      <c r="L1572" s="23" t="n">
        <f aca="false">ROUNDUP(E1572,0)</f>
        <v>1</v>
      </c>
    </row>
    <row r="1573" customFormat="false" ht="15" hidden="false" customHeight="false" outlineLevel="0" collapsed="false">
      <c r="A1573" s="6" t="s">
        <v>73</v>
      </c>
      <c r="B1573" s="6" t="s">
        <v>325</v>
      </c>
      <c r="C1573" s="6" t="n">
        <v>8</v>
      </c>
      <c r="D1573" s="25" t="n">
        <f aca="false">EDATE('Start Here'!$B$6,C1573-1)</f>
        <v>46539</v>
      </c>
      <c r="E1573" s="11" t="n">
        <f aca="false">IF(AND(C1573&gt;=Staffing!$F$32,C1573&lt;=Staffing!$G$32,1=1),IF(C1573&lt;=6,Staffing!$H$32,IF(C1573&lt;=15,Staffing!$I$32,IF(C1573&lt;=30,Staffing!$J$32,Staffing!$K$32))),0)</f>
        <v>1</v>
      </c>
      <c r="F1573" s="10" t="n">
        <f aca="false">E1573*Assumptions!$E$26/12*(1+Assumptions!$E$10)^INT((C1573-1)/12)*'Start Here'!$B$10</f>
        <v>0</v>
      </c>
      <c r="G1573" s="10" t="n">
        <f aca="false">F1573*Staffing!$N$32</f>
        <v>0</v>
      </c>
      <c r="H1573" s="10" t="n">
        <f aca="false">F1573+G1573</f>
        <v>0</v>
      </c>
      <c r="I1573" s="10" t="n">
        <f aca="false">E1573*Assumptions!$E$26/12*(1+Assumptions!$E$10)^INT((C1573-1)/12)*(1-'Start Here'!$B$10)</f>
        <v>16666.6666666667</v>
      </c>
      <c r="J1573" s="10" t="n">
        <f aca="false">MAX(0,E1573-E1572)*Staffing!$O$32</f>
        <v>0</v>
      </c>
      <c r="K1573" s="10" t="n">
        <f aca="false">MAX(0,E1573-E1572)*Staffing!$P$32</f>
        <v>0</v>
      </c>
      <c r="L1573" s="23" t="n">
        <f aca="false">ROUNDUP(E1573,0)</f>
        <v>1</v>
      </c>
    </row>
    <row r="1574" customFormat="false" ht="15" hidden="false" customHeight="false" outlineLevel="0" collapsed="false">
      <c r="A1574" s="6" t="s">
        <v>73</v>
      </c>
      <c r="B1574" s="6" t="s">
        <v>325</v>
      </c>
      <c r="C1574" s="6" t="n">
        <v>9</v>
      </c>
      <c r="D1574" s="25" t="n">
        <f aca="false">EDATE('Start Here'!$B$6,C1574-1)</f>
        <v>46569</v>
      </c>
      <c r="E1574" s="11" t="n">
        <f aca="false">IF(AND(C1574&gt;=Staffing!$F$32,C1574&lt;=Staffing!$G$32,1=1),IF(C1574&lt;=6,Staffing!$H$32,IF(C1574&lt;=15,Staffing!$I$32,IF(C1574&lt;=30,Staffing!$J$32,Staffing!$K$32))),0)</f>
        <v>1</v>
      </c>
      <c r="F1574" s="10" t="n">
        <f aca="false">E1574*Assumptions!$E$26/12*(1+Assumptions!$E$10)^INT((C1574-1)/12)*'Start Here'!$B$10</f>
        <v>0</v>
      </c>
      <c r="G1574" s="10" t="n">
        <f aca="false">F1574*Staffing!$N$32</f>
        <v>0</v>
      </c>
      <c r="H1574" s="10" t="n">
        <f aca="false">F1574+G1574</f>
        <v>0</v>
      </c>
      <c r="I1574" s="10" t="n">
        <f aca="false">E1574*Assumptions!$E$26/12*(1+Assumptions!$E$10)^INT((C1574-1)/12)*(1-'Start Here'!$B$10)</f>
        <v>16666.6666666667</v>
      </c>
      <c r="J1574" s="10" t="n">
        <f aca="false">MAX(0,E1574-E1573)*Staffing!$O$32</f>
        <v>0</v>
      </c>
      <c r="K1574" s="10" t="n">
        <f aca="false">MAX(0,E1574-E1573)*Staffing!$P$32</f>
        <v>0</v>
      </c>
      <c r="L1574" s="23" t="n">
        <f aca="false">ROUNDUP(E1574,0)</f>
        <v>1</v>
      </c>
    </row>
    <row r="1575" customFormat="false" ht="15" hidden="false" customHeight="false" outlineLevel="0" collapsed="false">
      <c r="A1575" s="6" t="s">
        <v>73</v>
      </c>
      <c r="B1575" s="6" t="s">
        <v>325</v>
      </c>
      <c r="C1575" s="6" t="n">
        <v>10</v>
      </c>
      <c r="D1575" s="25" t="n">
        <f aca="false">EDATE('Start Here'!$B$6,C1575-1)</f>
        <v>46600</v>
      </c>
      <c r="E1575" s="11" t="n">
        <f aca="false">IF(AND(C1575&gt;=Staffing!$F$32,C1575&lt;=Staffing!$G$32,1=1),IF(C1575&lt;=6,Staffing!$H$32,IF(C1575&lt;=15,Staffing!$I$32,IF(C1575&lt;=30,Staffing!$J$32,Staffing!$K$32))),0)</f>
        <v>1</v>
      </c>
      <c r="F1575" s="10" t="n">
        <f aca="false">E1575*Assumptions!$E$26/12*(1+Assumptions!$E$10)^INT((C1575-1)/12)*'Start Here'!$B$10</f>
        <v>0</v>
      </c>
      <c r="G1575" s="10" t="n">
        <f aca="false">F1575*Staffing!$N$32</f>
        <v>0</v>
      </c>
      <c r="H1575" s="10" t="n">
        <f aca="false">F1575+G1575</f>
        <v>0</v>
      </c>
      <c r="I1575" s="10" t="n">
        <f aca="false">E1575*Assumptions!$E$26/12*(1+Assumptions!$E$10)^INT((C1575-1)/12)*(1-'Start Here'!$B$10)</f>
        <v>16666.6666666667</v>
      </c>
      <c r="J1575" s="10" t="n">
        <f aca="false">MAX(0,E1575-E1574)*Staffing!$O$32</f>
        <v>0</v>
      </c>
      <c r="K1575" s="10" t="n">
        <f aca="false">MAX(0,E1575-E1574)*Staffing!$P$32</f>
        <v>0</v>
      </c>
      <c r="L1575" s="23" t="n">
        <f aca="false">ROUNDUP(E1575,0)</f>
        <v>1</v>
      </c>
    </row>
    <row r="1576" customFormat="false" ht="15" hidden="false" customHeight="false" outlineLevel="0" collapsed="false">
      <c r="A1576" s="6" t="s">
        <v>73</v>
      </c>
      <c r="B1576" s="6" t="s">
        <v>325</v>
      </c>
      <c r="C1576" s="6" t="n">
        <v>11</v>
      </c>
      <c r="D1576" s="25" t="n">
        <f aca="false">EDATE('Start Here'!$B$6,C1576-1)</f>
        <v>46631</v>
      </c>
      <c r="E1576" s="11" t="n">
        <f aca="false">IF(AND(C1576&gt;=Staffing!$F$32,C1576&lt;=Staffing!$G$32,1=1),IF(C1576&lt;=6,Staffing!$H$32,IF(C1576&lt;=15,Staffing!$I$32,IF(C1576&lt;=30,Staffing!$J$32,Staffing!$K$32))),0)</f>
        <v>1</v>
      </c>
      <c r="F1576" s="10" t="n">
        <f aca="false">E1576*Assumptions!$E$26/12*(1+Assumptions!$E$10)^INT((C1576-1)/12)*'Start Here'!$B$10</f>
        <v>0</v>
      </c>
      <c r="G1576" s="10" t="n">
        <f aca="false">F1576*Staffing!$N$32</f>
        <v>0</v>
      </c>
      <c r="H1576" s="10" t="n">
        <f aca="false">F1576+G1576</f>
        <v>0</v>
      </c>
      <c r="I1576" s="10" t="n">
        <f aca="false">E1576*Assumptions!$E$26/12*(1+Assumptions!$E$10)^INT((C1576-1)/12)*(1-'Start Here'!$B$10)</f>
        <v>16666.6666666667</v>
      </c>
      <c r="J1576" s="10" t="n">
        <f aca="false">MAX(0,E1576-E1575)*Staffing!$O$32</f>
        <v>0</v>
      </c>
      <c r="K1576" s="10" t="n">
        <f aca="false">MAX(0,E1576-E1575)*Staffing!$P$32</f>
        <v>0</v>
      </c>
      <c r="L1576" s="23" t="n">
        <f aca="false">ROUNDUP(E1576,0)</f>
        <v>1</v>
      </c>
    </row>
    <row r="1577" customFormat="false" ht="15" hidden="false" customHeight="false" outlineLevel="0" collapsed="false">
      <c r="A1577" s="6" t="s">
        <v>73</v>
      </c>
      <c r="B1577" s="6" t="s">
        <v>325</v>
      </c>
      <c r="C1577" s="6" t="n">
        <v>12</v>
      </c>
      <c r="D1577" s="25" t="n">
        <f aca="false">EDATE('Start Here'!$B$6,C1577-1)</f>
        <v>46661</v>
      </c>
      <c r="E1577" s="11" t="n">
        <f aca="false">IF(AND(C1577&gt;=Staffing!$F$32,C1577&lt;=Staffing!$G$32,1=1),IF(C1577&lt;=6,Staffing!$H$32,IF(C1577&lt;=15,Staffing!$I$32,IF(C1577&lt;=30,Staffing!$J$32,Staffing!$K$32))),0)</f>
        <v>1</v>
      </c>
      <c r="F1577" s="10" t="n">
        <f aca="false">E1577*Assumptions!$E$26/12*(1+Assumptions!$E$10)^INT((C1577-1)/12)*'Start Here'!$B$10</f>
        <v>0</v>
      </c>
      <c r="G1577" s="10" t="n">
        <f aca="false">F1577*Staffing!$N$32</f>
        <v>0</v>
      </c>
      <c r="H1577" s="10" t="n">
        <f aca="false">F1577+G1577</f>
        <v>0</v>
      </c>
      <c r="I1577" s="10" t="n">
        <f aca="false">E1577*Assumptions!$E$26/12*(1+Assumptions!$E$10)^INT((C1577-1)/12)*(1-'Start Here'!$B$10)</f>
        <v>16666.6666666667</v>
      </c>
      <c r="J1577" s="10" t="n">
        <f aca="false">MAX(0,E1577-E1576)*Staffing!$O$32</f>
        <v>0</v>
      </c>
      <c r="K1577" s="10" t="n">
        <f aca="false">MAX(0,E1577-E1576)*Staffing!$P$32</f>
        <v>0</v>
      </c>
      <c r="L1577" s="23" t="n">
        <f aca="false">ROUNDUP(E1577,0)</f>
        <v>1</v>
      </c>
    </row>
    <row r="1578" customFormat="false" ht="15" hidden="false" customHeight="false" outlineLevel="0" collapsed="false">
      <c r="A1578" s="6" t="s">
        <v>73</v>
      </c>
      <c r="B1578" s="6" t="s">
        <v>325</v>
      </c>
      <c r="C1578" s="6" t="n">
        <v>13</v>
      </c>
      <c r="D1578" s="25" t="n">
        <f aca="false">EDATE('Start Here'!$B$6,C1578-1)</f>
        <v>46692</v>
      </c>
      <c r="E1578" s="11" t="n">
        <f aca="false">IF(AND(C1578&gt;=Staffing!$F$32,C1578&lt;=Staffing!$G$32,1=1),IF(C1578&lt;=6,Staffing!$H$32,IF(C1578&lt;=15,Staffing!$I$32,IF(C1578&lt;=30,Staffing!$J$32,Staffing!$K$32))),0)</f>
        <v>1</v>
      </c>
      <c r="F1578" s="10" t="n">
        <f aca="false">E1578*Assumptions!$E$26/12*(1+Assumptions!$E$10)^INT((C1578-1)/12)*'Start Here'!$B$10</f>
        <v>0</v>
      </c>
      <c r="G1578" s="10" t="n">
        <f aca="false">F1578*Staffing!$N$32</f>
        <v>0</v>
      </c>
      <c r="H1578" s="10" t="n">
        <f aca="false">F1578+G1578</f>
        <v>0</v>
      </c>
      <c r="I1578" s="10" t="n">
        <f aca="false">E1578*Assumptions!$E$26/12*(1+Assumptions!$E$10)^INT((C1578-1)/12)*(1-'Start Here'!$B$10)</f>
        <v>17500</v>
      </c>
      <c r="J1578" s="10" t="n">
        <f aca="false">MAX(0,E1578-E1577)*Staffing!$O$32</f>
        <v>0</v>
      </c>
      <c r="K1578" s="10" t="n">
        <f aca="false">MAX(0,E1578-E1577)*Staffing!$P$32</f>
        <v>0</v>
      </c>
      <c r="L1578" s="23" t="n">
        <f aca="false">ROUNDUP(E1578,0)</f>
        <v>1</v>
      </c>
    </row>
    <row r="1579" customFormat="false" ht="15" hidden="false" customHeight="false" outlineLevel="0" collapsed="false">
      <c r="A1579" s="6" t="s">
        <v>73</v>
      </c>
      <c r="B1579" s="6" t="s">
        <v>325</v>
      </c>
      <c r="C1579" s="6" t="n">
        <v>14</v>
      </c>
      <c r="D1579" s="25" t="n">
        <f aca="false">EDATE('Start Here'!$B$6,C1579-1)</f>
        <v>46722</v>
      </c>
      <c r="E1579" s="11" t="n">
        <f aca="false">IF(AND(C1579&gt;=Staffing!$F$32,C1579&lt;=Staffing!$G$32,1=1),IF(C1579&lt;=6,Staffing!$H$32,IF(C1579&lt;=15,Staffing!$I$32,IF(C1579&lt;=30,Staffing!$J$32,Staffing!$K$32))),0)</f>
        <v>1</v>
      </c>
      <c r="F1579" s="10" t="n">
        <f aca="false">E1579*Assumptions!$E$26/12*(1+Assumptions!$E$10)^INT((C1579-1)/12)*'Start Here'!$B$10</f>
        <v>0</v>
      </c>
      <c r="G1579" s="10" t="n">
        <f aca="false">F1579*Staffing!$N$32</f>
        <v>0</v>
      </c>
      <c r="H1579" s="10" t="n">
        <f aca="false">F1579+G1579</f>
        <v>0</v>
      </c>
      <c r="I1579" s="10" t="n">
        <f aca="false">E1579*Assumptions!$E$26/12*(1+Assumptions!$E$10)^INT((C1579-1)/12)*(1-'Start Here'!$B$10)</f>
        <v>17500</v>
      </c>
      <c r="J1579" s="10" t="n">
        <f aca="false">MAX(0,E1579-E1578)*Staffing!$O$32</f>
        <v>0</v>
      </c>
      <c r="K1579" s="10" t="n">
        <f aca="false">MAX(0,E1579-E1578)*Staffing!$P$32</f>
        <v>0</v>
      </c>
      <c r="L1579" s="23" t="n">
        <f aca="false">ROUNDUP(E1579,0)</f>
        <v>1</v>
      </c>
    </row>
    <row r="1580" customFormat="false" ht="15" hidden="false" customHeight="false" outlineLevel="0" collapsed="false">
      <c r="A1580" s="6" t="s">
        <v>73</v>
      </c>
      <c r="B1580" s="6" t="s">
        <v>325</v>
      </c>
      <c r="C1580" s="6" t="n">
        <v>15</v>
      </c>
      <c r="D1580" s="25" t="n">
        <f aca="false">EDATE('Start Here'!$B$6,C1580-1)</f>
        <v>46753</v>
      </c>
      <c r="E1580" s="11" t="n">
        <f aca="false">IF(AND(C1580&gt;=Staffing!$F$32,C1580&lt;=Staffing!$G$32,1=1),IF(C1580&lt;=6,Staffing!$H$32,IF(C1580&lt;=15,Staffing!$I$32,IF(C1580&lt;=30,Staffing!$J$32,Staffing!$K$32))),0)</f>
        <v>1</v>
      </c>
      <c r="F1580" s="10" t="n">
        <f aca="false">E1580*Assumptions!$E$26/12*(1+Assumptions!$E$10)^INT((C1580-1)/12)*'Start Here'!$B$10</f>
        <v>0</v>
      </c>
      <c r="G1580" s="10" t="n">
        <f aca="false">F1580*Staffing!$N$32</f>
        <v>0</v>
      </c>
      <c r="H1580" s="10" t="n">
        <f aca="false">F1580+G1580</f>
        <v>0</v>
      </c>
      <c r="I1580" s="10" t="n">
        <f aca="false">E1580*Assumptions!$E$26/12*(1+Assumptions!$E$10)^INT((C1580-1)/12)*(1-'Start Here'!$B$10)</f>
        <v>17500</v>
      </c>
      <c r="J1580" s="10" t="n">
        <f aca="false">MAX(0,E1580-E1579)*Staffing!$O$32</f>
        <v>0</v>
      </c>
      <c r="K1580" s="10" t="n">
        <f aca="false">MAX(0,E1580-E1579)*Staffing!$P$32</f>
        <v>0</v>
      </c>
      <c r="L1580" s="23" t="n">
        <f aca="false">ROUNDUP(E1580,0)</f>
        <v>1</v>
      </c>
    </row>
    <row r="1581" customFormat="false" ht="15" hidden="false" customHeight="false" outlineLevel="0" collapsed="false">
      <c r="A1581" s="6" t="s">
        <v>73</v>
      </c>
      <c r="B1581" s="6" t="s">
        <v>325</v>
      </c>
      <c r="C1581" s="6" t="n">
        <v>16</v>
      </c>
      <c r="D1581" s="25" t="n">
        <f aca="false">EDATE('Start Here'!$B$6,C1581-1)</f>
        <v>46784</v>
      </c>
      <c r="E1581" s="11" t="n">
        <f aca="false">IF(AND(C1581&gt;=Staffing!$F$32,C1581&lt;=Staffing!$G$32,1=1),IF(C1581&lt;=6,Staffing!$H$32,IF(C1581&lt;=15,Staffing!$I$32,IF(C1581&lt;=30,Staffing!$J$32,Staffing!$K$32))),0)</f>
        <v>1</v>
      </c>
      <c r="F1581" s="10" t="n">
        <f aca="false">E1581*Assumptions!$E$26/12*(1+Assumptions!$E$10)^INT((C1581-1)/12)*'Start Here'!$B$10</f>
        <v>0</v>
      </c>
      <c r="G1581" s="10" t="n">
        <f aca="false">F1581*Staffing!$N$32</f>
        <v>0</v>
      </c>
      <c r="H1581" s="10" t="n">
        <f aca="false">F1581+G1581</f>
        <v>0</v>
      </c>
      <c r="I1581" s="10" t="n">
        <f aca="false">E1581*Assumptions!$E$26/12*(1+Assumptions!$E$10)^INT((C1581-1)/12)*(1-'Start Here'!$B$10)</f>
        <v>17500</v>
      </c>
      <c r="J1581" s="10" t="n">
        <f aca="false">MAX(0,E1581-E1580)*Staffing!$O$32</f>
        <v>0</v>
      </c>
      <c r="K1581" s="10" t="n">
        <f aca="false">MAX(0,E1581-E1580)*Staffing!$P$32</f>
        <v>0</v>
      </c>
      <c r="L1581" s="23" t="n">
        <f aca="false">ROUNDUP(E1581,0)</f>
        <v>1</v>
      </c>
    </row>
    <row r="1582" customFormat="false" ht="15" hidden="false" customHeight="false" outlineLevel="0" collapsed="false">
      <c r="A1582" s="6" t="s">
        <v>73</v>
      </c>
      <c r="B1582" s="6" t="s">
        <v>325</v>
      </c>
      <c r="C1582" s="6" t="n">
        <v>17</v>
      </c>
      <c r="D1582" s="25" t="n">
        <f aca="false">EDATE('Start Here'!$B$6,C1582-1)</f>
        <v>46813</v>
      </c>
      <c r="E1582" s="11" t="n">
        <f aca="false">IF(AND(C1582&gt;=Staffing!$F$32,C1582&lt;=Staffing!$G$32,1=1),IF(C1582&lt;=6,Staffing!$H$32,IF(C1582&lt;=15,Staffing!$I$32,IF(C1582&lt;=30,Staffing!$J$32,Staffing!$K$32))),0)</f>
        <v>1</v>
      </c>
      <c r="F1582" s="10" t="n">
        <f aca="false">E1582*Assumptions!$E$26/12*(1+Assumptions!$E$10)^INT((C1582-1)/12)*'Start Here'!$B$10</f>
        <v>0</v>
      </c>
      <c r="G1582" s="10" t="n">
        <f aca="false">F1582*Staffing!$N$32</f>
        <v>0</v>
      </c>
      <c r="H1582" s="10" t="n">
        <f aca="false">F1582+G1582</f>
        <v>0</v>
      </c>
      <c r="I1582" s="10" t="n">
        <f aca="false">E1582*Assumptions!$E$26/12*(1+Assumptions!$E$10)^INT((C1582-1)/12)*(1-'Start Here'!$B$10)</f>
        <v>17500</v>
      </c>
      <c r="J1582" s="10" t="n">
        <f aca="false">MAX(0,E1582-E1581)*Staffing!$O$32</f>
        <v>0</v>
      </c>
      <c r="K1582" s="10" t="n">
        <f aca="false">MAX(0,E1582-E1581)*Staffing!$P$32</f>
        <v>0</v>
      </c>
      <c r="L1582" s="23" t="n">
        <f aca="false">ROUNDUP(E1582,0)</f>
        <v>1</v>
      </c>
    </row>
    <row r="1583" customFormat="false" ht="15" hidden="false" customHeight="false" outlineLevel="0" collapsed="false">
      <c r="A1583" s="6" t="s">
        <v>73</v>
      </c>
      <c r="B1583" s="6" t="s">
        <v>325</v>
      </c>
      <c r="C1583" s="6" t="n">
        <v>18</v>
      </c>
      <c r="D1583" s="25" t="n">
        <f aca="false">EDATE('Start Here'!$B$6,C1583-1)</f>
        <v>46844</v>
      </c>
      <c r="E1583" s="11" t="n">
        <f aca="false">IF(AND(C1583&gt;=Staffing!$F$32,C1583&lt;=Staffing!$G$32,1=1),IF(C1583&lt;=6,Staffing!$H$32,IF(C1583&lt;=15,Staffing!$I$32,IF(C1583&lt;=30,Staffing!$J$32,Staffing!$K$32))),0)</f>
        <v>1</v>
      </c>
      <c r="F1583" s="10" t="n">
        <f aca="false">E1583*Assumptions!$E$26/12*(1+Assumptions!$E$10)^INT((C1583-1)/12)*'Start Here'!$B$10</f>
        <v>0</v>
      </c>
      <c r="G1583" s="10" t="n">
        <f aca="false">F1583*Staffing!$N$32</f>
        <v>0</v>
      </c>
      <c r="H1583" s="10" t="n">
        <f aca="false">F1583+G1583</f>
        <v>0</v>
      </c>
      <c r="I1583" s="10" t="n">
        <f aca="false">E1583*Assumptions!$E$26/12*(1+Assumptions!$E$10)^INT((C1583-1)/12)*(1-'Start Here'!$B$10)</f>
        <v>17500</v>
      </c>
      <c r="J1583" s="10" t="n">
        <f aca="false">MAX(0,E1583-E1582)*Staffing!$O$32</f>
        <v>0</v>
      </c>
      <c r="K1583" s="10" t="n">
        <f aca="false">MAX(0,E1583-E1582)*Staffing!$P$32</f>
        <v>0</v>
      </c>
      <c r="L1583" s="23" t="n">
        <f aca="false">ROUNDUP(E1583,0)</f>
        <v>1</v>
      </c>
    </row>
    <row r="1584" customFormat="false" ht="15" hidden="false" customHeight="false" outlineLevel="0" collapsed="false">
      <c r="A1584" s="6" t="s">
        <v>73</v>
      </c>
      <c r="B1584" s="6" t="s">
        <v>325</v>
      </c>
      <c r="C1584" s="6" t="n">
        <v>19</v>
      </c>
      <c r="D1584" s="25" t="n">
        <f aca="false">EDATE('Start Here'!$B$6,C1584-1)</f>
        <v>46874</v>
      </c>
      <c r="E1584" s="11" t="n">
        <f aca="false">IF(AND(C1584&gt;=Staffing!$F$32,C1584&lt;=Staffing!$G$32,1=1),IF(C1584&lt;=6,Staffing!$H$32,IF(C1584&lt;=15,Staffing!$I$32,IF(C1584&lt;=30,Staffing!$J$32,Staffing!$K$32))),0)</f>
        <v>1</v>
      </c>
      <c r="F1584" s="10" t="n">
        <f aca="false">E1584*Assumptions!$E$26/12*(1+Assumptions!$E$10)^INT((C1584-1)/12)*'Start Here'!$B$10</f>
        <v>0</v>
      </c>
      <c r="G1584" s="10" t="n">
        <f aca="false">F1584*Staffing!$N$32</f>
        <v>0</v>
      </c>
      <c r="H1584" s="10" t="n">
        <f aca="false">F1584+G1584</f>
        <v>0</v>
      </c>
      <c r="I1584" s="10" t="n">
        <f aca="false">E1584*Assumptions!$E$26/12*(1+Assumptions!$E$10)^INT((C1584-1)/12)*(1-'Start Here'!$B$10)</f>
        <v>17500</v>
      </c>
      <c r="J1584" s="10" t="n">
        <f aca="false">MAX(0,E1584-E1583)*Staffing!$O$32</f>
        <v>0</v>
      </c>
      <c r="K1584" s="10" t="n">
        <f aca="false">MAX(0,E1584-E1583)*Staffing!$P$32</f>
        <v>0</v>
      </c>
      <c r="L1584" s="23" t="n">
        <f aca="false">ROUNDUP(E1584,0)</f>
        <v>1</v>
      </c>
    </row>
    <row r="1585" customFormat="false" ht="15" hidden="false" customHeight="false" outlineLevel="0" collapsed="false">
      <c r="A1585" s="6" t="s">
        <v>73</v>
      </c>
      <c r="B1585" s="6" t="s">
        <v>325</v>
      </c>
      <c r="C1585" s="6" t="n">
        <v>20</v>
      </c>
      <c r="D1585" s="25" t="n">
        <f aca="false">EDATE('Start Here'!$B$6,C1585-1)</f>
        <v>46905</v>
      </c>
      <c r="E1585" s="11" t="n">
        <f aca="false">IF(AND(C1585&gt;=Staffing!$F$32,C1585&lt;=Staffing!$G$32,1=1),IF(C1585&lt;=6,Staffing!$H$32,IF(C1585&lt;=15,Staffing!$I$32,IF(C1585&lt;=30,Staffing!$J$32,Staffing!$K$32))),0)</f>
        <v>1</v>
      </c>
      <c r="F1585" s="10" t="n">
        <f aca="false">E1585*Assumptions!$E$26/12*(1+Assumptions!$E$10)^INT((C1585-1)/12)*'Start Here'!$B$10</f>
        <v>0</v>
      </c>
      <c r="G1585" s="10" t="n">
        <f aca="false">F1585*Staffing!$N$32</f>
        <v>0</v>
      </c>
      <c r="H1585" s="10" t="n">
        <f aca="false">F1585+G1585</f>
        <v>0</v>
      </c>
      <c r="I1585" s="10" t="n">
        <f aca="false">E1585*Assumptions!$E$26/12*(1+Assumptions!$E$10)^INT((C1585-1)/12)*(1-'Start Here'!$B$10)</f>
        <v>17500</v>
      </c>
      <c r="J1585" s="10" t="n">
        <f aca="false">MAX(0,E1585-E1584)*Staffing!$O$32</f>
        <v>0</v>
      </c>
      <c r="K1585" s="10" t="n">
        <f aca="false">MAX(0,E1585-E1584)*Staffing!$P$32</f>
        <v>0</v>
      </c>
      <c r="L1585" s="23" t="n">
        <f aca="false">ROUNDUP(E1585,0)</f>
        <v>1</v>
      </c>
    </row>
    <row r="1586" customFormat="false" ht="15" hidden="false" customHeight="false" outlineLevel="0" collapsed="false">
      <c r="A1586" s="6" t="s">
        <v>73</v>
      </c>
      <c r="B1586" s="6" t="s">
        <v>325</v>
      </c>
      <c r="C1586" s="6" t="n">
        <v>21</v>
      </c>
      <c r="D1586" s="25" t="n">
        <f aca="false">EDATE('Start Here'!$B$6,C1586-1)</f>
        <v>46935</v>
      </c>
      <c r="E1586" s="11" t="n">
        <f aca="false">IF(AND(C1586&gt;=Staffing!$F$32,C1586&lt;=Staffing!$G$32,1=1),IF(C1586&lt;=6,Staffing!$H$32,IF(C1586&lt;=15,Staffing!$I$32,IF(C1586&lt;=30,Staffing!$J$32,Staffing!$K$32))),0)</f>
        <v>1</v>
      </c>
      <c r="F1586" s="10" t="n">
        <f aca="false">E1586*Assumptions!$E$26/12*(1+Assumptions!$E$10)^INT((C1586-1)/12)*'Start Here'!$B$10</f>
        <v>0</v>
      </c>
      <c r="G1586" s="10" t="n">
        <f aca="false">F1586*Staffing!$N$32</f>
        <v>0</v>
      </c>
      <c r="H1586" s="10" t="n">
        <f aca="false">F1586+G1586</f>
        <v>0</v>
      </c>
      <c r="I1586" s="10" t="n">
        <f aca="false">E1586*Assumptions!$E$26/12*(1+Assumptions!$E$10)^INT((C1586-1)/12)*(1-'Start Here'!$B$10)</f>
        <v>17500</v>
      </c>
      <c r="J1586" s="10" t="n">
        <f aca="false">MAX(0,E1586-E1585)*Staffing!$O$32</f>
        <v>0</v>
      </c>
      <c r="K1586" s="10" t="n">
        <f aca="false">MAX(0,E1586-E1585)*Staffing!$P$32</f>
        <v>0</v>
      </c>
      <c r="L1586" s="23" t="n">
        <f aca="false">ROUNDUP(E1586,0)</f>
        <v>1</v>
      </c>
    </row>
    <row r="1587" customFormat="false" ht="15" hidden="false" customHeight="false" outlineLevel="0" collapsed="false">
      <c r="A1587" s="6" t="s">
        <v>73</v>
      </c>
      <c r="B1587" s="6" t="s">
        <v>325</v>
      </c>
      <c r="C1587" s="6" t="n">
        <v>22</v>
      </c>
      <c r="D1587" s="25" t="n">
        <f aca="false">EDATE('Start Here'!$B$6,C1587-1)</f>
        <v>46966</v>
      </c>
      <c r="E1587" s="11" t="n">
        <f aca="false">IF(AND(C1587&gt;=Staffing!$F$32,C1587&lt;=Staffing!$G$32,1=1),IF(C1587&lt;=6,Staffing!$H$32,IF(C1587&lt;=15,Staffing!$I$32,IF(C1587&lt;=30,Staffing!$J$32,Staffing!$K$32))),0)</f>
        <v>1</v>
      </c>
      <c r="F1587" s="10" t="n">
        <f aca="false">E1587*Assumptions!$E$26/12*(1+Assumptions!$E$10)^INT((C1587-1)/12)*'Start Here'!$B$10</f>
        <v>0</v>
      </c>
      <c r="G1587" s="10" t="n">
        <f aca="false">F1587*Staffing!$N$32</f>
        <v>0</v>
      </c>
      <c r="H1587" s="10" t="n">
        <f aca="false">F1587+G1587</f>
        <v>0</v>
      </c>
      <c r="I1587" s="10" t="n">
        <f aca="false">E1587*Assumptions!$E$26/12*(1+Assumptions!$E$10)^INT((C1587-1)/12)*(1-'Start Here'!$B$10)</f>
        <v>17500</v>
      </c>
      <c r="J1587" s="10" t="n">
        <f aca="false">MAX(0,E1587-E1586)*Staffing!$O$32</f>
        <v>0</v>
      </c>
      <c r="K1587" s="10" t="n">
        <f aca="false">MAX(0,E1587-E1586)*Staffing!$P$32</f>
        <v>0</v>
      </c>
      <c r="L1587" s="23" t="n">
        <f aca="false">ROUNDUP(E1587,0)</f>
        <v>1</v>
      </c>
    </row>
    <row r="1588" customFormat="false" ht="15" hidden="false" customHeight="false" outlineLevel="0" collapsed="false">
      <c r="A1588" s="6" t="s">
        <v>73</v>
      </c>
      <c r="B1588" s="6" t="s">
        <v>325</v>
      </c>
      <c r="C1588" s="6" t="n">
        <v>23</v>
      </c>
      <c r="D1588" s="25" t="n">
        <f aca="false">EDATE('Start Here'!$B$6,C1588-1)</f>
        <v>46997</v>
      </c>
      <c r="E1588" s="11" t="n">
        <f aca="false">IF(AND(C1588&gt;=Staffing!$F$32,C1588&lt;=Staffing!$G$32,1=1),IF(C1588&lt;=6,Staffing!$H$32,IF(C1588&lt;=15,Staffing!$I$32,IF(C1588&lt;=30,Staffing!$J$32,Staffing!$K$32))),0)</f>
        <v>1</v>
      </c>
      <c r="F1588" s="10" t="n">
        <f aca="false">E1588*Assumptions!$E$26/12*(1+Assumptions!$E$10)^INT((C1588-1)/12)*'Start Here'!$B$10</f>
        <v>0</v>
      </c>
      <c r="G1588" s="10" t="n">
        <f aca="false">F1588*Staffing!$N$32</f>
        <v>0</v>
      </c>
      <c r="H1588" s="10" t="n">
        <f aca="false">F1588+G1588</f>
        <v>0</v>
      </c>
      <c r="I1588" s="10" t="n">
        <f aca="false">E1588*Assumptions!$E$26/12*(1+Assumptions!$E$10)^INT((C1588-1)/12)*(1-'Start Here'!$B$10)</f>
        <v>17500</v>
      </c>
      <c r="J1588" s="10" t="n">
        <f aca="false">MAX(0,E1588-E1587)*Staffing!$O$32</f>
        <v>0</v>
      </c>
      <c r="K1588" s="10" t="n">
        <f aca="false">MAX(0,E1588-E1587)*Staffing!$P$32</f>
        <v>0</v>
      </c>
      <c r="L1588" s="23" t="n">
        <f aca="false">ROUNDUP(E1588,0)</f>
        <v>1</v>
      </c>
    </row>
    <row r="1589" customFormat="false" ht="15" hidden="false" customHeight="false" outlineLevel="0" collapsed="false">
      <c r="A1589" s="6" t="s">
        <v>73</v>
      </c>
      <c r="B1589" s="6" t="s">
        <v>325</v>
      </c>
      <c r="C1589" s="6" t="n">
        <v>24</v>
      </c>
      <c r="D1589" s="25" t="n">
        <f aca="false">EDATE('Start Here'!$B$6,C1589-1)</f>
        <v>47027</v>
      </c>
      <c r="E1589" s="11" t="n">
        <f aca="false">IF(AND(C1589&gt;=Staffing!$F$32,C1589&lt;=Staffing!$G$32,1=1),IF(C1589&lt;=6,Staffing!$H$32,IF(C1589&lt;=15,Staffing!$I$32,IF(C1589&lt;=30,Staffing!$J$32,Staffing!$K$32))),0)</f>
        <v>1</v>
      </c>
      <c r="F1589" s="10" t="n">
        <f aca="false">E1589*Assumptions!$E$26/12*(1+Assumptions!$E$10)^INT((C1589-1)/12)*'Start Here'!$B$10</f>
        <v>0</v>
      </c>
      <c r="G1589" s="10" t="n">
        <f aca="false">F1589*Staffing!$N$32</f>
        <v>0</v>
      </c>
      <c r="H1589" s="10" t="n">
        <f aca="false">F1589+G1589</f>
        <v>0</v>
      </c>
      <c r="I1589" s="10" t="n">
        <f aca="false">E1589*Assumptions!$E$26/12*(1+Assumptions!$E$10)^INT((C1589-1)/12)*(1-'Start Here'!$B$10)</f>
        <v>17500</v>
      </c>
      <c r="J1589" s="10" t="n">
        <f aca="false">MAX(0,E1589-E1588)*Staffing!$O$32</f>
        <v>0</v>
      </c>
      <c r="K1589" s="10" t="n">
        <f aca="false">MAX(0,E1589-E1588)*Staffing!$P$32</f>
        <v>0</v>
      </c>
      <c r="L1589" s="23" t="n">
        <f aca="false">ROUNDUP(E1589,0)</f>
        <v>1</v>
      </c>
    </row>
    <row r="1590" customFormat="false" ht="15" hidden="false" customHeight="false" outlineLevel="0" collapsed="false">
      <c r="A1590" s="6" t="s">
        <v>73</v>
      </c>
      <c r="B1590" s="6" t="s">
        <v>325</v>
      </c>
      <c r="C1590" s="6" t="n">
        <v>25</v>
      </c>
      <c r="D1590" s="25" t="n">
        <f aca="false">EDATE('Start Here'!$B$6,C1590-1)</f>
        <v>47058</v>
      </c>
      <c r="E1590" s="11" t="n">
        <f aca="false">IF(AND(C1590&gt;=Staffing!$F$32,C1590&lt;=Staffing!$G$32,1=1),IF(C1590&lt;=6,Staffing!$H$32,IF(C1590&lt;=15,Staffing!$I$32,IF(C1590&lt;=30,Staffing!$J$32,Staffing!$K$32))),0)</f>
        <v>1</v>
      </c>
      <c r="F1590" s="10" t="n">
        <f aca="false">E1590*Assumptions!$E$26/12*(1+Assumptions!$E$10)^INT((C1590-1)/12)*'Start Here'!$B$10</f>
        <v>0</v>
      </c>
      <c r="G1590" s="10" t="n">
        <f aca="false">F1590*Staffing!$N$32</f>
        <v>0</v>
      </c>
      <c r="H1590" s="10" t="n">
        <f aca="false">F1590+G1590</f>
        <v>0</v>
      </c>
      <c r="I1590" s="10" t="n">
        <f aca="false">E1590*Assumptions!$E$26/12*(1+Assumptions!$E$10)^INT((C1590-1)/12)*(1-'Start Here'!$B$10)</f>
        <v>18375</v>
      </c>
      <c r="J1590" s="10" t="n">
        <f aca="false">MAX(0,E1590-E1589)*Staffing!$O$32</f>
        <v>0</v>
      </c>
      <c r="K1590" s="10" t="n">
        <f aca="false">MAX(0,E1590-E1589)*Staffing!$P$32</f>
        <v>0</v>
      </c>
      <c r="L1590" s="23" t="n">
        <f aca="false">ROUNDUP(E1590,0)</f>
        <v>1</v>
      </c>
    </row>
    <row r="1591" customFormat="false" ht="15" hidden="false" customHeight="false" outlineLevel="0" collapsed="false">
      <c r="A1591" s="6" t="s">
        <v>73</v>
      </c>
      <c r="B1591" s="6" t="s">
        <v>325</v>
      </c>
      <c r="C1591" s="6" t="n">
        <v>26</v>
      </c>
      <c r="D1591" s="25" t="n">
        <f aca="false">EDATE('Start Here'!$B$6,C1591-1)</f>
        <v>47088</v>
      </c>
      <c r="E1591" s="11" t="n">
        <f aca="false">IF(AND(C1591&gt;=Staffing!$F$32,C1591&lt;=Staffing!$G$32,1=1),IF(C1591&lt;=6,Staffing!$H$32,IF(C1591&lt;=15,Staffing!$I$32,IF(C1591&lt;=30,Staffing!$J$32,Staffing!$K$32))),0)</f>
        <v>1</v>
      </c>
      <c r="F1591" s="10" t="n">
        <f aca="false">E1591*Assumptions!$E$26/12*(1+Assumptions!$E$10)^INT((C1591-1)/12)*'Start Here'!$B$10</f>
        <v>0</v>
      </c>
      <c r="G1591" s="10" t="n">
        <f aca="false">F1591*Staffing!$N$32</f>
        <v>0</v>
      </c>
      <c r="H1591" s="10" t="n">
        <f aca="false">F1591+G1591</f>
        <v>0</v>
      </c>
      <c r="I1591" s="10" t="n">
        <f aca="false">E1591*Assumptions!$E$26/12*(1+Assumptions!$E$10)^INT((C1591-1)/12)*(1-'Start Here'!$B$10)</f>
        <v>18375</v>
      </c>
      <c r="J1591" s="10" t="n">
        <f aca="false">MAX(0,E1591-E1590)*Staffing!$O$32</f>
        <v>0</v>
      </c>
      <c r="K1591" s="10" t="n">
        <f aca="false">MAX(0,E1591-E1590)*Staffing!$P$32</f>
        <v>0</v>
      </c>
      <c r="L1591" s="23" t="n">
        <f aca="false">ROUNDUP(E1591,0)</f>
        <v>1</v>
      </c>
    </row>
    <row r="1592" customFormat="false" ht="15" hidden="false" customHeight="false" outlineLevel="0" collapsed="false">
      <c r="A1592" s="6" t="s">
        <v>73</v>
      </c>
      <c r="B1592" s="6" t="s">
        <v>325</v>
      </c>
      <c r="C1592" s="6" t="n">
        <v>27</v>
      </c>
      <c r="D1592" s="25" t="n">
        <f aca="false">EDATE('Start Here'!$B$6,C1592-1)</f>
        <v>47119</v>
      </c>
      <c r="E1592" s="11" t="n">
        <f aca="false">IF(AND(C1592&gt;=Staffing!$F$32,C1592&lt;=Staffing!$G$32,1=1),IF(C1592&lt;=6,Staffing!$H$32,IF(C1592&lt;=15,Staffing!$I$32,IF(C1592&lt;=30,Staffing!$J$32,Staffing!$K$32))),0)</f>
        <v>1</v>
      </c>
      <c r="F1592" s="10" t="n">
        <f aca="false">E1592*Assumptions!$E$26/12*(1+Assumptions!$E$10)^INT((C1592-1)/12)*'Start Here'!$B$10</f>
        <v>0</v>
      </c>
      <c r="G1592" s="10" t="n">
        <f aca="false">F1592*Staffing!$N$32</f>
        <v>0</v>
      </c>
      <c r="H1592" s="10" t="n">
        <f aca="false">F1592+G1592</f>
        <v>0</v>
      </c>
      <c r="I1592" s="10" t="n">
        <f aca="false">E1592*Assumptions!$E$26/12*(1+Assumptions!$E$10)^INT((C1592-1)/12)*(1-'Start Here'!$B$10)</f>
        <v>18375</v>
      </c>
      <c r="J1592" s="10" t="n">
        <f aca="false">MAX(0,E1592-E1591)*Staffing!$O$32</f>
        <v>0</v>
      </c>
      <c r="K1592" s="10" t="n">
        <f aca="false">MAX(0,E1592-E1591)*Staffing!$P$32</f>
        <v>0</v>
      </c>
      <c r="L1592" s="23" t="n">
        <f aca="false">ROUNDUP(E1592,0)</f>
        <v>1</v>
      </c>
    </row>
    <row r="1593" customFormat="false" ht="15" hidden="false" customHeight="false" outlineLevel="0" collapsed="false">
      <c r="A1593" s="6" t="s">
        <v>73</v>
      </c>
      <c r="B1593" s="6" t="s">
        <v>325</v>
      </c>
      <c r="C1593" s="6" t="n">
        <v>28</v>
      </c>
      <c r="D1593" s="25" t="n">
        <f aca="false">EDATE('Start Here'!$B$6,C1593-1)</f>
        <v>47150</v>
      </c>
      <c r="E1593" s="11" t="n">
        <f aca="false">IF(AND(C1593&gt;=Staffing!$F$32,C1593&lt;=Staffing!$G$32,1=1),IF(C1593&lt;=6,Staffing!$H$32,IF(C1593&lt;=15,Staffing!$I$32,IF(C1593&lt;=30,Staffing!$J$32,Staffing!$K$32))),0)</f>
        <v>1</v>
      </c>
      <c r="F1593" s="10" t="n">
        <f aca="false">E1593*Assumptions!$E$26/12*(1+Assumptions!$E$10)^INT((C1593-1)/12)*'Start Here'!$B$10</f>
        <v>0</v>
      </c>
      <c r="G1593" s="10" t="n">
        <f aca="false">F1593*Staffing!$N$32</f>
        <v>0</v>
      </c>
      <c r="H1593" s="10" t="n">
        <f aca="false">F1593+G1593</f>
        <v>0</v>
      </c>
      <c r="I1593" s="10" t="n">
        <f aca="false">E1593*Assumptions!$E$26/12*(1+Assumptions!$E$10)^INT((C1593-1)/12)*(1-'Start Here'!$B$10)</f>
        <v>18375</v>
      </c>
      <c r="J1593" s="10" t="n">
        <f aca="false">MAX(0,E1593-E1592)*Staffing!$O$32</f>
        <v>0</v>
      </c>
      <c r="K1593" s="10" t="n">
        <f aca="false">MAX(0,E1593-E1592)*Staffing!$P$32</f>
        <v>0</v>
      </c>
      <c r="L1593" s="23" t="n">
        <f aca="false">ROUNDUP(E1593,0)</f>
        <v>1</v>
      </c>
    </row>
    <row r="1594" customFormat="false" ht="15" hidden="false" customHeight="false" outlineLevel="0" collapsed="false">
      <c r="A1594" s="6" t="s">
        <v>73</v>
      </c>
      <c r="B1594" s="6" t="s">
        <v>325</v>
      </c>
      <c r="C1594" s="6" t="n">
        <v>29</v>
      </c>
      <c r="D1594" s="25" t="n">
        <f aca="false">EDATE('Start Here'!$B$6,C1594-1)</f>
        <v>47178</v>
      </c>
      <c r="E1594" s="11" t="n">
        <f aca="false">IF(AND(C1594&gt;=Staffing!$F$32,C1594&lt;=Staffing!$G$32,1=1),IF(C1594&lt;=6,Staffing!$H$32,IF(C1594&lt;=15,Staffing!$I$32,IF(C1594&lt;=30,Staffing!$J$32,Staffing!$K$32))),0)</f>
        <v>1</v>
      </c>
      <c r="F1594" s="10" t="n">
        <f aca="false">E1594*Assumptions!$E$26/12*(1+Assumptions!$E$10)^INT((C1594-1)/12)*'Start Here'!$B$10</f>
        <v>0</v>
      </c>
      <c r="G1594" s="10" t="n">
        <f aca="false">F1594*Staffing!$N$32</f>
        <v>0</v>
      </c>
      <c r="H1594" s="10" t="n">
        <f aca="false">F1594+G1594</f>
        <v>0</v>
      </c>
      <c r="I1594" s="10" t="n">
        <f aca="false">E1594*Assumptions!$E$26/12*(1+Assumptions!$E$10)^INT((C1594-1)/12)*(1-'Start Here'!$B$10)</f>
        <v>18375</v>
      </c>
      <c r="J1594" s="10" t="n">
        <f aca="false">MAX(0,E1594-E1593)*Staffing!$O$32</f>
        <v>0</v>
      </c>
      <c r="K1594" s="10" t="n">
        <f aca="false">MAX(0,E1594-E1593)*Staffing!$P$32</f>
        <v>0</v>
      </c>
      <c r="L1594" s="23" t="n">
        <f aca="false">ROUNDUP(E1594,0)</f>
        <v>1</v>
      </c>
    </row>
    <row r="1595" customFormat="false" ht="15" hidden="false" customHeight="false" outlineLevel="0" collapsed="false">
      <c r="A1595" s="6" t="s">
        <v>73</v>
      </c>
      <c r="B1595" s="6" t="s">
        <v>325</v>
      </c>
      <c r="C1595" s="6" t="n">
        <v>30</v>
      </c>
      <c r="D1595" s="25" t="n">
        <f aca="false">EDATE('Start Here'!$B$6,C1595-1)</f>
        <v>47209</v>
      </c>
      <c r="E1595" s="11" t="n">
        <f aca="false">IF(AND(C1595&gt;=Staffing!$F$32,C1595&lt;=Staffing!$G$32,1=1),IF(C1595&lt;=6,Staffing!$H$32,IF(C1595&lt;=15,Staffing!$I$32,IF(C1595&lt;=30,Staffing!$J$32,Staffing!$K$32))),0)</f>
        <v>1</v>
      </c>
      <c r="F1595" s="10" t="n">
        <f aca="false">E1595*Assumptions!$E$26/12*(1+Assumptions!$E$10)^INT((C1595-1)/12)*'Start Here'!$B$10</f>
        <v>0</v>
      </c>
      <c r="G1595" s="10" t="n">
        <f aca="false">F1595*Staffing!$N$32</f>
        <v>0</v>
      </c>
      <c r="H1595" s="10" t="n">
        <f aca="false">F1595+G1595</f>
        <v>0</v>
      </c>
      <c r="I1595" s="10" t="n">
        <f aca="false">E1595*Assumptions!$E$26/12*(1+Assumptions!$E$10)^INT((C1595-1)/12)*(1-'Start Here'!$B$10)</f>
        <v>18375</v>
      </c>
      <c r="J1595" s="10" t="n">
        <f aca="false">MAX(0,E1595-E1594)*Staffing!$O$32</f>
        <v>0</v>
      </c>
      <c r="K1595" s="10" t="n">
        <f aca="false">MAX(0,E1595-E1594)*Staffing!$P$32</f>
        <v>0</v>
      </c>
      <c r="L1595" s="23" t="n">
        <f aca="false">ROUNDUP(E1595,0)</f>
        <v>1</v>
      </c>
    </row>
    <row r="1596" customFormat="false" ht="15" hidden="false" customHeight="false" outlineLevel="0" collapsed="false">
      <c r="A1596" s="6" t="s">
        <v>73</v>
      </c>
      <c r="B1596" s="6" t="s">
        <v>325</v>
      </c>
      <c r="C1596" s="6" t="n">
        <v>31</v>
      </c>
      <c r="D1596" s="25" t="n">
        <f aca="false">EDATE('Start Here'!$B$6,C1596-1)</f>
        <v>47239</v>
      </c>
      <c r="E1596" s="11" t="n">
        <f aca="false">IF(AND(C1596&gt;=Staffing!$F$32,C1596&lt;=Staffing!$G$32,1=1),IF(C1596&lt;=6,Staffing!$H$32,IF(C1596&lt;=15,Staffing!$I$32,IF(C1596&lt;=30,Staffing!$J$32,Staffing!$K$32))),0)</f>
        <v>1</v>
      </c>
      <c r="F1596" s="10" t="n">
        <f aca="false">E1596*Assumptions!$E$26/12*(1+Assumptions!$E$10)^INT((C1596-1)/12)*'Start Here'!$B$10</f>
        <v>0</v>
      </c>
      <c r="G1596" s="10" t="n">
        <f aca="false">F1596*Staffing!$N$32</f>
        <v>0</v>
      </c>
      <c r="H1596" s="10" t="n">
        <f aca="false">F1596+G1596</f>
        <v>0</v>
      </c>
      <c r="I1596" s="10" t="n">
        <f aca="false">E1596*Assumptions!$E$26/12*(1+Assumptions!$E$10)^INT((C1596-1)/12)*(1-'Start Here'!$B$10)</f>
        <v>18375</v>
      </c>
      <c r="J1596" s="10" t="n">
        <f aca="false">MAX(0,E1596-E1595)*Staffing!$O$32</f>
        <v>0</v>
      </c>
      <c r="K1596" s="10" t="n">
        <f aca="false">MAX(0,E1596-E1595)*Staffing!$P$32</f>
        <v>0</v>
      </c>
      <c r="L1596" s="23" t="n">
        <f aca="false">ROUNDUP(E1596,0)</f>
        <v>1</v>
      </c>
    </row>
    <row r="1597" customFormat="false" ht="15" hidden="false" customHeight="false" outlineLevel="0" collapsed="false">
      <c r="A1597" s="6" t="s">
        <v>73</v>
      </c>
      <c r="B1597" s="6" t="s">
        <v>325</v>
      </c>
      <c r="C1597" s="6" t="n">
        <v>32</v>
      </c>
      <c r="D1597" s="25" t="n">
        <f aca="false">EDATE('Start Here'!$B$6,C1597-1)</f>
        <v>47270</v>
      </c>
      <c r="E1597" s="11" t="n">
        <f aca="false">IF(AND(C1597&gt;=Staffing!$F$32,C1597&lt;=Staffing!$G$32,1=1),IF(C1597&lt;=6,Staffing!$H$32,IF(C1597&lt;=15,Staffing!$I$32,IF(C1597&lt;=30,Staffing!$J$32,Staffing!$K$32))),0)</f>
        <v>1</v>
      </c>
      <c r="F1597" s="10" t="n">
        <f aca="false">E1597*Assumptions!$E$26/12*(1+Assumptions!$E$10)^INT((C1597-1)/12)*'Start Here'!$B$10</f>
        <v>0</v>
      </c>
      <c r="G1597" s="10" t="n">
        <f aca="false">F1597*Staffing!$N$32</f>
        <v>0</v>
      </c>
      <c r="H1597" s="10" t="n">
        <f aca="false">F1597+G1597</f>
        <v>0</v>
      </c>
      <c r="I1597" s="10" t="n">
        <f aca="false">E1597*Assumptions!$E$26/12*(1+Assumptions!$E$10)^INT((C1597-1)/12)*(1-'Start Here'!$B$10)</f>
        <v>18375</v>
      </c>
      <c r="J1597" s="10" t="n">
        <f aca="false">MAX(0,E1597-E1596)*Staffing!$O$32</f>
        <v>0</v>
      </c>
      <c r="K1597" s="10" t="n">
        <f aca="false">MAX(0,E1597-E1596)*Staffing!$P$32</f>
        <v>0</v>
      </c>
      <c r="L1597" s="23" t="n">
        <f aca="false">ROUNDUP(E1597,0)</f>
        <v>1</v>
      </c>
    </row>
    <row r="1598" customFormat="false" ht="15" hidden="false" customHeight="false" outlineLevel="0" collapsed="false">
      <c r="A1598" s="6" t="s">
        <v>73</v>
      </c>
      <c r="B1598" s="6" t="s">
        <v>325</v>
      </c>
      <c r="C1598" s="6" t="n">
        <v>33</v>
      </c>
      <c r="D1598" s="25" t="n">
        <f aca="false">EDATE('Start Here'!$B$6,C1598-1)</f>
        <v>47300</v>
      </c>
      <c r="E1598" s="11" t="n">
        <f aca="false">IF(AND(C1598&gt;=Staffing!$F$32,C1598&lt;=Staffing!$G$32,1=1),IF(C1598&lt;=6,Staffing!$H$32,IF(C1598&lt;=15,Staffing!$I$32,IF(C1598&lt;=30,Staffing!$J$32,Staffing!$K$32))),0)</f>
        <v>1</v>
      </c>
      <c r="F1598" s="10" t="n">
        <f aca="false">E1598*Assumptions!$E$26/12*(1+Assumptions!$E$10)^INT((C1598-1)/12)*'Start Here'!$B$10</f>
        <v>0</v>
      </c>
      <c r="G1598" s="10" t="n">
        <f aca="false">F1598*Staffing!$N$32</f>
        <v>0</v>
      </c>
      <c r="H1598" s="10" t="n">
        <f aca="false">F1598+G1598</f>
        <v>0</v>
      </c>
      <c r="I1598" s="10" t="n">
        <f aca="false">E1598*Assumptions!$E$26/12*(1+Assumptions!$E$10)^INT((C1598-1)/12)*(1-'Start Here'!$B$10)</f>
        <v>18375</v>
      </c>
      <c r="J1598" s="10" t="n">
        <f aca="false">MAX(0,E1598-E1597)*Staffing!$O$32</f>
        <v>0</v>
      </c>
      <c r="K1598" s="10" t="n">
        <f aca="false">MAX(0,E1598-E1597)*Staffing!$P$32</f>
        <v>0</v>
      </c>
      <c r="L1598" s="23" t="n">
        <f aca="false">ROUNDUP(E1598,0)</f>
        <v>1</v>
      </c>
    </row>
    <row r="1599" customFormat="false" ht="15" hidden="false" customHeight="false" outlineLevel="0" collapsed="false">
      <c r="A1599" s="6" t="s">
        <v>73</v>
      </c>
      <c r="B1599" s="6" t="s">
        <v>325</v>
      </c>
      <c r="C1599" s="6" t="n">
        <v>34</v>
      </c>
      <c r="D1599" s="25" t="n">
        <f aca="false">EDATE('Start Here'!$B$6,C1599-1)</f>
        <v>47331</v>
      </c>
      <c r="E1599" s="11" t="n">
        <f aca="false">IF(AND(C1599&gt;=Staffing!$F$32,C1599&lt;=Staffing!$G$32,1=1),IF(C1599&lt;=6,Staffing!$H$32,IF(C1599&lt;=15,Staffing!$I$32,IF(C1599&lt;=30,Staffing!$J$32,Staffing!$K$32))),0)</f>
        <v>1</v>
      </c>
      <c r="F1599" s="10" t="n">
        <f aca="false">E1599*Assumptions!$E$26/12*(1+Assumptions!$E$10)^INT((C1599-1)/12)*'Start Here'!$B$10</f>
        <v>0</v>
      </c>
      <c r="G1599" s="10" t="n">
        <f aca="false">F1599*Staffing!$N$32</f>
        <v>0</v>
      </c>
      <c r="H1599" s="10" t="n">
        <f aca="false">F1599+G1599</f>
        <v>0</v>
      </c>
      <c r="I1599" s="10" t="n">
        <f aca="false">E1599*Assumptions!$E$26/12*(1+Assumptions!$E$10)^INT((C1599-1)/12)*(1-'Start Here'!$B$10)</f>
        <v>18375</v>
      </c>
      <c r="J1599" s="10" t="n">
        <f aca="false">MAX(0,E1599-E1598)*Staffing!$O$32</f>
        <v>0</v>
      </c>
      <c r="K1599" s="10" t="n">
        <f aca="false">MAX(0,E1599-E1598)*Staffing!$P$32</f>
        <v>0</v>
      </c>
      <c r="L1599" s="23" t="n">
        <f aca="false">ROUNDUP(E1599,0)</f>
        <v>1</v>
      </c>
    </row>
    <row r="1600" customFormat="false" ht="15" hidden="false" customHeight="false" outlineLevel="0" collapsed="false">
      <c r="A1600" s="6" t="s">
        <v>73</v>
      </c>
      <c r="B1600" s="6" t="s">
        <v>325</v>
      </c>
      <c r="C1600" s="6" t="n">
        <v>35</v>
      </c>
      <c r="D1600" s="25" t="n">
        <f aca="false">EDATE('Start Here'!$B$6,C1600-1)</f>
        <v>47362</v>
      </c>
      <c r="E1600" s="11" t="n">
        <f aca="false">IF(AND(C1600&gt;=Staffing!$F$32,C1600&lt;=Staffing!$G$32,1=1),IF(C1600&lt;=6,Staffing!$H$32,IF(C1600&lt;=15,Staffing!$I$32,IF(C1600&lt;=30,Staffing!$J$32,Staffing!$K$32))),0)</f>
        <v>1</v>
      </c>
      <c r="F1600" s="10" t="n">
        <f aca="false">E1600*Assumptions!$E$26/12*(1+Assumptions!$E$10)^INT((C1600-1)/12)*'Start Here'!$B$10</f>
        <v>0</v>
      </c>
      <c r="G1600" s="10" t="n">
        <f aca="false">F1600*Staffing!$N$32</f>
        <v>0</v>
      </c>
      <c r="H1600" s="10" t="n">
        <f aca="false">F1600+G1600</f>
        <v>0</v>
      </c>
      <c r="I1600" s="10" t="n">
        <f aca="false">E1600*Assumptions!$E$26/12*(1+Assumptions!$E$10)^INT((C1600-1)/12)*(1-'Start Here'!$B$10)</f>
        <v>18375</v>
      </c>
      <c r="J1600" s="10" t="n">
        <f aca="false">MAX(0,E1600-E1599)*Staffing!$O$32</f>
        <v>0</v>
      </c>
      <c r="K1600" s="10" t="n">
        <f aca="false">MAX(0,E1600-E1599)*Staffing!$P$32</f>
        <v>0</v>
      </c>
      <c r="L1600" s="23" t="n">
        <f aca="false">ROUNDUP(E1600,0)</f>
        <v>1</v>
      </c>
    </row>
    <row r="1601" customFormat="false" ht="15" hidden="false" customHeight="false" outlineLevel="0" collapsed="false">
      <c r="A1601" s="6" t="s">
        <v>73</v>
      </c>
      <c r="B1601" s="6" t="s">
        <v>325</v>
      </c>
      <c r="C1601" s="6" t="n">
        <v>36</v>
      </c>
      <c r="D1601" s="25" t="n">
        <f aca="false">EDATE('Start Here'!$B$6,C1601-1)</f>
        <v>47392</v>
      </c>
      <c r="E1601" s="11" t="n">
        <f aca="false">IF(AND(C1601&gt;=Staffing!$F$32,C1601&lt;=Staffing!$G$32,1=1),IF(C1601&lt;=6,Staffing!$H$32,IF(C1601&lt;=15,Staffing!$I$32,IF(C1601&lt;=30,Staffing!$J$32,Staffing!$K$32))),0)</f>
        <v>1</v>
      </c>
      <c r="F1601" s="10" t="n">
        <f aca="false">E1601*Assumptions!$E$26/12*(1+Assumptions!$E$10)^INT((C1601-1)/12)*'Start Here'!$B$10</f>
        <v>0</v>
      </c>
      <c r="G1601" s="10" t="n">
        <f aca="false">F1601*Staffing!$N$32</f>
        <v>0</v>
      </c>
      <c r="H1601" s="10" t="n">
        <f aca="false">F1601+G1601</f>
        <v>0</v>
      </c>
      <c r="I1601" s="10" t="n">
        <f aca="false">E1601*Assumptions!$E$26/12*(1+Assumptions!$E$10)^INT((C1601-1)/12)*(1-'Start Here'!$B$10)</f>
        <v>18375</v>
      </c>
      <c r="J1601" s="10" t="n">
        <f aca="false">MAX(0,E1601-E1600)*Staffing!$O$32</f>
        <v>0</v>
      </c>
      <c r="K1601" s="10" t="n">
        <f aca="false">MAX(0,E1601-E1600)*Staffing!$P$32</f>
        <v>0</v>
      </c>
      <c r="L1601" s="23" t="n">
        <f aca="false">ROUNDUP(E1601,0)</f>
        <v>1</v>
      </c>
    </row>
    <row r="1602" customFormat="false" ht="15" hidden="false" customHeight="false" outlineLevel="0" collapsed="false">
      <c r="A1602" s="6" t="s">
        <v>73</v>
      </c>
      <c r="B1602" s="6" t="s">
        <v>325</v>
      </c>
      <c r="C1602" s="6" t="n">
        <v>37</v>
      </c>
      <c r="D1602" s="25" t="n">
        <f aca="false">EDATE('Start Here'!$B$6,C1602-1)</f>
        <v>47423</v>
      </c>
      <c r="E1602" s="11" t="n">
        <f aca="false">IF(AND(C1602&gt;=Staffing!$F$32,C1602&lt;=Staffing!$G$32,1=1),IF(C1602&lt;=6,Staffing!$H$32,IF(C1602&lt;=15,Staffing!$I$32,IF(C1602&lt;=30,Staffing!$J$32,Staffing!$K$32))),0)</f>
        <v>1</v>
      </c>
      <c r="F1602" s="10" t="n">
        <f aca="false">E1602*Assumptions!$E$26/12*(1+Assumptions!$E$10)^INT((C1602-1)/12)*'Start Here'!$B$10</f>
        <v>0</v>
      </c>
      <c r="G1602" s="10" t="n">
        <f aca="false">F1602*Staffing!$N$32</f>
        <v>0</v>
      </c>
      <c r="H1602" s="10" t="n">
        <f aca="false">F1602+G1602</f>
        <v>0</v>
      </c>
      <c r="I1602" s="10" t="n">
        <f aca="false">E1602*Assumptions!$E$26/12*(1+Assumptions!$E$10)^INT((C1602-1)/12)*(1-'Start Here'!$B$10)</f>
        <v>19293.75</v>
      </c>
      <c r="J1602" s="10" t="n">
        <f aca="false">MAX(0,E1602-E1601)*Staffing!$O$32</f>
        <v>0</v>
      </c>
      <c r="K1602" s="10" t="n">
        <f aca="false">MAX(0,E1602-E1601)*Staffing!$P$32</f>
        <v>0</v>
      </c>
      <c r="L1602" s="23" t="n">
        <f aca="false">ROUNDUP(E1602,0)</f>
        <v>1</v>
      </c>
    </row>
    <row r="1603" customFormat="false" ht="15" hidden="false" customHeight="false" outlineLevel="0" collapsed="false">
      <c r="A1603" s="6" t="s">
        <v>73</v>
      </c>
      <c r="B1603" s="6" t="s">
        <v>325</v>
      </c>
      <c r="C1603" s="6" t="n">
        <v>38</v>
      </c>
      <c r="D1603" s="25" t="n">
        <f aca="false">EDATE('Start Here'!$B$6,C1603-1)</f>
        <v>47453</v>
      </c>
      <c r="E1603" s="11" t="n">
        <f aca="false">IF(AND(C1603&gt;=Staffing!$F$32,C1603&lt;=Staffing!$G$32,1=1),IF(C1603&lt;=6,Staffing!$H$32,IF(C1603&lt;=15,Staffing!$I$32,IF(C1603&lt;=30,Staffing!$J$32,Staffing!$K$32))),0)</f>
        <v>1</v>
      </c>
      <c r="F1603" s="10" t="n">
        <f aca="false">E1603*Assumptions!$E$26/12*(1+Assumptions!$E$10)^INT((C1603-1)/12)*'Start Here'!$B$10</f>
        <v>0</v>
      </c>
      <c r="G1603" s="10" t="n">
        <f aca="false">F1603*Staffing!$N$32</f>
        <v>0</v>
      </c>
      <c r="H1603" s="10" t="n">
        <f aca="false">F1603+G1603</f>
        <v>0</v>
      </c>
      <c r="I1603" s="10" t="n">
        <f aca="false">E1603*Assumptions!$E$26/12*(1+Assumptions!$E$10)^INT((C1603-1)/12)*(1-'Start Here'!$B$10)</f>
        <v>19293.75</v>
      </c>
      <c r="J1603" s="10" t="n">
        <f aca="false">MAX(0,E1603-E1602)*Staffing!$O$32</f>
        <v>0</v>
      </c>
      <c r="K1603" s="10" t="n">
        <f aca="false">MAX(0,E1603-E1602)*Staffing!$P$32</f>
        <v>0</v>
      </c>
      <c r="L1603" s="23" t="n">
        <f aca="false">ROUNDUP(E1603,0)</f>
        <v>1</v>
      </c>
    </row>
    <row r="1604" customFormat="false" ht="15" hidden="false" customHeight="false" outlineLevel="0" collapsed="false">
      <c r="A1604" s="6" t="s">
        <v>73</v>
      </c>
      <c r="B1604" s="6" t="s">
        <v>325</v>
      </c>
      <c r="C1604" s="6" t="n">
        <v>39</v>
      </c>
      <c r="D1604" s="25" t="n">
        <f aca="false">EDATE('Start Here'!$B$6,C1604-1)</f>
        <v>47484</v>
      </c>
      <c r="E1604" s="11" t="n">
        <f aca="false">IF(AND(C1604&gt;=Staffing!$F$32,C1604&lt;=Staffing!$G$32,1=1),IF(C1604&lt;=6,Staffing!$H$32,IF(C1604&lt;=15,Staffing!$I$32,IF(C1604&lt;=30,Staffing!$J$32,Staffing!$K$32))),0)</f>
        <v>1</v>
      </c>
      <c r="F1604" s="10" t="n">
        <f aca="false">E1604*Assumptions!$E$26/12*(1+Assumptions!$E$10)^INT((C1604-1)/12)*'Start Here'!$B$10</f>
        <v>0</v>
      </c>
      <c r="G1604" s="10" t="n">
        <f aca="false">F1604*Staffing!$N$32</f>
        <v>0</v>
      </c>
      <c r="H1604" s="10" t="n">
        <f aca="false">F1604+G1604</f>
        <v>0</v>
      </c>
      <c r="I1604" s="10" t="n">
        <f aca="false">E1604*Assumptions!$E$26/12*(1+Assumptions!$E$10)^INT((C1604-1)/12)*(1-'Start Here'!$B$10)</f>
        <v>19293.75</v>
      </c>
      <c r="J1604" s="10" t="n">
        <f aca="false">MAX(0,E1604-E1603)*Staffing!$O$32</f>
        <v>0</v>
      </c>
      <c r="K1604" s="10" t="n">
        <f aca="false">MAX(0,E1604-E1603)*Staffing!$P$32</f>
        <v>0</v>
      </c>
      <c r="L1604" s="23" t="n">
        <f aca="false">ROUNDUP(E1604,0)</f>
        <v>1</v>
      </c>
    </row>
    <row r="1605" customFormat="false" ht="15" hidden="false" customHeight="false" outlineLevel="0" collapsed="false">
      <c r="A1605" s="6" t="s">
        <v>73</v>
      </c>
      <c r="B1605" s="6" t="s">
        <v>325</v>
      </c>
      <c r="C1605" s="6" t="n">
        <v>40</v>
      </c>
      <c r="D1605" s="25" t="n">
        <f aca="false">EDATE('Start Here'!$B$6,C1605-1)</f>
        <v>47515</v>
      </c>
      <c r="E1605" s="11" t="n">
        <f aca="false">IF(AND(C1605&gt;=Staffing!$F$32,C1605&lt;=Staffing!$G$32,1=1),IF(C1605&lt;=6,Staffing!$H$32,IF(C1605&lt;=15,Staffing!$I$32,IF(C1605&lt;=30,Staffing!$J$32,Staffing!$K$32))),0)</f>
        <v>1</v>
      </c>
      <c r="F1605" s="10" t="n">
        <f aca="false">E1605*Assumptions!$E$26/12*(1+Assumptions!$E$10)^INT((C1605-1)/12)*'Start Here'!$B$10</f>
        <v>0</v>
      </c>
      <c r="G1605" s="10" t="n">
        <f aca="false">F1605*Staffing!$N$32</f>
        <v>0</v>
      </c>
      <c r="H1605" s="10" t="n">
        <f aca="false">F1605+G1605</f>
        <v>0</v>
      </c>
      <c r="I1605" s="10" t="n">
        <f aca="false">E1605*Assumptions!$E$26/12*(1+Assumptions!$E$10)^INT((C1605-1)/12)*(1-'Start Here'!$B$10)</f>
        <v>19293.75</v>
      </c>
      <c r="J1605" s="10" t="n">
        <f aca="false">MAX(0,E1605-E1604)*Staffing!$O$32</f>
        <v>0</v>
      </c>
      <c r="K1605" s="10" t="n">
        <f aca="false">MAX(0,E1605-E1604)*Staffing!$P$32</f>
        <v>0</v>
      </c>
      <c r="L1605" s="23" t="n">
        <f aca="false">ROUNDUP(E1605,0)</f>
        <v>1</v>
      </c>
    </row>
    <row r="1606" customFormat="false" ht="15" hidden="false" customHeight="false" outlineLevel="0" collapsed="false">
      <c r="A1606" s="6" t="s">
        <v>73</v>
      </c>
      <c r="B1606" s="6" t="s">
        <v>325</v>
      </c>
      <c r="C1606" s="6" t="n">
        <v>41</v>
      </c>
      <c r="D1606" s="25" t="n">
        <f aca="false">EDATE('Start Here'!$B$6,C1606-1)</f>
        <v>47543</v>
      </c>
      <c r="E1606" s="11" t="n">
        <f aca="false">IF(AND(C1606&gt;=Staffing!$F$32,C1606&lt;=Staffing!$G$32,1=1),IF(C1606&lt;=6,Staffing!$H$32,IF(C1606&lt;=15,Staffing!$I$32,IF(C1606&lt;=30,Staffing!$J$32,Staffing!$K$32))),0)</f>
        <v>1</v>
      </c>
      <c r="F1606" s="10" t="n">
        <f aca="false">E1606*Assumptions!$E$26/12*(1+Assumptions!$E$10)^INT((C1606-1)/12)*'Start Here'!$B$10</f>
        <v>0</v>
      </c>
      <c r="G1606" s="10" t="n">
        <f aca="false">F1606*Staffing!$N$32</f>
        <v>0</v>
      </c>
      <c r="H1606" s="10" t="n">
        <f aca="false">F1606+G1606</f>
        <v>0</v>
      </c>
      <c r="I1606" s="10" t="n">
        <f aca="false">E1606*Assumptions!$E$26/12*(1+Assumptions!$E$10)^INT((C1606-1)/12)*(1-'Start Here'!$B$10)</f>
        <v>19293.75</v>
      </c>
      <c r="J1606" s="10" t="n">
        <f aca="false">MAX(0,E1606-E1605)*Staffing!$O$32</f>
        <v>0</v>
      </c>
      <c r="K1606" s="10" t="n">
        <f aca="false">MAX(0,E1606-E1605)*Staffing!$P$32</f>
        <v>0</v>
      </c>
      <c r="L1606" s="23" t="n">
        <f aca="false">ROUNDUP(E1606,0)</f>
        <v>1</v>
      </c>
    </row>
    <row r="1607" customFormat="false" ht="15" hidden="false" customHeight="false" outlineLevel="0" collapsed="false">
      <c r="A1607" s="6" t="s">
        <v>73</v>
      </c>
      <c r="B1607" s="6" t="s">
        <v>325</v>
      </c>
      <c r="C1607" s="6" t="n">
        <v>42</v>
      </c>
      <c r="D1607" s="25" t="n">
        <f aca="false">EDATE('Start Here'!$B$6,C1607-1)</f>
        <v>47574</v>
      </c>
      <c r="E1607" s="11" t="n">
        <f aca="false">IF(AND(C1607&gt;=Staffing!$F$32,C1607&lt;=Staffing!$G$32,1=1),IF(C1607&lt;=6,Staffing!$H$32,IF(C1607&lt;=15,Staffing!$I$32,IF(C1607&lt;=30,Staffing!$J$32,Staffing!$K$32))),0)</f>
        <v>1</v>
      </c>
      <c r="F1607" s="10" t="n">
        <f aca="false">E1607*Assumptions!$E$26/12*(1+Assumptions!$E$10)^INT((C1607-1)/12)*'Start Here'!$B$10</f>
        <v>0</v>
      </c>
      <c r="G1607" s="10" t="n">
        <f aca="false">F1607*Staffing!$N$32</f>
        <v>0</v>
      </c>
      <c r="H1607" s="10" t="n">
        <f aca="false">F1607+G1607</f>
        <v>0</v>
      </c>
      <c r="I1607" s="10" t="n">
        <f aca="false">E1607*Assumptions!$E$26/12*(1+Assumptions!$E$10)^INT((C1607-1)/12)*(1-'Start Here'!$B$10)</f>
        <v>19293.75</v>
      </c>
      <c r="J1607" s="10" t="n">
        <f aca="false">MAX(0,E1607-E1606)*Staffing!$O$32</f>
        <v>0</v>
      </c>
      <c r="K1607" s="10" t="n">
        <f aca="false">MAX(0,E1607-E1606)*Staffing!$P$32</f>
        <v>0</v>
      </c>
      <c r="L1607" s="23" t="n">
        <f aca="false">ROUNDUP(E1607,0)</f>
        <v>1</v>
      </c>
    </row>
    <row r="1608" customFormat="false" ht="15" hidden="false" customHeight="false" outlineLevel="0" collapsed="false">
      <c r="A1608" s="6" t="s">
        <v>73</v>
      </c>
      <c r="B1608" s="6" t="s">
        <v>325</v>
      </c>
      <c r="C1608" s="6" t="n">
        <v>43</v>
      </c>
      <c r="D1608" s="25" t="n">
        <f aca="false">EDATE('Start Here'!$B$6,C1608-1)</f>
        <v>47604</v>
      </c>
      <c r="E1608" s="11" t="n">
        <f aca="false">IF(AND(C1608&gt;=Staffing!$F$32,C1608&lt;=Staffing!$G$32,1=1),IF(C1608&lt;=6,Staffing!$H$32,IF(C1608&lt;=15,Staffing!$I$32,IF(C1608&lt;=30,Staffing!$J$32,Staffing!$K$32))),0)</f>
        <v>1</v>
      </c>
      <c r="F1608" s="10" t="n">
        <f aca="false">E1608*Assumptions!$E$26/12*(1+Assumptions!$E$10)^INT((C1608-1)/12)*'Start Here'!$B$10</f>
        <v>0</v>
      </c>
      <c r="G1608" s="10" t="n">
        <f aca="false">F1608*Staffing!$N$32</f>
        <v>0</v>
      </c>
      <c r="H1608" s="10" t="n">
        <f aca="false">F1608+G1608</f>
        <v>0</v>
      </c>
      <c r="I1608" s="10" t="n">
        <f aca="false">E1608*Assumptions!$E$26/12*(1+Assumptions!$E$10)^INT((C1608-1)/12)*(1-'Start Here'!$B$10)</f>
        <v>19293.75</v>
      </c>
      <c r="J1608" s="10" t="n">
        <f aca="false">MAX(0,E1608-E1607)*Staffing!$O$32</f>
        <v>0</v>
      </c>
      <c r="K1608" s="10" t="n">
        <f aca="false">MAX(0,E1608-E1607)*Staffing!$P$32</f>
        <v>0</v>
      </c>
      <c r="L1608" s="23" t="n">
        <f aca="false">ROUNDUP(E1608,0)</f>
        <v>1</v>
      </c>
    </row>
    <row r="1609" customFormat="false" ht="15" hidden="false" customHeight="false" outlineLevel="0" collapsed="false">
      <c r="A1609" s="6" t="s">
        <v>73</v>
      </c>
      <c r="B1609" s="6" t="s">
        <v>325</v>
      </c>
      <c r="C1609" s="6" t="n">
        <v>44</v>
      </c>
      <c r="D1609" s="25" t="n">
        <f aca="false">EDATE('Start Here'!$B$6,C1609-1)</f>
        <v>47635</v>
      </c>
      <c r="E1609" s="11" t="n">
        <f aca="false">IF(AND(C1609&gt;=Staffing!$F$32,C1609&lt;=Staffing!$G$32,1=1),IF(C1609&lt;=6,Staffing!$H$32,IF(C1609&lt;=15,Staffing!$I$32,IF(C1609&lt;=30,Staffing!$J$32,Staffing!$K$32))),0)</f>
        <v>1</v>
      </c>
      <c r="F1609" s="10" t="n">
        <f aca="false">E1609*Assumptions!$E$26/12*(1+Assumptions!$E$10)^INT((C1609-1)/12)*'Start Here'!$B$10</f>
        <v>0</v>
      </c>
      <c r="G1609" s="10" t="n">
        <f aca="false">F1609*Staffing!$N$32</f>
        <v>0</v>
      </c>
      <c r="H1609" s="10" t="n">
        <f aca="false">F1609+G1609</f>
        <v>0</v>
      </c>
      <c r="I1609" s="10" t="n">
        <f aca="false">E1609*Assumptions!$E$26/12*(1+Assumptions!$E$10)^INT((C1609-1)/12)*(1-'Start Here'!$B$10)</f>
        <v>19293.75</v>
      </c>
      <c r="J1609" s="10" t="n">
        <f aca="false">MAX(0,E1609-E1608)*Staffing!$O$32</f>
        <v>0</v>
      </c>
      <c r="K1609" s="10" t="n">
        <f aca="false">MAX(0,E1609-E1608)*Staffing!$P$32</f>
        <v>0</v>
      </c>
      <c r="L1609" s="23" t="n">
        <f aca="false">ROUNDUP(E1609,0)</f>
        <v>1</v>
      </c>
    </row>
    <row r="1610" customFormat="false" ht="15" hidden="false" customHeight="false" outlineLevel="0" collapsed="false">
      <c r="A1610" s="6" t="s">
        <v>73</v>
      </c>
      <c r="B1610" s="6" t="s">
        <v>325</v>
      </c>
      <c r="C1610" s="6" t="n">
        <v>45</v>
      </c>
      <c r="D1610" s="25" t="n">
        <f aca="false">EDATE('Start Here'!$B$6,C1610-1)</f>
        <v>47665</v>
      </c>
      <c r="E1610" s="11" t="n">
        <f aca="false">IF(AND(C1610&gt;=Staffing!$F$32,C1610&lt;=Staffing!$G$32,1=1),IF(C1610&lt;=6,Staffing!$H$32,IF(C1610&lt;=15,Staffing!$I$32,IF(C1610&lt;=30,Staffing!$J$32,Staffing!$K$32))),0)</f>
        <v>1</v>
      </c>
      <c r="F1610" s="10" t="n">
        <f aca="false">E1610*Assumptions!$E$26/12*(1+Assumptions!$E$10)^INT((C1610-1)/12)*'Start Here'!$B$10</f>
        <v>0</v>
      </c>
      <c r="G1610" s="10" t="n">
        <f aca="false">F1610*Staffing!$N$32</f>
        <v>0</v>
      </c>
      <c r="H1610" s="10" t="n">
        <f aca="false">F1610+G1610</f>
        <v>0</v>
      </c>
      <c r="I1610" s="10" t="n">
        <f aca="false">E1610*Assumptions!$E$26/12*(1+Assumptions!$E$10)^INT((C1610-1)/12)*(1-'Start Here'!$B$10)</f>
        <v>19293.75</v>
      </c>
      <c r="J1610" s="10" t="n">
        <f aca="false">MAX(0,E1610-E1609)*Staffing!$O$32</f>
        <v>0</v>
      </c>
      <c r="K1610" s="10" t="n">
        <f aca="false">MAX(0,E1610-E1609)*Staffing!$P$32</f>
        <v>0</v>
      </c>
      <c r="L1610" s="23" t="n">
        <f aca="false">ROUNDUP(E1610,0)</f>
        <v>1</v>
      </c>
    </row>
    <row r="1611" customFormat="false" ht="15" hidden="false" customHeight="false" outlineLevel="0" collapsed="false">
      <c r="A1611" s="6" t="s">
        <v>73</v>
      </c>
      <c r="B1611" s="6" t="s">
        <v>325</v>
      </c>
      <c r="C1611" s="6" t="n">
        <v>46</v>
      </c>
      <c r="D1611" s="25" t="n">
        <f aca="false">EDATE('Start Here'!$B$6,C1611-1)</f>
        <v>47696</v>
      </c>
      <c r="E1611" s="11" t="n">
        <f aca="false">IF(AND(C1611&gt;=Staffing!$F$32,C1611&lt;=Staffing!$G$32,1=1),IF(C1611&lt;=6,Staffing!$H$32,IF(C1611&lt;=15,Staffing!$I$32,IF(C1611&lt;=30,Staffing!$J$32,Staffing!$K$32))),0)</f>
        <v>1</v>
      </c>
      <c r="F1611" s="10" t="n">
        <f aca="false">E1611*Assumptions!$E$26/12*(1+Assumptions!$E$10)^INT((C1611-1)/12)*'Start Here'!$B$10</f>
        <v>0</v>
      </c>
      <c r="G1611" s="10" t="n">
        <f aca="false">F1611*Staffing!$N$32</f>
        <v>0</v>
      </c>
      <c r="H1611" s="10" t="n">
        <f aca="false">F1611+G1611</f>
        <v>0</v>
      </c>
      <c r="I1611" s="10" t="n">
        <f aca="false">E1611*Assumptions!$E$26/12*(1+Assumptions!$E$10)^INT((C1611-1)/12)*(1-'Start Here'!$B$10)</f>
        <v>19293.75</v>
      </c>
      <c r="J1611" s="10" t="n">
        <f aca="false">MAX(0,E1611-E1610)*Staffing!$O$32</f>
        <v>0</v>
      </c>
      <c r="K1611" s="10" t="n">
        <f aca="false">MAX(0,E1611-E1610)*Staffing!$P$32</f>
        <v>0</v>
      </c>
      <c r="L1611" s="23" t="n">
        <f aca="false">ROUNDUP(E1611,0)</f>
        <v>1</v>
      </c>
    </row>
    <row r="1612" customFormat="false" ht="15" hidden="false" customHeight="false" outlineLevel="0" collapsed="false">
      <c r="A1612" s="6" t="s">
        <v>73</v>
      </c>
      <c r="B1612" s="6" t="s">
        <v>325</v>
      </c>
      <c r="C1612" s="6" t="n">
        <v>47</v>
      </c>
      <c r="D1612" s="25" t="n">
        <f aca="false">EDATE('Start Here'!$B$6,C1612-1)</f>
        <v>47727</v>
      </c>
      <c r="E1612" s="11" t="n">
        <f aca="false">IF(AND(C1612&gt;=Staffing!$F$32,C1612&lt;=Staffing!$G$32,1=1),IF(C1612&lt;=6,Staffing!$H$32,IF(C1612&lt;=15,Staffing!$I$32,IF(C1612&lt;=30,Staffing!$J$32,Staffing!$K$32))),0)</f>
        <v>1</v>
      </c>
      <c r="F1612" s="10" t="n">
        <f aca="false">E1612*Assumptions!$E$26/12*(1+Assumptions!$E$10)^INT((C1612-1)/12)*'Start Here'!$B$10</f>
        <v>0</v>
      </c>
      <c r="G1612" s="10" t="n">
        <f aca="false">F1612*Staffing!$N$32</f>
        <v>0</v>
      </c>
      <c r="H1612" s="10" t="n">
        <f aca="false">F1612+G1612</f>
        <v>0</v>
      </c>
      <c r="I1612" s="10" t="n">
        <f aca="false">E1612*Assumptions!$E$26/12*(1+Assumptions!$E$10)^INT((C1612-1)/12)*(1-'Start Here'!$B$10)</f>
        <v>19293.75</v>
      </c>
      <c r="J1612" s="10" t="n">
        <f aca="false">MAX(0,E1612-E1611)*Staffing!$O$32</f>
        <v>0</v>
      </c>
      <c r="K1612" s="10" t="n">
        <f aca="false">MAX(0,E1612-E1611)*Staffing!$P$32</f>
        <v>0</v>
      </c>
      <c r="L1612" s="23" t="n">
        <f aca="false">ROUNDUP(E1612,0)</f>
        <v>1</v>
      </c>
    </row>
    <row r="1613" customFormat="false" ht="15" hidden="false" customHeight="false" outlineLevel="0" collapsed="false">
      <c r="A1613" s="6" t="s">
        <v>73</v>
      </c>
      <c r="B1613" s="6" t="s">
        <v>325</v>
      </c>
      <c r="C1613" s="6" t="n">
        <v>48</v>
      </c>
      <c r="D1613" s="25" t="n">
        <f aca="false">EDATE('Start Here'!$B$6,C1613-1)</f>
        <v>47757</v>
      </c>
      <c r="E1613" s="11" t="n">
        <f aca="false">IF(AND(C1613&gt;=Staffing!$F$32,C1613&lt;=Staffing!$G$32,1=1),IF(C1613&lt;=6,Staffing!$H$32,IF(C1613&lt;=15,Staffing!$I$32,IF(C1613&lt;=30,Staffing!$J$32,Staffing!$K$32))),0)</f>
        <v>1</v>
      </c>
      <c r="F1613" s="10" t="n">
        <f aca="false">E1613*Assumptions!$E$26/12*(1+Assumptions!$E$10)^INT((C1613-1)/12)*'Start Here'!$B$10</f>
        <v>0</v>
      </c>
      <c r="G1613" s="10" t="n">
        <f aca="false">F1613*Staffing!$N$32</f>
        <v>0</v>
      </c>
      <c r="H1613" s="10" t="n">
        <f aca="false">F1613+G1613</f>
        <v>0</v>
      </c>
      <c r="I1613" s="10" t="n">
        <f aca="false">E1613*Assumptions!$E$26/12*(1+Assumptions!$E$10)^INT((C1613-1)/12)*(1-'Start Here'!$B$10)</f>
        <v>19293.75</v>
      </c>
      <c r="J1613" s="10" t="n">
        <f aca="false">MAX(0,E1613-E1612)*Staffing!$O$32</f>
        <v>0</v>
      </c>
      <c r="K1613" s="10" t="n">
        <f aca="false">MAX(0,E1613-E1612)*Staffing!$P$32</f>
        <v>0</v>
      </c>
      <c r="L1613" s="23" t="n">
        <f aca="false">ROUNDUP(E1613,0)</f>
        <v>1</v>
      </c>
    </row>
    <row r="1614" customFormat="false" ht="15" hidden="false" customHeight="false" outlineLevel="0" collapsed="false">
      <c r="A1614" s="6" t="s">
        <v>73</v>
      </c>
      <c r="B1614" s="6" t="s">
        <v>325</v>
      </c>
      <c r="C1614" s="6" t="n">
        <v>49</v>
      </c>
      <c r="D1614" s="25" t="n">
        <f aca="false">EDATE('Start Here'!$B$6,C1614-1)</f>
        <v>47788</v>
      </c>
      <c r="E1614" s="11" t="n">
        <f aca="false">IF(AND(C1614&gt;=Staffing!$F$32,C1614&lt;=Staffing!$G$32,1=1),IF(C1614&lt;=6,Staffing!$H$32,IF(C1614&lt;=15,Staffing!$I$32,IF(C1614&lt;=30,Staffing!$J$32,Staffing!$K$32))),0)</f>
        <v>1</v>
      </c>
      <c r="F1614" s="10" t="n">
        <f aca="false">E1614*Assumptions!$E$26/12*(1+Assumptions!$E$10)^INT((C1614-1)/12)*'Start Here'!$B$10</f>
        <v>0</v>
      </c>
      <c r="G1614" s="10" t="n">
        <f aca="false">F1614*Staffing!$N$32</f>
        <v>0</v>
      </c>
      <c r="H1614" s="10" t="n">
        <f aca="false">F1614+G1614</f>
        <v>0</v>
      </c>
      <c r="I1614" s="10" t="n">
        <f aca="false">E1614*Assumptions!$E$26/12*(1+Assumptions!$E$10)^INT((C1614-1)/12)*(1-'Start Here'!$B$10)</f>
        <v>20258.4375</v>
      </c>
      <c r="J1614" s="10" t="n">
        <f aca="false">MAX(0,E1614-E1613)*Staffing!$O$32</f>
        <v>0</v>
      </c>
      <c r="K1614" s="10" t="n">
        <f aca="false">MAX(0,E1614-E1613)*Staffing!$P$32</f>
        <v>0</v>
      </c>
      <c r="L1614" s="23" t="n">
        <f aca="false">ROUNDUP(E1614,0)</f>
        <v>1</v>
      </c>
    </row>
    <row r="1615" customFormat="false" ht="15" hidden="false" customHeight="false" outlineLevel="0" collapsed="false">
      <c r="A1615" s="6" t="s">
        <v>73</v>
      </c>
      <c r="B1615" s="6" t="s">
        <v>325</v>
      </c>
      <c r="C1615" s="6" t="n">
        <v>50</v>
      </c>
      <c r="D1615" s="25" t="n">
        <f aca="false">EDATE('Start Here'!$B$6,C1615-1)</f>
        <v>47818</v>
      </c>
      <c r="E1615" s="11" t="n">
        <f aca="false">IF(AND(C1615&gt;=Staffing!$F$32,C1615&lt;=Staffing!$G$32,1=1),IF(C1615&lt;=6,Staffing!$H$32,IF(C1615&lt;=15,Staffing!$I$32,IF(C1615&lt;=30,Staffing!$J$32,Staffing!$K$32))),0)</f>
        <v>1</v>
      </c>
      <c r="F1615" s="10" t="n">
        <f aca="false">E1615*Assumptions!$E$26/12*(1+Assumptions!$E$10)^INT((C1615-1)/12)*'Start Here'!$B$10</f>
        <v>0</v>
      </c>
      <c r="G1615" s="10" t="n">
        <f aca="false">F1615*Staffing!$N$32</f>
        <v>0</v>
      </c>
      <c r="H1615" s="10" t="n">
        <f aca="false">F1615+G1615</f>
        <v>0</v>
      </c>
      <c r="I1615" s="10" t="n">
        <f aca="false">E1615*Assumptions!$E$26/12*(1+Assumptions!$E$10)^INT((C1615-1)/12)*(1-'Start Here'!$B$10)</f>
        <v>20258.4375</v>
      </c>
      <c r="J1615" s="10" t="n">
        <f aca="false">MAX(0,E1615-E1614)*Staffing!$O$32</f>
        <v>0</v>
      </c>
      <c r="K1615" s="10" t="n">
        <f aca="false">MAX(0,E1615-E1614)*Staffing!$P$32</f>
        <v>0</v>
      </c>
      <c r="L1615" s="23" t="n">
        <f aca="false">ROUNDUP(E1615,0)</f>
        <v>1</v>
      </c>
    </row>
    <row r="1616" customFormat="false" ht="15" hidden="false" customHeight="false" outlineLevel="0" collapsed="false">
      <c r="A1616" s="6" t="s">
        <v>73</v>
      </c>
      <c r="B1616" s="6" t="s">
        <v>325</v>
      </c>
      <c r="C1616" s="6" t="n">
        <v>51</v>
      </c>
      <c r="D1616" s="25" t="n">
        <f aca="false">EDATE('Start Here'!$B$6,C1616-1)</f>
        <v>47849</v>
      </c>
      <c r="E1616" s="11" t="n">
        <f aca="false">IF(AND(C1616&gt;=Staffing!$F$32,C1616&lt;=Staffing!$G$32,1=1),IF(C1616&lt;=6,Staffing!$H$32,IF(C1616&lt;=15,Staffing!$I$32,IF(C1616&lt;=30,Staffing!$J$32,Staffing!$K$32))),0)</f>
        <v>1</v>
      </c>
      <c r="F1616" s="10" t="n">
        <f aca="false">E1616*Assumptions!$E$26/12*(1+Assumptions!$E$10)^INT((C1616-1)/12)*'Start Here'!$B$10</f>
        <v>0</v>
      </c>
      <c r="G1616" s="10" t="n">
        <f aca="false">F1616*Staffing!$N$32</f>
        <v>0</v>
      </c>
      <c r="H1616" s="10" t="n">
        <f aca="false">F1616+G1616</f>
        <v>0</v>
      </c>
      <c r="I1616" s="10" t="n">
        <f aca="false">E1616*Assumptions!$E$26/12*(1+Assumptions!$E$10)^INT((C1616-1)/12)*(1-'Start Here'!$B$10)</f>
        <v>20258.4375</v>
      </c>
      <c r="J1616" s="10" t="n">
        <f aca="false">MAX(0,E1616-E1615)*Staffing!$O$32</f>
        <v>0</v>
      </c>
      <c r="K1616" s="10" t="n">
        <f aca="false">MAX(0,E1616-E1615)*Staffing!$P$32</f>
        <v>0</v>
      </c>
      <c r="L1616" s="23" t="n">
        <f aca="false">ROUNDUP(E1616,0)</f>
        <v>1</v>
      </c>
    </row>
    <row r="1617" customFormat="false" ht="15" hidden="false" customHeight="false" outlineLevel="0" collapsed="false">
      <c r="A1617" s="6" t="s">
        <v>73</v>
      </c>
      <c r="B1617" s="6" t="s">
        <v>325</v>
      </c>
      <c r="C1617" s="6" t="n">
        <v>52</v>
      </c>
      <c r="D1617" s="25" t="n">
        <f aca="false">EDATE('Start Here'!$B$6,C1617-1)</f>
        <v>47880</v>
      </c>
      <c r="E1617" s="11" t="n">
        <f aca="false">IF(AND(C1617&gt;=Staffing!$F$32,C1617&lt;=Staffing!$G$32,1=1),IF(C1617&lt;=6,Staffing!$H$32,IF(C1617&lt;=15,Staffing!$I$32,IF(C1617&lt;=30,Staffing!$J$32,Staffing!$K$32))),0)</f>
        <v>1</v>
      </c>
      <c r="F1617" s="10" t="n">
        <f aca="false">E1617*Assumptions!$E$26/12*(1+Assumptions!$E$10)^INT((C1617-1)/12)*'Start Here'!$B$10</f>
        <v>0</v>
      </c>
      <c r="G1617" s="10" t="n">
        <f aca="false">F1617*Staffing!$N$32</f>
        <v>0</v>
      </c>
      <c r="H1617" s="10" t="n">
        <f aca="false">F1617+G1617</f>
        <v>0</v>
      </c>
      <c r="I1617" s="10" t="n">
        <f aca="false">E1617*Assumptions!$E$26/12*(1+Assumptions!$E$10)^INT((C1617-1)/12)*(1-'Start Here'!$B$10)</f>
        <v>20258.4375</v>
      </c>
      <c r="J1617" s="10" t="n">
        <f aca="false">MAX(0,E1617-E1616)*Staffing!$O$32</f>
        <v>0</v>
      </c>
      <c r="K1617" s="10" t="n">
        <f aca="false">MAX(0,E1617-E1616)*Staffing!$P$32</f>
        <v>0</v>
      </c>
      <c r="L1617" s="23" t="n">
        <f aca="false">ROUNDUP(E1617,0)</f>
        <v>1</v>
      </c>
    </row>
    <row r="1618" customFormat="false" ht="15" hidden="false" customHeight="false" outlineLevel="0" collapsed="false">
      <c r="A1618" s="6" t="s">
        <v>73</v>
      </c>
      <c r="B1618" s="6" t="s">
        <v>325</v>
      </c>
      <c r="C1618" s="6" t="n">
        <v>53</v>
      </c>
      <c r="D1618" s="25" t="n">
        <f aca="false">EDATE('Start Here'!$B$6,C1618-1)</f>
        <v>47908</v>
      </c>
      <c r="E1618" s="11" t="n">
        <f aca="false">IF(AND(C1618&gt;=Staffing!$F$32,C1618&lt;=Staffing!$G$32,1=1),IF(C1618&lt;=6,Staffing!$H$32,IF(C1618&lt;=15,Staffing!$I$32,IF(C1618&lt;=30,Staffing!$J$32,Staffing!$K$32))),0)</f>
        <v>1</v>
      </c>
      <c r="F1618" s="10" t="n">
        <f aca="false">E1618*Assumptions!$E$26/12*(1+Assumptions!$E$10)^INT((C1618-1)/12)*'Start Here'!$B$10</f>
        <v>0</v>
      </c>
      <c r="G1618" s="10" t="n">
        <f aca="false">F1618*Staffing!$N$32</f>
        <v>0</v>
      </c>
      <c r="H1618" s="10" t="n">
        <f aca="false">F1618+G1618</f>
        <v>0</v>
      </c>
      <c r="I1618" s="10" t="n">
        <f aca="false">E1618*Assumptions!$E$26/12*(1+Assumptions!$E$10)^INT((C1618-1)/12)*(1-'Start Here'!$B$10)</f>
        <v>20258.4375</v>
      </c>
      <c r="J1618" s="10" t="n">
        <f aca="false">MAX(0,E1618-E1617)*Staffing!$O$32</f>
        <v>0</v>
      </c>
      <c r="K1618" s="10" t="n">
        <f aca="false">MAX(0,E1618-E1617)*Staffing!$P$32</f>
        <v>0</v>
      </c>
      <c r="L1618" s="23" t="n">
        <f aca="false">ROUNDUP(E1618,0)</f>
        <v>1</v>
      </c>
    </row>
    <row r="1619" customFormat="false" ht="15" hidden="false" customHeight="false" outlineLevel="0" collapsed="false">
      <c r="A1619" s="6" t="s">
        <v>73</v>
      </c>
      <c r="B1619" s="6" t="s">
        <v>325</v>
      </c>
      <c r="C1619" s="6" t="n">
        <v>54</v>
      </c>
      <c r="D1619" s="25" t="n">
        <f aca="false">EDATE('Start Here'!$B$6,C1619-1)</f>
        <v>47939</v>
      </c>
      <c r="E1619" s="11" t="n">
        <f aca="false">IF(AND(C1619&gt;=Staffing!$F$32,C1619&lt;=Staffing!$G$32,1=1),IF(C1619&lt;=6,Staffing!$H$32,IF(C1619&lt;=15,Staffing!$I$32,IF(C1619&lt;=30,Staffing!$J$32,Staffing!$K$32))),0)</f>
        <v>1</v>
      </c>
      <c r="F1619" s="10" t="n">
        <f aca="false">E1619*Assumptions!$E$26/12*(1+Assumptions!$E$10)^INT((C1619-1)/12)*'Start Here'!$B$10</f>
        <v>0</v>
      </c>
      <c r="G1619" s="10" t="n">
        <f aca="false">F1619*Staffing!$N$32</f>
        <v>0</v>
      </c>
      <c r="H1619" s="10" t="n">
        <f aca="false">F1619+G1619</f>
        <v>0</v>
      </c>
      <c r="I1619" s="10" t="n">
        <f aca="false">E1619*Assumptions!$E$26/12*(1+Assumptions!$E$10)^INT((C1619-1)/12)*(1-'Start Here'!$B$10)</f>
        <v>20258.4375</v>
      </c>
      <c r="J1619" s="10" t="n">
        <f aca="false">MAX(0,E1619-E1618)*Staffing!$O$32</f>
        <v>0</v>
      </c>
      <c r="K1619" s="10" t="n">
        <f aca="false">MAX(0,E1619-E1618)*Staffing!$P$32</f>
        <v>0</v>
      </c>
      <c r="L1619" s="23" t="n">
        <f aca="false">ROUNDUP(E1619,0)</f>
        <v>1</v>
      </c>
    </row>
    <row r="1620" customFormat="false" ht="15" hidden="false" customHeight="false" outlineLevel="0" collapsed="false">
      <c r="A1620" s="6" t="s">
        <v>73</v>
      </c>
      <c r="B1620" s="6" t="s">
        <v>325</v>
      </c>
      <c r="C1620" s="6" t="n">
        <v>55</v>
      </c>
      <c r="D1620" s="25" t="n">
        <f aca="false">EDATE('Start Here'!$B$6,C1620-1)</f>
        <v>47969</v>
      </c>
      <c r="E1620" s="11" t="n">
        <f aca="false">IF(AND(C1620&gt;=Staffing!$F$32,C1620&lt;=Staffing!$G$32,1=1),IF(C1620&lt;=6,Staffing!$H$32,IF(C1620&lt;=15,Staffing!$I$32,IF(C1620&lt;=30,Staffing!$J$32,Staffing!$K$32))),0)</f>
        <v>1</v>
      </c>
      <c r="F1620" s="10" t="n">
        <f aca="false">E1620*Assumptions!$E$26/12*(1+Assumptions!$E$10)^INT((C1620-1)/12)*'Start Here'!$B$10</f>
        <v>0</v>
      </c>
      <c r="G1620" s="10" t="n">
        <f aca="false">F1620*Staffing!$N$32</f>
        <v>0</v>
      </c>
      <c r="H1620" s="10" t="n">
        <f aca="false">F1620+G1620</f>
        <v>0</v>
      </c>
      <c r="I1620" s="10" t="n">
        <f aca="false">E1620*Assumptions!$E$26/12*(1+Assumptions!$E$10)^INT((C1620-1)/12)*(1-'Start Here'!$B$10)</f>
        <v>20258.4375</v>
      </c>
      <c r="J1620" s="10" t="n">
        <f aca="false">MAX(0,E1620-E1619)*Staffing!$O$32</f>
        <v>0</v>
      </c>
      <c r="K1620" s="10" t="n">
        <f aca="false">MAX(0,E1620-E1619)*Staffing!$P$32</f>
        <v>0</v>
      </c>
      <c r="L1620" s="23" t="n">
        <f aca="false">ROUNDUP(E1620,0)</f>
        <v>1</v>
      </c>
    </row>
    <row r="1621" customFormat="false" ht="15" hidden="false" customHeight="false" outlineLevel="0" collapsed="false">
      <c r="A1621" s="6" t="s">
        <v>73</v>
      </c>
      <c r="B1621" s="6" t="s">
        <v>325</v>
      </c>
      <c r="C1621" s="6" t="n">
        <v>56</v>
      </c>
      <c r="D1621" s="25" t="n">
        <f aca="false">EDATE('Start Here'!$B$6,C1621-1)</f>
        <v>48000</v>
      </c>
      <c r="E1621" s="11" t="n">
        <f aca="false">IF(AND(C1621&gt;=Staffing!$F$32,C1621&lt;=Staffing!$G$32,1=1),IF(C1621&lt;=6,Staffing!$H$32,IF(C1621&lt;=15,Staffing!$I$32,IF(C1621&lt;=30,Staffing!$J$32,Staffing!$K$32))),0)</f>
        <v>1</v>
      </c>
      <c r="F1621" s="10" t="n">
        <f aca="false">E1621*Assumptions!$E$26/12*(1+Assumptions!$E$10)^INT((C1621-1)/12)*'Start Here'!$B$10</f>
        <v>0</v>
      </c>
      <c r="G1621" s="10" t="n">
        <f aca="false">F1621*Staffing!$N$32</f>
        <v>0</v>
      </c>
      <c r="H1621" s="10" t="n">
        <f aca="false">F1621+G1621</f>
        <v>0</v>
      </c>
      <c r="I1621" s="10" t="n">
        <f aca="false">E1621*Assumptions!$E$26/12*(1+Assumptions!$E$10)^INT((C1621-1)/12)*(1-'Start Here'!$B$10)</f>
        <v>20258.4375</v>
      </c>
      <c r="J1621" s="10" t="n">
        <f aca="false">MAX(0,E1621-E1620)*Staffing!$O$32</f>
        <v>0</v>
      </c>
      <c r="K1621" s="10" t="n">
        <f aca="false">MAX(0,E1621-E1620)*Staffing!$P$32</f>
        <v>0</v>
      </c>
      <c r="L1621" s="23" t="n">
        <f aca="false">ROUNDUP(E1621,0)</f>
        <v>1</v>
      </c>
    </row>
    <row r="1622" customFormat="false" ht="15" hidden="false" customHeight="false" outlineLevel="0" collapsed="false">
      <c r="A1622" s="6" t="s">
        <v>73</v>
      </c>
      <c r="B1622" s="6" t="s">
        <v>325</v>
      </c>
      <c r="C1622" s="6" t="n">
        <v>57</v>
      </c>
      <c r="D1622" s="25" t="n">
        <f aca="false">EDATE('Start Here'!$B$6,C1622-1)</f>
        <v>48030</v>
      </c>
      <c r="E1622" s="11" t="n">
        <f aca="false">IF(AND(C1622&gt;=Staffing!$F$32,C1622&lt;=Staffing!$G$32,1=1),IF(C1622&lt;=6,Staffing!$H$32,IF(C1622&lt;=15,Staffing!$I$32,IF(C1622&lt;=30,Staffing!$J$32,Staffing!$K$32))),0)</f>
        <v>1</v>
      </c>
      <c r="F1622" s="10" t="n">
        <f aca="false">E1622*Assumptions!$E$26/12*(1+Assumptions!$E$10)^INT((C1622-1)/12)*'Start Here'!$B$10</f>
        <v>0</v>
      </c>
      <c r="G1622" s="10" t="n">
        <f aca="false">F1622*Staffing!$N$32</f>
        <v>0</v>
      </c>
      <c r="H1622" s="10" t="n">
        <f aca="false">F1622+G1622</f>
        <v>0</v>
      </c>
      <c r="I1622" s="10" t="n">
        <f aca="false">E1622*Assumptions!$E$26/12*(1+Assumptions!$E$10)^INT((C1622-1)/12)*(1-'Start Here'!$B$10)</f>
        <v>20258.4375</v>
      </c>
      <c r="J1622" s="10" t="n">
        <f aca="false">MAX(0,E1622-E1621)*Staffing!$O$32</f>
        <v>0</v>
      </c>
      <c r="K1622" s="10" t="n">
        <f aca="false">MAX(0,E1622-E1621)*Staffing!$P$32</f>
        <v>0</v>
      </c>
      <c r="L1622" s="23" t="n">
        <f aca="false">ROUNDUP(E1622,0)</f>
        <v>1</v>
      </c>
    </row>
    <row r="1623" customFormat="false" ht="15" hidden="false" customHeight="false" outlineLevel="0" collapsed="false">
      <c r="A1623" s="6" t="s">
        <v>73</v>
      </c>
      <c r="B1623" s="6" t="s">
        <v>325</v>
      </c>
      <c r="C1623" s="6" t="n">
        <v>58</v>
      </c>
      <c r="D1623" s="25" t="n">
        <f aca="false">EDATE('Start Here'!$B$6,C1623-1)</f>
        <v>48061</v>
      </c>
      <c r="E1623" s="11" t="n">
        <f aca="false">IF(AND(C1623&gt;=Staffing!$F$32,C1623&lt;=Staffing!$G$32,1=1),IF(C1623&lt;=6,Staffing!$H$32,IF(C1623&lt;=15,Staffing!$I$32,IF(C1623&lt;=30,Staffing!$J$32,Staffing!$K$32))),0)</f>
        <v>1</v>
      </c>
      <c r="F1623" s="10" t="n">
        <f aca="false">E1623*Assumptions!$E$26/12*(1+Assumptions!$E$10)^INT((C1623-1)/12)*'Start Here'!$B$10</f>
        <v>0</v>
      </c>
      <c r="G1623" s="10" t="n">
        <f aca="false">F1623*Staffing!$N$32</f>
        <v>0</v>
      </c>
      <c r="H1623" s="10" t="n">
        <f aca="false">F1623+G1623</f>
        <v>0</v>
      </c>
      <c r="I1623" s="10" t="n">
        <f aca="false">E1623*Assumptions!$E$26/12*(1+Assumptions!$E$10)^INT((C1623-1)/12)*(1-'Start Here'!$B$10)</f>
        <v>20258.4375</v>
      </c>
      <c r="J1623" s="10" t="n">
        <f aca="false">MAX(0,E1623-E1622)*Staffing!$O$32</f>
        <v>0</v>
      </c>
      <c r="K1623" s="10" t="n">
        <f aca="false">MAX(0,E1623-E1622)*Staffing!$P$32</f>
        <v>0</v>
      </c>
      <c r="L1623" s="23" t="n">
        <f aca="false">ROUNDUP(E1623,0)</f>
        <v>1</v>
      </c>
    </row>
    <row r="1624" customFormat="false" ht="15" hidden="false" customHeight="false" outlineLevel="0" collapsed="false">
      <c r="A1624" s="6" t="s">
        <v>73</v>
      </c>
      <c r="B1624" s="6" t="s">
        <v>325</v>
      </c>
      <c r="C1624" s="6" t="n">
        <v>59</v>
      </c>
      <c r="D1624" s="25" t="n">
        <f aca="false">EDATE('Start Here'!$B$6,C1624-1)</f>
        <v>48092</v>
      </c>
      <c r="E1624" s="11" t="n">
        <f aca="false">IF(AND(C1624&gt;=Staffing!$F$32,C1624&lt;=Staffing!$G$32,1=1),IF(C1624&lt;=6,Staffing!$H$32,IF(C1624&lt;=15,Staffing!$I$32,IF(C1624&lt;=30,Staffing!$J$32,Staffing!$K$32))),0)</f>
        <v>1</v>
      </c>
      <c r="F1624" s="10" t="n">
        <f aca="false">E1624*Assumptions!$E$26/12*(1+Assumptions!$E$10)^INT((C1624-1)/12)*'Start Here'!$B$10</f>
        <v>0</v>
      </c>
      <c r="G1624" s="10" t="n">
        <f aca="false">F1624*Staffing!$N$32</f>
        <v>0</v>
      </c>
      <c r="H1624" s="10" t="n">
        <f aca="false">F1624+G1624</f>
        <v>0</v>
      </c>
      <c r="I1624" s="10" t="n">
        <f aca="false">E1624*Assumptions!$E$26/12*(1+Assumptions!$E$10)^INT((C1624-1)/12)*(1-'Start Here'!$B$10)</f>
        <v>20258.4375</v>
      </c>
      <c r="J1624" s="10" t="n">
        <f aca="false">MAX(0,E1624-E1623)*Staffing!$O$32</f>
        <v>0</v>
      </c>
      <c r="K1624" s="10" t="n">
        <f aca="false">MAX(0,E1624-E1623)*Staffing!$P$32</f>
        <v>0</v>
      </c>
      <c r="L1624" s="23" t="n">
        <f aca="false">ROUNDUP(E1624,0)</f>
        <v>1</v>
      </c>
    </row>
    <row r="1625" customFormat="false" ht="15" hidden="false" customHeight="false" outlineLevel="0" collapsed="false">
      <c r="A1625" s="6" t="s">
        <v>73</v>
      </c>
      <c r="B1625" s="6" t="s">
        <v>325</v>
      </c>
      <c r="C1625" s="6" t="n">
        <v>60</v>
      </c>
      <c r="D1625" s="25" t="n">
        <f aca="false">EDATE('Start Here'!$B$6,C1625-1)</f>
        <v>48122</v>
      </c>
      <c r="E1625" s="11" t="n">
        <f aca="false">IF(AND(C1625&gt;=Staffing!$F$32,C1625&lt;=Staffing!$G$32,1=1),IF(C1625&lt;=6,Staffing!$H$32,IF(C1625&lt;=15,Staffing!$I$32,IF(C1625&lt;=30,Staffing!$J$32,Staffing!$K$32))),0)</f>
        <v>1</v>
      </c>
      <c r="F1625" s="10" t="n">
        <f aca="false">E1625*Assumptions!$E$26/12*(1+Assumptions!$E$10)^INT((C1625-1)/12)*'Start Here'!$B$10</f>
        <v>0</v>
      </c>
      <c r="G1625" s="10" t="n">
        <f aca="false">F1625*Staffing!$N$32</f>
        <v>0</v>
      </c>
      <c r="H1625" s="10" t="n">
        <f aca="false">F1625+G1625</f>
        <v>0</v>
      </c>
      <c r="I1625" s="10" t="n">
        <f aca="false">E1625*Assumptions!$E$26/12*(1+Assumptions!$E$10)^INT((C1625-1)/12)*(1-'Start Here'!$B$10)</f>
        <v>20258.4375</v>
      </c>
      <c r="J1625" s="10" t="n">
        <f aca="false">MAX(0,E1625-E1624)*Staffing!$O$32</f>
        <v>0</v>
      </c>
      <c r="K1625" s="10" t="n">
        <f aca="false">MAX(0,E1625-E1624)*Staffing!$P$32</f>
        <v>0</v>
      </c>
      <c r="L1625" s="23" t="n">
        <f aca="false">ROUNDUP(E1625,0)</f>
        <v>1</v>
      </c>
    </row>
    <row r="1626" customFormat="false" ht="15" hidden="false" customHeight="false" outlineLevel="0" collapsed="false">
      <c r="A1626" s="6" t="s">
        <v>73</v>
      </c>
      <c r="B1626" s="6" t="s">
        <v>329</v>
      </c>
      <c r="C1626" s="6" t="n">
        <v>1</v>
      </c>
      <c r="D1626" s="25" t="n">
        <f aca="false">EDATE('Start Here'!$B$6,C1626-1)</f>
        <v>46327</v>
      </c>
      <c r="E1626" s="11" t="n">
        <f aca="false">IF(AND(C1626&gt;=Staffing!$F$33,C1626&lt;=Staffing!$G$33,1=1),IF(C1626&lt;=6,Staffing!$H$33,IF(C1626&lt;=15,Staffing!$I$33,IF(C1626&lt;=30,Staffing!$J$33,Staffing!$K$33))),0)</f>
        <v>1</v>
      </c>
      <c r="F1626" s="10" t="n">
        <f aca="false">E1626*Staffing!$L$33/12*(1+Assumptions!$E$10)^INT((C1626-1)/12)*1</f>
        <v>13750</v>
      </c>
      <c r="G1626" s="10" t="n">
        <f aca="false">F1626*Staffing!$N$33</f>
        <v>5500</v>
      </c>
      <c r="H1626" s="10" t="n">
        <f aca="false">F1626+G1626</f>
        <v>19250</v>
      </c>
      <c r="I1626" s="10" t="n">
        <f aca="false">0</f>
        <v>0</v>
      </c>
      <c r="J1626" s="10" t="n">
        <f aca="false">MAX(0,E1626-0)*Staffing!$O$33</f>
        <v>12000</v>
      </c>
      <c r="K1626" s="10" t="n">
        <f aca="false">MAX(0,E1626-0)*Staffing!$P$33</f>
        <v>3500</v>
      </c>
      <c r="L1626" s="23" t="n">
        <f aca="false">ROUNDUP(E1626,0)</f>
        <v>1</v>
      </c>
    </row>
    <row r="1627" customFormat="false" ht="15" hidden="false" customHeight="false" outlineLevel="0" collapsed="false">
      <c r="A1627" s="6" t="s">
        <v>73</v>
      </c>
      <c r="B1627" s="6" t="s">
        <v>329</v>
      </c>
      <c r="C1627" s="6" t="n">
        <v>2</v>
      </c>
      <c r="D1627" s="25" t="n">
        <f aca="false">EDATE('Start Here'!$B$6,C1627-1)</f>
        <v>46357</v>
      </c>
      <c r="E1627" s="11" t="n">
        <f aca="false">IF(AND(C1627&gt;=Staffing!$F$33,C1627&lt;=Staffing!$G$33,1=1),IF(C1627&lt;=6,Staffing!$H$33,IF(C1627&lt;=15,Staffing!$I$33,IF(C1627&lt;=30,Staffing!$J$33,Staffing!$K$33))),0)</f>
        <v>1</v>
      </c>
      <c r="F1627" s="10" t="n">
        <f aca="false">E1627*Staffing!$L$33/12*(1+Assumptions!$E$10)^INT((C1627-1)/12)*1</f>
        <v>13750</v>
      </c>
      <c r="G1627" s="10" t="n">
        <f aca="false">F1627*Staffing!$N$33</f>
        <v>5500</v>
      </c>
      <c r="H1627" s="10" t="n">
        <f aca="false">F1627+G1627</f>
        <v>19250</v>
      </c>
      <c r="I1627" s="10" t="n">
        <f aca="false">0</f>
        <v>0</v>
      </c>
      <c r="J1627" s="10" t="n">
        <f aca="false">MAX(0,E1627-E1626)*Staffing!$O$33</f>
        <v>0</v>
      </c>
      <c r="K1627" s="10" t="n">
        <f aca="false">MAX(0,E1627-E1626)*Staffing!$P$33</f>
        <v>0</v>
      </c>
      <c r="L1627" s="23" t="n">
        <f aca="false">ROUNDUP(E1627,0)</f>
        <v>1</v>
      </c>
    </row>
    <row r="1628" customFormat="false" ht="15" hidden="false" customHeight="false" outlineLevel="0" collapsed="false">
      <c r="A1628" s="6" t="s">
        <v>73</v>
      </c>
      <c r="B1628" s="6" t="s">
        <v>329</v>
      </c>
      <c r="C1628" s="6" t="n">
        <v>3</v>
      </c>
      <c r="D1628" s="25" t="n">
        <f aca="false">EDATE('Start Here'!$B$6,C1628-1)</f>
        <v>46388</v>
      </c>
      <c r="E1628" s="11" t="n">
        <f aca="false">IF(AND(C1628&gt;=Staffing!$F$33,C1628&lt;=Staffing!$G$33,1=1),IF(C1628&lt;=6,Staffing!$H$33,IF(C1628&lt;=15,Staffing!$I$33,IF(C1628&lt;=30,Staffing!$J$33,Staffing!$K$33))),0)</f>
        <v>1</v>
      </c>
      <c r="F1628" s="10" t="n">
        <f aca="false">E1628*Staffing!$L$33/12*(1+Assumptions!$E$10)^INT((C1628-1)/12)*1</f>
        <v>13750</v>
      </c>
      <c r="G1628" s="10" t="n">
        <f aca="false">F1628*Staffing!$N$33</f>
        <v>5500</v>
      </c>
      <c r="H1628" s="10" t="n">
        <f aca="false">F1628+G1628</f>
        <v>19250</v>
      </c>
      <c r="I1628" s="10" t="n">
        <f aca="false">0</f>
        <v>0</v>
      </c>
      <c r="J1628" s="10" t="n">
        <f aca="false">MAX(0,E1628-E1627)*Staffing!$O$33</f>
        <v>0</v>
      </c>
      <c r="K1628" s="10" t="n">
        <f aca="false">MAX(0,E1628-E1627)*Staffing!$P$33</f>
        <v>0</v>
      </c>
      <c r="L1628" s="23" t="n">
        <f aca="false">ROUNDUP(E1628,0)</f>
        <v>1</v>
      </c>
    </row>
    <row r="1629" customFormat="false" ht="15" hidden="false" customHeight="false" outlineLevel="0" collapsed="false">
      <c r="A1629" s="6" t="s">
        <v>73</v>
      </c>
      <c r="B1629" s="6" t="s">
        <v>329</v>
      </c>
      <c r="C1629" s="6" t="n">
        <v>4</v>
      </c>
      <c r="D1629" s="25" t="n">
        <f aca="false">EDATE('Start Here'!$B$6,C1629-1)</f>
        <v>46419</v>
      </c>
      <c r="E1629" s="11" t="n">
        <f aca="false">IF(AND(C1629&gt;=Staffing!$F$33,C1629&lt;=Staffing!$G$33,1=1),IF(C1629&lt;=6,Staffing!$H$33,IF(C1629&lt;=15,Staffing!$I$33,IF(C1629&lt;=30,Staffing!$J$33,Staffing!$K$33))),0)</f>
        <v>1</v>
      </c>
      <c r="F1629" s="10" t="n">
        <f aca="false">E1629*Staffing!$L$33/12*(1+Assumptions!$E$10)^INT((C1629-1)/12)*1</f>
        <v>13750</v>
      </c>
      <c r="G1629" s="10" t="n">
        <f aca="false">F1629*Staffing!$N$33</f>
        <v>5500</v>
      </c>
      <c r="H1629" s="10" t="n">
        <f aca="false">F1629+G1629</f>
        <v>19250</v>
      </c>
      <c r="I1629" s="10" t="n">
        <f aca="false">0</f>
        <v>0</v>
      </c>
      <c r="J1629" s="10" t="n">
        <f aca="false">MAX(0,E1629-E1628)*Staffing!$O$33</f>
        <v>0</v>
      </c>
      <c r="K1629" s="10" t="n">
        <f aca="false">MAX(0,E1629-E1628)*Staffing!$P$33</f>
        <v>0</v>
      </c>
      <c r="L1629" s="23" t="n">
        <f aca="false">ROUNDUP(E1629,0)</f>
        <v>1</v>
      </c>
    </row>
    <row r="1630" customFormat="false" ht="15" hidden="false" customHeight="false" outlineLevel="0" collapsed="false">
      <c r="A1630" s="6" t="s">
        <v>73</v>
      </c>
      <c r="B1630" s="6" t="s">
        <v>329</v>
      </c>
      <c r="C1630" s="6" t="n">
        <v>5</v>
      </c>
      <c r="D1630" s="25" t="n">
        <f aca="false">EDATE('Start Here'!$B$6,C1630-1)</f>
        <v>46447</v>
      </c>
      <c r="E1630" s="11" t="n">
        <f aca="false">IF(AND(C1630&gt;=Staffing!$F$33,C1630&lt;=Staffing!$G$33,1=1),IF(C1630&lt;=6,Staffing!$H$33,IF(C1630&lt;=15,Staffing!$I$33,IF(C1630&lt;=30,Staffing!$J$33,Staffing!$K$33))),0)</f>
        <v>1</v>
      </c>
      <c r="F1630" s="10" t="n">
        <f aca="false">E1630*Staffing!$L$33/12*(1+Assumptions!$E$10)^INT((C1630-1)/12)*1</f>
        <v>13750</v>
      </c>
      <c r="G1630" s="10" t="n">
        <f aca="false">F1630*Staffing!$N$33</f>
        <v>5500</v>
      </c>
      <c r="H1630" s="10" t="n">
        <f aca="false">F1630+G1630</f>
        <v>19250</v>
      </c>
      <c r="I1630" s="10" t="n">
        <f aca="false">0</f>
        <v>0</v>
      </c>
      <c r="J1630" s="10" t="n">
        <f aca="false">MAX(0,E1630-E1629)*Staffing!$O$33</f>
        <v>0</v>
      </c>
      <c r="K1630" s="10" t="n">
        <f aca="false">MAX(0,E1630-E1629)*Staffing!$P$33</f>
        <v>0</v>
      </c>
      <c r="L1630" s="23" t="n">
        <f aca="false">ROUNDUP(E1630,0)</f>
        <v>1</v>
      </c>
    </row>
    <row r="1631" customFormat="false" ht="15" hidden="false" customHeight="false" outlineLevel="0" collapsed="false">
      <c r="A1631" s="6" t="s">
        <v>73</v>
      </c>
      <c r="B1631" s="6" t="s">
        <v>329</v>
      </c>
      <c r="C1631" s="6" t="n">
        <v>6</v>
      </c>
      <c r="D1631" s="25" t="n">
        <f aca="false">EDATE('Start Here'!$B$6,C1631-1)</f>
        <v>46478</v>
      </c>
      <c r="E1631" s="11" t="n">
        <f aca="false">IF(AND(C1631&gt;=Staffing!$F$33,C1631&lt;=Staffing!$G$33,1=1),IF(C1631&lt;=6,Staffing!$H$33,IF(C1631&lt;=15,Staffing!$I$33,IF(C1631&lt;=30,Staffing!$J$33,Staffing!$K$33))),0)</f>
        <v>1</v>
      </c>
      <c r="F1631" s="10" t="n">
        <f aca="false">E1631*Staffing!$L$33/12*(1+Assumptions!$E$10)^INT((C1631-1)/12)*1</f>
        <v>13750</v>
      </c>
      <c r="G1631" s="10" t="n">
        <f aca="false">F1631*Staffing!$N$33</f>
        <v>5500</v>
      </c>
      <c r="H1631" s="10" t="n">
        <f aca="false">F1631+G1631</f>
        <v>19250</v>
      </c>
      <c r="I1631" s="10" t="n">
        <f aca="false">0</f>
        <v>0</v>
      </c>
      <c r="J1631" s="10" t="n">
        <f aca="false">MAX(0,E1631-E1630)*Staffing!$O$33</f>
        <v>0</v>
      </c>
      <c r="K1631" s="10" t="n">
        <f aca="false">MAX(0,E1631-E1630)*Staffing!$P$33</f>
        <v>0</v>
      </c>
      <c r="L1631" s="23" t="n">
        <f aca="false">ROUNDUP(E1631,0)</f>
        <v>1</v>
      </c>
    </row>
    <row r="1632" customFormat="false" ht="15" hidden="false" customHeight="false" outlineLevel="0" collapsed="false">
      <c r="A1632" s="6" t="s">
        <v>73</v>
      </c>
      <c r="B1632" s="6" t="s">
        <v>329</v>
      </c>
      <c r="C1632" s="6" t="n">
        <v>7</v>
      </c>
      <c r="D1632" s="25" t="n">
        <f aca="false">EDATE('Start Here'!$B$6,C1632-1)</f>
        <v>46508</v>
      </c>
      <c r="E1632" s="11" t="n">
        <f aca="false">IF(AND(C1632&gt;=Staffing!$F$33,C1632&lt;=Staffing!$G$33,1=1),IF(C1632&lt;=6,Staffing!$H$33,IF(C1632&lt;=15,Staffing!$I$33,IF(C1632&lt;=30,Staffing!$J$33,Staffing!$K$33))),0)</f>
        <v>1</v>
      </c>
      <c r="F1632" s="10" t="n">
        <f aca="false">E1632*Staffing!$L$33/12*(1+Assumptions!$E$10)^INT((C1632-1)/12)*1</f>
        <v>13750</v>
      </c>
      <c r="G1632" s="10" t="n">
        <f aca="false">F1632*Staffing!$N$33</f>
        <v>5500</v>
      </c>
      <c r="H1632" s="10" t="n">
        <f aca="false">F1632+G1632</f>
        <v>19250</v>
      </c>
      <c r="I1632" s="10" t="n">
        <f aca="false">0</f>
        <v>0</v>
      </c>
      <c r="J1632" s="10" t="n">
        <f aca="false">MAX(0,E1632-E1631)*Staffing!$O$33</f>
        <v>0</v>
      </c>
      <c r="K1632" s="10" t="n">
        <f aca="false">MAX(0,E1632-E1631)*Staffing!$P$33</f>
        <v>0</v>
      </c>
      <c r="L1632" s="23" t="n">
        <f aca="false">ROUNDUP(E1632,0)</f>
        <v>1</v>
      </c>
    </row>
    <row r="1633" customFormat="false" ht="15" hidden="false" customHeight="false" outlineLevel="0" collapsed="false">
      <c r="A1633" s="6" t="s">
        <v>73</v>
      </c>
      <c r="B1633" s="6" t="s">
        <v>329</v>
      </c>
      <c r="C1633" s="6" t="n">
        <v>8</v>
      </c>
      <c r="D1633" s="25" t="n">
        <f aca="false">EDATE('Start Here'!$B$6,C1633-1)</f>
        <v>46539</v>
      </c>
      <c r="E1633" s="11" t="n">
        <f aca="false">IF(AND(C1633&gt;=Staffing!$F$33,C1633&lt;=Staffing!$G$33,1=1),IF(C1633&lt;=6,Staffing!$H$33,IF(C1633&lt;=15,Staffing!$I$33,IF(C1633&lt;=30,Staffing!$J$33,Staffing!$K$33))),0)</f>
        <v>1</v>
      </c>
      <c r="F1633" s="10" t="n">
        <f aca="false">E1633*Staffing!$L$33/12*(1+Assumptions!$E$10)^INT((C1633-1)/12)*1</f>
        <v>13750</v>
      </c>
      <c r="G1633" s="10" t="n">
        <f aca="false">F1633*Staffing!$N$33</f>
        <v>5500</v>
      </c>
      <c r="H1633" s="10" t="n">
        <f aca="false">F1633+G1633</f>
        <v>19250</v>
      </c>
      <c r="I1633" s="10" t="n">
        <f aca="false">0</f>
        <v>0</v>
      </c>
      <c r="J1633" s="10" t="n">
        <f aca="false">MAX(0,E1633-E1632)*Staffing!$O$33</f>
        <v>0</v>
      </c>
      <c r="K1633" s="10" t="n">
        <f aca="false">MAX(0,E1633-E1632)*Staffing!$P$33</f>
        <v>0</v>
      </c>
      <c r="L1633" s="23" t="n">
        <f aca="false">ROUNDUP(E1633,0)</f>
        <v>1</v>
      </c>
    </row>
    <row r="1634" customFormat="false" ht="15" hidden="false" customHeight="false" outlineLevel="0" collapsed="false">
      <c r="A1634" s="6" t="s">
        <v>73</v>
      </c>
      <c r="B1634" s="6" t="s">
        <v>329</v>
      </c>
      <c r="C1634" s="6" t="n">
        <v>9</v>
      </c>
      <c r="D1634" s="25" t="n">
        <f aca="false">EDATE('Start Here'!$B$6,C1634-1)</f>
        <v>46569</v>
      </c>
      <c r="E1634" s="11" t="n">
        <f aca="false">IF(AND(C1634&gt;=Staffing!$F$33,C1634&lt;=Staffing!$G$33,1=1),IF(C1634&lt;=6,Staffing!$H$33,IF(C1634&lt;=15,Staffing!$I$33,IF(C1634&lt;=30,Staffing!$J$33,Staffing!$K$33))),0)</f>
        <v>1</v>
      </c>
      <c r="F1634" s="10" t="n">
        <f aca="false">E1634*Staffing!$L$33/12*(1+Assumptions!$E$10)^INT((C1634-1)/12)*1</f>
        <v>13750</v>
      </c>
      <c r="G1634" s="10" t="n">
        <f aca="false">F1634*Staffing!$N$33</f>
        <v>5500</v>
      </c>
      <c r="H1634" s="10" t="n">
        <f aca="false">F1634+G1634</f>
        <v>19250</v>
      </c>
      <c r="I1634" s="10" t="n">
        <f aca="false">0</f>
        <v>0</v>
      </c>
      <c r="J1634" s="10" t="n">
        <f aca="false">MAX(0,E1634-E1633)*Staffing!$O$33</f>
        <v>0</v>
      </c>
      <c r="K1634" s="10" t="n">
        <f aca="false">MAX(0,E1634-E1633)*Staffing!$P$33</f>
        <v>0</v>
      </c>
      <c r="L1634" s="23" t="n">
        <f aca="false">ROUNDUP(E1634,0)</f>
        <v>1</v>
      </c>
    </row>
    <row r="1635" customFormat="false" ht="15" hidden="false" customHeight="false" outlineLevel="0" collapsed="false">
      <c r="A1635" s="6" t="s">
        <v>73</v>
      </c>
      <c r="B1635" s="6" t="s">
        <v>329</v>
      </c>
      <c r="C1635" s="6" t="n">
        <v>10</v>
      </c>
      <c r="D1635" s="25" t="n">
        <f aca="false">EDATE('Start Here'!$B$6,C1635-1)</f>
        <v>46600</v>
      </c>
      <c r="E1635" s="11" t="n">
        <f aca="false">IF(AND(C1635&gt;=Staffing!$F$33,C1635&lt;=Staffing!$G$33,1=1),IF(C1635&lt;=6,Staffing!$H$33,IF(C1635&lt;=15,Staffing!$I$33,IF(C1635&lt;=30,Staffing!$J$33,Staffing!$K$33))),0)</f>
        <v>1</v>
      </c>
      <c r="F1635" s="10" t="n">
        <f aca="false">E1635*Staffing!$L$33/12*(1+Assumptions!$E$10)^INT((C1635-1)/12)*1</f>
        <v>13750</v>
      </c>
      <c r="G1635" s="10" t="n">
        <f aca="false">F1635*Staffing!$N$33</f>
        <v>5500</v>
      </c>
      <c r="H1635" s="10" t="n">
        <f aca="false">F1635+G1635</f>
        <v>19250</v>
      </c>
      <c r="I1635" s="10" t="n">
        <f aca="false">0</f>
        <v>0</v>
      </c>
      <c r="J1635" s="10" t="n">
        <f aca="false">MAX(0,E1635-E1634)*Staffing!$O$33</f>
        <v>0</v>
      </c>
      <c r="K1635" s="10" t="n">
        <f aca="false">MAX(0,E1635-E1634)*Staffing!$P$33</f>
        <v>0</v>
      </c>
      <c r="L1635" s="23" t="n">
        <f aca="false">ROUNDUP(E1635,0)</f>
        <v>1</v>
      </c>
    </row>
    <row r="1636" customFormat="false" ht="15" hidden="false" customHeight="false" outlineLevel="0" collapsed="false">
      <c r="A1636" s="6" t="s">
        <v>73</v>
      </c>
      <c r="B1636" s="6" t="s">
        <v>329</v>
      </c>
      <c r="C1636" s="6" t="n">
        <v>11</v>
      </c>
      <c r="D1636" s="25" t="n">
        <f aca="false">EDATE('Start Here'!$B$6,C1636-1)</f>
        <v>46631</v>
      </c>
      <c r="E1636" s="11" t="n">
        <f aca="false">IF(AND(C1636&gt;=Staffing!$F$33,C1636&lt;=Staffing!$G$33,1=1),IF(C1636&lt;=6,Staffing!$H$33,IF(C1636&lt;=15,Staffing!$I$33,IF(C1636&lt;=30,Staffing!$J$33,Staffing!$K$33))),0)</f>
        <v>1</v>
      </c>
      <c r="F1636" s="10" t="n">
        <f aca="false">E1636*Staffing!$L$33/12*(1+Assumptions!$E$10)^INT((C1636-1)/12)*1</f>
        <v>13750</v>
      </c>
      <c r="G1636" s="10" t="n">
        <f aca="false">F1636*Staffing!$N$33</f>
        <v>5500</v>
      </c>
      <c r="H1636" s="10" t="n">
        <f aca="false">F1636+G1636</f>
        <v>19250</v>
      </c>
      <c r="I1636" s="10" t="n">
        <f aca="false">0</f>
        <v>0</v>
      </c>
      <c r="J1636" s="10" t="n">
        <f aca="false">MAX(0,E1636-E1635)*Staffing!$O$33</f>
        <v>0</v>
      </c>
      <c r="K1636" s="10" t="n">
        <f aca="false">MAX(0,E1636-E1635)*Staffing!$P$33</f>
        <v>0</v>
      </c>
      <c r="L1636" s="23" t="n">
        <f aca="false">ROUNDUP(E1636,0)</f>
        <v>1</v>
      </c>
    </row>
    <row r="1637" customFormat="false" ht="15" hidden="false" customHeight="false" outlineLevel="0" collapsed="false">
      <c r="A1637" s="6" t="s">
        <v>73</v>
      </c>
      <c r="B1637" s="6" t="s">
        <v>329</v>
      </c>
      <c r="C1637" s="6" t="n">
        <v>12</v>
      </c>
      <c r="D1637" s="25" t="n">
        <f aca="false">EDATE('Start Here'!$B$6,C1637-1)</f>
        <v>46661</v>
      </c>
      <c r="E1637" s="11" t="n">
        <f aca="false">IF(AND(C1637&gt;=Staffing!$F$33,C1637&lt;=Staffing!$G$33,1=1),IF(C1637&lt;=6,Staffing!$H$33,IF(C1637&lt;=15,Staffing!$I$33,IF(C1637&lt;=30,Staffing!$J$33,Staffing!$K$33))),0)</f>
        <v>1</v>
      </c>
      <c r="F1637" s="10" t="n">
        <f aca="false">E1637*Staffing!$L$33/12*(1+Assumptions!$E$10)^INT((C1637-1)/12)*1</f>
        <v>13750</v>
      </c>
      <c r="G1637" s="10" t="n">
        <f aca="false">F1637*Staffing!$N$33</f>
        <v>5500</v>
      </c>
      <c r="H1637" s="10" t="n">
        <f aca="false">F1637+G1637</f>
        <v>19250</v>
      </c>
      <c r="I1637" s="10" t="n">
        <f aca="false">0</f>
        <v>0</v>
      </c>
      <c r="J1637" s="10" t="n">
        <f aca="false">MAX(0,E1637-E1636)*Staffing!$O$33</f>
        <v>0</v>
      </c>
      <c r="K1637" s="10" t="n">
        <f aca="false">MAX(0,E1637-E1636)*Staffing!$P$33</f>
        <v>0</v>
      </c>
      <c r="L1637" s="23" t="n">
        <f aca="false">ROUNDUP(E1637,0)</f>
        <v>1</v>
      </c>
    </row>
    <row r="1638" customFormat="false" ht="15" hidden="false" customHeight="false" outlineLevel="0" collapsed="false">
      <c r="A1638" s="6" t="s">
        <v>73</v>
      </c>
      <c r="B1638" s="6" t="s">
        <v>329</v>
      </c>
      <c r="C1638" s="6" t="n">
        <v>13</v>
      </c>
      <c r="D1638" s="25" t="n">
        <f aca="false">EDATE('Start Here'!$B$6,C1638-1)</f>
        <v>46692</v>
      </c>
      <c r="E1638" s="11" t="n">
        <f aca="false">IF(AND(C1638&gt;=Staffing!$F$33,C1638&lt;=Staffing!$G$33,1=1),IF(C1638&lt;=6,Staffing!$H$33,IF(C1638&lt;=15,Staffing!$I$33,IF(C1638&lt;=30,Staffing!$J$33,Staffing!$K$33))),0)</f>
        <v>1</v>
      </c>
      <c r="F1638" s="10" t="n">
        <f aca="false">E1638*Staffing!$L$33/12*(1+Assumptions!$E$10)^INT((C1638-1)/12)*1</f>
        <v>14437.5</v>
      </c>
      <c r="G1638" s="10" t="n">
        <f aca="false">F1638*Staffing!$N$33</f>
        <v>5775</v>
      </c>
      <c r="H1638" s="10" t="n">
        <f aca="false">F1638+G1638</f>
        <v>20212.5</v>
      </c>
      <c r="I1638" s="10" t="n">
        <f aca="false">0</f>
        <v>0</v>
      </c>
      <c r="J1638" s="10" t="n">
        <f aca="false">MAX(0,E1638-E1637)*Staffing!$O$33</f>
        <v>0</v>
      </c>
      <c r="K1638" s="10" t="n">
        <f aca="false">MAX(0,E1638-E1637)*Staffing!$P$33</f>
        <v>0</v>
      </c>
      <c r="L1638" s="23" t="n">
        <f aca="false">ROUNDUP(E1638,0)</f>
        <v>1</v>
      </c>
    </row>
    <row r="1639" customFormat="false" ht="15" hidden="false" customHeight="false" outlineLevel="0" collapsed="false">
      <c r="A1639" s="6" t="s">
        <v>73</v>
      </c>
      <c r="B1639" s="6" t="s">
        <v>329</v>
      </c>
      <c r="C1639" s="6" t="n">
        <v>14</v>
      </c>
      <c r="D1639" s="25" t="n">
        <f aca="false">EDATE('Start Here'!$B$6,C1639-1)</f>
        <v>46722</v>
      </c>
      <c r="E1639" s="11" t="n">
        <f aca="false">IF(AND(C1639&gt;=Staffing!$F$33,C1639&lt;=Staffing!$G$33,1=1),IF(C1639&lt;=6,Staffing!$H$33,IF(C1639&lt;=15,Staffing!$I$33,IF(C1639&lt;=30,Staffing!$J$33,Staffing!$K$33))),0)</f>
        <v>1</v>
      </c>
      <c r="F1639" s="10" t="n">
        <f aca="false">E1639*Staffing!$L$33/12*(1+Assumptions!$E$10)^INT((C1639-1)/12)*1</f>
        <v>14437.5</v>
      </c>
      <c r="G1639" s="10" t="n">
        <f aca="false">F1639*Staffing!$N$33</f>
        <v>5775</v>
      </c>
      <c r="H1639" s="10" t="n">
        <f aca="false">F1639+G1639</f>
        <v>20212.5</v>
      </c>
      <c r="I1639" s="10" t="n">
        <f aca="false">0</f>
        <v>0</v>
      </c>
      <c r="J1639" s="10" t="n">
        <f aca="false">MAX(0,E1639-E1638)*Staffing!$O$33</f>
        <v>0</v>
      </c>
      <c r="K1639" s="10" t="n">
        <f aca="false">MAX(0,E1639-E1638)*Staffing!$P$33</f>
        <v>0</v>
      </c>
      <c r="L1639" s="23" t="n">
        <f aca="false">ROUNDUP(E1639,0)</f>
        <v>1</v>
      </c>
    </row>
    <row r="1640" customFormat="false" ht="15" hidden="false" customHeight="false" outlineLevel="0" collapsed="false">
      <c r="A1640" s="6" t="s">
        <v>73</v>
      </c>
      <c r="B1640" s="6" t="s">
        <v>329</v>
      </c>
      <c r="C1640" s="6" t="n">
        <v>15</v>
      </c>
      <c r="D1640" s="25" t="n">
        <f aca="false">EDATE('Start Here'!$B$6,C1640-1)</f>
        <v>46753</v>
      </c>
      <c r="E1640" s="11" t="n">
        <f aca="false">IF(AND(C1640&gt;=Staffing!$F$33,C1640&lt;=Staffing!$G$33,1=1),IF(C1640&lt;=6,Staffing!$H$33,IF(C1640&lt;=15,Staffing!$I$33,IF(C1640&lt;=30,Staffing!$J$33,Staffing!$K$33))),0)</f>
        <v>1</v>
      </c>
      <c r="F1640" s="10" t="n">
        <f aca="false">E1640*Staffing!$L$33/12*(1+Assumptions!$E$10)^INT((C1640-1)/12)*1</f>
        <v>14437.5</v>
      </c>
      <c r="G1640" s="10" t="n">
        <f aca="false">F1640*Staffing!$N$33</f>
        <v>5775</v>
      </c>
      <c r="H1640" s="10" t="n">
        <f aca="false">F1640+G1640</f>
        <v>20212.5</v>
      </c>
      <c r="I1640" s="10" t="n">
        <f aca="false">0</f>
        <v>0</v>
      </c>
      <c r="J1640" s="10" t="n">
        <f aca="false">MAX(0,E1640-E1639)*Staffing!$O$33</f>
        <v>0</v>
      </c>
      <c r="K1640" s="10" t="n">
        <f aca="false">MAX(0,E1640-E1639)*Staffing!$P$33</f>
        <v>0</v>
      </c>
      <c r="L1640" s="23" t="n">
        <f aca="false">ROUNDUP(E1640,0)</f>
        <v>1</v>
      </c>
    </row>
    <row r="1641" customFormat="false" ht="15" hidden="false" customHeight="false" outlineLevel="0" collapsed="false">
      <c r="A1641" s="6" t="s">
        <v>73</v>
      </c>
      <c r="B1641" s="6" t="s">
        <v>329</v>
      </c>
      <c r="C1641" s="6" t="n">
        <v>16</v>
      </c>
      <c r="D1641" s="25" t="n">
        <f aca="false">EDATE('Start Here'!$B$6,C1641-1)</f>
        <v>46784</v>
      </c>
      <c r="E1641" s="11" t="n">
        <f aca="false">IF(AND(C1641&gt;=Staffing!$F$33,C1641&lt;=Staffing!$G$33,1=1),IF(C1641&lt;=6,Staffing!$H$33,IF(C1641&lt;=15,Staffing!$I$33,IF(C1641&lt;=30,Staffing!$J$33,Staffing!$K$33))),0)</f>
        <v>1</v>
      </c>
      <c r="F1641" s="10" t="n">
        <f aca="false">E1641*Staffing!$L$33/12*(1+Assumptions!$E$10)^INT((C1641-1)/12)*1</f>
        <v>14437.5</v>
      </c>
      <c r="G1641" s="10" t="n">
        <f aca="false">F1641*Staffing!$N$33</f>
        <v>5775</v>
      </c>
      <c r="H1641" s="10" t="n">
        <f aca="false">F1641+G1641</f>
        <v>20212.5</v>
      </c>
      <c r="I1641" s="10" t="n">
        <f aca="false">0</f>
        <v>0</v>
      </c>
      <c r="J1641" s="10" t="n">
        <f aca="false">MAX(0,E1641-E1640)*Staffing!$O$33</f>
        <v>0</v>
      </c>
      <c r="K1641" s="10" t="n">
        <f aca="false">MAX(0,E1641-E1640)*Staffing!$P$33</f>
        <v>0</v>
      </c>
      <c r="L1641" s="23" t="n">
        <f aca="false">ROUNDUP(E1641,0)</f>
        <v>1</v>
      </c>
    </row>
    <row r="1642" customFormat="false" ht="15" hidden="false" customHeight="false" outlineLevel="0" collapsed="false">
      <c r="A1642" s="6" t="s">
        <v>73</v>
      </c>
      <c r="B1642" s="6" t="s">
        <v>329</v>
      </c>
      <c r="C1642" s="6" t="n">
        <v>17</v>
      </c>
      <c r="D1642" s="25" t="n">
        <f aca="false">EDATE('Start Here'!$B$6,C1642-1)</f>
        <v>46813</v>
      </c>
      <c r="E1642" s="11" t="n">
        <f aca="false">IF(AND(C1642&gt;=Staffing!$F$33,C1642&lt;=Staffing!$G$33,1=1),IF(C1642&lt;=6,Staffing!$H$33,IF(C1642&lt;=15,Staffing!$I$33,IF(C1642&lt;=30,Staffing!$J$33,Staffing!$K$33))),0)</f>
        <v>1</v>
      </c>
      <c r="F1642" s="10" t="n">
        <f aca="false">E1642*Staffing!$L$33/12*(1+Assumptions!$E$10)^INT((C1642-1)/12)*1</f>
        <v>14437.5</v>
      </c>
      <c r="G1642" s="10" t="n">
        <f aca="false">F1642*Staffing!$N$33</f>
        <v>5775</v>
      </c>
      <c r="H1642" s="10" t="n">
        <f aca="false">F1642+G1642</f>
        <v>20212.5</v>
      </c>
      <c r="I1642" s="10" t="n">
        <f aca="false">0</f>
        <v>0</v>
      </c>
      <c r="J1642" s="10" t="n">
        <f aca="false">MAX(0,E1642-E1641)*Staffing!$O$33</f>
        <v>0</v>
      </c>
      <c r="K1642" s="10" t="n">
        <f aca="false">MAX(0,E1642-E1641)*Staffing!$P$33</f>
        <v>0</v>
      </c>
      <c r="L1642" s="23" t="n">
        <f aca="false">ROUNDUP(E1642,0)</f>
        <v>1</v>
      </c>
    </row>
    <row r="1643" customFormat="false" ht="15" hidden="false" customHeight="false" outlineLevel="0" collapsed="false">
      <c r="A1643" s="6" t="s">
        <v>73</v>
      </c>
      <c r="B1643" s="6" t="s">
        <v>329</v>
      </c>
      <c r="C1643" s="6" t="n">
        <v>18</v>
      </c>
      <c r="D1643" s="25" t="n">
        <f aca="false">EDATE('Start Here'!$B$6,C1643-1)</f>
        <v>46844</v>
      </c>
      <c r="E1643" s="11" t="n">
        <f aca="false">IF(AND(C1643&gt;=Staffing!$F$33,C1643&lt;=Staffing!$G$33,1=1),IF(C1643&lt;=6,Staffing!$H$33,IF(C1643&lt;=15,Staffing!$I$33,IF(C1643&lt;=30,Staffing!$J$33,Staffing!$K$33))),0)</f>
        <v>1</v>
      </c>
      <c r="F1643" s="10" t="n">
        <f aca="false">E1643*Staffing!$L$33/12*(1+Assumptions!$E$10)^INT((C1643-1)/12)*1</f>
        <v>14437.5</v>
      </c>
      <c r="G1643" s="10" t="n">
        <f aca="false">F1643*Staffing!$N$33</f>
        <v>5775</v>
      </c>
      <c r="H1643" s="10" t="n">
        <f aca="false">F1643+G1643</f>
        <v>20212.5</v>
      </c>
      <c r="I1643" s="10" t="n">
        <f aca="false">0</f>
        <v>0</v>
      </c>
      <c r="J1643" s="10" t="n">
        <f aca="false">MAX(0,E1643-E1642)*Staffing!$O$33</f>
        <v>0</v>
      </c>
      <c r="K1643" s="10" t="n">
        <f aca="false">MAX(0,E1643-E1642)*Staffing!$P$33</f>
        <v>0</v>
      </c>
      <c r="L1643" s="23" t="n">
        <f aca="false">ROUNDUP(E1643,0)</f>
        <v>1</v>
      </c>
    </row>
    <row r="1644" customFormat="false" ht="15" hidden="false" customHeight="false" outlineLevel="0" collapsed="false">
      <c r="A1644" s="6" t="s">
        <v>73</v>
      </c>
      <c r="B1644" s="6" t="s">
        <v>329</v>
      </c>
      <c r="C1644" s="6" t="n">
        <v>19</v>
      </c>
      <c r="D1644" s="25" t="n">
        <f aca="false">EDATE('Start Here'!$B$6,C1644-1)</f>
        <v>46874</v>
      </c>
      <c r="E1644" s="11" t="n">
        <f aca="false">IF(AND(C1644&gt;=Staffing!$F$33,C1644&lt;=Staffing!$G$33,1=1),IF(C1644&lt;=6,Staffing!$H$33,IF(C1644&lt;=15,Staffing!$I$33,IF(C1644&lt;=30,Staffing!$J$33,Staffing!$K$33))),0)</f>
        <v>1</v>
      </c>
      <c r="F1644" s="10" t="n">
        <f aca="false">E1644*Staffing!$L$33/12*(1+Assumptions!$E$10)^INT((C1644-1)/12)*1</f>
        <v>14437.5</v>
      </c>
      <c r="G1644" s="10" t="n">
        <f aca="false">F1644*Staffing!$N$33</f>
        <v>5775</v>
      </c>
      <c r="H1644" s="10" t="n">
        <f aca="false">F1644+G1644</f>
        <v>20212.5</v>
      </c>
      <c r="I1644" s="10" t="n">
        <f aca="false">0</f>
        <v>0</v>
      </c>
      <c r="J1644" s="10" t="n">
        <f aca="false">MAX(0,E1644-E1643)*Staffing!$O$33</f>
        <v>0</v>
      </c>
      <c r="K1644" s="10" t="n">
        <f aca="false">MAX(0,E1644-E1643)*Staffing!$P$33</f>
        <v>0</v>
      </c>
      <c r="L1644" s="23" t="n">
        <f aca="false">ROUNDUP(E1644,0)</f>
        <v>1</v>
      </c>
    </row>
    <row r="1645" customFormat="false" ht="15" hidden="false" customHeight="false" outlineLevel="0" collapsed="false">
      <c r="A1645" s="6" t="s">
        <v>73</v>
      </c>
      <c r="B1645" s="6" t="s">
        <v>329</v>
      </c>
      <c r="C1645" s="6" t="n">
        <v>20</v>
      </c>
      <c r="D1645" s="25" t="n">
        <f aca="false">EDATE('Start Here'!$B$6,C1645-1)</f>
        <v>46905</v>
      </c>
      <c r="E1645" s="11" t="n">
        <f aca="false">IF(AND(C1645&gt;=Staffing!$F$33,C1645&lt;=Staffing!$G$33,1=1),IF(C1645&lt;=6,Staffing!$H$33,IF(C1645&lt;=15,Staffing!$I$33,IF(C1645&lt;=30,Staffing!$J$33,Staffing!$K$33))),0)</f>
        <v>1</v>
      </c>
      <c r="F1645" s="10" t="n">
        <f aca="false">E1645*Staffing!$L$33/12*(1+Assumptions!$E$10)^INT((C1645-1)/12)*1</f>
        <v>14437.5</v>
      </c>
      <c r="G1645" s="10" t="n">
        <f aca="false">F1645*Staffing!$N$33</f>
        <v>5775</v>
      </c>
      <c r="H1645" s="10" t="n">
        <f aca="false">F1645+G1645</f>
        <v>20212.5</v>
      </c>
      <c r="I1645" s="10" t="n">
        <f aca="false">0</f>
        <v>0</v>
      </c>
      <c r="J1645" s="10" t="n">
        <f aca="false">MAX(0,E1645-E1644)*Staffing!$O$33</f>
        <v>0</v>
      </c>
      <c r="K1645" s="10" t="n">
        <f aca="false">MAX(0,E1645-E1644)*Staffing!$P$33</f>
        <v>0</v>
      </c>
      <c r="L1645" s="23" t="n">
        <f aca="false">ROUNDUP(E1645,0)</f>
        <v>1</v>
      </c>
    </row>
    <row r="1646" customFormat="false" ht="15" hidden="false" customHeight="false" outlineLevel="0" collapsed="false">
      <c r="A1646" s="6" t="s">
        <v>73</v>
      </c>
      <c r="B1646" s="6" t="s">
        <v>329</v>
      </c>
      <c r="C1646" s="6" t="n">
        <v>21</v>
      </c>
      <c r="D1646" s="25" t="n">
        <f aca="false">EDATE('Start Here'!$B$6,C1646-1)</f>
        <v>46935</v>
      </c>
      <c r="E1646" s="11" t="n">
        <f aca="false">IF(AND(C1646&gt;=Staffing!$F$33,C1646&lt;=Staffing!$G$33,1=1),IF(C1646&lt;=6,Staffing!$H$33,IF(C1646&lt;=15,Staffing!$I$33,IF(C1646&lt;=30,Staffing!$J$33,Staffing!$K$33))),0)</f>
        <v>1</v>
      </c>
      <c r="F1646" s="10" t="n">
        <f aca="false">E1646*Staffing!$L$33/12*(1+Assumptions!$E$10)^INT((C1646-1)/12)*1</f>
        <v>14437.5</v>
      </c>
      <c r="G1646" s="10" t="n">
        <f aca="false">F1646*Staffing!$N$33</f>
        <v>5775</v>
      </c>
      <c r="H1646" s="10" t="n">
        <f aca="false">F1646+G1646</f>
        <v>20212.5</v>
      </c>
      <c r="I1646" s="10" t="n">
        <f aca="false">0</f>
        <v>0</v>
      </c>
      <c r="J1646" s="10" t="n">
        <f aca="false">MAX(0,E1646-E1645)*Staffing!$O$33</f>
        <v>0</v>
      </c>
      <c r="K1646" s="10" t="n">
        <f aca="false">MAX(0,E1646-E1645)*Staffing!$P$33</f>
        <v>0</v>
      </c>
      <c r="L1646" s="23" t="n">
        <f aca="false">ROUNDUP(E1646,0)</f>
        <v>1</v>
      </c>
    </row>
    <row r="1647" customFormat="false" ht="15" hidden="false" customHeight="false" outlineLevel="0" collapsed="false">
      <c r="A1647" s="6" t="s">
        <v>73</v>
      </c>
      <c r="B1647" s="6" t="s">
        <v>329</v>
      </c>
      <c r="C1647" s="6" t="n">
        <v>22</v>
      </c>
      <c r="D1647" s="25" t="n">
        <f aca="false">EDATE('Start Here'!$B$6,C1647-1)</f>
        <v>46966</v>
      </c>
      <c r="E1647" s="11" t="n">
        <f aca="false">IF(AND(C1647&gt;=Staffing!$F$33,C1647&lt;=Staffing!$G$33,1=1),IF(C1647&lt;=6,Staffing!$H$33,IF(C1647&lt;=15,Staffing!$I$33,IF(C1647&lt;=30,Staffing!$J$33,Staffing!$K$33))),0)</f>
        <v>1</v>
      </c>
      <c r="F1647" s="10" t="n">
        <f aca="false">E1647*Staffing!$L$33/12*(1+Assumptions!$E$10)^INT((C1647-1)/12)*1</f>
        <v>14437.5</v>
      </c>
      <c r="G1647" s="10" t="n">
        <f aca="false">F1647*Staffing!$N$33</f>
        <v>5775</v>
      </c>
      <c r="H1647" s="10" t="n">
        <f aca="false">F1647+G1647</f>
        <v>20212.5</v>
      </c>
      <c r="I1647" s="10" t="n">
        <f aca="false">0</f>
        <v>0</v>
      </c>
      <c r="J1647" s="10" t="n">
        <f aca="false">MAX(0,E1647-E1646)*Staffing!$O$33</f>
        <v>0</v>
      </c>
      <c r="K1647" s="10" t="n">
        <f aca="false">MAX(0,E1647-E1646)*Staffing!$P$33</f>
        <v>0</v>
      </c>
      <c r="L1647" s="23" t="n">
        <f aca="false">ROUNDUP(E1647,0)</f>
        <v>1</v>
      </c>
    </row>
    <row r="1648" customFormat="false" ht="15" hidden="false" customHeight="false" outlineLevel="0" collapsed="false">
      <c r="A1648" s="6" t="s">
        <v>73</v>
      </c>
      <c r="B1648" s="6" t="s">
        <v>329</v>
      </c>
      <c r="C1648" s="6" t="n">
        <v>23</v>
      </c>
      <c r="D1648" s="25" t="n">
        <f aca="false">EDATE('Start Here'!$B$6,C1648-1)</f>
        <v>46997</v>
      </c>
      <c r="E1648" s="11" t="n">
        <f aca="false">IF(AND(C1648&gt;=Staffing!$F$33,C1648&lt;=Staffing!$G$33,1=1),IF(C1648&lt;=6,Staffing!$H$33,IF(C1648&lt;=15,Staffing!$I$33,IF(C1648&lt;=30,Staffing!$J$33,Staffing!$K$33))),0)</f>
        <v>1</v>
      </c>
      <c r="F1648" s="10" t="n">
        <f aca="false">E1648*Staffing!$L$33/12*(1+Assumptions!$E$10)^INT((C1648-1)/12)*1</f>
        <v>14437.5</v>
      </c>
      <c r="G1648" s="10" t="n">
        <f aca="false">F1648*Staffing!$N$33</f>
        <v>5775</v>
      </c>
      <c r="H1648" s="10" t="n">
        <f aca="false">F1648+G1648</f>
        <v>20212.5</v>
      </c>
      <c r="I1648" s="10" t="n">
        <f aca="false">0</f>
        <v>0</v>
      </c>
      <c r="J1648" s="10" t="n">
        <f aca="false">MAX(0,E1648-E1647)*Staffing!$O$33</f>
        <v>0</v>
      </c>
      <c r="K1648" s="10" t="n">
        <f aca="false">MAX(0,E1648-E1647)*Staffing!$P$33</f>
        <v>0</v>
      </c>
      <c r="L1648" s="23" t="n">
        <f aca="false">ROUNDUP(E1648,0)</f>
        <v>1</v>
      </c>
    </row>
    <row r="1649" customFormat="false" ht="15" hidden="false" customHeight="false" outlineLevel="0" collapsed="false">
      <c r="A1649" s="6" t="s">
        <v>73</v>
      </c>
      <c r="B1649" s="6" t="s">
        <v>329</v>
      </c>
      <c r="C1649" s="6" t="n">
        <v>24</v>
      </c>
      <c r="D1649" s="25" t="n">
        <f aca="false">EDATE('Start Here'!$B$6,C1649-1)</f>
        <v>47027</v>
      </c>
      <c r="E1649" s="11" t="n">
        <f aca="false">IF(AND(C1649&gt;=Staffing!$F$33,C1649&lt;=Staffing!$G$33,1=1),IF(C1649&lt;=6,Staffing!$H$33,IF(C1649&lt;=15,Staffing!$I$33,IF(C1649&lt;=30,Staffing!$J$33,Staffing!$K$33))),0)</f>
        <v>1</v>
      </c>
      <c r="F1649" s="10" t="n">
        <f aca="false">E1649*Staffing!$L$33/12*(1+Assumptions!$E$10)^INT((C1649-1)/12)*1</f>
        <v>14437.5</v>
      </c>
      <c r="G1649" s="10" t="n">
        <f aca="false">F1649*Staffing!$N$33</f>
        <v>5775</v>
      </c>
      <c r="H1649" s="10" t="n">
        <f aca="false">F1649+G1649</f>
        <v>20212.5</v>
      </c>
      <c r="I1649" s="10" t="n">
        <f aca="false">0</f>
        <v>0</v>
      </c>
      <c r="J1649" s="10" t="n">
        <f aca="false">MAX(0,E1649-E1648)*Staffing!$O$33</f>
        <v>0</v>
      </c>
      <c r="K1649" s="10" t="n">
        <f aca="false">MAX(0,E1649-E1648)*Staffing!$P$33</f>
        <v>0</v>
      </c>
      <c r="L1649" s="23" t="n">
        <f aca="false">ROUNDUP(E1649,0)</f>
        <v>1</v>
      </c>
    </row>
    <row r="1650" customFormat="false" ht="15" hidden="false" customHeight="false" outlineLevel="0" collapsed="false">
      <c r="A1650" s="6" t="s">
        <v>73</v>
      </c>
      <c r="B1650" s="6" t="s">
        <v>329</v>
      </c>
      <c r="C1650" s="6" t="n">
        <v>25</v>
      </c>
      <c r="D1650" s="25" t="n">
        <f aca="false">EDATE('Start Here'!$B$6,C1650-1)</f>
        <v>47058</v>
      </c>
      <c r="E1650" s="11" t="n">
        <f aca="false">IF(AND(C1650&gt;=Staffing!$F$33,C1650&lt;=Staffing!$G$33,1=1),IF(C1650&lt;=6,Staffing!$H$33,IF(C1650&lt;=15,Staffing!$I$33,IF(C1650&lt;=30,Staffing!$J$33,Staffing!$K$33))),0)</f>
        <v>1</v>
      </c>
      <c r="F1650" s="10" t="n">
        <f aca="false">E1650*Staffing!$L$33/12*(1+Assumptions!$E$10)^INT((C1650-1)/12)*1</f>
        <v>15159.375</v>
      </c>
      <c r="G1650" s="10" t="n">
        <f aca="false">F1650*Staffing!$N$33</f>
        <v>6063.75</v>
      </c>
      <c r="H1650" s="10" t="n">
        <f aca="false">F1650+G1650</f>
        <v>21223.125</v>
      </c>
      <c r="I1650" s="10" t="n">
        <f aca="false">0</f>
        <v>0</v>
      </c>
      <c r="J1650" s="10" t="n">
        <f aca="false">MAX(0,E1650-E1649)*Staffing!$O$33</f>
        <v>0</v>
      </c>
      <c r="K1650" s="10" t="n">
        <f aca="false">MAX(0,E1650-E1649)*Staffing!$P$33</f>
        <v>0</v>
      </c>
      <c r="L1650" s="23" t="n">
        <f aca="false">ROUNDUP(E1650,0)</f>
        <v>1</v>
      </c>
    </row>
    <row r="1651" customFormat="false" ht="15" hidden="false" customHeight="false" outlineLevel="0" collapsed="false">
      <c r="A1651" s="6" t="s">
        <v>73</v>
      </c>
      <c r="B1651" s="6" t="s">
        <v>329</v>
      </c>
      <c r="C1651" s="6" t="n">
        <v>26</v>
      </c>
      <c r="D1651" s="25" t="n">
        <f aca="false">EDATE('Start Here'!$B$6,C1651-1)</f>
        <v>47088</v>
      </c>
      <c r="E1651" s="11" t="n">
        <f aca="false">IF(AND(C1651&gt;=Staffing!$F$33,C1651&lt;=Staffing!$G$33,1=1),IF(C1651&lt;=6,Staffing!$H$33,IF(C1651&lt;=15,Staffing!$I$33,IF(C1651&lt;=30,Staffing!$J$33,Staffing!$K$33))),0)</f>
        <v>1</v>
      </c>
      <c r="F1651" s="10" t="n">
        <f aca="false">E1651*Staffing!$L$33/12*(1+Assumptions!$E$10)^INT((C1651-1)/12)*1</f>
        <v>15159.375</v>
      </c>
      <c r="G1651" s="10" t="n">
        <f aca="false">F1651*Staffing!$N$33</f>
        <v>6063.75</v>
      </c>
      <c r="H1651" s="10" t="n">
        <f aca="false">F1651+G1651</f>
        <v>21223.125</v>
      </c>
      <c r="I1651" s="10" t="n">
        <f aca="false">0</f>
        <v>0</v>
      </c>
      <c r="J1651" s="10" t="n">
        <f aca="false">MAX(0,E1651-E1650)*Staffing!$O$33</f>
        <v>0</v>
      </c>
      <c r="K1651" s="10" t="n">
        <f aca="false">MAX(0,E1651-E1650)*Staffing!$P$33</f>
        <v>0</v>
      </c>
      <c r="L1651" s="23" t="n">
        <f aca="false">ROUNDUP(E1651,0)</f>
        <v>1</v>
      </c>
    </row>
    <row r="1652" customFormat="false" ht="15" hidden="false" customHeight="false" outlineLevel="0" collapsed="false">
      <c r="A1652" s="6" t="s">
        <v>73</v>
      </c>
      <c r="B1652" s="6" t="s">
        <v>329</v>
      </c>
      <c r="C1652" s="6" t="n">
        <v>27</v>
      </c>
      <c r="D1652" s="25" t="n">
        <f aca="false">EDATE('Start Here'!$B$6,C1652-1)</f>
        <v>47119</v>
      </c>
      <c r="E1652" s="11" t="n">
        <f aca="false">IF(AND(C1652&gt;=Staffing!$F$33,C1652&lt;=Staffing!$G$33,1=1),IF(C1652&lt;=6,Staffing!$H$33,IF(C1652&lt;=15,Staffing!$I$33,IF(C1652&lt;=30,Staffing!$J$33,Staffing!$K$33))),0)</f>
        <v>1</v>
      </c>
      <c r="F1652" s="10" t="n">
        <f aca="false">E1652*Staffing!$L$33/12*(1+Assumptions!$E$10)^INT((C1652-1)/12)*1</f>
        <v>15159.375</v>
      </c>
      <c r="G1652" s="10" t="n">
        <f aca="false">F1652*Staffing!$N$33</f>
        <v>6063.75</v>
      </c>
      <c r="H1652" s="10" t="n">
        <f aca="false">F1652+G1652</f>
        <v>21223.125</v>
      </c>
      <c r="I1652" s="10" t="n">
        <f aca="false">0</f>
        <v>0</v>
      </c>
      <c r="J1652" s="10" t="n">
        <f aca="false">MAX(0,E1652-E1651)*Staffing!$O$33</f>
        <v>0</v>
      </c>
      <c r="K1652" s="10" t="n">
        <f aca="false">MAX(0,E1652-E1651)*Staffing!$P$33</f>
        <v>0</v>
      </c>
      <c r="L1652" s="23" t="n">
        <f aca="false">ROUNDUP(E1652,0)</f>
        <v>1</v>
      </c>
    </row>
    <row r="1653" customFormat="false" ht="15" hidden="false" customHeight="false" outlineLevel="0" collapsed="false">
      <c r="A1653" s="6" t="s">
        <v>73</v>
      </c>
      <c r="B1653" s="6" t="s">
        <v>329</v>
      </c>
      <c r="C1653" s="6" t="n">
        <v>28</v>
      </c>
      <c r="D1653" s="25" t="n">
        <f aca="false">EDATE('Start Here'!$B$6,C1653-1)</f>
        <v>47150</v>
      </c>
      <c r="E1653" s="11" t="n">
        <f aca="false">IF(AND(C1653&gt;=Staffing!$F$33,C1653&lt;=Staffing!$G$33,1=1),IF(C1653&lt;=6,Staffing!$H$33,IF(C1653&lt;=15,Staffing!$I$33,IF(C1653&lt;=30,Staffing!$J$33,Staffing!$K$33))),0)</f>
        <v>1</v>
      </c>
      <c r="F1653" s="10" t="n">
        <f aca="false">E1653*Staffing!$L$33/12*(1+Assumptions!$E$10)^INT((C1653-1)/12)*1</f>
        <v>15159.375</v>
      </c>
      <c r="G1653" s="10" t="n">
        <f aca="false">F1653*Staffing!$N$33</f>
        <v>6063.75</v>
      </c>
      <c r="H1653" s="10" t="n">
        <f aca="false">F1653+G1653</f>
        <v>21223.125</v>
      </c>
      <c r="I1653" s="10" t="n">
        <f aca="false">0</f>
        <v>0</v>
      </c>
      <c r="J1653" s="10" t="n">
        <f aca="false">MAX(0,E1653-E1652)*Staffing!$O$33</f>
        <v>0</v>
      </c>
      <c r="K1653" s="10" t="n">
        <f aca="false">MAX(0,E1653-E1652)*Staffing!$P$33</f>
        <v>0</v>
      </c>
      <c r="L1653" s="23" t="n">
        <f aca="false">ROUNDUP(E1653,0)</f>
        <v>1</v>
      </c>
    </row>
    <row r="1654" customFormat="false" ht="15" hidden="false" customHeight="false" outlineLevel="0" collapsed="false">
      <c r="A1654" s="6" t="s">
        <v>73</v>
      </c>
      <c r="B1654" s="6" t="s">
        <v>329</v>
      </c>
      <c r="C1654" s="6" t="n">
        <v>29</v>
      </c>
      <c r="D1654" s="25" t="n">
        <f aca="false">EDATE('Start Here'!$B$6,C1654-1)</f>
        <v>47178</v>
      </c>
      <c r="E1654" s="11" t="n">
        <f aca="false">IF(AND(C1654&gt;=Staffing!$F$33,C1654&lt;=Staffing!$G$33,1=1),IF(C1654&lt;=6,Staffing!$H$33,IF(C1654&lt;=15,Staffing!$I$33,IF(C1654&lt;=30,Staffing!$J$33,Staffing!$K$33))),0)</f>
        <v>1</v>
      </c>
      <c r="F1654" s="10" t="n">
        <f aca="false">E1654*Staffing!$L$33/12*(1+Assumptions!$E$10)^INT((C1654-1)/12)*1</f>
        <v>15159.375</v>
      </c>
      <c r="G1654" s="10" t="n">
        <f aca="false">F1654*Staffing!$N$33</f>
        <v>6063.75</v>
      </c>
      <c r="H1654" s="10" t="n">
        <f aca="false">F1654+G1654</f>
        <v>21223.125</v>
      </c>
      <c r="I1654" s="10" t="n">
        <f aca="false">0</f>
        <v>0</v>
      </c>
      <c r="J1654" s="10" t="n">
        <f aca="false">MAX(0,E1654-E1653)*Staffing!$O$33</f>
        <v>0</v>
      </c>
      <c r="K1654" s="10" t="n">
        <f aca="false">MAX(0,E1654-E1653)*Staffing!$P$33</f>
        <v>0</v>
      </c>
      <c r="L1654" s="23" t="n">
        <f aca="false">ROUNDUP(E1654,0)</f>
        <v>1</v>
      </c>
    </row>
    <row r="1655" customFormat="false" ht="15" hidden="false" customHeight="false" outlineLevel="0" collapsed="false">
      <c r="A1655" s="6" t="s">
        <v>73</v>
      </c>
      <c r="B1655" s="6" t="s">
        <v>329</v>
      </c>
      <c r="C1655" s="6" t="n">
        <v>30</v>
      </c>
      <c r="D1655" s="25" t="n">
        <f aca="false">EDATE('Start Here'!$B$6,C1655-1)</f>
        <v>47209</v>
      </c>
      <c r="E1655" s="11" t="n">
        <f aca="false">IF(AND(C1655&gt;=Staffing!$F$33,C1655&lt;=Staffing!$G$33,1=1),IF(C1655&lt;=6,Staffing!$H$33,IF(C1655&lt;=15,Staffing!$I$33,IF(C1655&lt;=30,Staffing!$J$33,Staffing!$K$33))),0)</f>
        <v>1</v>
      </c>
      <c r="F1655" s="10" t="n">
        <f aca="false">E1655*Staffing!$L$33/12*(1+Assumptions!$E$10)^INT((C1655-1)/12)*1</f>
        <v>15159.375</v>
      </c>
      <c r="G1655" s="10" t="n">
        <f aca="false">F1655*Staffing!$N$33</f>
        <v>6063.75</v>
      </c>
      <c r="H1655" s="10" t="n">
        <f aca="false">F1655+G1655</f>
        <v>21223.125</v>
      </c>
      <c r="I1655" s="10" t="n">
        <f aca="false">0</f>
        <v>0</v>
      </c>
      <c r="J1655" s="10" t="n">
        <f aca="false">MAX(0,E1655-E1654)*Staffing!$O$33</f>
        <v>0</v>
      </c>
      <c r="K1655" s="10" t="n">
        <f aca="false">MAX(0,E1655-E1654)*Staffing!$P$33</f>
        <v>0</v>
      </c>
      <c r="L1655" s="23" t="n">
        <f aca="false">ROUNDUP(E1655,0)</f>
        <v>1</v>
      </c>
    </row>
    <row r="1656" customFormat="false" ht="15" hidden="false" customHeight="false" outlineLevel="0" collapsed="false">
      <c r="A1656" s="6" t="s">
        <v>73</v>
      </c>
      <c r="B1656" s="6" t="s">
        <v>329</v>
      </c>
      <c r="C1656" s="6" t="n">
        <v>31</v>
      </c>
      <c r="D1656" s="25" t="n">
        <f aca="false">EDATE('Start Here'!$B$6,C1656-1)</f>
        <v>47239</v>
      </c>
      <c r="E1656" s="11" t="n">
        <f aca="false">IF(AND(C1656&gt;=Staffing!$F$33,C1656&lt;=Staffing!$G$33,1=1),IF(C1656&lt;=6,Staffing!$H$33,IF(C1656&lt;=15,Staffing!$I$33,IF(C1656&lt;=30,Staffing!$J$33,Staffing!$K$33))),0)</f>
        <v>1</v>
      </c>
      <c r="F1656" s="10" t="n">
        <f aca="false">E1656*Staffing!$L$33/12*(1+Assumptions!$E$10)^INT((C1656-1)/12)*1</f>
        <v>15159.375</v>
      </c>
      <c r="G1656" s="10" t="n">
        <f aca="false">F1656*Staffing!$N$33</f>
        <v>6063.75</v>
      </c>
      <c r="H1656" s="10" t="n">
        <f aca="false">F1656+G1656</f>
        <v>21223.125</v>
      </c>
      <c r="I1656" s="10" t="n">
        <f aca="false">0</f>
        <v>0</v>
      </c>
      <c r="J1656" s="10" t="n">
        <f aca="false">MAX(0,E1656-E1655)*Staffing!$O$33</f>
        <v>0</v>
      </c>
      <c r="K1656" s="10" t="n">
        <f aca="false">MAX(0,E1656-E1655)*Staffing!$P$33</f>
        <v>0</v>
      </c>
      <c r="L1656" s="23" t="n">
        <f aca="false">ROUNDUP(E1656,0)</f>
        <v>1</v>
      </c>
    </row>
    <row r="1657" customFormat="false" ht="15" hidden="false" customHeight="false" outlineLevel="0" collapsed="false">
      <c r="A1657" s="6" t="s">
        <v>73</v>
      </c>
      <c r="B1657" s="6" t="s">
        <v>329</v>
      </c>
      <c r="C1657" s="6" t="n">
        <v>32</v>
      </c>
      <c r="D1657" s="25" t="n">
        <f aca="false">EDATE('Start Here'!$B$6,C1657-1)</f>
        <v>47270</v>
      </c>
      <c r="E1657" s="11" t="n">
        <f aca="false">IF(AND(C1657&gt;=Staffing!$F$33,C1657&lt;=Staffing!$G$33,1=1),IF(C1657&lt;=6,Staffing!$H$33,IF(C1657&lt;=15,Staffing!$I$33,IF(C1657&lt;=30,Staffing!$J$33,Staffing!$K$33))),0)</f>
        <v>1</v>
      </c>
      <c r="F1657" s="10" t="n">
        <f aca="false">E1657*Staffing!$L$33/12*(1+Assumptions!$E$10)^INT((C1657-1)/12)*1</f>
        <v>15159.375</v>
      </c>
      <c r="G1657" s="10" t="n">
        <f aca="false">F1657*Staffing!$N$33</f>
        <v>6063.75</v>
      </c>
      <c r="H1657" s="10" t="n">
        <f aca="false">F1657+G1657</f>
        <v>21223.125</v>
      </c>
      <c r="I1657" s="10" t="n">
        <f aca="false">0</f>
        <v>0</v>
      </c>
      <c r="J1657" s="10" t="n">
        <f aca="false">MAX(0,E1657-E1656)*Staffing!$O$33</f>
        <v>0</v>
      </c>
      <c r="K1657" s="10" t="n">
        <f aca="false">MAX(0,E1657-E1656)*Staffing!$P$33</f>
        <v>0</v>
      </c>
      <c r="L1657" s="23" t="n">
        <f aca="false">ROUNDUP(E1657,0)</f>
        <v>1</v>
      </c>
    </row>
    <row r="1658" customFormat="false" ht="15" hidden="false" customHeight="false" outlineLevel="0" collapsed="false">
      <c r="A1658" s="6" t="s">
        <v>73</v>
      </c>
      <c r="B1658" s="6" t="s">
        <v>329</v>
      </c>
      <c r="C1658" s="6" t="n">
        <v>33</v>
      </c>
      <c r="D1658" s="25" t="n">
        <f aca="false">EDATE('Start Here'!$B$6,C1658-1)</f>
        <v>47300</v>
      </c>
      <c r="E1658" s="11" t="n">
        <f aca="false">IF(AND(C1658&gt;=Staffing!$F$33,C1658&lt;=Staffing!$G$33,1=1),IF(C1658&lt;=6,Staffing!$H$33,IF(C1658&lt;=15,Staffing!$I$33,IF(C1658&lt;=30,Staffing!$J$33,Staffing!$K$33))),0)</f>
        <v>1</v>
      </c>
      <c r="F1658" s="10" t="n">
        <f aca="false">E1658*Staffing!$L$33/12*(1+Assumptions!$E$10)^INT((C1658-1)/12)*1</f>
        <v>15159.375</v>
      </c>
      <c r="G1658" s="10" t="n">
        <f aca="false">F1658*Staffing!$N$33</f>
        <v>6063.75</v>
      </c>
      <c r="H1658" s="10" t="n">
        <f aca="false">F1658+G1658</f>
        <v>21223.125</v>
      </c>
      <c r="I1658" s="10" t="n">
        <f aca="false">0</f>
        <v>0</v>
      </c>
      <c r="J1658" s="10" t="n">
        <f aca="false">MAX(0,E1658-E1657)*Staffing!$O$33</f>
        <v>0</v>
      </c>
      <c r="K1658" s="10" t="n">
        <f aca="false">MAX(0,E1658-E1657)*Staffing!$P$33</f>
        <v>0</v>
      </c>
      <c r="L1658" s="23" t="n">
        <f aca="false">ROUNDUP(E1658,0)</f>
        <v>1</v>
      </c>
    </row>
    <row r="1659" customFormat="false" ht="15" hidden="false" customHeight="false" outlineLevel="0" collapsed="false">
      <c r="A1659" s="6" t="s">
        <v>73</v>
      </c>
      <c r="B1659" s="6" t="s">
        <v>329</v>
      </c>
      <c r="C1659" s="6" t="n">
        <v>34</v>
      </c>
      <c r="D1659" s="25" t="n">
        <f aca="false">EDATE('Start Here'!$B$6,C1659-1)</f>
        <v>47331</v>
      </c>
      <c r="E1659" s="11" t="n">
        <f aca="false">IF(AND(C1659&gt;=Staffing!$F$33,C1659&lt;=Staffing!$G$33,1=1),IF(C1659&lt;=6,Staffing!$H$33,IF(C1659&lt;=15,Staffing!$I$33,IF(C1659&lt;=30,Staffing!$J$33,Staffing!$K$33))),0)</f>
        <v>1</v>
      </c>
      <c r="F1659" s="10" t="n">
        <f aca="false">E1659*Staffing!$L$33/12*(1+Assumptions!$E$10)^INT((C1659-1)/12)*1</f>
        <v>15159.375</v>
      </c>
      <c r="G1659" s="10" t="n">
        <f aca="false">F1659*Staffing!$N$33</f>
        <v>6063.75</v>
      </c>
      <c r="H1659" s="10" t="n">
        <f aca="false">F1659+G1659</f>
        <v>21223.125</v>
      </c>
      <c r="I1659" s="10" t="n">
        <f aca="false">0</f>
        <v>0</v>
      </c>
      <c r="J1659" s="10" t="n">
        <f aca="false">MAX(0,E1659-E1658)*Staffing!$O$33</f>
        <v>0</v>
      </c>
      <c r="K1659" s="10" t="n">
        <f aca="false">MAX(0,E1659-E1658)*Staffing!$P$33</f>
        <v>0</v>
      </c>
      <c r="L1659" s="23" t="n">
        <f aca="false">ROUNDUP(E1659,0)</f>
        <v>1</v>
      </c>
    </row>
    <row r="1660" customFormat="false" ht="15" hidden="false" customHeight="false" outlineLevel="0" collapsed="false">
      <c r="A1660" s="6" t="s">
        <v>73</v>
      </c>
      <c r="B1660" s="6" t="s">
        <v>329</v>
      </c>
      <c r="C1660" s="6" t="n">
        <v>35</v>
      </c>
      <c r="D1660" s="25" t="n">
        <f aca="false">EDATE('Start Here'!$B$6,C1660-1)</f>
        <v>47362</v>
      </c>
      <c r="E1660" s="11" t="n">
        <f aca="false">IF(AND(C1660&gt;=Staffing!$F$33,C1660&lt;=Staffing!$G$33,1=1),IF(C1660&lt;=6,Staffing!$H$33,IF(C1660&lt;=15,Staffing!$I$33,IF(C1660&lt;=30,Staffing!$J$33,Staffing!$K$33))),0)</f>
        <v>1</v>
      </c>
      <c r="F1660" s="10" t="n">
        <f aca="false">E1660*Staffing!$L$33/12*(1+Assumptions!$E$10)^INT((C1660-1)/12)*1</f>
        <v>15159.375</v>
      </c>
      <c r="G1660" s="10" t="n">
        <f aca="false">F1660*Staffing!$N$33</f>
        <v>6063.75</v>
      </c>
      <c r="H1660" s="10" t="n">
        <f aca="false">F1660+G1660</f>
        <v>21223.125</v>
      </c>
      <c r="I1660" s="10" t="n">
        <f aca="false">0</f>
        <v>0</v>
      </c>
      <c r="J1660" s="10" t="n">
        <f aca="false">MAX(0,E1660-E1659)*Staffing!$O$33</f>
        <v>0</v>
      </c>
      <c r="K1660" s="10" t="n">
        <f aca="false">MAX(0,E1660-E1659)*Staffing!$P$33</f>
        <v>0</v>
      </c>
      <c r="L1660" s="23" t="n">
        <f aca="false">ROUNDUP(E1660,0)</f>
        <v>1</v>
      </c>
    </row>
    <row r="1661" customFormat="false" ht="15" hidden="false" customHeight="false" outlineLevel="0" collapsed="false">
      <c r="A1661" s="6" t="s">
        <v>73</v>
      </c>
      <c r="B1661" s="6" t="s">
        <v>329</v>
      </c>
      <c r="C1661" s="6" t="n">
        <v>36</v>
      </c>
      <c r="D1661" s="25" t="n">
        <f aca="false">EDATE('Start Here'!$B$6,C1661-1)</f>
        <v>47392</v>
      </c>
      <c r="E1661" s="11" t="n">
        <f aca="false">IF(AND(C1661&gt;=Staffing!$F$33,C1661&lt;=Staffing!$G$33,1=1),IF(C1661&lt;=6,Staffing!$H$33,IF(C1661&lt;=15,Staffing!$I$33,IF(C1661&lt;=30,Staffing!$J$33,Staffing!$K$33))),0)</f>
        <v>1</v>
      </c>
      <c r="F1661" s="10" t="n">
        <f aca="false">E1661*Staffing!$L$33/12*(1+Assumptions!$E$10)^INT((C1661-1)/12)*1</f>
        <v>15159.375</v>
      </c>
      <c r="G1661" s="10" t="n">
        <f aca="false">F1661*Staffing!$N$33</f>
        <v>6063.75</v>
      </c>
      <c r="H1661" s="10" t="n">
        <f aca="false">F1661+G1661</f>
        <v>21223.125</v>
      </c>
      <c r="I1661" s="10" t="n">
        <f aca="false">0</f>
        <v>0</v>
      </c>
      <c r="J1661" s="10" t="n">
        <f aca="false">MAX(0,E1661-E1660)*Staffing!$O$33</f>
        <v>0</v>
      </c>
      <c r="K1661" s="10" t="n">
        <f aca="false">MAX(0,E1661-E1660)*Staffing!$P$33</f>
        <v>0</v>
      </c>
      <c r="L1661" s="23" t="n">
        <f aca="false">ROUNDUP(E1661,0)</f>
        <v>1</v>
      </c>
    </row>
    <row r="1662" customFormat="false" ht="15" hidden="false" customHeight="false" outlineLevel="0" collapsed="false">
      <c r="A1662" s="6" t="s">
        <v>73</v>
      </c>
      <c r="B1662" s="6" t="s">
        <v>329</v>
      </c>
      <c r="C1662" s="6" t="n">
        <v>37</v>
      </c>
      <c r="D1662" s="25" t="n">
        <f aca="false">EDATE('Start Here'!$B$6,C1662-1)</f>
        <v>47423</v>
      </c>
      <c r="E1662" s="11" t="n">
        <f aca="false">IF(AND(C1662&gt;=Staffing!$F$33,C1662&lt;=Staffing!$G$33,1=1),IF(C1662&lt;=6,Staffing!$H$33,IF(C1662&lt;=15,Staffing!$I$33,IF(C1662&lt;=30,Staffing!$J$33,Staffing!$K$33))),0)</f>
        <v>1</v>
      </c>
      <c r="F1662" s="10" t="n">
        <f aca="false">E1662*Staffing!$L$33/12*(1+Assumptions!$E$10)^INT((C1662-1)/12)*1</f>
        <v>15917.34375</v>
      </c>
      <c r="G1662" s="10" t="n">
        <f aca="false">F1662*Staffing!$N$33</f>
        <v>6366.9375</v>
      </c>
      <c r="H1662" s="10" t="n">
        <f aca="false">F1662+G1662</f>
        <v>22284.28125</v>
      </c>
      <c r="I1662" s="10" t="n">
        <f aca="false">0</f>
        <v>0</v>
      </c>
      <c r="J1662" s="10" t="n">
        <f aca="false">MAX(0,E1662-E1661)*Staffing!$O$33</f>
        <v>0</v>
      </c>
      <c r="K1662" s="10" t="n">
        <f aca="false">MAX(0,E1662-E1661)*Staffing!$P$33</f>
        <v>0</v>
      </c>
      <c r="L1662" s="23" t="n">
        <f aca="false">ROUNDUP(E1662,0)</f>
        <v>1</v>
      </c>
    </row>
    <row r="1663" customFormat="false" ht="15" hidden="false" customHeight="false" outlineLevel="0" collapsed="false">
      <c r="A1663" s="6" t="s">
        <v>73</v>
      </c>
      <c r="B1663" s="6" t="s">
        <v>329</v>
      </c>
      <c r="C1663" s="6" t="n">
        <v>38</v>
      </c>
      <c r="D1663" s="25" t="n">
        <f aca="false">EDATE('Start Here'!$B$6,C1663-1)</f>
        <v>47453</v>
      </c>
      <c r="E1663" s="11" t="n">
        <f aca="false">IF(AND(C1663&gt;=Staffing!$F$33,C1663&lt;=Staffing!$G$33,1=1),IF(C1663&lt;=6,Staffing!$H$33,IF(C1663&lt;=15,Staffing!$I$33,IF(C1663&lt;=30,Staffing!$J$33,Staffing!$K$33))),0)</f>
        <v>1</v>
      </c>
      <c r="F1663" s="10" t="n">
        <f aca="false">E1663*Staffing!$L$33/12*(1+Assumptions!$E$10)^INT((C1663-1)/12)*1</f>
        <v>15917.34375</v>
      </c>
      <c r="G1663" s="10" t="n">
        <f aca="false">F1663*Staffing!$N$33</f>
        <v>6366.9375</v>
      </c>
      <c r="H1663" s="10" t="n">
        <f aca="false">F1663+G1663</f>
        <v>22284.28125</v>
      </c>
      <c r="I1663" s="10" t="n">
        <f aca="false">0</f>
        <v>0</v>
      </c>
      <c r="J1663" s="10" t="n">
        <f aca="false">MAX(0,E1663-E1662)*Staffing!$O$33</f>
        <v>0</v>
      </c>
      <c r="K1663" s="10" t="n">
        <f aca="false">MAX(0,E1663-E1662)*Staffing!$P$33</f>
        <v>0</v>
      </c>
      <c r="L1663" s="23" t="n">
        <f aca="false">ROUNDUP(E1663,0)</f>
        <v>1</v>
      </c>
    </row>
    <row r="1664" customFormat="false" ht="15" hidden="false" customHeight="false" outlineLevel="0" collapsed="false">
      <c r="A1664" s="6" t="s">
        <v>73</v>
      </c>
      <c r="B1664" s="6" t="s">
        <v>329</v>
      </c>
      <c r="C1664" s="6" t="n">
        <v>39</v>
      </c>
      <c r="D1664" s="25" t="n">
        <f aca="false">EDATE('Start Here'!$B$6,C1664-1)</f>
        <v>47484</v>
      </c>
      <c r="E1664" s="11" t="n">
        <f aca="false">IF(AND(C1664&gt;=Staffing!$F$33,C1664&lt;=Staffing!$G$33,1=1),IF(C1664&lt;=6,Staffing!$H$33,IF(C1664&lt;=15,Staffing!$I$33,IF(C1664&lt;=30,Staffing!$J$33,Staffing!$K$33))),0)</f>
        <v>1</v>
      </c>
      <c r="F1664" s="10" t="n">
        <f aca="false">E1664*Staffing!$L$33/12*(1+Assumptions!$E$10)^INT((C1664-1)/12)*1</f>
        <v>15917.34375</v>
      </c>
      <c r="G1664" s="10" t="n">
        <f aca="false">F1664*Staffing!$N$33</f>
        <v>6366.9375</v>
      </c>
      <c r="H1664" s="10" t="n">
        <f aca="false">F1664+G1664</f>
        <v>22284.28125</v>
      </c>
      <c r="I1664" s="10" t="n">
        <f aca="false">0</f>
        <v>0</v>
      </c>
      <c r="J1664" s="10" t="n">
        <f aca="false">MAX(0,E1664-E1663)*Staffing!$O$33</f>
        <v>0</v>
      </c>
      <c r="K1664" s="10" t="n">
        <f aca="false">MAX(0,E1664-E1663)*Staffing!$P$33</f>
        <v>0</v>
      </c>
      <c r="L1664" s="23" t="n">
        <f aca="false">ROUNDUP(E1664,0)</f>
        <v>1</v>
      </c>
    </row>
    <row r="1665" customFormat="false" ht="15" hidden="false" customHeight="false" outlineLevel="0" collapsed="false">
      <c r="A1665" s="6" t="s">
        <v>73</v>
      </c>
      <c r="B1665" s="6" t="s">
        <v>329</v>
      </c>
      <c r="C1665" s="6" t="n">
        <v>40</v>
      </c>
      <c r="D1665" s="25" t="n">
        <f aca="false">EDATE('Start Here'!$B$6,C1665-1)</f>
        <v>47515</v>
      </c>
      <c r="E1665" s="11" t="n">
        <f aca="false">IF(AND(C1665&gt;=Staffing!$F$33,C1665&lt;=Staffing!$G$33,1=1),IF(C1665&lt;=6,Staffing!$H$33,IF(C1665&lt;=15,Staffing!$I$33,IF(C1665&lt;=30,Staffing!$J$33,Staffing!$K$33))),0)</f>
        <v>1</v>
      </c>
      <c r="F1665" s="10" t="n">
        <f aca="false">E1665*Staffing!$L$33/12*(1+Assumptions!$E$10)^INT((C1665-1)/12)*1</f>
        <v>15917.34375</v>
      </c>
      <c r="G1665" s="10" t="n">
        <f aca="false">F1665*Staffing!$N$33</f>
        <v>6366.9375</v>
      </c>
      <c r="H1665" s="10" t="n">
        <f aca="false">F1665+G1665</f>
        <v>22284.28125</v>
      </c>
      <c r="I1665" s="10" t="n">
        <f aca="false">0</f>
        <v>0</v>
      </c>
      <c r="J1665" s="10" t="n">
        <f aca="false">MAX(0,E1665-E1664)*Staffing!$O$33</f>
        <v>0</v>
      </c>
      <c r="K1665" s="10" t="n">
        <f aca="false">MAX(0,E1665-E1664)*Staffing!$P$33</f>
        <v>0</v>
      </c>
      <c r="L1665" s="23" t="n">
        <f aca="false">ROUNDUP(E1665,0)</f>
        <v>1</v>
      </c>
    </row>
    <row r="1666" customFormat="false" ht="15" hidden="false" customHeight="false" outlineLevel="0" collapsed="false">
      <c r="A1666" s="6" t="s">
        <v>73</v>
      </c>
      <c r="B1666" s="6" t="s">
        <v>329</v>
      </c>
      <c r="C1666" s="6" t="n">
        <v>41</v>
      </c>
      <c r="D1666" s="25" t="n">
        <f aca="false">EDATE('Start Here'!$B$6,C1666-1)</f>
        <v>47543</v>
      </c>
      <c r="E1666" s="11" t="n">
        <f aca="false">IF(AND(C1666&gt;=Staffing!$F$33,C1666&lt;=Staffing!$G$33,1=1),IF(C1666&lt;=6,Staffing!$H$33,IF(C1666&lt;=15,Staffing!$I$33,IF(C1666&lt;=30,Staffing!$J$33,Staffing!$K$33))),0)</f>
        <v>1</v>
      </c>
      <c r="F1666" s="10" t="n">
        <f aca="false">E1666*Staffing!$L$33/12*(1+Assumptions!$E$10)^INT((C1666-1)/12)*1</f>
        <v>15917.34375</v>
      </c>
      <c r="G1666" s="10" t="n">
        <f aca="false">F1666*Staffing!$N$33</f>
        <v>6366.9375</v>
      </c>
      <c r="H1666" s="10" t="n">
        <f aca="false">F1666+G1666</f>
        <v>22284.28125</v>
      </c>
      <c r="I1666" s="10" t="n">
        <f aca="false">0</f>
        <v>0</v>
      </c>
      <c r="J1666" s="10" t="n">
        <f aca="false">MAX(0,E1666-E1665)*Staffing!$O$33</f>
        <v>0</v>
      </c>
      <c r="K1666" s="10" t="n">
        <f aca="false">MAX(0,E1666-E1665)*Staffing!$P$33</f>
        <v>0</v>
      </c>
      <c r="L1666" s="23" t="n">
        <f aca="false">ROUNDUP(E1666,0)</f>
        <v>1</v>
      </c>
    </row>
    <row r="1667" customFormat="false" ht="15" hidden="false" customHeight="false" outlineLevel="0" collapsed="false">
      <c r="A1667" s="6" t="s">
        <v>73</v>
      </c>
      <c r="B1667" s="6" t="s">
        <v>329</v>
      </c>
      <c r="C1667" s="6" t="n">
        <v>42</v>
      </c>
      <c r="D1667" s="25" t="n">
        <f aca="false">EDATE('Start Here'!$B$6,C1667-1)</f>
        <v>47574</v>
      </c>
      <c r="E1667" s="11" t="n">
        <f aca="false">IF(AND(C1667&gt;=Staffing!$F$33,C1667&lt;=Staffing!$G$33,1=1),IF(C1667&lt;=6,Staffing!$H$33,IF(C1667&lt;=15,Staffing!$I$33,IF(C1667&lt;=30,Staffing!$J$33,Staffing!$K$33))),0)</f>
        <v>1</v>
      </c>
      <c r="F1667" s="10" t="n">
        <f aca="false">E1667*Staffing!$L$33/12*(1+Assumptions!$E$10)^INT((C1667-1)/12)*1</f>
        <v>15917.34375</v>
      </c>
      <c r="G1667" s="10" t="n">
        <f aca="false">F1667*Staffing!$N$33</f>
        <v>6366.9375</v>
      </c>
      <c r="H1667" s="10" t="n">
        <f aca="false">F1667+G1667</f>
        <v>22284.28125</v>
      </c>
      <c r="I1667" s="10" t="n">
        <f aca="false">0</f>
        <v>0</v>
      </c>
      <c r="J1667" s="10" t="n">
        <f aca="false">MAX(0,E1667-E1666)*Staffing!$O$33</f>
        <v>0</v>
      </c>
      <c r="K1667" s="10" t="n">
        <f aca="false">MAX(0,E1667-E1666)*Staffing!$P$33</f>
        <v>0</v>
      </c>
      <c r="L1667" s="23" t="n">
        <f aca="false">ROUNDUP(E1667,0)</f>
        <v>1</v>
      </c>
    </row>
    <row r="1668" customFormat="false" ht="15" hidden="false" customHeight="false" outlineLevel="0" collapsed="false">
      <c r="A1668" s="6" t="s">
        <v>73</v>
      </c>
      <c r="B1668" s="6" t="s">
        <v>329</v>
      </c>
      <c r="C1668" s="6" t="n">
        <v>43</v>
      </c>
      <c r="D1668" s="25" t="n">
        <f aca="false">EDATE('Start Here'!$B$6,C1668-1)</f>
        <v>47604</v>
      </c>
      <c r="E1668" s="11" t="n">
        <f aca="false">IF(AND(C1668&gt;=Staffing!$F$33,C1668&lt;=Staffing!$G$33,1=1),IF(C1668&lt;=6,Staffing!$H$33,IF(C1668&lt;=15,Staffing!$I$33,IF(C1668&lt;=30,Staffing!$J$33,Staffing!$K$33))),0)</f>
        <v>1</v>
      </c>
      <c r="F1668" s="10" t="n">
        <f aca="false">E1668*Staffing!$L$33/12*(1+Assumptions!$E$10)^INT((C1668-1)/12)*1</f>
        <v>15917.34375</v>
      </c>
      <c r="G1668" s="10" t="n">
        <f aca="false">F1668*Staffing!$N$33</f>
        <v>6366.9375</v>
      </c>
      <c r="H1668" s="10" t="n">
        <f aca="false">F1668+G1668</f>
        <v>22284.28125</v>
      </c>
      <c r="I1668" s="10" t="n">
        <f aca="false">0</f>
        <v>0</v>
      </c>
      <c r="J1668" s="10" t="n">
        <f aca="false">MAX(0,E1668-E1667)*Staffing!$O$33</f>
        <v>0</v>
      </c>
      <c r="K1668" s="10" t="n">
        <f aca="false">MAX(0,E1668-E1667)*Staffing!$P$33</f>
        <v>0</v>
      </c>
      <c r="L1668" s="23" t="n">
        <f aca="false">ROUNDUP(E1668,0)</f>
        <v>1</v>
      </c>
    </row>
    <row r="1669" customFormat="false" ht="15" hidden="false" customHeight="false" outlineLevel="0" collapsed="false">
      <c r="A1669" s="6" t="s">
        <v>73</v>
      </c>
      <c r="B1669" s="6" t="s">
        <v>329</v>
      </c>
      <c r="C1669" s="6" t="n">
        <v>44</v>
      </c>
      <c r="D1669" s="25" t="n">
        <f aca="false">EDATE('Start Here'!$B$6,C1669-1)</f>
        <v>47635</v>
      </c>
      <c r="E1669" s="11" t="n">
        <f aca="false">IF(AND(C1669&gt;=Staffing!$F$33,C1669&lt;=Staffing!$G$33,1=1),IF(C1669&lt;=6,Staffing!$H$33,IF(C1669&lt;=15,Staffing!$I$33,IF(C1669&lt;=30,Staffing!$J$33,Staffing!$K$33))),0)</f>
        <v>1</v>
      </c>
      <c r="F1669" s="10" t="n">
        <f aca="false">E1669*Staffing!$L$33/12*(1+Assumptions!$E$10)^INT((C1669-1)/12)*1</f>
        <v>15917.34375</v>
      </c>
      <c r="G1669" s="10" t="n">
        <f aca="false">F1669*Staffing!$N$33</f>
        <v>6366.9375</v>
      </c>
      <c r="H1669" s="10" t="n">
        <f aca="false">F1669+G1669</f>
        <v>22284.28125</v>
      </c>
      <c r="I1669" s="10" t="n">
        <f aca="false">0</f>
        <v>0</v>
      </c>
      <c r="J1669" s="10" t="n">
        <f aca="false">MAX(0,E1669-E1668)*Staffing!$O$33</f>
        <v>0</v>
      </c>
      <c r="K1669" s="10" t="n">
        <f aca="false">MAX(0,E1669-E1668)*Staffing!$P$33</f>
        <v>0</v>
      </c>
      <c r="L1669" s="23" t="n">
        <f aca="false">ROUNDUP(E1669,0)</f>
        <v>1</v>
      </c>
    </row>
    <row r="1670" customFormat="false" ht="15" hidden="false" customHeight="false" outlineLevel="0" collapsed="false">
      <c r="A1670" s="6" t="s">
        <v>73</v>
      </c>
      <c r="B1670" s="6" t="s">
        <v>329</v>
      </c>
      <c r="C1670" s="6" t="n">
        <v>45</v>
      </c>
      <c r="D1670" s="25" t="n">
        <f aca="false">EDATE('Start Here'!$B$6,C1670-1)</f>
        <v>47665</v>
      </c>
      <c r="E1670" s="11" t="n">
        <f aca="false">IF(AND(C1670&gt;=Staffing!$F$33,C1670&lt;=Staffing!$G$33,1=1),IF(C1670&lt;=6,Staffing!$H$33,IF(C1670&lt;=15,Staffing!$I$33,IF(C1670&lt;=30,Staffing!$J$33,Staffing!$K$33))),0)</f>
        <v>1</v>
      </c>
      <c r="F1670" s="10" t="n">
        <f aca="false">E1670*Staffing!$L$33/12*(1+Assumptions!$E$10)^INT((C1670-1)/12)*1</f>
        <v>15917.34375</v>
      </c>
      <c r="G1670" s="10" t="n">
        <f aca="false">F1670*Staffing!$N$33</f>
        <v>6366.9375</v>
      </c>
      <c r="H1670" s="10" t="n">
        <f aca="false">F1670+G1670</f>
        <v>22284.28125</v>
      </c>
      <c r="I1670" s="10" t="n">
        <f aca="false">0</f>
        <v>0</v>
      </c>
      <c r="J1670" s="10" t="n">
        <f aca="false">MAX(0,E1670-E1669)*Staffing!$O$33</f>
        <v>0</v>
      </c>
      <c r="K1670" s="10" t="n">
        <f aca="false">MAX(0,E1670-E1669)*Staffing!$P$33</f>
        <v>0</v>
      </c>
      <c r="L1670" s="23" t="n">
        <f aca="false">ROUNDUP(E1670,0)</f>
        <v>1</v>
      </c>
    </row>
    <row r="1671" customFormat="false" ht="15" hidden="false" customHeight="false" outlineLevel="0" collapsed="false">
      <c r="A1671" s="6" t="s">
        <v>73</v>
      </c>
      <c r="B1671" s="6" t="s">
        <v>329</v>
      </c>
      <c r="C1671" s="6" t="n">
        <v>46</v>
      </c>
      <c r="D1671" s="25" t="n">
        <f aca="false">EDATE('Start Here'!$B$6,C1671-1)</f>
        <v>47696</v>
      </c>
      <c r="E1671" s="11" t="n">
        <f aca="false">IF(AND(C1671&gt;=Staffing!$F$33,C1671&lt;=Staffing!$G$33,1=1),IF(C1671&lt;=6,Staffing!$H$33,IF(C1671&lt;=15,Staffing!$I$33,IF(C1671&lt;=30,Staffing!$J$33,Staffing!$K$33))),0)</f>
        <v>1</v>
      </c>
      <c r="F1671" s="10" t="n">
        <f aca="false">E1671*Staffing!$L$33/12*(1+Assumptions!$E$10)^INT((C1671-1)/12)*1</f>
        <v>15917.34375</v>
      </c>
      <c r="G1671" s="10" t="n">
        <f aca="false">F1671*Staffing!$N$33</f>
        <v>6366.9375</v>
      </c>
      <c r="H1671" s="10" t="n">
        <f aca="false">F1671+G1671</f>
        <v>22284.28125</v>
      </c>
      <c r="I1671" s="10" t="n">
        <f aca="false">0</f>
        <v>0</v>
      </c>
      <c r="J1671" s="10" t="n">
        <f aca="false">MAX(0,E1671-E1670)*Staffing!$O$33</f>
        <v>0</v>
      </c>
      <c r="K1671" s="10" t="n">
        <f aca="false">MAX(0,E1671-E1670)*Staffing!$P$33</f>
        <v>0</v>
      </c>
      <c r="L1671" s="23" t="n">
        <f aca="false">ROUNDUP(E1671,0)</f>
        <v>1</v>
      </c>
    </row>
    <row r="1672" customFormat="false" ht="15" hidden="false" customHeight="false" outlineLevel="0" collapsed="false">
      <c r="A1672" s="6" t="s">
        <v>73</v>
      </c>
      <c r="B1672" s="6" t="s">
        <v>329</v>
      </c>
      <c r="C1672" s="6" t="n">
        <v>47</v>
      </c>
      <c r="D1672" s="25" t="n">
        <f aca="false">EDATE('Start Here'!$B$6,C1672-1)</f>
        <v>47727</v>
      </c>
      <c r="E1672" s="11" t="n">
        <f aca="false">IF(AND(C1672&gt;=Staffing!$F$33,C1672&lt;=Staffing!$G$33,1=1),IF(C1672&lt;=6,Staffing!$H$33,IF(C1672&lt;=15,Staffing!$I$33,IF(C1672&lt;=30,Staffing!$J$33,Staffing!$K$33))),0)</f>
        <v>1</v>
      </c>
      <c r="F1672" s="10" t="n">
        <f aca="false">E1672*Staffing!$L$33/12*(1+Assumptions!$E$10)^INT((C1672-1)/12)*1</f>
        <v>15917.34375</v>
      </c>
      <c r="G1672" s="10" t="n">
        <f aca="false">F1672*Staffing!$N$33</f>
        <v>6366.9375</v>
      </c>
      <c r="H1672" s="10" t="n">
        <f aca="false">F1672+G1672</f>
        <v>22284.28125</v>
      </c>
      <c r="I1672" s="10" t="n">
        <f aca="false">0</f>
        <v>0</v>
      </c>
      <c r="J1672" s="10" t="n">
        <f aca="false">MAX(0,E1672-E1671)*Staffing!$O$33</f>
        <v>0</v>
      </c>
      <c r="K1672" s="10" t="n">
        <f aca="false">MAX(0,E1672-E1671)*Staffing!$P$33</f>
        <v>0</v>
      </c>
      <c r="L1672" s="23" t="n">
        <f aca="false">ROUNDUP(E1672,0)</f>
        <v>1</v>
      </c>
    </row>
    <row r="1673" customFormat="false" ht="15" hidden="false" customHeight="false" outlineLevel="0" collapsed="false">
      <c r="A1673" s="6" t="s">
        <v>73</v>
      </c>
      <c r="B1673" s="6" t="s">
        <v>329</v>
      </c>
      <c r="C1673" s="6" t="n">
        <v>48</v>
      </c>
      <c r="D1673" s="25" t="n">
        <f aca="false">EDATE('Start Here'!$B$6,C1673-1)</f>
        <v>47757</v>
      </c>
      <c r="E1673" s="11" t="n">
        <f aca="false">IF(AND(C1673&gt;=Staffing!$F$33,C1673&lt;=Staffing!$G$33,1=1),IF(C1673&lt;=6,Staffing!$H$33,IF(C1673&lt;=15,Staffing!$I$33,IF(C1673&lt;=30,Staffing!$J$33,Staffing!$K$33))),0)</f>
        <v>1</v>
      </c>
      <c r="F1673" s="10" t="n">
        <f aca="false">E1673*Staffing!$L$33/12*(1+Assumptions!$E$10)^INT((C1673-1)/12)*1</f>
        <v>15917.34375</v>
      </c>
      <c r="G1673" s="10" t="n">
        <f aca="false">F1673*Staffing!$N$33</f>
        <v>6366.9375</v>
      </c>
      <c r="H1673" s="10" t="n">
        <f aca="false">F1673+G1673</f>
        <v>22284.28125</v>
      </c>
      <c r="I1673" s="10" t="n">
        <f aca="false">0</f>
        <v>0</v>
      </c>
      <c r="J1673" s="10" t="n">
        <f aca="false">MAX(0,E1673-E1672)*Staffing!$O$33</f>
        <v>0</v>
      </c>
      <c r="K1673" s="10" t="n">
        <f aca="false">MAX(0,E1673-E1672)*Staffing!$P$33</f>
        <v>0</v>
      </c>
      <c r="L1673" s="23" t="n">
        <f aca="false">ROUNDUP(E1673,0)</f>
        <v>1</v>
      </c>
    </row>
    <row r="1674" customFormat="false" ht="15" hidden="false" customHeight="false" outlineLevel="0" collapsed="false">
      <c r="A1674" s="6" t="s">
        <v>73</v>
      </c>
      <c r="B1674" s="6" t="s">
        <v>329</v>
      </c>
      <c r="C1674" s="6" t="n">
        <v>49</v>
      </c>
      <c r="D1674" s="25" t="n">
        <f aca="false">EDATE('Start Here'!$B$6,C1674-1)</f>
        <v>47788</v>
      </c>
      <c r="E1674" s="11" t="n">
        <f aca="false">IF(AND(C1674&gt;=Staffing!$F$33,C1674&lt;=Staffing!$G$33,1=1),IF(C1674&lt;=6,Staffing!$H$33,IF(C1674&lt;=15,Staffing!$I$33,IF(C1674&lt;=30,Staffing!$J$33,Staffing!$K$33))),0)</f>
        <v>1</v>
      </c>
      <c r="F1674" s="10" t="n">
        <f aca="false">E1674*Staffing!$L$33/12*(1+Assumptions!$E$10)^INT((C1674-1)/12)*1</f>
        <v>16713.2109375</v>
      </c>
      <c r="G1674" s="10" t="n">
        <f aca="false">F1674*Staffing!$N$33</f>
        <v>6685.284375</v>
      </c>
      <c r="H1674" s="10" t="n">
        <f aca="false">F1674+G1674</f>
        <v>23398.4953125</v>
      </c>
      <c r="I1674" s="10" t="n">
        <f aca="false">0</f>
        <v>0</v>
      </c>
      <c r="J1674" s="10" t="n">
        <f aca="false">MAX(0,E1674-E1673)*Staffing!$O$33</f>
        <v>0</v>
      </c>
      <c r="K1674" s="10" t="n">
        <f aca="false">MAX(0,E1674-E1673)*Staffing!$P$33</f>
        <v>0</v>
      </c>
      <c r="L1674" s="23" t="n">
        <f aca="false">ROUNDUP(E1674,0)</f>
        <v>1</v>
      </c>
    </row>
    <row r="1675" customFormat="false" ht="15" hidden="false" customHeight="false" outlineLevel="0" collapsed="false">
      <c r="A1675" s="6" t="s">
        <v>73</v>
      </c>
      <c r="B1675" s="6" t="s">
        <v>329</v>
      </c>
      <c r="C1675" s="6" t="n">
        <v>50</v>
      </c>
      <c r="D1675" s="25" t="n">
        <f aca="false">EDATE('Start Here'!$B$6,C1675-1)</f>
        <v>47818</v>
      </c>
      <c r="E1675" s="11" t="n">
        <f aca="false">IF(AND(C1675&gt;=Staffing!$F$33,C1675&lt;=Staffing!$G$33,1=1),IF(C1675&lt;=6,Staffing!$H$33,IF(C1675&lt;=15,Staffing!$I$33,IF(C1675&lt;=30,Staffing!$J$33,Staffing!$K$33))),0)</f>
        <v>1</v>
      </c>
      <c r="F1675" s="10" t="n">
        <f aca="false">E1675*Staffing!$L$33/12*(1+Assumptions!$E$10)^INT((C1675-1)/12)*1</f>
        <v>16713.2109375</v>
      </c>
      <c r="G1675" s="10" t="n">
        <f aca="false">F1675*Staffing!$N$33</f>
        <v>6685.284375</v>
      </c>
      <c r="H1675" s="10" t="n">
        <f aca="false">F1675+G1675</f>
        <v>23398.4953125</v>
      </c>
      <c r="I1675" s="10" t="n">
        <f aca="false">0</f>
        <v>0</v>
      </c>
      <c r="J1675" s="10" t="n">
        <f aca="false">MAX(0,E1675-E1674)*Staffing!$O$33</f>
        <v>0</v>
      </c>
      <c r="K1675" s="10" t="n">
        <f aca="false">MAX(0,E1675-E1674)*Staffing!$P$33</f>
        <v>0</v>
      </c>
      <c r="L1675" s="23" t="n">
        <f aca="false">ROUNDUP(E1675,0)</f>
        <v>1</v>
      </c>
    </row>
    <row r="1676" customFormat="false" ht="15" hidden="false" customHeight="false" outlineLevel="0" collapsed="false">
      <c r="A1676" s="6" t="s">
        <v>73</v>
      </c>
      <c r="B1676" s="6" t="s">
        <v>329</v>
      </c>
      <c r="C1676" s="6" t="n">
        <v>51</v>
      </c>
      <c r="D1676" s="25" t="n">
        <f aca="false">EDATE('Start Here'!$B$6,C1676-1)</f>
        <v>47849</v>
      </c>
      <c r="E1676" s="11" t="n">
        <f aca="false">IF(AND(C1676&gt;=Staffing!$F$33,C1676&lt;=Staffing!$G$33,1=1),IF(C1676&lt;=6,Staffing!$H$33,IF(C1676&lt;=15,Staffing!$I$33,IF(C1676&lt;=30,Staffing!$J$33,Staffing!$K$33))),0)</f>
        <v>1</v>
      </c>
      <c r="F1676" s="10" t="n">
        <f aca="false">E1676*Staffing!$L$33/12*(1+Assumptions!$E$10)^INT((C1676-1)/12)*1</f>
        <v>16713.2109375</v>
      </c>
      <c r="G1676" s="10" t="n">
        <f aca="false">F1676*Staffing!$N$33</f>
        <v>6685.284375</v>
      </c>
      <c r="H1676" s="10" t="n">
        <f aca="false">F1676+G1676</f>
        <v>23398.4953125</v>
      </c>
      <c r="I1676" s="10" t="n">
        <f aca="false">0</f>
        <v>0</v>
      </c>
      <c r="J1676" s="10" t="n">
        <f aca="false">MAX(0,E1676-E1675)*Staffing!$O$33</f>
        <v>0</v>
      </c>
      <c r="K1676" s="10" t="n">
        <f aca="false">MAX(0,E1676-E1675)*Staffing!$P$33</f>
        <v>0</v>
      </c>
      <c r="L1676" s="23" t="n">
        <f aca="false">ROUNDUP(E1676,0)</f>
        <v>1</v>
      </c>
    </row>
    <row r="1677" customFormat="false" ht="15" hidden="false" customHeight="false" outlineLevel="0" collapsed="false">
      <c r="A1677" s="6" t="s">
        <v>73</v>
      </c>
      <c r="B1677" s="6" t="s">
        <v>329</v>
      </c>
      <c r="C1677" s="6" t="n">
        <v>52</v>
      </c>
      <c r="D1677" s="25" t="n">
        <f aca="false">EDATE('Start Here'!$B$6,C1677-1)</f>
        <v>47880</v>
      </c>
      <c r="E1677" s="11" t="n">
        <f aca="false">IF(AND(C1677&gt;=Staffing!$F$33,C1677&lt;=Staffing!$G$33,1=1),IF(C1677&lt;=6,Staffing!$H$33,IF(C1677&lt;=15,Staffing!$I$33,IF(C1677&lt;=30,Staffing!$J$33,Staffing!$K$33))),0)</f>
        <v>1</v>
      </c>
      <c r="F1677" s="10" t="n">
        <f aca="false">E1677*Staffing!$L$33/12*(1+Assumptions!$E$10)^INT((C1677-1)/12)*1</f>
        <v>16713.2109375</v>
      </c>
      <c r="G1677" s="10" t="n">
        <f aca="false">F1677*Staffing!$N$33</f>
        <v>6685.284375</v>
      </c>
      <c r="H1677" s="10" t="n">
        <f aca="false">F1677+G1677</f>
        <v>23398.4953125</v>
      </c>
      <c r="I1677" s="10" t="n">
        <f aca="false">0</f>
        <v>0</v>
      </c>
      <c r="J1677" s="10" t="n">
        <f aca="false">MAX(0,E1677-E1676)*Staffing!$O$33</f>
        <v>0</v>
      </c>
      <c r="K1677" s="10" t="n">
        <f aca="false">MAX(0,E1677-E1676)*Staffing!$P$33</f>
        <v>0</v>
      </c>
      <c r="L1677" s="23" t="n">
        <f aca="false">ROUNDUP(E1677,0)</f>
        <v>1</v>
      </c>
    </row>
    <row r="1678" customFormat="false" ht="15" hidden="false" customHeight="false" outlineLevel="0" collapsed="false">
      <c r="A1678" s="6" t="s">
        <v>73</v>
      </c>
      <c r="B1678" s="6" t="s">
        <v>329</v>
      </c>
      <c r="C1678" s="6" t="n">
        <v>53</v>
      </c>
      <c r="D1678" s="25" t="n">
        <f aca="false">EDATE('Start Here'!$B$6,C1678-1)</f>
        <v>47908</v>
      </c>
      <c r="E1678" s="11" t="n">
        <f aca="false">IF(AND(C1678&gt;=Staffing!$F$33,C1678&lt;=Staffing!$G$33,1=1),IF(C1678&lt;=6,Staffing!$H$33,IF(C1678&lt;=15,Staffing!$I$33,IF(C1678&lt;=30,Staffing!$J$33,Staffing!$K$33))),0)</f>
        <v>1</v>
      </c>
      <c r="F1678" s="10" t="n">
        <f aca="false">E1678*Staffing!$L$33/12*(1+Assumptions!$E$10)^INT((C1678-1)/12)*1</f>
        <v>16713.2109375</v>
      </c>
      <c r="G1678" s="10" t="n">
        <f aca="false">F1678*Staffing!$N$33</f>
        <v>6685.284375</v>
      </c>
      <c r="H1678" s="10" t="n">
        <f aca="false">F1678+G1678</f>
        <v>23398.4953125</v>
      </c>
      <c r="I1678" s="10" t="n">
        <f aca="false">0</f>
        <v>0</v>
      </c>
      <c r="J1678" s="10" t="n">
        <f aca="false">MAX(0,E1678-E1677)*Staffing!$O$33</f>
        <v>0</v>
      </c>
      <c r="K1678" s="10" t="n">
        <f aca="false">MAX(0,E1678-E1677)*Staffing!$P$33</f>
        <v>0</v>
      </c>
      <c r="L1678" s="23" t="n">
        <f aca="false">ROUNDUP(E1678,0)</f>
        <v>1</v>
      </c>
    </row>
    <row r="1679" customFormat="false" ht="15" hidden="false" customHeight="false" outlineLevel="0" collapsed="false">
      <c r="A1679" s="6" t="s">
        <v>73</v>
      </c>
      <c r="B1679" s="6" t="s">
        <v>329</v>
      </c>
      <c r="C1679" s="6" t="n">
        <v>54</v>
      </c>
      <c r="D1679" s="25" t="n">
        <f aca="false">EDATE('Start Here'!$B$6,C1679-1)</f>
        <v>47939</v>
      </c>
      <c r="E1679" s="11" t="n">
        <f aca="false">IF(AND(C1679&gt;=Staffing!$F$33,C1679&lt;=Staffing!$G$33,1=1),IF(C1679&lt;=6,Staffing!$H$33,IF(C1679&lt;=15,Staffing!$I$33,IF(C1679&lt;=30,Staffing!$J$33,Staffing!$K$33))),0)</f>
        <v>1</v>
      </c>
      <c r="F1679" s="10" t="n">
        <f aca="false">E1679*Staffing!$L$33/12*(1+Assumptions!$E$10)^INT((C1679-1)/12)*1</f>
        <v>16713.2109375</v>
      </c>
      <c r="G1679" s="10" t="n">
        <f aca="false">F1679*Staffing!$N$33</f>
        <v>6685.284375</v>
      </c>
      <c r="H1679" s="10" t="n">
        <f aca="false">F1679+G1679</f>
        <v>23398.4953125</v>
      </c>
      <c r="I1679" s="10" t="n">
        <f aca="false">0</f>
        <v>0</v>
      </c>
      <c r="J1679" s="10" t="n">
        <f aca="false">MAX(0,E1679-E1678)*Staffing!$O$33</f>
        <v>0</v>
      </c>
      <c r="K1679" s="10" t="n">
        <f aca="false">MAX(0,E1679-E1678)*Staffing!$P$33</f>
        <v>0</v>
      </c>
      <c r="L1679" s="23" t="n">
        <f aca="false">ROUNDUP(E1679,0)</f>
        <v>1</v>
      </c>
    </row>
    <row r="1680" customFormat="false" ht="15" hidden="false" customHeight="false" outlineLevel="0" collapsed="false">
      <c r="A1680" s="6" t="s">
        <v>73</v>
      </c>
      <c r="B1680" s="6" t="s">
        <v>329</v>
      </c>
      <c r="C1680" s="6" t="n">
        <v>55</v>
      </c>
      <c r="D1680" s="25" t="n">
        <f aca="false">EDATE('Start Here'!$B$6,C1680-1)</f>
        <v>47969</v>
      </c>
      <c r="E1680" s="11" t="n">
        <f aca="false">IF(AND(C1680&gt;=Staffing!$F$33,C1680&lt;=Staffing!$G$33,1=1),IF(C1680&lt;=6,Staffing!$H$33,IF(C1680&lt;=15,Staffing!$I$33,IF(C1680&lt;=30,Staffing!$J$33,Staffing!$K$33))),0)</f>
        <v>1</v>
      </c>
      <c r="F1680" s="10" t="n">
        <f aca="false">E1680*Staffing!$L$33/12*(1+Assumptions!$E$10)^INT((C1680-1)/12)*1</f>
        <v>16713.2109375</v>
      </c>
      <c r="G1680" s="10" t="n">
        <f aca="false">F1680*Staffing!$N$33</f>
        <v>6685.284375</v>
      </c>
      <c r="H1680" s="10" t="n">
        <f aca="false">F1680+G1680</f>
        <v>23398.4953125</v>
      </c>
      <c r="I1680" s="10" t="n">
        <f aca="false">0</f>
        <v>0</v>
      </c>
      <c r="J1680" s="10" t="n">
        <f aca="false">MAX(0,E1680-E1679)*Staffing!$O$33</f>
        <v>0</v>
      </c>
      <c r="K1680" s="10" t="n">
        <f aca="false">MAX(0,E1680-E1679)*Staffing!$P$33</f>
        <v>0</v>
      </c>
      <c r="L1680" s="23" t="n">
        <f aca="false">ROUNDUP(E1680,0)</f>
        <v>1</v>
      </c>
    </row>
    <row r="1681" customFormat="false" ht="15" hidden="false" customHeight="false" outlineLevel="0" collapsed="false">
      <c r="A1681" s="6" t="s">
        <v>73</v>
      </c>
      <c r="B1681" s="6" t="s">
        <v>329</v>
      </c>
      <c r="C1681" s="6" t="n">
        <v>56</v>
      </c>
      <c r="D1681" s="25" t="n">
        <f aca="false">EDATE('Start Here'!$B$6,C1681-1)</f>
        <v>48000</v>
      </c>
      <c r="E1681" s="11" t="n">
        <f aca="false">IF(AND(C1681&gt;=Staffing!$F$33,C1681&lt;=Staffing!$G$33,1=1),IF(C1681&lt;=6,Staffing!$H$33,IF(C1681&lt;=15,Staffing!$I$33,IF(C1681&lt;=30,Staffing!$J$33,Staffing!$K$33))),0)</f>
        <v>1</v>
      </c>
      <c r="F1681" s="10" t="n">
        <f aca="false">E1681*Staffing!$L$33/12*(1+Assumptions!$E$10)^INT((C1681-1)/12)*1</f>
        <v>16713.2109375</v>
      </c>
      <c r="G1681" s="10" t="n">
        <f aca="false">F1681*Staffing!$N$33</f>
        <v>6685.284375</v>
      </c>
      <c r="H1681" s="10" t="n">
        <f aca="false">F1681+G1681</f>
        <v>23398.4953125</v>
      </c>
      <c r="I1681" s="10" t="n">
        <f aca="false">0</f>
        <v>0</v>
      </c>
      <c r="J1681" s="10" t="n">
        <f aca="false">MAX(0,E1681-E1680)*Staffing!$O$33</f>
        <v>0</v>
      </c>
      <c r="K1681" s="10" t="n">
        <f aca="false">MAX(0,E1681-E1680)*Staffing!$P$33</f>
        <v>0</v>
      </c>
      <c r="L1681" s="23" t="n">
        <f aca="false">ROUNDUP(E1681,0)</f>
        <v>1</v>
      </c>
    </row>
    <row r="1682" customFormat="false" ht="15" hidden="false" customHeight="false" outlineLevel="0" collapsed="false">
      <c r="A1682" s="6" t="s">
        <v>73</v>
      </c>
      <c r="B1682" s="6" t="s">
        <v>329</v>
      </c>
      <c r="C1682" s="6" t="n">
        <v>57</v>
      </c>
      <c r="D1682" s="25" t="n">
        <f aca="false">EDATE('Start Here'!$B$6,C1682-1)</f>
        <v>48030</v>
      </c>
      <c r="E1682" s="11" t="n">
        <f aca="false">IF(AND(C1682&gt;=Staffing!$F$33,C1682&lt;=Staffing!$G$33,1=1),IF(C1682&lt;=6,Staffing!$H$33,IF(C1682&lt;=15,Staffing!$I$33,IF(C1682&lt;=30,Staffing!$J$33,Staffing!$K$33))),0)</f>
        <v>1</v>
      </c>
      <c r="F1682" s="10" t="n">
        <f aca="false">E1682*Staffing!$L$33/12*(1+Assumptions!$E$10)^INT((C1682-1)/12)*1</f>
        <v>16713.2109375</v>
      </c>
      <c r="G1682" s="10" t="n">
        <f aca="false">F1682*Staffing!$N$33</f>
        <v>6685.284375</v>
      </c>
      <c r="H1682" s="10" t="n">
        <f aca="false">F1682+G1682</f>
        <v>23398.4953125</v>
      </c>
      <c r="I1682" s="10" t="n">
        <f aca="false">0</f>
        <v>0</v>
      </c>
      <c r="J1682" s="10" t="n">
        <f aca="false">MAX(0,E1682-E1681)*Staffing!$O$33</f>
        <v>0</v>
      </c>
      <c r="K1682" s="10" t="n">
        <f aca="false">MAX(0,E1682-E1681)*Staffing!$P$33</f>
        <v>0</v>
      </c>
      <c r="L1682" s="23" t="n">
        <f aca="false">ROUNDUP(E1682,0)</f>
        <v>1</v>
      </c>
    </row>
    <row r="1683" customFormat="false" ht="15" hidden="false" customHeight="false" outlineLevel="0" collapsed="false">
      <c r="A1683" s="6" t="s">
        <v>73</v>
      </c>
      <c r="B1683" s="6" t="s">
        <v>329</v>
      </c>
      <c r="C1683" s="6" t="n">
        <v>58</v>
      </c>
      <c r="D1683" s="25" t="n">
        <f aca="false">EDATE('Start Here'!$B$6,C1683-1)</f>
        <v>48061</v>
      </c>
      <c r="E1683" s="11" t="n">
        <f aca="false">IF(AND(C1683&gt;=Staffing!$F$33,C1683&lt;=Staffing!$G$33,1=1),IF(C1683&lt;=6,Staffing!$H$33,IF(C1683&lt;=15,Staffing!$I$33,IF(C1683&lt;=30,Staffing!$J$33,Staffing!$K$33))),0)</f>
        <v>1</v>
      </c>
      <c r="F1683" s="10" t="n">
        <f aca="false">E1683*Staffing!$L$33/12*(1+Assumptions!$E$10)^INT((C1683-1)/12)*1</f>
        <v>16713.2109375</v>
      </c>
      <c r="G1683" s="10" t="n">
        <f aca="false">F1683*Staffing!$N$33</f>
        <v>6685.284375</v>
      </c>
      <c r="H1683" s="10" t="n">
        <f aca="false">F1683+G1683</f>
        <v>23398.4953125</v>
      </c>
      <c r="I1683" s="10" t="n">
        <f aca="false">0</f>
        <v>0</v>
      </c>
      <c r="J1683" s="10" t="n">
        <f aca="false">MAX(0,E1683-E1682)*Staffing!$O$33</f>
        <v>0</v>
      </c>
      <c r="K1683" s="10" t="n">
        <f aca="false">MAX(0,E1683-E1682)*Staffing!$P$33</f>
        <v>0</v>
      </c>
      <c r="L1683" s="23" t="n">
        <f aca="false">ROUNDUP(E1683,0)</f>
        <v>1</v>
      </c>
    </row>
    <row r="1684" customFormat="false" ht="15" hidden="false" customHeight="false" outlineLevel="0" collapsed="false">
      <c r="A1684" s="6" t="s">
        <v>73</v>
      </c>
      <c r="B1684" s="6" t="s">
        <v>329</v>
      </c>
      <c r="C1684" s="6" t="n">
        <v>59</v>
      </c>
      <c r="D1684" s="25" t="n">
        <f aca="false">EDATE('Start Here'!$B$6,C1684-1)</f>
        <v>48092</v>
      </c>
      <c r="E1684" s="11" t="n">
        <f aca="false">IF(AND(C1684&gt;=Staffing!$F$33,C1684&lt;=Staffing!$G$33,1=1),IF(C1684&lt;=6,Staffing!$H$33,IF(C1684&lt;=15,Staffing!$I$33,IF(C1684&lt;=30,Staffing!$J$33,Staffing!$K$33))),0)</f>
        <v>1</v>
      </c>
      <c r="F1684" s="10" t="n">
        <f aca="false">E1684*Staffing!$L$33/12*(1+Assumptions!$E$10)^INT((C1684-1)/12)*1</f>
        <v>16713.2109375</v>
      </c>
      <c r="G1684" s="10" t="n">
        <f aca="false">F1684*Staffing!$N$33</f>
        <v>6685.284375</v>
      </c>
      <c r="H1684" s="10" t="n">
        <f aca="false">F1684+G1684</f>
        <v>23398.4953125</v>
      </c>
      <c r="I1684" s="10" t="n">
        <f aca="false">0</f>
        <v>0</v>
      </c>
      <c r="J1684" s="10" t="n">
        <f aca="false">MAX(0,E1684-E1683)*Staffing!$O$33</f>
        <v>0</v>
      </c>
      <c r="K1684" s="10" t="n">
        <f aca="false">MAX(0,E1684-E1683)*Staffing!$P$33</f>
        <v>0</v>
      </c>
      <c r="L1684" s="23" t="n">
        <f aca="false">ROUNDUP(E1684,0)</f>
        <v>1</v>
      </c>
    </row>
    <row r="1685" customFormat="false" ht="15" hidden="false" customHeight="false" outlineLevel="0" collapsed="false">
      <c r="A1685" s="6" t="s">
        <v>73</v>
      </c>
      <c r="B1685" s="6" t="s">
        <v>329</v>
      </c>
      <c r="C1685" s="6" t="n">
        <v>60</v>
      </c>
      <c r="D1685" s="25" t="n">
        <f aca="false">EDATE('Start Here'!$B$6,C1685-1)</f>
        <v>48122</v>
      </c>
      <c r="E1685" s="11" t="n">
        <f aca="false">IF(AND(C1685&gt;=Staffing!$F$33,C1685&lt;=Staffing!$G$33,1=1),IF(C1685&lt;=6,Staffing!$H$33,IF(C1685&lt;=15,Staffing!$I$33,IF(C1685&lt;=30,Staffing!$J$33,Staffing!$K$33))),0)</f>
        <v>1</v>
      </c>
      <c r="F1685" s="10" t="n">
        <f aca="false">E1685*Staffing!$L$33/12*(1+Assumptions!$E$10)^INT((C1685-1)/12)*1</f>
        <v>16713.2109375</v>
      </c>
      <c r="G1685" s="10" t="n">
        <f aca="false">F1685*Staffing!$N$33</f>
        <v>6685.284375</v>
      </c>
      <c r="H1685" s="10" t="n">
        <f aca="false">F1685+G1685</f>
        <v>23398.4953125</v>
      </c>
      <c r="I1685" s="10" t="n">
        <f aca="false">0</f>
        <v>0</v>
      </c>
      <c r="J1685" s="10" t="n">
        <f aca="false">MAX(0,E1685-E1684)*Staffing!$O$33</f>
        <v>0</v>
      </c>
      <c r="K1685" s="10" t="n">
        <f aca="false">MAX(0,E1685-E1684)*Staffing!$P$33</f>
        <v>0</v>
      </c>
      <c r="L1685" s="23" t="n">
        <f aca="false">ROUNDUP(E1685,0)</f>
        <v>1</v>
      </c>
    </row>
    <row r="1686" customFormat="false" ht="15" hidden="false" customHeight="false" outlineLevel="0" collapsed="false">
      <c r="A1686" s="6" t="s">
        <v>73</v>
      </c>
      <c r="B1686" s="6" t="s">
        <v>332</v>
      </c>
      <c r="C1686" s="6" t="n">
        <v>1</v>
      </c>
      <c r="D1686" s="25" t="n">
        <f aca="false">EDATE('Start Here'!$B$6,C1686-1)</f>
        <v>46327</v>
      </c>
      <c r="E1686" s="23" t="n">
        <f aca="false">IF(AND(C1686&gt;=Staffing!$F$34,C1686&lt;=Staffing!$G$34,1=1),IF(C1686&lt;=6,Staffing!$H$34,IF(C1686&lt;=15,Staffing!$I$34,IF(C1686&lt;=30,Staffing!$J$34,Staffing!$K$34))),0)</f>
        <v>0</v>
      </c>
      <c r="F1686" s="10" t="n">
        <f aca="false">E1686*Staffing!$L$34/12*(1+Assumptions!$E$10)^INT((C1686-1)/12)*1</f>
        <v>0</v>
      </c>
      <c r="G1686" s="10" t="n">
        <f aca="false">F1686*Staffing!$N$34</f>
        <v>0</v>
      </c>
      <c r="H1686" s="10" t="n">
        <f aca="false">F1686+G1686</f>
        <v>0</v>
      </c>
      <c r="I1686" s="10" t="n">
        <f aca="false">0</f>
        <v>0</v>
      </c>
      <c r="J1686" s="10" t="n">
        <f aca="false">MAX(0,E1686-0)*Staffing!$O$34</f>
        <v>0</v>
      </c>
      <c r="K1686" s="10" t="n">
        <f aca="false">MAX(0,E1686-0)*Staffing!$P$34</f>
        <v>0</v>
      </c>
      <c r="L1686" s="23" t="n">
        <f aca="false">ROUNDUP(E1686,0)</f>
        <v>0</v>
      </c>
    </row>
    <row r="1687" customFormat="false" ht="15" hidden="false" customHeight="false" outlineLevel="0" collapsed="false">
      <c r="A1687" s="6" t="s">
        <v>73</v>
      </c>
      <c r="B1687" s="6" t="s">
        <v>332</v>
      </c>
      <c r="C1687" s="6" t="n">
        <v>2</v>
      </c>
      <c r="D1687" s="25" t="n">
        <f aca="false">EDATE('Start Here'!$B$6,C1687-1)</f>
        <v>46357</v>
      </c>
      <c r="E1687" s="11" t="n">
        <f aca="false">IF(AND(C1687&gt;=Staffing!$F$34,C1687&lt;=Staffing!$G$34,1=1),IF(C1687&lt;=6,Staffing!$H$34,IF(C1687&lt;=15,Staffing!$I$34,IF(C1687&lt;=30,Staffing!$J$34,Staffing!$K$34))),0)</f>
        <v>1</v>
      </c>
      <c r="F1687" s="10" t="n">
        <f aca="false">E1687*Staffing!$L$34/12*(1+Assumptions!$E$10)^INT((C1687-1)/12)*1</f>
        <v>12083.3333333333</v>
      </c>
      <c r="G1687" s="10" t="n">
        <f aca="false">F1687*Staffing!$N$34</f>
        <v>4833.33333333333</v>
      </c>
      <c r="H1687" s="10" t="n">
        <f aca="false">F1687+G1687</f>
        <v>16916.6666666667</v>
      </c>
      <c r="I1687" s="10" t="n">
        <f aca="false">0</f>
        <v>0</v>
      </c>
      <c r="J1687" s="10" t="n">
        <f aca="false">MAX(0,E1687-E1686)*Staffing!$O$34</f>
        <v>12000</v>
      </c>
      <c r="K1687" s="10" t="n">
        <f aca="false">MAX(0,E1687-E1686)*Staffing!$P$34</f>
        <v>3500</v>
      </c>
      <c r="L1687" s="23" t="n">
        <f aca="false">ROUNDUP(E1687,0)</f>
        <v>1</v>
      </c>
    </row>
    <row r="1688" customFormat="false" ht="15" hidden="false" customHeight="false" outlineLevel="0" collapsed="false">
      <c r="A1688" s="6" t="s">
        <v>73</v>
      </c>
      <c r="B1688" s="6" t="s">
        <v>332</v>
      </c>
      <c r="C1688" s="6" t="n">
        <v>3</v>
      </c>
      <c r="D1688" s="25" t="n">
        <f aca="false">EDATE('Start Here'!$B$6,C1688-1)</f>
        <v>46388</v>
      </c>
      <c r="E1688" s="11" t="n">
        <f aca="false">IF(AND(C1688&gt;=Staffing!$F$34,C1688&lt;=Staffing!$G$34,1=1),IF(C1688&lt;=6,Staffing!$H$34,IF(C1688&lt;=15,Staffing!$I$34,IF(C1688&lt;=30,Staffing!$J$34,Staffing!$K$34))),0)</f>
        <v>1</v>
      </c>
      <c r="F1688" s="10" t="n">
        <f aca="false">E1688*Staffing!$L$34/12*(1+Assumptions!$E$10)^INT((C1688-1)/12)*1</f>
        <v>12083.3333333333</v>
      </c>
      <c r="G1688" s="10" t="n">
        <f aca="false">F1688*Staffing!$N$34</f>
        <v>4833.33333333333</v>
      </c>
      <c r="H1688" s="10" t="n">
        <f aca="false">F1688+G1688</f>
        <v>16916.6666666667</v>
      </c>
      <c r="I1688" s="10" t="n">
        <f aca="false">0</f>
        <v>0</v>
      </c>
      <c r="J1688" s="10" t="n">
        <f aca="false">MAX(0,E1688-E1687)*Staffing!$O$34</f>
        <v>0</v>
      </c>
      <c r="K1688" s="10" t="n">
        <f aca="false">MAX(0,E1688-E1687)*Staffing!$P$34</f>
        <v>0</v>
      </c>
      <c r="L1688" s="23" t="n">
        <f aca="false">ROUNDUP(E1688,0)</f>
        <v>1</v>
      </c>
    </row>
    <row r="1689" customFormat="false" ht="15" hidden="false" customHeight="false" outlineLevel="0" collapsed="false">
      <c r="A1689" s="6" t="s">
        <v>73</v>
      </c>
      <c r="B1689" s="6" t="s">
        <v>332</v>
      </c>
      <c r="C1689" s="6" t="n">
        <v>4</v>
      </c>
      <c r="D1689" s="25" t="n">
        <f aca="false">EDATE('Start Here'!$B$6,C1689-1)</f>
        <v>46419</v>
      </c>
      <c r="E1689" s="11" t="n">
        <f aca="false">IF(AND(C1689&gt;=Staffing!$F$34,C1689&lt;=Staffing!$G$34,1=1),IF(C1689&lt;=6,Staffing!$H$34,IF(C1689&lt;=15,Staffing!$I$34,IF(C1689&lt;=30,Staffing!$J$34,Staffing!$K$34))),0)</f>
        <v>1</v>
      </c>
      <c r="F1689" s="10" t="n">
        <f aca="false">E1689*Staffing!$L$34/12*(1+Assumptions!$E$10)^INT((C1689-1)/12)*1</f>
        <v>12083.3333333333</v>
      </c>
      <c r="G1689" s="10" t="n">
        <f aca="false">F1689*Staffing!$N$34</f>
        <v>4833.33333333333</v>
      </c>
      <c r="H1689" s="10" t="n">
        <f aca="false">F1689+G1689</f>
        <v>16916.6666666667</v>
      </c>
      <c r="I1689" s="10" t="n">
        <f aca="false">0</f>
        <v>0</v>
      </c>
      <c r="J1689" s="10" t="n">
        <f aca="false">MAX(0,E1689-E1688)*Staffing!$O$34</f>
        <v>0</v>
      </c>
      <c r="K1689" s="10" t="n">
        <f aca="false">MAX(0,E1689-E1688)*Staffing!$P$34</f>
        <v>0</v>
      </c>
      <c r="L1689" s="23" t="n">
        <f aca="false">ROUNDUP(E1689,0)</f>
        <v>1</v>
      </c>
    </row>
    <row r="1690" customFormat="false" ht="15" hidden="false" customHeight="false" outlineLevel="0" collapsed="false">
      <c r="A1690" s="6" t="s">
        <v>73</v>
      </c>
      <c r="B1690" s="6" t="s">
        <v>332</v>
      </c>
      <c r="C1690" s="6" t="n">
        <v>5</v>
      </c>
      <c r="D1690" s="25" t="n">
        <f aca="false">EDATE('Start Here'!$B$6,C1690-1)</f>
        <v>46447</v>
      </c>
      <c r="E1690" s="11" t="n">
        <f aca="false">IF(AND(C1690&gt;=Staffing!$F$34,C1690&lt;=Staffing!$G$34,1=1),IF(C1690&lt;=6,Staffing!$H$34,IF(C1690&lt;=15,Staffing!$I$34,IF(C1690&lt;=30,Staffing!$J$34,Staffing!$K$34))),0)</f>
        <v>1</v>
      </c>
      <c r="F1690" s="10" t="n">
        <f aca="false">E1690*Staffing!$L$34/12*(1+Assumptions!$E$10)^INT((C1690-1)/12)*1</f>
        <v>12083.3333333333</v>
      </c>
      <c r="G1690" s="10" t="n">
        <f aca="false">F1690*Staffing!$N$34</f>
        <v>4833.33333333333</v>
      </c>
      <c r="H1690" s="10" t="n">
        <f aca="false">F1690+G1690</f>
        <v>16916.6666666667</v>
      </c>
      <c r="I1690" s="10" t="n">
        <f aca="false">0</f>
        <v>0</v>
      </c>
      <c r="J1690" s="10" t="n">
        <f aca="false">MAX(0,E1690-E1689)*Staffing!$O$34</f>
        <v>0</v>
      </c>
      <c r="K1690" s="10" t="n">
        <f aca="false">MAX(0,E1690-E1689)*Staffing!$P$34</f>
        <v>0</v>
      </c>
      <c r="L1690" s="23" t="n">
        <f aca="false">ROUNDUP(E1690,0)</f>
        <v>1</v>
      </c>
    </row>
    <row r="1691" customFormat="false" ht="15" hidden="false" customHeight="false" outlineLevel="0" collapsed="false">
      <c r="A1691" s="6" t="s">
        <v>73</v>
      </c>
      <c r="B1691" s="6" t="s">
        <v>332</v>
      </c>
      <c r="C1691" s="6" t="n">
        <v>6</v>
      </c>
      <c r="D1691" s="25" t="n">
        <f aca="false">EDATE('Start Here'!$B$6,C1691-1)</f>
        <v>46478</v>
      </c>
      <c r="E1691" s="11" t="n">
        <f aca="false">IF(AND(C1691&gt;=Staffing!$F$34,C1691&lt;=Staffing!$G$34,1=1),IF(C1691&lt;=6,Staffing!$H$34,IF(C1691&lt;=15,Staffing!$I$34,IF(C1691&lt;=30,Staffing!$J$34,Staffing!$K$34))),0)</f>
        <v>1</v>
      </c>
      <c r="F1691" s="10" t="n">
        <f aca="false">E1691*Staffing!$L$34/12*(1+Assumptions!$E$10)^INT((C1691-1)/12)*1</f>
        <v>12083.3333333333</v>
      </c>
      <c r="G1691" s="10" t="n">
        <f aca="false">F1691*Staffing!$N$34</f>
        <v>4833.33333333333</v>
      </c>
      <c r="H1691" s="10" t="n">
        <f aca="false">F1691+G1691</f>
        <v>16916.6666666667</v>
      </c>
      <c r="I1691" s="10" t="n">
        <f aca="false">0</f>
        <v>0</v>
      </c>
      <c r="J1691" s="10" t="n">
        <f aca="false">MAX(0,E1691-E1690)*Staffing!$O$34</f>
        <v>0</v>
      </c>
      <c r="K1691" s="10" t="n">
        <f aca="false">MAX(0,E1691-E1690)*Staffing!$P$34</f>
        <v>0</v>
      </c>
      <c r="L1691" s="23" t="n">
        <f aca="false">ROUNDUP(E1691,0)</f>
        <v>1</v>
      </c>
    </row>
    <row r="1692" customFormat="false" ht="15" hidden="false" customHeight="false" outlineLevel="0" collapsed="false">
      <c r="A1692" s="6" t="s">
        <v>73</v>
      </c>
      <c r="B1692" s="6" t="s">
        <v>332</v>
      </c>
      <c r="C1692" s="6" t="n">
        <v>7</v>
      </c>
      <c r="D1692" s="25" t="n">
        <f aca="false">EDATE('Start Here'!$B$6,C1692-1)</f>
        <v>46508</v>
      </c>
      <c r="E1692" s="11" t="n">
        <f aca="false">IF(AND(C1692&gt;=Staffing!$F$34,C1692&lt;=Staffing!$G$34,1=1),IF(C1692&lt;=6,Staffing!$H$34,IF(C1692&lt;=15,Staffing!$I$34,IF(C1692&lt;=30,Staffing!$J$34,Staffing!$K$34))),0)</f>
        <v>2</v>
      </c>
      <c r="F1692" s="10" t="n">
        <f aca="false">E1692*Staffing!$L$34/12*(1+Assumptions!$E$10)^INT((C1692-1)/12)*1</f>
        <v>24166.6666666667</v>
      </c>
      <c r="G1692" s="10" t="n">
        <f aca="false">F1692*Staffing!$N$34</f>
        <v>9666.66666666667</v>
      </c>
      <c r="H1692" s="10" t="n">
        <f aca="false">F1692+G1692</f>
        <v>33833.3333333333</v>
      </c>
      <c r="I1692" s="10" t="n">
        <f aca="false">0</f>
        <v>0</v>
      </c>
      <c r="J1692" s="10" t="n">
        <f aca="false">MAX(0,E1692-E1691)*Staffing!$O$34</f>
        <v>12000</v>
      </c>
      <c r="K1692" s="10" t="n">
        <f aca="false">MAX(0,E1692-E1691)*Staffing!$P$34</f>
        <v>3500</v>
      </c>
      <c r="L1692" s="23" t="n">
        <f aca="false">ROUNDUP(E1692,0)</f>
        <v>2</v>
      </c>
    </row>
    <row r="1693" customFormat="false" ht="15" hidden="false" customHeight="false" outlineLevel="0" collapsed="false">
      <c r="A1693" s="6" t="s">
        <v>73</v>
      </c>
      <c r="B1693" s="6" t="s">
        <v>332</v>
      </c>
      <c r="C1693" s="6" t="n">
        <v>8</v>
      </c>
      <c r="D1693" s="25" t="n">
        <f aca="false">EDATE('Start Here'!$B$6,C1693-1)</f>
        <v>46539</v>
      </c>
      <c r="E1693" s="11" t="n">
        <f aca="false">IF(AND(C1693&gt;=Staffing!$F$34,C1693&lt;=Staffing!$G$34,1=1),IF(C1693&lt;=6,Staffing!$H$34,IF(C1693&lt;=15,Staffing!$I$34,IF(C1693&lt;=30,Staffing!$J$34,Staffing!$K$34))),0)</f>
        <v>2</v>
      </c>
      <c r="F1693" s="10" t="n">
        <f aca="false">E1693*Staffing!$L$34/12*(1+Assumptions!$E$10)^INT((C1693-1)/12)*1</f>
        <v>24166.6666666667</v>
      </c>
      <c r="G1693" s="10" t="n">
        <f aca="false">F1693*Staffing!$N$34</f>
        <v>9666.66666666667</v>
      </c>
      <c r="H1693" s="10" t="n">
        <f aca="false">F1693+G1693</f>
        <v>33833.3333333333</v>
      </c>
      <c r="I1693" s="10" t="n">
        <f aca="false">0</f>
        <v>0</v>
      </c>
      <c r="J1693" s="10" t="n">
        <f aca="false">MAX(0,E1693-E1692)*Staffing!$O$34</f>
        <v>0</v>
      </c>
      <c r="K1693" s="10" t="n">
        <f aca="false">MAX(0,E1693-E1692)*Staffing!$P$34</f>
        <v>0</v>
      </c>
      <c r="L1693" s="23" t="n">
        <f aca="false">ROUNDUP(E1693,0)</f>
        <v>2</v>
      </c>
    </row>
    <row r="1694" customFormat="false" ht="15" hidden="false" customHeight="false" outlineLevel="0" collapsed="false">
      <c r="A1694" s="6" t="s">
        <v>73</v>
      </c>
      <c r="B1694" s="6" t="s">
        <v>332</v>
      </c>
      <c r="C1694" s="6" t="n">
        <v>9</v>
      </c>
      <c r="D1694" s="25" t="n">
        <f aca="false">EDATE('Start Here'!$B$6,C1694-1)</f>
        <v>46569</v>
      </c>
      <c r="E1694" s="11" t="n">
        <f aca="false">IF(AND(C1694&gt;=Staffing!$F$34,C1694&lt;=Staffing!$G$34,1=1),IF(C1694&lt;=6,Staffing!$H$34,IF(C1694&lt;=15,Staffing!$I$34,IF(C1694&lt;=30,Staffing!$J$34,Staffing!$K$34))),0)</f>
        <v>2</v>
      </c>
      <c r="F1694" s="10" t="n">
        <f aca="false">E1694*Staffing!$L$34/12*(1+Assumptions!$E$10)^INT((C1694-1)/12)*1</f>
        <v>24166.6666666667</v>
      </c>
      <c r="G1694" s="10" t="n">
        <f aca="false">F1694*Staffing!$N$34</f>
        <v>9666.66666666667</v>
      </c>
      <c r="H1694" s="10" t="n">
        <f aca="false">F1694+G1694</f>
        <v>33833.3333333333</v>
      </c>
      <c r="I1694" s="10" t="n">
        <f aca="false">0</f>
        <v>0</v>
      </c>
      <c r="J1694" s="10" t="n">
        <f aca="false">MAX(0,E1694-E1693)*Staffing!$O$34</f>
        <v>0</v>
      </c>
      <c r="K1694" s="10" t="n">
        <f aca="false">MAX(0,E1694-E1693)*Staffing!$P$34</f>
        <v>0</v>
      </c>
      <c r="L1694" s="23" t="n">
        <f aca="false">ROUNDUP(E1694,0)</f>
        <v>2</v>
      </c>
    </row>
    <row r="1695" customFormat="false" ht="15" hidden="false" customHeight="false" outlineLevel="0" collapsed="false">
      <c r="A1695" s="6" t="s">
        <v>73</v>
      </c>
      <c r="B1695" s="6" t="s">
        <v>332</v>
      </c>
      <c r="C1695" s="6" t="n">
        <v>10</v>
      </c>
      <c r="D1695" s="25" t="n">
        <f aca="false">EDATE('Start Here'!$B$6,C1695-1)</f>
        <v>46600</v>
      </c>
      <c r="E1695" s="11" t="n">
        <f aca="false">IF(AND(C1695&gt;=Staffing!$F$34,C1695&lt;=Staffing!$G$34,1=1),IF(C1695&lt;=6,Staffing!$H$34,IF(C1695&lt;=15,Staffing!$I$34,IF(C1695&lt;=30,Staffing!$J$34,Staffing!$K$34))),0)</f>
        <v>2</v>
      </c>
      <c r="F1695" s="10" t="n">
        <f aca="false">E1695*Staffing!$L$34/12*(1+Assumptions!$E$10)^INT((C1695-1)/12)*1</f>
        <v>24166.6666666667</v>
      </c>
      <c r="G1695" s="10" t="n">
        <f aca="false">F1695*Staffing!$N$34</f>
        <v>9666.66666666667</v>
      </c>
      <c r="H1695" s="10" t="n">
        <f aca="false">F1695+G1695</f>
        <v>33833.3333333333</v>
      </c>
      <c r="I1695" s="10" t="n">
        <f aca="false">0</f>
        <v>0</v>
      </c>
      <c r="J1695" s="10" t="n">
        <f aca="false">MAX(0,E1695-E1694)*Staffing!$O$34</f>
        <v>0</v>
      </c>
      <c r="K1695" s="10" t="n">
        <f aca="false">MAX(0,E1695-E1694)*Staffing!$P$34</f>
        <v>0</v>
      </c>
      <c r="L1695" s="23" t="n">
        <f aca="false">ROUNDUP(E1695,0)</f>
        <v>2</v>
      </c>
    </row>
    <row r="1696" customFormat="false" ht="15" hidden="false" customHeight="false" outlineLevel="0" collapsed="false">
      <c r="A1696" s="6" t="s">
        <v>73</v>
      </c>
      <c r="B1696" s="6" t="s">
        <v>332</v>
      </c>
      <c r="C1696" s="6" t="n">
        <v>11</v>
      </c>
      <c r="D1696" s="25" t="n">
        <f aca="false">EDATE('Start Here'!$B$6,C1696-1)</f>
        <v>46631</v>
      </c>
      <c r="E1696" s="11" t="n">
        <f aca="false">IF(AND(C1696&gt;=Staffing!$F$34,C1696&lt;=Staffing!$G$34,1=1),IF(C1696&lt;=6,Staffing!$H$34,IF(C1696&lt;=15,Staffing!$I$34,IF(C1696&lt;=30,Staffing!$J$34,Staffing!$K$34))),0)</f>
        <v>2</v>
      </c>
      <c r="F1696" s="10" t="n">
        <f aca="false">E1696*Staffing!$L$34/12*(1+Assumptions!$E$10)^INT((C1696-1)/12)*1</f>
        <v>24166.6666666667</v>
      </c>
      <c r="G1696" s="10" t="n">
        <f aca="false">F1696*Staffing!$N$34</f>
        <v>9666.66666666667</v>
      </c>
      <c r="H1696" s="10" t="n">
        <f aca="false">F1696+G1696</f>
        <v>33833.3333333333</v>
      </c>
      <c r="I1696" s="10" t="n">
        <f aca="false">0</f>
        <v>0</v>
      </c>
      <c r="J1696" s="10" t="n">
        <f aca="false">MAX(0,E1696-E1695)*Staffing!$O$34</f>
        <v>0</v>
      </c>
      <c r="K1696" s="10" t="n">
        <f aca="false">MAX(0,E1696-E1695)*Staffing!$P$34</f>
        <v>0</v>
      </c>
      <c r="L1696" s="23" t="n">
        <f aca="false">ROUNDUP(E1696,0)</f>
        <v>2</v>
      </c>
    </row>
    <row r="1697" customFormat="false" ht="15" hidden="false" customHeight="false" outlineLevel="0" collapsed="false">
      <c r="A1697" s="6" t="s">
        <v>73</v>
      </c>
      <c r="B1697" s="6" t="s">
        <v>332</v>
      </c>
      <c r="C1697" s="6" t="n">
        <v>12</v>
      </c>
      <c r="D1697" s="25" t="n">
        <f aca="false">EDATE('Start Here'!$B$6,C1697-1)</f>
        <v>46661</v>
      </c>
      <c r="E1697" s="11" t="n">
        <f aca="false">IF(AND(C1697&gt;=Staffing!$F$34,C1697&lt;=Staffing!$G$34,1=1),IF(C1697&lt;=6,Staffing!$H$34,IF(C1697&lt;=15,Staffing!$I$34,IF(C1697&lt;=30,Staffing!$J$34,Staffing!$K$34))),0)</f>
        <v>2</v>
      </c>
      <c r="F1697" s="10" t="n">
        <f aca="false">E1697*Staffing!$L$34/12*(1+Assumptions!$E$10)^INT((C1697-1)/12)*1</f>
        <v>24166.6666666667</v>
      </c>
      <c r="G1697" s="10" t="n">
        <f aca="false">F1697*Staffing!$N$34</f>
        <v>9666.66666666667</v>
      </c>
      <c r="H1697" s="10" t="n">
        <f aca="false">F1697+G1697</f>
        <v>33833.3333333333</v>
      </c>
      <c r="I1697" s="10" t="n">
        <f aca="false">0</f>
        <v>0</v>
      </c>
      <c r="J1697" s="10" t="n">
        <f aca="false">MAX(0,E1697-E1696)*Staffing!$O$34</f>
        <v>0</v>
      </c>
      <c r="K1697" s="10" t="n">
        <f aca="false">MAX(0,E1697-E1696)*Staffing!$P$34</f>
        <v>0</v>
      </c>
      <c r="L1697" s="23" t="n">
        <f aca="false">ROUNDUP(E1697,0)</f>
        <v>2</v>
      </c>
    </row>
    <row r="1698" customFormat="false" ht="15" hidden="false" customHeight="false" outlineLevel="0" collapsed="false">
      <c r="A1698" s="6" t="s">
        <v>73</v>
      </c>
      <c r="B1698" s="6" t="s">
        <v>332</v>
      </c>
      <c r="C1698" s="6" t="n">
        <v>13</v>
      </c>
      <c r="D1698" s="25" t="n">
        <f aca="false">EDATE('Start Here'!$B$6,C1698-1)</f>
        <v>46692</v>
      </c>
      <c r="E1698" s="11" t="n">
        <f aca="false">IF(AND(C1698&gt;=Staffing!$F$34,C1698&lt;=Staffing!$G$34,1=1),IF(C1698&lt;=6,Staffing!$H$34,IF(C1698&lt;=15,Staffing!$I$34,IF(C1698&lt;=30,Staffing!$J$34,Staffing!$K$34))),0)</f>
        <v>2</v>
      </c>
      <c r="F1698" s="10" t="n">
        <f aca="false">E1698*Staffing!$L$34/12*(1+Assumptions!$E$10)^INT((C1698-1)/12)*1</f>
        <v>25375</v>
      </c>
      <c r="G1698" s="10" t="n">
        <f aca="false">F1698*Staffing!$N$34</f>
        <v>10150</v>
      </c>
      <c r="H1698" s="10" t="n">
        <f aca="false">F1698+G1698</f>
        <v>35525</v>
      </c>
      <c r="I1698" s="10" t="n">
        <f aca="false">0</f>
        <v>0</v>
      </c>
      <c r="J1698" s="10" t="n">
        <f aca="false">MAX(0,E1698-E1697)*Staffing!$O$34</f>
        <v>0</v>
      </c>
      <c r="K1698" s="10" t="n">
        <f aca="false">MAX(0,E1698-E1697)*Staffing!$P$34</f>
        <v>0</v>
      </c>
      <c r="L1698" s="23" t="n">
        <f aca="false">ROUNDUP(E1698,0)</f>
        <v>2</v>
      </c>
    </row>
    <row r="1699" customFormat="false" ht="15" hidden="false" customHeight="false" outlineLevel="0" collapsed="false">
      <c r="A1699" s="6" t="s">
        <v>73</v>
      </c>
      <c r="B1699" s="6" t="s">
        <v>332</v>
      </c>
      <c r="C1699" s="6" t="n">
        <v>14</v>
      </c>
      <c r="D1699" s="25" t="n">
        <f aca="false">EDATE('Start Here'!$B$6,C1699-1)</f>
        <v>46722</v>
      </c>
      <c r="E1699" s="11" t="n">
        <f aca="false">IF(AND(C1699&gt;=Staffing!$F$34,C1699&lt;=Staffing!$G$34,1=1),IF(C1699&lt;=6,Staffing!$H$34,IF(C1699&lt;=15,Staffing!$I$34,IF(C1699&lt;=30,Staffing!$J$34,Staffing!$K$34))),0)</f>
        <v>2</v>
      </c>
      <c r="F1699" s="10" t="n">
        <f aca="false">E1699*Staffing!$L$34/12*(1+Assumptions!$E$10)^INT((C1699-1)/12)*1</f>
        <v>25375</v>
      </c>
      <c r="G1699" s="10" t="n">
        <f aca="false">F1699*Staffing!$N$34</f>
        <v>10150</v>
      </c>
      <c r="H1699" s="10" t="n">
        <f aca="false">F1699+G1699</f>
        <v>35525</v>
      </c>
      <c r="I1699" s="10" t="n">
        <f aca="false">0</f>
        <v>0</v>
      </c>
      <c r="J1699" s="10" t="n">
        <f aca="false">MAX(0,E1699-E1698)*Staffing!$O$34</f>
        <v>0</v>
      </c>
      <c r="K1699" s="10" t="n">
        <f aca="false">MAX(0,E1699-E1698)*Staffing!$P$34</f>
        <v>0</v>
      </c>
      <c r="L1699" s="23" t="n">
        <f aca="false">ROUNDUP(E1699,0)</f>
        <v>2</v>
      </c>
    </row>
    <row r="1700" customFormat="false" ht="15" hidden="false" customHeight="false" outlineLevel="0" collapsed="false">
      <c r="A1700" s="6" t="s">
        <v>73</v>
      </c>
      <c r="B1700" s="6" t="s">
        <v>332</v>
      </c>
      <c r="C1700" s="6" t="n">
        <v>15</v>
      </c>
      <c r="D1700" s="25" t="n">
        <f aca="false">EDATE('Start Here'!$B$6,C1700-1)</f>
        <v>46753</v>
      </c>
      <c r="E1700" s="11" t="n">
        <f aca="false">IF(AND(C1700&gt;=Staffing!$F$34,C1700&lt;=Staffing!$G$34,1=1),IF(C1700&lt;=6,Staffing!$H$34,IF(C1700&lt;=15,Staffing!$I$34,IF(C1700&lt;=30,Staffing!$J$34,Staffing!$K$34))),0)</f>
        <v>2</v>
      </c>
      <c r="F1700" s="10" t="n">
        <f aca="false">E1700*Staffing!$L$34/12*(1+Assumptions!$E$10)^INT((C1700-1)/12)*1</f>
        <v>25375</v>
      </c>
      <c r="G1700" s="10" t="n">
        <f aca="false">F1700*Staffing!$N$34</f>
        <v>10150</v>
      </c>
      <c r="H1700" s="10" t="n">
        <f aca="false">F1700+G1700</f>
        <v>35525</v>
      </c>
      <c r="I1700" s="10" t="n">
        <f aca="false">0</f>
        <v>0</v>
      </c>
      <c r="J1700" s="10" t="n">
        <f aca="false">MAX(0,E1700-E1699)*Staffing!$O$34</f>
        <v>0</v>
      </c>
      <c r="K1700" s="10" t="n">
        <f aca="false">MAX(0,E1700-E1699)*Staffing!$P$34</f>
        <v>0</v>
      </c>
      <c r="L1700" s="23" t="n">
        <f aca="false">ROUNDUP(E1700,0)</f>
        <v>2</v>
      </c>
    </row>
    <row r="1701" customFormat="false" ht="15" hidden="false" customHeight="false" outlineLevel="0" collapsed="false">
      <c r="A1701" s="6" t="s">
        <v>73</v>
      </c>
      <c r="B1701" s="6" t="s">
        <v>332</v>
      </c>
      <c r="C1701" s="6" t="n">
        <v>16</v>
      </c>
      <c r="D1701" s="25" t="n">
        <f aca="false">EDATE('Start Here'!$B$6,C1701-1)</f>
        <v>46784</v>
      </c>
      <c r="E1701" s="11" t="n">
        <f aca="false">IF(AND(C1701&gt;=Staffing!$F$34,C1701&lt;=Staffing!$G$34,1=1),IF(C1701&lt;=6,Staffing!$H$34,IF(C1701&lt;=15,Staffing!$I$34,IF(C1701&lt;=30,Staffing!$J$34,Staffing!$K$34))),0)</f>
        <v>3</v>
      </c>
      <c r="F1701" s="10" t="n">
        <f aca="false">E1701*Staffing!$L$34/12*(1+Assumptions!$E$10)^INT((C1701-1)/12)*1</f>
        <v>38062.5</v>
      </c>
      <c r="G1701" s="10" t="n">
        <f aca="false">F1701*Staffing!$N$34</f>
        <v>15225</v>
      </c>
      <c r="H1701" s="10" t="n">
        <f aca="false">F1701+G1701</f>
        <v>53287.5</v>
      </c>
      <c r="I1701" s="10" t="n">
        <f aca="false">0</f>
        <v>0</v>
      </c>
      <c r="J1701" s="10" t="n">
        <f aca="false">MAX(0,E1701-E1700)*Staffing!$O$34</f>
        <v>12000</v>
      </c>
      <c r="K1701" s="10" t="n">
        <f aca="false">MAX(0,E1701-E1700)*Staffing!$P$34</f>
        <v>3500</v>
      </c>
      <c r="L1701" s="23" t="n">
        <f aca="false">ROUNDUP(E1701,0)</f>
        <v>3</v>
      </c>
    </row>
    <row r="1702" customFormat="false" ht="15" hidden="false" customHeight="false" outlineLevel="0" collapsed="false">
      <c r="A1702" s="6" t="s">
        <v>73</v>
      </c>
      <c r="B1702" s="6" t="s">
        <v>332</v>
      </c>
      <c r="C1702" s="6" t="n">
        <v>17</v>
      </c>
      <c r="D1702" s="25" t="n">
        <f aca="false">EDATE('Start Here'!$B$6,C1702-1)</f>
        <v>46813</v>
      </c>
      <c r="E1702" s="11" t="n">
        <f aca="false">IF(AND(C1702&gt;=Staffing!$F$34,C1702&lt;=Staffing!$G$34,1=1),IF(C1702&lt;=6,Staffing!$H$34,IF(C1702&lt;=15,Staffing!$I$34,IF(C1702&lt;=30,Staffing!$J$34,Staffing!$K$34))),0)</f>
        <v>3</v>
      </c>
      <c r="F1702" s="10" t="n">
        <f aca="false">E1702*Staffing!$L$34/12*(1+Assumptions!$E$10)^INT((C1702-1)/12)*1</f>
        <v>38062.5</v>
      </c>
      <c r="G1702" s="10" t="n">
        <f aca="false">F1702*Staffing!$N$34</f>
        <v>15225</v>
      </c>
      <c r="H1702" s="10" t="n">
        <f aca="false">F1702+G1702</f>
        <v>53287.5</v>
      </c>
      <c r="I1702" s="10" t="n">
        <f aca="false">0</f>
        <v>0</v>
      </c>
      <c r="J1702" s="10" t="n">
        <f aca="false">MAX(0,E1702-E1701)*Staffing!$O$34</f>
        <v>0</v>
      </c>
      <c r="K1702" s="10" t="n">
        <f aca="false">MAX(0,E1702-E1701)*Staffing!$P$34</f>
        <v>0</v>
      </c>
      <c r="L1702" s="23" t="n">
        <f aca="false">ROUNDUP(E1702,0)</f>
        <v>3</v>
      </c>
    </row>
    <row r="1703" customFormat="false" ht="15" hidden="false" customHeight="false" outlineLevel="0" collapsed="false">
      <c r="A1703" s="6" t="s">
        <v>73</v>
      </c>
      <c r="B1703" s="6" t="s">
        <v>332</v>
      </c>
      <c r="C1703" s="6" t="n">
        <v>18</v>
      </c>
      <c r="D1703" s="25" t="n">
        <f aca="false">EDATE('Start Here'!$B$6,C1703-1)</f>
        <v>46844</v>
      </c>
      <c r="E1703" s="11" t="n">
        <f aca="false">IF(AND(C1703&gt;=Staffing!$F$34,C1703&lt;=Staffing!$G$34,1=1),IF(C1703&lt;=6,Staffing!$H$34,IF(C1703&lt;=15,Staffing!$I$34,IF(C1703&lt;=30,Staffing!$J$34,Staffing!$K$34))),0)</f>
        <v>3</v>
      </c>
      <c r="F1703" s="10" t="n">
        <f aca="false">E1703*Staffing!$L$34/12*(1+Assumptions!$E$10)^INT((C1703-1)/12)*1</f>
        <v>38062.5</v>
      </c>
      <c r="G1703" s="10" t="n">
        <f aca="false">F1703*Staffing!$N$34</f>
        <v>15225</v>
      </c>
      <c r="H1703" s="10" t="n">
        <f aca="false">F1703+G1703</f>
        <v>53287.5</v>
      </c>
      <c r="I1703" s="10" t="n">
        <f aca="false">0</f>
        <v>0</v>
      </c>
      <c r="J1703" s="10" t="n">
        <f aca="false">MAX(0,E1703-E1702)*Staffing!$O$34</f>
        <v>0</v>
      </c>
      <c r="K1703" s="10" t="n">
        <f aca="false">MAX(0,E1703-E1702)*Staffing!$P$34</f>
        <v>0</v>
      </c>
      <c r="L1703" s="23" t="n">
        <f aca="false">ROUNDUP(E1703,0)</f>
        <v>3</v>
      </c>
    </row>
    <row r="1704" customFormat="false" ht="15" hidden="false" customHeight="false" outlineLevel="0" collapsed="false">
      <c r="A1704" s="6" t="s">
        <v>73</v>
      </c>
      <c r="B1704" s="6" t="s">
        <v>332</v>
      </c>
      <c r="C1704" s="6" t="n">
        <v>19</v>
      </c>
      <c r="D1704" s="25" t="n">
        <f aca="false">EDATE('Start Here'!$B$6,C1704-1)</f>
        <v>46874</v>
      </c>
      <c r="E1704" s="11" t="n">
        <f aca="false">IF(AND(C1704&gt;=Staffing!$F$34,C1704&lt;=Staffing!$G$34,1=1),IF(C1704&lt;=6,Staffing!$H$34,IF(C1704&lt;=15,Staffing!$I$34,IF(C1704&lt;=30,Staffing!$J$34,Staffing!$K$34))),0)</f>
        <v>3</v>
      </c>
      <c r="F1704" s="10" t="n">
        <f aca="false">E1704*Staffing!$L$34/12*(1+Assumptions!$E$10)^INT((C1704-1)/12)*1</f>
        <v>38062.5</v>
      </c>
      <c r="G1704" s="10" t="n">
        <f aca="false">F1704*Staffing!$N$34</f>
        <v>15225</v>
      </c>
      <c r="H1704" s="10" t="n">
        <f aca="false">F1704+G1704</f>
        <v>53287.5</v>
      </c>
      <c r="I1704" s="10" t="n">
        <f aca="false">0</f>
        <v>0</v>
      </c>
      <c r="J1704" s="10" t="n">
        <f aca="false">MAX(0,E1704-E1703)*Staffing!$O$34</f>
        <v>0</v>
      </c>
      <c r="K1704" s="10" t="n">
        <f aca="false">MAX(0,E1704-E1703)*Staffing!$P$34</f>
        <v>0</v>
      </c>
      <c r="L1704" s="23" t="n">
        <f aca="false">ROUNDUP(E1704,0)</f>
        <v>3</v>
      </c>
    </row>
    <row r="1705" customFormat="false" ht="15" hidden="false" customHeight="false" outlineLevel="0" collapsed="false">
      <c r="A1705" s="6" t="s">
        <v>73</v>
      </c>
      <c r="B1705" s="6" t="s">
        <v>332</v>
      </c>
      <c r="C1705" s="6" t="n">
        <v>20</v>
      </c>
      <c r="D1705" s="25" t="n">
        <f aca="false">EDATE('Start Here'!$B$6,C1705-1)</f>
        <v>46905</v>
      </c>
      <c r="E1705" s="11" t="n">
        <f aca="false">IF(AND(C1705&gt;=Staffing!$F$34,C1705&lt;=Staffing!$G$34,1=1),IF(C1705&lt;=6,Staffing!$H$34,IF(C1705&lt;=15,Staffing!$I$34,IF(C1705&lt;=30,Staffing!$J$34,Staffing!$K$34))),0)</f>
        <v>3</v>
      </c>
      <c r="F1705" s="10" t="n">
        <f aca="false">E1705*Staffing!$L$34/12*(1+Assumptions!$E$10)^INT((C1705-1)/12)*1</f>
        <v>38062.5</v>
      </c>
      <c r="G1705" s="10" t="n">
        <f aca="false">F1705*Staffing!$N$34</f>
        <v>15225</v>
      </c>
      <c r="H1705" s="10" t="n">
        <f aca="false">F1705+G1705</f>
        <v>53287.5</v>
      </c>
      <c r="I1705" s="10" t="n">
        <f aca="false">0</f>
        <v>0</v>
      </c>
      <c r="J1705" s="10" t="n">
        <f aca="false">MAX(0,E1705-E1704)*Staffing!$O$34</f>
        <v>0</v>
      </c>
      <c r="K1705" s="10" t="n">
        <f aca="false">MAX(0,E1705-E1704)*Staffing!$P$34</f>
        <v>0</v>
      </c>
      <c r="L1705" s="23" t="n">
        <f aca="false">ROUNDUP(E1705,0)</f>
        <v>3</v>
      </c>
    </row>
    <row r="1706" customFormat="false" ht="15" hidden="false" customHeight="false" outlineLevel="0" collapsed="false">
      <c r="A1706" s="6" t="s">
        <v>73</v>
      </c>
      <c r="B1706" s="6" t="s">
        <v>332</v>
      </c>
      <c r="C1706" s="6" t="n">
        <v>21</v>
      </c>
      <c r="D1706" s="25" t="n">
        <f aca="false">EDATE('Start Here'!$B$6,C1706-1)</f>
        <v>46935</v>
      </c>
      <c r="E1706" s="11" t="n">
        <f aca="false">IF(AND(C1706&gt;=Staffing!$F$34,C1706&lt;=Staffing!$G$34,1=1),IF(C1706&lt;=6,Staffing!$H$34,IF(C1706&lt;=15,Staffing!$I$34,IF(C1706&lt;=30,Staffing!$J$34,Staffing!$K$34))),0)</f>
        <v>3</v>
      </c>
      <c r="F1706" s="10" t="n">
        <f aca="false">E1706*Staffing!$L$34/12*(1+Assumptions!$E$10)^INT((C1706-1)/12)*1</f>
        <v>38062.5</v>
      </c>
      <c r="G1706" s="10" t="n">
        <f aca="false">F1706*Staffing!$N$34</f>
        <v>15225</v>
      </c>
      <c r="H1706" s="10" t="n">
        <f aca="false">F1706+G1706</f>
        <v>53287.5</v>
      </c>
      <c r="I1706" s="10" t="n">
        <f aca="false">0</f>
        <v>0</v>
      </c>
      <c r="J1706" s="10" t="n">
        <f aca="false">MAX(0,E1706-E1705)*Staffing!$O$34</f>
        <v>0</v>
      </c>
      <c r="K1706" s="10" t="n">
        <f aca="false">MAX(0,E1706-E1705)*Staffing!$P$34</f>
        <v>0</v>
      </c>
      <c r="L1706" s="23" t="n">
        <f aca="false">ROUNDUP(E1706,0)</f>
        <v>3</v>
      </c>
    </row>
    <row r="1707" customFormat="false" ht="15" hidden="false" customHeight="false" outlineLevel="0" collapsed="false">
      <c r="A1707" s="6" t="s">
        <v>73</v>
      </c>
      <c r="B1707" s="6" t="s">
        <v>332</v>
      </c>
      <c r="C1707" s="6" t="n">
        <v>22</v>
      </c>
      <c r="D1707" s="25" t="n">
        <f aca="false">EDATE('Start Here'!$B$6,C1707-1)</f>
        <v>46966</v>
      </c>
      <c r="E1707" s="11" t="n">
        <f aca="false">IF(AND(C1707&gt;=Staffing!$F$34,C1707&lt;=Staffing!$G$34,1=1),IF(C1707&lt;=6,Staffing!$H$34,IF(C1707&lt;=15,Staffing!$I$34,IF(C1707&lt;=30,Staffing!$J$34,Staffing!$K$34))),0)</f>
        <v>3</v>
      </c>
      <c r="F1707" s="10" t="n">
        <f aca="false">E1707*Staffing!$L$34/12*(1+Assumptions!$E$10)^INT((C1707-1)/12)*1</f>
        <v>38062.5</v>
      </c>
      <c r="G1707" s="10" t="n">
        <f aca="false">F1707*Staffing!$N$34</f>
        <v>15225</v>
      </c>
      <c r="H1707" s="10" t="n">
        <f aca="false">F1707+G1707</f>
        <v>53287.5</v>
      </c>
      <c r="I1707" s="10" t="n">
        <f aca="false">0</f>
        <v>0</v>
      </c>
      <c r="J1707" s="10" t="n">
        <f aca="false">MAX(0,E1707-E1706)*Staffing!$O$34</f>
        <v>0</v>
      </c>
      <c r="K1707" s="10" t="n">
        <f aca="false">MAX(0,E1707-E1706)*Staffing!$P$34</f>
        <v>0</v>
      </c>
      <c r="L1707" s="23" t="n">
        <f aca="false">ROUNDUP(E1707,0)</f>
        <v>3</v>
      </c>
    </row>
    <row r="1708" customFormat="false" ht="15" hidden="false" customHeight="false" outlineLevel="0" collapsed="false">
      <c r="A1708" s="6" t="s">
        <v>73</v>
      </c>
      <c r="B1708" s="6" t="s">
        <v>332</v>
      </c>
      <c r="C1708" s="6" t="n">
        <v>23</v>
      </c>
      <c r="D1708" s="25" t="n">
        <f aca="false">EDATE('Start Here'!$B$6,C1708-1)</f>
        <v>46997</v>
      </c>
      <c r="E1708" s="11" t="n">
        <f aca="false">IF(AND(C1708&gt;=Staffing!$F$34,C1708&lt;=Staffing!$G$34,1=1),IF(C1708&lt;=6,Staffing!$H$34,IF(C1708&lt;=15,Staffing!$I$34,IF(C1708&lt;=30,Staffing!$J$34,Staffing!$K$34))),0)</f>
        <v>3</v>
      </c>
      <c r="F1708" s="10" t="n">
        <f aca="false">E1708*Staffing!$L$34/12*(1+Assumptions!$E$10)^INT((C1708-1)/12)*1</f>
        <v>38062.5</v>
      </c>
      <c r="G1708" s="10" t="n">
        <f aca="false">F1708*Staffing!$N$34</f>
        <v>15225</v>
      </c>
      <c r="H1708" s="10" t="n">
        <f aca="false">F1708+G1708</f>
        <v>53287.5</v>
      </c>
      <c r="I1708" s="10" t="n">
        <f aca="false">0</f>
        <v>0</v>
      </c>
      <c r="J1708" s="10" t="n">
        <f aca="false">MAX(0,E1708-E1707)*Staffing!$O$34</f>
        <v>0</v>
      </c>
      <c r="K1708" s="10" t="n">
        <f aca="false">MAX(0,E1708-E1707)*Staffing!$P$34</f>
        <v>0</v>
      </c>
      <c r="L1708" s="23" t="n">
        <f aca="false">ROUNDUP(E1708,0)</f>
        <v>3</v>
      </c>
    </row>
    <row r="1709" customFormat="false" ht="15" hidden="false" customHeight="false" outlineLevel="0" collapsed="false">
      <c r="A1709" s="6" t="s">
        <v>73</v>
      </c>
      <c r="B1709" s="6" t="s">
        <v>332</v>
      </c>
      <c r="C1709" s="6" t="n">
        <v>24</v>
      </c>
      <c r="D1709" s="25" t="n">
        <f aca="false">EDATE('Start Here'!$B$6,C1709-1)</f>
        <v>47027</v>
      </c>
      <c r="E1709" s="11" t="n">
        <f aca="false">IF(AND(C1709&gt;=Staffing!$F$34,C1709&lt;=Staffing!$G$34,1=1),IF(C1709&lt;=6,Staffing!$H$34,IF(C1709&lt;=15,Staffing!$I$34,IF(C1709&lt;=30,Staffing!$J$34,Staffing!$K$34))),0)</f>
        <v>3</v>
      </c>
      <c r="F1709" s="10" t="n">
        <f aca="false">E1709*Staffing!$L$34/12*(1+Assumptions!$E$10)^INT((C1709-1)/12)*1</f>
        <v>38062.5</v>
      </c>
      <c r="G1709" s="10" t="n">
        <f aca="false">F1709*Staffing!$N$34</f>
        <v>15225</v>
      </c>
      <c r="H1709" s="10" t="n">
        <f aca="false">F1709+G1709</f>
        <v>53287.5</v>
      </c>
      <c r="I1709" s="10" t="n">
        <f aca="false">0</f>
        <v>0</v>
      </c>
      <c r="J1709" s="10" t="n">
        <f aca="false">MAX(0,E1709-E1708)*Staffing!$O$34</f>
        <v>0</v>
      </c>
      <c r="K1709" s="10" t="n">
        <f aca="false">MAX(0,E1709-E1708)*Staffing!$P$34</f>
        <v>0</v>
      </c>
      <c r="L1709" s="23" t="n">
        <f aca="false">ROUNDUP(E1709,0)</f>
        <v>3</v>
      </c>
    </row>
    <row r="1710" customFormat="false" ht="15" hidden="false" customHeight="false" outlineLevel="0" collapsed="false">
      <c r="A1710" s="6" t="s">
        <v>73</v>
      </c>
      <c r="B1710" s="6" t="s">
        <v>332</v>
      </c>
      <c r="C1710" s="6" t="n">
        <v>25</v>
      </c>
      <c r="D1710" s="25" t="n">
        <f aca="false">EDATE('Start Here'!$B$6,C1710-1)</f>
        <v>47058</v>
      </c>
      <c r="E1710" s="11" t="n">
        <f aca="false">IF(AND(C1710&gt;=Staffing!$F$34,C1710&lt;=Staffing!$G$34,1=1),IF(C1710&lt;=6,Staffing!$H$34,IF(C1710&lt;=15,Staffing!$I$34,IF(C1710&lt;=30,Staffing!$J$34,Staffing!$K$34))),0)</f>
        <v>3</v>
      </c>
      <c r="F1710" s="10" t="n">
        <f aca="false">E1710*Staffing!$L$34/12*(1+Assumptions!$E$10)^INT((C1710-1)/12)*1</f>
        <v>39965.625</v>
      </c>
      <c r="G1710" s="10" t="n">
        <f aca="false">F1710*Staffing!$N$34</f>
        <v>15986.25</v>
      </c>
      <c r="H1710" s="10" t="n">
        <f aca="false">F1710+G1710</f>
        <v>55951.875</v>
      </c>
      <c r="I1710" s="10" t="n">
        <f aca="false">0</f>
        <v>0</v>
      </c>
      <c r="J1710" s="10" t="n">
        <f aca="false">MAX(0,E1710-E1709)*Staffing!$O$34</f>
        <v>0</v>
      </c>
      <c r="K1710" s="10" t="n">
        <f aca="false">MAX(0,E1710-E1709)*Staffing!$P$34</f>
        <v>0</v>
      </c>
      <c r="L1710" s="23" t="n">
        <f aca="false">ROUNDUP(E1710,0)</f>
        <v>3</v>
      </c>
    </row>
    <row r="1711" customFormat="false" ht="15" hidden="false" customHeight="false" outlineLevel="0" collapsed="false">
      <c r="A1711" s="6" t="s">
        <v>73</v>
      </c>
      <c r="B1711" s="6" t="s">
        <v>332</v>
      </c>
      <c r="C1711" s="6" t="n">
        <v>26</v>
      </c>
      <c r="D1711" s="25" t="n">
        <f aca="false">EDATE('Start Here'!$B$6,C1711-1)</f>
        <v>47088</v>
      </c>
      <c r="E1711" s="11" t="n">
        <f aca="false">IF(AND(C1711&gt;=Staffing!$F$34,C1711&lt;=Staffing!$G$34,1=1),IF(C1711&lt;=6,Staffing!$H$34,IF(C1711&lt;=15,Staffing!$I$34,IF(C1711&lt;=30,Staffing!$J$34,Staffing!$K$34))),0)</f>
        <v>3</v>
      </c>
      <c r="F1711" s="10" t="n">
        <f aca="false">E1711*Staffing!$L$34/12*(1+Assumptions!$E$10)^INT((C1711-1)/12)*1</f>
        <v>39965.625</v>
      </c>
      <c r="G1711" s="10" t="n">
        <f aca="false">F1711*Staffing!$N$34</f>
        <v>15986.25</v>
      </c>
      <c r="H1711" s="10" t="n">
        <f aca="false">F1711+G1711</f>
        <v>55951.875</v>
      </c>
      <c r="I1711" s="10" t="n">
        <f aca="false">0</f>
        <v>0</v>
      </c>
      <c r="J1711" s="10" t="n">
        <f aca="false">MAX(0,E1711-E1710)*Staffing!$O$34</f>
        <v>0</v>
      </c>
      <c r="K1711" s="10" t="n">
        <f aca="false">MAX(0,E1711-E1710)*Staffing!$P$34</f>
        <v>0</v>
      </c>
      <c r="L1711" s="23" t="n">
        <f aca="false">ROUNDUP(E1711,0)</f>
        <v>3</v>
      </c>
    </row>
    <row r="1712" customFormat="false" ht="15" hidden="false" customHeight="false" outlineLevel="0" collapsed="false">
      <c r="A1712" s="6" t="s">
        <v>73</v>
      </c>
      <c r="B1712" s="6" t="s">
        <v>332</v>
      </c>
      <c r="C1712" s="6" t="n">
        <v>27</v>
      </c>
      <c r="D1712" s="25" t="n">
        <f aca="false">EDATE('Start Here'!$B$6,C1712-1)</f>
        <v>47119</v>
      </c>
      <c r="E1712" s="11" t="n">
        <f aca="false">IF(AND(C1712&gt;=Staffing!$F$34,C1712&lt;=Staffing!$G$34,1=1),IF(C1712&lt;=6,Staffing!$H$34,IF(C1712&lt;=15,Staffing!$I$34,IF(C1712&lt;=30,Staffing!$J$34,Staffing!$K$34))),0)</f>
        <v>3</v>
      </c>
      <c r="F1712" s="10" t="n">
        <f aca="false">E1712*Staffing!$L$34/12*(1+Assumptions!$E$10)^INT((C1712-1)/12)*1</f>
        <v>39965.625</v>
      </c>
      <c r="G1712" s="10" t="n">
        <f aca="false">F1712*Staffing!$N$34</f>
        <v>15986.25</v>
      </c>
      <c r="H1712" s="10" t="n">
        <f aca="false">F1712+G1712</f>
        <v>55951.875</v>
      </c>
      <c r="I1712" s="10" t="n">
        <f aca="false">0</f>
        <v>0</v>
      </c>
      <c r="J1712" s="10" t="n">
        <f aca="false">MAX(0,E1712-E1711)*Staffing!$O$34</f>
        <v>0</v>
      </c>
      <c r="K1712" s="10" t="n">
        <f aca="false">MAX(0,E1712-E1711)*Staffing!$P$34</f>
        <v>0</v>
      </c>
      <c r="L1712" s="23" t="n">
        <f aca="false">ROUNDUP(E1712,0)</f>
        <v>3</v>
      </c>
    </row>
    <row r="1713" customFormat="false" ht="15" hidden="false" customHeight="false" outlineLevel="0" collapsed="false">
      <c r="A1713" s="6" t="s">
        <v>73</v>
      </c>
      <c r="B1713" s="6" t="s">
        <v>332</v>
      </c>
      <c r="C1713" s="6" t="n">
        <v>28</v>
      </c>
      <c r="D1713" s="25" t="n">
        <f aca="false">EDATE('Start Here'!$B$6,C1713-1)</f>
        <v>47150</v>
      </c>
      <c r="E1713" s="11" t="n">
        <f aca="false">IF(AND(C1713&gt;=Staffing!$F$34,C1713&lt;=Staffing!$G$34,1=1),IF(C1713&lt;=6,Staffing!$H$34,IF(C1713&lt;=15,Staffing!$I$34,IF(C1713&lt;=30,Staffing!$J$34,Staffing!$K$34))),0)</f>
        <v>3</v>
      </c>
      <c r="F1713" s="10" t="n">
        <f aca="false">E1713*Staffing!$L$34/12*(1+Assumptions!$E$10)^INT((C1713-1)/12)*1</f>
        <v>39965.625</v>
      </c>
      <c r="G1713" s="10" t="n">
        <f aca="false">F1713*Staffing!$N$34</f>
        <v>15986.25</v>
      </c>
      <c r="H1713" s="10" t="n">
        <f aca="false">F1713+G1713</f>
        <v>55951.875</v>
      </c>
      <c r="I1713" s="10" t="n">
        <f aca="false">0</f>
        <v>0</v>
      </c>
      <c r="J1713" s="10" t="n">
        <f aca="false">MAX(0,E1713-E1712)*Staffing!$O$34</f>
        <v>0</v>
      </c>
      <c r="K1713" s="10" t="n">
        <f aca="false">MAX(0,E1713-E1712)*Staffing!$P$34</f>
        <v>0</v>
      </c>
      <c r="L1713" s="23" t="n">
        <f aca="false">ROUNDUP(E1713,0)</f>
        <v>3</v>
      </c>
    </row>
    <row r="1714" customFormat="false" ht="15" hidden="false" customHeight="false" outlineLevel="0" collapsed="false">
      <c r="A1714" s="6" t="s">
        <v>73</v>
      </c>
      <c r="B1714" s="6" t="s">
        <v>332</v>
      </c>
      <c r="C1714" s="6" t="n">
        <v>29</v>
      </c>
      <c r="D1714" s="25" t="n">
        <f aca="false">EDATE('Start Here'!$B$6,C1714-1)</f>
        <v>47178</v>
      </c>
      <c r="E1714" s="11" t="n">
        <f aca="false">IF(AND(C1714&gt;=Staffing!$F$34,C1714&lt;=Staffing!$G$34,1=1),IF(C1714&lt;=6,Staffing!$H$34,IF(C1714&lt;=15,Staffing!$I$34,IF(C1714&lt;=30,Staffing!$J$34,Staffing!$K$34))),0)</f>
        <v>3</v>
      </c>
      <c r="F1714" s="10" t="n">
        <f aca="false">E1714*Staffing!$L$34/12*(1+Assumptions!$E$10)^INT((C1714-1)/12)*1</f>
        <v>39965.625</v>
      </c>
      <c r="G1714" s="10" t="n">
        <f aca="false">F1714*Staffing!$N$34</f>
        <v>15986.25</v>
      </c>
      <c r="H1714" s="10" t="n">
        <f aca="false">F1714+G1714</f>
        <v>55951.875</v>
      </c>
      <c r="I1714" s="10" t="n">
        <f aca="false">0</f>
        <v>0</v>
      </c>
      <c r="J1714" s="10" t="n">
        <f aca="false">MAX(0,E1714-E1713)*Staffing!$O$34</f>
        <v>0</v>
      </c>
      <c r="K1714" s="10" t="n">
        <f aca="false">MAX(0,E1714-E1713)*Staffing!$P$34</f>
        <v>0</v>
      </c>
      <c r="L1714" s="23" t="n">
        <f aca="false">ROUNDUP(E1714,0)</f>
        <v>3</v>
      </c>
    </row>
    <row r="1715" customFormat="false" ht="15" hidden="false" customHeight="false" outlineLevel="0" collapsed="false">
      <c r="A1715" s="6" t="s">
        <v>73</v>
      </c>
      <c r="B1715" s="6" t="s">
        <v>332</v>
      </c>
      <c r="C1715" s="6" t="n">
        <v>30</v>
      </c>
      <c r="D1715" s="25" t="n">
        <f aca="false">EDATE('Start Here'!$B$6,C1715-1)</f>
        <v>47209</v>
      </c>
      <c r="E1715" s="11" t="n">
        <f aca="false">IF(AND(C1715&gt;=Staffing!$F$34,C1715&lt;=Staffing!$G$34,1=1),IF(C1715&lt;=6,Staffing!$H$34,IF(C1715&lt;=15,Staffing!$I$34,IF(C1715&lt;=30,Staffing!$J$34,Staffing!$K$34))),0)</f>
        <v>3</v>
      </c>
      <c r="F1715" s="10" t="n">
        <f aca="false">E1715*Staffing!$L$34/12*(1+Assumptions!$E$10)^INT((C1715-1)/12)*1</f>
        <v>39965.625</v>
      </c>
      <c r="G1715" s="10" t="n">
        <f aca="false">F1715*Staffing!$N$34</f>
        <v>15986.25</v>
      </c>
      <c r="H1715" s="10" t="n">
        <f aca="false">F1715+G1715</f>
        <v>55951.875</v>
      </c>
      <c r="I1715" s="10" t="n">
        <f aca="false">0</f>
        <v>0</v>
      </c>
      <c r="J1715" s="10" t="n">
        <f aca="false">MAX(0,E1715-E1714)*Staffing!$O$34</f>
        <v>0</v>
      </c>
      <c r="K1715" s="10" t="n">
        <f aca="false">MAX(0,E1715-E1714)*Staffing!$P$34</f>
        <v>0</v>
      </c>
      <c r="L1715" s="23" t="n">
        <f aca="false">ROUNDUP(E1715,0)</f>
        <v>3</v>
      </c>
    </row>
    <row r="1716" customFormat="false" ht="15" hidden="false" customHeight="false" outlineLevel="0" collapsed="false">
      <c r="A1716" s="6" t="s">
        <v>73</v>
      </c>
      <c r="B1716" s="6" t="s">
        <v>332</v>
      </c>
      <c r="C1716" s="6" t="n">
        <v>31</v>
      </c>
      <c r="D1716" s="25" t="n">
        <f aca="false">EDATE('Start Here'!$B$6,C1716-1)</f>
        <v>47239</v>
      </c>
      <c r="E1716" s="11" t="n">
        <f aca="false">IF(AND(C1716&gt;=Staffing!$F$34,C1716&lt;=Staffing!$G$34,1=1),IF(C1716&lt;=6,Staffing!$H$34,IF(C1716&lt;=15,Staffing!$I$34,IF(C1716&lt;=30,Staffing!$J$34,Staffing!$K$34))),0)</f>
        <v>4</v>
      </c>
      <c r="F1716" s="10" t="n">
        <f aca="false">E1716*Staffing!$L$34/12*(1+Assumptions!$E$10)^INT((C1716-1)/12)*1</f>
        <v>53287.5</v>
      </c>
      <c r="G1716" s="10" t="n">
        <f aca="false">F1716*Staffing!$N$34</f>
        <v>21315</v>
      </c>
      <c r="H1716" s="10" t="n">
        <f aca="false">F1716+G1716</f>
        <v>74602.5</v>
      </c>
      <c r="I1716" s="10" t="n">
        <f aca="false">0</f>
        <v>0</v>
      </c>
      <c r="J1716" s="10" t="n">
        <f aca="false">MAX(0,E1716-E1715)*Staffing!$O$34</f>
        <v>12000</v>
      </c>
      <c r="K1716" s="10" t="n">
        <f aca="false">MAX(0,E1716-E1715)*Staffing!$P$34</f>
        <v>3500</v>
      </c>
      <c r="L1716" s="23" t="n">
        <f aca="false">ROUNDUP(E1716,0)</f>
        <v>4</v>
      </c>
    </row>
    <row r="1717" customFormat="false" ht="15" hidden="false" customHeight="false" outlineLevel="0" collapsed="false">
      <c r="A1717" s="6" t="s">
        <v>73</v>
      </c>
      <c r="B1717" s="6" t="s">
        <v>332</v>
      </c>
      <c r="C1717" s="6" t="n">
        <v>32</v>
      </c>
      <c r="D1717" s="25" t="n">
        <f aca="false">EDATE('Start Here'!$B$6,C1717-1)</f>
        <v>47270</v>
      </c>
      <c r="E1717" s="11" t="n">
        <f aca="false">IF(AND(C1717&gt;=Staffing!$F$34,C1717&lt;=Staffing!$G$34,1=1),IF(C1717&lt;=6,Staffing!$H$34,IF(C1717&lt;=15,Staffing!$I$34,IF(C1717&lt;=30,Staffing!$J$34,Staffing!$K$34))),0)</f>
        <v>4</v>
      </c>
      <c r="F1717" s="10" t="n">
        <f aca="false">E1717*Staffing!$L$34/12*(1+Assumptions!$E$10)^INT((C1717-1)/12)*1</f>
        <v>53287.5</v>
      </c>
      <c r="G1717" s="10" t="n">
        <f aca="false">F1717*Staffing!$N$34</f>
        <v>21315</v>
      </c>
      <c r="H1717" s="10" t="n">
        <f aca="false">F1717+G1717</f>
        <v>74602.5</v>
      </c>
      <c r="I1717" s="10" t="n">
        <f aca="false">0</f>
        <v>0</v>
      </c>
      <c r="J1717" s="10" t="n">
        <f aca="false">MAX(0,E1717-E1716)*Staffing!$O$34</f>
        <v>0</v>
      </c>
      <c r="K1717" s="10" t="n">
        <f aca="false">MAX(0,E1717-E1716)*Staffing!$P$34</f>
        <v>0</v>
      </c>
      <c r="L1717" s="23" t="n">
        <f aca="false">ROUNDUP(E1717,0)</f>
        <v>4</v>
      </c>
    </row>
    <row r="1718" customFormat="false" ht="15" hidden="false" customHeight="false" outlineLevel="0" collapsed="false">
      <c r="A1718" s="6" t="s">
        <v>73</v>
      </c>
      <c r="B1718" s="6" t="s">
        <v>332</v>
      </c>
      <c r="C1718" s="6" t="n">
        <v>33</v>
      </c>
      <c r="D1718" s="25" t="n">
        <f aca="false">EDATE('Start Here'!$B$6,C1718-1)</f>
        <v>47300</v>
      </c>
      <c r="E1718" s="11" t="n">
        <f aca="false">IF(AND(C1718&gt;=Staffing!$F$34,C1718&lt;=Staffing!$G$34,1=1),IF(C1718&lt;=6,Staffing!$H$34,IF(C1718&lt;=15,Staffing!$I$34,IF(C1718&lt;=30,Staffing!$J$34,Staffing!$K$34))),0)</f>
        <v>4</v>
      </c>
      <c r="F1718" s="10" t="n">
        <f aca="false">E1718*Staffing!$L$34/12*(1+Assumptions!$E$10)^INT((C1718-1)/12)*1</f>
        <v>53287.5</v>
      </c>
      <c r="G1718" s="10" t="n">
        <f aca="false">F1718*Staffing!$N$34</f>
        <v>21315</v>
      </c>
      <c r="H1718" s="10" t="n">
        <f aca="false">F1718+G1718</f>
        <v>74602.5</v>
      </c>
      <c r="I1718" s="10" t="n">
        <f aca="false">0</f>
        <v>0</v>
      </c>
      <c r="J1718" s="10" t="n">
        <f aca="false">MAX(0,E1718-E1717)*Staffing!$O$34</f>
        <v>0</v>
      </c>
      <c r="K1718" s="10" t="n">
        <f aca="false">MAX(0,E1718-E1717)*Staffing!$P$34</f>
        <v>0</v>
      </c>
      <c r="L1718" s="23" t="n">
        <f aca="false">ROUNDUP(E1718,0)</f>
        <v>4</v>
      </c>
    </row>
    <row r="1719" customFormat="false" ht="15" hidden="false" customHeight="false" outlineLevel="0" collapsed="false">
      <c r="A1719" s="6" t="s">
        <v>73</v>
      </c>
      <c r="B1719" s="6" t="s">
        <v>332</v>
      </c>
      <c r="C1719" s="6" t="n">
        <v>34</v>
      </c>
      <c r="D1719" s="25" t="n">
        <f aca="false">EDATE('Start Here'!$B$6,C1719-1)</f>
        <v>47331</v>
      </c>
      <c r="E1719" s="11" t="n">
        <f aca="false">IF(AND(C1719&gt;=Staffing!$F$34,C1719&lt;=Staffing!$G$34,1=1),IF(C1719&lt;=6,Staffing!$H$34,IF(C1719&lt;=15,Staffing!$I$34,IF(C1719&lt;=30,Staffing!$J$34,Staffing!$K$34))),0)</f>
        <v>4</v>
      </c>
      <c r="F1719" s="10" t="n">
        <f aca="false">E1719*Staffing!$L$34/12*(1+Assumptions!$E$10)^INT((C1719-1)/12)*1</f>
        <v>53287.5</v>
      </c>
      <c r="G1719" s="10" t="n">
        <f aca="false">F1719*Staffing!$N$34</f>
        <v>21315</v>
      </c>
      <c r="H1719" s="10" t="n">
        <f aca="false">F1719+G1719</f>
        <v>74602.5</v>
      </c>
      <c r="I1719" s="10" t="n">
        <f aca="false">0</f>
        <v>0</v>
      </c>
      <c r="J1719" s="10" t="n">
        <f aca="false">MAX(0,E1719-E1718)*Staffing!$O$34</f>
        <v>0</v>
      </c>
      <c r="K1719" s="10" t="n">
        <f aca="false">MAX(0,E1719-E1718)*Staffing!$P$34</f>
        <v>0</v>
      </c>
      <c r="L1719" s="23" t="n">
        <f aca="false">ROUNDUP(E1719,0)</f>
        <v>4</v>
      </c>
    </row>
    <row r="1720" customFormat="false" ht="15" hidden="false" customHeight="false" outlineLevel="0" collapsed="false">
      <c r="A1720" s="6" t="s">
        <v>73</v>
      </c>
      <c r="B1720" s="6" t="s">
        <v>332</v>
      </c>
      <c r="C1720" s="6" t="n">
        <v>35</v>
      </c>
      <c r="D1720" s="25" t="n">
        <f aca="false">EDATE('Start Here'!$B$6,C1720-1)</f>
        <v>47362</v>
      </c>
      <c r="E1720" s="11" t="n">
        <f aca="false">IF(AND(C1720&gt;=Staffing!$F$34,C1720&lt;=Staffing!$G$34,1=1),IF(C1720&lt;=6,Staffing!$H$34,IF(C1720&lt;=15,Staffing!$I$34,IF(C1720&lt;=30,Staffing!$J$34,Staffing!$K$34))),0)</f>
        <v>4</v>
      </c>
      <c r="F1720" s="10" t="n">
        <f aca="false">E1720*Staffing!$L$34/12*(1+Assumptions!$E$10)^INT((C1720-1)/12)*1</f>
        <v>53287.5</v>
      </c>
      <c r="G1720" s="10" t="n">
        <f aca="false">F1720*Staffing!$N$34</f>
        <v>21315</v>
      </c>
      <c r="H1720" s="10" t="n">
        <f aca="false">F1720+G1720</f>
        <v>74602.5</v>
      </c>
      <c r="I1720" s="10" t="n">
        <f aca="false">0</f>
        <v>0</v>
      </c>
      <c r="J1720" s="10" t="n">
        <f aca="false">MAX(0,E1720-E1719)*Staffing!$O$34</f>
        <v>0</v>
      </c>
      <c r="K1720" s="10" t="n">
        <f aca="false">MAX(0,E1720-E1719)*Staffing!$P$34</f>
        <v>0</v>
      </c>
      <c r="L1720" s="23" t="n">
        <f aca="false">ROUNDUP(E1720,0)</f>
        <v>4</v>
      </c>
    </row>
    <row r="1721" customFormat="false" ht="15" hidden="false" customHeight="false" outlineLevel="0" collapsed="false">
      <c r="A1721" s="6" t="s">
        <v>73</v>
      </c>
      <c r="B1721" s="6" t="s">
        <v>332</v>
      </c>
      <c r="C1721" s="6" t="n">
        <v>36</v>
      </c>
      <c r="D1721" s="25" t="n">
        <f aca="false">EDATE('Start Here'!$B$6,C1721-1)</f>
        <v>47392</v>
      </c>
      <c r="E1721" s="11" t="n">
        <f aca="false">IF(AND(C1721&gt;=Staffing!$F$34,C1721&lt;=Staffing!$G$34,1=1),IF(C1721&lt;=6,Staffing!$H$34,IF(C1721&lt;=15,Staffing!$I$34,IF(C1721&lt;=30,Staffing!$J$34,Staffing!$K$34))),0)</f>
        <v>4</v>
      </c>
      <c r="F1721" s="10" t="n">
        <f aca="false">E1721*Staffing!$L$34/12*(1+Assumptions!$E$10)^INT((C1721-1)/12)*1</f>
        <v>53287.5</v>
      </c>
      <c r="G1721" s="10" t="n">
        <f aca="false">F1721*Staffing!$N$34</f>
        <v>21315</v>
      </c>
      <c r="H1721" s="10" t="n">
        <f aca="false">F1721+G1721</f>
        <v>74602.5</v>
      </c>
      <c r="I1721" s="10" t="n">
        <f aca="false">0</f>
        <v>0</v>
      </c>
      <c r="J1721" s="10" t="n">
        <f aca="false">MAX(0,E1721-E1720)*Staffing!$O$34</f>
        <v>0</v>
      </c>
      <c r="K1721" s="10" t="n">
        <f aca="false">MAX(0,E1721-E1720)*Staffing!$P$34</f>
        <v>0</v>
      </c>
      <c r="L1721" s="23" t="n">
        <f aca="false">ROUNDUP(E1721,0)</f>
        <v>4</v>
      </c>
    </row>
    <row r="1722" customFormat="false" ht="15" hidden="false" customHeight="false" outlineLevel="0" collapsed="false">
      <c r="A1722" s="6" t="s">
        <v>73</v>
      </c>
      <c r="B1722" s="6" t="s">
        <v>332</v>
      </c>
      <c r="C1722" s="6" t="n">
        <v>37</v>
      </c>
      <c r="D1722" s="25" t="n">
        <f aca="false">EDATE('Start Here'!$B$6,C1722-1)</f>
        <v>47423</v>
      </c>
      <c r="E1722" s="11" t="n">
        <f aca="false">IF(AND(C1722&gt;=Staffing!$F$34,C1722&lt;=Staffing!$G$34,1=1),IF(C1722&lt;=6,Staffing!$H$34,IF(C1722&lt;=15,Staffing!$I$34,IF(C1722&lt;=30,Staffing!$J$34,Staffing!$K$34))),0)</f>
        <v>4</v>
      </c>
      <c r="F1722" s="10" t="n">
        <f aca="false">E1722*Staffing!$L$34/12*(1+Assumptions!$E$10)^INT((C1722-1)/12)*1</f>
        <v>55951.875</v>
      </c>
      <c r="G1722" s="10" t="n">
        <f aca="false">F1722*Staffing!$N$34</f>
        <v>22380.75</v>
      </c>
      <c r="H1722" s="10" t="n">
        <f aca="false">F1722+G1722</f>
        <v>78332.625</v>
      </c>
      <c r="I1722" s="10" t="n">
        <f aca="false">0</f>
        <v>0</v>
      </c>
      <c r="J1722" s="10" t="n">
        <f aca="false">MAX(0,E1722-E1721)*Staffing!$O$34</f>
        <v>0</v>
      </c>
      <c r="K1722" s="10" t="n">
        <f aca="false">MAX(0,E1722-E1721)*Staffing!$P$34</f>
        <v>0</v>
      </c>
      <c r="L1722" s="23" t="n">
        <f aca="false">ROUNDUP(E1722,0)</f>
        <v>4</v>
      </c>
    </row>
    <row r="1723" customFormat="false" ht="15" hidden="false" customHeight="false" outlineLevel="0" collapsed="false">
      <c r="A1723" s="6" t="s">
        <v>73</v>
      </c>
      <c r="B1723" s="6" t="s">
        <v>332</v>
      </c>
      <c r="C1723" s="6" t="n">
        <v>38</v>
      </c>
      <c r="D1723" s="25" t="n">
        <f aca="false">EDATE('Start Here'!$B$6,C1723-1)</f>
        <v>47453</v>
      </c>
      <c r="E1723" s="11" t="n">
        <f aca="false">IF(AND(C1723&gt;=Staffing!$F$34,C1723&lt;=Staffing!$G$34,1=1),IF(C1723&lt;=6,Staffing!$H$34,IF(C1723&lt;=15,Staffing!$I$34,IF(C1723&lt;=30,Staffing!$J$34,Staffing!$K$34))),0)</f>
        <v>4</v>
      </c>
      <c r="F1723" s="10" t="n">
        <f aca="false">E1723*Staffing!$L$34/12*(1+Assumptions!$E$10)^INT((C1723-1)/12)*1</f>
        <v>55951.875</v>
      </c>
      <c r="G1723" s="10" t="n">
        <f aca="false">F1723*Staffing!$N$34</f>
        <v>22380.75</v>
      </c>
      <c r="H1723" s="10" t="n">
        <f aca="false">F1723+G1723</f>
        <v>78332.625</v>
      </c>
      <c r="I1723" s="10" t="n">
        <f aca="false">0</f>
        <v>0</v>
      </c>
      <c r="J1723" s="10" t="n">
        <f aca="false">MAX(0,E1723-E1722)*Staffing!$O$34</f>
        <v>0</v>
      </c>
      <c r="K1723" s="10" t="n">
        <f aca="false">MAX(0,E1723-E1722)*Staffing!$P$34</f>
        <v>0</v>
      </c>
      <c r="L1723" s="23" t="n">
        <f aca="false">ROUNDUP(E1723,0)</f>
        <v>4</v>
      </c>
    </row>
    <row r="1724" customFormat="false" ht="15" hidden="false" customHeight="false" outlineLevel="0" collapsed="false">
      <c r="A1724" s="6" t="s">
        <v>73</v>
      </c>
      <c r="B1724" s="6" t="s">
        <v>332</v>
      </c>
      <c r="C1724" s="6" t="n">
        <v>39</v>
      </c>
      <c r="D1724" s="25" t="n">
        <f aca="false">EDATE('Start Here'!$B$6,C1724-1)</f>
        <v>47484</v>
      </c>
      <c r="E1724" s="11" t="n">
        <f aca="false">IF(AND(C1724&gt;=Staffing!$F$34,C1724&lt;=Staffing!$G$34,1=1),IF(C1724&lt;=6,Staffing!$H$34,IF(C1724&lt;=15,Staffing!$I$34,IF(C1724&lt;=30,Staffing!$J$34,Staffing!$K$34))),0)</f>
        <v>4</v>
      </c>
      <c r="F1724" s="10" t="n">
        <f aca="false">E1724*Staffing!$L$34/12*(1+Assumptions!$E$10)^INT((C1724-1)/12)*1</f>
        <v>55951.875</v>
      </c>
      <c r="G1724" s="10" t="n">
        <f aca="false">F1724*Staffing!$N$34</f>
        <v>22380.75</v>
      </c>
      <c r="H1724" s="10" t="n">
        <f aca="false">F1724+G1724</f>
        <v>78332.625</v>
      </c>
      <c r="I1724" s="10" t="n">
        <f aca="false">0</f>
        <v>0</v>
      </c>
      <c r="J1724" s="10" t="n">
        <f aca="false">MAX(0,E1724-E1723)*Staffing!$O$34</f>
        <v>0</v>
      </c>
      <c r="K1724" s="10" t="n">
        <f aca="false">MAX(0,E1724-E1723)*Staffing!$P$34</f>
        <v>0</v>
      </c>
      <c r="L1724" s="23" t="n">
        <f aca="false">ROUNDUP(E1724,0)</f>
        <v>4</v>
      </c>
    </row>
    <row r="1725" customFormat="false" ht="15" hidden="false" customHeight="false" outlineLevel="0" collapsed="false">
      <c r="A1725" s="6" t="s">
        <v>73</v>
      </c>
      <c r="B1725" s="6" t="s">
        <v>332</v>
      </c>
      <c r="C1725" s="6" t="n">
        <v>40</v>
      </c>
      <c r="D1725" s="25" t="n">
        <f aca="false">EDATE('Start Here'!$B$6,C1725-1)</f>
        <v>47515</v>
      </c>
      <c r="E1725" s="11" t="n">
        <f aca="false">IF(AND(C1725&gt;=Staffing!$F$34,C1725&lt;=Staffing!$G$34,1=1),IF(C1725&lt;=6,Staffing!$H$34,IF(C1725&lt;=15,Staffing!$I$34,IF(C1725&lt;=30,Staffing!$J$34,Staffing!$K$34))),0)</f>
        <v>4</v>
      </c>
      <c r="F1725" s="10" t="n">
        <f aca="false">E1725*Staffing!$L$34/12*(1+Assumptions!$E$10)^INT((C1725-1)/12)*1</f>
        <v>55951.875</v>
      </c>
      <c r="G1725" s="10" t="n">
        <f aca="false">F1725*Staffing!$N$34</f>
        <v>22380.75</v>
      </c>
      <c r="H1725" s="10" t="n">
        <f aca="false">F1725+G1725</f>
        <v>78332.625</v>
      </c>
      <c r="I1725" s="10" t="n">
        <f aca="false">0</f>
        <v>0</v>
      </c>
      <c r="J1725" s="10" t="n">
        <f aca="false">MAX(0,E1725-E1724)*Staffing!$O$34</f>
        <v>0</v>
      </c>
      <c r="K1725" s="10" t="n">
        <f aca="false">MAX(0,E1725-E1724)*Staffing!$P$34</f>
        <v>0</v>
      </c>
      <c r="L1725" s="23" t="n">
        <f aca="false">ROUNDUP(E1725,0)</f>
        <v>4</v>
      </c>
    </row>
    <row r="1726" customFormat="false" ht="15" hidden="false" customHeight="false" outlineLevel="0" collapsed="false">
      <c r="A1726" s="6" t="s">
        <v>73</v>
      </c>
      <c r="B1726" s="6" t="s">
        <v>332</v>
      </c>
      <c r="C1726" s="6" t="n">
        <v>41</v>
      </c>
      <c r="D1726" s="25" t="n">
        <f aca="false">EDATE('Start Here'!$B$6,C1726-1)</f>
        <v>47543</v>
      </c>
      <c r="E1726" s="11" t="n">
        <f aca="false">IF(AND(C1726&gt;=Staffing!$F$34,C1726&lt;=Staffing!$G$34,1=1),IF(C1726&lt;=6,Staffing!$H$34,IF(C1726&lt;=15,Staffing!$I$34,IF(C1726&lt;=30,Staffing!$J$34,Staffing!$K$34))),0)</f>
        <v>4</v>
      </c>
      <c r="F1726" s="10" t="n">
        <f aca="false">E1726*Staffing!$L$34/12*(1+Assumptions!$E$10)^INT((C1726-1)/12)*1</f>
        <v>55951.875</v>
      </c>
      <c r="G1726" s="10" t="n">
        <f aca="false">F1726*Staffing!$N$34</f>
        <v>22380.75</v>
      </c>
      <c r="H1726" s="10" t="n">
        <f aca="false">F1726+G1726</f>
        <v>78332.625</v>
      </c>
      <c r="I1726" s="10" t="n">
        <f aca="false">0</f>
        <v>0</v>
      </c>
      <c r="J1726" s="10" t="n">
        <f aca="false">MAX(0,E1726-E1725)*Staffing!$O$34</f>
        <v>0</v>
      </c>
      <c r="K1726" s="10" t="n">
        <f aca="false">MAX(0,E1726-E1725)*Staffing!$P$34</f>
        <v>0</v>
      </c>
      <c r="L1726" s="23" t="n">
        <f aca="false">ROUNDUP(E1726,0)</f>
        <v>4</v>
      </c>
    </row>
    <row r="1727" customFormat="false" ht="15" hidden="false" customHeight="false" outlineLevel="0" collapsed="false">
      <c r="A1727" s="6" t="s">
        <v>73</v>
      </c>
      <c r="B1727" s="6" t="s">
        <v>332</v>
      </c>
      <c r="C1727" s="6" t="n">
        <v>42</v>
      </c>
      <c r="D1727" s="25" t="n">
        <f aca="false">EDATE('Start Here'!$B$6,C1727-1)</f>
        <v>47574</v>
      </c>
      <c r="E1727" s="11" t="n">
        <f aca="false">IF(AND(C1727&gt;=Staffing!$F$34,C1727&lt;=Staffing!$G$34,1=1),IF(C1727&lt;=6,Staffing!$H$34,IF(C1727&lt;=15,Staffing!$I$34,IF(C1727&lt;=30,Staffing!$J$34,Staffing!$K$34))),0)</f>
        <v>4</v>
      </c>
      <c r="F1727" s="10" t="n">
        <f aca="false">E1727*Staffing!$L$34/12*(1+Assumptions!$E$10)^INT((C1727-1)/12)*1</f>
        <v>55951.875</v>
      </c>
      <c r="G1727" s="10" t="n">
        <f aca="false">F1727*Staffing!$N$34</f>
        <v>22380.75</v>
      </c>
      <c r="H1727" s="10" t="n">
        <f aca="false">F1727+G1727</f>
        <v>78332.625</v>
      </c>
      <c r="I1727" s="10" t="n">
        <f aca="false">0</f>
        <v>0</v>
      </c>
      <c r="J1727" s="10" t="n">
        <f aca="false">MAX(0,E1727-E1726)*Staffing!$O$34</f>
        <v>0</v>
      </c>
      <c r="K1727" s="10" t="n">
        <f aca="false">MAX(0,E1727-E1726)*Staffing!$P$34</f>
        <v>0</v>
      </c>
      <c r="L1727" s="23" t="n">
        <f aca="false">ROUNDUP(E1727,0)</f>
        <v>4</v>
      </c>
    </row>
    <row r="1728" customFormat="false" ht="15" hidden="false" customHeight="false" outlineLevel="0" collapsed="false">
      <c r="A1728" s="6" t="s">
        <v>73</v>
      </c>
      <c r="B1728" s="6" t="s">
        <v>332</v>
      </c>
      <c r="C1728" s="6" t="n">
        <v>43</v>
      </c>
      <c r="D1728" s="25" t="n">
        <f aca="false">EDATE('Start Here'!$B$6,C1728-1)</f>
        <v>47604</v>
      </c>
      <c r="E1728" s="11" t="n">
        <f aca="false">IF(AND(C1728&gt;=Staffing!$F$34,C1728&lt;=Staffing!$G$34,1=1),IF(C1728&lt;=6,Staffing!$H$34,IF(C1728&lt;=15,Staffing!$I$34,IF(C1728&lt;=30,Staffing!$J$34,Staffing!$K$34))),0)</f>
        <v>4</v>
      </c>
      <c r="F1728" s="10" t="n">
        <f aca="false">E1728*Staffing!$L$34/12*(1+Assumptions!$E$10)^INT((C1728-1)/12)*1</f>
        <v>55951.875</v>
      </c>
      <c r="G1728" s="10" t="n">
        <f aca="false">F1728*Staffing!$N$34</f>
        <v>22380.75</v>
      </c>
      <c r="H1728" s="10" t="n">
        <f aca="false">F1728+G1728</f>
        <v>78332.625</v>
      </c>
      <c r="I1728" s="10" t="n">
        <f aca="false">0</f>
        <v>0</v>
      </c>
      <c r="J1728" s="10" t="n">
        <f aca="false">MAX(0,E1728-E1727)*Staffing!$O$34</f>
        <v>0</v>
      </c>
      <c r="K1728" s="10" t="n">
        <f aca="false">MAX(0,E1728-E1727)*Staffing!$P$34</f>
        <v>0</v>
      </c>
      <c r="L1728" s="23" t="n">
        <f aca="false">ROUNDUP(E1728,0)</f>
        <v>4</v>
      </c>
    </row>
    <row r="1729" customFormat="false" ht="15" hidden="false" customHeight="false" outlineLevel="0" collapsed="false">
      <c r="A1729" s="6" t="s">
        <v>73</v>
      </c>
      <c r="B1729" s="6" t="s">
        <v>332</v>
      </c>
      <c r="C1729" s="6" t="n">
        <v>44</v>
      </c>
      <c r="D1729" s="25" t="n">
        <f aca="false">EDATE('Start Here'!$B$6,C1729-1)</f>
        <v>47635</v>
      </c>
      <c r="E1729" s="11" t="n">
        <f aca="false">IF(AND(C1729&gt;=Staffing!$F$34,C1729&lt;=Staffing!$G$34,1=1),IF(C1729&lt;=6,Staffing!$H$34,IF(C1729&lt;=15,Staffing!$I$34,IF(C1729&lt;=30,Staffing!$J$34,Staffing!$K$34))),0)</f>
        <v>4</v>
      </c>
      <c r="F1729" s="10" t="n">
        <f aca="false">E1729*Staffing!$L$34/12*(1+Assumptions!$E$10)^INT((C1729-1)/12)*1</f>
        <v>55951.875</v>
      </c>
      <c r="G1729" s="10" t="n">
        <f aca="false">F1729*Staffing!$N$34</f>
        <v>22380.75</v>
      </c>
      <c r="H1729" s="10" t="n">
        <f aca="false">F1729+G1729</f>
        <v>78332.625</v>
      </c>
      <c r="I1729" s="10" t="n">
        <f aca="false">0</f>
        <v>0</v>
      </c>
      <c r="J1729" s="10" t="n">
        <f aca="false">MAX(0,E1729-E1728)*Staffing!$O$34</f>
        <v>0</v>
      </c>
      <c r="K1729" s="10" t="n">
        <f aca="false">MAX(0,E1729-E1728)*Staffing!$P$34</f>
        <v>0</v>
      </c>
      <c r="L1729" s="23" t="n">
        <f aca="false">ROUNDUP(E1729,0)</f>
        <v>4</v>
      </c>
    </row>
    <row r="1730" customFormat="false" ht="15" hidden="false" customHeight="false" outlineLevel="0" collapsed="false">
      <c r="A1730" s="6" t="s">
        <v>73</v>
      </c>
      <c r="B1730" s="6" t="s">
        <v>332</v>
      </c>
      <c r="C1730" s="6" t="n">
        <v>45</v>
      </c>
      <c r="D1730" s="25" t="n">
        <f aca="false">EDATE('Start Here'!$B$6,C1730-1)</f>
        <v>47665</v>
      </c>
      <c r="E1730" s="11" t="n">
        <f aca="false">IF(AND(C1730&gt;=Staffing!$F$34,C1730&lt;=Staffing!$G$34,1=1),IF(C1730&lt;=6,Staffing!$H$34,IF(C1730&lt;=15,Staffing!$I$34,IF(C1730&lt;=30,Staffing!$J$34,Staffing!$K$34))),0)</f>
        <v>4</v>
      </c>
      <c r="F1730" s="10" t="n">
        <f aca="false">E1730*Staffing!$L$34/12*(1+Assumptions!$E$10)^INT((C1730-1)/12)*1</f>
        <v>55951.875</v>
      </c>
      <c r="G1730" s="10" t="n">
        <f aca="false">F1730*Staffing!$N$34</f>
        <v>22380.75</v>
      </c>
      <c r="H1730" s="10" t="n">
        <f aca="false">F1730+G1730</f>
        <v>78332.625</v>
      </c>
      <c r="I1730" s="10" t="n">
        <f aca="false">0</f>
        <v>0</v>
      </c>
      <c r="J1730" s="10" t="n">
        <f aca="false">MAX(0,E1730-E1729)*Staffing!$O$34</f>
        <v>0</v>
      </c>
      <c r="K1730" s="10" t="n">
        <f aca="false">MAX(0,E1730-E1729)*Staffing!$P$34</f>
        <v>0</v>
      </c>
      <c r="L1730" s="23" t="n">
        <f aca="false">ROUNDUP(E1730,0)</f>
        <v>4</v>
      </c>
    </row>
    <row r="1731" customFormat="false" ht="15" hidden="false" customHeight="false" outlineLevel="0" collapsed="false">
      <c r="A1731" s="6" t="s">
        <v>73</v>
      </c>
      <c r="B1731" s="6" t="s">
        <v>332</v>
      </c>
      <c r="C1731" s="6" t="n">
        <v>46</v>
      </c>
      <c r="D1731" s="25" t="n">
        <f aca="false">EDATE('Start Here'!$B$6,C1731-1)</f>
        <v>47696</v>
      </c>
      <c r="E1731" s="11" t="n">
        <f aca="false">IF(AND(C1731&gt;=Staffing!$F$34,C1731&lt;=Staffing!$G$34,1=1),IF(C1731&lt;=6,Staffing!$H$34,IF(C1731&lt;=15,Staffing!$I$34,IF(C1731&lt;=30,Staffing!$J$34,Staffing!$K$34))),0)</f>
        <v>4</v>
      </c>
      <c r="F1731" s="10" t="n">
        <f aca="false">E1731*Staffing!$L$34/12*(1+Assumptions!$E$10)^INT((C1731-1)/12)*1</f>
        <v>55951.875</v>
      </c>
      <c r="G1731" s="10" t="n">
        <f aca="false">F1731*Staffing!$N$34</f>
        <v>22380.75</v>
      </c>
      <c r="H1731" s="10" t="n">
        <f aca="false">F1731+G1731</f>
        <v>78332.625</v>
      </c>
      <c r="I1731" s="10" t="n">
        <f aca="false">0</f>
        <v>0</v>
      </c>
      <c r="J1731" s="10" t="n">
        <f aca="false">MAX(0,E1731-E1730)*Staffing!$O$34</f>
        <v>0</v>
      </c>
      <c r="K1731" s="10" t="n">
        <f aca="false">MAX(0,E1731-E1730)*Staffing!$P$34</f>
        <v>0</v>
      </c>
      <c r="L1731" s="23" t="n">
        <f aca="false">ROUNDUP(E1731,0)</f>
        <v>4</v>
      </c>
    </row>
    <row r="1732" customFormat="false" ht="15" hidden="false" customHeight="false" outlineLevel="0" collapsed="false">
      <c r="A1732" s="6" t="s">
        <v>73</v>
      </c>
      <c r="B1732" s="6" t="s">
        <v>332</v>
      </c>
      <c r="C1732" s="6" t="n">
        <v>47</v>
      </c>
      <c r="D1732" s="25" t="n">
        <f aca="false">EDATE('Start Here'!$B$6,C1732-1)</f>
        <v>47727</v>
      </c>
      <c r="E1732" s="11" t="n">
        <f aca="false">IF(AND(C1732&gt;=Staffing!$F$34,C1732&lt;=Staffing!$G$34,1=1),IF(C1732&lt;=6,Staffing!$H$34,IF(C1732&lt;=15,Staffing!$I$34,IF(C1732&lt;=30,Staffing!$J$34,Staffing!$K$34))),0)</f>
        <v>4</v>
      </c>
      <c r="F1732" s="10" t="n">
        <f aca="false">E1732*Staffing!$L$34/12*(1+Assumptions!$E$10)^INT((C1732-1)/12)*1</f>
        <v>55951.875</v>
      </c>
      <c r="G1732" s="10" t="n">
        <f aca="false">F1732*Staffing!$N$34</f>
        <v>22380.75</v>
      </c>
      <c r="H1732" s="10" t="n">
        <f aca="false">F1732+G1732</f>
        <v>78332.625</v>
      </c>
      <c r="I1732" s="10" t="n">
        <f aca="false">0</f>
        <v>0</v>
      </c>
      <c r="J1732" s="10" t="n">
        <f aca="false">MAX(0,E1732-E1731)*Staffing!$O$34</f>
        <v>0</v>
      </c>
      <c r="K1732" s="10" t="n">
        <f aca="false">MAX(0,E1732-E1731)*Staffing!$P$34</f>
        <v>0</v>
      </c>
      <c r="L1732" s="23" t="n">
        <f aca="false">ROUNDUP(E1732,0)</f>
        <v>4</v>
      </c>
    </row>
    <row r="1733" customFormat="false" ht="15" hidden="false" customHeight="false" outlineLevel="0" collapsed="false">
      <c r="A1733" s="6" t="s">
        <v>73</v>
      </c>
      <c r="B1733" s="6" t="s">
        <v>332</v>
      </c>
      <c r="C1733" s="6" t="n">
        <v>48</v>
      </c>
      <c r="D1733" s="25" t="n">
        <f aca="false">EDATE('Start Here'!$B$6,C1733-1)</f>
        <v>47757</v>
      </c>
      <c r="E1733" s="11" t="n">
        <f aca="false">IF(AND(C1733&gt;=Staffing!$F$34,C1733&lt;=Staffing!$G$34,1=1),IF(C1733&lt;=6,Staffing!$H$34,IF(C1733&lt;=15,Staffing!$I$34,IF(C1733&lt;=30,Staffing!$J$34,Staffing!$K$34))),0)</f>
        <v>4</v>
      </c>
      <c r="F1733" s="10" t="n">
        <f aca="false">E1733*Staffing!$L$34/12*(1+Assumptions!$E$10)^INT((C1733-1)/12)*1</f>
        <v>55951.875</v>
      </c>
      <c r="G1733" s="10" t="n">
        <f aca="false">F1733*Staffing!$N$34</f>
        <v>22380.75</v>
      </c>
      <c r="H1733" s="10" t="n">
        <f aca="false">F1733+G1733</f>
        <v>78332.625</v>
      </c>
      <c r="I1733" s="10" t="n">
        <f aca="false">0</f>
        <v>0</v>
      </c>
      <c r="J1733" s="10" t="n">
        <f aca="false">MAX(0,E1733-E1732)*Staffing!$O$34</f>
        <v>0</v>
      </c>
      <c r="K1733" s="10" t="n">
        <f aca="false">MAX(0,E1733-E1732)*Staffing!$P$34</f>
        <v>0</v>
      </c>
      <c r="L1733" s="23" t="n">
        <f aca="false">ROUNDUP(E1733,0)</f>
        <v>4</v>
      </c>
    </row>
    <row r="1734" customFormat="false" ht="15" hidden="false" customHeight="false" outlineLevel="0" collapsed="false">
      <c r="A1734" s="6" t="s">
        <v>73</v>
      </c>
      <c r="B1734" s="6" t="s">
        <v>332</v>
      </c>
      <c r="C1734" s="6" t="n">
        <v>49</v>
      </c>
      <c r="D1734" s="25" t="n">
        <f aca="false">EDATE('Start Here'!$B$6,C1734-1)</f>
        <v>47788</v>
      </c>
      <c r="E1734" s="11" t="n">
        <f aca="false">IF(AND(C1734&gt;=Staffing!$F$34,C1734&lt;=Staffing!$G$34,1=1),IF(C1734&lt;=6,Staffing!$H$34,IF(C1734&lt;=15,Staffing!$I$34,IF(C1734&lt;=30,Staffing!$J$34,Staffing!$K$34))),0)</f>
        <v>4</v>
      </c>
      <c r="F1734" s="10" t="n">
        <f aca="false">E1734*Staffing!$L$34/12*(1+Assumptions!$E$10)^INT((C1734-1)/12)*1</f>
        <v>58749.46875</v>
      </c>
      <c r="G1734" s="10" t="n">
        <f aca="false">F1734*Staffing!$N$34</f>
        <v>23499.7875</v>
      </c>
      <c r="H1734" s="10" t="n">
        <f aca="false">F1734+G1734</f>
        <v>82249.25625</v>
      </c>
      <c r="I1734" s="10" t="n">
        <f aca="false">0</f>
        <v>0</v>
      </c>
      <c r="J1734" s="10" t="n">
        <f aca="false">MAX(0,E1734-E1733)*Staffing!$O$34</f>
        <v>0</v>
      </c>
      <c r="K1734" s="10" t="n">
        <f aca="false">MAX(0,E1734-E1733)*Staffing!$P$34</f>
        <v>0</v>
      </c>
      <c r="L1734" s="23" t="n">
        <f aca="false">ROUNDUP(E1734,0)</f>
        <v>4</v>
      </c>
    </row>
    <row r="1735" customFormat="false" ht="15" hidden="false" customHeight="false" outlineLevel="0" collapsed="false">
      <c r="A1735" s="6" t="s">
        <v>73</v>
      </c>
      <c r="B1735" s="6" t="s">
        <v>332</v>
      </c>
      <c r="C1735" s="6" t="n">
        <v>50</v>
      </c>
      <c r="D1735" s="25" t="n">
        <f aca="false">EDATE('Start Here'!$B$6,C1735-1)</f>
        <v>47818</v>
      </c>
      <c r="E1735" s="11" t="n">
        <f aca="false">IF(AND(C1735&gt;=Staffing!$F$34,C1735&lt;=Staffing!$G$34,1=1),IF(C1735&lt;=6,Staffing!$H$34,IF(C1735&lt;=15,Staffing!$I$34,IF(C1735&lt;=30,Staffing!$J$34,Staffing!$K$34))),0)</f>
        <v>4</v>
      </c>
      <c r="F1735" s="10" t="n">
        <f aca="false">E1735*Staffing!$L$34/12*(1+Assumptions!$E$10)^INT((C1735-1)/12)*1</f>
        <v>58749.46875</v>
      </c>
      <c r="G1735" s="10" t="n">
        <f aca="false">F1735*Staffing!$N$34</f>
        <v>23499.7875</v>
      </c>
      <c r="H1735" s="10" t="n">
        <f aca="false">F1735+G1735</f>
        <v>82249.25625</v>
      </c>
      <c r="I1735" s="10" t="n">
        <f aca="false">0</f>
        <v>0</v>
      </c>
      <c r="J1735" s="10" t="n">
        <f aca="false">MAX(0,E1735-E1734)*Staffing!$O$34</f>
        <v>0</v>
      </c>
      <c r="K1735" s="10" t="n">
        <f aca="false">MAX(0,E1735-E1734)*Staffing!$P$34</f>
        <v>0</v>
      </c>
      <c r="L1735" s="23" t="n">
        <f aca="false">ROUNDUP(E1735,0)</f>
        <v>4</v>
      </c>
    </row>
    <row r="1736" customFormat="false" ht="15" hidden="false" customHeight="false" outlineLevel="0" collapsed="false">
      <c r="A1736" s="6" t="s">
        <v>73</v>
      </c>
      <c r="B1736" s="6" t="s">
        <v>332</v>
      </c>
      <c r="C1736" s="6" t="n">
        <v>51</v>
      </c>
      <c r="D1736" s="25" t="n">
        <f aca="false">EDATE('Start Here'!$B$6,C1736-1)</f>
        <v>47849</v>
      </c>
      <c r="E1736" s="11" t="n">
        <f aca="false">IF(AND(C1736&gt;=Staffing!$F$34,C1736&lt;=Staffing!$G$34,1=1),IF(C1736&lt;=6,Staffing!$H$34,IF(C1736&lt;=15,Staffing!$I$34,IF(C1736&lt;=30,Staffing!$J$34,Staffing!$K$34))),0)</f>
        <v>4</v>
      </c>
      <c r="F1736" s="10" t="n">
        <f aca="false">E1736*Staffing!$L$34/12*(1+Assumptions!$E$10)^INT((C1736-1)/12)*1</f>
        <v>58749.46875</v>
      </c>
      <c r="G1736" s="10" t="n">
        <f aca="false">F1736*Staffing!$N$34</f>
        <v>23499.7875</v>
      </c>
      <c r="H1736" s="10" t="n">
        <f aca="false">F1736+G1736</f>
        <v>82249.25625</v>
      </c>
      <c r="I1736" s="10" t="n">
        <f aca="false">0</f>
        <v>0</v>
      </c>
      <c r="J1736" s="10" t="n">
        <f aca="false">MAX(0,E1736-E1735)*Staffing!$O$34</f>
        <v>0</v>
      </c>
      <c r="K1736" s="10" t="n">
        <f aca="false">MAX(0,E1736-E1735)*Staffing!$P$34</f>
        <v>0</v>
      </c>
      <c r="L1736" s="23" t="n">
        <f aca="false">ROUNDUP(E1736,0)</f>
        <v>4</v>
      </c>
    </row>
    <row r="1737" customFormat="false" ht="15" hidden="false" customHeight="false" outlineLevel="0" collapsed="false">
      <c r="A1737" s="6" t="s">
        <v>73</v>
      </c>
      <c r="B1737" s="6" t="s">
        <v>332</v>
      </c>
      <c r="C1737" s="6" t="n">
        <v>52</v>
      </c>
      <c r="D1737" s="25" t="n">
        <f aca="false">EDATE('Start Here'!$B$6,C1737-1)</f>
        <v>47880</v>
      </c>
      <c r="E1737" s="11" t="n">
        <f aca="false">IF(AND(C1737&gt;=Staffing!$F$34,C1737&lt;=Staffing!$G$34,1=1),IF(C1737&lt;=6,Staffing!$H$34,IF(C1737&lt;=15,Staffing!$I$34,IF(C1737&lt;=30,Staffing!$J$34,Staffing!$K$34))),0)</f>
        <v>4</v>
      </c>
      <c r="F1737" s="10" t="n">
        <f aca="false">E1737*Staffing!$L$34/12*(1+Assumptions!$E$10)^INT((C1737-1)/12)*1</f>
        <v>58749.46875</v>
      </c>
      <c r="G1737" s="10" t="n">
        <f aca="false">F1737*Staffing!$N$34</f>
        <v>23499.7875</v>
      </c>
      <c r="H1737" s="10" t="n">
        <f aca="false">F1737+G1737</f>
        <v>82249.25625</v>
      </c>
      <c r="I1737" s="10" t="n">
        <f aca="false">0</f>
        <v>0</v>
      </c>
      <c r="J1737" s="10" t="n">
        <f aca="false">MAX(0,E1737-E1736)*Staffing!$O$34</f>
        <v>0</v>
      </c>
      <c r="K1737" s="10" t="n">
        <f aca="false">MAX(0,E1737-E1736)*Staffing!$P$34</f>
        <v>0</v>
      </c>
      <c r="L1737" s="23" t="n">
        <f aca="false">ROUNDUP(E1737,0)</f>
        <v>4</v>
      </c>
    </row>
    <row r="1738" customFormat="false" ht="15" hidden="false" customHeight="false" outlineLevel="0" collapsed="false">
      <c r="A1738" s="6" t="s">
        <v>73</v>
      </c>
      <c r="B1738" s="6" t="s">
        <v>332</v>
      </c>
      <c r="C1738" s="6" t="n">
        <v>53</v>
      </c>
      <c r="D1738" s="25" t="n">
        <f aca="false">EDATE('Start Here'!$B$6,C1738-1)</f>
        <v>47908</v>
      </c>
      <c r="E1738" s="11" t="n">
        <f aca="false">IF(AND(C1738&gt;=Staffing!$F$34,C1738&lt;=Staffing!$G$34,1=1),IF(C1738&lt;=6,Staffing!$H$34,IF(C1738&lt;=15,Staffing!$I$34,IF(C1738&lt;=30,Staffing!$J$34,Staffing!$K$34))),0)</f>
        <v>4</v>
      </c>
      <c r="F1738" s="10" t="n">
        <f aca="false">E1738*Staffing!$L$34/12*(1+Assumptions!$E$10)^INT((C1738-1)/12)*1</f>
        <v>58749.46875</v>
      </c>
      <c r="G1738" s="10" t="n">
        <f aca="false">F1738*Staffing!$N$34</f>
        <v>23499.7875</v>
      </c>
      <c r="H1738" s="10" t="n">
        <f aca="false">F1738+G1738</f>
        <v>82249.25625</v>
      </c>
      <c r="I1738" s="10" t="n">
        <f aca="false">0</f>
        <v>0</v>
      </c>
      <c r="J1738" s="10" t="n">
        <f aca="false">MAX(0,E1738-E1737)*Staffing!$O$34</f>
        <v>0</v>
      </c>
      <c r="K1738" s="10" t="n">
        <f aca="false">MAX(0,E1738-E1737)*Staffing!$P$34</f>
        <v>0</v>
      </c>
      <c r="L1738" s="23" t="n">
        <f aca="false">ROUNDUP(E1738,0)</f>
        <v>4</v>
      </c>
    </row>
    <row r="1739" customFormat="false" ht="15" hidden="false" customHeight="false" outlineLevel="0" collapsed="false">
      <c r="A1739" s="6" t="s">
        <v>73</v>
      </c>
      <c r="B1739" s="6" t="s">
        <v>332</v>
      </c>
      <c r="C1739" s="6" t="n">
        <v>54</v>
      </c>
      <c r="D1739" s="25" t="n">
        <f aca="false">EDATE('Start Here'!$B$6,C1739-1)</f>
        <v>47939</v>
      </c>
      <c r="E1739" s="11" t="n">
        <f aca="false">IF(AND(C1739&gt;=Staffing!$F$34,C1739&lt;=Staffing!$G$34,1=1),IF(C1739&lt;=6,Staffing!$H$34,IF(C1739&lt;=15,Staffing!$I$34,IF(C1739&lt;=30,Staffing!$J$34,Staffing!$K$34))),0)</f>
        <v>4</v>
      </c>
      <c r="F1739" s="10" t="n">
        <f aca="false">E1739*Staffing!$L$34/12*(1+Assumptions!$E$10)^INT((C1739-1)/12)*1</f>
        <v>58749.46875</v>
      </c>
      <c r="G1739" s="10" t="n">
        <f aca="false">F1739*Staffing!$N$34</f>
        <v>23499.7875</v>
      </c>
      <c r="H1739" s="10" t="n">
        <f aca="false">F1739+G1739</f>
        <v>82249.25625</v>
      </c>
      <c r="I1739" s="10" t="n">
        <f aca="false">0</f>
        <v>0</v>
      </c>
      <c r="J1739" s="10" t="n">
        <f aca="false">MAX(0,E1739-E1738)*Staffing!$O$34</f>
        <v>0</v>
      </c>
      <c r="K1739" s="10" t="n">
        <f aca="false">MAX(0,E1739-E1738)*Staffing!$P$34</f>
        <v>0</v>
      </c>
      <c r="L1739" s="23" t="n">
        <f aca="false">ROUNDUP(E1739,0)</f>
        <v>4</v>
      </c>
    </row>
    <row r="1740" customFormat="false" ht="15" hidden="false" customHeight="false" outlineLevel="0" collapsed="false">
      <c r="A1740" s="6" t="s">
        <v>73</v>
      </c>
      <c r="B1740" s="6" t="s">
        <v>332</v>
      </c>
      <c r="C1740" s="6" t="n">
        <v>55</v>
      </c>
      <c r="D1740" s="25" t="n">
        <f aca="false">EDATE('Start Here'!$B$6,C1740-1)</f>
        <v>47969</v>
      </c>
      <c r="E1740" s="11" t="n">
        <f aca="false">IF(AND(C1740&gt;=Staffing!$F$34,C1740&lt;=Staffing!$G$34,1=1),IF(C1740&lt;=6,Staffing!$H$34,IF(C1740&lt;=15,Staffing!$I$34,IF(C1740&lt;=30,Staffing!$J$34,Staffing!$K$34))),0)</f>
        <v>4</v>
      </c>
      <c r="F1740" s="10" t="n">
        <f aca="false">E1740*Staffing!$L$34/12*(1+Assumptions!$E$10)^INT((C1740-1)/12)*1</f>
        <v>58749.46875</v>
      </c>
      <c r="G1740" s="10" t="n">
        <f aca="false">F1740*Staffing!$N$34</f>
        <v>23499.7875</v>
      </c>
      <c r="H1740" s="10" t="n">
        <f aca="false">F1740+G1740</f>
        <v>82249.25625</v>
      </c>
      <c r="I1740" s="10" t="n">
        <f aca="false">0</f>
        <v>0</v>
      </c>
      <c r="J1740" s="10" t="n">
        <f aca="false">MAX(0,E1740-E1739)*Staffing!$O$34</f>
        <v>0</v>
      </c>
      <c r="K1740" s="10" t="n">
        <f aca="false">MAX(0,E1740-E1739)*Staffing!$P$34</f>
        <v>0</v>
      </c>
      <c r="L1740" s="23" t="n">
        <f aca="false">ROUNDUP(E1740,0)</f>
        <v>4</v>
      </c>
    </row>
    <row r="1741" customFormat="false" ht="15" hidden="false" customHeight="false" outlineLevel="0" collapsed="false">
      <c r="A1741" s="6" t="s">
        <v>73</v>
      </c>
      <c r="B1741" s="6" t="s">
        <v>332</v>
      </c>
      <c r="C1741" s="6" t="n">
        <v>56</v>
      </c>
      <c r="D1741" s="25" t="n">
        <f aca="false">EDATE('Start Here'!$B$6,C1741-1)</f>
        <v>48000</v>
      </c>
      <c r="E1741" s="11" t="n">
        <f aca="false">IF(AND(C1741&gt;=Staffing!$F$34,C1741&lt;=Staffing!$G$34,1=1),IF(C1741&lt;=6,Staffing!$H$34,IF(C1741&lt;=15,Staffing!$I$34,IF(C1741&lt;=30,Staffing!$J$34,Staffing!$K$34))),0)</f>
        <v>4</v>
      </c>
      <c r="F1741" s="10" t="n">
        <f aca="false">E1741*Staffing!$L$34/12*(1+Assumptions!$E$10)^INT((C1741-1)/12)*1</f>
        <v>58749.46875</v>
      </c>
      <c r="G1741" s="10" t="n">
        <f aca="false">F1741*Staffing!$N$34</f>
        <v>23499.7875</v>
      </c>
      <c r="H1741" s="10" t="n">
        <f aca="false">F1741+G1741</f>
        <v>82249.25625</v>
      </c>
      <c r="I1741" s="10" t="n">
        <f aca="false">0</f>
        <v>0</v>
      </c>
      <c r="J1741" s="10" t="n">
        <f aca="false">MAX(0,E1741-E1740)*Staffing!$O$34</f>
        <v>0</v>
      </c>
      <c r="K1741" s="10" t="n">
        <f aca="false">MAX(0,E1741-E1740)*Staffing!$P$34</f>
        <v>0</v>
      </c>
      <c r="L1741" s="23" t="n">
        <f aca="false">ROUNDUP(E1741,0)</f>
        <v>4</v>
      </c>
    </row>
    <row r="1742" customFormat="false" ht="15" hidden="false" customHeight="false" outlineLevel="0" collapsed="false">
      <c r="A1742" s="6" t="s">
        <v>73</v>
      </c>
      <c r="B1742" s="6" t="s">
        <v>332</v>
      </c>
      <c r="C1742" s="6" t="n">
        <v>57</v>
      </c>
      <c r="D1742" s="25" t="n">
        <f aca="false">EDATE('Start Here'!$B$6,C1742-1)</f>
        <v>48030</v>
      </c>
      <c r="E1742" s="11" t="n">
        <f aca="false">IF(AND(C1742&gt;=Staffing!$F$34,C1742&lt;=Staffing!$G$34,1=1),IF(C1742&lt;=6,Staffing!$H$34,IF(C1742&lt;=15,Staffing!$I$34,IF(C1742&lt;=30,Staffing!$J$34,Staffing!$K$34))),0)</f>
        <v>4</v>
      </c>
      <c r="F1742" s="10" t="n">
        <f aca="false">E1742*Staffing!$L$34/12*(1+Assumptions!$E$10)^INT((C1742-1)/12)*1</f>
        <v>58749.46875</v>
      </c>
      <c r="G1742" s="10" t="n">
        <f aca="false">F1742*Staffing!$N$34</f>
        <v>23499.7875</v>
      </c>
      <c r="H1742" s="10" t="n">
        <f aca="false">F1742+G1742</f>
        <v>82249.25625</v>
      </c>
      <c r="I1742" s="10" t="n">
        <f aca="false">0</f>
        <v>0</v>
      </c>
      <c r="J1742" s="10" t="n">
        <f aca="false">MAX(0,E1742-E1741)*Staffing!$O$34</f>
        <v>0</v>
      </c>
      <c r="K1742" s="10" t="n">
        <f aca="false">MAX(0,E1742-E1741)*Staffing!$P$34</f>
        <v>0</v>
      </c>
      <c r="L1742" s="23" t="n">
        <f aca="false">ROUNDUP(E1742,0)</f>
        <v>4</v>
      </c>
    </row>
    <row r="1743" customFormat="false" ht="15" hidden="false" customHeight="false" outlineLevel="0" collapsed="false">
      <c r="A1743" s="6" t="s">
        <v>73</v>
      </c>
      <c r="B1743" s="6" t="s">
        <v>332</v>
      </c>
      <c r="C1743" s="6" t="n">
        <v>58</v>
      </c>
      <c r="D1743" s="25" t="n">
        <f aca="false">EDATE('Start Here'!$B$6,C1743-1)</f>
        <v>48061</v>
      </c>
      <c r="E1743" s="11" t="n">
        <f aca="false">IF(AND(C1743&gt;=Staffing!$F$34,C1743&lt;=Staffing!$G$34,1=1),IF(C1743&lt;=6,Staffing!$H$34,IF(C1743&lt;=15,Staffing!$I$34,IF(C1743&lt;=30,Staffing!$J$34,Staffing!$K$34))),0)</f>
        <v>4</v>
      </c>
      <c r="F1743" s="10" t="n">
        <f aca="false">E1743*Staffing!$L$34/12*(1+Assumptions!$E$10)^INT((C1743-1)/12)*1</f>
        <v>58749.46875</v>
      </c>
      <c r="G1743" s="10" t="n">
        <f aca="false">F1743*Staffing!$N$34</f>
        <v>23499.7875</v>
      </c>
      <c r="H1743" s="10" t="n">
        <f aca="false">F1743+G1743</f>
        <v>82249.25625</v>
      </c>
      <c r="I1743" s="10" t="n">
        <f aca="false">0</f>
        <v>0</v>
      </c>
      <c r="J1743" s="10" t="n">
        <f aca="false">MAX(0,E1743-E1742)*Staffing!$O$34</f>
        <v>0</v>
      </c>
      <c r="K1743" s="10" t="n">
        <f aca="false">MAX(0,E1743-E1742)*Staffing!$P$34</f>
        <v>0</v>
      </c>
      <c r="L1743" s="23" t="n">
        <f aca="false">ROUNDUP(E1743,0)</f>
        <v>4</v>
      </c>
    </row>
    <row r="1744" customFormat="false" ht="15" hidden="false" customHeight="false" outlineLevel="0" collapsed="false">
      <c r="A1744" s="6" t="s">
        <v>73</v>
      </c>
      <c r="B1744" s="6" t="s">
        <v>332</v>
      </c>
      <c r="C1744" s="6" t="n">
        <v>59</v>
      </c>
      <c r="D1744" s="25" t="n">
        <f aca="false">EDATE('Start Here'!$B$6,C1744-1)</f>
        <v>48092</v>
      </c>
      <c r="E1744" s="11" t="n">
        <f aca="false">IF(AND(C1744&gt;=Staffing!$F$34,C1744&lt;=Staffing!$G$34,1=1),IF(C1744&lt;=6,Staffing!$H$34,IF(C1744&lt;=15,Staffing!$I$34,IF(C1744&lt;=30,Staffing!$J$34,Staffing!$K$34))),0)</f>
        <v>4</v>
      </c>
      <c r="F1744" s="10" t="n">
        <f aca="false">E1744*Staffing!$L$34/12*(1+Assumptions!$E$10)^INT((C1744-1)/12)*1</f>
        <v>58749.46875</v>
      </c>
      <c r="G1744" s="10" t="n">
        <f aca="false">F1744*Staffing!$N$34</f>
        <v>23499.7875</v>
      </c>
      <c r="H1744" s="10" t="n">
        <f aca="false">F1744+G1744</f>
        <v>82249.25625</v>
      </c>
      <c r="I1744" s="10" t="n">
        <f aca="false">0</f>
        <v>0</v>
      </c>
      <c r="J1744" s="10" t="n">
        <f aca="false">MAX(0,E1744-E1743)*Staffing!$O$34</f>
        <v>0</v>
      </c>
      <c r="K1744" s="10" t="n">
        <f aca="false">MAX(0,E1744-E1743)*Staffing!$P$34</f>
        <v>0</v>
      </c>
      <c r="L1744" s="23" t="n">
        <f aca="false">ROUNDUP(E1744,0)</f>
        <v>4</v>
      </c>
    </row>
    <row r="1745" customFormat="false" ht="15" hidden="false" customHeight="false" outlineLevel="0" collapsed="false">
      <c r="A1745" s="6" t="s">
        <v>73</v>
      </c>
      <c r="B1745" s="6" t="s">
        <v>332</v>
      </c>
      <c r="C1745" s="6" t="n">
        <v>60</v>
      </c>
      <c r="D1745" s="25" t="n">
        <f aca="false">EDATE('Start Here'!$B$6,C1745-1)</f>
        <v>48122</v>
      </c>
      <c r="E1745" s="11" t="n">
        <f aca="false">IF(AND(C1745&gt;=Staffing!$F$34,C1745&lt;=Staffing!$G$34,1=1),IF(C1745&lt;=6,Staffing!$H$34,IF(C1745&lt;=15,Staffing!$I$34,IF(C1745&lt;=30,Staffing!$J$34,Staffing!$K$34))),0)</f>
        <v>4</v>
      </c>
      <c r="F1745" s="10" t="n">
        <f aca="false">E1745*Staffing!$L$34/12*(1+Assumptions!$E$10)^INT((C1745-1)/12)*1</f>
        <v>58749.46875</v>
      </c>
      <c r="G1745" s="10" t="n">
        <f aca="false">F1745*Staffing!$N$34</f>
        <v>23499.7875</v>
      </c>
      <c r="H1745" s="10" t="n">
        <f aca="false">F1745+G1745</f>
        <v>82249.25625</v>
      </c>
      <c r="I1745" s="10" t="n">
        <f aca="false">0</f>
        <v>0</v>
      </c>
      <c r="J1745" s="10" t="n">
        <f aca="false">MAX(0,E1745-E1744)*Staffing!$O$34</f>
        <v>0</v>
      </c>
      <c r="K1745" s="10" t="n">
        <f aca="false">MAX(0,E1745-E1744)*Staffing!$P$34</f>
        <v>0</v>
      </c>
      <c r="L1745" s="23" t="n">
        <f aca="false">ROUNDUP(E1745,0)</f>
        <v>4</v>
      </c>
    </row>
    <row r="1746" customFormat="false" ht="15" hidden="false" customHeight="false" outlineLevel="0" collapsed="false">
      <c r="A1746" s="6" t="s">
        <v>73</v>
      </c>
      <c r="B1746" s="6" t="s">
        <v>334</v>
      </c>
      <c r="C1746" s="6" t="n">
        <v>1</v>
      </c>
      <c r="D1746" s="25" t="n">
        <f aca="false">EDATE('Start Here'!$B$6,C1746-1)</f>
        <v>46327</v>
      </c>
      <c r="E1746" s="23" t="n">
        <f aca="false">IF(AND(C1746&gt;=Staffing!$F$35,C1746&lt;=Staffing!$G$35,1=1),IF(C1746&lt;=6,Staffing!$H$35,IF(C1746&lt;=15,Staffing!$I$35,IF(C1746&lt;=30,Staffing!$J$35,Staffing!$K$35))),0)</f>
        <v>0</v>
      </c>
      <c r="F1746" s="10" t="n">
        <f aca="false">E1746*Staffing!$L$35/12*(1+Assumptions!$E$10)^INT((C1746-1)/12)*1</f>
        <v>0</v>
      </c>
      <c r="G1746" s="10" t="n">
        <f aca="false">F1746*Staffing!$N$35</f>
        <v>0</v>
      </c>
      <c r="H1746" s="10" t="n">
        <f aca="false">F1746+G1746</f>
        <v>0</v>
      </c>
      <c r="I1746" s="10" t="n">
        <f aca="false">0</f>
        <v>0</v>
      </c>
      <c r="J1746" s="10" t="n">
        <f aca="false">MAX(0,E1746-0)*Staffing!$O$35</f>
        <v>0</v>
      </c>
      <c r="K1746" s="10" t="n">
        <f aca="false">MAX(0,E1746-0)*Staffing!$P$35</f>
        <v>0</v>
      </c>
      <c r="L1746" s="23" t="n">
        <f aca="false">ROUNDUP(E1746,0)</f>
        <v>0</v>
      </c>
    </row>
    <row r="1747" customFormat="false" ht="15" hidden="false" customHeight="false" outlineLevel="0" collapsed="false">
      <c r="A1747" s="6" t="s">
        <v>73</v>
      </c>
      <c r="B1747" s="6" t="s">
        <v>334</v>
      </c>
      <c r="C1747" s="6" t="n">
        <v>2</v>
      </c>
      <c r="D1747" s="25" t="n">
        <f aca="false">EDATE('Start Here'!$B$6,C1747-1)</f>
        <v>46357</v>
      </c>
      <c r="E1747" s="23" t="n">
        <f aca="false">IF(AND(C1747&gt;=Staffing!$F$35,C1747&lt;=Staffing!$G$35,1=1),IF(C1747&lt;=6,Staffing!$H$35,IF(C1747&lt;=15,Staffing!$I$35,IF(C1747&lt;=30,Staffing!$J$35,Staffing!$K$35))),0)</f>
        <v>0</v>
      </c>
      <c r="F1747" s="10" t="n">
        <f aca="false">E1747*Staffing!$L$35/12*(1+Assumptions!$E$10)^INT((C1747-1)/12)*1</f>
        <v>0</v>
      </c>
      <c r="G1747" s="10" t="n">
        <f aca="false">F1747*Staffing!$N$35</f>
        <v>0</v>
      </c>
      <c r="H1747" s="10" t="n">
        <f aca="false">F1747+G1747</f>
        <v>0</v>
      </c>
      <c r="I1747" s="10" t="n">
        <f aca="false">0</f>
        <v>0</v>
      </c>
      <c r="J1747" s="10" t="n">
        <f aca="false">MAX(0,E1747-E1746)*Staffing!$O$35</f>
        <v>0</v>
      </c>
      <c r="K1747" s="10" t="n">
        <f aca="false">MAX(0,E1747-E1746)*Staffing!$P$35</f>
        <v>0</v>
      </c>
      <c r="L1747" s="23" t="n">
        <f aca="false">ROUNDUP(E1747,0)</f>
        <v>0</v>
      </c>
    </row>
    <row r="1748" customFormat="false" ht="15" hidden="false" customHeight="false" outlineLevel="0" collapsed="false">
      <c r="A1748" s="6" t="s">
        <v>73</v>
      </c>
      <c r="B1748" s="6" t="s">
        <v>334</v>
      </c>
      <c r="C1748" s="6" t="n">
        <v>3</v>
      </c>
      <c r="D1748" s="25" t="n">
        <f aca="false">EDATE('Start Here'!$B$6,C1748-1)</f>
        <v>46388</v>
      </c>
      <c r="E1748" s="11" t="n">
        <f aca="false">IF(AND(C1748&gt;=Staffing!$F$35,C1748&lt;=Staffing!$G$35,1=1),IF(C1748&lt;=6,Staffing!$H$35,IF(C1748&lt;=15,Staffing!$I$35,IF(C1748&lt;=30,Staffing!$J$35,Staffing!$K$35))),0)</f>
        <v>1</v>
      </c>
      <c r="F1748" s="10" t="n">
        <f aca="false">E1748*Staffing!$L$35/12*(1+Assumptions!$E$10)^INT((C1748-1)/12)*1</f>
        <v>11666.6666666667</v>
      </c>
      <c r="G1748" s="10" t="n">
        <f aca="false">F1748*Staffing!$N$35</f>
        <v>4666.66666666667</v>
      </c>
      <c r="H1748" s="10" t="n">
        <f aca="false">F1748+G1748</f>
        <v>16333.3333333333</v>
      </c>
      <c r="I1748" s="10" t="n">
        <f aca="false">0</f>
        <v>0</v>
      </c>
      <c r="J1748" s="10" t="n">
        <f aca="false">MAX(0,E1748-E1747)*Staffing!$O$35</f>
        <v>12000</v>
      </c>
      <c r="K1748" s="10" t="n">
        <f aca="false">MAX(0,E1748-E1747)*Staffing!$P$35</f>
        <v>3500</v>
      </c>
      <c r="L1748" s="23" t="n">
        <f aca="false">ROUNDUP(E1748,0)</f>
        <v>1</v>
      </c>
    </row>
    <row r="1749" customFormat="false" ht="15" hidden="false" customHeight="false" outlineLevel="0" collapsed="false">
      <c r="A1749" s="6" t="s">
        <v>73</v>
      </c>
      <c r="B1749" s="6" t="s">
        <v>334</v>
      </c>
      <c r="C1749" s="6" t="n">
        <v>4</v>
      </c>
      <c r="D1749" s="25" t="n">
        <f aca="false">EDATE('Start Here'!$B$6,C1749-1)</f>
        <v>46419</v>
      </c>
      <c r="E1749" s="11" t="n">
        <f aca="false">IF(AND(C1749&gt;=Staffing!$F$35,C1749&lt;=Staffing!$G$35,1=1),IF(C1749&lt;=6,Staffing!$H$35,IF(C1749&lt;=15,Staffing!$I$35,IF(C1749&lt;=30,Staffing!$J$35,Staffing!$K$35))),0)</f>
        <v>1</v>
      </c>
      <c r="F1749" s="10" t="n">
        <f aca="false">E1749*Staffing!$L$35/12*(1+Assumptions!$E$10)^INT((C1749-1)/12)*1</f>
        <v>11666.6666666667</v>
      </c>
      <c r="G1749" s="10" t="n">
        <f aca="false">F1749*Staffing!$N$35</f>
        <v>4666.66666666667</v>
      </c>
      <c r="H1749" s="10" t="n">
        <f aca="false">F1749+G1749</f>
        <v>16333.3333333333</v>
      </c>
      <c r="I1749" s="10" t="n">
        <f aca="false">0</f>
        <v>0</v>
      </c>
      <c r="J1749" s="10" t="n">
        <f aca="false">MAX(0,E1749-E1748)*Staffing!$O$35</f>
        <v>0</v>
      </c>
      <c r="K1749" s="10" t="n">
        <f aca="false">MAX(0,E1749-E1748)*Staffing!$P$35</f>
        <v>0</v>
      </c>
      <c r="L1749" s="23" t="n">
        <f aca="false">ROUNDUP(E1749,0)</f>
        <v>1</v>
      </c>
    </row>
    <row r="1750" customFormat="false" ht="15" hidden="false" customHeight="false" outlineLevel="0" collapsed="false">
      <c r="A1750" s="6" t="s">
        <v>73</v>
      </c>
      <c r="B1750" s="6" t="s">
        <v>334</v>
      </c>
      <c r="C1750" s="6" t="n">
        <v>5</v>
      </c>
      <c r="D1750" s="25" t="n">
        <f aca="false">EDATE('Start Here'!$B$6,C1750-1)</f>
        <v>46447</v>
      </c>
      <c r="E1750" s="11" t="n">
        <f aca="false">IF(AND(C1750&gt;=Staffing!$F$35,C1750&lt;=Staffing!$G$35,1=1),IF(C1750&lt;=6,Staffing!$H$35,IF(C1750&lt;=15,Staffing!$I$35,IF(C1750&lt;=30,Staffing!$J$35,Staffing!$K$35))),0)</f>
        <v>1</v>
      </c>
      <c r="F1750" s="10" t="n">
        <f aca="false">E1750*Staffing!$L$35/12*(1+Assumptions!$E$10)^INT((C1750-1)/12)*1</f>
        <v>11666.6666666667</v>
      </c>
      <c r="G1750" s="10" t="n">
        <f aca="false">F1750*Staffing!$N$35</f>
        <v>4666.66666666667</v>
      </c>
      <c r="H1750" s="10" t="n">
        <f aca="false">F1750+G1750</f>
        <v>16333.3333333333</v>
      </c>
      <c r="I1750" s="10" t="n">
        <f aca="false">0</f>
        <v>0</v>
      </c>
      <c r="J1750" s="10" t="n">
        <f aca="false">MAX(0,E1750-E1749)*Staffing!$O$35</f>
        <v>0</v>
      </c>
      <c r="K1750" s="10" t="n">
        <f aca="false">MAX(0,E1750-E1749)*Staffing!$P$35</f>
        <v>0</v>
      </c>
      <c r="L1750" s="23" t="n">
        <f aca="false">ROUNDUP(E1750,0)</f>
        <v>1</v>
      </c>
    </row>
    <row r="1751" customFormat="false" ht="15" hidden="false" customHeight="false" outlineLevel="0" collapsed="false">
      <c r="A1751" s="6" t="s">
        <v>73</v>
      </c>
      <c r="B1751" s="6" t="s">
        <v>334</v>
      </c>
      <c r="C1751" s="6" t="n">
        <v>6</v>
      </c>
      <c r="D1751" s="25" t="n">
        <f aca="false">EDATE('Start Here'!$B$6,C1751-1)</f>
        <v>46478</v>
      </c>
      <c r="E1751" s="11" t="n">
        <f aca="false">IF(AND(C1751&gt;=Staffing!$F$35,C1751&lt;=Staffing!$G$35,1=1),IF(C1751&lt;=6,Staffing!$H$35,IF(C1751&lt;=15,Staffing!$I$35,IF(C1751&lt;=30,Staffing!$J$35,Staffing!$K$35))),0)</f>
        <v>1</v>
      </c>
      <c r="F1751" s="10" t="n">
        <f aca="false">E1751*Staffing!$L$35/12*(1+Assumptions!$E$10)^INT((C1751-1)/12)*1</f>
        <v>11666.6666666667</v>
      </c>
      <c r="G1751" s="10" t="n">
        <f aca="false">F1751*Staffing!$N$35</f>
        <v>4666.66666666667</v>
      </c>
      <c r="H1751" s="10" t="n">
        <f aca="false">F1751+G1751</f>
        <v>16333.3333333333</v>
      </c>
      <c r="I1751" s="10" t="n">
        <f aca="false">0</f>
        <v>0</v>
      </c>
      <c r="J1751" s="10" t="n">
        <f aca="false">MAX(0,E1751-E1750)*Staffing!$O$35</f>
        <v>0</v>
      </c>
      <c r="K1751" s="10" t="n">
        <f aca="false">MAX(0,E1751-E1750)*Staffing!$P$35</f>
        <v>0</v>
      </c>
      <c r="L1751" s="23" t="n">
        <f aca="false">ROUNDUP(E1751,0)</f>
        <v>1</v>
      </c>
    </row>
    <row r="1752" customFormat="false" ht="15" hidden="false" customHeight="false" outlineLevel="0" collapsed="false">
      <c r="A1752" s="6" t="s">
        <v>73</v>
      </c>
      <c r="B1752" s="6" t="s">
        <v>334</v>
      </c>
      <c r="C1752" s="6" t="n">
        <v>7</v>
      </c>
      <c r="D1752" s="25" t="n">
        <f aca="false">EDATE('Start Here'!$B$6,C1752-1)</f>
        <v>46508</v>
      </c>
      <c r="E1752" s="11" t="n">
        <f aca="false">IF(AND(C1752&gt;=Staffing!$F$35,C1752&lt;=Staffing!$G$35,1=1),IF(C1752&lt;=6,Staffing!$H$35,IF(C1752&lt;=15,Staffing!$I$35,IF(C1752&lt;=30,Staffing!$J$35,Staffing!$K$35))),0)</f>
        <v>1</v>
      </c>
      <c r="F1752" s="10" t="n">
        <f aca="false">E1752*Staffing!$L$35/12*(1+Assumptions!$E$10)^INT((C1752-1)/12)*1</f>
        <v>11666.6666666667</v>
      </c>
      <c r="G1752" s="10" t="n">
        <f aca="false">F1752*Staffing!$N$35</f>
        <v>4666.66666666667</v>
      </c>
      <c r="H1752" s="10" t="n">
        <f aca="false">F1752+G1752</f>
        <v>16333.3333333333</v>
      </c>
      <c r="I1752" s="10" t="n">
        <f aca="false">0</f>
        <v>0</v>
      </c>
      <c r="J1752" s="10" t="n">
        <f aca="false">MAX(0,E1752-E1751)*Staffing!$O$35</f>
        <v>0</v>
      </c>
      <c r="K1752" s="10" t="n">
        <f aca="false">MAX(0,E1752-E1751)*Staffing!$P$35</f>
        <v>0</v>
      </c>
      <c r="L1752" s="23" t="n">
        <f aca="false">ROUNDUP(E1752,0)</f>
        <v>1</v>
      </c>
    </row>
    <row r="1753" customFormat="false" ht="15" hidden="false" customHeight="false" outlineLevel="0" collapsed="false">
      <c r="A1753" s="6" t="s">
        <v>73</v>
      </c>
      <c r="B1753" s="6" t="s">
        <v>334</v>
      </c>
      <c r="C1753" s="6" t="n">
        <v>8</v>
      </c>
      <c r="D1753" s="25" t="n">
        <f aca="false">EDATE('Start Here'!$B$6,C1753-1)</f>
        <v>46539</v>
      </c>
      <c r="E1753" s="11" t="n">
        <f aca="false">IF(AND(C1753&gt;=Staffing!$F$35,C1753&lt;=Staffing!$G$35,1=1),IF(C1753&lt;=6,Staffing!$H$35,IF(C1753&lt;=15,Staffing!$I$35,IF(C1753&lt;=30,Staffing!$J$35,Staffing!$K$35))),0)</f>
        <v>1</v>
      </c>
      <c r="F1753" s="10" t="n">
        <f aca="false">E1753*Staffing!$L$35/12*(1+Assumptions!$E$10)^INT((C1753-1)/12)*1</f>
        <v>11666.6666666667</v>
      </c>
      <c r="G1753" s="10" t="n">
        <f aca="false">F1753*Staffing!$N$35</f>
        <v>4666.66666666667</v>
      </c>
      <c r="H1753" s="10" t="n">
        <f aca="false">F1753+G1753</f>
        <v>16333.3333333333</v>
      </c>
      <c r="I1753" s="10" t="n">
        <f aca="false">0</f>
        <v>0</v>
      </c>
      <c r="J1753" s="10" t="n">
        <f aca="false">MAX(0,E1753-E1752)*Staffing!$O$35</f>
        <v>0</v>
      </c>
      <c r="K1753" s="10" t="n">
        <f aca="false">MAX(0,E1753-E1752)*Staffing!$P$35</f>
        <v>0</v>
      </c>
      <c r="L1753" s="23" t="n">
        <f aca="false">ROUNDUP(E1753,0)</f>
        <v>1</v>
      </c>
    </row>
    <row r="1754" customFormat="false" ht="15" hidden="false" customHeight="false" outlineLevel="0" collapsed="false">
      <c r="A1754" s="6" t="s">
        <v>73</v>
      </c>
      <c r="B1754" s="6" t="s">
        <v>334</v>
      </c>
      <c r="C1754" s="6" t="n">
        <v>9</v>
      </c>
      <c r="D1754" s="25" t="n">
        <f aca="false">EDATE('Start Here'!$B$6,C1754-1)</f>
        <v>46569</v>
      </c>
      <c r="E1754" s="11" t="n">
        <f aca="false">IF(AND(C1754&gt;=Staffing!$F$35,C1754&lt;=Staffing!$G$35,1=1),IF(C1754&lt;=6,Staffing!$H$35,IF(C1754&lt;=15,Staffing!$I$35,IF(C1754&lt;=30,Staffing!$J$35,Staffing!$K$35))),0)</f>
        <v>1</v>
      </c>
      <c r="F1754" s="10" t="n">
        <f aca="false">E1754*Staffing!$L$35/12*(1+Assumptions!$E$10)^INT((C1754-1)/12)*1</f>
        <v>11666.6666666667</v>
      </c>
      <c r="G1754" s="10" t="n">
        <f aca="false">F1754*Staffing!$N$35</f>
        <v>4666.66666666667</v>
      </c>
      <c r="H1754" s="10" t="n">
        <f aca="false">F1754+G1754</f>
        <v>16333.3333333333</v>
      </c>
      <c r="I1754" s="10" t="n">
        <f aca="false">0</f>
        <v>0</v>
      </c>
      <c r="J1754" s="10" t="n">
        <f aca="false">MAX(0,E1754-E1753)*Staffing!$O$35</f>
        <v>0</v>
      </c>
      <c r="K1754" s="10" t="n">
        <f aca="false">MAX(0,E1754-E1753)*Staffing!$P$35</f>
        <v>0</v>
      </c>
      <c r="L1754" s="23" t="n">
        <f aca="false">ROUNDUP(E1754,0)</f>
        <v>1</v>
      </c>
    </row>
    <row r="1755" customFormat="false" ht="15" hidden="false" customHeight="false" outlineLevel="0" collapsed="false">
      <c r="A1755" s="6" t="s">
        <v>73</v>
      </c>
      <c r="B1755" s="6" t="s">
        <v>334</v>
      </c>
      <c r="C1755" s="6" t="n">
        <v>10</v>
      </c>
      <c r="D1755" s="25" t="n">
        <f aca="false">EDATE('Start Here'!$B$6,C1755-1)</f>
        <v>46600</v>
      </c>
      <c r="E1755" s="11" t="n">
        <f aca="false">IF(AND(C1755&gt;=Staffing!$F$35,C1755&lt;=Staffing!$G$35,1=1),IF(C1755&lt;=6,Staffing!$H$35,IF(C1755&lt;=15,Staffing!$I$35,IF(C1755&lt;=30,Staffing!$J$35,Staffing!$K$35))),0)</f>
        <v>1</v>
      </c>
      <c r="F1755" s="10" t="n">
        <f aca="false">E1755*Staffing!$L$35/12*(1+Assumptions!$E$10)^INT((C1755-1)/12)*1</f>
        <v>11666.6666666667</v>
      </c>
      <c r="G1755" s="10" t="n">
        <f aca="false">F1755*Staffing!$N$35</f>
        <v>4666.66666666667</v>
      </c>
      <c r="H1755" s="10" t="n">
        <f aca="false">F1755+G1755</f>
        <v>16333.3333333333</v>
      </c>
      <c r="I1755" s="10" t="n">
        <f aca="false">0</f>
        <v>0</v>
      </c>
      <c r="J1755" s="10" t="n">
        <f aca="false">MAX(0,E1755-E1754)*Staffing!$O$35</f>
        <v>0</v>
      </c>
      <c r="K1755" s="10" t="n">
        <f aca="false">MAX(0,E1755-E1754)*Staffing!$P$35</f>
        <v>0</v>
      </c>
      <c r="L1755" s="23" t="n">
        <f aca="false">ROUNDUP(E1755,0)</f>
        <v>1</v>
      </c>
    </row>
    <row r="1756" customFormat="false" ht="15" hidden="false" customHeight="false" outlineLevel="0" collapsed="false">
      <c r="A1756" s="6" t="s">
        <v>73</v>
      </c>
      <c r="B1756" s="6" t="s">
        <v>334</v>
      </c>
      <c r="C1756" s="6" t="n">
        <v>11</v>
      </c>
      <c r="D1756" s="25" t="n">
        <f aca="false">EDATE('Start Here'!$B$6,C1756-1)</f>
        <v>46631</v>
      </c>
      <c r="E1756" s="11" t="n">
        <f aca="false">IF(AND(C1756&gt;=Staffing!$F$35,C1756&lt;=Staffing!$G$35,1=1),IF(C1756&lt;=6,Staffing!$H$35,IF(C1756&lt;=15,Staffing!$I$35,IF(C1756&lt;=30,Staffing!$J$35,Staffing!$K$35))),0)</f>
        <v>1</v>
      </c>
      <c r="F1756" s="10" t="n">
        <f aca="false">E1756*Staffing!$L$35/12*(1+Assumptions!$E$10)^INT((C1756-1)/12)*1</f>
        <v>11666.6666666667</v>
      </c>
      <c r="G1756" s="10" t="n">
        <f aca="false">F1756*Staffing!$N$35</f>
        <v>4666.66666666667</v>
      </c>
      <c r="H1756" s="10" t="n">
        <f aca="false">F1756+G1756</f>
        <v>16333.3333333333</v>
      </c>
      <c r="I1756" s="10" t="n">
        <f aca="false">0</f>
        <v>0</v>
      </c>
      <c r="J1756" s="10" t="n">
        <f aca="false">MAX(0,E1756-E1755)*Staffing!$O$35</f>
        <v>0</v>
      </c>
      <c r="K1756" s="10" t="n">
        <f aca="false">MAX(0,E1756-E1755)*Staffing!$P$35</f>
        <v>0</v>
      </c>
      <c r="L1756" s="23" t="n">
        <f aca="false">ROUNDUP(E1756,0)</f>
        <v>1</v>
      </c>
    </row>
    <row r="1757" customFormat="false" ht="15" hidden="false" customHeight="false" outlineLevel="0" collapsed="false">
      <c r="A1757" s="6" t="s">
        <v>73</v>
      </c>
      <c r="B1757" s="6" t="s">
        <v>334</v>
      </c>
      <c r="C1757" s="6" t="n">
        <v>12</v>
      </c>
      <c r="D1757" s="25" t="n">
        <f aca="false">EDATE('Start Here'!$B$6,C1757-1)</f>
        <v>46661</v>
      </c>
      <c r="E1757" s="11" t="n">
        <f aca="false">IF(AND(C1757&gt;=Staffing!$F$35,C1757&lt;=Staffing!$G$35,1=1),IF(C1757&lt;=6,Staffing!$H$35,IF(C1757&lt;=15,Staffing!$I$35,IF(C1757&lt;=30,Staffing!$J$35,Staffing!$K$35))),0)</f>
        <v>1</v>
      </c>
      <c r="F1757" s="10" t="n">
        <f aca="false">E1757*Staffing!$L$35/12*(1+Assumptions!$E$10)^INT((C1757-1)/12)*1</f>
        <v>11666.6666666667</v>
      </c>
      <c r="G1757" s="10" t="n">
        <f aca="false">F1757*Staffing!$N$35</f>
        <v>4666.66666666667</v>
      </c>
      <c r="H1757" s="10" t="n">
        <f aca="false">F1757+G1757</f>
        <v>16333.3333333333</v>
      </c>
      <c r="I1757" s="10" t="n">
        <f aca="false">0</f>
        <v>0</v>
      </c>
      <c r="J1757" s="10" t="n">
        <f aca="false">MAX(0,E1757-E1756)*Staffing!$O$35</f>
        <v>0</v>
      </c>
      <c r="K1757" s="10" t="n">
        <f aca="false">MAX(0,E1757-E1756)*Staffing!$P$35</f>
        <v>0</v>
      </c>
      <c r="L1757" s="23" t="n">
        <f aca="false">ROUNDUP(E1757,0)</f>
        <v>1</v>
      </c>
    </row>
    <row r="1758" customFormat="false" ht="15" hidden="false" customHeight="false" outlineLevel="0" collapsed="false">
      <c r="A1758" s="6" t="s">
        <v>73</v>
      </c>
      <c r="B1758" s="6" t="s">
        <v>334</v>
      </c>
      <c r="C1758" s="6" t="n">
        <v>13</v>
      </c>
      <c r="D1758" s="25" t="n">
        <f aca="false">EDATE('Start Here'!$B$6,C1758-1)</f>
        <v>46692</v>
      </c>
      <c r="E1758" s="11" t="n">
        <f aca="false">IF(AND(C1758&gt;=Staffing!$F$35,C1758&lt;=Staffing!$G$35,1=1),IF(C1758&lt;=6,Staffing!$H$35,IF(C1758&lt;=15,Staffing!$I$35,IF(C1758&lt;=30,Staffing!$J$35,Staffing!$K$35))),0)</f>
        <v>1</v>
      </c>
      <c r="F1758" s="10" t="n">
        <f aca="false">E1758*Staffing!$L$35/12*(1+Assumptions!$E$10)^INT((C1758-1)/12)*1</f>
        <v>12250</v>
      </c>
      <c r="G1758" s="10" t="n">
        <f aca="false">F1758*Staffing!$N$35</f>
        <v>4900</v>
      </c>
      <c r="H1758" s="10" t="n">
        <f aca="false">F1758+G1758</f>
        <v>17150</v>
      </c>
      <c r="I1758" s="10" t="n">
        <f aca="false">0</f>
        <v>0</v>
      </c>
      <c r="J1758" s="10" t="n">
        <f aca="false">MAX(0,E1758-E1757)*Staffing!$O$35</f>
        <v>0</v>
      </c>
      <c r="K1758" s="10" t="n">
        <f aca="false">MAX(0,E1758-E1757)*Staffing!$P$35</f>
        <v>0</v>
      </c>
      <c r="L1758" s="23" t="n">
        <f aca="false">ROUNDUP(E1758,0)</f>
        <v>1</v>
      </c>
    </row>
    <row r="1759" customFormat="false" ht="15" hidden="false" customHeight="false" outlineLevel="0" collapsed="false">
      <c r="A1759" s="6" t="s">
        <v>73</v>
      </c>
      <c r="B1759" s="6" t="s">
        <v>334</v>
      </c>
      <c r="C1759" s="6" t="n">
        <v>14</v>
      </c>
      <c r="D1759" s="25" t="n">
        <f aca="false">EDATE('Start Here'!$B$6,C1759-1)</f>
        <v>46722</v>
      </c>
      <c r="E1759" s="11" t="n">
        <f aca="false">IF(AND(C1759&gt;=Staffing!$F$35,C1759&lt;=Staffing!$G$35,1=1),IF(C1759&lt;=6,Staffing!$H$35,IF(C1759&lt;=15,Staffing!$I$35,IF(C1759&lt;=30,Staffing!$J$35,Staffing!$K$35))),0)</f>
        <v>1</v>
      </c>
      <c r="F1759" s="10" t="n">
        <f aca="false">E1759*Staffing!$L$35/12*(1+Assumptions!$E$10)^INT((C1759-1)/12)*1</f>
        <v>12250</v>
      </c>
      <c r="G1759" s="10" t="n">
        <f aca="false">F1759*Staffing!$N$35</f>
        <v>4900</v>
      </c>
      <c r="H1759" s="10" t="n">
        <f aca="false">F1759+G1759</f>
        <v>17150</v>
      </c>
      <c r="I1759" s="10" t="n">
        <f aca="false">0</f>
        <v>0</v>
      </c>
      <c r="J1759" s="10" t="n">
        <f aca="false">MAX(0,E1759-E1758)*Staffing!$O$35</f>
        <v>0</v>
      </c>
      <c r="K1759" s="10" t="n">
        <f aca="false">MAX(0,E1759-E1758)*Staffing!$P$35</f>
        <v>0</v>
      </c>
      <c r="L1759" s="23" t="n">
        <f aca="false">ROUNDUP(E1759,0)</f>
        <v>1</v>
      </c>
    </row>
    <row r="1760" customFormat="false" ht="15" hidden="false" customHeight="false" outlineLevel="0" collapsed="false">
      <c r="A1760" s="6" t="s">
        <v>73</v>
      </c>
      <c r="B1760" s="6" t="s">
        <v>334</v>
      </c>
      <c r="C1760" s="6" t="n">
        <v>15</v>
      </c>
      <c r="D1760" s="25" t="n">
        <f aca="false">EDATE('Start Here'!$B$6,C1760-1)</f>
        <v>46753</v>
      </c>
      <c r="E1760" s="11" t="n">
        <f aca="false">IF(AND(C1760&gt;=Staffing!$F$35,C1760&lt;=Staffing!$G$35,1=1),IF(C1760&lt;=6,Staffing!$H$35,IF(C1760&lt;=15,Staffing!$I$35,IF(C1760&lt;=30,Staffing!$J$35,Staffing!$K$35))),0)</f>
        <v>1</v>
      </c>
      <c r="F1760" s="10" t="n">
        <f aca="false">E1760*Staffing!$L$35/12*(1+Assumptions!$E$10)^INT((C1760-1)/12)*1</f>
        <v>12250</v>
      </c>
      <c r="G1760" s="10" t="n">
        <f aca="false">F1760*Staffing!$N$35</f>
        <v>4900</v>
      </c>
      <c r="H1760" s="10" t="n">
        <f aca="false">F1760+G1760</f>
        <v>17150</v>
      </c>
      <c r="I1760" s="10" t="n">
        <f aca="false">0</f>
        <v>0</v>
      </c>
      <c r="J1760" s="10" t="n">
        <f aca="false">MAX(0,E1760-E1759)*Staffing!$O$35</f>
        <v>0</v>
      </c>
      <c r="K1760" s="10" t="n">
        <f aca="false">MAX(0,E1760-E1759)*Staffing!$P$35</f>
        <v>0</v>
      </c>
      <c r="L1760" s="23" t="n">
        <f aca="false">ROUNDUP(E1760,0)</f>
        <v>1</v>
      </c>
    </row>
    <row r="1761" customFormat="false" ht="15" hidden="false" customHeight="false" outlineLevel="0" collapsed="false">
      <c r="A1761" s="6" t="s">
        <v>73</v>
      </c>
      <c r="B1761" s="6" t="s">
        <v>334</v>
      </c>
      <c r="C1761" s="6" t="n">
        <v>16</v>
      </c>
      <c r="D1761" s="25" t="n">
        <f aca="false">EDATE('Start Here'!$B$6,C1761-1)</f>
        <v>46784</v>
      </c>
      <c r="E1761" s="11" t="n">
        <f aca="false">IF(AND(C1761&gt;=Staffing!$F$35,C1761&lt;=Staffing!$G$35,1=1),IF(C1761&lt;=6,Staffing!$H$35,IF(C1761&lt;=15,Staffing!$I$35,IF(C1761&lt;=30,Staffing!$J$35,Staffing!$K$35))),0)</f>
        <v>2</v>
      </c>
      <c r="F1761" s="10" t="n">
        <f aca="false">E1761*Staffing!$L$35/12*(1+Assumptions!$E$10)^INT((C1761-1)/12)*1</f>
        <v>24500</v>
      </c>
      <c r="G1761" s="10" t="n">
        <f aca="false">F1761*Staffing!$N$35</f>
        <v>9800</v>
      </c>
      <c r="H1761" s="10" t="n">
        <f aca="false">F1761+G1761</f>
        <v>34300</v>
      </c>
      <c r="I1761" s="10" t="n">
        <f aca="false">0</f>
        <v>0</v>
      </c>
      <c r="J1761" s="10" t="n">
        <f aca="false">MAX(0,E1761-E1760)*Staffing!$O$35</f>
        <v>12000</v>
      </c>
      <c r="K1761" s="10" t="n">
        <f aca="false">MAX(0,E1761-E1760)*Staffing!$P$35</f>
        <v>3500</v>
      </c>
      <c r="L1761" s="23" t="n">
        <f aca="false">ROUNDUP(E1761,0)</f>
        <v>2</v>
      </c>
    </row>
    <row r="1762" customFormat="false" ht="15" hidden="false" customHeight="false" outlineLevel="0" collapsed="false">
      <c r="A1762" s="6" t="s">
        <v>73</v>
      </c>
      <c r="B1762" s="6" t="s">
        <v>334</v>
      </c>
      <c r="C1762" s="6" t="n">
        <v>17</v>
      </c>
      <c r="D1762" s="25" t="n">
        <f aca="false">EDATE('Start Here'!$B$6,C1762-1)</f>
        <v>46813</v>
      </c>
      <c r="E1762" s="11" t="n">
        <f aca="false">IF(AND(C1762&gt;=Staffing!$F$35,C1762&lt;=Staffing!$G$35,1=1),IF(C1762&lt;=6,Staffing!$H$35,IF(C1762&lt;=15,Staffing!$I$35,IF(C1762&lt;=30,Staffing!$J$35,Staffing!$K$35))),0)</f>
        <v>2</v>
      </c>
      <c r="F1762" s="10" t="n">
        <f aca="false">E1762*Staffing!$L$35/12*(1+Assumptions!$E$10)^INT((C1762-1)/12)*1</f>
        <v>24500</v>
      </c>
      <c r="G1762" s="10" t="n">
        <f aca="false">F1762*Staffing!$N$35</f>
        <v>9800</v>
      </c>
      <c r="H1762" s="10" t="n">
        <f aca="false">F1762+G1762</f>
        <v>34300</v>
      </c>
      <c r="I1762" s="10" t="n">
        <f aca="false">0</f>
        <v>0</v>
      </c>
      <c r="J1762" s="10" t="n">
        <f aca="false">MAX(0,E1762-E1761)*Staffing!$O$35</f>
        <v>0</v>
      </c>
      <c r="K1762" s="10" t="n">
        <f aca="false">MAX(0,E1762-E1761)*Staffing!$P$35</f>
        <v>0</v>
      </c>
      <c r="L1762" s="23" t="n">
        <f aca="false">ROUNDUP(E1762,0)</f>
        <v>2</v>
      </c>
    </row>
    <row r="1763" customFormat="false" ht="15" hidden="false" customHeight="false" outlineLevel="0" collapsed="false">
      <c r="A1763" s="6" t="s">
        <v>73</v>
      </c>
      <c r="B1763" s="6" t="s">
        <v>334</v>
      </c>
      <c r="C1763" s="6" t="n">
        <v>18</v>
      </c>
      <c r="D1763" s="25" t="n">
        <f aca="false">EDATE('Start Here'!$B$6,C1763-1)</f>
        <v>46844</v>
      </c>
      <c r="E1763" s="11" t="n">
        <f aca="false">IF(AND(C1763&gt;=Staffing!$F$35,C1763&lt;=Staffing!$G$35,1=1),IF(C1763&lt;=6,Staffing!$H$35,IF(C1763&lt;=15,Staffing!$I$35,IF(C1763&lt;=30,Staffing!$J$35,Staffing!$K$35))),0)</f>
        <v>2</v>
      </c>
      <c r="F1763" s="10" t="n">
        <f aca="false">E1763*Staffing!$L$35/12*(1+Assumptions!$E$10)^INT((C1763-1)/12)*1</f>
        <v>24500</v>
      </c>
      <c r="G1763" s="10" t="n">
        <f aca="false">F1763*Staffing!$N$35</f>
        <v>9800</v>
      </c>
      <c r="H1763" s="10" t="n">
        <f aca="false">F1763+G1763</f>
        <v>34300</v>
      </c>
      <c r="I1763" s="10" t="n">
        <f aca="false">0</f>
        <v>0</v>
      </c>
      <c r="J1763" s="10" t="n">
        <f aca="false">MAX(0,E1763-E1762)*Staffing!$O$35</f>
        <v>0</v>
      </c>
      <c r="K1763" s="10" t="n">
        <f aca="false">MAX(0,E1763-E1762)*Staffing!$P$35</f>
        <v>0</v>
      </c>
      <c r="L1763" s="23" t="n">
        <f aca="false">ROUNDUP(E1763,0)</f>
        <v>2</v>
      </c>
    </row>
    <row r="1764" customFormat="false" ht="15" hidden="false" customHeight="false" outlineLevel="0" collapsed="false">
      <c r="A1764" s="6" t="s">
        <v>73</v>
      </c>
      <c r="B1764" s="6" t="s">
        <v>334</v>
      </c>
      <c r="C1764" s="6" t="n">
        <v>19</v>
      </c>
      <c r="D1764" s="25" t="n">
        <f aca="false">EDATE('Start Here'!$B$6,C1764-1)</f>
        <v>46874</v>
      </c>
      <c r="E1764" s="11" t="n">
        <f aca="false">IF(AND(C1764&gt;=Staffing!$F$35,C1764&lt;=Staffing!$G$35,1=1),IF(C1764&lt;=6,Staffing!$H$35,IF(C1764&lt;=15,Staffing!$I$35,IF(C1764&lt;=30,Staffing!$J$35,Staffing!$K$35))),0)</f>
        <v>2</v>
      </c>
      <c r="F1764" s="10" t="n">
        <f aca="false">E1764*Staffing!$L$35/12*(1+Assumptions!$E$10)^INT((C1764-1)/12)*1</f>
        <v>24500</v>
      </c>
      <c r="G1764" s="10" t="n">
        <f aca="false">F1764*Staffing!$N$35</f>
        <v>9800</v>
      </c>
      <c r="H1764" s="10" t="n">
        <f aca="false">F1764+G1764</f>
        <v>34300</v>
      </c>
      <c r="I1764" s="10" t="n">
        <f aca="false">0</f>
        <v>0</v>
      </c>
      <c r="J1764" s="10" t="n">
        <f aca="false">MAX(0,E1764-E1763)*Staffing!$O$35</f>
        <v>0</v>
      </c>
      <c r="K1764" s="10" t="n">
        <f aca="false">MAX(0,E1764-E1763)*Staffing!$P$35</f>
        <v>0</v>
      </c>
      <c r="L1764" s="23" t="n">
        <f aca="false">ROUNDUP(E1764,0)</f>
        <v>2</v>
      </c>
    </row>
    <row r="1765" customFormat="false" ht="15" hidden="false" customHeight="false" outlineLevel="0" collapsed="false">
      <c r="A1765" s="6" t="s">
        <v>73</v>
      </c>
      <c r="B1765" s="6" t="s">
        <v>334</v>
      </c>
      <c r="C1765" s="6" t="n">
        <v>20</v>
      </c>
      <c r="D1765" s="25" t="n">
        <f aca="false">EDATE('Start Here'!$B$6,C1765-1)</f>
        <v>46905</v>
      </c>
      <c r="E1765" s="11" t="n">
        <f aca="false">IF(AND(C1765&gt;=Staffing!$F$35,C1765&lt;=Staffing!$G$35,1=1),IF(C1765&lt;=6,Staffing!$H$35,IF(C1765&lt;=15,Staffing!$I$35,IF(C1765&lt;=30,Staffing!$J$35,Staffing!$K$35))),0)</f>
        <v>2</v>
      </c>
      <c r="F1765" s="10" t="n">
        <f aca="false">E1765*Staffing!$L$35/12*(1+Assumptions!$E$10)^INT((C1765-1)/12)*1</f>
        <v>24500</v>
      </c>
      <c r="G1765" s="10" t="n">
        <f aca="false">F1765*Staffing!$N$35</f>
        <v>9800</v>
      </c>
      <c r="H1765" s="10" t="n">
        <f aca="false">F1765+G1765</f>
        <v>34300</v>
      </c>
      <c r="I1765" s="10" t="n">
        <f aca="false">0</f>
        <v>0</v>
      </c>
      <c r="J1765" s="10" t="n">
        <f aca="false">MAX(0,E1765-E1764)*Staffing!$O$35</f>
        <v>0</v>
      </c>
      <c r="K1765" s="10" t="n">
        <f aca="false">MAX(0,E1765-E1764)*Staffing!$P$35</f>
        <v>0</v>
      </c>
      <c r="L1765" s="23" t="n">
        <f aca="false">ROUNDUP(E1765,0)</f>
        <v>2</v>
      </c>
    </row>
    <row r="1766" customFormat="false" ht="15" hidden="false" customHeight="false" outlineLevel="0" collapsed="false">
      <c r="A1766" s="6" t="s">
        <v>73</v>
      </c>
      <c r="B1766" s="6" t="s">
        <v>334</v>
      </c>
      <c r="C1766" s="6" t="n">
        <v>21</v>
      </c>
      <c r="D1766" s="25" t="n">
        <f aca="false">EDATE('Start Here'!$B$6,C1766-1)</f>
        <v>46935</v>
      </c>
      <c r="E1766" s="11" t="n">
        <f aca="false">IF(AND(C1766&gt;=Staffing!$F$35,C1766&lt;=Staffing!$G$35,1=1),IF(C1766&lt;=6,Staffing!$H$35,IF(C1766&lt;=15,Staffing!$I$35,IF(C1766&lt;=30,Staffing!$J$35,Staffing!$K$35))),0)</f>
        <v>2</v>
      </c>
      <c r="F1766" s="10" t="n">
        <f aca="false">E1766*Staffing!$L$35/12*(1+Assumptions!$E$10)^INT((C1766-1)/12)*1</f>
        <v>24500</v>
      </c>
      <c r="G1766" s="10" t="n">
        <f aca="false">F1766*Staffing!$N$35</f>
        <v>9800</v>
      </c>
      <c r="H1766" s="10" t="n">
        <f aca="false">F1766+G1766</f>
        <v>34300</v>
      </c>
      <c r="I1766" s="10" t="n">
        <f aca="false">0</f>
        <v>0</v>
      </c>
      <c r="J1766" s="10" t="n">
        <f aca="false">MAX(0,E1766-E1765)*Staffing!$O$35</f>
        <v>0</v>
      </c>
      <c r="K1766" s="10" t="n">
        <f aca="false">MAX(0,E1766-E1765)*Staffing!$P$35</f>
        <v>0</v>
      </c>
      <c r="L1766" s="23" t="n">
        <f aca="false">ROUNDUP(E1766,0)</f>
        <v>2</v>
      </c>
    </row>
    <row r="1767" customFormat="false" ht="15" hidden="false" customHeight="false" outlineLevel="0" collapsed="false">
      <c r="A1767" s="6" t="s">
        <v>73</v>
      </c>
      <c r="B1767" s="6" t="s">
        <v>334</v>
      </c>
      <c r="C1767" s="6" t="n">
        <v>22</v>
      </c>
      <c r="D1767" s="25" t="n">
        <f aca="false">EDATE('Start Here'!$B$6,C1767-1)</f>
        <v>46966</v>
      </c>
      <c r="E1767" s="11" t="n">
        <f aca="false">IF(AND(C1767&gt;=Staffing!$F$35,C1767&lt;=Staffing!$G$35,1=1),IF(C1767&lt;=6,Staffing!$H$35,IF(C1767&lt;=15,Staffing!$I$35,IF(C1767&lt;=30,Staffing!$J$35,Staffing!$K$35))),0)</f>
        <v>2</v>
      </c>
      <c r="F1767" s="10" t="n">
        <f aca="false">E1767*Staffing!$L$35/12*(1+Assumptions!$E$10)^INT((C1767-1)/12)*1</f>
        <v>24500</v>
      </c>
      <c r="G1767" s="10" t="n">
        <f aca="false">F1767*Staffing!$N$35</f>
        <v>9800</v>
      </c>
      <c r="H1767" s="10" t="n">
        <f aca="false">F1767+G1767</f>
        <v>34300</v>
      </c>
      <c r="I1767" s="10" t="n">
        <f aca="false">0</f>
        <v>0</v>
      </c>
      <c r="J1767" s="10" t="n">
        <f aca="false">MAX(0,E1767-E1766)*Staffing!$O$35</f>
        <v>0</v>
      </c>
      <c r="K1767" s="10" t="n">
        <f aca="false">MAX(0,E1767-E1766)*Staffing!$P$35</f>
        <v>0</v>
      </c>
      <c r="L1767" s="23" t="n">
        <f aca="false">ROUNDUP(E1767,0)</f>
        <v>2</v>
      </c>
    </row>
    <row r="1768" customFormat="false" ht="15" hidden="false" customHeight="false" outlineLevel="0" collapsed="false">
      <c r="A1768" s="6" t="s">
        <v>73</v>
      </c>
      <c r="B1768" s="6" t="s">
        <v>334</v>
      </c>
      <c r="C1768" s="6" t="n">
        <v>23</v>
      </c>
      <c r="D1768" s="25" t="n">
        <f aca="false">EDATE('Start Here'!$B$6,C1768-1)</f>
        <v>46997</v>
      </c>
      <c r="E1768" s="11" t="n">
        <f aca="false">IF(AND(C1768&gt;=Staffing!$F$35,C1768&lt;=Staffing!$G$35,1=1),IF(C1768&lt;=6,Staffing!$H$35,IF(C1768&lt;=15,Staffing!$I$35,IF(C1768&lt;=30,Staffing!$J$35,Staffing!$K$35))),0)</f>
        <v>2</v>
      </c>
      <c r="F1768" s="10" t="n">
        <f aca="false">E1768*Staffing!$L$35/12*(1+Assumptions!$E$10)^INT((C1768-1)/12)*1</f>
        <v>24500</v>
      </c>
      <c r="G1768" s="10" t="n">
        <f aca="false">F1768*Staffing!$N$35</f>
        <v>9800</v>
      </c>
      <c r="H1768" s="10" t="n">
        <f aca="false">F1768+G1768</f>
        <v>34300</v>
      </c>
      <c r="I1768" s="10" t="n">
        <f aca="false">0</f>
        <v>0</v>
      </c>
      <c r="J1768" s="10" t="n">
        <f aca="false">MAX(0,E1768-E1767)*Staffing!$O$35</f>
        <v>0</v>
      </c>
      <c r="K1768" s="10" t="n">
        <f aca="false">MAX(0,E1768-E1767)*Staffing!$P$35</f>
        <v>0</v>
      </c>
      <c r="L1768" s="23" t="n">
        <f aca="false">ROUNDUP(E1768,0)</f>
        <v>2</v>
      </c>
    </row>
    <row r="1769" customFormat="false" ht="15" hidden="false" customHeight="false" outlineLevel="0" collapsed="false">
      <c r="A1769" s="6" t="s">
        <v>73</v>
      </c>
      <c r="B1769" s="6" t="s">
        <v>334</v>
      </c>
      <c r="C1769" s="6" t="n">
        <v>24</v>
      </c>
      <c r="D1769" s="25" t="n">
        <f aca="false">EDATE('Start Here'!$B$6,C1769-1)</f>
        <v>47027</v>
      </c>
      <c r="E1769" s="11" t="n">
        <f aca="false">IF(AND(C1769&gt;=Staffing!$F$35,C1769&lt;=Staffing!$G$35,1=1),IF(C1769&lt;=6,Staffing!$H$35,IF(C1769&lt;=15,Staffing!$I$35,IF(C1769&lt;=30,Staffing!$J$35,Staffing!$K$35))),0)</f>
        <v>2</v>
      </c>
      <c r="F1769" s="10" t="n">
        <f aca="false">E1769*Staffing!$L$35/12*(1+Assumptions!$E$10)^INT((C1769-1)/12)*1</f>
        <v>24500</v>
      </c>
      <c r="G1769" s="10" t="n">
        <f aca="false">F1769*Staffing!$N$35</f>
        <v>9800</v>
      </c>
      <c r="H1769" s="10" t="n">
        <f aca="false">F1769+G1769</f>
        <v>34300</v>
      </c>
      <c r="I1769" s="10" t="n">
        <f aca="false">0</f>
        <v>0</v>
      </c>
      <c r="J1769" s="10" t="n">
        <f aca="false">MAX(0,E1769-E1768)*Staffing!$O$35</f>
        <v>0</v>
      </c>
      <c r="K1769" s="10" t="n">
        <f aca="false">MAX(0,E1769-E1768)*Staffing!$P$35</f>
        <v>0</v>
      </c>
      <c r="L1769" s="23" t="n">
        <f aca="false">ROUNDUP(E1769,0)</f>
        <v>2</v>
      </c>
    </row>
    <row r="1770" customFormat="false" ht="15" hidden="false" customHeight="false" outlineLevel="0" collapsed="false">
      <c r="A1770" s="6" t="s">
        <v>73</v>
      </c>
      <c r="B1770" s="6" t="s">
        <v>334</v>
      </c>
      <c r="C1770" s="6" t="n">
        <v>25</v>
      </c>
      <c r="D1770" s="25" t="n">
        <f aca="false">EDATE('Start Here'!$B$6,C1770-1)</f>
        <v>47058</v>
      </c>
      <c r="E1770" s="11" t="n">
        <f aca="false">IF(AND(C1770&gt;=Staffing!$F$35,C1770&lt;=Staffing!$G$35,1=1),IF(C1770&lt;=6,Staffing!$H$35,IF(C1770&lt;=15,Staffing!$I$35,IF(C1770&lt;=30,Staffing!$J$35,Staffing!$K$35))),0)</f>
        <v>2</v>
      </c>
      <c r="F1770" s="10" t="n">
        <f aca="false">E1770*Staffing!$L$35/12*(1+Assumptions!$E$10)^INT((C1770-1)/12)*1</f>
        <v>25725</v>
      </c>
      <c r="G1770" s="10" t="n">
        <f aca="false">F1770*Staffing!$N$35</f>
        <v>10290</v>
      </c>
      <c r="H1770" s="10" t="n">
        <f aca="false">F1770+G1770</f>
        <v>36015</v>
      </c>
      <c r="I1770" s="10" t="n">
        <f aca="false">0</f>
        <v>0</v>
      </c>
      <c r="J1770" s="10" t="n">
        <f aca="false">MAX(0,E1770-E1769)*Staffing!$O$35</f>
        <v>0</v>
      </c>
      <c r="K1770" s="10" t="n">
        <f aca="false">MAX(0,E1770-E1769)*Staffing!$P$35</f>
        <v>0</v>
      </c>
      <c r="L1770" s="23" t="n">
        <f aca="false">ROUNDUP(E1770,0)</f>
        <v>2</v>
      </c>
    </row>
    <row r="1771" customFormat="false" ht="15" hidden="false" customHeight="false" outlineLevel="0" collapsed="false">
      <c r="A1771" s="6" t="s">
        <v>73</v>
      </c>
      <c r="B1771" s="6" t="s">
        <v>334</v>
      </c>
      <c r="C1771" s="6" t="n">
        <v>26</v>
      </c>
      <c r="D1771" s="25" t="n">
        <f aca="false">EDATE('Start Here'!$B$6,C1771-1)</f>
        <v>47088</v>
      </c>
      <c r="E1771" s="11" t="n">
        <f aca="false">IF(AND(C1771&gt;=Staffing!$F$35,C1771&lt;=Staffing!$G$35,1=1),IF(C1771&lt;=6,Staffing!$H$35,IF(C1771&lt;=15,Staffing!$I$35,IF(C1771&lt;=30,Staffing!$J$35,Staffing!$K$35))),0)</f>
        <v>2</v>
      </c>
      <c r="F1771" s="10" t="n">
        <f aca="false">E1771*Staffing!$L$35/12*(1+Assumptions!$E$10)^INT((C1771-1)/12)*1</f>
        <v>25725</v>
      </c>
      <c r="G1771" s="10" t="n">
        <f aca="false">F1771*Staffing!$N$35</f>
        <v>10290</v>
      </c>
      <c r="H1771" s="10" t="n">
        <f aca="false">F1771+G1771</f>
        <v>36015</v>
      </c>
      <c r="I1771" s="10" t="n">
        <f aca="false">0</f>
        <v>0</v>
      </c>
      <c r="J1771" s="10" t="n">
        <f aca="false">MAX(0,E1771-E1770)*Staffing!$O$35</f>
        <v>0</v>
      </c>
      <c r="K1771" s="10" t="n">
        <f aca="false">MAX(0,E1771-E1770)*Staffing!$P$35</f>
        <v>0</v>
      </c>
      <c r="L1771" s="23" t="n">
        <f aca="false">ROUNDUP(E1771,0)</f>
        <v>2</v>
      </c>
    </row>
    <row r="1772" customFormat="false" ht="15" hidden="false" customHeight="false" outlineLevel="0" collapsed="false">
      <c r="A1772" s="6" t="s">
        <v>73</v>
      </c>
      <c r="B1772" s="6" t="s">
        <v>334</v>
      </c>
      <c r="C1772" s="6" t="n">
        <v>27</v>
      </c>
      <c r="D1772" s="25" t="n">
        <f aca="false">EDATE('Start Here'!$B$6,C1772-1)</f>
        <v>47119</v>
      </c>
      <c r="E1772" s="11" t="n">
        <f aca="false">IF(AND(C1772&gt;=Staffing!$F$35,C1772&lt;=Staffing!$G$35,1=1),IF(C1772&lt;=6,Staffing!$H$35,IF(C1772&lt;=15,Staffing!$I$35,IF(C1772&lt;=30,Staffing!$J$35,Staffing!$K$35))),0)</f>
        <v>2</v>
      </c>
      <c r="F1772" s="10" t="n">
        <f aca="false">E1772*Staffing!$L$35/12*(1+Assumptions!$E$10)^INT((C1772-1)/12)*1</f>
        <v>25725</v>
      </c>
      <c r="G1772" s="10" t="n">
        <f aca="false">F1772*Staffing!$N$35</f>
        <v>10290</v>
      </c>
      <c r="H1772" s="10" t="n">
        <f aca="false">F1772+G1772</f>
        <v>36015</v>
      </c>
      <c r="I1772" s="10" t="n">
        <f aca="false">0</f>
        <v>0</v>
      </c>
      <c r="J1772" s="10" t="n">
        <f aca="false">MAX(0,E1772-E1771)*Staffing!$O$35</f>
        <v>0</v>
      </c>
      <c r="K1772" s="10" t="n">
        <f aca="false">MAX(0,E1772-E1771)*Staffing!$P$35</f>
        <v>0</v>
      </c>
      <c r="L1772" s="23" t="n">
        <f aca="false">ROUNDUP(E1772,0)</f>
        <v>2</v>
      </c>
    </row>
    <row r="1773" customFormat="false" ht="15" hidden="false" customHeight="false" outlineLevel="0" collapsed="false">
      <c r="A1773" s="6" t="s">
        <v>73</v>
      </c>
      <c r="B1773" s="6" t="s">
        <v>334</v>
      </c>
      <c r="C1773" s="6" t="n">
        <v>28</v>
      </c>
      <c r="D1773" s="25" t="n">
        <f aca="false">EDATE('Start Here'!$B$6,C1773-1)</f>
        <v>47150</v>
      </c>
      <c r="E1773" s="11" t="n">
        <f aca="false">IF(AND(C1773&gt;=Staffing!$F$35,C1773&lt;=Staffing!$G$35,1=1),IF(C1773&lt;=6,Staffing!$H$35,IF(C1773&lt;=15,Staffing!$I$35,IF(C1773&lt;=30,Staffing!$J$35,Staffing!$K$35))),0)</f>
        <v>2</v>
      </c>
      <c r="F1773" s="10" t="n">
        <f aca="false">E1773*Staffing!$L$35/12*(1+Assumptions!$E$10)^INT((C1773-1)/12)*1</f>
        <v>25725</v>
      </c>
      <c r="G1773" s="10" t="n">
        <f aca="false">F1773*Staffing!$N$35</f>
        <v>10290</v>
      </c>
      <c r="H1773" s="10" t="n">
        <f aca="false">F1773+G1773</f>
        <v>36015</v>
      </c>
      <c r="I1773" s="10" t="n">
        <f aca="false">0</f>
        <v>0</v>
      </c>
      <c r="J1773" s="10" t="n">
        <f aca="false">MAX(0,E1773-E1772)*Staffing!$O$35</f>
        <v>0</v>
      </c>
      <c r="K1773" s="10" t="n">
        <f aca="false">MAX(0,E1773-E1772)*Staffing!$P$35</f>
        <v>0</v>
      </c>
      <c r="L1773" s="23" t="n">
        <f aca="false">ROUNDUP(E1773,0)</f>
        <v>2</v>
      </c>
    </row>
    <row r="1774" customFormat="false" ht="15" hidden="false" customHeight="false" outlineLevel="0" collapsed="false">
      <c r="A1774" s="6" t="s">
        <v>73</v>
      </c>
      <c r="B1774" s="6" t="s">
        <v>334</v>
      </c>
      <c r="C1774" s="6" t="n">
        <v>29</v>
      </c>
      <c r="D1774" s="25" t="n">
        <f aca="false">EDATE('Start Here'!$B$6,C1774-1)</f>
        <v>47178</v>
      </c>
      <c r="E1774" s="11" t="n">
        <f aca="false">IF(AND(C1774&gt;=Staffing!$F$35,C1774&lt;=Staffing!$G$35,1=1),IF(C1774&lt;=6,Staffing!$H$35,IF(C1774&lt;=15,Staffing!$I$35,IF(C1774&lt;=30,Staffing!$J$35,Staffing!$K$35))),0)</f>
        <v>2</v>
      </c>
      <c r="F1774" s="10" t="n">
        <f aca="false">E1774*Staffing!$L$35/12*(1+Assumptions!$E$10)^INT((C1774-1)/12)*1</f>
        <v>25725</v>
      </c>
      <c r="G1774" s="10" t="n">
        <f aca="false">F1774*Staffing!$N$35</f>
        <v>10290</v>
      </c>
      <c r="H1774" s="10" t="n">
        <f aca="false">F1774+G1774</f>
        <v>36015</v>
      </c>
      <c r="I1774" s="10" t="n">
        <f aca="false">0</f>
        <v>0</v>
      </c>
      <c r="J1774" s="10" t="n">
        <f aca="false">MAX(0,E1774-E1773)*Staffing!$O$35</f>
        <v>0</v>
      </c>
      <c r="K1774" s="10" t="n">
        <f aca="false">MAX(0,E1774-E1773)*Staffing!$P$35</f>
        <v>0</v>
      </c>
      <c r="L1774" s="23" t="n">
        <f aca="false">ROUNDUP(E1774,0)</f>
        <v>2</v>
      </c>
    </row>
    <row r="1775" customFormat="false" ht="15" hidden="false" customHeight="false" outlineLevel="0" collapsed="false">
      <c r="A1775" s="6" t="s">
        <v>73</v>
      </c>
      <c r="B1775" s="6" t="s">
        <v>334</v>
      </c>
      <c r="C1775" s="6" t="n">
        <v>30</v>
      </c>
      <c r="D1775" s="25" t="n">
        <f aca="false">EDATE('Start Here'!$B$6,C1775-1)</f>
        <v>47209</v>
      </c>
      <c r="E1775" s="11" t="n">
        <f aca="false">IF(AND(C1775&gt;=Staffing!$F$35,C1775&lt;=Staffing!$G$35,1=1),IF(C1775&lt;=6,Staffing!$H$35,IF(C1775&lt;=15,Staffing!$I$35,IF(C1775&lt;=30,Staffing!$J$35,Staffing!$K$35))),0)</f>
        <v>2</v>
      </c>
      <c r="F1775" s="10" t="n">
        <f aca="false">E1775*Staffing!$L$35/12*(1+Assumptions!$E$10)^INT((C1775-1)/12)*1</f>
        <v>25725</v>
      </c>
      <c r="G1775" s="10" t="n">
        <f aca="false">F1775*Staffing!$N$35</f>
        <v>10290</v>
      </c>
      <c r="H1775" s="10" t="n">
        <f aca="false">F1775+G1775</f>
        <v>36015</v>
      </c>
      <c r="I1775" s="10" t="n">
        <f aca="false">0</f>
        <v>0</v>
      </c>
      <c r="J1775" s="10" t="n">
        <f aca="false">MAX(0,E1775-E1774)*Staffing!$O$35</f>
        <v>0</v>
      </c>
      <c r="K1775" s="10" t="n">
        <f aca="false">MAX(0,E1775-E1774)*Staffing!$P$35</f>
        <v>0</v>
      </c>
      <c r="L1775" s="23" t="n">
        <f aca="false">ROUNDUP(E1775,0)</f>
        <v>2</v>
      </c>
    </row>
    <row r="1776" customFormat="false" ht="15" hidden="false" customHeight="false" outlineLevel="0" collapsed="false">
      <c r="A1776" s="6" t="s">
        <v>73</v>
      </c>
      <c r="B1776" s="6" t="s">
        <v>334</v>
      </c>
      <c r="C1776" s="6" t="n">
        <v>31</v>
      </c>
      <c r="D1776" s="25" t="n">
        <f aca="false">EDATE('Start Here'!$B$6,C1776-1)</f>
        <v>47239</v>
      </c>
      <c r="E1776" s="11" t="n">
        <f aca="false">IF(AND(C1776&gt;=Staffing!$F$35,C1776&lt;=Staffing!$G$35,1=1),IF(C1776&lt;=6,Staffing!$H$35,IF(C1776&lt;=15,Staffing!$I$35,IF(C1776&lt;=30,Staffing!$J$35,Staffing!$K$35))),0)</f>
        <v>3</v>
      </c>
      <c r="F1776" s="10" t="n">
        <f aca="false">E1776*Staffing!$L$35/12*(1+Assumptions!$E$10)^INT((C1776-1)/12)*1</f>
        <v>38587.5</v>
      </c>
      <c r="G1776" s="10" t="n">
        <f aca="false">F1776*Staffing!$N$35</f>
        <v>15435</v>
      </c>
      <c r="H1776" s="10" t="n">
        <f aca="false">F1776+G1776</f>
        <v>54022.5</v>
      </c>
      <c r="I1776" s="10" t="n">
        <f aca="false">0</f>
        <v>0</v>
      </c>
      <c r="J1776" s="10" t="n">
        <f aca="false">MAX(0,E1776-E1775)*Staffing!$O$35</f>
        <v>12000</v>
      </c>
      <c r="K1776" s="10" t="n">
        <f aca="false">MAX(0,E1776-E1775)*Staffing!$P$35</f>
        <v>3500</v>
      </c>
      <c r="L1776" s="23" t="n">
        <f aca="false">ROUNDUP(E1776,0)</f>
        <v>3</v>
      </c>
    </row>
    <row r="1777" customFormat="false" ht="15" hidden="false" customHeight="false" outlineLevel="0" collapsed="false">
      <c r="A1777" s="6" t="s">
        <v>73</v>
      </c>
      <c r="B1777" s="6" t="s">
        <v>334</v>
      </c>
      <c r="C1777" s="6" t="n">
        <v>32</v>
      </c>
      <c r="D1777" s="25" t="n">
        <f aca="false">EDATE('Start Here'!$B$6,C1777-1)</f>
        <v>47270</v>
      </c>
      <c r="E1777" s="11" t="n">
        <f aca="false">IF(AND(C1777&gt;=Staffing!$F$35,C1777&lt;=Staffing!$G$35,1=1),IF(C1777&lt;=6,Staffing!$H$35,IF(C1777&lt;=15,Staffing!$I$35,IF(C1777&lt;=30,Staffing!$J$35,Staffing!$K$35))),0)</f>
        <v>3</v>
      </c>
      <c r="F1777" s="10" t="n">
        <f aca="false">E1777*Staffing!$L$35/12*(1+Assumptions!$E$10)^INT((C1777-1)/12)*1</f>
        <v>38587.5</v>
      </c>
      <c r="G1777" s="10" t="n">
        <f aca="false">F1777*Staffing!$N$35</f>
        <v>15435</v>
      </c>
      <c r="H1777" s="10" t="n">
        <f aca="false">F1777+G1777</f>
        <v>54022.5</v>
      </c>
      <c r="I1777" s="10" t="n">
        <f aca="false">0</f>
        <v>0</v>
      </c>
      <c r="J1777" s="10" t="n">
        <f aca="false">MAX(0,E1777-E1776)*Staffing!$O$35</f>
        <v>0</v>
      </c>
      <c r="K1777" s="10" t="n">
        <f aca="false">MAX(0,E1777-E1776)*Staffing!$P$35</f>
        <v>0</v>
      </c>
      <c r="L1777" s="23" t="n">
        <f aca="false">ROUNDUP(E1777,0)</f>
        <v>3</v>
      </c>
    </row>
    <row r="1778" customFormat="false" ht="15" hidden="false" customHeight="false" outlineLevel="0" collapsed="false">
      <c r="A1778" s="6" t="s">
        <v>73</v>
      </c>
      <c r="B1778" s="6" t="s">
        <v>334</v>
      </c>
      <c r="C1778" s="6" t="n">
        <v>33</v>
      </c>
      <c r="D1778" s="25" t="n">
        <f aca="false">EDATE('Start Here'!$B$6,C1778-1)</f>
        <v>47300</v>
      </c>
      <c r="E1778" s="11" t="n">
        <f aca="false">IF(AND(C1778&gt;=Staffing!$F$35,C1778&lt;=Staffing!$G$35,1=1),IF(C1778&lt;=6,Staffing!$H$35,IF(C1778&lt;=15,Staffing!$I$35,IF(C1778&lt;=30,Staffing!$J$35,Staffing!$K$35))),0)</f>
        <v>3</v>
      </c>
      <c r="F1778" s="10" t="n">
        <f aca="false">E1778*Staffing!$L$35/12*(1+Assumptions!$E$10)^INT((C1778-1)/12)*1</f>
        <v>38587.5</v>
      </c>
      <c r="G1778" s="10" t="n">
        <f aca="false">F1778*Staffing!$N$35</f>
        <v>15435</v>
      </c>
      <c r="H1778" s="10" t="n">
        <f aca="false">F1778+G1778</f>
        <v>54022.5</v>
      </c>
      <c r="I1778" s="10" t="n">
        <f aca="false">0</f>
        <v>0</v>
      </c>
      <c r="J1778" s="10" t="n">
        <f aca="false">MAX(0,E1778-E1777)*Staffing!$O$35</f>
        <v>0</v>
      </c>
      <c r="K1778" s="10" t="n">
        <f aca="false">MAX(0,E1778-E1777)*Staffing!$P$35</f>
        <v>0</v>
      </c>
      <c r="L1778" s="23" t="n">
        <f aca="false">ROUNDUP(E1778,0)</f>
        <v>3</v>
      </c>
    </row>
    <row r="1779" customFormat="false" ht="15" hidden="false" customHeight="false" outlineLevel="0" collapsed="false">
      <c r="A1779" s="6" t="s">
        <v>73</v>
      </c>
      <c r="B1779" s="6" t="s">
        <v>334</v>
      </c>
      <c r="C1779" s="6" t="n">
        <v>34</v>
      </c>
      <c r="D1779" s="25" t="n">
        <f aca="false">EDATE('Start Here'!$B$6,C1779-1)</f>
        <v>47331</v>
      </c>
      <c r="E1779" s="11" t="n">
        <f aca="false">IF(AND(C1779&gt;=Staffing!$F$35,C1779&lt;=Staffing!$G$35,1=1),IF(C1779&lt;=6,Staffing!$H$35,IF(C1779&lt;=15,Staffing!$I$35,IF(C1779&lt;=30,Staffing!$J$35,Staffing!$K$35))),0)</f>
        <v>3</v>
      </c>
      <c r="F1779" s="10" t="n">
        <f aca="false">E1779*Staffing!$L$35/12*(1+Assumptions!$E$10)^INT((C1779-1)/12)*1</f>
        <v>38587.5</v>
      </c>
      <c r="G1779" s="10" t="n">
        <f aca="false">F1779*Staffing!$N$35</f>
        <v>15435</v>
      </c>
      <c r="H1779" s="10" t="n">
        <f aca="false">F1779+G1779</f>
        <v>54022.5</v>
      </c>
      <c r="I1779" s="10" t="n">
        <f aca="false">0</f>
        <v>0</v>
      </c>
      <c r="J1779" s="10" t="n">
        <f aca="false">MAX(0,E1779-E1778)*Staffing!$O$35</f>
        <v>0</v>
      </c>
      <c r="K1779" s="10" t="n">
        <f aca="false">MAX(0,E1779-E1778)*Staffing!$P$35</f>
        <v>0</v>
      </c>
      <c r="L1779" s="23" t="n">
        <f aca="false">ROUNDUP(E1779,0)</f>
        <v>3</v>
      </c>
    </row>
    <row r="1780" customFormat="false" ht="15" hidden="false" customHeight="false" outlineLevel="0" collapsed="false">
      <c r="A1780" s="6" t="s">
        <v>73</v>
      </c>
      <c r="B1780" s="6" t="s">
        <v>334</v>
      </c>
      <c r="C1780" s="6" t="n">
        <v>35</v>
      </c>
      <c r="D1780" s="25" t="n">
        <f aca="false">EDATE('Start Here'!$B$6,C1780-1)</f>
        <v>47362</v>
      </c>
      <c r="E1780" s="11" t="n">
        <f aca="false">IF(AND(C1780&gt;=Staffing!$F$35,C1780&lt;=Staffing!$G$35,1=1),IF(C1780&lt;=6,Staffing!$H$35,IF(C1780&lt;=15,Staffing!$I$35,IF(C1780&lt;=30,Staffing!$J$35,Staffing!$K$35))),0)</f>
        <v>3</v>
      </c>
      <c r="F1780" s="10" t="n">
        <f aca="false">E1780*Staffing!$L$35/12*(1+Assumptions!$E$10)^INT((C1780-1)/12)*1</f>
        <v>38587.5</v>
      </c>
      <c r="G1780" s="10" t="n">
        <f aca="false">F1780*Staffing!$N$35</f>
        <v>15435</v>
      </c>
      <c r="H1780" s="10" t="n">
        <f aca="false">F1780+G1780</f>
        <v>54022.5</v>
      </c>
      <c r="I1780" s="10" t="n">
        <f aca="false">0</f>
        <v>0</v>
      </c>
      <c r="J1780" s="10" t="n">
        <f aca="false">MAX(0,E1780-E1779)*Staffing!$O$35</f>
        <v>0</v>
      </c>
      <c r="K1780" s="10" t="n">
        <f aca="false">MAX(0,E1780-E1779)*Staffing!$P$35</f>
        <v>0</v>
      </c>
      <c r="L1780" s="23" t="n">
        <f aca="false">ROUNDUP(E1780,0)</f>
        <v>3</v>
      </c>
    </row>
    <row r="1781" customFormat="false" ht="15" hidden="false" customHeight="false" outlineLevel="0" collapsed="false">
      <c r="A1781" s="6" t="s">
        <v>73</v>
      </c>
      <c r="B1781" s="6" t="s">
        <v>334</v>
      </c>
      <c r="C1781" s="6" t="n">
        <v>36</v>
      </c>
      <c r="D1781" s="25" t="n">
        <f aca="false">EDATE('Start Here'!$B$6,C1781-1)</f>
        <v>47392</v>
      </c>
      <c r="E1781" s="11" t="n">
        <f aca="false">IF(AND(C1781&gt;=Staffing!$F$35,C1781&lt;=Staffing!$G$35,1=1),IF(C1781&lt;=6,Staffing!$H$35,IF(C1781&lt;=15,Staffing!$I$35,IF(C1781&lt;=30,Staffing!$J$35,Staffing!$K$35))),0)</f>
        <v>3</v>
      </c>
      <c r="F1781" s="10" t="n">
        <f aca="false">E1781*Staffing!$L$35/12*(1+Assumptions!$E$10)^INT((C1781-1)/12)*1</f>
        <v>38587.5</v>
      </c>
      <c r="G1781" s="10" t="n">
        <f aca="false">F1781*Staffing!$N$35</f>
        <v>15435</v>
      </c>
      <c r="H1781" s="10" t="n">
        <f aca="false">F1781+G1781</f>
        <v>54022.5</v>
      </c>
      <c r="I1781" s="10" t="n">
        <f aca="false">0</f>
        <v>0</v>
      </c>
      <c r="J1781" s="10" t="n">
        <f aca="false">MAX(0,E1781-E1780)*Staffing!$O$35</f>
        <v>0</v>
      </c>
      <c r="K1781" s="10" t="n">
        <f aca="false">MAX(0,E1781-E1780)*Staffing!$P$35</f>
        <v>0</v>
      </c>
      <c r="L1781" s="23" t="n">
        <f aca="false">ROUNDUP(E1781,0)</f>
        <v>3</v>
      </c>
    </row>
    <row r="1782" customFormat="false" ht="15" hidden="false" customHeight="false" outlineLevel="0" collapsed="false">
      <c r="A1782" s="6" t="s">
        <v>73</v>
      </c>
      <c r="B1782" s="6" t="s">
        <v>334</v>
      </c>
      <c r="C1782" s="6" t="n">
        <v>37</v>
      </c>
      <c r="D1782" s="25" t="n">
        <f aca="false">EDATE('Start Here'!$B$6,C1782-1)</f>
        <v>47423</v>
      </c>
      <c r="E1782" s="11" t="n">
        <f aca="false">IF(AND(C1782&gt;=Staffing!$F$35,C1782&lt;=Staffing!$G$35,1=1),IF(C1782&lt;=6,Staffing!$H$35,IF(C1782&lt;=15,Staffing!$I$35,IF(C1782&lt;=30,Staffing!$J$35,Staffing!$K$35))),0)</f>
        <v>3</v>
      </c>
      <c r="F1782" s="10" t="n">
        <f aca="false">E1782*Staffing!$L$35/12*(1+Assumptions!$E$10)^INT((C1782-1)/12)*1</f>
        <v>40516.875</v>
      </c>
      <c r="G1782" s="10" t="n">
        <f aca="false">F1782*Staffing!$N$35</f>
        <v>16206.75</v>
      </c>
      <c r="H1782" s="10" t="n">
        <f aca="false">F1782+G1782</f>
        <v>56723.625</v>
      </c>
      <c r="I1782" s="10" t="n">
        <f aca="false">0</f>
        <v>0</v>
      </c>
      <c r="J1782" s="10" t="n">
        <f aca="false">MAX(0,E1782-E1781)*Staffing!$O$35</f>
        <v>0</v>
      </c>
      <c r="K1782" s="10" t="n">
        <f aca="false">MAX(0,E1782-E1781)*Staffing!$P$35</f>
        <v>0</v>
      </c>
      <c r="L1782" s="23" t="n">
        <f aca="false">ROUNDUP(E1782,0)</f>
        <v>3</v>
      </c>
    </row>
    <row r="1783" customFormat="false" ht="15" hidden="false" customHeight="false" outlineLevel="0" collapsed="false">
      <c r="A1783" s="6" t="s">
        <v>73</v>
      </c>
      <c r="B1783" s="6" t="s">
        <v>334</v>
      </c>
      <c r="C1783" s="6" t="n">
        <v>38</v>
      </c>
      <c r="D1783" s="25" t="n">
        <f aca="false">EDATE('Start Here'!$B$6,C1783-1)</f>
        <v>47453</v>
      </c>
      <c r="E1783" s="11" t="n">
        <f aca="false">IF(AND(C1783&gt;=Staffing!$F$35,C1783&lt;=Staffing!$G$35,1=1),IF(C1783&lt;=6,Staffing!$H$35,IF(C1783&lt;=15,Staffing!$I$35,IF(C1783&lt;=30,Staffing!$J$35,Staffing!$K$35))),0)</f>
        <v>3</v>
      </c>
      <c r="F1783" s="10" t="n">
        <f aca="false">E1783*Staffing!$L$35/12*(1+Assumptions!$E$10)^INT((C1783-1)/12)*1</f>
        <v>40516.875</v>
      </c>
      <c r="G1783" s="10" t="n">
        <f aca="false">F1783*Staffing!$N$35</f>
        <v>16206.75</v>
      </c>
      <c r="H1783" s="10" t="n">
        <f aca="false">F1783+G1783</f>
        <v>56723.625</v>
      </c>
      <c r="I1783" s="10" t="n">
        <f aca="false">0</f>
        <v>0</v>
      </c>
      <c r="J1783" s="10" t="n">
        <f aca="false">MAX(0,E1783-E1782)*Staffing!$O$35</f>
        <v>0</v>
      </c>
      <c r="K1783" s="10" t="n">
        <f aca="false">MAX(0,E1783-E1782)*Staffing!$P$35</f>
        <v>0</v>
      </c>
      <c r="L1783" s="23" t="n">
        <f aca="false">ROUNDUP(E1783,0)</f>
        <v>3</v>
      </c>
    </row>
    <row r="1784" customFormat="false" ht="15" hidden="false" customHeight="false" outlineLevel="0" collapsed="false">
      <c r="A1784" s="6" t="s">
        <v>73</v>
      </c>
      <c r="B1784" s="6" t="s">
        <v>334</v>
      </c>
      <c r="C1784" s="6" t="n">
        <v>39</v>
      </c>
      <c r="D1784" s="25" t="n">
        <f aca="false">EDATE('Start Here'!$B$6,C1784-1)</f>
        <v>47484</v>
      </c>
      <c r="E1784" s="11" t="n">
        <f aca="false">IF(AND(C1784&gt;=Staffing!$F$35,C1784&lt;=Staffing!$G$35,1=1),IF(C1784&lt;=6,Staffing!$H$35,IF(C1784&lt;=15,Staffing!$I$35,IF(C1784&lt;=30,Staffing!$J$35,Staffing!$K$35))),0)</f>
        <v>3</v>
      </c>
      <c r="F1784" s="10" t="n">
        <f aca="false">E1784*Staffing!$L$35/12*(1+Assumptions!$E$10)^INT((C1784-1)/12)*1</f>
        <v>40516.875</v>
      </c>
      <c r="G1784" s="10" t="n">
        <f aca="false">F1784*Staffing!$N$35</f>
        <v>16206.75</v>
      </c>
      <c r="H1784" s="10" t="n">
        <f aca="false">F1784+G1784</f>
        <v>56723.625</v>
      </c>
      <c r="I1784" s="10" t="n">
        <f aca="false">0</f>
        <v>0</v>
      </c>
      <c r="J1784" s="10" t="n">
        <f aca="false">MAX(0,E1784-E1783)*Staffing!$O$35</f>
        <v>0</v>
      </c>
      <c r="K1784" s="10" t="n">
        <f aca="false">MAX(0,E1784-E1783)*Staffing!$P$35</f>
        <v>0</v>
      </c>
      <c r="L1784" s="23" t="n">
        <f aca="false">ROUNDUP(E1784,0)</f>
        <v>3</v>
      </c>
    </row>
    <row r="1785" customFormat="false" ht="15" hidden="false" customHeight="false" outlineLevel="0" collapsed="false">
      <c r="A1785" s="6" t="s">
        <v>73</v>
      </c>
      <c r="B1785" s="6" t="s">
        <v>334</v>
      </c>
      <c r="C1785" s="6" t="n">
        <v>40</v>
      </c>
      <c r="D1785" s="25" t="n">
        <f aca="false">EDATE('Start Here'!$B$6,C1785-1)</f>
        <v>47515</v>
      </c>
      <c r="E1785" s="11" t="n">
        <f aca="false">IF(AND(C1785&gt;=Staffing!$F$35,C1785&lt;=Staffing!$G$35,1=1),IF(C1785&lt;=6,Staffing!$H$35,IF(C1785&lt;=15,Staffing!$I$35,IF(C1785&lt;=30,Staffing!$J$35,Staffing!$K$35))),0)</f>
        <v>3</v>
      </c>
      <c r="F1785" s="10" t="n">
        <f aca="false">E1785*Staffing!$L$35/12*(1+Assumptions!$E$10)^INT((C1785-1)/12)*1</f>
        <v>40516.875</v>
      </c>
      <c r="G1785" s="10" t="n">
        <f aca="false">F1785*Staffing!$N$35</f>
        <v>16206.75</v>
      </c>
      <c r="H1785" s="10" t="n">
        <f aca="false">F1785+G1785</f>
        <v>56723.625</v>
      </c>
      <c r="I1785" s="10" t="n">
        <f aca="false">0</f>
        <v>0</v>
      </c>
      <c r="J1785" s="10" t="n">
        <f aca="false">MAX(0,E1785-E1784)*Staffing!$O$35</f>
        <v>0</v>
      </c>
      <c r="K1785" s="10" t="n">
        <f aca="false">MAX(0,E1785-E1784)*Staffing!$P$35</f>
        <v>0</v>
      </c>
      <c r="L1785" s="23" t="n">
        <f aca="false">ROUNDUP(E1785,0)</f>
        <v>3</v>
      </c>
    </row>
    <row r="1786" customFormat="false" ht="15" hidden="false" customHeight="false" outlineLevel="0" collapsed="false">
      <c r="A1786" s="6" t="s">
        <v>73</v>
      </c>
      <c r="B1786" s="6" t="s">
        <v>334</v>
      </c>
      <c r="C1786" s="6" t="n">
        <v>41</v>
      </c>
      <c r="D1786" s="25" t="n">
        <f aca="false">EDATE('Start Here'!$B$6,C1786-1)</f>
        <v>47543</v>
      </c>
      <c r="E1786" s="11" t="n">
        <f aca="false">IF(AND(C1786&gt;=Staffing!$F$35,C1786&lt;=Staffing!$G$35,1=1),IF(C1786&lt;=6,Staffing!$H$35,IF(C1786&lt;=15,Staffing!$I$35,IF(C1786&lt;=30,Staffing!$J$35,Staffing!$K$35))),0)</f>
        <v>3</v>
      </c>
      <c r="F1786" s="10" t="n">
        <f aca="false">E1786*Staffing!$L$35/12*(1+Assumptions!$E$10)^INT((C1786-1)/12)*1</f>
        <v>40516.875</v>
      </c>
      <c r="G1786" s="10" t="n">
        <f aca="false">F1786*Staffing!$N$35</f>
        <v>16206.75</v>
      </c>
      <c r="H1786" s="10" t="n">
        <f aca="false">F1786+G1786</f>
        <v>56723.625</v>
      </c>
      <c r="I1786" s="10" t="n">
        <f aca="false">0</f>
        <v>0</v>
      </c>
      <c r="J1786" s="10" t="n">
        <f aca="false">MAX(0,E1786-E1785)*Staffing!$O$35</f>
        <v>0</v>
      </c>
      <c r="K1786" s="10" t="n">
        <f aca="false">MAX(0,E1786-E1785)*Staffing!$P$35</f>
        <v>0</v>
      </c>
      <c r="L1786" s="23" t="n">
        <f aca="false">ROUNDUP(E1786,0)</f>
        <v>3</v>
      </c>
    </row>
    <row r="1787" customFormat="false" ht="15" hidden="false" customHeight="false" outlineLevel="0" collapsed="false">
      <c r="A1787" s="6" t="s">
        <v>73</v>
      </c>
      <c r="B1787" s="6" t="s">
        <v>334</v>
      </c>
      <c r="C1787" s="6" t="n">
        <v>42</v>
      </c>
      <c r="D1787" s="25" t="n">
        <f aca="false">EDATE('Start Here'!$B$6,C1787-1)</f>
        <v>47574</v>
      </c>
      <c r="E1787" s="11" t="n">
        <f aca="false">IF(AND(C1787&gt;=Staffing!$F$35,C1787&lt;=Staffing!$G$35,1=1),IF(C1787&lt;=6,Staffing!$H$35,IF(C1787&lt;=15,Staffing!$I$35,IF(C1787&lt;=30,Staffing!$J$35,Staffing!$K$35))),0)</f>
        <v>3</v>
      </c>
      <c r="F1787" s="10" t="n">
        <f aca="false">E1787*Staffing!$L$35/12*(1+Assumptions!$E$10)^INT((C1787-1)/12)*1</f>
        <v>40516.875</v>
      </c>
      <c r="G1787" s="10" t="n">
        <f aca="false">F1787*Staffing!$N$35</f>
        <v>16206.75</v>
      </c>
      <c r="H1787" s="10" t="n">
        <f aca="false">F1787+G1787</f>
        <v>56723.625</v>
      </c>
      <c r="I1787" s="10" t="n">
        <f aca="false">0</f>
        <v>0</v>
      </c>
      <c r="J1787" s="10" t="n">
        <f aca="false">MAX(0,E1787-E1786)*Staffing!$O$35</f>
        <v>0</v>
      </c>
      <c r="K1787" s="10" t="n">
        <f aca="false">MAX(0,E1787-E1786)*Staffing!$P$35</f>
        <v>0</v>
      </c>
      <c r="L1787" s="23" t="n">
        <f aca="false">ROUNDUP(E1787,0)</f>
        <v>3</v>
      </c>
    </row>
    <row r="1788" customFormat="false" ht="15" hidden="false" customHeight="false" outlineLevel="0" collapsed="false">
      <c r="A1788" s="6" t="s">
        <v>73</v>
      </c>
      <c r="B1788" s="6" t="s">
        <v>334</v>
      </c>
      <c r="C1788" s="6" t="n">
        <v>43</v>
      </c>
      <c r="D1788" s="25" t="n">
        <f aca="false">EDATE('Start Here'!$B$6,C1788-1)</f>
        <v>47604</v>
      </c>
      <c r="E1788" s="11" t="n">
        <f aca="false">IF(AND(C1788&gt;=Staffing!$F$35,C1788&lt;=Staffing!$G$35,1=1),IF(C1788&lt;=6,Staffing!$H$35,IF(C1788&lt;=15,Staffing!$I$35,IF(C1788&lt;=30,Staffing!$J$35,Staffing!$K$35))),0)</f>
        <v>3</v>
      </c>
      <c r="F1788" s="10" t="n">
        <f aca="false">E1788*Staffing!$L$35/12*(1+Assumptions!$E$10)^INT((C1788-1)/12)*1</f>
        <v>40516.875</v>
      </c>
      <c r="G1788" s="10" t="n">
        <f aca="false">F1788*Staffing!$N$35</f>
        <v>16206.75</v>
      </c>
      <c r="H1788" s="10" t="n">
        <f aca="false">F1788+G1788</f>
        <v>56723.625</v>
      </c>
      <c r="I1788" s="10" t="n">
        <f aca="false">0</f>
        <v>0</v>
      </c>
      <c r="J1788" s="10" t="n">
        <f aca="false">MAX(0,E1788-E1787)*Staffing!$O$35</f>
        <v>0</v>
      </c>
      <c r="K1788" s="10" t="n">
        <f aca="false">MAX(0,E1788-E1787)*Staffing!$P$35</f>
        <v>0</v>
      </c>
      <c r="L1788" s="23" t="n">
        <f aca="false">ROUNDUP(E1788,0)</f>
        <v>3</v>
      </c>
    </row>
    <row r="1789" customFormat="false" ht="15" hidden="false" customHeight="false" outlineLevel="0" collapsed="false">
      <c r="A1789" s="6" t="s">
        <v>73</v>
      </c>
      <c r="B1789" s="6" t="s">
        <v>334</v>
      </c>
      <c r="C1789" s="6" t="n">
        <v>44</v>
      </c>
      <c r="D1789" s="25" t="n">
        <f aca="false">EDATE('Start Here'!$B$6,C1789-1)</f>
        <v>47635</v>
      </c>
      <c r="E1789" s="11" t="n">
        <f aca="false">IF(AND(C1789&gt;=Staffing!$F$35,C1789&lt;=Staffing!$G$35,1=1),IF(C1789&lt;=6,Staffing!$H$35,IF(C1789&lt;=15,Staffing!$I$35,IF(C1789&lt;=30,Staffing!$J$35,Staffing!$K$35))),0)</f>
        <v>3</v>
      </c>
      <c r="F1789" s="10" t="n">
        <f aca="false">E1789*Staffing!$L$35/12*(1+Assumptions!$E$10)^INT((C1789-1)/12)*1</f>
        <v>40516.875</v>
      </c>
      <c r="G1789" s="10" t="n">
        <f aca="false">F1789*Staffing!$N$35</f>
        <v>16206.75</v>
      </c>
      <c r="H1789" s="10" t="n">
        <f aca="false">F1789+G1789</f>
        <v>56723.625</v>
      </c>
      <c r="I1789" s="10" t="n">
        <f aca="false">0</f>
        <v>0</v>
      </c>
      <c r="J1789" s="10" t="n">
        <f aca="false">MAX(0,E1789-E1788)*Staffing!$O$35</f>
        <v>0</v>
      </c>
      <c r="K1789" s="10" t="n">
        <f aca="false">MAX(0,E1789-E1788)*Staffing!$P$35</f>
        <v>0</v>
      </c>
      <c r="L1789" s="23" t="n">
        <f aca="false">ROUNDUP(E1789,0)</f>
        <v>3</v>
      </c>
    </row>
    <row r="1790" customFormat="false" ht="15" hidden="false" customHeight="false" outlineLevel="0" collapsed="false">
      <c r="A1790" s="6" t="s">
        <v>73</v>
      </c>
      <c r="B1790" s="6" t="s">
        <v>334</v>
      </c>
      <c r="C1790" s="6" t="n">
        <v>45</v>
      </c>
      <c r="D1790" s="25" t="n">
        <f aca="false">EDATE('Start Here'!$B$6,C1790-1)</f>
        <v>47665</v>
      </c>
      <c r="E1790" s="11" t="n">
        <f aca="false">IF(AND(C1790&gt;=Staffing!$F$35,C1790&lt;=Staffing!$G$35,1=1),IF(C1790&lt;=6,Staffing!$H$35,IF(C1790&lt;=15,Staffing!$I$35,IF(C1790&lt;=30,Staffing!$J$35,Staffing!$K$35))),0)</f>
        <v>3</v>
      </c>
      <c r="F1790" s="10" t="n">
        <f aca="false">E1790*Staffing!$L$35/12*(1+Assumptions!$E$10)^INT((C1790-1)/12)*1</f>
        <v>40516.875</v>
      </c>
      <c r="G1790" s="10" t="n">
        <f aca="false">F1790*Staffing!$N$35</f>
        <v>16206.75</v>
      </c>
      <c r="H1790" s="10" t="n">
        <f aca="false">F1790+G1790</f>
        <v>56723.625</v>
      </c>
      <c r="I1790" s="10" t="n">
        <f aca="false">0</f>
        <v>0</v>
      </c>
      <c r="J1790" s="10" t="n">
        <f aca="false">MAX(0,E1790-E1789)*Staffing!$O$35</f>
        <v>0</v>
      </c>
      <c r="K1790" s="10" t="n">
        <f aca="false">MAX(0,E1790-E1789)*Staffing!$P$35</f>
        <v>0</v>
      </c>
      <c r="L1790" s="23" t="n">
        <f aca="false">ROUNDUP(E1790,0)</f>
        <v>3</v>
      </c>
    </row>
    <row r="1791" customFormat="false" ht="15" hidden="false" customHeight="false" outlineLevel="0" collapsed="false">
      <c r="A1791" s="6" t="s">
        <v>73</v>
      </c>
      <c r="B1791" s="6" t="s">
        <v>334</v>
      </c>
      <c r="C1791" s="6" t="n">
        <v>46</v>
      </c>
      <c r="D1791" s="25" t="n">
        <f aca="false">EDATE('Start Here'!$B$6,C1791-1)</f>
        <v>47696</v>
      </c>
      <c r="E1791" s="11" t="n">
        <f aca="false">IF(AND(C1791&gt;=Staffing!$F$35,C1791&lt;=Staffing!$G$35,1=1),IF(C1791&lt;=6,Staffing!$H$35,IF(C1791&lt;=15,Staffing!$I$35,IF(C1791&lt;=30,Staffing!$J$35,Staffing!$K$35))),0)</f>
        <v>3</v>
      </c>
      <c r="F1791" s="10" t="n">
        <f aca="false">E1791*Staffing!$L$35/12*(1+Assumptions!$E$10)^INT((C1791-1)/12)*1</f>
        <v>40516.875</v>
      </c>
      <c r="G1791" s="10" t="n">
        <f aca="false">F1791*Staffing!$N$35</f>
        <v>16206.75</v>
      </c>
      <c r="H1791" s="10" t="n">
        <f aca="false">F1791+G1791</f>
        <v>56723.625</v>
      </c>
      <c r="I1791" s="10" t="n">
        <f aca="false">0</f>
        <v>0</v>
      </c>
      <c r="J1791" s="10" t="n">
        <f aca="false">MAX(0,E1791-E1790)*Staffing!$O$35</f>
        <v>0</v>
      </c>
      <c r="K1791" s="10" t="n">
        <f aca="false">MAX(0,E1791-E1790)*Staffing!$P$35</f>
        <v>0</v>
      </c>
      <c r="L1791" s="23" t="n">
        <f aca="false">ROUNDUP(E1791,0)</f>
        <v>3</v>
      </c>
    </row>
    <row r="1792" customFormat="false" ht="15" hidden="false" customHeight="false" outlineLevel="0" collapsed="false">
      <c r="A1792" s="6" t="s">
        <v>73</v>
      </c>
      <c r="B1792" s="6" t="s">
        <v>334</v>
      </c>
      <c r="C1792" s="6" t="n">
        <v>47</v>
      </c>
      <c r="D1792" s="25" t="n">
        <f aca="false">EDATE('Start Here'!$B$6,C1792-1)</f>
        <v>47727</v>
      </c>
      <c r="E1792" s="11" t="n">
        <f aca="false">IF(AND(C1792&gt;=Staffing!$F$35,C1792&lt;=Staffing!$G$35,1=1),IF(C1792&lt;=6,Staffing!$H$35,IF(C1792&lt;=15,Staffing!$I$35,IF(C1792&lt;=30,Staffing!$J$35,Staffing!$K$35))),0)</f>
        <v>3</v>
      </c>
      <c r="F1792" s="10" t="n">
        <f aca="false">E1792*Staffing!$L$35/12*(1+Assumptions!$E$10)^INT((C1792-1)/12)*1</f>
        <v>40516.875</v>
      </c>
      <c r="G1792" s="10" t="n">
        <f aca="false">F1792*Staffing!$N$35</f>
        <v>16206.75</v>
      </c>
      <c r="H1792" s="10" t="n">
        <f aca="false">F1792+G1792</f>
        <v>56723.625</v>
      </c>
      <c r="I1792" s="10" t="n">
        <f aca="false">0</f>
        <v>0</v>
      </c>
      <c r="J1792" s="10" t="n">
        <f aca="false">MAX(0,E1792-E1791)*Staffing!$O$35</f>
        <v>0</v>
      </c>
      <c r="K1792" s="10" t="n">
        <f aca="false">MAX(0,E1792-E1791)*Staffing!$P$35</f>
        <v>0</v>
      </c>
      <c r="L1792" s="23" t="n">
        <f aca="false">ROUNDUP(E1792,0)</f>
        <v>3</v>
      </c>
    </row>
    <row r="1793" customFormat="false" ht="15" hidden="false" customHeight="false" outlineLevel="0" collapsed="false">
      <c r="A1793" s="6" t="s">
        <v>73</v>
      </c>
      <c r="B1793" s="6" t="s">
        <v>334</v>
      </c>
      <c r="C1793" s="6" t="n">
        <v>48</v>
      </c>
      <c r="D1793" s="25" t="n">
        <f aca="false">EDATE('Start Here'!$B$6,C1793-1)</f>
        <v>47757</v>
      </c>
      <c r="E1793" s="11" t="n">
        <f aca="false">IF(AND(C1793&gt;=Staffing!$F$35,C1793&lt;=Staffing!$G$35,1=1),IF(C1793&lt;=6,Staffing!$H$35,IF(C1793&lt;=15,Staffing!$I$35,IF(C1793&lt;=30,Staffing!$J$35,Staffing!$K$35))),0)</f>
        <v>3</v>
      </c>
      <c r="F1793" s="10" t="n">
        <f aca="false">E1793*Staffing!$L$35/12*(1+Assumptions!$E$10)^INT((C1793-1)/12)*1</f>
        <v>40516.875</v>
      </c>
      <c r="G1793" s="10" t="n">
        <f aca="false">F1793*Staffing!$N$35</f>
        <v>16206.75</v>
      </c>
      <c r="H1793" s="10" t="n">
        <f aca="false">F1793+G1793</f>
        <v>56723.625</v>
      </c>
      <c r="I1793" s="10" t="n">
        <f aca="false">0</f>
        <v>0</v>
      </c>
      <c r="J1793" s="10" t="n">
        <f aca="false">MAX(0,E1793-E1792)*Staffing!$O$35</f>
        <v>0</v>
      </c>
      <c r="K1793" s="10" t="n">
        <f aca="false">MAX(0,E1793-E1792)*Staffing!$P$35</f>
        <v>0</v>
      </c>
      <c r="L1793" s="23" t="n">
        <f aca="false">ROUNDUP(E1793,0)</f>
        <v>3</v>
      </c>
    </row>
    <row r="1794" customFormat="false" ht="15" hidden="false" customHeight="false" outlineLevel="0" collapsed="false">
      <c r="A1794" s="6" t="s">
        <v>73</v>
      </c>
      <c r="B1794" s="6" t="s">
        <v>334</v>
      </c>
      <c r="C1794" s="6" t="n">
        <v>49</v>
      </c>
      <c r="D1794" s="25" t="n">
        <f aca="false">EDATE('Start Here'!$B$6,C1794-1)</f>
        <v>47788</v>
      </c>
      <c r="E1794" s="11" t="n">
        <f aca="false">IF(AND(C1794&gt;=Staffing!$F$35,C1794&lt;=Staffing!$G$35,1=1),IF(C1794&lt;=6,Staffing!$H$35,IF(C1794&lt;=15,Staffing!$I$35,IF(C1794&lt;=30,Staffing!$J$35,Staffing!$K$35))),0)</f>
        <v>3</v>
      </c>
      <c r="F1794" s="10" t="n">
        <f aca="false">E1794*Staffing!$L$35/12*(1+Assumptions!$E$10)^INT((C1794-1)/12)*1</f>
        <v>42542.71875</v>
      </c>
      <c r="G1794" s="10" t="n">
        <f aca="false">F1794*Staffing!$N$35</f>
        <v>17017.0875</v>
      </c>
      <c r="H1794" s="10" t="n">
        <f aca="false">F1794+G1794</f>
        <v>59559.80625</v>
      </c>
      <c r="I1794" s="10" t="n">
        <f aca="false">0</f>
        <v>0</v>
      </c>
      <c r="J1794" s="10" t="n">
        <f aca="false">MAX(0,E1794-E1793)*Staffing!$O$35</f>
        <v>0</v>
      </c>
      <c r="K1794" s="10" t="n">
        <f aca="false">MAX(0,E1794-E1793)*Staffing!$P$35</f>
        <v>0</v>
      </c>
      <c r="L1794" s="23" t="n">
        <f aca="false">ROUNDUP(E1794,0)</f>
        <v>3</v>
      </c>
    </row>
    <row r="1795" customFormat="false" ht="15" hidden="false" customHeight="false" outlineLevel="0" collapsed="false">
      <c r="A1795" s="6" t="s">
        <v>73</v>
      </c>
      <c r="B1795" s="6" t="s">
        <v>334</v>
      </c>
      <c r="C1795" s="6" t="n">
        <v>50</v>
      </c>
      <c r="D1795" s="25" t="n">
        <f aca="false">EDATE('Start Here'!$B$6,C1795-1)</f>
        <v>47818</v>
      </c>
      <c r="E1795" s="11" t="n">
        <f aca="false">IF(AND(C1795&gt;=Staffing!$F$35,C1795&lt;=Staffing!$G$35,1=1),IF(C1795&lt;=6,Staffing!$H$35,IF(C1795&lt;=15,Staffing!$I$35,IF(C1795&lt;=30,Staffing!$J$35,Staffing!$K$35))),0)</f>
        <v>3</v>
      </c>
      <c r="F1795" s="10" t="n">
        <f aca="false">E1795*Staffing!$L$35/12*(1+Assumptions!$E$10)^INT((C1795-1)/12)*1</f>
        <v>42542.71875</v>
      </c>
      <c r="G1795" s="10" t="n">
        <f aca="false">F1795*Staffing!$N$35</f>
        <v>17017.0875</v>
      </c>
      <c r="H1795" s="10" t="n">
        <f aca="false">F1795+G1795</f>
        <v>59559.80625</v>
      </c>
      <c r="I1795" s="10" t="n">
        <f aca="false">0</f>
        <v>0</v>
      </c>
      <c r="J1795" s="10" t="n">
        <f aca="false">MAX(0,E1795-E1794)*Staffing!$O$35</f>
        <v>0</v>
      </c>
      <c r="K1795" s="10" t="n">
        <f aca="false">MAX(0,E1795-E1794)*Staffing!$P$35</f>
        <v>0</v>
      </c>
      <c r="L1795" s="23" t="n">
        <f aca="false">ROUNDUP(E1795,0)</f>
        <v>3</v>
      </c>
    </row>
    <row r="1796" customFormat="false" ht="15" hidden="false" customHeight="false" outlineLevel="0" collapsed="false">
      <c r="A1796" s="6" t="s">
        <v>73</v>
      </c>
      <c r="B1796" s="6" t="s">
        <v>334</v>
      </c>
      <c r="C1796" s="6" t="n">
        <v>51</v>
      </c>
      <c r="D1796" s="25" t="n">
        <f aca="false">EDATE('Start Here'!$B$6,C1796-1)</f>
        <v>47849</v>
      </c>
      <c r="E1796" s="11" t="n">
        <f aca="false">IF(AND(C1796&gt;=Staffing!$F$35,C1796&lt;=Staffing!$G$35,1=1),IF(C1796&lt;=6,Staffing!$H$35,IF(C1796&lt;=15,Staffing!$I$35,IF(C1796&lt;=30,Staffing!$J$35,Staffing!$K$35))),0)</f>
        <v>3</v>
      </c>
      <c r="F1796" s="10" t="n">
        <f aca="false">E1796*Staffing!$L$35/12*(1+Assumptions!$E$10)^INT((C1796-1)/12)*1</f>
        <v>42542.71875</v>
      </c>
      <c r="G1796" s="10" t="n">
        <f aca="false">F1796*Staffing!$N$35</f>
        <v>17017.0875</v>
      </c>
      <c r="H1796" s="10" t="n">
        <f aca="false">F1796+G1796</f>
        <v>59559.80625</v>
      </c>
      <c r="I1796" s="10" t="n">
        <f aca="false">0</f>
        <v>0</v>
      </c>
      <c r="J1796" s="10" t="n">
        <f aca="false">MAX(0,E1796-E1795)*Staffing!$O$35</f>
        <v>0</v>
      </c>
      <c r="K1796" s="10" t="n">
        <f aca="false">MAX(0,E1796-E1795)*Staffing!$P$35</f>
        <v>0</v>
      </c>
      <c r="L1796" s="23" t="n">
        <f aca="false">ROUNDUP(E1796,0)</f>
        <v>3</v>
      </c>
    </row>
    <row r="1797" customFormat="false" ht="15" hidden="false" customHeight="false" outlineLevel="0" collapsed="false">
      <c r="A1797" s="6" t="s">
        <v>73</v>
      </c>
      <c r="B1797" s="6" t="s">
        <v>334</v>
      </c>
      <c r="C1797" s="6" t="n">
        <v>52</v>
      </c>
      <c r="D1797" s="25" t="n">
        <f aca="false">EDATE('Start Here'!$B$6,C1797-1)</f>
        <v>47880</v>
      </c>
      <c r="E1797" s="11" t="n">
        <f aca="false">IF(AND(C1797&gt;=Staffing!$F$35,C1797&lt;=Staffing!$G$35,1=1),IF(C1797&lt;=6,Staffing!$H$35,IF(C1797&lt;=15,Staffing!$I$35,IF(C1797&lt;=30,Staffing!$J$35,Staffing!$K$35))),0)</f>
        <v>3</v>
      </c>
      <c r="F1797" s="10" t="n">
        <f aca="false">E1797*Staffing!$L$35/12*(1+Assumptions!$E$10)^INT((C1797-1)/12)*1</f>
        <v>42542.71875</v>
      </c>
      <c r="G1797" s="10" t="n">
        <f aca="false">F1797*Staffing!$N$35</f>
        <v>17017.0875</v>
      </c>
      <c r="H1797" s="10" t="n">
        <f aca="false">F1797+G1797</f>
        <v>59559.80625</v>
      </c>
      <c r="I1797" s="10" t="n">
        <f aca="false">0</f>
        <v>0</v>
      </c>
      <c r="J1797" s="10" t="n">
        <f aca="false">MAX(0,E1797-E1796)*Staffing!$O$35</f>
        <v>0</v>
      </c>
      <c r="K1797" s="10" t="n">
        <f aca="false">MAX(0,E1797-E1796)*Staffing!$P$35</f>
        <v>0</v>
      </c>
      <c r="L1797" s="23" t="n">
        <f aca="false">ROUNDUP(E1797,0)</f>
        <v>3</v>
      </c>
    </row>
    <row r="1798" customFormat="false" ht="15" hidden="false" customHeight="false" outlineLevel="0" collapsed="false">
      <c r="A1798" s="6" t="s">
        <v>73</v>
      </c>
      <c r="B1798" s="6" t="s">
        <v>334</v>
      </c>
      <c r="C1798" s="6" t="n">
        <v>53</v>
      </c>
      <c r="D1798" s="25" t="n">
        <f aca="false">EDATE('Start Here'!$B$6,C1798-1)</f>
        <v>47908</v>
      </c>
      <c r="E1798" s="11" t="n">
        <f aca="false">IF(AND(C1798&gt;=Staffing!$F$35,C1798&lt;=Staffing!$G$35,1=1),IF(C1798&lt;=6,Staffing!$H$35,IF(C1798&lt;=15,Staffing!$I$35,IF(C1798&lt;=30,Staffing!$J$35,Staffing!$K$35))),0)</f>
        <v>3</v>
      </c>
      <c r="F1798" s="10" t="n">
        <f aca="false">E1798*Staffing!$L$35/12*(1+Assumptions!$E$10)^INT((C1798-1)/12)*1</f>
        <v>42542.71875</v>
      </c>
      <c r="G1798" s="10" t="n">
        <f aca="false">F1798*Staffing!$N$35</f>
        <v>17017.0875</v>
      </c>
      <c r="H1798" s="10" t="n">
        <f aca="false">F1798+G1798</f>
        <v>59559.80625</v>
      </c>
      <c r="I1798" s="10" t="n">
        <f aca="false">0</f>
        <v>0</v>
      </c>
      <c r="J1798" s="10" t="n">
        <f aca="false">MAX(0,E1798-E1797)*Staffing!$O$35</f>
        <v>0</v>
      </c>
      <c r="K1798" s="10" t="n">
        <f aca="false">MAX(0,E1798-E1797)*Staffing!$P$35</f>
        <v>0</v>
      </c>
      <c r="L1798" s="23" t="n">
        <f aca="false">ROUNDUP(E1798,0)</f>
        <v>3</v>
      </c>
    </row>
    <row r="1799" customFormat="false" ht="15" hidden="false" customHeight="false" outlineLevel="0" collapsed="false">
      <c r="A1799" s="6" t="s">
        <v>73</v>
      </c>
      <c r="B1799" s="6" t="s">
        <v>334</v>
      </c>
      <c r="C1799" s="6" t="n">
        <v>54</v>
      </c>
      <c r="D1799" s="25" t="n">
        <f aca="false">EDATE('Start Here'!$B$6,C1799-1)</f>
        <v>47939</v>
      </c>
      <c r="E1799" s="11" t="n">
        <f aca="false">IF(AND(C1799&gt;=Staffing!$F$35,C1799&lt;=Staffing!$G$35,1=1),IF(C1799&lt;=6,Staffing!$H$35,IF(C1799&lt;=15,Staffing!$I$35,IF(C1799&lt;=30,Staffing!$J$35,Staffing!$K$35))),0)</f>
        <v>3</v>
      </c>
      <c r="F1799" s="10" t="n">
        <f aca="false">E1799*Staffing!$L$35/12*(1+Assumptions!$E$10)^INT((C1799-1)/12)*1</f>
        <v>42542.71875</v>
      </c>
      <c r="G1799" s="10" t="n">
        <f aca="false">F1799*Staffing!$N$35</f>
        <v>17017.0875</v>
      </c>
      <c r="H1799" s="10" t="n">
        <f aca="false">F1799+G1799</f>
        <v>59559.80625</v>
      </c>
      <c r="I1799" s="10" t="n">
        <f aca="false">0</f>
        <v>0</v>
      </c>
      <c r="J1799" s="10" t="n">
        <f aca="false">MAX(0,E1799-E1798)*Staffing!$O$35</f>
        <v>0</v>
      </c>
      <c r="K1799" s="10" t="n">
        <f aca="false">MAX(0,E1799-E1798)*Staffing!$P$35</f>
        <v>0</v>
      </c>
      <c r="L1799" s="23" t="n">
        <f aca="false">ROUNDUP(E1799,0)</f>
        <v>3</v>
      </c>
    </row>
    <row r="1800" customFormat="false" ht="15" hidden="false" customHeight="false" outlineLevel="0" collapsed="false">
      <c r="A1800" s="6" t="s">
        <v>73</v>
      </c>
      <c r="B1800" s="6" t="s">
        <v>334</v>
      </c>
      <c r="C1800" s="6" t="n">
        <v>55</v>
      </c>
      <c r="D1800" s="25" t="n">
        <f aca="false">EDATE('Start Here'!$B$6,C1800-1)</f>
        <v>47969</v>
      </c>
      <c r="E1800" s="11" t="n">
        <f aca="false">IF(AND(C1800&gt;=Staffing!$F$35,C1800&lt;=Staffing!$G$35,1=1),IF(C1800&lt;=6,Staffing!$H$35,IF(C1800&lt;=15,Staffing!$I$35,IF(C1800&lt;=30,Staffing!$J$35,Staffing!$K$35))),0)</f>
        <v>3</v>
      </c>
      <c r="F1800" s="10" t="n">
        <f aca="false">E1800*Staffing!$L$35/12*(1+Assumptions!$E$10)^INT((C1800-1)/12)*1</f>
        <v>42542.71875</v>
      </c>
      <c r="G1800" s="10" t="n">
        <f aca="false">F1800*Staffing!$N$35</f>
        <v>17017.0875</v>
      </c>
      <c r="H1800" s="10" t="n">
        <f aca="false">F1800+G1800</f>
        <v>59559.80625</v>
      </c>
      <c r="I1800" s="10" t="n">
        <f aca="false">0</f>
        <v>0</v>
      </c>
      <c r="J1800" s="10" t="n">
        <f aca="false">MAX(0,E1800-E1799)*Staffing!$O$35</f>
        <v>0</v>
      </c>
      <c r="K1800" s="10" t="n">
        <f aca="false">MAX(0,E1800-E1799)*Staffing!$P$35</f>
        <v>0</v>
      </c>
      <c r="L1800" s="23" t="n">
        <f aca="false">ROUNDUP(E1800,0)</f>
        <v>3</v>
      </c>
    </row>
    <row r="1801" customFormat="false" ht="15" hidden="false" customHeight="false" outlineLevel="0" collapsed="false">
      <c r="A1801" s="6" t="s">
        <v>73</v>
      </c>
      <c r="B1801" s="6" t="s">
        <v>334</v>
      </c>
      <c r="C1801" s="6" t="n">
        <v>56</v>
      </c>
      <c r="D1801" s="25" t="n">
        <f aca="false">EDATE('Start Here'!$B$6,C1801-1)</f>
        <v>48000</v>
      </c>
      <c r="E1801" s="11" t="n">
        <f aca="false">IF(AND(C1801&gt;=Staffing!$F$35,C1801&lt;=Staffing!$G$35,1=1),IF(C1801&lt;=6,Staffing!$H$35,IF(C1801&lt;=15,Staffing!$I$35,IF(C1801&lt;=30,Staffing!$J$35,Staffing!$K$35))),0)</f>
        <v>3</v>
      </c>
      <c r="F1801" s="10" t="n">
        <f aca="false">E1801*Staffing!$L$35/12*(1+Assumptions!$E$10)^INT((C1801-1)/12)*1</f>
        <v>42542.71875</v>
      </c>
      <c r="G1801" s="10" t="n">
        <f aca="false">F1801*Staffing!$N$35</f>
        <v>17017.0875</v>
      </c>
      <c r="H1801" s="10" t="n">
        <f aca="false">F1801+G1801</f>
        <v>59559.80625</v>
      </c>
      <c r="I1801" s="10" t="n">
        <f aca="false">0</f>
        <v>0</v>
      </c>
      <c r="J1801" s="10" t="n">
        <f aca="false">MAX(0,E1801-E1800)*Staffing!$O$35</f>
        <v>0</v>
      </c>
      <c r="K1801" s="10" t="n">
        <f aca="false">MAX(0,E1801-E1800)*Staffing!$P$35</f>
        <v>0</v>
      </c>
      <c r="L1801" s="23" t="n">
        <f aca="false">ROUNDUP(E1801,0)</f>
        <v>3</v>
      </c>
    </row>
    <row r="1802" customFormat="false" ht="15" hidden="false" customHeight="false" outlineLevel="0" collapsed="false">
      <c r="A1802" s="6" t="s">
        <v>73</v>
      </c>
      <c r="B1802" s="6" t="s">
        <v>334</v>
      </c>
      <c r="C1802" s="6" t="n">
        <v>57</v>
      </c>
      <c r="D1802" s="25" t="n">
        <f aca="false">EDATE('Start Here'!$B$6,C1802-1)</f>
        <v>48030</v>
      </c>
      <c r="E1802" s="11" t="n">
        <f aca="false">IF(AND(C1802&gt;=Staffing!$F$35,C1802&lt;=Staffing!$G$35,1=1),IF(C1802&lt;=6,Staffing!$H$35,IF(C1802&lt;=15,Staffing!$I$35,IF(C1802&lt;=30,Staffing!$J$35,Staffing!$K$35))),0)</f>
        <v>3</v>
      </c>
      <c r="F1802" s="10" t="n">
        <f aca="false">E1802*Staffing!$L$35/12*(1+Assumptions!$E$10)^INT((C1802-1)/12)*1</f>
        <v>42542.71875</v>
      </c>
      <c r="G1802" s="10" t="n">
        <f aca="false">F1802*Staffing!$N$35</f>
        <v>17017.0875</v>
      </c>
      <c r="H1802" s="10" t="n">
        <f aca="false">F1802+G1802</f>
        <v>59559.80625</v>
      </c>
      <c r="I1802" s="10" t="n">
        <f aca="false">0</f>
        <v>0</v>
      </c>
      <c r="J1802" s="10" t="n">
        <f aca="false">MAX(0,E1802-E1801)*Staffing!$O$35</f>
        <v>0</v>
      </c>
      <c r="K1802" s="10" t="n">
        <f aca="false">MAX(0,E1802-E1801)*Staffing!$P$35</f>
        <v>0</v>
      </c>
      <c r="L1802" s="23" t="n">
        <f aca="false">ROUNDUP(E1802,0)</f>
        <v>3</v>
      </c>
    </row>
    <row r="1803" customFormat="false" ht="15" hidden="false" customHeight="false" outlineLevel="0" collapsed="false">
      <c r="A1803" s="6" t="s">
        <v>73</v>
      </c>
      <c r="B1803" s="6" t="s">
        <v>334</v>
      </c>
      <c r="C1803" s="6" t="n">
        <v>58</v>
      </c>
      <c r="D1803" s="25" t="n">
        <f aca="false">EDATE('Start Here'!$B$6,C1803-1)</f>
        <v>48061</v>
      </c>
      <c r="E1803" s="11" t="n">
        <f aca="false">IF(AND(C1803&gt;=Staffing!$F$35,C1803&lt;=Staffing!$G$35,1=1),IF(C1803&lt;=6,Staffing!$H$35,IF(C1803&lt;=15,Staffing!$I$35,IF(C1803&lt;=30,Staffing!$J$35,Staffing!$K$35))),0)</f>
        <v>3</v>
      </c>
      <c r="F1803" s="10" t="n">
        <f aca="false">E1803*Staffing!$L$35/12*(1+Assumptions!$E$10)^INT((C1803-1)/12)*1</f>
        <v>42542.71875</v>
      </c>
      <c r="G1803" s="10" t="n">
        <f aca="false">F1803*Staffing!$N$35</f>
        <v>17017.0875</v>
      </c>
      <c r="H1803" s="10" t="n">
        <f aca="false">F1803+G1803</f>
        <v>59559.80625</v>
      </c>
      <c r="I1803" s="10" t="n">
        <f aca="false">0</f>
        <v>0</v>
      </c>
      <c r="J1803" s="10" t="n">
        <f aca="false">MAX(0,E1803-E1802)*Staffing!$O$35</f>
        <v>0</v>
      </c>
      <c r="K1803" s="10" t="n">
        <f aca="false">MAX(0,E1803-E1802)*Staffing!$P$35</f>
        <v>0</v>
      </c>
      <c r="L1803" s="23" t="n">
        <f aca="false">ROUNDUP(E1803,0)</f>
        <v>3</v>
      </c>
    </row>
    <row r="1804" customFormat="false" ht="15" hidden="false" customHeight="false" outlineLevel="0" collapsed="false">
      <c r="A1804" s="6" t="s">
        <v>73</v>
      </c>
      <c r="B1804" s="6" t="s">
        <v>334</v>
      </c>
      <c r="C1804" s="6" t="n">
        <v>59</v>
      </c>
      <c r="D1804" s="25" t="n">
        <f aca="false">EDATE('Start Here'!$B$6,C1804-1)</f>
        <v>48092</v>
      </c>
      <c r="E1804" s="11" t="n">
        <f aca="false">IF(AND(C1804&gt;=Staffing!$F$35,C1804&lt;=Staffing!$G$35,1=1),IF(C1804&lt;=6,Staffing!$H$35,IF(C1804&lt;=15,Staffing!$I$35,IF(C1804&lt;=30,Staffing!$J$35,Staffing!$K$35))),0)</f>
        <v>3</v>
      </c>
      <c r="F1804" s="10" t="n">
        <f aca="false">E1804*Staffing!$L$35/12*(1+Assumptions!$E$10)^INT((C1804-1)/12)*1</f>
        <v>42542.71875</v>
      </c>
      <c r="G1804" s="10" t="n">
        <f aca="false">F1804*Staffing!$N$35</f>
        <v>17017.0875</v>
      </c>
      <c r="H1804" s="10" t="n">
        <f aca="false">F1804+G1804</f>
        <v>59559.80625</v>
      </c>
      <c r="I1804" s="10" t="n">
        <f aca="false">0</f>
        <v>0</v>
      </c>
      <c r="J1804" s="10" t="n">
        <f aca="false">MAX(0,E1804-E1803)*Staffing!$O$35</f>
        <v>0</v>
      </c>
      <c r="K1804" s="10" t="n">
        <f aca="false">MAX(0,E1804-E1803)*Staffing!$P$35</f>
        <v>0</v>
      </c>
      <c r="L1804" s="23" t="n">
        <f aca="false">ROUNDUP(E1804,0)</f>
        <v>3</v>
      </c>
    </row>
    <row r="1805" customFormat="false" ht="15" hidden="false" customHeight="false" outlineLevel="0" collapsed="false">
      <c r="A1805" s="6" t="s">
        <v>73</v>
      </c>
      <c r="B1805" s="6" t="s">
        <v>334</v>
      </c>
      <c r="C1805" s="6" t="n">
        <v>60</v>
      </c>
      <c r="D1805" s="25" t="n">
        <f aca="false">EDATE('Start Here'!$B$6,C1805-1)</f>
        <v>48122</v>
      </c>
      <c r="E1805" s="11" t="n">
        <f aca="false">IF(AND(C1805&gt;=Staffing!$F$35,C1805&lt;=Staffing!$G$35,1=1),IF(C1805&lt;=6,Staffing!$H$35,IF(C1805&lt;=15,Staffing!$I$35,IF(C1805&lt;=30,Staffing!$J$35,Staffing!$K$35))),0)</f>
        <v>3</v>
      </c>
      <c r="F1805" s="10" t="n">
        <f aca="false">E1805*Staffing!$L$35/12*(1+Assumptions!$E$10)^INT((C1805-1)/12)*1</f>
        <v>42542.71875</v>
      </c>
      <c r="G1805" s="10" t="n">
        <f aca="false">F1805*Staffing!$N$35</f>
        <v>17017.0875</v>
      </c>
      <c r="H1805" s="10" t="n">
        <f aca="false">F1805+G1805</f>
        <v>59559.80625</v>
      </c>
      <c r="I1805" s="10" t="n">
        <f aca="false">0</f>
        <v>0</v>
      </c>
      <c r="J1805" s="10" t="n">
        <f aca="false">MAX(0,E1805-E1804)*Staffing!$O$35</f>
        <v>0</v>
      </c>
      <c r="K1805" s="10" t="n">
        <f aca="false">MAX(0,E1805-E1804)*Staffing!$P$35</f>
        <v>0</v>
      </c>
      <c r="L1805" s="23" t="n">
        <f aca="false">ROUNDUP(E1805,0)</f>
        <v>3</v>
      </c>
    </row>
    <row r="1806" customFormat="false" ht="15" hidden="false" customHeight="false" outlineLevel="0" collapsed="false">
      <c r="A1806" s="6" t="s">
        <v>73</v>
      </c>
      <c r="B1806" s="6" t="s">
        <v>336</v>
      </c>
      <c r="C1806" s="6" t="n">
        <v>1</v>
      </c>
      <c r="D1806" s="25" t="n">
        <f aca="false">EDATE('Start Here'!$B$6,C1806-1)</f>
        <v>46327</v>
      </c>
      <c r="E1806" s="23" t="n">
        <f aca="false">IF(AND(C1806&gt;=Staffing!$F$36,C1806&lt;=Staffing!$G$36,1=1),IF(C1806&lt;=6,Staffing!$H$36,IF(C1806&lt;=15,Staffing!$I$36,IF(C1806&lt;=30,Staffing!$J$36,Staffing!$K$36))),0)</f>
        <v>0</v>
      </c>
      <c r="F1806" s="10" t="n">
        <f aca="false">E1806*Staffing!$L$36/12*(1+Assumptions!$E$10)^INT((C1806-1)/12)*1</f>
        <v>0</v>
      </c>
      <c r="G1806" s="10" t="n">
        <f aca="false">F1806*Staffing!$N$36</f>
        <v>0</v>
      </c>
      <c r="H1806" s="10" t="n">
        <f aca="false">F1806+G1806</f>
        <v>0</v>
      </c>
      <c r="I1806" s="10" t="n">
        <f aca="false">0</f>
        <v>0</v>
      </c>
      <c r="J1806" s="10" t="n">
        <f aca="false">MAX(0,E1806-0)*Staffing!$O$36</f>
        <v>0</v>
      </c>
      <c r="K1806" s="10" t="n">
        <f aca="false">MAX(0,E1806-0)*Staffing!$P$36</f>
        <v>0</v>
      </c>
      <c r="L1806" s="23" t="n">
        <f aca="false">ROUNDUP(E1806,0)</f>
        <v>0</v>
      </c>
    </row>
    <row r="1807" customFormat="false" ht="15" hidden="false" customHeight="false" outlineLevel="0" collapsed="false">
      <c r="A1807" s="6" t="s">
        <v>73</v>
      </c>
      <c r="B1807" s="6" t="s">
        <v>336</v>
      </c>
      <c r="C1807" s="6" t="n">
        <v>2</v>
      </c>
      <c r="D1807" s="25" t="n">
        <f aca="false">EDATE('Start Here'!$B$6,C1807-1)</f>
        <v>46357</v>
      </c>
      <c r="E1807" s="23" t="n">
        <f aca="false">IF(AND(C1807&gt;=Staffing!$F$36,C1807&lt;=Staffing!$G$36,1=1),IF(C1807&lt;=6,Staffing!$H$36,IF(C1807&lt;=15,Staffing!$I$36,IF(C1807&lt;=30,Staffing!$J$36,Staffing!$K$36))),0)</f>
        <v>0</v>
      </c>
      <c r="F1807" s="10" t="n">
        <f aca="false">E1807*Staffing!$L$36/12*(1+Assumptions!$E$10)^INT((C1807-1)/12)*1</f>
        <v>0</v>
      </c>
      <c r="G1807" s="10" t="n">
        <f aca="false">F1807*Staffing!$N$36</f>
        <v>0</v>
      </c>
      <c r="H1807" s="10" t="n">
        <f aca="false">F1807+G1807</f>
        <v>0</v>
      </c>
      <c r="I1807" s="10" t="n">
        <f aca="false">0</f>
        <v>0</v>
      </c>
      <c r="J1807" s="10" t="n">
        <f aca="false">MAX(0,E1807-E1806)*Staffing!$O$36</f>
        <v>0</v>
      </c>
      <c r="K1807" s="10" t="n">
        <f aca="false">MAX(0,E1807-E1806)*Staffing!$P$36</f>
        <v>0</v>
      </c>
      <c r="L1807" s="23" t="n">
        <f aca="false">ROUNDUP(E1807,0)</f>
        <v>0</v>
      </c>
    </row>
    <row r="1808" customFormat="false" ht="15" hidden="false" customHeight="false" outlineLevel="0" collapsed="false">
      <c r="A1808" s="6" t="s">
        <v>73</v>
      </c>
      <c r="B1808" s="6" t="s">
        <v>336</v>
      </c>
      <c r="C1808" s="6" t="n">
        <v>3</v>
      </c>
      <c r="D1808" s="25" t="n">
        <f aca="false">EDATE('Start Here'!$B$6,C1808-1)</f>
        <v>46388</v>
      </c>
      <c r="E1808" s="11" t="n">
        <f aca="false">IF(AND(C1808&gt;=Staffing!$F$36,C1808&lt;=Staffing!$G$36,1=1),IF(C1808&lt;=6,Staffing!$H$36,IF(C1808&lt;=15,Staffing!$I$36,IF(C1808&lt;=30,Staffing!$J$36,Staffing!$K$36))),0)</f>
        <v>0.5</v>
      </c>
      <c r="F1808" s="10" t="n">
        <f aca="false">E1808*Staffing!$L$36/12*(1+Assumptions!$E$10)^INT((C1808-1)/12)*1</f>
        <v>4583.33333333333</v>
      </c>
      <c r="G1808" s="10" t="n">
        <f aca="false">F1808*Staffing!$N$36</f>
        <v>1833.33333333333</v>
      </c>
      <c r="H1808" s="10" t="n">
        <f aca="false">F1808+G1808</f>
        <v>6416.66666666667</v>
      </c>
      <c r="I1808" s="10" t="n">
        <f aca="false">0</f>
        <v>0</v>
      </c>
      <c r="J1808" s="10" t="n">
        <f aca="false">MAX(0,E1808-E1807)*Staffing!$O$36</f>
        <v>6000</v>
      </c>
      <c r="K1808" s="10" t="n">
        <f aca="false">MAX(0,E1808-E1807)*Staffing!$P$36</f>
        <v>1750</v>
      </c>
      <c r="L1808" s="23" t="n">
        <f aca="false">ROUNDUP(E1808,0)</f>
        <v>1</v>
      </c>
    </row>
    <row r="1809" customFormat="false" ht="15" hidden="false" customHeight="false" outlineLevel="0" collapsed="false">
      <c r="A1809" s="6" t="s">
        <v>73</v>
      </c>
      <c r="B1809" s="6" t="s">
        <v>336</v>
      </c>
      <c r="C1809" s="6" t="n">
        <v>4</v>
      </c>
      <c r="D1809" s="25" t="n">
        <f aca="false">EDATE('Start Here'!$B$6,C1809-1)</f>
        <v>46419</v>
      </c>
      <c r="E1809" s="11" t="n">
        <f aca="false">IF(AND(C1809&gt;=Staffing!$F$36,C1809&lt;=Staffing!$G$36,1=1),IF(C1809&lt;=6,Staffing!$H$36,IF(C1809&lt;=15,Staffing!$I$36,IF(C1809&lt;=30,Staffing!$J$36,Staffing!$K$36))),0)</f>
        <v>0.5</v>
      </c>
      <c r="F1809" s="10" t="n">
        <f aca="false">E1809*Staffing!$L$36/12*(1+Assumptions!$E$10)^INT((C1809-1)/12)*1</f>
        <v>4583.33333333333</v>
      </c>
      <c r="G1809" s="10" t="n">
        <f aca="false">F1809*Staffing!$N$36</f>
        <v>1833.33333333333</v>
      </c>
      <c r="H1809" s="10" t="n">
        <f aca="false">F1809+G1809</f>
        <v>6416.66666666667</v>
      </c>
      <c r="I1809" s="10" t="n">
        <f aca="false">0</f>
        <v>0</v>
      </c>
      <c r="J1809" s="10" t="n">
        <f aca="false">MAX(0,E1809-E1808)*Staffing!$O$36</f>
        <v>0</v>
      </c>
      <c r="K1809" s="10" t="n">
        <f aca="false">MAX(0,E1809-E1808)*Staffing!$P$36</f>
        <v>0</v>
      </c>
      <c r="L1809" s="23" t="n">
        <f aca="false">ROUNDUP(E1809,0)</f>
        <v>1</v>
      </c>
    </row>
    <row r="1810" customFormat="false" ht="15" hidden="false" customHeight="false" outlineLevel="0" collapsed="false">
      <c r="A1810" s="6" t="s">
        <v>73</v>
      </c>
      <c r="B1810" s="6" t="s">
        <v>336</v>
      </c>
      <c r="C1810" s="6" t="n">
        <v>5</v>
      </c>
      <c r="D1810" s="25" t="n">
        <f aca="false">EDATE('Start Here'!$B$6,C1810-1)</f>
        <v>46447</v>
      </c>
      <c r="E1810" s="11" t="n">
        <f aca="false">IF(AND(C1810&gt;=Staffing!$F$36,C1810&lt;=Staffing!$G$36,1=1),IF(C1810&lt;=6,Staffing!$H$36,IF(C1810&lt;=15,Staffing!$I$36,IF(C1810&lt;=30,Staffing!$J$36,Staffing!$K$36))),0)</f>
        <v>0.5</v>
      </c>
      <c r="F1810" s="10" t="n">
        <f aca="false">E1810*Staffing!$L$36/12*(1+Assumptions!$E$10)^INT((C1810-1)/12)*1</f>
        <v>4583.33333333333</v>
      </c>
      <c r="G1810" s="10" t="n">
        <f aca="false">F1810*Staffing!$N$36</f>
        <v>1833.33333333333</v>
      </c>
      <c r="H1810" s="10" t="n">
        <f aca="false">F1810+G1810</f>
        <v>6416.66666666667</v>
      </c>
      <c r="I1810" s="10" t="n">
        <f aca="false">0</f>
        <v>0</v>
      </c>
      <c r="J1810" s="10" t="n">
        <f aca="false">MAX(0,E1810-E1809)*Staffing!$O$36</f>
        <v>0</v>
      </c>
      <c r="K1810" s="10" t="n">
        <f aca="false">MAX(0,E1810-E1809)*Staffing!$P$36</f>
        <v>0</v>
      </c>
      <c r="L1810" s="23" t="n">
        <f aca="false">ROUNDUP(E1810,0)</f>
        <v>1</v>
      </c>
    </row>
    <row r="1811" customFormat="false" ht="15" hidden="false" customHeight="false" outlineLevel="0" collapsed="false">
      <c r="A1811" s="6" t="s">
        <v>73</v>
      </c>
      <c r="B1811" s="6" t="s">
        <v>336</v>
      </c>
      <c r="C1811" s="6" t="n">
        <v>6</v>
      </c>
      <c r="D1811" s="25" t="n">
        <f aca="false">EDATE('Start Here'!$B$6,C1811-1)</f>
        <v>46478</v>
      </c>
      <c r="E1811" s="11" t="n">
        <f aca="false">IF(AND(C1811&gt;=Staffing!$F$36,C1811&lt;=Staffing!$G$36,1=1),IF(C1811&lt;=6,Staffing!$H$36,IF(C1811&lt;=15,Staffing!$I$36,IF(C1811&lt;=30,Staffing!$J$36,Staffing!$K$36))),0)</f>
        <v>0.5</v>
      </c>
      <c r="F1811" s="10" t="n">
        <f aca="false">E1811*Staffing!$L$36/12*(1+Assumptions!$E$10)^INT((C1811-1)/12)*1</f>
        <v>4583.33333333333</v>
      </c>
      <c r="G1811" s="10" t="n">
        <f aca="false">F1811*Staffing!$N$36</f>
        <v>1833.33333333333</v>
      </c>
      <c r="H1811" s="10" t="n">
        <f aca="false">F1811+G1811</f>
        <v>6416.66666666667</v>
      </c>
      <c r="I1811" s="10" t="n">
        <f aca="false">0</f>
        <v>0</v>
      </c>
      <c r="J1811" s="10" t="n">
        <f aca="false">MAX(0,E1811-E1810)*Staffing!$O$36</f>
        <v>0</v>
      </c>
      <c r="K1811" s="10" t="n">
        <f aca="false">MAX(0,E1811-E1810)*Staffing!$P$36</f>
        <v>0</v>
      </c>
      <c r="L1811" s="23" t="n">
        <f aca="false">ROUNDUP(E1811,0)</f>
        <v>1</v>
      </c>
    </row>
    <row r="1812" customFormat="false" ht="15" hidden="false" customHeight="false" outlineLevel="0" collapsed="false">
      <c r="A1812" s="6" t="s">
        <v>73</v>
      </c>
      <c r="B1812" s="6" t="s">
        <v>336</v>
      </c>
      <c r="C1812" s="6" t="n">
        <v>7</v>
      </c>
      <c r="D1812" s="25" t="n">
        <f aca="false">EDATE('Start Here'!$B$6,C1812-1)</f>
        <v>46508</v>
      </c>
      <c r="E1812" s="11" t="n">
        <f aca="false">IF(AND(C1812&gt;=Staffing!$F$36,C1812&lt;=Staffing!$G$36,1=1),IF(C1812&lt;=6,Staffing!$H$36,IF(C1812&lt;=15,Staffing!$I$36,IF(C1812&lt;=30,Staffing!$J$36,Staffing!$K$36))),0)</f>
        <v>1</v>
      </c>
      <c r="F1812" s="10" t="n">
        <f aca="false">E1812*Staffing!$L$36/12*(1+Assumptions!$E$10)^INT((C1812-1)/12)*1</f>
        <v>9166.66666666667</v>
      </c>
      <c r="G1812" s="10" t="n">
        <f aca="false">F1812*Staffing!$N$36</f>
        <v>3666.66666666667</v>
      </c>
      <c r="H1812" s="10" t="n">
        <f aca="false">F1812+G1812</f>
        <v>12833.3333333333</v>
      </c>
      <c r="I1812" s="10" t="n">
        <f aca="false">0</f>
        <v>0</v>
      </c>
      <c r="J1812" s="10" t="n">
        <f aca="false">MAX(0,E1812-E1811)*Staffing!$O$36</f>
        <v>6000</v>
      </c>
      <c r="K1812" s="10" t="n">
        <f aca="false">MAX(0,E1812-E1811)*Staffing!$P$36</f>
        <v>1750</v>
      </c>
      <c r="L1812" s="23" t="n">
        <f aca="false">ROUNDUP(E1812,0)</f>
        <v>1</v>
      </c>
    </row>
    <row r="1813" customFormat="false" ht="15" hidden="false" customHeight="false" outlineLevel="0" collapsed="false">
      <c r="A1813" s="6" t="s">
        <v>73</v>
      </c>
      <c r="B1813" s="6" t="s">
        <v>336</v>
      </c>
      <c r="C1813" s="6" t="n">
        <v>8</v>
      </c>
      <c r="D1813" s="25" t="n">
        <f aca="false">EDATE('Start Here'!$B$6,C1813-1)</f>
        <v>46539</v>
      </c>
      <c r="E1813" s="11" t="n">
        <f aca="false">IF(AND(C1813&gt;=Staffing!$F$36,C1813&lt;=Staffing!$G$36,1=1),IF(C1813&lt;=6,Staffing!$H$36,IF(C1813&lt;=15,Staffing!$I$36,IF(C1813&lt;=30,Staffing!$J$36,Staffing!$K$36))),0)</f>
        <v>1</v>
      </c>
      <c r="F1813" s="10" t="n">
        <f aca="false">E1813*Staffing!$L$36/12*(1+Assumptions!$E$10)^INT((C1813-1)/12)*1</f>
        <v>9166.66666666667</v>
      </c>
      <c r="G1813" s="10" t="n">
        <f aca="false">F1813*Staffing!$N$36</f>
        <v>3666.66666666667</v>
      </c>
      <c r="H1813" s="10" t="n">
        <f aca="false">F1813+G1813</f>
        <v>12833.3333333333</v>
      </c>
      <c r="I1813" s="10" t="n">
        <f aca="false">0</f>
        <v>0</v>
      </c>
      <c r="J1813" s="10" t="n">
        <f aca="false">MAX(0,E1813-E1812)*Staffing!$O$36</f>
        <v>0</v>
      </c>
      <c r="K1813" s="10" t="n">
        <f aca="false">MAX(0,E1813-E1812)*Staffing!$P$36</f>
        <v>0</v>
      </c>
      <c r="L1813" s="23" t="n">
        <f aca="false">ROUNDUP(E1813,0)</f>
        <v>1</v>
      </c>
    </row>
    <row r="1814" customFormat="false" ht="15" hidden="false" customHeight="false" outlineLevel="0" collapsed="false">
      <c r="A1814" s="6" t="s">
        <v>73</v>
      </c>
      <c r="B1814" s="6" t="s">
        <v>336</v>
      </c>
      <c r="C1814" s="6" t="n">
        <v>9</v>
      </c>
      <c r="D1814" s="25" t="n">
        <f aca="false">EDATE('Start Here'!$B$6,C1814-1)</f>
        <v>46569</v>
      </c>
      <c r="E1814" s="11" t="n">
        <f aca="false">IF(AND(C1814&gt;=Staffing!$F$36,C1814&lt;=Staffing!$G$36,1=1),IF(C1814&lt;=6,Staffing!$H$36,IF(C1814&lt;=15,Staffing!$I$36,IF(C1814&lt;=30,Staffing!$J$36,Staffing!$K$36))),0)</f>
        <v>1</v>
      </c>
      <c r="F1814" s="10" t="n">
        <f aca="false">E1814*Staffing!$L$36/12*(1+Assumptions!$E$10)^INT((C1814-1)/12)*1</f>
        <v>9166.66666666667</v>
      </c>
      <c r="G1814" s="10" t="n">
        <f aca="false">F1814*Staffing!$N$36</f>
        <v>3666.66666666667</v>
      </c>
      <c r="H1814" s="10" t="n">
        <f aca="false">F1814+G1814</f>
        <v>12833.3333333333</v>
      </c>
      <c r="I1814" s="10" t="n">
        <f aca="false">0</f>
        <v>0</v>
      </c>
      <c r="J1814" s="10" t="n">
        <f aca="false">MAX(0,E1814-E1813)*Staffing!$O$36</f>
        <v>0</v>
      </c>
      <c r="K1814" s="10" t="n">
        <f aca="false">MAX(0,E1814-E1813)*Staffing!$P$36</f>
        <v>0</v>
      </c>
      <c r="L1814" s="23" t="n">
        <f aca="false">ROUNDUP(E1814,0)</f>
        <v>1</v>
      </c>
    </row>
    <row r="1815" customFormat="false" ht="15" hidden="false" customHeight="false" outlineLevel="0" collapsed="false">
      <c r="A1815" s="6" t="s">
        <v>73</v>
      </c>
      <c r="B1815" s="6" t="s">
        <v>336</v>
      </c>
      <c r="C1815" s="6" t="n">
        <v>10</v>
      </c>
      <c r="D1815" s="25" t="n">
        <f aca="false">EDATE('Start Here'!$B$6,C1815-1)</f>
        <v>46600</v>
      </c>
      <c r="E1815" s="11" t="n">
        <f aca="false">IF(AND(C1815&gt;=Staffing!$F$36,C1815&lt;=Staffing!$G$36,1=1),IF(C1815&lt;=6,Staffing!$H$36,IF(C1815&lt;=15,Staffing!$I$36,IF(C1815&lt;=30,Staffing!$J$36,Staffing!$K$36))),0)</f>
        <v>1</v>
      </c>
      <c r="F1815" s="10" t="n">
        <f aca="false">E1815*Staffing!$L$36/12*(1+Assumptions!$E$10)^INT((C1815-1)/12)*1</f>
        <v>9166.66666666667</v>
      </c>
      <c r="G1815" s="10" t="n">
        <f aca="false">F1815*Staffing!$N$36</f>
        <v>3666.66666666667</v>
      </c>
      <c r="H1815" s="10" t="n">
        <f aca="false">F1815+G1815</f>
        <v>12833.3333333333</v>
      </c>
      <c r="I1815" s="10" t="n">
        <f aca="false">0</f>
        <v>0</v>
      </c>
      <c r="J1815" s="10" t="n">
        <f aca="false">MAX(0,E1815-E1814)*Staffing!$O$36</f>
        <v>0</v>
      </c>
      <c r="K1815" s="10" t="n">
        <f aca="false">MAX(0,E1815-E1814)*Staffing!$P$36</f>
        <v>0</v>
      </c>
      <c r="L1815" s="23" t="n">
        <f aca="false">ROUNDUP(E1815,0)</f>
        <v>1</v>
      </c>
    </row>
    <row r="1816" customFormat="false" ht="15" hidden="false" customHeight="false" outlineLevel="0" collapsed="false">
      <c r="A1816" s="6" t="s">
        <v>73</v>
      </c>
      <c r="B1816" s="6" t="s">
        <v>336</v>
      </c>
      <c r="C1816" s="6" t="n">
        <v>11</v>
      </c>
      <c r="D1816" s="25" t="n">
        <f aca="false">EDATE('Start Here'!$B$6,C1816-1)</f>
        <v>46631</v>
      </c>
      <c r="E1816" s="11" t="n">
        <f aca="false">IF(AND(C1816&gt;=Staffing!$F$36,C1816&lt;=Staffing!$G$36,1=1),IF(C1816&lt;=6,Staffing!$H$36,IF(C1816&lt;=15,Staffing!$I$36,IF(C1816&lt;=30,Staffing!$J$36,Staffing!$K$36))),0)</f>
        <v>1</v>
      </c>
      <c r="F1816" s="10" t="n">
        <f aca="false">E1816*Staffing!$L$36/12*(1+Assumptions!$E$10)^INT((C1816-1)/12)*1</f>
        <v>9166.66666666667</v>
      </c>
      <c r="G1816" s="10" t="n">
        <f aca="false">F1816*Staffing!$N$36</f>
        <v>3666.66666666667</v>
      </c>
      <c r="H1816" s="10" t="n">
        <f aca="false">F1816+G1816</f>
        <v>12833.3333333333</v>
      </c>
      <c r="I1816" s="10" t="n">
        <f aca="false">0</f>
        <v>0</v>
      </c>
      <c r="J1816" s="10" t="n">
        <f aca="false">MAX(0,E1816-E1815)*Staffing!$O$36</f>
        <v>0</v>
      </c>
      <c r="K1816" s="10" t="n">
        <f aca="false">MAX(0,E1816-E1815)*Staffing!$P$36</f>
        <v>0</v>
      </c>
      <c r="L1816" s="23" t="n">
        <f aca="false">ROUNDUP(E1816,0)</f>
        <v>1</v>
      </c>
    </row>
    <row r="1817" customFormat="false" ht="15" hidden="false" customHeight="false" outlineLevel="0" collapsed="false">
      <c r="A1817" s="6" t="s">
        <v>73</v>
      </c>
      <c r="B1817" s="6" t="s">
        <v>336</v>
      </c>
      <c r="C1817" s="6" t="n">
        <v>12</v>
      </c>
      <c r="D1817" s="25" t="n">
        <f aca="false">EDATE('Start Here'!$B$6,C1817-1)</f>
        <v>46661</v>
      </c>
      <c r="E1817" s="11" t="n">
        <f aca="false">IF(AND(C1817&gt;=Staffing!$F$36,C1817&lt;=Staffing!$G$36,1=1),IF(C1817&lt;=6,Staffing!$H$36,IF(C1817&lt;=15,Staffing!$I$36,IF(C1817&lt;=30,Staffing!$J$36,Staffing!$K$36))),0)</f>
        <v>1</v>
      </c>
      <c r="F1817" s="10" t="n">
        <f aca="false">E1817*Staffing!$L$36/12*(1+Assumptions!$E$10)^INT((C1817-1)/12)*1</f>
        <v>9166.66666666667</v>
      </c>
      <c r="G1817" s="10" t="n">
        <f aca="false">F1817*Staffing!$N$36</f>
        <v>3666.66666666667</v>
      </c>
      <c r="H1817" s="10" t="n">
        <f aca="false">F1817+G1817</f>
        <v>12833.3333333333</v>
      </c>
      <c r="I1817" s="10" t="n">
        <f aca="false">0</f>
        <v>0</v>
      </c>
      <c r="J1817" s="10" t="n">
        <f aca="false">MAX(0,E1817-E1816)*Staffing!$O$36</f>
        <v>0</v>
      </c>
      <c r="K1817" s="10" t="n">
        <f aca="false">MAX(0,E1817-E1816)*Staffing!$P$36</f>
        <v>0</v>
      </c>
      <c r="L1817" s="23" t="n">
        <f aca="false">ROUNDUP(E1817,0)</f>
        <v>1</v>
      </c>
    </row>
    <row r="1818" customFormat="false" ht="15" hidden="false" customHeight="false" outlineLevel="0" collapsed="false">
      <c r="A1818" s="6" t="s">
        <v>73</v>
      </c>
      <c r="B1818" s="6" t="s">
        <v>336</v>
      </c>
      <c r="C1818" s="6" t="n">
        <v>13</v>
      </c>
      <c r="D1818" s="25" t="n">
        <f aca="false">EDATE('Start Here'!$B$6,C1818-1)</f>
        <v>46692</v>
      </c>
      <c r="E1818" s="11" t="n">
        <f aca="false">IF(AND(C1818&gt;=Staffing!$F$36,C1818&lt;=Staffing!$G$36,1=1),IF(C1818&lt;=6,Staffing!$H$36,IF(C1818&lt;=15,Staffing!$I$36,IF(C1818&lt;=30,Staffing!$J$36,Staffing!$K$36))),0)</f>
        <v>1</v>
      </c>
      <c r="F1818" s="10" t="n">
        <f aca="false">E1818*Staffing!$L$36/12*(1+Assumptions!$E$10)^INT((C1818-1)/12)*1</f>
        <v>9625</v>
      </c>
      <c r="G1818" s="10" t="n">
        <f aca="false">F1818*Staffing!$N$36</f>
        <v>3850</v>
      </c>
      <c r="H1818" s="10" t="n">
        <f aca="false">F1818+G1818</f>
        <v>13475</v>
      </c>
      <c r="I1818" s="10" t="n">
        <f aca="false">0</f>
        <v>0</v>
      </c>
      <c r="J1818" s="10" t="n">
        <f aca="false">MAX(0,E1818-E1817)*Staffing!$O$36</f>
        <v>0</v>
      </c>
      <c r="K1818" s="10" t="n">
        <f aca="false">MAX(0,E1818-E1817)*Staffing!$P$36</f>
        <v>0</v>
      </c>
      <c r="L1818" s="23" t="n">
        <f aca="false">ROUNDUP(E1818,0)</f>
        <v>1</v>
      </c>
    </row>
    <row r="1819" customFormat="false" ht="15" hidden="false" customHeight="false" outlineLevel="0" collapsed="false">
      <c r="A1819" s="6" t="s">
        <v>73</v>
      </c>
      <c r="B1819" s="6" t="s">
        <v>336</v>
      </c>
      <c r="C1819" s="6" t="n">
        <v>14</v>
      </c>
      <c r="D1819" s="25" t="n">
        <f aca="false">EDATE('Start Here'!$B$6,C1819-1)</f>
        <v>46722</v>
      </c>
      <c r="E1819" s="11" t="n">
        <f aca="false">IF(AND(C1819&gt;=Staffing!$F$36,C1819&lt;=Staffing!$G$36,1=1),IF(C1819&lt;=6,Staffing!$H$36,IF(C1819&lt;=15,Staffing!$I$36,IF(C1819&lt;=30,Staffing!$J$36,Staffing!$K$36))),0)</f>
        <v>1</v>
      </c>
      <c r="F1819" s="10" t="n">
        <f aca="false">E1819*Staffing!$L$36/12*(1+Assumptions!$E$10)^INT((C1819-1)/12)*1</f>
        <v>9625</v>
      </c>
      <c r="G1819" s="10" t="n">
        <f aca="false">F1819*Staffing!$N$36</f>
        <v>3850</v>
      </c>
      <c r="H1819" s="10" t="n">
        <f aca="false">F1819+G1819</f>
        <v>13475</v>
      </c>
      <c r="I1819" s="10" t="n">
        <f aca="false">0</f>
        <v>0</v>
      </c>
      <c r="J1819" s="10" t="n">
        <f aca="false">MAX(0,E1819-E1818)*Staffing!$O$36</f>
        <v>0</v>
      </c>
      <c r="K1819" s="10" t="n">
        <f aca="false">MAX(0,E1819-E1818)*Staffing!$P$36</f>
        <v>0</v>
      </c>
      <c r="L1819" s="23" t="n">
        <f aca="false">ROUNDUP(E1819,0)</f>
        <v>1</v>
      </c>
    </row>
    <row r="1820" customFormat="false" ht="15" hidden="false" customHeight="false" outlineLevel="0" collapsed="false">
      <c r="A1820" s="6" t="s">
        <v>73</v>
      </c>
      <c r="B1820" s="6" t="s">
        <v>336</v>
      </c>
      <c r="C1820" s="6" t="n">
        <v>15</v>
      </c>
      <c r="D1820" s="25" t="n">
        <f aca="false">EDATE('Start Here'!$B$6,C1820-1)</f>
        <v>46753</v>
      </c>
      <c r="E1820" s="11" t="n">
        <f aca="false">IF(AND(C1820&gt;=Staffing!$F$36,C1820&lt;=Staffing!$G$36,1=1),IF(C1820&lt;=6,Staffing!$H$36,IF(C1820&lt;=15,Staffing!$I$36,IF(C1820&lt;=30,Staffing!$J$36,Staffing!$K$36))),0)</f>
        <v>1</v>
      </c>
      <c r="F1820" s="10" t="n">
        <f aca="false">E1820*Staffing!$L$36/12*(1+Assumptions!$E$10)^INT((C1820-1)/12)*1</f>
        <v>9625</v>
      </c>
      <c r="G1820" s="10" t="n">
        <f aca="false">F1820*Staffing!$N$36</f>
        <v>3850</v>
      </c>
      <c r="H1820" s="10" t="n">
        <f aca="false">F1820+G1820</f>
        <v>13475</v>
      </c>
      <c r="I1820" s="10" t="n">
        <f aca="false">0</f>
        <v>0</v>
      </c>
      <c r="J1820" s="10" t="n">
        <f aca="false">MAX(0,E1820-E1819)*Staffing!$O$36</f>
        <v>0</v>
      </c>
      <c r="K1820" s="10" t="n">
        <f aca="false">MAX(0,E1820-E1819)*Staffing!$P$36</f>
        <v>0</v>
      </c>
      <c r="L1820" s="23" t="n">
        <f aca="false">ROUNDUP(E1820,0)</f>
        <v>1</v>
      </c>
    </row>
    <row r="1821" customFormat="false" ht="15" hidden="false" customHeight="false" outlineLevel="0" collapsed="false">
      <c r="A1821" s="6" t="s">
        <v>73</v>
      </c>
      <c r="B1821" s="6" t="s">
        <v>336</v>
      </c>
      <c r="C1821" s="6" t="n">
        <v>16</v>
      </c>
      <c r="D1821" s="25" t="n">
        <f aca="false">EDATE('Start Here'!$B$6,C1821-1)</f>
        <v>46784</v>
      </c>
      <c r="E1821" s="11" t="n">
        <f aca="false">IF(AND(C1821&gt;=Staffing!$F$36,C1821&lt;=Staffing!$G$36,1=1),IF(C1821&lt;=6,Staffing!$H$36,IF(C1821&lt;=15,Staffing!$I$36,IF(C1821&lt;=30,Staffing!$J$36,Staffing!$K$36))),0)</f>
        <v>2</v>
      </c>
      <c r="F1821" s="10" t="n">
        <f aca="false">E1821*Staffing!$L$36/12*(1+Assumptions!$E$10)^INT((C1821-1)/12)*1</f>
        <v>19250</v>
      </c>
      <c r="G1821" s="10" t="n">
        <f aca="false">F1821*Staffing!$N$36</f>
        <v>7700</v>
      </c>
      <c r="H1821" s="10" t="n">
        <f aca="false">F1821+G1821</f>
        <v>26950</v>
      </c>
      <c r="I1821" s="10" t="n">
        <f aca="false">0</f>
        <v>0</v>
      </c>
      <c r="J1821" s="10" t="n">
        <f aca="false">MAX(0,E1821-E1820)*Staffing!$O$36</f>
        <v>12000</v>
      </c>
      <c r="K1821" s="10" t="n">
        <f aca="false">MAX(0,E1821-E1820)*Staffing!$P$36</f>
        <v>3500</v>
      </c>
      <c r="L1821" s="23" t="n">
        <f aca="false">ROUNDUP(E1821,0)</f>
        <v>2</v>
      </c>
    </row>
    <row r="1822" customFormat="false" ht="15" hidden="false" customHeight="false" outlineLevel="0" collapsed="false">
      <c r="A1822" s="6" t="s">
        <v>73</v>
      </c>
      <c r="B1822" s="6" t="s">
        <v>336</v>
      </c>
      <c r="C1822" s="6" t="n">
        <v>17</v>
      </c>
      <c r="D1822" s="25" t="n">
        <f aca="false">EDATE('Start Here'!$B$6,C1822-1)</f>
        <v>46813</v>
      </c>
      <c r="E1822" s="11" t="n">
        <f aca="false">IF(AND(C1822&gt;=Staffing!$F$36,C1822&lt;=Staffing!$G$36,1=1),IF(C1822&lt;=6,Staffing!$H$36,IF(C1822&lt;=15,Staffing!$I$36,IF(C1822&lt;=30,Staffing!$J$36,Staffing!$K$36))),0)</f>
        <v>2</v>
      </c>
      <c r="F1822" s="10" t="n">
        <f aca="false">E1822*Staffing!$L$36/12*(1+Assumptions!$E$10)^INT((C1822-1)/12)*1</f>
        <v>19250</v>
      </c>
      <c r="G1822" s="10" t="n">
        <f aca="false">F1822*Staffing!$N$36</f>
        <v>7700</v>
      </c>
      <c r="H1822" s="10" t="n">
        <f aca="false">F1822+G1822</f>
        <v>26950</v>
      </c>
      <c r="I1822" s="10" t="n">
        <f aca="false">0</f>
        <v>0</v>
      </c>
      <c r="J1822" s="10" t="n">
        <f aca="false">MAX(0,E1822-E1821)*Staffing!$O$36</f>
        <v>0</v>
      </c>
      <c r="K1822" s="10" t="n">
        <f aca="false">MAX(0,E1822-E1821)*Staffing!$P$36</f>
        <v>0</v>
      </c>
      <c r="L1822" s="23" t="n">
        <f aca="false">ROUNDUP(E1822,0)</f>
        <v>2</v>
      </c>
    </row>
    <row r="1823" customFormat="false" ht="15" hidden="false" customHeight="false" outlineLevel="0" collapsed="false">
      <c r="A1823" s="6" t="s">
        <v>73</v>
      </c>
      <c r="B1823" s="6" t="s">
        <v>336</v>
      </c>
      <c r="C1823" s="6" t="n">
        <v>18</v>
      </c>
      <c r="D1823" s="25" t="n">
        <f aca="false">EDATE('Start Here'!$B$6,C1823-1)</f>
        <v>46844</v>
      </c>
      <c r="E1823" s="11" t="n">
        <f aca="false">IF(AND(C1823&gt;=Staffing!$F$36,C1823&lt;=Staffing!$G$36,1=1),IF(C1823&lt;=6,Staffing!$H$36,IF(C1823&lt;=15,Staffing!$I$36,IF(C1823&lt;=30,Staffing!$J$36,Staffing!$K$36))),0)</f>
        <v>2</v>
      </c>
      <c r="F1823" s="10" t="n">
        <f aca="false">E1823*Staffing!$L$36/12*(1+Assumptions!$E$10)^INT((C1823-1)/12)*1</f>
        <v>19250</v>
      </c>
      <c r="G1823" s="10" t="n">
        <f aca="false">F1823*Staffing!$N$36</f>
        <v>7700</v>
      </c>
      <c r="H1823" s="10" t="n">
        <f aca="false">F1823+G1823</f>
        <v>26950</v>
      </c>
      <c r="I1823" s="10" t="n">
        <f aca="false">0</f>
        <v>0</v>
      </c>
      <c r="J1823" s="10" t="n">
        <f aca="false">MAX(0,E1823-E1822)*Staffing!$O$36</f>
        <v>0</v>
      </c>
      <c r="K1823" s="10" t="n">
        <f aca="false">MAX(0,E1823-E1822)*Staffing!$P$36</f>
        <v>0</v>
      </c>
      <c r="L1823" s="23" t="n">
        <f aca="false">ROUNDUP(E1823,0)</f>
        <v>2</v>
      </c>
    </row>
    <row r="1824" customFormat="false" ht="15" hidden="false" customHeight="false" outlineLevel="0" collapsed="false">
      <c r="A1824" s="6" t="s">
        <v>73</v>
      </c>
      <c r="B1824" s="6" t="s">
        <v>336</v>
      </c>
      <c r="C1824" s="6" t="n">
        <v>19</v>
      </c>
      <c r="D1824" s="25" t="n">
        <f aca="false">EDATE('Start Here'!$B$6,C1824-1)</f>
        <v>46874</v>
      </c>
      <c r="E1824" s="11" t="n">
        <f aca="false">IF(AND(C1824&gt;=Staffing!$F$36,C1824&lt;=Staffing!$G$36,1=1),IF(C1824&lt;=6,Staffing!$H$36,IF(C1824&lt;=15,Staffing!$I$36,IF(C1824&lt;=30,Staffing!$J$36,Staffing!$K$36))),0)</f>
        <v>2</v>
      </c>
      <c r="F1824" s="10" t="n">
        <f aca="false">E1824*Staffing!$L$36/12*(1+Assumptions!$E$10)^INT((C1824-1)/12)*1</f>
        <v>19250</v>
      </c>
      <c r="G1824" s="10" t="n">
        <f aca="false">F1824*Staffing!$N$36</f>
        <v>7700</v>
      </c>
      <c r="H1824" s="10" t="n">
        <f aca="false">F1824+G1824</f>
        <v>26950</v>
      </c>
      <c r="I1824" s="10" t="n">
        <f aca="false">0</f>
        <v>0</v>
      </c>
      <c r="J1824" s="10" t="n">
        <f aca="false">MAX(0,E1824-E1823)*Staffing!$O$36</f>
        <v>0</v>
      </c>
      <c r="K1824" s="10" t="n">
        <f aca="false">MAX(0,E1824-E1823)*Staffing!$P$36</f>
        <v>0</v>
      </c>
      <c r="L1824" s="23" t="n">
        <f aca="false">ROUNDUP(E1824,0)</f>
        <v>2</v>
      </c>
    </row>
    <row r="1825" customFormat="false" ht="15" hidden="false" customHeight="false" outlineLevel="0" collapsed="false">
      <c r="A1825" s="6" t="s">
        <v>73</v>
      </c>
      <c r="B1825" s="6" t="s">
        <v>336</v>
      </c>
      <c r="C1825" s="6" t="n">
        <v>20</v>
      </c>
      <c r="D1825" s="25" t="n">
        <f aca="false">EDATE('Start Here'!$B$6,C1825-1)</f>
        <v>46905</v>
      </c>
      <c r="E1825" s="11" t="n">
        <f aca="false">IF(AND(C1825&gt;=Staffing!$F$36,C1825&lt;=Staffing!$G$36,1=1),IF(C1825&lt;=6,Staffing!$H$36,IF(C1825&lt;=15,Staffing!$I$36,IF(C1825&lt;=30,Staffing!$J$36,Staffing!$K$36))),0)</f>
        <v>2</v>
      </c>
      <c r="F1825" s="10" t="n">
        <f aca="false">E1825*Staffing!$L$36/12*(1+Assumptions!$E$10)^INT((C1825-1)/12)*1</f>
        <v>19250</v>
      </c>
      <c r="G1825" s="10" t="n">
        <f aca="false">F1825*Staffing!$N$36</f>
        <v>7700</v>
      </c>
      <c r="H1825" s="10" t="n">
        <f aca="false">F1825+G1825</f>
        <v>26950</v>
      </c>
      <c r="I1825" s="10" t="n">
        <f aca="false">0</f>
        <v>0</v>
      </c>
      <c r="J1825" s="10" t="n">
        <f aca="false">MAX(0,E1825-E1824)*Staffing!$O$36</f>
        <v>0</v>
      </c>
      <c r="K1825" s="10" t="n">
        <f aca="false">MAX(0,E1825-E1824)*Staffing!$P$36</f>
        <v>0</v>
      </c>
      <c r="L1825" s="23" t="n">
        <f aca="false">ROUNDUP(E1825,0)</f>
        <v>2</v>
      </c>
    </row>
    <row r="1826" customFormat="false" ht="15" hidden="false" customHeight="false" outlineLevel="0" collapsed="false">
      <c r="A1826" s="6" t="s">
        <v>73</v>
      </c>
      <c r="B1826" s="6" t="s">
        <v>336</v>
      </c>
      <c r="C1826" s="6" t="n">
        <v>21</v>
      </c>
      <c r="D1826" s="25" t="n">
        <f aca="false">EDATE('Start Here'!$B$6,C1826-1)</f>
        <v>46935</v>
      </c>
      <c r="E1826" s="11" t="n">
        <f aca="false">IF(AND(C1826&gt;=Staffing!$F$36,C1826&lt;=Staffing!$G$36,1=1),IF(C1826&lt;=6,Staffing!$H$36,IF(C1826&lt;=15,Staffing!$I$36,IF(C1826&lt;=30,Staffing!$J$36,Staffing!$K$36))),0)</f>
        <v>2</v>
      </c>
      <c r="F1826" s="10" t="n">
        <f aca="false">E1826*Staffing!$L$36/12*(1+Assumptions!$E$10)^INT((C1826-1)/12)*1</f>
        <v>19250</v>
      </c>
      <c r="G1826" s="10" t="n">
        <f aca="false">F1826*Staffing!$N$36</f>
        <v>7700</v>
      </c>
      <c r="H1826" s="10" t="n">
        <f aca="false">F1826+G1826</f>
        <v>26950</v>
      </c>
      <c r="I1826" s="10" t="n">
        <f aca="false">0</f>
        <v>0</v>
      </c>
      <c r="J1826" s="10" t="n">
        <f aca="false">MAX(0,E1826-E1825)*Staffing!$O$36</f>
        <v>0</v>
      </c>
      <c r="K1826" s="10" t="n">
        <f aca="false">MAX(0,E1826-E1825)*Staffing!$P$36</f>
        <v>0</v>
      </c>
      <c r="L1826" s="23" t="n">
        <f aca="false">ROUNDUP(E1826,0)</f>
        <v>2</v>
      </c>
    </row>
    <row r="1827" customFormat="false" ht="15" hidden="false" customHeight="false" outlineLevel="0" collapsed="false">
      <c r="A1827" s="6" t="s">
        <v>73</v>
      </c>
      <c r="B1827" s="6" t="s">
        <v>336</v>
      </c>
      <c r="C1827" s="6" t="n">
        <v>22</v>
      </c>
      <c r="D1827" s="25" t="n">
        <f aca="false">EDATE('Start Here'!$B$6,C1827-1)</f>
        <v>46966</v>
      </c>
      <c r="E1827" s="11" t="n">
        <f aca="false">IF(AND(C1827&gt;=Staffing!$F$36,C1827&lt;=Staffing!$G$36,1=1),IF(C1827&lt;=6,Staffing!$H$36,IF(C1827&lt;=15,Staffing!$I$36,IF(C1827&lt;=30,Staffing!$J$36,Staffing!$K$36))),0)</f>
        <v>2</v>
      </c>
      <c r="F1827" s="10" t="n">
        <f aca="false">E1827*Staffing!$L$36/12*(1+Assumptions!$E$10)^INT((C1827-1)/12)*1</f>
        <v>19250</v>
      </c>
      <c r="G1827" s="10" t="n">
        <f aca="false">F1827*Staffing!$N$36</f>
        <v>7700</v>
      </c>
      <c r="H1827" s="10" t="n">
        <f aca="false">F1827+G1827</f>
        <v>26950</v>
      </c>
      <c r="I1827" s="10" t="n">
        <f aca="false">0</f>
        <v>0</v>
      </c>
      <c r="J1827" s="10" t="n">
        <f aca="false">MAX(0,E1827-E1826)*Staffing!$O$36</f>
        <v>0</v>
      </c>
      <c r="K1827" s="10" t="n">
        <f aca="false">MAX(0,E1827-E1826)*Staffing!$P$36</f>
        <v>0</v>
      </c>
      <c r="L1827" s="23" t="n">
        <f aca="false">ROUNDUP(E1827,0)</f>
        <v>2</v>
      </c>
    </row>
    <row r="1828" customFormat="false" ht="15" hidden="false" customHeight="false" outlineLevel="0" collapsed="false">
      <c r="A1828" s="6" t="s">
        <v>73</v>
      </c>
      <c r="B1828" s="6" t="s">
        <v>336</v>
      </c>
      <c r="C1828" s="6" t="n">
        <v>23</v>
      </c>
      <c r="D1828" s="25" t="n">
        <f aca="false">EDATE('Start Here'!$B$6,C1828-1)</f>
        <v>46997</v>
      </c>
      <c r="E1828" s="11" t="n">
        <f aca="false">IF(AND(C1828&gt;=Staffing!$F$36,C1828&lt;=Staffing!$G$36,1=1),IF(C1828&lt;=6,Staffing!$H$36,IF(C1828&lt;=15,Staffing!$I$36,IF(C1828&lt;=30,Staffing!$J$36,Staffing!$K$36))),0)</f>
        <v>2</v>
      </c>
      <c r="F1828" s="10" t="n">
        <f aca="false">E1828*Staffing!$L$36/12*(1+Assumptions!$E$10)^INT((C1828-1)/12)*1</f>
        <v>19250</v>
      </c>
      <c r="G1828" s="10" t="n">
        <f aca="false">F1828*Staffing!$N$36</f>
        <v>7700</v>
      </c>
      <c r="H1828" s="10" t="n">
        <f aca="false">F1828+G1828</f>
        <v>26950</v>
      </c>
      <c r="I1828" s="10" t="n">
        <f aca="false">0</f>
        <v>0</v>
      </c>
      <c r="J1828" s="10" t="n">
        <f aca="false">MAX(0,E1828-E1827)*Staffing!$O$36</f>
        <v>0</v>
      </c>
      <c r="K1828" s="10" t="n">
        <f aca="false">MAX(0,E1828-E1827)*Staffing!$P$36</f>
        <v>0</v>
      </c>
      <c r="L1828" s="23" t="n">
        <f aca="false">ROUNDUP(E1828,0)</f>
        <v>2</v>
      </c>
    </row>
    <row r="1829" customFormat="false" ht="15" hidden="false" customHeight="false" outlineLevel="0" collapsed="false">
      <c r="A1829" s="6" t="s">
        <v>73</v>
      </c>
      <c r="B1829" s="6" t="s">
        <v>336</v>
      </c>
      <c r="C1829" s="6" t="n">
        <v>24</v>
      </c>
      <c r="D1829" s="25" t="n">
        <f aca="false">EDATE('Start Here'!$B$6,C1829-1)</f>
        <v>47027</v>
      </c>
      <c r="E1829" s="11" t="n">
        <f aca="false">IF(AND(C1829&gt;=Staffing!$F$36,C1829&lt;=Staffing!$G$36,1=1),IF(C1829&lt;=6,Staffing!$H$36,IF(C1829&lt;=15,Staffing!$I$36,IF(C1829&lt;=30,Staffing!$J$36,Staffing!$K$36))),0)</f>
        <v>2</v>
      </c>
      <c r="F1829" s="10" t="n">
        <f aca="false">E1829*Staffing!$L$36/12*(1+Assumptions!$E$10)^INT((C1829-1)/12)*1</f>
        <v>19250</v>
      </c>
      <c r="G1829" s="10" t="n">
        <f aca="false">F1829*Staffing!$N$36</f>
        <v>7700</v>
      </c>
      <c r="H1829" s="10" t="n">
        <f aca="false">F1829+G1829</f>
        <v>26950</v>
      </c>
      <c r="I1829" s="10" t="n">
        <f aca="false">0</f>
        <v>0</v>
      </c>
      <c r="J1829" s="10" t="n">
        <f aca="false">MAX(0,E1829-E1828)*Staffing!$O$36</f>
        <v>0</v>
      </c>
      <c r="K1829" s="10" t="n">
        <f aca="false">MAX(0,E1829-E1828)*Staffing!$P$36</f>
        <v>0</v>
      </c>
      <c r="L1829" s="23" t="n">
        <f aca="false">ROUNDUP(E1829,0)</f>
        <v>2</v>
      </c>
    </row>
    <row r="1830" customFormat="false" ht="15" hidden="false" customHeight="false" outlineLevel="0" collapsed="false">
      <c r="A1830" s="6" t="s">
        <v>73</v>
      </c>
      <c r="B1830" s="6" t="s">
        <v>336</v>
      </c>
      <c r="C1830" s="6" t="n">
        <v>25</v>
      </c>
      <c r="D1830" s="25" t="n">
        <f aca="false">EDATE('Start Here'!$B$6,C1830-1)</f>
        <v>47058</v>
      </c>
      <c r="E1830" s="11" t="n">
        <f aca="false">IF(AND(C1830&gt;=Staffing!$F$36,C1830&lt;=Staffing!$G$36,1=1),IF(C1830&lt;=6,Staffing!$H$36,IF(C1830&lt;=15,Staffing!$I$36,IF(C1830&lt;=30,Staffing!$J$36,Staffing!$K$36))),0)</f>
        <v>2</v>
      </c>
      <c r="F1830" s="10" t="n">
        <f aca="false">E1830*Staffing!$L$36/12*(1+Assumptions!$E$10)^INT((C1830-1)/12)*1</f>
        <v>20212.5</v>
      </c>
      <c r="G1830" s="10" t="n">
        <f aca="false">F1830*Staffing!$N$36</f>
        <v>8085</v>
      </c>
      <c r="H1830" s="10" t="n">
        <f aca="false">F1830+G1830</f>
        <v>28297.5</v>
      </c>
      <c r="I1830" s="10" t="n">
        <f aca="false">0</f>
        <v>0</v>
      </c>
      <c r="J1830" s="10" t="n">
        <f aca="false">MAX(0,E1830-E1829)*Staffing!$O$36</f>
        <v>0</v>
      </c>
      <c r="K1830" s="10" t="n">
        <f aca="false">MAX(0,E1830-E1829)*Staffing!$P$36</f>
        <v>0</v>
      </c>
      <c r="L1830" s="23" t="n">
        <f aca="false">ROUNDUP(E1830,0)</f>
        <v>2</v>
      </c>
    </row>
    <row r="1831" customFormat="false" ht="15" hidden="false" customHeight="false" outlineLevel="0" collapsed="false">
      <c r="A1831" s="6" t="s">
        <v>73</v>
      </c>
      <c r="B1831" s="6" t="s">
        <v>336</v>
      </c>
      <c r="C1831" s="6" t="n">
        <v>26</v>
      </c>
      <c r="D1831" s="25" t="n">
        <f aca="false">EDATE('Start Here'!$B$6,C1831-1)</f>
        <v>47088</v>
      </c>
      <c r="E1831" s="11" t="n">
        <f aca="false">IF(AND(C1831&gt;=Staffing!$F$36,C1831&lt;=Staffing!$G$36,1=1),IF(C1831&lt;=6,Staffing!$H$36,IF(C1831&lt;=15,Staffing!$I$36,IF(C1831&lt;=30,Staffing!$J$36,Staffing!$K$36))),0)</f>
        <v>2</v>
      </c>
      <c r="F1831" s="10" t="n">
        <f aca="false">E1831*Staffing!$L$36/12*(1+Assumptions!$E$10)^INT((C1831-1)/12)*1</f>
        <v>20212.5</v>
      </c>
      <c r="G1831" s="10" t="n">
        <f aca="false">F1831*Staffing!$N$36</f>
        <v>8085</v>
      </c>
      <c r="H1831" s="10" t="n">
        <f aca="false">F1831+G1831</f>
        <v>28297.5</v>
      </c>
      <c r="I1831" s="10" t="n">
        <f aca="false">0</f>
        <v>0</v>
      </c>
      <c r="J1831" s="10" t="n">
        <f aca="false">MAX(0,E1831-E1830)*Staffing!$O$36</f>
        <v>0</v>
      </c>
      <c r="K1831" s="10" t="n">
        <f aca="false">MAX(0,E1831-E1830)*Staffing!$P$36</f>
        <v>0</v>
      </c>
      <c r="L1831" s="23" t="n">
        <f aca="false">ROUNDUP(E1831,0)</f>
        <v>2</v>
      </c>
    </row>
    <row r="1832" customFormat="false" ht="15" hidden="false" customHeight="false" outlineLevel="0" collapsed="false">
      <c r="A1832" s="6" t="s">
        <v>73</v>
      </c>
      <c r="B1832" s="6" t="s">
        <v>336</v>
      </c>
      <c r="C1832" s="6" t="n">
        <v>27</v>
      </c>
      <c r="D1832" s="25" t="n">
        <f aca="false">EDATE('Start Here'!$B$6,C1832-1)</f>
        <v>47119</v>
      </c>
      <c r="E1832" s="11" t="n">
        <f aca="false">IF(AND(C1832&gt;=Staffing!$F$36,C1832&lt;=Staffing!$G$36,1=1),IF(C1832&lt;=6,Staffing!$H$36,IF(C1832&lt;=15,Staffing!$I$36,IF(C1832&lt;=30,Staffing!$J$36,Staffing!$K$36))),0)</f>
        <v>2</v>
      </c>
      <c r="F1832" s="10" t="n">
        <f aca="false">E1832*Staffing!$L$36/12*(1+Assumptions!$E$10)^INT((C1832-1)/12)*1</f>
        <v>20212.5</v>
      </c>
      <c r="G1832" s="10" t="n">
        <f aca="false">F1832*Staffing!$N$36</f>
        <v>8085</v>
      </c>
      <c r="H1832" s="10" t="n">
        <f aca="false">F1832+G1832</f>
        <v>28297.5</v>
      </c>
      <c r="I1832" s="10" t="n">
        <f aca="false">0</f>
        <v>0</v>
      </c>
      <c r="J1832" s="10" t="n">
        <f aca="false">MAX(0,E1832-E1831)*Staffing!$O$36</f>
        <v>0</v>
      </c>
      <c r="K1832" s="10" t="n">
        <f aca="false">MAX(0,E1832-E1831)*Staffing!$P$36</f>
        <v>0</v>
      </c>
      <c r="L1832" s="23" t="n">
        <f aca="false">ROUNDUP(E1832,0)</f>
        <v>2</v>
      </c>
    </row>
    <row r="1833" customFormat="false" ht="15" hidden="false" customHeight="false" outlineLevel="0" collapsed="false">
      <c r="A1833" s="6" t="s">
        <v>73</v>
      </c>
      <c r="B1833" s="6" t="s">
        <v>336</v>
      </c>
      <c r="C1833" s="6" t="n">
        <v>28</v>
      </c>
      <c r="D1833" s="25" t="n">
        <f aca="false">EDATE('Start Here'!$B$6,C1833-1)</f>
        <v>47150</v>
      </c>
      <c r="E1833" s="11" t="n">
        <f aca="false">IF(AND(C1833&gt;=Staffing!$F$36,C1833&lt;=Staffing!$G$36,1=1),IF(C1833&lt;=6,Staffing!$H$36,IF(C1833&lt;=15,Staffing!$I$36,IF(C1833&lt;=30,Staffing!$J$36,Staffing!$K$36))),0)</f>
        <v>2</v>
      </c>
      <c r="F1833" s="10" t="n">
        <f aca="false">E1833*Staffing!$L$36/12*(1+Assumptions!$E$10)^INT((C1833-1)/12)*1</f>
        <v>20212.5</v>
      </c>
      <c r="G1833" s="10" t="n">
        <f aca="false">F1833*Staffing!$N$36</f>
        <v>8085</v>
      </c>
      <c r="H1833" s="10" t="n">
        <f aca="false">F1833+G1833</f>
        <v>28297.5</v>
      </c>
      <c r="I1833" s="10" t="n">
        <f aca="false">0</f>
        <v>0</v>
      </c>
      <c r="J1833" s="10" t="n">
        <f aca="false">MAX(0,E1833-E1832)*Staffing!$O$36</f>
        <v>0</v>
      </c>
      <c r="K1833" s="10" t="n">
        <f aca="false">MAX(0,E1833-E1832)*Staffing!$P$36</f>
        <v>0</v>
      </c>
      <c r="L1833" s="23" t="n">
        <f aca="false">ROUNDUP(E1833,0)</f>
        <v>2</v>
      </c>
    </row>
    <row r="1834" customFormat="false" ht="15" hidden="false" customHeight="false" outlineLevel="0" collapsed="false">
      <c r="A1834" s="6" t="s">
        <v>73</v>
      </c>
      <c r="B1834" s="6" t="s">
        <v>336</v>
      </c>
      <c r="C1834" s="6" t="n">
        <v>29</v>
      </c>
      <c r="D1834" s="25" t="n">
        <f aca="false">EDATE('Start Here'!$B$6,C1834-1)</f>
        <v>47178</v>
      </c>
      <c r="E1834" s="11" t="n">
        <f aca="false">IF(AND(C1834&gt;=Staffing!$F$36,C1834&lt;=Staffing!$G$36,1=1),IF(C1834&lt;=6,Staffing!$H$36,IF(C1834&lt;=15,Staffing!$I$36,IF(C1834&lt;=30,Staffing!$J$36,Staffing!$K$36))),0)</f>
        <v>2</v>
      </c>
      <c r="F1834" s="10" t="n">
        <f aca="false">E1834*Staffing!$L$36/12*(1+Assumptions!$E$10)^INT((C1834-1)/12)*1</f>
        <v>20212.5</v>
      </c>
      <c r="G1834" s="10" t="n">
        <f aca="false">F1834*Staffing!$N$36</f>
        <v>8085</v>
      </c>
      <c r="H1834" s="10" t="n">
        <f aca="false">F1834+G1834</f>
        <v>28297.5</v>
      </c>
      <c r="I1834" s="10" t="n">
        <f aca="false">0</f>
        <v>0</v>
      </c>
      <c r="J1834" s="10" t="n">
        <f aca="false">MAX(0,E1834-E1833)*Staffing!$O$36</f>
        <v>0</v>
      </c>
      <c r="K1834" s="10" t="n">
        <f aca="false">MAX(0,E1834-E1833)*Staffing!$P$36</f>
        <v>0</v>
      </c>
      <c r="L1834" s="23" t="n">
        <f aca="false">ROUNDUP(E1834,0)</f>
        <v>2</v>
      </c>
    </row>
    <row r="1835" customFormat="false" ht="15" hidden="false" customHeight="false" outlineLevel="0" collapsed="false">
      <c r="A1835" s="6" t="s">
        <v>73</v>
      </c>
      <c r="B1835" s="6" t="s">
        <v>336</v>
      </c>
      <c r="C1835" s="6" t="n">
        <v>30</v>
      </c>
      <c r="D1835" s="25" t="n">
        <f aca="false">EDATE('Start Here'!$B$6,C1835-1)</f>
        <v>47209</v>
      </c>
      <c r="E1835" s="11" t="n">
        <f aca="false">IF(AND(C1835&gt;=Staffing!$F$36,C1835&lt;=Staffing!$G$36,1=1),IF(C1835&lt;=6,Staffing!$H$36,IF(C1835&lt;=15,Staffing!$I$36,IF(C1835&lt;=30,Staffing!$J$36,Staffing!$K$36))),0)</f>
        <v>2</v>
      </c>
      <c r="F1835" s="10" t="n">
        <f aca="false">E1835*Staffing!$L$36/12*(1+Assumptions!$E$10)^INT((C1835-1)/12)*1</f>
        <v>20212.5</v>
      </c>
      <c r="G1835" s="10" t="n">
        <f aca="false">F1835*Staffing!$N$36</f>
        <v>8085</v>
      </c>
      <c r="H1835" s="10" t="n">
        <f aca="false">F1835+G1835</f>
        <v>28297.5</v>
      </c>
      <c r="I1835" s="10" t="n">
        <f aca="false">0</f>
        <v>0</v>
      </c>
      <c r="J1835" s="10" t="n">
        <f aca="false">MAX(0,E1835-E1834)*Staffing!$O$36</f>
        <v>0</v>
      </c>
      <c r="K1835" s="10" t="n">
        <f aca="false">MAX(0,E1835-E1834)*Staffing!$P$36</f>
        <v>0</v>
      </c>
      <c r="L1835" s="23" t="n">
        <f aca="false">ROUNDUP(E1835,0)</f>
        <v>2</v>
      </c>
    </row>
    <row r="1836" customFormat="false" ht="15" hidden="false" customHeight="false" outlineLevel="0" collapsed="false">
      <c r="A1836" s="6" t="s">
        <v>73</v>
      </c>
      <c r="B1836" s="6" t="s">
        <v>336</v>
      </c>
      <c r="C1836" s="6" t="n">
        <v>31</v>
      </c>
      <c r="D1836" s="25" t="n">
        <f aca="false">EDATE('Start Here'!$B$6,C1836-1)</f>
        <v>47239</v>
      </c>
      <c r="E1836" s="11" t="n">
        <f aca="false">IF(AND(C1836&gt;=Staffing!$F$36,C1836&lt;=Staffing!$G$36,1=1),IF(C1836&lt;=6,Staffing!$H$36,IF(C1836&lt;=15,Staffing!$I$36,IF(C1836&lt;=30,Staffing!$J$36,Staffing!$K$36))),0)</f>
        <v>3</v>
      </c>
      <c r="F1836" s="10" t="n">
        <f aca="false">E1836*Staffing!$L$36/12*(1+Assumptions!$E$10)^INT((C1836-1)/12)*1</f>
        <v>30318.75</v>
      </c>
      <c r="G1836" s="10" t="n">
        <f aca="false">F1836*Staffing!$N$36</f>
        <v>12127.5</v>
      </c>
      <c r="H1836" s="10" t="n">
        <f aca="false">F1836+G1836</f>
        <v>42446.25</v>
      </c>
      <c r="I1836" s="10" t="n">
        <f aca="false">0</f>
        <v>0</v>
      </c>
      <c r="J1836" s="10" t="n">
        <f aca="false">MAX(0,E1836-E1835)*Staffing!$O$36</f>
        <v>12000</v>
      </c>
      <c r="K1836" s="10" t="n">
        <f aca="false">MAX(0,E1836-E1835)*Staffing!$P$36</f>
        <v>3500</v>
      </c>
      <c r="L1836" s="23" t="n">
        <f aca="false">ROUNDUP(E1836,0)</f>
        <v>3</v>
      </c>
    </row>
    <row r="1837" customFormat="false" ht="15" hidden="false" customHeight="false" outlineLevel="0" collapsed="false">
      <c r="A1837" s="6" t="s">
        <v>73</v>
      </c>
      <c r="B1837" s="6" t="s">
        <v>336</v>
      </c>
      <c r="C1837" s="6" t="n">
        <v>32</v>
      </c>
      <c r="D1837" s="25" t="n">
        <f aca="false">EDATE('Start Here'!$B$6,C1837-1)</f>
        <v>47270</v>
      </c>
      <c r="E1837" s="11" t="n">
        <f aca="false">IF(AND(C1837&gt;=Staffing!$F$36,C1837&lt;=Staffing!$G$36,1=1),IF(C1837&lt;=6,Staffing!$H$36,IF(C1837&lt;=15,Staffing!$I$36,IF(C1837&lt;=30,Staffing!$J$36,Staffing!$K$36))),0)</f>
        <v>3</v>
      </c>
      <c r="F1837" s="10" t="n">
        <f aca="false">E1837*Staffing!$L$36/12*(1+Assumptions!$E$10)^INT((C1837-1)/12)*1</f>
        <v>30318.75</v>
      </c>
      <c r="G1837" s="10" t="n">
        <f aca="false">F1837*Staffing!$N$36</f>
        <v>12127.5</v>
      </c>
      <c r="H1837" s="10" t="n">
        <f aca="false">F1837+G1837</f>
        <v>42446.25</v>
      </c>
      <c r="I1837" s="10" t="n">
        <f aca="false">0</f>
        <v>0</v>
      </c>
      <c r="J1837" s="10" t="n">
        <f aca="false">MAX(0,E1837-E1836)*Staffing!$O$36</f>
        <v>0</v>
      </c>
      <c r="K1837" s="10" t="n">
        <f aca="false">MAX(0,E1837-E1836)*Staffing!$P$36</f>
        <v>0</v>
      </c>
      <c r="L1837" s="23" t="n">
        <f aca="false">ROUNDUP(E1837,0)</f>
        <v>3</v>
      </c>
    </row>
    <row r="1838" customFormat="false" ht="15" hidden="false" customHeight="false" outlineLevel="0" collapsed="false">
      <c r="A1838" s="6" t="s">
        <v>73</v>
      </c>
      <c r="B1838" s="6" t="s">
        <v>336</v>
      </c>
      <c r="C1838" s="6" t="n">
        <v>33</v>
      </c>
      <c r="D1838" s="25" t="n">
        <f aca="false">EDATE('Start Here'!$B$6,C1838-1)</f>
        <v>47300</v>
      </c>
      <c r="E1838" s="11" t="n">
        <f aca="false">IF(AND(C1838&gt;=Staffing!$F$36,C1838&lt;=Staffing!$G$36,1=1),IF(C1838&lt;=6,Staffing!$H$36,IF(C1838&lt;=15,Staffing!$I$36,IF(C1838&lt;=30,Staffing!$J$36,Staffing!$K$36))),0)</f>
        <v>3</v>
      </c>
      <c r="F1838" s="10" t="n">
        <f aca="false">E1838*Staffing!$L$36/12*(1+Assumptions!$E$10)^INT((C1838-1)/12)*1</f>
        <v>30318.75</v>
      </c>
      <c r="G1838" s="10" t="n">
        <f aca="false">F1838*Staffing!$N$36</f>
        <v>12127.5</v>
      </c>
      <c r="H1838" s="10" t="n">
        <f aca="false">F1838+G1838</f>
        <v>42446.25</v>
      </c>
      <c r="I1838" s="10" t="n">
        <f aca="false">0</f>
        <v>0</v>
      </c>
      <c r="J1838" s="10" t="n">
        <f aca="false">MAX(0,E1838-E1837)*Staffing!$O$36</f>
        <v>0</v>
      </c>
      <c r="K1838" s="10" t="n">
        <f aca="false">MAX(0,E1838-E1837)*Staffing!$P$36</f>
        <v>0</v>
      </c>
      <c r="L1838" s="23" t="n">
        <f aca="false">ROUNDUP(E1838,0)</f>
        <v>3</v>
      </c>
    </row>
    <row r="1839" customFormat="false" ht="15" hidden="false" customHeight="false" outlineLevel="0" collapsed="false">
      <c r="A1839" s="6" t="s">
        <v>73</v>
      </c>
      <c r="B1839" s="6" t="s">
        <v>336</v>
      </c>
      <c r="C1839" s="6" t="n">
        <v>34</v>
      </c>
      <c r="D1839" s="25" t="n">
        <f aca="false">EDATE('Start Here'!$B$6,C1839-1)</f>
        <v>47331</v>
      </c>
      <c r="E1839" s="11" t="n">
        <f aca="false">IF(AND(C1839&gt;=Staffing!$F$36,C1839&lt;=Staffing!$G$36,1=1),IF(C1839&lt;=6,Staffing!$H$36,IF(C1839&lt;=15,Staffing!$I$36,IF(C1839&lt;=30,Staffing!$J$36,Staffing!$K$36))),0)</f>
        <v>3</v>
      </c>
      <c r="F1839" s="10" t="n">
        <f aca="false">E1839*Staffing!$L$36/12*(1+Assumptions!$E$10)^INT((C1839-1)/12)*1</f>
        <v>30318.75</v>
      </c>
      <c r="G1839" s="10" t="n">
        <f aca="false">F1839*Staffing!$N$36</f>
        <v>12127.5</v>
      </c>
      <c r="H1839" s="10" t="n">
        <f aca="false">F1839+G1839</f>
        <v>42446.25</v>
      </c>
      <c r="I1839" s="10" t="n">
        <f aca="false">0</f>
        <v>0</v>
      </c>
      <c r="J1839" s="10" t="n">
        <f aca="false">MAX(0,E1839-E1838)*Staffing!$O$36</f>
        <v>0</v>
      </c>
      <c r="K1839" s="10" t="n">
        <f aca="false">MAX(0,E1839-E1838)*Staffing!$P$36</f>
        <v>0</v>
      </c>
      <c r="L1839" s="23" t="n">
        <f aca="false">ROUNDUP(E1839,0)</f>
        <v>3</v>
      </c>
    </row>
    <row r="1840" customFormat="false" ht="15" hidden="false" customHeight="false" outlineLevel="0" collapsed="false">
      <c r="A1840" s="6" t="s">
        <v>73</v>
      </c>
      <c r="B1840" s="6" t="s">
        <v>336</v>
      </c>
      <c r="C1840" s="6" t="n">
        <v>35</v>
      </c>
      <c r="D1840" s="25" t="n">
        <f aca="false">EDATE('Start Here'!$B$6,C1840-1)</f>
        <v>47362</v>
      </c>
      <c r="E1840" s="11" t="n">
        <f aca="false">IF(AND(C1840&gt;=Staffing!$F$36,C1840&lt;=Staffing!$G$36,1=1),IF(C1840&lt;=6,Staffing!$H$36,IF(C1840&lt;=15,Staffing!$I$36,IF(C1840&lt;=30,Staffing!$J$36,Staffing!$K$36))),0)</f>
        <v>3</v>
      </c>
      <c r="F1840" s="10" t="n">
        <f aca="false">E1840*Staffing!$L$36/12*(1+Assumptions!$E$10)^INT((C1840-1)/12)*1</f>
        <v>30318.75</v>
      </c>
      <c r="G1840" s="10" t="n">
        <f aca="false">F1840*Staffing!$N$36</f>
        <v>12127.5</v>
      </c>
      <c r="H1840" s="10" t="n">
        <f aca="false">F1840+G1840</f>
        <v>42446.25</v>
      </c>
      <c r="I1840" s="10" t="n">
        <f aca="false">0</f>
        <v>0</v>
      </c>
      <c r="J1840" s="10" t="n">
        <f aca="false">MAX(0,E1840-E1839)*Staffing!$O$36</f>
        <v>0</v>
      </c>
      <c r="K1840" s="10" t="n">
        <f aca="false">MAX(0,E1840-E1839)*Staffing!$P$36</f>
        <v>0</v>
      </c>
      <c r="L1840" s="23" t="n">
        <f aca="false">ROUNDUP(E1840,0)</f>
        <v>3</v>
      </c>
    </row>
    <row r="1841" customFormat="false" ht="15" hidden="false" customHeight="false" outlineLevel="0" collapsed="false">
      <c r="A1841" s="6" t="s">
        <v>73</v>
      </c>
      <c r="B1841" s="6" t="s">
        <v>336</v>
      </c>
      <c r="C1841" s="6" t="n">
        <v>36</v>
      </c>
      <c r="D1841" s="25" t="n">
        <f aca="false">EDATE('Start Here'!$B$6,C1841-1)</f>
        <v>47392</v>
      </c>
      <c r="E1841" s="11" t="n">
        <f aca="false">IF(AND(C1841&gt;=Staffing!$F$36,C1841&lt;=Staffing!$G$36,1=1),IF(C1841&lt;=6,Staffing!$H$36,IF(C1841&lt;=15,Staffing!$I$36,IF(C1841&lt;=30,Staffing!$J$36,Staffing!$K$36))),0)</f>
        <v>3</v>
      </c>
      <c r="F1841" s="10" t="n">
        <f aca="false">E1841*Staffing!$L$36/12*(1+Assumptions!$E$10)^INT((C1841-1)/12)*1</f>
        <v>30318.75</v>
      </c>
      <c r="G1841" s="10" t="n">
        <f aca="false">F1841*Staffing!$N$36</f>
        <v>12127.5</v>
      </c>
      <c r="H1841" s="10" t="n">
        <f aca="false">F1841+G1841</f>
        <v>42446.25</v>
      </c>
      <c r="I1841" s="10" t="n">
        <f aca="false">0</f>
        <v>0</v>
      </c>
      <c r="J1841" s="10" t="n">
        <f aca="false">MAX(0,E1841-E1840)*Staffing!$O$36</f>
        <v>0</v>
      </c>
      <c r="K1841" s="10" t="n">
        <f aca="false">MAX(0,E1841-E1840)*Staffing!$P$36</f>
        <v>0</v>
      </c>
      <c r="L1841" s="23" t="n">
        <f aca="false">ROUNDUP(E1841,0)</f>
        <v>3</v>
      </c>
    </row>
    <row r="1842" customFormat="false" ht="15" hidden="false" customHeight="false" outlineLevel="0" collapsed="false">
      <c r="A1842" s="6" t="s">
        <v>73</v>
      </c>
      <c r="B1842" s="6" t="s">
        <v>336</v>
      </c>
      <c r="C1842" s="6" t="n">
        <v>37</v>
      </c>
      <c r="D1842" s="25" t="n">
        <f aca="false">EDATE('Start Here'!$B$6,C1842-1)</f>
        <v>47423</v>
      </c>
      <c r="E1842" s="11" t="n">
        <f aca="false">IF(AND(C1842&gt;=Staffing!$F$36,C1842&lt;=Staffing!$G$36,1=1),IF(C1842&lt;=6,Staffing!$H$36,IF(C1842&lt;=15,Staffing!$I$36,IF(C1842&lt;=30,Staffing!$J$36,Staffing!$K$36))),0)</f>
        <v>3</v>
      </c>
      <c r="F1842" s="10" t="n">
        <f aca="false">E1842*Staffing!$L$36/12*(1+Assumptions!$E$10)^INT((C1842-1)/12)*1</f>
        <v>31834.6875</v>
      </c>
      <c r="G1842" s="10" t="n">
        <f aca="false">F1842*Staffing!$N$36</f>
        <v>12733.875</v>
      </c>
      <c r="H1842" s="10" t="n">
        <f aca="false">F1842+G1842</f>
        <v>44568.5625</v>
      </c>
      <c r="I1842" s="10" t="n">
        <f aca="false">0</f>
        <v>0</v>
      </c>
      <c r="J1842" s="10" t="n">
        <f aca="false">MAX(0,E1842-E1841)*Staffing!$O$36</f>
        <v>0</v>
      </c>
      <c r="K1842" s="10" t="n">
        <f aca="false">MAX(0,E1842-E1841)*Staffing!$P$36</f>
        <v>0</v>
      </c>
      <c r="L1842" s="23" t="n">
        <f aca="false">ROUNDUP(E1842,0)</f>
        <v>3</v>
      </c>
    </row>
    <row r="1843" customFormat="false" ht="15" hidden="false" customHeight="false" outlineLevel="0" collapsed="false">
      <c r="A1843" s="6" t="s">
        <v>73</v>
      </c>
      <c r="B1843" s="6" t="s">
        <v>336</v>
      </c>
      <c r="C1843" s="6" t="n">
        <v>38</v>
      </c>
      <c r="D1843" s="25" t="n">
        <f aca="false">EDATE('Start Here'!$B$6,C1843-1)</f>
        <v>47453</v>
      </c>
      <c r="E1843" s="11" t="n">
        <f aca="false">IF(AND(C1843&gt;=Staffing!$F$36,C1843&lt;=Staffing!$G$36,1=1),IF(C1843&lt;=6,Staffing!$H$36,IF(C1843&lt;=15,Staffing!$I$36,IF(C1843&lt;=30,Staffing!$J$36,Staffing!$K$36))),0)</f>
        <v>3</v>
      </c>
      <c r="F1843" s="10" t="n">
        <f aca="false">E1843*Staffing!$L$36/12*(1+Assumptions!$E$10)^INT((C1843-1)/12)*1</f>
        <v>31834.6875</v>
      </c>
      <c r="G1843" s="10" t="n">
        <f aca="false">F1843*Staffing!$N$36</f>
        <v>12733.875</v>
      </c>
      <c r="H1843" s="10" t="n">
        <f aca="false">F1843+G1843</f>
        <v>44568.5625</v>
      </c>
      <c r="I1843" s="10" t="n">
        <f aca="false">0</f>
        <v>0</v>
      </c>
      <c r="J1843" s="10" t="n">
        <f aca="false">MAX(0,E1843-E1842)*Staffing!$O$36</f>
        <v>0</v>
      </c>
      <c r="K1843" s="10" t="n">
        <f aca="false">MAX(0,E1843-E1842)*Staffing!$P$36</f>
        <v>0</v>
      </c>
      <c r="L1843" s="23" t="n">
        <f aca="false">ROUNDUP(E1843,0)</f>
        <v>3</v>
      </c>
    </row>
    <row r="1844" customFormat="false" ht="15" hidden="false" customHeight="false" outlineLevel="0" collapsed="false">
      <c r="A1844" s="6" t="s">
        <v>73</v>
      </c>
      <c r="B1844" s="6" t="s">
        <v>336</v>
      </c>
      <c r="C1844" s="6" t="n">
        <v>39</v>
      </c>
      <c r="D1844" s="25" t="n">
        <f aca="false">EDATE('Start Here'!$B$6,C1844-1)</f>
        <v>47484</v>
      </c>
      <c r="E1844" s="11" t="n">
        <f aca="false">IF(AND(C1844&gt;=Staffing!$F$36,C1844&lt;=Staffing!$G$36,1=1),IF(C1844&lt;=6,Staffing!$H$36,IF(C1844&lt;=15,Staffing!$I$36,IF(C1844&lt;=30,Staffing!$J$36,Staffing!$K$36))),0)</f>
        <v>3</v>
      </c>
      <c r="F1844" s="10" t="n">
        <f aca="false">E1844*Staffing!$L$36/12*(1+Assumptions!$E$10)^INT((C1844-1)/12)*1</f>
        <v>31834.6875</v>
      </c>
      <c r="G1844" s="10" t="n">
        <f aca="false">F1844*Staffing!$N$36</f>
        <v>12733.875</v>
      </c>
      <c r="H1844" s="10" t="n">
        <f aca="false">F1844+G1844</f>
        <v>44568.5625</v>
      </c>
      <c r="I1844" s="10" t="n">
        <f aca="false">0</f>
        <v>0</v>
      </c>
      <c r="J1844" s="10" t="n">
        <f aca="false">MAX(0,E1844-E1843)*Staffing!$O$36</f>
        <v>0</v>
      </c>
      <c r="K1844" s="10" t="n">
        <f aca="false">MAX(0,E1844-E1843)*Staffing!$P$36</f>
        <v>0</v>
      </c>
      <c r="L1844" s="23" t="n">
        <f aca="false">ROUNDUP(E1844,0)</f>
        <v>3</v>
      </c>
    </row>
    <row r="1845" customFormat="false" ht="15" hidden="false" customHeight="false" outlineLevel="0" collapsed="false">
      <c r="A1845" s="6" t="s">
        <v>73</v>
      </c>
      <c r="B1845" s="6" t="s">
        <v>336</v>
      </c>
      <c r="C1845" s="6" t="n">
        <v>40</v>
      </c>
      <c r="D1845" s="25" t="n">
        <f aca="false">EDATE('Start Here'!$B$6,C1845-1)</f>
        <v>47515</v>
      </c>
      <c r="E1845" s="11" t="n">
        <f aca="false">IF(AND(C1845&gt;=Staffing!$F$36,C1845&lt;=Staffing!$G$36,1=1),IF(C1845&lt;=6,Staffing!$H$36,IF(C1845&lt;=15,Staffing!$I$36,IF(C1845&lt;=30,Staffing!$J$36,Staffing!$K$36))),0)</f>
        <v>3</v>
      </c>
      <c r="F1845" s="10" t="n">
        <f aca="false">E1845*Staffing!$L$36/12*(1+Assumptions!$E$10)^INT((C1845-1)/12)*1</f>
        <v>31834.6875</v>
      </c>
      <c r="G1845" s="10" t="n">
        <f aca="false">F1845*Staffing!$N$36</f>
        <v>12733.875</v>
      </c>
      <c r="H1845" s="10" t="n">
        <f aca="false">F1845+G1845</f>
        <v>44568.5625</v>
      </c>
      <c r="I1845" s="10" t="n">
        <f aca="false">0</f>
        <v>0</v>
      </c>
      <c r="J1845" s="10" t="n">
        <f aca="false">MAX(0,E1845-E1844)*Staffing!$O$36</f>
        <v>0</v>
      </c>
      <c r="K1845" s="10" t="n">
        <f aca="false">MAX(0,E1845-E1844)*Staffing!$P$36</f>
        <v>0</v>
      </c>
      <c r="L1845" s="23" t="n">
        <f aca="false">ROUNDUP(E1845,0)</f>
        <v>3</v>
      </c>
    </row>
    <row r="1846" customFormat="false" ht="15" hidden="false" customHeight="false" outlineLevel="0" collapsed="false">
      <c r="A1846" s="6" t="s">
        <v>73</v>
      </c>
      <c r="B1846" s="6" t="s">
        <v>336</v>
      </c>
      <c r="C1846" s="6" t="n">
        <v>41</v>
      </c>
      <c r="D1846" s="25" t="n">
        <f aca="false">EDATE('Start Here'!$B$6,C1846-1)</f>
        <v>47543</v>
      </c>
      <c r="E1846" s="11" t="n">
        <f aca="false">IF(AND(C1846&gt;=Staffing!$F$36,C1846&lt;=Staffing!$G$36,1=1),IF(C1846&lt;=6,Staffing!$H$36,IF(C1846&lt;=15,Staffing!$I$36,IF(C1846&lt;=30,Staffing!$J$36,Staffing!$K$36))),0)</f>
        <v>3</v>
      </c>
      <c r="F1846" s="10" t="n">
        <f aca="false">E1846*Staffing!$L$36/12*(1+Assumptions!$E$10)^INT((C1846-1)/12)*1</f>
        <v>31834.6875</v>
      </c>
      <c r="G1846" s="10" t="n">
        <f aca="false">F1846*Staffing!$N$36</f>
        <v>12733.875</v>
      </c>
      <c r="H1846" s="10" t="n">
        <f aca="false">F1846+G1846</f>
        <v>44568.5625</v>
      </c>
      <c r="I1846" s="10" t="n">
        <f aca="false">0</f>
        <v>0</v>
      </c>
      <c r="J1846" s="10" t="n">
        <f aca="false">MAX(0,E1846-E1845)*Staffing!$O$36</f>
        <v>0</v>
      </c>
      <c r="K1846" s="10" t="n">
        <f aca="false">MAX(0,E1846-E1845)*Staffing!$P$36</f>
        <v>0</v>
      </c>
      <c r="L1846" s="23" t="n">
        <f aca="false">ROUNDUP(E1846,0)</f>
        <v>3</v>
      </c>
    </row>
    <row r="1847" customFormat="false" ht="15" hidden="false" customHeight="false" outlineLevel="0" collapsed="false">
      <c r="A1847" s="6" t="s">
        <v>73</v>
      </c>
      <c r="B1847" s="6" t="s">
        <v>336</v>
      </c>
      <c r="C1847" s="6" t="n">
        <v>42</v>
      </c>
      <c r="D1847" s="25" t="n">
        <f aca="false">EDATE('Start Here'!$B$6,C1847-1)</f>
        <v>47574</v>
      </c>
      <c r="E1847" s="11" t="n">
        <f aca="false">IF(AND(C1847&gt;=Staffing!$F$36,C1847&lt;=Staffing!$G$36,1=1),IF(C1847&lt;=6,Staffing!$H$36,IF(C1847&lt;=15,Staffing!$I$36,IF(C1847&lt;=30,Staffing!$J$36,Staffing!$K$36))),0)</f>
        <v>3</v>
      </c>
      <c r="F1847" s="10" t="n">
        <f aca="false">E1847*Staffing!$L$36/12*(1+Assumptions!$E$10)^INT((C1847-1)/12)*1</f>
        <v>31834.6875</v>
      </c>
      <c r="G1847" s="10" t="n">
        <f aca="false">F1847*Staffing!$N$36</f>
        <v>12733.875</v>
      </c>
      <c r="H1847" s="10" t="n">
        <f aca="false">F1847+G1847</f>
        <v>44568.5625</v>
      </c>
      <c r="I1847" s="10" t="n">
        <f aca="false">0</f>
        <v>0</v>
      </c>
      <c r="J1847" s="10" t="n">
        <f aca="false">MAX(0,E1847-E1846)*Staffing!$O$36</f>
        <v>0</v>
      </c>
      <c r="K1847" s="10" t="n">
        <f aca="false">MAX(0,E1847-E1846)*Staffing!$P$36</f>
        <v>0</v>
      </c>
      <c r="L1847" s="23" t="n">
        <f aca="false">ROUNDUP(E1847,0)</f>
        <v>3</v>
      </c>
    </row>
    <row r="1848" customFormat="false" ht="15" hidden="false" customHeight="false" outlineLevel="0" collapsed="false">
      <c r="A1848" s="6" t="s">
        <v>73</v>
      </c>
      <c r="B1848" s="6" t="s">
        <v>336</v>
      </c>
      <c r="C1848" s="6" t="n">
        <v>43</v>
      </c>
      <c r="D1848" s="25" t="n">
        <f aca="false">EDATE('Start Here'!$B$6,C1848-1)</f>
        <v>47604</v>
      </c>
      <c r="E1848" s="11" t="n">
        <f aca="false">IF(AND(C1848&gt;=Staffing!$F$36,C1848&lt;=Staffing!$G$36,1=1),IF(C1848&lt;=6,Staffing!$H$36,IF(C1848&lt;=15,Staffing!$I$36,IF(C1848&lt;=30,Staffing!$J$36,Staffing!$K$36))),0)</f>
        <v>3</v>
      </c>
      <c r="F1848" s="10" t="n">
        <f aca="false">E1848*Staffing!$L$36/12*(1+Assumptions!$E$10)^INT((C1848-1)/12)*1</f>
        <v>31834.6875</v>
      </c>
      <c r="G1848" s="10" t="n">
        <f aca="false">F1848*Staffing!$N$36</f>
        <v>12733.875</v>
      </c>
      <c r="H1848" s="10" t="n">
        <f aca="false">F1848+G1848</f>
        <v>44568.5625</v>
      </c>
      <c r="I1848" s="10" t="n">
        <f aca="false">0</f>
        <v>0</v>
      </c>
      <c r="J1848" s="10" t="n">
        <f aca="false">MAX(0,E1848-E1847)*Staffing!$O$36</f>
        <v>0</v>
      </c>
      <c r="K1848" s="10" t="n">
        <f aca="false">MAX(0,E1848-E1847)*Staffing!$P$36</f>
        <v>0</v>
      </c>
      <c r="L1848" s="23" t="n">
        <f aca="false">ROUNDUP(E1848,0)</f>
        <v>3</v>
      </c>
    </row>
    <row r="1849" customFormat="false" ht="15" hidden="false" customHeight="false" outlineLevel="0" collapsed="false">
      <c r="A1849" s="6" t="s">
        <v>73</v>
      </c>
      <c r="B1849" s="6" t="s">
        <v>336</v>
      </c>
      <c r="C1849" s="6" t="n">
        <v>44</v>
      </c>
      <c r="D1849" s="25" t="n">
        <f aca="false">EDATE('Start Here'!$B$6,C1849-1)</f>
        <v>47635</v>
      </c>
      <c r="E1849" s="11" t="n">
        <f aca="false">IF(AND(C1849&gt;=Staffing!$F$36,C1849&lt;=Staffing!$G$36,1=1),IF(C1849&lt;=6,Staffing!$H$36,IF(C1849&lt;=15,Staffing!$I$36,IF(C1849&lt;=30,Staffing!$J$36,Staffing!$K$36))),0)</f>
        <v>3</v>
      </c>
      <c r="F1849" s="10" t="n">
        <f aca="false">E1849*Staffing!$L$36/12*(1+Assumptions!$E$10)^INT((C1849-1)/12)*1</f>
        <v>31834.6875</v>
      </c>
      <c r="G1849" s="10" t="n">
        <f aca="false">F1849*Staffing!$N$36</f>
        <v>12733.875</v>
      </c>
      <c r="H1849" s="10" t="n">
        <f aca="false">F1849+G1849</f>
        <v>44568.5625</v>
      </c>
      <c r="I1849" s="10" t="n">
        <f aca="false">0</f>
        <v>0</v>
      </c>
      <c r="J1849" s="10" t="n">
        <f aca="false">MAX(0,E1849-E1848)*Staffing!$O$36</f>
        <v>0</v>
      </c>
      <c r="K1849" s="10" t="n">
        <f aca="false">MAX(0,E1849-E1848)*Staffing!$P$36</f>
        <v>0</v>
      </c>
      <c r="L1849" s="23" t="n">
        <f aca="false">ROUNDUP(E1849,0)</f>
        <v>3</v>
      </c>
    </row>
    <row r="1850" customFormat="false" ht="15" hidden="false" customHeight="false" outlineLevel="0" collapsed="false">
      <c r="A1850" s="6" t="s">
        <v>73</v>
      </c>
      <c r="B1850" s="6" t="s">
        <v>336</v>
      </c>
      <c r="C1850" s="6" t="n">
        <v>45</v>
      </c>
      <c r="D1850" s="25" t="n">
        <f aca="false">EDATE('Start Here'!$B$6,C1850-1)</f>
        <v>47665</v>
      </c>
      <c r="E1850" s="11" t="n">
        <f aca="false">IF(AND(C1850&gt;=Staffing!$F$36,C1850&lt;=Staffing!$G$36,1=1),IF(C1850&lt;=6,Staffing!$H$36,IF(C1850&lt;=15,Staffing!$I$36,IF(C1850&lt;=30,Staffing!$J$36,Staffing!$K$36))),0)</f>
        <v>3</v>
      </c>
      <c r="F1850" s="10" t="n">
        <f aca="false">E1850*Staffing!$L$36/12*(1+Assumptions!$E$10)^INT((C1850-1)/12)*1</f>
        <v>31834.6875</v>
      </c>
      <c r="G1850" s="10" t="n">
        <f aca="false">F1850*Staffing!$N$36</f>
        <v>12733.875</v>
      </c>
      <c r="H1850" s="10" t="n">
        <f aca="false">F1850+G1850</f>
        <v>44568.5625</v>
      </c>
      <c r="I1850" s="10" t="n">
        <f aca="false">0</f>
        <v>0</v>
      </c>
      <c r="J1850" s="10" t="n">
        <f aca="false">MAX(0,E1850-E1849)*Staffing!$O$36</f>
        <v>0</v>
      </c>
      <c r="K1850" s="10" t="n">
        <f aca="false">MAX(0,E1850-E1849)*Staffing!$P$36</f>
        <v>0</v>
      </c>
      <c r="L1850" s="23" t="n">
        <f aca="false">ROUNDUP(E1850,0)</f>
        <v>3</v>
      </c>
    </row>
    <row r="1851" customFormat="false" ht="15" hidden="false" customHeight="false" outlineLevel="0" collapsed="false">
      <c r="A1851" s="6" t="s">
        <v>73</v>
      </c>
      <c r="B1851" s="6" t="s">
        <v>336</v>
      </c>
      <c r="C1851" s="6" t="n">
        <v>46</v>
      </c>
      <c r="D1851" s="25" t="n">
        <f aca="false">EDATE('Start Here'!$B$6,C1851-1)</f>
        <v>47696</v>
      </c>
      <c r="E1851" s="11" t="n">
        <f aca="false">IF(AND(C1851&gt;=Staffing!$F$36,C1851&lt;=Staffing!$G$36,1=1),IF(C1851&lt;=6,Staffing!$H$36,IF(C1851&lt;=15,Staffing!$I$36,IF(C1851&lt;=30,Staffing!$J$36,Staffing!$K$36))),0)</f>
        <v>3</v>
      </c>
      <c r="F1851" s="10" t="n">
        <f aca="false">E1851*Staffing!$L$36/12*(1+Assumptions!$E$10)^INT((C1851-1)/12)*1</f>
        <v>31834.6875</v>
      </c>
      <c r="G1851" s="10" t="n">
        <f aca="false">F1851*Staffing!$N$36</f>
        <v>12733.875</v>
      </c>
      <c r="H1851" s="10" t="n">
        <f aca="false">F1851+G1851</f>
        <v>44568.5625</v>
      </c>
      <c r="I1851" s="10" t="n">
        <f aca="false">0</f>
        <v>0</v>
      </c>
      <c r="J1851" s="10" t="n">
        <f aca="false">MAX(0,E1851-E1850)*Staffing!$O$36</f>
        <v>0</v>
      </c>
      <c r="K1851" s="10" t="n">
        <f aca="false">MAX(0,E1851-E1850)*Staffing!$P$36</f>
        <v>0</v>
      </c>
      <c r="L1851" s="23" t="n">
        <f aca="false">ROUNDUP(E1851,0)</f>
        <v>3</v>
      </c>
    </row>
    <row r="1852" customFormat="false" ht="15" hidden="false" customHeight="false" outlineLevel="0" collapsed="false">
      <c r="A1852" s="6" t="s">
        <v>73</v>
      </c>
      <c r="B1852" s="6" t="s">
        <v>336</v>
      </c>
      <c r="C1852" s="6" t="n">
        <v>47</v>
      </c>
      <c r="D1852" s="25" t="n">
        <f aca="false">EDATE('Start Here'!$B$6,C1852-1)</f>
        <v>47727</v>
      </c>
      <c r="E1852" s="11" t="n">
        <f aca="false">IF(AND(C1852&gt;=Staffing!$F$36,C1852&lt;=Staffing!$G$36,1=1),IF(C1852&lt;=6,Staffing!$H$36,IF(C1852&lt;=15,Staffing!$I$36,IF(C1852&lt;=30,Staffing!$J$36,Staffing!$K$36))),0)</f>
        <v>3</v>
      </c>
      <c r="F1852" s="10" t="n">
        <f aca="false">E1852*Staffing!$L$36/12*(1+Assumptions!$E$10)^INT((C1852-1)/12)*1</f>
        <v>31834.6875</v>
      </c>
      <c r="G1852" s="10" t="n">
        <f aca="false">F1852*Staffing!$N$36</f>
        <v>12733.875</v>
      </c>
      <c r="H1852" s="10" t="n">
        <f aca="false">F1852+G1852</f>
        <v>44568.5625</v>
      </c>
      <c r="I1852" s="10" t="n">
        <f aca="false">0</f>
        <v>0</v>
      </c>
      <c r="J1852" s="10" t="n">
        <f aca="false">MAX(0,E1852-E1851)*Staffing!$O$36</f>
        <v>0</v>
      </c>
      <c r="K1852" s="10" t="n">
        <f aca="false">MAX(0,E1852-E1851)*Staffing!$P$36</f>
        <v>0</v>
      </c>
      <c r="L1852" s="23" t="n">
        <f aca="false">ROUNDUP(E1852,0)</f>
        <v>3</v>
      </c>
    </row>
    <row r="1853" customFormat="false" ht="15" hidden="false" customHeight="false" outlineLevel="0" collapsed="false">
      <c r="A1853" s="6" t="s">
        <v>73</v>
      </c>
      <c r="B1853" s="6" t="s">
        <v>336</v>
      </c>
      <c r="C1853" s="6" t="n">
        <v>48</v>
      </c>
      <c r="D1853" s="25" t="n">
        <f aca="false">EDATE('Start Here'!$B$6,C1853-1)</f>
        <v>47757</v>
      </c>
      <c r="E1853" s="11" t="n">
        <f aca="false">IF(AND(C1853&gt;=Staffing!$F$36,C1853&lt;=Staffing!$G$36,1=1),IF(C1853&lt;=6,Staffing!$H$36,IF(C1853&lt;=15,Staffing!$I$36,IF(C1853&lt;=30,Staffing!$J$36,Staffing!$K$36))),0)</f>
        <v>3</v>
      </c>
      <c r="F1853" s="10" t="n">
        <f aca="false">E1853*Staffing!$L$36/12*(1+Assumptions!$E$10)^INT((C1853-1)/12)*1</f>
        <v>31834.6875</v>
      </c>
      <c r="G1853" s="10" t="n">
        <f aca="false">F1853*Staffing!$N$36</f>
        <v>12733.875</v>
      </c>
      <c r="H1853" s="10" t="n">
        <f aca="false">F1853+G1853</f>
        <v>44568.5625</v>
      </c>
      <c r="I1853" s="10" t="n">
        <f aca="false">0</f>
        <v>0</v>
      </c>
      <c r="J1853" s="10" t="n">
        <f aca="false">MAX(0,E1853-E1852)*Staffing!$O$36</f>
        <v>0</v>
      </c>
      <c r="K1853" s="10" t="n">
        <f aca="false">MAX(0,E1853-E1852)*Staffing!$P$36</f>
        <v>0</v>
      </c>
      <c r="L1853" s="23" t="n">
        <f aca="false">ROUNDUP(E1853,0)</f>
        <v>3</v>
      </c>
    </row>
    <row r="1854" customFormat="false" ht="15" hidden="false" customHeight="false" outlineLevel="0" collapsed="false">
      <c r="A1854" s="6" t="s">
        <v>73</v>
      </c>
      <c r="B1854" s="6" t="s">
        <v>336</v>
      </c>
      <c r="C1854" s="6" t="n">
        <v>49</v>
      </c>
      <c r="D1854" s="25" t="n">
        <f aca="false">EDATE('Start Here'!$B$6,C1854-1)</f>
        <v>47788</v>
      </c>
      <c r="E1854" s="11" t="n">
        <f aca="false">IF(AND(C1854&gt;=Staffing!$F$36,C1854&lt;=Staffing!$G$36,1=1),IF(C1854&lt;=6,Staffing!$H$36,IF(C1854&lt;=15,Staffing!$I$36,IF(C1854&lt;=30,Staffing!$J$36,Staffing!$K$36))),0)</f>
        <v>3</v>
      </c>
      <c r="F1854" s="10" t="n">
        <f aca="false">E1854*Staffing!$L$36/12*(1+Assumptions!$E$10)^INT((C1854-1)/12)*1</f>
        <v>33426.421875</v>
      </c>
      <c r="G1854" s="10" t="n">
        <f aca="false">F1854*Staffing!$N$36</f>
        <v>13370.56875</v>
      </c>
      <c r="H1854" s="10" t="n">
        <f aca="false">F1854+G1854</f>
        <v>46796.990625</v>
      </c>
      <c r="I1854" s="10" t="n">
        <f aca="false">0</f>
        <v>0</v>
      </c>
      <c r="J1854" s="10" t="n">
        <f aca="false">MAX(0,E1854-E1853)*Staffing!$O$36</f>
        <v>0</v>
      </c>
      <c r="K1854" s="10" t="n">
        <f aca="false">MAX(0,E1854-E1853)*Staffing!$P$36</f>
        <v>0</v>
      </c>
      <c r="L1854" s="23" t="n">
        <f aca="false">ROUNDUP(E1854,0)</f>
        <v>3</v>
      </c>
    </row>
    <row r="1855" customFormat="false" ht="15" hidden="false" customHeight="false" outlineLevel="0" collapsed="false">
      <c r="A1855" s="6" t="s">
        <v>73</v>
      </c>
      <c r="B1855" s="6" t="s">
        <v>336</v>
      </c>
      <c r="C1855" s="6" t="n">
        <v>50</v>
      </c>
      <c r="D1855" s="25" t="n">
        <f aca="false">EDATE('Start Here'!$B$6,C1855-1)</f>
        <v>47818</v>
      </c>
      <c r="E1855" s="11" t="n">
        <f aca="false">IF(AND(C1855&gt;=Staffing!$F$36,C1855&lt;=Staffing!$G$36,1=1),IF(C1855&lt;=6,Staffing!$H$36,IF(C1855&lt;=15,Staffing!$I$36,IF(C1855&lt;=30,Staffing!$J$36,Staffing!$K$36))),0)</f>
        <v>3</v>
      </c>
      <c r="F1855" s="10" t="n">
        <f aca="false">E1855*Staffing!$L$36/12*(1+Assumptions!$E$10)^INT((C1855-1)/12)*1</f>
        <v>33426.421875</v>
      </c>
      <c r="G1855" s="10" t="n">
        <f aca="false">F1855*Staffing!$N$36</f>
        <v>13370.56875</v>
      </c>
      <c r="H1855" s="10" t="n">
        <f aca="false">F1855+G1855</f>
        <v>46796.990625</v>
      </c>
      <c r="I1855" s="10" t="n">
        <f aca="false">0</f>
        <v>0</v>
      </c>
      <c r="J1855" s="10" t="n">
        <f aca="false">MAX(0,E1855-E1854)*Staffing!$O$36</f>
        <v>0</v>
      </c>
      <c r="K1855" s="10" t="n">
        <f aca="false">MAX(0,E1855-E1854)*Staffing!$P$36</f>
        <v>0</v>
      </c>
      <c r="L1855" s="23" t="n">
        <f aca="false">ROUNDUP(E1855,0)</f>
        <v>3</v>
      </c>
    </row>
    <row r="1856" customFormat="false" ht="15" hidden="false" customHeight="false" outlineLevel="0" collapsed="false">
      <c r="A1856" s="6" t="s">
        <v>73</v>
      </c>
      <c r="B1856" s="6" t="s">
        <v>336</v>
      </c>
      <c r="C1856" s="6" t="n">
        <v>51</v>
      </c>
      <c r="D1856" s="25" t="n">
        <f aca="false">EDATE('Start Here'!$B$6,C1856-1)</f>
        <v>47849</v>
      </c>
      <c r="E1856" s="11" t="n">
        <f aca="false">IF(AND(C1856&gt;=Staffing!$F$36,C1856&lt;=Staffing!$G$36,1=1),IF(C1856&lt;=6,Staffing!$H$36,IF(C1856&lt;=15,Staffing!$I$36,IF(C1856&lt;=30,Staffing!$J$36,Staffing!$K$36))),0)</f>
        <v>3</v>
      </c>
      <c r="F1856" s="10" t="n">
        <f aca="false">E1856*Staffing!$L$36/12*(1+Assumptions!$E$10)^INT((C1856-1)/12)*1</f>
        <v>33426.421875</v>
      </c>
      <c r="G1856" s="10" t="n">
        <f aca="false">F1856*Staffing!$N$36</f>
        <v>13370.56875</v>
      </c>
      <c r="H1856" s="10" t="n">
        <f aca="false">F1856+G1856</f>
        <v>46796.990625</v>
      </c>
      <c r="I1856" s="10" t="n">
        <f aca="false">0</f>
        <v>0</v>
      </c>
      <c r="J1856" s="10" t="n">
        <f aca="false">MAX(0,E1856-E1855)*Staffing!$O$36</f>
        <v>0</v>
      </c>
      <c r="K1856" s="10" t="n">
        <f aca="false">MAX(0,E1856-E1855)*Staffing!$P$36</f>
        <v>0</v>
      </c>
      <c r="L1856" s="23" t="n">
        <f aca="false">ROUNDUP(E1856,0)</f>
        <v>3</v>
      </c>
    </row>
    <row r="1857" customFormat="false" ht="15" hidden="false" customHeight="false" outlineLevel="0" collapsed="false">
      <c r="A1857" s="6" t="s">
        <v>73</v>
      </c>
      <c r="B1857" s="6" t="s">
        <v>336</v>
      </c>
      <c r="C1857" s="6" t="n">
        <v>52</v>
      </c>
      <c r="D1857" s="25" t="n">
        <f aca="false">EDATE('Start Here'!$B$6,C1857-1)</f>
        <v>47880</v>
      </c>
      <c r="E1857" s="11" t="n">
        <f aca="false">IF(AND(C1857&gt;=Staffing!$F$36,C1857&lt;=Staffing!$G$36,1=1),IF(C1857&lt;=6,Staffing!$H$36,IF(C1857&lt;=15,Staffing!$I$36,IF(C1857&lt;=30,Staffing!$J$36,Staffing!$K$36))),0)</f>
        <v>3</v>
      </c>
      <c r="F1857" s="10" t="n">
        <f aca="false">E1857*Staffing!$L$36/12*(1+Assumptions!$E$10)^INT((C1857-1)/12)*1</f>
        <v>33426.421875</v>
      </c>
      <c r="G1857" s="10" t="n">
        <f aca="false">F1857*Staffing!$N$36</f>
        <v>13370.56875</v>
      </c>
      <c r="H1857" s="10" t="n">
        <f aca="false">F1857+G1857</f>
        <v>46796.990625</v>
      </c>
      <c r="I1857" s="10" t="n">
        <f aca="false">0</f>
        <v>0</v>
      </c>
      <c r="J1857" s="10" t="n">
        <f aca="false">MAX(0,E1857-E1856)*Staffing!$O$36</f>
        <v>0</v>
      </c>
      <c r="K1857" s="10" t="n">
        <f aca="false">MAX(0,E1857-E1856)*Staffing!$P$36</f>
        <v>0</v>
      </c>
      <c r="L1857" s="23" t="n">
        <f aca="false">ROUNDUP(E1857,0)</f>
        <v>3</v>
      </c>
    </row>
    <row r="1858" customFormat="false" ht="15" hidden="false" customHeight="false" outlineLevel="0" collapsed="false">
      <c r="A1858" s="6" t="s">
        <v>73</v>
      </c>
      <c r="B1858" s="6" t="s">
        <v>336</v>
      </c>
      <c r="C1858" s="6" t="n">
        <v>53</v>
      </c>
      <c r="D1858" s="25" t="n">
        <f aca="false">EDATE('Start Here'!$B$6,C1858-1)</f>
        <v>47908</v>
      </c>
      <c r="E1858" s="11" t="n">
        <f aca="false">IF(AND(C1858&gt;=Staffing!$F$36,C1858&lt;=Staffing!$G$36,1=1),IF(C1858&lt;=6,Staffing!$H$36,IF(C1858&lt;=15,Staffing!$I$36,IF(C1858&lt;=30,Staffing!$J$36,Staffing!$K$36))),0)</f>
        <v>3</v>
      </c>
      <c r="F1858" s="10" t="n">
        <f aca="false">E1858*Staffing!$L$36/12*(1+Assumptions!$E$10)^INT((C1858-1)/12)*1</f>
        <v>33426.421875</v>
      </c>
      <c r="G1858" s="10" t="n">
        <f aca="false">F1858*Staffing!$N$36</f>
        <v>13370.56875</v>
      </c>
      <c r="H1858" s="10" t="n">
        <f aca="false">F1858+G1858</f>
        <v>46796.990625</v>
      </c>
      <c r="I1858" s="10" t="n">
        <f aca="false">0</f>
        <v>0</v>
      </c>
      <c r="J1858" s="10" t="n">
        <f aca="false">MAX(0,E1858-E1857)*Staffing!$O$36</f>
        <v>0</v>
      </c>
      <c r="K1858" s="10" t="n">
        <f aca="false">MAX(0,E1858-E1857)*Staffing!$P$36</f>
        <v>0</v>
      </c>
      <c r="L1858" s="23" t="n">
        <f aca="false">ROUNDUP(E1858,0)</f>
        <v>3</v>
      </c>
    </row>
    <row r="1859" customFormat="false" ht="15" hidden="false" customHeight="false" outlineLevel="0" collapsed="false">
      <c r="A1859" s="6" t="s">
        <v>73</v>
      </c>
      <c r="B1859" s="6" t="s">
        <v>336</v>
      </c>
      <c r="C1859" s="6" t="n">
        <v>54</v>
      </c>
      <c r="D1859" s="25" t="n">
        <f aca="false">EDATE('Start Here'!$B$6,C1859-1)</f>
        <v>47939</v>
      </c>
      <c r="E1859" s="11" t="n">
        <f aca="false">IF(AND(C1859&gt;=Staffing!$F$36,C1859&lt;=Staffing!$G$36,1=1),IF(C1859&lt;=6,Staffing!$H$36,IF(C1859&lt;=15,Staffing!$I$36,IF(C1859&lt;=30,Staffing!$J$36,Staffing!$K$36))),0)</f>
        <v>3</v>
      </c>
      <c r="F1859" s="10" t="n">
        <f aca="false">E1859*Staffing!$L$36/12*(1+Assumptions!$E$10)^INT((C1859-1)/12)*1</f>
        <v>33426.421875</v>
      </c>
      <c r="G1859" s="10" t="n">
        <f aca="false">F1859*Staffing!$N$36</f>
        <v>13370.56875</v>
      </c>
      <c r="H1859" s="10" t="n">
        <f aca="false">F1859+G1859</f>
        <v>46796.990625</v>
      </c>
      <c r="I1859" s="10" t="n">
        <f aca="false">0</f>
        <v>0</v>
      </c>
      <c r="J1859" s="10" t="n">
        <f aca="false">MAX(0,E1859-E1858)*Staffing!$O$36</f>
        <v>0</v>
      </c>
      <c r="K1859" s="10" t="n">
        <f aca="false">MAX(0,E1859-E1858)*Staffing!$P$36</f>
        <v>0</v>
      </c>
      <c r="L1859" s="23" t="n">
        <f aca="false">ROUNDUP(E1859,0)</f>
        <v>3</v>
      </c>
    </row>
    <row r="1860" customFormat="false" ht="15" hidden="false" customHeight="false" outlineLevel="0" collapsed="false">
      <c r="A1860" s="6" t="s">
        <v>73</v>
      </c>
      <c r="B1860" s="6" t="s">
        <v>336</v>
      </c>
      <c r="C1860" s="6" t="n">
        <v>55</v>
      </c>
      <c r="D1860" s="25" t="n">
        <f aca="false">EDATE('Start Here'!$B$6,C1860-1)</f>
        <v>47969</v>
      </c>
      <c r="E1860" s="11" t="n">
        <f aca="false">IF(AND(C1860&gt;=Staffing!$F$36,C1860&lt;=Staffing!$G$36,1=1),IF(C1860&lt;=6,Staffing!$H$36,IF(C1860&lt;=15,Staffing!$I$36,IF(C1860&lt;=30,Staffing!$J$36,Staffing!$K$36))),0)</f>
        <v>3</v>
      </c>
      <c r="F1860" s="10" t="n">
        <f aca="false">E1860*Staffing!$L$36/12*(1+Assumptions!$E$10)^INT((C1860-1)/12)*1</f>
        <v>33426.421875</v>
      </c>
      <c r="G1860" s="10" t="n">
        <f aca="false">F1860*Staffing!$N$36</f>
        <v>13370.56875</v>
      </c>
      <c r="H1860" s="10" t="n">
        <f aca="false">F1860+G1860</f>
        <v>46796.990625</v>
      </c>
      <c r="I1860" s="10" t="n">
        <f aca="false">0</f>
        <v>0</v>
      </c>
      <c r="J1860" s="10" t="n">
        <f aca="false">MAX(0,E1860-E1859)*Staffing!$O$36</f>
        <v>0</v>
      </c>
      <c r="K1860" s="10" t="n">
        <f aca="false">MAX(0,E1860-E1859)*Staffing!$P$36</f>
        <v>0</v>
      </c>
      <c r="L1860" s="23" t="n">
        <f aca="false">ROUNDUP(E1860,0)</f>
        <v>3</v>
      </c>
    </row>
    <row r="1861" customFormat="false" ht="15" hidden="false" customHeight="false" outlineLevel="0" collapsed="false">
      <c r="A1861" s="6" t="s">
        <v>73</v>
      </c>
      <c r="B1861" s="6" t="s">
        <v>336</v>
      </c>
      <c r="C1861" s="6" t="n">
        <v>56</v>
      </c>
      <c r="D1861" s="25" t="n">
        <f aca="false">EDATE('Start Here'!$B$6,C1861-1)</f>
        <v>48000</v>
      </c>
      <c r="E1861" s="11" t="n">
        <f aca="false">IF(AND(C1861&gt;=Staffing!$F$36,C1861&lt;=Staffing!$G$36,1=1),IF(C1861&lt;=6,Staffing!$H$36,IF(C1861&lt;=15,Staffing!$I$36,IF(C1861&lt;=30,Staffing!$J$36,Staffing!$K$36))),0)</f>
        <v>3</v>
      </c>
      <c r="F1861" s="10" t="n">
        <f aca="false">E1861*Staffing!$L$36/12*(1+Assumptions!$E$10)^INT((C1861-1)/12)*1</f>
        <v>33426.421875</v>
      </c>
      <c r="G1861" s="10" t="n">
        <f aca="false">F1861*Staffing!$N$36</f>
        <v>13370.56875</v>
      </c>
      <c r="H1861" s="10" t="n">
        <f aca="false">F1861+G1861</f>
        <v>46796.990625</v>
      </c>
      <c r="I1861" s="10" t="n">
        <f aca="false">0</f>
        <v>0</v>
      </c>
      <c r="J1861" s="10" t="n">
        <f aca="false">MAX(0,E1861-E1860)*Staffing!$O$36</f>
        <v>0</v>
      </c>
      <c r="K1861" s="10" t="n">
        <f aca="false">MAX(0,E1861-E1860)*Staffing!$P$36</f>
        <v>0</v>
      </c>
      <c r="L1861" s="23" t="n">
        <f aca="false">ROUNDUP(E1861,0)</f>
        <v>3</v>
      </c>
    </row>
    <row r="1862" customFormat="false" ht="15" hidden="false" customHeight="false" outlineLevel="0" collapsed="false">
      <c r="A1862" s="6" t="s">
        <v>73</v>
      </c>
      <c r="B1862" s="6" t="s">
        <v>336</v>
      </c>
      <c r="C1862" s="6" t="n">
        <v>57</v>
      </c>
      <c r="D1862" s="25" t="n">
        <f aca="false">EDATE('Start Here'!$B$6,C1862-1)</f>
        <v>48030</v>
      </c>
      <c r="E1862" s="11" t="n">
        <f aca="false">IF(AND(C1862&gt;=Staffing!$F$36,C1862&lt;=Staffing!$G$36,1=1),IF(C1862&lt;=6,Staffing!$H$36,IF(C1862&lt;=15,Staffing!$I$36,IF(C1862&lt;=30,Staffing!$J$36,Staffing!$K$36))),0)</f>
        <v>3</v>
      </c>
      <c r="F1862" s="10" t="n">
        <f aca="false">E1862*Staffing!$L$36/12*(1+Assumptions!$E$10)^INT((C1862-1)/12)*1</f>
        <v>33426.421875</v>
      </c>
      <c r="G1862" s="10" t="n">
        <f aca="false">F1862*Staffing!$N$36</f>
        <v>13370.56875</v>
      </c>
      <c r="H1862" s="10" t="n">
        <f aca="false">F1862+G1862</f>
        <v>46796.990625</v>
      </c>
      <c r="I1862" s="10" t="n">
        <f aca="false">0</f>
        <v>0</v>
      </c>
      <c r="J1862" s="10" t="n">
        <f aca="false">MAX(0,E1862-E1861)*Staffing!$O$36</f>
        <v>0</v>
      </c>
      <c r="K1862" s="10" t="n">
        <f aca="false">MAX(0,E1862-E1861)*Staffing!$P$36</f>
        <v>0</v>
      </c>
      <c r="L1862" s="23" t="n">
        <f aca="false">ROUNDUP(E1862,0)</f>
        <v>3</v>
      </c>
    </row>
    <row r="1863" customFormat="false" ht="15" hidden="false" customHeight="false" outlineLevel="0" collapsed="false">
      <c r="A1863" s="6" t="s">
        <v>73</v>
      </c>
      <c r="B1863" s="6" t="s">
        <v>336</v>
      </c>
      <c r="C1863" s="6" t="n">
        <v>58</v>
      </c>
      <c r="D1863" s="25" t="n">
        <f aca="false">EDATE('Start Here'!$B$6,C1863-1)</f>
        <v>48061</v>
      </c>
      <c r="E1863" s="11" t="n">
        <f aca="false">IF(AND(C1863&gt;=Staffing!$F$36,C1863&lt;=Staffing!$G$36,1=1),IF(C1863&lt;=6,Staffing!$H$36,IF(C1863&lt;=15,Staffing!$I$36,IF(C1863&lt;=30,Staffing!$J$36,Staffing!$K$36))),0)</f>
        <v>3</v>
      </c>
      <c r="F1863" s="10" t="n">
        <f aca="false">E1863*Staffing!$L$36/12*(1+Assumptions!$E$10)^INT((C1863-1)/12)*1</f>
        <v>33426.421875</v>
      </c>
      <c r="G1863" s="10" t="n">
        <f aca="false">F1863*Staffing!$N$36</f>
        <v>13370.56875</v>
      </c>
      <c r="H1863" s="10" t="n">
        <f aca="false">F1863+G1863</f>
        <v>46796.990625</v>
      </c>
      <c r="I1863" s="10" t="n">
        <f aca="false">0</f>
        <v>0</v>
      </c>
      <c r="J1863" s="10" t="n">
        <f aca="false">MAX(0,E1863-E1862)*Staffing!$O$36</f>
        <v>0</v>
      </c>
      <c r="K1863" s="10" t="n">
        <f aca="false">MAX(0,E1863-E1862)*Staffing!$P$36</f>
        <v>0</v>
      </c>
      <c r="L1863" s="23" t="n">
        <f aca="false">ROUNDUP(E1863,0)</f>
        <v>3</v>
      </c>
    </row>
    <row r="1864" customFormat="false" ht="15" hidden="false" customHeight="false" outlineLevel="0" collapsed="false">
      <c r="A1864" s="6" t="s">
        <v>73</v>
      </c>
      <c r="B1864" s="6" t="s">
        <v>336</v>
      </c>
      <c r="C1864" s="6" t="n">
        <v>59</v>
      </c>
      <c r="D1864" s="25" t="n">
        <f aca="false">EDATE('Start Here'!$B$6,C1864-1)</f>
        <v>48092</v>
      </c>
      <c r="E1864" s="11" t="n">
        <f aca="false">IF(AND(C1864&gt;=Staffing!$F$36,C1864&lt;=Staffing!$G$36,1=1),IF(C1864&lt;=6,Staffing!$H$36,IF(C1864&lt;=15,Staffing!$I$36,IF(C1864&lt;=30,Staffing!$J$36,Staffing!$K$36))),0)</f>
        <v>3</v>
      </c>
      <c r="F1864" s="10" t="n">
        <f aca="false">E1864*Staffing!$L$36/12*(1+Assumptions!$E$10)^INT((C1864-1)/12)*1</f>
        <v>33426.421875</v>
      </c>
      <c r="G1864" s="10" t="n">
        <f aca="false">F1864*Staffing!$N$36</f>
        <v>13370.56875</v>
      </c>
      <c r="H1864" s="10" t="n">
        <f aca="false">F1864+G1864</f>
        <v>46796.990625</v>
      </c>
      <c r="I1864" s="10" t="n">
        <f aca="false">0</f>
        <v>0</v>
      </c>
      <c r="J1864" s="10" t="n">
        <f aca="false">MAX(0,E1864-E1863)*Staffing!$O$36</f>
        <v>0</v>
      </c>
      <c r="K1864" s="10" t="n">
        <f aca="false">MAX(0,E1864-E1863)*Staffing!$P$36</f>
        <v>0</v>
      </c>
      <c r="L1864" s="23" t="n">
        <f aca="false">ROUNDUP(E1864,0)</f>
        <v>3</v>
      </c>
    </row>
    <row r="1865" customFormat="false" ht="15" hidden="false" customHeight="false" outlineLevel="0" collapsed="false">
      <c r="A1865" s="6" t="s">
        <v>73</v>
      </c>
      <c r="B1865" s="6" t="s">
        <v>336</v>
      </c>
      <c r="C1865" s="6" t="n">
        <v>60</v>
      </c>
      <c r="D1865" s="25" t="n">
        <f aca="false">EDATE('Start Here'!$B$6,C1865-1)</f>
        <v>48122</v>
      </c>
      <c r="E1865" s="11" t="n">
        <f aca="false">IF(AND(C1865&gt;=Staffing!$F$36,C1865&lt;=Staffing!$G$36,1=1),IF(C1865&lt;=6,Staffing!$H$36,IF(C1865&lt;=15,Staffing!$I$36,IF(C1865&lt;=30,Staffing!$J$36,Staffing!$K$36))),0)</f>
        <v>3</v>
      </c>
      <c r="F1865" s="10" t="n">
        <f aca="false">E1865*Staffing!$L$36/12*(1+Assumptions!$E$10)^INT((C1865-1)/12)*1</f>
        <v>33426.421875</v>
      </c>
      <c r="G1865" s="10" t="n">
        <f aca="false">F1865*Staffing!$N$36</f>
        <v>13370.56875</v>
      </c>
      <c r="H1865" s="10" t="n">
        <f aca="false">F1865+G1865</f>
        <v>46796.990625</v>
      </c>
      <c r="I1865" s="10" t="n">
        <f aca="false">0</f>
        <v>0</v>
      </c>
      <c r="J1865" s="10" t="n">
        <f aca="false">MAX(0,E1865-E1864)*Staffing!$O$36</f>
        <v>0</v>
      </c>
      <c r="K1865" s="10" t="n">
        <f aca="false">MAX(0,E1865-E1864)*Staffing!$P$36</f>
        <v>0</v>
      </c>
      <c r="L1865" s="23" t="n">
        <f aca="false">ROUNDUP(E1865,0)</f>
        <v>3</v>
      </c>
    </row>
    <row r="1866" customFormat="false" ht="15" hidden="false" customHeight="false" outlineLevel="0" collapsed="false">
      <c r="A1866" s="6" t="s">
        <v>73</v>
      </c>
      <c r="B1866" s="6" t="s">
        <v>338</v>
      </c>
      <c r="C1866" s="6" t="n">
        <v>1</v>
      </c>
      <c r="D1866" s="25" t="n">
        <f aca="false">EDATE('Start Here'!$B$6,C1866-1)</f>
        <v>46327</v>
      </c>
      <c r="E1866" s="23" t="n">
        <f aca="false">IF(AND(C1866&gt;=Staffing!$F$37,C1866&lt;=Staffing!$G$37,1=1),IF(C1866&lt;=6,Staffing!$H$37,IF(C1866&lt;=15,Staffing!$I$37,IF(C1866&lt;=30,Staffing!$J$37,Staffing!$K$37))),0)</f>
        <v>0</v>
      </c>
      <c r="F1866" s="10" t="n">
        <f aca="false">E1866*Staffing!$L$37/12*(1+Assumptions!$E$10)^INT((C1866-1)/12)*1</f>
        <v>0</v>
      </c>
      <c r="G1866" s="10" t="n">
        <f aca="false">F1866*Staffing!$N$37</f>
        <v>0</v>
      </c>
      <c r="H1866" s="10" t="n">
        <f aca="false">F1866+G1866</f>
        <v>0</v>
      </c>
      <c r="I1866" s="10" t="n">
        <f aca="false">0</f>
        <v>0</v>
      </c>
      <c r="J1866" s="10" t="n">
        <f aca="false">MAX(0,E1866-0)*Staffing!$O$37</f>
        <v>0</v>
      </c>
      <c r="K1866" s="10" t="n">
        <f aca="false">MAX(0,E1866-0)*Staffing!$P$37</f>
        <v>0</v>
      </c>
      <c r="L1866" s="23" t="n">
        <f aca="false">ROUNDUP(E1866,0)</f>
        <v>0</v>
      </c>
    </row>
    <row r="1867" customFormat="false" ht="15" hidden="false" customHeight="false" outlineLevel="0" collapsed="false">
      <c r="A1867" s="6" t="s">
        <v>73</v>
      </c>
      <c r="B1867" s="6" t="s">
        <v>338</v>
      </c>
      <c r="C1867" s="6" t="n">
        <v>2</v>
      </c>
      <c r="D1867" s="25" t="n">
        <f aca="false">EDATE('Start Here'!$B$6,C1867-1)</f>
        <v>46357</v>
      </c>
      <c r="E1867" s="11" t="n">
        <f aca="false">IF(AND(C1867&gt;=Staffing!$F$37,C1867&lt;=Staffing!$G$37,1=1),IF(C1867&lt;=6,Staffing!$H$37,IF(C1867&lt;=15,Staffing!$I$37,IF(C1867&lt;=30,Staffing!$J$37,Staffing!$K$37))),0)</f>
        <v>0.5</v>
      </c>
      <c r="F1867" s="10" t="n">
        <f aca="false">E1867*Staffing!$L$37/12*(1+Assumptions!$E$10)^INT((C1867-1)/12)*1</f>
        <v>7916.66666666667</v>
      </c>
      <c r="G1867" s="10" t="n">
        <f aca="false">F1867*Staffing!$N$37</f>
        <v>0</v>
      </c>
      <c r="H1867" s="10" t="n">
        <f aca="false">F1867+G1867</f>
        <v>7916.66666666667</v>
      </c>
      <c r="I1867" s="10" t="n">
        <f aca="false">0</f>
        <v>0</v>
      </c>
      <c r="J1867" s="10" t="n">
        <f aca="false">MAX(0,E1867-E1866)*Staffing!$O$37</f>
        <v>0</v>
      </c>
      <c r="K1867" s="10" t="n">
        <f aca="false">MAX(0,E1867-E1866)*Staffing!$P$37</f>
        <v>1750</v>
      </c>
      <c r="L1867" s="23" t="n">
        <f aca="false">ROUNDUP(E1867,0)</f>
        <v>1</v>
      </c>
    </row>
    <row r="1868" customFormat="false" ht="15" hidden="false" customHeight="false" outlineLevel="0" collapsed="false">
      <c r="A1868" s="6" t="s">
        <v>73</v>
      </c>
      <c r="B1868" s="6" t="s">
        <v>338</v>
      </c>
      <c r="C1868" s="6" t="n">
        <v>3</v>
      </c>
      <c r="D1868" s="25" t="n">
        <f aca="false">EDATE('Start Here'!$B$6,C1868-1)</f>
        <v>46388</v>
      </c>
      <c r="E1868" s="11" t="n">
        <f aca="false">IF(AND(C1868&gt;=Staffing!$F$37,C1868&lt;=Staffing!$G$37,1=1),IF(C1868&lt;=6,Staffing!$H$37,IF(C1868&lt;=15,Staffing!$I$37,IF(C1868&lt;=30,Staffing!$J$37,Staffing!$K$37))),0)</f>
        <v>0.5</v>
      </c>
      <c r="F1868" s="10" t="n">
        <f aca="false">E1868*Staffing!$L$37/12*(1+Assumptions!$E$10)^INT((C1868-1)/12)*1</f>
        <v>7916.66666666667</v>
      </c>
      <c r="G1868" s="10" t="n">
        <f aca="false">F1868*Staffing!$N$37</f>
        <v>0</v>
      </c>
      <c r="H1868" s="10" t="n">
        <f aca="false">F1868+G1868</f>
        <v>7916.66666666667</v>
      </c>
      <c r="I1868" s="10" t="n">
        <f aca="false">0</f>
        <v>0</v>
      </c>
      <c r="J1868" s="10" t="n">
        <f aca="false">MAX(0,E1868-E1867)*Staffing!$O$37</f>
        <v>0</v>
      </c>
      <c r="K1868" s="10" t="n">
        <f aca="false">MAX(0,E1868-E1867)*Staffing!$P$37</f>
        <v>0</v>
      </c>
      <c r="L1868" s="23" t="n">
        <f aca="false">ROUNDUP(E1868,0)</f>
        <v>1</v>
      </c>
    </row>
    <row r="1869" customFormat="false" ht="15" hidden="false" customHeight="false" outlineLevel="0" collapsed="false">
      <c r="A1869" s="6" t="s">
        <v>73</v>
      </c>
      <c r="B1869" s="6" t="s">
        <v>338</v>
      </c>
      <c r="C1869" s="6" t="n">
        <v>4</v>
      </c>
      <c r="D1869" s="25" t="n">
        <f aca="false">EDATE('Start Here'!$B$6,C1869-1)</f>
        <v>46419</v>
      </c>
      <c r="E1869" s="11" t="n">
        <f aca="false">IF(AND(C1869&gt;=Staffing!$F$37,C1869&lt;=Staffing!$G$37,1=1),IF(C1869&lt;=6,Staffing!$H$37,IF(C1869&lt;=15,Staffing!$I$37,IF(C1869&lt;=30,Staffing!$J$37,Staffing!$K$37))),0)</f>
        <v>0.5</v>
      </c>
      <c r="F1869" s="10" t="n">
        <f aca="false">E1869*Staffing!$L$37/12*(1+Assumptions!$E$10)^INT((C1869-1)/12)*1</f>
        <v>7916.66666666667</v>
      </c>
      <c r="G1869" s="10" t="n">
        <f aca="false">F1869*Staffing!$N$37</f>
        <v>0</v>
      </c>
      <c r="H1869" s="10" t="n">
        <f aca="false">F1869+G1869</f>
        <v>7916.66666666667</v>
      </c>
      <c r="I1869" s="10" t="n">
        <f aca="false">0</f>
        <v>0</v>
      </c>
      <c r="J1869" s="10" t="n">
        <f aca="false">MAX(0,E1869-E1868)*Staffing!$O$37</f>
        <v>0</v>
      </c>
      <c r="K1869" s="10" t="n">
        <f aca="false">MAX(0,E1869-E1868)*Staffing!$P$37</f>
        <v>0</v>
      </c>
      <c r="L1869" s="23" t="n">
        <f aca="false">ROUNDUP(E1869,0)</f>
        <v>1</v>
      </c>
    </row>
    <row r="1870" customFormat="false" ht="15" hidden="false" customHeight="false" outlineLevel="0" collapsed="false">
      <c r="A1870" s="6" t="s">
        <v>73</v>
      </c>
      <c r="B1870" s="6" t="s">
        <v>338</v>
      </c>
      <c r="C1870" s="6" t="n">
        <v>5</v>
      </c>
      <c r="D1870" s="25" t="n">
        <f aca="false">EDATE('Start Here'!$B$6,C1870-1)</f>
        <v>46447</v>
      </c>
      <c r="E1870" s="11" t="n">
        <f aca="false">IF(AND(C1870&gt;=Staffing!$F$37,C1870&lt;=Staffing!$G$37,1=1),IF(C1870&lt;=6,Staffing!$H$37,IF(C1870&lt;=15,Staffing!$I$37,IF(C1870&lt;=30,Staffing!$J$37,Staffing!$K$37))),0)</f>
        <v>0.5</v>
      </c>
      <c r="F1870" s="10" t="n">
        <f aca="false">E1870*Staffing!$L$37/12*(1+Assumptions!$E$10)^INT((C1870-1)/12)*1</f>
        <v>7916.66666666667</v>
      </c>
      <c r="G1870" s="10" t="n">
        <f aca="false">F1870*Staffing!$N$37</f>
        <v>0</v>
      </c>
      <c r="H1870" s="10" t="n">
        <f aca="false">F1870+G1870</f>
        <v>7916.66666666667</v>
      </c>
      <c r="I1870" s="10" t="n">
        <f aca="false">0</f>
        <v>0</v>
      </c>
      <c r="J1870" s="10" t="n">
        <f aca="false">MAX(0,E1870-E1869)*Staffing!$O$37</f>
        <v>0</v>
      </c>
      <c r="K1870" s="10" t="n">
        <f aca="false">MAX(0,E1870-E1869)*Staffing!$P$37</f>
        <v>0</v>
      </c>
      <c r="L1870" s="23" t="n">
        <f aca="false">ROUNDUP(E1870,0)</f>
        <v>1</v>
      </c>
    </row>
    <row r="1871" customFormat="false" ht="15" hidden="false" customHeight="false" outlineLevel="0" collapsed="false">
      <c r="A1871" s="6" t="s">
        <v>73</v>
      </c>
      <c r="B1871" s="6" t="s">
        <v>338</v>
      </c>
      <c r="C1871" s="6" t="n">
        <v>6</v>
      </c>
      <c r="D1871" s="25" t="n">
        <f aca="false">EDATE('Start Here'!$B$6,C1871-1)</f>
        <v>46478</v>
      </c>
      <c r="E1871" s="11" t="n">
        <f aca="false">IF(AND(C1871&gt;=Staffing!$F$37,C1871&lt;=Staffing!$G$37,1=1),IF(C1871&lt;=6,Staffing!$H$37,IF(C1871&lt;=15,Staffing!$I$37,IF(C1871&lt;=30,Staffing!$J$37,Staffing!$K$37))),0)</f>
        <v>0.5</v>
      </c>
      <c r="F1871" s="10" t="n">
        <f aca="false">E1871*Staffing!$L$37/12*(1+Assumptions!$E$10)^INT((C1871-1)/12)*1</f>
        <v>7916.66666666667</v>
      </c>
      <c r="G1871" s="10" t="n">
        <f aca="false">F1871*Staffing!$N$37</f>
        <v>0</v>
      </c>
      <c r="H1871" s="10" t="n">
        <f aca="false">F1871+G1871</f>
        <v>7916.66666666667</v>
      </c>
      <c r="I1871" s="10" t="n">
        <f aca="false">0</f>
        <v>0</v>
      </c>
      <c r="J1871" s="10" t="n">
        <f aca="false">MAX(0,E1871-E1870)*Staffing!$O$37</f>
        <v>0</v>
      </c>
      <c r="K1871" s="10" t="n">
        <f aca="false">MAX(0,E1871-E1870)*Staffing!$P$37</f>
        <v>0</v>
      </c>
      <c r="L1871" s="23" t="n">
        <f aca="false">ROUNDUP(E1871,0)</f>
        <v>1</v>
      </c>
    </row>
    <row r="1872" customFormat="false" ht="15" hidden="false" customHeight="false" outlineLevel="0" collapsed="false">
      <c r="A1872" s="6" t="s">
        <v>73</v>
      </c>
      <c r="B1872" s="6" t="s">
        <v>338</v>
      </c>
      <c r="C1872" s="6" t="n">
        <v>7</v>
      </c>
      <c r="D1872" s="25" t="n">
        <f aca="false">EDATE('Start Here'!$B$6,C1872-1)</f>
        <v>46508</v>
      </c>
      <c r="E1872" s="11" t="n">
        <f aca="false">IF(AND(C1872&gt;=Staffing!$F$37,C1872&lt;=Staffing!$G$37,1=1),IF(C1872&lt;=6,Staffing!$H$37,IF(C1872&lt;=15,Staffing!$I$37,IF(C1872&lt;=30,Staffing!$J$37,Staffing!$K$37))),0)</f>
        <v>0.75</v>
      </c>
      <c r="F1872" s="10" t="n">
        <f aca="false">E1872*Staffing!$L$37/12*(1+Assumptions!$E$10)^INT((C1872-1)/12)*1</f>
        <v>11875</v>
      </c>
      <c r="G1872" s="10" t="n">
        <f aca="false">F1872*Staffing!$N$37</f>
        <v>0</v>
      </c>
      <c r="H1872" s="10" t="n">
        <f aca="false">F1872+G1872</f>
        <v>11875</v>
      </c>
      <c r="I1872" s="10" t="n">
        <f aca="false">0</f>
        <v>0</v>
      </c>
      <c r="J1872" s="10" t="n">
        <f aca="false">MAX(0,E1872-E1871)*Staffing!$O$37</f>
        <v>0</v>
      </c>
      <c r="K1872" s="10" t="n">
        <f aca="false">MAX(0,E1872-E1871)*Staffing!$P$37</f>
        <v>875</v>
      </c>
      <c r="L1872" s="23" t="n">
        <f aca="false">ROUNDUP(E1872,0)</f>
        <v>1</v>
      </c>
    </row>
    <row r="1873" customFormat="false" ht="15" hidden="false" customHeight="false" outlineLevel="0" collapsed="false">
      <c r="A1873" s="6" t="s">
        <v>73</v>
      </c>
      <c r="B1873" s="6" t="s">
        <v>338</v>
      </c>
      <c r="C1873" s="6" t="n">
        <v>8</v>
      </c>
      <c r="D1873" s="25" t="n">
        <f aca="false">EDATE('Start Here'!$B$6,C1873-1)</f>
        <v>46539</v>
      </c>
      <c r="E1873" s="11" t="n">
        <f aca="false">IF(AND(C1873&gt;=Staffing!$F$37,C1873&lt;=Staffing!$G$37,1=1),IF(C1873&lt;=6,Staffing!$H$37,IF(C1873&lt;=15,Staffing!$I$37,IF(C1873&lt;=30,Staffing!$J$37,Staffing!$K$37))),0)</f>
        <v>0.75</v>
      </c>
      <c r="F1873" s="10" t="n">
        <f aca="false">E1873*Staffing!$L$37/12*(1+Assumptions!$E$10)^INT((C1873-1)/12)*1</f>
        <v>11875</v>
      </c>
      <c r="G1873" s="10" t="n">
        <f aca="false">F1873*Staffing!$N$37</f>
        <v>0</v>
      </c>
      <c r="H1873" s="10" t="n">
        <f aca="false">F1873+G1873</f>
        <v>11875</v>
      </c>
      <c r="I1873" s="10" t="n">
        <f aca="false">0</f>
        <v>0</v>
      </c>
      <c r="J1873" s="10" t="n">
        <f aca="false">MAX(0,E1873-E1872)*Staffing!$O$37</f>
        <v>0</v>
      </c>
      <c r="K1873" s="10" t="n">
        <f aca="false">MAX(0,E1873-E1872)*Staffing!$P$37</f>
        <v>0</v>
      </c>
      <c r="L1873" s="23" t="n">
        <f aca="false">ROUNDUP(E1873,0)</f>
        <v>1</v>
      </c>
    </row>
    <row r="1874" customFormat="false" ht="15" hidden="false" customHeight="false" outlineLevel="0" collapsed="false">
      <c r="A1874" s="6" t="s">
        <v>73</v>
      </c>
      <c r="B1874" s="6" t="s">
        <v>338</v>
      </c>
      <c r="C1874" s="6" t="n">
        <v>9</v>
      </c>
      <c r="D1874" s="25" t="n">
        <f aca="false">EDATE('Start Here'!$B$6,C1874-1)</f>
        <v>46569</v>
      </c>
      <c r="E1874" s="11" t="n">
        <f aca="false">IF(AND(C1874&gt;=Staffing!$F$37,C1874&lt;=Staffing!$G$37,1=1),IF(C1874&lt;=6,Staffing!$H$37,IF(C1874&lt;=15,Staffing!$I$37,IF(C1874&lt;=30,Staffing!$J$37,Staffing!$K$37))),0)</f>
        <v>0.75</v>
      </c>
      <c r="F1874" s="10" t="n">
        <f aca="false">E1874*Staffing!$L$37/12*(1+Assumptions!$E$10)^INT((C1874-1)/12)*1</f>
        <v>11875</v>
      </c>
      <c r="G1874" s="10" t="n">
        <f aca="false">F1874*Staffing!$N$37</f>
        <v>0</v>
      </c>
      <c r="H1874" s="10" t="n">
        <f aca="false">F1874+G1874</f>
        <v>11875</v>
      </c>
      <c r="I1874" s="10" t="n">
        <f aca="false">0</f>
        <v>0</v>
      </c>
      <c r="J1874" s="10" t="n">
        <f aca="false">MAX(0,E1874-E1873)*Staffing!$O$37</f>
        <v>0</v>
      </c>
      <c r="K1874" s="10" t="n">
        <f aca="false">MAX(0,E1874-E1873)*Staffing!$P$37</f>
        <v>0</v>
      </c>
      <c r="L1874" s="23" t="n">
        <f aca="false">ROUNDUP(E1874,0)</f>
        <v>1</v>
      </c>
    </row>
    <row r="1875" customFormat="false" ht="15" hidden="false" customHeight="false" outlineLevel="0" collapsed="false">
      <c r="A1875" s="6" t="s">
        <v>73</v>
      </c>
      <c r="B1875" s="6" t="s">
        <v>338</v>
      </c>
      <c r="C1875" s="6" t="n">
        <v>10</v>
      </c>
      <c r="D1875" s="25" t="n">
        <f aca="false">EDATE('Start Here'!$B$6,C1875-1)</f>
        <v>46600</v>
      </c>
      <c r="E1875" s="11" t="n">
        <f aca="false">IF(AND(C1875&gt;=Staffing!$F$37,C1875&lt;=Staffing!$G$37,1=1),IF(C1875&lt;=6,Staffing!$H$37,IF(C1875&lt;=15,Staffing!$I$37,IF(C1875&lt;=30,Staffing!$J$37,Staffing!$K$37))),0)</f>
        <v>0.75</v>
      </c>
      <c r="F1875" s="10" t="n">
        <f aca="false">E1875*Staffing!$L$37/12*(1+Assumptions!$E$10)^INT((C1875-1)/12)*1</f>
        <v>11875</v>
      </c>
      <c r="G1875" s="10" t="n">
        <f aca="false">F1875*Staffing!$N$37</f>
        <v>0</v>
      </c>
      <c r="H1875" s="10" t="n">
        <f aca="false">F1875+G1875</f>
        <v>11875</v>
      </c>
      <c r="I1875" s="10" t="n">
        <f aca="false">0</f>
        <v>0</v>
      </c>
      <c r="J1875" s="10" t="n">
        <f aca="false">MAX(0,E1875-E1874)*Staffing!$O$37</f>
        <v>0</v>
      </c>
      <c r="K1875" s="10" t="n">
        <f aca="false">MAX(0,E1875-E1874)*Staffing!$P$37</f>
        <v>0</v>
      </c>
      <c r="L1875" s="23" t="n">
        <f aca="false">ROUNDUP(E1875,0)</f>
        <v>1</v>
      </c>
    </row>
    <row r="1876" customFormat="false" ht="15" hidden="false" customHeight="false" outlineLevel="0" collapsed="false">
      <c r="A1876" s="6" t="s">
        <v>73</v>
      </c>
      <c r="B1876" s="6" t="s">
        <v>338</v>
      </c>
      <c r="C1876" s="6" t="n">
        <v>11</v>
      </c>
      <c r="D1876" s="25" t="n">
        <f aca="false">EDATE('Start Here'!$B$6,C1876-1)</f>
        <v>46631</v>
      </c>
      <c r="E1876" s="11" t="n">
        <f aca="false">IF(AND(C1876&gt;=Staffing!$F$37,C1876&lt;=Staffing!$G$37,1=1),IF(C1876&lt;=6,Staffing!$H$37,IF(C1876&lt;=15,Staffing!$I$37,IF(C1876&lt;=30,Staffing!$J$37,Staffing!$K$37))),0)</f>
        <v>0.75</v>
      </c>
      <c r="F1876" s="10" t="n">
        <f aca="false">E1876*Staffing!$L$37/12*(1+Assumptions!$E$10)^INT((C1876-1)/12)*1</f>
        <v>11875</v>
      </c>
      <c r="G1876" s="10" t="n">
        <f aca="false">F1876*Staffing!$N$37</f>
        <v>0</v>
      </c>
      <c r="H1876" s="10" t="n">
        <f aca="false">F1876+G1876</f>
        <v>11875</v>
      </c>
      <c r="I1876" s="10" t="n">
        <f aca="false">0</f>
        <v>0</v>
      </c>
      <c r="J1876" s="10" t="n">
        <f aca="false">MAX(0,E1876-E1875)*Staffing!$O$37</f>
        <v>0</v>
      </c>
      <c r="K1876" s="10" t="n">
        <f aca="false">MAX(0,E1876-E1875)*Staffing!$P$37</f>
        <v>0</v>
      </c>
      <c r="L1876" s="23" t="n">
        <f aca="false">ROUNDUP(E1876,0)</f>
        <v>1</v>
      </c>
    </row>
    <row r="1877" customFormat="false" ht="15" hidden="false" customHeight="false" outlineLevel="0" collapsed="false">
      <c r="A1877" s="6" t="s">
        <v>73</v>
      </c>
      <c r="B1877" s="6" t="s">
        <v>338</v>
      </c>
      <c r="C1877" s="6" t="n">
        <v>12</v>
      </c>
      <c r="D1877" s="25" t="n">
        <f aca="false">EDATE('Start Here'!$B$6,C1877-1)</f>
        <v>46661</v>
      </c>
      <c r="E1877" s="11" t="n">
        <f aca="false">IF(AND(C1877&gt;=Staffing!$F$37,C1877&lt;=Staffing!$G$37,1=1),IF(C1877&lt;=6,Staffing!$H$37,IF(C1877&lt;=15,Staffing!$I$37,IF(C1877&lt;=30,Staffing!$J$37,Staffing!$K$37))),0)</f>
        <v>0.75</v>
      </c>
      <c r="F1877" s="10" t="n">
        <f aca="false">E1877*Staffing!$L$37/12*(1+Assumptions!$E$10)^INT((C1877-1)/12)*1</f>
        <v>11875</v>
      </c>
      <c r="G1877" s="10" t="n">
        <f aca="false">F1877*Staffing!$N$37</f>
        <v>0</v>
      </c>
      <c r="H1877" s="10" t="n">
        <f aca="false">F1877+G1877</f>
        <v>11875</v>
      </c>
      <c r="I1877" s="10" t="n">
        <f aca="false">0</f>
        <v>0</v>
      </c>
      <c r="J1877" s="10" t="n">
        <f aca="false">MAX(0,E1877-E1876)*Staffing!$O$37</f>
        <v>0</v>
      </c>
      <c r="K1877" s="10" t="n">
        <f aca="false">MAX(0,E1877-E1876)*Staffing!$P$37</f>
        <v>0</v>
      </c>
      <c r="L1877" s="23" t="n">
        <f aca="false">ROUNDUP(E1877,0)</f>
        <v>1</v>
      </c>
    </row>
    <row r="1878" customFormat="false" ht="15" hidden="false" customHeight="false" outlineLevel="0" collapsed="false">
      <c r="A1878" s="6" t="s">
        <v>73</v>
      </c>
      <c r="B1878" s="6" t="s">
        <v>338</v>
      </c>
      <c r="C1878" s="6" t="n">
        <v>13</v>
      </c>
      <c r="D1878" s="25" t="n">
        <f aca="false">EDATE('Start Here'!$B$6,C1878-1)</f>
        <v>46692</v>
      </c>
      <c r="E1878" s="11" t="n">
        <f aca="false">IF(AND(C1878&gt;=Staffing!$F$37,C1878&lt;=Staffing!$G$37,1=1),IF(C1878&lt;=6,Staffing!$H$37,IF(C1878&lt;=15,Staffing!$I$37,IF(C1878&lt;=30,Staffing!$J$37,Staffing!$K$37))),0)</f>
        <v>0.75</v>
      </c>
      <c r="F1878" s="10" t="n">
        <f aca="false">E1878*Staffing!$L$37/12*(1+Assumptions!$E$10)^INT((C1878-1)/12)*1</f>
        <v>12468.75</v>
      </c>
      <c r="G1878" s="10" t="n">
        <f aca="false">F1878*Staffing!$N$37</f>
        <v>0</v>
      </c>
      <c r="H1878" s="10" t="n">
        <f aca="false">F1878+G1878</f>
        <v>12468.75</v>
      </c>
      <c r="I1878" s="10" t="n">
        <f aca="false">0</f>
        <v>0</v>
      </c>
      <c r="J1878" s="10" t="n">
        <f aca="false">MAX(0,E1878-E1877)*Staffing!$O$37</f>
        <v>0</v>
      </c>
      <c r="K1878" s="10" t="n">
        <f aca="false">MAX(0,E1878-E1877)*Staffing!$P$37</f>
        <v>0</v>
      </c>
      <c r="L1878" s="23" t="n">
        <f aca="false">ROUNDUP(E1878,0)</f>
        <v>1</v>
      </c>
    </row>
    <row r="1879" customFormat="false" ht="15" hidden="false" customHeight="false" outlineLevel="0" collapsed="false">
      <c r="A1879" s="6" t="s">
        <v>73</v>
      </c>
      <c r="B1879" s="6" t="s">
        <v>338</v>
      </c>
      <c r="C1879" s="6" t="n">
        <v>14</v>
      </c>
      <c r="D1879" s="25" t="n">
        <f aca="false">EDATE('Start Here'!$B$6,C1879-1)</f>
        <v>46722</v>
      </c>
      <c r="E1879" s="11" t="n">
        <f aca="false">IF(AND(C1879&gt;=Staffing!$F$37,C1879&lt;=Staffing!$G$37,1=1),IF(C1879&lt;=6,Staffing!$H$37,IF(C1879&lt;=15,Staffing!$I$37,IF(C1879&lt;=30,Staffing!$J$37,Staffing!$K$37))),0)</f>
        <v>0.75</v>
      </c>
      <c r="F1879" s="10" t="n">
        <f aca="false">E1879*Staffing!$L$37/12*(1+Assumptions!$E$10)^INT((C1879-1)/12)*1</f>
        <v>12468.75</v>
      </c>
      <c r="G1879" s="10" t="n">
        <f aca="false">F1879*Staffing!$N$37</f>
        <v>0</v>
      </c>
      <c r="H1879" s="10" t="n">
        <f aca="false">F1879+G1879</f>
        <v>12468.75</v>
      </c>
      <c r="I1879" s="10" t="n">
        <f aca="false">0</f>
        <v>0</v>
      </c>
      <c r="J1879" s="10" t="n">
        <f aca="false">MAX(0,E1879-E1878)*Staffing!$O$37</f>
        <v>0</v>
      </c>
      <c r="K1879" s="10" t="n">
        <f aca="false">MAX(0,E1879-E1878)*Staffing!$P$37</f>
        <v>0</v>
      </c>
      <c r="L1879" s="23" t="n">
        <f aca="false">ROUNDUP(E1879,0)</f>
        <v>1</v>
      </c>
    </row>
    <row r="1880" customFormat="false" ht="15" hidden="false" customHeight="false" outlineLevel="0" collapsed="false">
      <c r="A1880" s="6" t="s">
        <v>73</v>
      </c>
      <c r="B1880" s="6" t="s">
        <v>338</v>
      </c>
      <c r="C1880" s="6" t="n">
        <v>15</v>
      </c>
      <c r="D1880" s="25" t="n">
        <f aca="false">EDATE('Start Here'!$B$6,C1880-1)</f>
        <v>46753</v>
      </c>
      <c r="E1880" s="11" t="n">
        <f aca="false">IF(AND(C1880&gt;=Staffing!$F$37,C1880&lt;=Staffing!$G$37,1=1),IF(C1880&lt;=6,Staffing!$H$37,IF(C1880&lt;=15,Staffing!$I$37,IF(C1880&lt;=30,Staffing!$J$37,Staffing!$K$37))),0)</f>
        <v>0.75</v>
      </c>
      <c r="F1880" s="10" t="n">
        <f aca="false">E1880*Staffing!$L$37/12*(1+Assumptions!$E$10)^INT((C1880-1)/12)*1</f>
        <v>12468.75</v>
      </c>
      <c r="G1880" s="10" t="n">
        <f aca="false">F1880*Staffing!$N$37</f>
        <v>0</v>
      </c>
      <c r="H1880" s="10" t="n">
        <f aca="false">F1880+G1880</f>
        <v>12468.75</v>
      </c>
      <c r="I1880" s="10" t="n">
        <f aca="false">0</f>
        <v>0</v>
      </c>
      <c r="J1880" s="10" t="n">
        <f aca="false">MAX(0,E1880-E1879)*Staffing!$O$37</f>
        <v>0</v>
      </c>
      <c r="K1880" s="10" t="n">
        <f aca="false">MAX(0,E1880-E1879)*Staffing!$P$37</f>
        <v>0</v>
      </c>
      <c r="L1880" s="23" t="n">
        <f aca="false">ROUNDUP(E1880,0)</f>
        <v>1</v>
      </c>
    </row>
    <row r="1881" customFormat="false" ht="15" hidden="false" customHeight="false" outlineLevel="0" collapsed="false">
      <c r="A1881" s="6" t="s">
        <v>73</v>
      </c>
      <c r="B1881" s="6" t="s">
        <v>338</v>
      </c>
      <c r="C1881" s="6" t="n">
        <v>16</v>
      </c>
      <c r="D1881" s="25" t="n">
        <f aca="false">EDATE('Start Here'!$B$6,C1881-1)</f>
        <v>46784</v>
      </c>
      <c r="E1881" s="11" t="n">
        <f aca="false">IF(AND(C1881&gt;=Staffing!$F$37,C1881&lt;=Staffing!$G$37,1=1),IF(C1881&lt;=6,Staffing!$H$37,IF(C1881&lt;=15,Staffing!$I$37,IF(C1881&lt;=30,Staffing!$J$37,Staffing!$K$37))),0)</f>
        <v>1</v>
      </c>
      <c r="F1881" s="10" t="n">
        <f aca="false">E1881*Staffing!$L$37/12*(1+Assumptions!$E$10)^INT((C1881-1)/12)*1</f>
        <v>16625</v>
      </c>
      <c r="G1881" s="10" t="n">
        <f aca="false">F1881*Staffing!$N$37</f>
        <v>0</v>
      </c>
      <c r="H1881" s="10" t="n">
        <f aca="false">F1881+G1881</f>
        <v>16625</v>
      </c>
      <c r="I1881" s="10" t="n">
        <f aca="false">0</f>
        <v>0</v>
      </c>
      <c r="J1881" s="10" t="n">
        <f aca="false">MAX(0,E1881-E1880)*Staffing!$O$37</f>
        <v>0</v>
      </c>
      <c r="K1881" s="10" t="n">
        <f aca="false">MAX(0,E1881-E1880)*Staffing!$P$37</f>
        <v>875</v>
      </c>
      <c r="L1881" s="23" t="n">
        <f aca="false">ROUNDUP(E1881,0)</f>
        <v>1</v>
      </c>
    </row>
    <row r="1882" customFormat="false" ht="15" hidden="false" customHeight="false" outlineLevel="0" collapsed="false">
      <c r="A1882" s="6" t="s">
        <v>73</v>
      </c>
      <c r="B1882" s="6" t="s">
        <v>338</v>
      </c>
      <c r="C1882" s="6" t="n">
        <v>17</v>
      </c>
      <c r="D1882" s="25" t="n">
        <f aca="false">EDATE('Start Here'!$B$6,C1882-1)</f>
        <v>46813</v>
      </c>
      <c r="E1882" s="11" t="n">
        <f aca="false">IF(AND(C1882&gt;=Staffing!$F$37,C1882&lt;=Staffing!$G$37,1=1),IF(C1882&lt;=6,Staffing!$H$37,IF(C1882&lt;=15,Staffing!$I$37,IF(C1882&lt;=30,Staffing!$J$37,Staffing!$K$37))),0)</f>
        <v>1</v>
      </c>
      <c r="F1882" s="10" t="n">
        <f aca="false">E1882*Staffing!$L$37/12*(1+Assumptions!$E$10)^INT((C1882-1)/12)*1</f>
        <v>16625</v>
      </c>
      <c r="G1882" s="10" t="n">
        <f aca="false">F1882*Staffing!$N$37</f>
        <v>0</v>
      </c>
      <c r="H1882" s="10" t="n">
        <f aca="false">F1882+G1882</f>
        <v>16625</v>
      </c>
      <c r="I1882" s="10" t="n">
        <f aca="false">0</f>
        <v>0</v>
      </c>
      <c r="J1882" s="10" t="n">
        <f aca="false">MAX(0,E1882-E1881)*Staffing!$O$37</f>
        <v>0</v>
      </c>
      <c r="K1882" s="10" t="n">
        <f aca="false">MAX(0,E1882-E1881)*Staffing!$P$37</f>
        <v>0</v>
      </c>
      <c r="L1882" s="23" t="n">
        <f aca="false">ROUNDUP(E1882,0)</f>
        <v>1</v>
      </c>
    </row>
    <row r="1883" customFormat="false" ht="15" hidden="false" customHeight="false" outlineLevel="0" collapsed="false">
      <c r="A1883" s="6" t="s">
        <v>73</v>
      </c>
      <c r="B1883" s="6" t="s">
        <v>338</v>
      </c>
      <c r="C1883" s="6" t="n">
        <v>18</v>
      </c>
      <c r="D1883" s="25" t="n">
        <f aca="false">EDATE('Start Here'!$B$6,C1883-1)</f>
        <v>46844</v>
      </c>
      <c r="E1883" s="11" t="n">
        <f aca="false">IF(AND(C1883&gt;=Staffing!$F$37,C1883&lt;=Staffing!$G$37,1=1),IF(C1883&lt;=6,Staffing!$H$37,IF(C1883&lt;=15,Staffing!$I$37,IF(C1883&lt;=30,Staffing!$J$37,Staffing!$K$37))),0)</f>
        <v>1</v>
      </c>
      <c r="F1883" s="10" t="n">
        <f aca="false">E1883*Staffing!$L$37/12*(1+Assumptions!$E$10)^INT((C1883-1)/12)*1</f>
        <v>16625</v>
      </c>
      <c r="G1883" s="10" t="n">
        <f aca="false">F1883*Staffing!$N$37</f>
        <v>0</v>
      </c>
      <c r="H1883" s="10" t="n">
        <f aca="false">F1883+G1883</f>
        <v>16625</v>
      </c>
      <c r="I1883" s="10" t="n">
        <f aca="false">0</f>
        <v>0</v>
      </c>
      <c r="J1883" s="10" t="n">
        <f aca="false">MAX(0,E1883-E1882)*Staffing!$O$37</f>
        <v>0</v>
      </c>
      <c r="K1883" s="10" t="n">
        <f aca="false">MAX(0,E1883-E1882)*Staffing!$P$37</f>
        <v>0</v>
      </c>
      <c r="L1883" s="23" t="n">
        <f aca="false">ROUNDUP(E1883,0)</f>
        <v>1</v>
      </c>
    </row>
    <row r="1884" customFormat="false" ht="15" hidden="false" customHeight="false" outlineLevel="0" collapsed="false">
      <c r="A1884" s="6" t="s">
        <v>73</v>
      </c>
      <c r="B1884" s="6" t="s">
        <v>338</v>
      </c>
      <c r="C1884" s="6" t="n">
        <v>19</v>
      </c>
      <c r="D1884" s="25" t="n">
        <f aca="false">EDATE('Start Here'!$B$6,C1884-1)</f>
        <v>46874</v>
      </c>
      <c r="E1884" s="11" t="n">
        <f aca="false">IF(AND(C1884&gt;=Staffing!$F$37,C1884&lt;=Staffing!$G$37,1=1),IF(C1884&lt;=6,Staffing!$H$37,IF(C1884&lt;=15,Staffing!$I$37,IF(C1884&lt;=30,Staffing!$J$37,Staffing!$K$37))),0)</f>
        <v>1</v>
      </c>
      <c r="F1884" s="10" t="n">
        <f aca="false">E1884*Staffing!$L$37/12*(1+Assumptions!$E$10)^INT((C1884-1)/12)*1</f>
        <v>16625</v>
      </c>
      <c r="G1884" s="10" t="n">
        <f aca="false">F1884*Staffing!$N$37</f>
        <v>0</v>
      </c>
      <c r="H1884" s="10" t="n">
        <f aca="false">F1884+G1884</f>
        <v>16625</v>
      </c>
      <c r="I1884" s="10" t="n">
        <f aca="false">0</f>
        <v>0</v>
      </c>
      <c r="J1884" s="10" t="n">
        <f aca="false">MAX(0,E1884-E1883)*Staffing!$O$37</f>
        <v>0</v>
      </c>
      <c r="K1884" s="10" t="n">
        <f aca="false">MAX(0,E1884-E1883)*Staffing!$P$37</f>
        <v>0</v>
      </c>
      <c r="L1884" s="23" t="n">
        <f aca="false">ROUNDUP(E1884,0)</f>
        <v>1</v>
      </c>
    </row>
    <row r="1885" customFormat="false" ht="15" hidden="false" customHeight="false" outlineLevel="0" collapsed="false">
      <c r="A1885" s="6" t="s">
        <v>73</v>
      </c>
      <c r="B1885" s="6" t="s">
        <v>338</v>
      </c>
      <c r="C1885" s="6" t="n">
        <v>20</v>
      </c>
      <c r="D1885" s="25" t="n">
        <f aca="false">EDATE('Start Here'!$B$6,C1885-1)</f>
        <v>46905</v>
      </c>
      <c r="E1885" s="11" t="n">
        <f aca="false">IF(AND(C1885&gt;=Staffing!$F$37,C1885&lt;=Staffing!$G$37,1=1),IF(C1885&lt;=6,Staffing!$H$37,IF(C1885&lt;=15,Staffing!$I$37,IF(C1885&lt;=30,Staffing!$J$37,Staffing!$K$37))),0)</f>
        <v>1</v>
      </c>
      <c r="F1885" s="10" t="n">
        <f aca="false">E1885*Staffing!$L$37/12*(1+Assumptions!$E$10)^INT((C1885-1)/12)*1</f>
        <v>16625</v>
      </c>
      <c r="G1885" s="10" t="n">
        <f aca="false">F1885*Staffing!$N$37</f>
        <v>0</v>
      </c>
      <c r="H1885" s="10" t="n">
        <f aca="false">F1885+G1885</f>
        <v>16625</v>
      </c>
      <c r="I1885" s="10" t="n">
        <f aca="false">0</f>
        <v>0</v>
      </c>
      <c r="J1885" s="10" t="n">
        <f aca="false">MAX(0,E1885-E1884)*Staffing!$O$37</f>
        <v>0</v>
      </c>
      <c r="K1885" s="10" t="n">
        <f aca="false">MAX(0,E1885-E1884)*Staffing!$P$37</f>
        <v>0</v>
      </c>
      <c r="L1885" s="23" t="n">
        <f aca="false">ROUNDUP(E1885,0)</f>
        <v>1</v>
      </c>
    </row>
    <row r="1886" customFormat="false" ht="15" hidden="false" customHeight="false" outlineLevel="0" collapsed="false">
      <c r="A1886" s="6" t="s">
        <v>73</v>
      </c>
      <c r="B1886" s="6" t="s">
        <v>338</v>
      </c>
      <c r="C1886" s="6" t="n">
        <v>21</v>
      </c>
      <c r="D1886" s="25" t="n">
        <f aca="false">EDATE('Start Here'!$B$6,C1886-1)</f>
        <v>46935</v>
      </c>
      <c r="E1886" s="11" t="n">
        <f aca="false">IF(AND(C1886&gt;=Staffing!$F$37,C1886&lt;=Staffing!$G$37,1=1),IF(C1886&lt;=6,Staffing!$H$37,IF(C1886&lt;=15,Staffing!$I$37,IF(C1886&lt;=30,Staffing!$J$37,Staffing!$K$37))),0)</f>
        <v>1</v>
      </c>
      <c r="F1886" s="10" t="n">
        <f aca="false">E1886*Staffing!$L$37/12*(1+Assumptions!$E$10)^INT((C1886-1)/12)*1</f>
        <v>16625</v>
      </c>
      <c r="G1886" s="10" t="n">
        <f aca="false">F1886*Staffing!$N$37</f>
        <v>0</v>
      </c>
      <c r="H1886" s="10" t="n">
        <f aca="false">F1886+G1886</f>
        <v>16625</v>
      </c>
      <c r="I1886" s="10" t="n">
        <f aca="false">0</f>
        <v>0</v>
      </c>
      <c r="J1886" s="10" t="n">
        <f aca="false">MAX(0,E1886-E1885)*Staffing!$O$37</f>
        <v>0</v>
      </c>
      <c r="K1886" s="10" t="n">
        <f aca="false">MAX(0,E1886-E1885)*Staffing!$P$37</f>
        <v>0</v>
      </c>
      <c r="L1886" s="23" t="n">
        <f aca="false">ROUNDUP(E1886,0)</f>
        <v>1</v>
      </c>
    </row>
    <row r="1887" customFormat="false" ht="15" hidden="false" customHeight="false" outlineLevel="0" collapsed="false">
      <c r="A1887" s="6" t="s">
        <v>73</v>
      </c>
      <c r="B1887" s="6" t="s">
        <v>338</v>
      </c>
      <c r="C1887" s="6" t="n">
        <v>22</v>
      </c>
      <c r="D1887" s="25" t="n">
        <f aca="false">EDATE('Start Here'!$B$6,C1887-1)</f>
        <v>46966</v>
      </c>
      <c r="E1887" s="11" t="n">
        <f aca="false">IF(AND(C1887&gt;=Staffing!$F$37,C1887&lt;=Staffing!$G$37,1=1),IF(C1887&lt;=6,Staffing!$H$37,IF(C1887&lt;=15,Staffing!$I$37,IF(C1887&lt;=30,Staffing!$J$37,Staffing!$K$37))),0)</f>
        <v>1</v>
      </c>
      <c r="F1887" s="10" t="n">
        <f aca="false">E1887*Staffing!$L$37/12*(1+Assumptions!$E$10)^INT((C1887-1)/12)*1</f>
        <v>16625</v>
      </c>
      <c r="G1887" s="10" t="n">
        <f aca="false">F1887*Staffing!$N$37</f>
        <v>0</v>
      </c>
      <c r="H1887" s="10" t="n">
        <f aca="false">F1887+G1887</f>
        <v>16625</v>
      </c>
      <c r="I1887" s="10" t="n">
        <f aca="false">0</f>
        <v>0</v>
      </c>
      <c r="J1887" s="10" t="n">
        <f aca="false">MAX(0,E1887-E1886)*Staffing!$O$37</f>
        <v>0</v>
      </c>
      <c r="K1887" s="10" t="n">
        <f aca="false">MAX(0,E1887-E1886)*Staffing!$P$37</f>
        <v>0</v>
      </c>
      <c r="L1887" s="23" t="n">
        <f aca="false">ROUNDUP(E1887,0)</f>
        <v>1</v>
      </c>
    </row>
    <row r="1888" customFormat="false" ht="15" hidden="false" customHeight="false" outlineLevel="0" collapsed="false">
      <c r="A1888" s="6" t="s">
        <v>73</v>
      </c>
      <c r="B1888" s="6" t="s">
        <v>338</v>
      </c>
      <c r="C1888" s="6" t="n">
        <v>23</v>
      </c>
      <c r="D1888" s="25" t="n">
        <f aca="false">EDATE('Start Here'!$B$6,C1888-1)</f>
        <v>46997</v>
      </c>
      <c r="E1888" s="11" t="n">
        <f aca="false">IF(AND(C1888&gt;=Staffing!$F$37,C1888&lt;=Staffing!$G$37,1=1),IF(C1888&lt;=6,Staffing!$H$37,IF(C1888&lt;=15,Staffing!$I$37,IF(C1888&lt;=30,Staffing!$J$37,Staffing!$K$37))),0)</f>
        <v>1</v>
      </c>
      <c r="F1888" s="10" t="n">
        <f aca="false">E1888*Staffing!$L$37/12*(1+Assumptions!$E$10)^INT((C1888-1)/12)*1</f>
        <v>16625</v>
      </c>
      <c r="G1888" s="10" t="n">
        <f aca="false">F1888*Staffing!$N$37</f>
        <v>0</v>
      </c>
      <c r="H1888" s="10" t="n">
        <f aca="false">F1888+G1888</f>
        <v>16625</v>
      </c>
      <c r="I1888" s="10" t="n">
        <f aca="false">0</f>
        <v>0</v>
      </c>
      <c r="J1888" s="10" t="n">
        <f aca="false">MAX(0,E1888-E1887)*Staffing!$O$37</f>
        <v>0</v>
      </c>
      <c r="K1888" s="10" t="n">
        <f aca="false">MAX(0,E1888-E1887)*Staffing!$P$37</f>
        <v>0</v>
      </c>
      <c r="L1888" s="23" t="n">
        <f aca="false">ROUNDUP(E1888,0)</f>
        <v>1</v>
      </c>
    </row>
    <row r="1889" customFormat="false" ht="15" hidden="false" customHeight="false" outlineLevel="0" collapsed="false">
      <c r="A1889" s="6" t="s">
        <v>73</v>
      </c>
      <c r="B1889" s="6" t="s">
        <v>338</v>
      </c>
      <c r="C1889" s="6" t="n">
        <v>24</v>
      </c>
      <c r="D1889" s="25" t="n">
        <f aca="false">EDATE('Start Here'!$B$6,C1889-1)</f>
        <v>47027</v>
      </c>
      <c r="E1889" s="11" t="n">
        <f aca="false">IF(AND(C1889&gt;=Staffing!$F$37,C1889&lt;=Staffing!$G$37,1=1),IF(C1889&lt;=6,Staffing!$H$37,IF(C1889&lt;=15,Staffing!$I$37,IF(C1889&lt;=30,Staffing!$J$37,Staffing!$K$37))),0)</f>
        <v>1</v>
      </c>
      <c r="F1889" s="10" t="n">
        <f aca="false">E1889*Staffing!$L$37/12*(1+Assumptions!$E$10)^INT((C1889-1)/12)*1</f>
        <v>16625</v>
      </c>
      <c r="G1889" s="10" t="n">
        <f aca="false">F1889*Staffing!$N$37</f>
        <v>0</v>
      </c>
      <c r="H1889" s="10" t="n">
        <f aca="false">F1889+G1889</f>
        <v>16625</v>
      </c>
      <c r="I1889" s="10" t="n">
        <f aca="false">0</f>
        <v>0</v>
      </c>
      <c r="J1889" s="10" t="n">
        <f aca="false">MAX(0,E1889-E1888)*Staffing!$O$37</f>
        <v>0</v>
      </c>
      <c r="K1889" s="10" t="n">
        <f aca="false">MAX(0,E1889-E1888)*Staffing!$P$37</f>
        <v>0</v>
      </c>
      <c r="L1889" s="23" t="n">
        <f aca="false">ROUNDUP(E1889,0)</f>
        <v>1</v>
      </c>
    </row>
    <row r="1890" customFormat="false" ht="15" hidden="false" customHeight="false" outlineLevel="0" collapsed="false">
      <c r="A1890" s="6" t="s">
        <v>73</v>
      </c>
      <c r="B1890" s="6" t="s">
        <v>338</v>
      </c>
      <c r="C1890" s="6" t="n">
        <v>25</v>
      </c>
      <c r="D1890" s="25" t="n">
        <f aca="false">EDATE('Start Here'!$B$6,C1890-1)</f>
        <v>47058</v>
      </c>
      <c r="E1890" s="11" t="n">
        <f aca="false">IF(AND(C1890&gt;=Staffing!$F$37,C1890&lt;=Staffing!$G$37,1=1),IF(C1890&lt;=6,Staffing!$H$37,IF(C1890&lt;=15,Staffing!$I$37,IF(C1890&lt;=30,Staffing!$J$37,Staffing!$K$37))),0)</f>
        <v>1</v>
      </c>
      <c r="F1890" s="10" t="n">
        <f aca="false">E1890*Staffing!$L$37/12*(1+Assumptions!$E$10)^INT((C1890-1)/12)*1</f>
        <v>17456.25</v>
      </c>
      <c r="G1890" s="10" t="n">
        <f aca="false">F1890*Staffing!$N$37</f>
        <v>0</v>
      </c>
      <c r="H1890" s="10" t="n">
        <f aca="false">F1890+G1890</f>
        <v>17456.25</v>
      </c>
      <c r="I1890" s="10" t="n">
        <f aca="false">0</f>
        <v>0</v>
      </c>
      <c r="J1890" s="10" t="n">
        <f aca="false">MAX(0,E1890-E1889)*Staffing!$O$37</f>
        <v>0</v>
      </c>
      <c r="K1890" s="10" t="n">
        <f aca="false">MAX(0,E1890-E1889)*Staffing!$P$37</f>
        <v>0</v>
      </c>
      <c r="L1890" s="23" t="n">
        <f aca="false">ROUNDUP(E1890,0)</f>
        <v>1</v>
      </c>
    </row>
    <row r="1891" customFormat="false" ht="15" hidden="false" customHeight="false" outlineLevel="0" collapsed="false">
      <c r="A1891" s="6" t="s">
        <v>73</v>
      </c>
      <c r="B1891" s="6" t="s">
        <v>338</v>
      </c>
      <c r="C1891" s="6" t="n">
        <v>26</v>
      </c>
      <c r="D1891" s="25" t="n">
        <f aca="false">EDATE('Start Here'!$B$6,C1891-1)</f>
        <v>47088</v>
      </c>
      <c r="E1891" s="11" t="n">
        <f aca="false">IF(AND(C1891&gt;=Staffing!$F$37,C1891&lt;=Staffing!$G$37,1=1),IF(C1891&lt;=6,Staffing!$H$37,IF(C1891&lt;=15,Staffing!$I$37,IF(C1891&lt;=30,Staffing!$J$37,Staffing!$K$37))),0)</f>
        <v>1</v>
      </c>
      <c r="F1891" s="10" t="n">
        <f aca="false">E1891*Staffing!$L$37/12*(1+Assumptions!$E$10)^INT((C1891-1)/12)*1</f>
        <v>17456.25</v>
      </c>
      <c r="G1891" s="10" t="n">
        <f aca="false">F1891*Staffing!$N$37</f>
        <v>0</v>
      </c>
      <c r="H1891" s="10" t="n">
        <f aca="false">F1891+G1891</f>
        <v>17456.25</v>
      </c>
      <c r="I1891" s="10" t="n">
        <f aca="false">0</f>
        <v>0</v>
      </c>
      <c r="J1891" s="10" t="n">
        <f aca="false">MAX(0,E1891-E1890)*Staffing!$O$37</f>
        <v>0</v>
      </c>
      <c r="K1891" s="10" t="n">
        <f aca="false">MAX(0,E1891-E1890)*Staffing!$P$37</f>
        <v>0</v>
      </c>
      <c r="L1891" s="23" t="n">
        <f aca="false">ROUNDUP(E1891,0)</f>
        <v>1</v>
      </c>
    </row>
    <row r="1892" customFormat="false" ht="15" hidden="false" customHeight="false" outlineLevel="0" collapsed="false">
      <c r="A1892" s="6" t="s">
        <v>73</v>
      </c>
      <c r="B1892" s="6" t="s">
        <v>338</v>
      </c>
      <c r="C1892" s="6" t="n">
        <v>27</v>
      </c>
      <c r="D1892" s="25" t="n">
        <f aca="false">EDATE('Start Here'!$B$6,C1892-1)</f>
        <v>47119</v>
      </c>
      <c r="E1892" s="11" t="n">
        <f aca="false">IF(AND(C1892&gt;=Staffing!$F$37,C1892&lt;=Staffing!$G$37,1=1),IF(C1892&lt;=6,Staffing!$H$37,IF(C1892&lt;=15,Staffing!$I$37,IF(C1892&lt;=30,Staffing!$J$37,Staffing!$K$37))),0)</f>
        <v>1</v>
      </c>
      <c r="F1892" s="10" t="n">
        <f aca="false">E1892*Staffing!$L$37/12*(1+Assumptions!$E$10)^INT((C1892-1)/12)*1</f>
        <v>17456.25</v>
      </c>
      <c r="G1892" s="10" t="n">
        <f aca="false">F1892*Staffing!$N$37</f>
        <v>0</v>
      </c>
      <c r="H1892" s="10" t="n">
        <f aca="false">F1892+G1892</f>
        <v>17456.25</v>
      </c>
      <c r="I1892" s="10" t="n">
        <f aca="false">0</f>
        <v>0</v>
      </c>
      <c r="J1892" s="10" t="n">
        <f aca="false">MAX(0,E1892-E1891)*Staffing!$O$37</f>
        <v>0</v>
      </c>
      <c r="K1892" s="10" t="n">
        <f aca="false">MAX(0,E1892-E1891)*Staffing!$P$37</f>
        <v>0</v>
      </c>
      <c r="L1892" s="23" t="n">
        <f aca="false">ROUNDUP(E1892,0)</f>
        <v>1</v>
      </c>
    </row>
    <row r="1893" customFormat="false" ht="15" hidden="false" customHeight="false" outlineLevel="0" collapsed="false">
      <c r="A1893" s="6" t="s">
        <v>73</v>
      </c>
      <c r="B1893" s="6" t="s">
        <v>338</v>
      </c>
      <c r="C1893" s="6" t="n">
        <v>28</v>
      </c>
      <c r="D1893" s="25" t="n">
        <f aca="false">EDATE('Start Here'!$B$6,C1893-1)</f>
        <v>47150</v>
      </c>
      <c r="E1893" s="11" t="n">
        <f aca="false">IF(AND(C1893&gt;=Staffing!$F$37,C1893&lt;=Staffing!$G$37,1=1),IF(C1893&lt;=6,Staffing!$H$37,IF(C1893&lt;=15,Staffing!$I$37,IF(C1893&lt;=30,Staffing!$J$37,Staffing!$K$37))),0)</f>
        <v>1</v>
      </c>
      <c r="F1893" s="10" t="n">
        <f aca="false">E1893*Staffing!$L$37/12*(1+Assumptions!$E$10)^INT((C1893-1)/12)*1</f>
        <v>17456.25</v>
      </c>
      <c r="G1893" s="10" t="n">
        <f aca="false">F1893*Staffing!$N$37</f>
        <v>0</v>
      </c>
      <c r="H1893" s="10" t="n">
        <f aca="false">F1893+G1893</f>
        <v>17456.25</v>
      </c>
      <c r="I1893" s="10" t="n">
        <f aca="false">0</f>
        <v>0</v>
      </c>
      <c r="J1893" s="10" t="n">
        <f aca="false">MAX(0,E1893-E1892)*Staffing!$O$37</f>
        <v>0</v>
      </c>
      <c r="K1893" s="10" t="n">
        <f aca="false">MAX(0,E1893-E1892)*Staffing!$P$37</f>
        <v>0</v>
      </c>
      <c r="L1893" s="23" t="n">
        <f aca="false">ROUNDUP(E1893,0)</f>
        <v>1</v>
      </c>
    </row>
    <row r="1894" customFormat="false" ht="15" hidden="false" customHeight="false" outlineLevel="0" collapsed="false">
      <c r="A1894" s="6" t="s">
        <v>73</v>
      </c>
      <c r="B1894" s="6" t="s">
        <v>338</v>
      </c>
      <c r="C1894" s="6" t="n">
        <v>29</v>
      </c>
      <c r="D1894" s="25" t="n">
        <f aca="false">EDATE('Start Here'!$B$6,C1894-1)</f>
        <v>47178</v>
      </c>
      <c r="E1894" s="11" t="n">
        <f aca="false">IF(AND(C1894&gt;=Staffing!$F$37,C1894&lt;=Staffing!$G$37,1=1),IF(C1894&lt;=6,Staffing!$H$37,IF(C1894&lt;=15,Staffing!$I$37,IF(C1894&lt;=30,Staffing!$J$37,Staffing!$K$37))),0)</f>
        <v>1</v>
      </c>
      <c r="F1894" s="10" t="n">
        <f aca="false">E1894*Staffing!$L$37/12*(1+Assumptions!$E$10)^INT((C1894-1)/12)*1</f>
        <v>17456.25</v>
      </c>
      <c r="G1894" s="10" t="n">
        <f aca="false">F1894*Staffing!$N$37</f>
        <v>0</v>
      </c>
      <c r="H1894" s="10" t="n">
        <f aca="false">F1894+G1894</f>
        <v>17456.25</v>
      </c>
      <c r="I1894" s="10" t="n">
        <f aca="false">0</f>
        <v>0</v>
      </c>
      <c r="J1894" s="10" t="n">
        <f aca="false">MAX(0,E1894-E1893)*Staffing!$O$37</f>
        <v>0</v>
      </c>
      <c r="K1894" s="10" t="n">
        <f aca="false">MAX(0,E1894-E1893)*Staffing!$P$37</f>
        <v>0</v>
      </c>
      <c r="L1894" s="23" t="n">
        <f aca="false">ROUNDUP(E1894,0)</f>
        <v>1</v>
      </c>
    </row>
    <row r="1895" customFormat="false" ht="15" hidden="false" customHeight="false" outlineLevel="0" collapsed="false">
      <c r="A1895" s="6" t="s">
        <v>73</v>
      </c>
      <c r="B1895" s="6" t="s">
        <v>338</v>
      </c>
      <c r="C1895" s="6" t="n">
        <v>30</v>
      </c>
      <c r="D1895" s="25" t="n">
        <f aca="false">EDATE('Start Here'!$B$6,C1895-1)</f>
        <v>47209</v>
      </c>
      <c r="E1895" s="11" t="n">
        <f aca="false">IF(AND(C1895&gt;=Staffing!$F$37,C1895&lt;=Staffing!$G$37,1=1),IF(C1895&lt;=6,Staffing!$H$37,IF(C1895&lt;=15,Staffing!$I$37,IF(C1895&lt;=30,Staffing!$J$37,Staffing!$K$37))),0)</f>
        <v>1</v>
      </c>
      <c r="F1895" s="10" t="n">
        <f aca="false">E1895*Staffing!$L$37/12*(1+Assumptions!$E$10)^INT((C1895-1)/12)*1</f>
        <v>17456.25</v>
      </c>
      <c r="G1895" s="10" t="n">
        <f aca="false">F1895*Staffing!$N$37</f>
        <v>0</v>
      </c>
      <c r="H1895" s="10" t="n">
        <f aca="false">F1895+G1895</f>
        <v>17456.25</v>
      </c>
      <c r="I1895" s="10" t="n">
        <f aca="false">0</f>
        <v>0</v>
      </c>
      <c r="J1895" s="10" t="n">
        <f aca="false">MAX(0,E1895-E1894)*Staffing!$O$37</f>
        <v>0</v>
      </c>
      <c r="K1895" s="10" t="n">
        <f aca="false">MAX(0,E1895-E1894)*Staffing!$P$37</f>
        <v>0</v>
      </c>
      <c r="L1895" s="23" t="n">
        <f aca="false">ROUNDUP(E1895,0)</f>
        <v>1</v>
      </c>
    </row>
    <row r="1896" customFormat="false" ht="15" hidden="false" customHeight="false" outlineLevel="0" collapsed="false">
      <c r="A1896" s="6" t="s">
        <v>73</v>
      </c>
      <c r="B1896" s="6" t="s">
        <v>338</v>
      </c>
      <c r="C1896" s="6" t="n">
        <v>31</v>
      </c>
      <c r="D1896" s="25" t="n">
        <f aca="false">EDATE('Start Here'!$B$6,C1896-1)</f>
        <v>47239</v>
      </c>
      <c r="E1896" s="11" t="n">
        <f aca="false">IF(AND(C1896&gt;=Staffing!$F$37,C1896&lt;=Staffing!$G$37,1=1),IF(C1896&lt;=6,Staffing!$H$37,IF(C1896&lt;=15,Staffing!$I$37,IF(C1896&lt;=30,Staffing!$J$37,Staffing!$K$37))),0)</f>
        <v>2</v>
      </c>
      <c r="F1896" s="10" t="n">
        <f aca="false">E1896*Staffing!$L$37/12*(1+Assumptions!$E$10)^INT((C1896-1)/12)*1</f>
        <v>34912.5</v>
      </c>
      <c r="G1896" s="10" t="n">
        <f aca="false">F1896*Staffing!$N$37</f>
        <v>0</v>
      </c>
      <c r="H1896" s="10" t="n">
        <f aca="false">F1896+G1896</f>
        <v>34912.5</v>
      </c>
      <c r="I1896" s="10" t="n">
        <f aca="false">0</f>
        <v>0</v>
      </c>
      <c r="J1896" s="10" t="n">
        <f aca="false">MAX(0,E1896-E1895)*Staffing!$O$37</f>
        <v>0</v>
      </c>
      <c r="K1896" s="10" t="n">
        <f aca="false">MAX(0,E1896-E1895)*Staffing!$P$37</f>
        <v>3500</v>
      </c>
      <c r="L1896" s="23" t="n">
        <f aca="false">ROUNDUP(E1896,0)</f>
        <v>2</v>
      </c>
    </row>
    <row r="1897" customFormat="false" ht="15" hidden="false" customHeight="false" outlineLevel="0" collapsed="false">
      <c r="A1897" s="6" t="s">
        <v>73</v>
      </c>
      <c r="B1897" s="6" t="s">
        <v>338</v>
      </c>
      <c r="C1897" s="6" t="n">
        <v>32</v>
      </c>
      <c r="D1897" s="25" t="n">
        <f aca="false">EDATE('Start Here'!$B$6,C1897-1)</f>
        <v>47270</v>
      </c>
      <c r="E1897" s="11" t="n">
        <f aca="false">IF(AND(C1897&gt;=Staffing!$F$37,C1897&lt;=Staffing!$G$37,1=1),IF(C1897&lt;=6,Staffing!$H$37,IF(C1897&lt;=15,Staffing!$I$37,IF(C1897&lt;=30,Staffing!$J$37,Staffing!$K$37))),0)</f>
        <v>2</v>
      </c>
      <c r="F1897" s="10" t="n">
        <f aca="false">E1897*Staffing!$L$37/12*(1+Assumptions!$E$10)^INT((C1897-1)/12)*1</f>
        <v>34912.5</v>
      </c>
      <c r="G1897" s="10" t="n">
        <f aca="false">F1897*Staffing!$N$37</f>
        <v>0</v>
      </c>
      <c r="H1897" s="10" t="n">
        <f aca="false">F1897+G1897</f>
        <v>34912.5</v>
      </c>
      <c r="I1897" s="10" t="n">
        <f aca="false">0</f>
        <v>0</v>
      </c>
      <c r="J1897" s="10" t="n">
        <f aca="false">MAX(0,E1897-E1896)*Staffing!$O$37</f>
        <v>0</v>
      </c>
      <c r="K1897" s="10" t="n">
        <f aca="false">MAX(0,E1897-E1896)*Staffing!$P$37</f>
        <v>0</v>
      </c>
      <c r="L1897" s="23" t="n">
        <f aca="false">ROUNDUP(E1897,0)</f>
        <v>2</v>
      </c>
    </row>
    <row r="1898" customFormat="false" ht="15" hidden="false" customHeight="false" outlineLevel="0" collapsed="false">
      <c r="A1898" s="6" t="s">
        <v>73</v>
      </c>
      <c r="B1898" s="6" t="s">
        <v>338</v>
      </c>
      <c r="C1898" s="6" t="n">
        <v>33</v>
      </c>
      <c r="D1898" s="25" t="n">
        <f aca="false">EDATE('Start Here'!$B$6,C1898-1)</f>
        <v>47300</v>
      </c>
      <c r="E1898" s="11" t="n">
        <f aca="false">IF(AND(C1898&gt;=Staffing!$F$37,C1898&lt;=Staffing!$G$37,1=1),IF(C1898&lt;=6,Staffing!$H$37,IF(C1898&lt;=15,Staffing!$I$37,IF(C1898&lt;=30,Staffing!$J$37,Staffing!$K$37))),0)</f>
        <v>2</v>
      </c>
      <c r="F1898" s="10" t="n">
        <f aca="false">E1898*Staffing!$L$37/12*(1+Assumptions!$E$10)^INT((C1898-1)/12)*1</f>
        <v>34912.5</v>
      </c>
      <c r="G1898" s="10" t="n">
        <f aca="false">F1898*Staffing!$N$37</f>
        <v>0</v>
      </c>
      <c r="H1898" s="10" t="n">
        <f aca="false">F1898+G1898</f>
        <v>34912.5</v>
      </c>
      <c r="I1898" s="10" t="n">
        <f aca="false">0</f>
        <v>0</v>
      </c>
      <c r="J1898" s="10" t="n">
        <f aca="false">MAX(0,E1898-E1897)*Staffing!$O$37</f>
        <v>0</v>
      </c>
      <c r="K1898" s="10" t="n">
        <f aca="false">MAX(0,E1898-E1897)*Staffing!$P$37</f>
        <v>0</v>
      </c>
      <c r="L1898" s="23" t="n">
        <f aca="false">ROUNDUP(E1898,0)</f>
        <v>2</v>
      </c>
    </row>
    <row r="1899" customFormat="false" ht="15" hidden="false" customHeight="false" outlineLevel="0" collapsed="false">
      <c r="A1899" s="6" t="s">
        <v>73</v>
      </c>
      <c r="B1899" s="6" t="s">
        <v>338</v>
      </c>
      <c r="C1899" s="6" t="n">
        <v>34</v>
      </c>
      <c r="D1899" s="25" t="n">
        <f aca="false">EDATE('Start Here'!$B$6,C1899-1)</f>
        <v>47331</v>
      </c>
      <c r="E1899" s="11" t="n">
        <f aca="false">IF(AND(C1899&gt;=Staffing!$F$37,C1899&lt;=Staffing!$G$37,1=1),IF(C1899&lt;=6,Staffing!$H$37,IF(C1899&lt;=15,Staffing!$I$37,IF(C1899&lt;=30,Staffing!$J$37,Staffing!$K$37))),0)</f>
        <v>2</v>
      </c>
      <c r="F1899" s="10" t="n">
        <f aca="false">E1899*Staffing!$L$37/12*(1+Assumptions!$E$10)^INT((C1899-1)/12)*1</f>
        <v>34912.5</v>
      </c>
      <c r="G1899" s="10" t="n">
        <f aca="false">F1899*Staffing!$N$37</f>
        <v>0</v>
      </c>
      <c r="H1899" s="10" t="n">
        <f aca="false">F1899+G1899</f>
        <v>34912.5</v>
      </c>
      <c r="I1899" s="10" t="n">
        <f aca="false">0</f>
        <v>0</v>
      </c>
      <c r="J1899" s="10" t="n">
        <f aca="false">MAX(0,E1899-E1898)*Staffing!$O$37</f>
        <v>0</v>
      </c>
      <c r="K1899" s="10" t="n">
        <f aca="false">MAX(0,E1899-E1898)*Staffing!$P$37</f>
        <v>0</v>
      </c>
      <c r="L1899" s="23" t="n">
        <f aca="false">ROUNDUP(E1899,0)</f>
        <v>2</v>
      </c>
    </row>
    <row r="1900" customFormat="false" ht="15" hidden="false" customHeight="false" outlineLevel="0" collapsed="false">
      <c r="A1900" s="6" t="s">
        <v>73</v>
      </c>
      <c r="B1900" s="6" t="s">
        <v>338</v>
      </c>
      <c r="C1900" s="6" t="n">
        <v>35</v>
      </c>
      <c r="D1900" s="25" t="n">
        <f aca="false">EDATE('Start Here'!$B$6,C1900-1)</f>
        <v>47362</v>
      </c>
      <c r="E1900" s="11" t="n">
        <f aca="false">IF(AND(C1900&gt;=Staffing!$F$37,C1900&lt;=Staffing!$G$37,1=1),IF(C1900&lt;=6,Staffing!$H$37,IF(C1900&lt;=15,Staffing!$I$37,IF(C1900&lt;=30,Staffing!$J$37,Staffing!$K$37))),0)</f>
        <v>2</v>
      </c>
      <c r="F1900" s="10" t="n">
        <f aca="false">E1900*Staffing!$L$37/12*(1+Assumptions!$E$10)^INT((C1900-1)/12)*1</f>
        <v>34912.5</v>
      </c>
      <c r="G1900" s="10" t="n">
        <f aca="false">F1900*Staffing!$N$37</f>
        <v>0</v>
      </c>
      <c r="H1900" s="10" t="n">
        <f aca="false">F1900+G1900</f>
        <v>34912.5</v>
      </c>
      <c r="I1900" s="10" t="n">
        <f aca="false">0</f>
        <v>0</v>
      </c>
      <c r="J1900" s="10" t="n">
        <f aca="false">MAX(0,E1900-E1899)*Staffing!$O$37</f>
        <v>0</v>
      </c>
      <c r="K1900" s="10" t="n">
        <f aca="false">MAX(0,E1900-E1899)*Staffing!$P$37</f>
        <v>0</v>
      </c>
      <c r="L1900" s="23" t="n">
        <f aca="false">ROUNDUP(E1900,0)</f>
        <v>2</v>
      </c>
    </row>
    <row r="1901" customFormat="false" ht="15" hidden="false" customHeight="false" outlineLevel="0" collapsed="false">
      <c r="A1901" s="6" t="s">
        <v>73</v>
      </c>
      <c r="B1901" s="6" t="s">
        <v>338</v>
      </c>
      <c r="C1901" s="6" t="n">
        <v>36</v>
      </c>
      <c r="D1901" s="25" t="n">
        <f aca="false">EDATE('Start Here'!$B$6,C1901-1)</f>
        <v>47392</v>
      </c>
      <c r="E1901" s="11" t="n">
        <f aca="false">IF(AND(C1901&gt;=Staffing!$F$37,C1901&lt;=Staffing!$G$37,1=1),IF(C1901&lt;=6,Staffing!$H$37,IF(C1901&lt;=15,Staffing!$I$37,IF(C1901&lt;=30,Staffing!$J$37,Staffing!$K$37))),0)</f>
        <v>2</v>
      </c>
      <c r="F1901" s="10" t="n">
        <f aca="false">E1901*Staffing!$L$37/12*(1+Assumptions!$E$10)^INT((C1901-1)/12)*1</f>
        <v>34912.5</v>
      </c>
      <c r="G1901" s="10" t="n">
        <f aca="false">F1901*Staffing!$N$37</f>
        <v>0</v>
      </c>
      <c r="H1901" s="10" t="n">
        <f aca="false">F1901+G1901</f>
        <v>34912.5</v>
      </c>
      <c r="I1901" s="10" t="n">
        <f aca="false">0</f>
        <v>0</v>
      </c>
      <c r="J1901" s="10" t="n">
        <f aca="false">MAX(0,E1901-E1900)*Staffing!$O$37</f>
        <v>0</v>
      </c>
      <c r="K1901" s="10" t="n">
        <f aca="false">MAX(0,E1901-E1900)*Staffing!$P$37</f>
        <v>0</v>
      </c>
      <c r="L1901" s="23" t="n">
        <f aca="false">ROUNDUP(E1901,0)</f>
        <v>2</v>
      </c>
    </row>
    <row r="1902" customFormat="false" ht="15" hidden="false" customHeight="false" outlineLevel="0" collapsed="false">
      <c r="A1902" s="6" t="s">
        <v>73</v>
      </c>
      <c r="B1902" s="6" t="s">
        <v>338</v>
      </c>
      <c r="C1902" s="6" t="n">
        <v>37</v>
      </c>
      <c r="D1902" s="25" t="n">
        <f aca="false">EDATE('Start Here'!$B$6,C1902-1)</f>
        <v>47423</v>
      </c>
      <c r="E1902" s="11" t="n">
        <f aca="false">IF(AND(C1902&gt;=Staffing!$F$37,C1902&lt;=Staffing!$G$37,1=1),IF(C1902&lt;=6,Staffing!$H$37,IF(C1902&lt;=15,Staffing!$I$37,IF(C1902&lt;=30,Staffing!$J$37,Staffing!$K$37))),0)</f>
        <v>2</v>
      </c>
      <c r="F1902" s="10" t="n">
        <f aca="false">E1902*Staffing!$L$37/12*(1+Assumptions!$E$10)^INT((C1902-1)/12)*1</f>
        <v>36658.125</v>
      </c>
      <c r="G1902" s="10" t="n">
        <f aca="false">F1902*Staffing!$N$37</f>
        <v>0</v>
      </c>
      <c r="H1902" s="10" t="n">
        <f aca="false">F1902+G1902</f>
        <v>36658.125</v>
      </c>
      <c r="I1902" s="10" t="n">
        <f aca="false">0</f>
        <v>0</v>
      </c>
      <c r="J1902" s="10" t="n">
        <f aca="false">MAX(0,E1902-E1901)*Staffing!$O$37</f>
        <v>0</v>
      </c>
      <c r="K1902" s="10" t="n">
        <f aca="false">MAX(0,E1902-E1901)*Staffing!$P$37</f>
        <v>0</v>
      </c>
      <c r="L1902" s="23" t="n">
        <f aca="false">ROUNDUP(E1902,0)</f>
        <v>2</v>
      </c>
    </row>
    <row r="1903" customFormat="false" ht="15" hidden="false" customHeight="false" outlineLevel="0" collapsed="false">
      <c r="A1903" s="6" t="s">
        <v>73</v>
      </c>
      <c r="B1903" s="6" t="s">
        <v>338</v>
      </c>
      <c r="C1903" s="6" t="n">
        <v>38</v>
      </c>
      <c r="D1903" s="25" t="n">
        <f aca="false">EDATE('Start Here'!$B$6,C1903-1)</f>
        <v>47453</v>
      </c>
      <c r="E1903" s="11" t="n">
        <f aca="false">IF(AND(C1903&gt;=Staffing!$F$37,C1903&lt;=Staffing!$G$37,1=1),IF(C1903&lt;=6,Staffing!$H$37,IF(C1903&lt;=15,Staffing!$I$37,IF(C1903&lt;=30,Staffing!$J$37,Staffing!$K$37))),0)</f>
        <v>2</v>
      </c>
      <c r="F1903" s="10" t="n">
        <f aca="false">E1903*Staffing!$L$37/12*(1+Assumptions!$E$10)^INT((C1903-1)/12)*1</f>
        <v>36658.125</v>
      </c>
      <c r="G1903" s="10" t="n">
        <f aca="false">F1903*Staffing!$N$37</f>
        <v>0</v>
      </c>
      <c r="H1903" s="10" t="n">
        <f aca="false">F1903+G1903</f>
        <v>36658.125</v>
      </c>
      <c r="I1903" s="10" t="n">
        <f aca="false">0</f>
        <v>0</v>
      </c>
      <c r="J1903" s="10" t="n">
        <f aca="false">MAX(0,E1903-E1902)*Staffing!$O$37</f>
        <v>0</v>
      </c>
      <c r="K1903" s="10" t="n">
        <f aca="false">MAX(0,E1903-E1902)*Staffing!$P$37</f>
        <v>0</v>
      </c>
      <c r="L1903" s="23" t="n">
        <f aca="false">ROUNDUP(E1903,0)</f>
        <v>2</v>
      </c>
    </row>
    <row r="1904" customFormat="false" ht="15" hidden="false" customHeight="false" outlineLevel="0" collapsed="false">
      <c r="A1904" s="6" t="s">
        <v>73</v>
      </c>
      <c r="B1904" s="6" t="s">
        <v>338</v>
      </c>
      <c r="C1904" s="6" t="n">
        <v>39</v>
      </c>
      <c r="D1904" s="25" t="n">
        <f aca="false">EDATE('Start Here'!$B$6,C1904-1)</f>
        <v>47484</v>
      </c>
      <c r="E1904" s="11" t="n">
        <f aca="false">IF(AND(C1904&gt;=Staffing!$F$37,C1904&lt;=Staffing!$G$37,1=1),IF(C1904&lt;=6,Staffing!$H$37,IF(C1904&lt;=15,Staffing!$I$37,IF(C1904&lt;=30,Staffing!$J$37,Staffing!$K$37))),0)</f>
        <v>2</v>
      </c>
      <c r="F1904" s="10" t="n">
        <f aca="false">E1904*Staffing!$L$37/12*(1+Assumptions!$E$10)^INT((C1904-1)/12)*1</f>
        <v>36658.125</v>
      </c>
      <c r="G1904" s="10" t="n">
        <f aca="false">F1904*Staffing!$N$37</f>
        <v>0</v>
      </c>
      <c r="H1904" s="10" t="n">
        <f aca="false">F1904+G1904</f>
        <v>36658.125</v>
      </c>
      <c r="I1904" s="10" t="n">
        <f aca="false">0</f>
        <v>0</v>
      </c>
      <c r="J1904" s="10" t="n">
        <f aca="false">MAX(0,E1904-E1903)*Staffing!$O$37</f>
        <v>0</v>
      </c>
      <c r="K1904" s="10" t="n">
        <f aca="false">MAX(0,E1904-E1903)*Staffing!$P$37</f>
        <v>0</v>
      </c>
      <c r="L1904" s="23" t="n">
        <f aca="false">ROUNDUP(E1904,0)</f>
        <v>2</v>
      </c>
    </row>
    <row r="1905" customFormat="false" ht="15" hidden="false" customHeight="false" outlineLevel="0" collapsed="false">
      <c r="A1905" s="6" t="s">
        <v>73</v>
      </c>
      <c r="B1905" s="6" t="s">
        <v>338</v>
      </c>
      <c r="C1905" s="6" t="n">
        <v>40</v>
      </c>
      <c r="D1905" s="25" t="n">
        <f aca="false">EDATE('Start Here'!$B$6,C1905-1)</f>
        <v>47515</v>
      </c>
      <c r="E1905" s="11" t="n">
        <f aca="false">IF(AND(C1905&gt;=Staffing!$F$37,C1905&lt;=Staffing!$G$37,1=1),IF(C1905&lt;=6,Staffing!$H$37,IF(C1905&lt;=15,Staffing!$I$37,IF(C1905&lt;=30,Staffing!$J$37,Staffing!$K$37))),0)</f>
        <v>2</v>
      </c>
      <c r="F1905" s="10" t="n">
        <f aca="false">E1905*Staffing!$L$37/12*(1+Assumptions!$E$10)^INT((C1905-1)/12)*1</f>
        <v>36658.125</v>
      </c>
      <c r="G1905" s="10" t="n">
        <f aca="false">F1905*Staffing!$N$37</f>
        <v>0</v>
      </c>
      <c r="H1905" s="10" t="n">
        <f aca="false">F1905+G1905</f>
        <v>36658.125</v>
      </c>
      <c r="I1905" s="10" t="n">
        <f aca="false">0</f>
        <v>0</v>
      </c>
      <c r="J1905" s="10" t="n">
        <f aca="false">MAX(0,E1905-E1904)*Staffing!$O$37</f>
        <v>0</v>
      </c>
      <c r="K1905" s="10" t="n">
        <f aca="false">MAX(0,E1905-E1904)*Staffing!$P$37</f>
        <v>0</v>
      </c>
      <c r="L1905" s="23" t="n">
        <f aca="false">ROUNDUP(E1905,0)</f>
        <v>2</v>
      </c>
    </row>
    <row r="1906" customFormat="false" ht="15" hidden="false" customHeight="false" outlineLevel="0" collapsed="false">
      <c r="A1906" s="6" t="s">
        <v>73</v>
      </c>
      <c r="B1906" s="6" t="s">
        <v>338</v>
      </c>
      <c r="C1906" s="6" t="n">
        <v>41</v>
      </c>
      <c r="D1906" s="25" t="n">
        <f aca="false">EDATE('Start Here'!$B$6,C1906-1)</f>
        <v>47543</v>
      </c>
      <c r="E1906" s="11" t="n">
        <f aca="false">IF(AND(C1906&gt;=Staffing!$F$37,C1906&lt;=Staffing!$G$37,1=1),IF(C1906&lt;=6,Staffing!$H$37,IF(C1906&lt;=15,Staffing!$I$37,IF(C1906&lt;=30,Staffing!$J$37,Staffing!$K$37))),0)</f>
        <v>2</v>
      </c>
      <c r="F1906" s="10" t="n">
        <f aca="false">E1906*Staffing!$L$37/12*(1+Assumptions!$E$10)^INT((C1906-1)/12)*1</f>
        <v>36658.125</v>
      </c>
      <c r="G1906" s="10" t="n">
        <f aca="false">F1906*Staffing!$N$37</f>
        <v>0</v>
      </c>
      <c r="H1906" s="10" t="n">
        <f aca="false">F1906+G1906</f>
        <v>36658.125</v>
      </c>
      <c r="I1906" s="10" t="n">
        <f aca="false">0</f>
        <v>0</v>
      </c>
      <c r="J1906" s="10" t="n">
        <f aca="false">MAX(0,E1906-E1905)*Staffing!$O$37</f>
        <v>0</v>
      </c>
      <c r="K1906" s="10" t="n">
        <f aca="false">MAX(0,E1906-E1905)*Staffing!$P$37</f>
        <v>0</v>
      </c>
      <c r="L1906" s="23" t="n">
        <f aca="false">ROUNDUP(E1906,0)</f>
        <v>2</v>
      </c>
    </row>
    <row r="1907" customFormat="false" ht="15" hidden="false" customHeight="false" outlineLevel="0" collapsed="false">
      <c r="A1907" s="6" t="s">
        <v>73</v>
      </c>
      <c r="B1907" s="6" t="s">
        <v>338</v>
      </c>
      <c r="C1907" s="6" t="n">
        <v>42</v>
      </c>
      <c r="D1907" s="25" t="n">
        <f aca="false">EDATE('Start Here'!$B$6,C1907-1)</f>
        <v>47574</v>
      </c>
      <c r="E1907" s="11" t="n">
        <f aca="false">IF(AND(C1907&gt;=Staffing!$F$37,C1907&lt;=Staffing!$G$37,1=1),IF(C1907&lt;=6,Staffing!$H$37,IF(C1907&lt;=15,Staffing!$I$37,IF(C1907&lt;=30,Staffing!$J$37,Staffing!$K$37))),0)</f>
        <v>2</v>
      </c>
      <c r="F1907" s="10" t="n">
        <f aca="false">E1907*Staffing!$L$37/12*(1+Assumptions!$E$10)^INT((C1907-1)/12)*1</f>
        <v>36658.125</v>
      </c>
      <c r="G1907" s="10" t="n">
        <f aca="false">F1907*Staffing!$N$37</f>
        <v>0</v>
      </c>
      <c r="H1907" s="10" t="n">
        <f aca="false">F1907+G1907</f>
        <v>36658.125</v>
      </c>
      <c r="I1907" s="10" t="n">
        <f aca="false">0</f>
        <v>0</v>
      </c>
      <c r="J1907" s="10" t="n">
        <f aca="false">MAX(0,E1907-E1906)*Staffing!$O$37</f>
        <v>0</v>
      </c>
      <c r="K1907" s="10" t="n">
        <f aca="false">MAX(0,E1907-E1906)*Staffing!$P$37</f>
        <v>0</v>
      </c>
      <c r="L1907" s="23" t="n">
        <f aca="false">ROUNDUP(E1907,0)</f>
        <v>2</v>
      </c>
    </row>
    <row r="1908" customFormat="false" ht="15" hidden="false" customHeight="false" outlineLevel="0" collapsed="false">
      <c r="A1908" s="6" t="s">
        <v>73</v>
      </c>
      <c r="B1908" s="6" t="s">
        <v>338</v>
      </c>
      <c r="C1908" s="6" t="n">
        <v>43</v>
      </c>
      <c r="D1908" s="25" t="n">
        <f aca="false">EDATE('Start Here'!$B$6,C1908-1)</f>
        <v>47604</v>
      </c>
      <c r="E1908" s="11" t="n">
        <f aca="false">IF(AND(C1908&gt;=Staffing!$F$37,C1908&lt;=Staffing!$G$37,1=1),IF(C1908&lt;=6,Staffing!$H$37,IF(C1908&lt;=15,Staffing!$I$37,IF(C1908&lt;=30,Staffing!$J$37,Staffing!$K$37))),0)</f>
        <v>2</v>
      </c>
      <c r="F1908" s="10" t="n">
        <f aca="false">E1908*Staffing!$L$37/12*(1+Assumptions!$E$10)^INT((C1908-1)/12)*1</f>
        <v>36658.125</v>
      </c>
      <c r="G1908" s="10" t="n">
        <f aca="false">F1908*Staffing!$N$37</f>
        <v>0</v>
      </c>
      <c r="H1908" s="10" t="n">
        <f aca="false">F1908+G1908</f>
        <v>36658.125</v>
      </c>
      <c r="I1908" s="10" t="n">
        <f aca="false">0</f>
        <v>0</v>
      </c>
      <c r="J1908" s="10" t="n">
        <f aca="false">MAX(0,E1908-E1907)*Staffing!$O$37</f>
        <v>0</v>
      </c>
      <c r="K1908" s="10" t="n">
        <f aca="false">MAX(0,E1908-E1907)*Staffing!$P$37</f>
        <v>0</v>
      </c>
      <c r="L1908" s="23" t="n">
        <f aca="false">ROUNDUP(E1908,0)</f>
        <v>2</v>
      </c>
    </row>
    <row r="1909" customFormat="false" ht="15" hidden="false" customHeight="false" outlineLevel="0" collapsed="false">
      <c r="A1909" s="6" t="s">
        <v>73</v>
      </c>
      <c r="B1909" s="6" t="s">
        <v>338</v>
      </c>
      <c r="C1909" s="6" t="n">
        <v>44</v>
      </c>
      <c r="D1909" s="25" t="n">
        <f aca="false">EDATE('Start Here'!$B$6,C1909-1)</f>
        <v>47635</v>
      </c>
      <c r="E1909" s="11" t="n">
        <f aca="false">IF(AND(C1909&gt;=Staffing!$F$37,C1909&lt;=Staffing!$G$37,1=1),IF(C1909&lt;=6,Staffing!$H$37,IF(C1909&lt;=15,Staffing!$I$37,IF(C1909&lt;=30,Staffing!$J$37,Staffing!$K$37))),0)</f>
        <v>2</v>
      </c>
      <c r="F1909" s="10" t="n">
        <f aca="false">E1909*Staffing!$L$37/12*(1+Assumptions!$E$10)^INT((C1909-1)/12)*1</f>
        <v>36658.125</v>
      </c>
      <c r="G1909" s="10" t="n">
        <f aca="false">F1909*Staffing!$N$37</f>
        <v>0</v>
      </c>
      <c r="H1909" s="10" t="n">
        <f aca="false">F1909+G1909</f>
        <v>36658.125</v>
      </c>
      <c r="I1909" s="10" t="n">
        <f aca="false">0</f>
        <v>0</v>
      </c>
      <c r="J1909" s="10" t="n">
        <f aca="false">MAX(0,E1909-E1908)*Staffing!$O$37</f>
        <v>0</v>
      </c>
      <c r="K1909" s="10" t="n">
        <f aca="false">MAX(0,E1909-E1908)*Staffing!$P$37</f>
        <v>0</v>
      </c>
      <c r="L1909" s="23" t="n">
        <f aca="false">ROUNDUP(E1909,0)</f>
        <v>2</v>
      </c>
    </row>
    <row r="1910" customFormat="false" ht="15" hidden="false" customHeight="false" outlineLevel="0" collapsed="false">
      <c r="A1910" s="6" t="s">
        <v>73</v>
      </c>
      <c r="B1910" s="6" t="s">
        <v>338</v>
      </c>
      <c r="C1910" s="6" t="n">
        <v>45</v>
      </c>
      <c r="D1910" s="25" t="n">
        <f aca="false">EDATE('Start Here'!$B$6,C1910-1)</f>
        <v>47665</v>
      </c>
      <c r="E1910" s="11" t="n">
        <f aca="false">IF(AND(C1910&gt;=Staffing!$F$37,C1910&lt;=Staffing!$G$37,1=1),IF(C1910&lt;=6,Staffing!$H$37,IF(C1910&lt;=15,Staffing!$I$37,IF(C1910&lt;=30,Staffing!$J$37,Staffing!$K$37))),0)</f>
        <v>2</v>
      </c>
      <c r="F1910" s="10" t="n">
        <f aca="false">E1910*Staffing!$L$37/12*(1+Assumptions!$E$10)^INT((C1910-1)/12)*1</f>
        <v>36658.125</v>
      </c>
      <c r="G1910" s="10" t="n">
        <f aca="false">F1910*Staffing!$N$37</f>
        <v>0</v>
      </c>
      <c r="H1910" s="10" t="n">
        <f aca="false">F1910+G1910</f>
        <v>36658.125</v>
      </c>
      <c r="I1910" s="10" t="n">
        <f aca="false">0</f>
        <v>0</v>
      </c>
      <c r="J1910" s="10" t="n">
        <f aca="false">MAX(0,E1910-E1909)*Staffing!$O$37</f>
        <v>0</v>
      </c>
      <c r="K1910" s="10" t="n">
        <f aca="false">MAX(0,E1910-E1909)*Staffing!$P$37</f>
        <v>0</v>
      </c>
      <c r="L1910" s="23" t="n">
        <f aca="false">ROUNDUP(E1910,0)</f>
        <v>2</v>
      </c>
    </row>
    <row r="1911" customFormat="false" ht="15" hidden="false" customHeight="false" outlineLevel="0" collapsed="false">
      <c r="A1911" s="6" t="s">
        <v>73</v>
      </c>
      <c r="B1911" s="6" t="s">
        <v>338</v>
      </c>
      <c r="C1911" s="6" t="n">
        <v>46</v>
      </c>
      <c r="D1911" s="25" t="n">
        <f aca="false">EDATE('Start Here'!$B$6,C1911-1)</f>
        <v>47696</v>
      </c>
      <c r="E1911" s="11" t="n">
        <f aca="false">IF(AND(C1911&gt;=Staffing!$F$37,C1911&lt;=Staffing!$G$37,1=1),IF(C1911&lt;=6,Staffing!$H$37,IF(C1911&lt;=15,Staffing!$I$37,IF(C1911&lt;=30,Staffing!$J$37,Staffing!$K$37))),0)</f>
        <v>2</v>
      </c>
      <c r="F1911" s="10" t="n">
        <f aca="false">E1911*Staffing!$L$37/12*(1+Assumptions!$E$10)^INT((C1911-1)/12)*1</f>
        <v>36658.125</v>
      </c>
      <c r="G1911" s="10" t="n">
        <f aca="false">F1911*Staffing!$N$37</f>
        <v>0</v>
      </c>
      <c r="H1911" s="10" t="n">
        <f aca="false">F1911+G1911</f>
        <v>36658.125</v>
      </c>
      <c r="I1911" s="10" t="n">
        <f aca="false">0</f>
        <v>0</v>
      </c>
      <c r="J1911" s="10" t="n">
        <f aca="false">MAX(0,E1911-E1910)*Staffing!$O$37</f>
        <v>0</v>
      </c>
      <c r="K1911" s="10" t="n">
        <f aca="false">MAX(0,E1911-E1910)*Staffing!$P$37</f>
        <v>0</v>
      </c>
      <c r="L1911" s="23" t="n">
        <f aca="false">ROUNDUP(E1911,0)</f>
        <v>2</v>
      </c>
    </row>
    <row r="1912" customFormat="false" ht="15" hidden="false" customHeight="false" outlineLevel="0" collapsed="false">
      <c r="A1912" s="6" t="s">
        <v>73</v>
      </c>
      <c r="B1912" s="6" t="s">
        <v>338</v>
      </c>
      <c r="C1912" s="6" t="n">
        <v>47</v>
      </c>
      <c r="D1912" s="25" t="n">
        <f aca="false">EDATE('Start Here'!$B$6,C1912-1)</f>
        <v>47727</v>
      </c>
      <c r="E1912" s="11" t="n">
        <f aca="false">IF(AND(C1912&gt;=Staffing!$F$37,C1912&lt;=Staffing!$G$37,1=1),IF(C1912&lt;=6,Staffing!$H$37,IF(C1912&lt;=15,Staffing!$I$37,IF(C1912&lt;=30,Staffing!$J$37,Staffing!$K$37))),0)</f>
        <v>2</v>
      </c>
      <c r="F1912" s="10" t="n">
        <f aca="false">E1912*Staffing!$L$37/12*(1+Assumptions!$E$10)^INT((C1912-1)/12)*1</f>
        <v>36658.125</v>
      </c>
      <c r="G1912" s="10" t="n">
        <f aca="false">F1912*Staffing!$N$37</f>
        <v>0</v>
      </c>
      <c r="H1912" s="10" t="n">
        <f aca="false">F1912+G1912</f>
        <v>36658.125</v>
      </c>
      <c r="I1912" s="10" t="n">
        <f aca="false">0</f>
        <v>0</v>
      </c>
      <c r="J1912" s="10" t="n">
        <f aca="false">MAX(0,E1912-E1911)*Staffing!$O$37</f>
        <v>0</v>
      </c>
      <c r="K1912" s="10" t="n">
        <f aca="false">MAX(0,E1912-E1911)*Staffing!$P$37</f>
        <v>0</v>
      </c>
      <c r="L1912" s="23" t="n">
        <f aca="false">ROUNDUP(E1912,0)</f>
        <v>2</v>
      </c>
    </row>
    <row r="1913" customFormat="false" ht="15" hidden="false" customHeight="false" outlineLevel="0" collapsed="false">
      <c r="A1913" s="6" t="s">
        <v>73</v>
      </c>
      <c r="B1913" s="6" t="s">
        <v>338</v>
      </c>
      <c r="C1913" s="6" t="n">
        <v>48</v>
      </c>
      <c r="D1913" s="25" t="n">
        <f aca="false">EDATE('Start Here'!$B$6,C1913-1)</f>
        <v>47757</v>
      </c>
      <c r="E1913" s="11" t="n">
        <f aca="false">IF(AND(C1913&gt;=Staffing!$F$37,C1913&lt;=Staffing!$G$37,1=1),IF(C1913&lt;=6,Staffing!$H$37,IF(C1913&lt;=15,Staffing!$I$37,IF(C1913&lt;=30,Staffing!$J$37,Staffing!$K$37))),0)</f>
        <v>2</v>
      </c>
      <c r="F1913" s="10" t="n">
        <f aca="false">E1913*Staffing!$L$37/12*(1+Assumptions!$E$10)^INT((C1913-1)/12)*1</f>
        <v>36658.125</v>
      </c>
      <c r="G1913" s="10" t="n">
        <f aca="false">F1913*Staffing!$N$37</f>
        <v>0</v>
      </c>
      <c r="H1913" s="10" t="n">
        <f aca="false">F1913+G1913</f>
        <v>36658.125</v>
      </c>
      <c r="I1913" s="10" t="n">
        <f aca="false">0</f>
        <v>0</v>
      </c>
      <c r="J1913" s="10" t="n">
        <f aca="false">MAX(0,E1913-E1912)*Staffing!$O$37</f>
        <v>0</v>
      </c>
      <c r="K1913" s="10" t="n">
        <f aca="false">MAX(0,E1913-E1912)*Staffing!$P$37</f>
        <v>0</v>
      </c>
      <c r="L1913" s="23" t="n">
        <f aca="false">ROUNDUP(E1913,0)</f>
        <v>2</v>
      </c>
    </row>
    <row r="1914" customFormat="false" ht="15" hidden="false" customHeight="false" outlineLevel="0" collapsed="false">
      <c r="A1914" s="6" t="s">
        <v>73</v>
      </c>
      <c r="B1914" s="6" t="s">
        <v>338</v>
      </c>
      <c r="C1914" s="6" t="n">
        <v>49</v>
      </c>
      <c r="D1914" s="25" t="n">
        <f aca="false">EDATE('Start Here'!$B$6,C1914-1)</f>
        <v>47788</v>
      </c>
      <c r="E1914" s="11" t="n">
        <f aca="false">IF(AND(C1914&gt;=Staffing!$F$37,C1914&lt;=Staffing!$G$37,1=1),IF(C1914&lt;=6,Staffing!$H$37,IF(C1914&lt;=15,Staffing!$I$37,IF(C1914&lt;=30,Staffing!$J$37,Staffing!$K$37))),0)</f>
        <v>2</v>
      </c>
      <c r="F1914" s="10" t="n">
        <f aca="false">E1914*Staffing!$L$37/12*(1+Assumptions!$E$10)^INT((C1914-1)/12)*1</f>
        <v>38491.03125</v>
      </c>
      <c r="G1914" s="10" t="n">
        <f aca="false">F1914*Staffing!$N$37</f>
        <v>0</v>
      </c>
      <c r="H1914" s="10" t="n">
        <f aca="false">F1914+G1914</f>
        <v>38491.03125</v>
      </c>
      <c r="I1914" s="10" t="n">
        <f aca="false">0</f>
        <v>0</v>
      </c>
      <c r="J1914" s="10" t="n">
        <f aca="false">MAX(0,E1914-E1913)*Staffing!$O$37</f>
        <v>0</v>
      </c>
      <c r="K1914" s="10" t="n">
        <f aca="false">MAX(0,E1914-E1913)*Staffing!$P$37</f>
        <v>0</v>
      </c>
      <c r="L1914" s="23" t="n">
        <f aca="false">ROUNDUP(E1914,0)</f>
        <v>2</v>
      </c>
    </row>
    <row r="1915" customFormat="false" ht="15" hidden="false" customHeight="false" outlineLevel="0" collapsed="false">
      <c r="A1915" s="6" t="s">
        <v>73</v>
      </c>
      <c r="B1915" s="6" t="s">
        <v>338</v>
      </c>
      <c r="C1915" s="6" t="n">
        <v>50</v>
      </c>
      <c r="D1915" s="25" t="n">
        <f aca="false">EDATE('Start Here'!$B$6,C1915-1)</f>
        <v>47818</v>
      </c>
      <c r="E1915" s="11" t="n">
        <f aca="false">IF(AND(C1915&gt;=Staffing!$F$37,C1915&lt;=Staffing!$G$37,1=1),IF(C1915&lt;=6,Staffing!$H$37,IF(C1915&lt;=15,Staffing!$I$37,IF(C1915&lt;=30,Staffing!$J$37,Staffing!$K$37))),0)</f>
        <v>2</v>
      </c>
      <c r="F1915" s="10" t="n">
        <f aca="false">E1915*Staffing!$L$37/12*(1+Assumptions!$E$10)^INT((C1915-1)/12)*1</f>
        <v>38491.03125</v>
      </c>
      <c r="G1915" s="10" t="n">
        <f aca="false">F1915*Staffing!$N$37</f>
        <v>0</v>
      </c>
      <c r="H1915" s="10" t="n">
        <f aca="false">F1915+G1915</f>
        <v>38491.03125</v>
      </c>
      <c r="I1915" s="10" t="n">
        <f aca="false">0</f>
        <v>0</v>
      </c>
      <c r="J1915" s="10" t="n">
        <f aca="false">MAX(0,E1915-E1914)*Staffing!$O$37</f>
        <v>0</v>
      </c>
      <c r="K1915" s="10" t="n">
        <f aca="false">MAX(0,E1915-E1914)*Staffing!$P$37</f>
        <v>0</v>
      </c>
      <c r="L1915" s="23" t="n">
        <f aca="false">ROUNDUP(E1915,0)</f>
        <v>2</v>
      </c>
    </row>
    <row r="1916" customFormat="false" ht="15" hidden="false" customHeight="false" outlineLevel="0" collapsed="false">
      <c r="A1916" s="6" t="s">
        <v>73</v>
      </c>
      <c r="B1916" s="6" t="s">
        <v>338</v>
      </c>
      <c r="C1916" s="6" t="n">
        <v>51</v>
      </c>
      <c r="D1916" s="25" t="n">
        <f aca="false">EDATE('Start Here'!$B$6,C1916-1)</f>
        <v>47849</v>
      </c>
      <c r="E1916" s="11" t="n">
        <f aca="false">IF(AND(C1916&gt;=Staffing!$F$37,C1916&lt;=Staffing!$G$37,1=1),IF(C1916&lt;=6,Staffing!$H$37,IF(C1916&lt;=15,Staffing!$I$37,IF(C1916&lt;=30,Staffing!$J$37,Staffing!$K$37))),0)</f>
        <v>2</v>
      </c>
      <c r="F1916" s="10" t="n">
        <f aca="false">E1916*Staffing!$L$37/12*(1+Assumptions!$E$10)^INT((C1916-1)/12)*1</f>
        <v>38491.03125</v>
      </c>
      <c r="G1916" s="10" t="n">
        <f aca="false">F1916*Staffing!$N$37</f>
        <v>0</v>
      </c>
      <c r="H1916" s="10" t="n">
        <f aca="false">F1916+G1916</f>
        <v>38491.03125</v>
      </c>
      <c r="I1916" s="10" t="n">
        <f aca="false">0</f>
        <v>0</v>
      </c>
      <c r="J1916" s="10" t="n">
        <f aca="false">MAX(0,E1916-E1915)*Staffing!$O$37</f>
        <v>0</v>
      </c>
      <c r="K1916" s="10" t="n">
        <f aca="false">MAX(0,E1916-E1915)*Staffing!$P$37</f>
        <v>0</v>
      </c>
      <c r="L1916" s="23" t="n">
        <f aca="false">ROUNDUP(E1916,0)</f>
        <v>2</v>
      </c>
    </row>
    <row r="1917" customFormat="false" ht="15" hidden="false" customHeight="false" outlineLevel="0" collapsed="false">
      <c r="A1917" s="6" t="s">
        <v>73</v>
      </c>
      <c r="B1917" s="6" t="s">
        <v>338</v>
      </c>
      <c r="C1917" s="6" t="n">
        <v>52</v>
      </c>
      <c r="D1917" s="25" t="n">
        <f aca="false">EDATE('Start Here'!$B$6,C1917-1)</f>
        <v>47880</v>
      </c>
      <c r="E1917" s="11" t="n">
        <f aca="false">IF(AND(C1917&gt;=Staffing!$F$37,C1917&lt;=Staffing!$G$37,1=1),IF(C1917&lt;=6,Staffing!$H$37,IF(C1917&lt;=15,Staffing!$I$37,IF(C1917&lt;=30,Staffing!$J$37,Staffing!$K$37))),0)</f>
        <v>2</v>
      </c>
      <c r="F1917" s="10" t="n">
        <f aca="false">E1917*Staffing!$L$37/12*(1+Assumptions!$E$10)^INT((C1917-1)/12)*1</f>
        <v>38491.03125</v>
      </c>
      <c r="G1917" s="10" t="n">
        <f aca="false">F1917*Staffing!$N$37</f>
        <v>0</v>
      </c>
      <c r="H1917" s="10" t="n">
        <f aca="false">F1917+G1917</f>
        <v>38491.03125</v>
      </c>
      <c r="I1917" s="10" t="n">
        <f aca="false">0</f>
        <v>0</v>
      </c>
      <c r="J1917" s="10" t="n">
        <f aca="false">MAX(0,E1917-E1916)*Staffing!$O$37</f>
        <v>0</v>
      </c>
      <c r="K1917" s="10" t="n">
        <f aca="false">MAX(0,E1917-E1916)*Staffing!$P$37</f>
        <v>0</v>
      </c>
      <c r="L1917" s="23" t="n">
        <f aca="false">ROUNDUP(E1917,0)</f>
        <v>2</v>
      </c>
    </row>
    <row r="1918" customFormat="false" ht="15" hidden="false" customHeight="false" outlineLevel="0" collapsed="false">
      <c r="A1918" s="6" t="s">
        <v>73</v>
      </c>
      <c r="B1918" s="6" t="s">
        <v>338</v>
      </c>
      <c r="C1918" s="6" t="n">
        <v>53</v>
      </c>
      <c r="D1918" s="25" t="n">
        <f aca="false">EDATE('Start Here'!$B$6,C1918-1)</f>
        <v>47908</v>
      </c>
      <c r="E1918" s="11" t="n">
        <f aca="false">IF(AND(C1918&gt;=Staffing!$F$37,C1918&lt;=Staffing!$G$37,1=1),IF(C1918&lt;=6,Staffing!$H$37,IF(C1918&lt;=15,Staffing!$I$37,IF(C1918&lt;=30,Staffing!$J$37,Staffing!$K$37))),0)</f>
        <v>2</v>
      </c>
      <c r="F1918" s="10" t="n">
        <f aca="false">E1918*Staffing!$L$37/12*(1+Assumptions!$E$10)^INT((C1918-1)/12)*1</f>
        <v>38491.03125</v>
      </c>
      <c r="G1918" s="10" t="n">
        <f aca="false">F1918*Staffing!$N$37</f>
        <v>0</v>
      </c>
      <c r="H1918" s="10" t="n">
        <f aca="false">F1918+G1918</f>
        <v>38491.03125</v>
      </c>
      <c r="I1918" s="10" t="n">
        <f aca="false">0</f>
        <v>0</v>
      </c>
      <c r="J1918" s="10" t="n">
        <f aca="false">MAX(0,E1918-E1917)*Staffing!$O$37</f>
        <v>0</v>
      </c>
      <c r="K1918" s="10" t="n">
        <f aca="false">MAX(0,E1918-E1917)*Staffing!$P$37</f>
        <v>0</v>
      </c>
      <c r="L1918" s="23" t="n">
        <f aca="false">ROUNDUP(E1918,0)</f>
        <v>2</v>
      </c>
    </row>
    <row r="1919" customFormat="false" ht="15" hidden="false" customHeight="false" outlineLevel="0" collapsed="false">
      <c r="A1919" s="6" t="s">
        <v>73</v>
      </c>
      <c r="B1919" s="6" t="s">
        <v>338</v>
      </c>
      <c r="C1919" s="6" t="n">
        <v>54</v>
      </c>
      <c r="D1919" s="25" t="n">
        <f aca="false">EDATE('Start Here'!$B$6,C1919-1)</f>
        <v>47939</v>
      </c>
      <c r="E1919" s="11" t="n">
        <f aca="false">IF(AND(C1919&gt;=Staffing!$F$37,C1919&lt;=Staffing!$G$37,1=1),IF(C1919&lt;=6,Staffing!$H$37,IF(C1919&lt;=15,Staffing!$I$37,IF(C1919&lt;=30,Staffing!$J$37,Staffing!$K$37))),0)</f>
        <v>2</v>
      </c>
      <c r="F1919" s="10" t="n">
        <f aca="false">E1919*Staffing!$L$37/12*(1+Assumptions!$E$10)^INT((C1919-1)/12)*1</f>
        <v>38491.03125</v>
      </c>
      <c r="G1919" s="10" t="n">
        <f aca="false">F1919*Staffing!$N$37</f>
        <v>0</v>
      </c>
      <c r="H1919" s="10" t="n">
        <f aca="false">F1919+G1919</f>
        <v>38491.03125</v>
      </c>
      <c r="I1919" s="10" t="n">
        <f aca="false">0</f>
        <v>0</v>
      </c>
      <c r="J1919" s="10" t="n">
        <f aca="false">MAX(0,E1919-E1918)*Staffing!$O$37</f>
        <v>0</v>
      </c>
      <c r="K1919" s="10" t="n">
        <f aca="false">MAX(0,E1919-E1918)*Staffing!$P$37</f>
        <v>0</v>
      </c>
      <c r="L1919" s="23" t="n">
        <f aca="false">ROUNDUP(E1919,0)</f>
        <v>2</v>
      </c>
    </row>
    <row r="1920" customFormat="false" ht="15" hidden="false" customHeight="false" outlineLevel="0" collapsed="false">
      <c r="A1920" s="6" t="s">
        <v>73</v>
      </c>
      <c r="B1920" s="6" t="s">
        <v>338</v>
      </c>
      <c r="C1920" s="6" t="n">
        <v>55</v>
      </c>
      <c r="D1920" s="25" t="n">
        <f aca="false">EDATE('Start Here'!$B$6,C1920-1)</f>
        <v>47969</v>
      </c>
      <c r="E1920" s="11" t="n">
        <f aca="false">IF(AND(C1920&gt;=Staffing!$F$37,C1920&lt;=Staffing!$G$37,1=1),IF(C1920&lt;=6,Staffing!$H$37,IF(C1920&lt;=15,Staffing!$I$37,IF(C1920&lt;=30,Staffing!$J$37,Staffing!$K$37))),0)</f>
        <v>2</v>
      </c>
      <c r="F1920" s="10" t="n">
        <f aca="false">E1920*Staffing!$L$37/12*(1+Assumptions!$E$10)^INT((C1920-1)/12)*1</f>
        <v>38491.03125</v>
      </c>
      <c r="G1920" s="10" t="n">
        <f aca="false">F1920*Staffing!$N$37</f>
        <v>0</v>
      </c>
      <c r="H1920" s="10" t="n">
        <f aca="false">F1920+G1920</f>
        <v>38491.03125</v>
      </c>
      <c r="I1920" s="10" t="n">
        <f aca="false">0</f>
        <v>0</v>
      </c>
      <c r="J1920" s="10" t="n">
        <f aca="false">MAX(0,E1920-E1919)*Staffing!$O$37</f>
        <v>0</v>
      </c>
      <c r="K1920" s="10" t="n">
        <f aca="false">MAX(0,E1920-E1919)*Staffing!$P$37</f>
        <v>0</v>
      </c>
      <c r="L1920" s="23" t="n">
        <f aca="false">ROUNDUP(E1920,0)</f>
        <v>2</v>
      </c>
    </row>
    <row r="1921" customFormat="false" ht="15" hidden="false" customHeight="false" outlineLevel="0" collapsed="false">
      <c r="A1921" s="6" t="s">
        <v>73</v>
      </c>
      <c r="B1921" s="6" t="s">
        <v>338</v>
      </c>
      <c r="C1921" s="6" t="n">
        <v>56</v>
      </c>
      <c r="D1921" s="25" t="n">
        <f aca="false">EDATE('Start Here'!$B$6,C1921-1)</f>
        <v>48000</v>
      </c>
      <c r="E1921" s="11" t="n">
        <f aca="false">IF(AND(C1921&gt;=Staffing!$F$37,C1921&lt;=Staffing!$G$37,1=1),IF(C1921&lt;=6,Staffing!$H$37,IF(C1921&lt;=15,Staffing!$I$37,IF(C1921&lt;=30,Staffing!$J$37,Staffing!$K$37))),0)</f>
        <v>2</v>
      </c>
      <c r="F1921" s="10" t="n">
        <f aca="false">E1921*Staffing!$L$37/12*(1+Assumptions!$E$10)^INT((C1921-1)/12)*1</f>
        <v>38491.03125</v>
      </c>
      <c r="G1921" s="10" t="n">
        <f aca="false">F1921*Staffing!$N$37</f>
        <v>0</v>
      </c>
      <c r="H1921" s="10" t="n">
        <f aca="false">F1921+G1921</f>
        <v>38491.03125</v>
      </c>
      <c r="I1921" s="10" t="n">
        <f aca="false">0</f>
        <v>0</v>
      </c>
      <c r="J1921" s="10" t="n">
        <f aca="false">MAX(0,E1921-E1920)*Staffing!$O$37</f>
        <v>0</v>
      </c>
      <c r="K1921" s="10" t="n">
        <f aca="false">MAX(0,E1921-E1920)*Staffing!$P$37</f>
        <v>0</v>
      </c>
      <c r="L1921" s="23" t="n">
        <f aca="false">ROUNDUP(E1921,0)</f>
        <v>2</v>
      </c>
    </row>
    <row r="1922" customFormat="false" ht="15" hidden="false" customHeight="false" outlineLevel="0" collapsed="false">
      <c r="A1922" s="6" t="s">
        <v>73</v>
      </c>
      <c r="B1922" s="6" t="s">
        <v>338</v>
      </c>
      <c r="C1922" s="6" t="n">
        <v>57</v>
      </c>
      <c r="D1922" s="25" t="n">
        <f aca="false">EDATE('Start Here'!$B$6,C1922-1)</f>
        <v>48030</v>
      </c>
      <c r="E1922" s="11" t="n">
        <f aca="false">IF(AND(C1922&gt;=Staffing!$F$37,C1922&lt;=Staffing!$G$37,1=1),IF(C1922&lt;=6,Staffing!$H$37,IF(C1922&lt;=15,Staffing!$I$37,IF(C1922&lt;=30,Staffing!$J$37,Staffing!$K$37))),0)</f>
        <v>2</v>
      </c>
      <c r="F1922" s="10" t="n">
        <f aca="false">E1922*Staffing!$L$37/12*(1+Assumptions!$E$10)^INT((C1922-1)/12)*1</f>
        <v>38491.03125</v>
      </c>
      <c r="G1922" s="10" t="n">
        <f aca="false">F1922*Staffing!$N$37</f>
        <v>0</v>
      </c>
      <c r="H1922" s="10" t="n">
        <f aca="false">F1922+G1922</f>
        <v>38491.03125</v>
      </c>
      <c r="I1922" s="10" t="n">
        <f aca="false">0</f>
        <v>0</v>
      </c>
      <c r="J1922" s="10" t="n">
        <f aca="false">MAX(0,E1922-E1921)*Staffing!$O$37</f>
        <v>0</v>
      </c>
      <c r="K1922" s="10" t="n">
        <f aca="false">MAX(0,E1922-E1921)*Staffing!$P$37</f>
        <v>0</v>
      </c>
      <c r="L1922" s="23" t="n">
        <f aca="false">ROUNDUP(E1922,0)</f>
        <v>2</v>
      </c>
    </row>
    <row r="1923" customFormat="false" ht="15" hidden="false" customHeight="false" outlineLevel="0" collapsed="false">
      <c r="A1923" s="6" t="s">
        <v>73</v>
      </c>
      <c r="B1923" s="6" t="s">
        <v>338</v>
      </c>
      <c r="C1923" s="6" t="n">
        <v>58</v>
      </c>
      <c r="D1923" s="25" t="n">
        <f aca="false">EDATE('Start Here'!$B$6,C1923-1)</f>
        <v>48061</v>
      </c>
      <c r="E1923" s="11" t="n">
        <f aca="false">IF(AND(C1923&gt;=Staffing!$F$37,C1923&lt;=Staffing!$G$37,1=1),IF(C1923&lt;=6,Staffing!$H$37,IF(C1923&lt;=15,Staffing!$I$37,IF(C1923&lt;=30,Staffing!$J$37,Staffing!$K$37))),0)</f>
        <v>2</v>
      </c>
      <c r="F1923" s="10" t="n">
        <f aca="false">E1923*Staffing!$L$37/12*(1+Assumptions!$E$10)^INT((C1923-1)/12)*1</f>
        <v>38491.03125</v>
      </c>
      <c r="G1923" s="10" t="n">
        <f aca="false">F1923*Staffing!$N$37</f>
        <v>0</v>
      </c>
      <c r="H1923" s="10" t="n">
        <f aca="false">F1923+G1923</f>
        <v>38491.03125</v>
      </c>
      <c r="I1923" s="10" t="n">
        <f aca="false">0</f>
        <v>0</v>
      </c>
      <c r="J1923" s="10" t="n">
        <f aca="false">MAX(0,E1923-E1922)*Staffing!$O$37</f>
        <v>0</v>
      </c>
      <c r="K1923" s="10" t="n">
        <f aca="false">MAX(0,E1923-E1922)*Staffing!$P$37</f>
        <v>0</v>
      </c>
      <c r="L1923" s="23" t="n">
        <f aca="false">ROUNDUP(E1923,0)</f>
        <v>2</v>
      </c>
    </row>
    <row r="1924" customFormat="false" ht="15" hidden="false" customHeight="false" outlineLevel="0" collapsed="false">
      <c r="A1924" s="6" t="s">
        <v>73</v>
      </c>
      <c r="B1924" s="6" t="s">
        <v>338</v>
      </c>
      <c r="C1924" s="6" t="n">
        <v>59</v>
      </c>
      <c r="D1924" s="25" t="n">
        <f aca="false">EDATE('Start Here'!$B$6,C1924-1)</f>
        <v>48092</v>
      </c>
      <c r="E1924" s="11" t="n">
        <f aca="false">IF(AND(C1924&gt;=Staffing!$F$37,C1924&lt;=Staffing!$G$37,1=1),IF(C1924&lt;=6,Staffing!$H$37,IF(C1924&lt;=15,Staffing!$I$37,IF(C1924&lt;=30,Staffing!$J$37,Staffing!$K$37))),0)</f>
        <v>2</v>
      </c>
      <c r="F1924" s="10" t="n">
        <f aca="false">E1924*Staffing!$L$37/12*(1+Assumptions!$E$10)^INT((C1924-1)/12)*1</f>
        <v>38491.03125</v>
      </c>
      <c r="G1924" s="10" t="n">
        <f aca="false">F1924*Staffing!$N$37</f>
        <v>0</v>
      </c>
      <c r="H1924" s="10" t="n">
        <f aca="false">F1924+G1924</f>
        <v>38491.03125</v>
      </c>
      <c r="I1924" s="10" t="n">
        <f aca="false">0</f>
        <v>0</v>
      </c>
      <c r="J1924" s="10" t="n">
        <f aca="false">MAX(0,E1924-E1923)*Staffing!$O$37</f>
        <v>0</v>
      </c>
      <c r="K1924" s="10" t="n">
        <f aca="false">MAX(0,E1924-E1923)*Staffing!$P$37</f>
        <v>0</v>
      </c>
      <c r="L1924" s="23" t="n">
        <f aca="false">ROUNDUP(E1924,0)</f>
        <v>2</v>
      </c>
    </row>
    <row r="1925" customFormat="false" ht="15" hidden="false" customHeight="false" outlineLevel="0" collapsed="false">
      <c r="A1925" s="6" t="s">
        <v>73</v>
      </c>
      <c r="B1925" s="6" t="s">
        <v>338</v>
      </c>
      <c r="C1925" s="6" t="n">
        <v>60</v>
      </c>
      <c r="D1925" s="25" t="n">
        <f aca="false">EDATE('Start Here'!$B$6,C1925-1)</f>
        <v>48122</v>
      </c>
      <c r="E1925" s="11" t="n">
        <f aca="false">IF(AND(C1925&gt;=Staffing!$F$37,C1925&lt;=Staffing!$G$37,1=1),IF(C1925&lt;=6,Staffing!$H$37,IF(C1925&lt;=15,Staffing!$I$37,IF(C1925&lt;=30,Staffing!$J$37,Staffing!$K$37))),0)</f>
        <v>2</v>
      </c>
      <c r="F1925" s="10" t="n">
        <f aca="false">E1925*Staffing!$L$37/12*(1+Assumptions!$E$10)^INT((C1925-1)/12)*1</f>
        <v>38491.03125</v>
      </c>
      <c r="G1925" s="10" t="n">
        <f aca="false">F1925*Staffing!$N$37</f>
        <v>0</v>
      </c>
      <c r="H1925" s="10" t="n">
        <f aca="false">F1925+G1925</f>
        <v>38491.03125</v>
      </c>
      <c r="I1925" s="10" t="n">
        <f aca="false">0</f>
        <v>0</v>
      </c>
      <c r="J1925" s="10" t="n">
        <f aca="false">MAX(0,E1925-E1924)*Staffing!$O$37</f>
        <v>0</v>
      </c>
      <c r="K1925" s="10" t="n">
        <f aca="false">MAX(0,E1925-E1924)*Staffing!$P$37</f>
        <v>0</v>
      </c>
      <c r="L1925" s="23" t="n">
        <f aca="false">ROUNDUP(E1925,0)</f>
        <v>2</v>
      </c>
    </row>
    <row r="1926" customFormat="false" ht="15" hidden="false" customHeight="false" outlineLevel="0" collapsed="false">
      <c r="A1926" s="6" t="s">
        <v>73</v>
      </c>
      <c r="B1926" s="6" t="s">
        <v>341</v>
      </c>
      <c r="C1926" s="6" t="n">
        <v>1</v>
      </c>
      <c r="D1926" s="25" t="n">
        <f aca="false">EDATE('Start Here'!$B$6,C1926-1)</f>
        <v>46327</v>
      </c>
      <c r="E1926" s="23" t="n">
        <f aca="false">IF(AND(C1926&gt;=Staffing!$F$38,C1926&lt;=Staffing!$G$38,1=1),IF(C1926&lt;=6,Staffing!$H$38,IF(C1926&lt;=15,Staffing!$I$38,IF(C1926&lt;=30,Staffing!$J$38,Staffing!$K$38))),0)</f>
        <v>0</v>
      </c>
      <c r="F1926" s="10" t="n">
        <f aca="false">E1926*Staffing!$L$38/12*(1+Assumptions!$E$10)^INT((C1926-1)/12)*1</f>
        <v>0</v>
      </c>
      <c r="G1926" s="10" t="n">
        <f aca="false">F1926*Staffing!$N$38</f>
        <v>0</v>
      </c>
      <c r="H1926" s="10" t="n">
        <f aca="false">F1926+G1926</f>
        <v>0</v>
      </c>
      <c r="I1926" s="10" t="n">
        <f aca="false">0</f>
        <v>0</v>
      </c>
      <c r="J1926" s="10" t="n">
        <f aca="false">MAX(0,E1926-0)*Staffing!$O$38</f>
        <v>0</v>
      </c>
      <c r="K1926" s="10" t="n">
        <f aca="false">MAX(0,E1926-0)*Staffing!$P$38</f>
        <v>0</v>
      </c>
      <c r="L1926" s="23" t="n">
        <f aca="false">ROUNDUP(E1926,0)</f>
        <v>0</v>
      </c>
    </row>
    <row r="1927" customFormat="false" ht="15" hidden="false" customHeight="false" outlineLevel="0" collapsed="false">
      <c r="A1927" s="6" t="s">
        <v>73</v>
      </c>
      <c r="B1927" s="6" t="s">
        <v>341</v>
      </c>
      <c r="C1927" s="6" t="n">
        <v>2</v>
      </c>
      <c r="D1927" s="25" t="n">
        <f aca="false">EDATE('Start Here'!$B$6,C1927-1)</f>
        <v>46357</v>
      </c>
      <c r="E1927" s="11" t="n">
        <f aca="false">IF(AND(C1927&gt;=Staffing!$F$38,C1927&lt;=Staffing!$G$38,1=1),IF(C1927&lt;=6,Staffing!$H$38,IF(C1927&lt;=15,Staffing!$I$38,IF(C1927&lt;=30,Staffing!$J$38,Staffing!$K$38))),0)</f>
        <v>0.5</v>
      </c>
      <c r="F1927" s="10" t="n">
        <f aca="false">E1927*Staffing!$L$38/12*(1+Assumptions!$E$10)^INT((C1927-1)/12)*1</f>
        <v>5416.66666666667</v>
      </c>
      <c r="G1927" s="10" t="n">
        <f aca="false">F1927*Staffing!$N$38</f>
        <v>0</v>
      </c>
      <c r="H1927" s="10" t="n">
        <f aca="false">F1927+G1927</f>
        <v>5416.66666666667</v>
      </c>
      <c r="I1927" s="10" t="n">
        <f aca="false">0</f>
        <v>0</v>
      </c>
      <c r="J1927" s="10" t="n">
        <f aca="false">MAX(0,E1927-E1926)*Staffing!$O$38</f>
        <v>0</v>
      </c>
      <c r="K1927" s="10" t="n">
        <f aca="false">MAX(0,E1927-E1926)*Staffing!$P$38</f>
        <v>1750</v>
      </c>
      <c r="L1927" s="23" t="n">
        <f aca="false">ROUNDUP(E1927,0)</f>
        <v>1</v>
      </c>
    </row>
    <row r="1928" customFormat="false" ht="15" hidden="false" customHeight="false" outlineLevel="0" collapsed="false">
      <c r="A1928" s="6" t="s">
        <v>73</v>
      </c>
      <c r="B1928" s="6" t="s">
        <v>341</v>
      </c>
      <c r="C1928" s="6" t="n">
        <v>3</v>
      </c>
      <c r="D1928" s="25" t="n">
        <f aca="false">EDATE('Start Here'!$B$6,C1928-1)</f>
        <v>46388</v>
      </c>
      <c r="E1928" s="11" t="n">
        <f aca="false">IF(AND(C1928&gt;=Staffing!$F$38,C1928&lt;=Staffing!$G$38,1=1),IF(C1928&lt;=6,Staffing!$H$38,IF(C1928&lt;=15,Staffing!$I$38,IF(C1928&lt;=30,Staffing!$J$38,Staffing!$K$38))),0)</f>
        <v>0.5</v>
      </c>
      <c r="F1928" s="10" t="n">
        <f aca="false">E1928*Staffing!$L$38/12*(1+Assumptions!$E$10)^INT((C1928-1)/12)*1</f>
        <v>5416.66666666667</v>
      </c>
      <c r="G1928" s="10" t="n">
        <f aca="false">F1928*Staffing!$N$38</f>
        <v>0</v>
      </c>
      <c r="H1928" s="10" t="n">
        <f aca="false">F1928+G1928</f>
        <v>5416.66666666667</v>
      </c>
      <c r="I1928" s="10" t="n">
        <f aca="false">0</f>
        <v>0</v>
      </c>
      <c r="J1928" s="10" t="n">
        <f aca="false">MAX(0,E1928-E1927)*Staffing!$O$38</f>
        <v>0</v>
      </c>
      <c r="K1928" s="10" t="n">
        <f aca="false">MAX(0,E1928-E1927)*Staffing!$P$38</f>
        <v>0</v>
      </c>
      <c r="L1928" s="23" t="n">
        <f aca="false">ROUNDUP(E1928,0)</f>
        <v>1</v>
      </c>
    </row>
    <row r="1929" customFormat="false" ht="15" hidden="false" customHeight="false" outlineLevel="0" collapsed="false">
      <c r="A1929" s="6" t="s">
        <v>73</v>
      </c>
      <c r="B1929" s="6" t="s">
        <v>341</v>
      </c>
      <c r="C1929" s="6" t="n">
        <v>4</v>
      </c>
      <c r="D1929" s="25" t="n">
        <f aca="false">EDATE('Start Here'!$B$6,C1929-1)</f>
        <v>46419</v>
      </c>
      <c r="E1929" s="11" t="n">
        <f aca="false">IF(AND(C1929&gt;=Staffing!$F$38,C1929&lt;=Staffing!$G$38,1=1),IF(C1929&lt;=6,Staffing!$H$38,IF(C1929&lt;=15,Staffing!$I$38,IF(C1929&lt;=30,Staffing!$J$38,Staffing!$K$38))),0)</f>
        <v>0.5</v>
      </c>
      <c r="F1929" s="10" t="n">
        <f aca="false">E1929*Staffing!$L$38/12*(1+Assumptions!$E$10)^INT((C1929-1)/12)*1</f>
        <v>5416.66666666667</v>
      </c>
      <c r="G1929" s="10" t="n">
        <f aca="false">F1929*Staffing!$N$38</f>
        <v>0</v>
      </c>
      <c r="H1929" s="10" t="n">
        <f aca="false">F1929+G1929</f>
        <v>5416.66666666667</v>
      </c>
      <c r="I1929" s="10" t="n">
        <f aca="false">0</f>
        <v>0</v>
      </c>
      <c r="J1929" s="10" t="n">
        <f aca="false">MAX(0,E1929-E1928)*Staffing!$O$38</f>
        <v>0</v>
      </c>
      <c r="K1929" s="10" t="n">
        <f aca="false">MAX(0,E1929-E1928)*Staffing!$P$38</f>
        <v>0</v>
      </c>
      <c r="L1929" s="23" t="n">
        <f aca="false">ROUNDUP(E1929,0)</f>
        <v>1</v>
      </c>
    </row>
    <row r="1930" customFormat="false" ht="15" hidden="false" customHeight="false" outlineLevel="0" collapsed="false">
      <c r="A1930" s="6" t="s">
        <v>73</v>
      </c>
      <c r="B1930" s="6" t="s">
        <v>341</v>
      </c>
      <c r="C1930" s="6" t="n">
        <v>5</v>
      </c>
      <c r="D1930" s="25" t="n">
        <f aca="false">EDATE('Start Here'!$B$6,C1930-1)</f>
        <v>46447</v>
      </c>
      <c r="E1930" s="11" t="n">
        <f aca="false">IF(AND(C1930&gt;=Staffing!$F$38,C1930&lt;=Staffing!$G$38,1=1),IF(C1930&lt;=6,Staffing!$H$38,IF(C1930&lt;=15,Staffing!$I$38,IF(C1930&lt;=30,Staffing!$J$38,Staffing!$K$38))),0)</f>
        <v>0.5</v>
      </c>
      <c r="F1930" s="10" t="n">
        <f aca="false">E1930*Staffing!$L$38/12*(1+Assumptions!$E$10)^INT((C1930-1)/12)*1</f>
        <v>5416.66666666667</v>
      </c>
      <c r="G1930" s="10" t="n">
        <f aca="false">F1930*Staffing!$N$38</f>
        <v>0</v>
      </c>
      <c r="H1930" s="10" t="n">
        <f aca="false">F1930+G1930</f>
        <v>5416.66666666667</v>
      </c>
      <c r="I1930" s="10" t="n">
        <f aca="false">0</f>
        <v>0</v>
      </c>
      <c r="J1930" s="10" t="n">
        <f aca="false">MAX(0,E1930-E1929)*Staffing!$O$38</f>
        <v>0</v>
      </c>
      <c r="K1930" s="10" t="n">
        <f aca="false">MAX(0,E1930-E1929)*Staffing!$P$38</f>
        <v>0</v>
      </c>
      <c r="L1930" s="23" t="n">
        <f aca="false">ROUNDUP(E1930,0)</f>
        <v>1</v>
      </c>
    </row>
    <row r="1931" customFormat="false" ht="15" hidden="false" customHeight="false" outlineLevel="0" collapsed="false">
      <c r="A1931" s="6" t="s">
        <v>73</v>
      </c>
      <c r="B1931" s="6" t="s">
        <v>341</v>
      </c>
      <c r="C1931" s="6" t="n">
        <v>6</v>
      </c>
      <c r="D1931" s="25" t="n">
        <f aca="false">EDATE('Start Here'!$B$6,C1931-1)</f>
        <v>46478</v>
      </c>
      <c r="E1931" s="11" t="n">
        <f aca="false">IF(AND(C1931&gt;=Staffing!$F$38,C1931&lt;=Staffing!$G$38,1=1),IF(C1931&lt;=6,Staffing!$H$38,IF(C1931&lt;=15,Staffing!$I$38,IF(C1931&lt;=30,Staffing!$J$38,Staffing!$K$38))),0)</f>
        <v>0.5</v>
      </c>
      <c r="F1931" s="10" t="n">
        <f aca="false">E1931*Staffing!$L$38/12*(1+Assumptions!$E$10)^INT((C1931-1)/12)*1</f>
        <v>5416.66666666667</v>
      </c>
      <c r="G1931" s="10" t="n">
        <f aca="false">F1931*Staffing!$N$38</f>
        <v>0</v>
      </c>
      <c r="H1931" s="10" t="n">
        <f aca="false">F1931+G1931</f>
        <v>5416.66666666667</v>
      </c>
      <c r="I1931" s="10" t="n">
        <f aca="false">0</f>
        <v>0</v>
      </c>
      <c r="J1931" s="10" t="n">
        <f aca="false">MAX(0,E1931-E1930)*Staffing!$O$38</f>
        <v>0</v>
      </c>
      <c r="K1931" s="10" t="n">
        <f aca="false">MAX(0,E1931-E1930)*Staffing!$P$38</f>
        <v>0</v>
      </c>
      <c r="L1931" s="23" t="n">
        <f aca="false">ROUNDUP(E1931,0)</f>
        <v>1</v>
      </c>
    </row>
    <row r="1932" customFormat="false" ht="15" hidden="false" customHeight="false" outlineLevel="0" collapsed="false">
      <c r="A1932" s="6" t="s">
        <v>73</v>
      </c>
      <c r="B1932" s="6" t="s">
        <v>341</v>
      </c>
      <c r="C1932" s="6" t="n">
        <v>7</v>
      </c>
      <c r="D1932" s="25" t="n">
        <f aca="false">EDATE('Start Here'!$B$6,C1932-1)</f>
        <v>46508</v>
      </c>
      <c r="E1932" s="11" t="n">
        <f aca="false">IF(AND(C1932&gt;=Staffing!$F$38,C1932&lt;=Staffing!$G$38,1=1),IF(C1932&lt;=6,Staffing!$H$38,IF(C1932&lt;=15,Staffing!$I$38,IF(C1932&lt;=30,Staffing!$J$38,Staffing!$K$38))),0)</f>
        <v>0.5</v>
      </c>
      <c r="F1932" s="10" t="n">
        <f aca="false">E1932*Staffing!$L$38/12*(1+Assumptions!$E$10)^INT((C1932-1)/12)*1</f>
        <v>5416.66666666667</v>
      </c>
      <c r="G1932" s="10" t="n">
        <f aca="false">F1932*Staffing!$N$38</f>
        <v>0</v>
      </c>
      <c r="H1932" s="10" t="n">
        <f aca="false">F1932+G1932</f>
        <v>5416.66666666667</v>
      </c>
      <c r="I1932" s="10" t="n">
        <f aca="false">0</f>
        <v>0</v>
      </c>
      <c r="J1932" s="10" t="n">
        <f aca="false">MAX(0,E1932-E1931)*Staffing!$O$38</f>
        <v>0</v>
      </c>
      <c r="K1932" s="10" t="n">
        <f aca="false">MAX(0,E1932-E1931)*Staffing!$P$38</f>
        <v>0</v>
      </c>
      <c r="L1932" s="23" t="n">
        <f aca="false">ROUNDUP(E1932,0)</f>
        <v>1</v>
      </c>
    </row>
    <row r="1933" customFormat="false" ht="15" hidden="false" customHeight="false" outlineLevel="0" collapsed="false">
      <c r="A1933" s="6" t="s">
        <v>73</v>
      </c>
      <c r="B1933" s="6" t="s">
        <v>341</v>
      </c>
      <c r="C1933" s="6" t="n">
        <v>8</v>
      </c>
      <c r="D1933" s="25" t="n">
        <f aca="false">EDATE('Start Here'!$B$6,C1933-1)</f>
        <v>46539</v>
      </c>
      <c r="E1933" s="11" t="n">
        <f aca="false">IF(AND(C1933&gt;=Staffing!$F$38,C1933&lt;=Staffing!$G$38,1=1),IF(C1933&lt;=6,Staffing!$H$38,IF(C1933&lt;=15,Staffing!$I$38,IF(C1933&lt;=30,Staffing!$J$38,Staffing!$K$38))),0)</f>
        <v>0.5</v>
      </c>
      <c r="F1933" s="10" t="n">
        <f aca="false">E1933*Staffing!$L$38/12*(1+Assumptions!$E$10)^INT((C1933-1)/12)*1</f>
        <v>5416.66666666667</v>
      </c>
      <c r="G1933" s="10" t="n">
        <f aca="false">F1933*Staffing!$N$38</f>
        <v>0</v>
      </c>
      <c r="H1933" s="10" t="n">
        <f aca="false">F1933+G1933</f>
        <v>5416.66666666667</v>
      </c>
      <c r="I1933" s="10" t="n">
        <f aca="false">0</f>
        <v>0</v>
      </c>
      <c r="J1933" s="10" t="n">
        <f aca="false">MAX(0,E1933-E1932)*Staffing!$O$38</f>
        <v>0</v>
      </c>
      <c r="K1933" s="10" t="n">
        <f aca="false">MAX(0,E1933-E1932)*Staffing!$P$38</f>
        <v>0</v>
      </c>
      <c r="L1933" s="23" t="n">
        <f aca="false">ROUNDUP(E1933,0)</f>
        <v>1</v>
      </c>
    </row>
    <row r="1934" customFormat="false" ht="15" hidden="false" customHeight="false" outlineLevel="0" collapsed="false">
      <c r="A1934" s="6" t="s">
        <v>73</v>
      </c>
      <c r="B1934" s="6" t="s">
        <v>341</v>
      </c>
      <c r="C1934" s="6" t="n">
        <v>9</v>
      </c>
      <c r="D1934" s="25" t="n">
        <f aca="false">EDATE('Start Here'!$B$6,C1934-1)</f>
        <v>46569</v>
      </c>
      <c r="E1934" s="11" t="n">
        <f aca="false">IF(AND(C1934&gt;=Staffing!$F$38,C1934&lt;=Staffing!$G$38,1=1),IF(C1934&lt;=6,Staffing!$H$38,IF(C1934&lt;=15,Staffing!$I$38,IF(C1934&lt;=30,Staffing!$J$38,Staffing!$K$38))),0)</f>
        <v>0.5</v>
      </c>
      <c r="F1934" s="10" t="n">
        <f aca="false">E1934*Staffing!$L$38/12*(1+Assumptions!$E$10)^INT((C1934-1)/12)*1</f>
        <v>5416.66666666667</v>
      </c>
      <c r="G1934" s="10" t="n">
        <f aca="false">F1934*Staffing!$N$38</f>
        <v>0</v>
      </c>
      <c r="H1934" s="10" t="n">
        <f aca="false">F1934+G1934</f>
        <v>5416.66666666667</v>
      </c>
      <c r="I1934" s="10" t="n">
        <f aca="false">0</f>
        <v>0</v>
      </c>
      <c r="J1934" s="10" t="n">
        <f aca="false">MAX(0,E1934-E1933)*Staffing!$O$38</f>
        <v>0</v>
      </c>
      <c r="K1934" s="10" t="n">
        <f aca="false">MAX(0,E1934-E1933)*Staffing!$P$38</f>
        <v>0</v>
      </c>
      <c r="L1934" s="23" t="n">
        <f aca="false">ROUNDUP(E1934,0)</f>
        <v>1</v>
      </c>
    </row>
    <row r="1935" customFormat="false" ht="15" hidden="false" customHeight="false" outlineLevel="0" collapsed="false">
      <c r="A1935" s="6" t="s">
        <v>73</v>
      </c>
      <c r="B1935" s="6" t="s">
        <v>341</v>
      </c>
      <c r="C1935" s="6" t="n">
        <v>10</v>
      </c>
      <c r="D1935" s="25" t="n">
        <f aca="false">EDATE('Start Here'!$B$6,C1935-1)</f>
        <v>46600</v>
      </c>
      <c r="E1935" s="11" t="n">
        <f aca="false">IF(AND(C1935&gt;=Staffing!$F$38,C1935&lt;=Staffing!$G$38,1=1),IF(C1935&lt;=6,Staffing!$H$38,IF(C1935&lt;=15,Staffing!$I$38,IF(C1935&lt;=30,Staffing!$J$38,Staffing!$K$38))),0)</f>
        <v>0.5</v>
      </c>
      <c r="F1935" s="10" t="n">
        <f aca="false">E1935*Staffing!$L$38/12*(1+Assumptions!$E$10)^INT((C1935-1)/12)*1</f>
        <v>5416.66666666667</v>
      </c>
      <c r="G1935" s="10" t="n">
        <f aca="false">F1935*Staffing!$N$38</f>
        <v>0</v>
      </c>
      <c r="H1935" s="10" t="n">
        <f aca="false">F1935+G1935</f>
        <v>5416.66666666667</v>
      </c>
      <c r="I1935" s="10" t="n">
        <f aca="false">0</f>
        <v>0</v>
      </c>
      <c r="J1935" s="10" t="n">
        <f aca="false">MAX(0,E1935-E1934)*Staffing!$O$38</f>
        <v>0</v>
      </c>
      <c r="K1935" s="10" t="n">
        <f aca="false">MAX(0,E1935-E1934)*Staffing!$P$38</f>
        <v>0</v>
      </c>
      <c r="L1935" s="23" t="n">
        <f aca="false">ROUNDUP(E1935,0)</f>
        <v>1</v>
      </c>
    </row>
    <row r="1936" customFormat="false" ht="15" hidden="false" customHeight="false" outlineLevel="0" collapsed="false">
      <c r="A1936" s="6" t="s">
        <v>73</v>
      </c>
      <c r="B1936" s="6" t="s">
        <v>341</v>
      </c>
      <c r="C1936" s="6" t="n">
        <v>11</v>
      </c>
      <c r="D1936" s="25" t="n">
        <f aca="false">EDATE('Start Here'!$B$6,C1936-1)</f>
        <v>46631</v>
      </c>
      <c r="E1936" s="11" t="n">
        <f aca="false">IF(AND(C1936&gt;=Staffing!$F$38,C1936&lt;=Staffing!$G$38,1=1),IF(C1936&lt;=6,Staffing!$H$38,IF(C1936&lt;=15,Staffing!$I$38,IF(C1936&lt;=30,Staffing!$J$38,Staffing!$K$38))),0)</f>
        <v>0.5</v>
      </c>
      <c r="F1936" s="10" t="n">
        <f aca="false">E1936*Staffing!$L$38/12*(1+Assumptions!$E$10)^INT((C1936-1)/12)*1</f>
        <v>5416.66666666667</v>
      </c>
      <c r="G1936" s="10" t="n">
        <f aca="false">F1936*Staffing!$N$38</f>
        <v>0</v>
      </c>
      <c r="H1936" s="10" t="n">
        <f aca="false">F1936+G1936</f>
        <v>5416.66666666667</v>
      </c>
      <c r="I1936" s="10" t="n">
        <f aca="false">0</f>
        <v>0</v>
      </c>
      <c r="J1936" s="10" t="n">
        <f aca="false">MAX(0,E1936-E1935)*Staffing!$O$38</f>
        <v>0</v>
      </c>
      <c r="K1936" s="10" t="n">
        <f aca="false">MAX(0,E1936-E1935)*Staffing!$P$38</f>
        <v>0</v>
      </c>
      <c r="L1936" s="23" t="n">
        <f aca="false">ROUNDUP(E1936,0)</f>
        <v>1</v>
      </c>
    </row>
    <row r="1937" customFormat="false" ht="15" hidden="false" customHeight="false" outlineLevel="0" collapsed="false">
      <c r="A1937" s="6" t="s">
        <v>73</v>
      </c>
      <c r="B1937" s="6" t="s">
        <v>341</v>
      </c>
      <c r="C1937" s="6" t="n">
        <v>12</v>
      </c>
      <c r="D1937" s="25" t="n">
        <f aca="false">EDATE('Start Here'!$B$6,C1937-1)</f>
        <v>46661</v>
      </c>
      <c r="E1937" s="11" t="n">
        <f aca="false">IF(AND(C1937&gt;=Staffing!$F$38,C1937&lt;=Staffing!$G$38,1=1),IF(C1937&lt;=6,Staffing!$H$38,IF(C1937&lt;=15,Staffing!$I$38,IF(C1937&lt;=30,Staffing!$J$38,Staffing!$K$38))),0)</f>
        <v>0.5</v>
      </c>
      <c r="F1937" s="10" t="n">
        <f aca="false">E1937*Staffing!$L$38/12*(1+Assumptions!$E$10)^INT((C1937-1)/12)*1</f>
        <v>5416.66666666667</v>
      </c>
      <c r="G1937" s="10" t="n">
        <f aca="false">F1937*Staffing!$N$38</f>
        <v>0</v>
      </c>
      <c r="H1937" s="10" t="n">
        <f aca="false">F1937+G1937</f>
        <v>5416.66666666667</v>
      </c>
      <c r="I1937" s="10" t="n">
        <f aca="false">0</f>
        <v>0</v>
      </c>
      <c r="J1937" s="10" t="n">
        <f aca="false">MAX(0,E1937-E1936)*Staffing!$O$38</f>
        <v>0</v>
      </c>
      <c r="K1937" s="10" t="n">
        <f aca="false">MAX(0,E1937-E1936)*Staffing!$P$38</f>
        <v>0</v>
      </c>
      <c r="L1937" s="23" t="n">
        <f aca="false">ROUNDUP(E1937,0)</f>
        <v>1</v>
      </c>
    </row>
    <row r="1938" customFormat="false" ht="15" hidden="false" customHeight="false" outlineLevel="0" collapsed="false">
      <c r="A1938" s="6" t="s">
        <v>73</v>
      </c>
      <c r="B1938" s="6" t="s">
        <v>341</v>
      </c>
      <c r="C1938" s="6" t="n">
        <v>13</v>
      </c>
      <c r="D1938" s="25" t="n">
        <f aca="false">EDATE('Start Here'!$B$6,C1938-1)</f>
        <v>46692</v>
      </c>
      <c r="E1938" s="11" t="n">
        <f aca="false">IF(AND(C1938&gt;=Staffing!$F$38,C1938&lt;=Staffing!$G$38,1=1),IF(C1938&lt;=6,Staffing!$H$38,IF(C1938&lt;=15,Staffing!$I$38,IF(C1938&lt;=30,Staffing!$J$38,Staffing!$K$38))),0)</f>
        <v>0.5</v>
      </c>
      <c r="F1938" s="10" t="n">
        <f aca="false">E1938*Staffing!$L$38/12*(1+Assumptions!$E$10)^INT((C1938-1)/12)*1</f>
        <v>5687.5</v>
      </c>
      <c r="G1938" s="10" t="n">
        <f aca="false">F1938*Staffing!$N$38</f>
        <v>0</v>
      </c>
      <c r="H1938" s="10" t="n">
        <f aca="false">F1938+G1938</f>
        <v>5687.5</v>
      </c>
      <c r="I1938" s="10" t="n">
        <f aca="false">0</f>
        <v>0</v>
      </c>
      <c r="J1938" s="10" t="n">
        <f aca="false">MAX(0,E1938-E1937)*Staffing!$O$38</f>
        <v>0</v>
      </c>
      <c r="K1938" s="10" t="n">
        <f aca="false">MAX(0,E1938-E1937)*Staffing!$P$38</f>
        <v>0</v>
      </c>
      <c r="L1938" s="23" t="n">
        <f aca="false">ROUNDUP(E1938,0)</f>
        <v>1</v>
      </c>
    </row>
    <row r="1939" customFormat="false" ht="15" hidden="false" customHeight="false" outlineLevel="0" collapsed="false">
      <c r="A1939" s="6" t="s">
        <v>73</v>
      </c>
      <c r="B1939" s="6" t="s">
        <v>341</v>
      </c>
      <c r="C1939" s="6" t="n">
        <v>14</v>
      </c>
      <c r="D1939" s="25" t="n">
        <f aca="false">EDATE('Start Here'!$B$6,C1939-1)</f>
        <v>46722</v>
      </c>
      <c r="E1939" s="11" t="n">
        <f aca="false">IF(AND(C1939&gt;=Staffing!$F$38,C1939&lt;=Staffing!$G$38,1=1),IF(C1939&lt;=6,Staffing!$H$38,IF(C1939&lt;=15,Staffing!$I$38,IF(C1939&lt;=30,Staffing!$J$38,Staffing!$K$38))),0)</f>
        <v>0.5</v>
      </c>
      <c r="F1939" s="10" t="n">
        <f aca="false">E1939*Staffing!$L$38/12*(1+Assumptions!$E$10)^INT((C1939-1)/12)*1</f>
        <v>5687.5</v>
      </c>
      <c r="G1939" s="10" t="n">
        <f aca="false">F1939*Staffing!$N$38</f>
        <v>0</v>
      </c>
      <c r="H1939" s="10" t="n">
        <f aca="false">F1939+G1939</f>
        <v>5687.5</v>
      </c>
      <c r="I1939" s="10" t="n">
        <f aca="false">0</f>
        <v>0</v>
      </c>
      <c r="J1939" s="10" t="n">
        <f aca="false">MAX(0,E1939-E1938)*Staffing!$O$38</f>
        <v>0</v>
      </c>
      <c r="K1939" s="10" t="n">
        <f aca="false">MAX(0,E1939-E1938)*Staffing!$P$38</f>
        <v>0</v>
      </c>
      <c r="L1939" s="23" t="n">
        <f aca="false">ROUNDUP(E1939,0)</f>
        <v>1</v>
      </c>
    </row>
    <row r="1940" customFormat="false" ht="15" hidden="false" customHeight="false" outlineLevel="0" collapsed="false">
      <c r="A1940" s="6" t="s">
        <v>73</v>
      </c>
      <c r="B1940" s="6" t="s">
        <v>341</v>
      </c>
      <c r="C1940" s="6" t="n">
        <v>15</v>
      </c>
      <c r="D1940" s="25" t="n">
        <f aca="false">EDATE('Start Here'!$B$6,C1940-1)</f>
        <v>46753</v>
      </c>
      <c r="E1940" s="11" t="n">
        <f aca="false">IF(AND(C1940&gt;=Staffing!$F$38,C1940&lt;=Staffing!$G$38,1=1),IF(C1940&lt;=6,Staffing!$H$38,IF(C1940&lt;=15,Staffing!$I$38,IF(C1940&lt;=30,Staffing!$J$38,Staffing!$K$38))),0)</f>
        <v>0.5</v>
      </c>
      <c r="F1940" s="10" t="n">
        <f aca="false">E1940*Staffing!$L$38/12*(1+Assumptions!$E$10)^INT((C1940-1)/12)*1</f>
        <v>5687.5</v>
      </c>
      <c r="G1940" s="10" t="n">
        <f aca="false">F1940*Staffing!$N$38</f>
        <v>0</v>
      </c>
      <c r="H1940" s="10" t="n">
        <f aca="false">F1940+G1940</f>
        <v>5687.5</v>
      </c>
      <c r="I1940" s="10" t="n">
        <f aca="false">0</f>
        <v>0</v>
      </c>
      <c r="J1940" s="10" t="n">
        <f aca="false">MAX(0,E1940-E1939)*Staffing!$O$38</f>
        <v>0</v>
      </c>
      <c r="K1940" s="10" t="n">
        <f aca="false">MAX(0,E1940-E1939)*Staffing!$P$38</f>
        <v>0</v>
      </c>
      <c r="L1940" s="23" t="n">
        <f aca="false">ROUNDUP(E1940,0)</f>
        <v>1</v>
      </c>
    </row>
    <row r="1941" customFormat="false" ht="15" hidden="false" customHeight="false" outlineLevel="0" collapsed="false">
      <c r="A1941" s="6" t="s">
        <v>73</v>
      </c>
      <c r="B1941" s="6" t="s">
        <v>341</v>
      </c>
      <c r="C1941" s="6" t="n">
        <v>16</v>
      </c>
      <c r="D1941" s="25" t="n">
        <f aca="false">EDATE('Start Here'!$B$6,C1941-1)</f>
        <v>46784</v>
      </c>
      <c r="E1941" s="11" t="n">
        <f aca="false">IF(AND(C1941&gt;=Staffing!$F$38,C1941&lt;=Staffing!$G$38,1=1),IF(C1941&lt;=6,Staffing!$H$38,IF(C1941&lt;=15,Staffing!$I$38,IF(C1941&lt;=30,Staffing!$J$38,Staffing!$K$38))),0)</f>
        <v>0.75</v>
      </c>
      <c r="F1941" s="10" t="n">
        <f aca="false">E1941*Staffing!$L$38/12*(1+Assumptions!$E$10)^INT((C1941-1)/12)*1</f>
        <v>8531.25</v>
      </c>
      <c r="G1941" s="10" t="n">
        <f aca="false">F1941*Staffing!$N$38</f>
        <v>0</v>
      </c>
      <c r="H1941" s="10" t="n">
        <f aca="false">F1941+G1941</f>
        <v>8531.25</v>
      </c>
      <c r="I1941" s="10" t="n">
        <f aca="false">0</f>
        <v>0</v>
      </c>
      <c r="J1941" s="10" t="n">
        <f aca="false">MAX(0,E1941-E1940)*Staffing!$O$38</f>
        <v>0</v>
      </c>
      <c r="K1941" s="10" t="n">
        <f aca="false">MAX(0,E1941-E1940)*Staffing!$P$38</f>
        <v>875</v>
      </c>
      <c r="L1941" s="23" t="n">
        <f aca="false">ROUNDUP(E1941,0)</f>
        <v>1</v>
      </c>
    </row>
    <row r="1942" customFormat="false" ht="15" hidden="false" customHeight="false" outlineLevel="0" collapsed="false">
      <c r="A1942" s="6" t="s">
        <v>73</v>
      </c>
      <c r="B1942" s="6" t="s">
        <v>341</v>
      </c>
      <c r="C1942" s="6" t="n">
        <v>17</v>
      </c>
      <c r="D1942" s="25" t="n">
        <f aca="false">EDATE('Start Here'!$B$6,C1942-1)</f>
        <v>46813</v>
      </c>
      <c r="E1942" s="11" t="n">
        <f aca="false">IF(AND(C1942&gt;=Staffing!$F$38,C1942&lt;=Staffing!$G$38,1=1),IF(C1942&lt;=6,Staffing!$H$38,IF(C1942&lt;=15,Staffing!$I$38,IF(C1942&lt;=30,Staffing!$J$38,Staffing!$K$38))),0)</f>
        <v>0.75</v>
      </c>
      <c r="F1942" s="10" t="n">
        <f aca="false">E1942*Staffing!$L$38/12*(1+Assumptions!$E$10)^INT((C1942-1)/12)*1</f>
        <v>8531.25</v>
      </c>
      <c r="G1942" s="10" t="n">
        <f aca="false">F1942*Staffing!$N$38</f>
        <v>0</v>
      </c>
      <c r="H1942" s="10" t="n">
        <f aca="false">F1942+G1942</f>
        <v>8531.25</v>
      </c>
      <c r="I1942" s="10" t="n">
        <f aca="false">0</f>
        <v>0</v>
      </c>
      <c r="J1942" s="10" t="n">
        <f aca="false">MAX(0,E1942-E1941)*Staffing!$O$38</f>
        <v>0</v>
      </c>
      <c r="K1942" s="10" t="n">
        <f aca="false">MAX(0,E1942-E1941)*Staffing!$P$38</f>
        <v>0</v>
      </c>
      <c r="L1942" s="23" t="n">
        <f aca="false">ROUNDUP(E1942,0)</f>
        <v>1</v>
      </c>
    </row>
    <row r="1943" customFormat="false" ht="15" hidden="false" customHeight="false" outlineLevel="0" collapsed="false">
      <c r="A1943" s="6" t="s">
        <v>73</v>
      </c>
      <c r="B1943" s="6" t="s">
        <v>341</v>
      </c>
      <c r="C1943" s="6" t="n">
        <v>18</v>
      </c>
      <c r="D1943" s="25" t="n">
        <f aca="false">EDATE('Start Here'!$B$6,C1943-1)</f>
        <v>46844</v>
      </c>
      <c r="E1943" s="11" t="n">
        <f aca="false">IF(AND(C1943&gt;=Staffing!$F$38,C1943&lt;=Staffing!$G$38,1=1),IF(C1943&lt;=6,Staffing!$H$38,IF(C1943&lt;=15,Staffing!$I$38,IF(C1943&lt;=30,Staffing!$J$38,Staffing!$K$38))),0)</f>
        <v>0.75</v>
      </c>
      <c r="F1943" s="10" t="n">
        <f aca="false">E1943*Staffing!$L$38/12*(1+Assumptions!$E$10)^INT((C1943-1)/12)*1</f>
        <v>8531.25</v>
      </c>
      <c r="G1943" s="10" t="n">
        <f aca="false">F1943*Staffing!$N$38</f>
        <v>0</v>
      </c>
      <c r="H1943" s="10" t="n">
        <f aca="false">F1943+G1943</f>
        <v>8531.25</v>
      </c>
      <c r="I1943" s="10" t="n">
        <f aca="false">0</f>
        <v>0</v>
      </c>
      <c r="J1943" s="10" t="n">
        <f aca="false">MAX(0,E1943-E1942)*Staffing!$O$38</f>
        <v>0</v>
      </c>
      <c r="K1943" s="10" t="n">
        <f aca="false">MAX(0,E1943-E1942)*Staffing!$P$38</f>
        <v>0</v>
      </c>
      <c r="L1943" s="23" t="n">
        <f aca="false">ROUNDUP(E1943,0)</f>
        <v>1</v>
      </c>
    </row>
    <row r="1944" customFormat="false" ht="15" hidden="false" customHeight="false" outlineLevel="0" collapsed="false">
      <c r="A1944" s="6" t="s">
        <v>73</v>
      </c>
      <c r="B1944" s="6" t="s">
        <v>341</v>
      </c>
      <c r="C1944" s="6" t="n">
        <v>19</v>
      </c>
      <c r="D1944" s="25" t="n">
        <f aca="false">EDATE('Start Here'!$B$6,C1944-1)</f>
        <v>46874</v>
      </c>
      <c r="E1944" s="11" t="n">
        <f aca="false">IF(AND(C1944&gt;=Staffing!$F$38,C1944&lt;=Staffing!$G$38,1=1),IF(C1944&lt;=6,Staffing!$H$38,IF(C1944&lt;=15,Staffing!$I$38,IF(C1944&lt;=30,Staffing!$J$38,Staffing!$K$38))),0)</f>
        <v>0.75</v>
      </c>
      <c r="F1944" s="10" t="n">
        <f aca="false">E1944*Staffing!$L$38/12*(1+Assumptions!$E$10)^INT((C1944-1)/12)*1</f>
        <v>8531.25</v>
      </c>
      <c r="G1944" s="10" t="n">
        <f aca="false">F1944*Staffing!$N$38</f>
        <v>0</v>
      </c>
      <c r="H1944" s="10" t="n">
        <f aca="false">F1944+G1944</f>
        <v>8531.25</v>
      </c>
      <c r="I1944" s="10" t="n">
        <f aca="false">0</f>
        <v>0</v>
      </c>
      <c r="J1944" s="10" t="n">
        <f aca="false">MAX(0,E1944-E1943)*Staffing!$O$38</f>
        <v>0</v>
      </c>
      <c r="K1944" s="10" t="n">
        <f aca="false">MAX(0,E1944-E1943)*Staffing!$P$38</f>
        <v>0</v>
      </c>
      <c r="L1944" s="23" t="n">
        <f aca="false">ROUNDUP(E1944,0)</f>
        <v>1</v>
      </c>
    </row>
    <row r="1945" customFormat="false" ht="15" hidden="false" customHeight="false" outlineLevel="0" collapsed="false">
      <c r="A1945" s="6" t="s">
        <v>73</v>
      </c>
      <c r="B1945" s="6" t="s">
        <v>341</v>
      </c>
      <c r="C1945" s="6" t="n">
        <v>20</v>
      </c>
      <c r="D1945" s="25" t="n">
        <f aca="false">EDATE('Start Here'!$B$6,C1945-1)</f>
        <v>46905</v>
      </c>
      <c r="E1945" s="11" t="n">
        <f aca="false">IF(AND(C1945&gt;=Staffing!$F$38,C1945&lt;=Staffing!$G$38,1=1),IF(C1945&lt;=6,Staffing!$H$38,IF(C1945&lt;=15,Staffing!$I$38,IF(C1945&lt;=30,Staffing!$J$38,Staffing!$K$38))),0)</f>
        <v>0.75</v>
      </c>
      <c r="F1945" s="10" t="n">
        <f aca="false">E1945*Staffing!$L$38/12*(1+Assumptions!$E$10)^INT((C1945-1)/12)*1</f>
        <v>8531.25</v>
      </c>
      <c r="G1945" s="10" t="n">
        <f aca="false">F1945*Staffing!$N$38</f>
        <v>0</v>
      </c>
      <c r="H1945" s="10" t="n">
        <f aca="false">F1945+G1945</f>
        <v>8531.25</v>
      </c>
      <c r="I1945" s="10" t="n">
        <f aca="false">0</f>
        <v>0</v>
      </c>
      <c r="J1945" s="10" t="n">
        <f aca="false">MAX(0,E1945-E1944)*Staffing!$O$38</f>
        <v>0</v>
      </c>
      <c r="K1945" s="10" t="n">
        <f aca="false">MAX(0,E1945-E1944)*Staffing!$P$38</f>
        <v>0</v>
      </c>
      <c r="L1945" s="23" t="n">
        <f aca="false">ROUNDUP(E1945,0)</f>
        <v>1</v>
      </c>
    </row>
    <row r="1946" customFormat="false" ht="15" hidden="false" customHeight="false" outlineLevel="0" collapsed="false">
      <c r="A1946" s="6" t="s">
        <v>73</v>
      </c>
      <c r="B1946" s="6" t="s">
        <v>341</v>
      </c>
      <c r="C1946" s="6" t="n">
        <v>21</v>
      </c>
      <c r="D1946" s="25" t="n">
        <f aca="false">EDATE('Start Here'!$B$6,C1946-1)</f>
        <v>46935</v>
      </c>
      <c r="E1946" s="11" t="n">
        <f aca="false">IF(AND(C1946&gt;=Staffing!$F$38,C1946&lt;=Staffing!$G$38,1=1),IF(C1946&lt;=6,Staffing!$H$38,IF(C1946&lt;=15,Staffing!$I$38,IF(C1946&lt;=30,Staffing!$J$38,Staffing!$K$38))),0)</f>
        <v>0.75</v>
      </c>
      <c r="F1946" s="10" t="n">
        <f aca="false">E1946*Staffing!$L$38/12*(1+Assumptions!$E$10)^INT((C1946-1)/12)*1</f>
        <v>8531.25</v>
      </c>
      <c r="G1946" s="10" t="n">
        <f aca="false">F1946*Staffing!$N$38</f>
        <v>0</v>
      </c>
      <c r="H1946" s="10" t="n">
        <f aca="false">F1946+G1946</f>
        <v>8531.25</v>
      </c>
      <c r="I1946" s="10" t="n">
        <f aca="false">0</f>
        <v>0</v>
      </c>
      <c r="J1946" s="10" t="n">
        <f aca="false">MAX(0,E1946-E1945)*Staffing!$O$38</f>
        <v>0</v>
      </c>
      <c r="K1946" s="10" t="n">
        <f aca="false">MAX(0,E1946-E1945)*Staffing!$P$38</f>
        <v>0</v>
      </c>
      <c r="L1946" s="23" t="n">
        <f aca="false">ROUNDUP(E1946,0)</f>
        <v>1</v>
      </c>
    </row>
    <row r="1947" customFormat="false" ht="15" hidden="false" customHeight="false" outlineLevel="0" collapsed="false">
      <c r="A1947" s="6" t="s">
        <v>73</v>
      </c>
      <c r="B1947" s="6" t="s">
        <v>341</v>
      </c>
      <c r="C1947" s="6" t="n">
        <v>22</v>
      </c>
      <c r="D1947" s="25" t="n">
        <f aca="false">EDATE('Start Here'!$B$6,C1947-1)</f>
        <v>46966</v>
      </c>
      <c r="E1947" s="11" t="n">
        <f aca="false">IF(AND(C1947&gt;=Staffing!$F$38,C1947&lt;=Staffing!$G$38,1=1),IF(C1947&lt;=6,Staffing!$H$38,IF(C1947&lt;=15,Staffing!$I$38,IF(C1947&lt;=30,Staffing!$J$38,Staffing!$K$38))),0)</f>
        <v>0.75</v>
      </c>
      <c r="F1947" s="10" t="n">
        <f aca="false">E1947*Staffing!$L$38/12*(1+Assumptions!$E$10)^INT((C1947-1)/12)*1</f>
        <v>8531.25</v>
      </c>
      <c r="G1947" s="10" t="n">
        <f aca="false">F1947*Staffing!$N$38</f>
        <v>0</v>
      </c>
      <c r="H1947" s="10" t="n">
        <f aca="false">F1947+G1947</f>
        <v>8531.25</v>
      </c>
      <c r="I1947" s="10" t="n">
        <f aca="false">0</f>
        <v>0</v>
      </c>
      <c r="J1947" s="10" t="n">
        <f aca="false">MAX(0,E1947-E1946)*Staffing!$O$38</f>
        <v>0</v>
      </c>
      <c r="K1947" s="10" t="n">
        <f aca="false">MAX(0,E1947-E1946)*Staffing!$P$38</f>
        <v>0</v>
      </c>
      <c r="L1947" s="23" t="n">
        <f aca="false">ROUNDUP(E1947,0)</f>
        <v>1</v>
      </c>
    </row>
    <row r="1948" customFormat="false" ht="15" hidden="false" customHeight="false" outlineLevel="0" collapsed="false">
      <c r="A1948" s="6" t="s">
        <v>73</v>
      </c>
      <c r="B1948" s="6" t="s">
        <v>341</v>
      </c>
      <c r="C1948" s="6" t="n">
        <v>23</v>
      </c>
      <c r="D1948" s="25" t="n">
        <f aca="false">EDATE('Start Here'!$B$6,C1948-1)</f>
        <v>46997</v>
      </c>
      <c r="E1948" s="11" t="n">
        <f aca="false">IF(AND(C1948&gt;=Staffing!$F$38,C1948&lt;=Staffing!$G$38,1=1),IF(C1948&lt;=6,Staffing!$H$38,IF(C1948&lt;=15,Staffing!$I$38,IF(C1948&lt;=30,Staffing!$J$38,Staffing!$K$38))),0)</f>
        <v>0.75</v>
      </c>
      <c r="F1948" s="10" t="n">
        <f aca="false">E1948*Staffing!$L$38/12*(1+Assumptions!$E$10)^INT((C1948-1)/12)*1</f>
        <v>8531.25</v>
      </c>
      <c r="G1948" s="10" t="n">
        <f aca="false">F1948*Staffing!$N$38</f>
        <v>0</v>
      </c>
      <c r="H1948" s="10" t="n">
        <f aca="false">F1948+G1948</f>
        <v>8531.25</v>
      </c>
      <c r="I1948" s="10" t="n">
        <f aca="false">0</f>
        <v>0</v>
      </c>
      <c r="J1948" s="10" t="n">
        <f aca="false">MAX(0,E1948-E1947)*Staffing!$O$38</f>
        <v>0</v>
      </c>
      <c r="K1948" s="10" t="n">
        <f aca="false">MAX(0,E1948-E1947)*Staffing!$P$38</f>
        <v>0</v>
      </c>
      <c r="L1948" s="23" t="n">
        <f aca="false">ROUNDUP(E1948,0)</f>
        <v>1</v>
      </c>
    </row>
    <row r="1949" customFormat="false" ht="15" hidden="false" customHeight="false" outlineLevel="0" collapsed="false">
      <c r="A1949" s="6" t="s">
        <v>73</v>
      </c>
      <c r="B1949" s="6" t="s">
        <v>341</v>
      </c>
      <c r="C1949" s="6" t="n">
        <v>24</v>
      </c>
      <c r="D1949" s="25" t="n">
        <f aca="false">EDATE('Start Here'!$B$6,C1949-1)</f>
        <v>47027</v>
      </c>
      <c r="E1949" s="11" t="n">
        <f aca="false">IF(AND(C1949&gt;=Staffing!$F$38,C1949&lt;=Staffing!$G$38,1=1),IF(C1949&lt;=6,Staffing!$H$38,IF(C1949&lt;=15,Staffing!$I$38,IF(C1949&lt;=30,Staffing!$J$38,Staffing!$K$38))),0)</f>
        <v>0.75</v>
      </c>
      <c r="F1949" s="10" t="n">
        <f aca="false">E1949*Staffing!$L$38/12*(1+Assumptions!$E$10)^INT((C1949-1)/12)*1</f>
        <v>8531.25</v>
      </c>
      <c r="G1949" s="10" t="n">
        <f aca="false">F1949*Staffing!$N$38</f>
        <v>0</v>
      </c>
      <c r="H1949" s="10" t="n">
        <f aca="false">F1949+G1949</f>
        <v>8531.25</v>
      </c>
      <c r="I1949" s="10" t="n">
        <f aca="false">0</f>
        <v>0</v>
      </c>
      <c r="J1949" s="10" t="n">
        <f aca="false">MAX(0,E1949-E1948)*Staffing!$O$38</f>
        <v>0</v>
      </c>
      <c r="K1949" s="10" t="n">
        <f aca="false">MAX(0,E1949-E1948)*Staffing!$P$38</f>
        <v>0</v>
      </c>
      <c r="L1949" s="23" t="n">
        <f aca="false">ROUNDUP(E1949,0)</f>
        <v>1</v>
      </c>
    </row>
    <row r="1950" customFormat="false" ht="15" hidden="false" customHeight="false" outlineLevel="0" collapsed="false">
      <c r="A1950" s="6" t="s">
        <v>73</v>
      </c>
      <c r="B1950" s="6" t="s">
        <v>341</v>
      </c>
      <c r="C1950" s="6" t="n">
        <v>25</v>
      </c>
      <c r="D1950" s="25" t="n">
        <f aca="false">EDATE('Start Here'!$B$6,C1950-1)</f>
        <v>47058</v>
      </c>
      <c r="E1950" s="11" t="n">
        <f aca="false">IF(AND(C1950&gt;=Staffing!$F$38,C1950&lt;=Staffing!$G$38,1=1),IF(C1950&lt;=6,Staffing!$H$38,IF(C1950&lt;=15,Staffing!$I$38,IF(C1950&lt;=30,Staffing!$J$38,Staffing!$K$38))),0)</f>
        <v>0.75</v>
      </c>
      <c r="F1950" s="10" t="n">
        <f aca="false">E1950*Staffing!$L$38/12*(1+Assumptions!$E$10)^INT((C1950-1)/12)*1</f>
        <v>8957.8125</v>
      </c>
      <c r="G1950" s="10" t="n">
        <f aca="false">F1950*Staffing!$N$38</f>
        <v>0</v>
      </c>
      <c r="H1950" s="10" t="n">
        <f aca="false">F1950+G1950</f>
        <v>8957.8125</v>
      </c>
      <c r="I1950" s="10" t="n">
        <f aca="false">0</f>
        <v>0</v>
      </c>
      <c r="J1950" s="10" t="n">
        <f aca="false">MAX(0,E1950-E1949)*Staffing!$O$38</f>
        <v>0</v>
      </c>
      <c r="K1950" s="10" t="n">
        <f aca="false">MAX(0,E1950-E1949)*Staffing!$P$38</f>
        <v>0</v>
      </c>
      <c r="L1950" s="23" t="n">
        <f aca="false">ROUNDUP(E1950,0)</f>
        <v>1</v>
      </c>
    </row>
    <row r="1951" customFormat="false" ht="15" hidden="false" customHeight="false" outlineLevel="0" collapsed="false">
      <c r="A1951" s="6" t="s">
        <v>73</v>
      </c>
      <c r="B1951" s="6" t="s">
        <v>341</v>
      </c>
      <c r="C1951" s="6" t="n">
        <v>26</v>
      </c>
      <c r="D1951" s="25" t="n">
        <f aca="false">EDATE('Start Here'!$B$6,C1951-1)</f>
        <v>47088</v>
      </c>
      <c r="E1951" s="11" t="n">
        <f aca="false">IF(AND(C1951&gt;=Staffing!$F$38,C1951&lt;=Staffing!$G$38,1=1),IF(C1951&lt;=6,Staffing!$H$38,IF(C1951&lt;=15,Staffing!$I$38,IF(C1951&lt;=30,Staffing!$J$38,Staffing!$K$38))),0)</f>
        <v>0.75</v>
      </c>
      <c r="F1951" s="10" t="n">
        <f aca="false">E1951*Staffing!$L$38/12*(1+Assumptions!$E$10)^INT((C1951-1)/12)*1</f>
        <v>8957.8125</v>
      </c>
      <c r="G1951" s="10" t="n">
        <f aca="false">F1951*Staffing!$N$38</f>
        <v>0</v>
      </c>
      <c r="H1951" s="10" t="n">
        <f aca="false">F1951+G1951</f>
        <v>8957.8125</v>
      </c>
      <c r="I1951" s="10" t="n">
        <f aca="false">0</f>
        <v>0</v>
      </c>
      <c r="J1951" s="10" t="n">
        <f aca="false">MAX(0,E1951-E1950)*Staffing!$O$38</f>
        <v>0</v>
      </c>
      <c r="K1951" s="10" t="n">
        <f aca="false">MAX(0,E1951-E1950)*Staffing!$P$38</f>
        <v>0</v>
      </c>
      <c r="L1951" s="23" t="n">
        <f aca="false">ROUNDUP(E1951,0)</f>
        <v>1</v>
      </c>
    </row>
    <row r="1952" customFormat="false" ht="15" hidden="false" customHeight="false" outlineLevel="0" collapsed="false">
      <c r="A1952" s="6" t="s">
        <v>73</v>
      </c>
      <c r="B1952" s="6" t="s">
        <v>341</v>
      </c>
      <c r="C1952" s="6" t="n">
        <v>27</v>
      </c>
      <c r="D1952" s="25" t="n">
        <f aca="false">EDATE('Start Here'!$B$6,C1952-1)</f>
        <v>47119</v>
      </c>
      <c r="E1952" s="11" t="n">
        <f aca="false">IF(AND(C1952&gt;=Staffing!$F$38,C1952&lt;=Staffing!$G$38,1=1),IF(C1952&lt;=6,Staffing!$H$38,IF(C1952&lt;=15,Staffing!$I$38,IF(C1952&lt;=30,Staffing!$J$38,Staffing!$K$38))),0)</f>
        <v>0.75</v>
      </c>
      <c r="F1952" s="10" t="n">
        <f aca="false">E1952*Staffing!$L$38/12*(1+Assumptions!$E$10)^INT((C1952-1)/12)*1</f>
        <v>8957.8125</v>
      </c>
      <c r="G1952" s="10" t="n">
        <f aca="false">F1952*Staffing!$N$38</f>
        <v>0</v>
      </c>
      <c r="H1952" s="10" t="n">
        <f aca="false">F1952+G1952</f>
        <v>8957.8125</v>
      </c>
      <c r="I1952" s="10" t="n">
        <f aca="false">0</f>
        <v>0</v>
      </c>
      <c r="J1952" s="10" t="n">
        <f aca="false">MAX(0,E1952-E1951)*Staffing!$O$38</f>
        <v>0</v>
      </c>
      <c r="K1952" s="10" t="n">
        <f aca="false">MAX(0,E1952-E1951)*Staffing!$P$38</f>
        <v>0</v>
      </c>
      <c r="L1952" s="23" t="n">
        <f aca="false">ROUNDUP(E1952,0)</f>
        <v>1</v>
      </c>
    </row>
    <row r="1953" customFormat="false" ht="15" hidden="false" customHeight="false" outlineLevel="0" collapsed="false">
      <c r="A1953" s="6" t="s">
        <v>73</v>
      </c>
      <c r="B1953" s="6" t="s">
        <v>341</v>
      </c>
      <c r="C1953" s="6" t="n">
        <v>28</v>
      </c>
      <c r="D1953" s="25" t="n">
        <f aca="false">EDATE('Start Here'!$B$6,C1953-1)</f>
        <v>47150</v>
      </c>
      <c r="E1953" s="11" t="n">
        <f aca="false">IF(AND(C1953&gt;=Staffing!$F$38,C1953&lt;=Staffing!$G$38,1=1),IF(C1953&lt;=6,Staffing!$H$38,IF(C1953&lt;=15,Staffing!$I$38,IF(C1953&lt;=30,Staffing!$J$38,Staffing!$K$38))),0)</f>
        <v>0.75</v>
      </c>
      <c r="F1953" s="10" t="n">
        <f aca="false">E1953*Staffing!$L$38/12*(1+Assumptions!$E$10)^INT((C1953-1)/12)*1</f>
        <v>8957.8125</v>
      </c>
      <c r="G1953" s="10" t="n">
        <f aca="false">F1953*Staffing!$N$38</f>
        <v>0</v>
      </c>
      <c r="H1953" s="10" t="n">
        <f aca="false">F1953+G1953</f>
        <v>8957.8125</v>
      </c>
      <c r="I1953" s="10" t="n">
        <f aca="false">0</f>
        <v>0</v>
      </c>
      <c r="J1953" s="10" t="n">
        <f aca="false">MAX(0,E1953-E1952)*Staffing!$O$38</f>
        <v>0</v>
      </c>
      <c r="K1953" s="10" t="n">
        <f aca="false">MAX(0,E1953-E1952)*Staffing!$P$38</f>
        <v>0</v>
      </c>
      <c r="L1953" s="23" t="n">
        <f aca="false">ROUNDUP(E1953,0)</f>
        <v>1</v>
      </c>
    </row>
    <row r="1954" customFormat="false" ht="15" hidden="false" customHeight="false" outlineLevel="0" collapsed="false">
      <c r="A1954" s="6" t="s">
        <v>73</v>
      </c>
      <c r="B1954" s="6" t="s">
        <v>341</v>
      </c>
      <c r="C1954" s="6" t="n">
        <v>29</v>
      </c>
      <c r="D1954" s="25" t="n">
        <f aca="false">EDATE('Start Here'!$B$6,C1954-1)</f>
        <v>47178</v>
      </c>
      <c r="E1954" s="11" t="n">
        <f aca="false">IF(AND(C1954&gt;=Staffing!$F$38,C1954&lt;=Staffing!$G$38,1=1),IF(C1954&lt;=6,Staffing!$H$38,IF(C1954&lt;=15,Staffing!$I$38,IF(C1954&lt;=30,Staffing!$J$38,Staffing!$K$38))),0)</f>
        <v>0.75</v>
      </c>
      <c r="F1954" s="10" t="n">
        <f aca="false">E1954*Staffing!$L$38/12*(1+Assumptions!$E$10)^INT((C1954-1)/12)*1</f>
        <v>8957.8125</v>
      </c>
      <c r="G1954" s="10" t="n">
        <f aca="false">F1954*Staffing!$N$38</f>
        <v>0</v>
      </c>
      <c r="H1954" s="10" t="n">
        <f aca="false">F1954+G1954</f>
        <v>8957.8125</v>
      </c>
      <c r="I1954" s="10" t="n">
        <f aca="false">0</f>
        <v>0</v>
      </c>
      <c r="J1954" s="10" t="n">
        <f aca="false">MAX(0,E1954-E1953)*Staffing!$O$38</f>
        <v>0</v>
      </c>
      <c r="K1954" s="10" t="n">
        <f aca="false">MAX(0,E1954-E1953)*Staffing!$P$38</f>
        <v>0</v>
      </c>
      <c r="L1954" s="23" t="n">
        <f aca="false">ROUNDUP(E1954,0)</f>
        <v>1</v>
      </c>
    </row>
    <row r="1955" customFormat="false" ht="15" hidden="false" customHeight="false" outlineLevel="0" collapsed="false">
      <c r="A1955" s="6" t="s">
        <v>73</v>
      </c>
      <c r="B1955" s="6" t="s">
        <v>341</v>
      </c>
      <c r="C1955" s="6" t="n">
        <v>30</v>
      </c>
      <c r="D1955" s="25" t="n">
        <f aca="false">EDATE('Start Here'!$B$6,C1955-1)</f>
        <v>47209</v>
      </c>
      <c r="E1955" s="11" t="n">
        <f aca="false">IF(AND(C1955&gt;=Staffing!$F$38,C1955&lt;=Staffing!$G$38,1=1),IF(C1955&lt;=6,Staffing!$H$38,IF(C1955&lt;=15,Staffing!$I$38,IF(C1955&lt;=30,Staffing!$J$38,Staffing!$K$38))),0)</f>
        <v>0.75</v>
      </c>
      <c r="F1955" s="10" t="n">
        <f aca="false">E1955*Staffing!$L$38/12*(1+Assumptions!$E$10)^INT((C1955-1)/12)*1</f>
        <v>8957.8125</v>
      </c>
      <c r="G1955" s="10" t="n">
        <f aca="false">F1955*Staffing!$N$38</f>
        <v>0</v>
      </c>
      <c r="H1955" s="10" t="n">
        <f aca="false">F1955+G1955</f>
        <v>8957.8125</v>
      </c>
      <c r="I1955" s="10" t="n">
        <f aca="false">0</f>
        <v>0</v>
      </c>
      <c r="J1955" s="10" t="n">
        <f aca="false">MAX(0,E1955-E1954)*Staffing!$O$38</f>
        <v>0</v>
      </c>
      <c r="K1955" s="10" t="n">
        <f aca="false">MAX(0,E1955-E1954)*Staffing!$P$38</f>
        <v>0</v>
      </c>
      <c r="L1955" s="23" t="n">
        <f aca="false">ROUNDUP(E1955,0)</f>
        <v>1</v>
      </c>
    </row>
    <row r="1956" customFormat="false" ht="15" hidden="false" customHeight="false" outlineLevel="0" collapsed="false">
      <c r="A1956" s="6" t="s">
        <v>73</v>
      </c>
      <c r="B1956" s="6" t="s">
        <v>341</v>
      </c>
      <c r="C1956" s="6" t="n">
        <v>31</v>
      </c>
      <c r="D1956" s="25" t="n">
        <f aca="false">EDATE('Start Here'!$B$6,C1956-1)</f>
        <v>47239</v>
      </c>
      <c r="E1956" s="11" t="n">
        <f aca="false">IF(AND(C1956&gt;=Staffing!$F$38,C1956&lt;=Staffing!$G$38,1=1),IF(C1956&lt;=6,Staffing!$H$38,IF(C1956&lt;=15,Staffing!$I$38,IF(C1956&lt;=30,Staffing!$J$38,Staffing!$K$38))),0)</f>
        <v>1</v>
      </c>
      <c r="F1956" s="10" t="n">
        <f aca="false">E1956*Staffing!$L$38/12*(1+Assumptions!$E$10)^INT((C1956-1)/12)*1</f>
        <v>11943.75</v>
      </c>
      <c r="G1956" s="10" t="n">
        <f aca="false">F1956*Staffing!$N$38</f>
        <v>0</v>
      </c>
      <c r="H1956" s="10" t="n">
        <f aca="false">F1956+G1956</f>
        <v>11943.75</v>
      </c>
      <c r="I1956" s="10" t="n">
        <f aca="false">0</f>
        <v>0</v>
      </c>
      <c r="J1956" s="10" t="n">
        <f aca="false">MAX(0,E1956-E1955)*Staffing!$O$38</f>
        <v>0</v>
      </c>
      <c r="K1956" s="10" t="n">
        <f aca="false">MAX(0,E1956-E1955)*Staffing!$P$38</f>
        <v>875</v>
      </c>
      <c r="L1956" s="23" t="n">
        <f aca="false">ROUNDUP(E1956,0)</f>
        <v>1</v>
      </c>
    </row>
    <row r="1957" customFormat="false" ht="15" hidden="false" customHeight="false" outlineLevel="0" collapsed="false">
      <c r="A1957" s="6" t="s">
        <v>73</v>
      </c>
      <c r="B1957" s="6" t="s">
        <v>341</v>
      </c>
      <c r="C1957" s="6" t="n">
        <v>32</v>
      </c>
      <c r="D1957" s="25" t="n">
        <f aca="false">EDATE('Start Here'!$B$6,C1957-1)</f>
        <v>47270</v>
      </c>
      <c r="E1957" s="11" t="n">
        <f aca="false">IF(AND(C1957&gt;=Staffing!$F$38,C1957&lt;=Staffing!$G$38,1=1),IF(C1957&lt;=6,Staffing!$H$38,IF(C1957&lt;=15,Staffing!$I$38,IF(C1957&lt;=30,Staffing!$J$38,Staffing!$K$38))),0)</f>
        <v>1</v>
      </c>
      <c r="F1957" s="10" t="n">
        <f aca="false">E1957*Staffing!$L$38/12*(1+Assumptions!$E$10)^INT((C1957-1)/12)*1</f>
        <v>11943.75</v>
      </c>
      <c r="G1957" s="10" t="n">
        <f aca="false">F1957*Staffing!$N$38</f>
        <v>0</v>
      </c>
      <c r="H1957" s="10" t="n">
        <f aca="false">F1957+G1957</f>
        <v>11943.75</v>
      </c>
      <c r="I1957" s="10" t="n">
        <f aca="false">0</f>
        <v>0</v>
      </c>
      <c r="J1957" s="10" t="n">
        <f aca="false">MAX(0,E1957-E1956)*Staffing!$O$38</f>
        <v>0</v>
      </c>
      <c r="K1957" s="10" t="n">
        <f aca="false">MAX(0,E1957-E1956)*Staffing!$P$38</f>
        <v>0</v>
      </c>
      <c r="L1957" s="23" t="n">
        <f aca="false">ROUNDUP(E1957,0)</f>
        <v>1</v>
      </c>
    </row>
    <row r="1958" customFormat="false" ht="15" hidden="false" customHeight="false" outlineLevel="0" collapsed="false">
      <c r="A1958" s="6" t="s">
        <v>73</v>
      </c>
      <c r="B1958" s="6" t="s">
        <v>341</v>
      </c>
      <c r="C1958" s="6" t="n">
        <v>33</v>
      </c>
      <c r="D1958" s="25" t="n">
        <f aca="false">EDATE('Start Here'!$B$6,C1958-1)</f>
        <v>47300</v>
      </c>
      <c r="E1958" s="11" t="n">
        <f aca="false">IF(AND(C1958&gt;=Staffing!$F$38,C1958&lt;=Staffing!$G$38,1=1),IF(C1958&lt;=6,Staffing!$H$38,IF(C1958&lt;=15,Staffing!$I$38,IF(C1958&lt;=30,Staffing!$J$38,Staffing!$K$38))),0)</f>
        <v>1</v>
      </c>
      <c r="F1958" s="10" t="n">
        <f aca="false">E1958*Staffing!$L$38/12*(1+Assumptions!$E$10)^INT((C1958-1)/12)*1</f>
        <v>11943.75</v>
      </c>
      <c r="G1958" s="10" t="n">
        <f aca="false">F1958*Staffing!$N$38</f>
        <v>0</v>
      </c>
      <c r="H1958" s="10" t="n">
        <f aca="false">F1958+G1958</f>
        <v>11943.75</v>
      </c>
      <c r="I1958" s="10" t="n">
        <f aca="false">0</f>
        <v>0</v>
      </c>
      <c r="J1958" s="10" t="n">
        <f aca="false">MAX(0,E1958-E1957)*Staffing!$O$38</f>
        <v>0</v>
      </c>
      <c r="K1958" s="10" t="n">
        <f aca="false">MAX(0,E1958-E1957)*Staffing!$P$38</f>
        <v>0</v>
      </c>
      <c r="L1958" s="23" t="n">
        <f aca="false">ROUNDUP(E1958,0)</f>
        <v>1</v>
      </c>
    </row>
    <row r="1959" customFormat="false" ht="15" hidden="false" customHeight="false" outlineLevel="0" collapsed="false">
      <c r="A1959" s="6" t="s">
        <v>73</v>
      </c>
      <c r="B1959" s="6" t="s">
        <v>341</v>
      </c>
      <c r="C1959" s="6" t="n">
        <v>34</v>
      </c>
      <c r="D1959" s="25" t="n">
        <f aca="false">EDATE('Start Here'!$B$6,C1959-1)</f>
        <v>47331</v>
      </c>
      <c r="E1959" s="11" t="n">
        <f aca="false">IF(AND(C1959&gt;=Staffing!$F$38,C1959&lt;=Staffing!$G$38,1=1),IF(C1959&lt;=6,Staffing!$H$38,IF(C1959&lt;=15,Staffing!$I$38,IF(C1959&lt;=30,Staffing!$J$38,Staffing!$K$38))),0)</f>
        <v>1</v>
      </c>
      <c r="F1959" s="10" t="n">
        <f aca="false">E1959*Staffing!$L$38/12*(1+Assumptions!$E$10)^INT((C1959-1)/12)*1</f>
        <v>11943.75</v>
      </c>
      <c r="G1959" s="10" t="n">
        <f aca="false">F1959*Staffing!$N$38</f>
        <v>0</v>
      </c>
      <c r="H1959" s="10" t="n">
        <f aca="false">F1959+G1959</f>
        <v>11943.75</v>
      </c>
      <c r="I1959" s="10" t="n">
        <f aca="false">0</f>
        <v>0</v>
      </c>
      <c r="J1959" s="10" t="n">
        <f aca="false">MAX(0,E1959-E1958)*Staffing!$O$38</f>
        <v>0</v>
      </c>
      <c r="K1959" s="10" t="n">
        <f aca="false">MAX(0,E1959-E1958)*Staffing!$P$38</f>
        <v>0</v>
      </c>
      <c r="L1959" s="23" t="n">
        <f aca="false">ROUNDUP(E1959,0)</f>
        <v>1</v>
      </c>
    </row>
    <row r="1960" customFormat="false" ht="15" hidden="false" customHeight="false" outlineLevel="0" collapsed="false">
      <c r="A1960" s="6" t="s">
        <v>73</v>
      </c>
      <c r="B1960" s="6" t="s">
        <v>341</v>
      </c>
      <c r="C1960" s="6" t="n">
        <v>35</v>
      </c>
      <c r="D1960" s="25" t="n">
        <f aca="false">EDATE('Start Here'!$B$6,C1960-1)</f>
        <v>47362</v>
      </c>
      <c r="E1960" s="11" t="n">
        <f aca="false">IF(AND(C1960&gt;=Staffing!$F$38,C1960&lt;=Staffing!$G$38,1=1),IF(C1960&lt;=6,Staffing!$H$38,IF(C1960&lt;=15,Staffing!$I$38,IF(C1960&lt;=30,Staffing!$J$38,Staffing!$K$38))),0)</f>
        <v>1</v>
      </c>
      <c r="F1960" s="10" t="n">
        <f aca="false">E1960*Staffing!$L$38/12*(1+Assumptions!$E$10)^INT((C1960-1)/12)*1</f>
        <v>11943.75</v>
      </c>
      <c r="G1960" s="10" t="n">
        <f aca="false">F1960*Staffing!$N$38</f>
        <v>0</v>
      </c>
      <c r="H1960" s="10" t="n">
        <f aca="false">F1960+G1960</f>
        <v>11943.75</v>
      </c>
      <c r="I1960" s="10" t="n">
        <f aca="false">0</f>
        <v>0</v>
      </c>
      <c r="J1960" s="10" t="n">
        <f aca="false">MAX(0,E1960-E1959)*Staffing!$O$38</f>
        <v>0</v>
      </c>
      <c r="K1960" s="10" t="n">
        <f aca="false">MAX(0,E1960-E1959)*Staffing!$P$38</f>
        <v>0</v>
      </c>
      <c r="L1960" s="23" t="n">
        <f aca="false">ROUNDUP(E1960,0)</f>
        <v>1</v>
      </c>
    </row>
    <row r="1961" customFormat="false" ht="15" hidden="false" customHeight="false" outlineLevel="0" collapsed="false">
      <c r="A1961" s="6" t="s">
        <v>73</v>
      </c>
      <c r="B1961" s="6" t="s">
        <v>341</v>
      </c>
      <c r="C1961" s="6" t="n">
        <v>36</v>
      </c>
      <c r="D1961" s="25" t="n">
        <f aca="false">EDATE('Start Here'!$B$6,C1961-1)</f>
        <v>47392</v>
      </c>
      <c r="E1961" s="11" t="n">
        <f aca="false">IF(AND(C1961&gt;=Staffing!$F$38,C1961&lt;=Staffing!$G$38,1=1),IF(C1961&lt;=6,Staffing!$H$38,IF(C1961&lt;=15,Staffing!$I$38,IF(C1961&lt;=30,Staffing!$J$38,Staffing!$K$38))),0)</f>
        <v>1</v>
      </c>
      <c r="F1961" s="10" t="n">
        <f aca="false">E1961*Staffing!$L$38/12*(1+Assumptions!$E$10)^INT((C1961-1)/12)*1</f>
        <v>11943.75</v>
      </c>
      <c r="G1961" s="10" t="n">
        <f aca="false">F1961*Staffing!$N$38</f>
        <v>0</v>
      </c>
      <c r="H1961" s="10" t="n">
        <f aca="false">F1961+G1961</f>
        <v>11943.75</v>
      </c>
      <c r="I1961" s="10" t="n">
        <f aca="false">0</f>
        <v>0</v>
      </c>
      <c r="J1961" s="10" t="n">
        <f aca="false">MAX(0,E1961-E1960)*Staffing!$O$38</f>
        <v>0</v>
      </c>
      <c r="K1961" s="10" t="n">
        <f aca="false">MAX(0,E1961-E1960)*Staffing!$P$38</f>
        <v>0</v>
      </c>
      <c r="L1961" s="23" t="n">
        <f aca="false">ROUNDUP(E1961,0)</f>
        <v>1</v>
      </c>
    </row>
    <row r="1962" customFormat="false" ht="15" hidden="false" customHeight="false" outlineLevel="0" collapsed="false">
      <c r="A1962" s="6" t="s">
        <v>73</v>
      </c>
      <c r="B1962" s="6" t="s">
        <v>341</v>
      </c>
      <c r="C1962" s="6" t="n">
        <v>37</v>
      </c>
      <c r="D1962" s="25" t="n">
        <f aca="false">EDATE('Start Here'!$B$6,C1962-1)</f>
        <v>47423</v>
      </c>
      <c r="E1962" s="11" t="n">
        <f aca="false">IF(AND(C1962&gt;=Staffing!$F$38,C1962&lt;=Staffing!$G$38,1=1),IF(C1962&lt;=6,Staffing!$H$38,IF(C1962&lt;=15,Staffing!$I$38,IF(C1962&lt;=30,Staffing!$J$38,Staffing!$K$38))),0)</f>
        <v>1</v>
      </c>
      <c r="F1962" s="10" t="n">
        <f aca="false">E1962*Staffing!$L$38/12*(1+Assumptions!$E$10)^INT((C1962-1)/12)*1</f>
        <v>12540.9375</v>
      </c>
      <c r="G1962" s="10" t="n">
        <f aca="false">F1962*Staffing!$N$38</f>
        <v>0</v>
      </c>
      <c r="H1962" s="10" t="n">
        <f aca="false">F1962+G1962</f>
        <v>12540.9375</v>
      </c>
      <c r="I1962" s="10" t="n">
        <f aca="false">0</f>
        <v>0</v>
      </c>
      <c r="J1962" s="10" t="n">
        <f aca="false">MAX(0,E1962-E1961)*Staffing!$O$38</f>
        <v>0</v>
      </c>
      <c r="K1962" s="10" t="n">
        <f aca="false">MAX(0,E1962-E1961)*Staffing!$P$38</f>
        <v>0</v>
      </c>
      <c r="L1962" s="23" t="n">
        <f aca="false">ROUNDUP(E1962,0)</f>
        <v>1</v>
      </c>
    </row>
    <row r="1963" customFormat="false" ht="15" hidden="false" customHeight="false" outlineLevel="0" collapsed="false">
      <c r="A1963" s="6" t="s">
        <v>73</v>
      </c>
      <c r="B1963" s="6" t="s">
        <v>341</v>
      </c>
      <c r="C1963" s="6" t="n">
        <v>38</v>
      </c>
      <c r="D1963" s="25" t="n">
        <f aca="false">EDATE('Start Here'!$B$6,C1963-1)</f>
        <v>47453</v>
      </c>
      <c r="E1963" s="11" t="n">
        <f aca="false">IF(AND(C1963&gt;=Staffing!$F$38,C1963&lt;=Staffing!$G$38,1=1),IF(C1963&lt;=6,Staffing!$H$38,IF(C1963&lt;=15,Staffing!$I$38,IF(C1963&lt;=30,Staffing!$J$38,Staffing!$K$38))),0)</f>
        <v>1</v>
      </c>
      <c r="F1963" s="10" t="n">
        <f aca="false">E1963*Staffing!$L$38/12*(1+Assumptions!$E$10)^INT((C1963-1)/12)*1</f>
        <v>12540.9375</v>
      </c>
      <c r="G1963" s="10" t="n">
        <f aca="false">F1963*Staffing!$N$38</f>
        <v>0</v>
      </c>
      <c r="H1963" s="10" t="n">
        <f aca="false">F1963+G1963</f>
        <v>12540.9375</v>
      </c>
      <c r="I1963" s="10" t="n">
        <f aca="false">0</f>
        <v>0</v>
      </c>
      <c r="J1963" s="10" t="n">
        <f aca="false">MAX(0,E1963-E1962)*Staffing!$O$38</f>
        <v>0</v>
      </c>
      <c r="K1963" s="10" t="n">
        <f aca="false">MAX(0,E1963-E1962)*Staffing!$P$38</f>
        <v>0</v>
      </c>
      <c r="L1963" s="23" t="n">
        <f aca="false">ROUNDUP(E1963,0)</f>
        <v>1</v>
      </c>
    </row>
    <row r="1964" customFormat="false" ht="15" hidden="false" customHeight="false" outlineLevel="0" collapsed="false">
      <c r="A1964" s="6" t="s">
        <v>73</v>
      </c>
      <c r="B1964" s="6" t="s">
        <v>341</v>
      </c>
      <c r="C1964" s="6" t="n">
        <v>39</v>
      </c>
      <c r="D1964" s="25" t="n">
        <f aca="false">EDATE('Start Here'!$B$6,C1964-1)</f>
        <v>47484</v>
      </c>
      <c r="E1964" s="11" t="n">
        <f aca="false">IF(AND(C1964&gt;=Staffing!$F$38,C1964&lt;=Staffing!$G$38,1=1),IF(C1964&lt;=6,Staffing!$H$38,IF(C1964&lt;=15,Staffing!$I$38,IF(C1964&lt;=30,Staffing!$J$38,Staffing!$K$38))),0)</f>
        <v>1</v>
      </c>
      <c r="F1964" s="10" t="n">
        <f aca="false">E1964*Staffing!$L$38/12*(1+Assumptions!$E$10)^INT((C1964-1)/12)*1</f>
        <v>12540.9375</v>
      </c>
      <c r="G1964" s="10" t="n">
        <f aca="false">F1964*Staffing!$N$38</f>
        <v>0</v>
      </c>
      <c r="H1964" s="10" t="n">
        <f aca="false">F1964+G1964</f>
        <v>12540.9375</v>
      </c>
      <c r="I1964" s="10" t="n">
        <f aca="false">0</f>
        <v>0</v>
      </c>
      <c r="J1964" s="10" t="n">
        <f aca="false">MAX(0,E1964-E1963)*Staffing!$O$38</f>
        <v>0</v>
      </c>
      <c r="K1964" s="10" t="n">
        <f aca="false">MAX(0,E1964-E1963)*Staffing!$P$38</f>
        <v>0</v>
      </c>
      <c r="L1964" s="23" t="n">
        <f aca="false">ROUNDUP(E1964,0)</f>
        <v>1</v>
      </c>
    </row>
    <row r="1965" customFormat="false" ht="15" hidden="false" customHeight="false" outlineLevel="0" collapsed="false">
      <c r="A1965" s="6" t="s">
        <v>73</v>
      </c>
      <c r="B1965" s="6" t="s">
        <v>341</v>
      </c>
      <c r="C1965" s="6" t="n">
        <v>40</v>
      </c>
      <c r="D1965" s="25" t="n">
        <f aca="false">EDATE('Start Here'!$B$6,C1965-1)</f>
        <v>47515</v>
      </c>
      <c r="E1965" s="11" t="n">
        <f aca="false">IF(AND(C1965&gt;=Staffing!$F$38,C1965&lt;=Staffing!$G$38,1=1),IF(C1965&lt;=6,Staffing!$H$38,IF(C1965&lt;=15,Staffing!$I$38,IF(C1965&lt;=30,Staffing!$J$38,Staffing!$K$38))),0)</f>
        <v>1</v>
      </c>
      <c r="F1965" s="10" t="n">
        <f aca="false">E1965*Staffing!$L$38/12*(1+Assumptions!$E$10)^INT((C1965-1)/12)*1</f>
        <v>12540.9375</v>
      </c>
      <c r="G1965" s="10" t="n">
        <f aca="false">F1965*Staffing!$N$38</f>
        <v>0</v>
      </c>
      <c r="H1965" s="10" t="n">
        <f aca="false">F1965+G1965</f>
        <v>12540.9375</v>
      </c>
      <c r="I1965" s="10" t="n">
        <f aca="false">0</f>
        <v>0</v>
      </c>
      <c r="J1965" s="10" t="n">
        <f aca="false">MAX(0,E1965-E1964)*Staffing!$O$38</f>
        <v>0</v>
      </c>
      <c r="K1965" s="10" t="n">
        <f aca="false">MAX(0,E1965-E1964)*Staffing!$P$38</f>
        <v>0</v>
      </c>
      <c r="L1965" s="23" t="n">
        <f aca="false">ROUNDUP(E1965,0)</f>
        <v>1</v>
      </c>
    </row>
    <row r="1966" customFormat="false" ht="15" hidden="false" customHeight="false" outlineLevel="0" collapsed="false">
      <c r="A1966" s="6" t="s">
        <v>73</v>
      </c>
      <c r="B1966" s="6" t="s">
        <v>341</v>
      </c>
      <c r="C1966" s="6" t="n">
        <v>41</v>
      </c>
      <c r="D1966" s="25" t="n">
        <f aca="false">EDATE('Start Here'!$B$6,C1966-1)</f>
        <v>47543</v>
      </c>
      <c r="E1966" s="11" t="n">
        <f aca="false">IF(AND(C1966&gt;=Staffing!$F$38,C1966&lt;=Staffing!$G$38,1=1),IF(C1966&lt;=6,Staffing!$H$38,IF(C1966&lt;=15,Staffing!$I$38,IF(C1966&lt;=30,Staffing!$J$38,Staffing!$K$38))),0)</f>
        <v>1</v>
      </c>
      <c r="F1966" s="10" t="n">
        <f aca="false">E1966*Staffing!$L$38/12*(1+Assumptions!$E$10)^INT((C1966-1)/12)*1</f>
        <v>12540.9375</v>
      </c>
      <c r="G1966" s="10" t="n">
        <f aca="false">F1966*Staffing!$N$38</f>
        <v>0</v>
      </c>
      <c r="H1966" s="10" t="n">
        <f aca="false">F1966+G1966</f>
        <v>12540.9375</v>
      </c>
      <c r="I1966" s="10" t="n">
        <f aca="false">0</f>
        <v>0</v>
      </c>
      <c r="J1966" s="10" t="n">
        <f aca="false">MAX(0,E1966-E1965)*Staffing!$O$38</f>
        <v>0</v>
      </c>
      <c r="K1966" s="10" t="n">
        <f aca="false">MAX(0,E1966-E1965)*Staffing!$P$38</f>
        <v>0</v>
      </c>
      <c r="L1966" s="23" t="n">
        <f aca="false">ROUNDUP(E1966,0)</f>
        <v>1</v>
      </c>
    </row>
    <row r="1967" customFormat="false" ht="15" hidden="false" customHeight="false" outlineLevel="0" collapsed="false">
      <c r="A1967" s="6" t="s">
        <v>73</v>
      </c>
      <c r="B1967" s="6" t="s">
        <v>341</v>
      </c>
      <c r="C1967" s="6" t="n">
        <v>42</v>
      </c>
      <c r="D1967" s="25" t="n">
        <f aca="false">EDATE('Start Here'!$B$6,C1967-1)</f>
        <v>47574</v>
      </c>
      <c r="E1967" s="11" t="n">
        <f aca="false">IF(AND(C1967&gt;=Staffing!$F$38,C1967&lt;=Staffing!$G$38,1=1),IF(C1967&lt;=6,Staffing!$H$38,IF(C1967&lt;=15,Staffing!$I$38,IF(C1967&lt;=30,Staffing!$J$38,Staffing!$K$38))),0)</f>
        <v>1</v>
      </c>
      <c r="F1967" s="10" t="n">
        <f aca="false">E1967*Staffing!$L$38/12*(1+Assumptions!$E$10)^INT((C1967-1)/12)*1</f>
        <v>12540.9375</v>
      </c>
      <c r="G1967" s="10" t="n">
        <f aca="false">F1967*Staffing!$N$38</f>
        <v>0</v>
      </c>
      <c r="H1967" s="10" t="n">
        <f aca="false">F1967+G1967</f>
        <v>12540.9375</v>
      </c>
      <c r="I1967" s="10" t="n">
        <f aca="false">0</f>
        <v>0</v>
      </c>
      <c r="J1967" s="10" t="n">
        <f aca="false">MAX(0,E1967-E1966)*Staffing!$O$38</f>
        <v>0</v>
      </c>
      <c r="K1967" s="10" t="n">
        <f aca="false">MAX(0,E1967-E1966)*Staffing!$P$38</f>
        <v>0</v>
      </c>
      <c r="L1967" s="23" t="n">
        <f aca="false">ROUNDUP(E1967,0)</f>
        <v>1</v>
      </c>
    </row>
    <row r="1968" customFormat="false" ht="15" hidden="false" customHeight="false" outlineLevel="0" collapsed="false">
      <c r="A1968" s="6" t="s">
        <v>73</v>
      </c>
      <c r="B1968" s="6" t="s">
        <v>341</v>
      </c>
      <c r="C1968" s="6" t="n">
        <v>43</v>
      </c>
      <c r="D1968" s="25" t="n">
        <f aca="false">EDATE('Start Here'!$B$6,C1968-1)</f>
        <v>47604</v>
      </c>
      <c r="E1968" s="11" t="n">
        <f aca="false">IF(AND(C1968&gt;=Staffing!$F$38,C1968&lt;=Staffing!$G$38,1=1),IF(C1968&lt;=6,Staffing!$H$38,IF(C1968&lt;=15,Staffing!$I$38,IF(C1968&lt;=30,Staffing!$J$38,Staffing!$K$38))),0)</f>
        <v>1</v>
      </c>
      <c r="F1968" s="10" t="n">
        <f aca="false">E1968*Staffing!$L$38/12*(1+Assumptions!$E$10)^INT((C1968-1)/12)*1</f>
        <v>12540.9375</v>
      </c>
      <c r="G1968" s="10" t="n">
        <f aca="false">F1968*Staffing!$N$38</f>
        <v>0</v>
      </c>
      <c r="H1968" s="10" t="n">
        <f aca="false">F1968+G1968</f>
        <v>12540.9375</v>
      </c>
      <c r="I1968" s="10" t="n">
        <f aca="false">0</f>
        <v>0</v>
      </c>
      <c r="J1968" s="10" t="n">
        <f aca="false">MAX(0,E1968-E1967)*Staffing!$O$38</f>
        <v>0</v>
      </c>
      <c r="K1968" s="10" t="n">
        <f aca="false">MAX(0,E1968-E1967)*Staffing!$P$38</f>
        <v>0</v>
      </c>
      <c r="L1968" s="23" t="n">
        <f aca="false">ROUNDUP(E1968,0)</f>
        <v>1</v>
      </c>
    </row>
    <row r="1969" customFormat="false" ht="15" hidden="false" customHeight="false" outlineLevel="0" collapsed="false">
      <c r="A1969" s="6" t="s">
        <v>73</v>
      </c>
      <c r="B1969" s="6" t="s">
        <v>341</v>
      </c>
      <c r="C1969" s="6" t="n">
        <v>44</v>
      </c>
      <c r="D1969" s="25" t="n">
        <f aca="false">EDATE('Start Here'!$B$6,C1969-1)</f>
        <v>47635</v>
      </c>
      <c r="E1969" s="11" t="n">
        <f aca="false">IF(AND(C1969&gt;=Staffing!$F$38,C1969&lt;=Staffing!$G$38,1=1),IF(C1969&lt;=6,Staffing!$H$38,IF(C1969&lt;=15,Staffing!$I$38,IF(C1969&lt;=30,Staffing!$J$38,Staffing!$K$38))),0)</f>
        <v>1</v>
      </c>
      <c r="F1969" s="10" t="n">
        <f aca="false">E1969*Staffing!$L$38/12*(1+Assumptions!$E$10)^INT((C1969-1)/12)*1</f>
        <v>12540.9375</v>
      </c>
      <c r="G1969" s="10" t="n">
        <f aca="false">F1969*Staffing!$N$38</f>
        <v>0</v>
      </c>
      <c r="H1969" s="10" t="n">
        <f aca="false">F1969+G1969</f>
        <v>12540.9375</v>
      </c>
      <c r="I1969" s="10" t="n">
        <f aca="false">0</f>
        <v>0</v>
      </c>
      <c r="J1969" s="10" t="n">
        <f aca="false">MAX(0,E1969-E1968)*Staffing!$O$38</f>
        <v>0</v>
      </c>
      <c r="K1969" s="10" t="n">
        <f aca="false">MAX(0,E1969-E1968)*Staffing!$P$38</f>
        <v>0</v>
      </c>
      <c r="L1969" s="23" t="n">
        <f aca="false">ROUNDUP(E1969,0)</f>
        <v>1</v>
      </c>
    </row>
    <row r="1970" customFormat="false" ht="15" hidden="false" customHeight="false" outlineLevel="0" collapsed="false">
      <c r="A1970" s="6" t="s">
        <v>73</v>
      </c>
      <c r="B1970" s="6" t="s">
        <v>341</v>
      </c>
      <c r="C1970" s="6" t="n">
        <v>45</v>
      </c>
      <c r="D1970" s="25" t="n">
        <f aca="false">EDATE('Start Here'!$B$6,C1970-1)</f>
        <v>47665</v>
      </c>
      <c r="E1970" s="11" t="n">
        <f aca="false">IF(AND(C1970&gt;=Staffing!$F$38,C1970&lt;=Staffing!$G$38,1=1),IF(C1970&lt;=6,Staffing!$H$38,IF(C1970&lt;=15,Staffing!$I$38,IF(C1970&lt;=30,Staffing!$J$38,Staffing!$K$38))),0)</f>
        <v>1</v>
      </c>
      <c r="F1970" s="10" t="n">
        <f aca="false">E1970*Staffing!$L$38/12*(1+Assumptions!$E$10)^INT((C1970-1)/12)*1</f>
        <v>12540.9375</v>
      </c>
      <c r="G1970" s="10" t="n">
        <f aca="false">F1970*Staffing!$N$38</f>
        <v>0</v>
      </c>
      <c r="H1970" s="10" t="n">
        <f aca="false">F1970+G1970</f>
        <v>12540.9375</v>
      </c>
      <c r="I1970" s="10" t="n">
        <f aca="false">0</f>
        <v>0</v>
      </c>
      <c r="J1970" s="10" t="n">
        <f aca="false">MAX(0,E1970-E1969)*Staffing!$O$38</f>
        <v>0</v>
      </c>
      <c r="K1970" s="10" t="n">
        <f aca="false">MAX(0,E1970-E1969)*Staffing!$P$38</f>
        <v>0</v>
      </c>
      <c r="L1970" s="23" t="n">
        <f aca="false">ROUNDUP(E1970,0)</f>
        <v>1</v>
      </c>
    </row>
    <row r="1971" customFormat="false" ht="15" hidden="false" customHeight="false" outlineLevel="0" collapsed="false">
      <c r="A1971" s="6" t="s">
        <v>73</v>
      </c>
      <c r="B1971" s="6" t="s">
        <v>341</v>
      </c>
      <c r="C1971" s="6" t="n">
        <v>46</v>
      </c>
      <c r="D1971" s="25" t="n">
        <f aca="false">EDATE('Start Here'!$B$6,C1971-1)</f>
        <v>47696</v>
      </c>
      <c r="E1971" s="11" t="n">
        <f aca="false">IF(AND(C1971&gt;=Staffing!$F$38,C1971&lt;=Staffing!$G$38,1=1),IF(C1971&lt;=6,Staffing!$H$38,IF(C1971&lt;=15,Staffing!$I$38,IF(C1971&lt;=30,Staffing!$J$38,Staffing!$K$38))),0)</f>
        <v>1</v>
      </c>
      <c r="F1971" s="10" t="n">
        <f aca="false">E1971*Staffing!$L$38/12*(1+Assumptions!$E$10)^INT((C1971-1)/12)*1</f>
        <v>12540.9375</v>
      </c>
      <c r="G1971" s="10" t="n">
        <f aca="false">F1971*Staffing!$N$38</f>
        <v>0</v>
      </c>
      <c r="H1971" s="10" t="n">
        <f aca="false">F1971+G1971</f>
        <v>12540.9375</v>
      </c>
      <c r="I1971" s="10" t="n">
        <f aca="false">0</f>
        <v>0</v>
      </c>
      <c r="J1971" s="10" t="n">
        <f aca="false">MAX(0,E1971-E1970)*Staffing!$O$38</f>
        <v>0</v>
      </c>
      <c r="K1971" s="10" t="n">
        <f aca="false">MAX(0,E1971-E1970)*Staffing!$P$38</f>
        <v>0</v>
      </c>
      <c r="L1971" s="23" t="n">
        <f aca="false">ROUNDUP(E1971,0)</f>
        <v>1</v>
      </c>
    </row>
    <row r="1972" customFormat="false" ht="15" hidden="false" customHeight="false" outlineLevel="0" collapsed="false">
      <c r="A1972" s="6" t="s">
        <v>73</v>
      </c>
      <c r="B1972" s="6" t="s">
        <v>341</v>
      </c>
      <c r="C1972" s="6" t="n">
        <v>47</v>
      </c>
      <c r="D1972" s="25" t="n">
        <f aca="false">EDATE('Start Here'!$B$6,C1972-1)</f>
        <v>47727</v>
      </c>
      <c r="E1972" s="11" t="n">
        <f aca="false">IF(AND(C1972&gt;=Staffing!$F$38,C1972&lt;=Staffing!$G$38,1=1),IF(C1972&lt;=6,Staffing!$H$38,IF(C1972&lt;=15,Staffing!$I$38,IF(C1972&lt;=30,Staffing!$J$38,Staffing!$K$38))),0)</f>
        <v>1</v>
      </c>
      <c r="F1972" s="10" t="n">
        <f aca="false">E1972*Staffing!$L$38/12*(1+Assumptions!$E$10)^INT((C1972-1)/12)*1</f>
        <v>12540.9375</v>
      </c>
      <c r="G1972" s="10" t="n">
        <f aca="false">F1972*Staffing!$N$38</f>
        <v>0</v>
      </c>
      <c r="H1972" s="10" t="n">
        <f aca="false">F1972+G1972</f>
        <v>12540.9375</v>
      </c>
      <c r="I1972" s="10" t="n">
        <f aca="false">0</f>
        <v>0</v>
      </c>
      <c r="J1972" s="10" t="n">
        <f aca="false">MAX(0,E1972-E1971)*Staffing!$O$38</f>
        <v>0</v>
      </c>
      <c r="K1972" s="10" t="n">
        <f aca="false">MAX(0,E1972-E1971)*Staffing!$P$38</f>
        <v>0</v>
      </c>
      <c r="L1972" s="23" t="n">
        <f aca="false">ROUNDUP(E1972,0)</f>
        <v>1</v>
      </c>
    </row>
    <row r="1973" customFormat="false" ht="15" hidden="false" customHeight="false" outlineLevel="0" collapsed="false">
      <c r="A1973" s="6" t="s">
        <v>73</v>
      </c>
      <c r="B1973" s="6" t="s">
        <v>341</v>
      </c>
      <c r="C1973" s="6" t="n">
        <v>48</v>
      </c>
      <c r="D1973" s="25" t="n">
        <f aca="false">EDATE('Start Here'!$B$6,C1973-1)</f>
        <v>47757</v>
      </c>
      <c r="E1973" s="11" t="n">
        <f aca="false">IF(AND(C1973&gt;=Staffing!$F$38,C1973&lt;=Staffing!$G$38,1=1),IF(C1973&lt;=6,Staffing!$H$38,IF(C1973&lt;=15,Staffing!$I$38,IF(C1973&lt;=30,Staffing!$J$38,Staffing!$K$38))),0)</f>
        <v>1</v>
      </c>
      <c r="F1973" s="10" t="n">
        <f aca="false">E1973*Staffing!$L$38/12*(1+Assumptions!$E$10)^INT((C1973-1)/12)*1</f>
        <v>12540.9375</v>
      </c>
      <c r="G1973" s="10" t="n">
        <f aca="false">F1973*Staffing!$N$38</f>
        <v>0</v>
      </c>
      <c r="H1973" s="10" t="n">
        <f aca="false">F1973+G1973</f>
        <v>12540.9375</v>
      </c>
      <c r="I1973" s="10" t="n">
        <f aca="false">0</f>
        <v>0</v>
      </c>
      <c r="J1973" s="10" t="n">
        <f aca="false">MAX(0,E1973-E1972)*Staffing!$O$38</f>
        <v>0</v>
      </c>
      <c r="K1973" s="10" t="n">
        <f aca="false">MAX(0,E1973-E1972)*Staffing!$P$38</f>
        <v>0</v>
      </c>
      <c r="L1973" s="23" t="n">
        <f aca="false">ROUNDUP(E1973,0)</f>
        <v>1</v>
      </c>
    </row>
    <row r="1974" customFormat="false" ht="15" hidden="false" customHeight="false" outlineLevel="0" collapsed="false">
      <c r="A1974" s="6" t="s">
        <v>73</v>
      </c>
      <c r="B1974" s="6" t="s">
        <v>341</v>
      </c>
      <c r="C1974" s="6" t="n">
        <v>49</v>
      </c>
      <c r="D1974" s="25" t="n">
        <f aca="false">EDATE('Start Here'!$B$6,C1974-1)</f>
        <v>47788</v>
      </c>
      <c r="E1974" s="11" t="n">
        <f aca="false">IF(AND(C1974&gt;=Staffing!$F$38,C1974&lt;=Staffing!$G$38,1=1),IF(C1974&lt;=6,Staffing!$H$38,IF(C1974&lt;=15,Staffing!$I$38,IF(C1974&lt;=30,Staffing!$J$38,Staffing!$K$38))),0)</f>
        <v>1</v>
      </c>
      <c r="F1974" s="10" t="n">
        <f aca="false">E1974*Staffing!$L$38/12*(1+Assumptions!$E$10)^INT((C1974-1)/12)*1</f>
        <v>13167.984375</v>
      </c>
      <c r="G1974" s="10" t="n">
        <f aca="false">F1974*Staffing!$N$38</f>
        <v>0</v>
      </c>
      <c r="H1974" s="10" t="n">
        <f aca="false">F1974+G1974</f>
        <v>13167.984375</v>
      </c>
      <c r="I1974" s="10" t="n">
        <f aca="false">0</f>
        <v>0</v>
      </c>
      <c r="J1974" s="10" t="n">
        <f aca="false">MAX(0,E1974-E1973)*Staffing!$O$38</f>
        <v>0</v>
      </c>
      <c r="K1974" s="10" t="n">
        <f aca="false">MAX(0,E1974-E1973)*Staffing!$P$38</f>
        <v>0</v>
      </c>
      <c r="L1974" s="23" t="n">
        <f aca="false">ROUNDUP(E1974,0)</f>
        <v>1</v>
      </c>
    </row>
    <row r="1975" customFormat="false" ht="15" hidden="false" customHeight="false" outlineLevel="0" collapsed="false">
      <c r="A1975" s="6" t="s">
        <v>73</v>
      </c>
      <c r="B1975" s="6" t="s">
        <v>341</v>
      </c>
      <c r="C1975" s="6" t="n">
        <v>50</v>
      </c>
      <c r="D1975" s="25" t="n">
        <f aca="false">EDATE('Start Here'!$B$6,C1975-1)</f>
        <v>47818</v>
      </c>
      <c r="E1975" s="11" t="n">
        <f aca="false">IF(AND(C1975&gt;=Staffing!$F$38,C1975&lt;=Staffing!$G$38,1=1),IF(C1975&lt;=6,Staffing!$H$38,IF(C1975&lt;=15,Staffing!$I$38,IF(C1975&lt;=30,Staffing!$J$38,Staffing!$K$38))),0)</f>
        <v>1</v>
      </c>
      <c r="F1975" s="10" t="n">
        <f aca="false">E1975*Staffing!$L$38/12*(1+Assumptions!$E$10)^INT((C1975-1)/12)*1</f>
        <v>13167.984375</v>
      </c>
      <c r="G1975" s="10" t="n">
        <f aca="false">F1975*Staffing!$N$38</f>
        <v>0</v>
      </c>
      <c r="H1975" s="10" t="n">
        <f aca="false">F1975+G1975</f>
        <v>13167.984375</v>
      </c>
      <c r="I1975" s="10" t="n">
        <f aca="false">0</f>
        <v>0</v>
      </c>
      <c r="J1975" s="10" t="n">
        <f aca="false">MAX(0,E1975-E1974)*Staffing!$O$38</f>
        <v>0</v>
      </c>
      <c r="K1975" s="10" t="n">
        <f aca="false">MAX(0,E1975-E1974)*Staffing!$P$38</f>
        <v>0</v>
      </c>
      <c r="L1975" s="23" t="n">
        <f aca="false">ROUNDUP(E1975,0)</f>
        <v>1</v>
      </c>
    </row>
    <row r="1976" customFormat="false" ht="15" hidden="false" customHeight="false" outlineLevel="0" collapsed="false">
      <c r="A1976" s="6" t="s">
        <v>73</v>
      </c>
      <c r="B1976" s="6" t="s">
        <v>341</v>
      </c>
      <c r="C1976" s="6" t="n">
        <v>51</v>
      </c>
      <c r="D1976" s="25" t="n">
        <f aca="false">EDATE('Start Here'!$B$6,C1976-1)</f>
        <v>47849</v>
      </c>
      <c r="E1976" s="11" t="n">
        <f aca="false">IF(AND(C1976&gt;=Staffing!$F$38,C1976&lt;=Staffing!$G$38,1=1),IF(C1976&lt;=6,Staffing!$H$38,IF(C1976&lt;=15,Staffing!$I$38,IF(C1976&lt;=30,Staffing!$J$38,Staffing!$K$38))),0)</f>
        <v>1</v>
      </c>
      <c r="F1976" s="10" t="n">
        <f aca="false">E1976*Staffing!$L$38/12*(1+Assumptions!$E$10)^INT((C1976-1)/12)*1</f>
        <v>13167.984375</v>
      </c>
      <c r="G1976" s="10" t="n">
        <f aca="false">F1976*Staffing!$N$38</f>
        <v>0</v>
      </c>
      <c r="H1976" s="10" t="n">
        <f aca="false">F1976+G1976</f>
        <v>13167.984375</v>
      </c>
      <c r="I1976" s="10" t="n">
        <f aca="false">0</f>
        <v>0</v>
      </c>
      <c r="J1976" s="10" t="n">
        <f aca="false">MAX(0,E1976-E1975)*Staffing!$O$38</f>
        <v>0</v>
      </c>
      <c r="K1976" s="10" t="n">
        <f aca="false">MAX(0,E1976-E1975)*Staffing!$P$38</f>
        <v>0</v>
      </c>
      <c r="L1976" s="23" t="n">
        <f aca="false">ROUNDUP(E1976,0)</f>
        <v>1</v>
      </c>
    </row>
    <row r="1977" customFormat="false" ht="15" hidden="false" customHeight="false" outlineLevel="0" collapsed="false">
      <c r="A1977" s="6" t="s">
        <v>73</v>
      </c>
      <c r="B1977" s="6" t="s">
        <v>341</v>
      </c>
      <c r="C1977" s="6" t="n">
        <v>52</v>
      </c>
      <c r="D1977" s="25" t="n">
        <f aca="false">EDATE('Start Here'!$B$6,C1977-1)</f>
        <v>47880</v>
      </c>
      <c r="E1977" s="11" t="n">
        <f aca="false">IF(AND(C1977&gt;=Staffing!$F$38,C1977&lt;=Staffing!$G$38,1=1),IF(C1977&lt;=6,Staffing!$H$38,IF(C1977&lt;=15,Staffing!$I$38,IF(C1977&lt;=30,Staffing!$J$38,Staffing!$K$38))),0)</f>
        <v>1</v>
      </c>
      <c r="F1977" s="10" t="n">
        <f aca="false">E1977*Staffing!$L$38/12*(1+Assumptions!$E$10)^INT((C1977-1)/12)*1</f>
        <v>13167.984375</v>
      </c>
      <c r="G1977" s="10" t="n">
        <f aca="false">F1977*Staffing!$N$38</f>
        <v>0</v>
      </c>
      <c r="H1977" s="10" t="n">
        <f aca="false">F1977+G1977</f>
        <v>13167.984375</v>
      </c>
      <c r="I1977" s="10" t="n">
        <f aca="false">0</f>
        <v>0</v>
      </c>
      <c r="J1977" s="10" t="n">
        <f aca="false">MAX(0,E1977-E1976)*Staffing!$O$38</f>
        <v>0</v>
      </c>
      <c r="K1977" s="10" t="n">
        <f aca="false">MAX(0,E1977-E1976)*Staffing!$P$38</f>
        <v>0</v>
      </c>
      <c r="L1977" s="23" t="n">
        <f aca="false">ROUNDUP(E1977,0)</f>
        <v>1</v>
      </c>
    </row>
    <row r="1978" customFormat="false" ht="15" hidden="false" customHeight="false" outlineLevel="0" collapsed="false">
      <c r="A1978" s="6" t="s">
        <v>73</v>
      </c>
      <c r="B1978" s="6" t="s">
        <v>341</v>
      </c>
      <c r="C1978" s="6" t="n">
        <v>53</v>
      </c>
      <c r="D1978" s="25" t="n">
        <f aca="false">EDATE('Start Here'!$B$6,C1978-1)</f>
        <v>47908</v>
      </c>
      <c r="E1978" s="11" t="n">
        <f aca="false">IF(AND(C1978&gt;=Staffing!$F$38,C1978&lt;=Staffing!$G$38,1=1),IF(C1978&lt;=6,Staffing!$H$38,IF(C1978&lt;=15,Staffing!$I$38,IF(C1978&lt;=30,Staffing!$J$38,Staffing!$K$38))),0)</f>
        <v>1</v>
      </c>
      <c r="F1978" s="10" t="n">
        <f aca="false">E1978*Staffing!$L$38/12*(1+Assumptions!$E$10)^INT((C1978-1)/12)*1</f>
        <v>13167.984375</v>
      </c>
      <c r="G1978" s="10" t="n">
        <f aca="false">F1978*Staffing!$N$38</f>
        <v>0</v>
      </c>
      <c r="H1978" s="10" t="n">
        <f aca="false">F1978+G1978</f>
        <v>13167.984375</v>
      </c>
      <c r="I1978" s="10" t="n">
        <f aca="false">0</f>
        <v>0</v>
      </c>
      <c r="J1978" s="10" t="n">
        <f aca="false">MAX(0,E1978-E1977)*Staffing!$O$38</f>
        <v>0</v>
      </c>
      <c r="K1978" s="10" t="n">
        <f aca="false">MAX(0,E1978-E1977)*Staffing!$P$38</f>
        <v>0</v>
      </c>
      <c r="L1978" s="23" t="n">
        <f aca="false">ROUNDUP(E1978,0)</f>
        <v>1</v>
      </c>
    </row>
    <row r="1979" customFormat="false" ht="15" hidden="false" customHeight="false" outlineLevel="0" collapsed="false">
      <c r="A1979" s="6" t="s">
        <v>73</v>
      </c>
      <c r="B1979" s="6" t="s">
        <v>341</v>
      </c>
      <c r="C1979" s="6" t="n">
        <v>54</v>
      </c>
      <c r="D1979" s="25" t="n">
        <f aca="false">EDATE('Start Here'!$B$6,C1979-1)</f>
        <v>47939</v>
      </c>
      <c r="E1979" s="11" t="n">
        <f aca="false">IF(AND(C1979&gt;=Staffing!$F$38,C1979&lt;=Staffing!$G$38,1=1),IF(C1979&lt;=6,Staffing!$H$38,IF(C1979&lt;=15,Staffing!$I$38,IF(C1979&lt;=30,Staffing!$J$38,Staffing!$K$38))),0)</f>
        <v>1</v>
      </c>
      <c r="F1979" s="10" t="n">
        <f aca="false">E1979*Staffing!$L$38/12*(1+Assumptions!$E$10)^INT((C1979-1)/12)*1</f>
        <v>13167.984375</v>
      </c>
      <c r="G1979" s="10" t="n">
        <f aca="false">F1979*Staffing!$N$38</f>
        <v>0</v>
      </c>
      <c r="H1979" s="10" t="n">
        <f aca="false">F1979+G1979</f>
        <v>13167.984375</v>
      </c>
      <c r="I1979" s="10" t="n">
        <f aca="false">0</f>
        <v>0</v>
      </c>
      <c r="J1979" s="10" t="n">
        <f aca="false">MAX(0,E1979-E1978)*Staffing!$O$38</f>
        <v>0</v>
      </c>
      <c r="K1979" s="10" t="n">
        <f aca="false">MAX(0,E1979-E1978)*Staffing!$P$38</f>
        <v>0</v>
      </c>
      <c r="L1979" s="23" t="n">
        <f aca="false">ROUNDUP(E1979,0)</f>
        <v>1</v>
      </c>
    </row>
    <row r="1980" customFormat="false" ht="15" hidden="false" customHeight="false" outlineLevel="0" collapsed="false">
      <c r="A1980" s="6" t="s">
        <v>73</v>
      </c>
      <c r="B1980" s="6" t="s">
        <v>341</v>
      </c>
      <c r="C1980" s="6" t="n">
        <v>55</v>
      </c>
      <c r="D1980" s="25" t="n">
        <f aca="false">EDATE('Start Here'!$B$6,C1980-1)</f>
        <v>47969</v>
      </c>
      <c r="E1980" s="11" t="n">
        <f aca="false">IF(AND(C1980&gt;=Staffing!$F$38,C1980&lt;=Staffing!$G$38,1=1),IF(C1980&lt;=6,Staffing!$H$38,IF(C1980&lt;=15,Staffing!$I$38,IF(C1980&lt;=30,Staffing!$J$38,Staffing!$K$38))),0)</f>
        <v>1</v>
      </c>
      <c r="F1980" s="10" t="n">
        <f aca="false">E1980*Staffing!$L$38/12*(1+Assumptions!$E$10)^INT((C1980-1)/12)*1</f>
        <v>13167.984375</v>
      </c>
      <c r="G1980" s="10" t="n">
        <f aca="false">F1980*Staffing!$N$38</f>
        <v>0</v>
      </c>
      <c r="H1980" s="10" t="n">
        <f aca="false">F1980+G1980</f>
        <v>13167.984375</v>
      </c>
      <c r="I1980" s="10" t="n">
        <f aca="false">0</f>
        <v>0</v>
      </c>
      <c r="J1980" s="10" t="n">
        <f aca="false">MAX(0,E1980-E1979)*Staffing!$O$38</f>
        <v>0</v>
      </c>
      <c r="K1980" s="10" t="n">
        <f aca="false">MAX(0,E1980-E1979)*Staffing!$P$38</f>
        <v>0</v>
      </c>
      <c r="L1980" s="23" t="n">
        <f aca="false">ROUNDUP(E1980,0)</f>
        <v>1</v>
      </c>
    </row>
    <row r="1981" customFormat="false" ht="15" hidden="false" customHeight="false" outlineLevel="0" collapsed="false">
      <c r="A1981" s="6" t="s">
        <v>73</v>
      </c>
      <c r="B1981" s="6" t="s">
        <v>341</v>
      </c>
      <c r="C1981" s="6" t="n">
        <v>56</v>
      </c>
      <c r="D1981" s="25" t="n">
        <f aca="false">EDATE('Start Here'!$B$6,C1981-1)</f>
        <v>48000</v>
      </c>
      <c r="E1981" s="11" t="n">
        <f aca="false">IF(AND(C1981&gt;=Staffing!$F$38,C1981&lt;=Staffing!$G$38,1=1),IF(C1981&lt;=6,Staffing!$H$38,IF(C1981&lt;=15,Staffing!$I$38,IF(C1981&lt;=30,Staffing!$J$38,Staffing!$K$38))),0)</f>
        <v>1</v>
      </c>
      <c r="F1981" s="10" t="n">
        <f aca="false">E1981*Staffing!$L$38/12*(1+Assumptions!$E$10)^INT((C1981-1)/12)*1</f>
        <v>13167.984375</v>
      </c>
      <c r="G1981" s="10" t="n">
        <f aca="false">F1981*Staffing!$N$38</f>
        <v>0</v>
      </c>
      <c r="H1981" s="10" t="n">
        <f aca="false">F1981+G1981</f>
        <v>13167.984375</v>
      </c>
      <c r="I1981" s="10" t="n">
        <f aca="false">0</f>
        <v>0</v>
      </c>
      <c r="J1981" s="10" t="n">
        <f aca="false">MAX(0,E1981-E1980)*Staffing!$O$38</f>
        <v>0</v>
      </c>
      <c r="K1981" s="10" t="n">
        <f aca="false">MAX(0,E1981-E1980)*Staffing!$P$38</f>
        <v>0</v>
      </c>
      <c r="L1981" s="23" t="n">
        <f aca="false">ROUNDUP(E1981,0)</f>
        <v>1</v>
      </c>
    </row>
    <row r="1982" customFormat="false" ht="15" hidden="false" customHeight="false" outlineLevel="0" collapsed="false">
      <c r="A1982" s="6" t="s">
        <v>73</v>
      </c>
      <c r="B1982" s="6" t="s">
        <v>341</v>
      </c>
      <c r="C1982" s="6" t="n">
        <v>57</v>
      </c>
      <c r="D1982" s="25" t="n">
        <f aca="false">EDATE('Start Here'!$B$6,C1982-1)</f>
        <v>48030</v>
      </c>
      <c r="E1982" s="11" t="n">
        <f aca="false">IF(AND(C1982&gt;=Staffing!$F$38,C1982&lt;=Staffing!$G$38,1=1),IF(C1982&lt;=6,Staffing!$H$38,IF(C1982&lt;=15,Staffing!$I$38,IF(C1982&lt;=30,Staffing!$J$38,Staffing!$K$38))),0)</f>
        <v>1</v>
      </c>
      <c r="F1982" s="10" t="n">
        <f aca="false">E1982*Staffing!$L$38/12*(1+Assumptions!$E$10)^INT((C1982-1)/12)*1</f>
        <v>13167.984375</v>
      </c>
      <c r="G1982" s="10" t="n">
        <f aca="false">F1982*Staffing!$N$38</f>
        <v>0</v>
      </c>
      <c r="H1982" s="10" t="n">
        <f aca="false">F1982+G1982</f>
        <v>13167.984375</v>
      </c>
      <c r="I1982" s="10" t="n">
        <f aca="false">0</f>
        <v>0</v>
      </c>
      <c r="J1982" s="10" t="n">
        <f aca="false">MAX(0,E1982-E1981)*Staffing!$O$38</f>
        <v>0</v>
      </c>
      <c r="K1982" s="10" t="n">
        <f aca="false">MAX(0,E1982-E1981)*Staffing!$P$38</f>
        <v>0</v>
      </c>
      <c r="L1982" s="23" t="n">
        <f aca="false">ROUNDUP(E1982,0)</f>
        <v>1</v>
      </c>
    </row>
    <row r="1983" customFormat="false" ht="15" hidden="false" customHeight="false" outlineLevel="0" collapsed="false">
      <c r="A1983" s="6" t="s">
        <v>73</v>
      </c>
      <c r="B1983" s="6" t="s">
        <v>341</v>
      </c>
      <c r="C1983" s="6" t="n">
        <v>58</v>
      </c>
      <c r="D1983" s="25" t="n">
        <f aca="false">EDATE('Start Here'!$B$6,C1983-1)</f>
        <v>48061</v>
      </c>
      <c r="E1983" s="11" t="n">
        <f aca="false">IF(AND(C1983&gt;=Staffing!$F$38,C1983&lt;=Staffing!$G$38,1=1),IF(C1983&lt;=6,Staffing!$H$38,IF(C1983&lt;=15,Staffing!$I$38,IF(C1983&lt;=30,Staffing!$J$38,Staffing!$K$38))),0)</f>
        <v>1</v>
      </c>
      <c r="F1983" s="10" t="n">
        <f aca="false">E1983*Staffing!$L$38/12*(1+Assumptions!$E$10)^INT((C1983-1)/12)*1</f>
        <v>13167.984375</v>
      </c>
      <c r="G1983" s="10" t="n">
        <f aca="false">F1983*Staffing!$N$38</f>
        <v>0</v>
      </c>
      <c r="H1983" s="10" t="n">
        <f aca="false">F1983+G1983</f>
        <v>13167.984375</v>
      </c>
      <c r="I1983" s="10" t="n">
        <f aca="false">0</f>
        <v>0</v>
      </c>
      <c r="J1983" s="10" t="n">
        <f aca="false">MAX(0,E1983-E1982)*Staffing!$O$38</f>
        <v>0</v>
      </c>
      <c r="K1983" s="10" t="n">
        <f aca="false">MAX(0,E1983-E1982)*Staffing!$P$38</f>
        <v>0</v>
      </c>
      <c r="L1983" s="23" t="n">
        <f aca="false">ROUNDUP(E1983,0)</f>
        <v>1</v>
      </c>
    </row>
    <row r="1984" customFormat="false" ht="15" hidden="false" customHeight="false" outlineLevel="0" collapsed="false">
      <c r="A1984" s="6" t="s">
        <v>73</v>
      </c>
      <c r="B1984" s="6" t="s">
        <v>341</v>
      </c>
      <c r="C1984" s="6" t="n">
        <v>59</v>
      </c>
      <c r="D1984" s="25" t="n">
        <f aca="false">EDATE('Start Here'!$B$6,C1984-1)</f>
        <v>48092</v>
      </c>
      <c r="E1984" s="11" t="n">
        <f aca="false">IF(AND(C1984&gt;=Staffing!$F$38,C1984&lt;=Staffing!$G$38,1=1),IF(C1984&lt;=6,Staffing!$H$38,IF(C1984&lt;=15,Staffing!$I$38,IF(C1984&lt;=30,Staffing!$J$38,Staffing!$K$38))),0)</f>
        <v>1</v>
      </c>
      <c r="F1984" s="10" t="n">
        <f aca="false">E1984*Staffing!$L$38/12*(1+Assumptions!$E$10)^INT((C1984-1)/12)*1</f>
        <v>13167.984375</v>
      </c>
      <c r="G1984" s="10" t="n">
        <f aca="false">F1984*Staffing!$N$38</f>
        <v>0</v>
      </c>
      <c r="H1984" s="10" t="n">
        <f aca="false">F1984+G1984</f>
        <v>13167.984375</v>
      </c>
      <c r="I1984" s="10" t="n">
        <f aca="false">0</f>
        <v>0</v>
      </c>
      <c r="J1984" s="10" t="n">
        <f aca="false">MAX(0,E1984-E1983)*Staffing!$O$38</f>
        <v>0</v>
      </c>
      <c r="K1984" s="10" t="n">
        <f aca="false">MAX(0,E1984-E1983)*Staffing!$P$38</f>
        <v>0</v>
      </c>
      <c r="L1984" s="23" t="n">
        <f aca="false">ROUNDUP(E1984,0)</f>
        <v>1</v>
      </c>
    </row>
    <row r="1985" customFormat="false" ht="15" hidden="false" customHeight="false" outlineLevel="0" collapsed="false">
      <c r="A1985" s="6" t="s">
        <v>73</v>
      </c>
      <c r="B1985" s="6" t="s">
        <v>341</v>
      </c>
      <c r="C1985" s="6" t="n">
        <v>60</v>
      </c>
      <c r="D1985" s="25" t="n">
        <f aca="false">EDATE('Start Here'!$B$6,C1985-1)</f>
        <v>48122</v>
      </c>
      <c r="E1985" s="11" t="n">
        <f aca="false">IF(AND(C1985&gt;=Staffing!$F$38,C1985&lt;=Staffing!$G$38,1=1),IF(C1985&lt;=6,Staffing!$H$38,IF(C1985&lt;=15,Staffing!$I$38,IF(C1985&lt;=30,Staffing!$J$38,Staffing!$K$38))),0)</f>
        <v>1</v>
      </c>
      <c r="F1985" s="10" t="n">
        <f aca="false">E1985*Staffing!$L$38/12*(1+Assumptions!$E$10)^INT((C1985-1)/12)*1</f>
        <v>13167.984375</v>
      </c>
      <c r="G1985" s="10" t="n">
        <f aca="false">F1985*Staffing!$N$38</f>
        <v>0</v>
      </c>
      <c r="H1985" s="10" t="n">
        <f aca="false">F1985+G1985</f>
        <v>13167.984375</v>
      </c>
      <c r="I1985" s="10" t="n">
        <f aca="false">0</f>
        <v>0</v>
      </c>
      <c r="J1985" s="10" t="n">
        <f aca="false">MAX(0,E1985-E1984)*Staffing!$O$38</f>
        <v>0</v>
      </c>
      <c r="K1985" s="10" t="n">
        <f aca="false">MAX(0,E1985-E1984)*Staffing!$P$38</f>
        <v>0</v>
      </c>
      <c r="L1985" s="23" t="n">
        <f aca="false">ROUNDUP(E1985,0)</f>
        <v>1</v>
      </c>
    </row>
    <row r="1986" customFormat="false" ht="15" hidden="false" customHeight="false" outlineLevel="0" collapsed="false">
      <c r="A1986" s="6" t="s">
        <v>73</v>
      </c>
      <c r="B1986" s="6" t="s">
        <v>343</v>
      </c>
      <c r="C1986" s="6" t="n">
        <v>1</v>
      </c>
      <c r="D1986" s="25" t="n">
        <f aca="false">EDATE('Start Here'!$B$6,C1986-1)</f>
        <v>46327</v>
      </c>
      <c r="E1986" s="23" t="n">
        <f aca="false">IF(AND(C1986&gt;=Staffing!$F$39,C1986&lt;=Staffing!$G$39,1=1),IF(C1986&lt;=6,Staffing!$H$39,IF(C1986&lt;=15,Staffing!$I$39,IF(C1986&lt;=30,Staffing!$J$39,Staffing!$K$39))),0)</f>
        <v>0</v>
      </c>
      <c r="F1986" s="10" t="n">
        <f aca="false">E1986*Staffing!$L$39/12*(1+Assumptions!$E$10)^INT((C1986-1)/12)*1</f>
        <v>0</v>
      </c>
      <c r="G1986" s="10" t="n">
        <f aca="false">F1986*Staffing!$N$39</f>
        <v>0</v>
      </c>
      <c r="H1986" s="10" t="n">
        <f aca="false">F1986+G1986</f>
        <v>0</v>
      </c>
      <c r="I1986" s="10" t="n">
        <f aca="false">0</f>
        <v>0</v>
      </c>
      <c r="J1986" s="10" t="n">
        <f aca="false">MAX(0,E1986-0)*Staffing!$O$39</f>
        <v>0</v>
      </c>
      <c r="K1986" s="10" t="n">
        <f aca="false">MAX(0,E1986-0)*Staffing!$P$39</f>
        <v>0</v>
      </c>
      <c r="L1986" s="23" t="n">
        <f aca="false">ROUNDUP(E1986,0)</f>
        <v>0</v>
      </c>
    </row>
    <row r="1987" customFormat="false" ht="15" hidden="false" customHeight="false" outlineLevel="0" collapsed="false">
      <c r="A1987" s="6" t="s">
        <v>73</v>
      </c>
      <c r="B1987" s="6" t="s">
        <v>343</v>
      </c>
      <c r="C1987" s="6" t="n">
        <v>2</v>
      </c>
      <c r="D1987" s="25" t="n">
        <f aca="false">EDATE('Start Here'!$B$6,C1987-1)</f>
        <v>46357</v>
      </c>
      <c r="E1987" s="11" t="n">
        <f aca="false">IF(AND(C1987&gt;=Staffing!$F$39,C1987&lt;=Staffing!$G$39,1=1),IF(C1987&lt;=6,Staffing!$H$39,IF(C1987&lt;=15,Staffing!$I$39,IF(C1987&lt;=30,Staffing!$J$39,Staffing!$K$39))),0)</f>
        <v>0.25</v>
      </c>
      <c r="F1987" s="10" t="n">
        <f aca="false">E1987*Staffing!$L$39/12*(1+Assumptions!$E$10)^INT((C1987-1)/12)*1</f>
        <v>4166.66666666667</v>
      </c>
      <c r="G1987" s="10" t="n">
        <f aca="false">F1987*Staffing!$N$39</f>
        <v>0</v>
      </c>
      <c r="H1987" s="10" t="n">
        <f aca="false">F1987+G1987</f>
        <v>4166.66666666667</v>
      </c>
      <c r="I1987" s="10" t="n">
        <f aca="false">0</f>
        <v>0</v>
      </c>
      <c r="J1987" s="10" t="n">
        <f aca="false">MAX(0,E1987-E1986)*Staffing!$O$39</f>
        <v>0</v>
      </c>
      <c r="K1987" s="10" t="n">
        <f aca="false">MAX(0,E1987-E1986)*Staffing!$P$39</f>
        <v>875</v>
      </c>
      <c r="L1987" s="23" t="n">
        <f aca="false">ROUNDUP(E1987,0)</f>
        <v>1</v>
      </c>
    </row>
    <row r="1988" customFormat="false" ht="15" hidden="false" customHeight="false" outlineLevel="0" collapsed="false">
      <c r="A1988" s="6" t="s">
        <v>73</v>
      </c>
      <c r="B1988" s="6" t="s">
        <v>343</v>
      </c>
      <c r="C1988" s="6" t="n">
        <v>3</v>
      </c>
      <c r="D1988" s="25" t="n">
        <f aca="false">EDATE('Start Here'!$B$6,C1988-1)</f>
        <v>46388</v>
      </c>
      <c r="E1988" s="11" t="n">
        <f aca="false">IF(AND(C1988&gt;=Staffing!$F$39,C1988&lt;=Staffing!$G$39,1=1),IF(C1988&lt;=6,Staffing!$H$39,IF(C1988&lt;=15,Staffing!$I$39,IF(C1988&lt;=30,Staffing!$J$39,Staffing!$K$39))),0)</f>
        <v>0.25</v>
      </c>
      <c r="F1988" s="10" t="n">
        <f aca="false">E1988*Staffing!$L$39/12*(1+Assumptions!$E$10)^INT((C1988-1)/12)*1</f>
        <v>4166.66666666667</v>
      </c>
      <c r="G1988" s="10" t="n">
        <f aca="false">F1988*Staffing!$N$39</f>
        <v>0</v>
      </c>
      <c r="H1988" s="10" t="n">
        <f aca="false">F1988+G1988</f>
        <v>4166.66666666667</v>
      </c>
      <c r="I1988" s="10" t="n">
        <f aca="false">0</f>
        <v>0</v>
      </c>
      <c r="J1988" s="10" t="n">
        <f aca="false">MAX(0,E1988-E1987)*Staffing!$O$39</f>
        <v>0</v>
      </c>
      <c r="K1988" s="10" t="n">
        <f aca="false">MAX(0,E1988-E1987)*Staffing!$P$39</f>
        <v>0</v>
      </c>
      <c r="L1988" s="23" t="n">
        <f aca="false">ROUNDUP(E1988,0)</f>
        <v>1</v>
      </c>
    </row>
    <row r="1989" customFormat="false" ht="15" hidden="false" customHeight="false" outlineLevel="0" collapsed="false">
      <c r="A1989" s="6" t="s">
        <v>73</v>
      </c>
      <c r="B1989" s="6" t="s">
        <v>343</v>
      </c>
      <c r="C1989" s="6" t="n">
        <v>4</v>
      </c>
      <c r="D1989" s="25" t="n">
        <f aca="false">EDATE('Start Here'!$B$6,C1989-1)</f>
        <v>46419</v>
      </c>
      <c r="E1989" s="11" t="n">
        <f aca="false">IF(AND(C1989&gt;=Staffing!$F$39,C1989&lt;=Staffing!$G$39,1=1),IF(C1989&lt;=6,Staffing!$H$39,IF(C1989&lt;=15,Staffing!$I$39,IF(C1989&lt;=30,Staffing!$J$39,Staffing!$K$39))),0)</f>
        <v>0.25</v>
      </c>
      <c r="F1989" s="10" t="n">
        <f aca="false">E1989*Staffing!$L$39/12*(1+Assumptions!$E$10)^INT((C1989-1)/12)*1</f>
        <v>4166.66666666667</v>
      </c>
      <c r="G1989" s="10" t="n">
        <f aca="false">F1989*Staffing!$N$39</f>
        <v>0</v>
      </c>
      <c r="H1989" s="10" t="n">
        <f aca="false">F1989+G1989</f>
        <v>4166.66666666667</v>
      </c>
      <c r="I1989" s="10" t="n">
        <f aca="false">0</f>
        <v>0</v>
      </c>
      <c r="J1989" s="10" t="n">
        <f aca="false">MAX(0,E1989-E1988)*Staffing!$O$39</f>
        <v>0</v>
      </c>
      <c r="K1989" s="10" t="n">
        <f aca="false">MAX(0,E1989-E1988)*Staffing!$P$39</f>
        <v>0</v>
      </c>
      <c r="L1989" s="23" t="n">
        <f aca="false">ROUNDUP(E1989,0)</f>
        <v>1</v>
      </c>
    </row>
    <row r="1990" customFormat="false" ht="15" hidden="false" customHeight="false" outlineLevel="0" collapsed="false">
      <c r="A1990" s="6" t="s">
        <v>73</v>
      </c>
      <c r="B1990" s="6" t="s">
        <v>343</v>
      </c>
      <c r="C1990" s="6" t="n">
        <v>5</v>
      </c>
      <c r="D1990" s="25" t="n">
        <f aca="false">EDATE('Start Here'!$B$6,C1990-1)</f>
        <v>46447</v>
      </c>
      <c r="E1990" s="11" t="n">
        <f aca="false">IF(AND(C1990&gt;=Staffing!$F$39,C1990&lt;=Staffing!$G$39,1=1),IF(C1990&lt;=6,Staffing!$H$39,IF(C1990&lt;=15,Staffing!$I$39,IF(C1990&lt;=30,Staffing!$J$39,Staffing!$K$39))),0)</f>
        <v>0.25</v>
      </c>
      <c r="F1990" s="10" t="n">
        <f aca="false">E1990*Staffing!$L$39/12*(1+Assumptions!$E$10)^INT((C1990-1)/12)*1</f>
        <v>4166.66666666667</v>
      </c>
      <c r="G1990" s="10" t="n">
        <f aca="false">F1990*Staffing!$N$39</f>
        <v>0</v>
      </c>
      <c r="H1990" s="10" t="n">
        <f aca="false">F1990+G1990</f>
        <v>4166.66666666667</v>
      </c>
      <c r="I1990" s="10" t="n">
        <f aca="false">0</f>
        <v>0</v>
      </c>
      <c r="J1990" s="10" t="n">
        <f aca="false">MAX(0,E1990-E1989)*Staffing!$O$39</f>
        <v>0</v>
      </c>
      <c r="K1990" s="10" t="n">
        <f aca="false">MAX(0,E1990-E1989)*Staffing!$P$39</f>
        <v>0</v>
      </c>
      <c r="L1990" s="23" t="n">
        <f aca="false">ROUNDUP(E1990,0)</f>
        <v>1</v>
      </c>
    </row>
    <row r="1991" customFormat="false" ht="15" hidden="false" customHeight="false" outlineLevel="0" collapsed="false">
      <c r="A1991" s="6" t="s">
        <v>73</v>
      </c>
      <c r="B1991" s="6" t="s">
        <v>343</v>
      </c>
      <c r="C1991" s="6" t="n">
        <v>6</v>
      </c>
      <c r="D1991" s="25" t="n">
        <f aca="false">EDATE('Start Here'!$B$6,C1991-1)</f>
        <v>46478</v>
      </c>
      <c r="E1991" s="11" t="n">
        <f aca="false">IF(AND(C1991&gt;=Staffing!$F$39,C1991&lt;=Staffing!$G$39,1=1),IF(C1991&lt;=6,Staffing!$H$39,IF(C1991&lt;=15,Staffing!$I$39,IF(C1991&lt;=30,Staffing!$J$39,Staffing!$K$39))),0)</f>
        <v>0.25</v>
      </c>
      <c r="F1991" s="10" t="n">
        <f aca="false">E1991*Staffing!$L$39/12*(1+Assumptions!$E$10)^INT((C1991-1)/12)*1</f>
        <v>4166.66666666667</v>
      </c>
      <c r="G1991" s="10" t="n">
        <f aca="false">F1991*Staffing!$N$39</f>
        <v>0</v>
      </c>
      <c r="H1991" s="10" t="n">
        <f aca="false">F1991+G1991</f>
        <v>4166.66666666667</v>
      </c>
      <c r="I1991" s="10" t="n">
        <f aca="false">0</f>
        <v>0</v>
      </c>
      <c r="J1991" s="10" t="n">
        <f aca="false">MAX(0,E1991-E1990)*Staffing!$O$39</f>
        <v>0</v>
      </c>
      <c r="K1991" s="10" t="n">
        <f aca="false">MAX(0,E1991-E1990)*Staffing!$P$39</f>
        <v>0</v>
      </c>
      <c r="L1991" s="23" t="n">
        <f aca="false">ROUNDUP(E1991,0)</f>
        <v>1</v>
      </c>
    </row>
    <row r="1992" customFormat="false" ht="15" hidden="false" customHeight="false" outlineLevel="0" collapsed="false">
      <c r="A1992" s="6" t="s">
        <v>73</v>
      </c>
      <c r="B1992" s="6" t="s">
        <v>343</v>
      </c>
      <c r="C1992" s="6" t="n">
        <v>7</v>
      </c>
      <c r="D1992" s="25" t="n">
        <f aca="false">EDATE('Start Here'!$B$6,C1992-1)</f>
        <v>46508</v>
      </c>
      <c r="E1992" s="11" t="n">
        <f aca="false">IF(AND(C1992&gt;=Staffing!$F$39,C1992&lt;=Staffing!$G$39,1=1),IF(C1992&lt;=6,Staffing!$H$39,IF(C1992&lt;=15,Staffing!$I$39,IF(C1992&lt;=30,Staffing!$J$39,Staffing!$K$39))),0)</f>
        <v>0.5</v>
      </c>
      <c r="F1992" s="10" t="n">
        <f aca="false">E1992*Staffing!$L$39/12*(1+Assumptions!$E$10)^INT((C1992-1)/12)*1</f>
        <v>8333.33333333333</v>
      </c>
      <c r="G1992" s="10" t="n">
        <f aca="false">F1992*Staffing!$N$39</f>
        <v>0</v>
      </c>
      <c r="H1992" s="10" t="n">
        <f aca="false">F1992+G1992</f>
        <v>8333.33333333333</v>
      </c>
      <c r="I1992" s="10" t="n">
        <f aca="false">0</f>
        <v>0</v>
      </c>
      <c r="J1992" s="10" t="n">
        <f aca="false">MAX(0,E1992-E1991)*Staffing!$O$39</f>
        <v>0</v>
      </c>
      <c r="K1992" s="10" t="n">
        <f aca="false">MAX(0,E1992-E1991)*Staffing!$P$39</f>
        <v>875</v>
      </c>
      <c r="L1992" s="23" t="n">
        <f aca="false">ROUNDUP(E1992,0)</f>
        <v>1</v>
      </c>
    </row>
    <row r="1993" customFormat="false" ht="15" hidden="false" customHeight="false" outlineLevel="0" collapsed="false">
      <c r="A1993" s="6" t="s">
        <v>73</v>
      </c>
      <c r="B1993" s="6" t="s">
        <v>343</v>
      </c>
      <c r="C1993" s="6" t="n">
        <v>8</v>
      </c>
      <c r="D1993" s="25" t="n">
        <f aca="false">EDATE('Start Here'!$B$6,C1993-1)</f>
        <v>46539</v>
      </c>
      <c r="E1993" s="11" t="n">
        <f aca="false">IF(AND(C1993&gt;=Staffing!$F$39,C1993&lt;=Staffing!$G$39,1=1),IF(C1993&lt;=6,Staffing!$H$39,IF(C1993&lt;=15,Staffing!$I$39,IF(C1993&lt;=30,Staffing!$J$39,Staffing!$K$39))),0)</f>
        <v>0.5</v>
      </c>
      <c r="F1993" s="10" t="n">
        <f aca="false">E1993*Staffing!$L$39/12*(1+Assumptions!$E$10)^INT((C1993-1)/12)*1</f>
        <v>8333.33333333333</v>
      </c>
      <c r="G1993" s="10" t="n">
        <f aca="false">F1993*Staffing!$N$39</f>
        <v>0</v>
      </c>
      <c r="H1993" s="10" t="n">
        <f aca="false">F1993+G1993</f>
        <v>8333.33333333333</v>
      </c>
      <c r="I1993" s="10" t="n">
        <f aca="false">0</f>
        <v>0</v>
      </c>
      <c r="J1993" s="10" t="n">
        <f aca="false">MAX(0,E1993-E1992)*Staffing!$O$39</f>
        <v>0</v>
      </c>
      <c r="K1993" s="10" t="n">
        <f aca="false">MAX(0,E1993-E1992)*Staffing!$P$39</f>
        <v>0</v>
      </c>
      <c r="L1993" s="23" t="n">
        <f aca="false">ROUNDUP(E1993,0)</f>
        <v>1</v>
      </c>
    </row>
    <row r="1994" customFormat="false" ht="15" hidden="false" customHeight="false" outlineLevel="0" collapsed="false">
      <c r="A1994" s="6" t="s">
        <v>73</v>
      </c>
      <c r="B1994" s="6" t="s">
        <v>343</v>
      </c>
      <c r="C1994" s="6" t="n">
        <v>9</v>
      </c>
      <c r="D1994" s="25" t="n">
        <f aca="false">EDATE('Start Here'!$B$6,C1994-1)</f>
        <v>46569</v>
      </c>
      <c r="E1994" s="11" t="n">
        <f aca="false">IF(AND(C1994&gt;=Staffing!$F$39,C1994&lt;=Staffing!$G$39,1=1),IF(C1994&lt;=6,Staffing!$H$39,IF(C1994&lt;=15,Staffing!$I$39,IF(C1994&lt;=30,Staffing!$J$39,Staffing!$K$39))),0)</f>
        <v>0.5</v>
      </c>
      <c r="F1994" s="10" t="n">
        <f aca="false">E1994*Staffing!$L$39/12*(1+Assumptions!$E$10)^INT((C1994-1)/12)*1</f>
        <v>8333.33333333333</v>
      </c>
      <c r="G1994" s="10" t="n">
        <f aca="false">F1994*Staffing!$N$39</f>
        <v>0</v>
      </c>
      <c r="H1994" s="10" t="n">
        <f aca="false">F1994+G1994</f>
        <v>8333.33333333333</v>
      </c>
      <c r="I1994" s="10" t="n">
        <f aca="false">0</f>
        <v>0</v>
      </c>
      <c r="J1994" s="10" t="n">
        <f aca="false">MAX(0,E1994-E1993)*Staffing!$O$39</f>
        <v>0</v>
      </c>
      <c r="K1994" s="10" t="n">
        <f aca="false">MAX(0,E1994-E1993)*Staffing!$P$39</f>
        <v>0</v>
      </c>
      <c r="L1994" s="23" t="n">
        <f aca="false">ROUNDUP(E1994,0)</f>
        <v>1</v>
      </c>
    </row>
    <row r="1995" customFormat="false" ht="15" hidden="false" customHeight="false" outlineLevel="0" collapsed="false">
      <c r="A1995" s="6" t="s">
        <v>73</v>
      </c>
      <c r="B1995" s="6" t="s">
        <v>343</v>
      </c>
      <c r="C1995" s="6" t="n">
        <v>10</v>
      </c>
      <c r="D1995" s="25" t="n">
        <f aca="false">EDATE('Start Here'!$B$6,C1995-1)</f>
        <v>46600</v>
      </c>
      <c r="E1995" s="11" t="n">
        <f aca="false">IF(AND(C1995&gt;=Staffing!$F$39,C1995&lt;=Staffing!$G$39,1=1),IF(C1995&lt;=6,Staffing!$H$39,IF(C1995&lt;=15,Staffing!$I$39,IF(C1995&lt;=30,Staffing!$J$39,Staffing!$K$39))),0)</f>
        <v>0.5</v>
      </c>
      <c r="F1995" s="10" t="n">
        <f aca="false">E1995*Staffing!$L$39/12*(1+Assumptions!$E$10)^INT((C1995-1)/12)*1</f>
        <v>8333.33333333333</v>
      </c>
      <c r="G1995" s="10" t="n">
        <f aca="false">F1995*Staffing!$N$39</f>
        <v>0</v>
      </c>
      <c r="H1995" s="10" t="n">
        <f aca="false">F1995+G1995</f>
        <v>8333.33333333333</v>
      </c>
      <c r="I1995" s="10" t="n">
        <f aca="false">0</f>
        <v>0</v>
      </c>
      <c r="J1995" s="10" t="n">
        <f aca="false">MAX(0,E1995-E1994)*Staffing!$O$39</f>
        <v>0</v>
      </c>
      <c r="K1995" s="10" t="n">
        <f aca="false">MAX(0,E1995-E1994)*Staffing!$P$39</f>
        <v>0</v>
      </c>
      <c r="L1995" s="23" t="n">
        <f aca="false">ROUNDUP(E1995,0)</f>
        <v>1</v>
      </c>
    </row>
    <row r="1996" customFormat="false" ht="15" hidden="false" customHeight="false" outlineLevel="0" collapsed="false">
      <c r="A1996" s="6" t="s">
        <v>73</v>
      </c>
      <c r="B1996" s="6" t="s">
        <v>343</v>
      </c>
      <c r="C1996" s="6" t="n">
        <v>11</v>
      </c>
      <c r="D1996" s="25" t="n">
        <f aca="false">EDATE('Start Here'!$B$6,C1996-1)</f>
        <v>46631</v>
      </c>
      <c r="E1996" s="11" t="n">
        <f aca="false">IF(AND(C1996&gt;=Staffing!$F$39,C1996&lt;=Staffing!$G$39,1=1),IF(C1996&lt;=6,Staffing!$H$39,IF(C1996&lt;=15,Staffing!$I$39,IF(C1996&lt;=30,Staffing!$J$39,Staffing!$K$39))),0)</f>
        <v>0.5</v>
      </c>
      <c r="F1996" s="10" t="n">
        <f aca="false">E1996*Staffing!$L$39/12*(1+Assumptions!$E$10)^INT((C1996-1)/12)*1</f>
        <v>8333.33333333333</v>
      </c>
      <c r="G1996" s="10" t="n">
        <f aca="false">F1996*Staffing!$N$39</f>
        <v>0</v>
      </c>
      <c r="H1996" s="10" t="n">
        <f aca="false">F1996+G1996</f>
        <v>8333.33333333333</v>
      </c>
      <c r="I1996" s="10" t="n">
        <f aca="false">0</f>
        <v>0</v>
      </c>
      <c r="J1996" s="10" t="n">
        <f aca="false">MAX(0,E1996-E1995)*Staffing!$O$39</f>
        <v>0</v>
      </c>
      <c r="K1996" s="10" t="n">
        <f aca="false">MAX(0,E1996-E1995)*Staffing!$P$39</f>
        <v>0</v>
      </c>
      <c r="L1996" s="23" t="n">
        <f aca="false">ROUNDUP(E1996,0)</f>
        <v>1</v>
      </c>
    </row>
    <row r="1997" customFormat="false" ht="15" hidden="false" customHeight="false" outlineLevel="0" collapsed="false">
      <c r="A1997" s="6" t="s">
        <v>73</v>
      </c>
      <c r="B1997" s="6" t="s">
        <v>343</v>
      </c>
      <c r="C1997" s="6" t="n">
        <v>12</v>
      </c>
      <c r="D1997" s="25" t="n">
        <f aca="false">EDATE('Start Here'!$B$6,C1997-1)</f>
        <v>46661</v>
      </c>
      <c r="E1997" s="11" t="n">
        <f aca="false">IF(AND(C1997&gt;=Staffing!$F$39,C1997&lt;=Staffing!$G$39,1=1),IF(C1997&lt;=6,Staffing!$H$39,IF(C1997&lt;=15,Staffing!$I$39,IF(C1997&lt;=30,Staffing!$J$39,Staffing!$K$39))),0)</f>
        <v>0.5</v>
      </c>
      <c r="F1997" s="10" t="n">
        <f aca="false">E1997*Staffing!$L$39/12*(1+Assumptions!$E$10)^INT((C1997-1)/12)*1</f>
        <v>8333.33333333333</v>
      </c>
      <c r="G1997" s="10" t="n">
        <f aca="false">F1997*Staffing!$N$39</f>
        <v>0</v>
      </c>
      <c r="H1997" s="10" t="n">
        <f aca="false">F1997+G1997</f>
        <v>8333.33333333333</v>
      </c>
      <c r="I1997" s="10" t="n">
        <f aca="false">0</f>
        <v>0</v>
      </c>
      <c r="J1997" s="10" t="n">
        <f aca="false">MAX(0,E1997-E1996)*Staffing!$O$39</f>
        <v>0</v>
      </c>
      <c r="K1997" s="10" t="n">
        <f aca="false">MAX(0,E1997-E1996)*Staffing!$P$39</f>
        <v>0</v>
      </c>
      <c r="L1997" s="23" t="n">
        <f aca="false">ROUNDUP(E1997,0)</f>
        <v>1</v>
      </c>
    </row>
    <row r="1998" customFormat="false" ht="15" hidden="false" customHeight="false" outlineLevel="0" collapsed="false">
      <c r="A1998" s="6" t="s">
        <v>73</v>
      </c>
      <c r="B1998" s="6" t="s">
        <v>343</v>
      </c>
      <c r="C1998" s="6" t="n">
        <v>13</v>
      </c>
      <c r="D1998" s="25" t="n">
        <f aca="false">EDATE('Start Here'!$B$6,C1998-1)</f>
        <v>46692</v>
      </c>
      <c r="E1998" s="11" t="n">
        <f aca="false">IF(AND(C1998&gt;=Staffing!$F$39,C1998&lt;=Staffing!$G$39,1=1),IF(C1998&lt;=6,Staffing!$H$39,IF(C1998&lt;=15,Staffing!$I$39,IF(C1998&lt;=30,Staffing!$J$39,Staffing!$K$39))),0)</f>
        <v>0.5</v>
      </c>
      <c r="F1998" s="10" t="n">
        <f aca="false">E1998*Staffing!$L$39/12*(1+Assumptions!$E$10)^INT((C1998-1)/12)*1</f>
        <v>8750</v>
      </c>
      <c r="G1998" s="10" t="n">
        <f aca="false">F1998*Staffing!$N$39</f>
        <v>0</v>
      </c>
      <c r="H1998" s="10" t="n">
        <f aca="false">F1998+G1998</f>
        <v>8750</v>
      </c>
      <c r="I1998" s="10" t="n">
        <f aca="false">0</f>
        <v>0</v>
      </c>
      <c r="J1998" s="10" t="n">
        <f aca="false">MAX(0,E1998-E1997)*Staffing!$O$39</f>
        <v>0</v>
      </c>
      <c r="K1998" s="10" t="n">
        <f aca="false">MAX(0,E1998-E1997)*Staffing!$P$39</f>
        <v>0</v>
      </c>
      <c r="L1998" s="23" t="n">
        <f aca="false">ROUNDUP(E1998,0)</f>
        <v>1</v>
      </c>
    </row>
    <row r="1999" customFormat="false" ht="15" hidden="false" customHeight="false" outlineLevel="0" collapsed="false">
      <c r="A1999" s="6" t="s">
        <v>73</v>
      </c>
      <c r="B1999" s="6" t="s">
        <v>343</v>
      </c>
      <c r="C1999" s="6" t="n">
        <v>14</v>
      </c>
      <c r="D1999" s="25" t="n">
        <f aca="false">EDATE('Start Here'!$B$6,C1999-1)</f>
        <v>46722</v>
      </c>
      <c r="E1999" s="11" t="n">
        <f aca="false">IF(AND(C1999&gt;=Staffing!$F$39,C1999&lt;=Staffing!$G$39,1=1),IF(C1999&lt;=6,Staffing!$H$39,IF(C1999&lt;=15,Staffing!$I$39,IF(C1999&lt;=30,Staffing!$J$39,Staffing!$K$39))),0)</f>
        <v>0.5</v>
      </c>
      <c r="F1999" s="10" t="n">
        <f aca="false">E1999*Staffing!$L$39/12*(1+Assumptions!$E$10)^INT((C1999-1)/12)*1</f>
        <v>8750</v>
      </c>
      <c r="G1999" s="10" t="n">
        <f aca="false">F1999*Staffing!$N$39</f>
        <v>0</v>
      </c>
      <c r="H1999" s="10" t="n">
        <f aca="false">F1999+G1999</f>
        <v>8750</v>
      </c>
      <c r="I1999" s="10" t="n">
        <f aca="false">0</f>
        <v>0</v>
      </c>
      <c r="J1999" s="10" t="n">
        <f aca="false">MAX(0,E1999-E1998)*Staffing!$O$39</f>
        <v>0</v>
      </c>
      <c r="K1999" s="10" t="n">
        <f aca="false">MAX(0,E1999-E1998)*Staffing!$P$39</f>
        <v>0</v>
      </c>
      <c r="L1999" s="23" t="n">
        <f aca="false">ROUNDUP(E1999,0)</f>
        <v>1</v>
      </c>
    </row>
    <row r="2000" customFormat="false" ht="15" hidden="false" customHeight="false" outlineLevel="0" collapsed="false">
      <c r="A2000" s="6" t="s">
        <v>73</v>
      </c>
      <c r="B2000" s="6" t="s">
        <v>343</v>
      </c>
      <c r="C2000" s="6" t="n">
        <v>15</v>
      </c>
      <c r="D2000" s="25" t="n">
        <f aca="false">EDATE('Start Here'!$B$6,C2000-1)</f>
        <v>46753</v>
      </c>
      <c r="E2000" s="11" t="n">
        <f aca="false">IF(AND(C2000&gt;=Staffing!$F$39,C2000&lt;=Staffing!$G$39,1=1),IF(C2000&lt;=6,Staffing!$H$39,IF(C2000&lt;=15,Staffing!$I$39,IF(C2000&lt;=30,Staffing!$J$39,Staffing!$K$39))),0)</f>
        <v>0.5</v>
      </c>
      <c r="F2000" s="10" t="n">
        <f aca="false">E2000*Staffing!$L$39/12*(1+Assumptions!$E$10)^INT((C2000-1)/12)*1</f>
        <v>8750</v>
      </c>
      <c r="G2000" s="10" t="n">
        <f aca="false">F2000*Staffing!$N$39</f>
        <v>0</v>
      </c>
      <c r="H2000" s="10" t="n">
        <f aca="false">F2000+G2000</f>
        <v>8750</v>
      </c>
      <c r="I2000" s="10" t="n">
        <f aca="false">0</f>
        <v>0</v>
      </c>
      <c r="J2000" s="10" t="n">
        <f aca="false">MAX(0,E2000-E1999)*Staffing!$O$39</f>
        <v>0</v>
      </c>
      <c r="K2000" s="10" t="n">
        <f aca="false">MAX(0,E2000-E1999)*Staffing!$P$39</f>
        <v>0</v>
      </c>
      <c r="L2000" s="23" t="n">
        <f aca="false">ROUNDUP(E2000,0)</f>
        <v>1</v>
      </c>
    </row>
    <row r="2001" customFormat="false" ht="15" hidden="false" customHeight="false" outlineLevel="0" collapsed="false">
      <c r="A2001" s="6" t="s">
        <v>73</v>
      </c>
      <c r="B2001" s="6" t="s">
        <v>343</v>
      </c>
      <c r="C2001" s="6" t="n">
        <v>16</v>
      </c>
      <c r="D2001" s="25" t="n">
        <f aca="false">EDATE('Start Here'!$B$6,C2001-1)</f>
        <v>46784</v>
      </c>
      <c r="E2001" s="11" t="n">
        <f aca="false">IF(AND(C2001&gt;=Staffing!$F$39,C2001&lt;=Staffing!$G$39,1=1),IF(C2001&lt;=6,Staffing!$H$39,IF(C2001&lt;=15,Staffing!$I$39,IF(C2001&lt;=30,Staffing!$J$39,Staffing!$K$39))),0)</f>
        <v>0.75</v>
      </c>
      <c r="F2001" s="10" t="n">
        <f aca="false">E2001*Staffing!$L$39/12*(1+Assumptions!$E$10)^INT((C2001-1)/12)*1</f>
        <v>13125</v>
      </c>
      <c r="G2001" s="10" t="n">
        <f aca="false">F2001*Staffing!$N$39</f>
        <v>0</v>
      </c>
      <c r="H2001" s="10" t="n">
        <f aca="false">F2001+G2001</f>
        <v>13125</v>
      </c>
      <c r="I2001" s="10" t="n">
        <f aca="false">0</f>
        <v>0</v>
      </c>
      <c r="J2001" s="10" t="n">
        <f aca="false">MAX(0,E2001-E2000)*Staffing!$O$39</f>
        <v>0</v>
      </c>
      <c r="K2001" s="10" t="n">
        <f aca="false">MAX(0,E2001-E2000)*Staffing!$P$39</f>
        <v>875</v>
      </c>
      <c r="L2001" s="23" t="n">
        <f aca="false">ROUNDUP(E2001,0)</f>
        <v>1</v>
      </c>
    </row>
    <row r="2002" customFormat="false" ht="15" hidden="false" customHeight="false" outlineLevel="0" collapsed="false">
      <c r="A2002" s="6" t="s">
        <v>73</v>
      </c>
      <c r="B2002" s="6" t="s">
        <v>343</v>
      </c>
      <c r="C2002" s="6" t="n">
        <v>17</v>
      </c>
      <c r="D2002" s="25" t="n">
        <f aca="false">EDATE('Start Here'!$B$6,C2002-1)</f>
        <v>46813</v>
      </c>
      <c r="E2002" s="11" t="n">
        <f aca="false">IF(AND(C2002&gt;=Staffing!$F$39,C2002&lt;=Staffing!$G$39,1=1),IF(C2002&lt;=6,Staffing!$H$39,IF(C2002&lt;=15,Staffing!$I$39,IF(C2002&lt;=30,Staffing!$J$39,Staffing!$K$39))),0)</f>
        <v>0.75</v>
      </c>
      <c r="F2002" s="10" t="n">
        <f aca="false">E2002*Staffing!$L$39/12*(1+Assumptions!$E$10)^INT((C2002-1)/12)*1</f>
        <v>13125</v>
      </c>
      <c r="G2002" s="10" t="n">
        <f aca="false">F2002*Staffing!$N$39</f>
        <v>0</v>
      </c>
      <c r="H2002" s="10" t="n">
        <f aca="false">F2002+G2002</f>
        <v>13125</v>
      </c>
      <c r="I2002" s="10" t="n">
        <f aca="false">0</f>
        <v>0</v>
      </c>
      <c r="J2002" s="10" t="n">
        <f aca="false">MAX(0,E2002-E2001)*Staffing!$O$39</f>
        <v>0</v>
      </c>
      <c r="K2002" s="10" t="n">
        <f aca="false">MAX(0,E2002-E2001)*Staffing!$P$39</f>
        <v>0</v>
      </c>
      <c r="L2002" s="23" t="n">
        <f aca="false">ROUNDUP(E2002,0)</f>
        <v>1</v>
      </c>
    </row>
    <row r="2003" customFormat="false" ht="15" hidden="false" customHeight="false" outlineLevel="0" collapsed="false">
      <c r="A2003" s="6" t="s">
        <v>73</v>
      </c>
      <c r="B2003" s="6" t="s">
        <v>343</v>
      </c>
      <c r="C2003" s="6" t="n">
        <v>18</v>
      </c>
      <c r="D2003" s="25" t="n">
        <f aca="false">EDATE('Start Here'!$B$6,C2003-1)</f>
        <v>46844</v>
      </c>
      <c r="E2003" s="11" t="n">
        <f aca="false">IF(AND(C2003&gt;=Staffing!$F$39,C2003&lt;=Staffing!$G$39,1=1),IF(C2003&lt;=6,Staffing!$H$39,IF(C2003&lt;=15,Staffing!$I$39,IF(C2003&lt;=30,Staffing!$J$39,Staffing!$K$39))),0)</f>
        <v>0.75</v>
      </c>
      <c r="F2003" s="10" t="n">
        <f aca="false">E2003*Staffing!$L$39/12*(1+Assumptions!$E$10)^INT((C2003-1)/12)*1</f>
        <v>13125</v>
      </c>
      <c r="G2003" s="10" t="n">
        <f aca="false">F2003*Staffing!$N$39</f>
        <v>0</v>
      </c>
      <c r="H2003" s="10" t="n">
        <f aca="false">F2003+G2003</f>
        <v>13125</v>
      </c>
      <c r="I2003" s="10" t="n">
        <f aca="false">0</f>
        <v>0</v>
      </c>
      <c r="J2003" s="10" t="n">
        <f aca="false">MAX(0,E2003-E2002)*Staffing!$O$39</f>
        <v>0</v>
      </c>
      <c r="K2003" s="10" t="n">
        <f aca="false">MAX(0,E2003-E2002)*Staffing!$P$39</f>
        <v>0</v>
      </c>
      <c r="L2003" s="23" t="n">
        <f aca="false">ROUNDUP(E2003,0)</f>
        <v>1</v>
      </c>
    </row>
    <row r="2004" customFormat="false" ht="15" hidden="false" customHeight="false" outlineLevel="0" collapsed="false">
      <c r="A2004" s="6" t="s">
        <v>73</v>
      </c>
      <c r="B2004" s="6" t="s">
        <v>343</v>
      </c>
      <c r="C2004" s="6" t="n">
        <v>19</v>
      </c>
      <c r="D2004" s="25" t="n">
        <f aca="false">EDATE('Start Here'!$B$6,C2004-1)</f>
        <v>46874</v>
      </c>
      <c r="E2004" s="11" t="n">
        <f aca="false">IF(AND(C2004&gt;=Staffing!$F$39,C2004&lt;=Staffing!$G$39,1=1),IF(C2004&lt;=6,Staffing!$H$39,IF(C2004&lt;=15,Staffing!$I$39,IF(C2004&lt;=30,Staffing!$J$39,Staffing!$K$39))),0)</f>
        <v>0.75</v>
      </c>
      <c r="F2004" s="10" t="n">
        <f aca="false">E2004*Staffing!$L$39/12*(1+Assumptions!$E$10)^INT((C2004-1)/12)*1</f>
        <v>13125</v>
      </c>
      <c r="G2004" s="10" t="n">
        <f aca="false">F2004*Staffing!$N$39</f>
        <v>0</v>
      </c>
      <c r="H2004" s="10" t="n">
        <f aca="false">F2004+G2004</f>
        <v>13125</v>
      </c>
      <c r="I2004" s="10" t="n">
        <f aca="false">0</f>
        <v>0</v>
      </c>
      <c r="J2004" s="10" t="n">
        <f aca="false">MAX(0,E2004-E2003)*Staffing!$O$39</f>
        <v>0</v>
      </c>
      <c r="K2004" s="10" t="n">
        <f aca="false">MAX(0,E2004-E2003)*Staffing!$P$39</f>
        <v>0</v>
      </c>
      <c r="L2004" s="23" t="n">
        <f aca="false">ROUNDUP(E2004,0)</f>
        <v>1</v>
      </c>
    </row>
    <row r="2005" customFormat="false" ht="15" hidden="false" customHeight="false" outlineLevel="0" collapsed="false">
      <c r="A2005" s="6" t="s">
        <v>73</v>
      </c>
      <c r="B2005" s="6" t="s">
        <v>343</v>
      </c>
      <c r="C2005" s="6" t="n">
        <v>20</v>
      </c>
      <c r="D2005" s="25" t="n">
        <f aca="false">EDATE('Start Here'!$B$6,C2005-1)</f>
        <v>46905</v>
      </c>
      <c r="E2005" s="11" t="n">
        <f aca="false">IF(AND(C2005&gt;=Staffing!$F$39,C2005&lt;=Staffing!$G$39,1=1),IF(C2005&lt;=6,Staffing!$H$39,IF(C2005&lt;=15,Staffing!$I$39,IF(C2005&lt;=30,Staffing!$J$39,Staffing!$K$39))),0)</f>
        <v>0.75</v>
      </c>
      <c r="F2005" s="10" t="n">
        <f aca="false">E2005*Staffing!$L$39/12*(1+Assumptions!$E$10)^INT((C2005-1)/12)*1</f>
        <v>13125</v>
      </c>
      <c r="G2005" s="10" t="n">
        <f aca="false">F2005*Staffing!$N$39</f>
        <v>0</v>
      </c>
      <c r="H2005" s="10" t="n">
        <f aca="false">F2005+G2005</f>
        <v>13125</v>
      </c>
      <c r="I2005" s="10" t="n">
        <f aca="false">0</f>
        <v>0</v>
      </c>
      <c r="J2005" s="10" t="n">
        <f aca="false">MAX(0,E2005-E2004)*Staffing!$O$39</f>
        <v>0</v>
      </c>
      <c r="K2005" s="10" t="n">
        <f aca="false">MAX(0,E2005-E2004)*Staffing!$P$39</f>
        <v>0</v>
      </c>
      <c r="L2005" s="23" t="n">
        <f aca="false">ROUNDUP(E2005,0)</f>
        <v>1</v>
      </c>
    </row>
    <row r="2006" customFormat="false" ht="15" hidden="false" customHeight="false" outlineLevel="0" collapsed="false">
      <c r="A2006" s="6" t="s">
        <v>73</v>
      </c>
      <c r="B2006" s="6" t="s">
        <v>343</v>
      </c>
      <c r="C2006" s="6" t="n">
        <v>21</v>
      </c>
      <c r="D2006" s="25" t="n">
        <f aca="false">EDATE('Start Here'!$B$6,C2006-1)</f>
        <v>46935</v>
      </c>
      <c r="E2006" s="11" t="n">
        <f aca="false">IF(AND(C2006&gt;=Staffing!$F$39,C2006&lt;=Staffing!$G$39,1=1),IF(C2006&lt;=6,Staffing!$H$39,IF(C2006&lt;=15,Staffing!$I$39,IF(C2006&lt;=30,Staffing!$J$39,Staffing!$K$39))),0)</f>
        <v>0.75</v>
      </c>
      <c r="F2006" s="10" t="n">
        <f aca="false">E2006*Staffing!$L$39/12*(1+Assumptions!$E$10)^INT((C2006-1)/12)*1</f>
        <v>13125</v>
      </c>
      <c r="G2006" s="10" t="n">
        <f aca="false">F2006*Staffing!$N$39</f>
        <v>0</v>
      </c>
      <c r="H2006" s="10" t="n">
        <f aca="false">F2006+G2006</f>
        <v>13125</v>
      </c>
      <c r="I2006" s="10" t="n">
        <f aca="false">0</f>
        <v>0</v>
      </c>
      <c r="J2006" s="10" t="n">
        <f aca="false">MAX(0,E2006-E2005)*Staffing!$O$39</f>
        <v>0</v>
      </c>
      <c r="K2006" s="10" t="n">
        <f aca="false">MAX(0,E2006-E2005)*Staffing!$P$39</f>
        <v>0</v>
      </c>
      <c r="L2006" s="23" t="n">
        <f aca="false">ROUNDUP(E2006,0)</f>
        <v>1</v>
      </c>
    </row>
    <row r="2007" customFormat="false" ht="15" hidden="false" customHeight="false" outlineLevel="0" collapsed="false">
      <c r="A2007" s="6" t="s">
        <v>73</v>
      </c>
      <c r="B2007" s="6" t="s">
        <v>343</v>
      </c>
      <c r="C2007" s="6" t="n">
        <v>22</v>
      </c>
      <c r="D2007" s="25" t="n">
        <f aca="false">EDATE('Start Here'!$B$6,C2007-1)</f>
        <v>46966</v>
      </c>
      <c r="E2007" s="11" t="n">
        <f aca="false">IF(AND(C2007&gt;=Staffing!$F$39,C2007&lt;=Staffing!$G$39,1=1),IF(C2007&lt;=6,Staffing!$H$39,IF(C2007&lt;=15,Staffing!$I$39,IF(C2007&lt;=30,Staffing!$J$39,Staffing!$K$39))),0)</f>
        <v>0.75</v>
      </c>
      <c r="F2007" s="10" t="n">
        <f aca="false">E2007*Staffing!$L$39/12*(1+Assumptions!$E$10)^INT((C2007-1)/12)*1</f>
        <v>13125</v>
      </c>
      <c r="G2007" s="10" t="n">
        <f aca="false">F2007*Staffing!$N$39</f>
        <v>0</v>
      </c>
      <c r="H2007" s="10" t="n">
        <f aca="false">F2007+G2007</f>
        <v>13125</v>
      </c>
      <c r="I2007" s="10" t="n">
        <f aca="false">0</f>
        <v>0</v>
      </c>
      <c r="J2007" s="10" t="n">
        <f aca="false">MAX(0,E2007-E2006)*Staffing!$O$39</f>
        <v>0</v>
      </c>
      <c r="K2007" s="10" t="n">
        <f aca="false">MAX(0,E2007-E2006)*Staffing!$P$39</f>
        <v>0</v>
      </c>
      <c r="L2007" s="23" t="n">
        <f aca="false">ROUNDUP(E2007,0)</f>
        <v>1</v>
      </c>
    </row>
    <row r="2008" customFormat="false" ht="15" hidden="false" customHeight="false" outlineLevel="0" collapsed="false">
      <c r="A2008" s="6" t="s">
        <v>73</v>
      </c>
      <c r="B2008" s="6" t="s">
        <v>343</v>
      </c>
      <c r="C2008" s="6" t="n">
        <v>23</v>
      </c>
      <c r="D2008" s="25" t="n">
        <f aca="false">EDATE('Start Here'!$B$6,C2008-1)</f>
        <v>46997</v>
      </c>
      <c r="E2008" s="11" t="n">
        <f aca="false">IF(AND(C2008&gt;=Staffing!$F$39,C2008&lt;=Staffing!$G$39,1=1),IF(C2008&lt;=6,Staffing!$H$39,IF(C2008&lt;=15,Staffing!$I$39,IF(C2008&lt;=30,Staffing!$J$39,Staffing!$K$39))),0)</f>
        <v>0.75</v>
      </c>
      <c r="F2008" s="10" t="n">
        <f aca="false">E2008*Staffing!$L$39/12*(1+Assumptions!$E$10)^INT((C2008-1)/12)*1</f>
        <v>13125</v>
      </c>
      <c r="G2008" s="10" t="n">
        <f aca="false">F2008*Staffing!$N$39</f>
        <v>0</v>
      </c>
      <c r="H2008" s="10" t="n">
        <f aca="false">F2008+G2008</f>
        <v>13125</v>
      </c>
      <c r="I2008" s="10" t="n">
        <f aca="false">0</f>
        <v>0</v>
      </c>
      <c r="J2008" s="10" t="n">
        <f aca="false">MAX(0,E2008-E2007)*Staffing!$O$39</f>
        <v>0</v>
      </c>
      <c r="K2008" s="10" t="n">
        <f aca="false">MAX(0,E2008-E2007)*Staffing!$P$39</f>
        <v>0</v>
      </c>
      <c r="L2008" s="23" t="n">
        <f aca="false">ROUNDUP(E2008,0)</f>
        <v>1</v>
      </c>
    </row>
    <row r="2009" customFormat="false" ht="15" hidden="false" customHeight="false" outlineLevel="0" collapsed="false">
      <c r="A2009" s="6" t="s">
        <v>73</v>
      </c>
      <c r="B2009" s="6" t="s">
        <v>343</v>
      </c>
      <c r="C2009" s="6" t="n">
        <v>24</v>
      </c>
      <c r="D2009" s="25" t="n">
        <f aca="false">EDATE('Start Here'!$B$6,C2009-1)</f>
        <v>47027</v>
      </c>
      <c r="E2009" s="11" t="n">
        <f aca="false">IF(AND(C2009&gt;=Staffing!$F$39,C2009&lt;=Staffing!$G$39,1=1),IF(C2009&lt;=6,Staffing!$H$39,IF(C2009&lt;=15,Staffing!$I$39,IF(C2009&lt;=30,Staffing!$J$39,Staffing!$K$39))),0)</f>
        <v>0.75</v>
      </c>
      <c r="F2009" s="10" t="n">
        <f aca="false">E2009*Staffing!$L$39/12*(1+Assumptions!$E$10)^INT((C2009-1)/12)*1</f>
        <v>13125</v>
      </c>
      <c r="G2009" s="10" t="n">
        <f aca="false">F2009*Staffing!$N$39</f>
        <v>0</v>
      </c>
      <c r="H2009" s="10" t="n">
        <f aca="false">F2009+G2009</f>
        <v>13125</v>
      </c>
      <c r="I2009" s="10" t="n">
        <f aca="false">0</f>
        <v>0</v>
      </c>
      <c r="J2009" s="10" t="n">
        <f aca="false">MAX(0,E2009-E2008)*Staffing!$O$39</f>
        <v>0</v>
      </c>
      <c r="K2009" s="10" t="n">
        <f aca="false">MAX(0,E2009-E2008)*Staffing!$P$39</f>
        <v>0</v>
      </c>
      <c r="L2009" s="23" t="n">
        <f aca="false">ROUNDUP(E2009,0)</f>
        <v>1</v>
      </c>
    </row>
    <row r="2010" customFormat="false" ht="15" hidden="false" customHeight="false" outlineLevel="0" collapsed="false">
      <c r="A2010" s="6" t="s">
        <v>73</v>
      </c>
      <c r="B2010" s="6" t="s">
        <v>343</v>
      </c>
      <c r="C2010" s="6" t="n">
        <v>25</v>
      </c>
      <c r="D2010" s="25" t="n">
        <f aca="false">EDATE('Start Here'!$B$6,C2010-1)</f>
        <v>47058</v>
      </c>
      <c r="E2010" s="11" t="n">
        <f aca="false">IF(AND(C2010&gt;=Staffing!$F$39,C2010&lt;=Staffing!$G$39,1=1),IF(C2010&lt;=6,Staffing!$H$39,IF(C2010&lt;=15,Staffing!$I$39,IF(C2010&lt;=30,Staffing!$J$39,Staffing!$K$39))),0)</f>
        <v>0.75</v>
      </c>
      <c r="F2010" s="10" t="n">
        <f aca="false">E2010*Staffing!$L$39/12*(1+Assumptions!$E$10)^INT((C2010-1)/12)*1</f>
        <v>13781.25</v>
      </c>
      <c r="G2010" s="10" t="n">
        <f aca="false">F2010*Staffing!$N$39</f>
        <v>0</v>
      </c>
      <c r="H2010" s="10" t="n">
        <f aca="false">F2010+G2010</f>
        <v>13781.25</v>
      </c>
      <c r="I2010" s="10" t="n">
        <f aca="false">0</f>
        <v>0</v>
      </c>
      <c r="J2010" s="10" t="n">
        <f aca="false">MAX(0,E2010-E2009)*Staffing!$O$39</f>
        <v>0</v>
      </c>
      <c r="K2010" s="10" t="n">
        <f aca="false">MAX(0,E2010-E2009)*Staffing!$P$39</f>
        <v>0</v>
      </c>
      <c r="L2010" s="23" t="n">
        <f aca="false">ROUNDUP(E2010,0)</f>
        <v>1</v>
      </c>
    </row>
    <row r="2011" customFormat="false" ht="15" hidden="false" customHeight="false" outlineLevel="0" collapsed="false">
      <c r="A2011" s="6" t="s">
        <v>73</v>
      </c>
      <c r="B2011" s="6" t="s">
        <v>343</v>
      </c>
      <c r="C2011" s="6" t="n">
        <v>26</v>
      </c>
      <c r="D2011" s="25" t="n">
        <f aca="false">EDATE('Start Here'!$B$6,C2011-1)</f>
        <v>47088</v>
      </c>
      <c r="E2011" s="11" t="n">
        <f aca="false">IF(AND(C2011&gt;=Staffing!$F$39,C2011&lt;=Staffing!$G$39,1=1),IF(C2011&lt;=6,Staffing!$H$39,IF(C2011&lt;=15,Staffing!$I$39,IF(C2011&lt;=30,Staffing!$J$39,Staffing!$K$39))),0)</f>
        <v>0.75</v>
      </c>
      <c r="F2011" s="10" t="n">
        <f aca="false">E2011*Staffing!$L$39/12*(1+Assumptions!$E$10)^INT((C2011-1)/12)*1</f>
        <v>13781.25</v>
      </c>
      <c r="G2011" s="10" t="n">
        <f aca="false">F2011*Staffing!$N$39</f>
        <v>0</v>
      </c>
      <c r="H2011" s="10" t="n">
        <f aca="false">F2011+G2011</f>
        <v>13781.25</v>
      </c>
      <c r="I2011" s="10" t="n">
        <f aca="false">0</f>
        <v>0</v>
      </c>
      <c r="J2011" s="10" t="n">
        <f aca="false">MAX(0,E2011-E2010)*Staffing!$O$39</f>
        <v>0</v>
      </c>
      <c r="K2011" s="10" t="n">
        <f aca="false">MAX(0,E2011-E2010)*Staffing!$P$39</f>
        <v>0</v>
      </c>
      <c r="L2011" s="23" t="n">
        <f aca="false">ROUNDUP(E2011,0)</f>
        <v>1</v>
      </c>
    </row>
    <row r="2012" customFormat="false" ht="15" hidden="false" customHeight="false" outlineLevel="0" collapsed="false">
      <c r="A2012" s="6" t="s">
        <v>73</v>
      </c>
      <c r="B2012" s="6" t="s">
        <v>343</v>
      </c>
      <c r="C2012" s="6" t="n">
        <v>27</v>
      </c>
      <c r="D2012" s="25" t="n">
        <f aca="false">EDATE('Start Here'!$B$6,C2012-1)</f>
        <v>47119</v>
      </c>
      <c r="E2012" s="11" t="n">
        <f aca="false">IF(AND(C2012&gt;=Staffing!$F$39,C2012&lt;=Staffing!$G$39,1=1),IF(C2012&lt;=6,Staffing!$H$39,IF(C2012&lt;=15,Staffing!$I$39,IF(C2012&lt;=30,Staffing!$J$39,Staffing!$K$39))),0)</f>
        <v>0.75</v>
      </c>
      <c r="F2012" s="10" t="n">
        <f aca="false">E2012*Staffing!$L$39/12*(1+Assumptions!$E$10)^INT((C2012-1)/12)*1</f>
        <v>13781.25</v>
      </c>
      <c r="G2012" s="10" t="n">
        <f aca="false">F2012*Staffing!$N$39</f>
        <v>0</v>
      </c>
      <c r="H2012" s="10" t="n">
        <f aca="false">F2012+G2012</f>
        <v>13781.25</v>
      </c>
      <c r="I2012" s="10" t="n">
        <f aca="false">0</f>
        <v>0</v>
      </c>
      <c r="J2012" s="10" t="n">
        <f aca="false">MAX(0,E2012-E2011)*Staffing!$O$39</f>
        <v>0</v>
      </c>
      <c r="K2012" s="10" t="n">
        <f aca="false">MAX(0,E2012-E2011)*Staffing!$P$39</f>
        <v>0</v>
      </c>
      <c r="L2012" s="23" t="n">
        <f aca="false">ROUNDUP(E2012,0)</f>
        <v>1</v>
      </c>
    </row>
    <row r="2013" customFormat="false" ht="15" hidden="false" customHeight="false" outlineLevel="0" collapsed="false">
      <c r="A2013" s="6" t="s">
        <v>73</v>
      </c>
      <c r="B2013" s="6" t="s">
        <v>343</v>
      </c>
      <c r="C2013" s="6" t="n">
        <v>28</v>
      </c>
      <c r="D2013" s="25" t="n">
        <f aca="false">EDATE('Start Here'!$B$6,C2013-1)</f>
        <v>47150</v>
      </c>
      <c r="E2013" s="11" t="n">
        <f aca="false">IF(AND(C2013&gt;=Staffing!$F$39,C2013&lt;=Staffing!$G$39,1=1),IF(C2013&lt;=6,Staffing!$H$39,IF(C2013&lt;=15,Staffing!$I$39,IF(C2013&lt;=30,Staffing!$J$39,Staffing!$K$39))),0)</f>
        <v>0.75</v>
      </c>
      <c r="F2013" s="10" t="n">
        <f aca="false">E2013*Staffing!$L$39/12*(1+Assumptions!$E$10)^INT((C2013-1)/12)*1</f>
        <v>13781.25</v>
      </c>
      <c r="G2013" s="10" t="n">
        <f aca="false">F2013*Staffing!$N$39</f>
        <v>0</v>
      </c>
      <c r="H2013" s="10" t="n">
        <f aca="false">F2013+G2013</f>
        <v>13781.25</v>
      </c>
      <c r="I2013" s="10" t="n">
        <f aca="false">0</f>
        <v>0</v>
      </c>
      <c r="J2013" s="10" t="n">
        <f aca="false">MAX(0,E2013-E2012)*Staffing!$O$39</f>
        <v>0</v>
      </c>
      <c r="K2013" s="10" t="n">
        <f aca="false">MAX(0,E2013-E2012)*Staffing!$P$39</f>
        <v>0</v>
      </c>
      <c r="L2013" s="23" t="n">
        <f aca="false">ROUNDUP(E2013,0)</f>
        <v>1</v>
      </c>
    </row>
    <row r="2014" customFormat="false" ht="15" hidden="false" customHeight="false" outlineLevel="0" collapsed="false">
      <c r="A2014" s="6" t="s">
        <v>73</v>
      </c>
      <c r="B2014" s="6" t="s">
        <v>343</v>
      </c>
      <c r="C2014" s="6" t="n">
        <v>29</v>
      </c>
      <c r="D2014" s="25" t="n">
        <f aca="false">EDATE('Start Here'!$B$6,C2014-1)</f>
        <v>47178</v>
      </c>
      <c r="E2014" s="11" t="n">
        <f aca="false">IF(AND(C2014&gt;=Staffing!$F$39,C2014&lt;=Staffing!$G$39,1=1),IF(C2014&lt;=6,Staffing!$H$39,IF(C2014&lt;=15,Staffing!$I$39,IF(C2014&lt;=30,Staffing!$J$39,Staffing!$K$39))),0)</f>
        <v>0.75</v>
      </c>
      <c r="F2014" s="10" t="n">
        <f aca="false">E2014*Staffing!$L$39/12*(1+Assumptions!$E$10)^INT((C2014-1)/12)*1</f>
        <v>13781.25</v>
      </c>
      <c r="G2014" s="10" t="n">
        <f aca="false">F2014*Staffing!$N$39</f>
        <v>0</v>
      </c>
      <c r="H2014" s="10" t="n">
        <f aca="false">F2014+G2014</f>
        <v>13781.25</v>
      </c>
      <c r="I2014" s="10" t="n">
        <f aca="false">0</f>
        <v>0</v>
      </c>
      <c r="J2014" s="10" t="n">
        <f aca="false">MAX(0,E2014-E2013)*Staffing!$O$39</f>
        <v>0</v>
      </c>
      <c r="K2014" s="10" t="n">
        <f aca="false">MAX(0,E2014-E2013)*Staffing!$P$39</f>
        <v>0</v>
      </c>
      <c r="L2014" s="23" t="n">
        <f aca="false">ROUNDUP(E2014,0)</f>
        <v>1</v>
      </c>
    </row>
    <row r="2015" customFormat="false" ht="15" hidden="false" customHeight="false" outlineLevel="0" collapsed="false">
      <c r="A2015" s="6" t="s">
        <v>73</v>
      </c>
      <c r="B2015" s="6" t="s">
        <v>343</v>
      </c>
      <c r="C2015" s="6" t="n">
        <v>30</v>
      </c>
      <c r="D2015" s="25" t="n">
        <f aca="false">EDATE('Start Here'!$B$6,C2015-1)</f>
        <v>47209</v>
      </c>
      <c r="E2015" s="11" t="n">
        <f aca="false">IF(AND(C2015&gt;=Staffing!$F$39,C2015&lt;=Staffing!$G$39,1=1),IF(C2015&lt;=6,Staffing!$H$39,IF(C2015&lt;=15,Staffing!$I$39,IF(C2015&lt;=30,Staffing!$J$39,Staffing!$K$39))),0)</f>
        <v>0.75</v>
      </c>
      <c r="F2015" s="10" t="n">
        <f aca="false">E2015*Staffing!$L$39/12*(1+Assumptions!$E$10)^INT((C2015-1)/12)*1</f>
        <v>13781.25</v>
      </c>
      <c r="G2015" s="10" t="n">
        <f aca="false">F2015*Staffing!$N$39</f>
        <v>0</v>
      </c>
      <c r="H2015" s="10" t="n">
        <f aca="false">F2015+G2015</f>
        <v>13781.25</v>
      </c>
      <c r="I2015" s="10" t="n">
        <f aca="false">0</f>
        <v>0</v>
      </c>
      <c r="J2015" s="10" t="n">
        <f aca="false">MAX(0,E2015-E2014)*Staffing!$O$39</f>
        <v>0</v>
      </c>
      <c r="K2015" s="10" t="n">
        <f aca="false">MAX(0,E2015-E2014)*Staffing!$P$39</f>
        <v>0</v>
      </c>
      <c r="L2015" s="23" t="n">
        <f aca="false">ROUNDUP(E2015,0)</f>
        <v>1</v>
      </c>
    </row>
    <row r="2016" customFormat="false" ht="15" hidden="false" customHeight="false" outlineLevel="0" collapsed="false">
      <c r="A2016" s="6" t="s">
        <v>73</v>
      </c>
      <c r="B2016" s="6" t="s">
        <v>343</v>
      </c>
      <c r="C2016" s="6" t="n">
        <v>31</v>
      </c>
      <c r="D2016" s="25" t="n">
        <f aca="false">EDATE('Start Here'!$B$6,C2016-1)</f>
        <v>47239</v>
      </c>
      <c r="E2016" s="11" t="n">
        <f aca="false">IF(AND(C2016&gt;=Staffing!$F$39,C2016&lt;=Staffing!$G$39,1=1),IF(C2016&lt;=6,Staffing!$H$39,IF(C2016&lt;=15,Staffing!$I$39,IF(C2016&lt;=30,Staffing!$J$39,Staffing!$K$39))),0)</f>
        <v>1</v>
      </c>
      <c r="F2016" s="10" t="n">
        <f aca="false">E2016*Staffing!$L$39/12*(1+Assumptions!$E$10)^INT((C2016-1)/12)*1</f>
        <v>18375</v>
      </c>
      <c r="G2016" s="10" t="n">
        <f aca="false">F2016*Staffing!$N$39</f>
        <v>0</v>
      </c>
      <c r="H2016" s="10" t="n">
        <f aca="false">F2016+G2016</f>
        <v>18375</v>
      </c>
      <c r="I2016" s="10" t="n">
        <f aca="false">0</f>
        <v>0</v>
      </c>
      <c r="J2016" s="10" t="n">
        <f aca="false">MAX(0,E2016-E2015)*Staffing!$O$39</f>
        <v>0</v>
      </c>
      <c r="K2016" s="10" t="n">
        <f aca="false">MAX(0,E2016-E2015)*Staffing!$P$39</f>
        <v>875</v>
      </c>
      <c r="L2016" s="23" t="n">
        <f aca="false">ROUNDUP(E2016,0)</f>
        <v>1</v>
      </c>
    </row>
    <row r="2017" customFormat="false" ht="15" hidden="false" customHeight="false" outlineLevel="0" collapsed="false">
      <c r="A2017" s="6" t="s">
        <v>73</v>
      </c>
      <c r="B2017" s="6" t="s">
        <v>343</v>
      </c>
      <c r="C2017" s="6" t="n">
        <v>32</v>
      </c>
      <c r="D2017" s="25" t="n">
        <f aca="false">EDATE('Start Here'!$B$6,C2017-1)</f>
        <v>47270</v>
      </c>
      <c r="E2017" s="11" t="n">
        <f aca="false">IF(AND(C2017&gt;=Staffing!$F$39,C2017&lt;=Staffing!$G$39,1=1),IF(C2017&lt;=6,Staffing!$H$39,IF(C2017&lt;=15,Staffing!$I$39,IF(C2017&lt;=30,Staffing!$J$39,Staffing!$K$39))),0)</f>
        <v>1</v>
      </c>
      <c r="F2017" s="10" t="n">
        <f aca="false">E2017*Staffing!$L$39/12*(1+Assumptions!$E$10)^INT((C2017-1)/12)*1</f>
        <v>18375</v>
      </c>
      <c r="G2017" s="10" t="n">
        <f aca="false">F2017*Staffing!$N$39</f>
        <v>0</v>
      </c>
      <c r="H2017" s="10" t="n">
        <f aca="false">F2017+G2017</f>
        <v>18375</v>
      </c>
      <c r="I2017" s="10" t="n">
        <f aca="false">0</f>
        <v>0</v>
      </c>
      <c r="J2017" s="10" t="n">
        <f aca="false">MAX(0,E2017-E2016)*Staffing!$O$39</f>
        <v>0</v>
      </c>
      <c r="K2017" s="10" t="n">
        <f aca="false">MAX(0,E2017-E2016)*Staffing!$P$39</f>
        <v>0</v>
      </c>
      <c r="L2017" s="23" t="n">
        <f aca="false">ROUNDUP(E2017,0)</f>
        <v>1</v>
      </c>
    </row>
    <row r="2018" customFormat="false" ht="15" hidden="false" customHeight="false" outlineLevel="0" collapsed="false">
      <c r="A2018" s="6" t="s">
        <v>73</v>
      </c>
      <c r="B2018" s="6" t="s">
        <v>343</v>
      </c>
      <c r="C2018" s="6" t="n">
        <v>33</v>
      </c>
      <c r="D2018" s="25" t="n">
        <f aca="false">EDATE('Start Here'!$B$6,C2018-1)</f>
        <v>47300</v>
      </c>
      <c r="E2018" s="11" t="n">
        <f aca="false">IF(AND(C2018&gt;=Staffing!$F$39,C2018&lt;=Staffing!$G$39,1=1),IF(C2018&lt;=6,Staffing!$H$39,IF(C2018&lt;=15,Staffing!$I$39,IF(C2018&lt;=30,Staffing!$J$39,Staffing!$K$39))),0)</f>
        <v>1</v>
      </c>
      <c r="F2018" s="10" t="n">
        <f aca="false">E2018*Staffing!$L$39/12*(1+Assumptions!$E$10)^INT((C2018-1)/12)*1</f>
        <v>18375</v>
      </c>
      <c r="G2018" s="10" t="n">
        <f aca="false">F2018*Staffing!$N$39</f>
        <v>0</v>
      </c>
      <c r="H2018" s="10" t="n">
        <f aca="false">F2018+G2018</f>
        <v>18375</v>
      </c>
      <c r="I2018" s="10" t="n">
        <f aca="false">0</f>
        <v>0</v>
      </c>
      <c r="J2018" s="10" t="n">
        <f aca="false">MAX(0,E2018-E2017)*Staffing!$O$39</f>
        <v>0</v>
      </c>
      <c r="K2018" s="10" t="n">
        <f aca="false">MAX(0,E2018-E2017)*Staffing!$P$39</f>
        <v>0</v>
      </c>
      <c r="L2018" s="23" t="n">
        <f aca="false">ROUNDUP(E2018,0)</f>
        <v>1</v>
      </c>
    </row>
    <row r="2019" customFormat="false" ht="15" hidden="false" customHeight="false" outlineLevel="0" collapsed="false">
      <c r="A2019" s="6" t="s">
        <v>73</v>
      </c>
      <c r="B2019" s="6" t="s">
        <v>343</v>
      </c>
      <c r="C2019" s="6" t="n">
        <v>34</v>
      </c>
      <c r="D2019" s="25" t="n">
        <f aca="false">EDATE('Start Here'!$B$6,C2019-1)</f>
        <v>47331</v>
      </c>
      <c r="E2019" s="11" t="n">
        <f aca="false">IF(AND(C2019&gt;=Staffing!$F$39,C2019&lt;=Staffing!$G$39,1=1),IF(C2019&lt;=6,Staffing!$H$39,IF(C2019&lt;=15,Staffing!$I$39,IF(C2019&lt;=30,Staffing!$J$39,Staffing!$K$39))),0)</f>
        <v>1</v>
      </c>
      <c r="F2019" s="10" t="n">
        <f aca="false">E2019*Staffing!$L$39/12*(1+Assumptions!$E$10)^INT((C2019-1)/12)*1</f>
        <v>18375</v>
      </c>
      <c r="G2019" s="10" t="n">
        <f aca="false">F2019*Staffing!$N$39</f>
        <v>0</v>
      </c>
      <c r="H2019" s="10" t="n">
        <f aca="false">F2019+G2019</f>
        <v>18375</v>
      </c>
      <c r="I2019" s="10" t="n">
        <f aca="false">0</f>
        <v>0</v>
      </c>
      <c r="J2019" s="10" t="n">
        <f aca="false">MAX(0,E2019-E2018)*Staffing!$O$39</f>
        <v>0</v>
      </c>
      <c r="K2019" s="10" t="n">
        <f aca="false">MAX(0,E2019-E2018)*Staffing!$P$39</f>
        <v>0</v>
      </c>
      <c r="L2019" s="23" t="n">
        <f aca="false">ROUNDUP(E2019,0)</f>
        <v>1</v>
      </c>
    </row>
    <row r="2020" customFormat="false" ht="15" hidden="false" customHeight="false" outlineLevel="0" collapsed="false">
      <c r="A2020" s="6" t="s">
        <v>73</v>
      </c>
      <c r="B2020" s="6" t="s">
        <v>343</v>
      </c>
      <c r="C2020" s="6" t="n">
        <v>35</v>
      </c>
      <c r="D2020" s="25" t="n">
        <f aca="false">EDATE('Start Here'!$B$6,C2020-1)</f>
        <v>47362</v>
      </c>
      <c r="E2020" s="11" t="n">
        <f aca="false">IF(AND(C2020&gt;=Staffing!$F$39,C2020&lt;=Staffing!$G$39,1=1),IF(C2020&lt;=6,Staffing!$H$39,IF(C2020&lt;=15,Staffing!$I$39,IF(C2020&lt;=30,Staffing!$J$39,Staffing!$K$39))),0)</f>
        <v>1</v>
      </c>
      <c r="F2020" s="10" t="n">
        <f aca="false">E2020*Staffing!$L$39/12*(1+Assumptions!$E$10)^INT((C2020-1)/12)*1</f>
        <v>18375</v>
      </c>
      <c r="G2020" s="10" t="n">
        <f aca="false">F2020*Staffing!$N$39</f>
        <v>0</v>
      </c>
      <c r="H2020" s="10" t="n">
        <f aca="false">F2020+G2020</f>
        <v>18375</v>
      </c>
      <c r="I2020" s="10" t="n">
        <f aca="false">0</f>
        <v>0</v>
      </c>
      <c r="J2020" s="10" t="n">
        <f aca="false">MAX(0,E2020-E2019)*Staffing!$O$39</f>
        <v>0</v>
      </c>
      <c r="K2020" s="10" t="n">
        <f aca="false">MAX(0,E2020-E2019)*Staffing!$P$39</f>
        <v>0</v>
      </c>
      <c r="L2020" s="23" t="n">
        <f aca="false">ROUNDUP(E2020,0)</f>
        <v>1</v>
      </c>
    </row>
    <row r="2021" customFormat="false" ht="15" hidden="false" customHeight="false" outlineLevel="0" collapsed="false">
      <c r="A2021" s="6" t="s">
        <v>73</v>
      </c>
      <c r="B2021" s="6" t="s">
        <v>343</v>
      </c>
      <c r="C2021" s="6" t="n">
        <v>36</v>
      </c>
      <c r="D2021" s="25" t="n">
        <f aca="false">EDATE('Start Here'!$B$6,C2021-1)</f>
        <v>47392</v>
      </c>
      <c r="E2021" s="11" t="n">
        <f aca="false">IF(AND(C2021&gt;=Staffing!$F$39,C2021&lt;=Staffing!$G$39,1=1),IF(C2021&lt;=6,Staffing!$H$39,IF(C2021&lt;=15,Staffing!$I$39,IF(C2021&lt;=30,Staffing!$J$39,Staffing!$K$39))),0)</f>
        <v>1</v>
      </c>
      <c r="F2021" s="10" t="n">
        <f aca="false">E2021*Staffing!$L$39/12*(1+Assumptions!$E$10)^INT((C2021-1)/12)*1</f>
        <v>18375</v>
      </c>
      <c r="G2021" s="10" t="n">
        <f aca="false">F2021*Staffing!$N$39</f>
        <v>0</v>
      </c>
      <c r="H2021" s="10" t="n">
        <f aca="false">F2021+G2021</f>
        <v>18375</v>
      </c>
      <c r="I2021" s="10" t="n">
        <f aca="false">0</f>
        <v>0</v>
      </c>
      <c r="J2021" s="10" t="n">
        <f aca="false">MAX(0,E2021-E2020)*Staffing!$O$39</f>
        <v>0</v>
      </c>
      <c r="K2021" s="10" t="n">
        <f aca="false">MAX(0,E2021-E2020)*Staffing!$P$39</f>
        <v>0</v>
      </c>
      <c r="L2021" s="23" t="n">
        <f aca="false">ROUNDUP(E2021,0)</f>
        <v>1</v>
      </c>
    </row>
    <row r="2022" customFormat="false" ht="15" hidden="false" customHeight="false" outlineLevel="0" collapsed="false">
      <c r="A2022" s="6" t="s">
        <v>73</v>
      </c>
      <c r="B2022" s="6" t="s">
        <v>343</v>
      </c>
      <c r="C2022" s="6" t="n">
        <v>37</v>
      </c>
      <c r="D2022" s="25" t="n">
        <f aca="false">EDATE('Start Here'!$B$6,C2022-1)</f>
        <v>47423</v>
      </c>
      <c r="E2022" s="11" t="n">
        <f aca="false">IF(AND(C2022&gt;=Staffing!$F$39,C2022&lt;=Staffing!$G$39,1=1),IF(C2022&lt;=6,Staffing!$H$39,IF(C2022&lt;=15,Staffing!$I$39,IF(C2022&lt;=30,Staffing!$J$39,Staffing!$K$39))),0)</f>
        <v>1</v>
      </c>
      <c r="F2022" s="10" t="n">
        <f aca="false">E2022*Staffing!$L$39/12*(1+Assumptions!$E$10)^INT((C2022-1)/12)*1</f>
        <v>19293.75</v>
      </c>
      <c r="G2022" s="10" t="n">
        <f aca="false">F2022*Staffing!$N$39</f>
        <v>0</v>
      </c>
      <c r="H2022" s="10" t="n">
        <f aca="false">F2022+G2022</f>
        <v>19293.75</v>
      </c>
      <c r="I2022" s="10" t="n">
        <f aca="false">0</f>
        <v>0</v>
      </c>
      <c r="J2022" s="10" t="n">
        <f aca="false">MAX(0,E2022-E2021)*Staffing!$O$39</f>
        <v>0</v>
      </c>
      <c r="K2022" s="10" t="n">
        <f aca="false">MAX(0,E2022-E2021)*Staffing!$P$39</f>
        <v>0</v>
      </c>
      <c r="L2022" s="23" t="n">
        <f aca="false">ROUNDUP(E2022,0)</f>
        <v>1</v>
      </c>
    </row>
    <row r="2023" customFormat="false" ht="15" hidden="false" customHeight="false" outlineLevel="0" collapsed="false">
      <c r="A2023" s="6" t="s">
        <v>73</v>
      </c>
      <c r="B2023" s="6" t="s">
        <v>343</v>
      </c>
      <c r="C2023" s="6" t="n">
        <v>38</v>
      </c>
      <c r="D2023" s="25" t="n">
        <f aca="false">EDATE('Start Here'!$B$6,C2023-1)</f>
        <v>47453</v>
      </c>
      <c r="E2023" s="11" t="n">
        <f aca="false">IF(AND(C2023&gt;=Staffing!$F$39,C2023&lt;=Staffing!$G$39,1=1),IF(C2023&lt;=6,Staffing!$H$39,IF(C2023&lt;=15,Staffing!$I$39,IF(C2023&lt;=30,Staffing!$J$39,Staffing!$K$39))),0)</f>
        <v>1</v>
      </c>
      <c r="F2023" s="10" t="n">
        <f aca="false">E2023*Staffing!$L$39/12*(1+Assumptions!$E$10)^INT((C2023-1)/12)*1</f>
        <v>19293.75</v>
      </c>
      <c r="G2023" s="10" t="n">
        <f aca="false">F2023*Staffing!$N$39</f>
        <v>0</v>
      </c>
      <c r="H2023" s="10" t="n">
        <f aca="false">F2023+G2023</f>
        <v>19293.75</v>
      </c>
      <c r="I2023" s="10" t="n">
        <f aca="false">0</f>
        <v>0</v>
      </c>
      <c r="J2023" s="10" t="n">
        <f aca="false">MAX(0,E2023-E2022)*Staffing!$O$39</f>
        <v>0</v>
      </c>
      <c r="K2023" s="10" t="n">
        <f aca="false">MAX(0,E2023-E2022)*Staffing!$P$39</f>
        <v>0</v>
      </c>
      <c r="L2023" s="23" t="n">
        <f aca="false">ROUNDUP(E2023,0)</f>
        <v>1</v>
      </c>
    </row>
    <row r="2024" customFormat="false" ht="15" hidden="false" customHeight="false" outlineLevel="0" collapsed="false">
      <c r="A2024" s="6" t="s">
        <v>73</v>
      </c>
      <c r="B2024" s="6" t="s">
        <v>343</v>
      </c>
      <c r="C2024" s="6" t="n">
        <v>39</v>
      </c>
      <c r="D2024" s="25" t="n">
        <f aca="false">EDATE('Start Here'!$B$6,C2024-1)</f>
        <v>47484</v>
      </c>
      <c r="E2024" s="11" t="n">
        <f aca="false">IF(AND(C2024&gt;=Staffing!$F$39,C2024&lt;=Staffing!$G$39,1=1),IF(C2024&lt;=6,Staffing!$H$39,IF(C2024&lt;=15,Staffing!$I$39,IF(C2024&lt;=30,Staffing!$J$39,Staffing!$K$39))),0)</f>
        <v>1</v>
      </c>
      <c r="F2024" s="10" t="n">
        <f aca="false">E2024*Staffing!$L$39/12*(1+Assumptions!$E$10)^INT((C2024-1)/12)*1</f>
        <v>19293.75</v>
      </c>
      <c r="G2024" s="10" t="n">
        <f aca="false">F2024*Staffing!$N$39</f>
        <v>0</v>
      </c>
      <c r="H2024" s="10" t="n">
        <f aca="false">F2024+G2024</f>
        <v>19293.75</v>
      </c>
      <c r="I2024" s="10" t="n">
        <f aca="false">0</f>
        <v>0</v>
      </c>
      <c r="J2024" s="10" t="n">
        <f aca="false">MAX(0,E2024-E2023)*Staffing!$O$39</f>
        <v>0</v>
      </c>
      <c r="K2024" s="10" t="n">
        <f aca="false">MAX(0,E2024-E2023)*Staffing!$P$39</f>
        <v>0</v>
      </c>
      <c r="L2024" s="23" t="n">
        <f aca="false">ROUNDUP(E2024,0)</f>
        <v>1</v>
      </c>
    </row>
    <row r="2025" customFormat="false" ht="15" hidden="false" customHeight="false" outlineLevel="0" collapsed="false">
      <c r="A2025" s="6" t="s">
        <v>73</v>
      </c>
      <c r="B2025" s="6" t="s">
        <v>343</v>
      </c>
      <c r="C2025" s="6" t="n">
        <v>40</v>
      </c>
      <c r="D2025" s="25" t="n">
        <f aca="false">EDATE('Start Here'!$B$6,C2025-1)</f>
        <v>47515</v>
      </c>
      <c r="E2025" s="11" t="n">
        <f aca="false">IF(AND(C2025&gt;=Staffing!$F$39,C2025&lt;=Staffing!$G$39,1=1),IF(C2025&lt;=6,Staffing!$H$39,IF(C2025&lt;=15,Staffing!$I$39,IF(C2025&lt;=30,Staffing!$J$39,Staffing!$K$39))),0)</f>
        <v>1</v>
      </c>
      <c r="F2025" s="10" t="n">
        <f aca="false">E2025*Staffing!$L$39/12*(1+Assumptions!$E$10)^INT((C2025-1)/12)*1</f>
        <v>19293.75</v>
      </c>
      <c r="G2025" s="10" t="n">
        <f aca="false">F2025*Staffing!$N$39</f>
        <v>0</v>
      </c>
      <c r="H2025" s="10" t="n">
        <f aca="false">F2025+G2025</f>
        <v>19293.75</v>
      </c>
      <c r="I2025" s="10" t="n">
        <f aca="false">0</f>
        <v>0</v>
      </c>
      <c r="J2025" s="10" t="n">
        <f aca="false">MAX(0,E2025-E2024)*Staffing!$O$39</f>
        <v>0</v>
      </c>
      <c r="K2025" s="10" t="n">
        <f aca="false">MAX(0,E2025-E2024)*Staffing!$P$39</f>
        <v>0</v>
      </c>
      <c r="L2025" s="23" t="n">
        <f aca="false">ROUNDUP(E2025,0)</f>
        <v>1</v>
      </c>
    </row>
    <row r="2026" customFormat="false" ht="15" hidden="false" customHeight="false" outlineLevel="0" collapsed="false">
      <c r="A2026" s="6" t="s">
        <v>73</v>
      </c>
      <c r="B2026" s="6" t="s">
        <v>343</v>
      </c>
      <c r="C2026" s="6" t="n">
        <v>41</v>
      </c>
      <c r="D2026" s="25" t="n">
        <f aca="false">EDATE('Start Here'!$B$6,C2026-1)</f>
        <v>47543</v>
      </c>
      <c r="E2026" s="11" t="n">
        <f aca="false">IF(AND(C2026&gt;=Staffing!$F$39,C2026&lt;=Staffing!$G$39,1=1),IF(C2026&lt;=6,Staffing!$H$39,IF(C2026&lt;=15,Staffing!$I$39,IF(C2026&lt;=30,Staffing!$J$39,Staffing!$K$39))),0)</f>
        <v>1</v>
      </c>
      <c r="F2026" s="10" t="n">
        <f aca="false">E2026*Staffing!$L$39/12*(1+Assumptions!$E$10)^INT((C2026-1)/12)*1</f>
        <v>19293.75</v>
      </c>
      <c r="G2026" s="10" t="n">
        <f aca="false">F2026*Staffing!$N$39</f>
        <v>0</v>
      </c>
      <c r="H2026" s="10" t="n">
        <f aca="false">F2026+G2026</f>
        <v>19293.75</v>
      </c>
      <c r="I2026" s="10" t="n">
        <f aca="false">0</f>
        <v>0</v>
      </c>
      <c r="J2026" s="10" t="n">
        <f aca="false">MAX(0,E2026-E2025)*Staffing!$O$39</f>
        <v>0</v>
      </c>
      <c r="K2026" s="10" t="n">
        <f aca="false">MAX(0,E2026-E2025)*Staffing!$P$39</f>
        <v>0</v>
      </c>
      <c r="L2026" s="23" t="n">
        <f aca="false">ROUNDUP(E2026,0)</f>
        <v>1</v>
      </c>
    </row>
    <row r="2027" customFormat="false" ht="15" hidden="false" customHeight="false" outlineLevel="0" collapsed="false">
      <c r="A2027" s="6" t="s">
        <v>73</v>
      </c>
      <c r="B2027" s="6" t="s">
        <v>343</v>
      </c>
      <c r="C2027" s="6" t="n">
        <v>42</v>
      </c>
      <c r="D2027" s="25" t="n">
        <f aca="false">EDATE('Start Here'!$B$6,C2027-1)</f>
        <v>47574</v>
      </c>
      <c r="E2027" s="11" t="n">
        <f aca="false">IF(AND(C2027&gt;=Staffing!$F$39,C2027&lt;=Staffing!$G$39,1=1),IF(C2027&lt;=6,Staffing!$H$39,IF(C2027&lt;=15,Staffing!$I$39,IF(C2027&lt;=30,Staffing!$J$39,Staffing!$K$39))),0)</f>
        <v>1</v>
      </c>
      <c r="F2027" s="10" t="n">
        <f aca="false">E2027*Staffing!$L$39/12*(1+Assumptions!$E$10)^INT((C2027-1)/12)*1</f>
        <v>19293.75</v>
      </c>
      <c r="G2027" s="10" t="n">
        <f aca="false">F2027*Staffing!$N$39</f>
        <v>0</v>
      </c>
      <c r="H2027" s="10" t="n">
        <f aca="false">F2027+G2027</f>
        <v>19293.75</v>
      </c>
      <c r="I2027" s="10" t="n">
        <f aca="false">0</f>
        <v>0</v>
      </c>
      <c r="J2027" s="10" t="n">
        <f aca="false">MAX(0,E2027-E2026)*Staffing!$O$39</f>
        <v>0</v>
      </c>
      <c r="K2027" s="10" t="n">
        <f aca="false">MAX(0,E2027-E2026)*Staffing!$P$39</f>
        <v>0</v>
      </c>
      <c r="L2027" s="23" t="n">
        <f aca="false">ROUNDUP(E2027,0)</f>
        <v>1</v>
      </c>
    </row>
    <row r="2028" customFormat="false" ht="15" hidden="false" customHeight="false" outlineLevel="0" collapsed="false">
      <c r="A2028" s="6" t="s">
        <v>73</v>
      </c>
      <c r="B2028" s="6" t="s">
        <v>343</v>
      </c>
      <c r="C2028" s="6" t="n">
        <v>43</v>
      </c>
      <c r="D2028" s="25" t="n">
        <f aca="false">EDATE('Start Here'!$B$6,C2028-1)</f>
        <v>47604</v>
      </c>
      <c r="E2028" s="11" t="n">
        <f aca="false">IF(AND(C2028&gt;=Staffing!$F$39,C2028&lt;=Staffing!$G$39,1=1),IF(C2028&lt;=6,Staffing!$H$39,IF(C2028&lt;=15,Staffing!$I$39,IF(C2028&lt;=30,Staffing!$J$39,Staffing!$K$39))),0)</f>
        <v>1</v>
      </c>
      <c r="F2028" s="10" t="n">
        <f aca="false">E2028*Staffing!$L$39/12*(1+Assumptions!$E$10)^INT((C2028-1)/12)*1</f>
        <v>19293.75</v>
      </c>
      <c r="G2028" s="10" t="n">
        <f aca="false">F2028*Staffing!$N$39</f>
        <v>0</v>
      </c>
      <c r="H2028" s="10" t="n">
        <f aca="false">F2028+G2028</f>
        <v>19293.75</v>
      </c>
      <c r="I2028" s="10" t="n">
        <f aca="false">0</f>
        <v>0</v>
      </c>
      <c r="J2028" s="10" t="n">
        <f aca="false">MAX(0,E2028-E2027)*Staffing!$O$39</f>
        <v>0</v>
      </c>
      <c r="K2028" s="10" t="n">
        <f aca="false">MAX(0,E2028-E2027)*Staffing!$P$39</f>
        <v>0</v>
      </c>
      <c r="L2028" s="23" t="n">
        <f aca="false">ROUNDUP(E2028,0)</f>
        <v>1</v>
      </c>
    </row>
    <row r="2029" customFormat="false" ht="15" hidden="false" customHeight="false" outlineLevel="0" collapsed="false">
      <c r="A2029" s="6" t="s">
        <v>73</v>
      </c>
      <c r="B2029" s="6" t="s">
        <v>343</v>
      </c>
      <c r="C2029" s="6" t="n">
        <v>44</v>
      </c>
      <c r="D2029" s="25" t="n">
        <f aca="false">EDATE('Start Here'!$B$6,C2029-1)</f>
        <v>47635</v>
      </c>
      <c r="E2029" s="11" t="n">
        <f aca="false">IF(AND(C2029&gt;=Staffing!$F$39,C2029&lt;=Staffing!$G$39,1=1),IF(C2029&lt;=6,Staffing!$H$39,IF(C2029&lt;=15,Staffing!$I$39,IF(C2029&lt;=30,Staffing!$J$39,Staffing!$K$39))),0)</f>
        <v>1</v>
      </c>
      <c r="F2029" s="10" t="n">
        <f aca="false">E2029*Staffing!$L$39/12*(1+Assumptions!$E$10)^INT((C2029-1)/12)*1</f>
        <v>19293.75</v>
      </c>
      <c r="G2029" s="10" t="n">
        <f aca="false">F2029*Staffing!$N$39</f>
        <v>0</v>
      </c>
      <c r="H2029" s="10" t="n">
        <f aca="false">F2029+G2029</f>
        <v>19293.75</v>
      </c>
      <c r="I2029" s="10" t="n">
        <f aca="false">0</f>
        <v>0</v>
      </c>
      <c r="J2029" s="10" t="n">
        <f aca="false">MAX(0,E2029-E2028)*Staffing!$O$39</f>
        <v>0</v>
      </c>
      <c r="K2029" s="10" t="n">
        <f aca="false">MAX(0,E2029-E2028)*Staffing!$P$39</f>
        <v>0</v>
      </c>
      <c r="L2029" s="23" t="n">
        <f aca="false">ROUNDUP(E2029,0)</f>
        <v>1</v>
      </c>
    </row>
    <row r="2030" customFormat="false" ht="15" hidden="false" customHeight="false" outlineLevel="0" collapsed="false">
      <c r="A2030" s="6" t="s">
        <v>73</v>
      </c>
      <c r="B2030" s="6" t="s">
        <v>343</v>
      </c>
      <c r="C2030" s="6" t="n">
        <v>45</v>
      </c>
      <c r="D2030" s="25" t="n">
        <f aca="false">EDATE('Start Here'!$B$6,C2030-1)</f>
        <v>47665</v>
      </c>
      <c r="E2030" s="11" t="n">
        <f aca="false">IF(AND(C2030&gt;=Staffing!$F$39,C2030&lt;=Staffing!$G$39,1=1),IF(C2030&lt;=6,Staffing!$H$39,IF(C2030&lt;=15,Staffing!$I$39,IF(C2030&lt;=30,Staffing!$J$39,Staffing!$K$39))),0)</f>
        <v>1</v>
      </c>
      <c r="F2030" s="10" t="n">
        <f aca="false">E2030*Staffing!$L$39/12*(1+Assumptions!$E$10)^INT((C2030-1)/12)*1</f>
        <v>19293.75</v>
      </c>
      <c r="G2030" s="10" t="n">
        <f aca="false">F2030*Staffing!$N$39</f>
        <v>0</v>
      </c>
      <c r="H2030" s="10" t="n">
        <f aca="false">F2030+G2030</f>
        <v>19293.75</v>
      </c>
      <c r="I2030" s="10" t="n">
        <f aca="false">0</f>
        <v>0</v>
      </c>
      <c r="J2030" s="10" t="n">
        <f aca="false">MAX(0,E2030-E2029)*Staffing!$O$39</f>
        <v>0</v>
      </c>
      <c r="K2030" s="10" t="n">
        <f aca="false">MAX(0,E2030-E2029)*Staffing!$P$39</f>
        <v>0</v>
      </c>
      <c r="L2030" s="23" t="n">
        <f aca="false">ROUNDUP(E2030,0)</f>
        <v>1</v>
      </c>
    </row>
    <row r="2031" customFormat="false" ht="15" hidden="false" customHeight="false" outlineLevel="0" collapsed="false">
      <c r="A2031" s="6" t="s">
        <v>73</v>
      </c>
      <c r="B2031" s="6" t="s">
        <v>343</v>
      </c>
      <c r="C2031" s="6" t="n">
        <v>46</v>
      </c>
      <c r="D2031" s="25" t="n">
        <f aca="false">EDATE('Start Here'!$B$6,C2031-1)</f>
        <v>47696</v>
      </c>
      <c r="E2031" s="11" t="n">
        <f aca="false">IF(AND(C2031&gt;=Staffing!$F$39,C2031&lt;=Staffing!$G$39,1=1),IF(C2031&lt;=6,Staffing!$H$39,IF(C2031&lt;=15,Staffing!$I$39,IF(C2031&lt;=30,Staffing!$J$39,Staffing!$K$39))),0)</f>
        <v>1</v>
      </c>
      <c r="F2031" s="10" t="n">
        <f aca="false">E2031*Staffing!$L$39/12*(1+Assumptions!$E$10)^INT((C2031-1)/12)*1</f>
        <v>19293.75</v>
      </c>
      <c r="G2031" s="10" t="n">
        <f aca="false">F2031*Staffing!$N$39</f>
        <v>0</v>
      </c>
      <c r="H2031" s="10" t="n">
        <f aca="false">F2031+G2031</f>
        <v>19293.75</v>
      </c>
      <c r="I2031" s="10" t="n">
        <f aca="false">0</f>
        <v>0</v>
      </c>
      <c r="J2031" s="10" t="n">
        <f aca="false">MAX(0,E2031-E2030)*Staffing!$O$39</f>
        <v>0</v>
      </c>
      <c r="K2031" s="10" t="n">
        <f aca="false">MAX(0,E2031-E2030)*Staffing!$P$39</f>
        <v>0</v>
      </c>
      <c r="L2031" s="23" t="n">
        <f aca="false">ROUNDUP(E2031,0)</f>
        <v>1</v>
      </c>
    </row>
    <row r="2032" customFormat="false" ht="15" hidden="false" customHeight="false" outlineLevel="0" collapsed="false">
      <c r="A2032" s="6" t="s">
        <v>73</v>
      </c>
      <c r="B2032" s="6" t="s">
        <v>343</v>
      </c>
      <c r="C2032" s="6" t="n">
        <v>47</v>
      </c>
      <c r="D2032" s="25" t="n">
        <f aca="false">EDATE('Start Here'!$B$6,C2032-1)</f>
        <v>47727</v>
      </c>
      <c r="E2032" s="11" t="n">
        <f aca="false">IF(AND(C2032&gt;=Staffing!$F$39,C2032&lt;=Staffing!$G$39,1=1),IF(C2032&lt;=6,Staffing!$H$39,IF(C2032&lt;=15,Staffing!$I$39,IF(C2032&lt;=30,Staffing!$J$39,Staffing!$K$39))),0)</f>
        <v>1</v>
      </c>
      <c r="F2032" s="10" t="n">
        <f aca="false">E2032*Staffing!$L$39/12*(1+Assumptions!$E$10)^INT((C2032-1)/12)*1</f>
        <v>19293.75</v>
      </c>
      <c r="G2032" s="10" t="n">
        <f aca="false">F2032*Staffing!$N$39</f>
        <v>0</v>
      </c>
      <c r="H2032" s="10" t="n">
        <f aca="false">F2032+G2032</f>
        <v>19293.75</v>
      </c>
      <c r="I2032" s="10" t="n">
        <f aca="false">0</f>
        <v>0</v>
      </c>
      <c r="J2032" s="10" t="n">
        <f aca="false">MAX(0,E2032-E2031)*Staffing!$O$39</f>
        <v>0</v>
      </c>
      <c r="K2032" s="10" t="n">
        <f aca="false">MAX(0,E2032-E2031)*Staffing!$P$39</f>
        <v>0</v>
      </c>
      <c r="L2032" s="23" t="n">
        <f aca="false">ROUNDUP(E2032,0)</f>
        <v>1</v>
      </c>
    </row>
    <row r="2033" customFormat="false" ht="15" hidden="false" customHeight="false" outlineLevel="0" collapsed="false">
      <c r="A2033" s="6" t="s">
        <v>73</v>
      </c>
      <c r="B2033" s="6" t="s">
        <v>343</v>
      </c>
      <c r="C2033" s="6" t="n">
        <v>48</v>
      </c>
      <c r="D2033" s="25" t="n">
        <f aca="false">EDATE('Start Here'!$B$6,C2033-1)</f>
        <v>47757</v>
      </c>
      <c r="E2033" s="11" t="n">
        <f aca="false">IF(AND(C2033&gt;=Staffing!$F$39,C2033&lt;=Staffing!$G$39,1=1),IF(C2033&lt;=6,Staffing!$H$39,IF(C2033&lt;=15,Staffing!$I$39,IF(C2033&lt;=30,Staffing!$J$39,Staffing!$K$39))),0)</f>
        <v>1</v>
      </c>
      <c r="F2033" s="10" t="n">
        <f aca="false">E2033*Staffing!$L$39/12*(1+Assumptions!$E$10)^INT((C2033-1)/12)*1</f>
        <v>19293.75</v>
      </c>
      <c r="G2033" s="10" t="n">
        <f aca="false">F2033*Staffing!$N$39</f>
        <v>0</v>
      </c>
      <c r="H2033" s="10" t="n">
        <f aca="false">F2033+G2033</f>
        <v>19293.75</v>
      </c>
      <c r="I2033" s="10" t="n">
        <f aca="false">0</f>
        <v>0</v>
      </c>
      <c r="J2033" s="10" t="n">
        <f aca="false">MAX(0,E2033-E2032)*Staffing!$O$39</f>
        <v>0</v>
      </c>
      <c r="K2033" s="10" t="n">
        <f aca="false">MAX(0,E2033-E2032)*Staffing!$P$39</f>
        <v>0</v>
      </c>
      <c r="L2033" s="23" t="n">
        <f aca="false">ROUNDUP(E2033,0)</f>
        <v>1</v>
      </c>
    </row>
    <row r="2034" customFormat="false" ht="15" hidden="false" customHeight="false" outlineLevel="0" collapsed="false">
      <c r="A2034" s="6" t="s">
        <v>73</v>
      </c>
      <c r="B2034" s="6" t="s">
        <v>343</v>
      </c>
      <c r="C2034" s="6" t="n">
        <v>49</v>
      </c>
      <c r="D2034" s="25" t="n">
        <f aca="false">EDATE('Start Here'!$B$6,C2034-1)</f>
        <v>47788</v>
      </c>
      <c r="E2034" s="11" t="n">
        <f aca="false">IF(AND(C2034&gt;=Staffing!$F$39,C2034&lt;=Staffing!$G$39,1=1),IF(C2034&lt;=6,Staffing!$H$39,IF(C2034&lt;=15,Staffing!$I$39,IF(C2034&lt;=30,Staffing!$J$39,Staffing!$K$39))),0)</f>
        <v>1</v>
      </c>
      <c r="F2034" s="10" t="n">
        <f aca="false">E2034*Staffing!$L$39/12*(1+Assumptions!$E$10)^INT((C2034-1)/12)*1</f>
        <v>20258.4375</v>
      </c>
      <c r="G2034" s="10" t="n">
        <f aca="false">F2034*Staffing!$N$39</f>
        <v>0</v>
      </c>
      <c r="H2034" s="10" t="n">
        <f aca="false">F2034+G2034</f>
        <v>20258.4375</v>
      </c>
      <c r="I2034" s="10" t="n">
        <f aca="false">0</f>
        <v>0</v>
      </c>
      <c r="J2034" s="10" t="n">
        <f aca="false">MAX(0,E2034-E2033)*Staffing!$O$39</f>
        <v>0</v>
      </c>
      <c r="K2034" s="10" t="n">
        <f aca="false">MAX(0,E2034-E2033)*Staffing!$P$39</f>
        <v>0</v>
      </c>
      <c r="L2034" s="23" t="n">
        <f aca="false">ROUNDUP(E2034,0)</f>
        <v>1</v>
      </c>
    </row>
    <row r="2035" customFormat="false" ht="15" hidden="false" customHeight="false" outlineLevel="0" collapsed="false">
      <c r="A2035" s="6" t="s">
        <v>73</v>
      </c>
      <c r="B2035" s="6" t="s">
        <v>343</v>
      </c>
      <c r="C2035" s="6" t="n">
        <v>50</v>
      </c>
      <c r="D2035" s="25" t="n">
        <f aca="false">EDATE('Start Here'!$B$6,C2035-1)</f>
        <v>47818</v>
      </c>
      <c r="E2035" s="11" t="n">
        <f aca="false">IF(AND(C2035&gt;=Staffing!$F$39,C2035&lt;=Staffing!$G$39,1=1),IF(C2035&lt;=6,Staffing!$H$39,IF(C2035&lt;=15,Staffing!$I$39,IF(C2035&lt;=30,Staffing!$J$39,Staffing!$K$39))),0)</f>
        <v>1</v>
      </c>
      <c r="F2035" s="10" t="n">
        <f aca="false">E2035*Staffing!$L$39/12*(1+Assumptions!$E$10)^INT((C2035-1)/12)*1</f>
        <v>20258.4375</v>
      </c>
      <c r="G2035" s="10" t="n">
        <f aca="false">F2035*Staffing!$N$39</f>
        <v>0</v>
      </c>
      <c r="H2035" s="10" t="n">
        <f aca="false">F2035+G2035</f>
        <v>20258.4375</v>
      </c>
      <c r="I2035" s="10" t="n">
        <f aca="false">0</f>
        <v>0</v>
      </c>
      <c r="J2035" s="10" t="n">
        <f aca="false">MAX(0,E2035-E2034)*Staffing!$O$39</f>
        <v>0</v>
      </c>
      <c r="K2035" s="10" t="n">
        <f aca="false">MAX(0,E2035-E2034)*Staffing!$P$39</f>
        <v>0</v>
      </c>
      <c r="L2035" s="23" t="n">
        <f aca="false">ROUNDUP(E2035,0)</f>
        <v>1</v>
      </c>
    </row>
    <row r="2036" customFormat="false" ht="15" hidden="false" customHeight="false" outlineLevel="0" collapsed="false">
      <c r="A2036" s="6" t="s">
        <v>73</v>
      </c>
      <c r="B2036" s="6" t="s">
        <v>343</v>
      </c>
      <c r="C2036" s="6" t="n">
        <v>51</v>
      </c>
      <c r="D2036" s="25" t="n">
        <f aca="false">EDATE('Start Here'!$B$6,C2036-1)</f>
        <v>47849</v>
      </c>
      <c r="E2036" s="11" t="n">
        <f aca="false">IF(AND(C2036&gt;=Staffing!$F$39,C2036&lt;=Staffing!$G$39,1=1),IF(C2036&lt;=6,Staffing!$H$39,IF(C2036&lt;=15,Staffing!$I$39,IF(C2036&lt;=30,Staffing!$J$39,Staffing!$K$39))),0)</f>
        <v>1</v>
      </c>
      <c r="F2036" s="10" t="n">
        <f aca="false">E2036*Staffing!$L$39/12*(1+Assumptions!$E$10)^INT((C2036-1)/12)*1</f>
        <v>20258.4375</v>
      </c>
      <c r="G2036" s="10" t="n">
        <f aca="false">F2036*Staffing!$N$39</f>
        <v>0</v>
      </c>
      <c r="H2036" s="10" t="n">
        <f aca="false">F2036+G2036</f>
        <v>20258.4375</v>
      </c>
      <c r="I2036" s="10" t="n">
        <f aca="false">0</f>
        <v>0</v>
      </c>
      <c r="J2036" s="10" t="n">
        <f aca="false">MAX(0,E2036-E2035)*Staffing!$O$39</f>
        <v>0</v>
      </c>
      <c r="K2036" s="10" t="n">
        <f aca="false">MAX(0,E2036-E2035)*Staffing!$P$39</f>
        <v>0</v>
      </c>
      <c r="L2036" s="23" t="n">
        <f aca="false">ROUNDUP(E2036,0)</f>
        <v>1</v>
      </c>
    </row>
    <row r="2037" customFormat="false" ht="15" hidden="false" customHeight="false" outlineLevel="0" collapsed="false">
      <c r="A2037" s="6" t="s">
        <v>73</v>
      </c>
      <c r="B2037" s="6" t="s">
        <v>343</v>
      </c>
      <c r="C2037" s="6" t="n">
        <v>52</v>
      </c>
      <c r="D2037" s="25" t="n">
        <f aca="false">EDATE('Start Here'!$B$6,C2037-1)</f>
        <v>47880</v>
      </c>
      <c r="E2037" s="11" t="n">
        <f aca="false">IF(AND(C2037&gt;=Staffing!$F$39,C2037&lt;=Staffing!$G$39,1=1),IF(C2037&lt;=6,Staffing!$H$39,IF(C2037&lt;=15,Staffing!$I$39,IF(C2037&lt;=30,Staffing!$J$39,Staffing!$K$39))),0)</f>
        <v>1</v>
      </c>
      <c r="F2037" s="10" t="n">
        <f aca="false">E2037*Staffing!$L$39/12*(1+Assumptions!$E$10)^INT((C2037-1)/12)*1</f>
        <v>20258.4375</v>
      </c>
      <c r="G2037" s="10" t="n">
        <f aca="false">F2037*Staffing!$N$39</f>
        <v>0</v>
      </c>
      <c r="H2037" s="10" t="n">
        <f aca="false">F2037+G2037</f>
        <v>20258.4375</v>
      </c>
      <c r="I2037" s="10" t="n">
        <f aca="false">0</f>
        <v>0</v>
      </c>
      <c r="J2037" s="10" t="n">
        <f aca="false">MAX(0,E2037-E2036)*Staffing!$O$39</f>
        <v>0</v>
      </c>
      <c r="K2037" s="10" t="n">
        <f aca="false">MAX(0,E2037-E2036)*Staffing!$P$39</f>
        <v>0</v>
      </c>
      <c r="L2037" s="23" t="n">
        <f aca="false">ROUNDUP(E2037,0)</f>
        <v>1</v>
      </c>
    </row>
    <row r="2038" customFormat="false" ht="15" hidden="false" customHeight="false" outlineLevel="0" collapsed="false">
      <c r="A2038" s="6" t="s">
        <v>73</v>
      </c>
      <c r="B2038" s="6" t="s">
        <v>343</v>
      </c>
      <c r="C2038" s="6" t="n">
        <v>53</v>
      </c>
      <c r="D2038" s="25" t="n">
        <f aca="false">EDATE('Start Here'!$B$6,C2038-1)</f>
        <v>47908</v>
      </c>
      <c r="E2038" s="11" t="n">
        <f aca="false">IF(AND(C2038&gt;=Staffing!$F$39,C2038&lt;=Staffing!$G$39,1=1),IF(C2038&lt;=6,Staffing!$H$39,IF(C2038&lt;=15,Staffing!$I$39,IF(C2038&lt;=30,Staffing!$J$39,Staffing!$K$39))),0)</f>
        <v>1</v>
      </c>
      <c r="F2038" s="10" t="n">
        <f aca="false">E2038*Staffing!$L$39/12*(1+Assumptions!$E$10)^INT((C2038-1)/12)*1</f>
        <v>20258.4375</v>
      </c>
      <c r="G2038" s="10" t="n">
        <f aca="false">F2038*Staffing!$N$39</f>
        <v>0</v>
      </c>
      <c r="H2038" s="10" t="n">
        <f aca="false">F2038+G2038</f>
        <v>20258.4375</v>
      </c>
      <c r="I2038" s="10" t="n">
        <f aca="false">0</f>
        <v>0</v>
      </c>
      <c r="J2038" s="10" t="n">
        <f aca="false">MAX(0,E2038-E2037)*Staffing!$O$39</f>
        <v>0</v>
      </c>
      <c r="K2038" s="10" t="n">
        <f aca="false">MAX(0,E2038-E2037)*Staffing!$P$39</f>
        <v>0</v>
      </c>
      <c r="L2038" s="23" t="n">
        <f aca="false">ROUNDUP(E2038,0)</f>
        <v>1</v>
      </c>
    </row>
    <row r="2039" customFormat="false" ht="15" hidden="false" customHeight="false" outlineLevel="0" collapsed="false">
      <c r="A2039" s="6" t="s">
        <v>73</v>
      </c>
      <c r="B2039" s="6" t="s">
        <v>343</v>
      </c>
      <c r="C2039" s="6" t="n">
        <v>54</v>
      </c>
      <c r="D2039" s="25" t="n">
        <f aca="false">EDATE('Start Here'!$B$6,C2039-1)</f>
        <v>47939</v>
      </c>
      <c r="E2039" s="11" t="n">
        <f aca="false">IF(AND(C2039&gt;=Staffing!$F$39,C2039&lt;=Staffing!$G$39,1=1),IF(C2039&lt;=6,Staffing!$H$39,IF(C2039&lt;=15,Staffing!$I$39,IF(C2039&lt;=30,Staffing!$J$39,Staffing!$K$39))),0)</f>
        <v>1</v>
      </c>
      <c r="F2039" s="10" t="n">
        <f aca="false">E2039*Staffing!$L$39/12*(1+Assumptions!$E$10)^INT((C2039-1)/12)*1</f>
        <v>20258.4375</v>
      </c>
      <c r="G2039" s="10" t="n">
        <f aca="false">F2039*Staffing!$N$39</f>
        <v>0</v>
      </c>
      <c r="H2039" s="10" t="n">
        <f aca="false">F2039+G2039</f>
        <v>20258.4375</v>
      </c>
      <c r="I2039" s="10" t="n">
        <f aca="false">0</f>
        <v>0</v>
      </c>
      <c r="J2039" s="10" t="n">
        <f aca="false">MAX(0,E2039-E2038)*Staffing!$O$39</f>
        <v>0</v>
      </c>
      <c r="K2039" s="10" t="n">
        <f aca="false">MAX(0,E2039-E2038)*Staffing!$P$39</f>
        <v>0</v>
      </c>
      <c r="L2039" s="23" t="n">
        <f aca="false">ROUNDUP(E2039,0)</f>
        <v>1</v>
      </c>
    </row>
    <row r="2040" customFormat="false" ht="15" hidden="false" customHeight="false" outlineLevel="0" collapsed="false">
      <c r="A2040" s="6" t="s">
        <v>73</v>
      </c>
      <c r="B2040" s="6" t="s">
        <v>343</v>
      </c>
      <c r="C2040" s="6" t="n">
        <v>55</v>
      </c>
      <c r="D2040" s="25" t="n">
        <f aca="false">EDATE('Start Here'!$B$6,C2040-1)</f>
        <v>47969</v>
      </c>
      <c r="E2040" s="11" t="n">
        <f aca="false">IF(AND(C2040&gt;=Staffing!$F$39,C2040&lt;=Staffing!$G$39,1=1),IF(C2040&lt;=6,Staffing!$H$39,IF(C2040&lt;=15,Staffing!$I$39,IF(C2040&lt;=30,Staffing!$J$39,Staffing!$K$39))),0)</f>
        <v>1</v>
      </c>
      <c r="F2040" s="10" t="n">
        <f aca="false">E2040*Staffing!$L$39/12*(1+Assumptions!$E$10)^INT((C2040-1)/12)*1</f>
        <v>20258.4375</v>
      </c>
      <c r="G2040" s="10" t="n">
        <f aca="false">F2040*Staffing!$N$39</f>
        <v>0</v>
      </c>
      <c r="H2040" s="10" t="n">
        <f aca="false">F2040+G2040</f>
        <v>20258.4375</v>
      </c>
      <c r="I2040" s="10" t="n">
        <f aca="false">0</f>
        <v>0</v>
      </c>
      <c r="J2040" s="10" t="n">
        <f aca="false">MAX(0,E2040-E2039)*Staffing!$O$39</f>
        <v>0</v>
      </c>
      <c r="K2040" s="10" t="n">
        <f aca="false">MAX(0,E2040-E2039)*Staffing!$P$39</f>
        <v>0</v>
      </c>
      <c r="L2040" s="23" t="n">
        <f aca="false">ROUNDUP(E2040,0)</f>
        <v>1</v>
      </c>
    </row>
    <row r="2041" customFormat="false" ht="15" hidden="false" customHeight="false" outlineLevel="0" collapsed="false">
      <c r="A2041" s="6" t="s">
        <v>73</v>
      </c>
      <c r="B2041" s="6" t="s">
        <v>343</v>
      </c>
      <c r="C2041" s="6" t="n">
        <v>56</v>
      </c>
      <c r="D2041" s="25" t="n">
        <f aca="false">EDATE('Start Here'!$B$6,C2041-1)</f>
        <v>48000</v>
      </c>
      <c r="E2041" s="11" t="n">
        <f aca="false">IF(AND(C2041&gt;=Staffing!$F$39,C2041&lt;=Staffing!$G$39,1=1),IF(C2041&lt;=6,Staffing!$H$39,IF(C2041&lt;=15,Staffing!$I$39,IF(C2041&lt;=30,Staffing!$J$39,Staffing!$K$39))),0)</f>
        <v>1</v>
      </c>
      <c r="F2041" s="10" t="n">
        <f aca="false">E2041*Staffing!$L$39/12*(1+Assumptions!$E$10)^INT((C2041-1)/12)*1</f>
        <v>20258.4375</v>
      </c>
      <c r="G2041" s="10" t="n">
        <f aca="false">F2041*Staffing!$N$39</f>
        <v>0</v>
      </c>
      <c r="H2041" s="10" t="n">
        <f aca="false">F2041+G2041</f>
        <v>20258.4375</v>
      </c>
      <c r="I2041" s="10" t="n">
        <f aca="false">0</f>
        <v>0</v>
      </c>
      <c r="J2041" s="10" t="n">
        <f aca="false">MAX(0,E2041-E2040)*Staffing!$O$39</f>
        <v>0</v>
      </c>
      <c r="K2041" s="10" t="n">
        <f aca="false">MAX(0,E2041-E2040)*Staffing!$P$39</f>
        <v>0</v>
      </c>
      <c r="L2041" s="23" t="n">
        <f aca="false">ROUNDUP(E2041,0)</f>
        <v>1</v>
      </c>
    </row>
    <row r="2042" customFormat="false" ht="15" hidden="false" customHeight="false" outlineLevel="0" collapsed="false">
      <c r="A2042" s="6" t="s">
        <v>73</v>
      </c>
      <c r="B2042" s="6" t="s">
        <v>343</v>
      </c>
      <c r="C2042" s="6" t="n">
        <v>57</v>
      </c>
      <c r="D2042" s="25" t="n">
        <f aca="false">EDATE('Start Here'!$B$6,C2042-1)</f>
        <v>48030</v>
      </c>
      <c r="E2042" s="11" t="n">
        <f aca="false">IF(AND(C2042&gt;=Staffing!$F$39,C2042&lt;=Staffing!$G$39,1=1),IF(C2042&lt;=6,Staffing!$H$39,IF(C2042&lt;=15,Staffing!$I$39,IF(C2042&lt;=30,Staffing!$J$39,Staffing!$K$39))),0)</f>
        <v>1</v>
      </c>
      <c r="F2042" s="10" t="n">
        <f aca="false">E2042*Staffing!$L$39/12*(1+Assumptions!$E$10)^INT((C2042-1)/12)*1</f>
        <v>20258.4375</v>
      </c>
      <c r="G2042" s="10" t="n">
        <f aca="false">F2042*Staffing!$N$39</f>
        <v>0</v>
      </c>
      <c r="H2042" s="10" t="n">
        <f aca="false">F2042+G2042</f>
        <v>20258.4375</v>
      </c>
      <c r="I2042" s="10" t="n">
        <f aca="false">0</f>
        <v>0</v>
      </c>
      <c r="J2042" s="10" t="n">
        <f aca="false">MAX(0,E2042-E2041)*Staffing!$O$39</f>
        <v>0</v>
      </c>
      <c r="K2042" s="10" t="n">
        <f aca="false">MAX(0,E2042-E2041)*Staffing!$P$39</f>
        <v>0</v>
      </c>
      <c r="L2042" s="23" t="n">
        <f aca="false">ROUNDUP(E2042,0)</f>
        <v>1</v>
      </c>
    </row>
    <row r="2043" customFormat="false" ht="15" hidden="false" customHeight="false" outlineLevel="0" collapsed="false">
      <c r="A2043" s="6" t="s">
        <v>73</v>
      </c>
      <c r="B2043" s="6" t="s">
        <v>343</v>
      </c>
      <c r="C2043" s="6" t="n">
        <v>58</v>
      </c>
      <c r="D2043" s="25" t="n">
        <f aca="false">EDATE('Start Here'!$B$6,C2043-1)</f>
        <v>48061</v>
      </c>
      <c r="E2043" s="11" t="n">
        <f aca="false">IF(AND(C2043&gt;=Staffing!$F$39,C2043&lt;=Staffing!$G$39,1=1),IF(C2043&lt;=6,Staffing!$H$39,IF(C2043&lt;=15,Staffing!$I$39,IF(C2043&lt;=30,Staffing!$J$39,Staffing!$K$39))),0)</f>
        <v>1</v>
      </c>
      <c r="F2043" s="10" t="n">
        <f aca="false">E2043*Staffing!$L$39/12*(1+Assumptions!$E$10)^INT((C2043-1)/12)*1</f>
        <v>20258.4375</v>
      </c>
      <c r="G2043" s="10" t="n">
        <f aca="false">F2043*Staffing!$N$39</f>
        <v>0</v>
      </c>
      <c r="H2043" s="10" t="n">
        <f aca="false">F2043+G2043</f>
        <v>20258.4375</v>
      </c>
      <c r="I2043" s="10" t="n">
        <f aca="false">0</f>
        <v>0</v>
      </c>
      <c r="J2043" s="10" t="n">
        <f aca="false">MAX(0,E2043-E2042)*Staffing!$O$39</f>
        <v>0</v>
      </c>
      <c r="K2043" s="10" t="n">
        <f aca="false">MAX(0,E2043-E2042)*Staffing!$P$39</f>
        <v>0</v>
      </c>
      <c r="L2043" s="23" t="n">
        <f aca="false">ROUNDUP(E2043,0)</f>
        <v>1</v>
      </c>
    </row>
    <row r="2044" customFormat="false" ht="15" hidden="false" customHeight="false" outlineLevel="0" collapsed="false">
      <c r="A2044" s="6" t="s">
        <v>73</v>
      </c>
      <c r="B2044" s="6" t="s">
        <v>343</v>
      </c>
      <c r="C2044" s="6" t="n">
        <v>59</v>
      </c>
      <c r="D2044" s="25" t="n">
        <f aca="false">EDATE('Start Here'!$B$6,C2044-1)</f>
        <v>48092</v>
      </c>
      <c r="E2044" s="11" t="n">
        <f aca="false">IF(AND(C2044&gt;=Staffing!$F$39,C2044&lt;=Staffing!$G$39,1=1),IF(C2044&lt;=6,Staffing!$H$39,IF(C2044&lt;=15,Staffing!$I$39,IF(C2044&lt;=30,Staffing!$J$39,Staffing!$K$39))),0)</f>
        <v>1</v>
      </c>
      <c r="F2044" s="10" t="n">
        <f aca="false">E2044*Staffing!$L$39/12*(1+Assumptions!$E$10)^INT((C2044-1)/12)*1</f>
        <v>20258.4375</v>
      </c>
      <c r="G2044" s="10" t="n">
        <f aca="false">F2044*Staffing!$N$39</f>
        <v>0</v>
      </c>
      <c r="H2044" s="10" t="n">
        <f aca="false">F2044+G2044</f>
        <v>20258.4375</v>
      </c>
      <c r="I2044" s="10" t="n">
        <f aca="false">0</f>
        <v>0</v>
      </c>
      <c r="J2044" s="10" t="n">
        <f aca="false">MAX(0,E2044-E2043)*Staffing!$O$39</f>
        <v>0</v>
      </c>
      <c r="K2044" s="10" t="n">
        <f aca="false">MAX(0,E2044-E2043)*Staffing!$P$39</f>
        <v>0</v>
      </c>
      <c r="L2044" s="23" t="n">
        <f aca="false">ROUNDUP(E2044,0)</f>
        <v>1</v>
      </c>
    </row>
    <row r="2045" customFormat="false" ht="15" hidden="false" customHeight="false" outlineLevel="0" collapsed="false">
      <c r="A2045" s="6" t="s">
        <v>73</v>
      </c>
      <c r="B2045" s="6" t="s">
        <v>343</v>
      </c>
      <c r="C2045" s="6" t="n">
        <v>60</v>
      </c>
      <c r="D2045" s="25" t="n">
        <f aca="false">EDATE('Start Here'!$B$6,C2045-1)</f>
        <v>48122</v>
      </c>
      <c r="E2045" s="11" t="n">
        <f aca="false">IF(AND(C2045&gt;=Staffing!$F$39,C2045&lt;=Staffing!$G$39,1=1),IF(C2045&lt;=6,Staffing!$H$39,IF(C2045&lt;=15,Staffing!$I$39,IF(C2045&lt;=30,Staffing!$J$39,Staffing!$K$39))),0)</f>
        <v>1</v>
      </c>
      <c r="F2045" s="10" t="n">
        <f aca="false">E2045*Staffing!$L$39/12*(1+Assumptions!$E$10)^INT((C2045-1)/12)*1</f>
        <v>20258.4375</v>
      </c>
      <c r="G2045" s="10" t="n">
        <f aca="false">F2045*Staffing!$N$39</f>
        <v>0</v>
      </c>
      <c r="H2045" s="10" t="n">
        <f aca="false">F2045+G2045</f>
        <v>20258.4375</v>
      </c>
      <c r="I2045" s="10" t="n">
        <f aca="false">0</f>
        <v>0</v>
      </c>
      <c r="J2045" s="10" t="n">
        <f aca="false">MAX(0,E2045-E2044)*Staffing!$O$39</f>
        <v>0</v>
      </c>
      <c r="K2045" s="10" t="n">
        <f aca="false">MAX(0,E2045-E2044)*Staffing!$P$39</f>
        <v>0</v>
      </c>
      <c r="L2045" s="23" t="n">
        <f aca="false">ROUNDUP(E2045,0)</f>
        <v>1</v>
      </c>
    </row>
    <row r="2046" customFormat="false" ht="15" hidden="false" customHeight="false" outlineLevel="0" collapsed="false">
      <c r="A2046" s="6" t="s">
        <v>73</v>
      </c>
      <c r="B2046" s="6" t="s">
        <v>345</v>
      </c>
      <c r="C2046" s="6" t="n">
        <v>1</v>
      </c>
      <c r="D2046" s="25" t="n">
        <f aca="false">EDATE('Start Here'!$B$6,C2046-1)</f>
        <v>46327</v>
      </c>
      <c r="E2046" s="23" t="n">
        <f aca="false">IF(AND(C2046&gt;=Staffing!$F$40,C2046&lt;=Staffing!$G$40,1=1),IF(C2046&lt;=6,Staffing!$H$40,IF(C2046&lt;=15,Staffing!$I$40,IF(C2046&lt;=30,Staffing!$J$40,Staffing!$K$40))),0)</f>
        <v>0</v>
      </c>
      <c r="F2046" s="10" t="n">
        <f aca="false">E2046*Staffing!$L$40/12*(1+Assumptions!$E$10)^INT((C2046-1)/12)*1</f>
        <v>0</v>
      </c>
      <c r="G2046" s="10" t="n">
        <f aca="false">F2046*Staffing!$N$40</f>
        <v>0</v>
      </c>
      <c r="H2046" s="10" t="n">
        <f aca="false">F2046+G2046</f>
        <v>0</v>
      </c>
      <c r="I2046" s="10" t="n">
        <f aca="false">0</f>
        <v>0</v>
      </c>
      <c r="J2046" s="10" t="n">
        <f aca="false">MAX(0,E2046-0)*Staffing!$O$40</f>
        <v>0</v>
      </c>
      <c r="K2046" s="10" t="n">
        <f aca="false">MAX(0,E2046-0)*Staffing!$P$40</f>
        <v>0</v>
      </c>
      <c r="L2046" s="23" t="n">
        <f aca="false">ROUNDUP(E2046,0)</f>
        <v>0</v>
      </c>
    </row>
    <row r="2047" customFormat="false" ht="15" hidden="false" customHeight="false" outlineLevel="0" collapsed="false">
      <c r="A2047" s="6" t="s">
        <v>73</v>
      </c>
      <c r="B2047" s="6" t="s">
        <v>345</v>
      </c>
      <c r="C2047" s="6" t="n">
        <v>2</v>
      </c>
      <c r="D2047" s="25" t="n">
        <f aca="false">EDATE('Start Here'!$B$6,C2047-1)</f>
        <v>46357</v>
      </c>
      <c r="E2047" s="23" t="n">
        <f aca="false">IF(AND(C2047&gt;=Staffing!$F$40,C2047&lt;=Staffing!$G$40,1=1),IF(C2047&lt;=6,Staffing!$H$40,IF(C2047&lt;=15,Staffing!$I$40,IF(C2047&lt;=30,Staffing!$J$40,Staffing!$K$40))),0)</f>
        <v>0</v>
      </c>
      <c r="F2047" s="10" t="n">
        <f aca="false">E2047*Staffing!$L$40/12*(1+Assumptions!$E$10)^INT((C2047-1)/12)*1</f>
        <v>0</v>
      </c>
      <c r="G2047" s="10" t="n">
        <f aca="false">F2047*Staffing!$N$40</f>
        <v>0</v>
      </c>
      <c r="H2047" s="10" t="n">
        <f aca="false">F2047+G2047</f>
        <v>0</v>
      </c>
      <c r="I2047" s="10" t="n">
        <f aca="false">0</f>
        <v>0</v>
      </c>
      <c r="J2047" s="10" t="n">
        <f aca="false">MAX(0,E2047-E2046)*Staffing!$O$40</f>
        <v>0</v>
      </c>
      <c r="K2047" s="10" t="n">
        <f aca="false">MAX(0,E2047-E2046)*Staffing!$P$40</f>
        <v>0</v>
      </c>
      <c r="L2047" s="23" t="n">
        <f aca="false">ROUNDUP(E2047,0)</f>
        <v>0</v>
      </c>
    </row>
    <row r="2048" customFormat="false" ht="15" hidden="false" customHeight="false" outlineLevel="0" collapsed="false">
      <c r="A2048" s="6" t="s">
        <v>73</v>
      </c>
      <c r="B2048" s="6" t="s">
        <v>345</v>
      </c>
      <c r="C2048" s="6" t="n">
        <v>3</v>
      </c>
      <c r="D2048" s="25" t="n">
        <f aca="false">EDATE('Start Here'!$B$6,C2048-1)</f>
        <v>46388</v>
      </c>
      <c r="E2048" s="23" t="n">
        <f aca="false">IF(AND(C2048&gt;=Staffing!$F$40,C2048&lt;=Staffing!$G$40,1=1),IF(C2048&lt;=6,Staffing!$H$40,IF(C2048&lt;=15,Staffing!$I$40,IF(C2048&lt;=30,Staffing!$J$40,Staffing!$K$40))),0)</f>
        <v>0</v>
      </c>
      <c r="F2048" s="10" t="n">
        <f aca="false">E2048*Staffing!$L$40/12*(1+Assumptions!$E$10)^INT((C2048-1)/12)*1</f>
        <v>0</v>
      </c>
      <c r="G2048" s="10" t="n">
        <f aca="false">F2048*Staffing!$N$40</f>
        <v>0</v>
      </c>
      <c r="H2048" s="10" t="n">
        <f aca="false">F2048+G2048</f>
        <v>0</v>
      </c>
      <c r="I2048" s="10" t="n">
        <f aca="false">0</f>
        <v>0</v>
      </c>
      <c r="J2048" s="10" t="n">
        <f aca="false">MAX(0,E2048-E2047)*Staffing!$O$40</f>
        <v>0</v>
      </c>
      <c r="K2048" s="10" t="n">
        <f aca="false">MAX(0,E2048-E2047)*Staffing!$P$40</f>
        <v>0</v>
      </c>
      <c r="L2048" s="23" t="n">
        <f aca="false">ROUNDUP(E2048,0)</f>
        <v>0</v>
      </c>
    </row>
    <row r="2049" customFormat="false" ht="15" hidden="false" customHeight="false" outlineLevel="0" collapsed="false">
      <c r="A2049" s="6" t="s">
        <v>73</v>
      </c>
      <c r="B2049" s="6" t="s">
        <v>345</v>
      </c>
      <c r="C2049" s="6" t="n">
        <v>4</v>
      </c>
      <c r="D2049" s="25" t="n">
        <f aca="false">EDATE('Start Here'!$B$6,C2049-1)</f>
        <v>46419</v>
      </c>
      <c r="E2049" s="23" t="n">
        <f aca="false">IF(AND(C2049&gt;=Staffing!$F$40,C2049&lt;=Staffing!$G$40,1=1),IF(C2049&lt;=6,Staffing!$H$40,IF(C2049&lt;=15,Staffing!$I$40,IF(C2049&lt;=30,Staffing!$J$40,Staffing!$K$40))),0)</f>
        <v>0</v>
      </c>
      <c r="F2049" s="10" t="n">
        <f aca="false">E2049*Staffing!$L$40/12*(1+Assumptions!$E$10)^INT((C2049-1)/12)*1</f>
        <v>0</v>
      </c>
      <c r="G2049" s="10" t="n">
        <f aca="false">F2049*Staffing!$N$40</f>
        <v>0</v>
      </c>
      <c r="H2049" s="10" t="n">
        <f aca="false">F2049+G2049</f>
        <v>0</v>
      </c>
      <c r="I2049" s="10" t="n">
        <f aca="false">0</f>
        <v>0</v>
      </c>
      <c r="J2049" s="10" t="n">
        <f aca="false">MAX(0,E2049-E2048)*Staffing!$O$40</f>
        <v>0</v>
      </c>
      <c r="K2049" s="10" t="n">
        <f aca="false">MAX(0,E2049-E2048)*Staffing!$P$40</f>
        <v>0</v>
      </c>
      <c r="L2049" s="23" t="n">
        <f aca="false">ROUNDUP(E2049,0)</f>
        <v>0</v>
      </c>
    </row>
    <row r="2050" customFormat="false" ht="15" hidden="false" customHeight="false" outlineLevel="0" collapsed="false">
      <c r="A2050" s="6" t="s">
        <v>73</v>
      </c>
      <c r="B2050" s="6" t="s">
        <v>345</v>
      </c>
      <c r="C2050" s="6" t="n">
        <v>5</v>
      </c>
      <c r="D2050" s="25" t="n">
        <f aca="false">EDATE('Start Here'!$B$6,C2050-1)</f>
        <v>46447</v>
      </c>
      <c r="E2050" s="23" t="n">
        <f aca="false">IF(AND(C2050&gt;=Staffing!$F$40,C2050&lt;=Staffing!$G$40,1=1),IF(C2050&lt;=6,Staffing!$H$40,IF(C2050&lt;=15,Staffing!$I$40,IF(C2050&lt;=30,Staffing!$J$40,Staffing!$K$40))),0)</f>
        <v>0</v>
      </c>
      <c r="F2050" s="10" t="n">
        <f aca="false">E2050*Staffing!$L$40/12*(1+Assumptions!$E$10)^INT((C2050-1)/12)*1</f>
        <v>0</v>
      </c>
      <c r="G2050" s="10" t="n">
        <f aca="false">F2050*Staffing!$N$40</f>
        <v>0</v>
      </c>
      <c r="H2050" s="10" t="n">
        <f aca="false">F2050+G2050</f>
        <v>0</v>
      </c>
      <c r="I2050" s="10" t="n">
        <f aca="false">0</f>
        <v>0</v>
      </c>
      <c r="J2050" s="10" t="n">
        <f aca="false">MAX(0,E2050-E2049)*Staffing!$O$40</f>
        <v>0</v>
      </c>
      <c r="K2050" s="10" t="n">
        <f aca="false">MAX(0,E2050-E2049)*Staffing!$P$40</f>
        <v>0</v>
      </c>
      <c r="L2050" s="23" t="n">
        <f aca="false">ROUNDUP(E2050,0)</f>
        <v>0</v>
      </c>
    </row>
    <row r="2051" customFormat="false" ht="15" hidden="false" customHeight="false" outlineLevel="0" collapsed="false">
      <c r="A2051" s="6" t="s">
        <v>73</v>
      </c>
      <c r="B2051" s="6" t="s">
        <v>345</v>
      </c>
      <c r="C2051" s="6" t="n">
        <v>6</v>
      </c>
      <c r="D2051" s="25" t="n">
        <f aca="false">EDATE('Start Here'!$B$6,C2051-1)</f>
        <v>46478</v>
      </c>
      <c r="E2051" s="23" t="n">
        <f aca="false">IF(AND(C2051&gt;=Staffing!$F$40,C2051&lt;=Staffing!$G$40,1=1),IF(C2051&lt;=6,Staffing!$H$40,IF(C2051&lt;=15,Staffing!$I$40,IF(C2051&lt;=30,Staffing!$J$40,Staffing!$K$40))),0)</f>
        <v>0</v>
      </c>
      <c r="F2051" s="10" t="n">
        <f aca="false">E2051*Staffing!$L$40/12*(1+Assumptions!$E$10)^INT((C2051-1)/12)*1</f>
        <v>0</v>
      </c>
      <c r="G2051" s="10" t="n">
        <f aca="false">F2051*Staffing!$N$40</f>
        <v>0</v>
      </c>
      <c r="H2051" s="10" t="n">
        <f aca="false">F2051+G2051</f>
        <v>0</v>
      </c>
      <c r="I2051" s="10" t="n">
        <f aca="false">0</f>
        <v>0</v>
      </c>
      <c r="J2051" s="10" t="n">
        <f aca="false">MAX(0,E2051-E2050)*Staffing!$O$40</f>
        <v>0</v>
      </c>
      <c r="K2051" s="10" t="n">
        <f aca="false">MAX(0,E2051-E2050)*Staffing!$P$40</f>
        <v>0</v>
      </c>
      <c r="L2051" s="23" t="n">
        <f aca="false">ROUNDUP(E2051,0)</f>
        <v>0</v>
      </c>
    </row>
    <row r="2052" customFormat="false" ht="15" hidden="false" customHeight="false" outlineLevel="0" collapsed="false">
      <c r="A2052" s="6" t="s">
        <v>73</v>
      </c>
      <c r="B2052" s="6" t="s">
        <v>345</v>
      </c>
      <c r="C2052" s="6" t="n">
        <v>7</v>
      </c>
      <c r="D2052" s="25" t="n">
        <f aca="false">EDATE('Start Here'!$B$6,C2052-1)</f>
        <v>46508</v>
      </c>
      <c r="E2052" s="23" t="n">
        <f aca="false">IF(AND(C2052&gt;=Staffing!$F$40,C2052&lt;=Staffing!$G$40,1=1),IF(C2052&lt;=6,Staffing!$H$40,IF(C2052&lt;=15,Staffing!$I$40,IF(C2052&lt;=30,Staffing!$J$40,Staffing!$K$40))),0)</f>
        <v>0</v>
      </c>
      <c r="F2052" s="10" t="n">
        <f aca="false">E2052*Staffing!$L$40/12*(1+Assumptions!$E$10)^INT((C2052-1)/12)*1</f>
        <v>0</v>
      </c>
      <c r="G2052" s="10" t="n">
        <f aca="false">F2052*Staffing!$N$40</f>
        <v>0</v>
      </c>
      <c r="H2052" s="10" t="n">
        <f aca="false">F2052+G2052</f>
        <v>0</v>
      </c>
      <c r="I2052" s="10" t="n">
        <f aca="false">0</f>
        <v>0</v>
      </c>
      <c r="J2052" s="10" t="n">
        <f aca="false">MAX(0,E2052-E2051)*Staffing!$O$40</f>
        <v>0</v>
      </c>
      <c r="K2052" s="10" t="n">
        <f aca="false">MAX(0,E2052-E2051)*Staffing!$P$40</f>
        <v>0</v>
      </c>
      <c r="L2052" s="23" t="n">
        <f aca="false">ROUNDUP(E2052,0)</f>
        <v>0</v>
      </c>
    </row>
    <row r="2053" customFormat="false" ht="15" hidden="false" customHeight="false" outlineLevel="0" collapsed="false">
      <c r="A2053" s="6" t="s">
        <v>73</v>
      </c>
      <c r="B2053" s="6" t="s">
        <v>345</v>
      </c>
      <c r="C2053" s="6" t="n">
        <v>8</v>
      </c>
      <c r="D2053" s="25" t="n">
        <f aca="false">EDATE('Start Here'!$B$6,C2053-1)</f>
        <v>46539</v>
      </c>
      <c r="E2053" s="23" t="n">
        <f aca="false">IF(AND(C2053&gt;=Staffing!$F$40,C2053&lt;=Staffing!$G$40,1=1),IF(C2053&lt;=6,Staffing!$H$40,IF(C2053&lt;=15,Staffing!$I$40,IF(C2053&lt;=30,Staffing!$J$40,Staffing!$K$40))),0)</f>
        <v>0</v>
      </c>
      <c r="F2053" s="10" t="n">
        <f aca="false">E2053*Staffing!$L$40/12*(1+Assumptions!$E$10)^INT((C2053-1)/12)*1</f>
        <v>0</v>
      </c>
      <c r="G2053" s="10" t="n">
        <f aca="false">F2053*Staffing!$N$40</f>
        <v>0</v>
      </c>
      <c r="H2053" s="10" t="n">
        <f aca="false">F2053+G2053</f>
        <v>0</v>
      </c>
      <c r="I2053" s="10" t="n">
        <f aca="false">0</f>
        <v>0</v>
      </c>
      <c r="J2053" s="10" t="n">
        <f aca="false">MAX(0,E2053-E2052)*Staffing!$O$40</f>
        <v>0</v>
      </c>
      <c r="K2053" s="10" t="n">
        <f aca="false">MAX(0,E2053-E2052)*Staffing!$P$40</f>
        <v>0</v>
      </c>
      <c r="L2053" s="23" t="n">
        <f aca="false">ROUNDUP(E2053,0)</f>
        <v>0</v>
      </c>
    </row>
    <row r="2054" customFormat="false" ht="15" hidden="false" customHeight="false" outlineLevel="0" collapsed="false">
      <c r="A2054" s="6" t="s">
        <v>73</v>
      </c>
      <c r="B2054" s="6" t="s">
        <v>345</v>
      </c>
      <c r="C2054" s="6" t="n">
        <v>9</v>
      </c>
      <c r="D2054" s="25" t="n">
        <f aca="false">EDATE('Start Here'!$B$6,C2054-1)</f>
        <v>46569</v>
      </c>
      <c r="E2054" s="11" t="n">
        <f aca="false">IF(AND(C2054&gt;=Staffing!$F$40,C2054&lt;=Staffing!$G$40,1=1),IF(C2054&lt;=6,Staffing!$H$40,IF(C2054&lt;=15,Staffing!$I$40,IF(C2054&lt;=30,Staffing!$J$40,Staffing!$K$40))),0)</f>
        <v>1</v>
      </c>
      <c r="F2054" s="10" t="n">
        <f aca="false">E2054*Staffing!$L$40/12*(1+Assumptions!$E$10)^INT((C2054-1)/12)*1</f>
        <v>7500</v>
      </c>
      <c r="G2054" s="10" t="n">
        <f aca="false">F2054*Staffing!$N$40</f>
        <v>3000</v>
      </c>
      <c r="H2054" s="10" t="n">
        <f aca="false">F2054+G2054</f>
        <v>10500</v>
      </c>
      <c r="I2054" s="10" t="n">
        <f aca="false">0</f>
        <v>0</v>
      </c>
      <c r="J2054" s="10" t="n">
        <f aca="false">MAX(0,E2054-E2053)*Staffing!$O$40</f>
        <v>12000</v>
      </c>
      <c r="K2054" s="10" t="n">
        <f aca="false">MAX(0,E2054-E2053)*Staffing!$P$40</f>
        <v>3500</v>
      </c>
      <c r="L2054" s="23" t="n">
        <f aca="false">ROUNDUP(E2054,0)</f>
        <v>1</v>
      </c>
    </row>
    <row r="2055" customFormat="false" ht="15" hidden="false" customHeight="false" outlineLevel="0" collapsed="false">
      <c r="A2055" s="6" t="s">
        <v>73</v>
      </c>
      <c r="B2055" s="6" t="s">
        <v>345</v>
      </c>
      <c r="C2055" s="6" t="n">
        <v>10</v>
      </c>
      <c r="D2055" s="25" t="n">
        <f aca="false">EDATE('Start Here'!$B$6,C2055-1)</f>
        <v>46600</v>
      </c>
      <c r="E2055" s="11" t="n">
        <f aca="false">IF(AND(C2055&gt;=Staffing!$F$40,C2055&lt;=Staffing!$G$40,1=1),IF(C2055&lt;=6,Staffing!$H$40,IF(C2055&lt;=15,Staffing!$I$40,IF(C2055&lt;=30,Staffing!$J$40,Staffing!$K$40))),0)</f>
        <v>1</v>
      </c>
      <c r="F2055" s="10" t="n">
        <f aca="false">E2055*Staffing!$L$40/12*(1+Assumptions!$E$10)^INT((C2055-1)/12)*1</f>
        <v>7500</v>
      </c>
      <c r="G2055" s="10" t="n">
        <f aca="false">F2055*Staffing!$N$40</f>
        <v>3000</v>
      </c>
      <c r="H2055" s="10" t="n">
        <f aca="false">F2055+G2055</f>
        <v>10500</v>
      </c>
      <c r="I2055" s="10" t="n">
        <f aca="false">0</f>
        <v>0</v>
      </c>
      <c r="J2055" s="10" t="n">
        <f aca="false">MAX(0,E2055-E2054)*Staffing!$O$40</f>
        <v>0</v>
      </c>
      <c r="K2055" s="10" t="n">
        <f aca="false">MAX(0,E2055-E2054)*Staffing!$P$40</f>
        <v>0</v>
      </c>
      <c r="L2055" s="23" t="n">
        <f aca="false">ROUNDUP(E2055,0)</f>
        <v>1</v>
      </c>
    </row>
    <row r="2056" customFormat="false" ht="15" hidden="false" customHeight="false" outlineLevel="0" collapsed="false">
      <c r="A2056" s="6" t="s">
        <v>73</v>
      </c>
      <c r="B2056" s="6" t="s">
        <v>345</v>
      </c>
      <c r="C2056" s="6" t="n">
        <v>11</v>
      </c>
      <c r="D2056" s="25" t="n">
        <f aca="false">EDATE('Start Here'!$B$6,C2056-1)</f>
        <v>46631</v>
      </c>
      <c r="E2056" s="11" t="n">
        <f aca="false">IF(AND(C2056&gt;=Staffing!$F$40,C2056&lt;=Staffing!$G$40,1=1),IF(C2056&lt;=6,Staffing!$H$40,IF(C2056&lt;=15,Staffing!$I$40,IF(C2056&lt;=30,Staffing!$J$40,Staffing!$K$40))),0)</f>
        <v>1</v>
      </c>
      <c r="F2056" s="10" t="n">
        <f aca="false">E2056*Staffing!$L$40/12*(1+Assumptions!$E$10)^INT((C2056-1)/12)*1</f>
        <v>7500</v>
      </c>
      <c r="G2056" s="10" t="n">
        <f aca="false">F2056*Staffing!$N$40</f>
        <v>3000</v>
      </c>
      <c r="H2056" s="10" t="n">
        <f aca="false">F2056+G2056</f>
        <v>10500</v>
      </c>
      <c r="I2056" s="10" t="n">
        <f aca="false">0</f>
        <v>0</v>
      </c>
      <c r="J2056" s="10" t="n">
        <f aca="false">MAX(0,E2056-E2055)*Staffing!$O$40</f>
        <v>0</v>
      </c>
      <c r="K2056" s="10" t="n">
        <f aca="false">MAX(0,E2056-E2055)*Staffing!$P$40</f>
        <v>0</v>
      </c>
      <c r="L2056" s="23" t="n">
        <f aca="false">ROUNDUP(E2056,0)</f>
        <v>1</v>
      </c>
    </row>
    <row r="2057" customFormat="false" ht="15" hidden="false" customHeight="false" outlineLevel="0" collapsed="false">
      <c r="A2057" s="6" t="s">
        <v>73</v>
      </c>
      <c r="B2057" s="6" t="s">
        <v>345</v>
      </c>
      <c r="C2057" s="6" t="n">
        <v>12</v>
      </c>
      <c r="D2057" s="25" t="n">
        <f aca="false">EDATE('Start Here'!$B$6,C2057-1)</f>
        <v>46661</v>
      </c>
      <c r="E2057" s="11" t="n">
        <f aca="false">IF(AND(C2057&gt;=Staffing!$F$40,C2057&lt;=Staffing!$G$40,1=1),IF(C2057&lt;=6,Staffing!$H$40,IF(C2057&lt;=15,Staffing!$I$40,IF(C2057&lt;=30,Staffing!$J$40,Staffing!$K$40))),0)</f>
        <v>1</v>
      </c>
      <c r="F2057" s="10" t="n">
        <f aca="false">E2057*Staffing!$L$40/12*(1+Assumptions!$E$10)^INT((C2057-1)/12)*1</f>
        <v>7500</v>
      </c>
      <c r="G2057" s="10" t="n">
        <f aca="false">F2057*Staffing!$N$40</f>
        <v>3000</v>
      </c>
      <c r="H2057" s="10" t="n">
        <f aca="false">F2057+G2057</f>
        <v>10500</v>
      </c>
      <c r="I2057" s="10" t="n">
        <f aca="false">0</f>
        <v>0</v>
      </c>
      <c r="J2057" s="10" t="n">
        <f aca="false">MAX(0,E2057-E2056)*Staffing!$O$40</f>
        <v>0</v>
      </c>
      <c r="K2057" s="10" t="n">
        <f aca="false">MAX(0,E2057-E2056)*Staffing!$P$40</f>
        <v>0</v>
      </c>
      <c r="L2057" s="23" t="n">
        <f aca="false">ROUNDUP(E2057,0)</f>
        <v>1</v>
      </c>
    </row>
    <row r="2058" customFormat="false" ht="15" hidden="false" customHeight="false" outlineLevel="0" collapsed="false">
      <c r="A2058" s="6" t="s">
        <v>73</v>
      </c>
      <c r="B2058" s="6" t="s">
        <v>345</v>
      </c>
      <c r="C2058" s="6" t="n">
        <v>13</v>
      </c>
      <c r="D2058" s="25" t="n">
        <f aca="false">EDATE('Start Here'!$B$6,C2058-1)</f>
        <v>46692</v>
      </c>
      <c r="E2058" s="11" t="n">
        <f aca="false">IF(AND(C2058&gt;=Staffing!$F$40,C2058&lt;=Staffing!$G$40,1=1),IF(C2058&lt;=6,Staffing!$H$40,IF(C2058&lt;=15,Staffing!$I$40,IF(C2058&lt;=30,Staffing!$J$40,Staffing!$K$40))),0)</f>
        <v>1</v>
      </c>
      <c r="F2058" s="10" t="n">
        <f aca="false">E2058*Staffing!$L$40/12*(1+Assumptions!$E$10)^INT((C2058-1)/12)*1</f>
        <v>7875</v>
      </c>
      <c r="G2058" s="10" t="n">
        <f aca="false">F2058*Staffing!$N$40</f>
        <v>3150</v>
      </c>
      <c r="H2058" s="10" t="n">
        <f aca="false">F2058+G2058</f>
        <v>11025</v>
      </c>
      <c r="I2058" s="10" t="n">
        <f aca="false">0</f>
        <v>0</v>
      </c>
      <c r="J2058" s="10" t="n">
        <f aca="false">MAX(0,E2058-E2057)*Staffing!$O$40</f>
        <v>0</v>
      </c>
      <c r="K2058" s="10" t="n">
        <f aca="false">MAX(0,E2058-E2057)*Staffing!$P$40</f>
        <v>0</v>
      </c>
      <c r="L2058" s="23" t="n">
        <f aca="false">ROUNDUP(E2058,0)</f>
        <v>1</v>
      </c>
    </row>
    <row r="2059" customFormat="false" ht="15" hidden="false" customHeight="false" outlineLevel="0" collapsed="false">
      <c r="A2059" s="6" t="s">
        <v>73</v>
      </c>
      <c r="B2059" s="6" t="s">
        <v>345</v>
      </c>
      <c r="C2059" s="6" t="n">
        <v>14</v>
      </c>
      <c r="D2059" s="25" t="n">
        <f aca="false">EDATE('Start Here'!$B$6,C2059-1)</f>
        <v>46722</v>
      </c>
      <c r="E2059" s="11" t="n">
        <f aca="false">IF(AND(C2059&gt;=Staffing!$F$40,C2059&lt;=Staffing!$G$40,1=1),IF(C2059&lt;=6,Staffing!$H$40,IF(C2059&lt;=15,Staffing!$I$40,IF(C2059&lt;=30,Staffing!$J$40,Staffing!$K$40))),0)</f>
        <v>1</v>
      </c>
      <c r="F2059" s="10" t="n">
        <f aca="false">E2059*Staffing!$L$40/12*(1+Assumptions!$E$10)^INT((C2059-1)/12)*1</f>
        <v>7875</v>
      </c>
      <c r="G2059" s="10" t="n">
        <f aca="false">F2059*Staffing!$N$40</f>
        <v>3150</v>
      </c>
      <c r="H2059" s="10" t="n">
        <f aca="false">F2059+G2059</f>
        <v>11025</v>
      </c>
      <c r="I2059" s="10" t="n">
        <f aca="false">0</f>
        <v>0</v>
      </c>
      <c r="J2059" s="10" t="n">
        <f aca="false">MAX(0,E2059-E2058)*Staffing!$O$40</f>
        <v>0</v>
      </c>
      <c r="K2059" s="10" t="n">
        <f aca="false">MAX(0,E2059-E2058)*Staffing!$P$40</f>
        <v>0</v>
      </c>
      <c r="L2059" s="23" t="n">
        <f aca="false">ROUNDUP(E2059,0)</f>
        <v>1</v>
      </c>
    </row>
    <row r="2060" customFormat="false" ht="15" hidden="false" customHeight="false" outlineLevel="0" collapsed="false">
      <c r="A2060" s="6" t="s">
        <v>73</v>
      </c>
      <c r="B2060" s="6" t="s">
        <v>345</v>
      </c>
      <c r="C2060" s="6" t="n">
        <v>15</v>
      </c>
      <c r="D2060" s="25" t="n">
        <f aca="false">EDATE('Start Here'!$B$6,C2060-1)</f>
        <v>46753</v>
      </c>
      <c r="E2060" s="11" t="n">
        <f aca="false">IF(AND(C2060&gt;=Staffing!$F$40,C2060&lt;=Staffing!$G$40,1=1),IF(C2060&lt;=6,Staffing!$H$40,IF(C2060&lt;=15,Staffing!$I$40,IF(C2060&lt;=30,Staffing!$J$40,Staffing!$K$40))),0)</f>
        <v>1</v>
      </c>
      <c r="F2060" s="10" t="n">
        <f aca="false">E2060*Staffing!$L$40/12*(1+Assumptions!$E$10)^INT((C2060-1)/12)*1</f>
        <v>7875</v>
      </c>
      <c r="G2060" s="10" t="n">
        <f aca="false">F2060*Staffing!$N$40</f>
        <v>3150</v>
      </c>
      <c r="H2060" s="10" t="n">
        <f aca="false">F2060+G2060</f>
        <v>11025</v>
      </c>
      <c r="I2060" s="10" t="n">
        <f aca="false">0</f>
        <v>0</v>
      </c>
      <c r="J2060" s="10" t="n">
        <f aca="false">MAX(0,E2060-E2059)*Staffing!$O$40</f>
        <v>0</v>
      </c>
      <c r="K2060" s="10" t="n">
        <f aca="false">MAX(0,E2060-E2059)*Staffing!$P$40</f>
        <v>0</v>
      </c>
      <c r="L2060" s="23" t="n">
        <f aca="false">ROUNDUP(E2060,0)</f>
        <v>1</v>
      </c>
    </row>
    <row r="2061" customFormat="false" ht="15" hidden="false" customHeight="false" outlineLevel="0" collapsed="false">
      <c r="A2061" s="6" t="s">
        <v>73</v>
      </c>
      <c r="B2061" s="6" t="s">
        <v>345</v>
      </c>
      <c r="C2061" s="6" t="n">
        <v>16</v>
      </c>
      <c r="D2061" s="25" t="n">
        <f aca="false">EDATE('Start Here'!$B$6,C2061-1)</f>
        <v>46784</v>
      </c>
      <c r="E2061" s="11" t="n">
        <f aca="false">IF(AND(C2061&gt;=Staffing!$F$40,C2061&lt;=Staffing!$G$40,1=1),IF(C2061&lt;=6,Staffing!$H$40,IF(C2061&lt;=15,Staffing!$I$40,IF(C2061&lt;=30,Staffing!$J$40,Staffing!$K$40))),0)</f>
        <v>2</v>
      </c>
      <c r="F2061" s="10" t="n">
        <f aca="false">E2061*Staffing!$L$40/12*(1+Assumptions!$E$10)^INT((C2061-1)/12)*1</f>
        <v>15750</v>
      </c>
      <c r="G2061" s="10" t="n">
        <f aca="false">F2061*Staffing!$N$40</f>
        <v>6300</v>
      </c>
      <c r="H2061" s="10" t="n">
        <f aca="false">F2061+G2061</f>
        <v>22050</v>
      </c>
      <c r="I2061" s="10" t="n">
        <f aca="false">0</f>
        <v>0</v>
      </c>
      <c r="J2061" s="10" t="n">
        <f aca="false">MAX(0,E2061-E2060)*Staffing!$O$40</f>
        <v>12000</v>
      </c>
      <c r="K2061" s="10" t="n">
        <f aca="false">MAX(0,E2061-E2060)*Staffing!$P$40</f>
        <v>3500</v>
      </c>
      <c r="L2061" s="23" t="n">
        <f aca="false">ROUNDUP(E2061,0)</f>
        <v>2</v>
      </c>
    </row>
    <row r="2062" customFormat="false" ht="15" hidden="false" customHeight="false" outlineLevel="0" collapsed="false">
      <c r="A2062" s="6" t="s">
        <v>73</v>
      </c>
      <c r="B2062" s="6" t="s">
        <v>345</v>
      </c>
      <c r="C2062" s="6" t="n">
        <v>17</v>
      </c>
      <c r="D2062" s="25" t="n">
        <f aca="false">EDATE('Start Here'!$B$6,C2062-1)</f>
        <v>46813</v>
      </c>
      <c r="E2062" s="11" t="n">
        <f aca="false">IF(AND(C2062&gt;=Staffing!$F$40,C2062&lt;=Staffing!$G$40,1=1),IF(C2062&lt;=6,Staffing!$H$40,IF(C2062&lt;=15,Staffing!$I$40,IF(C2062&lt;=30,Staffing!$J$40,Staffing!$K$40))),0)</f>
        <v>2</v>
      </c>
      <c r="F2062" s="10" t="n">
        <f aca="false">E2062*Staffing!$L$40/12*(1+Assumptions!$E$10)^INT((C2062-1)/12)*1</f>
        <v>15750</v>
      </c>
      <c r="G2062" s="10" t="n">
        <f aca="false">F2062*Staffing!$N$40</f>
        <v>6300</v>
      </c>
      <c r="H2062" s="10" t="n">
        <f aca="false">F2062+G2062</f>
        <v>22050</v>
      </c>
      <c r="I2062" s="10" t="n">
        <f aca="false">0</f>
        <v>0</v>
      </c>
      <c r="J2062" s="10" t="n">
        <f aca="false">MAX(0,E2062-E2061)*Staffing!$O$40</f>
        <v>0</v>
      </c>
      <c r="K2062" s="10" t="n">
        <f aca="false">MAX(0,E2062-E2061)*Staffing!$P$40</f>
        <v>0</v>
      </c>
      <c r="L2062" s="23" t="n">
        <f aca="false">ROUNDUP(E2062,0)</f>
        <v>2</v>
      </c>
    </row>
    <row r="2063" customFormat="false" ht="15" hidden="false" customHeight="false" outlineLevel="0" collapsed="false">
      <c r="A2063" s="6" t="s">
        <v>73</v>
      </c>
      <c r="B2063" s="6" t="s">
        <v>345</v>
      </c>
      <c r="C2063" s="6" t="n">
        <v>18</v>
      </c>
      <c r="D2063" s="25" t="n">
        <f aca="false">EDATE('Start Here'!$B$6,C2063-1)</f>
        <v>46844</v>
      </c>
      <c r="E2063" s="11" t="n">
        <f aca="false">IF(AND(C2063&gt;=Staffing!$F$40,C2063&lt;=Staffing!$G$40,1=1),IF(C2063&lt;=6,Staffing!$H$40,IF(C2063&lt;=15,Staffing!$I$40,IF(C2063&lt;=30,Staffing!$J$40,Staffing!$K$40))),0)</f>
        <v>2</v>
      </c>
      <c r="F2063" s="10" t="n">
        <f aca="false">E2063*Staffing!$L$40/12*(1+Assumptions!$E$10)^INT((C2063-1)/12)*1</f>
        <v>15750</v>
      </c>
      <c r="G2063" s="10" t="n">
        <f aca="false">F2063*Staffing!$N$40</f>
        <v>6300</v>
      </c>
      <c r="H2063" s="10" t="n">
        <f aca="false">F2063+G2063</f>
        <v>22050</v>
      </c>
      <c r="I2063" s="10" t="n">
        <f aca="false">0</f>
        <v>0</v>
      </c>
      <c r="J2063" s="10" t="n">
        <f aca="false">MAX(0,E2063-E2062)*Staffing!$O$40</f>
        <v>0</v>
      </c>
      <c r="K2063" s="10" t="n">
        <f aca="false">MAX(0,E2063-E2062)*Staffing!$P$40</f>
        <v>0</v>
      </c>
      <c r="L2063" s="23" t="n">
        <f aca="false">ROUNDUP(E2063,0)</f>
        <v>2</v>
      </c>
    </row>
    <row r="2064" customFormat="false" ht="15" hidden="false" customHeight="false" outlineLevel="0" collapsed="false">
      <c r="A2064" s="6" t="s">
        <v>73</v>
      </c>
      <c r="B2064" s="6" t="s">
        <v>345</v>
      </c>
      <c r="C2064" s="6" t="n">
        <v>19</v>
      </c>
      <c r="D2064" s="25" t="n">
        <f aca="false">EDATE('Start Here'!$B$6,C2064-1)</f>
        <v>46874</v>
      </c>
      <c r="E2064" s="11" t="n">
        <f aca="false">IF(AND(C2064&gt;=Staffing!$F$40,C2064&lt;=Staffing!$G$40,1=1),IF(C2064&lt;=6,Staffing!$H$40,IF(C2064&lt;=15,Staffing!$I$40,IF(C2064&lt;=30,Staffing!$J$40,Staffing!$K$40))),0)</f>
        <v>2</v>
      </c>
      <c r="F2064" s="10" t="n">
        <f aca="false">E2064*Staffing!$L$40/12*(1+Assumptions!$E$10)^INT((C2064-1)/12)*1</f>
        <v>15750</v>
      </c>
      <c r="G2064" s="10" t="n">
        <f aca="false">F2064*Staffing!$N$40</f>
        <v>6300</v>
      </c>
      <c r="H2064" s="10" t="n">
        <f aca="false">F2064+G2064</f>
        <v>22050</v>
      </c>
      <c r="I2064" s="10" t="n">
        <f aca="false">0</f>
        <v>0</v>
      </c>
      <c r="J2064" s="10" t="n">
        <f aca="false">MAX(0,E2064-E2063)*Staffing!$O$40</f>
        <v>0</v>
      </c>
      <c r="K2064" s="10" t="n">
        <f aca="false">MAX(0,E2064-E2063)*Staffing!$P$40</f>
        <v>0</v>
      </c>
      <c r="L2064" s="23" t="n">
        <f aca="false">ROUNDUP(E2064,0)</f>
        <v>2</v>
      </c>
    </row>
    <row r="2065" customFormat="false" ht="15" hidden="false" customHeight="false" outlineLevel="0" collapsed="false">
      <c r="A2065" s="6" t="s">
        <v>73</v>
      </c>
      <c r="B2065" s="6" t="s">
        <v>345</v>
      </c>
      <c r="C2065" s="6" t="n">
        <v>20</v>
      </c>
      <c r="D2065" s="25" t="n">
        <f aca="false">EDATE('Start Here'!$B$6,C2065-1)</f>
        <v>46905</v>
      </c>
      <c r="E2065" s="11" t="n">
        <f aca="false">IF(AND(C2065&gt;=Staffing!$F$40,C2065&lt;=Staffing!$G$40,1=1),IF(C2065&lt;=6,Staffing!$H$40,IF(C2065&lt;=15,Staffing!$I$40,IF(C2065&lt;=30,Staffing!$J$40,Staffing!$K$40))),0)</f>
        <v>2</v>
      </c>
      <c r="F2065" s="10" t="n">
        <f aca="false">E2065*Staffing!$L$40/12*(1+Assumptions!$E$10)^INT((C2065-1)/12)*1</f>
        <v>15750</v>
      </c>
      <c r="G2065" s="10" t="n">
        <f aca="false">F2065*Staffing!$N$40</f>
        <v>6300</v>
      </c>
      <c r="H2065" s="10" t="n">
        <f aca="false">F2065+G2065</f>
        <v>22050</v>
      </c>
      <c r="I2065" s="10" t="n">
        <f aca="false">0</f>
        <v>0</v>
      </c>
      <c r="J2065" s="10" t="n">
        <f aca="false">MAX(0,E2065-E2064)*Staffing!$O$40</f>
        <v>0</v>
      </c>
      <c r="K2065" s="10" t="n">
        <f aca="false">MAX(0,E2065-E2064)*Staffing!$P$40</f>
        <v>0</v>
      </c>
      <c r="L2065" s="23" t="n">
        <f aca="false">ROUNDUP(E2065,0)</f>
        <v>2</v>
      </c>
    </row>
    <row r="2066" customFormat="false" ht="15" hidden="false" customHeight="false" outlineLevel="0" collapsed="false">
      <c r="A2066" s="6" t="s">
        <v>73</v>
      </c>
      <c r="B2066" s="6" t="s">
        <v>345</v>
      </c>
      <c r="C2066" s="6" t="n">
        <v>21</v>
      </c>
      <c r="D2066" s="25" t="n">
        <f aca="false">EDATE('Start Here'!$B$6,C2066-1)</f>
        <v>46935</v>
      </c>
      <c r="E2066" s="11" t="n">
        <f aca="false">IF(AND(C2066&gt;=Staffing!$F$40,C2066&lt;=Staffing!$G$40,1=1),IF(C2066&lt;=6,Staffing!$H$40,IF(C2066&lt;=15,Staffing!$I$40,IF(C2066&lt;=30,Staffing!$J$40,Staffing!$K$40))),0)</f>
        <v>2</v>
      </c>
      <c r="F2066" s="10" t="n">
        <f aca="false">E2066*Staffing!$L$40/12*(1+Assumptions!$E$10)^INT((C2066-1)/12)*1</f>
        <v>15750</v>
      </c>
      <c r="G2066" s="10" t="n">
        <f aca="false">F2066*Staffing!$N$40</f>
        <v>6300</v>
      </c>
      <c r="H2066" s="10" t="n">
        <f aca="false">F2066+G2066</f>
        <v>22050</v>
      </c>
      <c r="I2066" s="10" t="n">
        <f aca="false">0</f>
        <v>0</v>
      </c>
      <c r="J2066" s="10" t="n">
        <f aca="false">MAX(0,E2066-E2065)*Staffing!$O$40</f>
        <v>0</v>
      </c>
      <c r="K2066" s="10" t="n">
        <f aca="false">MAX(0,E2066-E2065)*Staffing!$P$40</f>
        <v>0</v>
      </c>
      <c r="L2066" s="23" t="n">
        <f aca="false">ROUNDUP(E2066,0)</f>
        <v>2</v>
      </c>
    </row>
    <row r="2067" customFormat="false" ht="15" hidden="false" customHeight="false" outlineLevel="0" collapsed="false">
      <c r="A2067" s="6" t="s">
        <v>73</v>
      </c>
      <c r="B2067" s="6" t="s">
        <v>345</v>
      </c>
      <c r="C2067" s="6" t="n">
        <v>22</v>
      </c>
      <c r="D2067" s="25" t="n">
        <f aca="false">EDATE('Start Here'!$B$6,C2067-1)</f>
        <v>46966</v>
      </c>
      <c r="E2067" s="11" t="n">
        <f aca="false">IF(AND(C2067&gt;=Staffing!$F$40,C2067&lt;=Staffing!$G$40,1=1),IF(C2067&lt;=6,Staffing!$H$40,IF(C2067&lt;=15,Staffing!$I$40,IF(C2067&lt;=30,Staffing!$J$40,Staffing!$K$40))),0)</f>
        <v>2</v>
      </c>
      <c r="F2067" s="10" t="n">
        <f aca="false">E2067*Staffing!$L$40/12*(1+Assumptions!$E$10)^INT((C2067-1)/12)*1</f>
        <v>15750</v>
      </c>
      <c r="G2067" s="10" t="n">
        <f aca="false">F2067*Staffing!$N$40</f>
        <v>6300</v>
      </c>
      <c r="H2067" s="10" t="n">
        <f aca="false">F2067+G2067</f>
        <v>22050</v>
      </c>
      <c r="I2067" s="10" t="n">
        <f aca="false">0</f>
        <v>0</v>
      </c>
      <c r="J2067" s="10" t="n">
        <f aca="false">MAX(0,E2067-E2066)*Staffing!$O$40</f>
        <v>0</v>
      </c>
      <c r="K2067" s="10" t="n">
        <f aca="false">MAX(0,E2067-E2066)*Staffing!$P$40</f>
        <v>0</v>
      </c>
      <c r="L2067" s="23" t="n">
        <f aca="false">ROUNDUP(E2067,0)</f>
        <v>2</v>
      </c>
    </row>
    <row r="2068" customFormat="false" ht="15" hidden="false" customHeight="false" outlineLevel="0" collapsed="false">
      <c r="A2068" s="6" t="s">
        <v>73</v>
      </c>
      <c r="B2068" s="6" t="s">
        <v>345</v>
      </c>
      <c r="C2068" s="6" t="n">
        <v>23</v>
      </c>
      <c r="D2068" s="25" t="n">
        <f aca="false">EDATE('Start Here'!$B$6,C2068-1)</f>
        <v>46997</v>
      </c>
      <c r="E2068" s="11" t="n">
        <f aca="false">IF(AND(C2068&gt;=Staffing!$F$40,C2068&lt;=Staffing!$G$40,1=1),IF(C2068&lt;=6,Staffing!$H$40,IF(C2068&lt;=15,Staffing!$I$40,IF(C2068&lt;=30,Staffing!$J$40,Staffing!$K$40))),0)</f>
        <v>2</v>
      </c>
      <c r="F2068" s="10" t="n">
        <f aca="false">E2068*Staffing!$L$40/12*(1+Assumptions!$E$10)^INT((C2068-1)/12)*1</f>
        <v>15750</v>
      </c>
      <c r="G2068" s="10" t="n">
        <f aca="false">F2068*Staffing!$N$40</f>
        <v>6300</v>
      </c>
      <c r="H2068" s="10" t="n">
        <f aca="false">F2068+G2068</f>
        <v>22050</v>
      </c>
      <c r="I2068" s="10" t="n">
        <f aca="false">0</f>
        <v>0</v>
      </c>
      <c r="J2068" s="10" t="n">
        <f aca="false">MAX(0,E2068-E2067)*Staffing!$O$40</f>
        <v>0</v>
      </c>
      <c r="K2068" s="10" t="n">
        <f aca="false">MAX(0,E2068-E2067)*Staffing!$P$40</f>
        <v>0</v>
      </c>
      <c r="L2068" s="23" t="n">
        <f aca="false">ROUNDUP(E2068,0)</f>
        <v>2</v>
      </c>
    </row>
    <row r="2069" customFormat="false" ht="15" hidden="false" customHeight="false" outlineLevel="0" collapsed="false">
      <c r="A2069" s="6" t="s">
        <v>73</v>
      </c>
      <c r="B2069" s="6" t="s">
        <v>345</v>
      </c>
      <c r="C2069" s="6" t="n">
        <v>24</v>
      </c>
      <c r="D2069" s="25" t="n">
        <f aca="false">EDATE('Start Here'!$B$6,C2069-1)</f>
        <v>47027</v>
      </c>
      <c r="E2069" s="11" t="n">
        <f aca="false">IF(AND(C2069&gt;=Staffing!$F$40,C2069&lt;=Staffing!$G$40,1=1),IF(C2069&lt;=6,Staffing!$H$40,IF(C2069&lt;=15,Staffing!$I$40,IF(C2069&lt;=30,Staffing!$J$40,Staffing!$K$40))),0)</f>
        <v>2</v>
      </c>
      <c r="F2069" s="10" t="n">
        <f aca="false">E2069*Staffing!$L$40/12*(1+Assumptions!$E$10)^INT((C2069-1)/12)*1</f>
        <v>15750</v>
      </c>
      <c r="G2069" s="10" t="n">
        <f aca="false">F2069*Staffing!$N$40</f>
        <v>6300</v>
      </c>
      <c r="H2069" s="10" t="n">
        <f aca="false">F2069+G2069</f>
        <v>22050</v>
      </c>
      <c r="I2069" s="10" t="n">
        <f aca="false">0</f>
        <v>0</v>
      </c>
      <c r="J2069" s="10" t="n">
        <f aca="false">MAX(0,E2069-E2068)*Staffing!$O$40</f>
        <v>0</v>
      </c>
      <c r="K2069" s="10" t="n">
        <f aca="false">MAX(0,E2069-E2068)*Staffing!$P$40</f>
        <v>0</v>
      </c>
      <c r="L2069" s="23" t="n">
        <f aca="false">ROUNDUP(E2069,0)</f>
        <v>2</v>
      </c>
    </row>
    <row r="2070" customFormat="false" ht="15" hidden="false" customHeight="false" outlineLevel="0" collapsed="false">
      <c r="A2070" s="6" t="s">
        <v>73</v>
      </c>
      <c r="B2070" s="6" t="s">
        <v>345</v>
      </c>
      <c r="C2070" s="6" t="n">
        <v>25</v>
      </c>
      <c r="D2070" s="25" t="n">
        <f aca="false">EDATE('Start Here'!$B$6,C2070-1)</f>
        <v>47058</v>
      </c>
      <c r="E2070" s="11" t="n">
        <f aca="false">IF(AND(C2070&gt;=Staffing!$F$40,C2070&lt;=Staffing!$G$40,1=1),IF(C2070&lt;=6,Staffing!$H$40,IF(C2070&lt;=15,Staffing!$I$40,IF(C2070&lt;=30,Staffing!$J$40,Staffing!$K$40))),0)</f>
        <v>2</v>
      </c>
      <c r="F2070" s="10" t="n">
        <f aca="false">E2070*Staffing!$L$40/12*(1+Assumptions!$E$10)^INT((C2070-1)/12)*1</f>
        <v>16537.5</v>
      </c>
      <c r="G2070" s="10" t="n">
        <f aca="false">F2070*Staffing!$N$40</f>
        <v>6615</v>
      </c>
      <c r="H2070" s="10" t="n">
        <f aca="false">F2070+G2070</f>
        <v>23152.5</v>
      </c>
      <c r="I2070" s="10" t="n">
        <f aca="false">0</f>
        <v>0</v>
      </c>
      <c r="J2070" s="10" t="n">
        <f aca="false">MAX(0,E2070-E2069)*Staffing!$O$40</f>
        <v>0</v>
      </c>
      <c r="K2070" s="10" t="n">
        <f aca="false">MAX(0,E2070-E2069)*Staffing!$P$40</f>
        <v>0</v>
      </c>
      <c r="L2070" s="23" t="n">
        <f aca="false">ROUNDUP(E2070,0)</f>
        <v>2</v>
      </c>
    </row>
    <row r="2071" customFormat="false" ht="15" hidden="false" customHeight="false" outlineLevel="0" collapsed="false">
      <c r="A2071" s="6" t="s">
        <v>73</v>
      </c>
      <c r="B2071" s="6" t="s">
        <v>345</v>
      </c>
      <c r="C2071" s="6" t="n">
        <v>26</v>
      </c>
      <c r="D2071" s="25" t="n">
        <f aca="false">EDATE('Start Here'!$B$6,C2071-1)</f>
        <v>47088</v>
      </c>
      <c r="E2071" s="11" t="n">
        <f aca="false">IF(AND(C2071&gt;=Staffing!$F$40,C2071&lt;=Staffing!$G$40,1=1),IF(C2071&lt;=6,Staffing!$H$40,IF(C2071&lt;=15,Staffing!$I$40,IF(C2071&lt;=30,Staffing!$J$40,Staffing!$K$40))),0)</f>
        <v>2</v>
      </c>
      <c r="F2071" s="10" t="n">
        <f aca="false">E2071*Staffing!$L$40/12*(1+Assumptions!$E$10)^INT((C2071-1)/12)*1</f>
        <v>16537.5</v>
      </c>
      <c r="G2071" s="10" t="n">
        <f aca="false">F2071*Staffing!$N$40</f>
        <v>6615</v>
      </c>
      <c r="H2071" s="10" t="n">
        <f aca="false">F2071+G2071</f>
        <v>23152.5</v>
      </c>
      <c r="I2071" s="10" t="n">
        <f aca="false">0</f>
        <v>0</v>
      </c>
      <c r="J2071" s="10" t="n">
        <f aca="false">MAX(0,E2071-E2070)*Staffing!$O$40</f>
        <v>0</v>
      </c>
      <c r="K2071" s="10" t="n">
        <f aca="false">MAX(0,E2071-E2070)*Staffing!$P$40</f>
        <v>0</v>
      </c>
      <c r="L2071" s="23" t="n">
        <f aca="false">ROUNDUP(E2071,0)</f>
        <v>2</v>
      </c>
    </row>
    <row r="2072" customFormat="false" ht="15" hidden="false" customHeight="false" outlineLevel="0" collapsed="false">
      <c r="A2072" s="6" t="s">
        <v>73</v>
      </c>
      <c r="B2072" s="6" t="s">
        <v>345</v>
      </c>
      <c r="C2072" s="6" t="n">
        <v>27</v>
      </c>
      <c r="D2072" s="25" t="n">
        <f aca="false">EDATE('Start Here'!$B$6,C2072-1)</f>
        <v>47119</v>
      </c>
      <c r="E2072" s="11" t="n">
        <f aca="false">IF(AND(C2072&gt;=Staffing!$F$40,C2072&lt;=Staffing!$G$40,1=1),IF(C2072&lt;=6,Staffing!$H$40,IF(C2072&lt;=15,Staffing!$I$40,IF(C2072&lt;=30,Staffing!$J$40,Staffing!$K$40))),0)</f>
        <v>2</v>
      </c>
      <c r="F2072" s="10" t="n">
        <f aca="false">E2072*Staffing!$L$40/12*(1+Assumptions!$E$10)^INT((C2072-1)/12)*1</f>
        <v>16537.5</v>
      </c>
      <c r="G2072" s="10" t="n">
        <f aca="false">F2072*Staffing!$N$40</f>
        <v>6615</v>
      </c>
      <c r="H2072" s="10" t="n">
        <f aca="false">F2072+G2072</f>
        <v>23152.5</v>
      </c>
      <c r="I2072" s="10" t="n">
        <f aca="false">0</f>
        <v>0</v>
      </c>
      <c r="J2072" s="10" t="n">
        <f aca="false">MAX(0,E2072-E2071)*Staffing!$O$40</f>
        <v>0</v>
      </c>
      <c r="K2072" s="10" t="n">
        <f aca="false">MAX(0,E2072-E2071)*Staffing!$P$40</f>
        <v>0</v>
      </c>
      <c r="L2072" s="23" t="n">
        <f aca="false">ROUNDUP(E2072,0)</f>
        <v>2</v>
      </c>
    </row>
    <row r="2073" customFormat="false" ht="15" hidden="false" customHeight="false" outlineLevel="0" collapsed="false">
      <c r="A2073" s="6" t="s">
        <v>73</v>
      </c>
      <c r="B2073" s="6" t="s">
        <v>345</v>
      </c>
      <c r="C2073" s="6" t="n">
        <v>28</v>
      </c>
      <c r="D2073" s="25" t="n">
        <f aca="false">EDATE('Start Here'!$B$6,C2073-1)</f>
        <v>47150</v>
      </c>
      <c r="E2073" s="11" t="n">
        <f aca="false">IF(AND(C2073&gt;=Staffing!$F$40,C2073&lt;=Staffing!$G$40,1=1),IF(C2073&lt;=6,Staffing!$H$40,IF(C2073&lt;=15,Staffing!$I$40,IF(C2073&lt;=30,Staffing!$J$40,Staffing!$K$40))),0)</f>
        <v>2</v>
      </c>
      <c r="F2073" s="10" t="n">
        <f aca="false">E2073*Staffing!$L$40/12*(1+Assumptions!$E$10)^INT((C2073-1)/12)*1</f>
        <v>16537.5</v>
      </c>
      <c r="G2073" s="10" t="n">
        <f aca="false">F2073*Staffing!$N$40</f>
        <v>6615</v>
      </c>
      <c r="H2073" s="10" t="n">
        <f aca="false">F2073+G2073</f>
        <v>23152.5</v>
      </c>
      <c r="I2073" s="10" t="n">
        <f aca="false">0</f>
        <v>0</v>
      </c>
      <c r="J2073" s="10" t="n">
        <f aca="false">MAX(0,E2073-E2072)*Staffing!$O$40</f>
        <v>0</v>
      </c>
      <c r="K2073" s="10" t="n">
        <f aca="false">MAX(0,E2073-E2072)*Staffing!$P$40</f>
        <v>0</v>
      </c>
      <c r="L2073" s="23" t="n">
        <f aca="false">ROUNDUP(E2073,0)</f>
        <v>2</v>
      </c>
    </row>
    <row r="2074" customFormat="false" ht="15" hidden="false" customHeight="false" outlineLevel="0" collapsed="false">
      <c r="A2074" s="6" t="s">
        <v>73</v>
      </c>
      <c r="B2074" s="6" t="s">
        <v>345</v>
      </c>
      <c r="C2074" s="6" t="n">
        <v>29</v>
      </c>
      <c r="D2074" s="25" t="n">
        <f aca="false">EDATE('Start Here'!$B$6,C2074-1)</f>
        <v>47178</v>
      </c>
      <c r="E2074" s="11" t="n">
        <f aca="false">IF(AND(C2074&gt;=Staffing!$F$40,C2074&lt;=Staffing!$G$40,1=1),IF(C2074&lt;=6,Staffing!$H$40,IF(C2074&lt;=15,Staffing!$I$40,IF(C2074&lt;=30,Staffing!$J$40,Staffing!$K$40))),0)</f>
        <v>2</v>
      </c>
      <c r="F2074" s="10" t="n">
        <f aca="false">E2074*Staffing!$L$40/12*(1+Assumptions!$E$10)^INT((C2074-1)/12)*1</f>
        <v>16537.5</v>
      </c>
      <c r="G2074" s="10" t="n">
        <f aca="false">F2074*Staffing!$N$40</f>
        <v>6615</v>
      </c>
      <c r="H2074" s="10" t="n">
        <f aca="false">F2074+G2074</f>
        <v>23152.5</v>
      </c>
      <c r="I2074" s="10" t="n">
        <f aca="false">0</f>
        <v>0</v>
      </c>
      <c r="J2074" s="10" t="n">
        <f aca="false">MAX(0,E2074-E2073)*Staffing!$O$40</f>
        <v>0</v>
      </c>
      <c r="K2074" s="10" t="n">
        <f aca="false">MAX(0,E2074-E2073)*Staffing!$P$40</f>
        <v>0</v>
      </c>
      <c r="L2074" s="23" t="n">
        <f aca="false">ROUNDUP(E2074,0)</f>
        <v>2</v>
      </c>
    </row>
    <row r="2075" customFormat="false" ht="15" hidden="false" customHeight="false" outlineLevel="0" collapsed="false">
      <c r="A2075" s="6" t="s">
        <v>73</v>
      </c>
      <c r="B2075" s="6" t="s">
        <v>345</v>
      </c>
      <c r="C2075" s="6" t="n">
        <v>30</v>
      </c>
      <c r="D2075" s="25" t="n">
        <f aca="false">EDATE('Start Here'!$B$6,C2075-1)</f>
        <v>47209</v>
      </c>
      <c r="E2075" s="11" t="n">
        <f aca="false">IF(AND(C2075&gt;=Staffing!$F$40,C2075&lt;=Staffing!$G$40,1=1),IF(C2075&lt;=6,Staffing!$H$40,IF(C2075&lt;=15,Staffing!$I$40,IF(C2075&lt;=30,Staffing!$J$40,Staffing!$K$40))),0)</f>
        <v>2</v>
      </c>
      <c r="F2075" s="10" t="n">
        <f aca="false">E2075*Staffing!$L$40/12*(1+Assumptions!$E$10)^INT((C2075-1)/12)*1</f>
        <v>16537.5</v>
      </c>
      <c r="G2075" s="10" t="n">
        <f aca="false">F2075*Staffing!$N$40</f>
        <v>6615</v>
      </c>
      <c r="H2075" s="10" t="n">
        <f aca="false">F2075+G2075</f>
        <v>23152.5</v>
      </c>
      <c r="I2075" s="10" t="n">
        <f aca="false">0</f>
        <v>0</v>
      </c>
      <c r="J2075" s="10" t="n">
        <f aca="false">MAX(0,E2075-E2074)*Staffing!$O$40</f>
        <v>0</v>
      </c>
      <c r="K2075" s="10" t="n">
        <f aca="false">MAX(0,E2075-E2074)*Staffing!$P$40</f>
        <v>0</v>
      </c>
      <c r="L2075" s="23" t="n">
        <f aca="false">ROUNDUP(E2075,0)</f>
        <v>2</v>
      </c>
    </row>
    <row r="2076" customFormat="false" ht="15" hidden="false" customHeight="false" outlineLevel="0" collapsed="false">
      <c r="A2076" s="6" t="s">
        <v>73</v>
      </c>
      <c r="B2076" s="6" t="s">
        <v>345</v>
      </c>
      <c r="C2076" s="6" t="n">
        <v>31</v>
      </c>
      <c r="D2076" s="25" t="n">
        <f aca="false">EDATE('Start Here'!$B$6,C2076-1)</f>
        <v>47239</v>
      </c>
      <c r="E2076" s="11" t="n">
        <f aca="false">IF(AND(C2076&gt;=Staffing!$F$40,C2076&lt;=Staffing!$G$40,1=1),IF(C2076&lt;=6,Staffing!$H$40,IF(C2076&lt;=15,Staffing!$I$40,IF(C2076&lt;=30,Staffing!$J$40,Staffing!$K$40))),0)</f>
        <v>4</v>
      </c>
      <c r="F2076" s="10" t="n">
        <f aca="false">E2076*Staffing!$L$40/12*(1+Assumptions!$E$10)^INT((C2076-1)/12)*1</f>
        <v>33075</v>
      </c>
      <c r="G2076" s="10" t="n">
        <f aca="false">F2076*Staffing!$N$40</f>
        <v>13230</v>
      </c>
      <c r="H2076" s="10" t="n">
        <f aca="false">F2076+G2076</f>
        <v>46305</v>
      </c>
      <c r="I2076" s="10" t="n">
        <f aca="false">0</f>
        <v>0</v>
      </c>
      <c r="J2076" s="10" t="n">
        <f aca="false">MAX(0,E2076-E2075)*Staffing!$O$40</f>
        <v>24000</v>
      </c>
      <c r="K2076" s="10" t="n">
        <f aca="false">MAX(0,E2076-E2075)*Staffing!$P$40</f>
        <v>7000</v>
      </c>
      <c r="L2076" s="23" t="n">
        <f aca="false">ROUNDUP(E2076,0)</f>
        <v>4</v>
      </c>
    </row>
    <row r="2077" customFormat="false" ht="15" hidden="false" customHeight="false" outlineLevel="0" collapsed="false">
      <c r="A2077" s="6" t="s">
        <v>73</v>
      </c>
      <c r="B2077" s="6" t="s">
        <v>345</v>
      </c>
      <c r="C2077" s="6" t="n">
        <v>32</v>
      </c>
      <c r="D2077" s="25" t="n">
        <f aca="false">EDATE('Start Here'!$B$6,C2077-1)</f>
        <v>47270</v>
      </c>
      <c r="E2077" s="11" t="n">
        <f aca="false">IF(AND(C2077&gt;=Staffing!$F$40,C2077&lt;=Staffing!$G$40,1=1),IF(C2077&lt;=6,Staffing!$H$40,IF(C2077&lt;=15,Staffing!$I$40,IF(C2077&lt;=30,Staffing!$J$40,Staffing!$K$40))),0)</f>
        <v>4</v>
      </c>
      <c r="F2077" s="10" t="n">
        <f aca="false">E2077*Staffing!$L$40/12*(1+Assumptions!$E$10)^INT((C2077-1)/12)*1</f>
        <v>33075</v>
      </c>
      <c r="G2077" s="10" t="n">
        <f aca="false">F2077*Staffing!$N$40</f>
        <v>13230</v>
      </c>
      <c r="H2077" s="10" t="n">
        <f aca="false">F2077+G2077</f>
        <v>46305</v>
      </c>
      <c r="I2077" s="10" t="n">
        <f aca="false">0</f>
        <v>0</v>
      </c>
      <c r="J2077" s="10" t="n">
        <f aca="false">MAX(0,E2077-E2076)*Staffing!$O$40</f>
        <v>0</v>
      </c>
      <c r="K2077" s="10" t="n">
        <f aca="false">MAX(0,E2077-E2076)*Staffing!$P$40</f>
        <v>0</v>
      </c>
      <c r="L2077" s="23" t="n">
        <f aca="false">ROUNDUP(E2077,0)</f>
        <v>4</v>
      </c>
    </row>
    <row r="2078" customFormat="false" ht="15" hidden="false" customHeight="false" outlineLevel="0" collapsed="false">
      <c r="A2078" s="6" t="s">
        <v>73</v>
      </c>
      <c r="B2078" s="6" t="s">
        <v>345</v>
      </c>
      <c r="C2078" s="6" t="n">
        <v>33</v>
      </c>
      <c r="D2078" s="25" t="n">
        <f aca="false">EDATE('Start Here'!$B$6,C2078-1)</f>
        <v>47300</v>
      </c>
      <c r="E2078" s="11" t="n">
        <f aca="false">IF(AND(C2078&gt;=Staffing!$F$40,C2078&lt;=Staffing!$G$40,1=1),IF(C2078&lt;=6,Staffing!$H$40,IF(C2078&lt;=15,Staffing!$I$40,IF(C2078&lt;=30,Staffing!$J$40,Staffing!$K$40))),0)</f>
        <v>4</v>
      </c>
      <c r="F2078" s="10" t="n">
        <f aca="false">E2078*Staffing!$L$40/12*(1+Assumptions!$E$10)^INT((C2078-1)/12)*1</f>
        <v>33075</v>
      </c>
      <c r="G2078" s="10" t="n">
        <f aca="false">F2078*Staffing!$N$40</f>
        <v>13230</v>
      </c>
      <c r="H2078" s="10" t="n">
        <f aca="false">F2078+G2078</f>
        <v>46305</v>
      </c>
      <c r="I2078" s="10" t="n">
        <f aca="false">0</f>
        <v>0</v>
      </c>
      <c r="J2078" s="10" t="n">
        <f aca="false">MAX(0,E2078-E2077)*Staffing!$O$40</f>
        <v>0</v>
      </c>
      <c r="K2078" s="10" t="n">
        <f aca="false">MAX(0,E2078-E2077)*Staffing!$P$40</f>
        <v>0</v>
      </c>
      <c r="L2078" s="23" t="n">
        <f aca="false">ROUNDUP(E2078,0)</f>
        <v>4</v>
      </c>
    </row>
    <row r="2079" customFormat="false" ht="15" hidden="false" customHeight="false" outlineLevel="0" collapsed="false">
      <c r="A2079" s="6" t="s">
        <v>73</v>
      </c>
      <c r="B2079" s="6" t="s">
        <v>345</v>
      </c>
      <c r="C2079" s="6" t="n">
        <v>34</v>
      </c>
      <c r="D2079" s="25" t="n">
        <f aca="false">EDATE('Start Here'!$B$6,C2079-1)</f>
        <v>47331</v>
      </c>
      <c r="E2079" s="11" t="n">
        <f aca="false">IF(AND(C2079&gt;=Staffing!$F$40,C2079&lt;=Staffing!$G$40,1=1),IF(C2079&lt;=6,Staffing!$H$40,IF(C2079&lt;=15,Staffing!$I$40,IF(C2079&lt;=30,Staffing!$J$40,Staffing!$K$40))),0)</f>
        <v>4</v>
      </c>
      <c r="F2079" s="10" t="n">
        <f aca="false">E2079*Staffing!$L$40/12*(1+Assumptions!$E$10)^INT((C2079-1)/12)*1</f>
        <v>33075</v>
      </c>
      <c r="G2079" s="10" t="n">
        <f aca="false">F2079*Staffing!$N$40</f>
        <v>13230</v>
      </c>
      <c r="H2079" s="10" t="n">
        <f aca="false">F2079+G2079</f>
        <v>46305</v>
      </c>
      <c r="I2079" s="10" t="n">
        <f aca="false">0</f>
        <v>0</v>
      </c>
      <c r="J2079" s="10" t="n">
        <f aca="false">MAX(0,E2079-E2078)*Staffing!$O$40</f>
        <v>0</v>
      </c>
      <c r="K2079" s="10" t="n">
        <f aca="false">MAX(0,E2079-E2078)*Staffing!$P$40</f>
        <v>0</v>
      </c>
      <c r="L2079" s="23" t="n">
        <f aca="false">ROUNDUP(E2079,0)</f>
        <v>4</v>
      </c>
    </row>
    <row r="2080" customFormat="false" ht="15" hidden="false" customHeight="false" outlineLevel="0" collapsed="false">
      <c r="A2080" s="6" t="s">
        <v>73</v>
      </c>
      <c r="B2080" s="6" t="s">
        <v>345</v>
      </c>
      <c r="C2080" s="6" t="n">
        <v>35</v>
      </c>
      <c r="D2080" s="25" t="n">
        <f aca="false">EDATE('Start Here'!$B$6,C2080-1)</f>
        <v>47362</v>
      </c>
      <c r="E2080" s="11" t="n">
        <f aca="false">IF(AND(C2080&gt;=Staffing!$F$40,C2080&lt;=Staffing!$G$40,1=1),IF(C2080&lt;=6,Staffing!$H$40,IF(C2080&lt;=15,Staffing!$I$40,IF(C2080&lt;=30,Staffing!$J$40,Staffing!$K$40))),0)</f>
        <v>4</v>
      </c>
      <c r="F2080" s="10" t="n">
        <f aca="false">E2080*Staffing!$L$40/12*(1+Assumptions!$E$10)^INT((C2080-1)/12)*1</f>
        <v>33075</v>
      </c>
      <c r="G2080" s="10" t="n">
        <f aca="false">F2080*Staffing!$N$40</f>
        <v>13230</v>
      </c>
      <c r="H2080" s="10" t="n">
        <f aca="false">F2080+G2080</f>
        <v>46305</v>
      </c>
      <c r="I2080" s="10" t="n">
        <f aca="false">0</f>
        <v>0</v>
      </c>
      <c r="J2080" s="10" t="n">
        <f aca="false">MAX(0,E2080-E2079)*Staffing!$O$40</f>
        <v>0</v>
      </c>
      <c r="K2080" s="10" t="n">
        <f aca="false">MAX(0,E2080-E2079)*Staffing!$P$40</f>
        <v>0</v>
      </c>
      <c r="L2080" s="23" t="n">
        <f aca="false">ROUNDUP(E2080,0)</f>
        <v>4</v>
      </c>
    </row>
    <row r="2081" customFormat="false" ht="15" hidden="false" customHeight="false" outlineLevel="0" collapsed="false">
      <c r="A2081" s="6" t="s">
        <v>73</v>
      </c>
      <c r="B2081" s="6" t="s">
        <v>345</v>
      </c>
      <c r="C2081" s="6" t="n">
        <v>36</v>
      </c>
      <c r="D2081" s="25" t="n">
        <f aca="false">EDATE('Start Here'!$B$6,C2081-1)</f>
        <v>47392</v>
      </c>
      <c r="E2081" s="11" t="n">
        <f aca="false">IF(AND(C2081&gt;=Staffing!$F$40,C2081&lt;=Staffing!$G$40,1=1),IF(C2081&lt;=6,Staffing!$H$40,IF(C2081&lt;=15,Staffing!$I$40,IF(C2081&lt;=30,Staffing!$J$40,Staffing!$K$40))),0)</f>
        <v>4</v>
      </c>
      <c r="F2081" s="10" t="n">
        <f aca="false">E2081*Staffing!$L$40/12*(1+Assumptions!$E$10)^INT((C2081-1)/12)*1</f>
        <v>33075</v>
      </c>
      <c r="G2081" s="10" t="n">
        <f aca="false">F2081*Staffing!$N$40</f>
        <v>13230</v>
      </c>
      <c r="H2081" s="10" t="n">
        <f aca="false">F2081+G2081</f>
        <v>46305</v>
      </c>
      <c r="I2081" s="10" t="n">
        <f aca="false">0</f>
        <v>0</v>
      </c>
      <c r="J2081" s="10" t="n">
        <f aca="false">MAX(0,E2081-E2080)*Staffing!$O$40</f>
        <v>0</v>
      </c>
      <c r="K2081" s="10" t="n">
        <f aca="false">MAX(0,E2081-E2080)*Staffing!$P$40</f>
        <v>0</v>
      </c>
      <c r="L2081" s="23" t="n">
        <f aca="false">ROUNDUP(E2081,0)</f>
        <v>4</v>
      </c>
    </row>
    <row r="2082" customFormat="false" ht="15" hidden="false" customHeight="false" outlineLevel="0" collapsed="false">
      <c r="A2082" s="6" t="s">
        <v>73</v>
      </c>
      <c r="B2082" s="6" t="s">
        <v>345</v>
      </c>
      <c r="C2082" s="6" t="n">
        <v>37</v>
      </c>
      <c r="D2082" s="25" t="n">
        <f aca="false">EDATE('Start Here'!$B$6,C2082-1)</f>
        <v>47423</v>
      </c>
      <c r="E2082" s="11" t="n">
        <f aca="false">IF(AND(C2082&gt;=Staffing!$F$40,C2082&lt;=Staffing!$G$40,1=1),IF(C2082&lt;=6,Staffing!$H$40,IF(C2082&lt;=15,Staffing!$I$40,IF(C2082&lt;=30,Staffing!$J$40,Staffing!$K$40))),0)</f>
        <v>4</v>
      </c>
      <c r="F2082" s="10" t="n">
        <f aca="false">E2082*Staffing!$L$40/12*(1+Assumptions!$E$10)^INT((C2082-1)/12)*1</f>
        <v>34728.75</v>
      </c>
      <c r="G2082" s="10" t="n">
        <f aca="false">F2082*Staffing!$N$40</f>
        <v>13891.5</v>
      </c>
      <c r="H2082" s="10" t="n">
        <f aca="false">F2082+G2082</f>
        <v>48620.25</v>
      </c>
      <c r="I2082" s="10" t="n">
        <f aca="false">0</f>
        <v>0</v>
      </c>
      <c r="J2082" s="10" t="n">
        <f aca="false">MAX(0,E2082-E2081)*Staffing!$O$40</f>
        <v>0</v>
      </c>
      <c r="K2082" s="10" t="n">
        <f aca="false">MAX(0,E2082-E2081)*Staffing!$P$40</f>
        <v>0</v>
      </c>
      <c r="L2082" s="23" t="n">
        <f aca="false">ROUNDUP(E2082,0)</f>
        <v>4</v>
      </c>
    </row>
    <row r="2083" customFormat="false" ht="15" hidden="false" customHeight="false" outlineLevel="0" collapsed="false">
      <c r="A2083" s="6" t="s">
        <v>73</v>
      </c>
      <c r="B2083" s="6" t="s">
        <v>345</v>
      </c>
      <c r="C2083" s="6" t="n">
        <v>38</v>
      </c>
      <c r="D2083" s="25" t="n">
        <f aca="false">EDATE('Start Here'!$B$6,C2083-1)</f>
        <v>47453</v>
      </c>
      <c r="E2083" s="11" t="n">
        <f aca="false">IF(AND(C2083&gt;=Staffing!$F$40,C2083&lt;=Staffing!$G$40,1=1),IF(C2083&lt;=6,Staffing!$H$40,IF(C2083&lt;=15,Staffing!$I$40,IF(C2083&lt;=30,Staffing!$J$40,Staffing!$K$40))),0)</f>
        <v>4</v>
      </c>
      <c r="F2083" s="10" t="n">
        <f aca="false">E2083*Staffing!$L$40/12*(1+Assumptions!$E$10)^INT((C2083-1)/12)*1</f>
        <v>34728.75</v>
      </c>
      <c r="G2083" s="10" t="n">
        <f aca="false">F2083*Staffing!$N$40</f>
        <v>13891.5</v>
      </c>
      <c r="H2083" s="10" t="n">
        <f aca="false">F2083+G2083</f>
        <v>48620.25</v>
      </c>
      <c r="I2083" s="10" t="n">
        <f aca="false">0</f>
        <v>0</v>
      </c>
      <c r="J2083" s="10" t="n">
        <f aca="false">MAX(0,E2083-E2082)*Staffing!$O$40</f>
        <v>0</v>
      </c>
      <c r="K2083" s="10" t="n">
        <f aca="false">MAX(0,E2083-E2082)*Staffing!$P$40</f>
        <v>0</v>
      </c>
      <c r="L2083" s="23" t="n">
        <f aca="false">ROUNDUP(E2083,0)</f>
        <v>4</v>
      </c>
    </row>
    <row r="2084" customFormat="false" ht="15" hidden="false" customHeight="false" outlineLevel="0" collapsed="false">
      <c r="A2084" s="6" t="s">
        <v>73</v>
      </c>
      <c r="B2084" s="6" t="s">
        <v>345</v>
      </c>
      <c r="C2084" s="6" t="n">
        <v>39</v>
      </c>
      <c r="D2084" s="25" t="n">
        <f aca="false">EDATE('Start Here'!$B$6,C2084-1)</f>
        <v>47484</v>
      </c>
      <c r="E2084" s="11" t="n">
        <f aca="false">IF(AND(C2084&gt;=Staffing!$F$40,C2084&lt;=Staffing!$G$40,1=1),IF(C2084&lt;=6,Staffing!$H$40,IF(C2084&lt;=15,Staffing!$I$40,IF(C2084&lt;=30,Staffing!$J$40,Staffing!$K$40))),0)</f>
        <v>4</v>
      </c>
      <c r="F2084" s="10" t="n">
        <f aca="false">E2084*Staffing!$L$40/12*(1+Assumptions!$E$10)^INT((C2084-1)/12)*1</f>
        <v>34728.75</v>
      </c>
      <c r="G2084" s="10" t="n">
        <f aca="false">F2084*Staffing!$N$40</f>
        <v>13891.5</v>
      </c>
      <c r="H2084" s="10" t="n">
        <f aca="false">F2084+G2084</f>
        <v>48620.25</v>
      </c>
      <c r="I2084" s="10" t="n">
        <f aca="false">0</f>
        <v>0</v>
      </c>
      <c r="J2084" s="10" t="n">
        <f aca="false">MAX(0,E2084-E2083)*Staffing!$O$40</f>
        <v>0</v>
      </c>
      <c r="K2084" s="10" t="n">
        <f aca="false">MAX(0,E2084-E2083)*Staffing!$P$40</f>
        <v>0</v>
      </c>
      <c r="L2084" s="23" t="n">
        <f aca="false">ROUNDUP(E2084,0)</f>
        <v>4</v>
      </c>
    </row>
    <row r="2085" customFormat="false" ht="15" hidden="false" customHeight="false" outlineLevel="0" collapsed="false">
      <c r="A2085" s="6" t="s">
        <v>73</v>
      </c>
      <c r="B2085" s="6" t="s">
        <v>345</v>
      </c>
      <c r="C2085" s="6" t="n">
        <v>40</v>
      </c>
      <c r="D2085" s="25" t="n">
        <f aca="false">EDATE('Start Here'!$B$6,C2085-1)</f>
        <v>47515</v>
      </c>
      <c r="E2085" s="11" t="n">
        <f aca="false">IF(AND(C2085&gt;=Staffing!$F$40,C2085&lt;=Staffing!$G$40,1=1),IF(C2085&lt;=6,Staffing!$H$40,IF(C2085&lt;=15,Staffing!$I$40,IF(C2085&lt;=30,Staffing!$J$40,Staffing!$K$40))),0)</f>
        <v>4</v>
      </c>
      <c r="F2085" s="10" t="n">
        <f aca="false">E2085*Staffing!$L$40/12*(1+Assumptions!$E$10)^INT((C2085-1)/12)*1</f>
        <v>34728.75</v>
      </c>
      <c r="G2085" s="10" t="n">
        <f aca="false">F2085*Staffing!$N$40</f>
        <v>13891.5</v>
      </c>
      <c r="H2085" s="10" t="n">
        <f aca="false">F2085+G2085</f>
        <v>48620.25</v>
      </c>
      <c r="I2085" s="10" t="n">
        <f aca="false">0</f>
        <v>0</v>
      </c>
      <c r="J2085" s="10" t="n">
        <f aca="false">MAX(0,E2085-E2084)*Staffing!$O$40</f>
        <v>0</v>
      </c>
      <c r="K2085" s="10" t="n">
        <f aca="false">MAX(0,E2085-E2084)*Staffing!$P$40</f>
        <v>0</v>
      </c>
      <c r="L2085" s="23" t="n">
        <f aca="false">ROUNDUP(E2085,0)</f>
        <v>4</v>
      </c>
    </row>
    <row r="2086" customFormat="false" ht="15" hidden="false" customHeight="false" outlineLevel="0" collapsed="false">
      <c r="A2086" s="6" t="s">
        <v>73</v>
      </c>
      <c r="B2086" s="6" t="s">
        <v>345</v>
      </c>
      <c r="C2086" s="6" t="n">
        <v>41</v>
      </c>
      <c r="D2086" s="25" t="n">
        <f aca="false">EDATE('Start Here'!$B$6,C2086-1)</f>
        <v>47543</v>
      </c>
      <c r="E2086" s="11" t="n">
        <f aca="false">IF(AND(C2086&gt;=Staffing!$F$40,C2086&lt;=Staffing!$G$40,1=1),IF(C2086&lt;=6,Staffing!$H$40,IF(C2086&lt;=15,Staffing!$I$40,IF(C2086&lt;=30,Staffing!$J$40,Staffing!$K$40))),0)</f>
        <v>4</v>
      </c>
      <c r="F2086" s="10" t="n">
        <f aca="false">E2086*Staffing!$L$40/12*(1+Assumptions!$E$10)^INT((C2086-1)/12)*1</f>
        <v>34728.75</v>
      </c>
      <c r="G2086" s="10" t="n">
        <f aca="false">F2086*Staffing!$N$40</f>
        <v>13891.5</v>
      </c>
      <c r="H2086" s="10" t="n">
        <f aca="false">F2086+G2086</f>
        <v>48620.25</v>
      </c>
      <c r="I2086" s="10" t="n">
        <f aca="false">0</f>
        <v>0</v>
      </c>
      <c r="J2086" s="10" t="n">
        <f aca="false">MAX(0,E2086-E2085)*Staffing!$O$40</f>
        <v>0</v>
      </c>
      <c r="K2086" s="10" t="n">
        <f aca="false">MAX(0,E2086-E2085)*Staffing!$P$40</f>
        <v>0</v>
      </c>
      <c r="L2086" s="23" t="n">
        <f aca="false">ROUNDUP(E2086,0)</f>
        <v>4</v>
      </c>
    </row>
    <row r="2087" customFormat="false" ht="15" hidden="false" customHeight="false" outlineLevel="0" collapsed="false">
      <c r="A2087" s="6" t="s">
        <v>73</v>
      </c>
      <c r="B2087" s="6" t="s">
        <v>345</v>
      </c>
      <c r="C2087" s="6" t="n">
        <v>42</v>
      </c>
      <c r="D2087" s="25" t="n">
        <f aca="false">EDATE('Start Here'!$B$6,C2087-1)</f>
        <v>47574</v>
      </c>
      <c r="E2087" s="11" t="n">
        <f aca="false">IF(AND(C2087&gt;=Staffing!$F$40,C2087&lt;=Staffing!$G$40,1=1),IF(C2087&lt;=6,Staffing!$H$40,IF(C2087&lt;=15,Staffing!$I$40,IF(C2087&lt;=30,Staffing!$J$40,Staffing!$K$40))),0)</f>
        <v>4</v>
      </c>
      <c r="F2087" s="10" t="n">
        <f aca="false">E2087*Staffing!$L$40/12*(1+Assumptions!$E$10)^INT((C2087-1)/12)*1</f>
        <v>34728.75</v>
      </c>
      <c r="G2087" s="10" t="n">
        <f aca="false">F2087*Staffing!$N$40</f>
        <v>13891.5</v>
      </c>
      <c r="H2087" s="10" t="n">
        <f aca="false">F2087+G2087</f>
        <v>48620.25</v>
      </c>
      <c r="I2087" s="10" t="n">
        <f aca="false">0</f>
        <v>0</v>
      </c>
      <c r="J2087" s="10" t="n">
        <f aca="false">MAX(0,E2087-E2086)*Staffing!$O$40</f>
        <v>0</v>
      </c>
      <c r="K2087" s="10" t="n">
        <f aca="false">MAX(0,E2087-E2086)*Staffing!$P$40</f>
        <v>0</v>
      </c>
      <c r="L2087" s="23" t="n">
        <f aca="false">ROUNDUP(E2087,0)</f>
        <v>4</v>
      </c>
    </row>
    <row r="2088" customFormat="false" ht="15" hidden="false" customHeight="false" outlineLevel="0" collapsed="false">
      <c r="A2088" s="6" t="s">
        <v>73</v>
      </c>
      <c r="B2088" s="6" t="s">
        <v>345</v>
      </c>
      <c r="C2088" s="6" t="n">
        <v>43</v>
      </c>
      <c r="D2088" s="25" t="n">
        <f aca="false">EDATE('Start Here'!$B$6,C2088-1)</f>
        <v>47604</v>
      </c>
      <c r="E2088" s="11" t="n">
        <f aca="false">IF(AND(C2088&gt;=Staffing!$F$40,C2088&lt;=Staffing!$G$40,1=1),IF(C2088&lt;=6,Staffing!$H$40,IF(C2088&lt;=15,Staffing!$I$40,IF(C2088&lt;=30,Staffing!$J$40,Staffing!$K$40))),0)</f>
        <v>4</v>
      </c>
      <c r="F2088" s="10" t="n">
        <f aca="false">E2088*Staffing!$L$40/12*(1+Assumptions!$E$10)^INT((C2088-1)/12)*1</f>
        <v>34728.75</v>
      </c>
      <c r="G2088" s="10" t="n">
        <f aca="false">F2088*Staffing!$N$40</f>
        <v>13891.5</v>
      </c>
      <c r="H2088" s="10" t="n">
        <f aca="false">F2088+G2088</f>
        <v>48620.25</v>
      </c>
      <c r="I2088" s="10" t="n">
        <f aca="false">0</f>
        <v>0</v>
      </c>
      <c r="J2088" s="10" t="n">
        <f aca="false">MAX(0,E2088-E2087)*Staffing!$O$40</f>
        <v>0</v>
      </c>
      <c r="K2088" s="10" t="n">
        <f aca="false">MAX(0,E2088-E2087)*Staffing!$P$40</f>
        <v>0</v>
      </c>
      <c r="L2088" s="23" t="n">
        <f aca="false">ROUNDUP(E2088,0)</f>
        <v>4</v>
      </c>
    </row>
    <row r="2089" customFormat="false" ht="15" hidden="false" customHeight="false" outlineLevel="0" collapsed="false">
      <c r="A2089" s="6" t="s">
        <v>73</v>
      </c>
      <c r="B2089" s="6" t="s">
        <v>345</v>
      </c>
      <c r="C2089" s="6" t="n">
        <v>44</v>
      </c>
      <c r="D2089" s="25" t="n">
        <f aca="false">EDATE('Start Here'!$B$6,C2089-1)</f>
        <v>47635</v>
      </c>
      <c r="E2089" s="11" t="n">
        <f aca="false">IF(AND(C2089&gt;=Staffing!$F$40,C2089&lt;=Staffing!$G$40,1=1),IF(C2089&lt;=6,Staffing!$H$40,IF(C2089&lt;=15,Staffing!$I$40,IF(C2089&lt;=30,Staffing!$J$40,Staffing!$K$40))),0)</f>
        <v>4</v>
      </c>
      <c r="F2089" s="10" t="n">
        <f aca="false">E2089*Staffing!$L$40/12*(1+Assumptions!$E$10)^INT((C2089-1)/12)*1</f>
        <v>34728.75</v>
      </c>
      <c r="G2089" s="10" t="n">
        <f aca="false">F2089*Staffing!$N$40</f>
        <v>13891.5</v>
      </c>
      <c r="H2089" s="10" t="n">
        <f aca="false">F2089+G2089</f>
        <v>48620.25</v>
      </c>
      <c r="I2089" s="10" t="n">
        <f aca="false">0</f>
        <v>0</v>
      </c>
      <c r="J2089" s="10" t="n">
        <f aca="false">MAX(0,E2089-E2088)*Staffing!$O$40</f>
        <v>0</v>
      </c>
      <c r="K2089" s="10" t="n">
        <f aca="false">MAX(0,E2089-E2088)*Staffing!$P$40</f>
        <v>0</v>
      </c>
      <c r="L2089" s="23" t="n">
        <f aca="false">ROUNDUP(E2089,0)</f>
        <v>4</v>
      </c>
    </row>
    <row r="2090" customFormat="false" ht="15" hidden="false" customHeight="false" outlineLevel="0" collapsed="false">
      <c r="A2090" s="6" t="s">
        <v>73</v>
      </c>
      <c r="B2090" s="6" t="s">
        <v>345</v>
      </c>
      <c r="C2090" s="6" t="n">
        <v>45</v>
      </c>
      <c r="D2090" s="25" t="n">
        <f aca="false">EDATE('Start Here'!$B$6,C2090-1)</f>
        <v>47665</v>
      </c>
      <c r="E2090" s="11" t="n">
        <f aca="false">IF(AND(C2090&gt;=Staffing!$F$40,C2090&lt;=Staffing!$G$40,1=1),IF(C2090&lt;=6,Staffing!$H$40,IF(C2090&lt;=15,Staffing!$I$40,IF(C2090&lt;=30,Staffing!$J$40,Staffing!$K$40))),0)</f>
        <v>4</v>
      </c>
      <c r="F2090" s="10" t="n">
        <f aca="false">E2090*Staffing!$L$40/12*(1+Assumptions!$E$10)^INT((C2090-1)/12)*1</f>
        <v>34728.75</v>
      </c>
      <c r="G2090" s="10" t="n">
        <f aca="false">F2090*Staffing!$N$40</f>
        <v>13891.5</v>
      </c>
      <c r="H2090" s="10" t="n">
        <f aca="false">F2090+G2090</f>
        <v>48620.25</v>
      </c>
      <c r="I2090" s="10" t="n">
        <f aca="false">0</f>
        <v>0</v>
      </c>
      <c r="J2090" s="10" t="n">
        <f aca="false">MAX(0,E2090-E2089)*Staffing!$O$40</f>
        <v>0</v>
      </c>
      <c r="K2090" s="10" t="n">
        <f aca="false">MAX(0,E2090-E2089)*Staffing!$P$40</f>
        <v>0</v>
      </c>
      <c r="L2090" s="23" t="n">
        <f aca="false">ROUNDUP(E2090,0)</f>
        <v>4</v>
      </c>
    </row>
    <row r="2091" customFormat="false" ht="15" hidden="false" customHeight="false" outlineLevel="0" collapsed="false">
      <c r="A2091" s="6" t="s">
        <v>73</v>
      </c>
      <c r="B2091" s="6" t="s">
        <v>345</v>
      </c>
      <c r="C2091" s="6" t="n">
        <v>46</v>
      </c>
      <c r="D2091" s="25" t="n">
        <f aca="false">EDATE('Start Here'!$B$6,C2091-1)</f>
        <v>47696</v>
      </c>
      <c r="E2091" s="11" t="n">
        <f aca="false">IF(AND(C2091&gt;=Staffing!$F$40,C2091&lt;=Staffing!$G$40,1=1),IF(C2091&lt;=6,Staffing!$H$40,IF(C2091&lt;=15,Staffing!$I$40,IF(C2091&lt;=30,Staffing!$J$40,Staffing!$K$40))),0)</f>
        <v>4</v>
      </c>
      <c r="F2091" s="10" t="n">
        <f aca="false">E2091*Staffing!$L$40/12*(1+Assumptions!$E$10)^INT((C2091-1)/12)*1</f>
        <v>34728.75</v>
      </c>
      <c r="G2091" s="10" t="n">
        <f aca="false">F2091*Staffing!$N$40</f>
        <v>13891.5</v>
      </c>
      <c r="H2091" s="10" t="n">
        <f aca="false">F2091+G2091</f>
        <v>48620.25</v>
      </c>
      <c r="I2091" s="10" t="n">
        <f aca="false">0</f>
        <v>0</v>
      </c>
      <c r="J2091" s="10" t="n">
        <f aca="false">MAX(0,E2091-E2090)*Staffing!$O$40</f>
        <v>0</v>
      </c>
      <c r="K2091" s="10" t="n">
        <f aca="false">MAX(0,E2091-E2090)*Staffing!$P$40</f>
        <v>0</v>
      </c>
      <c r="L2091" s="23" t="n">
        <f aca="false">ROUNDUP(E2091,0)</f>
        <v>4</v>
      </c>
    </row>
    <row r="2092" customFormat="false" ht="15" hidden="false" customHeight="false" outlineLevel="0" collapsed="false">
      <c r="A2092" s="6" t="s">
        <v>73</v>
      </c>
      <c r="B2092" s="6" t="s">
        <v>345</v>
      </c>
      <c r="C2092" s="6" t="n">
        <v>47</v>
      </c>
      <c r="D2092" s="25" t="n">
        <f aca="false">EDATE('Start Here'!$B$6,C2092-1)</f>
        <v>47727</v>
      </c>
      <c r="E2092" s="11" t="n">
        <f aca="false">IF(AND(C2092&gt;=Staffing!$F$40,C2092&lt;=Staffing!$G$40,1=1),IF(C2092&lt;=6,Staffing!$H$40,IF(C2092&lt;=15,Staffing!$I$40,IF(C2092&lt;=30,Staffing!$J$40,Staffing!$K$40))),0)</f>
        <v>4</v>
      </c>
      <c r="F2092" s="10" t="n">
        <f aca="false">E2092*Staffing!$L$40/12*(1+Assumptions!$E$10)^INT((C2092-1)/12)*1</f>
        <v>34728.75</v>
      </c>
      <c r="G2092" s="10" t="n">
        <f aca="false">F2092*Staffing!$N$40</f>
        <v>13891.5</v>
      </c>
      <c r="H2092" s="10" t="n">
        <f aca="false">F2092+G2092</f>
        <v>48620.25</v>
      </c>
      <c r="I2092" s="10" t="n">
        <f aca="false">0</f>
        <v>0</v>
      </c>
      <c r="J2092" s="10" t="n">
        <f aca="false">MAX(0,E2092-E2091)*Staffing!$O$40</f>
        <v>0</v>
      </c>
      <c r="K2092" s="10" t="n">
        <f aca="false">MAX(0,E2092-E2091)*Staffing!$P$40</f>
        <v>0</v>
      </c>
      <c r="L2092" s="23" t="n">
        <f aca="false">ROUNDUP(E2092,0)</f>
        <v>4</v>
      </c>
    </row>
    <row r="2093" customFormat="false" ht="15" hidden="false" customHeight="false" outlineLevel="0" collapsed="false">
      <c r="A2093" s="6" t="s">
        <v>73</v>
      </c>
      <c r="B2093" s="6" t="s">
        <v>345</v>
      </c>
      <c r="C2093" s="6" t="n">
        <v>48</v>
      </c>
      <c r="D2093" s="25" t="n">
        <f aca="false">EDATE('Start Here'!$B$6,C2093-1)</f>
        <v>47757</v>
      </c>
      <c r="E2093" s="11" t="n">
        <f aca="false">IF(AND(C2093&gt;=Staffing!$F$40,C2093&lt;=Staffing!$G$40,1=1),IF(C2093&lt;=6,Staffing!$H$40,IF(C2093&lt;=15,Staffing!$I$40,IF(C2093&lt;=30,Staffing!$J$40,Staffing!$K$40))),0)</f>
        <v>4</v>
      </c>
      <c r="F2093" s="10" t="n">
        <f aca="false">E2093*Staffing!$L$40/12*(1+Assumptions!$E$10)^INT((C2093-1)/12)*1</f>
        <v>34728.75</v>
      </c>
      <c r="G2093" s="10" t="n">
        <f aca="false">F2093*Staffing!$N$40</f>
        <v>13891.5</v>
      </c>
      <c r="H2093" s="10" t="n">
        <f aca="false">F2093+G2093</f>
        <v>48620.25</v>
      </c>
      <c r="I2093" s="10" t="n">
        <f aca="false">0</f>
        <v>0</v>
      </c>
      <c r="J2093" s="10" t="n">
        <f aca="false">MAX(0,E2093-E2092)*Staffing!$O$40</f>
        <v>0</v>
      </c>
      <c r="K2093" s="10" t="n">
        <f aca="false">MAX(0,E2093-E2092)*Staffing!$P$40</f>
        <v>0</v>
      </c>
      <c r="L2093" s="23" t="n">
        <f aca="false">ROUNDUP(E2093,0)</f>
        <v>4</v>
      </c>
    </row>
    <row r="2094" customFormat="false" ht="15" hidden="false" customHeight="false" outlineLevel="0" collapsed="false">
      <c r="A2094" s="6" t="s">
        <v>73</v>
      </c>
      <c r="B2094" s="6" t="s">
        <v>345</v>
      </c>
      <c r="C2094" s="6" t="n">
        <v>49</v>
      </c>
      <c r="D2094" s="25" t="n">
        <f aca="false">EDATE('Start Here'!$B$6,C2094-1)</f>
        <v>47788</v>
      </c>
      <c r="E2094" s="11" t="n">
        <f aca="false">IF(AND(C2094&gt;=Staffing!$F$40,C2094&lt;=Staffing!$G$40,1=1),IF(C2094&lt;=6,Staffing!$H$40,IF(C2094&lt;=15,Staffing!$I$40,IF(C2094&lt;=30,Staffing!$J$40,Staffing!$K$40))),0)</f>
        <v>4</v>
      </c>
      <c r="F2094" s="10" t="n">
        <f aca="false">E2094*Staffing!$L$40/12*(1+Assumptions!$E$10)^INT((C2094-1)/12)*1</f>
        <v>36465.1875</v>
      </c>
      <c r="G2094" s="10" t="n">
        <f aca="false">F2094*Staffing!$N$40</f>
        <v>14586.075</v>
      </c>
      <c r="H2094" s="10" t="n">
        <f aca="false">F2094+G2094</f>
        <v>51051.2625</v>
      </c>
      <c r="I2094" s="10" t="n">
        <f aca="false">0</f>
        <v>0</v>
      </c>
      <c r="J2094" s="10" t="n">
        <f aca="false">MAX(0,E2094-E2093)*Staffing!$O$40</f>
        <v>0</v>
      </c>
      <c r="K2094" s="10" t="n">
        <f aca="false">MAX(0,E2094-E2093)*Staffing!$P$40</f>
        <v>0</v>
      </c>
      <c r="L2094" s="23" t="n">
        <f aca="false">ROUNDUP(E2094,0)</f>
        <v>4</v>
      </c>
    </row>
    <row r="2095" customFormat="false" ht="15" hidden="false" customHeight="false" outlineLevel="0" collapsed="false">
      <c r="A2095" s="6" t="s">
        <v>73</v>
      </c>
      <c r="B2095" s="6" t="s">
        <v>345</v>
      </c>
      <c r="C2095" s="6" t="n">
        <v>50</v>
      </c>
      <c r="D2095" s="25" t="n">
        <f aca="false">EDATE('Start Here'!$B$6,C2095-1)</f>
        <v>47818</v>
      </c>
      <c r="E2095" s="11" t="n">
        <f aca="false">IF(AND(C2095&gt;=Staffing!$F$40,C2095&lt;=Staffing!$G$40,1=1),IF(C2095&lt;=6,Staffing!$H$40,IF(C2095&lt;=15,Staffing!$I$40,IF(C2095&lt;=30,Staffing!$J$40,Staffing!$K$40))),0)</f>
        <v>4</v>
      </c>
      <c r="F2095" s="10" t="n">
        <f aca="false">E2095*Staffing!$L$40/12*(1+Assumptions!$E$10)^INT((C2095-1)/12)*1</f>
        <v>36465.1875</v>
      </c>
      <c r="G2095" s="10" t="n">
        <f aca="false">F2095*Staffing!$N$40</f>
        <v>14586.075</v>
      </c>
      <c r="H2095" s="10" t="n">
        <f aca="false">F2095+G2095</f>
        <v>51051.2625</v>
      </c>
      <c r="I2095" s="10" t="n">
        <f aca="false">0</f>
        <v>0</v>
      </c>
      <c r="J2095" s="10" t="n">
        <f aca="false">MAX(0,E2095-E2094)*Staffing!$O$40</f>
        <v>0</v>
      </c>
      <c r="K2095" s="10" t="n">
        <f aca="false">MAX(0,E2095-E2094)*Staffing!$P$40</f>
        <v>0</v>
      </c>
      <c r="L2095" s="23" t="n">
        <f aca="false">ROUNDUP(E2095,0)</f>
        <v>4</v>
      </c>
    </row>
    <row r="2096" customFormat="false" ht="15" hidden="false" customHeight="false" outlineLevel="0" collapsed="false">
      <c r="A2096" s="6" t="s">
        <v>73</v>
      </c>
      <c r="B2096" s="6" t="s">
        <v>345</v>
      </c>
      <c r="C2096" s="6" t="n">
        <v>51</v>
      </c>
      <c r="D2096" s="25" t="n">
        <f aca="false">EDATE('Start Here'!$B$6,C2096-1)</f>
        <v>47849</v>
      </c>
      <c r="E2096" s="11" t="n">
        <f aca="false">IF(AND(C2096&gt;=Staffing!$F$40,C2096&lt;=Staffing!$G$40,1=1),IF(C2096&lt;=6,Staffing!$H$40,IF(C2096&lt;=15,Staffing!$I$40,IF(C2096&lt;=30,Staffing!$J$40,Staffing!$K$40))),0)</f>
        <v>4</v>
      </c>
      <c r="F2096" s="10" t="n">
        <f aca="false">E2096*Staffing!$L$40/12*(1+Assumptions!$E$10)^INT((C2096-1)/12)*1</f>
        <v>36465.1875</v>
      </c>
      <c r="G2096" s="10" t="n">
        <f aca="false">F2096*Staffing!$N$40</f>
        <v>14586.075</v>
      </c>
      <c r="H2096" s="10" t="n">
        <f aca="false">F2096+G2096</f>
        <v>51051.2625</v>
      </c>
      <c r="I2096" s="10" t="n">
        <f aca="false">0</f>
        <v>0</v>
      </c>
      <c r="J2096" s="10" t="n">
        <f aca="false">MAX(0,E2096-E2095)*Staffing!$O$40</f>
        <v>0</v>
      </c>
      <c r="K2096" s="10" t="n">
        <f aca="false">MAX(0,E2096-E2095)*Staffing!$P$40</f>
        <v>0</v>
      </c>
      <c r="L2096" s="23" t="n">
        <f aca="false">ROUNDUP(E2096,0)</f>
        <v>4</v>
      </c>
    </row>
    <row r="2097" customFormat="false" ht="15" hidden="false" customHeight="false" outlineLevel="0" collapsed="false">
      <c r="A2097" s="6" t="s">
        <v>73</v>
      </c>
      <c r="B2097" s="6" t="s">
        <v>345</v>
      </c>
      <c r="C2097" s="6" t="n">
        <v>52</v>
      </c>
      <c r="D2097" s="25" t="n">
        <f aca="false">EDATE('Start Here'!$B$6,C2097-1)</f>
        <v>47880</v>
      </c>
      <c r="E2097" s="11" t="n">
        <f aca="false">IF(AND(C2097&gt;=Staffing!$F$40,C2097&lt;=Staffing!$G$40,1=1),IF(C2097&lt;=6,Staffing!$H$40,IF(C2097&lt;=15,Staffing!$I$40,IF(C2097&lt;=30,Staffing!$J$40,Staffing!$K$40))),0)</f>
        <v>4</v>
      </c>
      <c r="F2097" s="10" t="n">
        <f aca="false">E2097*Staffing!$L$40/12*(1+Assumptions!$E$10)^INT((C2097-1)/12)*1</f>
        <v>36465.1875</v>
      </c>
      <c r="G2097" s="10" t="n">
        <f aca="false">F2097*Staffing!$N$40</f>
        <v>14586.075</v>
      </c>
      <c r="H2097" s="10" t="n">
        <f aca="false">F2097+G2097</f>
        <v>51051.2625</v>
      </c>
      <c r="I2097" s="10" t="n">
        <f aca="false">0</f>
        <v>0</v>
      </c>
      <c r="J2097" s="10" t="n">
        <f aca="false">MAX(0,E2097-E2096)*Staffing!$O$40</f>
        <v>0</v>
      </c>
      <c r="K2097" s="10" t="n">
        <f aca="false">MAX(0,E2097-E2096)*Staffing!$P$40</f>
        <v>0</v>
      </c>
      <c r="L2097" s="23" t="n">
        <f aca="false">ROUNDUP(E2097,0)</f>
        <v>4</v>
      </c>
    </row>
    <row r="2098" customFormat="false" ht="15" hidden="false" customHeight="false" outlineLevel="0" collapsed="false">
      <c r="A2098" s="6" t="s">
        <v>73</v>
      </c>
      <c r="B2098" s="6" t="s">
        <v>345</v>
      </c>
      <c r="C2098" s="6" t="n">
        <v>53</v>
      </c>
      <c r="D2098" s="25" t="n">
        <f aca="false">EDATE('Start Here'!$B$6,C2098-1)</f>
        <v>47908</v>
      </c>
      <c r="E2098" s="11" t="n">
        <f aca="false">IF(AND(C2098&gt;=Staffing!$F$40,C2098&lt;=Staffing!$G$40,1=1),IF(C2098&lt;=6,Staffing!$H$40,IF(C2098&lt;=15,Staffing!$I$40,IF(C2098&lt;=30,Staffing!$J$40,Staffing!$K$40))),0)</f>
        <v>4</v>
      </c>
      <c r="F2098" s="10" t="n">
        <f aca="false">E2098*Staffing!$L$40/12*(1+Assumptions!$E$10)^INT((C2098-1)/12)*1</f>
        <v>36465.1875</v>
      </c>
      <c r="G2098" s="10" t="n">
        <f aca="false">F2098*Staffing!$N$40</f>
        <v>14586.075</v>
      </c>
      <c r="H2098" s="10" t="n">
        <f aca="false">F2098+G2098</f>
        <v>51051.2625</v>
      </c>
      <c r="I2098" s="10" t="n">
        <f aca="false">0</f>
        <v>0</v>
      </c>
      <c r="J2098" s="10" t="n">
        <f aca="false">MAX(0,E2098-E2097)*Staffing!$O$40</f>
        <v>0</v>
      </c>
      <c r="K2098" s="10" t="n">
        <f aca="false">MAX(0,E2098-E2097)*Staffing!$P$40</f>
        <v>0</v>
      </c>
      <c r="L2098" s="23" t="n">
        <f aca="false">ROUNDUP(E2098,0)</f>
        <v>4</v>
      </c>
    </row>
    <row r="2099" customFormat="false" ht="15" hidden="false" customHeight="false" outlineLevel="0" collapsed="false">
      <c r="A2099" s="6" t="s">
        <v>73</v>
      </c>
      <c r="B2099" s="6" t="s">
        <v>345</v>
      </c>
      <c r="C2099" s="6" t="n">
        <v>54</v>
      </c>
      <c r="D2099" s="25" t="n">
        <f aca="false">EDATE('Start Here'!$B$6,C2099-1)</f>
        <v>47939</v>
      </c>
      <c r="E2099" s="11" t="n">
        <f aca="false">IF(AND(C2099&gt;=Staffing!$F$40,C2099&lt;=Staffing!$G$40,1=1),IF(C2099&lt;=6,Staffing!$H$40,IF(C2099&lt;=15,Staffing!$I$40,IF(C2099&lt;=30,Staffing!$J$40,Staffing!$K$40))),0)</f>
        <v>4</v>
      </c>
      <c r="F2099" s="10" t="n">
        <f aca="false">E2099*Staffing!$L$40/12*(1+Assumptions!$E$10)^INT((C2099-1)/12)*1</f>
        <v>36465.1875</v>
      </c>
      <c r="G2099" s="10" t="n">
        <f aca="false">F2099*Staffing!$N$40</f>
        <v>14586.075</v>
      </c>
      <c r="H2099" s="10" t="n">
        <f aca="false">F2099+G2099</f>
        <v>51051.2625</v>
      </c>
      <c r="I2099" s="10" t="n">
        <f aca="false">0</f>
        <v>0</v>
      </c>
      <c r="J2099" s="10" t="n">
        <f aca="false">MAX(0,E2099-E2098)*Staffing!$O$40</f>
        <v>0</v>
      </c>
      <c r="K2099" s="10" t="n">
        <f aca="false">MAX(0,E2099-E2098)*Staffing!$P$40</f>
        <v>0</v>
      </c>
      <c r="L2099" s="23" t="n">
        <f aca="false">ROUNDUP(E2099,0)</f>
        <v>4</v>
      </c>
    </row>
    <row r="2100" customFormat="false" ht="15" hidden="false" customHeight="false" outlineLevel="0" collapsed="false">
      <c r="A2100" s="6" t="s">
        <v>73</v>
      </c>
      <c r="B2100" s="6" t="s">
        <v>345</v>
      </c>
      <c r="C2100" s="6" t="n">
        <v>55</v>
      </c>
      <c r="D2100" s="25" t="n">
        <f aca="false">EDATE('Start Here'!$B$6,C2100-1)</f>
        <v>47969</v>
      </c>
      <c r="E2100" s="11" t="n">
        <f aca="false">IF(AND(C2100&gt;=Staffing!$F$40,C2100&lt;=Staffing!$G$40,1=1),IF(C2100&lt;=6,Staffing!$H$40,IF(C2100&lt;=15,Staffing!$I$40,IF(C2100&lt;=30,Staffing!$J$40,Staffing!$K$40))),0)</f>
        <v>4</v>
      </c>
      <c r="F2100" s="10" t="n">
        <f aca="false">E2100*Staffing!$L$40/12*(1+Assumptions!$E$10)^INT((C2100-1)/12)*1</f>
        <v>36465.1875</v>
      </c>
      <c r="G2100" s="10" t="n">
        <f aca="false">F2100*Staffing!$N$40</f>
        <v>14586.075</v>
      </c>
      <c r="H2100" s="10" t="n">
        <f aca="false">F2100+G2100</f>
        <v>51051.2625</v>
      </c>
      <c r="I2100" s="10" t="n">
        <f aca="false">0</f>
        <v>0</v>
      </c>
      <c r="J2100" s="10" t="n">
        <f aca="false">MAX(0,E2100-E2099)*Staffing!$O$40</f>
        <v>0</v>
      </c>
      <c r="K2100" s="10" t="n">
        <f aca="false">MAX(0,E2100-E2099)*Staffing!$P$40</f>
        <v>0</v>
      </c>
      <c r="L2100" s="23" t="n">
        <f aca="false">ROUNDUP(E2100,0)</f>
        <v>4</v>
      </c>
    </row>
    <row r="2101" customFormat="false" ht="15" hidden="false" customHeight="false" outlineLevel="0" collapsed="false">
      <c r="A2101" s="6" t="s">
        <v>73</v>
      </c>
      <c r="B2101" s="6" t="s">
        <v>345</v>
      </c>
      <c r="C2101" s="6" t="n">
        <v>56</v>
      </c>
      <c r="D2101" s="25" t="n">
        <f aca="false">EDATE('Start Here'!$B$6,C2101-1)</f>
        <v>48000</v>
      </c>
      <c r="E2101" s="11" t="n">
        <f aca="false">IF(AND(C2101&gt;=Staffing!$F$40,C2101&lt;=Staffing!$G$40,1=1),IF(C2101&lt;=6,Staffing!$H$40,IF(C2101&lt;=15,Staffing!$I$40,IF(C2101&lt;=30,Staffing!$J$40,Staffing!$K$40))),0)</f>
        <v>4</v>
      </c>
      <c r="F2101" s="10" t="n">
        <f aca="false">E2101*Staffing!$L$40/12*(1+Assumptions!$E$10)^INT((C2101-1)/12)*1</f>
        <v>36465.1875</v>
      </c>
      <c r="G2101" s="10" t="n">
        <f aca="false">F2101*Staffing!$N$40</f>
        <v>14586.075</v>
      </c>
      <c r="H2101" s="10" t="n">
        <f aca="false">F2101+G2101</f>
        <v>51051.2625</v>
      </c>
      <c r="I2101" s="10" t="n">
        <f aca="false">0</f>
        <v>0</v>
      </c>
      <c r="J2101" s="10" t="n">
        <f aca="false">MAX(0,E2101-E2100)*Staffing!$O$40</f>
        <v>0</v>
      </c>
      <c r="K2101" s="10" t="n">
        <f aca="false">MAX(0,E2101-E2100)*Staffing!$P$40</f>
        <v>0</v>
      </c>
      <c r="L2101" s="23" t="n">
        <f aca="false">ROUNDUP(E2101,0)</f>
        <v>4</v>
      </c>
    </row>
    <row r="2102" customFormat="false" ht="15" hidden="false" customHeight="false" outlineLevel="0" collapsed="false">
      <c r="A2102" s="6" t="s">
        <v>73</v>
      </c>
      <c r="B2102" s="6" t="s">
        <v>345</v>
      </c>
      <c r="C2102" s="6" t="n">
        <v>57</v>
      </c>
      <c r="D2102" s="25" t="n">
        <f aca="false">EDATE('Start Here'!$B$6,C2102-1)</f>
        <v>48030</v>
      </c>
      <c r="E2102" s="11" t="n">
        <f aca="false">IF(AND(C2102&gt;=Staffing!$F$40,C2102&lt;=Staffing!$G$40,1=1),IF(C2102&lt;=6,Staffing!$H$40,IF(C2102&lt;=15,Staffing!$I$40,IF(C2102&lt;=30,Staffing!$J$40,Staffing!$K$40))),0)</f>
        <v>4</v>
      </c>
      <c r="F2102" s="10" t="n">
        <f aca="false">E2102*Staffing!$L$40/12*(1+Assumptions!$E$10)^INT((C2102-1)/12)*1</f>
        <v>36465.1875</v>
      </c>
      <c r="G2102" s="10" t="n">
        <f aca="false">F2102*Staffing!$N$40</f>
        <v>14586.075</v>
      </c>
      <c r="H2102" s="10" t="n">
        <f aca="false">F2102+G2102</f>
        <v>51051.2625</v>
      </c>
      <c r="I2102" s="10" t="n">
        <f aca="false">0</f>
        <v>0</v>
      </c>
      <c r="J2102" s="10" t="n">
        <f aca="false">MAX(0,E2102-E2101)*Staffing!$O$40</f>
        <v>0</v>
      </c>
      <c r="K2102" s="10" t="n">
        <f aca="false">MAX(0,E2102-E2101)*Staffing!$P$40</f>
        <v>0</v>
      </c>
      <c r="L2102" s="23" t="n">
        <f aca="false">ROUNDUP(E2102,0)</f>
        <v>4</v>
      </c>
    </row>
    <row r="2103" customFormat="false" ht="15" hidden="false" customHeight="false" outlineLevel="0" collapsed="false">
      <c r="A2103" s="6" t="s">
        <v>73</v>
      </c>
      <c r="B2103" s="6" t="s">
        <v>345</v>
      </c>
      <c r="C2103" s="6" t="n">
        <v>58</v>
      </c>
      <c r="D2103" s="25" t="n">
        <f aca="false">EDATE('Start Here'!$B$6,C2103-1)</f>
        <v>48061</v>
      </c>
      <c r="E2103" s="11" t="n">
        <f aca="false">IF(AND(C2103&gt;=Staffing!$F$40,C2103&lt;=Staffing!$G$40,1=1),IF(C2103&lt;=6,Staffing!$H$40,IF(C2103&lt;=15,Staffing!$I$40,IF(C2103&lt;=30,Staffing!$J$40,Staffing!$K$40))),0)</f>
        <v>4</v>
      </c>
      <c r="F2103" s="10" t="n">
        <f aca="false">E2103*Staffing!$L$40/12*(1+Assumptions!$E$10)^INT((C2103-1)/12)*1</f>
        <v>36465.1875</v>
      </c>
      <c r="G2103" s="10" t="n">
        <f aca="false">F2103*Staffing!$N$40</f>
        <v>14586.075</v>
      </c>
      <c r="H2103" s="10" t="n">
        <f aca="false">F2103+G2103</f>
        <v>51051.2625</v>
      </c>
      <c r="I2103" s="10" t="n">
        <f aca="false">0</f>
        <v>0</v>
      </c>
      <c r="J2103" s="10" t="n">
        <f aca="false">MAX(0,E2103-E2102)*Staffing!$O$40</f>
        <v>0</v>
      </c>
      <c r="K2103" s="10" t="n">
        <f aca="false">MAX(0,E2103-E2102)*Staffing!$P$40</f>
        <v>0</v>
      </c>
      <c r="L2103" s="23" t="n">
        <f aca="false">ROUNDUP(E2103,0)</f>
        <v>4</v>
      </c>
    </row>
    <row r="2104" customFormat="false" ht="15" hidden="false" customHeight="false" outlineLevel="0" collapsed="false">
      <c r="A2104" s="6" t="s">
        <v>73</v>
      </c>
      <c r="B2104" s="6" t="s">
        <v>345</v>
      </c>
      <c r="C2104" s="6" t="n">
        <v>59</v>
      </c>
      <c r="D2104" s="25" t="n">
        <f aca="false">EDATE('Start Here'!$B$6,C2104-1)</f>
        <v>48092</v>
      </c>
      <c r="E2104" s="11" t="n">
        <f aca="false">IF(AND(C2104&gt;=Staffing!$F$40,C2104&lt;=Staffing!$G$40,1=1),IF(C2104&lt;=6,Staffing!$H$40,IF(C2104&lt;=15,Staffing!$I$40,IF(C2104&lt;=30,Staffing!$J$40,Staffing!$K$40))),0)</f>
        <v>4</v>
      </c>
      <c r="F2104" s="10" t="n">
        <f aca="false">E2104*Staffing!$L$40/12*(1+Assumptions!$E$10)^INT((C2104-1)/12)*1</f>
        <v>36465.1875</v>
      </c>
      <c r="G2104" s="10" t="n">
        <f aca="false">F2104*Staffing!$N$40</f>
        <v>14586.075</v>
      </c>
      <c r="H2104" s="10" t="n">
        <f aca="false">F2104+G2104</f>
        <v>51051.2625</v>
      </c>
      <c r="I2104" s="10" t="n">
        <f aca="false">0</f>
        <v>0</v>
      </c>
      <c r="J2104" s="10" t="n">
        <f aca="false">MAX(0,E2104-E2103)*Staffing!$O$40</f>
        <v>0</v>
      </c>
      <c r="K2104" s="10" t="n">
        <f aca="false">MAX(0,E2104-E2103)*Staffing!$P$40</f>
        <v>0</v>
      </c>
      <c r="L2104" s="23" t="n">
        <f aca="false">ROUNDUP(E2104,0)</f>
        <v>4</v>
      </c>
    </row>
    <row r="2105" customFormat="false" ht="15" hidden="false" customHeight="false" outlineLevel="0" collapsed="false">
      <c r="A2105" s="6" t="s">
        <v>73</v>
      </c>
      <c r="B2105" s="6" t="s">
        <v>345</v>
      </c>
      <c r="C2105" s="6" t="n">
        <v>60</v>
      </c>
      <c r="D2105" s="25" t="n">
        <f aca="false">EDATE('Start Here'!$B$6,C2105-1)</f>
        <v>48122</v>
      </c>
      <c r="E2105" s="11" t="n">
        <f aca="false">IF(AND(C2105&gt;=Staffing!$F$40,C2105&lt;=Staffing!$G$40,1=1),IF(C2105&lt;=6,Staffing!$H$40,IF(C2105&lt;=15,Staffing!$I$40,IF(C2105&lt;=30,Staffing!$J$40,Staffing!$K$40))),0)</f>
        <v>4</v>
      </c>
      <c r="F2105" s="10" t="n">
        <f aca="false">E2105*Staffing!$L$40/12*(1+Assumptions!$E$10)^INT((C2105-1)/12)*1</f>
        <v>36465.1875</v>
      </c>
      <c r="G2105" s="10" t="n">
        <f aca="false">F2105*Staffing!$N$40</f>
        <v>14586.075</v>
      </c>
      <c r="H2105" s="10" t="n">
        <f aca="false">F2105+G2105</f>
        <v>51051.2625</v>
      </c>
      <c r="I2105" s="10" t="n">
        <f aca="false">0</f>
        <v>0</v>
      </c>
      <c r="J2105" s="10" t="n">
        <f aca="false">MAX(0,E2105-E2104)*Staffing!$O$40</f>
        <v>0</v>
      </c>
      <c r="K2105" s="10" t="n">
        <f aca="false">MAX(0,E2105-E2104)*Staffing!$P$40</f>
        <v>0</v>
      </c>
      <c r="L2105" s="23" t="n">
        <f aca="false">ROUNDUP(E2105,0)</f>
        <v>4</v>
      </c>
    </row>
    <row r="2106" customFormat="false" ht="15" hidden="false" customHeight="false" outlineLevel="0" collapsed="false">
      <c r="A2106" s="6" t="s">
        <v>73</v>
      </c>
      <c r="B2106" s="6" t="s">
        <v>347</v>
      </c>
      <c r="C2106" s="6" t="n">
        <v>1</v>
      </c>
      <c r="D2106" s="25" t="n">
        <f aca="false">EDATE('Start Here'!$B$6,C2106-1)</f>
        <v>46327</v>
      </c>
      <c r="E2106" s="23" t="n">
        <f aca="false">IF(AND(C2106&gt;=Staffing!$F$41,C2106&lt;=Staffing!$G$41,1=1),IF(C2106&lt;=6,Staffing!$H$41,IF(C2106&lt;=15,Staffing!$I$41,IF(C2106&lt;=30,Staffing!$J$41,Staffing!$K$41))),0)</f>
        <v>0</v>
      </c>
      <c r="F2106" s="10" t="n">
        <f aca="false">E2106*Staffing!$L$41/12*(1+Assumptions!$E$10)^INT((C2106-1)/12)*1</f>
        <v>0</v>
      </c>
      <c r="G2106" s="10" t="n">
        <f aca="false">F2106*Staffing!$N$41</f>
        <v>0</v>
      </c>
      <c r="H2106" s="10" t="n">
        <f aca="false">F2106+G2106</f>
        <v>0</v>
      </c>
      <c r="I2106" s="10" t="n">
        <f aca="false">0</f>
        <v>0</v>
      </c>
      <c r="J2106" s="10" t="n">
        <f aca="false">MAX(0,E2106-0)*Staffing!$O$41</f>
        <v>0</v>
      </c>
      <c r="K2106" s="10" t="n">
        <f aca="false">MAX(0,E2106-0)*Staffing!$P$41</f>
        <v>0</v>
      </c>
      <c r="L2106" s="23" t="n">
        <f aca="false">ROUNDUP(E2106,0)</f>
        <v>0</v>
      </c>
    </row>
    <row r="2107" customFormat="false" ht="15" hidden="false" customHeight="false" outlineLevel="0" collapsed="false">
      <c r="A2107" s="6" t="s">
        <v>73</v>
      </c>
      <c r="B2107" s="6" t="s">
        <v>347</v>
      </c>
      <c r="C2107" s="6" t="n">
        <v>2</v>
      </c>
      <c r="D2107" s="25" t="n">
        <f aca="false">EDATE('Start Here'!$B$6,C2107-1)</f>
        <v>46357</v>
      </c>
      <c r="E2107" s="23" t="n">
        <f aca="false">IF(AND(C2107&gt;=Staffing!$F$41,C2107&lt;=Staffing!$G$41,1=1),IF(C2107&lt;=6,Staffing!$H$41,IF(C2107&lt;=15,Staffing!$I$41,IF(C2107&lt;=30,Staffing!$J$41,Staffing!$K$41))),0)</f>
        <v>0</v>
      </c>
      <c r="F2107" s="10" t="n">
        <f aca="false">E2107*Staffing!$L$41/12*(1+Assumptions!$E$10)^INT((C2107-1)/12)*1</f>
        <v>0</v>
      </c>
      <c r="G2107" s="10" t="n">
        <f aca="false">F2107*Staffing!$N$41</f>
        <v>0</v>
      </c>
      <c r="H2107" s="10" t="n">
        <f aca="false">F2107+G2107</f>
        <v>0</v>
      </c>
      <c r="I2107" s="10" t="n">
        <f aca="false">0</f>
        <v>0</v>
      </c>
      <c r="J2107" s="10" t="n">
        <f aca="false">MAX(0,E2107-E2106)*Staffing!$O$41</f>
        <v>0</v>
      </c>
      <c r="K2107" s="10" t="n">
        <f aca="false">MAX(0,E2107-E2106)*Staffing!$P$41</f>
        <v>0</v>
      </c>
      <c r="L2107" s="23" t="n">
        <f aca="false">ROUNDUP(E2107,0)</f>
        <v>0</v>
      </c>
    </row>
    <row r="2108" customFormat="false" ht="15" hidden="false" customHeight="false" outlineLevel="0" collapsed="false">
      <c r="A2108" s="6" t="s">
        <v>73</v>
      </c>
      <c r="B2108" s="6" t="s">
        <v>347</v>
      </c>
      <c r="C2108" s="6" t="n">
        <v>3</v>
      </c>
      <c r="D2108" s="25" t="n">
        <f aca="false">EDATE('Start Here'!$B$6,C2108-1)</f>
        <v>46388</v>
      </c>
      <c r="E2108" s="23" t="n">
        <f aca="false">IF(AND(C2108&gt;=Staffing!$F$41,C2108&lt;=Staffing!$G$41,1=1),IF(C2108&lt;=6,Staffing!$H$41,IF(C2108&lt;=15,Staffing!$I$41,IF(C2108&lt;=30,Staffing!$J$41,Staffing!$K$41))),0)</f>
        <v>0</v>
      </c>
      <c r="F2108" s="10" t="n">
        <f aca="false">E2108*Staffing!$L$41/12*(1+Assumptions!$E$10)^INT((C2108-1)/12)*1</f>
        <v>0</v>
      </c>
      <c r="G2108" s="10" t="n">
        <f aca="false">F2108*Staffing!$N$41</f>
        <v>0</v>
      </c>
      <c r="H2108" s="10" t="n">
        <f aca="false">F2108+G2108</f>
        <v>0</v>
      </c>
      <c r="I2108" s="10" t="n">
        <f aca="false">0</f>
        <v>0</v>
      </c>
      <c r="J2108" s="10" t="n">
        <f aca="false">MAX(0,E2108-E2107)*Staffing!$O$41</f>
        <v>0</v>
      </c>
      <c r="K2108" s="10" t="n">
        <f aca="false">MAX(0,E2108-E2107)*Staffing!$P$41</f>
        <v>0</v>
      </c>
      <c r="L2108" s="23" t="n">
        <f aca="false">ROUNDUP(E2108,0)</f>
        <v>0</v>
      </c>
    </row>
    <row r="2109" customFormat="false" ht="15" hidden="false" customHeight="false" outlineLevel="0" collapsed="false">
      <c r="A2109" s="6" t="s">
        <v>73</v>
      </c>
      <c r="B2109" s="6" t="s">
        <v>347</v>
      </c>
      <c r="C2109" s="6" t="n">
        <v>4</v>
      </c>
      <c r="D2109" s="25" t="n">
        <f aca="false">EDATE('Start Here'!$B$6,C2109-1)</f>
        <v>46419</v>
      </c>
      <c r="E2109" s="23" t="n">
        <f aca="false">IF(AND(C2109&gt;=Staffing!$F$41,C2109&lt;=Staffing!$G$41,1=1),IF(C2109&lt;=6,Staffing!$H$41,IF(C2109&lt;=15,Staffing!$I$41,IF(C2109&lt;=30,Staffing!$J$41,Staffing!$K$41))),0)</f>
        <v>0</v>
      </c>
      <c r="F2109" s="10" t="n">
        <f aca="false">E2109*Staffing!$L$41/12*(1+Assumptions!$E$10)^INT((C2109-1)/12)*1</f>
        <v>0</v>
      </c>
      <c r="G2109" s="10" t="n">
        <f aca="false">F2109*Staffing!$N$41</f>
        <v>0</v>
      </c>
      <c r="H2109" s="10" t="n">
        <f aca="false">F2109+G2109</f>
        <v>0</v>
      </c>
      <c r="I2109" s="10" t="n">
        <f aca="false">0</f>
        <v>0</v>
      </c>
      <c r="J2109" s="10" t="n">
        <f aca="false">MAX(0,E2109-E2108)*Staffing!$O$41</f>
        <v>0</v>
      </c>
      <c r="K2109" s="10" t="n">
        <f aca="false">MAX(0,E2109-E2108)*Staffing!$P$41</f>
        <v>0</v>
      </c>
      <c r="L2109" s="23" t="n">
        <f aca="false">ROUNDUP(E2109,0)</f>
        <v>0</v>
      </c>
    </row>
    <row r="2110" customFormat="false" ht="15" hidden="false" customHeight="false" outlineLevel="0" collapsed="false">
      <c r="A2110" s="6" t="s">
        <v>73</v>
      </c>
      <c r="B2110" s="6" t="s">
        <v>347</v>
      </c>
      <c r="C2110" s="6" t="n">
        <v>5</v>
      </c>
      <c r="D2110" s="25" t="n">
        <f aca="false">EDATE('Start Here'!$B$6,C2110-1)</f>
        <v>46447</v>
      </c>
      <c r="E2110" s="23" t="n">
        <f aca="false">IF(AND(C2110&gt;=Staffing!$F$41,C2110&lt;=Staffing!$G$41,1=1),IF(C2110&lt;=6,Staffing!$H$41,IF(C2110&lt;=15,Staffing!$I$41,IF(C2110&lt;=30,Staffing!$J$41,Staffing!$K$41))),0)</f>
        <v>0</v>
      </c>
      <c r="F2110" s="10" t="n">
        <f aca="false">E2110*Staffing!$L$41/12*(1+Assumptions!$E$10)^INT((C2110-1)/12)*1</f>
        <v>0</v>
      </c>
      <c r="G2110" s="10" t="n">
        <f aca="false">F2110*Staffing!$N$41</f>
        <v>0</v>
      </c>
      <c r="H2110" s="10" t="n">
        <f aca="false">F2110+G2110</f>
        <v>0</v>
      </c>
      <c r="I2110" s="10" t="n">
        <f aca="false">0</f>
        <v>0</v>
      </c>
      <c r="J2110" s="10" t="n">
        <f aca="false">MAX(0,E2110-E2109)*Staffing!$O$41</f>
        <v>0</v>
      </c>
      <c r="K2110" s="10" t="n">
        <f aca="false">MAX(0,E2110-E2109)*Staffing!$P$41</f>
        <v>0</v>
      </c>
      <c r="L2110" s="23" t="n">
        <f aca="false">ROUNDUP(E2110,0)</f>
        <v>0</v>
      </c>
    </row>
    <row r="2111" customFormat="false" ht="15" hidden="false" customHeight="false" outlineLevel="0" collapsed="false">
      <c r="A2111" s="6" t="s">
        <v>73</v>
      </c>
      <c r="B2111" s="6" t="s">
        <v>347</v>
      </c>
      <c r="C2111" s="6" t="n">
        <v>6</v>
      </c>
      <c r="D2111" s="25" t="n">
        <f aca="false">EDATE('Start Here'!$B$6,C2111-1)</f>
        <v>46478</v>
      </c>
      <c r="E2111" s="23" t="n">
        <f aca="false">IF(AND(C2111&gt;=Staffing!$F$41,C2111&lt;=Staffing!$G$41,1=1),IF(C2111&lt;=6,Staffing!$H$41,IF(C2111&lt;=15,Staffing!$I$41,IF(C2111&lt;=30,Staffing!$J$41,Staffing!$K$41))),0)</f>
        <v>0</v>
      </c>
      <c r="F2111" s="10" t="n">
        <f aca="false">E2111*Staffing!$L$41/12*(1+Assumptions!$E$10)^INT((C2111-1)/12)*1</f>
        <v>0</v>
      </c>
      <c r="G2111" s="10" t="n">
        <f aca="false">F2111*Staffing!$N$41</f>
        <v>0</v>
      </c>
      <c r="H2111" s="10" t="n">
        <f aca="false">F2111+G2111</f>
        <v>0</v>
      </c>
      <c r="I2111" s="10" t="n">
        <f aca="false">0</f>
        <v>0</v>
      </c>
      <c r="J2111" s="10" t="n">
        <f aca="false">MAX(0,E2111-E2110)*Staffing!$O$41</f>
        <v>0</v>
      </c>
      <c r="K2111" s="10" t="n">
        <f aca="false">MAX(0,E2111-E2110)*Staffing!$P$41</f>
        <v>0</v>
      </c>
      <c r="L2111" s="23" t="n">
        <f aca="false">ROUNDUP(E2111,0)</f>
        <v>0</v>
      </c>
    </row>
    <row r="2112" customFormat="false" ht="15" hidden="false" customHeight="false" outlineLevel="0" collapsed="false">
      <c r="A2112" s="6" t="s">
        <v>73</v>
      </c>
      <c r="B2112" s="6" t="s">
        <v>347</v>
      </c>
      <c r="C2112" s="6" t="n">
        <v>7</v>
      </c>
      <c r="D2112" s="25" t="n">
        <f aca="false">EDATE('Start Here'!$B$6,C2112-1)</f>
        <v>46508</v>
      </c>
      <c r="E2112" s="23" t="n">
        <f aca="false">IF(AND(C2112&gt;=Staffing!$F$41,C2112&lt;=Staffing!$G$41,1=1),IF(C2112&lt;=6,Staffing!$H$41,IF(C2112&lt;=15,Staffing!$I$41,IF(C2112&lt;=30,Staffing!$J$41,Staffing!$K$41))),0)</f>
        <v>0</v>
      </c>
      <c r="F2112" s="10" t="n">
        <f aca="false">E2112*Staffing!$L$41/12*(1+Assumptions!$E$10)^INT((C2112-1)/12)*1</f>
        <v>0</v>
      </c>
      <c r="G2112" s="10" t="n">
        <f aca="false">F2112*Staffing!$N$41</f>
        <v>0</v>
      </c>
      <c r="H2112" s="10" t="n">
        <f aca="false">F2112+G2112</f>
        <v>0</v>
      </c>
      <c r="I2112" s="10" t="n">
        <f aca="false">0</f>
        <v>0</v>
      </c>
      <c r="J2112" s="10" t="n">
        <f aca="false">MAX(0,E2112-E2111)*Staffing!$O$41</f>
        <v>0</v>
      </c>
      <c r="K2112" s="10" t="n">
        <f aca="false">MAX(0,E2112-E2111)*Staffing!$P$41</f>
        <v>0</v>
      </c>
      <c r="L2112" s="23" t="n">
        <f aca="false">ROUNDUP(E2112,0)</f>
        <v>0</v>
      </c>
    </row>
    <row r="2113" customFormat="false" ht="15" hidden="false" customHeight="false" outlineLevel="0" collapsed="false">
      <c r="A2113" s="6" t="s">
        <v>73</v>
      </c>
      <c r="B2113" s="6" t="s">
        <v>347</v>
      </c>
      <c r="C2113" s="6" t="n">
        <v>8</v>
      </c>
      <c r="D2113" s="25" t="n">
        <f aca="false">EDATE('Start Here'!$B$6,C2113-1)</f>
        <v>46539</v>
      </c>
      <c r="E2113" s="23" t="n">
        <f aca="false">IF(AND(C2113&gt;=Staffing!$F$41,C2113&lt;=Staffing!$G$41,1=1),IF(C2113&lt;=6,Staffing!$H$41,IF(C2113&lt;=15,Staffing!$I$41,IF(C2113&lt;=30,Staffing!$J$41,Staffing!$K$41))),0)</f>
        <v>0</v>
      </c>
      <c r="F2113" s="10" t="n">
        <f aca="false">E2113*Staffing!$L$41/12*(1+Assumptions!$E$10)^INT((C2113-1)/12)*1</f>
        <v>0</v>
      </c>
      <c r="G2113" s="10" t="n">
        <f aca="false">F2113*Staffing!$N$41</f>
        <v>0</v>
      </c>
      <c r="H2113" s="10" t="n">
        <f aca="false">F2113+G2113</f>
        <v>0</v>
      </c>
      <c r="I2113" s="10" t="n">
        <f aca="false">0</f>
        <v>0</v>
      </c>
      <c r="J2113" s="10" t="n">
        <f aca="false">MAX(0,E2113-E2112)*Staffing!$O$41</f>
        <v>0</v>
      </c>
      <c r="K2113" s="10" t="n">
        <f aca="false">MAX(0,E2113-E2112)*Staffing!$P$41</f>
        <v>0</v>
      </c>
      <c r="L2113" s="23" t="n">
        <f aca="false">ROUNDUP(E2113,0)</f>
        <v>0</v>
      </c>
    </row>
    <row r="2114" customFormat="false" ht="15" hidden="false" customHeight="false" outlineLevel="0" collapsed="false">
      <c r="A2114" s="6" t="s">
        <v>73</v>
      </c>
      <c r="B2114" s="6" t="s">
        <v>347</v>
      </c>
      <c r="C2114" s="6" t="n">
        <v>9</v>
      </c>
      <c r="D2114" s="25" t="n">
        <f aca="false">EDATE('Start Here'!$B$6,C2114-1)</f>
        <v>46569</v>
      </c>
      <c r="E2114" s="23" t="n">
        <f aca="false">IF(AND(C2114&gt;=Staffing!$F$41,C2114&lt;=Staffing!$G$41,1=1),IF(C2114&lt;=6,Staffing!$H$41,IF(C2114&lt;=15,Staffing!$I$41,IF(C2114&lt;=30,Staffing!$J$41,Staffing!$K$41))),0)</f>
        <v>0</v>
      </c>
      <c r="F2114" s="10" t="n">
        <f aca="false">E2114*Staffing!$L$41/12*(1+Assumptions!$E$10)^INT((C2114-1)/12)*1</f>
        <v>0</v>
      </c>
      <c r="G2114" s="10" t="n">
        <f aca="false">F2114*Staffing!$N$41</f>
        <v>0</v>
      </c>
      <c r="H2114" s="10" t="n">
        <f aca="false">F2114+G2114</f>
        <v>0</v>
      </c>
      <c r="I2114" s="10" t="n">
        <f aca="false">0</f>
        <v>0</v>
      </c>
      <c r="J2114" s="10" t="n">
        <f aca="false">MAX(0,E2114-E2113)*Staffing!$O$41</f>
        <v>0</v>
      </c>
      <c r="K2114" s="10" t="n">
        <f aca="false">MAX(0,E2114-E2113)*Staffing!$P$41</f>
        <v>0</v>
      </c>
      <c r="L2114" s="23" t="n">
        <f aca="false">ROUNDUP(E2114,0)</f>
        <v>0</v>
      </c>
    </row>
    <row r="2115" customFormat="false" ht="15" hidden="false" customHeight="false" outlineLevel="0" collapsed="false">
      <c r="A2115" s="6" t="s">
        <v>73</v>
      </c>
      <c r="B2115" s="6" t="s">
        <v>347</v>
      </c>
      <c r="C2115" s="6" t="n">
        <v>10</v>
      </c>
      <c r="D2115" s="25" t="n">
        <f aca="false">EDATE('Start Here'!$B$6,C2115-1)</f>
        <v>46600</v>
      </c>
      <c r="E2115" s="23" t="n">
        <f aca="false">IF(AND(C2115&gt;=Staffing!$F$41,C2115&lt;=Staffing!$G$41,1=1),IF(C2115&lt;=6,Staffing!$H$41,IF(C2115&lt;=15,Staffing!$I$41,IF(C2115&lt;=30,Staffing!$J$41,Staffing!$K$41))),0)</f>
        <v>0</v>
      </c>
      <c r="F2115" s="10" t="n">
        <f aca="false">E2115*Staffing!$L$41/12*(1+Assumptions!$E$10)^INT((C2115-1)/12)*1</f>
        <v>0</v>
      </c>
      <c r="G2115" s="10" t="n">
        <f aca="false">F2115*Staffing!$N$41</f>
        <v>0</v>
      </c>
      <c r="H2115" s="10" t="n">
        <f aca="false">F2115+G2115</f>
        <v>0</v>
      </c>
      <c r="I2115" s="10" t="n">
        <f aca="false">0</f>
        <v>0</v>
      </c>
      <c r="J2115" s="10" t="n">
        <f aca="false">MAX(0,E2115-E2114)*Staffing!$O$41</f>
        <v>0</v>
      </c>
      <c r="K2115" s="10" t="n">
        <f aca="false">MAX(0,E2115-E2114)*Staffing!$P$41</f>
        <v>0</v>
      </c>
      <c r="L2115" s="23" t="n">
        <f aca="false">ROUNDUP(E2115,0)</f>
        <v>0</v>
      </c>
    </row>
    <row r="2116" customFormat="false" ht="15" hidden="false" customHeight="false" outlineLevel="0" collapsed="false">
      <c r="A2116" s="6" t="s">
        <v>73</v>
      </c>
      <c r="B2116" s="6" t="s">
        <v>347</v>
      </c>
      <c r="C2116" s="6" t="n">
        <v>11</v>
      </c>
      <c r="D2116" s="25" t="n">
        <f aca="false">EDATE('Start Here'!$B$6,C2116-1)</f>
        <v>46631</v>
      </c>
      <c r="E2116" s="23" t="n">
        <f aca="false">IF(AND(C2116&gt;=Staffing!$F$41,C2116&lt;=Staffing!$G$41,1=1),IF(C2116&lt;=6,Staffing!$H$41,IF(C2116&lt;=15,Staffing!$I$41,IF(C2116&lt;=30,Staffing!$J$41,Staffing!$K$41))),0)</f>
        <v>0</v>
      </c>
      <c r="F2116" s="10" t="n">
        <f aca="false">E2116*Staffing!$L$41/12*(1+Assumptions!$E$10)^INT((C2116-1)/12)*1</f>
        <v>0</v>
      </c>
      <c r="G2116" s="10" t="n">
        <f aca="false">F2116*Staffing!$N$41</f>
        <v>0</v>
      </c>
      <c r="H2116" s="10" t="n">
        <f aca="false">F2116+G2116</f>
        <v>0</v>
      </c>
      <c r="I2116" s="10" t="n">
        <f aca="false">0</f>
        <v>0</v>
      </c>
      <c r="J2116" s="10" t="n">
        <f aca="false">MAX(0,E2116-E2115)*Staffing!$O$41</f>
        <v>0</v>
      </c>
      <c r="K2116" s="10" t="n">
        <f aca="false">MAX(0,E2116-E2115)*Staffing!$P$41</f>
        <v>0</v>
      </c>
      <c r="L2116" s="23" t="n">
        <f aca="false">ROUNDUP(E2116,0)</f>
        <v>0</v>
      </c>
    </row>
    <row r="2117" customFormat="false" ht="15" hidden="false" customHeight="false" outlineLevel="0" collapsed="false">
      <c r="A2117" s="6" t="s">
        <v>73</v>
      </c>
      <c r="B2117" s="6" t="s">
        <v>347</v>
      </c>
      <c r="C2117" s="6" t="n">
        <v>12</v>
      </c>
      <c r="D2117" s="25" t="n">
        <f aca="false">EDATE('Start Here'!$B$6,C2117-1)</f>
        <v>46661</v>
      </c>
      <c r="E2117" s="23" t="n">
        <f aca="false">IF(AND(C2117&gt;=Staffing!$F$41,C2117&lt;=Staffing!$G$41,1=1),IF(C2117&lt;=6,Staffing!$H$41,IF(C2117&lt;=15,Staffing!$I$41,IF(C2117&lt;=30,Staffing!$J$41,Staffing!$K$41))),0)</f>
        <v>0</v>
      </c>
      <c r="F2117" s="10" t="n">
        <f aca="false">E2117*Staffing!$L$41/12*(1+Assumptions!$E$10)^INT((C2117-1)/12)*1</f>
        <v>0</v>
      </c>
      <c r="G2117" s="10" t="n">
        <f aca="false">F2117*Staffing!$N$41</f>
        <v>0</v>
      </c>
      <c r="H2117" s="10" t="n">
        <f aca="false">F2117+G2117</f>
        <v>0</v>
      </c>
      <c r="I2117" s="10" t="n">
        <f aca="false">0</f>
        <v>0</v>
      </c>
      <c r="J2117" s="10" t="n">
        <f aca="false">MAX(0,E2117-E2116)*Staffing!$O$41</f>
        <v>0</v>
      </c>
      <c r="K2117" s="10" t="n">
        <f aca="false">MAX(0,E2117-E2116)*Staffing!$P$41</f>
        <v>0</v>
      </c>
      <c r="L2117" s="23" t="n">
        <f aca="false">ROUNDUP(E2117,0)</f>
        <v>0</v>
      </c>
    </row>
    <row r="2118" customFormat="false" ht="15" hidden="false" customHeight="false" outlineLevel="0" collapsed="false">
      <c r="A2118" s="6" t="s">
        <v>73</v>
      </c>
      <c r="B2118" s="6" t="s">
        <v>347</v>
      </c>
      <c r="C2118" s="6" t="n">
        <v>13</v>
      </c>
      <c r="D2118" s="25" t="n">
        <f aca="false">EDATE('Start Here'!$B$6,C2118-1)</f>
        <v>46692</v>
      </c>
      <c r="E2118" s="23" t="n">
        <f aca="false">IF(AND(C2118&gt;=Staffing!$F$41,C2118&lt;=Staffing!$G$41,1=1),IF(C2118&lt;=6,Staffing!$H$41,IF(C2118&lt;=15,Staffing!$I$41,IF(C2118&lt;=30,Staffing!$J$41,Staffing!$K$41))),0)</f>
        <v>0</v>
      </c>
      <c r="F2118" s="10" t="n">
        <f aca="false">E2118*Staffing!$L$41/12*(1+Assumptions!$E$10)^INT((C2118-1)/12)*1</f>
        <v>0</v>
      </c>
      <c r="G2118" s="10" t="n">
        <f aca="false">F2118*Staffing!$N$41</f>
        <v>0</v>
      </c>
      <c r="H2118" s="10" t="n">
        <f aca="false">F2118+G2118</f>
        <v>0</v>
      </c>
      <c r="I2118" s="10" t="n">
        <f aca="false">0</f>
        <v>0</v>
      </c>
      <c r="J2118" s="10" t="n">
        <f aca="false">MAX(0,E2118-E2117)*Staffing!$O$41</f>
        <v>0</v>
      </c>
      <c r="K2118" s="10" t="n">
        <f aca="false">MAX(0,E2118-E2117)*Staffing!$P$41</f>
        <v>0</v>
      </c>
      <c r="L2118" s="23" t="n">
        <f aca="false">ROUNDUP(E2118,0)</f>
        <v>0</v>
      </c>
    </row>
    <row r="2119" customFormat="false" ht="15" hidden="false" customHeight="false" outlineLevel="0" collapsed="false">
      <c r="A2119" s="6" t="s">
        <v>73</v>
      </c>
      <c r="B2119" s="6" t="s">
        <v>347</v>
      </c>
      <c r="C2119" s="6" t="n">
        <v>14</v>
      </c>
      <c r="D2119" s="25" t="n">
        <f aca="false">EDATE('Start Here'!$B$6,C2119-1)</f>
        <v>46722</v>
      </c>
      <c r="E2119" s="23" t="n">
        <f aca="false">IF(AND(C2119&gt;=Staffing!$F$41,C2119&lt;=Staffing!$G$41,1=1),IF(C2119&lt;=6,Staffing!$H$41,IF(C2119&lt;=15,Staffing!$I$41,IF(C2119&lt;=30,Staffing!$J$41,Staffing!$K$41))),0)</f>
        <v>0</v>
      </c>
      <c r="F2119" s="10" t="n">
        <f aca="false">E2119*Staffing!$L$41/12*(1+Assumptions!$E$10)^INT((C2119-1)/12)*1</f>
        <v>0</v>
      </c>
      <c r="G2119" s="10" t="n">
        <f aca="false">F2119*Staffing!$N$41</f>
        <v>0</v>
      </c>
      <c r="H2119" s="10" t="n">
        <f aca="false">F2119+G2119</f>
        <v>0</v>
      </c>
      <c r="I2119" s="10" t="n">
        <f aca="false">0</f>
        <v>0</v>
      </c>
      <c r="J2119" s="10" t="n">
        <f aca="false">MAX(0,E2119-E2118)*Staffing!$O$41</f>
        <v>0</v>
      </c>
      <c r="K2119" s="10" t="n">
        <f aca="false">MAX(0,E2119-E2118)*Staffing!$P$41</f>
        <v>0</v>
      </c>
      <c r="L2119" s="23" t="n">
        <f aca="false">ROUNDUP(E2119,0)</f>
        <v>0</v>
      </c>
    </row>
    <row r="2120" customFormat="false" ht="15" hidden="false" customHeight="false" outlineLevel="0" collapsed="false">
      <c r="A2120" s="6" t="s">
        <v>73</v>
      </c>
      <c r="B2120" s="6" t="s">
        <v>347</v>
      </c>
      <c r="C2120" s="6" t="n">
        <v>15</v>
      </c>
      <c r="D2120" s="25" t="n">
        <f aca="false">EDATE('Start Here'!$B$6,C2120-1)</f>
        <v>46753</v>
      </c>
      <c r="E2120" s="23" t="n">
        <f aca="false">IF(AND(C2120&gt;=Staffing!$F$41,C2120&lt;=Staffing!$G$41,1=1),IF(C2120&lt;=6,Staffing!$H$41,IF(C2120&lt;=15,Staffing!$I$41,IF(C2120&lt;=30,Staffing!$J$41,Staffing!$K$41))),0)</f>
        <v>0</v>
      </c>
      <c r="F2120" s="10" t="n">
        <f aca="false">E2120*Staffing!$L$41/12*(1+Assumptions!$E$10)^INT((C2120-1)/12)*1</f>
        <v>0</v>
      </c>
      <c r="G2120" s="10" t="n">
        <f aca="false">F2120*Staffing!$N$41</f>
        <v>0</v>
      </c>
      <c r="H2120" s="10" t="n">
        <f aca="false">F2120+G2120</f>
        <v>0</v>
      </c>
      <c r="I2120" s="10" t="n">
        <f aca="false">0</f>
        <v>0</v>
      </c>
      <c r="J2120" s="10" t="n">
        <f aca="false">MAX(0,E2120-E2119)*Staffing!$O$41</f>
        <v>0</v>
      </c>
      <c r="K2120" s="10" t="n">
        <f aca="false">MAX(0,E2120-E2119)*Staffing!$P$41</f>
        <v>0</v>
      </c>
      <c r="L2120" s="23" t="n">
        <f aca="false">ROUNDUP(E2120,0)</f>
        <v>0</v>
      </c>
    </row>
    <row r="2121" customFormat="false" ht="15" hidden="false" customHeight="false" outlineLevel="0" collapsed="false">
      <c r="A2121" s="6" t="s">
        <v>73</v>
      </c>
      <c r="B2121" s="6" t="s">
        <v>347</v>
      </c>
      <c r="C2121" s="6" t="n">
        <v>16</v>
      </c>
      <c r="D2121" s="25" t="n">
        <f aca="false">EDATE('Start Here'!$B$6,C2121-1)</f>
        <v>46784</v>
      </c>
      <c r="E2121" s="11" t="n">
        <f aca="false">IF(AND(C2121&gt;=Staffing!$F$41,C2121&lt;=Staffing!$G$41,1=1),IF(C2121&lt;=6,Staffing!$H$41,IF(C2121&lt;=15,Staffing!$I$41,IF(C2121&lt;=30,Staffing!$J$41,Staffing!$K$41))),0)</f>
        <v>1</v>
      </c>
      <c r="F2121" s="10" t="n">
        <f aca="false">E2121*Staffing!$L$41/12*(1+Assumptions!$E$10)^INT((C2121-1)/12)*1</f>
        <v>10500</v>
      </c>
      <c r="G2121" s="10" t="n">
        <f aca="false">F2121*Staffing!$N$41</f>
        <v>4200</v>
      </c>
      <c r="H2121" s="10" t="n">
        <f aca="false">F2121+G2121</f>
        <v>14700</v>
      </c>
      <c r="I2121" s="10" t="n">
        <f aca="false">0</f>
        <v>0</v>
      </c>
      <c r="J2121" s="10" t="n">
        <f aca="false">MAX(0,E2121-E2120)*Staffing!$O$41</f>
        <v>12000</v>
      </c>
      <c r="K2121" s="10" t="n">
        <f aca="false">MAX(0,E2121-E2120)*Staffing!$P$41</f>
        <v>3500</v>
      </c>
      <c r="L2121" s="23" t="n">
        <f aca="false">ROUNDUP(E2121,0)</f>
        <v>1</v>
      </c>
    </row>
    <row r="2122" customFormat="false" ht="15" hidden="false" customHeight="false" outlineLevel="0" collapsed="false">
      <c r="A2122" s="6" t="s">
        <v>73</v>
      </c>
      <c r="B2122" s="6" t="s">
        <v>347</v>
      </c>
      <c r="C2122" s="6" t="n">
        <v>17</v>
      </c>
      <c r="D2122" s="25" t="n">
        <f aca="false">EDATE('Start Here'!$B$6,C2122-1)</f>
        <v>46813</v>
      </c>
      <c r="E2122" s="11" t="n">
        <f aca="false">IF(AND(C2122&gt;=Staffing!$F$41,C2122&lt;=Staffing!$G$41,1=1),IF(C2122&lt;=6,Staffing!$H$41,IF(C2122&lt;=15,Staffing!$I$41,IF(C2122&lt;=30,Staffing!$J$41,Staffing!$K$41))),0)</f>
        <v>1</v>
      </c>
      <c r="F2122" s="10" t="n">
        <f aca="false">E2122*Staffing!$L$41/12*(1+Assumptions!$E$10)^INT((C2122-1)/12)*1</f>
        <v>10500</v>
      </c>
      <c r="G2122" s="10" t="n">
        <f aca="false">F2122*Staffing!$N$41</f>
        <v>4200</v>
      </c>
      <c r="H2122" s="10" t="n">
        <f aca="false">F2122+G2122</f>
        <v>14700</v>
      </c>
      <c r="I2122" s="10" t="n">
        <f aca="false">0</f>
        <v>0</v>
      </c>
      <c r="J2122" s="10" t="n">
        <f aca="false">MAX(0,E2122-E2121)*Staffing!$O$41</f>
        <v>0</v>
      </c>
      <c r="K2122" s="10" t="n">
        <f aca="false">MAX(0,E2122-E2121)*Staffing!$P$41</f>
        <v>0</v>
      </c>
      <c r="L2122" s="23" t="n">
        <f aca="false">ROUNDUP(E2122,0)</f>
        <v>1</v>
      </c>
    </row>
    <row r="2123" customFormat="false" ht="15" hidden="false" customHeight="false" outlineLevel="0" collapsed="false">
      <c r="A2123" s="6" t="s">
        <v>73</v>
      </c>
      <c r="B2123" s="6" t="s">
        <v>347</v>
      </c>
      <c r="C2123" s="6" t="n">
        <v>18</v>
      </c>
      <c r="D2123" s="25" t="n">
        <f aca="false">EDATE('Start Here'!$B$6,C2123-1)</f>
        <v>46844</v>
      </c>
      <c r="E2123" s="11" t="n">
        <f aca="false">IF(AND(C2123&gt;=Staffing!$F$41,C2123&lt;=Staffing!$G$41,1=1),IF(C2123&lt;=6,Staffing!$H$41,IF(C2123&lt;=15,Staffing!$I$41,IF(C2123&lt;=30,Staffing!$J$41,Staffing!$K$41))),0)</f>
        <v>1</v>
      </c>
      <c r="F2123" s="10" t="n">
        <f aca="false">E2123*Staffing!$L$41/12*(1+Assumptions!$E$10)^INT((C2123-1)/12)*1</f>
        <v>10500</v>
      </c>
      <c r="G2123" s="10" t="n">
        <f aca="false">F2123*Staffing!$N$41</f>
        <v>4200</v>
      </c>
      <c r="H2123" s="10" t="n">
        <f aca="false">F2123+G2123</f>
        <v>14700</v>
      </c>
      <c r="I2123" s="10" t="n">
        <f aca="false">0</f>
        <v>0</v>
      </c>
      <c r="J2123" s="10" t="n">
        <f aca="false">MAX(0,E2123-E2122)*Staffing!$O$41</f>
        <v>0</v>
      </c>
      <c r="K2123" s="10" t="n">
        <f aca="false">MAX(0,E2123-E2122)*Staffing!$P$41</f>
        <v>0</v>
      </c>
      <c r="L2123" s="23" t="n">
        <f aca="false">ROUNDUP(E2123,0)</f>
        <v>1</v>
      </c>
    </row>
    <row r="2124" customFormat="false" ht="15" hidden="false" customHeight="false" outlineLevel="0" collapsed="false">
      <c r="A2124" s="6" t="s">
        <v>73</v>
      </c>
      <c r="B2124" s="6" t="s">
        <v>347</v>
      </c>
      <c r="C2124" s="6" t="n">
        <v>19</v>
      </c>
      <c r="D2124" s="25" t="n">
        <f aca="false">EDATE('Start Here'!$B$6,C2124-1)</f>
        <v>46874</v>
      </c>
      <c r="E2124" s="11" t="n">
        <f aca="false">IF(AND(C2124&gt;=Staffing!$F$41,C2124&lt;=Staffing!$G$41,1=1),IF(C2124&lt;=6,Staffing!$H$41,IF(C2124&lt;=15,Staffing!$I$41,IF(C2124&lt;=30,Staffing!$J$41,Staffing!$K$41))),0)</f>
        <v>1</v>
      </c>
      <c r="F2124" s="10" t="n">
        <f aca="false">E2124*Staffing!$L$41/12*(1+Assumptions!$E$10)^INT((C2124-1)/12)*1</f>
        <v>10500</v>
      </c>
      <c r="G2124" s="10" t="n">
        <f aca="false">F2124*Staffing!$N$41</f>
        <v>4200</v>
      </c>
      <c r="H2124" s="10" t="n">
        <f aca="false">F2124+G2124</f>
        <v>14700</v>
      </c>
      <c r="I2124" s="10" t="n">
        <f aca="false">0</f>
        <v>0</v>
      </c>
      <c r="J2124" s="10" t="n">
        <f aca="false">MAX(0,E2124-E2123)*Staffing!$O$41</f>
        <v>0</v>
      </c>
      <c r="K2124" s="10" t="n">
        <f aca="false">MAX(0,E2124-E2123)*Staffing!$P$41</f>
        <v>0</v>
      </c>
      <c r="L2124" s="23" t="n">
        <f aca="false">ROUNDUP(E2124,0)</f>
        <v>1</v>
      </c>
    </row>
    <row r="2125" customFormat="false" ht="15" hidden="false" customHeight="false" outlineLevel="0" collapsed="false">
      <c r="A2125" s="6" t="s">
        <v>73</v>
      </c>
      <c r="B2125" s="6" t="s">
        <v>347</v>
      </c>
      <c r="C2125" s="6" t="n">
        <v>20</v>
      </c>
      <c r="D2125" s="25" t="n">
        <f aca="false">EDATE('Start Here'!$B$6,C2125-1)</f>
        <v>46905</v>
      </c>
      <c r="E2125" s="11" t="n">
        <f aca="false">IF(AND(C2125&gt;=Staffing!$F$41,C2125&lt;=Staffing!$G$41,1=1),IF(C2125&lt;=6,Staffing!$H$41,IF(C2125&lt;=15,Staffing!$I$41,IF(C2125&lt;=30,Staffing!$J$41,Staffing!$K$41))),0)</f>
        <v>1</v>
      </c>
      <c r="F2125" s="10" t="n">
        <f aca="false">E2125*Staffing!$L$41/12*(1+Assumptions!$E$10)^INT((C2125-1)/12)*1</f>
        <v>10500</v>
      </c>
      <c r="G2125" s="10" t="n">
        <f aca="false">F2125*Staffing!$N$41</f>
        <v>4200</v>
      </c>
      <c r="H2125" s="10" t="n">
        <f aca="false">F2125+G2125</f>
        <v>14700</v>
      </c>
      <c r="I2125" s="10" t="n">
        <f aca="false">0</f>
        <v>0</v>
      </c>
      <c r="J2125" s="10" t="n">
        <f aca="false">MAX(0,E2125-E2124)*Staffing!$O$41</f>
        <v>0</v>
      </c>
      <c r="K2125" s="10" t="n">
        <f aca="false">MAX(0,E2125-E2124)*Staffing!$P$41</f>
        <v>0</v>
      </c>
      <c r="L2125" s="23" t="n">
        <f aca="false">ROUNDUP(E2125,0)</f>
        <v>1</v>
      </c>
    </row>
    <row r="2126" customFormat="false" ht="15" hidden="false" customHeight="false" outlineLevel="0" collapsed="false">
      <c r="A2126" s="6" t="s">
        <v>73</v>
      </c>
      <c r="B2126" s="6" t="s">
        <v>347</v>
      </c>
      <c r="C2126" s="6" t="n">
        <v>21</v>
      </c>
      <c r="D2126" s="25" t="n">
        <f aca="false">EDATE('Start Here'!$B$6,C2126-1)</f>
        <v>46935</v>
      </c>
      <c r="E2126" s="11" t="n">
        <f aca="false">IF(AND(C2126&gt;=Staffing!$F$41,C2126&lt;=Staffing!$G$41,1=1),IF(C2126&lt;=6,Staffing!$H$41,IF(C2126&lt;=15,Staffing!$I$41,IF(C2126&lt;=30,Staffing!$J$41,Staffing!$K$41))),0)</f>
        <v>1</v>
      </c>
      <c r="F2126" s="10" t="n">
        <f aca="false">E2126*Staffing!$L$41/12*(1+Assumptions!$E$10)^INT((C2126-1)/12)*1</f>
        <v>10500</v>
      </c>
      <c r="G2126" s="10" t="n">
        <f aca="false">F2126*Staffing!$N$41</f>
        <v>4200</v>
      </c>
      <c r="H2126" s="10" t="n">
        <f aca="false">F2126+G2126</f>
        <v>14700</v>
      </c>
      <c r="I2126" s="10" t="n">
        <f aca="false">0</f>
        <v>0</v>
      </c>
      <c r="J2126" s="10" t="n">
        <f aca="false">MAX(0,E2126-E2125)*Staffing!$O$41</f>
        <v>0</v>
      </c>
      <c r="K2126" s="10" t="n">
        <f aca="false">MAX(0,E2126-E2125)*Staffing!$P$41</f>
        <v>0</v>
      </c>
      <c r="L2126" s="23" t="n">
        <f aca="false">ROUNDUP(E2126,0)</f>
        <v>1</v>
      </c>
    </row>
    <row r="2127" customFormat="false" ht="15" hidden="false" customHeight="false" outlineLevel="0" collapsed="false">
      <c r="A2127" s="6" t="s">
        <v>73</v>
      </c>
      <c r="B2127" s="6" t="s">
        <v>347</v>
      </c>
      <c r="C2127" s="6" t="n">
        <v>22</v>
      </c>
      <c r="D2127" s="25" t="n">
        <f aca="false">EDATE('Start Here'!$B$6,C2127-1)</f>
        <v>46966</v>
      </c>
      <c r="E2127" s="11" t="n">
        <f aca="false">IF(AND(C2127&gt;=Staffing!$F$41,C2127&lt;=Staffing!$G$41,1=1),IF(C2127&lt;=6,Staffing!$H$41,IF(C2127&lt;=15,Staffing!$I$41,IF(C2127&lt;=30,Staffing!$J$41,Staffing!$K$41))),0)</f>
        <v>1</v>
      </c>
      <c r="F2127" s="10" t="n">
        <f aca="false">E2127*Staffing!$L$41/12*(1+Assumptions!$E$10)^INT((C2127-1)/12)*1</f>
        <v>10500</v>
      </c>
      <c r="G2127" s="10" t="n">
        <f aca="false">F2127*Staffing!$N$41</f>
        <v>4200</v>
      </c>
      <c r="H2127" s="10" t="n">
        <f aca="false">F2127+G2127</f>
        <v>14700</v>
      </c>
      <c r="I2127" s="10" t="n">
        <f aca="false">0</f>
        <v>0</v>
      </c>
      <c r="J2127" s="10" t="n">
        <f aca="false">MAX(0,E2127-E2126)*Staffing!$O$41</f>
        <v>0</v>
      </c>
      <c r="K2127" s="10" t="n">
        <f aca="false">MAX(0,E2127-E2126)*Staffing!$P$41</f>
        <v>0</v>
      </c>
      <c r="L2127" s="23" t="n">
        <f aca="false">ROUNDUP(E2127,0)</f>
        <v>1</v>
      </c>
    </row>
    <row r="2128" customFormat="false" ht="15" hidden="false" customHeight="false" outlineLevel="0" collapsed="false">
      <c r="A2128" s="6" t="s">
        <v>73</v>
      </c>
      <c r="B2128" s="6" t="s">
        <v>347</v>
      </c>
      <c r="C2128" s="6" t="n">
        <v>23</v>
      </c>
      <c r="D2128" s="25" t="n">
        <f aca="false">EDATE('Start Here'!$B$6,C2128-1)</f>
        <v>46997</v>
      </c>
      <c r="E2128" s="11" t="n">
        <f aca="false">IF(AND(C2128&gt;=Staffing!$F$41,C2128&lt;=Staffing!$G$41,1=1),IF(C2128&lt;=6,Staffing!$H$41,IF(C2128&lt;=15,Staffing!$I$41,IF(C2128&lt;=30,Staffing!$J$41,Staffing!$K$41))),0)</f>
        <v>1</v>
      </c>
      <c r="F2128" s="10" t="n">
        <f aca="false">E2128*Staffing!$L$41/12*(1+Assumptions!$E$10)^INT((C2128-1)/12)*1</f>
        <v>10500</v>
      </c>
      <c r="G2128" s="10" t="n">
        <f aca="false">F2128*Staffing!$N$41</f>
        <v>4200</v>
      </c>
      <c r="H2128" s="10" t="n">
        <f aca="false">F2128+G2128</f>
        <v>14700</v>
      </c>
      <c r="I2128" s="10" t="n">
        <f aca="false">0</f>
        <v>0</v>
      </c>
      <c r="J2128" s="10" t="n">
        <f aca="false">MAX(0,E2128-E2127)*Staffing!$O$41</f>
        <v>0</v>
      </c>
      <c r="K2128" s="10" t="n">
        <f aca="false">MAX(0,E2128-E2127)*Staffing!$P$41</f>
        <v>0</v>
      </c>
      <c r="L2128" s="23" t="n">
        <f aca="false">ROUNDUP(E2128,0)</f>
        <v>1</v>
      </c>
    </row>
    <row r="2129" customFormat="false" ht="15" hidden="false" customHeight="false" outlineLevel="0" collapsed="false">
      <c r="A2129" s="6" t="s">
        <v>73</v>
      </c>
      <c r="B2129" s="6" t="s">
        <v>347</v>
      </c>
      <c r="C2129" s="6" t="n">
        <v>24</v>
      </c>
      <c r="D2129" s="25" t="n">
        <f aca="false">EDATE('Start Here'!$B$6,C2129-1)</f>
        <v>47027</v>
      </c>
      <c r="E2129" s="11" t="n">
        <f aca="false">IF(AND(C2129&gt;=Staffing!$F$41,C2129&lt;=Staffing!$G$41,1=1),IF(C2129&lt;=6,Staffing!$H$41,IF(C2129&lt;=15,Staffing!$I$41,IF(C2129&lt;=30,Staffing!$J$41,Staffing!$K$41))),0)</f>
        <v>1</v>
      </c>
      <c r="F2129" s="10" t="n">
        <f aca="false">E2129*Staffing!$L$41/12*(1+Assumptions!$E$10)^INT((C2129-1)/12)*1</f>
        <v>10500</v>
      </c>
      <c r="G2129" s="10" t="n">
        <f aca="false">F2129*Staffing!$N$41</f>
        <v>4200</v>
      </c>
      <c r="H2129" s="10" t="n">
        <f aca="false">F2129+G2129</f>
        <v>14700</v>
      </c>
      <c r="I2129" s="10" t="n">
        <f aca="false">0</f>
        <v>0</v>
      </c>
      <c r="J2129" s="10" t="n">
        <f aca="false">MAX(0,E2129-E2128)*Staffing!$O$41</f>
        <v>0</v>
      </c>
      <c r="K2129" s="10" t="n">
        <f aca="false">MAX(0,E2129-E2128)*Staffing!$P$41</f>
        <v>0</v>
      </c>
      <c r="L2129" s="23" t="n">
        <f aca="false">ROUNDUP(E2129,0)</f>
        <v>1</v>
      </c>
    </row>
    <row r="2130" customFormat="false" ht="15" hidden="false" customHeight="false" outlineLevel="0" collapsed="false">
      <c r="A2130" s="6" t="s">
        <v>73</v>
      </c>
      <c r="B2130" s="6" t="s">
        <v>347</v>
      </c>
      <c r="C2130" s="6" t="n">
        <v>25</v>
      </c>
      <c r="D2130" s="25" t="n">
        <f aca="false">EDATE('Start Here'!$B$6,C2130-1)</f>
        <v>47058</v>
      </c>
      <c r="E2130" s="11" t="n">
        <f aca="false">IF(AND(C2130&gt;=Staffing!$F$41,C2130&lt;=Staffing!$G$41,1=1),IF(C2130&lt;=6,Staffing!$H$41,IF(C2130&lt;=15,Staffing!$I$41,IF(C2130&lt;=30,Staffing!$J$41,Staffing!$K$41))),0)</f>
        <v>1</v>
      </c>
      <c r="F2130" s="10" t="n">
        <f aca="false">E2130*Staffing!$L$41/12*(1+Assumptions!$E$10)^INT((C2130-1)/12)*1</f>
        <v>11025</v>
      </c>
      <c r="G2130" s="10" t="n">
        <f aca="false">F2130*Staffing!$N$41</f>
        <v>4410</v>
      </c>
      <c r="H2130" s="10" t="n">
        <f aca="false">F2130+G2130</f>
        <v>15435</v>
      </c>
      <c r="I2130" s="10" t="n">
        <f aca="false">0</f>
        <v>0</v>
      </c>
      <c r="J2130" s="10" t="n">
        <f aca="false">MAX(0,E2130-E2129)*Staffing!$O$41</f>
        <v>0</v>
      </c>
      <c r="K2130" s="10" t="n">
        <f aca="false">MAX(0,E2130-E2129)*Staffing!$P$41</f>
        <v>0</v>
      </c>
      <c r="L2130" s="23" t="n">
        <f aca="false">ROUNDUP(E2130,0)</f>
        <v>1</v>
      </c>
    </row>
    <row r="2131" customFormat="false" ht="15" hidden="false" customHeight="false" outlineLevel="0" collapsed="false">
      <c r="A2131" s="6" t="s">
        <v>73</v>
      </c>
      <c r="B2131" s="6" t="s">
        <v>347</v>
      </c>
      <c r="C2131" s="6" t="n">
        <v>26</v>
      </c>
      <c r="D2131" s="25" t="n">
        <f aca="false">EDATE('Start Here'!$B$6,C2131-1)</f>
        <v>47088</v>
      </c>
      <c r="E2131" s="11" t="n">
        <f aca="false">IF(AND(C2131&gt;=Staffing!$F$41,C2131&lt;=Staffing!$G$41,1=1),IF(C2131&lt;=6,Staffing!$H$41,IF(C2131&lt;=15,Staffing!$I$41,IF(C2131&lt;=30,Staffing!$J$41,Staffing!$K$41))),0)</f>
        <v>1</v>
      </c>
      <c r="F2131" s="10" t="n">
        <f aca="false">E2131*Staffing!$L$41/12*(1+Assumptions!$E$10)^INT((C2131-1)/12)*1</f>
        <v>11025</v>
      </c>
      <c r="G2131" s="10" t="n">
        <f aca="false">F2131*Staffing!$N$41</f>
        <v>4410</v>
      </c>
      <c r="H2131" s="10" t="n">
        <f aca="false">F2131+G2131</f>
        <v>15435</v>
      </c>
      <c r="I2131" s="10" t="n">
        <f aca="false">0</f>
        <v>0</v>
      </c>
      <c r="J2131" s="10" t="n">
        <f aca="false">MAX(0,E2131-E2130)*Staffing!$O$41</f>
        <v>0</v>
      </c>
      <c r="K2131" s="10" t="n">
        <f aca="false">MAX(0,E2131-E2130)*Staffing!$P$41</f>
        <v>0</v>
      </c>
      <c r="L2131" s="23" t="n">
        <f aca="false">ROUNDUP(E2131,0)</f>
        <v>1</v>
      </c>
    </row>
    <row r="2132" customFormat="false" ht="15" hidden="false" customHeight="false" outlineLevel="0" collapsed="false">
      <c r="A2132" s="6" t="s">
        <v>73</v>
      </c>
      <c r="B2132" s="6" t="s">
        <v>347</v>
      </c>
      <c r="C2132" s="6" t="n">
        <v>27</v>
      </c>
      <c r="D2132" s="25" t="n">
        <f aca="false">EDATE('Start Here'!$B$6,C2132-1)</f>
        <v>47119</v>
      </c>
      <c r="E2132" s="11" t="n">
        <f aca="false">IF(AND(C2132&gt;=Staffing!$F$41,C2132&lt;=Staffing!$G$41,1=1),IF(C2132&lt;=6,Staffing!$H$41,IF(C2132&lt;=15,Staffing!$I$41,IF(C2132&lt;=30,Staffing!$J$41,Staffing!$K$41))),0)</f>
        <v>1</v>
      </c>
      <c r="F2132" s="10" t="n">
        <f aca="false">E2132*Staffing!$L$41/12*(1+Assumptions!$E$10)^INT((C2132-1)/12)*1</f>
        <v>11025</v>
      </c>
      <c r="G2132" s="10" t="n">
        <f aca="false">F2132*Staffing!$N$41</f>
        <v>4410</v>
      </c>
      <c r="H2132" s="10" t="n">
        <f aca="false">F2132+G2132</f>
        <v>15435</v>
      </c>
      <c r="I2132" s="10" t="n">
        <f aca="false">0</f>
        <v>0</v>
      </c>
      <c r="J2132" s="10" t="n">
        <f aca="false">MAX(0,E2132-E2131)*Staffing!$O$41</f>
        <v>0</v>
      </c>
      <c r="K2132" s="10" t="n">
        <f aca="false">MAX(0,E2132-E2131)*Staffing!$P$41</f>
        <v>0</v>
      </c>
      <c r="L2132" s="23" t="n">
        <f aca="false">ROUNDUP(E2132,0)</f>
        <v>1</v>
      </c>
    </row>
    <row r="2133" customFormat="false" ht="15" hidden="false" customHeight="false" outlineLevel="0" collapsed="false">
      <c r="A2133" s="6" t="s">
        <v>73</v>
      </c>
      <c r="B2133" s="6" t="s">
        <v>347</v>
      </c>
      <c r="C2133" s="6" t="n">
        <v>28</v>
      </c>
      <c r="D2133" s="25" t="n">
        <f aca="false">EDATE('Start Here'!$B$6,C2133-1)</f>
        <v>47150</v>
      </c>
      <c r="E2133" s="11" t="n">
        <f aca="false">IF(AND(C2133&gt;=Staffing!$F$41,C2133&lt;=Staffing!$G$41,1=1),IF(C2133&lt;=6,Staffing!$H$41,IF(C2133&lt;=15,Staffing!$I$41,IF(C2133&lt;=30,Staffing!$J$41,Staffing!$K$41))),0)</f>
        <v>1</v>
      </c>
      <c r="F2133" s="10" t="n">
        <f aca="false">E2133*Staffing!$L$41/12*(1+Assumptions!$E$10)^INT((C2133-1)/12)*1</f>
        <v>11025</v>
      </c>
      <c r="G2133" s="10" t="n">
        <f aca="false">F2133*Staffing!$N$41</f>
        <v>4410</v>
      </c>
      <c r="H2133" s="10" t="n">
        <f aca="false">F2133+G2133</f>
        <v>15435</v>
      </c>
      <c r="I2133" s="10" t="n">
        <f aca="false">0</f>
        <v>0</v>
      </c>
      <c r="J2133" s="10" t="n">
        <f aca="false">MAX(0,E2133-E2132)*Staffing!$O$41</f>
        <v>0</v>
      </c>
      <c r="K2133" s="10" t="n">
        <f aca="false">MAX(0,E2133-E2132)*Staffing!$P$41</f>
        <v>0</v>
      </c>
      <c r="L2133" s="23" t="n">
        <f aca="false">ROUNDUP(E2133,0)</f>
        <v>1</v>
      </c>
    </row>
    <row r="2134" customFormat="false" ht="15" hidden="false" customHeight="false" outlineLevel="0" collapsed="false">
      <c r="A2134" s="6" t="s">
        <v>73</v>
      </c>
      <c r="B2134" s="6" t="s">
        <v>347</v>
      </c>
      <c r="C2134" s="6" t="n">
        <v>29</v>
      </c>
      <c r="D2134" s="25" t="n">
        <f aca="false">EDATE('Start Here'!$B$6,C2134-1)</f>
        <v>47178</v>
      </c>
      <c r="E2134" s="11" t="n">
        <f aca="false">IF(AND(C2134&gt;=Staffing!$F$41,C2134&lt;=Staffing!$G$41,1=1),IF(C2134&lt;=6,Staffing!$H$41,IF(C2134&lt;=15,Staffing!$I$41,IF(C2134&lt;=30,Staffing!$J$41,Staffing!$K$41))),0)</f>
        <v>1</v>
      </c>
      <c r="F2134" s="10" t="n">
        <f aca="false">E2134*Staffing!$L$41/12*(1+Assumptions!$E$10)^INT((C2134-1)/12)*1</f>
        <v>11025</v>
      </c>
      <c r="G2134" s="10" t="n">
        <f aca="false">F2134*Staffing!$N$41</f>
        <v>4410</v>
      </c>
      <c r="H2134" s="10" t="n">
        <f aca="false">F2134+G2134</f>
        <v>15435</v>
      </c>
      <c r="I2134" s="10" t="n">
        <f aca="false">0</f>
        <v>0</v>
      </c>
      <c r="J2134" s="10" t="n">
        <f aca="false">MAX(0,E2134-E2133)*Staffing!$O$41</f>
        <v>0</v>
      </c>
      <c r="K2134" s="10" t="n">
        <f aca="false">MAX(0,E2134-E2133)*Staffing!$P$41</f>
        <v>0</v>
      </c>
      <c r="L2134" s="23" t="n">
        <f aca="false">ROUNDUP(E2134,0)</f>
        <v>1</v>
      </c>
    </row>
    <row r="2135" customFormat="false" ht="15" hidden="false" customHeight="false" outlineLevel="0" collapsed="false">
      <c r="A2135" s="6" t="s">
        <v>73</v>
      </c>
      <c r="B2135" s="6" t="s">
        <v>347</v>
      </c>
      <c r="C2135" s="6" t="n">
        <v>30</v>
      </c>
      <c r="D2135" s="25" t="n">
        <f aca="false">EDATE('Start Here'!$B$6,C2135-1)</f>
        <v>47209</v>
      </c>
      <c r="E2135" s="11" t="n">
        <f aca="false">IF(AND(C2135&gt;=Staffing!$F$41,C2135&lt;=Staffing!$G$41,1=1),IF(C2135&lt;=6,Staffing!$H$41,IF(C2135&lt;=15,Staffing!$I$41,IF(C2135&lt;=30,Staffing!$J$41,Staffing!$K$41))),0)</f>
        <v>1</v>
      </c>
      <c r="F2135" s="10" t="n">
        <f aca="false">E2135*Staffing!$L$41/12*(1+Assumptions!$E$10)^INT((C2135-1)/12)*1</f>
        <v>11025</v>
      </c>
      <c r="G2135" s="10" t="n">
        <f aca="false">F2135*Staffing!$N$41</f>
        <v>4410</v>
      </c>
      <c r="H2135" s="10" t="n">
        <f aca="false">F2135+G2135</f>
        <v>15435</v>
      </c>
      <c r="I2135" s="10" t="n">
        <f aca="false">0</f>
        <v>0</v>
      </c>
      <c r="J2135" s="10" t="n">
        <f aca="false">MAX(0,E2135-E2134)*Staffing!$O$41</f>
        <v>0</v>
      </c>
      <c r="K2135" s="10" t="n">
        <f aca="false">MAX(0,E2135-E2134)*Staffing!$P$41</f>
        <v>0</v>
      </c>
      <c r="L2135" s="23" t="n">
        <f aca="false">ROUNDUP(E2135,0)</f>
        <v>1</v>
      </c>
    </row>
    <row r="2136" customFormat="false" ht="15" hidden="false" customHeight="false" outlineLevel="0" collapsed="false">
      <c r="A2136" s="6" t="s">
        <v>73</v>
      </c>
      <c r="B2136" s="6" t="s">
        <v>347</v>
      </c>
      <c r="C2136" s="6" t="n">
        <v>31</v>
      </c>
      <c r="D2136" s="25" t="n">
        <f aca="false">EDATE('Start Here'!$B$6,C2136-1)</f>
        <v>47239</v>
      </c>
      <c r="E2136" s="11" t="n">
        <f aca="false">IF(AND(C2136&gt;=Staffing!$F$41,C2136&lt;=Staffing!$G$41,1=1),IF(C2136&lt;=6,Staffing!$H$41,IF(C2136&lt;=15,Staffing!$I$41,IF(C2136&lt;=30,Staffing!$J$41,Staffing!$K$41))),0)</f>
        <v>3</v>
      </c>
      <c r="F2136" s="10" t="n">
        <f aca="false">E2136*Staffing!$L$41/12*(1+Assumptions!$E$10)^INT((C2136-1)/12)*1</f>
        <v>33075</v>
      </c>
      <c r="G2136" s="10" t="n">
        <f aca="false">F2136*Staffing!$N$41</f>
        <v>13230</v>
      </c>
      <c r="H2136" s="10" t="n">
        <f aca="false">F2136+G2136</f>
        <v>46305</v>
      </c>
      <c r="I2136" s="10" t="n">
        <f aca="false">0</f>
        <v>0</v>
      </c>
      <c r="J2136" s="10" t="n">
        <f aca="false">MAX(0,E2136-E2135)*Staffing!$O$41</f>
        <v>24000</v>
      </c>
      <c r="K2136" s="10" t="n">
        <f aca="false">MAX(0,E2136-E2135)*Staffing!$P$41</f>
        <v>7000</v>
      </c>
      <c r="L2136" s="23" t="n">
        <f aca="false">ROUNDUP(E2136,0)</f>
        <v>3</v>
      </c>
    </row>
    <row r="2137" customFormat="false" ht="15" hidden="false" customHeight="false" outlineLevel="0" collapsed="false">
      <c r="A2137" s="6" t="s">
        <v>73</v>
      </c>
      <c r="B2137" s="6" t="s">
        <v>347</v>
      </c>
      <c r="C2137" s="6" t="n">
        <v>32</v>
      </c>
      <c r="D2137" s="25" t="n">
        <f aca="false">EDATE('Start Here'!$B$6,C2137-1)</f>
        <v>47270</v>
      </c>
      <c r="E2137" s="11" t="n">
        <f aca="false">IF(AND(C2137&gt;=Staffing!$F$41,C2137&lt;=Staffing!$G$41,1=1),IF(C2137&lt;=6,Staffing!$H$41,IF(C2137&lt;=15,Staffing!$I$41,IF(C2137&lt;=30,Staffing!$J$41,Staffing!$K$41))),0)</f>
        <v>3</v>
      </c>
      <c r="F2137" s="10" t="n">
        <f aca="false">E2137*Staffing!$L$41/12*(1+Assumptions!$E$10)^INT((C2137-1)/12)*1</f>
        <v>33075</v>
      </c>
      <c r="G2137" s="10" t="n">
        <f aca="false">F2137*Staffing!$N$41</f>
        <v>13230</v>
      </c>
      <c r="H2137" s="10" t="n">
        <f aca="false">F2137+G2137</f>
        <v>46305</v>
      </c>
      <c r="I2137" s="10" t="n">
        <f aca="false">0</f>
        <v>0</v>
      </c>
      <c r="J2137" s="10" t="n">
        <f aca="false">MAX(0,E2137-E2136)*Staffing!$O$41</f>
        <v>0</v>
      </c>
      <c r="K2137" s="10" t="n">
        <f aca="false">MAX(0,E2137-E2136)*Staffing!$P$41</f>
        <v>0</v>
      </c>
      <c r="L2137" s="23" t="n">
        <f aca="false">ROUNDUP(E2137,0)</f>
        <v>3</v>
      </c>
    </row>
    <row r="2138" customFormat="false" ht="15" hidden="false" customHeight="false" outlineLevel="0" collapsed="false">
      <c r="A2138" s="6" t="s">
        <v>73</v>
      </c>
      <c r="B2138" s="6" t="s">
        <v>347</v>
      </c>
      <c r="C2138" s="6" t="n">
        <v>33</v>
      </c>
      <c r="D2138" s="25" t="n">
        <f aca="false">EDATE('Start Here'!$B$6,C2138-1)</f>
        <v>47300</v>
      </c>
      <c r="E2138" s="11" t="n">
        <f aca="false">IF(AND(C2138&gt;=Staffing!$F$41,C2138&lt;=Staffing!$G$41,1=1),IF(C2138&lt;=6,Staffing!$H$41,IF(C2138&lt;=15,Staffing!$I$41,IF(C2138&lt;=30,Staffing!$J$41,Staffing!$K$41))),0)</f>
        <v>3</v>
      </c>
      <c r="F2138" s="10" t="n">
        <f aca="false">E2138*Staffing!$L$41/12*(1+Assumptions!$E$10)^INT((C2138-1)/12)*1</f>
        <v>33075</v>
      </c>
      <c r="G2138" s="10" t="n">
        <f aca="false">F2138*Staffing!$N$41</f>
        <v>13230</v>
      </c>
      <c r="H2138" s="10" t="n">
        <f aca="false">F2138+G2138</f>
        <v>46305</v>
      </c>
      <c r="I2138" s="10" t="n">
        <f aca="false">0</f>
        <v>0</v>
      </c>
      <c r="J2138" s="10" t="n">
        <f aca="false">MAX(0,E2138-E2137)*Staffing!$O$41</f>
        <v>0</v>
      </c>
      <c r="K2138" s="10" t="n">
        <f aca="false">MAX(0,E2138-E2137)*Staffing!$P$41</f>
        <v>0</v>
      </c>
      <c r="L2138" s="23" t="n">
        <f aca="false">ROUNDUP(E2138,0)</f>
        <v>3</v>
      </c>
    </row>
    <row r="2139" customFormat="false" ht="15" hidden="false" customHeight="false" outlineLevel="0" collapsed="false">
      <c r="A2139" s="6" t="s">
        <v>73</v>
      </c>
      <c r="B2139" s="6" t="s">
        <v>347</v>
      </c>
      <c r="C2139" s="6" t="n">
        <v>34</v>
      </c>
      <c r="D2139" s="25" t="n">
        <f aca="false">EDATE('Start Here'!$B$6,C2139-1)</f>
        <v>47331</v>
      </c>
      <c r="E2139" s="11" t="n">
        <f aca="false">IF(AND(C2139&gt;=Staffing!$F$41,C2139&lt;=Staffing!$G$41,1=1),IF(C2139&lt;=6,Staffing!$H$41,IF(C2139&lt;=15,Staffing!$I$41,IF(C2139&lt;=30,Staffing!$J$41,Staffing!$K$41))),0)</f>
        <v>3</v>
      </c>
      <c r="F2139" s="10" t="n">
        <f aca="false">E2139*Staffing!$L$41/12*(1+Assumptions!$E$10)^INT((C2139-1)/12)*1</f>
        <v>33075</v>
      </c>
      <c r="G2139" s="10" t="n">
        <f aca="false">F2139*Staffing!$N$41</f>
        <v>13230</v>
      </c>
      <c r="H2139" s="10" t="n">
        <f aca="false">F2139+G2139</f>
        <v>46305</v>
      </c>
      <c r="I2139" s="10" t="n">
        <f aca="false">0</f>
        <v>0</v>
      </c>
      <c r="J2139" s="10" t="n">
        <f aca="false">MAX(0,E2139-E2138)*Staffing!$O$41</f>
        <v>0</v>
      </c>
      <c r="K2139" s="10" t="n">
        <f aca="false">MAX(0,E2139-E2138)*Staffing!$P$41</f>
        <v>0</v>
      </c>
      <c r="L2139" s="23" t="n">
        <f aca="false">ROUNDUP(E2139,0)</f>
        <v>3</v>
      </c>
    </row>
    <row r="2140" customFormat="false" ht="15" hidden="false" customHeight="false" outlineLevel="0" collapsed="false">
      <c r="A2140" s="6" t="s">
        <v>73</v>
      </c>
      <c r="B2140" s="6" t="s">
        <v>347</v>
      </c>
      <c r="C2140" s="6" t="n">
        <v>35</v>
      </c>
      <c r="D2140" s="25" t="n">
        <f aca="false">EDATE('Start Here'!$B$6,C2140-1)</f>
        <v>47362</v>
      </c>
      <c r="E2140" s="11" t="n">
        <f aca="false">IF(AND(C2140&gt;=Staffing!$F$41,C2140&lt;=Staffing!$G$41,1=1),IF(C2140&lt;=6,Staffing!$H$41,IF(C2140&lt;=15,Staffing!$I$41,IF(C2140&lt;=30,Staffing!$J$41,Staffing!$K$41))),0)</f>
        <v>3</v>
      </c>
      <c r="F2140" s="10" t="n">
        <f aca="false">E2140*Staffing!$L$41/12*(1+Assumptions!$E$10)^INT((C2140-1)/12)*1</f>
        <v>33075</v>
      </c>
      <c r="G2140" s="10" t="n">
        <f aca="false">F2140*Staffing!$N$41</f>
        <v>13230</v>
      </c>
      <c r="H2140" s="10" t="n">
        <f aca="false">F2140+G2140</f>
        <v>46305</v>
      </c>
      <c r="I2140" s="10" t="n">
        <f aca="false">0</f>
        <v>0</v>
      </c>
      <c r="J2140" s="10" t="n">
        <f aca="false">MAX(0,E2140-E2139)*Staffing!$O$41</f>
        <v>0</v>
      </c>
      <c r="K2140" s="10" t="n">
        <f aca="false">MAX(0,E2140-E2139)*Staffing!$P$41</f>
        <v>0</v>
      </c>
      <c r="L2140" s="23" t="n">
        <f aca="false">ROUNDUP(E2140,0)</f>
        <v>3</v>
      </c>
    </row>
    <row r="2141" customFormat="false" ht="15" hidden="false" customHeight="false" outlineLevel="0" collapsed="false">
      <c r="A2141" s="6" t="s">
        <v>73</v>
      </c>
      <c r="B2141" s="6" t="s">
        <v>347</v>
      </c>
      <c r="C2141" s="6" t="n">
        <v>36</v>
      </c>
      <c r="D2141" s="25" t="n">
        <f aca="false">EDATE('Start Here'!$B$6,C2141-1)</f>
        <v>47392</v>
      </c>
      <c r="E2141" s="11" t="n">
        <f aca="false">IF(AND(C2141&gt;=Staffing!$F$41,C2141&lt;=Staffing!$G$41,1=1),IF(C2141&lt;=6,Staffing!$H$41,IF(C2141&lt;=15,Staffing!$I$41,IF(C2141&lt;=30,Staffing!$J$41,Staffing!$K$41))),0)</f>
        <v>3</v>
      </c>
      <c r="F2141" s="10" t="n">
        <f aca="false">E2141*Staffing!$L$41/12*(1+Assumptions!$E$10)^INT((C2141-1)/12)*1</f>
        <v>33075</v>
      </c>
      <c r="G2141" s="10" t="n">
        <f aca="false">F2141*Staffing!$N$41</f>
        <v>13230</v>
      </c>
      <c r="H2141" s="10" t="n">
        <f aca="false">F2141+G2141</f>
        <v>46305</v>
      </c>
      <c r="I2141" s="10" t="n">
        <f aca="false">0</f>
        <v>0</v>
      </c>
      <c r="J2141" s="10" t="n">
        <f aca="false">MAX(0,E2141-E2140)*Staffing!$O$41</f>
        <v>0</v>
      </c>
      <c r="K2141" s="10" t="n">
        <f aca="false">MAX(0,E2141-E2140)*Staffing!$P$41</f>
        <v>0</v>
      </c>
      <c r="L2141" s="23" t="n">
        <f aca="false">ROUNDUP(E2141,0)</f>
        <v>3</v>
      </c>
    </row>
    <row r="2142" customFormat="false" ht="15" hidden="false" customHeight="false" outlineLevel="0" collapsed="false">
      <c r="A2142" s="6" t="s">
        <v>73</v>
      </c>
      <c r="B2142" s="6" t="s">
        <v>347</v>
      </c>
      <c r="C2142" s="6" t="n">
        <v>37</v>
      </c>
      <c r="D2142" s="25" t="n">
        <f aca="false">EDATE('Start Here'!$B$6,C2142-1)</f>
        <v>47423</v>
      </c>
      <c r="E2142" s="11" t="n">
        <f aca="false">IF(AND(C2142&gt;=Staffing!$F$41,C2142&lt;=Staffing!$G$41,1=1),IF(C2142&lt;=6,Staffing!$H$41,IF(C2142&lt;=15,Staffing!$I$41,IF(C2142&lt;=30,Staffing!$J$41,Staffing!$K$41))),0)</f>
        <v>3</v>
      </c>
      <c r="F2142" s="10" t="n">
        <f aca="false">E2142*Staffing!$L$41/12*(1+Assumptions!$E$10)^INT((C2142-1)/12)*1</f>
        <v>34728.75</v>
      </c>
      <c r="G2142" s="10" t="n">
        <f aca="false">F2142*Staffing!$N$41</f>
        <v>13891.5</v>
      </c>
      <c r="H2142" s="10" t="n">
        <f aca="false">F2142+G2142</f>
        <v>48620.25</v>
      </c>
      <c r="I2142" s="10" t="n">
        <f aca="false">0</f>
        <v>0</v>
      </c>
      <c r="J2142" s="10" t="n">
        <f aca="false">MAX(0,E2142-E2141)*Staffing!$O$41</f>
        <v>0</v>
      </c>
      <c r="K2142" s="10" t="n">
        <f aca="false">MAX(0,E2142-E2141)*Staffing!$P$41</f>
        <v>0</v>
      </c>
      <c r="L2142" s="23" t="n">
        <f aca="false">ROUNDUP(E2142,0)</f>
        <v>3</v>
      </c>
    </row>
    <row r="2143" customFormat="false" ht="15" hidden="false" customHeight="false" outlineLevel="0" collapsed="false">
      <c r="A2143" s="6" t="s">
        <v>73</v>
      </c>
      <c r="B2143" s="6" t="s">
        <v>347</v>
      </c>
      <c r="C2143" s="6" t="n">
        <v>38</v>
      </c>
      <c r="D2143" s="25" t="n">
        <f aca="false">EDATE('Start Here'!$B$6,C2143-1)</f>
        <v>47453</v>
      </c>
      <c r="E2143" s="11" t="n">
        <f aca="false">IF(AND(C2143&gt;=Staffing!$F$41,C2143&lt;=Staffing!$G$41,1=1),IF(C2143&lt;=6,Staffing!$H$41,IF(C2143&lt;=15,Staffing!$I$41,IF(C2143&lt;=30,Staffing!$J$41,Staffing!$K$41))),0)</f>
        <v>3</v>
      </c>
      <c r="F2143" s="10" t="n">
        <f aca="false">E2143*Staffing!$L$41/12*(1+Assumptions!$E$10)^INT((C2143-1)/12)*1</f>
        <v>34728.75</v>
      </c>
      <c r="G2143" s="10" t="n">
        <f aca="false">F2143*Staffing!$N$41</f>
        <v>13891.5</v>
      </c>
      <c r="H2143" s="10" t="n">
        <f aca="false">F2143+G2143</f>
        <v>48620.25</v>
      </c>
      <c r="I2143" s="10" t="n">
        <f aca="false">0</f>
        <v>0</v>
      </c>
      <c r="J2143" s="10" t="n">
        <f aca="false">MAX(0,E2143-E2142)*Staffing!$O$41</f>
        <v>0</v>
      </c>
      <c r="K2143" s="10" t="n">
        <f aca="false">MAX(0,E2143-E2142)*Staffing!$P$41</f>
        <v>0</v>
      </c>
      <c r="L2143" s="23" t="n">
        <f aca="false">ROUNDUP(E2143,0)</f>
        <v>3</v>
      </c>
    </row>
    <row r="2144" customFormat="false" ht="15" hidden="false" customHeight="false" outlineLevel="0" collapsed="false">
      <c r="A2144" s="6" t="s">
        <v>73</v>
      </c>
      <c r="B2144" s="6" t="s">
        <v>347</v>
      </c>
      <c r="C2144" s="6" t="n">
        <v>39</v>
      </c>
      <c r="D2144" s="25" t="n">
        <f aca="false">EDATE('Start Here'!$B$6,C2144-1)</f>
        <v>47484</v>
      </c>
      <c r="E2144" s="11" t="n">
        <f aca="false">IF(AND(C2144&gt;=Staffing!$F$41,C2144&lt;=Staffing!$G$41,1=1),IF(C2144&lt;=6,Staffing!$H$41,IF(C2144&lt;=15,Staffing!$I$41,IF(C2144&lt;=30,Staffing!$J$41,Staffing!$K$41))),0)</f>
        <v>3</v>
      </c>
      <c r="F2144" s="10" t="n">
        <f aca="false">E2144*Staffing!$L$41/12*(1+Assumptions!$E$10)^INT((C2144-1)/12)*1</f>
        <v>34728.75</v>
      </c>
      <c r="G2144" s="10" t="n">
        <f aca="false">F2144*Staffing!$N$41</f>
        <v>13891.5</v>
      </c>
      <c r="H2144" s="10" t="n">
        <f aca="false">F2144+G2144</f>
        <v>48620.25</v>
      </c>
      <c r="I2144" s="10" t="n">
        <f aca="false">0</f>
        <v>0</v>
      </c>
      <c r="J2144" s="10" t="n">
        <f aca="false">MAX(0,E2144-E2143)*Staffing!$O$41</f>
        <v>0</v>
      </c>
      <c r="K2144" s="10" t="n">
        <f aca="false">MAX(0,E2144-E2143)*Staffing!$P$41</f>
        <v>0</v>
      </c>
      <c r="L2144" s="23" t="n">
        <f aca="false">ROUNDUP(E2144,0)</f>
        <v>3</v>
      </c>
    </row>
    <row r="2145" customFormat="false" ht="15" hidden="false" customHeight="false" outlineLevel="0" collapsed="false">
      <c r="A2145" s="6" t="s">
        <v>73</v>
      </c>
      <c r="B2145" s="6" t="s">
        <v>347</v>
      </c>
      <c r="C2145" s="6" t="n">
        <v>40</v>
      </c>
      <c r="D2145" s="25" t="n">
        <f aca="false">EDATE('Start Here'!$B$6,C2145-1)</f>
        <v>47515</v>
      </c>
      <c r="E2145" s="11" t="n">
        <f aca="false">IF(AND(C2145&gt;=Staffing!$F$41,C2145&lt;=Staffing!$G$41,1=1),IF(C2145&lt;=6,Staffing!$H$41,IF(C2145&lt;=15,Staffing!$I$41,IF(C2145&lt;=30,Staffing!$J$41,Staffing!$K$41))),0)</f>
        <v>3</v>
      </c>
      <c r="F2145" s="10" t="n">
        <f aca="false">E2145*Staffing!$L$41/12*(1+Assumptions!$E$10)^INT((C2145-1)/12)*1</f>
        <v>34728.75</v>
      </c>
      <c r="G2145" s="10" t="n">
        <f aca="false">F2145*Staffing!$N$41</f>
        <v>13891.5</v>
      </c>
      <c r="H2145" s="10" t="n">
        <f aca="false">F2145+G2145</f>
        <v>48620.25</v>
      </c>
      <c r="I2145" s="10" t="n">
        <f aca="false">0</f>
        <v>0</v>
      </c>
      <c r="J2145" s="10" t="n">
        <f aca="false">MAX(0,E2145-E2144)*Staffing!$O$41</f>
        <v>0</v>
      </c>
      <c r="K2145" s="10" t="n">
        <f aca="false">MAX(0,E2145-E2144)*Staffing!$P$41</f>
        <v>0</v>
      </c>
      <c r="L2145" s="23" t="n">
        <f aca="false">ROUNDUP(E2145,0)</f>
        <v>3</v>
      </c>
    </row>
    <row r="2146" customFormat="false" ht="15" hidden="false" customHeight="false" outlineLevel="0" collapsed="false">
      <c r="A2146" s="6" t="s">
        <v>73</v>
      </c>
      <c r="B2146" s="6" t="s">
        <v>347</v>
      </c>
      <c r="C2146" s="6" t="n">
        <v>41</v>
      </c>
      <c r="D2146" s="25" t="n">
        <f aca="false">EDATE('Start Here'!$B$6,C2146-1)</f>
        <v>47543</v>
      </c>
      <c r="E2146" s="11" t="n">
        <f aca="false">IF(AND(C2146&gt;=Staffing!$F$41,C2146&lt;=Staffing!$G$41,1=1),IF(C2146&lt;=6,Staffing!$H$41,IF(C2146&lt;=15,Staffing!$I$41,IF(C2146&lt;=30,Staffing!$J$41,Staffing!$K$41))),0)</f>
        <v>3</v>
      </c>
      <c r="F2146" s="10" t="n">
        <f aca="false">E2146*Staffing!$L$41/12*(1+Assumptions!$E$10)^INT((C2146-1)/12)*1</f>
        <v>34728.75</v>
      </c>
      <c r="G2146" s="10" t="n">
        <f aca="false">F2146*Staffing!$N$41</f>
        <v>13891.5</v>
      </c>
      <c r="H2146" s="10" t="n">
        <f aca="false">F2146+G2146</f>
        <v>48620.25</v>
      </c>
      <c r="I2146" s="10" t="n">
        <f aca="false">0</f>
        <v>0</v>
      </c>
      <c r="J2146" s="10" t="n">
        <f aca="false">MAX(0,E2146-E2145)*Staffing!$O$41</f>
        <v>0</v>
      </c>
      <c r="K2146" s="10" t="n">
        <f aca="false">MAX(0,E2146-E2145)*Staffing!$P$41</f>
        <v>0</v>
      </c>
      <c r="L2146" s="23" t="n">
        <f aca="false">ROUNDUP(E2146,0)</f>
        <v>3</v>
      </c>
    </row>
    <row r="2147" customFormat="false" ht="15" hidden="false" customHeight="false" outlineLevel="0" collapsed="false">
      <c r="A2147" s="6" t="s">
        <v>73</v>
      </c>
      <c r="B2147" s="6" t="s">
        <v>347</v>
      </c>
      <c r="C2147" s="6" t="n">
        <v>42</v>
      </c>
      <c r="D2147" s="25" t="n">
        <f aca="false">EDATE('Start Here'!$B$6,C2147-1)</f>
        <v>47574</v>
      </c>
      <c r="E2147" s="11" t="n">
        <f aca="false">IF(AND(C2147&gt;=Staffing!$F$41,C2147&lt;=Staffing!$G$41,1=1),IF(C2147&lt;=6,Staffing!$H$41,IF(C2147&lt;=15,Staffing!$I$41,IF(C2147&lt;=30,Staffing!$J$41,Staffing!$K$41))),0)</f>
        <v>3</v>
      </c>
      <c r="F2147" s="10" t="n">
        <f aca="false">E2147*Staffing!$L$41/12*(1+Assumptions!$E$10)^INT((C2147-1)/12)*1</f>
        <v>34728.75</v>
      </c>
      <c r="G2147" s="10" t="n">
        <f aca="false">F2147*Staffing!$N$41</f>
        <v>13891.5</v>
      </c>
      <c r="H2147" s="10" t="n">
        <f aca="false">F2147+G2147</f>
        <v>48620.25</v>
      </c>
      <c r="I2147" s="10" t="n">
        <f aca="false">0</f>
        <v>0</v>
      </c>
      <c r="J2147" s="10" t="n">
        <f aca="false">MAX(0,E2147-E2146)*Staffing!$O$41</f>
        <v>0</v>
      </c>
      <c r="K2147" s="10" t="n">
        <f aca="false">MAX(0,E2147-E2146)*Staffing!$P$41</f>
        <v>0</v>
      </c>
      <c r="L2147" s="23" t="n">
        <f aca="false">ROUNDUP(E2147,0)</f>
        <v>3</v>
      </c>
    </row>
    <row r="2148" customFormat="false" ht="15" hidden="false" customHeight="false" outlineLevel="0" collapsed="false">
      <c r="A2148" s="6" t="s">
        <v>73</v>
      </c>
      <c r="B2148" s="6" t="s">
        <v>347</v>
      </c>
      <c r="C2148" s="6" t="n">
        <v>43</v>
      </c>
      <c r="D2148" s="25" t="n">
        <f aca="false">EDATE('Start Here'!$B$6,C2148-1)</f>
        <v>47604</v>
      </c>
      <c r="E2148" s="11" t="n">
        <f aca="false">IF(AND(C2148&gt;=Staffing!$F$41,C2148&lt;=Staffing!$G$41,1=1),IF(C2148&lt;=6,Staffing!$H$41,IF(C2148&lt;=15,Staffing!$I$41,IF(C2148&lt;=30,Staffing!$J$41,Staffing!$K$41))),0)</f>
        <v>3</v>
      </c>
      <c r="F2148" s="10" t="n">
        <f aca="false">E2148*Staffing!$L$41/12*(1+Assumptions!$E$10)^INT((C2148-1)/12)*1</f>
        <v>34728.75</v>
      </c>
      <c r="G2148" s="10" t="n">
        <f aca="false">F2148*Staffing!$N$41</f>
        <v>13891.5</v>
      </c>
      <c r="H2148" s="10" t="n">
        <f aca="false">F2148+G2148</f>
        <v>48620.25</v>
      </c>
      <c r="I2148" s="10" t="n">
        <f aca="false">0</f>
        <v>0</v>
      </c>
      <c r="J2148" s="10" t="n">
        <f aca="false">MAX(0,E2148-E2147)*Staffing!$O$41</f>
        <v>0</v>
      </c>
      <c r="K2148" s="10" t="n">
        <f aca="false">MAX(0,E2148-E2147)*Staffing!$P$41</f>
        <v>0</v>
      </c>
      <c r="L2148" s="23" t="n">
        <f aca="false">ROUNDUP(E2148,0)</f>
        <v>3</v>
      </c>
    </row>
    <row r="2149" customFormat="false" ht="15" hidden="false" customHeight="false" outlineLevel="0" collapsed="false">
      <c r="A2149" s="6" t="s">
        <v>73</v>
      </c>
      <c r="B2149" s="6" t="s">
        <v>347</v>
      </c>
      <c r="C2149" s="6" t="n">
        <v>44</v>
      </c>
      <c r="D2149" s="25" t="n">
        <f aca="false">EDATE('Start Here'!$B$6,C2149-1)</f>
        <v>47635</v>
      </c>
      <c r="E2149" s="11" t="n">
        <f aca="false">IF(AND(C2149&gt;=Staffing!$F$41,C2149&lt;=Staffing!$G$41,1=1),IF(C2149&lt;=6,Staffing!$H$41,IF(C2149&lt;=15,Staffing!$I$41,IF(C2149&lt;=30,Staffing!$J$41,Staffing!$K$41))),0)</f>
        <v>3</v>
      </c>
      <c r="F2149" s="10" t="n">
        <f aca="false">E2149*Staffing!$L$41/12*(1+Assumptions!$E$10)^INT((C2149-1)/12)*1</f>
        <v>34728.75</v>
      </c>
      <c r="G2149" s="10" t="n">
        <f aca="false">F2149*Staffing!$N$41</f>
        <v>13891.5</v>
      </c>
      <c r="H2149" s="10" t="n">
        <f aca="false">F2149+G2149</f>
        <v>48620.25</v>
      </c>
      <c r="I2149" s="10" t="n">
        <f aca="false">0</f>
        <v>0</v>
      </c>
      <c r="J2149" s="10" t="n">
        <f aca="false">MAX(0,E2149-E2148)*Staffing!$O$41</f>
        <v>0</v>
      </c>
      <c r="K2149" s="10" t="n">
        <f aca="false">MAX(0,E2149-E2148)*Staffing!$P$41</f>
        <v>0</v>
      </c>
      <c r="L2149" s="23" t="n">
        <f aca="false">ROUNDUP(E2149,0)</f>
        <v>3</v>
      </c>
    </row>
    <row r="2150" customFormat="false" ht="15" hidden="false" customHeight="false" outlineLevel="0" collapsed="false">
      <c r="A2150" s="6" t="s">
        <v>73</v>
      </c>
      <c r="B2150" s="6" t="s">
        <v>347</v>
      </c>
      <c r="C2150" s="6" t="n">
        <v>45</v>
      </c>
      <c r="D2150" s="25" t="n">
        <f aca="false">EDATE('Start Here'!$B$6,C2150-1)</f>
        <v>47665</v>
      </c>
      <c r="E2150" s="11" t="n">
        <f aca="false">IF(AND(C2150&gt;=Staffing!$F$41,C2150&lt;=Staffing!$G$41,1=1),IF(C2150&lt;=6,Staffing!$H$41,IF(C2150&lt;=15,Staffing!$I$41,IF(C2150&lt;=30,Staffing!$J$41,Staffing!$K$41))),0)</f>
        <v>3</v>
      </c>
      <c r="F2150" s="10" t="n">
        <f aca="false">E2150*Staffing!$L$41/12*(1+Assumptions!$E$10)^INT((C2150-1)/12)*1</f>
        <v>34728.75</v>
      </c>
      <c r="G2150" s="10" t="n">
        <f aca="false">F2150*Staffing!$N$41</f>
        <v>13891.5</v>
      </c>
      <c r="H2150" s="10" t="n">
        <f aca="false">F2150+G2150</f>
        <v>48620.25</v>
      </c>
      <c r="I2150" s="10" t="n">
        <f aca="false">0</f>
        <v>0</v>
      </c>
      <c r="J2150" s="10" t="n">
        <f aca="false">MAX(0,E2150-E2149)*Staffing!$O$41</f>
        <v>0</v>
      </c>
      <c r="K2150" s="10" t="n">
        <f aca="false">MAX(0,E2150-E2149)*Staffing!$P$41</f>
        <v>0</v>
      </c>
      <c r="L2150" s="23" t="n">
        <f aca="false">ROUNDUP(E2150,0)</f>
        <v>3</v>
      </c>
    </row>
    <row r="2151" customFormat="false" ht="15" hidden="false" customHeight="false" outlineLevel="0" collapsed="false">
      <c r="A2151" s="6" t="s">
        <v>73</v>
      </c>
      <c r="B2151" s="6" t="s">
        <v>347</v>
      </c>
      <c r="C2151" s="6" t="n">
        <v>46</v>
      </c>
      <c r="D2151" s="25" t="n">
        <f aca="false">EDATE('Start Here'!$B$6,C2151-1)</f>
        <v>47696</v>
      </c>
      <c r="E2151" s="11" t="n">
        <f aca="false">IF(AND(C2151&gt;=Staffing!$F$41,C2151&lt;=Staffing!$G$41,1=1),IF(C2151&lt;=6,Staffing!$H$41,IF(C2151&lt;=15,Staffing!$I$41,IF(C2151&lt;=30,Staffing!$J$41,Staffing!$K$41))),0)</f>
        <v>3</v>
      </c>
      <c r="F2151" s="10" t="n">
        <f aca="false">E2151*Staffing!$L$41/12*(1+Assumptions!$E$10)^INT((C2151-1)/12)*1</f>
        <v>34728.75</v>
      </c>
      <c r="G2151" s="10" t="n">
        <f aca="false">F2151*Staffing!$N$41</f>
        <v>13891.5</v>
      </c>
      <c r="H2151" s="10" t="n">
        <f aca="false">F2151+G2151</f>
        <v>48620.25</v>
      </c>
      <c r="I2151" s="10" t="n">
        <f aca="false">0</f>
        <v>0</v>
      </c>
      <c r="J2151" s="10" t="n">
        <f aca="false">MAX(0,E2151-E2150)*Staffing!$O$41</f>
        <v>0</v>
      </c>
      <c r="K2151" s="10" t="n">
        <f aca="false">MAX(0,E2151-E2150)*Staffing!$P$41</f>
        <v>0</v>
      </c>
      <c r="L2151" s="23" t="n">
        <f aca="false">ROUNDUP(E2151,0)</f>
        <v>3</v>
      </c>
    </row>
    <row r="2152" customFormat="false" ht="15" hidden="false" customHeight="false" outlineLevel="0" collapsed="false">
      <c r="A2152" s="6" t="s">
        <v>73</v>
      </c>
      <c r="B2152" s="6" t="s">
        <v>347</v>
      </c>
      <c r="C2152" s="6" t="n">
        <v>47</v>
      </c>
      <c r="D2152" s="25" t="n">
        <f aca="false">EDATE('Start Here'!$B$6,C2152-1)</f>
        <v>47727</v>
      </c>
      <c r="E2152" s="11" t="n">
        <f aca="false">IF(AND(C2152&gt;=Staffing!$F$41,C2152&lt;=Staffing!$G$41,1=1),IF(C2152&lt;=6,Staffing!$H$41,IF(C2152&lt;=15,Staffing!$I$41,IF(C2152&lt;=30,Staffing!$J$41,Staffing!$K$41))),0)</f>
        <v>3</v>
      </c>
      <c r="F2152" s="10" t="n">
        <f aca="false">E2152*Staffing!$L$41/12*(1+Assumptions!$E$10)^INT((C2152-1)/12)*1</f>
        <v>34728.75</v>
      </c>
      <c r="G2152" s="10" t="n">
        <f aca="false">F2152*Staffing!$N$41</f>
        <v>13891.5</v>
      </c>
      <c r="H2152" s="10" t="n">
        <f aca="false">F2152+G2152</f>
        <v>48620.25</v>
      </c>
      <c r="I2152" s="10" t="n">
        <f aca="false">0</f>
        <v>0</v>
      </c>
      <c r="J2152" s="10" t="n">
        <f aca="false">MAX(0,E2152-E2151)*Staffing!$O$41</f>
        <v>0</v>
      </c>
      <c r="K2152" s="10" t="n">
        <f aca="false">MAX(0,E2152-E2151)*Staffing!$P$41</f>
        <v>0</v>
      </c>
      <c r="L2152" s="23" t="n">
        <f aca="false">ROUNDUP(E2152,0)</f>
        <v>3</v>
      </c>
    </row>
    <row r="2153" customFormat="false" ht="15" hidden="false" customHeight="false" outlineLevel="0" collapsed="false">
      <c r="A2153" s="6" t="s">
        <v>73</v>
      </c>
      <c r="B2153" s="6" t="s">
        <v>347</v>
      </c>
      <c r="C2153" s="6" t="n">
        <v>48</v>
      </c>
      <c r="D2153" s="25" t="n">
        <f aca="false">EDATE('Start Here'!$B$6,C2153-1)</f>
        <v>47757</v>
      </c>
      <c r="E2153" s="11" t="n">
        <f aca="false">IF(AND(C2153&gt;=Staffing!$F$41,C2153&lt;=Staffing!$G$41,1=1),IF(C2153&lt;=6,Staffing!$H$41,IF(C2153&lt;=15,Staffing!$I$41,IF(C2153&lt;=30,Staffing!$J$41,Staffing!$K$41))),0)</f>
        <v>3</v>
      </c>
      <c r="F2153" s="10" t="n">
        <f aca="false">E2153*Staffing!$L$41/12*(1+Assumptions!$E$10)^INT((C2153-1)/12)*1</f>
        <v>34728.75</v>
      </c>
      <c r="G2153" s="10" t="n">
        <f aca="false">F2153*Staffing!$N$41</f>
        <v>13891.5</v>
      </c>
      <c r="H2153" s="10" t="n">
        <f aca="false">F2153+G2153</f>
        <v>48620.25</v>
      </c>
      <c r="I2153" s="10" t="n">
        <f aca="false">0</f>
        <v>0</v>
      </c>
      <c r="J2153" s="10" t="n">
        <f aca="false">MAX(0,E2153-E2152)*Staffing!$O$41</f>
        <v>0</v>
      </c>
      <c r="K2153" s="10" t="n">
        <f aca="false">MAX(0,E2153-E2152)*Staffing!$P$41</f>
        <v>0</v>
      </c>
      <c r="L2153" s="23" t="n">
        <f aca="false">ROUNDUP(E2153,0)</f>
        <v>3</v>
      </c>
    </row>
    <row r="2154" customFormat="false" ht="15" hidden="false" customHeight="false" outlineLevel="0" collapsed="false">
      <c r="A2154" s="6" t="s">
        <v>73</v>
      </c>
      <c r="B2154" s="6" t="s">
        <v>347</v>
      </c>
      <c r="C2154" s="6" t="n">
        <v>49</v>
      </c>
      <c r="D2154" s="25" t="n">
        <f aca="false">EDATE('Start Here'!$B$6,C2154-1)</f>
        <v>47788</v>
      </c>
      <c r="E2154" s="11" t="n">
        <f aca="false">IF(AND(C2154&gt;=Staffing!$F$41,C2154&lt;=Staffing!$G$41,1=1),IF(C2154&lt;=6,Staffing!$H$41,IF(C2154&lt;=15,Staffing!$I$41,IF(C2154&lt;=30,Staffing!$J$41,Staffing!$K$41))),0)</f>
        <v>3</v>
      </c>
      <c r="F2154" s="10" t="n">
        <f aca="false">E2154*Staffing!$L$41/12*(1+Assumptions!$E$10)^INT((C2154-1)/12)*1</f>
        <v>36465.1875</v>
      </c>
      <c r="G2154" s="10" t="n">
        <f aca="false">F2154*Staffing!$N$41</f>
        <v>14586.075</v>
      </c>
      <c r="H2154" s="10" t="n">
        <f aca="false">F2154+G2154</f>
        <v>51051.2625</v>
      </c>
      <c r="I2154" s="10" t="n">
        <f aca="false">0</f>
        <v>0</v>
      </c>
      <c r="J2154" s="10" t="n">
        <f aca="false">MAX(0,E2154-E2153)*Staffing!$O$41</f>
        <v>0</v>
      </c>
      <c r="K2154" s="10" t="n">
        <f aca="false">MAX(0,E2154-E2153)*Staffing!$P$41</f>
        <v>0</v>
      </c>
      <c r="L2154" s="23" t="n">
        <f aca="false">ROUNDUP(E2154,0)</f>
        <v>3</v>
      </c>
    </row>
    <row r="2155" customFormat="false" ht="15" hidden="false" customHeight="false" outlineLevel="0" collapsed="false">
      <c r="A2155" s="6" t="s">
        <v>73</v>
      </c>
      <c r="B2155" s="6" t="s">
        <v>347</v>
      </c>
      <c r="C2155" s="6" t="n">
        <v>50</v>
      </c>
      <c r="D2155" s="25" t="n">
        <f aca="false">EDATE('Start Here'!$B$6,C2155-1)</f>
        <v>47818</v>
      </c>
      <c r="E2155" s="11" t="n">
        <f aca="false">IF(AND(C2155&gt;=Staffing!$F$41,C2155&lt;=Staffing!$G$41,1=1),IF(C2155&lt;=6,Staffing!$H$41,IF(C2155&lt;=15,Staffing!$I$41,IF(C2155&lt;=30,Staffing!$J$41,Staffing!$K$41))),0)</f>
        <v>3</v>
      </c>
      <c r="F2155" s="10" t="n">
        <f aca="false">E2155*Staffing!$L$41/12*(1+Assumptions!$E$10)^INT((C2155-1)/12)*1</f>
        <v>36465.1875</v>
      </c>
      <c r="G2155" s="10" t="n">
        <f aca="false">F2155*Staffing!$N$41</f>
        <v>14586.075</v>
      </c>
      <c r="H2155" s="10" t="n">
        <f aca="false">F2155+G2155</f>
        <v>51051.2625</v>
      </c>
      <c r="I2155" s="10" t="n">
        <f aca="false">0</f>
        <v>0</v>
      </c>
      <c r="J2155" s="10" t="n">
        <f aca="false">MAX(0,E2155-E2154)*Staffing!$O$41</f>
        <v>0</v>
      </c>
      <c r="K2155" s="10" t="n">
        <f aca="false">MAX(0,E2155-E2154)*Staffing!$P$41</f>
        <v>0</v>
      </c>
      <c r="L2155" s="23" t="n">
        <f aca="false">ROUNDUP(E2155,0)</f>
        <v>3</v>
      </c>
    </row>
    <row r="2156" customFormat="false" ht="15" hidden="false" customHeight="false" outlineLevel="0" collapsed="false">
      <c r="A2156" s="6" t="s">
        <v>73</v>
      </c>
      <c r="B2156" s="6" t="s">
        <v>347</v>
      </c>
      <c r="C2156" s="6" t="n">
        <v>51</v>
      </c>
      <c r="D2156" s="25" t="n">
        <f aca="false">EDATE('Start Here'!$B$6,C2156-1)</f>
        <v>47849</v>
      </c>
      <c r="E2156" s="11" t="n">
        <f aca="false">IF(AND(C2156&gt;=Staffing!$F$41,C2156&lt;=Staffing!$G$41,1=1),IF(C2156&lt;=6,Staffing!$H$41,IF(C2156&lt;=15,Staffing!$I$41,IF(C2156&lt;=30,Staffing!$J$41,Staffing!$K$41))),0)</f>
        <v>3</v>
      </c>
      <c r="F2156" s="10" t="n">
        <f aca="false">E2156*Staffing!$L$41/12*(1+Assumptions!$E$10)^INT((C2156-1)/12)*1</f>
        <v>36465.1875</v>
      </c>
      <c r="G2156" s="10" t="n">
        <f aca="false">F2156*Staffing!$N$41</f>
        <v>14586.075</v>
      </c>
      <c r="H2156" s="10" t="n">
        <f aca="false">F2156+G2156</f>
        <v>51051.2625</v>
      </c>
      <c r="I2156" s="10" t="n">
        <f aca="false">0</f>
        <v>0</v>
      </c>
      <c r="J2156" s="10" t="n">
        <f aca="false">MAX(0,E2156-E2155)*Staffing!$O$41</f>
        <v>0</v>
      </c>
      <c r="K2156" s="10" t="n">
        <f aca="false">MAX(0,E2156-E2155)*Staffing!$P$41</f>
        <v>0</v>
      </c>
      <c r="L2156" s="23" t="n">
        <f aca="false">ROUNDUP(E2156,0)</f>
        <v>3</v>
      </c>
    </row>
    <row r="2157" customFormat="false" ht="15" hidden="false" customHeight="false" outlineLevel="0" collapsed="false">
      <c r="A2157" s="6" t="s">
        <v>73</v>
      </c>
      <c r="B2157" s="6" t="s">
        <v>347</v>
      </c>
      <c r="C2157" s="6" t="n">
        <v>52</v>
      </c>
      <c r="D2157" s="25" t="n">
        <f aca="false">EDATE('Start Here'!$B$6,C2157-1)</f>
        <v>47880</v>
      </c>
      <c r="E2157" s="11" t="n">
        <f aca="false">IF(AND(C2157&gt;=Staffing!$F$41,C2157&lt;=Staffing!$G$41,1=1),IF(C2157&lt;=6,Staffing!$H$41,IF(C2157&lt;=15,Staffing!$I$41,IF(C2157&lt;=30,Staffing!$J$41,Staffing!$K$41))),0)</f>
        <v>3</v>
      </c>
      <c r="F2157" s="10" t="n">
        <f aca="false">E2157*Staffing!$L$41/12*(1+Assumptions!$E$10)^INT((C2157-1)/12)*1</f>
        <v>36465.1875</v>
      </c>
      <c r="G2157" s="10" t="n">
        <f aca="false">F2157*Staffing!$N$41</f>
        <v>14586.075</v>
      </c>
      <c r="H2157" s="10" t="n">
        <f aca="false">F2157+G2157</f>
        <v>51051.2625</v>
      </c>
      <c r="I2157" s="10" t="n">
        <f aca="false">0</f>
        <v>0</v>
      </c>
      <c r="J2157" s="10" t="n">
        <f aca="false">MAX(0,E2157-E2156)*Staffing!$O$41</f>
        <v>0</v>
      </c>
      <c r="K2157" s="10" t="n">
        <f aca="false">MAX(0,E2157-E2156)*Staffing!$P$41</f>
        <v>0</v>
      </c>
      <c r="L2157" s="23" t="n">
        <f aca="false">ROUNDUP(E2157,0)</f>
        <v>3</v>
      </c>
    </row>
    <row r="2158" customFormat="false" ht="15" hidden="false" customHeight="false" outlineLevel="0" collapsed="false">
      <c r="A2158" s="6" t="s">
        <v>73</v>
      </c>
      <c r="B2158" s="6" t="s">
        <v>347</v>
      </c>
      <c r="C2158" s="6" t="n">
        <v>53</v>
      </c>
      <c r="D2158" s="25" t="n">
        <f aca="false">EDATE('Start Here'!$B$6,C2158-1)</f>
        <v>47908</v>
      </c>
      <c r="E2158" s="11" t="n">
        <f aca="false">IF(AND(C2158&gt;=Staffing!$F$41,C2158&lt;=Staffing!$G$41,1=1),IF(C2158&lt;=6,Staffing!$H$41,IF(C2158&lt;=15,Staffing!$I$41,IF(C2158&lt;=30,Staffing!$J$41,Staffing!$K$41))),0)</f>
        <v>3</v>
      </c>
      <c r="F2158" s="10" t="n">
        <f aca="false">E2158*Staffing!$L$41/12*(1+Assumptions!$E$10)^INT((C2158-1)/12)*1</f>
        <v>36465.1875</v>
      </c>
      <c r="G2158" s="10" t="n">
        <f aca="false">F2158*Staffing!$N$41</f>
        <v>14586.075</v>
      </c>
      <c r="H2158" s="10" t="n">
        <f aca="false">F2158+G2158</f>
        <v>51051.2625</v>
      </c>
      <c r="I2158" s="10" t="n">
        <f aca="false">0</f>
        <v>0</v>
      </c>
      <c r="J2158" s="10" t="n">
        <f aca="false">MAX(0,E2158-E2157)*Staffing!$O$41</f>
        <v>0</v>
      </c>
      <c r="K2158" s="10" t="n">
        <f aca="false">MAX(0,E2158-E2157)*Staffing!$P$41</f>
        <v>0</v>
      </c>
      <c r="L2158" s="23" t="n">
        <f aca="false">ROUNDUP(E2158,0)</f>
        <v>3</v>
      </c>
    </row>
    <row r="2159" customFormat="false" ht="15" hidden="false" customHeight="false" outlineLevel="0" collapsed="false">
      <c r="A2159" s="6" t="s">
        <v>73</v>
      </c>
      <c r="B2159" s="6" t="s">
        <v>347</v>
      </c>
      <c r="C2159" s="6" t="n">
        <v>54</v>
      </c>
      <c r="D2159" s="25" t="n">
        <f aca="false">EDATE('Start Here'!$B$6,C2159-1)</f>
        <v>47939</v>
      </c>
      <c r="E2159" s="11" t="n">
        <f aca="false">IF(AND(C2159&gt;=Staffing!$F$41,C2159&lt;=Staffing!$G$41,1=1),IF(C2159&lt;=6,Staffing!$H$41,IF(C2159&lt;=15,Staffing!$I$41,IF(C2159&lt;=30,Staffing!$J$41,Staffing!$K$41))),0)</f>
        <v>3</v>
      </c>
      <c r="F2159" s="10" t="n">
        <f aca="false">E2159*Staffing!$L$41/12*(1+Assumptions!$E$10)^INT((C2159-1)/12)*1</f>
        <v>36465.1875</v>
      </c>
      <c r="G2159" s="10" t="n">
        <f aca="false">F2159*Staffing!$N$41</f>
        <v>14586.075</v>
      </c>
      <c r="H2159" s="10" t="n">
        <f aca="false">F2159+G2159</f>
        <v>51051.2625</v>
      </c>
      <c r="I2159" s="10" t="n">
        <f aca="false">0</f>
        <v>0</v>
      </c>
      <c r="J2159" s="10" t="n">
        <f aca="false">MAX(0,E2159-E2158)*Staffing!$O$41</f>
        <v>0</v>
      </c>
      <c r="K2159" s="10" t="n">
        <f aca="false">MAX(0,E2159-E2158)*Staffing!$P$41</f>
        <v>0</v>
      </c>
      <c r="L2159" s="23" t="n">
        <f aca="false">ROUNDUP(E2159,0)</f>
        <v>3</v>
      </c>
    </row>
    <row r="2160" customFormat="false" ht="15" hidden="false" customHeight="false" outlineLevel="0" collapsed="false">
      <c r="A2160" s="6" t="s">
        <v>73</v>
      </c>
      <c r="B2160" s="6" t="s">
        <v>347</v>
      </c>
      <c r="C2160" s="6" t="n">
        <v>55</v>
      </c>
      <c r="D2160" s="25" t="n">
        <f aca="false">EDATE('Start Here'!$B$6,C2160-1)</f>
        <v>47969</v>
      </c>
      <c r="E2160" s="11" t="n">
        <f aca="false">IF(AND(C2160&gt;=Staffing!$F$41,C2160&lt;=Staffing!$G$41,1=1),IF(C2160&lt;=6,Staffing!$H$41,IF(C2160&lt;=15,Staffing!$I$41,IF(C2160&lt;=30,Staffing!$J$41,Staffing!$K$41))),0)</f>
        <v>3</v>
      </c>
      <c r="F2160" s="10" t="n">
        <f aca="false">E2160*Staffing!$L$41/12*(1+Assumptions!$E$10)^INT((C2160-1)/12)*1</f>
        <v>36465.1875</v>
      </c>
      <c r="G2160" s="10" t="n">
        <f aca="false">F2160*Staffing!$N$41</f>
        <v>14586.075</v>
      </c>
      <c r="H2160" s="10" t="n">
        <f aca="false">F2160+G2160</f>
        <v>51051.2625</v>
      </c>
      <c r="I2160" s="10" t="n">
        <f aca="false">0</f>
        <v>0</v>
      </c>
      <c r="J2160" s="10" t="n">
        <f aca="false">MAX(0,E2160-E2159)*Staffing!$O$41</f>
        <v>0</v>
      </c>
      <c r="K2160" s="10" t="n">
        <f aca="false">MAX(0,E2160-E2159)*Staffing!$P$41</f>
        <v>0</v>
      </c>
      <c r="L2160" s="23" t="n">
        <f aca="false">ROUNDUP(E2160,0)</f>
        <v>3</v>
      </c>
    </row>
    <row r="2161" customFormat="false" ht="15" hidden="false" customHeight="false" outlineLevel="0" collapsed="false">
      <c r="A2161" s="6" t="s">
        <v>73</v>
      </c>
      <c r="B2161" s="6" t="s">
        <v>347</v>
      </c>
      <c r="C2161" s="6" t="n">
        <v>56</v>
      </c>
      <c r="D2161" s="25" t="n">
        <f aca="false">EDATE('Start Here'!$B$6,C2161-1)</f>
        <v>48000</v>
      </c>
      <c r="E2161" s="11" t="n">
        <f aca="false">IF(AND(C2161&gt;=Staffing!$F$41,C2161&lt;=Staffing!$G$41,1=1),IF(C2161&lt;=6,Staffing!$H$41,IF(C2161&lt;=15,Staffing!$I$41,IF(C2161&lt;=30,Staffing!$J$41,Staffing!$K$41))),0)</f>
        <v>3</v>
      </c>
      <c r="F2161" s="10" t="n">
        <f aca="false">E2161*Staffing!$L$41/12*(1+Assumptions!$E$10)^INT((C2161-1)/12)*1</f>
        <v>36465.1875</v>
      </c>
      <c r="G2161" s="10" t="n">
        <f aca="false">F2161*Staffing!$N$41</f>
        <v>14586.075</v>
      </c>
      <c r="H2161" s="10" t="n">
        <f aca="false">F2161+G2161</f>
        <v>51051.2625</v>
      </c>
      <c r="I2161" s="10" t="n">
        <f aca="false">0</f>
        <v>0</v>
      </c>
      <c r="J2161" s="10" t="n">
        <f aca="false">MAX(0,E2161-E2160)*Staffing!$O$41</f>
        <v>0</v>
      </c>
      <c r="K2161" s="10" t="n">
        <f aca="false">MAX(0,E2161-E2160)*Staffing!$P$41</f>
        <v>0</v>
      </c>
      <c r="L2161" s="23" t="n">
        <f aca="false">ROUNDUP(E2161,0)</f>
        <v>3</v>
      </c>
    </row>
    <row r="2162" customFormat="false" ht="15" hidden="false" customHeight="false" outlineLevel="0" collapsed="false">
      <c r="A2162" s="6" t="s">
        <v>73</v>
      </c>
      <c r="B2162" s="6" t="s">
        <v>347</v>
      </c>
      <c r="C2162" s="6" t="n">
        <v>57</v>
      </c>
      <c r="D2162" s="25" t="n">
        <f aca="false">EDATE('Start Here'!$B$6,C2162-1)</f>
        <v>48030</v>
      </c>
      <c r="E2162" s="11" t="n">
        <f aca="false">IF(AND(C2162&gt;=Staffing!$F$41,C2162&lt;=Staffing!$G$41,1=1),IF(C2162&lt;=6,Staffing!$H$41,IF(C2162&lt;=15,Staffing!$I$41,IF(C2162&lt;=30,Staffing!$J$41,Staffing!$K$41))),0)</f>
        <v>3</v>
      </c>
      <c r="F2162" s="10" t="n">
        <f aca="false">E2162*Staffing!$L$41/12*(1+Assumptions!$E$10)^INT((C2162-1)/12)*1</f>
        <v>36465.1875</v>
      </c>
      <c r="G2162" s="10" t="n">
        <f aca="false">F2162*Staffing!$N$41</f>
        <v>14586.075</v>
      </c>
      <c r="H2162" s="10" t="n">
        <f aca="false">F2162+G2162</f>
        <v>51051.2625</v>
      </c>
      <c r="I2162" s="10" t="n">
        <f aca="false">0</f>
        <v>0</v>
      </c>
      <c r="J2162" s="10" t="n">
        <f aca="false">MAX(0,E2162-E2161)*Staffing!$O$41</f>
        <v>0</v>
      </c>
      <c r="K2162" s="10" t="n">
        <f aca="false">MAX(0,E2162-E2161)*Staffing!$P$41</f>
        <v>0</v>
      </c>
      <c r="L2162" s="23" t="n">
        <f aca="false">ROUNDUP(E2162,0)</f>
        <v>3</v>
      </c>
    </row>
    <row r="2163" customFormat="false" ht="15" hidden="false" customHeight="false" outlineLevel="0" collapsed="false">
      <c r="A2163" s="6" t="s">
        <v>73</v>
      </c>
      <c r="B2163" s="6" t="s">
        <v>347</v>
      </c>
      <c r="C2163" s="6" t="n">
        <v>58</v>
      </c>
      <c r="D2163" s="25" t="n">
        <f aca="false">EDATE('Start Here'!$B$6,C2163-1)</f>
        <v>48061</v>
      </c>
      <c r="E2163" s="11" t="n">
        <f aca="false">IF(AND(C2163&gt;=Staffing!$F$41,C2163&lt;=Staffing!$G$41,1=1),IF(C2163&lt;=6,Staffing!$H$41,IF(C2163&lt;=15,Staffing!$I$41,IF(C2163&lt;=30,Staffing!$J$41,Staffing!$K$41))),0)</f>
        <v>3</v>
      </c>
      <c r="F2163" s="10" t="n">
        <f aca="false">E2163*Staffing!$L$41/12*(1+Assumptions!$E$10)^INT((C2163-1)/12)*1</f>
        <v>36465.1875</v>
      </c>
      <c r="G2163" s="10" t="n">
        <f aca="false">F2163*Staffing!$N$41</f>
        <v>14586.075</v>
      </c>
      <c r="H2163" s="10" t="n">
        <f aca="false">F2163+G2163</f>
        <v>51051.2625</v>
      </c>
      <c r="I2163" s="10" t="n">
        <f aca="false">0</f>
        <v>0</v>
      </c>
      <c r="J2163" s="10" t="n">
        <f aca="false">MAX(0,E2163-E2162)*Staffing!$O$41</f>
        <v>0</v>
      </c>
      <c r="K2163" s="10" t="n">
        <f aca="false">MAX(0,E2163-E2162)*Staffing!$P$41</f>
        <v>0</v>
      </c>
      <c r="L2163" s="23" t="n">
        <f aca="false">ROUNDUP(E2163,0)</f>
        <v>3</v>
      </c>
    </row>
    <row r="2164" customFormat="false" ht="15" hidden="false" customHeight="false" outlineLevel="0" collapsed="false">
      <c r="A2164" s="6" t="s">
        <v>73</v>
      </c>
      <c r="B2164" s="6" t="s">
        <v>347</v>
      </c>
      <c r="C2164" s="6" t="n">
        <v>59</v>
      </c>
      <c r="D2164" s="25" t="n">
        <f aca="false">EDATE('Start Here'!$B$6,C2164-1)</f>
        <v>48092</v>
      </c>
      <c r="E2164" s="11" t="n">
        <f aca="false">IF(AND(C2164&gt;=Staffing!$F$41,C2164&lt;=Staffing!$G$41,1=1),IF(C2164&lt;=6,Staffing!$H$41,IF(C2164&lt;=15,Staffing!$I$41,IF(C2164&lt;=30,Staffing!$J$41,Staffing!$K$41))),0)</f>
        <v>3</v>
      </c>
      <c r="F2164" s="10" t="n">
        <f aca="false">E2164*Staffing!$L$41/12*(1+Assumptions!$E$10)^INT((C2164-1)/12)*1</f>
        <v>36465.1875</v>
      </c>
      <c r="G2164" s="10" t="n">
        <f aca="false">F2164*Staffing!$N$41</f>
        <v>14586.075</v>
      </c>
      <c r="H2164" s="10" t="n">
        <f aca="false">F2164+G2164</f>
        <v>51051.2625</v>
      </c>
      <c r="I2164" s="10" t="n">
        <f aca="false">0</f>
        <v>0</v>
      </c>
      <c r="J2164" s="10" t="n">
        <f aca="false">MAX(0,E2164-E2163)*Staffing!$O$41</f>
        <v>0</v>
      </c>
      <c r="K2164" s="10" t="n">
        <f aca="false">MAX(0,E2164-E2163)*Staffing!$P$41</f>
        <v>0</v>
      </c>
      <c r="L2164" s="23" t="n">
        <f aca="false">ROUNDUP(E2164,0)</f>
        <v>3</v>
      </c>
    </row>
    <row r="2165" customFormat="false" ht="15" hidden="false" customHeight="false" outlineLevel="0" collapsed="false">
      <c r="A2165" s="6" t="s">
        <v>73</v>
      </c>
      <c r="B2165" s="6" t="s">
        <v>347</v>
      </c>
      <c r="C2165" s="6" t="n">
        <v>60</v>
      </c>
      <c r="D2165" s="25" t="n">
        <f aca="false">EDATE('Start Here'!$B$6,C2165-1)</f>
        <v>48122</v>
      </c>
      <c r="E2165" s="11" t="n">
        <f aca="false">IF(AND(C2165&gt;=Staffing!$F$41,C2165&lt;=Staffing!$G$41,1=1),IF(C2165&lt;=6,Staffing!$H$41,IF(C2165&lt;=15,Staffing!$I$41,IF(C2165&lt;=30,Staffing!$J$41,Staffing!$K$41))),0)</f>
        <v>3</v>
      </c>
      <c r="F2165" s="10" t="n">
        <f aca="false">E2165*Staffing!$L$41/12*(1+Assumptions!$E$10)^INT((C2165-1)/12)*1</f>
        <v>36465.1875</v>
      </c>
      <c r="G2165" s="10" t="n">
        <f aca="false">F2165*Staffing!$N$41</f>
        <v>14586.075</v>
      </c>
      <c r="H2165" s="10" t="n">
        <f aca="false">F2165+G2165</f>
        <v>51051.2625</v>
      </c>
      <c r="I2165" s="10" t="n">
        <f aca="false">0</f>
        <v>0</v>
      </c>
      <c r="J2165" s="10" t="n">
        <f aca="false">MAX(0,E2165-E2164)*Staffing!$O$41</f>
        <v>0</v>
      </c>
      <c r="K2165" s="10" t="n">
        <f aca="false">MAX(0,E2165-E2164)*Staffing!$P$41</f>
        <v>0</v>
      </c>
      <c r="L2165" s="23" t="n">
        <f aca="false">ROUNDUP(E2165,0)</f>
        <v>3</v>
      </c>
    </row>
    <row r="2166" customFormat="false" ht="15" hidden="false" customHeight="false" outlineLevel="0" collapsed="false">
      <c r="A2166" s="6" t="s">
        <v>73</v>
      </c>
      <c r="B2166" s="6" t="s">
        <v>349</v>
      </c>
      <c r="C2166" s="6" t="n">
        <v>1</v>
      </c>
      <c r="D2166" s="25" t="n">
        <f aca="false">EDATE('Start Here'!$B$6,C2166-1)</f>
        <v>46327</v>
      </c>
      <c r="E2166" s="23" t="n">
        <f aca="false">IF(AND(C2166&gt;=Assumptions!$E$24,C2166&lt;=Staffing!$G$42,'Start Here'!$B$7=1),IF(C2166&lt;=6,Staffing!$H$42,IF(C2166&lt;=15,Staffing!$I$42,IF(C2166&lt;=30,Staffing!$J$42,Staffing!$K$42))),0)</f>
        <v>0</v>
      </c>
      <c r="F2166" s="10" t="n">
        <f aca="false">E2166*Staffing!$L$42/12*(1+Assumptions!$E$10)^INT((C2166-1)/12)*1</f>
        <v>0</v>
      </c>
      <c r="G2166" s="10" t="n">
        <f aca="false">F2166*Staffing!$N$42</f>
        <v>0</v>
      </c>
      <c r="H2166" s="10" t="n">
        <f aca="false">F2166+G2166</f>
        <v>0</v>
      </c>
      <c r="I2166" s="10" t="n">
        <f aca="false">0</f>
        <v>0</v>
      </c>
      <c r="J2166" s="10" t="n">
        <f aca="false">MAX(0,E2166-0)*Staffing!$O$42</f>
        <v>0</v>
      </c>
      <c r="K2166" s="10" t="n">
        <f aca="false">MAX(0,E2166-0)*Staffing!$P$42</f>
        <v>0</v>
      </c>
      <c r="L2166" s="23" t="n">
        <f aca="false">ROUNDUP(E2166,0)</f>
        <v>0</v>
      </c>
    </row>
    <row r="2167" customFormat="false" ht="15" hidden="false" customHeight="false" outlineLevel="0" collapsed="false">
      <c r="A2167" s="6" t="s">
        <v>73</v>
      </c>
      <c r="B2167" s="6" t="s">
        <v>349</v>
      </c>
      <c r="C2167" s="6" t="n">
        <v>2</v>
      </c>
      <c r="D2167" s="25" t="n">
        <f aca="false">EDATE('Start Here'!$B$6,C2167-1)</f>
        <v>46357</v>
      </c>
      <c r="E2167" s="23" t="n">
        <f aca="false">IF(AND(C2167&gt;=Assumptions!$E$24,C2167&lt;=Staffing!$G$42,'Start Here'!$B$7=1),IF(C2167&lt;=6,Staffing!$H$42,IF(C2167&lt;=15,Staffing!$I$42,IF(C2167&lt;=30,Staffing!$J$42,Staffing!$K$42))),0)</f>
        <v>0</v>
      </c>
      <c r="F2167" s="10" t="n">
        <f aca="false">E2167*Staffing!$L$42/12*(1+Assumptions!$E$10)^INT((C2167-1)/12)*1</f>
        <v>0</v>
      </c>
      <c r="G2167" s="10" t="n">
        <f aca="false">F2167*Staffing!$N$42</f>
        <v>0</v>
      </c>
      <c r="H2167" s="10" t="n">
        <f aca="false">F2167+G2167</f>
        <v>0</v>
      </c>
      <c r="I2167" s="10" t="n">
        <f aca="false">0</f>
        <v>0</v>
      </c>
      <c r="J2167" s="10" t="n">
        <f aca="false">MAX(0,E2167-E2166)*Staffing!$O$42</f>
        <v>0</v>
      </c>
      <c r="K2167" s="10" t="n">
        <f aca="false">MAX(0,E2167-E2166)*Staffing!$P$42</f>
        <v>0</v>
      </c>
      <c r="L2167" s="23" t="n">
        <f aca="false">ROUNDUP(E2167,0)</f>
        <v>0</v>
      </c>
    </row>
    <row r="2168" customFormat="false" ht="15" hidden="false" customHeight="false" outlineLevel="0" collapsed="false">
      <c r="A2168" s="6" t="s">
        <v>73</v>
      </c>
      <c r="B2168" s="6" t="s">
        <v>349</v>
      </c>
      <c r="C2168" s="6" t="n">
        <v>3</v>
      </c>
      <c r="D2168" s="25" t="n">
        <f aca="false">EDATE('Start Here'!$B$6,C2168-1)</f>
        <v>46388</v>
      </c>
      <c r="E2168" s="23" t="n">
        <f aca="false">IF(AND(C2168&gt;=Assumptions!$E$24,C2168&lt;=Staffing!$G$42,'Start Here'!$B$7=1),IF(C2168&lt;=6,Staffing!$H$42,IF(C2168&lt;=15,Staffing!$I$42,IF(C2168&lt;=30,Staffing!$J$42,Staffing!$K$42))),0)</f>
        <v>0</v>
      </c>
      <c r="F2168" s="10" t="n">
        <f aca="false">E2168*Staffing!$L$42/12*(1+Assumptions!$E$10)^INT((C2168-1)/12)*1</f>
        <v>0</v>
      </c>
      <c r="G2168" s="10" t="n">
        <f aca="false">F2168*Staffing!$N$42</f>
        <v>0</v>
      </c>
      <c r="H2168" s="10" t="n">
        <f aca="false">F2168+G2168</f>
        <v>0</v>
      </c>
      <c r="I2168" s="10" t="n">
        <f aca="false">0</f>
        <v>0</v>
      </c>
      <c r="J2168" s="10" t="n">
        <f aca="false">MAX(0,E2168-E2167)*Staffing!$O$42</f>
        <v>0</v>
      </c>
      <c r="K2168" s="10" t="n">
        <f aca="false">MAX(0,E2168-E2167)*Staffing!$P$42</f>
        <v>0</v>
      </c>
      <c r="L2168" s="23" t="n">
        <f aca="false">ROUNDUP(E2168,0)</f>
        <v>0</v>
      </c>
    </row>
    <row r="2169" customFormat="false" ht="15" hidden="false" customHeight="false" outlineLevel="0" collapsed="false">
      <c r="A2169" s="6" t="s">
        <v>73</v>
      </c>
      <c r="B2169" s="6" t="s">
        <v>349</v>
      </c>
      <c r="C2169" s="6" t="n">
        <v>4</v>
      </c>
      <c r="D2169" s="25" t="n">
        <f aca="false">EDATE('Start Here'!$B$6,C2169-1)</f>
        <v>46419</v>
      </c>
      <c r="E2169" s="23" t="n">
        <f aca="false">IF(AND(C2169&gt;=Assumptions!$E$24,C2169&lt;=Staffing!$G$42,'Start Here'!$B$7=1),IF(C2169&lt;=6,Staffing!$H$42,IF(C2169&lt;=15,Staffing!$I$42,IF(C2169&lt;=30,Staffing!$J$42,Staffing!$K$42))),0)</f>
        <v>0</v>
      </c>
      <c r="F2169" s="10" t="n">
        <f aca="false">E2169*Staffing!$L$42/12*(1+Assumptions!$E$10)^INT((C2169-1)/12)*1</f>
        <v>0</v>
      </c>
      <c r="G2169" s="10" t="n">
        <f aca="false">F2169*Staffing!$N$42</f>
        <v>0</v>
      </c>
      <c r="H2169" s="10" t="n">
        <f aca="false">F2169+G2169</f>
        <v>0</v>
      </c>
      <c r="I2169" s="10" t="n">
        <f aca="false">0</f>
        <v>0</v>
      </c>
      <c r="J2169" s="10" t="n">
        <f aca="false">MAX(0,E2169-E2168)*Staffing!$O$42</f>
        <v>0</v>
      </c>
      <c r="K2169" s="10" t="n">
        <f aca="false">MAX(0,E2169-E2168)*Staffing!$P$42</f>
        <v>0</v>
      </c>
      <c r="L2169" s="23" t="n">
        <f aca="false">ROUNDUP(E2169,0)</f>
        <v>0</v>
      </c>
    </row>
    <row r="2170" customFormat="false" ht="15" hidden="false" customHeight="false" outlineLevel="0" collapsed="false">
      <c r="A2170" s="6" t="s">
        <v>73</v>
      </c>
      <c r="B2170" s="6" t="s">
        <v>349</v>
      </c>
      <c r="C2170" s="6" t="n">
        <v>5</v>
      </c>
      <c r="D2170" s="25" t="n">
        <f aca="false">EDATE('Start Here'!$B$6,C2170-1)</f>
        <v>46447</v>
      </c>
      <c r="E2170" s="23" t="n">
        <f aca="false">IF(AND(C2170&gt;=Assumptions!$E$24,C2170&lt;=Staffing!$G$42,'Start Here'!$B$7=1),IF(C2170&lt;=6,Staffing!$H$42,IF(C2170&lt;=15,Staffing!$I$42,IF(C2170&lt;=30,Staffing!$J$42,Staffing!$K$42))),0)</f>
        <v>0</v>
      </c>
      <c r="F2170" s="10" t="n">
        <f aca="false">E2170*Staffing!$L$42/12*(1+Assumptions!$E$10)^INT((C2170-1)/12)*1</f>
        <v>0</v>
      </c>
      <c r="G2170" s="10" t="n">
        <f aca="false">F2170*Staffing!$N$42</f>
        <v>0</v>
      </c>
      <c r="H2170" s="10" t="n">
        <f aca="false">F2170+G2170</f>
        <v>0</v>
      </c>
      <c r="I2170" s="10" t="n">
        <f aca="false">0</f>
        <v>0</v>
      </c>
      <c r="J2170" s="10" t="n">
        <f aca="false">MAX(0,E2170-E2169)*Staffing!$O$42</f>
        <v>0</v>
      </c>
      <c r="K2170" s="10" t="n">
        <f aca="false">MAX(0,E2170-E2169)*Staffing!$P$42</f>
        <v>0</v>
      </c>
      <c r="L2170" s="23" t="n">
        <f aca="false">ROUNDUP(E2170,0)</f>
        <v>0</v>
      </c>
    </row>
    <row r="2171" customFormat="false" ht="15" hidden="false" customHeight="false" outlineLevel="0" collapsed="false">
      <c r="A2171" s="6" t="s">
        <v>73</v>
      </c>
      <c r="B2171" s="6" t="s">
        <v>349</v>
      </c>
      <c r="C2171" s="6" t="n">
        <v>6</v>
      </c>
      <c r="D2171" s="25" t="n">
        <f aca="false">EDATE('Start Here'!$B$6,C2171-1)</f>
        <v>46478</v>
      </c>
      <c r="E2171" s="23" t="n">
        <f aca="false">IF(AND(C2171&gt;=Assumptions!$E$24,C2171&lt;=Staffing!$G$42,'Start Here'!$B$7=1),IF(C2171&lt;=6,Staffing!$H$42,IF(C2171&lt;=15,Staffing!$I$42,IF(C2171&lt;=30,Staffing!$J$42,Staffing!$K$42))),0)</f>
        <v>0</v>
      </c>
      <c r="F2171" s="10" t="n">
        <f aca="false">E2171*Staffing!$L$42/12*(1+Assumptions!$E$10)^INT((C2171-1)/12)*1</f>
        <v>0</v>
      </c>
      <c r="G2171" s="10" t="n">
        <f aca="false">F2171*Staffing!$N$42</f>
        <v>0</v>
      </c>
      <c r="H2171" s="10" t="n">
        <f aca="false">F2171+G2171</f>
        <v>0</v>
      </c>
      <c r="I2171" s="10" t="n">
        <f aca="false">0</f>
        <v>0</v>
      </c>
      <c r="J2171" s="10" t="n">
        <f aca="false">MAX(0,E2171-E2170)*Staffing!$O$42</f>
        <v>0</v>
      </c>
      <c r="K2171" s="10" t="n">
        <f aca="false">MAX(0,E2171-E2170)*Staffing!$P$42</f>
        <v>0</v>
      </c>
      <c r="L2171" s="23" t="n">
        <f aca="false">ROUNDUP(E2171,0)</f>
        <v>0</v>
      </c>
    </row>
    <row r="2172" customFormat="false" ht="15" hidden="false" customHeight="false" outlineLevel="0" collapsed="false">
      <c r="A2172" s="6" t="s">
        <v>73</v>
      </c>
      <c r="B2172" s="6" t="s">
        <v>349</v>
      </c>
      <c r="C2172" s="6" t="n">
        <v>7</v>
      </c>
      <c r="D2172" s="25" t="n">
        <f aca="false">EDATE('Start Here'!$B$6,C2172-1)</f>
        <v>46508</v>
      </c>
      <c r="E2172" s="23" t="n">
        <f aca="false">IF(AND(C2172&gt;=Assumptions!$E$24,C2172&lt;=Staffing!$G$42,'Start Here'!$B$7=1),IF(C2172&lt;=6,Staffing!$H$42,IF(C2172&lt;=15,Staffing!$I$42,IF(C2172&lt;=30,Staffing!$J$42,Staffing!$K$42))),0)</f>
        <v>0</v>
      </c>
      <c r="F2172" s="10" t="n">
        <f aca="false">E2172*Staffing!$L$42/12*(1+Assumptions!$E$10)^INT((C2172-1)/12)*1</f>
        <v>0</v>
      </c>
      <c r="G2172" s="10" t="n">
        <f aca="false">F2172*Staffing!$N$42</f>
        <v>0</v>
      </c>
      <c r="H2172" s="10" t="n">
        <f aca="false">F2172+G2172</f>
        <v>0</v>
      </c>
      <c r="I2172" s="10" t="n">
        <f aca="false">0</f>
        <v>0</v>
      </c>
      <c r="J2172" s="10" t="n">
        <f aca="false">MAX(0,E2172-E2171)*Staffing!$O$42</f>
        <v>0</v>
      </c>
      <c r="K2172" s="10" t="n">
        <f aca="false">MAX(0,E2172-E2171)*Staffing!$P$42</f>
        <v>0</v>
      </c>
      <c r="L2172" s="23" t="n">
        <f aca="false">ROUNDUP(E2172,0)</f>
        <v>0</v>
      </c>
    </row>
    <row r="2173" customFormat="false" ht="15" hidden="false" customHeight="false" outlineLevel="0" collapsed="false">
      <c r="A2173" s="6" t="s">
        <v>73</v>
      </c>
      <c r="B2173" s="6" t="s">
        <v>349</v>
      </c>
      <c r="C2173" s="6" t="n">
        <v>8</v>
      </c>
      <c r="D2173" s="25" t="n">
        <f aca="false">EDATE('Start Here'!$B$6,C2173-1)</f>
        <v>46539</v>
      </c>
      <c r="E2173" s="23" t="n">
        <f aca="false">IF(AND(C2173&gt;=Assumptions!$E$24,C2173&lt;=Staffing!$G$42,'Start Here'!$B$7=1),IF(C2173&lt;=6,Staffing!$H$42,IF(C2173&lt;=15,Staffing!$I$42,IF(C2173&lt;=30,Staffing!$J$42,Staffing!$K$42))),0)</f>
        <v>0</v>
      </c>
      <c r="F2173" s="10" t="n">
        <f aca="false">E2173*Staffing!$L$42/12*(1+Assumptions!$E$10)^INT((C2173-1)/12)*1</f>
        <v>0</v>
      </c>
      <c r="G2173" s="10" t="n">
        <f aca="false">F2173*Staffing!$N$42</f>
        <v>0</v>
      </c>
      <c r="H2173" s="10" t="n">
        <f aca="false">F2173+G2173</f>
        <v>0</v>
      </c>
      <c r="I2173" s="10" t="n">
        <f aca="false">0</f>
        <v>0</v>
      </c>
      <c r="J2173" s="10" t="n">
        <f aca="false">MAX(0,E2173-E2172)*Staffing!$O$42</f>
        <v>0</v>
      </c>
      <c r="K2173" s="10" t="n">
        <f aca="false">MAX(0,E2173-E2172)*Staffing!$P$42</f>
        <v>0</v>
      </c>
      <c r="L2173" s="23" t="n">
        <f aca="false">ROUNDUP(E2173,0)</f>
        <v>0</v>
      </c>
    </row>
    <row r="2174" customFormat="false" ht="15" hidden="false" customHeight="false" outlineLevel="0" collapsed="false">
      <c r="A2174" s="6" t="s">
        <v>73</v>
      </c>
      <c r="B2174" s="6" t="s">
        <v>349</v>
      </c>
      <c r="C2174" s="6" t="n">
        <v>9</v>
      </c>
      <c r="D2174" s="25" t="n">
        <f aca="false">EDATE('Start Here'!$B$6,C2174-1)</f>
        <v>46569</v>
      </c>
      <c r="E2174" s="23" t="n">
        <f aca="false">IF(AND(C2174&gt;=Assumptions!$E$24,C2174&lt;=Staffing!$G$42,'Start Here'!$B$7=1),IF(C2174&lt;=6,Staffing!$H$42,IF(C2174&lt;=15,Staffing!$I$42,IF(C2174&lt;=30,Staffing!$J$42,Staffing!$K$42))),0)</f>
        <v>0</v>
      </c>
      <c r="F2174" s="10" t="n">
        <f aca="false">E2174*Staffing!$L$42/12*(1+Assumptions!$E$10)^INT((C2174-1)/12)*1</f>
        <v>0</v>
      </c>
      <c r="G2174" s="10" t="n">
        <f aca="false">F2174*Staffing!$N$42</f>
        <v>0</v>
      </c>
      <c r="H2174" s="10" t="n">
        <f aca="false">F2174+G2174</f>
        <v>0</v>
      </c>
      <c r="I2174" s="10" t="n">
        <f aca="false">0</f>
        <v>0</v>
      </c>
      <c r="J2174" s="10" t="n">
        <f aca="false">MAX(0,E2174-E2173)*Staffing!$O$42</f>
        <v>0</v>
      </c>
      <c r="K2174" s="10" t="n">
        <f aca="false">MAX(0,E2174-E2173)*Staffing!$P$42</f>
        <v>0</v>
      </c>
      <c r="L2174" s="23" t="n">
        <f aca="false">ROUNDUP(E2174,0)</f>
        <v>0</v>
      </c>
    </row>
    <row r="2175" customFormat="false" ht="15" hidden="false" customHeight="false" outlineLevel="0" collapsed="false">
      <c r="A2175" s="6" t="s">
        <v>73</v>
      </c>
      <c r="B2175" s="6" t="s">
        <v>349</v>
      </c>
      <c r="C2175" s="6" t="n">
        <v>10</v>
      </c>
      <c r="D2175" s="25" t="n">
        <f aca="false">EDATE('Start Here'!$B$6,C2175-1)</f>
        <v>46600</v>
      </c>
      <c r="E2175" s="23" t="n">
        <f aca="false">IF(AND(C2175&gt;=Assumptions!$E$24,C2175&lt;=Staffing!$G$42,'Start Here'!$B$7=1),IF(C2175&lt;=6,Staffing!$H$42,IF(C2175&lt;=15,Staffing!$I$42,IF(C2175&lt;=30,Staffing!$J$42,Staffing!$K$42))),0)</f>
        <v>0</v>
      </c>
      <c r="F2175" s="10" t="n">
        <f aca="false">E2175*Staffing!$L$42/12*(1+Assumptions!$E$10)^INT((C2175-1)/12)*1</f>
        <v>0</v>
      </c>
      <c r="G2175" s="10" t="n">
        <f aca="false">F2175*Staffing!$N$42</f>
        <v>0</v>
      </c>
      <c r="H2175" s="10" t="n">
        <f aca="false">F2175+G2175</f>
        <v>0</v>
      </c>
      <c r="I2175" s="10" t="n">
        <f aca="false">0</f>
        <v>0</v>
      </c>
      <c r="J2175" s="10" t="n">
        <f aca="false">MAX(0,E2175-E2174)*Staffing!$O$42</f>
        <v>0</v>
      </c>
      <c r="K2175" s="10" t="n">
        <f aca="false">MAX(0,E2175-E2174)*Staffing!$P$42</f>
        <v>0</v>
      </c>
      <c r="L2175" s="23" t="n">
        <f aca="false">ROUNDUP(E2175,0)</f>
        <v>0</v>
      </c>
    </row>
    <row r="2176" customFormat="false" ht="15" hidden="false" customHeight="false" outlineLevel="0" collapsed="false">
      <c r="A2176" s="6" t="s">
        <v>73</v>
      </c>
      <c r="B2176" s="6" t="s">
        <v>349</v>
      </c>
      <c r="C2176" s="6" t="n">
        <v>11</v>
      </c>
      <c r="D2176" s="25" t="n">
        <f aca="false">EDATE('Start Here'!$B$6,C2176-1)</f>
        <v>46631</v>
      </c>
      <c r="E2176" s="23" t="n">
        <f aca="false">IF(AND(C2176&gt;=Assumptions!$E$24,C2176&lt;=Staffing!$G$42,'Start Here'!$B$7=1),IF(C2176&lt;=6,Staffing!$H$42,IF(C2176&lt;=15,Staffing!$I$42,IF(C2176&lt;=30,Staffing!$J$42,Staffing!$K$42))),0)</f>
        <v>0</v>
      </c>
      <c r="F2176" s="10" t="n">
        <f aca="false">E2176*Staffing!$L$42/12*(1+Assumptions!$E$10)^INT((C2176-1)/12)*1</f>
        <v>0</v>
      </c>
      <c r="G2176" s="10" t="n">
        <f aca="false">F2176*Staffing!$N$42</f>
        <v>0</v>
      </c>
      <c r="H2176" s="10" t="n">
        <f aca="false">F2176+G2176</f>
        <v>0</v>
      </c>
      <c r="I2176" s="10" t="n">
        <f aca="false">0</f>
        <v>0</v>
      </c>
      <c r="J2176" s="10" t="n">
        <f aca="false">MAX(0,E2176-E2175)*Staffing!$O$42</f>
        <v>0</v>
      </c>
      <c r="K2176" s="10" t="n">
        <f aca="false">MAX(0,E2176-E2175)*Staffing!$P$42</f>
        <v>0</v>
      </c>
      <c r="L2176" s="23" t="n">
        <f aca="false">ROUNDUP(E2176,0)</f>
        <v>0</v>
      </c>
    </row>
    <row r="2177" customFormat="false" ht="15" hidden="false" customHeight="false" outlineLevel="0" collapsed="false">
      <c r="A2177" s="6" t="s">
        <v>73</v>
      </c>
      <c r="B2177" s="6" t="s">
        <v>349</v>
      </c>
      <c r="C2177" s="6" t="n">
        <v>12</v>
      </c>
      <c r="D2177" s="25" t="n">
        <f aca="false">EDATE('Start Here'!$B$6,C2177-1)</f>
        <v>46661</v>
      </c>
      <c r="E2177" s="23" t="n">
        <f aca="false">IF(AND(C2177&gt;=Assumptions!$E$24,C2177&lt;=Staffing!$G$42,'Start Here'!$B$7=1),IF(C2177&lt;=6,Staffing!$H$42,IF(C2177&lt;=15,Staffing!$I$42,IF(C2177&lt;=30,Staffing!$J$42,Staffing!$K$42))),0)</f>
        <v>0</v>
      </c>
      <c r="F2177" s="10" t="n">
        <f aca="false">E2177*Staffing!$L$42/12*(1+Assumptions!$E$10)^INT((C2177-1)/12)*1</f>
        <v>0</v>
      </c>
      <c r="G2177" s="10" t="n">
        <f aca="false">F2177*Staffing!$N$42</f>
        <v>0</v>
      </c>
      <c r="H2177" s="10" t="n">
        <f aca="false">F2177+G2177</f>
        <v>0</v>
      </c>
      <c r="I2177" s="10" t="n">
        <f aca="false">0</f>
        <v>0</v>
      </c>
      <c r="J2177" s="10" t="n">
        <f aca="false">MAX(0,E2177-E2176)*Staffing!$O$42</f>
        <v>0</v>
      </c>
      <c r="K2177" s="10" t="n">
        <f aca="false">MAX(0,E2177-E2176)*Staffing!$P$42</f>
        <v>0</v>
      </c>
      <c r="L2177" s="23" t="n">
        <f aca="false">ROUNDUP(E2177,0)</f>
        <v>0</v>
      </c>
    </row>
    <row r="2178" customFormat="false" ht="15" hidden="false" customHeight="false" outlineLevel="0" collapsed="false">
      <c r="A2178" s="6" t="s">
        <v>73</v>
      </c>
      <c r="B2178" s="6" t="s">
        <v>349</v>
      </c>
      <c r="C2178" s="6" t="n">
        <v>13</v>
      </c>
      <c r="D2178" s="25" t="n">
        <f aca="false">EDATE('Start Here'!$B$6,C2178-1)</f>
        <v>46692</v>
      </c>
      <c r="E2178" s="23" t="n">
        <f aca="false">IF(AND(C2178&gt;=Assumptions!$E$24,C2178&lt;=Staffing!$G$42,'Start Here'!$B$7=1),IF(C2178&lt;=6,Staffing!$H$42,IF(C2178&lt;=15,Staffing!$I$42,IF(C2178&lt;=30,Staffing!$J$42,Staffing!$K$42))),0)</f>
        <v>0</v>
      </c>
      <c r="F2178" s="10" t="n">
        <f aca="false">E2178*Staffing!$L$42/12*(1+Assumptions!$E$10)^INT((C2178-1)/12)*1</f>
        <v>0</v>
      </c>
      <c r="G2178" s="10" t="n">
        <f aca="false">F2178*Staffing!$N$42</f>
        <v>0</v>
      </c>
      <c r="H2178" s="10" t="n">
        <f aca="false">F2178+G2178</f>
        <v>0</v>
      </c>
      <c r="I2178" s="10" t="n">
        <f aca="false">0</f>
        <v>0</v>
      </c>
      <c r="J2178" s="10" t="n">
        <f aca="false">MAX(0,E2178-E2177)*Staffing!$O$42</f>
        <v>0</v>
      </c>
      <c r="K2178" s="10" t="n">
        <f aca="false">MAX(0,E2178-E2177)*Staffing!$P$42</f>
        <v>0</v>
      </c>
      <c r="L2178" s="23" t="n">
        <f aca="false">ROUNDUP(E2178,0)</f>
        <v>0</v>
      </c>
    </row>
    <row r="2179" customFormat="false" ht="15" hidden="false" customHeight="false" outlineLevel="0" collapsed="false">
      <c r="A2179" s="6" t="s">
        <v>73</v>
      </c>
      <c r="B2179" s="6" t="s">
        <v>349</v>
      </c>
      <c r="C2179" s="6" t="n">
        <v>14</v>
      </c>
      <c r="D2179" s="25" t="n">
        <f aca="false">EDATE('Start Here'!$B$6,C2179-1)</f>
        <v>46722</v>
      </c>
      <c r="E2179" s="23" t="n">
        <f aca="false">IF(AND(C2179&gt;=Assumptions!$E$24,C2179&lt;=Staffing!$G$42,'Start Here'!$B$7=1),IF(C2179&lt;=6,Staffing!$H$42,IF(C2179&lt;=15,Staffing!$I$42,IF(C2179&lt;=30,Staffing!$J$42,Staffing!$K$42))),0)</f>
        <v>0</v>
      </c>
      <c r="F2179" s="10" t="n">
        <f aca="false">E2179*Staffing!$L$42/12*(1+Assumptions!$E$10)^INT((C2179-1)/12)*1</f>
        <v>0</v>
      </c>
      <c r="G2179" s="10" t="n">
        <f aca="false">F2179*Staffing!$N$42</f>
        <v>0</v>
      </c>
      <c r="H2179" s="10" t="n">
        <f aca="false">F2179+G2179</f>
        <v>0</v>
      </c>
      <c r="I2179" s="10" t="n">
        <f aca="false">0</f>
        <v>0</v>
      </c>
      <c r="J2179" s="10" t="n">
        <f aca="false">MAX(0,E2179-E2178)*Staffing!$O$42</f>
        <v>0</v>
      </c>
      <c r="K2179" s="10" t="n">
        <f aca="false">MAX(0,E2179-E2178)*Staffing!$P$42</f>
        <v>0</v>
      </c>
      <c r="L2179" s="23" t="n">
        <f aca="false">ROUNDUP(E2179,0)</f>
        <v>0</v>
      </c>
    </row>
    <row r="2180" customFormat="false" ht="15" hidden="false" customHeight="false" outlineLevel="0" collapsed="false">
      <c r="A2180" s="6" t="s">
        <v>73</v>
      </c>
      <c r="B2180" s="6" t="s">
        <v>349</v>
      </c>
      <c r="C2180" s="6" t="n">
        <v>15</v>
      </c>
      <c r="D2180" s="25" t="n">
        <f aca="false">EDATE('Start Here'!$B$6,C2180-1)</f>
        <v>46753</v>
      </c>
      <c r="E2180" s="23" t="n">
        <f aca="false">IF(AND(C2180&gt;=Assumptions!$E$24,C2180&lt;=Staffing!$G$42,'Start Here'!$B$7=1),IF(C2180&lt;=6,Staffing!$H$42,IF(C2180&lt;=15,Staffing!$I$42,IF(C2180&lt;=30,Staffing!$J$42,Staffing!$K$42))),0)</f>
        <v>0</v>
      </c>
      <c r="F2180" s="10" t="n">
        <f aca="false">E2180*Staffing!$L$42/12*(1+Assumptions!$E$10)^INT((C2180-1)/12)*1</f>
        <v>0</v>
      </c>
      <c r="G2180" s="10" t="n">
        <f aca="false">F2180*Staffing!$N$42</f>
        <v>0</v>
      </c>
      <c r="H2180" s="10" t="n">
        <f aca="false">F2180+G2180</f>
        <v>0</v>
      </c>
      <c r="I2180" s="10" t="n">
        <f aca="false">0</f>
        <v>0</v>
      </c>
      <c r="J2180" s="10" t="n">
        <f aca="false">MAX(0,E2180-E2179)*Staffing!$O$42</f>
        <v>0</v>
      </c>
      <c r="K2180" s="10" t="n">
        <f aca="false">MAX(0,E2180-E2179)*Staffing!$P$42</f>
        <v>0</v>
      </c>
      <c r="L2180" s="23" t="n">
        <f aca="false">ROUNDUP(E2180,0)</f>
        <v>0</v>
      </c>
    </row>
    <row r="2181" customFormat="false" ht="15" hidden="false" customHeight="false" outlineLevel="0" collapsed="false">
      <c r="A2181" s="6" t="s">
        <v>73</v>
      </c>
      <c r="B2181" s="6" t="s">
        <v>349</v>
      </c>
      <c r="C2181" s="6" t="n">
        <v>16</v>
      </c>
      <c r="D2181" s="25" t="n">
        <f aca="false">EDATE('Start Here'!$B$6,C2181-1)</f>
        <v>46784</v>
      </c>
      <c r="E2181" s="23" t="n">
        <f aca="false">IF(AND(C2181&gt;=Assumptions!$E$24,C2181&lt;=Staffing!$G$42,'Start Here'!$B$7=1),IF(C2181&lt;=6,Staffing!$H$42,IF(C2181&lt;=15,Staffing!$I$42,IF(C2181&lt;=30,Staffing!$J$42,Staffing!$K$42))),0)</f>
        <v>0</v>
      </c>
      <c r="F2181" s="10" t="n">
        <f aca="false">E2181*Staffing!$L$42/12*(1+Assumptions!$E$10)^INT((C2181-1)/12)*1</f>
        <v>0</v>
      </c>
      <c r="G2181" s="10" t="n">
        <f aca="false">F2181*Staffing!$N$42</f>
        <v>0</v>
      </c>
      <c r="H2181" s="10" t="n">
        <f aca="false">F2181+G2181</f>
        <v>0</v>
      </c>
      <c r="I2181" s="10" t="n">
        <f aca="false">0</f>
        <v>0</v>
      </c>
      <c r="J2181" s="10" t="n">
        <f aca="false">MAX(0,E2181-E2180)*Staffing!$O$42</f>
        <v>0</v>
      </c>
      <c r="K2181" s="10" t="n">
        <f aca="false">MAX(0,E2181-E2180)*Staffing!$P$42</f>
        <v>0</v>
      </c>
      <c r="L2181" s="23" t="n">
        <f aca="false">ROUNDUP(E2181,0)</f>
        <v>0</v>
      </c>
    </row>
    <row r="2182" customFormat="false" ht="15" hidden="false" customHeight="false" outlineLevel="0" collapsed="false">
      <c r="A2182" s="6" t="s">
        <v>73</v>
      </c>
      <c r="B2182" s="6" t="s">
        <v>349</v>
      </c>
      <c r="C2182" s="6" t="n">
        <v>17</v>
      </c>
      <c r="D2182" s="25" t="n">
        <f aca="false">EDATE('Start Here'!$B$6,C2182-1)</f>
        <v>46813</v>
      </c>
      <c r="E2182" s="23" t="n">
        <f aca="false">IF(AND(C2182&gt;=Assumptions!$E$24,C2182&lt;=Staffing!$G$42,'Start Here'!$B$7=1),IF(C2182&lt;=6,Staffing!$H$42,IF(C2182&lt;=15,Staffing!$I$42,IF(C2182&lt;=30,Staffing!$J$42,Staffing!$K$42))),0)</f>
        <v>0</v>
      </c>
      <c r="F2182" s="10" t="n">
        <f aca="false">E2182*Staffing!$L$42/12*(1+Assumptions!$E$10)^INT((C2182-1)/12)*1</f>
        <v>0</v>
      </c>
      <c r="G2182" s="10" t="n">
        <f aca="false">F2182*Staffing!$N$42</f>
        <v>0</v>
      </c>
      <c r="H2182" s="10" t="n">
        <f aca="false">F2182+G2182</f>
        <v>0</v>
      </c>
      <c r="I2182" s="10" t="n">
        <f aca="false">0</f>
        <v>0</v>
      </c>
      <c r="J2182" s="10" t="n">
        <f aca="false">MAX(0,E2182-E2181)*Staffing!$O$42</f>
        <v>0</v>
      </c>
      <c r="K2182" s="10" t="n">
        <f aca="false">MAX(0,E2182-E2181)*Staffing!$P$42</f>
        <v>0</v>
      </c>
      <c r="L2182" s="23" t="n">
        <f aca="false">ROUNDUP(E2182,0)</f>
        <v>0</v>
      </c>
    </row>
    <row r="2183" customFormat="false" ht="15" hidden="false" customHeight="false" outlineLevel="0" collapsed="false">
      <c r="A2183" s="6" t="s">
        <v>73</v>
      </c>
      <c r="B2183" s="6" t="s">
        <v>349</v>
      </c>
      <c r="C2183" s="6" t="n">
        <v>18</v>
      </c>
      <c r="D2183" s="25" t="n">
        <f aca="false">EDATE('Start Here'!$B$6,C2183-1)</f>
        <v>46844</v>
      </c>
      <c r="E2183" s="23" t="n">
        <f aca="false">IF(AND(C2183&gt;=Assumptions!$E$24,C2183&lt;=Staffing!$G$42,'Start Here'!$B$7=1),IF(C2183&lt;=6,Staffing!$H$42,IF(C2183&lt;=15,Staffing!$I$42,IF(C2183&lt;=30,Staffing!$J$42,Staffing!$K$42))),0)</f>
        <v>0</v>
      </c>
      <c r="F2183" s="10" t="n">
        <f aca="false">E2183*Staffing!$L$42/12*(1+Assumptions!$E$10)^INT((C2183-1)/12)*1</f>
        <v>0</v>
      </c>
      <c r="G2183" s="10" t="n">
        <f aca="false">F2183*Staffing!$N$42</f>
        <v>0</v>
      </c>
      <c r="H2183" s="10" t="n">
        <f aca="false">F2183+G2183</f>
        <v>0</v>
      </c>
      <c r="I2183" s="10" t="n">
        <f aca="false">0</f>
        <v>0</v>
      </c>
      <c r="J2183" s="10" t="n">
        <f aca="false">MAX(0,E2183-E2182)*Staffing!$O$42</f>
        <v>0</v>
      </c>
      <c r="K2183" s="10" t="n">
        <f aca="false">MAX(0,E2183-E2182)*Staffing!$P$42</f>
        <v>0</v>
      </c>
      <c r="L2183" s="23" t="n">
        <f aca="false">ROUNDUP(E2183,0)</f>
        <v>0</v>
      </c>
    </row>
    <row r="2184" customFormat="false" ht="15" hidden="false" customHeight="false" outlineLevel="0" collapsed="false">
      <c r="A2184" s="6" t="s">
        <v>73</v>
      </c>
      <c r="B2184" s="6" t="s">
        <v>349</v>
      </c>
      <c r="C2184" s="6" t="n">
        <v>19</v>
      </c>
      <c r="D2184" s="25" t="n">
        <f aca="false">EDATE('Start Here'!$B$6,C2184-1)</f>
        <v>46874</v>
      </c>
      <c r="E2184" s="23" t="n">
        <f aca="false">IF(AND(C2184&gt;=Assumptions!$E$24,C2184&lt;=Staffing!$G$42,'Start Here'!$B$7=1),IF(C2184&lt;=6,Staffing!$H$42,IF(C2184&lt;=15,Staffing!$I$42,IF(C2184&lt;=30,Staffing!$J$42,Staffing!$K$42))),0)</f>
        <v>0</v>
      </c>
      <c r="F2184" s="10" t="n">
        <f aca="false">E2184*Staffing!$L$42/12*(1+Assumptions!$E$10)^INT((C2184-1)/12)*1</f>
        <v>0</v>
      </c>
      <c r="G2184" s="10" t="n">
        <f aca="false">F2184*Staffing!$N$42</f>
        <v>0</v>
      </c>
      <c r="H2184" s="10" t="n">
        <f aca="false">F2184+G2184</f>
        <v>0</v>
      </c>
      <c r="I2184" s="10" t="n">
        <f aca="false">0</f>
        <v>0</v>
      </c>
      <c r="J2184" s="10" t="n">
        <f aca="false">MAX(0,E2184-E2183)*Staffing!$O$42</f>
        <v>0</v>
      </c>
      <c r="K2184" s="10" t="n">
        <f aca="false">MAX(0,E2184-E2183)*Staffing!$P$42</f>
        <v>0</v>
      </c>
      <c r="L2184" s="23" t="n">
        <f aca="false">ROUNDUP(E2184,0)</f>
        <v>0</v>
      </c>
    </row>
    <row r="2185" customFormat="false" ht="15" hidden="false" customHeight="false" outlineLevel="0" collapsed="false">
      <c r="A2185" s="6" t="s">
        <v>73</v>
      </c>
      <c r="B2185" s="6" t="s">
        <v>349</v>
      </c>
      <c r="C2185" s="6" t="n">
        <v>20</v>
      </c>
      <c r="D2185" s="25" t="n">
        <f aca="false">EDATE('Start Here'!$B$6,C2185-1)</f>
        <v>46905</v>
      </c>
      <c r="E2185" s="23" t="n">
        <f aca="false">IF(AND(C2185&gt;=Assumptions!$E$24,C2185&lt;=Staffing!$G$42,'Start Here'!$B$7=1),IF(C2185&lt;=6,Staffing!$H$42,IF(C2185&lt;=15,Staffing!$I$42,IF(C2185&lt;=30,Staffing!$J$42,Staffing!$K$42))),0)</f>
        <v>0</v>
      </c>
      <c r="F2185" s="10" t="n">
        <f aca="false">E2185*Staffing!$L$42/12*(1+Assumptions!$E$10)^INT((C2185-1)/12)*1</f>
        <v>0</v>
      </c>
      <c r="G2185" s="10" t="n">
        <f aca="false">F2185*Staffing!$N$42</f>
        <v>0</v>
      </c>
      <c r="H2185" s="10" t="n">
        <f aca="false">F2185+G2185</f>
        <v>0</v>
      </c>
      <c r="I2185" s="10" t="n">
        <f aca="false">0</f>
        <v>0</v>
      </c>
      <c r="J2185" s="10" t="n">
        <f aca="false">MAX(0,E2185-E2184)*Staffing!$O$42</f>
        <v>0</v>
      </c>
      <c r="K2185" s="10" t="n">
        <f aca="false">MAX(0,E2185-E2184)*Staffing!$P$42</f>
        <v>0</v>
      </c>
      <c r="L2185" s="23" t="n">
        <f aca="false">ROUNDUP(E2185,0)</f>
        <v>0</v>
      </c>
    </row>
    <row r="2186" customFormat="false" ht="15" hidden="false" customHeight="false" outlineLevel="0" collapsed="false">
      <c r="A2186" s="6" t="s">
        <v>73</v>
      </c>
      <c r="B2186" s="6" t="s">
        <v>349</v>
      </c>
      <c r="C2186" s="6" t="n">
        <v>21</v>
      </c>
      <c r="D2186" s="25" t="n">
        <f aca="false">EDATE('Start Here'!$B$6,C2186-1)</f>
        <v>46935</v>
      </c>
      <c r="E2186" s="23" t="n">
        <f aca="false">IF(AND(C2186&gt;=Assumptions!$E$24,C2186&lt;=Staffing!$G$42,'Start Here'!$B$7=1),IF(C2186&lt;=6,Staffing!$H$42,IF(C2186&lt;=15,Staffing!$I$42,IF(C2186&lt;=30,Staffing!$J$42,Staffing!$K$42))),0)</f>
        <v>0</v>
      </c>
      <c r="F2186" s="10" t="n">
        <f aca="false">E2186*Staffing!$L$42/12*(1+Assumptions!$E$10)^INT((C2186-1)/12)*1</f>
        <v>0</v>
      </c>
      <c r="G2186" s="10" t="n">
        <f aca="false">F2186*Staffing!$N$42</f>
        <v>0</v>
      </c>
      <c r="H2186" s="10" t="n">
        <f aca="false">F2186+G2186</f>
        <v>0</v>
      </c>
      <c r="I2186" s="10" t="n">
        <f aca="false">0</f>
        <v>0</v>
      </c>
      <c r="J2186" s="10" t="n">
        <f aca="false">MAX(0,E2186-E2185)*Staffing!$O$42</f>
        <v>0</v>
      </c>
      <c r="K2186" s="10" t="n">
        <f aca="false">MAX(0,E2186-E2185)*Staffing!$P$42</f>
        <v>0</v>
      </c>
      <c r="L2186" s="23" t="n">
        <f aca="false">ROUNDUP(E2186,0)</f>
        <v>0</v>
      </c>
    </row>
    <row r="2187" customFormat="false" ht="15" hidden="false" customHeight="false" outlineLevel="0" collapsed="false">
      <c r="A2187" s="6" t="s">
        <v>73</v>
      </c>
      <c r="B2187" s="6" t="s">
        <v>349</v>
      </c>
      <c r="C2187" s="6" t="n">
        <v>22</v>
      </c>
      <c r="D2187" s="25" t="n">
        <f aca="false">EDATE('Start Here'!$B$6,C2187-1)</f>
        <v>46966</v>
      </c>
      <c r="E2187" s="23" t="n">
        <f aca="false">IF(AND(C2187&gt;=Assumptions!$E$24,C2187&lt;=Staffing!$G$42,'Start Here'!$B$7=1),IF(C2187&lt;=6,Staffing!$H$42,IF(C2187&lt;=15,Staffing!$I$42,IF(C2187&lt;=30,Staffing!$J$42,Staffing!$K$42))),0)</f>
        <v>0</v>
      </c>
      <c r="F2187" s="10" t="n">
        <f aca="false">E2187*Staffing!$L$42/12*(1+Assumptions!$E$10)^INT((C2187-1)/12)*1</f>
        <v>0</v>
      </c>
      <c r="G2187" s="10" t="n">
        <f aca="false">F2187*Staffing!$N$42</f>
        <v>0</v>
      </c>
      <c r="H2187" s="10" t="n">
        <f aca="false">F2187+G2187</f>
        <v>0</v>
      </c>
      <c r="I2187" s="10" t="n">
        <f aca="false">0</f>
        <v>0</v>
      </c>
      <c r="J2187" s="10" t="n">
        <f aca="false">MAX(0,E2187-E2186)*Staffing!$O$42</f>
        <v>0</v>
      </c>
      <c r="K2187" s="10" t="n">
        <f aca="false">MAX(0,E2187-E2186)*Staffing!$P$42</f>
        <v>0</v>
      </c>
      <c r="L2187" s="23" t="n">
        <f aca="false">ROUNDUP(E2187,0)</f>
        <v>0</v>
      </c>
    </row>
    <row r="2188" customFormat="false" ht="15" hidden="false" customHeight="false" outlineLevel="0" collapsed="false">
      <c r="A2188" s="6" t="s">
        <v>73</v>
      </c>
      <c r="B2188" s="6" t="s">
        <v>349</v>
      </c>
      <c r="C2188" s="6" t="n">
        <v>23</v>
      </c>
      <c r="D2188" s="25" t="n">
        <f aca="false">EDATE('Start Here'!$B$6,C2188-1)</f>
        <v>46997</v>
      </c>
      <c r="E2188" s="23" t="n">
        <f aca="false">IF(AND(C2188&gt;=Assumptions!$E$24,C2188&lt;=Staffing!$G$42,'Start Here'!$B$7=1),IF(C2188&lt;=6,Staffing!$H$42,IF(C2188&lt;=15,Staffing!$I$42,IF(C2188&lt;=30,Staffing!$J$42,Staffing!$K$42))),0)</f>
        <v>0</v>
      </c>
      <c r="F2188" s="10" t="n">
        <f aca="false">E2188*Staffing!$L$42/12*(1+Assumptions!$E$10)^INT((C2188-1)/12)*1</f>
        <v>0</v>
      </c>
      <c r="G2188" s="10" t="n">
        <f aca="false">F2188*Staffing!$N$42</f>
        <v>0</v>
      </c>
      <c r="H2188" s="10" t="n">
        <f aca="false">F2188+G2188</f>
        <v>0</v>
      </c>
      <c r="I2188" s="10" t="n">
        <f aca="false">0</f>
        <v>0</v>
      </c>
      <c r="J2188" s="10" t="n">
        <f aca="false">MAX(0,E2188-E2187)*Staffing!$O$42</f>
        <v>0</v>
      </c>
      <c r="K2188" s="10" t="n">
        <f aca="false">MAX(0,E2188-E2187)*Staffing!$P$42</f>
        <v>0</v>
      </c>
      <c r="L2188" s="23" t="n">
        <f aca="false">ROUNDUP(E2188,0)</f>
        <v>0</v>
      </c>
    </row>
    <row r="2189" customFormat="false" ht="15" hidden="false" customHeight="false" outlineLevel="0" collapsed="false">
      <c r="A2189" s="6" t="s">
        <v>73</v>
      </c>
      <c r="B2189" s="6" t="s">
        <v>349</v>
      </c>
      <c r="C2189" s="6" t="n">
        <v>24</v>
      </c>
      <c r="D2189" s="25" t="n">
        <f aca="false">EDATE('Start Here'!$B$6,C2189-1)</f>
        <v>47027</v>
      </c>
      <c r="E2189" s="23" t="n">
        <f aca="false">IF(AND(C2189&gt;=Assumptions!$E$24,C2189&lt;=Staffing!$G$42,'Start Here'!$B$7=1),IF(C2189&lt;=6,Staffing!$H$42,IF(C2189&lt;=15,Staffing!$I$42,IF(C2189&lt;=30,Staffing!$J$42,Staffing!$K$42))),0)</f>
        <v>0</v>
      </c>
      <c r="F2189" s="10" t="n">
        <f aca="false">E2189*Staffing!$L$42/12*(1+Assumptions!$E$10)^INT((C2189-1)/12)*1</f>
        <v>0</v>
      </c>
      <c r="G2189" s="10" t="n">
        <f aca="false">F2189*Staffing!$N$42</f>
        <v>0</v>
      </c>
      <c r="H2189" s="10" t="n">
        <f aca="false">F2189+G2189</f>
        <v>0</v>
      </c>
      <c r="I2189" s="10" t="n">
        <f aca="false">0</f>
        <v>0</v>
      </c>
      <c r="J2189" s="10" t="n">
        <f aca="false">MAX(0,E2189-E2188)*Staffing!$O$42</f>
        <v>0</v>
      </c>
      <c r="K2189" s="10" t="n">
        <f aca="false">MAX(0,E2189-E2188)*Staffing!$P$42</f>
        <v>0</v>
      </c>
      <c r="L2189" s="23" t="n">
        <f aca="false">ROUNDUP(E2189,0)</f>
        <v>0</v>
      </c>
    </row>
    <row r="2190" customFormat="false" ht="15" hidden="false" customHeight="false" outlineLevel="0" collapsed="false">
      <c r="A2190" s="6" t="s">
        <v>73</v>
      </c>
      <c r="B2190" s="6" t="s">
        <v>349</v>
      </c>
      <c r="C2190" s="6" t="n">
        <v>25</v>
      </c>
      <c r="D2190" s="25" t="n">
        <f aca="false">EDATE('Start Here'!$B$6,C2190-1)</f>
        <v>47058</v>
      </c>
      <c r="E2190" s="23" t="n">
        <f aca="false">IF(AND(C2190&gt;=Assumptions!$E$24,C2190&lt;=Staffing!$G$42,'Start Here'!$B$7=1),IF(C2190&lt;=6,Staffing!$H$42,IF(C2190&lt;=15,Staffing!$I$42,IF(C2190&lt;=30,Staffing!$J$42,Staffing!$K$42))),0)</f>
        <v>0</v>
      </c>
      <c r="F2190" s="10" t="n">
        <f aca="false">E2190*Staffing!$L$42/12*(1+Assumptions!$E$10)^INT((C2190-1)/12)*1</f>
        <v>0</v>
      </c>
      <c r="G2190" s="10" t="n">
        <f aca="false">F2190*Staffing!$N$42</f>
        <v>0</v>
      </c>
      <c r="H2190" s="10" t="n">
        <f aca="false">F2190+G2190</f>
        <v>0</v>
      </c>
      <c r="I2190" s="10" t="n">
        <f aca="false">0</f>
        <v>0</v>
      </c>
      <c r="J2190" s="10" t="n">
        <f aca="false">MAX(0,E2190-E2189)*Staffing!$O$42</f>
        <v>0</v>
      </c>
      <c r="K2190" s="10" t="n">
        <f aca="false">MAX(0,E2190-E2189)*Staffing!$P$42</f>
        <v>0</v>
      </c>
      <c r="L2190" s="23" t="n">
        <f aca="false">ROUNDUP(E2190,0)</f>
        <v>0</v>
      </c>
    </row>
    <row r="2191" customFormat="false" ht="15" hidden="false" customHeight="false" outlineLevel="0" collapsed="false">
      <c r="A2191" s="6" t="s">
        <v>73</v>
      </c>
      <c r="B2191" s="6" t="s">
        <v>349</v>
      </c>
      <c r="C2191" s="6" t="n">
        <v>26</v>
      </c>
      <c r="D2191" s="25" t="n">
        <f aca="false">EDATE('Start Here'!$B$6,C2191-1)</f>
        <v>47088</v>
      </c>
      <c r="E2191" s="23" t="n">
        <f aca="false">IF(AND(C2191&gt;=Assumptions!$E$24,C2191&lt;=Staffing!$G$42,'Start Here'!$B$7=1),IF(C2191&lt;=6,Staffing!$H$42,IF(C2191&lt;=15,Staffing!$I$42,IF(C2191&lt;=30,Staffing!$J$42,Staffing!$K$42))),0)</f>
        <v>0</v>
      </c>
      <c r="F2191" s="10" t="n">
        <f aca="false">E2191*Staffing!$L$42/12*(1+Assumptions!$E$10)^INT((C2191-1)/12)*1</f>
        <v>0</v>
      </c>
      <c r="G2191" s="10" t="n">
        <f aca="false">F2191*Staffing!$N$42</f>
        <v>0</v>
      </c>
      <c r="H2191" s="10" t="n">
        <f aca="false">F2191+G2191</f>
        <v>0</v>
      </c>
      <c r="I2191" s="10" t="n">
        <f aca="false">0</f>
        <v>0</v>
      </c>
      <c r="J2191" s="10" t="n">
        <f aca="false">MAX(0,E2191-E2190)*Staffing!$O$42</f>
        <v>0</v>
      </c>
      <c r="K2191" s="10" t="n">
        <f aca="false">MAX(0,E2191-E2190)*Staffing!$P$42</f>
        <v>0</v>
      </c>
      <c r="L2191" s="23" t="n">
        <f aca="false">ROUNDUP(E2191,0)</f>
        <v>0</v>
      </c>
    </row>
    <row r="2192" customFormat="false" ht="15" hidden="false" customHeight="false" outlineLevel="0" collapsed="false">
      <c r="A2192" s="6" t="s">
        <v>73</v>
      </c>
      <c r="B2192" s="6" t="s">
        <v>349</v>
      </c>
      <c r="C2192" s="6" t="n">
        <v>27</v>
      </c>
      <c r="D2192" s="25" t="n">
        <f aca="false">EDATE('Start Here'!$B$6,C2192-1)</f>
        <v>47119</v>
      </c>
      <c r="E2192" s="23" t="n">
        <f aca="false">IF(AND(C2192&gt;=Assumptions!$E$24,C2192&lt;=Staffing!$G$42,'Start Here'!$B$7=1),IF(C2192&lt;=6,Staffing!$H$42,IF(C2192&lt;=15,Staffing!$I$42,IF(C2192&lt;=30,Staffing!$J$42,Staffing!$K$42))),0)</f>
        <v>0</v>
      </c>
      <c r="F2192" s="10" t="n">
        <f aca="false">E2192*Staffing!$L$42/12*(1+Assumptions!$E$10)^INT((C2192-1)/12)*1</f>
        <v>0</v>
      </c>
      <c r="G2192" s="10" t="n">
        <f aca="false">F2192*Staffing!$N$42</f>
        <v>0</v>
      </c>
      <c r="H2192" s="10" t="n">
        <f aca="false">F2192+G2192</f>
        <v>0</v>
      </c>
      <c r="I2192" s="10" t="n">
        <f aca="false">0</f>
        <v>0</v>
      </c>
      <c r="J2192" s="10" t="n">
        <f aca="false">MAX(0,E2192-E2191)*Staffing!$O$42</f>
        <v>0</v>
      </c>
      <c r="K2192" s="10" t="n">
        <f aca="false">MAX(0,E2192-E2191)*Staffing!$P$42</f>
        <v>0</v>
      </c>
      <c r="L2192" s="23" t="n">
        <f aca="false">ROUNDUP(E2192,0)</f>
        <v>0</v>
      </c>
    </row>
    <row r="2193" customFormat="false" ht="15" hidden="false" customHeight="false" outlineLevel="0" collapsed="false">
      <c r="A2193" s="6" t="s">
        <v>73</v>
      </c>
      <c r="B2193" s="6" t="s">
        <v>349</v>
      </c>
      <c r="C2193" s="6" t="n">
        <v>28</v>
      </c>
      <c r="D2193" s="25" t="n">
        <f aca="false">EDATE('Start Here'!$B$6,C2193-1)</f>
        <v>47150</v>
      </c>
      <c r="E2193" s="23" t="n">
        <f aca="false">IF(AND(C2193&gt;=Assumptions!$E$24,C2193&lt;=Staffing!$G$42,'Start Here'!$B$7=1),IF(C2193&lt;=6,Staffing!$H$42,IF(C2193&lt;=15,Staffing!$I$42,IF(C2193&lt;=30,Staffing!$J$42,Staffing!$K$42))),0)</f>
        <v>0</v>
      </c>
      <c r="F2193" s="10" t="n">
        <f aca="false">E2193*Staffing!$L$42/12*(1+Assumptions!$E$10)^INT((C2193-1)/12)*1</f>
        <v>0</v>
      </c>
      <c r="G2193" s="10" t="n">
        <f aca="false">F2193*Staffing!$N$42</f>
        <v>0</v>
      </c>
      <c r="H2193" s="10" t="n">
        <f aca="false">F2193+G2193</f>
        <v>0</v>
      </c>
      <c r="I2193" s="10" t="n">
        <f aca="false">0</f>
        <v>0</v>
      </c>
      <c r="J2193" s="10" t="n">
        <f aca="false">MAX(0,E2193-E2192)*Staffing!$O$42</f>
        <v>0</v>
      </c>
      <c r="K2193" s="10" t="n">
        <f aca="false">MAX(0,E2193-E2192)*Staffing!$P$42</f>
        <v>0</v>
      </c>
      <c r="L2193" s="23" t="n">
        <f aca="false">ROUNDUP(E2193,0)</f>
        <v>0</v>
      </c>
    </row>
    <row r="2194" customFormat="false" ht="15" hidden="false" customHeight="false" outlineLevel="0" collapsed="false">
      <c r="A2194" s="6" t="s">
        <v>73</v>
      </c>
      <c r="B2194" s="6" t="s">
        <v>349</v>
      </c>
      <c r="C2194" s="6" t="n">
        <v>29</v>
      </c>
      <c r="D2194" s="25" t="n">
        <f aca="false">EDATE('Start Here'!$B$6,C2194-1)</f>
        <v>47178</v>
      </c>
      <c r="E2194" s="23" t="n">
        <f aca="false">IF(AND(C2194&gt;=Assumptions!$E$24,C2194&lt;=Staffing!$G$42,'Start Here'!$B$7=1),IF(C2194&lt;=6,Staffing!$H$42,IF(C2194&lt;=15,Staffing!$I$42,IF(C2194&lt;=30,Staffing!$J$42,Staffing!$K$42))),0)</f>
        <v>0</v>
      </c>
      <c r="F2194" s="10" t="n">
        <f aca="false">E2194*Staffing!$L$42/12*(1+Assumptions!$E$10)^INT((C2194-1)/12)*1</f>
        <v>0</v>
      </c>
      <c r="G2194" s="10" t="n">
        <f aca="false">F2194*Staffing!$N$42</f>
        <v>0</v>
      </c>
      <c r="H2194" s="10" t="n">
        <f aca="false">F2194+G2194</f>
        <v>0</v>
      </c>
      <c r="I2194" s="10" t="n">
        <f aca="false">0</f>
        <v>0</v>
      </c>
      <c r="J2194" s="10" t="n">
        <f aca="false">MAX(0,E2194-E2193)*Staffing!$O$42</f>
        <v>0</v>
      </c>
      <c r="K2194" s="10" t="n">
        <f aca="false">MAX(0,E2194-E2193)*Staffing!$P$42</f>
        <v>0</v>
      </c>
      <c r="L2194" s="23" t="n">
        <f aca="false">ROUNDUP(E2194,0)</f>
        <v>0</v>
      </c>
    </row>
    <row r="2195" customFormat="false" ht="15" hidden="false" customHeight="false" outlineLevel="0" collapsed="false">
      <c r="A2195" s="6" t="s">
        <v>73</v>
      </c>
      <c r="B2195" s="6" t="s">
        <v>349</v>
      </c>
      <c r="C2195" s="6" t="n">
        <v>30</v>
      </c>
      <c r="D2195" s="25" t="n">
        <f aca="false">EDATE('Start Here'!$B$6,C2195-1)</f>
        <v>47209</v>
      </c>
      <c r="E2195" s="23" t="n">
        <f aca="false">IF(AND(C2195&gt;=Assumptions!$E$24,C2195&lt;=Staffing!$G$42,'Start Here'!$B$7=1),IF(C2195&lt;=6,Staffing!$H$42,IF(C2195&lt;=15,Staffing!$I$42,IF(C2195&lt;=30,Staffing!$J$42,Staffing!$K$42))),0)</f>
        <v>0</v>
      </c>
      <c r="F2195" s="10" t="n">
        <f aca="false">E2195*Staffing!$L$42/12*(1+Assumptions!$E$10)^INT((C2195-1)/12)*1</f>
        <v>0</v>
      </c>
      <c r="G2195" s="10" t="n">
        <f aca="false">F2195*Staffing!$N$42</f>
        <v>0</v>
      </c>
      <c r="H2195" s="10" t="n">
        <f aca="false">F2195+G2195</f>
        <v>0</v>
      </c>
      <c r="I2195" s="10" t="n">
        <f aca="false">0</f>
        <v>0</v>
      </c>
      <c r="J2195" s="10" t="n">
        <f aca="false">MAX(0,E2195-E2194)*Staffing!$O$42</f>
        <v>0</v>
      </c>
      <c r="K2195" s="10" t="n">
        <f aca="false">MAX(0,E2195-E2194)*Staffing!$P$42</f>
        <v>0</v>
      </c>
      <c r="L2195" s="23" t="n">
        <f aca="false">ROUNDUP(E2195,0)</f>
        <v>0</v>
      </c>
    </row>
    <row r="2196" customFormat="false" ht="15" hidden="false" customHeight="false" outlineLevel="0" collapsed="false">
      <c r="A2196" s="6" t="s">
        <v>73</v>
      </c>
      <c r="B2196" s="6" t="s">
        <v>349</v>
      </c>
      <c r="C2196" s="6" t="n">
        <v>31</v>
      </c>
      <c r="D2196" s="25" t="n">
        <f aca="false">EDATE('Start Here'!$B$6,C2196-1)</f>
        <v>47239</v>
      </c>
      <c r="E2196" s="23" t="n">
        <f aca="false">IF(AND(C2196&gt;=Assumptions!$E$24,C2196&lt;=Staffing!$G$42,'Start Here'!$B$7=1),IF(C2196&lt;=6,Staffing!$H$42,IF(C2196&lt;=15,Staffing!$I$42,IF(C2196&lt;=30,Staffing!$J$42,Staffing!$K$42))),0)</f>
        <v>0</v>
      </c>
      <c r="F2196" s="10" t="n">
        <f aca="false">E2196*Staffing!$L$42/12*(1+Assumptions!$E$10)^INT((C2196-1)/12)*1</f>
        <v>0</v>
      </c>
      <c r="G2196" s="10" t="n">
        <f aca="false">F2196*Staffing!$N$42</f>
        <v>0</v>
      </c>
      <c r="H2196" s="10" t="n">
        <f aca="false">F2196+G2196</f>
        <v>0</v>
      </c>
      <c r="I2196" s="10" t="n">
        <f aca="false">0</f>
        <v>0</v>
      </c>
      <c r="J2196" s="10" t="n">
        <f aca="false">MAX(0,E2196-E2195)*Staffing!$O$42</f>
        <v>0</v>
      </c>
      <c r="K2196" s="10" t="n">
        <f aca="false">MAX(0,E2196-E2195)*Staffing!$P$42</f>
        <v>0</v>
      </c>
      <c r="L2196" s="23" t="n">
        <f aca="false">ROUNDUP(E2196,0)</f>
        <v>0</v>
      </c>
    </row>
    <row r="2197" customFormat="false" ht="15" hidden="false" customHeight="false" outlineLevel="0" collapsed="false">
      <c r="A2197" s="6" t="s">
        <v>73</v>
      </c>
      <c r="B2197" s="6" t="s">
        <v>349</v>
      </c>
      <c r="C2197" s="6" t="n">
        <v>32</v>
      </c>
      <c r="D2197" s="25" t="n">
        <f aca="false">EDATE('Start Here'!$B$6,C2197-1)</f>
        <v>47270</v>
      </c>
      <c r="E2197" s="23" t="n">
        <f aca="false">IF(AND(C2197&gt;=Assumptions!$E$24,C2197&lt;=Staffing!$G$42,'Start Here'!$B$7=1),IF(C2197&lt;=6,Staffing!$H$42,IF(C2197&lt;=15,Staffing!$I$42,IF(C2197&lt;=30,Staffing!$J$42,Staffing!$K$42))),0)</f>
        <v>0</v>
      </c>
      <c r="F2197" s="10" t="n">
        <f aca="false">E2197*Staffing!$L$42/12*(1+Assumptions!$E$10)^INT((C2197-1)/12)*1</f>
        <v>0</v>
      </c>
      <c r="G2197" s="10" t="n">
        <f aca="false">F2197*Staffing!$N$42</f>
        <v>0</v>
      </c>
      <c r="H2197" s="10" t="n">
        <f aca="false">F2197+G2197</f>
        <v>0</v>
      </c>
      <c r="I2197" s="10" t="n">
        <f aca="false">0</f>
        <v>0</v>
      </c>
      <c r="J2197" s="10" t="n">
        <f aca="false">MAX(0,E2197-E2196)*Staffing!$O$42</f>
        <v>0</v>
      </c>
      <c r="K2197" s="10" t="n">
        <f aca="false">MAX(0,E2197-E2196)*Staffing!$P$42</f>
        <v>0</v>
      </c>
      <c r="L2197" s="23" t="n">
        <f aca="false">ROUNDUP(E2197,0)</f>
        <v>0</v>
      </c>
    </row>
    <row r="2198" customFormat="false" ht="15" hidden="false" customHeight="false" outlineLevel="0" collapsed="false">
      <c r="A2198" s="6" t="s">
        <v>73</v>
      </c>
      <c r="B2198" s="6" t="s">
        <v>349</v>
      </c>
      <c r="C2198" s="6" t="n">
        <v>33</v>
      </c>
      <c r="D2198" s="25" t="n">
        <f aca="false">EDATE('Start Here'!$B$6,C2198-1)</f>
        <v>47300</v>
      </c>
      <c r="E2198" s="23" t="n">
        <f aca="false">IF(AND(C2198&gt;=Assumptions!$E$24,C2198&lt;=Staffing!$G$42,'Start Here'!$B$7=1),IF(C2198&lt;=6,Staffing!$H$42,IF(C2198&lt;=15,Staffing!$I$42,IF(C2198&lt;=30,Staffing!$J$42,Staffing!$K$42))),0)</f>
        <v>0</v>
      </c>
      <c r="F2198" s="10" t="n">
        <f aca="false">E2198*Staffing!$L$42/12*(1+Assumptions!$E$10)^INT((C2198-1)/12)*1</f>
        <v>0</v>
      </c>
      <c r="G2198" s="10" t="n">
        <f aca="false">F2198*Staffing!$N$42</f>
        <v>0</v>
      </c>
      <c r="H2198" s="10" t="n">
        <f aca="false">F2198+G2198</f>
        <v>0</v>
      </c>
      <c r="I2198" s="10" t="n">
        <f aca="false">0</f>
        <v>0</v>
      </c>
      <c r="J2198" s="10" t="n">
        <f aca="false">MAX(0,E2198-E2197)*Staffing!$O$42</f>
        <v>0</v>
      </c>
      <c r="K2198" s="10" t="n">
        <f aca="false">MAX(0,E2198-E2197)*Staffing!$P$42</f>
        <v>0</v>
      </c>
      <c r="L2198" s="23" t="n">
        <f aca="false">ROUNDUP(E2198,0)</f>
        <v>0</v>
      </c>
    </row>
    <row r="2199" customFormat="false" ht="15" hidden="false" customHeight="false" outlineLevel="0" collapsed="false">
      <c r="A2199" s="6" t="s">
        <v>73</v>
      </c>
      <c r="B2199" s="6" t="s">
        <v>349</v>
      </c>
      <c r="C2199" s="6" t="n">
        <v>34</v>
      </c>
      <c r="D2199" s="25" t="n">
        <f aca="false">EDATE('Start Here'!$B$6,C2199-1)</f>
        <v>47331</v>
      </c>
      <c r="E2199" s="23" t="n">
        <f aca="false">IF(AND(C2199&gt;=Assumptions!$E$24,C2199&lt;=Staffing!$G$42,'Start Here'!$B$7=1),IF(C2199&lt;=6,Staffing!$H$42,IF(C2199&lt;=15,Staffing!$I$42,IF(C2199&lt;=30,Staffing!$J$42,Staffing!$K$42))),0)</f>
        <v>0</v>
      </c>
      <c r="F2199" s="10" t="n">
        <f aca="false">E2199*Staffing!$L$42/12*(1+Assumptions!$E$10)^INT((C2199-1)/12)*1</f>
        <v>0</v>
      </c>
      <c r="G2199" s="10" t="n">
        <f aca="false">F2199*Staffing!$N$42</f>
        <v>0</v>
      </c>
      <c r="H2199" s="10" t="n">
        <f aca="false">F2199+G2199</f>
        <v>0</v>
      </c>
      <c r="I2199" s="10" t="n">
        <f aca="false">0</f>
        <v>0</v>
      </c>
      <c r="J2199" s="10" t="n">
        <f aca="false">MAX(0,E2199-E2198)*Staffing!$O$42</f>
        <v>0</v>
      </c>
      <c r="K2199" s="10" t="n">
        <f aca="false">MAX(0,E2199-E2198)*Staffing!$P$42</f>
        <v>0</v>
      </c>
      <c r="L2199" s="23" t="n">
        <f aca="false">ROUNDUP(E2199,0)</f>
        <v>0</v>
      </c>
    </row>
    <row r="2200" customFormat="false" ht="15" hidden="false" customHeight="false" outlineLevel="0" collapsed="false">
      <c r="A2200" s="6" t="s">
        <v>73</v>
      </c>
      <c r="B2200" s="6" t="s">
        <v>349</v>
      </c>
      <c r="C2200" s="6" t="n">
        <v>35</v>
      </c>
      <c r="D2200" s="25" t="n">
        <f aca="false">EDATE('Start Here'!$B$6,C2200-1)</f>
        <v>47362</v>
      </c>
      <c r="E2200" s="23" t="n">
        <f aca="false">IF(AND(C2200&gt;=Assumptions!$E$24,C2200&lt;=Staffing!$G$42,'Start Here'!$B$7=1),IF(C2200&lt;=6,Staffing!$H$42,IF(C2200&lt;=15,Staffing!$I$42,IF(C2200&lt;=30,Staffing!$J$42,Staffing!$K$42))),0)</f>
        <v>0</v>
      </c>
      <c r="F2200" s="10" t="n">
        <f aca="false">E2200*Staffing!$L$42/12*(1+Assumptions!$E$10)^INT((C2200-1)/12)*1</f>
        <v>0</v>
      </c>
      <c r="G2200" s="10" t="n">
        <f aca="false">F2200*Staffing!$N$42</f>
        <v>0</v>
      </c>
      <c r="H2200" s="10" t="n">
        <f aca="false">F2200+G2200</f>
        <v>0</v>
      </c>
      <c r="I2200" s="10" t="n">
        <f aca="false">0</f>
        <v>0</v>
      </c>
      <c r="J2200" s="10" t="n">
        <f aca="false">MAX(0,E2200-E2199)*Staffing!$O$42</f>
        <v>0</v>
      </c>
      <c r="K2200" s="10" t="n">
        <f aca="false">MAX(0,E2200-E2199)*Staffing!$P$42</f>
        <v>0</v>
      </c>
      <c r="L2200" s="23" t="n">
        <f aca="false">ROUNDUP(E2200,0)</f>
        <v>0</v>
      </c>
    </row>
    <row r="2201" customFormat="false" ht="15" hidden="false" customHeight="false" outlineLevel="0" collapsed="false">
      <c r="A2201" s="6" t="s">
        <v>73</v>
      </c>
      <c r="B2201" s="6" t="s">
        <v>349</v>
      </c>
      <c r="C2201" s="6" t="n">
        <v>36</v>
      </c>
      <c r="D2201" s="25" t="n">
        <f aca="false">EDATE('Start Here'!$B$6,C2201-1)</f>
        <v>47392</v>
      </c>
      <c r="E2201" s="23" t="n">
        <f aca="false">IF(AND(C2201&gt;=Assumptions!$E$24,C2201&lt;=Staffing!$G$42,'Start Here'!$B$7=1),IF(C2201&lt;=6,Staffing!$H$42,IF(C2201&lt;=15,Staffing!$I$42,IF(C2201&lt;=30,Staffing!$J$42,Staffing!$K$42))),0)</f>
        <v>0</v>
      </c>
      <c r="F2201" s="10" t="n">
        <f aca="false">E2201*Staffing!$L$42/12*(1+Assumptions!$E$10)^INT((C2201-1)/12)*1</f>
        <v>0</v>
      </c>
      <c r="G2201" s="10" t="n">
        <f aca="false">F2201*Staffing!$N$42</f>
        <v>0</v>
      </c>
      <c r="H2201" s="10" t="n">
        <f aca="false">F2201+G2201</f>
        <v>0</v>
      </c>
      <c r="I2201" s="10" t="n">
        <f aca="false">0</f>
        <v>0</v>
      </c>
      <c r="J2201" s="10" t="n">
        <f aca="false">MAX(0,E2201-E2200)*Staffing!$O$42</f>
        <v>0</v>
      </c>
      <c r="K2201" s="10" t="n">
        <f aca="false">MAX(0,E2201-E2200)*Staffing!$P$42</f>
        <v>0</v>
      </c>
      <c r="L2201" s="23" t="n">
        <f aca="false">ROUNDUP(E2201,0)</f>
        <v>0</v>
      </c>
    </row>
    <row r="2202" customFormat="false" ht="15" hidden="false" customHeight="false" outlineLevel="0" collapsed="false">
      <c r="A2202" s="6" t="s">
        <v>73</v>
      </c>
      <c r="B2202" s="6" t="s">
        <v>349</v>
      </c>
      <c r="C2202" s="6" t="n">
        <v>37</v>
      </c>
      <c r="D2202" s="25" t="n">
        <f aca="false">EDATE('Start Here'!$B$6,C2202-1)</f>
        <v>47423</v>
      </c>
      <c r="E2202" s="23" t="n">
        <f aca="false">IF(AND(C2202&gt;=Assumptions!$E$24,C2202&lt;=Staffing!$G$42,'Start Here'!$B$7=1),IF(C2202&lt;=6,Staffing!$H$42,IF(C2202&lt;=15,Staffing!$I$42,IF(C2202&lt;=30,Staffing!$J$42,Staffing!$K$42))),0)</f>
        <v>0</v>
      </c>
      <c r="F2202" s="10" t="n">
        <f aca="false">E2202*Staffing!$L$42/12*(1+Assumptions!$E$10)^INT((C2202-1)/12)*1</f>
        <v>0</v>
      </c>
      <c r="G2202" s="10" t="n">
        <f aca="false">F2202*Staffing!$N$42</f>
        <v>0</v>
      </c>
      <c r="H2202" s="10" t="n">
        <f aca="false">F2202+G2202</f>
        <v>0</v>
      </c>
      <c r="I2202" s="10" t="n">
        <f aca="false">0</f>
        <v>0</v>
      </c>
      <c r="J2202" s="10" t="n">
        <f aca="false">MAX(0,E2202-E2201)*Staffing!$O$42</f>
        <v>0</v>
      </c>
      <c r="K2202" s="10" t="n">
        <f aca="false">MAX(0,E2202-E2201)*Staffing!$P$42</f>
        <v>0</v>
      </c>
      <c r="L2202" s="23" t="n">
        <f aca="false">ROUNDUP(E2202,0)</f>
        <v>0</v>
      </c>
    </row>
    <row r="2203" customFormat="false" ht="15" hidden="false" customHeight="false" outlineLevel="0" collapsed="false">
      <c r="A2203" s="6" t="s">
        <v>73</v>
      </c>
      <c r="B2203" s="6" t="s">
        <v>349</v>
      </c>
      <c r="C2203" s="6" t="n">
        <v>38</v>
      </c>
      <c r="D2203" s="25" t="n">
        <f aca="false">EDATE('Start Here'!$B$6,C2203-1)</f>
        <v>47453</v>
      </c>
      <c r="E2203" s="23" t="n">
        <f aca="false">IF(AND(C2203&gt;=Assumptions!$E$24,C2203&lt;=Staffing!$G$42,'Start Here'!$B$7=1),IF(C2203&lt;=6,Staffing!$H$42,IF(C2203&lt;=15,Staffing!$I$42,IF(C2203&lt;=30,Staffing!$J$42,Staffing!$K$42))),0)</f>
        <v>0</v>
      </c>
      <c r="F2203" s="10" t="n">
        <f aca="false">E2203*Staffing!$L$42/12*(1+Assumptions!$E$10)^INT((C2203-1)/12)*1</f>
        <v>0</v>
      </c>
      <c r="G2203" s="10" t="n">
        <f aca="false">F2203*Staffing!$N$42</f>
        <v>0</v>
      </c>
      <c r="H2203" s="10" t="n">
        <f aca="false">F2203+G2203</f>
        <v>0</v>
      </c>
      <c r="I2203" s="10" t="n">
        <f aca="false">0</f>
        <v>0</v>
      </c>
      <c r="J2203" s="10" t="n">
        <f aca="false">MAX(0,E2203-E2202)*Staffing!$O$42</f>
        <v>0</v>
      </c>
      <c r="K2203" s="10" t="n">
        <f aca="false">MAX(0,E2203-E2202)*Staffing!$P$42</f>
        <v>0</v>
      </c>
      <c r="L2203" s="23" t="n">
        <f aca="false">ROUNDUP(E2203,0)</f>
        <v>0</v>
      </c>
    </row>
    <row r="2204" customFormat="false" ht="15" hidden="false" customHeight="false" outlineLevel="0" collapsed="false">
      <c r="A2204" s="6" t="s">
        <v>73</v>
      </c>
      <c r="B2204" s="6" t="s">
        <v>349</v>
      </c>
      <c r="C2204" s="6" t="n">
        <v>39</v>
      </c>
      <c r="D2204" s="25" t="n">
        <f aca="false">EDATE('Start Here'!$B$6,C2204-1)</f>
        <v>47484</v>
      </c>
      <c r="E2204" s="23" t="n">
        <f aca="false">IF(AND(C2204&gt;=Assumptions!$E$24,C2204&lt;=Staffing!$G$42,'Start Here'!$B$7=1),IF(C2204&lt;=6,Staffing!$H$42,IF(C2204&lt;=15,Staffing!$I$42,IF(C2204&lt;=30,Staffing!$J$42,Staffing!$K$42))),0)</f>
        <v>0</v>
      </c>
      <c r="F2204" s="10" t="n">
        <f aca="false">E2204*Staffing!$L$42/12*(1+Assumptions!$E$10)^INT((C2204-1)/12)*1</f>
        <v>0</v>
      </c>
      <c r="G2204" s="10" t="n">
        <f aca="false">F2204*Staffing!$N$42</f>
        <v>0</v>
      </c>
      <c r="H2204" s="10" t="n">
        <f aca="false">F2204+G2204</f>
        <v>0</v>
      </c>
      <c r="I2204" s="10" t="n">
        <f aca="false">0</f>
        <v>0</v>
      </c>
      <c r="J2204" s="10" t="n">
        <f aca="false">MAX(0,E2204-E2203)*Staffing!$O$42</f>
        <v>0</v>
      </c>
      <c r="K2204" s="10" t="n">
        <f aca="false">MAX(0,E2204-E2203)*Staffing!$P$42</f>
        <v>0</v>
      </c>
      <c r="L2204" s="23" t="n">
        <f aca="false">ROUNDUP(E2204,0)</f>
        <v>0</v>
      </c>
    </row>
    <row r="2205" customFormat="false" ht="15" hidden="false" customHeight="false" outlineLevel="0" collapsed="false">
      <c r="A2205" s="6" t="s">
        <v>73</v>
      </c>
      <c r="B2205" s="6" t="s">
        <v>349</v>
      </c>
      <c r="C2205" s="6" t="n">
        <v>40</v>
      </c>
      <c r="D2205" s="25" t="n">
        <f aca="false">EDATE('Start Here'!$B$6,C2205-1)</f>
        <v>47515</v>
      </c>
      <c r="E2205" s="23" t="n">
        <f aca="false">IF(AND(C2205&gt;=Assumptions!$E$24,C2205&lt;=Staffing!$G$42,'Start Here'!$B$7=1),IF(C2205&lt;=6,Staffing!$H$42,IF(C2205&lt;=15,Staffing!$I$42,IF(C2205&lt;=30,Staffing!$J$42,Staffing!$K$42))),0)</f>
        <v>0</v>
      </c>
      <c r="F2205" s="10" t="n">
        <f aca="false">E2205*Staffing!$L$42/12*(1+Assumptions!$E$10)^INT((C2205-1)/12)*1</f>
        <v>0</v>
      </c>
      <c r="G2205" s="10" t="n">
        <f aca="false">F2205*Staffing!$N$42</f>
        <v>0</v>
      </c>
      <c r="H2205" s="10" t="n">
        <f aca="false">F2205+G2205</f>
        <v>0</v>
      </c>
      <c r="I2205" s="10" t="n">
        <f aca="false">0</f>
        <v>0</v>
      </c>
      <c r="J2205" s="10" t="n">
        <f aca="false">MAX(0,E2205-E2204)*Staffing!$O$42</f>
        <v>0</v>
      </c>
      <c r="K2205" s="10" t="n">
        <f aca="false">MAX(0,E2205-E2204)*Staffing!$P$42</f>
        <v>0</v>
      </c>
      <c r="L2205" s="23" t="n">
        <f aca="false">ROUNDUP(E2205,0)</f>
        <v>0</v>
      </c>
    </row>
    <row r="2206" customFormat="false" ht="15" hidden="false" customHeight="false" outlineLevel="0" collapsed="false">
      <c r="A2206" s="6" t="s">
        <v>73</v>
      </c>
      <c r="B2206" s="6" t="s">
        <v>349</v>
      </c>
      <c r="C2206" s="6" t="n">
        <v>41</v>
      </c>
      <c r="D2206" s="25" t="n">
        <f aca="false">EDATE('Start Here'!$B$6,C2206-1)</f>
        <v>47543</v>
      </c>
      <c r="E2206" s="23" t="n">
        <f aca="false">IF(AND(C2206&gt;=Assumptions!$E$24,C2206&lt;=Staffing!$G$42,'Start Here'!$B$7=1),IF(C2206&lt;=6,Staffing!$H$42,IF(C2206&lt;=15,Staffing!$I$42,IF(C2206&lt;=30,Staffing!$J$42,Staffing!$K$42))),0)</f>
        <v>0</v>
      </c>
      <c r="F2206" s="10" t="n">
        <f aca="false">E2206*Staffing!$L$42/12*(1+Assumptions!$E$10)^INT((C2206-1)/12)*1</f>
        <v>0</v>
      </c>
      <c r="G2206" s="10" t="n">
        <f aca="false">F2206*Staffing!$N$42</f>
        <v>0</v>
      </c>
      <c r="H2206" s="10" t="n">
        <f aca="false">F2206+G2206</f>
        <v>0</v>
      </c>
      <c r="I2206" s="10" t="n">
        <f aca="false">0</f>
        <v>0</v>
      </c>
      <c r="J2206" s="10" t="n">
        <f aca="false">MAX(0,E2206-E2205)*Staffing!$O$42</f>
        <v>0</v>
      </c>
      <c r="K2206" s="10" t="n">
        <f aca="false">MAX(0,E2206-E2205)*Staffing!$P$42</f>
        <v>0</v>
      </c>
      <c r="L2206" s="23" t="n">
        <f aca="false">ROUNDUP(E2206,0)</f>
        <v>0</v>
      </c>
    </row>
    <row r="2207" customFormat="false" ht="15" hidden="false" customHeight="false" outlineLevel="0" collapsed="false">
      <c r="A2207" s="6" t="s">
        <v>73</v>
      </c>
      <c r="B2207" s="6" t="s">
        <v>349</v>
      </c>
      <c r="C2207" s="6" t="n">
        <v>42</v>
      </c>
      <c r="D2207" s="25" t="n">
        <f aca="false">EDATE('Start Here'!$B$6,C2207-1)</f>
        <v>47574</v>
      </c>
      <c r="E2207" s="23" t="n">
        <f aca="false">IF(AND(C2207&gt;=Assumptions!$E$24,C2207&lt;=Staffing!$G$42,'Start Here'!$B$7=1),IF(C2207&lt;=6,Staffing!$H$42,IF(C2207&lt;=15,Staffing!$I$42,IF(C2207&lt;=30,Staffing!$J$42,Staffing!$K$42))),0)</f>
        <v>0</v>
      </c>
      <c r="F2207" s="10" t="n">
        <f aca="false">E2207*Staffing!$L$42/12*(1+Assumptions!$E$10)^INT((C2207-1)/12)*1</f>
        <v>0</v>
      </c>
      <c r="G2207" s="10" t="n">
        <f aca="false">F2207*Staffing!$N$42</f>
        <v>0</v>
      </c>
      <c r="H2207" s="10" t="n">
        <f aca="false">F2207+G2207</f>
        <v>0</v>
      </c>
      <c r="I2207" s="10" t="n">
        <f aca="false">0</f>
        <v>0</v>
      </c>
      <c r="J2207" s="10" t="n">
        <f aca="false">MAX(0,E2207-E2206)*Staffing!$O$42</f>
        <v>0</v>
      </c>
      <c r="K2207" s="10" t="n">
        <f aca="false">MAX(0,E2207-E2206)*Staffing!$P$42</f>
        <v>0</v>
      </c>
      <c r="L2207" s="23" t="n">
        <f aca="false">ROUNDUP(E2207,0)</f>
        <v>0</v>
      </c>
    </row>
    <row r="2208" customFormat="false" ht="15" hidden="false" customHeight="false" outlineLevel="0" collapsed="false">
      <c r="A2208" s="6" t="s">
        <v>73</v>
      </c>
      <c r="B2208" s="6" t="s">
        <v>349</v>
      </c>
      <c r="C2208" s="6" t="n">
        <v>43</v>
      </c>
      <c r="D2208" s="25" t="n">
        <f aca="false">EDATE('Start Here'!$B$6,C2208-1)</f>
        <v>47604</v>
      </c>
      <c r="E2208" s="23" t="n">
        <f aca="false">IF(AND(C2208&gt;=Assumptions!$E$24,C2208&lt;=Staffing!$G$42,'Start Here'!$B$7=1),IF(C2208&lt;=6,Staffing!$H$42,IF(C2208&lt;=15,Staffing!$I$42,IF(C2208&lt;=30,Staffing!$J$42,Staffing!$K$42))),0)</f>
        <v>0</v>
      </c>
      <c r="F2208" s="10" t="n">
        <f aca="false">E2208*Staffing!$L$42/12*(1+Assumptions!$E$10)^INT((C2208-1)/12)*1</f>
        <v>0</v>
      </c>
      <c r="G2208" s="10" t="n">
        <f aca="false">F2208*Staffing!$N$42</f>
        <v>0</v>
      </c>
      <c r="H2208" s="10" t="n">
        <f aca="false">F2208+G2208</f>
        <v>0</v>
      </c>
      <c r="I2208" s="10" t="n">
        <f aca="false">0</f>
        <v>0</v>
      </c>
      <c r="J2208" s="10" t="n">
        <f aca="false">MAX(0,E2208-E2207)*Staffing!$O$42</f>
        <v>0</v>
      </c>
      <c r="K2208" s="10" t="n">
        <f aca="false">MAX(0,E2208-E2207)*Staffing!$P$42</f>
        <v>0</v>
      </c>
      <c r="L2208" s="23" t="n">
        <f aca="false">ROUNDUP(E2208,0)</f>
        <v>0</v>
      </c>
    </row>
    <row r="2209" customFormat="false" ht="15" hidden="false" customHeight="false" outlineLevel="0" collapsed="false">
      <c r="A2209" s="6" t="s">
        <v>73</v>
      </c>
      <c r="B2209" s="6" t="s">
        <v>349</v>
      </c>
      <c r="C2209" s="6" t="n">
        <v>44</v>
      </c>
      <c r="D2209" s="25" t="n">
        <f aca="false">EDATE('Start Here'!$B$6,C2209-1)</f>
        <v>47635</v>
      </c>
      <c r="E2209" s="23" t="n">
        <f aca="false">IF(AND(C2209&gt;=Assumptions!$E$24,C2209&lt;=Staffing!$G$42,'Start Here'!$B$7=1),IF(C2209&lt;=6,Staffing!$H$42,IF(C2209&lt;=15,Staffing!$I$42,IF(C2209&lt;=30,Staffing!$J$42,Staffing!$K$42))),0)</f>
        <v>0</v>
      </c>
      <c r="F2209" s="10" t="n">
        <f aca="false">E2209*Staffing!$L$42/12*(1+Assumptions!$E$10)^INT((C2209-1)/12)*1</f>
        <v>0</v>
      </c>
      <c r="G2209" s="10" t="n">
        <f aca="false">F2209*Staffing!$N$42</f>
        <v>0</v>
      </c>
      <c r="H2209" s="10" t="n">
        <f aca="false">F2209+G2209</f>
        <v>0</v>
      </c>
      <c r="I2209" s="10" t="n">
        <f aca="false">0</f>
        <v>0</v>
      </c>
      <c r="J2209" s="10" t="n">
        <f aca="false">MAX(0,E2209-E2208)*Staffing!$O$42</f>
        <v>0</v>
      </c>
      <c r="K2209" s="10" t="n">
        <f aca="false">MAX(0,E2209-E2208)*Staffing!$P$42</f>
        <v>0</v>
      </c>
      <c r="L2209" s="23" t="n">
        <f aca="false">ROUNDUP(E2209,0)</f>
        <v>0</v>
      </c>
    </row>
    <row r="2210" customFormat="false" ht="15" hidden="false" customHeight="false" outlineLevel="0" collapsed="false">
      <c r="A2210" s="6" t="s">
        <v>73</v>
      </c>
      <c r="B2210" s="6" t="s">
        <v>349</v>
      </c>
      <c r="C2210" s="6" t="n">
        <v>45</v>
      </c>
      <c r="D2210" s="25" t="n">
        <f aca="false">EDATE('Start Here'!$B$6,C2210-1)</f>
        <v>47665</v>
      </c>
      <c r="E2210" s="23" t="n">
        <f aca="false">IF(AND(C2210&gt;=Assumptions!$E$24,C2210&lt;=Staffing!$G$42,'Start Here'!$B$7=1),IF(C2210&lt;=6,Staffing!$H$42,IF(C2210&lt;=15,Staffing!$I$42,IF(C2210&lt;=30,Staffing!$J$42,Staffing!$K$42))),0)</f>
        <v>0</v>
      </c>
      <c r="F2210" s="10" t="n">
        <f aca="false">E2210*Staffing!$L$42/12*(1+Assumptions!$E$10)^INT((C2210-1)/12)*1</f>
        <v>0</v>
      </c>
      <c r="G2210" s="10" t="n">
        <f aca="false">F2210*Staffing!$N$42</f>
        <v>0</v>
      </c>
      <c r="H2210" s="10" t="n">
        <f aca="false">F2210+G2210</f>
        <v>0</v>
      </c>
      <c r="I2210" s="10" t="n">
        <f aca="false">0</f>
        <v>0</v>
      </c>
      <c r="J2210" s="10" t="n">
        <f aca="false">MAX(0,E2210-E2209)*Staffing!$O$42</f>
        <v>0</v>
      </c>
      <c r="K2210" s="10" t="n">
        <f aca="false">MAX(0,E2210-E2209)*Staffing!$P$42</f>
        <v>0</v>
      </c>
      <c r="L2210" s="23" t="n">
        <f aca="false">ROUNDUP(E2210,0)</f>
        <v>0</v>
      </c>
    </row>
    <row r="2211" customFormat="false" ht="15" hidden="false" customHeight="false" outlineLevel="0" collapsed="false">
      <c r="A2211" s="6" t="s">
        <v>73</v>
      </c>
      <c r="B2211" s="6" t="s">
        <v>349</v>
      </c>
      <c r="C2211" s="6" t="n">
        <v>46</v>
      </c>
      <c r="D2211" s="25" t="n">
        <f aca="false">EDATE('Start Here'!$B$6,C2211-1)</f>
        <v>47696</v>
      </c>
      <c r="E2211" s="23" t="n">
        <f aca="false">IF(AND(C2211&gt;=Assumptions!$E$24,C2211&lt;=Staffing!$G$42,'Start Here'!$B$7=1),IF(C2211&lt;=6,Staffing!$H$42,IF(C2211&lt;=15,Staffing!$I$42,IF(C2211&lt;=30,Staffing!$J$42,Staffing!$K$42))),0)</f>
        <v>0</v>
      </c>
      <c r="F2211" s="10" t="n">
        <f aca="false">E2211*Staffing!$L$42/12*(1+Assumptions!$E$10)^INT((C2211-1)/12)*1</f>
        <v>0</v>
      </c>
      <c r="G2211" s="10" t="n">
        <f aca="false">F2211*Staffing!$N$42</f>
        <v>0</v>
      </c>
      <c r="H2211" s="10" t="n">
        <f aca="false">F2211+G2211</f>
        <v>0</v>
      </c>
      <c r="I2211" s="10" t="n">
        <f aca="false">0</f>
        <v>0</v>
      </c>
      <c r="J2211" s="10" t="n">
        <f aca="false">MAX(0,E2211-E2210)*Staffing!$O$42</f>
        <v>0</v>
      </c>
      <c r="K2211" s="10" t="n">
        <f aca="false">MAX(0,E2211-E2210)*Staffing!$P$42</f>
        <v>0</v>
      </c>
      <c r="L2211" s="23" t="n">
        <f aca="false">ROUNDUP(E2211,0)</f>
        <v>0</v>
      </c>
    </row>
    <row r="2212" customFormat="false" ht="15" hidden="false" customHeight="false" outlineLevel="0" collapsed="false">
      <c r="A2212" s="6" t="s">
        <v>73</v>
      </c>
      <c r="B2212" s="6" t="s">
        <v>349</v>
      </c>
      <c r="C2212" s="6" t="n">
        <v>47</v>
      </c>
      <c r="D2212" s="25" t="n">
        <f aca="false">EDATE('Start Here'!$B$6,C2212-1)</f>
        <v>47727</v>
      </c>
      <c r="E2212" s="23" t="n">
        <f aca="false">IF(AND(C2212&gt;=Assumptions!$E$24,C2212&lt;=Staffing!$G$42,'Start Here'!$B$7=1),IF(C2212&lt;=6,Staffing!$H$42,IF(C2212&lt;=15,Staffing!$I$42,IF(C2212&lt;=30,Staffing!$J$42,Staffing!$K$42))),0)</f>
        <v>0</v>
      </c>
      <c r="F2212" s="10" t="n">
        <f aca="false">E2212*Staffing!$L$42/12*(1+Assumptions!$E$10)^INT((C2212-1)/12)*1</f>
        <v>0</v>
      </c>
      <c r="G2212" s="10" t="n">
        <f aca="false">F2212*Staffing!$N$42</f>
        <v>0</v>
      </c>
      <c r="H2212" s="10" t="n">
        <f aca="false">F2212+G2212</f>
        <v>0</v>
      </c>
      <c r="I2212" s="10" t="n">
        <f aca="false">0</f>
        <v>0</v>
      </c>
      <c r="J2212" s="10" t="n">
        <f aca="false">MAX(0,E2212-E2211)*Staffing!$O$42</f>
        <v>0</v>
      </c>
      <c r="K2212" s="10" t="n">
        <f aca="false">MAX(0,E2212-E2211)*Staffing!$P$42</f>
        <v>0</v>
      </c>
      <c r="L2212" s="23" t="n">
        <f aca="false">ROUNDUP(E2212,0)</f>
        <v>0</v>
      </c>
    </row>
    <row r="2213" customFormat="false" ht="15" hidden="false" customHeight="false" outlineLevel="0" collapsed="false">
      <c r="A2213" s="6" t="s">
        <v>73</v>
      </c>
      <c r="B2213" s="6" t="s">
        <v>349</v>
      </c>
      <c r="C2213" s="6" t="n">
        <v>48</v>
      </c>
      <c r="D2213" s="25" t="n">
        <f aca="false">EDATE('Start Here'!$B$6,C2213-1)</f>
        <v>47757</v>
      </c>
      <c r="E2213" s="23" t="n">
        <f aca="false">IF(AND(C2213&gt;=Assumptions!$E$24,C2213&lt;=Staffing!$G$42,'Start Here'!$B$7=1),IF(C2213&lt;=6,Staffing!$H$42,IF(C2213&lt;=15,Staffing!$I$42,IF(C2213&lt;=30,Staffing!$J$42,Staffing!$K$42))),0)</f>
        <v>0</v>
      </c>
      <c r="F2213" s="10" t="n">
        <f aca="false">E2213*Staffing!$L$42/12*(1+Assumptions!$E$10)^INT((C2213-1)/12)*1</f>
        <v>0</v>
      </c>
      <c r="G2213" s="10" t="n">
        <f aca="false">F2213*Staffing!$N$42</f>
        <v>0</v>
      </c>
      <c r="H2213" s="10" t="n">
        <f aca="false">F2213+G2213</f>
        <v>0</v>
      </c>
      <c r="I2213" s="10" t="n">
        <f aca="false">0</f>
        <v>0</v>
      </c>
      <c r="J2213" s="10" t="n">
        <f aca="false">MAX(0,E2213-E2212)*Staffing!$O$42</f>
        <v>0</v>
      </c>
      <c r="K2213" s="10" t="n">
        <f aca="false">MAX(0,E2213-E2212)*Staffing!$P$42</f>
        <v>0</v>
      </c>
      <c r="L2213" s="23" t="n">
        <f aca="false">ROUNDUP(E2213,0)</f>
        <v>0</v>
      </c>
    </row>
    <row r="2214" customFormat="false" ht="15" hidden="false" customHeight="false" outlineLevel="0" collapsed="false">
      <c r="A2214" s="6" t="s">
        <v>73</v>
      </c>
      <c r="B2214" s="6" t="s">
        <v>349</v>
      </c>
      <c r="C2214" s="6" t="n">
        <v>49</v>
      </c>
      <c r="D2214" s="25" t="n">
        <f aca="false">EDATE('Start Here'!$B$6,C2214-1)</f>
        <v>47788</v>
      </c>
      <c r="E2214" s="23" t="n">
        <f aca="false">IF(AND(C2214&gt;=Assumptions!$E$24,C2214&lt;=Staffing!$G$42,'Start Here'!$B$7=1),IF(C2214&lt;=6,Staffing!$H$42,IF(C2214&lt;=15,Staffing!$I$42,IF(C2214&lt;=30,Staffing!$J$42,Staffing!$K$42))),0)</f>
        <v>0</v>
      </c>
      <c r="F2214" s="10" t="n">
        <f aca="false">E2214*Staffing!$L$42/12*(1+Assumptions!$E$10)^INT((C2214-1)/12)*1</f>
        <v>0</v>
      </c>
      <c r="G2214" s="10" t="n">
        <f aca="false">F2214*Staffing!$N$42</f>
        <v>0</v>
      </c>
      <c r="H2214" s="10" t="n">
        <f aca="false">F2214+G2214</f>
        <v>0</v>
      </c>
      <c r="I2214" s="10" t="n">
        <f aca="false">0</f>
        <v>0</v>
      </c>
      <c r="J2214" s="10" t="n">
        <f aca="false">MAX(0,E2214-E2213)*Staffing!$O$42</f>
        <v>0</v>
      </c>
      <c r="K2214" s="10" t="n">
        <f aca="false">MAX(0,E2214-E2213)*Staffing!$P$42</f>
        <v>0</v>
      </c>
      <c r="L2214" s="23" t="n">
        <f aca="false">ROUNDUP(E2214,0)</f>
        <v>0</v>
      </c>
    </row>
    <row r="2215" customFormat="false" ht="15" hidden="false" customHeight="false" outlineLevel="0" collapsed="false">
      <c r="A2215" s="6" t="s">
        <v>73</v>
      </c>
      <c r="B2215" s="6" t="s">
        <v>349</v>
      </c>
      <c r="C2215" s="6" t="n">
        <v>50</v>
      </c>
      <c r="D2215" s="25" t="n">
        <f aca="false">EDATE('Start Here'!$B$6,C2215-1)</f>
        <v>47818</v>
      </c>
      <c r="E2215" s="23" t="n">
        <f aca="false">IF(AND(C2215&gt;=Assumptions!$E$24,C2215&lt;=Staffing!$G$42,'Start Here'!$B$7=1),IF(C2215&lt;=6,Staffing!$H$42,IF(C2215&lt;=15,Staffing!$I$42,IF(C2215&lt;=30,Staffing!$J$42,Staffing!$K$42))),0)</f>
        <v>0</v>
      </c>
      <c r="F2215" s="10" t="n">
        <f aca="false">E2215*Staffing!$L$42/12*(1+Assumptions!$E$10)^INT((C2215-1)/12)*1</f>
        <v>0</v>
      </c>
      <c r="G2215" s="10" t="n">
        <f aca="false">F2215*Staffing!$N$42</f>
        <v>0</v>
      </c>
      <c r="H2215" s="10" t="n">
        <f aca="false">F2215+G2215</f>
        <v>0</v>
      </c>
      <c r="I2215" s="10" t="n">
        <f aca="false">0</f>
        <v>0</v>
      </c>
      <c r="J2215" s="10" t="n">
        <f aca="false">MAX(0,E2215-E2214)*Staffing!$O$42</f>
        <v>0</v>
      </c>
      <c r="K2215" s="10" t="n">
        <f aca="false">MAX(0,E2215-E2214)*Staffing!$P$42</f>
        <v>0</v>
      </c>
      <c r="L2215" s="23" t="n">
        <f aca="false">ROUNDUP(E2215,0)</f>
        <v>0</v>
      </c>
    </row>
    <row r="2216" customFormat="false" ht="15" hidden="false" customHeight="false" outlineLevel="0" collapsed="false">
      <c r="A2216" s="6" t="s">
        <v>73</v>
      </c>
      <c r="B2216" s="6" t="s">
        <v>349</v>
      </c>
      <c r="C2216" s="6" t="n">
        <v>51</v>
      </c>
      <c r="D2216" s="25" t="n">
        <f aca="false">EDATE('Start Here'!$B$6,C2216-1)</f>
        <v>47849</v>
      </c>
      <c r="E2216" s="23" t="n">
        <f aca="false">IF(AND(C2216&gt;=Assumptions!$E$24,C2216&lt;=Staffing!$G$42,'Start Here'!$B$7=1),IF(C2216&lt;=6,Staffing!$H$42,IF(C2216&lt;=15,Staffing!$I$42,IF(C2216&lt;=30,Staffing!$J$42,Staffing!$K$42))),0)</f>
        <v>0</v>
      </c>
      <c r="F2216" s="10" t="n">
        <f aca="false">E2216*Staffing!$L$42/12*(1+Assumptions!$E$10)^INT((C2216-1)/12)*1</f>
        <v>0</v>
      </c>
      <c r="G2216" s="10" t="n">
        <f aca="false">F2216*Staffing!$N$42</f>
        <v>0</v>
      </c>
      <c r="H2216" s="10" t="n">
        <f aca="false">F2216+G2216</f>
        <v>0</v>
      </c>
      <c r="I2216" s="10" t="n">
        <f aca="false">0</f>
        <v>0</v>
      </c>
      <c r="J2216" s="10" t="n">
        <f aca="false">MAX(0,E2216-E2215)*Staffing!$O$42</f>
        <v>0</v>
      </c>
      <c r="K2216" s="10" t="n">
        <f aca="false">MAX(0,E2216-E2215)*Staffing!$P$42</f>
        <v>0</v>
      </c>
      <c r="L2216" s="23" t="n">
        <f aca="false">ROUNDUP(E2216,0)</f>
        <v>0</v>
      </c>
    </row>
    <row r="2217" customFormat="false" ht="15" hidden="false" customHeight="false" outlineLevel="0" collapsed="false">
      <c r="A2217" s="6" t="s">
        <v>73</v>
      </c>
      <c r="B2217" s="6" t="s">
        <v>349</v>
      </c>
      <c r="C2217" s="6" t="n">
        <v>52</v>
      </c>
      <c r="D2217" s="25" t="n">
        <f aca="false">EDATE('Start Here'!$B$6,C2217-1)</f>
        <v>47880</v>
      </c>
      <c r="E2217" s="23" t="n">
        <f aca="false">IF(AND(C2217&gt;=Assumptions!$E$24,C2217&lt;=Staffing!$G$42,'Start Here'!$B$7=1),IF(C2217&lt;=6,Staffing!$H$42,IF(C2217&lt;=15,Staffing!$I$42,IF(C2217&lt;=30,Staffing!$J$42,Staffing!$K$42))),0)</f>
        <v>0</v>
      </c>
      <c r="F2217" s="10" t="n">
        <f aca="false">E2217*Staffing!$L$42/12*(1+Assumptions!$E$10)^INT((C2217-1)/12)*1</f>
        <v>0</v>
      </c>
      <c r="G2217" s="10" t="n">
        <f aca="false">F2217*Staffing!$N$42</f>
        <v>0</v>
      </c>
      <c r="H2217" s="10" t="n">
        <f aca="false">F2217+G2217</f>
        <v>0</v>
      </c>
      <c r="I2217" s="10" t="n">
        <f aca="false">0</f>
        <v>0</v>
      </c>
      <c r="J2217" s="10" t="n">
        <f aca="false">MAX(0,E2217-E2216)*Staffing!$O$42</f>
        <v>0</v>
      </c>
      <c r="K2217" s="10" t="n">
        <f aca="false">MAX(0,E2217-E2216)*Staffing!$P$42</f>
        <v>0</v>
      </c>
      <c r="L2217" s="23" t="n">
        <f aca="false">ROUNDUP(E2217,0)</f>
        <v>0</v>
      </c>
    </row>
    <row r="2218" customFormat="false" ht="15" hidden="false" customHeight="false" outlineLevel="0" collapsed="false">
      <c r="A2218" s="6" t="s">
        <v>73</v>
      </c>
      <c r="B2218" s="6" t="s">
        <v>349</v>
      </c>
      <c r="C2218" s="6" t="n">
        <v>53</v>
      </c>
      <c r="D2218" s="25" t="n">
        <f aca="false">EDATE('Start Here'!$B$6,C2218-1)</f>
        <v>47908</v>
      </c>
      <c r="E2218" s="23" t="n">
        <f aca="false">IF(AND(C2218&gt;=Assumptions!$E$24,C2218&lt;=Staffing!$G$42,'Start Here'!$B$7=1),IF(C2218&lt;=6,Staffing!$H$42,IF(C2218&lt;=15,Staffing!$I$42,IF(C2218&lt;=30,Staffing!$J$42,Staffing!$K$42))),0)</f>
        <v>0</v>
      </c>
      <c r="F2218" s="10" t="n">
        <f aca="false">E2218*Staffing!$L$42/12*(1+Assumptions!$E$10)^INT((C2218-1)/12)*1</f>
        <v>0</v>
      </c>
      <c r="G2218" s="10" t="n">
        <f aca="false">F2218*Staffing!$N$42</f>
        <v>0</v>
      </c>
      <c r="H2218" s="10" t="n">
        <f aca="false">F2218+G2218</f>
        <v>0</v>
      </c>
      <c r="I2218" s="10" t="n">
        <f aca="false">0</f>
        <v>0</v>
      </c>
      <c r="J2218" s="10" t="n">
        <f aca="false">MAX(0,E2218-E2217)*Staffing!$O$42</f>
        <v>0</v>
      </c>
      <c r="K2218" s="10" t="n">
        <f aca="false">MAX(0,E2218-E2217)*Staffing!$P$42</f>
        <v>0</v>
      </c>
      <c r="L2218" s="23" t="n">
        <f aca="false">ROUNDUP(E2218,0)</f>
        <v>0</v>
      </c>
    </row>
    <row r="2219" customFormat="false" ht="15" hidden="false" customHeight="false" outlineLevel="0" collapsed="false">
      <c r="A2219" s="6" t="s">
        <v>73</v>
      </c>
      <c r="B2219" s="6" t="s">
        <v>349</v>
      </c>
      <c r="C2219" s="6" t="n">
        <v>54</v>
      </c>
      <c r="D2219" s="25" t="n">
        <f aca="false">EDATE('Start Here'!$B$6,C2219-1)</f>
        <v>47939</v>
      </c>
      <c r="E2219" s="23" t="n">
        <f aca="false">IF(AND(C2219&gt;=Assumptions!$E$24,C2219&lt;=Staffing!$G$42,'Start Here'!$B$7=1),IF(C2219&lt;=6,Staffing!$H$42,IF(C2219&lt;=15,Staffing!$I$42,IF(C2219&lt;=30,Staffing!$J$42,Staffing!$K$42))),0)</f>
        <v>0</v>
      </c>
      <c r="F2219" s="10" t="n">
        <f aca="false">E2219*Staffing!$L$42/12*(1+Assumptions!$E$10)^INT((C2219-1)/12)*1</f>
        <v>0</v>
      </c>
      <c r="G2219" s="10" t="n">
        <f aca="false">F2219*Staffing!$N$42</f>
        <v>0</v>
      </c>
      <c r="H2219" s="10" t="n">
        <f aca="false">F2219+G2219</f>
        <v>0</v>
      </c>
      <c r="I2219" s="10" t="n">
        <f aca="false">0</f>
        <v>0</v>
      </c>
      <c r="J2219" s="10" t="n">
        <f aca="false">MAX(0,E2219-E2218)*Staffing!$O$42</f>
        <v>0</v>
      </c>
      <c r="K2219" s="10" t="n">
        <f aca="false">MAX(0,E2219-E2218)*Staffing!$P$42</f>
        <v>0</v>
      </c>
      <c r="L2219" s="23" t="n">
        <f aca="false">ROUNDUP(E2219,0)</f>
        <v>0</v>
      </c>
    </row>
    <row r="2220" customFormat="false" ht="15" hidden="false" customHeight="false" outlineLevel="0" collapsed="false">
      <c r="A2220" s="6" t="s">
        <v>73</v>
      </c>
      <c r="B2220" s="6" t="s">
        <v>349</v>
      </c>
      <c r="C2220" s="6" t="n">
        <v>55</v>
      </c>
      <c r="D2220" s="25" t="n">
        <f aca="false">EDATE('Start Here'!$B$6,C2220-1)</f>
        <v>47969</v>
      </c>
      <c r="E2220" s="23" t="n">
        <f aca="false">IF(AND(C2220&gt;=Assumptions!$E$24,C2220&lt;=Staffing!$G$42,'Start Here'!$B$7=1),IF(C2220&lt;=6,Staffing!$H$42,IF(C2220&lt;=15,Staffing!$I$42,IF(C2220&lt;=30,Staffing!$J$42,Staffing!$K$42))),0)</f>
        <v>0</v>
      </c>
      <c r="F2220" s="10" t="n">
        <f aca="false">E2220*Staffing!$L$42/12*(1+Assumptions!$E$10)^INT((C2220-1)/12)*1</f>
        <v>0</v>
      </c>
      <c r="G2220" s="10" t="n">
        <f aca="false">F2220*Staffing!$N$42</f>
        <v>0</v>
      </c>
      <c r="H2220" s="10" t="n">
        <f aca="false">F2220+G2220</f>
        <v>0</v>
      </c>
      <c r="I2220" s="10" t="n">
        <f aca="false">0</f>
        <v>0</v>
      </c>
      <c r="J2220" s="10" t="n">
        <f aca="false">MAX(0,E2220-E2219)*Staffing!$O$42</f>
        <v>0</v>
      </c>
      <c r="K2220" s="10" t="n">
        <f aca="false">MAX(0,E2220-E2219)*Staffing!$P$42</f>
        <v>0</v>
      </c>
      <c r="L2220" s="23" t="n">
        <f aca="false">ROUNDUP(E2220,0)</f>
        <v>0</v>
      </c>
    </row>
    <row r="2221" customFormat="false" ht="15" hidden="false" customHeight="false" outlineLevel="0" collapsed="false">
      <c r="A2221" s="6" t="s">
        <v>73</v>
      </c>
      <c r="B2221" s="6" t="s">
        <v>349</v>
      </c>
      <c r="C2221" s="6" t="n">
        <v>56</v>
      </c>
      <c r="D2221" s="25" t="n">
        <f aca="false">EDATE('Start Here'!$B$6,C2221-1)</f>
        <v>48000</v>
      </c>
      <c r="E2221" s="23" t="n">
        <f aca="false">IF(AND(C2221&gt;=Assumptions!$E$24,C2221&lt;=Staffing!$G$42,'Start Here'!$B$7=1),IF(C2221&lt;=6,Staffing!$H$42,IF(C2221&lt;=15,Staffing!$I$42,IF(C2221&lt;=30,Staffing!$J$42,Staffing!$K$42))),0)</f>
        <v>0</v>
      </c>
      <c r="F2221" s="10" t="n">
        <f aca="false">E2221*Staffing!$L$42/12*(1+Assumptions!$E$10)^INT((C2221-1)/12)*1</f>
        <v>0</v>
      </c>
      <c r="G2221" s="10" t="n">
        <f aca="false">F2221*Staffing!$N$42</f>
        <v>0</v>
      </c>
      <c r="H2221" s="10" t="n">
        <f aca="false">F2221+G2221</f>
        <v>0</v>
      </c>
      <c r="I2221" s="10" t="n">
        <f aca="false">0</f>
        <v>0</v>
      </c>
      <c r="J2221" s="10" t="n">
        <f aca="false">MAX(0,E2221-E2220)*Staffing!$O$42</f>
        <v>0</v>
      </c>
      <c r="K2221" s="10" t="n">
        <f aca="false">MAX(0,E2221-E2220)*Staffing!$P$42</f>
        <v>0</v>
      </c>
      <c r="L2221" s="23" t="n">
        <f aca="false">ROUNDUP(E2221,0)</f>
        <v>0</v>
      </c>
    </row>
    <row r="2222" customFormat="false" ht="15" hidden="false" customHeight="false" outlineLevel="0" collapsed="false">
      <c r="A2222" s="6" t="s">
        <v>73</v>
      </c>
      <c r="B2222" s="6" t="s">
        <v>349</v>
      </c>
      <c r="C2222" s="6" t="n">
        <v>57</v>
      </c>
      <c r="D2222" s="25" t="n">
        <f aca="false">EDATE('Start Here'!$B$6,C2222-1)</f>
        <v>48030</v>
      </c>
      <c r="E2222" s="23" t="n">
        <f aca="false">IF(AND(C2222&gt;=Assumptions!$E$24,C2222&lt;=Staffing!$G$42,'Start Here'!$B$7=1),IF(C2222&lt;=6,Staffing!$H$42,IF(C2222&lt;=15,Staffing!$I$42,IF(C2222&lt;=30,Staffing!$J$42,Staffing!$K$42))),0)</f>
        <v>0</v>
      </c>
      <c r="F2222" s="10" t="n">
        <f aca="false">E2222*Staffing!$L$42/12*(1+Assumptions!$E$10)^INT((C2222-1)/12)*1</f>
        <v>0</v>
      </c>
      <c r="G2222" s="10" t="n">
        <f aca="false">F2222*Staffing!$N$42</f>
        <v>0</v>
      </c>
      <c r="H2222" s="10" t="n">
        <f aca="false">F2222+G2222</f>
        <v>0</v>
      </c>
      <c r="I2222" s="10" t="n">
        <f aca="false">0</f>
        <v>0</v>
      </c>
      <c r="J2222" s="10" t="n">
        <f aca="false">MAX(0,E2222-E2221)*Staffing!$O$42</f>
        <v>0</v>
      </c>
      <c r="K2222" s="10" t="n">
        <f aca="false">MAX(0,E2222-E2221)*Staffing!$P$42</f>
        <v>0</v>
      </c>
      <c r="L2222" s="23" t="n">
        <f aca="false">ROUNDUP(E2222,0)</f>
        <v>0</v>
      </c>
    </row>
    <row r="2223" customFormat="false" ht="15" hidden="false" customHeight="false" outlineLevel="0" collapsed="false">
      <c r="A2223" s="6" t="s">
        <v>73</v>
      </c>
      <c r="B2223" s="6" t="s">
        <v>349</v>
      </c>
      <c r="C2223" s="6" t="n">
        <v>58</v>
      </c>
      <c r="D2223" s="25" t="n">
        <f aca="false">EDATE('Start Here'!$B$6,C2223-1)</f>
        <v>48061</v>
      </c>
      <c r="E2223" s="23" t="n">
        <f aca="false">IF(AND(C2223&gt;=Assumptions!$E$24,C2223&lt;=Staffing!$G$42,'Start Here'!$B$7=1),IF(C2223&lt;=6,Staffing!$H$42,IF(C2223&lt;=15,Staffing!$I$42,IF(C2223&lt;=30,Staffing!$J$42,Staffing!$K$42))),0)</f>
        <v>0</v>
      </c>
      <c r="F2223" s="10" t="n">
        <f aca="false">E2223*Staffing!$L$42/12*(1+Assumptions!$E$10)^INT((C2223-1)/12)*1</f>
        <v>0</v>
      </c>
      <c r="G2223" s="10" t="n">
        <f aca="false">F2223*Staffing!$N$42</f>
        <v>0</v>
      </c>
      <c r="H2223" s="10" t="n">
        <f aca="false">F2223+G2223</f>
        <v>0</v>
      </c>
      <c r="I2223" s="10" t="n">
        <f aca="false">0</f>
        <v>0</v>
      </c>
      <c r="J2223" s="10" t="n">
        <f aca="false">MAX(0,E2223-E2222)*Staffing!$O$42</f>
        <v>0</v>
      </c>
      <c r="K2223" s="10" t="n">
        <f aca="false">MAX(0,E2223-E2222)*Staffing!$P$42</f>
        <v>0</v>
      </c>
      <c r="L2223" s="23" t="n">
        <f aca="false">ROUNDUP(E2223,0)</f>
        <v>0</v>
      </c>
    </row>
    <row r="2224" customFormat="false" ht="15" hidden="false" customHeight="false" outlineLevel="0" collapsed="false">
      <c r="A2224" s="6" t="s">
        <v>73</v>
      </c>
      <c r="B2224" s="6" t="s">
        <v>349</v>
      </c>
      <c r="C2224" s="6" t="n">
        <v>59</v>
      </c>
      <c r="D2224" s="25" t="n">
        <f aca="false">EDATE('Start Here'!$B$6,C2224-1)</f>
        <v>48092</v>
      </c>
      <c r="E2224" s="23" t="n">
        <f aca="false">IF(AND(C2224&gt;=Assumptions!$E$24,C2224&lt;=Staffing!$G$42,'Start Here'!$B$7=1),IF(C2224&lt;=6,Staffing!$H$42,IF(C2224&lt;=15,Staffing!$I$42,IF(C2224&lt;=30,Staffing!$J$42,Staffing!$K$42))),0)</f>
        <v>0</v>
      </c>
      <c r="F2224" s="10" t="n">
        <f aca="false">E2224*Staffing!$L$42/12*(1+Assumptions!$E$10)^INT((C2224-1)/12)*1</f>
        <v>0</v>
      </c>
      <c r="G2224" s="10" t="n">
        <f aca="false">F2224*Staffing!$N$42</f>
        <v>0</v>
      </c>
      <c r="H2224" s="10" t="n">
        <f aca="false">F2224+G2224</f>
        <v>0</v>
      </c>
      <c r="I2224" s="10" t="n">
        <f aca="false">0</f>
        <v>0</v>
      </c>
      <c r="J2224" s="10" t="n">
        <f aca="false">MAX(0,E2224-E2223)*Staffing!$O$42</f>
        <v>0</v>
      </c>
      <c r="K2224" s="10" t="n">
        <f aca="false">MAX(0,E2224-E2223)*Staffing!$P$42</f>
        <v>0</v>
      </c>
      <c r="L2224" s="23" t="n">
        <f aca="false">ROUNDUP(E2224,0)</f>
        <v>0</v>
      </c>
    </row>
    <row r="2225" customFormat="false" ht="15" hidden="false" customHeight="false" outlineLevel="0" collapsed="false">
      <c r="A2225" s="6" t="s">
        <v>73</v>
      </c>
      <c r="B2225" s="6" t="s">
        <v>349</v>
      </c>
      <c r="C2225" s="6" t="n">
        <v>60</v>
      </c>
      <c r="D2225" s="25" t="n">
        <f aca="false">EDATE('Start Here'!$B$6,C2225-1)</f>
        <v>48122</v>
      </c>
      <c r="E2225" s="23" t="n">
        <f aca="false">IF(AND(C2225&gt;=Assumptions!$E$24,C2225&lt;=Staffing!$G$42,'Start Here'!$B$7=1),IF(C2225&lt;=6,Staffing!$H$42,IF(C2225&lt;=15,Staffing!$I$42,IF(C2225&lt;=30,Staffing!$J$42,Staffing!$K$42))),0)</f>
        <v>0</v>
      </c>
      <c r="F2225" s="10" t="n">
        <f aca="false">E2225*Staffing!$L$42/12*(1+Assumptions!$E$10)^INT((C2225-1)/12)*1</f>
        <v>0</v>
      </c>
      <c r="G2225" s="10" t="n">
        <f aca="false">F2225*Staffing!$N$42</f>
        <v>0</v>
      </c>
      <c r="H2225" s="10" t="n">
        <f aca="false">F2225+G2225</f>
        <v>0</v>
      </c>
      <c r="I2225" s="10" t="n">
        <f aca="false">0</f>
        <v>0</v>
      </c>
      <c r="J2225" s="10" t="n">
        <f aca="false">MAX(0,E2225-E2224)*Staffing!$O$42</f>
        <v>0</v>
      </c>
      <c r="K2225" s="10" t="n">
        <f aca="false">MAX(0,E2225-E2224)*Staffing!$P$42</f>
        <v>0</v>
      </c>
      <c r="L2225" s="23" t="n">
        <f aca="false">ROUNDUP(E2225,0)</f>
        <v>0</v>
      </c>
    </row>
    <row r="2226" customFormat="false" ht="15" hidden="false" customHeight="false" outlineLevel="0" collapsed="false">
      <c r="A2226" s="6" t="s">
        <v>73</v>
      </c>
      <c r="B2226" s="6" t="s">
        <v>351</v>
      </c>
      <c r="C2226" s="6" t="n">
        <v>1</v>
      </c>
      <c r="D2226" s="25" t="n">
        <f aca="false">EDATE('Start Here'!$B$6,C2226-1)</f>
        <v>46327</v>
      </c>
      <c r="E2226" s="23" t="n">
        <f aca="false">IF(AND(C2226&gt;=Assumptions!$E$25,C2226&lt;=Staffing!$G$43,'Start Here'!$B$8=1),IF(C2226&lt;=6,Staffing!$H$43,IF(C2226&lt;=15,Staffing!$I$43,IF(C2226&lt;=30,Staffing!$J$43,Staffing!$K$43))),0)</f>
        <v>0</v>
      </c>
      <c r="F2226" s="10" t="n">
        <f aca="false">E2226*Staffing!$L$43/12*(1+Assumptions!$E$10)^INT((C2226-1)/12)*1</f>
        <v>0</v>
      </c>
      <c r="G2226" s="10" t="n">
        <f aca="false">F2226*Staffing!$N$43</f>
        <v>0</v>
      </c>
      <c r="H2226" s="10" t="n">
        <f aca="false">F2226+G2226</f>
        <v>0</v>
      </c>
      <c r="I2226" s="10" t="n">
        <f aca="false">0</f>
        <v>0</v>
      </c>
      <c r="J2226" s="10" t="n">
        <f aca="false">MAX(0,E2226-0)*Staffing!$O$43</f>
        <v>0</v>
      </c>
      <c r="K2226" s="10" t="n">
        <f aca="false">MAX(0,E2226-0)*Staffing!$P$43</f>
        <v>0</v>
      </c>
      <c r="L2226" s="23" t="n">
        <f aca="false">ROUNDUP(E2226,0)</f>
        <v>0</v>
      </c>
    </row>
    <row r="2227" customFormat="false" ht="15" hidden="false" customHeight="false" outlineLevel="0" collapsed="false">
      <c r="A2227" s="6" t="s">
        <v>73</v>
      </c>
      <c r="B2227" s="6" t="s">
        <v>351</v>
      </c>
      <c r="C2227" s="6" t="n">
        <v>2</v>
      </c>
      <c r="D2227" s="25" t="n">
        <f aca="false">EDATE('Start Here'!$B$6,C2227-1)</f>
        <v>46357</v>
      </c>
      <c r="E2227" s="23" t="n">
        <f aca="false">IF(AND(C2227&gt;=Assumptions!$E$25,C2227&lt;=Staffing!$G$43,'Start Here'!$B$8=1),IF(C2227&lt;=6,Staffing!$H$43,IF(C2227&lt;=15,Staffing!$I$43,IF(C2227&lt;=30,Staffing!$J$43,Staffing!$K$43))),0)</f>
        <v>0</v>
      </c>
      <c r="F2227" s="10" t="n">
        <f aca="false">E2227*Staffing!$L$43/12*(1+Assumptions!$E$10)^INT((C2227-1)/12)*1</f>
        <v>0</v>
      </c>
      <c r="G2227" s="10" t="n">
        <f aca="false">F2227*Staffing!$N$43</f>
        <v>0</v>
      </c>
      <c r="H2227" s="10" t="n">
        <f aca="false">F2227+G2227</f>
        <v>0</v>
      </c>
      <c r="I2227" s="10" t="n">
        <f aca="false">0</f>
        <v>0</v>
      </c>
      <c r="J2227" s="10" t="n">
        <f aca="false">MAX(0,E2227-E2226)*Staffing!$O$43</f>
        <v>0</v>
      </c>
      <c r="K2227" s="10" t="n">
        <f aca="false">MAX(0,E2227-E2226)*Staffing!$P$43</f>
        <v>0</v>
      </c>
      <c r="L2227" s="23" t="n">
        <f aca="false">ROUNDUP(E2227,0)</f>
        <v>0</v>
      </c>
    </row>
    <row r="2228" customFormat="false" ht="15" hidden="false" customHeight="false" outlineLevel="0" collapsed="false">
      <c r="A2228" s="6" t="s">
        <v>73</v>
      </c>
      <c r="B2228" s="6" t="s">
        <v>351</v>
      </c>
      <c r="C2228" s="6" t="n">
        <v>3</v>
      </c>
      <c r="D2228" s="25" t="n">
        <f aca="false">EDATE('Start Here'!$B$6,C2228-1)</f>
        <v>46388</v>
      </c>
      <c r="E2228" s="23" t="n">
        <f aca="false">IF(AND(C2228&gt;=Assumptions!$E$25,C2228&lt;=Staffing!$G$43,'Start Here'!$B$8=1),IF(C2228&lt;=6,Staffing!$H$43,IF(C2228&lt;=15,Staffing!$I$43,IF(C2228&lt;=30,Staffing!$J$43,Staffing!$K$43))),0)</f>
        <v>0</v>
      </c>
      <c r="F2228" s="10" t="n">
        <f aca="false">E2228*Staffing!$L$43/12*(1+Assumptions!$E$10)^INT((C2228-1)/12)*1</f>
        <v>0</v>
      </c>
      <c r="G2228" s="10" t="n">
        <f aca="false">F2228*Staffing!$N$43</f>
        <v>0</v>
      </c>
      <c r="H2228" s="10" t="n">
        <f aca="false">F2228+G2228</f>
        <v>0</v>
      </c>
      <c r="I2228" s="10" t="n">
        <f aca="false">0</f>
        <v>0</v>
      </c>
      <c r="J2228" s="10" t="n">
        <f aca="false">MAX(0,E2228-E2227)*Staffing!$O$43</f>
        <v>0</v>
      </c>
      <c r="K2228" s="10" t="n">
        <f aca="false">MAX(0,E2228-E2227)*Staffing!$P$43</f>
        <v>0</v>
      </c>
      <c r="L2228" s="23" t="n">
        <f aca="false">ROUNDUP(E2228,0)</f>
        <v>0</v>
      </c>
    </row>
    <row r="2229" customFormat="false" ht="15" hidden="false" customHeight="false" outlineLevel="0" collapsed="false">
      <c r="A2229" s="6" t="s">
        <v>73</v>
      </c>
      <c r="B2229" s="6" t="s">
        <v>351</v>
      </c>
      <c r="C2229" s="6" t="n">
        <v>4</v>
      </c>
      <c r="D2229" s="25" t="n">
        <f aca="false">EDATE('Start Here'!$B$6,C2229-1)</f>
        <v>46419</v>
      </c>
      <c r="E2229" s="23" t="n">
        <f aca="false">IF(AND(C2229&gt;=Assumptions!$E$25,C2229&lt;=Staffing!$G$43,'Start Here'!$B$8=1),IF(C2229&lt;=6,Staffing!$H$43,IF(C2229&lt;=15,Staffing!$I$43,IF(C2229&lt;=30,Staffing!$J$43,Staffing!$K$43))),0)</f>
        <v>0</v>
      </c>
      <c r="F2229" s="10" t="n">
        <f aca="false">E2229*Staffing!$L$43/12*(1+Assumptions!$E$10)^INT((C2229-1)/12)*1</f>
        <v>0</v>
      </c>
      <c r="G2229" s="10" t="n">
        <f aca="false">F2229*Staffing!$N$43</f>
        <v>0</v>
      </c>
      <c r="H2229" s="10" t="n">
        <f aca="false">F2229+G2229</f>
        <v>0</v>
      </c>
      <c r="I2229" s="10" t="n">
        <f aca="false">0</f>
        <v>0</v>
      </c>
      <c r="J2229" s="10" t="n">
        <f aca="false">MAX(0,E2229-E2228)*Staffing!$O$43</f>
        <v>0</v>
      </c>
      <c r="K2229" s="10" t="n">
        <f aca="false">MAX(0,E2229-E2228)*Staffing!$P$43</f>
        <v>0</v>
      </c>
      <c r="L2229" s="23" t="n">
        <f aca="false">ROUNDUP(E2229,0)</f>
        <v>0</v>
      </c>
    </row>
    <row r="2230" customFormat="false" ht="15" hidden="false" customHeight="false" outlineLevel="0" collapsed="false">
      <c r="A2230" s="6" t="s">
        <v>73</v>
      </c>
      <c r="B2230" s="6" t="s">
        <v>351</v>
      </c>
      <c r="C2230" s="6" t="n">
        <v>5</v>
      </c>
      <c r="D2230" s="25" t="n">
        <f aca="false">EDATE('Start Here'!$B$6,C2230-1)</f>
        <v>46447</v>
      </c>
      <c r="E2230" s="23" t="n">
        <f aca="false">IF(AND(C2230&gt;=Assumptions!$E$25,C2230&lt;=Staffing!$G$43,'Start Here'!$B$8=1),IF(C2230&lt;=6,Staffing!$H$43,IF(C2230&lt;=15,Staffing!$I$43,IF(C2230&lt;=30,Staffing!$J$43,Staffing!$K$43))),0)</f>
        <v>0</v>
      </c>
      <c r="F2230" s="10" t="n">
        <f aca="false">E2230*Staffing!$L$43/12*(1+Assumptions!$E$10)^INT((C2230-1)/12)*1</f>
        <v>0</v>
      </c>
      <c r="G2230" s="10" t="n">
        <f aca="false">F2230*Staffing!$N$43</f>
        <v>0</v>
      </c>
      <c r="H2230" s="10" t="n">
        <f aca="false">F2230+G2230</f>
        <v>0</v>
      </c>
      <c r="I2230" s="10" t="n">
        <f aca="false">0</f>
        <v>0</v>
      </c>
      <c r="J2230" s="10" t="n">
        <f aca="false">MAX(0,E2230-E2229)*Staffing!$O$43</f>
        <v>0</v>
      </c>
      <c r="K2230" s="10" t="n">
        <f aca="false">MAX(0,E2230-E2229)*Staffing!$P$43</f>
        <v>0</v>
      </c>
      <c r="L2230" s="23" t="n">
        <f aca="false">ROUNDUP(E2230,0)</f>
        <v>0</v>
      </c>
    </row>
    <row r="2231" customFormat="false" ht="15" hidden="false" customHeight="false" outlineLevel="0" collapsed="false">
      <c r="A2231" s="6" t="s">
        <v>73</v>
      </c>
      <c r="B2231" s="6" t="s">
        <v>351</v>
      </c>
      <c r="C2231" s="6" t="n">
        <v>6</v>
      </c>
      <c r="D2231" s="25" t="n">
        <f aca="false">EDATE('Start Here'!$B$6,C2231-1)</f>
        <v>46478</v>
      </c>
      <c r="E2231" s="23" t="n">
        <f aca="false">IF(AND(C2231&gt;=Assumptions!$E$25,C2231&lt;=Staffing!$G$43,'Start Here'!$B$8=1),IF(C2231&lt;=6,Staffing!$H$43,IF(C2231&lt;=15,Staffing!$I$43,IF(C2231&lt;=30,Staffing!$J$43,Staffing!$K$43))),0)</f>
        <v>0</v>
      </c>
      <c r="F2231" s="10" t="n">
        <f aca="false">E2231*Staffing!$L$43/12*(1+Assumptions!$E$10)^INT((C2231-1)/12)*1</f>
        <v>0</v>
      </c>
      <c r="G2231" s="10" t="n">
        <f aca="false">F2231*Staffing!$N$43</f>
        <v>0</v>
      </c>
      <c r="H2231" s="10" t="n">
        <f aca="false">F2231+G2231</f>
        <v>0</v>
      </c>
      <c r="I2231" s="10" t="n">
        <f aca="false">0</f>
        <v>0</v>
      </c>
      <c r="J2231" s="10" t="n">
        <f aca="false">MAX(0,E2231-E2230)*Staffing!$O$43</f>
        <v>0</v>
      </c>
      <c r="K2231" s="10" t="n">
        <f aca="false">MAX(0,E2231-E2230)*Staffing!$P$43</f>
        <v>0</v>
      </c>
      <c r="L2231" s="23" t="n">
        <f aca="false">ROUNDUP(E2231,0)</f>
        <v>0</v>
      </c>
    </row>
    <row r="2232" customFormat="false" ht="15" hidden="false" customHeight="false" outlineLevel="0" collapsed="false">
      <c r="A2232" s="6" t="s">
        <v>73</v>
      </c>
      <c r="B2232" s="6" t="s">
        <v>351</v>
      </c>
      <c r="C2232" s="6" t="n">
        <v>7</v>
      </c>
      <c r="D2232" s="25" t="n">
        <f aca="false">EDATE('Start Here'!$B$6,C2232-1)</f>
        <v>46508</v>
      </c>
      <c r="E2232" s="23" t="n">
        <f aca="false">IF(AND(C2232&gt;=Assumptions!$E$25,C2232&lt;=Staffing!$G$43,'Start Here'!$B$8=1),IF(C2232&lt;=6,Staffing!$H$43,IF(C2232&lt;=15,Staffing!$I$43,IF(C2232&lt;=30,Staffing!$J$43,Staffing!$K$43))),0)</f>
        <v>0</v>
      </c>
      <c r="F2232" s="10" t="n">
        <f aca="false">E2232*Staffing!$L$43/12*(1+Assumptions!$E$10)^INT((C2232-1)/12)*1</f>
        <v>0</v>
      </c>
      <c r="G2232" s="10" t="n">
        <f aca="false">F2232*Staffing!$N$43</f>
        <v>0</v>
      </c>
      <c r="H2232" s="10" t="n">
        <f aca="false">F2232+G2232</f>
        <v>0</v>
      </c>
      <c r="I2232" s="10" t="n">
        <f aca="false">0</f>
        <v>0</v>
      </c>
      <c r="J2232" s="10" t="n">
        <f aca="false">MAX(0,E2232-E2231)*Staffing!$O$43</f>
        <v>0</v>
      </c>
      <c r="K2232" s="10" t="n">
        <f aca="false">MAX(0,E2232-E2231)*Staffing!$P$43</f>
        <v>0</v>
      </c>
      <c r="L2232" s="23" t="n">
        <f aca="false">ROUNDUP(E2232,0)</f>
        <v>0</v>
      </c>
    </row>
    <row r="2233" customFormat="false" ht="15" hidden="false" customHeight="false" outlineLevel="0" collapsed="false">
      <c r="A2233" s="6" t="s">
        <v>73</v>
      </c>
      <c r="B2233" s="6" t="s">
        <v>351</v>
      </c>
      <c r="C2233" s="6" t="n">
        <v>8</v>
      </c>
      <c r="D2233" s="25" t="n">
        <f aca="false">EDATE('Start Here'!$B$6,C2233-1)</f>
        <v>46539</v>
      </c>
      <c r="E2233" s="23" t="n">
        <f aca="false">IF(AND(C2233&gt;=Assumptions!$E$25,C2233&lt;=Staffing!$G$43,'Start Here'!$B$8=1),IF(C2233&lt;=6,Staffing!$H$43,IF(C2233&lt;=15,Staffing!$I$43,IF(C2233&lt;=30,Staffing!$J$43,Staffing!$K$43))),0)</f>
        <v>0</v>
      </c>
      <c r="F2233" s="10" t="n">
        <f aca="false">E2233*Staffing!$L$43/12*(1+Assumptions!$E$10)^INT((C2233-1)/12)*1</f>
        <v>0</v>
      </c>
      <c r="G2233" s="10" t="n">
        <f aca="false">F2233*Staffing!$N$43</f>
        <v>0</v>
      </c>
      <c r="H2233" s="10" t="n">
        <f aca="false">F2233+G2233</f>
        <v>0</v>
      </c>
      <c r="I2233" s="10" t="n">
        <f aca="false">0</f>
        <v>0</v>
      </c>
      <c r="J2233" s="10" t="n">
        <f aca="false">MAX(0,E2233-E2232)*Staffing!$O$43</f>
        <v>0</v>
      </c>
      <c r="K2233" s="10" t="n">
        <f aca="false">MAX(0,E2233-E2232)*Staffing!$P$43</f>
        <v>0</v>
      </c>
      <c r="L2233" s="23" t="n">
        <f aca="false">ROUNDUP(E2233,0)</f>
        <v>0</v>
      </c>
    </row>
    <row r="2234" customFormat="false" ht="15" hidden="false" customHeight="false" outlineLevel="0" collapsed="false">
      <c r="A2234" s="6" t="s">
        <v>73</v>
      </c>
      <c r="B2234" s="6" t="s">
        <v>351</v>
      </c>
      <c r="C2234" s="6" t="n">
        <v>9</v>
      </c>
      <c r="D2234" s="25" t="n">
        <f aca="false">EDATE('Start Here'!$B$6,C2234-1)</f>
        <v>46569</v>
      </c>
      <c r="E2234" s="23" t="n">
        <f aca="false">IF(AND(C2234&gt;=Assumptions!$E$25,C2234&lt;=Staffing!$G$43,'Start Here'!$B$8=1),IF(C2234&lt;=6,Staffing!$H$43,IF(C2234&lt;=15,Staffing!$I$43,IF(C2234&lt;=30,Staffing!$J$43,Staffing!$K$43))),0)</f>
        <v>0</v>
      </c>
      <c r="F2234" s="10" t="n">
        <f aca="false">E2234*Staffing!$L$43/12*(1+Assumptions!$E$10)^INT((C2234-1)/12)*1</f>
        <v>0</v>
      </c>
      <c r="G2234" s="10" t="n">
        <f aca="false">F2234*Staffing!$N$43</f>
        <v>0</v>
      </c>
      <c r="H2234" s="10" t="n">
        <f aca="false">F2234+G2234</f>
        <v>0</v>
      </c>
      <c r="I2234" s="10" t="n">
        <f aca="false">0</f>
        <v>0</v>
      </c>
      <c r="J2234" s="10" t="n">
        <f aca="false">MAX(0,E2234-E2233)*Staffing!$O$43</f>
        <v>0</v>
      </c>
      <c r="K2234" s="10" t="n">
        <f aca="false">MAX(0,E2234-E2233)*Staffing!$P$43</f>
        <v>0</v>
      </c>
      <c r="L2234" s="23" t="n">
        <f aca="false">ROUNDUP(E2234,0)</f>
        <v>0</v>
      </c>
    </row>
    <row r="2235" customFormat="false" ht="15" hidden="false" customHeight="false" outlineLevel="0" collapsed="false">
      <c r="A2235" s="6" t="s">
        <v>73</v>
      </c>
      <c r="B2235" s="6" t="s">
        <v>351</v>
      </c>
      <c r="C2235" s="6" t="n">
        <v>10</v>
      </c>
      <c r="D2235" s="25" t="n">
        <f aca="false">EDATE('Start Here'!$B$6,C2235-1)</f>
        <v>46600</v>
      </c>
      <c r="E2235" s="23" t="n">
        <f aca="false">IF(AND(C2235&gt;=Assumptions!$E$25,C2235&lt;=Staffing!$G$43,'Start Here'!$B$8=1),IF(C2235&lt;=6,Staffing!$H$43,IF(C2235&lt;=15,Staffing!$I$43,IF(C2235&lt;=30,Staffing!$J$43,Staffing!$K$43))),0)</f>
        <v>0</v>
      </c>
      <c r="F2235" s="10" t="n">
        <f aca="false">E2235*Staffing!$L$43/12*(1+Assumptions!$E$10)^INT((C2235-1)/12)*1</f>
        <v>0</v>
      </c>
      <c r="G2235" s="10" t="n">
        <f aca="false">F2235*Staffing!$N$43</f>
        <v>0</v>
      </c>
      <c r="H2235" s="10" t="n">
        <f aca="false">F2235+G2235</f>
        <v>0</v>
      </c>
      <c r="I2235" s="10" t="n">
        <f aca="false">0</f>
        <v>0</v>
      </c>
      <c r="J2235" s="10" t="n">
        <f aca="false">MAX(0,E2235-E2234)*Staffing!$O$43</f>
        <v>0</v>
      </c>
      <c r="K2235" s="10" t="n">
        <f aca="false">MAX(0,E2235-E2234)*Staffing!$P$43</f>
        <v>0</v>
      </c>
      <c r="L2235" s="23" t="n">
        <f aca="false">ROUNDUP(E2235,0)</f>
        <v>0</v>
      </c>
    </row>
    <row r="2236" customFormat="false" ht="15" hidden="false" customHeight="false" outlineLevel="0" collapsed="false">
      <c r="A2236" s="6" t="s">
        <v>73</v>
      </c>
      <c r="B2236" s="6" t="s">
        <v>351</v>
      </c>
      <c r="C2236" s="6" t="n">
        <v>11</v>
      </c>
      <c r="D2236" s="25" t="n">
        <f aca="false">EDATE('Start Here'!$B$6,C2236-1)</f>
        <v>46631</v>
      </c>
      <c r="E2236" s="23" t="n">
        <f aca="false">IF(AND(C2236&gt;=Assumptions!$E$25,C2236&lt;=Staffing!$G$43,'Start Here'!$B$8=1),IF(C2236&lt;=6,Staffing!$H$43,IF(C2236&lt;=15,Staffing!$I$43,IF(C2236&lt;=30,Staffing!$J$43,Staffing!$K$43))),0)</f>
        <v>0</v>
      </c>
      <c r="F2236" s="10" t="n">
        <f aca="false">E2236*Staffing!$L$43/12*(1+Assumptions!$E$10)^INT((C2236-1)/12)*1</f>
        <v>0</v>
      </c>
      <c r="G2236" s="10" t="n">
        <f aca="false">F2236*Staffing!$N$43</f>
        <v>0</v>
      </c>
      <c r="H2236" s="10" t="n">
        <f aca="false">F2236+G2236</f>
        <v>0</v>
      </c>
      <c r="I2236" s="10" t="n">
        <f aca="false">0</f>
        <v>0</v>
      </c>
      <c r="J2236" s="10" t="n">
        <f aca="false">MAX(0,E2236-E2235)*Staffing!$O$43</f>
        <v>0</v>
      </c>
      <c r="K2236" s="10" t="n">
        <f aca="false">MAX(0,E2236-E2235)*Staffing!$P$43</f>
        <v>0</v>
      </c>
      <c r="L2236" s="23" t="n">
        <f aca="false">ROUNDUP(E2236,0)</f>
        <v>0</v>
      </c>
    </row>
    <row r="2237" customFormat="false" ht="15" hidden="false" customHeight="false" outlineLevel="0" collapsed="false">
      <c r="A2237" s="6" t="s">
        <v>73</v>
      </c>
      <c r="B2237" s="6" t="s">
        <v>351</v>
      </c>
      <c r="C2237" s="6" t="n">
        <v>12</v>
      </c>
      <c r="D2237" s="25" t="n">
        <f aca="false">EDATE('Start Here'!$B$6,C2237-1)</f>
        <v>46661</v>
      </c>
      <c r="E2237" s="23" t="n">
        <f aca="false">IF(AND(C2237&gt;=Assumptions!$E$25,C2237&lt;=Staffing!$G$43,'Start Here'!$B$8=1),IF(C2237&lt;=6,Staffing!$H$43,IF(C2237&lt;=15,Staffing!$I$43,IF(C2237&lt;=30,Staffing!$J$43,Staffing!$K$43))),0)</f>
        <v>0</v>
      </c>
      <c r="F2237" s="10" t="n">
        <f aca="false">E2237*Staffing!$L$43/12*(1+Assumptions!$E$10)^INT((C2237-1)/12)*1</f>
        <v>0</v>
      </c>
      <c r="G2237" s="10" t="n">
        <f aca="false">F2237*Staffing!$N$43</f>
        <v>0</v>
      </c>
      <c r="H2237" s="10" t="n">
        <f aca="false">F2237+G2237</f>
        <v>0</v>
      </c>
      <c r="I2237" s="10" t="n">
        <f aca="false">0</f>
        <v>0</v>
      </c>
      <c r="J2237" s="10" t="n">
        <f aca="false">MAX(0,E2237-E2236)*Staffing!$O$43</f>
        <v>0</v>
      </c>
      <c r="K2237" s="10" t="n">
        <f aca="false">MAX(0,E2237-E2236)*Staffing!$P$43</f>
        <v>0</v>
      </c>
      <c r="L2237" s="23" t="n">
        <f aca="false">ROUNDUP(E2237,0)</f>
        <v>0</v>
      </c>
    </row>
    <row r="2238" customFormat="false" ht="15" hidden="false" customHeight="false" outlineLevel="0" collapsed="false">
      <c r="A2238" s="6" t="s">
        <v>73</v>
      </c>
      <c r="B2238" s="6" t="s">
        <v>351</v>
      </c>
      <c r="C2238" s="6" t="n">
        <v>13</v>
      </c>
      <c r="D2238" s="25" t="n">
        <f aca="false">EDATE('Start Here'!$B$6,C2238-1)</f>
        <v>46692</v>
      </c>
      <c r="E2238" s="23" t="n">
        <f aca="false">IF(AND(C2238&gt;=Assumptions!$E$25,C2238&lt;=Staffing!$G$43,'Start Here'!$B$8=1),IF(C2238&lt;=6,Staffing!$H$43,IF(C2238&lt;=15,Staffing!$I$43,IF(C2238&lt;=30,Staffing!$J$43,Staffing!$K$43))),0)</f>
        <v>0</v>
      </c>
      <c r="F2238" s="10" t="n">
        <f aca="false">E2238*Staffing!$L$43/12*(1+Assumptions!$E$10)^INT((C2238-1)/12)*1</f>
        <v>0</v>
      </c>
      <c r="G2238" s="10" t="n">
        <f aca="false">F2238*Staffing!$N$43</f>
        <v>0</v>
      </c>
      <c r="H2238" s="10" t="n">
        <f aca="false">F2238+G2238</f>
        <v>0</v>
      </c>
      <c r="I2238" s="10" t="n">
        <f aca="false">0</f>
        <v>0</v>
      </c>
      <c r="J2238" s="10" t="n">
        <f aca="false">MAX(0,E2238-E2237)*Staffing!$O$43</f>
        <v>0</v>
      </c>
      <c r="K2238" s="10" t="n">
        <f aca="false">MAX(0,E2238-E2237)*Staffing!$P$43</f>
        <v>0</v>
      </c>
      <c r="L2238" s="23" t="n">
        <f aca="false">ROUNDUP(E2238,0)</f>
        <v>0</v>
      </c>
    </row>
    <row r="2239" customFormat="false" ht="15" hidden="false" customHeight="false" outlineLevel="0" collapsed="false">
      <c r="A2239" s="6" t="s">
        <v>73</v>
      </c>
      <c r="B2239" s="6" t="s">
        <v>351</v>
      </c>
      <c r="C2239" s="6" t="n">
        <v>14</v>
      </c>
      <c r="D2239" s="25" t="n">
        <f aca="false">EDATE('Start Here'!$B$6,C2239-1)</f>
        <v>46722</v>
      </c>
      <c r="E2239" s="23" t="n">
        <f aca="false">IF(AND(C2239&gt;=Assumptions!$E$25,C2239&lt;=Staffing!$G$43,'Start Here'!$B$8=1),IF(C2239&lt;=6,Staffing!$H$43,IF(C2239&lt;=15,Staffing!$I$43,IF(C2239&lt;=30,Staffing!$J$43,Staffing!$K$43))),0)</f>
        <v>0</v>
      </c>
      <c r="F2239" s="10" t="n">
        <f aca="false">E2239*Staffing!$L$43/12*(1+Assumptions!$E$10)^INT((C2239-1)/12)*1</f>
        <v>0</v>
      </c>
      <c r="G2239" s="10" t="n">
        <f aca="false">F2239*Staffing!$N$43</f>
        <v>0</v>
      </c>
      <c r="H2239" s="10" t="n">
        <f aca="false">F2239+G2239</f>
        <v>0</v>
      </c>
      <c r="I2239" s="10" t="n">
        <f aca="false">0</f>
        <v>0</v>
      </c>
      <c r="J2239" s="10" t="n">
        <f aca="false">MAX(0,E2239-E2238)*Staffing!$O$43</f>
        <v>0</v>
      </c>
      <c r="K2239" s="10" t="n">
        <f aca="false">MAX(0,E2239-E2238)*Staffing!$P$43</f>
        <v>0</v>
      </c>
      <c r="L2239" s="23" t="n">
        <f aca="false">ROUNDUP(E2239,0)</f>
        <v>0</v>
      </c>
    </row>
    <row r="2240" customFormat="false" ht="15" hidden="false" customHeight="false" outlineLevel="0" collapsed="false">
      <c r="A2240" s="6" t="s">
        <v>73</v>
      </c>
      <c r="B2240" s="6" t="s">
        <v>351</v>
      </c>
      <c r="C2240" s="6" t="n">
        <v>15</v>
      </c>
      <c r="D2240" s="25" t="n">
        <f aca="false">EDATE('Start Here'!$B$6,C2240-1)</f>
        <v>46753</v>
      </c>
      <c r="E2240" s="23" t="n">
        <f aca="false">IF(AND(C2240&gt;=Assumptions!$E$25,C2240&lt;=Staffing!$G$43,'Start Here'!$B$8=1),IF(C2240&lt;=6,Staffing!$H$43,IF(C2240&lt;=15,Staffing!$I$43,IF(C2240&lt;=30,Staffing!$J$43,Staffing!$K$43))),0)</f>
        <v>0</v>
      </c>
      <c r="F2240" s="10" t="n">
        <f aca="false">E2240*Staffing!$L$43/12*(1+Assumptions!$E$10)^INT((C2240-1)/12)*1</f>
        <v>0</v>
      </c>
      <c r="G2240" s="10" t="n">
        <f aca="false">F2240*Staffing!$N$43</f>
        <v>0</v>
      </c>
      <c r="H2240" s="10" t="n">
        <f aca="false">F2240+G2240</f>
        <v>0</v>
      </c>
      <c r="I2240" s="10" t="n">
        <f aca="false">0</f>
        <v>0</v>
      </c>
      <c r="J2240" s="10" t="n">
        <f aca="false">MAX(0,E2240-E2239)*Staffing!$O$43</f>
        <v>0</v>
      </c>
      <c r="K2240" s="10" t="n">
        <f aca="false">MAX(0,E2240-E2239)*Staffing!$P$43</f>
        <v>0</v>
      </c>
      <c r="L2240" s="23" t="n">
        <f aca="false">ROUNDUP(E2240,0)</f>
        <v>0</v>
      </c>
    </row>
    <row r="2241" customFormat="false" ht="15" hidden="false" customHeight="false" outlineLevel="0" collapsed="false">
      <c r="A2241" s="6" t="s">
        <v>73</v>
      </c>
      <c r="B2241" s="6" t="s">
        <v>351</v>
      </c>
      <c r="C2241" s="6" t="n">
        <v>16</v>
      </c>
      <c r="D2241" s="25" t="n">
        <f aca="false">EDATE('Start Here'!$B$6,C2241-1)</f>
        <v>46784</v>
      </c>
      <c r="E2241" s="23" t="n">
        <f aca="false">IF(AND(C2241&gt;=Assumptions!$E$25,C2241&lt;=Staffing!$G$43,'Start Here'!$B$8=1),IF(C2241&lt;=6,Staffing!$H$43,IF(C2241&lt;=15,Staffing!$I$43,IF(C2241&lt;=30,Staffing!$J$43,Staffing!$K$43))),0)</f>
        <v>0</v>
      </c>
      <c r="F2241" s="10" t="n">
        <f aca="false">E2241*Staffing!$L$43/12*(1+Assumptions!$E$10)^INT((C2241-1)/12)*1</f>
        <v>0</v>
      </c>
      <c r="G2241" s="10" t="n">
        <f aca="false">F2241*Staffing!$N$43</f>
        <v>0</v>
      </c>
      <c r="H2241" s="10" t="n">
        <f aca="false">F2241+G2241</f>
        <v>0</v>
      </c>
      <c r="I2241" s="10" t="n">
        <f aca="false">0</f>
        <v>0</v>
      </c>
      <c r="J2241" s="10" t="n">
        <f aca="false">MAX(0,E2241-E2240)*Staffing!$O$43</f>
        <v>0</v>
      </c>
      <c r="K2241" s="10" t="n">
        <f aca="false">MAX(0,E2241-E2240)*Staffing!$P$43</f>
        <v>0</v>
      </c>
      <c r="L2241" s="23" t="n">
        <f aca="false">ROUNDUP(E2241,0)</f>
        <v>0</v>
      </c>
    </row>
    <row r="2242" customFormat="false" ht="15" hidden="false" customHeight="false" outlineLevel="0" collapsed="false">
      <c r="A2242" s="6" t="s">
        <v>73</v>
      </c>
      <c r="B2242" s="6" t="s">
        <v>351</v>
      </c>
      <c r="C2242" s="6" t="n">
        <v>17</v>
      </c>
      <c r="D2242" s="25" t="n">
        <f aca="false">EDATE('Start Here'!$B$6,C2242-1)</f>
        <v>46813</v>
      </c>
      <c r="E2242" s="23" t="n">
        <f aca="false">IF(AND(C2242&gt;=Assumptions!$E$25,C2242&lt;=Staffing!$G$43,'Start Here'!$B$8=1),IF(C2242&lt;=6,Staffing!$H$43,IF(C2242&lt;=15,Staffing!$I$43,IF(C2242&lt;=30,Staffing!$J$43,Staffing!$K$43))),0)</f>
        <v>0</v>
      </c>
      <c r="F2242" s="10" t="n">
        <f aca="false">E2242*Staffing!$L$43/12*(1+Assumptions!$E$10)^INT((C2242-1)/12)*1</f>
        <v>0</v>
      </c>
      <c r="G2242" s="10" t="n">
        <f aca="false">F2242*Staffing!$N$43</f>
        <v>0</v>
      </c>
      <c r="H2242" s="10" t="n">
        <f aca="false">F2242+G2242</f>
        <v>0</v>
      </c>
      <c r="I2242" s="10" t="n">
        <f aca="false">0</f>
        <v>0</v>
      </c>
      <c r="J2242" s="10" t="n">
        <f aca="false">MAX(0,E2242-E2241)*Staffing!$O$43</f>
        <v>0</v>
      </c>
      <c r="K2242" s="10" t="n">
        <f aca="false">MAX(0,E2242-E2241)*Staffing!$P$43</f>
        <v>0</v>
      </c>
      <c r="L2242" s="23" t="n">
        <f aca="false">ROUNDUP(E2242,0)</f>
        <v>0</v>
      </c>
    </row>
    <row r="2243" customFormat="false" ht="15" hidden="false" customHeight="false" outlineLevel="0" collapsed="false">
      <c r="A2243" s="6" t="s">
        <v>73</v>
      </c>
      <c r="B2243" s="6" t="s">
        <v>351</v>
      </c>
      <c r="C2243" s="6" t="n">
        <v>18</v>
      </c>
      <c r="D2243" s="25" t="n">
        <f aca="false">EDATE('Start Here'!$B$6,C2243-1)</f>
        <v>46844</v>
      </c>
      <c r="E2243" s="23" t="n">
        <f aca="false">IF(AND(C2243&gt;=Assumptions!$E$25,C2243&lt;=Staffing!$G$43,'Start Here'!$B$8=1),IF(C2243&lt;=6,Staffing!$H$43,IF(C2243&lt;=15,Staffing!$I$43,IF(C2243&lt;=30,Staffing!$J$43,Staffing!$K$43))),0)</f>
        <v>0</v>
      </c>
      <c r="F2243" s="10" t="n">
        <f aca="false">E2243*Staffing!$L$43/12*(1+Assumptions!$E$10)^INT((C2243-1)/12)*1</f>
        <v>0</v>
      </c>
      <c r="G2243" s="10" t="n">
        <f aca="false">F2243*Staffing!$N$43</f>
        <v>0</v>
      </c>
      <c r="H2243" s="10" t="n">
        <f aca="false">F2243+G2243</f>
        <v>0</v>
      </c>
      <c r="I2243" s="10" t="n">
        <f aca="false">0</f>
        <v>0</v>
      </c>
      <c r="J2243" s="10" t="n">
        <f aca="false">MAX(0,E2243-E2242)*Staffing!$O$43</f>
        <v>0</v>
      </c>
      <c r="K2243" s="10" t="n">
        <f aca="false">MAX(0,E2243-E2242)*Staffing!$P$43</f>
        <v>0</v>
      </c>
      <c r="L2243" s="23" t="n">
        <f aca="false">ROUNDUP(E2243,0)</f>
        <v>0</v>
      </c>
    </row>
    <row r="2244" customFormat="false" ht="15" hidden="false" customHeight="false" outlineLevel="0" collapsed="false">
      <c r="A2244" s="6" t="s">
        <v>73</v>
      </c>
      <c r="B2244" s="6" t="s">
        <v>351</v>
      </c>
      <c r="C2244" s="6" t="n">
        <v>19</v>
      </c>
      <c r="D2244" s="25" t="n">
        <f aca="false">EDATE('Start Here'!$B$6,C2244-1)</f>
        <v>46874</v>
      </c>
      <c r="E2244" s="23" t="n">
        <f aca="false">IF(AND(C2244&gt;=Assumptions!$E$25,C2244&lt;=Staffing!$G$43,'Start Here'!$B$8=1),IF(C2244&lt;=6,Staffing!$H$43,IF(C2244&lt;=15,Staffing!$I$43,IF(C2244&lt;=30,Staffing!$J$43,Staffing!$K$43))),0)</f>
        <v>0</v>
      </c>
      <c r="F2244" s="10" t="n">
        <f aca="false">E2244*Staffing!$L$43/12*(1+Assumptions!$E$10)^INT((C2244-1)/12)*1</f>
        <v>0</v>
      </c>
      <c r="G2244" s="10" t="n">
        <f aca="false">F2244*Staffing!$N$43</f>
        <v>0</v>
      </c>
      <c r="H2244" s="10" t="n">
        <f aca="false">F2244+G2244</f>
        <v>0</v>
      </c>
      <c r="I2244" s="10" t="n">
        <f aca="false">0</f>
        <v>0</v>
      </c>
      <c r="J2244" s="10" t="n">
        <f aca="false">MAX(0,E2244-E2243)*Staffing!$O$43</f>
        <v>0</v>
      </c>
      <c r="K2244" s="10" t="n">
        <f aca="false">MAX(0,E2244-E2243)*Staffing!$P$43</f>
        <v>0</v>
      </c>
      <c r="L2244" s="23" t="n">
        <f aca="false">ROUNDUP(E2244,0)</f>
        <v>0</v>
      </c>
    </row>
    <row r="2245" customFormat="false" ht="15" hidden="false" customHeight="false" outlineLevel="0" collapsed="false">
      <c r="A2245" s="6" t="s">
        <v>73</v>
      </c>
      <c r="B2245" s="6" t="s">
        <v>351</v>
      </c>
      <c r="C2245" s="6" t="n">
        <v>20</v>
      </c>
      <c r="D2245" s="25" t="n">
        <f aca="false">EDATE('Start Here'!$B$6,C2245-1)</f>
        <v>46905</v>
      </c>
      <c r="E2245" s="23" t="n">
        <f aca="false">IF(AND(C2245&gt;=Assumptions!$E$25,C2245&lt;=Staffing!$G$43,'Start Here'!$B$8=1),IF(C2245&lt;=6,Staffing!$H$43,IF(C2245&lt;=15,Staffing!$I$43,IF(C2245&lt;=30,Staffing!$J$43,Staffing!$K$43))),0)</f>
        <v>0</v>
      </c>
      <c r="F2245" s="10" t="n">
        <f aca="false">E2245*Staffing!$L$43/12*(1+Assumptions!$E$10)^INT((C2245-1)/12)*1</f>
        <v>0</v>
      </c>
      <c r="G2245" s="10" t="n">
        <f aca="false">F2245*Staffing!$N$43</f>
        <v>0</v>
      </c>
      <c r="H2245" s="10" t="n">
        <f aca="false">F2245+G2245</f>
        <v>0</v>
      </c>
      <c r="I2245" s="10" t="n">
        <f aca="false">0</f>
        <v>0</v>
      </c>
      <c r="J2245" s="10" t="n">
        <f aca="false">MAX(0,E2245-E2244)*Staffing!$O$43</f>
        <v>0</v>
      </c>
      <c r="K2245" s="10" t="n">
        <f aca="false">MAX(0,E2245-E2244)*Staffing!$P$43</f>
        <v>0</v>
      </c>
      <c r="L2245" s="23" t="n">
        <f aca="false">ROUNDUP(E2245,0)</f>
        <v>0</v>
      </c>
    </row>
    <row r="2246" customFormat="false" ht="15" hidden="false" customHeight="false" outlineLevel="0" collapsed="false">
      <c r="A2246" s="6" t="s">
        <v>73</v>
      </c>
      <c r="B2246" s="6" t="s">
        <v>351</v>
      </c>
      <c r="C2246" s="6" t="n">
        <v>21</v>
      </c>
      <c r="D2246" s="25" t="n">
        <f aca="false">EDATE('Start Here'!$B$6,C2246-1)</f>
        <v>46935</v>
      </c>
      <c r="E2246" s="23" t="n">
        <f aca="false">IF(AND(C2246&gt;=Assumptions!$E$25,C2246&lt;=Staffing!$G$43,'Start Here'!$B$8=1),IF(C2246&lt;=6,Staffing!$H$43,IF(C2246&lt;=15,Staffing!$I$43,IF(C2246&lt;=30,Staffing!$J$43,Staffing!$K$43))),0)</f>
        <v>0</v>
      </c>
      <c r="F2246" s="10" t="n">
        <f aca="false">E2246*Staffing!$L$43/12*(1+Assumptions!$E$10)^INT((C2246-1)/12)*1</f>
        <v>0</v>
      </c>
      <c r="G2246" s="10" t="n">
        <f aca="false">F2246*Staffing!$N$43</f>
        <v>0</v>
      </c>
      <c r="H2246" s="10" t="n">
        <f aca="false">F2246+G2246</f>
        <v>0</v>
      </c>
      <c r="I2246" s="10" t="n">
        <f aca="false">0</f>
        <v>0</v>
      </c>
      <c r="J2246" s="10" t="n">
        <f aca="false">MAX(0,E2246-E2245)*Staffing!$O$43</f>
        <v>0</v>
      </c>
      <c r="K2246" s="10" t="n">
        <f aca="false">MAX(0,E2246-E2245)*Staffing!$P$43</f>
        <v>0</v>
      </c>
      <c r="L2246" s="23" t="n">
        <f aca="false">ROUNDUP(E2246,0)</f>
        <v>0</v>
      </c>
    </row>
    <row r="2247" customFormat="false" ht="15" hidden="false" customHeight="false" outlineLevel="0" collapsed="false">
      <c r="A2247" s="6" t="s">
        <v>73</v>
      </c>
      <c r="B2247" s="6" t="s">
        <v>351</v>
      </c>
      <c r="C2247" s="6" t="n">
        <v>22</v>
      </c>
      <c r="D2247" s="25" t="n">
        <f aca="false">EDATE('Start Here'!$B$6,C2247-1)</f>
        <v>46966</v>
      </c>
      <c r="E2247" s="23" t="n">
        <f aca="false">IF(AND(C2247&gt;=Assumptions!$E$25,C2247&lt;=Staffing!$G$43,'Start Here'!$B$8=1),IF(C2247&lt;=6,Staffing!$H$43,IF(C2247&lt;=15,Staffing!$I$43,IF(C2247&lt;=30,Staffing!$J$43,Staffing!$K$43))),0)</f>
        <v>0</v>
      </c>
      <c r="F2247" s="10" t="n">
        <f aca="false">E2247*Staffing!$L$43/12*(1+Assumptions!$E$10)^INT((C2247-1)/12)*1</f>
        <v>0</v>
      </c>
      <c r="G2247" s="10" t="n">
        <f aca="false">F2247*Staffing!$N$43</f>
        <v>0</v>
      </c>
      <c r="H2247" s="10" t="n">
        <f aca="false">F2247+G2247</f>
        <v>0</v>
      </c>
      <c r="I2247" s="10" t="n">
        <f aca="false">0</f>
        <v>0</v>
      </c>
      <c r="J2247" s="10" t="n">
        <f aca="false">MAX(0,E2247-E2246)*Staffing!$O$43</f>
        <v>0</v>
      </c>
      <c r="K2247" s="10" t="n">
        <f aca="false">MAX(0,E2247-E2246)*Staffing!$P$43</f>
        <v>0</v>
      </c>
      <c r="L2247" s="23" t="n">
        <f aca="false">ROUNDUP(E2247,0)</f>
        <v>0</v>
      </c>
    </row>
    <row r="2248" customFormat="false" ht="15" hidden="false" customHeight="false" outlineLevel="0" collapsed="false">
      <c r="A2248" s="6" t="s">
        <v>73</v>
      </c>
      <c r="B2248" s="6" t="s">
        <v>351</v>
      </c>
      <c r="C2248" s="6" t="n">
        <v>23</v>
      </c>
      <c r="D2248" s="25" t="n">
        <f aca="false">EDATE('Start Here'!$B$6,C2248-1)</f>
        <v>46997</v>
      </c>
      <c r="E2248" s="23" t="n">
        <f aca="false">IF(AND(C2248&gt;=Assumptions!$E$25,C2248&lt;=Staffing!$G$43,'Start Here'!$B$8=1),IF(C2248&lt;=6,Staffing!$H$43,IF(C2248&lt;=15,Staffing!$I$43,IF(C2248&lt;=30,Staffing!$J$43,Staffing!$K$43))),0)</f>
        <v>0</v>
      </c>
      <c r="F2248" s="10" t="n">
        <f aca="false">E2248*Staffing!$L$43/12*(1+Assumptions!$E$10)^INT((C2248-1)/12)*1</f>
        <v>0</v>
      </c>
      <c r="G2248" s="10" t="n">
        <f aca="false">F2248*Staffing!$N$43</f>
        <v>0</v>
      </c>
      <c r="H2248" s="10" t="n">
        <f aca="false">F2248+G2248</f>
        <v>0</v>
      </c>
      <c r="I2248" s="10" t="n">
        <f aca="false">0</f>
        <v>0</v>
      </c>
      <c r="J2248" s="10" t="n">
        <f aca="false">MAX(0,E2248-E2247)*Staffing!$O$43</f>
        <v>0</v>
      </c>
      <c r="K2248" s="10" t="n">
        <f aca="false">MAX(0,E2248-E2247)*Staffing!$P$43</f>
        <v>0</v>
      </c>
      <c r="L2248" s="23" t="n">
        <f aca="false">ROUNDUP(E2248,0)</f>
        <v>0</v>
      </c>
    </row>
    <row r="2249" customFormat="false" ht="15" hidden="false" customHeight="false" outlineLevel="0" collapsed="false">
      <c r="A2249" s="6" t="s">
        <v>73</v>
      </c>
      <c r="B2249" s="6" t="s">
        <v>351</v>
      </c>
      <c r="C2249" s="6" t="n">
        <v>24</v>
      </c>
      <c r="D2249" s="25" t="n">
        <f aca="false">EDATE('Start Here'!$B$6,C2249-1)</f>
        <v>47027</v>
      </c>
      <c r="E2249" s="23" t="n">
        <f aca="false">IF(AND(C2249&gt;=Assumptions!$E$25,C2249&lt;=Staffing!$G$43,'Start Here'!$B$8=1),IF(C2249&lt;=6,Staffing!$H$43,IF(C2249&lt;=15,Staffing!$I$43,IF(C2249&lt;=30,Staffing!$J$43,Staffing!$K$43))),0)</f>
        <v>0</v>
      </c>
      <c r="F2249" s="10" t="n">
        <f aca="false">E2249*Staffing!$L$43/12*(1+Assumptions!$E$10)^INT((C2249-1)/12)*1</f>
        <v>0</v>
      </c>
      <c r="G2249" s="10" t="n">
        <f aca="false">F2249*Staffing!$N$43</f>
        <v>0</v>
      </c>
      <c r="H2249" s="10" t="n">
        <f aca="false">F2249+G2249</f>
        <v>0</v>
      </c>
      <c r="I2249" s="10" t="n">
        <f aca="false">0</f>
        <v>0</v>
      </c>
      <c r="J2249" s="10" t="n">
        <f aca="false">MAX(0,E2249-E2248)*Staffing!$O$43</f>
        <v>0</v>
      </c>
      <c r="K2249" s="10" t="n">
        <f aca="false">MAX(0,E2249-E2248)*Staffing!$P$43</f>
        <v>0</v>
      </c>
      <c r="L2249" s="23" t="n">
        <f aca="false">ROUNDUP(E2249,0)</f>
        <v>0</v>
      </c>
    </row>
    <row r="2250" customFormat="false" ht="15" hidden="false" customHeight="false" outlineLevel="0" collapsed="false">
      <c r="A2250" s="6" t="s">
        <v>73</v>
      </c>
      <c r="B2250" s="6" t="s">
        <v>351</v>
      </c>
      <c r="C2250" s="6" t="n">
        <v>25</v>
      </c>
      <c r="D2250" s="25" t="n">
        <f aca="false">EDATE('Start Here'!$B$6,C2250-1)</f>
        <v>47058</v>
      </c>
      <c r="E2250" s="23" t="n">
        <f aca="false">IF(AND(C2250&gt;=Assumptions!$E$25,C2250&lt;=Staffing!$G$43,'Start Here'!$B$8=1),IF(C2250&lt;=6,Staffing!$H$43,IF(C2250&lt;=15,Staffing!$I$43,IF(C2250&lt;=30,Staffing!$J$43,Staffing!$K$43))),0)</f>
        <v>0</v>
      </c>
      <c r="F2250" s="10" t="n">
        <f aca="false">E2250*Staffing!$L$43/12*(1+Assumptions!$E$10)^INT((C2250-1)/12)*1</f>
        <v>0</v>
      </c>
      <c r="G2250" s="10" t="n">
        <f aca="false">F2250*Staffing!$N$43</f>
        <v>0</v>
      </c>
      <c r="H2250" s="10" t="n">
        <f aca="false">F2250+G2250</f>
        <v>0</v>
      </c>
      <c r="I2250" s="10" t="n">
        <f aca="false">0</f>
        <v>0</v>
      </c>
      <c r="J2250" s="10" t="n">
        <f aca="false">MAX(0,E2250-E2249)*Staffing!$O$43</f>
        <v>0</v>
      </c>
      <c r="K2250" s="10" t="n">
        <f aca="false">MAX(0,E2250-E2249)*Staffing!$P$43</f>
        <v>0</v>
      </c>
      <c r="L2250" s="23" t="n">
        <f aca="false">ROUNDUP(E2250,0)</f>
        <v>0</v>
      </c>
    </row>
    <row r="2251" customFormat="false" ht="15" hidden="false" customHeight="false" outlineLevel="0" collapsed="false">
      <c r="A2251" s="6" t="s">
        <v>73</v>
      </c>
      <c r="B2251" s="6" t="s">
        <v>351</v>
      </c>
      <c r="C2251" s="6" t="n">
        <v>26</v>
      </c>
      <c r="D2251" s="25" t="n">
        <f aca="false">EDATE('Start Here'!$B$6,C2251-1)</f>
        <v>47088</v>
      </c>
      <c r="E2251" s="23" t="n">
        <f aca="false">IF(AND(C2251&gt;=Assumptions!$E$25,C2251&lt;=Staffing!$G$43,'Start Here'!$B$8=1),IF(C2251&lt;=6,Staffing!$H$43,IF(C2251&lt;=15,Staffing!$I$43,IF(C2251&lt;=30,Staffing!$J$43,Staffing!$K$43))),0)</f>
        <v>0</v>
      </c>
      <c r="F2251" s="10" t="n">
        <f aca="false">E2251*Staffing!$L$43/12*(1+Assumptions!$E$10)^INT((C2251-1)/12)*1</f>
        <v>0</v>
      </c>
      <c r="G2251" s="10" t="n">
        <f aca="false">F2251*Staffing!$N$43</f>
        <v>0</v>
      </c>
      <c r="H2251" s="10" t="n">
        <f aca="false">F2251+G2251</f>
        <v>0</v>
      </c>
      <c r="I2251" s="10" t="n">
        <f aca="false">0</f>
        <v>0</v>
      </c>
      <c r="J2251" s="10" t="n">
        <f aca="false">MAX(0,E2251-E2250)*Staffing!$O$43</f>
        <v>0</v>
      </c>
      <c r="K2251" s="10" t="n">
        <f aca="false">MAX(0,E2251-E2250)*Staffing!$P$43</f>
        <v>0</v>
      </c>
      <c r="L2251" s="23" t="n">
        <f aca="false">ROUNDUP(E2251,0)</f>
        <v>0</v>
      </c>
    </row>
    <row r="2252" customFormat="false" ht="15" hidden="false" customHeight="false" outlineLevel="0" collapsed="false">
      <c r="A2252" s="6" t="s">
        <v>73</v>
      </c>
      <c r="B2252" s="6" t="s">
        <v>351</v>
      </c>
      <c r="C2252" s="6" t="n">
        <v>27</v>
      </c>
      <c r="D2252" s="25" t="n">
        <f aca="false">EDATE('Start Here'!$B$6,C2252-1)</f>
        <v>47119</v>
      </c>
      <c r="E2252" s="23" t="n">
        <f aca="false">IF(AND(C2252&gt;=Assumptions!$E$25,C2252&lt;=Staffing!$G$43,'Start Here'!$B$8=1),IF(C2252&lt;=6,Staffing!$H$43,IF(C2252&lt;=15,Staffing!$I$43,IF(C2252&lt;=30,Staffing!$J$43,Staffing!$K$43))),0)</f>
        <v>0</v>
      </c>
      <c r="F2252" s="10" t="n">
        <f aca="false">E2252*Staffing!$L$43/12*(1+Assumptions!$E$10)^INT((C2252-1)/12)*1</f>
        <v>0</v>
      </c>
      <c r="G2252" s="10" t="n">
        <f aca="false">F2252*Staffing!$N$43</f>
        <v>0</v>
      </c>
      <c r="H2252" s="10" t="n">
        <f aca="false">F2252+G2252</f>
        <v>0</v>
      </c>
      <c r="I2252" s="10" t="n">
        <f aca="false">0</f>
        <v>0</v>
      </c>
      <c r="J2252" s="10" t="n">
        <f aca="false">MAX(0,E2252-E2251)*Staffing!$O$43</f>
        <v>0</v>
      </c>
      <c r="K2252" s="10" t="n">
        <f aca="false">MAX(0,E2252-E2251)*Staffing!$P$43</f>
        <v>0</v>
      </c>
      <c r="L2252" s="23" t="n">
        <f aca="false">ROUNDUP(E2252,0)</f>
        <v>0</v>
      </c>
    </row>
    <row r="2253" customFormat="false" ht="15" hidden="false" customHeight="false" outlineLevel="0" collapsed="false">
      <c r="A2253" s="6" t="s">
        <v>73</v>
      </c>
      <c r="B2253" s="6" t="s">
        <v>351</v>
      </c>
      <c r="C2253" s="6" t="n">
        <v>28</v>
      </c>
      <c r="D2253" s="25" t="n">
        <f aca="false">EDATE('Start Here'!$B$6,C2253-1)</f>
        <v>47150</v>
      </c>
      <c r="E2253" s="23" t="n">
        <f aca="false">IF(AND(C2253&gt;=Assumptions!$E$25,C2253&lt;=Staffing!$G$43,'Start Here'!$B$8=1),IF(C2253&lt;=6,Staffing!$H$43,IF(C2253&lt;=15,Staffing!$I$43,IF(C2253&lt;=30,Staffing!$J$43,Staffing!$K$43))),0)</f>
        <v>0</v>
      </c>
      <c r="F2253" s="10" t="n">
        <f aca="false">E2253*Staffing!$L$43/12*(1+Assumptions!$E$10)^INT((C2253-1)/12)*1</f>
        <v>0</v>
      </c>
      <c r="G2253" s="10" t="n">
        <f aca="false">F2253*Staffing!$N$43</f>
        <v>0</v>
      </c>
      <c r="H2253" s="10" t="n">
        <f aca="false">F2253+G2253</f>
        <v>0</v>
      </c>
      <c r="I2253" s="10" t="n">
        <f aca="false">0</f>
        <v>0</v>
      </c>
      <c r="J2253" s="10" t="n">
        <f aca="false">MAX(0,E2253-E2252)*Staffing!$O$43</f>
        <v>0</v>
      </c>
      <c r="K2253" s="10" t="n">
        <f aca="false">MAX(0,E2253-E2252)*Staffing!$P$43</f>
        <v>0</v>
      </c>
      <c r="L2253" s="23" t="n">
        <f aca="false">ROUNDUP(E2253,0)</f>
        <v>0</v>
      </c>
    </row>
    <row r="2254" customFormat="false" ht="15" hidden="false" customHeight="false" outlineLevel="0" collapsed="false">
      <c r="A2254" s="6" t="s">
        <v>73</v>
      </c>
      <c r="B2254" s="6" t="s">
        <v>351</v>
      </c>
      <c r="C2254" s="6" t="n">
        <v>29</v>
      </c>
      <c r="D2254" s="25" t="n">
        <f aca="false">EDATE('Start Here'!$B$6,C2254-1)</f>
        <v>47178</v>
      </c>
      <c r="E2254" s="23" t="n">
        <f aca="false">IF(AND(C2254&gt;=Assumptions!$E$25,C2254&lt;=Staffing!$G$43,'Start Here'!$B$8=1),IF(C2254&lt;=6,Staffing!$H$43,IF(C2254&lt;=15,Staffing!$I$43,IF(C2254&lt;=30,Staffing!$J$43,Staffing!$K$43))),0)</f>
        <v>0</v>
      </c>
      <c r="F2254" s="10" t="n">
        <f aca="false">E2254*Staffing!$L$43/12*(1+Assumptions!$E$10)^INT((C2254-1)/12)*1</f>
        <v>0</v>
      </c>
      <c r="G2254" s="10" t="n">
        <f aca="false">F2254*Staffing!$N$43</f>
        <v>0</v>
      </c>
      <c r="H2254" s="10" t="n">
        <f aca="false">F2254+G2254</f>
        <v>0</v>
      </c>
      <c r="I2254" s="10" t="n">
        <f aca="false">0</f>
        <v>0</v>
      </c>
      <c r="J2254" s="10" t="n">
        <f aca="false">MAX(0,E2254-E2253)*Staffing!$O$43</f>
        <v>0</v>
      </c>
      <c r="K2254" s="10" t="n">
        <f aca="false">MAX(0,E2254-E2253)*Staffing!$P$43</f>
        <v>0</v>
      </c>
      <c r="L2254" s="23" t="n">
        <f aca="false">ROUNDUP(E2254,0)</f>
        <v>0</v>
      </c>
    </row>
    <row r="2255" customFormat="false" ht="15" hidden="false" customHeight="false" outlineLevel="0" collapsed="false">
      <c r="A2255" s="6" t="s">
        <v>73</v>
      </c>
      <c r="B2255" s="6" t="s">
        <v>351</v>
      </c>
      <c r="C2255" s="6" t="n">
        <v>30</v>
      </c>
      <c r="D2255" s="25" t="n">
        <f aca="false">EDATE('Start Here'!$B$6,C2255-1)</f>
        <v>47209</v>
      </c>
      <c r="E2255" s="23" t="n">
        <f aca="false">IF(AND(C2255&gt;=Assumptions!$E$25,C2255&lt;=Staffing!$G$43,'Start Here'!$B$8=1),IF(C2255&lt;=6,Staffing!$H$43,IF(C2255&lt;=15,Staffing!$I$43,IF(C2255&lt;=30,Staffing!$J$43,Staffing!$K$43))),0)</f>
        <v>0</v>
      </c>
      <c r="F2255" s="10" t="n">
        <f aca="false">E2255*Staffing!$L$43/12*(1+Assumptions!$E$10)^INT((C2255-1)/12)*1</f>
        <v>0</v>
      </c>
      <c r="G2255" s="10" t="n">
        <f aca="false">F2255*Staffing!$N$43</f>
        <v>0</v>
      </c>
      <c r="H2255" s="10" t="n">
        <f aca="false">F2255+G2255</f>
        <v>0</v>
      </c>
      <c r="I2255" s="10" t="n">
        <f aca="false">0</f>
        <v>0</v>
      </c>
      <c r="J2255" s="10" t="n">
        <f aca="false">MAX(0,E2255-E2254)*Staffing!$O$43</f>
        <v>0</v>
      </c>
      <c r="K2255" s="10" t="n">
        <f aca="false">MAX(0,E2255-E2254)*Staffing!$P$43</f>
        <v>0</v>
      </c>
      <c r="L2255" s="23" t="n">
        <f aca="false">ROUNDUP(E2255,0)</f>
        <v>0</v>
      </c>
    </row>
    <row r="2256" customFormat="false" ht="15" hidden="false" customHeight="false" outlineLevel="0" collapsed="false">
      <c r="A2256" s="6" t="s">
        <v>73</v>
      </c>
      <c r="B2256" s="6" t="s">
        <v>351</v>
      </c>
      <c r="C2256" s="6" t="n">
        <v>31</v>
      </c>
      <c r="D2256" s="25" t="n">
        <f aca="false">EDATE('Start Here'!$B$6,C2256-1)</f>
        <v>47239</v>
      </c>
      <c r="E2256" s="23" t="n">
        <f aca="false">IF(AND(C2256&gt;=Assumptions!$E$25,C2256&lt;=Staffing!$G$43,'Start Here'!$B$8=1),IF(C2256&lt;=6,Staffing!$H$43,IF(C2256&lt;=15,Staffing!$I$43,IF(C2256&lt;=30,Staffing!$J$43,Staffing!$K$43))),0)</f>
        <v>0</v>
      </c>
      <c r="F2256" s="10" t="n">
        <f aca="false">E2256*Staffing!$L$43/12*(1+Assumptions!$E$10)^INT((C2256-1)/12)*1</f>
        <v>0</v>
      </c>
      <c r="G2256" s="10" t="n">
        <f aca="false">F2256*Staffing!$N$43</f>
        <v>0</v>
      </c>
      <c r="H2256" s="10" t="n">
        <f aca="false">F2256+G2256</f>
        <v>0</v>
      </c>
      <c r="I2256" s="10" t="n">
        <f aca="false">0</f>
        <v>0</v>
      </c>
      <c r="J2256" s="10" t="n">
        <f aca="false">MAX(0,E2256-E2255)*Staffing!$O$43</f>
        <v>0</v>
      </c>
      <c r="K2256" s="10" t="n">
        <f aca="false">MAX(0,E2256-E2255)*Staffing!$P$43</f>
        <v>0</v>
      </c>
      <c r="L2256" s="23" t="n">
        <f aca="false">ROUNDUP(E2256,0)</f>
        <v>0</v>
      </c>
    </row>
    <row r="2257" customFormat="false" ht="15" hidden="false" customHeight="false" outlineLevel="0" collapsed="false">
      <c r="A2257" s="6" t="s">
        <v>73</v>
      </c>
      <c r="B2257" s="6" t="s">
        <v>351</v>
      </c>
      <c r="C2257" s="6" t="n">
        <v>32</v>
      </c>
      <c r="D2257" s="25" t="n">
        <f aca="false">EDATE('Start Here'!$B$6,C2257-1)</f>
        <v>47270</v>
      </c>
      <c r="E2257" s="23" t="n">
        <f aca="false">IF(AND(C2257&gt;=Assumptions!$E$25,C2257&lt;=Staffing!$G$43,'Start Here'!$B$8=1),IF(C2257&lt;=6,Staffing!$H$43,IF(C2257&lt;=15,Staffing!$I$43,IF(C2257&lt;=30,Staffing!$J$43,Staffing!$K$43))),0)</f>
        <v>0</v>
      </c>
      <c r="F2257" s="10" t="n">
        <f aca="false">E2257*Staffing!$L$43/12*(1+Assumptions!$E$10)^INT((C2257-1)/12)*1</f>
        <v>0</v>
      </c>
      <c r="G2257" s="10" t="n">
        <f aca="false">F2257*Staffing!$N$43</f>
        <v>0</v>
      </c>
      <c r="H2257" s="10" t="n">
        <f aca="false">F2257+G2257</f>
        <v>0</v>
      </c>
      <c r="I2257" s="10" t="n">
        <f aca="false">0</f>
        <v>0</v>
      </c>
      <c r="J2257" s="10" t="n">
        <f aca="false">MAX(0,E2257-E2256)*Staffing!$O$43</f>
        <v>0</v>
      </c>
      <c r="K2257" s="10" t="n">
        <f aca="false">MAX(0,E2257-E2256)*Staffing!$P$43</f>
        <v>0</v>
      </c>
      <c r="L2257" s="23" t="n">
        <f aca="false">ROUNDUP(E2257,0)</f>
        <v>0</v>
      </c>
    </row>
    <row r="2258" customFormat="false" ht="15" hidden="false" customHeight="false" outlineLevel="0" collapsed="false">
      <c r="A2258" s="6" t="s">
        <v>73</v>
      </c>
      <c r="B2258" s="6" t="s">
        <v>351</v>
      </c>
      <c r="C2258" s="6" t="n">
        <v>33</v>
      </c>
      <c r="D2258" s="25" t="n">
        <f aca="false">EDATE('Start Here'!$B$6,C2258-1)</f>
        <v>47300</v>
      </c>
      <c r="E2258" s="23" t="n">
        <f aca="false">IF(AND(C2258&gt;=Assumptions!$E$25,C2258&lt;=Staffing!$G$43,'Start Here'!$B$8=1),IF(C2258&lt;=6,Staffing!$H$43,IF(C2258&lt;=15,Staffing!$I$43,IF(C2258&lt;=30,Staffing!$J$43,Staffing!$K$43))),0)</f>
        <v>0</v>
      </c>
      <c r="F2258" s="10" t="n">
        <f aca="false">E2258*Staffing!$L$43/12*(1+Assumptions!$E$10)^INT((C2258-1)/12)*1</f>
        <v>0</v>
      </c>
      <c r="G2258" s="10" t="n">
        <f aca="false">F2258*Staffing!$N$43</f>
        <v>0</v>
      </c>
      <c r="H2258" s="10" t="n">
        <f aca="false">F2258+G2258</f>
        <v>0</v>
      </c>
      <c r="I2258" s="10" t="n">
        <f aca="false">0</f>
        <v>0</v>
      </c>
      <c r="J2258" s="10" t="n">
        <f aca="false">MAX(0,E2258-E2257)*Staffing!$O$43</f>
        <v>0</v>
      </c>
      <c r="K2258" s="10" t="n">
        <f aca="false">MAX(0,E2258-E2257)*Staffing!$P$43</f>
        <v>0</v>
      </c>
      <c r="L2258" s="23" t="n">
        <f aca="false">ROUNDUP(E2258,0)</f>
        <v>0</v>
      </c>
    </row>
    <row r="2259" customFormat="false" ht="15" hidden="false" customHeight="false" outlineLevel="0" collapsed="false">
      <c r="A2259" s="6" t="s">
        <v>73</v>
      </c>
      <c r="B2259" s="6" t="s">
        <v>351</v>
      </c>
      <c r="C2259" s="6" t="n">
        <v>34</v>
      </c>
      <c r="D2259" s="25" t="n">
        <f aca="false">EDATE('Start Here'!$B$6,C2259-1)</f>
        <v>47331</v>
      </c>
      <c r="E2259" s="23" t="n">
        <f aca="false">IF(AND(C2259&gt;=Assumptions!$E$25,C2259&lt;=Staffing!$G$43,'Start Here'!$B$8=1),IF(C2259&lt;=6,Staffing!$H$43,IF(C2259&lt;=15,Staffing!$I$43,IF(C2259&lt;=30,Staffing!$J$43,Staffing!$K$43))),0)</f>
        <v>0</v>
      </c>
      <c r="F2259" s="10" t="n">
        <f aca="false">E2259*Staffing!$L$43/12*(1+Assumptions!$E$10)^INT((C2259-1)/12)*1</f>
        <v>0</v>
      </c>
      <c r="G2259" s="10" t="n">
        <f aca="false">F2259*Staffing!$N$43</f>
        <v>0</v>
      </c>
      <c r="H2259" s="10" t="n">
        <f aca="false">F2259+G2259</f>
        <v>0</v>
      </c>
      <c r="I2259" s="10" t="n">
        <f aca="false">0</f>
        <v>0</v>
      </c>
      <c r="J2259" s="10" t="n">
        <f aca="false">MAX(0,E2259-E2258)*Staffing!$O$43</f>
        <v>0</v>
      </c>
      <c r="K2259" s="10" t="n">
        <f aca="false">MAX(0,E2259-E2258)*Staffing!$P$43</f>
        <v>0</v>
      </c>
      <c r="L2259" s="23" t="n">
        <f aca="false">ROUNDUP(E2259,0)</f>
        <v>0</v>
      </c>
    </row>
    <row r="2260" customFormat="false" ht="15" hidden="false" customHeight="false" outlineLevel="0" collapsed="false">
      <c r="A2260" s="6" t="s">
        <v>73</v>
      </c>
      <c r="B2260" s="6" t="s">
        <v>351</v>
      </c>
      <c r="C2260" s="6" t="n">
        <v>35</v>
      </c>
      <c r="D2260" s="25" t="n">
        <f aca="false">EDATE('Start Here'!$B$6,C2260-1)</f>
        <v>47362</v>
      </c>
      <c r="E2260" s="23" t="n">
        <f aca="false">IF(AND(C2260&gt;=Assumptions!$E$25,C2260&lt;=Staffing!$G$43,'Start Here'!$B$8=1),IF(C2260&lt;=6,Staffing!$H$43,IF(C2260&lt;=15,Staffing!$I$43,IF(C2260&lt;=30,Staffing!$J$43,Staffing!$K$43))),0)</f>
        <v>0</v>
      </c>
      <c r="F2260" s="10" t="n">
        <f aca="false">E2260*Staffing!$L$43/12*(1+Assumptions!$E$10)^INT((C2260-1)/12)*1</f>
        <v>0</v>
      </c>
      <c r="G2260" s="10" t="n">
        <f aca="false">F2260*Staffing!$N$43</f>
        <v>0</v>
      </c>
      <c r="H2260" s="10" t="n">
        <f aca="false">F2260+G2260</f>
        <v>0</v>
      </c>
      <c r="I2260" s="10" t="n">
        <f aca="false">0</f>
        <v>0</v>
      </c>
      <c r="J2260" s="10" t="n">
        <f aca="false">MAX(0,E2260-E2259)*Staffing!$O$43</f>
        <v>0</v>
      </c>
      <c r="K2260" s="10" t="n">
        <f aca="false">MAX(0,E2260-E2259)*Staffing!$P$43</f>
        <v>0</v>
      </c>
      <c r="L2260" s="23" t="n">
        <f aca="false">ROUNDUP(E2260,0)</f>
        <v>0</v>
      </c>
    </row>
    <row r="2261" customFormat="false" ht="15" hidden="false" customHeight="false" outlineLevel="0" collapsed="false">
      <c r="A2261" s="6" t="s">
        <v>73</v>
      </c>
      <c r="B2261" s="6" t="s">
        <v>351</v>
      </c>
      <c r="C2261" s="6" t="n">
        <v>36</v>
      </c>
      <c r="D2261" s="25" t="n">
        <f aca="false">EDATE('Start Here'!$B$6,C2261-1)</f>
        <v>47392</v>
      </c>
      <c r="E2261" s="23" t="n">
        <f aca="false">IF(AND(C2261&gt;=Assumptions!$E$25,C2261&lt;=Staffing!$G$43,'Start Here'!$B$8=1),IF(C2261&lt;=6,Staffing!$H$43,IF(C2261&lt;=15,Staffing!$I$43,IF(C2261&lt;=30,Staffing!$J$43,Staffing!$K$43))),0)</f>
        <v>0</v>
      </c>
      <c r="F2261" s="10" t="n">
        <f aca="false">E2261*Staffing!$L$43/12*(1+Assumptions!$E$10)^INT((C2261-1)/12)*1</f>
        <v>0</v>
      </c>
      <c r="G2261" s="10" t="n">
        <f aca="false">F2261*Staffing!$N$43</f>
        <v>0</v>
      </c>
      <c r="H2261" s="10" t="n">
        <f aca="false">F2261+G2261</f>
        <v>0</v>
      </c>
      <c r="I2261" s="10" t="n">
        <f aca="false">0</f>
        <v>0</v>
      </c>
      <c r="J2261" s="10" t="n">
        <f aca="false">MAX(0,E2261-E2260)*Staffing!$O$43</f>
        <v>0</v>
      </c>
      <c r="K2261" s="10" t="n">
        <f aca="false">MAX(0,E2261-E2260)*Staffing!$P$43</f>
        <v>0</v>
      </c>
      <c r="L2261" s="23" t="n">
        <f aca="false">ROUNDUP(E2261,0)</f>
        <v>0</v>
      </c>
    </row>
    <row r="2262" customFormat="false" ht="15" hidden="false" customHeight="false" outlineLevel="0" collapsed="false">
      <c r="A2262" s="6" t="s">
        <v>73</v>
      </c>
      <c r="B2262" s="6" t="s">
        <v>351</v>
      </c>
      <c r="C2262" s="6" t="n">
        <v>37</v>
      </c>
      <c r="D2262" s="25" t="n">
        <f aca="false">EDATE('Start Here'!$B$6,C2262-1)</f>
        <v>47423</v>
      </c>
      <c r="E2262" s="23" t="n">
        <f aca="false">IF(AND(C2262&gt;=Assumptions!$E$25,C2262&lt;=Staffing!$G$43,'Start Here'!$B$8=1),IF(C2262&lt;=6,Staffing!$H$43,IF(C2262&lt;=15,Staffing!$I$43,IF(C2262&lt;=30,Staffing!$J$43,Staffing!$K$43))),0)</f>
        <v>0</v>
      </c>
      <c r="F2262" s="10" t="n">
        <f aca="false">E2262*Staffing!$L$43/12*(1+Assumptions!$E$10)^INT((C2262-1)/12)*1</f>
        <v>0</v>
      </c>
      <c r="G2262" s="10" t="n">
        <f aca="false">F2262*Staffing!$N$43</f>
        <v>0</v>
      </c>
      <c r="H2262" s="10" t="n">
        <f aca="false">F2262+G2262</f>
        <v>0</v>
      </c>
      <c r="I2262" s="10" t="n">
        <f aca="false">0</f>
        <v>0</v>
      </c>
      <c r="J2262" s="10" t="n">
        <f aca="false">MAX(0,E2262-E2261)*Staffing!$O$43</f>
        <v>0</v>
      </c>
      <c r="K2262" s="10" t="n">
        <f aca="false">MAX(0,E2262-E2261)*Staffing!$P$43</f>
        <v>0</v>
      </c>
      <c r="L2262" s="23" t="n">
        <f aca="false">ROUNDUP(E2262,0)</f>
        <v>0</v>
      </c>
    </row>
    <row r="2263" customFormat="false" ht="15" hidden="false" customHeight="false" outlineLevel="0" collapsed="false">
      <c r="A2263" s="6" t="s">
        <v>73</v>
      </c>
      <c r="B2263" s="6" t="s">
        <v>351</v>
      </c>
      <c r="C2263" s="6" t="n">
        <v>38</v>
      </c>
      <c r="D2263" s="25" t="n">
        <f aca="false">EDATE('Start Here'!$B$6,C2263-1)</f>
        <v>47453</v>
      </c>
      <c r="E2263" s="23" t="n">
        <f aca="false">IF(AND(C2263&gt;=Assumptions!$E$25,C2263&lt;=Staffing!$G$43,'Start Here'!$B$8=1),IF(C2263&lt;=6,Staffing!$H$43,IF(C2263&lt;=15,Staffing!$I$43,IF(C2263&lt;=30,Staffing!$J$43,Staffing!$K$43))),0)</f>
        <v>0</v>
      </c>
      <c r="F2263" s="10" t="n">
        <f aca="false">E2263*Staffing!$L$43/12*(1+Assumptions!$E$10)^INT((C2263-1)/12)*1</f>
        <v>0</v>
      </c>
      <c r="G2263" s="10" t="n">
        <f aca="false">F2263*Staffing!$N$43</f>
        <v>0</v>
      </c>
      <c r="H2263" s="10" t="n">
        <f aca="false">F2263+G2263</f>
        <v>0</v>
      </c>
      <c r="I2263" s="10" t="n">
        <f aca="false">0</f>
        <v>0</v>
      </c>
      <c r="J2263" s="10" t="n">
        <f aca="false">MAX(0,E2263-E2262)*Staffing!$O$43</f>
        <v>0</v>
      </c>
      <c r="K2263" s="10" t="n">
        <f aca="false">MAX(0,E2263-E2262)*Staffing!$P$43</f>
        <v>0</v>
      </c>
      <c r="L2263" s="23" t="n">
        <f aca="false">ROUNDUP(E2263,0)</f>
        <v>0</v>
      </c>
    </row>
    <row r="2264" customFormat="false" ht="15" hidden="false" customHeight="false" outlineLevel="0" collapsed="false">
      <c r="A2264" s="6" t="s">
        <v>73</v>
      </c>
      <c r="B2264" s="6" t="s">
        <v>351</v>
      </c>
      <c r="C2264" s="6" t="n">
        <v>39</v>
      </c>
      <c r="D2264" s="25" t="n">
        <f aca="false">EDATE('Start Here'!$B$6,C2264-1)</f>
        <v>47484</v>
      </c>
      <c r="E2264" s="23" t="n">
        <f aca="false">IF(AND(C2264&gt;=Assumptions!$E$25,C2264&lt;=Staffing!$G$43,'Start Here'!$B$8=1),IF(C2264&lt;=6,Staffing!$H$43,IF(C2264&lt;=15,Staffing!$I$43,IF(C2264&lt;=30,Staffing!$J$43,Staffing!$K$43))),0)</f>
        <v>0</v>
      </c>
      <c r="F2264" s="10" t="n">
        <f aca="false">E2264*Staffing!$L$43/12*(1+Assumptions!$E$10)^INT((C2264-1)/12)*1</f>
        <v>0</v>
      </c>
      <c r="G2264" s="10" t="n">
        <f aca="false">F2264*Staffing!$N$43</f>
        <v>0</v>
      </c>
      <c r="H2264" s="10" t="n">
        <f aca="false">F2264+G2264</f>
        <v>0</v>
      </c>
      <c r="I2264" s="10" t="n">
        <f aca="false">0</f>
        <v>0</v>
      </c>
      <c r="J2264" s="10" t="n">
        <f aca="false">MAX(0,E2264-E2263)*Staffing!$O$43</f>
        <v>0</v>
      </c>
      <c r="K2264" s="10" t="n">
        <f aca="false">MAX(0,E2264-E2263)*Staffing!$P$43</f>
        <v>0</v>
      </c>
      <c r="L2264" s="23" t="n">
        <f aca="false">ROUNDUP(E2264,0)</f>
        <v>0</v>
      </c>
    </row>
    <row r="2265" customFormat="false" ht="15" hidden="false" customHeight="false" outlineLevel="0" collapsed="false">
      <c r="A2265" s="6" t="s">
        <v>73</v>
      </c>
      <c r="B2265" s="6" t="s">
        <v>351</v>
      </c>
      <c r="C2265" s="6" t="n">
        <v>40</v>
      </c>
      <c r="D2265" s="25" t="n">
        <f aca="false">EDATE('Start Here'!$B$6,C2265-1)</f>
        <v>47515</v>
      </c>
      <c r="E2265" s="23" t="n">
        <f aca="false">IF(AND(C2265&gt;=Assumptions!$E$25,C2265&lt;=Staffing!$G$43,'Start Here'!$B$8=1),IF(C2265&lt;=6,Staffing!$H$43,IF(C2265&lt;=15,Staffing!$I$43,IF(C2265&lt;=30,Staffing!$J$43,Staffing!$K$43))),0)</f>
        <v>0</v>
      </c>
      <c r="F2265" s="10" t="n">
        <f aca="false">E2265*Staffing!$L$43/12*(1+Assumptions!$E$10)^INT((C2265-1)/12)*1</f>
        <v>0</v>
      </c>
      <c r="G2265" s="10" t="n">
        <f aca="false">F2265*Staffing!$N$43</f>
        <v>0</v>
      </c>
      <c r="H2265" s="10" t="n">
        <f aca="false">F2265+G2265</f>
        <v>0</v>
      </c>
      <c r="I2265" s="10" t="n">
        <f aca="false">0</f>
        <v>0</v>
      </c>
      <c r="J2265" s="10" t="n">
        <f aca="false">MAX(0,E2265-E2264)*Staffing!$O$43</f>
        <v>0</v>
      </c>
      <c r="K2265" s="10" t="n">
        <f aca="false">MAX(0,E2265-E2264)*Staffing!$P$43</f>
        <v>0</v>
      </c>
      <c r="L2265" s="23" t="n">
        <f aca="false">ROUNDUP(E2265,0)</f>
        <v>0</v>
      </c>
    </row>
    <row r="2266" customFormat="false" ht="15" hidden="false" customHeight="false" outlineLevel="0" collapsed="false">
      <c r="A2266" s="6" t="s">
        <v>73</v>
      </c>
      <c r="B2266" s="6" t="s">
        <v>351</v>
      </c>
      <c r="C2266" s="6" t="n">
        <v>41</v>
      </c>
      <c r="D2266" s="25" t="n">
        <f aca="false">EDATE('Start Here'!$B$6,C2266-1)</f>
        <v>47543</v>
      </c>
      <c r="E2266" s="23" t="n">
        <f aca="false">IF(AND(C2266&gt;=Assumptions!$E$25,C2266&lt;=Staffing!$G$43,'Start Here'!$B$8=1),IF(C2266&lt;=6,Staffing!$H$43,IF(C2266&lt;=15,Staffing!$I$43,IF(C2266&lt;=30,Staffing!$J$43,Staffing!$K$43))),0)</f>
        <v>0</v>
      </c>
      <c r="F2266" s="10" t="n">
        <f aca="false">E2266*Staffing!$L$43/12*(1+Assumptions!$E$10)^INT((C2266-1)/12)*1</f>
        <v>0</v>
      </c>
      <c r="G2266" s="10" t="n">
        <f aca="false">F2266*Staffing!$N$43</f>
        <v>0</v>
      </c>
      <c r="H2266" s="10" t="n">
        <f aca="false">F2266+G2266</f>
        <v>0</v>
      </c>
      <c r="I2266" s="10" t="n">
        <f aca="false">0</f>
        <v>0</v>
      </c>
      <c r="J2266" s="10" t="n">
        <f aca="false">MAX(0,E2266-E2265)*Staffing!$O$43</f>
        <v>0</v>
      </c>
      <c r="K2266" s="10" t="n">
        <f aca="false">MAX(0,E2266-E2265)*Staffing!$P$43</f>
        <v>0</v>
      </c>
      <c r="L2266" s="23" t="n">
        <f aca="false">ROUNDUP(E2266,0)</f>
        <v>0</v>
      </c>
    </row>
    <row r="2267" customFormat="false" ht="15" hidden="false" customHeight="false" outlineLevel="0" collapsed="false">
      <c r="A2267" s="6" t="s">
        <v>73</v>
      </c>
      <c r="B2267" s="6" t="s">
        <v>351</v>
      </c>
      <c r="C2267" s="6" t="n">
        <v>42</v>
      </c>
      <c r="D2267" s="25" t="n">
        <f aca="false">EDATE('Start Here'!$B$6,C2267-1)</f>
        <v>47574</v>
      </c>
      <c r="E2267" s="23" t="n">
        <f aca="false">IF(AND(C2267&gt;=Assumptions!$E$25,C2267&lt;=Staffing!$G$43,'Start Here'!$B$8=1),IF(C2267&lt;=6,Staffing!$H$43,IF(C2267&lt;=15,Staffing!$I$43,IF(C2267&lt;=30,Staffing!$J$43,Staffing!$K$43))),0)</f>
        <v>0</v>
      </c>
      <c r="F2267" s="10" t="n">
        <f aca="false">E2267*Staffing!$L$43/12*(1+Assumptions!$E$10)^INT((C2267-1)/12)*1</f>
        <v>0</v>
      </c>
      <c r="G2267" s="10" t="n">
        <f aca="false">F2267*Staffing!$N$43</f>
        <v>0</v>
      </c>
      <c r="H2267" s="10" t="n">
        <f aca="false">F2267+G2267</f>
        <v>0</v>
      </c>
      <c r="I2267" s="10" t="n">
        <f aca="false">0</f>
        <v>0</v>
      </c>
      <c r="J2267" s="10" t="n">
        <f aca="false">MAX(0,E2267-E2266)*Staffing!$O$43</f>
        <v>0</v>
      </c>
      <c r="K2267" s="10" t="n">
        <f aca="false">MAX(0,E2267-E2266)*Staffing!$P$43</f>
        <v>0</v>
      </c>
      <c r="L2267" s="23" t="n">
        <f aca="false">ROUNDUP(E2267,0)</f>
        <v>0</v>
      </c>
    </row>
    <row r="2268" customFormat="false" ht="15" hidden="false" customHeight="false" outlineLevel="0" collapsed="false">
      <c r="A2268" s="6" t="s">
        <v>73</v>
      </c>
      <c r="B2268" s="6" t="s">
        <v>351</v>
      </c>
      <c r="C2268" s="6" t="n">
        <v>43</v>
      </c>
      <c r="D2268" s="25" t="n">
        <f aca="false">EDATE('Start Here'!$B$6,C2268-1)</f>
        <v>47604</v>
      </c>
      <c r="E2268" s="23" t="n">
        <f aca="false">IF(AND(C2268&gt;=Assumptions!$E$25,C2268&lt;=Staffing!$G$43,'Start Here'!$B$8=1),IF(C2268&lt;=6,Staffing!$H$43,IF(C2268&lt;=15,Staffing!$I$43,IF(C2268&lt;=30,Staffing!$J$43,Staffing!$K$43))),0)</f>
        <v>0</v>
      </c>
      <c r="F2268" s="10" t="n">
        <f aca="false">E2268*Staffing!$L$43/12*(1+Assumptions!$E$10)^INT((C2268-1)/12)*1</f>
        <v>0</v>
      </c>
      <c r="G2268" s="10" t="n">
        <f aca="false">F2268*Staffing!$N$43</f>
        <v>0</v>
      </c>
      <c r="H2268" s="10" t="n">
        <f aca="false">F2268+G2268</f>
        <v>0</v>
      </c>
      <c r="I2268" s="10" t="n">
        <f aca="false">0</f>
        <v>0</v>
      </c>
      <c r="J2268" s="10" t="n">
        <f aca="false">MAX(0,E2268-E2267)*Staffing!$O$43</f>
        <v>0</v>
      </c>
      <c r="K2268" s="10" t="n">
        <f aca="false">MAX(0,E2268-E2267)*Staffing!$P$43</f>
        <v>0</v>
      </c>
      <c r="L2268" s="23" t="n">
        <f aca="false">ROUNDUP(E2268,0)</f>
        <v>0</v>
      </c>
    </row>
    <row r="2269" customFormat="false" ht="15" hidden="false" customHeight="false" outlineLevel="0" collapsed="false">
      <c r="A2269" s="6" t="s">
        <v>73</v>
      </c>
      <c r="B2269" s="6" t="s">
        <v>351</v>
      </c>
      <c r="C2269" s="6" t="n">
        <v>44</v>
      </c>
      <c r="D2269" s="25" t="n">
        <f aca="false">EDATE('Start Here'!$B$6,C2269-1)</f>
        <v>47635</v>
      </c>
      <c r="E2269" s="23" t="n">
        <f aca="false">IF(AND(C2269&gt;=Assumptions!$E$25,C2269&lt;=Staffing!$G$43,'Start Here'!$B$8=1),IF(C2269&lt;=6,Staffing!$H$43,IF(C2269&lt;=15,Staffing!$I$43,IF(C2269&lt;=30,Staffing!$J$43,Staffing!$K$43))),0)</f>
        <v>0</v>
      </c>
      <c r="F2269" s="10" t="n">
        <f aca="false">E2269*Staffing!$L$43/12*(1+Assumptions!$E$10)^INT((C2269-1)/12)*1</f>
        <v>0</v>
      </c>
      <c r="G2269" s="10" t="n">
        <f aca="false">F2269*Staffing!$N$43</f>
        <v>0</v>
      </c>
      <c r="H2269" s="10" t="n">
        <f aca="false">F2269+G2269</f>
        <v>0</v>
      </c>
      <c r="I2269" s="10" t="n">
        <f aca="false">0</f>
        <v>0</v>
      </c>
      <c r="J2269" s="10" t="n">
        <f aca="false">MAX(0,E2269-E2268)*Staffing!$O$43</f>
        <v>0</v>
      </c>
      <c r="K2269" s="10" t="n">
        <f aca="false">MAX(0,E2269-E2268)*Staffing!$P$43</f>
        <v>0</v>
      </c>
      <c r="L2269" s="23" t="n">
        <f aca="false">ROUNDUP(E2269,0)</f>
        <v>0</v>
      </c>
    </row>
    <row r="2270" customFormat="false" ht="15" hidden="false" customHeight="false" outlineLevel="0" collapsed="false">
      <c r="A2270" s="6" t="s">
        <v>73</v>
      </c>
      <c r="B2270" s="6" t="s">
        <v>351</v>
      </c>
      <c r="C2270" s="6" t="n">
        <v>45</v>
      </c>
      <c r="D2270" s="25" t="n">
        <f aca="false">EDATE('Start Here'!$B$6,C2270-1)</f>
        <v>47665</v>
      </c>
      <c r="E2270" s="23" t="n">
        <f aca="false">IF(AND(C2270&gt;=Assumptions!$E$25,C2270&lt;=Staffing!$G$43,'Start Here'!$B$8=1),IF(C2270&lt;=6,Staffing!$H$43,IF(C2270&lt;=15,Staffing!$I$43,IF(C2270&lt;=30,Staffing!$J$43,Staffing!$K$43))),0)</f>
        <v>0</v>
      </c>
      <c r="F2270" s="10" t="n">
        <f aca="false">E2270*Staffing!$L$43/12*(1+Assumptions!$E$10)^INT((C2270-1)/12)*1</f>
        <v>0</v>
      </c>
      <c r="G2270" s="10" t="n">
        <f aca="false">F2270*Staffing!$N$43</f>
        <v>0</v>
      </c>
      <c r="H2270" s="10" t="n">
        <f aca="false">F2270+G2270</f>
        <v>0</v>
      </c>
      <c r="I2270" s="10" t="n">
        <f aca="false">0</f>
        <v>0</v>
      </c>
      <c r="J2270" s="10" t="n">
        <f aca="false">MAX(0,E2270-E2269)*Staffing!$O$43</f>
        <v>0</v>
      </c>
      <c r="K2270" s="10" t="n">
        <f aca="false">MAX(0,E2270-E2269)*Staffing!$P$43</f>
        <v>0</v>
      </c>
      <c r="L2270" s="23" t="n">
        <f aca="false">ROUNDUP(E2270,0)</f>
        <v>0</v>
      </c>
    </row>
    <row r="2271" customFormat="false" ht="15" hidden="false" customHeight="false" outlineLevel="0" collapsed="false">
      <c r="A2271" s="6" t="s">
        <v>73</v>
      </c>
      <c r="B2271" s="6" t="s">
        <v>351</v>
      </c>
      <c r="C2271" s="6" t="n">
        <v>46</v>
      </c>
      <c r="D2271" s="25" t="n">
        <f aca="false">EDATE('Start Here'!$B$6,C2271-1)</f>
        <v>47696</v>
      </c>
      <c r="E2271" s="23" t="n">
        <f aca="false">IF(AND(C2271&gt;=Assumptions!$E$25,C2271&lt;=Staffing!$G$43,'Start Here'!$B$8=1),IF(C2271&lt;=6,Staffing!$H$43,IF(C2271&lt;=15,Staffing!$I$43,IF(C2271&lt;=30,Staffing!$J$43,Staffing!$K$43))),0)</f>
        <v>0</v>
      </c>
      <c r="F2271" s="10" t="n">
        <f aca="false">E2271*Staffing!$L$43/12*(1+Assumptions!$E$10)^INT((C2271-1)/12)*1</f>
        <v>0</v>
      </c>
      <c r="G2271" s="10" t="n">
        <f aca="false">F2271*Staffing!$N$43</f>
        <v>0</v>
      </c>
      <c r="H2271" s="10" t="n">
        <f aca="false">F2271+G2271</f>
        <v>0</v>
      </c>
      <c r="I2271" s="10" t="n">
        <f aca="false">0</f>
        <v>0</v>
      </c>
      <c r="J2271" s="10" t="n">
        <f aca="false">MAX(0,E2271-E2270)*Staffing!$O$43</f>
        <v>0</v>
      </c>
      <c r="K2271" s="10" t="n">
        <f aca="false">MAX(0,E2271-E2270)*Staffing!$P$43</f>
        <v>0</v>
      </c>
      <c r="L2271" s="23" t="n">
        <f aca="false">ROUNDUP(E2271,0)</f>
        <v>0</v>
      </c>
    </row>
    <row r="2272" customFormat="false" ht="15" hidden="false" customHeight="false" outlineLevel="0" collapsed="false">
      <c r="A2272" s="6" t="s">
        <v>73</v>
      </c>
      <c r="B2272" s="6" t="s">
        <v>351</v>
      </c>
      <c r="C2272" s="6" t="n">
        <v>47</v>
      </c>
      <c r="D2272" s="25" t="n">
        <f aca="false">EDATE('Start Here'!$B$6,C2272-1)</f>
        <v>47727</v>
      </c>
      <c r="E2272" s="23" t="n">
        <f aca="false">IF(AND(C2272&gt;=Assumptions!$E$25,C2272&lt;=Staffing!$G$43,'Start Here'!$B$8=1),IF(C2272&lt;=6,Staffing!$H$43,IF(C2272&lt;=15,Staffing!$I$43,IF(C2272&lt;=30,Staffing!$J$43,Staffing!$K$43))),0)</f>
        <v>0</v>
      </c>
      <c r="F2272" s="10" t="n">
        <f aca="false">E2272*Staffing!$L$43/12*(1+Assumptions!$E$10)^INT((C2272-1)/12)*1</f>
        <v>0</v>
      </c>
      <c r="G2272" s="10" t="n">
        <f aca="false">F2272*Staffing!$N$43</f>
        <v>0</v>
      </c>
      <c r="H2272" s="10" t="n">
        <f aca="false">F2272+G2272</f>
        <v>0</v>
      </c>
      <c r="I2272" s="10" t="n">
        <f aca="false">0</f>
        <v>0</v>
      </c>
      <c r="J2272" s="10" t="n">
        <f aca="false">MAX(0,E2272-E2271)*Staffing!$O$43</f>
        <v>0</v>
      </c>
      <c r="K2272" s="10" t="n">
        <f aca="false">MAX(0,E2272-E2271)*Staffing!$P$43</f>
        <v>0</v>
      </c>
      <c r="L2272" s="23" t="n">
        <f aca="false">ROUNDUP(E2272,0)</f>
        <v>0</v>
      </c>
    </row>
    <row r="2273" customFormat="false" ht="15" hidden="false" customHeight="false" outlineLevel="0" collapsed="false">
      <c r="A2273" s="6" t="s">
        <v>73</v>
      </c>
      <c r="B2273" s="6" t="s">
        <v>351</v>
      </c>
      <c r="C2273" s="6" t="n">
        <v>48</v>
      </c>
      <c r="D2273" s="25" t="n">
        <f aca="false">EDATE('Start Here'!$B$6,C2273-1)</f>
        <v>47757</v>
      </c>
      <c r="E2273" s="23" t="n">
        <f aca="false">IF(AND(C2273&gt;=Assumptions!$E$25,C2273&lt;=Staffing!$G$43,'Start Here'!$B$8=1),IF(C2273&lt;=6,Staffing!$H$43,IF(C2273&lt;=15,Staffing!$I$43,IF(C2273&lt;=30,Staffing!$J$43,Staffing!$K$43))),0)</f>
        <v>0</v>
      </c>
      <c r="F2273" s="10" t="n">
        <f aca="false">E2273*Staffing!$L$43/12*(1+Assumptions!$E$10)^INT((C2273-1)/12)*1</f>
        <v>0</v>
      </c>
      <c r="G2273" s="10" t="n">
        <f aca="false">F2273*Staffing!$N$43</f>
        <v>0</v>
      </c>
      <c r="H2273" s="10" t="n">
        <f aca="false">F2273+G2273</f>
        <v>0</v>
      </c>
      <c r="I2273" s="10" t="n">
        <f aca="false">0</f>
        <v>0</v>
      </c>
      <c r="J2273" s="10" t="n">
        <f aca="false">MAX(0,E2273-E2272)*Staffing!$O$43</f>
        <v>0</v>
      </c>
      <c r="K2273" s="10" t="n">
        <f aca="false">MAX(0,E2273-E2272)*Staffing!$P$43</f>
        <v>0</v>
      </c>
      <c r="L2273" s="23" t="n">
        <f aca="false">ROUNDUP(E2273,0)</f>
        <v>0</v>
      </c>
    </row>
    <row r="2274" customFormat="false" ht="15" hidden="false" customHeight="false" outlineLevel="0" collapsed="false">
      <c r="A2274" s="6" t="s">
        <v>73</v>
      </c>
      <c r="B2274" s="6" t="s">
        <v>351</v>
      </c>
      <c r="C2274" s="6" t="n">
        <v>49</v>
      </c>
      <c r="D2274" s="25" t="n">
        <f aca="false">EDATE('Start Here'!$B$6,C2274-1)</f>
        <v>47788</v>
      </c>
      <c r="E2274" s="23" t="n">
        <f aca="false">IF(AND(C2274&gt;=Assumptions!$E$25,C2274&lt;=Staffing!$G$43,'Start Here'!$B$8=1),IF(C2274&lt;=6,Staffing!$H$43,IF(C2274&lt;=15,Staffing!$I$43,IF(C2274&lt;=30,Staffing!$J$43,Staffing!$K$43))),0)</f>
        <v>0</v>
      </c>
      <c r="F2274" s="10" t="n">
        <f aca="false">E2274*Staffing!$L$43/12*(1+Assumptions!$E$10)^INT((C2274-1)/12)*1</f>
        <v>0</v>
      </c>
      <c r="G2274" s="10" t="n">
        <f aca="false">F2274*Staffing!$N$43</f>
        <v>0</v>
      </c>
      <c r="H2274" s="10" t="n">
        <f aca="false">F2274+G2274</f>
        <v>0</v>
      </c>
      <c r="I2274" s="10" t="n">
        <f aca="false">0</f>
        <v>0</v>
      </c>
      <c r="J2274" s="10" t="n">
        <f aca="false">MAX(0,E2274-E2273)*Staffing!$O$43</f>
        <v>0</v>
      </c>
      <c r="K2274" s="10" t="n">
        <f aca="false">MAX(0,E2274-E2273)*Staffing!$P$43</f>
        <v>0</v>
      </c>
      <c r="L2274" s="23" t="n">
        <f aca="false">ROUNDUP(E2274,0)</f>
        <v>0</v>
      </c>
    </row>
    <row r="2275" customFormat="false" ht="15" hidden="false" customHeight="false" outlineLevel="0" collapsed="false">
      <c r="A2275" s="6" t="s">
        <v>73</v>
      </c>
      <c r="B2275" s="6" t="s">
        <v>351</v>
      </c>
      <c r="C2275" s="6" t="n">
        <v>50</v>
      </c>
      <c r="D2275" s="25" t="n">
        <f aca="false">EDATE('Start Here'!$B$6,C2275-1)</f>
        <v>47818</v>
      </c>
      <c r="E2275" s="23" t="n">
        <f aca="false">IF(AND(C2275&gt;=Assumptions!$E$25,C2275&lt;=Staffing!$G$43,'Start Here'!$B$8=1),IF(C2275&lt;=6,Staffing!$H$43,IF(C2275&lt;=15,Staffing!$I$43,IF(C2275&lt;=30,Staffing!$J$43,Staffing!$K$43))),0)</f>
        <v>0</v>
      </c>
      <c r="F2275" s="10" t="n">
        <f aca="false">E2275*Staffing!$L$43/12*(1+Assumptions!$E$10)^INT((C2275-1)/12)*1</f>
        <v>0</v>
      </c>
      <c r="G2275" s="10" t="n">
        <f aca="false">F2275*Staffing!$N$43</f>
        <v>0</v>
      </c>
      <c r="H2275" s="10" t="n">
        <f aca="false">F2275+G2275</f>
        <v>0</v>
      </c>
      <c r="I2275" s="10" t="n">
        <f aca="false">0</f>
        <v>0</v>
      </c>
      <c r="J2275" s="10" t="n">
        <f aca="false">MAX(0,E2275-E2274)*Staffing!$O$43</f>
        <v>0</v>
      </c>
      <c r="K2275" s="10" t="n">
        <f aca="false">MAX(0,E2275-E2274)*Staffing!$P$43</f>
        <v>0</v>
      </c>
      <c r="L2275" s="23" t="n">
        <f aca="false">ROUNDUP(E2275,0)</f>
        <v>0</v>
      </c>
    </row>
    <row r="2276" customFormat="false" ht="15" hidden="false" customHeight="false" outlineLevel="0" collapsed="false">
      <c r="A2276" s="6" t="s">
        <v>73</v>
      </c>
      <c r="B2276" s="6" t="s">
        <v>351</v>
      </c>
      <c r="C2276" s="6" t="n">
        <v>51</v>
      </c>
      <c r="D2276" s="25" t="n">
        <f aca="false">EDATE('Start Here'!$B$6,C2276-1)</f>
        <v>47849</v>
      </c>
      <c r="E2276" s="23" t="n">
        <f aca="false">IF(AND(C2276&gt;=Assumptions!$E$25,C2276&lt;=Staffing!$G$43,'Start Here'!$B$8=1),IF(C2276&lt;=6,Staffing!$H$43,IF(C2276&lt;=15,Staffing!$I$43,IF(C2276&lt;=30,Staffing!$J$43,Staffing!$K$43))),0)</f>
        <v>0</v>
      </c>
      <c r="F2276" s="10" t="n">
        <f aca="false">E2276*Staffing!$L$43/12*(1+Assumptions!$E$10)^INT((C2276-1)/12)*1</f>
        <v>0</v>
      </c>
      <c r="G2276" s="10" t="n">
        <f aca="false">F2276*Staffing!$N$43</f>
        <v>0</v>
      </c>
      <c r="H2276" s="10" t="n">
        <f aca="false">F2276+G2276</f>
        <v>0</v>
      </c>
      <c r="I2276" s="10" t="n">
        <f aca="false">0</f>
        <v>0</v>
      </c>
      <c r="J2276" s="10" t="n">
        <f aca="false">MAX(0,E2276-E2275)*Staffing!$O$43</f>
        <v>0</v>
      </c>
      <c r="K2276" s="10" t="n">
        <f aca="false">MAX(0,E2276-E2275)*Staffing!$P$43</f>
        <v>0</v>
      </c>
      <c r="L2276" s="23" t="n">
        <f aca="false">ROUNDUP(E2276,0)</f>
        <v>0</v>
      </c>
    </row>
    <row r="2277" customFormat="false" ht="15" hidden="false" customHeight="false" outlineLevel="0" collapsed="false">
      <c r="A2277" s="6" t="s">
        <v>73</v>
      </c>
      <c r="B2277" s="6" t="s">
        <v>351</v>
      </c>
      <c r="C2277" s="6" t="n">
        <v>52</v>
      </c>
      <c r="D2277" s="25" t="n">
        <f aca="false">EDATE('Start Here'!$B$6,C2277-1)</f>
        <v>47880</v>
      </c>
      <c r="E2277" s="23" t="n">
        <f aca="false">IF(AND(C2277&gt;=Assumptions!$E$25,C2277&lt;=Staffing!$G$43,'Start Here'!$B$8=1),IF(C2277&lt;=6,Staffing!$H$43,IF(C2277&lt;=15,Staffing!$I$43,IF(C2277&lt;=30,Staffing!$J$43,Staffing!$K$43))),0)</f>
        <v>0</v>
      </c>
      <c r="F2277" s="10" t="n">
        <f aca="false">E2277*Staffing!$L$43/12*(1+Assumptions!$E$10)^INT((C2277-1)/12)*1</f>
        <v>0</v>
      </c>
      <c r="G2277" s="10" t="n">
        <f aca="false">F2277*Staffing!$N$43</f>
        <v>0</v>
      </c>
      <c r="H2277" s="10" t="n">
        <f aca="false">F2277+G2277</f>
        <v>0</v>
      </c>
      <c r="I2277" s="10" t="n">
        <f aca="false">0</f>
        <v>0</v>
      </c>
      <c r="J2277" s="10" t="n">
        <f aca="false">MAX(0,E2277-E2276)*Staffing!$O$43</f>
        <v>0</v>
      </c>
      <c r="K2277" s="10" t="n">
        <f aca="false">MAX(0,E2277-E2276)*Staffing!$P$43</f>
        <v>0</v>
      </c>
      <c r="L2277" s="23" t="n">
        <f aca="false">ROUNDUP(E2277,0)</f>
        <v>0</v>
      </c>
    </row>
    <row r="2278" customFormat="false" ht="15" hidden="false" customHeight="false" outlineLevel="0" collapsed="false">
      <c r="A2278" s="6" t="s">
        <v>73</v>
      </c>
      <c r="B2278" s="6" t="s">
        <v>351</v>
      </c>
      <c r="C2278" s="6" t="n">
        <v>53</v>
      </c>
      <c r="D2278" s="25" t="n">
        <f aca="false">EDATE('Start Here'!$B$6,C2278-1)</f>
        <v>47908</v>
      </c>
      <c r="E2278" s="23" t="n">
        <f aca="false">IF(AND(C2278&gt;=Assumptions!$E$25,C2278&lt;=Staffing!$G$43,'Start Here'!$B$8=1),IF(C2278&lt;=6,Staffing!$H$43,IF(C2278&lt;=15,Staffing!$I$43,IF(C2278&lt;=30,Staffing!$J$43,Staffing!$K$43))),0)</f>
        <v>0</v>
      </c>
      <c r="F2278" s="10" t="n">
        <f aca="false">E2278*Staffing!$L$43/12*(1+Assumptions!$E$10)^INT((C2278-1)/12)*1</f>
        <v>0</v>
      </c>
      <c r="G2278" s="10" t="n">
        <f aca="false">F2278*Staffing!$N$43</f>
        <v>0</v>
      </c>
      <c r="H2278" s="10" t="n">
        <f aca="false">F2278+G2278</f>
        <v>0</v>
      </c>
      <c r="I2278" s="10" t="n">
        <f aca="false">0</f>
        <v>0</v>
      </c>
      <c r="J2278" s="10" t="n">
        <f aca="false">MAX(0,E2278-E2277)*Staffing!$O$43</f>
        <v>0</v>
      </c>
      <c r="K2278" s="10" t="n">
        <f aca="false">MAX(0,E2278-E2277)*Staffing!$P$43</f>
        <v>0</v>
      </c>
      <c r="L2278" s="23" t="n">
        <f aca="false">ROUNDUP(E2278,0)</f>
        <v>0</v>
      </c>
    </row>
    <row r="2279" customFormat="false" ht="15" hidden="false" customHeight="false" outlineLevel="0" collapsed="false">
      <c r="A2279" s="6" t="s">
        <v>73</v>
      </c>
      <c r="B2279" s="6" t="s">
        <v>351</v>
      </c>
      <c r="C2279" s="6" t="n">
        <v>54</v>
      </c>
      <c r="D2279" s="25" t="n">
        <f aca="false">EDATE('Start Here'!$B$6,C2279-1)</f>
        <v>47939</v>
      </c>
      <c r="E2279" s="23" t="n">
        <f aca="false">IF(AND(C2279&gt;=Assumptions!$E$25,C2279&lt;=Staffing!$G$43,'Start Here'!$B$8=1),IF(C2279&lt;=6,Staffing!$H$43,IF(C2279&lt;=15,Staffing!$I$43,IF(C2279&lt;=30,Staffing!$J$43,Staffing!$K$43))),0)</f>
        <v>0</v>
      </c>
      <c r="F2279" s="10" t="n">
        <f aca="false">E2279*Staffing!$L$43/12*(1+Assumptions!$E$10)^INT((C2279-1)/12)*1</f>
        <v>0</v>
      </c>
      <c r="G2279" s="10" t="n">
        <f aca="false">F2279*Staffing!$N$43</f>
        <v>0</v>
      </c>
      <c r="H2279" s="10" t="n">
        <f aca="false">F2279+G2279</f>
        <v>0</v>
      </c>
      <c r="I2279" s="10" t="n">
        <f aca="false">0</f>
        <v>0</v>
      </c>
      <c r="J2279" s="10" t="n">
        <f aca="false">MAX(0,E2279-E2278)*Staffing!$O$43</f>
        <v>0</v>
      </c>
      <c r="K2279" s="10" t="n">
        <f aca="false">MAX(0,E2279-E2278)*Staffing!$P$43</f>
        <v>0</v>
      </c>
      <c r="L2279" s="23" t="n">
        <f aca="false">ROUNDUP(E2279,0)</f>
        <v>0</v>
      </c>
    </row>
    <row r="2280" customFormat="false" ht="15" hidden="false" customHeight="false" outlineLevel="0" collapsed="false">
      <c r="A2280" s="6" t="s">
        <v>73</v>
      </c>
      <c r="B2280" s="6" t="s">
        <v>351</v>
      </c>
      <c r="C2280" s="6" t="n">
        <v>55</v>
      </c>
      <c r="D2280" s="25" t="n">
        <f aca="false">EDATE('Start Here'!$B$6,C2280-1)</f>
        <v>47969</v>
      </c>
      <c r="E2280" s="23" t="n">
        <f aca="false">IF(AND(C2280&gt;=Assumptions!$E$25,C2280&lt;=Staffing!$G$43,'Start Here'!$B$8=1),IF(C2280&lt;=6,Staffing!$H$43,IF(C2280&lt;=15,Staffing!$I$43,IF(C2280&lt;=30,Staffing!$J$43,Staffing!$K$43))),0)</f>
        <v>0</v>
      </c>
      <c r="F2280" s="10" t="n">
        <f aca="false">E2280*Staffing!$L$43/12*(1+Assumptions!$E$10)^INT((C2280-1)/12)*1</f>
        <v>0</v>
      </c>
      <c r="G2280" s="10" t="n">
        <f aca="false">F2280*Staffing!$N$43</f>
        <v>0</v>
      </c>
      <c r="H2280" s="10" t="n">
        <f aca="false">F2280+G2280</f>
        <v>0</v>
      </c>
      <c r="I2280" s="10" t="n">
        <f aca="false">0</f>
        <v>0</v>
      </c>
      <c r="J2280" s="10" t="n">
        <f aca="false">MAX(0,E2280-E2279)*Staffing!$O$43</f>
        <v>0</v>
      </c>
      <c r="K2280" s="10" t="n">
        <f aca="false">MAX(0,E2280-E2279)*Staffing!$P$43</f>
        <v>0</v>
      </c>
      <c r="L2280" s="23" t="n">
        <f aca="false">ROUNDUP(E2280,0)</f>
        <v>0</v>
      </c>
    </row>
    <row r="2281" customFormat="false" ht="15" hidden="false" customHeight="false" outlineLevel="0" collapsed="false">
      <c r="A2281" s="6" t="s">
        <v>73</v>
      </c>
      <c r="B2281" s="6" t="s">
        <v>351</v>
      </c>
      <c r="C2281" s="6" t="n">
        <v>56</v>
      </c>
      <c r="D2281" s="25" t="n">
        <f aca="false">EDATE('Start Here'!$B$6,C2281-1)</f>
        <v>48000</v>
      </c>
      <c r="E2281" s="23" t="n">
        <f aca="false">IF(AND(C2281&gt;=Assumptions!$E$25,C2281&lt;=Staffing!$G$43,'Start Here'!$B$8=1),IF(C2281&lt;=6,Staffing!$H$43,IF(C2281&lt;=15,Staffing!$I$43,IF(C2281&lt;=30,Staffing!$J$43,Staffing!$K$43))),0)</f>
        <v>0</v>
      </c>
      <c r="F2281" s="10" t="n">
        <f aca="false">E2281*Staffing!$L$43/12*(1+Assumptions!$E$10)^INT((C2281-1)/12)*1</f>
        <v>0</v>
      </c>
      <c r="G2281" s="10" t="n">
        <f aca="false">F2281*Staffing!$N$43</f>
        <v>0</v>
      </c>
      <c r="H2281" s="10" t="n">
        <f aca="false">F2281+G2281</f>
        <v>0</v>
      </c>
      <c r="I2281" s="10" t="n">
        <f aca="false">0</f>
        <v>0</v>
      </c>
      <c r="J2281" s="10" t="n">
        <f aca="false">MAX(0,E2281-E2280)*Staffing!$O$43</f>
        <v>0</v>
      </c>
      <c r="K2281" s="10" t="n">
        <f aca="false">MAX(0,E2281-E2280)*Staffing!$P$43</f>
        <v>0</v>
      </c>
      <c r="L2281" s="23" t="n">
        <f aca="false">ROUNDUP(E2281,0)</f>
        <v>0</v>
      </c>
    </row>
    <row r="2282" customFormat="false" ht="15" hidden="false" customHeight="false" outlineLevel="0" collapsed="false">
      <c r="A2282" s="6" t="s">
        <v>73</v>
      </c>
      <c r="B2282" s="6" t="s">
        <v>351</v>
      </c>
      <c r="C2282" s="6" t="n">
        <v>57</v>
      </c>
      <c r="D2282" s="25" t="n">
        <f aca="false">EDATE('Start Here'!$B$6,C2282-1)</f>
        <v>48030</v>
      </c>
      <c r="E2282" s="23" t="n">
        <f aca="false">IF(AND(C2282&gt;=Assumptions!$E$25,C2282&lt;=Staffing!$G$43,'Start Here'!$B$8=1),IF(C2282&lt;=6,Staffing!$H$43,IF(C2282&lt;=15,Staffing!$I$43,IF(C2282&lt;=30,Staffing!$J$43,Staffing!$K$43))),0)</f>
        <v>0</v>
      </c>
      <c r="F2282" s="10" t="n">
        <f aca="false">E2282*Staffing!$L$43/12*(1+Assumptions!$E$10)^INT((C2282-1)/12)*1</f>
        <v>0</v>
      </c>
      <c r="G2282" s="10" t="n">
        <f aca="false">F2282*Staffing!$N$43</f>
        <v>0</v>
      </c>
      <c r="H2282" s="10" t="n">
        <f aca="false">F2282+G2282</f>
        <v>0</v>
      </c>
      <c r="I2282" s="10" t="n">
        <f aca="false">0</f>
        <v>0</v>
      </c>
      <c r="J2282" s="10" t="n">
        <f aca="false">MAX(0,E2282-E2281)*Staffing!$O$43</f>
        <v>0</v>
      </c>
      <c r="K2282" s="10" t="n">
        <f aca="false">MAX(0,E2282-E2281)*Staffing!$P$43</f>
        <v>0</v>
      </c>
      <c r="L2282" s="23" t="n">
        <f aca="false">ROUNDUP(E2282,0)</f>
        <v>0</v>
      </c>
    </row>
    <row r="2283" customFormat="false" ht="15" hidden="false" customHeight="false" outlineLevel="0" collapsed="false">
      <c r="A2283" s="6" t="s">
        <v>73</v>
      </c>
      <c r="B2283" s="6" t="s">
        <v>351</v>
      </c>
      <c r="C2283" s="6" t="n">
        <v>58</v>
      </c>
      <c r="D2283" s="25" t="n">
        <f aca="false">EDATE('Start Here'!$B$6,C2283-1)</f>
        <v>48061</v>
      </c>
      <c r="E2283" s="23" t="n">
        <f aca="false">IF(AND(C2283&gt;=Assumptions!$E$25,C2283&lt;=Staffing!$G$43,'Start Here'!$B$8=1),IF(C2283&lt;=6,Staffing!$H$43,IF(C2283&lt;=15,Staffing!$I$43,IF(C2283&lt;=30,Staffing!$J$43,Staffing!$K$43))),0)</f>
        <v>0</v>
      </c>
      <c r="F2283" s="10" t="n">
        <f aca="false">E2283*Staffing!$L$43/12*(1+Assumptions!$E$10)^INT((C2283-1)/12)*1</f>
        <v>0</v>
      </c>
      <c r="G2283" s="10" t="n">
        <f aca="false">F2283*Staffing!$N$43</f>
        <v>0</v>
      </c>
      <c r="H2283" s="10" t="n">
        <f aca="false">F2283+G2283</f>
        <v>0</v>
      </c>
      <c r="I2283" s="10" t="n">
        <f aca="false">0</f>
        <v>0</v>
      </c>
      <c r="J2283" s="10" t="n">
        <f aca="false">MAX(0,E2283-E2282)*Staffing!$O$43</f>
        <v>0</v>
      </c>
      <c r="K2283" s="10" t="n">
        <f aca="false">MAX(0,E2283-E2282)*Staffing!$P$43</f>
        <v>0</v>
      </c>
      <c r="L2283" s="23" t="n">
        <f aca="false">ROUNDUP(E2283,0)</f>
        <v>0</v>
      </c>
    </row>
    <row r="2284" customFormat="false" ht="15" hidden="false" customHeight="false" outlineLevel="0" collapsed="false">
      <c r="A2284" s="6" t="s">
        <v>73</v>
      </c>
      <c r="B2284" s="6" t="s">
        <v>351</v>
      </c>
      <c r="C2284" s="6" t="n">
        <v>59</v>
      </c>
      <c r="D2284" s="25" t="n">
        <f aca="false">EDATE('Start Here'!$B$6,C2284-1)</f>
        <v>48092</v>
      </c>
      <c r="E2284" s="23" t="n">
        <f aca="false">IF(AND(C2284&gt;=Assumptions!$E$25,C2284&lt;=Staffing!$G$43,'Start Here'!$B$8=1),IF(C2284&lt;=6,Staffing!$H$43,IF(C2284&lt;=15,Staffing!$I$43,IF(C2284&lt;=30,Staffing!$J$43,Staffing!$K$43))),0)</f>
        <v>0</v>
      </c>
      <c r="F2284" s="10" t="n">
        <f aca="false">E2284*Staffing!$L$43/12*(1+Assumptions!$E$10)^INT((C2284-1)/12)*1</f>
        <v>0</v>
      </c>
      <c r="G2284" s="10" t="n">
        <f aca="false">F2284*Staffing!$N$43</f>
        <v>0</v>
      </c>
      <c r="H2284" s="10" t="n">
        <f aca="false">F2284+G2284</f>
        <v>0</v>
      </c>
      <c r="I2284" s="10" t="n">
        <f aca="false">0</f>
        <v>0</v>
      </c>
      <c r="J2284" s="10" t="n">
        <f aca="false">MAX(0,E2284-E2283)*Staffing!$O$43</f>
        <v>0</v>
      </c>
      <c r="K2284" s="10" t="n">
        <f aca="false">MAX(0,E2284-E2283)*Staffing!$P$43</f>
        <v>0</v>
      </c>
      <c r="L2284" s="23" t="n">
        <f aca="false">ROUNDUP(E2284,0)</f>
        <v>0</v>
      </c>
    </row>
    <row r="2285" customFormat="false" ht="15" hidden="false" customHeight="false" outlineLevel="0" collapsed="false">
      <c r="A2285" s="6" t="s">
        <v>73</v>
      </c>
      <c r="B2285" s="6" t="s">
        <v>351</v>
      </c>
      <c r="C2285" s="6" t="n">
        <v>60</v>
      </c>
      <c r="D2285" s="25" t="n">
        <f aca="false">EDATE('Start Here'!$B$6,C2285-1)</f>
        <v>48122</v>
      </c>
      <c r="E2285" s="23" t="n">
        <f aca="false">IF(AND(C2285&gt;=Assumptions!$E$25,C2285&lt;=Staffing!$G$43,'Start Here'!$B$8=1),IF(C2285&lt;=6,Staffing!$H$43,IF(C2285&lt;=15,Staffing!$I$43,IF(C2285&lt;=30,Staffing!$J$43,Staffing!$K$43))),0)</f>
        <v>0</v>
      </c>
      <c r="F2285" s="10" t="n">
        <f aca="false">E2285*Staffing!$L$43/12*(1+Assumptions!$E$10)^INT((C2285-1)/12)*1</f>
        <v>0</v>
      </c>
      <c r="G2285" s="10" t="n">
        <f aca="false">F2285*Staffing!$N$43</f>
        <v>0</v>
      </c>
      <c r="H2285" s="10" t="n">
        <f aca="false">F2285+G2285</f>
        <v>0</v>
      </c>
      <c r="I2285" s="10" t="n">
        <f aca="false">0</f>
        <v>0</v>
      </c>
      <c r="J2285" s="10" t="n">
        <f aca="false">MAX(0,E2285-E2284)*Staffing!$O$43</f>
        <v>0</v>
      </c>
      <c r="K2285" s="10" t="n">
        <f aca="false">MAX(0,E2285-E2284)*Staffing!$P$43</f>
        <v>0</v>
      </c>
      <c r="L2285" s="23" t="n">
        <f aca="false">ROUNDUP(E2285,0)</f>
        <v>0</v>
      </c>
    </row>
    <row r="2286" customFormat="false" ht="15" hidden="false" customHeight="false" outlineLevel="0" collapsed="false">
      <c r="A2286" s="6" t="s">
        <v>73</v>
      </c>
      <c r="B2286" s="6" t="s">
        <v>353</v>
      </c>
      <c r="C2286" s="6" t="n">
        <v>1</v>
      </c>
      <c r="D2286" s="25" t="n">
        <f aca="false">EDATE('Start Here'!$B$6,C2286-1)</f>
        <v>46327</v>
      </c>
      <c r="E2286" s="23" t="n">
        <f aca="false">IF(AND(C2286&gt;=Assumptions!$E$25,C2286&lt;=Staffing!$G$44,'Start Here'!$B$8=1),IF(C2286&lt;=6,Staffing!$H$44,IF(C2286&lt;=15,Staffing!$I$44,IF(C2286&lt;=30,Staffing!$J$44,Staffing!$K$44))),0)</f>
        <v>0</v>
      </c>
      <c r="F2286" s="10" t="n">
        <f aca="false">E2286*Staffing!$L$44/12*(1+Assumptions!$E$10)^INT((C2286-1)/12)*1</f>
        <v>0</v>
      </c>
      <c r="G2286" s="10" t="n">
        <f aca="false">F2286*Staffing!$N$44</f>
        <v>0</v>
      </c>
      <c r="H2286" s="10" t="n">
        <f aca="false">F2286+G2286</f>
        <v>0</v>
      </c>
      <c r="I2286" s="10" t="n">
        <f aca="false">0</f>
        <v>0</v>
      </c>
      <c r="J2286" s="10" t="n">
        <f aca="false">MAX(0,E2286-0)*Staffing!$O$44</f>
        <v>0</v>
      </c>
      <c r="K2286" s="10" t="n">
        <f aca="false">MAX(0,E2286-0)*Staffing!$P$44</f>
        <v>0</v>
      </c>
      <c r="L2286" s="23" t="n">
        <f aca="false">ROUNDUP(E2286,0)</f>
        <v>0</v>
      </c>
    </row>
    <row r="2287" customFormat="false" ht="15" hidden="false" customHeight="false" outlineLevel="0" collapsed="false">
      <c r="A2287" s="6" t="s">
        <v>73</v>
      </c>
      <c r="B2287" s="6" t="s">
        <v>353</v>
      </c>
      <c r="C2287" s="6" t="n">
        <v>2</v>
      </c>
      <c r="D2287" s="25" t="n">
        <f aca="false">EDATE('Start Here'!$B$6,C2287-1)</f>
        <v>46357</v>
      </c>
      <c r="E2287" s="23" t="n">
        <f aca="false">IF(AND(C2287&gt;=Assumptions!$E$25,C2287&lt;=Staffing!$G$44,'Start Here'!$B$8=1),IF(C2287&lt;=6,Staffing!$H$44,IF(C2287&lt;=15,Staffing!$I$44,IF(C2287&lt;=30,Staffing!$J$44,Staffing!$K$44))),0)</f>
        <v>0</v>
      </c>
      <c r="F2287" s="10" t="n">
        <f aca="false">E2287*Staffing!$L$44/12*(1+Assumptions!$E$10)^INT((C2287-1)/12)*1</f>
        <v>0</v>
      </c>
      <c r="G2287" s="10" t="n">
        <f aca="false">F2287*Staffing!$N$44</f>
        <v>0</v>
      </c>
      <c r="H2287" s="10" t="n">
        <f aca="false">F2287+G2287</f>
        <v>0</v>
      </c>
      <c r="I2287" s="10" t="n">
        <f aca="false">0</f>
        <v>0</v>
      </c>
      <c r="J2287" s="10" t="n">
        <f aca="false">MAX(0,E2287-E2286)*Staffing!$O$44</f>
        <v>0</v>
      </c>
      <c r="K2287" s="10" t="n">
        <f aca="false">MAX(0,E2287-E2286)*Staffing!$P$44</f>
        <v>0</v>
      </c>
      <c r="L2287" s="23" t="n">
        <f aca="false">ROUNDUP(E2287,0)</f>
        <v>0</v>
      </c>
    </row>
    <row r="2288" customFormat="false" ht="15" hidden="false" customHeight="false" outlineLevel="0" collapsed="false">
      <c r="A2288" s="6" t="s">
        <v>73</v>
      </c>
      <c r="B2288" s="6" t="s">
        <v>353</v>
      </c>
      <c r="C2288" s="6" t="n">
        <v>3</v>
      </c>
      <c r="D2288" s="25" t="n">
        <f aca="false">EDATE('Start Here'!$B$6,C2288-1)</f>
        <v>46388</v>
      </c>
      <c r="E2288" s="23" t="n">
        <f aca="false">IF(AND(C2288&gt;=Assumptions!$E$25,C2288&lt;=Staffing!$G$44,'Start Here'!$B$8=1),IF(C2288&lt;=6,Staffing!$H$44,IF(C2288&lt;=15,Staffing!$I$44,IF(C2288&lt;=30,Staffing!$J$44,Staffing!$K$44))),0)</f>
        <v>0</v>
      </c>
      <c r="F2288" s="10" t="n">
        <f aca="false">E2288*Staffing!$L$44/12*(1+Assumptions!$E$10)^INT((C2288-1)/12)*1</f>
        <v>0</v>
      </c>
      <c r="G2288" s="10" t="n">
        <f aca="false">F2288*Staffing!$N$44</f>
        <v>0</v>
      </c>
      <c r="H2288" s="10" t="n">
        <f aca="false">F2288+G2288</f>
        <v>0</v>
      </c>
      <c r="I2288" s="10" t="n">
        <f aca="false">0</f>
        <v>0</v>
      </c>
      <c r="J2288" s="10" t="n">
        <f aca="false">MAX(0,E2288-E2287)*Staffing!$O$44</f>
        <v>0</v>
      </c>
      <c r="K2288" s="10" t="n">
        <f aca="false">MAX(0,E2288-E2287)*Staffing!$P$44</f>
        <v>0</v>
      </c>
      <c r="L2288" s="23" t="n">
        <f aca="false">ROUNDUP(E2288,0)</f>
        <v>0</v>
      </c>
    </row>
    <row r="2289" customFormat="false" ht="15" hidden="false" customHeight="false" outlineLevel="0" collapsed="false">
      <c r="A2289" s="6" t="s">
        <v>73</v>
      </c>
      <c r="B2289" s="6" t="s">
        <v>353</v>
      </c>
      <c r="C2289" s="6" t="n">
        <v>4</v>
      </c>
      <c r="D2289" s="25" t="n">
        <f aca="false">EDATE('Start Here'!$B$6,C2289-1)</f>
        <v>46419</v>
      </c>
      <c r="E2289" s="23" t="n">
        <f aca="false">IF(AND(C2289&gt;=Assumptions!$E$25,C2289&lt;=Staffing!$G$44,'Start Here'!$B$8=1),IF(C2289&lt;=6,Staffing!$H$44,IF(C2289&lt;=15,Staffing!$I$44,IF(C2289&lt;=30,Staffing!$J$44,Staffing!$K$44))),0)</f>
        <v>0</v>
      </c>
      <c r="F2289" s="10" t="n">
        <f aca="false">E2289*Staffing!$L$44/12*(1+Assumptions!$E$10)^INT((C2289-1)/12)*1</f>
        <v>0</v>
      </c>
      <c r="G2289" s="10" t="n">
        <f aca="false">F2289*Staffing!$N$44</f>
        <v>0</v>
      </c>
      <c r="H2289" s="10" t="n">
        <f aca="false">F2289+G2289</f>
        <v>0</v>
      </c>
      <c r="I2289" s="10" t="n">
        <f aca="false">0</f>
        <v>0</v>
      </c>
      <c r="J2289" s="10" t="n">
        <f aca="false">MAX(0,E2289-E2288)*Staffing!$O$44</f>
        <v>0</v>
      </c>
      <c r="K2289" s="10" t="n">
        <f aca="false">MAX(0,E2289-E2288)*Staffing!$P$44</f>
        <v>0</v>
      </c>
      <c r="L2289" s="23" t="n">
        <f aca="false">ROUNDUP(E2289,0)</f>
        <v>0</v>
      </c>
    </row>
    <row r="2290" customFormat="false" ht="15" hidden="false" customHeight="false" outlineLevel="0" collapsed="false">
      <c r="A2290" s="6" t="s">
        <v>73</v>
      </c>
      <c r="B2290" s="6" t="s">
        <v>353</v>
      </c>
      <c r="C2290" s="6" t="n">
        <v>5</v>
      </c>
      <c r="D2290" s="25" t="n">
        <f aca="false">EDATE('Start Here'!$B$6,C2290-1)</f>
        <v>46447</v>
      </c>
      <c r="E2290" s="23" t="n">
        <f aca="false">IF(AND(C2290&gt;=Assumptions!$E$25,C2290&lt;=Staffing!$G$44,'Start Here'!$B$8=1),IF(C2290&lt;=6,Staffing!$H$44,IF(C2290&lt;=15,Staffing!$I$44,IF(C2290&lt;=30,Staffing!$J$44,Staffing!$K$44))),0)</f>
        <v>0</v>
      </c>
      <c r="F2290" s="10" t="n">
        <f aca="false">E2290*Staffing!$L$44/12*(1+Assumptions!$E$10)^INT((C2290-1)/12)*1</f>
        <v>0</v>
      </c>
      <c r="G2290" s="10" t="n">
        <f aca="false">F2290*Staffing!$N$44</f>
        <v>0</v>
      </c>
      <c r="H2290" s="10" t="n">
        <f aca="false">F2290+G2290</f>
        <v>0</v>
      </c>
      <c r="I2290" s="10" t="n">
        <f aca="false">0</f>
        <v>0</v>
      </c>
      <c r="J2290" s="10" t="n">
        <f aca="false">MAX(0,E2290-E2289)*Staffing!$O$44</f>
        <v>0</v>
      </c>
      <c r="K2290" s="10" t="n">
        <f aca="false">MAX(0,E2290-E2289)*Staffing!$P$44</f>
        <v>0</v>
      </c>
      <c r="L2290" s="23" t="n">
        <f aca="false">ROUNDUP(E2290,0)</f>
        <v>0</v>
      </c>
    </row>
    <row r="2291" customFormat="false" ht="15" hidden="false" customHeight="false" outlineLevel="0" collapsed="false">
      <c r="A2291" s="6" t="s">
        <v>73</v>
      </c>
      <c r="B2291" s="6" t="s">
        <v>353</v>
      </c>
      <c r="C2291" s="6" t="n">
        <v>6</v>
      </c>
      <c r="D2291" s="25" t="n">
        <f aca="false">EDATE('Start Here'!$B$6,C2291-1)</f>
        <v>46478</v>
      </c>
      <c r="E2291" s="23" t="n">
        <f aca="false">IF(AND(C2291&gt;=Assumptions!$E$25,C2291&lt;=Staffing!$G$44,'Start Here'!$B$8=1),IF(C2291&lt;=6,Staffing!$H$44,IF(C2291&lt;=15,Staffing!$I$44,IF(C2291&lt;=30,Staffing!$J$44,Staffing!$K$44))),0)</f>
        <v>0</v>
      </c>
      <c r="F2291" s="10" t="n">
        <f aca="false">E2291*Staffing!$L$44/12*(1+Assumptions!$E$10)^INT((C2291-1)/12)*1</f>
        <v>0</v>
      </c>
      <c r="G2291" s="10" t="n">
        <f aca="false">F2291*Staffing!$N$44</f>
        <v>0</v>
      </c>
      <c r="H2291" s="10" t="n">
        <f aca="false">F2291+G2291</f>
        <v>0</v>
      </c>
      <c r="I2291" s="10" t="n">
        <f aca="false">0</f>
        <v>0</v>
      </c>
      <c r="J2291" s="10" t="n">
        <f aca="false">MAX(0,E2291-E2290)*Staffing!$O$44</f>
        <v>0</v>
      </c>
      <c r="K2291" s="10" t="n">
        <f aca="false">MAX(0,E2291-E2290)*Staffing!$P$44</f>
        <v>0</v>
      </c>
      <c r="L2291" s="23" t="n">
        <f aca="false">ROUNDUP(E2291,0)</f>
        <v>0</v>
      </c>
    </row>
    <row r="2292" customFormat="false" ht="15" hidden="false" customHeight="false" outlineLevel="0" collapsed="false">
      <c r="A2292" s="6" t="s">
        <v>73</v>
      </c>
      <c r="B2292" s="6" t="s">
        <v>353</v>
      </c>
      <c r="C2292" s="6" t="n">
        <v>7</v>
      </c>
      <c r="D2292" s="25" t="n">
        <f aca="false">EDATE('Start Here'!$B$6,C2292-1)</f>
        <v>46508</v>
      </c>
      <c r="E2292" s="23" t="n">
        <f aca="false">IF(AND(C2292&gt;=Assumptions!$E$25,C2292&lt;=Staffing!$G$44,'Start Here'!$B$8=1),IF(C2292&lt;=6,Staffing!$H$44,IF(C2292&lt;=15,Staffing!$I$44,IF(C2292&lt;=30,Staffing!$J$44,Staffing!$K$44))),0)</f>
        <v>0</v>
      </c>
      <c r="F2292" s="10" t="n">
        <f aca="false">E2292*Staffing!$L$44/12*(1+Assumptions!$E$10)^INT((C2292-1)/12)*1</f>
        <v>0</v>
      </c>
      <c r="G2292" s="10" t="n">
        <f aca="false">F2292*Staffing!$N$44</f>
        <v>0</v>
      </c>
      <c r="H2292" s="10" t="n">
        <f aca="false">F2292+G2292</f>
        <v>0</v>
      </c>
      <c r="I2292" s="10" t="n">
        <f aca="false">0</f>
        <v>0</v>
      </c>
      <c r="J2292" s="10" t="n">
        <f aca="false">MAX(0,E2292-E2291)*Staffing!$O$44</f>
        <v>0</v>
      </c>
      <c r="K2292" s="10" t="n">
        <f aca="false">MAX(0,E2292-E2291)*Staffing!$P$44</f>
        <v>0</v>
      </c>
      <c r="L2292" s="23" t="n">
        <f aca="false">ROUNDUP(E2292,0)</f>
        <v>0</v>
      </c>
    </row>
    <row r="2293" customFormat="false" ht="15" hidden="false" customHeight="false" outlineLevel="0" collapsed="false">
      <c r="A2293" s="6" t="s">
        <v>73</v>
      </c>
      <c r="B2293" s="6" t="s">
        <v>353</v>
      </c>
      <c r="C2293" s="6" t="n">
        <v>8</v>
      </c>
      <c r="D2293" s="25" t="n">
        <f aca="false">EDATE('Start Here'!$B$6,C2293-1)</f>
        <v>46539</v>
      </c>
      <c r="E2293" s="23" t="n">
        <f aca="false">IF(AND(C2293&gt;=Assumptions!$E$25,C2293&lt;=Staffing!$G$44,'Start Here'!$B$8=1),IF(C2293&lt;=6,Staffing!$H$44,IF(C2293&lt;=15,Staffing!$I$44,IF(C2293&lt;=30,Staffing!$J$44,Staffing!$K$44))),0)</f>
        <v>0</v>
      </c>
      <c r="F2293" s="10" t="n">
        <f aca="false">E2293*Staffing!$L$44/12*(1+Assumptions!$E$10)^INT((C2293-1)/12)*1</f>
        <v>0</v>
      </c>
      <c r="G2293" s="10" t="n">
        <f aca="false">F2293*Staffing!$N$44</f>
        <v>0</v>
      </c>
      <c r="H2293" s="10" t="n">
        <f aca="false">F2293+G2293</f>
        <v>0</v>
      </c>
      <c r="I2293" s="10" t="n">
        <f aca="false">0</f>
        <v>0</v>
      </c>
      <c r="J2293" s="10" t="n">
        <f aca="false">MAX(0,E2293-E2292)*Staffing!$O$44</f>
        <v>0</v>
      </c>
      <c r="K2293" s="10" t="n">
        <f aca="false">MAX(0,E2293-E2292)*Staffing!$P$44</f>
        <v>0</v>
      </c>
      <c r="L2293" s="23" t="n">
        <f aca="false">ROUNDUP(E2293,0)</f>
        <v>0</v>
      </c>
    </row>
    <row r="2294" customFormat="false" ht="15" hidden="false" customHeight="false" outlineLevel="0" collapsed="false">
      <c r="A2294" s="6" t="s">
        <v>73</v>
      </c>
      <c r="B2294" s="6" t="s">
        <v>353</v>
      </c>
      <c r="C2294" s="6" t="n">
        <v>9</v>
      </c>
      <c r="D2294" s="25" t="n">
        <f aca="false">EDATE('Start Here'!$B$6,C2294-1)</f>
        <v>46569</v>
      </c>
      <c r="E2294" s="23" t="n">
        <f aca="false">IF(AND(C2294&gt;=Assumptions!$E$25,C2294&lt;=Staffing!$G$44,'Start Here'!$B$8=1),IF(C2294&lt;=6,Staffing!$H$44,IF(C2294&lt;=15,Staffing!$I$44,IF(C2294&lt;=30,Staffing!$J$44,Staffing!$K$44))),0)</f>
        <v>0</v>
      </c>
      <c r="F2294" s="10" t="n">
        <f aca="false">E2294*Staffing!$L$44/12*(1+Assumptions!$E$10)^INT((C2294-1)/12)*1</f>
        <v>0</v>
      </c>
      <c r="G2294" s="10" t="n">
        <f aca="false">F2294*Staffing!$N$44</f>
        <v>0</v>
      </c>
      <c r="H2294" s="10" t="n">
        <f aca="false">F2294+G2294</f>
        <v>0</v>
      </c>
      <c r="I2294" s="10" t="n">
        <f aca="false">0</f>
        <v>0</v>
      </c>
      <c r="J2294" s="10" t="n">
        <f aca="false">MAX(0,E2294-E2293)*Staffing!$O$44</f>
        <v>0</v>
      </c>
      <c r="K2294" s="10" t="n">
        <f aca="false">MAX(0,E2294-E2293)*Staffing!$P$44</f>
        <v>0</v>
      </c>
      <c r="L2294" s="23" t="n">
        <f aca="false">ROUNDUP(E2294,0)</f>
        <v>0</v>
      </c>
    </row>
    <row r="2295" customFormat="false" ht="15" hidden="false" customHeight="false" outlineLevel="0" collapsed="false">
      <c r="A2295" s="6" t="s">
        <v>73</v>
      </c>
      <c r="B2295" s="6" t="s">
        <v>353</v>
      </c>
      <c r="C2295" s="6" t="n">
        <v>10</v>
      </c>
      <c r="D2295" s="25" t="n">
        <f aca="false">EDATE('Start Here'!$B$6,C2295-1)</f>
        <v>46600</v>
      </c>
      <c r="E2295" s="23" t="n">
        <f aca="false">IF(AND(C2295&gt;=Assumptions!$E$25,C2295&lt;=Staffing!$G$44,'Start Here'!$B$8=1),IF(C2295&lt;=6,Staffing!$H$44,IF(C2295&lt;=15,Staffing!$I$44,IF(C2295&lt;=30,Staffing!$J$44,Staffing!$K$44))),0)</f>
        <v>0</v>
      </c>
      <c r="F2295" s="10" t="n">
        <f aca="false">E2295*Staffing!$L$44/12*(1+Assumptions!$E$10)^INT((C2295-1)/12)*1</f>
        <v>0</v>
      </c>
      <c r="G2295" s="10" t="n">
        <f aca="false">F2295*Staffing!$N$44</f>
        <v>0</v>
      </c>
      <c r="H2295" s="10" t="n">
        <f aca="false">F2295+G2295</f>
        <v>0</v>
      </c>
      <c r="I2295" s="10" t="n">
        <f aca="false">0</f>
        <v>0</v>
      </c>
      <c r="J2295" s="10" t="n">
        <f aca="false">MAX(0,E2295-E2294)*Staffing!$O$44</f>
        <v>0</v>
      </c>
      <c r="K2295" s="10" t="n">
        <f aca="false">MAX(0,E2295-E2294)*Staffing!$P$44</f>
        <v>0</v>
      </c>
      <c r="L2295" s="23" t="n">
        <f aca="false">ROUNDUP(E2295,0)</f>
        <v>0</v>
      </c>
    </row>
    <row r="2296" customFormat="false" ht="15" hidden="false" customHeight="false" outlineLevel="0" collapsed="false">
      <c r="A2296" s="6" t="s">
        <v>73</v>
      </c>
      <c r="B2296" s="6" t="s">
        <v>353</v>
      </c>
      <c r="C2296" s="6" t="n">
        <v>11</v>
      </c>
      <c r="D2296" s="25" t="n">
        <f aca="false">EDATE('Start Here'!$B$6,C2296-1)</f>
        <v>46631</v>
      </c>
      <c r="E2296" s="23" t="n">
        <f aca="false">IF(AND(C2296&gt;=Assumptions!$E$25,C2296&lt;=Staffing!$G$44,'Start Here'!$B$8=1),IF(C2296&lt;=6,Staffing!$H$44,IF(C2296&lt;=15,Staffing!$I$44,IF(C2296&lt;=30,Staffing!$J$44,Staffing!$K$44))),0)</f>
        <v>0</v>
      </c>
      <c r="F2296" s="10" t="n">
        <f aca="false">E2296*Staffing!$L$44/12*(1+Assumptions!$E$10)^INT((C2296-1)/12)*1</f>
        <v>0</v>
      </c>
      <c r="G2296" s="10" t="n">
        <f aca="false">F2296*Staffing!$N$44</f>
        <v>0</v>
      </c>
      <c r="H2296" s="10" t="n">
        <f aca="false">F2296+G2296</f>
        <v>0</v>
      </c>
      <c r="I2296" s="10" t="n">
        <f aca="false">0</f>
        <v>0</v>
      </c>
      <c r="J2296" s="10" t="n">
        <f aca="false">MAX(0,E2296-E2295)*Staffing!$O$44</f>
        <v>0</v>
      </c>
      <c r="K2296" s="10" t="n">
        <f aca="false">MAX(0,E2296-E2295)*Staffing!$P$44</f>
        <v>0</v>
      </c>
      <c r="L2296" s="23" t="n">
        <f aca="false">ROUNDUP(E2296,0)</f>
        <v>0</v>
      </c>
    </row>
    <row r="2297" customFormat="false" ht="15" hidden="false" customHeight="false" outlineLevel="0" collapsed="false">
      <c r="A2297" s="6" t="s">
        <v>73</v>
      </c>
      <c r="B2297" s="6" t="s">
        <v>353</v>
      </c>
      <c r="C2297" s="6" t="n">
        <v>12</v>
      </c>
      <c r="D2297" s="25" t="n">
        <f aca="false">EDATE('Start Here'!$B$6,C2297-1)</f>
        <v>46661</v>
      </c>
      <c r="E2297" s="23" t="n">
        <f aca="false">IF(AND(C2297&gt;=Assumptions!$E$25,C2297&lt;=Staffing!$G$44,'Start Here'!$B$8=1),IF(C2297&lt;=6,Staffing!$H$44,IF(C2297&lt;=15,Staffing!$I$44,IF(C2297&lt;=30,Staffing!$J$44,Staffing!$K$44))),0)</f>
        <v>0</v>
      </c>
      <c r="F2297" s="10" t="n">
        <f aca="false">E2297*Staffing!$L$44/12*(1+Assumptions!$E$10)^INT((C2297-1)/12)*1</f>
        <v>0</v>
      </c>
      <c r="G2297" s="10" t="n">
        <f aca="false">F2297*Staffing!$N$44</f>
        <v>0</v>
      </c>
      <c r="H2297" s="10" t="n">
        <f aca="false">F2297+G2297</f>
        <v>0</v>
      </c>
      <c r="I2297" s="10" t="n">
        <f aca="false">0</f>
        <v>0</v>
      </c>
      <c r="J2297" s="10" t="n">
        <f aca="false">MAX(0,E2297-E2296)*Staffing!$O$44</f>
        <v>0</v>
      </c>
      <c r="K2297" s="10" t="n">
        <f aca="false">MAX(0,E2297-E2296)*Staffing!$P$44</f>
        <v>0</v>
      </c>
      <c r="L2297" s="23" t="n">
        <f aca="false">ROUNDUP(E2297,0)</f>
        <v>0</v>
      </c>
    </row>
    <row r="2298" customFormat="false" ht="15" hidden="false" customHeight="false" outlineLevel="0" collapsed="false">
      <c r="A2298" s="6" t="s">
        <v>73</v>
      </c>
      <c r="B2298" s="6" t="s">
        <v>353</v>
      </c>
      <c r="C2298" s="6" t="n">
        <v>13</v>
      </c>
      <c r="D2298" s="25" t="n">
        <f aca="false">EDATE('Start Here'!$B$6,C2298-1)</f>
        <v>46692</v>
      </c>
      <c r="E2298" s="23" t="n">
        <f aca="false">IF(AND(C2298&gt;=Assumptions!$E$25,C2298&lt;=Staffing!$G$44,'Start Here'!$B$8=1),IF(C2298&lt;=6,Staffing!$H$44,IF(C2298&lt;=15,Staffing!$I$44,IF(C2298&lt;=30,Staffing!$J$44,Staffing!$K$44))),0)</f>
        <v>0</v>
      </c>
      <c r="F2298" s="10" t="n">
        <f aca="false">E2298*Staffing!$L$44/12*(1+Assumptions!$E$10)^INT((C2298-1)/12)*1</f>
        <v>0</v>
      </c>
      <c r="G2298" s="10" t="n">
        <f aca="false">F2298*Staffing!$N$44</f>
        <v>0</v>
      </c>
      <c r="H2298" s="10" t="n">
        <f aca="false">F2298+G2298</f>
        <v>0</v>
      </c>
      <c r="I2298" s="10" t="n">
        <f aca="false">0</f>
        <v>0</v>
      </c>
      <c r="J2298" s="10" t="n">
        <f aca="false">MAX(0,E2298-E2297)*Staffing!$O$44</f>
        <v>0</v>
      </c>
      <c r="K2298" s="10" t="n">
        <f aca="false">MAX(0,E2298-E2297)*Staffing!$P$44</f>
        <v>0</v>
      </c>
      <c r="L2298" s="23" t="n">
        <f aca="false">ROUNDUP(E2298,0)</f>
        <v>0</v>
      </c>
    </row>
    <row r="2299" customFormat="false" ht="15" hidden="false" customHeight="false" outlineLevel="0" collapsed="false">
      <c r="A2299" s="6" t="s">
        <v>73</v>
      </c>
      <c r="B2299" s="6" t="s">
        <v>353</v>
      </c>
      <c r="C2299" s="6" t="n">
        <v>14</v>
      </c>
      <c r="D2299" s="25" t="n">
        <f aca="false">EDATE('Start Here'!$B$6,C2299-1)</f>
        <v>46722</v>
      </c>
      <c r="E2299" s="23" t="n">
        <f aca="false">IF(AND(C2299&gt;=Assumptions!$E$25,C2299&lt;=Staffing!$G$44,'Start Here'!$B$8=1),IF(C2299&lt;=6,Staffing!$H$44,IF(C2299&lt;=15,Staffing!$I$44,IF(C2299&lt;=30,Staffing!$J$44,Staffing!$K$44))),0)</f>
        <v>0</v>
      </c>
      <c r="F2299" s="10" t="n">
        <f aca="false">E2299*Staffing!$L$44/12*(1+Assumptions!$E$10)^INT((C2299-1)/12)*1</f>
        <v>0</v>
      </c>
      <c r="G2299" s="10" t="n">
        <f aca="false">F2299*Staffing!$N$44</f>
        <v>0</v>
      </c>
      <c r="H2299" s="10" t="n">
        <f aca="false">F2299+G2299</f>
        <v>0</v>
      </c>
      <c r="I2299" s="10" t="n">
        <f aca="false">0</f>
        <v>0</v>
      </c>
      <c r="J2299" s="10" t="n">
        <f aca="false">MAX(0,E2299-E2298)*Staffing!$O$44</f>
        <v>0</v>
      </c>
      <c r="K2299" s="10" t="n">
        <f aca="false">MAX(0,E2299-E2298)*Staffing!$P$44</f>
        <v>0</v>
      </c>
      <c r="L2299" s="23" t="n">
        <f aca="false">ROUNDUP(E2299,0)</f>
        <v>0</v>
      </c>
    </row>
    <row r="2300" customFormat="false" ht="15" hidden="false" customHeight="false" outlineLevel="0" collapsed="false">
      <c r="A2300" s="6" t="s">
        <v>73</v>
      </c>
      <c r="B2300" s="6" t="s">
        <v>353</v>
      </c>
      <c r="C2300" s="6" t="n">
        <v>15</v>
      </c>
      <c r="D2300" s="25" t="n">
        <f aca="false">EDATE('Start Here'!$B$6,C2300-1)</f>
        <v>46753</v>
      </c>
      <c r="E2300" s="23" t="n">
        <f aca="false">IF(AND(C2300&gt;=Assumptions!$E$25,C2300&lt;=Staffing!$G$44,'Start Here'!$B$8=1),IF(C2300&lt;=6,Staffing!$H$44,IF(C2300&lt;=15,Staffing!$I$44,IF(C2300&lt;=30,Staffing!$J$44,Staffing!$K$44))),0)</f>
        <v>0</v>
      </c>
      <c r="F2300" s="10" t="n">
        <f aca="false">E2300*Staffing!$L$44/12*(1+Assumptions!$E$10)^INT((C2300-1)/12)*1</f>
        <v>0</v>
      </c>
      <c r="G2300" s="10" t="n">
        <f aca="false">F2300*Staffing!$N$44</f>
        <v>0</v>
      </c>
      <c r="H2300" s="10" t="n">
        <f aca="false">F2300+G2300</f>
        <v>0</v>
      </c>
      <c r="I2300" s="10" t="n">
        <f aca="false">0</f>
        <v>0</v>
      </c>
      <c r="J2300" s="10" t="n">
        <f aca="false">MAX(0,E2300-E2299)*Staffing!$O$44</f>
        <v>0</v>
      </c>
      <c r="K2300" s="10" t="n">
        <f aca="false">MAX(0,E2300-E2299)*Staffing!$P$44</f>
        <v>0</v>
      </c>
      <c r="L2300" s="23" t="n">
        <f aca="false">ROUNDUP(E2300,0)</f>
        <v>0</v>
      </c>
    </row>
    <row r="2301" customFormat="false" ht="15" hidden="false" customHeight="false" outlineLevel="0" collapsed="false">
      <c r="A2301" s="6" t="s">
        <v>73</v>
      </c>
      <c r="B2301" s="6" t="s">
        <v>353</v>
      </c>
      <c r="C2301" s="6" t="n">
        <v>16</v>
      </c>
      <c r="D2301" s="25" t="n">
        <f aca="false">EDATE('Start Here'!$B$6,C2301-1)</f>
        <v>46784</v>
      </c>
      <c r="E2301" s="23" t="n">
        <f aca="false">IF(AND(C2301&gt;=Assumptions!$E$25,C2301&lt;=Staffing!$G$44,'Start Here'!$B$8=1),IF(C2301&lt;=6,Staffing!$H$44,IF(C2301&lt;=15,Staffing!$I$44,IF(C2301&lt;=30,Staffing!$J$44,Staffing!$K$44))),0)</f>
        <v>0</v>
      </c>
      <c r="F2301" s="10" t="n">
        <f aca="false">E2301*Staffing!$L$44/12*(1+Assumptions!$E$10)^INT((C2301-1)/12)*1</f>
        <v>0</v>
      </c>
      <c r="G2301" s="10" t="n">
        <f aca="false">F2301*Staffing!$N$44</f>
        <v>0</v>
      </c>
      <c r="H2301" s="10" t="n">
        <f aca="false">F2301+G2301</f>
        <v>0</v>
      </c>
      <c r="I2301" s="10" t="n">
        <f aca="false">0</f>
        <v>0</v>
      </c>
      <c r="J2301" s="10" t="n">
        <f aca="false">MAX(0,E2301-E2300)*Staffing!$O$44</f>
        <v>0</v>
      </c>
      <c r="K2301" s="10" t="n">
        <f aca="false">MAX(0,E2301-E2300)*Staffing!$P$44</f>
        <v>0</v>
      </c>
      <c r="L2301" s="23" t="n">
        <f aca="false">ROUNDUP(E2301,0)</f>
        <v>0</v>
      </c>
    </row>
    <row r="2302" customFormat="false" ht="15" hidden="false" customHeight="false" outlineLevel="0" collapsed="false">
      <c r="A2302" s="6" t="s">
        <v>73</v>
      </c>
      <c r="B2302" s="6" t="s">
        <v>353</v>
      </c>
      <c r="C2302" s="6" t="n">
        <v>17</v>
      </c>
      <c r="D2302" s="25" t="n">
        <f aca="false">EDATE('Start Here'!$B$6,C2302-1)</f>
        <v>46813</v>
      </c>
      <c r="E2302" s="23" t="n">
        <f aca="false">IF(AND(C2302&gt;=Assumptions!$E$25,C2302&lt;=Staffing!$G$44,'Start Here'!$B$8=1),IF(C2302&lt;=6,Staffing!$H$44,IF(C2302&lt;=15,Staffing!$I$44,IF(C2302&lt;=30,Staffing!$J$44,Staffing!$K$44))),0)</f>
        <v>0</v>
      </c>
      <c r="F2302" s="10" t="n">
        <f aca="false">E2302*Staffing!$L$44/12*(1+Assumptions!$E$10)^INT((C2302-1)/12)*1</f>
        <v>0</v>
      </c>
      <c r="G2302" s="10" t="n">
        <f aca="false">F2302*Staffing!$N$44</f>
        <v>0</v>
      </c>
      <c r="H2302" s="10" t="n">
        <f aca="false">F2302+G2302</f>
        <v>0</v>
      </c>
      <c r="I2302" s="10" t="n">
        <f aca="false">0</f>
        <v>0</v>
      </c>
      <c r="J2302" s="10" t="n">
        <f aca="false">MAX(0,E2302-E2301)*Staffing!$O$44</f>
        <v>0</v>
      </c>
      <c r="K2302" s="10" t="n">
        <f aca="false">MAX(0,E2302-E2301)*Staffing!$P$44</f>
        <v>0</v>
      </c>
      <c r="L2302" s="23" t="n">
        <f aca="false">ROUNDUP(E2302,0)</f>
        <v>0</v>
      </c>
    </row>
    <row r="2303" customFormat="false" ht="15" hidden="false" customHeight="false" outlineLevel="0" collapsed="false">
      <c r="A2303" s="6" t="s">
        <v>73</v>
      </c>
      <c r="B2303" s="6" t="s">
        <v>353</v>
      </c>
      <c r="C2303" s="6" t="n">
        <v>18</v>
      </c>
      <c r="D2303" s="25" t="n">
        <f aca="false">EDATE('Start Here'!$B$6,C2303-1)</f>
        <v>46844</v>
      </c>
      <c r="E2303" s="23" t="n">
        <f aca="false">IF(AND(C2303&gt;=Assumptions!$E$25,C2303&lt;=Staffing!$G$44,'Start Here'!$B$8=1),IF(C2303&lt;=6,Staffing!$H$44,IF(C2303&lt;=15,Staffing!$I$44,IF(C2303&lt;=30,Staffing!$J$44,Staffing!$K$44))),0)</f>
        <v>0</v>
      </c>
      <c r="F2303" s="10" t="n">
        <f aca="false">E2303*Staffing!$L$44/12*(1+Assumptions!$E$10)^INT((C2303-1)/12)*1</f>
        <v>0</v>
      </c>
      <c r="G2303" s="10" t="n">
        <f aca="false">F2303*Staffing!$N$44</f>
        <v>0</v>
      </c>
      <c r="H2303" s="10" t="n">
        <f aca="false">F2303+G2303</f>
        <v>0</v>
      </c>
      <c r="I2303" s="10" t="n">
        <f aca="false">0</f>
        <v>0</v>
      </c>
      <c r="J2303" s="10" t="n">
        <f aca="false">MAX(0,E2303-E2302)*Staffing!$O$44</f>
        <v>0</v>
      </c>
      <c r="K2303" s="10" t="n">
        <f aca="false">MAX(0,E2303-E2302)*Staffing!$P$44</f>
        <v>0</v>
      </c>
      <c r="L2303" s="23" t="n">
        <f aca="false">ROUNDUP(E2303,0)</f>
        <v>0</v>
      </c>
    </row>
    <row r="2304" customFormat="false" ht="15" hidden="false" customHeight="false" outlineLevel="0" collapsed="false">
      <c r="A2304" s="6" t="s">
        <v>73</v>
      </c>
      <c r="B2304" s="6" t="s">
        <v>353</v>
      </c>
      <c r="C2304" s="6" t="n">
        <v>19</v>
      </c>
      <c r="D2304" s="25" t="n">
        <f aca="false">EDATE('Start Here'!$B$6,C2304-1)</f>
        <v>46874</v>
      </c>
      <c r="E2304" s="23" t="n">
        <f aca="false">IF(AND(C2304&gt;=Assumptions!$E$25,C2304&lt;=Staffing!$G$44,'Start Here'!$B$8=1),IF(C2304&lt;=6,Staffing!$H$44,IF(C2304&lt;=15,Staffing!$I$44,IF(C2304&lt;=30,Staffing!$J$44,Staffing!$K$44))),0)</f>
        <v>0</v>
      </c>
      <c r="F2304" s="10" t="n">
        <f aca="false">E2304*Staffing!$L$44/12*(1+Assumptions!$E$10)^INT((C2304-1)/12)*1</f>
        <v>0</v>
      </c>
      <c r="G2304" s="10" t="n">
        <f aca="false">F2304*Staffing!$N$44</f>
        <v>0</v>
      </c>
      <c r="H2304" s="10" t="n">
        <f aca="false">F2304+G2304</f>
        <v>0</v>
      </c>
      <c r="I2304" s="10" t="n">
        <f aca="false">0</f>
        <v>0</v>
      </c>
      <c r="J2304" s="10" t="n">
        <f aca="false">MAX(0,E2304-E2303)*Staffing!$O$44</f>
        <v>0</v>
      </c>
      <c r="K2304" s="10" t="n">
        <f aca="false">MAX(0,E2304-E2303)*Staffing!$P$44</f>
        <v>0</v>
      </c>
      <c r="L2304" s="23" t="n">
        <f aca="false">ROUNDUP(E2304,0)</f>
        <v>0</v>
      </c>
    </row>
    <row r="2305" customFormat="false" ht="15" hidden="false" customHeight="false" outlineLevel="0" collapsed="false">
      <c r="A2305" s="6" t="s">
        <v>73</v>
      </c>
      <c r="B2305" s="6" t="s">
        <v>353</v>
      </c>
      <c r="C2305" s="6" t="n">
        <v>20</v>
      </c>
      <c r="D2305" s="25" t="n">
        <f aca="false">EDATE('Start Here'!$B$6,C2305-1)</f>
        <v>46905</v>
      </c>
      <c r="E2305" s="23" t="n">
        <f aca="false">IF(AND(C2305&gt;=Assumptions!$E$25,C2305&lt;=Staffing!$G$44,'Start Here'!$B$8=1),IF(C2305&lt;=6,Staffing!$H$44,IF(C2305&lt;=15,Staffing!$I$44,IF(C2305&lt;=30,Staffing!$J$44,Staffing!$K$44))),0)</f>
        <v>0</v>
      </c>
      <c r="F2305" s="10" t="n">
        <f aca="false">E2305*Staffing!$L$44/12*(1+Assumptions!$E$10)^INT((C2305-1)/12)*1</f>
        <v>0</v>
      </c>
      <c r="G2305" s="10" t="n">
        <f aca="false">F2305*Staffing!$N$44</f>
        <v>0</v>
      </c>
      <c r="H2305" s="10" t="n">
        <f aca="false">F2305+G2305</f>
        <v>0</v>
      </c>
      <c r="I2305" s="10" t="n">
        <f aca="false">0</f>
        <v>0</v>
      </c>
      <c r="J2305" s="10" t="n">
        <f aca="false">MAX(0,E2305-E2304)*Staffing!$O$44</f>
        <v>0</v>
      </c>
      <c r="K2305" s="10" t="n">
        <f aca="false">MAX(0,E2305-E2304)*Staffing!$P$44</f>
        <v>0</v>
      </c>
      <c r="L2305" s="23" t="n">
        <f aca="false">ROUNDUP(E2305,0)</f>
        <v>0</v>
      </c>
    </row>
    <row r="2306" customFormat="false" ht="15" hidden="false" customHeight="false" outlineLevel="0" collapsed="false">
      <c r="A2306" s="6" t="s">
        <v>73</v>
      </c>
      <c r="B2306" s="6" t="s">
        <v>353</v>
      </c>
      <c r="C2306" s="6" t="n">
        <v>21</v>
      </c>
      <c r="D2306" s="25" t="n">
        <f aca="false">EDATE('Start Here'!$B$6,C2306-1)</f>
        <v>46935</v>
      </c>
      <c r="E2306" s="23" t="n">
        <f aca="false">IF(AND(C2306&gt;=Assumptions!$E$25,C2306&lt;=Staffing!$G$44,'Start Here'!$B$8=1),IF(C2306&lt;=6,Staffing!$H$44,IF(C2306&lt;=15,Staffing!$I$44,IF(C2306&lt;=30,Staffing!$J$44,Staffing!$K$44))),0)</f>
        <v>0</v>
      </c>
      <c r="F2306" s="10" t="n">
        <f aca="false">E2306*Staffing!$L$44/12*(1+Assumptions!$E$10)^INT((C2306-1)/12)*1</f>
        <v>0</v>
      </c>
      <c r="G2306" s="10" t="n">
        <f aca="false">F2306*Staffing!$N$44</f>
        <v>0</v>
      </c>
      <c r="H2306" s="10" t="n">
        <f aca="false">F2306+G2306</f>
        <v>0</v>
      </c>
      <c r="I2306" s="10" t="n">
        <f aca="false">0</f>
        <v>0</v>
      </c>
      <c r="J2306" s="10" t="n">
        <f aca="false">MAX(0,E2306-E2305)*Staffing!$O$44</f>
        <v>0</v>
      </c>
      <c r="K2306" s="10" t="n">
        <f aca="false">MAX(0,E2306-E2305)*Staffing!$P$44</f>
        <v>0</v>
      </c>
      <c r="L2306" s="23" t="n">
        <f aca="false">ROUNDUP(E2306,0)</f>
        <v>0</v>
      </c>
    </row>
    <row r="2307" customFormat="false" ht="15" hidden="false" customHeight="false" outlineLevel="0" collapsed="false">
      <c r="A2307" s="6" t="s">
        <v>73</v>
      </c>
      <c r="B2307" s="6" t="s">
        <v>353</v>
      </c>
      <c r="C2307" s="6" t="n">
        <v>22</v>
      </c>
      <c r="D2307" s="25" t="n">
        <f aca="false">EDATE('Start Here'!$B$6,C2307-1)</f>
        <v>46966</v>
      </c>
      <c r="E2307" s="23" t="n">
        <f aca="false">IF(AND(C2307&gt;=Assumptions!$E$25,C2307&lt;=Staffing!$G$44,'Start Here'!$B$8=1),IF(C2307&lt;=6,Staffing!$H$44,IF(C2307&lt;=15,Staffing!$I$44,IF(C2307&lt;=30,Staffing!$J$44,Staffing!$K$44))),0)</f>
        <v>0</v>
      </c>
      <c r="F2307" s="10" t="n">
        <f aca="false">E2307*Staffing!$L$44/12*(1+Assumptions!$E$10)^INT((C2307-1)/12)*1</f>
        <v>0</v>
      </c>
      <c r="G2307" s="10" t="n">
        <f aca="false">F2307*Staffing!$N$44</f>
        <v>0</v>
      </c>
      <c r="H2307" s="10" t="n">
        <f aca="false">F2307+G2307</f>
        <v>0</v>
      </c>
      <c r="I2307" s="10" t="n">
        <f aca="false">0</f>
        <v>0</v>
      </c>
      <c r="J2307" s="10" t="n">
        <f aca="false">MAX(0,E2307-E2306)*Staffing!$O$44</f>
        <v>0</v>
      </c>
      <c r="K2307" s="10" t="n">
        <f aca="false">MAX(0,E2307-E2306)*Staffing!$P$44</f>
        <v>0</v>
      </c>
      <c r="L2307" s="23" t="n">
        <f aca="false">ROUNDUP(E2307,0)</f>
        <v>0</v>
      </c>
    </row>
    <row r="2308" customFormat="false" ht="15" hidden="false" customHeight="false" outlineLevel="0" collapsed="false">
      <c r="A2308" s="6" t="s">
        <v>73</v>
      </c>
      <c r="B2308" s="6" t="s">
        <v>353</v>
      </c>
      <c r="C2308" s="6" t="n">
        <v>23</v>
      </c>
      <c r="D2308" s="25" t="n">
        <f aca="false">EDATE('Start Here'!$B$6,C2308-1)</f>
        <v>46997</v>
      </c>
      <c r="E2308" s="23" t="n">
        <f aca="false">IF(AND(C2308&gt;=Assumptions!$E$25,C2308&lt;=Staffing!$G$44,'Start Here'!$B$8=1),IF(C2308&lt;=6,Staffing!$H$44,IF(C2308&lt;=15,Staffing!$I$44,IF(C2308&lt;=30,Staffing!$J$44,Staffing!$K$44))),0)</f>
        <v>0</v>
      </c>
      <c r="F2308" s="10" t="n">
        <f aca="false">E2308*Staffing!$L$44/12*(1+Assumptions!$E$10)^INT((C2308-1)/12)*1</f>
        <v>0</v>
      </c>
      <c r="G2308" s="10" t="n">
        <f aca="false">F2308*Staffing!$N$44</f>
        <v>0</v>
      </c>
      <c r="H2308" s="10" t="n">
        <f aca="false">F2308+G2308</f>
        <v>0</v>
      </c>
      <c r="I2308" s="10" t="n">
        <f aca="false">0</f>
        <v>0</v>
      </c>
      <c r="J2308" s="10" t="n">
        <f aca="false">MAX(0,E2308-E2307)*Staffing!$O$44</f>
        <v>0</v>
      </c>
      <c r="K2308" s="10" t="n">
        <f aca="false">MAX(0,E2308-E2307)*Staffing!$P$44</f>
        <v>0</v>
      </c>
      <c r="L2308" s="23" t="n">
        <f aca="false">ROUNDUP(E2308,0)</f>
        <v>0</v>
      </c>
    </row>
    <row r="2309" customFormat="false" ht="15" hidden="false" customHeight="false" outlineLevel="0" collapsed="false">
      <c r="A2309" s="6" t="s">
        <v>73</v>
      </c>
      <c r="B2309" s="6" t="s">
        <v>353</v>
      </c>
      <c r="C2309" s="6" t="n">
        <v>24</v>
      </c>
      <c r="D2309" s="25" t="n">
        <f aca="false">EDATE('Start Here'!$B$6,C2309-1)</f>
        <v>47027</v>
      </c>
      <c r="E2309" s="23" t="n">
        <f aca="false">IF(AND(C2309&gt;=Assumptions!$E$25,C2309&lt;=Staffing!$G$44,'Start Here'!$B$8=1),IF(C2309&lt;=6,Staffing!$H$44,IF(C2309&lt;=15,Staffing!$I$44,IF(C2309&lt;=30,Staffing!$J$44,Staffing!$K$44))),0)</f>
        <v>0</v>
      </c>
      <c r="F2309" s="10" t="n">
        <f aca="false">E2309*Staffing!$L$44/12*(1+Assumptions!$E$10)^INT((C2309-1)/12)*1</f>
        <v>0</v>
      </c>
      <c r="G2309" s="10" t="n">
        <f aca="false">F2309*Staffing!$N$44</f>
        <v>0</v>
      </c>
      <c r="H2309" s="10" t="n">
        <f aca="false">F2309+G2309</f>
        <v>0</v>
      </c>
      <c r="I2309" s="10" t="n">
        <f aca="false">0</f>
        <v>0</v>
      </c>
      <c r="J2309" s="10" t="n">
        <f aca="false">MAX(0,E2309-E2308)*Staffing!$O$44</f>
        <v>0</v>
      </c>
      <c r="K2309" s="10" t="n">
        <f aca="false">MAX(0,E2309-E2308)*Staffing!$P$44</f>
        <v>0</v>
      </c>
      <c r="L2309" s="23" t="n">
        <f aca="false">ROUNDUP(E2309,0)</f>
        <v>0</v>
      </c>
    </row>
    <row r="2310" customFormat="false" ht="15" hidden="false" customHeight="false" outlineLevel="0" collapsed="false">
      <c r="A2310" s="6" t="s">
        <v>73</v>
      </c>
      <c r="B2310" s="6" t="s">
        <v>353</v>
      </c>
      <c r="C2310" s="6" t="n">
        <v>25</v>
      </c>
      <c r="D2310" s="25" t="n">
        <f aca="false">EDATE('Start Here'!$B$6,C2310-1)</f>
        <v>47058</v>
      </c>
      <c r="E2310" s="23" t="n">
        <f aca="false">IF(AND(C2310&gt;=Assumptions!$E$25,C2310&lt;=Staffing!$G$44,'Start Here'!$B$8=1),IF(C2310&lt;=6,Staffing!$H$44,IF(C2310&lt;=15,Staffing!$I$44,IF(C2310&lt;=30,Staffing!$J$44,Staffing!$K$44))),0)</f>
        <v>0</v>
      </c>
      <c r="F2310" s="10" t="n">
        <f aca="false">E2310*Staffing!$L$44/12*(1+Assumptions!$E$10)^INT((C2310-1)/12)*1</f>
        <v>0</v>
      </c>
      <c r="G2310" s="10" t="n">
        <f aca="false">F2310*Staffing!$N$44</f>
        <v>0</v>
      </c>
      <c r="H2310" s="10" t="n">
        <f aca="false">F2310+G2310</f>
        <v>0</v>
      </c>
      <c r="I2310" s="10" t="n">
        <f aca="false">0</f>
        <v>0</v>
      </c>
      <c r="J2310" s="10" t="n">
        <f aca="false">MAX(0,E2310-E2309)*Staffing!$O$44</f>
        <v>0</v>
      </c>
      <c r="K2310" s="10" t="n">
        <f aca="false">MAX(0,E2310-E2309)*Staffing!$P$44</f>
        <v>0</v>
      </c>
      <c r="L2310" s="23" t="n">
        <f aca="false">ROUNDUP(E2310,0)</f>
        <v>0</v>
      </c>
    </row>
    <row r="2311" customFormat="false" ht="15" hidden="false" customHeight="false" outlineLevel="0" collapsed="false">
      <c r="A2311" s="6" t="s">
        <v>73</v>
      </c>
      <c r="B2311" s="6" t="s">
        <v>353</v>
      </c>
      <c r="C2311" s="6" t="n">
        <v>26</v>
      </c>
      <c r="D2311" s="25" t="n">
        <f aca="false">EDATE('Start Here'!$B$6,C2311-1)</f>
        <v>47088</v>
      </c>
      <c r="E2311" s="23" t="n">
        <f aca="false">IF(AND(C2311&gt;=Assumptions!$E$25,C2311&lt;=Staffing!$G$44,'Start Here'!$B$8=1),IF(C2311&lt;=6,Staffing!$H$44,IF(C2311&lt;=15,Staffing!$I$44,IF(C2311&lt;=30,Staffing!$J$44,Staffing!$K$44))),0)</f>
        <v>0</v>
      </c>
      <c r="F2311" s="10" t="n">
        <f aca="false">E2311*Staffing!$L$44/12*(1+Assumptions!$E$10)^INT((C2311-1)/12)*1</f>
        <v>0</v>
      </c>
      <c r="G2311" s="10" t="n">
        <f aca="false">F2311*Staffing!$N$44</f>
        <v>0</v>
      </c>
      <c r="H2311" s="10" t="n">
        <f aca="false">F2311+G2311</f>
        <v>0</v>
      </c>
      <c r="I2311" s="10" t="n">
        <f aca="false">0</f>
        <v>0</v>
      </c>
      <c r="J2311" s="10" t="n">
        <f aca="false">MAX(0,E2311-E2310)*Staffing!$O$44</f>
        <v>0</v>
      </c>
      <c r="K2311" s="10" t="n">
        <f aca="false">MAX(0,E2311-E2310)*Staffing!$P$44</f>
        <v>0</v>
      </c>
      <c r="L2311" s="23" t="n">
        <f aca="false">ROUNDUP(E2311,0)</f>
        <v>0</v>
      </c>
    </row>
    <row r="2312" customFormat="false" ht="15" hidden="false" customHeight="false" outlineLevel="0" collapsed="false">
      <c r="A2312" s="6" t="s">
        <v>73</v>
      </c>
      <c r="B2312" s="6" t="s">
        <v>353</v>
      </c>
      <c r="C2312" s="6" t="n">
        <v>27</v>
      </c>
      <c r="D2312" s="25" t="n">
        <f aca="false">EDATE('Start Here'!$B$6,C2312-1)</f>
        <v>47119</v>
      </c>
      <c r="E2312" s="23" t="n">
        <f aca="false">IF(AND(C2312&gt;=Assumptions!$E$25,C2312&lt;=Staffing!$G$44,'Start Here'!$B$8=1),IF(C2312&lt;=6,Staffing!$H$44,IF(C2312&lt;=15,Staffing!$I$44,IF(C2312&lt;=30,Staffing!$J$44,Staffing!$K$44))),0)</f>
        <v>0</v>
      </c>
      <c r="F2312" s="10" t="n">
        <f aca="false">E2312*Staffing!$L$44/12*(1+Assumptions!$E$10)^INT((C2312-1)/12)*1</f>
        <v>0</v>
      </c>
      <c r="G2312" s="10" t="n">
        <f aca="false">F2312*Staffing!$N$44</f>
        <v>0</v>
      </c>
      <c r="H2312" s="10" t="n">
        <f aca="false">F2312+G2312</f>
        <v>0</v>
      </c>
      <c r="I2312" s="10" t="n">
        <f aca="false">0</f>
        <v>0</v>
      </c>
      <c r="J2312" s="10" t="n">
        <f aca="false">MAX(0,E2312-E2311)*Staffing!$O$44</f>
        <v>0</v>
      </c>
      <c r="K2312" s="10" t="n">
        <f aca="false">MAX(0,E2312-E2311)*Staffing!$P$44</f>
        <v>0</v>
      </c>
      <c r="L2312" s="23" t="n">
        <f aca="false">ROUNDUP(E2312,0)</f>
        <v>0</v>
      </c>
    </row>
    <row r="2313" customFormat="false" ht="15" hidden="false" customHeight="false" outlineLevel="0" collapsed="false">
      <c r="A2313" s="6" t="s">
        <v>73</v>
      </c>
      <c r="B2313" s="6" t="s">
        <v>353</v>
      </c>
      <c r="C2313" s="6" t="n">
        <v>28</v>
      </c>
      <c r="D2313" s="25" t="n">
        <f aca="false">EDATE('Start Here'!$B$6,C2313-1)</f>
        <v>47150</v>
      </c>
      <c r="E2313" s="23" t="n">
        <f aca="false">IF(AND(C2313&gt;=Assumptions!$E$25,C2313&lt;=Staffing!$G$44,'Start Here'!$B$8=1),IF(C2313&lt;=6,Staffing!$H$44,IF(C2313&lt;=15,Staffing!$I$44,IF(C2313&lt;=30,Staffing!$J$44,Staffing!$K$44))),0)</f>
        <v>0</v>
      </c>
      <c r="F2313" s="10" t="n">
        <f aca="false">E2313*Staffing!$L$44/12*(1+Assumptions!$E$10)^INT((C2313-1)/12)*1</f>
        <v>0</v>
      </c>
      <c r="G2313" s="10" t="n">
        <f aca="false">F2313*Staffing!$N$44</f>
        <v>0</v>
      </c>
      <c r="H2313" s="10" t="n">
        <f aca="false">F2313+G2313</f>
        <v>0</v>
      </c>
      <c r="I2313" s="10" t="n">
        <f aca="false">0</f>
        <v>0</v>
      </c>
      <c r="J2313" s="10" t="n">
        <f aca="false">MAX(0,E2313-E2312)*Staffing!$O$44</f>
        <v>0</v>
      </c>
      <c r="K2313" s="10" t="n">
        <f aca="false">MAX(0,E2313-E2312)*Staffing!$P$44</f>
        <v>0</v>
      </c>
      <c r="L2313" s="23" t="n">
        <f aca="false">ROUNDUP(E2313,0)</f>
        <v>0</v>
      </c>
    </row>
    <row r="2314" customFormat="false" ht="15" hidden="false" customHeight="false" outlineLevel="0" collapsed="false">
      <c r="A2314" s="6" t="s">
        <v>73</v>
      </c>
      <c r="B2314" s="6" t="s">
        <v>353</v>
      </c>
      <c r="C2314" s="6" t="n">
        <v>29</v>
      </c>
      <c r="D2314" s="25" t="n">
        <f aca="false">EDATE('Start Here'!$B$6,C2314-1)</f>
        <v>47178</v>
      </c>
      <c r="E2314" s="23" t="n">
        <f aca="false">IF(AND(C2314&gt;=Assumptions!$E$25,C2314&lt;=Staffing!$G$44,'Start Here'!$B$8=1),IF(C2314&lt;=6,Staffing!$H$44,IF(C2314&lt;=15,Staffing!$I$44,IF(C2314&lt;=30,Staffing!$J$44,Staffing!$K$44))),0)</f>
        <v>0</v>
      </c>
      <c r="F2314" s="10" t="n">
        <f aca="false">E2314*Staffing!$L$44/12*(1+Assumptions!$E$10)^INT((C2314-1)/12)*1</f>
        <v>0</v>
      </c>
      <c r="G2314" s="10" t="n">
        <f aca="false">F2314*Staffing!$N$44</f>
        <v>0</v>
      </c>
      <c r="H2314" s="10" t="n">
        <f aca="false">F2314+G2314</f>
        <v>0</v>
      </c>
      <c r="I2314" s="10" t="n">
        <f aca="false">0</f>
        <v>0</v>
      </c>
      <c r="J2314" s="10" t="n">
        <f aca="false">MAX(0,E2314-E2313)*Staffing!$O$44</f>
        <v>0</v>
      </c>
      <c r="K2314" s="10" t="n">
        <f aca="false">MAX(0,E2314-E2313)*Staffing!$P$44</f>
        <v>0</v>
      </c>
      <c r="L2314" s="23" t="n">
        <f aca="false">ROUNDUP(E2314,0)</f>
        <v>0</v>
      </c>
    </row>
    <row r="2315" customFormat="false" ht="15" hidden="false" customHeight="false" outlineLevel="0" collapsed="false">
      <c r="A2315" s="6" t="s">
        <v>73</v>
      </c>
      <c r="B2315" s="6" t="s">
        <v>353</v>
      </c>
      <c r="C2315" s="6" t="n">
        <v>30</v>
      </c>
      <c r="D2315" s="25" t="n">
        <f aca="false">EDATE('Start Here'!$B$6,C2315-1)</f>
        <v>47209</v>
      </c>
      <c r="E2315" s="23" t="n">
        <f aca="false">IF(AND(C2315&gt;=Assumptions!$E$25,C2315&lt;=Staffing!$G$44,'Start Here'!$B$8=1),IF(C2315&lt;=6,Staffing!$H$44,IF(C2315&lt;=15,Staffing!$I$44,IF(C2315&lt;=30,Staffing!$J$44,Staffing!$K$44))),0)</f>
        <v>0</v>
      </c>
      <c r="F2315" s="10" t="n">
        <f aca="false">E2315*Staffing!$L$44/12*(1+Assumptions!$E$10)^INT((C2315-1)/12)*1</f>
        <v>0</v>
      </c>
      <c r="G2315" s="10" t="n">
        <f aca="false">F2315*Staffing!$N$44</f>
        <v>0</v>
      </c>
      <c r="H2315" s="10" t="n">
        <f aca="false">F2315+G2315</f>
        <v>0</v>
      </c>
      <c r="I2315" s="10" t="n">
        <f aca="false">0</f>
        <v>0</v>
      </c>
      <c r="J2315" s="10" t="n">
        <f aca="false">MAX(0,E2315-E2314)*Staffing!$O$44</f>
        <v>0</v>
      </c>
      <c r="K2315" s="10" t="n">
        <f aca="false">MAX(0,E2315-E2314)*Staffing!$P$44</f>
        <v>0</v>
      </c>
      <c r="L2315" s="23" t="n">
        <f aca="false">ROUNDUP(E2315,0)</f>
        <v>0</v>
      </c>
    </row>
    <row r="2316" customFormat="false" ht="15" hidden="false" customHeight="false" outlineLevel="0" collapsed="false">
      <c r="A2316" s="6" t="s">
        <v>73</v>
      </c>
      <c r="B2316" s="6" t="s">
        <v>353</v>
      </c>
      <c r="C2316" s="6" t="n">
        <v>31</v>
      </c>
      <c r="D2316" s="25" t="n">
        <f aca="false">EDATE('Start Here'!$B$6,C2316-1)</f>
        <v>47239</v>
      </c>
      <c r="E2316" s="23" t="n">
        <f aca="false">IF(AND(C2316&gt;=Assumptions!$E$25,C2316&lt;=Staffing!$G$44,'Start Here'!$B$8=1),IF(C2316&lt;=6,Staffing!$H$44,IF(C2316&lt;=15,Staffing!$I$44,IF(C2316&lt;=30,Staffing!$J$44,Staffing!$K$44))),0)</f>
        <v>0</v>
      </c>
      <c r="F2316" s="10" t="n">
        <f aca="false">E2316*Staffing!$L$44/12*(1+Assumptions!$E$10)^INT((C2316-1)/12)*1</f>
        <v>0</v>
      </c>
      <c r="G2316" s="10" t="n">
        <f aca="false">F2316*Staffing!$N$44</f>
        <v>0</v>
      </c>
      <c r="H2316" s="10" t="n">
        <f aca="false">F2316+G2316</f>
        <v>0</v>
      </c>
      <c r="I2316" s="10" t="n">
        <f aca="false">0</f>
        <v>0</v>
      </c>
      <c r="J2316" s="10" t="n">
        <f aca="false">MAX(0,E2316-E2315)*Staffing!$O$44</f>
        <v>0</v>
      </c>
      <c r="K2316" s="10" t="n">
        <f aca="false">MAX(0,E2316-E2315)*Staffing!$P$44</f>
        <v>0</v>
      </c>
      <c r="L2316" s="23" t="n">
        <f aca="false">ROUNDUP(E2316,0)</f>
        <v>0</v>
      </c>
    </row>
    <row r="2317" customFormat="false" ht="15" hidden="false" customHeight="false" outlineLevel="0" collapsed="false">
      <c r="A2317" s="6" t="s">
        <v>73</v>
      </c>
      <c r="B2317" s="6" t="s">
        <v>353</v>
      </c>
      <c r="C2317" s="6" t="n">
        <v>32</v>
      </c>
      <c r="D2317" s="25" t="n">
        <f aca="false">EDATE('Start Here'!$B$6,C2317-1)</f>
        <v>47270</v>
      </c>
      <c r="E2317" s="23" t="n">
        <f aca="false">IF(AND(C2317&gt;=Assumptions!$E$25,C2317&lt;=Staffing!$G$44,'Start Here'!$B$8=1),IF(C2317&lt;=6,Staffing!$H$44,IF(C2317&lt;=15,Staffing!$I$44,IF(C2317&lt;=30,Staffing!$J$44,Staffing!$K$44))),0)</f>
        <v>0</v>
      </c>
      <c r="F2317" s="10" t="n">
        <f aca="false">E2317*Staffing!$L$44/12*(1+Assumptions!$E$10)^INT((C2317-1)/12)*1</f>
        <v>0</v>
      </c>
      <c r="G2317" s="10" t="n">
        <f aca="false">F2317*Staffing!$N$44</f>
        <v>0</v>
      </c>
      <c r="H2317" s="10" t="n">
        <f aca="false">F2317+G2317</f>
        <v>0</v>
      </c>
      <c r="I2317" s="10" t="n">
        <f aca="false">0</f>
        <v>0</v>
      </c>
      <c r="J2317" s="10" t="n">
        <f aca="false">MAX(0,E2317-E2316)*Staffing!$O$44</f>
        <v>0</v>
      </c>
      <c r="K2317" s="10" t="n">
        <f aca="false">MAX(0,E2317-E2316)*Staffing!$P$44</f>
        <v>0</v>
      </c>
      <c r="L2317" s="23" t="n">
        <f aca="false">ROUNDUP(E2317,0)</f>
        <v>0</v>
      </c>
    </row>
    <row r="2318" customFormat="false" ht="15" hidden="false" customHeight="false" outlineLevel="0" collapsed="false">
      <c r="A2318" s="6" t="s">
        <v>73</v>
      </c>
      <c r="B2318" s="6" t="s">
        <v>353</v>
      </c>
      <c r="C2318" s="6" t="n">
        <v>33</v>
      </c>
      <c r="D2318" s="25" t="n">
        <f aca="false">EDATE('Start Here'!$B$6,C2318-1)</f>
        <v>47300</v>
      </c>
      <c r="E2318" s="23" t="n">
        <f aca="false">IF(AND(C2318&gt;=Assumptions!$E$25,C2318&lt;=Staffing!$G$44,'Start Here'!$B$8=1),IF(C2318&lt;=6,Staffing!$H$44,IF(C2318&lt;=15,Staffing!$I$44,IF(C2318&lt;=30,Staffing!$J$44,Staffing!$K$44))),0)</f>
        <v>0</v>
      </c>
      <c r="F2318" s="10" t="n">
        <f aca="false">E2318*Staffing!$L$44/12*(1+Assumptions!$E$10)^INT((C2318-1)/12)*1</f>
        <v>0</v>
      </c>
      <c r="G2318" s="10" t="n">
        <f aca="false">F2318*Staffing!$N$44</f>
        <v>0</v>
      </c>
      <c r="H2318" s="10" t="n">
        <f aca="false">F2318+G2318</f>
        <v>0</v>
      </c>
      <c r="I2318" s="10" t="n">
        <f aca="false">0</f>
        <v>0</v>
      </c>
      <c r="J2318" s="10" t="n">
        <f aca="false">MAX(0,E2318-E2317)*Staffing!$O$44</f>
        <v>0</v>
      </c>
      <c r="K2318" s="10" t="n">
        <f aca="false">MAX(0,E2318-E2317)*Staffing!$P$44</f>
        <v>0</v>
      </c>
      <c r="L2318" s="23" t="n">
        <f aca="false">ROUNDUP(E2318,0)</f>
        <v>0</v>
      </c>
    </row>
    <row r="2319" customFormat="false" ht="15" hidden="false" customHeight="false" outlineLevel="0" collapsed="false">
      <c r="A2319" s="6" t="s">
        <v>73</v>
      </c>
      <c r="B2319" s="6" t="s">
        <v>353</v>
      </c>
      <c r="C2319" s="6" t="n">
        <v>34</v>
      </c>
      <c r="D2319" s="25" t="n">
        <f aca="false">EDATE('Start Here'!$B$6,C2319-1)</f>
        <v>47331</v>
      </c>
      <c r="E2319" s="23" t="n">
        <f aca="false">IF(AND(C2319&gt;=Assumptions!$E$25,C2319&lt;=Staffing!$G$44,'Start Here'!$B$8=1),IF(C2319&lt;=6,Staffing!$H$44,IF(C2319&lt;=15,Staffing!$I$44,IF(C2319&lt;=30,Staffing!$J$44,Staffing!$K$44))),0)</f>
        <v>0</v>
      </c>
      <c r="F2319" s="10" t="n">
        <f aca="false">E2319*Staffing!$L$44/12*(1+Assumptions!$E$10)^INT((C2319-1)/12)*1</f>
        <v>0</v>
      </c>
      <c r="G2319" s="10" t="n">
        <f aca="false">F2319*Staffing!$N$44</f>
        <v>0</v>
      </c>
      <c r="H2319" s="10" t="n">
        <f aca="false">F2319+G2319</f>
        <v>0</v>
      </c>
      <c r="I2319" s="10" t="n">
        <f aca="false">0</f>
        <v>0</v>
      </c>
      <c r="J2319" s="10" t="n">
        <f aca="false">MAX(0,E2319-E2318)*Staffing!$O$44</f>
        <v>0</v>
      </c>
      <c r="K2319" s="10" t="n">
        <f aca="false">MAX(0,E2319-E2318)*Staffing!$P$44</f>
        <v>0</v>
      </c>
      <c r="L2319" s="23" t="n">
        <f aca="false">ROUNDUP(E2319,0)</f>
        <v>0</v>
      </c>
    </row>
    <row r="2320" customFormat="false" ht="15" hidden="false" customHeight="false" outlineLevel="0" collapsed="false">
      <c r="A2320" s="6" t="s">
        <v>73</v>
      </c>
      <c r="B2320" s="6" t="s">
        <v>353</v>
      </c>
      <c r="C2320" s="6" t="n">
        <v>35</v>
      </c>
      <c r="D2320" s="25" t="n">
        <f aca="false">EDATE('Start Here'!$B$6,C2320-1)</f>
        <v>47362</v>
      </c>
      <c r="E2320" s="23" t="n">
        <f aca="false">IF(AND(C2320&gt;=Assumptions!$E$25,C2320&lt;=Staffing!$G$44,'Start Here'!$B$8=1),IF(C2320&lt;=6,Staffing!$H$44,IF(C2320&lt;=15,Staffing!$I$44,IF(C2320&lt;=30,Staffing!$J$44,Staffing!$K$44))),0)</f>
        <v>0</v>
      </c>
      <c r="F2320" s="10" t="n">
        <f aca="false">E2320*Staffing!$L$44/12*(1+Assumptions!$E$10)^INT((C2320-1)/12)*1</f>
        <v>0</v>
      </c>
      <c r="G2320" s="10" t="n">
        <f aca="false">F2320*Staffing!$N$44</f>
        <v>0</v>
      </c>
      <c r="H2320" s="10" t="n">
        <f aca="false">F2320+G2320</f>
        <v>0</v>
      </c>
      <c r="I2320" s="10" t="n">
        <f aca="false">0</f>
        <v>0</v>
      </c>
      <c r="J2320" s="10" t="n">
        <f aca="false">MAX(0,E2320-E2319)*Staffing!$O$44</f>
        <v>0</v>
      </c>
      <c r="K2320" s="10" t="n">
        <f aca="false">MAX(0,E2320-E2319)*Staffing!$P$44</f>
        <v>0</v>
      </c>
      <c r="L2320" s="23" t="n">
        <f aca="false">ROUNDUP(E2320,0)</f>
        <v>0</v>
      </c>
    </row>
    <row r="2321" customFormat="false" ht="15" hidden="false" customHeight="false" outlineLevel="0" collapsed="false">
      <c r="A2321" s="6" t="s">
        <v>73</v>
      </c>
      <c r="B2321" s="6" t="s">
        <v>353</v>
      </c>
      <c r="C2321" s="6" t="n">
        <v>36</v>
      </c>
      <c r="D2321" s="25" t="n">
        <f aca="false">EDATE('Start Here'!$B$6,C2321-1)</f>
        <v>47392</v>
      </c>
      <c r="E2321" s="23" t="n">
        <f aca="false">IF(AND(C2321&gt;=Assumptions!$E$25,C2321&lt;=Staffing!$G$44,'Start Here'!$B$8=1),IF(C2321&lt;=6,Staffing!$H$44,IF(C2321&lt;=15,Staffing!$I$44,IF(C2321&lt;=30,Staffing!$J$44,Staffing!$K$44))),0)</f>
        <v>0</v>
      </c>
      <c r="F2321" s="10" t="n">
        <f aca="false">E2321*Staffing!$L$44/12*(1+Assumptions!$E$10)^INT((C2321-1)/12)*1</f>
        <v>0</v>
      </c>
      <c r="G2321" s="10" t="n">
        <f aca="false">F2321*Staffing!$N$44</f>
        <v>0</v>
      </c>
      <c r="H2321" s="10" t="n">
        <f aca="false">F2321+G2321</f>
        <v>0</v>
      </c>
      <c r="I2321" s="10" t="n">
        <f aca="false">0</f>
        <v>0</v>
      </c>
      <c r="J2321" s="10" t="n">
        <f aca="false">MAX(0,E2321-E2320)*Staffing!$O$44</f>
        <v>0</v>
      </c>
      <c r="K2321" s="10" t="n">
        <f aca="false">MAX(0,E2321-E2320)*Staffing!$P$44</f>
        <v>0</v>
      </c>
      <c r="L2321" s="23" t="n">
        <f aca="false">ROUNDUP(E2321,0)</f>
        <v>0</v>
      </c>
    </row>
    <row r="2322" customFormat="false" ht="15" hidden="false" customHeight="false" outlineLevel="0" collapsed="false">
      <c r="A2322" s="6" t="s">
        <v>73</v>
      </c>
      <c r="B2322" s="6" t="s">
        <v>353</v>
      </c>
      <c r="C2322" s="6" t="n">
        <v>37</v>
      </c>
      <c r="D2322" s="25" t="n">
        <f aca="false">EDATE('Start Here'!$B$6,C2322-1)</f>
        <v>47423</v>
      </c>
      <c r="E2322" s="23" t="n">
        <f aca="false">IF(AND(C2322&gt;=Assumptions!$E$25,C2322&lt;=Staffing!$G$44,'Start Here'!$B$8=1),IF(C2322&lt;=6,Staffing!$H$44,IF(C2322&lt;=15,Staffing!$I$44,IF(C2322&lt;=30,Staffing!$J$44,Staffing!$K$44))),0)</f>
        <v>0</v>
      </c>
      <c r="F2322" s="10" t="n">
        <f aca="false">E2322*Staffing!$L$44/12*(1+Assumptions!$E$10)^INT((C2322-1)/12)*1</f>
        <v>0</v>
      </c>
      <c r="G2322" s="10" t="n">
        <f aca="false">F2322*Staffing!$N$44</f>
        <v>0</v>
      </c>
      <c r="H2322" s="10" t="n">
        <f aca="false">F2322+G2322</f>
        <v>0</v>
      </c>
      <c r="I2322" s="10" t="n">
        <f aca="false">0</f>
        <v>0</v>
      </c>
      <c r="J2322" s="10" t="n">
        <f aca="false">MAX(0,E2322-E2321)*Staffing!$O$44</f>
        <v>0</v>
      </c>
      <c r="K2322" s="10" t="n">
        <f aca="false">MAX(0,E2322-E2321)*Staffing!$P$44</f>
        <v>0</v>
      </c>
      <c r="L2322" s="23" t="n">
        <f aca="false">ROUNDUP(E2322,0)</f>
        <v>0</v>
      </c>
    </row>
    <row r="2323" customFormat="false" ht="15" hidden="false" customHeight="false" outlineLevel="0" collapsed="false">
      <c r="A2323" s="6" t="s">
        <v>73</v>
      </c>
      <c r="B2323" s="6" t="s">
        <v>353</v>
      </c>
      <c r="C2323" s="6" t="n">
        <v>38</v>
      </c>
      <c r="D2323" s="25" t="n">
        <f aca="false">EDATE('Start Here'!$B$6,C2323-1)</f>
        <v>47453</v>
      </c>
      <c r="E2323" s="23" t="n">
        <f aca="false">IF(AND(C2323&gt;=Assumptions!$E$25,C2323&lt;=Staffing!$G$44,'Start Here'!$B$8=1),IF(C2323&lt;=6,Staffing!$H$44,IF(C2323&lt;=15,Staffing!$I$44,IF(C2323&lt;=30,Staffing!$J$44,Staffing!$K$44))),0)</f>
        <v>0</v>
      </c>
      <c r="F2323" s="10" t="n">
        <f aca="false">E2323*Staffing!$L$44/12*(1+Assumptions!$E$10)^INT((C2323-1)/12)*1</f>
        <v>0</v>
      </c>
      <c r="G2323" s="10" t="n">
        <f aca="false">F2323*Staffing!$N$44</f>
        <v>0</v>
      </c>
      <c r="H2323" s="10" t="n">
        <f aca="false">F2323+G2323</f>
        <v>0</v>
      </c>
      <c r="I2323" s="10" t="n">
        <f aca="false">0</f>
        <v>0</v>
      </c>
      <c r="J2323" s="10" t="n">
        <f aca="false">MAX(0,E2323-E2322)*Staffing!$O$44</f>
        <v>0</v>
      </c>
      <c r="K2323" s="10" t="n">
        <f aca="false">MAX(0,E2323-E2322)*Staffing!$P$44</f>
        <v>0</v>
      </c>
      <c r="L2323" s="23" t="n">
        <f aca="false">ROUNDUP(E2323,0)</f>
        <v>0</v>
      </c>
    </row>
    <row r="2324" customFormat="false" ht="15" hidden="false" customHeight="false" outlineLevel="0" collapsed="false">
      <c r="A2324" s="6" t="s">
        <v>73</v>
      </c>
      <c r="B2324" s="6" t="s">
        <v>353</v>
      </c>
      <c r="C2324" s="6" t="n">
        <v>39</v>
      </c>
      <c r="D2324" s="25" t="n">
        <f aca="false">EDATE('Start Here'!$B$6,C2324-1)</f>
        <v>47484</v>
      </c>
      <c r="E2324" s="23" t="n">
        <f aca="false">IF(AND(C2324&gt;=Assumptions!$E$25,C2324&lt;=Staffing!$G$44,'Start Here'!$B$8=1),IF(C2324&lt;=6,Staffing!$H$44,IF(C2324&lt;=15,Staffing!$I$44,IF(C2324&lt;=30,Staffing!$J$44,Staffing!$K$44))),0)</f>
        <v>0</v>
      </c>
      <c r="F2324" s="10" t="n">
        <f aca="false">E2324*Staffing!$L$44/12*(1+Assumptions!$E$10)^INT((C2324-1)/12)*1</f>
        <v>0</v>
      </c>
      <c r="G2324" s="10" t="n">
        <f aca="false">F2324*Staffing!$N$44</f>
        <v>0</v>
      </c>
      <c r="H2324" s="10" t="n">
        <f aca="false">F2324+G2324</f>
        <v>0</v>
      </c>
      <c r="I2324" s="10" t="n">
        <f aca="false">0</f>
        <v>0</v>
      </c>
      <c r="J2324" s="10" t="n">
        <f aca="false">MAX(0,E2324-E2323)*Staffing!$O$44</f>
        <v>0</v>
      </c>
      <c r="K2324" s="10" t="n">
        <f aca="false">MAX(0,E2324-E2323)*Staffing!$P$44</f>
        <v>0</v>
      </c>
      <c r="L2324" s="23" t="n">
        <f aca="false">ROUNDUP(E2324,0)</f>
        <v>0</v>
      </c>
    </row>
    <row r="2325" customFormat="false" ht="15" hidden="false" customHeight="false" outlineLevel="0" collapsed="false">
      <c r="A2325" s="6" t="s">
        <v>73</v>
      </c>
      <c r="B2325" s="6" t="s">
        <v>353</v>
      </c>
      <c r="C2325" s="6" t="n">
        <v>40</v>
      </c>
      <c r="D2325" s="25" t="n">
        <f aca="false">EDATE('Start Here'!$B$6,C2325-1)</f>
        <v>47515</v>
      </c>
      <c r="E2325" s="23" t="n">
        <f aca="false">IF(AND(C2325&gt;=Assumptions!$E$25,C2325&lt;=Staffing!$G$44,'Start Here'!$B$8=1),IF(C2325&lt;=6,Staffing!$H$44,IF(C2325&lt;=15,Staffing!$I$44,IF(C2325&lt;=30,Staffing!$J$44,Staffing!$K$44))),0)</f>
        <v>0</v>
      </c>
      <c r="F2325" s="10" t="n">
        <f aca="false">E2325*Staffing!$L$44/12*(1+Assumptions!$E$10)^INT((C2325-1)/12)*1</f>
        <v>0</v>
      </c>
      <c r="G2325" s="10" t="n">
        <f aca="false">F2325*Staffing!$N$44</f>
        <v>0</v>
      </c>
      <c r="H2325" s="10" t="n">
        <f aca="false">F2325+G2325</f>
        <v>0</v>
      </c>
      <c r="I2325" s="10" t="n">
        <f aca="false">0</f>
        <v>0</v>
      </c>
      <c r="J2325" s="10" t="n">
        <f aca="false">MAX(0,E2325-E2324)*Staffing!$O$44</f>
        <v>0</v>
      </c>
      <c r="K2325" s="10" t="n">
        <f aca="false">MAX(0,E2325-E2324)*Staffing!$P$44</f>
        <v>0</v>
      </c>
      <c r="L2325" s="23" t="n">
        <f aca="false">ROUNDUP(E2325,0)</f>
        <v>0</v>
      </c>
    </row>
    <row r="2326" customFormat="false" ht="15" hidden="false" customHeight="false" outlineLevel="0" collapsed="false">
      <c r="A2326" s="6" t="s">
        <v>73</v>
      </c>
      <c r="B2326" s="6" t="s">
        <v>353</v>
      </c>
      <c r="C2326" s="6" t="n">
        <v>41</v>
      </c>
      <c r="D2326" s="25" t="n">
        <f aca="false">EDATE('Start Here'!$B$6,C2326-1)</f>
        <v>47543</v>
      </c>
      <c r="E2326" s="23" t="n">
        <f aca="false">IF(AND(C2326&gt;=Assumptions!$E$25,C2326&lt;=Staffing!$G$44,'Start Here'!$B$8=1),IF(C2326&lt;=6,Staffing!$H$44,IF(C2326&lt;=15,Staffing!$I$44,IF(C2326&lt;=30,Staffing!$J$44,Staffing!$K$44))),0)</f>
        <v>0</v>
      </c>
      <c r="F2326" s="10" t="n">
        <f aca="false">E2326*Staffing!$L$44/12*(1+Assumptions!$E$10)^INT((C2326-1)/12)*1</f>
        <v>0</v>
      </c>
      <c r="G2326" s="10" t="n">
        <f aca="false">F2326*Staffing!$N$44</f>
        <v>0</v>
      </c>
      <c r="H2326" s="10" t="n">
        <f aca="false">F2326+G2326</f>
        <v>0</v>
      </c>
      <c r="I2326" s="10" t="n">
        <f aca="false">0</f>
        <v>0</v>
      </c>
      <c r="J2326" s="10" t="n">
        <f aca="false">MAX(0,E2326-E2325)*Staffing!$O$44</f>
        <v>0</v>
      </c>
      <c r="K2326" s="10" t="n">
        <f aca="false">MAX(0,E2326-E2325)*Staffing!$P$44</f>
        <v>0</v>
      </c>
      <c r="L2326" s="23" t="n">
        <f aca="false">ROUNDUP(E2326,0)</f>
        <v>0</v>
      </c>
    </row>
    <row r="2327" customFormat="false" ht="15" hidden="false" customHeight="false" outlineLevel="0" collapsed="false">
      <c r="A2327" s="6" t="s">
        <v>73</v>
      </c>
      <c r="B2327" s="6" t="s">
        <v>353</v>
      </c>
      <c r="C2327" s="6" t="n">
        <v>42</v>
      </c>
      <c r="D2327" s="25" t="n">
        <f aca="false">EDATE('Start Here'!$B$6,C2327-1)</f>
        <v>47574</v>
      </c>
      <c r="E2327" s="23" t="n">
        <f aca="false">IF(AND(C2327&gt;=Assumptions!$E$25,C2327&lt;=Staffing!$G$44,'Start Here'!$B$8=1),IF(C2327&lt;=6,Staffing!$H$44,IF(C2327&lt;=15,Staffing!$I$44,IF(C2327&lt;=30,Staffing!$J$44,Staffing!$K$44))),0)</f>
        <v>0</v>
      </c>
      <c r="F2327" s="10" t="n">
        <f aca="false">E2327*Staffing!$L$44/12*(1+Assumptions!$E$10)^INT((C2327-1)/12)*1</f>
        <v>0</v>
      </c>
      <c r="G2327" s="10" t="n">
        <f aca="false">F2327*Staffing!$N$44</f>
        <v>0</v>
      </c>
      <c r="H2327" s="10" t="n">
        <f aca="false">F2327+G2327</f>
        <v>0</v>
      </c>
      <c r="I2327" s="10" t="n">
        <f aca="false">0</f>
        <v>0</v>
      </c>
      <c r="J2327" s="10" t="n">
        <f aca="false">MAX(0,E2327-E2326)*Staffing!$O$44</f>
        <v>0</v>
      </c>
      <c r="K2327" s="10" t="n">
        <f aca="false">MAX(0,E2327-E2326)*Staffing!$P$44</f>
        <v>0</v>
      </c>
      <c r="L2327" s="23" t="n">
        <f aca="false">ROUNDUP(E2327,0)</f>
        <v>0</v>
      </c>
    </row>
    <row r="2328" customFormat="false" ht="15" hidden="false" customHeight="false" outlineLevel="0" collapsed="false">
      <c r="A2328" s="6" t="s">
        <v>73</v>
      </c>
      <c r="B2328" s="6" t="s">
        <v>353</v>
      </c>
      <c r="C2328" s="6" t="n">
        <v>43</v>
      </c>
      <c r="D2328" s="25" t="n">
        <f aca="false">EDATE('Start Here'!$B$6,C2328-1)</f>
        <v>47604</v>
      </c>
      <c r="E2328" s="23" t="n">
        <f aca="false">IF(AND(C2328&gt;=Assumptions!$E$25,C2328&lt;=Staffing!$G$44,'Start Here'!$B$8=1),IF(C2328&lt;=6,Staffing!$H$44,IF(C2328&lt;=15,Staffing!$I$44,IF(C2328&lt;=30,Staffing!$J$44,Staffing!$K$44))),0)</f>
        <v>0</v>
      </c>
      <c r="F2328" s="10" t="n">
        <f aca="false">E2328*Staffing!$L$44/12*(1+Assumptions!$E$10)^INT((C2328-1)/12)*1</f>
        <v>0</v>
      </c>
      <c r="G2328" s="10" t="n">
        <f aca="false">F2328*Staffing!$N$44</f>
        <v>0</v>
      </c>
      <c r="H2328" s="10" t="n">
        <f aca="false">F2328+G2328</f>
        <v>0</v>
      </c>
      <c r="I2328" s="10" t="n">
        <f aca="false">0</f>
        <v>0</v>
      </c>
      <c r="J2328" s="10" t="n">
        <f aca="false">MAX(0,E2328-E2327)*Staffing!$O$44</f>
        <v>0</v>
      </c>
      <c r="K2328" s="10" t="n">
        <f aca="false">MAX(0,E2328-E2327)*Staffing!$P$44</f>
        <v>0</v>
      </c>
      <c r="L2328" s="23" t="n">
        <f aca="false">ROUNDUP(E2328,0)</f>
        <v>0</v>
      </c>
    </row>
    <row r="2329" customFormat="false" ht="15" hidden="false" customHeight="false" outlineLevel="0" collapsed="false">
      <c r="A2329" s="6" t="s">
        <v>73</v>
      </c>
      <c r="B2329" s="6" t="s">
        <v>353</v>
      </c>
      <c r="C2329" s="6" t="n">
        <v>44</v>
      </c>
      <c r="D2329" s="25" t="n">
        <f aca="false">EDATE('Start Here'!$B$6,C2329-1)</f>
        <v>47635</v>
      </c>
      <c r="E2329" s="23" t="n">
        <f aca="false">IF(AND(C2329&gt;=Assumptions!$E$25,C2329&lt;=Staffing!$G$44,'Start Here'!$B$8=1),IF(C2329&lt;=6,Staffing!$H$44,IF(C2329&lt;=15,Staffing!$I$44,IF(C2329&lt;=30,Staffing!$J$44,Staffing!$K$44))),0)</f>
        <v>0</v>
      </c>
      <c r="F2329" s="10" t="n">
        <f aca="false">E2329*Staffing!$L$44/12*(1+Assumptions!$E$10)^INT((C2329-1)/12)*1</f>
        <v>0</v>
      </c>
      <c r="G2329" s="10" t="n">
        <f aca="false">F2329*Staffing!$N$44</f>
        <v>0</v>
      </c>
      <c r="H2329" s="10" t="n">
        <f aca="false">F2329+G2329</f>
        <v>0</v>
      </c>
      <c r="I2329" s="10" t="n">
        <f aca="false">0</f>
        <v>0</v>
      </c>
      <c r="J2329" s="10" t="n">
        <f aca="false">MAX(0,E2329-E2328)*Staffing!$O$44</f>
        <v>0</v>
      </c>
      <c r="K2329" s="10" t="n">
        <f aca="false">MAX(0,E2329-E2328)*Staffing!$P$44</f>
        <v>0</v>
      </c>
      <c r="L2329" s="23" t="n">
        <f aca="false">ROUNDUP(E2329,0)</f>
        <v>0</v>
      </c>
    </row>
    <row r="2330" customFormat="false" ht="15" hidden="false" customHeight="false" outlineLevel="0" collapsed="false">
      <c r="A2330" s="6" t="s">
        <v>73</v>
      </c>
      <c r="B2330" s="6" t="s">
        <v>353</v>
      </c>
      <c r="C2330" s="6" t="n">
        <v>45</v>
      </c>
      <c r="D2330" s="25" t="n">
        <f aca="false">EDATE('Start Here'!$B$6,C2330-1)</f>
        <v>47665</v>
      </c>
      <c r="E2330" s="23" t="n">
        <f aca="false">IF(AND(C2330&gt;=Assumptions!$E$25,C2330&lt;=Staffing!$G$44,'Start Here'!$B$8=1),IF(C2330&lt;=6,Staffing!$H$44,IF(C2330&lt;=15,Staffing!$I$44,IF(C2330&lt;=30,Staffing!$J$44,Staffing!$K$44))),0)</f>
        <v>0</v>
      </c>
      <c r="F2330" s="10" t="n">
        <f aca="false">E2330*Staffing!$L$44/12*(1+Assumptions!$E$10)^INT((C2330-1)/12)*1</f>
        <v>0</v>
      </c>
      <c r="G2330" s="10" t="n">
        <f aca="false">F2330*Staffing!$N$44</f>
        <v>0</v>
      </c>
      <c r="H2330" s="10" t="n">
        <f aca="false">F2330+G2330</f>
        <v>0</v>
      </c>
      <c r="I2330" s="10" t="n">
        <f aca="false">0</f>
        <v>0</v>
      </c>
      <c r="J2330" s="10" t="n">
        <f aca="false">MAX(0,E2330-E2329)*Staffing!$O$44</f>
        <v>0</v>
      </c>
      <c r="K2330" s="10" t="n">
        <f aca="false">MAX(0,E2330-E2329)*Staffing!$P$44</f>
        <v>0</v>
      </c>
      <c r="L2330" s="23" t="n">
        <f aca="false">ROUNDUP(E2330,0)</f>
        <v>0</v>
      </c>
    </row>
    <row r="2331" customFormat="false" ht="15" hidden="false" customHeight="false" outlineLevel="0" collapsed="false">
      <c r="A2331" s="6" t="s">
        <v>73</v>
      </c>
      <c r="B2331" s="6" t="s">
        <v>353</v>
      </c>
      <c r="C2331" s="6" t="n">
        <v>46</v>
      </c>
      <c r="D2331" s="25" t="n">
        <f aca="false">EDATE('Start Here'!$B$6,C2331-1)</f>
        <v>47696</v>
      </c>
      <c r="E2331" s="23" t="n">
        <f aca="false">IF(AND(C2331&gt;=Assumptions!$E$25,C2331&lt;=Staffing!$G$44,'Start Here'!$B$8=1),IF(C2331&lt;=6,Staffing!$H$44,IF(C2331&lt;=15,Staffing!$I$44,IF(C2331&lt;=30,Staffing!$J$44,Staffing!$K$44))),0)</f>
        <v>0</v>
      </c>
      <c r="F2331" s="10" t="n">
        <f aca="false">E2331*Staffing!$L$44/12*(1+Assumptions!$E$10)^INT((C2331-1)/12)*1</f>
        <v>0</v>
      </c>
      <c r="G2331" s="10" t="n">
        <f aca="false">F2331*Staffing!$N$44</f>
        <v>0</v>
      </c>
      <c r="H2331" s="10" t="n">
        <f aca="false">F2331+G2331</f>
        <v>0</v>
      </c>
      <c r="I2331" s="10" t="n">
        <f aca="false">0</f>
        <v>0</v>
      </c>
      <c r="J2331" s="10" t="n">
        <f aca="false">MAX(0,E2331-E2330)*Staffing!$O$44</f>
        <v>0</v>
      </c>
      <c r="K2331" s="10" t="n">
        <f aca="false">MAX(0,E2331-E2330)*Staffing!$P$44</f>
        <v>0</v>
      </c>
      <c r="L2331" s="23" t="n">
        <f aca="false">ROUNDUP(E2331,0)</f>
        <v>0</v>
      </c>
    </row>
    <row r="2332" customFormat="false" ht="15" hidden="false" customHeight="false" outlineLevel="0" collapsed="false">
      <c r="A2332" s="6" t="s">
        <v>73</v>
      </c>
      <c r="B2332" s="6" t="s">
        <v>353</v>
      </c>
      <c r="C2332" s="6" t="n">
        <v>47</v>
      </c>
      <c r="D2332" s="25" t="n">
        <f aca="false">EDATE('Start Here'!$B$6,C2332-1)</f>
        <v>47727</v>
      </c>
      <c r="E2332" s="23" t="n">
        <f aca="false">IF(AND(C2332&gt;=Assumptions!$E$25,C2332&lt;=Staffing!$G$44,'Start Here'!$B$8=1),IF(C2332&lt;=6,Staffing!$H$44,IF(C2332&lt;=15,Staffing!$I$44,IF(C2332&lt;=30,Staffing!$J$44,Staffing!$K$44))),0)</f>
        <v>0</v>
      </c>
      <c r="F2332" s="10" t="n">
        <f aca="false">E2332*Staffing!$L$44/12*(1+Assumptions!$E$10)^INT((C2332-1)/12)*1</f>
        <v>0</v>
      </c>
      <c r="G2332" s="10" t="n">
        <f aca="false">F2332*Staffing!$N$44</f>
        <v>0</v>
      </c>
      <c r="H2332" s="10" t="n">
        <f aca="false">F2332+G2332</f>
        <v>0</v>
      </c>
      <c r="I2332" s="10" t="n">
        <f aca="false">0</f>
        <v>0</v>
      </c>
      <c r="J2332" s="10" t="n">
        <f aca="false">MAX(0,E2332-E2331)*Staffing!$O$44</f>
        <v>0</v>
      </c>
      <c r="K2332" s="10" t="n">
        <f aca="false">MAX(0,E2332-E2331)*Staffing!$P$44</f>
        <v>0</v>
      </c>
      <c r="L2332" s="23" t="n">
        <f aca="false">ROUNDUP(E2332,0)</f>
        <v>0</v>
      </c>
    </row>
    <row r="2333" customFormat="false" ht="15" hidden="false" customHeight="false" outlineLevel="0" collapsed="false">
      <c r="A2333" s="6" t="s">
        <v>73</v>
      </c>
      <c r="B2333" s="6" t="s">
        <v>353</v>
      </c>
      <c r="C2333" s="6" t="n">
        <v>48</v>
      </c>
      <c r="D2333" s="25" t="n">
        <f aca="false">EDATE('Start Here'!$B$6,C2333-1)</f>
        <v>47757</v>
      </c>
      <c r="E2333" s="23" t="n">
        <f aca="false">IF(AND(C2333&gt;=Assumptions!$E$25,C2333&lt;=Staffing!$G$44,'Start Here'!$B$8=1),IF(C2333&lt;=6,Staffing!$H$44,IF(C2333&lt;=15,Staffing!$I$44,IF(C2333&lt;=30,Staffing!$J$44,Staffing!$K$44))),0)</f>
        <v>0</v>
      </c>
      <c r="F2333" s="10" t="n">
        <f aca="false">E2333*Staffing!$L$44/12*(1+Assumptions!$E$10)^INT((C2333-1)/12)*1</f>
        <v>0</v>
      </c>
      <c r="G2333" s="10" t="n">
        <f aca="false">F2333*Staffing!$N$44</f>
        <v>0</v>
      </c>
      <c r="H2333" s="10" t="n">
        <f aca="false">F2333+G2333</f>
        <v>0</v>
      </c>
      <c r="I2333" s="10" t="n">
        <f aca="false">0</f>
        <v>0</v>
      </c>
      <c r="J2333" s="10" t="n">
        <f aca="false">MAX(0,E2333-E2332)*Staffing!$O$44</f>
        <v>0</v>
      </c>
      <c r="K2333" s="10" t="n">
        <f aca="false">MAX(0,E2333-E2332)*Staffing!$P$44</f>
        <v>0</v>
      </c>
      <c r="L2333" s="23" t="n">
        <f aca="false">ROUNDUP(E2333,0)</f>
        <v>0</v>
      </c>
    </row>
    <row r="2334" customFormat="false" ht="15" hidden="false" customHeight="false" outlineLevel="0" collapsed="false">
      <c r="A2334" s="6" t="s">
        <v>73</v>
      </c>
      <c r="B2334" s="6" t="s">
        <v>353</v>
      </c>
      <c r="C2334" s="6" t="n">
        <v>49</v>
      </c>
      <c r="D2334" s="25" t="n">
        <f aca="false">EDATE('Start Here'!$B$6,C2334-1)</f>
        <v>47788</v>
      </c>
      <c r="E2334" s="23" t="n">
        <f aca="false">IF(AND(C2334&gt;=Assumptions!$E$25,C2334&lt;=Staffing!$G$44,'Start Here'!$B$8=1),IF(C2334&lt;=6,Staffing!$H$44,IF(C2334&lt;=15,Staffing!$I$44,IF(C2334&lt;=30,Staffing!$J$44,Staffing!$K$44))),0)</f>
        <v>0</v>
      </c>
      <c r="F2334" s="10" t="n">
        <f aca="false">E2334*Staffing!$L$44/12*(1+Assumptions!$E$10)^INT((C2334-1)/12)*1</f>
        <v>0</v>
      </c>
      <c r="G2334" s="10" t="n">
        <f aca="false">F2334*Staffing!$N$44</f>
        <v>0</v>
      </c>
      <c r="H2334" s="10" t="n">
        <f aca="false">F2334+G2334</f>
        <v>0</v>
      </c>
      <c r="I2334" s="10" t="n">
        <f aca="false">0</f>
        <v>0</v>
      </c>
      <c r="J2334" s="10" t="n">
        <f aca="false">MAX(0,E2334-E2333)*Staffing!$O$44</f>
        <v>0</v>
      </c>
      <c r="K2334" s="10" t="n">
        <f aca="false">MAX(0,E2334-E2333)*Staffing!$P$44</f>
        <v>0</v>
      </c>
      <c r="L2334" s="23" t="n">
        <f aca="false">ROUNDUP(E2334,0)</f>
        <v>0</v>
      </c>
    </row>
    <row r="2335" customFormat="false" ht="15" hidden="false" customHeight="false" outlineLevel="0" collapsed="false">
      <c r="A2335" s="6" t="s">
        <v>73</v>
      </c>
      <c r="B2335" s="6" t="s">
        <v>353</v>
      </c>
      <c r="C2335" s="6" t="n">
        <v>50</v>
      </c>
      <c r="D2335" s="25" t="n">
        <f aca="false">EDATE('Start Here'!$B$6,C2335-1)</f>
        <v>47818</v>
      </c>
      <c r="E2335" s="23" t="n">
        <f aca="false">IF(AND(C2335&gt;=Assumptions!$E$25,C2335&lt;=Staffing!$G$44,'Start Here'!$B$8=1),IF(C2335&lt;=6,Staffing!$H$44,IF(C2335&lt;=15,Staffing!$I$44,IF(C2335&lt;=30,Staffing!$J$44,Staffing!$K$44))),0)</f>
        <v>0</v>
      </c>
      <c r="F2335" s="10" t="n">
        <f aca="false">E2335*Staffing!$L$44/12*(1+Assumptions!$E$10)^INT((C2335-1)/12)*1</f>
        <v>0</v>
      </c>
      <c r="G2335" s="10" t="n">
        <f aca="false">F2335*Staffing!$N$44</f>
        <v>0</v>
      </c>
      <c r="H2335" s="10" t="n">
        <f aca="false">F2335+G2335</f>
        <v>0</v>
      </c>
      <c r="I2335" s="10" t="n">
        <f aca="false">0</f>
        <v>0</v>
      </c>
      <c r="J2335" s="10" t="n">
        <f aca="false">MAX(0,E2335-E2334)*Staffing!$O$44</f>
        <v>0</v>
      </c>
      <c r="K2335" s="10" t="n">
        <f aca="false">MAX(0,E2335-E2334)*Staffing!$P$44</f>
        <v>0</v>
      </c>
      <c r="L2335" s="23" t="n">
        <f aca="false">ROUNDUP(E2335,0)</f>
        <v>0</v>
      </c>
    </row>
    <row r="2336" customFormat="false" ht="15" hidden="false" customHeight="false" outlineLevel="0" collapsed="false">
      <c r="A2336" s="6" t="s">
        <v>73</v>
      </c>
      <c r="B2336" s="6" t="s">
        <v>353</v>
      </c>
      <c r="C2336" s="6" t="n">
        <v>51</v>
      </c>
      <c r="D2336" s="25" t="n">
        <f aca="false">EDATE('Start Here'!$B$6,C2336-1)</f>
        <v>47849</v>
      </c>
      <c r="E2336" s="23" t="n">
        <f aca="false">IF(AND(C2336&gt;=Assumptions!$E$25,C2336&lt;=Staffing!$G$44,'Start Here'!$B$8=1),IF(C2336&lt;=6,Staffing!$H$44,IF(C2336&lt;=15,Staffing!$I$44,IF(C2336&lt;=30,Staffing!$J$44,Staffing!$K$44))),0)</f>
        <v>0</v>
      </c>
      <c r="F2336" s="10" t="n">
        <f aca="false">E2336*Staffing!$L$44/12*(1+Assumptions!$E$10)^INT((C2336-1)/12)*1</f>
        <v>0</v>
      </c>
      <c r="G2336" s="10" t="n">
        <f aca="false">F2336*Staffing!$N$44</f>
        <v>0</v>
      </c>
      <c r="H2336" s="10" t="n">
        <f aca="false">F2336+G2336</f>
        <v>0</v>
      </c>
      <c r="I2336" s="10" t="n">
        <f aca="false">0</f>
        <v>0</v>
      </c>
      <c r="J2336" s="10" t="n">
        <f aca="false">MAX(0,E2336-E2335)*Staffing!$O$44</f>
        <v>0</v>
      </c>
      <c r="K2336" s="10" t="n">
        <f aca="false">MAX(0,E2336-E2335)*Staffing!$P$44</f>
        <v>0</v>
      </c>
      <c r="L2336" s="23" t="n">
        <f aca="false">ROUNDUP(E2336,0)</f>
        <v>0</v>
      </c>
    </row>
    <row r="2337" customFormat="false" ht="15" hidden="false" customHeight="false" outlineLevel="0" collapsed="false">
      <c r="A2337" s="6" t="s">
        <v>73</v>
      </c>
      <c r="B2337" s="6" t="s">
        <v>353</v>
      </c>
      <c r="C2337" s="6" t="n">
        <v>52</v>
      </c>
      <c r="D2337" s="25" t="n">
        <f aca="false">EDATE('Start Here'!$B$6,C2337-1)</f>
        <v>47880</v>
      </c>
      <c r="E2337" s="23" t="n">
        <f aca="false">IF(AND(C2337&gt;=Assumptions!$E$25,C2337&lt;=Staffing!$G$44,'Start Here'!$B$8=1),IF(C2337&lt;=6,Staffing!$H$44,IF(C2337&lt;=15,Staffing!$I$44,IF(C2337&lt;=30,Staffing!$J$44,Staffing!$K$44))),0)</f>
        <v>0</v>
      </c>
      <c r="F2337" s="10" t="n">
        <f aca="false">E2337*Staffing!$L$44/12*(1+Assumptions!$E$10)^INT((C2337-1)/12)*1</f>
        <v>0</v>
      </c>
      <c r="G2337" s="10" t="n">
        <f aca="false">F2337*Staffing!$N$44</f>
        <v>0</v>
      </c>
      <c r="H2337" s="10" t="n">
        <f aca="false">F2337+G2337</f>
        <v>0</v>
      </c>
      <c r="I2337" s="10" t="n">
        <f aca="false">0</f>
        <v>0</v>
      </c>
      <c r="J2337" s="10" t="n">
        <f aca="false">MAX(0,E2337-E2336)*Staffing!$O$44</f>
        <v>0</v>
      </c>
      <c r="K2337" s="10" t="n">
        <f aca="false">MAX(0,E2337-E2336)*Staffing!$P$44</f>
        <v>0</v>
      </c>
      <c r="L2337" s="23" t="n">
        <f aca="false">ROUNDUP(E2337,0)</f>
        <v>0</v>
      </c>
    </row>
    <row r="2338" customFormat="false" ht="15" hidden="false" customHeight="false" outlineLevel="0" collapsed="false">
      <c r="A2338" s="6" t="s">
        <v>73</v>
      </c>
      <c r="B2338" s="6" t="s">
        <v>353</v>
      </c>
      <c r="C2338" s="6" t="n">
        <v>53</v>
      </c>
      <c r="D2338" s="25" t="n">
        <f aca="false">EDATE('Start Here'!$B$6,C2338-1)</f>
        <v>47908</v>
      </c>
      <c r="E2338" s="23" t="n">
        <f aca="false">IF(AND(C2338&gt;=Assumptions!$E$25,C2338&lt;=Staffing!$G$44,'Start Here'!$B$8=1),IF(C2338&lt;=6,Staffing!$H$44,IF(C2338&lt;=15,Staffing!$I$44,IF(C2338&lt;=30,Staffing!$J$44,Staffing!$K$44))),0)</f>
        <v>0</v>
      </c>
      <c r="F2338" s="10" t="n">
        <f aca="false">E2338*Staffing!$L$44/12*(1+Assumptions!$E$10)^INT((C2338-1)/12)*1</f>
        <v>0</v>
      </c>
      <c r="G2338" s="10" t="n">
        <f aca="false">F2338*Staffing!$N$44</f>
        <v>0</v>
      </c>
      <c r="H2338" s="10" t="n">
        <f aca="false">F2338+G2338</f>
        <v>0</v>
      </c>
      <c r="I2338" s="10" t="n">
        <f aca="false">0</f>
        <v>0</v>
      </c>
      <c r="J2338" s="10" t="n">
        <f aca="false">MAX(0,E2338-E2337)*Staffing!$O$44</f>
        <v>0</v>
      </c>
      <c r="K2338" s="10" t="n">
        <f aca="false">MAX(0,E2338-E2337)*Staffing!$P$44</f>
        <v>0</v>
      </c>
      <c r="L2338" s="23" t="n">
        <f aca="false">ROUNDUP(E2338,0)</f>
        <v>0</v>
      </c>
    </row>
    <row r="2339" customFormat="false" ht="15" hidden="false" customHeight="false" outlineLevel="0" collapsed="false">
      <c r="A2339" s="6" t="s">
        <v>73</v>
      </c>
      <c r="B2339" s="6" t="s">
        <v>353</v>
      </c>
      <c r="C2339" s="6" t="n">
        <v>54</v>
      </c>
      <c r="D2339" s="25" t="n">
        <f aca="false">EDATE('Start Here'!$B$6,C2339-1)</f>
        <v>47939</v>
      </c>
      <c r="E2339" s="23" t="n">
        <f aca="false">IF(AND(C2339&gt;=Assumptions!$E$25,C2339&lt;=Staffing!$G$44,'Start Here'!$B$8=1),IF(C2339&lt;=6,Staffing!$H$44,IF(C2339&lt;=15,Staffing!$I$44,IF(C2339&lt;=30,Staffing!$J$44,Staffing!$K$44))),0)</f>
        <v>0</v>
      </c>
      <c r="F2339" s="10" t="n">
        <f aca="false">E2339*Staffing!$L$44/12*(1+Assumptions!$E$10)^INT((C2339-1)/12)*1</f>
        <v>0</v>
      </c>
      <c r="G2339" s="10" t="n">
        <f aca="false">F2339*Staffing!$N$44</f>
        <v>0</v>
      </c>
      <c r="H2339" s="10" t="n">
        <f aca="false">F2339+G2339</f>
        <v>0</v>
      </c>
      <c r="I2339" s="10" t="n">
        <f aca="false">0</f>
        <v>0</v>
      </c>
      <c r="J2339" s="10" t="n">
        <f aca="false">MAX(0,E2339-E2338)*Staffing!$O$44</f>
        <v>0</v>
      </c>
      <c r="K2339" s="10" t="n">
        <f aca="false">MAX(0,E2339-E2338)*Staffing!$P$44</f>
        <v>0</v>
      </c>
      <c r="L2339" s="23" t="n">
        <f aca="false">ROUNDUP(E2339,0)</f>
        <v>0</v>
      </c>
    </row>
    <row r="2340" customFormat="false" ht="15" hidden="false" customHeight="false" outlineLevel="0" collapsed="false">
      <c r="A2340" s="6" t="s">
        <v>73</v>
      </c>
      <c r="B2340" s="6" t="s">
        <v>353</v>
      </c>
      <c r="C2340" s="6" t="n">
        <v>55</v>
      </c>
      <c r="D2340" s="25" t="n">
        <f aca="false">EDATE('Start Here'!$B$6,C2340-1)</f>
        <v>47969</v>
      </c>
      <c r="E2340" s="23" t="n">
        <f aca="false">IF(AND(C2340&gt;=Assumptions!$E$25,C2340&lt;=Staffing!$G$44,'Start Here'!$B$8=1),IF(C2340&lt;=6,Staffing!$H$44,IF(C2340&lt;=15,Staffing!$I$44,IF(C2340&lt;=30,Staffing!$J$44,Staffing!$K$44))),0)</f>
        <v>0</v>
      </c>
      <c r="F2340" s="10" t="n">
        <f aca="false">E2340*Staffing!$L$44/12*(1+Assumptions!$E$10)^INT((C2340-1)/12)*1</f>
        <v>0</v>
      </c>
      <c r="G2340" s="10" t="n">
        <f aca="false">F2340*Staffing!$N$44</f>
        <v>0</v>
      </c>
      <c r="H2340" s="10" t="n">
        <f aca="false">F2340+G2340</f>
        <v>0</v>
      </c>
      <c r="I2340" s="10" t="n">
        <f aca="false">0</f>
        <v>0</v>
      </c>
      <c r="J2340" s="10" t="n">
        <f aca="false">MAX(0,E2340-E2339)*Staffing!$O$44</f>
        <v>0</v>
      </c>
      <c r="K2340" s="10" t="n">
        <f aca="false">MAX(0,E2340-E2339)*Staffing!$P$44</f>
        <v>0</v>
      </c>
      <c r="L2340" s="23" t="n">
        <f aca="false">ROUNDUP(E2340,0)</f>
        <v>0</v>
      </c>
    </row>
    <row r="2341" customFormat="false" ht="15" hidden="false" customHeight="false" outlineLevel="0" collapsed="false">
      <c r="A2341" s="6" t="s">
        <v>73</v>
      </c>
      <c r="B2341" s="6" t="s">
        <v>353</v>
      </c>
      <c r="C2341" s="6" t="n">
        <v>56</v>
      </c>
      <c r="D2341" s="25" t="n">
        <f aca="false">EDATE('Start Here'!$B$6,C2341-1)</f>
        <v>48000</v>
      </c>
      <c r="E2341" s="23" t="n">
        <f aca="false">IF(AND(C2341&gt;=Assumptions!$E$25,C2341&lt;=Staffing!$G$44,'Start Here'!$B$8=1),IF(C2341&lt;=6,Staffing!$H$44,IF(C2341&lt;=15,Staffing!$I$44,IF(C2341&lt;=30,Staffing!$J$44,Staffing!$K$44))),0)</f>
        <v>0</v>
      </c>
      <c r="F2341" s="10" t="n">
        <f aca="false">E2341*Staffing!$L$44/12*(1+Assumptions!$E$10)^INT((C2341-1)/12)*1</f>
        <v>0</v>
      </c>
      <c r="G2341" s="10" t="n">
        <f aca="false">F2341*Staffing!$N$44</f>
        <v>0</v>
      </c>
      <c r="H2341" s="10" t="n">
        <f aca="false">F2341+G2341</f>
        <v>0</v>
      </c>
      <c r="I2341" s="10" t="n">
        <f aca="false">0</f>
        <v>0</v>
      </c>
      <c r="J2341" s="10" t="n">
        <f aca="false">MAX(0,E2341-E2340)*Staffing!$O$44</f>
        <v>0</v>
      </c>
      <c r="K2341" s="10" t="n">
        <f aca="false">MAX(0,E2341-E2340)*Staffing!$P$44</f>
        <v>0</v>
      </c>
      <c r="L2341" s="23" t="n">
        <f aca="false">ROUNDUP(E2341,0)</f>
        <v>0</v>
      </c>
    </row>
    <row r="2342" customFormat="false" ht="15" hidden="false" customHeight="false" outlineLevel="0" collapsed="false">
      <c r="A2342" s="6" t="s">
        <v>73</v>
      </c>
      <c r="B2342" s="6" t="s">
        <v>353</v>
      </c>
      <c r="C2342" s="6" t="n">
        <v>57</v>
      </c>
      <c r="D2342" s="25" t="n">
        <f aca="false">EDATE('Start Here'!$B$6,C2342-1)</f>
        <v>48030</v>
      </c>
      <c r="E2342" s="23" t="n">
        <f aca="false">IF(AND(C2342&gt;=Assumptions!$E$25,C2342&lt;=Staffing!$G$44,'Start Here'!$B$8=1),IF(C2342&lt;=6,Staffing!$H$44,IF(C2342&lt;=15,Staffing!$I$44,IF(C2342&lt;=30,Staffing!$J$44,Staffing!$K$44))),0)</f>
        <v>0</v>
      </c>
      <c r="F2342" s="10" t="n">
        <f aca="false">E2342*Staffing!$L$44/12*(1+Assumptions!$E$10)^INT((C2342-1)/12)*1</f>
        <v>0</v>
      </c>
      <c r="G2342" s="10" t="n">
        <f aca="false">F2342*Staffing!$N$44</f>
        <v>0</v>
      </c>
      <c r="H2342" s="10" t="n">
        <f aca="false">F2342+G2342</f>
        <v>0</v>
      </c>
      <c r="I2342" s="10" t="n">
        <f aca="false">0</f>
        <v>0</v>
      </c>
      <c r="J2342" s="10" t="n">
        <f aca="false">MAX(0,E2342-E2341)*Staffing!$O$44</f>
        <v>0</v>
      </c>
      <c r="K2342" s="10" t="n">
        <f aca="false">MAX(0,E2342-E2341)*Staffing!$P$44</f>
        <v>0</v>
      </c>
      <c r="L2342" s="23" t="n">
        <f aca="false">ROUNDUP(E2342,0)</f>
        <v>0</v>
      </c>
    </row>
    <row r="2343" customFormat="false" ht="15" hidden="false" customHeight="false" outlineLevel="0" collapsed="false">
      <c r="A2343" s="6" t="s">
        <v>73</v>
      </c>
      <c r="B2343" s="6" t="s">
        <v>353</v>
      </c>
      <c r="C2343" s="6" t="n">
        <v>58</v>
      </c>
      <c r="D2343" s="25" t="n">
        <f aca="false">EDATE('Start Here'!$B$6,C2343-1)</f>
        <v>48061</v>
      </c>
      <c r="E2343" s="23" t="n">
        <f aca="false">IF(AND(C2343&gt;=Assumptions!$E$25,C2343&lt;=Staffing!$G$44,'Start Here'!$B$8=1),IF(C2343&lt;=6,Staffing!$H$44,IF(C2343&lt;=15,Staffing!$I$44,IF(C2343&lt;=30,Staffing!$J$44,Staffing!$K$44))),0)</f>
        <v>0</v>
      </c>
      <c r="F2343" s="10" t="n">
        <f aca="false">E2343*Staffing!$L$44/12*(1+Assumptions!$E$10)^INT((C2343-1)/12)*1</f>
        <v>0</v>
      </c>
      <c r="G2343" s="10" t="n">
        <f aca="false">F2343*Staffing!$N$44</f>
        <v>0</v>
      </c>
      <c r="H2343" s="10" t="n">
        <f aca="false">F2343+G2343</f>
        <v>0</v>
      </c>
      <c r="I2343" s="10" t="n">
        <f aca="false">0</f>
        <v>0</v>
      </c>
      <c r="J2343" s="10" t="n">
        <f aca="false">MAX(0,E2343-E2342)*Staffing!$O$44</f>
        <v>0</v>
      </c>
      <c r="K2343" s="10" t="n">
        <f aca="false">MAX(0,E2343-E2342)*Staffing!$P$44</f>
        <v>0</v>
      </c>
      <c r="L2343" s="23" t="n">
        <f aca="false">ROUNDUP(E2343,0)</f>
        <v>0</v>
      </c>
    </row>
    <row r="2344" customFormat="false" ht="15" hidden="false" customHeight="false" outlineLevel="0" collapsed="false">
      <c r="A2344" s="6" t="s">
        <v>73</v>
      </c>
      <c r="B2344" s="6" t="s">
        <v>353</v>
      </c>
      <c r="C2344" s="6" t="n">
        <v>59</v>
      </c>
      <c r="D2344" s="25" t="n">
        <f aca="false">EDATE('Start Here'!$B$6,C2344-1)</f>
        <v>48092</v>
      </c>
      <c r="E2344" s="23" t="n">
        <f aca="false">IF(AND(C2344&gt;=Assumptions!$E$25,C2344&lt;=Staffing!$G$44,'Start Here'!$B$8=1),IF(C2344&lt;=6,Staffing!$H$44,IF(C2344&lt;=15,Staffing!$I$44,IF(C2344&lt;=30,Staffing!$J$44,Staffing!$K$44))),0)</f>
        <v>0</v>
      </c>
      <c r="F2344" s="10" t="n">
        <f aca="false">E2344*Staffing!$L$44/12*(1+Assumptions!$E$10)^INT((C2344-1)/12)*1</f>
        <v>0</v>
      </c>
      <c r="G2344" s="10" t="n">
        <f aca="false">F2344*Staffing!$N$44</f>
        <v>0</v>
      </c>
      <c r="H2344" s="10" t="n">
        <f aca="false">F2344+G2344</f>
        <v>0</v>
      </c>
      <c r="I2344" s="10" t="n">
        <f aca="false">0</f>
        <v>0</v>
      </c>
      <c r="J2344" s="10" t="n">
        <f aca="false">MAX(0,E2344-E2343)*Staffing!$O$44</f>
        <v>0</v>
      </c>
      <c r="K2344" s="10" t="n">
        <f aca="false">MAX(0,E2344-E2343)*Staffing!$P$44</f>
        <v>0</v>
      </c>
      <c r="L2344" s="23" t="n">
        <f aca="false">ROUNDUP(E2344,0)</f>
        <v>0</v>
      </c>
    </row>
    <row r="2345" customFormat="false" ht="15" hidden="false" customHeight="false" outlineLevel="0" collapsed="false">
      <c r="A2345" s="6" t="s">
        <v>73</v>
      </c>
      <c r="B2345" s="6" t="s">
        <v>353</v>
      </c>
      <c r="C2345" s="6" t="n">
        <v>60</v>
      </c>
      <c r="D2345" s="25" t="n">
        <f aca="false">EDATE('Start Here'!$B$6,C2345-1)</f>
        <v>48122</v>
      </c>
      <c r="E2345" s="23" t="n">
        <f aca="false">IF(AND(C2345&gt;=Assumptions!$E$25,C2345&lt;=Staffing!$G$44,'Start Here'!$B$8=1),IF(C2345&lt;=6,Staffing!$H$44,IF(C2345&lt;=15,Staffing!$I$44,IF(C2345&lt;=30,Staffing!$J$44,Staffing!$K$44))),0)</f>
        <v>0</v>
      </c>
      <c r="F2345" s="10" t="n">
        <f aca="false">E2345*Staffing!$L$44/12*(1+Assumptions!$E$10)^INT((C2345-1)/12)*1</f>
        <v>0</v>
      </c>
      <c r="G2345" s="10" t="n">
        <f aca="false">F2345*Staffing!$N$44</f>
        <v>0</v>
      </c>
      <c r="H2345" s="10" t="n">
        <f aca="false">F2345+G2345</f>
        <v>0</v>
      </c>
      <c r="I2345" s="10" t="n">
        <f aca="false">0</f>
        <v>0</v>
      </c>
      <c r="J2345" s="10" t="n">
        <f aca="false">MAX(0,E2345-E2344)*Staffing!$O$44</f>
        <v>0</v>
      </c>
      <c r="K2345" s="10" t="n">
        <f aca="false">MAX(0,E2345-E2344)*Staffing!$P$44</f>
        <v>0</v>
      </c>
      <c r="L2345" s="23" t="n">
        <f aca="false">ROUNDUP(E2345,0)</f>
        <v>0</v>
      </c>
    </row>
  </sheetData>
  <autoFilter ref="A5:L2345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4" min="1" style="0" width="20"/>
    <col collapsed="false" customWidth="true" hidden="true" outlineLevel="1" max="8" min="5" style="0" width="20"/>
    <col collapsed="false" customWidth="true" hidden="false" outlineLevel="0" max="11" min="9" style="0" width="20"/>
    <col collapsed="false" customWidth="true" hidden="true" outlineLevel="1" max="25" min="12" style="0" width="20"/>
    <col collapsed="false" customWidth="true" hidden="false" outlineLevel="0" max="35" min="26" style="0" width="20"/>
    <col collapsed="false" customWidth="true" hidden="true" outlineLevel="1" max="44" min="36" style="0" width="20"/>
    <col collapsed="false" customWidth="true" hidden="true" outlineLevel="0" max="45" min="45" style="0" width="20"/>
  </cols>
  <sheetData>
    <row r="1" customFormat="false" ht="28.5" hidden="false" customHeight="true" outlineLevel="0" collapsed="false">
      <c r="A1" s="1" t="s">
        <v>1004</v>
      </c>
      <c r="AS1" s="5" t="s">
        <v>72</v>
      </c>
    </row>
    <row r="2" customFormat="false" ht="43.5" hidden="false" customHeight="true" outlineLevel="0" collapsed="false">
      <c r="A2" s="2" t="s">
        <v>1005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996</v>
      </c>
      <c r="B5" s="13" t="s">
        <v>997</v>
      </c>
      <c r="C5" s="13" t="s">
        <v>1006</v>
      </c>
      <c r="D5" s="13" t="s">
        <v>1007</v>
      </c>
      <c r="E5" s="13" t="s">
        <v>1008</v>
      </c>
      <c r="F5" s="13" t="s">
        <v>1009</v>
      </c>
      <c r="G5" s="13" t="s">
        <v>1010</v>
      </c>
      <c r="H5" s="13" t="s">
        <v>1011</v>
      </c>
      <c r="I5" s="13" t="s">
        <v>1012</v>
      </c>
      <c r="J5" s="13" t="s">
        <v>1003</v>
      </c>
      <c r="K5" s="13" t="s">
        <v>33</v>
      </c>
      <c r="L5" s="13" t="s">
        <v>35</v>
      </c>
      <c r="M5" s="13" t="s">
        <v>37</v>
      </c>
      <c r="N5" s="13" t="s">
        <v>39</v>
      </c>
      <c r="O5" s="13" t="s">
        <v>41</v>
      </c>
      <c r="P5" s="13" t="s">
        <v>43</v>
      </c>
      <c r="Q5" s="13" t="s">
        <v>45</v>
      </c>
      <c r="R5" s="13" t="s">
        <v>47</v>
      </c>
      <c r="S5" s="13" t="s">
        <v>49</v>
      </c>
      <c r="T5" s="13" t="s">
        <v>51</v>
      </c>
      <c r="U5" s="13" t="s">
        <v>53</v>
      </c>
      <c r="V5" s="13" t="s">
        <v>55</v>
      </c>
      <c r="W5" s="13" t="s">
        <v>57</v>
      </c>
      <c r="X5" s="13" t="s">
        <v>59</v>
      </c>
      <c r="Y5" s="13" t="s">
        <v>61</v>
      </c>
      <c r="Z5" s="13" t="s">
        <v>1013</v>
      </c>
      <c r="AA5" s="13" t="s">
        <v>63</v>
      </c>
      <c r="AB5" s="13" t="s">
        <v>65</v>
      </c>
      <c r="AC5" s="13" t="s">
        <v>1014</v>
      </c>
      <c r="AD5" s="13" t="s">
        <v>1015</v>
      </c>
      <c r="AE5" s="13" t="s">
        <v>1016</v>
      </c>
      <c r="AF5" s="13" t="s">
        <v>1017</v>
      </c>
      <c r="AG5" s="13" t="s">
        <v>1018</v>
      </c>
      <c r="AH5" s="13" t="s">
        <v>1019</v>
      </c>
      <c r="AI5" s="13" t="s">
        <v>1020</v>
      </c>
      <c r="AJ5" s="13" t="s">
        <v>1021</v>
      </c>
      <c r="AK5" s="13" t="s">
        <v>1022</v>
      </c>
      <c r="AL5" s="13" t="s">
        <v>1023</v>
      </c>
      <c r="AM5" s="13" t="s">
        <v>1024</v>
      </c>
      <c r="AN5" s="13" t="s">
        <v>1025</v>
      </c>
      <c r="AO5" s="13" t="s">
        <v>1002</v>
      </c>
      <c r="AP5" s="13" t="s">
        <v>1026</v>
      </c>
      <c r="AQ5" s="13" t="s">
        <v>1027</v>
      </c>
      <c r="AR5" s="13" t="s">
        <v>1028</v>
      </c>
      <c r="AS5" s="5"/>
    </row>
    <row r="6" customFormat="false" ht="15" hidden="false" customHeight="false" outlineLevel="0" collapsed="false">
      <c r="A6" s="6" t="n">
        <v>1</v>
      </c>
      <c r="B6" s="25" t="n">
        <f aca="false">EDATE('Start Here'!$B$6,A6-1)</f>
        <v>46327</v>
      </c>
      <c r="C6" s="11" t="n">
        <f aca="false">IF(A6&gt;=Assumptions!$C$13,Assumptions!$C$14*(1+Assumptions!$C$15)^INT((A6-Assumptions!$C$13)/12),0)</f>
        <v>0</v>
      </c>
      <c r="D6" s="11" t="n">
        <f aca="false">0*(1-Assumptions!$C$16)+C6</f>
        <v>0</v>
      </c>
      <c r="E6" s="11" t="n">
        <f aca="false">D6*Assumptions!$C$18</f>
        <v>0</v>
      </c>
      <c r="F6" s="11" t="n">
        <f aca="false">E6*Assumptions!$C$19*30/1000000</f>
        <v>0</v>
      </c>
      <c r="G6" s="11" t="n">
        <f aca="false">D6*Assumptions!$C$20</f>
        <v>0</v>
      </c>
      <c r="H6" s="11" t="n">
        <f aca="false">D6*Assumptions!$C$21</f>
        <v>0</v>
      </c>
      <c r="I6" s="11" t="n">
        <f aca="false">SUMIFS('Staff Months'!$E$6:$E$2345,'Staff Months'!$A$6:$A$2345,$AS$1,'Staff Months'!$C$6:$C$2345,A6)</f>
        <v>1.75</v>
      </c>
      <c r="J6" s="11" t="n">
        <f aca="false">SUMIFS('Staff Months'!$L$6:$L$2345,'Staff Months'!$A$6:$A$2345,$AS$1,'Staff Months'!$C$6:$C$2345,A6)</f>
        <v>2</v>
      </c>
      <c r="K6" s="10" t="n">
        <f aca="false">SUMIFS('Staff Months'!$H$6:$H$2345,'Staff Months'!$A$6:$A$2345,$AS$1,'Staff Months'!$C$6:$C$2345,A6)</f>
        <v>19250</v>
      </c>
      <c r="L6" s="10" t="n">
        <f aca="false">SUMIFS('Staff Months'!$J$6:$J$2345,'Staff Months'!$A$6:$A$2345,$AS$1,'Staff Months'!$C$6:$C$2345,A6)</f>
        <v>5000</v>
      </c>
      <c r="M6" s="10" t="n">
        <f aca="false">SUMIFS('Staff Months'!$K$6:$K$2345,'Staff Months'!$A$6:$A$2345,$AS$1,'Staff Months'!$C$6:$C$2345,A6)</f>
        <v>4375</v>
      </c>
      <c r="N6" s="10" t="n">
        <f aca="false">SUMIFS('Vendor Months'!$G$6:$G$3965,'Vendor Months'!$A$6:$A$3965,$AS$1,'Vendor Months'!$C$6:$C$3965,A6,'Vendor Months'!$J$6:$J$3965,"INFRA")</f>
        <v>1250</v>
      </c>
      <c r="O6" s="10" t="n">
        <f aca="false">SUMIFS('Vendor Months'!$G$6:$G$3965,'Vendor Months'!$A$6:$A$3965,$AS$1,'Vendor Months'!$C$6:$C$3965,A6,'Vendor Months'!$J$6:$J$3965,"TOOLS")</f>
        <v>98</v>
      </c>
      <c r="P6" s="10" t="n">
        <f aca="false">SUMIFS('Vendor Months'!$G$6:$G$3965,'Vendor Months'!$A$6:$A$3965,$AS$1,'Vendor Months'!$C$6:$C$3965,A6,'Vendor Months'!$J$6:$J$3965,"LEGAL")</f>
        <v>0</v>
      </c>
      <c r="Q6" s="10" t="n">
        <f aca="false">SUMIFS('Vendor Months'!$G$6:$G$3965,'Vendor Months'!$A$6:$A$3965,$AS$1,'Vendor Months'!$C$6:$C$3965,A6,'Vendor Months'!$J$6:$J$3965,"SECURITY")</f>
        <v>0</v>
      </c>
      <c r="R6" s="10" t="n">
        <f aca="false">SUMIFS('Vendor Months'!$G$6:$G$3965,'Vendor Months'!$A$6:$A$3965,$AS$1,'Vendor Months'!$C$6:$C$3965,A6,'Vendor Months'!$J$6:$J$3965,"COMPLIANCE")</f>
        <v>0</v>
      </c>
      <c r="S6" s="10" t="n">
        <f aca="false">SUMIFS('Vendor Months'!$G$6:$G$3965,'Vendor Months'!$A$6:$A$3965,$AS$1,'Vendor Months'!$C$6:$C$3965,A6,'Vendor Months'!$J$6:$J$3965,"INSURANCE")</f>
        <v>0</v>
      </c>
      <c r="T6" s="10" t="n">
        <f aca="false">SUMIFS('Vendor Months'!$G$6:$G$3965,'Vendor Months'!$A$6:$A$3965,$AS$1,'Vendor Months'!$C$6:$C$3965,A6,'Vendor Months'!$J$6:$J$3965,"ACCOUNTING")</f>
        <v>600</v>
      </c>
      <c r="U6" s="10" t="n">
        <f aca="false">SUMIFS('Vendor Months'!$G$6:$G$3965,'Vendor Months'!$A$6:$A$3965,$AS$1,'Vendor Months'!$C$6:$C$3965,A6,'Vendor Months'!$J$6:$J$3965,"SUPPORT")</f>
        <v>0</v>
      </c>
      <c r="V6" s="10" t="n">
        <f aca="false">SUMIFS('Vendor Months'!$G$6:$G$3965,'Vendor Months'!$A$6:$A$3965,$AS$1,'Vendor Months'!$C$6:$C$3965,A6,'Vendor Months'!$J$6:$J$3965,"MARKETING")</f>
        <v>0</v>
      </c>
      <c r="W6" s="10" t="n">
        <f aca="false">SUMIFS('Vendor Months'!$G$6:$G$3965,'Vendor Months'!$A$6:$A$3965,$AS$1,'Vendor Months'!$C$6:$C$3965,A6,'Vendor Months'!$J$6:$J$3965,"ONBOARD")</f>
        <v>0</v>
      </c>
      <c r="X6" s="10" t="n">
        <f aca="false">SUMIFS('Vendor Months'!$G$6:$G$3965,'Vendor Months'!$A$6:$A$3965,$AS$1,'Vendor Months'!$C$6:$C$3965,A6,'Vendor Months'!$J$6:$J$3965,"AI")</f>
        <v>0</v>
      </c>
      <c r="Y6" s="10" t="n">
        <f aca="false">SUMIFS('Vendor Months'!$G$6:$G$3965,'Vendor Months'!$A$6:$A$3965,$AS$1,'Vendor Months'!$C$6:$C$3965,A6,'Vendor Months'!$J$6:$J$3965,"CTMS")</f>
        <v>0</v>
      </c>
      <c r="Z6" s="10" t="n">
        <f aca="false">SUM(N6:Y6)</f>
        <v>1948</v>
      </c>
      <c r="AA6" s="10" t="n">
        <f aca="false">(SUM(K6:M6)+Z6)*Assumptions!$C$12</f>
        <v>3057.3</v>
      </c>
      <c r="AB6" s="10" t="n">
        <f aca="false">AD6*Assumptions!$C$29</f>
        <v>0</v>
      </c>
      <c r="AC6" s="10" t="n">
        <f aca="false">SUM(K6:M6)+Z6+AA6+AB6</f>
        <v>33630.3</v>
      </c>
      <c r="AD6" s="10" t="n">
        <f aca="false">D6*Assumptions!$C$17</f>
        <v>0</v>
      </c>
      <c r="AE6" s="10" t="n">
        <f aca="false">AD6*12</f>
        <v>0</v>
      </c>
      <c r="AF6" s="10" t="n">
        <f aca="false">AC6-AD6</f>
        <v>33630.3</v>
      </c>
      <c r="AG6" s="10" t="n">
        <f aca="false">IF(A6=Assumptions!$C$7,Assumptions!$C$8,0)</f>
        <v>0</v>
      </c>
      <c r="AH6" s="10" t="n">
        <f aca="false">Assumptions!$C$6</f>
        <v>500000</v>
      </c>
      <c r="AI6" s="10" t="n">
        <f aca="false">AH6+AG6-AF6</f>
        <v>466369.7</v>
      </c>
      <c r="AJ6" s="10" t="n">
        <f aca="false">SUM($AC$6:AC6)</f>
        <v>33630.3</v>
      </c>
      <c r="AK6" s="10" t="n">
        <f aca="false">MAX(0,-AI6)</f>
        <v>0</v>
      </c>
      <c r="AL6" s="10" t="n">
        <f aca="false">Assumptions!$C$6+SUM($AG$6:AG6)-AJ6</f>
        <v>466369.7</v>
      </c>
      <c r="AM6" s="10" t="n">
        <f aca="false">SUMIFS('Vendor Months'!$H$6:$H$3965,'Vendor Months'!$A$6:$A$3965,$AS$1,'Vendor Months'!$C$6:$C$3965,A6)</f>
        <v>1850</v>
      </c>
      <c r="AN6" s="10" t="n">
        <f aca="false">X6+Y6</f>
        <v>0</v>
      </c>
      <c r="AO6" s="10" t="n">
        <f aca="false">SUMIFS('Staff Months'!$I$6:$I$2345,'Staff Months'!$A$6:$A$2345,$AS$1,'Staff Months'!$C$6:$C$2345,A6)</f>
        <v>9375</v>
      </c>
      <c r="AP6" s="10" t="n">
        <f aca="false">SUM($AF$6:AF6)</f>
        <v>33630.3</v>
      </c>
      <c r="AQ6" s="10" t="n">
        <f aca="false">AC6</f>
        <v>33630.3</v>
      </c>
      <c r="AR6" s="26" t="n">
        <f aca="false">IF(AI6&lt;0,1,0)</f>
        <v>0</v>
      </c>
      <c r="AS6" s="6"/>
    </row>
    <row r="7" customFormat="false" ht="15" hidden="false" customHeight="false" outlineLevel="0" collapsed="false">
      <c r="A7" s="6" t="n">
        <v>2</v>
      </c>
      <c r="B7" s="25" t="n">
        <f aca="false">EDATE('Start Here'!$B$6,A7-1)</f>
        <v>46357</v>
      </c>
      <c r="C7" s="11" t="n">
        <f aca="false">IF(A7&gt;=Assumptions!$C$13,Assumptions!$C$14*(1+Assumptions!$C$15)^INT((A7-Assumptions!$C$13)/12),0)</f>
        <v>0</v>
      </c>
      <c r="D7" s="11" t="n">
        <f aca="false">D6*(1-Assumptions!$C$16)+C7</f>
        <v>0</v>
      </c>
      <c r="E7" s="11" t="n">
        <f aca="false">D7*Assumptions!$C$18</f>
        <v>0</v>
      </c>
      <c r="F7" s="11" t="n">
        <f aca="false">E7*Assumptions!$C$19*30/1000000</f>
        <v>0</v>
      </c>
      <c r="G7" s="11" t="n">
        <f aca="false">D7*Assumptions!$C$20</f>
        <v>0</v>
      </c>
      <c r="H7" s="11" t="n">
        <f aca="false">D7*Assumptions!$C$21</f>
        <v>0</v>
      </c>
      <c r="I7" s="11" t="n">
        <f aca="false">SUMIFS('Staff Months'!$E$6:$E$2345,'Staff Months'!$A$6:$A$2345,$AS$1,'Staff Months'!$C$6:$C$2345,A7)</f>
        <v>2.15</v>
      </c>
      <c r="J7" s="11" t="n">
        <f aca="false">SUMIFS('Staff Months'!$L$6:$L$2345,'Staff Months'!$A$6:$A$2345,$AS$1,'Staff Months'!$C$6:$C$2345,A7)</f>
        <v>5</v>
      </c>
      <c r="K7" s="10" t="n">
        <f aca="false">SUMIFS('Staff Months'!$H$6:$H$2345,'Staff Months'!$A$6:$A$2345,$AS$1,'Staff Months'!$C$6:$C$2345,A7)</f>
        <v>24916.6666666667</v>
      </c>
      <c r="L7" s="10" t="n">
        <f aca="false">SUMIFS('Staff Months'!$J$6:$J$2345,'Staff Months'!$A$6:$A$2345,$AS$1,'Staff Months'!$C$6:$C$2345,A7)</f>
        <v>0</v>
      </c>
      <c r="M7" s="10" t="n">
        <f aca="false">SUMIFS('Staff Months'!$K$6:$K$2345,'Staff Months'!$A$6:$A$2345,$AS$1,'Staff Months'!$C$6:$C$2345,A7)</f>
        <v>1000</v>
      </c>
      <c r="N7" s="10" t="n">
        <f aca="false">SUMIFS('Vendor Months'!$G$6:$G$3965,'Vendor Months'!$A$6:$A$3965,$AS$1,'Vendor Months'!$C$6:$C$3965,A7,'Vendor Months'!$J$6:$J$3965,"INFRA")</f>
        <v>1250</v>
      </c>
      <c r="O7" s="10" t="n">
        <f aca="false">SUMIFS('Vendor Months'!$G$6:$G$3965,'Vendor Months'!$A$6:$A$3965,$AS$1,'Vendor Months'!$C$6:$C$3965,A7,'Vendor Months'!$J$6:$J$3965,"TOOLS")</f>
        <v>147</v>
      </c>
      <c r="P7" s="10" t="n">
        <f aca="false">SUMIFS('Vendor Months'!$G$6:$G$3965,'Vendor Months'!$A$6:$A$3965,$AS$1,'Vendor Months'!$C$6:$C$3965,A7,'Vendor Months'!$J$6:$J$3965,"LEGAL")</f>
        <v>20000</v>
      </c>
      <c r="Q7" s="10" t="n">
        <f aca="false">SUMIFS('Vendor Months'!$G$6:$G$3965,'Vendor Months'!$A$6:$A$3965,$AS$1,'Vendor Months'!$C$6:$C$3965,A7,'Vendor Months'!$J$6:$J$3965,"SECURITY")</f>
        <v>0</v>
      </c>
      <c r="R7" s="10" t="n">
        <f aca="false">SUMIFS('Vendor Months'!$G$6:$G$3965,'Vendor Months'!$A$6:$A$3965,$AS$1,'Vendor Months'!$C$6:$C$3965,A7,'Vendor Months'!$J$6:$J$3965,"COMPLIANCE")</f>
        <v>0</v>
      </c>
      <c r="S7" s="10" t="n">
        <f aca="false">SUMIFS('Vendor Months'!$G$6:$G$3965,'Vendor Months'!$A$6:$A$3965,$AS$1,'Vendor Months'!$C$6:$C$3965,A7,'Vendor Months'!$J$6:$J$3965,"INSURANCE")</f>
        <v>0</v>
      </c>
      <c r="T7" s="10" t="n">
        <f aca="false">SUMIFS('Vendor Months'!$G$6:$G$3965,'Vendor Months'!$A$6:$A$3965,$AS$1,'Vendor Months'!$C$6:$C$3965,A7,'Vendor Months'!$J$6:$J$3965,"ACCOUNTING")</f>
        <v>600</v>
      </c>
      <c r="U7" s="10" t="n">
        <f aca="false">SUMIFS('Vendor Months'!$G$6:$G$3965,'Vendor Months'!$A$6:$A$3965,$AS$1,'Vendor Months'!$C$6:$C$3965,A7,'Vendor Months'!$J$6:$J$3965,"SUPPORT")</f>
        <v>0</v>
      </c>
      <c r="V7" s="10" t="n">
        <f aca="false">SUMIFS('Vendor Months'!$G$6:$G$3965,'Vendor Months'!$A$6:$A$3965,$AS$1,'Vendor Months'!$C$6:$C$3965,A7,'Vendor Months'!$J$6:$J$3965,"MARKETING")</f>
        <v>0</v>
      </c>
      <c r="W7" s="10" t="n">
        <f aca="false">SUMIFS('Vendor Months'!$G$6:$G$3965,'Vendor Months'!$A$6:$A$3965,$AS$1,'Vendor Months'!$C$6:$C$3965,A7,'Vendor Months'!$J$6:$J$3965,"ONBOARD")</f>
        <v>0</v>
      </c>
      <c r="X7" s="10" t="n">
        <f aca="false">SUMIFS('Vendor Months'!$G$6:$G$3965,'Vendor Months'!$A$6:$A$3965,$AS$1,'Vendor Months'!$C$6:$C$3965,A7,'Vendor Months'!$J$6:$J$3965,"AI")</f>
        <v>0</v>
      </c>
      <c r="Y7" s="10" t="n">
        <f aca="false">SUMIFS('Vendor Months'!$G$6:$G$3965,'Vendor Months'!$A$6:$A$3965,$AS$1,'Vendor Months'!$C$6:$C$3965,A7,'Vendor Months'!$J$6:$J$3965,"CTMS")</f>
        <v>0</v>
      </c>
      <c r="Z7" s="10" t="n">
        <f aca="false">SUM(N7:Y7)</f>
        <v>21997</v>
      </c>
      <c r="AA7" s="10" t="n">
        <f aca="false">(SUM(K7:M7)+Z7)*Assumptions!$C$12</f>
        <v>4791.36666666667</v>
      </c>
      <c r="AB7" s="10" t="n">
        <f aca="false">AD7*Assumptions!$C$29</f>
        <v>0</v>
      </c>
      <c r="AC7" s="10" t="n">
        <f aca="false">SUM(K7:M7)+Z7+AA7+AB7</f>
        <v>52705.0333333333</v>
      </c>
      <c r="AD7" s="10" t="n">
        <f aca="false">D7*Assumptions!$C$17</f>
        <v>0</v>
      </c>
      <c r="AE7" s="10" t="n">
        <f aca="false">AD7*12</f>
        <v>0</v>
      </c>
      <c r="AF7" s="10" t="n">
        <f aca="false">AC7-AD7</f>
        <v>52705.0333333333</v>
      </c>
      <c r="AG7" s="10" t="n">
        <f aca="false">IF(A7=Assumptions!$C$7,Assumptions!$C$8,0)</f>
        <v>0</v>
      </c>
      <c r="AH7" s="10" t="n">
        <f aca="false">AI6</f>
        <v>466369.7</v>
      </c>
      <c r="AI7" s="10" t="n">
        <f aca="false">AH7+AG7-AF7</f>
        <v>413664.666666667</v>
      </c>
      <c r="AJ7" s="10" t="n">
        <f aca="false">SUM($AC$6:AC7)</f>
        <v>86335.3333333333</v>
      </c>
      <c r="AK7" s="10" t="n">
        <f aca="false">MAX(0,-AI7)</f>
        <v>0</v>
      </c>
      <c r="AL7" s="10" t="n">
        <f aca="false">Assumptions!$C$6+SUM($AG$6:AG7)-AJ7</f>
        <v>413664.666666667</v>
      </c>
      <c r="AM7" s="10" t="n">
        <f aca="false">SUMIFS('Vendor Months'!$H$6:$H$3965,'Vendor Months'!$A$6:$A$3965,$AS$1,'Vendor Months'!$C$6:$C$3965,A7)</f>
        <v>21850</v>
      </c>
      <c r="AN7" s="10" t="n">
        <f aca="false">X7+Y7</f>
        <v>0</v>
      </c>
      <c r="AO7" s="10" t="n">
        <f aca="false">SUMIFS('Staff Months'!$I$6:$I$2345,'Staff Months'!$A$6:$A$2345,$AS$1,'Staff Months'!$C$6:$C$2345,A7)</f>
        <v>9375</v>
      </c>
      <c r="AP7" s="10" t="n">
        <f aca="false">SUM($AF$6:AF7)</f>
        <v>86335.3333333333</v>
      </c>
      <c r="AQ7" s="10" t="n">
        <f aca="false">AC7</f>
        <v>52705.0333333333</v>
      </c>
      <c r="AR7" s="26" t="n">
        <f aca="false">IF(AI7&lt;0,1,0)</f>
        <v>0</v>
      </c>
      <c r="AS7" s="6"/>
    </row>
    <row r="8" customFormat="false" ht="15" hidden="false" customHeight="false" outlineLevel="0" collapsed="false">
      <c r="A8" s="6" t="n">
        <v>3</v>
      </c>
      <c r="B8" s="25" t="n">
        <f aca="false">EDATE('Start Here'!$B$6,A8-1)</f>
        <v>46388</v>
      </c>
      <c r="C8" s="11" t="n">
        <f aca="false">IF(A8&gt;=Assumptions!$C$13,Assumptions!$C$14*(1+Assumptions!$C$15)^INT((A8-Assumptions!$C$13)/12),0)</f>
        <v>0</v>
      </c>
      <c r="D8" s="11" t="n">
        <f aca="false">D7*(1-Assumptions!$C$16)+C8</f>
        <v>0</v>
      </c>
      <c r="E8" s="11" t="n">
        <f aca="false">D8*Assumptions!$C$18</f>
        <v>0</v>
      </c>
      <c r="F8" s="11" t="n">
        <f aca="false">E8*Assumptions!$C$19*30/1000000</f>
        <v>0</v>
      </c>
      <c r="G8" s="11" t="n">
        <f aca="false">D8*Assumptions!$C$20</f>
        <v>0</v>
      </c>
      <c r="H8" s="11" t="n">
        <f aca="false">D8*Assumptions!$C$21</f>
        <v>0</v>
      </c>
      <c r="I8" s="11" t="n">
        <f aca="false">SUMIFS('Staff Months'!$E$6:$E$2345,'Staff Months'!$A$6:$A$2345,$AS$1,'Staff Months'!$C$6:$C$2345,A8)</f>
        <v>2.15</v>
      </c>
      <c r="J8" s="11" t="n">
        <f aca="false">SUMIFS('Staff Months'!$L$6:$L$2345,'Staff Months'!$A$6:$A$2345,$AS$1,'Staff Months'!$C$6:$C$2345,A8)</f>
        <v>5</v>
      </c>
      <c r="K8" s="10" t="n">
        <f aca="false">SUMIFS('Staff Months'!$H$6:$H$2345,'Staff Months'!$A$6:$A$2345,$AS$1,'Staff Months'!$C$6:$C$2345,A8)</f>
        <v>24916.6666666667</v>
      </c>
      <c r="L8" s="10" t="n">
        <f aca="false">SUMIFS('Staff Months'!$J$6:$J$2345,'Staff Months'!$A$6:$A$2345,$AS$1,'Staff Months'!$C$6:$C$2345,A8)</f>
        <v>0</v>
      </c>
      <c r="M8" s="10" t="n">
        <f aca="false">SUMIFS('Staff Months'!$K$6:$K$2345,'Staff Months'!$A$6:$A$2345,$AS$1,'Staff Months'!$C$6:$C$2345,A8)</f>
        <v>0</v>
      </c>
      <c r="N8" s="10" t="n">
        <f aca="false">SUMIFS('Vendor Months'!$G$6:$G$3965,'Vendor Months'!$A$6:$A$3965,$AS$1,'Vendor Months'!$C$6:$C$3965,A8,'Vendor Months'!$J$6:$J$3965,"INFRA")</f>
        <v>1250</v>
      </c>
      <c r="O8" s="10" t="n">
        <f aca="false">SUMIFS('Vendor Months'!$G$6:$G$3965,'Vendor Months'!$A$6:$A$3965,$AS$1,'Vendor Months'!$C$6:$C$3965,A8,'Vendor Months'!$J$6:$J$3965,"TOOLS")</f>
        <v>147</v>
      </c>
      <c r="P8" s="10" t="n">
        <f aca="false">SUMIFS('Vendor Months'!$G$6:$G$3965,'Vendor Months'!$A$6:$A$3965,$AS$1,'Vendor Months'!$C$6:$C$3965,A8,'Vendor Months'!$J$6:$J$3965,"LEGAL")</f>
        <v>0</v>
      </c>
      <c r="Q8" s="10" t="n">
        <f aca="false">SUMIFS('Vendor Months'!$G$6:$G$3965,'Vendor Months'!$A$6:$A$3965,$AS$1,'Vendor Months'!$C$6:$C$3965,A8,'Vendor Months'!$J$6:$J$3965,"SECURITY")</f>
        <v>0</v>
      </c>
      <c r="R8" s="10" t="n">
        <f aca="false">SUMIFS('Vendor Months'!$G$6:$G$3965,'Vendor Months'!$A$6:$A$3965,$AS$1,'Vendor Months'!$C$6:$C$3965,A8,'Vendor Months'!$J$6:$J$3965,"COMPLIANCE")</f>
        <v>0</v>
      </c>
      <c r="S8" s="10" t="n">
        <f aca="false">SUMIFS('Vendor Months'!$G$6:$G$3965,'Vendor Months'!$A$6:$A$3965,$AS$1,'Vendor Months'!$C$6:$C$3965,A8,'Vendor Months'!$J$6:$J$3965,"INSURANCE")</f>
        <v>0</v>
      </c>
      <c r="T8" s="10" t="n">
        <f aca="false">SUMIFS('Vendor Months'!$G$6:$G$3965,'Vendor Months'!$A$6:$A$3965,$AS$1,'Vendor Months'!$C$6:$C$3965,A8,'Vendor Months'!$J$6:$J$3965,"ACCOUNTING")</f>
        <v>600</v>
      </c>
      <c r="U8" s="10" t="n">
        <f aca="false">SUMIFS('Vendor Months'!$G$6:$G$3965,'Vendor Months'!$A$6:$A$3965,$AS$1,'Vendor Months'!$C$6:$C$3965,A8,'Vendor Months'!$J$6:$J$3965,"SUPPORT")</f>
        <v>0</v>
      </c>
      <c r="V8" s="10" t="n">
        <f aca="false">SUMIFS('Vendor Months'!$G$6:$G$3965,'Vendor Months'!$A$6:$A$3965,$AS$1,'Vendor Months'!$C$6:$C$3965,A8,'Vendor Months'!$J$6:$J$3965,"MARKETING")</f>
        <v>0</v>
      </c>
      <c r="W8" s="10" t="n">
        <f aca="false">SUMIFS('Vendor Months'!$G$6:$G$3965,'Vendor Months'!$A$6:$A$3965,$AS$1,'Vendor Months'!$C$6:$C$3965,A8,'Vendor Months'!$J$6:$J$3965,"ONBOARD")</f>
        <v>0</v>
      </c>
      <c r="X8" s="10" t="n">
        <f aca="false">SUMIFS('Vendor Months'!$G$6:$G$3965,'Vendor Months'!$A$6:$A$3965,$AS$1,'Vendor Months'!$C$6:$C$3965,A8,'Vendor Months'!$J$6:$J$3965,"AI")</f>
        <v>0</v>
      </c>
      <c r="Y8" s="10" t="n">
        <f aca="false">SUMIFS('Vendor Months'!$G$6:$G$3965,'Vendor Months'!$A$6:$A$3965,$AS$1,'Vendor Months'!$C$6:$C$3965,A8,'Vendor Months'!$J$6:$J$3965,"CTMS")</f>
        <v>0</v>
      </c>
      <c r="Z8" s="10" t="n">
        <f aca="false">SUM(N8:Y8)</f>
        <v>1997</v>
      </c>
      <c r="AA8" s="10" t="n">
        <f aca="false">(SUM(K8:M8)+Z8)*Assumptions!$C$12</f>
        <v>2691.36666666667</v>
      </c>
      <c r="AB8" s="10" t="n">
        <f aca="false">AD8*Assumptions!$C$29</f>
        <v>0</v>
      </c>
      <c r="AC8" s="10" t="n">
        <f aca="false">SUM(K8:M8)+Z8+AA8+AB8</f>
        <v>29605.0333333333</v>
      </c>
      <c r="AD8" s="10" t="n">
        <f aca="false">D8*Assumptions!$C$17</f>
        <v>0</v>
      </c>
      <c r="AE8" s="10" t="n">
        <f aca="false">AD8*12</f>
        <v>0</v>
      </c>
      <c r="AF8" s="10" t="n">
        <f aca="false">AC8-AD8</f>
        <v>29605.0333333333</v>
      </c>
      <c r="AG8" s="10" t="n">
        <f aca="false">IF(A8=Assumptions!$C$7,Assumptions!$C$8,0)</f>
        <v>0</v>
      </c>
      <c r="AH8" s="10" t="n">
        <f aca="false">AI7</f>
        <v>413664.666666667</v>
      </c>
      <c r="AI8" s="10" t="n">
        <f aca="false">AH8+AG8-AF8</f>
        <v>384059.633333333</v>
      </c>
      <c r="AJ8" s="10" t="n">
        <f aca="false">SUM($AC$6:AC8)</f>
        <v>115940.366666667</v>
      </c>
      <c r="AK8" s="10" t="n">
        <f aca="false">MAX(0,-AI8)</f>
        <v>0</v>
      </c>
      <c r="AL8" s="10" t="n">
        <f aca="false">Assumptions!$C$6+SUM($AG$6:AG8)-AJ8</f>
        <v>384059.633333333</v>
      </c>
      <c r="AM8" s="10" t="n">
        <f aca="false">SUMIFS('Vendor Months'!$H$6:$H$3965,'Vendor Months'!$A$6:$A$3965,$AS$1,'Vendor Months'!$C$6:$C$3965,A8)</f>
        <v>1850</v>
      </c>
      <c r="AN8" s="10" t="n">
        <f aca="false">X8+Y8</f>
        <v>0</v>
      </c>
      <c r="AO8" s="10" t="n">
        <f aca="false">SUMIFS('Staff Months'!$I$6:$I$2345,'Staff Months'!$A$6:$A$2345,$AS$1,'Staff Months'!$C$6:$C$2345,A8)</f>
        <v>9375</v>
      </c>
      <c r="AP8" s="10" t="n">
        <f aca="false">SUM($AF$6:AF8)</f>
        <v>115940.366666667</v>
      </c>
      <c r="AQ8" s="10" t="n">
        <f aca="false">AC8</f>
        <v>29605.0333333333</v>
      </c>
      <c r="AR8" s="26" t="n">
        <f aca="false">IF(AI8&lt;0,1,0)</f>
        <v>0</v>
      </c>
      <c r="AS8" s="6"/>
    </row>
    <row r="9" customFormat="false" ht="15" hidden="false" customHeight="false" outlineLevel="0" collapsed="false">
      <c r="A9" s="6" t="n">
        <v>4</v>
      </c>
      <c r="B9" s="25" t="n">
        <f aca="false">EDATE('Start Here'!$B$6,A9-1)</f>
        <v>46419</v>
      </c>
      <c r="C9" s="11" t="n">
        <f aca="false">IF(A9&gt;=Assumptions!$C$13,Assumptions!$C$14*(1+Assumptions!$C$15)^INT((A9-Assumptions!$C$13)/12),0)</f>
        <v>0</v>
      </c>
      <c r="D9" s="11" t="n">
        <f aca="false">D8*(1-Assumptions!$C$16)+C9</f>
        <v>0</v>
      </c>
      <c r="E9" s="11" t="n">
        <f aca="false">D9*Assumptions!$C$18</f>
        <v>0</v>
      </c>
      <c r="F9" s="11" t="n">
        <f aca="false">E9*Assumptions!$C$19*30/1000000</f>
        <v>0</v>
      </c>
      <c r="G9" s="11" t="n">
        <f aca="false">D9*Assumptions!$C$20</f>
        <v>0</v>
      </c>
      <c r="H9" s="11" t="n">
        <f aca="false">D9*Assumptions!$C$21</f>
        <v>0</v>
      </c>
      <c r="I9" s="11" t="n">
        <f aca="false">SUMIFS('Staff Months'!$E$6:$E$2345,'Staff Months'!$A$6:$A$2345,$AS$1,'Staff Months'!$C$6:$C$2345,A9)</f>
        <v>2.65</v>
      </c>
      <c r="J9" s="11" t="n">
        <f aca="false">SUMIFS('Staff Months'!$L$6:$L$2345,'Staff Months'!$A$6:$A$2345,$AS$1,'Staff Months'!$C$6:$C$2345,A9)</f>
        <v>6</v>
      </c>
      <c r="K9" s="10" t="n">
        <f aca="false">SUMIFS('Staff Months'!$H$6:$H$2345,'Staff Months'!$A$6:$A$2345,$AS$1,'Staff Months'!$C$6:$C$2345,A9)</f>
        <v>33375</v>
      </c>
      <c r="L9" s="10" t="n">
        <f aca="false">SUMIFS('Staff Months'!$J$6:$J$2345,'Staff Months'!$A$6:$A$2345,$AS$1,'Staff Months'!$C$6:$C$2345,A9)</f>
        <v>2500</v>
      </c>
      <c r="M9" s="10" t="n">
        <f aca="false">SUMIFS('Staff Months'!$K$6:$K$2345,'Staff Months'!$A$6:$A$2345,$AS$1,'Staff Months'!$C$6:$C$2345,A9)</f>
        <v>1250</v>
      </c>
      <c r="N9" s="10" t="n">
        <f aca="false">SUMIFS('Vendor Months'!$G$6:$G$3965,'Vendor Months'!$A$6:$A$3965,$AS$1,'Vendor Months'!$C$6:$C$3965,A9,'Vendor Months'!$J$6:$J$3965,"INFRA")</f>
        <v>1250</v>
      </c>
      <c r="O9" s="10" t="n">
        <f aca="false">SUMIFS('Vendor Months'!$G$6:$G$3965,'Vendor Months'!$A$6:$A$3965,$AS$1,'Vendor Months'!$C$6:$C$3965,A9,'Vendor Months'!$J$6:$J$3965,"TOOLS")</f>
        <v>147</v>
      </c>
      <c r="P9" s="10" t="n">
        <f aca="false">SUMIFS('Vendor Months'!$G$6:$G$3965,'Vendor Months'!$A$6:$A$3965,$AS$1,'Vendor Months'!$C$6:$C$3965,A9,'Vendor Months'!$J$6:$J$3965,"LEGAL")</f>
        <v>0</v>
      </c>
      <c r="Q9" s="10" t="n">
        <f aca="false">SUMIFS('Vendor Months'!$G$6:$G$3965,'Vendor Months'!$A$6:$A$3965,$AS$1,'Vendor Months'!$C$6:$C$3965,A9,'Vendor Months'!$J$6:$J$3965,"SECURITY")</f>
        <v>0</v>
      </c>
      <c r="R9" s="10" t="n">
        <f aca="false">SUMIFS('Vendor Months'!$G$6:$G$3965,'Vendor Months'!$A$6:$A$3965,$AS$1,'Vendor Months'!$C$6:$C$3965,A9,'Vendor Months'!$J$6:$J$3965,"COMPLIANCE")</f>
        <v>0</v>
      </c>
      <c r="S9" s="10" t="n">
        <f aca="false">SUMIFS('Vendor Months'!$G$6:$G$3965,'Vendor Months'!$A$6:$A$3965,$AS$1,'Vendor Months'!$C$6:$C$3965,A9,'Vendor Months'!$J$6:$J$3965,"INSURANCE")</f>
        <v>0</v>
      </c>
      <c r="T9" s="10" t="n">
        <f aca="false">SUMIFS('Vendor Months'!$G$6:$G$3965,'Vendor Months'!$A$6:$A$3965,$AS$1,'Vendor Months'!$C$6:$C$3965,A9,'Vendor Months'!$J$6:$J$3965,"ACCOUNTING")</f>
        <v>600</v>
      </c>
      <c r="U9" s="10" t="n">
        <f aca="false">SUMIFS('Vendor Months'!$G$6:$G$3965,'Vendor Months'!$A$6:$A$3965,$AS$1,'Vendor Months'!$C$6:$C$3965,A9,'Vendor Months'!$J$6:$J$3965,"SUPPORT")</f>
        <v>0</v>
      </c>
      <c r="V9" s="10" t="n">
        <f aca="false">SUMIFS('Vendor Months'!$G$6:$G$3965,'Vendor Months'!$A$6:$A$3965,$AS$1,'Vendor Months'!$C$6:$C$3965,A9,'Vendor Months'!$J$6:$J$3965,"MARKETING")</f>
        <v>0</v>
      </c>
      <c r="W9" s="10" t="n">
        <f aca="false">SUMIFS('Vendor Months'!$G$6:$G$3965,'Vendor Months'!$A$6:$A$3965,$AS$1,'Vendor Months'!$C$6:$C$3965,A9,'Vendor Months'!$J$6:$J$3965,"ONBOARD")</f>
        <v>0</v>
      </c>
      <c r="X9" s="10" t="n">
        <f aca="false">SUMIFS('Vendor Months'!$G$6:$G$3965,'Vendor Months'!$A$6:$A$3965,$AS$1,'Vendor Months'!$C$6:$C$3965,A9,'Vendor Months'!$J$6:$J$3965,"AI")</f>
        <v>0</v>
      </c>
      <c r="Y9" s="10" t="n">
        <f aca="false">SUMIFS('Vendor Months'!$G$6:$G$3965,'Vendor Months'!$A$6:$A$3965,$AS$1,'Vendor Months'!$C$6:$C$3965,A9,'Vendor Months'!$J$6:$J$3965,"CTMS")</f>
        <v>0</v>
      </c>
      <c r="Z9" s="10" t="n">
        <f aca="false">SUM(N9:Y9)</f>
        <v>1997</v>
      </c>
      <c r="AA9" s="10" t="n">
        <f aca="false">(SUM(K9:M9)+Z9)*Assumptions!$C$12</f>
        <v>3912.2</v>
      </c>
      <c r="AB9" s="10" t="n">
        <f aca="false">AD9*Assumptions!$C$29</f>
        <v>0</v>
      </c>
      <c r="AC9" s="10" t="n">
        <f aca="false">SUM(K9:M9)+Z9+AA9+AB9</f>
        <v>43034.2</v>
      </c>
      <c r="AD9" s="10" t="n">
        <f aca="false">D9*Assumptions!$C$17</f>
        <v>0</v>
      </c>
      <c r="AE9" s="10" t="n">
        <f aca="false">AD9*12</f>
        <v>0</v>
      </c>
      <c r="AF9" s="10" t="n">
        <f aca="false">AC9-AD9</f>
        <v>43034.2</v>
      </c>
      <c r="AG9" s="10" t="n">
        <f aca="false">IF(A9=Assumptions!$C$7,Assumptions!$C$8,0)</f>
        <v>0</v>
      </c>
      <c r="AH9" s="10" t="n">
        <f aca="false">AI8</f>
        <v>384059.633333333</v>
      </c>
      <c r="AI9" s="10" t="n">
        <f aca="false">AH9+AG9-AF9</f>
        <v>341025.433333333</v>
      </c>
      <c r="AJ9" s="10" t="n">
        <f aca="false">SUM($AC$6:AC9)</f>
        <v>158974.566666667</v>
      </c>
      <c r="AK9" s="10" t="n">
        <f aca="false">MAX(0,-AI9)</f>
        <v>0</v>
      </c>
      <c r="AL9" s="10" t="n">
        <f aca="false">Assumptions!$C$6+SUM($AG$6:AG9)-AJ9</f>
        <v>341025.433333333</v>
      </c>
      <c r="AM9" s="10" t="n">
        <f aca="false">SUMIFS('Vendor Months'!$H$6:$H$3965,'Vendor Months'!$A$6:$A$3965,$AS$1,'Vendor Months'!$C$6:$C$3965,A9)</f>
        <v>1850</v>
      </c>
      <c r="AN9" s="10" t="n">
        <f aca="false">X9+Y9</f>
        <v>0</v>
      </c>
      <c r="AO9" s="10" t="n">
        <f aca="false">SUMIFS('Staff Months'!$I$6:$I$2345,'Staff Months'!$A$6:$A$2345,$AS$1,'Staff Months'!$C$6:$C$2345,A9)</f>
        <v>9375</v>
      </c>
      <c r="AP9" s="10" t="n">
        <f aca="false">SUM($AF$6:AF9)</f>
        <v>158974.566666667</v>
      </c>
      <c r="AQ9" s="10" t="n">
        <f aca="false">AC9</f>
        <v>43034.2</v>
      </c>
      <c r="AR9" s="26" t="n">
        <f aca="false">IF(AI9&lt;0,1,0)</f>
        <v>0</v>
      </c>
      <c r="AS9" s="6"/>
    </row>
    <row r="10" customFormat="false" ht="15" hidden="false" customHeight="false" outlineLevel="0" collapsed="false">
      <c r="A10" s="6" t="n">
        <v>5</v>
      </c>
      <c r="B10" s="25" t="n">
        <f aca="false">EDATE('Start Here'!$B$6,A10-1)</f>
        <v>46447</v>
      </c>
      <c r="C10" s="11" t="n">
        <f aca="false">IF(A10&gt;=Assumptions!$C$13,Assumptions!$C$14*(1+Assumptions!$C$15)^INT((A10-Assumptions!$C$13)/12),0)</f>
        <v>0</v>
      </c>
      <c r="D10" s="11" t="n">
        <f aca="false">D9*(1-Assumptions!$C$16)+C10</f>
        <v>0</v>
      </c>
      <c r="E10" s="11" t="n">
        <f aca="false">D10*Assumptions!$C$18</f>
        <v>0</v>
      </c>
      <c r="F10" s="11" t="n">
        <f aca="false">E10*Assumptions!$C$19*30/1000000</f>
        <v>0</v>
      </c>
      <c r="G10" s="11" t="n">
        <f aca="false">D10*Assumptions!$C$20</f>
        <v>0</v>
      </c>
      <c r="H10" s="11" t="n">
        <f aca="false">D10*Assumptions!$C$21</f>
        <v>0</v>
      </c>
      <c r="I10" s="11" t="n">
        <f aca="false">SUMIFS('Staff Months'!$E$6:$E$2345,'Staff Months'!$A$6:$A$2345,$AS$1,'Staff Months'!$C$6:$C$2345,A10)</f>
        <v>2.9</v>
      </c>
      <c r="J10" s="11" t="n">
        <f aca="false">SUMIFS('Staff Months'!$L$6:$L$2345,'Staff Months'!$A$6:$A$2345,$AS$1,'Staff Months'!$C$6:$C$2345,A10)</f>
        <v>7</v>
      </c>
      <c r="K10" s="10" t="n">
        <f aca="false">SUMIFS('Staff Months'!$H$6:$H$2345,'Staff Months'!$A$6:$A$2345,$AS$1,'Staff Months'!$C$6:$C$2345,A10)</f>
        <v>36583.3333333333</v>
      </c>
      <c r="L10" s="10" t="n">
        <f aca="false">SUMIFS('Staff Months'!$J$6:$J$2345,'Staff Months'!$A$6:$A$2345,$AS$1,'Staff Months'!$C$6:$C$2345,A10)</f>
        <v>1250</v>
      </c>
      <c r="M10" s="10" t="n">
        <f aca="false">SUMIFS('Staff Months'!$K$6:$K$2345,'Staff Months'!$A$6:$A$2345,$AS$1,'Staff Months'!$C$6:$C$2345,A10)</f>
        <v>625</v>
      </c>
      <c r="N10" s="10" t="n">
        <f aca="false">SUMIFS('Vendor Months'!$G$6:$G$3965,'Vendor Months'!$A$6:$A$3965,$AS$1,'Vendor Months'!$C$6:$C$3965,A10,'Vendor Months'!$J$6:$J$3965,"INFRA")</f>
        <v>1250</v>
      </c>
      <c r="O10" s="10" t="n">
        <f aca="false">SUMIFS('Vendor Months'!$G$6:$G$3965,'Vendor Months'!$A$6:$A$3965,$AS$1,'Vendor Months'!$C$6:$C$3965,A10,'Vendor Months'!$J$6:$J$3965,"TOOLS")</f>
        <v>147</v>
      </c>
      <c r="P10" s="10" t="n">
        <f aca="false">SUMIFS('Vendor Months'!$G$6:$G$3965,'Vendor Months'!$A$6:$A$3965,$AS$1,'Vendor Months'!$C$6:$C$3965,A10,'Vendor Months'!$J$6:$J$3965,"LEGAL")</f>
        <v>0</v>
      </c>
      <c r="Q10" s="10" t="n">
        <f aca="false">SUMIFS('Vendor Months'!$G$6:$G$3965,'Vendor Months'!$A$6:$A$3965,$AS$1,'Vendor Months'!$C$6:$C$3965,A10,'Vendor Months'!$J$6:$J$3965,"SECURITY")</f>
        <v>0</v>
      </c>
      <c r="R10" s="10" t="n">
        <f aca="false">SUMIFS('Vendor Months'!$G$6:$G$3965,'Vendor Months'!$A$6:$A$3965,$AS$1,'Vendor Months'!$C$6:$C$3965,A10,'Vendor Months'!$J$6:$J$3965,"COMPLIANCE")</f>
        <v>0</v>
      </c>
      <c r="S10" s="10" t="n">
        <f aca="false">SUMIFS('Vendor Months'!$G$6:$G$3965,'Vendor Months'!$A$6:$A$3965,$AS$1,'Vendor Months'!$C$6:$C$3965,A10,'Vendor Months'!$J$6:$J$3965,"INSURANCE")</f>
        <v>0</v>
      </c>
      <c r="T10" s="10" t="n">
        <f aca="false">SUMIFS('Vendor Months'!$G$6:$G$3965,'Vendor Months'!$A$6:$A$3965,$AS$1,'Vendor Months'!$C$6:$C$3965,A10,'Vendor Months'!$J$6:$J$3965,"ACCOUNTING")</f>
        <v>600</v>
      </c>
      <c r="U10" s="10" t="n">
        <f aca="false">SUMIFS('Vendor Months'!$G$6:$G$3965,'Vendor Months'!$A$6:$A$3965,$AS$1,'Vendor Months'!$C$6:$C$3965,A10,'Vendor Months'!$J$6:$J$3965,"SUPPORT")</f>
        <v>0</v>
      </c>
      <c r="V10" s="10" t="n">
        <f aca="false">SUMIFS('Vendor Months'!$G$6:$G$3965,'Vendor Months'!$A$6:$A$3965,$AS$1,'Vendor Months'!$C$6:$C$3965,A10,'Vendor Months'!$J$6:$J$3965,"MARKETING")</f>
        <v>0</v>
      </c>
      <c r="W10" s="10" t="n">
        <f aca="false">SUMIFS('Vendor Months'!$G$6:$G$3965,'Vendor Months'!$A$6:$A$3965,$AS$1,'Vendor Months'!$C$6:$C$3965,A10,'Vendor Months'!$J$6:$J$3965,"ONBOARD")</f>
        <v>0</v>
      </c>
      <c r="X10" s="10" t="n">
        <f aca="false">SUMIFS('Vendor Months'!$G$6:$G$3965,'Vendor Months'!$A$6:$A$3965,$AS$1,'Vendor Months'!$C$6:$C$3965,A10,'Vendor Months'!$J$6:$J$3965,"AI")</f>
        <v>0</v>
      </c>
      <c r="Y10" s="10" t="n">
        <f aca="false">SUMIFS('Vendor Months'!$G$6:$G$3965,'Vendor Months'!$A$6:$A$3965,$AS$1,'Vendor Months'!$C$6:$C$3965,A10,'Vendor Months'!$J$6:$J$3965,"CTMS")</f>
        <v>0</v>
      </c>
      <c r="Z10" s="10" t="n">
        <f aca="false">SUM(N10:Y10)</f>
        <v>1997</v>
      </c>
      <c r="AA10" s="10" t="n">
        <f aca="false">(SUM(K10:M10)+Z10)*Assumptions!$C$12</f>
        <v>4045.53333333333</v>
      </c>
      <c r="AB10" s="10" t="n">
        <f aca="false">AD10*Assumptions!$C$29</f>
        <v>0</v>
      </c>
      <c r="AC10" s="10" t="n">
        <f aca="false">SUM(K10:M10)+Z10+AA10+AB10</f>
        <v>44500.8666666667</v>
      </c>
      <c r="AD10" s="10" t="n">
        <f aca="false">D10*Assumptions!$C$17</f>
        <v>0</v>
      </c>
      <c r="AE10" s="10" t="n">
        <f aca="false">AD10*12</f>
        <v>0</v>
      </c>
      <c r="AF10" s="10" t="n">
        <f aca="false">AC10-AD10</f>
        <v>44500.8666666667</v>
      </c>
      <c r="AG10" s="10" t="n">
        <f aca="false">IF(A10=Assumptions!$C$7,Assumptions!$C$8,0)</f>
        <v>0</v>
      </c>
      <c r="AH10" s="10" t="n">
        <f aca="false">AI9</f>
        <v>341025.433333333</v>
      </c>
      <c r="AI10" s="10" t="n">
        <f aca="false">AH10+AG10-AF10</f>
        <v>296524.566666667</v>
      </c>
      <c r="AJ10" s="10" t="n">
        <f aca="false">SUM($AC$6:AC10)</f>
        <v>203475.433333333</v>
      </c>
      <c r="AK10" s="10" t="n">
        <f aca="false">MAX(0,-AI10)</f>
        <v>0</v>
      </c>
      <c r="AL10" s="10" t="n">
        <f aca="false">Assumptions!$C$6+SUM($AG$6:AG10)-AJ10</f>
        <v>296524.566666667</v>
      </c>
      <c r="AM10" s="10" t="n">
        <f aca="false">SUMIFS('Vendor Months'!$H$6:$H$3965,'Vendor Months'!$A$6:$A$3965,$AS$1,'Vendor Months'!$C$6:$C$3965,A10)</f>
        <v>1850</v>
      </c>
      <c r="AN10" s="10" t="n">
        <f aca="false">X10+Y10</f>
        <v>0</v>
      </c>
      <c r="AO10" s="10" t="n">
        <f aca="false">SUMIFS('Staff Months'!$I$6:$I$2345,'Staff Months'!$A$6:$A$2345,$AS$1,'Staff Months'!$C$6:$C$2345,A10)</f>
        <v>9375</v>
      </c>
      <c r="AP10" s="10" t="n">
        <f aca="false">SUM($AF$6:AF10)</f>
        <v>203475.433333333</v>
      </c>
      <c r="AQ10" s="10" t="n">
        <f aca="false">AC10</f>
        <v>44500.8666666667</v>
      </c>
      <c r="AR10" s="26" t="n">
        <f aca="false">IF(AI10&lt;0,1,0)</f>
        <v>0</v>
      </c>
      <c r="AS10" s="6"/>
    </row>
    <row r="11" customFormat="false" ht="15" hidden="false" customHeight="false" outlineLevel="0" collapsed="false">
      <c r="A11" s="6" t="n">
        <v>6</v>
      </c>
      <c r="B11" s="25" t="n">
        <f aca="false">EDATE('Start Here'!$B$6,A11-1)</f>
        <v>46478</v>
      </c>
      <c r="C11" s="11" t="n">
        <f aca="false">IF(A11&gt;=Assumptions!$C$13,Assumptions!$C$14*(1+Assumptions!$C$15)^INT((A11-Assumptions!$C$13)/12),0)</f>
        <v>0</v>
      </c>
      <c r="D11" s="11" t="n">
        <f aca="false">D10*(1-Assumptions!$C$16)+C11</f>
        <v>0</v>
      </c>
      <c r="E11" s="11" t="n">
        <f aca="false">D11*Assumptions!$C$18</f>
        <v>0</v>
      </c>
      <c r="F11" s="11" t="n">
        <f aca="false">E11*Assumptions!$C$19*30/1000000</f>
        <v>0</v>
      </c>
      <c r="G11" s="11" t="n">
        <f aca="false">D11*Assumptions!$C$20</f>
        <v>0</v>
      </c>
      <c r="H11" s="11" t="n">
        <f aca="false">D11*Assumptions!$C$21</f>
        <v>0</v>
      </c>
      <c r="I11" s="11" t="n">
        <f aca="false">SUMIFS('Staff Months'!$E$6:$E$2345,'Staff Months'!$A$6:$A$2345,$AS$1,'Staff Months'!$C$6:$C$2345,A11)</f>
        <v>2.9</v>
      </c>
      <c r="J11" s="11" t="n">
        <f aca="false">SUMIFS('Staff Months'!$L$6:$L$2345,'Staff Months'!$A$6:$A$2345,$AS$1,'Staff Months'!$C$6:$C$2345,A11)</f>
        <v>7</v>
      </c>
      <c r="K11" s="10" t="n">
        <f aca="false">SUMIFS('Staff Months'!$H$6:$H$2345,'Staff Months'!$A$6:$A$2345,$AS$1,'Staff Months'!$C$6:$C$2345,A11)</f>
        <v>36583.3333333333</v>
      </c>
      <c r="L11" s="10" t="n">
        <f aca="false">SUMIFS('Staff Months'!$J$6:$J$2345,'Staff Months'!$A$6:$A$2345,$AS$1,'Staff Months'!$C$6:$C$2345,A11)</f>
        <v>0</v>
      </c>
      <c r="M11" s="10" t="n">
        <f aca="false">SUMIFS('Staff Months'!$K$6:$K$2345,'Staff Months'!$A$6:$A$2345,$AS$1,'Staff Months'!$C$6:$C$2345,A11)</f>
        <v>0</v>
      </c>
      <c r="N11" s="10" t="n">
        <f aca="false">SUMIFS('Vendor Months'!$G$6:$G$3965,'Vendor Months'!$A$6:$A$3965,$AS$1,'Vendor Months'!$C$6:$C$3965,A11,'Vendor Months'!$J$6:$J$3965,"INFRA")</f>
        <v>1250</v>
      </c>
      <c r="O11" s="10" t="n">
        <f aca="false">SUMIFS('Vendor Months'!$G$6:$G$3965,'Vendor Months'!$A$6:$A$3965,$AS$1,'Vendor Months'!$C$6:$C$3965,A11,'Vendor Months'!$J$6:$J$3965,"TOOLS")</f>
        <v>147</v>
      </c>
      <c r="P11" s="10" t="n">
        <f aca="false">SUMIFS('Vendor Months'!$G$6:$G$3965,'Vendor Months'!$A$6:$A$3965,$AS$1,'Vendor Months'!$C$6:$C$3965,A11,'Vendor Months'!$J$6:$J$3965,"LEGAL")</f>
        <v>0</v>
      </c>
      <c r="Q11" s="10" t="n">
        <f aca="false">SUMIFS('Vendor Months'!$G$6:$G$3965,'Vendor Months'!$A$6:$A$3965,$AS$1,'Vendor Months'!$C$6:$C$3965,A11,'Vendor Months'!$J$6:$J$3965,"SECURITY")</f>
        <v>0</v>
      </c>
      <c r="R11" s="10" t="n">
        <f aca="false">SUMIFS('Vendor Months'!$G$6:$G$3965,'Vendor Months'!$A$6:$A$3965,$AS$1,'Vendor Months'!$C$6:$C$3965,A11,'Vendor Months'!$J$6:$J$3965,"COMPLIANCE")</f>
        <v>0</v>
      </c>
      <c r="S11" s="10" t="n">
        <f aca="false">SUMIFS('Vendor Months'!$G$6:$G$3965,'Vendor Months'!$A$6:$A$3965,$AS$1,'Vendor Months'!$C$6:$C$3965,A11,'Vendor Months'!$J$6:$J$3965,"INSURANCE")</f>
        <v>0</v>
      </c>
      <c r="T11" s="10" t="n">
        <f aca="false">SUMIFS('Vendor Months'!$G$6:$G$3965,'Vendor Months'!$A$6:$A$3965,$AS$1,'Vendor Months'!$C$6:$C$3965,A11,'Vendor Months'!$J$6:$J$3965,"ACCOUNTING")</f>
        <v>600</v>
      </c>
      <c r="U11" s="10" t="n">
        <f aca="false">SUMIFS('Vendor Months'!$G$6:$G$3965,'Vendor Months'!$A$6:$A$3965,$AS$1,'Vendor Months'!$C$6:$C$3965,A11,'Vendor Months'!$J$6:$J$3965,"SUPPORT")</f>
        <v>0</v>
      </c>
      <c r="V11" s="10" t="n">
        <f aca="false">SUMIFS('Vendor Months'!$G$6:$G$3965,'Vendor Months'!$A$6:$A$3965,$AS$1,'Vendor Months'!$C$6:$C$3965,A11,'Vendor Months'!$J$6:$J$3965,"MARKETING")</f>
        <v>0</v>
      </c>
      <c r="W11" s="10" t="n">
        <f aca="false">SUMIFS('Vendor Months'!$G$6:$G$3965,'Vendor Months'!$A$6:$A$3965,$AS$1,'Vendor Months'!$C$6:$C$3965,A11,'Vendor Months'!$J$6:$J$3965,"ONBOARD")</f>
        <v>0</v>
      </c>
      <c r="X11" s="10" t="n">
        <f aca="false">SUMIFS('Vendor Months'!$G$6:$G$3965,'Vendor Months'!$A$6:$A$3965,$AS$1,'Vendor Months'!$C$6:$C$3965,A11,'Vendor Months'!$J$6:$J$3965,"AI")</f>
        <v>0</v>
      </c>
      <c r="Y11" s="10" t="n">
        <f aca="false">SUMIFS('Vendor Months'!$G$6:$G$3965,'Vendor Months'!$A$6:$A$3965,$AS$1,'Vendor Months'!$C$6:$C$3965,A11,'Vendor Months'!$J$6:$J$3965,"CTMS")</f>
        <v>0</v>
      </c>
      <c r="Z11" s="10" t="n">
        <f aca="false">SUM(N11:Y11)</f>
        <v>1997</v>
      </c>
      <c r="AA11" s="10" t="n">
        <f aca="false">(SUM(K11:M11)+Z11)*Assumptions!$C$12</f>
        <v>3858.03333333333</v>
      </c>
      <c r="AB11" s="10" t="n">
        <f aca="false">AD11*Assumptions!$C$29</f>
        <v>0</v>
      </c>
      <c r="AC11" s="10" t="n">
        <f aca="false">SUM(K11:M11)+Z11+AA11+AB11</f>
        <v>42438.3666666667</v>
      </c>
      <c r="AD11" s="10" t="n">
        <f aca="false">D11*Assumptions!$C$17</f>
        <v>0</v>
      </c>
      <c r="AE11" s="10" t="n">
        <f aca="false">AD11*12</f>
        <v>0</v>
      </c>
      <c r="AF11" s="10" t="n">
        <f aca="false">AC11-AD11</f>
        <v>42438.3666666667</v>
      </c>
      <c r="AG11" s="10" t="n">
        <f aca="false">IF(A11=Assumptions!$C$7,Assumptions!$C$8,0)</f>
        <v>0</v>
      </c>
      <c r="AH11" s="10" t="n">
        <f aca="false">AI10</f>
        <v>296524.566666667</v>
      </c>
      <c r="AI11" s="10" t="n">
        <f aca="false">AH11+AG11-AF11</f>
        <v>254086.2</v>
      </c>
      <c r="AJ11" s="10" t="n">
        <f aca="false">SUM($AC$6:AC11)</f>
        <v>245913.8</v>
      </c>
      <c r="AK11" s="10" t="n">
        <f aca="false">MAX(0,-AI11)</f>
        <v>0</v>
      </c>
      <c r="AL11" s="10" t="n">
        <f aca="false">Assumptions!$C$6+SUM($AG$6:AG11)-AJ11</f>
        <v>254086.2</v>
      </c>
      <c r="AM11" s="10" t="n">
        <f aca="false">SUMIFS('Vendor Months'!$H$6:$H$3965,'Vendor Months'!$A$6:$A$3965,$AS$1,'Vendor Months'!$C$6:$C$3965,A11)</f>
        <v>1850</v>
      </c>
      <c r="AN11" s="10" t="n">
        <f aca="false">X11+Y11</f>
        <v>0</v>
      </c>
      <c r="AO11" s="10" t="n">
        <f aca="false">SUMIFS('Staff Months'!$I$6:$I$2345,'Staff Months'!$A$6:$A$2345,$AS$1,'Staff Months'!$C$6:$C$2345,A11)</f>
        <v>9375</v>
      </c>
      <c r="AP11" s="10" t="n">
        <f aca="false">SUM($AF$6:AF11)</f>
        <v>245913.8</v>
      </c>
      <c r="AQ11" s="10" t="n">
        <f aca="false">AC11</f>
        <v>42438.3666666667</v>
      </c>
      <c r="AR11" s="26" t="n">
        <f aca="false">IF(AI11&lt;0,1,0)</f>
        <v>0</v>
      </c>
      <c r="AS11" s="6"/>
    </row>
    <row r="12" customFormat="false" ht="15" hidden="false" customHeight="false" outlineLevel="0" collapsed="false">
      <c r="A12" s="6" t="n">
        <v>7</v>
      </c>
      <c r="B12" s="25" t="n">
        <f aca="false">EDATE('Start Here'!$B$6,A12-1)</f>
        <v>46508</v>
      </c>
      <c r="C12" s="11" t="n">
        <f aca="false">IF(A12&gt;=Assumptions!$C$13,Assumptions!$C$14*(1+Assumptions!$C$15)^INT((A12-Assumptions!$C$13)/12),0)</f>
        <v>0</v>
      </c>
      <c r="D12" s="11" t="n">
        <f aca="false">D11*(1-Assumptions!$C$16)+C12</f>
        <v>0</v>
      </c>
      <c r="E12" s="11" t="n">
        <f aca="false">D12*Assumptions!$C$18</f>
        <v>0</v>
      </c>
      <c r="F12" s="11" t="n">
        <f aca="false">E12*Assumptions!$C$19*30/1000000</f>
        <v>0</v>
      </c>
      <c r="G12" s="11" t="n">
        <f aca="false">D12*Assumptions!$C$20</f>
        <v>0</v>
      </c>
      <c r="H12" s="11" t="n">
        <f aca="false">D12*Assumptions!$C$21</f>
        <v>0</v>
      </c>
      <c r="I12" s="11" t="n">
        <f aca="false">SUMIFS('Staff Months'!$E$6:$E$2345,'Staff Months'!$A$6:$A$2345,$AS$1,'Staff Months'!$C$6:$C$2345,A12)</f>
        <v>4</v>
      </c>
      <c r="J12" s="11" t="n">
        <f aca="false">SUMIFS('Staff Months'!$L$6:$L$2345,'Staff Months'!$A$6:$A$2345,$AS$1,'Staff Months'!$C$6:$C$2345,A12)</f>
        <v>8</v>
      </c>
      <c r="K12" s="10" t="n">
        <f aca="false">SUMIFS('Staff Months'!$H$6:$H$2345,'Staff Months'!$A$6:$A$2345,$AS$1,'Staff Months'!$C$6:$C$2345,A12)</f>
        <v>53812.5</v>
      </c>
      <c r="L12" s="10" t="n">
        <f aca="false">SUMIFS('Staff Months'!$J$6:$J$2345,'Staff Months'!$A$6:$A$2345,$AS$1,'Staff Months'!$C$6:$C$2345,A12)</f>
        <v>5000</v>
      </c>
      <c r="M12" s="10" t="n">
        <f aca="false">SUMIFS('Staff Months'!$K$6:$K$2345,'Staff Months'!$A$6:$A$2345,$AS$1,'Staff Months'!$C$6:$C$2345,A12)</f>
        <v>2750</v>
      </c>
      <c r="N12" s="10" t="n">
        <f aca="false">SUMIFS('Vendor Months'!$G$6:$G$3965,'Vendor Months'!$A$6:$A$3965,$AS$1,'Vendor Months'!$C$6:$C$3965,A12,'Vendor Months'!$J$6:$J$3965,"INFRA")</f>
        <v>1250</v>
      </c>
      <c r="O12" s="10" t="n">
        <f aca="false">SUMIFS('Vendor Months'!$G$6:$G$3965,'Vendor Months'!$A$6:$A$3965,$AS$1,'Vendor Months'!$C$6:$C$3965,A12,'Vendor Months'!$J$6:$J$3965,"TOOLS")</f>
        <v>196</v>
      </c>
      <c r="P12" s="10" t="n">
        <f aca="false">SUMIFS('Vendor Months'!$G$6:$G$3965,'Vendor Months'!$A$6:$A$3965,$AS$1,'Vendor Months'!$C$6:$C$3965,A12,'Vendor Months'!$J$6:$J$3965,"LEGAL")</f>
        <v>0</v>
      </c>
      <c r="Q12" s="10" t="n">
        <f aca="false">SUMIFS('Vendor Months'!$G$6:$G$3965,'Vendor Months'!$A$6:$A$3965,$AS$1,'Vendor Months'!$C$6:$C$3965,A12,'Vendor Months'!$J$6:$J$3965,"SECURITY")</f>
        <v>0</v>
      </c>
      <c r="R12" s="10" t="n">
        <f aca="false">SUMIFS('Vendor Months'!$G$6:$G$3965,'Vendor Months'!$A$6:$A$3965,$AS$1,'Vendor Months'!$C$6:$C$3965,A12,'Vendor Months'!$J$6:$J$3965,"COMPLIANCE")</f>
        <v>0</v>
      </c>
      <c r="S12" s="10" t="n">
        <f aca="false">SUMIFS('Vendor Months'!$G$6:$G$3965,'Vendor Months'!$A$6:$A$3965,$AS$1,'Vendor Months'!$C$6:$C$3965,A12,'Vendor Months'!$J$6:$J$3965,"INSURANCE")</f>
        <v>0</v>
      </c>
      <c r="T12" s="10" t="n">
        <f aca="false">SUMIFS('Vendor Months'!$G$6:$G$3965,'Vendor Months'!$A$6:$A$3965,$AS$1,'Vendor Months'!$C$6:$C$3965,A12,'Vendor Months'!$J$6:$J$3965,"ACCOUNTING")</f>
        <v>600</v>
      </c>
      <c r="U12" s="10" t="n">
        <f aca="false">SUMIFS('Vendor Months'!$G$6:$G$3965,'Vendor Months'!$A$6:$A$3965,$AS$1,'Vendor Months'!$C$6:$C$3965,A12,'Vendor Months'!$J$6:$J$3965,"SUPPORT")</f>
        <v>0</v>
      </c>
      <c r="V12" s="10" t="n">
        <f aca="false">SUMIFS('Vendor Months'!$G$6:$G$3965,'Vendor Months'!$A$6:$A$3965,$AS$1,'Vendor Months'!$C$6:$C$3965,A12,'Vendor Months'!$J$6:$J$3965,"MARKETING")</f>
        <v>0</v>
      </c>
      <c r="W12" s="10" t="n">
        <f aca="false">SUMIFS('Vendor Months'!$G$6:$G$3965,'Vendor Months'!$A$6:$A$3965,$AS$1,'Vendor Months'!$C$6:$C$3965,A12,'Vendor Months'!$J$6:$J$3965,"ONBOARD")</f>
        <v>0</v>
      </c>
      <c r="X12" s="10" t="n">
        <f aca="false">SUMIFS('Vendor Months'!$G$6:$G$3965,'Vendor Months'!$A$6:$A$3965,$AS$1,'Vendor Months'!$C$6:$C$3965,A12,'Vendor Months'!$J$6:$J$3965,"AI")</f>
        <v>0</v>
      </c>
      <c r="Y12" s="10" t="n">
        <f aca="false">SUMIFS('Vendor Months'!$G$6:$G$3965,'Vendor Months'!$A$6:$A$3965,$AS$1,'Vendor Months'!$C$6:$C$3965,A12,'Vendor Months'!$J$6:$J$3965,"CTMS")</f>
        <v>0</v>
      </c>
      <c r="Z12" s="10" t="n">
        <f aca="false">SUM(N12:Y12)</f>
        <v>2046</v>
      </c>
      <c r="AA12" s="10" t="n">
        <f aca="false">(SUM(K12:M12)+Z12)*Assumptions!$C$12</f>
        <v>6360.85</v>
      </c>
      <c r="AB12" s="10" t="n">
        <f aca="false">AD12*Assumptions!$C$29</f>
        <v>0</v>
      </c>
      <c r="AC12" s="10" t="n">
        <f aca="false">SUM(K12:M12)+Z12+AA12+AB12</f>
        <v>69969.35</v>
      </c>
      <c r="AD12" s="10" t="n">
        <f aca="false">D12*Assumptions!$C$17</f>
        <v>0</v>
      </c>
      <c r="AE12" s="10" t="n">
        <f aca="false">AD12*12</f>
        <v>0</v>
      </c>
      <c r="AF12" s="10" t="n">
        <f aca="false">AC12-AD12</f>
        <v>69969.35</v>
      </c>
      <c r="AG12" s="10" t="n">
        <f aca="false">IF(A12=Assumptions!$C$7,Assumptions!$C$8,0)</f>
        <v>0</v>
      </c>
      <c r="AH12" s="10" t="n">
        <f aca="false">AI11</f>
        <v>254086.2</v>
      </c>
      <c r="AI12" s="10" t="n">
        <f aca="false">AH12+AG12-AF12</f>
        <v>184116.85</v>
      </c>
      <c r="AJ12" s="10" t="n">
        <f aca="false">SUM($AC$6:AC12)</f>
        <v>315883.15</v>
      </c>
      <c r="AK12" s="10" t="n">
        <f aca="false">MAX(0,-AI12)</f>
        <v>0</v>
      </c>
      <c r="AL12" s="10" t="n">
        <f aca="false">Assumptions!$C$6+SUM($AG$6:AG12)-AJ12</f>
        <v>184116.85</v>
      </c>
      <c r="AM12" s="10" t="n">
        <f aca="false">SUMIFS('Vendor Months'!$H$6:$H$3965,'Vendor Months'!$A$6:$A$3965,$AS$1,'Vendor Months'!$C$6:$C$3965,A12)</f>
        <v>1850</v>
      </c>
      <c r="AN12" s="10" t="n">
        <f aca="false">X12+Y12</f>
        <v>0</v>
      </c>
      <c r="AO12" s="10" t="n">
        <f aca="false">SUMIFS('Staff Months'!$I$6:$I$2345,'Staff Months'!$A$6:$A$2345,$AS$1,'Staff Months'!$C$6:$C$2345,A12)</f>
        <v>9375</v>
      </c>
      <c r="AP12" s="10" t="n">
        <f aca="false">SUM($AF$6:AF12)</f>
        <v>315883.15</v>
      </c>
      <c r="AQ12" s="10" t="n">
        <f aca="false">AC12</f>
        <v>69969.35</v>
      </c>
      <c r="AR12" s="26" t="n">
        <f aca="false">IF(AI12&lt;0,1,0)</f>
        <v>0</v>
      </c>
      <c r="AS12" s="6"/>
    </row>
    <row r="13" customFormat="false" ht="15" hidden="false" customHeight="false" outlineLevel="0" collapsed="false">
      <c r="A13" s="6" t="n">
        <v>8</v>
      </c>
      <c r="B13" s="25" t="n">
        <f aca="false">EDATE('Start Here'!$B$6,A13-1)</f>
        <v>46539</v>
      </c>
      <c r="C13" s="11" t="n">
        <f aca="false">IF(A13&gt;=Assumptions!$C$13,Assumptions!$C$14*(1+Assumptions!$C$15)^INT((A13-Assumptions!$C$13)/12),0)</f>
        <v>0</v>
      </c>
      <c r="D13" s="11" t="n">
        <f aca="false">D12*(1-Assumptions!$C$16)+C13</f>
        <v>0</v>
      </c>
      <c r="E13" s="11" t="n">
        <f aca="false">D13*Assumptions!$C$18</f>
        <v>0</v>
      </c>
      <c r="F13" s="11" t="n">
        <f aca="false">E13*Assumptions!$C$19*30/1000000</f>
        <v>0</v>
      </c>
      <c r="G13" s="11" t="n">
        <f aca="false">D13*Assumptions!$C$20</f>
        <v>0</v>
      </c>
      <c r="H13" s="11" t="n">
        <f aca="false">D13*Assumptions!$C$21</f>
        <v>0</v>
      </c>
      <c r="I13" s="11" t="n">
        <f aca="false">SUMIFS('Staff Months'!$E$6:$E$2345,'Staff Months'!$A$6:$A$2345,$AS$1,'Staff Months'!$C$6:$C$2345,A13)</f>
        <v>4</v>
      </c>
      <c r="J13" s="11" t="n">
        <f aca="false">SUMIFS('Staff Months'!$L$6:$L$2345,'Staff Months'!$A$6:$A$2345,$AS$1,'Staff Months'!$C$6:$C$2345,A13)</f>
        <v>8</v>
      </c>
      <c r="K13" s="10" t="n">
        <f aca="false">SUMIFS('Staff Months'!$H$6:$H$2345,'Staff Months'!$A$6:$A$2345,$AS$1,'Staff Months'!$C$6:$C$2345,A13)</f>
        <v>53812.5</v>
      </c>
      <c r="L13" s="10" t="n">
        <f aca="false">SUMIFS('Staff Months'!$J$6:$J$2345,'Staff Months'!$A$6:$A$2345,$AS$1,'Staff Months'!$C$6:$C$2345,A13)</f>
        <v>0</v>
      </c>
      <c r="M13" s="10" t="n">
        <f aca="false">SUMIFS('Staff Months'!$K$6:$K$2345,'Staff Months'!$A$6:$A$2345,$AS$1,'Staff Months'!$C$6:$C$2345,A13)</f>
        <v>0</v>
      </c>
      <c r="N13" s="10" t="n">
        <f aca="false">SUMIFS('Vendor Months'!$G$6:$G$3965,'Vendor Months'!$A$6:$A$3965,$AS$1,'Vendor Months'!$C$6:$C$3965,A13,'Vendor Months'!$J$6:$J$3965,"INFRA")</f>
        <v>1250</v>
      </c>
      <c r="O13" s="10" t="n">
        <f aca="false">SUMIFS('Vendor Months'!$G$6:$G$3965,'Vendor Months'!$A$6:$A$3965,$AS$1,'Vendor Months'!$C$6:$C$3965,A13,'Vendor Months'!$J$6:$J$3965,"TOOLS")</f>
        <v>196</v>
      </c>
      <c r="P13" s="10" t="n">
        <f aca="false">SUMIFS('Vendor Months'!$G$6:$G$3965,'Vendor Months'!$A$6:$A$3965,$AS$1,'Vendor Months'!$C$6:$C$3965,A13,'Vendor Months'!$J$6:$J$3965,"LEGAL")</f>
        <v>0</v>
      </c>
      <c r="Q13" s="10" t="n">
        <f aca="false">SUMIFS('Vendor Months'!$G$6:$G$3965,'Vendor Months'!$A$6:$A$3965,$AS$1,'Vendor Months'!$C$6:$C$3965,A13,'Vendor Months'!$J$6:$J$3965,"SECURITY")</f>
        <v>0</v>
      </c>
      <c r="R13" s="10" t="n">
        <f aca="false">SUMIFS('Vendor Months'!$G$6:$G$3965,'Vendor Months'!$A$6:$A$3965,$AS$1,'Vendor Months'!$C$6:$C$3965,A13,'Vendor Months'!$J$6:$J$3965,"COMPLIANCE")</f>
        <v>0</v>
      </c>
      <c r="S13" s="10" t="n">
        <f aca="false">SUMIFS('Vendor Months'!$G$6:$G$3965,'Vendor Months'!$A$6:$A$3965,$AS$1,'Vendor Months'!$C$6:$C$3965,A13,'Vendor Months'!$J$6:$J$3965,"INSURANCE")</f>
        <v>0</v>
      </c>
      <c r="T13" s="10" t="n">
        <f aca="false">SUMIFS('Vendor Months'!$G$6:$G$3965,'Vendor Months'!$A$6:$A$3965,$AS$1,'Vendor Months'!$C$6:$C$3965,A13,'Vendor Months'!$J$6:$J$3965,"ACCOUNTING")</f>
        <v>600</v>
      </c>
      <c r="U13" s="10" t="n">
        <f aca="false">SUMIFS('Vendor Months'!$G$6:$G$3965,'Vendor Months'!$A$6:$A$3965,$AS$1,'Vendor Months'!$C$6:$C$3965,A13,'Vendor Months'!$J$6:$J$3965,"SUPPORT")</f>
        <v>0</v>
      </c>
      <c r="V13" s="10" t="n">
        <f aca="false">SUMIFS('Vendor Months'!$G$6:$G$3965,'Vendor Months'!$A$6:$A$3965,$AS$1,'Vendor Months'!$C$6:$C$3965,A13,'Vendor Months'!$J$6:$J$3965,"MARKETING")</f>
        <v>0</v>
      </c>
      <c r="W13" s="10" t="n">
        <f aca="false">SUMIFS('Vendor Months'!$G$6:$G$3965,'Vendor Months'!$A$6:$A$3965,$AS$1,'Vendor Months'!$C$6:$C$3965,A13,'Vendor Months'!$J$6:$J$3965,"ONBOARD")</f>
        <v>0</v>
      </c>
      <c r="X13" s="10" t="n">
        <f aca="false">SUMIFS('Vendor Months'!$G$6:$G$3965,'Vendor Months'!$A$6:$A$3965,$AS$1,'Vendor Months'!$C$6:$C$3965,A13,'Vendor Months'!$J$6:$J$3965,"AI")</f>
        <v>0</v>
      </c>
      <c r="Y13" s="10" t="n">
        <f aca="false">SUMIFS('Vendor Months'!$G$6:$G$3965,'Vendor Months'!$A$6:$A$3965,$AS$1,'Vendor Months'!$C$6:$C$3965,A13,'Vendor Months'!$J$6:$J$3965,"CTMS")</f>
        <v>0</v>
      </c>
      <c r="Z13" s="10" t="n">
        <f aca="false">SUM(N13:Y13)</f>
        <v>2046</v>
      </c>
      <c r="AA13" s="10" t="n">
        <f aca="false">(SUM(K13:M13)+Z13)*Assumptions!$C$12</f>
        <v>5585.85</v>
      </c>
      <c r="AB13" s="10" t="n">
        <f aca="false">AD13*Assumptions!$C$29</f>
        <v>0</v>
      </c>
      <c r="AC13" s="10" t="n">
        <f aca="false">SUM(K13:M13)+Z13+AA13+AB13</f>
        <v>61444.35</v>
      </c>
      <c r="AD13" s="10" t="n">
        <f aca="false">D13*Assumptions!$C$17</f>
        <v>0</v>
      </c>
      <c r="AE13" s="10" t="n">
        <f aca="false">AD13*12</f>
        <v>0</v>
      </c>
      <c r="AF13" s="10" t="n">
        <f aca="false">AC13-AD13</f>
        <v>61444.35</v>
      </c>
      <c r="AG13" s="10" t="n">
        <f aca="false">IF(A13=Assumptions!$C$7,Assumptions!$C$8,0)</f>
        <v>0</v>
      </c>
      <c r="AH13" s="10" t="n">
        <f aca="false">AI12</f>
        <v>184116.85</v>
      </c>
      <c r="AI13" s="10" t="n">
        <f aca="false">AH13+AG13-AF13</f>
        <v>122672.5</v>
      </c>
      <c r="AJ13" s="10" t="n">
        <f aca="false">SUM($AC$6:AC13)</f>
        <v>377327.5</v>
      </c>
      <c r="AK13" s="10" t="n">
        <f aca="false">MAX(0,-AI13)</f>
        <v>0</v>
      </c>
      <c r="AL13" s="10" t="n">
        <f aca="false">Assumptions!$C$6+SUM($AG$6:AG13)-AJ13</f>
        <v>122672.5</v>
      </c>
      <c r="AM13" s="10" t="n">
        <f aca="false">SUMIFS('Vendor Months'!$H$6:$H$3965,'Vendor Months'!$A$6:$A$3965,$AS$1,'Vendor Months'!$C$6:$C$3965,A13)</f>
        <v>1850</v>
      </c>
      <c r="AN13" s="10" t="n">
        <f aca="false">X13+Y13</f>
        <v>0</v>
      </c>
      <c r="AO13" s="10" t="n">
        <f aca="false">SUMIFS('Staff Months'!$I$6:$I$2345,'Staff Months'!$A$6:$A$2345,$AS$1,'Staff Months'!$C$6:$C$2345,A13)</f>
        <v>9375</v>
      </c>
      <c r="AP13" s="10" t="n">
        <f aca="false">SUM($AF$6:AF13)</f>
        <v>377327.5</v>
      </c>
      <c r="AQ13" s="10" t="n">
        <f aca="false">AC13</f>
        <v>61444.35</v>
      </c>
      <c r="AR13" s="26" t="n">
        <f aca="false">IF(AI13&lt;0,1,0)</f>
        <v>0</v>
      </c>
      <c r="AS13" s="6"/>
    </row>
    <row r="14" customFormat="false" ht="15" hidden="false" customHeight="false" outlineLevel="0" collapsed="false">
      <c r="A14" s="6" t="n">
        <v>9</v>
      </c>
      <c r="B14" s="25" t="n">
        <f aca="false">EDATE('Start Here'!$B$6,A14-1)</f>
        <v>46569</v>
      </c>
      <c r="C14" s="11" t="n">
        <f aca="false">IF(A14&gt;=Assumptions!$C$13,Assumptions!$C$14*(1+Assumptions!$C$15)^INT((A14-Assumptions!$C$13)/12),0)</f>
        <v>0</v>
      </c>
      <c r="D14" s="11" t="n">
        <f aca="false">D13*(1-Assumptions!$C$16)+C14</f>
        <v>0</v>
      </c>
      <c r="E14" s="11" t="n">
        <f aca="false">D14*Assumptions!$C$18</f>
        <v>0</v>
      </c>
      <c r="F14" s="11" t="n">
        <f aca="false">E14*Assumptions!$C$19*30/1000000</f>
        <v>0</v>
      </c>
      <c r="G14" s="11" t="n">
        <f aca="false">D14*Assumptions!$C$20</f>
        <v>0</v>
      </c>
      <c r="H14" s="11" t="n">
        <f aca="false">D14*Assumptions!$C$21</f>
        <v>0</v>
      </c>
      <c r="I14" s="11" t="n">
        <f aca="false">SUMIFS('Staff Months'!$E$6:$E$2345,'Staff Months'!$A$6:$A$2345,$AS$1,'Staff Months'!$C$6:$C$2345,A14)</f>
        <v>4</v>
      </c>
      <c r="J14" s="11" t="n">
        <f aca="false">SUMIFS('Staff Months'!$L$6:$L$2345,'Staff Months'!$A$6:$A$2345,$AS$1,'Staff Months'!$C$6:$C$2345,A14)</f>
        <v>8</v>
      </c>
      <c r="K14" s="10" t="n">
        <f aca="false">SUMIFS('Staff Months'!$H$6:$H$2345,'Staff Months'!$A$6:$A$2345,$AS$1,'Staff Months'!$C$6:$C$2345,A14)</f>
        <v>53812.5</v>
      </c>
      <c r="L14" s="10" t="n">
        <f aca="false">SUMIFS('Staff Months'!$J$6:$J$2345,'Staff Months'!$A$6:$A$2345,$AS$1,'Staff Months'!$C$6:$C$2345,A14)</f>
        <v>0</v>
      </c>
      <c r="M14" s="10" t="n">
        <f aca="false">SUMIFS('Staff Months'!$K$6:$K$2345,'Staff Months'!$A$6:$A$2345,$AS$1,'Staff Months'!$C$6:$C$2345,A14)</f>
        <v>0</v>
      </c>
      <c r="N14" s="10" t="n">
        <f aca="false">SUMIFS('Vendor Months'!$G$6:$G$3965,'Vendor Months'!$A$6:$A$3965,$AS$1,'Vendor Months'!$C$6:$C$3965,A14,'Vendor Months'!$J$6:$J$3965,"INFRA")</f>
        <v>1250</v>
      </c>
      <c r="O14" s="10" t="n">
        <f aca="false">SUMIFS('Vendor Months'!$G$6:$G$3965,'Vendor Months'!$A$6:$A$3965,$AS$1,'Vendor Months'!$C$6:$C$3965,A14,'Vendor Months'!$J$6:$J$3965,"TOOLS")</f>
        <v>196</v>
      </c>
      <c r="P14" s="10" t="n">
        <f aca="false">SUMIFS('Vendor Months'!$G$6:$G$3965,'Vendor Months'!$A$6:$A$3965,$AS$1,'Vendor Months'!$C$6:$C$3965,A14,'Vendor Months'!$J$6:$J$3965,"LEGAL")</f>
        <v>0</v>
      </c>
      <c r="Q14" s="10" t="n">
        <f aca="false">SUMIFS('Vendor Months'!$G$6:$G$3965,'Vendor Months'!$A$6:$A$3965,$AS$1,'Vendor Months'!$C$6:$C$3965,A14,'Vendor Months'!$J$6:$J$3965,"SECURITY")</f>
        <v>0</v>
      </c>
      <c r="R14" s="10" t="n">
        <f aca="false">SUMIFS('Vendor Months'!$G$6:$G$3965,'Vendor Months'!$A$6:$A$3965,$AS$1,'Vendor Months'!$C$6:$C$3965,A14,'Vendor Months'!$J$6:$J$3965,"COMPLIANCE")</f>
        <v>0</v>
      </c>
      <c r="S14" s="10" t="n">
        <f aca="false">SUMIFS('Vendor Months'!$G$6:$G$3965,'Vendor Months'!$A$6:$A$3965,$AS$1,'Vendor Months'!$C$6:$C$3965,A14,'Vendor Months'!$J$6:$J$3965,"INSURANCE")</f>
        <v>12000</v>
      </c>
      <c r="T14" s="10" t="n">
        <f aca="false">SUMIFS('Vendor Months'!$G$6:$G$3965,'Vendor Months'!$A$6:$A$3965,$AS$1,'Vendor Months'!$C$6:$C$3965,A14,'Vendor Months'!$J$6:$J$3965,"ACCOUNTING")</f>
        <v>600</v>
      </c>
      <c r="U14" s="10" t="n">
        <f aca="false">SUMIFS('Vendor Months'!$G$6:$G$3965,'Vendor Months'!$A$6:$A$3965,$AS$1,'Vendor Months'!$C$6:$C$3965,A14,'Vendor Months'!$J$6:$J$3965,"SUPPORT")</f>
        <v>100</v>
      </c>
      <c r="V14" s="10" t="n">
        <f aca="false">SUMIFS('Vendor Months'!$G$6:$G$3965,'Vendor Months'!$A$6:$A$3965,$AS$1,'Vendor Months'!$C$6:$C$3965,A14,'Vendor Months'!$J$6:$J$3965,"MARKETING")</f>
        <v>0</v>
      </c>
      <c r="W14" s="10" t="n">
        <f aca="false">SUMIFS('Vendor Months'!$G$6:$G$3965,'Vendor Months'!$A$6:$A$3965,$AS$1,'Vendor Months'!$C$6:$C$3965,A14,'Vendor Months'!$J$6:$J$3965,"ONBOARD")</f>
        <v>0</v>
      </c>
      <c r="X14" s="10" t="n">
        <f aca="false">SUMIFS('Vendor Months'!$G$6:$G$3965,'Vendor Months'!$A$6:$A$3965,$AS$1,'Vendor Months'!$C$6:$C$3965,A14,'Vendor Months'!$J$6:$J$3965,"AI")</f>
        <v>0</v>
      </c>
      <c r="Y14" s="10" t="n">
        <f aca="false">SUMIFS('Vendor Months'!$G$6:$G$3965,'Vendor Months'!$A$6:$A$3965,$AS$1,'Vendor Months'!$C$6:$C$3965,A14,'Vendor Months'!$J$6:$J$3965,"CTMS")</f>
        <v>0</v>
      </c>
      <c r="Z14" s="10" t="n">
        <f aca="false">SUM(N14:Y14)</f>
        <v>14146</v>
      </c>
      <c r="AA14" s="10" t="n">
        <f aca="false">(SUM(K14:M14)+Z14)*Assumptions!$C$12</f>
        <v>6795.85</v>
      </c>
      <c r="AB14" s="10" t="n">
        <f aca="false">AD14*Assumptions!$C$29</f>
        <v>0</v>
      </c>
      <c r="AC14" s="10" t="n">
        <f aca="false">SUM(K14:M14)+Z14+AA14+AB14</f>
        <v>74754.35</v>
      </c>
      <c r="AD14" s="10" t="n">
        <f aca="false">D14*Assumptions!$C$17</f>
        <v>0</v>
      </c>
      <c r="AE14" s="10" t="n">
        <f aca="false">AD14*12</f>
        <v>0</v>
      </c>
      <c r="AF14" s="10" t="n">
        <f aca="false">AC14-AD14</f>
        <v>74754.35</v>
      </c>
      <c r="AG14" s="10" t="n">
        <f aca="false">IF(A14=Assumptions!$C$7,Assumptions!$C$8,0)</f>
        <v>0</v>
      </c>
      <c r="AH14" s="10" t="n">
        <f aca="false">AI13</f>
        <v>122672.5</v>
      </c>
      <c r="AI14" s="10" t="n">
        <f aca="false">AH14+AG14-AF14</f>
        <v>47918.15</v>
      </c>
      <c r="AJ14" s="10" t="n">
        <f aca="false">SUM($AC$6:AC14)</f>
        <v>452081.85</v>
      </c>
      <c r="AK14" s="10" t="n">
        <f aca="false">MAX(0,-AI14)</f>
        <v>0</v>
      </c>
      <c r="AL14" s="10" t="n">
        <f aca="false">Assumptions!$C$6+SUM($AG$6:AG14)-AJ14</f>
        <v>47918.15</v>
      </c>
      <c r="AM14" s="10" t="n">
        <f aca="false">SUMIFS('Vendor Months'!$H$6:$H$3965,'Vendor Months'!$A$6:$A$3965,$AS$1,'Vendor Months'!$C$6:$C$3965,A14)</f>
        <v>13850</v>
      </c>
      <c r="AN14" s="10" t="n">
        <f aca="false">X14+Y14</f>
        <v>0</v>
      </c>
      <c r="AO14" s="10" t="n">
        <f aca="false">SUMIFS('Staff Months'!$I$6:$I$2345,'Staff Months'!$A$6:$A$2345,$AS$1,'Staff Months'!$C$6:$C$2345,A14)</f>
        <v>9375</v>
      </c>
      <c r="AP14" s="10" t="n">
        <f aca="false">SUM($AF$6:AF14)</f>
        <v>452081.85</v>
      </c>
      <c r="AQ14" s="10" t="n">
        <f aca="false">AC14</f>
        <v>74754.35</v>
      </c>
      <c r="AR14" s="26" t="n">
        <f aca="false">IF(AI14&lt;0,1,0)</f>
        <v>0</v>
      </c>
      <c r="AS14" s="6"/>
    </row>
    <row r="15" customFormat="false" ht="15" hidden="false" customHeight="false" outlineLevel="0" collapsed="false">
      <c r="A15" s="6" t="n">
        <v>10</v>
      </c>
      <c r="B15" s="25" t="n">
        <f aca="false">EDATE('Start Here'!$B$6,A15-1)</f>
        <v>46600</v>
      </c>
      <c r="C15" s="11" t="n">
        <f aca="false">IF(A15&gt;=Assumptions!$C$13,Assumptions!$C$14*(1+Assumptions!$C$15)^INT((A15-Assumptions!$C$13)/12),0)</f>
        <v>0</v>
      </c>
      <c r="D15" s="11" t="n">
        <f aca="false">D14*(1-Assumptions!$C$16)+C15</f>
        <v>0</v>
      </c>
      <c r="E15" s="11" t="n">
        <f aca="false">D15*Assumptions!$C$18</f>
        <v>0</v>
      </c>
      <c r="F15" s="11" t="n">
        <f aca="false">E15*Assumptions!$C$19*30/1000000</f>
        <v>0</v>
      </c>
      <c r="G15" s="11" t="n">
        <f aca="false">D15*Assumptions!$C$20</f>
        <v>0</v>
      </c>
      <c r="H15" s="11" t="n">
        <f aca="false">D15*Assumptions!$C$21</f>
        <v>0</v>
      </c>
      <c r="I15" s="11" t="n">
        <f aca="false">SUMIFS('Staff Months'!$E$6:$E$2345,'Staff Months'!$A$6:$A$2345,$AS$1,'Staff Months'!$C$6:$C$2345,A15)</f>
        <v>4</v>
      </c>
      <c r="J15" s="11" t="n">
        <f aca="false">SUMIFS('Staff Months'!$L$6:$L$2345,'Staff Months'!$A$6:$A$2345,$AS$1,'Staff Months'!$C$6:$C$2345,A15)</f>
        <v>8</v>
      </c>
      <c r="K15" s="10" t="n">
        <f aca="false">SUMIFS('Staff Months'!$H$6:$H$2345,'Staff Months'!$A$6:$A$2345,$AS$1,'Staff Months'!$C$6:$C$2345,A15)</f>
        <v>53812.5</v>
      </c>
      <c r="L15" s="10" t="n">
        <f aca="false">SUMIFS('Staff Months'!$J$6:$J$2345,'Staff Months'!$A$6:$A$2345,$AS$1,'Staff Months'!$C$6:$C$2345,A15)</f>
        <v>0</v>
      </c>
      <c r="M15" s="10" t="n">
        <f aca="false">SUMIFS('Staff Months'!$K$6:$K$2345,'Staff Months'!$A$6:$A$2345,$AS$1,'Staff Months'!$C$6:$C$2345,A15)</f>
        <v>0</v>
      </c>
      <c r="N15" s="10" t="n">
        <f aca="false">SUMIFS('Vendor Months'!$G$6:$G$3965,'Vendor Months'!$A$6:$A$3965,$AS$1,'Vendor Months'!$C$6:$C$3965,A15,'Vendor Months'!$J$6:$J$3965,"INFRA")</f>
        <v>1250</v>
      </c>
      <c r="O15" s="10" t="n">
        <f aca="false">SUMIFS('Vendor Months'!$G$6:$G$3965,'Vendor Months'!$A$6:$A$3965,$AS$1,'Vendor Months'!$C$6:$C$3965,A15,'Vendor Months'!$J$6:$J$3965,"TOOLS")</f>
        <v>196</v>
      </c>
      <c r="P15" s="10" t="n">
        <f aca="false">SUMIFS('Vendor Months'!$G$6:$G$3965,'Vendor Months'!$A$6:$A$3965,$AS$1,'Vendor Months'!$C$6:$C$3965,A15,'Vendor Months'!$J$6:$J$3965,"LEGAL")</f>
        <v>0</v>
      </c>
      <c r="Q15" s="10" t="n">
        <f aca="false">SUMIFS('Vendor Months'!$G$6:$G$3965,'Vendor Months'!$A$6:$A$3965,$AS$1,'Vendor Months'!$C$6:$C$3965,A15,'Vendor Months'!$J$6:$J$3965,"SECURITY")</f>
        <v>18000</v>
      </c>
      <c r="R15" s="10" t="n">
        <f aca="false">SUMIFS('Vendor Months'!$G$6:$G$3965,'Vendor Months'!$A$6:$A$3965,$AS$1,'Vendor Months'!$C$6:$C$3965,A15,'Vendor Months'!$J$6:$J$3965,"COMPLIANCE")</f>
        <v>0</v>
      </c>
      <c r="S15" s="10" t="n">
        <f aca="false">SUMIFS('Vendor Months'!$G$6:$G$3965,'Vendor Months'!$A$6:$A$3965,$AS$1,'Vendor Months'!$C$6:$C$3965,A15,'Vendor Months'!$J$6:$J$3965,"INSURANCE")</f>
        <v>0</v>
      </c>
      <c r="T15" s="10" t="n">
        <f aca="false">SUMIFS('Vendor Months'!$G$6:$G$3965,'Vendor Months'!$A$6:$A$3965,$AS$1,'Vendor Months'!$C$6:$C$3965,A15,'Vendor Months'!$J$6:$J$3965,"ACCOUNTING")</f>
        <v>600</v>
      </c>
      <c r="U15" s="10" t="n">
        <f aca="false">SUMIFS('Vendor Months'!$G$6:$G$3965,'Vendor Months'!$A$6:$A$3965,$AS$1,'Vendor Months'!$C$6:$C$3965,A15,'Vendor Months'!$J$6:$J$3965,"SUPPORT")</f>
        <v>100</v>
      </c>
      <c r="V15" s="10" t="n">
        <f aca="false">SUMIFS('Vendor Months'!$G$6:$G$3965,'Vendor Months'!$A$6:$A$3965,$AS$1,'Vendor Months'!$C$6:$C$3965,A15,'Vendor Months'!$J$6:$J$3965,"MARKETING")</f>
        <v>0</v>
      </c>
      <c r="W15" s="10" t="n">
        <f aca="false">SUMIFS('Vendor Months'!$G$6:$G$3965,'Vendor Months'!$A$6:$A$3965,$AS$1,'Vendor Months'!$C$6:$C$3965,A15,'Vendor Months'!$J$6:$J$3965,"ONBOARD")</f>
        <v>0</v>
      </c>
      <c r="X15" s="10" t="n">
        <f aca="false">SUMIFS('Vendor Months'!$G$6:$G$3965,'Vendor Months'!$A$6:$A$3965,$AS$1,'Vendor Months'!$C$6:$C$3965,A15,'Vendor Months'!$J$6:$J$3965,"AI")</f>
        <v>0</v>
      </c>
      <c r="Y15" s="10" t="n">
        <f aca="false">SUMIFS('Vendor Months'!$G$6:$G$3965,'Vendor Months'!$A$6:$A$3965,$AS$1,'Vendor Months'!$C$6:$C$3965,A15,'Vendor Months'!$J$6:$J$3965,"CTMS")</f>
        <v>0</v>
      </c>
      <c r="Z15" s="10" t="n">
        <f aca="false">SUM(N15:Y15)</f>
        <v>20146</v>
      </c>
      <c r="AA15" s="10" t="n">
        <f aca="false">(SUM(K15:M15)+Z15)*Assumptions!$C$12</f>
        <v>7395.85</v>
      </c>
      <c r="AB15" s="10" t="n">
        <f aca="false">AD15*Assumptions!$C$29</f>
        <v>0</v>
      </c>
      <c r="AC15" s="10" t="n">
        <f aca="false">SUM(K15:M15)+Z15+AA15+AB15</f>
        <v>81354.35</v>
      </c>
      <c r="AD15" s="10" t="n">
        <f aca="false">D15*Assumptions!$C$17</f>
        <v>0</v>
      </c>
      <c r="AE15" s="10" t="n">
        <f aca="false">AD15*12</f>
        <v>0</v>
      </c>
      <c r="AF15" s="10" t="n">
        <f aca="false">AC15-AD15</f>
        <v>81354.35</v>
      </c>
      <c r="AG15" s="10" t="n">
        <f aca="false">IF(A15=Assumptions!$C$7,Assumptions!$C$8,0)</f>
        <v>0</v>
      </c>
      <c r="AH15" s="10" t="n">
        <f aca="false">AI14</f>
        <v>47918.15</v>
      </c>
      <c r="AI15" s="10" t="n">
        <f aca="false">AH15+AG15-AF15</f>
        <v>-33436.2</v>
      </c>
      <c r="AJ15" s="10" t="n">
        <f aca="false">SUM($AC$6:AC15)</f>
        <v>533436.2</v>
      </c>
      <c r="AK15" s="10" t="n">
        <f aca="false">MAX(0,-AI15)</f>
        <v>33436.2</v>
      </c>
      <c r="AL15" s="10" t="n">
        <f aca="false">Assumptions!$C$6+SUM($AG$6:AG15)-AJ15</f>
        <v>-33436.2000000001</v>
      </c>
      <c r="AM15" s="10" t="n">
        <f aca="false">SUMIFS('Vendor Months'!$H$6:$H$3965,'Vendor Months'!$A$6:$A$3965,$AS$1,'Vendor Months'!$C$6:$C$3965,A15)</f>
        <v>19850</v>
      </c>
      <c r="AN15" s="10" t="n">
        <f aca="false">X15+Y15</f>
        <v>0</v>
      </c>
      <c r="AO15" s="10" t="n">
        <f aca="false">SUMIFS('Staff Months'!$I$6:$I$2345,'Staff Months'!$A$6:$A$2345,$AS$1,'Staff Months'!$C$6:$C$2345,A15)</f>
        <v>9375</v>
      </c>
      <c r="AP15" s="10" t="n">
        <f aca="false">SUM($AF$6:AF15)</f>
        <v>533436.2</v>
      </c>
      <c r="AQ15" s="10" t="n">
        <f aca="false">AC15</f>
        <v>81354.35</v>
      </c>
      <c r="AR15" s="26" t="n">
        <f aca="false">IF(AI15&lt;0,1,0)</f>
        <v>1</v>
      </c>
      <c r="AS15" s="6"/>
    </row>
    <row r="16" customFormat="false" ht="15" hidden="false" customHeight="false" outlineLevel="0" collapsed="false">
      <c r="A16" s="6" t="n">
        <v>11</v>
      </c>
      <c r="B16" s="25" t="n">
        <f aca="false">EDATE('Start Here'!$B$6,A16-1)</f>
        <v>46631</v>
      </c>
      <c r="C16" s="11" t="n">
        <f aca="false">IF(A16&gt;=Assumptions!$C$13,Assumptions!$C$14*(1+Assumptions!$C$15)^INT((A16-Assumptions!$C$13)/12),0)</f>
        <v>0</v>
      </c>
      <c r="D16" s="11" t="n">
        <f aca="false">D15*(1-Assumptions!$C$16)+C16</f>
        <v>0</v>
      </c>
      <c r="E16" s="11" t="n">
        <f aca="false">D16*Assumptions!$C$18</f>
        <v>0</v>
      </c>
      <c r="F16" s="11" t="n">
        <f aca="false">E16*Assumptions!$C$19*30/1000000</f>
        <v>0</v>
      </c>
      <c r="G16" s="11" t="n">
        <f aca="false">D16*Assumptions!$C$20</f>
        <v>0</v>
      </c>
      <c r="H16" s="11" t="n">
        <f aca="false">D16*Assumptions!$C$21</f>
        <v>0</v>
      </c>
      <c r="I16" s="11" t="n">
        <f aca="false">SUMIFS('Staff Months'!$E$6:$E$2345,'Staff Months'!$A$6:$A$2345,$AS$1,'Staff Months'!$C$6:$C$2345,A16)</f>
        <v>4</v>
      </c>
      <c r="J16" s="11" t="n">
        <f aca="false">SUMIFS('Staff Months'!$L$6:$L$2345,'Staff Months'!$A$6:$A$2345,$AS$1,'Staff Months'!$C$6:$C$2345,A16)</f>
        <v>8</v>
      </c>
      <c r="K16" s="10" t="n">
        <f aca="false">SUMIFS('Staff Months'!$H$6:$H$2345,'Staff Months'!$A$6:$A$2345,$AS$1,'Staff Months'!$C$6:$C$2345,A16)</f>
        <v>53812.5</v>
      </c>
      <c r="L16" s="10" t="n">
        <f aca="false">SUMIFS('Staff Months'!$J$6:$J$2345,'Staff Months'!$A$6:$A$2345,$AS$1,'Staff Months'!$C$6:$C$2345,A16)</f>
        <v>0</v>
      </c>
      <c r="M16" s="10" t="n">
        <f aca="false">SUMIFS('Staff Months'!$K$6:$K$2345,'Staff Months'!$A$6:$A$2345,$AS$1,'Staff Months'!$C$6:$C$2345,A16)</f>
        <v>0</v>
      </c>
      <c r="N16" s="10" t="n">
        <f aca="false">SUMIFS('Vendor Months'!$G$6:$G$3965,'Vendor Months'!$A$6:$A$3965,$AS$1,'Vendor Months'!$C$6:$C$3965,A16,'Vendor Months'!$J$6:$J$3965,"INFRA")</f>
        <v>1250</v>
      </c>
      <c r="O16" s="10" t="n">
        <f aca="false">SUMIFS('Vendor Months'!$G$6:$G$3965,'Vendor Months'!$A$6:$A$3965,$AS$1,'Vendor Months'!$C$6:$C$3965,A16,'Vendor Months'!$J$6:$J$3965,"TOOLS")</f>
        <v>196</v>
      </c>
      <c r="P16" s="10" t="n">
        <f aca="false">SUMIFS('Vendor Months'!$G$6:$G$3965,'Vendor Months'!$A$6:$A$3965,$AS$1,'Vendor Months'!$C$6:$C$3965,A16,'Vendor Months'!$J$6:$J$3965,"LEGAL")</f>
        <v>0</v>
      </c>
      <c r="Q16" s="10" t="n">
        <f aca="false">SUMIFS('Vendor Months'!$G$6:$G$3965,'Vendor Months'!$A$6:$A$3965,$AS$1,'Vendor Months'!$C$6:$C$3965,A16,'Vendor Months'!$J$6:$J$3965,"SECURITY")</f>
        <v>0</v>
      </c>
      <c r="R16" s="10" t="n">
        <f aca="false">SUMIFS('Vendor Months'!$G$6:$G$3965,'Vendor Months'!$A$6:$A$3965,$AS$1,'Vendor Months'!$C$6:$C$3965,A16,'Vendor Months'!$J$6:$J$3965,"COMPLIANCE")</f>
        <v>15000</v>
      </c>
      <c r="S16" s="10" t="n">
        <f aca="false">SUMIFS('Vendor Months'!$G$6:$G$3965,'Vendor Months'!$A$6:$A$3965,$AS$1,'Vendor Months'!$C$6:$C$3965,A16,'Vendor Months'!$J$6:$J$3965,"INSURANCE")</f>
        <v>0</v>
      </c>
      <c r="T16" s="10" t="n">
        <f aca="false">SUMIFS('Vendor Months'!$G$6:$G$3965,'Vendor Months'!$A$6:$A$3965,$AS$1,'Vendor Months'!$C$6:$C$3965,A16,'Vendor Months'!$J$6:$J$3965,"ACCOUNTING")</f>
        <v>600</v>
      </c>
      <c r="U16" s="10" t="n">
        <f aca="false">SUMIFS('Vendor Months'!$G$6:$G$3965,'Vendor Months'!$A$6:$A$3965,$AS$1,'Vendor Months'!$C$6:$C$3965,A16,'Vendor Months'!$J$6:$J$3965,"SUPPORT")</f>
        <v>100</v>
      </c>
      <c r="V16" s="10" t="n">
        <f aca="false">SUMIFS('Vendor Months'!$G$6:$G$3965,'Vendor Months'!$A$6:$A$3965,$AS$1,'Vendor Months'!$C$6:$C$3965,A16,'Vendor Months'!$J$6:$J$3965,"MARKETING")</f>
        <v>0</v>
      </c>
      <c r="W16" s="10" t="n">
        <f aca="false">SUMIFS('Vendor Months'!$G$6:$G$3965,'Vendor Months'!$A$6:$A$3965,$AS$1,'Vendor Months'!$C$6:$C$3965,A16,'Vendor Months'!$J$6:$J$3965,"ONBOARD")</f>
        <v>0</v>
      </c>
      <c r="X16" s="10" t="n">
        <f aca="false">SUMIFS('Vendor Months'!$G$6:$G$3965,'Vendor Months'!$A$6:$A$3965,$AS$1,'Vendor Months'!$C$6:$C$3965,A16,'Vendor Months'!$J$6:$J$3965,"AI")</f>
        <v>0</v>
      </c>
      <c r="Y16" s="10" t="n">
        <f aca="false">SUMIFS('Vendor Months'!$G$6:$G$3965,'Vendor Months'!$A$6:$A$3965,$AS$1,'Vendor Months'!$C$6:$C$3965,A16,'Vendor Months'!$J$6:$J$3965,"CTMS")</f>
        <v>0</v>
      </c>
      <c r="Z16" s="10" t="n">
        <f aca="false">SUM(N16:Y16)</f>
        <v>17146</v>
      </c>
      <c r="AA16" s="10" t="n">
        <f aca="false">(SUM(K16:M16)+Z16)*Assumptions!$C$12</f>
        <v>7095.85</v>
      </c>
      <c r="AB16" s="10" t="n">
        <f aca="false">AD16*Assumptions!$C$29</f>
        <v>0</v>
      </c>
      <c r="AC16" s="10" t="n">
        <f aca="false">SUM(K16:M16)+Z16+AA16+AB16</f>
        <v>78054.35</v>
      </c>
      <c r="AD16" s="10" t="n">
        <f aca="false">D16*Assumptions!$C$17</f>
        <v>0</v>
      </c>
      <c r="AE16" s="10" t="n">
        <f aca="false">AD16*12</f>
        <v>0</v>
      </c>
      <c r="AF16" s="10" t="n">
        <f aca="false">AC16-AD16</f>
        <v>78054.35</v>
      </c>
      <c r="AG16" s="10" t="n">
        <f aca="false">IF(A16=Assumptions!$C$7,Assumptions!$C$8,0)</f>
        <v>0</v>
      </c>
      <c r="AH16" s="10" t="n">
        <f aca="false">AI15</f>
        <v>-33436.2</v>
      </c>
      <c r="AI16" s="10" t="n">
        <f aca="false">AH16+AG16-AF16</f>
        <v>-111490.55</v>
      </c>
      <c r="AJ16" s="10" t="n">
        <f aca="false">SUM($AC$6:AC16)</f>
        <v>611490.55</v>
      </c>
      <c r="AK16" s="10" t="n">
        <f aca="false">MAX(0,-AI16)</f>
        <v>111490.55</v>
      </c>
      <c r="AL16" s="10" t="n">
        <f aca="false">Assumptions!$C$6+SUM($AG$6:AG16)-AJ16</f>
        <v>-111490.55</v>
      </c>
      <c r="AM16" s="10" t="n">
        <f aca="false">SUMIFS('Vendor Months'!$H$6:$H$3965,'Vendor Months'!$A$6:$A$3965,$AS$1,'Vendor Months'!$C$6:$C$3965,A16)</f>
        <v>16850</v>
      </c>
      <c r="AN16" s="10" t="n">
        <f aca="false">X16+Y16</f>
        <v>0</v>
      </c>
      <c r="AO16" s="10" t="n">
        <f aca="false">SUMIFS('Staff Months'!$I$6:$I$2345,'Staff Months'!$A$6:$A$2345,$AS$1,'Staff Months'!$C$6:$C$2345,A16)</f>
        <v>9375</v>
      </c>
      <c r="AP16" s="10" t="n">
        <f aca="false">SUM($AF$6:AF16)</f>
        <v>611490.55</v>
      </c>
      <c r="AQ16" s="10" t="n">
        <f aca="false">AC16</f>
        <v>78054.35</v>
      </c>
      <c r="AR16" s="26" t="n">
        <f aca="false">IF(AI16&lt;0,1,0)</f>
        <v>1</v>
      </c>
      <c r="AS16" s="6"/>
    </row>
    <row r="17" customFormat="false" ht="15" hidden="false" customHeight="false" outlineLevel="0" collapsed="false">
      <c r="A17" s="6" t="n">
        <v>12</v>
      </c>
      <c r="B17" s="25" t="n">
        <f aca="false">EDATE('Start Here'!$B$6,A17-1)</f>
        <v>46661</v>
      </c>
      <c r="C17" s="11" t="n">
        <f aca="false">IF(A17&gt;=Assumptions!$C$13,Assumptions!$C$14*(1+Assumptions!$C$15)^INT((A17-Assumptions!$C$13)/12),0)</f>
        <v>0</v>
      </c>
      <c r="D17" s="11" t="n">
        <f aca="false">D16*(1-Assumptions!$C$16)+C17</f>
        <v>0</v>
      </c>
      <c r="E17" s="11" t="n">
        <f aca="false">D17*Assumptions!$C$18</f>
        <v>0</v>
      </c>
      <c r="F17" s="11" t="n">
        <f aca="false">E17*Assumptions!$C$19*30/1000000</f>
        <v>0</v>
      </c>
      <c r="G17" s="11" t="n">
        <f aca="false">D17*Assumptions!$C$20</f>
        <v>0</v>
      </c>
      <c r="H17" s="11" t="n">
        <f aca="false">D17*Assumptions!$C$21</f>
        <v>0</v>
      </c>
      <c r="I17" s="11" t="n">
        <f aca="false">SUMIFS('Staff Months'!$E$6:$E$2345,'Staff Months'!$A$6:$A$2345,$AS$1,'Staff Months'!$C$6:$C$2345,A17)</f>
        <v>4.25</v>
      </c>
      <c r="J17" s="11" t="n">
        <f aca="false">SUMIFS('Staff Months'!$L$6:$L$2345,'Staff Months'!$A$6:$A$2345,$AS$1,'Staff Months'!$C$6:$C$2345,A17)</f>
        <v>9</v>
      </c>
      <c r="K17" s="10" t="n">
        <f aca="false">SUMIFS('Staff Months'!$H$6:$H$2345,'Staff Months'!$A$6:$A$2345,$AS$1,'Staff Months'!$C$6:$C$2345,A17)</f>
        <v>56437.5</v>
      </c>
      <c r="L17" s="10" t="n">
        <f aca="false">SUMIFS('Staff Months'!$J$6:$J$2345,'Staff Months'!$A$6:$A$2345,$AS$1,'Staff Months'!$C$6:$C$2345,A17)</f>
        <v>1250</v>
      </c>
      <c r="M17" s="10" t="n">
        <f aca="false">SUMIFS('Staff Months'!$K$6:$K$2345,'Staff Months'!$A$6:$A$2345,$AS$1,'Staff Months'!$C$6:$C$2345,A17)</f>
        <v>625</v>
      </c>
      <c r="N17" s="10" t="n">
        <f aca="false">SUMIFS('Vendor Months'!$G$6:$G$3965,'Vendor Months'!$A$6:$A$3965,$AS$1,'Vendor Months'!$C$6:$C$3965,A17,'Vendor Months'!$J$6:$J$3965,"INFRA")</f>
        <v>1250</v>
      </c>
      <c r="O17" s="10" t="n">
        <f aca="false">SUMIFS('Vendor Months'!$G$6:$G$3965,'Vendor Months'!$A$6:$A$3965,$AS$1,'Vendor Months'!$C$6:$C$3965,A17,'Vendor Months'!$J$6:$J$3965,"TOOLS")</f>
        <v>245</v>
      </c>
      <c r="P17" s="10" t="n">
        <f aca="false">SUMIFS('Vendor Months'!$G$6:$G$3965,'Vendor Months'!$A$6:$A$3965,$AS$1,'Vendor Months'!$C$6:$C$3965,A17,'Vendor Months'!$J$6:$J$3965,"LEGAL")</f>
        <v>0</v>
      </c>
      <c r="Q17" s="10" t="n">
        <f aca="false">SUMIFS('Vendor Months'!$G$6:$G$3965,'Vendor Months'!$A$6:$A$3965,$AS$1,'Vendor Months'!$C$6:$C$3965,A17,'Vendor Months'!$J$6:$J$3965,"SECURITY")</f>
        <v>0</v>
      </c>
      <c r="R17" s="10" t="n">
        <f aca="false">SUMIFS('Vendor Months'!$G$6:$G$3965,'Vendor Months'!$A$6:$A$3965,$AS$1,'Vendor Months'!$C$6:$C$3965,A17,'Vendor Months'!$J$6:$J$3965,"COMPLIANCE")</f>
        <v>0</v>
      </c>
      <c r="S17" s="10" t="n">
        <f aca="false">SUMIFS('Vendor Months'!$G$6:$G$3965,'Vendor Months'!$A$6:$A$3965,$AS$1,'Vendor Months'!$C$6:$C$3965,A17,'Vendor Months'!$J$6:$J$3965,"INSURANCE")</f>
        <v>0</v>
      </c>
      <c r="T17" s="10" t="n">
        <f aca="false">SUMIFS('Vendor Months'!$G$6:$G$3965,'Vendor Months'!$A$6:$A$3965,$AS$1,'Vendor Months'!$C$6:$C$3965,A17,'Vendor Months'!$J$6:$J$3965,"ACCOUNTING")</f>
        <v>600</v>
      </c>
      <c r="U17" s="10" t="n">
        <f aca="false">SUMIFS('Vendor Months'!$G$6:$G$3965,'Vendor Months'!$A$6:$A$3965,$AS$1,'Vendor Months'!$C$6:$C$3965,A17,'Vendor Months'!$J$6:$J$3965,"SUPPORT")</f>
        <v>100</v>
      </c>
      <c r="V17" s="10" t="n">
        <f aca="false">SUMIFS('Vendor Months'!$G$6:$G$3965,'Vendor Months'!$A$6:$A$3965,$AS$1,'Vendor Months'!$C$6:$C$3965,A17,'Vendor Months'!$J$6:$J$3965,"MARKETING")</f>
        <v>0</v>
      </c>
      <c r="W17" s="10" t="n">
        <f aca="false">SUMIFS('Vendor Months'!$G$6:$G$3965,'Vendor Months'!$A$6:$A$3965,$AS$1,'Vendor Months'!$C$6:$C$3965,A17,'Vendor Months'!$J$6:$J$3965,"ONBOARD")</f>
        <v>0</v>
      </c>
      <c r="X17" s="10" t="n">
        <f aca="false">SUMIFS('Vendor Months'!$G$6:$G$3965,'Vendor Months'!$A$6:$A$3965,$AS$1,'Vendor Months'!$C$6:$C$3965,A17,'Vendor Months'!$J$6:$J$3965,"AI")</f>
        <v>0</v>
      </c>
      <c r="Y17" s="10" t="n">
        <f aca="false">SUMIFS('Vendor Months'!$G$6:$G$3965,'Vendor Months'!$A$6:$A$3965,$AS$1,'Vendor Months'!$C$6:$C$3965,A17,'Vendor Months'!$J$6:$J$3965,"CTMS")</f>
        <v>0</v>
      </c>
      <c r="Z17" s="10" t="n">
        <f aca="false">SUM(N17:Y17)</f>
        <v>2195</v>
      </c>
      <c r="AA17" s="10" t="n">
        <f aca="false">(SUM(K17:M17)+Z17)*Assumptions!$C$12</f>
        <v>6050.75</v>
      </c>
      <c r="AB17" s="10" t="n">
        <f aca="false">AD17*Assumptions!$C$29</f>
        <v>0</v>
      </c>
      <c r="AC17" s="10" t="n">
        <f aca="false">SUM(K17:M17)+Z17+AA17+AB17</f>
        <v>66558.25</v>
      </c>
      <c r="AD17" s="10" t="n">
        <f aca="false">D17*Assumptions!$C$17</f>
        <v>0</v>
      </c>
      <c r="AE17" s="10" t="n">
        <f aca="false">AD17*12</f>
        <v>0</v>
      </c>
      <c r="AF17" s="10" t="n">
        <f aca="false">AC17-AD17</f>
        <v>66558.25</v>
      </c>
      <c r="AG17" s="10" t="n">
        <f aca="false">IF(A17=Assumptions!$C$7,Assumptions!$C$8,0)</f>
        <v>0</v>
      </c>
      <c r="AH17" s="10" t="n">
        <f aca="false">AI16</f>
        <v>-111490.55</v>
      </c>
      <c r="AI17" s="10" t="n">
        <f aca="false">AH17+AG17-AF17</f>
        <v>-178048.8</v>
      </c>
      <c r="AJ17" s="10" t="n">
        <f aca="false">SUM($AC$6:AC17)</f>
        <v>678048.8</v>
      </c>
      <c r="AK17" s="10" t="n">
        <f aca="false">MAX(0,-AI17)</f>
        <v>178048.8</v>
      </c>
      <c r="AL17" s="10" t="n">
        <f aca="false">Assumptions!$C$6+SUM($AG$6:AG17)-AJ17</f>
        <v>-178048.8</v>
      </c>
      <c r="AM17" s="10" t="n">
        <f aca="false">SUMIFS('Vendor Months'!$H$6:$H$3965,'Vendor Months'!$A$6:$A$3965,$AS$1,'Vendor Months'!$C$6:$C$3965,A17)</f>
        <v>1850</v>
      </c>
      <c r="AN17" s="10" t="n">
        <f aca="false">X17+Y17</f>
        <v>0</v>
      </c>
      <c r="AO17" s="10" t="n">
        <f aca="false">SUMIFS('Staff Months'!$I$6:$I$2345,'Staff Months'!$A$6:$A$2345,$AS$1,'Staff Months'!$C$6:$C$2345,A17)</f>
        <v>9375</v>
      </c>
      <c r="AP17" s="10" t="n">
        <f aca="false">SUM($AF$6:AF17)</f>
        <v>678048.8</v>
      </c>
      <c r="AQ17" s="10" t="n">
        <f aca="false">AC17</f>
        <v>66558.25</v>
      </c>
      <c r="AR17" s="26" t="n">
        <f aca="false">IF(AI17&lt;0,1,0)</f>
        <v>1</v>
      </c>
      <c r="AS17" s="6"/>
    </row>
    <row r="18" customFormat="false" ht="15" hidden="false" customHeight="false" outlineLevel="0" collapsed="false">
      <c r="A18" s="6" t="n">
        <v>13</v>
      </c>
      <c r="B18" s="25" t="n">
        <f aca="false">EDATE('Start Here'!$B$6,A18-1)</f>
        <v>46692</v>
      </c>
      <c r="C18" s="11" t="n">
        <f aca="false">IF(A18&gt;=Assumptions!$C$13,Assumptions!$C$14*(1+Assumptions!$C$15)^INT((A18-Assumptions!$C$13)/12),0)</f>
        <v>0</v>
      </c>
      <c r="D18" s="11" t="n">
        <f aca="false">D17*(1-Assumptions!$C$16)+C18</f>
        <v>0</v>
      </c>
      <c r="E18" s="11" t="n">
        <f aca="false">D18*Assumptions!$C$18</f>
        <v>0</v>
      </c>
      <c r="F18" s="11" t="n">
        <f aca="false">E18*Assumptions!$C$19*30/1000000</f>
        <v>0</v>
      </c>
      <c r="G18" s="11" t="n">
        <f aca="false">D18*Assumptions!$C$20</f>
        <v>0</v>
      </c>
      <c r="H18" s="11" t="n">
        <f aca="false">D18*Assumptions!$C$21</f>
        <v>0</v>
      </c>
      <c r="I18" s="11" t="n">
        <f aca="false">SUMIFS('Staff Months'!$E$6:$E$2345,'Staff Months'!$A$6:$A$2345,$AS$1,'Staff Months'!$C$6:$C$2345,A18)</f>
        <v>4.25</v>
      </c>
      <c r="J18" s="11" t="n">
        <f aca="false">SUMIFS('Staff Months'!$L$6:$L$2345,'Staff Months'!$A$6:$A$2345,$AS$1,'Staff Months'!$C$6:$C$2345,A18)</f>
        <v>9</v>
      </c>
      <c r="K18" s="10" t="n">
        <f aca="false">SUMIFS('Staff Months'!$H$6:$H$2345,'Staff Months'!$A$6:$A$2345,$AS$1,'Staff Months'!$C$6:$C$2345,A18)</f>
        <v>58130.625</v>
      </c>
      <c r="L18" s="10" t="n">
        <f aca="false">SUMIFS('Staff Months'!$J$6:$J$2345,'Staff Months'!$A$6:$A$2345,$AS$1,'Staff Months'!$C$6:$C$2345,A18)</f>
        <v>0</v>
      </c>
      <c r="M18" s="10" t="n">
        <f aca="false">SUMIFS('Staff Months'!$K$6:$K$2345,'Staff Months'!$A$6:$A$2345,$AS$1,'Staff Months'!$C$6:$C$2345,A18)</f>
        <v>0</v>
      </c>
      <c r="N18" s="10" t="n">
        <f aca="false">SUMIFS('Vendor Months'!$G$6:$G$3965,'Vendor Months'!$A$6:$A$3965,$AS$1,'Vendor Months'!$C$6:$C$3965,A18,'Vendor Months'!$J$6:$J$3965,"INFRA")</f>
        <v>1287.5</v>
      </c>
      <c r="O18" s="10" t="n">
        <f aca="false">SUMIFS('Vendor Months'!$G$6:$G$3965,'Vendor Months'!$A$6:$A$3965,$AS$1,'Vendor Months'!$C$6:$C$3965,A18,'Vendor Months'!$J$6:$J$3965,"TOOLS")</f>
        <v>252.35</v>
      </c>
      <c r="P18" s="10" t="n">
        <f aca="false">SUMIFS('Vendor Months'!$G$6:$G$3965,'Vendor Months'!$A$6:$A$3965,$AS$1,'Vendor Months'!$C$6:$C$3965,A18,'Vendor Months'!$J$6:$J$3965,"LEGAL")</f>
        <v>0</v>
      </c>
      <c r="Q18" s="10" t="n">
        <f aca="false">SUMIFS('Vendor Months'!$G$6:$G$3965,'Vendor Months'!$A$6:$A$3965,$AS$1,'Vendor Months'!$C$6:$C$3965,A18,'Vendor Months'!$J$6:$J$3965,"SECURITY")</f>
        <v>0</v>
      </c>
      <c r="R18" s="10" t="n">
        <f aca="false">SUMIFS('Vendor Months'!$G$6:$G$3965,'Vendor Months'!$A$6:$A$3965,$AS$1,'Vendor Months'!$C$6:$C$3965,A18,'Vendor Months'!$J$6:$J$3965,"COMPLIANCE")</f>
        <v>0</v>
      </c>
      <c r="S18" s="10" t="n">
        <f aca="false">SUMIFS('Vendor Months'!$G$6:$G$3965,'Vendor Months'!$A$6:$A$3965,$AS$1,'Vendor Months'!$C$6:$C$3965,A18,'Vendor Months'!$J$6:$J$3965,"INSURANCE")</f>
        <v>0</v>
      </c>
      <c r="T18" s="10" t="n">
        <f aca="false">SUMIFS('Vendor Months'!$G$6:$G$3965,'Vendor Months'!$A$6:$A$3965,$AS$1,'Vendor Months'!$C$6:$C$3965,A18,'Vendor Months'!$J$6:$J$3965,"ACCOUNTING")</f>
        <v>618</v>
      </c>
      <c r="U18" s="10" t="n">
        <f aca="false">SUMIFS('Vendor Months'!$G$6:$G$3965,'Vendor Months'!$A$6:$A$3965,$AS$1,'Vendor Months'!$C$6:$C$3965,A18,'Vendor Months'!$J$6:$J$3965,"SUPPORT")</f>
        <v>103</v>
      </c>
      <c r="V18" s="10" t="n">
        <f aca="false">SUMIFS('Vendor Months'!$G$6:$G$3965,'Vendor Months'!$A$6:$A$3965,$AS$1,'Vendor Months'!$C$6:$C$3965,A18,'Vendor Months'!$J$6:$J$3965,"MARKETING")</f>
        <v>0</v>
      </c>
      <c r="W18" s="10" t="n">
        <f aca="false">SUMIFS('Vendor Months'!$G$6:$G$3965,'Vendor Months'!$A$6:$A$3965,$AS$1,'Vendor Months'!$C$6:$C$3965,A18,'Vendor Months'!$J$6:$J$3965,"ONBOARD")</f>
        <v>0</v>
      </c>
      <c r="X18" s="10" t="n">
        <f aca="false">SUMIFS('Vendor Months'!$G$6:$G$3965,'Vendor Months'!$A$6:$A$3965,$AS$1,'Vendor Months'!$C$6:$C$3965,A18,'Vendor Months'!$J$6:$J$3965,"AI")</f>
        <v>0</v>
      </c>
      <c r="Y18" s="10" t="n">
        <f aca="false">SUMIFS('Vendor Months'!$G$6:$G$3965,'Vendor Months'!$A$6:$A$3965,$AS$1,'Vendor Months'!$C$6:$C$3965,A18,'Vendor Months'!$J$6:$J$3965,"CTMS")</f>
        <v>0</v>
      </c>
      <c r="Z18" s="10" t="n">
        <f aca="false">SUM(N18:Y18)</f>
        <v>2260.85</v>
      </c>
      <c r="AA18" s="10" t="n">
        <f aca="false">(SUM(K18:M18)+Z18)*Assumptions!$C$12</f>
        <v>6039.1475</v>
      </c>
      <c r="AB18" s="10" t="n">
        <f aca="false">AD18*Assumptions!$C$29</f>
        <v>0</v>
      </c>
      <c r="AC18" s="10" t="n">
        <f aca="false">SUM(K18:M18)+Z18+AA18+AB18</f>
        <v>66430.6225</v>
      </c>
      <c r="AD18" s="10" t="n">
        <f aca="false">D18*Assumptions!$C$17</f>
        <v>0</v>
      </c>
      <c r="AE18" s="10" t="n">
        <f aca="false">AD18*12</f>
        <v>0</v>
      </c>
      <c r="AF18" s="10" t="n">
        <f aca="false">AC18-AD18</f>
        <v>66430.6225</v>
      </c>
      <c r="AG18" s="10" t="n">
        <f aca="false">IF(A18=Assumptions!$C$7,Assumptions!$C$8,0)</f>
        <v>1000000</v>
      </c>
      <c r="AH18" s="10" t="n">
        <f aca="false">AI17</f>
        <v>-178048.8</v>
      </c>
      <c r="AI18" s="10" t="n">
        <f aca="false">AH18+AG18-AF18</f>
        <v>755520.5775</v>
      </c>
      <c r="AJ18" s="10" t="n">
        <f aca="false">SUM($AC$6:AC18)</f>
        <v>744479.4225</v>
      </c>
      <c r="AK18" s="10" t="n">
        <f aca="false">MAX(0,-AI18)</f>
        <v>0</v>
      </c>
      <c r="AL18" s="10" t="n">
        <f aca="false">Assumptions!$C$6+SUM($AG$6:AG18)-AJ18</f>
        <v>755520.5775</v>
      </c>
      <c r="AM18" s="10" t="n">
        <f aca="false">SUMIFS('Vendor Months'!$H$6:$H$3965,'Vendor Months'!$A$6:$A$3965,$AS$1,'Vendor Months'!$C$6:$C$3965,A18)</f>
        <v>1905.5</v>
      </c>
      <c r="AN18" s="10" t="n">
        <f aca="false">X18+Y18</f>
        <v>0</v>
      </c>
      <c r="AO18" s="10" t="n">
        <f aca="false">SUMIFS('Staff Months'!$I$6:$I$2345,'Staff Months'!$A$6:$A$2345,$AS$1,'Staff Months'!$C$6:$C$2345,A18)</f>
        <v>9656.25</v>
      </c>
      <c r="AP18" s="10" t="n">
        <f aca="false">SUM($AF$6:AF18)</f>
        <v>744479.4225</v>
      </c>
      <c r="AQ18" s="10" t="n">
        <f aca="false">AC18</f>
        <v>66430.6225</v>
      </c>
      <c r="AR18" s="26" t="n">
        <f aca="false">IF(AI18&lt;0,1,0)</f>
        <v>0</v>
      </c>
      <c r="AS18" s="6"/>
    </row>
    <row r="19" customFormat="false" ht="15" hidden="false" customHeight="false" outlineLevel="0" collapsed="false">
      <c r="A19" s="6" t="n">
        <v>14</v>
      </c>
      <c r="B19" s="25" t="n">
        <f aca="false">EDATE('Start Here'!$B$6,A19-1)</f>
        <v>46722</v>
      </c>
      <c r="C19" s="11" t="n">
        <f aca="false">IF(A19&gt;=Assumptions!$C$13,Assumptions!$C$14*(1+Assumptions!$C$15)^INT((A19-Assumptions!$C$13)/12),0)</f>
        <v>0</v>
      </c>
      <c r="D19" s="11" t="n">
        <f aca="false">D18*(1-Assumptions!$C$16)+C19</f>
        <v>0</v>
      </c>
      <c r="E19" s="11" t="n">
        <f aca="false">D19*Assumptions!$C$18</f>
        <v>0</v>
      </c>
      <c r="F19" s="11" t="n">
        <f aca="false">E19*Assumptions!$C$19*30/1000000</f>
        <v>0</v>
      </c>
      <c r="G19" s="11" t="n">
        <f aca="false">D19*Assumptions!$C$20</f>
        <v>0</v>
      </c>
      <c r="H19" s="11" t="n">
        <f aca="false">D19*Assumptions!$C$21</f>
        <v>0</v>
      </c>
      <c r="I19" s="11" t="n">
        <f aca="false">SUMIFS('Staff Months'!$E$6:$E$2345,'Staff Months'!$A$6:$A$2345,$AS$1,'Staff Months'!$C$6:$C$2345,A19)</f>
        <v>4.25</v>
      </c>
      <c r="J19" s="11" t="n">
        <f aca="false">SUMIFS('Staff Months'!$L$6:$L$2345,'Staff Months'!$A$6:$A$2345,$AS$1,'Staff Months'!$C$6:$C$2345,A19)</f>
        <v>9</v>
      </c>
      <c r="K19" s="10" t="n">
        <f aca="false">SUMIFS('Staff Months'!$H$6:$H$2345,'Staff Months'!$A$6:$A$2345,$AS$1,'Staff Months'!$C$6:$C$2345,A19)</f>
        <v>58130.625</v>
      </c>
      <c r="L19" s="10" t="n">
        <f aca="false">SUMIFS('Staff Months'!$J$6:$J$2345,'Staff Months'!$A$6:$A$2345,$AS$1,'Staff Months'!$C$6:$C$2345,A19)</f>
        <v>0</v>
      </c>
      <c r="M19" s="10" t="n">
        <f aca="false">SUMIFS('Staff Months'!$K$6:$K$2345,'Staff Months'!$A$6:$A$2345,$AS$1,'Staff Months'!$C$6:$C$2345,A19)</f>
        <v>0</v>
      </c>
      <c r="N19" s="10" t="n">
        <f aca="false">SUMIFS('Vendor Months'!$G$6:$G$3965,'Vendor Months'!$A$6:$A$3965,$AS$1,'Vendor Months'!$C$6:$C$3965,A19,'Vendor Months'!$J$6:$J$3965,"INFRA")</f>
        <v>1287.5</v>
      </c>
      <c r="O19" s="10" t="n">
        <f aca="false">SUMIFS('Vendor Months'!$G$6:$G$3965,'Vendor Months'!$A$6:$A$3965,$AS$1,'Vendor Months'!$C$6:$C$3965,A19,'Vendor Months'!$J$6:$J$3965,"TOOLS")</f>
        <v>252.35</v>
      </c>
      <c r="P19" s="10" t="n">
        <f aca="false">SUMIFS('Vendor Months'!$G$6:$G$3965,'Vendor Months'!$A$6:$A$3965,$AS$1,'Vendor Months'!$C$6:$C$3965,A19,'Vendor Months'!$J$6:$J$3965,"LEGAL")</f>
        <v>12360</v>
      </c>
      <c r="Q19" s="10" t="n">
        <f aca="false">SUMIFS('Vendor Months'!$G$6:$G$3965,'Vendor Months'!$A$6:$A$3965,$AS$1,'Vendor Months'!$C$6:$C$3965,A19,'Vendor Months'!$J$6:$J$3965,"SECURITY")</f>
        <v>0</v>
      </c>
      <c r="R19" s="10" t="n">
        <f aca="false">SUMIFS('Vendor Months'!$G$6:$G$3965,'Vendor Months'!$A$6:$A$3965,$AS$1,'Vendor Months'!$C$6:$C$3965,A19,'Vendor Months'!$J$6:$J$3965,"COMPLIANCE")</f>
        <v>0</v>
      </c>
      <c r="S19" s="10" t="n">
        <f aca="false">SUMIFS('Vendor Months'!$G$6:$G$3965,'Vendor Months'!$A$6:$A$3965,$AS$1,'Vendor Months'!$C$6:$C$3965,A19,'Vendor Months'!$J$6:$J$3965,"INSURANCE")</f>
        <v>0</v>
      </c>
      <c r="T19" s="10" t="n">
        <f aca="false">SUMIFS('Vendor Months'!$G$6:$G$3965,'Vendor Months'!$A$6:$A$3965,$AS$1,'Vendor Months'!$C$6:$C$3965,A19,'Vendor Months'!$J$6:$J$3965,"ACCOUNTING")</f>
        <v>618</v>
      </c>
      <c r="U19" s="10" t="n">
        <f aca="false">SUMIFS('Vendor Months'!$G$6:$G$3965,'Vendor Months'!$A$6:$A$3965,$AS$1,'Vendor Months'!$C$6:$C$3965,A19,'Vendor Months'!$J$6:$J$3965,"SUPPORT")</f>
        <v>103</v>
      </c>
      <c r="V19" s="10" t="n">
        <f aca="false">SUMIFS('Vendor Months'!$G$6:$G$3965,'Vendor Months'!$A$6:$A$3965,$AS$1,'Vendor Months'!$C$6:$C$3965,A19,'Vendor Months'!$J$6:$J$3965,"MARKETING")</f>
        <v>0</v>
      </c>
      <c r="W19" s="10" t="n">
        <f aca="false">SUMIFS('Vendor Months'!$G$6:$G$3965,'Vendor Months'!$A$6:$A$3965,$AS$1,'Vendor Months'!$C$6:$C$3965,A19,'Vendor Months'!$J$6:$J$3965,"ONBOARD")</f>
        <v>0</v>
      </c>
      <c r="X19" s="10" t="n">
        <f aca="false">SUMIFS('Vendor Months'!$G$6:$G$3965,'Vendor Months'!$A$6:$A$3965,$AS$1,'Vendor Months'!$C$6:$C$3965,A19,'Vendor Months'!$J$6:$J$3965,"AI")</f>
        <v>0</v>
      </c>
      <c r="Y19" s="10" t="n">
        <f aca="false">SUMIFS('Vendor Months'!$G$6:$G$3965,'Vendor Months'!$A$6:$A$3965,$AS$1,'Vendor Months'!$C$6:$C$3965,A19,'Vendor Months'!$J$6:$J$3965,"CTMS")</f>
        <v>0</v>
      </c>
      <c r="Z19" s="10" t="n">
        <f aca="false">SUM(N19:Y19)</f>
        <v>14620.85</v>
      </c>
      <c r="AA19" s="10" t="n">
        <f aca="false">(SUM(K19:M19)+Z19)*Assumptions!$C$12</f>
        <v>7275.1475</v>
      </c>
      <c r="AB19" s="10" t="n">
        <f aca="false">AD19*Assumptions!$C$29</f>
        <v>0</v>
      </c>
      <c r="AC19" s="10" t="n">
        <f aca="false">SUM(K19:M19)+Z19+AA19+AB19</f>
        <v>80026.6225</v>
      </c>
      <c r="AD19" s="10" t="n">
        <f aca="false">D19*Assumptions!$C$17</f>
        <v>0</v>
      </c>
      <c r="AE19" s="10" t="n">
        <f aca="false">AD19*12</f>
        <v>0</v>
      </c>
      <c r="AF19" s="10" t="n">
        <f aca="false">AC19-AD19</f>
        <v>80026.6225</v>
      </c>
      <c r="AG19" s="10" t="n">
        <f aca="false">IF(A19=Assumptions!$C$7,Assumptions!$C$8,0)</f>
        <v>0</v>
      </c>
      <c r="AH19" s="10" t="n">
        <f aca="false">AI18</f>
        <v>755520.5775</v>
      </c>
      <c r="AI19" s="10" t="n">
        <f aca="false">AH19+AG19-AF19</f>
        <v>675493.955</v>
      </c>
      <c r="AJ19" s="10" t="n">
        <f aca="false">SUM($AC$6:AC19)</f>
        <v>824506.045</v>
      </c>
      <c r="AK19" s="10" t="n">
        <f aca="false">MAX(0,-AI19)</f>
        <v>0</v>
      </c>
      <c r="AL19" s="10" t="n">
        <f aca="false">Assumptions!$C$6+SUM($AG$6:AG19)-AJ19</f>
        <v>675493.955</v>
      </c>
      <c r="AM19" s="10" t="n">
        <f aca="false">SUMIFS('Vendor Months'!$H$6:$H$3965,'Vendor Months'!$A$6:$A$3965,$AS$1,'Vendor Months'!$C$6:$C$3965,A19)</f>
        <v>14265.5</v>
      </c>
      <c r="AN19" s="10" t="n">
        <f aca="false">X19+Y19</f>
        <v>0</v>
      </c>
      <c r="AO19" s="10" t="n">
        <f aca="false">SUMIFS('Staff Months'!$I$6:$I$2345,'Staff Months'!$A$6:$A$2345,$AS$1,'Staff Months'!$C$6:$C$2345,A19)</f>
        <v>9656.25</v>
      </c>
      <c r="AP19" s="10" t="n">
        <f aca="false">SUM($AF$6:AF19)</f>
        <v>824506.045</v>
      </c>
      <c r="AQ19" s="10" t="n">
        <f aca="false">AC19</f>
        <v>80026.6225</v>
      </c>
      <c r="AR19" s="26" t="n">
        <f aca="false">IF(AI19&lt;0,1,0)</f>
        <v>0</v>
      </c>
      <c r="AS19" s="6"/>
    </row>
    <row r="20" customFormat="false" ht="15" hidden="false" customHeight="false" outlineLevel="0" collapsed="false">
      <c r="A20" s="6" t="n">
        <v>15</v>
      </c>
      <c r="B20" s="25" t="n">
        <f aca="false">EDATE('Start Here'!$B$6,A20-1)</f>
        <v>46753</v>
      </c>
      <c r="C20" s="11" t="n">
        <f aca="false">IF(A20&gt;=Assumptions!$C$13,Assumptions!$C$14*(1+Assumptions!$C$15)^INT((A20-Assumptions!$C$13)/12),0)</f>
        <v>0</v>
      </c>
      <c r="D20" s="11" t="n">
        <f aca="false">D19*(1-Assumptions!$C$16)+C20</f>
        <v>0</v>
      </c>
      <c r="E20" s="11" t="n">
        <f aca="false">D20*Assumptions!$C$18</f>
        <v>0</v>
      </c>
      <c r="F20" s="11" t="n">
        <f aca="false">E20*Assumptions!$C$19*30/1000000</f>
        <v>0</v>
      </c>
      <c r="G20" s="11" t="n">
        <f aca="false">D20*Assumptions!$C$20</f>
        <v>0</v>
      </c>
      <c r="H20" s="11" t="n">
        <f aca="false">D20*Assumptions!$C$21</f>
        <v>0</v>
      </c>
      <c r="I20" s="11" t="n">
        <f aca="false">SUMIFS('Staff Months'!$E$6:$E$2345,'Staff Months'!$A$6:$A$2345,$AS$1,'Staff Months'!$C$6:$C$2345,A20)</f>
        <v>4.25</v>
      </c>
      <c r="J20" s="11" t="n">
        <f aca="false">SUMIFS('Staff Months'!$L$6:$L$2345,'Staff Months'!$A$6:$A$2345,$AS$1,'Staff Months'!$C$6:$C$2345,A20)</f>
        <v>9</v>
      </c>
      <c r="K20" s="10" t="n">
        <f aca="false">SUMIFS('Staff Months'!$H$6:$H$2345,'Staff Months'!$A$6:$A$2345,$AS$1,'Staff Months'!$C$6:$C$2345,A20)</f>
        <v>58130.625</v>
      </c>
      <c r="L20" s="10" t="n">
        <f aca="false">SUMIFS('Staff Months'!$J$6:$J$2345,'Staff Months'!$A$6:$A$2345,$AS$1,'Staff Months'!$C$6:$C$2345,A20)</f>
        <v>0</v>
      </c>
      <c r="M20" s="10" t="n">
        <f aca="false">SUMIFS('Staff Months'!$K$6:$K$2345,'Staff Months'!$A$6:$A$2345,$AS$1,'Staff Months'!$C$6:$C$2345,A20)</f>
        <v>0</v>
      </c>
      <c r="N20" s="10" t="n">
        <f aca="false">SUMIFS('Vendor Months'!$G$6:$G$3965,'Vendor Months'!$A$6:$A$3965,$AS$1,'Vendor Months'!$C$6:$C$3965,A20,'Vendor Months'!$J$6:$J$3965,"INFRA")</f>
        <v>1287.5</v>
      </c>
      <c r="O20" s="10" t="n">
        <f aca="false">SUMIFS('Vendor Months'!$G$6:$G$3965,'Vendor Months'!$A$6:$A$3965,$AS$1,'Vendor Months'!$C$6:$C$3965,A20,'Vendor Months'!$J$6:$J$3965,"TOOLS")</f>
        <v>252.35</v>
      </c>
      <c r="P20" s="10" t="n">
        <f aca="false">SUMIFS('Vendor Months'!$G$6:$G$3965,'Vendor Months'!$A$6:$A$3965,$AS$1,'Vendor Months'!$C$6:$C$3965,A20,'Vendor Months'!$J$6:$J$3965,"LEGAL")</f>
        <v>0</v>
      </c>
      <c r="Q20" s="10" t="n">
        <f aca="false">SUMIFS('Vendor Months'!$G$6:$G$3965,'Vendor Months'!$A$6:$A$3965,$AS$1,'Vendor Months'!$C$6:$C$3965,A20,'Vendor Months'!$J$6:$J$3965,"SECURITY")</f>
        <v>0</v>
      </c>
      <c r="R20" s="10" t="n">
        <f aca="false">SUMIFS('Vendor Months'!$G$6:$G$3965,'Vendor Months'!$A$6:$A$3965,$AS$1,'Vendor Months'!$C$6:$C$3965,A20,'Vendor Months'!$J$6:$J$3965,"COMPLIANCE")</f>
        <v>0</v>
      </c>
      <c r="S20" s="10" t="n">
        <f aca="false">SUMIFS('Vendor Months'!$G$6:$G$3965,'Vendor Months'!$A$6:$A$3965,$AS$1,'Vendor Months'!$C$6:$C$3965,A20,'Vendor Months'!$J$6:$J$3965,"INSURANCE")</f>
        <v>0</v>
      </c>
      <c r="T20" s="10" t="n">
        <f aca="false">SUMIFS('Vendor Months'!$G$6:$G$3965,'Vendor Months'!$A$6:$A$3965,$AS$1,'Vendor Months'!$C$6:$C$3965,A20,'Vendor Months'!$J$6:$J$3965,"ACCOUNTING")</f>
        <v>618</v>
      </c>
      <c r="U20" s="10" t="n">
        <f aca="false">SUMIFS('Vendor Months'!$G$6:$G$3965,'Vendor Months'!$A$6:$A$3965,$AS$1,'Vendor Months'!$C$6:$C$3965,A20,'Vendor Months'!$J$6:$J$3965,"SUPPORT")</f>
        <v>103</v>
      </c>
      <c r="V20" s="10" t="n">
        <f aca="false">SUMIFS('Vendor Months'!$G$6:$G$3965,'Vendor Months'!$A$6:$A$3965,$AS$1,'Vendor Months'!$C$6:$C$3965,A20,'Vendor Months'!$J$6:$J$3965,"MARKETING")</f>
        <v>0</v>
      </c>
      <c r="W20" s="10" t="n">
        <f aca="false">SUMIFS('Vendor Months'!$G$6:$G$3965,'Vendor Months'!$A$6:$A$3965,$AS$1,'Vendor Months'!$C$6:$C$3965,A20,'Vendor Months'!$J$6:$J$3965,"ONBOARD")</f>
        <v>0</v>
      </c>
      <c r="X20" s="10" t="n">
        <f aca="false">SUMIFS('Vendor Months'!$G$6:$G$3965,'Vendor Months'!$A$6:$A$3965,$AS$1,'Vendor Months'!$C$6:$C$3965,A20,'Vendor Months'!$J$6:$J$3965,"AI")</f>
        <v>0</v>
      </c>
      <c r="Y20" s="10" t="n">
        <f aca="false">SUMIFS('Vendor Months'!$G$6:$G$3965,'Vendor Months'!$A$6:$A$3965,$AS$1,'Vendor Months'!$C$6:$C$3965,A20,'Vendor Months'!$J$6:$J$3965,"CTMS")</f>
        <v>0</v>
      </c>
      <c r="Z20" s="10" t="n">
        <f aca="false">SUM(N20:Y20)</f>
        <v>2260.85</v>
      </c>
      <c r="AA20" s="10" t="n">
        <f aca="false">(SUM(K20:M20)+Z20)*Assumptions!$C$12</f>
        <v>6039.1475</v>
      </c>
      <c r="AB20" s="10" t="n">
        <f aca="false">AD20*Assumptions!$C$29</f>
        <v>0</v>
      </c>
      <c r="AC20" s="10" t="n">
        <f aca="false">SUM(K20:M20)+Z20+AA20+AB20</f>
        <v>66430.6225</v>
      </c>
      <c r="AD20" s="10" t="n">
        <f aca="false">D20*Assumptions!$C$17</f>
        <v>0</v>
      </c>
      <c r="AE20" s="10" t="n">
        <f aca="false">AD20*12</f>
        <v>0</v>
      </c>
      <c r="AF20" s="10" t="n">
        <f aca="false">AC20-AD20</f>
        <v>66430.6225</v>
      </c>
      <c r="AG20" s="10" t="n">
        <f aca="false">IF(A20=Assumptions!$C$7,Assumptions!$C$8,0)</f>
        <v>0</v>
      </c>
      <c r="AH20" s="10" t="n">
        <f aca="false">AI19</f>
        <v>675493.955</v>
      </c>
      <c r="AI20" s="10" t="n">
        <f aca="false">AH20+AG20-AF20</f>
        <v>609063.3325</v>
      </c>
      <c r="AJ20" s="10" t="n">
        <f aca="false">SUM($AC$6:AC20)</f>
        <v>890936.6675</v>
      </c>
      <c r="AK20" s="10" t="n">
        <f aca="false">MAX(0,-AI20)</f>
        <v>0</v>
      </c>
      <c r="AL20" s="10" t="n">
        <f aca="false">Assumptions!$C$6+SUM($AG$6:AG20)-AJ20</f>
        <v>609063.3325</v>
      </c>
      <c r="AM20" s="10" t="n">
        <f aca="false">SUMIFS('Vendor Months'!$H$6:$H$3965,'Vendor Months'!$A$6:$A$3965,$AS$1,'Vendor Months'!$C$6:$C$3965,A20)</f>
        <v>1905.5</v>
      </c>
      <c r="AN20" s="10" t="n">
        <f aca="false">X20+Y20</f>
        <v>0</v>
      </c>
      <c r="AO20" s="10" t="n">
        <f aca="false">SUMIFS('Staff Months'!$I$6:$I$2345,'Staff Months'!$A$6:$A$2345,$AS$1,'Staff Months'!$C$6:$C$2345,A20)</f>
        <v>9656.25</v>
      </c>
      <c r="AP20" s="10" t="n">
        <f aca="false">SUM($AF$6:AF20)</f>
        <v>890936.6675</v>
      </c>
      <c r="AQ20" s="10" t="n">
        <f aca="false">AC20</f>
        <v>66430.6225</v>
      </c>
      <c r="AR20" s="26" t="n">
        <f aca="false">IF(AI20&lt;0,1,0)</f>
        <v>0</v>
      </c>
      <c r="AS20" s="6"/>
    </row>
    <row r="21" customFormat="false" ht="15" hidden="false" customHeight="false" outlineLevel="0" collapsed="false">
      <c r="A21" s="6" t="n">
        <v>16</v>
      </c>
      <c r="B21" s="25" t="n">
        <f aca="false">EDATE('Start Here'!$B$6,A21-1)</f>
        <v>46784</v>
      </c>
      <c r="C21" s="11" t="n">
        <f aca="false">IF(A21&gt;=Assumptions!$C$13,Assumptions!$C$14*(1+Assumptions!$C$15)^INT((A21-Assumptions!$C$13)/12),0)</f>
        <v>0.5</v>
      </c>
      <c r="D21" s="11" t="n">
        <f aca="false">D20*(1-Assumptions!$C$16)+C21</f>
        <v>0.5</v>
      </c>
      <c r="E21" s="11" t="n">
        <f aca="false">D21*Assumptions!$C$18</f>
        <v>4</v>
      </c>
      <c r="F21" s="11" t="n">
        <f aca="false">E21*Assumptions!$C$19*30/1000000</f>
        <v>0.012</v>
      </c>
      <c r="G21" s="11" t="n">
        <f aca="false">D21*Assumptions!$C$20</f>
        <v>1</v>
      </c>
      <c r="H21" s="11" t="n">
        <f aca="false">D21*Assumptions!$C$21</f>
        <v>0.25</v>
      </c>
      <c r="I21" s="11" t="n">
        <f aca="false">SUMIFS('Staff Months'!$E$6:$E$2345,'Staff Months'!$A$6:$A$2345,$AS$1,'Staff Months'!$C$6:$C$2345,A21)</f>
        <v>5.25</v>
      </c>
      <c r="J21" s="11" t="n">
        <f aca="false">SUMIFS('Staff Months'!$L$6:$L$2345,'Staff Months'!$A$6:$A$2345,$AS$1,'Staff Months'!$C$6:$C$2345,A21)</f>
        <v>9</v>
      </c>
      <c r="K21" s="10" t="n">
        <f aca="false">SUMIFS('Staff Months'!$H$6:$H$2345,'Staff Months'!$A$6:$A$2345,$AS$1,'Staff Months'!$C$6:$C$2345,A21)</f>
        <v>72958.3333333333</v>
      </c>
      <c r="L21" s="10" t="n">
        <f aca="false">SUMIFS('Staff Months'!$J$6:$J$2345,'Staff Months'!$A$6:$A$2345,$AS$1,'Staff Months'!$C$6:$C$2345,A21)</f>
        <v>5000</v>
      </c>
      <c r="M21" s="10" t="n">
        <f aca="false">SUMIFS('Staff Months'!$K$6:$K$2345,'Staff Months'!$A$6:$A$2345,$AS$1,'Staff Months'!$C$6:$C$2345,A21)</f>
        <v>2625</v>
      </c>
      <c r="N21" s="10" t="n">
        <f aca="false">SUMIFS('Vendor Months'!$G$6:$G$3965,'Vendor Months'!$A$6:$A$3965,$AS$1,'Vendor Months'!$C$6:$C$3965,A21,'Vendor Months'!$J$6:$J$3965,"INFRA")</f>
        <v>1289.3128</v>
      </c>
      <c r="O21" s="10" t="n">
        <f aca="false">SUMIFS('Vendor Months'!$G$6:$G$3965,'Vendor Months'!$A$6:$A$3965,$AS$1,'Vendor Months'!$C$6:$C$3965,A21,'Vendor Months'!$J$6:$J$3965,"TOOLS")</f>
        <v>302.82</v>
      </c>
      <c r="P21" s="10" t="n">
        <f aca="false">SUMIFS('Vendor Months'!$G$6:$G$3965,'Vendor Months'!$A$6:$A$3965,$AS$1,'Vendor Months'!$C$6:$C$3965,A21,'Vendor Months'!$J$6:$J$3965,"LEGAL")</f>
        <v>0</v>
      </c>
      <c r="Q21" s="10" t="n">
        <f aca="false">SUMIFS('Vendor Months'!$G$6:$G$3965,'Vendor Months'!$A$6:$A$3965,$AS$1,'Vendor Months'!$C$6:$C$3965,A21,'Vendor Months'!$J$6:$J$3965,"SECURITY")</f>
        <v>0</v>
      </c>
      <c r="R21" s="10" t="n">
        <f aca="false">SUMIFS('Vendor Months'!$G$6:$G$3965,'Vendor Months'!$A$6:$A$3965,$AS$1,'Vendor Months'!$C$6:$C$3965,A21,'Vendor Months'!$J$6:$J$3965,"COMPLIANCE")</f>
        <v>0</v>
      </c>
      <c r="S21" s="10" t="n">
        <f aca="false">SUMIFS('Vendor Months'!$G$6:$G$3965,'Vendor Months'!$A$6:$A$3965,$AS$1,'Vendor Months'!$C$6:$C$3965,A21,'Vendor Months'!$J$6:$J$3965,"INSURANCE")</f>
        <v>0</v>
      </c>
      <c r="T21" s="10" t="n">
        <f aca="false">SUMIFS('Vendor Months'!$G$6:$G$3965,'Vendor Months'!$A$6:$A$3965,$AS$1,'Vendor Months'!$C$6:$C$3965,A21,'Vendor Months'!$J$6:$J$3965,"ACCOUNTING")</f>
        <v>618</v>
      </c>
      <c r="U21" s="10" t="n">
        <f aca="false">SUMIFS('Vendor Months'!$G$6:$G$3965,'Vendor Months'!$A$6:$A$3965,$AS$1,'Vendor Months'!$C$6:$C$3965,A21,'Vendor Months'!$J$6:$J$3965,"SUPPORT")</f>
        <v>103</v>
      </c>
      <c r="V21" s="10" t="n">
        <f aca="false">SUMIFS('Vendor Months'!$G$6:$G$3965,'Vendor Months'!$A$6:$A$3965,$AS$1,'Vendor Months'!$C$6:$C$3965,A21,'Vendor Months'!$J$6:$J$3965,"MARKETING")</f>
        <v>38.625</v>
      </c>
      <c r="W21" s="10" t="n">
        <f aca="false">SUMIFS('Vendor Months'!$G$6:$G$3965,'Vendor Months'!$A$6:$A$3965,$AS$1,'Vendor Months'!$C$6:$C$3965,A21,'Vendor Months'!$J$6:$J$3965,"ONBOARD")</f>
        <v>154.5</v>
      </c>
      <c r="X21" s="10" t="n">
        <f aca="false">SUMIFS('Vendor Months'!$G$6:$G$3965,'Vendor Months'!$A$6:$A$3965,$AS$1,'Vendor Months'!$C$6:$C$3965,A21,'Vendor Months'!$J$6:$J$3965,"AI")</f>
        <v>0</v>
      </c>
      <c r="Y21" s="10" t="n">
        <f aca="false">SUMIFS('Vendor Months'!$G$6:$G$3965,'Vendor Months'!$A$6:$A$3965,$AS$1,'Vendor Months'!$C$6:$C$3965,A21,'Vendor Months'!$J$6:$J$3965,"CTMS")</f>
        <v>0</v>
      </c>
      <c r="Z21" s="10" t="n">
        <f aca="false">SUM(N21:Y21)</f>
        <v>2506.2578</v>
      </c>
      <c r="AA21" s="10" t="n">
        <f aca="false">(SUM(K21:M21)+Z21)*Assumptions!$C$12</f>
        <v>8308.95911333333</v>
      </c>
      <c r="AB21" s="10" t="n">
        <f aca="false">AD21*Assumptions!$C$29</f>
        <v>7.5</v>
      </c>
      <c r="AC21" s="10" t="n">
        <f aca="false">SUM(K21:M21)+Z21+AA21+AB21</f>
        <v>91406.0502466667</v>
      </c>
      <c r="AD21" s="10" t="n">
        <f aca="false">D21*Assumptions!$C$17</f>
        <v>250</v>
      </c>
      <c r="AE21" s="10" t="n">
        <f aca="false">AD21*12</f>
        <v>3000</v>
      </c>
      <c r="AF21" s="10" t="n">
        <f aca="false">AC21-AD21</f>
        <v>91156.0502466667</v>
      </c>
      <c r="AG21" s="10" t="n">
        <f aca="false">IF(A21=Assumptions!$C$7,Assumptions!$C$8,0)</f>
        <v>0</v>
      </c>
      <c r="AH21" s="10" t="n">
        <f aca="false">AI20</f>
        <v>609063.3325</v>
      </c>
      <c r="AI21" s="10" t="n">
        <f aca="false">AH21+AG21-AF21</f>
        <v>517907.282253333</v>
      </c>
      <c r="AJ21" s="10" t="n">
        <f aca="false">SUM($AC$6:AC21)</f>
        <v>982342.717746667</v>
      </c>
      <c r="AK21" s="10" t="n">
        <f aca="false">MAX(0,-AI21)</f>
        <v>0</v>
      </c>
      <c r="AL21" s="10" t="n">
        <f aca="false">Assumptions!$C$6+SUM($AG$6:AG21)-AJ21</f>
        <v>517657.282253333</v>
      </c>
      <c r="AM21" s="10" t="n">
        <f aca="false">SUMIFS('Vendor Months'!$H$6:$H$3965,'Vendor Months'!$A$6:$A$3965,$AS$1,'Vendor Months'!$C$6:$C$3965,A21)</f>
        <v>1905.5</v>
      </c>
      <c r="AN21" s="10" t="n">
        <f aca="false">X21+Y21</f>
        <v>0</v>
      </c>
      <c r="AO21" s="10" t="n">
        <f aca="false">SUMIFS('Staff Months'!$I$6:$I$2345,'Staff Months'!$A$6:$A$2345,$AS$1,'Staff Months'!$C$6:$C$2345,A21)</f>
        <v>9656.25</v>
      </c>
      <c r="AP21" s="10" t="n">
        <f aca="false">SUM($AF$6:AF21)</f>
        <v>982092.717746667</v>
      </c>
      <c r="AQ21" s="10" t="n">
        <f aca="false">AC21</f>
        <v>91406.0502466667</v>
      </c>
      <c r="AR21" s="26" t="n">
        <f aca="false">IF(AI21&lt;0,1,0)</f>
        <v>0</v>
      </c>
      <c r="AS21" s="6"/>
    </row>
    <row r="22" customFormat="false" ht="15" hidden="false" customHeight="false" outlineLevel="0" collapsed="false">
      <c r="A22" s="6" t="n">
        <v>17</v>
      </c>
      <c r="B22" s="25" t="n">
        <f aca="false">EDATE('Start Here'!$B$6,A22-1)</f>
        <v>46813</v>
      </c>
      <c r="C22" s="11" t="n">
        <f aca="false">IF(A22&gt;=Assumptions!$C$13,Assumptions!$C$14*(1+Assumptions!$C$15)^INT((A22-Assumptions!$C$13)/12),0)</f>
        <v>0.5</v>
      </c>
      <c r="D22" s="11" t="n">
        <f aca="false">D21*(1-Assumptions!$C$16)+C22</f>
        <v>0.9925</v>
      </c>
      <c r="E22" s="11" t="n">
        <f aca="false">D22*Assumptions!$C$18</f>
        <v>7.94</v>
      </c>
      <c r="F22" s="11" t="n">
        <f aca="false">E22*Assumptions!$C$19*30/1000000</f>
        <v>0.02382</v>
      </c>
      <c r="G22" s="11" t="n">
        <f aca="false">D22*Assumptions!$C$20</f>
        <v>1.985</v>
      </c>
      <c r="H22" s="11" t="n">
        <f aca="false">D22*Assumptions!$C$21</f>
        <v>0.49625</v>
      </c>
      <c r="I22" s="11" t="n">
        <f aca="false">SUMIFS('Staff Months'!$E$6:$E$2345,'Staff Months'!$A$6:$A$2345,$AS$1,'Staff Months'!$C$6:$C$2345,A22)</f>
        <v>5.25</v>
      </c>
      <c r="J22" s="11" t="n">
        <f aca="false">SUMIFS('Staff Months'!$L$6:$L$2345,'Staff Months'!$A$6:$A$2345,$AS$1,'Staff Months'!$C$6:$C$2345,A22)</f>
        <v>9</v>
      </c>
      <c r="K22" s="10" t="n">
        <f aca="false">SUMIFS('Staff Months'!$H$6:$H$2345,'Staff Months'!$A$6:$A$2345,$AS$1,'Staff Months'!$C$6:$C$2345,A22)</f>
        <v>72958.3333333333</v>
      </c>
      <c r="L22" s="10" t="n">
        <f aca="false">SUMIFS('Staff Months'!$J$6:$J$2345,'Staff Months'!$A$6:$A$2345,$AS$1,'Staff Months'!$C$6:$C$2345,A22)</f>
        <v>0</v>
      </c>
      <c r="M22" s="10" t="n">
        <f aca="false">SUMIFS('Staff Months'!$K$6:$K$2345,'Staff Months'!$A$6:$A$2345,$AS$1,'Staff Months'!$C$6:$C$2345,A22)</f>
        <v>0</v>
      </c>
      <c r="N22" s="10" t="n">
        <f aca="false">SUMIFS('Vendor Months'!$G$6:$G$3965,'Vendor Months'!$A$6:$A$3965,$AS$1,'Vendor Months'!$C$6:$C$3965,A22,'Vendor Months'!$J$6:$J$3965,"INFRA")</f>
        <v>1291.098408</v>
      </c>
      <c r="O22" s="10" t="n">
        <f aca="false">SUMIFS('Vendor Months'!$G$6:$G$3965,'Vendor Months'!$A$6:$A$3965,$AS$1,'Vendor Months'!$C$6:$C$3965,A22,'Vendor Months'!$J$6:$J$3965,"TOOLS")</f>
        <v>302.82</v>
      </c>
      <c r="P22" s="10" t="n">
        <f aca="false">SUMIFS('Vendor Months'!$G$6:$G$3965,'Vendor Months'!$A$6:$A$3965,$AS$1,'Vendor Months'!$C$6:$C$3965,A22,'Vendor Months'!$J$6:$J$3965,"LEGAL")</f>
        <v>0</v>
      </c>
      <c r="Q22" s="10" t="n">
        <f aca="false">SUMIFS('Vendor Months'!$G$6:$G$3965,'Vendor Months'!$A$6:$A$3965,$AS$1,'Vendor Months'!$C$6:$C$3965,A22,'Vendor Months'!$J$6:$J$3965,"SECURITY")</f>
        <v>0</v>
      </c>
      <c r="R22" s="10" t="n">
        <f aca="false">SUMIFS('Vendor Months'!$G$6:$G$3965,'Vendor Months'!$A$6:$A$3965,$AS$1,'Vendor Months'!$C$6:$C$3965,A22,'Vendor Months'!$J$6:$J$3965,"COMPLIANCE")</f>
        <v>0</v>
      </c>
      <c r="S22" s="10" t="n">
        <f aca="false">SUMIFS('Vendor Months'!$G$6:$G$3965,'Vendor Months'!$A$6:$A$3965,$AS$1,'Vendor Months'!$C$6:$C$3965,A22,'Vendor Months'!$J$6:$J$3965,"INSURANCE")</f>
        <v>0</v>
      </c>
      <c r="T22" s="10" t="n">
        <f aca="false">SUMIFS('Vendor Months'!$G$6:$G$3965,'Vendor Months'!$A$6:$A$3965,$AS$1,'Vendor Months'!$C$6:$C$3965,A22,'Vendor Months'!$J$6:$J$3965,"ACCOUNTING")</f>
        <v>618</v>
      </c>
      <c r="U22" s="10" t="n">
        <f aca="false">SUMIFS('Vendor Months'!$G$6:$G$3965,'Vendor Months'!$A$6:$A$3965,$AS$1,'Vendor Months'!$C$6:$C$3965,A22,'Vendor Months'!$J$6:$J$3965,"SUPPORT")</f>
        <v>103</v>
      </c>
      <c r="V22" s="10" t="n">
        <f aca="false">SUMIFS('Vendor Months'!$G$6:$G$3965,'Vendor Months'!$A$6:$A$3965,$AS$1,'Vendor Months'!$C$6:$C$3965,A22,'Vendor Months'!$J$6:$J$3965,"MARKETING")</f>
        <v>76.670625</v>
      </c>
      <c r="W22" s="10" t="n">
        <f aca="false">SUMIFS('Vendor Months'!$G$6:$G$3965,'Vendor Months'!$A$6:$A$3965,$AS$1,'Vendor Months'!$C$6:$C$3965,A22,'Vendor Months'!$J$6:$J$3965,"ONBOARD")</f>
        <v>154.5</v>
      </c>
      <c r="X22" s="10" t="n">
        <f aca="false">SUMIFS('Vendor Months'!$G$6:$G$3965,'Vendor Months'!$A$6:$A$3965,$AS$1,'Vendor Months'!$C$6:$C$3965,A22,'Vendor Months'!$J$6:$J$3965,"AI")</f>
        <v>0</v>
      </c>
      <c r="Y22" s="10" t="n">
        <f aca="false">SUMIFS('Vendor Months'!$G$6:$G$3965,'Vendor Months'!$A$6:$A$3965,$AS$1,'Vendor Months'!$C$6:$C$3965,A22,'Vendor Months'!$J$6:$J$3965,"CTMS")</f>
        <v>0</v>
      </c>
      <c r="Z22" s="10" t="n">
        <f aca="false">SUM(N22:Y22)</f>
        <v>2546.089033</v>
      </c>
      <c r="AA22" s="10" t="n">
        <f aca="false">(SUM(K22:M22)+Z22)*Assumptions!$C$12</f>
        <v>7550.44223663333</v>
      </c>
      <c r="AB22" s="10" t="n">
        <f aca="false">AD22*Assumptions!$C$29</f>
        <v>14.8875</v>
      </c>
      <c r="AC22" s="10" t="n">
        <f aca="false">SUM(K22:M22)+Z22+AA22+AB22</f>
        <v>83069.7521029667</v>
      </c>
      <c r="AD22" s="10" t="n">
        <f aca="false">D22*Assumptions!$C$17</f>
        <v>496.25</v>
      </c>
      <c r="AE22" s="10" t="n">
        <f aca="false">AD22*12</f>
        <v>5955</v>
      </c>
      <c r="AF22" s="10" t="n">
        <f aca="false">AC22-AD22</f>
        <v>82573.5021029667</v>
      </c>
      <c r="AG22" s="10" t="n">
        <f aca="false">IF(A22=Assumptions!$C$7,Assumptions!$C$8,0)</f>
        <v>0</v>
      </c>
      <c r="AH22" s="10" t="n">
        <f aca="false">AI21</f>
        <v>517907.282253333</v>
      </c>
      <c r="AI22" s="10" t="n">
        <f aca="false">AH22+AG22-AF22</f>
        <v>435333.780150367</v>
      </c>
      <c r="AJ22" s="10" t="n">
        <f aca="false">SUM($AC$6:AC22)</f>
        <v>1065412.46984963</v>
      </c>
      <c r="AK22" s="10" t="n">
        <f aca="false">MAX(0,-AI22)</f>
        <v>0</v>
      </c>
      <c r="AL22" s="10" t="n">
        <f aca="false">Assumptions!$C$6+SUM($AG$6:AG22)-AJ22</f>
        <v>434587.530150367</v>
      </c>
      <c r="AM22" s="10" t="n">
        <f aca="false">SUMIFS('Vendor Months'!$H$6:$H$3965,'Vendor Months'!$A$6:$A$3965,$AS$1,'Vendor Months'!$C$6:$C$3965,A22)</f>
        <v>1905.5</v>
      </c>
      <c r="AN22" s="10" t="n">
        <f aca="false">X22+Y22</f>
        <v>0</v>
      </c>
      <c r="AO22" s="10" t="n">
        <f aca="false">SUMIFS('Staff Months'!$I$6:$I$2345,'Staff Months'!$A$6:$A$2345,$AS$1,'Staff Months'!$C$6:$C$2345,A22)</f>
        <v>9656.25</v>
      </c>
      <c r="AP22" s="10" t="n">
        <f aca="false">SUM($AF$6:AF22)</f>
        <v>1064666.21984963</v>
      </c>
      <c r="AQ22" s="10" t="n">
        <f aca="false">AC22</f>
        <v>83069.7521029667</v>
      </c>
      <c r="AR22" s="26" t="n">
        <f aca="false">IF(AI22&lt;0,1,0)</f>
        <v>0</v>
      </c>
      <c r="AS22" s="6"/>
    </row>
    <row r="23" customFormat="false" ht="15" hidden="false" customHeight="false" outlineLevel="0" collapsed="false">
      <c r="A23" s="6" t="n">
        <v>18</v>
      </c>
      <c r="B23" s="25" t="n">
        <f aca="false">EDATE('Start Here'!$B$6,A23-1)</f>
        <v>46844</v>
      </c>
      <c r="C23" s="11" t="n">
        <f aca="false">IF(A23&gt;=Assumptions!$C$13,Assumptions!$C$14*(1+Assumptions!$C$15)^INT((A23-Assumptions!$C$13)/12),0)</f>
        <v>0.5</v>
      </c>
      <c r="D23" s="11" t="n">
        <f aca="false">D22*(1-Assumptions!$C$16)+C23</f>
        <v>1.4776125</v>
      </c>
      <c r="E23" s="11" t="n">
        <f aca="false">D23*Assumptions!$C$18</f>
        <v>11.8209</v>
      </c>
      <c r="F23" s="11" t="n">
        <f aca="false">E23*Assumptions!$C$19*30/1000000</f>
        <v>0.0354627</v>
      </c>
      <c r="G23" s="11" t="n">
        <f aca="false">D23*Assumptions!$C$20</f>
        <v>2.955225</v>
      </c>
      <c r="H23" s="11" t="n">
        <f aca="false">D23*Assumptions!$C$21</f>
        <v>0.73880625</v>
      </c>
      <c r="I23" s="11" t="n">
        <f aca="false">SUMIFS('Staff Months'!$E$6:$E$2345,'Staff Months'!$A$6:$A$2345,$AS$1,'Staff Months'!$C$6:$C$2345,A23)</f>
        <v>5.25</v>
      </c>
      <c r="J23" s="11" t="n">
        <f aca="false">SUMIFS('Staff Months'!$L$6:$L$2345,'Staff Months'!$A$6:$A$2345,$AS$1,'Staff Months'!$C$6:$C$2345,A23)</f>
        <v>9</v>
      </c>
      <c r="K23" s="10" t="n">
        <f aca="false">SUMIFS('Staff Months'!$H$6:$H$2345,'Staff Months'!$A$6:$A$2345,$AS$1,'Staff Months'!$C$6:$C$2345,A23)</f>
        <v>72958.3333333333</v>
      </c>
      <c r="L23" s="10" t="n">
        <f aca="false">SUMIFS('Staff Months'!$J$6:$J$2345,'Staff Months'!$A$6:$A$2345,$AS$1,'Staff Months'!$C$6:$C$2345,A23)</f>
        <v>0</v>
      </c>
      <c r="M23" s="10" t="n">
        <f aca="false">SUMIFS('Staff Months'!$K$6:$K$2345,'Staff Months'!$A$6:$A$2345,$AS$1,'Staff Months'!$C$6:$C$2345,A23)</f>
        <v>0</v>
      </c>
      <c r="N23" s="10" t="n">
        <f aca="false">SUMIFS('Vendor Months'!$G$6:$G$3965,'Vendor Months'!$A$6:$A$3965,$AS$1,'Vendor Months'!$C$6:$C$3965,A23,'Vendor Months'!$J$6:$J$3965,"INFRA")</f>
        <v>1292.85723188</v>
      </c>
      <c r="O23" s="10" t="n">
        <f aca="false">SUMIFS('Vendor Months'!$G$6:$G$3965,'Vendor Months'!$A$6:$A$3965,$AS$1,'Vendor Months'!$C$6:$C$3965,A23,'Vendor Months'!$J$6:$J$3965,"TOOLS")</f>
        <v>302.82</v>
      </c>
      <c r="P23" s="10" t="n">
        <f aca="false">SUMIFS('Vendor Months'!$G$6:$G$3965,'Vendor Months'!$A$6:$A$3965,$AS$1,'Vendor Months'!$C$6:$C$3965,A23,'Vendor Months'!$J$6:$J$3965,"LEGAL")</f>
        <v>0</v>
      </c>
      <c r="Q23" s="10" t="n">
        <f aca="false">SUMIFS('Vendor Months'!$G$6:$G$3965,'Vendor Months'!$A$6:$A$3965,$AS$1,'Vendor Months'!$C$6:$C$3965,A23,'Vendor Months'!$J$6:$J$3965,"SECURITY")</f>
        <v>0</v>
      </c>
      <c r="R23" s="10" t="n">
        <f aca="false">SUMIFS('Vendor Months'!$G$6:$G$3965,'Vendor Months'!$A$6:$A$3965,$AS$1,'Vendor Months'!$C$6:$C$3965,A23,'Vendor Months'!$J$6:$J$3965,"COMPLIANCE")</f>
        <v>0</v>
      </c>
      <c r="S23" s="10" t="n">
        <f aca="false">SUMIFS('Vendor Months'!$G$6:$G$3965,'Vendor Months'!$A$6:$A$3965,$AS$1,'Vendor Months'!$C$6:$C$3965,A23,'Vendor Months'!$J$6:$J$3965,"INSURANCE")</f>
        <v>0</v>
      </c>
      <c r="T23" s="10" t="n">
        <f aca="false">SUMIFS('Vendor Months'!$G$6:$G$3965,'Vendor Months'!$A$6:$A$3965,$AS$1,'Vendor Months'!$C$6:$C$3965,A23,'Vendor Months'!$J$6:$J$3965,"ACCOUNTING")</f>
        <v>618</v>
      </c>
      <c r="U23" s="10" t="n">
        <f aca="false">SUMIFS('Vendor Months'!$G$6:$G$3965,'Vendor Months'!$A$6:$A$3965,$AS$1,'Vendor Months'!$C$6:$C$3965,A23,'Vendor Months'!$J$6:$J$3965,"SUPPORT")</f>
        <v>103</v>
      </c>
      <c r="V23" s="10" t="n">
        <f aca="false">SUMIFS('Vendor Months'!$G$6:$G$3965,'Vendor Months'!$A$6:$A$3965,$AS$1,'Vendor Months'!$C$6:$C$3965,A23,'Vendor Months'!$J$6:$J$3965,"MARKETING")</f>
        <v>114.145565625</v>
      </c>
      <c r="W23" s="10" t="n">
        <f aca="false">SUMIFS('Vendor Months'!$G$6:$G$3965,'Vendor Months'!$A$6:$A$3965,$AS$1,'Vendor Months'!$C$6:$C$3965,A23,'Vendor Months'!$J$6:$J$3965,"ONBOARD")</f>
        <v>154.5</v>
      </c>
      <c r="X23" s="10" t="n">
        <f aca="false">SUMIFS('Vendor Months'!$G$6:$G$3965,'Vendor Months'!$A$6:$A$3965,$AS$1,'Vendor Months'!$C$6:$C$3965,A23,'Vendor Months'!$J$6:$J$3965,"AI")</f>
        <v>0</v>
      </c>
      <c r="Y23" s="10" t="n">
        <f aca="false">SUMIFS('Vendor Months'!$G$6:$G$3965,'Vendor Months'!$A$6:$A$3965,$AS$1,'Vendor Months'!$C$6:$C$3965,A23,'Vendor Months'!$J$6:$J$3965,"CTMS")</f>
        <v>0</v>
      </c>
      <c r="Z23" s="10" t="n">
        <f aca="false">SUM(N23:Y23)</f>
        <v>2585.322797505</v>
      </c>
      <c r="AA23" s="10" t="n">
        <f aca="false">(SUM(K23:M23)+Z23)*Assumptions!$C$12</f>
        <v>7554.36561308383</v>
      </c>
      <c r="AB23" s="10" t="n">
        <f aca="false">AD23*Assumptions!$C$29</f>
        <v>22.1641875</v>
      </c>
      <c r="AC23" s="10" t="n">
        <f aca="false">SUM(K23:M23)+Z23+AA23+AB23</f>
        <v>83120.1859314222</v>
      </c>
      <c r="AD23" s="10" t="n">
        <f aca="false">D23*Assumptions!$C$17</f>
        <v>738.80625</v>
      </c>
      <c r="AE23" s="10" t="n">
        <f aca="false">AD23*12</f>
        <v>8865.675</v>
      </c>
      <c r="AF23" s="10" t="n">
        <f aca="false">AC23-AD23</f>
        <v>82381.3796814222</v>
      </c>
      <c r="AG23" s="10" t="n">
        <f aca="false">IF(A23=Assumptions!$C$7,Assumptions!$C$8,0)</f>
        <v>0</v>
      </c>
      <c r="AH23" s="10" t="n">
        <f aca="false">AI22</f>
        <v>435333.780150367</v>
      </c>
      <c r="AI23" s="10" t="n">
        <f aca="false">AH23+AG23-AF23</f>
        <v>352952.400468944</v>
      </c>
      <c r="AJ23" s="10" t="n">
        <f aca="false">SUM($AC$6:AC23)</f>
        <v>1148532.65578106</v>
      </c>
      <c r="AK23" s="10" t="n">
        <f aca="false">MAX(0,-AI23)</f>
        <v>0</v>
      </c>
      <c r="AL23" s="10" t="n">
        <f aca="false">Assumptions!$C$6+SUM($AG$6:AG23)-AJ23</f>
        <v>351467.344218945</v>
      </c>
      <c r="AM23" s="10" t="n">
        <f aca="false">SUMIFS('Vendor Months'!$H$6:$H$3965,'Vendor Months'!$A$6:$A$3965,$AS$1,'Vendor Months'!$C$6:$C$3965,A23)</f>
        <v>1905.5</v>
      </c>
      <c r="AN23" s="10" t="n">
        <f aca="false">X23+Y23</f>
        <v>0</v>
      </c>
      <c r="AO23" s="10" t="n">
        <f aca="false">SUMIFS('Staff Months'!$I$6:$I$2345,'Staff Months'!$A$6:$A$2345,$AS$1,'Staff Months'!$C$6:$C$2345,A23)</f>
        <v>9656.25</v>
      </c>
      <c r="AP23" s="10" t="n">
        <f aca="false">SUM($AF$6:AF23)</f>
        <v>1147047.59953106</v>
      </c>
      <c r="AQ23" s="10" t="n">
        <f aca="false">AC23</f>
        <v>83120.1859314222</v>
      </c>
      <c r="AR23" s="26" t="n">
        <f aca="false">IF(AI23&lt;0,1,0)</f>
        <v>0</v>
      </c>
      <c r="AS23" s="6"/>
    </row>
    <row r="24" customFormat="false" ht="15" hidden="false" customHeight="false" outlineLevel="0" collapsed="false">
      <c r="A24" s="6" t="n">
        <v>19</v>
      </c>
      <c r="B24" s="25" t="n">
        <f aca="false">EDATE('Start Here'!$B$6,A24-1)</f>
        <v>46874</v>
      </c>
      <c r="C24" s="11" t="n">
        <f aca="false">IF(A24&gt;=Assumptions!$C$13,Assumptions!$C$14*(1+Assumptions!$C$15)^INT((A24-Assumptions!$C$13)/12),0)</f>
        <v>0.5</v>
      </c>
      <c r="D24" s="11" t="n">
        <f aca="false">D23*(1-Assumptions!$C$16)+C24</f>
        <v>1.9554483125</v>
      </c>
      <c r="E24" s="11" t="n">
        <f aca="false">D24*Assumptions!$C$18</f>
        <v>15.6435865</v>
      </c>
      <c r="F24" s="11" t="n">
        <f aca="false">E24*Assumptions!$C$19*30/1000000</f>
        <v>0.0469307595</v>
      </c>
      <c r="G24" s="11" t="n">
        <f aca="false">D24*Assumptions!$C$20</f>
        <v>3.910896625</v>
      </c>
      <c r="H24" s="11" t="n">
        <f aca="false">D24*Assumptions!$C$21</f>
        <v>0.97772415625</v>
      </c>
      <c r="I24" s="11" t="n">
        <f aca="false">SUMIFS('Staff Months'!$E$6:$E$2345,'Staff Months'!$A$6:$A$2345,$AS$1,'Staff Months'!$C$6:$C$2345,A24)</f>
        <v>5.25</v>
      </c>
      <c r="J24" s="11" t="n">
        <f aca="false">SUMIFS('Staff Months'!$L$6:$L$2345,'Staff Months'!$A$6:$A$2345,$AS$1,'Staff Months'!$C$6:$C$2345,A24)</f>
        <v>9</v>
      </c>
      <c r="K24" s="10" t="n">
        <f aca="false">SUMIFS('Staff Months'!$H$6:$H$2345,'Staff Months'!$A$6:$A$2345,$AS$1,'Staff Months'!$C$6:$C$2345,A24)</f>
        <v>72958.3333333333</v>
      </c>
      <c r="L24" s="10" t="n">
        <f aca="false">SUMIFS('Staff Months'!$J$6:$J$2345,'Staff Months'!$A$6:$A$2345,$AS$1,'Staff Months'!$C$6:$C$2345,A24)</f>
        <v>0</v>
      </c>
      <c r="M24" s="10" t="n">
        <f aca="false">SUMIFS('Staff Months'!$K$6:$K$2345,'Staff Months'!$A$6:$A$2345,$AS$1,'Staff Months'!$C$6:$C$2345,A24)</f>
        <v>0</v>
      </c>
      <c r="N24" s="10" t="n">
        <f aca="false">SUMIFS('Vendor Months'!$G$6:$G$3965,'Vendor Months'!$A$6:$A$3965,$AS$1,'Vendor Months'!$C$6:$C$3965,A24,'Vendor Months'!$J$6:$J$3965,"INFRA")</f>
        <v>1294.5896734018</v>
      </c>
      <c r="O24" s="10" t="n">
        <f aca="false">SUMIFS('Vendor Months'!$G$6:$G$3965,'Vendor Months'!$A$6:$A$3965,$AS$1,'Vendor Months'!$C$6:$C$3965,A24,'Vendor Months'!$J$6:$J$3965,"TOOLS")</f>
        <v>302.82</v>
      </c>
      <c r="P24" s="10" t="n">
        <f aca="false">SUMIFS('Vendor Months'!$G$6:$G$3965,'Vendor Months'!$A$6:$A$3965,$AS$1,'Vendor Months'!$C$6:$C$3965,A24,'Vendor Months'!$J$6:$J$3965,"LEGAL")</f>
        <v>0</v>
      </c>
      <c r="Q24" s="10" t="n">
        <f aca="false">SUMIFS('Vendor Months'!$G$6:$G$3965,'Vendor Months'!$A$6:$A$3965,$AS$1,'Vendor Months'!$C$6:$C$3965,A24,'Vendor Months'!$J$6:$J$3965,"SECURITY")</f>
        <v>0</v>
      </c>
      <c r="R24" s="10" t="n">
        <f aca="false">SUMIFS('Vendor Months'!$G$6:$G$3965,'Vendor Months'!$A$6:$A$3965,$AS$1,'Vendor Months'!$C$6:$C$3965,A24,'Vendor Months'!$J$6:$J$3965,"COMPLIANCE")</f>
        <v>0</v>
      </c>
      <c r="S24" s="10" t="n">
        <f aca="false">SUMIFS('Vendor Months'!$G$6:$G$3965,'Vendor Months'!$A$6:$A$3965,$AS$1,'Vendor Months'!$C$6:$C$3965,A24,'Vendor Months'!$J$6:$J$3965,"INSURANCE")</f>
        <v>0</v>
      </c>
      <c r="T24" s="10" t="n">
        <f aca="false">SUMIFS('Vendor Months'!$G$6:$G$3965,'Vendor Months'!$A$6:$A$3965,$AS$1,'Vendor Months'!$C$6:$C$3965,A24,'Vendor Months'!$J$6:$J$3965,"ACCOUNTING")</f>
        <v>618</v>
      </c>
      <c r="U24" s="10" t="n">
        <f aca="false">SUMIFS('Vendor Months'!$G$6:$G$3965,'Vendor Months'!$A$6:$A$3965,$AS$1,'Vendor Months'!$C$6:$C$3965,A24,'Vendor Months'!$J$6:$J$3965,"SUPPORT")</f>
        <v>103</v>
      </c>
      <c r="V24" s="10" t="n">
        <f aca="false">SUMIFS('Vendor Months'!$G$6:$G$3965,'Vendor Months'!$A$6:$A$3965,$AS$1,'Vendor Months'!$C$6:$C$3965,A24,'Vendor Months'!$J$6:$J$3965,"MARKETING")</f>
        <v>151.058382140625</v>
      </c>
      <c r="W24" s="10" t="n">
        <f aca="false">SUMIFS('Vendor Months'!$G$6:$G$3965,'Vendor Months'!$A$6:$A$3965,$AS$1,'Vendor Months'!$C$6:$C$3965,A24,'Vendor Months'!$J$6:$J$3965,"ONBOARD")</f>
        <v>154.5</v>
      </c>
      <c r="X24" s="10" t="n">
        <f aca="false">SUMIFS('Vendor Months'!$G$6:$G$3965,'Vendor Months'!$A$6:$A$3965,$AS$1,'Vendor Months'!$C$6:$C$3965,A24,'Vendor Months'!$J$6:$J$3965,"AI")</f>
        <v>0</v>
      </c>
      <c r="Y24" s="10" t="n">
        <f aca="false">SUMIFS('Vendor Months'!$G$6:$G$3965,'Vendor Months'!$A$6:$A$3965,$AS$1,'Vendor Months'!$C$6:$C$3965,A24,'Vendor Months'!$J$6:$J$3965,"CTMS")</f>
        <v>0</v>
      </c>
      <c r="Z24" s="10" t="n">
        <f aca="false">SUM(N24:Y24)</f>
        <v>2623.96805554242</v>
      </c>
      <c r="AA24" s="10" t="n">
        <f aca="false">(SUM(K24:M24)+Z24)*Assumptions!$C$12</f>
        <v>7558.23013888758</v>
      </c>
      <c r="AB24" s="10" t="n">
        <f aca="false">AD24*Assumptions!$C$29</f>
        <v>29.3317246875</v>
      </c>
      <c r="AC24" s="10" t="n">
        <f aca="false">SUM(K24:M24)+Z24+AA24+AB24</f>
        <v>83169.8632524508</v>
      </c>
      <c r="AD24" s="10" t="n">
        <f aca="false">D24*Assumptions!$C$17</f>
        <v>977.72415625</v>
      </c>
      <c r="AE24" s="10" t="n">
        <f aca="false">AD24*12</f>
        <v>11732.689875</v>
      </c>
      <c r="AF24" s="10" t="n">
        <f aca="false">AC24-AD24</f>
        <v>82192.1390962008</v>
      </c>
      <c r="AG24" s="10" t="n">
        <f aca="false">IF(A24=Assumptions!$C$7,Assumptions!$C$8,0)</f>
        <v>0</v>
      </c>
      <c r="AH24" s="10" t="n">
        <f aca="false">AI23</f>
        <v>352952.400468944</v>
      </c>
      <c r="AI24" s="10" t="n">
        <f aca="false">AH24+AG24-AF24</f>
        <v>270760.261372744</v>
      </c>
      <c r="AJ24" s="10" t="n">
        <f aca="false">SUM($AC$6:AC24)</f>
        <v>1231702.51903351</v>
      </c>
      <c r="AK24" s="10" t="n">
        <f aca="false">MAX(0,-AI24)</f>
        <v>0</v>
      </c>
      <c r="AL24" s="10" t="n">
        <f aca="false">Assumptions!$C$6+SUM($AG$6:AG24)-AJ24</f>
        <v>268297.480966494</v>
      </c>
      <c r="AM24" s="10" t="n">
        <f aca="false">SUMIFS('Vendor Months'!$H$6:$H$3965,'Vendor Months'!$A$6:$A$3965,$AS$1,'Vendor Months'!$C$6:$C$3965,A24)</f>
        <v>1905.5</v>
      </c>
      <c r="AN24" s="10" t="n">
        <f aca="false">X24+Y24</f>
        <v>0</v>
      </c>
      <c r="AO24" s="10" t="n">
        <f aca="false">SUMIFS('Staff Months'!$I$6:$I$2345,'Staff Months'!$A$6:$A$2345,$AS$1,'Staff Months'!$C$6:$C$2345,A24)</f>
        <v>9656.25</v>
      </c>
      <c r="AP24" s="10" t="n">
        <f aca="false">SUM($AF$6:AF24)</f>
        <v>1229239.73862726</v>
      </c>
      <c r="AQ24" s="10" t="n">
        <f aca="false">AC24</f>
        <v>83169.8632524508</v>
      </c>
      <c r="AR24" s="26" t="n">
        <f aca="false">IF(AI24&lt;0,1,0)</f>
        <v>0</v>
      </c>
      <c r="AS24" s="6"/>
    </row>
    <row r="25" customFormat="false" ht="15" hidden="false" customHeight="false" outlineLevel="0" collapsed="false">
      <c r="A25" s="6" t="n">
        <v>20</v>
      </c>
      <c r="B25" s="25" t="n">
        <f aca="false">EDATE('Start Here'!$B$6,A25-1)</f>
        <v>46905</v>
      </c>
      <c r="C25" s="11" t="n">
        <f aca="false">IF(A25&gt;=Assumptions!$C$13,Assumptions!$C$14*(1+Assumptions!$C$15)^INT((A25-Assumptions!$C$13)/12),0)</f>
        <v>0.5</v>
      </c>
      <c r="D25" s="11" t="n">
        <f aca="false">D24*(1-Assumptions!$C$16)+C25</f>
        <v>2.4261165878125</v>
      </c>
      <c r="E25" s="11" t="n">
        <f aca="false">D25*Assumptions!$C$18</f>
        <v>19.4089327025</v>
      </c>
      <c r="F25" s="11" t="n">
        <f aca="false">E25*Assumptions!$C$19*30/1000000</f>
        <v>0.0582267981075</v>
      </c>
      <c r="G25" s="11" t="n">
        <f aca="false">D25*Assumptions!$C$20</f>
        <v>4.852233175625</v>
      </c>
      <c r="H25" s="11" t="n">
        <f aca="false">D25*Assumptions!$C$21</f>
        <v>1.21305829390625</v>
      </c>
      <c r="I25" s="11" t="n">
        <f aca="false">SUMIFS('Staff Months'!$E$6:$E$2345,'Staff Months'!$A$6:$A$2345,$AS$1,'Staff Months'!$C$6:$C$2345,A25)</f>
        <v>5.25</v>
      </c>
      <c r="J25" s="11" t="n">
        <f aca="false">SUMIFS('Staff Months'!$L$6:$L$2345,'Staff Months'!$A$6:$A$2345,$AS$1,'Staff Months'!$C$6:$C$2345,A25)</f>
        <v>9</v>
      </c>
      <c r="K25" s="10" t="n">
        <f aca="false">SUMIFS('Staff Months'!$H$6:$H$2345,'Staff Months'!$A$6:$A$2345,$AS$1,'Staff Months'!$C$6:$C$2345,A25)</f>
        <v>72958.3333333333</v>
      </c>
      <c r="L25" s="10" t="n">
        <f aca="false">SUMIFS('Staff Months'!$J$6:$J$2345,'Staff Months'!$A$6:$A$2345,$AS$1,'Staff Months'!$C$6:$C$2345,A25)</f>
        <v>0</v>
      </c>
      <c r="M25" s="10" t="n">
        <f aca="false">SUMIFS('Staff Months'!$K$6:$K$2345,'Staff Months'!$A$6:$A$2345,$AS$1,'Staff Months'!$C$6:$C$2345,A25)</f>
        <v>0</v>
      </c>
      <c r="N25" s="10" t="n">
        <f aca="false">SUMIFS('Vendor Months'!$G$6:$G$3965,'Vendor Months'!$A$6:$A$3965,$AS$1,'Vendor Months'!$C$6:$C$3965,A25,'Vendor Months'!$J$6:$J$3965,"INFRA")</f>
        <v>1296.29612830077</v>
      </c>
      <c r="O25" s="10" t="n">
        <f aca="false">SUMIFS('Vendor Months'!$G$6:$G$3965,'Vendor Months'!$A$6:$A$3965,$AS$1,'Vendor Months'!$C$6:$C$3965,A25,'Vendor Months'!$J$6:$J$3965,"TOOLS")</f>
        <v>302.82</v>
      </c>
      <c r="P25" s="10" t="n">
        <f aca="false">SUMIFS('Vendor Months'!$G$6:$G$3965,'Vendor Months'!$A$6:$A$3965,$AS$1,'Vendor Months'!$C$6:$C$3965,A25,'Vendor Months'!$J$6:$J$3965,"LEGAL")</f>
        <v>0</v>
      </c>
      <c r="Q25" s="10" t="n">
        <f aca="false">SUMIFS('Vendor Months'!$G$6:$G$3965,'Vendor Months'!$A$6:$A$3965,$AS$1,'Vendor Months'!$C$6:$C$3965,A25,'Vendor Months'!$J$6:$J$3965,"SECURITY")</f>
        <v>0</v>
      </c>
      <c r="R25" s="10" t="n">
        <f aca="false">SUMIFS('Vendor Months'!$G$6:$G$3965,'Vendor Months'!$A$6:$A$3965,$AS$1,'Vendor Months'!$C$6:$C$3965,A25,'Vendor Months'!$J$6:$J$3965,"COMPLIANCE")</f>
        <v>0</v>
      </c>
      <c r="S25" s="10" t="n">
        <f aca="false">SUMIFS('Vendor Months'!$G$6:$G$3965,'Vendor Months'!$A$6:$A$3965,$AS$1,'Vendor Months'!$C$6:$C$3965,A25,'Vendor Months'!$J$6:$J$3965,"INSURANCE")</f>
        <v>0</v>
      </c>
      <c r="T25" s="10" t="n">
        <f aca="false">SUMIFS('Vendor Months'!$G$6:$G$3965,'Vendor Months'!$A$6:$A$3965,$AS$1,'Vendor Months'!$C$6:$C$3965,A25,'Vendor Months'!$J$6:$J$3965,"ACCOUNTING")</f>
        <v>618</v>
      </c>
      <c r="U25" s="10" t="n">
        <f aca="false">SUMIFS('Vendor Months'!$G$6:$G$3965,'Vendor Months'!$A$6:$A$3965,$AS$1,'Vendor Months'!$C$6:$C$3965,A25,'Vendor Months'!$J$6:$J$3965,"SUPPORT")</f>
        <v>103</v>
      </c>
      <c r="V25" s="10" t="n">
        <f aca="false">SUMIFS('Vendor Months'!$G$6:$G$3965,'Vendor Months'!$A$6:$A$3965,$AS$1,'Vendor Months'!$C$6:$C$3965,A25,'Vendor Months'!$J$6:$J$3965,"MARKETING")</f>
        <v>187.417506408516</v>
      </c>
      <c r="W25" s="10" t="n">
        <f aca="false">SUMIFS('Vendor Months'!$G$6:$G$3965,'Vendor Months'!$A$6:$A$3965,$AS$1,'Vendor Months'!$C$6:$C$3965,A25,'Vendor Months'!$J$6:$J$3965,"ONBOARD")</f>
        <v>154.5</v>
      </c>
      <c r="X25" s="10" t="n">
        <f aca="false">SUMIFS('Vendor Months'!$G$6:$G$3965,'Vendor Months'!$A$6:$A$3965,$AS$1,'Vendor Months'!$C$6:$C$3965,A25,'Vendor Months'!$J$6:$J$3965,"AI")</f>
        <v>0</v>
      </c>
      <c r="Y25" s="10" t="n">
        <f aca="false">SUMIFS('Vendor Months'!$G$6:$G$3965,'Vendor Months'!$A$6:$A$3965,$AS$1,'Vendor Months'!$C$6:$C$3965,A25,'Vendor Months'!$J$6:$J$3965,"CTMS")</f>
        <v>0</v>
      </c>
      <c r="Z25" s="10" t="n">
        <f aca="false">SUM(N25:Y25)</f>
        <v>2662.03363470929</v>
      </c>
      <c r="AA25" s="10" t="n">
        <f aca="false">(SUM(K25:M25)+Z25)*Assumptions!$C$12</f>
        <v>7562.03669680426</v>
      </c>
      <c r="AB25" s="10" t="n">
        <f aca="false">AD25*Assumptions!$C$29</f>
        <v>36.3917488171875</v>
      </c>
      <c r="AC25" s="10" t="n">
        <f aca="false">SUM(K25:M25)+Z25+AA25+AB25</f>
        <v>83218.7954136641</v>
      </c>
      <c r="AD25" s="10" t="n">
        <f aca="false">D25*Assumptions!$C$17</f>
        <v>1213.05829390625</v>
      </c>
      <c r="AE25" s="10" t="n">
        <f aca="false">AD25*12</f>
        <v>14556.699526875</v>
      </c>
      <c r="AF25" s="10" t="n">
        <f aca="false">AC25-AD25</f>
        <v>82005.7371197578</v>
      </c>
      <c r="AG25" s="10" t="n">
        <f aca="false">IF(A25=Assumptions!$C$7,Assumptions!$C$8,0)</f>
        <v>0</v>
      </c>
      <c r="AH25" s="10" t="n">
        <f aca="false">AI24</f>
        <v>270760.261372744</v>
      </c>
      <c r="AI25" s="10" t="n">
        <f aca="false">AH25+AG25-AF25</f>
        <v>188754.524252986</v>
      </c>
      <c r="AJ25" s="10" t="n">
        <f aca="false">SUM($AC$6:AC25)</f>
        <v>1314921.31444717</v>
      </c>
      <c r="AK25" s="10" t="n">
        <f aca="false">MAX(0,-AI25)</f>
        <v>0</v>
      </c>
      <c r="AL25" s="10" t="n">
        <f aca="false">Assumptions!$C$6+SUM($AG$6:AG25)-AJ25</f>
        <v>185078.68555283</v>
      </c>
      <c r="AM25" s="10" t="n">
        <f aca="false">SUMIFS('Vendor Months'!$H$6:$H$3965,'Vendor Months'!$A$6:$A$3965,$AS$1,'Vendor Months'!$C$6:$C$3965,A25)</f>
        <v>1905.5</v>
      </c>
      <c r="AN25" s="10" t="n">
        <f aca="false">X25+Y25</f>
        <v>0</v>
      </c>
      <c r="AO25" s="10" t="n">
        <f aca="false">SUMIFS('Staff Months'!$I$6:$I$2345,'Staff Months'!$A$6:$A$2345,$AS$1,'Staff Months'!$C$6:$C$2345,A25)</f>
        <v>9656.25</v>
      </c>
      <c r="AP25" s="10" t="n">
        <f aca="false">SUM($AF$6:AF25)</f>
        <v>1311245.47574701</v>
      </c>
      <c r="AQ25" s="10" t="n">
        <f aca="false">AC25</f>
        <v>83218.7954136641</v>
      </c>
      <c r="AR25" s="26" t="n">
        <f aca="false">IF(AI25&lt;0,1,0)</f>
        <v>0</v>
      </c>
      <c r="AS25" s="6"/>
    </row>
    <row r="26" customFormat="false" ht="15" hidden="false" customHeight="false" outlineLevel="0" collapsed="false">
      <c r="A26" s="6" t="n">
        <v>21</v>
      </c>
      <c r="B26" s="25" t="n">
        <f aca="false">EDATE('Start Here'!$B$6,A26-1)</f>
        <v>46935</v>
      </c>
      <c r="C26" s="11" t="n">
        <f aca="false">IF(A26&gt;=Assumptions!$C$13,Assumptions!$C$14*(1+Assumptions!$C$15)^INT((A26-Assumptions!$C$13)/12),0)</f>
        <v>0.5</v>
      </c>
      <c r="D26" s="11" t="n">
        <f aca="false">D25*(1-Assumptions!$C$16)+C26</f>
        <v>2.88972483899531</v>
      </c>
      <c r="E26" s="11" t="n">
        <f aca="false">D26*Assumptions!$C$18</f>
        <v>23.1177987119625</v>
      </c>
      <c r="F26" s="11" t="n">
        <f aca="false">E26*Assumptions!$C$19*30/1000000</f>
        <v>0.0693533961358875</v>
      </c>
      <c r="G26" s="11" t="n">
        <f aca="false">D26*Assumptions!$C$20</f>
        <v>5.77944967799062</v>
      </c>
      <c r="H26" s="11" t="n">
        <f aca="false">D26*Assumptions!$C$21</f>
        <v>1.44486241949766</v>
      </c>
      <c r="I26" s="11" t="n">
        <f aca="false">SUMIFS('Staff Months'!$E$6:$E$2345,'Staff Months'!$A$6:$A$2345,$AS$1,'Staff Months'!$C$6:$C$2345,A26)</f>
        <v>5.25</v>
      </c>
      <c r="J26" s="11" t="n">
        <f aca="false">SUMIFS('Staff Months'!$L$6:$L$2345,'Staff Months'!$A$6:$A$2345,$AS$1,'Staff Months'!$C$6:$C$2345,A26)</f>
        <v>9</v>
      </c>
      <c r="K26" s="10" t="n">
        <f aca="false">SUMIFS('Staff Months'!$H$6:$H$2345,'Staff Months'!$A$6:$A$2345,$AS$1,'Staff Months'!$C$6:$C$2345,A26)</f>
        <v>72958.3333333333</v>
      </c>
      <c r="L26" s="10" t="n">
        <f aca="false">SUMIFS('Staff Months'!$J$6:$J$2345,'Staff Months'!$A$6:$A$2345,$AS$1,'Staff Months'!$C$6:$C$2345,A26)</f>
        <v>0</v>
      </c>
      <c r="M26" s="10" t="n">
        <f aca="false">SUMIFS('Staff Months'!$K$6:$K$2345,'Staff Months'!$A$6:$A$2345,$AS$1,'Staff Months'!$C$6:$C$2345,A26)</f>
        <v>0</v>
      </c>
      <c r="N26" s="10" t="n">
        <f aca="false">SUMIFS('Vendor Months'!$G$6:$G$3965,'Vendor Months'!$A$6:$A$3965,$AS$1,'Vendor Months'!$C$6:$C$3965,A26,'Vendor Months'!$J$6:$J$3965,"INFRA")</f>
        <v>1297.97698637626</v>
      </c>
      <c r="O26" s="10" t="n">
        <f aca="false">SUMIFS('Vendor Months'!$G$6:$G$3965,'Vendor Months'!$A$6:$A$3965,$AS$1,'Vendor Months'!$C$6:$C$3965,A26,'Vendor Months'!$J$6:$J$3965,"TOOLS")</f>
        <v>302.82</v>
      </c>
      <c r="P26" s="10" t="n">
        <f aca="false">SUMIFS('Vendor Months'!$G$6:$G$3965,'Vendor Months'!$A$6:$A$3965,$AS$1,'Vendor Months'!$C$6:$C$3965,A26,'Vendor Months'!$J$6:$J$3965,"LEGAL")</f>
        <v>0</v>
      </c>
      <c r="Q26" s="10" t="n">
        <f aca="false">SUMIFS('Vendor Months'!$G$6:$G$3965,'Vendor Months'!$A$6:$A$3965,$AS$1,'Vendor Months'!$C$6:$C$3965,A26,'Vendor Months'!$J$6:$J$3965,"SECURITY")</f>
        <v>0</v>
      </c>
      <c r="R26" s="10" t="n">
        <f aca="false">SUMIFS('Vendor Months'!$G$6:$G$3965,'Vendor Months'!$A$6:$A$3965,$AS$1,'Vendor Months'!$C$6:$C$3965,A26,'Vendor Months'!$J$6:$J$3965,"COMPLIANCE")</f>
        <v>0</v>
      </c>
      <c r="S26" s="10" t="n">
        <f aca="false">SUMIFS('Vendor Months'!$G$6:$G$3965,'Vendor Months'!$A$6:$A$3965,$AS$1,'Vendor Months'!$C$6:$C$3965,A26,'Vendor Months'!$J$6:$J$3965,"INSURANCE")</f>
        <v>12360</v>
      </c>
      <c r="T26" s="10" t="n">
        <f aca="false">SUMIFS('Vendor Months'!$G$6:$G$3965,'Vendor Months'!$A$6:$A$3965,$AS$1,'Vendor Months'!$C$6:$C$3965,A26,'Vendor Months'!$J$6:$J$3965,"ACCOUNTING")</f>
        <v>618</v>
      </c>
      <c r="U26" s="10" t="n">
        <f aca="false">SUMIFS('Vendor Months'!$G$6:$G$3965,'Vendor Months'!$A$6:$A$3965,$AS$1,'Vendor Months'!$C$6:$C$3965,A26,'Vendor Months'!$J$6:$J$3965,"SUPPORT")</f>
        <v>103</v>
      </c>
      <c r="V26" s="10" t="n">
        <f aca="false">SUMIFS('Vendor Months'!$G$6:$G$3965,'Vendor Months'!$A$6:$A$3965,$AS$1,'Vendor Months'!$C$6:$C$3965,A26,'Vendor Months'!$J$6:$J$3965,"MARKETING")</f>
        <v>223.231243812388</v>
      </c>
      <c r="W26" s="10" t="n">
        <f aca="false">SUMIFS('Vendor Months'!$G$6:$G$3965,'Vendor Months'!$A$6:$A$3965,$AS$1,'Vendor Months'!$C$6:$C$3965,A26,'Vendor Months'!$J$6:$J$3965,"ONBOARD")</f>
        <v>154.5</v>
      </c>
      <c r="X26" s="10" t="n">
        <f aca="false">SUMIFS('Vendor Months'!$G$6:$G$3965,'Vendor Months'!$A$6:$A$3965,$AS$1,'Vendor Months'!$C$6:$C$3965,A26,'Vendor Months'!$J$6:$J$3965,"AI")</f>
        <v>0</v>
      </c>
      <c r="Y26" s="10" t="n">
        <f aca="false">SUMIFS('Vendor Months'!$G$6:$G$3965,'Vendor Months'!$A$6:$A$3965,$AS$1,'Vendor Months'!$C$6:$C$3965,A26,'Vendor Months'!$J$6:$J$3965,"CTMS")</f>
        <v>0</v>
      </c>
      <c r="Z26" s="10" t="n">
        <f aca="false">SUM(N26:Y26)</f>
        <v>15059.5282301887</v>
      </c>
      <c r="AA26" s="10" t="n">
        <f aca="false">(SUM(K26:M26)+Z26)*Assumptions!$C$12</f>
        <v>8801.7861563522</v>
      </c>
      <c r="AB26" s="10" t="n">
        <f aca="false">AD26*Assumptions!$C$29</f>
        <v>43.3458725849297</v>
      </c>
      <c r="AC26" s="10" t="n">
        <f aca="false">SUM(K26:M26)+Z26+AA26+AB26</f>
        <v>96862.9935924591</v>
      </c>
      <c r="AD26" s="10" t="n">
        <f aca="false">D26*Assumptions!$C$17</f>
        <v>1444.86241949766</v>
      </c>
      <c r="AE26" s="10" t="n">
        <f aca="false">AD26*12</f>
        <v>17338.3490339719</v>
      </c>
      <c r="AF26" s="10" t="n">
        <f aca="false">AC26-AD26</f>
        <v>95418.1311729615</v>
      </c>
      <c r="AG26" s="10" t="n">
        <f aca="false">IF(A26=Assumptions!$C$7,Assumptions!$C$8,0)</f>
        <v>0</v>
      </c>
      <c r="AH26" s="10" t="n">
        <f aca="false">AI25</f>
        <v>188754.524252986</v>
      </c>
      <c r="AI26" s="10" t="n">
        <f aca="false">AH26+AG26-AF26</f>
        <v>93336.3930800242</v>
      </c>
      <c r="AJ26" s="10" t="n">
        <f aca="false">SUM($AC$6:AC26)</f>
        <v>1411784.30803963</v>
      </c>
      <c r="AK26" s="10" t="n">
        <f aca="false">MAX(0,-AI26)</f>
        <v>0</v>
      </c>
      <c r="AL26" s="10" t="n">
        <f aca="false">Assumptions!$C$6+SUM($AG$6:AG26)-AJ26</f>
        <v>88215.6919603706</v>
      </c>
      <c r="AM26" s="10" t="n">
        <f aca="false">SUMIFS('Vendor Months'!$H$6:$H$3965,'Vendor Months'!$A$6:$A$3965,$AS$1,'Vendor Months'!$C$6:$C$3965,A26)</f>
        <v>14265.5</v>
      </c>
      <c r="AN26" s="10" t="n">
        <f aca="false">X26+Y26</f>
        <v>0</v>
      </c>
      <c r="AO26" s="10" t="n">
        <f aca="false">SUMIFS('Staff Months'!$I$6:$I$2345,'Staff Months'!$A$6:$A$2345,$AS$1,'Staff Months'!$C$6:$C$2345,A26)</f>
        <v>9656.25</v>
      </c>
      <c r="AP26" s="10" t="n">
        <f aca="false">SUM($AF$6:AF26)</f>
        <v>1406663.60691998</v>
      </c>
      <c r="AQ26" s="10" t="n">
        <f aca="false">AC26</f>
        <v>96862.9935924591</v>
      </c>
      <c r="AR26" s="26" t="n">
        <f aca="false">IF(AI26&lt;0,1,0)</f>
        <v>0</v>
      </c>
      <c r="AS26" s="6"/>
    </row>
    <row r="27" customFormat="false" ht="15" hidden="false" customHeight="false" outlineLevel="0" collapsed="false">
      <c r="A27" s="6" t="n">
        <v>22</v>
      </c>
      <c r="B27" s="25" t="n">
        <f aca="false">EDATE('Start Here'!$B$6,A27-1)</f>
        <v>46966</v>
      </c>
      <c r="C27" s="11" t="n">
        <f aca="false">IF(A27&gt;=Assumptions!$C$13,Assumptions!$C$14*(1+Assumptions!$C$15)^INT((A27-Assumptions!$C$13)/12),0)</f>
        <v>0.5</v>
      </c>
      <c r="D27" s="11" t="n">
        <f aca="false">D26*(1-Assumptions!$C$16)+C27</f>
        <v>3.34637896641038</v>
      </c>
      <c r="E27" s="11" t="n">
        <f aca="false">D27*Assumptions!$C$18</f>
        <v>26.7710317312831</v>
      </c>
      <c r="F27" s="11" t="n">
        <f aca="false">E27*Assumptions!$C$19*30/1000000</f>
        <v>0.0803130951938492</v>
      </c>
      <c r="G27" s="11" t="n">
        <f aca="false">D27*Assumptions!$C$20</f>
        <v>6.69275793282077</v>
      </c>
      <c r="H27" s="11" t="n">
        <f aca="false">D27*Assumptions!$C$21</f>
        <v>1.67318948320519</v>
      </c>
      <c r="I27" s="11" t="n">
        <f aca="false">SUMIFS('Staff Months'!$E$6:$E$2345,'Staff Months'!$A$6:$A$2345,$AS$1,'Staff Months'!$C$6:$C$2345,A27)</f>
        <v>5.25</v>
      </c>
      <c r="J27" s="11" t="n">
        <f aca="false">SUMIFS('Staff Months'!$L$6:$L$2345,'Staff Months'!$A$6:$A$2345,$AS$1,'Staff Months'!$C$6:$C$2345,A27)</f>
        <v>9</v>
      </c>
      <c r="K27" s="10" t="n">
        <f aca="false">SUMIFS('Staff Months'!$H$6:$H$2345,'Staff Months'!$A$6:$A$2345,$AS$1,'Staff Months'!$C$6:$C$2345,A27)</f>
        <v>72958.3333333333</v>
      </c>
      <c r="L27" s="10" t="n">
        <f aca="false">SUMIFS('Staff Months'!$J$6:$J$2345,'Staff Months'!$A$6:$A$2345,$AS$1,'Staff Months'!$C$6:$C$2345,A27)</f>
        <v>0</v>
      </c>
      <c r="M27" s="10" t="n">
        <f aca="false">SUMIFS('Staff Months'!$K$6:$K$2345,'Staff Months'!$A$6:$A$2345,$AS$1,'Staff Months'!$C$6:$C$2345,A27)</f>
        <v>0</v>
      </c>
      <c r="N27" s="10" t="n">
        <f aca="false">SUMIFS('Vendor Months'!$G$6:$G$3965,'Vendor Months'!$A$6:$A$3965,$AS$1,'Vendor Months'!$C$6:$C$3965,A27,'Vendor Months'!$J$6:$J$3965,"INFRA")</f>
        <v>1299.63263158062</v>
      </c>
      <c r="O27" s="10" t="n">
        <f aca="false">SUMIFS('Vendor Months'!$G$6:$G$3965,'Vendor Months'!$A$6:$A$3965,$AS$1,'Vendor Months'!$C$6:$C$3965,A27,'Vendor Months'!$J$6:$J$3965,"TOOLS")</f>
        <v>302.82</v>
      </c>
      <c r="P27" s="10" t="n">
        <f aca="false">SUMIFS('Vendor Months'!$G$6:$G$3965,'Vendor Months'!$A$6:$A$3965,$AS$1,'Vendor Months'!$C$6:$C$3965,A27,'Vendor Months'!$J$6:$J$3965,"LEGAL")</f>
        <v>0</v>
      </c>
      <c r="Q27" s="10" t="n">
        <f aca="false">SUMIFS('Vendor Months'!$G$6:$G$3965,'Vendor Months'!$A$6:$A$3965,$AS$1,'Vendor Months'!$C$6:$C$3965,A27,'Vendor Months'!$J$6:$J$3965,"SECURITY")</f>
        <v>18540</v>
      </c>
      <c r="R27" s="10" t="n">
        <f aca="false">SUMIFS('Vendor Months'!$G$6:$G$3965,'Vendor Months'!$A$6:$A$3965,$AS$1,'Vendor Months'!$C$6:$C$3965,A27,'Vendor Months'!$J$6:$J$3965,"COMPLIANCE")</f>
        <v>0</v>
      </c>
      <c r="S27" s="10" t="n">
        <f aca="false">SUMIFS('Vendor Months'!$G$6:$G$3965,'Vendor Months'!$A$6:$A$3965,$AS$1,'Vendor Months'!$C$6:$C$3965,A27,'Vendor Months'!$J$6:$J$3965,"INSURANCE")</f>
        <v>0</v>
      </c>
      <c r="T27" s="10" t="n">
        <f aca="false">SUMIFS('Vendor Months'!$G$6:$G$3965,'Vendor Months'!$A$6:$A$3965,$AS$1,'Vendor Months'!$C$6:$C$3965,A27,'Vendor Months'!$J$6:$J$3965,"ACCOUNTING")</f>
        <v>618</v>
      </c>
      <c r="U27" s="10" t="n">
        <f aca="false">SUMIFS('Vendor Months'!$G$6:$G$3965,'Vendor Months'!$A$6:$A$3965,$AS$1,'Vendor Months'!$C$6:$C$3965,A27,'Vendor Months'!$J$6:$J$3965,"SUPPORT")</f>
        <v>103</v>
      </c>
      <c r="V27" s="10" t="n">
        <f aca="false">SUMIFS('Vendor Months'!$G$6:$G$3965,'Vendor Months'!$A$6:$A$3965,$AS$1,'Vendor Months'!$C$6:$C$3965,A27,'Vendor Months'!$J$6:$J$3965,"MARKETING")</f>
        <v>258.507775155202</v>
      </c>
      <c r="W27" s="10" t="n">
        <f aca="false">SUMIFS('Vendor Months'!$G$6:$G$3965,'Vendor Months'!$A$6:$A$3965,$AS$1,'Vendor Months'!$C$6:$C$3965,A27,'Vendor Months'!$J$6:$J$3965,"ONBOARD")</f>
        <v>154.5</v>
      </c>
      <c r="X27" s="10" t="n">
        <f aca="false">SUMIFS('Vendor Months'!$G$6:$G$3965,'Vendor Months'!$A$6:$A$3965,$AS$1,'Vendor Months'!$C$6:$C$3965,A27,'Vendor Months'!$J$6:$J$3965,"AI")</f>
        <v>0</v>
      </c>
      <c r="Y27" s="10" t="n">
        <f aca="false">SUMIFS('Vendor Months'!$G$6:$G$3965,'Vendor Months'!$A$6:$A$3965,$AS$1,'Vendor Months'!$C$6:$C$3965,A27,'Vendor Months'!$J$6:$J$3965,"CTMS")</f>
        <v>0</v>
      </c>
      <c r="Z27" s="10" t="n">
        <f aca="false">SUM(N27:Y27)</f>
        <v>21276.4604067358</v>
      </c>
      <c r="AA27" s="10" t="n">
        <f aca="false">(SUM(K27:M27)+Z27)*Assumptions!$C$12</f>
        <v>9423.47937400691</v>
      </c>
      <c r="AB27" s="10" t="n">
        <f aca="false">AD27*Assumptions!$C$29</f>
        <v>50.1956844961557</v>
      </c>
      <c r="AC27" s="10" t="n">
        <f aca="false">SUM(K27:M27)+Z27+AA27+AB27</f>
        <v>103708.468798572</v>
      </c>
      <c r="AD27" s="10" t="n">
        <f aca="false">D27*Assumptions!$C$17</f>
        <v>1673.18948320519</v>
      </c>
      <c r="AE27" s="10" t="n">
        <f aca="false">AD27*12</f>
        <v>20078.2737984623</v>
      </c>
      <c r="AF27" s="10" t="n">
        <f aca="false">AC27-AD27</f>
        <v>102035.279315367</v>
      </c>
      <c r="AG27" s="10" t="n">
        <f aca="false">IF(A27=Assumptions!$C$7,Assumptions!$C$8,0)</f>
        <v>0</v>
      </c>
      <c r="AH27" s="10" t="n">
        <f aca="false">AI26</f>
        <v>93336.3930800242</v>
      </c>
      <c r="AI27" s="10" t="n">
        <f aca="false">AH27+AG27-AF27</f>
        <v>-8698.88623534278</v>
      </c>
      <c r="AJ27" s="10" t="n">
        <f aca="false">SUM($AC$6:AC27)</f>
        <v>1515492.7768382</v>
      </c>
      <c r="AK27" s="10" t="n">
        <f aca="false">MAX(0,-AI27)</f>
        <v>8698.88623534278</v>
      </c>
      <c r="AL27" s="10" t="n">
        <f aca="false">Assumptions!$C$6+SUM($AG$6:AG27)-AJ27</f>
        <v>-15492.7768382018</v>
      </c>
      <c r="AM27" s="10" t="n">
        <f aca="false">SUMIFS('Vendor Months'!$H$6:$H$3965,'Vendor Months'!$A$6:$A$3965,$AS$1,'Vendor Months'!$C$6:$C$3965,A27)</f>
        <v>20445.5</v>
      </c>
      <c r="AN27" s="10" t="n">
        <f aca="false">X27+Y27</f>
        <v>0</v>
      </c>
      <c r="AO27" s="10" t="n">
        <f aca="false">SUMIFS('Staff Months'!$I$6:$I$2345,'Staff Months'!$A$6:$A$2345,$AS$1,'Staff Months'!$C$6:$C$2345,A27)</f>
        <v>9656.25</v>
      </c>
      <c r="AP27" s="10" t="n">
        <f aca="false">SUM($AF$6:AF27)</f>
        <v>1508698.88623534</v>
      </c>
      <c r="AQ27" s="10" t="n">
        <f aca="false">AC27</f>
        <v>103708.468798572</v>
      </c>
      <c r="AR27" s="26" t="n">
        <f aca="false">IF(AI27&lt;0,1,0)</f>
        <v>1</v>
      </c>
      <c r="AS27" s="6"/>
    </row>
    <row r="28" customFormat="false" ht="15" hidden="false" customHeight="false" outlineLevel="0" collapsed="false">
      <c r="A28" s="6" t="n">
        <v>23</v>
      </c>
      <c r="B28" s="25" t="n">
        <f aca="false">EDATE('Start Here'!$B$6,A28-1)</f>
        <v>46997</v>
      </c>
      <c r="C28" s="11" t="n">
        <f aca="false">IF(A28&gt;=Assumptions!$C$13,Assumptions!$C$14*(1+Assumptions!$C$15)^INT((A28-Assumptions!$C$13)/12),0)</f>
        <v>0.5</v>
      </c>
      <c r="D28" s="11" t="n">
        <f aca="false">D27*(1-Assumptions!$C$16)+C28</f>
        <v>3.79618328191423</v>
      </c>
      <c r="E28" s="11" t="n">
        <f aca="false">D28*Assumptions!$C$18</f>
        <v>30.3694662553138</v>
      </c>
      <c r="F28" s="11" t="n">
        <f aca="false">E28*Assumptions!$C$19*30/1000000</f>
        <v>0.0911083987659414</v>
      </c>
      <c r="G28" s="11" t="n">
        <f aca="false">D28*Assumptions!$C$20</f>
        <v>7.59236656382845</v>
      </c>
      <c r="H28" s="11" t="n">
        <f aca="false">D28*Assumptions!$C$21</f>
        <v>1.89809164095711</v>
      </c>
      <c r="I28" s="11" t="n">
        <f aca="false">SUMIFS('Staff Months'!$E$6:$E$2345,'Staff Months'!$A$6:$A$2345,$AS$1,'Staff Months'!$C$6:$C$2345,A28)</f>
        <v>5.25</v>
      </c>
      <c r="J28" s="11" t="n">
        <f aca="false">SUMIFS('Staff Months'!$L$6:$L$2345,'Staff Months'!$A$6:$A$2345,$AS$1,'Staff Months'!$C$6:$C$2345,A28)</f>
        <v>9</v>
      </c>
      <c r="K28" s="10" t="n">
        <f aca="false">SUMIFS('Staff Months'!$H$6:$H$2345,'Staff Months'!$A$6:$A$2345,$AS$1,'Staff Months'!$C$6:$C$2345,A28)</f>
        <v>72958.3333333333</v>
      </c>
      <c r="L28" s="10" t="n">
        <f aca="false">SUMIFS('Staff Months'!$J$6:$J$2345,'Staff Months'!$A$6:$A$2345,$AS$1,'Staff Months'!$C$6:$C$2345,A28)</f>
        <v>0</v>
      </c>
      <c r="M28" s="10" t="n">
        <f aca="false">SUMIFS('Staff Months'!$K$6:$K$2345,'Staff Months'!$A$6:$A$2345,$AS$1,'Staff Months'!$C$6:$C$2345,A28)</f>
        <v>0</v>
      </c>
      <c r="N28" s="10" t="n">
        <f aca="false">SUMIFS('Vendor Months'!$G$6:$G$3965,'Vendor Months'!$A$6:$A$3965,$AS$1,'Vendor Months'!$C$6:$C$3965,A28,'Vendor Months'!$J$6:$J$3965,"INFRA")</f>
        <v>1301.26344210691</v>
      </c>
      <c r="O28" s="10" t="n">
        <f aca="false">SUMIFS('Vendor Months'!$G$6:$G$3965,'Vendor Months'!$A$6:$A$3965,$AS$1,'Vendor Months'!$C$6:$C$3965,A28,'Vendor Months'!$J$6:$J$3965,"TOOLS")</f>
        <v>302.82</v>
      </c>
      <c r="P28" s="10" t="n">
        <f aca="false">SUMIFS('Vendor Months'!$G$6:$G$3965,'Vendor Months'!$A$6:$A$3965,$AS$1,'Vendor Months'!$C$6:$C$3965,A28,'Vendor Months'!$J$6:$J$3965,"LEGAL")</f>
        <v>0</v>
      </c>
      <c r="Q28" s="10" t="n">
        <f aca="false">SUMIFS('Vendor Months'!$G$6:$G$3965,'Vendor Months'!$A$6:$A$3965,$AS$1,'Vendor Months'!$C$6:$C$3965,A28,'Vendor Months'!$J$6:$J$3965,"SECURITY")</f>
        <v>0</v>
      </c>
      <c r="R28" s="10" t="n">
        <f aca="false">SUMIFS('Vendor Months'!$G$6:$G$3965,'Vendor Months'!$A$6:$A$3965,$AS$1,'Vendor Months'!$C$6:$C$3965,A28,'Vendor Months'!$J$6:$J$3965,"COMPLIANCE")</f>
        <v>15450</v>
      </c>
      <c r="S28" s="10" t="n">
        <f aca="false">SUMIFS('Vendor Months'!$G$6:$G$3965,'Vendor Months'!$A$6:$A$3965,$AS$1,'Vendor Months'!$C$6:$C$3965,A28,'Vendor Months'!$J$6:$J$3965,"INSURANCE")</f>
        <v>0</v>
      </c>
      <c r="T28" s="10" t="n">
        <f aca="false">SUMIFS('Vendor Months'!$G$6:$G$3965,'Vendor Months'!$A$6:$A$3965,$AS$1,'Vendor Months'!$C$6:$C$3965,A28,'Vendor Months'!$J$6:$J$3965,"ACCOUNTING")</f>
        <v>618</v>
      </c>
      <c r="U28" s="10" t="n">
        <f aca="false">SUMIFS('Vendor Months'!$G$6:$G$3965,'Vendor Months'!$A$6:$A$3965,$AS$1,'Vendor Months'!$C$6:$C$3965,A28,'Vendor Months'!$J$6:$J$3965,"SUPPORT")</f>
        <v>103</v>
      </c>
      <c r="V28" s="10" t="n">
        <f aca="false">SUMIFS('Vendor Months'!$G$6:$G$3965,'Vendor Months'!$A$6:$A$3965,$AS$1,'Vendor Months'!$C$6:$C$3965,A28,'Vendor Months'!$J$6:$J$3965,"MARKETING")</f>
        <v>293.255158527874</v>
      </c>
      <c r="W28" s="10" t="n">
        <f aca="false">SUMIFS('Vendor Months'!$G$6:$G$3965,'Vendor Months'!$A$6:$A$3965,$AS$1,'Vendor Months'!$C$6:$C$3965,A28,'Vendor Months'!$J$6:$J$3965,"ONBOARD")</f>
        <v>154.5</v>
      </c>
      <c r="X28" s="10" t="n">
        <f aca="false">SUMIFS('Vendor Months'!$G$6:$G$3965,'Vendor Months'!$A$6:$A$3965,$AS$1,'Vendor Months'!$C$6:$C$3965,A28,'Vendor Months'!$J$6:$J$3965,"AI")</f>
        <v>0</v>
      </c>
      <c r="Y28" s="10" t="n">
        <f aca="false">SUMIFS('Vendor Months'!$G$6:$G$3965,'Vendor Months'!$A$6:$A$3965,$AS$1,'Vendor Months'!$C$6:$C$3965,A28,'Vendor Months'!$J$6:$J$3965,"CTMS")</f>
        <v>0</v>
      </c>
      <c r="Z28" s="10" t="n">
        <f aca="false">SUM(N28:Y28)</f>
        <v>18222.8386006348</v>
      </c>
      <c r="AA28" s="10" t="n">
        <f aca="false">(SUM(K28:M28)+Z28)*Assumptions!$C$12</f>
        <v>9118.11719339681</v>
      </c>
      <c r="AB28" s="10" t="n">
        <f aca="false">AD28*Assumptions!$C$29</f>
        <v>56.9427492287134</v>
      </c>
      <c r="AC28" s="10" t="n">
        <f aca="false">SUM(K28:M28)+Z28+AA28+AB28</f>
        <v>100356.231876594</v>
      </c>
      <c r="AD28" s="10" t="n">
        <f aca="false">D28*Assumptions!$C$17</f>
        <v>1898.09164095711</v>
      </c>
      <c r="AE28" s="10" t="n">
        <f aca="false">AD28*12</f>
        <v>22777.0996914854</v>
      </c>
      <c r="AF28" s="10" t="n">
        <f aca="false">AC28-AD28</f>
        <v>98458.1402356365</v>
      </c>
      <c r="AG28" s="10" t="n">
        <f aca="false">IF(A28=Assumptions!$C$7,Assumptions!$C$8,0)</f>
        <v>0</v>
      </c>
      <c r="AH28" s="10" t="n">
        <f aca="false">AI27</f>
        <v>-8698.88623534278</v>
      </c>
      <c r="AI28" s="10" t="n">
        <f aca="false">AH28+AG28-AF28</f>
        <v>-107157.026470979</v>
      </c>
      <c r="AJ28" s="10" t="n">
        <f aca="false">SUM($AC$6:AC28)</f>
        <v>1615849.0087148</v>
      </c>
      <c r="AK28" s="10" t="n">
        <f aca="false">MAX(0,-AI28)</f>
        <v>107157.026470979</v>
      </c>
      <c r="AL28" s="10" t="n">
        <f aca="false">Assumptions!$C$6+SUM($AG$6:AG28)-AJ28</f>
        <v>-115849.008714795</v>
      </c>
      <c r="AM28" s="10" t="n">
        <f aca="false">SUMIFS('Vendor Months'!$H$6:$H$3965,'Vendor Months'!$A$6:$A$3965,$AS$1,'Vendor Months'!$C$6:$C$3965,A28)</f>
        <v>17355.5</v>
      </c>
      <c r="AN28" s="10" t="n">
        <f aca="false">X28+Y28</f>
        <v>0</v>
      </c>
      <c r="AO28" s="10" t="n">
        <f aca="false">SUMIFS('Staff Months'!$I$6:$I$2345,'Staff Months'!$A$6:$A$2345,$AS$1,'Staff Months'!$C$6:$C$2345,A28)</f>
        <v>9656.25</v>
      </c>
      <c r="AP28" s="10" t="n">
        <f aca="false">SUM($AF$6:AF28)</f>
        <v>1607157.02647098</v>
      </c>
      <c r="AQ28" s="10" t="n">
        <f aca="false">AC28</f>
        <v>100356.231876594</v>
      </c>
      <c r="AR28" s="26" t="n">
        <f aca="false">IF(AI28&lt;0,1,0)</f>
        <v>1</v>
      </c>
      <c r="AS28" s="6"/>
    </row>
    <row r="29" customFormat="false" ht="15" hidden="false" customHeight="false" outlineLevel="0" collapsed="false">
      <c r="A29" s="6" t="n">
        <v>24</v>
      </c>
      <c r="B29" s="25" t="n">
        <f aca="false">EDATE('Start Here'!$B$6,A29-1)</f>
        <v>47027</v>
      </c>
      <c r="C29" s="11" t="n">
        <f aca="false">IF(A29&gt;=Assumptions!$C$13,Assumptions!$C$14*(1+Assumptions!$C$15)^INT((A29-Assumptions!$C$13)/12),0)</f>
        <v>0.5</v>
      </c>
      <c r="D29" s="11" t="n">
        <f aca="false">D28*(1-Assumptions!$C$16)+C29</f>
        <v>4.23924053268551</v>
      </c>
      <c r="E29" s="11" t="n">
        <f aca="false">D29*Assumptions!$C$18</f>
        <v>33.9139242614841</v>
      </c>
      <c r="F29" s="11" t="n">
        <f aca="false">E29*Assumptions!$C$19*30/1000000</f>
        <v>0.101741772784452</v>
      </c>
      <c r="G29" s="11" t="n">
        <f aca="false">D29*Assumptions!$C$20</f>
        <v>8.47848106537103</v>
      </c>
      <c r="H29" s="11" t="n">
        <f aca="false">D29*Assumptions!$C$21</f>
        <v>2.11962026634276</v>
      </c>
      <c r="I29" s="11" t="n">
        <f aca="false">SUMIFS('Staff Months'!$E$6:$E$2345,'Staff Months'!$A$6:$A$2345,$AS$1,'Staff Months'!$C$6:$C$2345,A29)</f>
        <v>5.25</v>
      </c>
      <c r="J29" s="11" t="n">
        <f aca="false">SUMIFS('Staff Months'!$L$6:$L$2345,'Staff Months'!$A$6:$A$2345,$AS$1,'Staff Months'!$C$6:$C$2345,A29)</f>
        <v>9</v>
      </c>
      <c r="K29" s="10" t="n">
        <f aca="false">SUMIFS('Staff Months'!$H$6:$H$2345,'Staff Months'!$A$6:$A$2345,$AS$1,'Staff Months'!$C$6:$C$2345,A29)</f>
        <v>72958.3333333333</v>
      </c>
      <c r="L29" s="10" t="n">
        <f aca="false">SUMIFS('Staff Months'!$J$6:$J$2345,'Staff Months'!$A$6:$A$2345,$AS$1,'Staff Months'!$C$6:$C$2345,A29)</f>
        <v>0</v>
      </c>
      <c r="M29" s="10" t="n">
        <f aca="false">SUMIFS('Staff Months'!$K$6:$K$2345,'Staff Months'!$A$6:$A$2345,$AS$1,'Staff Months'!$C$6:$C$2345,A29)</f>
        <v>0</v>
      </c>
      <c r="N29" s="10" t="n">
        <f aca="false">SUMIFS('Vendor Months'!$G$6:$G$3965,'Vendor Months'!$A$6:$A$3965,$AS$1,'Vendor Months'!$C$6:$C$3965,A29,'Vendor Months'!$J$6:$J$3965,"INFRA")</f>
        <v>1302.8697904753</v>
      </c>
      <c r="O29" s="10" t="n">
        <f aca="false">SUMIFS('Vendor Months'!$G$6:$G$3965,'Vendor Months'!$A$6:$A$3965,$AS$1,'Vendor Months'!$C$6:$C$3965,A29,'Vendor Months'!$J$6:$J$3965,"TOOLS")</f>
        <v>302.82</v>
      </c>
      <c r="P29" s="10" t="n">
        <f aca="false">SUMIFS('Vendor Months'!$G$6:$G$3965,'Vendor Months'!$A$6:$A$3965,$AS$1,'Vendor Months'!$C$6:$C$3965,A29,'Vendor Months'!$J$6:$J$3965,"LEGAL")</f>
        <v>0</v>
      </c>
      <c r="Q29" s="10" t="n">
        <f aca="false">SUMIFS('Vendor Months'!$G$6:$G$3965,'Vendor Months'!$A$6:$A$3965,$AS$1,'Vendor Months'!$C$6:$C$3965,A29,'Vendor Months'!$J$6:$J$3965,"SECURITY")</f>
        <v>0</v>
      </c>
      <c r="R29" s="10" t="n">
        <f aca="false">SUMIFS('Vendor Months'!$G$6:$G$3965,'Vendor Months'!$A$6:$A$3965,$AS$1,'Vendor Months'!$C$6:$C$3965,A29,'Vendor Months'!$J$6:$J$3965,"COMPLIANCE")</f>
        <v>0</v>
      </c>
      <c r="S29" s="10" t="n">
        <f aca="false">SUMIFS('Vendor Months'!$G$6:$G$3965,'Vendor Months'!$A$6:$A$3965,$AS$1,'Vendor Months'!$C$6:$C$3965,A29,'Vendor Months'!$J$6:$J$3965,"INSURANCE")</f>
        <v>0</v>
      </c>
      <c r="T29" s="10" t="n">
        <f aca="false">SUMIFS('Vendor Months'!$G$6:$G$3965,'Vendor Months'!$A$6:$A$3965,$AS$1,'Vendor Months'!$C$6:$C$3965,A29,'Vendor Months'!$J$6:$J$3965,"ACCOUNTING")</f>
        <v>618</v>
      </c>
      <c r="U29" s="10" t="n">
        <f aca="false">SUMIFS('Vendor Months'!$G$6:$G$3965,'Vendor Months'!$A$6:$A$3965,$AS$1,'Vendor Months'!$C$6:$C$3965,A29,'Vendor Months'!$J$6:$J$3965,"SUPPORT")</f>
        <v>103</v>
      </c>
      <c r="V29" s="10" t="n">
        <f aca="false">SUMIFS('Vendor Months'!$G$6:$G$3965,'Vendor Months'!$A$6:$A$3965,$AS$1,'Vendor Months'!$C$6:$C$3965,A29,'Vendor Months'!$J$6:$J$3965,"MARKETING")</f>
        <v>327.481331149956</v>
      </c>
      <c r="W29" s="10" t="n">
        <f aca="false">SUMIFS('Vendor Months'!$G$6:$G$3965,'Vendor Months'!$A$6:$A$3965,$AS$1,'Vendor Months'!$C$6:$C$3965,A29,'Vendor Months'!$J$6:$J$3965,"ONBOARD")</f>
        <v>154.5</v>
      </c>
      <c r="X29" s="10" t="n">
        <f aca="false">SUMIFS('Vendor Months'!$G$6:$G$3965,'Vendor Months'!$A$6:$A$3965,$AS$1,'Vendor Months'!$C$6:$C$3965,A29,'Vendor Months'!$J$6:$J$3965,"AI")</f>
        <v>0</v>
      </c>
      <c r="Y29" s="10" t="n">
        <f aca="false">SUMIFS('Vendor Months'!$G$6:$G$3965,'Vendor Months'!$A$6:$A$3965,$AS$1,'Vendor Months'!$C$6:$C$3965,A29,'Vendor Months'!$J$6:$J$3965,"CTMS")</f>
        <v>0</v>
      </c>
      <c r="Z29" s="10" t="n">
        <f aca="false">SUM(N29:Y29)</f>
        <v>2808.67112162526</v>
      </c>
      <c r="AA29" s="10" t="n">
        <f aca="false">(SUM(K29:M29)+Z29)*Assumptions!$C$12</f>
        <v>7576.70044549586</v>
      </c>
      <c r="AB29" s="10" t="n">
        <f aca="false">AD29*Assumptions!$C$29</f>
        <v>63.5886079902827</v>
      </c>
      <c r="AC29" s="10" t="n">
        <f aca="false">SUM(K29:M29)+Z29+AA29+AB29</f>
        <v>83407.2935084447</v>
      </c>
      <c r="AD29" s="10" t="n">
        <f aca="false">D29*Assumptions!$C$17</f>
        <v>2119.62026634276</v>
      </c>
      <c r="AE29" s="10" t="n">
        <f aca="false">AD29*12</f>
        <v>25435.4431961131</v>
      </c>
      <c r="AF29" s="10" t="n">
        <f aca="false">AC29-AD29</f>
        <v>81287.673242102</v>
      </c>
      <c r="AG29" s="10" t="n">
        <f aca="false">IF(A29=Assumptions!$C$7,Assumptions!$C$8,0)</f>
        <v>0</v>
      </c>
      <c r="AH29" s="10" t="n">
        <f aca="false">AI28</f>
        <v>-107157.026470979</v>
      </c>
      <c r="AI29" s="10" t="n">
        <f aca="false">AH29+AG29-AF29</f>
        <v>-188444.699713081</v>
      </c>
      <c r="AJ29" s="10" t="n">
        <f aca="false">SUM($AC$6:AC29)</f>
        <v>1699256.30222324</v>
      </c>
      <c r="AK29" s="10" t="n">
        <f aca="false">MAX(0,-AI29)</f>
        <v>188444.699713081</v>
      </c>
      <c r="AL29" s="10" t="n">
        <f aca="false">Assumptions!$C$6+SUM($AG$6:AG29)-AJ29</f>
        <v>-199256.30222324</v>
      </c>
      <c r="AM29" s="10" t="n">
        <f aca="false">SUMIFS('Vendor Months'!$H$6:$H$3965,'Vendor Months'!$A$6:$A$3965,$AS$1,'Vendor Months'!$C$6:$C$3965,A29)</f>
        <v>1905.5</v>
      </c>
      <c r="AN29" s="10" t="n">
        <f aca="false">X29+Y29</f>
        <v>0</v>
      </c>
      <c r="AO29" s="10" t="n">
        <f aca="false">SUMIFS('Staff Months'!$I$6:$I$2345,'Staff Months'!$A$6:$A$2345,$AS$1,'Staff Months'!$C$6:$C$2345,A29)</f>
        <v>9656.25</v>
      </c>
      <c r="AP29" s="10" t="n">
        <f aca="false">SUM($AF$6:AF29)</f>
        <v>1688444.69971308</v>
      </c>
      <c r="AQ29" s="10" t="n">
        <f aca="false">AC29</f>
        <v>83407.2935084447</v>
      </c>
      <c r="AR29" s="26" t="n">
        <f aca="false">IF(AI29&lt;0,1,0)</f>
        <v>1</v>
      </c>
      <c r="AS29" s="6"/>
    </row>
    <row r="30" customFormat="false" ht="15" hidden="false" customHeight="false" outlineLevel="0" collapsed="false">
      <c r="A30" s="6" t="n">
        <v>25</v>
      </c>
      <c r="B30" s="25" t="n">
        <f aca="false">EDATE('Start Here'!$B$6,A30-1)</f>
        <v>47058</v>
      </c>
      <c r="C30" s="11" t="n">
        <f aca="false">IF(A30&gt;=Assumptions!$C$13,Assumptions!$C$14*(1+Assumptions!$C$15)^INT((A30-Assumptions!$C$13)/12),0)</f>
        <v>0.5</v>
      </c>
      <c r="D30" s="11" t="n">
        <f aca="false">D29*(1-Assumptions!$C$16)+C30</f>
        <v>4.67565192469523</v>
      </c>
      <c r="E30" s="11" t="n">
        <f aca="false">D30*Assumptions!$C$18</f>
        <v>37.4052153975619</v>
      </c>
      <c r="F30" s="11" t="n">
        <f aca="false">E30*Assumptions!$C$19*30/1000000</f>
        <v>0.112215646192686</v>
      </c>
      <c r="G30" s="11" t="n">
        <f aca="false">D30*Assumptions!$C$20</f>
        <v>9.35130384939046</v>
      </c>
      <c r="H30" s="11" t="n">
        <f aca="false">D30*Assumptions!$C$21</f>
        <v>2.33782596234762</v>
      </c>
      <c r="I30" s="11" t="n">
        <f aca="false">SUMIFS('Staff Months'!$E$6:$E$2345,'Staff Months'!$A$6:$A$2345,$AS$1,'Staff Months'!$C$6:$C$2345,A30)</f>
        <v>5.4</v>
      </c>
      <c r="J30" s="11" t="n">
        <f aca="false">SUMIFS('Staff Months'!$L$6:$L$2345,'Staff Months'!$A$6:$A$2345,$AS$1,'Staff Months'!$C$6:$C$2345,A30)</f>
        <v>9</v>
      </c>
      <c r="K30" s="10" t="n">
        <f aca="false">SUMIFS('Staff Months'!$H$6:$H$2345,'Staff Months'!$A$6:$A$2345,$AS$1,'Staff Months'!$C$6:$C$2345,A30)</f>
        <v>77710.925</v>
      </c>
      <c r="L30" s="10" t="n">
        <f aca="false">SUMIFS('Staff Months'!$J$6:$J$2345,'Staff Months'!$A$6:$A$2345,$AS$1,'Staff Months'!$C$6:$C$2345,A30)</f>
        <v>1250</v>
      </c>
      <c r="M30" s="10" t="n">
        <f aca="false">SUMIFS('Staff Months'!$K$6:$K$2345,'Staff Months'!$A$6:$A$2345,$AS$1,'Staff Months'!$C$6:$C$2345,A30)</f>
        <v>625</v>
      </c>
      <c r="N30" s="10" t="n">
        <f aca="false">SUMIFS('Vendor Months'!$G$6:$G$3965,'Vendor Months'!$A$6:$A$3965,$AS$1,'Vendor Months'!$C$6:$C$3965,A30,'Vendor Months'!$J$6:$J$3965,"INFRA")</f>
        <v>1343.58560492672</v>
      </c>
      <c r="O30" s="10" t="n">
        <f aca="false">SUMIFS('Vendor Months'!$G$6:$G$3965,'Vendor Months'!$A$6:$A$3965,$AS$1,'Vendor Months'!$C$6:$C$3965,A30,'Vendor Months'!$J$6:$J$3965,"TOOLS")</f>
        <v>311.9046</v>
      </c>
      <c r="P30" s="10" t="n">
        <f aca="false">SUMIFS('Vendor Months'!$G$6:$G$3965,'Vendor Months'!$A$6:$A$3965,$AS$1,'Vendor Months'!$C$6:$C$3965,A30,'Vendor Months'!$J$6:$J$3965,"LEGAL")</f>
        <v>0</v>
      </c>
      <c r="Q30" s="10" t="n">
        <f aca="false">SUMIFS('Vendor Months'!$G$6:$G$3965,'Vendor Months'!$A$6:$A$3965,$AS$1,'Vendor Months'!$C$6:$C$3965,A30,'Vendor Months'!$J$6:$J$3965,"SECURITY")</f>
        <v>0</v>
      </c>
      <c r="R30" s="10" t="n">
        <f aca="false">SUMIFS('Vendor Months'!$G$6:$G$3965,'Vendor Months'!$A$6:$A$3965,$AS$1,'Vendor Months'!$C$6:$C$3965,A30,'Vendor Months'!$J$6:$J$3965,"COMPLIANCE")</f>
        <v>0</v>
      </c>
      <c r="S30" s="10" t="n">
        <f aca="false">SUMIFS('Vendor Months'!$G$6:$G$3965,'Vendor Months'!$A$6:$A$3965,$AS$1,'Vendor Months'!$C$6:$C$3965,A30,'Vendor Months'!$J$6:$J$3965,"INSURANCE")</f>
        <v>0</v>
      </c>
      <c r="T30" s="10" t="n">
        <f aca="false">SUMIFS('Vendor Months'!$G$6:$G$3965,'Vendor Months'!$A$6:$A$3965,$AS$1,'Vendor Months'!$C$6:$C$3965,A30,'Vendor Months'!$J$6:$J$3965,"ACCOUNTING")</f>
        <v>636.54</v>
      </c>
      <c r="U30" s="10" t="n">
        <f aca="false">SUMIFS('Vendor Months'!$G$6:$G$3965,'Vendor Months'!$A$6:$A$3965,$AS$1,'Vendor Months'!$C$6:$C$3965,A30,'Vendor Months'!$J$6:$J$3965,"SUPPORT")</f>
        <v>106.09</v>
      </c>
      <c r="V30" s="10" t="n">
        <f aca="false">SUMIFS('Vendor Months'!$G$6:$G$3965,'Vendor Months'!$A$6:$A$3965,$AS$1,'Vendor Months'!$C$6:$C$3965,A30,'Vendor Months'!$J$6:$J$3965,"MARKETING")</f>
        <v>372.029934518188</v>
      </c>
      <c r="W30" s="10" t="n">
        <f aca="false">SUMIFS('Vendor Months'!$G$6:$G$3965,'Vendor Months'!$A$6:$A$3965,$AS$1,'Vendor Months'!$C$6:$C$3965,A30,'Vendor Months'!$J$6:$J$3965,"ONBOARD")</f>
        <v>159.135</v>
      </c>
      <c r="X30" s="10" t="n">
        <f aca="false">SUMIFS('Vendor Months'!$G$6:$G$3965,'Vendor Months'!$A$6:$A$3965,$AS$1,'Vendor Months'!$C$6:$C$3965,A30,'Vendor Months'!$J$6:$J$3965,"AI")</f>
        <v>0</v>
      </c>
      <c r="Y30" s="10" t="n">
        <f aca="false">SUMIFS('Vendor Months'!$G$6:$G$3965,'Vendor Months'!$A$6:$A$3965,$AS$1,'Vendor Months'!$C$6:$C$3965,A30,'Vendor Months'!$J$6:$J$3965,"CTMS")</f>
        <v>0</v>
      </c>
      <c r="Z30" s="10" t="n">
        <f aca="false">SUM(N30:Y30)</f>
        <v>2929.28513944491</v>
      </c>
      <c r="AA30" s="10" t="n">
        <f aca="false">(SUM(K30:M30)+Z30)*Assumptions!$C$12</f>
        <v>8251.52101394449</v>
      </c>
      <c r="AB30" s="10" t="n">
        <f aca="false">AD30*Assumptions!$C$29</f>
        <v>70.1347788704285</v>
      </c>
      <c r="AC30" s="10" t="n">
        <f aca="false">SUM(K30:M30)+Z30+AA30+AB30</f>
        <v>90836.8659322598</v>
      </c>
      <c r="AD30" s="10" t="n">
        <f aca="false">D30*Assumptions!$C$17</f>
        <v>2337.82596234762</v>
      </c>
      <c r="AE30" s="10" t="n">
        <f aca="false">AD30*12</f>
        <v>28053.9115481714</v>
      </c>
      <c r="AF30" s="10" t="n">
        <f aca="false">AC30-AD30</f>
        <v>88499.0399699122</v>
      </c>
      <c r="AG30" s="10" t="n">
        <f aca="false">IF(A30=Assumptions!$C$7,Assumptions!$C$8,0)</f>
        <v>0</v>
      </c>
      <c r="AH30" s="10" t="n">
        <f aca="false">AI29</f>
        <v>-188444.699713081</v>
      </c>
      <c r="AI30" s="10" t="n">
        <f aca="false">AH30+AG30-AF30</f>
        <v>-276943.739682994</v>
      </c>
      <c r="AJ30" s="10" t="n">
        <f aca="false">SUM($AC$6:AC30)</f>
        <v>1790093.1681555</v>
      </c>
      <c r="AK30" s="10" t="n">
        <f aca="false">MAX(0,-AI30)</f>
        <v>276943.739682994</v>
      </c>
      <c r="AL30" s="10" t="n">
        <f aca="false">Assumptions!$C$6+SUM($AG$6:AG30)-AJ30</f>
        <v>-290093.1681555</v>
      </c>
      <c r="AM30" s="10" t="n">
        <f aca="false">SUMIFS('Vendor Months'!$H$6:$H$3965,'Vendor Months'!$A$6:$A$3965,$AS$1,'Vendor Months'!$C$6:$C$3965,A30)</f>
        <v>1962.665</v>
      </c>
      <c r="AN30" s="10" t="n">
        <f aca="false">X30+Y30</f>
        <v>0</v>
      </c>
      <c r="AO30" s="10" t="n">
        <f aca="false">SUMIFS('Staff Months'!$I$6:$I$2345,'Staff Months'!$A$6:$A$2345,$AS$1,'Staff Months'!$C$6:$C$2345,A30)</f>
        <v>9945.9375</v>
      </c>
      <c r="AP30" s="10" t="n">
        <f aca="false">SUM($AF$6:AF30)</f>
        <v>1776943.73968299</v>
      </c>
      <c r="AQ30" s="10" t="n">
        <f aca="false">AC30</f>
        <v>90836.8659322598</v>
      </c>
      <c r="AR30" s="26" t="n">
        <f aca="false">IF(AI30&lt;0,1,0)</f>
        <v>1</v>
      </c>
      <c r="AS30" s="6"/>
    </row>
    <row r="31" customFormat="false" ht="15" hidden="false" customHeight="false" outlineLevel="0" collapsed="false">
      <c r="A31" s="6" t="n">
        <v>26</v>
      </c>
      <c r="B31" s="25" t="n">
        <f aca="false">EDATE('Start Here'!$B$6,A31-1)</f>
        <v>47088</v>
      </c>
      <c r="C31" s="11" t="n">
        <f aca="false">IF(A31&gt;=Assumptions!$C$13,Assumptions!$C$14*(1+Assumptions!$C$15)^INT((A31-Assumptions!$C$13)/12),0)</f>
        <v>0.5</v>
      </c>
      <c r="D31" s="11" t="n">
        <f aca="false">D30*(1-Assumptions!$C$16)+C31</f>
        <v>5.1055171458248</v>
      </c>
      <c r="E31" s="11" t="n">
        <f aca="false">D31*Assumptions!$C$18</f>
        <v>40.8441371665984</v>
      </c>
      <c r="F31" s="11" t="n">
        <f aca="false">E31*Assumptions!$C$19*30/1000000</f>
        <v>0.122532411499795</v>
      </c>
      <c r="G31" s="11" t="n">
        <f aca="false">D31*Assumptions!$C$20</f>
        <v>10.2110342916496</v>
      </c>
      <c r="H31" s="11" t="n">
        <f aca="false">D31*Assumptions!$C$21</f>
        <v>2.5527585729124</v>
      </c>
      <c r="I31" s="11" t="n">
        <f aca="false">SUMIFS('Staff Months'!$E$6:$E$2345,'Staff Months'!$A$6:$A$2345,$AS$1,'Staff Months'!$C$6:$C$2345,A31)</f>
        <v>5.4</v>
      </c>
      <c r="J31" s="11" t="n">
        <f aca="false">SUMIFS('Staff Months'!$L$6:$L$2345,'Staff Months'!$A$6:$A$2345,$AS$1,'Staff Months'!$C$6:$C$2345,A31)</f>
        <v>9</v>
      </c>
      <c r="K31" s="10" t="n">
        <f aca="false">SUMIFS('Staff Months'!$H$6:$H$2345,'Staff Months'!$A$6:$A$2345,$AS$1,'Staff Months'!$C$6:$C$2345,A31)</f>
        <v>77710.925</v>
      </c>
      <c r="L31" s="10" t="n">
        <f aca="false">SUMIFS('Staff Months'!$J$6:$J$2345,'Staff Months'!$A$6:$A$2345,$AS$1,'Staff Months'!$C$6:$C$2345,A31)</f>
        <v>0</v>
      </c>
      <c r="M31" s="10" t="n">
        <f aca="false">SUMIFS('Staff Months'!$K$6:$K$2345,'Staff Months'!$A$6:$A$2345,$AS$1,'Staff Months'!$C$6:$C$2345,A31)</f>
        <v>0</v>
      </c>
      <c r="N31" s="10" t="n">
        <f aca="false">SUMIFS('Vendor Months'!$G$6:$G$3965,'Vendor Months'!$A$6:$A$3965,$AS$1,'Vendor Months'!$C$6:$C$3965,A31,'Vendor Months'!$J$6:$J$3965,"INFRA")</f>
        <v>1345.19087985282</v>
      </c>
      <c r="O31" s="10" t="n">
        <f aca="false">SUMIFS('Vendor Months'!$G$6:$G$3965,'Vendor Months'!$A$6:$A$3965,$AS$1,'Vendor Months'!$C$6:$C$3965,A31,'Vendor Months'!$J$6:$J$3965,"TOOLS")</f>
        <v>311.9046</v>
      </c>
      <c r="P31" s="10" t="n">
        <f aca="false">SUMIFS('Vendor Months'!$G$6:$G$3965,'Vendor Months'!$A$6:$A$3965,$AS$1,'Vendor Months'!$C$6:$C$3965,A31,'Vendor Months'!$J$6:$J$3965,"LEGAL")</f>
        <v>12730.8</v>
      </c>
      <c r="Q31" s="10" t="n">
        <f aca="false">SUMIFS('Vendor Months'!$G$6:$G$3965,'Vendor Months'!$A$6:$A$3965,$AS$1,'Vendor Months'!$C$6:$C$3965,A31,'Vendor Months'!$J$6:$J$3965,"SECURITY")</f>
        <v>0</v>
      </c>
      <c r="R31" s="10" t="n">
        <f aca="false">SUMIFS('Vendor Months'!$G$6:$G$3965,'Vendor Months'!$A$6:$A$3965,$AS$1,'Vendor Months'!$C$6:$C$3965,A31,'Vendor Months'!$J$6:$J$3965,"COMPLIANCE")</f>
        <v>0</v>
      </c>
      <c r="S31" s="10" t="n">
        <f aca="false">SUMIFS('Vendor Months'!$G$6:$G$3965,'Vendor Months'!$A$6:$A$3965,$AS$1,'Vendor Months'!$C$6:$C$3965,A31,'Vendor Months'!$J$6:$J$3965,"INSURANCE")</f>
        <v>0</v>
      </c>
      <c r="T31" s="10" t="n">
        <f aca="false">SUMIFS('Vendor Months'!$G$6:$G$3965,'Vendor Months'!$A$6:$A$3965,$AS$1,'Vendor Months'!$C$6:$C$3965,A31,'Vendor Months'!$J$6:$J$3965,"ACCOUNTING")</f>
        <v>636.54</v>
      </c>
      <c r="U31" s="10" t="n">
        <f aca="false">SUMIFS('Vendor Months'!$G$6:$G$3965,'Vendor Months'!$A$6:$A$3965,$AS$1,'Vendor Months'!$C$6:$C$3965,A31,'Vendor Months'!$J$6:$J$3965,"SUPPORT")</f>
        <v>106.09</v>
      </c>
      <c r="V31" s="10" t="n">
        <f aca="false">SUMIFS('Vendor Months'!$G$6:$G$3965,'Vendor Months'!$A$6:$A$3965,$AS$1,'Vendor Months'!$C$6:$C$3965,A31,'Vendor Months'!$J$6:$J$3965,"MARKETING")</f>
        <v>406.233235500415</v>
      </c>
      <c r="W31" s="10" t="n">
        <f aca="false">SUMIFS('Vendor Months'!$G$6:$G$3965,'Vendor Months'!$A$6:$A$3965,$AS$1,'Vendor Months'!$C$6:$C$3965,A31,'Vendor Months'!$J$6:$J$3965,"ONBOARD")</f>
        <v>159.135</v>
      </c>
      <c r="X31" s="10" t="n">
        <f aca="false">SUMIFS('Vendor Months'!$G$6:$G$3965,'Vendor Months'!$A$6:$A$3965,$AS$1,'Vendor Months'!$C$6:$C$3965,A31,'Vendor Months'!$J$6:$J$3965,"AI")</f>
        <v>0</v>
      </c>
      <c r="Y31" s="10" t="n">
        <f aca="false">SUMIFS('Vendor Months'!$G$6:$G$3965,'Vendor Months'!$A$6:$A$3965,$AS$1,'Vendor Months'!$C$6:$C$3965,A31,'Vendor Months'!$J$6:$J$3965,"CTMS")</f>
        <v>0</v>
      </c>
      <c r="Z31" s="10" t="n">
        <f aca="false">SUM(N31:Y31)</f>
        <v>15695.8937153532</v>
      </c>
      <c r="AA31" s="10" t="n">
        <f aca="false">(SUM(K31:M31)+Z31)*Assumptions!$C$12</f>
        <v>9340.68187153532</v>
      </c>
      <c r="AB31" s="10" t="n">
        <f aca="false">AD31*Assumptions!$C$29</f>
        <v>76.582757187372</v>
      </c>
      <c r="AC31" s="10" t="n">
        <f aca="false">SUM(K31:M31)+Z31+AA31+AB31</f>
        <v>102824.083344076</v>
      </c>
      <c r="AD31" s="10" t="n">
        <f aca="false">D31*Assumptions!$C$17</f>
        <v>2552.7585729124</v>
      </c>
      <c r="AE31" s="10" t="n">
        <f aca="false">AD31*12</f>
        <v>30633.1028749488</v>
      </c>
      <c r="AF31" s="10" t="n">
        <f aca="false">AC31-AD31</f>
        <v>100271.324771164</v>
      </c>
      <c r="AG31" s="10" t="n">
        <f aca="false">IF(A31=Assumptions!$C$7,Assumptions!$C$8,0)</f>
        <v>0</v>
      </c>
      <c r="AH31" s="10" t="n">
        <f aca="false">AI30</f>
        <v>-276943.739682994</v>
      </c>
      <c r="AI31" s="10" t="n">
        <f aca="false">AH31+AG31-AF31</f>
        <v>-377215.064454157</v>
      </c>
      <c r="AJ31" s="10" t="n">
        <f aca="false">SUM($AC$6:AC31)</f>
        <v>1892917.25149958</v>
      </c>
      <c r="AK31" s="10" t="n">
        <f aca="false">MAX(0,-AI31)</f>
        <v>377215.064454157</v>
      </c>
      <c r="AL31" s="10" t="n">
        <f aca="false">Assumptions!$C$6+SUM($AG$6:AG31)-AJ31</f>
        <v>-392917.251499576</v>
      </c>
      <c r="AM31" s="10" t="n">
        <f aca="false">SUMIFS('Vendor Months'!$H$6:$H$3965,'Vendor Months'!$A$6:$A$3965,$AS$1,'Vendor Months'!$C$6:$C$3965,A31)</f>
        <v>14693.465</v>
      </c>
      <c r="AN31" s="10" t="n">
        <f aca="false">X31+Y31</f>
        <v>0</v>
      </c>
      <c r="AO31" s="10" t="n">
        <f aca="false">SUMIFS('Staff Months'!$I$6:$I$2345,'Staff Months'!$A$6:$A$2345,$AS$1,'Staff Months'!$C$6:$C$2345,A31)</f>
        <v>9945.9375</v>
      </c>
      <c r="AP31" s="10" t="n">
        <f aca="false">SUM($AF$6:AF31)</f>
        <v>1877215.06445416</v>
      </c>
      <c r="AQ31" s="10" t="n">
        <f aca="false">AC31</f>
        <v>102824.083344076</v>
      </c>
      <c r="AR31" s="26" t="n">
        <f aca="false">IF(AI31&lt;0,1,0)</f>
        <v>1</v>
      </c>
      <c r="AS31" s="6"/>
    </row>
    <row r="32" customFormat="false" ht="15" hidden="false" customHeight="false" outlineLevel="0" collapsed="false">
      <c r="A32" s="6" t="n">
        <v>27</v>
      </c>
      <c r="B32" s="25" t="n">
        <f aca="false">EDATE('Start Here'!$B$6,A32-1)</f>
        <v>47119</v>
      </c>
      <c r="C32" s="11" t="n">
        <f aca="false">IF(A32&gt;=Assumptions!$C$13,Assumptions!$C$14*(1+Assumptions!$C$15)^INT((A32-Assumptions!$C$13)/12),0)</f>
        <v>0.5</v>
      </c>
      <c r="D32" s="11" t="n">
        <f aca="false">D31*(1-Assumptions!$C$16)+C32</f>
        <v>5.52893438863743</v>
      </c>
      <c r="E32" s="11" t="n">
        <f aca="false">D32*Assumptions!$C$18</f>
        <v>44.2314751090994</v>
      </c>
      <c r="F32" s="11" t="n">
        <f aca="false">E32*Assumptions!$C$19*30/1000000</f>
        <v>0.132694425327298</v>
      </c>
      <c r="G32" s="11" t="n">
        <f aca="false">D32*Assumptions!$C$20</f>
        <v>11.0578687772749</v>
      </c>
      <c r="H32" s="11" t="n">
        <f aca="false">D32*Assumptions!$C$21</f>
        <v>2.76446719431871</v>
      </c>
      <c r="I32" s="11" t="n">
        <f aca="false">SUMIFS('Staff Months'!$E$6:$E$2345,'Staff Months'!$A$6:$A$2345,$AS$1,'Staff Months'!$C$6:$C$2345,A32)</f>
        <v>5.4</v>
      </c>
      <c r="J32" s="11" t="n">
        <f aca="false">SUMIFS('Staff Months'!$L$6:$L$2345,'Staff Months'!$A$6:$A$2345,$AS$1,'Staff Months'!$C$6:$C$2345,A32)</f>
        <v>9</v>
      </c>
      <c r="K32" s="10" t="n">
        <f aca="false">SUMIFS('Staff Months'!$H$6:$H$2345,'Staff Months'!$A$6:$A$2345,$AS$1,'Staff Months'!$C$6:$C$2345,A32)</f>
        <v>77710.925</v>
      </c>
      <c r="L32" s="10" t="n">
        <f aca="false">SUMIFS('Staff Months'!$J$6:$J$2345,'Staff Months'!$A$6:$A$2345,$AS$1,'Staff Months'!$C$6:$C$2345,A32)</f>
        <v>0</v>
      </c>
      <c r="M32" s="10" t="n">
        <f aca="false">SUMIFS('Staff Months'!$K$6:$K$2345,'Staff Months'!$A$6:$A$2345,$AS$1,'Staff Months'!$C$6:$C$2345,A32)</f>
        <v>0</v>
      </c>
      <c r="N32" s="10" t="n">
        <f aca="false">SUMIFS('Vendor Months'!$G$6:$G$3965,'Vendor Months'!$A$6:$A$3965,$AS$1,'Vendor Months'!$C$6:$C$3965,A32,'Vendor Months'!$J$6:$J$3965,"INFRA")</f>
        <v>1346.77207565503</v>
      </c>
      <c r="O32" s="10" t="n">
        <f aca="false">SUMIFS('Vendor Months'!$G$6:$G$3965,'Vendor Months'!$A$6:$A$3965,$AS$1,'Vendor Months'!$C$6:$C$3965,A32,'Vendor Months'!$J$6:$J$3965,"TOOLS")</f>
        <v>311.9046</v>
      </c>
      <c r="P32" s="10" t="n">
        <f aca="false">SUMIFS('Vendor Months'!$G$6:$G$3965,'Vendor Months'!$A$6:$A$3965,$AS$1,'Vendor Months'!$C$6:$C$3965,A32,'Vendor Months'!$J$6:$J$3965,"LEGAL")</f>
        <v>0</v>
      </c>
      <c r="Q32" s="10" t="n">
        <f aca="false">SUMIFS('Vendor Months'!$G$6:$G$3965,'Vendor Months'!$A$6:$A$3965,$AS$1,'Vendor Months'!$C$6:$C$3965,A32,'Vendor Months'!$J$6:$J$3965,"SECURITY")</f>
        <v>0</v>
      </c>
      <c r="R32" s="10" t="n">
        <f aca="false">SUMIFS('Vendor Months'!$G$6:$G$3965,'Vendor Months'!$A$6:$A$3965,$AS$1,'Vendor Months'!$C$6:$C$3965,A32,'Vendor Months'!$J$6:$J$3965,"COMPLIANCE")</f>
        <v>0</v>
      </c>
      <c r="S32" s="10" t="n">
        <f aca="false">SUMIFS('Vendor Months'!$G$6:$G$3965,'Vendor Months'!$A$6:$A$3965,$AS$1,'Vendor Months'!$C$6:$C$3965,A32,'Vendor Months'!$J$6:$J$3965,"INSURANCE")</f>
        <v>0</v>
      </c>
      <c r="T32" s="10" t="n">
        <f aca="false">SUMIFS('Vendor Months'!$G$6:$G$3965,'Vendor Months'!$A$6:$A$3965,$AS$1,'Vendor Months'!$C$6:$C$3965,A32,'Vendor Months'!$J$6:$J$3965,"ACCOUNTING")</f>
        <v>636.54</v>
      </c>
      <c r="U32" s="10" t="n">
        <f aca="false">SUMIFS('Vendor Months'!$G$6:$G$3965,'Vendor Months'!$A$6:$A$3965,$AS$1,'Vendor Months'!$C$6:$C$3965,A32,'Vendor Months'!$J$6:$J$3965,"SUPPORT")</f>
        <v>106.09</v>
      </c>
      <c r="V32" s="10" t="n">
        <f aca="false">SUMIFS('Vendor Months'!$G$6:$G$3965,'Vendor Months'!$A$6:$A$3965,$AS$1,'Vendor Months'!$C$6:$C$3965,A32,'Vendor Months'!$J$6:$J$3965,"MARKETING")</f>
        <v>439.923486967909</v>
      </c>
      <c r="W32" s="10" t="n">
        <f aca="false">SUMIFS('Vendor Months'!$G$6:$G$3965,'Vendor Months'!$A$6:$A$3965,$AS$1,'Vendor Months'!$C$6:$C$3965,A32,'Vendor Months'!$J$6:$J$3965,"ONBOARD")</f>
        <v>159.135</v>
      </c>
      <c r="X32" s="10" t="n">
        <f aca="false">SUMIFS('Vendor Months'!$G$6:$G$3965,'Vendor Months'!$A$6:$A$3965,$AS$1,'Vendor Months'!$C$6:$C$3965,A32,'Vendor Months'!$J$6:$J$3965,"AI")</f>
        <v>0</v>
      </c>
      <c r="Y32" s="10" t="n">
        <f aca="false">SUMIFS('Vendor Months'!$G$6:$G$3965,'Vendor Months'!$A$6:$A$3965,$AS$1,'Vendor Months'!$C$6:$C$3965,A32,'Vendor Months'!$J$6:$J$3965,"CTMS")</f>
        <v>0</v>
      </c>
      <c r="Z32" s="10" t="n">
        <f aca="false">SUM(N32:Y32)</f>
        <v>3000.36516262294</v>
      </c>
      <c r="AA32" s="10" t="n">
        <f aca="false">(SUM(K32:M32)+Z32)*Assumptions!$C$12</f>
        <v>8071.12901626229</v>
      </c>
      <c r="AB32" s="10" t="n">
        <f aca="false">AD32*Assumptions!$C$29</f>
        <v>82.9340158295614</v>
      </c>
      <c r="AC32" s="10" t="n">
        <f aca="false">SUM(K32:M32)+Z32+AA32+AB32</f>
        <v>88865.3531947148</v>
      </c>
      <c r="AD32" s="10" t="n">
        <f aca="false">D32*Assumptions!$C$17</f>
        <v>2764.46719431871</v>
      </c>
      <c r="AE32" s="10" t="n">
        <f aca="false">AD32*12</f>
        <v>33173.6063318246</v>
      </c>
      <c r="AF32" s="10" t="n">
        <f aca="false">AC32-AD32</f>
        <v>86100.8860003961</v>
      </c>
      <c r="AG32" s="10" t="n">
        <f aca="false">IF(A32=Assumptions!$C$7,Assumptions!$C$8,0)</f>
        <v>0</v>
      </c>
      <c r="AH32" s="10" t="n">
        <f aca="false">AI31</f>
        <v>-377215.064454157</v>
      </c>
      <c r="AI32" s="10" t="n">
        <f aca="false">AH32+AG32-AF32</f>
        <v>-463315.950454553</v>
      </c>
      <c r="AJ32" s="10" t="n">
        <f aca="false">SUM($AC$6:AC32)</f>
        <v>1981782.60469429</v>
      </c>
      <c r="AK32" s="10" t="n">
        <f aca="false">MAX(0,-AI32)</f>
        <v>463315.950454553</v>
      </c>
      <c r="AL32" s="10" t="n">
        <f aca="false">Assumptions!$C$6+SUM($AG$6:AG32)-AJ32</f>
        <v>-481782.604694291</v>
      </c>
      <c r="AM32" s="10" t="n">
        <f aca="false">SUMIFS('Vendor Months'!$H$6:$H$3965,'Vendor Months'!$A$6:$A$3965,$AS$1,'Vendor Months'!$C$6:$C$3965,A32)</f>
        <v>1962.665</v>
      </c>
      <c r="AN32" s="10" t="n">
        <f aca="false">X32+Y32</f>
        <v>0</v>
      </c>
      <c r="AO32" s="10" t="n">
        <f aca="false">SUMIFS('Staff Months'!$I$6:$I$2345,'Staff Months'!$A$6:$A$2345,$AS$1,'Staff Months'!$C$6:$C$2345,A32)</f>
        <v>9945.9375</v>
      </c>
      <c r="AP32" s="10" t="n">
        <f aca="false">SUM($AF$6:AF32)</f>
        <v>1963315.95045455</v>
      </c>
      <c r="AQ32" s="10" t="n">
        <f aca="false">AC32</f>
        <v>88865.3531947148</v>
      </c>
      <c r="AR32" s="26" t="n">
        <f aca="false">IF(AI32&lt;0,1,0)</f>
        <v>1</v>
      </c>
      <c r="AS32" s="6"/>
    </row>
    <row r="33" customFormat="false" ht="15" hidden="false" customHeight="false" outlineLevel="0" collapsed="false">
      <c r="A33" s="6" t="n">
        <v>28</v>
      </c>
      <c r="B33" s="25" t="n">
        <f aca="false">EDATE('Start Here'!$B$6,A33-1)</f>
        <v>47150</v>
      </c>
      <c r="C33" s="11" t="n">
        <f aca="false">IF(A33&gt;=Assumptions!$C$13,Assumptions!$C$14*(1+Assumptions!$C$15)^INT((A33-Assumptions!$C$13)/12),0)</f>
        <v>0.625</v>
      </c>
      <c r="D33" s="11" t="n">
        <f aca="false">D32*(1-Assumptions!$C$16)+C33</f>
        <v>6.07100037280787</v>
      </c>
      <c r="E33" s="11" t="n">
        <f aca="false">D33*Assumptions!$C$18</f>
        <v>48.5680029824629</v>
      </c>
      <c r="F33" s="11" t="n">
        <f aca="false">E33*Assumptions!$C$19*30/1000000</f>
        <v>0.145704008947389</v>
      </c>
      <c r="G33" s="11" t="n">
        <f aca="false">D33*Assumptions!$C$20</f>
        <v>12.1420007456157</v>
      </c>
      <c r="H33" s="11" t="n">
        <f aca="false">D33*Assumptions!$C$21</f>
        <v>3.03550018640393</v>
      </c>
      <c r="I33" s="11" t="n">
        <f aca="false">SUMIFS('Staff Months'!$E$6:$E$2345,'Staff Months'!$A$6:$A$2345,$AS$1,'Staff Months'!$C$6:$C$2345,A33)</f>
        <v>5.4</v>
      </c>
      <c r="J33" s="11" t="n">
        <f aca="false">SUMIFS('Staff Months'!$L$6:$L$2345,'Staff Months'!$A$6:$A$2345,$AS$1,'Staff Months'!$C$6:$C$2345,A33)</f>
        <v>9</v>
      </c>
      <c r="K33" s="10" t="n">
        <f aca="false">SUMIFS('Staff Months'!$H$6:$H$2345,'Staff Months'!$A$6:$A$2345,$AS$1,'Staff Months'!$C$6:$C$2345,A33)</f>
        <v>77710.925</v>
      </c>
      <c r="L33" s="10" t="n">
        <f aca="false">SUMIFS('Staff Months'!$J$6:$J$2345,'Staff Months'!$A$6:$A$2345,$AS$1,'Staff Months'!$C$6:$C$2345,A33)</f>
        <v>0</v>
      </c>
      <c r="M33" s="10" t="n">
        <f aca="false">SUMIFS('Staff Months'!$K$6:$K$2345,'Staff Months'!$A$6:$A$2345,$AS$1,'Staff Months'!$C$6:$C$2345,A33)</f>
        <v>0</v>
      </c>
      <c r="N33" s="10" t="n">
        <f aca="false">SUMIFS('Vendor Months'!$G$6:$G$3965,'Vendor Months'!$A$6:$A$3965,$AS$1,'Vendor Months'!$C$6:$C$3965,A33,'Vendor Months'!$J$6:$J$3965,"INFRA")</f>
        <v>1348.7963495202</v>
      </c>
      <c r="O33" s="10" t="n">
        <f aca="false">SUMIFS('Vendor Months'!$G$6:$G$3965,'Vendor Months'!$A$6:$A$3965,$AS$1,'Vendor Months'!$C$6:$C$3965,A33,'Vendor Months'!$J$6:$J$3965,"TOOLS")</f>
        <v>311.9046</v>
      </c>
      <c r="P33" s="10" t="n">
        <f aca="false">SUMIFS('Vendor Months'!$G$6:$G$3965,'Vendor Months'!$A$6:$A$3965,$AS$1,'Vendor Months'!$C$6:$C$3965,A33,'Vendor Months'!$J$6:$J$3965,"LEGAL")</f>
        <v>0</v>
      </c>
      <c r="Q33" s="10" t="n">
        <f aca="false">SUMIFS('Vendor Months'!$G$6:$G$3965,'Vendor Months'!$A$6:$A$3965,$AS$1,'Vendor Months'!$C$6:$C$3965,A33,'Vendor Months'!$J$6:$J$3965,"SECURITY")</f>
        <v>0</v>
      </c>
      <c r="R33" s="10" t="n">
        <f aca="false">SUMIFS('Vendor Months'!$G$6:$G$3965,'Vendor Months'!$A$6:$A$3965,$AS$1,'Vendor Months'!$C$6:$C$3965,A33,'Vendor Months'!$J$6:$J$3965,"COMPLIANCE")</f>
        <v>0</v>
      </c>
      <c r="S33" s="10" t="n">
        <f aca="false">SUMIFS('Vendor Months'!$G$6:$G$3965,'Vendor Months'!$A$6:$A$3965,$AS$1,'Vendor Months'!$C$6:$C$3965,A33,'Vendor Months'!$J$6:$J$3965,"INSURANCE")</f>
        <v>0</v>
      </c>
      <c r="T33" s="10" t="n">
        <f aca="false">SUMIFS('Vendor Months'!$G$6:$G$3965,'Vendor Months'!$A$6:$A$3965,$AS$1,'Vendor Months'!$C$6:$C$3965,A33,'Vendor Months'!$J$6:$J$3965,"ACCOUNTING")</f>
        <v>636.54</v>
      </c>
      <c r="U33" s="10" t="n">
        <f aca="false">SUMIFS('Vendor Months'!$G$6:$G$3965,'Vendor Months'!$A$6:$A$3965,$AS$1,'Vendor Months'!$C$6:$C$3965,A33,'Vendor Months'!$J$6:$J$3965,"SUPPORT")</f>
        <v>106.09</v>
      </c>
      <c r="V33" s="10" t="n">
        <f aca="false">SUMIFS('Vendor Months'!$G$6:$G$3965,'Vendor Months'!$A$6:$A$3965,$AS$1,'Vendor Months'!$C$6:$C$3965,A33,'Vendor Months'!$J$6:$J$3965,"MARKETING")</f>
        <v>483.05432216339</v>
      </c>
      <c r="W33" s="10" t="n">
        <f aca="false">SUMIFS('Vendor Months'!$G$6:$G$3965,'Vendor Months'!$A$6:$A$3965,$AS$1,'Vendor Months'!$C$6:$C$3965,A33,'Vendor Months'!$J$6:$J$3965,"ONBOARD")</f>
        <v>198.91875</v>
      </c>
      <c r="X33" s="10" t="n">
        <f aca="false">SUMIFS('Vendor Months'!$G$6:$G$3965,'Vendor Months'!$A$6:$A$3965,$AS$1,'Vendor Months'!$C$6:$C$3965,A33,'Vendor Months'!$J$6:$J$3965,"AI")</f>
        <v>0</v>
      </c>
      <c r="Y33" s="10" t="n">
        <f aca="false">SUMIFS('Vendor Months'!$G$6:$G$3965,'Vendor Months'!$A$6:$A$3965,$AS$1,'Vendor Months'!$C$6:$C$3965,A33,'Vendor Months'!$J$6:$J$3965,"CTMS")</f>
        <v>0</v>
      </c>
      <c r="Z33" s="10" t="n">
        <f aca="false">SUM(N33:Y33)</f>
        <v>3085.30402168359</v>
      </c>
      <c r="AA33" s="10" t="n">
        <f aca="false">(SUM(K33:M33)+Z33)*Assumptions!$C$12</f>
        <v>8079.62290216836</v>
      </c>
      <c r="AB33" s="10" t="n">
        <f aca="false">AD33*Assumptions!$C$29</f>
        <v>91.065005592118</v>
      </c>
      <c r="AC33" s="10" t="n">
        <f aca="false">SUM(K33:M33)+Z33+AA33+AB33</f>
        <v>88966.9169294441</v>
      </c>
      <c r="AD33" s="10" t="n">
        <f aca="false">D33*Assumptions!$C$17</f>
        <v>3035.50018640393</v>
      </c>
      <c r="AE33" s="10" t="n">
        <f aca="false">AD33*12</f>
        <v>36426.0022368472</v>
      </c>
      <c r="AF33" s="10" t="n">
        <f aca="false">AC33-AD33</f>
        <v>85931.4167430401</v>
      </c>
      <c r="AG33" s="10" t="n">
        <f aca="false">IF(A33=Assumptions!$C$7,Assumptions!$C$8,0)</f>
        <v>0</v>
      </c>
      <c r="AH33" s="10" t="n">
        <f aca="false">AI32</f>
        <v>-463315.950454553</v>
      </c>
      <c r="AI33" s="10" t="n">
        <f aca="false">AH33+AG33-AF33</f>
        <v>-549247.367197593</v>
      </c>
      <c r="AJ33" s="10" t="n">
        <f aca="false">SUM($AC$6:AC33)</f>
        <v>2070749.52162373</v>
      </c>
      <c r="AK33" s="10" t="n">
        <f aca="false">MAX(0,-AI33)</f>
        <v>549247.367197593</v>
      </c>
      <c r="AL33" s="10" t="n">
        <f aca="false">Assumptions!$C$6+SUM($AG$6:AG33)-AJ33</f>
        <v>-570749.521623735</v>
      </c>
      <c r="AM33" s="10" t="n">
        <f aca="false">SUMIFS('Vendor Months'!$H$6:$H$3965,'Vendor Months'!$A$6:$A$3965,$AS$1,'Vendor Months'!$C$6:$C$3965,A33)</f>
        <v>1962.665</v>
      </c>
      <c r="AN33" s="10" t="n">
        <f aca="false">X33+Y33</f>
        <v>0</v>
      </c>
      <c r="AO33" s="10" t="n">
        <f aca="false">SUMIFS('Staff Months'!$I$6:$I$2345,'Staff Months'!$A$6:$A$2345,$AS$1,'Staff Months'!$C$6:$C$2345,A33)</f>
        <v>9945.9375</v>
      </c>
      <c r="AP33" s="10" t="n">
        <f aca="false">SUM($AF$6:AF33)</f>
        <v>2049247.36719759</v>
      </c>
      <c r="AQ33" s="10" t="n">
        <f aca="false">AC33</f>
        <v>88966.9169294441</v>
      </c>
      <c r="AR33" s="26" t="n">
        <f aca="false">IF(AI33&lt;0,1,0)</f>
        <v>1</v>
      </c>
      <c r="AS33" s="6"/>
    </row>
    <row r="34" customFormat="false" ht="15" hidden="false" customHeight="false" outlineLevel="0" collapsed="false">
      <c r="A34" s="6" t="n">
        <v>29</v>
      </c>
      <c r="B34" s="25" t="n">
        <f aca="false">EDATE('Start Here'!$B$6,A34-1)</f>
        <v>47178</v>
      </c>
      <c r="C34" s="11" t="n">
        <f aca="false">IF(A34&gt;=Assumptions!$C$13,Assumptions!$C$14*(1+Assumptions!$C$15)^INT((A34-Assumptions!$C$13)/12),0)</f>
        <v>0.625</v>
      </c>
      <c r="D34" s="11" t="n">
        <f aca="false">D33*(1-Assumptions!$C$16)+C34</f>
        <v>6.60493536721575</v>
      </c>
      <c r="E34" s="11" t="n">
        <f aca="false">D34*Assumptions!$C$18</f>
        <v>52.839482937726</v>
      </c>
      <c r="F34" s="11" t="n">
        <f aca="false">E34*Assumptions!$C$19*30/1000000</f>
        <v>0.158518448813178</v>
      </c>
      <c r="G34" s="11" t="n">
        <f aca="false">D34*Assumptions!$C$20</f>
        <v>13.2098707344315</v>
      </c>
      <c r="H34" s="11" t="n">
        <f aca="false">D34*Assumptions!$C$21</f>
        <v>3.30246768360788</v>
      </c>
      <c r="I34" s="11" t="n">
        <f aca="false">SUMIFS('Staff Months'!$E$6:$E$2345,'Staff Months'!$A$6:$A$2345,$AS$1,'Staff Months'!$C$6:$C$2345,A34)</f>
        <v>5.4</v>
      </c>
      <c r="J34" s="11" t="n">
        <f aca="false">SUMIFS('Staff Months'!$L$6:$L$2345,'Staff Months'!$A$6:$A$2345,$AS$1,'Staff Months'!$C$6:$C$2345,A34)</f>
        <v>9</v>
      </c>
      <c r="K34" s="10" t="n">
        <f aca="false">SUMIFS('Staff Months'!$H$6:$H$2345,'Staff Months'!$A$6:$A$2345,$AS$1,'Staff Months'!$C$6:$C$2345,A34)</f>
        <v>77710.925</v>
      </c>
      <c r="L34" s="10" t="n">
        <f aca="false">SUMIFS('Staff Months'!$J$6:$J$2345,'Staff Months'!$A$6:$A$2345,$AS$1,'Staff Months'!$C$6:$C$2345,A34)</f>
        <v>0</v>
      </c>
      <c r="M34" s="10" t="n">
        <f aca="false">SUMIFS('Staff Months'!$K$6:$K$2345,'Staff Months'!$A$6:$A$2345,$AS$1,'Staff Months'!$C$6:$C$2345,A34)</f>
        <v>0</v>
      </c>
      <c r="N34" s="10" t="n">
        <f aca="false">SUMIFS('Vendor Months'!$G$6:$G$3965,'Vendor Months'!$A$6:$A$3965,$AS$1,'Vendor Months'!$C$6:$C$3965,A34,'Vendor Months'!$J$6:$J$3965,"INFRA")</f>
        <v>1350.7902592774</v>
      </c>
      <c r="O34" s="10" t="n">
        <f aca="false">SUMIFS('Vendor Months'!$G$6:$G$3965,'Vendor Months'!$A$6:$A$3965,$AS$1,'Vendor Months'!$C$6:$C$3965,A34,'Vendor Months'!$J$6:$J$3965,"TOOLS")</f>
        <v>311.9046</v>
      </c>
      <c r="P34" s="10" t="n">
        <f aca="false">SUMIFS('Vendor Months'!$G$6:$G$3965,'Vendor Months'!$A$6:$A$3965,$AS$1,'Vendor Months'!$C$6:$C$3965,A34,'Vendor Months'!$J$6:$J$3965,"LEGAL")</f>
        <v>0</v>
      </c>
      <c r="Q34" s="10" t="n">
        <f aca="false">SUMIFS('Vendor Months'!$G$6:$G$3965,'Vendor Months'!$A$6:$A$3965,$AS$1,'Vendor Months'!$C$6:$C$3965,A34,'Vendor Months'!$J$6:$J$3965,"SECURITY")</f>
        <v>0</v>
      </c>
      <c r="R34" s="10" t="n">
        <f aca="false">SUMIFS('Vendor Months'!$G$6:$G$3965,'Vendor Months'!$A$6:$A$3965,$AS$1,'Vendor Months'!$C$6:$C$3965,A34,'Vendor Months'!$J$6:$J$3965,"COMPLIANCE")</f>
        <v>0</v>
      </c>
      <c r="S34" s="10" t="n">
        <f aca="false">SUMIFS('Vendor Months'!$G$6:$G$3965,'Vendor Months'!$A$6:$A$3965,$AS$1,'Vendor Months'!$C$6:$C$3965,A34,'Vendor Months'!$J$6:$J$3965,"INSURANCE")</f>
        <v>0</v>
      </c>
      <c r="T34" s="10" t="n">
        <f aca="false">SUMIFS('Vendor Months'!$G$6:$G$3965,'Vendor Months'!$A$6:$A$3965,$AS$1,'Vendor Months'!$C$6:$C$3965,A34,'Vendor Months'!$J$6:$J$3965,"ACCOUNTING")</f>
        <v>636.54</v>
      </c>
      <c r="U34" s="10" t="n">
        <f aca="false">SUMIFS('Vendor Months'!$G$6:$G$3965,'Vendor Months'!$A$6:$A$3965,$AS$1,'Vendor Months'!$C$6:$C$3965,A34,'Vendor Months'!$J$6:$J$3965,"SUPPORT")</f>
        <v>106.09</v>
      </c>
      <c r="V34" s="10" t="n">
        <f aca="false">SUMIFS('Vendor Months'!$G$6:$G$3965,'Vendor Months'!$A$6:$A$3965,$AS$1,'Vendor Months'!$C$6:$C$3965,A34,'Vendor Months'!$J$6:$J$3965,"MARKETING")</f>
        <v>525.538194830939</v>
      </c>
      <c r="W34" s="10" t="n">
        <f aca="false">SUMIFS('Vendor Months'!$G$6:$G$3965,'Vendor Months'!$A$6:$A$3965,$AS$1,'Vendor Months'!$C$6:$C$3965,A34,'Vendor Months'!$J$6:$J$3965,"ONBOARD")</f>
        <v>198.91875</v>
      </c>
      <c r="X34" s="10" t="n">
        <f aca="false">SUMIFS('Vendor Months'!$G$6:$G$3965,'Vendor Months'!$A$6:$A$3965,$AS$1,'Vendor Months'!$C$6:$C$3965,A34,'Vendor Months'!$J$6:$J$3965,"AI")</f>
        <v>0</v>
      </c>
      <c r="Y34" s="10" t="n">
        <f aca="false">SUMIFS('Vendor Months'!$G$6:$G$3965,'Vendor Months'!$A$6:$A$3965,$AS$1,'Vendor Months'!$C$6:$C$3965,A34,'Vendor Months'!$J$6:$J$3965,"CTMS")</f>
        <v>0</v>
      </c>
      <c r="Z34" s="10" t="n">
        <f aca="false">SUM(N34:Y34)</f>
        <v>3129.78180410834</v>
      </c>
      <c r="AA34" s="10" t="n">
        <f aca="false">(SUM(K34:M34)+Z34)*Assumptions!$C$12</f>
        <v>8084.07068041083</v>
      </c>
      <c r="AB34" s="10" t="n">
        <f aca="false">AD34*Assumptions!$C$29</f>
        <v>99.0740305082362</v>
      </c>
      <c r="AC34" s="10" t="n">
        <f aca="false">SUM(K34:M34)+Z34+AA34+AB34</f>
        <v>89023.8515150274</v>
      </c>
      <c r="AD34" s="10" t="n">
        <f aca="false">D34*Assumptions!$C$17</f>
        <v>3302.46768360787</v>
      </c>
      <c r="AE34" s="10" t="n">
        <f aca="false">AD34*12</f>
        <v>39629.6122032945</v>
      </c>
      <c r="AF34" s="10" t="n">
        <f aca="false">AC34-AD34</f>
        <v>85721.3838314195</v>
      </c>
      <c r="AG34" s="10" t="n">
        <f aca="false">IF(A34=Assumptions!$C$7,Assumptions!$C$8,0)</f>
        <v>0</v>
      </c>
      <c r="AH34" s="10" t="n">
        <f aca="false">AI33</f>
        <v>-549247.367197593</v>
      </c>
      <c r="AI34" s="10" t="n">
        <f aca="false">AH34+AG34-AF34</f>
        <v>-634968.751029013</v>
      </c>
      <c r="AJ34" s="10" t="n">
        <f aca="false">SUM($AC$6:AC34)</f>
        <v>2159773.37313876</v>
      </c>
      <c r="AK34" s="10" t="n">
        <f aca="false">MAX(0,-AI34)</f>
        <v>634968.751029013</v>
      </c>
      <c r="AL34" s="10" t="n">
        <f aca="false">Assumptions!$C$6+SUM($AG$6:AG34)-AJ34</f>
        <v>-659773.373138762</v>
      </c>
      <c r="AM34" s="10" t="n">
        <f aca="false">SUMIFS('Vendor Months'!$H$6:$H$3965,'Vendor Months'!$A$6:$A$3965,$AS$1,'Vendor Months'!$C$6:$C$3965,A34)</f>
        <v>1962.665</v>
      </c>
      <c r="AN34" s="10" t="n">
        <f aca="false">X34+Y34</f>
        <v>0</v>
      </c>
      <c r="AO34" s="10" t="n">
        <f aca="false">SUMIFS('Staff Months'!$I$6:$I$2345,'Staff Months'!$A$6:$A$2345,$AS$1,'Staff Months'!$C$6:$C$2345,A34)</f>
        <v>9945.9375</v>
      </c>
      <c r="AP34" s="10" t="n">
        <f aca="false">SUM($AF$6:AF34)</f>
        <v>2134968.75102901</v>
      </c>
      <c r="AQ34" s="10" t="n">
        <f aca="false">AC34</f>
        <v>89023.8515150274</v>
      </c>
      <c r="AR34" s="26" t="n">
        <f aca="false">IF(AI34&lt;0,1,0)</f>
        <v>1</v>
      </c>
      <c r="AS34" s="6"/>
    </row>
    <row r="35" customFormat="false" ht="15" hidden="false" customHeight="false" outlineLevel="0" collapsed="false">
      <c r="A35" s="6" t="n">
        <v>30</v>
      </c>
      <c r="B35" s="25" t="n">
        <f aca="false">EDATE('Start Here'!$B$6,A35-1)</f>
        <v>47209</v>
      </c>
      <c r="C35" s="11" t="n">
        <f aca="false">IF(A35&gt;=Assumptions!$C$13,Assumptions!$C$14*(1+Assumptions!$C$15)^INT((A35-Assumptions!$C$13)/12),0)</f>
        <v>0.625</v>
      </c>
      <c r="D35" s="11" t="n">
        <f aca="false">D34*(1-Assumptions!$C$16)+C35</f>
        <v>7.13086133670751</v>
      </c>
      <c r="E35" s="11" t="n">
        <f aca="false">D35*Assumptions!$C$18</f>
        <v>57.0468906936601</v>
      </c>
      <c r="F35" s="11" t="n">
        <f aca="false">E35*Assumptions!$C$19*30/1000000</f>
        <v>0.17114067208098</v>
      </c>
      <c r="G35" s="11" t="n">
        <f aca="false">D35*Assumptions!$C$20</f>
        <v>14.261722673415</v>
      </c>
      <c r="H35" s="11" t="n">
        <f aca="false">D35*Assumptions!$C$21</f>
        <v>3.56543066835376</v>
      </c>
      <c r="I35" s="11" t="n">
        <f aca="false">SUMIFS('Staff Months'!$E$6:$E$2345,'Staff Months'!$A$6:$A$2345,$AS$1,'Staff Months'!$C$6:$C$2345,A35)</f>
        <v>5.4</v>
      </c>
      <c r="J35" s="11" t="n">
        <f aca="false">SUMIFS('Staff Months'!$L$6:$L$2345,'Staff Months'!$A$6:$A$2345,$AS$1,'Staff Months'!$C$6:$C$2345,A35)</f>
        <v>9</v>
      </c>
      <c r="K35" s="10" t="n">
        <f aca="false">SUMIFS('Staff Months'!$H$6:$H$2345,'Staff Months'!$A$6:$A$2345,$AS$1,'Staff Months'!$C$6:$C$2345,A35)</f>
        <v>77710.925</v>
      </c>
      <c r="L35" s="10" t="n">
        <f aca="false">SUMIFS('Staff Months'!$J$6:$J$2345,'Staff Months'!$A$6:$A$2345,$AS$1,'Staff Months'!$C$6:$C$2345,A35)</f>
        <v>0</v>
      </c>
      <c r="M35" s="10" t="n">
        <f aca="false">SUMIFS('Staff Months'!$K$6:$K$2345,'Staff Months'!$A$6:$A$2345,$AS$1,'Staff Months'!$C$6:$C$2345,A35)</f>
        <v>0</v>
      </c>
      <c r="N35" s="10" t="n">
        <f aca="false">SUMIFS('Vendor Months'!$G$6:$G$3965,'Vendor Months'!$A$6:$A$3965,$AS$1,'Vendor Months'!$C$6:$C$3965,A35,'Vendor Months'!$J$6:$J$3965,"INFRA")</f>
        <v>1352.75426038824</v>
      </c>
      <c r="O35" s="10" t="n">
        <f aca="false">SUMIFS('Vendor Months'!$G$6:$G$3965,'Vendor Months'!$A$6:$A$3965,$AS$1,'Vendor Months'!$C$6:$C$3965,A35,'Vendor Months'!$J$6:$J$3965,"TOOLS")</f>
        <v>311.9046</v>
      </c>
      <c r="P35" s="10" t="n">
        <f aca="false">SUMIFS('Vendor Months'!$G$6:$G$3965,'Vendor Months'!$A$6:$A$3965,$AS$1,'Vendor Months'!$C$6:$C$3965,A35,'Vendor Months'!$J$6:$J$3965,"LEGAL")</f>
        <v>0</v>
      </c>
      <c r="Q35" s="10" t="n">
        <f aca="false">SUMIFS('Vendor Months'!$G$6:$G$3965,'Vendor Months'!$A$6:$A$3965,$AS$1,'Vendor Months'!$C$6:$C$3965,A35,'Vendor Months'!$J$6:$J$3965,"SECURITY")</f>
        <v>0</v>
      </c>
      <c r="R35" s="10" t="n">
        <f aca="false">SUMIFS('Vendor Months'!$G$6:$G$3965,'Vendor Months'!$A$6:$A$3965,$AS$1,'Vendor Months'!$C$6:$C$3965,A35,'Vendor Months'!$J$6:$J$3965,"COMPLIANCE")</f>
        <v>0</v>
      </c>
      <c r="S35" s="10" t="n">
        <f aca="false">SUMIFS('Vendor Months'!$G$6:$G$3965,'Vendor Months'!$A$6:$A$3965,$AS$1,'Vendor Months'!$C$6:$C$3965,A35,'Vendor Months'!$J$6:$J$3965,"INSURANCE")</f>
        <v>0</v>
      </c>
      <c r="T35" s="10" t="n">
        <f aca="false">SUMIFS('Vendor Months'!$G$6:$G$3965,'Vendor Months'!$A$6:$A$3965,$AS$1,'Vendor Months'!$C$6:$C$3965,A35,'Vendor Months'!$J$6:$J$3965,"ACCOUNTING")</f>
        <v>636.54</v>
      </c>
      <c r="U35" s="10" t="n">
        <f aca="false">SUMIFS('Vendor Months'!$G$6:$G$3965,'Vendor Months'!$A$6:$A$3965,$AS$1,'Vendor Months'!$C$6:$C$3965,A35,'Vendor Months'!$J$6:$J$3965,"SUPPORT")</f>
        <v>106.09</v>
      </c>
      <c r="V35" s="10" t="n">
        <f aca="false">SUMIFS('Vendor Months'!$G$6:$G$3965,'Vendor Months'!$A$6:$A$3965,$AS$1,'Vendor Months'!$C$6:$C$3965,A35,'Vendor Months'!$J$6:$J$3965,"MARKETING")</f>
        <v>567.384809408475</v>
      </c>
      <c r="W35" s="10" t="n">
        <f aca="false">SUMIFS('Vendor Months'!$G$6:$G$3965,'Vendor Months'!$A$6:$A$3965,$AS$1,'Vendor Months'!$C$6:$C$3965,A35,'Vendor Months'!$J$6:$J$3965,"ONBOARD")</f>
        <v>198.91875</v>
      </c>
      <c r="X35" s="10" t="n">
        <f aca="false">SUMIFS('Vendor Months'!$G$6:$G$3965,'Vendor Months'!$A$6:$A$3965,$AS$1,'Vendor Months'!$C$6:$C$3965,A35,'Vendor Months'!$J$6:$J$3965,"AI")</f>
        <v>0</v>
      </c>
      <c r="Y35" s="10" t="n">
        <f aca="false">SUMIFS('Vendor Months'!$G$6:$G$3965,'Vendor Months'!$A$6:$A$3965,$AS$1,'Vendor Months'!$C$6:$C$3965,A35,'Vendor Months'!$J$6:$J$3965,"CTMS")</f>
        <v>0</v>
      </c>
      <c r="Z35" s="10" t="n">
        <f aca="false">SUM(N35:Y35)</f>
        <v>3173.59241979671</v>
      </c>
      <c r="AA35" s="10" t="n">
        <f aca="false">(SUM(K35:M35)+Z35)*Assumptions!$C$12</f>
        <v>8088.45174197967</v>
      </c>
      <c r="AB35" s="10" t="n">
        <f aca="false">AD35*Assumptions!$C$29</f>
        <v>106.962920050613</v>
      </c>
      <c r="AC35" s="10" t="n">
        <f aca="false">SUM(K35:M35)+Z35+AA35+AB35</f>
        <v>89079.932081827</v>
      </c>
      <c r="AD35" s="10" t="n">
        <f aca="false">D35*Assumptions!$C$17</f>
        <v>3565.43066835376</v>
      </c>
      <c r="AE35" s="10" t="n">
        <f aca="false">AD35*12</f>
        <v>42785.1680202451</v>
      </c>
      <c r="AF35" s="10" t="n">
        <f aca="false">AC35-AD35</f>
        <v>85514.5014134733</v>
      </c>
      <c r="AG35" s="10" t="n">
        <f aca="false">IF(A35=Assumptions!$C$7,Assumptions!$C$8,0)</f>
        <v>0</v>
      </c>
      <c r="AH35" s="10" t="n">
        <f aca="false">AI34</f>
        <v>-634968.751029013</v>
      </c>
      <c r="AI35" s="10" t="n">
        <f aca="false">AH35+AG35-AF35</f>
        <v>-720483.252442486</v>
      </c>
      <c r="AJ35" s="10" t="n">
        <f aca="false">SUM($AC$6:AC35)</f>
        <v>2248853.30522059</v>
      </c>
      <c r="AK35" s="10" t="n">
        <f aca="false">MAX(0,-AI35)</f>
        <v>720483.252442486</v>
      </c>
      <c r="AL35" s="10" t="n">
        <f aca="false">Assumptions!$C$6+SUM($AG$6:AG35)-AJ35</f>
        <v>-748853.305220589</v>
      </c>
      <c r="AM35" s="10" t="n">
        <f aca="false">SUMIFS('Vendor Months'!$H$6:$H$3965,'Vendor Months'!$A$6:$A$3965,$AS$1,'Vendor Months'!$C$6:$C$3965,A35)</f>
        <v>1962.665</v>
      </c>
      <c r="AN35" s="10" t="n">
        <f aca="false">X35+Y35</f>
        <v>0</v>
      </c>
      <c r="AO35" s="10" t="n">
        <f aca="false">SUMIFS('Staff Months'!$I$6:$I$2345,'Staff Months'!$A$6:$A$2345,$AS$1,'Staff Months'!$C$6:$C$2345,A35)</f>
        <v>9945.9375</v>
      </c>
      <c r="AP35" s="10" t="n">
        <f aca="false">SUM($AF$6:AF35)</f>
        <v>2220483.25244249</v>
      </c>
      <c r="AQ35" s="10" t="n">
        <f aca="false">AC35</f>
        <v>89079.932081827</v>
      </c>
      <c r="AR35" s="26" t="n">
        <f aca="false">IF(AI35&lt;0,1,0)</f>
        <v>1</v>
      </c>
      <c r="AS35" s="6"/>
    </row>
    <row r="36" customFormat="false" ht="15" hidden="false" customHeight="false" outlineLevel="0" collapsed="false">
      <c r="A36" s="6" t="n">
        <v>31</v>
      </c>
      <c r="B36" s="25" t="n">
        <f aca="false">EDATE('Start Here'!$B$6,A36-1)</f>
        <v>47239</v>
      </c>
      <c r="C36" s="11" t="n">
        <f aca="false">IF(A36&gt;=Assumptions!$C$13,Assumptions!$C$14*(1+Assumptions!$C$15)^INT((A36-Assumptions!$C$13)/12),0)</f>
        <v>0.625</v>
      </c>
      <c r="D36" s="11" t="n">
        <f aca="false">D35*(1-Assumptions!$C$16)+C36</f>
        <v>7.6488984166569</v>
      </c>
      <c r="E36" s="11" t="n">
        <f aca="false">D36*Assumptions!$C$18</f>
        <v>61.1911873332552</v>
      </c>
      <c r="F36" s="11" t="n">
        <f aca="false">E36*Assumptions!$C$19*30/1000000</f>
        <v>0.183573561999766</v>
      </c>
      <c r="G36" s="11" t="n">
        <f aca="false">D36*Assumptions!$C$20</f>
        <v>15.2977968333138</v>
      </c>
      <c r="H36" s="11" t="n">
        <f aca="false">D36*Assumptions!$C$21</f>
        <v>3.82444920832845</v>
      </c>
      <c r="I36" s="11" t="n">
        <f aca="false">SUMIFS('Staff Months'!$E$6:$E$2345,'Staff Months'!$A$6:$A$2345,$AS$1,'Staff Months'!$C$6:$C$2345,A36)</f>
        <v>6.95</v>
      </c>
      <c r="J36" s="11" t="n">
        <f aca="false">SUMIFS('Staff Months'!$L$6:$L$2345,'Staff Months'!$A$6:$A$2345,$AS$1,'Staff Months'!$C$6:$C$2345,A36)</f>
        <v>9</v>
      </c>
      <c r="K36" s="10" t="n">
        <f aca="false">SUMIFS('Staff Months'!$H$6:$H$2345,'Staff Months'!$A$6:$A$2345,$AS$1,'Staff Months'!$C$6:$C$2345,A36)</f>
        <v>99813.0083333333</v>
      </c>
      <c r="L36" s="10" t="n">
        <f aca="false">SUMIFS('Staff Months'!$J$6:$J$2345,'Staff Months'!$A$6:$A$2345,$AS$1,'Staff Months'!$C$6:$C$2345,A36)</f>
        <v>6250</v>
      </c>
      <c r="M36" s="10" t="n">
        <f aca="false">SUMIFS('Staff Months'!$K$6:$K$2345,'Staff Months'!$A$6:$A$2345,$AS$1,'Staff Months'!$C$6:$C$2345,A36)</f>
        <v>3875</v>
      </c>
      <c r="N36" s="10" t="n">
        <f aca="false">SUMIFS('Vendor Months'!$G$6:$G$3965,'Vendor Months'!$A$6:$A$3965,$AS$1,'Vendor Months'!$C$6:$C$3965,A36,'Vendor Months'!$J$6:$J$3965,"INFRA")</f>
        <v>1354.68880148241</v>
      </c>
      <c r="O36" s="10" t="n">
        <f aca="false">SUMIFS('Vendor Months'!$G$6:$G$3965,'Vendor Months'!$A$6:$A$3965,$AS$1,'Vendor Months'!$C$6:$C$3965,A36,'Vendor Months'!$J$6:$J$3965,"TOOLS")</f>
        <v>363.8887</v>
      </c>
      <c r="P36" s="10" t="n">
        <f aca="false">SUMIFS('Vendor Months'!$G$6:$G$3965,'Vendor Months'!$A$6:$A$3965,$AS$1,'Vendor Months'!$C$6:$C$3965,A36,'Vendor Months'!$J$6:$J$3965,"LEGAL")</f>
        <v>0</v>
      </c>
      <c r="Q36" s="10" t="n">
        <f aca="false">SUMIFS('Vendor Months'!$G$6:$G$3965,'Vendor Months'!$A$6:$A$3965,$AS$1,'Vendor Months'!$C$6:$C$3965,A36,'Vendor Months'!$J$6:$J$3965,"SECURITY")</f>
        <v>0</v>
      </c>
      <c r="R36" s="10" t="n">
        <f aca="false">SUMIFS('Vendor Months'!$G$6:$G$3965,'Vendor Months'!$A$6:$A$3965,$AS$1,'Vendor Months'!$C$6:$C$3965,A36,'Vendor Months'!$J$6:$J$3965,"COMPLIANCE")</f>
        <v>0</v>
      </c>
      <c r="S36" s="10" t="n">
        <f aca="false">SUMIFS('Vendor Months'!$G$6:$G$3965,'Vendor Months'!$A$6:$A$3965,$AS$1,'Vendor Months'!$C$6:$C$3965,A36,'Vendor Months'!$J$6:$J$3965,"INSURANCE")</f>
        <v>0</v>
      </c>
      <c r="T36" s="10" t="n">
        <f aca="false">SUMIFS('Vendor Months'!$G$6:$G$3965,'Vendor Months'!$A$6:$A$3965,$AS$1,'Vendor Months'!$C$6:$C$3965,A36,'Vendor Months'!$J$6:$J$3965,"ACCOUNTING")</f>
        <v>636.54</v>
      </c>
      <c r="U36" s="10" t="n">
        <f aca="false">SUMIFS('Vendor Months'!$G$6:$G$3965,'Vendor Months'!$A$6:$A$3965,$AS$1,'Vendor Months'!$C$6:$C$3965,A36,'Vendor Months'!$J$6:$J$3965,"SUPPORT")</f>
        <v>106.09</v>
      </c>
      <c r="V36" s="10" t="n">
        <f aca="false">SUMIFS('Vendor Months'!$G$6:$G$3965,'Vendor Months'!$A$6:$A$3965,$AS$1,'Vendor Months'!$C$6:$C$3965,A36,'Vendor Months'!$J$6:$J$3965,"MARKETING")</f>
        <v>608.603724767348</v>
      </c>
      <c r="W36" s="10" t="n">
        <f aca="false">SUMIFS('Vendor Months'!$G$6:$G$3965,'Vendor Months'!$A$6:$A$3965,$AS$1,'Vendor Months'!$C$6:$C$3965,A36,'Vendor Months'!$J$6:$J$3965,"ONBOARD")</f>
        <v>198.91875</v>
      </c>
      <c r="X36" s="10" t="n">
        <f aca="false">SUMIFS('Vendor Months'!$G$6:$G$3965,'Vendor Months'!$A$6:$A$3965,$AS$1,'Vendor Months'!$C$6:$C$3965,A36,'Vendor Months'!$J$6:$J$3965,"AI")</f>
        <v>0</v>
      </c>
      <c r="Y36" s="10" t="n">
        <f aca="false">SUMIFS('Vendor Months'!$G$6:$G$3965,'Vendor Months'!$A$6:$A$3965,$AS$1,'Vendor Months'!$C$6:$C$3965,A36,'Vendor Months'!$J$6:$J$3965,"CTMS")</f>
        <v>0</v>
      </c>
      <c r="Z36" s="10" t="n">
        <f aca="false">SUM(N36:Y36)</f>
        <v>3268.72997624976</v>
      </c>
      <c r="AA36" s="10" t="n">
        <f aca="false">(SUM(K36:M36)+Z36)*Assumptions!$C$12</f>
        <v>11320.6738309583</v>
      </c>
      <c r="AB36" s="10" t="n">
        <f aca="false">AD36*Assumptions!$C$29</f>
        <v>114.733476249854</v>
      </c>
      <c r="AC36" s="10" t="n">
        <f aca="false">SUM(K36:M36)+Z36+AA36+AB36</f>
        <v>124642.145616791</v>
      </c>
      <c r="AD36" s="10" t="n">
        <f aca="false">D36*Assumptions!$C$17</f>
        <v>3824.44920832845</v>
      </c>
      <c r="AE36" s="10" t="n">
        <f aca="false">AD36*12</f>
        <v>45893.3904999414</v>
      </c>
      <c r="AF36" s="10" t="n">
        <f aca="false">AC36-AD36</f>
        <v>120817.696408463</v>
      </c>
      <c r="AG36" s="10" t="n">
        <f aca="false">IF(A36=Assumptions!$C$7,Assumptions!$C$8,0)</f>
        <v>0</v>
      </c>
      <c r="AH36" s="10" t="n">
        <f aca="false">AI35</f>
        <v>-720483.252442486</v>
      </c>
      <c r="AI36" s="10" t="n">
        <f aca="false">AH36+AG36-AF36</f>
        <v>-841300.948850949</v>
      </c>
      <c r="AJ36" s="10" t="n">
        <f aca="false">SUM($AC$6:AC36)</f>
        <v>2373495.45083738</v>
      </c>
      <c r="AK36" s="10" t="n">
        <f aca="false">MAX(0,-AI36)</f>
        <v>841300.948850949</v>
      </c>
      <c r="AL36" s="10" t="n">
        <f aca="false">Assumptions!$C$6+SUM($AG$6:AG36)-AJ36</f>
        <v>-873495.45083738</v>
      </c>
      <c r="AM36" s="10" t="n">
        <f aca="false">SUMIFS('Vendor Months'!$H$6:$H$3965,'Vendor Months'!$A$6:$A$3965,$AS$1,'Vendor Months'!$C$6:$C$3965,A36)</f>
        <v>1962.665</v>
      </c>
      <c r="AN36" s="10" t="n">
        <f aca="false">X36+Y36</f>
        <v>0</v>
      </c>
      <c r="AO36" s="10" t="n">
        <f aca="false">SUMIFS('Staff Months'!$I$6:$I$2345,'Staff Months'!$A$6:$A$2345,$AS$1,'Staff Months'!$C$6:$C$2345,A36)</f>
        <v>9945.9375</v>
      </c>
      <c r="AP36" s="10" t="n">
        <f aca="false">SUM($AF$6:AF36)</f>
        <v>2341300.94885095</v>
      </c>
      <c r="AQ36" s="10" t="n">
        <f aca="false">AC36</f>
        <v>124642.145616791</v>
      </c>
      <c r="AR36" s="26" t="n">
        <f aca="false">IF(AI36&lt;0,1,0)</f>
        <v>1</v>
      </c>
      <c r="AS36" s="6"/>
    </row>
    <row r="37" customFormat="false" ht="15" hidden="false" customHeight="false" outlineLevel="0" collapsed="false">
      <c r="A37" s="6" t="n">
        <v>32</v>
      </c>
      <c r="B37" s="25" t="n">
        <f aca="false">EDATE('Start Here'!$B$6,A37-1)</f>
        <v>47270</v>
      </c>
      <c r="C37" s="11" t="n">
        <f aca="false">IF(A37&gt;=Assumptions!$C$13,Assumptions!$C$14*(1+Assumptions!$C$15)^INT((A37-Assumptions!$C$13)/12),0)</f>
        <v>0.625</v>
      </c>
      <c r="D37" s="11" t="n">
        <f aca="false">D36*(1-Assumptions!$C$16)+C37</f>
        <v>8.15916494040705</v>
      </c>
      <c r="E37" s="11" t="n">
        <f aca="false">D37*Assumptions!$C$18</f>
        <v>65.2733195232564</v>
      </c>
      <c r="F37" s="11" t="n">
        <f aca="false">E37*Assumptions!$C$19*30/1000000</f>
        <v>0.195819958569769</v>
      </c>
      <c r="G37" s="11" t="n">
        <f aca="false">D37*Assumptions!$C$20</f>
        <v>16.3183298808141</v>
      </c>
      <c r="H37" s="11" t="n">
        <f aca="false">D37*Assumptions!$C$21</f>
        <v>4.07958247020352</v>
      </c>
      <c r="I37" s="11" t="n">
        <f aca="false">SUMIFS('Staff Months'!$E$6:$E$2345,'Staff Months'!$A$6:$A$2345,$AS$1,'Staff Months'!$C$6:$C$2345,A37)</f>
        <v>6.95</v>
      </c>
      <c r="J37" s="11" t="n">
        <f aca="false">SUMIFS('Staff Months'!$L$6:$L$2345,'Staff Months'!$A$6:$A$2345,$AS$1,'Staff Months'!$C$6:$C$2345,A37)</f>
        <v>9</v>
      </c>
      <c r="K37" s="10" t="n">
        <f aca="false">SUMIFS('Staff Months'!$H$6:$H$2345,'Staff Months'!$A$6:$A$2345,$AS$1,'Staff Months'!$C$6:$C$2345,A37)</f>
        <v>99813.0083333333</v>
      </c>
      <c r="L37" s="10" t="n">
        <f aca="false">SUMIFS('Staff Months'!$J$6:$J$2345,'Staff Months'!$A$6:$A$2345,$AS$1,'Staff Months'!$C$6:$C$2345,A37)</f>
        <v>0</v>
      </c>
      <c r="M37" s="10" t="n">
        <f aca="false">SUMIFS('Staff Months'!$K$6:$K$2345,'Staff Months'!$A$6:$A$2345,$AS$1,'Staff Months'!$C$6:$C$2345,A37)</f>
        <v>0</v>
      </c>
      <c r="N37" s="10" t="n">
        <f aca="false">SUMIFS('Vendor Months'!$G$6:$G$3965,'Vendor Months'!$A$6:$A$3965,$AS$1,'Vendor Months'!$C$6:$C$3965,A37,'Vendor Months'!$J$6:$J$3965,"INFRA")</f>
        <v>1356.59432446018</v>
      </c>
      <c r="O37" s="10" t="n">
        <f aca="false">SUMIFS('Vendor Months'!$G$6:$G$3965,'Vendor Months'!$A$6:$A$3965,$AS$1,'Vendor Months'!$C$6:$C$3965,A37,'Vendor Months'!$J$6:$J$3965,"TOOLS")</f>
        <v>363.8887</v>
      </c>
      <c r="P37" s="10" t="n">
        <f aca="false">SUMIFS('Vendor Months'!$G$6:$G$3965,'Vendor Months'!$A$6:$A$3965,$AS$1,'Vendor Months'!$C$6:$C$3965,A37,'Vendor Months'!$J$6:$J$3965,"LEGAL")</f>
        <v>0</v>
      </c>
      <c r="Q37" s="10" t="n">
        <f aca="false">SUMIFS('Vendor Months'!$G$6:$G$3965,'Vendor Months'!$A$6:$A$3965,$AS$1,'Vendor Months'!$C$6:$C$3965,A37,'Vendor Months'!$J$6:$J$3965,"SECURITY")</f>
        <v>0</v>
      </c>
      <c r="R37" s="10" t="n">
        <f aca="false">SUMIFS('Vendor Months'!$G$6:$G$3965,'Vendor Months'!$A$6:$A$3965,$AS$1,'Vendor Months'!$C$6:$C$3965,A37,'Vendor Months'!$J$6:$J$3965,"COMPLIANCE")</f>
        <v>0</v>
      </c>
      <c r="S37" s="10" t="n">
        <f aca="false">SUMIFS('Vendor Months'!$G$6:$G$3965,'Vendor Months'!$A$6:$A$3965,$AS$1,'Vendor Months'!$C$6:$C$3965,A37,'Vendor Months'!$J$6:$J$3965,"INSURANCE")</f>
        <v>0</v>
      </c>
      <c r="T37" s="10" t="n">
        <f aca="false">SUMIFS('Vendor Months'!$G$6:$G$3965,'Vendor Months'!$A$6:$A$3965,$AS$1,'Vendor Months'!$C$6:$C$3965,A37,'Vendor Months'!$J$6:$J$3965,"ACCOUNTING")</f>
        <v>636.54</v>
      </c>
      <c r="U37" s="10" t="n">
        <f aca="false">SUMIFS('Vendor Months'!$G$6:$G$3965,'Vendor Months'!$A$6:$A$3965,$AS$1,'Vendor Months'!$C$6:$C$3965,A37,'Vendor Months'!$J$6:$J$3965,"SUPPORT")</f>
        <v>106.09</v>
      </c>
      <c r="V37" s="10" t="n">
        <f aca="false">SUMIFS('Vendor Months'!$G$6:$G$3965,'Vendor Months'!$A$6:$A$3965,$AS$1,'Vendor Months'!$C$6:$C$3965,A37,'Vendor Months'!$J$6:$J$3965,"MARKETING")</f>
        <v>649.204356395838</v>
      </c>
      <c r="W37" s="10" t="n">
        <f aca="false">SUMIFS('Vendor Months'!$G$6:$G$3965,'Vendor Months'!$A$6:$A$3965,$AS$1,'Vendor Months'!$C$6:$C$3965,A37,'Vendor Months'!$J$6:$J$3965,"ONBOARD")</f>
        <v>198.91875</v>
      </c>
      <c r="X37" s="10" t="n">
        <f aca="false">SUMIFS('Vendor Months'!$G$6:$G$3965,'Vendor Months'!$A$6:$A$3965,$AS$1,'Vendor Months'!$C$6:$C$3965,A37,'Vendor Months'!$J$6:$J$3965,"AI")</f>
        <v>0</v>
      </c>
      <c r="Y37" s="10" t="n">
        <f aca="false">SUMIFS('Vendor Months'!$G$6:$G$3965,'Vendor Months'!$A$6:$A$3965,$AS$1,'Vendor Months'!$C$6:$C$3965,A37,'Vendor Months'!$J$6:$J$3965,"CTMS")</f>
        <v>0</v>
      </c>
      <c r="Z37" s="10" t="n">
        <f aca="false">SUM(N37:Y37)</f>
        <v>3311.23613085602</v>
      </c>
      <c r="AA37" s="10" t="n">
        <f aca="false">(SUM(K37:M37)+Z37)*Assumptions!$C$12</f>
        <v>10312.4244464189</v>
      </c>
      <c r="AB37" s="10" t="n">
        <f aca="false">AD37*Assumptions!$C$29</f>
        <v>122.387474106106</v>
      </c>
      <c r="AC37" s="10" t="n">
        <f aca="false">SUM(K37:M37)+Z37+AA37+AB37</f>
        <v>113559.056384714</v>
      </c>
      <c r="AD37" s="10" t="n">
        <f aca="false">D37*Assumptions!$C$17</f>
        <v>4079.58247020352</v>
      </c>
      <c r="AE37" s="10" t="n">
        <f aca="false">AD37*12</f>
        <v>48954.9896424423</v>
      </c>
      <c r="AF37" s="10" t="n">
        <f aca="false">AC37-AD37</f>
        <v>109479.473914511</v>
      </c>
      <c r="AG37" s="10" t="n">
        <f aca="false">IF(A37=Assumptions!$C$7,Assumptions!$C$8,0)</f>
        <v>0</v>
      </c>
      <c r="AH37" s="10" t="n">
        <f aca="false">AI36</f>
        <v>-841300.948850949</v>
      </c>
      <c r="AI37" s="10" t="n">
        <f aca="false">AH37+AG37-AF37</f>
        <v>-950780.42276546</v>
      </c>
      <c r="AJ37" s="10" t="n">
        <f aca="false">SUM($AC$6:AC37)</f>
        <v>2487054.50722209</v>
      </c>
      <c r="AK37" s="10" t="n">
        <f aca="false">MAX(0,-AI37)</f>
        <v>950780.42276546</v>
      </c>
      <c r="AL37" s="10" t="n">
        <f aca="false">Assumptions!$C$6+SUM($AG$6:AG37)-AJ37</f>
        <v>-987054.507222095</v>
      </c>
      <c r="AM37" s="10" t="n">
        <f aca="false">SUMIFS('Vendor Months'!$H$6:$H$3965,'Vendor Months'!$A$6:$A$3965,$AS$1,'Vendor Months'!$C$6:$C$3965,A37)</f>
        <v>1962.665</v>
      </c>
      <c r="AN37" s="10" t="n">
        <f aca="false">X37+Y37</f>
        <v>0</v>
      </c>
      <c r="AO37" s="10" t="n">
        <f aca="false">SUMIFS('Staff Months'!$I$6:$I$2345,'Staff Months'!$A$6:$A$2345,$AS$1,'Staff Months'!$C$6:$C$2345,A37)</f>
        <v>9945.9375</v>
      </c>
      <c r="AP37" s="10" t="n">
        <f aca="false">SUM($AF$6:AF37)</f>
        <v>2450780.42276546</v>
      </c>
      <c r="AQ37" s="10" t="n">
        <f aca="false">AC37</f>
        <v>113559.056384714</v>
      </c>
      <c r="AR37" s="26" t="n">
        <f aca="false">IF(AI37&lt;0,1,0)</f>
        <v>1</v>
      </c>
      <c r="AS37" s="6"/>
    </row>
    <row r="38" customFormat="false" ht="15" hidden="false" customHeight="false" outlineLevel="0" collapsed="false">
      <c r="A38" s="6" t="n">
        <v>33</v>
      </c>
      <c r="B38" s="25" t="n">
        <f aca="false">EDATE('Start Here'!$B$6,A38-1)</f>
        <v>47300</v>
      </c>
      <c r="C38" s="11" t="n">
        <f aca="false">IF(A38&gt;=Assumptions!$C$13,Assumptions!$C$14*(1+Assumptions!$C$15)^INT((A38-Assumptions!$C$13)/12),0)</f>
        <v>0.625</v>
      </c>
      <c r="D38" s="11" t="n">
        <f aca="false">D37*(1-Assumptions!$C$16)+C38</f>
        <v>8.66177746630094</v>
      </c>
      <c r="E38" s="11" t="n">
        <f aca="false">D38*Assumptions!$C$18</f>
        <v>69.2942197304075</v>
      </c>
      <c r="F38" s="11" t="n">
        <f aca="false">E38*Assumptions!$C$19*30/1000000</f>
        <v>0.207882659191223</v>
      </c>
      <c r="G38" s="11" t="n">
        <f aca="false">D38*Assumptions!$C$20</f>
        <v>17.3235549326019</v>
      </c>
      <c r="H38" s="11" t="n">
        <f aca="false">D38*Assumptions!$C$21</f>
        <v>4.33088873315047</v>
      </c>
      <c r="I38" s="11" t="n">
        <f aca="false">SUMIFS('Staff Months'!$E$6:$E$2345,'Staff Months'!$A$6:$A$2345,$AS$1,'Staff Months'!$C$6:$C$2345,A38)</f>
        <v>6.95</v>
      </c>
      <c r="J38" s="11" t="n">
        <f aca="false">SUMIFS('Staff Months'!$L$6:$L$2345,'Staff Months'!$A$6:$A$2345,$AS$1,'Staff Months'!$C$6:$C$2345,A38)</f>
        <v>9</v>
      </c>
      <c r="K38" s="10" t="n">
        <f aca="false">SUMIFS('Staff Months'!$H$6:$H$2345,'Staff Months'!$A$6:$A$2345,$AS$1,'Staff Months'!$C$6:$C$2345,A38)</f>
        <v>99813.0083333333</v>
      </c>
      <c r="L38" s="10" t="n">
        <f aca="false">SUMIFS('Staff Months'!$J$6:$J$2345,'Staff Months'!$A$6:$A$2345,$AS$1,'Staff Months'!$C$6:$C$2345,A38)</f>
        <v>0</v>
      </c>
      <c r="M38" s="10" t="n">
        <f aca="false">SUMIFS('Staff Months'!$K$6:$K$2345,'Staff Months'!$A$6:$A$2345,$AS$1,'Staff Months'!$C$6:$C$2345,A38)</f>
        <v>0</v>
      </c>
      <c r="N38" s="10" t="n">
        <f aca="false">SUMIFS('Vendor Months'!$G$6:$G$3965,'Vendor Months'!$A$6:$A$3965,$AS$1,'Vendor Months'!$C$6:$C$3965,A38,'Vendor Months'!$J$6:$J$3965,"INFRA")</f>
        <v>1358.47126459328</v>
      </c>
      <c r="O38" s="10" t="n">
        <f aca="false">SUMIFS('Vendor Months'!$G$6:$G$3965,'Vendor Months'!$A$6:$A$3965,$AS$1,'Vendor Months'!$C$6:$C$3965,A38,'Vendor Months'!$J$6:$J$3965,"TOOLS")</f>
        <v>363.8887</v>
      </c>
      <c r="P38" s="10" t="n">
        <f aca="false">SUMIFS('Vendor Months'!$G$6:$G$3965,'Vendor Months'!$A$6:$A$3965,$AS$1,'Vendor Months'!$C$6:$C$3965,A38,'Vendor Months'!$J$6:$J$3965,"LEGAL")</f>
        <v>0</v>
      </c>
      <c r="Q38" s="10" t="n">
        <f aca="false">SUMIFS('Vendor Months'!$G$6:$G$3965,'Vendor Months'!$A$6:$A$3965,$AS$1,'Vendor Months'!$C$6:$C$3965,A38,'Vendor Months'!$J$6:$J$3965,"SECURITY")</f>
        <v>0</v>
      </c>
      <c r="R38" s="10" t="n">
        <f aca="false">SUMIFS('Vendor Months'!$G$6:$G$3965,'Vendor Months'!$A$6:$A$3965,$AS$1,'Vendor Months'!$C$6:$C$3965,A38,'Vendor Months'!$J$6:$J$3965,"COMPLIANCE")</f>
        <v>0</v>
      </c>
      <c r="S38" s="10" t="n">
        <f aca="false">SUMIFS('Vendor Months'!$G$6:$G$3965,'Vendor Months'!$A$6:$A$3965,$AS$1,'Vendor Months'!$C$6:$C$3965,A38,'Vendor Months'!$J$6:$J$3965,"INSURANCE")</f>
        <v>12730.8</v>
      </c>
      <c r="T38" s="10" t="n">
        <f aca="false">SUMIFS('Vendor Months'!$G$6:$G$3965,'Vendor Months'!$A$6:$A$3965,$AS$1,'Vendor Months'!$C$6:$C$3965,A38,'Vendor Months'!$J$6:$J$3965,"ACCOUNTING")</f>
        <v>636.54</v>
      </c>
      <c r="U38" s="10" t="n">
        <f aca="false">SUMIFS('Vendor Months'!$G$6:$G$3965,'Vendor Months'!$A$6:$A$3965,$AS$1,'Vendor Months'!$C$6:$C$3965,A38,'Vendor Months'!$J$6:$J$3965,"SUPPORT")</f>
        <v>106.09</v>
      </c>
      <c r="V38" s="10" t="n">
        <f aca="false">SUMIFS('Vendor Months'!$G$6:$G$3965,'Vendor Months'!$A$6:$A$3965,$AS$1,'Vendor Months'!$C$6:$C$3965,A38,'Vendor Months'!$J$6:$J$3965,"MARKETING")</f>
        <v>689.1959785499</v>
      </c>
      <c r="W38" s="10" t="n">
        <f aca="false">SUMIFS('Vendor Months'!$G$6:$G$3965,'Vendor Months'!$A$6:$A$3965,$AS$1,'Vendor Months'!$C$6:$C$3965,A38,'Vendor Months'!$J$6:$J$3965,"ONBOARD")</f>
        <v>198.91875</v>
      </c>
      <c r="X38" s="10" t="n">
        <f aca="false">SUMIFS('Vendor Months'!$G$6:$G$3965,'Vendor Months'!$A$6:$A$3965,$AS$1,'Vendor Months'!$C$6:$C$3965,A38,'Vendor Months'!$J$6:$J$3965,"AI")</f>
        <v>0</v>
      </c>
      <c r="Y38" s="10" t="n">
        <f aca="false">SUMIFS('Vendor Months'!$G$6:$G$3965,'Vendor Months'!$A$6:$A$3965,$AS$1,'Vendor Months'!$C$6:$C$3965,A38,'Vendor Months'!$J$6:$J$3965,"CTMS")</f>
        <v>0</v>
      </c>
      <c r="Z38" s="10" t="n">
        <f aca="false">SUM(N38:Y38)</f>
        <v>16083.9046931432</v>
      </c>
      <c r="AA38" s="10" t="n">
        <f aca="false">(SUM(K38:M38)+Z38)*Assumptions!$C$12</f>
        <v>11589.6913026477</v>
      </c>
      <c r="AB38" s="10" t="n">
        <f aca="false">AD38*Assumptions!$C$29</f>
        <v>129.926661994514</v>
      </c>
      <c r="AC38" s="10" t="n">
        <f aca="false">SUM(K38:M38)+Z38+AA38+AB38</f>
        <v>127616.530991119</v>
      </c>
      <c r="AD38" s="10" t="n">
        <f aca="false">D38*Assumptions!$C$17</f>
        <v>4330.88873315047</v>
      </c>
      <c r="AE38" s="10" t="n">
        <f aca="false">AD38*12</f>
        <v>51970.6647978056</v>
      </c>
      <c r="AF38" s="10" t="n">
        <f aca="false">AC38-AD38</f>
        <v>123285.642257968</v>
      </c>
      <c r="AG38" s="10" t="n">
        <f aca="false">IF(A38=Assumptions!$C$7,Assumptions!$C$8,0)</f>
        <v>0</v>
      </c>
      <c r="AH38" s="10" t="n">
        <f aca="false">AI37</f>
        <v>-950780.42276546</v>
      </c>
      <c r="AI38" s="10" t="n">
        <f aca="false">AH38+AG38-AF38</f>
        <v>-1074066.06502343</v>
      </c>
      <c r="AJ38" s="10" t="n">
        <f aca="false">SUM($AC$6:AC38)</f>
        <v>2614671.03821321</v>
      </c>
      <c r="AK38" s="10" t="n">
        <f aca="false">MAX(0,-AI38)</f>
        <v>1074066.06502343</v>
      </c>
      <c r="AL38" s="10" t="n">
        <f aca="false">Assumptions!$C$6+SUM($AG$6:AG38)-AJ38</f>
        <v>-1114671.03821321</v>
      </c>
      <c r="AM38" s="10" t="n">
        <f aca="false">SUMIFS('Vendor Months'!$H$6:$H$3965,'Vendor Months'!$A$6:$A$3965,$AS$1,'Vendor Months'!$C$6:$C$3965,A38)</f>
        <v>14693.465</v>
      </c>
      <c r="AN38" s="10" t="n">
        <f aca="false">X38+Y38</f>
        <v>0</v>
      </c>
      <c r="AO38" s="10" t="n">
        <f aca="false">SUMIFS('Staff Months'!$I$6:$I$2345,'Staff Months'!$A$6:$A$2345,$AS$1,'Staff Months'!$C$6:$C$2345,A38)</f>
        <v>9945.9375</v>
      </c>
      <c r="AP38" s="10" t="n">
        <f aca="false">SUM($AF$6:AF38)</f>
        <v>2574066.06502343</v>
      </c>
      <c r="AQ38" s="10" t="n">
        <f aca="false">AC38</f>
        <v>127616.530991119</v>
      </c>
      <c r="AR38" s="26" t="n">
        <f aca="false">IF(AI38&lt;0,1,0)</f>
        <v>1</v>
      </c>
      <c r="AS38" s="6"/>
    </row>
    <row r="39" customFormat="false" ht="15" hidden="false" customHeight="false" outlineLevel="0" collapsed="false">
      <c r="A39" s="6" t="n">
        <v>34</v>
      </c>
      <c r="B39" s="25" t="n">
        <f aca="false">EDATE('Start Here'!$B$6,A39-1)</f>
        <v>47331</v>
      </c>
      <c r="C39" s="11" t="n">
        <f aca="false">IF(A39&gt;=Assumptions!$C$13,Assumptions!$C$14*(1+Assumptions!$C$15)^INT((A39-Assumptions!$C$13)/12),0)</f>
        <v>0.625</v>
      </c>
      <c r="D39" s="11" t="n">
        <f aca="false">D38*(1-Assumptions!$C$16)+C39</f>
        <v>9.15685080430643</v>
      </c>
      <c r="E39" s="11" t="n">
        <f aca="false">D39*Assumptions!$C$18</f>
        <v>73.2548064344514</v>
      </c>
      <c r="F39" s="11" t="n">
        <f aca="false">E39*Assumptions!$C$19*30/1000000</f>
        <v>0.219764419303354</v>
      </c>
      <c r="G39" s="11" t="n">
        <f aca="false">D39*Assumptions!$C$20</f>
        <v>18.3137016086129</v>
      </c>
      <c r="H39" s="11" t="n">
        <f aca="false">D39*Assumptions!$C$21</f>
        <v>4.57842540215321</v>
      </c>
      <c r="I39" s="11" t="n">
        <f aca="false">SUMIFS('Staff Months'!$E$6:$E$2345,'Staff Months'!$A$6:$A$2345,$AS$1,'Staff Months'!$C$6:$C$2345,A39)</f>
        <v>6.95</v>
      </c>
      <c r="J39" s="11" t="n">
        <f aca="false">SUMIFS('Staff Months'!$L$6:$L$2345,'Staff Months'!$A$6:$A$2345,$AS$1,'Staff Months'!$C$6:$C$2345,A39)</f>
        <v>9</v>
      </c>
      <c r="K39" s="10" t="n">
        <f aca="false">SUMIFS('Staff Months'!$H$6:$H$2345,'Staff Months'!$A$6:$A$2345,$AS$1,'Staff Months'!$C$6:$C$2345,A39)</f>
        <v>99813.0083333333</v>
      </c>
      <c r="L39" s="10" t="n">
        <f aca="false">SUMIFS('Staff Months'!$J$6:$J$2345,'Staff Months'!$A$6:$A$2345,$AS$1,'Staff Months'!$C$6:$C$2345,A39)</f>
        <v>0</v>
      </c>
      <c r="M39" s="10" t="n">
        <f aca="false">SUMIFS('Staff Months'!$K$6:$K$2345,'Staff Months'!$A$6:$A$2345,$AS$1,'Staff Months'!$C$6:$C$2345,A39)</f>
        <v>0</v>
      </c>
      <c r="N39" s="10" t="n">
        <f aca="false">SUMIFS('Vendor Months'!$G$6:$G$3965,'Vendor Months'!$A$6:$A$3965,$AS$1,'Vendor Months'!$C$6:$C$3965,A39,'Vendor Months'!$J$6:$J$3965,"INFRA")</f>
        <v>1360.32005062438</v>
      </c>
      <c r="O39" s="10" t="n">
        <f aca="false">SUMIFS('Vendor Months'!$G$6:$G$3965,'Vendor Months'!$A$6:$A$3965,$AS$1,'Vendor Months'!$C$6:$C$3965,A39,'Vendor Months'!$J$6:$J$3965,"TOOLS")</f>
        <v>363.8887</v>
      </c>
      <c r="P39" s="10" t="n">
        <f aca="false">SUMIFS('Vendor Months'!$G$6:$G$3965,'Vendor Months'!$A$6:$A$3965,$AS$1,'Vendor Months'!$C$6:$C$3965,A39,'Vendor Months'!$J$6:$J$3965,"LEGAL")</f>
        <v>0</v>
      </c>
      <c r="Q39" s="10" t="n">
        <f aca="false">SUMIFS('Vendor Months'!$G$6:$G$3965,'Vendor Months'!$A$6:$A$3965,$AS$1,'Vendor Months'!$C$6:$C$3965,A39,'Vendor Months'!$J$6:$J$3965,"SECURITY")</f>
        <v>19096.2</v>
      </c>
      <c r="R39" s="10" t="n">
        <f aca="false">SUMIFS('Vendor Months'!$G$6:$G$3965,'Vendor Months'!$A$6:$A$3965,$AS$1,'Vendor Months'!$C$6:$C$3965,A39,'Vendor Months'!$J$6:$J$3965,"COMPLIANCE")</f>
        <v>0</v>
      </c>
      <c r="S39" s="10" t="n">
        <f aca="false">SUMIFS('Vendor Months'!$G$6:$G$3965,'Vendor Months'!$A$6:$A$3965,$AS$1,'Vendor Months'!$C$6:$C$3965,A39,'Vendor Months'!$J$6:$J$3965,"INSURANCE")</f>
        <v>0</v>
      </c>
      <c r="T39" s="10" t="n">
        <f aca="false">SUMIFS('Vendor Months'!$G$6:$G$3965,'Vendor Months'!$A$6:$A$3965,$AS$1,'Vendor Months'!$C$6:$C$3965,A39,'Vendor Months'!$J$6:$J$3965,"ACCOUNTING")</f>
        <v>636.54</v>
      </c>
      <c r="U39" s="10" t="n">
        <f aca="false">SUMIFS('Vendor Months'!$G$6:$G$3965,'Vendor Months'!$A$6:$A$3965,$AS$1,'Vendor Months'!$C$6:$C$3965,A39,'Vendor Months'!$J$6:$J$3965,"SUPPORT")</f>
        <v>106.09</v>
      </c>
      <c r="V39" s="10" t="n">
        <f aca="false">SUMIFS('Vendor Months'!$G$6:$G$3965,'Vendor Months'!$A$6:$A$3965,$AS$1,'Vendor Months'!$C$6:$C$3965,A39,'Vendor Months'!$J$6:$J$3965,"MARKETING")</f>
        <v>728.587726371652</v>
      </c>
      <c r="W39" s="10" t="n">
        <f aca="false">SUMIFS('Vendor Months'!$G$6:$G$3965,'Vendor Months'!$A$6:$A$3965,$AS$1,'Vendor Months'!$C$6:$C$3965,A39,'Vendor Months'!$J$6:$J$3965,"ONBOARD")</f>
        <v>198.91875</v>
      </c>
      <c r="X39" s="10" t="n">
        <f aca="false">SUMIFS('Vendor Months'!$G$6:$G$3965,'Vendor Months'!$A$6:$A$3965,$AS$1,'Vendor Months'!$C$6:$C$3965,A39,'Vendor Months'!$J$6:$J$3965,"AI")</f>
        <v>0</v>
      </c>
      <c r="Y39" s="10" t="n">
        <f aca="false">SUMIFS('Vendor Months'!$G$6:$G$3965,'Vendor Months'!$A$6:$A$3965,$AS$1,'Vendor Months'!$C$6:$C$3965,A39,'Vendor Months'!$J$6:$J$3965,"CTMS")</f>
        <v>0</v>
      </c>
      <c r="Z39" s="10" t="n">
        <f aca="false">SUM(N39:Y39)</f>
        <v>22490.545226996</v>
      </c>
      <c r="AA39" s="10" t="n">
        <f aca="false">(SUM(K39:M39)+Z39)*Assumptions!$C$12</f>
        <v>12230.3553560329</v>
      </c>
      <c r="AB39" s="10" t="n">
        <f aca="false">AD39*Assumptions!$C$29</f>
        <v>137.352762064596</v>
      </c>
      <c r="AC39" s="10" t="n">
        <f aca="false">SUM(K39:M39)+Z39+AA39+AB39</f>
        <v>134671.261678427</v>
      </c>
      <c r="AD39" s="10" t="n">
        <f aca="false">D39*Assumptions!$C$17</f>
        <v>4578.42540215321</v>
      </c>
      <c r="AE39" s="10" t="n">
        <f aca="false">AD39*12</f>
        <v>54941.1048258386</v>
      </c>
      <c r="AF39" s="10" t="n">
        <f aca="false">AC39-AD39</f>
        <v>130092.836276274</v>
      </c>
      <c r="AG39" s="10" t="n">
        <f aca="false">IF(A39=Assumptions!$C$7,Assumptions!$C$8,0)</f>
        <v>0</v>
      </c>
      <c r="AH39" s="10" t="n">
        <f aca="false">AI38</f>
        <v>-1074066.06502343</v>
      </c>
      <c r="AI39" s="10" t="n">
        <f aca="false">AH39+AG39-AF39</f>
        <v>-1204158.9012997</v>
      </c>
      <c r="AJ39" s="10" t="n">
        <f aca="false">SUM($AC$6:AC39)</f>
        <v>2749342.29989164</v>
      </c>
      <c r="AK39" s="10" t="n">
        <f aca="false">MAX(0,-AI39)</f>
        <v>1204158.9012997</v>
      </c>
      <c r="AL39" s="10" t="n">
        <f aca="false">Assumptions!$C$6+SUM($AG$6:AG39)-AJ39</f>
        <v>-1249342.29989164</v>
      </c>
      <c r="AM39" s="10" t="n">
        <f aca="false">SUMIFS('Vendor Months'!$H$6:$H$3965,'Vendor Months'!$A$6:$A$3965,$AS$1,'Vendor Months'!$C$6:$C$3965,A39)</f>
        <v>21058.865</v>
      </c>
      <c r="AN39" s="10" t="n">
        <f aca="false">X39+Y39</f>
        <v>0</v>
      </c>
      <c r="AO39" s="10" t="n">
        <f aca="false">SUMIFS('Staff Months'!$I$6:$I$2345,'Staff Months'!$A$6:$A$2345,$AS$1,'Staff Months'!$C$6:$C$2345,A39)</f>
        <v>9945.9375</v>
      </c>
      <c r="AP39" s="10" t="n">
        <f aca="false">SUM($AF$6:AF39)</f>
        <v>2704158.9012997</v>
      </c>
      <c r="AQ39" s="10" t="n">
        <f aca="false">AC39</f>
        <v>134671.261678427</v>
      </c>
      <c r="AR39" s="26" t="n">
        <f aca="false">IF(AI39&lt;0,1,0)</f>
        <v>1</v>
      </c>
      <c r="AS39" s="6"/>
    </row>
    <row r="40" customFormat="false" ht="15" hidden="false" customHeight="false" outlineLevel="0" collapsed="false">
      <c r="A40" s="6" t="n">
        <v>35</v>
      </c>
      <c r="B40" s="25" t="n">
        <f aca="false">EDATE('Start Here'!$B$6,A40-1)</f>
        <v>47362</v>
      </c>
      <c r="C40" s="11" t="n">
        <f aca="false">IF(A40&gt;=Assumptions!$C$13,Assumptions!$C$14*(1+Assumptions!$C$15)^INT((A40-Assumptions!$C$13)/12),0)</f>
        <v>0.625</v>
      </c>
      <c r="D40" s="11" t="n">
        <f aca="false">D39*(1-Assumptions!$C$16)+C40</f>
        <v>9.64449804224183</v>
      </c>
      <c r="E40" s="11" t="n">
        <f aca="false">D40*Assumptions!$C$18</f>
        <v>77.1559843379346</v>
      </c>
      <c r="F40" s="11" t="n">
        <f aca="false">E40*Assumptions!$C$19*30/1000000</f>
        <v>0.231467953013804</v>
      </c>
      <c r="G40" s="11" t="n">
        <f aca="false">D40*Assumptions!$C$20</f>
        <v>19.2889960844837</v>
      </c>
      <c r="H40" s="11" t="n">
        <f aca="false">D40*Assumptions!$C$21</f>
        <v>4.82224902112092</v>
      </c>
      <c r="I40" s="11" t="n">
        <f aca="false">SUMIFS('Staff Months'!$E$6:$E$2345,'Staff Months'!$A$6:$A$2345,$AS$1,'Staff Months'!$C$6:$C$2345,A40)</f>
        <v>6.95</v>
      </c>
      <c r="J40" s="11" t="n">
        <f aca="false">SUMIFS('Staff Months'!$L$6:$L$2345,'Staff Months'!$A$6:$A$2345,$AS$1,'Staff Months'!$C$6:$C$2345,A40)</f>
        <v>9</v>
      </c>
      <c r="K40" s="10" t="n">
        <f aca="false">SUMIFS('Staff Months'!$H$6:$H$2345,'Staff Months'!$A$6:$A$2345,$AS$1,'Staff Months'!$C$6:$C$2345,A40)</f>
        <v>99813.0083333333</v>
      </c>
      <c r="L40" s="10" t="n">
        <f aca="false">SUMIFS('Staff Months'!$J$6:$J$2345,'Staff Months'!$A$6:$A$2345,$AS$1,'Staff Months'!$C$6:$C$2345,A40)</f>
        <v>0</v>
      </c>
      <c r="M40" s="10" t="n">
        <f aca="false">SUMIFS('Staff Months'!$K$6:$K$2345,'Staff Months'!$A$6:$A$2345,$AS$1,'Staff Months'!$C$6:$C$2345,A40)</f>
        <v>0</v>
      </c>
      <c r="N40" s="10" t="n">
        <f aca="false">SUMIFS('Vendor Months'!$G$6:$G$3965,'Vendor Months'!$A$6:$A$3965,$AS$1,'Vendor Months'!$C$6:$C$3965,A40,'Vendor Months'!$J$6:$J$3965,"INFRA")</f>
        <v>1362.14110486501</v>
      </c>
      <c r="O40" s="10" t="n">
        <f aca="false">SUMIFS('Vendor Months'!$G$6:$G$3965,'Vendor Months'!$A$6:$A$3965,$AS$1,'Vendor Months'!$C$6:$C$3965,A40,'Vendor Months'!$J$6:$J$3965,"TOOLS")</f>
        <v>363.8887</v>
      </c>
      <c r="P40" s="10" t="n">
        <f aca="false">SUMIFS('Vendor Months'!$G$6:$G$3965,'Vendor Months'!$A$6:$A$3965,$AS$1,'Vendor Months'!$C$6:$C$3965,A40,'Vendor Months'!$J$6:$J$3965,"LEGAL")</f>
        <v>0</v>
      </c>
      <c r="Q40" s="10" t="n">
        <f aca="false">SUMIFS('Vendor Months'!$G$6:$G$3965,'Vendor Months'!$A$6:$A$3965,$AS$1,'Vendor Months'!$C$6:$C$3965,A40,'Vendor Months'!$J$6:$J$3965,"SECURITY")</f>
        <v>0</v>
      </c>
      <c r="R40" s="10" t="n">
        <f aca="false">SUMIFS('Vendor Months'!$G$6:$G$3965,'Vendor Months'!$A$6:$A$3965,$AS$1,'Vendor Months'!$C$6:$C$3965,A40,'Vendor Months'!$J$6:$J$3965,"COMPLIANCE")</f>
        <v>15913.5</v>
      </c>
      <c r="S40" s="10" t="n">
        <f aca="false">SUMIFS('Vendor Months'!$G$6:$G$3965,'Vendor Months'!$A$6:$A$3965,$AS$1,'Vendor Months'!$C$6:$C$3965,A40,'Vendor Months'!$J$6:$J$3965,"INSURANCE")</f>
        <v>0</v>
      </c>
      <c r="T40" s="10" t="n">
        <f aca="false">SUMIFS('Vendor Months'!$G$6:$G$3965,'Vendor Months'!$A$6:$A$3965,$AS$1,'Vendor Months'!$C$6:$C$3965,A40,'Vendor Months'!$J$6:$J$3965,"ACCOUNTING")</f>
        <v>636.54</v>
      </c>
      <c r="U40" s="10" t="n">
        <f aca="false">SUMIFS('Vendor Months'!$G$6:$G$3965,'Vendor Months'!$A$6:$A$3965,$AS$1,'Vendor Months'!$C$6:$C$3965,A40,'Vendor Months'!$J$6:$J$3965,"SUPPORT")</f>
        <v>106.09</v>
      </c>
      <c r="V40" s="10" t="n">
        <f aca="false">SUMIFS('Vendor Months'!$G$6:$G$3965,'Vendor Months'!$A$6:$A$3965,$AS$1,'Vendor Months'!$C$6:$C$3965,A40,'Vendor Months'!$J$6:$J$3965,"MARKETING")</f>
        <v>767.388597976077</v>
      </c>
      <c r="W40" s="10" t="n">
        <f aca="false">SUMIFS('Vendor Months'!$G$6:$G$3965,'Vendor Months'!$A$6:$A$3965,$AS$1,'Vendor Months'!$C$6:$C$3965,A40,'Vendor Months'!$J$6:$J$3965,"ONBOARD")</f>
        <v>198.91875</v>
      </c>
      <c r="X40" s="10" t="n">
        <f aca="false">SUMIFS('Vendor Months'!$G$6:$G$3965,'Vendor Months'!$A$6:$A$3965,$AS$1,'Vendor Months'!$C$6:$C$3965,A40,'Vendor Months'!$J$6:$J$3965,"AI")</f>
        <v>0</v>
      </c>
      <c r="Y40" s="10" t="n">
        <f aca="false">SUMIFS('Vendor Months'!$G$6:$G$3965,'Vendor Months'!$A$6:$A$3965,$AS$1,'Vendor Months'!$C$6:$C$3965,A40,'Vendor Months'!$J$6:$J$3965,"CTMS")</f>
        <v>0</v>
      </c>
      <c r="Z40" s="10" t="n">
        <f aca="false">SUM(N40:Y40)</f>
        <v>19348.4671528411</v>
      </c>
      <c r="AA40" s="10" t="n">
        <f aca="false">(SUM(K40:M40)+Z40)*Assumptions!$C$12</f>
        <v>11916.1475486174</v>
      </c>
      <c r="AB40" s="10" t="n">
        <f aca="false">AD40*Assumptions!$C$29</f>
        <v>144.667470633627</v>
      </c>
      <c r="AC40" s="10" t="n">
        <f aca="false">SUM(K40:M40)+Z40+AA40+AB40</f>
        <v>131222.290505425</v>
      </c>
      <c r="AD40" s="10" t="n">
        <f aca="false">D40*Assumptions!$C$17</f>
        <v>4822.24902112092</v>
      </c>
      <c r="AE40" s="10" t="n">
        <f aca="false">AD40*12</f>
        <v>57866.988253451</v>
      </c>
      <c r="AF40" s="10" t="n">
        <f aca="false">AC40-AD40</f>
        <v>126400.041484305</v>
      </c>
      <c r="AG40" s="10" t="n">
        <f aca="false">IF(A40=Assumptions!$C$7,Assumptions!$C$8,0)</f>
        <v>0</v>
      </c>
      <c r="AH40" s="10" t="n">
        <f aca="false">AI39</f>
        <v>-1204158.9012997</v>
      </c>
      <c r="AI40" s="10" t="n">
        <f aca="false">AH40+AG40-AF40</f>
        <v>-1330558.94278401</v>
      </c>
      <c r="AJ40" s="10" t="n">
        <f aca="false">SUM($AC$6:AC40)</f>
        <v>2880564.59039707</v>
      </c>
      <c r="AK40" s="10" t="n">
        <f aca="false">MAX(0,-AI40)</f>
        <v>1330558.94278401</v>
      </c>
      <c r="AL40" s="10" t="n">
        <f aca="false">Assumptions!$C$6+SUM($AG$6:AG40)-AJ40</f>
        <v>-1380564.59039707</v>
      </c>
      <c r="AM40" s="10" t="n">
        <f aca="false">SUMIFS('Vendor Months'!$H$6:$H$3965,'Vendor Months'!$A$6:$A$3965,$AS$1,'Vendor Months'!$C$6:$C$3965,A40)</f>
        <v>17876.165</v>
      </c>
      <c r="AN40" s="10" t="n">
        <f aca="false">X40+Y40</f>
        <v>0</v>
      </c>
      <c r="AO40" s="10" t="n">
        <f aca="false">SUMIFS('Staff Months'!$I$6:$I$2345,'Staff Months'!$A$6:$A$2345,$AS$1,'Staff Months'!$C$6:$C$2345,A40)</f>
        <v>9945.9375</v>
      </c>
      <c r="AP40" s="10" t="n">
        <f aca="false">SUM($AF$6:AF40)</f>
        <v>2830558.94278401</v>
      </c>
      <c r="AQ40" s="10" t="n">
        <f aca="false">AC40</f>
        <v>131222.290505425</v>
      </c>
      <c r="AR40" s="26" t="n">
        <f aca="false">IF(AI40&lt;0,1,0)</f>
        <v>1</v>
      </c>
      <c r="AS40" s="6"/>
    </row>
    <row r="41" customFormat="false" ht="15" hidden="false" customHeight="false" outlineLevel="0" collapsed="false">
      <c r="A41" s="6" t="n">
        <v>36</v>
      </c>
      <c r="B41" s="25" t="n">
        <f aca="false">EDATE('Start Here'!$B$6,A41-1)</f>
        <v>47392</v>
      </c>
      <c r="C41" s="11" t="n">
        <f aca="false">IF(A41&gt;=Assumptions!$C$13,Assumptions!$C$14*(1+Assumptions!$C$15)^INT((A41-Assumptions!$C$13)/12),0)</f>
        <v>0.625</v>
      </c>
      <c r="D41" s="11" t="n">
        <f aca="false">D40*(1-Assumptions!$C$16)+C41</f>
        <v>10.1248305716082</v>
      </c>
      <c r="E41" s="11" t="n">
        <f aca="false">D41*Assumptions!$C$18</f>
        <v>80.9986445728656</v>
      </c>
      <c r="F41" s="11" t="n">
        <f aca="false">E41*Assumptions!$C$19*30/1000000</f>
        <v>0.242995933718597</v>
      </c>
      <c r="G41" s="11" t="n">
        <f aca="false">D41*Assumptions!$C$20</f>
        <v>20.2496611432164</v>
      </c>
      <c r="H41" s="11" t="n">
        <f aca="false">D41*Assumptions!$C$21</f>
        <v>5.0624152858041</v>
      </c>
      <c r="I41" s="11" t="n">
        <f aca="false">SUMIFS('Staff Months'!$E$6:$E$2345,'Staff Months'!$A$6:$A$2345,$AS$1,'Staff Months'!$C$6:$C$2345,A41)</f>
        <v>6.95</v>
      </c>
      <c r="J41" s="11" t="n">
        <f aca="false">SUMIFS('Staff Months'!$L$6:$L$2345,'Staff Months'!$A$6:$A$2345,$AS$1,'Staff Months'!$C$6:$C$2345,A41)</f>
        <v>9</v>
      </c>
      <c r="K41" s="10" t="n">
        <f aca="false">SUMIFS('Staff Months'!$H$6:$H$2345,'Staff Months'!$A$6:$A$2345,$AS$1,'Staff Months'!$C$6:$C$2345,A41)</f>
        <v>99813.0083333333</v>
      </c>
      <c r="L41" s="10" t="n">
        <f aca="false">SUMIFS('Staff Months'!$J$6:$J$2345,'Staff Months'!$A$6:$A$2345,$AS$1,'Staff Months'!$C$6:$C$2345,A41)</f>
        <v>0</v>
      </c>
      <c r="M41" s="10" t="n">
        <f aca="false">SUMIFS('Staff Months'!$K$6:$K$2345,'Staff Months'!$A$6:$A$2345,$AS$1,'Staff Months'!$C$6:$C$2345,A41)</f>
        <v>0</v>
      </c>
      <c r="N41" s="10" t="n">
        <f aca="false">SUMIFS('Vendor Months'!$G$6:$G$3965,'Vendor Months'!$A$6:$A$3965,$AS$1,'Vendor Months'!$C$6:$C$3965,A41,'Vendor Months'!$J$6:$J$3965,"INFRA")</f>
        <v>1363.93484329204</v>
      </c>
      <c r="O41" s="10" t="n">
        <f aca="false">SUMIFS('Vendor Months'!$G$6:$G$3965,'Vendor Months'!$A$6:$A$3965,$AS$1,'Vendor Months'!$C$6:$C$3965,A41,'Vendor Months'!$J$6:$J$3965,"TOOLS")</f>
        <v>363.8887</v>
      </c>
      <c r="P41" s="10" t="n">
        <f aca="false">SUMIFS('Vendor Months'!$G$6:$G$3965,'Vendor Months'!$A$6:$A$3965,$AS$1,'Vendor Months'!$C$6:$C$3965,A41,'Vendor Months'!$J$6:$J$3965,"LEGAL")</f>
        <v>0</v>
      </c>
      <c r="Q41" s="10" t="n">
        <f aca="false">SUMIFS('Vendor Months'!$G$6:$G$3965,'Vendor Months'!$A$6:$A$3965,$AS$1,'Vendor Months'!$C$6:$C$3965,A41,'Vendor Months'!$J$6:$J$3965,"SECURITY")</f>
        <v>0</v>
      </c>
      <c r="R41" s="10" t="n">
        <f aca="false">SUMIFS('Vendor Months'!$G$6:$G$3965,'Vendor Months'!$A$6:$A$3965,$AS$1,'Vendor Months'!$C$6:$C$3965,A41,'Vendor Months'!$J$6:$J$3965,"COMPLIANCE")</f>
        <v>0</v>
      </c>
      <c r="S41" s="10" t="n">
        <f aca="false">SUMIFS('Vendor Months'!$G$6:$G$3965,'Vendor Months'!$A$6:$A$3965,$AS$1,'Vendor Months'!$C$6:$C$3965,A41,'Vendor Months'!$J$6:$J$3965,"INSURANCE")</f>
        <v>0</v>
      </c>
      <c r="T41" s="10" t="n">
        <f aca="false">SUMIFS('Vendor Months'!$G$6:$G$3965,'Vendor Months'!$A$6:$A$3965,$AS$1,'Vendor Months'!$C$6:$C$3965,A41,'Vendor Months'!$J$6:$J$3965,"ACCOUNTING")</f>
        <v>636.54</v>
      </c>
      <c r="U41" s="10" t="n">
        <f aca="false">SUMIFS('Vendor Months'!$G$6:$G$3965,'Vendor Months'!$A$6:$A$3965,$AS$1,'Vendor Months'!$C$6:$C$3965,A41,'Vendor Months'!$J$6:$J$3965,"SUPPORT")</f>
        <v>106.09</v>
      </c>
      <c r="V41" s="10" t="n">
        <f aca="false">SUMIFS('Vendor Months'!$G$6:$G$3965,'Vendor Months'!$A$6:$A$3965,$AS$1,'Vendor Months'!$C$6:$C$3965,A41,'Vendor Months'!$J$6:$J$3965,"MARKETING")</f>
        <v>805.607456506436</v>
      </c>
      <c r="W41" s="10" t="n">
        <f aca="false">SUMIFS('Vendor Months'!$G$6:$G$3965,'Vendor Months'!$A$6:$A$3965,$AS$1,'Vendor Months'!$C$6:$C$3965,A41,'Vendor Months'!$J$6:$J$3965,"ONBOARD")</f>
        <v>198.91875</v>
      </c>
      <c r="X41" s="10" t="n">
        <f aca="false">SUMIFS('Vendor Months'!$G$6:$G$3965,'Vendor Months'!$A$6:$A$3965,$AS$1,'Vendor Months'!$C$6:$C$3965,A41,'Vendor Months'!$J$6:$J$3965,"AI")</f>
        <v>0</v>
      </c>
      <c r="Y41" s="10" t="n">
        <f aca="false">SUMIFS('Vendor Months'!$G$6:$G$3965,'Vendor Months'!$A$6:$A$3965,$AS$1,'Vendor Months'!$C$6:$C$3965,A41,'Vendor Months'!$J$6:$J$3965,"CTMS")</f>
        <v>0</v>
      </c>
      <c r="Z41" s="10" t="n">
        <f aca="false">SUM(N41:Y41)</f>
        <v>3474.97974979847</v>
      </c>
      <c r="AA41" s="10" t="n">
        <f aca="false">(SUM(K41:M41)+Z41)*Assumptions!$C$12</f>
        <v>10328.7988083132</v>
      </c>
      <c r="AB41" s="10" t="n">
        <f aca="false">AD41*Assumptions!$C$29</f>
        <v>151.872458574123</v>
      </c>
      <c r="AC41" s="10" t="n">
        <f aca="false">SUM(K41:M41)+Z41+AA41+AB41</f>
        <v>113768.659350019</v>
      </c>
      <c r="AD41" s="10" t="n">
        <f aca="false">D41*Assumptions!$C$17</f>
        <v>5062.4152858041</v>
      </c>
      <c r="AE41" s="10" t="n">
        <f aca="false">AD41*12</f>
        <v>60748.9834296492</v>
      </c>
      <c r="AF41" s="10" t="n">
        <f aca="false">AC41-AD41</f>
        <v>108706.244064215</v>
      </c>
      <c r="AG41" s="10" t="n">
        <f aca="false">IF(A41=Assumptions!$C$7,Assumptions!$C$8,0)</f>
        <v>0</v>
      </c>
      <c r="AH41" s="10" t="n">
        <f aca="false">AI40</f>
        <v>-1330558.94278401</v>
      </c>
      <c r="AI41" s="10" t="n">
        <f aca="false">AH41+AG41-AF41</f>
        <v>-1439265.18684822</v>
      </c>
      <c r="AJ41" s="10" t="n">
        <f aca="false">SUM($AC$6:AC41)</f>
        <v>2994333.24974709</v>
      </c>
      <c r="AK41" s="10" t="n">
        <f aca="false">MAX(0,-AI41)</f>
        <v>1439265.18684822</v>
      </c>
      <c r="AL41" s="10" t="n">
        <f aca="false">Assumptions!$C$6+SUM($AG$6:AG41)-AJ41</f>
        <v>-1494333.24974709</v>
      </c>
      <c r="AM41" s="10" t="n">
        <f aca="false">SUMIFS('Vendor Months'!$H$6:$H$3965,'Vendor Months'!$A$6:$A$3965,$AS$1,'Vendor Months'!$C$6:$C$3965,A41)</f>
        <v>1962.665</v>
      </c>
      <c r="AN41" s="10" t="n">
        <f aca="false">X41+Y41</f>
        <v>0</v>
      </c>
      <c r="AO41" s="10" t="n">
        <f aca="false">SUMIFS('Staff Months'!$I$6:$I$2345,'Staff Months'!$A$6:$A$2345,$AS$1,'Staff Months'!$C$6:$C$2345,A41)</f>
        <v>9945.9375</v>
      </c>
      <c r="AP41" s="10" t="n">
        <f aca="false">SUM($AF$6:AF41)</f>
        <v>2939265.18684822</v>
      </c>
      <c r="AQ41" s="10" t="n">
        <f aca="false">AC41</f>
        <v>113768.659350019</v>
      </c>
      <c r="AR41" s="26" t="n">
        <f aca="false">IF(AI41&lt;0,1,0)</f>
        <v>1</v>
      </c>
      <c r="AS41" s="6"/>
    </row>
    <row r="42" customFormat="false" ht="15" hidden="false" customHeight="false" outlineLevel="0" collapsed="false">
      <c r="A42" s="6" t="n">
        <v>37</v>
      </c>
      <c r="B42" s="25" t="n">
        <f aca="false">EDATE('Start Here'!$B$6,A42-1)</f>
        <v>47423</v>
      </c>
      <c r="C42" s="11" t="n">
        <f aca="false">IF(A42&gt;=Assumptions!$C$13,Assumptions!$C$14*(1+Assumptions!$C$15)^INT((A42-Assumptions!$C$13)/12),0)</f>
        <v>0.625</v>
      </c>
      <c r="D42" s="11" t="n">
        <f aca="false">D41*(1-Assumptions!$C$16)+C42</f>
        <v>10.5979581130341</v>
      </c>
      <c r="E42" s="11" t="n">
        <f aca="false">D42*Assumptions!$C$18</f>
        <v>84.7836649042726</v>
      </c>
      <c r="F42" s="11" t="n">
        <f aca="false">E42*Assumptions!$C$19*30/1000000</f>
        <v>0.254350994712818</v>
      </c>
      <c r="G42" s="11" t="n">
        <f aca="false">D42*Assumptions!$C$20</f>
        <v>21.1959162260682</v>
      </c>
      <c r="H42" s="11" t="n">
        <f aca="false">D42*Assumptions!$C$21</f>
        <v>5.29897905651704</v>
      </c>
      <c r="I42" s="11" t="n">
        <f aca="false">SUMIFS('Staff Months'!$E$6:$E$2345,'Staff Months'!$A$6:$A$2345,$AS$1,'Staff Months'!$C$6:$C$2345,A42)</f>
        <v>6.95</v>
      </c>
      <c r="J42" s="11" t="n">
        <f aca="false">SUMIFS('Staff Months'!$L$6:$L$2345,'Staff Months'!$A$6:$A$2345,$AS$1,'Staff Months'!$C$6:$C$2345,A42)</f>
        <v>9</v>
      </c>
      <c r="K42" s="10" t="n">
        <f aca="false">SUMIFS('Staff Months'!$H$6:$H$2345,'Staff Months'!$A$6:$A$2345,$AS$1,'Staff Months'!$C$6:$C$2345,A42)</f>
        <v>102807.398583333</v>
      </c>
      <c r="L42" s="10" t="n">
        <f aca="false">SUMIFS('Staff Months'!$J$6:$J$2345,'Staff Months'!$A$6:$A$2345,$AS$1,'Staff Months'!$C$6:$C$2345,A42)</f>
        <v>0</v>
      </c>
      <c r="M42" s="10" t="n">
        <f aca="false">SUMIFS('Staff Months'!$K$6:$K$2345,'Staff Months'!$A$6:$A$2345,$AS$1,'Staff Months'!$C$6:$C$2345,A42)</f>
        <v>0</v>
      </c>
      <c r="N42" s="10" t="n">
        <f aca="false">SUMIFS('Vendor Months'!$G$6:$G$3965,'Vendor Months'!$A$6:$A$3965,$AS$1,'Vendor Months'!$C$6:$C$3965,A42,'Vendor Months'!$J$6:$J$3965,"INFRA")</f>
        <v>1406.67272591193</v>
      </c>
      <c r="O42" s="10" t="n">
        <f aca="false">SUMIFS('Vendor Months'!$G$6:$G$3965,'Vendor Months'!$A$6:$A$3965,$AS$1,'Vendor Months'!$C$6:$C$3965,A42,'Vendor Months'!$J$6:$J$3965,"TOOLS")</f>
        <v>374.805361</v>
      </c>
      <c r="P42" s="10" t="n">
        <f aca="false">SUMIFS('Vendor Months'!$G$6:$G$3965,'Vendor Months'!$A$6:$A$3965,$AS$1,'Vendor Months'!$C$6:$C$3965,A42,'Vendor Months'!$J$6:$J$3965,"LEGAL")</f>
        <v>0</v>
      </c>
      <c r="Q42" s="10" t="n">
        <f aca="false">SUMIFS('Vendor Months'!$G$6:$G$3965,'Vendor Months'!$A$6:$A$3965,$AS$1,'Vendor Months'!$C$6:$C$3965,A42,'Vendor Months'!$J$6:$J$3965,"SECURITY")</f>
        <v>0</v>
      </c>
      <c r="R42" s="10" t="n">
        <f aca="false">SUMIFS('Vendor Months'!$G$6:$G$3965,'Vendor Months'!$A$6:$A$3965,$AS$1,'Vendor Months'!$C$6:$C$3965,A42,'Vendor Months'!$J$6:$J$3965,"COMPLIANCE")</f>
        <v>0</v>
      </c>
      <c r="S42" s="10" t="n">
        <f aca="false">SUMIFS('Vendor Months'!$G$6:$G$3965,'Vendor Months'!$A$6:$A$3965,$AS$1,'Vendor Months'!$C$6:$C$3965,A42,'Vendor Months'!$J$6:$J$3965,"INSURANCE")</f>
        <v>0</v>
      </c>
      <c r="T42" s="10" t="n">
        <f aca="false">SUMIFS('Vendor Months'!$G$6:$G$3965,'Vendor Months'!$A$6:$A$3965,$AS$1,'Vendor Months'!$C$6:$C$3965,A42,'Vendor Months'!$J$6:$J$3965,"ACCOUNTING")</f>
        <v>655.6362</v>
      </c>
      <c r="U42" s="10" t="n">
        <f aca="false">SUMIFS('Vendor Months'!$G$6:$G$3965,'Vendor Months'!$A$6:$A$3965,$AS$1,'Vendor Months'!$C$6:$C$3965,A42,'Vendor Months'!$J$6:$J$3965,"SUPPORT")</f>
        <v>109.2727</v>
      </c>
      <c r="V42" s="10" t="n">
        <f aca="false">SUMIFS('Vendor Months'!$G$6:$G$3965,'Vendor Months'!$A$6:$A$3965,$AS$1,'Vendor Months'!$C$6:$C$3965,A42,'Vendor Months'!$J$6:$J$3965,"MARKETING")</f>
        <v>868.550623123604</v>
      </c>
      <c r="W42" s="10" t="n">
        <f aca="false">SUMIFS('Vendor Months'!$G$6:$G$3965,'Vendor Months'!$A$6:$A$3965,$AS$1,'Vendor Months'!$C$6:$C$3965,A42,'Vendor Months'!$J$6:$J$3965,"ONBOARD")</f>
        <v>204.8863125</v>
      </c>
      <c r="X42" s="10" t="n">
        <f aca="false">SUMIFS('Vendor Months'!$G$6:$G$3965,'Vendor Months'!$A$6:$A$3965,$AS$1,'Vendor Months'!$C$6:$C$3965,A42,'Vendor Months'!$J$6:$J$3965,"AI")</f>
        <v>0</v>
      </c>
      <c r="Y42" s="10" t="n">
        <f aca="false">SUMIFS('Vendor Months'!$G$6:$G$3965,'Vendor Months'!$A$6:$A$3965,$AS$1,'Vendor Months'!$C$6:$C$3965,A42,'Vendor Months'!$J$6:$J$3965,"CTMS")</f>
        <v>0</v>
      </c>
      <c r="Z42" s="10" t="n">
        <f aca="false">SUM(N42:Y42)</f>
        <v>3619.82392253554</v>
      </c>
      <c r="AA42" s="10" t="n">
        <f aca="false">(SUM(K42:M42)+Z42)*Assumptions!$C$12</f>
        <v>10642.7222505869</v>
      </c>
      <c r="AB42" s="10" t="n">
        <f aca="false">AD42*Assumptions!$C$29</f>
        <v>158.969371695511</v>
      </c>
      <c r="AC42" s="10" t="n">
        <f aca="false">SUM(K42:M42)+Z42+AA42+AB42</f>
        <v>117228.914128151</v>
      </c>
      <c r="AD42" s="10" t="n">
        <f aca="false">D42*Assumptions!$C$17</f>
        <v>5298.97905651704</v>
      </c>
      <c r="AE42" s="10" t="n">
        <f aca="false">AD42*12</f>
        <v>63587.7486782045</v>
      </c>
      <c r="AF42" s="10" t="n">
        <f aca="false">AC42-AD42</f>
        <v>111929.935071634</v>
      </c>
      <c r="AG42" s="10" t="n">
        <f aca="false">IF(A42=Assumptions!$C$7,Assumptions!$C$8,0)</f>
        <v>0</v>
      </c>
      <c r="AH42" s="10" t="n">
        <f aca="false">AI41</f>
        <v>-1439265.18684822</v>
      </c>
      <c r="AI42" s="10" t="n">
        <f aca="false">AH42+AG42-AF42</f>
        <v>-1551195.12191986</v>
      </c>
      <c r="AJ42" s="10" t="n">
        <f aca="false">SUM($AC$6:AC42)</f>
        <v>3111562.16387524</v>
      </c>
      <c r="AK42" s="10" t="n">
        <f aca="false">MAX(0,-AI42)</f>
        <v>1551195.12191986</v>
      </c>
      <c r="AL42" s="10" t="n">
        <f aca="false">Assumptions!$C$6+SUM($AG$6:AG42)-AJ42</f>
        <v>-1611562.16387524</v>
      </c>
      <c r="AM42" s="10" t="n">
        <f aca="false">SUMIFS('Vendor Months'!$H$6:$H$3965,'Vendor Months'!$A$6:$A$3965,$AS$1,'Vendor Months'!$C$6:$C$3965,A42)</f>
        <v>2021.54495</v>
      </c>
      <c r="AN42" s="10" t="n">
        <f aca="false">X42+Y42</f>
        <v>0</v>
      </c>
      <c r="AO42" s="10" t="n">
        <f aca="false">SUMIFS('Staff Months'!$I$6:$I$2345,'Staff Months'!$A$6:$A$2345,$AS$1,'Staff Months'!$C$6:$C$2345,A42)</f>
        <v>10244.315625</v>
      </c>
      <c r="AP42" s="10" t="n">
        <f aca="false">SUM($AF$6:AF42)</f>
        <v>3051195.12191986</v>
      </c>
      <c r="AQ42" s="10" t="n">
        <f aca="false">AC42</f>
        <v>117228.914128151</v>
      </c>
      <c r="AR42" s="26" t="n">
        <f aca="false">IF(AI42&lt;0,1,0)</f>
        <v>1</v>
      </c>
      <c r="AS42" s="6"/>
    </row>
    <row r="43" customFormat="false" ht="15" hidden="false" customHeight="false" outlineLevel="0" collapsed="false">
      <c r="A43" s="6" t="n">
        <v>38</v>
      </c>
      <c r="B43" s="25" t="n">
        <f aca="false">EDATE('Start Here'!$B$6,A43-1)</f>
        <v>47453</v>
      </c>
      <c r="C43" s="11" t="n">
        <f aca="false">IF(A43&gt;=Assumptions!$C$13,Assumptions!$C$14*(1+Assumptions!$C$15)^INT((A43-Assumptions!$C$13)/12),0)</f>
        <v>0.625</v>
      </c>
      <c r="D43" s="11" t="n">
        <f aca="false">D42*(1-Assumptions!$C$16)+C43</f>
        <v>11.0639887413386</v>
      </c>
      <c r="E43" s="11" t="n">
        <f aca="false">D43*Assumptions!$C$18</f>
        <v>88.5119099307085</v>
      </c>
      <c r="F43" s="11" t="n">
        <f aca="false">E43*Assumptions!$C$19*30/1000000</f>
        <v>0.265535729792126</v>
      </c>
      <c r="G43" s="11" t="n">
        <f aca="false">D43*Assumptions!$C$20</f>
        <v>22.1279774826771</v>
      </c>
      <c r="H43" s="11" t="n">
        <f aca="false">D43*Assumptions!$C$21</f>
        <v>5.53199437066928</v>
      </c>
      <c r="I43" s="11" t="n">
        <f aca="false">SUMIFS('Staff Months'!$E$6:$E$2345,'Staff Months'!$A$6:$A$2345,$AS$1,'Staff Months'!$C$6:$C$2345,A43)</f>
        <v>6.95</v>
      </c>
      <c r="J43" s="11" t="n">
        <f aca="false">SUMIFS('Staff Months'!$L$6:$L$2345,'Staff Months'!$A$6:$A$2345,$AS$1,'Staff Months'!$C$6:$C$2345,A43)</f>
        <v>9</v>
      </c>
      <c r="K43" s="10" t="n">
        <f aca="false">SUMIFS('Staff Months'!$H$6:$H$2345,'Staff Months'!$A$6:$A$2345,$AS$1,'Staff Months'!$C$6:$C$2345,A43)</f>
        <v>102807.398583333</v>
      </c>
      <c r="L43" s="10" t="n">
        <f aca="false">SUMIFS('Staff Months'!$J$6:$J$2345,'Staff Months'!$A$6:$A$2345,$AS$1,'Staff Months'!$C$6:$C$2345,A43)</f>
        <v>0</v>
      </c>
      <c r="M43" s="10" t="n">
        <f aca="false">SUMIFS('Staff Months'!$K$6:$K$2345,'Staff Months'!$A$6:$A$2345,$AS$1,'Staff Months'!$C$6:$C$2345,A43)</f>
        <v>0</v>
      </c>
      <c r="N43" s="10" t="n">
        <f aca="false">SUMIFS('Vendor Months'!$G$6:$G$3965,'Vendor Months'!$A$6:$A$3965,$AS$1,'Vendor Months'!$C$6:$C$3965,A43,'Vendor Months'!$J$6:$J$3965,"INFRA")</f>
        <v>1408.46526567326</v>
      </c>
      <c r="O43" s="10" t="n">
        <f aca="false">SUMIFS('Vendor Months'!$G$6:$G$3965,'Vendor Months'!$A$6:$A$3965,$AS$1,'Vendor Months'!$C$6:$C$3965,A43,'Vendor Months'!$J$6:$J$3965,"TOOLS")</f>
        <v>374.805361</v>
      </c>
      <c r="P43" s="10" t="n">
        <f aca="false">SUMIFS('Vendor Months'!$G$6:$G$3965,'Vendor Months'!$A$6:$A$3965,$AS$1,'Vendor Months'!$C$6:$C$3965,A43,'Vendor Months'!$J$6:$J$3965,"LEGAL")</f>
        <v>13112.724</v>
      </c>
      <c r="Q43" s="10" t="n">
        <f aca="false">SUMIFS('Vendor Months'!$G$6:$G$3965,'Vendor Months'!$A$6:$A$3965,$AS$1,'Vendor Months'!$C$6:$C$3965,A43,'Vendor Months'!$J$6:$J$3965,"SECURITY")</f>
        <v>0</v>
      </c>
      <c r="R43" s="10" t="n">
        <f aca="false">SUMIFS('Vendor Months'!$G$6:$G$3965,'Vendor Months'!$A$6:$A$3965,$AS$1,'Vendor Months'!$C$6:$C$3965,A43,'Vendor Months'!$J$6:$J$3965,"COMPLIANCE")</f>
        <v>0</v>
      </c>
      <c r="S43" s="10" t="n">
        <f aca="false">SUMIFS('Vendor Months'!$G$6:$G$3965,'Vendor Months'!$A$6:$A$3965,$AS$1,'Vendor Months'!$C$6:$C$3965,A43,'Vendor Months'!$J$6:$J$3965,"INSURANCE")</f>
        <v>0</v>
      </c>
      <c r="T43" s="10" t="n">
        <f aca="false">SUMIFS('Vendor Months'!$G$6:$G$3965,'Vendor Months'!$A$6:$A$3965,$AS$1,'Vendor Months'!$C$6:$C$3965,A43,'Vendor Months'!$J$6:$J$3965,"ACCOUNTING")</f>
        <v>655.6362</v>
      </c>
      <c r="U43" s="10" t="n">
        <f aca="false">SUMIFS('Vendor Months'!$G$6:$G$3965,'Vendor Months'!$A$6:$A$3965,$AS$1,'Vendor Months'!$C$6:$C$3965,A43,'Vendor Months'!$J$6:$J$3965,"SUPPORT")</f>
        <v>109.2727</v>
      </c>
      <c r="V43" s="10" t="n">
        <f aca="false">SUMIFS('Vendor Months'!$G$6:$G$3965,'Vendor Months'!$A$6:$A$3965,$AS$1,'Vendor Months'!$C$6:$C$3965,A43,'Vendor Months'!$J$6:$J$3965,"MARKETING")</f>
        <v>906.74394190175</v>
      </c>
      <c r="W43" s="10" t="n">
        <f aca="false">SUMIFS('Vendor Months'!$G$6:$G$3965,'Vendor Months'!$A$6:$A$3965,$AS$1,'Vendor Months'!$C$6:$C$3965,A43,'Vendor Months'!$J$6:$J$3965,"ONBOARD")</f>
        <v>204.8863125</v>
      </c>
      <c r="X43" s="10" t="n">
        <f aca="false">SUMIFS('Vendor Months'!$G$6:$G$3965,'Vendor Months'!$A$6:$A$3965,$AS$1,'Vendor Months'!$C$6:$C$3965,A43,'Vendor Months'!$J$6:$J$3965,"AI")</f>
        <v>0</v>
      </c>
      <c r="Y43" s="10" t="n">
        <f aca="false">SUMIFS('Vendor Months'!$G$6:$G$3965,'Vendor Months'!$A$6:$A$3965,$AS$1,'Vendor Months'!$C$6:$C$3965,A43,'Vendor Months'!$J$6:$J$3965,"CTMS")</f>
        <v>0</v>
      </c>
      <c r="Z43" s="10" t="n">
        <f aca="false">SUM(N43:Y43)</f>
        <v>16772.533781075</v>
      </c>
      <c r="AA43" s="10" t="n">
        <f aca="false">(SUM(K43:M43)+Z43)*Assumptions!$C$12</f>
        <v>11957.9932364408</v>
      </c>
      <c r="AB43" s="10" t="n">
        <f aca="false">AD43*Assumptions!$C$29</f>
        <v>165.959831120079</v>
      </c>
      <c r="AC43" s="10" t="n">
        <f aca="false">SUM(K43:M43)+Z43+AA43+AB43</f>
        <v>131703.885431969</v>
      </c>
      <c r="AD43" s="10" t="n">
        <f aca="false">D43*Assumptions!$C$17</f>
        <v>5531.99437066928</v>
      </c>
      <c r="AE43" s="10" t="n">
        <f aca="false">AD43*12</f>
        <v>66383.9324480314</v>
      </c>
      <c r="AF43" s="10" t="n">
        <f aca="false">AC43-AD43</f>
        <v>126171.8910613</v>
      </c>
      <c r="AG43" s="10" t="n">
        <f aca="false">IF(A43=Assumptions!$C$7,Assumptions!$C$8,0)</f>
        <v>0</v>
      </c>
      <c r="AH43" s="10" t="n">
        <f aca="false">AI42</f>
        <v>-1551195.12191986</v>
      </c>
      <c r="AI43" s="10" t="n">
        <f aca="false">AH43+AG43-AF43</f>
        <v>-1677367.01298116</v>
      </c>
      <c r="AJ43" s="10" t="n">
        <f aca="false">SUM($AC$6:AC43)</f>
        <v>3243266.04930721</v>
      </c>
      <c r="AK43" s="10" t="n">
        <f aca="false">MAX(0,-AI43)</f>
        <v>1677367.01298116</v>
      </c>
      <c r="AL43" s="10" t="n">
        <f aca="false">Assumptions!$C$6+SUM($AG$6:AG43)-AJ43</f>
        <v>-1743266.04930721</v>
      </c>
      <c r="AM43" s="10" t="n">
        <f aca="false">SUMIFS('Vendor Months'!$H$6:$H$3965,'Vendor Months'!$A$6:$A$3965,$AS$1,'Vendor Months'!$C$6:$C$3965,A43)</f>
        <v>15134.26895</v>
      </c>
      <c r="AN43" s="10" t="n">
        <f aca="false">X43+Y43</f>
        <v>0</v>
      </c>
      <c r="AO43" s="10" t="n">
        <f aca="false">SUMIFS('Staff Months'!$I$6:$I$2345,'Staff Months'!$A$6:$A$2345,$AS$1,'Staff Months'!$C$6:$C$2345,A43)</f>
        <v>10244.315625</v>
      </c>
      <c r="AP43" s="10" t="n">
        <f aca="false">SUM($AF$6:AF43)</f>
        <v>3177367.01298116</v>
      </c>
      <c r="AQ43" s="10" t="n">
        <f aca="false">AC43</f>
        <v>131703.885431969</v>
      </c>
      <c r="AR43" s="26" t="n">
        <f aca="false">IF(AI43&lt;0,1,0)</f>
        <v>1</v>
      </c>
      <c r="AS43" s="6"/>
    </row>
    <row r="44" customFormat="false" ht="15" hidden="false" customHeight="false" outlineLevel="0" collapsed="false">
      <c r="A44" s="6" t="n">
        <v>39</v>
      </c>
      <c r="B44" s="25" t="n">
        <f aca="false">EDATE('Start Here'!$B$6,A44-1)</f>
        <v>47484</v>
      </c>
      <c r="C44" s="11" t="n">
        <f aca="false">IF(A44&gt;=Assumptions!$C$13,Assumptions!$C$14*(1+Assumptions!$C$15)^INT((A44-Assumptions!$C$13)/12),0)</f>
        <v>0.625</v>
      </c>
      <c r="D44" s="11" t="n">
        <f aca="false">D43*(1-Assumptions!$C$16)+C44</f>
        <v>11.5230289102185</v>
      </c>
      <c r="E44" s="11" t="n">
        <f aca="false">D44*Assumptions!$C$18</f>
        <v>92.1842312817479</v>
      </c>
      <c r="F44" s="11" t="n">
        <f aca="false">E44*Assumptions!$C$19*30/1000000</f>
        <v>0.276552693845244</v>
      </c>
      <c r="G44" s="11" t="n">
        <f aca="false">D44*Assumptions!$C$20</f>
        <v>23.046057820437</v>
      </c>
      <c r="H44" s="11" t="n">
        <f aca="false">D44*Assumptions!$C$21</f>
        <v>5.76151445510924</v>
      </c>
      <c r="I44" s="11" t="n">
        <f aca="false">SUMIFS('Staff Months'!$E$6:$E$2345,'Staff Months'!$A$6:$A$2345,$AS$1,'Staff Months'!$C$6:$C$2345,A44)</f>
        <v>6.95</v>
      </c>
      <c r="J44" s="11" t="n">
        <f aca="false">SUMIFS('Staff Months'!$L$6:$L$2345,'Staff Months'!$A$6:$A$2345,$AS$1,'Staff Months'!$C$6:$C$2345,A44)</f>
        <v>9</v>
      </c>
      <c r="K44" s="10" t="n">
        <f aca="false">SUMIFS('Staff Months'!$H$6:$H$2345,'Staff Months'!$A$6:$A$2345,$AS$1,'Staff Months'!$C$6:$C$2345,A44)</f>
        <v>102807.398583333</v>
      </c>
      <c r="L44" s="10" t="n">
        <f aca="false">SUMIFS('Staff Months'!$J$6:$J$2345,'Staff Months'!$A$6:$A$2345,$AS$1,'Staff Months'!$C$6:$C$2345,A44)</f>
        <v>0</v>
      </c>
      <c r="M44" s="10" t="n">
        <f aca="false">SUMIFS('Staff Months'!$K$6:$K$2345,'Staff Months'!$A$6:$A$2345,$AS$1,'Staff Months'!$C$6:$C$2345,A44)</f>
        <v>0</v>
      </c>
      <c r="N44" s="10" t="n">
        <f aca="false">SUMIFS('Vendor Months'!$G$6:$G$3965,'Vendor Months'!$A$6:$A$3965,$AS$1,'Vendor Months'!$C$6:$C$3965,A44,'Vendor Months'!$J$6:$J$3965,"INFRA")</f>
        <v>1410.23091733816</v>
      </c>
      <c r="O44" s="10" t="n">
        <f aca="false">SUMIFS('Vendor Months'!$G$6:$G$3965,'Vendor Months'!$A$6:$A$3965,$AS$1,'Vendor Months'!$C$6:$C$3965,A44,'Vendor Months'!$J$6:$J$3965,"TOOLS")</f>
        <v>374.805361</v>
      </c>
      <c r="P44" s="10" t="n">
        <f aca="false">SUMIFS('Vendor Months'!$G$6:$G$3965,'Vendor Months'!$A$6:$A$3965,$AS$1,'Vendor Months'!$C$6:$C$3965,A44,'Vendor Months'!$J$6:$J$3965,"LEGAL")</f>
        <v>0</v>
      </c>
      <c r="Q44" s="10" t="n">
        <f aca="false">SUMIFS('Vendor Months'!$G$6:$G$3965,'Vendor Months'!$A$6:$A$3965,$AS$1,'Vendor Months'!$C$6:$C$3965,A44,'Vendor Months'!$J$6:$J$3965,"SECURITY")</f>
        <v>0</v>
      </c>
      <c r="R44" s="10" t="n">
        <f aca="false">SUMIFS('Vendor Months'!$G$6:$G$3965,'Vendor Months'!$A$6:$A$3965,$AS$1,'Vendor Months'!$C$6:$C$3965,A44,'Vendor Months'!$J$6:$J$3965,"COMPLIANCE")</f>
        <v>0</v>
      </c>
      <c r="S44" s="10" t="n">
        <f aca="false">SUMIFS('Vendor Months'!$G$6:$G$3965,'Vendor Months'!$A$6:$A$3965,$AS$1,'Vendor Months'!$C$6:$C$3965,A44,'Vendor Months'!$J$6:$J$3965,"INSURANCE")</f>
        <v>0</v>
      </c>
      <c r="T44" s="10" t="n">
        <f aca="false">SUMIFS('Vendor Months'!$G$6:$G$3965,'Vendor Months'!$A$6:$A$3965,$AS$1,'Vendor Months'!$C$6:$C$3965,A44,'Vendor Months'!$J$6:$J$3965,"ACCOUNTING")</f>
        <v>655.6362</v>
      </c>
      <c r="U44" s="10" t="n">
        <f aca="false">SUMIFS('Vendor Months'!$G$6:$G$3965,'Vendor Months'!$A$6:$A$3965,$AS$1,'Vendor Months'!$C$6:$C$3965,A44,'Vendor Months'!$J$6:$J$3965,"SUPPORT")</f>
        <v>109.2727</v>
      </c>
      <c r="V44" s="10" t="n">
        <f aca="false">SUMIFS('Vendor Months'!$G$6:$G$3965,'Vendor Months'!$A$6:$A$3965,$AS$1,'Vendor Months'!$C$6:$C$3965,A44,'Vendor Months'!$J$6:$J$3965,"MARKETING")</f>
        <v>944.364360898224</v>
      </c>
      <c r="W44" s="10" t="n">
        <f aca="false">SUMIFS('Vendor Months'!$G$6:$G$3965,'Vendor Months'!$A$6:$A$3965,$AS$1,'Vendor Months'!$C$6:$C$3965,A44,'Vendor Months'!$J$6:$J$3965,"ONBOARD")</f>
        <v>204.8863125</v>
      </c>
      <c r="X44" s="10" t="n">
        <f aca="false">SUMIFS('Vendor Months'!$G$6:$G$3965,'Vendor Months'!$A$6:$A$3965,$AS$1,'Vendor Months'!$C$6:$C$3965,A44,'Vendor Months'!$J$6:$J$3965,"AI")</f>
        <v>0</v>
      </c>
      <c r="Y44" s="10" t="n">
        <f aca="false">SUMIFS('Vendor Months'!$G$6:$G$3965,'Vendor Months'!$A$6:$A$3965,$AS$1,'Vendor Months'!$C$6:$C$3965,A44,'Vendor Months'!$J$6:$J$3965,"CTMS")</f>
        <v>0</v>
      </c>
      <c r="Z44" s="10" t="n">
        <f aca="false">SUM(N44:Y44)</f>
        <v>3699.19585173638</v>
      </c>
      <c r="AA44" s="10" t="n">
        <f aca="false">(SUM(K44:M44)+Z44)*Assumptions!$C$12</f>
        <v>10650.659443507</v>
      </c>
      <c r="AB44" s="10" t="n">
        <f aca="false">AD44*Assumptions!$C$29</f>
        <v>172.845433653277</v>
      </c>
      <c r="AC44" s="10" t="n">
        <f aca="false">SUM(K44:M44)+Z44+AA44+AB44</f>
        <v>117330.09931223</v>
      </c>
      <c r="AD44" s="10" t="n">
        <f aca="false">D44*Assumptions!$C$17</f>
        <v>5761.51445510924</v>
      </c>
      <c r="AE44" s="10" t="n">
        <f aca="false">AD44*12</f>
        <v>69138.1734613109</v>
      </c>
      <c r="AF44" s="10" t="n">
        <f aca="false">AC44-AD44</f>
        <v>111568.584857121</v>
      </c>
      <c r="AG44" s="10" t="n">
        <f aca="false">IF(A44=Assumptions!$C$7,Assumptions!$C$8,0)</f>
        <v>0</v>
      </c>
      <c r="AH44" s="10" t="n">
        <f aca="false">AI43</f>
        <v>-1677367.01298116</v>
      </c>
      <c r="AI44" s="10" t="n">
        <f aca="false">AH44+AG44-AF44</f>
        <v>-1788935.59783828</v>
      </c>
      <c r="AJ44" s="10" t="n">
        <f aca="false">SUM($AC$6:AC44)</f>
        <v>3360596.14861944</v>
      </c>
      <c r="AK44" s="10" t="n">
        <f aca="false">MAX(0,-AI44)</f>
        <v>1788935.59783828</v>
      </c>
      <c r="AL44" s="10" t="n">
        <f aca="false">Assumptions!$C$6+SUM($AG$6:AG44)-AJ44</f>
        <v>-1860596.14861944</v>
      </c>
      <c r="AM44" s="10" t="n">
        <f aca="false">SUMIFS('Vendor Months'!$H$6:$H$3965,'Vendor Months'!$A$6:$A$3965,$AS$1,'Vendor Months'!$C$6:$C$3965,A44)</f>
        <v>2021.54495</v>
      </c>
      <c r="AN44" s="10" t="n">
        <f aca="false">X44+Y44</f>
        <v>0</v>
      </c>
      <c r="AO44" s="10" t="n">
        <f aca="false">SUMIFS('Staff Months'!$I$6:$I$2345,'Staff Months'!$A$6:$A$2345,$AS$1,'Staff Months'!$C$6:$C$2345,A44)</f>
        <v>10244.315625</v>
      </c>
      <c r="AP44" s="10" t="n">
        <f aca="false">SUM($AF$6:AF44)</f>
        <v>3288935.59783828</v>
      </c>
      <c r="AQ44" s="10" t="n">
        <f aca="false">AC44</f>
        <v>117330.09931223</v>
      </c>
      <c r="AR44" s="26" t="n">
        <f aca="false">IF(AI44&lt;0,1,0)</f>
        <v>1</v>
      </c>
      <c r="AS44" s="6"/>
    </row>
    <row r="45" customFormat="false" ht="15" hidden="false" customHeight="false" outlineLevel="0" collapsed="false">
      <c r="A45" s="6" t="n">
        <v>40</v>
      </c>
      <c r="B45" s="25" t="n">
        <f aca="false">EDATE('Start Here'!$B$6,A45-1)</f>
        <v>47515</v>
      </c>
      <c r="C45" s="11" t="n">
        <f aca="false">IF(A45&gt;=Assumptions!$C$13,Assumptions!$C$14*(1+Assumptions!$C$15)^INT((A45-Assumptions!$C$13)/12),0)</f>
        <v>0.78125</v>
      </c>
      <c r="D45" s="11" t="n">
        <f aca="false">D44*(1-Assumptions!$C$16)+C45</f>
        <v>12.1314334765652</v>
      </c>
      <c r="E45" s="11" t="n">
        <f aca="false">D45*Assumptions!$C$18</f>
        <v>97.0514678125217</v>
      </c>
      <c r="F45" s="11" t="n">
        <f aca="false">E45*Assumptions!$C$19*30/1000000</f>
        <v>0.291154403437565</v>
      </c>
      <c r="G45" s="11" t="n">
        <f aca="false">D45*Assumptions!$C$20</f>
        <v>24.2628669531304</v>
      </c>
      <c r="H45" s="11" t="n">
        <f aca="false">D45*Assumptions!$C$21</f>
        <v>6.06571673828261</v>
      </c>
      <c r="I45" s="11" t="n">
        <f aca="false">SUMIFS('Staff Months'!$E$6:$E$2345,'Staff Months'!$A$6:$A$2345,$AS$1,'Staff Months'!$C$6:$C$2345,A45)</f>
        <v>6.95</v>
      </c>
      <c r="J45" s="11" t="n">
        <f aca="false">SUMIFS('Staff Months'!$L$6:$L$2345,'Staff Months'!$A$6:$A$2345,$AS$1,'Staff Months'!$C$6:$C$2345,A45)</f>
        <v>9</v>
      </c>
      <c r="K45" s="10" t="n">
        <f aca="false">SUMIFS('Staff Months'!$H$6:$H$2345,'Staff Months'!$A$6:$A$2345,$AS$1,'Staff Months'!$C$6:$C$2345,A45)</f>
        <v>102807.398583333</v>
      </c>
      <c r="L45" s="10" t="n">
        <f aca="false">SUMIFS('Staff Months'!$J$6:$J$2345,'Staff Months'!$A$6:$A$2345,$AS$1,'Staff Months'!$C$6:$C$2345,A45)</f>
        <v>0</v>
      </c>
      <c r="M45" s="10" t="n">
        <f aca="false">SUMIFS('Staff Months'!$K$6:$K$2345,'Staff Months'!$A$6:$A$2345,$AS$1,'Staff Months'!$C$6:$C$2345,A45)</f>
        <v>0</v>
      </c>
      <c r="N45" s="10" t="n">
        <f aca="false">SUMIFS('Vendor Months'!$G$6:$G$3965,'Vendor Months'!$A$6:$A$3965,$AS$1,'Vendor Months'!$C$6:$C$3965,A45,'Vendor Months'!$J$6:$J$3965,"INFRA")</f>
        <v>1412.57108407808</v>
      </c>
      <c r="O45" s="10" t="n">
        <f aca="false">SUMIFS('Vendor Months'!$G$6:$G$3965,'Vendor Months'!$A$6:$A$3965,$AS$1,'Vendor Months'!$C$6:$C$3965,A45,'Vendor Months'!$J$6:$J$3965,"TOOLS")</f>
        <v>374.805361</v>
      </c>
      <c r="P45" s="10" t="n">
        <f aca="false">SUMIFS('Vendor Months'!$G$6:$G$3965,'Vendor Months'!$A$6:$A$3965,$AS$1,'Vendor Months'!$C$6:$C$3965,A45,'Vendor Months'!$J$6:$J$3965,"LEGAL")</f>
        <v>0</v>
      </c>
      <c r="Q45" s="10" t="n">
        <f aca="false">SUMIFS('Vendor Months'!$G$6:$G$3965,'Vendor Months'!$A$6:$A$3965,$AS$1,'Vendor Months'!$C$6:$C$3965,A45,'Vendor Months'!$J$6:$J$3965,"SECURITY")</f>
        <v>0</v>
      </c>
      <c r="R45" s="10" t="n">
        <f aca="false">SUMIFS('Vendor Months'!$G$6:$G$3965,'Vendor Months'!$A$6:$A$3965,$AS$1,'Vendor Months'!$C$6:$C$3965,A45,'Vendor Months'!$J$6:$J$3965,"COMPLIANCE")</f>
        <v>0</v>
      </c>
      <c r="S45" s="10" t="n">
        <f aca="false">SUMIFS('Vendor Months'!$G$6:$G$3965,'Vendor Months'!$A$6:$A$3965,$AS$1,'Vendor Months'!$C$6:$C$3965,A45,'Vendor Months'!$J$6:$J$3965,"INSURANCE")</f>
        <v>0</v>
      </c>
      <c r="T45" s="10" t="n">
        <f aca="false">SUMIFS('Vendor Months'!$G$6:$G$3965,'Vendor Months'!$A$6:$A$3965,$AS$1,'Vendor Months'!$C$6:$C$3965,A45,'Vendor Months'!$J$6:$J$3965,"ACCOUNTING")</f>
        <v>655.6362</v>
      </c>
      <c r="U45" s="10" t="n">
        <f aca="false">SUMIFS('Vendor Months'!$G$6:$G$3965,'Vendor Months'!$A$6:$A$3965,$AS$1,'Vendor Months'!$C$6:$C$3965,A45,'Vendor Months'!$J$6:$J$3965,"SUPPORT")</f>
        <v>109.2727</v>
      </c>
      <c r="V45" s="10" t="n">
        <f aca="false">SUMIFS('Vendor Months'!$G$6:$G$3965,'Vendor Months'!$A$6:$A$3965,$AS$1,'Vendor Months'!$C$6:$C$3965,A45,'Vendor Months'!$J$6:$J$3965,"MARKETING")</f>
        <v>994.225868141001</v>
      </c>
      <c r="W45" s="10" t="n">
        <f aca="false">SUMIFS('Vendor Months'!$G$6:$G$3965,'Vendor Months'!$A$6:$A$3965,$AS$1,'Vendor Months'!$C$6:$C$3965,A45,'Vendor Months'!$J$6:$J$3965,"ONBOARD")</f>
        <v>256.107890625</v>
      </c>
      <c r="X45" s="10" t="n">
        <f aca="false">SUMIFS('Vendor Months'!$G$6:$G$3965,'Vendor Months'!$A$6:$A$3965,$AS$1,'Vendor Months'!$C$6:$C$3965,A45,'Vendor Months'!$J$6:$J$3965,"AI")</f>
        <v>0</v>
      </c>
      <c r="Y45" s="10" t="n">
        <f aca="false">SUMIFS('Vendor Months'!$G$6:$G$3965,'Vendor Months'!$A$6:$A$3965,$AS$1,'Vendor Months'!$C$6:$C$3965,A45,'Vendor Months'!$J$6:$J$3965,"CTMS")</f>
        <v>0</v>
      </c>
      <c r="Z45" s="10" t="n">
        <f aca="false">SUM(N45:Y45)</f>
        <v>3802.61910384408</v>
      </c>
      <c r="AA45" s="10" t="n">
        <f aca="false">(SUM(K45:M45)+Z45)*Assumptions!$C$12</f>
        <v>10661.0017687177</v>
      </c>
      <c r="AB45" s="10" t="n">
        <f aca="false">AD45*Assumptions!$C$29</f>
        <v>181.971502148478</v>
      </c>
      <c r="AC45" s="10" t="n">
        <f aca="false">SUM(K45:M45)+Z45+AA45+AB45</f>
        <v>117452.990958044</v>
      </c>
      <c r="AD45" s="10" t="n">
        <f aca="false">D45*Assumptions!$C$17</f>
        <v>6065.71673828261</v>
      </c>
      <c r="AE45" s="10" t="n">
        <f aca="false">AD45*12</f>
        <v>72788.6008593913</v>
      </c>
      <c r="AF45" s="10" t="n">
        <f aca="false">AC45-AD45</f>
        <v>111387.274219761</v>
      </c>
      <c r="AG45" s="10" t="n">
        <f aca="false">IF(A45=Assumptions!$C$7,Assumptions!$C$8,0)</f>
        <v>0</v>
      </c>
      <c r="AH45" s="10" t="n">
        <f aca="false">AI44</f>
        <v>-1788935.59783828</v>
      </c>
      <c r="AI45" s="10" t="n">
        <f aca="false">AH45+AG45-AF45</f>
        <v>-1900322.87205804</v>
      </c>
      <c r="AJ45" s="10" t="n">
        <f aca="false">SUM($AC$6:AC45)</f>
        <v>3478049.13957748</v>
      </c>
      <c r="AK45" s="10" t="n">
        <f aca="false">MAX(0,-AI45)</f>
        <v>1900322.87205804</v>
      </c>
      <c r="AL45" s="10" t="n">
        <f aca="false">Assumptions!$C$6+SUM($AG$6:AG45)-AJ45</f>
        <v>-1978049.13957748</v>
      </c>
      <c r="AM45" s="10" t="n">
        <f aca="false">SUMIFS('Vendor Months'!$H$6:$H$3965,'Vendor Months'!$A$6:$A$3965,$AS$1,'Vendor Months'!$C$6:$C$3965,A45)</f>
        <v>2021.54495</v>
      </c>
      <c r="AN45" s="10" t="n">
        <f aca="false">X45+Y45</f>
        <v>0</v>
      </c>
      <c r="AO45" s="10" t="n">
        <f aca="false">SUMIFS('Staff Months'!$I$6:$I$2345,'Staff Months'!$A$6:$A$2345,$AS$1,'Staff Months'!$C$6:$C$2345,A45)</f>
        <v>10244.315625</v>
      </c>
      <c r="AP45" s="10" t="n">
        <f aca="false">SUM($AF$6:AF45)</f>
        <v>3400322.87205804</v>
      </c>
      <c r="AQ45" s="10" t="n">
        <f aca="false">AC45</f>
        <v>117452.990958044</v>
      </c>
      <c r="AR45" s="26" t="n">
        <f aca="false">IF(AI45&lt;0,1,0)</f>
        <v>1</v>
      </c>
      <c r="AS45" s="6"/>
    </row>
    <row r="46" customFormat="false" ht="15" hidden="false" customHeight="false" outlineLevel="0" collapsed="false">
      <c r="A46" s="6" t="n">
        <v>41</v>
      </c>
      <c r="B46" s="25" t="n">
        <f aca="false">EDATE('Start Here'!$B$6,A46-1)</f>
        <v>47543</v>
      </c>
      <c r="C46" s="11" t="n">
        <f aca="false">IF(A46&gt;=Assumptions!$C$13,Assumptions!$C$14*(1+Assumptions!$C$15)^INT((A46-Assumptions!$C$13)/12),0)</f>
        <v>0.78125</v>
      </c>
      <c r="D46" s="11" t="n">
        <f aca="false">D45*(1-Assumptions!$C$16)+C46</f>
        <v>12.7307119744167</v>
      </c>
      <c r="E46" s="11" t="n">
        <f aca="false">D46*Assumptions!$C$18</f>
        <v>101.845695795334</v>
      </c>
      <c r="F46" s="11" t="n">
        <f aca="false">E46*Assumptions!$C$19*30/1000000</f>
        <v>0.305537087386002</v>
      </c>
      <c r="G46" s="11" t="n">
        <f aca="false">D46*Assumptions!$C$20</f>
        <v>25.4614239488335</v>
      </c>
      <c r="H46" s="11" t="n">
        <f aca="false">D46*Assumptions!$C$21</f>
        <v>6.36535598720837</v>
      </c>
      <c r="I46" s="11" t="n">
        <f aca="false">SUMIFS('Staff Months'!$E$6:$E$2345,'Staff Months'!$A$6:$A$2345,$AS$1,'Staff Months'!$C$6:$C$2345,A46)</f>
        <v>6.95</v>
      </c>
      <c r="J46" s="11" t="n">
        <f aca="false">SUMIFS('Staff Months'!$L$6:$L$2345,'Staff Months'!$A$6:$A$2345,$AS$1,'Staff Months'!$C$6:$C$2345,A46)</f>
        <v>9</v>
      </c>
      <c r="K46" s="10" t="n">
        <f aca="false">SUMIFS('Staff Months'!$H$6:$H$2345,'Staff Months'!$A$6:$A$2345,$AS$1,'Staff Months'!$C$6:$C$2345,A46)</f>
        <v>102807.398583333</v>
      </c>
      <c r="L46" s="10" t="n">
        <f aca="false">SUMIFS('Staff Months'!$J$6:$J$2345,'Staff Months'!$A$6:$A$2345,$AS$1,'Staff Months'!$C$6:$C$2345,A46)</f>
        <v>0</v>
      </c>
      <c r="M46" s="10" t="n">
        <f aca="false">SUMIFS('Staff Months'!$K$6:$K$2345,'Staff Months'!$A$6:$A$2345,$AS$1,'Staff Months'!$C$6:$C$2345,A46)</f>
        <v>0</v>
      </c>
      <c r="N46" s="10" t="n">
        <f aca="false">SUMIFS('Vendor Months'!$G$6:$G$3965,'Vendor Months'!$A$6:$A$3965,$AS$1,'Vendor Months'!$C$6:$C$3965,A46,'Vendor Months'!$J$6:$J$3965,"INFRA")</f>
        <v>1414.87614831691</v>
      </c>
      <c r="O46" s="10" t="n">
        <f aca="false">SUMIFS('Vendor Months'!$G$6:$G$3965,'Vendor Months'!$A$6:$A$3965,$AS$1,'Vendor Months'!$C$6:$C$3965,A46,'Vendor Months'!$J$6:$J$3965,"TOOLS")</f>
        <v>374.805361</v>
      </c>
      <c r="P46" s="10" t="n">
        <f aca="false">SUMIFS('Vendor Months'!$G$6:$G$3965,'Vendor Months'!$A$6:$A$3965,$AS$1,'Vendor Months'!$C$6:$C$3965,A46,'Vendor Months'!$J$6:$J$3965,"LEGAL")</f>
        <v>0</v>
      </c>
      <c r="Q46" s="10" t="n">
        <f aca="false">SUMIFS('Vendor Months'!$G$6:$G$3965,'Vendor Months'!$A$6:$A$3965,$AS$1,'Vendor Months'!$C$6:$C$3965,A46,'Vendor Months'!$J$6:$J$3965,"SECURITY")</f>
        <v>0</v>
      </c>
      <c r="R46" s="10" t="n">
        <f aca="false">SUMIFS('Vendor Months'!$G$6:$G$3965,'Vendor Months'!$A$6:$A$3965,$AS$1,'Vendor Months'!$C$6:$C$3965,A46,'Vendor Months'!$J$6:$J$3965,"COMPLIANCE")</f>
        <v>0</v>
      </c>
      <c r="S46" s="10" t="n">
        <f aca="false">SUMIFS('Vendor Months'!$G$6:$G$3965,'Vendor Months'!$A$6:$A$3965,$AS$1,'Vendor Months'!$C$6:$C$3965,A46,'Vendor Months'!$J$6:$J$3965,"INSURANCE")</f>
        <v>0</v>
      </c>
      <c r="T46" s="10" t="n">
        <f aca="false">SUMIFS('Vendor Months'!$G$6:$G$3965,'Vendor Months'!$A$6:$A$3965,$AS$1,'Vendor Months'!$C$6:$C$3965,A46,'Vendor Months'!$J$6:$J$3965,"ACCOUNTING")</f>
        <v>655.6362</v>
      </c>
      <c r="U46" s="10" t="n">
        <f aca="false">SUMIFS('Vendor Months'!$G$6:$G$3965,'Vendor Months'!$A$6:$A$3965,$AS$1,'Vendor Months'!$C$6:$C$3965,A46,'Vendor Months'!$J$6:$J$3965,"SUPPORT")</f>
        <v>109.2727</v>
      </c>
      <c r="V46" s="10" t="n">
        <f aca="false">SUMIFS('Vendor Months'!$G$6:$G$3965,'Vendor Months'!$A$6:$A$3965,$AS$1,'Vendor Months'!$C$6:$C$3965,A46,'Vendor Months'!$J$6:$J$3965,"MARKETING")</f>
        <v>1043.33945277514</v>
      </c>
      <c r="W46" s="10" t="n">
        <f aca="false">SUMIFS('Vendor Months'!$G$6:$G$3965,'Vendor Months'!$A$6:$A$3965,$AS$1,'Vendor Months'!$C$6:$C$3965,A46,'Vendor Months'!$J$6:$J$3965,"ONBOARD")</f>
        <v>256.107890625</v>
      </c>
      <c r="X46" s="10" t="n">
        <f aca="false">SUMIFS('Vendor Months'!$G$6:$G$3965,'Vendor Months'!$A$6:$A$3965,$AS$1,'Vendor Months'!$C$6:$C$3965,A46,'Vendor Months'!$J$6:$J$3965,"AI")</f>
        <v>0</v>
      </c>
      <c r="Y46" s="10" t="n">
        <f aca="false">SUMIFS('Vendor Months'!$G$6:$G$3965,'Vendor Months'!$A$6:$A$3965,$AS$1,'Vendor Months'!$C$6:$C$3965,A46,'Vendor Months'!$J$6:$J$3965,"CTMS")</f>
        <v>0</v>
      </c>
      <c r="Z46" s="10" t="n">
        <f aca="false">SUM(N46:Y46)</f>
        <v>3854.03775271705</v>
      </c>
      <c r="AA46" s="10" t="n">
        <f aca="false">(SUM(K46:M46)+Z46)*Assumptions!$C$12</f>
        <v>10666.143633605</v>
      </c>
      <c r="AB46" s="10" t="n">
        <f aca="false">AD46*Assumptions!$C$29</f>
        <v>190.960679616251</v>
      </c>
      <c r="AC46" s="10" t="n">
        <f aca="false">SUM(K46:M46)+Z46+AA46+AB46</f>
        <v>117518.540649272</v>
      </c>
      <c r="AD46" s="10" t="n">
        <f aca="false">D46*Assumptions!$C$17</f>
        <v>6365.35598720837</v>
      </c>
      <c r="AE46" s="10" t="n">
        <f aca="false">AD46*12</f>
        <v>76384.2718465004</v>
      </c>
      <c r="AF46" s="10" t="n">
        <f aca="false">AC46-AD46</f>
        <v>111153.184662063</v>
      </c>
      <c r="AG46" s="10" t="n">
        <f aca="false">IF(A46=Assumptions!$C$7,Assumptions!$C$8,0)</f>
        <v>0</v>
      </c>
      <c r="AH46" s="10" t="n">
        <f aca="false">AI45</f>
        <v>-1900322.87205804</v>
      </c>
      <c r="AI46" s="10" t="n">
        <f aca="false">AH46+AG46-AF46</f>
        <v>-2011476.0567201</v>
      </c>
      <c r="AJ46" s="10" t="n">
        <f aca="false">SUM($AC$6:AC46)</f>
        <v>3595567.68022675</v>
      </c>
      <c r="AK46" s="10" t="n">
        <f aca="false">MAX(0,-AI46)</f>
        <v>2011476.0567201</v>
      </c>
      <c r="AL46" s="10" t="n">
        <f aca="false">Assumptions!$C$6+SUM($AG$6:AG46)-AJ46</f>
        <v>-2095567.68022675</v>
      </c>
      <c r="AM46" s="10" t="n">
        <f aca="false">SUMIFS('Vendor Months'!$H$6:$H$3965,'Vendor Months'!$A$6:$A$3965,$AS$1,'Vendor Months'!$C$6:$C$3965,A46)</f>
        <v>2021.54495</v>
      </c>
      <c r="AN46" s="10" t="n">
        <f aca="false">X46+Y46</f>
        <v>0</v>
      </c>
      <c r="AO46" s="10" t="n">
        <f aca="false">SUMIFS('Staff Months'!$I$6:$I$2345,'Staff Months'!$A$6:$A$2345,$AS$1,'Staff Months'!$C$6:$C$2345,A46)</f>
        <v>10244.315625</v>
      </c>
      <c r="AP46" s="10" t="n">
        <f aca="false">SUM($AF$6:AF46)</f>
        <v>3511476.0567201</v>
      </c>
      <c r="AQ46" s="10" t="n">
        <f aca="false">AC46</f>
        <v>117518.540649272</v>
      </c>
      <c r="AR46" s="26" t="n">
        <f aca="false">IF(AI46&lt;0,1,0)</f>
        <v>1</v>
      </c>
      <c r="AS46" s="6"/>
    </row>
    <row r="47" customFormat="false" ht="15" hidden="false" customHeight="false" outlineLevel="0" collapsed="false">
      <c r="A47" s="6" t="n">
        <v>42</v>
      </c>
      <c r="B47" s="25" t="n">
        <f aca="false">EDATE('Start Here'!$B$6,A47-1)</f>
        <v>47574</v>
      </c>
      <c r="C47" s="11" t="n">
        <f aca="false">IF(A47&gt;=Assumptions!$C$13,Assumptions!$C$14*(1+Assumptions!$C$15)^INT((A47-Assumptions!$C$13)/12),0)</f>
        <v>0.78125</v>
      </c>
      <c r="D47" s="11" t="n">
        <f aca="false">D46*(1-Assumptions!$C$16)+C47</f>
        <v>13.3210012948005</v>
      </c>
      <c r="E47" s="11" t="n">
        <f aca="false">D47*Assumptions!$C$18</f>
        <v>106.568010358404</v>
      </c>
      <c r="F47" s="11" t="n">
        <f aca="false">E47*Assumptions!$C$19*30/1000000</f>
        <v>0.319704031075212</v>
      </c>
      <c r="G47" s="11" t="n">
        <f aca="false">D47*Assumptions!$C$20</f>
        <v>26.642002589601</v>
      </c>
      <c r="H47" s="11" t="n">
        <f aca="false">D47*Assumptions!$C$21</f>
        <v>6.66050064740024</v>
      </c>
      <c r="I47" s="11" t="n">
        <f aca="false">SUMIFS('Staff Months'!$E$6:$E$2345,'Staff Months'!$A$6:$A$2345,$AS$1,'Staff Months'!$C$6:$C$2345,A47)</f>
        <v>6.95</v>
      </c>
      <c r="J47" s="11" t="n">
        <f aca="false">SUMIFS('Staff Months'!$L$6:$L$2345,'Staff Months'!$A$6:$A$2345,$AS$1,'Staff Months'!$C$6:$C$2345,A47)</f>
        <v>9</v>
      </c>
      <c r="K47" s="10" t="n">
        <f aca="false">SUMIFS('Staff Months'!$H$6:$H$2345,'Staff Months'!$A$6:$A$2345,$AS$1,'Staff Months'!$C$6:$C$2345,A47)</f>
        <v>102807.398583333</v>
      </c>
      <c r="L47" s="10" t="n">
        <f aca="false">SUMIFS('Staff Months'!$J$6:$J$2345,'Staff Months'!$A$6:$A$2345,$AS$1,'Staff Months'!$C$6:$C$2345,A47)</f>
        <v>0</v>
      </c>
      <c r="M47" s="10" t="n">
        <f aca="false">SUMIFS('Staff Months'!$K$6:$K$2345,'Staff Months'!$A$6:$A$2345,$AS$1,'Staff Months'!$C$6:$C$2345,A47)</f>
        <v>0</v>
      </c>
      <c r="N47" s="10" t="n">
        <f aca="false">SUMIFS('Vendor Months'!$G$6:$G$3965,'Vendor Months'!$A$6:$A$3965,$AS$1,'Vendor Months'!$C$6:$C$3965,A47,'Vendor Months'!$J$6:$J$3965,"INFRA")</f>
        <v>1417.14663659216</v>
      </c>
      <c r="O47" s="10" t="n">
        <f aca="false">SUMIFS('Vendor Months'!$G$6:$G$3965,'Vendor Months'!$A$6:$A$3965,$AS$1,'Vendor Months'!$C$6:$C$3965,A47,'Vendor Months'!$J$6:$J$3965,"TOOLS")</f>
        <v>374.805361</v>
      </c>
      <c r="P47" s="10" t="n">
        <f aca="false">SUMIFS('Vendor Months'!$G$6:$G$3965,'Vendor Months'!$A$6:$A$3965,$AS$1,'Vendor Months'!$C$6:$C$3965,A47,'Vendor Months'!$J$6:$J$3965,"LEGAL")</f>
        <v>0</v>
      </c>
      <c r="Q47" s="10" t="n">
        <f aca="false">SUMIFS('Vendor Months'!$G$6:$G$3965,'Vendor Months'!$A$6:$A$3965,$AS$1,'Vendor Months'!$C$6:$C$3965,A47,'Vendor Months'!$J$6:$J$3965,"SECURITY")</f>
        <v>0</v>
      </c>
      <c r="R47" s="10" t="n">
        <f aca="false">SUMIFS('Vendor Months'!$G$6:$G$3965,'Vendor Months'!$A$6:$A$3965,$AS$1,'Vendor Months'!$C$6:$C$3965,A47,'Vendor Months'!$J$6:$J$3965,"COMPLIANCE")</f>
        <v>0</v>
      </c>
      <c r="S47" s="10" t="n">
        <f aca="false">SUMIFS('Vendor Months'!$G$6:$G$3965,'Vendor Months'!$A$6:$A$3965,$AS$1,'Vendor Months'!$C$6:$C$3965,A47,'Vendor Months'!$J$6:$J$3965,"INSURANCE")</f>
        <v>0</v>
      </c>
      <c r="T47" s="10" t="n">
        <f aca="false">SUMIFS('Vendor Months'!$G$6:$G$3965,'Vendor Months'!$A$6:$A$3965,$AS$1,'Vendor Months'!$C$6:$C$3965,A47,'Vendor Months'!$J$6:$J$3965,"ACCOUNTING")</f>
        <v>655.6362</v>
      </c>
      <c r="U47" s="10" t="n">
        <f aca="false">SUMIFS('Vendor Months'!$G$6:$G$3965,'Vendor Months'!$A$6:$A$3965,$AS$1,'Vendor Months'!$C$6:$C$3965,A47,'Vendor Months'!$J$6:$J$3965,"SUPPORT")</f>
        <v>109.2727</v>
      </c>
      <c r="V47" s="10" t="n">
        <f aca="false">SUMIFS('Vendor Months'!$G$6:$G$3965,'Vendor Months'!$A$6:$A$3965,$AS$1,'Vendor Months'!$C$6:$C$3965,A47,'Vendor Months'!$J$6:$J$3965,"MARKETING")</f>
        <v>1091.71633363976</v>
      </c>
      <c r="W47" s="10" t="n">
        <f aca="false">SUMIFS('Vendor Months'!$G$6:$G$3965,'Vendor Months'!$A$6:$A$3965,$AS$1,'Vendor Months'!$C$6:$C$3965,A47,'Vendor Months'!$J$6:$J$3965,"ONBOARD")</f>
        <v>256.107890625</v>
      </c>
      <c r="X47" s="10" t="n">
        <f aca="false">SUMIFS('Vendor Months'!$G$6:$G$3965,'Vendor Months'!$A$6:$A$3965,$AS$1,'Vendor Months'!$C$6:$C$3965,A47,'Vendor Months'!$J$6:$J$3965,"AI")</f>
        <v>0</v>
      </c>
      <c r="Y47" s="10" t="n">
        <f aca="false">SUMIFS('Vendor Months'!$G$6:$G$3965,'Vendor Months'!$A$6:$A$3965,$AS$1,'Vendor Months'!$C$6:$C$3965,A47,'Vendor Months'!$J$6:$J$3965,"CTMS")</f>
        <v>0</v>
      </c>
      <c r="Z47" s="10" t="n">
        <f aca="false">SUM(N47:Y47)</f>
        <v>3904.68512185692</v>
      </c>
      <c r="AA47" s="10" t="n">
        <f aca="false">(SUM(K47:M47)+Z47)*Assumptions!$C$12</f>
        <v>10671.208370519</v>
      </c>
      <c r="AB47" s="10" t="n">
        <f aca="false">AD47*Assumptions!$C$29</f>
        <v>199.815019422007</v>
      </c>
      <c r="AC47" s="10" t="n">
        <f aca="false">SUM(K47:M47)+Z47+AA47+AB47</f>
        <v>117583.107095131</v>
      </c>
      <c r="AD47" s="10" t="n">
        <f aca="false">D47*Assumptions!$C$17</f>
        <v>6660.50064740024</v>
      </c>
      <c r="AE47" s="10" t="n">
        <f aca="false">AD47*12</f>
        <v>79926.0077688029</v>
      </c>
      <c r="AF47" s="10" t="n">
        <f aca="false">AC47-AD47</f>
        <v>110922.606447731</v>
      </c>
      <c r="AG47" s="10" t="n">
        <f aca="false">IF(A47=Assumptions!$C$7,Assumptions!$C$8,0)</f>
        <v>0</v>
      </c>
      <c r="AH47" s="10" t="n">
        <f aca="false">AI46</f>
        <v>-2011476.0567201</v>
      </c>
      <c r="AI47" s="10" t="n">
        <f aca="false">AH47+AG47-AF47</f>
        <v>-2122398.66316783</v>
      </c>
      <c r="AJ47" s="10" t="n">
        <f aca="false">SUM($AC$6:AC47)</f>
        <v>3713150.78732188</v>
      </c>
      <c r="AK47" s="10" t="n">
        <f aca="false">MAX(0,-AI47)</f>
        <v>2122398.66316783</v>
      </c>
      <c r="AL47" s="10" t="n">
        <f aca="false">Assumptions!$C$6+SUM($AG$6:AG47)-AJ47</f>
        <v>-2213150.78732188</v>
      </c>
      <c r="AM47" s="10" t="n">
        <f aca="false">SUMIFS('Vendor Months'!$H$6:$H$3965,'Vendor Months'!$A$6:$A$3965,$AS$1,'Vendor Months'!$C$6:$C$3965,A47)</f>
        <v>2021.54495</v>
      </c>
      <c r="AN47" s="10" t="n">
        <f aca="false">X47+Y47</f>
        <v>0</v>
      </c>
      <c r="AO47" s="10" t="n">
        <f aca="false">SUMIFS('Staff Months'!$I$6:$I$2345,'Staff Months'!$A$6:$A$2345,$AS$1,'Staff Months'!$C$6:$C$2345,A47)</f>
        <v>10244.315625</v>
      </c>
      <c r="AP47" s="10" t="n">
        <f aca="false">SUM($AF$6:AF47)</f>
        <v>3622398.66316783</v>
      </c>
      <c r="AQ47" s="10" t="n">
        <f aca="false">AC47</f>
        <v>117583.107095131</v>
      </c>
      <c r="AR47" s="26" t="n">
        <f aca="false">IF(AI47&lt;0,1,0)</f>
        <v>1</v>
      </c>
      <c r="AS47" s="6"/>
    </row>
    <row r="48" customFormat="false" ht="15" hidden="false" customHeight="false" outlineLevel="0" collapsed="false">
      <c r="A48" s="6" t="n">
        <v>43</v>
      </c>
      <c r="B48" s="25" t="n">
        <f aca="false">EDATE('Start Here'!$B$6,A48-1)</f>
        <v>47604</v>
      </c>
      <c r="C48" s="11" t="n">
        <f aca="false">IF(A48&gt;=Assumptions!$C$13,Assumptions!$C$14*(1+Assumptions!$C$15)^INT((A48-Assumptions!$C$13)/12),0)</f>
        <v>0.78125</v>
      </c>
      <c r="D48" s="11" t="n">
        <f aca="false">D47*(1-Assumptions!$C$16)+C48</f>
        <v>13.9024362753785</v>
      </c>
      <c r="E48" s="11" t="n">
        <f aca="false">D48*Assumptions!$C$18</f>
        <v>111.219490203028</v>
      </c>
      <c r="F48" s="11" t="n">
        <f aca="false">E48*Assumptions!$C$19*30/1000000</f>
        <v>0.333658470609083</v>
      </c>
      <c r="G48" s="11" t="n">
        <f aca="false">D48*Assumptions!$C$20</f>
        <v>27.8048725507569</v>
      </c>
      <c r="H48" s="11" t="n">
        <f aca="false">D48*Assumptions!$C$21</f>
        <v>6.95121813768924</v>
      </c>
      <c r="I48" s="11" t="n">
        <f aca="false">SUMIFS('Staff Months'!$E$6:$E$2345,'Staff Months'!$A$6:$A$2345,$AS$1,'Staff Months'!$C$6:$C$2345,A48)</f>
        <v>6.95</v>
      </c>
      <c r="J48" s="11" t="n">
        <f aca="false">SUMIFS('Staff Months'!$L$6:$L$2345,'Staff Months'!$A$6:$A$2345,$AS$1,'Staff Months'!$C$6:$C$2345,A48)</f>
        <v>9</v>
      </c>
      <c r="K48" s="10" t="n">
        <f aca="false">SUMIFS('Staff Months'!$H$6:$H$2345,'Staff Months'!$A$6:$A$2345,$AS$1,'Staff Months'!$C$6:$C$2345,A48)</f>
        <v>102807.398583333</v>
      </c>
      <c r="L48" s="10" t="n">
        <f aca="false">SUMIFS('Staff Months'!$J$6:$J$2345,'Staff Months'!$A$6:$A$2345,$AS$1,'Staff Months'!$C$6:$C$2345,A48)</f>
        <v>0</v>
      </c>
      <c r="M48" s="10" t="n">
        <f aca="false">SUMIFS('Staff Months'!$K$6:$K$2345,'Staff Months'!$A$6:$A$2345,$AS$1,'Staff Months'!$C$6:$C$2345,A48)</f>
        <v>0</v>
      </c>
      <c r="N48" s="10" t="n">
        <f aca="false">SUMIFS('Vendor Months'!$G$6:$G$3965,'Vendor Months'!$A$6:$A$3965,$AS$1,'Vendor Months'!$C$6:$C$3965,A48,'Vendor Months'!$J$6:$J$3965,"INFRA")</f>
        <v>1419.38306754328</v>
      </c>
      <c r="O48" s="10" t="n">
        <f aca="false">SUMIFS('Vendor Months'!$G$6:$G$3965,'Vendor Months'!$A$6:$A$3965,$AS$1,'Vendor Months'!$C$6:$C$3965,A48,'Vendor Months'!$J$6:$J$3965,"TOOLS")</f>
        <v>374.805361</v>
      </c>
      <c r="P48" s="10" t="n">
        <f aca="false">SUMIFS('Vendor Months'!$G$6:$G$3965,'Vendor Months'!$A$6:$A$3965,$AS$1,'Vendor Months'!$C$6:$C$3965,A48,'Vendor Months'!$J$6:$J$3965,"LEGAL")</f>
        <v>0</v>
      </c>
      <c r="Q48" s="10" t="n">
        <f aca="false">SUMIFS('Vendor Months'!$G$6:$G$3965,'Vendor Months'!$A$6:$A$3965,$AS$1,'Vendor Months'!$C$6:$C$3965,A48,'Vendor Months'!$J$6:$J$3965,"SECURITY")</f>
        <v>0</v>
      </c>
      <c r="R48" s="10" t="n">
        <f aca="false">SUMIFS('Vendor Months'!$G$6:$G$3965,'Vendor Months'!$A$6:$A$3965,$AS$1,'Vendor Months'!$C$6:$C$3965,A48,'Vendor Months'!$J$6:$J$3965,"COMPLIANCE")</f>
        <v>0</v>
      </c>
      <c r="S48" s="10" t="n">
        <f aca="false">SUMIFS('Vendor Months'!$G$6:$G$3965,'Vendor Months'!$A$6:$A$3965,$AS$1,'Vendor Months'!$C$6:$C$3965,A48,'Vendor Months'!$J$6:$J$3965,"INSURANCE")</f>
        <v>0</v>
      </c>
      <c r="T48" s="10" t="n">
        <f aca="false">SUMIFS('Vendor Months'!$G$6:$G$3965,'Vendor Months'!$A$6:$A$3965,$AS$1,'Vendor Months'!$C$6:$C$3965,A48,'Vendor Months'!$J$6:$J$3965,"ACCOUNTING")</f>
        <v>655.6362</v>
      </c>
      <c r="U48" s="10" t="n">
        <f aca="false">SUMIFS('Vendor Months'!$G$6:$G$3965,'Vendor Months'!$A$6:$A$3965,$AS$1,'Vendor Months'!$C$6:$C$3965,A48,'Vendor Months'!$J$6:$J$3965,"SUPPORT")</f>
        <v>109.2727</v>
      </c>
      <c r="V48" s="10" t="n">
        <f aca="false">SUMIFS('Vendor Months'!$G$6:$G$3965,'Vendor Months'!$A$6:$A$3965,$AS$1,'Vendor Months'!$C$6:$C$3965,A48,'Vendor Months'!$J$6:$J$3965,"MARKETING")</f>
        <v>1139.36756129141</v>
      </c>
      <c r="W48" s="10" t="n">
        <f aca="false">SUMIFS('Vendor Months'!$G$6:$G$3965,'Vendor Months'!$A$6:$A$3965,$AS$1,'Vendor Months'!$C$6:$C$3965,A48,'Vendor Months'!$J$6:$J$3965,"ONBOARD")</f>
        <v>256.107890625</v>
      </c>
      <c r="X48" s="10" t="n">
        <f aca="false">SUMIFS('Vendor Months'!$G$6:$G$3965,'Vendor Months'!$A$6:$A$3965,$AS$1,'Vendor Months'!$C$6:$C$3965,A48,'Vendor Months'!$J$6:$J$3965,"AI")</f>
        <v>0</v>
      </c>
      <c r="Y48" s="10" t="n">
        <f aca="false">SUMIFS('Vendor Months'!$G$6:$G$3965,'Vendor Months'!$A$6:$A$3965,$AS$1,'Vendor Months'!$C$6:$C$3965,A48,'Vendor Months'!$J$6:$J$3965,"CTMS")</f>
        <v>0</v>
      </c>
      <c r="Z48" s="10" t="n">
        <f aca="false">SUM(N48:Y48)</f>
        <v>3954.57278045969</v>
      </c>
      <c r="AA48" s="10" t="n">
        <f aca="false">(SUM(K48:M48)+Z48)*Assumptions!$C$12</f>
        <v>10676.1971363793</v>
      </c>
      <c r="AB48" s="10" t="n">
        <f aca="false">AD48*Assumptions!$C$29</f>
        <v>208.536544130677</v>
      </c>
      <c r="AC48" s="10" t="n">
        <f aca="false">SUM(K48:M48)+Z48+AA48+AB48</f>
        <v>117646.705044303</v>
      </c>
      <c r="AD48" s="10" t="n">
        <f aca="false">D48*Assumptions!$C$17</f>
        <v>6951.21813768924</v>
      </c>
      <c r="AE48" s="10" t="n">
        <f aca="false">AD48*12</f>
        <v>83414.6176522708</v>
      </c>
      <c r="AF48" s="10" t="n">
        <f aca="false">AC48-AD48</f>
        <v>110695.486906614</v>
      </c>
      <c r="AG48" s="10" t="n">
        <f aca="false">IF(A48=Assumptions!$C$7,Assumptions!$C$8,0)</f>
        <v>0</v>
      </c>
      <c r="AH48" s="10" t="n">
        <f aca="false">AI47</f>
        <v>-2122398.66316783</v>
      </c>
      <c r="AI48" s="10" t="n">
        <f aca="false">AH48+AG48-AF48</f>
        <v>-2233094.15007445</v>
      </c>
      <c r="AJ48" s="10" t="n">
        <f aca="false">SUM($AC$6:AC48)</f>
        <v>3830797.49236619</v>
      </c>
      <c r="AK48" s="10" t="n">
        <f aca="false">MAX(0,-AI48)</f>
        <v>2233094.15007445</v>
      </c>
      <c r="AL48" s="10" t="n">
        <f aca="false">Assumptions!$C$6+SUM($AG$6:AG48)-AJ48</f>
        <v>-2330797.49236619</v>
      </c>
      <c r="AM48" s="10" t="n">
        <f aca="false">SUMIFS('Vendor Months'!$H$6:$H$3965,'Vendor Months'!$A$6:$A$3965,$AS$1,'Vendor Months'!$C$6:$C$3965,A48)</f>
        <v>2021.54495</v>
      </c>
      <c r="AN48" s="10" t="n">
        <f aca="false">X48+Y48</f>
        <v>0</v>
      </c>
      <c r="AO48" s="10" t="n">
        <f aca="false">SUMIFS('Staff Months'!$I$6:$I$2345,'Staff Months'!$A$6:$A$2345,$AS$1,'Staff Months'!$C$6:$C$2345,A48)</f>
        <v>10244.315625</v>
      </c>
      <c r="AP48" s="10" t="n">
        <f aca="false">SUM($AF$6:AF48)</f>
        <v>3733094.15007445</v>
      </c>
      <c r="AQ48" s="10" t="n">
        <f aca="false">AC48</f>
        <v>117646.705044303</v>
      </c>
      <c r="AR48" s="26" t="n">
        <f aca="false">IF(AI48&lt;0,1,0)</f>
        <v>1</v>
      </c>
      <c r="AS48" s="6"/>
    </row>
    <row r="49" customFormat="false" ht="15" hidden="false" customHeight="false" outlineLevel="0" collapsed="false">
      <c r="A49" s="6" t="n">
        <v>44</v>
      </c>
      <c r="B49" s="25" t="n">
        <f aca="false">EDATE('Start Here'!$B$6,A49-1)</f>
        <v>47635</v>
      </c>
      <c r="C49" s="11" t="n">
        <f aca="false">IF(A49&gt;=Assumptions!$C$13,Assumptions!$C$14*(1+Assumptions!$C$15)^INT((A49-Assumptions!$C$13)/12),0)</f>
        <v>0.78125</v>
      </c>
      <c r="D49" s="11" t="n">
        <f aca="false">D48*(1-Assumptions!$C$16)+C49</f>
        <v>14.4751497312478</v>
      </c>
      <c r="E49" s="11" t="n">
        <f aca="false">D49*Assumptions!$C$18</f>
        <v>115.801197849982</v>
      </c>
      <c r="F49" s="11" t="n">
        <f aca="false">E49*Assumptions!$C$19*30/1000000</f>
        <v>0.347403593549947</v>
      </c>
      <c r="G49" s="11" t="n">
        <f aca="false">D49*Assumptions!$C$20</f>
        <v>28.9502994624956</v>
      </c>
      <c r="H49" s="11" t="n">
        <f aca="false">D49*Assumptions!$C$21</f>
        <v>7.2375748656239</v>
      </c>
      <c r="I49" s="11" t="n">
        <f aca="false">SUMIFS('Staff Months'!$E$6:$E$2345,'Staff Months'!$A$6:$A$2345,$AS$1,'Staff Months'!$C$6:$C$2345,A49)</f>
        <v>6.95</v>
      </c>
      <c r="J49" s="11" t="n">
        <f aca="false">SUMIFS('Staff Months'!$L$6:$L$2345,'Staff Months'!$A$6:$A$2345,$AS$1,'Staff Months'!$C$6:$C$2345,A49)</f>
        <v>9</v>
      </c>
      <c r="K49" s="10" t="n">
        <f aca="false">SUMIFS('Staff Months'!$H$6:$H$2345,'Staff Months'!$A$6:$A$2345,$AS$1,'Staff Months'!$C$6:$C$2345,A49)</f>
        <v>102807.398583333</v>
      </c>
      <c r="L49" s="10" t="n">
        <f aca="false">SUMIFS('Staff Months'!$J$6:$J$2345,'Staff Months'!$A$6:$A$2345,$AS$1,'Staff Months'!$C$6:$C$2345,A49)</f>
        <v>0</v>
      </c>
      <c r="M49" s="10" t="n">
        <f aca="false">SUMIFS('Staff Months'!$K$6:$K$2345,'Staff Months'!$A$6:$A$2345,$AS$1,'Staff Months'!$C$6:$C$2345,A49)</f>
        <v>0</v>
      </c>
      <c r="N49" s="10" t="n">
        <f aca="false">SUMIFS('Vendor Months'!$G$6:$G$3965,'Vendor Months'!$A$6:$A$3965,$AS$1,'Vendor Months'!$C$6:$C$3965,A49,'Vendor Months'!$J$6:$J$3965,"INFRA")</f>
        <v>1421.58595203013</v>
      </c>
      <c r="O49" s="10" t="n">
        <f aca="false">SUMIFS('Vendor Months'!$G$6:$G$3965,'Vendor Months'!$A$6:$A$3965,$AS$1,'Vendor Months'!$C$6:$C$3965,A49,'Vendor Months'!$J$6:$J$3965,"TOOLS")</f>
        <v>374.805361</v>
      </c>
      <c r="P49" s="10" t="n">
        <f aca="false">SUMIFS('Vendor Months'!$G$6:$G$3965,'Vendor Months'!$A$6:$A$3965,$AS$1,'Vendor Months'!$C$6:$C$3965,A49,'Vendor Months'!$J$6:$J$3965,"LEGAL")</f>
        <v>0</v>
      </c>
      <c r="Q49" s="10" t="n">
        <f aca="false">SUMIFS('Vendor Months'!$G$6:$G$3965,'Vendor Months'!$A$6:$A$3965,$AS$1,'Vendor Months'!$C$6:$C$3965,A49,'Vendor Months'!$J$6:$J$3965,"SECURITY")</f>
        <v>0</v>
      </c>
      <c r="R49" s="10" t="n">
        <f aca="false">SUMIFS('Vendor Months'!$G$6:$G$3965,'Vendor Months'!$A$6:$A$3965,$AS$1,'Vendor Months'!$C$6:$C$3965,A49,'Vendor Months'!$J$6:$J$3965,"COMPLIANCE")</f>
        <v>0</v>
      </c>
      <c r="S49" s="10" t="n">
        <f aca="false">SUMIFS('Vendor Months'!$G$6:$G$3965,'Vendor Months'!$A$6:$A$3965,$AS$1,'Vendor Months'!$C$6:$C$3965,A49,'Vendor Months'!$J$6:$J$3965,"INSURANCE")</f>
        <v>0</v>
      </c>
      <c r="T49" s="10" t="n">
        <f aca="false">SUMIFS('Vendor Months'!$G$6:$G$3965,'Vendor Months'!$A$6:$A$3965,$AS$1,'Vendor Months'!$C$6:$C$3965,A49,'Vendor Months'!$J$6:$J$3965,"ACCOUNTING")</f>
        <v>655.6362</v>
      </c>
      <c r="U49" s="10" t="n">
        <f aca="false">SUMIFS('Vendor Months'!$G$6:$G$3965,'Vendor Months'!$A$6:$A$3965,$AS$1,'Vendor Months'!$C$6:$C$3965,A49,'Vendor Months'!$J$6:$J$3965,"SUPPORT")</f>
        <v>109.2727</v>
      </c>
      <c r="V49" s="10" t="n">
        <f aca="false">SUMIFS('Vendor Months'!$G$6:$G$3965,'Vendor Months'!$A$6:$A$3965,$AS$1,'Vendor Months'!$C$6:$C$3965,A49,'Vendor Months'!$J$6:$J$3965,"MARKETING")</f>
        <v>1186.30402052829</v>
      </c>
      <c r="W49" s="10" t="n">
        <f aca="false">SUMIFS('Vendor Months'!$G$6:$G$3965,'Vendor Months'!$A$6:$A$3965,$AS$1,'Vendor Months'!$C$6:$C$3965,A49,'Vendor Months'!$J$6:$J$3965,"ONBOARD")</f>
        <v>256.107890625</v>
      </c>
      <c r="X49" s="10" t="n">
        <f aca="false">SUMIFS('Vendor Months'!$G$6:$G$3965,'Vendor Months'!$A$6:$A$3965,$AS$1,'Vendor Months'!$C$6:$C$3965,A49,'Vendor Months'!$J$6:$J$3965,"AI")</f>
        <v>0</v>
      </c>
      <c r="Y49" s="10" t="n">
        <f aca="false">SUMIFS('Vendor Months'!$G$6:$G$3965,'Vendor Months'!$A$6:$A$3965,$AS$1,'Vendor Months'!$C$6:$C$3965,A49,'Vendor Months'!$J$6:$J$3965,"CTMS")</f>
        <v>0</v>
      </c>
      <c r="Z49" s="10" t="n">
        <f aca="false">SUM(N49:Y49)</f>
        <v>4003.71212418342</v>
      </c>
      <c r="AA49" s="10" t="n">
        <f aca="false">(SUM(K49:M49)+Z49)*Assumptions!$C$12</f>
        <v>10681.1110707517</v>
      </c>
      <c r="AB49" s="10" t="n">
        <f aca="false">AD49*Assumptions!$C$29</f>
        <v>217.127245968717</v>
      </c>
      <c r="AC49" s="10" t="n">
        <f aca="false">SUM(K49:M49)+Z49+AA49+AB49</f>
        <v>117709.349024237</v>
      </c>
      <c r="AD49" s="10" t="n">
        <f aca="false">D49*Assumptions!$C$17</f>
        <v>7237.5748656239</v>
      </c>
      <c r="AE49" s="10" t="n">
        <f aca="false">AD49*12</f>
        <v>86850.8983874868</v>
      </c>
      <c r="AF49" s="10" t="n">
        <f aca="false">AC49-AD49</f>
        <v>110471.774158613</v>
      </c>
      <c r="AG49" s="10" t="n">
        <f aca="false">IF(A49=Assumptions!$C$7,Assumptions!$C$8,0)</f>
        <v>0</v>
      </c>
      <c r="AH49" s="10" t="n">
        <f aca="false">AI48</f>
        <v>-2233094.15007445</v>
      </c>
      <c r="AI49" s="10" t="n">
        <f aca="false">AH49+AG49-AF49</f>
        <v>-2343565.92423306</v>
      </c>
      <c r="AJ49" s="10" t="n">
        <f aca="false">SUM($AC$6:AC49)</f>
        <v>3948506.84139042</v>
      </c>
      <c r="AK49" s="10" t="n">
        <f aca="false">MAX(0,-AI49)</f>
        <v>2343565.92423306</v>
      </c>
      <c r="AL49" s="10" t="n">
        <f aca="false">Assumptions!$C$6+SUM($AG$6:AG49)-AJ49</f>
        <v>-2448506.84139042</v>
      </c>
      <c r="AM49" s="10" t="n">
        <f aca="false">SUMIFS('Vendor Months'!$H$6:$H$3965,'Vendor Months'!$A$6:$A$3965,$AS$1,'Vendor Months'!$C$6:$C$3965,A49)</f>
        <v>2021.54495</v>
      </c>
      <c r="AN49" s="10" t="n">
        <f aca="false">X49+Y49</f>
        <v>0</v>
      </c>
      <c r="AO49" s="10" t="n">
        <f aca="false">SUMIFS('Staff Months'!$I$6:$I$2345,'Staff Months'!$A$6:$A$2345,$AS$1,'Staff Months'!$C$6:$C$2345,A49)</f>
        <v>10244.315625</v>
      </c>
      <c r="AP49" s="10" t="n">
        <f aca="false">SUM($AF$6:AF49)</f>
        <v>3843565.92423306</v>
      </c>
      <c r="AQ49" s="10" t="n">
        <f aca="false">AC49</f>
        <v>117709.349024237</v>
      </c>
      <c r="AR49" s="26" t="n">
        <f aca="false">IF(AI49&lt;0,1,0)</f>
        <v>1</v>
      </c>
      <c r="AS49" s="6"/>
    </row>
    <row r="50" customFormat="false" ht="15" hidden="false" customHeight="false" outlineLevel="0" collapsed="false">
      <c r="A50" s="6" t="n">
        <v>45</v>
      </c>
      <c r="B50" s="25" t="n">
        <f aca="false">EDATE('Start Here'!$B$6,A50-1)</f>
        <v>47665</v>
      </c>
      <c r="C50" s="11" t="n">
        <f aca="false">IF(A50&gt;=Assumptions!$C$13,Assumptions!$C$14*(1+Assumptions!$C$15)^INT((A50-Assumptions!$C$13)/12),0)</f>
        <v>0.78125</v>
      </c>
      <c r="D50" s="11" t="n">
        <f aca="false">D49*(1-Assumptions!$C$16)+C50</f>
        <v>15.0392724852791</v>
      </c>
      <c r="E50" s="11" t="n">
        <f aca="false">D50*Assumptions!$C$18</f>
        <v>120.314179882233</v>
      </c>
      <c r="F50" s="11" t="n">
        <f aca="false">E50*Assumptions!$C$19*30/1000000</f>
        <v>0.360942539646698</v>
      </c>
      <c r="G50" s="11" t="n">
        <f aca="false">D50*Assumptions!$C$20</f>
        <v>30.0785449705582</v>
      </c>
      <c r="H50" s="11" t="n">
        <f aca="false">D50*Assumptions!$C$21</f>
        <v>7.51963624263954</v>
      </c>
      <c r="I50" s="11" t="n">
        <f aca="false">SUMIFS('Staff Months'!$E$6:$E$2345,'Staff Months'!$A$6:$A$2345,$AS$1,'Staff Months'!$C$6:$C$2345,A50)</f>
        <v>6.95</v>
      </c>
      <c r="J50" s="11" t="n">
        <f aca="false">SUMIFS('Staff Months'!$L$6:$L$2345,'Staff Months'!$A$6:$A$2345,$AS$1,'Staff Months'!$C$6:$C$2345,A50)</f>
        <v>9</v>
      </c>
      <c r="K50" s="10" t="n">
        <f aca="false">SUMIFS('Staff Months'!$H$6:$H$2345,'Staff Months'!$A$6:$A$2345,$AS$1,'Staff Months'!$C$6:$C$2345,A50)</f>
        <v>102807.398583333</v>
      </c>
      <c r="L50" s="10" t="n">
        <f aca="false">SUMIFS('Staff Months'!$J$6:$J$2345,'Staff Months'!$A$6:$A$2345,$AS$1,'Staff Months'!$C$6:$C$2345,A50)</f>
        <v>0</v>
      </c>
      <c r="M50" s="10" t="n">
        <f aca="false">SUMIFS('Staff Months'!$K$6:$K$2345,'Staff Months'!$A$6:$A$2345,$AS$1,'Staff Months'!$C$6:$C$2345,A50)</f>
        <v>0</v>
      </c>
      <c r="N50" s="10" t="n">
        <f aca="false">SUMIFS('Vendor Months'!$G$6:$G$3965,'Vendor Months'!$A$6:$A$3965,$AS$1,'Vendor Months'!$C$6:$C$3965,A50,'Vendor Months'!$J$6:$J$3965,"INFRA")</f>
        <v>1423.75579324968</v>
      </c>
      <c r="O50" s="10" t="n">
        <f aca="false">SUMIFS('Vendor Months'!$G$6:$G$3965,'Vendor Months'!$A$6:$A$3965,$AS$1,'Vendor Months'!$C$6:$C$3965,A50,'Vendor Months'!$J$6:$J$3965,"TOOLS")</f>
        <v>374.805361</v>
      </c>
      <c r="P50" s="10" t="n">
        <f aca="false">SUMIFS('Vendor Months'!$G$6:$G$3965,'Vendor Months'!$A$6:$A$3965,$AS$1,'Vendor Months'!$C$6:$C$3965,A50,'Vendor Months'!$J$6:$J$3965,"LEGAL")</f>
        <v>0</v>
      </c>
      <c r="Q50" s="10" t="n">
        <f aca="false">SUMIFS('Vendor Months'!$G$6:$G$3965,'Vendor Months'!$A$6:$A$3965,$AS$1,'Vendor Months'!$C$6:$C$3965,A50,'Vendor Months'!$J$6:$J$3965,"SECURITY")</f>
        <v>0</v>
      </c>
      <c r="R50" s="10" t="n">
        <f aca="false">SUMIFS('Vendor Months'!$G$6:$G$3965,'Vendor Months'!$A$6:$A$3965,$AS$1,'Vendor Months'!$C$6:$C$3965,A50,'Vendor Months'!$J$6:$J$3965,"COMPLIANCE")</f>
        <v>0</v>
      </c>
      <c r="S50" s="10" t="n">
        <f aca="false">SUMIFS('Vendor Months'!$G$6:$G$3965,'Vendor Months'!$A$6:$A$3965,$AS$1,'Vendor Months'!$C$6:$C$3965,A50,'Vendor Months'!$J$6:$J$3965,"INSURANCE")</f>
        <v>13112.724</v>
      </c>
      <c r="T50" s="10" t="n">
        <f aca="false">SUMIFS('Vendor Months'!$G$6:$G$3965,'Vendor Months'!$A$6:$A$3965,$AS$1,'Vendor Months'!$C$6:$C$3965,A50,'Vendor Months'!$J$6:$J$3965,"ACCOUNTING")</f>
        <v>655.6362</v>
      </c>
      <c r="U50" s="10" t="n">
        <f aca="false">SUMIFS('Vendor Months'!$G$6:$G$3965,'Vendor Months'!$A$6:$A$3965,$AS$1,'Vendor Months'!$C$6:$C$3965,A50,'Vendor Months'!$J$6:$J$3965,"SUPPORT")</f>
        <v>109.2727</v>
      </c>
      <c r="V50" s="10" t="n">
        <f aca="false">SUMIFS('Vendor Months'!$G$6:$G$3965,'Vendor Months'!$A$6:$A$3965,$AS$1,'Vendor Months'!$C$6:$C$3965,A50,'Vendor Months'!$J$6:$J$3965,"MARKETING")</f>
        <v>1232.53643287662</v>
      </c>
      <c r="W50" s="10" t="n">
        <f aca="false">SUMIFS('Vendor Months'!$G$6:$G$3965,'Vendor Months'!$A$6:$A$3965,$AS$1,'Vendor Months'!$C$6:$C$3965,A50,'Vendor Months'!$J$6:$J$3965,"ONBOARD")</f>
        <v>256.107890625</v>
      </c>
      <c r="X50" s="10" t="n">
        <f aca="false">SUMIFS('Vendor Months'!$G$6:$G$3965,'Vendor Months'!$A$6:$A$3965,$AS$1,'Vendor Months'!$C$6:$C$3965,A50,'Vendor Months'!$J$6:$J$3965,"AI")</f>
        <v>0</v>
      </c>
      <c r="Y50" s="10" t="n">
        <f aca="false">SUMIFS('Vendor Months'!$G$6:$G$3965,'Vendor Months'!$A$6:$A$3965,$AS$1,'Vendor Months'!$C$6:$C$3965,A50,'Vendor Months'!$J$6:$J$3965,"CTMS")</f>
        <v>0</v>
      </c>
      <c r="Z50" s="10" t="n">
        <f aca="false">SUM(N50:Y50)</f>
        <v>17164.8383777513</v>
      </c>
      <c r="AA50" s="10" t="n">
        <f aca="false">(SUM(K50:M50)+Z50)*Assumptions!$C$12</f>
        <v>11997.2236961085</v>
      </c>
      <c r="AB50" s="10" t="n">
        <f aca="false">AD50*Assumptions!$C$29</f>
        <v>225.589087279186</v>
      </c>
      <c r="AC50" s="10" t="n">
        <f aca="false">SUM(K50:M50)+Z50+AA50+AB50</f>
        <v>132195.049744472</v>
      </c>
      <c r="AD50" s="10" t="n">
        <f aca="false">D50*Assumptions!$C$17</f>
        <v>7519.63624263954</v>
      </c>
      <c r="AE50" s="10" t="n">
        <f aca="false">AD50*12</f>
        <v>90235.6349116745</v>
      </c>
      <c r="AF50" s="10" t="n">
        <f aca="false">AC50-AD50</f>
        <v>124675.413501833</v>
      </c>
      <c r="AG50" s="10" t="n">
        <f aca="false">IF(A50=Assumptions!$C$7,Assumptions!$C$8,0)</f>
        <v>0</v>
      </c>
      <c r="AH50" s="10" t="n">
        <f aca="false">AI49</f>
        <v>-2343565.92423306</v>
      </c>
      <c r="AI50" s="10" t="n">
        <f aca="false">AH50+AG50-AF50</f>
        <v>-2468241.33773489</v>
      </c>
      <c r="AJ50" s="10" t="n">
        <f aca="false">SUM($AC$6:AC50)</f>
        <v>4080701.89113489</v>
      </c>
      <c r="AK50" s="10" t="n">
        <f aca="false">MAX(0,-AI50)</f>
        <v>2468241.33773489</v>
      </c>
      <c r="AL50" s="10" t="n">
        <f aca="false">Assumptions!$C$6+SUM($AG$6:AG50)-AJ50</f>
        <v>-2580701.89113489</v>
      </c>
      <c r="AM50" s="10" t="n">
        <f aca="false">SUMIFS('Vendor Months'!$H$6:$H$3965,'Vendor Months'!$A$6:$A$3965,$AS$1,'Vendor Months'!$C$6:$C$3965,A50)</f>
        <v>15134.26895</v>
      </c>
      <c r="AN50" s="10" t="n">
        <f aca="false">X50+Y50</f>
        <v>0</v>
      </c>
      <c r="AO50" s="10" t="n">
        <f aca="false">SUMIFS('Staff Months'!$I$6:$I$2345,'Staff Months'!$A$6:$A$2345,$AS$1,'Staff Months'!$C$6:$C$2345,A50)</f>
        <v>10244.315625</v>
      </c>
      <c r="AP50" s="10" t="n">
        <f aca="false">SUM($AF$6:AF50)</f>
        <v>3968241.33773489</v>
      </c>
      <c r="AQ50" s="10" t="n">
        <f aca="false">AC50</f>
        <v>132195.049744472</v>
      </c>
      <c r="AR50" s="26" t="n">
        <f aca="false">IF(AI50&lt;0,1,0)</f>
        <v>1</v>
      </c>
      <c r="AS50" s="6"/>
    </row>
    <row r="51" customFormat="false" ht="15" hidden="false" customHeight="false" outlineLevel="0" collapsed="false">
      <c r="A51" s="6" t="n">
        <v>46</v>
      </c>
      <c r="B51" s="25" t="n">
        <f aca="false">EDATE('Start Here'!$B$6,A51-1)</f>
        <v>47696</v>
      </c>
      <c r="C51" s="11" t="n">
        <f aca="false">IF(A51&gt;=Assumptions!$C$13,Assumptions!$C$14*(1+Assumptions!$C$15)^INT((A51-Assumptions!$C$13)/12),0)</f>
        <v>0.78125</v>
      </c>
      <c r="D51" s="11" t="n">
        <f aca="false">D50*(1-Assumptions!$C$16)+C51</f>
        <v>15.5949333979999</v>
      </c>
      <c r="E51" s="11" t="n">
        <f aca="false">D51*Assumptions!$C$18</f>
        <v>124.759467183999</v>
      </c>
      <c r="F51" s="11" t="n">
        <f aca="false">E51*Assumptions!$C$19*30/1000000</f>
        <v>0.374278401551998</v>
      </c>
      <c r="G51" s="11" t="n">
        <f aca="false">D51*Assumptions!$C$20</f>
        <v>31.1898667959998</v>
      </c>
      <c r="H51" s="11" t="n">
        <f aca="false">D51*Assumptions!$C$21</f>
        <v>7.79746669899995</v>
      </c>
      <c r="I51" s="11" t="n">
        <f aca="false">SUMIFS('Staff Months'!$E$6:$E$2345,'Staff Months'!$A$6:$A$2345,$AS$1,'Staff Months'!$C$6:$C$2345,A51)</f>
        <v>6.95</v>
      </c>
      <c r="J51" s="11" t="n">
        <f aca="false">SUMIFS('Staff Months'!$L$6:$L$2345,'Staff Months'!$A$6:$A$2345,$AS$1,'Staff Months'!$C$6:$C$2345,A51)</f>
        <v>9</v>
      </c>
      <c r="K51" s="10" t="n">
        <f aca="false">SUMIFS('Staff Months'!$H$6:$H$2345,'Staff Months'!$A$6:$A$2345,$AS$1,'Staff Months'!$C$6:$C$2345,A51)</f>
        <v>102807.398583333</v>
      </c>
      <c r="L51" s="10" t="n">
        <f aca="false">SUMIFS('Staff Months'!$J$6:$J$2345,'Staff Months'!$A$6:$A$2345,$AS$1,'Staff Months'!$C$6:$C$2345,A51)</f>
        <v>0</v>
      </c>
      <c r="M51" s="10" t="n">
        <f aca="false">SUMIFS('Staff Months'!$K$6:$K$2345,'Staff Months'!$A$6:$A$2345,$AS$1,'Staff Months'!$C$6:$C$2345,A51)</f>
        <v>0</v>
      </c>
      <c r="N51" s="10" t="n">
        <f aca="false">SUMIFS('Vendor Months'!$G$6:$G$3965,'Vendor Months'!$A$6:$A$3965,$AS$1,'Vendor Months'!$C$6:$C$3965,A51,'Vendor Months'!$J$6:$J$3965,"INFRA")</f>
        <v>1425.89308685093</v>
      </c>
      <c r="O51" s="10" t="n">
        <f aca="false">SUMIFS('Vendor Months'!$G$6:$G$3965,'Vendor Months'!$A$6:$A$3965,$AS$1,'Vendor Months'!$C$6:$C$3965,A51,'Vendor Months'!$J$6:$J$3965,"TOOLS")</f>
        <v>374.805361</v>
      </c>
      <c r="P51" s="10" t="n">
        <f aca="false">SUMIFS('Vendor Months'!$G$6:$G$3965,'Vendor Months'!$A$6:$A$3965,$AS$1,'Vendor Months'!$C$6:$C$3965,A51,'Vendor Months'!$J$6:$J$3965,"LEGAL")</f>
        <v>0</v>
      </c>
      <c r="Q51" s="10" t="n">
        <f aca="false">SUMIFS('Vendor Months'!$G$6:$G$3965,'Vendor Months'!$A$6:$A$3965,$AS$1,'Vendor Months'!$C$6:$C$3965,A51,'Vendor Months'!$J$6:$J$3965,"SECURITY")</f>
        <v>19669.086</v>
      </c>
      <c r="R51" s="10" t="n">
        <f aca="false">SUMIFS('Vendor Months'!$G$6:$G$3965,'Vendor Months'!$A$6:$A$3965,$AS$1,'Vendor Months'!$C$6:$C$3965,A51,'Vendor Months'!$J$6:$J$3965,"COMPLIANCE")</f>
        <v>0</v>
      </c>
      <c r="S51" s="10" t="n">
        <f aca="false">SUMIFS('Vendor Months'!$G$6:$G$3965,'Vendor Months'!$A$6:$A$3965,$AS$1,'Vendor Months'!$C$6:$C$3965,A51,'Vendor Months'!$J$6:$J$3965,"INSURANCE")</f>
        <v>0</v>
      </c>
      <c r="T51" s="10" t="n">
        <f aca="false">SUMIFS('Vendor Months'!$G$6:$G$3965,'Vendor Months'!$A$6:$A$3965,$AS$1,'Vendor Months'!$C$6:$C$3965,A51,'Vendor Months'!$J$6:$J$3965,"ACCOUNTING")</f>
        <v>655.6362</v>
      </c>
      <c r="U51" s="10" t="n">
        <f aca="false">SUMIFS('Vendor Months'!$G$6:$G$3965,'Vendor Months'!$A$6:$A$3965,$AS$1,'Vendor Months'!$C$6:$C$3965,A51,'Vendor Months'!$J$6:$J$3965,"SUPPORT")</f>
        <v>109.2727</v>
      </c>
      <c r="V51" s="10" t="n">
        <f aca="false">SUMIFS('Vendor Months'!$G$6:$G$3965,'Vendor Months'!$A$6:$A$3965,$AS$1,'Vendor Months'!$C$6:$C$3965,A51,'Vendor Months'!$J$6:$J$3965,"MARKETING")</f>
        <v>1278.07535903972</v>
      </c>
      <c r="W51" s="10" t="n">
        <f aca="false">SUMIFS('Vendor Months'!$G$6:$G$3965,'Vendor Months'!$A$6:$A$3965,$AS$1,'Vendor Months'!$C$6:$C$3965,A51,'Vendor Months'!$J$6:$J$3965,"ONBOARD")</f>
        <v>256.107890625</v>
      </c>
      <c r="X51" s="10" t="n">
        <f aca="false">SUMIFS('Vendor Months'!$G$6:$G$3965,'Vendor Months'!$A$6:$A$3965,$AS$1,'Vendor Months'!$C$6:$C$3965,A51,'Vendor Months'!$J$6:$J$3965,"AI")</f>
        <v>0</v>
      </c>
      <c r="Y51" s="10" t="n">
        <f aca="false">SUMIFS('Vendor Months'!$G$6:$G$3965,'Vendor Months'!$A$6:$A$3965,$AS$1,'Vendor Months'!$C$6:$C$3965,A51,'Vendor Months'!$J$6:$J$3965,"CTMS")</f>
        <v>0</v>
      </c>
      <c r="Z51" s="10" t="n">
        <f aca="false">SUM(N51:Y51)</f>
        <v>23768.8765975157</v>
      </c>
      <c r="AA51" s="10" t="n">
        <f aca="false">(SUM(K51:M51)+Z51)*Assumptions!$C$12</f>
        <v>12657.6275180849</v>
      </c>
      <c r="AB51" s="10" t="n">
        <f aca="false">AD51*Assumptions!$C$29</f>
        <v>233.924000969998</v>
      </c>
      <c r="AC51" s="10" t="n">
        <f aca="false">SUM(K51:M51)+Z51+AA51+AB51</f>
        <v>139467.826699904</v>
      </c>
      <c r="AD51" s="10" t="n">
        <f aca="false">D51*Assumptions!$C$17</f>
        <v>7797.46669899995</v>
      </c>
      <c r="AE51" s="10" t="n">
        <f aca="false">AD51*12</f>
        <v>93569.6003879994</v>
      </c>
      <c r="AF51" s="10" t="n">
        <f aca="false">AC51-AD51</f>
        <v>131670.360000904</v>
      </c>
      <c r="AG51" s="10" t="n">
        <f aca="false">IF(A51=Assumptions!$C$7,Assumptions!$C$8,0)</f>
        <v>0</v>
      </c>
      <c r="AH51" s="10" t="n">
        <f aca="false">AI50</f>
        <v>-2468241.33773489</v>
      </c>
      <c r="AI51" s="10" t="n">
        <f aca="false">AH51+AG51-AF51</f>
        <v>-2599911.6977358</v>
      </c>
      <c r="AJ51" s="10" t="n">
        <f aca="false">SUM($AC$6:AC51)</f>
        <v>4220169.7178348</v>
      </c>
      <c r="AK51" s="10" t="n">
        <f aca="false">MAX(0,-AI51)</f>
        <v>2599911.6977358</v>
      </c>
      <c r="AL51" s="10" t="n">
        <f aca="false">Assumptions!$C$6+SUM($AG$6:AG51)-AJ51</f>
        <v>-2720169.7178348</v>
      </c>
      <c r="AM51" s="10" t="n">
        <f aca="false">SUMIFS('Vendor Months'!$H$6:$H$3965,'Vendor Months'!$A$6:$A$3965,$AS$1,'Vendor Months'!$C$6:$C$3965,A51)</f>
        <v>21690.63095</v>
      </c>
      <c r="AN51" s="10" t="n">
        <f aca="false">X51+Y51</f>
        <v>0</v>
      </c>
      <c r="AO51" s="10" t="n">
        <f aca="false">SUMIFS('Staff Months'!$I$6:$I$2345,'Staff Months'!$A$6:$A$2345,$AS$1,'Staff Months'!$C$6:$C$2345,A51)</f>
        <v>10244.315625</v>
      </c>
      <c r="AP51" s="10" t="n">
        <f aca="false">SUM($AF$6:AF51)</f>
        <v>4099911.6977358</v>
      </c>
      <c r="AQ51" s="10" t="n">
        <f aca="false">AC51</f>
        <v>139467.826699904</v>
      </c>
      <c r="AR51" s="26" t="n">
        <f aca="false">IF(AI51&lt;0,1,0)</f>
        <v>1</v>
      </c>
      <c r="AS51" s="6"/>
    </row>
    <row r="52" customFormat="false" ht="15" hidden="false" customHeight="false" outlineLevel="0" collapsed="false">
      <c r="A52" s="6" t="n">
        <v>47</v>
      </c>
      <c r="B52" s="25" t="n">
        <f aca="false">EDATE('Start Here'!$B$6,A52-1)</f>
        <v>47727</v>
      </c>
      <c r="C52" s="11" t="n">
        <f aca="false">IF(A52&gt;=Assumptions!$C$13,Assumptions!$C$14*(1+Assumptions!$C$15)^INT((A52-Assumptions!$C$13)/12),0)</f>
        <v>0.78125</v>
      </c>
      <c r="D52" s="11" t="n">
        <f aca="false">D51*(1-Assumptions!$C$16)+C52</f>
        <v>16.1422593970299</v>
      </c>
      <c r="E52" s="11" t="n">
        <f aca="false">D52*Assumptions!$C$18</f>
        <v>129.138075176239</v>
      </c>
      <c r="F52" s="11" t="n">
        <f aca="false">E52*Assumptions!$C$19*30/1000000</f>
        <v>0.387414225528718</v>
      </c>
      <c r="G52" s="11" t="n">
        <f aca="false">D52*Assumptions!$C$20</f>
        <v>32.2845187940598</v>
      </c>
      <c r="H52" s="11" t="n">
        <f aca="false">D52*Assumptions!$C$21</f>
        <v>8.07112969851495</v>
      </c>
      <c r="I52" s="11" t="n">
        <f aca="false">SUMIFS('Staff Months'!$E$6:$E$2345,'Staff Months'!$A$6:$A$2345,$AS$1,'Staff Months'!$C$6:$C$2345,A52)</f>
        <v>6.95</v>
      </c>
      <c r="J52" s="11" t="n">
        <f aca="false">SUMIFS('Staff Months'!$L$6:$L$2345,'Staff Months'!$A$6:$A$2345,$AS$1,'Staff Months'!$C$6:$C$2345,A52)</f>
        <v>9</v>
      </c>
      <c r="K52" s="10" t="n">
        <f aca="false">SUMIFS('Staff Months'!$H$6:$H$2345,'Staff Months'!$A$6:$A$2345,$AS$1,'Staff Months'!$C$6:$C$2345,A52)</f>
        <v>102807.398583333</v>
      </c>
      <c r="L52" s="10" t="n">
        <f aca="false">SUMIFS('Staff Months'!$J$6:$J$2345,'Staff Months'!$A$6:$A$2345,$AS$1,'Staff Months'!$C$6:$C$2345,A52)</f>
        <v>0</v>
      </c>
      <c r="M52" s="10" t="n">
        <f aca="false">SUMIFS('Staff Months'!$K$6:$K$2345,'Staff Months'!$A$6:$A$2345,$AS$1,'Staff Months'!$C$6:$C$2345,A52)</f>
        <v>0</v>
      </c>
      <c r="N52" s="10" t="n">
        <f aca="false">SUMIFS('Vendor Months'!$G$6:$G$3965,'Vendor Months'!$A$6:$A$3965,$AS$1,'Vendor Months'!$C$6:$C$3965,A52,'Vendor Months'!$J$6:$J$3965,"INFRA")</f>
        <v>1427.99832104817</v>
      </c>
      <c r="O52" s="10" t="n">
        <f aca="false">SUMIFS('Vendor Months'!$G$6:$G$3965,'Vendor Months'!$A$6:$A$3965,$AS$1,'Vendor Months'!$C$6:$C$3965,A52,'Vendor Months'!$J$6:$J$3965,"TOOLS")</f>
        <v>374.805361</v>
      </c>
      <c r="P52" s="10" t="n">
        <f aca="false">SUMIFS('Vendor Months'!$G$6:$G$3965,'Vendor Months'!$A$6:$A$3965,$AS$1,'Vendor Months'!$C$6:$C$3965,A52,'Vendor Months'!$J$6:$J$3965,"LEGAL")</f>
        <v>0</v>
      </c>
      <c r="Q52" s="10" t="n">
        <f aca="false">SUMIFS('Vendor Months'!$G$6:$G$3965,'Vendor Months'!$A$6:$A$3965,$AS$1,'Vendor Months'!$C$6:$C$3965,A52,'Vendor Months'!$J$6:$J$3965,"SECURITY")</f>
        <v>0</v>
      </c>
      <c r="R52" s="10" t="n">
        <f aca="false">SUMIFS('Vendor Months'!$G$6:$G$3965,'Vendor Months'!$A$6:$A$3965,$AS$1,'Vendor Months'!$C$6:$C$3965,A52,'Vendor Months'!$J$6:$J$3965,"COMPLIANCE")</f>
        <v>16390.905</v>
      </c>
      <c r="S52" s="10" t="n">
        <f aca="false">SUMIFS('Vendor Months'!$G$6:$G$3965,'Vendor Months'!$A$6:$A$3965,$AS$1,'Vendor Months'!$C$6:$C$3965,A52,'Vendor Months'!$J$6:$J$3965,"INSURANCE")</f>
        <v>0</v>
      </c>
      <c r="T52" s="10" t="n">
        <f aca="false">SUMIFS('Vendor Months'!$G$6:$G$3965,'Vendor Months'!$A$6:$A$3965,$AS$1,'Vendor Months'!$C$6:$C$3965,A52,'Vendor Months'!$J$6:$J$3965,"ACCOUNTING")</f>
        <v>655.6362</v>
      </c>
      <c r="U52" s="10" t="n">
        <f aca="false">SUMIFS('Vendor Months'!$G$6:$G$3965,'Vendor Months'!$A$6:$A$3965,$AS$1,'Vendor Months'!$C$6:$C$3965,A52,'Vendor Months'!$J$6:$J$3965,"SUPPORT")</f>
        <v>109.2727</v>
      </c>
      <c r="V52" s="10" t="n">
        <f aca="false">SUMIFS('Vendor Months'!$G$6:$G$3965,'Vendor Months'!$A$6:$A$3965,$AS$1,'Vendor Months'!$C$6:$C$3965,A52,'Vendor Months'!$J$6:$J$3965,"MARKETING")</f>
        <v>1322.93120131037</v>
      </c>
      <c r="W52" s="10" t="n">
        <f aca="false">SUMIFS('Vendor Months'!$G$6:$G$3965,'Vendor Months'!$A$6:$A$3965,$AS$1,'Vendor Months'!$C$6:$C$3965,A52,'Vendor Months'!$J$6:$J$3965,"ONBOARD")</f>
        <v>256.107890625</v>
      </c>
      <c r="X52" s="10" t="n">
        <f aca="false">SUMIFS('Vendor Months'!$G$6:$G$3965,'Vendor Months'!$A$6:$A$3965,$AS$1,'Vendor Months'!$C$6:$C$3965,A52,'Vendor Months'!$J$6:$J$3965,"AI")</f>
        <v>0</v>
      </c>
      <c r="Y52" s="10" t="n">
        <f aca="false">SUMIFS('Vendor Months'!$G$6:$G$3965,'Vendor Months'!$A$6:$A$3965,$AS$1,'Vendor Months'!$C$6:$C$3965,A52,'Vendor Months'!$J$6:$J$3965,"CTMS")</f>
        <v>0</v>
      </c>
      <c r="Z52" s="10" t="n">
        <f aca="false">SUM(N52:Y52)</f>
        <v>20537.6566739835</v>
      </c>
      <c r="AA52" s="10" t="n">
        <f aca="false">(SUM(K52:M52)+Z52)*Assumptions!$C$12</f>
        <v>12334.5055257317</v>
      </c>
      <c r="AB52" s="10" t="n">
        <f aca="false">AD52*Assumptions!$C$29</f>
        <v>242.133890955448</v>
      </c>
      <c r="AC52" s="10" t="n">
        <f aca="false">SUM(K52:M52)+Z52+AA52+AB52</f>
        <v>135921.694674004</v>
      </c>
      <c r="AD52" s="10" t="n">
        <f aca="false">D52*Assumptions!$C$17</f>
        <v>8071.12969851495</v>
      </c>
      <c r="AE52" s="10" t="n">
        <f aca="false">AD52*12</f>
        <v>96853.5563821794</v>
      </c>
      <c r="AF52" s="10" t="n">
        <f aca="false">AC52-AD52</f>
        <v>127850.564975489</v>
      </c>
      <c r="AG52" s="10" t="n">
        <f aca="false">IF(A52=Assumptions!$C$7,Assumptions!$C$8,0)</f>
        <v>0</v>
      </c>
      <c r="AH52" s="10" t="n">
        <f aca="false">AI51</f>
        <v>-2599911.6977358</v>
      </c>
      <c r="AI52" s="10" t="n">
        <f aca="false">AH52+AG52-AF52</f>
        <v>-2727762.26271128</v>
      </c>
      <c r="AJ52" s="10" t="n">
        <f aca="false">SUM($AC$6:AC52)</f>
        <v>4356091.4125088</v>
      </c>
      <c r="AK52" s="10" t="n">
        <f aca="false">MAX(0,-AI52)</f>
        <v>2727762.26271128</v>
      </c>
      <c r="AL52" s="10" t="n">
        <f aca="false">Assumptions!$C$6+SUM($AG$6:AG52)-AJ52</f>
        <v>-2856091.4125088</v>
      </c>
      <c r="AM52" s="10" t="n">
        <f aca="false">SUMIFS('Vendor Months'!$H$6:$H$3965,'Vendor Months'!$A$6:$A$3965,$AS$1,'Vendor Months'!$C$6:$C$3965,A52)</f>
        <v>18412.44995</v>
      </c>
      <c r="AN52" s="10" t="n">
        <f aca="false">X52+Y52</f>
        <v>0</v>
      </c>
      <c r="AO52" s="10" t="n">
        <f aca="false">SUMIFS('Staff Months'!$I$6:$I$2345,'Staff Months'!$A$6:$A$2345,$AS$1,'Staff Months'!$C$6:$C$2345,A52)</f>
        <v>10244.315625</v>
      </c>
      <c r="AP52" s="10" t="n">
        <f aca="false">SUM($AF$6:AF52)</f>
        <v>4227762.26271128</v>
      </c>
      <c r="AQ52" s="10" t="n">
        <f aca="false">AC52</f>
        <v>135921.694674004</v>
      </c>
      <c r="AR52" s="26" t="n">
        <f aca="false">IF(AI52&lt;0,1,0)</f>
        <v>1</v>
      </c>
      <c r="AS52" s="6"/>
    </row>
    <row r="53" customFormat="false" ht="15" hidden="false" customHeight="false" outlineLevel="0" collapsed="false">
      <c r="A53" s="6" t="n">
        <v>48</v>
      </c>
      <c r="B53" s="25" t="n">
        <f aca="false">EDATE('Start Here'!$B$6,A53-1)</f>
        <v>47757</v>
      </c>
      <c r="C53" s="11" t="n">
        <f aca="false">IF(A53&gt;=Assumptions!$C$13,Assumptions!$C$14*(1+Assumptions!$C$15)^INT((A53-Assumptions!$C$13)/12),0)</f>
        <v>0.78125</v>
      </c>
      <c r="D53" s="11" t="n">
        <f aca="false">D52*(1-Assumptions!$C$16)+C53</f>
        <v>16.6813755060744</v>
      </c>
      <c r="E53" s="11" t="n">
        <f aca="false">D53*Assumptions!$C$18</f>
        <v>133.451004048596</v>
      </c>
      <c r="F53" s="11" t="n">
        <f aca="false">E53*Assumptions!$C$19*30/1000000</f>
        <v>0.400353012145787</v>
      </c>
      <c r="G53" s="11" t="n">
        <f aca="false">D53*Assumptions!$C$20</f>
        <v>33.3627510121489</v>
      </c>
      <c r="H53" s="11" t="n">
        <f aca="false">D53*Assumptions!$C$21</f>
        <v>8.34068775303722</v>
      </c>
      <c r="I53" s="11" t="n">
        <f aca="false">SUMIFS('Staff Months'!$E$6:$E$2345,'Staff Months'!$A$6:$A$2345,$AS$1,'Staff Months'!$C$6:$C$2345,A53)</f>
        <v>6.95</v>
      </c>
      <c r="J53" s="11" t="n">
        <f aca="false">SUMIFS('Staff Months'!$L$6:$L$2345,'Staff Months'!$A$6:$A$2345,$AS$1,'Staff Months'!$C$6:$C$2345,A53)</f>
        <v>9</v>
      </c>
      <c r="K53" s="10" t="n">
        <f aca="false">SUMIFS('Staff Months'!$H$6:$H$2345,'Staff Months'!$A$6:$A$2345,$AS$1,'Staff Months'!$C$6:$C$2345,A53)</f>
        <v>102807.398583333</v>
      </c>
      <c r="L53" s="10" t="n">
        <f aca="false">SUMIFS('Staff Months'!$J$6:$J$2345,'Staff Months'!$A$6:$A$2345,$AS$1,'Staff Months'!$C$6:$C$2345,A53)</f>
        <v>0</v>
      </c>
      <c r="M53" s="10" t="n">
        <f aca="false">SUMIFS('Staff Months'!$K$6:$K$2345,'Staff Months'!$A$6:$A$2345,$AS$1,'Staff Months'!$C$6:$C$2345,A53)</f>
        <v>0</v>
      </c>
      <c r="N53" s="10" t="n">
        <f aca="false">SUMIFS('Vendor Months'!$G$6:$G$3965,'Vendor Months'!$A$6:$A$3965,$AS$1,'Vendor Months'!$C$6:$C$3965,A53,'Vendor Months'!$J$6:$J$3965,"INFRA")</f>
        <v>1430.07197673244</v>
      </c>
      <c r="O53" s="10" t="n">
        <f aca="false">SUMIFS('Vendor Months'!$G$6:$G$3965,'Vendor Months'!$A$6:$A$3965,$AS$1,'Vendor Months'!$C$6:$C$3965,A53,'Vendor Months'!$J$6:$J$3965,"TOOLS")</f>
        <v>374.805361</v>
      </c>
      <c r="P53" s="10" t="n">
        <f aca="false">SUMIFS('Vendor Months'!$G$6:$G$3965,'Vendor Months'!$A$6:$A$3965,$AS$1,'Vendor Months'!$C$6:$C$3965,A53,'Vendor Months'!$J$6:$J$3965,"LEGAL")</f>
        <v>0</v>
      </c>
      <c r="Q53" s="10" t="n">
        <f aca="false">SUMIFS('Vendor Months'!$G$6:$G$3965,'Vendor Months'!$A$6:$A$3965,$AS$1,'Vendor Months'!$C$6:$C$3965,A53,'Vendor Months'!$J$6:$J$3965,"SECURITY")</f>
        <v>0</v>
      </c>
      <c r="R53" s="10" t="n">
        <f aca="false">SUMIFS('Vendor Months'!$G$6:$G$3965,'Vendor Months'!$A$6:$A$3965,$AS$1,'Vendor Months'!$C$6:$C$3965,A53,'Vendor Months'!$J$6:$J$3965,"COMPLIANCE")</f>
        <v>0</v>
      </c>
      <c r="S53" s="10" t="n">
        <f aca="false">SUMIFS('Vendor Months'!$G$6:$G$3965,'Vendor Months'!$A$6:$A$3965,$AS$1,'Vendor Months'!$C$6:$C$3965,A53,'Vendor Months'!$J$6:$J$3965,"INSURANCE")</f>
        <v>0</v>
      </c>
      <c r="T53" s="10" t="n">
        <f aca="false">SUMIFS('Vendor Months'!$G$6:$G$3965,'Vendor Months'!$A$6:$A$3965,$AS$1,'Vendor Months'!$C$6:$C$3965,A53,'Vendor Months'!$J$6:$J$3965,"ACCOUNTING")</f>
        <v>655.6362</v>
      </c>
      <c r="U53" s="10" t="n">
        <f aca="false">SUMIFS('Vendor Months'!$G$6:$G$3965,'Vendor Months'!$A$6:$A$3965,$AS$1,'Vendor Months'!$C$6:$C$3965,A53,'Vendor Months'!$J$6:$J$3965,"SUPPORT")</f>
        <v>109.2727</v>
      </c>
      <c r="V53" s="10" t="n">
        <f aca="false">SUMIFS('Vendor Months'!$G$6:$G$3965,'Vendor Months'!$A$6:$A$3965,$AS$1,'Vendor Months'!$C$6:$C$3965,A53,'Vendor Months'!$J$6:$J$3965,"MARKETING")</f>
        <v>1367.11420594697</v>
      </c>
      <c r="W53" s="10" t="n">
        <f aca="false">SUMIFS('Vendor Months'!$G$6:$G$3965,'Vendor Months'!$A$6:$A$3965,$AS$1,'Vendor Months'!$C$6:$C$3965,A53,'Vendor Months'!$J$6:$J$3965,"ONBOARD")</f>
        <v>256.107890625</v>
      </c>
      <c r="X53" s="10" t="n">
        <f aca="false">SUMIFS('Vendor Months'!$G$6:$G$3965,'Vendor Months'!$A$6:$A$3965,$AS$1,'Vendor Months'!$C$6:$C$3965,A53,'Vendor Months'!$J$6:$J$3965,"AI")</f>
        <v>0</v>
      </c>
      <c r="Y53" s="10" t="n">
        <f aca="false">SUMIFS('Vendor Months'!$G$6:$G$3965,'Vendor Months'!$A$6:$A$3965,$AS$1,'Vendor Months'!$C$6:$C$3965,A53,'Vendor Months'!$J$6:$J$3965,"CTMS")</f>
        <v>0</v>
      </c>
      <c r="Z53" s="10" t="n">
        <f aca="false">SUM(N53:Y53)</f>
        <v>4193.00833430441</v>
      </c>
      <c r="AA53" s="10" t="n">
        <f aca="false">(SUM(K53:M53)+Z53)*Assumptions!$C$12</f>
        <v>10700.0406917638</v>
      </c>
      <c r="AB53" s="10" t="n">
        <f aca="false">AD53*Assumptions!$C$29</f>
        <v>250.220632591117</v>
      </c>
      <c r="AC53" s="10" t="n">
        <f aca="false">SUM(K53:M53)+Z53+AA53+AB53</f>
        <v>117950.668241993</v>
      </c>
      <c r="AD53" s="10" t="n">
        <f aca="false">D53*Assumptions!$C$17</f>
        <v>8340.68775303722</v>
      </c>
      <c r="AE53" s="10" t="n">
        <f aca="false">AD53*12</f>
        <v>100088.253036447</v>
      </c>
      <c r="AF53" s="10" t="n">
        <f aca="false">AC53-AD53</f>
        <v>109609.980488955</v>
      </c>
      <c r="AG53" s="10" t="n">
        <f aca="false">IF(A53=Assumptions!$C$7,Assumptions!$C$8,0)</f>
        <v>0</v>
      </c>
      <c r="AH53" s="10" t="n">
        <f aca="false">AI52</f>
        <v>-2727762.26271128</v>
      </c>
      <c r="AI53" s="10" t="n">
        <f aca="false">AH53+AG53-AF53</f>
        <v>-2837372.24320024</v>
      </c>
      <c r="AJ53" s="10" t="n">
        <f aca="false">SUM($AC$6:AC53)</f>
        <v>4474042.0807508</v>
      </c>
      <c r="AK53" s="10" t="n">
        <f aca="false">MAX(0,-AI53)</f>
        <v>2837372.24320024</v>
      </c>
      <c r="AL53" s="10" t="n">
        <f aca="false">Assumptions!$C$6+SUM($AG$6:AG53)-AJ53</f>
        <v>-2974042.0807508</v>
      </c>
      <c r="AM53" s="10" t="n">
        <f aca="false">SUMIFS('Vendor Months'!$H$6:$H$3965,'Vendor Months'!$A$6:$A$3965,$AS$1,'Vendor Months'!$C$6:$C$3965,A53)</f>
        <v>2021.54495</v>
      </c>
      <c r="AN53" s="10" t="n">
        <f aca="false">X53+Y53</f>
        <v>0</v>
      </c>
      <c r="AO53" s="10" t="n">
        <f aca="false">SUMIFS('Staff Months'!$I$6:$I$2345,'Staff Months'!$A$6:$A$2345,$AS$1,'Staff Months'!$C$6:$C$2345,A53)</f>
        <v>10244.315625</v>
      </c>
      <c r="AP53" s="10" t="n">
        <f aca="false">SUM($AF$6:AF53)</f>
        <v>4337372.24320024</v>
      </c>
      <c r="AQ53" s="10" t="n">
        <f aca="false">AC53</f>
        <v>117950.668241993</v>
      </c>
      <c r="AR53" s="26" t="n">
        <f aca="false">IF(AI53&lt;0,1,0)</f>
        <v>1</v>
      </c>
      <c r="AS53" s="6"/>
    </row>
    <row r="54" customFormat="false" ht="15" hidden="false" customHeight="false" outlineLevel="0" collapsed="false">
      <c r="A54" s="6" t="n">
        <v>49</v>
      </c>
      <c r="B54" s="25" t="n">
        <f aca="false">EDATE('Start Here'!$B$6,A54-1)</f>
        <v>47788</v>
      </c>
      <c r="C54" s="11" t="n">
        <f aca="false">IF(A54&gt;=Assumptions!$C$13,Assumptions!$C$14*(1+Assumptions!$C$15)^INT((A54-Assumptions!$C$13)/12),0)</f>
        <v>0.78125</v>
      </c>
      <c r="D54" s="11" t="n">
        <f aca="false">D53*(1-Assumptions!$C$16)+C54</f>
        <v>17.2124048734833</v>
      </c>
      <c r="E54" s="11" t="n">
        <f aca="false">D54*Assumptions!$C$18</f>
        <v>137.699238987867</v>
      </c>
      <c r="F54" s="11" t="n">
        <f aca="false">E54*Assumptions!$C$19*30/1000000</f>
        <v>0.4130977169636</v>
      </c>
      <c r="G54" s="11" t="n">
        <f aca="false">D54*Assumptions!$C$20</f>
        <v>34.4248097469667</v>
      </c>
      <c r="H54" s="11" t="n">
        <f aca="false">D54*Assumptions!$C$21</f>
        <v>8.60620243674167</v>
      </c>
      <c r="I54" s="11" t="n">
        <f aca="false">SUMIFS('Staff Months'!$E$6:$E$2345,'Staff Months'!$A$6:$A$2345,$AS$1,'Staff Months'!$C$6:$C$2345,A54)</f>
        <v>6.95</v>
      </c>
      <c r="J54" s="11" t="n">
        <f aca="false">SUMIFS('Staff Months'!$L$6:$L$2345,'Staff Months'!$A$6:$A$2345,$AS$1,'Staff Months'!$C$6:$C$2345,A54)</f>
        <v>9</v>
      </c>
      <c r="K54" s="10" t="n">
        <f aca="false">SUMIFS('Staff Months'!$H$6:$H$2345,'Staff Months'!$A$6:$A$2345,$AS$1,'Staff Months'!$C$6:$C$2345,A54)</f>
        <v>105891.620540833</v>
      </c>
      <c r="L54" s="10" t="n">
        <f aca="false">SUMIFS('Staff Months'!$J$6:$J$2345,'Staff Months'!$A$6:$A$2345,$AS$1,'Staff Months'!$C$6:$C$2345,A54)</f>
        <v>0</v>
      </c>
      <c r="M54" s="10" t="n">
        <f aca="false">SUMIFS('Staff Months'!$K$6:$K$2345,'Staff Months'!$A$6:$A$2345,$AS$1,'Staff Months'!$C$6:$C$2345,A54)</f>
        <v>0</v>
      </c>
      <c r="N54" s="10" t="n">
        <f aca="false">SUMIFS('Vendor Months'!$G$6:$G$3965,'Vendor Months'!$A$6:$A$3965,$AS$1,'Vendor Months'!$C$6:$C$3965,A54,'Vendor Months'!$J$6:$J$3965,"INFRA")</f>
        <v>1475.0779634089</v>
      </c>
      <c r="O54" s="10" t="n">
        <f aca="false">SUMIFS('Vendor Months'!$G$6:$G$3965,'Vendor Months'!$A$6:$A$3965,$AS$1,'Vendor Months'!$C$6:$C$3965,A54,'Vendor Months'!$J$6:$J$3965,"TOOLS")</f>
        <v>386.04952183</v>
      </c>
      <c r="P54" s="10" t="n">
        <f aca="false">SUMIFS('Vendor Months'!$G$6:$G$3965,'Vendor Months'!$A$6:$A$3965,$AS$1,'Vendor Months'!$C$6:$C$3965,A54,'Vendor Months'!$J$6:$J$3965,"LEGAL")</f>
        <v>0</v>
      </c>
      <c r="Q54" s="10" t="n">
        <f aca="false">SUMIFS('Vendor Months'!$G$6:$G$3965,'Vendor Months'!$A$6:$A$3965,$AS$1,'Vendor Months'!$C$6:$C$3965,A54,'Vendor Months'!$J$6:$J$3965,"SECURITY")</f>
        <v>0</v>
      </c>
      <c r="R54" s="10" t="n">
        <f aca="false">SUMIFS('Vendor Months'!$G$6:$G$3965,'Vendor Months'!$A$6:$A$3965,$AS$1,'Vendor Months'!$C$6:$C$3965,A54,'Vendor Months'!$J$6:$J$3965,"COMPLIANCE")</f>
        <v>0</v>
      </c>
      <c r="S54" s="10" t="n">
        <f aca="false">SUMIFS('Vendor Months'!$G$6:$G$3965,'Vendor Months'!$A$6:$A$3965,$AS$1,'Vendor Months'!$C$6:$C$3965,A54,'Vendor Months'!$J$6:$J$3965,"INSURANCE")</f>
        <v>0</v>
      </c>
      <c r="T54" s="10" t="n">
        <f aca="false">SUMIFS('Vendor Months'!$G$6:$G$3965,'Vendor Months'!$A$6:$A$3965,$AS$1,'Vendor Months'!$C$6:$C$3965,A54,'Vendor Months'!$J$6:$J$3965,"ACCOUNTING")</f>
        <v>675.305286</v>
      </c>
      <c r="U54" s="10" t="n">
        <f aca="false">SUMIFS('Vendor Months'!$G$6:$G$3965,'Vendor Months'!$A$6:$A$3965,$AS$1,'Vendor Months'!$C$6:$C$3965,A54,'Vendor Months'!$J$6:$J$3965,"SUPPORT")</f>
        <v>112.550881</v>
      </c>
      <c r="V54" s="10" t="n">
        <f aca="false">SUMIFS('Vendor Months'!$G$6:$G$3965,'Vendor Months'!$A$6:$A$3965,$AS$1,'Vendor Months'!$C$6:$C$3965,A54,'Vendor Months'!$J$6:$J$3965,"MARKETING")</f>
        <v>1452.95349947943</v>
      </c>
      <c r="W54" s="10" t="n">
        <f aca="false">SUMIFS('Vendor Months'!$G$6:$G$3965,'Vendor Months'!$A$6:$A$3965,$AS$1,'Vendor Months'!$C$6:$C$3965,A54,'Vendor Months'!$J$6:$J$3965,"ONBOARD")</f>
        <v>263.79112734375</v>
      </c>
      <c r="X54" s="10" t="n">
        <f aca="false">SUMIFS('Vendor Months'!$G$6:$G$3965,'Vendor Months'!$A$6:$A$3965,$AS$1,'Vendor Months'!$C$6:$C$3965,A54,'Vendor Months'!$J$6:$J$3965,"AI")</f>
        <v>0</v>
      </c>
      <c r="Y54" s="10" t="n">
        <f aca="false">SUMIFS('Vendor Months'!$G$6:$G$3965,'Vendor Months'!$A$6:$A$3965,$AS$1,'Vendor Months'!$C$6:$C$3965,A54,'Vendor Months'!$J$6:$J$3965,"CTMS")</f>
        <v>0</v>
      </c>
      <c r="Z54" s="10" t="n">
        <f aca="false">SUM(N54:Y54)</f>
        <v>4365.72827906208</v>
      </c>
      <c r="AA54" s="10" t="n">
        <f aca="false">(SUM(K54:M54)+Z54)*Assumptions!$C$12</f>
        <v>11025.7348819895</v>
      </c>
      <c r="AB54" s="10" t="n">
        <f aca="false">AD54*Assumptions!$C$29</f>
        <v>258.18607310225</v>
      </c>
      <c r="AC54" s="10" t="n">
        <f aca="false">SUM(K54:M54)+Z54+AA54+AB54</f>
        <v>121541.269774987</v>
      </c>
      <c r="AD54" s="10" t="n">
        <f aca="false">D54*Assumptions!$C$17</f>
        <v>8606.20243674167</v>
      </c>
      <c r="AE54" s="10" t="n">
        <f aca="false">AD54*12</f>
        <v>103274.4292409</v>
      </c>
      <c r="AF54" s="10" t="n">
        <f aca="false">AC54-AD54</f>
        <v>112935.067338246</v>
      </c>
      <c r="AG54" s="10" t="n">
        <f aca="false">IF(A54=Assumptions!$C$7,Assumptions!$C$8,0)</f>
        <v>0</v>
      </c>
      <c r="AH54" s="10" t="n">
        <f aca="false">AI53</f>
        <v>-2837372.24320024</v>
      </c>
      <c r="AI54" s="10" t="n">
        <f aca="false">AH54+AG54-AF54</f>
        <v>-2950307.31053848</v>
      </c>
      <c r="AJ54" s="10" t="n">
        <f aca="false">SUM($AC$6:AC54)</f>
        <v>4595583.35052578</v>
      </c>
      <c r="AK54" s="10" t="n">
        <f aca="false">MAX(0,-AI54)</f>
        <v>2950307.31053848</v>
      </c>
      <c r="AL54" s="10" t="n">
        <f aca="false">Assumptions!$C$6+SUM($AG$6:AG54)-AJ54</f>
        <v>-3095583.35052578</v>
      </c>
      <c r="AM54" s="10" t="n">
        <f aca="false">SUMIFS('Vendor Months'!$H$6:$H$3965,'Vendor Months'!$A$6:$A$3965,$AS$1,'Vendor Months'!$C$6:$C$3965,A54)</f>
        <v>2082.1912985</v>
      </c>
      <c r="AN54" s="10" t="n">
        <f aca="false">X54+Y54</f>
        <v>0</v>
      </c>
      <c r="AO54" s="10" t="n">
        <f aca="false">SUMIFS('Staff Months'!$I$6:$I$2345,'Staff Months'!$A$6:$A$2345,$AS$1,'Staff Months'!$C$6:$C$2345,A54)</f>
        <v>10551.64509375</v>
      </c>
      <c r="AP54" s="10" t="n">
        <f aca="false">SUM($AF$6:AF54)</f>
        <v>4450307.31053849</v>
      </c>
      <c r="AQ54" s="10" t="n">
        <f aca="false">AC54</f>
        <v>121541.269774987</v>
      </c>
      <c r="AR54" s="26" t="n">
        <f aca="false">IF(AI54&lt;0,1,0)</f>
        <v>1</v>
      </c>
      <c r="AS54" s="6"/>
    </row>
    <row r="55" customFormat="false" ht="15" hidden="false" customHeight="false" outlineLevel="0" collapsed="false">
      <c r="A55" s="6" t="n">
        <v>50</v>
      </c>
      <c r="B55" s="25" t="n">
        <f aca="false">EDATE('Start Here'!$B$6,A55-1)</f>
        <v>47818</v>
      </c>
      <c r="C55" s="11" t="n">
        <f aca="false">IF(A55&gt;=Assumptions!$C$13,Assumptions!$C$14*(1+Assumptions!$C$15)^INT((A55-Assumptions!$C$13)/12),0)</f>
        <v>0.78125</v>
      </c>
      <c r="D55" s="11" t="n">
        <f aca="false">D54*(1-Assumptions!$C$16)+C55</f>
        <v>17.7354688003811</v>
      </c>
      <c r="E55" s="11" t="n">
        <f aca="false">D55*Assumptions!$C$18</f>
        <v>141.883750403049</v>
      </c>
      <c r="F55" s="11" t="n">
        <f aca="false">E55*Assumptions!$C$19*30/1000000</f>
        <v>0.425651251209146</v>
      </c>
      <c r="G55" s="11" t="n">
        <f aca="false">D55*Assumptions!$C$20</f>
        <v>35.4709376007622</v>
      </c>
      <c r="H55" s="11" t="n">
        <f aca="false">D55*Assumptions!$C$21</f>
        <v>8.86773440019054</v>
      </c>
      <c r="I55" s="11" t="n">
        <f aca="false">SUMIFS('Staff Months'!$E$6:$E$2345,'Staff Months'!$A$6:$A$2345,$AS$1,'Staff Months'!$C$6:$C$2345,A55)</f>
        <v>6.95</v>
      </c>
      <c r="J55" s="11" t="n">
        <f aca="false">SUMIFS('Staff Months'!$L$6:$L$2345,'Staff Months'!$A$6:$A$2345,$AS$1,'Staff Months'!$C$6:$C$2345,A55)</f>
        <v>9</v>
      </c>
      <c r="K55" s="10" t="n">
        <f aca="false">SUMIFS('Staff Months'!$H$6:$H$2345,'Staff Months'!$A$6:$A$2345,$AS$1,'Staff Months'!$C$6:$C$2345,A55)</f>
        <v>105891.620540833</v>
      </c>
      <c r="L55" s="10" t="n">
        <f aca="false">SUMIFS('Staff Months'!$J$6:$J$2345,'Staff Months'!$A$6:$A$2345,$AS$1,'Staff Months'!$C$6:$C$2345,A55)</f>
        <v>0</v>
      </c>
      <c r="M55" s="10" t="n">
        <f aca="false">SUMIFS('Staff Months'!$K$6:$K$2345,'Staff Months'!$A$6:$A$2345,$AS$1,'Staff Months'!$C$6:$C$2345,A55)</f>
        <v>0</v>
      </c>
      <c r="N55" s="10" t="n">
        <f aca="false">SUMIFS('Vendor Months'!$G$6:$G$3965,'Vendor Months'!$A$6:$A$3965,$AS$1,'Vendor Months'!$C$6:$C$3965,A55,'Vendor Months'!$J$6:$J$3965,"INFRA")</f>
        <v>1477.15023337277</v>
      </c>
      <c r="O55" s="10" t="n">
        <f aca="false">SUMIFS('Vendor Months'!$G$6:$G$3965,'Vendor Months'!$A$6:$A$3965,$AS$1,'Vendor Months'!$C$6:$C$3965,A55,'Vendor Months'!$J$6:$J$3965,"TOOLS")</f>
        <v>386.04952183</v>
      </c>
      <c r="P55" s="10" t="n">
        <f aca="false">SUMIFS('Vendor Months'!$G$6:$G$3965,'Vendor Months'!$A$6:$A$3965,$AS$1,'Vendor Months'!$C$6:$C$3965,A55,'Vendor Months'!$J$6:$J$3965,"LEGAL")</f>
        <v>13506.10572</v>
      </c>
      <c r="Q55" s="10" t="n">
        <f aca="false">SUMIFS('Vendor Months'!$G$6:$G$3965,'Vendor Months'!$A$6:$A$3965,$AS$1,'Vendor Months'!$C$6:$C$3965,A55,'Vendor Months'!$J$6:$J$3965,"SECURITY")</f>
        <v>0</v>
      </c>
      <c r="R55" s="10" t="n">
        <f aca="false">SUMIFS('Vendor Months'!$G$6:$G$3965,'Vendor Months'!$A$6:$A$3965,$AS$1,'Vendor Months'!$C$6:$C$3965,A55,'Vendor Months'!$J$6:$J$3965,"COMPLIANCE")</f>
        <v>0</v>
      </c>
      <c r="S55" s="10" t="n">
        <f aca="false">SUMIFS('Vendor Months'!$G$6:$G$3965,'Vendor Months'!$A$6:$A$3965,$AS$1,'Vendor Months'!$C$6:$C$3965,A55,'Vendor Months'!$J$6:$J$3965,"INSURANCE")</f>
        <v>0</v>
      </c>
      <c r="T55" s="10" t="n">
        <f aca="false">SUMIFS('Vendor Months'!$G$6:$G$3965,'Vendor Months'!$A$6:$A$3965,$AS$1,'Vendor Months'!$C$6:$C$3965,A55,'Vendor Months'!$J$6:$J$3965,"ACCOUNTING")</f>
        <v>675.305286</v>
      </c>
      <c r="U55" s="10" t="n">
        <f aca="false">SUMIFS('Vendor Months'!$G$6:$G$3965,'Vendor Months'!$A$6:$A$3965,$AS$1,'Vendor Months'!$C$6:$C$3965,A55,'Vendor Months'!$J$6:$J$3965,"SUPPORT")</f>
        <v>112.550881</v>
      </c>
      <c r="V55" s="10" t="n">
        <f aca="false">SUMIFS('Vendor Months'!$G$6:$G$3965,'Vendor Months'!$A$6:$A$3965,$AS$1,'Vendor Months'!$C$6:$C$3965,A55,'Vendor Months'!$J$6:$J$3965,"MARKETING")</f>
        <v>1497.10697882318</v>
      </c>
      <c r="W55" s="10" t="n">
        <f aca="false">SUMIFS('Vendor Months'!$G$6:$G$3965,'Vendor Months'!$A$6:$A$3965,$AS$1,'Vendor Months'!$C$6:$C$3965,A55,'Vendor Months'!$J$6:$J$3965,"ONBOARD")</f>
        <v>263.79112734375</v>
      </c>
      <c r="X55" s="10" t="n">
        <f aca="false">SUMIFS('Vendor Months'!$G$6:$G$3965,'Vendor Months'!$A$6:$A$3965,$AS$1,'Vendor Months'!$C$6:$C$3965,A55,'Vendor Months'!$J$6:$J$3965,"AI")</f>
        <v>0</v>
      </c>
      <c r="Y55" s="10" t="n">
        <f aca="false">SUMIFS('Vendor Months'!$G$6:$G$3965,'Vendor Months'!$A$6:$A$3965,$AS$1,'Vendor Months'!$C$6:$C$3965,A55,'Vendor Months'!$J$6:$J$3965,"CTMS")</f>
        <v>0</v>
      </c>
      <c r="Z55" s="10" t="n">
        <f aca="false">SUM(N55:Y55)</f>
        <v>17918.0597483697</v>
      </c>
      <c r="AA55" s="10" t="n">
        <f aca="false">(SUM(K55:M55)+Z55)*Assumptions!$C$12</f>
        <v>12380.9680289203</v>
      </c>
      <c r="AB55" s="10" t="n">
        <f aca="false">AD55*Assumptions!$C$29</f>
        <v>266.032032005716</v>
      </c>
      <c r="AC55" s="10" t="n">
        <f aca="false">SUM(K55:M55)+Z55+AA55+AB55</f>
        <v>136456.680350129</v>
      </c>
      <c r="AD55" s="10" t="n">
        <f aca="false">D55*Assumptions!$C$17</f>
        <v>8867.73440019054</v>
      </c>
      <c r="AE55" s="10" t="n">
        <f aca="false">AD55*12</f>
        <v>106412.812802286</v>
      </c>
      <c r="AF55" s="10" t="n">
        <f aca="false">AC55-AD55</f>
        <v>127588.945949939</v>
      </c>
      <c r="AG55" s="10" t="n">
        <f aca="false">IF(A55=Assumptions!$C$7,Assumptions!$C$8,0)</f>
        <v>0</v>
      </c>
      <c r="AH55" s="10" t="n">
        <f aca="false">AI54</f>
        <v>-2950307.31053848</v>
      </c>
      <c r="AI55" s="10" t="n">
        <f aca="false">AH55+AG55-AF55</f>
        <v>-3077896.25648842</v>
      </c>
      <c r="AJ55" s="10" t="n">
        <f aca="false">SUM($AC$6:AC55)</f>
        <v>4732040.03087591</v>
      </c>
      <c r="AK55" s="10" t="n">
        <f aca="false">MAX(0,-AI55)</f>
        <v>3077896.25648842</v>
      </c>
      <c r="AL55" s="10" t="n">
        <f aca="false">Assumptions!$C$6+SUM($AG$6:AG55)-AJ55</f>
        <v>-3232040.03087591</v>
      </c>
      <c r="AM55" s="10" t="n">
        <f aca="false">SUMIFS('Vendor Months'!$H$6:$H$3965,'Vendor Months'!$A$6:$A$3965,$AS$1,'Vendor Months'!$C$6:$C$3965,A55)</f>
        <v>15588.2970185</v>
      </c>
      <c r="AN55" s="10" t="n">
        <f aca="false">X55+Y55</f>
        <v>0</v>
      </c>
      <c r="AO55" s="10" t="n">
        <f aca="false">SUMIFS('Staff Months'!$I$6:$I$2345,'Staff Months'!$A$6:$A$2345,$AS$1,'Staff Months'!$C$6:$C$2345,A55)</f>
        <v>10551.64509375</v>
      </c>
      <c r="AP55" s="10" t="n">
        <f aca="false">SUM($AF$6:AF55)</f>
        <v>4577896.25648842</v>
      </c>
      <c r="AQ55" s="10" t="n">
        <f aca="false">AC55</f>
        <v>136456.680350129</v>
      </c>
      <c r="AR55" s="26" t="n">
        <f aca="false">IF(AI55&lt;0,1,0)</f>
        <v>1</v>
      </c>
      <c r="AS55" s="6"/>
    </row>
    <row r="56" customFormat="false" ht="15" hidden="false" customHeight="false" outlineLevel="0" collapsed="false">
      <c r="A56" s="6" t="n">
        <v>51</v>
      </c>
      <c r="B56" s="25" t="n">
        <f aca="false">EDATE('Start Here'!$B$6,A56-1)</f>
        <v>47849</v>
      </c>
      <c r="C56" s="11" t="n">
        <f aca="false">IF(A56&gt;=Assumptions!$C$13,Assumptions!$C$14*(1+Assumptions!$C$15)^INT((A56-Assumptions!$C$13)/12),0)</f>
        <v>0.78125</v>
      </c>
      <c r="D56" s="11" t="n">
        <f aca="false">D55*(1-Assumptions!$C$16)+C56</f>
        <v>18.2506867683754</v>
      </c>
      <c r="E56" s="11" t="n">
        <f aca="false">D56*Assumptions!$C$18</f>
        <v>146.005494147003</v>
      </c>
      <c r="F56" s="11" t="n">
        <f aca="false">E56*Assumptions!$C$19*30/1000000</f>
        <v>0.438016482441009</v>
      </c>
      <c r="G56" s="11" t="n">
        <f aca="false">D56*Assumptions!$C$20</f>
        <v>36.5013735367507</v>
      </c>
      <c r="H56" s="11" t="n">
        <f aca="false">D56*Assumptions!$C$21</f>
        <v>9.12534338418768</v>
      </c>
      <c r="I56" s="11" t="n">
        <f aca="false">SUMIFS('Staff Months'!$E$6:$E$2345,'Staff Months'!$A$6:$A$2345,$AS$1,'Staff Months'!$C$6:$C$2345,A56)</f>
        <v>6.95</v>
      </c>
      <c r="J56" s="11" t="n">
        <f aca="false">SUMIFS('Staff Months'!$L$6:$L$2345,'Staff Months'!$A$6:$A$2345,$AS$1,'Staff Months'!$C$6:$C$2345,A56)</f>
        <v>9</v>
      </c>
      <c r="K56" s="10" t="n">
        <f aca="false">SUMIFS('Staff Months'!$H$6:$H$2345,'Staff Months'!$A$6:$A$2345,$AS$1,'Staff Months'!$C$6:$C$2345,A56)</f>
        <v>105891.620540833</v>
      </c>
      <c r="L56" s="10" t="n">
        <f aca="false">SUMIFS('Staff Months'!$J$6:$J$2345,'Staff Months'!$A$6:$A$2345,$AS$1,'Staff Months'!$C$6:$C$2345,A56)</f>
        <v>0</v>
      </c>
      <c r="M56" s="10" t="n">
        <f aca="false">SUMIFS('Staff Months'!$K$6:$K$2345,'Staff Months'!$A$6:$A$2345,$AS$1,'Staff Months'!$C$6:$C$2345,A56)</f>
        <v>0</v>
      </c>
      <c r="N56" s="10" t="n">
        <f aca="false">SUMIFS('Vendor Months'!$G$6:$G$3965,'Vendor Months'!$A$6:$A$3965,$AS$1,'Vendor Months'!$C$6:$C$3965,A56,'Vendor Months'!$J$6:$J$3965,"INFRA")</f>
        <v>1479.19141928718</v>
      </c>
      <c r="O56" s="10" t="n">
        <f aca="false">SUMIFS('Vendor Months'!$G$6:$G$3965,'Vendor Months'!$A$6:$A$3965,$AS$1,'Vendor Months'!$C$6:$C$3965,A56,'Vendor Months'!$J$6:$J$3965,"TOOLS")</f>
        <v>386.04952183</v>
      </c>
      <c r="P56" s="10" t="n">
        <f aca="false">SUMIFS('Vendor Months'!$G$6:$G$3965,'Vendor Months'!$A$6:$A$3965,$AS$1,'Vendor Months'!$C$6:$C$3965,A56,'Vendor Months'!$J$6:$J$3965,"LEGAL")</f>
        <v>0</v>
      </c>
      <c r="Q56" s="10" t="n">
        <f aca="false">SUMIFS('Vendor Months'!$G$6:$G$3965,'Vendor Months'!$A$6:$A$3965,$AS$1,'Vendor Months'!$C$6:$C$3965,A56,'Vendor Months'!$J$6:$J$3965,"SECURITY")</f>
        <v>0</v>
      </c>
      <c r="R56" s="10" t="n">
        <f aca="false">SUMIFS('Vendor Months'!$G$6:$G$3965,'Vendor Months'!$A$6:$A$3965,$AS$1,'Vendor Months'!$C$6:$C$3965,A56,'Vendor Months'!$J$6:$J$3965,"COMPLIANCE")</f>
        <v>0</v>
      </c>
      <c r="S56" s="10" t="n">
        <f aca="false">SUMIFS('Vendor Months'!$G$6:$G$3965,'Vendor Months'!$A$6:$A$3965,$AS$1,'Vendor Months'!$C$6:$C$3965,A56,'Vendor Months'!$J$6:$J$3965,"INSURANCE")</f>
        <v>0</v>
      </c>
      <c r="T56" s="10" t="n">
        <f aca="false">SUMIFS('Vendor Months'!$G$6:$G$3965,'Vendor Months'!$A$6:$A$3965,$AS$1,'Vendor Months'!$C$6:$C$3965,A56,'Vendor Months'!$J$6:$J$3965,"ACCOUNTING")</f>
        <v>675.305286</v>
      </c>
      <c r="U56" s="10" t="n">
        <f aca="false">SUMIFS('Vendor Months'!$G$6:$G$3965,'Vendor Months'!$A$6:$A$3965,$AS$1,'Vendor Months'!$C$6:$C$3965,A56,'Vendor Months'!$J$6:$J$3965,"SUPPORT")</f>
        <v>112.550881</v>
      </c>
      <c r="V56" s="10" t="n">
        <f aca="false">SUMIFS('Vendor Months'!$G$6:$G$3965,'Vendor Months'!$A$6:$A$3965,$AS$1,'Vendor Months'!$C$6:$C$3965,A56,'Vendor Months'!$J$6:$J$3965,"MARKETING")</f>
        <v>1540.59815597677</v>
      </c>
      <c r="W56" s="10" t="n">
        <f aca="false">SUMIFS('Vendor Months'!$G$6:$G$3965,'Vendor Months'!$A$6:$A$3965,$AS$1,'Vendor Months'!$C$6:$C$3965,A56,'Vendor Months'!$J$6:$J$3965,"ONBOARD")</f>
        <v>263.79112734375</v>
      </c>
      <c r="X56" s="10" t="n">
        <f aca="false">SUMIFS('Vendor Months'!$G$6:$G$3965,'Vendor Months'!$A$6:$A$3965,$AS$1,'Vendor Months'!$C$6:$C$3965,A56,'Vendor Months'!$J$6:$J$3965,"AI")</f>
        <v>0</v>
      </c>
      <c r="Y56" s="10" t="n">
        <f aca="false">SUMIFS('Vendor Months'!$G$6:$G$3965,'Vendor Months'!$A$6:$A$3965,$AS$1,'Vendor Months'!$C$6:$C$3965,A56,'Vendor Months'!$J$6:$J$3965,"CTMS")</f>
        <v>0</v>
      </c>
      <c r="Z56" s="10" t="n">
        <f aca="false">SUM(N56:Y56)</f>
        <v>4457.4863914377</v>
      </c>
      <c r="AA56" s="10" t="n">
        <f aca="false">(SUM(K56:M56)+Z56)*Assumptions!$C$12</f>
        <v>11034.9106932271</v>
      </c>
      <c r="AB56" s="10" t="n">
        <f aca="false">AD56*Assumptions!$C$29</f>
        <v>273.76030152563</v>
      </c>
      <c r="AC56" s="10" t="n">
        <f aca="false">SUM(K56:M56)+Z56+AA56+AB56</f>
        <v>121657.777927024</v>
      </c>
      <c r="AD56" s="10" t="n">
        <f aca="false">D56*Assumptions!$C$17</f>
        <v>9125.34338418768</v>
      </c>
      <c r="AE56" s="10" t="n">
        <f aca="false">AD56*12</f>
        <v>109504.120610252</v>
      </c>
      <c r="AF56" s="10" t="n">
        <f aca="false">AC56-AD56</f>
        <v>112532.434542836</v>
      </c>
      <c r="AG56" s="10" t="n">
        <f aca="false">IF(A56=Assumptions!$C$7,Assumptions!$C$8,0)</f>
        <v>0</v>
      </c>
      <c r="AH56" s="10" t="n">
        <f aca="false">AI55</f>
        <v>-3077896.25648842</v>
      </c>
      <c r="AI56" s="10" t="n">
        <f aca="false">AH56+AG56-AF56</f>
        <v>-3190428.69103126</v>
      </c>
      <c r="AJ56" s="10" t="n">
        <f aca="false">SUM($AC$6:AC56)</f>
        <v>4853697.80880293</v>
      </c>
      <c r="AK56" s="10" t="n">
        <f aca="false">MAX(0,-AI56)</f>
        <v>3190428.69103126</v>
      </c>
      <c r="AL56" s="10" t="n">
        <f aca="false">Assumptions!$C$6+SUM($AG$6:AG56)-AJ56</f>
        <v>-3353697.80880293</v>
      </c>
      <c r="AM56" s="10" t="n">
        <f aca="false">SUMIFS('Vendor Months'!$H$6:$H$3965,'Vendor Months'!$A$6:$A$3965,$AS$1,'Vendor Months'!$C$6:$C$3965,A56)</f>
        <v>2082.1912985</v>
      </c>
      <c r="AN56" s="10" t="n">
        <f aca="false">X56+Y56</f>
        <v>0</v>
      </c>
      <c r="AO56" s="10" t="n">
        <f aca="false">SUMIFS('Staff Months'!$I$6:$I$2345,'Staff Months'!$A$6:$A$2345,$AS$1,'Staff Months'!$C$6:$C$2345,A56)</f>
        <v>10551.64509375</v>
      </c>
      <c r="AP56" s="10" t="n">
        <f aca="false">SUM($AF$6:AF56)</f>
        <v>4690428.69103126</v>
      </c>
      <c r="AQ56" s="10" t="n">
        <f aca="false">AC56</f>
        <v>121657.777927024</v>
      </c>
      <c r="AR56" s="26" t="n">
        <f aca="false">IF(AI56&lt;0,1,0)</f>
        <v>1</v>
      </c>
      <c r="AS56" s="6"/>
    </row>
    <row r="57" customFormat="false" ht="15" hidden="false" customHeight="false" outlineLevel="0" collapsed="false">
      <c r="A57" s="6" t="n">
        <v>52</v>
      </c>
      <c r="B57" s="25" t="n">
        <f aca="false">EDATE('Start Here'!$B$6,A57-1)</f>
        <v>47880</v>
      </c>
      <c r="C57" s="11" t="n">
        <f aca="false">IF(A57&gt;=Assumptions!$C$13,Assumptions!$C$14*(1+Assumptions!$C$15)^INT((A57-Assumptions!$C$13)/12),0)</f>
        <v>0.9765625</v>
      </c>
      <c r="D57" s="11" t="n">
        <f aca="false">D56*(1-Assumptions!$C$16)+C57</f>
        <v>18.9534889668497</v>
      </c>
      <c r="E57" s="11" t="n">
        <f aca="false">D57*Assumptions!$C$18</f>
        <v>151.627911734798</v>
      </c>
      <c r="F57" s="11" t="n">
        <f aca="false">E57*Assumptions!$C$19*30/1000000</f>
        <v>0.454883735204394</v>
      </c>
      <c r="G57" s="11" t="n">
        <f aca="false">D57*Assumptions!$C$20</f>
        <v>37.9069779336995</v>
      </c>
      <c r="H57" s="11" t="n">
        <f aca="false">D57*Assumptions!$C$21</f>
        <v>9.47674448342487</v>
      </c>
      <c r="I57" s="11" t="n">
        <f aca="false">SUMIFS('Staff Months'!$E$6:$E$2345,'Staff Months'!$A$6:$A$2345,$AS$1,'Staff Months'!$C$6:$C$2345,A57)</f>
        <v>6.95</v>
      </c>
      <c r="J57" s="11" t="n">
        <f aca="false">SUMIFS('Staff Months'!$L$6:$L$2345,'Staff Months'!$A$6:$A$2345,$AS$1,'Staff Months'!$C$6:$C$2345,A57)</f>
        <v>9</v>
      </c>
      <c r="K57" s="10" t="n">
        <f aca="false">SUMIFS('Staff Months'!$H$6:$H$2345,'Staff Months'!$A$6:$A$2345,$AS$1,'Staff Months'!$C$6:$C$2345,A57)</f>
        <v>105891.620540833</v>
      </c>
      <c r="L57" s="10" t="n">
        <f aca="false">SUMIFS('Staff Months'!$J$6:$J$2345,'Staff Months'!$A$6:$A$2345,$AS$1,'Staff Months'!$C$6:$C$2345,A57)</f>
        <v>0</v>
      </c>
      <c r="M57" s="10" t="n">
        <f aca="false">SUMIFS('Staff Months'!$K$6:$K$2345,'Staff Months'!$A$6:$A$2345,$AS$1,'Staff Months'!$C$6:$C$2345,A57)</f>
        <v>0</v>
      </c>
      <c r="N57" s="10" t="n">
        <f aca="false">SUMIFS('Vendor Months'!$G$6:$G$3965,'Vendor Months'!$A$6:$A$3965,$AS$1,'Vendor Months'!$C$6:$C$3965,A57,'Vendor Months'!$J$6:$J$3965,"INFRA")</f>
        <v>1481.97577471974</v>
      </c>
      <c r="O57" s="10" t="n">
        <f aca="false">SUMIFS('Vendor Months'!$G$6:$G$3965,'Vendor Months'!$A$6:$A$3965,$AS$1,'Vendor Months'!$C$6:$C$3965,A57,'Vendor Months'!$J$6:$J$3965,"TOOLS")</f>
        <v>386.04952183</v>
      </c>
      <c r="P57" s="10" t="n">
        <f aca="false">SUMIFS('Vendor Months'!$G$6:$G$3965,'Vendor Months'!$A$6:$A$3965,$AS$1,'Vendor Months'!$C$6:$C$3965,A57,'Vendor Months'!$J$6:$J$3965,"LEGAL")</f>
        <v>0</v>
      </c>
      <c r="Q57" s="10" t="n">
        <f aca="false">SUMIFS('Vendor Months'!$G$6:$G$3965,'Vendor Months'!$A$6:$A$3965,$AS$1,'Vendor Months'!$C$6:$C$3965,A57,'Vendor Months'!$J$6:$J$3965,"SECURITY")</f>
        <v>0</v>
      </c>
      <c r="R57" s="10" t="n">
        <f aca="false">SUMIFS('Vendor Months'!$G$6:$G$3965,'Vendor Months'!$A$6:$A$3965,$AS$1,'Vendor Months'!$C$6:$C$3965,A57,'Vendor Months'!$J$6:$J$3965,"COMPLIANCE")</f>
        <v>0</v>
      </c>
      <c r="S57" s="10" t="n">
        <f aca="false">SUMIFS('Vendor Months'!$G$6:$G$3965,'Vendor Months'!$A$6:$A$3965,$AS$1,'Vendor Months'!$C$6:$C$3965,A57,'Vendor Months'!$J$6:$J$3965,"INSURANCE")</f>
        <v>0</v>
      </c>
      <c r="T57" s="10" t="n">
        <f aca="false">SUMIFS('Vendor Months'!$G$6:$G$3965,'Vendor Months'!$A$6:$A$3965,$AS$1,'Vendor Months'!$C$6:$C$3965,A57,'Vendor Months'!$J$6:$J$3965,"ACCOUNTING")</f>
        <v>675.305286</v>
      </c>
      <c r="U57" s="10" t="n">
        <f aca="false">SUMIFS('Vendor Months'!$G$6:$G$3965,'Vendor Months'!$A$6:$A$3965,$AS$1,'Vendor Months'!$C$6:$C$3965,A57,'Vendor Months'!$J$6:$J$3965,"SUPPORT")</f>
        <v>112.550881</v>
      </c>
      <c r="V57" s="10" t="n">
        <f aca="false">SUMIFS('Vendor Months'!$G$6:$G$3965,'Vendor Months'!$A$6:$A$3965,$AS$1,'Vendor Months'!$C$6:$C$3965,A57,'Vendor Months'!$J$6:$J$3965,"MARKETING")</f>
        <v>1599.92391093204</v>
      </c>
      <c r="W57" s="10" t="n">
        <f aca="false">SUMIFS('Vendor Months'!$G$6:$G$3965,'Vendor Months'!$A$6:$A$3965,$AS$1,'Vendor Months'!$C$6:$C$3965,A57,'Vendor Months'!$J$6:$J$3965,"ONBOARD")</f>
        <v>329.738909179688</v>
      </c>
      <c r="X57" s="10" t="n">
        <f aca="false">SUMIFS('Vendor Months'!$G$6:$G$3965,'Vendor Months'!$A$6:$A$3965,$AS$1,'Vendor Months'!$C$6:$C$3965,A57,'Vendor Months'!$J$6:$J$3965,"AI")</f>
        <v>0</v>
      </c>
      <c r="Y57" s="10" t="n">
        <f aca="false">SUMIFS('Vendor Months'!$G$6:$G$3965,'Vendor Months'!$A$6:$A$3965,$AS$1,'Vendor Months'!$C$6:$C$3965,A57,'Vendor Months'!$J$6:$J$3965,"CTMS")</f>
        <v>0</v>
      </c>
      <c r="Z57" s="10" t="n">
        <f aca="false">SUM(N57:Y57)</f>
        <v>4585.54428366147</v>
      </c>
      <c r="AA57" s="10" t="n">
        <f aca="false">(SUM(K57:M57)+Z57)*Assumptions!$C$12</f>
        <v>11047.7164824495</v>
      </c>
      <c r="AB57" s="10" t="n">
        <f aca="false">AD57*Assumptions!$C$29</f>
        <v>284.302334502746</v>
      </c>
      <c r="AC57" s="10" t="n">
        <f aca="false">SUM(K57:M57)+Z57+AA57+AB57</f>
        <v>121809.183641447</v>
      </c>
      <c r="AD57" s="10" t="n">
        <f aca="false">D57*Assumptions!$C$17</f>
        <v>9476.74448342487</v>
      </c>
      <c r="AE57" s="10" t="n">
        <f aca="false">AD57*12</f>
        <v>113720.933801098</v>
      </c>
      <c r="AF57" s="10" t="n">
        <f aca="false">AC57-AD57</f>
        <v>112332.439158022</v>
      </c>
      <c r="AG57" s="10" t="n">
        <f aca="false">IF(A57=Assumptions!$C$7,Assumptions!$C$8,0)</f>
        <v>0</v>
      </c>
      <c r="AH57" s="10" t="n">
        <f aca="false">AI56</f>
        <v>-3190428.69103126</v>
      </c>
      <c r="AI57" s="10" t="n">
        <f aca="false">AH57+AG57-AF57</f>
        <v>-3302761.13018928</v>
      </c>
      <c r="AJ57" s="10" t="n">
        <f aca="false">SUM($AC$6:AC57)</f>
        <v>4975506.99244438</v>
      </c>
      <c r="AK57" s="10" t="n">
        <f aca="false">MAX(0,-AI57)</f>
        <v>3302761.13018928</v>
      </c>
      <c r="AL57" s="10" t="n">
        <f aca="false">Assumptions!$C$6+SUM($AG$6:AG57)-AJ57</f>
        <v>-3475506.99244438</v>
      </c>
      <c r="AM57" s="10" t="n">
        <f aca="false">SUMIFS('Vendor Months'!$H$6:$H$3965,'Vendor Months'!$A$6:$A$3965,$AS$1,'Vendor Months'!$C$6:$C$3965,A57)</f>
        <v>2082.1912985</v>
      </c>
      <c r="AN57" s="10" t="n">
        <f aca="false">X57+Y57</f>
        <v>0</v>
      </c>
      <c r="AO57" s="10" t="n">
        <f aca="false">SUMIFS('Staff Months'!$I$6:$I$2345,'Staff Months'!$A$6:$A$2345,$AS$1,'Staff Months'!$C$6:$C$2345,A57)</f>
        <v>10551.64509375</v>
      </c>
      <c r="AP57" s="10" t="n">
        <f aca="false">SUM($AF$6:AF57)</f>
        <v>4802761.13018928</v>
      </c>
      <c r="AQ57" s="10" t="n">
        <f aca="false">AC57</f>
        <v>121809.183641447</v>
      </c>
      <c r="AR57" s="26" t="n">
        <f aca="false">IF(AI57&lt;0,1,0)</f>
        <v>1</v>
      </c>
      <c r="AS57" s="6"/>
    </row>
    <row r="58" customFormat="false" ht="15" hidden="false" customHeight="false" outlineLevel="0" collapsed="false">
      <c r="A58" s="6" t="n">
        <v>53</v>
      </c>
      <c r="B58" s="25" t="n">
        <f aca="false">EDATE('Start Here'!$B$6,A58-1)</f>
        <v>47908</v>
      </c>
      <c r="C58" s="11" t="n">
        <f aca="false">IF(A58&gt;=Assumptions!$C$13,Assumptions!$C$14*(1+Assumptions!$C$15)^INT((A58-Assumptions!$C$13)/12),0)</f>
        <v>0.9765625</v>
      </c>
      <c r="D58" s="11" t="n">
        <f aca="false">D57*(1-Assumptions!$C$16)+C58</f>
        <v>19.645749132347</v>
      </c>
      <c r="E58" s="11" t="n">
        <f aca="false">D58*Assumptions!$C$18</f>
        <v>157.165993058776</v>
      </c>
      <c r="F58" s="11" t="n">
        <f aca="false">E58*Assumptions!$C$19*30/1000000</f>
        <v>0.471497979176328</v>
      </c>
      <c r="G58" s="11" t="n">
        <f aca="false">D58*Assumptions!$C$20</f>
        <v>39.291498264694</v>
      </c>
      <c r="H58" s="11" t="n">
        <f aca="false">D58*Assumptions!$C$21</f>
        <v>9.82287456617349</v>
      </c>
      <c r="I58" s="11" t="n">
        <f aca="false">SUMIFS('Staff Months'!$E$6:$E$2345,'Staff Months'!$A$6:$A$2345,$AS$1,'Staff Months'!$C$6:$C$2345,A58)</f>
        <v>6.95</v>
      </c>
      <c r="J58" s="11" t="n">
        <f aca="false">SUMIFS('Staff Months'!$L$6:$L$2345,'Staff Months'!$A$6:$A$2345,$AS$1,'Staff Months'!$C$6:$C$2345,A58)</f>
        <v>9</v>
      </c>
      <c r="K58" s="10" t="n">
        <f aca="false">SUMIFS('Staff Months'!$H$6:$H$2345,'Staff Months'!$A$6:$A$2345,$AS$1,'Staff Months'!$C$6:$C$2345,A58)</f>
        <v>105891.620540833</v>
      </c>
      <c r="L58" s="10" t="n">
        <f aca="false">SUMIFS('Staff Months'!$J$6:$J$2345,'Staff Months'!$A$6:$A$2345,$AS$1,'Staff Months'!$C$6:$C$2345,A58)</f>
        <v>0</v>
      </c>
      <c r="M58" s="10" t="n">
        <f aca="false">SUMIFS('Staff Months'!$K$6:$K$2345,'Staff Months'!$A$6:$A$2345,$AS$1,'Staff Months'!$C$6:$C$2345,A58)</f>
        <v>0</v>
      </c>
      <c r="N58" s="10" t="n">
        <f aca="false">SUMIFS('Vendor Months'!$G$6:$G$3965,'Vendor Months'!$A$6:$A$3965,$AS$1,'Vendor Months'!$C$6:$C$3965,A58,'Vendor Months'!$J$6:$J$3965,"INFRA")</f>
        <v>1484.71836482082</v>
      </c>
      <c r="O58" s="10" t="n">
        <f aca="false">SUMIFS('Vendor Months'!$G$6:$G$3965,'Vendor Months'!$A$6:$A$3965,$AS$1,'Vendor Months'!$C$6:$C$3965,A58,'Vendor Months'!$J$6:$J$3965,"TOOLS")</f>
        <v>386.04952183</v>
      </c>
      <c r="P58" s="10" t="n">
        <f aca="false">SUMIFS('Vendor Months'!$G$6:$G$3965,'Vendor Months'!$A$6:$A$3965,$AS$1,'Vendor Months'!$C$6:$C$3965,A58,'Vendor Months'!$J$6:$J$3965,"LEGAL")</f>
        <v>0</v>
      </c>
      <c r="Q58" s="10" t="n">
        <f aca="false">SUMIFS('Vendor Months'!$G$6:$G$3965,'Vendor Months'!$A$6:$A$3965,$AS$1,'Vendor Months'!$C$6:$C$3965,A58,'Vendor Months'!$J$6:$J$3965,"SECURITY")</f>
        <v>0</v>
      </c>
      <c r="R58" s="10" t="n">
        <f aca="false">SUMIFS('Vendor Months'!$G$6:$G$3965,'Vendor Months'!$A$6:$A$3965,$AS$1,'Vendor Months'!$C$6:$C$3965,A58,'Vendor Months'!$J$6:$J$3965,"COMPLIANCE")</f>
        <v>0</v>
      </c>
      <c r="S58" s="10" t="n">
        <f aca="false">SUMIFS('Vendor Months'!$G$6:$G$3965,'Vendor Months'!$A$6:$A$3965,$AS$1,'Vendor Months'!$C$6:$C$3965,A58,'Vendor Months'!$J$6:$J$3965,"INSURANCE")</f>
        <v>0</v>
      </c>
      <c r="T58" s="10" t="n">
        <f aca="false">SUMIFS('Vendor Months'!$G$6:$G$3965,'Vendor Months'!$A$6:$A$3965,$AS$1,'Vendor Months'!$C$6:$C$3965,A58,'Vendor Months'!$J$6:$J$3965,"ACCOUNTING")</f>
        <v>675.305286</v>
      </c>
      <c r="U58" s="10" t="n">
        <f aca="false">SUMIFS('Vendor Months'!$G$6:$G$3965,'Vendor Months'!$A$6:$A$3965,$AS$1,'Vendor Months'!$C$6:$C$3965,A58,'Vendor Months'!$J$6:$J$3965,"SUPPORT")</f>
        <v>112.550881</v>
      </c>
      <c r="V58" s="10" t="n">
        <f aca="false">SUMIFS('Vendor Months'!$G$6:$G$3965,'Vendor Months'!$A$6:$A$3965,$AS$1,'Vendor Months'!$C$6:$C$3965,A58,'Vendor Months'!$J$6:$J$3965,"MARKETING")</f>
        <v>1658.35977956298</v>
      </c>
      <c r="W58" s="10" t="n">
        <f aca="false">SUMIFS('Vendor Months'!$G$6:$G$3965,'Vendor Months'!$A$6:$A$3965,$AS$1,'Vendor Months'!$C$6:$C$3965,A58,'Vendor Months'!$J$6:$J$3965,"ONBOARD")</f>
        <v>329.738909179688</v>
      </c>
      <c r="X58" s="10" t="n">
        <f aca="false">SUMIFS('Vendor Months'!$G$6:$G$3965,'Vendor Months'!$A$6:$A$3965,$AS$1,'Vendor Months'!$C$6:$C$3965,A58,'Vendor Months'!$J$6:$J$3965,"AI")</f>
        <v>0</v>
      </c>
      <c r="Y58" s="10" t="n">
        <f aca="false">SUMIFS('Vendor Months'!$G$6:$G$3965,'Vendor Months'!$A$6:$A$3965,$AS$1,'Vendor Months'!$C$6:$C$3965,A58,'Vendor Months'!$J$6:$J$3965,"CTMS")</f>
        <v>0</v>
      </c>
      <c r="Z58" s="10" t="n">
        <f aca="false">SUM(N58:Y58)</f>
        <v>4646.72274239349</v>
      </c>
      <c r="AA58" s="10" t="n">
        <f aca="false">(SUM(K58:M58)+Z58)*Assumptions!$C$12</f>
        <v>11053.8343283227</v>
      </c>
      <c r="AB58" s="10" t="n">
        <f aca="false">AD58*Assumptions!$C$29</f>
        <v>294.686236985205</v>
      </c>
      <c r="AC58" s="10" t="n">
        <f aca="false">SUM(K58:M58)+Z58+AA58+AB58</f>
        <v>121886.863848535</v>
      </c>
      <c r="AD58" s="10" t="n">
        <f aca="false">D58*Assumptions!$C$17</f>
        <v>9822.87456617349</v>
      </c>
      <c r="AE58" s="10" t="n">
        <f aca="false">AD58*12</f>
        <v>117874.494794082</v>
      </c>
      <c r="AF58" s="10" t="n">
        <f aca="false">AC58-AD58</f>
        <v>112063.989282361</v>
      </c>
      <c r="AG58" s="10" t="n">
        <f aca="false">IF(A58=Assumptions!$C$7,Assumptions!$C$8,0)</f>
        <v>0</v>
      </c>
      <c r="AH58" s="10" t="n">
        <f aca="false">AI57</f>
        <v>-3302761.13018928</v>
      </c>
      <c r="AI58" s="10" t="n">
        <f aca="false">AH58+AG58-AF58</f>
        <v>-3414825.11947164</v>
      </c>
      <c r="AJ58" s="10" t="n">
        <f aca="false">SUM($AC$6:AC58)</f>
        <v>5097393.85629292</v>
      </c>
      <c r="AK58" s="10" t="n">
        <f aca="false">MAX(0,-AI58)</f>
        <v>3414825.11947164</v>
      </c>
      <c r="AL58" s="10" t="n">
        <f aca="false">Assumptions!$C$6+SUM($AG$6:AG58)-AJ58</f>
        <v>-3597393.85629292</v>
      </c>
      <c r="AM58" s="10" t="n">
        <f aca="false">SUMIFS('Vendor Months'!$H$6:$H$3965,'Vendor Months'!$A$6:$A$3965,$AS$1,'Vendor Months'!$C$6:$C$3965,A58)</f>
        <v>2082.1912985</v>
      </c>
      <c r="AN58" s="10" t="n">
        <f aca="false">X58+Y58</f>
        <v>0</v>
      </c>
      <c r="AO58" s="10" t="n">
        <f aca="false">SUMIFS('Staff Months'!$I$6:$I$2345,'Staff Months'!$A$6:$A$2345,$AS$1,'Staff Months'!$C$6:$C$2345,A58)</f>
        <v>10551.64509375</v>
      </c>
      <c r="AP58" s="10" t="n">
        <f aca="false">SUM($AF$6:AF58)</f>
        <v>4914825.11947164</v>
      </c>
      <c r="AQ58" s="10" t="n">
        <f aca="false">AC58</f>
        <v>121886.863848535</v>
      </c>
      <c r="AR58" s="26" t="n">
        <f aca="false">IF(AI58&lt;0,1,0)</f>
        <v>1</v>
      </c>
      <c r="AS58" s="6"/>
    </row>
    <row r="59" customFormat="false" ht="15" hidden="false" customHeight="false" outlineLevel="0" collapsed="false">
      <c r="A59" s="6" t="n">
        <v>54</v>
      </c>
      <c r="B59" s="25" t="n">
        <f aca="false">EDATE('Start Here'!$B$6,A59-1)</f>
        <v>47939</v>
      </c>
      <c r="C59" s="11" t="n">
        <f aca="false">IF(A59&gt;=Assumptions!$C$13,Assumptions!$C$14*(1+Assumptions!$C$15)^INT((A59-Assumptions!$C$13)/12),0)</f>
        <v>0.9765625</v>
      </c>
      <c r="D59" s="11" t="n">
        <f aca="false">D58*(1-Assumptions!$C$16)+C59</f>
        <v>20.3276253953618</v>
      </c>
      <c r="E59" s="11" t="n">
        <f aca="false">D59*Assumptions!$C$18</f>
        <v>162.621003162894</v>
      </c>
      <c r="F59" s="11" t="n">
        <f aca="false">E59*Assumptions!$C$19*30/1000000</f>
        <v>0.487863009488683</v>
      </c>
      <c r="G59" s="11" t="n">
        <f aca="false">D59*Assumptions!$C$20</f>
        <v>40.6552507907236</v>
      </c>
      <c r="H59" s="11" t="n">
        <f aca="false">D59*Assumptions!$C$21</f>
        <v>10.1638126976809</v>
      </c>
      <c r="I59" s="11" t="n">
        <f aca="false">SUMIFS('Staff Months'!$E$6:$E$2345,'Staff Months'!$A$6:$A$2345,$AS$1,'Staff Months'!$C$6:$C$2345,A59)</f>
        <v>6.95</v>
      </c>
      <c r="J59" s="11" t="n">
        <f aca="false">SUMIFS('Staff Months'!$L$6:$L$2345,'Staff Months'!$A$6:$A$2345,$AS$1,'Staff Months'!$C$6:$C$2345,A59)</f>
        <v>9</v>
      </c>
      <c r="K59" s="10" t="n">
        <f aca="false">SUMIFS('Staff Months'!$H$6:$H$2345,'Staff Months'!$A$6:$A$2345,$AS$1,'Staff Months'!$C$6:$C$2345,A59)</f>
        <v>105891.620540833</v>
      </c>
      <c r="L59" s="10" t="n">
        <f aca="false">SUMIFS('Staff Months'!$J$6:$J$2345,'Staff Months'!$A$6:$A$2345,$AS$1,'Staff Months'!$C$6:$C$2345,A59)</f>
        <v>0</v>
      </c>
      <c r="M59" s="10" t="n">
        <f aca="false">SUMIFS('Staff Months'!$K$6:$K$2345,'Staff Months'!$A$6:$A$2345,$AS$1,'Staff Months'!$C$6:$C$2345,A59)</f>
        <v>0</v>
      </c>
      <c r="N59" s="10" t="n">
        <f aca="false">SUMIFS('Vendor Months'!$G$6:$G$3965,'Vendor Months'!$A$6:$A$3965,$AS$1,'Vendor Months'!$C$6:$C$3965,A59,'Vendor Months'!$J$6:$J$3965,"INFRA")</f>
        <v>1487.41981607039</v>
      </c>
      <c r="O59" s="10" t="n">
        <f aca="false">SUMIFS('Vendor Months'!$G$6:$G$3965,'Vendor Months'!$A$6:$A$3965,$AS$1,'Vendor Months'!$C$6:$C$3965,A59,'Vendor Months'!$J$6:$J$3965,"TOOLS")</f>
        <v>386.04952183</v>
      </c>
      <c r="P59" s="10" t="n">
        <f aca="false">SUMIFS('Vendor Months'!$G$6:$G$3965,'Vendor Months'!$A$6:$A$3965,$AS$1,'Vendor Months'!$C$6:$C$3965,A59,'Vendor Months'!$J$6:$J$3965,"LEGAL")</f>
        <v>0</v>
      </c>
      <c r="Q59" s="10" t="n">
        <f aca="false">SUMIFS('Vendor Months'!$G$6:$G$3965,'Vendor Months'!$A$6:$A$3965,$AS$1,'Vendor Months'!$C$6:$C$3965,A59,'Vendor Months'!$J$6:$J$3965,"SECURITY")</f>
        <v>0</v>
      </c>
      <c r="R59" s="10" t="n">
        <f aca="false">SUMIFS('Vendor Months'!$G$6:$G$3965,'Vendor Months'!$A$6:$A$3965,$AS$1,'Vendor Months'!$C$6:$C$3965,A59,'Vendor Months'!$J$6:$J$3965,"COMPLIANCE")</f>
        <v>0</v>
      </c>
      <c r="S59" s="10" t="n">
        <f aca="false">SUMIFS('Vendor Months'!$G$6:$G$3965,'Vendor Months'!$A$6:$A$3965,$AS$1,'Vendor Months'!$C$6:$C$3965,A59,'Vendor Months'!$J$6:$J$3965,"INSURANCE")</f>
        <v>0</v>
      </c>
      <c r="T59" s="10" t="n">
        <f aca="false">SUMIFS('Vendor Months'!$G$6:$G$3965,'Vendor Months'!$A$6:$A$3965,$AS$1,'Vendor Months'!$C$6:$C$3965,A59,'Vendor Months'!$J$6:$J$3965,"ACCOUNTING")</f>
        <v>675.305286</v>
      </c>
      <c r="U59" s="10" t="n">
        <f aca="false">SUMIFS('Vendor Months'!$G$6:$G$3965,'Vendor Months'!$A$6:$A$3965,$AS$1,'Vendor Months'!$C$6:$C$3965,A59,'Vendor Months'!$J$6:$J$3965,"SUPPORT")</f>
        <v>112.550881</v>
      </c>
      <c r="V59" s="10" t="n">
        <f aca="false">SUMIFS('Vendor Months'!$G$6:$G$3965,'Vendor Months'!$A$6:$A$3965,$AS$1,'Vendor Months'!$C$6:$C$3965,A59,'Vendor Months'!$J$6:$J$3965,"MARKETING")</f>
        <v>1715.91911016446</v>
      </c>
      <c r="W59" s="10" t="n">
        <f aca="false">SUMIFS('Vendor Months'!$G$6:$G$3965,'Vendor Months'!$A$6:$A$3965,$AS$1,'Vendor Months'!$C$6:$C$3965,A59,'Vendor Months'!$J$6:$J$3965,"ONBOARD")</f>
        <v>329.738909179688</v>
      </c>
      <c r="X59" s="10" t="n">
        <f aca="false">SUMIFS('Vendor Months'!$G$6:$G$3965,'Vendor Months'!$A$6:$A$3965,$AS$1,'Vendor Months'!$C$6:$C$3965,A59,'Vendor Months'!$J$6:$J$3965,"AI")</f>
        <v>0</v>
      </c>
      <c r="Y59" s="10" t="n">
        <f aca="false">SUMIFS('Vendor Months'!$G$6:$G$3965,'Vendor Months'!$A$6:$A$3965,$AS$1,'Vendor Months'!$C$6:$C$3965,A59,'Vendor Months'!$J$6:$J$3965,"CTMS")</f>
        <v>0</v>
      </c>
      <c r="Z59" s="10" t="n">
        <f aca="false">SUM(N59:Y59)</f>
        <v>4706.98352424453</v>
      </c>
      <c r="AA59" s="10" t="n">
        <f aca="false">(SUM(K59:M59)+Z59)*Assumptions!$C$12</f>
        <v>11059.8604065078</v>
      </c>
      <c r="AB59" s="10" t="n">
        <f aca="false">AD59*Assumptions!$C$29</f>
        <v>304.914380930427</v>
      </c>
      <c r="AC59" s="10" t="n">
        <f aca="false">SUM(K59:M59)+Z59+AA59+AB59</f>
        <v>121963.378852516</v>
      </c>
      <c r="AD59" s="10" t="n">
        <f aca="false">D59*Assumptions!$C$17</f>
        <v>10163.8126976809</v>
      </c>
      <c r="AE59" s="10" t="n">
        <f aca="false">AD59*12</f>
        <v>121965.752372171</v>
      </c>
      <c r="AF59" s="10" t="n">
        <f aca="false">AC59-AD59</f>
        <v>111799.566154835</v>
      </c>
      <c r="AG59" s="10" t="n">
        <f aca="false">IF(A59=Assumptions!$C$7,Assumptions!$C$8,0)</f>
        <v>0</v>
      </c>
      <c r="AH59" s="10" t="n">
        <f aca="false">AI58</f>
        <v>-3414825.11947164</v>
      </c>
      <c r="AI59" s="10" t="n">
        <f aca="false">AH59+AG59-AF59</f>
        <v>-3526624.68562648</v>
      </c>
      <c r="AJ59" s="10" t="n">
        <f aca="false">SUM($AC$6:AC59)</f>
        <v>5219357.23514543</v>
      </c>
      <c r="AK59" s="10" t="n">
        <f aca="false">MAX(0,-AI59)</f>
        <v>3526624.68562648</v>
      </c>
      <c r="AL59" s="10" t="n">
        <f aca="false">Assumptions!$C$6+SUM($AG$6:AG59)-AJ59</f>
        <v>-3719357.23514543</v>
      </c>
      <c r="AM59" s="10" t="n">
        <f aca="false">SUMIFS('Vendor Months'!$H$6:$H$3965,'Vendor Months'!$A$6:$A$3965,$AS$1,'Vendor Months'!$C$6:$C$3965,A59)</f>
        <v>2082.1912985</v>
      </c>
      <c r="AN59" s="10" t="n">
        <f aca="false">X59+Y59</f>
        <v>0</v>
      </c>
      <c r="AO59" s="10" t="n">
        <f aca="false">SUMIFS('Staff Months'!$I$6:$I$2345,'Staff Months'!$A$6:$A$2345,$AS$1,'Staff Months'!$C$6:$C$2345,A59)</f>
        <v>10551.64509375</v>
      </c>
      <c r="AP59" s="10" t="n">
        <f aca="false">SUM($AF$6:AF59)</f>
        <v>5026624.68562648</v>
      </c>
      <c r="AQ59" s="10" t="n">
        <f aca="false">AC59</f>
        <v>121963.378852516</v>
      </c>
      <c r="AR59" s="26" t="n">
        <f aca="false">IF(AI59&lt;0,1,0)</f>
        <v>1</v>
      </c>
      <c r="AS59" s="6"/>
    </row>
    <row r="60" customFormat="false" ht="15" hidden="false" customHeight="false" outlineLevel="0" collapsed="false">
      <c r="A60" s="6" t="n">
        <v>55</v>
      </c>
      <c r="B60" s="25" t="n">
        <f aca="false">EDATE('Start Here'!$B$6,A60-1)</f>
        <v>47969</v>
      </c>
      <c r="C60" s="11" t="n">
        <f aca="false">IF(A60&gt;=Assumptions!$C$13,Assumptions!$C$14*(1+Assumptions!$C$15)^INT((A60-Assumptions!$C$13)/12),0)</f>
        <v>0.9765625</v>
      </c>
      <c r="D60" s="11" t="n">
        <f aca="false">D59*(1-Assumptions!$C$16)+C60</f>
        <v>20.9992735144314</v>
      </c>
      <c r="E60" s="11" t="n">
        <f aca="false">D60*Assumptions!$C$18</f>
        <v>167.994188115451</v>
      </c>
      <c r="F60" s="11" t="n">
        <f aca="false">E60*Assumptions!$C$19*30/1000000</f>
        <v>0.503982564346353</v>
      </c>
      <c r="G60" s="11" t="n">
        <f aca="false">D60*Assumptions!$C$20</f>
        <v>41.9985470288627</v>
      </c>
      <c r="H60" s="11" t="n">
        <f aca="false">D60*Assumptions!$C$21</f>
        <v>10.4996367572157</v>
      </c>
      <c r="I60" s="11" t="n">
        <f aca="false">SUMIFS('Staff Months'!$E$6:$E$2345,'Staff Months'!$A$6:$A$2345,$AS$1,'Staff Months'!$C$6:$C$2345,A60)</f>
        <v>6.95</v>
      </c>
      <c r="J60" s="11" t="n">
        <f aca="false">SUMIFS('Staff Months'!$L$6:$L$2345,'Staff Months'!$A$6:$A$2345,$AS$1,'Staff Months'!$C$6:$C$2345,A60)</f>
        <v>9</v>
      </c>
      <c r="K60" s="10" t="n">
        <f aca="false">SUMIFS('Staff Months'!$H$6:$H$2345,'Staff Months'!$A$6:$A$2345,$AS$1,'Staff Months'!$C$6:$C$2345,A60)</f>
        <v>105891.620540833</v>
      </c>
      <c r="L60" s="10" t="n">
        <f aca="false">SUMIFS('Staff Months'!$J$6:$J$2345,'Staff Months'!$A$6:$A$2345,$AS$1,'Staff Months'!$C$6:$C$2345,A60)</f>
        <v>0</v>
      </c>
      <c r="M60" s="10" t="n">
        <f aca="false">SUMIFS('Staff Months'!$K$6:$K$2345,'Staff Months'!$A$6:$A$2345,$AS$1,'Staff Months'!$C$6:$C$2345,A60)</f>
        <v>0</v>
      </c>
      <c r="N60" s="10" t="n">
        <f aca="false">SUMIFS('Vendor Months'!$G$6:$G$3965,'Vendor Months'!$A$6:$A$3965,$AS$1,'Vendor Months'!$C$6:$C$3965,A60,'Vendor Months'!$J$6:$J$3965,"INFRA")</f>
        <v>1490.0807455512</v>
      </c>
      <c r="O60" s="10" t="n">
        <f aca="false">SUMIFS('Vendor Months'!$G$6:$G$3965,'Vendor Months'!$A$6:$A$3965,$AS$1,'Vendor Months'!$C$6:$C$3965,A60,'Vendor Months'!$J$6:$J$3965,"TOOLS")</f>
        <v>386.04952183</v>
      </c>
      <c r="P60" s="10" t="n">
        <f aca="false">SUMIFS('Vendor Months'!$G$6:$G$3965,'Vendor Months'!$A$6:$A$3965,$AS$1,'Vendor Months'!$C$6:$C$3965,A60,'Vendor Months'!$J$6:$J$3965,"LEGAL")</f>
        <v>0</v>
      </c>
      <c r="Q60" s="10" t="n">
        <f aca="false">SUMIFS('Vendor Months'!$G$6:$G$3965,'Vendor Months'!$A$6:$A$3965,$AS$1,'Vendor Months'!$C$6:$C$3965,A60,'Vendor Months'!$J$6:$J$3965,"SECURITY")</f>
        <v>0</v>
      </c>
      <c r="R60" s="10" t="n">
        <f aca="false">SUMIFS('Vendor Months'!$G$6:$G$3965,'Vendor Months'!$A$6:$A$3965,$AS$1,'Vendor Months'!$C$6:$C$3965,A60,'Vendor Months'!$J$6:$J$3965,"COMPLIANCE")</f>
        <v>0</v>
      </c>
      <c r="S60" s="10" t="n">
        <f aca="false">SUMIFS('Vendor Months'!$G$6:$G$3965,'Vendor Months'!$A$6:$A$3965,$AS$1,'Vendor Months'!$C$6:$C$3965,A60,'Vendor Months'!$J$6:$J$3965,"INSURANCE")</f>
        <v>0</v>
      </c>
      <c r="T60" s="10" t="n">
        <f aca="false">SUMIFS('Vendor Months'!$G$6:$G$3965,'Vendor Months'!$A$6:$A$3965,$AS$1,'Vendor Months'!$C$6:$C$3965,A60,'Vendor Months'!$J$6:$J$3965,"ACCOUNTING")</f>
        <v>675.305286</v>
      </c>
      <c r="U60" s="10" t="n">
        <f aca="false">SUMIFS('Vendor Months'!$G$6:$G$3965,'Vendor Months'!$A$6:$A$3965,$AS$1,'Vendor Months'!$C$6:$C$3965,A60,'Vendor Months'!$J$6:$J$3965,"SUPPORT")</f>
        <v>112.550881</v>
      </c>
      <c r="V60" s="10" t="n">
        <f aca="false">SUMIFS('Vendor Months'!$G$6:$G$3965,'Vendor Months'!$A$6:$A$3965,$AS$1,'Vendor Months'!$C$6:$C$3965,A60,'Vendor Months'!$J$6:$J$3965,"MARKETING")</f>
        <v>1772.61505080691</v>
      </c>
      <c r="W60" s="10" t="n">
        <f aca="false">SUMIFS('Vendor Months'!$G$6:$G$3965,'Vendor Months'!$A$6:$A$3965,$AS$1,'Vendor Months'!$C$6:$C$3965,A60,'Vendor Months'!$J$6:$J$3965,"ONBOARD")</f>
        <v>329.738909179688</v>
      </c>
      <c r="X60" s="10" t="n">
        <f aca="false">SUMIFS('Vendor Months'!$G$6:$G$3965,'Vendor Months'!$A$6:$A$3965,$AS$1,'Vendor Months'!$C$6:$C$3965,A60,'Vendor Months'!$J$6:$J$3965,"AI")</f>
        <v>0</v>
      </c>
      <c r="Y60" s="10" t="n">
        <f aca="false">SUMIFS('Vendor Months'!$G$6:$G$3965,'Vendor Months'!$A$6:$A$3965,$AS$1,'Vendor Months'!$C$6:$C$3965,A60,'Vendor Months'!$J$6:$J$3965,"CTMS")</f>
        <v>0</v>
      </c>
      <c r="Z60" s="10" t="n">
        <f aca="false">SUM(N60:Y60)</f>
        <v>4766.3403943678</v>
      </c>
      <c r="AA60" s="10" t="n">
        <f aca="false">(SUM(K60:M60)+Z60)*Assumptions!$C$12</f>
        <v>11065.7960935201</v>
      </c>
      <c r="AB60" s="10" t="n">
        <f aca="false">AD60*Assumptions!$C$29</f>
        <v>314.98910271647</v>
      </c>
      <c r="AC60" s="10" t="n">
        <f aca="false">SUM(K60:M60)+Z60+AA60+AB60</f>
        <v>122038.746131438</v>
      </c>
      <c r="AD60" s="10" t="n">
        <f aca="false">D60*Assumptions!$C$17</f>
        <v>10499.6367572157</v>
      </c>
      <c r="AE60" s="10" t="n">
        <f aca="false">AD60*12</f>
        <v>125995.641086588</v>
      </c>
      <c r="AF60" s="10" t="n">
        <f aca="false">AC60-AD60</f>
        <v>111539.109374222</v>
      </c>
      <c r="AG60" s="10" t="n">
        <f aca="false">IF(A60=Assumptions!$C$7,Assumptions!$C$8,0)</f>
        <v>0</v>
      </c>
      <c r="AH60" s="10" t="n">
        <f aca="false">AI59</f>
        <v>-3526624.68562648</v>
      </c>
      <c r="AI60" s="10" t="n">
        <f aca="false">AH60+AG60-AF60</f>
        <v>-3638163.7950007</v>
      </c>
      <c r="AJ60" s="10" t="n">
        <f aca="false">SUM($AC$6:AC60)</f>
        <v>5341395.98127687</v>
      </c>
      <c r="AK60" s="10" t="n">
        <f aca="false">MAX(0,-AI60)</f>
        <v>3638163.7950007</v>
      </c>
      <c r="AL60" s="10" t="n">
        <f aca="false">Assumptions!$C$6+SUM($AG$6:AG60)-AJ60</f>
        <v>-3841395.98127687</v>
      </c>
      <c r="AM60" s="10" t="n">
        <f aca="false">SUMIFS('Vendor Months'!$H$6:$H$3965,'Vendor Months'!$A$6:$A$3965,$AS$1,'Vendor Months'!$C$6:$C$3965,A60)</f>
        <v>2082.1912985</v>
      </c>
      <c r="AN60" s="10" t="n">
        <f aca="false">X60+Y60</f>
        <v>0</v>
      </c>
      <c r="AO60" s="10" t="n">
        <f aca="false">SUMIFS('Staff Months'!$I$6:$I$2345,'Staff Months'!$A$6:$A$2345,$AS$1,'Staff Months'!$C$6:$C$2345,A60)</f>
        <v>10551.64509375</v>
      </c>
      <c r="AP60" s="10" t="n">
        <f aca="false">SUM($AF$6:AF60)</f>
        <v>5138163.7950007</v>
      </c>
      <c r="AQ60" s="10" t="n">
        <f aca="false">AC60</f>
        <v>122038.746131438</v>
      </c>
      <c r="AR60" s="26" t="n">
        <f aca="false">IF(AI60&lt;0,1,0)</f>
        <v>1</v>
      </c>
      <c r="AS60" s="6"/>
    </row>
    <row r="61" customFormat="false" ht="15" hidden="false" customHeight="false" outlineLevel="0" collapsed="false">
      <c r="A61" s="6" t="n">
        <v>56</v>
      </c>
      <c r="B61" s="25" t="n">
        <f aca="false">EDATE('Start Here'!$B$6,A61-1)</f>
        <v>48000</v>
      </c>
      <c r="C61" s="11" t="n">
        <f aca="false">IF(A61&gt;=Assumptions!$C$13,Assumptions!$C$14*(1+Assumptions!$C$15)^INT((A61-Assumptions!$C$13)/12),0)</f>
        <v>0.9765625</v>
      </c>
      <c r="D61" s="11" t="n">
        <f aca="false">D60*(1-Assumptions!$C$16)+C61</f>
        <v>21.6608469117149</v>
      </c>
      <c r="E61" s="11" t="n">
        <f aca="false">D61*Assumptions!$C$18</f>
        <v>173.286775293719</v>
      </c>
      <c r="F61" s="11" t="n">
        <f aca="false">E61*Assumptions!$C$19*30/1000000</f>
        <v>0.519860325881157</v>
      </c>
      <c r="G61" s="11" t="n">
        <f aca="false">D61*Assumptions!$C$20</f>
        <v>43.3216938234298</v>
      </c>
      <c r="H61" s="11" t="n">
        <f aca="false">D61*Assumptions!$C$21</f>
        <v>10.8304234558574</v>
      </c>
      <c r="I61" s="11" t="n">
        <f aca="false">SUMIFS('Staff Months'!$E$6:$E$2345,'Staff Months'!$A$6:$A$2345,$AS$1,'Staff Months'!$C$6:$C$2345,A61)</f>
        <v>6.95</v>
      </c>
      <c r="J61" s="11" t="n">
        <f aca="false">SUMIFS('Staff Months'!$L$6:$L$2345,'Staff Months'!$A$6:$A$2345,$AS$1,'Staff Months'!$C$6:$C$2345,A61)</f>
        <v>9</v>
      </c>
      <c r="K61" s="10" t="n">
        <f aca="false">SUMIFS('Staff Months'!$H$6:$H$2345,'Staff Months'!$A$6:$A$2345,$AS$1,'Staff Months'!$C$6:$C$2345,A61)</f>
        <v>105891.620540833</v>
      </c>
      <c r="L61" s="10" t="n">
        <f aca="false">SUMIFS('Staff Months'!$J$6:$J$2345,'Staff Months'!$A$6:$A$2345,$AS$1,'Staff Months'!$C$6:$C$2345,A61)</f>
        <v>0</v>
      </c>
      <c r="M61" s="10" t="n">
        <f aca="false">SUMIFS('Staff Months'!$K$6:$K$2345,'Staff Months'!$A$6:$A$2345,$AS$1,'Staff Months'!$C$6:$C$2345,A61)</f>
        <v>0</v>
      </c>
      <c r="N61" s="10" t="n">
        <f aca="false">SUMIFS('Vendor Months'!$G$6:$G$3965,'Vendor Months'!$A$6:$A$3965,$AS$1,'Vendor Months'!$C$6:$C$3965,A61,'Vendor Months'!$J$6:$J$3965,"INFRA")</f>
        <v>1492.70176108981</v>
      </c>
      <c r="O61" s="10" t="n">
        <f aca="false">SUMIFS('Vendor Months'!$G$6:$G$3965,'Vendor Months'!$A$6:$A$3965,$AS$1,'Vendor Months'!$C$6:$C$3965,A61,'Vendor Months'!$J$6:$J$3965,"TOOLS")</f>
        <v>386.04952183</v>
      </c>
      <c r="P61" s="10" t="n">
        <f aca="false">SUMIFS('Vendor Months'!$G$6:$G$3965,'Vendor Months'!$A$6:$A$3965,$AS$1,'Vendor Months'!$C$6:$C$3965,A61,'Vendor Months'!$J$6:$J$3965,"LEGAL")</f>
        <v>0</v>
      </c>
      <c r="Q61" s="10" t="n">
        <f aca="false">SUMIFS('Vendor Months'!$G$6:$G$3965,'Vendor Months'!$A$6:$A$3965,$AS$1,'Vendor Months'!$C$6:$C$3965,A61,'Vendor Months'!$J$6:$J$3965,"SECURITY")</f>
        <v>0</v>
      </c>
      <c r="R61" s="10" t="n">
        <f aca="false">SUMIFS('Vendor Months'!$G$6:$G$3965,'Vendor Months'!$A$6:$A$3965,$AS$1,'Vendor Months'!$C$6:$C$3965,A61,'Vendor Months'!$J$6:$J$3965,"COMPLIANCE")</f>
        <v>0</v>
      </c>
      <c r="S61" s="10" t="n">
        <f aca="false">SUMIFS('Vendor Months'!$G$6:$G$3965,'Vendor Months'!$A$6:$A$3965,$AS$1,'Vendor Months'!$C$6:$C$3965,A61,'Vendor Months'!$J$6:$J$3965,"INSURANCE")</f>
        <v>0</v>
      </c>
      <c r="T61" s="10" t="n">
        <f aca="false">SUMIFS('Vendor Months'!$G$6:$G$3965,'Vendor Months'!$A$6:$A$3965,$AS$1,'Vendor Months'!$C$6:$C$3965,A61,'Vendor Months'!$J$6:$J$3965,"ACCOUNTING")</f>
        <v>675.305286</v>
      </c>
      <c r="U61" s="10" t="n">
        <f aca="false">SUMIFS('Vendor Months'!$G$6:$G$3965,'Vendor Months'!$A$6:$A$3965,$AS$1,'Vendor Months'!$C$6:$C$3965,A61,'Vendor Months'!$J$6:$J$3965,"SUPPORT")</f>
        <v>112.550881</v>
      </c>
      <c r="V61" s="10" t="n">
        <f aca="false">SUMIFS('Vendor Months'!$G$6:$G$3965,'Vendor Months'!$A$6:$A$3965,$AS$1,'Vendor Months'!$C$6:$C$3965,A61,'Vendor Months'!$J$6:$J$3965,"MARKETING")</f>
        <v>1828.46055233973</v>
      </c>
      <c r="W61" s="10" t="n">
        <f aca="false">SUMIFS('Vendor Months'!$G$6:$G$3965,'Vendor Months'!$A$6:$A$3965,$AS$1,'Vendor Months'!$C$6:$C$3965,A61,'Vendor Months'!$J$6:$J$3965,"ONBOARD")</f>
        <v>329.738909179688</v>
      </c>
      <c r="X61" s="10" t="n">
        <f aca="false">SUMIFS('Vendor Months'!$G$6:$G$3965,'Vendor Months'!$A$6:$A$3965,$AS$1,'Vendor Months'!$C$6:$C$3965,A61,'Vendor Months'!$J$6:$J$3965,"AI")</f>
        <v>0</v>
      </c>
      <c r="Y61" s="10" t="n">
        <f aca="false">SUMIFS('Vendor Months'!$G$6:$G$3965,'Vendor Months'!$A$6:$A$3965,$AS$1,'Vendor Months'!$C$6:$C$3965,A61,'Vendor Months'!$J$6:$J$3965,"CTMS")</f>
        <v>0</v>
      </c>
      <c r="Z61" s="10" t="n">
        <f aca="false">SUM(N61:Y61)</f>
        <v>4824.80691143923</v>
      </c>
      <c r="AA61" s="10" t="n">
        <f aca="false">(SUM(K61:M61)+Z61)*Assumptions!$C$12</f>
        <v>11071.6427452273</v>
      </c>
      <c r="AB61" s="10" t="n">
        <f aca="false">AD61*Assumptions!$C$29</f>
        <v>324.912703675723</v>
      </c>
      <c r="AC61" s="10" t="n">
        <f aca="false">SUM(K61:M61)+Z61+AA61+AB61</f>
        <v>122112.982901176</v>
      </c>
      <c r="AD61" s="10" t="n">
        <f aca="false">D61*Assumptions!$C$17</f>
        <v>10830.4234558574</v>
      </c>
      <c r="AE61" s="10" t="n">
        <f aca="false">AD61*12</f>
        <v>129965.081470289</v>
      </c>
      <c r="AF61" s="10" t="n">
        <f aca="false">AC61-AD61</f>
        <v>111282.559445318</v>
      </c>
      <c r="AG61" s="10" t="n">
        <f aca="false">IF(A61=Assumptions!$C$7,Assumptions!$C$8,0)</f>
        <v>0</v>
      </c>
      <c r="AH61" s="10" t="n">
        <f aca="false">AI60</f>
        <v>-3638163.7950007</v>
      </c>
      <c r="AI61" s="10" t="n">
        <f aca="false">AH61+AG61-AF61</f>
        <v>-3749446.35444602</v>
      </c>
      <c r="AJ61" s="10" t="n">
        <f aca="false">SUM($AC$6:AC61)</f>
        <v>5463508.96417805</v>
      </c>
      <c r="AK61" s="10" t="n">
        <f aca="false">MAX(0,-AI61)</f>
        <v>3749446.35444602</v>
      </c>
      <c r="AL61" s="10" t="n">
        <f aca="false">Assumptions!$C$6+SUM($AG$6:AG61)-AJ61</f>
        <v>-3963508.96417805</v>
      </c>
      <c r="AM61" s="10" t="n">
        <f aca="false">SUMIFS('Vendor Months'!$H$6:$H$3965,'Vendor Months'!$A$6:$A$3965,$AS$1,'Vendor Months'!$C$6:$C$3965,A61)</f>
        <v>2082.1912985</v>
      </c>
      <c r="AN61" s="10" t="n">
        <f aca="false">X61+Y61</f>
        <v>0</v>
      </c>
      <c r="AO61" s="10" t="n">
        <f aca="false">SUMIFS('Staff Months'!$I$6:$I$2345,'Staff Months'!$A$6:$A$2345,$AS$1,'Staff Months'!$C$6:$C$2345,A61)</f>
        <v>10551.64509375</v>
      </c>
      <c r="AP61" s="10" t="n">
        <f aca="false">SUM($AF$6:AF61)</f>
        <v>5249446.35444602</v>
      </c>
      <c r="AQ61" s="10" t="n">
        <f aca="false">AC61</f>
        <v>122112.982901176</v>
      </c>
      <c r="AR61" s="26" t="n">
        <f aca="false">IF(AI61&lt;0,1,0)</f>
        <v>1</v>
      </c>
      <c r="AS61" s="6"/>
    </row>
    <row r="62" customFormat="false" ht="15" hidden="false" customHeight="false" outlineLevel="0" collapsed="false">
      <c r="A62" s="6" t="n">
        <v>57</v>
      </c>
      <c r="B62" s="25" t="n">
        <f aca="false">EDATE('Start Here'!$B$6,A62-1)</f>
        <v>48030</v>
      </c>
      <c r="C62" s="11" t="n">
        <f aca="false">IF(A62&gt;=Assumptions!$C$13,Assumptions!$C$14*(1+Assumptions!$C$15)^INT((A62-Assumptions!$C$13)/12),0)</f>
        <v>0.9765625</v>
      </c>
      <c r="D62" s="11" t="n">
        <f aca="false">D61*(1-Assumptions!$C$16)+C62</f>
        <v>22.3124967080392</v>
      </c>
      <c r="E62" s="11" t="n">
        <f aca="false">D62*Assumptions!$C$18</f>
        <v>178.499973664313</v>
      </c>
      <c r="F62" s="11" t="n">
        <f aca="false">E62*Assumptions!$C$19*30/1000000</f>
        <v>0.53549992099294</v>
      </c>
      <c r="G62" s="11" t="n">
        <f aca="false">D62*Assumptions!$C$20</f>
        <v>44.6249934160783</v>
      </c>
      <c r="H62" s="11" t="n">
        <f aca="false">D62*Assumptions!$C$21</f>
        <v>11.1562483540196</v>
      </c>
      <c r="I62" s="11" t="n">
        <f aca="false">SUMIFS('Staff Months'!$E$6:$E$2345,'Staff Months'!$A$6:$A$2345,$AS$1,'Staff Months'!$C$6:$C$2345,A62)</f>
        <v>6.95</v>
      </c>
      <c r="J62" s="11" t="n">
        <f aca="false">SUMIFS('Staff Months'!$L$6:$L$2345,'Staff Months'!$A$6:$A$2345,$AS$1,'Staff Months'!$C$6:$C$2345,A62)</f>
        <v>9</v>
      </c>
      <c r="K62" s="10" t="n">
        <f aca="false">SUMIFS('Staff Months'!$H$6:$H$2345,'Staff Months'!$A$6:$A$2345,$AS$1,'Staff Months'!$C$6:$C$2345,A62)</f>
        <v>105891.620540833</v>
      </c>
      <c r="L62" s="10" t="n">
        <f aca="false">SUMIFS('Staff Months'!$J$6:$J$2345,'Staff Months'!$A$6:$A$2345,$AS$1,'Staff Months'!$C$6:$C$2345,A62)</f>
        <v>0</v>
      </c>
      <c r="M62" s="10" t="n">
        <f aca="false">SUMIFS('Staff Months'!$K$6:$K$2345,'Staff Months'!$A$6:$A$2345,$AS$1,'Staff Months'!$C$6:$C$2345,A62)</f>
        <v>0</v>
      </c>
      <c r="N62" s="10" t="n">
        <f aca="false">SUMIFS('Vendor Months'!$G$6:$G$3965,'Vendor Months'!$A$6:$A$3965,$AS$1,'Vendor Months'!$C$6:$C$3965,A62,'Vendor Months'!$J$6:$J$3965,"INFRA")</f>
        <v>1495.28346139534</v>
      </c>
      <c r="O62" s="10" t="n">
        <f aca="false">SUMIFS('Vendor Months'!$G$6:$G$3965,'Vendor Months'!$A$6:$A$3965,$AS$1,'Vendor Months'!$C$6:$C$3965,A62,'Vendor Months'!$J$6:$J$3965,"TOOLS")</f>
        <v>386.04952183</v>
      </c>
      <c r="P62" s="10" t="n">
        <f aca="false">SUMIFS('Vendor Months'!$G$6:$G$3965,'Vendor Months'!$A$6:$A$3965,$AS$1,'Vendor Months'!$C$6:$C$3965,A62,'Vendor Months'!$J$6:$J$3965,"LEGAL")</f>
        <v>0</v>
      </c>
      <c r="Q62" s="10" t="n">
        <f aca="false">SUMIFS('Vendor Months'!$G$6:$G$3965,'Vendor Months'!$A$6:$A$3965,$AS$1,'Vendor Months'!$C$6:$C$3965,A62,'Vendor Months'!$J$6:$J$3965,"SECURITY")</f>
        <v>0</v>
      </c>
      <c r="R62" s="10" t="n">
        <f aca="false">SUMIFS('Vendor Months'!$G$6:$G$3965,'Vendor Months'!$A$6:$A$3965,$AS$1,'Vendor Months'!$C$6:$C$3965,A62,'Vendor Months'!$J$6:$J$3965,"COMPLIANCE")</f>
        <v>0</v>
      </c>
      <c r="S62" s="10" t="n">
        <f aca="false">SUMIFS('Vendor Months'!$G$6:$G$3965,'Vendor Months'!$A$6:$A$3965,$AS$1,'Vendor Months'!$C$6:$C$3965,A62,'Vendor Months'!$J$6:$J$3965,"INSURANCE")</f>
        <v>13506.10572</v>
      </c>
      <c r="T62" s="10" t="n">
        <f aca="false">SUMIFS('Vendor Months'!$G$6:$G$3965,'Vendor Months'!$A$6:$A$3965,$AS$1,'Vendor Months'!$C$6:$C$3965,A62,'Vendor Months'!$J$6:$J$3965,"ACCOUNTING")</f>
        <v>675.305286</v>
      </c>
      <c r="U62" s="10" t="n">
        <f aca="false">SUMIFS('Vendor Months'!$G$6:$G$3965,'Vendor Months'!$A$6:$A$3965,$AS$1,'Vendor Months'!$C$6:$C$3965,A62,'Vendor Months'!$J$6:$J$3965,"SUPPORT")</f>
        <v>112.550881</v>
      </c>
      <c r="V62" s="10" t="n">
        <f aca="false">SUMIFS('Vendor Months'!$G$6:$G$3965,'Vendor Months'!$A$6:$A$3965,$AS$1,'Vendor Months'!$C$6:$C$3965,A62,'Vendor Months'!$J$6:$J$3965,"MARKETING")</f>
        <v>1883.46837134956</v>
      </c>
      <c r="W62" s="10" t="n">
        <f aca="false">SUMIFS('Vendor Months'!$G$6:$G$3965,'Vendor Months'!$A$6:$A$3965,$AS$1,'Vendor Months'!$C$6:$C$3965,A62,'Vendor Months'!$J$6:$J$3965,"ONBOARD")</f>
        <v>329.738909179688</v>
      </c>
      <c r="X62" s="10" t="n">
        <f aca="false">SUMIFS('Vendor Months'!$G$6:$G$3965,'Vendor Months'!$A$6:$A$3965,$AS$1,'Vendor Months'!$C$6:$C$3965,A62,'Vendor Months'!$J$6:$J$3965,"AI")</f>
        <v>0</v>
      </c>
      <c r="Y62" s="10" t="n">
        <f aca="false">SUMIFS('Vendor Months'!$G$6:$G$3965,'Vendor Months'!$A$6:$A$3965,$AS$1,'Vendor Months'!$C$6:$C$3965,A62,'Vendor Months'!$J$6:$J$3965,"CTMS")</f>
        <v>0</v>
      </c>
      <c r="Z62" s="10" t="n">
        <f aca="false">SUM(N62:Y62)</f>
        <v>18388.5021507546</v>
      </c>
      <c r="AA62" s="10" t="n">
        <f aca="false">(SUM(K62:M62)+Z62)*Assumptions!$C$12</f>
        <v>12428.0122691588</v>
      </c>
      <c r="AB62" s="10" t="n">
        <f aca="false">AD62*Assumptions!$C$29</f>
        <v>334.687450620587</v>
      </c>
      <c r="AC62" s="10" t="n">
        <f aca="false">SUM(K62:M62)+Z62+AA62+AB62</f>
        <v>137042.822411367</v>
      </c>
      <c r="AD62" s="10" t="n">
        <f aca="false">D62*Assumptions!$C$17</f>
        <v>11156.2483540196</v>
      </c>
      <c r="AE62" s="10" t="n">
        <f aca="false">AD62*12</f>
        <v>133874.980248235</v>
      </c>
      <c r="AF62" s="10" t="n">
        <f aca="false">AC62-AD62</f>
        <v>125886.574057348</v>
      </c>
      <c r="AG62" s="10" t="n">
        <f aca="false">IF(A62=Assumptions!$C$7,Assumptions!$C$8,0)</f>
        <v>0</v>
      </c>
      <c r="AH62" s="10" t="n">
        <f aca="false">AI61</f>
        <v>-3749446.35444602</v>
      </c>
      <c r="AI62" s="10" t="n">
        <f aca="false">AH62+AG62-AF62</f>
        <v>-3875332.92850337</v>
      </c>
      <c r="AJ62" s="10" t="n">
        <f aca="false">SUM($AC$6:AC62)</f>
        <v>5600551.78658941</v>
      </c>
      <c r="AK62" s="10" t="n">
        <f aca="false">MAX(0,-AI62)</f>
        <v>3875332.92850337</v>
      </c>
      <c r="AL62" s="10" t="n">
        <f aca="false">Assumptions!$C$6+SUM($AG$6:AG62)-AJ62</f>
        <v>-4100551.78658941</v>
      </c>
      <c r="AM62" s="10" t="n">
        <f aca="false">SUMIFS('Vendor Months'!$H$6:$H$3965,'Vendor Months'!$A$6:$A$3965,$AS$1,'Vendor Months'!$C$6:$C$3965,A62)</f>
        <v>15588.2970185</v>
      </c>
      <c r="AN62" s="10" t="n">
        <f aca="false">X62+Y62</f>
        <v>0</v>
      </c>
      <c r="AO62" s="10" t="n">
        <f aca="false">SUMIFS('Staff Months'!$I$6:$I$2345,'Staff Months'!$A$6:$A$2345,$AS$1,'Staff Months'!$C$6:$C$2345,A62)</f>
        <v>10551.64509375</v>
      </c>
      <c r="AP62" s="10" t="n">
        <f aca="false">SUM($AF$6:AF62)</f>
        <v>5375332.92850337</v>
      </c>
      <c r="AQ62" s="10" t="n">
        <f aca="false">AC62</f>
        <v>137042.822411367</v>
      </c>
      <c r="AR62" s="26" t="n">
        <f aca="false">IF(AI62&lt;0,1,0)</f>
        <v>1</v>
      </c>
      <c r="AS62" s="6"/>
    </row>
    <row r="63" customFormat="false" ht="15" hidden="false" customHeight="false" outlineLevel="0" collapsed="false">
      <c r="A63" s="6" t="n">
        <v>58</v>
      </c>
      <c r="B63" s="25" t="n">
        <f aca="false">EDATE('Start Here'!$B$6,A63-1)</f>
        <v>48061</v>
      </c>
      <c r="C63" s="11" t="n">
        <f aca="false">IF(A63&gt;=Assumptions!$C$13,Assumptions!$C$14*(1+Assumptions!$C$15)^INT((A63-Assumptions!$C$13)/12),0)</f>
        <v>0.9765625</v>
      </c>
      <c r="D63" s="11" t="n">
        <f aca="false">D62*(1-Assumptions!$C$16)+C63</f>
        <v>22.9543717574186</v>
      </c>
      <c r="E63" s="11" t="n">
        <f aca="false">D63*Assumptions!$C$18</f>
        <v>183.634974059349</v>
      </c>
      <c r="F63" s="11" t="n">
        <f aca="false">E63*Assumptions!$C$19*30/1000000</f>
        <v>0.550904922178046</v>
      </c>
      <c r="G63" s="11" t="n">
        <f aca="false">D63*Assumptions!$C$20</f>
        <v>45.9087435148371</v>
      </c>
      <c r="H63" s="11" t="n">
        <f aca="false">D63*Assumptions!$C$21</f>
        <v>11.4771858787093</v>
      </c>
      <c r="I63" s="11" t="n">
        <f aca="false">SUMIFS('Staff Months'!$E$6:$E$2345,'Staff Months'!$A$6:$A$2345,$AS$1,'Staff Months'!$C$6:$C$2345,A63)</f>
        <v>6.95</v>
      </c>
      <c r="J63" s="11" t="n">
        <f aca="false">SUMIFS('Staff Months'!$L$6:$L$2345,'Staff Months'!$A$6:$A$2345,$AS$1,'Staff Months'!$C$6:$C$2345,A63)</f>
        <v>9</v>
      </c>
      <c r="K63" s="10" t="n">
        <f aca="false">SUMIFS('Staff Months'!$H$6:$H$2345,'Staff Months'!$A$6:$A$2345,$AS$1,'Staff Months'!$C$6:$C$2345,A63)</f>
        <v>105891.620540833</v>
      </c>
      <c r="L63" s="10" t="n">
        <f aca="false">SUMIFS('Staff Months'!$J$6:$J$2345,'Staff Months'!$A$6:$A$2345,$AS$1,'Staff Months'!$C$6:$C$2345,A63)</f>
        <v>0</v>
      </c>
      <c r="M63" s="10" t="n">
        <f aca="false">SUMIFS('Staff Months'!$K$6:$K$2345,'Staff Months'!$A$6:$A$2345,$AS$1,'Staff Months'!$C$6:$C$2345,A63)</f>
        <v>0</v>
      </c>
      <c r="N63" s="10" t="n">
        <f aca="false">SUMIFS('Vendor Months'!$G$6:$G$3965,'Vendor Months'!$A$6:$A$3965,$AS$1,'Vendor Months'!$C$6:$C$3965,A63,'Vendor Months'!$J$6:$J$3965,"INFRA")</f>
        <v>1497.82643619628</v>
      </c>
      <c r="O63" s="10" t="n">
        <f aca="false">SUMIFS('Vendor Months'!$G$6:$G$3965,'Vendor Months'!$A$6:$A$3965,$AS$1,'Vendor Months'!$C$6:$C$3965,A63,'Vendor Months'!$J$6:$J$3965,"TOOLS")</f>
        <v>386.04952183</v>
      </c>
      <c r="P63" s="10" t="n">
        <f aca="false">SUMIFS('Vendor Months'!$G$6:$G$3965,'Vendor Months'!$A$6:$A$3965,$AS$1,'Vendor Months'!$C$6:$C$3965,A63,'Vendor Months'!$J$6:$J$3965,"LEGAL")</f>
        <v>0</v>
      </c>
      <c r="Q63" s="10" t="n">
        <f aca="false">SUMIFS('Vendor Months'!$G$6:$G$3965,'Vendor Months'!$A$6:$A$3965,$AS$1,'Vendor Months'!$C$6:$C$3965,A63,'Vendor Months'!$J$6:$J$3965,"SECURITY")</f>
        <v>20259.15858</v>
      </c>
      <c r="R63" s="10" t="n">
        <f aca="false">SUMIFS('Vendor Months'!$G$6:$G$3965,'Vendor Months'!$A$6:$A$3965,$AS$1,'Vendor Months'!$C$6:$C$3965,A63,'Vendor Months'!$J$6:$J$3965,"COMPLIANCE")</f>
        <v>0</v>
      </c>
      <c r="S63" s="10" t="n">
        <f aca="false">SUMIFS('Vendor Months'!$G$6:$G$3965,'Vendor Months'!$A$6:$A$3965,$AS$1,'Vendor Months'!$C$6:$C$3965,A63,'Vendor Months'!$J$6:$J$3965,"INSURANCE")</f>
        <v>0</v>
      </c>
      <c r="T63" s="10" t="n">
        <f aca="false">SUMIFS('Vendor Months'!$G$6:$G$3965,'Vendor Months'!$A$6:$A$3965,$AS$1,'Vendor Months'!$C$6:$C$3965,A63,'Vendor Months'!$J$6:$J$3965,"ACCOUNTING")</f>
        <v>675.305286</v>
      </c>
      <c r="U63" s="10" t="n">
        <f aca="false">SUMIFS('Vendor Months'!$G$6:$G$3965,'Vendor Months'!$A$6:$A$3965,$AS$1,'Vendor Months'!$C$6:$C$3965,A63,'Vendor Months'!$J$6:$J$3965,"SUPPORT")</f>
        <v>112.550881</v>
      </c>
      <c r="V63" s="10" t="n">
        <f aca="false">SUMIFS('Vendor Months'!$G$6:$G$3965,'Vendor Months'!$A$6:$A$3965,$AS$1,'Vendor Months'!$C$6:$C$3965,A63,'Vendor Months'!$J$6:$J$3965,"MARKETING")</f>
        <v>1937.65107307423</v>
      </c>
      <c r="W63" s="10" t="n">
        <f aca="false">SUMIFS('Vendor Months'!$G$6:$G$3965,'Vendor Months'!$A$6:$A$3965,$AS$1,'Vendor Months'!$C$6:$C$3965,A63,'Vendor Months'!$J$6:$J$3965,"ONBOARD")</f>
        <v>329.738909179688</v>
      </c>
      <c r="X63" s="10" t="n">
        <f aca="false">SUMIFS('Vendor Months'!$G$6:$G$3965,'Vendor Months'!$A$6:$A$3965,$AS$1,'Vendor Months'!$C$6:$C$3965,A63,'Vendor Months'!$J$6:$J$3965,"AI")</f>
        <v>0</v>
      </c>
      <c r="Y63" s="10" t="n">
        <f aca="false">SUMIFS('Vendor Months'!$G$6:$G$3965,'Vendor Months'!$A$6:$A$3965,$AS$1,'Vendor Months'!$C$6:$C$3965,A63,'Vendor Months'!$J$6:$J$3965,"CTMS")</f>
        <v>0</v>
      </c>
      <c r="Z63" s="10" t="n">
        <f aca="false">SUM(N63:Y63)</f>
        <v>25198.2806872802</v>
      </c>
      <c r="AA63" s="10" t="n">
        <f aca="false">(SUM(K63:M63)+Z63)*Assumptions!$C$12</f>
        <v>13108.9901228114</v>
      </c>
      <c r="AB63" s="10" t="n">
        <f aca="false">AD63*Assumptions!$C$29</f>
        <v>344.315576361279</v>
      </c>
      <c r="AC63" s="10" t="n">
        <f aca="false">SUM(K63:M63)+Z63+AA63+AB63</f>
        <v>144543.206927286</v>
      </c>
      <c r="AD63" s="10" t="n">
        <f aca="false">D63*Assumptions!$C$17</f>
        <v>11477.1858787093</v>
      </c>
      <c r="AE63" s="10" t="n">
        <f aca="false">AD63*12</f>
        <v>137726.230544511</v>
      </c>
      <c r="AF63" s="10" t="n">
        <f aca="false">AC63-AD63</f>
        <v>133066.021048577</v>
      </c>
      <c r="AG63" s="10" t="n">
        <f aca="false">IF(A63=Assumptions!$C$7,Assumptions!$C$8,0)</f>
        <v>0</v>
      </c>
      <c r="AH63" s="10" t="n">
        <f aca="false">AI62</f>
        <v>-3875332.92850337</v>
      </c>
      <c r="AI63" s="10" t="n">
        <f aca="false">AH63+AG63-AF63</f>
        <v>-4008398.94955194</v>
      </c>
      <c r="AJ63" s="10" t="n">
        <f aca="false">SUM($AC$6:AC63)</f>
        <v>5745094.9935167</v>
      </c>
      <c r="AK63" s="10" t="n">
        <f aca="false">MAX(0,-AI63)</f>
        <v>4008398.94955194</v>
      </c>
      <c r="AL63" s="10" t="n">
        <f aca="false">Assumptions!$C$6+SUM($AG$6:AG63)-AJ63</f>
        <v>-4245094.9935167</v>
      </c>
      <c r="AM63" s="10" t="n">
        <f aca="false">SUMIFS('Vendor Months'!$H$6:$H$3965,'Vendor Months'!$A$6:$A$3965,$AS$1,'Vendor Months'!$C$6:$C$3965,A63)</f>
        <v>22341.3498785</v>
      </c>
      <c r="AN63" s="10" t="n">
        <f aca="false">X63+Y63</f>
        <v>0</v>
      </c>
      <c r="AO63" s="10" t="n">
        <f aca="false">SUMIFS('Staff Months'!$I$6:$I$2345,'Staff Months'!$A$6:$A$2345,$AS$1,'Staff Months'!$C$6:$C$2345,A63)</f>
        <v>10551.64509375</v>
      </c>
      <c r="AP63" s="10" t="n">
        <f aca="false">SUM($AF$6:AF63)</f>
        <v>5508398.94955194</v>
      </c>
      <c r="AQ63" s="10" t="n">
        <f aca="false">AC63</f>
        <v>144543.206927286</v>
      </c>
      <c r="AR63" s="26" t="n">
        <f aca="false">IF(AI63&lt;0,1,0)</f>
        <v>1</v>
      </c>
      <c r="AS63" s="6"/>
    </row>
    <row r="64" customFormat="false" ht="15" hidden="false" customHeight="false" outlineLevel="0" collapsed="false">
      <c r="A64" s="6" t="n">
        <v>59</v>
      </c>
      <c r="B64" s="25" t="n">
        <f aca="false">EDATE('Start Here'!$B$6,A64-1)</f>
        <v>48092</v>
      </c>
      <c r="C64" s="11" t="n">
        <f aca="false">IF(A64&gt;=Assumptions!$C$13,Assumptions!$C$14*(1+Assumptions!$C$15)^INT((A64-Assumptions!$C$13)/12),0)</f>
        <v>0.9765625</v>
      </c>
      <c r="D64" s="11" t="n">
        <f aca="false">D63*(1-Assumptions!$C$16)+C64</f>
        <v>23.5866186810573</v>
      </c>
      <c r="E64" s="11" t="n">
        <f aca="false">D64*Assumptions!$C$18</f>
        <v>188.692949448458</v>
      </c>
      <c r="F64" s="11" t="n">
        <f aca="false">E64*Assumptions!$C$19*30/1000000</f>
        <v>0.566078848345375</v>
      </c>
      <c r="G64" s="11" t="n">
        <f aca="false">D64*Assumptions!$C$20</f>
        <v>47.1732373621146</v>
      </c>
      <c r="H64" s="11" t="n">
        <f aca="false">D64*Assumptions!$C$21</f>
        <v>11.7933093405286</v>
      </c>
      <c r="I64" s="11" t="n">
        <f aca="false">SUMIFS('Staff Months'!$E$6:$E$2345,'Staff Months'!$A$6:$A$2345,$AS$1,'Staff Months'!$C$6:$C$2345,A64)</f>
        <v>6.95</v>
      </c>
      <c r="J64" s="11" t="n">
        <f aca="false">SUMIFS('Staff Months'!$L$6:$L$2345,'Staff Months'!$A$6:$A$2345,$AS$1,'Staff Months'!$C$6:$C$2345,A64)</f>
        <v>9</v>
      </c>
      <c r="K64" s="10" t="n">
        <f aca="false">SUMIFS('Staff Months'!$H$6:$H$2345,'Staff Months'!$A$6:$A$2345,$AS$1,'Staff Months'!$C$6:$C$2345,A64)</f>
        <v>105891.620540833</v>
      </c>
      <c r="L64" s="10" t="n">
        <f aca="false">SUMIFS('Staff Months'!$J$6:$J$2345,'Staff Months'!$A$6:$A$2345,$AS$1,'Staff Months'!$C$6:$C$2345,A64)</f>
        <v>0</v>
      </c>
      <c r="M64" s="10" t="n">
        <f aca="false">SUMIFS('Staff Months'!$K$6:$K$2345,'Staff Months'!$A$6:$A$2345,$AS$1,'Staff Months'!$C$6:$C$2345,A64)</f>
        <v>0</v>
      </c>
      <c r="N64" s="10" t="n">
        <f aca="false">SUMIFS('Vendor Months'!$G$6:$G$3965,'Vendor Months'!$A$6:$A$3965,$AS$1,'Vendor Months'!$C$6:$C$3965,A64,'Vendor Months'!$J$6:$J$3965,"INFRA")</f>
        <v>1500.33126637522</v>
      </c>
      <c r="O64" s="10" t="n">
        <f aca="false">SUMIFS('Vendor Months'!$G$6:$G$3965,'Vendor Months'!$A$6:$A$3965,$AS$1,'Vendor Months'!$C$6:$C$3965,A64,'Vendor Months'!$J$6:$J$3965,"TOOLS")</f>
        <v>386.04952183</v>
      </c>
      <c r="P64" s="10" t="n">
        <f aca="false">SUMIFS('Vendor Months'!$G$6:$G$3965,'Vendor Months'!$A$6:$A$3965,$AS$1,'Vendor Months'!$C$6:$C$3965,A64,'Vendor Months'!$J$6:$J$3965,"LEGAL")</f>
        <v>0</v>
      </c>
      <c r="Q64" s="10" t="n">
        <f aca="false">SUMIFS('Vendor Months'!$G$6:$G$3965,'Vendor Months'!$A$6:$A$3965,$AS$1,'Vendor Months'!$C$6:$C$3965,A64,'Vendor Months'!$J$6:$J$3965,"SECURITY")</f>
        <v>0</v>
      </c>
      <c r="R64" s="10" t="n">
        <f aca="false">SUMIFS('Vendor Months'!$G$6:$G$3965,'Vendor Months'!$A$6:$A$3965,$AS$1,'Vendor Months'!$C$6:$C$3965,A64,'Vendor Months'!$J$6:$J$3965,"COMPLIANCE")</f>
        <v>16882.63215</v>
      </c>
      <c r="S64" s="10" t="n">
        <f aca="false">SUMIFS('Vendor Months'!$G$6:$G$3965,'Vendor Months'!$A$6:$A$3965,$AS$1,'Vendor Months'!$C$6:$C$3965,A64,'Vendor Months'!$J$6:$J$3965,"INSURANCE")</f>
        <v>0</v>
      </c>
      <c r="T64" s="10" t="n">
        <f aca="false">SUMIFS('Vendor Months'!$G$6:$G$3965,'Vendor Months'!$A$6:$A$3965,$AS$1,'Vendor Months'!$C$6:$C$3965,A64,'Vendor Months'!$J$6:$J$3965,"ACCOUNTING")</f>
        <v>675.305286</v>
      </c>
      <c r="U64" s="10" t="n">
        <f aca="false">SUMIFS('Vendor Months'!$G$6:$G$3965,'Vendor Months'!$A$6:$A$3965,$AS$1,'Vendor Months'!$C$6:$C$3965,A64,'Vendor Months'!$J$6:$J$3965,"SUPPORT")</f>
        <v>112.550881</v>
      </c>
      <c r="V64" s="10" t="n">
        <f aca="false">SUMIFS('Vendor Months'!$G$6:$G$3965,'Vendor Months'!$A$6:$A$3965,$AS$1,'Vendor Months'!$C$6:$C$3965,A64,'Vendor Months'!$J$6:$J$3965,"MARKETING")</f>
        <v>1991.02103427304</v>
      </c>
      <c r="W64" s="10" t="n">
        <f aca="false">SUMIFS('Vendor Months'!$G$6:$G$3965,'Vendor Months'!$A$6:$A$3965,$AS$1,'Vendor Months'!$C$6:$C$3965,A64,'Vendor Months'!$J$6:$J$3965,"ONBOARD")</f>
        <v>329.738909179688</v>
      </c>
      <c r="X64" s="10" t="n">
        <f aca="false">SUMIFS('Vendor Months'!$G$6:$G$3965,'Vendor Months'!$A$6:$A$3965,$AS$1,'Vendor Months'!$C$6:$C$3965,A64,'Vendor Months'!$J$6:$J$3965,"AI")</f>
        <v>0</v>
      </c>
      <c r="Y64" s="10" t="n">
        <f aca="false">SUMIFS('Vendor Months'!$G$6:$G$3965,'Vendor Months'!$A$6:$A$3965,$AS$1,'Vendor Months'!$C$6:$C$3965,A64,'Vendor Months'!$J$6:$J$3965,"CTMS")</f>
        <v>0</v>
      </c>
      <c r="Z64" s="10" t="n">
        <f aca="false">SUM(N64:Y64)</f>
        <v>21877.6290486579</v>
      </c>
      <c r="AA64" s="10" t="n">
        <f aca="false">(SUM(K64:M64)+Z64)*Assumptions!$C$12</f>
        <v>12776.9249589491</v>
      </c>
      <c r="AB64" s="10" t="n">
        <f aca="false">AD64*Assumptions!$C$29</f>
        <v>353.799280215859</v>
      </c>
      <c r="AC64" s="10" t="n">
        <f aca="false">SUM(K64:M64)+Z64+AA64+AB64</f>
        <v>140899.973828656</v>
      </c>
      <c r="AD64" s="10" t="n">
        <f aca="false">D64*Assumptions!$C$17</f>
        <v>11793.3093405286</v>
      </c>
      <c r="AE64" s="10" t="n">
        <f aca="false">AD64*12</f>
        <v>141519.712086344</v>
      </c>
      <c r="AF64" s="10" t="n">
        <f aca="false">AC64-AD64</f>
        <v>129106.664488128</v>
      </c>
      <c r="AG64" s="10" t="n">
        <f aca="false">IF(A64=Assumptions!$C$7,Assumptions!$C$8,0)</f>
        <v>0</v>
      </c>
      <c r="AH64" s="10" t="n">
        <f aca="false">AI63</f>
        <v>-4008398.94955194</v>
      </c>
      <c r="AI64" s="10" t="n">
        <f aca="false">AH64+AG64-AF64</f>
        <v>-4137505.61404007</v>
      </c>
      <c r="AJ64" s="10" t="n">
        <f aca="false">SUM($AC$6:AC64)</f>
        <v>5885994.96734536</v>
      </c>
      <c r="AK64" s="10" t="n">
        <f aca="false">MAX(0,-AI64)</f>
        <v>4137505.61404007</v>
      </c>
      <c r="AL64" s="10" t="n">
        <f aca="false">Assumptions!$C$6+SUM($AG$6:AG64)-AJ64</f>
        <v>-4385994.96734536</v>
      </c>
      <c r="AM64" s="10" t="n">
        <f aca="false">SUMIFS('Vendor Months'!$H$6:$H$3965,'Vendor Months'!$A$6:$A$3965,$AS$1,'Vendor Months'!$C$6:$C$3965,A64)</f>
        <v>18964.8234485</v>
      </c>
      <c r="AN64" s="10" t="n">
        <f aca="false">X64+Y64</f>
        <v>0</v>
      </c>
      <c r="AO64" s="10" t="n">
        <f aca="false">SUMIFS('Staff Months'!$I$6:$I$2345,'Staff Months'!$A$6:$A$2345,$AS$1,'Staff Months'!$C$6:$C$2345,A64)</f>
        <v>10551.64509375</v>
      </c>
      <c r="AP64" s="10" t="n">
        <f aca="false">SUM($AF$6:AF64)</f>
        <v>5637505.61404007</v>
      </c>
      <c r="AQ64" s="10" t="n">
        <f aca="false">AC64</f>
        <v>140899.973828656</v>
      </c>
      <c r="AR64" s="26" t="n">
        <f aca="false">IF(AI64&lt;0,1,0)</f>
        <v>1</v>
      </c>
      <c r="AS64" s="6"/>
    </row>
    <row r="65" customFormat="false" ht="15" hidden="false" customHeight="false" outlineLevel="0" collapsed="false">
      <c r="A65" s="6" t="n">
        <v>60</v>
      </c>
      <c r="B65" s="25" t="n">
        <f aca="false">EDATE('Start Here'!$B$6,A65-1)</f>
        <v>48122</v>
      </c>
      <c r="C65" s="11" t="n">
        <f aca="false">IF(A65&gt;=Assumptions!$C$13,Assumptions!$C$14*(1+Assumptions!$C$15)^INT((A65-Assumptions!$C$13)/12),0)</f>
        <v>0.9765625</v>
      </c>
      <c r="D65" s="11" t="n">
        <f aca="false">D64*(1-Assumptions!$C$16)+C65</f>
        <v>24.2093819008414</v>
      </c>
      <c r="E65" s="11" t="n">
        <f aca="false">D65*Assumptions!$C$18</f>
        <v>193.675055206731</v>
      </c>
      <c r="F65" s="11" t="n">
        <f aca="false">E65*Assumptions!$C$19*30/1000000</f>
        <v>0.581025165620194</v>
      </c>
      <c r="G65" s="11" t="n">
        <f aca="false">D65*Assumptions!$C$20</f>
        <v>48.4187638016829</v>
      </c>
      <c r="H65" s="11" t="n">
        <f aca="false">D65*Assumptions!$C$21</f>
        <v>12.1046909504207</v>
      </c>
      <c r="I65" s="11" t="n">
        <f aca="false">SUMIFS('Staff Months'!$E$6:$E$2345,'Staff Months'!$A$6:$A$2345,$AS$1,'Staff Months'!$C$6:$C$2345,A65)</f>
        <v>6.95</v>
      </c>
      <c r="J65" s="11" t="n">
        <f aca="false">SUMIFS('Staff Months'!$L$6:$L$2345,'Staff Months'!$A$6:$A$2345,$AS$1,'Staff Months'!$C$6:$C$2345,A65)</f>
        <v>9</v>
      </c>
      <c r="K65" s="10" t="n">
        <f aca="false">SUMIFS('Staff Months'!$H$6:$H$2345,'Staff Months'!$A$6:$A$2345,$AS$1,'Staff Months'!$C$6:$C$2345,A65)</f>
        <v>105891.620540833</v>
      </c>
      <c r="L65" s="10" t="n">
        <f aca="false">SUMIFS('Staff Months'!$J$6:$J$2345,'Staff Months'!$A$6:$A$2345,$AS$1,'Staff Months'!$C$6:$C$2345,A65)</f>
        <v>0</v>
      </c>
      <c r="M65" s="10" t="n">
        <f aca="false">SUMIFS('Staff Months'!$K$6:$K$2345,'Staff Months'!$A$6:$A$2345,$AS$1,'Staff Months'!$C$6:$C$2345,A65)</f>
        <v>0</v>
      </c>
      <c r="N65" s="10" t="n">
        <f aca="false">SUMIFS('Vendor Months'!$G$6:$G$3965,'Vendor Months'!$A$6:$A$3965,$AS$1,'Vendor Months'!$C$6:$C$3965,A65,'Vendor Months'!$J$6:$J$3965,"INFRA")</f>
        <v>1502.79852410146</v>
      </c>
      <c r="O65" s="10" t="n">
        <f aca="false">SUMIFS('Vendor Months'!$G$6:$G$3965,'Vendor Months'!$A$6:$A$3965,$AS$1,'Vendor Months'!$C$6:$C$3965,A65,'Vendor Months'!$J$6:$J$3965,"TOOLS")</f>
        <v>386.04952183</v>
      </c>
      <c r="P65" s="10" t="n">
        <f aca="false">SUMIFS('Vendor Months'!$G$6:$G$3965,'Vendor Months'!$A$6:$A$3965,$AS$1,'Vendor Months'!$C$6:$C$3965,A65,'Vendor Months'!$J$6:$J$3965,"LEGAL")</f>
        <v>0</v>
      </c>
      <c r="Q65" s="10" t="n">
        <f aca="false">SUMIFS('Vendor Months'!$G$6:$G$3965,'Vendor Months'!$A$6:$A$3965,$AS$1,'Vendor Months'!$C$6:$C$3965,A65,'Vendor Months'!$J$6:$J$3965,"SECURITY")</f>
        <v>0</v>
      </c>
      <c r="R65" s="10" t="n">
        <f aca="false">SUMIFS('Vendor Months'!$G$6:$G$3965,'Vendor Months'!$A$6:$A$3965,$AS$1,'Vendor Months'!$C$6:$C$3965,A65,'Vendor Months'!$J$6:$J$3965,"COMPLIANCE")</f>
        <v>0</v>
      </c>
      <c r="S65" s="10" t="n">
        <f aca="false">SUMIFS('Vendor Months'!$G$6:$G$3965,'Vendor Months'!$A$6:$A$3965,$AS$1,'Vendor Months'!$C$6:$C$3965,A65,'Vendor Months'!$J$6:$J$3965,"INSURANCE")</f>
        <v>0</v>
      </c>
      <c r="T65" s="10" t="n">
        <f aca="false">SUMIFS('Vendor Months'!$G$6:$G$3965,'Vendor Months'!$A$6:$A$3965,$AS$1,'Vendor Months'!$C$6:$C$3965,A65,'Vendor Months'!$J$6:$J$3965,"ACCOUNTING")</f>
        <v>675.305286</v>
      </c>
      <c r="U65" s="10" t="n">
        <f aca="false">SUMIFS('Vendor Months'!$G$6:$G$3965,'Vendor Months'!$A$6:$A$3965,$AS$1,'Vendor Months'!$C$6:$C$3965,A65,'Vendor Months'!$J$6:$J$3965,"SUPPORT")</f>
        <v>112.550881</v>
      </c>
      <c r="V65" s="10" t="n">
        <f aca="false">SUMIFS('Vendor Months'!$G$6:$G$3965,'Vendor Months'!$A$6:$A$3965,$AS$1,'Vendor Months'!$C$6:$C$3965,A65,'Vendor Months'!$J$6:$J$3965,"MARKETING")</f>
        <v>2043.59044605387</v>
      </c>
      <c r="W65" s="10" t="n">
        <f aca="false">SUMIFS('Vendor Months'!$G$6:$G$3965,'Vendor Months'!$A$6:$A$3965,$AS$1,'Vendor Months'!$C$6:$C$3965,A65,'Vendor Months'!$J$6:$J$3965,"ONBOARD")</f>
        <v>329.738909179688</v>
      </c>
      <c r="X65" s="10" t="n">
        <f aca="false">SUMIFS('Vendor Months'!$G$6:$G$3965,'Vendor Months'!$A$6:$A$3965,$AS$1,'Vendor Months'!$C$6:$C$3965,A65,'Vendor Months'!$J$6:$J$3965,"AI")</f>
        <v>0</v>
      </c>
      <c r="Y65" s="10" t="n">
        <f aca="false">SUMIFS('Vendor Months'!$G$6:$G$3965,'Vendor Months'!$A$6:$A$3965,$AS$1,'Vendor Months'!$C$6:$C$3965,A65,'Vendor Months'!$J$6:$J$3965,"CTMS")</f>
        <v>0</v>
      </c>
      <c r="Z65" s="10" t="n">
        <f aca="false">SUM(N65:Y65)</f>
        <v>5050.03356816502</v>
      </c>
      <c r="AA65" s="10" t="n">
        <f aca="false">(SUM(K65:M65)+Z65)*Assumptions!$C$12</f>
        <v>11094.1654108998</v>
      </c>
      <c r="AB65" s="10" t="n">
        <f aca="false">AD65*Assumptions!$C$29</f>
        <v>363.140728512621</v>
      </c>
      <c r="AC65" s="10" t="n">
        <f aca="false">SUM(K65:M65)+Z65+AA65+AB65</f>
        <v>122398.960248411</v>
      </c>
      <c r="AD65" s="10" t="n">
        <f aca="false">D65*Assumptions!$C$17</f>
        <v>12104.6909504207</v>
      </c>
      <c r="AE65" s="10" t="n">
        <f aca="false">AD65*12</f>
        <v>145256.291405049</v>
      </c>
      <c r="AF65" s="10" t="n">
        <f aca="false">AC65-AD65</f>
        <v>110294.26929799</v>
      </c>
      <c r="AG65" s="10" t="n">
        <f aca="false">IF(A65=Assumptions!$C$7,Assumptions!$C$8,0)</f>
        <v>0</v>
      </c>
      <c r="AH65" s="10" t="n">
        <f aca="false">AI64</f>
        <v>-4137505.61404007</v>
      </c>
      <c r="AI65" s="10" t="n">
        <f aca="false">AH65+AG65-AF65</f>
        <v>-4247799.88333806</v>
      </c>
      <c r="AJ65" s="10" t="n">
        <f aca="false">SUM($AC$6:AC65)</f>
        <v>6008393.92759377</v>
      </c>
      <c r="AK65" s="10" t="n">
        <f aca="false">MAX(0,-AI65)</f>
        <v>4247799.88333806</v>
      </c>
      <c r="AL65" s="10" t="n">
        <f aca="false">Assumptions!$C$6+SUM($AG$6:AG65)-AJ65</f>
        <v>-4508393.92759377</v>
      </c>
      <c r="AM65" s="10" t="n">
        <f aca="false">SUMIFS('Vendor Months'!$H$6:$H$3965,'Vendor Months'!$A$6:$A$3965,$AS$1,'Vendor Months'!$C$6:$C$3965,A65)</f>
        <v>2082.1912985</v>
      </c>
      <c r="AN65" s="10" t="n">
        <f aca="false">X65+Y65</f>
        <v>0</v>
      </c>
      <c r="AO65" s="10" t="n">
        <f aca="false">SUMIFS('Staff Months'!$I$6:$I$2345,'Staff Months'!$A$6:$A$2345,$AS$1,'Staff Months'!$C$6:$C$2345,A65)</f>
        <v>10551.64509375</v>
      </c>
      <c r="AP65" s="10" t="n">
        <f aca="false">SUM($AF$6:AF65)</f>
        <v>5747799.88333806</v>
      </c>
      <c r="AQ65" s="10" t="n">
        <f aca="false">AC65</f>
        <v>122398.960248411</v>
      </c>
      <c r="AR65" s="26" t="n">
        <f aca="false">IF(AI65&lt;0,1,0)</f>
        <v>1</v>
      </c>
      <c r="AS65" s="6"/>
    </row>
  </sheetData>
  <autoFilter ref="A5:AS65"/>
  <mergeCells count="1">
    <mergeCell ref="A2:H2"/>
  </mergeCells>
  <conditionalFormatting sqref="AI6:AI65">
    <cfRule type="cellIs" priority="2" operator="lessThan" aboveAverage="0" equalAverage="0" bottom="0" percent="0" rank="0" text="" dxfId="12">
      <formula>0</formula>
    </cfRule>
  </conditionalFormatting>
  <conditionalFormatting sqref="AL6:AL65">
    <cfRule type="cellIs" priority="3" operator="lessThan" aboveAverage="0" equalAverage="0" bottom="0" percent="0" rank="0" text="" dxfId="12">
      <formula>0</formula>
    </cfRule>
  </conditionalFormatting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4" min="1" style="0" width="20"/>
    <col collapsed="false" customWidth="true" hidden="true" outlineLevel="1" max="8" min="5" style="0" width="20"/>
    <col collapsed="false" customWidth="true" hidden="false" outlineLevel="0" max="11" min="9" style="0" width="20"/>
    <col collapsed="false" customWidth="true" hidden="true" outlineLevel="1" max="25" min="12" style="0" width="20"/>
    <col collapsed="false" customWidth="true" hidden="false" outlineLevel="0" max="35" min="26" style="0" width="20"/>
    <col collapsed="false" customWidth="true" hidden="true" outlineLevel="1" max="44" min="36" style="0" width="20"/>
    <col collapsed="false" customWidth="true" hidden="true" outlineLevel="0" max="45" min="45" style="0" width="20"/>
  </cols>
  <sheetData>
    <row r="1" customFormat="false" ht="28.5" hidden="false" customHeight="true" outlineLevel="0" collapsed="false">
      <c r="A1" s="1" t="s">
        <v>1029</v>
      </c>
      <c r="AS1" s="5" t="s">
        <v>4</v>
      </c>
    </row>
    <row r="2" customFormat="false" ht="43.5" hidden="false" customHeight="true" outlineLevel="0" collapsed="false">
      <c r="A2" s="2" t="s">
        <v>1005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996</v>
      </c>
      <c r="B5" s="13" t="s">
        <v>997</v>
      </c>
      <c r="C5" s="13" t="s">
        <v>1006</v>
      </c>
      <c r="D5" s="13" t="s">
        <v>1007</v>
      </c>
      <c r="E5" s="13" t="s">
        <v>1008</v>
      </c>
      <c r="F5" s="13" t="s">
        <v>1009</v>
      </c>
      <c r="G5" s="13" t="s">
        <v>1010</v>
      </c>
      <c r="H5" s="13" t="s">
        <v>1011</v>
      </c>
      <c r="I5" s="13" t="s">
        <v>1012</v>
      </c>
      <c r="J5" s="13" t="s">
        <v>1003</v>
      </c>
      <c r="K5" s="13" t="s">
        <v>33</v>
      </c>
      <c r="L5" s="13" t="s">
        <v>35</v>
      </c>
      <c r="M5" s="13" t="s">
        <v>37</v>
      </c>
      <c r="N5" s="13" t="s">
        <v>39</v>
      </c>
      <c r="O5" s="13" t="s">
        <v>41</v>
      </c>
      <c r="P5" s="13" t="s">
        <v>43</v>
      </c>
      <c r="Q5" s="13" t="s">
        <v>45</v>
      </c>
      <c r="R5" s="13" t="s">
        <v>47</v>
      </c>
      <c r="S5" s="13" t="s">
        <v>49</v>
      </c>
      <c r="T5" s="13" t="s">
        <v>51</v>
      </c>
      <c r="U5" s="13" t="s">
        <v>53</v>
      </c>
      <c r="V5" s="13" t="s">
        <v>55</v>
      </c>
      <c r="W5" s="13" t="s">
        <v>57</v>
      </c>
      <c r="X5" s="13" t="s">
        <v>59</v>
      </c>
      <c r="Y5" s="13" t="s">
        <v>61</v>
      </c>
      <c r="Z5" s="13" t="s">
        <v>1013</v>
      </c>
      <c r="AA5" s="13" t="s">
        <v>63</v>
      </c>
      <c r="AB5" s="13" t="s">
        <v>65</v>
      </c>
      <c r="AC5" s="13" t="s">
        <v>1014</v>
      </c>
      <c r="AD5" s="13" t="s">
        <v>1015</v>
      </c>
      <c r="AE5" s="13" t="s">
        <v>1016</v>
      </c>
      <c r="AF5" s="13" t="s">
        <v>1017</v>
      </c>
      <c r="AG5" s="13" t="s">
        <v>1018</v>
      </c>
      <c r="AH5" s="13" t="s">
        <v>1019</v>
      </c>
      <c r="AI5" s="13" t="s">
        <v>1020</v>
      </c>
      <c r="AJ5" s="13" t="s">
        <v>1021</v>
      </c>
      <c r="AK5" s="13" t="s">
        <v>1022</v>
      </c>
      <c r="AL5" s="13" t="s">
        <v>1023</v>
      </c>
      <c r="AM5" s="13" t="s">
        <v>1024</v>
      </c>
      <c r="AN5" s="13" t="s">
        <v>1025</v>
      </c>
      <c r="AO5" s="13" t="s">
        <v>1002</v>
      </c>
      <c r="AP5" s="13" t="s">
        <v>1026</v>
      </c>
      <c r="AQ5" s="13" t="s">
        <v>1027</v>
      </c>
      <c r="AR5" s="13" t="s">
        <v>1028</v>
      </c>
      <c r="AS5" s="5"/>
    </row>
    <row r="6" customFormat="false" ht="15" hidden="false" customHeight="false" outlineLevel="0" collapsed="false">
      <c r="A6" s="6" t="n">
        <v>1</v>
      </c>
      <c r="B6" s="25" t="n">
        <f aca="false">EDATE('Start Here'!$B$6,A6-1)</f>
        <v>46327</v>
      </c>
      <c r="C6" s="11" t="n">
        <f aca="false">IF(A6&gt;=Assumptions!$D$13,Assumptions!$D$14*(1+Assumptions!$D$15)^INT((A6-Assumptions!$D$13)/12),0)</f>
        <v>0</v>
      </c>
      <c r="D6" s="11" t="n">
        <f aca="false">0*(1-Assumptions!$D$16)+C6</f>
        <v>0</v>
      </c>
      <c r="E6" s="11" t="n">
        <f aca="false">D6*Assumptions!$D$18</f>
        <v>0</v>
      </c>
      <c r="F6" s="11" t="n">
        <f aca="false">E6*Assumptions!$D$19*30/1000000</f>
        <v>0</v>
      </c>
      <c r="G6" s="11" t="n">
        <f aca="false">D6*Assumptions!$D$20</f>
        <v>0</v>
      </c>
      <c r="H6" s="11" t="n">
        <f aca="false">D6*Assumptions!$D$21</f>
        <v>0</v>
      </c>
      <c r="I6" s="11" t="n">
        <f aca="false">SUMIFS('Staff Months'!$E$6:$E$2345,'Staff Months'!$A$6:$A$2345,$AS$1,'Staff Months'!$C$6:$C$2345,A6)</f>
        <v>2</v>
      </c>
      <c r="J6" s="11" t="n">
        <f aca="false">SUMIFS('Staff Months'!$L$6:$L$2345,'Staff Months'!$A$6:$A$2345,$AS$1,'Staff Months'!$C$6:$C$2345,A6)</f>
        <v>2</v>
      </c>
      <c r="K6" s="10" t="n">
        <f aca="false">SUMIFS('Staff Months'!$H$6:$H$2345,'Staff Months'!$A$6:$A$2345,$AS$1,'Staff Months'!$C$6:$C$2345,A6)</f>
        <v>19250</v>
      </c>
      <c r="L6" s="10" t="n">
        <f aca="false">SUMIFS('Staff Months'!$J$6:$J$2345,'Staff Months'!$A$6:$A$2345,$AS$1,'Staff Months'!$C$6:$C$2345,A6)</f>
        <v>8000</v>
      </c>
      <c r="M6" s="10" t="n">
        <f aca="false">SUMIFS('Staff Months'!$K$6:$K$2345,'Staff Months'!$A$6:$A$2345,$AS$1,'Staff Months'!$C$6:$C$2345,A6)</f>
        <v>6000</v>
      </c>
      <c r="N6" s="10" t="n">
        <f aca="false">SUMIFS('Vendor Months'!$G$6:$G$3965,'Vendor Months'!$A$6:$A$3965,$AS$1,'Vendor Months'!$C$6:$C$3965,A6,'Vendor Months'!$J$6:$J$3965,"INFRA")</f>
        <v>1250</v>
      </c>
      <c r="O6" s="10" t="n">
        <f aca="false">SUMIFS('Vendor Months'!$G$6:$G$3965,'Vendor Months'!$A$6:$A$3965,$AS$1,'Vendor Months'!$C$6:$C$3965,A6,'Vendor Months'!$J$6:$J$3965,"TOOLS")</f>
        <v>98</v>
      </c>
      <c r="P6" s="10" t="n">
        <f aca="false">SUMIFS('Vendor Months'!$G$6:$G$3965,'Vendor Months'!$A$6:$A$3965,$AS$1,'Vendor Months'!$C$6:$C$3965,A6,'Vendor Months'!$J$6:$J$3965,"LEGAL")</f>
        <v>0</v>
      </c>
      <c r="Q6" s="10" t="n">
        <f aca="false">SUMIFS('Vendor Months'!$G$6:$G$3965,'Vendor Months'!$A$6:$A$3965,$AS$1,'Vendor Months'!$C$6:$C$3965,A6,'Vendor Months'!$J$6:$J$3965,"SECURITY")</f>
        <v>0</v>
      </c>
      <c r="R6" s="10" t="n">
        <f aca="false">SUMIFS('Vendor Months'!$G$6:$G$3965,'Vendor Months'!$A$6:$A$3965,$AS$1,'Vendor Months'!$C$6:$C$3965,A6,'Vendor Months'!$J$6:$J$3965,"COMPLIANCE")</f>
        <v>0</v>
      </c>
      <c r="S6" s="10" t="n">
        <f aca="false">SUMIFS('Vendor Months'!$G$6:$G$3965,'Vendor Months'!$A$6:$A$3965,$AS$1,'Vendor Months'!$C$6:$C$3965,A6,'Vendor Months'!$J$6:$J$3965,"INSURANCE")</f>
        <v>0</v>
      </c>
      <c r="T6" s="10" t="n">
        <f aca="false">SUMIFS('Vendor Months'!$G$6:$G$3965,'Vendor Months'!$A$6:$A$3965,$AS$1,'Vendor Months'!$C$6:$C$3965,A6,'Vendor Months'!$J$6:$J$3965,"ACCOUNTING")</f>
        <v>600</v>
      </c>
      <c r="U6" s="10" t="n">
        <f aca="false">SUMIFS('Vendor Months'!$G$6:$G$3965,'Vendor Months'!$A$6:$A$3965,$AS$1,'Vendor Months'!$C$6:$C$3965,A6,'Vendor Months'!$J$6:$J$3965,"SUPPORT")</f>
        <v>0</v>
      </c>
      <c r="V6" s="10" t="n">
        <f aca="false">SUMIFS('Vendor Months'!$G$6:$G$3965,'Vendor Months'!$A$6:$A$3965,$AS$1,'Vendor Months'!$C$6:$C$3965,A6,'Vendor Months'!$J$6:$J$3965,"MARKETING")</f>
        <v>0</v>
      </c>
      <c r="W6" s="10" t="n">
        <f aca="false">SUMIFS('Vendor Months'!$G$6:$G$3965,'Vendor Months'!$A$6:$A$3965,$AS$1,'Vendor Months'!$C$6:$C$3965,A6,'Vendor Months'!$J$6:$J$3965,"ONBOARD")</f>
        <v>0</v>
      </c>
      <c r="X6" s="10" t="n">
        <f aca="false">SUMIFS('Vendor Months'!$G$6:$G$3965,'Vendor Months'!$A$6:$A$3965,$AS$1,'Vendor Months'!$C$6:$C$3965,A6,'Vendor Months'!$J$6:$J$3965,"AI")</f>
        <v>0</v>
      </c>
      <c r="Y6" s="10" t="n">
        <f aca="false">SUMIFS('Vendor Months'!$G$6:$G$3965,'Vendor Months'!$A$6:$A$3965,$AS$1,'Vendor Months'!$C$6:$C$3965,A6,'Vendor Months'!$J$6:$J$3965,"CTMS")</f>
        <v>0</v>
      </c>
      <c r="Z6" s="10" t="n">
        <f aca="false">SUM(N6:Y6)</f>
        <v>1948</v>
      </c>
      <c r="AA6" s="10" t="n">
        <f aca="false">(SUM(K6:M6)+Z6)*Assumptions!$D$12</f>
        <v>5279.7</v>
      </c>
      <c r="AB6" s="10" t="n">
        <f aca="false">AD6*Assumptions!$D$29</f>
        <v>0</v>
      </c>
      <c r="AC6" s="10" t="n">
        <f aca="false">SUM(K6:M6)+Z6+AA6+AB6</f>
        <v>40477.7</v>
      </c>
      <c r="AD6" s="10" t="n">
        <f aca="false">D6*Assumptions!$D$17</f>
        <v>0</v>
      </c>
      <c r="AE6" s="10" t="n">
        <f aca="false">AD6*12</f>
        <v>0</v>
      </c>
      <c r="AF6" s="10" t="n">
        <f aca="false">AC6-AD6</f>
        <v>40477.7</v>
      </c>
      <c r="AG6" s="10" t="n">
        <f aca="false">IF(A6=Assumptions!$D$7,Assumptions!$D$8,0)</f>
        <v>0</v>
      </c>
      <c r="AH6" s="10" t="n">
        <f aca="false">Assumptions!$D$6</f>
        <v>1000000</v>
      </c>
      <c r="AI6" s="10" t="n">
        <f aca="false">AH6+AG6-AF6</f>
        <v>959522.3</v>
      </c>
      <c r="AJ6" s="10" t="n">
        <f aca="false">SUM($AC$6:AC6)</f>
        <v>40477.7</v>
      </c>
      <c r="AK6" s="10" t="n">
        <f aca="false">MAX(0,-AI6)</f>
        <v>0</v>
      </c>
      <c r="AL6" s="10" t="n">
        <f aca="false">Assumptions!$D$6+SUM($AG$6:AG6)-AJ6</f>
        <v>959522.3</v>
      </c>
      <c r="AM6" s="10" t="n">
        <f aca="false">SUMIFS('Vendor Months'!$H$6:$H$3965,'Vendor Months'!$A$6:$A$3965,$AS$1,'Vendor Months'!$C$6:$C$3965,A6)</f>
        <v>1850</v>
      </c>
      <c r="AN6" s="10" t="n">
        <f aca="false">X6+Y6</f>
        <v>0</v>
      </c>
      <c r="AO6" s="10" t="n">
        <f aca="false">SUMIFS('Staff Months'!$I$6:$I$2345,'Staff Months'!$A$6:$A$2345,$AS$1,'Staff Months'!$C$6:$C$2345,A6)</f>
        <v>15000</v>
      </c>
      <c r="AP6" s="10" t="n">
        <f aca="false">SUM($AF$6:AF6)</f>
        <v>40477.7</v>
      </c>
      <c r="AQ6" s="10" t="n">
        <f aca="false">AC6</f>
        <v>40477.7</v>
      </c>
      <c r="AR6" s="26" t="n">
        <f aca="false">IF(AI6&lt;0,1,0)</f>
        <v>0</v>
      </c>
      <c r="AS6" s="6"/>
    </row>
    <row r="7" customFormat="false" ht="15" hidden="false" customHeight="false" outlineLevel="0" collapsed="false">
      <c r="A7" s="6" t="n">
        <v>2</v>
      </c>
      <c r="B7" s="25" t="n">
        <f aca="false">EDATE('Start Here'!$B$6,A7-1)</f>
        <v>46357</v>
      </c>
      <c r="C7" s="11" t="n">
        <f aca="false">IF(A7&gt;=Assumptions!$D$13,Assumptions!$D$14*(1+Assumptions!$D$15)^INT((A7-Assumptions!$D$13)/12),0)</f>
        <v>0</v>
      </c>
      <c r="D7" s="11" t="n">
        <f aca="false">D6*(1-Assumptions!$D$16)+C7</f>
        <v>0</v>
      </c>
      <c r="E7" s="11" t="n">
        <f aca="false">D7*Assumptions!$D$18</f>
        <v>0</v>
      </c>
      <c r="F7" s="11" t="n">
        <f aca="false">E7*Assumptions!$D$19*30/1000000</f>
        <v>0</v>
      </c>
      <c r="G7" s="11" t="n">
        <f aca="false">D7*Assumptions!$D$20</f>
        <v>0</v>
      </c>
      <c r="H7" s="11" t="n">
        <f aca="false">D7*Assumptions!$D$21</f>
        <v>0</v>
      </c>
      <c r="I7" s="11" t="n">
        <f aca="false">SUMIFS('Staff Months'!$E$6:$E$2345,'Staff Months'!$A$6:$A$2345,$AS$1,'Staff Months'!$C$6:$C$2345,A7)</f>
        <v>2.65</v>
      </c>
      <c r="J7" s="11" t="n">
        <f aca="false">SUMIFS('Staff Months'!$L$6:$L$2345,'Staff Months'!$A$6:$A$2345,$AS$1,'Staff Months'!$C$6:$C$2345,A7)</f>
        <v>5</v>
      </c>
      <c r="K7" s="10" t="n">
        <f aca="false">SUMIFS('Staff Months'!$H$6:$H$2345,'Staff Months'!$A$6:$A$2345,$AS$1,'Staff Months'!$C$6:$C$2345,A7)</f>
        <v>28416.6666666667</v>
      </c>
      <c r="L7" s="10" t="n">
        <f aca="false">SUMIFS('Staff Months'!$J$6:$J$2345,'Staff Months'!$A$6:$A$2345,$AS$1,'Staff Months'!$C$6:$C$2345,A7)</f>
        <v>0</v>
      </c>
      <c r="M7" s="10" t="n">
        <f aca="false">SUMIFS('Staff Months'!$K$6:$K$2345,'Staff Months'!$A$6:$A$2345,$AS$1,'Staff Months'!$C$6:$C$2345,A7)</f>
        <v>1950</v>
      </c>
      <c r="N7" s="10" t="n">
        <f aca="false">SUMIFS('Vendor Months'!$G$6:$G$3965,'Vendor Months'!$A$6:$A$3965,$AS$1,'Vendor Months'!$C$6:$C$3965,A7,'Vendor Months'!$J$6:$J$3965,"INFRA")</f>
        <v>1250</v>
      </c>
      <c r="O7" s="10" t="n">
        <f aca="false">SUMIFS('Vendor Months'!$G$6:$G$3965,'Vendor Months'!$A$6:$A$3965,$AS$1,'Vendor Months'!$C$6:$C$3965,A7,'Vendor Months'!$J$6:$J$3965,"TOOLS")</f>
        <v>147</v>
      </c>
      <c r="P7" s="10" t="n">
        <f aca="false">SUMIFS('Vendor Months'!$G$6:$G$3965,'Vendor Months'!$A$6:$A$3965,$AS$1,'Vendor Months'!$C$6:$C$3965,A7,'Vendor Months'!$J$6:$J$3965,"LEGAL")</f>
        <v>20000</v>
      </c>
      <c r="Q7" s="10" t="n">
        <f aca="false">SUMIFS('Vendor Months'!$G$6:$G$3965,'Vendor Months'!$A$6:$A$3965,$AS$1,'Vendor Months'!$C$6:$C$3965,A7,'Vendor Months'!$J$6:$J$3965,"SECURITY")</f>
        <v>0</v>
      </c>
      <c r="R7" s="10" t="n">
        <f aca="false">SUMIFS('Vendor Months'!$G$6:$G$3965,'Vendor Months'!$A$6:$A$3965,$AS$1,'Vendor Months'!$C$6:$C$3965,A7,'Vendor Months'!$J$6:$J$3965,"COMPLIANCE")</f>
        <v>0</v>
      </c>
      <c r="S7" s="10" t="n">
        <f aca="false">SUMIFS('Vendor Months'!$G$6:$G$3965,'Vendor Months'!$A$6:$A$3965,$AS$1,'Vendor Months'!$C$6:$C$3965,A7,'Vendor Months'!$J$6:$J$3965,"INSURANCE")</f>
        <v>0</v>
      </c>
      <c r="T7" s="10" t="n">
        <f aca="false">SUMIFS('Vendor Months'!$G$6:$G$3965,'Vendor Months'!$A$6:$A$3965,$AS$1,'Vendor Months'!$C$6:$C$3965,A7,'Vendor Months'!$J$6:$J$3965,"ACCOUNTING")</f>
        <v>600</v>
      </c>
      <c r="U7" s="10" t="n">
        <f aca="false">SUMIFS('Vendor Months'!$G$6:$G$3965,'Vendor Months'!$A$6:$A$3965,$AS$1,'Vendor Months'!$C$6:$C$3965,A7,'Vendor Months'!$J$6:$J$3965,"SUPPORT")</f>
        <v>0</v>
      </c>
      <c r="V7" s="10" t="n">
        <f aca="false">SUMIFS('Vendor Months'!$G$6:$G$3965,'Vendor Months'!$A$6:$A$3965,$AS$1,'Vendor Months'!$C$6:$C$3965,A7,'Vendor Months'!$J$6:$J$3965,"MARKETING")</f>
        <v>0</v>
      </c>
      <c r="W7" s="10" t="n">
        <f aca="false">SUMIFS('Vendor Months'!$G$6:$G$3965,'Vendor Months'!$A$6:$A$3965,$AS$1,'Vendor Months'!$C$6:$C$3965,A7,'Vendor Months'!$J$6:$J$3965,"ONBOARD")</f>
        <v>0</v>
      </c>
      <c r="X7" s="10" t="n">
        <f aca="false">SUMIFS('Vendor Months'!$G$6:$G$3965,'Vendor Months'!$A$6:$A$3965,$AS$1,'Vendor Months'!$C$6:$C$3965,A7,'Vendor Months'!$J$6:$J$3965,"AI")</f>
        <v>0</v>
      </c>
      <c r="Y7" s="10" t="n">
        <f aca="false">SUMIFS('Vendor Months'!$G$6:$G$3965,'Vendor Months'!$A$6:$A$3965,$AS$1,'Vendor Months'!$C$6:$C$3965,A7,'Vendor Months'!$J$6:$J$3965,"CTMS")</f>
        <v>0</v>
      </c>
      <c r="Z7" s="10" t="n">
        <f aca="false">SUM(N7:Y7)</f>
        <v>21997</v>
      </c>
      <c r="AA7" s="10" t="n">
        <f aca="false">(SUM(K7:M7)+Z7)*Assumptions!$D$12</f>
        <v>7854.55</v>
      </c>
      <c r="AB7" s="10" t="n">
        <f aca="false">AD7*Assumptions!$D$29</f>
        <v>0</v>
      </c>
      <c r="AC7" s="10" t="n">
        <f aca="false">SUM(K7:M7)+Z7+AA7+AB7</f>
        <v>60218.2166666667</v>
      </c>
      <c r="AD7" s="10" t="n">
        <f aca="false">D7*Assumptions!$D$17</f>
        <v>0</v>
      </c>
      <c r="AE7" s="10" t="n">
        <f aca="false">AD7*12</f>
        <v>0</v>
      </c>
      <c r="AF7" s="10" t="n">
        <f aca="false">AC7-AD7</f>
        <v>60218.2166666667</v>
      </c>
      <c r="AG7" s="10" t="n">
        <f aca="false">IF(A7=Assumptions!$D$7,Assumptions!$D$8,0)</f>
        <v>0</v>
      </c>
      <c r="AH7" s="10" t="n">
        <f aca="false">AI6</f>
        <v>959522.3</v>
      </c>
      <c r="AI7" s="10" t="n">
        <f aca="false">AH7+AG7-AF7</f>
        <v>899304.083333333</v>
      </c>
      <c r="AJ7" s="10" t="n">
        <f aca="false">SUM($AC$6:AC7)</f>
        <v>100695.916666667</v>
      </c>
      <c r="AK7" s="10" t="n">
        <f aca="false">MAX(0,-AI7)</f>
        <v>0</v>
      </c>
      <c r="AL7" s="10" t="n">
        <f aca="false">Assumptions!$D$6+SUM($AG$6:AG7)-AJ7</f>
        <v>899304.083333333</v>
      </c>
      <c r="AM7" s="10" t="n">
        <f aca="false">SUMIFS('Vendor Months'!$H$6:$H$3965,'Vendor Months'!$A$6:$A$3965,$AS$1,'Vendor Months'!$C$6:$C$3965,A7)</f>
        <v>21850</v>
      </c>
      <c r="AN7" s="10" t="n">
        <f aca="false">X7+Y7</f>
        <v>0</v>
      </c>
      <c r="AO7" s="10" t="n">
        <f aca="false">SUMIFS('Staff Months'!$I$6:$I$2345,'Staff Months'!$A$6:$A$2345,$AS$1,'Staff Months'!$C$6:$C$2345,A7)</f>
        <v>15000</v>
      </c>
      <c r="AP7" s="10" t="n">
        <f aca="false">SUM($AF$6:AF7)</f>
        <v>100695.916666667</v>
      </c>
      <c r="AQ7" s="10" t="n">
        <f aca="false">AC7</f>
        <v>60218.2166666667</v>
      </c>
      <c r="AR7" s="26" t="n">
        <f aca="false">IF(AI7&lt;0,1,0)</f>
        <v>0</v>
      </c>
      <c r="AS7" s="6"/>
    </row>
    <row r="8" customFormat="false" ht="15" hidden="false" customHeight="false" outlineLevel="0" collapsed="false">
      <c r="A8" s="6" t="n">
        <v>3</v>
      </c>
      <c r="B8" s="25" t="n">
        <f aca="false">EDATE('Start Here'!$B$6,A8-1)</f>
        <v>46388</v>
      </c>
      <c r="C8" s="11" t="n">
        <f aca="false">IF(A8&gt;=Assumptions!$D$13,Assumptions!$D$14*(1+Assumptions!$D$15)^INT((A8-Assumptions!$D$13)/12),0)</f>
        <v>0</v>
      </c>
      <c r="D8" s="11" t="n">
        <f aca="false">D7*(1-Assumptions!$D$16)+C8</f>
        <v>0</v>
      </c>
      <c r="E8" s="11" t="n">
        <f aca="false">D8*Assumptions!$D$18</f>
        <v>0</v>
      </c>
      <c r="F8" s="11" t="n">
        <f aca="false">E8*Assumptions!$D$19*30/1000000</f>
        <v>0</v>
      </c>
      <c r="G8" s="11" t="n">
        <f aca="false">D8*Assumptions!$D$20</f>
        <v>0</v>
      </c>
      <c r="H8" s="11" t="n">
        <f aca="false">D8*Assumptions!$D$21</f>
        <v>0</v>
      </c>
      <c r="I8" s="11" t="n">
        <f aca="false">SUMIFS('Staff Months'!$E$6:$E$2345,'Staff Months'!$A$6:$A$2345,$AS$1,'Staff Months'!$C$6:$C$2345,A8)</f>
        <v>3.65</v>
      </c>
      <c r="J8" s="11" t="n">
        <f aca="false">SUMIFS('Staff Months'!$L$6:$L$2345,'Staff Months'!$A$6:$A$2345,$AS$1,'Staff Months'!$C$6:$C$2345,A8)</f>
        <v>6</v>
      </c>
      <c r="K8" s="10" t="n">
        <f aca="false">SUMIFS('Staff Months'!$H$6:$H$2345,'Staff Months'!$A$6:$A$2345,$AS$1,'Staff Months'!$C$6:$C$2345,A8)</f>
        <v>45333.3333333333</v>
      </c>
      <c r="L8" s="10" t="n">
        <f aca="false">SUMIFS('Staff Months'!$J$6:$J$2345,'Staff Months'!$A$6:$A$2345,$AS$1,'Staff Months'!$C$6:$C$2345,A8)</f>
        <v>8000</v>
      </c>
      <c r="M8" s="10" t="n">
        <f aca="false">SUMIFS('Staff Months'!$K$6:$K$2345,'Staff Months'!$A$6:$A$2345,$AS$1,'Staff Months'!$C$6:$C$2345,A8)</f>
        <v>3000</v>
      </c>
      <c r="N8" s="10" t="n">
        <f aca="false">SUMIFS('Vendor Months'!$G$6:$G$3965,'Vendor Months'!$A$6:$A$3965,$AS$1,'Vendor Months'!$C$6:$C$3965,A8,'Vendor Months'!$J$6:$J$3965,"INFRA")</f>
        <v>1250</v>
      </c>
      <c r="O8" s="10" t="n">
        <f aca="false">SUMIFS('Vendor Months'!$G$6:$G$3965,'Vendor Months'!$A$6:$A$3965,$AS$1,'Vendor Months'!$C$6:$C$3965,A8,'Vendor Months'!$J$6:$J$3965,"TOOLS")</f>
        <v>196</v>
      </c>
      <c r="P8" s="10" t="n">
        <f aca="false">SUMIFS('Vendor Months'!$G$6:$G$3965,'Vendor Months'!$A$6:$A$3965,$AS$1,'Vendor Months'!$C$6:$C$3965,A8,'Vendor Months'!$J$6:$J$3965,"LEGAL")</f>
        <v>0</v>
      </c>
      <c r="Q8" s="10" t="n">
        <f aca="false">SUMIFS('Vendor Months'!$G$6:$G$3965,'Vendor Months'!$A$6:$A$3965,$AS$1,'Vendor Months'!$C$6:$C$3965,A8,'Vendor Months'!$J$6:$J$3965,"SECURITY")</f>
        <v>0</v>
      </c>
      <c r="R8" s="10" t="n">
        <f aca="false">SUMIFS('Vendor Months'!$G$6:$G$3965,'Vendor Months'!$A$6:$A$3965,$AS$1,'Vendor Months'!$C$6:$C$3965,A8,'Vendor Months'!$J$6:$J$3965,"COMPLIANCE")</f>
        <v>0</v>
      </c>
      <c r="S8" s="10" t="n">
        <f aca="false">SUMIFS('Vendor Months'!$G$6:$G$3965,'Vendor Months'!$A$6:$A$3965,$AS$1,'Vendor Months'!$C$6:$C$3965,A8,'Vendor Months'!$J$6:$J$3965,"INSURANCE")</f>
        <v>0</v>
      </c>
      <c r="T8" s="10" t="n">
        <f aca="false">SUMIFS('Vendor Months'!$G$6:$G$3965,'Vendor Months'!$A$6:$A$3965,$AS$1,'Vendor Months'!$C$6:$C$3965,A8,'Vendor Months'!$J$6:$J$3965,"ACCOUNTING")</f>
        <v>600</v>
      </c>
      <c r="U8" s="10" t="n">
        <f aca="false">SUMIFS('Vendor Months'!$G$6:$G$3965,'Vendor Months'!$A$6:$A$3965,$AS$1,'Vendor Months'!$C$6:$C$3965,A8,'Vendor Months'!$J$6:$J$3965,"SUPPORT")</f>
        <v>0</v>
      </c>
      <c r="V8" s="10" t="n">
        <f aca="false">SUMIFS('Vendor Months'!$G$6:$G$3965,'Vendor Months'!$A$6:$A$3965,$AS$1,'Vendor Months'!$C$6:$C$3965,A8,'Vendor Months'!$J$6:$J$3965,"MARKETING")</f>
        <v>0</v>
      </c>
      <c r="W8" s="10" t="n">
        <f aca="false">SUMIFS('Vendor Months'!$G$6:$G$3965,'Vendor Months'!$A$6:$A$3965,$AS$1,'Vendor Months'!$C$6:$C$3965,A8,'Vendor Months'!$J$6:$J$3965,"ONBOARD")</f>
        <v>0</v>
      </c>
      <c r="X8" s="10" t="n">
        <f aca="false">SUMIFS('Vendor Months'!$G$6:$G$3965,'Vendor Months'!$A$6:$A$3965,$AS$1,'Vendor Months'!$C$6:$C$3965,A8,'Vendor Months'!$J$6:$J$3965,"AI")</f>
        <v>0</v>
      </c>
      <c r="Y8" s="10" t="n">
        <f aca="false">SUMIFS('Vendor Months'!$G$6:$G$3965,'Vendor Months'!$A$6:$A$3965,$AS$1,'Vendor Months'!$C$6:$C$3965,A8,'Vendor Months'!$J$6:$J$3965,"CTMS")</f>
        <v>0</v>
      </c>
      <c r="Z8" s="10" t="n">
        <f aca="false">SUM(N8:Y8)</f>
        <v>2046</v>
      </c>
      <c r="AA8" s="10" t="n">
        <f aca="false">(SUM(K8:M8)+Z8)*Assumptions!$D$12</f>
        <v>8756.9</v>
      </c>
      <c r="AB8" s="10" t="n">
        <f aca="false">AD8*Assumptions!$D$29</f>
        <v>0</v>
      </c>
      <c r="AC8" s="10" t="n">
        <f aca="false">SUM(K8:M8)+Z8+AA8+AB8</f>
        <v>67136.2333333333</v>
      </c>
      <c r="AD8" s="10" t="n">
        <f aca="false">D8*Assumptions!$D$17</f>
        <v>0</v>
      </c>
      <c r="AE8" s="10" t="n">
        <f aca="false">AD8*12</f>
        <v>0</v>
      </c>
      <c r="AF8" s="10" t="n">
        <f aca="false">AC8-AD8</f>
        <v>67136.2333333333</v>
      </c>
      <c r="AG8" s="10" t="n">
        <f aca="false">IF(A8=Assumptions!$D$7,Assumptions!$D$8,0)</f>
        <v>0</v>
      </c>
      <c r="AH8" s="10" t="n">
        <f aca="false">AI7</f>
        <v>899304.083333333</v>
      </c>
      <c r="AI8" s="10" t="n">
        <f aca="false">AH8+AG8-AF8</f>
        <v>832167.85</v>
      </c>
      <c r="AJ8" s="10" t="n">
        <f aca="false">SUM($AC$6:AC8)</f>
        <v>167832.15</v>
      </c>
      <c r="AK8" s="10" t="n">
        <f aca="false">MAX(0,-AI8)</f>
        <v>0</v>
      </c>
      <c r="AL8" s="10" t="n">
        <f aca="false">Assumptions!$D$6+SUM($AG$6:AG8)-AJ8</f>
        <v>832167.85</v>
      </c>
      <c r="AM8" s="10" t="n">
        <f aca="false">SUMIFS('Vendor Months'!$H$6:$H$3965,'Vendor Months'!$A$6:$A$3965,$AS$1,'Vendor Months'!$C$6:$C$3965,A8)</f>
        <v>1850</v>
      </c>
      <c r="AN8" s="10" t="n">
        <f aca="false">X8+Y8</f>
        <v>0</v>
      </c>
      <c r="AO8" s="10" t="n">
        <f aca="false">SUMIFS('Staff Months'!$I$6:$I$2345,'Staff Months'!$A$6:$A$2345,$AS$1,'Staff Months'!$C$6:$C$2345,A8)</f>
        <v>15000</v>
      </c>
      <c r="AP8" s="10" t="n">
        <f aca="false">SUM($AF$6:AF8)</f>
        <v>167832.15</v>
      </c>
      <c r="AQ8" s="10" t="n">
        <f aca="false">AC8</f>
        <v>67136.2333333333</v>
      </c>
      <c r="AR8" s="26" t="n">
        <f aca="false">IF(AI8&lt;0,1,0)</f>
        <v>0</v>
      </c>
      <c r="AS8" s="6"/>
    </row>
    <row r="9" customFormat="false" ht="15" hidden="false" customHeight="false" outlineLevel="0" collapsed="false">
      <c r="A9" s="6" t="n">
        <v>4</v>
      </c>
      <c r="B9" s="25" t="n">
        <f aca="false">EDATE('Start Here'!$B$6,A9-1)</f>
        <v>46419</v>
      </c>
      <c r="C9" s="11" t="n">
        <f aca="false">IF(A9&gt;=Assumptions!$D$13,Assumptions!$D$14*(1+Assumptions!$D$15)^INT((A9-Assumptions!$D$13)/12),0)</f>
        <v>0</v>
      </c>
      <c r="D9" s="11" t="n">
        <f aca="false">D8*(1-Assumptions!$D$16)+C9</f>
        <v>0</v>
      </c>
      <c r="E9" s="11" t="n">
        <f aca="false">D9*Assumptions!$D$18</f>
        <v>0</v>
      </c>
      <c r="F9" s="11" t="n">
        <f aca="false">E9*Assumptions!$D$19*30/1000000</f>
        <v>0</v>
      </c>
      <c r="G9" s="11" t="n">
        <f aca="false">D9*Assumptions!$D$20</f>
        <v>0</v>
      </c>
      <c r="H9" s="11" t="n">
        <f aca="false">D9*Assumptions!$D$21</f>
        <v>0</v>
      </c>
      <c r="I9" s="11" t="n">
        <f aca="false">SUMIFS('Staff Months'!$E$6:$E$2345,'Staff Months'!$A$6:$A$2345,$AS$1,'Staff Months'!$C$6:$C$2345,A9)</f>
        <v>4.65</v>
      </c>
      <c r="J9" s="11" t="n">
        <f aca="false">SUMIFS('Staff Months'!$L$6:$L$2345,'Staff Months'!$A$6:$A$2345,$AS$1,'Staff Months'!$C$6:$C$2345,A9)</f>
        <v>8</v>
      </c>
      <c r="K9" s="10" t="n">
        <f aca="false">SUMIFS('Staff Months'!$H$6:$H$2345,'Staff Months'!$A$6:$A$2345,$AS$1,'Staff Months'!$C$6:$C$2345,A9)</f>
        <v>59916.6666666667</v>
      </c>
      <c r="L9" s="10" t="n">
        <f aca="false">SUMIFS('Staff Months'!$J$6:$J$2345,'Staff Months'!$A$6:$A$2345,$AS$1,'Staff Months'!$C$6:$C$2345,A9)</f>
        <v>8000</v>
      </c>
      <c r="M9" s="10" t="n">
        <f aca="false">SUMIFS('Staff Months'!$K$6:$K$2345,'Staff Months'!$A$6:$A$2345,$AS$1,'Staff Months'!$C$6:$C$2345,A9)</f>
        <v>3000</v>
      </c>
      <c r="N9" s="10" t="n">
        <f aca="false">SUMIFS('Vendor Months'!$G$6:$G$3965,'Vendor Months'!$A$6:$A$3965,$AS$1,'Vendor Months'!$C$6:$C$3965,A9,'Vendor Months'!$J$6:$J$3965,"INFRA")</f>
        <v>1250</v>
      </c>
      <c r="O9" s="10" t="n">
        <f aca="false">SUMIFS('Vendor Months'!$G$6:$G$3965,'Vendor Months'!$A$6:$A$3965,$AS$1,'Vendor Months'!$C$6:$C$3965,A9,'Vendor Months'!$J$6:$J$3965,"TOOLS")</f>
        <v>245</v>
      </c>
      <c r="P9" s="10" t="n">
        <f aca="false">SUMIFS('Vendor Months'!$G$6:$G$3965,'Vendor Months'!$A$6:$A$3965,$AS$1,'Vendor Months'!$C$6:$C$3965,A9,'Vendor Months'!$J$6:$J$3965,"LEGAL")</f>
        <v>0</v>
      </c>
      <c r="Q9" s="10" t="n">
        <f aca="false">SUMIFS('Vendor Months'!$G$6:$G$3965,'Vendor Months'!$A$6:$A$3965,$AS$1,'Vendor Months'!$C$6:$C$3965,A9,'Vendor Months'!$J$6:$J$3965,"SECURITY")</f>
        <v>0</v>
      </c>
      <c r="R9" s="10" t="n">
        <f aca="false">SUMIFS('Vendor Months'!$G$6:$G$3965,'Vendor Months'!$A$6:$A$3965,$AS$1,'Vendor Months'!$C$6:$C$3965,A9,'Vendor Months'!$J$6:$J$3965,"COMPLIANCE")</f>
        <v>0</v>
      </c>
      <c r="S9" s="10" t="n">
        <f aca="false">SUMIFS('Vendor Months'!$G$6:$G$3965,'Vendor Months'!$A$6:$A$3965,$AS$1,'Vendor Months'!$C$6:$C$3965,A9,'Vendor Months'!$J$6:$J$3965,"INSURANCE")</f>
        <v>0</v>
      </c>
      <c r="T9" s="10" t="n">
        <f aca="false">SUMIFS('Vendor Months'!$G$6:$G$3965,'Vendor Months'!$A$6:$A$3965,$AS$1,'Vendor Months'!$C$6:$C$3965,A9,'Vendor Months'!$J$6:$J$3965,"ACCOUNTING")</f>
        <v>600</v>
      </c>
      <c r="U9" s="10" t="n">
        <f aca="false">SUMIFS('Vendor Months'!$G$6:$G$3965,'Vendor Months'!$A$6:$A$3965,$AS$1,'Vendor Months'!$C$6:$C$3965,A9,'Vendor Months'!$J$6:$J$3965,"SUPPORT")</f>
        <v>0</v>
      </c>
      <c r="V9" s="10" t="n">
        <f aca="false">SUMIFS('Vendor Months'!$G$6:$G$3965,'Vendor Months'!$A$6:$A$3965,$AS$1,'Vendor Months'!$C$6:$C$3965,A9,'Vendor Months'!$J$6:$J$3965,"MARKETING")</f>
        <v>0</v>
      </c>
      <c r="W9" s="10" t="n">
        <f aca="false">SUMIFS('Vendor Months'!$G$6:$G$3965,'Vendor Months'!$A$6:$A$3965,$AS$1,'Vendor Months'!$C$6:$C$3965,A9,'Vendor Months'!$J$6:$J$3965,"ONBOARD")</f>
        <v>0</v>
      </c>
      <c r="X9" s="10" t="n">
        <f aca="false">SUMIFS('Vendor Months'!$G$6:$G$3965,'Vendor Months'!$A$6:$A$3965,$AS$1,'Vendor Months'!$C$6:$C$3965,A9,'Vendor Months'!$J$6:$J$3965,"AI")</f>
        <v>0</v>
      </c>
      <c r="Y9" s="10" t="n">
        <f aca="false">SUMIFS('Vendor Months'!$G$6:$G$3965,'Vendor Months'!$A$6:$A$3965,$AS$1,'Vendor Months'!$C$6:$C$3965,A9,'Vendor Months'!$J$6:$J$3965,"CTMS")</f>
        <v>0</v>
      </c>
      <c r="Z9" s="10" t="n">
        <f aca="false">SUM(N9:Y9)</f>
        <v>2095</v>
      </c>
      <c r="AA9" s="10" t="n">
        <f aca="false">(SUM(K9:M9)+Z9)*Assumptions!$D$12</f>
        <v>10951.75</v>
      </c>
      <c r="AB9" s="10" t="n">
        <f aca="false">AD9*Assumptions!$D$29</f>
        <v>0</v>
      </c>
      <c r="AC9" s="10" t="n">
        <f aca="false">SUM(K9:M9)+Z9+AA9+AB9</f>
        <v>83963.4166666667</v>
      </c>
      <c r="AD9" s="10" t="n">
        <f aca="false">D9*Assumptions!$D$17</f>
        <v>0</v>
      </c>
      <c r="AE9" s="10" t="n">
        <f aca="false">AD9*12</f>
        <v>0</v>
      </c>
      <c r="AF9" s="10" t="n">
        <f aca="false">AC9-AD9</f>
        <v>83963.4166666667</v>
      </c>
      <c r="AG9" s="10" t="n">
        <f aca="false">IF(A9=Assumptions!$D$7,Assumptions!$D$8,0)</f>
        <v>0</v>
      </c>
      <c r="AH9" s="10" t="n">
        <f aca="false">AI8</f>
        <v>832167.85</v>
      </c>
      <c r="AI9" s="10" t="n">
        <f aca="false">AH9+AG9-AF9</f>
        <v>748204.433333334</v>
      </c>
      <c r="AJ9" s="10" t="n">
        <f aca="false">SUM($AC$6:AC9)</f>
        <v>251795.566666667</v>
      </c>
      <c r="AK9" s="10" t="n">
        <f aca="false">MAX(0,-AI9)</f>
        <v>0</v>
      </c>
      <c r="AL9" s="10" t="n">
        <f aca="false">Assumptions!$D$6+SUM($AG$6:AG9)-AJ9</f>
        <v>748204.433333333</v>
      </c>
      <c r="AM9" s="10" t="n">
        <f aca="false">SUMIFS('Vendor Months'!$H$6:$H$3965,'Vendor Months'!$A$6:$A$3965,$AS$1,'Vendor Months'!$C$6:$C$3965,A9)</f>
        <v>1850</v>
      </c>
      <c r="AN9" s="10" t="n">
        <f aca="false">X9+Y9</f>
        <v>0</v>
      </c>
      <c r="AO9" s="10" t="n">
        <f aca="false">SUMIFS('Staff Months'!$I$6:$I$2345,'Staff Months'!$A$6:$A$2345,$AS$1,'Staff Months'!$C$6:$C$2345,A9)</f>
        <v>15000</v>
      </c>
      <c r="AP9" s="10" t="n">
        <f aca="false">SUM($AF$6:AF9)</f>
        <v>251795.566666667</v>
      </c>
      <c r="AQ9" s="10" t="n">
        <f aca="false">AC9</f>
        <v>83963.4166666667</v>
      </c>
      <c r="AR9" s="26" t="n">
        <f aca="false">IF(AI9&lt;0,1,0)</f>
        <v>0</v>
      </c>
      <c r="AS9" s="6"/>
    </row>
    <row r="10" customFormat="false" ht="15" hidden="false" customHeight="false" outlineLevel="0" collapsed="false">
      <c r="A10" s="6" t="n">
        <v>5</v>
      </c>
      <c r="B10" s="25" t="n">
        <f aca="false">EDATE('Start Here'!$B$6,A10-1)</f>
        <v>46447</v>
      </c>
      <c r="C10" s="11" t="n">
        <f aca="false">IF(A10&gt;=Assumptions!$D$13,Assumptions!$D$14*(1+Assumptions!$D$15)^INT((A10-Assumptions!$D$13)/12),0)</f>
        <v>0</v>
      </c>
      <c r="D10" s="11" t="n">
        <f aca="false">D9*(1-Assumptions!$D$16)+C10</f>
        <v>0</v>
      </c>
      <c r="E10" s="11" t="n">
        <f aca="false">D10*Assumptions!$D$18</f>
        <v>0</v>
      </c>
      <c r="F10" s="11" t="n">
        <f aca="false">E10*Assumptions!$D$19*30/1000000</f>
        <v>0</v>
      </c>
      <c r="G10" s="11" t="n">
        <f aca="false">D10*Assumptions!$D$20</f>
        <v>0</v>
      </c>
      <c r="H10" s="11" t="n">
        <f aca="false">D10*Assumptions!$D$21</f>
        <v>0</v>
      </c>
      <c r="I10" s="11" t="n">
        <f aca="false">SUMIFS('Staff Months'!$E$6:$E$2345,'Staff Months'!$A$6:$A$2345,$AS$1,'Staff Months'!$C$6:$C$2345,A10)</f>
        <v>4.65</v>
      </c>
      <c r="J10" s="11" t="n">
        <f aca="false">SUMIFS('Staff Months'!$L$6:$L$2345,'Staff Months'!$A$6:$A$2345,$AS$1,'Staff Months'!$C$6:$C$2345,A10)</f>
        <v>8</v>
      </c>
      <c r="K10" s="10" t="n">
        <f aca="false">SUMIFS('Staff Months'!$H$6:$H$2345,'Staff Months'!$A$6:$A$2345,$AS$1,'Staff Months'!$C$6:$C$2345,A10)</f>
        <v>59916.6666666667</v>
      </c>
      <c r="L10" s="10" t="n">
        <f aca="false">SUMIFS('Staff Months'!$J$6:$J$2345,'Staff Months'!$A$6:$A$2345,$AS$1,'Staff Months'!$C$6:$C$2345,A10)</f>
        <v>0</v>
      </c>
      <c r="M10" s="10" t="n">
        <f aca="false">SUMIFS('Staff Months'!$K$6:$K$2345,'Staff Months'!$A$6:$A$2345,$AS$1,'Staff Months'!$C$6:$C$2345,A10)</f>
        <v>0</v>
      </c>
      <c r="N10" s="10" t="n">
        <f aca="false">SUMIFS('Vendor Months'!$G$6:$G$3965,'Vendor Months'!$A$6:$A$3965,$AS$1,'Vendor Months'!$C$6:$C$3965,A10,'Vendor Months'!$J$6:$J$3965,"INFRA")</f>
        <v>1250</v>
      </c>
      <c r="O10" s="10" t="n">
        <f aca="false">SUMIFS('Vendor Months'!$G$6:$G$3965,'Vendor Months'!$A$6:$A$3965,$AS$1,'Vendor Months'!$C$6:$C$3965,A10,'Vendor Months'!$J$6:$J$3965,"TOOLS")</f>
        <v>245</v>
      </c>
      <c r="P10" s="10" t="n">
        <f aca="false">SUMIFS('Vendor Months'!$G$6:$G$3965,'Vendor Months'!$A$6:$A$3965,$AS$1,'Vendor Months'!$C$6:$C$3965,A10,'Vendor Months'!$J$6:$J$3965,"LEGAL")</f>
        <v>0</v>
      </c>
      <c r="Q10" s="10" t="n">
        <f aca="false">SUMIFS('Vendor Months'!$G$6:$G$3965,'Vendor Months'!$A$6:$A$3965,$AS$1,'Vendor Months'!$C$6:$C$3965,A10,'Vendor Months'!$J$6:$J$3965,"SECURITY")</f>
        <v>0</v>
      </c>
      <c r="R10" s="10" t="n">
        <f aca="false">SUMIFS('Vendor Months'!$G$6:$G$3965,'Vendor Months'!$A$6:$A$3965,$AS$1,'Vendor Months'!$C$6:$C$3965,A10,'Vendor Months'!$J$6:$J$3965,"COMPLIANCE")</f>
        <v>0</v>
      </c>
      <c r="S10" s="10" t="n">
        <f aca="false">SUMIFS('Vendor Months'!$G$6:$G$3965,'Vendor Months'!$A$6:$A$3965,$AS$1,'Vendor Months'!$C$6:$C$3965,A10,'Vendor Months'!$J$6:$J$3965,"INSURANCE")</f>
        <v>0</v>
      </c>
      <c r="T10" s="10" t="n">
        <f aca="false">SUMIFS('Vendor Months'!$G$6:$G$3965,'Vendor Months'!$A$6:$A$3965,$AS$1,'Vendor Months'!$C$6:$C$3965,A10,'Vendor Months'!$J$6:$J$3965,"ACCOUNTING")</f>
        <v>600</v>
      </c>
      <c r="U10" s="10" t="n">
        <f aca="false">SUMIFS('Vendor Months'!$G$6:$G$3965,'Vendor Months'!$A$6:$A$3965,$AS$1,'Vendor Months'!$C$6:$C$3965,A10,'Vendor Months'!$J$6:$J$3965,"SUPPORT")</f>
        <v>0</v>
      </c>
      <c r="V10" s="10" t="n">
        <f aca="false">SUMIFS('Vendor Months'!$G$6:$G$3965,'Vendor Months'!$A$6:$A$3965,$AS$1,'Vendor Months'!$C$6:$C$3965,A10,'Vendor Months'!$J$6:$J$3965,"MARKETING")</f>
        <v>0</v>
      </c>
      <c r="W10" s="10" t="n">
        <f aca="false">SUMIFS('Vendor Months'!$G$6:$G$3965,'Vendor Months'!$A$6:$A$3965,$AS$1,'Vendor Months'!$C$6:$C$3965,A10,'Vendor Months'!$J$6:$J$3965,"ONBOARD")</f>
        <v>0</v>
      </c>
      <c r="X10" s="10" t="n">
        <f aca="false">SUMIFS('Vendor Months'!$G$6:$G$3965,'Vendor Months'!$A$6:$A$3965,$AS$1,'Vendor Months'!$C$6:$C$3965,A10,'Vendor Months'!$J$6:$J$3965,"AI")</f>
        <v>0</v>
      </c>
      <c r="Y10" s="10" t="n">
        <f aca="false">SUMIFS('Vendor Months'!$G$6:$G$3965,'Vendor Months'!$A$6:$A$3965,$AS$1,'Vendor Months'!$C$6:$C$3965,A10,'Vendor Months'!$J$6:$J$3965,"CTMS")</f>
        <v>0</v>
      </c>
      <c r="Z10" s="10" t="n">
        <f aca="false">SUM(N10:Y10)</f>
        <v>2095</v>
      </c>
      <c r="AA10" s="10" t="n">
        <f aca="false">(SUM(K10:M10)+Z10)*Assumptions!$D$12</f>
        <v>9301.75</v>
      </c>
      <c r="AB10" s="10" t="n">
        <f aca="false">AD10*Assumptions!$D$29</f>
        <v>0</v>
      </c>
      <c r="AC10" s="10" t="n">
        <f aca="false">SUM(K10:M10)+Z10+AA10+AB10</f>
        <v>71313.4166666667</v>
      </c>
      <c r="AD10" s="10" t="n">
        <f aca="false">D10*Assumptions!$D$17</f>
        <v>0</v>
      </c>
      <c r="AE10" s="10" t="n">
        <f aca="false">AD10*12</f>
        <v>0</v>
      </c>
      <c r="AF10" s="10" t="n">
        <f aca="false">AC10-AD10</f>
        <v>71313.4166666667</v>
      </c>
      <c r="AG10" s="10" t="n">
        <f aca="false">IF(A10=Assumptions!$D$7,Assumptions!$D$8,0)</f>
        <v>0</v>
      </c>
      <c r="AH10" s="10" t="n">
        <f aca="false">AI9</f>
        <v>748204.433333334</v>
      </c>
      <c r="AI10" s="10" t="n">
        <f aca="false">AH10+AG10-AF10</f>
        <v>676891.016666667</v>
      </c>
      <c r="AJ10" s="10" t="n">
        <f aca="false">SUM($AC$6:AC10)</f>
        <v>323108.983333333</v>
      </c>
      <c r="AK10" s="10" t="n">
        <f aca="false">MAX(0,-AI10)</f>
        <v>0</v>
      </c>
      <c r="AL10" s="10" t="n">
        <f aca="false">Assumptions!$D$6+SUM($AG$6:AG10)-AJ10</f>
        <v>676891.016666667</v>
      </c>
      <c r="AM10" s="10" t="n">
        <f aca="false">SUMIFS('Vendor Months'!$H$6:$H$3965,'Vendor Months'!$A$6:$A$3965,$AS$1,'Vendor Months'!$C$6:$C$3965,A10)</f>
        <v>1850</v>
      </c>
      <c r="AN10" s="10" t="n">
        <f aca="false">X10+Y10</f>
        <v>0</v>
      </c>
      <c r="AO10" s="10" t="n">
        <f aca="false">SUMIFS('Staff Months'!$I$6:$I$2345,'Staff Months'!$A$6:$A$2345,$AS$1,'Staff Months'!$C$6:$C$2345,A10)</f>
        <v>15000</v>
      </c>
      <c r="AP10" s="10" t="n">
        <f aca="false">SUM($AF$6:AF10)</f>
        <v>323108.983333333</v>
      </c>
      <c r="AQ10" s="10" t="n">
        <f aca="false">AC10</f>
        <v>71313.4166666667</v>
      </c>
      <c r="AR10" s="26" t="n">
        <f aca="false">IF(AI10&lt;0,1,0)</f>
        <v>0</v>
      </c>
      <c r="AS10" s="6"/>
    </row>
    <row r="11" customFormat="false" ht="15" hidden="false" customHeight="false" outlineLevel="0" collapsed="false">
      <c r="A11" s="6" t="n">
        <v>6</v>
      </c>
      <c r="B11" s="25" t="n">
        <f aca="false">EDATE('Start Here'!$B$6,A11-1)</f>
        <v>46478</v>
      </c>
      <c r="C11" s="11" t="n">
        <f aca="false">IF(A11&gt;=Assumptions!$D$13,Assumptions!$D$14*(1+Assumptions!$D$15)^INT((A11-Assumptions!$D$13)/12),0)</f>
        <v>0</v>
      </c>
      <c r="D11" s="11" t="n">
        <f aca="false">D10*(1-Assumptions!$D$16)+C11</f>
        <v>0</v>
      </c>
      <c r="E11" s="11" t="n">
        <f aca="false">D11*Assumptions!$D$18</f>
        <v>0</v>
      </c>
      <c r="F11" s="11" t="n">
        <f aca="false">E11*Assumptions!$D$19*30/1000000</f>
        <v>0</v>
      </c>
      <c r="G11" s="11" t="n">
        <f aca="false">D11*Assumptions!$D$20</f>
        <v>0</v>
      </c>
      <c r="H11" s="11" t="n">
        <f aca="false">D11*Assumptions!$D$21</f>
        <v>0</v>
      </c>
      <c r="I11" s="11" t="n">
        <f aca="false">SUMIFS('Staff Months'!$E$6:$E$2345,'Staff Months'!$A$6:$A$2345,$AS$1,'Staff Months'!$C$6:$C$2345,A11)</f>
        <v>4.65</v>
      </c>
      <c r="J11" s="11" t="n">
        <f aca="false">SUMIFS('Staff Months'!$L$6:$L$2345,'Staff Months'!$A$6:$A$2345,$AS$1,'Staff Months'!$C$6:$C$2345,A11)</f>
        <v>8</v>
      </c>
      <c r="K11" s="10" t="n">
        <f aca="false">SUMIFS('Staff Months'!$H$6:$H$2345,'Staff Months'!$A$6:$A$2345,$AS$1,'Staff Months'!$C$6:$C$2345,A11)</f>
        <v>59916.6666666667</v>
      </c>
      <c r="L11" s="10" t="n">
        <f aca="false">SUMIFS('Staff Months'!$J$6:$J$2345,'Staff Months'!$A$6:$A$2345,$AS$1,'Staff Months'!$C$6:$C$2345,A11)</f>
        <v>0</v>
      </c>
      <c r="M11" s="10" t="n">
        <f aca="false">SUMIFS('Staff Months'!$K$6:$K$2345,'Staff Months'!$A$6:$A$2345,$AS$1,'Staff Months'!$C$6:$C$2345,A11)</f>
        <v>0</v>
      </c>
      <c r="N11" s="10" t="n">
        <f aca="false">SUMIFS('Vendor Months'!$G$6:$G$3965,'Vendor Months'!$A$6:$A$3965,$AS$1,'Vendor Months'!$C$6:$C$3965,A11,'Vendor Months'!$J$6:$J$3965,"INFRA")</f>
        <v>1250</v>
      </c>
      <c r="O11" s="10" t="n">
        <f aca="false">SUMIFS('Vendor Months'!$G$6:$G$3965,'Vendor Months'!$A$6:$A$3965,$AS$1,'Vendor Months'!$C$6:$C$3965,A11,'Vendor Months'!$J$6:$J$3965,"TOOLS")</f>
        <v>245</v>
      </c>
      <c r="P11" s="10" t="n">
        <f aca="false">SUMIFS('Vendor Months'!$G$6:$G$3965,'Vendor Months'!$A$6:$A$3965,$AS$1,'Vendor Months'!$C$6:$C$3965,A11,'Vendor Months'!$J$6:$J$3965,"LEGAL")</f>
        <v>0</v>
      </c>
      <c r="Q11" s="10" t="n">
        <f aca="false">SUMIFS('Vendor Months'!$G$6:$G$3965,'Vendor Months'!$A$6:$A$3965,$AS$1,'Vendor Months'!$C$6:$C$3965,A11,'Vendor Months'!$J$6:$J$3965,"SECURITY")</f>
        <v>0</v>
      </c>
      <c r="R11" s="10" t="n">
        <f aca="false">SUMIFS('Vendor Months'!$G$6:$G$3965,'Vendor Months'!$A$6:$A$3965,$AS$1,'Vendor Months'!$C$6:$C$3965,A11,'Vendor Months'!$J$6:$J$3965,"COMPLIANCE")</f>
        <v>0</v>
      </c>
      <c r="S11" s="10" t="n">
        <f aca="false">SUMIFS('Vendor Months'!$G$6:$G$3965,'Vendor Months'!$A$6:$A$3965,$AS$1,'Vendor Months'!$C$6:$C$3965,A11,'Vendor Months'!$J$6:$J$3965,"INSURANCE")</f>
        <v>0</v>
      </c>
      <c r="T11" s="10" t="n">
        <f aca="false">SUMIFS('Vendor Months'!$G$6:$G$3965,'Vendor Months'!$A$6:$A$3965,$AS$1,'Vendor Months'!$C$6:$C$3965,A11,'Vendor Months'!$J$6:$J$3965,"ACCOUNTING")</f>
        <v>600</v>
      </c>
      <c r="U11" s="10" t="n">
        <f aca="false">SUMIFS('Vendor Months'!$G$6:$G$3965,'Vendor Months'!$A$6:$A$3965,$AS$1,'Vendor Months'!$C$6:$C$3965,A11,'Vendor Months'!$J$6:$J$3965,"SUPPORT")</f>
        <v>0</v>
      </c>
      <c r="V11" s="10" t="n">
        <f aca="false">SUMIFS('Vendor Months'!$G$6:$G$3965,'Vendor Months'!$A$6:$A$3965,$AS$1,'Vendor Months'!$C$6:$C$3965,A11,'Vendor Months'!$J$6:$J$3965,"MARKETING")</f>
        <v>0</v>
      </c>
      <c r="W11" s="10" t="n">
        <f aca="false">SUMIFS('Vendor Months'!$G$6:$G$3965,'Vendor Months'!$A$6:$A$3965,$AS$1,'Vendor Months'!$C$6:$C$3965,A11,'Vendor Months'!$J$6:$J$3965,"ONBOARD")</f>
        <v>0</v>
      </c>
      <c r="X11" s="10" t="n">
        <f aca="false">SUMIFS('Vendor Months'!$G$6:$G$3965,'Vendor Months'!$A$6:$A$3965,$AS$1,'Vendor Months'!$C$6:$C$3965,A11,'Vendor Months'!$J$6:$J$3965,"AI")</f>
        <v>0</v>
      </c>
      <c r="Y11" s="10" t="n">
        <f aca="false">SUMIFS('Vendor Months'!$G$6:$G$3965,'Vendor Months'!$A$6:$A$3965,$AS$1,'Vendor Months'!$C$6:$C$3965,A11,'Vendor Months'!$J$6:$J$3965,"CTMS")</f>
        <v>0</v>
      </c>
      <c r="Z11" s="10" t="n">
        <f aca="false">SUM(N11:Y11)</f>
        <v>2095</v>
      </c>
      <c r="AA11" s="10" t="n">
        <f aca="false">(SUM(K11:M11)+Z11)*Assumptions!$D$12</f>
        <v>9301.75</v>
      </c>
      <c r="AB11" s="10" t="n">
        <f aca="false">AD11*Assumptions!$D$29</f>
        <v>0</v>
      </c>
      <c r="AC11" s="10" t="n">
        <f aca="false">SUM(K11:M11)+Z11+AA11+AB11</f>
        <v>71313.4166666667</v>
      </c>
      <c r="AD11" s="10" t="n">
        <f aca="false">D11*Assumptions!$D$17</f>
        <v>0</v>
      </c>
      <c r="AE11" s="10" t="n">
        <f aca="false">AD11*12</f>
        <v>0</v>
      </c>
      <c r="AF11" s="10" t="n">
        <f aca="false">AC11-AD11</f>
        <v>71313.4166666667</v>
      </c>
      <c r="AG11" s="10" t="n">
        <f aca="false">IF(A11=Assumptions!$D$7,Assumptions!$D$8,0)</f>
        <v>0</v>
      </c>
      <c r="AH11" s="10" t="n">
        <f aca="false">AI10</f>
        <v>676891.016666667</v>
      </c>
      <c r="AI11" s="10" t="n">
        <f aca="false">AH11+AG11-AF11</f>
        <v>605577.6</v>
      </c>
      <c r="AJ11" s="10" t="n">
        <f aca="false">SUM($AC$6:AC11)</f>
        <v>394422.4</v>
      </c>
      <c r="AK11" s="10" t="n">
        <f aca="false">MAX(0,-AI11)</f>
        <v>0</v>
      </c>
      <c r="AL11" s="10" t="n">
        <f aca="false">Assumptions!$D$6+SUM($AG$6:AG11)-AJ11</f>
        <v>605577.6</v>
      </c>
      <c r="AM11" s="10" t="n">
        <f aca="false">SUMIFS('Vendor Months'!$H$6:$H$3965,'Vendor Months'!$A$6:$A$3965,$AS$1,'Vendor Months'!$C$6:$C$3965,A11)</f>
        <v>1850</v>
      </c>
      <c r="AN11" s="10" t="n">
        <f aca="false">X11+Y11</f>
        <v>0</v>
      </c>
      <c r="AO11" s="10" t="n">
        <f aca="false">SUMIFS('Staff Months'!$I$6:$I$2345,'Staff Months'!$A$6:$A$2345,$AS$1,'Staff Months'!$C$6:$C$2345,A11)</f>
        <v>15000</v>
      </c>
      <c r="AP11" s="10" t="n">
        <f aca="false">SUM($AF$6:AF11)</f>
        <v>394422.4</v>
      </c>
      <c r="AQ11" s="10" t="n">
        <f aca="false">AC11</f>
        <v>71313.4166666667</v>
      </c>
      <c r="AR11" s="26" t="n">
        <f aca="false">IF(AI11&lt;0,1,0)</f>
        <v>0</v>
      </c>
      <c r="AS11" s="6"/>
    </row>
    <row r="12" customFormat="false" ht="15" hidden="false" customHeight="false" outlineLevel="0" collapsed="false">
      <c r="A12" s="6" t="n">
        <v>7</v>
      </c>
      <c r="B12" s="25" t="n">
        <f aca="false">EDATE('Start Here'!$B$6,A12-1)</f>
        <v>46508</v>
      </c>
      <c r="C12" s="11" t="n">
        <f aca="false">IF(A12&gt;=Assumptions!$D$13,Assumptions!$D$14*(1+Assumptions!$D$15)^INT((A12-Assumptions!$D$13)/12),0)</f>
        <v>0</v>
      </c>
      <c r="D12" s="11" t="n">
        <f aca="false">D11*(1-Assumptions!$D$16)+C12</f>
        <v>0</v>
      </c>
      <c r="E12" s="11" t="n">
        <f aca="false">D12*Assumptions!$D$18</f>
        <v>0</v>
      </c>
      <c r="F12" s="11" t="n">
        <f aca="false">E12*Assumptions!$D$19*30/1000000</f>
        <v>0</v>
      </c>
      <c r="G12" s="11" t="n">
        <f aca="false">D12*Assumptions!$D$20</f>
        <v>0</v>
      </c>
      <c r="H12" s="11" t="n">
        <f aca="false">D12*Assumptions!$D$21</f>
        <v>0</v>
      </c>
      <c r="I12" s="11" t="n">
        <f aca="false">SUMIFS('Staff Months'!$E$6:$E$2345,'Staff Months'!$A$6:$A$2345,$AS$1,'Staff Months'!$C$6:$C$2345,A12)</f>
        <v>5.75</v>
      </c>
      <c r="J12" s="11" t="n">
        <f aca="false">SUMIFS('Staff Months'!$L$6:$L$2345,'Staff Months'!$A$6:$A$2345,$AS$1,'Staff Months'!$C$6:$C$2345,A12)</f>
        <v>8</v>
      </c>
      <c r="K12" s="10" t="n">
        <f aca="false">SUMIFS('Staff Months'!$H$6:$H$2345,'Staff Months'!$A$6:$A$2345,$AS$1,'Staff Months'!$C$6:$C$2345,A12)</f>
        <v>76916.6666666667</v>
      </c>
      <c r="L12" s="10" t="n">
        <f aca="false">SUMIFS('Staff Months'!$J$6:$J$2345,'Staff Months'!$A$6:$A$2345,$AS$1,'Staff Months'!$C$6:$C$2345,A12)</f>
        <v>6000</v>
      </c>
      <c r="M12" s="10" t="n">
        <f aca="false">SUMIFS('Staff Months'!$K$6:$K$2345,'Staff Months'!$A$6:$A$2345,$AS$1,'Staff Months'!$C$6:$C$2345,A12)</f>
        <v>3300</v>
      </c>
      <c r="N12" s="10" t="n">
        <f aca="false">SUMIFS('Vendor Months'!$G$6:$G$3965,'Vendor Months'!$A$6:$A$3965,$AS$1,'Vendor Months'!$C$6:$C$3965,A12,'Vendor Months'!$J$6:$J$3965,"INFRA")</f>
        <v>1250</v>
      </c>
      <c r="O12" s="10" t="n">
        <f aca="false">SUMIFS('Vendor Months'!$G$6:$G$3965,'Vendor Months'!$A$6:$A$3965,$AS$1,'Vendor Months'!$C$6:$C$3965,A12,'Vendor Months'!$J$6:$J$3965,"TOOLS")</f>
        <v>294</v>
      </c>
      <c r="P12" s="10" t="n">
        <f aca="false">SUMIFS('Vendor Months'!$G$6:$G$3965,'Vendor Months'!$A$6:$A$3965,$AS$1,'Vendor Months'!$C$6:$C$3965,A12,'Vendor Months'!$J$6:$J$3965,"LEGAL")</f>
        <v>0</v>
      </c>
      <c r="Q12" s="10" t="n">
        <f aca="false">SUMIFS('Vendor Months'!$G$6:$G$3965,'Vendor Months'!$A$6:$A$3965,$AS$1,'Vendor Months'!$C$6:$C$3965,A12,'Vendor Months'!$J$6:$J$3965,"SECURITY")</f>
        <v>0</v>
      </c>
      <c r="R12" s="10" t="n">
        <f aca="false">SUMIFS('Vendor Months'!$G$6:$G$3965,'Vendor Months'!$A$6:$A$3965,$AS$1,'Vendor Months'!$C$6:$C$3965,A12,'Vendor Months'!$J$6:$J$3965,"COMPLIANCE")</f>
        <v>0</v>
      </c>
      <c r="S12" s="10" t="n">
        <f aca="false">SUMIFS('Vendor Months'!$G$6:$G$3965,'Vendor Months'!$A$6:$A$3965,$AS$1,'Vendor Months'!$C$6:$C$3965,A12,'Vendor Months'!$J$6:$J$3965,"INSURANCE")</f>
        <v>0</v>
      </c>
      <c r="T12" s="10" t="n">
        <f aca="false">SUMIFS('Vendor Months'!$G$6:$G$3965,'Vendor Months'!$A$6:$A$3965,$AS$1,'Vendor Months'!$C$6:$C$3965,A12,'Vendor Months'!$J$6:$J$3965,"ACCOUNTING")</f>
        <v>600</v>
      </c>
      <c r="U12" s="10" t="n">
        <f aca="false">SUMIFS('Vendor Months'!$G$6:$G$3965,'Vendor Months'!$A$6:$A$3965,$AS$1,'Vendor Months'!$C$6:$C$3965,A12,'Vendor Months'!$J$6:$J$3965,"SUPPORT")</f>
        <v>0</v>
      </c>
      <c r="V12" s="10" t="n">
        <f aca="false">SUMIFS('Vendor Months'!$G$6:$G$3965,'Vendor Months'!$A$6:$A$3965,$AS$1,'Vendor Months'!$C$6:$C$3965,A12,'Vendor Months'!$J$6:$J$3965,"MARKETING")</f>
        <v>0</v>
      </c>
      <c r="W12" s="10" t="n">
        <f aca="false">SUMIFS('Vendor Months'!$G$6:$G$3965,'Vendor Months'!$A$6:$A$3965,$AS$1,'Vendor Months'!$C$6:$C$3965,A12,'Vendor Months'!$J$6:$J$3965,"ONBOARD")</f>
        <v>0</v>
      </c>
      <c r="X12" s="10" t="n">
        <f aca="false">SUMIFS('Vendor Months'!$G$6:$G$3965,'Vendor Months'!$A$6:$A$3965,$AS$1,'Vendor Months'!$C$6:$C$3965,A12,'Vendor Months'!$J$6:$J$3965,"AI")</f>
        <v>0</v>
      </c>
      <c r="Y12" s="10" t="n">
        <f aca="false">SUMIFS('Vendor Months'!$G$6:$G$3965,'Vendor Months'!$A$6:$A$3965,$AS$1,'Vendor Months'!$C$6:$C$3965,A12,'Vendor Months'!$J$6:$J$3965,"CTMS")</f>
        <v>0</v>
      </c>
      <c r="Z12" s="10" t="n">
        <f aca="false">SUM(N12:Y12)</f>
        <v>2144</v>
      </c>
      <c r="AA12" s="10" t="n">
        <f aca="false">(SUM(K12:M12)+Z12)*Assumptions!$D$12</f>
        <v>13254.1</v>
      </c>
      <c r="AB12" s="10" t="n">
        <f aca="false">AD12*Assumptions!$D$29</f>
        <v>0</v>
      </c>
      <c r="AC12" s="10" t="n">
        <f aca="false">SUM(K12:M12)+Z12+AA12+AB12</f>
        <v>101614.766666667</v>
      </c>
      <c r="AD12" s="10" t="n">
        <f aca="false">D12*Assumptions!$D$17</f>
        <v>0</v>
      </c>
      <c r="AE12" s="10" t="n">
        <f aca="false">AD12*12</f>
        <v>0</v>
      </c>
      <c r="AF12" s="10" t="n">
        <f aca="false">AC12-AD12</f>
        <v>101614.766666667</v>
      </c>
      <c r="AG12" s="10" t="n">
        <f aca="false">IF(A12=Assumptions!$D$7,Assumptions!$D$8,0)</f>
        <v>0</v>
      </c>
      <c r="AH12" s="10" t="n">
        <f aca="false">AI11</f>
        <v>605577.6</v>
      </c>
      <c r="AI12" s="10" t="n">
        <f aca="false">AH12+AG12-AF12</f>
        <v>503962.833333334</v>
      </c>
      <c r="AJ12" s="10" t="n">
        <f aca="false">SUM($AC$6:AC12)</f>
        <v>496037.166666667</v>
      </c>
      <c r="AK12" s="10" t="n">
        <f aca="false">MAX(0,-AI12)</f>
        <v>0</v>
      </c>
      <c r="AL12" s="10" t="n">
        <f aca="false">Assumptions!$D$6+SUM($AG$6:AG12)-AJ12</f>
        <v>503962.833333333</v>
      </c>
      <c r="AM12" s="10" t="n">
        <f aca="false">SUMIFS('Vendor Months'!$H$6:$H$3965,'Vendor Months'!$A$6:$A$3965,$AS$1,'Vendor Months'!$C$6:$C$3965,A12)</f>
        <v>1850</v>
      </c>
      <c r="AN12" s="10" t="n">
        <f aca="false">X12+Y12</f>
        <v>0</v>
      </c>
      <c r="AO12" s="10" t="n">
        <f aca="false">SUMIFS('Staff Months'!$I$6:$I$2345,'Staff Months'!$A$6:$A$2345,$AS$1,'Staff Months'!$C$6:$C$2345,A12)</f>
        <v>15000</v>
      </c>
      <c r="AP12" s="10" t="n">
        <f aca="false">SUM($AF$6:AF12)</f>
        <v>496037.166666667</v>
      </c>
      <c r="AQ12" s="10" t="n">
        <f aca="false">AC12</f>
        <v>101614.766666667</v>
      </c>
      <c r="AR12" s="26" t="n">
        <f aca="false">IF(AI12&lt;0,1,0)</f>
        <v>0</v>
      </c>
      <c r="AS12" s="6"/>
    </row>
    <row r="13" customFormat="false" ht="15" hidden="false" customHeight="false" outlineLevel="0" collapsed="false">
      <c r="A13" s="6" t="n">
        <v>8</v>
      </c>
      <c r="B13" s="25" t="n">
        <f aca="false">EDATE('Start Here'!$B$6,A13-1)</f>
        <v>46539</v>
      </c>
      <c r="C13" s="11" t="n">
        <f aca="false">IF(A13&gt;=Assumptions!$D$13,Assumptions!$D$14*(1+Assumptions!$D$15)^INT((A13-Assumptions!$D$13)/12),0)</f>
        <v>0</v>
      </c>
      <c r="D13" s="11" t="n">
        <f aca="false">D12*(1-Assumptions!$D$16)+C13</f>
        <v>0</v>
      </c>
      <c r="E13" s="11" t="n">
        <f aca="false">D13*Assumptions!$D$18</f>
        <v>0</v>
      </c>
      <c r="F13" s="11" t="n">
        <f aca="false">E13*Assumptions!$D$19*30/1000000</f>
        <v>0</v>
      </c>
      <c r="G13" s="11" t="n">
        <f aca="false">D13*Assumptions!$D$20</f>
        <v>0</v>
      </c>
      <c r="H13" s="11" t="n">
        <f aca="false">D13*Assumptions!$D$21</f>
        <v>0</v>
      </c>
      <c r="I13" s="11" t="n">
        <f aca="false">SUMIFS('Staff Months'!$E$6:$E$2345,'Staff Months'!$A$6:$A$2345,$AS$1,'Staff Months'!$C$6:$C$2345,A13)</f>
        <v>5.75</v>
      </c>
      <c r="J13" s="11" t="n">
        <f aca="false">SUMIFS('Staff Months'!$L$6:$L$2345,'Staff Months'!$A$6:$A$2345,$AS$1,'Staff Months'!$C$6:$C$2345,A13)</f>
        <v>8</v>
      </c>
      <c r="K13" s="10" t="n">
        <f aca="false">SUMIFS('Staff Months'!$H$6:$H$2345,'Staff Months'!$A$6:$A$2345,$AS$1,'Staff Months'!$C$6:$C$2345,A13)</f>
        <v>76916.6666666667</v>
      </c>
      <c r="L13" s="10" t="n">
        <f aca="false">SUMIFS('Staff Months'!$J$6:$J$2345,'Staff Months'!$A$6:$A$2345,$AS$1,'Staff Months'!$C$6:$C$2345,A13)</f>
        <v>0</v>
      </c>
      <c r="M13" s="10" t="n">
        <f aca="false">SUMIFS('Staff Months'!$K$6:$K$2345,'Staff Months'!$A$6:$A$2345,$AS$1,'Staff Months'!$C$6:$C$2345,A13)</f>
        <v>0</v>
      </c>
      <c r="N13" s="10" t="n">
        <f aca="false">SUMIFS('Vendor Months'!$G$6:$G$3965,'Vendor Months'!$A$6:$A$3965,$AS$1,'Vendor Months'!$C$6:$C$3965,A13,'Vendor Months'!$J$6:$J$3965,"INFRA")</f>
        <v>1250</v>
      </c>
      <c r="O13" s="10" t="n">
        <f aca="false">SUMIFS('Vendor Months'!$G$6:$G$3965,'Vendor Months'!$A$6:$A$3965,$AS$1,'Vendor Months'!$C$6:$C$3965,A13,'Vendor Months'!$J$6:$J$3965,"TOOLS")</f>
        <v>294</v>
      </c>
      <c r="P13" s="10" t="n">
        <f aca="false">SUMIFS('Vendor Months'!$G$6:$G$3965,'Vendor Months'!$A$6:$A$3965,$AS$1,'Vendor Months'!$C$6:$C$3965,A13,'Vendor Months'!$J$6:$J$3965,"LEGAL")</f>
        <v>0</v>
      </c>
      <c r="Q13" s="10" t="n">
        <f aca="false">SUMIFS('Vendor Months'!$G$6:$G$3965,'Vendor Months'!$A$6:$A$3965,$AS$1,'Vendor Months'!$C$6:$C$3965,A13,'Vendor Months'!$J$6:$J$3965,"SECURITY")</f>
        <v>0</v>
      </c>
      <c r="R13" s="10" t="n">
        <f aca="false">SUMIFS('Vendor Months'!$G$6:$G$3965,'Vendor Months'!$A$6:$A$3965,$AS$1,'Vendor Months'!$C$6:$C$3965,A13,'Vendor Months'!$J$6:$J$3965,"COMPLIANCE")</f>
        <v>0</v>
      </c>
      <c r="S13" s="10" t="n">
        <f aca="false">SUMIFS('Vendor Months'!$G$6:$G$3965,'Vendor Months'!$A$6:$A$3965,$AS$1,'Vendor Months'!$C$6:$C$3965,A13,'Vendor Months'!$J$6:$J$3965,"INSURANCE")</f>
        <v>0</v>
      </c>
      <c r="T13" s="10" t="n">
        <f aca="false">SUMIFS('Vendor Months'!$G$6:$G$3965,'Vendor Months'!$A$6:$A$3965,$AS$1,'Vendor Months'!$C$6:$C$3965,A13,'Vendor Months'!$J$6:$J$3965,"ACCOUNTING")</f>
        <v>600</v>
      </c>
      <c r="U13" s="10" t="n">
        <f aca="false">SUMIFS('Vendor Months'!$G$6:$G$3965,'Vendor Months'!$A$6:$A$3965,$AS$1,'Vendor Months'!$C$6:$C$3965,A13,'Vendor Months'!$J$6:$J$3965,"SUPPORT")</f>
        <v>0</v>
      </c>
      <c r="V13" s="10" t="n">
        <f aca="false">SUMIFS('Vendor Months'!$G$6:$G$3965,'Vendor Months'!$A$6:$A$3965,$AS$1,'Vendor Months'!$C$6:$C$3965,A13,'Vendor Months'!$J$6:$J$3965,"MARKETING")</f>
        <v>0</v>
      </c>
      <c r="W13" s="10" t="n">
        <f aca="false">SUMIFS('Vendor Months'!$G$6:$G$3965,'Vendor Months'!$A$6:$A$3965,$AS$1,'Vendor Months'!$C$6:$C$3965,A13,'Vendor Months'!$J$6:$J$3965,"ONBOARD")</f>
        <v>0</v>
      </c>
      <c r="X13" s="10" t="n">
        <f aca="false">SUMIFS('Vendor Months'!$G$6:$G$3965,'Vendor Months'!$A$6:$A$3965,$AS$1,'Vendor Months'!$C$6:$C$3965,A13,'Vendor Months'!$J$6:$J$3965,"AI")</f>
        <v>0</v>
      </c>
      <c r="Y13" s="10" t="n">
        <f aca="false">SUMIFS('Vendor Months'!$G$6:$G$3965,'Vendor Months'!$A$6:$A$3965,$AS$1,'Vendor Months'!$C$6:$C$3965,A13,'Vendor Months'!$J$6:$J$3965,"CTMS")</f>
        <v>0</v>
      </c>
      <c r="Z13" s="10" t="n">
        <f aca="false">SUM(N13:Y13)</f>
        <v>2144</v>
      </c>
      <c r="AA13" s="10" t="n">
        <f aca="false">(SUM(K13:M13)+Z13)*Assumptions!$D$12</f>
        <v>11859.1</v>
      </c>
      <c r="AB13" s="10" t="n">
        <f aca="false">AD13*Assumptions!$D$29</f>
        <v>0</v>
      </c>
      <c r="AC13" s="10" t="n">
        <f aca="false">SUM(K13:M13)+Z13+AA13+AB13</f>
        <v>90919.7666666667</v>
      </c>
      <c r="AD13" s="10" t="n">
        <f aca="false">D13*Assumptions!$D$17</f>
        <v>0</v>
      </c>
      <c r="AE13" s="10" t="n">
        <f aca="false">AD13*12</f>
        <v>0</v>
      </c>
      <c r="AF13" s="10" t="n">
        <f aca="false">AC13-AD13</f>
        <v>90919.7666666667</v>
      </c>
      <c r="AG13" s="10" t="n">
        <f aca="false">IF(A13=Assumptions!$D$7,Assumptions!$D$8,0)</f>
        <v>0</v>
      </c>
      <c r="AH13" s="10" t="n">
        <f aca="false">AI12</f>
        <v>503962.833333334</v>
      </c>
      <c r="AI13" s="10" t="n">
        <f aca="false">AH13+AG13-AF13</f>
        <v>413043.066666667</v>
      </c>
      <c r="AJ13" s="10" t="n">
        <f aca="false">SUM($AC$6:AC13)</f>
        <v>586956.933333333</v>
      </c>
      <c r="AK13" s="10" t="n">
        <f aca="false">MAX(0,-AI13)</f>
        <v>0</v>
      </c>
      <c r="AL13" s="10" t="n">
        <f aca="false">Assumptions!$D$6+SUM($AG$6:AG13)-AJ13</f>
        <v>413043.066666667</v>
      </c>
      <c r="AM13" s="10" t="n">
        <f aca="false">SUMIFS('Vendor Months'!$H$6:$H$3965,'Vendor Months'!$A$6:$A$3965,$AS$1,'Vendor Months'!$C$6:$C$3965,A13)</f>
        <v>1850</v>
      </c>
      <c r="AN13" s="10" t="n">
        <f aca="false">X13+Y13</f>
        <v>0</v>
      </c>
      <c r="AO13" s="10" t="n">
        <f aca="false">SUMIFS('Staff Months'!$I$6:$I$2345,'Staff Months'!$A$6:$A$2345,$AS$1,'Staff Months'!$C$6:$C$2345,A13)</f>
        <v>15000</v>
      </c>
      <c r="AP13" s="10" t="n">
        <f aca="false">SUM($AF$6:AF13)</f>
        <v>586956.933333333</v>
      </c>
      <c r="AQ13" s="10" t="n">
        <f aca="false">AC13</f>
        <v>90919.7666666667</v>
      </c>
      <c r="AR13" s="26" t="n">
        <f aca="false">IF(AI13&lt;0,1,0)</f>
        <v>0</v>
      </c>
      <c r="AS13" s="6"/>
    </row>
    <row r="14" customFormat="false" ht="15" hidden="false" customHeight="false" outlineLevel="0" collapsed="false">
      <c r="A14" s="6" t="n">
        <v>9</v>
      </c>
      <c r="B14" s="25" t="n">
        <f aca="false">EDATE('Start Here'!$B$6,A14-1)</f>
        <v>46569</v>
      </c>
      <c r="C14" s="11" t="n">
        <f aca="false">IF(A14&gt;=Assumptions!$D$13,Assumptions!$D$14*(1+Assumptions!$D$15)^INT((A14-Assumptions!$D$13)/12),0)</f>
        <v>0</v>
      </c>
      <c r="D14" s="11" t="n">
        <f aca="false">D13*(1-Assumptions!$D$16)+C14</f>
        <v>0</v>
      </c>
      <c r="E14" s="11" t="n">
        <f aca="false">D14*Assumptions!$D$18</f>
        <v>0</v>
      </c>
      <c r="F14" s="11" t="n">
        <f aca="false">E14*Assumptions!$D$19*30/1000000</f>
        <v>0</v>
      </c>
      <c r="G14" s="11" t="n">
        <f aca="false">D14*Assumptions!$D$20</f>
        <v>0</v>
      </c>
      <c r="H14" s="11" t="n">
        <f aca="false">D14*Assumptions!$D$21</f>
        <v>0</v>
      </c>
      <c r="I14" s="11" t="n">
        <f aca="false">SUMIFS('Staff Months'!$E$6:$E$2345,'Staff Months'!$A$6:$A$2345,$AS$1,'Staff Months'!$C$6:$C$2345,A14)</f>
        <v>5.75</v>
      </c>
      <c r="J14" s="11" t="n">
        <f aca="false">SUMIFS('Staff Months'!$L$6:$L$2345,'Staff Months'!$A$6:$A$2345,$AS$1,'Staff Months'!$C$6:$C$2345,A14)</f>
        <v>8</v>
      </c>
      <c r="K14" s="10" t="n">
        <f aca="false">SUMIFS('Staff Months'!$H$6:$H$2345,'Staff Months'!$A$6:$A$2345,$AS$1,'Staff Months'!$C$6:$C$2345,A14)</f>
        <v>76916.6666666667</v>
      </c>
      <c r="L14" s="10" t="n">
        <f aca="false">SUMIFS('Staff Months'!$J$6:$J$2345,'Staff Months'!$A$6:$A$2345,$AS$1,'Staff Months'!$C$6:$C$2345,A14)</f>
        <v>0</v>
      </c>
      <c r="M14" s="10" t="n">
        <f aca="false">SUMIFS('Staff Months'!$K$6:$K$2345,'Staff Months'!$A$6:$A$2345,$AS$1,'Staff Months'!$C$6:$C$2345,A14)</f>
        <v>0</v>
      </c>
      <c r="N14" s="10" t="n">
        <f aca="false">SUMIFS('Vendor Months'!$G$6:$G$3965,'Vendor Months'!$A$6:$A$3965,$AS$1,'Vendor Months'!$C$6:$C$3965,A14,'Vendor Months'!$J$6:$J$3965,"INFRA")</f>
        <v>1250</v>
      </c>
      <c r="O14" s="10" t="n">
        <f aca="false">SUMIFS('Vendor Months'!$G$6:$G$3965,'Vendor Months'!$A$6:$A$3965,$AS$1,'Vendor Months'!$C$6:$C$3965,A14,'Vendor Months'!$J$6:$J$3965,"TOOLS")</f>
        <v>294</v>
      </c>
      <c r="P14" s="10" t="n">
        <f aca="false">SUMIFS('Vendor Months'!$G$6:$G$3965,'Vendor Months'!$A$6:$A$3965,$AS$1,'Vendor Months'!$C$6:$C$3965,A14,'Vendor Months'!$J$6:$J$3965,"LEGAL")</f>
        <v>0</v>
      </c>
      <c r="Q14" s="10" t="n">
        <f aca="false">SUMIFS('Vendor Months'!$G$6:$G$3965,'Vendor Months'!$A$6:$A$3965,$AS$1,'Vendor Months'!$C$6:$C$3965,A14,'Vendor Months'!$J$6:$J$3965,"SECURITY")</f>
        <v>0</v>
      </c>
      <c r="R14" s="10" t="n">
        <f aca="false">SUMIFS('Vendor Months'!$G$6:$G$3965,'Vendor Months'!$A$6:$A$3965,$AS$1,'Vendor Months'!$C$6:$C$3965,A14,'Vendor Months'!$J$6:$J$3965,"COMPLIANCE")</f>
        <v>0</v>
      </c>
      <c r="S14" s="10" t="n">
        <f aca="false">SUMIFS('Vendor Months'!$G$6:$G$3965,'Vendor Months'!$A$6:$A$3965,$AS$1,'Vendor Months'!$C$6:$C$3965,A14,'Vendor Months'!$J$6:$J$3965,"INSURANCE")</f>
        <v>12000</v>
      </c>
      <c r="T14" s="10" t="n">
        <f aca="false">SUMIFS('Vendor Months'!$G$6:$G$3965,'Vendor Months'!$A$6:$A$3965,$AS$1,'Vendor Months'!$C$6:$C$3965,A14,'Vendor Months'!$J$6:$J$3965,"ACCOUNTING")</f>
        <v>600</v>
      </c>
      <c r="U14" s="10" t="n">
        <f aca="false">SUMIFS('Vendor Months'!$G$6:$G$3965,'Vendor Months'!$A$6:$A$3965,$AS$1,'Vendor Months'!$C$6:$C$3965,A14,'Vendor Months'!$J$6:$J$3965,"SUPPORT")</f>
        <v>100</v>
      </c>
      <c r="V14" s="10" t="n">
        <f aca="false">SUMIFS('Vendor Months'!$G$6:$G$3965,'Vendor Months'!$A$6:$A$3965,$AS$1,'Vendor Months'!$C$6:$C$3965,A14,'Vendor Months'!$J$6:$J$3965,"MARKETING")</f>
        <v>0</v>
      </c>
      <c r="W14" s="10" t="n">
        <f aca="false">SUMIFS('Vendor Months'!$G$6:$G$3965,'Vendor Months'!$A$6:$A$3965,$AS$1,'Vendor Months'!$C$6:$C$3965,A14,'Vendor Months'!$J$6:$J$3965,"ONBOARD")</f>
        <v>0</v>
      </c>
      <c r="X14" s="10" t="n">
        <f aca="false">SUMIFS('Vendor Months'!$G$6:$G$3965,'Vendor Months'!$A$6:$A$3965,$AS$1,'Vendor Months'!$C$6:$C$3965,A14,'Vendor Months'!$J$6:$J$3965,"AI")</f>
        <v>0</v>
      </c>
      <c r="Y14" s="10" t="n">
        <f aca="false">SUMIFS('Vendor Months'!$G$6:$G$3965,'Vendor Months'!$A$6:$A$3965,$AS$1,'Vendor Months'!$C$6:$C$3965,A14,'Vendor Months'!$J$6:$J$3965,"CTMS")</f>
        <v>0</v>
      </c>
      <c r="Z14" s="10" t="n">
        <f aca="false">SUM(N14:Y14)</f>
        <v>14244</v>
      </c>
      <c r="AA14" s="10" t="n">
        <f aca="false">(SUM(K14:M14)+Z14)*Assumptions!$D$12</f>
        <v>13674.1</v>
      </c>
      <c r="AB14" s="10" t="n">
        <f aca="false">AD14*Assumptions!$D$29</f>
        <v>0</v>
      </c>
      <c r="AC14" s="10" t="n">
        <f aca="false">SUM(K14:M14)+Z14+AA14+AB14</f>
        <v>104834.766666667</v>
      </c>
      <c r="AD14" s="10" t="n">
        <f aca="false">D14*Assumptions!$D$17</f>
        <v>0</v>
      </c>
      <c r="AE14" s="10" t="n">
        <f aca="false">AD14*12</f>
        <v>0</v>
      </c>
      <c r="AF14" s="10" t="n">
        <f aca="false">AC14-AD14</f>
        <v>104834.766666667</v>
      </c>
      <c r="AG14" s="10" t="n">
        <f aca="false">IF(A14=Assumptions!$D$7,Assumptions!$D$8,0)</f>
        <v>0</v>
      </c>
      <c r="AH14" s="10" t="n">
        <f aca="false">AI13</f>
        <v>413043.066666667</v>
      </c>
      <c r="AI14" s="10" t="n">
        <f aca="false">AH14+AG14-AF14</f>
        <v>308208.3</v>
      </c>
      <c r="AJ14" s="10" t="n">
        <f aca="false">SUM($AC$6:AC14)</f>
        <v>691791.7</v>
      </c>
      <c r="AK14" s="10" t="n">
        <f aca="false">MAX(0,-AI14)</f>
        <v>0</v>
      </c>
      <c r="AL14" s="10" t="n">
        <f aca="false">Assumptions!$D$6+SUM($AG$6:AG14)-AJ14</f>
        <v>308208.3</v>
      </c>
      <c r="AM14" s="10" t="n">
        <f aca="false">SUMIFS('Vendor Months'!$H$6:$H$3965,'Vendor Months'!$A$6:$A$3965,$AS$1,'Vendor Months'!$C$6:$C$3965,A14)</f>
        <v>13850</v>
      </c>
      <c r="AN14" s="10" t="n">
        <f aca="false">X14+Y14</f>
        <v>0</v>
      </c>
      <c r="AO14" s="10" t="n">
        <f aca="false">SUMIFS('Staff Months'!$I$6:$I$2345,'Staff Months'!$A$6:$A$2345,$AS$1,'Staff Months'!$C$6:$C$2345,A14)</f>
        <v>15000</v>
      </c>
      <c r="AP14" s="10" t="n">
        <f aca="false">SUM($AF$6:AF14)</f>
        <v>691791.7</v>
      </c>
      <c r="AQ14" s="10" t="n">
        <f aca="false">AC14</f>
        <v>104834.766666667</v>
      </c>
      <c r="AR14" s="26" t="n">
        <f aca="false">IF(AI14&lt;0,1,0)</f>
        <v>0</v>
      </c>
      <c r="AS14" s="6"/>
    </row>
    <row r="15" customFormat="false" ht="15" hidden="false" customHeight="false" outlineLevel="0" collapsed="false">
      <c r="A15" s="6" t="n">
        <v>10</v>
      </c>
      <c r="B15" s="25" t="n">
        <f aca="false">EDATE('Start Here'!$B$6,A15-1)</f>
        <v>46600</v>
      </c>
      <c r="C15" s="11" t="n">
        <f aca="false">IF(A15&gt;=Assumptions!$D$13,Assumptions!$D$14*(1+Assumptions!$D$15)^INT((A15-Assumptions!$D$13)/12),0)</f>
        <v>0</v>
      </c>
      <c r="D15" s="11" t="n">
        <f aca="false">D14*(1-Assumptions!$D$16)+C15</f>
        <v>0</v>
      </c>
      <c r="E15" s="11" t="n">
        <f aca="false">D15*Assumptions!$D$18</f>
        <v>0</v>
      </c>
      <c r="F15" s="11" t="n">
        <f aca="false">E15*Assumptions!$D$19*30/1000000</f>
        <v>0</v>
      </c>
      <c r="G15" s="11" t="n">
        <f aca="false">D15*Assumptions!$D$20</f>
        <v>0</v>
      </c>
      <c r="H15" s="11" t="n">
        <f aca="false">D15*Assumptions!$D$21</f>
        <v>0</v>
      </c>
      <c r="I15" s="11" t="n">
        <f aca="false">SUMIFS('Staff Months'!$E$6:$E$2345,'Staff Months'!$A$6:$A$2345,$AS$1,'Staff Months'!$C$6:$C$2345,A15)</f>
        <v>6.25</v>
      </c>
      <c r="J15" s="11" t="n">
        <f aca="false">SUMIFS('Staff Months'!$L$6:$L$2345,'Staff Months'!$A$6:$A$2345,$AS$1,'Staff Months'!$C$6:$C$2345,A15)</f>
        <v>9</v>
      </c>
      <c r="K15" s="10" t="n">
        <f aca="false">SUMIFS('Staff Months'!$H$6:$H$2345,'Staff Months'!$A$6:$A$2345,$AS$1,'Staff Months'!$C$6:$C$2345,A15)</f>
        <v>82166.6666666667</v>
      </c>
      <c r="L15" s="10" t="n">
        <f aca="false">SUMIFS('Staff Months'!$J$6:$J$2345,'Staff Months'!$A$6:$A$2345,$AS$1,'Staff Months'!$C$6:$C$2345,A15)</f>
        <v>4000</v>
      </c>
      <c r="M15" s="10" t="n">
        <f aca="false">SUMIFS('Staff Months'!$K$6:$K$2345,'Staff Months'!$A$6:$A$2345,$AS$1,'Staff Months'!$C$6:$C$2345,A15)</f>
        <v>1500</v>
      </c>
      <c r="N15" s="10" t="n">
        <f aca="false">SUMIFS('Vendor Months'!$G$6:$G$3965,'Vendor Months'!$A$6:$A$3965,$AS$1,'Vendor Months'!$C$6:$C$3965,A15,'Vendor Months'!$J$6:$J$3965,"INFRA")</f>
        <v>1250</v>
      </c>
      <c r="O15" s="10" t="n">
        <f aca="false">SUMIFS('Vendor Months'!$G$6:$G$3965,'Vendor Months'!$A$6:$A$3965,$AS$1,'Vendor Months'!$C$6:$C$3965,A15,'Vendor Months'!$J$6:$J$3965,"TOOLS")</f>
        <v>343</v>
      </c>
      <c r="P15" s="10" t="n">
        <f aca="false">SUMIFS('Vendor Months'!$G$6:$G$3965,'Vendor Months'!$A$6:$A$3965,$AS$1,'Vendor Months'!$C$6:$C$3965,A15,'Vendor Months'!$J$6:$J$3965,"LEGAL")</f>
        <v>0</v>
      </c>
      <c r="Q15" s="10" t="n">
        <f aca="false">SUMIFS('Vendor Months'!$G$6:$G$3965,'Vendor Months'!$A$6:$A$3965,$AS$1,'Vendor Months'!$C$6:$C$3965,A15,'Vendor Months'!$J$6:$J$3965,"SECURITY")</f>
        <v>18000</v>
      </c>
      <c r="R15" s="10" t="n">
        <f aca="false">SUMIFS('Vendor Months'!$G$6:$G$3965,'Vendor Months'!$A$6:$A$3965,$AS$1,'Vendor Months'!$C$6:$C$3965,A15,'Vendor Months'!$J$6:$J$3965,"COMPLIANCE")</f>
        <v>0</v>
      </c>
      <c r="S15" s="10" t="n">
        <f aca="false">SUMIFS('Vendor Months'!$G$6:$G$3965,'Vendor Months'!$A$6:$A$3965,$AS$1,'Vendor Months'!$C$6:$C$3965,A15,'Vendor Months'!$J$6:$J$3965,"INSURANCE")</f>
        <v>0</v>
      </c>
      <c r="T15" s="10" t="n">
        <f aca="false">SUMIFS('Vendor Months'!$G$6:$G$3965,'Vendor Months'!$A$6:$A$3965,$AS$1,'Vendor Months'!$C$6:$C$3965,A15,'Vendor Months'!$J$6:$J$3965,"ACCOUNTING")</f>
        <v>600</v>
      </c>
      <c r="U15" s="10" t="n">
        <f aca="false">SUMIFS('Vendor Months'!$G$6:$G$3965,'Vendor Months'!$A$6:$A$3965,$AS$1,'Vendor Months'!$C$6:$C$3965,A15,'Vendor Months'!$J$6:$J$3965,"SUPPORT")</f>
        <v>100</v>
      </c>
      <c r="V15" s="10" t="n">
        <f aca="false">SUMIFS('Vendor Months'!$G$6:$G$3965,'Vendor Months'!$A$6:$A$3965,$AS$1,'Vendor Months'!$C$6:$C$3965,A15,'Vendor Months'!$J$6:$J$3965,"MARKETING")</f>
        <v>0</v>
      </c>
      <c r="W15" s="10" t="n">
        <f aca="false">SUMIFS('Vendor Months'!$G$6:$G$3965,'Vendor Months'!$A$6:$A$3965,$AS$1,'Vendor Months'!$C$6:$C$3965,A15,'Vendor Months'!$J$6:$J$3965,"ONBOARD")</f>
        <v>0</v>
      </c>
      <c r="X15" s="10" t="n">
        <f aca="false">SUMIFS('Vendor Months'!$G$6:$G$3965,'Vendor Months'!$A$6:$A$3965,$AS$1,'Vendor Months'!$C$6:$C$3965,A15,'Vendor Months'!$J$6:$J$3965,"AI")</f>
        <v>0</v>
      </c>
      <c r="Y15" s="10" t="n">
        <f aca="false">SUMIFS('Vendor Months'!$G$6:$G$3965,'Vendor Months'!$A$6:$A$3965,$AS$1,'Vendor Months'!$C$6:$C$3965,A15,'Vendor Months'!$J$6:$J$3965,"CTMS")</f>
        <v>0</v>
      </c>
      <c r="Z15" s="10" t="n">
        <f aca="false">SUM(N15:Y15)</f>
        <v>20293</v>
      </c>
      <c r="AA15" s="10" t="n">
        <f aca="false">(SUM(K15:M15)+Z15)*Assumptions!$D$12</f>
        <v>16193.95</v>
      </c>
      <c r="AB15" s="10" t="n">
        <f aca="false">AD15*Assumptions!$D$29</f>
        <v>0</v>
      </c>
      <c r="AC15" s="10" t="n">
        <f aca="false">SUM(K15:M15)+Z15+AA15+AB15</f>
        <v>124153.616666667</v>
      </c>
      <c r="AD15" s="10" t="n">
        <f aca="false">D15*Assumptions!$D$17</f>
        <v>0</v>
      </c>
      <c r="AE15" s="10" t="n">
        <f aca="false">AD15*12</f>
        <v>0</v>
      </c>
      <c r="AF15" s="10" t="n">
        <f aca="false">AC15-AD15</f>
        <v>124153.616666667</v>
      </c>
      <c r="AG15" s="10" t="n">
        <f aca="false">IF(A15=Assumptions!$D$7,Assumptions!$D$8,0)</f>
        <v>0</v>
      </c>
      <c r="AH15" s="10" t="n">
        <f aca="false">AI14</f>
        <v>308208.3</v>
      </c>
      <c r="AI15" s="10" t="n">
        <f aca="false">AH15+AG15-AF15</f>
        <v>184054.683333334</v>
      </c>
      <c r="AJ15" s="10" t="n">
        <f aca="false">SUM($AC$6:AC15)</f>
        <v>815945.316666667</v>
      </c>
      <c r="AK15" s="10" t="n">
        <f aca="false">MAX(0,-AI15)</f>
        <v>0</v>
      </c>
      <c r="AL15" s="10" t="n">
        <f aca="false">Assumptions!$D$6+SUM($AG$6:AG15)-AJ15</f>
        <v>184054.683333333</v>
      </c>
      <c r="AM15" s="10" t="n">
        <f aca="false">SUMIFS('Vendor Months'!$H$6:$H$3965,'Vendor Months'!$A$6:$A$3965,$AS$1,'Vendor Months'!$C$6:$C$3965,A15)</f>
        <v>19850</v>
      </c>
      <c r="AN15" s="10" t="n">
        <f aca="false">X15+Y15</f>
        <v>0</v>
      </c>
      <c r="AO15" s="10" t="n">
        <f aca="false">SUMIFS('Staff Months'!$I$6:$I$2345,'Staff Months'!$A$6:$A$2345,$AS$1,'Staff Months'!$C$6:$C$2345,A15)</f>
        <v>15000</v>
      </c>
      <c r="AP15" s="10" t="n">
        <f aca="false">SUM($AF$6:AF15)</f>
        <v>815945.316666667</v>
      </c>
      <c r="AQ15" s="10" t="n">
        <f aca="false">AC15</f>
        <v>124153.616666667</v>
      </c>
      <c r="AR15" s="26" t="n">
        <f aca="false">IF(AI15&lt;0,1,0)</f>
        <v>0</v>
      </c>
      <c r="AS15" s="6"/>
    </row>
    <row r="16" customFormat="false" ht="15" hidden="false" customHeight="false" outlineLevel="0" collapsed="false">
      <c r="A16" s="6" t="n">
        <v>11</v>
      </c>
      <c r="B16" s="25" t="n">
        <f aca="false">EDATE('Start Here'!$B$6,A16-1)</f>
        <v>46631</v>
      </c>
      <c r="C16" s="11" t="n">
        <f aca="false">IF(A16&gt;=Assumptions!$D$13,Assumptions!$D$14*(1+Assumptions!$D$15)^INT((A16-Assumptions!$D$13)/12),0)</f>
        <v>0</v>
      </c>
      <c r="D16" s="11" t="n">
        <f aca="false">D15*(1-Assumptions!$D$16)+C16</f>
        <v>0</v>
      </c>
      <c r="E16" s="11" t="n">
        <f aca="false">D16*Assumptions!$D$18</f>
        <v>0</v>
      </c>
      <c r="F16" s="11" t="n">
        <f aca="false">E16*Assumptions!$D$19*30/1000000</f>
        <v>0</v>
      </c>
      <c r="G16" s="11" t="n">
        <f aca="false">D16*Assumptions!$D$20</f>
        <v>0</v>
      </c>
      <c r="H16" s="11" t="n">
        <f aca="false">D16*Assumptions!$D$21</f>
        <v>0</v>
      </c>
      <c r="I16" s="11" t="n">
        <f aca="false">SUMIFS('Staff Months'!$E$6:$E$2345,'Staff Months'!$A$6:$A$2345,$AS$1,'Staff Months'!$C$6:$C$2345,A16)</f>
        <v>6.25</v>
      </c>
      <c r="J16" s="11" t="n">
        <f aca="false">SUMIFS('Staff Months'!$L$6:$L$2345,'Staff Months'!$A$6:$A$2345,$AS$1,'Staff Months'!$C$6:$C$2345,A16)</f>
        <v>9</v>
      </c>
      <c r="K16" s="10" t="n">
        <f aca="false">SUMIFS('Staff Months'!$H$6:$H$2345,'Staff Months'!$A$6:$A$2345,$AS$1,'Staff Months'!$C$6:$C$2345,A16)</f>
        <v>82166.6666666667</v>
      </c>
      <c r="L16" s="10" t="n">
        <f aca="false">SUMIFS('Staff Months'!$J$6:$J$2345,'Staff Months'!$A$6:$A$2345,$AS$1,'Staff Months'!$C$6:$C$2345,A16)</f>
        <v>0</v>
      </c>
      <c r="M16" s="10" t="n">
        <f aca="false">SUMIFS('Staff Months'!$K$6:$K$2345,'Staff Months'!$A$6:$A$2345,$AS$1,'Staff Months'!$C$6:$C$2345,A16)</f>
        <v>0</v>
      </c>
      <c r="N16" s="10" t="n">
        <f aca="false">SUMIFS('Vendor Months'!$G$6:$G$3965,'Vendor Months'!$A$6:$A$3965,$AS$1,'Vendor Months'!$C$6:$C$3965,A16,'Vendor Months'!$J$6:$J$3965,"INFRA")</f>
        <v>1250</v>
      </c>
      <c r="O16" s="10" t="n">
        <f aca="false">SUMIFS('Vendor Months'!$G$6:$G$3965,'Vendor Months'!$A$6:$A$3965,$AS$1,'Vendor Months'!$C$6:$C$3965,A16,'Vendor Months'!$J$6:$J$3965,"TOOLS")</f>
        <v>343</v>
      </c>
      <c r="P16" s="10" t="n">
        <f aca="false">SUMIFS('Vendor Months'!$G$6:$G$3965,'Vendor Months'!$A$6:$A$3965,$AS$1,'Vendor Months'!$C$6:$C$3965,A16,'Vendor Months'!$J$6:$J$3965,"LEGAL")</f>
        <v>0</v>
      </c>
      <c r="Q16" s="10" t="n">
        <f aca="false">SUMIFS('Vendor Months'!$G$6:$G$3965,'Vendor Months'!$A$6:$A$3965,$AS$1,'Vendor Months'!$C$6:$C$3965,A16,'Vendor Months'!$J$6:$J$3965,"SECURITY")</f>
        <v>0</v>
      </c>
      <c r="R16" s="10" t="n">
        <f aca="false">SUMIFS('Vendor Months'!$G$6:$G$3965,'Vendor Months'!$A$6:$A$3965,$AS$1,'Vendor Months'!$C$6:$C$3965,A16,'Vendor Months'!$J$6:$J$3965,"COMPLIANCE")</f>
        <v>15000</v>
      </c>
      <c r="S16" s="10" t="n">
        <f aca="false">SUMIFS('Vendor Months'!$G$6:$G$3965,'Vendor Months'!$A$6:$A$3965,$AS$1,'Vendor Months'!$C$6:$C$3965,A16,'Vendor Months'!$J$6:$J$3965,"INSURANCE")</f>
        <v>0</v>
      </c>
      <c r="T16" s="10" t="n">
        <f aca="false">SUMIFS('Vendor Months'!$G$6:$G$3965,'Vendor Months'!$A$6:$A$3965,$AS$1,'Vendor Months'!$C$6:$C$3965,A16,'Vendor Months'!$J$6:$J$3965,"ACCOUNTING")</f>
        <v>600</v>
      </c>
      <c r="U16" s="10" t="n">
        <f aca="false">SUMIFS('Vendor Months'!$G$6:$G$3965,'Vendor Months'!$A$6:$A$3965,$AS$1,'Vendor Months'!$C$6:$C$3965,A16,'Vendor Months'!$J$6:$J$3965,"SUPPORT")</f>
        <v>100</v>
      </c>
      <c r="V16" s="10" t="n">
        <f aca="false">SUMIFS('Vendor Months'!$G$6:$G$3965,'Vendor Months'!$A$6:$A$3965,$AS$1,'Vendor Months'!$C$6:$C$3965,A16,'Vendor Months'!$J$6:$J$3965,"MARKETING")</f>
        <v>0</v>
      </c>
      <c r="W16" s="10" t="n">
        <f aca="false">SUMIFS('Vendor Months'!$G$6:$G$3965,'Vendor Months'!$A$6:$A$3965,$AS$1,'Vendor Months'!$C$6:$C$3965,A16,'Vendor Months'!$J$6:$J$3965,"ONBOARD")</f>
        <v>0</v>
      </c>
      <c r="X16" s="10" t="n">
        <f aca="false">SUMIFS('Vendor Months'!$G$6:$G$3965,'Vendor Months'!$A$6:$A$3965,$AS$1,'Vendor Months'!$C$6:$C$3965,A16,'Vendor Months'!$J$6:$J$3965,"AI")</f>
        <v>0</v>
      </c>
      <c r="Y16" s="10" t="n">
        <f aca="false">SUMIFS('Vendor Months'!$G$6:$G$3965,'Vendor Months'!$A$6:$A$3965,$AS$1,'Vendor Months'!$C$6:$C$3965,A16,'Vendor Months'!$J$6:$J$3965,"CTMS")</f>
        <v>0</v>
      </c>
      <c r="Z16" s="10" t="n">
        <f aca="false">SUM(N16:Y16)</f>
        <v>17293</v>
      </c>
      <c r="AA16" s="10" t="n">
        <f aca="false">(SUM(K16:M16)+Z16)*Assumptions!$D$12</f>
        <v>14918.95</v>
      </c>
      <c r="AB16" s="10" t="n">
        <f aca="false">AD16*Assumptions!$D$29</f>
        <v>0</v>
      </c>
      <c r="AC16" s="10" t="n">
        <f aca="false">SUM(K16:M16)+Z16+AA16+AB16</f>
        <v>114378.616666667</v>
      </c>
      <c r="AD16" s="10" t="n">
        <f aca="false">D16*Assumptions!$D$17</f>
        <v>0</v>
      </c>
      <c r="AE16" s="10" t="n">
        <f aca="false">AD16*12</f>
        <v>0</v>
      </c>
      <c r="AF16" s="10" t="n">
        <f aca="false">AC16-AD16</f>
        <v>114378.616666667</v>
      </c>
      <c r="AG16" s="10" t="n">
        <f aca="false">IF(A16=Assumptions!$D$7,Assumptions!$D$8,0)</f>
        <v>0</v>
      </c>
      <c r="AH16" s="10" t="n">
        <f aca="false">AI15</f>
        <v>184054.683333334</v>
      </c>
      <c r="AI16" s="10" t="n">
        <f aca="false">AH16+AG16-AF16</f>
        <v>69676.0666666669</v>
      </c>
      <c r="AJ16" s="10" t="n">
        <f aca="false">SUM($AC$6:AC16)</f>
        <v>930323.933333333</v>
      </c>
      <c r="AK16" s="10" t="n">
        <f aca="false">MAX(0,-AI16)</f>
        <v>0</v>
      </c>
      <c r="AL16" s="10" t="n">
        <f aca="false">Assumptions!$D$6+SUM($AG$6:AG16)-AJ16</f>
        <v>69676.0666666667</v>
      </c>
      <c r="AM16" s="10" t="n">
        <f aca="false">SUMIFS('Vendor Months'!$H$6:$H$3965,'Vendor Months'!$A$6:$A$3965,$AS$1,'Vendor Months'!$C$6:$C$3965,A16)</f>
        <v>16850</v>
      </c>
      <c r="AN16" s="10" t="n">
        <f aca="false">X16+Y16</f>
        <v>0</v>
      </c>
      <c r="AO16" s="10" t="n">
        <f aca="false">SUMIFS('Staff Months'!$I$6:$I$2345,'Staff Months'!$A$6:$A$2345,$AS$1,'Staff Months'!$C$6:$C$2345,A16)</f>
        <v>15000</v>
      </c>
      <c r="AP16" s="10" t="n">
        <f aca="false">SUM($AF$6:AF16)</f>
        <v>930323.933333333</v>
      </c>
      <c r="AQ16" s="10" t="n">
        <f aca="false">AC16</f>
        <v>114378.616666667</v>
      </c>
      <c r="AR16" s="26" t="n">
        <f aca="false">IF(AI16&lt;0,1,0)</f>
        <v>0</v>
      </c>
      <c r="AS16" s="6"/>
    </row>
    <row r="17" customFormat="false" ht="15" hidden="false" customHeight="false" outlineLevel="0" collapsed="false">
      <c r="A17" s="6" t="n">
        <v>12</v>
      </c>
      <c r="B17" s="25" t="n">
        <f aca="false">EDATE('Start Here'!$B$6,A17-1)</f>
        <v>46661</v>
      </c>
      <c r="C17" s="11" t="n">
        <f aca="false">IF(A17&gt;=Assumptions!$D$13,Assumptions!$D$14*(1+Assumptions!$D$15)^INT((A17-Assumptions!$D$13)/12),0)</f>
        <v>0</v>
      </c>
      <c r="D17" s="11" t="n">
        <f aca="false">D16*(1-Assumptions!$D$16)+C17</f>
        <v>0</v>
      </c>
      <c r="E17" s="11" t="n">
        <f aca="false">D17*Assumptions!$D$18</f>
        <v>0</v>
      </c>
      <c r="F17" s="11" t="n">
        <f aca="false">E17*Assumptions!$D$19*30/1000000</f>
        <v>0</v>
      </c>
      <c r="G17" s="11" t="n">
        <f aca="false">D17*Assumptions!$D$20</f>
        <v>0</v>
      </c>
      <c r="H17" s="11" t="n">
        <f aca="false">D17*Assumptions!$D$21</f>
        <v>0</v>
      </c>
      <c r="I17" s="11" t="n">
        <f aca="false">SUMIFS('Staff Months'!$E$6:$E$2345,'Staff Months'!$A$6:$A$2345,$AS$1,'Staff Months'!$C$6:$C$2345,A17)</f>
        <v>6.25</v>
      </c>
      <c r="J17" s="11" t="n">
        <f aca="false">SUMIFS('Staff Months'!$L$6:$L$2345,'Staff Months'!$A$6:$A$2345,$AS$1,'Staff Months'!$C$6:$C$2345,A17)</f>
        <v>9</v>
      </c>
      <c r="K17" s="10" t="n">
        <f aca="false">SUMIFS('Staff Months'!$H$6:$H$2345,'Staff Months'!$A$6:$A$2345,$AS$1,'Staff Months'!$C$6:$C$2345,A17)</f>
        <v>82166.6666666667</v>
      </c>
      <c r="L17" s="10" t="n">
        <f aca="false">SUMIFS('Staff Months'!$J$6:$J$2345,'Staff Months'!$A$6:$A$2345,$AS$1,'Staff Months'!$C$6:$C$2345,A17)</f>
        <v>0</v>
      </c>
      <c r="M17" s="10" t="n">
        <f aca="false">SUMIFS('Staff Months'!$K$6:$K$2345,'Staff Months'!$A$6:$A$2345,$AS$1,'Staff Months'!$C$6:$C$2345,A17)</f>
        <v>0</v>
      </c>
      <c r="N17" s="10" t="n">
        <f aca="false">SUMIFS('Vendor Months'!$G$6:$G$3965,'Vendor Months'!$A$6:$A$3965,$AS$1,'Vendor Months'!$C$6:$C$3965,A17,'Vendor Months'!$J$6:$J$3965,"INFRA")</f>
        <v>1250</v>
      </c>
      <c r="O17" s="10" t="n">
        <f aca="false">SUMIFS('Vendor Months'!$G$6:$G$3965,'Vendor Months'!$A$6:$A$3965,$AS$1,'Vendor Months'!$C$6:$C$3965,A17,'Vendor Months'!$J$6:$J$3965,"TOOLS")</f>
        <v>343</v>
      </c>
      <c r="P17" s="10" t="n">
        <f aca="false">SUMIFS('Vendor Months'!$G$6:$G$3965,'Vendor Months'!$A$6:$A$3965,$AS$1,'Vendor Months'!$C$6:$C$3965,A17,'Vendor Months'!$J$6:$J$3965,"LEGAL")</f>
        <v>0</v>
      </c>
      <c r="Q17" s="10" t="n">
        <f aca="false">SUMIFS('Vendor Months'!$G$6:$G$3965,'Vendor Months'!$A$6:$A$3965,$AS$1,'Vendor Months'!$C$6:$C$3965,A17,'Vendor Months'!$J$6:$J$3965,"SECURITY")</f>
        <v>0</v>
      </c>
      <c r="R17" s="10" t="n">
        <f aca="false">SUMIFS('Vendor Months'!$G$6:$G$3965,'Vendor Months'!$A$6:$A$3965,$AS$1,'Vendor Months'!$C$6:$C$3965,A17,'Vendor Months'!$J$6:$J$3965,"COMPLIANCE")</f>
        <v>0</v>
      </c>
      <c r="S17" s="10" t="n">
        <f aca="false">SUMIFS('Vendor Months'!$G$6:$G$3965,'Vendor Months'!$A$6:$A$3965,$AS$1,'Vendor Months'!$C$6:$C$3965,A17,'Vendor Months'!$J$6:$J$3965,"INSURANCE")</f>
        <v>0</v>
      </c>
      <c r="T17" s="10" t="n">
        <f aca="false">SUMIFS('Vendor Months'!$G$6:$G$3965,'Vendor Months'!$A$6:$A$3965,$AS$1,'Vendor Months'!$C$6:$C$3965,A17,'Vendor Months'!$J$6:$J$3965,"ACCOUNTING")</f>
        <v>600</v>
      </c>
      <c r="U17" s="10" t="n">
        <f aca="false">SUMIFS('Vendor Months'!$G$6:$G$3965,'Vendor Months'!$A$6:$A$3965,$AS$1,'Vendor Months'!$C$6:$C$3965,A17,'Vendor Months'!$J$6:$J$3965,"SUPPORT")</f>
        <v>100</v>
      </c>
      <c r="V17" s="10" t="n">
        <f aca="false">SUMIFS('Vendor Months'!$G$6:$G$3965,'Vendor Months'!$A$6:$A$3965,$AS$1,'Vendor Months'!$C$6:$C$3965,A17,'Vendor Months'!$J$6:$J$3965,"MARKETING")</f>
        <v>0</v>
      </c>
      <c r="W17" s="10" t="n">
        <f aca="false">SUMIFS('Vendor Months'!$G$6:$G$3965,'Vendor Months'!$A$6:$A$3965,$AS$1,'Vendor Months'!$C$6:$C$3965,A17,'Vendor Months'!$J$6:$J$3965,"ONBOARD")</f>
        <v>0</v>
      </c>
      <c r="X17" s="10" t="n">
        <f aca="false">SUMIFS('Vendor Months'!$G$6:$G$3965,'Vendor Months'!$A$6:$A$3965,$AS$1,'Vendor Months'!$C$6:$C$3965,A17,'Vendor Months'!$J$6:$J$3965,"AI")</f>
        <v>0</v>
      </c>
      <c r="Y17" s="10" t="n">
        <f aca="false">SUMIFS('Vendor Months'!$G$6:$G$3965,'Vendor Months'!$A$6:$A$3965,$AS$1,'Vendor Months'!$C$6:$C$3965,A17,'Vendor Months'!$J$6:$J$3965,"CTMS")</f>
        <v>0</v>
      </c>
      <c r="Z17" s="10" t="n">
        <f aca="false">SUM(N17:Y17)</f>
        <v>2293</v>
      </c>
      <c r="AA17" s="10" t="n">
        <f aca="false">(SUM(K17:M17)+Z17)*Assumptions!$D$12</f>
        <v>12668.95</v>
      </c>
      <c r="AB17" s="10" t="n">
        <f aca="false">AD17*Assumptions!$D$29</f>
        <v>0</v>
      </c>
      <c r="AC17" s="10" t="n">
        <f aca="false">SUM(K17:M17)+Z17+AA17+AB17</f>
        <v>97128.6166666667</v>
      </c>
      <c r="AD17" s="10" t="n">
        <f aca="false">D17*Assumptions!$D$17</f>
        <v>0</v>
      </c>
      <c r="AE17" s="10" t="n">
        <f aca="false">AD17*12</f>
        <v>0</v>
      </c>
      <c r="AF17" s="10" t="n">
        <f aca="false">AC17-AD17</f>
        <v>97128.6166666667</v>
      </c>
      <c r="AG17" s="10" t="n">
        <f aca="false">IF(A17=Assumptions!$D$7,Assumptions!$D$8,0)</f>
        <v>0</v>
      </c>
      <c r="AH17" s="10" t="n">
        <f aca="false">AI16</f>
        <v>69676.0666666669</v>
      </c>
      <c r="AI17" s="10" t="n">
        <f aca="false">AH17+AG17-AF17</f>
        <v>-27452.5499999998</v>
      </c>
      <c r="AJ17" s="10" t="n">
        <f aca="false">SUM($AC$6:AC17)</f>
        <v>1027452.55</v>
      </c>
      <c r="AK17" s="10" t="n">
        <f aca="false">MAX(0,-AI17)</f>
        <v>27452.5499999998</v>
      </c>
      <c r="AL17" s="10" t="n">
        <f aca="false">Assumptions!$D$6+SUM($AG$6:AG17)-AJ17</f>
        <v>-27452.55</v>
      </c>
      <c r="AM17" s="10" t="n">
        <f aca="false">SUMIFS('Vendor Months'!$H$6:$H$3965,'Vendor Months'!$A$6:$A$3965,$AS$1,'Vendor Months'!$C$6:$C$3965,A17)</f>
        <v>1850</v>
      </c>
      <c r="AN17" s="10" t="n">
        <f aca="false">X17+Y17</f>
        <v>0</v>
      </c>
      <c r="AO17" s="10" t="n">
        <f aca="false">SUMIFS('Staff Months'!$I$6:$I$2345,'Staff Months'!$A$6:$A$2345,$AS$1,'Staff Months'!$C$6:$C$2345,A17)</f>
        <v>15000</v>
      </c>
      <c r="AP17" s="10" t="n">
        <f aca="false">SUM($AF$6:AF17)</f>
        <v>1027452.55</v>
      </c>
      <c r="AQ17" s="10" t="n">
        <f aca="false">AC17</f>
        <v>97128.6166666667</v>
      </c>
      <c r="AR17" s="26" t="n">
        <f aca="false">IF(AI17&lt;0,1,0)</f>
        <v>1</v>
      </c>
      <c r="AS17" s="6"/>
    </row>
    <row r="18" customFormat="false" ht="15" hidden="false" customHeight="false" outlineLevel="0" collapsed="false">
      <c r="A18" s="6" t="n">
        <v>13</v>
      </c>
      <c r="B18" s="25" t="n">
        <f aca="false">EDATE('Start Here'!$B$6,A18-1)</f>
        <v>46692</v>
      </c>
      <c r="C18" s="11" t="n">
        <f aca="false">IF(A18&gt;=Assumptions!$D$13,Assumptions!$D$14*(1+Assumptions!$D$15)^INT((A18-Assumptions!$D$13)/12),0)</f>
        <v>1</v>
      </c>
      <c r="D18" s="11" t="n">
        <f aca="false">D17*(1-Assumptions!$D$16)+C18</f>
        <v>1</v>
      </c>
      <c r="E18" s="11" t="n">
        <f aca="false">D18*Assumptions!$D$18</f>
        <v>15</v>
      </c>
      <c r="F18" s="11" t="n">
        <f aca="false">E18*Assumptions!$D$19*30/1000000</f>
        <v>0.0675</v>
      </c>
      <c r="G18" s="11" t="n">
        <f aca="false">D18*Assumptions!$D$20</f>
        <v>5</v>
      </c>
      <c r="H18" s="11" t="n">
        <f aca="false">D18*Assumptions!$D$21</f>
        <v>1</v>
      </c>
      <c r="I18" s="11" t="n">
        <f aca="false">SUMIFS('Staff Months'!$E$6:$E$2345,'Staff Months'!$A$6:$A$2345,$AS$1,'Staff Months'!$C$6:$C$2345,A18)</f>
        <v>6.25</v>
      </c>
      <c r="J18" s="11" t="n">
        <f aca="false">SUMIFS('Staff Months'!$L$6:$L$2345,'Staff Months'!$A$6:$A$2345,$AS$1,'Staff Months'!$C$6:$C$2345,A18)</f>
        <v>9</v>
      </c>
      <c r="K18" s="10" t="n">
        <f aca="false">SUMIFS('Staff Months'!$H$6:$H$2345,'Staff Months'!$A$6:$A$2345,$AS$1,'Staff Months'!$C$6:$C$2345,A18)</f>
        <v>85453.3333333333</v>
      </c>
      <c r="L18" s="10" t="n">
        <f aca="false">SUMIFS('Staff Months'!$J$6:$J$2345,'Staff Months'!$A$6:$A$2345,$AS$1,'Staff Months'!$C$6:$C$2345,A18)</f>
        <v>0</v>
      </c>
      <c r="M18" s="10" t="n">
        <f aca="false">SUMIFS('Staff Months'!$K$6:$K$2345,'Staff Months'!$A$6:$A$2345,$AS$1,'Staff Months'!$C$6:$C$2345,A18)</f>
        <v>0</v>
      </c>
      <c r="N18" s="10" t="n">
        <f aca="false">SUMIFS('Vendor Months'!$G$6:$G$3965,'Vendor Months'!$A$6:$A$3965,$AS$1,'Vendor Months'!$C$6:$C$3965,A18,'Vendor Months'!$J$6:$J$3965,"INFRA")</f>
        <v>1295.50825</v>
      </c>
      <c r="O18" s="10" t="n">
        <f aca="false">SUMIFS('Vendor Months'!$G$6:$G$3965,'Vendor Months'!$A$6:$A$3965,$AS$1,'Vendor Months'!$C$6:$C$3965,A18,'Vendor Months'!$J$6:$J$3965,"TOOLS")</f>
        <v>353.29</v>
      </c>
      <c r="P18" s="10" t="n">
        <f aca="false">SUMIFS('Vendor Months'!$G$6:$G$3965,'Vendor Months'!$A$6:$A$3965,$AS$1,'Vendor Months'!$C$6:$C$3965,A18,'Vendor Months'!$J$6:$J$3965,"LEGAL")</f>
        <v>0</v>
      </c>
      <c r="Q18" s="10" t="n">
        <f aca="false">SUMIFS('Vendor Months'!$G$6:$G$3965,'Vendor Months'!$A$6:$A$3965,$AS$1,'Vendor Months'!$C$6:$C$3965,A18,'Vendor Months'!$J$6:$J$3965,"SECURITY")</f>
        <v>0</v>
      </c>
      <c r="R18" s="10" t="n">
        <f aca="false">SUMIFS('Vendor Months'!$G$6:$G$3965,'Vendor Months'!$A$6:$A$3965,$AS$1,'Vendor Months'!$C$6:$C$3965,A18,'Vendor Months'!$J$6:$J$3965,"COMPLIANCE")</f>
        <v>0</v>
      </c>
      <c r="S18" s="10" t="n">
        <f aca="false">SUMIFS('Vendor Months'!$G$6:$G$3965,'Vendor Months'!$A$6:$A$3965,$AS$1,'Vendor Months'!$C$6:$C$3965,A18,'Vendor Months'!$J$6:$J$3965,"INSURANCE")</f>
        <v>0</v>
      </c>
      <c r="T18" s="10" t="n">
        <f aca="false">SUMIFS('Vendor Months'!$G$6:$G$3965,'Vendor Months'!$A$6:$A$3965,$AS$1,'Vendor Months'!$C$6:$C$3965,A18,'Vendor Months'!$J$6:$J$3965,"ACCOUNTING")</f>
        <v>618</v>
      </c>
      <c r="U18" s="10" t="n">
        <f aca="false">SUMIFS('Vendor Months'!$G$6:$G$3965,'Vendor Months'!$A$6:$A$3965,$AS$1,'Vendor Months'!$C$6:$C$3965,A18,'Vendor Months'!$J$6:$J$3965,"SUPPORT")</f>
        <v>103</v>
      </c>
      <c r="V18" s="10" t="n">
        <f aca="false">SUMIFS('Vendor Months'!$G$6:$G$3965,'Vendor Months'!$A$6:$A$3965,$AS$1,'Vendor Months'!$C$6:$C$3965,A18,'Vendor Months'!$J$6:$J$3965,"MARKETING")</f>
        <v>77.25</v>
      </c>
      <c r="W18" s="10" t="n">
        <f aca="false">SUMIFS('Vendor Months'!$G$6:$G$3965,'Vendor Months'!$A$6:$A$3965,$AS$1,'Vendor Months'!$C$6:$C$3965,A18,'Vendor Months'!$J$6:$J$3965,"ONBOARD")</f>
        <v>309</v>
      </c>
      <c r="X18" s="10" t="n">
        <f aca="false">SUMIFS('Vendor Months'!$G$6:$G$3965,'Vendor Months'!$A$6:$A$3965,$AS$1,'Vendor Months'!$C$6:$C$3965,A18,'Vendor Months'!$J$6:$J$3965,"AI")</f>
        <v>0</v>
      </c>
      <c r="Y18" s="10" t="n">
        <f aca="false">SUMIFS('Vendor Months'!$G$6:$G$3965,'Vendor Months'!$A$6:$A$3965,$AS$1,'Vendor Months'!$C$6:$C$3965,A18,'Vendor Months'!$J$6:$J$3965,"CTMS")</f>
        <v>0</v>
      </c>
      <c r="Z18" s="10" t="n">
        <f aca="false">SUM(N18:Y18)</f>
        <v>2756.04825</v>
      </c>
      <c r="AA18" s="10" t="n">
        <f aca="false">(SUM(K18:M18)+Z18)*Assumptions!$D$12</f>
        <v>13231.4072375</v>
      </c>
      <c r="AB18" s="10" t="n">
        <f aca="false">AD18*Assumptions!$D$29</f>
        <v>27</v>
      </c>
      <c r="AC18" s="10" t="n">
        <f aca="false">SUM(K18:M18)+Z18+AA18+AB18</f>
        <v>101467.788820833</v>
      </c>
      <c r="AD18" s="10" t="n">
        <f aca="false">D18*Assumptions!$D$17</f>
        <v>900</v>
      </c>
      <c r="AE18" s="10" t="n">
        <f aca="false">AD18*12</f>
        <v>10800</v>
      </c>
      <c r="AF18" s="10" t="n">
        <f aca="false">AC18-AD18</f>
        <v>100567.788820833</v>
      </c>
      <c r="AG18" s="10" t="n">
        <f aca="false">IF(A18=Assumptions!$D$7,Assumptions!$D$8,0)</f>
        <v>3000000</v>
      </c>
      <c r="AH18" s="10" t="n">
        <f aca="false">AI17</f>
        <v>-27452.5499999998</v>
      </c>
      <c r="AI18" s="10" t="n">
        <f aca="false">AH18+AG18-AF18</f>
        <v>2871979.66117917</v>
      </c>
      <c r="AJ18" s="10" t="n">
        <f aca="false">SUM($AC$6:AC18)</f>
        <v>1128920.33882083</v>
      </c>
      <c r="AK18" s="10" t="n">
        <f aca="false">MAX(0,-AI18)</f>
        <v>0</v>
      </c>
      <c r="AL18" s="10" t="n">
        <f aca="false">Assumptions!$D$6+SUM($AG$6:AG18)-AJ18</f>
        <v>2871079.66117917</v>
      </c>
      <c r="AM18" s="10" t="n">
        <f aca="false">SUMIFS('Vendor Months'!$H$6:$H$3965,'Vendor Months'!$A$6:$A$3965,$AS$1,'Vendor Months'!$C$6:$C$3965,A18)</f>
        <v>1905.5</v>
      </c>
      <c r="AN18" s="10" t="n">
        <f aca="false">X18+Y18</f>
        <v>0</v>
      </c>
      <c r="AO18" s="10" t="n">
        <f aca="false">SUMIFS('Staff Months'!$I$6:$I$2345,'Staff Months'!$A$6:$A$2345,$AS$1,'Staff Months'!$C$6:$C$2345,A18)</f>
        <v>15600</v>
      </c>
      <c r="AP18" s="10" t="n">
        <f aca="false">SUM($AF$6:AF18)</f>
        <v>1128020.33882083</v>
      </c>
      <c r="AQ18" s="10" t="n">
        <f aca="false">AC18</f>
        <v>101467.788820833</v>
      </c>
      <c r="AR18" s="26" t="n">
        <f aca="false">IF(AI18&lt;0,1,0)</f>
        <v>0</v>
      </c>
      <c r="AS18" s="6"/>
    </row>
    <row r="19" customFormat="false" ht="15" hidden="false" customHeight="false" outlineLevel="0" collapsed="false">
      <c r="A19" s="6" t="n">
        <v>14</v>
      </c>
      <c r="B19" s="25" t="n">
        <f aca="false">EDATE('Start Here'!$B$6,A19-1)</f>
        <v>46722</v>
      </c>
      <c r="C19" s="11" t="n">
        <f aca="false">IF(A19&gt;=Assumptions!$D$13,Assumptions!$D$14*(1+Assumptions!$D$15)^INT((A19-Assumptions!$D$13)/12),0)</f>
        <v>1</v>
      </c>
      <c r="D19" s="11" t="n">
        <f aca="false">D18*(1-Assumptions!$D$16)+C19</f>
        <v>1.99</v>
      </c>
      <c r="E19" s="11" t="n">
        <f aca="false">D19*Assumptions!$D$18</f>
        <v>29.85</v>
      </c>
      <c r="F19" s="11" t="n">
        <f aca="false">E19*Assumptions!$D$19*30/1000000</f>
        <v>0.134325</v>
      </c>
      <c r="G19" s="11" t="n">
        <f aca="false">D19*Assumptions!$D$20</f>
        <v>9.95</v>
      </c>
      <c r="H19" s="11" t="n">
        <f aca="false">D19*Assumptions!$D$21</f>
        <v>1.99</v>
      </c>
      <c r="I19" s="11" t="n">
        <f aca="false">SUMIFS('Staff Months'!$E$6:$E$2345,'Staff Months'!$A$6:$A$2345,$AS$1,'Staff Months'!$C$6:$C$2345,A19)</f>
        <v>6.25</v>
      </c>
      <c r="J19" s="11" t="n">
        <f aca="false">SUMIFS('Staff Months'!$L$6:$L$2345,'Staff Months'!$A$6:$A$2345,$AS$1,'Staff Months'!$C$6:$C$2345,A19)</f>
        <v>9</v>
      </c>
      <c r="K19" s="10" t="n">
        <f aca="false">SUMIFS('Staff Months'!$H$6:$H$2345,'Staff Months'!$A$6:$A$2345,$AS$1,'Staff Months'!$C$6:$C$2345,A19)</f>
        <v>85453.3333333333</v>
      </c>
      <c r="L19" s="10" t="n">
        <f aca="false">SUMIFS('Staff Months'!$J$6:$J$2345,'Staff Months'!$A$6:$A$2345,$AS$1,'Staff Months'!$C$6:$C$2345,A19)</f>
        <v>0</v>
      </c>
      <c r="M19" s="10" t="n">
        <f aca="false">SUMIFS('Staff Months'!$K$6:$K$2345,'Staff Months'!$A$6:$A$2345,$AS$1,'Staff Months'!$C$6:$C$2345,A19)</f>
        <v>0</v>
      </c>
      <c r="N19" s="10" t="n">
        <f aca="false">SUMIFS('Vendor Months'!$G$6:$G$3965,'Vendor Months'!$A$6:$A$3965,$AS$1,'Vendor Months'!$C$6:$C$3965,A19,'Vendor Months'!$J$6:$J$3965,"INFRA")</f>
        <v>1303.4364175</v>
      </c>
      <c r="O19" s="10" t="n">
        <f aca="false">SUMIFS('Vendor Months'!$G$6:$G$3965,'Vendor Months'!$A$6:$A$3965,$AS$1,'Vendor Months'!$C$6:$C$3965,A19,'Vendor Months'!$J$6:$J$3965,"TOOLS")</f>
        <v>353.29</v>
      </c>
      <c r="P19" s="10" t="n">
        <f aca="false">SUMIFS('Vendor Months'!$G$6:$G$3965,'Vendor Months'!$A$6:$A$3965,$AS$1,'Vendor Months'!$C$6:$C$3965,A19,'Vendor Months'!$J$6:$J$3965,"LEGAL")</f>
        <v>12360</v>
      </c>
      <c r="Q19" s="10" t="n">
        <f aca="false">SUMIFS('Vendor Months'!$G$6:$G$3965,'Vendor Months'!$A$6:$A$3965,$AS$1,'Vendor Months'!$C$6:$C$3965,A19,'Vendor Months'!$J$6:$J$3965,"SECURITY")</f>
        <v>0</v>
      </c>
      <c r="R19" s="10" t="n">
        <f aca="false">SUMIFS('Vendor Months'!$G$6:$G$3965,'Vendor Months'!$A$6:$A$3965,$AS$1,'Vendor Months'!$C$6:$C$3965,A19,'Vendor Months'!$J$6:$J$3965,"COMPLIANCE")</f>
        <v>0</v>
      </c>
      <c r="S19" s="10" t="n">
        <f aca="false">SUMIFS('Vendor Months'!$G$6:$G$3965,'Vendor Months'!$A$6:$A$3965,$AS$1,'Vendor Months'!$C$6:$C$3965,A19,'Vendor Months'!$J$6:$J$3965,"INSURANCE")</f>
        <v>0</v>
      </c>
      <c r="T19" s="10" t="n">
        <f aca="false">SUMIFS('Vendor Months'!$G$6:$G$3965,'Vendor Months'!$A$6:$A$3965,$AS$1,'Vendor Months'!$C$6:$C$3965,A19,'Vendor Months'!$J$6:$J$3965,"ACCOUNTING")</f>
        <v>618</v>
      </c>
      <c r="U19" s="10" t="n">
        <f aca="false">SUMIFS('Vendor Months'!$G$6:$G$3965,'Vendor Months'!$A$6:$A$3965,$AS$1,'Vendor Months'!$C$6:$C$3965,A19,'Vendor Months'!$J$6:$J$3965,"SUPPORT")</f>
        <v>103</v>
      </c>
      <c r="V19" s="10" t="n">
        <f aca="false">SUMIFS('Vendor Months'!$G$6:$G$3965,'Vendor Months'!$A$6:$A$3965,$AS$1,'Vendor Months'!$C$6:$C$3965,A19,'Vendor Months'!$J$6:$J$3965,"MARKETING")</f>
        <v>153.7275</v>
      </c>
      <c r="W19" s="10" t="n">
        <f aca="false">SUMIFS('Vendor Months'!$G$6:$G$3965,'Vendor Months'!$A$6:$A$3965,$AS$1,'Vendor Months'!$C$6:$C$3965,A19,'Vendor Months'!$J$6:$J$3965,"ONBOARD")</f>
        <v>309</v>
      </c>
      <c r="X19" s="10" t="n">
        <f aca="false">SUMIFS('Vendor Months'!$G$6:$G$3965,'Vendor Months'!$A$6:$A$3965,$AS$1,'Vendor Months'!$C$6:$C$3965,A19,'Vendor Months'!$J$6:$J$3965,"AI")</f>
        <v>0</v>
      </c>
      <c r="Y19" s="10" t="n">
        <f aca="false">SUMIFS('Vendor Months'!$G$6:$G$3965,'Vendor Months'!$A$6:$A$3965,$AS$1,'Vendor Months'!$C$6:$C$3965,A19,'Vendor Months'!$J$6:$J$3965,"CTMS")</f>
        <v>0</v>
      </c>
      <c r="Z19" s="10" t="n">
        <f aca="false">SUM(N19:Y19)</f>
        <v>15200.4539175</v>
      </c>
      <c r="AA19" s="10" t="n">
        <f aca="false">(SUM(K19:M19)+Z19)*Assumptions!$D$12</f>
        <v>15098.068087625</v>
      </c>
      <c r="AB19" s="10" t="n">
        <f aca="false">AD19*Assumptions!$D$29</f>
        <v>53.73</v>
      </c>
      <c r="AC19" s="10" t="n">
        <f aca="false">SUM(K19:M19)+Z19+AA19+AB19</f>
        <v>115805.585338458</v>
      </c>
      <c r="AD19" s="10" t="n">
        <f aca="false">D19*Assumptions!$D$17</f>
        <v>1791</v>
      </c>
      <c r="AE19" s="10" t="n">
        <f aca="false">AD19*12</f>
        <v>21492</v>
      </c>
      <c r="AF19" s="10" t="n">
        <f aca="false">AC19-AD19</f>
        <v>114014.585338458</v>
      </c>
      <c r="AG19" s="10" t="n">
        <f aca="false">IF(A19=Assumptions!$D$7,Assumptions!$D$8,0)</f>
        <v>0</v>
      </c>
      <c r="AH19" s="10" t="n">
        <f aca="false">AI18</f>
        <v>2871979.66117917</v>
      </c>
      <c r="AI19" s="10" t="n">
        <f aca="false">AH19+AG19-AF19</f>
        <v>2757965.07584071</v>
      </c>
      <c r="AJ19" s="10" t="n">
        <f aca="false">SUM($AC$6:AC19)</f>
        <v>1244725.92415929</v>
      </c>
      <c r="AK19" s="10" t="n">
        <f aca="false">MAX(0,-AI19)</f>
        <v>0</v>
      </c>
      <c r="AL19" s="10" t="n">
        <f aca="false">Assumptions!$D$6+SUM($AG$6:AG19)-AJ19</f>
        <v>2755274.07584071</v>
      </c>
      <c r="AM19" s="10" t="n">
        <f aca="false">SUMIFS('Vendor Months'!$H$6:$H$3965,'Vendor Months'!$A$6:$A$3965,$AS$1,'Vendor Months'!$C$6:$C$3965,A19)</f>
        <v>14265.5</v>
      </c>
      <c r="AN19" s="10" t="n">
        <f aca="false">X19+Y19</f>
        <v>0</v>
      </c>
      <c r="AO19" s="10" t="n">
        <f aca="false">SUMIFS('Staff Months'!$I$6:$I$2345,'Staff Months'!$A$6:$A$2345,$AS$1,'Staff Months'!$C$6:$C$2345,A19)</f>
        <v>15600</v>
      </c>
      <c r="AP19" s="10" t="n">
        <f aca="false">SUM($AF$6:AF19)</f>
        <v>1242034.92415929</v>
      </c>
      <c r="AQ19" s="10" t="n">
        <f aca="false">AC19</f>
        <v>115805.585338458</v>
      </c>
      <c r="AR19" s="26" t="n">
        <f aca="false">IF(AI19&lt;0,1,0)</f>
        <v>0</v>
      </c>
      <c r="AS19" s="6"/>
    </row>
    <row r="20" customFormat="false" ht="15" hidden="false" customHeight="false" outlineLevel="0" collapsed="false">
      <c r="A20" s="6" t="n">
        <v>15</v>
      </c>
      <c r="B20" s="25" t="n">
        <f aca="false">EDATE('Start Here'!$B$6,A20-1)</f>
        <v>46753</v>
      </c>
      <c r="C20" s="11" t="n">
        <f aca="false">IF(A20&gt;=Assumptions!$D$13,Assumptions!$D$14*(1+Assumptions!$D$15)^INT((A20-Assumptions!$D$13)/12),0)</f>
        <v>1</v>
      </c>
      <c r="D20" s="11" t="n">
        <f aca="false">D19*(1-Assumptions!$D$16)+C20</f>
        <v>2.9701</v>
      </c>
      <c r="E20" s="11" t="n">
        <f aca="false">D20*Assumptions!$D$18</f>
        <v>44.5515</v>
      </c>
      <c r="F20" s="11" t="n">
        <f aca="false">E20*Assumptions!$D$19*30/1000000</f>
        <v>0.20048175</v>
      </c>
      <c r="G20" s="11" t="n">
        <f aca="false">D20*Assumptions!$D$20</f>
        <v>14.8505</v>
      </c>
      <c r="H20" s="11" t="n">
        <f aca="false">D20*Assumptions!$D$21</f>
        <v>2.9701</v>
      </c>
      <c r="I20" s="11" t="n">
        <f aca="false">SUMIFS('Staff Months'!$E$6:$E$2345,'Staff Months'!$A$6:$A$2345,$AS$1,'Staff Months'!$C$6:$C$2345,A20)</f>
        <v>6.25</v>
      </c>
      <c r="J20" s="11" t="n">
        <f aca="false">SUMIFS('Staff Months'!$L$6:$L$2345,'Staff Months'!$A$6:$A$2345,$AS$1,'Staff Months'!$C$6:$C$2345,A20)</f>
        <v>9</v>
      </c>
      <c r="K20" s="10" t="n">
        <f aca="false">SUMIFS('Staff Months'!$H$6:$H$2345,'Staff Months'!$A$6:$A$2345,$AS$1,'Staff Months'!$C$6:$C$2345,A20)</f>
        <v>85453.3333333333</v>
      </c>
      <c r="L20" s="10" t="n">
        <f aca="false">SUMIFS('Staff Months'!$J$6:$J$2345,'Staff Months'!$A$6:$A$2345,$AS$1,'Staff Months'!$C$6:$C$2345,A20)</f>
        <v>0</v>
      </c>
      <c r="M20" s="10" t="n">
        <f aca="false">SUMIFS('Staff Months'!$K$6:$K$2345,'Staff Months'!$A$6:$A$2345,$AS$1,'Staff Months'!$C$6:$C$2345,A20)</f>
        <v>0</v>
      </c>
      <c r="N20" s="10" t="n">
        <f aca="false">SUMIFS('Vendor Months'!$G$6:$G$3965,'Vendor Months'!$A$6:$A$3965,$AS$1,'Vendor Months'!$C$6:$C$3965,A20,'Vendor Months'!$J$6:$J$3965,"INFRA")</f>
        <v>1311.285303325</v>
      </c>
      <c r="O20" s="10" t="n">
        <f aca="false">SUMIFS('Vendor Months'!$G$6:$G$3965,'Vendor Months'!$A$6:$A$3965,$AS$1,'Vendor Months'!$C$6:$C$3965,A20,'Vendor Months'!$J$6:$J$3965,"TOOLS")</f>
        <v>353.29</v>
      </c>
      <c r="P20" s="10" t="n">
        <f aca="false">SUMIFS('Vendor Months'!$G$6:$G$3965,'Vendor Months'!$A$6:$A$3965,$AS$1,'Vendor Months'!$C$6:$C$3965,A20,'Vendor Months'!$J$6:$J$3965,"LEGAL")</f>
        <v>0</v>
      </c>
      <c r="Q20" s="10" t="n">
        <f aca="false">SUMIFS('Vendor Months'!$G$6:$G$3965,'Vendor Months'!$A$6:$A$3965,$AS$1,'Vendor Months'!$C$6:$C$3965,A20,'Vendor Months'!$J$6:$J$3965,"SECURITY")</f>
        <v>0</v>
      </c>
      <c r="R20" s="10" t="n">
        <f aca="false">SUMIFS('Vendor Months'!$G$6:$G$3965,'Vendor Months'!$A$6:$A$3965,$AS$1,'Vendor Months'!$C$6:$C$3965,A20,'Vendor Months'!$J$6:$J$3965,"COMPLIANCE")</f>
        <v>0</v>
      </c>
      <c r="S20" s="10" t="n">
        <f aca="false">SUMIFS('Vendor Months'!$G$6:$G$3965,'Vendor Months'!$A$6:$A$3965,$AS$1,'Vendor Months'!$C$6:$C$3965,A20,'Vendor Months'!$J$6:$J$3965,"INSURANCE")</f>
        <v>0</v>
      </c>
      <c r="T20" s="10" t="n">
        <f aca="false">SUMIFS('Vendor Months'!$G$6:$G$3965,'Vendor Months'!$A$6:$A$3965,$AS$1,'Vendor Months'!$C$6:$C$3965,A20,'Vendor Months'!$J$6:$J$3965,"ACCOUNTING")</f>
        <v>618</v>
      </c>
      <c r="U20" s="10" t="n">
        <f aca="false">SUMIFS('Vendor Months'!$G$6:$G$3965,'Vendor Months'!$A$6:$A$3965,$AS$1,'Vendor Months'!$C$6:$C$3965,A20,'Vendor Months'!$J$6:$J$3965,"SUPPORT")</f>
        <v>103</v>
      </c>
      <c r="V20" s="10" t="n">
        <f aca="false">SUMIFS('Vendor Months'!$G$6:$G$3965,'Vendor Months'!$A$6:$A$3965,$AS$1,'Vendor Months'!$C$6:$C$3965,A20,'Vendor Months'!$J$6:$J$3965,"MARKETING")</f>
        <v>229.440225</v>
      </c>
      <c r="W20" s="10" t="n">
        <f aca="false">SUMIFS('Vendor Months'!$G$6:$G$3965,'Vendor Months'!$A$6:$A$3965,$AS$1,'Vendor Months'!$C$6:$C$3965,A20,'Vendor Months'!$J$6:$J$3965,"ONBOARD")</f>
        <v>309</v>
      </c>
      <c r="X20" s="10" t="n">
        <f aca="false">SUMIFS('Vendor Months'!$G$6:$G$3965,'Vendor Months'!$A$6:$A$3965,$AS$1,'Vendor Months'!$C$6:$C$3965,A20,'Vendor Months'!$J$6:$J$3965,"AI")</f>
        <v>0</v>
      </c>
      <c r="Y20" s="10" t="n">
        <f aca="false">SUMIFS('Vendor Months'!$G$6:$G$3965,'Vendor Months'!$A$6:$A$3965,$AS$1,'Vendor Months'!$C$6:$C$3965,A20,'Vendor Months'!$J$6:$J$3965,"CTMS")</f>
        <v>0</v>
      </c>
      <c r="Z20" s="10" t="n">
        <f aca="false">SUM(N20:Y20)</f>
        <v>2924.015528325</v>
      </c>
      <c r="AA20" s="10" t="n">
        <f aca="false">(SUM(K20:M20)+Z20)*Assumptions!$D$12</f>
        <v>13256.6023292488</v>
      </c>
      <c r="AB20" s="10" t="n">
        <f aca="false">AD20*Assumptions!$D$29</f>
        <v>80.1927</v>
      </c>
      <c r="AC20" s="10" t="n">
        <f aca="false">SUM(K20:M20)+Z20+AA20+AB20</f>
        <v>101714.143890907</v>
      </c>
      <c r="AD20" s="10" t="n">
        <f aca="false">D20*Assumptions!$D$17</f>
        <v>2673.09</v>
      </c>
      <c r="AE20" s="10" t="n">
        <f aca="false">AD20*12</f>
        <v>32077.08</v>
      </c>
      <c r="AF20" s="10" t="n">
        <f aca="false">AC20-AD20</f>
        <v>99041.0538909071</v>
      </c>
      <c r="AG20" s="10" t="n">
        <f aca="false">IF(A20=Assumptions!$D$7,Assumptions!$D$8,0)</f>
        <v>0</v>
      </c>
      <c r="AH20" s="10" t="n">
        <f aca="false">AI19</f>
        <v>2757965.07584071</v>
      </c>
      <c r="AI20" s="10" t="n">
        <f aca="false">AH20+AG20-AF20</f>
        <v>2658924.0219498</v>
      </c>
      <c r="AJ20" s="10" t="n">
        <f aca="false">SUM($AC$6:AC20)</f>
        <v>1346440.0680502</v>
      </c>
      <c r="AK20" s="10" t="n">
        <f aca="false">MAX(0,-AI20)</f>
        <v>0</v>
      </c>
      <c r="AL20" s="10" t="n">
        <f aca="false">Assumptions!$D$6+SUM($AG$6:AG20)-AJ20</f>
        <v>2653559.9319498</v>
      </c>
      <c r="AM20" s="10" t="n">
        <f aca="false">SUMIFS('Vendor Months'!$H$6:$H$3965,'Vendor Months'!$A$6:$A$3965,$AS$1,'Vendor Months'!$C$6:$C$3965,A20)</f>
        <v>1905.5</v>
      </c>
      <c r="AN20" s="10" t="n">
        <f aca="false">X20+Y20</f>
        <v>0</v>
      </c>
      <c r="AO20" s="10" t="n">
        <f aca="false">SUMIFS('Staff Months'!$I$6:$I$2345,'Staff Months'!$A$6:$A$2345,$AS$1,'Staff Months'!$C$6:$C$2345,A20)</f>
        <v>15600</v>
      </c>
      <c r="AP20" s="10" t="n">
        <f aca="false">SUM($AF$6:AF20)</f>
        <v>1341075.9780502</v>
      </c>
      <c r="AQ20" s="10" t="n">
        <f aca="false">AC20</f>
        <v>101714.143890907</v>
      </c>
      <c r="AR20" s="26" t="n">
        <f aca="false">IF(AI20&lt;0,1,0)</f>
        <v>0</v>
      </c>
      <c r="AS20" s="6"/>
    </row>
    <row r="21" customFormat="false" ht="15" hidden="false" customHeight="false" outlineLevel="0" collapsed="false">
      <c r="A21" s="6" t="n">
        <v>16</v>
      </c>
      <c r="B21" s="25" t="n">
        <f aca="false">EDATE('Start Here'!$B$6,A21-1)</f>
        <v>46784</v>
      </c>
      <c r="C21" s="11" t="n">
        <f aca="false">IF(A21&gt;=Assumptions!$D$13,Assumptions!$D$14*(1+Assumptions!$D$15)^INT((A21-Assumptions!$D$13)/12),0)</f>
        <v>1</v>
      </c>
      <c r="D21" s="11" t="n">
        <f aca="false">D20*(1-Assumptions!$D$16)+C21</f>
        <v>3.940399</v>
      </c>
      <c r="E21" s="11" t="n">
        <f aca="false">D21*Assumptions!$D$18</f>
        <v>59.105985</v>
      </c>
      <c r="F21" s="11" t="n">
        <f aca="false">E21*Assumptions!$D$19*30/1000000</f>
        <v>0.2659769325</v>
      </c>
      <c r="G21" s="11" t="n">
        <f aca="false">D21*Assumptions!$D$20</f>
        <v>19.701995</v>
      </c>
      <c r="H21" s="11" t="n">
        <f aca="false">D21*Assumptions!$D$21</f>
        <v>3.940399</v>
      </c>
      <c r="I21" s="11" t="n">
        <f aca="false">SUMIFS('Staff Months'!$E$6:$E$2345,'Staff Months'!$A$6:$A$2345,$AS$1,'Staff Months'!$C$6:$C$2345,A21)</f>
        <v>8.25</v>
      </c>
      <c r="J21" s="11" t="n">
        <f aca="false">SUMIFS('Staff Months'!$L$6:$L$2345,'Staff Months'!$A$6:$A$2345,$AS$1,'Staff Months'!$C$6:$C$2345,A21)</f>
        <v>10</v>
      </c>
      <c r="K21" s="10" t="n">
        <f aca="false">SUMIFS('Staff Months'!$H$6:$H$2345,'Staff Months'!$A$6:$A$2345,$AS$1,'Staff Months'!$C$6:$C$2345,A21)</f>
        <v>115960</v>
      </c>
      <c r="L21" s="10" t="n">
        <f aca="false">SUMIFS('Staff Months'!$J$6:$J$2345,'Staff Months'!$A$6:$A$2345,$AS$1,'Staff Months'!$C$6:$C$2345,A21)</f>
        <v>14000</v>
      </c>
      <c r="M21" s="10" t="n">
        <f aca="false">SUMIFS('Staff Months'!$K$6:$K$2345,'Staff Months'!$A$6:$A$2345,$AS$1,'Staff Months'!$C$6:$C$2345,A21)</f>
        <v>6000</v>
      </c>
      <c r="N21" s="10" t="n">
        <f aca="false">SUMIFS('Vendor Months'!$G$6:$G$3965,'Vendor Months'!$A$6:$A$3965,$AS$1,'Vendor Months'!$C$6:$C$3965,A21,'Vendor Months'!$J$6:$J$3965,"INFRA")</f>
        <v>1319.05570029175</v>
      </c>
      <c r="O21" s="10" t="n">
        <f aca="false">SUMIFS('Vendor Months'!$G$6:$G$3965,'Vendor Months'!$A$6:$A$3965,$AS$1,'Vendor Months'!$C$6:$C$3965,A21,'Vendor Months'!$J$6:$J$3965,"TOOLS")</f>
        <v>454.23</v>
      </c>
      <c r="P21" s="10" t="n">
        <f aca="false">SUMIFS('Vendor Months'!$G$6:$G$3965,'Vendor Months'!$A$6:$A$3965,$AS$1,'Vendor Months'!$C$6:$C$3965,A21,'Vendor Months'!$J$6:$J$3965,"LEGAL")</f>
        <v>0</v>
      </c>
      <c r="Q21" s="10" t="n">
        <f aca="false">SUMIFS('Vendor Months'!$G$6:$G$3965,'Vendor Months'!$A$6:$A$3965,$AS$1,'Vendor Months'!$C$6:$C$3965,A21,'Vendor Months'!$J$6:$J$3965,"SECURITY")</f>
        <v>0</v>
      </c>
      <c r="R21" s="10" t="n">
        <f aca="false">SUMIFS('Vendor Months'!$G$6:$G$3965,'Vendor Months'!$A$6:$A$3965,$AS$1,'Vendor Months'!$C$6:$C$3965,A21,'Vendor Months'!$J$6:$J$3965,"COMPLIANCE")</f>
        <v>0</v>
      </c>
      <c r="S21" s="10" t="n">
        <f aca="false">SUMIFS('Vendor Months'!$G$6:$G$3965,'Vendor Months'!$A$6:$A$3965,$AS$1,'Vendor Months'!$C$6:$C$3965,A21,'Vendor Months'!$J$6:$J$3965,"INSURANCE")</f>
        <v>0</v>
      </c>
      <c r="T21" s="10" t="n">
        <f aca="false">SUMIFS('Vendor Months'!$G$6:$G$3965,'Vendor Months'!$A$6:$A$3965,$AS$1,'Vendor Months'!$C$6:$C$3965,A21,'Vendor Months'!$J$6:$J$3965,"ACCOUNTING")</f>
        <v>618</v>
      </c>
      <c r="U21" s="10" t="n">
        <f aca="false">SUMIFS('Vendor Months'!$G$6:$G$3965,'Vendor Months'!$A$6:$A$3965,$AS$1,'Vendor Months'!$C$6:$C$3965,A21,'Vendor Months'!$J$6:$J$3965,"SUPPORT")</f>
        <v>103</v>
      </c>
      <c r="V21" s="10" t="n">
        <f aca="false">SUMIFS('Vendor Months'!$G$6:$G$3965,'Vendor Months'!$A$6:$A$3965,$AS$1,'Vendor Months'!$C$6:$C$3965,A21,'Vendor Months'!$J$6:$J$3965,"MARKETING")</f>
        <v>304.39582275</v>
      </c>
      <c r="W21" s="10" t="n">
        <f aca="false">SUMIFS('Vendor Months'!$G$6:$G$3965,'Vendor Months'!$A$6:$A$3965,$AS$1,'Vendor Months'!$C$6:$C$3965,A21,'Vendor Months'!$J$6:$J$3965,"ONBOARD")</f>
        <v>309</v>
      </c>
      <c r="X21" s="10" t="n">
        <f aca="false">SUMIFS('Vendor Months'!$G$6:$G$3965,'Vendor Months'!$A$6:$A$3965,$AS$1,'Vendor Months'!$C$6:$C$3965,A21,'Vendor Months'!$J$6:$J$3965,"AI")</f>
        <v>0</v>
      </c>
      <c r="Y21" s="10" t="n">
        <f aca="false">SUMIFS('Vendor Months'!$G$6:$G$3965,'Vendor Months'!$A$6:$A$3965,$AS$1,'Vendor Months'!$C$6:$C$3965,A21,'Vendor Months'!$J$6:$J$3965,"CTMS")</f>
        <v>0</v>
      </c>
      <c r="Z21" s="10" t="n">
        <f aca="false">SUM(N21:Y21)</f>
        <v>3107.68152304175</v>
      </c>
      <c r="AA21" s="10" t="n">
        <f aca="false">(SUM(K21:M21)+Z21)*Assumptions!$D$12</f>
        <v>20860.1522284563</v>
      </c>
      <c r="AB21" s="10" t="n">
        <f aca="false">AD21*Assumptions!$D$29</f>
        <v>106.390773</v>
      </c>
      <c r="AC21" s="10" t="n">
        <f aca="false">SUM(K21:M21)+Z21+AA21+AB21</f>
        <v>160034.224524498</v>
      </c>
      <c r="AD21" s="10" t="n">
        <f aca="false">D21*Assumptions!$D$17</f>
        <v>3546.3591</v>
      </c>
      <c r="AE21" s="10" t="n">
        <f aca="false">AD21*12</f>
        <v>42556.3092</v>
      </c>
      <c r="AF21" s="10" t="n">
        <f aca="false">AC21-AD21</f>
        <v>156487.865424498</v>
      </c>
      <c r="AG21" s="10" t="n">
        <f aca="false">IF(A21=Assumptions!$D$7,Assumptions!$D$8,0)</f>
        <v>0</v>
      </c>
      <c r="AH21" s="10" t="n">
        <f aca="false">AI20</f>
        <v>2658924.0219498</v>
      </c>
      <c r="AI21" s="10" t="n">
        <f aca="false">AH21+AG21-AF21</f>
        <v>2502436.1565253</v>
      </c>
      <c r="AJ21" s="10" t="n">
        <f aca="false">SUM($AC$6:AC21)</f>
        <v>1506474.2925747</v>
      </c>
      <c r="AK21" s="10" t="n">
        <f aca="false">MAX(0,-AI21)</f>
        <v>0</v>
      </c>
      <c r="AL21" s="10" t="n">
        <f aca="false">Assumptions!$D$6+SUM($AG$6:AG21)-AJ21</f>
        <v>2493525.7074253</v>
      </c>
      <c r="AM21" s="10" t="n">
        <f aca="false">SUMIFS('Vendor Months'!$H$6:$H$3965,'Vendor Months'!$A$6:$A$3965,$AS$1,'Vendor Months'!$C$6:$C$3965,A21)</f>
        <v>1905.5</v>
      </c>
      <c r="AN21" s="10" t="n">
        <f aca="false">X21+Y21</f>
        <v>0</v>
      </c>
      <c r="AO21" s="10" t="n">
        <f aca="false">SUMIFS('Staff Months'!$I$6:$I$2345,'Staff Months'!$A$6:$A$2345,$AS$1,'Staff Months'!$C$6:$C$2345,A21)</f>
        <v>15600</v>
      </c>
      <c r="AP21" s="10" t="n">
        <f aca="false">SUM($AF$6:AF21)</f>
        <v>1497563.8434747</v>
      </c>
      <c r="AQ21" s="10" t="n">
        <f aca="false">AC21</f>
        <v>160034.224524498</v>
      </c>
      <c r="AR21" s="26" t="n">
        <f aca="false">IF(AI21&lt;0,1,0)</f>
        <v>0</v>
      </c>
      <c r="AS21" s="6"/>
    </row>
    <row r="22" customFormat="false" ht="15" hidden="false" customHeight="false" outlineLevel="0" collapsed="false">
      <c r="A22" s="6" t="n">
        <v>17</v>
      </c>
      <c r="B22" s="25" t="n">
        <f aca="false">EDATE('Start Here'!$B$6,A22-1)</f>
        <v>46813</v>
      </c>
      <c r="C22" s="11" t="n">
        <f aca="false">IF(A22&gt;=Assumptions!$D$13,Assumptions!$D$14*(1+Assumptions!$D$15)^INT((A22-Assumptions!$D$13)/12),0)</f>
        <v>1</v>
      </c>
      <c r="D22" s="11" t="n">
        <f aca="false">D21*(1-Assumptions!$D$16)+C22</f>
        <v>4.90099501</v>
      </c>
      <c r="E22" s="11" t="n">
        <f aca="false">D22*Assumptions!$D$18</f>
        <v>73.51492515</v>
      </c>
      <c r="F22" s="11" t="n">
        <f aca="false">E22*Assumptions!$D$19*30/1000000</f>
        <v>0.330817163175</v>
      </c>
      <c r="G22" s="11" t="n">
        <f aca="false">D22*Assumptions!$D$20</f>
        <v>24.50497505</v>
      </c>
      <c r="H22" s="11" t="n">
        <f aca="false">D22*Assumptions!$D$21</f>
        <v>4.90099501</v>
      </c>
      <c r="I22" s="11" t="n">
        <f aca="false">SUMIFS('Staff Months'!$E$6:$E$2345,'Staff Months'!$A$6:$A$2345,$AS$1,'Staff Months'!$C$6:$C$2345,A22)</f>
        <v>8.25</v>
      </c>
      <c r="J22" s="11" t="n">
        <f aca="false">SUMIFS('Staff Months'!$L$6:$L$2345,'Staff Months'!$A$6:$A$2345,$AS$1,'Staff Months'!$C$6:$C$2345,A22)</f>
        <v>10</v>
      </c>
      <c r="K22" s="10" t="n">
        <f aca="false">SUMIFS('Staff Months'!$H$6:$H$2345,'Staff Months'!$A$6:$A$2345,$AS$1,'Staff Months'!$C$6:$C$2345,A22)</f>
        <v>115960</v>
      </c>
      <c r="L22" s="10" t="n">
        <f aca="false">SUMIFS('Staff Months'!$J$6:$J$2345,'Staff Months'!$A$6:$A$2345,$AS$1,'Staff Months'!$C$6:$C$2345,A22)</f>
        <v>0</v>
      </c>
      <c r="M22" s="10" t="n">
        <f aca="false">SUMIFS('Staff Months'!$K$6:$K$2345,'Staff Months'!$A$6:$A$2345,$AS$1,'Staff Months'!$C$6:$C$2345,A22)</f>
        <v>0</v>
      </c>
      <c r="N22" s="10" t="n">
        <f aca="false">SUMIFS('Vendor Months'!$G$6:$G$3965,'Vendor Months'!$A$6:$A$3965,$AS$1,'Vendor Months'!$C$6:$C$3965,A22,'Vendor Months'!$J$6:$J$3965,"INFRA")</f>
        <v>1326.74839328883</v>
      </c>
      <c r="O22" s="10" t="n">
        <f aca="false">SUMIFS('Vendor Months'!$G$6:$G$3965,'Vendor Months'!$A$6:$A$3965,$AS$1,'Vendor Months'!$C$6:$C$3965,A22,'Vendor Months'!$J$6:$J$3965,"TOOLS")</f>
        <v>454.23</v>
      </c>
      <c r="P22" s="10" t="n">
        <f aca="false">SUMIFS('Vendor Months'!$G$6:$G$3965,'Vendor Months'!$A$6:$A$3965,$AS$1,'Vendor Months'!$C$6:$C$3965,A22,'Vendor Months'!$J$6:$J$3965,"LEGAL")</f>
        <v>0</v>
      </c>
      <c r="Q22" s="10" t="n">
        <f aca="false">SUMIFS('Vendor Months'!$G$6:$G$3965,'Vendor Months'!$A$6:$A$3965,$AS$1,'Vendor Months'!$C$6:$C$3965,A22,'Vendor Months'!$J$6:$J$3965,"SECURITY")</f>
        <v>0</v>
      </c>
      <c r="R22" s="10" t="n">
        <f aca="false">SUMIFS('Vendor Months'!$G$6:$G$3965,'Vendor Months'!$A$6:$A$3965,$AS$1,'Vendor Months'!$C$6:$C$3965,A22,'Vendor Months'!$J$6:$J$3965,"COMPLIANCE")</f>
        <v>0</v>
      </c>
      <c r="S22" s="10" t="n">
        <f aca="false">SUMIFS('Vendor Months'!$G$6:$G$3965,'Vendor Months'!$A$6:$A$3965,$AS$1,'Vendor Months'!$C$6:$C$3965,A22,'Vendor Months'!$J$6:$J$3965,"INSURANCE")</f>
        <v>0</v>
      </c>
      <c r="T22" s="10" t="n">
        <f aca="false">SUMIFS('Vendor Months'!$G$6:$G$3965,'Vendor Months'!$A$6:$A$3965,$AS$1,'Vendor Months'!$C$6:$C$3965,A22,'Vendor Months'!$J$6:$J$3965,"ACCOUNTING")</f>
        <v>618</v>
      </c>
      <c r="U22" s="10" t="n">
        <f aca="false">SUMIFS('Vendor Months'!$G$6:$G$3965,'Vendor Months'!$A$6:$A$3965,$AS$1,'Vendor Months'!$C$6:$C$3965,A22,'Vendor Months'!$J$6:$J$3965,"SUPPORT")</f>
        <v>103</v>
      </c>
      <c r="V22" s="10" t="n">
        <f aca="false">SUMIFS('Vendor Months'!$G$6:$G$3965,'Vendor Months'!$A$6:$A$3965,$AS$1,'Vendor Months'!$C$6:$C$3965,A22,'Vendor Months'!$J$6:$J$3965,"MARKETING")</f>
        <v>378.6018645225</v>
      </c>
      <c r="W22" s="10" t="n">
        <f aca="false">SUMIFS('Vendor Months'!$G$6:$G$3965,'Vendor Months'!$A$6:$A$3965,$AS$1,'Vendor Months'!$C$6:$C$3965,A22,'Vendor Months'!$J$6:$J$3965,"ONBOARD")</f>
        <v>309</v>
      </c>
      <c r="X22" s="10" t="n">
        <f aca="false">SUMIFS('Vendor Months'!$G$6:$G$3965,'Vendor Months'!$A$6:$A$3965,$AS$1,'Vendor Months'!$C$6:$C$3965,A22,'Vendor Months'!$J$6:$J$3965,"AI")</f>
        <v>0</v>
      </c>
      <c r="Y22" s="10" t="n">
        <f aca="false">SUMIFS('Vendor Months'!$G$6:$G$3965,'Vendor Months'!$A$6:$A$3965,$AS$1,'Vendor Months'!$C$6:$C$3965,A22,'Vendor Months'!$J$6:$J$3965,"CTMS")</f>
        <v>0</v>
      </c>
      <c r="Z22" s="10" t="n">
        <f aca="false">SUM(N22:Y22)</f>
        <v>3189.58025781133</v>
      </c>
      <c r="AA22" s="10" t="n">
        <f aca="false">(SUM(K22:M22)+Z22)*Assumptions!$D$12</f>
        <v>17872.4370386717</v>
      </c>
      <c r="AB22" s="10" t="n">
        <f aca="false">AD22*Assumptions!$D$29</f>
        <v>132.32686527</v>
      </c>
      <c r="AC22" s="10" t="n">
        <f aca="false">SUM(K22:M22)+Z22+AA22+AB22</f>
        <v>137154.344161753</v>
      </c>
      <c r="AD22" s="10" t="n">
        <f aca="false">D22*Assumptions!$D$17</f>
        <v>4410.895509</v>
      </c>
      <c r="AE22" s="10" t="n">
        <f aca="false">AD22*12</f>
        <v>52930.746108</v>
      </c>
      <c r="AF22" s="10" t="n">
        <f aca="false">AC22-AD22</f>
        <v>132743.448652753</v>
      </c>
      <c r="AG22" s="10" t="n">
        <f aca="false">IF(A22=Assumptions!$D$7,Assumptions!$D$8,0)</f>
        <v>0</v>
      </c>
      <c r="AH22" s="10" t="n">
        <f aca="false">AI21</f>
        <v>2502436.1565253</v>
      </c>
      <c r="AI22" s="10" t="n">
        <f aca="false">AH22+AG22-AF22</f>
        <v>2369692.70787255</v>
      </c>
      <c r="AJ22" s="10" t="n">
        <f aca="false">SUM($AC$6:AC22)</f>
        <v>1643628.63673645</v>
      </c>
      <c r="AK22" s="10" t="n">
        <f aca="false">MAX(0,-AI22)</f>
        <v>0</v>
      </c>
      <c r="AL22" s="10" t="n">
        <f aca="false">Assumptions!$D$6+SUM($AG$6:AG22)-AJ22</f>
        <v>2356371.36326355</v>
      </c>
      <c r="AM22" s="10" t="n">
        <f aca="false">SUMIFS('Vendor Months'!$H$6:$H$3965,'Vendor Months'!$A$6:$A$3965,$AS$1,'Vendor Months'!$C$6:$C$3965,A22)</f>
        <v>1905.5</v>
      </c>
      <c r="AN22" s="10" t="n">
        <f aca="false">X22+Y22</f>
        <v>0</v>
      </c>
      <c r="AO22" s="10" t="n">
        <f aca="false">SUMIFS('Staff Months'!$I$6:$I$2345,'Staff Months'!$A$6:$A$2345,$AS$1,'Staff Months'!$C$6:$C$2345,A22)</f>
        <v>15600</v>
      </c>
      <c r="AP22" s="10" t="n">
        <f aca="false">SUM($AF$6:AF22)</f>
        <v>1630307.29212745</v>
      </c>
      <c r="AQ22" s="10" t="n">
        <f aca="false">AC22</f>
        <v>137154.344161753</v>
      </c>
      <c r="AR22" s="26" t="n">
        <f aca="false">IF(AI22&lt;0,1,0)</f>
        <v>0</v>
      </c>
      <c r="AS22" s="6"/>
    </row>
    <row r="23" customFormat="false" ht="15" hidden="false" customHeight="false" outlineLevel="0" collapsed="false">
      <c r="A23" s="6" t="n">
        <v>18</v>
      </c>
      <c r="B23" s="25" t="n">
        <f aca="false">EDATE('Start Here'!$B$6,A23-1)</f>
        <v>46844</v>
      </c>
      <c r="C23" s="11" t="n">
        <f aca="false">IF(A23&gt;=Assumptions!$D$13,Assumptions!$D$14*(1+Assumptions!$D$15)^INT((A23-Assumptions!$D$13)/12),0)</f>
        <v>1</v>
      </c>
      <c r="D23" s="11" t="n">
        <f aca="false">D22*(1-Assumptions!$D$16)+C23</f>
        <v>5.8519850599</v>
      </c>
      <c r="E23" s="11" t="n">
        <f aca="false">D23*Assumptions!$D$18</f>
        <v>87.7797758985</v>
      </c>
      <c r="F23" s="11" t="n">
        <f aca="false">E23*Assumptions!$D$19*30/1000000</f>
        <v>0.39500899154325</v>
      </c>
      <c r="G23" s="11" t="n">
        <f aca="false">D23*Assumptions!$D$20</f>
        <v>29.2599252995</v>
      </c>
      <c r="H23" s="11" t="n">
        <f aca="false">D23*Assumptions!$D$21</f>
        <v>5.8519850599</v>
      </c>
      <c r="I23" s="11" t="n">
        <f aca="false">SUMIFS('Staff Months'!$E$6:$E$2345,'Staff Months'!$A$6:$A$2345,$AS$1,'Staff Months'!$C$6:$C$2345,A23)</f>
        <v>8.25</v>
      </c>
      <c r="J23" s="11" t="n">
        <f aca="false">SUMIFS('Staff Months'!$L$6:$L$2345,'Staff Months'!$A$6:$A$2345,$AS$1,'Staff Months'!$C$6:$C$2345,A23)</f>
        <v>10</v>
      </c>
      <c r="K23" s="10" t="n">
        <f aca="false">SUMIFS('Staff Months'!$H$6:$H$2345,'Staff Months'!$A$6:$A$2345,$AS$1,'Staff Months'!$C$6:$C$2345,A23)</f>
        <v>115960</v>
      </c>
      <c r="L23" s="10" t="n">
        <f aca="false">SUMIFS('Staff Months'!$J$6:$J$2345,'Staff Months'!$A$6:$A$2345,$AS$1,'Staff Months'!$C$6:$C$2345,A23)</f>
        <v>0</v>
      </c>
      <c r="M23" s="10" t="n">
        <f aca="false">SUMIFS('Staff Months'!$K$6:$K$2345,'Staff Months'!$A$6:$A$2345,$AS$1,'Staff Months'!$C$6:$C$2345,A23)</f>
        <v>0</v>
      </c>
      <c r="N23" s="10" t="n">
        <f aca="false">SUMIFS('Vendor Months'!$G$6:$G$3965,'Vendor Months'!$A$6:$A$3965,$AS$1,'Vendor Months'!$C$6:$C$3965,A23,'Vendor Months'!$J$6:$J$3965,"INFRA")</f>
        <v>1334.36415935594</v>
      </c>
      <c r="O23" s="10" t="n">
        <f aca="false">SUMIFS('Vendor Months'!$G$6:$G$3965,'Vendor Months'!$A$6:$A$3965,$AS$1,'Vendor Months'!$C$6:$C$3965,A23,'Vendor Months'!$J$6:$J$3965,"TOOLS")</f>
        <v>454.23</v>
      </c>
      <c r="P23" s="10" t="n">
        <f aca="false">SUMIFS('Vendor Months'!$G$6:$G$3965,'Vendor Months'!$A$6:$A$3965,$AS$1,'Vendor Months'!$C$6:$C$3965,A23,'Vendor Months'!$J$6:$J$3965,"LEGAL")</f>
        <v>0</v>
      </c>
      <c r="Q23" s="10" t="n">
        <f aca="false">SUMIFS('Vendor Months'!$G$6:$G$3965,'Vendor Months'!$A$6:$A$3965,$AS$1,'Vendor Months'!$C$6:$C$3965,A23,'Vendor Months'!$J$6:$J$3965,"SECURITY")</f>
        <v>0</v>
      </c>
      <c r="R23" s="10" t="n">
        <f aca="false">SUMIFS('Vendor Months'!$G$6:$G$3965,'Vendor Months'!$A$6:$A$3965,$AS$1,'Vendor Months'!$C$6:$C$3965,A23,'Vendor Months'!$J$6:$J$3965,"COMPLIANCE")</f>
        <v>0</v>
      </c>
      <c r="S23" s="10" t="n">
        <f aca="false">SUMIFS('Vendor Months'!$G$6:$G$3965,'Vendor Months'!$A$6:$A$3965,$AS$1,'Vendor Months'!$C$6:$C$3965,A23,'Vendor Months'!$J$6:$J$3965,"INSURANCE")</f>
        <v>0</v>
      </c>
      <c r="T23" s="10" t="n">
        <f aca="false">SUMIFS('Vendor Months'!$G$6:$G$3965,'Vendor Months'!$A$6:$A$3965,$AS$1,'Vendor Months'!$C$6:$C$3965,A23,'Vendor Months'!$J$6:$J$3965,"ACCOUNTING")</f>
        <v>618</v>
      </c>
      <c r="U23" s="10" t="n">
        <f aca="false">SUMIFS('Vendor Months'!$G$6:$G$3965,'Vendor Months'!$A$6:$A$3965,$AS$1,'Vendor Months'!$C$6:$C$3965,A23,'Vendor Months'!$J$6:$J$3965,"SUPPORT")</f>
        <v>103</v>
      </c>
      <c r="V23" s="10" t="n">
        <f aca="false">SUMIFS('Vendor Months'!$G$6:$G$3965,'Vendor Months'!$A$6:$A$3965,$AS$1,'Vendor Months'!$C$6:$C$3965,A23,'Vendor Months'!$J$6:$J$3965,"MARKETING")</f>
        <v>452.065845877275</v>
      </c>
      <c r="W23" s="10" t="n">
        <f aca="false">SUMIFS('Vendor Months'!$G$6:$G$3965,'Vendor Months'!$A$6:$A$3965,$AS$1,'Vendor Months'!$C$6:$C$3965,A23,'Vendor Months'!$J$6:$J$3965,"ONBOARD")</f>
        <v>309</v>
      </c>
      <c r="X23" s="10" t="n">
        <f aca="false">SUMIFS('Vendor Months'!$G$6:$G$3965,'Vendor Months'!$A$6:$A$3965,$AS$1,'Vendor Months'!$C$6:$C$3965,A23,'Vendor Months'!$J$6:$J$3965,"AI")</f>
        <v>0</v>
      </c>
      <c r="Y23" s="10" t="n">
        <f aca="false">SUMIFS('Vendor Months'!$G$6:$G$3965,'Vendor Months'!$A$6:$A$3965,$AS$1,'Vendor Months'!$C$6:$C$3965,A23,'Vendor Months'!$J$6:$J$3965,"CTMS")</f>
        <v>0</v>
      </c>
      <c r="Z23" s="10" t="n">
        <f aca="false">SUM(N23:Y23)</f>
        <v>3270.66000523322</v>
      </c>
      <c r="AA23" s="10" t="n">
        <f aca="false">(SUM(K23:M23)+Z23)*Assumptions!$D$12</f>
        <v>17884.599000785</v>
      </c>
      <c r="AB23" s="10" t="n">
        <f aca="false">AD23*Assumptions!$D$29</f>
        <v>158.0035966173</v>
      </c>
      <c r="AC23" s="10" t="n">
        <f aca="false">SUM(K23:M23)+Z23+AA23+AB23</f>
        <v>137273.262602635</v>
      </c>
      <c r="AD23" s="10" t="n">
        <f aca="false">D23*Assumptions!$D$17</f>
        <v>5266.78655391</v>
      </c>
      <c r="AE23" s="10" t="n">
        <f aca="false">AD23*12</f>
        <v>63201.43864692</v>
      </c>
      <c r="AF23" s="10" t="n">
        <f aca="false">AC23-AD23</f>
        <v>132006.476048725</v>
      </c>
      <c r="AG23" s="10" t="n">
        <f aca="false">IF(A23=Assumptions!$D$7,Assumptions!$D$8,0)</f>
        <v>0</v>
      </c>
      <c r="AH23" s="10" t="n">
        <f aca="false">AI22</f>
        <v>2369692.70787255</v>
      </c>
      <c r="AI23" s="10" t="n">
        <f aca="false">AH23+AG23-AF23</f>
        <v>2237686.23182382</v>
      </c>
      <c r="AJ23" s="10" t="n">
        <f aca="false">SUM($AC$6:AC23)</f>
        <v>1780901.89933909</v>
      </c>
      <c r="AK23" s="10" t="n">
        <f aca="false">MAX(0,-AI23)</f>
        <v>0</v>
      </c>
      <c r="AL23" s="10" t="n">
        <f aca="false">Assumptions!$D$6+SUM($AG$6:AG23)-AJ23</f>
        <v>2219098.10066091</v>
      </c>
      <c r="AM23" s="10" t="n">
        <f aca="false">SUMIFS('Vendor Months'!$H$6:$H$3965,'Vendor Months'!$A$6:$A$3965,$AS$1,'Vendor Months'!$C$6:$C$3965,A23)</f>
        <v>1905.5</v>
      </c>
      <c r="AN23" s="10" t="n">
        <f aca="false">X23+Y23</f>
        <v>0</v>
      </c>
      <c r="AO23" s="10" t="n">
        <f aca="false">SUMIFS('Staff Months'!$I$6:$I$2345,'Staff Months'!$A$6:$A$2345,$AS$1,'Staff Months'!$C$6:$C$2345,A23)</f>
        <v>15600</v>
      </c>
      <c r="AP23" s="10" t="n">
        <f aca="false">SUM($AF$6:AF23)</f>
        <v>1762313.76817618</v>
      </c>
      <c r="AQ23" s="10" t="n">
        <f aca="false">AC23</f>
        <v>137273.262602635</v>
      </c>
      <c r="AR23" s="26" t="n">
        <f aca="false">IF(AI23&lt;0,1,0)</f>
        <v>0</v>
      </c>
      <c r="AS23" s="6"/>
    </row>
    <row r="24" customFormat="false" ht="15" hidden="false" customHeight="false" outlineLevel="0" collapsed="false">
      <c r="A24" s="6" t="n">
        <v>19</v>
      </c>
      <c r="B24" s="25" t="n">
        <f aca="false">EDATE('Start Here'!$B$6,A24-1)</f>
        <v>46874</v>
      </c>
      <c r="C24" s="11" t="n">
        <f aca="false">IF(A24&gt;=Assumptions!$D$13,Assumptions!$D$14*(1+Assumptions!$D$15)^INT((A24-Assumptions!$D$13)/12),0)</f>
        <v>1</v>
      </c>
      <c r="D24" s="11" t="n">
        <f aca="false">D23*(1-Assumptions!$D$16)+C24</f>
        <v>6.793465209301</v>
      </c>
      <c r="E24" s="11" t="n">
        <f aca="false">D24*Assumptions!$D$18</f>
        <v>101.901978139515</v>
      </c>
      <c r="F24" s="11" t="n">
        <f aca="false">E24*Assumptions!$D$19*30/1000000</f>
        <v>0.458558901627818</v>
      </c>
      <c r="G24" s="11" t="n">
        <f aca="false">D24*Assumptions!$D$20</f>
        <v>33.967326046505</v>
      </c>
      <c r="H24" s="11" t="n">
        <f aca="false">D24*Assumptions!$D$21</f>
        <v>6.793465209301</v>
      </c>
      <c r="I24" s="11" t="n">
        <f aca="false">SUMIFS('Staff Months'!$E$6:$E$2345,'Staff Months'!$A$6:$A$2345,$AS$1,'Staff Months'!$C$6:$C$2345,A24)</f>
        <v>8.75</v>
      </c>
      <c r="J24" s="11" t="n">
        <f aca="false">SUMIFS('Staff Months'!$L$6:$L$2345,'Staff Months'!$A$6:$A$2345,$AS$1,'Staff Months'!$C$6:$C$2345,A24)</f>
        <v>11</v>
      </c>
      <c r="K24" s="10" t="n">
        <f aca="false">SUMIFS('Staff Months'!$H$6:$H$2345,'Staff Months'!$A$6:$A$2345,$AS$1,'Staff Months'!$C$6:$C$2345,A24)</f>
        <v>123240</v>
      </c>
      <c r="L24" s="10" t="n">
        <f aca="false">SUMIFS('Staff Months'!$J$6:$J$2345,'Staff Months'!$A$6:$A$2345,$AS$1,'Staff Months'!$C$6:$C$2345,A24)</f>
        <v>4000</v>
      </c>
      <c r="M24" s="10" t="n">
        <f aca="false">SUMIFS('Staff Months'!$K$6:$K$2345,'Staff Months'!$A$6:$A$2345,$AS$1,'Staff Months'!$C$6:$C$2345,A24)</f>
        <v>1500</v>
      </c>
      <c r="N24" s="10" t="n">
        <f aca="false">SUMIFS('Vendor Months'!$G$6:$G$3965,'Vendor Months'!$A$6:$A$3965,$AS$1,'Vendor Months'!$C$6:$C$3965,A24,'Vendor Months'!$J$6:$J$3965,"INFRA")</f>
        <v>1341.90376776238</v>
      </c>
      <c r="O24" s="10" t="n">
        <f aca="false">SUMIFS('Vendor Months'!$G$6:$G$3965,'Vendor Months'!$A$6:$A$3965,$AS$1,'Vendor Months'!$C$6:$C$3965,A24,'Vendor Months'!$J$6:$J$3965,"TOOLS")</f>
        <v>454.23</v>
      </c>
      <c r="P24" s="10" t="n">
        <f aca="false">SUMIFS('Vendor Months'!$G$6:$G$3965,'Vendor Months'!$A$6:$A$3965,$AS$1,'Vendor Months'!$C$6:$C$3965,A24,'Vendor Months'!$J$6:$J$3965,"LEGAL")</f>
        <v>0</v>
      </c>
      <c r="Q24" s="10" t="n">
        <f aca="false">SUMIFS('Vendor Months'!$G$6:$G$3965,'Vendor Months'!$A$6:$A$3965,$AS$1,'Vendor Months'!$C$6:$C$3965,A24,'Vendor Months'!$J$6:$J$3965,"SECURITY")</f>
        <v>0</v>
      </c>
      <c r="R24" s="10" t="n">
        <f aca="false">SUMIFS('Vendor Months'!$G$6:$G$3965,'Vendor Months'!$A$6:$A$3965,$AS$1,'Vendor Months'!$C$6:$C$3965,A24,'Vendor Months'!$J$6:$J$3965,"COMPLIANCE")</f>
        <v>0</v>
      </c>
      <c r="S24" s="10" t="n">
        <f aca="false">SUMIFS('Vendor Months'!$G$6:$G$3965,'Vendor Months'!$A$6:$A$3965,$AS$1,'Vendor Months'!$C$6:$C$3965,A24,'Vendor Months'!$J$6:$J$3965,"INSURANCE")</f>
        <v>0</v>
      </c>
      <c r="T24" s="10" t="n">
        <f aca="false">SUMIFS('Vendor Months'!$G$6:$G$3965,'Vendor Months'!$A$6:$A$3965,$AS$1,'Vendor Months'!$C$6:$C$3965,A24,'Vendor Months'!$J$6:$J$3965,"ACCOUNTING")</f>
        <v>618</v>
      </c>
      <c r="U24" s="10" t="n">
        <f aca="false">SUMIFS('Vendor Months'!$G$6:$G$3965,'Vendor Months'!$A$6:$A$3965,$AS$1,'Vendor Months'!$C$6:$C$3965,A24,'Vendor Months'!$J$6:$J$3965,"SUPPORT")</f>
        <v>103</v>
      </c>
      <c r="V24" s="10" t="n">
        <f aca="false">SUMIFS('Vendor Months'!$G$6:$G$3965,'Vendor Months'!$A$6:$A$3965,$AS$1,'Vendor Months'!$C$6:$C$3965,A24,'Vendor Months'!$J$6:$J$3965,"MARKETING")</f>
        <v>524.795187418502</v>
      </c>
      <c r="W24" s="10" t="n">
        <f aca="false">SUMIFS('Vendor Months'!$G$6:$G$3965,'Vendor Months'!$A$6:$A$3965,$AS$1,'Vendor Months'!$C$6:$C$3965,A24,'Vendor Months'!$J$6:$J$3965,"ONBOARD")</f>
        <v>309</v>
      </c>
      <c r="X24" s="10" t="n">
        <f aca="false">SUMIFS('Vendor Months'!$G$6:$G$3965,'Vendor Months'!$A$6:$A$3965,$AS$1,'Vendor Months'!$C$6:$C$3965,A24,'Vendor Months'!$J$6:$J$3965,"AI")</f>
        <v>0</v>
      </c>
      <c r="Y24" s="10" t="n">
        <f aca="false">SUMIFS('Vendor Months'!$G$6:$G$3965,'Vendor Months'!$A$6:$A$3965,$AS$1,'Vendor Months'!$C$6:$C$3965,A24,'Vendor Months'!$J$6:$J$3965,"CTMS")</f>
        <v>0</v>
      </c>
      <c r="Z24" s="10" t="n">
        <f aca="false">SUM(N24:Y24)</f>
        <v>3350.92895518089</v>
      </c>
      <c r="AA24" s="10" t="n">
        <f aca="false">(SUM(K24:M24)+Z24)*Assumptions!$D$12</f>
        <v>19813.6393432771</v>
      </c>
      <c r="AB24" s="10" t="n">
        <f aca="false">AD24*Assumptions!$D$29</f>
        <v>183.423560651127</v>
      </c>
      <c r="AC24" s="10" t="n">
        <f aca="false">SUM(K24:M24)+Z24+AA24+AB24</f>
        <v>152087.991859109</v>
      </c>
      <c r="AD24" s="10" t="n">
        <f aca="false">D24*Assumptions!$D$17</f>
        <v>6114.1186883709</v>
      </c>
      <c r="AE24" s="10" t="n">
        <f aca="false">AD24*12</f>
        <v>73369.4242604508</v>
      </c>
      <c r="AF24" s="10" t="n">
        <f aca="false">AC24-AD24</f>
        <v>145973.873170738</v>
      </c>
      <c r="AG24" s="10" t="n">
        <f aca="false">IF(A24=Assumptions!$D$7,Assumptions!$D$8,0)</f>
        <v>0</v>
      </c>
      <c r="AH24" s="10" t="n">
        <f aca="false">AI23</f>
        <v>2237686.23182382</v>
      </c>
      <c r="AI24" s="10" t="n">
        <f aca="false">AH24+AG24-AF24</f>
        <v>2091712.35865309</v>
      </c>
      <c r="AJ24" s="10" t="n">
        <f aca="false">SUM($AC$6:AC24)</f>
        <v>1932989.89119819</v>
      </c>
      <c r="AK24" s="10" t="n">
        <f aca="false">MAX(0,-AI24)</f>
        <v>0</v>
      </c>
      <c r="AL24" s="10" t="n">
        <f aca="false">Assumptions!$D$6+SUM($AG$6:AG24)-AJ24</f>
        <v>2067010.10880181</v>
      </c>
      <c r="AM24" s="10" t="n">
        <f aca="false">SUMIFS('Vendor Months'!$H$6:$H$3965,'Vendor Months'!$A$6:$A$3965,$AS$1,'Vendor Months'!$C$6:$C$3965,A24)</f>
        <v>1905.5</v>
      </c>
      <c r="AN24" s="10" t="n">
        <f aca="false">X24+Y24</f>
        <v>0</v>
      </c>
      <c r="AO24" s="10" t="n">
        <f aca="false">SUMIFS('Staff Months'!$I$6:$I$2345,'Staff Months'!$A$6:$A$2345,$AS$1,'Staff Months'!$C$6:$C$2345,A24)</f>
        <v>15600</v>
      </c>
      <c r="AP24" s="10" t="n">
        <f aca="false">SUM($AF$6:AF24)</f>
        <v>1908287.64134691</v>
      </c>
      <c r="AQ24" s="10" t="n">
        <f aca="false">AC24</f>
        <v>152087.991859109</v>
      </c>
      <c r="AR24" s="26" t="n">
        <f aca="false">IF(AI24&lt;0,1,0)</f>
        <v>0</v>
      </c>
      <c r="AS24" s="6"/>
    </row>
    <row r="25" customFormat="false" ht="15" hidden="false" customHeight="false" outlineLevel="0" collapsed="false">
      <c r="A25" s="6" t="n">
        <v>20</v>
      </c>
      <c r="B25" s="25" t="n">
        <f aca="false">EDATE('Start Here'!$B$6,A25-1)</f>
        <v>46905</v>
      </c>
      <c r="C25" s="11" t="n">
        <f aca="false">IF(A25&gt;=Assumptions!$D$13,Assumptions!$D$14*(1+Assumptions!$D$15)^INT((A25-Assumptions!$D$13)/12),0)</f>
        <v>1</v>
      </c>
      <c r="D25" s="11" t="n">
        <f aca="false">D24*(1-Assumptions!$D$16)+C25</f>
        <v>7.72553055720799</v>
      </c>
      <c r="E25" s="11" t="n">
        <f aca="false">D25*Assumptions!$D$18</f>
        <v>115.88295835812</v>
      </c>
      <c r="F25" s="11" t="n">
        <f aca="false">E25*Assumptions!$D$19*30/1000000</f>
        <v>0.521473312611539</v>
      </c>
      <c r="G25" s="11" t="n">
        <f aca="false">D25*Assumptions!$D$20</f>
        <v>38.62765278604</v>
      </c>
      <c r="H25" s="11" t="n">
        <f aca="false">D25*Assumptions!$D$21</f>
        <v>7.72553055720799</v>
      </c>
      <c r="I25" s="11" t="n">
        <f aca="false">SUMIFS('Staff Months'!$E$6:$E$2345,'Staff Months'!$A$6:$A$2345,$AS$1,'Staff Months'!$C$6:$C$2345,A25)</f>
        <v>8.75</v>
      </c>
      <c r="J25" s="11" t="n">
        <f aca="false">SUMIFS('Staff Months'!$L$6:$L$2345,'Staff Months'!$A$6:$A$2345,$AS$1,'Staff Months'!$C$6:$C$2345,A25)</f>
        <v>11</v>
      </c>
      <c r="K25" s="10" t="n">
        <f aca="false">SUMIFS('Staff Months'!$H$6:$H$2345,'Staff Months'!$A$6:$A$2345,$AS$1,'Staff Months'!$C$6:$C$2345,A25)</f>
        <v>123240</v>
      </c>
      <c r="L25" s="10" t="n">
        <f aca="false">SUMIFS('Staff Months'!$J$6:$J$2345,'Staff Months'!$A$6:$A$2345,$AS$1,'Staff Months'!$C$6:$C$2345,A25)</f>
        <v>0</v>
      </c>
      <c r="M25" s="10" t="n">
        <f aca="false">SUMIFS('Staff Months'!$K$6:$K$2345,'Staff Months'!$A$6:$A$2345,$AS$1,'Staff Months'!$C$6:$C$2345,A25)</f>
        <v>0</v>
      </c>
      <c r="N25" s="10" t="n">
        <f aca="false">SUMIFS('Vendor Months'!$G$6:$G$3965,'Vendor Months'!$A$6:$A$3965,$AS$1,'Vendor Months'!$C$6:$C$3965,A25,'Vendor Months'!$J$6:$J$3965,"INFRA")</f>
        <v>1349.36798008476</v>
      </c>
      <c r="O25" s="10" t="n">
        <f aca="false">SUMIFS('Vendor Months'!$G$6:$G$3965,'Vendor Months'!$A$6:$A$3965,$AS$1,'Vendor Months'!$C$6:$C$3965,A25,'Vendor Months'!$J$6:$J$3965,"TOOLS")</f>
        <v>454.23</v>
      </c>
      <c r="P25" s="10" t="n">
        <f aca="false">SUMIFS('Vendor Months'!$G$6:$G$3965,'Vendor Months'!$A$6:$A$3965,$AS$1,'Vendor Months'!$C$6:$C$3965,A25,'Vendor Months'!$J$6:$J$3965,"LEGAL")</f>
        <v>0</v>
      </c>
      <c r="Q25" s="10" t="n">
        <f aca="false">SUMIFS('Vendor Months'!$G$6:$G$3965,'Vendor Months'!$A$6:$A$3965,$AS$1,'Vendor Months'!$C$6:$C$3965,A25,'Vendor Months'!$J$6:$J$3965,"SECURITY")</f>
        <v>0</v>
      </c>
      <c r="R25" s="10" t="n">
        <f aca="false">SUMIFS('Vendor Months'!$G$6:$G$3965,'Vendor Months'!$A$6:$A$3965,$AS$1,'Vendor Months'!$C$6:$C$3965,A25,'Vendor Months'!$J$6:$J$3965,"COMPLIANCE")</f>
        <v>0</v>
      </c>
      <c r="S25" s="10" t="n">
        <f aca="false">SUMIFS('Vendor Months'!$G$6:$G$3965,'Vendor Months'!$A$6:$A$3965,$AS$1,'Vendor Months'!$C$6:$C$3965,A25,'Vendor Months'!$J$6:$J$3965,"INSURANCE")</f>
        <v>0</v>
      </c>
      <c r="T25" s="10" t="n">
        <f aca="false">SUMIFS('Vendor Months'!$G$6:$G$3965,'Vendor Months'!$A$6:$A$3965,$AS$1,'Vendor Months'!$C$6:$C$3965,A25,'Vendor Months'!$J$6:$J$3965,"ACCOUNTING")</f>
        <v>618</v>
      </c>
      <c r="U25" s="10" t="n">
        <f aca="false">SUMIFS('Vendor Months'!$G$6:$G$3965,'Vendor Months'!$A$6:$A$3965,$AS$1,'Vendor Months'!$C$6:$C$3965,A25,'Vendor Months'!$J$6:$J$3965,"SUPPORT")</f>
        <v>103</v>
      </c>
      <c r="V25" s="10" t="n">
        <f aca="false">SUMIFS('Vendor Months'!$G$6:$G$3965,'Vendor Months'!$A$6:$A$3965,$AS$1,'Vendor Months'!$C$6:$C$3965,A25,'Vendor Months'!$J$6:$J$3965,"MARKETING")</f>
        <v>596.797235544317</v>
      </c>
      <c r="W25" s="10" t="n">
        <f aca="false">SUMIFS('Vendor Months'!$G$6:$G$3965,'Vendor Months'!$A$6:$A$3965,$AS$1,'Vendor Months'!$C$6:$C$3965,A25,'Vendor Months'!$J$6:$J$3965,"ONBOARD")</f>
        <v>309</v>
      </c>
      <c r="X25" s="10" t="n">
        <f aca="false">SUMIFS('Vendor Months'!$G$6:$G$3965,'Vendor Months'!$A$6:$A$3965,$AS$1,'Vendor Months'!$C$6:$C$3965,A25,'Vendor Months'!$J$6:$J$3965,"AI")</f>
        <v>0</v>
      </c>
      <c r="Y25" s="10" t="n">
        <f aca="false">SUMIFS('Vendor Months'!$G$6:$G$3965,'Vendor Months'!$A$6:$A$3965,$AS$1,'Vendor Months'!$C$6:$C$3965,A25,'Vendor Months'!$J$6:$J$3965,"CTMS")</f>
        <v>0</v>
      </c>
      <c r="Z25" s="10" t="n">
        <f aca="false">SUM(N25:Y25)</f>
        <v>3430.39521562908</v>
      </c>
      <c r="AA25" s="10" t="n">
        <f aca="false">(SUM(K25:M25)+Z25)*Assumptions!$D$12</f>
        <v>19000.5592823444</v>
      </c>
      <c r="AB25" s="10" t="n">
        <f aca="false">AD25*Assumptions!$D$29</f>
        <v>208.589325044616</v>
      </c>
      <c r="AC25" s="10" t="n">
        <f aca="false">SUM(K25:M25)+Z25+AA25+AB25</f>
        <v>145879.543823018</v>
      </c>
      <c r="AD25" s="10" t="n">
        <f aca="false">D25*Assumptions!$D$17</f>
        <v>6952.97750148719</v>
      </c>
      <c r="AE25" s="10" t="n">
        <f aca="false">AD25*12</f>
        <v>83435.7300178463</v>
      </c>
      <c r="AF25" s="10" t="n">
        <f aca="false">AC25-AD25</f>
        <v>138926.566321531</v>
      </c>
      <c r="AG25" s="10" t="n">
        <f aca="false">IF(A25=Assumptions!$D$7,Assumptions!$D$8,0)</f>
        <v>0</v>
      </c>
      <c r="AH25" s="10" t="n">
        <f aca="false">AI24</f>
        <v>2091712.35865309</v>
      </c>
      <c r="AI25" s="10" t="n">
        <f aca="false">AH25+AG25-AF25</f>
        <v>1952785.79233156</v>
      </c>
      <c r="AJ25" s="10" t="n">
        <f aca="false">SUM($AC$6:AC25)</f>
        <v>2078869.43502121</v>
      </c>
      <c r="AK25" s="10" t="n">
        <f aca="false">MAX(0,-AI25)</f>
        <v>0</v>
      </c>
      <c r="AL25" s="10" t="n">
        <f aca="false">Assumptions!$D$6+SUM($AG$6:AG25)-AJ25</f>
        <v>1921130.56497879</v>
      </c>
      <c r="AM25" s="10" t="n">
        <f aca="false">SUMIFS('Vendor Months'!$H$6:$H$3965,'Vendor Months'!$A$6:$A$3965,$AS$1,'Vendor Months'!$C$6:$C$3965,A25)</f>
        <v>1905.5</v>
      </c>
      <c r="AN25" s="10" t="n">
        <f aca="false">X25+Y25</f>
        <v>0</v>
      </c>
      <c r="AO25" s="10" t="n">
        <f aca="false">SUMIFS('Staff Months'!$I$6:$I$2345,'Staff Months'!$A$6:$A$2345,$AS$1,'Staff Months'!$C$6:$C$2345,A25)</f>
        <v>15600</v>
      </c>
      <c r="AP25" s="10" t="n">
        <f aca="false">SUM($AF$6:AF25)</f>
        <v>2047214.20766844</v>
      </c>
      <c r="AQ25" s="10" t="n">
        <f aca="false">AC25</f>
        <v>145879.543823018</v>
      </c>
      <c r="AR25" s="26" t="n">
        <f aca="false">IF(AI25&lt;0,1,0)</f>
        <v>0</v>
      </c>
      <c r="AS25" s="6"/>
    </row>
    <row r="26" customFormat="false" ht="15" hidden="false" customHeight="false" outlineLevel="0" collapsed="false">
      <c r="A26" s="6" t="n">
        <v>21</v>
      </c>
      <c r="B26" s="25" t="n">
        <f aca="false">EDATE('Start Here'!$B$6,A26-1)</f>
        <v>46935</v>
      </c>
      <c r="C26" s="11" t="n">
        <f aca="false">IF(A26&gt;=Assumptions!$D$13,Assumptions!$D$14*(1+Assumptions!$D$15)^INT((A26-Assumptions!$D$13)/12),0)</f>
        <v>1</v>
      </c>
      <c r="D26" s="11" t="n">
        <f aca="false">D25*(1-Assumptions!$D$16)+C26</f>
        <v>8.64827525163591</v>
      </c>
      <c r="E26" s="11" t="n">
        <f aca="false">D26*Assumptions!$D$18</f>
        <v>129.724128774539</v>
      </c>
      <c r="F26" s="11" t="n">
        <f aca="false">E26*Assumptions!$D$19*30/1000000</f>
        <v>0.583758579485424</v>
      </c>
      <c r="G26" s="11" t="n">
        <f aca="false">D26*Assumptions!$D$20</f>
        <v>43.2413762581796</v>
      </c>
      <c r="H26" s="11" t="n">
        <f aca="false">D26*Assumptions!$D$21</f>
        <v>8.64827525163591</v>
      </c>
      <c r="I26" s="11" t="n">
        <f aca="false">SUMIFS('Staff Months'!$E$6:$E$2345,'Staff Months'!$A$6:$A$2345,$AS$1,'Staff Months'!$C$6:$C$2345,A26)</f>
        <v>8.75</v>
      </c>
      <c r="J26" s="11" t="n">
        <f aca="false">SUMIFS('Staff Months'!$L$6:$L$2345,'Staff Months'!$A$6:$A$2345,$AS$1,'Staff Months'!$C$6:$C$2345,A26)</f>
        <v>11</v>
      </c>
      <c r="K26" s="10" t="n">
        <f aca="false">SUMIFS('Staff Months'!$H$6:$H$2345,'Staff Months'!$A$6:$A$2345,$AS$1,'Staff Months'!$C$6:$C$2345,A26)</f>
        <v>123240</v>
      </c>
      <c r="L26" s="10" t="n">
        <f aca="false">SUMIFS('Staff Months'!$J$6:$J$2345,'Staff Months'!$A$6:$A$2345,$AS$1,'Staff Months'!$C$6:$C$2345,A26)</f>
        <v>0</v>
      </c>
      <c r="M26" s="10" t="n">
        <f aca="false">SUMIFS('Staff Months'!$K$6:$K$2345,'Staff Months'!$A$6:$A$2345,$AS$1,'Staff Months'!$C$6:$C$2345,A26)</f>
        <v>0</v>
      </c>
      <c r="N26" s="10" t="n">
        <f aca="false">SUMIFS('Vendor Months'!$G$6:$G$3965,'Vendor Months'!$A$6:$A$3965,$AS$1,'Vendor Months'!$C$6:$C$3965,A26,'Vendor Months'!$J$6:$J$3965,"INFRA")</f>
        <v>1356.75755028391</v>
      </c>
      <c r="O26" s="10" t="n">
        <f aca="false">SUMIFS('Vendor Months'!$G$6:$G$3965,'Vendor Months'!$A$6:$A$3965,$AS$1,'Vendor Months'!$C$6:$C$3965,A26,'Vendor Months'!$J$6:$J$3965,"TOOLS")</f>
        <v>454.23</v>
      </c>
      <c r="P26" s="10" t="n">
        <f aca="false">SUMIFS('Vendor Months'!$G$6:$G$3965,'Vendor Months'!$A$6:$A$3965,$AS$1,'Vendor Months'!$C$6:$C$3965,A26,'Vendor Months'!$J$6:$J$3965,"LEGAL")</f>
        <v>0</v>
      </c>
      <c r="Q26" s="10" t="n">
        <f aca="false">SUMIFS('Vendor Months'!$G$6:$G$3965,'Vendor Months'!$A$6:$A$3965,$AS$1,'Vendor Months'!$C$6:$C$3965,A26,'Vendor Months'!$J$6:$J$3965,"SECURITY")</f>
        <v>0</v>
      </c>
      <c r="R26" s="10" t="n">
        <f aca="false">SUMIFS('Vendor Months'!$G$6:$G$3965,'Vendor Months'!$A$6:$A$3965,$AS$1,'Vendor Months'!$C$6:$C$3965,A26,'Vendor Months'!$J$6:$J$3965,"COMPLIANCE")</f>
        <v>0</v>
      </c>
      <c r="S26" s="10" t="n">
        <f aca="false">SUMIFS('Vendor Months'!$G$6:$G$3965,'Vendor Months'!$A$6:$A$3965,$AS$1,'Vendor Months'!$C$6:$C$3965,A26,'Vendor Months'!$J$6:$J$3965,"INSURANCE")</f>
        <v>12360</v>
      </c>
      <c r="T26" s="10" t="n">
        <f aca="false">SUMIFS('Vendor Months'!$G$6:$G$3965,'Vendor Months'!$A$6:$A$3965,$AS$1,'Vendor Months'!$C$6:$C$3965,A26,'Vendor Months'!$J$6:$J$3965,"ACCOUNTING")</f>
        <v>618</v>
      </c>
      <c r="U26" s="10" t="n">
        <f aca="false">SUMIFS('Vendor Months'!$G$6:$G$3965,'Vendor Months'!$A$6:$A$3965,$AS$1,'Vendor Months'!$C$6:$C$3965,A26,'Vendor Months'!$J$6:$J$3965,"SUPPORT")</f>
        <v>103</v>
      </c>
      <c r="V26" s="10" t="n">
        <f aca="false">SUMIFS('Vendor Months'!$G$6:$G$3965,'Vendor Months'!$A$6:$A$3965,$AS$1,'Vendor Months'!$C$6:$C$3965,A26,'Vendor Months'!$J$6:$J$3965,"MARKETING")</f>
        <v>668.079263188874</v>
      </c>
      <c r="W26" s="10" t="n">
        <f aca="false">SUMIFS('Vendor Months'!$G$6:$G$3965,'Vendor Months'!$A$6:$A$3965,$AS$1,'Vendor Months'!$C$6:$C$3965,A26,'Vendor Months'!$J$6:$J$3965,"ONBOARD")</f>
        <v>309</v>
      </c>
      <c r="X26" s="10" t="n">
        <f aca="false">SUMIFS('Vendor Months'!$G$6:$G$3965,'Vendor Months'!$A$6:$A$3965,$AS$1,'Vendor Months'!$C$6:$C$3965,A26,'Vendor Months'!$J$6:$J$3965,"AI")</f>
        <v>0</v>
      </c>
      <c r="Y26" s="10" t="n">
        <f aca="false">SUMIFS('Vendor Months'!$G$6:$G$3965,'Vendor Months'!$A$6:$A$3965,$AS$1,'Vendor Months'!$C$6:$C$3965,A26,'Vendor Months'!$J$6:$J$3965,"CTMS")</f>
        <v>0</v>
      </c>
      <c r="Z26" s="10" t="n">
        <f aca="false">SUM(N26:Y26)</f>
        <v>15869.0668134728</v>
      </c>
      <c r="AA26" s="10" t="n">
        <f aca="false">(SUM(K26:M26)+Z26)*Assumptions!$D$12</f>
        <v>20866.3600220209</v>
      </c>
      <c r="AB26" s="10" t="n">
        <f aca="false">AD26*Assumptions!$D$29</f>
        <v>233.50343179417</v>
      </c>
      <c r="AC26" s="10" t="n">
        <f aca="false">SUM(K26:M26)+Z26+AA26+AB26</f>
        <v>160208.930267288</v>
      </c>
      <c r="AD26" s="10" t="n">
        <f aca="false">D26*Assumptions!$D$17</f>
        <v>7783.44772647232</v>
      </c>
      <c r="AE26" s="10" t="n">
        <f aca="false">AD26*12</f>
        <v>93401.3727176678</v>
      </c>
      <c r="AF26" s="10" t="n">
        <f aca="false">AC26-AD26</f>
        <v>152425.482540816</v>
      </c>
      <c r="AG26" s="10" t="n">
        <f aca="false">IF(A26=Assumptions!$D$7,Assumptions!$D$8,0)</f>
        <v>0</v>
      </c>
      <c r="AH26" s="10" t="n">
        <f aca="false">AI25</f>
        <v>1952785.79233156</v>
      </c>
      <c r="AI26" s="10" t="n">
        <f aca="false">AH26+AG26-AF26</f>
        <v>1800360.30979074</v>
      </c>
      <c r="AJ26" s="10" t="n">
        <f aca="false">SUM($AC$6:AC26)</f>
        <v>2239078.3652885</v>
      </c>
      <c r="AK26" s="10" t="n">
        <f aca="false">MAX(0,-AI26)</f>
        <v>0</v>
      </c>
      <c r="AL26" s="10" t="n">
        <f aca="false">Assumptions!$D$6+SUM($AG$6:AG26)-AJ26</f>
        <v>1760921.6347115</v>
      </c>
      <c r="AM26" s="10" t="n">
        <f aca="false">SUMIFS('Vendor Months'!$H$6:$H$3965,'Vendor Months'!$A$6:$A$3965,$AS$1,'Vendor Months'!$C$6:$C$3965,A26)</f>
        <v>14265.5</v>
      </c>
      <c r="AN26" s="10" t="n">
        <f aca="false">X26+Y26</f>
        <v>0</v>
      </c>
      <c r="AO26" s="10" t="n">
        <f aca="false">SUMIFS('Staff Months'!$I$6:$I$2345,'Staff Months'!$A$6:$A$2345,$AS$1,'Staff Months'!$C$6:$C$2345,A26)</f>
        <v>15600</v>
      </c>
      <c r="AP26" s="10" t="n">
        <f aca="false">SUM($AF$6:AF26)</f>
        <v>2199639.69020926</v>
      </c>
      <c r="AQ26" s="10" t="n">
        <f aca="false">AC26</f>
        <v>160208.930267288</v>
      </c>
      <c r="AR26" s="26" t="n">
        <f aca="false">IF(AI26&lt;0,1,0)</f>
        <v>0</v>
      </c>
      <c r="AS26" s="6"/>
    </row>
    <row r="27" customFormat="false" ht="15" hidden="false" customHeight="false" outlineLevel="0" collapsed="false">
      <c r="A27" s="6" t="n">
        <v>22</v>
      </c>
      <c r="B27" s="25" t="n">
        <f aca="false">EDATE('Start Here'!$B$6,A27-1)</f>
        <v>46966</v>
      </c>
      <c r="C27" s="11" t="n">
        <f aca="false">IF(A27&gt;=Assumptions!$D$13,Assumptions!$D$14*(1+Assumptions!$D$15)^INT((A27-Assumptions!$D$13)/12),0)</f>
        <v>1</v>
      </c>
      <c r="D27" s="11" t="n">
        <f aca="false">D26*(1-Assumptions!$D$16)+C27</f>
        <v>9.56179249911955</v>
      </c>
      <c r="E27" s="11" t="n">
        <f aca="false">D27*Assumptions!$D$18</f>
        <v>143.426887486793</v>
      </c>
      <c r="F27" s="11" t="n">
        <f aca="false">E27*Assumptions!$D$19*30/1000000</f>
        <v>0.64542099369057</v>
      </c>
      <c r="G27" s="11" t="n">
        <f aca="false">D27*Assumptions!$D$20</f>
        <v>47.8089624955978</v>
      </c>
      <c r="H27" s="11" t="n">
        <f aca="false">D27*Assumptions!$D$21</f>
        <v>9.56179249911955</v>
      </c>
      <c r="I27" s="11" t="n">
        <f aca="false">SUMIFS('Staff Months'!$E$6:$E$2345,'Staff Months'!$A$6:$A$2345,$AS$1,'Staff Months'!$C$6:$C$2345,A27)</f>
        <v>8.75</v>
      </c>
      <c r="J27" s="11" t="n">
        <f aca="false">SUMIFS('Staff Months'!$L$6:$L$2345,'Staff Months'!$A$6:$A$2345,$AS$1,'Staff Months'!$C$6:$C$2345,A27)</f>
        <v>11</v>
      </c>
      <c r="K27" s="10" t="n">
        <f aca="false">SUMIFS('Staff Months'!$H$6:$H$2345,'Staff Months'!$A$6:$A$2345,$AS$1,'Staff Months'!$C$6:$C$2345,A27)</f>
        <v>123240</v>
      </c>
      <c r="L27" s="10" t="n">
        <f aca="false">SUMIFS('Staff Months'!$J$6:$J$2345,'Staff Months'!$A$6:$A$2345,$AS$1,'Staff Months'!$C$6:$C$2345,A27)</f>
        <v>0</v>
      </c>
      <c r="M27" s="10" t="n">
        <f aca="false">SUMIFS('Staff Months'!$K$6:$K$2345,'Staff Months'!$A$6:$A$2345,$AS$1,'Staff Months'!$C$6:$C$2345,A27)</f>
        <v>0</v>
      </c>
      <c r="N27" s="10" t="n">
        <f aca="false">SUMIFS('Vendor Months'!$G$6:$G$3965,'Vendor Months'!$A$6:$A$3965,$AS$1,'Vendor Months'!$C$6:$C$3965,A27,'Vendor Months'!$J$6:$J$3965,"INFRA")</f>
        <v>1364.07322478107</v>
      </c>
      <c r="O27" s="10" t="n">
        <f aca="false">SUMIFS('Vendor Months'!$G$6:$G$3965,'Vendor Months'!$A$6:$A$3965,$AS$1,'Vendor Months'!$C$6:$C$3965,A27,'Vendor Months'!$J$6:$J$3965,"TOOLS")</f>
        <v>454.23</v>
      </c>
      <c r="P27" s="10" t="n">
        <f aca="false">SUMIFS('Vendor Months'!$G$6:$G$3965,'Vendor Months'!$A$6:$A$3965,$AS$1,'Vendor Months'!$C$6:$C$3965,A27,'Vendor Months'!$J$6:$J$3965,"LEGAL")</f>
        <v>0</v>
      </c>
      <c r="Q27" s="10" t="n">
        <f aca="false">SUMIFS('Vendor Months'!$G$6:$G$3965,'Vendor Months'!$A$6:$A$3965,$AS$1,'Vendor Months'!$C$6:$C$3965,A27,'Vendor Months'!$J$6:$J$3965,"SECURITY")</f>
        <v>18540</v>
      </c>
      <c r="R27" s="10" t="n">
        <f aca="false">SUMIFS('Vendor Months'!$G$6:$G$3965,'Vendor Months'!$A$6:$A$3965,$AS$1,'Vendor Months'!$C$6:$C$3965,A27,'Vendor Months'!$J$6:$J$3965,"COMPLIANCE")</f>
        <v>0</v>
      </c>
      <c r="S27" s="10" t="n">
        <f aca="false">SUMIFS('Vendor Months'!$G$6:$G$3965,'Vendor Months'!$A$6:$A$3965,$AS$1,'Vendor Months'!$C$6:$C$3965,A27,'Vendor Months'!$J$6:$J$3965,"INSURANCE")</f>
        <v>0</v>
      </c>
      <c r="T27" s="10" t="n">
        <f aca="false">SUMIFS('Vendor Months'!$G$6:$G$3965,'Vendor Months'!$A$6:$A$3965,$AS$1,'Vendor Months'!$C$6:$C$3965,A27,'Vendor Months'!$J$6:$J$3965,"ACCOUNTING")</f>
        <v>618</v>
      </c>
      <c r="U27" s="10" t="n">
        <f aca="false">SUMIFS('Vendor Months'!$G$6:$G$3965,'Vendor Months'!$A$6:$A$3965,$AS$1,'Vendor Months'!$C$6:$C$3965,A27,'Vendor Months'!$J$6:$J$3965,"SUPPORT")</f>
        <v>103</v>
      </c>
      <c r="V27" s="10" t="n">
        <f aca="false">SUMIFS('Vendor Months'!$G$6:$G$3965,'Vendor Months'!$A$6:$A$3965,$AS$1,'Vendor Months'!$C$6:$C$3965,A27,'Vendor Months'!$J$6:$J$3965,"MARKETING")</f>
        <v>738.648470556985</v>
      </c>
      <c r="W27" s="10" t="n">
        <f aca="false">SUMIFS('Vendor Months'!$G$6:$G$3965,'Vendor Months'!$A$6:$A$3965,$AS$1,'Vendor Months'!$C$6:$C$3965,A27,'Vendor Months'!$J$6:$J$3965,"ONBOARD")</f>
        <v>309</v>
      </c>
      <c r="X27" s="10" t="n">
        <f aca="false">SUMIFS('Vendor Months'!$G$6:$G$3965,'Vendor Months'!$A$6:$A$3965,$AS$1,'Vendor Months'!$C$6:$C$3965,A27,'Vendor Months'!$J$6:$J$3965,"AI")</f>
        <v>0</v>
      </c>
      <c r="Y27" s="10" t="n">
        <f aca="false">SUMIFS('Vendor Months'!$G$6:$G$3965,'Vendor Months'!$A$6:$A$3965,$AS$1,'Vendor Months'!$C$6:$C$3965,A27,'Vendor Months'!$J$6:$J$3965,"CTMS")</f>
        <v>0</v>
      </c>
      <c r="Z27" s="10" t="n">
        <f aca="false">SUM(N27:Y27)</f>
        <v>22126.9516953381</v>
      </c>
      <c r="AA27" s="10" t="n">
        <f aca="false">(SUM(K27:M27)+Z27)*Assumptions!$D$12</f>
        <v>21805.0427543007</v>
      </c>
      <c r="AB27" s="10" t="n">
        <f aca="false">AD27*Assumptions!$D$29</f>
        <v>258.168397476228</v>
      </c>
      <c r="AC27" s="10" t="n">
        <f aca="false">SUM(K27:M27)+Z27+AA27+AB27</f>
        <v>167430.162847115</v>
      </c>
      <c r="AD27" s="10" t="n">
        <f aca="false">D27*Assumptions!$D$17</f>
        <v>8605.6132492076</v>
      </c>
      <c r="AE27" s="10" t="n">
        <f aca="false">AD27*12</f>
        <v>103267.358990491</v>
      </c>
      <c r="AF27" s="10" t="n">
        <f aca="false">AC27-AD27</f>
        <v>158824.549597907</v>
      </c>
      <c r="AG27" s="10" t="n">
        <f aca="false">IF(A27=Assumptions!$D$7,Assumptions!$D$8,0)</f>
        <v>0</v>
      </c>
      <c r="AH27" s="10" t="n">
        <f aca="false">AI26</f>
        <v>1800360.30979074</v>
      </c>
      <c r="AI27" s="10" t="n">
        <f aca="false">AH27+AG27-AF27</f>
        <v>1641535.76019283</v>
      </c>
      <c r="AJ27" s="10" t="n">
        <f aca="false">SUM($AC$6:AC27)</f>
        <v>2406508.52813562</v>
      </c>
      <c r="AK27" s="10" t="n">
        <f aca="false">MAX(0,-AI27)</f>
        <v>0</v>
      </c>
      <c r="AL27" s="10" t="n">
        <f aca="false">Assumptions!$D$6+SUM($AG$6:AG27)-AJ27</f>
        <v>1593491.47186438</v>
      </c>
      <c r="AM27" s="10" t="n">
        <f aca="false">SUMIFS('Vendor Months'!$H$6:$H$3965,'Vendor Months'!$A$6:$A$3965,$AS$1,'Vendor Months'!$C$6:$C$3965,A27)</f>
        <v>20445.5</v>
      </c>
      <c r="AN27" s="10" t="n">
        <f aca="false">X27+Y27</f>
        <v>0</v>
      </c>
      <c r="AO27" s="10" t="n">
        <f aca="false">SUMIFS('Staff Months'!$I$6:$I$2345,'Staff Months'!$A$6:$A$2345,$AS$1,'Staff Months'!$C$6:$C$2345,A27)</f>
        <v>15600</v>
      </c>
      <c r="AP27" s="10" t="n">
        <f aca="false">SUM($AF$6:AF27)</f>
        <v>2358464.23980717</v>
      </c>
      <c r="AQ27" s="10" t="n">
        <f aca="false">AC27</f>
        <v>167430.162847115</v>
      </c>
      <c r="AR27" s="26" t="n">
        <f aca="false">IF(AI27&lt;0,1,0)</f>
        <v>0</v>
      </c>
      <c r="AS27" s="6"/>
    </row>
    <row r="28" customFormat="false" ht="15" hidden="false" customHeight="false" outlineLevel="0" collapsed="false">
      <c r="A28" s="6" t="n">
        <v>23</v>
      </c>
      <c r="B28" s="25" t="n">
        <f aca="false">EDATE('Start Here'!$B$6,A28-1)</f>
        <v>46997</v>
      </c>
      <c r="C28" s="11" t="n">
        <f aca="false">IF(A28&gt;=Assumptions!$D$13,Assumptions!$D$14*(1+Assumptions!$D$15)^INT((A28-Assumptions!$D$13)/12),0)</f>
        <v>1</v>
      </c>
      <c r="D28" s="11" t="n">
        <f aca="false">D27*(1-Assumptions!$D$16)+C28</f>
        <v>10.4661745741284</v>
      </c>
      <c r="E28" s="11" t="n">
        <f aca="false">D28*Assumptions!$D$18</f>
        <v>156.992618611925</v>
      </c>
      <c r="F28" s="11" t="n">
        <f aca="false">E28*Assumptions!$D$19*30/1000000</f>
        <v>0.706466783753664</v>
      </c>
      <c r="G28" s="11" t="n">
        <f aca="false">D28*Assumptions!$D$20</f>
        <v>52.3308728706418</v>
      </c>
      <c r="H28" s="11" t="n">
        <f aca="false">D28*Assumptions!$D$21</f>
        <v>10.4661745741284</v>
      </c>
      <c r="I28" s="11" t="n">
        <f aca="false">SUMIFS('Staff Months'!$E$6:$E$2345,'Staff Months'!$A$6:$A$2345,$AS$1,'Staff Months'!$C$6:$C$2345,A28)</f>
        <v>8.75</v>
      </c>
      <c r="J28" s="11" t="n">
        <f aca="false">SUMIFS('Staff Months'!$L$6:$L$2345,'Staff Months'!$A$6:$A$2345,$AS$1,'Staff Months'!$C$6:$C$2345,A28)</f>
        <v>11</v>
      </c>
      <c r="K28" s="10" t="n">
        <f aca="false">SUMIFS('Staff Months'!$H$6:$H$2345,'Staff Months'!$A$6:$A$2345,$AS$1,'Staff Months'!$C$6:$C$2345,A28)</f>
        <v>123240</v>
      </c>
      <c r="L28" s="10" t="n">
        <f aca="false">SUMIFS('Staff Months'!$J$6:$J$2345,'Staff Months'!$A$6:$A$2345,$AS$1,'Staff Months'!$C$6:$C$2345,A28)</f>
        <v>0</v>
      </c>
      <c r="M28" s="10" t="n">
        <f aca="false">SUMIFS('Staff Months'!$K$6:$K$2345,'Staff Months'!$A$6:$A$2345,$AS$1,'Staff Months'!$C$6:$C$2345,A28)</f>
        <v>0</v>
      </c>
      <c r="N28" s="10" t="n">
        <f aca="false">SUMIFS('Vendor Months'!$G$6:$G$3965,'Vendor Months'!$A$6:$A$3965,$AS$1,'Vendor Months'!$C$6:$C$3965,A28,'Vendor Months'!$J$6:$J$3965,"INFRA")</f>
        <v>1371.31574253326</v>
      </c>
      <c r="O28" s="10" t="n">
        <f aca="false">SUMIFS('Vendor Months'!$G$6:$G$3965,'Vendor Months'!$A$6:$A$3965,$AS$1,'Vendor Months'!$C$6:$C$3965,A28,'Vendor Months'!$J$6:$J$3965,"TOOLS")</f>
        <v>454.23</v>
      </c>
      <c r="P28" s="10" t="n">
        <f aca="false">SUMIFS('Vendor Months'!$G$6:$G$3965,'Vendor Months'!$A$6:$A$3965,$AS$1,'Vendor Months'!$C$6:$C$3965,A28,'Vendor Months'!$J$6:$J$3965,"LEGAL")</f>
        <v>0</v>
      </c>
      <c r="Q28" s="10" t="n">
        <f aca="false">SUMIFS('Vendor Months'!$G$6:$G$3965,'Vendor Months'!$A$6:$A$3965,$AS$1,'Vendor Months'!$C$6:$C$3965,A28,'Vendor Months'!$J$6:$J$3965,"SECURITY")</f>
        <v>0</v>
      </c>
      <c r="R28" s="10" t="n">
        <f aca="false">SUMIFS('Vendor Months'!$G$6:$G$3965,'Vendor Months'!$A$6:$A$3965,$AS$1,'Vendor Months'!$C$6:$C$3965,A28,'Vendor Months'!$J$6:$J$3965,"COMPLIANCE")</f>
        <v>15450</v>
      </c>
      <c r="S28" s="10" t="n">
        <f aca="false">SUMIFS('Vendor Months'!$G$6:$G$3965,'Vendor Months'!$A$6:$A$3965,$AS$1,'Vendor Months'!$C$6:$C$3965,A28,'Vendor Months'!$J$6:$J$3965,"INSURANCE")</f>
        <v>0</v>
      </c>
      <c r="T28" s="10" t="n">
        <f aca="false">SUMIFS('Vendor Months'!$G$6:$G$3965,'Vendor Months'!$A$6:$A$3965,$AS$1,'Vendor Months'!$C$6:$C$3965,A28,'Vendor Months'!$J$6:$J$3965,"ACCOUNTING")</f>
        <v>618</v>
      </c>
      <c r="U28" s="10" t="n">
        <f aca="false">SUMIFS('Vendor Months'!$G$6:$G$3965,'Vendor Months'!$A$6:$A$3965,$AS$1,'Vendor Months'!$C$6:$C$3965,A28,'Vendor Months'!$J$6:$J$3965,"SUPPORT")</f>
        <v>103</v>
      </c>
      <c r="V28" s="10" t="n">
        <f aca="false">SUMIFS('Vendor Months'!$G$6:$G$3965,'Vendor Months'!$A$6:$A$3965,$AS$1,'Vendor Months'!$C$6:$C$3965,A28,'Vendor Months'!$J$6:$J$3965,"MARKETING")</f>
        <v>808.511985851416</v>
      </c>
      <c r="W28" s="10" t="n">
        <f aca="false">SUMIFS('Vendor Months'!$G$6:$G$3965,'Vendor Months'!$A$6:$A$3965,$AS$1,'Vendor Months'!$C$6:$C$3965,A28,'Vendor Months'!$J$6:$J$3965,"ONBOARD")</f>
        <v>309</v>
      </c>
      <c r="X28" s="10" t="n">
        <f aca="false">SUMIFS('Vendor Months'!$G$6:$G$3965,'Vendor Months'!$A$6:$A$3965,$AS$1,'Vendor Months'!$C$6:$C$3965,A28,'Vendor Months'!$J$6:$J$3965,"AI")</f>
        <v>0</v>
      </c>
      <c r="Y28" s="10" t="n">
        <f aca="false">SUMIFS('Vendor Months'!$G$6:$G$3965,'Vendor Months'!$A$6:$A$3965,$AS$1,'Vendor Months'!$C$6:$C$3965,A28,'Vendor Months'!$J$6:$J$3965,"CTMS")</f>
        <v>0</v>
      </c>
      <c r="Z28" s="10" t="n">
        <f aca="false">SUM(N28:Y28)</f>
        <v>19114.0577283847</v>
      </c>
      <c r="AA28" s="10" t="n">
        <f aca="false">(SUM(K28:M28)+Z28)*Assumptions!$D$12</f>
        <v>21353.1086592577</v>
      </c>
      <c r="AB28" s="10" t="n">
        <f aca="false">AD28*Assumptions!$D$29</f>
        <v>282.586713501466</v>
      </c>
      <c r="AC28" s="10" t="n">
        <f aca="false">SUM(K28:M28)+Z28+AA28+AB28</f>
        <v>163989.753101144</v>
      </c>
      <c r="AD28" s="10" t="n">
        <f aca="false">D28*Assumptions!$D$17</f>
        <v>9419.55711671552</v>
      </c>
      <c r="AE28" s="10" t="n">
        <f aca="false">AD28*12</f>
        <v>113034.685400586</v>
      </c>
      <c r="AF28" s="10" t="n">
        <f aca="false">AC28-AD28</f>
        <v>154570.195984428</v>
      </c>
      <c r="AG28" s="10" t="n">
        <f aca="false">IF(A28=Assumptions!$D$7,Assumptions!$D$8,0)</f>
        <v>0</v>
      </c>
      <c r="AH28" s="10" t="n">
        <f aca="false">AI27</f>
        <v>1641535.76019283</v>
      </c>
      <c r="AI28" s="10" t="n">
        <f aca="false">AH28+AG28-AF28</f>
        <v>1486965.5642084</v>
      </c>
      <c r="AJ28" s="10" t="n">
        <f aca="false">SUM($AC$6:AC28)</f>
        <v>2570498.28123676</v>
      </c>
      <c r="AK28" s="10" t="n">
        <f aca="false">MAX(0,-AI28)</f>
        <v>0</v>
      </c>
      <c r="AL28" s="10" t="n">
        <f aca="false">Assumptions!$D$6+SUM($AG$6:AG28)-AJ28</f>
        <v>1429501.71876324</v>
      </c>
      <c r="AM28" s="10" t="n">
        <f aca="false">SUMIFS('Vendor Months'!$H$6:$H$3965,'Vendor Months'!$A$6:$A$3965,$AS$1,'Vendor Months'!$C$6:$C$3965,A28)</f>
        <v>17355.5</v>
      </c>
      <c r="AN28" s="10" t="n">
        <f aca="false">X28+Y28</f>
        <v>0</v>
      </c>
      <c r="AO28" s="10" t="n">
        <f aca="false">SUMIFS('Staff Months'!$I$6:$I$2345,'Staff Months'!$A$6:$A$2345,$AS$1,'Staff Months'!$C$6:$C$2345,A28)</f>
        <v>15600</v>
      </c>
      <c r="AP28" s="10" t="n">
        <f aca="false">SUM($AF$6:AF28)</f>
        <v>2513034.4357916</v>
      </c>
      <c r="AQ28" s="10" t="n">
        <f aca="false">AC28</f>
        <v>163989.753101144</v>
      </c>
      <c r="AR28" s="26" t="n">
        <f aca="false">IF(AI28&lt;0,1,0)</f>
        <v>0</v>
      </c>
      <c r="AS28" s="6"/>
    </row>
    <row r="29" customFormat="false" ht="15" hidden="false" customHeight="false" outlineLevel="0" collapsed="false">
      <c r="A29" s="6" t="n">
        <v>24</v>
      </c>
      <c r="B29" s="25" t="n">
        <f aca="false">EDATE('Start Here'!$B$6,A29-1)</f>
        <v>47027</v>
      </c>
      <c r="C29" s="11" t="n">
        <f aca="false">IF(A29&gt;=Assumptions!$D$13,Assumptions!$D$14*(1+Assumptions!$D$15)^INT((A29-Assumptions!$D$13)/12),0)</f>
        <v>1</v>
      </c>
      <c r="D29" s="11" t="n">
        <f aca="false">D28*(1-Assumptions!$D$16)+C29</f>
        <v>11.3615128283871</v>
      </c>
      <c r="E29" s="11" t="n">
        <f aca="false">D29*Assumptions!$D$18</f>
        <v>170.422692425806</v>
      </c>
      <c r="F29" s="11" t="n">
        <f aca="false">E29*Assumptions!$D$19*30/1000000</f>
        <v>0.766902115916127</v>
      </c>
      <c r="G29" s="11" t="n">
        <f aca="false">D29*Assumptions!$D$20</f>
        <v>56.8075641419354</v>
      </c>
      <c r="H29" s="11" t="n">
        <f aca="false">D29*Assumptions!$D$21</f>
        <v>11.3615128283871</v>
      </c>
      <c r="I29" s="11" t="n">
        <f aca="false">SUMIFS('Staff Months'!$E$6:$E$2345,'Staff Months'!$A$6:$A$2345,$AS$1,'Staff Months'!$C$6:$C$2345,A29)</f>
        <v>8.75</v>
      </c>
      <c r="J29" s="11" t="n">
        <f aca="false">SUMIFS('Staff Months'!$L$6:$L$2345,'Staff Months'!$A$6:$A$2345,$AS$1,'Staff Months'!$C$6:$C$2345,A29)</f>
        <v>11</v>
      </c>
      <c r="K29" s="10" t="n">
        <f aca="false">SUMIFS('Staff Months'!$H$6:$H$2345,'Staff Months'!$A$6:$A$2345,$AS$1,'Staff Months'!$C$6:$C$2345,A29)</f>
        <v>123240</v>
      </c>
      <c r="L29" s="10" t="n">
        <f aca="false">SUMIFS('Staff Months'!$J$6:$J$2345,'Staff Months'!$A$6:$A$2345,$AS$1,'Staff Months'!$C$6:$C$2345,A29)</f>
        <v>0</v>
      </c>
      <c r="M29" s="10" t="n">
        <f aca="false">SUMIFS('Staff Months'!$K$6:$K$2345,'Staff Months'!$A$6:$A$2345,$AS$1,'Staff Months'!$C$6:$C$2345,A29)</f>
        <v>0</v>
      </c>
      <c r="N29" s="10" t="n">
        <f aca="false">SUMIFS('Vendor Months'!$G$6:$G$3965,'Vendor Months'!$A$6:$A$3965,$AS$1,'Vendor Months'!$C$6:$C$3965,A29,'Vendor Months'!$J$6:$J$3965,"INFRA")</f>
        <v>1378.48583510793</v>
      </c>
      <c r="O29" s="10" t="n">
        <f aca="false">SUMIFS('Vendor Months'!$G$6:$G$3965,'Vendor Months'!$A$6:$A$3965,$AS$1,'Vendor Months'!$C$6:$C$3965,A29,'Vendor Months'!$J$6:$J$3965,"TOOLS")</f>
        <v>454.23</v>
      </c>
      <c r="P29" s="10" t="n">
        <f aca="false">SUMIFS('Vendor Months'!$G$6:$G$3965,'Vendor Months'!$A$6:$A$3965,$AS$1,'Vendor Months'!$C$6:$C$3965,A29,'Vendor Months'!$J$6:$J$3965,"LEGAL")</f>
        <v>0</v>
      </c>
      <c r="Q29" s="10" t="n">
        <f aca="false">SUMIFS('Vendor Months'!$G$6:$G$3965,'Vendor Months'!$A$6:$A$3965,$AS$1,'Vendor Months'!$C$6:$C$3965,A29,'Vendor Months'!$J$6:$J$3965,"SECURITY")</f>
        <v>0</v>
      </c>
      <c r="R29" s="10" t="n">
        <f aca="false">SUMIFS('Vendor Months'!$G$6:$G$3965,'Vendor Months'!$A$6:$A$3965,$AS$1,'Vendor Months'!$C$6:$C$3965,A29,'Vendor Months'!$J$6:$J$3965,"COMPLIANCE")</f>
        <v>0</v>
      </c>
      <c r="S29" s="10" t="n">
        <f aca="false">SUMIFS('Vendor Months'!$G$6:$G$3965,'Vendor Months'!$A$6:$A$3965,$AS$1,'Vendor Months'!$C$6:$C$3965,A29,'Vendor Months'!$J$6:$J$3965,"INSURANCE")</f>
        <v>0</v>
      </c>
      <c r="T29" s="10" t="n">
        <f aca="false">SUMIFS('Vendor Months'!$G$6:$G$3965,'Vendor Months'!$A$6:$A$3965,$AS$1,'Vendor Months'!$C$6:$C$3965,A29,'Vendor Months'!$J$6:$J$3965,"ACCOUNTING")</f>
        <v>618</v>
      </c>
      <c r="U29" s="10" t="n">
        <f aca="false">SUMIFS('Vendor Months'!$G$6:$G$3965,'Vendor Months'!$A$6:$A$3965,$AS$1,'Vendor Months'!$C$6:$C$3965,A29,'Vendor Months'!$J$6:$J$3965,"SUPPORT")</f>
        <v>103</v>
      </c>
      <c r="V29" s="10" t="n">
        <f aca="false">SUMIFS('Vendor Months'!$G$6:$G$3965,'Vendor Months'!$A$6:$A$3965,$AS$1,'Vendor Months'!$C$6:$C$3965,A29,'Vendor Months'!$J$6:$J$3965,"MARKETING")</f>
        <v>877.676865992901</v>
      </c>
      <c r="W29" s="10" t="n">
        <f aca="false">SUMIFS('Vendor Months'!$G$6:$G$3965,'Vendor Months'!$A$6:$A$3965,$AS$1,'Vendor Months'!$C$6:$C$3965,A29,'Vendor Months'!$J$6:$J$3965,"ONBOARD")</f>
        <v>309</v>
      </c>
      <c r="X29" s="10" t="n">
        <f aca="false">SUMIFS('Vendor Months'!$G$6:$G$3965,'Vendor Months'!$A$6:$A$3965,$AS$1,'Vendor Months'!$C$6:$C$3965,A29,'Vendor Months'!$J$6:$J$3965,"AI")</f>
        <v>0</v>
      </c>
      <c r="Y29" s="10" t="n">
        <f aca="false">SUMIFS('Vendor Months'!$G$6:$G$3965,'Vendor Months'!$A$6:$A$3965,$AS$1,'Vendor Months'!$C$6:$C$3965,A29,'Vendor Months'!$J$6:$J$3965,"CTMS")</f>
        <v>0</v>
      </c>
      <c r="Z29" s="10" t="n">
        <f aca="false">SUM(N29:Y29)</f>
        <v>3740.39270110083</v>
      </c>
      <c r="AA29" s="10" t="n">
        <f aca="false">(SUM(K29:M29)+Z29)*Assumptions!$D$12</f>
        <v>19047.0589051651</v>
      </c>
      <c r="AB29" s="10" t="n">
        <f aca="false">AD29*Assumptions!$D$29</f>
        <v>306.760846366451</v>
      </c>
      <c r="AC29" s="10" t="n">
        <f aca="false">SUM(K29:M29)+Z29+AA29+AB29</f>
        <v>146334.212452632</v>
      </c>
      <c r="AD29" s="10" t="n">
        <f aca="false">D29*Assumptions!$D$17</f>
        <v>10225.3615455484</v>
      </c>
      <c r="AE29" s="10" t="n">
        <f aca="false">AD29*12</f>
        <v>122704.33854658</v>
      </c>
      <c r="AF29" s="10" t="n">
        <f aca="false">AC29-AD29</f>
        <v>136108.850907084</v>
      </c>
      <c r="AG29" s="10" t="n">
        <f aca="false">IF(A29=Assumptions!$D$7,Assumptions!$D$8,0)</f>
        <v>0</v>
      </c>
      <c r="AH29" s="10" t="n">
        <f aca="false">AI28</f>
        <v>1486965.5642084</v>
      </c>
      <c r="AI29" s="10" t="n">
        <f aca="false">AH29+AG29-AF29</f>
        <v>1350856.71330132</v>
      </c>
      <c r="AJ29" s="10" t="n">
        <f aca="false">SUM($AC$6:AC29)</f>
        <v>2716832.49368939</v>
      </c>
      <c r="AK29" s="10" t="n">
        <f aca="false">MAX(0,-AI29)</f>
        <v>0</v>
      </c>
      <c r="AL29" s="10" t="n">
        <f aca="false">Assumptions!$D$6+SUM($AG$6:AG29)-AJ29</f>
        <v>1283167.50631061</v>
      </c>
      <c r="AM29" s="10" t="n">
        <f aca="false">SUMIFS('Vendor Months'!$H$6:$H$3965,'Vendor Months'!$A$6:$A$3965,$AS$1,'Vendor Months'!$C$6:$C$3965,A29)</f>
        <v>1905.5</v>
      </c>
      <c r="AN29" s="10" t="n">
        <f aca="false">X29+Y29</f>
        <v>0</v>
      </c>
      <c r="AO29" s="10" t="n">
        <f aca="false">SUMIFS('Staff Months'!$I$6:$I$2345,'Staff Months'!$A$6:$A$2345,$AS$1,'Staff Months'!$C$6:$C$2345,A29)</f>
        <v>15600</v>
      </c>
      <c r="AP29" s="10" t="n">
        <f aca="false">SUM($AF$6:AF29)</f>
        <v>2649143.28669868</v>
      </c>
      <c r="AQ29" s="10" t="n">
        <f aca="false">AC29</f>
        <v>146334.212452632</v>
      </c>
      <c r="AR29" s="26" t="n">
        <f aca="false">IF(AI29&lt;0,1,0)</f>
        <v>0</v>
      </c>
      <c r="AS29" s="6"/>
    </row>
    <row r="30" customFormat="false" ht="15" hidden="false" customHeight="false" outlineLevel="0" collapsed="false">
      <c r="A30" s="6" t="n">
        <v>25</v>
      </c>
      <c r="B30" s="25" t="n">
        <f aca="false">EDATE('Start Here'!$B$6,A30-1)</f>
        <v>47058</v>
      </c>
      <c r="C30" s="11" t="n">
        <f aca="false">IF(A30&gt;=Assumptions!$D$13,Assumptions!$D$14*(1+Assumptions!$D$15)^INT((A30-Assumptions!$D$13)/12),0)</f>
        <v>1.5</v>
      </c>
      <c r="D30" s="11" t="n">
        <f aca="false">D29*(1-Assumptions!$D$16)+C30</f>
        <v>12.7478977001032</v>
      </c>
      <c r="E30" s="11" t="n">
        <f aca="false">D30*Assumptions!$D$18</f>
        <v>191.218465501548</v>
      </c>
      <c r="F30" s="11" t="n">
        <f aca="false">E30*Assumptions!$D$19*30/1000000</f>
        <v>0.860483094756966</v>
      </c>
      <c r="G30" s="11" t="n">
        <f aca="false">D30*Assumptions!$D$20</f>
        <v>63.739488500516</v>
      </c>
      <c r="H30" s="11" t="n">
        <f aca="false">D30*Assumptions!$D$21</f>
        <v>12.7478977001032</v>
      </c>
      <c r="I30" s="11" t="n">
        <f aca="false">SUMIFS('Staff Months'!$E$6:$E$2345,'Staff Months'!$A$6:$A$2345,$AS$1,'Staff Months'!$C$6:$C$2345,A30)</f>
        <v>8.75</v>
      </c>
      <c r="J30" s="11" t="n">
        <f aca="false">SUMIFS('Staff Months'!$L$6:$L$2345,'Staff Months'!$A$6:$A$2345,$AS$1,'Staff Months'!$C$6:$C$2345,A30)</f>
        <v>11</v>
      </c>
      <c r="K30" s="10" t="n">
        <f aca="false">SUMIFS('Staff Months'!$H$6:$H$2345,'Staff Months'!$A$6:$A$2345,$AS$1,'Staff Months'!$C$6:$C$2345,A30)</f>
        <v>128169.6</v>
      </c>
      <c r="L30" s="10" t="n">
        <f aca="false">SUMIFS('Staff Months'!$J$6:$J$2345,'Staff Months'!$A$6:$A$2345,$AS$1,'Staff Months'!$C$6:$C$2345,A30)</f>
        <v>0</v>
      </c>
      <c r="M30" s="10" t="n">
        <f aca="false">SUMIFS('Staff Months'!$K$6:$K$2345,'Staff Months'!$A$6:$A$2345,$AS$1,'Staff Months'!$C$6:$C$2345,A30)</f>
        <v>0</v>
      </c>
      <c r="N30" s="10" t="n">
        <f aca="false">SUMIFS('Vendor Months'!$G$6:$G$3965,'Vendor Months'!$A$6:$A$3965,$AS$1,'Vendor Months'!$C$6:$C$3965,A30,'Vendor Months'!$J$6:$J$3965,"INFRA")</f>
        <v>1431.27600230956</v>
      </c>
      <c r="O30" s="10" t="n">
        <f aca="false">SUMIFS('Vendor Months'!$G$6:$G$3965,'Vendor Months'!$A$6:$A$3965,$AS$1,'Vendor Months'!$C$6:$C$3965,A30,'Vendor Months'!$J$6:$J$3965,"TOOLS")</f>
        <v>467.8569</v>
      </c>
      <c r="P30" s="10" t="n">
        <f aca="false">SUMIFS('Vendor Months'!$G$6:$G$3965,'Vendor Months'!$A$6:$A$3965,$AS$1,'Vendor Months'!$C$6:$C$3965,A30,'Vendor Months'!$J$6:$J$3965,"LEGAL")</f>
        <v>0</v>
      </c>
      <c r="Q30" s="10" t="n">
        <f aca="false">SUMIFS('Vendor Months'!$G$6:$G$3965,'Vendor Months'!$A$6:$A$3965,$AS$1,'Vendor Months'!$C$6:$C$3965,A30,'Vendor Months'!$J$6:$J$3965,"SECURITY")</f>
        <v>0</v>
      </c>
      <c r="R30" s="10" t="n">
        <f aca="false">SUMIFS('Vendor Months'!$G$6:$G$3965,'Vendor Months'!$A$6:$A$3965,$AS$1,'Vendor Months'!$C$6:$C$3965,A30,'Vendor Months'!$J$6:$J$3965,"COMPLIANCE")</f>
        <v>0</v>
      </c>
      <c r="S30" s="10" t="n">
        <f aca="false">SUMIFS('Vendor Months'!$G$6:$G$3965,'Vendor Months'!$A$6:$A$3965,$AS$1,'Vendor Months'!$C$6:$C$3965,A30,'Vendor Months'!$J$6:$J$3965,"INSURANCE")</f>
        <v>0</v>
      </c>
      <c r="T30" s="10" t="n">
        <f aca="false">SUMIFS('Vendor Months'!$G$6:$G$3965,'Vendor Months'!$A$6:$A$3965,$AS$1,'Vendor Months'!$C$6:$C$3965,A30,'Vendor Months'!$J$6:$J$3965,"ACCOUNTING")</f>
        <v>636.54</v>
      </c>
      <c r="U30" s="10" t="n">
        <f aca="false">SUMIFS('Vendor Months'!$G$6:$G$3965,'Vendor Months'!$A$6:$A$3965,$AS$1,'Vendor Months'!$C$6:$C$3965,A30,'Vendor Months'!$J$6:$J$3965,"SUPPORT")</f>
        <v>106.09</v>
      </c>
      <c r="V30" s="10" t="n">
        <f aca="false">SUMIFS('Vendor Months'!$G$6:$G$3965,'Vendor Months'!$A$6:$A$3965,$AS$1,'Vendor Months'!$C$6:$C$3965,A30,'Vendor Months'!$J$6:$J$3965,"MARKETING")</f>
        <v>1014.31835025296</v>
      </c>
      <c r="W30" s="10" t="n">
        <f aca="false">SUMIFS('Vendor Months'!$G$6:$G$3965,'Vendor Months'!$A$6:$A$3965,$AS$1,'Vendor Months'!$C$6:$C$3965,A30,'Vendor Months'!$J$6:$J$3965,"ONBOARD")</f>
        <v>477.405</v>
      </c>
      <c r="X30" s="10" t="n">
        <f aca="false">SUMIFS('Vendor Months'!$G$6:$G$3965,'Vendor Months'!$A$6:$A$3965,$AS$1,'Vendor Months'!$C$6:$C$3965,A30,'Vendor Months'!$J$6:$J$3965,"AI")</f>
        <v>0</v>
      </c>
      <c r="Y30" s="10" t="n">
        <f aca="false">SUMIFS('Vendor Months'!$G$6:$G$3965,'Vendor Months'!$A$6:$A$3965,$AS$1,'Vendor Months'!$C$6:$C$3965,A30,'Vendor Months'!$J$6:$J$3965,"CTMS")</f>
        <v>0</v>
      </c>
      <c r="Z30" s="10" t="n">
        <f aca="false">SUM(N30:Y30)</f>
        <v>4133.48625256252</v>
      </c>
      <c r="AA30" s="10" t="n">
        <f aca="false">(SUM(K30:M30)+Z30)*Assumptions!$D$12</f>
        <v>19845.4629378844</v>
      </c>
      <c r="AB30" s="10" t="n">
        <f aca="false">AD30*Assumptions!$D$29</f>
        <v>344.193237902786</v>
      </c>
      <c r="AC30" s="10" t="n">
        <f aca="false">SUM(K30:M30)+Z30+AA30+AB30</f>
        <v>152492.74242835</v>
      </c>
      <c r="AD30" s="10" t="n">
        <f aca="false">D30*Assumptions!$D$17</f>
        <v>11473.1079300929</v>
      </c>
      <c r="AE30" s="10" t="n">
        <f aca="false">AD30*12</f>
        <v>137677.295161115</v>
      </c>
      <c r="AF30" s="10" t="n">
        <f aca="false">AC30-AD30</f>
        <v>141019.634498257</v>
      </c>
      <c r="AG30" s="10" t="n">
        <f aca="false">IF(A30=Assumptions!$D$7,Assumptions!$D$8,0)</f>
        <v>0</v>
      </c>
      <c r="AH30" s="10" t="n">
        <f aca="false">AI29</f>
        <v>1350856.71330132</v>
      </c>
      <c r="AI30" s="10" t="n">
        <f aca="false">AH30+AG30-AF30</f>
        <v>1209837.07880306</v>
      </c>
      <c r="AJ30" s="10" t="n">
        <f aca="false">SUM($AC$6:AC30)</f>
        <v>2869325.23611774</v>
      </c>
      <c r="AK30" s="10" t="n">
        <f aca="false">MAX(0,-AI30)</f>
        <v>0</v>
      </c>
      <c r="AL30" s="10" t="n">
        <f aca="false">Assumptions!$D$6+SUM($AG$6:AG30)-AJ30</f>
        <v>1130674.76388226</v>
      </c>
      <c r="AM30" s="10" t="n">
        <f aca="false">SUMIFS('Vendor Months'!$H$6:$H$3965,'Vendor Months'!$A$6:$A$3965,$AS$1,'Vendor Months'!$C$6:$C$3965,A30)</f>
        <v>1962.665</v>
      </c>
      <c r="AN30" s="10" t="n">
        <f aca="false">X30+Y30</f>
        <v>0</v>
      </c>
      <c r="AO30" s="10" t="n">
        <f aca="false">SUMIFS('Staff Months'!$I$6:$I$2345,'Staff Months'!$A$6:$A$2345,$AS$1,'Staff Months'!$C$6:$C$2345,A30)</f>
        <v>16224</v>
      </c>
      <c r="AP30" s="10" t="n">
        <f aca="false">SUM($AF$6:AF30)</f>
        <v>2790162.92119694</v>
      </c>
      <c r="AQ30" s="10" t="n">
        <f aca="false">AC30</f>
        <v>152492.74242835</v>
      </c>
      <c r="AR30" s="26" t="n">
        <f aca="false">IF(AI30&lt;0,1,0)</f>
        <v>0</v>
      </c>
      <c r="AS30" s="6"/>
    </row>
    <row r="31" customFormat="false" ht="15" hidden="false" customHeight="false" outlineLevel="0" collapsed="false">
      <c r="A31" s="6" t="n">
        <v>26</v>
      </c>
      <c r="B31" s="25" t="n">
        <f aca="false">EDATE('Start Here'!$B$6,A31-1)</f>
        <v>47088</v>
      </c>
      <c r="C31" s="11" t="n">
        <f aca="false">IF(A31&gt;=Assumptions!$D$13,Assumptions!$D$14*(1+Assumptions!$D$15)^INT((A31-Assumptions!$D$13)/12),0)</f>
        <v>1.5</v>
      </c>
      <c r="D31" s="11" t="n">
        <f aca="false">D30*(1-Assumptions!$D$16)+C31</f>
        <v>14.1204187231022</v>
      </c>
      <c r="E31" s="11" t="n">
        <f aca="false">D31*Assumptions!$D$18</f>
        <v>211.806280846533</v>
      </c>
      <c r="F31" s="11" t="n">
        <f aca="false">E31*Assumptions!$D$19*30/1000000</f>
        <v>0.953128263809396</v>
      </c>
      <c r="G31" s="11" t="n">
        <f aca="false">D31*Assumptions!$D$20</f>
        <v>70.6020936155109</v>
      </c>
      <c r="H31" s="11" t="n">
        <f aca="false">D31*Assumptions!$D$21</f>
        <v>14.1204187231022</v>
      </c>
      <c r="I31" s="11" t="n">
        <f aca="false">SUMIFS('Staff Months'!$E$6:$E$2345,'Staff Months'!$A$6:$A$2345,$AS$1,'Staff Months'!$C$6:$C$2345,A31)</f>
        <v>8.75</v>
      </c>
      <c r="J31" s="11" t="n">
        <f aca="false">SUMIFS('Staff Months'!$L$6:$L$2345,'Staff Months'!$A$6:$A$2345,$AS$1,'Staff Months'!$C$6:$C$2345,A31)</f>
        <v>11</v>
      </c>
      <c r="K31" s="10" t="n">
        <f aca="false">SUMIFS('Staff Months'!$H$6:$H$2345,'Staff Months'!$A$6:$A$2345,$AS$1,'Staff Months'!$C$6:$C$2345,A31)</f>
        <v>128169.6</v>
      </c>
      <c r="L31" s="10" t="n">
        <f aca="false">SUMIFS('Staff Months'!$J$6:$J$2345,'Staff Months'!$A$6:$A$2345,$AS$1,'Staff Months'!$C$6:$C$2345,A31)</f>
        <v>0</v>
      </c>
      <c r="M31" s="10" t="n">
        <f aca="false">SUMIFS('Staff Months'!$K$6:$K$2345,'Staff Months'!$A$6:$A$2345,$AS$1,'Staff Months'!$C$6:$C$2345,A31)</f>
        <v>0</v>
      </c>
      <c r="N31" s="10" t="n">
        <f aca="false">SUMIFS('Vendor Months'!$G$6:$G$3965,'Vendor Months'!$A$6:$A$3965,$AS$1,'Vendor Months'!$C$6:$C$3965,A31,'Vendor Months'!$J$6:$J$3965,"INFRA")</f>
        <v>1442.59723853646</v>
      </c>
      <c r="O31" s="10" t="n">
        <f aca="false">SUMIFS('Vendor Months'!$G$6:$G$3965,'Vendor Months'!$A$6:$A$3965,$AS$1,'Vendor Months'!$C$6:$C$3965,A31,'Vendor Months'!$J$6:$J$3965,"TOOLS")</f>
        <v>467.8569</v>
      </c>
      <c r="P31" s="10" t="n">
        <f aca="false">SUMIFS('Vendor Months'!$G$6:$G$3965,'Vendor Months'!$A$6:$A$3965,$AS$1,'Vendor Months'!$C$6:$C$3965,A31,'Vendor Months'!$J$6:$J$3965,"LEGAL")</f>
        <v>12730.8</v>
      </c>
      <c r="Q31" s="10" t="n">
        <f aca="false">SUMIFS('Vendor Months'!$G$6:$G$3965,'Vendor Months'!$A$6:$A$3965,$AS$1,'Vendor Months'!$C$6:$C$3965,A31,'Vendor Months'!$J$6:$J$3965,"SECURITY")</f>
        <v>0</v>
      </c>
      <c r="R31" s="10" t="n">
        <f aca="false">SUMIFS('Vendor Months'!$G$6:$G$3965,'Vendor Months'!$A$6:$A$3965,$AS$1,'Vendor Months'!$C$6:$C$3965,A31,'Vendor Months'!$J$6:$J$3965,"COMPLIANCE")</f>
        <v>0</v>
      </c>
      <c r="S31" s="10" t="n">
        <f aca="false">SUMIFS('Vendor Months'!$G$6:$G$3965,'Vendor Months'!$A$6:$A$3965,$AS$1,'Vendor Months'!$C$6:$C$3965,A31,'Vendor Months'!$J$6:$J$3965,"INSURANCE")</f>
        <v>0</v>
      </c>
      <c r="T31" s="10" t="n">
        <f aca="false">SUMIFS('Vendor Months'!$G$6:$G$3965,'Vendor Months'!$A$6:$A$3965,$AS$1,'Vendor Months'!$C$6:$C$3965,A31,'Vendor Months'!$J$6:$J$3965,"ACCOUNTING")</f>
        <v>636.54</v>
      </c>
      <c r="U31" s="10" t="n">
        <f aca="false">SUMIFS('Vendor Months'!$G$6:$G$3965,'Vendor Months'!$A$6:$A$3965,$AS$1,'Vendor Months'!$C$6:$C$3965,A31,'Vendor Months'!$J$6:$J$3965,"SUPPORT")</f>
        <v>106.09</v>
      </c>
      <c r="V31" s="10" t="n">
        <f aca="false">SUMIFS('Vendor Months'!$G$6:$G$3965,'Vendor Months'!$A$6:$A$3965,$AS$1,'Vendor Months'!$C$6:$C$3965,A31,'Vendor Months'!$J$6:$J$3965,"MARKETING")</f>
        <v>1123.52641675043</v>
      </c>
      <c r="W31" s="10" t="n">
        <f aca="false">SUMIFS('Vendor Months'!$G$6:$G$3965,'Vendor Months'!$A$6:$A$3965,$AS$1,'Vendor Months'!$C$6:$C$3965,A31,'Vendor Months'!$J$6:$J$3965,"ONBOARD")</f>
        <v>477.405</v>
      </c>
      <c r="X31" s="10" t="n">
        <f aca="false">SUMIFS('Vendor Months'!$G$6:$G$3965,'Vendor Months'!$A$6:$A$3965,$AS$1,'Vendor Months'!$C$6:$C$3965,A31,'Vendor Months'!$J$6:$J$3965,"AI")</f>
        <v>0</v>
      </c>
      <c r="Y31" s="10" t="n">
        <f aca="false">SUMIFS('Vendor Months'!$G$6:$G$3965,'Vendor Months'!$A$6:$A$3965,$AS$1,'Vendor Months'!$C$6:$C$3965,A31,'Vendor Months'!$J$6:$J$3965,"CTMS")</f>
        <v>0</v>
      </c>
      <c r="Z31" s="10" t="n">
        <f aca="false">SUM(N31:Y31)</f>
        <v>16984.8155552869</v>
      </c>
      <c r="AA31" s="10" t="n">
        <f aca="false">(SUM(K31:M31)+Z31)*Assumptions!$D$12</f>
        <v>21773.162333293</v>
      </c>
      <c r="AB31" s="10" t="n">
        <f aca="false">AD31*Assumptions!$D$29</f>
        <v>381.251305523759</v>
      </c>
      <c r="AC31" s="10" t="n">
        <f aca="false">SUM(K31:M31)+Z31+AA31+AB31</f>
        <v>167308.829194104</v>
      </c>
      <c r="AD31" s="10" t="n">
        <f aca="false">D31*Assumptions!$D$17</f>
        <v>12708.376850792</v>
      </c>
      <c r="AE31" s="10" t="n">
        <f aca="false">AD31*12</f>
        <v>152500.522209503</v>
      </c>
      <c r="AF31" s="10" t="n">
        <f aca="false">AC31-AD31</f>
        <v>154600.452343312</v>
      </c>
      <c r="AG31" s="10" t="n">
        <f aca="false">IF(A31=Assumptions!$D$7,Assumptions!$D$8,0)</f>
        <v>0</v>
      </c>
      <c r="AH31" s="10" t="n">
        <f aca="false">AI30</f>
        <v>1209837.07880306</v>
      </c>
      <c r="AI31" s="10" t="n">
        <f aca="false">AH31+AG31-AF31</f>
        <v>1055236.62645975</v>
      </c>
      <c r="AJ31" s="10" t="n">
        <f aca="false">SUM($AC$6:AC31)</f>
        <v>3036634.06531185</v>
      </c>
      <c r="AK31" s="10" t="n">
        <f aca="false">MAX(0,-AI31)</f>
        <v>0</v>
      </c>
      <c r="AL31" s="10" t="n">
        <f aca="false">Assumptions!$D$6+SUM($AG$6:AG31)-AJ31</f>
        <v>963365.934688155</v>
      </c>
      <c r="AM31" s="10" t="n">
        <f aca="false">SUMIFS('Vendor Months'!$H$6:$H$3965,'Vendor Months'!$A$6:$A$3965,$AS$1,'Vendor Months'!$C$6:$C$3965,A31)</f>
        <v>14693.465</v>
      </c>
      <c r="AN31" s="10" t="n">
        <f aca="false">X31+Y31</f>
        <v>0</v>
      </c>
      <c r="AO31" s="10" t="n">
        <f aca="false">SUMIFS('Staff Months'!$I$6:$I$2345,'Staff Months'!$A$6:$A$2345,$AS$1,'Staff Months'!$C$6:$C$2345,A31)</f>
        <v>16224</v>
      </c>
      <c r="AP31" s="10" t="n">
        <f aca="false">SUM($AF$6:AF31)</f>
        <v>2944763.37354025</v>
      </c>
      <c r="AQ31" s="10" t="n">
        <f aca="false">AC31</f>
        <v>167308.829194104</v>
      </c>
      <c r="AR31" s="26" t="n">
        <f aca="false">IF(AI31&lt;0,1,0)</f>
        <v>0</v>
      </c>
      <c r="AS31" s="6"/>
    </row>
    <row r="32" customFormat="false" ht="15" hidden="false" customHeight="false" outlineLevel="0" collapsed="false">
      <c r="A32" s="6" t="n">
        <v>27</v>
      </c>
      <c r="B32" s="25" t="n">
        <f aca="false">EDATE('Start Here'!$B$6,A32-1)</f>
        <v>47119</v>
      </c>
      <c r="C32" s="11" t="n">
        <f aca="false">IF(A32&gt;=Assumptions!$D$13,Assumptions!$D$14*(1+Assumptions!$D$15)^INT((A32-Assumptions!$D$13)/12),0)</f>
        <v>1.5</v>
      </c>
      <c r="D32" s="11" t="n">
        <f aca="false">D31*(1-Assumptions!$D$16)+C32</f>
        <v>15.4792145358711</v>
      </c>
      <c r="E32" s="11" t="n">
        <f aca="false">D32*Assumptions!$D$18</f>
        <v>232.188218038067</v>
      </c>
      <c r="F32" s="11" t="n">
        <f aca="false">E32*Assumptions!$D$19*30/1000000</f>
        <v>1.0448469811713</v>
      </c>
      <c r="G32" s="11" t="n">
        <f aca="false">D32*Assumptions!$D$20</f>
        <v>77.3960726793557</v>
      </c>
      <c r="H32" s="11" t="n">
        <f aca="false">D32*Assumptions!$D$21</f>
        <v>15.4792145358711</v>
      </c>
      <c r="I32" s="11" t="n">
        <f aca="false">SUMIFS('Staff Months'!$E$6:$E$2345,'Staff Months'!$A$6:$A$2345,$AS$1,'Staff Months'!$C$6:$C$2345,A32)</f>
        <v>8.75</v>
      </c>
      <c r="J32" s="11" t="n">
        <f aca="false">SUMIFS('Staff Months'!$L$6:$L$2345,'Staff Months'!$A$6:$A$2345,$AS$1,'Staff Months'!$C$6:$C$2345,A32)</f>
        <v>11</v>
      </c>
      <c r="K32" s="10" t="n">
        <f aca="false">SUMIFS('Staff Months'!$H$6:$H$2345,'Staff Months'!$A$6:$A$2345,$AS$1,'Staff Months'!$C$6:$C$2345,A32)</f>
        <v>128169.6</v>
      </c>
      <c r="L32" s="10" t="n">
        <f aca="false">SUMIFS('Staff Months'!$J$6:$J$2345,'Staff Months'!$A$6:$A$2345,$AS$1,'Staff Months'!$C$6:$C$2345,A32)</f>
        <v>0</v>
      </c>
      <c r="M32" s="10" t="n">
        <f aca="false">SUMIFS('Staff Months'!$K$6:$K$2345,'Staff Months'!$A$6:$A$2345,$AS$1,'Staff Months'!$C$6:$C$2345,A32)</f>
        <v>0</v>
      </c>
      <c r="N32" s="10" t="n">
        <f aca="false">SUMIFS('Vendor Months'!$G$6:$G$3965,'Vendor Months'!$A$6:$A$3965,$AS$1,'Vendor Months'!$C$6:$C$3965,A32,'Vendor Months'!$J$6:$J$3965,"INFRA")</f>
        <v>1453.8052624011</v>
      </c>
      <c r="O32" s="10" t="n">
        <f aca="false">SUMIFS('Vendor Months'!$G$6:$G$3965,'Vendor Months'!$A$6:$A$3965,$AS$1,'Vendor Months'!$C$6:$C$3965,A32,'Vendor Months'!$J$6:$J$3965,"TOOLS")</f>
        <v>467.8569</v>
      </c>
      <c r="P32" s="10" t="n">
        <f aca="false">SUMIFS('Vendor Months'!$G$6:$G$3965,'Vendor Months'!$A$6:$A$3965,$AS$1,'Vendor Months'!$C$6:$C$3965,A32,'Vendor Months'!$J$6:$J$3965,"LEGAL")</f>
        <v>0</v>
      </c>
      <c r="Q32" s="10" t="n">
        <f aca="false">SUMIFS('Vendor Months'!$G$6:$G$3965,'Vendor Months'!$A$6:$A$3965,$AS$1,'Vendor Months'!$C$6:$C$3965,A32,'Vendor Months'!$J$6:$J$3965,"SECURITY")</f>
        <v>0</v>
      </c>
      <c r="R32" s="10" t="n">
        <f aca="false">SUMIFS('Vendor Months'!$G$6:$G$3965,'Vendor Months'!$A$6:$A$3965,$AS$1,'Vendor Months'!$C$6:$C$3965,A32,'Vendor Months'!$J$6:$J$3965,"COMPLIANCE")</f>
        <v>0</v>
      </c>
      <c r="S32" s="10" t="n">
        <f aca="false">SUMIFS('Vendor Months'!$G$6:$G$3965,'Vendor Months'!$A$6:$A$3965,$AS$1,'Vendor Months'!$C$6:$C$3965,A32,'Vendor Months'!$J$6:$J$3965,"INSURANCE")</f>
        <v>0</v>
      </c>
      <c r="T32" s="10" t="n">
        <f aca="false">SUMIFS('Vendor Months'!$G$6:$G$3965,'Vendor Months'!$A$6:$A$3965,$AS$1,'Vendor Months'!$C$6:$C$3965,A32,'Vendor Months'!$J$6:$J$3965,"ACCOUNTING")</f>
        <v>636.54</v>
      </c>
      <c r="U32" s="10" t="n">
        <f aca="false">SUMIFS('Vendor Months'!$G$6:$G$3965,'Vendor Months'!$A$6:$A$3965,$AS$1,'Vendor Months'!$C$6:$C$3965,A32,'Vendor Months'!$J$6:$J$3965,"SUPPORT")</f>
        <v>106.09</v>
      </c>
      <c r="V32" s="10" t="n">
        <f aca="false">SUMIFS('Vendor Months'!$G$6:$G$3965,'Vendor Months'!$A$6:$A$3965,$AS$1,'Vendor Months'!$C$6:$C$3965,A32,'Vendor Months'!$J$6:$J$3965,"MARKETING")</f>
        <v>1231.64240258293</v>
      </c>
      <c r="W32" s="10" t="n">
        <f aca="false">SUMIFS('Vendor Months'!$G$6:$G$3965,'Vendor Months'!$A$6:$A$3965,$AS$1,'Vendor Months'!$C$6:$C$3965,A32,'Vendor Months'!$J$6:$J$3965,"ONBOARD")</f>
        <v>477.405</v>
      </c>
      <c r="X32" s="10" t="n">
        <f aca="false">SUMIFS('Vendor Months'!$G$6:$G$3965,'Vendor Months'!$A$6:$A$3965,$AS$1,'Vendor Months'!$C$6:$C$3965,A32,'Vendor Months'!$J$6:$J$3965,"AI")</f>
        <v>0</v>
      </c>
      <c r="Y32" s="10" t="n">
        <f aca="false">SUMIFS('Vendor Months'!$G$6:$G$3965,'Vendor Months'!$A$6:$A$3965,$AS$1,'Vendor Months'!$C$6:$C$3965,A32,'Vendor Months'!$J$6:$J$3965,"CTMS")</f>
        <v>0</v>
      </c>
      <c r="Z32" s="10" t="n">
        <f aca="false">SUM(N32:Y32)</f>
        <v>4373.33956498402</v>
      </c>
      <c r="AA32" s="10" t="n">
        <f aca="false">(SUM(K32:M32)+Z32)*Assumptions!$D$12</f>
        <v>19881.4409347476</v>
      </c>
      <c r="AB32" s="10" t="n">
        <f aca="false">AD32*Assumptions!$D$29</f>
        <v>417.938792468521</v>
      </c>
      <c r="AC32" s="10" t="n">
        <f aca="false">SUM(K32:M32)+Z32+AA32+AB32</f>
        <v>152842.3192922</v>
      </c>
      <c r="AD32" s="10" t="n">
        <f aca="false">D32*Assumptions!$D$17</f>
        <v>13931.293082284</v>
      </c>
      <c r="AE32" s="10" t="n">
        <f aca="false">AD32*12</f>
        <v>167175.516987408</v>
      </c>
      <c r="AF32" s="10" t="n">
        <f aca="false">AC32-AD32</f>
        <v>138911.026209916</v>
      </c>
      <c r="AG32" s="10" t="n">
        <f aca="false">IF(A32=Assumptions!$D$7,Assumptions!$D$8,0)</f>
        <v>0</v>
      </c>
      <c r="AH32" s="10" t="n">
        <f aca="false">AI31</f>
        <v>1055236.62645975</v>
      </c>
      <c r="AI32" s="10" t="n">
        <f aca="false">AH32+AG32-AF32</f>
        <v>916325.600249835</v>
      </c>
      <c r="AJ32" s="10" t="n">
        <f aca="false">SUM($AC$6:AC32)</f>
        <v>3189476.38460405</v>
      </c>
      <c r="AK32" s="10" t="n">
        <f aca="false">MAX(0,-AI32)</f>
        <v>0</v>
      </c>
      <c r="AL32" s="10" t="n">
        <f aca="false">Assumptions!$D$6+SUM($AG$6:AG32)-AJ32</f>
        <v>810523.615395955</v>
      </c>
      <c r="AM32" s="10" t="n">
        <f aca="false">SUMIFS('Vendor Months'!$H$6:$H$3965,'Vendor Months'!$A$6:$A$3965,$AS$1,'Vendor Months'!$C$6:$C$3965,A32)</f>
        <v>1962.665</v>
      </c>
      <c r="AN32" s="10" t="n">
        <f aca="false">X32+Y32</f>
        <v>0</v>
      </c>
      <c r="AO32" s="10" t="n">
        <f aca="false">SUMIFS('Staff Months'!$I$6:$I$2345,'Staff Months'!$A$6:$A$2345,$AS$1,'Staff Months'!$C$6:$C$2345,A32)</f>
        <v>16224</v>
      </c>
      <c r="AP32" s="10" t="n">
        <f aca="false">SUM($AF$6:AF32)</f>
        <v>3083674.39975016</v>
      </c>
      <c r="AQ32" s="10" t="n">
        <f aca="false">AC32</f>
        <v>152842.3192922</v>
      </c>
      <c r="AR32" s="26" t="n">
        <f aca="false">IF(AI32&lt;0,1,0)</f>
        <v>0</v>
      </c>
      <c r="AS32" s="6"/>
    </row>
    <row r="33" customFormat="false" ht="15" hidden="false" customHeight="false" outlineLevel="0" collapsed="false">
      <c r="A33" s="6" t="n">
        <v>28</v>
      </c>
      <c r="B33" s="25" t="n">
        <f aca="false">EDATE('Start Here'!$B$6,A33-1)</f>
        <v>47150</v>
      </c>
      <c r="C33" s="11" t="n">
        <f aca="false">IF(A33&gt;=Assumptions!$D$13,Assumptions!$D$14*(1+Assumptions!$D$15)^INT((A33-Assumptions!$D$13)/12),0)</f>
        <v>1.5</v>
      </c>
      <c r="D33" s="11" t="n">
        <f aca="false">D32*(1-Assumptions!$D$16)+C33</f>
        <v>16.8244223905124</v>
      </c>
      <c r="E33" s="11" t="n">
        <f aca="false">D33*Assumptions!$D$18</f>
        <v>252.366335857687</v>
      </c>
      <c r="F33" s="11" t="n">
        <f aca="false">E33*Assumptions!$D$19*30/1000000</f>
        <v>1.13564851135959</v>
      </c>
      <c r="G33" s="11" t="n">
        <f aca="false">D33*Assumptions!$D$20</f>
        <v>84.1221119525622</v>
      </c>
      <c r="H33" s="11" t="n">
        <f aca="false">D33*Assumptions!$D$21</f>
        <v>16.8244223905124</v>
      </c>
      <c r="I33" s="11" t="n">
        <f aca="false">SUMIFS('Staff Months'!$E$6:$E$2345,'Staff Months'!$A$6:$A$2345,$AS$1,'Staff Months'!$C$6:$C$2345,A33)</f>
        <v>8.75</v>
      </c>
      <c r="J33" s="11" t="n">
        <f aca="false">SUMIFS('Staff Months'!$L$6:$L$2345,'Staff Months'!$A$6:$A$2345,$AS$1,'Staff Months'!$C$6:$C$2345,A33)</f>
        <v>11</v>
      </c>
      <c r="K33" s="10" t="n">
        <f aca="false">SUMIFS('Staff Months'!$H$6:$H$2345,'Staff Months'!$A$6:$A$2345,$AS$1,'Staff Months'!$C$6:$C$2345,A33)</f>
        <v>128169.6</v>
      </c>
      <c r="L33" s="10" t="n">
        <f aca="false">SUMIFS('Staff Months'!$J$6:$J$2345,'Staff Months'!$A$6:$A$2345,$AS$1,'Staff Months'!$C$6:$C$2345,A33)</f>
        <v>0</v>
      </c>
      <c r="M33" s="10" t="n">
        <f aca="false">SUMIFS('Staff Months'!$K$6:$K$2345,'Staff Months'!$A$6:$A$2345,$AS$1,'Staff Months'!$C$6:$C$2345,A33)</f>
        <v>0</v>
      </c>
      <c r="N33" s="10" t="n">
        <f aca="false">SUMIFS('Vendor Months'!$G$6:$G$3965,'Vendor Months'!$A$6:$A$3965,$AS$1,'Vendor Months'!$C$6:$C$3965,A33,'Vendor Months'!$J$6:$J$3965,"INFRA")</f>
        <v>1464.90120602709</v>
      </c>
      <c r="O33" s="10" t="n">
        <f aca="false">SUMIFS('Vendor Months'!$G$6:$G$3965,'Vendor Months'!$A$6:$A$3965,$AS$1,'Vendor Months'!$C$6:$C$3965,A33,'Vendor Months'!$J$6:$J$3965,"TOOLS")</f>
        <v>467.8569</v>
      </c>
      <c r="P33" s="10" t="n">
        <f aca="false">SUMIFS('Vendor Months'!$G$6:$G$3965,'Vendor Months'!$A$6:$A$3965,$AS$1,'Vendor Months'!$C$6:$C$3965,A33,'Vendor Months'!$J$6:$J$3965,"LEGAL")</f>
        <v>0</v>
      </c>
      <c r="Q33" s="10" t="n">
        <f aca="false">SUMIFS('Vendor Months'!$G$6:$G$3965,'Vendor Months'!$A$6:$A$3965,$AS$1,'Vendor Months'!$C$6:$C$3965,A33,'Vendor Months'!$J$6:$J$3965,"SECURITY")</f>
        <v>0</v>
      </c>
      <c r="R33" s="10" t="n">
        <f aca="false">SUMIFS('Vendor Months'!$G$6:$G$3965,'Vendor Months'!$A$6:$A$3965,$AS$1,'Vendor Months'!$C$6:$C$3965,A33,'Vendor Months'!$J$6:$J$3965,"COMPLIANCE")</f>
        <v>0</v>
      </c>
      <c r="S33" s="10" t="n">
        <f aca="false">SUMIFS('Vendor Months'!$G$6:$G$3965,'Vendor Months'!$A$6:$A$3965,$AS$1,'Vendor Months'!$C$6:$C$3965,A33,'Vendor Months'!$J$6:$J$3965,"INSURANCE")</f>
        <v>0</v>
      </c>
      <c r="T33" s="10" t="n">
        <f aca="false">SUMIFS('Vendor Months'!$G$6:$G$3965,'Vendor Months'!$A$6:$A$3965,$AS$1,'Vendor Months'!$C$6:$C$3965,A33,'Vendor Months'!$J$6:$J$3965,"ACCOUNTING")</f>
        <v>636.54</v>
      </c>
      <c r="U33" s="10" t="n">
        <f aca="false">SUMIFS('Vendor Months'!$G$6:$G$3965,'Vendor Months'!$A$6:$A$3965,$AS$1,'Vendor Months'!$C$6:$C$3965,A33,'Vendor Months'!$J$6:$J$3965,"SUPPORT")</f>
        <v>106.09</v>
      </c>
      <c r="V33" s="10" t="n">
        <f aca="false">SUMIFS('Vendor Months'!$G$6:$G$3965,'Vendor Months'!$A$6:$A$3965,$AS$1,'Vendor Months'!$C$6:$C$3965,A33,'Vendor Months'!$J$6:$J$3965,"MARKETING")</f>
        <v>1338.6772285571</v>
      </c>
      <c r="W33" s="10" t="n">
        <f aca="false">SUMIFS('Vendor Months'!$G$6:$G$3965,'Vendor Months'!$A$6:$A$3965,$AS$1,'Vendor Months'!$C$6:$C$3965,A33,'Vendor Months'!$J$6:$J$3965,"ONBOARD")</f>
        <v>477.405</v>
      </c>
      <c r="X33" s="10" t="n">
        <f aca="false">SUMIFS('Vendor Months'!$G$6:$G$3965,'Vendor Months'!$A$6:$A$3965,$AS$1,'Vendor Months'!$C$6:$C$3965,A33,'Vendor Months'!$J$6:$J$3965,"AI")</f>
        <v>0</v>
      </c>
      <c r="Y33" s="10" t="n">
        <f aca="false">SUMIFS('Vendor Months'!$G$6:$G$3965,'Vendor Months'!$A$6:$A$3965,$AS$1,'Vendor Months'!$C$6:$C$3965,A33,'Vendor Months'!$J$6:$J$3965,"CTMS")</f>
        <v>0</v>
      </c>
      <c r="Z33" s="10" t="n">
        <f aca="false">SUM(N33:Y33)</f>
        <v>4491.47033458418</v>
      </c>
      <c r="AA33" s="10" t="n">
        <f aca="false">(SUM(K33:M33)+Z33)*Assumptions!$D$12</f>
        <v>19899.1605501876</v>
      </c>
      <c r="AB33" s="10" t="n">
        <f aca="false">AD33*Assumptions!$D$29</f>
        <v>454.259404543836</v>
      </c>
      <c r="AC33" s="10" t="n">
        <f aca="false">SUM(K33:M33)+Z33+AA33+AB33</f>
        <v>153014.490289316</v>
      </c>
      <c r="AD33" s="10" t="n">
        <f aca="false">D33*Assumptions!$D$17</f>
        <v>15141.9801514612</v>
      </c>
      <c r="AE33" s="10" t="n">
        <f aca="false">AD33*12</f>
        <v>181703.761817534</v>
      </c>
      <c r="AF33" s="10" t="n">
        <f aca="false">AC33-AD33</f>
        <v>137872.510137854</v>
      </c>
      <c r="AG33" s="10" t="n">
        <f aca="false">IF(A33=Assumptions!$D$7,Assumptions!$D$8,0)</f>
        <v>0</v>
      </c>
      <c r="AH33" s="10" t="n">
        <f aca="false">AI32</f>
        <v>916325.600249835</v>
      </c>
      <c r="AI33" s="10" t="n">
        <f aca="false">AH33+AG33-AF33</f>
        <v>778453.09011198</v>
      </c>
      <c r="AJ33" s="10" t="n">
        <f aca="false">SUM($AC$6:AC33)</f>
        <v>3342490.87489336</v>
      </c>
      <c r="AK33" s="10" t="n">
        <f aca="false">MAX(0,-AI33)</f>
        <v>0</v>
      </c>
      <c r="AL33" s="10" t="n">
        <f aca="false">Assumptions!$D$6+SUM($AG$6:AG33)-AJ33</f>
        <v>657509.125106639</v>
      </c>
      <c r="AM33" s="10" t="n">
        <f aca="false">SUMIFS('Vendor Months'!$H$6:$H$3965,'Vendor Months'!$A$6:$A$3965,$AS$1,'Vendor Months'!$C$6:$C$3965,A33)</f>
        <v>1962.665</v>
      </c>
      <c r="AN33" s="10" t="n">
        <f aca="false">X33+Y33</f>
        <v>0</v>
      </c>
      <c r="AO33" s="10" t="n">
        <f aca="false">SUMIFS('Staff Months'!$I$6:$I$2345,'Staff Months'!$A$6:$A$2345,$AS$1,'Staff Months'!$C$6:$C$2345,A33)</f>
        <v>16224</v>
      </c>
      <c r="AP33" s="10" t="n">
        <f aca="false">SUM($AF$6:AF33)</f>
        <v>3221546.90988802</v>
      </c>
      <c r="AQ33" s="10" t="n">
        <f aca="false">AC33</f>
        <v>153014.490289316</v>
      </c>
      <c r="AR33" s="26" t="n">
        <f aca="false">IF(AI33&lt;0,1,0)</f>
        <v>0</v>
      </c>
      <c r="AS33" s="6"/>
    </row>
    <row r="34" customFormat="false" ht="15" hidden="false" customHeight="false" outlineLevel="0" collapsed="false">
      <c r="A34" s="6" t="n">
        <v>29</v>
      </c>
      <c r="B34" s="25" t="n">
        <f aca="false">EDATE('Start Here'!$B$6,A34-1)</f>
        <v>47178</v>
      </c>
      <c r="C34" s="11" t="n">
        <f aca="false">IF(A34&gt;=Assumptions!$D$13,Assumptions!$D$14*(1+Assumptions!$D$15)^INT((A34-Assumptions!$D$13)/12),0)</f>
        <v>1.5</v>
      </c>
      <c r="D34" s="11" t="n">
        <f aca="false">D33*(1-Assumptions!$D$16)+C34</f>
        <v>18.1561781666073</v>
      </c>
      <c r="E34" s="11" t="n">
        <f aca="false">D34*Assumptions!$D$18</f>
        <v>272.34267249911</v>
      </c>
      <c r="F34" s="11" t="n">
        <f aca="false">E34*Assumptions!$D$19*30/1000000</f>
        <v>1.22554202624599</v>
      </c>
      <c r="G34" s="11" t="n">
        <f aca="false">D34*Assumptions!$D$20</f>
        <v>90.7808908330366</v>
      </c>
      <c r="H34" s="11" t="n">
        <f aca="false">D34*Assumptions!$D$21</f>
        <v>18.1561781666073</v>
      </c>
      <c r="I34" s="11" t="n">
        <f aca="false">SUMIFS('Staff Months'!$E$6:$E$2345,'Staff Months'!$A$6:$A$2345,$AS$1,'Staff Months'!$C$6:$C$2345,A34)</f>
        <v>8.75</v>
      </c>
      <c r="J34" s="11" t="n">
        <f aca="false">SUMIFS('Staff Months'!$L$6:$L$2345,'Staff Months'!$A$6:$A$2345,$AS$1,'Staff Months'!$C$6:$C$2345,A34)</f>
        <v>11</v>
      </c>
      <c r="K34" s="10" t="n">
        <f aca="false">SUMIFS('Staff Months'!$H$6:$H$2345,'Staff Months'!$A$6:$A$2345,$AS$1,'Staff Months'!$C$6:$C$2345,A34)</f>
        <v>128169.6</v>
      </c>
      <c r="L34" s="10" t="n">
        <f aca="false">SUMIFS('Staff Months'!$J$6:$J$2345,'Staff Months'!$A$6:$A$2345,$AS$1,'Staff Months'!$C$6:$C$2345,A34)</f>
        <v>0</v>
      </c>
      <c r="M34" s="10" t="n">
        <f aca="false">SUMIFS('Staff Months'!$K$6:$K$2345,'Staff Months'!$A$6:$A$2345,$AS$1,'Staff Months'!$C$6:$C$2345,A34)</f>
        <v>0</v>
      </c>
      <c r="N34" s="10" t="n">
        <f aca="false">SUMIFS('Vendor Months'!$G$6:$G$3965,'Vendor Months'!$A$6:$A$3965,$AS$1,'Vendor Months'!$C$6:$C$3965,A34,'Vendor Months'!$J$6:$J$3965,"INFRA")</f>
        <v>1475.88619021681</v>
      </c>
      <c r="O34" s="10" t="n">
        <f aca="false">SUMIFS('Vendor Months'!$G$6:$G$3965,'Vendor Months'!$A$6:$A$3965,$AS$1,'Vendor Months'!$C$6:$C$3965,A34,'Vendor Months'!$J$6:$J$3965,"TOOLS")</f>
        <v>467.8569</v>
      </c>
      <c r="P34" s="10" t="n">
        <f aca="false">SUMIFS('Vendor Months'!$G$6:$G$3965,'Vendor Months'!$A$6:$A$3965,$AS$1,'Vendor Months'!$C$6:$C$3965,A34,'Vendor Months'!$J$6:$J$3965,"LEGAL")</f>
        <v>0</v>
      </c>
      <c r="Q34" s="10" t="n">
        <f aca="false">SUMIFS('Vendor Months'!$G$6:$G$3965,'Vendor Months'!$A$6:$A$3965,$AS$1,'Vendor Months'!$C$6:$C$3965,A34,'Vendor Months'!$J$6:$J$3965,"SECURITY")</f>
        <v>0</v>
      </c>
      <c r="R34" s="10" t="n">
        <f aca="false">SUMIFS('Vendor Months'!$G$6:$G$3965,'Vendor Months'!$A$6:$A$3965,$AS$1,'Vendor Months'!$C$6:$C$3965,A34,'Vendor Months'!$J$6:$J$3965,"COMPLIANCE")</f>
        <v>0</v>
      </c>
      <c r="S34" s="10" t="n">
        <f aca="false">SUMIFS('Vendor Months'!$G$6:$G$3965,'Vendor Months'!$A$6:$A$3965,$AS$1,'Vendor Months'!$C$6:$C$3965,A34,'Vendor Months'!$J$6:$J$3965,"INSURANCE")</f>
        <v>0</v>
      </c>
      <c r="T34" s="10" t="n">
        <f aca="false">SUMIFS('Vendor Months'!$G$6:$G$3965,'Vendor Months'!$A$6:$A$3965,$AS$1,'Vendor Months'!$C$6:$C$3965,A34,'Vendor Months'!$J$6:$J$3965,"ACCOUNTING")</f>
        <v>636.54</v>
      </c>
      <c r="U34" s="10" t="n">
        <f aca="false">SUMIFS('Vendor Months'!$G$6:$G$3965,'Vendor Months'!$A$6:$A$3965,$AS$1,'Vendor Months'!$C$6:$C$3965,A34,'Vendor Months'!$J$6:$J$3965,"SUPPORT")</f>
        <v>106.09</v>
      </c>
      <c r="V34" s="10" t="n">
        <f aca="false">SUMIFS('Vendor Months'!$G$6:$G$3965,'Vendor Months'!$A$6:$A$3965,$AS$1,'Vendor Months'!$C$6:$C$3965,A34,'Vendor Months'!$J$6:$J$3965,"MARKETING")</f>
        <v>1444.64170627153</v>
      </c>
      <c r="W34" s="10" t="n">
        <f aca="false">SUMIFS('Vendor Months'!$G$6:$G$3965,'Vendor Months'!$A$6:$A$3965,$AS$1,'Vendor Months'!$C$6:$C$3965,A34,'Vendor Months'!$J$6:$J$3965,"ONBOARD")</f>
        <v>477.405</v>
      </c>
      <c r="X34" s="10" t="n">
        <f aca="false">SUMIFS('Vendor Months'!$G$6:$G$3965,'Vendor Months'!$A$6:$A$3965,$AS$1,'Vendor Months'!$C$6:$C$3965,A34,'Vendor Months'!$J$6:$J$3965,"AI")</f>
        <v>0</v>
      </c>
      <c r="Y34" s="10" t="n">
        <f aca="false">SUMIFS('Vendor Months'!$G$6:$G$3965,'Vendor Months'!$A$6:$A$3965,$AS$1,'Vendor Months'!$C$6:$C$3965,A34,'Vendor Months'!$J$6:$J$3965,"CTMS")</f>
        <v>0</v>
      </c>
      <c r="Z34" s="10" t="n">
        <f aca="false">SUM(N34:Y34)</f>
        <v>4608.41979648834</v>
      </c>
      <c r="AA34" s="10" t="n">
        <f aca="false">(SUM(K34:M34)+Z34)*Assumptions!$D$12</f>
        <v>19916.7029694733</v>
      </c>
      <c r="AB34" s="10" t="n">
        <f aca="false">AD34*Assumptions!$D$29</f>
        <v>490.216810498397</v>
      </c>
      <c r="AC34" s="10" t="n">
        <f aca="false">SUM(K34:M34)+Z34+AA34+AB34</f>
        <v>153184.93957646</v>
      </c>
      <c r="AD34" s="10" t="n">
        <f aca="false">D34*Assumptions!$D$17</f>
        <v>16340.5603499466</v>
      </c>
      <c r="AE34" s="10" t="n">
        <f aca="false">AD34*12</f>
        <v>196086.724199359</v>
      </c>
      <c r="AF34" s="10" t="n">
        <f aca="false">AC34-AD34</f>
        <v>136844.379226513</v>
      </c>
      <c r="AG34" s="10" t="n">
        <f aca="false">IF(A34=Assumptions!$D$7,Assumptions!$D$8,0)</f>
        <v>0</v>
      </c>
      <c r="AH34" s="10" t="n">
        <f aca="false">AI33</f>
        <v>778453.09011198</v>
      </c>
      <c r="AI34" s="10" t="n">
        <f aca="false">AH34+AG34-AF34</f>
        <v>641608.710885467</v>
      </c>
      <c r="AJ34" s="10" t="n">
        <f aca="false">SUM($AC$6:AC34)</f>
        <v>3495675.81446982</v>
      </c>
      <c r="AK34" s="10" t="n">
        <f aca="false">MAX(0,-AI34)</f>
        <v>0</v>
      </c>
      <c r="AL34" s="10" t="n">
        <f aca="false">Assumptions!$D$6+SUM($AG$6:AG34)-AJ34</f>
        <v>504324.185530179</v>
      </c>
      <c r="AM34" s="10" t="n">
        <f aca="false">SUMIFS('Vendor Months'!$H$6:$H$3965,'Vendor Months'!$A$6:$A$3965,$AS$1,'Vendor Months'!$C$6:$C$3965,A34)</f>
        <v>1962.665</v>
      </c>
      <c r="AN34" s="10" t="n">
        <f aca="false">X34+Y34</f>
        <v>0</v>
      </c>
      <c r="AO34" s="10" t="n">
        <f aca="false">SUMIFS('Staff Months'!$I$6:$I$2345,'Staff Months'!$A$6:$A$2345,$AS$1,'Staff Months'!$C$6:$C$2345,A34)</f>
        <v>16224</v>
      </c>
      <c r="AP34" s="10" t="n">
        <f aca="false">SUM($AF$6:AF34)</f>
        <v>3358391.28911453</v>
      </c>
      <c r="AQ34" s="10" t="n">
        <f aca="false">AC34</f>
        <v>153184.93957646</v>
      </c>
      <c r="AR34" s="26" t="n">
        <f aca="false">IF(AI34&lt;0,1,0)</f>
        <v>0</v>
      </c>
      <c r="AS34" s="6"/>
    </row>
    <row r="35" customFormat="false" ht="15" hidden="false" customHeight="false" outlineLevel="0" collapsed="false">
      <c r="A35" s="6" t="n">
        <v>30</v>
      </c>
      <c r="B35" s="25" t="n">
        <f aca="false">EDATE('Start Here'!$B$6,A35-1)</f>
        <v>47209</v>
      </c>
      <c r="C35" s="11" t="n">
        <f aca="false">IF(A35&gt;=Assumptions!$D$13,Assumptions!$D$14*(1+Assumptions!$D$15)^INT((A35-Assumptions!$D$13)/12),0)</f>
        <v>1.5</v>
      </c>
      <c r="D35" s="11" t="n">
        <f aca="false">D34*(1-Assumptions!$D$16)+C35</f>
        <v>19.4746163849412</v>
      </c>
      <c r="E35" s="11" t="n">
        <f aca="false">D35*Assumptions!$D$18</f>
        <v>292.119245774119</v>
      </c>
      <c r="F35" s="11" t="n">
        <f aca="false">E35*Assumptions!$D$19*30/1000000</f>
        <v>1.31453660598353</v>
      </c>
      <c r="G35" s="11" t="n">
        <f aca="false">D35*Assumptions!$D$20</f>
        <v>97.3730819247062</v>
      </c>
      <c r="H35" s="11" t="n">
        <f aca="false">D35*Assumptions!$D$21</f>
        <v>19.4746163849412</v>
      </c>
      <c r="I35" s="11" t="n">
        <f aca="false">SUMIFS('Staff Months'!$E$6:$E$2345,'Staff Months'!$A$6:$A$2345,$AS$1,'Staff Months'!$C$6:$C$2345,A35)</f>
        <v>8.75</v>
      </c>
      <c r="J35" s="11" t="n">
        <f aca="false">SUMIFS('Staff Months'!$L$6:$L$2345,'Staff Months'!$A$6:$A$2345,$AS$1,'Staff Months'!$C$6:$C$2345,A35)</f>
        <v>11</v>
      </c>
      <c r="K35" s="10" t="n">
        <f aca="false">SUMIFS('Staff Months'!$H$6:$H$2345,'Staff Months'!$A$6:$A$2345,$AS$1,'Staff Months'!$C$6:$C$2345,A35)</f>
        <v>128169.6</v>
      </c>
      <c r="L35" s="10" t="n">
        <f aca="false">SUMIFS('Staff Months'!$J$6:$J$2345,'Staff Months'!$A$6:$A$2345,$AS$1,'Staff Months'!$C$6:$C$2345,A35)</f>
        <v>0</v>
      </c>
      <c r="M35" s="10" t="n">
        <f aca="false">SUMIFS('Staff Months'!$K$6:$K$2345,'Staff Months'!$A$6:$A$2345,$AS$1,'Staff Months'!$C$6:$C$2345,A35)</f>
        <v>0</v>
      </c>
      <c r="N35" s="10" t="n">
        <f aca="false">SUMIFS('Vendor Months'!$G$6:$G$3965,'Vendor Months'!$A$6:$A$3965,$AS$1,'Vendor Months'!$C$6:$C$3965,A35,'Vendor Months'!$J$6:$J$3965,"INFRA")</f>
        <v>1486.76132456465</v>
      </c>
      <c r="O35" s="10" t="n">
        <f aca="false">SUMIFS('Vendor Months'!$G$6:$G$3965,'Vendor Months'!$A$6:$A$3965,$AS$1,'Vendor Months'!$C$6:$C$3965,A35,'Vendor Months'!$J$6:$J$3965,"TOOLS")</f>
        <v>467.8569</v>
      </c>
      <c r="P35" s="10" t="n">
        <f aca="false">SUMIFS('Vendor Months'!$G$6:$G$3965,'Vendor Months'!$A$6:$A$3965,$AS$1,'Vendor Months'!$C$6:$C$3965,A35,'Vendor Months'!$J$6:$J$3965,"LEGAL")</f>
        <v>0</v>
      </c>
      <c r="Q35" s="10" t="n">
        <f aca="false">SUMIFS('Vendor Months'!$G$6:$G$3965,'Vendor Months'!$A$6:$A$3965,$AS$1,'Vendor Months'!$C$6:$C$3965,A35,'Vendor Months'!$J$6:$J$3965,"SECURITY")</f>
        <v>0</v>
      </c>
      <c r="R35" s="10" t="n">
        <f aca="false">SUMIFS('Vendor Months'!$G$6:$G$3965,'Vendor Months'!$A$6:$A$3965,$AS$1,'Vendor Months'!$C$6:$C$3965,A35,'Vendor Months'!$J$6:$J$3965,"COMPLIANCE")</f>
        <v>0</v>
      </c>
      <c r="S35" s="10" t="n">
        <f aca="false">SUMIFS('Vendor Months'!$G$6:$G$3965,'Vendor Months'!$A$6:$A$3965,$AS$1,'Vendor Months'!$C$6:$C$3965,A35,'Vendor Months'!$J$6:$J$3965,"INSURANCE")</f>
        <v>0</v>
      </c>
      <c r="T35" s="10" t="n">
        <f aca="false">SUMIFS('Vendor Months'!$G$6:$G$3965,'Vendor Months'!$A$6:$A$3965,$AS$1,'Vendor Months'!$C$6:$C$3965,A35,'Vendor Months'!$J$6:$J$3965,"ACCOUNTING")</f>
        <v>636.54</v>
      </c>
      <c r="U35" s="10" t="n">
        <f aca="false">SUMIFS('Vendor Months'!$G$6:$G$3965,'Vendor Months'!$A$6:$A$3965,$AS$1,'Vendor Months'!$C$6:$C$3965,A35,'Vendor Months'!$J$6:$J$3965,"SUPPORT")</f>
        <v>106.09</v>
      </c>
      <c r="V35" s="10" t="n">
        <f aca="false">SUMIFS('Vendor Months'!$G$6:$G$3965,'Vendor Months'!$A$6:$A$3965,$AS$1,'Vendor Months'!$C$6:$C$3965,A35,'Vendor Months'!$J$6:$J$3965,"MARKETING")</f>
        <v>1549.54653920881</v>
      </c>
      <c r="W35" s="10" t="n">
        <f aca="false">SUMIFS('Vendor Months'!$G$6:$G$3965,'Vendor Months'!$A$6:$A$3965,$AS$1,'Vendor Months'!$C$6:$C$3965,A35,'Vendor Months'!$J$6:$J$3965,"ONBOARD")</f>
        <v>477.405</v>
      </c>
      <c r="X35" s="10" t="n">
        <f aca="false">SUMIFS('Vendor Months'!$G$6:$G$3965,'Vendor Months'!$A$6:$A$3965,$AS$1,'Vendor Months'!$C$6:$C$3965,A35,'Vendor Months'!$J$6:$J$3965,"AI")</f>
        <v>0</v>
      </c>
      <c r="Y35" s="10" t="n">
        <f aca="false">SUMIFS('Vendor Months'!$G$6:$G$3965,'Vendor Months'!$A$6:$A$3965,$AS$1,'Vendor Months'!$C$6:$C$3965,A35,'Vendor Months'!$J$6:$J$3965,"CTMS")</f>
        <v>0</v>
      </c>
      <c r="Z35" s="10" t="n">
        <f aca="false">SUM(N35:Y35)</f>
        <v>4724.19976377346</v>
      </c>
      <c r="AA35" s="10" t="n">
        <f aca="false">(SUM(K35:M35)+Z35)*Assumptions!$D$12</f>
        <v>19934.069964566</v>
      </c>
      <c r="AB35" s="10" t="n">
        <f aca="false">AD35*Assumptions!$D$29</f>
        <v>525.814642393414</v>
      </c>
      <c r="AC35" s="10" t="n">
        <f aca="false">SUM(K35:M35)+Z35+AA35+AB35</f>
        <v>153353.684370733</v>
      </c>
      <c r="AD35" s="10" t="n">
        <f aca="false">D35*Assumptions!$D$17</f>
        <v>17527.1547464471</v>
      </c>
      <c r="AE35" s="10" t="n">
        <f aca="false">AD35*12</f>
        <v>210325.856957365</v>
      </c>
      <c r="AF35" s="10" t="n">
        <f aca="false">AC35-AD35</f>
        <v>135826.529624286</v>
      </c>
      <c r="AG35" s="10" t="n">
        <f aca="false">IF(A35=Assumptions!$D$7,Assumptions!$D$8,0)</f>
        <v>0</v>
      </c>
      <c r="AH35" s="10" t="n">
        <f aca="false">AI34</f>
        <v>641608.710885467</v>
      </c>
      <c r="AI35" s="10" t="n">
        <f aca="false">AH35+AG35-AF35</f>
        <v>505782.181261181</v>
      </c>
      <c r="AJ35" s="10" t="n">
        <f aca="false">SUM($AC$6:AC35)</f>
        <v>3649029.49884055</v>
      </c>
      <c r="AK35" s="10" t="n">
        <f aca="false">MAX(0,-AI35)</f>
        <v>0</v>
      </c>
      <c r="AL35" s="10" t="n">
        <f aca="false">Assumptions!$D$6+SUM($AG$6:AG35)-AJ35</f>
        <v>350970.501159446</v>
      </c>
      <c r="AM35" s="10" t="n">
        <f aca="false">SUMIFS('Vendor Months'!$H$6:$H$3965,'Vendor Months'!$A$6:$A$3965,$AS$1,'Vendor Months'!$C$6:$C$3965,A35)</f>
        <v>1962.665</v>
      </c>
      <c r="AN35" s="10" t="n">
        <f aca="false">X35+Y35</f>
        <v>0</v>
      </c>
      <c r="AO35" s="10" t="n">
        <f aca="false">SUMIFS('Staff Months'!$I$6:$I$2345,'Staff Months'!$A$6:$A$2345,$AS$1,'Staff Months'!$C$6:$C$2345,A35)</f>
        <v>16224</v>
      </c>
      <c r="AP35" s="10" t="n">
        <f aca="false">SUM($AF$6:AF35)</f>
        <v>3494217.81873882</v>
      </c>
      <c r="AQ35" s="10" t="n">
        <f aca="false">AC35</f>
        <v>153353.684370733</v>
      </c>
      <c r="AR35" s="26" t="n">
        <f aca="false">IF(AI35&lt;0,1,0)</f>
        <v>0</v>
      </c>
      <c r="AS35" s="6"/>
    </row>
    <row r="36" customFormat="false" ht="15" hidden="false" customHeight="false" outlineLevel="0" collapsed="false">
      <c r="A36" s="6" t="n">
        <v>31</v>
      </c>
      <c r="B36" s="25" t="n">
        <f aca="false">EDATE('Start Here'!$B$6,A36-1)</f>
        <v>47239</v>
      </c>
      <c r="C36" s="11" t="n">
        <f aca="false">IF(A36&gt;=Assumptions!$D$13,Assumptions!$D$14*(1+Assumptions!$D$15)^INT((A36-Assumptions!$D$13)/12),0)</f>
        <v>1.5</v>
      </c>
      <c r="D36" s="11" t="n">
        <f aca="false">D35*(1-Assumptions!$D$16)+C36</f>
        <v>20.7798702210918</v>
      </c>
      <c r="E36" s="11" t="n">
        <f aca="false">D36*Assumptions!$D$18</f>
        <v>311.698053316377</v>
      </c>
      <c r="F36" s="11" t="n">
        <f aca="false">E36*Assumptions!$D$19*30/1000000</f>
        <v>1.4026412399237</v>
      </c>
      <c r="G36" s="11" t="n">
        <f aca="false">D36*Assumptions!$D$20</f>
        <v>103.899351105459</v>
      </c>
      <c r="H36" s="11" t="n">
        <f aca="false">D36*Assumptions!$D$21</f>
        <v>20.7798702210918</v>
      </c>
      <c r="I36" s="11" t="n">
        <f aca="false">SUMIFS('Staff Months'!$E$6:$E$2345,'Staff Months'!$A$6:$A$2345,$AS$1,'Staff Months'!$C$6:$C$2345,A36)</f>
        <v>12.75</v>
      </c>
      <c r="J36" s="11" t="n">
        <f aca="false">SUMIFS('Staff Months'!$L$6:$L$2345,'Staff Months'!$A$6:$A$2345,$AS$1,'Staff Months'!$C$6:$C$2345,A36)</f>
        <v>14</v>
      </c>
      <c r="K36" s="10" t="n">
        <f aca="false">SUMIFS('Staff Months'!$H$6:$H$2345,'Staff Months'!$A$6:$A$2345,$AS$1,'Staff Months'!$C$6:$C$2345,A36)</f>
        <v>187432.266666667</v>
      </c>
      <c r="L36" s="10" t="n">
        <f aca="false">SUMIFS('Staff Months'!$J$6:$J$2345,'Staff Months'!$A$6:$A$2345,$AS$1,'Staff Months'!$C$6:$C$2345,A36)</f>
        <v>28000</v>
      </c>
      <c r="M36" s="10" t="n">
        <f aca="false">SUMIFS('Staff Months'!$K$6:$K$2345,'Staff Months'!$A$6:$A$2345,$AS$1,'Staff Months'!$C$6:$C$2345,A36)</f>
        <v>12000</v>
      </c>
      <c r="N36" s="10" t="n">
        <f aca="false">SUMIFS('Vendor Months'!$G$6:$G$3965,'Vendor Months'!$A$6:$A$3965,$AS$1,'Vendor Months'!$C$6:$C$3965,A36,'Vendor Months'!$J$6:$J$3965,"INFRA")</f>
        <v>1497.527707569</v>
      </c>
      <c r="O36" s="10" t="n">
        <f aca="false">SUMIFS('Vendor Months'!$G$6:$G$3965,'Vendor Months'!$A$6:$A$3965,$AS$1,'Vendor Months'!$C$6:$C$3965,A36,'Vendor Months'!$J$6:$J$3965,"TOOLS")</f>
        <v>675.7933</v>
      </c>
      <c r="P36" s="10" t="n">
        <f aca="false">SUMIFS('Vendor Months'!$G$6:$G$3965,'Vendor Months'!$A$6:$A$3965,$AS$1,'Vendor Months'!$C$6:$C$3965,A36,'Vendor Months'!$J$6:$J$3965,"LEGAL")</f>
        <v>0</v>
      </c>
      <c r="Q36" s="10" t="n">
        <f aca="false">SUMIFS('Vendor Months'!$G$6:$G$3965,'Vendor Months'!$A$6:$A$3965,$AS$1,'Vendor Months'!$C$6:$C$3965,A36,'Vendor Months'!$J$6:$J$3965,"SECURITY")</f>
        <v>0</v>
      </c>
      <c r="R36" s="10" t="n">
        <f aca="false">SUMIFS('Vendor Months'!$G$6:$G$3965,'Vendor Months'!$A$6:$A$3965,$AS$1,'Vendor Months'!$C$6:$C$3965,A36,'Vendor Months'!$J$6:$J$3965,"COMPLIANCE")</f>
        <v>0</v>
      </c>
      <c r="S36" s="10" t="n">
        <f aca="false">SUMIFS('Vendor Months'!$G$6:$G$3965,'Vendor Months'!$A$6:$A$3965,$AS$1,'Vendor Months'!$C$6:$C$3965,A36,'Vendor Months'!$J$6:$J$3965,"INSURANCE")</f>
        <v>0</v>
      </c>
      <c r="T36" s="10" t="n">
        <f aca="false">SUMIFS('Vendor Months'!$G$6:$G$3965,'Vendor Months'!$A$6:$A$3965,$AS$1,'Vendor Months'!$C$6:$C$3965,A36,'Vendor Months'!$J$6:$J$3965,"ACCOUNTING")</f>
        <v>636.54</v>
      </c>
      <c r="U36" s="10" t="n">
        <f aca="false">SUMIFS('Vendor Months'!$G$6:$G$3965,'Vendor Months'!$A$6:$A$3965,$AS$1,'Vendor Months'!$C$6:$C$3965,A36,'Vendor Months'!$J$6:$J$3965,"SUPPORT")</f>
        <v>106.09</v>
      </c>
      <c r="V36" s="10" t="n">
        <f aca="false">SUMIFS('Vendor Months'!$G$6:$G$3965,'Vendor Months'!$A$6:$A$3965,$AS$1,'Vendor Months'!$C$6:$C$3965,A36,'Vendor Months'!$J$6:$J$3965,"MARKETING")</f>
        <v>1653.40232381672</v>
      </c>
      <c r="W36" s="10" t="n">
        <f aca="false">SUMIFS('Vendor Months'!$G$6:$G$3965,'Vendor Months'!$A$6:$A$3965,$AS$1,'Vendor Months'!$C$6:$C$3965,A36,'Vendor Months'!$J$6:$J$3965,"ONBOARD")</f>
        <v>477.405</v>
      </c>
      <c r="X36" s="10" t="n">
        <f aca="false">SUMIFS('Vendor Months'!$G$6:$G$3965,'Vendor Months'!$A$6:$A$3965,$AS$1,'Vendor Months'!$C$6:$C$3965,A36,'Vendor Months'!$J$6:$J$3965,"AI")</f>
        <v>0</v>
      </c>
      <c r="Y36" s="10" t="n">
        <f aca="false">SUMIFS('Vendor Months'!$G$6:$G$3965,'Vendor Months'!$A$6:$A$3965,$AS$1,'Vendor Months'!$C$6:$C$3965,A36,'Vendor Months'!$J$6:$J$3965,"CTMS")</f>
        <v>0</v>
      </c>
      <c r="Z36" s="10" t="n">
        <f aca="false">SUM(N36:Y36)</f>
        <v>5046.75833138572</v>
      </c>
      <c r="AA36" s="10" t="n">
        <f aca="false">(SUM(K36:M36)+Z36)*Assumptions!$D$12</f>
        <v>34871.8537497079</v>
      </c>
      <c r="AB36" s="10" t="n">
        <f aca="false">AD36*Assumptions!$D$29</f>
        <v>561.056495969479</v>
      </c>
      <c r="AC36" s="10" t="n">
        <f aca="false">SUM(K36:M36)+Z36+AA36+AB36</f>
        <v>267911.93524373</v>
      </c>
      <c r="AD36" s="10" t="n">
        <f aca="false">D36*Assumptions!$D$17</f>
        <v>18701.8831989826</v>
      </c>
      <c r="AE36" s="10" t="n">
        <f aca="false">AD36*12</f>
        <v>224422.598387792</v>
      </c>
      <c r="AF36" s="10" t="n">
        <f aca="false">AC36-AD36</f>
        <v>249210.052044747</v>
      </c>
      <c r="AG36" s="10" t="n">
        <f aca="false">IF(A36=Assumptions!$D$7,Assumptions!$D$8,0)</f>
        <v>0</v>
      </c>
      <c r="AH36" s="10" t="n">
        <f aca="false">AI35</f>
        <v>505782.181261181</v>
      </c>
      <c r="AI36" s="10" t="n">
        <f aca="false">AH36+AG36-AF36</f>
        <v>256572.129216434</v>
      </c>
      <c r="AJ36" s="10" t="n">
        <f aca="false">SUM($AC$6:AC36)</f>
        <v>3916941.43408428</v>
      </c>
      <c r="AK36" s="10" t="n">
        <f aca="false">MAX(0,-AI36)</f>
        <v>0</v>
      </c>
      <c r="AL36" s="10" t="n">
        <f aca="false">Assumptions!$D$6+SUM($AG$6:AG36)-AJ36</f>
        <v>83058.5659157164</v>
      </c>
      <c r="AM36" s="10" t="n">
        <f aca="false">SUMIFS('Vendor Months'!$H$6:$H$3965,'Vendor Months'!$A$6:$A$3965,$AS$1,'Vendor Months'!$C$6:$C$3965,A36)</f>
        <v>1962.665</v>
      </c>
      <c r="AN36" s="10" t="n">
        <f aca="false">X36+Y36</f>
        <v>0</v>
      </c>
      <c r="AO36" s="10" t="n">
        <f aca="false">SUMIFS('Staff Months'!$I$6:$I$2345,'Staff Months'!$A$6:$A$2345,$AS$1,'Staff Months'!$C$6:$C$2345,A36)</f>
        <v>16224</v>
      </c>
      <c r="AP36" s="10" t="n">
        <f aca="false">SUM($AF$6:AF36)</f>
        <v>3743427.87078357</v>
      </c>
      <c r="AQ36" s="10" t="n">
        <f aca="false">AC36</f>
        <v>267911.93524373</v>
      </c>
      <c r="AR36" s="26" t="n">
        <f aca="false">IF(AI36&lt;0,1,0)</f>
        <v>0</v>
      </c>
      <c r="AS36" s="6"/>
    </row>
    <row r="37" customFormat="false" ht="15" hidden="false" customHeight="false" outlineLevel="0" collapsed="false">
      <c r="A37" s="6" t="n">
        <v>32</v>
      </c>
      <c r="B37" s="25" t="n">
        <f aca="false">EDATE('Start Here'!$B$6,A37-1)</f>
        <v>47270</v>
      </c>
      <c r="C37" s="11" t="n">
        <f aca="false">IF(A37&gt;=Assumptions!$D$13,Assumptions!$D$14*(1+Assumptions!$D$15)^INT((A37-Assumptions!$D$13)/12),0)</f>
        <v>1.5</v>
      </c>
      <c r="D37" s="11" t="n">
        <f aca="false">D36*(1-Assumptions!$D$16)+C37</f>
        <v>22.0720715188809</v>
      </c>
      <c r="E37" s="11" t="n">
        <f aca="false">D37*Assumptions!$D$18</f>
        <v>331.081072783214</v>
      </c>
      <c r="F37" s="11" t="n">
        <f aca="false">E37*Assumptions!$D$19*30/1000000</f>
        <v>1.48986482752446</v>
      </c>
      <c r="G37" s="11" t="n">
        <f aca="false">D37*Assumptions!$D$20</f>
        <v>110.360357594405</v>
      </c>
      <c r="H37" s="11" t="n">
        <f aca="false">D37*Assumptions!$D$21</f>
        <v>22.0720715188809</v>
      </c>
      <c r="I37" s="11" t="n">
        <f aca="false">SUMIFS('Staff Months'!$E$6:$E$2345,'Staff Months'!$A$6:$A$2345,$AS$1,'Staff Months'!$C$6:$C$2345,A37)</f>
        <v>12.75</v>
      </c>
      <c r="J37" s="11" t="n">
        <f aca="false">SUMIFS('Staff Months'!$L$6:$L$2345,'Staff Months'!$A$6:$A$2345,$AS$1,'Staff Months'!$C$6:$C$2345,A37)</f>
        <v>14</v>
      </c>
      <c r="K37" s="10" t="n">
        <f aca="false">SUMIFS('Staff Months'!$H$6:$H$2345,'Staff Months'!$A$6:$A$2345,$AS$1,'Staff Months'!$C$6:$C$2345,A37)</f>
        <v>187432.266666667</v>
      </c>
      <c r="L37" s="10" t="n">
        <f aca="false">SUMIFS('Staff Months'!$J$6:$J$2345,'Staff Months'!$A$6:$A$2345,$AS$1,'Staff Months'!$C$6:$C$2345,A37)</f>
        <v>0</v>
      </c>
      <c r="M37" s="10" t="n">
        <f aca="false">SUMIFS('Staff Months'!$K$6:$K$2345,'Staff Months'!$A$6:$A$2345,$AS$1,'Staff Months'!$C$6:$C$2345,A37)</f>
        <v>0</v>
      </c>
      <c r="N37" s="10" t="n">
        <f aca="false">SUMIFS('Vendor Months'!$G$6:$G$3965,'Vendor Months'!$A$6:$A$3965,$AS$1,'Vendor Months'!$C$6:$C$3965,A37,'Vendor Months'!$J$6:$J$3965,"INFRA")</f>
        <v>1508.18642674331</v>
      </c>
      <c r="O37" s="10" t="n">
        <f aca="false">SUMIFS('Vendor Months'!$G$6:$G$3965,'Vendor Months'!$A$6:$A$3965,$AS$1,'Vendor Months'!$C$6:$C$3965,A37,'Vendor Months'!$J$6:$J$3965,"TOOLS")</f>
        <v>675.7933</v>
      </c>
      <c r="P37" s="10" t="n">
        <f aca="false">SUMIFS('Vendor Months'!$G$6:$G$3965,'Vendor Months'!$A$6:$A$3965,$AS$1,'Vendor Months'!$C$6:$C$3965,A37,'Vendor Months'!$J$6:$J$3965,"LEGAL")</f>
        <v>0</v>
      </c>
      <c r="Q37" s="10" t="n">
        <f aca="false">SUMIFS('Vendor Months'!$G$6:$G$3965,'Vendor Months'!$A$6:$A$3965,$AS$1,'Vendor Months'!$C$6:$C$3965,A37,'Vendor Months'!$J$6:$J$3965,"SECURITY")</f>
        <v>0</v>
      </c>
      <c r="R37" s="10" t="n">
        <f aca="false">SUMIFS('Vendor Months'!$G$6:$G$3965,'Vendor Months'!$A$6:$A$3965,$AS$1,'Vendor Months'!$C$6:$C$3965,A37,'Vendor Months'!$J$6:$J$3965,"COMPLIANCE")</f>
        <v>0</v>
      </c>
      <c r="S37" s="10" t="n">
        <f aca="false">SUMIFS('Vendor Months'!$G$6:$G$3965,'Vendor Months'!$A$6:$A$3965,$AS$1,'Vendor Months'!$C$6:$C$3965,A37,'Vendor Months'!$J$6:$J$3965,"INSURANCE")</f>
        <v>0</v>
      </c>
      <c r="T37" s="10" t="n">
        <f aca="false">SUMIFS('Vendor Months'!$G$6:$G$3965,'Vendor Months'!$A$6:$A$3965,$AS$1,'Vendor Months'!$C$6:$C$3965,A37,'Vendor Months'!$J$6:$J$3965,"ACCOUNTING")</f>
        <v>636.54</v>
      </c>
      <c r="U37" s="10" t="n">
        <f aca="false">SUMIFS('Vendor Months'!$G$6:$G$3965,'Vendor Months'!$A$6:$A$3965,$AS$1,'Vendor Months'!$C$6:$C$3965,A37,'Vendor Months'!$J$6:$J$3965,"SUPPORT")</f>
        <v>106.09</v>
      </c>
      <c r="V37" s="10" t="n">
        <f aca="false">SUMIFS('Vendor Months'!$G$6:$G$3965,'Vendor Months'!$A$6:$A$3965,$AS$1,'Vendor Months'!$C$6:$C$3965,A37,'Vendor Months'!$J$6:$J$3965,"MARKETING")</f>
        <v>1756.21955057856</v>
      </c>
      <c r="W37" s="10" t="n">
        <f aca="false">SUMIFS('Vendor Months'!$G$6:$G$3965,'Vendor Months'!$A$6:$A$3965,$AS$1,'Vendor Months'!$C$6:$C$3965,A37,'Vendor Months'!$J$6:$J$3965,"ONBOARD")</f>
        <v>477.405</v>
      </c>
      <c r="X37" s="10" t="n">
        <f aca="false">SUMIFS('Vendor Months'!$G$6:$G$3965,'Vendor Months'!$A$6:$A$3965,$AS$1,'Vendor Months'!$C$6:$C$3965,A37,'Vendor Months'!$J$6:$J$3965,"AI")</f>
        <v>0</v>
      </c>
      <c r="Y37" s="10" t="n">
        <f aca="false">SUMIFS('Vendor Months'!$G$6:$G$3965,'Vendor Months'!$A$6:$A$3965,$AS$1,'Vendor Months'!$C$6:$C$3965,A37,'Vendor Months'!$J$6:$J$3965,"CTMS")</f>
        <v>0</v>
      </c>
      <c r="Z37" s="10" t="n">
        <f aca="false">SUM(N37:Y37)</f>
        <v>5160.23427732187</v>
      </c>
      <c r="AA37" s="10" t="n">
        <f aca="false">(SUM(K37:M37)+Z37)*Assumptions!$D$12</f>
        <v>28888.8751415983</v>
      </c>
      <c r="AB37" s="10" t="n">
        <f aca="false">AD37*Assumptions!$D$29</f>
        <v>595.945931009784</v>
      </c>
      <c r="AC37" s="10" t="n">
        <f aca="false">SUM(K37:M37)+Z37+AA37+AB37</f>
        <v>222077.322016597</v>
      </c>
      <c r="AD37" s="10" t="n">
        <f aca="false">D37*Assumptions!$D$17</f>
        <v>19864.8643669928</v>
      </c>
      <c r="AE37" s="10" t="n">
        <f aca="false">AD37*12</f>
        <v>238378.372403914</v>
      </c>
      <c r="AF37" s="10" t="n">
        <f aca="false">AC37-AD37</f>
        <v>202212.457649604</v>
      </c>
      <c r="AG37" s="10" t="n">
        <f aca="false">IF(A37=Assumptions!$D$7,Assumptions!$D$8,0)</f>
        <v>0</v>
      </c>
      <c r="AH37" s="10" t="n">
        <f aca="false">AI36</f>
        <v>256572.129216434</v>
      </c>
      <c r="AI37" s="10" t="n">
        <f aca="false">AH37+AG37-AF37</f>
        <v>54359.6715668303</v>
      </c>
      <c r="AJ37" s="10" t="n">
        <f aca="false">SUM($AC$6:AC37)</f>
        <v>4139018.75610088</v>
      </c>
      <c r="AK37" s="10" t="n">
        <f aca="false">MAX(0,-AI37)</f>
        <v>0</v>
      </c>
      <c r="AL37" s="10" t="n">
        <f aca="false">Assumptions!$D$6+SUM($AG$6:AG37)-AJ37</f>
        <v>-139018.75610088</v>
      </c>
      <c r="AM37" s="10" t="n">
        <f aca="false">SUMIFS('Vendor Months'!$H$6:$H$3965,'Vendor Months'!$A$6:$A$3965,$AS$1,'Vendor Months'!$C$6:$C$3965,A37)</f>
        <v>1962.665</v>
      </c>
      <c r="AN37" s="10" t="n">
        <f aca="false">X37+Y37</f>
        <v>0</v>
      </c>
      <c r="AO37" s="10" t="n">
        <f aca="false">SUMIFS('Staff Months'!$I$6:$I$2345,'Staff Months'!$A$6:$A$2345,$AS$1,'Staff Months'!$C$6:$C$2345,A37)</f>
        <v>16224</v>
      </c>
      <c r="AP37" s="10" t="n">
        <f aca="false">SUM($AF$6:AF37)</f>
        <v>3945640.32843317</v>
      </c>
      <c r="AQ37" s="10" t="n">
        <f aca="false">AC37</f>
        <v>222077.322016597</v>
      </c>
      <c r="AR37" s="26" t="n">
        <f aca="false">IF(AI37&lt;0,1,0)</f>
        <v>0</v>
      </c>
      <c r="AS37" s="6"/>
    </row>
    <row r="38" customFormat="false" ht="15" hidden="false" customHeight="false" outlineLevel="0" collapsed="false">
      <c r="A38" s="6" t="n">
        <v>33</v>
      </c>
      <c r="B38" s="25" t="n">
        <f aca="false">EDATE('Start Here'!$B$6,A38-1)</f>
        <v>47300</v>
      </c>
      <c r="C38" s="11" t="n">
        <f aca="false">IF(A38&gt;=Assumptions!$D$13,Assumptions!$D$14*(1+Assumptions!$D$15)^INT((A38-Assumptions!$D$13)/12),0)</f>
        <v>1.5</v>
      </c>
      <c r="D38" s="11" t="n">
        <f aca="false">D37*(1-Assumptions!$D$16)+C38</f>
        <v>23.3513508036921</v>
      </c>
      <c r="E38" s="11" t="n">
        <f aca="false">D38*Assumptions!$D$18</f>
        <v>350.270262055382</v>
      </c>
      <c r="F38" s="11" t="n">
        <f aca="false">E38*Assumptions!$D$19*30/1000000</f>
        <v>1.57621617924922</v>
      </c>
      <c r="G38" s="11" t="n">
        <f aca="false">D38*Assumptions!$D$20</f>
        <v>116.756754018461</v>
      </c>
      <c r="H38" s="11" t="n">
        <f aca="false">D38*Assumptions!$D$21</f>
        <v>23.3513508036921</v>
      </c>
      <c r="I38" s="11" t="n">
        <f aca="false">SUMIFS('Staff Months'!$E$6:$E$2345,'Staff Months'!$A$6:$A$2345,$AS$1,'Staff Months'!$C$6:$C$2345,A38)</f>
        <v>12.75</v>
      </c>
      <c r="J38" s="11" t="n">
        <f aca="false">SUMIFS('Staff Months'!$L$6:$L$2345,'Staff Months'!$A$6:$A$2345,$AS$1,'Staff Months'!$C$6:$C$2345,A38)</f>
        <v>14</v>
      </c>
      <c r="K38" s="10" t="n">
        <f aca="false">SUMIFS('Staff Months'!$H$6:$H$2345,'Staff Months'!$A$6:$A$2345,$AS$1,'Staff Months'!$C$6:$C$2345,A38)</f>
        <v>187432.266666667</v>
      </c>
      <c r="L38" s="10" t="n">
        <f aca="false">SUMIFS('Staff Months'!$J$6:$J$2345,'Staff Months'!$A$6:$A$2345,$AS$1,'Staff Months'!$C$6:$C$2345,A38)</f>
        <v>0</v>
      </c>
      <c r="M38" s="10" t="n">
        <f aca="false">SUMIFS('Staff Months'!$K$6:$K$2345,'Staff Months'!$A$6:$A$2345,$AS$1,'Staff Months'!$C$6:$C$2345,A38)</f>
        <v>0</v>
      </c>
      <c r="N38" s="10" t="n">
        <f aca="false">SUMIFS('Vendor Months'!$G$6:$G$3965,'Vendor Months'!$A$6:$A$3965,$AS$1,'Vendor Months'!$C$6:$C$3965,A38,'Vendor Months'!$J$6:$J$3965,"INFRA")</f>
        <v>1518.73855872588</v>
      </c>
      <c r="O38" s="10" t="n">
        <f aca="false">SUMIFS('Vendor Months'!$G$6:$G$3965,'Vendor Months'!$A$6:$A$3965,$AS$1,'Vendor Months'!$C$6:$C$3965,A38,'Vendor Months'!$J$6:$J$3965,"TOOLS")</f>
        <v>675.7933</v>
      </c>
      <c r="P38" s="10" t="n">
        <f aca="false">SUMIFS('Vendor Months'!$G$6:$G$3965,'Vendor Months'!$A$6:$A$3965,$AS$1,'Vendor Months'!$C$6:$C$3965,A38,'Vendor Months'!$J$6:$J$3965,"LEGAL")</f>
        <v>0</v>
      </c>
      <c r="Q38" s="10" t="n">
        <f aca="false">SUMIFS('Vendor Months'!$G$6:$G$3965,'Vendor Months'!$A$6:$A$3965,$AS$1,'Vendor Months'!$C$6:$C$3965,A38,'Vendor Months'!$J$6:$J$3965,"SECURITY")</f>
        <v>0</v>
      </c>
      <c r="R38" s="10" t="n">
        <f aca="false">SUMIFS('Vendor Months'!$G$6:$G$3965,'Vendor Months'!$A$6:$A$3965,$AS$1,'Vendor Months'!$C$6:$C$3965,A38,'Vendor Months'!$J$6:$J$3965,"COMPLIANCE")</f>
        <v>0</v>
      </c>
      <c r="S38" s="10" t="n">
        <f aca="false">SUMIFS('Vendor Months'!$G$6:$G$3965,'Vendor Months'!$A$6:$A$3965,$AS$1,'Vendor Months'!$C$6:$C$3965,A38,'Vendor Months'!$J$6:$J$3965,"INSURANCE")</f>
        <v>12730.8</v>
      </c>
      <c r="T38" s="10" t="n">
        <f aca="false">SUMIFS('Vendor Months'!$G$6:$G$3965,'Vendor Months'!$A$6:$A$3965,$AS$1,'Vendor Months'!$C$6:$C$3965,A38,'Vendor Months'!$J$6:$J$3965,"ACCOUNTING")</f>
        <v>636.54</v>
      </c>
      <c r="U38" s="10" t="n">
        <f aca="false">SUMIFS('Vendor Months'!$G$6:$G$3965,'Vendor Months'!$A$6:$A$3965,$AS$1,'Vendor Months'!$C$6:$C$3965,A38,'Vendor Months'!$J$6:$J$3965,"SUPPORT")</f>
        <v>106.09</v>
      </c>
      <c r="V38" s="10" t="n">
        <f aca="false">SUMIFS('Vendor Months'!$G$6:$G$3965,'Vendor Months'!$A$6:$A$3965,$AS$1,'Vendor Months'!$C$6:$C$3965,A38,'Vendor Months'!$J$6:$J$3965,"MARKETING")</f>
        <v>1858.00860507277</v>
      </c>
      <c r="W38" s="10" t="n">
        <f aca="false">SUMIFS('Vendor Months'!$G$6:$G$3965,'Vendor Months'!$A$6:$A$3965,$AS$1,'Vendor Months'!$C$6:$C$3965,A38,'Vendor Months'!$J$6:$J$3965,"ONBOARD")</f>
        <v>477.405</v>
      </c>
      <c r="X38" s="10" t="n">
        <f aca="false">SUMIFS('Vendor Months'!$G$6:$G$3965,'Vendor Months'!$A$6:$A$3965,$AS$1,'Vendor Months'!$C$6:$C$3965,A38,'Vendor Months'!$J$6:$J$3965,"AI")</f>
        <v>0</v>
      </c>
      <c r="Y38" s="10" t="n">
        <f aca="false">SUMIFS('Vendor Months'!$G$6:$G$3965,'Vendor Months'!$A$6:$A$3965,$AS$1,'Vendor Months'!$C$6:$C$3965,A38,'Vendor Months'!$J$6:$J$3965,"CTMS")</f>
        <v>0</v>
      </c>
      <c r="Z38" s="10" t="n">
        <f aca="false">SUM(N38:Y38)</f>
        <v>18003.3754637986</v>
      </c>
      <c r="AA38" s="10" t="n">
        <f aca="false">(SUM(K38:M38)+Z38)*Assumptions!$D$12</f>
        <v>30815.3463195698</v>
      </c>
      <c r="AB38" s="10" t="n">
        <f aca="false">AD38*Assumptions!$D$29</f>
        <v>630.486471699687</v>
      </c>
      <c r="AC38" s="10" t="n">
        <f aca="false">SUM(K38:M38)+Z38+AA38+AB38</f>
        <v>236881.474921735</v>
      </c>
      <c r="AD38" s="10" t="n">
        <f aca="false">D38*Assumptions!$D$17</f>
        <v>21016.2157233229</v>
      </c>
      <c r="AE38" s="10" t="n">
        <f aca="false">AD38*12</f>
        <v>252194.588679875</v>
      </c>
      <c r="AF38" s="10" t="n">
        <f aca="false">AC38-AD38</f>
        <v>215865.259198412</v>
      </c>
      <c r="AG38" s="10" t="n">
        <f aca="false">IF(A38=Assumptions!$D$7,Assumptions!$D$8,0)</f>
        <v>0</v>
      </c>
      <c r="AH38" s="10" t="n">
        <f aca="false">AI37</f>
        <v>54359.6715668303</v>
      </c>
      <c r="AI38" s="10" t="n">
        <f aca="false">AH38+AG38-AF38</f>
        <v>-161505.587631582</v>
      </c>
      <c r="AJ38" s="10" t="n">
        <f aca="false">SUM($AC$6:AC38)</f>
        <v>4375900.23102262</v>
      </c>
      <c r="AK38" s="10" t="n">
        <f aca="false">MAX(0,-AI38)</f>
        <v>161505.587631582</v>
      </c>
      <c r="AL38" s="10" t="n">
        <f aca="false">Assumptions!$D$6+SUM($AG$6:AG38)-AJ38</f>
        <v>-375900.231022615</v>
      </c>
      <c r="AM38" s="10" t="n">
        <f aca="false">SUMIFS('Vendor Months'!$H$6:$H$3965,'Vendor Months'!$A$6:$A$3965,$AS$1,'Vendor Months'!$C$6:$C$3965,A38)</f>
        <v>14693.465</v>
      </c>
      <c r="AN38" s="10" t="n">
        <f aca="false">X38+Y38</f>
        <v>0</v>
      </c>
      <c r="AO38" s="10" t="n">
        <f aca="false">SUMIFS('Staff Months'!$I$6:$I$2345,'Staff Months'!$A$6:$A$2345,$AS$1,'Staff Months'!$C$6:$C$2345,A38)</f>
        <v>16224</v>
      </c>
      <c r="AP38" s="10" t="n">
        <f aca="false">SUM($AF$6:AF38)</f>
        <v>4161505.58763158</v>
      </c>
      <c r="AQ38" s="10" t="n">
        <f aca="false">AC38</f>
        <v>236881.474921735</v>
      </c>
      <c r="AR38" s="26" t="n">
        <f aca="false">IF(AI38&lt;0,1,0)</f>
        <v>1</v>
      </c>
      <c r="AS38" s="6"/>
    </row>
    <row r="39" customFormat="false" ht="15" hidden="false" customHeight="false" outlineLevel="0" collapsed="false">
      <c r="A39" s="6" t="n">
        <v>34</v>
      </c>
      <c r="B39" s="25" t="n">
        <f aca="false">EDATE('Start Here'!$B$6,A39-1)</f>
        <v>47331</v>
      </c>
      <c r="C39" s="11" t="n">
        <f aca="false">IF(A39&gt;=Assumptions!$D$13,Assumptions!$D$14*(1+Assumptions!$D$15)^INT((A39-Assumptions!$D$13)/12),0)</f>
        <v>1.5</v>
      </c>
      <c r="D39" s="11" t="n">
        <f aca="false">D38*(1-Assumptions!$D$16)+C39</f>
        <v>24.6178372956552</v>
      </c>
      <c r="E39" s="11" t="n">
        <f aca="false">D39*Assumptions!$D$18</f>
        <v>369.267559434828</v>
      </c>
      <c r="F39" s="11" t="n">
        <f aca="false">E39*Assumptions!$D$19*30/1000000</f>
        <v>1.66170401745672</v>
      </c>
      <c r="G39" s="11" t="n">
        <f aca="false">D39*Assumptions!$D$20</f>
        <v>123.089186478276</v>
      </c>
      <c r="H39" s="11" t="n">
        <f aca="false">D39*Assumptions!$D$21</f>
        <v>24.6178372956552</v>
      </c>
      <c r="I39" s="11" t="n">
        <f aca="false">SUMIFS('Staff Months'!$E$6:$E$2345,'Staff Months'!$A$6:$A$2345,$AS$1,'Staff Months'!$C$6:$C$2345,A39)</f>
        <v>12.75</v>
      </c>
      <c r="J39" s="11" t="n">
        <f aca="false">SUMIFS('Staff Months'!$L$6:$L$2345,'Staff Months'!$A$6:$A$2345,$AS$1,'Staff Months'!$C$6:$C$2345,A39)</f>
        <v>14</v>
      </c>
      <c r="K39" s="10" t="n">
        <f aca="false">SUMIFS('Staff Months'!$H$6:$H$2345,'Staff Months'!$A$6:$A$2345,$AS$1,'Staff Months'!$C$6:$C$2345,A39)</f>
        <v>187432.266666667</v>
      </c>
      <c r="L39" s="10" t="n">
        <f aca="false">SUMIFS('Staff Months'!$J$6:$J$2345,'Staff Months'!$A$6:$A$2345,$AS$1,'Staff Months'!$C$6:$C$2345,A39)</f>
        <v>0</v>
      </c>
      <c r="M39" s="10" t="n">
        <f aca="false">SUMIFS('Staff Months'!$K$6:$K$2345,'Staff Months'!$A$6:$A$2345,$AS$1,'Staff Months'!$C$6:$C$2345,A39)</f>
        <v>0</v>
      </c>
      <c r="N39" s="10" t="n">
        <f aca="false">SUMIFS('Vendor Months'!$G$6:$G$3965,'Vendor Months'!$A$6:$A$3965,$AS$1,'Vendor Months'!$C$6:$C$3965,A39,'Vendor Months'!$J$6:$J$3965,"INFRA")</f>
        <v>1529.18516938862</v>
      </c>
      <c r="O39" s="10" t="n">
        <f aca="false">SUMIFS('Vendor Months'!$G$6:$G$3965,'Vendor Months'!$A$6:$A$3965,$AS$1,'Vendor Months'!$C$6:$C$3965,A39,'Vendor Months'!$J$6:$J$3965,"TOOLS")</f>
        <v>675.7933</v>
      </c>
      <c r="P39" s="10" t="n">
        <f aca="false">SUMIFS('Vendor Months'!$G$6:$G$3965,'Vendor Months'!$A$6:$A$3965,$AS$1,'Vendor Months'!$C$6:$C$3965,A39,'Vendor Months'!$J$6:$J$3965,"LEGAL")</f>
        <v>0</v>
      </c>
      <c r="Q39" s="10" t="n">
        <f aca="false">SUMIFS('Vendor Months'!$G$6:$G$3965,'Vendor Months'!$A$6:$A$3965,$AS$1,'Vendor Months'!$C$6:$C$3965,A39,'Vendor Months'!$J$6:$J$3965,"SECURITY")</f>
        <v>19096.2</v>
      </c>
      <c r="R39" s="10" t="n">
        <f aca="false">SUMIFS('Vendor Months'!$G$6:$G$3965,'Vendor Months'!$A$6:$A$3965,$AS$1,'Vendor Months'!$C$6:$C$3965,A39,'Vendor Months'!$J$6:$J$3965,"COMPLIANCE")</f>
        <v>0</v>
      </c>
      <c r="S39" s="10" t="n">
        <f aca="false">SUMIFS('Vendor Months'!$G$6:$G$3965,'Vendor Months'!$A$6:$A$3965,$AS$1,'Vendor Months'!$C$6:$C$3965,A39,'Vendor Months'!$J$6:$J$3965,"INSURANCE")</f>
        <v>0</v>
      </c>
      <c r="T39" s="10" t="n">
        <f aca="false">SUMIFS('Vendor Months'!$G$6:$G$3965,'Vendor Months'!$A$6:$A$3965,$AS$1,'Vendor Months'!$C$6:$C$3965,A39,'Vendor Months'!$J$6:$J$3965,"ACCOUNTING")</f>
        <v>636.54</v>
      </c>
      <c r="U39" s="10" t="n">
        <f aca="false">SUMIFS('Vendor Months'!$G$6:$G$3965,'Vendor Months'!$A$6:$A$3965,$AS$1,'Vendor Months'!$C$6:$C$3965,A39,'Vendor Months'!$J$6:$J$3965,"SUPPORT")</f>
        <v>106.09</v>
      </c>
      <c r="V39" s="10" t="n">
        <f aca="false">SUMIFS('Vendor Months'!$G$6:$G$3965,'Vendor Months'!$A$6:$A$3965,$AS$1,'Vendor Months'!$C$6:$C$3965,A39,'Vendor Months'!$J$6:$J$3965,"MARKETING")</f>
        <v>1958.77976902204</v>
      </c>
      <c r="W39" s="10" t="n">
        <f aca="false">SUMIFS('Vendor Months'!$G$6:$G$3965,'Vendor Months'!$A$6:$A$3965,$AS$1,'Vendor Months'!$C$6:$C$3965,A39,'Vendor Months'!$J$6:$J$3965,"ONBOARD")</f>
        <v>477.405</v>
      </c>
      <c r="X39" s="10" t="n">
        <f aca="false">SUMIFS('Vendor Months'!$G$6:$G$3965,'Vendor Months'!$A$6:$A$3965,$AS$1,'Vendor Months'!$C$6:$C$3965,A39,'Vendor Months'!$J$6:$J$3965,"AI")</f>
        <v>0</v>
      </c>
      <c r="Y39" s="10" t="n">
        <f aca="false">SUMIFS('Vendor Months'!$G$6:$G$3965,'Vendor Months'!$A$6:$A$3965,$AS$1,'Vendor Months'!$C$6:$C$3965,A39,'Vendor Months'!$J$6:$J$3965,"CTMS")</f>
        <v>0</v>
      </c>
      <c r="Z39" s="10" t="n">
        <f aca="false">SUM(N39:Y39)</f>
        <v>24479.9932384107</v>
      </c>
      <c r="AA39" s="10" t="n">
        <f aca="false">(SUM(K39:M39)+Z39)*Assumptions!$D$12</f>
        <v>31786.8389857616</v>
      </c>
      <c r="AB39" s="10" t="n">
        <f aca="false">AD39*Assumptions!$D$29</f>
        <v>664.68160698269</v>
      </c>
      <c r="AC39" s="10" t="n">
        <f aca="false">SUM(K39:M39)+Z39+AA39+AB39</f>
        <v>244363.780497822</v>
      </c>
      <c r="AD39" s="10" t="n">
        <f aca="false">D39*Assumptions!$D$17</f>
        <v>22156.0535660897</v>
      </c>
      <c r="AE39" s="10" t="n">
        <f aca="false">AD39*12</f>
        <v>265872.642793076</v>
      </c>
      <c r="AF39" s="10" t="n">
        <f aca="false">AC39-AD39</f>
        <v>222207.726931732</v>
      </c>
      <c r="AG39" s="10" t="n">
        <f aca="false">IF(A39=Assumptions!$D$7,Assumptions!$D$8,0)</f>
        <v>0</v>
      </c>
      <c r="AH39" s="10" t="n">
        <f aca="false">AI38</f>
        <v>-161505.587631582</v>
      </c>
      <c r="AI39" s="10" t="n">
        <f aca="false">AH39+AG39-AF39</f>
        <v>-383713.314563314</v>
      </c>
      <c r="AJ39" s="10" t="n">
        <f aca="false">SUM($AC$6:AC39)</f>
        <v>4620264.01152044</v>
      </c>
      <c r="AK39" s="10" t="n">
        <f aca="false">MAX(0,-AI39)</f>
        <v>383713.314563314</v>
      </c>
      <c r="AL39" s="10" t="n">
        <f aca="false">Assumptions!$D$6+SUM($AG$6:AG39)-AJ39</f>
        <v>-620264.011520437</v>
      </c>
      <c r="AM39" s="10" t="n">
        <f aca="false">SUMIFS('Vendor Months'!$H$6:$H$3965,'Vendor Months'!$A$6:$A$3965,$AS$1,'Vendor Months'!$C$6:$C$3965,A39)</f>
        <v>21058.865</v>
      </c>
      <c r="AN39" s="10" t="n">
        <f aca="false">X39+Y39</f>
        <v>0</v>
      </c>
      <c r="AO39" s="10" t="n">
        <f aca="false">SUMIFS('Staff Months'!$I$6:$I$2345,'Staff Months'!$A$6:$A$2345,$AS$1,'Staff Months'!$C$6:$C$2345,A39)</f>
        <v>16224</v>
      </c>
      <c r="AP39" s="10" t="n">
        <f aca="false">SUM($AF$6:AF39)</f>
        <v>4383713.31456331</v>
      </c>
      <c r="AQ39" s="10" t="n">
        <f aca="false">AC39</f>
        <v>244363.780497822</v>
      </c>
      <c r="AR39" s="26" t="n">
        <f aca="false">IF(AI39&lt;0,1,0)</f>
        <v>1</v>
      </c>
      <c r="AS39" s="6"/>
    </row>
    <row r="40" customFormat="false" ht="15" hidden="false" customHeight="false" outlineLevel="0" collapsed="false">
      <c r="A40" s="6" t="n">
        <v>35</v>
      </c>
      <c r="B40" s="25" t="n">
        <f aca="false">EDATE('Start Here'!$B$6,A40-1)</f>
        <v>47362</v>
      </c>
      <c r="C40" s="11" t="n">
        <f aca="false">IF(A40&gt;=Assumptions!$D$13,Assumptions!$D$14*(1+Assumptions!$D$15)^INT((A40-Assumptions!$D$13)/12),0)</f>
        <v>1.5</v>
      </c>
      <c r="D40" s="11" t="n">
        <f aca="false">D39*(1-Assumptions!$D$16)+C40</f>
        <v>25.8716589226986</v>
      </c>
      <c r="E40" s="11" t="n">
        <f aca="false">D40*Assumptions!$D$18</f>
        <v>388.074883840479</v>
      </c>
      <c r="F40" s="11" t="n">
        <f aca="false">E40*Assumptions!$D$19*30/1000000</f>
        <v>1.74633697728216</v>
      </c>
      <c r="G40" s="11" t="n">
        <f aca="false">D40*Assumptions!$D$20</f>
        <v>129.358294613493</v>
      </c>
      <c r="H40" s="11" t="n">
        <f aca="false">D40*Assumptions!$D$21</f>
        <v>25.8716589226986</v>
      </c>
      <c r="I40" s="11" t="n">
        <f aca="false">SUMIFS('Staff Months'!$E$6:$E$2345,'Staff Months'!$A$6:$A$2345,$AS$1,'Staff Months'!$C$6:$C$2345,A40)</f>
        <v>12.75</v>
      </c>
      <c r="J40" s="11" t="n">
        <f aca="false">SUMIFS('Staff Months'!$L$6:$L$2345,'Staff Months'!$A$6:$A$2345,$AS$1,'Staff Months'!$C$6:$C$2345,A40)</f>
        <v>14</v>
      </c>
      <c r="K40" s="10" t="n">
        <f aca="false">SUMIFS('Staff Months'!$H$6:$H$2345,'Staff Months'!$A$6:$A$2345,$AS$1,'Staff Months'!$C$6:$C$2345,A40)</f>
        <v>187432.266666667</v>
      </c>
      <c r="L40" s="10" t="n">
        <f aca="false">SUMIFS('Staff Months'!$J$6:$J$2345,'Staff Months'!$A$6:$A$2345,$AS$1,'Staff Months'!$C$6:$C$2345,A40)</f>
        <v>0</v>
      </c>
      <c r="M40" s="10" t="n">
        <f aca="false">SUMIFS('Staff Months'!$K$6:$K$2345,'Staff Months'!$A$6:$A$2345,$AS$1,'Staff Months'!$C$6:$C$2345,A40)</f>
        <v>0</v>
      </c>
      <c r="N40" s="10" t="n">
        <f aca="false">SUMIFS('Vendor Months'!$G$6:$G$3965,'Vendor Months'!$A$6:$A$3965,$AS$1,'Vendor Months'!$C$6:$C$3965,A40,'Vendor Months'!$J$6:$J$3965,"INFRA")</f>
        <v>1539.52731394473</v>
      </c>
      <c r="O40" s="10" t="n">
        <f aca="false">SUMIFS('Vendor Months'!$G$6:$G$3965,'Vendor Months'!$A$6:$A$3965,$AS$1,'Vendor Months'!$C$6:$C$3965,A40,'Vendor Months'!$J$6:$J$3965,"TOOLS")</f>
        <v>675.7933</v>
      </c>
      <c r="P40" s="10" t="n">
        <f aca="false">SUMIFS('Vendor Months'!$G$6:$G$3965,'Vendor Months'!$A$6:$A$3965,$AS$1,'Vendor Months'!$C$6:$C$3965,A40,'Vendor Months'!$J$6:$J$3965,"LEGAL")</f>
        <v>0</v>
      </c>
      <c r="Q40" s="10" t="n">
        <f aca="false">SUMIFS('Vendor Months'!$G$6:$G$3965,'Vendor Months'!$A$6:$A$3965,$AS$1,'Vendor Months'!$C$6:$C$3965,A40,'Vendor Months'!$J$6:$J$3965,"SECURITY")</f>
        <v>0</v>
      </c>
      <c r="R40" s="10" t="n">
        <f aca="false">SUMIFS('Vendor Months'!$G$6:$G$3965,'Vendor Months'!$A$6:$A$3965,$AS$1,'Vendor Months'!$C$6:$C$3965,A40,'Vendor Months'!$J$6:$J$3965,"COMPLIANCE")</f>
        <v>15913.5</v>
      </c>
      <c r="S40" s="10" t="n">
        <f aca="false">SUMIFS('Vendor Months'!$G$6:$G$3965,'Vendor Months'!$A$6:$A$3965,$AS$1,'Vendor Months'!$C$6:$C$3965,A40,'Vendor Months'!$J$6:$J$3965,"INSURANCE")</f>
        <v>0</v>
      </c>
      <c r="T40" s="10" t="n">
        <f aca="false">SUMIFS('Vendor Months'!$G$6:$G$3965,'Vendor Months'!$A$6:$A$3965,$AS$1,'Vendor Months'!$C$6:$C$3965,A40,'Vendor Months'!$J$6:$J$3965,"ACCOUNTING")</f>
        <v>636.54</v>
      </c>
      <c r="U40" s="10" t="n">
        <f aca="false">SUMIFS('Vendor Months'!$G$6:$G$3965,'Vendor Months'!$A$6:$A$3965,$AS$1,'Vendor Months'!$C$6:$C$3965,A40,'Vendor Months'!$J$6:$J$3965,"SUPPORT")</f>
        <v>106.09</v>
      </c>
      <c r="V40" s="10" t="n">
        <f aca="false">SUMIFS('Vendor Months'!$G$6:$G$3965,'Vendor Months'!$A$6:$A$3965,$AS$1,'Vendor Months'!$C$6:$C$3965,A40,'Vendor Months'!$J$6:$J$3965,"MARKETING")</f>
        <v>2058.54322133182</v>
      </c>
      <c r="W40" s="10" t="n">
        <f aca="false">SUMIFS('Vendor Months'!$G$6:$G$3965,'Vendor Months'!$A$6:$A$3965,$AS$1,'Vendor Months'!$C$6:$C$3965,A40,'Vendor Months'!$J$6:$J$3965,"ONBOARD")</f>
        <v>477.405</v>
      </c>
      <c r="X40" s="10" t="n">
        <f aca="false">SUMIFS('Vendor Months'!$G$6:$G$3965,'Vendor Months'!$A$6:$A$3965,$AS$1,'Vendor Months'!$C$6:$C$3965,A40,'Vendor Months'!$J$6:$J$3965,"AI")</f>
        <v>0</v>
      </c>
      <c r="Y40" s="10" t="n">
        <f aca="false">SUMIFS('Vendor Months'!$G$6:$G$3965,'Vendor Months'!$A$6:$A$3965,$AS$1,'Vendor Months'!$C$6:$C$3965,A40,'Vendor Months'!$J$6:$J$3965,"CTMS")</f>
        <v>0</v>
      </c>
      <c r="Z40" s="10" t="n">
        <f aca="false">SUM(N40:Y40)</f>
        <v>21407.3988352766</v>
      </c>
      <c r="AA40" s="10" t="n">
        <f aca="false">(SUM(K40:M40)+Z40)*Assumptions!$D$12</f>
        <v>31325.9498252915</v>
      </c>
      <c r="AB40" s="10" t="n">
        <f aca="false">AD40*Assumptions!$D$29</f>
        <v>698.534790912863</v>
      </c>
      <c r="AC40" s="10" t="n">
        <f aca="false">SUM(K40:M40)+Z40+AA40+AB40</f>
        <v>240864.150118148</v>
      </c>
      <c r="AD40" s="10" t="n">
        <f aca="false">D40*Assumptions!$D$17</f>
        <v>23284.4930304288</v>
      </c>
      <c r="AE40" s="10" t="n">
        <f aca="false">AD40*12</f>
        <v>279413.916365145</v>
      </c>
      <c r="AF40" s="10" t="n">
        <f aca="false">AC40-AD40</f>
        <v>217579.657087719</v>
      </c>
      <c r="AG40" s="10" t="n">
        <f aca="false">IF(A40=Assumptions!$D$7,Assumptions!$D$8,0)</f>
        <v>0</v>
      </c>
      <c r="AH40" s="10" t="n">
        <f aca="false">AI39</f>
        <v>-383713.314563314</v>
      </c>
      <c r="AI40" s="10" t="n">
        <f aca="false">AH40+AG40-AF40</f>
        <v>-601292.971651033</v>
      </c>
      <c r="AJ40" s="10" t="n">
        <f aca="false">SUM($AC$6:AC40)</f>
        <v>4861128.16163859</v>
      </c>
      <c r="AK40" s="10" t="n">
        <f aca="false">MAX(0,-AI40)</f>
        <v>601292.971651033</v>
      </c>
      <c r="AL40" s="10" t="n">
        <f aca="false">Assumptions!$D$6+SUM($AG$6:AG40)-AJ40</f>
        <v>-861128.161638585</v>
      </c>
      <c r="AM40" s="10" t="n">
        <f aca="false">SUMIFS('Vendor Months'!$H$6:$H$3965,'Vendor Months'!$A$6:$A$3965,$AS$1,'Vendor Months'!$C$6:$C$3965,A40)</f>
        <v>17876.165</v>
      </c>
      <c r="AN40" s="10" t="n">
        <f aca="false">X40+Y40</f>
        <v>0</v>
      </c>
      <c r="AO40" s="10" t="n">
        <f aca="false">SUMIFS('Staff Months'!$I$6:$I$2345,'Staff Months'!$A$6:$A$2345,$AS$1,'Staff Months'!$C$6:$C$2345,A40)</f>
        <v>16224</v>
      </c>
      <c r="AP40" s="10" t="n">
        <f aca="false">SUM($AF$6:AF40)</f>
        <v>4601292.97165103</v>
      </c>
      <c r="AQ40" s="10" t="n">
        <f aca="false">AC40</f>
        <v>240864.150118148</v>
      </c>
      <c r="AR40" s="26" t="n">
        <f aca="false">IF(AI40&lt;0,1,0)</f>
        <v>1</v>
      </c>
      <c r="AS40" s="6"/>
    </row>
    <row r="41" customFormat="false" ht="15" hidden="false" customHeight="false" outlineLevel="0" collapsed="false">
      <c r="A41" s="6" t="n">
        <v>36</v>
      </c>
      <c r="B41" s="25" t="n">
        <f aca="false">EDATE('Start Here'!$B$6,A41-1)</f>
        <v>47392</v>
      </c>
      <c r="C41" s="11" t="n">
        <f aca="false">IF(A41&gt;=Assumptions!$D$13,Assumptions!$D$14*(1+Assumptions!$D$15)^INT((A41-Assumptions!$D$13)/12),0)</f>
        <v>1.5</v>
      </c>
      <c r="D41" s="11" t="n">
        <f aca="false">D40*(1-Assumptions!$D$16)+C41</f>
        <v>27.1129423334716</v>
      </c>
      <c r="E41" s="11" t="n">
        <f aca="false">D41*Assumptions!$D$18</f>
        <v>406.694135002075</v>
      </c>
      <c r="F41" s="11" t="n">
        <f aca="false">E41*Assumptions!$D$19*30/1000000</f>
        <v>1.83012360750934</v>
      </c>
      <c r="G41" s="11" t="n">
        <f aca="false">D41*Assumptions!$D$20</f>
        <v>135.564711667358</v>
      </c>
      <c r="H41" s="11" t="n">
        <f aca="false">D41*Assumptions!$D$21</f>
        <v>27.1129423334716</v>
      </c>
      <c r="I41" s="11" t="n">
        <f aca="false">SUMIFS('Staff Months'!$E$6:$E$2345,'Staff Months'!$A$6:$A$2345,$AS$1,'Staff Months'!$C$6:$C$2345,A41)</f>
        <v>12.75</v>
      </c>
      <c r="J41" s="11" t="n">
        <f aca="false">SUMIFS('Staff Months'!$L$6:$L$2345,'Staff Months'!$A$6:$A$2345,$AS$1,'Staff Months'!$C$6:$C$2345,A41)</f>
        <v>14</v>
      </c>
      <c r="K41" s="10" t="n">
        <f aca="false">SUMIFS('Staff Months'!$H$6:$H$2345,'Staff Months'!$A$6:$A$2345,$AS$1,'Staff Months'!$C$6:$C$2345,A41)</f>
        <v>187432.266666667</v>
      </c>
      <c r="L41" s="10" t="n">
        <f aca="false">SUMIFS('Staff Months'!$J$6:$J$2345,'Staff Months'!$A$6:$A$2345,$AS$1,'Staff Months'!$C$6:$C$2345,A41)</f>
        <v>0</v>
      </c>
      <c r="M41" s="10" t="n">
        <f aca="false">SUMIFS('Staff Months'!$K$6:$K$2345,'Staff Months'!$A$6:$A$2345,$AS$1,'Staff Months'!$C$6:$C$2345,A41)</f>
        <v>0</v>
      </c>
      <c r="N41" s="10" t="n">
        <f aca="false">SUMIFS('Vendor Months'!$G$6:$G$3965,'Vendor Months'!$A$6:$A$3965,$AS$1,'Vendor Months'!$C$6:$C$3965,A41,'Vendor Months'!$J$6:$J$3965,"INFRA")</f>
        <v>1549.76603705528</v>
      </c>
      <c r="O41" s="10" t="n">
        <f aca="false">SUMIFS('Vendor Months'!$G$6:$G$3965,'Vendor Months'!$A$6:$A$3965,$AS$1,'Vendor Months'!$C$6:$C$3965,A41,'Vendor Months'!$J$6:$J$3965,"TOOLS")</f>
        <v>675.7933</v>
      </c>
      <c r="P41" s="10" t="n">
        <f aca="false">SUMIFS('Vendor Months'!$G$6:$G$3965,'Vendor Months'!$A$6:$A$3965,$AS$1,'Vendor Months'!$C$6:$C$3965,A41,'Vendor Months'!$J$6:$J$3965,"LEGAL")</f>
        <v>0</v>
      </c>
      <c r="Q41" s="10" t="n">
        <f aca="false">SUMIFS('Vendor Months'!$G$6:$G$3965,'Vendor Months'!$A$6:$A$3965,$AS$1,'Vendor Months'!$C$6:$C$3965,A41,'Vendor Months'!$J$6:$J$3965,"SECURITY")</f>
        <v>0</v>
      </c>
      <c r="R41" s="10" t="n">
        <f aca="false">SUMIFS('Vendor Months'!$G$6:$G$3965,'Vendor Months'!$A$6:$A$3965,$AS$1,'Vendor Months'!$C$6:$C$3965,A41,'Vendor Months'!$J$6:$J$3965,"COMPLIANCE")</f>
        <v>0</v>
      </c>
      <c r="S41" s="10" t="n">
        <f aca="false">SUMIFS('Vendor Months'!$G$6:$G$3965,'Vendor Months'!$A$6:$A$3965,$AS$1,'Vendor Months'!$C$6:$C$3965,A41,'Vendor Months'!$J$6:$J$3965,"INSURANCE")</f>
        <v>0</v>
      </c>
      <c r="T41" s="10" t="n">
        <f aca="false">SUMIFS('Vendor Months'!$G$6:$G$3965,'Vendor Months'!$A$6:$A$3965,$AS$1,'Vendor Months'!$C$6:$C$3965,A41,'Vendor Months'!$J$6:$J$3965,"ACCOUNTING")</f>
        <v>636.54</v>
      </c>
      <c r="U41" s="10" t="n">
        <f aca="false">SUMIFS('Vendor Months'!$G$6:$G$3965,'Vendor Months'!$A$6:$A$3965,$AS$1,'Vendor Months'!$C$6:$C$3965,A41,'Vendor Months'!$J$6:$J$3965,"SUPPORT")</f>
        <v>106.09</v>
      </c>
      <c r="V41" s="10" t="n">
        <f aca="false">SUMIFS('Vendor Months'!$G$6:$G$3965,'Vendor Months'!$A$6:$A$3965,$AS$1,'Vendor Months'!$C$6:$C$3965,A41,'Vendor Months'!$J$6:$J$3965,"MARKETING")</f>
        <v>2157.3090391185</v>
      </c>
      <c r="W41" s="10" t="n">
        <f aca="false">SUMIFS('Vendor Months'!$G$6:$G$3965,'Vendor Months'!$A$6:$A$3965,$AS$1,'Vendor Months'!$C$6:$C$3965,A41,'Vendor Months'!$J$6:$J$3965,"ONBOARD")</f>
        <v>477.405</v>
      </c>
      <c r="X41" s="10" t="n">
        <f aca="false">SUMIFS('Vendor Months'!$G$6:$G$3965,'Vendor Months'!$A$6:$A$3965,$AS$1,'Vendor Months'!$C$6:$C$3965,A41,'Vendor Months'!$J$6:$J$3965,"AI")</f>
        <v>0</v>
      </c>
      <c r="Y41" s="10" t="n">
        <f aca="false">SUMIFS('Vendor Months'!$G$6:$G$3965,'Vendor Months'!$A$6:$A$3965,$AS$1,'Vendor Months'!$C$6:$C$3965,A41,'Vendor Months'!$J$6:$J$3965,"CTMS")</f>
        <v>0</v>
      </c>
      <c r="Z41" s="10" t="n">
        <f aca="false">SUM(N41:Y41)</f>
        <v>5602.90337617379</v>
      </c>
      <c r="AA41" s="10" t="n">
        <f aca="false">(SUM(K41:M41)+Z41)*Assumptions!$D$12</f>
        <v>28955.2755064261</v>
      </c>
      <c r="AB41" s="10" t="n">
        <f aca="false">AD41*Assumptions!$D$29</f>
        <v>732.049443003734</v>
      </c>
      <c r="AC41" s="10" t="n">
        <f aca="false">SUM(K41:M41)+Z41+AA41+AB41</f>
        <v>222722.49499227</v>
      </c>
      <c r="AD41" s="10" t="n">
        <f aca="false">D41*Assumptions!$D$17</f>
        <v>24401.6481001245</v>
      </c>
      <c r="AE41" s="10" t="n">
        <f aca="false">AD41*12</f>
        <v>292819.777201494</v>
      </c>
      <c r="AF41" s="10" t="n">
        <f aca="false">AC41-AD41</f>
        <v>198320.846892146</v>
      </c>
      <c r="AG41" s="10" t="n">
        <f aca="false">IF(A41=Assumptions!$D$7,Assumptions!$D$8,0)</f>
        <v>0</v>
      </c>
      <c r="AH41" s="10" t="n">
        <f aca="false">AI40</f>
        <v>-601292.971651033</v>
      </c>
      <c r="AI41" s="10" t="n">
        <f aca="false">AH41+AG41-AF41</f>
        <v>-799613.818543178</v>
      </c>
      <c r="AJ41" s="10" t="n">
        <f aca="false">SUM($AC$6:AC41)</f>
        <v>5083850.65663085</v>
      </c>
      <c r="AK41" s="10" t="n">
        <f aca="false">MAX(0,-AI41)</f>
        <v>799613.818543178</v>
      </c>
      <c r="AL41" s="10" t="n">
        <f aca="false">Assumptions!$D$6+SUM($AG$6:AG41)-AJ41</f>
        <v>-1083850.65663085</v>
      </c>
      <c r="AM41" s="10" t="n">
        <f aca="false">SUMIFS('Vendor Months'!$H$6:$H$3965,'Vendor Months'!$A$6:$A$3965,$AS$1,'Vendor Months'!$C$6:$C$3965,A41)</f>
        <v>1962.665</v>
      </c>
      <c r="AN41" s="10" t="n">
        <f aca="false">X41+Y41</f>
        <v>0</v>
      </c>
      <c r="AO41" s="10" t="n">
        <f aca="false">SUMIFS('Staff Months'!$I$6:$I$2345,'Staff Months'!$A$6:$A$2345,$AS$1,'Staff Months'!$C$6:$C$2345,A41)</f>
        <v>16224</v>
      </c>
      <c r="AP41" s="10" t="n">
        <f aca="false">SUM($AF$6:AF41)</f>
        <v>4799613.81854318</v>
      </c>
      <c r="AQ41" s="10" t="n">
        <f aca="false">AC41</f>
        <v>222722.49499227</v>
      </c>
      <c r="AR41" s="26" t="n">
        <f aca="false">IF(AI41&lt;0,1,0)</f>
        <v>1</v>
      </c>
      <c r="AS41" s="6"/>
    </row>
    <row r="42" customFormat="false" ht="15" hidden="false" customHeight="false" outlineLevel="0" collapsed="false">
      <c r="A42" s="6" t="n">
        <v>37</v>
      </c>
      <c r="B42" s="25" t="n">
        <f aca="false">EDATE('Start Here'!$B$6,A42-1)</f>
        <v>47423</v>
      </c>
      <c r="C42" s="11" t="n">
        <f aca="false">IF(A42&gt;=Assumptions!$D$13,Assumptions!$D$14*(1+Assumptions!$D$15)^INT((A42-Assumptions!$D$13)/12),0)</f>
        <v>2.25</v>
      </c>
      <c r="D42" s="11" t="n">
        <f aca="false">D41*(1-Assumptions!$D$16)+C42</f>
        <v>29.0918129101369</v>
      </c>
      <c r="E42" s="11" t="n">
        <f aca="false">D42*Assumptions!$D$18</f>
        <v>436.377193652054</v>
      </c>
      <c r="F42" s="11" t="n">
        <f aca="false">E42*Assumptions!$D$19*30/1000000</f>
        <v>1.96369737143424</v>
      </c>
      <c r="G42" s="11" t="n">
        <f aca="false">D42*Assumptions!$D$20</f>
        <v>145.459064550685</v>
      </c>
      <c r="H42" s="11" t="n">
        <f aca="false">D42*Assumptions!$D$21</f>
        <v>29.0918129101369</v>
      </c>
      <c r="I42" s="11" t="n">
        <f aca="false">SUMIFS('Staff Months'!$E$6:$E$2345,'Staff Months'!$A$6:$A$2345,$AS$1,'Staff Months'!$C$6:$C$2345,A42)</f>
        <v>12.5</v>
      </c>
      <c r="J42" s="11" t="n">
        <f aca="false">SUMIFS('Staff Months'!$L$6:$L$2345,'Staff Months'!$A$6:$A$2345,$AS$1,'Staff Months'!$C$6:$C$2345,A42)</f>
        <v>13</v>
      </c>
      <c r="K42" s="10" t="n">
        <f aca="false">SUMIFS('Staff Months'!$H$6:$H$2345,'Staff Months'!$A$6:$A$2345,$AS$1,'Staff Months'!$C$6:$C$2345,A42)</f>
        <v>191883.050666667</v>
      </c>
      <c r="L42" s="10" t="n">
        <f aca="false">SUMIFS('Staff Months'!$J$6:$J$2345,'Staff Months'!$A$6:$A$2345,$AS$1,'Staff Months'!$C$6:$C$2345,A42)</f>
        <v>0</v>
      </c>
      <c r="M42" s="10" t="n">
        <f aca="false">SUMIFS('Staff Months'!$K$6:$K$2345,'Staff Months'!$A$6:$A$2345,$AS$1,'Staff Months'!$C$6:$C$2345,A42)</f>
        <v>0</v>
      </c>
      <c r="N42" s="10" t="n">
        <f aca="false">SUMIFS('Vendor Months'!$G$6:$G$3965,'Vendor Months'!$A$6:$A$3965,$AS$1,'Vendor Months'!$C$6:$C$3965,A42,'Vendor Months'!$J$6:$J$3965,"INFRA")</f>
        <v>1613.07140844152</v>
      </c>
      <c r="O42" s="10" t="n">
        <f aca="false">SUMIFS('Vendor Months'!$G$6:$G$3965,'Vendor Months'!$A$6:$A$3965,$AS$1,'Vendor Months'!$C$6:$C$3965,A42,'Vendor Months'!$J$6:$J$3965,"TOOLS")</f>
        <v>696.067099</v>
      </c>
      <c r="P42" s="10" t="n">
        <f aca="false">SUMIFS('Vendor Months'!$G$6:$G$3965,'Vendor Months'!$A$6:$A$3965,$AS$1,'Vendor Months'!$C$6:$C$3965,A42,'Vendor Months'!$J$6:$J$3965,"LEGAL")</f>
        <v>0</v>
      </c>
      <c r="Q42" s="10" t="n">
        <f aca="false">SUMIFS('Vendor Months'!$G$6:$G$3965,'Vendor Months'!$A$6:$A$3965,$AS$1,'Vendor Months'!$C$6:$C$3965,A42,'Vendor Months'!$J$6:$J$3965,"SECURITY")</f>
        <v>0</v>
      </c>
      <c r="R42" s="10" t="n">
        <f aca="false">SUMIFS('Vendor Months'!$G$6:$G$3965,'Vendor Months'!$A$6:$A$3965,$AS$1,'Vendor Months'!$C$6:$C$3965,A42,'Vendor Months'!$J$6:$J$3965,"COMPLIANCE")</f>
        <v>0</v>
      </c>
      <c r="S42" s="10" t="n">
        <f aca="false">SUMIFS('Vendor Months'!$G$6:$G$3965,'Vendor Months'!$A$6:$A$3965,$AS$1,'Vendor Months'!$C$6:$C$3965,A42,'Vendor Months'!$J$6:$J$3965,"INSURANCE")</f>
        <v>0</v>
      </c>
      <c r="T42" s="10" t="n">
        <f aca="false">SUMIFS('Vendor Months'!$G$6:$G$3965,'Vendor Months'!$A$6:$A$3965,$AS$1,'Vendor Months'!$C$6:$C$3965,A42,'Vendor Months'!$J$6:$J$3965,"ACCOUNTING")</f>
        <v>655.6362</v>
      </c>
      <c r="U42" s="10" t="n">
        <f aca="false">SUMIFS('Vendor Months'!$G$6:$G$3965,'Vendor Months'!$A$6:$A$3965,$AS$1,'Vendor Months'!$C$6:$C$3965,A42,'Vendor Months'!$J$6:$J$3965,"SUPPORT")</f>
        <v>109.2727</v>
      </c>
      <c r="V42" s="10" t="n">
        <f aca="false">SUMIFS('Vendor Months'!$G$6:$G$3965,'Vendor Months'!$A$6:$A$3965,$AS$1,'Vendor Months'!$C$6:$C$3965,A42,'Vendor Months'!$J$6:$J$3965,"MARKETING")</f>
        <v>2384.20570843914</v>
      </c>
      <c r="W42" s="10" t="n">
        <f aca="false">SUMIFS('Vendor Months'!$G$6:$G$3965,'Vendor Months'!$A$6:$A$3965,$AS$1,'Vendor Months'!$C$6:$C$3965,A42,'Vendor Months'!$J$6:$J$3965,"ONBOARD")</f>
        <v>737.590725</v>
      </c>
      <c r="X42" s="10" t="n">
        <f aca="false">SUMIFS('Vendor Months'!$G$6:$G$3965,'Vendor Months'!$A$6:$A$3965,$AS$1,'Vendor Months'!$C$6:$C$3965,A42,'Vendor Months'!$J$6:$J$3965,"AI")</f>
        <v>0</v>
      </c>
      <c r="Y42" s="10" t="n">
        <f aca="false">SUMIFS('Vendor Months'!$G$6:$G$3965,'Vendor Months'!$A$6:$A$3965,$AS$1,'Vendor Months'!$C$6:$C$3965,A42,'Vendor Months'!$J$6:$J$3965,"CTMS")</f>
        <v>0</v>
      </c>
      <c r="Z42" s="10" t="n">
        <f aca="false">SUM(N42:Y42)</f>
        <v>6195.84384088066</v>
      </c>
      <c r="AA42" s="10" t="n">
        <f aca="false">(SUM(K42:M42)+Z42)*Assumptions!$D$12</f>
        <v>29711.8341761321</v>
      </c>
      <c r="AB42" s="10" t="n">
        <f aca="false">AD42*Assumptions!$D$29</f>
        <v>785.478948573697</v>
      </c>
      <c r="AC42" s="10" t="n">
        <f aca="false">SUM(K42:M42)+Z42+AA42+AB42</f>
        <v>228576.207632253</v>
      </c>
      <c r="AD42" s="10" t="n">
        <f aca="false">D42*Assumptions!$D$17</f>
        <v>26182.6316191232</v>
      </c>
      <c r="AE42" s="10" t="n">
        <f aca="false">AD42*12</f>
        <v>314191.579429479</v>
      </c>
      <c r="AF42" s="10" t="n">
        <f aca="false">AC42-AD42</f>
        <v>202393.57601313</v>
      </c>
      <c r="AG42" s="10" t="n">
        <f aca="false">IF(A42=Assumptions!$D$7,Assumptions!$D$8,0)</f>
        <v>0</v>
      </c>
      <c r="AH42" s="10" t="n">
        <f aca="false">AI41</f>
        <v>-799613.818543178</v>
      </c>
      <c r="AI42" s="10" t="n">
        <f aca="false">AH42+AG42-AF42</f>
        <v>-1002007.39455631</v>
      </c>
      <c r="AJ42" s="10" t="n">
        <f aca="false">SUM($AC$6:AC42)</f>
        <v>5312426.86426311</v>
      </c>
      <c r="AK42" s="10" t="n">
        <f aca="false">MAX(0,-AI42)</f>
        <v>1002007.39455631</v>
      </c>
      <c r="AL42" s="10" t="n">
        <f aca="false">Assumptions!$D$6+SUM($AG$6:AG42)-AJ42</f>
        <v>-1312426.86426311</v>
      </c>
      <c r="AM42" s="10" t="n">
        <f aca="false">SUMIFS('Vendor Months'!$H$6:$H$3965,'Vendor Months'!$A$6:$A$3965,$AS$1,'Vendor Months'!$C$6:$C$3965,A42)</f>
        <v>2021.54495</v>
      </c>
      <c r="AN42" s="10" t="n">
        <f aca="false">X42+Y42</f>
        <v>0</v>
      </c>
      <c r="AO42" s="10" t="n">
        <f aca="false">SUMIFS('Staff Months'!$I$6:$I$2345,'Staff Months'!$A$6:$A$2345,$AS$1,'Staff Months'!$C$6:$C$2345,A42)</f>
        <v>16872.96</v>
      </c>
      <c r="AP42" s="10" t="n">
        <f aca="false">SUM($AF$6:AF42)</f>
        <v>5002007.39455631</v>
      </c>
      <c r="AQ42" s="10" t="n">
        <f aca="false">AC42</f>
        <v>228576.207632253</v>
      </c>
      <c r="AR42" s="26" t="n">
        <f aca="false">IF(AI42&lt;0,1,0)</f>
        <v>1</v>
      </c>
      <c r="AS42" s="6"/>
    </row>
    <row r="43" customFormat="false" ht="15" hidden="false" customHeight="false" outlineLevel="0" collapsed="false">
      <c r="A43" s="6" t="n">
        <v>38</v>
      </c>
      <c r="B43" s="25" t="n">
        <f aca="false">EDATE('Start Here'!$B$6,A43-1)</f>
        <v>47453</v>
      </c>
      <c r="C43" s="11" t="n">
        <f aca="false">IF(A43&gt;=Assumptions!$D$13,Assumptions!$D$14*(1+Assumptions!$D$15)^INT((A43-Assumptions!$D$13)/12),0)</f>
        <v>2.25</v>
      </c>
      <c r="D43" s="11" t="n">
        <f aca="false">D42*(1-Assumptions!$D$16)+C43</f>
        <v>31.0508947810356</v>
      </c>
      <c r="E43" s="11" t="n">
        <f aca="false">D43*Assumptions!$D$18</f>
        <v>465.763421715533</v>
      </c>
      <c r="F43" s="11" t="n">
        <f aca="false">E43*Assumptions!$D$19*30/1000000</f>
        <v>2.0959353977199</v>
      </c>
      <c r="G43" s="11" t="n">
        <f aca="false">D43*Assumptions!$D$20</f>
        <v>155.254473905178</v>
      </c>
      <c r="H43" s="11" t="n">
        <f aca="false">D43*Assumptions!$D$21</f>
        <v>31.0508947810356</v>
      </c>
      <c r="I43" s="11" t="n">
        <f aca="false">SUMIFS('Staff Months'!$E$6:$E$2345,'Staff Months'!$A$6:$A$2345,$AS$1,'Staff Months'!$C$6:$C$2345,A43)</f>
        <v>12.5</v>
      </c>
      <c r="J43" s="11" t="n">
        <f aca="false">SUMIFS('Staff Months'!$L$6:$L$2345,'Staff Months'!$A$6:$A$2345,$AS$1,'Staff Months'!$C$6:$C$2345,A43)</f>
        <v>13</v>
      </c>
      <c r="K43" s="10" t="n">
        <f aca="false">SUMIFS('Staff Months'!$H$6:$H$2345,'Staff Months'!$A$6:$A$2345,$AS$1,'Staff Months'!$C$6:$C$2345,A43)</f>
        <v>191883.050666667</v>
      </c>
      <c r="L43" s="10" t="n">
        <f aca="false">SUMIFS('Staff Months'!$J$6:$J$2345,'Staff Months'!$A$6:$A$2345,$AS$1,'Staff Months'!$C$6:$C$2345,A43)</f>
        <v>0</v>
      </c>
      <c r="M43" s="10" t="n">
        <f aca="false">SUMIFS('Staff Months'!$K$6:$K$2345,'Staff Months'!$A$6:$A$2345,$AS$1,'Staff Months'!$C$6:$C$2345,A43)</f>
        <v>0</v>
      </c>
      <c r="N43" s="10" t="n">
        <f aca="false">SUMIFS('Vendor Months'!$G$6:$G$3965,'Vendor Months'!$A$6:$A$3965,$AS$1,'Vendor Months'!$C$6:$C$3965,A43,'Vendor Months'!$J$6:$J$3965,"INFRA")</f>
        <v>1629.71567481336</v>
      </c>
      <c r="O43" s="10" t="n">
        <f aca="false">SUMIFS('Vendor Months'!$G$6:$G$3965,'Vendor Months'!$A$6:$A$3965,$AS$1,'Vendor Months'!$C$6:$C$3965,A43,'Vendor Months'!$J$6:$J$3965,"TOOLS")</f>
        <v>696.067099</v>
      </c>
      <c r="P43" s="10" t="n">
        <f aca="false">SUMIFS('Vendor Months'!$G$6:$G$3965,'Vendor Months'!$A$6:$A$3965,$AS$1,'Vendor Months'!$C$6:$C$3965,A43,'Vendor Months'!$J$6:$J$3965,"LEGAL")</f>
        <v>13112.724</v>
      </c>
      <c r="Q43" s="10" t="n">
        <f aca="false">SUMIFS('Vendor Months'!$G$6:$G$3965,'Vendor Months'!$A$6:$A$3965,$AS$1,'Vendor Months'!$C$6:$C$3965,A43,'Vendor Months'!$J$6:$J$3965,"SECURITY")</f>
        <v>0</v>
      </c>
      <c r="R43" s="10" t="n">
        <f aca="false">SUMIFS('Vendor Months'!$G$6:$G$3965,'Vendor Months'!$A$6:$A$3965,$AS$1,'Vendor Months'!$C$6:$C$3965,A43,'Vendor Months'!$J$6:$J$3965,"COMPLIANCE")</f>
        <v>0</v>
      </c>
      <c r="S43" s="10" t="n">
        <f aca="false">SUMIFS('Vendor Months'!$G$6:$G$3965,'Vendor Months'!$A$6:$A$3965,$AS$1,'Vendor Months'!$C$6:$C$3965,A43,'Vendor Months'!$J$6:$J$3965,"INSURANCE")</f>
        <v>0</v>
      </c>
      <c r="T43" s="10" t="n">
        <f aca="false">SUMIFS('Vendor Months'!$G$6:$G$3965,'Vendor Months'!$A$6:$A$3965,$AS$1,'Vendor Months'!$C$6:$C$3965,A43,'Vendor Months'!$J$6:$J$3965,"ACCOUNTING")</f>
        <v>655.6362</v>
      </c>
      <c r="U43" s="10" t="n">
        <f aca="false">SUMIFS('Vendor Months'!$G$6:$G$3965,'Vendor Months'!$A$6:$A$3965,$AS$1,'Vendor Months'!$C$6:$C$3965,A43,'Vendor Months'!$J$6:$J$3965,"SUPPORT")</f>
        <v>109.2727</v>
      </c>
      <c r="V43" s="10" t="n">
        <f aca="false">SUMIFS('Vendor Months'!$G$6:$G$3965,'Vendor Months'!$A$6:$A$3965,$AS$1,'Vendor Months'!$C$6:$C$3965,A43,'Vendor Months'!$J$6:$J$3965,"MARKETING")</f>
        <v>2544.76133260475</v>
      </c>
      <c r="W43" s="10" t="n">
        <f aca="false">SUMIFS('Vendor Months'!$G$6:$G$3965,'Vendor Months'!$A$6:$A$3965,$AS$1,'Vendor Months'!$C$6:$C$3965,A43,'Vendor Months'!$J$6:$J$3965,"ONBOARD")</f>
        <v>737.590725</v>
      </c>
      <c r="X43" s="10" t="n">
        <f aca="false">SUMIFS('Vendor Months'!$G$6:$G$3965,'Vendor Months'!$A$6:$A$3965,$AS$1,'Vendor Months'!$C$6:$C$3965,A43,'Vendor Months'!$J$6:$J$3965,"AI")</f>
        <v>0</v>
      </c>
      <c r="Y43" s="10" t="n">
        <f aca="false">SUMIFS('Vendor Months'!$G$6:$G$3965,'Vendor Months'!$A$6:$A$3965,$AS$1,'Vendor Months'!$C$6:$C$3965,A43,'Vendor Months'!$J$6:$J$3965,"CTMS")</f>
        <v>0</v>
      </c>
      <c r="Z43" s="10" t="n">
        <f aca="false">SUM(N43:Y43)</f>
        <v>19485.7677314181</v>
      </c>
      <c r="AA43" s="10" t="n">
        <f aca="false">(SUM(K43:M43)+Z43)*Assumptions!$D$12</f>
        <v>31705.3227597127</v>
      </c>
      <c r="AB43" s="10" t="n">
        <f aca="false">AD43*Assumptions!$D$29</f>
        <v>838.37415908796</v>
      </c>
      <c r="AC43" s="10" t="n">
        <f aca="false">SUM(K43:M43)+Z43+AA43+AB43</f>
        <v>243912.515316886</v>
      </c>
      <c r="AD43" s="10" t="n">
        <f aca="false">D43*Assumptions!$D$17</f>
        <v>27945.805302932</v>
      </c>
      <c r="AE43" s="10" t="n">
        <f aca="false">AD43*12</f>
        <v>335349.663635184</v>
      </c>
      <c r="AF43" s="10" t="n">
        <f aca="false">AC43-AD43</f>
        <v>215966.710013954</v>
      </c>
      <c r="AG43" s="10" t="n">
        <f aca="false">IF(A43=Assumptions!$D$7,Assumptions!$D$8,0)</f>
        <v>0</v>
      </c>
      <c r="AH43" s="10" t="n">
        <f aca="false">AI42</f>
        <v>-1002007.39455631</v>
      </c>
      <c r="AI43" s="10" t="n">
        <f aca="false">AH43+AG43-AF43</f>
        <v>-1217974.10457026</v>
      </c>
      <c r="AJ43" s="10" t="n">
        <f aca="false">SUM($AC$6:AC43)</f>
        <v>5556339.37957999</v>
      </c>
      <c r="AK43" s="10" t="n">
        <f aca="false">MAX(0,-AI43)</f>
        <v>1217974.10457026</v>
      </c>
      <c r="AL43" s="10" t="n">
        <f aca="false">Assumptions!$D$6+SUM($AG$6:AG43)-AJ43</f>
        <v>-1556339.37957999</v>
      </c>
      <c r="AM43" s="10" t="n">
        <f aca="false">SUMIFS('Vendor Months'!$H$6:$H$3965,'Vendor Months'!$A$6:$A$3965,$AS$1,'Vendor Months'!$C$6:$C$3965,A43)</f>
        <v>15134.26895</v>
      </c>
      <c r="AN43" s="10" t="n">
        <f aca="false">X43+Y43</f>
        <v>0</v>
      </c>
      <c r="AO43" s="10" t="n">
        <f aca="false">SUMIFS('Staff Months'!$I$6:$I$2345,'Staff Months'!$A$6:$A$2345,$AS$1,'Staff Months'!$C$6:$C$2345,A43)</f>
        <v>16872.96</v>
      </c>
      <c r="AP43" s="10" t="n">
        <f aca="false">SUM($AF$6:AF43)</f>
        <v>5217974.10457026</v>
      </c>
      <c r="AQ43" s="10" t="n">
        <f aca="false">AC43</f>
        <v>243912.515316886</v>
      </c>
      <c r="AR43" s="26" t="n">
        <f aca="false">IF(AI43&lt;0,1,0)</f>
        <v>1</v>
      </c>
      <c r="AS43" s="6"/>
    </row>
    <row r="44" customFormat="false" ht="15" hidden="false" customHeight="false" outlineLevel="0" collapsed="false">
      <c r="A44" s="6" t="n">
        <v>39</v>
      </c>
      <c r="B44" s="25" t="n">
        <f aca="false">EDATE('Start Here'!$B$6,A44-1)</f>
        <v>47484</v>
      </c>
      <c r="C44" s="11" t="n">
        <f aca="false">IF(A44&gt;=Assumptions!$D$13,Assumptions!$D$14*(1+Assumptions!$D$15)^INT((A44-Assumptions!$D$13)/12),0)</f>
        <v>2.25</v>
      </c>
      <c r="D44" s="11" t="n">
        <f aca="false">D43*(1-Assumptions!$D$16)+C44</f>
        <v>32.9903858332252</v>
      </c>
      <c r="E44" s="11" t="n">
        <f aca="false">D44*Assumptions!$D$18</f>
        <v>494.855787498378</v>
      </c>
      <c r="F44" s="11" t="n">
        <f aca="false">E44*Assumptions!$D$19*30/1000000</f>
        <v>2.2268510437427</v>
      </c>
      <c r="G44" s="11" t="n">
        <f aca="false">D44*Assumptions!$D$20</f>
        <v>164.951929166126</v>
      </c>
      <c r="H44" s="11" t="n">
        <f aca="false">D44*Assumptions!$D$21</f>
        <v>32.9903858332252</v>
      </c>
      <c r="I44" s="11" t="n">
        <f aca="false">SUMIFS('Staff Months'!$E$6:$E$2345,'Staff Months'!$A$6:$A$2345,$AS$1,'Staff Months'!$C$6:$C$2345,A44)</f>
        <v>12.5</v>
      </c>
      <c r="J44" s="11" t="n">
        <f aca="false">SUMIFS('Staff Months'!$L$6:$L$2345,'Staff Months'!$A$6:$A$2345,$AS$1,'Staff Months'!$C$6:$C$2345,A44)</f>
        <v>13</v>
      </c>
      <c r="K44" s="10" t="n">
        <f aca="false">SUMIFS('Staff Months'!$H$6:$H$2345,'Staff Months'!$A$6:$A$2345,$AS$1,'Staff Months'!$C$6:$C$2345,A44)</f>
        <v>191883.050666667</v>
      </c>
      <c r="L44" s="10" t="n">
        <f aca="false">SUMIFS('Staff Months'!$J$6:$J$2345,'Staff Months'!$A$6:$A$2345,$AS$1,'Staff Months'!$C$6:$C$2345,A44)</f>
        <v>0</v>
      </c>
      <c r="M44" s="10" t="n">
        <f aca="false">SUMIFS('Staff Months'!$K$6:$K$2345,'Staff Months'!$A$6:$A$2345,$AS$1,'Staff Months'!$C$6:$C$2345,A44)</f>
        <v>0</v>
      </c>
      <c r="N44" s="10" t="n">
        <f aca="false">SUMIFS('Vendor Months'!$G$6:$G$3965,'Vendor Months'!$A$6:$A$3965,$AS$1,'Vendor Months'!$C$6:$C$3965,A44,'Vendor Months'!$J$6:$J$3965,"INFRA")</f>
        <v>1646.19349852148</v>
      </c>
      <c r="O44" s="10" t="n">
        <f aca="false">SUMIFS('Vendor Months'!$G$6:$G$3965,'Vendor Months'!$A$6:$A$3965,$AS$1,'Vendor Months'!$C$6:$C$3965,A44,'Vendor Months'!$J$6:$J$3965,"TOOLS")</f>
        <v>696.067099</v>
      </c>
      <c r="P44" s="10" t="n">
        <f aca="false">SUMIFS('Vendor Months'!$G$6:$G$3965,'Vendor Months'!$A$6:$A$3965,$AS$1,'Vendor Months'!$C$6:$C$3965,A44,'Vendor Months'!$J$6:$J$3965,"LEGAL")</f>
        <v>0</v>
      </c>
      <c r="Q44" s="10" t="n">
        <f aca="false">SUMIFS('Vendor Months'!$G$6:$G$3965,'Vendor Months'!$A$6:$A$3965,$AS$1,'Vendor Months'!$C$6:$C$3965,A44,'Vendor Months'!$J$6:$J$3965,"SECURITY")</f>
        <v>0</v>
      </c>
      <c r="R44" s="10" t="n">
        <f aca="false">SUMIFS('Vendor Months'!$G$6:$G$3965,'Vendor Months'!$A$6:$A$3965,$AS$1,'Vendor Months'!$C$6:$C$3965,A44,'Vendor Months'!$J$6:$J$3965,"COMPLIANCE")</f>
        <v>0</v>
      </c>
      <c r="S44" s="10" t="n">
        <f aca="false">SUMIFS('Vendor Months'!$G$6:$G$3965,'Vendor Months'!$A$6:$A$3965,$AS$1,'Vendor Months'!$C$6:$C$3965,A44,'Vendor Months'!$J$6:$J$3965,"INSURANCE")</f>
        <v>0</v>
      </c>
      <c r="T44" s="10" t="n">
        <f aca="false">SUMIFS('Vendor Months'!$G$6:$G$3965,'Vendor Months'!$A$6:$A$3965,$AS$1,'Vendor Months'!$C$6:$C$3965,A44,'Vendor Months'!$J$6:$J$3965,"ACCOUNTING")</f>
        <v>655.6362</v>
      </c>
      <c r="U44" s="10" t="n">
        <f aca="false">SUMIFS('Vendor Months'!$G$6:$G$3965,'Vendor Months'!$A$6:$A$3965,$AS$1,'Vendor Months'!$C$6:$C$3965,A44,'Vendor Months'!$J$6:$J$3965,"SUPPORT")</f>
        <v>109.2727</v>
      </c>
      <c r="V44" s="10" t="n">
        <f aca="false">SUMIFS('Vendor Months'!$G$6:$G$3965,'Vendor Months'!$A$6:$A$3965,$AS$1,'Vendor Months'!$C$6:$C$3965,A44,'Vendor Months'!$J$6:$J$3965,"MARKETING")</f>
        <v>2703.7114005287</v>
      </c>
      <c r="W44" s="10" t="n">
        <f aca="false">SUMIFS('Vendor Months'!$G$6:$G$3965,'Vendor Months'!$A$6:$A$3965,$AS$1,'Vendor Months'!$C$6:$C$3965,A44,'Vendor Months'!$J$6:$J$3965,"ONBOARD")</f>
        <v>737.590725</v>
      </c>
      <c r="X44" s="10" t="n">
        <f aca="false">SUMIFS('Vendor Months'!$G$6:$G$3965,'Vendor Months'!$A$6:$A$3965,$AS$1,'Vendor Months'!$C$6:$C$3965,A44,'Vendor Months'!$J$6:$J$3965,"AI")</f>
        <v>0</v>
      </c>
      <c r="Y44" s="10" t="n">
        <f aca="false">SUMIFS('Vendor Months'!$G$6:$G$3965,'Vendor Months'!$A$6:$A$3965,$AS$1,'Vendor Months'!$C$6:$C$3965,A44,'Vendor Months'!$J$6:$J$3965,"CTMS")</f>
        <v>0</v>
      </c>
      <c r="Z44" s="10" t="n">
        <f aca="false">SUM(N44:Y44)</f>
        <v>6548.47162305018</v>
      </c>
      <c r="AA44" s="10" t="n">
        <f aca="false">(SUM(K44:M44)+Z44)*Assumptions!$D$12</f>
        <v>29764.7283434575</v>
      </c>
      <c r="AB44" s="10" t="n">
        <f aca="false">AD44*Assumptions!$D$29</f>
        <v>890.74041749708</v>
      </c>
      <c r="AC44" s="10" t="n">
        <f aca="false">SUM(K44:M44)+Z44+AA44+AB44</f>
        <v>229086.991050672</v>
      </c>
      <c r="AD44" s="10" t="n">
        <f aca="false">D44*Assumptions!$D$17</f>
        <v>29691.3472499027</v>
      </c>
      <c r="AE44" s="10" t="n">
        <f aca="false">AD44*12</f>
        <v>356296.166998832</v>
      </c>
      <c r="AF44" s="10" t="n">
        <f aca="false">AC44-AD44</f>
        <v>199395.643800769</v>
      </c>
      <c r="AG44" s="10" t="n">
        <f aca="false">IF(A44=Assumptions!$D$7,Assumptions!$D$8,0)</f>
        <v>0</v>
      </c>
      <c r="AH44" s="10" t="n">
        <f aca="false">AI43</f>
        <v>-1217974.10457026</v>
      </c>
      <c r="AI44" s="10" t="n">
        <f aca="false">AH44+AG44-AF44</f>
        <v>-1417369.74837103</v>
      </c>
      <c r="AJ44" s="10" t="n">
        <f aca="false">SUM($AC$6:AC44)</f>
        <v>5785426.37063067</v>
      </c>
      <c r="AK44" s="10" t="n">
        <f aca="false">MAX(0,-AI44)</f>
        <v>1417369.74837103</v>
      </c>
      <c r="AL44" s="10" t="n">
        <f aca="false">Assumptions!$D$6+SUM($AG$6:AG44)-AJ44</f>
        <v>-1785426.37063066</v>
      </c>
      <c r="AM44" s="10" t="n">
        <f aca="false">SUMIFS('Vendor Months'!$H$6:$H$3965,'Vendor Months'!$A$6:$A$3965,$AS$1,'Vendor Months'!$C$6:$C$3965,A44)</f>
        <v>2021.54495</v>
      </c>
      <c r="AN44" s="10" t="n">
        <f aca="false">X44+Y44</f>
        <v>0</v>
      </c>
      <c r="AO44" s="10" t="n">
        <f aca="false">SUMIFS('Staff Months'!$I$6:$I$2345,'Staff Months'!$A$6:$A$2345,$AS$1,'Staff Months'!$C$6:$C$2345,A44)</f>
        <v>16872.96</v>
      </c>
      <c r="AP44" s="10" t="n">
        <f aca="false">SUM($AF$6:AF44)</f>
        <v>5417369.74837103</v>
      </c>
      <c r="AQ44" s="10" t="n">
        <f aca="false">AC44</f>
        <v>229086.991050672</v>
      </c>
      <c r="AR44" s="26" t="n">
        <f aca="false">IF(AI44&lt;0,1,0)</f>
        <v>1</v>
      </c>
      <c r="AS44" s="6"/>
    </row>
    <row r="45" customFormat="false" ht="15" hidden="false" customHeight="false" outlineLevel="0" collapsed="false">
      <c r="A45" s="6" t="n">
        <v>40</v>
      </c>
      <c r="B45" s="25" t="n">
        <f aca="false">EDATE('Start Here'!$B$6,A45-1)</f>
        <v>47515</v>
      </c>
      <c r="C45" s="11" t="n">
        <f aca="false">IF(A45&gt;=Assumptions!$D$13,Assumptions!$D$14*(1+Assumptions!$D$15)^INT((A45-Assumptions!$D$13)/12),0)</f>
        <v>2.25</v>
      </c>
      <c r="D45" s="11" t="n">
        <f aca="false">D44*(1-Assumptions!$D$16)+C45</f>
        <v>34.9104819748929</v>
      </c>
      <c r="E45" s="11" t="n">
        <f aca="false">D45*Assumptions!$D$18</f>
        <v>523.657229623394</v>
      </c>
      <c r="F45" s="11" t="n">
        <f aca="false">E45*Assumptions!$D$19*30/1000000</f>
        <v>2.35645753330527</v>
      </c>
      <c r="G45" s="11" t="n">
        <f aca="false">D45*Assumptions!$D$20</f>
        <v>174.552409874465</v>
      </c>
      <c r="H45" s="11" t="n">
        <f aca="false">D45*Assumptions!$D$21</f>
        <v>34.9104819748929</v>
      </c>
      <c r="I45" s="11" t="n">
        <f aca="false">SUMIFS('Staff Months'!$E$6:$E$2345,'Staff Months'!$A$6:$A$2345,$AS$1,'Staff Months'!$C$6:$C$2345,A45)</f>
        <v>12.5</v>
      </c>
      <c r="J45" s="11" t="n">
        <f aca="false">SUMIFS('Staff Months'!$L$6:$L$2345,'Staff Months'!$A$6:$A$2345,$AS$1,'Staff Months'!$C$6:$C$2345,A45)</f>
        <v>13</v>
      </c>
      <c r="K45" s="10" t="n">
        <f aca="false">SUMIFS('Staff Months'!$H$6:$H$2345,'Staff Months'!$A$6:$A$2345,$AS$1,'Staff Months'!$C$6:$C$2345,A45)</f>
        <v>191883.050666667</v>
      </c>
      <c r="L45" s="10" t="n">
        <f aca="false">SUMIFS('Staff Months'!$J$6:$J$2345,'Staff Months'!$A$6:$A$2345,$AS$1,'Staff Months'!$C$6:$C$2345,A45)</f>
        <v>0</v>
      </c>
      <c r="M45" s="10" t="n">
        <f aca="false">SUMIFS('Staff Months'!$K$6:$K$2345,'Staff Months'!$A$6:$A$2345,$AS$1,'Staff Months'!$C$6:$C$2345,A45)</f>
        <v>0</v>
      </c>
      <c r="N45" s="10" t="n">
        <f aca="false">SUMIFS('Vendor Months'!$G$6:$G$3965,'Vendor Months'!$A$6:$A$3965,$AS$1,'Vendor Months'!$C$6:$C$3965,A45,'Vendor Months'!$J$6:$J$3965,"INFRA")</f>
        <v>1662.50654399251</v>
      </c>
      <c r="O45" s="10" t="n">
        <f aca="false">SUMIFS('Vendor Months'!$G$6:$G$3965,'Vendor Months'!$A$6:$A$3965,$AS$1,'Vendor Months'!$C$6:$C$3965,A45,'Vendor Months'!$J$6:$J$3965,"TOOLS")</f>
        <v>696.067099</v>
      </c>
      <c r="P45" s="10" t="n">
        <f aca="false">SUMIFS('Vendor Months'!$G$6:$G$3965,'Vendor Months'!$A$6:$A$3965,$AS$1,'Vendor Months'!$C$6:$C$3965,A45,'Vendor Months'!$J$6:$J$3965,"LEGAL")</f>
        <v>0</v>
      </c>
      <c r="Q45" s="10" t="n">
        <f aca="false">SUMIFS('Vendor Months'!$G$6:$G$3965,'Vendor Months'!$A$6:$A$3965,$AS$1,'Vendor Months'!$C$6:$C$3965,A45,'Vendor Months'!$J$6:$J$3965,"SECURITY")</f>
        <v>0</v>
      </c>
      <c r="R45" s="10" t="n">
        <f aca="false">SUMIFS('Vendor Months'!$G$6:$G$3965,'Vendor Months'!$A$6:$A$3965,$AS$1,'Vendor Months'!$C$6:$C$3965,A45,'Vendor Months'!$J$6:$J$3965,"COMPLIANCE")</f>
        <v>0</v>
      </c>
      <c r="S45" s="10" t="n">
        <f aca="false">SUMIFS('Vendor Months'!$G$6:$G$3965,'Vendor Months'!$A$6:$A$3965,$AS$1,'Vendor Months'!$C$6:$C$3965,A45,'Vendor Months'!$J$6:$J$3965,"INSURANCE")</f>
        <v>0</v>
      </c>
      <c r="T45" s="10" t="n">
        <f aca="false">SUMIFS('Vendor Months'!$G$6:$G$3965,'Vendor Months'!$A$6:$A$3965,$AS$1,'Vendor Months'!$C$6:$C$3965,A45,'Vendor Months'!$J$6:$J$3965,"ACCOUNTING")</f>
        <v>655.6362</v>
      </c>
      <c r="U45" s="10" t="n">
        <f aca="false">SUMIFS('Vendor Months'!$G$6:$G$3965,'Vendor Months'!$A$6:$A$3965,$AS$1,'Vendor Months'!$C$6:$C$3965,A45,'Vendor Months'!$J$6:$J$3965,"SUPPORT")</f>
        <v>109.2727</v>
      </c>
      <c r="V45" s="10" t="n">
        <f aca="false">SUMIFS('Vendor Months'!$G$6:$G$3965,'Vendor Months'!$A$6:$A$3965,$AS$1,'Vendor Months'!$C$6:$C$3965,A45,'Vendor Months'!$J$6:$J$3965,"MARKETING")</f>
        <v>2861.07196777341</v>
      </c>
      <c r="W45" s="10" t="n">
        <f aca="false">SUMIFS('Vendor Months'!$G$6:$G$3965,'Vendor Months'!$A$6:$A$3965,$AS$1,'Vendor Months'!$C$6:$C$3965,A45,'Vendor Months'!$J$6:$J$3965,"ONBOARD")</f>
        <v>737.590725</v>
      </c>
      <c r="X45" s="10" t="n">
        <f aca="false">SUMIFS('Vendor Months'!$G$6:$G$3965,'Vendor Months'!$A$6:$A$3965,$AS$1,'Vendor Months'!$C$6:$C$3965,A45,'Vendor Months'!$J$6:$J$3965,"AI")</f>
        <v>0</v>
      </c>
      <c r="Y45" s="10" t="n">
        <f aca="false">SUMIFS('Vendor Months'!$G$6:$G$3965,'Vendor Months'!$A$6:$A$3965,$AS$1,'Vendor Months'!$C$6:$C$3965,A45,'Vendor Months'!$J$6:$J$3965,"CTMS")</f>
        <v>0</v>
      </c>
      <c r="Z45" s="10" t="n">
        <f aca="false">SUM(N45:Y45)</f>
        <v>6722.14523576592</v>
      </c>
      <c r="AA45" s="10" t="n">
        <f aca="false">(SUM(K45:M45)+Z45)*Assumptions!$D$12</f>
        <v>29790.7793853649</v>
      </c>
      <c r="AB45" s="10" t="n">
        <f aca="false">AD45*Assumptions!$D$29</f>
        <v>942.583013322109</v>
      </c>
      <c r="AC45" s="10" t="n">
        <f aca="false">SUM(K45:M45)+Z45+AA45+AB45</f>
        <v>229338.55830112</v>
      </c>
      <c r="AD45" s="10" t="n">
        <f aca="false">D45*Assumptions!$D$17</f>
        <v>31419.4337774037</v>
      </c>
      <c r="AE45" s="10" t="n">
        <f aca="false">AD45*12</f>
        <v>377033.205328844</v>
      </c>
      <c r="AF45" s="10" t="n">
        <f aca="false">AC45-AD45</f>
        <v>197919.124523716</v>
      </c>
      <c r="AG45" s="10" t="n">
        <f aca="false">IF(A45=Assumptions!$D$7,Assumptions!$D$8,0)</f>
        <v>0</v>
      </c>
      <c r="AH45" s="10" t="n">
        <f aca="false">AI44</f>
        <v>-1417369.74837103</v>
      </c>
      <c r="AI45" s="10" t="n">
        <f aca="false">AH45+AG45-AF45</f>
        <v>-1615288.87289475</v>
      </c>
      <c r="AJ45" s="10" t="n">
        <f aca="false">SUM($AC$6:AC45)</f>
        <v>6014764.92893179</v>
      </c>
      <c r="AK45" s="10" t="n">
        <f aca="false">MAX(0,-AI45)</f>
        <v>1615288.87289475</v>
      </c>
      <c r="AL45" s="10" t="n">
        <f aca="false">Assumptions!$D$6+SUM($AG$6:AG45)-AJ45</f>
        <v>-2014764.92893178</v>
      </c>
      <c r="AM45" s="10" t="n">
        <f aca="false">SUMIFS('Vendor Months'!$H$6:$H$3965,'Vendor Months'!$A$6:$A$3965,$AS$1,'Vendor Months'!$C$6:$C$3965,A45)</f>
        <v>2021.54495</v>
      </c>
      <c r="AN45" s="10" t="n">
        <f aca="false">X45+Y45</f>
        <v>0</v>
      </c>
      <c r="AO45" s="10" t="n">
        <f aca="false">SUMIFS('Staff Months'!$I$6:$I$2345,'Staff Months'!$A$6:$A$2345,$AS$1,'Staff Months'!$C$6:$C$2345,A45)</f>
        <v>16872.96</v>
      </c>
      <c r="AP45" s="10" t="n">
        <f aca="false">SUM($AF$6:AF45)</f>
        <v>5615288.87289475</v>
      </c>
      <c r="AQ45" s="10" t="n">
        <f aca="false">AC45</f>
        <v>229338.55830112</v>
      </c>
      <c r="AR45" s="26" t="n">
        <f aca="false">IF(AI45&lt;0,1,0)</f>
        <v>1</v>
      </c>
      <c r="AS45" s="6"/>
    </row>
    <row r="46" customFormat="false" ht="15" hidden="false" customHeight="false" outlineLevel="0" collapsed="false">
      <c r="A46" s="6" t="n">
        <v>41</v>
      </c>
      <c r="B46" s="25" t="n">
        <f aca="false">EDATE('Start Here'!$B$6,A46-1)</f>
        <v>47543</v>
      </c>
      <c r="C46" s="11" t="n">
        <f aca="false">IF(A46&gt;=Assumptions!$D$13,Assumptions!$D$14*(1+Assumptions!$D$15)^INT((A46-Assumptions!$D$13)/12),0)</f>
        <v>2.25</v>
      </c>
      <c r="D46" s="11" t="n">
        <f aca="false">D45*(1-Assumptions!$D$16)+C46</f>
        <v>36.811377155144</v>
      </c>
      <c r="E46" s="11" t="n">
        <f aca="false">D46*Assumptions!$D$18</f>
        <v>552.17065732716</v>
      </c>
      <c r="F46" s="11" t="n">
        <f aca="false">E46*Assumptions!$D$19*30/1000000</f>
        <v>2.48476795797222</v>
      </c>
      <c r="G46" s="11" t="n">
        <f aca="false">D46*Assumptions!$D$20</f>
        <v>184.05688577572</v>
      </c>
      <c r="H46" s="11" t="n">
        <f aca="false">D46*Assumptions!$D$21</f>
        <v>36.811377155144</v>
      </c>
      <c r="I46" s="11" t="n">
        <f aca="false">SUMIFS('Staff Months'!$E$6:$E$2345,'Staff Months'!$A$6:$A$2345,$AS$1,'Staff Months'!$C$6:$C$2345,A46)</f>
        <v>12.5</v>
      </c>
      <c r="J46" s="11" t="n">
        <f aca="false">SUMIFS('Staff Months'!$L$6:$L$2345,'Staff Months'!$A$6:$A$2345,$AS$1,'Staff Months'!$C$6:$C$2345,A46)</f>
        <v>13</v>
      </c>
      <c r="K46" s="10" t="n">
        <f aca="false">SUMIFS('Staff Months'!$H$6:$H$2345,'Staff Months'!$A$6:$A$2345,$AS$1,'Staff Months'!$C$6:$C$2345,A46)</f>
        <v>191883.050666667</v>
      </c>
      <c r="L46" s="10" t="n">
        <f aca="false">SUMIFS('Staff Months'!$J$6:$J$2345,'Staff Months'!$A$6:$A$2345,$AS$1,'Staff Months'!$C$6:$C$2345,A46)</f>
        <v>0</v>
      </c>
      <c r="M46" s="10" t="n">
        <f aca="false">SUMIFS('Staff Months'!$K$6:$K$2345,'Staff Months'!$A$6:$A$2345,$AS$1,'Staff Months'!$C$6:$C$2345,A46)</f>
        <v>0</v>
      </c>
      <c r="N46" s="10" t="n">
        <f aca="false">SUMIFS('Vendor Months'!$G$6:$G$3965,'Vendor Months'!$A$6:$A$3965,$AS$1,'Vendor Months'!$C$6:$C$3965,A46,'Vendor Months'!$J$6:$J$3965,"INFRA")</f>
        <v>1678.65645900884</v>
      </c>
      <c r="O46" s="10" t="n">
        <f aca="false">SUMIFS('Vendor Months'!$G$6:$G$3965,'Vendor Months'!$A$6:$A$3965,$AS$1,'Vendor Months'!$C$6:$C$3965,A46,'Vendor Months'!$J$6:$J$3965,"TOOLS")</f>
        <v>696.067099</v>
      </c>
      <c r="P46" s="10" t="n">
        <f aca="false">SUMIFS('Vendor Months'!$G$6:$G$3965,'Vendor Months'!$A$6:$A$3965,$AS$1,'Vendor Months'!$C$6:$C$3965,A46,'Vendor Months'!$J$6:$J$3965,"LEGAL")</f>
        <v>0</v>
      </c>
      <c r="Q46" s="10" t="n">
        <f aca="false">SUMIFS('Vendor Months'!$G$6:$G$3965,'Vendor Months'!$A$6:$A$3965,$AS$1,'Vendor Months'!$C$6:$C$3965,A46,'Vendor Months'!$J$6:$J$3965,"SECURITY")</f>
        <v>0</v>
      </c>
      <c r="R46" s="10" t="n">
        <f aca="false">SUMIFS('Vendor Months'!$G$6:$G$3965,'Vendor Months'!$A$6:$A$3965,$AS$1,'Vendor Months'!$C$6:$C$3965,A46,'Vendor Months'!$J$6:$J$3965,"COMPLIANCE")</f>
        <v>0</v>
      </c>
      <c r="S46" s="10" t="n">
        <f aca="false">SUMIFS('Vendor Months'!$G$6:$G$3965,'Vendor Months'!$A$6:$A$3965,$AS$1,'Vendor Months'!$C$6:$C$3965,A46,'Vendor Months'!$J$6:$J$3965,"INSURANCE")</f>
        <v>0</v>
      </c>
      <c r="T46" s="10" t="n">
        <f aca="false">SUMIFS('Vendor Months'!$G$6:$G$3965,'Vendor Months'!$A$6:$A$3965,$AS$1,'Vendor Months'!$C$6:$C$3965,A46,'Vendor Months'!$J$6:$J$3965,"ACCOUNTING")</f>
        <v>655.6362</v>
      </c>
      <c r="U46" s="10" t="n">
        <f aca="false">SUMIFS('Vendor Months'!$G$6:$G$3965,'Vendor Months'!$A$6:$A$3965,$AS$1,'Vendor Months'!$C$6:$C$3965,A46,'Vendor Months'!$J$6:$J$3965,"SUPPORT")</f>
        <v>109.2727</v>
      </c>
      <c r="V46" s="10" t="n">
        <f aca="false">SUMIFS('Vendor Months'!$G$6:$G$3965,'Vendor Months'!$A$6:$A$3965,$AS$1,'Vendor Months'!$C$6:$C$3965,A46,'Vendor Months'!$J$6:$J$3965,"MARKETING")</f>
        <v>3016.85892934568</v>
      </c>
      <c r="W46" s="10" t="n">
        <f aca="false">SUMIFS('Vendor Months'!$G$6:$G$3965,'Vendor Months'!$A$6:$A$3965,$AS$1,'Vendor Months'!$C$6:$C$3965,A46,'Vendor Months'!$J$6:$J$3965,"ONBOARD")</f>
        <v>737.590725</v>
      </c>
      <c r="X46" s="10" t="n">
        <f aca="false">SUMIFS('Vendor Months'!$G$6:$G$3965,'Vendor Months'!$A$6:$A$3965,$AS$1,'Vendor Months'!$C$6:$C$3965,A46,'Vendor Months'!$J$6:$J$3965,"AI")</f>
        <v>0</v>
      </c>
      <c r="Y46" s="10" t="n">
        <f aca="false">SUMIFS('Vendor Months'!$G$6:$G$3965,'Vendor Months'!$A$6:$A$3965,$AS$1,'Vendor Months'!$C$6:$C$3965,A46,'Vendor Months'!$J$6:$J$3965,"CTMS")</f>
        <v>0</v>
      </c>
      <c r="Z46" s="10" t="n">
        <f aca="false">SUM(N46:Y46)</f>
        <v>6894.08211235452</v>
      </c>
      <c r="AA46" s="10" t="n">
        <f aca="false">(SUM(K46:M46)+Z46)*Assumptions!$D$12</f>
        <v>29816.5699168532</v>
      </c>
      <c r="AB46" s="10" t="n">
        <f aca="false">AD46*Assumptions!$D$29</f>
        <v>993.907183188888</v>
      </c>
      <c r="AC46" s="10" t="n">
        <f aca="false">SUM(K46:M46)+Z46+AA46+AB46</f>
        <v>229587.609879063</v>
      </c>
      <c r="AD46" s="10" t="n">
        <f aca="false">D46*Assumptions!$D$17</f>
        <v>33130.2394396296</v>
      </c>
      <c r="AE46" s="10" t="n">
        <f aca="false">AD46*12</f>
        <v>397562.873275555</v>
      </c>
      <c r="AF46" s="10" t="n">
        <f aca="false">AC46-AD46</f>
        <v>196457.370439434</v>
      </c>
      <c r="AG46" s="10" t="n">
        <f aca="false">IF(A46=Assumptions!$D$7,Assumptions!$D$8,0)</f>
        <v>0</v>
      </c>
      <c r="AH46" s="10" t="n">
        <f aca="false">AI45</f>
        <v>-1615288.87289475</v>
      </c>
      <c r="AI46" s="10" t="n">
        <f aca="false">AH46+AG46-AF46</f>
        <v>-1811746.24333418</v>
      </c>
      <c r="AJ46" s="10" t="n">
        <f aca="false">SUM($AC$6:AC46)</f>
        <v>6244352.53881085</v>
      </c>
      <c r="AK46" s="10" t="n">
        <f aca="false">MAX(0,-AI46)</f>
        <v>1811746.24333418</v>
      </c>
      <c r="AL46" s="10" t="n">
        <f aca="false">Assumptions!$D$6+SUM($AG$6:AG46)-AJ46</f>
        <v>-2244352.53881085</v>
      </c>
      <c r="AM46" s="10" t="n">
        <f aca="false">SUMIFS('Vendor Months'!$H$6:$H$3965,'Vendor Months'!$A$6:$A$3965,$AS$1,'Vendor Months'!$C$6:$C$3965,A46)</f>
        <v>2021.54495</v>
      </c>
      <c r="AN46" s="10" t="n">
        <f aca="false">X46+Y46</f>
        <v>0</v>
      </c>
      <c r="AO46" s="10" t="n">
        <f aca="false">SUMIFS('Staff Months'!$I$6:$I$2345,'Staff Months'!$A$6:$A$2345,$AS$1,'Staff Months'!$C$6:$C$2345,A46)</f>
        <v>16872.96</v>
      </c>
      <c r="AP46" s="10" t="n">
        <f aca="false">SUM($AF$6:AF46)</f>
        <v>5811746.24333418</v>
      </c>
      <c r="AQ46" s="10" t="n">
        <f aca="false">AC46</f>
        <v>229587.609879063</v>
      </c>
      <c r="AR46" s="26" t="n">
        <f aca="false">IF(AI46&lt;0,1,0)</f>
        <v>1</v>
      </c>
      <c r="AS46" s="6"/>
    </row>
    <row r="47" customFormat="false" ht="15" hidden="false" customHeight="false" outlineLevel="0" collapsed="false">
      <c r="A47" s="6" t="n">
        <v>42</v>
      </c>
      <c r="B47" s="25" t="n">
        <f aca="false">EDATE('Start Here'!$B$6,A47-1)</f>
        <v>47574</v>
      </c>
      <c r="C47" s="11" t="n">
        <f aca="false">IF(A47&gt;=Assumptions!$D$13,Assumptions!$D$14*(1+Assumptions!$D$15)^INT((A47-Assumptions!$D$13)/12),0)</f>
        <v>2.25</v>
      </c>
      <c r="D47" s="11" t="n">
        <f aca="false">D46*(1-Assumptions!$D$16)+C47</f>
        <v>38.6932633835926</v>
      </c>
      <c r="E47" s="11" t="n">
        <f aca="false">D47*Assumptions!$D$18</f>
        <v>580.398950753889</v>
      </c>
      <c r="F47" s="11" t="n">
        <f aca="false">E47*Assumptions!$D$19*30/1000000</f>
        <v>2.6117952783925</v>
      </c>
      <c r="G47" s="11" t="n">
        <f aca="false">D47*Assumptions!$D$20</f>
        <v>193.466316917963</v>
      </c>
      <c r="H47" s="11" t="n">
        <f aca="false">D47*Assumptions!$D$21</f>
        <v>38.6932633835926</v>
      </c>
      <c r="I47" s="11" t="n">
        <f aca="false">SUMIFS('Staff Months'!$E$6:$E$2345,'Staff Months'!$A$6:$A$2345,$AS$1,'Staff Months'!$C$6:$C$2345,A47)</f>
        <v>12.5</v>
      </c>
      <c r="J47" s="11" t="n">
        <f aca="false">SUMIFS('Staff Months'!$L$6:$L$2345,'Staff Months'!$A$6:$A$2345,$AS$1,'Staff Months'!$C$6:$C$2345,A47)</f>
        <v>13</v>
      </c>
      <c r="K47" s="10" t="n">
        <f aca="false">SUMIFS('Staff Months'!$H$6:$H$2345,'Staff Months'!$A$6:$A$2345,$AS$1,'Staff Months'!$C$6:$C$2345,A47)</f>
        <v>191883.050666667</v>
      </c>
      <c r="L47" s="10" t="n">
        <f aca="false">SUMIFS('Staff Months'!$J$6:$J$2345,'Staff Months'!$A$6:$A$2345,$AS$1,'Staff Months'!$C$6:$C$2345,A47)</f>
        <v>0</v>
      </c>
      <c r="M47" s="10" t="n">
        <f aca="false">SUMIFS('Staff Months'!$K$6:$K$2345,'Staff Months'!$A$6:$A$2345,$AS$1,'Staff Months'!$C$6:$C$2345,A47)</f>
        <v>0</v>
      </c>
      <c r="N47" s="10" t="n">
        <f aca="false">SUMIFS('Vendor Months'!$G$6:$G$3965,'Vendor Months'!$A$6:$A$3965,$AS$1,'Vendor Months'!$C$6:$C$3965,A47,'Vendor Months'!$J$6:$J$3965,"INFRA")</f>
        <v>1694.644874875</v>
      </c>
      <c r="O47" s="10" t="n">
        <f aca="false">SUMIFS('Vendor Months'!$G$6:$G$3965,'Vendor Months'!$A$6:$A$3965,$AS$1,'Vendor Months'!$C$6:$C$3965,A47,'Vendor Months'!$J$6:$J$3965,"TOOLS")</f>
        <v>696.067099</v>
      </c>
      <c r="P47" s="10" t="n">
        <f aca="false">SUMIFS('Vendor Months'!$G$6:$G$3965,'Vendor Months'!$A$6:$A$3965,$AS$1,'Vendor Months'!$C$6:$C$3965,A47,'Vendor Months'!$J$6:$J$3965,"LEGAL")</f>
        <v>0</v>
      </c>
      <c r="Q47" s="10" t="n">
        <f aca="false">SUMIFS('Vendor Months'!$G$6:$G$3965,'Vendor Months'!$A$6:$A$3965,$AS$1,'Vendor Months'!$C$6:$C$3965,A47,'Vendor Months'!$J$6:$J$3965,"SECURITY")</f>
        <v>0</v>
      </c>
      <c r="R47" s="10" t="n">
        <f aca="false">SUMIFS('Vendor Months'!$G$6:$G$3965,'Vendor Months'!$A$6:$A$3965,$AS$1,'Vendor Months'!$C$6:$C$3965,A47,'Vendor Months'!$J$6:$J$3965,"COMPLIANCE")</f>
        <v>0</v>
      </c>
      <c r="S47" s="10" t="n">
        <f aca="false">SUMIFS('Vendor Months'!$G$6:$G$3965,'Vendor Months'!$A$6:$A$3965,$AS$1,'Vendor Months'!$C$6:$C$3965,A47,'Vendor Months'!$J$6:$J$3965,"INSURANCE")</f>
        <v>0</v>
      </c>
      <c r="T47" s="10" t="n">
        <f aca="false">SUMIFS('Vendor Months'!$G$6:$G$3965,'Vendor Months'!$A$6:$A$3965,$AS$1,'Vendor Months'!$C$6:$C$3965,A47,'Vendor Months'!$J$6:$J$3965,"ACCOUNTING")</f>
        <v>655.6362</v>
      </c>
      <c r="U47" s="10" t="n">
        <f aca="false">SUMIFS('Vendor Months'!$G$6:$G$3965,'Vendor Months'!$A$6:$A$3965,$AS$1,'Vendor Months'!$C$6:$C$3965,A47,'Vendor Months'!$J$6:$J$3965,"SUPPORT")</f>
        <v>109.2727</v>
      </c>
      <c r="V47" s="10" t="n">
        <f aca="false">SUMIFS('Vendor Months'!$G$6:$G$3965,'Vendor Months'!$A$6:$A$3965,$AS$1,'Vendor Months'!$C$6:$C$3965,A47,'Vendor Months'!$J$6:$J$3965,"MARKETING")</f>
        <v>3171.08802130222</v>
      </c>
      <c r="W47" s="10" t="n">
        <f aca="false">SUMIFS('Vendor Months'!$G$6:$G$3965,'Vendor Months'!$A$6:$A$3965,$AS$1,'Vendor Months'!$C$6:$C$3965,A47,'Vendor Months'!$J$6:$J$3965,"ONBOARD")</f>
        <v>737.590725</v>
      </c>
      <c r="X47" s="10" t="n">
        <f aca="false">SUMIFS('Vendor Months'!$G$6:$G$3965,'Vendor Months'!$A$6:$A$3965,$AS$1,'Vendor Months'!$C$6:$C$3965,A47,'Vendor Months'!$J$6:$J$3965,"AI")</f>
        <v>0</v>
      </c>
      <c r="Y47" s="10" t="n">
        <f aca="false">SUMIFS('Vendor Months'!$G$6:$G$3965,'Vendor Months'!$A$6:$A$3965,$AS$1,'Vendor Months'!$C$6:$C$3965,A47,'Vendor Months'!$J$6:$J$3965,"CTMS")</f>
        <v>0</v>
      </c>
      <c r="Z47" s="10" t="n">
        <f aca="false">SUM(N47:Y47)</f>
        <v>7064.29962017722</v>
      </c>
      <c r="AA47" s="10" t="n">
        <f aca="false">(SUM(K47:M47)+Z47)*Assumptions!$D$12</f>
        <v>29842.1025430266</v>
      </c>
      <c r="AB47" s="10" t="n">
        <f aca="false">AD47*Assumptions!$D$29</f>
        <v>1044.718111357</v>
      </c>
      <c r="AC47" s="10" t="n">
        <f aca="false">SUM(K47:M47)+Z47+AA47+AB47</f>
        <v>229834.170941228</v>
      </c>
      <c r="AD47" s="10" t="n">
        <f aca="false">D47*Assumptions!$D$17</f>
        <v>34823.9370452333</v>
      </c>
      <c r="AE47" s="10" t="n">
        <f aca="false">AD47*12</f>
        <v>417887.2445428</v>
      </c>
      <c r="AF47" s="10" t="n">
        <f aca="false">AC47-AD47</f>
        <v>195010.233895994</v>
      </c>
      <c r="AG47" s="10" t="n">
        <f aca="false">IF(A47=Assumptions!$D$7,Assumptions!$D$8,0)</f>
        <v>0</v>
      </c>
      <c r="AH47" s="10" t="n">
        <f aca="false">AI46</f>
        <v>-1811746.24333418</v>
      </c>
      <c r="AI47" s="10" t="n">
        <f aca="false">AH47+AG47-AF47</f>
        <v>-2006756.47723017</v>
      </c>
      <c r="AJ47" s="10" t="n">
        <f aca="false">SUM($AC$6:AC47)</f>
        <v>6474186.70975207</v>
      </c>
      <c r="AK47" s="10" t="n">
        <f aca="false">MAX(0,-AI47)</f>
        <v>2006756.47723017</v>
      </c>
      <c r="AL47" s="10" t="n">
        <f aca="false">Assumptions!$D$6+SUM($AG$6:AG47)-AJ47</f>
        <v>-2474186.70975207</v>
      </c>
      <c r="AM47" s="10" t="n">
        <f aca="false">SUMIFS('Vendor Months'!$H$6:$H$3965,'Vendor Months'!$A$6:$A$3965,$AS$1,'Vendor Months'!$C$6:$C$3965,A47)</f>
        <v>2021.54495</v>
      </c>
      <c r="AN47" s="10" t="n">
        <f aca="false">X47+Y47</f>
        <v>0</v>
      </c>
      <c r="AO47" s="10" t="n">
        <f aca="false">SUMIFS('Staff Months'!$I$6:$I$2345,'Staff Months'!$A$6:$A$2345,$AS$1,'Staff Months'!$C$6:$C$2345,A47)</f>
        <v>16872.96</v>
      </c>
      <c r="AP47" s="10" t="n">
        <f aca="false">SUM($AF$6:AF47)</f>
        <v>6006756.47723017</v>
      </c>
      <c r="AQ47" s="10" t="n">
        <f aca="false">AC47</f>
        <v>229834.170941228</v>
      </c>
      <c r="AR47" s="26" t="n">
        <f aca="false">IF(AI47&lt;0,1,0)</f>
        <v>1</v>
      </c>
      <c r="AS47" s="6"/>
    </row>
    <row r="48" customFormat="false" ht="15" hidden="false" customHeight="false" outlineLevel="0" collapsed="false">
      <c r="A48" s="6" t="n">
        <v>43</v>
      </c>
      <c r="B48" s="25" t="n">
        <f aca="false">EDATE('Start Here'!$B$6,A48-1)</f>
        <v>47604</v>
      </c>
      <c r="C48" s="11" t="n">
        <f aca="false">IF(A48&gt;=Assumptions!$D$13,Assumptions!$D$14*(1+Assumptions!$D$15)^INT((A48-Assumptions!$D$13)/12),0)</f>
        <v>2.25</v>
      </c>
      <c r="D48" s="11" t="n">
        <f aca="false">D47*(1-Assumptions!$D$16)+C48</f>
        <v>40.5563307497567</v>
      </c>
      <c r="E48" s="11" t="n">
        <f aca="false">D48*Assumptions!$D$18</f>
        <v>608.34496124635</v>
      </c>
      <c r="F48" s="11" t="n">
        <f aca="false">E48*Assumptions!$D$19*30/1000000</f>
        <v>2.73755232560857</v>
      </c>
      <c r="G48" s="11" t="n">
        <f aca="false">D48*Assumptions!$D$20</f>
        <v>202.781653748783</v>
      </c>
      <c r="H48" s="11" t="n">
        <f aca="false">D48*Assumptions!$D$21</f>
        <v>40.5563307497567</v>
      </c>
      <c r="I48" s="11" t="n">
        <f aca="false">SUMIFS('Staff Months'!$E$6:$E$2345,'Staff Months'!$A$6:$A$2345,$AS$1,'Staff Months'!$C$6:$C$2345,A48)</f>
        <v>12.5</v>
      </c>
      <c r="J48" s="11" t="n">
        <f aca="false">SUMIFS('Staff Months'!$L$6:$L$2345,'Staff Months'!$A$6:$A$2345,$AS$1,'Staff Months'!$C$6:$C$2345,A48)</f>
        <v>13</v>
      </c>
      <c r="K48" s="10" t="n">
        <f aca="false">SUMIFS('Staff Months'!$H$6:$H$2345,'Staff Months'!$A$6:$A$2345,$AS$1,'Staff Months'!$C$6:$C$2345,A48)</f>
        <v>191883.050666667</v>
      </c>
      <c r="L48" s="10" t="n">
        <f aca="false">SUMIFS('Staff Months'!$J$6:$J$2345,'Staff Months'!$A$6:$A$2345,$AS$1,'Staff Months'!$C$6:$C$2345,A48)</f>
        <v>0</v>
      </c>
      <c r="M48" s="10" t="n">
        <f aca="false">SUMIFS('Staff Months'!$K$6:$K$2345,'Staff Months'!$A$6:$A$2345,$AS$1,'Staff Months'!$C$6:$C$2345,A48)</f>
        <v>0</v>
      </c>
      <c r="N48" s="10" t="n">
        <f aca="false">SUMIFS('Vendor Months'!$G$6:$G$3965,'Vendor Months'!$A$6:$A$3965,$AS$1,'Vendor Months'!$C$6:$C$3965,A48,'Vendor Months'!$J$6:$J$3965,"INFRA")</f>
        <v>1710.4734065825</v>
      </c>
      <c r="O48" s="10" t="n">
        <f aca="false">SUMIFS('Vendor Months'!$G$6:$G$3965,'Vendor Months'!$A$6:$A$3965,$AS$1,'Vendor Months'!$C$6:$C$3965,A48,'Vendor Months'!$J$6:$J$3965,"TOOLS")</f>
        <v>696.067099</v>
      </c>
      <c r="P48" s="10" t="n">
        <f aca="false">SUMIFS('Vendor Months'!$G$6:$G$3965,'Vendor Months'!$A$6:$A$3965,$AS$1,'Vendor Months'!$C$6:$C$3965,A48,'Vendor Months'!$J$6:$J$3965,"LEGAL")</f>
        <v>0</v>
      </c>
      <c r="Q48" s="10" t="n">
        <f aca="false">SUMIFS('Vendor Months'!$G$6:$G$3965,'Vendor Months'!$A$6:$A$3965,$AS$1,'Vendor Months'!$C$6:$C$3965,A48,'Vendor Months'!$J$6:$J$3965,"SECURITY")</f>
        <v>0</v>
      </c>
      <c r="R48" s="10" t="n">
        <f aca="false">SUMIFS('Vendor Months'!$G$6:$G$3965,'Vendor Months'!$A$6:$A$3965,$AS$1,'Vendor Months'!$C$6:$C$3965,A48,'Vendor Months'!$J$6:$J$3965,"COMPLIANCE")</f>
        <v>0</v>
      </c>
      <c r="S48" s="10" t="n">
        <f aca="false">SUMIFS('Vendor Months'!$G$6:$G$3965,'Vendor Months'!$A$6:$A$3965,$AS$1,'Vendor Months'!$C$6:$C$3965,A48,'Vendor Months'!$J$6:$J$3965,"INSURANCE")</f>
        <v>0</v>
      </c>
      <c r="T48" s="10" t="n">
        <f aca="false">SUMIFS('Vendor Months'!$G$6:$G$3965,'Vendor Months'!$A$6:$A$3965,$AS$1,'Vendor Months'!$C$6:$C$3965,A48,'Vendor Months'!$J$6:$J$3965,"ACCOUNTING")</f>
        <v>655.6362</v>
      </c>
      <c r="U48" s="10" t="n">
        <f aca="false">SUMIFS('Vendor Months'!$G$6:$G$3965,'Vendor Months'!$A$6:$A$3965,$AS$1,'Vendor Months'!$C$6:$C$3965,A48,'Vendor Months'!$J$6:$J$3965,"SUPPORT")</f>
        <v>109.2727</v>
      </c>
      <c r="V48" s="10" t="n">
        <f aca="false">SUMIFS('Vendor Months'!$G$6:$G$3965,'Vendor Months'!$A$6:$A$3965,$AS$1,'Vendor Months'!$C$6:$C$3965,A48,'Vendor Months'!$J$6:$J$3965,"MARKETING")</f>
        <v>3323.7748223392</v>
      </c>
      <c r="W48" s="10" t="n">
        <f aca="false">SUMIFS('Vendor Months'!$G$6:$G$3965,'Vendor Months'!$A$6:$A$3965,$AS$1,'Vendor Months'!$C$6:$C$3965,A48,'Vendor Months'!$J$6:$J$3965,"ONBOARD")</f>
        <v>737.590725</v>
      </c>
      <c r="X48" s="10" t="n">
        <f aca="false">SUMIFS('Vendor Months'!$G$6:$G$3965,'Vendor Months'!$A$6:$A$3965,$AS$1,'Vendor Months'!$C$6:$C$3965,A48,'Vendor Months'!$J$6:$J$3965,"AI")</f>
        <v>0</v>
      </c>
      <c r="Y48" s="10" t="n">
        <f aca="false">SUMIFS('Vendor Months'!$G$6:$G$3965,'Vendor Months'!$A$6:$A$3965,$AS$1,'Vendor Months'!$C$6:$C$3965,A48,'Vendor Months'!$J$6:$J$3965,"CTMS")</f>
        <v>0</v>
      </c>
      <c r="Z48" s="10" t="n">
        <f aca="false">SUM(N48:Y48)</f>
        <v>7232.8149529217</v>
      </c>
      <c r="AA48" s="10" t="n">
        <f aca="false">(SUM(K48:M48)+Z48)*Assumptions!$D$12</f>
        <v>29867.3798429383</v>
      </c>
      <c r="AB48" s="10" t="n">
        <f aca="false">AD48*Assumptions!$D$29</f>
        <v>1095.02093024343</v>
      </c>
      <c r="AC48" s="10" t="n">
        <f aca="false">SUM(K48:M48)+Z48+AA48+AB48</f>
        <v>230078.26639277</v>
      </c>
      <c r="AD48" s="10" t="n">
        <f aca="false">D48*Assumptions!$D$17</f>
        <v>36500.697674781</v>
      </c>
      <c r="AE48" s="10" t="n">
        <f aca="false">AD48*12</f>
        <v>438008.372097372</v>
      </c>
      <c r="AF48" s="10" t="n">
        <f aca="false">AC48-AD48</f>
        <v>193577.568717989</v>
      </c>
      <c r="AG48" s="10" t="n">
        <f aca="false">IF(A48=Assumptions!$D$7,Assumptions!$D$8,0)</f>
        <v>0</v>
      </c>
      <c r="AH48" s="10" t="n">
        <f aca="false">AI47</f>
        <v>-2006756.47723017</v>
      </c>
      <c r="AI48" s="10" t="n">
        <f aca="false">AH48+AG48-AF48</f>
        <v>-2200334.04594816</v>
      </c>
      <c r="AJ48" s="10" t="n">
        <f aca="false">SUM($AC$6:AC48)</f>
        <v>6704264.97614485</v>
      </c>
      <c r="AK48" s="10" t="n">
        <f aca="false">MAX(0,-AI48)</f>
        <v>2200334.04594816</v>
      </c>
      <c r="AL48" s="10" t="n">
        <f aca="false">Assumptions!$D$6+SUM($AG$6:AG48)-AJ48</f>
        <v>-2704264.97614485</v>
      </c>
      <c r="AM48" s="10" t="n">
        <f aca="false">SUMIFS('Vendor Months'!$H$6:$H$3965,'Vendor Months'!$A$6:$A$3965,$AS$1,'Vendor Months'!$C$6:$C$3965,A48)</f>
        <v>2021.54495</v>
      </c>
      <c r="AN48" s="10" t="n">
        <f aca="false">X48+Y48</f>
        <v>0</v>
      </c>
      <c r="AO48" s="10" t="n">
        <f aca="false">SUMIFS('Staff Months'!$I$6:$I$2345,'Staff Months'!$A$6:$A$2345,$AS$1,'Staff Months'!$C$6:$C$2345,A48)</f>
        <v>16872.96</v>
      </c>
      <c r="AP48" s="10" t="n">
        <f aca="false">SUM($AF$6:AF48)</f>
        <v>6200334.04594816</v>
      </c>
      <c r="AQ48" s="10" t="n">
        <f aca="false">AC48</f>
        <v>230078.26639277</v>
      </c>
      <c r="AR48" s="26" t="n">
        <f aca="false">IF(AI48&lt;0,1,0)</f>
        <v>1</v>
      </c>
      <c r="AS48" s="6"/>
    </row>
    <row r="49" customFormat="false" ht="15" hidden="false" customHeight="false" outlineLevel="0" collapsed="false">
      <c r="A49" s="6" t="n">
        <v>44</v>
      </c>
      <c r="B49" s="25" t="n">
        <f aca="false">EDATE('Start Here'!$B$6,A49-1)</f>
        <v>47635</v>
      </c>
      <c r="C49" s="11" t="n">
        <f aca="false">IF(A49&gt;=Assumptions!$D$13,Assumptions!$D$14*(1+Assumptions!$D$15)^INT((A49-Assumptions!$D$13)/12),0)</f>
        <v>2.25</v>
      </c>
      <c r="D49" s="11" t="n">
        <f aca="false">D48*(1-Assumptions!$D$16)+C49</f>
        <v>42.4007674422591</v>
      </c>
      <c r="E49" s="11" t="n">
        <f aca="false">D49*Assumptions!$D$18</f>
        <v>636.011511633886</v>
      </c>
      <c r="F49" s="11" t="n">
        <f aca="false">E49*Assumptions!$D$19*30/1000000</f>
        <v>2.86205180235249</v>
      </c>
      <c r="G49" s="11" t="n">
        <f aca="false">D49*Assumptions!$D$20</f>
        <v>212.003837211295</v>
      </c>
      <c r="H49" s="11" t="n">
        <f aca="false">D49*Assumptions!$D$21</f>
        <v>42.4007674422591</v>
      </c>
      <c r="I49" s="11" t="n">
        <f aca="false">SUMIFS('Staff Months'!$E$6:$E$2345,'Staff Months'!$A$6:$A$2345,$AS$1,'Staff Months'!$C$6:$C$2345,A49)</f>
        <v>12.5</v>
      </c>
      <c r="J49" s="11" t="n">
        <f aca="false">SUMIFS('Staff Months'!$L$6:$L$2345,'Staff Months'!$A$6:$A$2345,$AS$1,'Staff Months'!$C$6:$C$2345,A49)</f>
        <v>13</v>
      </c>
      <c r="K49" s="10" t="n">
        <f aca="false">SUMIFS('Staff Months'!$H$6:$H$2345,'Staff Months'!$A$6:$A$2345,$AS$1,'Staff Months'!$C$6:$C$2345,A49)</f>
        <v>191883.050666667</v>
      </c>
      <c r="L49" s="10" t="n">
        <f aca="false">SUMIFS('Staff Months'!$J$6:$J$2345,'Staff Months'!$A$6:$A$2345,$AS$1,'Staff Months'!$C$6:$C$2345,A49)</f>
        <v>0</v>
      </c>
      <c r="M49" s="10" t="n">
        <f aca="false">SUMIFS('Staff Months'!$K$6:$K$2345,'Staff Months'!$A$6:$A$2345,$AS$1,'Staff Months'!$C$6:$C$2345,A49)</f>
        <v>0</v>
      </c>
      <c r="N49" s="10" t="n">
        <f aca="false">SUMIFS('Vendor Months'!$G$6:$G$3965,'Vendor Months'!$A$6:$A$3965,$AS$1,'Vendor Months'!$C$6:$C$3965,A49,'Vendor Months'!$J$6:$J$3965,"INFRA")</f>
        <v>1726.14365297292</v>
      </c>
      <c r="O49" s="10" t="n">
        <f aca="false">SUMIFS('Vendor Months'!$G$6:$G$3965,'Vendor Months'!$A$6:$A$3965,$AS$1,'Vendor Months'!$C$6:$C$3965,A49,'Vendor Months'!$J$6:$J$3965,"TOOLS")</f>
        <v>696.067099</v>
      </c>
      <c r="P49" s="10" t="n">
        <f aca="false">SUMIFS('Vendor Months'!$G$6:$G$3965,'Vendor Months'!$A$6:$A$3965,$AS$1,'Vendor Months'!$C$6:$C$3965,A49,'Vendor Months'!$J$6:$J$3965,"LEGAL")</f>
        <v>0</v>
      </c>
      <c r="Q49" s="10" t="n">
        <f aca="false">SUMIFS('Vendor Months'!$G$6:$G$3965,'Vendor Months'!$A$6:$A$3965,$AS$1,'Vendor Months'!$C$6:$C$3965,A49,'Vendor Months'!$J$6:$J$3965,"SECURITY")</f>
        <v>0</v>
      </c>
      <c r="R49" s="10" t="n">
        <f aca="false">SUMIFS('Vendor Months'!$G$6:$G$3965,'Vendor Months'!$A$6:$A$3965,$AS$1,'Vendor Months'!$C$6:$C$3965,A49,'Vendor Months'!$J$6:$J$3965,"COMPLIANCE")</f>
        <v>0</v>
      </c>
      <c r="S49" s="10" t="n">
        <f aca="false">SUMIFS('Vendor Months'!$G$6:$G$3965,'Vendor Months'!$A$6:$A$3965,$AS$1,'Vendor Months'!$C$6:$C$3965,A49,'Vendor Months'!$J$6:$J$3965,"INSURANCE")</f>
        <v>0</v>
      </c>
      <c r="T49" s="10" t="n">
        <f aca="false">SUMIFS('Vendor Months'!$G$6:$G$3965,'Vendor Months'!$A$6:$A$3965,$AS$1,'Vendor Months'!$C$6:$C$3965,A49,'Vendor Months'!$J$6:$J$3965,"ACCOUNTING")</f>
        <v>655.6362</v>
      </c>
      <c r="U49" s="10" t="n">
        <f aca="false">SUMIFS('Vendor Months'!$G$6:$G$3965,'Vendor Months'!$A$6:$A$3965,$AS$1,'Vendor Months'!$C$6:$C$3965,A49,'Vendor Months'!$J$6:$J$3965,"SUPPORT")</f>
        <v>109.2727</v>
      </c>
      <c r="V49" s="10" t="n">
        <f aca="false">SUMIFS('Vendor Months'!$G$6:$G$3965,'Vendor Months'!$A$6:$A$3965,$AS$1,'Vendor Months'!$C$6:$C$3965,A49,'Vendor Months'!$J$6:$J$3965,"MARKETING")</f>
        <v>3474.93475536581</v>
      </c>
      <c r="W49" s="10" t="n">
        <f aca="false">SUMIFS('Vendor Months'!$G$6:$G$3965,'Vendor Months'!$A$6:$A$3965,$AS$1,'Vendor Months'!$C$6:$C$3965,A49,'Vendor Months'!$J$6:$J$3965,"ONBOARD")</f>
        <v>737.590725</v>
      </c>
      <c r="X49" s="10" t="n">
        <f aca="false">SUMIFS('Vendor Months'!$G$6:$G$3965,'Vendor Months'!$A$6:$A$3965,$AS$1,'Vendor Months'!$C$6:$C$3965,A49,'Vendor Months'!$J$6:$J$3965,"AI")</f>
        <v>0</v>
      </c>
      <c r="Y49" s="10" t="n">
        <f aca="false">SUMIFS('Vendor Months'!$G$6:$G$3965,'Vendor Months'!$A$6:$A$3965,$AS$1,'Vendor Months'!$C$6:$C$3965,A49,'Vendor Months'!$J$6:$J$3965,"CTMS")</f>
        <v>0</v>
      </c>
      <c r="Z49" s="10" t="n">
        <f aca="false">SUM(N49:Y49)</f>
        <v>7399.64513233873</v>
      </c>
      <c r="AA49" s="10" t="n">
        <f aca="false">(SUM(K49:M49)+Z49)*Assumptions!$D$12</f>
        <v>29892.4043698508</v>
      </c>
      <c r="AB49" s="10" t="n">
        <f aca="false">AD49*Assumptions!$D$29</f>
        <v>1144.820720941</v>
      </c>
      <c r="AC49" s="10" t="n">
        <f aca="false">SUM(K49:M49)+Z49+AA49+AB49</f>
        <v>230319.920889797</v>
      </c>
      <c r="AD49" s="10" t="n">
        <f aca="false">D49*Assumptions!$D$17</f>
        <v>38160.6906980332</v>
      </c>
      <c r="AE49" s="10" t="n">
        <f aca="false">AD49*12</f>
        <v>457928.288376398</v>
      </c>
      <c r="AF49" s="10" t="n">
        <f aca="false">AC49-AD49</f>
        <v>192159.230191764</v>
      </c>
      <c r="AG49" s="10" t="n">
        <f aca="false">IF(A49=Assumptions!$D$7,Assumptions!$D$8,0)</f>
        <v>0</v>
      </c>
      <c r="AH49" s="10" t="n">
        <f aca="false">AI48</f>
        <v>-2200334.04594816</v>
      </c>
      <c r="AI49" s="10" t="n">
        <f aca="false">AH49+AG49-AF49</f>
        <v>-2392493.27613993</v>
      </c>
      <c r="AJ49" s="10" t="n">
        <f aca="false">SUM($AC$6:AC49)</f>
        <v>6934584.89703464</v>
      </c>
      <c r="AK49" s="10" t="n">
        <f aca="false">MAX(0,-AI49)</f>
        <v>2392493.27613993</v>
      </c>
      <c r="AL49" s="10" t="n">
        <f aca="false">Assumptions!$D$6+SUM($AG$6:AG49)-AJ49</f>
        <v>-2934584.89703464</v>
      </c>
      <c r="AM49" s="10" t="n">
        <f aca="false">SUMIFS('Vendor Months'!$H$6:$H$3965,'Vendor Months'!$A$6:$A$3965,$AS$1,'Vendor Months'!$C$6:$C$3965,A49)</f>
        <v>2021.54495</v>
      </c>
      <c r="AN49" s="10" t="n">
        <f aca="false">X49+Y49</f>
        <v>0</v>
      </c>
      <c r="AO49" s="10" t="n">
        <f aca="false">SUMIFS('Staff Months'!$I$6:$I$2345,'Staff Months'!$A$6:$A$2345,$AS$1,'Staff Months'!$C$6:$C$2345,A49)</f>
        <v>16872.96</v>
      </c>
      <c r="AP49" s="10" t="n">
        <f aca="false">SUM($AF$6:AF49)</f>
        <v>6392493.27613993</v>
      </c>
      <c r="AQ49" s="10" t="n">
        <f aca="false">AC49</f>
        <v>230319.920889797</v>
      </c>
      <c r="AR49" s="26" t="n">
        <f aca="false">IF(AI49&lt;0,1,0)</f>
        <v>1</v>
      </c>
      <c r="AS49" s="6"/>
    </row>
    <row r="50" customFormat="false" ht="15" hidden="false" customHeight="false" outlineLevel="0" collapsed="false">
      <c r="A50" s="6" t="n">
        <v>45</v>
      </c>
      <c r="B50" s="25" t="n">
        <f aca="false">EDATE('Start Here'!$B$6,A50-1)</f>
        <v>47665</v>
      </c>
      <c r="C50" s="11" t="n">
        <f aca="false">IF(A50&gt;=Assumptions!$D$13,Assumptions!$D$14*(1+Assumptions!$D$15)^INT((A50-Assumptions!$D$13)/12),0)</f>
        <v>2.25</v>
      </c>
      <c r="D50" s="11" t="n">
        <f aca="false">D49*(1-Assumptions!$D$16)+C50</f>
        <v>44.2267597678365</v>
      </c>
      <c r="E50" s="11" t="n">
        <f aca="false">D50*Assumptions!$D$18</f>
        <v>663.401396517547</v>
      </c>
      <c r="F50" s="11" t="n">
        <f aca="false">E50*Assumptions!$D$19*30/1000000</f>
        <v>2.98530628432896</v>
      </c>
      <c r="G50" s="11" t="n">
        <f aca="false">D50*Assumptions!$D$20</f>
        <v>221.133798839182</v>
      </c>
      <c r="H50" s="11" t="n">
        <f aca="false">D50*Assumptions!$D$21</f>
        <v>44.2267597678365</v>
      </c>
      <c r="I50" s="11" t="n">
        <f aca="false">SUMIFS('Staff Months'!$E$6:$E$2345,'Staff Months'!$A$6:$A$2345,$AS$1,'Staff Months'!$C$6:$C$2345,A50)</f>
        <v>12.5</v>
      </c>
      <c r="J50" s="11" t="n">
        <f aca="false">SUMIFS('Staff Months'!$L$6:$L$2345,'Staff Months'!$A$6:$A$2345,$AS$1,'Staff Months'!$C$6:$C$2345,A50)</f>
        <v>13</v>
      </c>
      <c r="K50" s="10" t="n">
        <f aca="false">SUMIFS('Staff Months'!$H$6:$H$2345,'Staff Months'!$A$6:$A$2345,$AS$1,'Staff Months'!$C$6:$C$2345,A50)</f>
        <v>191883.050666667</v>
      </c>
      <c r="L50" s="10" t="n">
        <f aca="false">SUMIFS('Staff Months'!$J$6:$J$2345,'Staff Months'!$A$6:$A$2345,$AS$1,'Staff Months'!$C$6:$C$2345,A50)</f>
        <v>0</v>
      </c>
      <c r="M50" s="10" t="n">
        <f aca="false">SUMIFS('Staff Months'!$K$6:$K$2345,'Staff Months'!$A$6:$A$2345,$AS$1,'Staff Months'!$C$6:$C$2345,A50)</f>
        <v>0</v>
      </c>
      <c r="N50" s="10" t="n">
        <f aca="false">SUMIFS('Vendor Months'!$G$6:$G$3965,'Vendor Months'!$A$6:$A$3965,$AS$1,'Vendor Months'!$C$6:$C$3965,A50,'Vendor Months'!$J$6:$J$3965,"INFRA")</f>
        <v>1741.65719689944</v>
      </c>
      <c r="O50" s="10" t="n">
        <f aca="false">SUMIFS('Vendor Months'!$G$6:$G$3965,'Vendor Months'!$A$6:$A$3965,$AS$1,'Vendor Months'!$C$6:$C$3965,A50,'Vendor Months'!$J$6:$J$3965,"TOOLS")</f>
        <v>696.067099</v>
      </c>
      <c r="P50" s="10" t="n">
        <f aca="false">SUMIFS('Vendor Months'!$G$6:$G$3965,'Vendor Months'!$A$6:$A$3965,$AS$1,'Vendor Months'!$C$6:$C$3965,A50,'Vendor Months'!$J$6:$J$3965,"LEGAL")</f>
        <v>0</v>
      </c>
      <c r="Q50" s="10" t="n">
        <f aca="false">SUMIFS('Vendor Months'!$G$6:$G$3965,'Vendor Months'!$A$6:$A$3965,$AS$1,'Vendor Months'!$C$6:$C$3965,A50,'Vendor Months'!$J$6:$J$3965,"SECURITY")</f>
        <v>0</v>
      </c>
      <c r="R50" s="10" t="n">
        <f aca="false">SUMIFS('Vendor Months'!$G$6:$G$3965,'Vendor Months'!$A$6:$A$3965,$AS$1,'Vendor Months'!$C$6:$C$3965,A50,'Vendor Months'!$J$6:$J$3965,"COMPLIANCE")</f>
        <v>0</v>
      </c>
      <c r="S50" s="10" t="n">
        <f aca="false">SUMIFS('Vendor Months'!$G$6:$G$3965,'Vendor Months'!$A$6:$A$3965,$AS$1,'Vendor Months'!$C$6:$C$3965,A50,'Vendor Months'!$J$6:$J$3965,"INSURANCE")</f>
        <v>13112.724</v>
      </c>
      <c r="T50" s="10" t="n">
        <f aca="false">SUMIFS('Vendor Months'!$G$6:$G$3965,'Vendor Months'!$A$6:$A$3965,$AS$1,'Vendor Months'!$C$6:$C$3965,A50,'Vendor Months'!$J$6:$J$3965,"ACCOUNTING")</f>
        <v>655.6362</v>
      </c>
      <c r="U50" s="10" t="n">
        <f aca="false">SUMIFS('Vendor Months'!$G$6:$G$3965,'Vendor Months'!$A$6:$A$3965,$AS$1,'Vendor Months'!$C$6:$C$3965,A50,'Vendor Months'!$J$6:$J$3965,"SUPPORT")</f>
        <v>109.2727</v>
      </c>
      <c r="V50" s="10" t="n">
        <f aca="false">SUMIFS('Vendor Months'!$G$6:$G$3965,'Vendor Months'!$A$6:$A$3965,$AS$1,'Vendor Months'!$C$6:$C$3965,A50,'Vendor Months'!$J$6:$J$3965,"MARKETING")</f>
        <v>3624.58308906215</v>
      </c>
      <c r="W50" s="10" t="n">
        <f aca="false">SUMIFS('Vendor Months'!$G$6:$G$3965,'Vendor Months'!$A$6:$A$3965,$AS$1,'Vendor Months'!$C$6:$C$3965,A50,'Vendor Months'!$J$6:$J$3965,"ONBOARD")</f>
        <v>737.590725</v>
      </c>
      <c r="X50" s="10" t="n">
        <f aca="false">SUMIFS('Vendor Months'!$G$6:$G$3965,'Vendor Months'!$A$6:$A$3965,$AS$1,'Vendor Months'!$C$6:$C$3965,A50,'Vendor Months'!$J$6:$J$3965,"AI")</f>
        <v>0</v>
      </c>
      <c r="Y50" s="10" t="n">
        <f aca="false">SUMIFS('Vendor Months'!$G$6:$G$3965,'Vendor Months'!$A$6:$A$3965,$AS$1,'Vendor Months'!$C$6:$C$3965,A50,'Vendor Months'!$J$6:$J$3965,"CTMS")</f>
        <v>0</v>
      </c>
      <c r="Z50" s="10" t="n">
        <f aca="false">SUM(N50:Y50)</f>
        <v>20677.5310099616</v>
      </c>
      <c r="AA50" s="10" t="n">
        <f aca="false">(SUM(K50:M50)+Z50)*Assumptions!$D$12</f>
        <v>31884.0872514942</v>
      </c>
      <c r="AB50" s="10" t="n">
        <f aca="false">AD50*Assumptions!$D$29</f>
        <v>1194.12251373159</v>
      </c>
      <c r="AC50" s="10" t="n">
        <f aca="false">SUM(K50:M50)+Z50+AA50+AB50</f>
        <v>245638.791441854</v>
      </c>
      <c r="AD50" s="10" t="n">
        <f aca="false">D50*Assumptions!$D$17</f>
        <v>39804.0837910528</v>
      </c>
      <c r="AE50" s="10" t="n">
        <f aca="false">AD50*12</f>
        <v>477649.005492634</v>
      </c>
      <c r="AF50" s="10" t="n">
        <f aca="false">AC50-AD50</f>
        <v>205834.707650801</v>
      </c>
      <c r="AG50" s="10" t="n">
        <f aca="false">IF(A50=Assumptions!$D$7,Assumptions!$D$8,0)</f>
        <v>0</v>
      </c>
      <c r="AH50" s="10" t="n">
        <f aca="false">AI49</f>
        <v>-2392493.27613993</v>
      </c>
      <c r="AI50" s="10" t="n">
        <f aca="false">AH50+AG50-AF50</f>
        <v>-2598327.98379073</v>
      </c>
      <c r="AJ50" s="10" t="n">
        <f aca="false">SUM($AC$6:AC50)</f>
        <v>7180223.6884765</v>
      </c>
      <c r="AK50" s="10" t="n">
        <f aca="false">MAX(0,-AI50)</f>
        <v>2598327.98379073</v>
      </c>
      <c r="AL50" s="10" t="n">
        <f aca="false">Assumptions!$D$6+SUM($AG$6:AG50)-AJ50</f>
        <v>-3180223.6884765</v>
      </c>
      <c r="AM50" s="10" t="n">
        <f aca="false">SUMIFS('Vendor Months'!$H$6:$H$3965,'Vendor Months'!$A$6:$A$3965,$AS$1,'Vendor Months'!$C$6:$C$3965,A50)</f>
        <v>15134.26895</v>
      </c>
      <c r="AN50" s="10" t="n">
        <f aca="false">X50+Y50</f>
        <v>0</v>
      </c>
      <c r="AO50" s="10" t="n">
        <f aca="false">SUMIFS('Staff Months'!$I$6:$I$2345,'Staff Months'!$A$6:$A$2345,$AS$1,'Staff Months'!$C$6:$C$2345,A50)</f>
        <v>16872.96</v>
      </c>
      <c r="AP50" s="10" t="n">
        <f aca="false">SUM($AF$6:AF50)</f>
        <v>6598327.98379073</v>
      </c>
      <c r="AQ50" s="10" t="n">
        <f aca="false">AC50</f>
        <v>245638.791441854</v>
      </c>
      <c r="AR50" s="26" t="n">
        <f aca="false">IF(AI50&lt;0,1,0)</f>
        <v>1</v>
      </c>
      <c r="AS50" s="6"/>
    </row>
    <row r="51" customFormat="false" ht="15" hidden="false" customHeight="false" outlineLevel="0" collapsed="false">
      <c r="A51" s="6" t="n">
        <v>46</v>
      </c>
      <c r="B51" s="25" t="n">
        <f aca="false">EDATE('Start Here'!$B$6,A51-1)</f>
        <v>47696</v>
      </c>
      <c r="C51" s="11" t="n">
        <f aca="false">IF(A51&gt;=Assumptions!$D$13,Assumptions!$D$14*(1+Assumptions!$D$15)^INT((A51-Assumptions!$D$13)/12),0)</f>
        <v>2.25</v>
      </c>
      <c r="D51" s="11" t="n">
        <f aca="false">D50*(1-Assumptions!$D$16)+C51</f>
        <v>46.0344921701581</v>
      </c>
      <c r="E51" s="11" t="n">
        <f aca="false">D51*Assumptions!$D$18</f>
        <v>690.517382552372</v>
      </c>
      <c r="F51" s="11" t="n">
        <f aca="false">E51*Assumptions!$D$19*30/1000000</f>
        <v>3.10732822148567</v>
      </c>
      <c r="G51" s="11" t="n">
        <f aca="false">D51*Assumptions!$D$20</f>
        <v>230.172460850791</v>
      </c>
      <c r="H51" s="11" t="n">
        <f aca="false">D51*Assumptions!$D$21</f>
        <v>46.0344921701581</v>
      </c>
      <c r="I51" s="11" t="n">
        <f aca="false">SUMIFS('Staff Months'!$E$6:$E$2345,'Staff Months'!$A$6:$A$2345,$AS$1,'Staff Months'!$C$6:$C$2345,A51)</f>
        <v>12.5</v>
      </c>
      <c r="J51" s="11" t="n">
        <f aca="false">SUMIFS('Staff Months'!$L$6:$L$2345,'Staff Months'!$A$6:$A$2345,$AS$1,'Staff Months'!$C$6:$C$2345,A51)</f>
        <v>13</v>
      </c>
      <c r="K51" s="10" t="n">
        <f aca="false">SUMIFS('Staff Months'!$H$6:$H$2345,'Staff Months'!$A$6:$A$2345,$AS$1,'Staff Months'!$C$6:$C$2345,A51)</f>
        <v>191883.050666667</v>
      </c>
      <c r="L51" s="10" t="n">
        <f aca="false">SUMIFS('Staff Months'!$J$6:$J$2345,'Staff Months'!$A$6:$A$2345,$AS$1,'Staff Months'!$C$6:$C$2345,A51)</f>
        <v>0</v>
      </c>
      <c r="M51" s="10" t="n">
        <f aca="false">SUMIFS('Staff Months'!$K$6:$K$2345,'Staff Months'!$A$6:$A$2345,$AS$1,'Staff Months'!$C$6:$C$2345,A51)</f>
        <v>0</v>
      </c>
      <c r="N51" s="10" t="n">
        <f aca="false">SUMIFS('Vendor Months'!$G$6:$G$3965,'Vendor Months'!$A$6:$A$3965,$AS$1,'Vendor Months'!$C$6:$C$3965,A51,'Vendor Months'!$J$6:$J$3965,"INFRA")</f>
        <v>1757.0156053867</v>
      </c>
      <c r="O51" s="10" t="n">
        <f aca="false">SUMIFS('Vendor Months'!$G$6:$G$3965,'Vendor Months'!$A$6:$A$3965,$AS$1,'Vendor Months'!$C$6:$C$3965,A51,'Vendor Months'!$J$6:$J$3965,"TOOLS")</f>
        <v>696.067099</v>
      </c>
      <c r="P51" s="10" t="n">
        <f aca="false">SUMIFS('Vendor Months'!$G$6:$G$3965,'Vendor Months'!$A$6:$A$3965,$AS$1,'Vendor Months'!$C$6:$C$3965,A51,'Vendor Months'!$J$6:$J$3965,"LEGAL")</f>
        <v>0</v>
      </c>
      <c r="Q51" s="10" t="n">
        <f aca="false">SUMIFS('Vendor Months'!$G$6:$G$3965,'Vendor Months'!$A$6:$A$3965,$AS$1,'Vendor Months'!$C$6:$C$3965,A51,'Vendor Months'!$J$6:$J$3965,"SECURITY")</f>
        <v>19669.086</v>
      </c>
      <c r="R51" s="10" t="n">
        <f aca="false">SUMIFS('Vendor Months'!$G$6:$G$3965,'Vendor Months'!$A$6:$A$3965,$AS$1,'Vendor Months'!$C$6:$C$3965,A51,'Vendor Months'!$J$6:$J$3965,"COMPLIANCE")</f>
        <v>0</v>
      </c>
      <c r="S51" s="10" t="n">
        <f aca="false">SUMIFS('Vendor Months'!$G$6:$G$3965,'Vendor Months'!$A$6:$A$3965,$AS$1,'Vendor Months'!$C$6:$C$3965,A51,'Vendor Months'!$J$6:$J$3965,"INSURANCE")</f>
        <v>0</v>
      </c>
      <c r="T51" s="10" t="n">
        <f aca="false">SUMIFS('Vendor Months'!$G$6:$G$3965,'Vendor Months'!$A$6:$A$3965,$AS$1,'Vendor Months'!$C$6:$C$3965,A51,'Vendor Months'!$J$6:$J$3965,"ACCOUNTING")</f>
        <v>655.6362</v>
      </c>
      <c r="U51" s="10" t="n">
        <f aca="false">SUMIFS('Vendor Months'!$G$6:$G$3965,'Vendor Months'!$A$6:$A$3965,$AS$1,'Vendor Months'!$C$6:$C$3965,A51,'Vendor Months'!$J$6:$J$3965,"SUPPORT")</f>
        <v>109.2727</v>
      </c>
      <c r="V51" s="10" t="n">
        <f aca="false">SUMIFS('Vendor Months'!$G$6:$G$3965,'Vendor Months'!$A$6:$A$3965,$AS$1,'Vendor Months'!$C$6:$C$3965,A51,'Vendor Months'!$J$6:$J$3965,"MARKETING")</f>
        <v>3772.73493942153</v>
      </c>
      <c r="W51" s="10" t="n">
        <f aca="false">SUMIFS('Vendor Months'!$G$6:$G$3965,'Vendor Months'!$A$6:$A$3965,$AS$1,'Vendor Months'!$C$6:$C$3965,A51,'Vendor Months'!$J$6:$J$3965,"ONBOARD")</f>
        <v>737.590725</v>
      </c>
      <c r="X51" s="10" t="n">
        <f aca="false">SUMIFS('Vendor Months'!$G$6:$G$3965,'Vendor Months'!$A$6:$A$3965,$AS$1,'Vendor Months'!$C$6:$C$3965,A51,'Vendor Months'!$J$6:$J$3965,"AI")</f>
        <v>0</v>
      </c>
      <c r="Y51" s="10" t="n">
        <f aca="false">SUMIFS('Vendor Months'!$G$6:$G$3965,'Vendor Months'!$A$6:$A$3965,$AS$1,'Vendor Months'!$C$6:$C$3965,A51,'Vendor Months'!$J$6:$J$3965,"CTMS")</f>
        <v>0</v>
      </c>
      <c r="Z51" s="10" t="n">
        <f aca="false">SUM(N51:Y51)</f>
        <v>27397.4032688082</v>
      </c>
      <c r="AA51" s="10" t="n">
        <f aca="false">(SUM(K51:M51)+Z51)*Assumptions!$D$12</f>
        <v>32892.0680903212</v>
      </c>
      <c r="AB51" s="10" t="n">
        <f aca="false">AD51*Assumptions!$D$29</f>
        <v>1242.93128859427</v>
      </c>
      <c r="AC51" s="10" t="n">
        <f aca="false">SUM(K51:M51)+Z51+AA51+AB51</f>
        <v>253415.45331439</v>
      </c>
      <c r="AD51" s="10" t="n">
        <f aca="false">D51*Assumptions!$D$17</f>
        <v>41431.0429531423</v>
      </c>
      <c r="AE51" s="10" t="n">
        <f aca="false">AD51*12</f>
        <v>497172.515437708</v>
      </c>
      <c r="AF51" s="10" t="n">
        <f aca="false">AC51-AD51</f>
        <v>211984.410361248</v>
      </c>
      <c r="AG51" s="10" t="n">
        <f aca="false">IF(A51=Assumptions!$D$7,Assumptions!$D$8,0)</f>
        <v>0</v>
      </c>
      <c r="AH51" s="10" t="n">
        <f aca="false">AI50</f>
        <v>-2598327.98379073</v>
      </c>
      <c r="AI51" s="10" t="n">
        <f aca="false">AH51+AG51-AF51</f>
        <v>-2810312.39415198</v>
      </c>
      <c r="AJ51" s="10" t="n">
        <f aca="false">SUM($AC$6:AC51)</f>
        <v>7433639.14179089</v>
      </c>
      <c r="AK51" s="10" t="n">
        <f aca="false">MAX(0,-AI51)</f>
        <v>2810312.39415198</v>
      </c>
      <c r="AL51" s="10" t="n">
        <f aca="false">Assumptions!$D$6+SUM($AG$6:AG51)-AJ51</f>
        <v>-3433639.14179089</v>
      </c>
      <c r="AM51" s="10" t="n">
        <f aca="false">SUMIFS('Vendor Months'!$H$6:$H$3965,'Vendor Months'!$A$6:$A$3965,$AS$1,'Vendor Months'!$C$6:$C$3965,A51)</f>
        <v>21690.63095</v>
      </c>
      <c r="AN51" s="10" t="n">
        <f aca="false">X51+Y51</f>
        <v>0</v>
      </c>
      <c r="AO51" s="10" t="n">
        <f aca="false">SUMIFS('Staff Months'!$I$6:$I$2345,'Staff Months'!$A$6:$A$2345,$AS$1,'Staff Months'!$C$6:$C$2345,A51)</f>
        <v>16872.96</v>
      </c>
      <c r="AP51" s="10" t="n">
        <f aca="false">SUM($AF$6:AF51)</f>
        <v>6810312.39415198</v>
      </c>
      <c r="AQ51" s="10" t="n">
        <f aca="false">AC51</f>
        <v>253415.45331439</v>
      </c>
      <c r="AR51" s="26" t="n">
        <f aca="false">IF(AI51&lt;0,1,0)</f>
        <v>1</v>
      </c>
      <c r="AS51" s="6"/>
    </row>
    <row r="52" customFormat="false" ht="15" hidden="false" customHeight="false" outlineLevel="0" collapsed="false">
      <c r="A52" s="6" t="n">
        <v>47</v>
      </c>
      <c r="B52" s="25" t="n">
        <f aca="false">EDATE('Start Here'!$B$6,A52-1)</f>
        <v>47727</v>
      </c>
      <c r="C52" s="11" t="n">
        <f aca="false">IF(A52&gt;=Assumptions!$D$13,Assumptions!$D$14*(1+Assumptions!$D$15)^INT((A52-Assumptions!$D$13)/12),0)</f>
        <v>2.25</v>
      </c>
      <c r="D52" s="11" t="n">
        <f aca="false">D51*(1-Assumptions!$D$16)+C52</f>
        <v>47.8241472484565</v>
      </c>
      <c r="E52" s="11" t="n">
        <f aca="false">D52*Assumptions!$D$18</f>
        <v>717.362208726848</v>
      </c>
      <c r="F52" s="11" t="n">
        <f aca="false">E52*Assumptions!$D$19*30/1000000</f>
        <v>3.22812993927082</v>
      </c>
      <c r="G52" s="11" t="n">
        <f aca="false">D52*Assumptions!$D$20</f>
        <v>239.120736242283</v>
      </c>
      <c r="H52" s="11" t="n">
        <f aca="false">D52*Assumptions!$D$21</f>
        <v>47.8241472484565</v>
      </c>
      <c r="I52" s="11" t="n">
        <f aca="false">SUMIFS('Staff Months'!$E$6:$E$2345,'Staff Months'!$A$6:$A$2345,$AS$1,'Staff Months'!$C$6:$C$2345,A52)</f>
        <v>12.5</v>
      </c>
      <c r="J52" s="11" t="n">
        <f aca="false">SUMIFS('Staff Months'!$L$6:$L$2345,'Staff Months'!$A$6:$A$2345,$AS$1,'Staff Months'!$C$6:$C$2345,A52)</f>
        <v>13</v>
      </c>
      <c r="K52" s="10" t="n">
        <f aca="false">SUMIFS('Staff Months'!$H$6:$H$2345,'Staff Months'!$A$6:$A$2345,$AS$1,'Staff Months'!$C$6:$C$2345,A52)</f>
        <v>191883.050666667</v>
      </c>
      <c r="L52" s="10" t="n">
        <f aca="false">SUMIFS('Staff Months'!$J$6:$J$2345,'Staff Months'!$A$6:$A$2345,$AS$1,'Staff Months'!$C$6:$C$2345,A52)</f>
        <v>0</v>
      </c>
      <c r="M52" s="10" t="n">
        <f aca="false">SUMIFS('Staff Months'!$K$6:$K$2345,'Staff Months'!$A$6:$A$2345,$AS$1,'Staff Months'!$C$6:$C$2345,A52)</f>
        <v>0</v>
      </c>
      <c r="N52" s="10" t="n">
        <f aca="false">SUMIFS('Vendor Months'!$G$6:$G$3965,'Vendor Months'!$A$6:$A$3965,$AS$1,'Vendor Months'!$C$6:$C$3965,A52,'Vendor Months'!$J$6:$J$3965,"INFRA")</f>
        <v>1772.22042978908</v>
      </c>
      <c r="O52" s="10" t="n">
        <f aca="false">SUMIFS('Vendor Months'!$G$6:$G$3965,'Vendor Months'!$A$6:$A$3965,$AS$1,'Vendor Months'!$C$6:$C$3965,A52,'Vendor Months'!$J$6:$J$3965,"TOOLS")</f>
        <v>696.067099</v>
      </c>
      <c r="P52" s="10" t="n">
        <f aca="false">SUMIFS('Vendor Months'!$G$6:$G$3965,'Vendor Months'!$A$6:$A$3965,$AS$1,'Vendor Months'!$C$6:$C$3965,A52,'Vendor Months'!$J$6:$J$3965,"LEGAL")</f>
        <v>0</v>
      </c>
      <c r="Q52" s="10" t="n">
        <f aca="false">SUMIFS('Vendor Months'!$G$6:$G$3965,'Vendor Months'!$A$6:$A$3965,$AS$1,'Vendor Months'!$C$6:$C$3965,A52,'Vendor Months'!$J$6:$J$3965,"SECURITY")</f>
        <v>0</v>
      </c>
      <c r="R52" s="10" t="n">
        <f aca="false">SUMIFS('Vendor Months'!$G$6:$G$3965,'Vendor Months'!$A$6:$A$3965,$AS$1,'Vendor Months'!$C$6:$C$3965,A52,'Vendor Months'!$J$6:$J$3965,"COMPLIANCE")</f>
        <v>16390.905</v>
      </c>
      <c r="S52" s="10" t="n">
        <f aca="false">SUMIFS('Vendor Months'!$G$6:$G$3965,'Vendor Months'!$A$6:$A$3965,$AS$1,'Vendor Months'!$C$6:$C$3965,A52,'Vendor Months'!$J$6:$J$3965,"INSURANCE")</f>
        <v>0</v>
      </c>
      <c r="T52" s="10" t="n">
        <f aca="false">SUMIFS('Vendor Months'!$G$6:$G$3965,'Vendor Months'!$A$6:$A$3965,$AS$1,'Vendor Months'!$C$6:$C$3965,A52,'Vendor Months'!$J$6:$J$3965,"ACCOUNTING")</f>
        <v>655.6362</v>
      </c>
      <c r="U52" s="10" t="n">
        <f aca="false">SUMIFS('Vendor Months'!$G$6:$G$3965,'Vendor Months'!$A$6:$A$3965,$AS$1,'Vendor Months'!$C$6:$C$3965,A52,'Vendor Months'!$J$6:$J$3965,"SUPPORT")</f>
        <v>109.2727</v>
      </c>
      <c r="V52" s="10" t="n">
        <f aca="false">SUMIFS('Vendor Months'!$G$6:$G$3965,'Vendor Months'!$A$6:$A$3965,$AS$1,'Vendor Months'!$C$6:$C$3965,A52,'Vendor Months'!$J$6:$J$3965,"MARKETING")</f>
        <v>3919.40527127731</v>
      </c>
      <c r="W52" s="10" t="n">
        <f aca="false">SUMIFS('Vendor Months'!$G$6:$G$3965,'Vendor Months'!$A$6:$A$3965,$AS$1,'Vendor Months'!$C$6:$C$3965,A52,'Vendor Months'!$J$6:$J$3965,"ONBOARD")</f>
        <v>737.590725</v>
      </c>
      <c r="X52" s="10" t="n">
        <f aca="false">SUMIFS('Vendor Months'!$G$6:$G$3965,'Vendor Months'!$A$6:$A$3965,$AS$1,'Vendor Months'!$C$6:$C$3965,A52,'Vendor Months'!$J$6:$J$3965,"AI")</f>
        <v>0</v>
      </c>
      <c r="Y52" s="10" t="n">
        <f aca="false">SUMIFS('Vendor Months'!$G$6:$G$3965,'Vendor Months'!$A$6:$A$3965,$AS$1,'Vendor Months'!$C$6:$C$3965,A52,'Vendor Months'!$J$6:$J$3965,"CTMS")</f>
        <v>0</v>
      </c>
      <c r="Z52" s="10" t="n">
        <f aca="false">SUM(N52:Y52)</f>
        <v>24281.0974250664</v>
      </c>
      <c r="AA52" s="10" t="n">
        <f aca="false">(SUM(K52:M52)+Z52)*Assumptions!$D$12</f>
        <v>32424.62221376</v>
      </c>
      <c r="AB52" s="10" t="n">
        <f aca="false">AD52*Assumptions!$D$29</f>
        <v>1291.25197570833</v>
      </c>
      <c r="AC52" s="10" t="n">
        <f aca="false">SUM(K52:M52)+Z52+AA52+AB52</f>
        <v>249880.022281201</v>
      </c>
      <c r="AD52" s="10" t="n">
        <f aca="false">D52*Assumptions!$D$17</f>
        <v>43041.7325236109</v>
      </c>
      <c r="AE52" s="10" t="n">
        <f aca="false">AD52*12</f>
        <v>516500.790283331</v>
      </c>
      <c r="AF52" s="10" t="n">
        <f aca="false">AC52-AD52</f>
        <v>206838.289757591</v>
      </c>
      <c r="AG52" s="10" t="n">
        <f aca="false">IF(A52=Assumptions!$D$7,Assumptions!$D$8,0)</f>
        <v>0</v>
      </c>
      <c r="AH52" s="10" t="n">
        <f aca="false">AI51</f>
        <v>-2810312.39415198</v>
      </c>
      <c r="AI52" s="10" t="n">
        <f aca="false">AH52+AG52-AF52</f>
        <v>-3017150.68390957</v>
      </c>
      <c r="AJ52" s="10" t="n">
        <f aca="false">SUM($AC$6:AC52)</f>
        <v>7683519.16407209</v>
      </c>
      <c r="AK52" s="10" t="n">
        <f aca="false">MAX(0,-AI52)</f>
        <v>3017150.68390957</v>
      </c>
      <c r="AL52" s="10" t="n">
        <f aca="false">Assumptions!$D$6+SUM($AG$6:AG52)-AJ52</f>
        <v>-3683519.16407209</v>
      </c>
      <c r="AM52" s="10" t="n">
        <f aca="false">SUMIFS('Vendor Months'!$H$6:$H$3965,'Vendor Months'!$A$6:$A$3965,$AS$1,'Vendor Months'!$C$6:$C$3965,A52)</f>
        <v>18412.44995</v>
      </c>
      <c r="AN52" s="10" t="n">
        <f aca="false">X52+Y52</f>
        <v>0</v>
      </c>
      <c r="AO52" s="10" t="n">
        <f aca="false">SUMIFS('Staff Months'!$I$6:$I$2345,'Staff Months'!$A$6:$A$2345,$AS$1,'Staff Months'!$C$6:$C$2345,A52)</f>
        <v>16872.96</v>
      </c>
      <c r="AP52" s="10" t="n">
        <f aca="false">SUM($AF$6:AF52)</f>
        <v>7017150.68390957</v>
      </c>
      <c r="AQ52" s="10" t="n">
        <f aca="false">AC52</f>
        <v>249880.022281201</v>
      </c>
      <c r="AR52" s="26" t="n">
        <f aca="false">IF(AI52&lt;0,1,0)</f>
        <v>1</v>
      </c>
      <c r="AS52" s="6"/>
    </row>
    <row r="53" customFormat="false" ht="15" hidden="false" customHeight="false" outlineLevel="0" collapsed="false">
      <c r="A53" s="6" t="n">
        <v>48</v>
      </c>
      <c r="B53" s="25" t="n">
        <f aca="false">EDATE('Start Here'!$B$6,A53-1)</f>
        <v>47757</v>
      </c>
      <c r="C53" s="11" t="n">
        <f aca="false">IF(A53&gt;=Assumptions!$D$13,Assumptions!$D$14*(1+Assumptions!$D$15)^INT((A53-Assumptions!$D$13)/12),0)</f>
        <v>2.25</v>
      </c>
      <c r="D53" s="11" t="n">
        <f aca="false">D52*(1-Assumptions!$D$16)+C53</f>
        <v>49.595905775972</v>
      </c>
      <c r="E53" s="11" t="n">
        <f aca="false">D53*Assumptions!$D$18</f>
        <v>743.93858663958</v>
      </c>
      <c r="F53" s="11" t="n">
        <f aca="false">E53*Assumptions!$D$19*30/1000000</f>
        <v>3.34772363987811</v>
      </c>
      <c r="G53" s="11" t="n">
        <f aca="false">D53*Assumptions!$D$20</f>
        <v>247.97952887986</v>
      </c>
      <c r="H53" s="11" t="n">
        <f aca="false">D53*Assumptions!$D$21</f>
        <v>49.595905775972</v>
      </c>
      <c r="I53" s="11" t="n">
        <f aca="false">SUMIFS('Staff Months'!$E$6:$E$2345,'Staff Months'!$A$6:$A$2345,$AS$1,'Staff Months'!$C$6:$C$2345,A53)</f>
        <v>12.5</v>
      </c>
      <c r="J53" s="11" t="n">
        <f aca="false">SUMIFS('Staff Months'!$L$6:$L$2345,'Staff Months'!$A$6:$A$2345,$AS$1,'Staff Months'!$C$6:$C$2345,A53)</f>
        <v>13</v>
      </c>
      <c r="K53" s="10" t="n">
        <f aca="false">SUMIFS('Staff Months'!$H$6:$H$2345,'Staff Months'!$A$6:$A$2345,$AS$1,'Staff Months'!$C$6:$C$2345,A53)</f>
        <v>191883.050666667</v>
      </c>
      <c r="L53" s="10" t="n">
        <f aca="false">SUMIFS('Staff Months'!$J$6:$J$2345,'Staff Months'!$A$6:$A$2345,$AS$1,'Staff Months'!$C$6:$C$2345,A53)</f>
        <v>0</v>
      </c>
      <c r="M53" s="10" t="n">
        <f aca="false">SUMIFS('Staff Months'!$K$6:$K$2345,'Staff Months'!$A$6:$A$2345,$AS$1,'Staff Months'!$C$6:$C$2345,A53)</f>
        <v>0</v>
      </c>
      <c r="N53" s="10" t="n">
        <f aca="false">SUMIFS('Vendor Months'!$G$6:$G$3965,'Vendor Months'!$A$6:$A$3965,$AS$1,'Vendor Months'!$C$6:$C$3965,A53,'Vendor Months'!$J$6:$J$3965,"INFRA")</f>
        <v>1787.27320594744</v>
      </c>
      <c r="O53" s="10" t="n">
        <f aca="false">SUMIFS('Vendor Months'!$G$6:$G$3965,'Vendor Months'!$A$6:$A$3965,$AS$1,'Vendor Months'!$C$6:$C$3965,A53,'Vendor Months'!$J$6:$J$3965,"TOOLS")</f>
        <v>696.067099</v>
      </c>
      <c r="P53" s="10" t="n">
        <f aca="false">SUMIFS('Vendor Months'!$G$6:$G$3965,'Vendor Months'!$A$6:$A$3965,$AS$1,'Vendor Months'!$C$6:$C$3965,A53,'Vendor Months'!$J$6:$J$3965,"LEGAL")</f>
        <v>0</v>
      </c>
      <c r="Q53" s="10" t="n">
        <f aca="false">SUMIFS('Vendor Months'!$G$6:$G$3965,'Vendor Months'!$A$6:$A$3965,$AS$1,'Vendor Months'!$C$6:$C$3965,A53,'Vendor Months'!$J$6:$J$3965,"SECURITY")</f>
        <v>0</v>
      </c>
      <c r="R53" s="10" t="n">
        <f aca="false">SUMIFS('Vendor Months'!$G$6:$G$3965,'Vendor Months'!$A$6:$A$3965,$AS$1,'Vendor Months'!$C$6:$C$3965,A53,'Vendor Months'!$J$6:$J$3965,"COMPLIANCE")</f>
        <v>0</v>
      </c>
      <c r="S53" s="10" t="n">
        <f aca="false">SUMIFS('Vendor Months'!$G$6:$G$3965,'Vendor Months'!$A$6:$A$3965,$AS$1,'Vendor Months'!$C$6:$C$3965,A53,'Vendor Months'!$J$6:$J$3965,"INSURANCE")</f>
        <v>0</v>
      </c>
      <c r="T53" s="10" t="n">
        <f aca="false">SUMIFS('Vendor Months'!$G$6:$G$3965,'Vendor Months'!$A$6:$A$3965,$AS$1,'Vendor Months'!$C$6:$C$3965,A53,'Vendor Months'!$J$6:$J$3965,"ACCOUNTING")</f>
        <v>655.6362</v>
      </c>
      <c r="U53" s="10" t="n">
        <f aca="false">SUMIFS('Vendor Months'!$G$6:$G$3965,'Vendor Months'!$A$6:$A$3965,$AS$1,'Vendor Months'!$C$6:$C$3965,A53,'Vendor Months'!$J$6:$J$3965,"SUPPORT")</f>
        <v>109.2727</v>
      </c>
      <c r="V53" s="10" t="n">
        <f aca="false">SUMIFS('Vendor Months'!$G$6:$G$3965,'Vendor Months'!$A$6:$A$3965,$AS$1,'Vendor Months'!$C$6:$C$3965,A53,'Vendor Months'!$J$6:$J$3965,"MARKETING")</f>
        <v>4064.60889981454</v>
      </c>
      <c r="W53" s="10" t="n">
        <f aca="false">SUMIFS('Vendor Months'!$G$6:$G$3965,'Vendor Months'!$A$6:$A$3965,$AS$1,'Vendor Months'!$C$6:$C$3965,A53,'Vendor Months'!$J$6:$J$3965,"ONBOARD")</f>
        <v>737.590725</v>
      </c>
      <c r="X53" s="10" t="n">
        <f aca="false">SUMIFS('Vendor Months'!$G$6:$G$3965,'Vendor Months'!$A$6:$A$3965,$AS$1,'Vendor Months'!$C$6:$C$3965,A53,'Vendor Months'!$J$6:$J$3965,"AI")</f>
        <v>0</v>
      </c>
      <c r="Y53" s="10" t="n">
        <f aca="false">SUMIFS('Vendor Months'!$G$6:$G$3965,'Vendor Months'!$A$6:$A$3965,$AS$1,'Vendor Months'!$C$6:$C$3965,A53,'Vendor Months'!$J$6:$J$3965,"CTMS")</f>
        <v>0</v>
      </c>
      <c r="Z53" s="10" t="n">
        <f aca="false">SUM(N53:Y53)</f>
        <v>8050.44882976198</v>
      </c>
      <c r="AA53" s="10" t="n">
        <f aca="false">(SUM(K53:M53)+Z53)*Assumptions!$D$12</f>
        <v>29990.0249244643</v>
      </c>
      <c r="AB53" s="10" t="n">
        <f aca="false">AD53*Assumptions!$D$29</f>
        <v>1339.08945595124</v>
      </c>
      <c r="AC53" s="10" t="n">
        <f aca="false">SUM(K53:M53)+Z53+AA53+AB53</f>
        <v>231262.613876844</v>
      </c>
      <c r="AD53" s="10" t="n">
        <f aca="false">D53*Assumptions!$D$17</f>
        <v>44636.3151983748</v>
      </c>
      <c r="AE53" s="10" t="n">
        <f aca="false">AD53*12</f>
        <v>535635.782380497</v>
      </c>
      <c r="AF53" s="10" t="n">
        <f aca="false">AC53-AD53</f>
        <v>186626.298678469</v>
      </c>
      <c r="AG53" s="10" t="n">
        <f aca="false">IF(A53=Assumptions!$D$7,Assumptions!$D$8,0)</f>
        <v>0</v>
      </c>
      <c r="AH53" s="10" t="n">
        <f aca="false">AI52</f>
        <v>-3017150.68390957</v>
      </c>
      <c r="AI53" s="10" t="n">
        <f aca="false">AH53+AG53-AF53</f>
        <v>-3203776.98258804</v>
      </c>
      <c r="AJ53" s="10" t="n">
        <f aca="false">SUM($AC$6:AC53)</f>
        <v>7914781.77794893</v>
      </c>
      <c r="AK53" s="10" t="n">
        <f aca="false">MAX(0,-AI53)</f>
        <v>3203776.98258804</v>
      </c>
      <c r="AL53" s="10" t="n">
        <f aca="false">Assumptions!$D$6+SUM($AG$6:AG53)-AJ53</f>
        <v>-3914781.77794893</v>
      </c>
      <c r="AM53" s="10" t="n">
        <f aca="false">SUMIFS('Vendor Months'!$H$6:$H$3965,'Vendor Months'!$A$6:$A$3965,$AS$1,'Vendor Months'!$C$6:$C$3965,A53)</f>
        <v>2021.54495</v>
      </c>
      <c r="AN53" s="10" t="n">
        <f aca="false">X53+Y53</f>
        <v>0</v>
      </c>
      <c r="AO53" s="10" t="n">
        <f aca="false">SUMIFS('Staff Months'!$I$6:$I$2345,'Staff Months'!$A$6:$A$2345,$AS$1,'Staff Months'!$C$6:$C$2345,A53)</f>
        <v>16872.96</v>
      </c>
      <c r="AP53" s="10" t="n">
        <f aca="false">SUM($AF$6:AF53)</f>
        <v>7203776.98258804</v>
      </c>
      <c r="AQ53" s="10" t="n">
        <f aca="false">AC53</f>
        <v>231262.613876844</v>
      </c>
      <c r="AR53" s="26" t="n">
        <f aca="false">IF(AI53&lt;0,1,0)</f>
        <v>1</v>
      </c>
      <c r="AS53" s="6"/>
    </row>
    <row r="54" customFormat="false" ht="15" hidden="false" customHeight="false" outlineLevel="0" collapsed="false">
      <c r="A54" s="6" t="n">
        <v>49</v>
      </c>
      <c r="B54" s="25" t="n">
        <f aca="false">EDATE('Start Here'!$B$6,A54-1)</f>
        <v>47788</v>
      </c>
      <c r="C54" s="11" t="n">
        <f aca="false">IF(A54&gt;=Assumptions!$D$13,Assumptions!$D$14*(1+Assumptions!$D$15)^INT((A54-Assumptions!$D$13)/12),0)</f>
        <v>3.375</v>
      </c>
      <c r="D54" s="11" t="n">
        <f aca="false">D53*(1-Assumptions!$D$16)+C54</f>
        <v>52.4749467182123</v>
      </c>
      <c r="E54" s="11" t="n">
        <f aca="false">D54*Assumptions!$D$18</f>
        <v>787.124200773184</v>
      </c>
      <c r="F54" s="11" t="n">
        <f aca="false">E54*Assumptions!$D$19*30/1000000</f>
        <v>3.54205890347933</v>
      </c>
      <c r="G54" s="11" t="n">
        <f aca="false">D54*Assumptions!$D$20</f>
        <v>262.374733591061</v>
      </c>
      <c r="H54" s="11" t="n">
        <f aca="false">D54*Assumptions!$D$21</f>
        <v>52.4749467182123</v>
      </c>
      <c r="I54" s="11" t="n">
        <f aca="false">SUMIFS('Staff Months'!$E$6:$E$2345,'Staff Months'!$A$6:$A$2345,$AS$1,'Staff Months'!$C$6:$C$2345,A54)</f>
        <v>12.5</v>
      </c>
      <c r="J54" s="11" t="n">
        <f aca="false">SUMIFS('Staff Months'!$L$6:$L$2345,'Staff Months'!$A$6:$A$2345,$AS$1,'Staff Months'!$C$6:$C$2345,A54)</f>
        <v>13</v>
      </c>
      <c r="K54" s="10" t="n">
        <f aca="false">SUMIFS('Staff Months'!$H$6:$H$2345,'Staff Months'!$A$6:$A$2345,$AS$1,'Staff Months'!$C$6:$C$2345,A54)</f>
        <v>199558.372693333</v>
      </c>
      <c r="L54" s="10" t="n">
        <f aca="false">SUMIFS('Staff Months'!$J$6:$J$2345,'Staff Months'!$A$6:$A$2345,$AS$1,'Staff Months'!$C$6:$C$2345,A54)</f>
        <v>0</v>
      </c>
      <c r="M54" s="10" t="n">
        <f aca="false">SUMIFS('Staff Months'!$K$6:$K$2345,'Staff Months'!$A$6:$A$2345,$AS$1,'Staff Months'!$C$6:$C$2345,A54)</f>
        <v>0</v>
      </c>
      <c r="N54" s="10" t="n">
        <f aca="false">SUMIFS('Vendor Months'!$G$6:$G$3965,'Vendor Months'!$A$6:$A$3965,$AS$1,'Vendor Months'!$C$6:$C$3965,A54,'Vendor Months'!$J$6:$J$3965,"INFRA")</f>
        <v>1866.08540284701</v>
      </c>
      <c r="O54" s="10" t="n">
        <f aca="false">SUMIFS('Vendor Months'!$G$6:$G$3965,'Vendor Months'!$A$6:$A$3965,$AS$1,'Vendor Months'!$C$6:$C$3965,A54,'Vendor Months'!$J$6:$J$3965,"TOOLS")</f>
        <v>716.94911197</v>
      </c>
      <c r="P54" s="10" t="n">
        <f aca="false">SUMIFS('Vendor Months'!$G$6:$G$3965,'Vendor Months'!$A$6:$A$3965,$AS$1,'Vendor Months'!$C$6:$C$3965,A54,'Vendor Months'!$J$6:$J$3965,"LEGAL")</f>
        <v>0</v>
      </c>
      <c r="Q54" s="10" t="n">
        <f aca="false">SUMIFS('Vendor Months'!$G$6:$G$3965,'Vendor Months'!$A$6:$A$3965,$AS$1,'Vendor Months'!$C$6:$C$3965,A54,'Vendor Months'!$J$6:$J$3965,"SECURITY")</f>
        <v>0</v>
      </c>
      <c r="R54" s="10" t="n">
        <f aca="false">SUMIFS('Vendor Months'!$G$6:$G$3965,'Vendor Months'!$A$6:$A$3965,$AS$1,'Vendor Months'!$C$6:$C$3965,A54,'Vendor Months'!$J$6:$J$3965,"COMPLIANCE")</f>
        <v>0</v>
      </c>
      <c r="S54" s="10" t="n">
        <f aca="false">SUMIFS('Vendor Months'!$G$6:$G$3965,'Vendor Months'!$A$6:$A$3965,$AS$1,'Vendor Months'!$C$6:$C$3965,A54,'Vendor Months'!$J$6:$J$3965,"INSURANCE")</f>
        <v>0</v>
      </c>
      <c r="T54" s="10" t="n">
        <f aca="false">SUMIFS('Vendor Months'!$G$6:$G$3965,'Vendor Months'!$A$6:$A$3965,$AS$1,'Vendor Months'!$C$6:$C$3965,A54,'Vendor Months'!$J$6:$J$3965,"ACCOUNTING")</f>
        <v>675.305286</v>
      </c>
      <c r="U54" s="10" t="n">
        <f aca="false">SUMIFS('Vendor Months'!$G$6:$G$3965,'Vendor Months'!$A$6:$A$3965,$AS$1,'Vendor Months'!$C$6:$C$3965,A54,'Vendor Months'!$J$6:$J$3965,"SUPPORT")</f>
        <v>112.550881</v>
      </c>
      <c r="V54" s="10" t="n">
        <f aca="false">SUMIFS('Vendor Months'!$G$6:$G$3965,'Vendor Months'!$A$6:$A$3965,$AS$1,'Vendor Months'!$C$6:$C$3965,A54,'Vendor Months'!$J$6:$J$3965,"MARKETING")</f>
        <v>4429.57611267214</v>
      </c>
      <c r="W54" s="10" t="n">
        <f aca="false">SUMIFS('Vendor Months'!$G$6:$G$3965,'Vendor Months'!$A$6:$A$3965,$AS$1,'Vendor Months'!$C$6:$C$3965,A54,'Vendor Months'!$J$6:$J$3965,"ONBOARD")</f>
        <v>1139.577670125</v>
      </c>
      <c r="X54" s="10" t="n">
        <f aca="false">SUMIFS('Vendor Months'!$G$6:$G$3965,'Vendor Months'!$A$6:$A$3965,$AS$1,'Vendor Months'!$C$6:$C$3965,A54,'Vendor Months'!$J$6:$J$3965,"AI")</f>
        <v>0</v>
      </c>
      <c r="Y54" s="10" t="n">
        <f aca="false">SUMIFS('Vendor Months'!$G$6:$G$3965,'Vendor Months'!$A$6:$A$3965,$AS$1,'Vendor Months'!$C$6:$C$3965,A54,'Vendor Months'!$J$6:$J$3965,"CTMS")</f>
        <v>0</v>
      </c>
      <c r="Z54" s="10" t="n">
        <f aca="false">SUM(N54:Y54)</f>
        <v>8940.04446461415</v>
      </c>
      <c r="AA54" s="10" t="n">
        <f aca="false">(SUM(K54:M54)+Z54)*Assumptions!$D$12</f>
        <v>31274.7625736921</v>
      </c>
      <c r="AB54" s="10" t="n">
        <f aca="false">AD54*Assumptions!$D$29</f>
        <v>1416.82356139173</v>
      </c>
      <c r="AC54" s="10" t="n">
        <f aca="false">SUM(K54:M54)+Z54+AA54+AB54</f>
        <v>241190.003293031</v>
      </c>
      <c r="AD54" s="10" t="n">
        <f aca="false">D54*Assumptions!$D$17</f>
        <v>47227.452046391</v>
      </c>
      <c r="AE54" s="10" t="n">
        <f aca="false">AD54*12</f>
        <v>566729.424556692</v>
      </c>
      <c r="AF54" s="10" t="n">
        <f aca="false">AC54-AD54</f>
        <v>193962.55124664</v>
      </c>
      <c r="AG54" s="10" t="n">
        <f aca="false">IF(A54=Assumptions!$D$7,Assumptions!$D$8,0)</f>
        <v>0</v>
      </c>
      <c r="AH54" s="10" t="n">
        <f aca="false">AI53</f>
        <v>-3203776.98258804</v>
      </c>
      <c r="AI54" s="10" t="n">
        <f aca="false">AH54+AG54-AF54</f>
        <v>-3397739.53383468</v>
      </c>
      <c r="AJ54" s="10" t="n">
        <f aca="false">SUM($AC$6:AC54)</f>
        <v>8155971.78124197</v>
      </c>
      <c r="AK54" s="10" t="n">
        <f aca="false">MAX(0,-AI54)</f>
        <v>3397739.53383468</v>
      </c>
      <c r="AL54" s="10" t="n">
        <f aca="false">Assumptions!$D$6+SUM($AG$6:AG54)-AJ54</f>
        <v>-4155971.78124196</v>
      </c>
      <c r="AM54" s="10" t="n">
        <f aca="false">SUMIFS('Vendor Months'!$H$6:$H$3965,'Vendor Months'!$A$6:$A$3965,$AS$1,'Vendor Months'!$C$6:$C$3965,A54)</f>
        <v>2082.1912985</v>
      </c>
      <c r="AN54" s="10" t="n">
        <f aca="false">X54+Y54</f>
        <v>0</v>
      </c>
      <c r="AO54" s="10" t="n">
        <f aca="false">SUMIFS('Staff Months'!$I$6:$I$2345,'Staff Months'!$A$6:$A$2345,$AS$1,'Staff Months'!$C$6:$C$2345,A54)</f>
        <v>17547.8784</v>
      </c>
      <c r="AP54" s="10" t="n">
        <f aca="false">SUM($AF$6:AF54)</f>
        <v>7397739.53383468</v>
      </c>
      <c r="AQ54" s="10" t="n">
        <f aca="false">AC54</f>
        <v>241190.003293031</v>
      </c>
      <c r="AR54" s="26" t="n">
        <f aca="false">IF(AI54&lt;0,1,0)</f>
        <v>1</v>
      </c>
      <c r="AS54" s="6"/>
    </row>
    <row r="55" customFormat="false" ht="15" hidden="false" customHeight="false" outlineLevel="0" collapsed="false">
      <c r="A55" s="6" t="n">
        <v>50</v>
      </c>
      <c r="B55" s="25" t="n">
        <f aca="false">EDATE('Start Here'!$B$6,A55-1)</f>
        <v>47818</v>
      </c>
      <c r="C55" s="11" t="n">
        <f aca="false">IF(A55&gt;=Assumptions!$D$13,Assumptions!$D$14*(1+Assumptions!$D$15)^INT((A55-Assumptions!$D$13)/12),0)</f>
        <v>3.375</v>
      </c>
      <c r="D55" s="11" t="n">
        <f aca="false">D54*(1-Assumptions!$D$16)+C55</f>
        <v>55.3251972510301</v>
      </c>
      <c r="E55" s="11" t="n">
        <f aca="false">D55*Assumptions!$D$18</f>
        <v>829.877958765452</v>
      </c>
      <c r="F55" s="11" t="n">
        <f aca="false">E55*Assumptions!$D$19*30/1000000</f>
        <v>3.73445081444453</v>
      </c>
      <c r="G55" s="11" t="n">
        <f aca="false">D55*Assumptions!$D$20</f>
        <v>276.625986255151</v>
      </c>
      <c r="H55" s="11" t="n">
        <f aca="false">D55*Assumptions!$D$21</f>
        <v>55.3251972510301</v>
      </c>
      <c r="I55" s="11" t="n">
        <f aca="false">SUMIFS('Staff Months'!$E$6:$E$2345,'Staff Months'!$A$6:$A$2345,$AS$1,'Staff Months'!$C$6:$C$2345,A55)</f>
        <v>12.5</v>
      </c>
      <c r="J55" s="11" t="n">
        <f aca="false">SUMIFS('Staff Months'!$L$6:$L$2345,'Staff Months'!$A$6:$A$2345,$AS$1,'Staff Months'!$C$6:$C$2345,A55)</f>
        <v>13</v>
      </c>
      <c r="K55" s="10" t="n">
        <f aca="false">SUMIFS('Staff Months'!$H$6:$H$2345,'Staff Months'!$A$6:$A$2345,$AS$1,'Staff Months'!$C$6:$C$2345,A55)</f>
        <v>199558.372693333</v>
      </c>
      <c r="L55" s="10" t="n">
        <f aca="false">SUMIFS('Staff Months'!$J$6:$J$2345,'Staff Months'!$A$6:$A$2345,$AS$1,'Staff Months'!$C$6:$C$2345,A55)</f>
        <v>0</v>
      </c>
      <c r="M55" s="10" t="n">
        <f aca="false">SUMIFS('Staff Months'!$K$6:$K$2345,'Staff Months'!$A$6:$A$2345,$AS$1,'Staff Months'!$C$6:$C$2345,A55)</f>
        <v>0</v>
      </c>
      <c r="N55" s="10" t="n">
        <f aca="false">SUMIFS('Vendor Months'!$G$6:$G$3965,'Vendor Months'!$A$6:$A$3965,$AS$1,'Vendor Months'!$C$6:$C$3965,A55,'Vendor Months'!$J$6:$J$3965,"INFRA")</f>
        <v>1891.02746356095</v>
      </c>
      <c r="O55" s="10" t="n">
        <f aca="false">SUMIFS('Vendor Months'!$G$6:$G$3965,'Vendor Months'!$A$6:$A$3965,$AS$1,'Vendor Months'!$C$6:$C$3965,A55,'Vendor Months'!$J$6:$J$3965,"TOOLS")</f>
        <v>716.94911197</v>
      </c>
      <c r="P55" s="10" t="n">
        <f aca="false">SUMIFS('Vendor Months'!$G$6:$G$3965,'Vendor Months'!$A$6:$A$3965,$AS$1,'Vendor Months'!$C$6:$C$3965,A55,'Vendor Months'!$J$6:$J$3965,"LEGAL")</f>
        <v>13506.10572</v>
      </c>
      <c r="Q55" s="10" t="n">
        <f aca="false">SUMIFS('Vendor Months'!$G$6:$G$3965,'Vendor Months'!$A$6:$A$3965,$AS$1,'Vendor Months'!$C$6:$C$3965,A55,'Vendor Months'!$J$6:$J$3965,"SECURITY")</f>
        <v>0</v>
      </c>
      <c r="R55" s="10" t="n">
        <f aca="false">SUMIFS('Vendor Months'!$G$6:$G$3965,'Vendor Months'!$A$6:$A$3965,$AS$1,'Vendor Months'!$C$6:$C$3965,A55,'Vendor Months'!$J$6:$J$3965,"COMPLIANCE")</f>
        <v>0</v>
      </c>
      <c r="S55" s="10" t="n">
        <f aca="false">SUMIFS('Vendor Months'!$G$6:$G$3965,'Vendor Months'!$A$6:$A$3965,$AS$1,'Vendor Months'!$C$6:$C$3965,A55,'Vendor Months'!$J$6:$J$3965,"INSURANCE")</f>
        <v>0</v>
      </c>
      <c r="T55" s="10" t="n">
        <f aca="false">SUMIFS('Vendor Months'!$G$6:$G$3965,'Vendor Months'!$A$6:$A$3965,$AS$1,'Vendor Months'!$C$6:$C$3965,A55,'Vendor Months'!$J$6:$J$3965,"ACCOUNTING")</f>
        <v>675.305286</v>
      </c>
      <c r="U55" s="10" t="n">
        <f aca="false">SUMIFS('Vendor Months'!$G$6:$G$3965,'Vendor Months'!$A$6:$A$3965,$AS$1,'Vendor Months'!$C$6:$C$3965,A55,'Vendor Months'!$J$6:$J$3965,"SUPPORT")</f>
        <v>112.550881</v>
      </c>
      <c r="V55" s="10" t="n">
        <f aca="false">SUMIFS('Vendor Months'!$G$6:$G$3965,'Vendor Months'!$A$6:$A$3965,$AS$1,'Vendor Months'!$C$6:$C$3965,A55,'Vendor Months'!$J$6:$J$3965,"MARKETING")</f>
        <v>4670.17476907667</v>
      </c>
      <c r="W55" s="10" t="n">
        <f aca="false">SUMIFS('Vendor Months'!$G$6:$G$3965,'Vendor Months'!$A$6:$A$3965,$AS$1,'Vendor Months'!$C$6:$C$3965,A55,'Vendor Months'!$J$6:$J$3965,"ONBOARD")</f>
        <v>1139.577670125</v>
      </c>
      <c r="X55" s="10" t="n">
        <f aca="false">SUMIFS('Vendor Months'!$G$6:$G$3965,'Vendor Months'!$A$6:$A$3965,$AS$1,'Vendor Months'!$C$6:$C$3965,A55,'Vendor Months'!$J$6:$J$3965,"AI")</f>
        <v>0</v>
      </c>
      <c r="Y55" s="10" t="n">
        <f aca="false">SUMIFS('Vendor Months'!$G$6:$G$3965,'Vendor Months'!$A$6:$A$3965,$AS$1,'Vendor Months'!$C$6:$C$3965,A55,'Vendor Months'!$J$6:$J$3965,"CTMS")</f>
        <v>0</v>
      </c>
      <c r="Z55" s="10" t="n">
        <f aca="false">SUM(N55:Y55)</f>
        <v>22711.6909017326</v>
      </c>
      <c r="AA55" s="10" t="n">
        <f aca="false">(SUM(K55:M55)+Z55)*Assumptions!$D$12</f>
        <v>33340.5095392599</v>
      </c>
      <c r="AB55" s="10" t="n">
        <f aca="false">AD55*Assumptions!$D$29</f>
        <v>1493.78032577781</v>
      </c>
      <c r="AC55" s="10" t="n">
        <f aca="false">SUM(K55:M55)+Z55+AA55+AB55</f>
        <v>257104.353460104</v>
      </c>
      <c r="AD55" s="10" t="n">
        <f aca="false">D55*Assumptions!$D$17</f>
        <v>49792.6775259271</v>
      </c>
      <c r="AE55" s="10" t="n">
        <f aca="false">AD55*12</f>
        <v>597512.130311125</v>
      </c>
      <c r="AF55" s="10" t="n">
        <f aca="false">AC55-AD55</f>
        <v>207311.675934177</v>
      </c>
      <c r="AG55" s="10" t="n">
        <f aca="false">IF(A55=Assumptions!$D$7,Assumptions!$D$8,0)</f>
        <v>0</v>
      </c>
      <c r="AH55" s="10" t="n">
        <f aca="false">AI54</f>
        <v>-3397739.53383468</v>
      </c>
      <c r="AI55" s="10" t="n">
        <f aca="false">AH55+AG55-AF55</f>
        <v>-3605051.20976885</v>
      </c>
      <c r="AJ55" s="10" t="n">
        <f aca="false">SUM($AC$6:AC55)</f>
        <v>8413076.13470207</v>
      </c>
      <c r="AK55" s="10" t="n">
        <f aca="false">MAX(0,-AI55)</f>
        <v>3605051.20976885</v>
      </c>
      <c r="AL55" s="10" t="n">
        <f aca="false">Assumptions!$D$6+SUM($AG$6:AG55)-AJ55</f>
        <v>-4413076.13470207</v>
      </c>
      <c r="AM55" s="10" t="n">
        <f aca="false">SUMIFS('Vendor Months'!$H$6:$H$3965,'Vendor Months'!$A$6:$A$3965,$AS$1,'Vendor Months'!$C$6:$C$3965,A55)</f>
        <v>15588.2970185</v>
      </c>
      <c r="AN55" s="10" t="n">
        <f aca="false">X55+Y55</f>
        <v>0</v>
      </c>
      <c r="AO55" s="10" t="n">
        <f aca="false">SUMIFS('Staff Months'!$I$6:$I$2345,'Staff Months'!$A$6:$A$2345,$AS$1,'Staff Months'!$C$6:$C$2345,A55)</f>
        <v>17547.8784</v>
      </c>
      <c r="AP55" s="10" t="n">
        <f aca="false">SUM($AF$6:AF55)</f>
        <v>7605051.20976885</v>
      </c>
      <c r="AQ55" s="10" t="n">
        <f aca="false">AC55</f>
        <v>257104.353460104</v>
      </c>
      <c r="AR55" s="26" t="n">
        <f aca="false">IF(AI55&lt;0,1,0)</f>
        <v>1</v>
      </c>
      <c r="AS55" s="6"/>
    </row>
    <row r="56" customFormat="false" ht="15" hidden="false" customHeight="false" outlineLevel="0" collapsed="false">
      <c r="A56" s="6" t="n">
        <v>51</v>
      </c>
      <c r="B56" s="25" t="n">
        <f aca="false">EDATE('Start Here'!$B$6,A56-1)</f>
        <v>47849</v>
      </c>
      <c r="C56" s="11" t="n">
        <f aca="false">IF(A56&gt;=Assumptions!$D$13,Assumptions!$D$14*(1+Assumptions!$D$15)^INT((A56-Assumptions!$D$13)/12),0)</f>
        <v>3.375</v>
      </c>
      <c r="D56" s="11" t="n">
        <f aca="false">D55*(1-Assumptions!$D$16)+C56</f>
        <v>58.1469452785198</v>
      </c>
      <c r="E56" s="11" t="n">
        <f aca="false">D56*Assumptions!$D$18</f>
        <v>872.204179177797</v>
      </c>
      <c r="F56" s="11" t="n">
        <f aca="false">E56*Assumptions!$D$19*30/1000000</f>
        <v>3.92491880630009</v>
      </c>
      <c r="G56" s="11" t="n">
        <f aca="false">D56*Assumptions!$D$20</f>
        <v>290.734726392599</v>
      </c>
      <c r="H56" s="11" t="n">
        <f aca="false">D56*Assumptions!$D$21</f>
        <v>58.1469452785198</v>
      </c>
      <c r="I56" s="11" t="n">
        <f aca="false">SUMIFS('Staff Months'!$E$6:$E$2345,'Staff Months'!$A$6:$A$2345,$AS$1,'Staff Months'!$C$6:$C$2345,A56)</f>
        <v>12.5</v>
      </c>
      <c r="J56" s="11" t="n">
        <f aca="false">SUMIFS('Staff Months'!$L$6:$L$2345,'Staff Months'!$A$6:$A$2345,$AS$1,'Staff Months'!$C$6:$C$2345,A56)</f>
        <v>13</v>
      </c>
      <c r="K56" s="10" t="n">
        <f aca="false">SUMIFS('Staff Months'!$H$6:$H$2345,'Staff Months'!$A$6:$A$2345,$AS$1,'Staff Months'!$C$6:$C$2345,A56)</f>
        <v>199558.372693333</v>
      </c>
      <c r="L56" s="10" t="n">
        <f aca="false">SUMIFS('Staff Months'!$J$6:$J$2345,'Staff Months'!$A$6:$A$2345,$AS$1,'Staff Months'!$C$6:$C$2345,A56)</f>
        <v>0</v>
      </c>
      <c r="M56" s="10" t="n">
        <f aca="false">SUMIFS('Staff Months'!$K$6:$K$2345,'Staff Months'!$A$6:$A$2345,$AS$1,'Staff Months'!$C$6:$C$2345,A56)</f>
        <v>0</v>
      </c>
      <c r="N56" s="10" t="n">
        <f aca="false">SUMIFS('Vendor Months'!$G$6:$G$3965,'Vendor Months'!$A$6:$A$3965,$AS$1,'Vendor Months'!$C$6:$C$3965,A56,'Vendor Months'!$J$6:$J$3965,"INFRA")</f>
        <v>1915.72010366774</v>
      </c>
      <c r="O56" s="10" t="n">
        <f aca="false">SUMIFS('Vendor Months'!$G$6:$G$3965,'Vendor Months'!$A$6:$A$3965,$AS$1,'Vendor Months'!$C$6:$C$3965,A56,'Vendor Months'!$J$6:$J$3965,"TOOLS")</f>
        <v>716.94911197</v>
      </c>
      <c r="P56" s="10" t="n">
        <f aca="false">SUMIFS('Vendor Months'!$G$6:$G$3965,'Vendor Months'!$A$6:$A$3965,$AS$1,'Vendor Months'!$C$6:$C$3965,A56,'Vendor Months'!$J$6:$J$3965,"LEGAL")</f>
        <v>0</v>
      </c>
      <c r="Q56" s="10" t="n">
        <f aca="false">SUMIFS('Vendor Months'!$G$6:$G$3965,'Vendor Months'!$A$6:$A$3965,$AS$1,'Vendor Months'!$C$6:$C$3965,A56,'Vendor Months'!$J$6:$J$3965,"SECURITY")</f>
        <v>0</v>
      </c>
      <c r="R56" s="10" t="n">
        <f aca="false">SUMIFS('Vendor Months'!$G$6:$G$3965,'Vendor Months'!$A$6:$A$3965,$AS$1,'Vendor Months'!$C$6:$C$3965,A56,'Vendor Months'!$J$6:$J$3965,"COMPLIANCE")</f>
        <v>0</v>
      </c>
      <c r="S56" s="10" t="n">
        <f aca="false">SUMIFS('Vendor Months'!$G$6:$G$3965,'Vendor Months'!$A$6:$A$3965,$AS$1,'Vendor Months'!$C$6:$C$3965,A56,'Vendor Months'!$J$6:$J$3965,"INSURANCE")</f>
        <v>0</v>
      </c>
      <c r="T56" s="10" t="n">
        <f aca="false">SUMIFS('Vendor Months'!$G$6:$G$3965,'Vendor Months'!$A$6:$A$3965,$AS$1,'Vendor Months'!$C$6:$C$3965,A56,'Vendor Months'!$J$6:$J$3965,"ACCOUNTING")</f>
        <v>675.305286</v>
      </c>
      <c r="U56" s="10" t="n">
        <f aca="false">SUMIFS('Vendor Months'!$G$6:$G$3965,'Vendor Months'!$A$6:$A$3965,$AS$1,'Vendor Months'!$C$6:$C$3965,A56,'Vendor Months'!$J$6:$J$3965,"SUPPORT")</f>
        <v>112.550881</v>
      </c>
      <c r="V56" s="10" t="n">
        <f aca="false">SUMIFS('Vendor Months'!$G$6:$G$3965,'Vendor Months'!$A$6:$A$3965,$AS$1,'Vendor Months'!$C$6:$C$3965,A56,'Vendor Months'!$J$6:$J$3965,"MARKETING")</f>
        <v>4908.36743891715</v>
      </c>
      <c r="W56" s="10" t="n">
        <f aca="false">SUMIFS('Vendor Months'!$G$6:$G$3965,'Vendor Months'!$A$6:$A$3965,$AS$1,'Vendor Months'!$C$6:$C$3965,A56,'Vendor Months'!$J$6:$J$3965,"ONBOARD")</f>
        <v>1139.577670125</v>
      </c>
      <c r="X56" s="10" t="n">
        <f aca="false">SUMIFS('Vendor Months'!$G$6:$G$3965,'Vendor Months'!$A$6:$A$3965,$AS$1,'Vendor Months'!$C$6:$C$3965,A56,'Vendor Months'!$J$6:$J$3965,"AI")</f>
        <v>0</v>
      </c>
      <c r="Y56" s="10" t="n">
        <f aca="false">SUMIFS('Vendor Months'!$G$6:$G$3965,'Vendor Months'!$A$6:$A$3965,$AS$1,'Vendor Months'!$C$6:$C$3965,A56,'Vendor Months'!$J$6:$J$3965,"CTMS")</f>
        <v>0</v>
      </c>
      <c r="Z56" s="10" t="n">
        <f aca="false">SUM(N56:Y56)</f>
        <v>9468.4704916799</v>
      </c>
      <c r="AA56" s="10" t="n">
        <f aca="false">(SUM(K56:M56)+Z56)*Assumptions!$D$12</f>
        <v>31354.026477752</v>
      </c>
      <c r="AB56" s="10" t="n">
        <f aca="false">AD56*Assumptions!$D$29</f>
        <v>1569.96752252004</v>
      </c>
      <c r="AC56" s="10" t="n">
        <f aca="false">SUM(K56:M56)+Z56+AA56+AB56</f>
        <v>241950.837185285</v>
      </c>
      <c r="AD56" s="10" t="n">
        <f aca="false">D56*Assumptions!$D$17</f>
        <v>52332.2507506678</v>
      </c>
      <c r="AE56" s="10" t="n">
        <f aca="false">AD56*12</f>
        <v>627987.009008014</v>
      </c>
      <c r="AF56" s="10" t="n">
        <f aca="false">AC56-AD56</f>
        <v>189618.586434617</v>
      </c>
      <c r="AG56" s="10" t="n">
        <f aca="false">IF(A56=Assumptions!$D$7,Assumptions!$D$8,0)</f>
        <v>0</v>
      </c>
      <c r="AH56" s="10" t="n">
        <f aca="false">AI55</f>
        <v>-3605051.20976885</v>
      </c>
      <c r="AI56" s="10" t="n">
        <f aca="false">AH56+AG56-AF56</f>
        <v>-3794669.79620347</v>
      </c>
      <c r="AJ56" s="10" t="n">
        <f aca="false">SUM($AC$6:AC56)</f>
        <v>8655026.97188735</v>
      </c>
      <c r="AK56" s="10" t="n">
        <f aca="false">MAX(0,-AI56)</f>
        <v>3794669.79620347</v>
      </c>
      <c r="AL56" s="10" t="n">
        <f aca="false">Assumptions!$D$6+SUM($AG$6:AG56)-AJ56</f>
        <v>-4655026.97188735</v>
      </c>
      <c r="AM56" s="10" t="n">
        <f aca="false">SUMIFS('Vendor Months'!$H$6:$H$3965,'Vendor Months'!$A$6:$A$3965,$AS$1,'Vendor Months'!$C$6:$C$3965,A56)</f>
        <v>2082.1912985</v>
      </c>
      <c r="AN56" s="10" t="n">
        <f aca="false">X56+Y56</f>
        <v>0</v>
      </c>
      <c r="AO56" s="10" t="n">
        <f aca="false">SUMIFS('Staff Months'!$I$6:$I$2345,'Staff Months'!$A$6:$A$2345,$AS$1,'Staff Months'!$C$6:$C$2345,A56)</f>
        <v>17547.8784</v>
      </c>
      <c r="AP56" s="10" t="n">
        <f aca="false">SUM($AF$6:AF56)</f>
        <v>7794669.79620347</v>
      </c>
      <c r="AQ56" s="10" t="n">
        <f aca="false">AC56</f>
        <v>241950.837185285</v>
      </c>
      <c r="AR56" s="26" t="n">
        <f aca="false">IF(AI56&lt;0,1,0)</f>
        <v>1</v>
      </c>
      <c r="AS56" s="6"/>
    </row>
    <row r="57" customFormat="false" ht="15" hidden="false" customHeight="false" outlineLevel="0" collapsed="false">
      <c r="A57" s="6" t="n">
        <v>52</v>
      </c>
      <c r="B57" s="25" t="n">
        <f aca="false">EDATE('Start Here'!$B$6,A57-1)</f>
        <v>47880</v>
      </c>
      <c r="C57" s="11" t="n">
        <f aca="false">IF(A57&gt;=Assumptions!$D$13,Assumptions!$D$14*(1+Assumptions!$D$15)^INT((A57-Assumptions!$D$13)/12),0)</f>
        <v>3.375</v>
      </c>
      <c r="D57" s="11" t="n">
        <f aca="false">D56*(1-Assumptions!$D$16)+C57</f>
        <v>60.9404758257346</v>
      </c>
      <c r="E57" s="11" t="n">
        <f aca="false">D57*Assumptions!$D$18</f>
        <v>914.107137386019</v>
      </c>
      <c r="F57" s="11" t="n">
        <f aca="false">E57*Assumptions!$D$19*30/1000000</f>
        <v>4.11348211823709</v>
      </c>
      <c r="G57" s="11" t="n">
        <f aca="false">D57*Assumptions!$D$20</f>
        <v>304.702379128673</v>
      </c>
      <c r="H57" s="11" t="n">
        <f aca="false">D57*Assumptions!$D$21</f>
        <v>60.9404758257346</v>
      </c>
      <c r="I57" s="11" t="n">
        <f aca="false">SUMIFS('Staff Months'!$E$6:$E$2345,'Staff Months'!$A$6:$A$2345,$AS$1,'Staff Months'!$C$6:$C$2345,A57)</f>
        <v>12.5</v>
      </c>
      <c r="J57" s="11" t="n">
        <f aca="false">SUMIFS('Staff Months'!$L$6:$L$2345,'Staff Months'!$A$6:$A$2345,$AS$1,'Staff Months'!$C$6:$C$2345,A57)</f>
        <v>13</v>
      </c>
      <c r="K57" s="10" t="n">
        <f aca="false">SUMIFS('Staff Months'!$H$6:$H$2345,'Staff Months'!$A$6:$A$2345,$AS$1,'Staff Months'!$C$6:$C$2345,A57)</f>
        <v>199558.372693333</v>
      </c>
      <c r="L57" s="10" t="n">
        <f aca="false">SUMIFS('Staff Months'!$J$6:$J$2345,'Staff Months'!$A$6:$A$2345,$AS$1,'Staff Months'!$C$6:$C$2345,A57)</f>
        <v>0</v>
      </c>
      <c r="M57" s="10" t="n">
        <f aca="false">SUMIFS('Staff Months'!$K$6:$K$2345,'Staff Months'!$A$6:$A$2345,$AS$1,'Staff Months'!$C$6:$C$2345,A57)</f>
        <v>0</v>
      </c>
      <c r="N57" s="10" t="n">
        <f aca="false">SUMIFS('Vendor Months'!$G$6:$G$3965,'Vendor Months'!$A$6:$A$3965,$AS$1,'Vendor Months'!$C$6:$C$3965,A57,'Vendor Months'!$J$6:$J$3965,"INFRA")</f>
        <v>1940.16581737347</v>
      </c>
      <c r="O57" s="10" t="n">
        <f aca="false">SUMIFS('Vendor Months'!$G$6:$G$3965,'Vendor Months'!$A$6:$A$3965,$AS$1,'Vendor Months'!$C$6:$C$3965,A57,'Vendor Months'!$J$6:$J$3965,"TOOLS")</f>
        <v>716.94911197</v>
      </c>
      <c r="P57" s="10" t="n">
        <f aca="false">SUMIFS('Vendor Months'!$G$6:$G$3965,'Vendor Months'!$A$6:$A$3965,$AS$1,'Vendor Months'!$C$6:$C$3965,A57,'Vendor Months'!$J$6:$J$3965,"LEGAL")</f>
        <v>0</v>
      </c>
      <c r="Q57" s="10" t="n">
        <f aca="false">SUMIFS('Vendor Months'!$G$6:$G$3965,'Vendor Months'!$A$6:$A$3965,$AS$1,'Vendor Months'!$C$6:$C$3965,A57,'Vendor Months'!$J$6:$J$3965,"SECURITY")</f>
        <v>0</v>
      </c>
      <c r="R57" s="10" t="n">
        <f aca="false">SUMIFS('Vendor Months'!$G$6:$G$3965,'Vendor Months'!$A$6:$A$3965,$AS$1,'Vendor Months'!$C$6:$C$3965,A57,'Vendor Months'!$J$6:$J$3965,"COMPLIANCE")</f>
        <v>0</v>
      </c>
      <c r="S57" s="10" t="n">
        <f aca="false">SUMIFS('Vendor Months'!$G$6:$G$3965,'Vendor Months'!$A$6:$A$3965,$AS$1,'Vendor Months'!$C$6:$C$3965,A57,'Vendor Months'!$J$6:$J$3965,"INSURANCE")</f>
        <v>0</v>
      </c>
      <c r="T57" s="10" t="n">
        <f aca="false">SUMIFS('Vendor Months'!$G$6:$G$3965,'Vendor Months'!$A$6:$A$3965,$AS$1,'Vendor Months'!$C$6:$C$3965,A57,'Vendor Months'!$J$6:$J$3965,"ACCOUNTING")</f>
        <v>675.305286</v>
      </c>
      <c r="U57" s="10" t="n">
        <f aca="false">SUMIFS('Vendor Months'!$G$6:$G$3965,'Vendor Months'!$A$6:$A$3965,$AS$1,'Vendor Months'!$C$6:$C$3965,A57,'Vendor Months'!$J$6:$J$3965,"SUPPORT")</f>
        <v>112.550881</v>
      </c>
      <c r="V57" s="10" t="n">
        <f aca="false">SUMIFS('Vendor Months'!$G$6:$G$3965,'Vendor Months'!$A$6:$A$3965,$AS$1,'Vendor Months'!$C$6:$C$3965,A57,'Vendor Months'!$J$6:$J$3965,"MARKETING")</f>
        <v>5144.17818205923</v>
      </c>
      <c r="W57" s="10" t="n">
        <f aca="false">SUMIFS('Vendor Months'!$G$6:$G$3965,'Vendor Months'!$A$6:$A$3965,$AS$1,'Vendor Months'!$C$6:$C$3965,A57,'Vendor Months'!$J$6:$J$3965,"ONBOARD")</f>
        <v>1139.577670125</v>
      </c>
      <c r="X57" s="10" t="n">
        <f aca="false">SUMIFS('Vendor Months'!$G$6:$G$3965,'Vendor Months'!$A$6:$A$3965,$AS$1,'Vendor Months'!$C$6:$C$3965,A57,'Vendor Months'!$J$6:$J$3965,"AI")</f>
        <v>0</v>
      </c>
      <c r="Y57" s="10" t="n">
        <f aca="false">SUMIFS('Vendor Months'!$G$6:$G$3965,'Vendor Months'!$A$6:$A$3965,$AS$1,'Vendor Months'!$C$6:$C$3965,A57,'Vendor Months'!$J$6:$J$3965,"CTMS")</f>
        <v>0</v>
      </c>
      <c r="Z57" s="10" t="n">
        <f aca="false">SUM(N57:Y57)</f>
        <v>9728.7269485277</v>
      </c>
      <c r="AA57" s="10" t="n">
        <f aca="false">(SUM(K57:M57)+Z57)*Assumptions!$D$12</f>
        <v>31393.0649462792</v>
      </c>
      <c r="AB57" s="10" t="n">
        <f aca="false">AD57*Assumptions!$D$29</f>
        <v>1645.39284729483</v>
      </c>
      <c r="AC57" s="10" t="n">
        <f aca="false">SUM(K57:M57)+Z57+AA57+AB57</f>
        <v>242325.557435435</v>
      </c>
      <c r="AD57" s="10" t="n">
        <f aca="false">D57*Assumptions!$D$17</f>
        <v>54846.4282431612</v>
      </c>
      <c r="AE57" s="10" t="n">
        <f aca="false">AD57*12</f>
        <v>658157.138917934</v>
      </c>
      <c r="AF57" s="10" t="n">
        <f aca="false">AC57-AD57</f>
        <v>187479.129192274</v>
      </c>
      <c r="AG57" s="10" t="n">
        <f aca="false">IF(A57=Assumptions!$D$7,Assumptions!$D$8,0)</f>
        <v>0</v>
      </c>
      <c r="AH57" s="10" t="n">
        <f aca="false">AI56</f>
        <v>-3794669.79620347</v>
      </c>
      <c r="AI57" s="10" t="n">
        <f aca="false">AH57+AG57-AF57</f>
        <v>-3982148.92539575</v>
      </c>
      <c r="AJ57" s="10" t="n">
        <f aca="false">SUM($AC$6:AC57)</f>
        <v>8897352.52932279</v>
      </c>
      <c r="AK57" s="10" t="n">
        <f aca="false">MAX(0,-AI57)</f>
        <v>3982148.92539575</v>
      </c>
      <c r="AL57" s="10" t="n">
        <f aca="false">Assumptions!$D$6+SUM($AG$6:AG57)-AJ57</f>
        <v>-4897352.52932279</v>
      </c>
      <c r="AM57" s="10" t="n">
        <f aca="false">SUMIFS('Vendor Months'!$H$6:$H$3965,'Vendor Months'!$A$6:$A$3965,$AS$1,'Vendor Months'!$C$6:$C$3965,A57)</f>
        <v>2082.1912985</v>
      </c>
      <c r="AN57" s="10" t="n">
        <f aca="false">X57+Y57</f>
        <v>0</v>
      </c>
      <c r="AO57" s="10" t="n">
        <f aca="false">SUMIFS('Staff Months'!$I$6:$I$2345,'Staff Months'!$A$6:$A$2345,$AS$1,'Staff Months'!$C$6:$C$2345,A57)</f>
        <v>17547.8784</v>
      </c>
      <c r="AP57" s="10" t="n">
        <f aca="false">SUM($AF$6:AF57)</f>
        <v>7982148.92539575</v>
      </c>
      <c r="AQ57" s="10" t="n">
        <f aca="false">AC57</f>
        <v>242325.557435435</v>
      </c>
      <c r="AR57" s="26" t="n">
        <f aca="false">IF(AI57&lt;0,1,0)</f>
        <v>1</v>
      </c>
      <c r="AS57" s="6"/>
    </row>
    <row r="58" customFormat="false" ht="15" hidden="false" customHeight="false" outlineLevel="0" collapsed="false">
      <c r="A58" s="6" t="n">
        <v>53</v>
      </c>
      <c r="B58" s="25" t="n">
        <f aca="false">EDATE('Start Here'!$B$6,A58-1)</f>
        <v>47908</v>
      </c>
      <c r="C58" s="11" t="n">
        <f aca="false">IF(A58&gt;=Assumptions!$D$13,Assumptions!$D$14*(1+Assumptions!$D$15)^INT((A58-Assumptions!$D$13)/12),0)</f>
        <v>3.375</v>
      </c>
      <c r="D58" s="11" t="n">
        <f aca="false">D57*(1-Assumptions!$D$16)+C58</f>
        <v>63.7060710674773</v>
      </c>
      <c r="E58" s="11" t="n">
        <f aca="false">D58*Assumptions!$D$18</f>
        <v>955.591066012159</v>
      </c>
      <c r="F58" s="11" t="n">
        <f aca="false">E58*Assumptions!$D$19*30/1000000</f>
        <v>4.30015979705472</v>
      </c>
      <c r="G58" s="11" t="n">
        <f aca="false">D58*Assumptions!$D$20</f>
        <v>318.530355337386</v>
      </c>
      <c r="H58" s="11" t="n">
        <f aca="false">D58*Assumptions!$D$21</f>
        <v>63.7060710674773</v>
      </c>
      <c r="I58" s="11" t="n">
        <f aca="false">SUMIFS('Staff Months'!$E$6:$E$2345,'Staff Months'!$A$6:$A$2345,$AS$1,'Staff Months'!$C$6:$C$2345,A58)</f>
        <v>12.5</v>
      </c>
      <c r="J58" s="11" t="n">
        <f aca="false">SUMIFS('Staff Months'!$L$6:$L$2345,'Staff Months'!$A$6:$A$2345,$AS$1,'Staff Months'!$C$6:$C$2345,A58)</f>
        <v>13</v>
      </c>
      <c r="K58" s="10" t="n">
        <f aca="false">SUMIFS('Staff Months'!$H$6:$H$2345,'Staff Months'!$A$6:$A$2345,$AS$1,'Staff Months'!$C$6:$C$2345,A58)</f>
        <v>199558.372693333</v>
      </c>
      <c r="L58" s="10" t="n">
        <f aca="false">SUMIFS('Staff Months'!$J$6:$J$2345,'Staff Months'!$A$6:$A$2345,$AS$1,'Staff Months'!$C$6:$C$2345,A58)</f>
        <v>0</v>
      </c>
      <c r="M58" s="10" t="n">
        <f aca="false">SUMIFS('Staff Months'!$K$6:$K$2345,'Staff Months'!$A$6:$A$2345,$AS$1,'Staff Months'!$C$6:$C$2345,A58)</f>
        <v>0</v>
      </c>
      <c r="N58" s="10" t="n">
        <f aca="false">SUMIFS('Vendor Months'!$G$6:$G$3965,'Vendor Months'!$A$6:$A$3965,$AS$1,'Vendor Months'!$C$6:$C$3965,A58,'Vendor Months'!$J$6:$J$3965,"INFRA")</f>
        <v>1964.36707394215</v>
      </c>
      <c r="O58" s="10" t="n">
        <f aca="false">SUMIFS('Vendor Months'!$G$6:$G$3965,'Vendor Months'!$A$6:$A$3965,$AS$1,'Vendor Months'!$C$6:$C$3965,A58,'Vendor Months'!$J$6:$J$3965,"TOOLS")</f>
        <v>716.94911197</v>
      </c>
      <c r="P58" s="10" t="n">
        <f aca="false">SUMIFS('Vendor Months'!$G$6:$G$3965,'Vendor Months'!$A$6:$A$3965,$AS$1,'Vendor Months'!$C$6:$C$3965,A58,'Vendor Months'!$J$6:$J$3965,"LEGAL")</f>
        <v>0</v>
      </c>
      <c r="Q58" s="10" t="n">
        <f aca="false">SUMIFS('Vendor Months'!$G$6:$G$3965,'Vendor Months'!$A$6:$A$3965,$AS$1,'Vendor Months'!$C$6:$C$3965,A58,'Vendor Months'!$J$6:$J$3965,"SECURITY")</f>
        <v>0</v>
      </c>
      <c r="R58" s="10" t="n">
        <f aca="false">SUMIFS('Vendor Months'!$G$6:$G$3965,'Vendor Months'!$A$6:$A$3965,$AS$1,'Vendor Months'!$C$6:$C$3965,A58,'Vendor Months'!$J$6:$J$3965,"COMPLIANCE")</f>
        <v>0</v>
      </c>
      <c r="S58" s="10" t="n">
        <f aca="false">SUMIFS('Vendor Months'!$G$6:$G$3965,'Vendor Months'!$A$6:$A$3965,$AS$1,'Vendor Months'!$C$6:$C$3965,A58,'Vendor Months'!$J$6:$J$3965,"INSURANCE")</f>
        <v>0</v>
      </c>
      <c r="T58" s="10" t="n">
        <f aca="false">SUMIFS('Vendor Months'!$G$6:$G$3965,'Vendor Months'!$A$6:$A$3965,$AS$1,'Vendor Months'!$C$6:$C$3965,A58,'Vendor Months'!$J$6:$J$3965,"ACCOUNTING")</f>
        <v>675.305286</v>
      </c>
      <c r="U58" s="10" t="n">
        <f aca="false">SUMIFS('Vendor Months'!$G$6:$G$3965,'Vendor Months'!$A$6:$A$3965,$AS$1,'Vendor Months'!$C$6:$C$3965,A58,'Vendor Months'!$J$6:$J$3965,"SUPPORT")</f>
        <v>112.550881</v>
      </c>
      <c r="V58" s="10" t="n">
        <f aca="false">SUMIFS('Vendor Months'!$G$6:$G$3965,'Vendor Months'!$A$6:$A$3965,$AS$1,'Vendor Months'!$C$6:$C$3965,A58,'Vendor Months'!$J$6:$J$3965,"MARKETING")</f>
        <v>5377.63081776989</v>
      </c>
      <c r="W58" s="10" t="n">
        <f aca="false">SUMIFS('Vendor Months'!$G$6:$G$3965,'Vendor Months'!$A$6:$A$3965,$AS$1,'Vendor Months'!$C$6:$C$3965,A58,'Vendor Months'!$J$6:$J$3965,"ONBOARD")</f>
        <v>1139.577670125</v>
      </c>
      <c r="X58" s="10" t="n">
        <f aca="false">SUMIFS('Vendor Months'!$G$6:$G$3965,'Vendor Months'!$A$6:$A$3965,$AS$1,'Vendor Months'!$C$6:$C$3965,A58,'Vendor Months'!$J$6:$J$3965,"AI")</f>
        <v>0</v>
      </c>
      <c r="Y58" s="10" t="n">
        <f aca="false">SUMIFS('Vendor Months'!$G$6:$G$3965,'Vendor Months'!$A$6:$A$3965,$AS$1,'Vendor Months'!$C$6:$C$3965,A58,'Vendor Months'!$J$6:$J$3965,"CTMS")</f>
        <v>0</v>
      </c>
      <c r="Z58" s="10" t="n">
        <f aca="false">SUM(N58:Y58)</f>
        <v>9986.38084080703</v>
      </c>
      <c r="AA58" s="10" t="n">
        <f aca="false">(SUM(K58:M58)+Z58)*Assumptions!$D$12</f>
        <v>31431.7130301211</v>
      </c>
      <c r="AB58" s="10" t="n">
        <f aca="false">AD58*Assumptions!$D$29</f>
        <v>1720.06391882189</v>
      </c>
      <c r="AC58" s="10" t="n">
        <f aca="false">SUM(K58:M58)+Z58+AA58+AB58</f>
        <v>242696.530483083</v>
      </c>
      <c r="AD58" s="10" t="n">
        <f aca="false">D58*Assumptions!$D$17</f>
        <v>57335.4639607296</v>
      </c>
      <c r="AE58" s="10" t="n">
        <f aca="false">AD58*12</f>
        <v>688025.567528755</v>
      </c>
      <c r="AF58" s="10" t="n">
        <f aca="false">AC58-AD58</f>
        <v>185361.066522354</v>
      </c>
      <c r="AG58" s="10" t="n">
        <f aca="false">IF(A58=Assumptions!$D$7,Assumptions!$D$8,0)</f>
        <v>0</v>
      </c>
      <c r="AH58" s="10" t="n">
        <f aca="false">AI57</f>
        <v>-3982148.92539575</v>
      </c>
      <c r="AI58" s="10" t="n">
        <f aca="false">AH58+AG58-AF58</f>
        <v>-4167509.9919181</v>
      </c>
      <c r="AJ58" s="10" t="n">
        <f aca="false">SUM($AC$6:AC58)</f>
        <v>9140049.05980587</v>
      </c>
      <c r="AK58" s="10" t="n">
        <f aca="false">MAX(0,-AI58)</f>
        <v>4167509.9919181</v>
      </c>
      <c r="AL58" s="10" t="n">
        <f aca="false">Assumptions!$D$6+SUM($AG$6:AG58)-AJ58</f>
        <v>-5140049.05980587</v>
      </c>
      <c r="AM58" s="10" t="n">
        <f aca="false">SUMIFS('Vendor Months'!$H$6:$H$3965,'Vendor Months'!$A$6:$A$3965,$AS$1,'Vendor Months'!$C$6:$C$3965,A58)</f>
        <v>2082.1912985</v>
      </c>
      <c r="AN58" s="10" t="n">
        <f aca="false">X58+Y58</f>
        <v>0</v>
      </c>
      <c r="AO58" s="10" t="n">
        <f aca="false">SUMIFS('Staff Months'!$I$6:$I$2345,'Staff Months'!$A$6:$A$2345,$AS$1,'Staff Months'!$C$6:$C$2345,A58)</f>
        <v>17547.8784</v>
      </c>
      <c r="AP58" s="10" t="n">
        <f aca="false">SUM($AF$6:AF58)</f>
        <v>8167509.9919181</v>
      </c>
      <c r="AQ58" s="10" t="n">
        <f aca="false">AC58</f>
        <v>242696.530483083</v>
      </c>
      <c r="AR58" s="26" t="n">
        <f aca="false">IF(AI58&lt;0,1,0)</f>
        <v>1</v>
      </c>
      <c r="AS58" s="6"/>
    </row>
    <row r="59" customFormat="false" ht="15" hidden="false" customHeight="false" outlineLevel="0" collapsed="false">
      <c r="A59" s="6" t="n">
        <v>54</v>
      </c>
      <c r="B59" s="25" t="n">
        <f aca="false">EDATE('Start Here'!$B$6,A59-1)</f>
        <v>47939</v>
      </c>
      <c r="C59" s="11" t="n">
        <f aca="false">IF(A59&gt;=Assumptions!$D$13,Assumptions!$D$14*(1+Assumptions!$D$15)^INT((A59-Assumptions!$D$13)/12),0)</f>
        <v>3.375</v>
      </c>
      <c r="D59" s="11" t="n">
        <f aca="false">D58*(1-Assumptions!$D$16)+C59</f>
        <v>66.4440103568025</v>
      </c>
      <c r="E59" s="11" t="n">
        <f aca="false">D59*Assumptions!$D$18</f>
        <v>996.660155352038</v>
      </c>
      <c r="F59" s="11" t="n">
        <f aca="false">E59*Assumptions!$D$19*30/1000000</f>
        <v>4.48497069908417</v>
      </c>
      <c r="G59" s="11" t="n">
        <f aca="false">D59*Assumptions!$D$20</f>
        <v>332.220051784013</v>
      </c>
      <c r="H59" s="11" t="n">
        <f aca="false">D59*Assumptions!$D$21</f>
        <v>66.4440103568025</v>
      </c>
      <c r="I59" s="11" t="n">
        <f aca="false">SUMIFS('Staff Months'!$E$6:$E$2345,'Staff Months'!$A$6:$A$2345,$AS$1,'Staff Months'!$C$6:$C$2345,A59)</f>
        <v>12.5</v>
      </c>
      <c r="J59" s="11" t="n">
        <f aca="false">SUMIFS('Staff Months'!$L$6:$L$2345,'Staff Months'!$A$6:$A$2345,$AS$1,'Staff Months'!$C$6:$C$2345,A59)</f>
        <v>13</v>
      </c>
      <c r="K59" s="10" t="n">
        <f aca="false">SUMIFS('Staff Months'!$H$6:$H$2345,'Staff Months'!$A$6:$A$2345,$AS$1,'Staff Months'!$C$6:$C$2345,A59)</f>
        <v>199558.372693333</v>
      </c>
      <c r="L59" s="10" t="n">
        <f aca="false">SUMIFS('Staff Months'!$J$6:$J$2345,'Staff Months'!$A$6:$A$2345,$AS$1,'Staff Months'!$C$6:$C$2345,A59)</f>
        <v>0</v>
      </c>
      <c r="M59" s="10" t="n">
        <f aca="false">SUMIFS('Staff Months'!$K$6:$K$2345,'Staff Months'!$A$6:$A$2345,$AS$1,'Staff Months'!$C$6:$C$2345,A59)</f>
        <v>0</v>
      </c>
      <c r="N59" s="10" t="n">
        <f aca="false">SUMIFS('Vendor Months'!$G$6:$G$3965,'Vendor Months'!$A$6:$A$3965,$AS$1,'Vendor Months'!$C$6:$C$3965,A59,'Vendor Months'!$J$6:$J$3965,"INFRA")</f>
        <v>1988.32631794513</v>
      </c>
      <c r="O59" s="10" t="n">
        <f aca="false">SUMIFS('Vendor Months'!$G$6:$G$3965,'Vendor Months'!$A$6:$A$3965,$AS$1,'Vendor Months'!$C$6:$C$3965,A59,'Vendor Months'!$J$6:$J$3965,"TOOLS")</f>
        <v>716.94911197</v>
      </c>
      <c r="P59" s="10" t="n">
        <f aca="false">SUMIFS('Vendor Months'!$G$6:$G$3965,'Vendor Months'!$A$6:$A$3965,$AS$1,'Vendor Months'!$C$6:$C$3965,A59,'Vendor Months'!$J$6:$J$3965,"LEGAL")</f>
        <v>0</v>
      </c>
      <c r="Q59" s="10" t="n">
        <f aca="false">SUMIFS('Vendor Months'!$G$6:$G$3965,'Vendor Months'!$A$6:$A$3965,$AS$1,'Vendor Months'!$C$6:$C$3965,A59,'Vendor Months'!$J$6:$J$3965,"SECURITY")</f>
        <v>0</v>
      </c>
      <c r="R59" s="10" t="n">
        <f aca="false">SUMIFS('Vendor Months'!$G$6:$G$3965,'Vendor Months'!$A$6:$A$3965,$AS$1,'Vendor Months'!$C$6:$C$3965,A59,'Vendor Months'!$J$6:$J$3965,"COMPLIANCE")</f>
        <v>0</v>
      </c>
      <c r="S59" s="10" t="n">
        <f aca="false">SUMIFS('Vendor Months'!$G$6:$G$3965,'Vendor Months'!$A$6:$A$3965,$AS$1,'Vendor Months'!$C$6:$C$3965,A59,'Vendor Months'!$J$6:$J$3965,"INSURANCE")</f>
        <v>0</v>
      </c>
      <c r="T59" s="10" t="n">
        <f aca="false">SUMIFS('Vendor Months'!$G$6:$G$3965,'Vendor Months'!$A$6:$A$3965,$AS$1,'Vendor Months'!$C$6:$C$3965,A59,'Vendor Months'!$J$6:$J$3965,"ACCOUNTING")</f>
        <v>675.305286</v>
      </c>
      <c r="U59" s="10" t="n">
        <f aca="false">SUMIFS('Vendor Months'!$G$6:$G$3965,'Vendor Months'!$A$6:$A$3965,$AS$1,'Vendor Months'!$C$6:$C$3965,A59,'Vendor Months'!$J$6:$J$3965,"SUPPORT")</f>
        <v>112.550881</v>
      </c>
      <c r="V59" s="10" t="n">
        <f aca="false">SUMIFS('Vendor Months'!$G$6:$G$3965,'Vendor Months'!$A$6:$A$3965,$AS$1,'Vendor Months'!$C$6:$C$3965,A59,'Vendor Months'!$J$6:$J$3965,"MARKETING")</f>
        <v>5608.74892712344</v>
      </c>
      <c r="W59" s="10" t="n">
        <f aca="false">SUMIFS('Vendor Months'!$G$6:$G$3965,'Vendor Months'!$A$6:$A$3965,$AS$1,'Vendor Months'!$C$6:$C$3965,A59,'Vendor Months'!$J$6:$J$3965,"ONBOARD")</f>
        <v>1139.577670125</v>
      </c>
      <c r="X59" s="10" t="n">
        <f aca="false">SUMIFS('Vendor Months'!$G$6:$G$3965,'Vendor Months'!$A$6:$A$3965,$AS$1,'Vendor Months'!$C$6:$C$3965,A59,'Vendor Months'!$J$6:$J$3965,"AI")</f>
        <v>0</v>
      </c>
      <c r="Y59" s="10" t="n">
        <f aca="false">SUMIFS('Vendor Months'!$G$6:$G$3965,'Vendor Months'!$A$6:$A$3965,$AS$1,'Vendor Months'!$C$6:$C$3965,A59,'Vendor Months'!$J$6:$J$3965,"CTMS")</f>
        <v>0</v>
      </c>
      <c r="Z59" s="10" t="n">
        <f aca="false">SUM(N59:Y59)</f>
        <v>10241.4581941636</v>
      </c>
      <c r="AA59" s="10" t="n">
        <f aca="false">(SUM(K59:M59)+Z59)*Assumptions!$D$12</f>
        <v>31469.9746331245</v>
      </c>
      <c r="AB59" s="10" t="n">
        <f aca="false">AD59*Assumptions!$D$29</f>
        <v>1793.98827963367</v>
      </c>
      <c r="AC59" s="10" t="n">
        <f aca="false">SUM(K59:M59)+Z59+AA59+AB59</f>
        <v>243063.793800255</v>
      </c>
      <c r="AD59" s="10" t="n">
        <f aca="false">D59*Assumptions!$D$17</f>
        <v>59799.6093211223</v>
      </c>
      <c r="AE59" s="10" t="n">
        <f aca="false">AD59*12</f>
        <v>717595.311853467</v>
      </c>
      <c r="AF59" s="10" t="n">
        <f aca="false">AC59-AD59</f>
        <v>183264.184479133</v>
      </c>
      <c r="AG59" s="10" t="n">
        <f aca="false">IF(A59=Assumptions!$D$7,Assumptions!$D$8,0)</f>
        <v>0</v>
      </c>
      <c r="AH59" s="10" t="n">
        <f aca="false">AI58</f>
        <v>-4167509.9919181</v>
      </c>
      <c r="AI59" s="10" t="n">
        <f aca="false">AH59+AG59-AF59</f>
        <v>-4350774.17639723</v>
      </c>
      <c r="AJ59" s="10" t="n">
        <f aca="false">SUM($AC$6:AC59)</f>
        <v>9383112.85360613</v>
      </c>
      <c r="AK59" s="10" t="n">
        <f aca="false">MAX(0,-AI59)</f>
        <v>4350774.17639723</v>
      </c>
      <c r="AL59" s="10" t="n">
        <f aca="false">Assumptions!$D$6+SUM($AG$6:AG59)-AJ59</f>
        <v>-5383112.85360613</v>
      </c>
      <c r="AM59" s="10" t="n">
        <f aca="false">SUMIFS('Vendor Months'!$H$6:$H$3965,'Vendor Months'!$A$6:$A$3965,$AS$1,'Vendor Months'!$C$6:$C$3965,A59)</f>
        <v>2082.1912985</v>
      </c>
      <c r="AN59" s="10" t="n">
        <f aca="false">X59+Y59</f>
        <v>0</v>
      </c>
      <c r="AO59" s="10" t="n">
        <f aca="false">SUMIFS('Staff Months'!$I$6:$I$2345,'Staff Months'!$A$6:$A$2345,$AS$1,'Staff Months'!$C$6:$C$2345,A59)</f>
        <v>17547.8784</v>
      </c>
      <c r="AP59" s="10" t="n">
        <f aca="false">SUM($AF$6:AF59)</f>
        <v>8350774.17639723</v>
      </c>
      <c r="AQ59" s="10" t="n">
        <f aca="false">AC59</f>
        <v>243063.793800255</v>
      </c>
      <c r="AR59" s="26" t="n">
        <f aca="false">IF(AI59&lt;0,1,0)</f>
        <v>1</v>
      </c>
      <c r="AS59" s="6"/>
    </row>
    <row r="60" customFormat="false" ht="15" hidden="false" customHeight="false" outlineLevel="0" collapsed="false">
      <c r="A60" s="6" t="n">
        <v>55</v>
      </c>
      <c r="B60" s="25" t="n">
        <f aca="false">EDATE('Start Here'!$B$6,A60-1)</f>
        <v>47969</v>
      </c>
      <c r="C60" s="11" t="n">
        <f aca="false">IF(A60&gt;=Assumptions!$D$13,Assumptions!$D$14*(1+Assumptions!$D$15)^INT((A60-Assumptions!$D$13)/12),0)</f>
        <v>3.375</v>
      </c>
      <c r="D60" s="11" t="n">
        <f aca="false">D59*(1-Assumptions!$D$16)+C60</f>
        <v>69.1545702532345</v>
      </c>
      <c r="E60" s="11" t="n">
        <f aca="false">D60*Assumptions!$D$18</f>
        <v>1037.31855379852</v>
      </c>
      <c r="F60" s="11" t="n">
        <f aca="false">E60*Assumptions!$D$19*30/1000000</f>
        <v>4.66793349209333</v>
      </c>
      <c r="G60" s="11" t="n">
        <f aca="false">D60*Assumptions!$D$20</f>
        <v>345.772851266172</v>
      </c>
      <c r="H60" s="11" t="n">
        <f aca="false">D60*Assumptions!$D$21</f>
        <v>69.1545702532345</v>
      </c>
      <c r="I60" s="11" t="n">
        <f aca="false">SUMIFS('Staff Months'!$E$6:$E$2345,'Staff Months'!$A$6:$A$2345,$AS$1,'Staff Months'!$C$6:$C$2345,A60)</f>
        <v>12.5</v>
      </c>
      <c r="J60" s="11" t="n">
        <f aca="false">SUMIFS('Staff Months'!$L$6:$L$2345,'Staff Months'!$A$6:$A$2345,$AS$1,'Staff Months'!$C$6:$C$2345,A60)</f>
        <v>13</v>
      </c>
      <c r="K60" s="10" t="n">
        <f aca="false">SUMIFS('Staff Months'!$H$6:$H$2345,'Staff Months'!$A$6:$A$2345,$AS$1,'Staff Months'!$C$6:$C$2345,A60)</f>
        <v>199558.372693333</v>
      </c>
      <c r="L60" s="10" t="n">
        <f aca="false">SUMIFS('Staff Months'!$J$6:$J$2345,'Staff Months'!$A$6:$A$2345,$AS$1,'Staff Months'!$C$6:$C$2345,A60)</f>
        <v>0</v>
      </c>
      <c r="M60" s="10" t="n">
        <f aca="false">SUMIFS('Staff Months'!$K$6:$K$2345,'Staff Months'!$A$6:$A$2345,$AS$1,'Staff Months'!$C$6:$C$2345,A60)</f>
        <v>0</v>
      </c>
      <c r="N60" s="10" t="n">
        <f aca="false">SUMIFS('Vendor Months'!$G$6:$G$3965,'Vendor Months'!$A$6:$A$3965,$AS$1,'Vendor Months'!$C$6:$C$3965,A60,'Vendor Months'!$J$6:$J$3965,"INFRA")</f>
        <v>2012.04596950808</v>
      </c>
      <c r="O60" s="10" t="n">
        <f aca="false">SUMIFS('Vendor Months'!$G$6:$G$3965,'Vendor Months'!$A$6:$A$3965,$AS$1,'Vendor Months'!$C$6:$C$3965,A60,'Vendor Months'!$J$6:$J$3965,"TOOLS")</f>
        <v>716.94911197</v>
      </c>
      <c r="P60" s="10" t="n">
        <f aca="false">SUMIFS('Vendor Months'!$G$6:$G$3965,'Vendor Months'!$A$6:$A$3965,$AS$1,'Vendor Months'!$C$6:$C$3965,A60,'Vendor Months'!$J$6:$J$3965,"LEGAL")</f>
        <v>0</v>
      </c>
      <c r="Q60" s="10" t="n">
        <f aca="false">SUMIFS('Vendor Months'!$G$6:$G$3965,'Vendor Months'!$A$6:$A$3965,$AS$1,'Vendor Months'!$C$6:$C$3965,A60,'Vendor Months'!$J$6:$J$3965,"SECURITY")</f>
        <v>0</v>
      </c>
      <c r="R60" s="10" t="n">
        <f aca="false">SUMIFS('Vendor Months'!$G$6:$G$3965,'Vendor Months'!$A$6:$A$3965,$AS$1,'Vendor Months'!$C$6:$C$3965,A60,'Vendor Months'!$J$6:$J$3965,"COMPLIANCE")</f>
        <v>0</v>
      </c>
      <c r="S60" s="10" t="n">
        <f aca="false">SUMIFS('Vendor Months'!$G$6:$G$3965,'Vendor Months'!$A$6:$A$3965,$AS$1,'Vendor Months'!$C$6:$C$3965,A60,'Vendor Months'!$J$6:$J$3965,"INSURANCE")</f>
        <v>0</v>
      </c>
      <c r="T60" s="10" t="n">
        <f aca="false">SUMIFS('Vendor Months'!$G$6:$G$3965,'Vendor Months'!$A$6:$A$3965,$AS$1,'Vendor Months'!$C$6:$C$3965,A60,'Vendor Months'!$J$6:$J$3965,"ACCOUNTING")</f>
        <v>675.305286</v>
      </c>
      <c r="U60" s="10" t="n">
        <f aca="false">SUMIFS('Vendor Months'!$G$6:$G$3965,'Vendor Months'!$A$6:$A$3965,$AS$1,'Vendor Months'!$C$6:$C$3965,A60,'Vendor Months'!$J$6:$J$3965,"SUPPORT")</f>
        <v>112.550881</v>
      </c>
      <c r="V60" s="10" t="n">
        <f aca="false">SUMIFS('Vendor Months'!$G$6:$G$3965,'Vendor Months'!$A$6:$A$3965,$AS$1,'Vendor Months'!$C$6:$C$3965,A60,'Vendor Months'!$J$6:$J$3965,"MARKETING")</f>
        <v>5837.55585538345</v>
      </c>
      <c r="W60" s="10" t="n">
        <f aca="false">SUMIFS('Vendor Months'!$G$6:$G$3965,'Vendor Months'!$A$6:$A$3965,$AS$1,'Vendor Months'!$C$6:$C$3965,A60,'Vendor Months'!$J$6:$J$3965,"ONBOARD")</f>
        <v>1139.577670125</v>
      </c>
      <c r="X60" s="10" t="n">
        <f aca="false">SUMIFS('Vendor Months'!$G$6:$G$3965,'Vendor Months'!$A$6:$A$3965,$AS$1,'Vendor Months'!$C$6:$C$3965,A60,'Vendor Months'!$J$6:$J$3965,"AI")</f>
        <v>0</v>
      </c>
      <c r="Y60" s="10" t="n">
        <f aca="false">SUMIFS('Vendor Months'!$G$6:$G$3965,'Vendor Months'!$A$6:$A$3965,$AS$1,'Vendor Months'!$C$6:$C$3965,A60,'Vendor Months'!$J$6:$J$3965,"CTMS")</f>
        <v>0</v>
      </c>
      <c r="Z60" s="10" t="n">
        <f aca="false">SUM(N60:Y60)</f>
        <v>10493.9847739865</v>
      </c>
      <c r="AA60" s="10" t="n">
        <f aca="false">(SUM(K60:M60)+Z60)*Assumptions!$D$12</f>
        <v>31507.853620098</v>
      </c>
      <c r="AB60" s="10" t="n">
        <f aca="false">AD60*Assumptions!$D$29</f>
        <v>1867.17339683733</v>
      </c>
      <c r="AC60" s="10" t="n">
        <f aca="false">SUM(K60:M60)+Z60+AA60+AB60</f>
        <v>243427.384484255</v>
      </c>
      <c r="AD60" s="10" t="n">
        <f aca="false">D60*Assumptions!$D$17</f>
        <v>62239.113227911</v>
      </c>
      <c r="AE60" s="10" t="n">
        <f aca="false">AD60*12</f>
        <v>746869.358734932</v>
      </c>
      <c r="AF60" s="10" t="n">
        <f aca="false">AC60-AD60</f>
        <v>181188.271256344</v>
      </c>
      <c r="AG60" s="10" t="n">
        <f aca="false">IF(A60=Assumptions!$D$7,Assumptions!$D$8,0)</f>
        <v>0</v>
      </c>
      <c r="AH60" s="10" t="n">
        <f aca="false">AI59</f>
        <v>-4350774.17639723</v>
      </c>
      <c r="AI60" s="10" t="n">
        <f aca="false">AH60+AG60-AF60</f>
        <v>-4531962.44765358</v>
      </c>
      <c r="AJ60" s="10" t="n">
        <f aca="false">SUM($AC$6:AC60)</f>
        <v>9626540.23809038</v>
      </c>
      <c r="AK60" s="10" t="n">
        <f aca="false">MAX(0,-AI60)</f>
        <v>4531962.44765358</v>
      </c>
      <c r="AL60" s="10" t="n">
        <f aca="false">Assumptions!$D$6+SUM($AG$6:AG60)-AJ60</f>
        <v>-5626540.23809038</v>
      </c>
      <c r="AM60" s="10" t="n">
        <f aca="false">SUMIFS('Vendor Months'!$H$6:$H$3965,'Vendor Months'!$A$6:$A$3965,$AS$1,'Vendor Months'!$C$6:$C$3965,A60)</f>
        <v>2082.1912985</v>
      </c>
      <c r="AN60" s="10" t="n">
        <f aca="false">X60+Y60</f>
        <v>0</v>
      </c>
      <c r="AO60" s="10" t="n">
        <f aca="false">SUMIFS('Staff Months'!$I$6:$I$2345,'Staff Months'!$A$6:$A$2345,$AS$1,'Staff Months'!$C$6:$C$2345,A60)</f>
        <v>17547.8784</v>
      </c>
      <c r="AP60" s="10" t="n">
        <f aca="false">SUM($AF$6:AF60)</f>
        <v>8531962.44765358</v>
      </c>
      <c r="AQ60" s="10" t="n">
        <f aca="false">AC60</f>
        <v>243427.384484255</v>
      </c>
      <c r="AR60" s="26" t="n">
        <f aca="false">IF(AI60&lt;0,1,0)</f>
        <v>1</v>
      </c>
      <c r="AS60" s="6"/>
    </row>
    <row r="61" customFormat="false" ht="15" hidden="false" customHeight="false" outlineLevel="0" collapsed="false">
      <c r="A61" s="6" t="n">
        <v>56</v>
      </c>
      <c r="B61" s="25" t="n">
        <f aca="false">EDATE('Start Here'!$B$6,A61-1)</f>
        <v>48000</v>
      </c>
      <c r="C61" s="11" t="n">
        <f aca="false">IF(A61&gt;=Assumptions!$D$13,Assumptions!$D$14*(1+Assumptions!$D$15)^INT((A61-Assumptions!$D$13)/12),0)</f>
        <v>3.375</v>
      </c>
      <c r="D61" s="11" t="n">
        <f aca="false">D60*(1-Assumptions!$D$16)+C61</f>
        <v>71.8380245507021</v>
      </c>
      <c r="E61" s="11" t="n">
        <f aca="false">D61*Assumptions!$D$18</f>
        <v>1077.57036826053</v>
      </c>
      <c r="F61" s="11" t="n">
        <f aca="false">E61*Assumptions!$D$19*30/1000000</f>
        <v>4.84906665717239</v>
      </c>
      <c r="G61" s="11" t="n">
        <f aca="false">D61*Assumptions!$D$20</f>
        <v>359.190122753511</v>
      </c>
      <c r="H61" s="11" t="n">
        <f aca="false">D61*Assumptions!$D$21</f>
        <v>71.8380245507021</v>
      </c>
      <c r="I61" s="11" t="n">
        <f aca="false">SUMIFS('Staff Months'!$E$6:$E$2345,'Staff Months'!$A$6:$A$2345,$AS$1,'Staff Months'!$C$6:$C$2345,A61)</f>
        <v>12.5</v>
      </c>
      <c r="J61" s="11" t="n">
        <f aca="false">SUMIFS('Staff Months'!$L$6:$L$2345,'Staff Months'!$A$6:$A$2345,$AS$1,'Staff Months'!$C$6:$C$2345,A61)</f>
        <v>13</v>
      </c>
      <c r="K61" s="10" t="n">
        <f aca="false">SUMIFS('Staff Months'!$H$6:$H$2345,'Staff Months'!$A$6:$A$2345,$AS$1,'Staff Months'!$C$6:$C$2345,A61)</f>
        <v>199558.372693333</v>
      </c>
      <c r="L61" s="10" t="n">
        <f aca="false">SUMIFS('Staff Months'!$J$6:$J$2345,'Staff Months'!$A$6:$A$2345,$AS$1,'Staff Months'!$C$6:$C$2345,A61)</f>
        <v>0</v>
      </c>
      <c r="M61" s="10" t="n">
        <f aca="false">SUMIFS('Staff Months'!$K$6:$K$2345,'Staff Months'!$A$6:$A$2345,$AS$1,'Staff Months'!$C$6:$C$2345,A61)</f>
        <v>0</v>
      </c>
      <c r="N61" s="10" t="n">
        <f aca="false">SUMIFS('Vendor Months'!$G$6:$G$3965,'Vendor Months'!$A$6:$A$3965,$AS$1,'Vendor Months'!$C$6:$C$3965,A61,'Vendor Months'!$J$6:$J$3965,"INFRA")</f>
        <v>2035.52842455541</v>
      </c>
      <c r="O61" s="10" t="n">
        <f aca="false">SUMIFS('Vendor Months'!$G$6:$G$3965,'Vendor Months'!$A$6:$A$3965,$AS$1,'Vendor Months'!$C$6:$C$3965,A61,'Vendor Months'!$J$6:$J$3965,"TOOLS")</f>
        <v>716.94911197</v>
      </c>
      <c r="P61" s="10" t="n">
        <f aca="false">SUMIFS('Vendor Months'!$G$6:$G$3965,'Vendor Months'!$A$6:$A$3965,$AS$1,'Vendor Months'!$C$6:$C$3965,A61,'Vendor Months'!$J$6:$J$3965,"LEGAL")</f>
        <v>0</v>
      </c>
      <c r="Q61" s="10" t="n">
        <f aca="false">SUMIFS('Vendor Months'!$G$6:$G$3965,'Vendor Months'!$A$6:$A$3965,$AS$1,'Vendor Months'!$C$6:$C$3965,A61,'Vendor Months'!$J$6:$J$3965,"SECURITY")</f>
        <v>0</v>
      </c>
      <c r="R61" s="10" t="n">
        <f aca="false">SUMIFS('Vendor Months'!$G$6:$G$3965,'Vendor Months'!$A$6:$A$3965,$AS$1,'Vendor Months'!$C$6:$C$3965,A61,'Vendor Months'!$J$6:$J$3965,"COMPLIANCE")</f>
        <v>0</v>
      </c>
      <c r="S61" s="10" t="n">
        <f aca="false">SUMIFS('Vendor Months'!$G$6:$G$3965,'Vendor Months'!$A$6:$A$3965,$AS$1,'Vendor Months'!$C$6:$C$3965,A61,'Vendor Months'!$J$6:$J$3965,"INSURANCE")</f>
        <v>0</v>
      </c>
      <c r="T61" s="10" t="n">
        <f aca="false">SUMIFS('Vendor Months'!$G$6:$G$3965,'Vendor Months'!$A$6:$A$3965,$AS$1,'Vendor Months'!$C$6:$C$3965,A61,'Vendor Months'!$J$6:$J$3965,"ACCOUNTING")</f>
        <v>675.305286</v>
      </c>
      <c r="U61" s="10" t="n">
        <f aca="false">SUMIFS('Vendor Months'!$G$6:$G$3965,'Vendor Months'!$A$6:$A$3965,$AS$1,'Vendor Months'!$C$6:$C$3965,A61,'Vendor Months'!$J$6:$J$3965,"SUPPORT")</f>
        <v>112.550881</v>
      </c>
      <c r="V61" s="10" t="n">
        <f aca="false">SUMIFS('Vendor Months'!$G$6:$G$3965,'Vendor Months'!$A$6:$A$3965,$AS$1,'Vendor Months'!$C$6:$C$3965,A61,'Vendor Months'!$J$6:$J$3965,"MARKETING")</f>
        <v>6064.07471436087</v>
      </c>
      <c r="W61" s="10" t="n">
        <f aca="false">SUMIFS('Vendor Months'!$G$6:$G$3965,'Vendor Months'!$A$6:$A$3965,$AS$1,'Vendor Months'!$C$6:$C$3965,A61,'Vendor Months'!$J$6:$J$3965,"ONBOARD")</f>
        <v>1139.577670125</v>
      </c>
      <c r="X61" s="10" t="n">
        <f aca="false">SUMIFS('Vendor Months'!$G$6:$G$3965,'Vendor Months'!$A$6:$A$3965,$AS$1,'Vendor Months'!$C$6:$C$3965,A61,'Vendor Months'!$J$6:$J$3965,"AI")</f>
        <v>0</v>
      </c>
      <c r="Y61" s="10" t="n">
        <f aca="false">SUMIFS('Vendor Months'!$G$6:$G$3965,'Vendor Months'!$A$6:$A$3965,$AS$1,'Vendor Months'!$C$6:$C$3965,A61,'Vendor Months'!$J$6:$J$3965,"CTMS")</f>
        <v>0</v>
      </c>
      <c r="Z61" s="10" t="n">
        <f aca="false">SUM(N61:Y61)</f>
        <v>10743.9860880113</v>
      </c>
      <c r="AA61" s="10" t="n">
        <f aca="false">(SUM(K61:M61)+Z61)*Assumptions!$D$12</f>
        <v>31545.3538172017</v>
      </c>
      <c r="AB61" s="10" t="n">
        <f aca="false">AD61*Assumptions!$D$29</f>
        <v>1939.62666286896</v>
      </c>
      <c r="AC61" s="10" t="n">
        <f aca="false">SUM(K61:M61)+Z61+AA61+AB61</f>
        <v>243787.339261415</v>
      </c>
      <c r="AD61" s="10" t="n">
        <f aca="false">D61*Assumptions!$D$17</f>
        <v>64654.2220956319</v>
      </c>
      <c r="AE61" s="10" t="n">
        <f aca="false">AD61*12</f>
        <v>775850.665147583</v>
      </c>
      <c r="AF61" s="10" t="n">
        <f aca="false">AC61-AD61</f>
        <v>179133.117165783</v>
      </c>
      <c r="AG61" s="10" t="n">
        <f aca="false">IF(A61=Assumptions!$D$7,Assumptions!$D$8,0)</f>
        <v>0</v>
      </c>
      <c r="AH61" s="10" t="n">
        <f aca="false">AI60</f>
        <v>-4531962.44765358</v>
      </c>
      <c r="AI61" s="10" t="n">
        <f aca="false">AH61+AG61-AF61</f>
        <v>-4711095.56481936</v>
      </c>
      <c r="AJ61" s="10" t="n">
        <f aca="false">SUM($AC$6:AC61)</f>
        <v>9870327.5773518</v>
      </c>
      <c r="AK61" s="10" t="n">
        <f aca="false">MAX(0,-AI61)</f>
        <v>4711095.56481936</v>
      </c>
      <c r="AL61" s="10" t="n">
        <f aca="false">Assumptions!$D$6+SUM($AG$6:AG61)-AJ61</f>
        <v>-5870327.5773518</v>
      </c>
      <c r="AM61" s="10" t="n">
        <f aca="false">SUMIFS('Vendor Months'!$H$6:$H$3965,'Vendor Months'!$A$6:$A$3965,$AS$1,'Vendor Months'!$C$6:$C$3965,A61)</f>
        <v>2082.1912985</v>
      </c>
      <c r="AN61" s="10" t="n">
        <f aca="false">X61+Y61</f>
        <v>0</v>
      </c>
      <c r="AO61" s="10" t="n">
        <f aca="false">SUMIFS('Staff Months'!$I$6:$I$2345,'Staff Months'!$A$6:$A$2345,$AS$1,'Staff Months'!$C$6:$C$2345,A61)</f>
        <v>17547.8784</v>
      </c>
      <c r="AP61" s="10" t="n">
        <f aca="false">SUM($AF$6:AF61)</f>
        <v>8711095.56481936</v>
      </c>
      <c r="AQ61" s="10" t="n">
        <f aca="false">AC61</f>
        <v>243787.339261415</v>
      </c>
      <c r="AR61" s="26" t="n">
        <f aca="false">IF(AI61&lt;0,1,0)</f>
        <v>1</v>
      </c>
      <c r="AS61" s="6"/>
    </row>
    <row r="62" customFormat="false" ht="15" hidden="false" customHeight="false" outlineLevel="0" collapsed="false">
      <c r="A62" s="6" t="n">
        <v>57</v>
      </c>
      <c r="B62" s="25" t="n">
        <f aca="false">EDATE('Start Here'!$B$6,A62-1)</f>
        <v>48030</v>
      </c>
      <c r="C62" s="11" t="n">
        <f aca="false">IF(A62&gt;=Assumptions!$D$13,Assumptions!$D$14*(1+Assumptions!$D$15)^INT((A62-Assumptions!$D$13)/12),0)</f>
        <v>3.375</v>
      </c>
      <c r="D62" s="11" t="n">
        <f aca="false">D61*(1-Assumptions!$D$16)+C62</f>
        <v>74.4946443051951</v>
      </c>
      <c r="E62" s="11" t="n">
        <f aca="false">D62*Assumptions!$D$18</f>
        <v>1117.41966457793</v>
      </c>
      <c r="F62" s="11" t="n">
        <f aca="false">E62*Assumptions!$D$19*30/1000000</f>
        <v>5.02838849060067</v>
      </c>
      <c r="G62" s="11" t="n">
        <f aca="false">D62*Assumptions!$D$20</f>
        <v>372.473221525976</v>
      </c>
      <c r="H62" s="11" t="n">
        <f aca="false">D62*Assumptions!$D$21</f>
        <v>74.4946443051951</v>
      </c>
      <c r="I62" s="11" t="n">
        <f aca="false">SUMIFS('Staff Months'!$E$6:$E$2345,'Staff Months'!$A$6:$A$2345,$AS$1,'Staff Months'!$C$6:$C$2345,A62)</f>
        <v>12.5</v>
      </c>
      <c r="J62" s="11" t="n">
        <f aca="false">SUMIFS('Staff Months'!$L$6:$L$2345,'Staff Months'!$A$6:$A$2345,$AS$1,'Staff Months'!$C$6:$C$2345,A62)</f>
        <v>13</v>
      </c>
      <c r="K62" s="10" t="n">
        <f aca="false">SUMIFS('Staff Months'!$H$6:$H$2345,'Staff Months'!$A$6:$A$2345,$AS$1,'Staff Months'!$C$6:$C$2345,A62)</f>
        <v>199558.372693333</v>
      </c>
      <c r="L62" s="10" t="n">
        <f aca="false">SUMIFS('Staff Months'!$J$6:$J$2345,'Staff Months'!$A$6:$A$2345,$AS$1,'Staff Months'!$C$6:$C$2345,A62)</f>
        <v>0</v>
      </c>
      <c r="M62" s="10" t="n">
        <f aca="false">SUMIFS('Staff Months'!$K$6:$K$2345,'Staff Months'!$A$6:$A$2345,$AS$1,'Staff Months'!$C$6:$C$2345,A62)</f>
        <v>0</v>
      </c>
      <c r="N62" s="10" t="n">
        <f aca="false">SUMIFS('Vendor Months'!$G$6:$G$3965,'Vendor Months'!$A$6:$A$3965,$AS$1,'Vendor Months'!$C$6:$C$3965,A62,'Vendor Months'!$J$6:$J$3965,"INFRA")</f>
        <v>2058.77605505226</v>
      </c>
      <c r="O62" s="10" t="n">
        <f aca="false">SUMIFS('Vendor Months'!$G$6:$G$3965,'Vendor Months'!$A$6:$A$3965,$AS$1,'Vendor Months'!$C$6:$C$3965,A62,'Vendor Months'!$J$6:$J$3965,"TOOLS")</f>
        <v>716.94911197</v>
      </c>
      <c r="P62" s="10" t="n">
        <f aca="false">SUMIFS('Vendor Months'!$G$6:$G$3965,'Vendor Months'!$A$6:$A$3965,$AS$1,'Vendor Months'!$C$6:$C$3965,A62,'Vendor Months'!$J$6:$J$3965,"LEGAL")</f>
        <v>0</v>
      </c>
      <c r="Q62" s="10" t="n">
        <f aca="false">SUMIFS('Vendor Months'!$G$6:$G$3965,'Vendor Months'!$A$6:$A$3965,$AS$1,'Vendor Months'!$C$6:$C$3965,A62,'Vendor Months'!$J$6:$J$3965,"SECURITY")</f>
        <v>0</v>
      </c>
      <c r="R62" s="10" t="n">
        <f aca="false">SUMIFS('Vendor Months'!$G$6:$G$3965,'Vendor Months'!$A$6:$A$3965,$AS$1,'Vendor Months'!$C$6:$C$3965,A62,'Vendor Months'!$J$6:$J$3965,"COMPLIANCE")</f>
        <v>0</v>
      </c>
      <c r="S62" s="10" t="n">
        <f aca="false">SUMIFS('Vendor Months'!$G$6:$G$3965,'Vendor Months'!$A$6:$A$3965,$AS$1,'Vendor Months'!$C$6:$C$3965,A62,'Vendor Months'!$J$6:$J$3965,"INSURANCE")</f>
        <v>13506.10572</v>
      </c>
      <c r="T62" s="10" t="n">
        <f aca="false">SUMIFS('Vendor Months'!$G$6:$G$3965,'Vendor Months'!$A$6:$A$3965,$AS$1,'Vendor Months'!$C$6:$C$3965,A62,'Vendor Months'!$J$6:$J$3965,"ACCOUNTING")</f>
        <v>675.305286</v>
      </c>
      <c r="U62" s="10" t="n">
        <f aca="false">SUMIFS('Vendor Months'!$G$6:$G$3965,'Vendor Months'!$A$6:$A$3965,$AS$1,'Vendor Months'!$C$6:$C$3965,A62,'Vendor Months'!$J$6:$J$3965,"SUPPORT")</f>
        <v>112.550881</v>
      </c>
      <c r="V62" s="10" t="n">
        <f aca="false">SUMIFS('Vendor Months'!$G$6:$G$3965,'Vendor Months'!$A$6:$A$3965,$AS$1,'Vendor Months'!$C$6:$C$3965,A62,'Vendor Months'!$J$6:$J$3965,"MARKETING")</f>
        <v>6288.32838474851</v>
      </c>
      <c r="W62" s="10" t="n">
        <f aca="false">SUMIFS('Vendor Months'!$G$6:$G$3965,'Vendor Months'!$A$6:$A$3965,$AS$1,'Vendor Months'!$C$6:$C$3965,A62,'Vendor Months'!$J$6:$J$3965,"ONBOARD")</f>
        <v>1139.577670125</v>
      </c>
      <c r="X62" s="10" t="n">
        <f aca="false">SUMIFS('Vendor Months'!$G$6:$G$3965,'Vendor Months'!$A$6:$A$3965,$AS$1,'Vendor Months'!$C$6:$C$3965,A62,'Vendor Months'!$J$6:$J$3965,"AI")</f>
        <v>0</v>
      </c>
      <c r="Y62" s="10" t="n">
        <f aca="false">SUMIFS('Vendor Months'!$G$6:$G$3965,'Vendor Months'!$A$6:$A$3965,$AS$1,'Vendor Months'!$C$6:$C$3965,A62,'Vendor Months'!$J$6:$J$3965,"CTMS")</f>
        <v>0</v>
      </c>
      <c r="Z62" s="10" t="n">
        <f aca="false">SUM(N62:Y62)</f>
        <v>24497.5931088958</v>
      </c>
      <c r="AA62" s="10" t="n">
        <f aca="false">(SUM(K62:M62)+Z62)*Assumptions!$D$12</f>
        <v>33608.3948703344</v>
      </c>
      <c r="AB62" s="10" t="n">
        <f aca="false">AD62*Assumptions!$D$29</f>
        <v>2011.35539624027</v>
      </c>
      <c r="AC62" s="10" t="n">
        <f aca="false">SUM(K62:M62)+Z62+AA62+AB62</f>
        <v>259675.716068804</v>
      </c>
      <c r="AD62" s="10" t="n">
        <f aca="false">D62*Assumptions!$D$17</f>
        <v>67045.1798746756</v>
      </c>
      <c r="AE62" s="10" t="n">
        <f aca="false">AD62*12</f>
        <v>804542.158496107</v>
      </c>
      <c r="AF62" s="10" t="n">
        <f aca="false">AC62-AD62</f>
        <v>192630.536194128</v>
      </c>
      <c r="AG62" s="10" t="n">
        <f aca="false">IF(A62=Assumptions!$D$7,Assumptions!$D$8,0)</f>
        <v>0</v>
      </c>
      <c r="AH62" s="10" t="n">
        <f aca="false">AI61</f>
        <v>-4711095.56481936</v>
      </c>
      <c r="AI62" s="10" t="n">
        <f aca="false">AH62+AG62-AF62</f>
        <v>-4903726.10101349</v>
      </c>
      <c r="AJ62" s="10" t="n">
        <f aca="false">SUM($AC$6:AC62)</f>
        <v>10130003.2934206</v>
      </c>
      <c r="AK62" s="10" t="n">
        <f aca="false">MAX(0,-AI62)</f>
        <v>4903726.10101349</v>
      </c>
      <c r="AL62" s="10" t="n">
        <f aca="false">Assumptions!$D$6+SUM($AG$6:AG62)-AJ62</f>
        <v>-6130003.2934206</v>
      </c>
      <c r="AM62" s="10" t="n">
        <f aca="false">SUMIFS('Vendor Months'!$H$6:$H$3965,'Vendor Months'!$A$6:$A$3965,$AS$1,'Vendor Months'!$C$6:$C$3965,A62)</f>
        <v>15588.2970185</v>
      </c>
      <c r="AN62" s="10" t="n">
        <f aca="false">X62+Y62</f>
        <v>0</v>
      </c>
      <c r="AO62" s="10" t="n">
        <f aca="false">SUMIFS('Staff Months'!$I$6:$I$2345,'Staff Months'!$A$6:$A$2345,$AS$1,'Staff Months'!$C$6:$C$2345,A62)</f>
        <v>17547.8784</v>
      </c>
      <c r="AP62" s="10" t="n">
        <f aca="false">SUM($AF$6:AF62)</f>
        <v>8903726.10101349</v>
      </c>
      <c r="AQ62" s="10" t="n">
        <f aca="false">AC62</f>
        <v>259675.716068804</v>
      </c>
      <c r="AR62" s="26" t="n">
        <f aca="false">IF(AI62&lt;0,1,0)</f>
        <v>1</v>
      </c>
      <c r="AS62" s="6"/>
    </row>
    <row r="63" customFormat="false" ht="15" hidden="false" customHeight="false" outlineLevel="0" collapsed="false">
      <c r="A63" s="6" t="n">
        <v>58</v>
      </c>
      <c r="B63" s="25" t="n">
        <f aca="false">EDATE('Start Here'!$B$6,A63-1)</f>
        <v>48061</v>
      </c>
      <c r="C63" s="11" t="n">
        <f aca="false">IF(A63&gt;=Assumptions!$D$13,Assumptions!$D$14*(1+Assumptions!$D$15)^INT((A63-Assumptions!$D$13)/12),0)</f>
        <v>3.375</v>
      </c>
      <c r="D63" s="11" t="n">
        <f aca="false">D62*(1-Assumptions!$D$16)+C63</f>
        <v>77.1246978621432</v>
      </c>
      <c r="E63" s="11" t="n">
        <f aca="false">D63*Assumptions!$D$18</f>
        <v>1156.87046793215</v>
      </c>
      <c r="F63" s="11" t="n">
        <f aca="false">E63*Assumptions!$D$19*30/1000000</f>
        <v>5.20591710569466</v>
      </c>
      <c r="G63" s="11" t="n">
        <f aca="false">D63*Assumptions!$D$20</f>
        <v>385.623489310716</v>
      </c>
      <c r="H63" s="11" t="n">
        <f aca="false">D63*Assumptions!$D$21</f>
        <v>77.1246978621432</v>
      </c>
      <c r="I63" s="11" t="n">
        <f aca="false">SUMIFS('Staff Months'!$E$6:$E$2345,'Staff Months'!$A$6:$A$2345,$AS$1,'Staff Months'!$C$6:$C$2345,A63)</f>
        <v>12.5</v>
      </c>
      <c r="J63" s="11" t="n">
        <f aca="false">SUMIFS('Staff Months'!$L$6:$L$2345,'Staff Months'!$A$6:$A$2345,$AS$1,'Staff Months'!$C$6:$C$2345,A63)</f>
        <v>13</v>
      </c>
      <c r="K63" s="10" t="n">
        <f aca="false">SUMIFS('Staff Months'!$H$6:$H$2345,'Staff Months'!$A$6:$A$2345,$AS$1,'Staff Months'!$C$6:$C$2345,A63)</f>
        <v>199558.372693333</v>
      </c>
      <c r="L63" s="10" t="n">
        <f aca="false">SUMIFS('Staff Months'!$J$6:$J$2345,'Staff Months'!$A$6:$A$2345,$AS$1,'Staff Months'!$C$6:$C$2345,A63)</f>
        <v>0</v>
      </c>
      <c r="M63" s="10" t="n">
        <f aca="false">SUMIFS('Staff Months'!$K$6:$K$2345,'Staff Months'!$A$6:$A$2345,$AS$1,'Staff Months'!$C$6:$C$2345,A63)</f>
        <v>0</v>
      </c>
      <c r="N63" s="10" t="n">
        <f aca="false">SUMIFS('Vendor Months'!$G$6:$G$3965,'Vendor Months'!$A$6:$A$3965,$AS$1,'Vendor Months'!$C$6:$C$3965,A63,'Vendor Months'!$J$6:$J$3965,"INFRA")</f>
        <v>2081.79120924415</v>
      </c>
      <c r="O63" s="10" t="n">
        <f aca="false">SUMIFS('Vendor Months'!$G$6:$G$3965,'Vendor Months'!$A$6:$A$3965,$AS$1,'Vendor Months'!$C$6:$C$3965,A63,'Vendor Months'!$J$6:$J$3965,"TOOLS")</f>
        <v>716.94911197</v>
      </c>
      <c r="P63" s="10" t="n">
        <f aca="false">SUMIFS('Vendor Months'!$G$6:$G$3965,'Vendor Months'!$A$6:$A$3965,$AS$1,'Vendor Months'!$C$6:$C$3965,A63,'Vendor Months'!$J$6:$J$3965,"LEGAL")</f>
        <v>0</v>
      </c>
      <c r="Q63" s="10" t="n">
        <f aca="false">SUMIFS('Vendor Months'!$G$6:$G$3965,'Vendor Months'!$A$6:$A$3965,$AS$1,'Vendor Months'!$C$6:$C$3965,A63,'Vendor Months'!$J$6:$J$3965,"SECURITY")</f>
        <v>20259.15858</v>
      </c>
      <c r="R63" s="10" t="n">
        <f aca="false">SUMIFS('Vendor Months'!$G$6:$G$3965,'Vendor Months'!$A$6:$A$3965,$AS$1,'Vendor Months'!$C$6:$C$3965,A63,'Vendor Months'!$J$6:$J$3965,"COMPLIANCE")</f>
        <v>0</v>
      </c>
      <c r="S63" s="10" t="n">
        <f aca="false">SUMIFS('Vendor Months'!$G$6:$G$3965,'Vendor Months'!$A$6:$A$3965,$AS$1,'Vendor Months'!$C$6:$C$3965,A63,'Vendor Months'!$J$6:$J$3965,"INSURANCE")</f>
        <v>0</v>
      </c>
      <c r="T63" s="10" t="n">
        <f aca="false">SUMIFS('Vendor Months'!$G$6:$G$3965,'Vendor Months'!$A$6:$A$3965,$AS$1,'Vendor Months'!$C$6:$C$3965,A63,'Vendor Months'!$J$6:$J$3965,"ACCOUNTING")</f>
        <v>675.305286</v>
      </c>
      <c r="U63" s="10" t="n">
        <f aca="false">SUMIFS('Vendor Months'!$G$6:$G$3965,'Vendor Months'!$A$6:$A$3965,$AS$1,'Vendor Months'!$C$6:$C$3965,A63,'Vendor Months'!$J$6:$J$3965,"SUPPORT")</f>
        <v>112.550881</v>
      </c>
      <c r="V63" s="10" t="n">
        <f aca="false">SUMIFS('Vendor Months'!$G$6:$G$3965,'Vendor Months'!$A$6:$A$3965,$AS$1,'Vendor Months'!$C$6:$C$3965,A63,'Vendor Months'!$J$6:$J$3965,"MARKETING")</f>
        <v>6510.33951843227</v>
      </c>
      <c r="W63" s="10" t="n">
        <f aca="false">SUMIFS('Vendor Months'!$G$6:$G$3965,'Vendor Months'!$A$6:$A$3965,$AS$1,'Vendor Months'!$C$6:$C$3965,A63,'Vendor Months'!$J$6:$J$3965,"ONBOARD")</f>
        <v>1139.577670125</v>
      </c>
      <c r="X63" s="10" t="n">
        <f aca="false">SUMIFS('Vendor Months'!$G$6:$G$3965,'Vendor Months'!$A$6:$A$3965,$AS$1,'Vendor Months'!$C$6:$C$3965,A63,'Vendor Months'!$J$6:$J$3965,"AI")</f>
        <v>0</v>
      </c>
      <c r="Y63" s="10" t="n">
        <f aca="false">SUMIFS('Vendor Months'!$G$6:$G$3965,'Vendor Months'!$A$6:$A$3965,$AS$1,'Vendor Months'!$C$6:$C$3965,A63,'Vendor Months'!$J$6:$J$3965,"CTMS")</f>
        <v>0</v>
      </c>
      <c r="Z63" s="10" t="n">
        <f aca="false">SUM(N63:Y63)</f>
        <v>31495.6722567714</v>
      </c>
      <c r="AA63" s="10" t="n">
        <f aca="false">(SUM(K63:M63)+Z63)*Assumptions!$D$12</f>
        <v>34658.1067425157</v>
      </c>
      <c r="AB63" s="10" t="n">
        <f aca="false">AD63*Assumptions!$D$29</f>
        <v>2082.36684227787</v>
      </c>
      <c r="AC63" s="10" t="n">
        <f aca="false">SUM(K63:M63)+Z63+AA63+AB63</f>
        <v>267794.518534898</v>
      </c>
      <c r="AD63" s="10" t="n">
        <f aca="false">D63*Assumptions!$D$17</f>
        <v>69412.2280759288</v>
      </c>
      <c r="AE63" s="10" t="n">
        <f aca="false">AD63*12</f>
        <v>832946.736911146</v>
      </c>
      <c r="AF63" s="10" t="n">
        <f aca="false">AC63-AD63</f>
        <v>198382.29045897</v>
      </c>
      <c r="AG63" s="10" t="n">
        <f aca="false">IF(A63=Assumptions!$D$7,Assumptions!$D$8,0)</f>
        <v>0</v>
      </c>
      <c r="AH63" s="10" t="n">
        <f aca="false">AI62</f>
        <v>-4903726.10101349</v>
      </c>
      <c r="AI63" s="10" t="n">
        <f aca="false">AH63+AG63-AF63</f>
        <v>-5102108.39147246</v>
      </c>
      <c r="AJ63" s="10" t="n">
        <f aca="false">SUM($AC$6:AC63)</f>
        <v>10397797.8119555</v>
      </c>
      <c r="AK63" s="10" t="n">
        <f aca="false">MAX(0,-AI63)</f>
        <v>5102108.39147246</v>
      </c>
      <c r="AL63" s="10" t="n">
        <f aca="false">Assumptions!$D$6+SUM($AG$6:AG63)-AJ63</f>
        <v>-6397797.8119555</v>
      </c>
      <c r="AM63" s="10" t="n">
        <f aca="false">SUMIFS('Vendor Months'!$H$6:$H$3965,'Vendor Months'!$A$6:$A$3965,$AS$1,'Vendor Months'!$C$6:$C$3965,A63)</f>
        <v>22341.3498785</v>
      </c>
      <c r="AN63" s="10" t="n">
        <f aca="false">X63+Y63</f>
        <v>0</v>
      </c>
      <c r="AO63" s="10" t="n">
        <f aca="false">SUMIFS('Staff Months'!$I$6:$I$2345,'Staff Months'!$A$6:$A$2345,$AS$1,'Staff Months'!$C$6:$C$2345,A63)</f>
        <v>17547.8784</v>
      </c>
      <c r="AP63" s="10" t="n">
        <f aca="false">SUM($AF$6:AF63)</f>
        <v>9102108.39147246</v>
      </c>
      <c r="AQ63" s="10" t="n">
        <f aca="false">AC63</f>
        <v>267794.518534898</v>
      </c>
      <c r="AR63" s="26" t="n">
        <f aca="false">IF(AI63&lt;0,1,0)</f>
        <v>1</v>
      </c>
      <c r="AS63" s="6"/>
    </row>
    <row r="64" customFormat="false" ht="15" hidden="false" customHeight="false" outlineLevel="0" collapsed="false">
      <c r="A64" s="6" t="n">
        <v>59</v>
      </c>
      <c r="B64" s="25" t="n">
        <f aca="false">EDATE('Start Here'!$B$6,A64-1)</f>
        <v>48092</v>
      </c>
      <c r="C64" s="11" t="n">
        <f aca="false">IF(A64&gt;=Assumptions!$D$13,Assumptions!$D$14*(1+Assumptions!$D$15)^INT((A64-Assumptions!$D$13)/12),0)</f>
        <v>3.375</v>
      </c>
      <c r="D64" s="11" t="n">
        <f aca="false">D63*(1-Assumptions!$D$16)+C64</f>
        <v>79.7284508835217</v>
      </c>
      <c r="E64" s="11" t="n">
        <f aca="false">D64*Assumptions!$D$18</f>
        <v>1195.92676325283</v>
      </c>
      <c r="F64" s="11" t="n">
        <f aca="false">E64*Assumptions!$D$19*30/1000000</f>
        <v>5.38167043463772</v>
      </c>
      <c r="G64" s="11" t="n">
        <f aca="false">D64*Assumptions!$D$20</f>
        <v>398.642254417609</v>
      </c>
      <c r="H64" s="11" t="n">
        <f aca="false">D64*Assumptions!$D$21</f>
        <v>79.7284508835217</v>
      </c>
      <c r="I64" s="11" t="n">
        <f aca="false">SUMIFS('Staff Months'!$E$6:$E$2345,'Staff Months'!$A$6:$A$2345,$AS$1,'Staff Months'!$C$6:$C$2345,A64)</f>
        <v>12.5</v>
      </c>
      <c r="J64" s="11" t="n">
        <f aca="false">SUMIFS('Staff Months'!$L$6:$L$2345,'Staff Months'!$A$6:$A$2345,$AS$1,'Staff Months'!$C$6:$C$2345,A64)</f>
        <v>13</v>
      </c>
      <c r="K64" s="10" t="n">
        <f aca="false">SUMIFS('Staff Months'!$H$6:$H$2345,'Staff Months'!$A$6:$A$2345,$AS$1,'Staff Months'!$C$6:$C$2345,A64)</f>
        <v>199558.372693333</v>
      </c>
      <c r="L64" s="10" t="n">
        <f aca="false">SUMIFS('Staff Months'!$J$6:$J$2345,'Staff Months'!$A$6:$A$2345,$AS$1,'Staff Months'!$C$6:$C$2345,A64)</f>
        <v>0</v>
      </c>
      <c r="M64" s="10" t="n">
        <f aca="false">SUMIFS('Staff Months'!$K$6:$K$2345,'Staff Months'!$A$6:$A$2345,$AS$1,'Staff Months'!$C$6:$C$2345,A64)</f>
        <v>0</v>
      </c>
      <c r="N64" s="10" t="n">
        <f aca="false">SUMIFS('Vendor Months'!$G$6:$G$3965,'Vendor Months'!$A$6:$A$3965,$AS$1,'Vendor Months'!$C$6:$C$3965,A64,'Vendor Months'!$J$6:$J$3965,"INFRA")</f>
        <v>2104.57621189411</v>
      </c>
      <c r="O64" s="10" t="n">
        <f aca="false">SUMIFS('Vendor Months'!$G$6:$G$3965,'Vendor Months'!$A$6:$A$3965,$AS$1,'Vendor Months'!$C$6:$C$3965,A64,'Vendor Months'!$J$6:$J$3965,"TOOLS")</f>
        <v>716.94911197</v>
      </c>
      <c r="P64" s="10" t="n">
        <f aca="false">SUMIFS('Vendor Months'!$G$6:$G$3965,'Vendor Months'!$A$6:$A$3965,$AS$1,'Vendor Months'!$C$6:$C$3965,A64,'Vendor Months'!$J$6:$J$3965,"LEGAL")</f>
        <v>0</v>
      </c>
      <c r="Q64" s="10" t="n">
        <f aca="false">SUMIFS('Vendor Months'!$G$6:$G$3965,'Vendor Months'!$A$6:$A$3965,$AS$1,'Vendor Months'!$C$6:$C$3965,A64,'Vendor Months'!$J$6:$J$3965,"SECURITY")</f>
        <v>0</v>
      </c>
      <c r="R64" s="10" t="n">
        <f aca="false">SUMIFS('Vendor Months'!$G$6:$G$3965,'Vendor Months'!$A$6:$A$3965,$AS$1,'Vendor Months'!$C$6:$C$3965,A64,'Vendor Months'!$J$6:$J$3965,"COMPLIANCE")</f>
        <v>16882.63215</v>
      </c>
      <c r="S64" s="10" t="n">
        <f aca="false">SUMIFS('Vendor Months'!$G$6:$G$3965,'Vendor Months'!$A$6:$A$3965,$AS$1,'Vendor Months'!$C$6:$C$3965,A64,'Vendor Months'!$J$6:$J$3965,"INSURANCE")</f>
        <v>0</v>
      </c>
      <c r="T64" s="10" t="n">
        <f aca="false">SUMIFS('Vendor Months'!$G$6:$G$3965,'Vendor Months'!$A$6:$A$3965,$AS$1,'Vendor Months'!$C$6:$C$3965,A64,'Vendor Months'!$J$6:$J$3965,"ACCOUNTING")</f>
        <v>675.305286</v>
      </c>
      <c r="U64" s="10" t="n">
        <f aca="false">SUMIFS('Vendor Months'!$G$6:$G$3965,'Vendor Months'!$A$6:$A$3965,$AS$1,'Vendor Months'!$C$6:$C$3965,A64,'Vendor Months'!$J$6:$J$3965,"SUPPORT")</f>
        <v>112.550881</v>
      </c>
      <c r="V64" s="10" t="n">
        <f aca="false">SUMIFS('Vendor Months'!$G$6:$G$3965,'Vendor Months'!$A$6:$A$3965,$AS$1,'Vendor Months'!$C$6:$C$3965,A64,'Vendor Months'!$J$6:$J$3965,"MARKETING")</f>
        <v>6730.1305407792</v>
      </c>
      <c r="W64" s="10" t="n">
        <f aca="false">SUMIFS('Vendor Months'!$G$6:$G$3965,'Vendor Months'!$A$6:$A$3965,$AS$1,'Vendor Months'!$C$6:$C$3965,A64,'Vendor Months'!$J$6:$J$3965,"ONBOARD")</f>
        <v>1139.577670125</v>
      </c>
      <c r="X64" s="10" t="n">
        <f aca="false">SUMIFS('Vendor Months'!$G$6:$G$3965,'Vendor Months'!$A$6:$A$3965,$AS$1,'Vendor Months'!$C$6:$C$3965,A64,'Vendor Months'!$J$6:$J$3965,"AI")</f>
        <v>0</v>
      </c>
      <c r="Y64" s="10" t="n">
        <f aca="false">SUMIFS('Vendor Months'!$G$6:$G$3965,'Vendor Months'!$A$6:$A$3965,$AS$1,'Vendor Months'!$C$6:$C$3965,A64,'Vendor Months'!$J$6:$J$3965,"CTMS")</f>
        <v>0</v>
      </c>
      <c r="Z64" s="10" t="n">
        <f aca="false">SUM(N64:Y64)</f>
        <v>28361.7218517683</v>
      </c>
      <c r="AA64" s="10" t="n">
        <f aca="false">(SUM(K64:M64)+Z64)*Assumptions!$D$12</f>
        <v>34188.0141817653</v>
      </c>
      <c r="AB64" s="10" t="n">
        <f aca="false">AD64*Assumptions!$D$29</f>
        <v>2152.66817385509</v>
      </c>
      <c r="AC64" s="10" t="n">
        <f aca="false">SUM(K64:M64)+Z64+AA64+AB64</f>
        <v>264260.776900722</v>
      </c>
      <c r="AD64" s="10" t="n">
        <f aca="false">D64*Assumptions!$D$17</f>
        <v>71755.6057951695</v>
      </c>
      <c r="AE64" s="10" t="n">
        <f aca="false">AD64*12</f>
        <v>861067.269542035</v>
      </c>
      <c r="AF64" s="10" t="n">
        <f aca="false">AC64-AD64</f>
        <v>192505.171105553</v>
      </c>
      <c r="AG64" s="10" t="n">
        <f aca="false">IF(A64=Assumptions!$D$7,Assumptions!$D$8,0)</f>
        <v>0</v>
      </c>
      <c r="AH64" s="10" t="n">
        <f aca="false">AI63</f>
        <v>-5102108.39147246</v>
      </c>
      <c r="AI64" s="10" t="n">
        <f aca="false">AH64+AG64-AF64</f>
        <v>-5294613.56257801</v>
      </c>
      <c r="AJ64" s="10" t="n">
        <f aca="false">SUM($AC$6:AC64)</f>
        <v>10662058.5888562</v>
      </c>
      <c r="AK64" s="10" t="n">
        <f aca="false">MAX(0,-AI64)</f>
        <v>5294613.56257801</v>
      </c>
      <c r="AL64" s="10" t="n">
        <f aca="false">Assumptions!$D$6+SUM($AG$6:AG64)-AJ64</f>
        <v>-6662058.58885622</v>
      </c>
      <c r="AM64" s="10" t="n">
        <f aca="false">SUMIFS('Vendor Months'!$H$6:$H$3965,'Vendor Months'!$A$6:$A$3965,$AS$1,'Vendor Months'!$C$6:$C$3965,A64)</f>
        <v>18964.8234485</v>
      </c>
      <c r="AN64" s="10" t="n">
        <f aca="false">X64+Y64</f>
        <v>0</v>
      </c>
      <c r="AO64" s="10" t="n">
        <f aca="false">SUMIFS('Staff Months'!$I$6:$I$2345,'Staff Months'!$A$6:$A$2345,$AS$1,'Staff Months'!$C$6:$C$2345,A64)</f>
        <v>17547.8784</v>
      </c>
      <c r="AP64" s="10" t="n">
        <f aca="false">SUM($AF$6:AF64)</f>
        <v>9294613.56257801</v>
      </c>
      <c r="AQ64" s="10" t="n">
        <f aca="false">AC64</f>
        <v>264260.776900722</v>
      </c>
      <c r="AR64" s="26" t="n">
        <f aca="false">IF(AI64&lt;0,1,0)</f>
        <v>1</v>
      </c>
      <c r="AS64" s="6"/>
    </row>
    <row r="65" customFormat="false" ht="15" hidden="false" customHeight="false" outlineLevel="0" collapsed="false">
      <c r="A65" s="6" t="n">
        <v>60</v>
      </c>
      <c r="B65" s="25" t="n">
        <f aca="false">EDATE('Start Here'!$B$6,A65-1)</f>
        <v>48122</v>
      </c>
      <c r="C65" s="11" t="n">
        <f aca="false">IF(A65&gt;=Assumptions!$D$13,Assumptions!$D$14*(1+Assumptions!$D$15)^INT((A65-Assumptions!$D$13)/12),0)</f>
        <v>3.375</v>
      </c>
      <c r="D65" s="11" t="n">
        <f aca="false">D64*(1-Assumptions!$D$16)+C65</f>
        <v>82.3061663746865</v>
      </c>
      <c r="E65" s="11" t="n">
        <f aca="false">D65*Assumptions!$D$18</f>
        <v>1234.5924956203</v>
      </c>
      <c r="F65" s="11" t="n">
        <f aca="false">E65*Assumptions!$D$19*30/1000000</f>
        <v>5.55566623029134</v>
      </c>
      <c r="G65" s="11" t="n">
        <f aca="false">D65*Assumptions!$D$20</f>
        <v>411.530831873433</v>
      </c>
      <c r="H65" s="11" t="n">
        <f aca="false">D65*Assumptions!$D$21</f>
        <v>82.3061663746865</v>
      </c>
      <c r="I65" s="11" t="n">
        <f aca="false">SUMIFS('Staff Months'!$E$6:$E$2345,'Staff Months'!$A$6:$A$2345,$AS$1,'Staff Months'!$C$6:$C$2345,A65)</f>
        <v>12.5</v>
      </c>
      <c r="J65" s="11" t="n">
        <f aca="false">SUMIFS('Staff Months'!$L$6:$L$2345,'Staff Months'!$A$6:$A$2345,$AS$1,'Staff Months'!$C$6:$C$2345,A65)</f>
        <v>13</v>
      </c>
      <c r="K65" s="10" t="n">
        <f aca="false">SUMIFS('Staff Months'!$H$6:$H$2345,'Staff Months'!$A$6:$A$2345,$AS$1,'Staff Months'!$C$6:$C$2345,A65)</f>
        <v>199558.372693333</v>
      </c>
      <c r="L65" s="10" t="n">
        <f aca="false">SUMIFS('Staff Months'!$J$6:$J$2345,'Staff Months'!$A$6:$A$2345,$AS$1,'Staff Months'!$C$6:$C$2345,A65)</f>
        <v>0</v>
      </c>
      <c r="M65" s="10" t="n">
        <f aca="false">SUMIFS('Staff Months'!$K$6:$K$2345,'Staff Months'!$A$6:$A$2345,$AS$1,'Staff Months'!$C$6:$C$2345,A65)</f>
        <v>0</v>
      </c>
      <c r="N65" s="10" t="n">
        <f aca="false">SUMIFS('Vendor Months'!$G$6:$G$3965,'Vendor Months'!$A$6:$A$3965,$AS$1,'Vendor Months'!$C$6:$C$3965,A65,'Vendor Months'!$J$6:$J$3965,"INFRA")</f>
        <v>2127.13336451758</v>
      </c>
      <c r="O65" s="10" t="n">
        <f aca="false">SUMIFS('Vendor Months'!$G$6:$G$3965,'Vendor Months'!$A$6:$A$3965,$AS$1,'Vendor Months'!$C$6:$C$3965,A65,'Vendor Months'!$J$6:$J$3965,"TOOLS")</f>
        <v>716.94911197</v>
      </c>
      <c r="P65" s="10" t="n">
        <f aca="false">SUMIFS('Vendor Months'!$G$6:$G$3965,'Vendor Months'!$A$6:$A$3965,$AS$1,'Vendor Months'!$C$6:$C$3965,A65,'Vendor Months'!$J$6:$J$3965,"LEGAL")</f>
        <v>0</v>
      </c>
      <c r="Q65" s="10" t="n">
        <f aca="false">SUMIFS('Vendor Months'!$G$6:$G$3965,'Vendor Months'!$A$6:$A$3965,$AS$1,'Vendor Months'!$C$6:$C$3965,A65,'Vendor Months'!$J$6:$J$3965,"SECURITY")</f>
        <v>0</v>
      </c>
      <c r="R65" s="10" t="n">
        <f aca="false">SUMIFS('Vendor Months'!$G$6:$G$3965,'Vendor Months'!$A$6:$A$3965,$AS$1,'Vendor Months'!$C$6:$C$3965,A65,'Vendor Months'!$J$6:$J$3965,"COMPLIANCE")</f>
        <v>0</v>
      </c>
      <c r="S65" s="10" t="n">
        <f aca="false">SUMIFS('Vendor Months'!$G$6:$G$3965,'Vendor Months'!$A$6:$A$3965,$AS$1,'Vendor Months'!$C$6:$C$3965,A65,'Vendor Months'!$J$6:$J$3965,"INSURANCE")</f>
        <v>0</v>
      </c>
      <c r="T65" s="10" t="n">
        <f aca="false">SUMIFS('Vendor Months'!$G$6:$G$3965,'Vendor Months'!$A$6:$A$3965,$AS$1,'Vendor Months'!$C$6:$C$3965,A65,'Vendor Months'!$J$6:$J$3965,"ACCOUNTING")</f>
        <v>675.305286</v>
      </c>
      <c r="U65" s="10" t="n">
        <f aca="false">SUMIFS('Vendor Months'!$G$6:$G$3965,'Vendor Months'!$A$6:$A$3965,$AS$1,'Vendor Months'!$C$6:$C$3965,A65,'Vendor Months'!$J$6:$J$3965,"SUPPORT")</f>
        <v>112.550881</v>
      </c>
      <c r="V65" s="10" t="n">
        <f aca="false">SUMIFS('Vendor Months'!$G$6:$G$3965,'Vendor Months'!$A$6:$A$3965,$AS$1,'Vendor Months'!$C$6:$C$3965,A65,'Vendor Months'!$J$6:$J$3965,"MARKETING")</f>
        <v>6947.72365290266</v>
      </c>
      <c r="W65" s="10" t="n">
        <f aca="false">SUMIFS('Vendor Months'!$G$6:$G$3965,'Vendor Months'!$A$6:$A$3965,$AS$1,'Vendor Months'!$C$6:$C$3965,A65,'Vendor Months'!$J$6:$J$3965,"ONBOARD")</f>
        <v>1139.577670125</v>
      </c>
      <c r="X65" s="10" t="n">
        <f aca="false">SUMIFS('Vendor Months'!$G$6:$G$3965,'Vendor Months'!$A$6:$A$3965,$AS$1,'Vendor Months'!$C$6:$C$3965,A65,'Vendor Months'!$J$6:$J$3965,"AI")</f>
        <v>0</v>
      </c>
      <c r="Y65" s="10" t="n">
        <f aca="false">SUMIFS('Vendor Months'!$G$6:$G$3965,'Vendor Months'!$A$6:$A$3965,$AS$1,'Vendor Months'!$C$6:$C$3965,A65,'Vendor Months'!$J$6:$J$3965,"CTMS")</f>
        <v>0</v>
      </c>
      <c r="Z65" s="10" t="n">
        <f aca="false">SUM(N65:Y65)</f>
        <v>11719.2399665152</v>
      </c>
      <c r="AA65" s="10" t="n">
        <f aca="false">(SUM(K65:M65)+Z65)*Assumptions!$D$12</f>
        <v>31691.6418989773</v>
      </c>
      <c r="AB65" s="10" t="n">
        <f aca="false">AD65*Assumptions!$D$29</f>
        <v>2222.26649211654</v>
      </c>
      <c r="AC65" s="10" t="n">
        <f aca="false">SUM(K65:M65)+Z65+AA65+AB65</f>
        <v>245191.521050942</v>
      </c>
      <c r="AD65" s="10" t="n">
        <f aca="false">D65*Assumptions!$D$17</f>
        <v>74075.5497372179</v>
      </c>
      <c r="AE65" s="10" t="n">
        <f aca="false">AD65*12</f>
        <v>888906.596846614</v>
      </c>
      <c r="AF65" s="10" t="n">
        <f aca="false">AC65-AD65</f>
        <v>171115.971313725</v>
      </c>
      <c r="AG65" s="10" t="n">
        <f aca="false">IF(A65=Assumptions!$D$7,Assumptions!$D$8,0)</f>
        <v>0</v>
      </c>
      <c r="AH65" s="10" t="n">
        <f aca="false">AI64</f>
        <v>-5294613.56257801</v>
      </c>
      <c r="AI65" s="10" t="n">
        <f aca="false">AH65+AG65-AF65</f>
        <v>-5465729.53389173</v>
      </c>
      <c r="AJ65" s="10" t="n">
        <f aca="false">SUM($AC$6:AC65)</f>
        <v>10907250.1099072</v>
      </c>
      <c r="AK65" s="10" t="n">
        <f aca="false">MAX(0,-AI65)</f>
        <v>5465729.53389173</v>
      </c>
      <c r="AL65" s="10" t="n">
        <f aca="false">Assumptions!$D$6+SUM($AG$6:AG65)-AJ65</f>
        <v>-6907250.10990717</v>
      </c>
      <c r="AM65" s="10" t="n">
        <f aca="false">SUMIFS('Vendor Months'!$H$6:$H$3965,'Vendor Months'!$A$6:$A$3965,$AS$1,'Vendor Months'!$C$6:$C$3965,A65)</f>
        <v>2082.1912985</v>
      </c>
      <c r="AN65" s="10" t="n">
        <f aca="false">X65+Y65</f>
        <v>0</v>
      </c>
      <c r="AO65" s="10" t="n">
        <f aca="false">SUMIFS('Staff Months'!$I$6:$I$2345,'Staff Months'!$A$6:$A$2345,$AS$1,'Staff Months'!$C$6:$C$2345,A65)</f>
        <v>17547.8784</v>
      </c>
      <c r="AP65" s="10" t="n">
        <f aca="false">SUM($AF$6:AF65)</f>
        <v>9465729.53389173</v>
      </c>
      <c r="AQ65" s="10" t="n">
        <f aca="false">AC65</f>
        <v>245191.521050942</v>
      </c>
      <c r="AR65" s="26" t="n">
        <f aca="false">IF(AI65&lt;0,1,0)</f>
        <v>1</v>
      </c>
      <c r="AS65" s="6"/>
    </row>
  </sheetData>
  <autoFilter ref="A5:AS65"/>
  <mergeCells count="1">
    <mergeCell ref="A2:H2"/>
  </mergeCells>
  <conditionalFormatting sqref="AI6:AI65">
    <cfRule type="cellIs" priority="2" operator="lessThan" aboveAverage="0" equalAverage="0" bottom="0" percent="0" rank="0" text="" dxfId="12">
      <formula>0</formula>
    </cfRule>
  </conditionalFormatting>
  <conditionalFormatting sqref="AL6:AL65">
    <cfRule type="cellIs" priority="3" operator="lessThan" aboveAverage="0" equalAverage="0" bottom="0" percent="0" rank="0" text="" dxfId="12">
      <formula>0</formula>
    </cfRule>
  </conditionalFormatting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4" min="1" style="0" width="20"/>
    <col collapsed="false" customWidth="true" hidden="true" outlineLevel="1" max="8" min="5" style="0" width="20"/>
    <col collapsed="false" customWidth="true" hidden="false" outlineLevel="0" max="11" min="9" style="0" width="20"/>
    <col collapsed="false" customWidth="true" hidden="true" outlineLevel="1" max="25" min="12" style="0" width="20"/>
    <col collapsed="false" customWidth="true" hidden="false" outlineLevel="0" max="35" min="26" style="0" width="20"/>
    <col collapsed="false" customWidth="true" hidden="true" outlineLevel="1" max="44" min="36" style="0" width="20"/>
    <col collapsed="false" customWidth="true" hidden="true" outlineLevel="0" max="45" min="45" style="0" width="20"/>
  </cols>
  <sheetData>
    <row r="1" customFormat="false" ht="28.5" hidden="false" customHeight="true" outlineLevel="0" collapsed="false">
      <c r="A1" s="1" t="s">
        <v>1030</v>
      </c>
      <c r="AS1" s="5" t="s">
        <v>73</v>
      </c>
    </row>
    <row r="2" customFormat="false" ht="43.5" hidden="false" customHeight="true" outlineLevel="0" collapsed="false">
      <c r="A2" s="2" t="s">
        <v>1005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996</v>
      </c>
      <c r="B5" s="13" t="s">
        <v>997</v>
      </c>
      <c r="C5" s="13" t="s">
        <v>1006</v>
      </c>
      <c r="D5" s="13" t="s">
        <v>1007</v>
      </c>
      <c r="E5" s="13" t="s">
        <v>1008</v>
      </c>
      <c r="F5" s="13" t="s">
        <v>1009</v>
      </c>
      <c r="G5" s="13" t="s">
        <v>1010</v>
      </c>
      <c r="H5" s="13" t="s">
        <v>1011</v>
      </c>
      <c r="I5" s="13" t="s">
        <v>1012</v>
      </c>
      <c r="J5" s="13" t="s">
        <v>1003</v>
      </c>
      <c r="K5" s="13" t="s">
        <v>33</v>
      </c>
      <c r="L5" s="13" t="s">
        <v>35</v>
      </c>
      <c r="M5" s="13" t="s">
        <v>37</v>
      </c>
      <c r="N5" s="13" t="s">
        <v>39</v>
      </c>
      <c r="O5" s="13" t="s">
        <v>41</v>
      </c>
      <c r="P5" s="13" t="s">
        <v>43</v>
      </c>
      <c r="Q5" s="13" t="s">
        <v>45</v>
      </c>
      <c r="R5" s="13" t="s">
        <v>47</v>
      </c>
      <c r="S5" s="13" t="s">
        <v>49</v>
      </c>
      <c r="T5" s="13" t="s">
        <v>51</v>
      </c>
      <c r="U5" s="13" t="s">
        <v>53</v>
      </c>
      <c r="V5" s="13" t="s">
        <v>55</v>
      </c>
      <c r="W5" s="13" t="s">
        <v>57</v>
      </c>
      <c r="X5" s="13" t="s">
        <v>59</v>
      </c>
      <c r="Y5" s="13" t="s">
        <v>61</v>
      </c>
      <c r="Z5" s="13" t="s">
        <v>1013</v>
      </c>
      <c r="AA5" s="13" t="s">
        <v>63</v>
      </c>
      <c r="AB5" s="13" t="s">
        <v>65</v>
      </c>
      <c r="AC5" s="13" t="s">
        <v>1014</v>
      </c>
      <c r="AD5" s="13" t="s">
        <v>1015</v>
      </c>
      <c r="AE5" s="13" t="s">
        <v>1016</v>
      </c>
      <c r="AF5" s="13" t="s">
        <v>1017</v>
      </c>
      <c r="AG5" s="13" t="s">
        <v>1018</v>
      </c>
      <c r="AH5" s="13" t="s">
        <v>1019</v>
      </c>
      <c r="AI5" s="13" t="s">
        <v>1020</v>
      </c>
      <c r="AJ5" s="13" t="s">
        <v>1021</v>
      </c>
      <c r="AK5" s="13" t="s">
        <v>1022</v>
      </c>
      <c r="AL5" s="13" t="s">
        <v>1023</v>
      </c>
      <c r="AM5" s="13" t="s">
        <v>1024</v>
      </c>
      <c r="AN5" s="13" t="s">
        <v>1025</v>
      </c>
      <c r="AO5" s="13" t="s">
        <v>1002</v>
      </c>
      <c r="AP5" s="13" t="s">
        <v>1026</v>
      </c>
      <c r="AQ5" s="13" t="s">
        <v>1027</v>
      </c>
      <c r="AR5" s="13" t="s">
        <v>1028</v>
      </c>
      <c r="AS5" s="5"/>
    </row>
    <row r="6" customFormat="false" ht="15" hidden="false" customHeight="false" outlineLevel="0" collapsed="false">
      <c r="A6" s="6" t="n">
        <v>1</v>
      </c>
      <c r="B6" s="25" t="n">
        <f aca="false">EDATE('Start Here'!$B$6,A6-1)</f>
        <v>46327</v>
      </c>
      <c r="C6" s="11" t="n">
        <f aca="false">IF(A6&gt;=Assumptions!$E$13,Assumptions!$E$14*(1+Assumptions!$E$15)^INT((A6-Assumptions!$E$13)/12),0)</f>
        <v>0</v>
      </c>
      <c r="D6" s="11" t="n">
        <f aca="false">0*(1-Assumptions!$E$16)+C6</f>
        <v>0</v>
      </c>
      <c r="E6" s="11" t="n">
        <f aca="false">D6*Assumptions!$E$18</f>
        <v>0</v>
      </c>
      <c r="F6" s="11" t="n">
        <f aca="false">E6*Assumptions!$E$19*30/1000000</f>
        <v>0</v>
      </c>
      <c r="G6" s="11" t="n">
        <f aca="false">D6*Assumptions!$E$20</f>
        <v>0</v>
      </c>
      <c r="H6" s="11" t="n">
        <f aca="false">D6*Assumptions!$E$21</f>
        <v>0</v>
      </c>
      <c r="I6" s="11" t="n">
        <f aca="false">SUMIFS('Staff Months'!$E$6:$E$2345,'Staff Months'!$A$6:$A$2345,$AS$1,'Staff Months'!$C$6:$C$2345,A6)</f>
        <v>2</v>
      </c>
      <c r="J6" s="11" t="n">
        <f aca="false">SUMIFS('Staff Months'!$L$6:$L$2345,'Staff Months'!$A$6:$A$2345,$AS$1,'Staff Months'!$C$6:$C$2345,A6)</f>
        <v>2</v>
      </c>
      <c r="K6" s="10" t="n">
        <f aca="false">SUMIFS('Staff Months'!$H$6:$H$2345,'Staff Months'!$A$6:$A$2345,$AS$1,'Staff Months'!$C$6:$C$2345,A6)</f>
        <v>19250</v>
      </c>
      <c r="L6" s="10" t="n">
        <f aca="false">SUMIFS('Staff Months'!$J$6:$J$2345,'Staff Months'!$A$6:$A$2345,$AS$1,'Staff Months'!$C$6:$C$2345,A6)</f>
        <v>12000</v>
      </c>
      <c r="M6" s="10" t="n">
        <f aca="false">SUMIFS('Staff Months'!$K$6:$K$2345,'Staff Months'!$A$6:$A$2345,$AS$1,'Staff Months'!$C$6:$C$2345,A6)</f>
        <v>7000</v>
      </c>
      <c r="N6" s="10" t="n">
        <f aca="false">SUMIFS('Vendor Months'!$G$6:$G$3965,'Vendor Months'!$A$6:$A$3965,$AS$1,'Vendor Months'!$C$6:$C$3965,A6,'Vendor Months'!$J$6:$J$3965,"INFRA")</f>
        <v>1250</v>
      </c>
      <c r="O6" s="10" t="n">
        <f aca="false">SUMIFS('Vendor Months'!$G$6:$G$3965,'Vendor Months'!$A$6:$A$3965,$AS$1,'Vendor Months'!$C$6:$C$3965,A6,'Vendor Months'!$J$6:$J$3965,"TOOLS")</f>
        <v>98</v>
      </c>
      <c r="P6" s="10" t="n">
        <f aca="false">SUMIFS('Vendor Months'!$G$6:$G$3965,'Vendor Months'!$A$6:$A$3965,$AS$1,'Vendor Months'!$C$6:$C$3965,A6,'Vendor Months'!$J$6:$J$3965,"LEGAL")</f>
        <v>0</v>
      </c>
      <c r="Q6" s="10" t="n">
        <f aca="false">SUMIFS('Vendor Months'!$G$6:$G$3965,'Vendor Months'!$A$6:$A$3965,$AS$1,'Vendor Months'!$C$6:$C$3965,A6,'Vendor Months'!$J$6:$J$3965,"SECURITY")</f>
        <v>0</v>
      </c>
      <c r="R6" s="10" t="n">
        <f aca="false">SUMIFS('Vendor Months'!$G$6:$G$3965,'Vendor Months'!$A$6:$A$3965,$AS$1,'Vendor Months'!$C$6:$C$3965,A6,'Vendor Months'!$J$6:$J$3965,"COMPLIANCE")</f>
        <v>0</v>
      </c>
      <c r="S6" s="10" t="n">
        <f aca="false">SUMIFS('Vendor Months'!$G$6:$G$3965,'Vendor Months'!$A$6:$A$3965,$AS$1,'Vendor Months'!$C$6:$C$3965,A6,'Vendor Months'!$J$6:$J$3965,"INSURANCE")</f>
        <v>0</v>
      </c>
      <c r="T6" s="10" t="n">
        <f aca="false">SUMIFS('Vendor Months'!$G$6:$G$3965,'Vendor Months'!$A$6:$A$3965,$AS$1,'Vendor Months'!$C$6:$C$3965,A6,'Vendor Months'!$J$6:$J$3965,"ACCOUNTING")</f>
        <v>600</v>
      </c>
      <c r="U6" s="10" t="n">
        <f aca="false">SUMIFS('Vendor Months'!$G$6:$G$3965,'Vendor Months'!$A$6:$A$3965,$AS$1,'Vendor Months'!$C$6:$C$3965,A6,'Vendor Months'!$J$6:$J$3965,"SUPPORT")</f>
        <v>0</v>
      </c>
      <c r="V6" s="10" t="n">
        <f aca="false">SUMIFS('Vendor Months'!$G$6:$G$3965,'Vendor Months'!$A$6:$A$3965,$AS$1,'Vendor Months'!$C$6:$C$3965,A6,'Vendor Months'!$J$6:$J$3965,"MARKETING")</f>
        <v>0</v>
      </c>
      <c r="W6" s="10" t="n">
        <f aca="false">SUMIFS('Vendor Months'!$G$6:$G$3965,'Vendor Months'!$A$6:$A$3965,$AS$1,'Vendor Months'!$C$6:$C$3965,A6,'Vendor Months'!$J$6:$J$3965,"ONBOARD")</f>
        <v>0</v>
      </c>
      <c r="X6" s="10" t="n">
        <f aca="false">SUMIFS('Vendor Months'!$G$6:$G$3965,'Vendor Months'!$A$6:$A$3965,$AS$1,'Vendor Months'!$C$6:$C$3965,A6,'Vendor Months'!$J$6:$J$3965,"AI")</f>
        <v>0</v>
      </c>
      <c r="Y6" s="10" t="n">
        <f aca="false">SUMIFS('Vendor Months'!$G$6:$G$3965,'Vendor Months'!$A$6:$A$3965,$AS$1,'Vendor Months'!$C$6:$C$3965,A6,'Vendor Months'!$J$6:$J$3965,"CTMS")</f>
        <v>0</v>
      </c>
      <c r="Z6" s="10" t="n">
        <f aca="false">SUM(N6:Y6)</f>
        <v>1948</v>
      </c>
      <c r="AA6" s="10" t="n">
        <f aca="false">(SUM(K6:M6)+Z6)*Assumptions!$E$12</f>
        <v>8039.6</v>
      </c>
      <c r="AB6" s="10" t="n">
        <f aca="false">AD6*Assumptions!$E$29</f>
        <v>0</v>
      </c>
      <c r="AC6" s="10" t="n">
        <f aca="false">SUM(K6:M6)+Z6+AA6+AB6</f>
        <v>48237.6</v>
      </c>
      <c r="AD6" s="10" t="n">
        <f aca="false">D6*Assumptions!$E$17</f>
        <v>0</v>
      </c>
      <c r="AE6" s="10" t="n">
        <f aca="false">AD6*12</f>
        <v>0</v>
      </c>
      <c r="AF6" s="10" t="n">
        <f aca="false">AC6-AD6</f>
        <v>48237.6</v>
      </c>
      <c r="AG6" s="10" t="n">
        <f aca="false">IF(A6=Assumptions!$E$7,Assumptions!$E$8,0)</f>
        <v>0</v>
      </c>
      <c r="AH6" s="10" t="n">
        <f aca="false">Assumptions!$E$6</f>
        <v>2000000</v>
      </c>
      <c r="AI6" s="10" t="n">
        <f aca="false">AH6+AG6-AF6</f>
        <v>1951762.4</v>
      </c>
      <c r="AJ6" s="10" t="n">
        <f aca="false">SUM($AC$6:AC6)</f>
        <v>48237.6</v>
      </c>
      <c r="AK6" s="10" t="n">
        <f aca="false">MAX(0,-AI6)</f>
        <v>0</v>
      </c>
      <c r="AL6" s="10" t="n">
        <f aca="false">Assumptions!$E$6+SUM($AG$6:AG6)-AJ6</f>
        <v>1951762.4</v>
      </c>
      <c r="AM6" s="10" t="n">
        <f aca="false">SUMIFS('Vendor Months'!$H$6:$H$3965,'Vendor Months'!$A$6:$A$3965,$AS$1,'Vendor Months'!$C$6:$C$3965,A6)</f>
        <v>1850</v>
      </c>
      <c r="AN6" s="10" t="n">
        <f aca="false">X6+Y6</f>
        <v>0</v>
      </c>
      <c r="AO6" s="10" t="n">
        <f aca="false">SUMIFS('Staff Months'!$I$6:$I$2345,'Staff Months'!$A$6:$A$2345,$AS$1,'Staff Months'!$C$6:$C$2345,A6)</f>
        <v>16666.6666666667</v>
      </c>
      <c r="AP6" s="10" t="n">
        <f aca="false">SUM($AF$6:AF6)</f>
        <v>48237.6</v>
      </c>
      <c r="AQ6" s="10" t="n">
        <f aca="false">AC6</f>
        <v>48237.6</v>
      </c>
      <c r="AR6" s="26" t="n">
        <f aca="false">IF(AI6&lt;0,1,0)</f>
        <v>0</v>
      </c>
      <c r="AS6" s="6"/>
    </row>
    <row r="7" customFormat="false" ht="15" hidden="false" customHeight="false" outlineLevel="0" collapsed="false">
      <c r="A7" s="6" t="n">
        <v>2</v>
      </c>
      <c r="B7" s="25" t="n">
        <f aca="false">EDATE('Start Here'!$B$6,A7-1)</f>
        <v>46357</v>
      </c>
      <c r="C7" s="11" t="n">
        <f aca="false">IF(A7&gt;=Assumptions!$E$13,Assumptions!$E$14*(1+Assumptions!$E$15)^INT((A7-Assumptions!$E$13)/12),0)</f>
        <v>0</v>
      </c>
      <c r="D7" s="11" t="n">
        <f aca="false">D6*(1-Assumptions!$E$16)+C7</f>
        <v>0</v>
      </c>
      <c r="E7" s="11" t="n">
        <f aca="false">D7*Assumptions!$E$18</f>
        <v>0</v>
      </c>
      <c r="F7" s="11" t="n">
        <f aca="false">E7*Assumptions!$E$19*30/1000000</f>
        <v>0</v>
      </c>
      <c r="G7" s="11" t="n">
        <f aca="false">D7*Assumptions!$E$20</f>
        <v>0</v>
      </c>
      <c r="H7" s="11" t="n">
        <f aca="false">D7*Assumptions!$E$21</f>
        <v>0</v>
      </c>
      <c r="I7" s="11" t="n">
        <f aca="false">SUMIFS('Staff Months'!$E$6:$E$2345,'Staff Months'!$A$6:$A$2345,$AS$1,'Staff Months'!$C$6:$C$2345,A7)</f>
        <v>4.25</v>
      </c>
      <c r="J7" s="11" t="n">
        <f aca="false">SUMIFS('Staff Months'!$L$6:$L$2345,'Staff Months'!$A$6:$A$2345,$AS$1,'Staff Months'!$C$6:$C$2345,A7)</f>
        <v>6</v>
      </c>
      <c r="K7" s="10" t="n">
        <f aca="false">SUMIFS('Staff Months'!$H$6:$H$2345,'Staff Months'!$A$6:$A$2345,$AS$1,'Staff Months'!$C$6:$C$2345,A7)</f>
        <v>53666.6666666667</v>
      </c>
      <c r="L7" s="10" t="n">
        <f aca="false">SUMIFS('Staff Months'!$J$6:$J$2345,'Staff Months'!$A$6:$A$2345,$AS$1,'Staff Months'!$C$6:$C$2345,A7)</f>
        <v>12000</v>
      </c>
      <c r="M7" s="10" t="n">
        <f aca="false">SUMIFS('Staff Months'!$K$6:$K$2345,'Staff Months'!$A$6:$A$2345,$AS$1,'Staff Months'!$C$6:$C$2345,A7)</f>
        <v>7875</v>
      </c>
      <c r="N7" s="10" t="n">
        <f aca="false">SUMIFS('Vendor Months'!$G$6:$G$3965,'Vendor Months'!$A$6:$A$3965,$AS$1,'Vendor Months'!$C$6:$C$3965,A7,'Vendor Months'!$J$6:$J$3965,"INFRA")</f>
        <v>1250</v>
      </c>
      <c r="O7" s="10" t="n">
        <f aca="false">SUMIFS('Vendor Months'!$G$6:$G$3965,'Vendor Months'!$A$6:$A$3965,$AS$1,'Vendor Months'!$C$6:$C$3965,A7,'Vendor Months'!$J$6:$J$3965,"TOOLS")</f>
        <v>245</v>
      </c>
      <c r="P7" s="10" t="n">
        <f aca="false">SUMIFS('Vendor Months'!$G$6:$G$3965,'Vendor Months'!$A$6:$A$3965,$AS$1,'Vendor Months'!$C$6:$C$3965,A7,'Vendor Months'!$J$6:$J$3965,"LEGAL")</f>
        <v>20000</v>
      </c>
      <c r="Q7" s="10" t="n">
        <f aca="false">SUMIFS('Vendor Months'!$G$6:$G$3965,'Vendor Months'!$A$6:$A$3965,$AS$1,'Vendor Months'!$C$6:$C$3965,A7,'Vendor Months'!$J$6:$J$3965,"SECURITY")</f>
        <v>0</v>
      </c>
      <c r="R7" s="10" t="n">
        <f aca="false">SUMIFS('Vendor Months'!$G$6:$G$3965,'Vendor Months'!$A$6:$A$3965,$AS$1,'Vendor Months'!$C$6:$C$3965,A7,'Vendor Months'!$J$6:$J$3965,"COMPLIANCE")</f>
        <v>0</v>
      </c>
      <c r="S7" s="10" t="n">
        <f aca="false">SUMIFS('Vendor Months'!$G$6:$G$3965,'Vendor Months'!$A$6:$A$3965,$AS$1,'Vendor Months'!$C$6:$C$3965,A7,'Vendor Months'!$J$6:$J$3965,"INSURANCE")</f>
        <v>0</v>
      </c>
      <c r="T7" s="10" t="n">
        <f aca="false">SUMIFS('Vendor Months'!$G$6:$G$3965,'Vendor Months'!$A$6:$A$3965,$AS$1,'Vendor Months'!$C$6:$C$3965,A7,'Vendor Months'!$J$6:$J$3965,"ACCOUNTING")</f>
        <v>600</v>
      </c>
      <c r="U7" s="10" t="n">
        <f aca="false">SUMIFS('Vendor Months'!$G$6:$G$3965,'Vendor Months'!$A$6:$A$3965,$AS$1,'Vendor Months'!$C$6:$C$3965,A7,'Vendor Months'!$J$6:$J$3965,"SUPPORT")</f>
        <v>0</v>
      </c>
      <c r="V7" s="10" t="n">
        <f aca="false">SUMIFS('Vendor Months'!$G$6:$G$3965,'Vendor Months'!$A$6:$A$3965,$AS$1,'Vendor Months'!$C$6:$C$3965,A7,'Vendor Months'!$J$6:$J$3965,"MARKETING")</f>
        <v>0</v>
      </c>
      <c r="W7" s="10" t="n">
        <f aca="false">SUMIFS('Vendor Months'!$G$6:$G$3965,'Vendor Months'!$A$6:$A$3965,$AS$1,'Vendor Months'!$C$6:$C$3965,A7,'Vendor Months'!$J$6:$J$3965,"ONBOARD")</f>
        <v>0</v>
      </c>
      <c r="X7" s="10" t="n">
        <f aca="false">SUMIFS('Vendor Months'!$G$6:$G$3965,'Vendor Months'!$A$6:$A$3965,$AS$1,'Vendor Months'!$C$6:$C$3965,A7,'Vendor Months'!$J$6:$J$3965,"AI")</f>
        <v>0</v>
      </c>
      <c r="Y7" s="10" t="n">
        <f aca="false">SUMIFS('Vendor Months'!$G$6:$G$3965,'Vendor Months'!$A$6:$A$3965,$AS$1,'Vendor Months'!$C$6:$C$3965,A7,'Vendor Months'!$J$6:$J$3965,"CTMS")</f>
        <v>0</v>
      </c>
      <c r="Z7" s="10" t="n">
        <f aca="false">SUM(N7:Y7)</f>
        <v>22095</v>
      </c>
      <c r="AA7" s="10" t="n">
        <f aca="false">(SUM(K7:M7)+Z7)*Assumptions!$E$12</f>
        <v>19127.3333333333</v>
      </c>
      <c r="AB7" s="10" t="n">
        <f aca="false">AD7*Assumptions!$E$29</f>
        <v>0</v>
      </c>
      <c r="AC7" s="10" t="n">
        <f aca="false">SUM(K7:M7)+Z7+AA7+AB7</f>
        <v>114764</v>
      </c>
      <c r="AD7" s="10" t="n">
        <f aca="false">D7*Assumptions!$E$17</f>
        <v>0</v>
      </c>
      <c r="AE7" s="10" t="n">
        <f aca="false">AD7*12</f>
        <v>0</v>
      </c>
      <c r="AF7" s="10" t="n">
        <f aca="false">AC7-AD7</f>
        <v>114764</v>
      </c>
      <c r="AG7" s="10" t="n">
        <f aca="false">IF(A7=Assumptions!$E$7,Assumptions!$E$8,0)</f>
        <v>0</v>
      </c>
      <c r="AH7" s="10" t="n">
        <f aca="false">AI6</f>
        <v>1951762.4</v>
      </c>
      <c r="AI7" s="10" t="n">
        <f aca="false">AH7+AG7-AF7</f>
        <v>1836998.4</v>
      </c>
      <c r="AJ7" s="10" t="n">
        <f aca="false">SUM($AC$6:AC7)</f>
        <v>163001.6</v>
      </c>
      <c r="AK7" s="10" t="n">
        <f aca="false">MAX(0,-AI7)</f>
        <v>0</v>
      </c>
      <c r="AL7" s="10" t="n">
        <f aca="false">Assumptions!$E$6+SUM($AG$6:AG7)-AJ7</f>
        <v>1836998.4</v>
      </c>
      <c r="AM7" s="10" t="n">
        <f aca="false">SUMIFS('Vendor Months'!$H$6:$H$3965,'Vendor Months'!$A$6:$A$3965,$AS$1,'Vendor Months'!$C$6:$C$3965,A7)</f>
        <v>21850</v>
      </c>
      <c r="AN7" s="10" t="n">
        <f aca="false">X7+Y7</f>
        <v>0</v>
      </c>
      <c r="AO7" s="10" t="n">
        <f aca="false">SUMIFS('Staff Months'!$I$6:$I$2345,'Staff Months'!$A$6:$A$2345,$AS$1,'Staff Months'!$C$6:$C$2345,A7)</f>
        <v>16666.6666666667</v>
      </c>
      <c r="AP7" s="10" t="n">
        <f aca="false">SUM($AF$6:AF7)</f>
        <v>163001.6</v>
      </c>
      <c r="AQ7" s="10" t="n">
        <f aca="false">AC7</f>
        <v>114764</v>
      </c>
      <c r="AR7" s="26" t="n">
        <f aca="false">IF(AI7&lt;0,1,0)</f>
        <v>0</v>
      </c>
      <c r="AS7" s="6"/>
    </row>
    <row r="8" customFormat="false" ht="15" hidden="false" customHeight="false" outlineLevel="0" collapsed="false">
      <c r="A8" s="6" t="n">
        <v>3</v>
      </c>
      <c r="B8" s="25" t="n">
        <f aca="false">EDATE('Start Here'!$B$6,A8-1)</f>
        <v>46388</v>
      </c>
      <c r="C8" s="11" t="n">
        <f aca="false">IF(A8&gt;=Assumptions!$E$13,Assumptions!$E$14*(1+Assumptions!$E$15)^INT((A8-Assumptions!$E$13)/12),0)</f>
        <v>0</v>
      </c>
      <c r="D8" s="11" t="n">
        <f aca="false">D7*(1-Assumptions!$E$16)+C8</f>
        <v>0</v>
      </c>
      <c r="E8" s="11" t="n">
        <f aca="false">D8*Assumptions!$E$18</f>
        <v>0</v>
      </c>
      <c r="F8" s="11" t="n">
        <f aca="false">E8*Assumptions!$E$19*30/1000000</f>
        <v>0</v>
      </c>
      <c r="G8" s="11" t="n">
        <f aca="false">D8*Assumptions!$E$20</f>
        <v>0</v>
      </c>
      <c r="H8" s="11" t="n">
        <f aca="false">D8*Assumptions!$E$21</f>
        <v>0</v>
      </c>
      <c r="I8" s="11" t="n">
        <f aca="false">SUMIFS('Staff Months'!$E$6:$E$2345,'Staff Months'!$A$6:$A$2345,$AS$1,'Staff Months'!$C$6:$C$2345,A8)</f>
        <v>5.75</v>
      </c>
      <c r="J8" s="11" t="n">
        <f aca="false">SUMIFS('Staff Months'!$L$6:$L$2345,'Staff Months'!$A$6:$A$2345,$AS$1,'Staff Months'!$C$6:$C$2345,A8)</f>
        <v>8</v>
      </c>
      <c r="K8" s="10" t="n">
        <f aca="false">SUMIFS('Staff Months'!$H$6:$H$2345,'Staff Months'!$A$6:$A$2345,$AS$1,'Staff Months'!$C$6:$C$2345,A8)</f>
        <v>76416.6666666667</v>
      </c>
      <c r="L8" s="10" t="n">
        <f aca="false">SUMIFS('Staff Months'!$J$6:$J$2345,'Staff Months'!$A$6:$A$2345,$AS$1,'Staff Months'!$C$6:$C$2345,A8)</f>
        <v>18000</v>
      </c>
      <c r="M8" s="10" t="n">
        <f aca="false">SUMIFS('Staff Months'!$K$6:$K$2345,'Staff Months'!$A$6:$A$2345,$AS$1,'Staff Months'!$C$6:$C$2345,A8)</f>
        <v>5250</v>
      </c>
      <c r="N8" s="10" t="n">
        <f aca="false">SUMIFS('Vendor Months'!$G$6:$G$3965,'Vendor Months'!$A$6:$A$3965,$AS$1,'Vendor Months'!$C$6:$C$3965,A8,'Vendor Months'!$J$6:$J$3965,"INFRA")</f>
        <v>1250</v>
      </c>
      <c r="O8" s="10" t="n">
        <f aca="false">SUMIFS('Vendor Months'!$G$6:$G$3965,'Vendor Months'!$A$6:$A$3965,$AS$1,'Vendor Months'!$C$6:$C$3965,A8,'Vendor Months'!$J$6:$J$3965,"TOOLS")</f>
        <v>294</v>
      </c>
      <c r="P8" s="10" t="n">
        <f aca="false">SUMIFS('Vendor Months'!$G$6:$G$3965,'Vendor Months'!$A$6:$A$3965,$AS$1,'Vendor Months'!$C$6:$C$3965,A8,'Vendor Months'!$J$6:$J$3965,"LEGAL")</f>
        <v>0</v>
      </c>
      <c r="Q8" s="10" t="n">
        <f aca="false">SUMIFS('Vendor Months'!$G$6:$G$3965,'Vendor Months'!$A$6:$A$3965,$AS$1,'Vendor Months'!$C$6:$C$3965,A8,'Vendor Months'!$J$6:$J$3965,"SECURITY")</f>
        <v>0</v>
      </c>
      <c r="R8" s="10" t="n">
        <f aca="false">SUMIFS('Vendor Months'!$G$6:$G$3965,'Vendor Months'!$A$6:$A$3965,$AS$1,'Vendor Months'!$C$6:$C$3965,A8,'Vendor Months'!$J$6:$J$3965,"COMPLIANCE")</f>
        <v>0</v>
      </c>
      <c r="S8" s="10" t="n">
        <f aca="false">SUMIFS('Vendor Months'!$G$6:$G$3965,'Vendor Months'!$A$6:$A$3965,$AS$1,'Vendor Months'!$C$6:$C$3965,A8,'Vendor Months'!$J$6:$J$3965,"INSURANCE")</f>
        <v>0</v>
      </c>
      <c r="T8" s="10" t="n">
        <f aca="false">SUMIFS('Vendor Months'!$G$6:$G$3965,'Vendor Months'!$A$6:$A$3965,$AS$1,'Vendor Months'!$C$6:$C$3965,A8,'Vendor Months'!$J$6:$J$3965,"ACCOUNTING")</f>
        <v>600</v>
      </c>
      <c r="U8" s="10" t="n">
        <f aca="false">SUMIFS('Vendor Months'!$G$6:$G$3965,'Vendor Months'!$A$6:$A$3965,$AS$1,'Vendor Months'!$C$6:$C$3965,A8,'Vendor Months'!$J$6:$J$3965,"SUPPORT")</f>
        <v>0</v>
      </c>
      <c r="V8" s="10" t="n">
        <f aca="false">SUMIFS('Vendor Months'!$G$6:$G$3965,'Vendor Months'!$A$6:$A$3965,$AS$1,'Vendor Months'!$C$6:$C$3965,A8,'Vendor Months'!$J$6:$J$3965,"MARKETING")</f>
        <v>0</v>
      </c>
      <c r="W8" s="10" t="n">
        <f aca="false">SUMIFS('Vendor Months'!$G$6:$G$3965,'Vendor Months'!$A$6:$A$3965,$AS$1,'Vendor Months'!$C$6:$C$3965,A8,'Vendor Months'!$J$6:$J$3965,"ONBOARD")</f>
        <v>0</v>
      </c>
      <c r="X8" s="10" t="n">
        <f aca="false">SUMIFS('Vendor Months'!$G$6:$G$3965,'Vendor Months'!$A$6:$A$3965,$AS$1,'Vendor Months'!$C$6:$C$3965,A8,'Vendor Months'!$J$6:$J$3965,"AI")</f>
        <v>0</v>
      </c>
      <c r="Y8" s="10" t="n">
        <f aca="false">SUMIFS('Vendor Months'!$G$6:$G$3965,'Vendor Months'!$A$6:$A$3965,$AS$1,'Vendor Months'!$C$6:$C$3965,A8,'Vendor Months'!$J$6:$J$3965,"CTMS")</f>
        <v>0</v>
      </c>
      <c r="Z8" s="10" t="n">
        <f aca="false">SUM(N8:Y8)</f>
        <v>2144</v>
      </c>
      <c r="AA8" s="10" t="n">
        <f aca="false">(SUM(K8:M8)+Z8)*Assumptions!$E$12</f>
        <v>20362.1333333333</v>
      </c>
      <c r="AB8" s="10" t="n">
        <f aca="false">AD8*Assumptions!$E$29</f>
        <v>0</v>
      </c>
      <c r="AC8" s="10" t="n">
        <f aca="false">SUM(K8:M8)+Z8+AA8+AB8</f>
        <v>122172.8</v>
      </c>
      <c r="AD8" s="10" t="n">
        <f aca="false">D8*Assumptions!$E$17</f>
        <v>0</v>
      </c>
      <c r="AE8" s="10" t="n">
        <f aca="false">AD8*12</f>
        <v>0</v>
      </c>
      <c r="AF8" s="10" t="n">
        <f aca="false">AC8-AD8</f>
        <v>122172.8</v>
      </c>
      <c r="AG8" s="10" t="n">
        <f aca="false">IF(A8=Assumptions!$E$7,Assumptions!$E$8,0)</f>
        <v>0</v>
      </c>
      <c r="AH8" s="10" t="n">
        <f aca="false">AI7</f>
        <v>1836998.4</v>
      </c>
      <c r="AI8" s="10" t="n">
        <f aca="false">AH8+AG8-AF8</f>
        <v>1714825.6</v>
      </c>
      <c r="AJ8" s="10" t="n">
        <f aca="false">SUM($AC$6:AC8)</f>
        <v>285174.4</v>
      </c>
      <c r="AK8" s="10" t="n">
        <f aca="false">MAX(0,-AI8)</f>
        <v>0</v>
      </c>
      <c r="AL8" s="10" t="n">
        <f aca="false">Assumptions!$E$6+SUM($AG$6:AG8)-AJ8</f>
        <v>1714825.6</v>
      </c>
      <c r="AM8" s="10" t="n">
        <f aca="false">SUMIFS('Vendor Months'!$H$6:$H$3965,'Vendor Months'!$A$6:$A$3965,$AS$1,'Vendor Months'!$C$6:$C$3965,A8)</f>
        <v>1850</v>
      </c>
      <c r="AN8" s="10" t="n">
        <f aca="false">X8+Y8</f>
        <v>0</v>
      </c>
      <c r="AO8" s="10" t="n">
        <f aca="false">SUMIFS('Staff Months'!$I$6:$I$2345,'Staff Months'!$A$6:$A$2345,$AS$1,'Staff Months'!$C$6:$C$2345,A8)</f>
        <v>16666.6666666667</v>
      </c>
      <c r="AP8" s="10" t="n">
        <f aca="false">SUM($AF$6:AF8)</f>
        <v>285174.4</v>
      </c>
      <c r="AQ8" s="10" t="n">
        <f aca="false">AC8</f>
        <v>122172.8</v>
      </c>
      <c r="AR8" s="26" t="n">
        <f aca="false">IF(AI8&lt;0,1,0)</f>
        <v>0</v>
      </c>
      <c r="AS8" s="6"/>
    </row>
    <row r="9" customFormat="false" ht="15" hidden="false" customHeight="false" outlineLevel="0" collapsed="false">
      <c r="A9" s="6" t="n">
        <v>4</v>
      </c>
      <c r="B9" s="25" t="n">
        <f aca="false">EDATE('Start Here'!$B$6,A9-1)</f>
        <v>46419</v>
      </c>
      <c r="C9" s="11" t="n">
        <f aca="false">IF(A9&gt;=Assumptions!$E$13,Assumptions!$E$14*(1+Assumptions!$E$15)^INT((A9-Assumptions!$E$13)/12),0)</f>
        <v>0</v>
      </c>
      <c r="D9" s="11" t="n">
        <f aca="false">D8*(1-Assumptions!$E$16)+C9</f>
        <v>0</v>
      </c>
      <c r="E9" s="11" t="n">
        <f aca="false">D9*Assumptions!$E$18</f>
        <v>0</v>
      </c>
      <c r="F9" s="11" t="n">
        <f aca="false">E9*Assumptions!$E$19*30/1000000</f>
        <v>0</v>
      </c>
      <c r="G9" s="11" t="n">
        <f aca="false">D9*Assumptions!$E$20</f>
        <v>0</v>
      </c>
      <c r="H9" s="11" t="n">
        <f aca="false">D9*Assumptions!$E$21</f>
        <v>0</v>
      </c>
      <c r="I9" s="11" t="n">
        <f aca="false">SUMIFS('Staff Months'!$E$6:$E$2345,'Staff Months'!$A$6:$A$2345,$AS$1,'Staff Months'!$C$6:$C$2345,A9)</f>
        <v>5.75</v>
      </c>
      <c r="J9" s="11" t="n">
        <f aca="false">SUMIFS('Staff Months'!$L$6:$L$2345,'Staff Months'!$A$6:$A$2345,$AS$1,'Staff Months'!$C$6:$C$2345,A9)</f>
        <v>8</v>
      </c>
      <c r="K9" s="10" t="n">
        <f aca="false">SUMIFS('Staff Months'!$H$6:$H$2345,'Staff Months'!$A$6:$A$2345,$AS$1,'Staff Months'!$C$6:$C$2345,A9)</f>
        <v>76416.6666666667</v>
      </c>
      <c r="L9" s="10" t="n">
        <f aca="false">SUMIFS('Staff Months'!$J$6:$J$2345,'Staff Months'!$A$6:$A$2345,$AS$1,'Staff Months'!$C$6:$C$2345,A9)</f>
        <v>0</v>
      </c>
      <c r="M9" s="10" t="n">
        <f aca="false">SUMIFS('Staff Months'!$K$6:$K$2345,'Staff Months'!$A$6:$A$2345,$AS$1,'Staff Months'!$C$6:$C$2345,A9)</f>
        <v>0</v>
      </c>
      <c r="N9" s="10" t="n">
        <f aca="false">SUMIFS('Vendor Months'!$G$6:$G$3965,'Vendor Months'!$A$6:$A$3965,$AS$1,'Vendor Months'!$C$6:$C$3965,A9,'Vendor Months'!$J$6:$J$3965,"INFRA")</f>
        <v>1250</v>
      </c>
      <c r="O9" s="10" t="n">
        <f aca="false">SUMIFS('Vendor Months'!$G$6:$G$3965,'Vendor Months'!$A$6:$A$3965,$AS$1,'Vendor Months'!$C$6:$C$3965,A9,'Vendor Months'!$J$6:$J$3965,"TOOLS")</f>
        <v>294</v>
      </c>
      <c r="P9" s="10" t="n">
        <f aca="false">SUMIFS('Vendor Months'!$G$6:$G$3965,'Vendor Months'!$A$6:$A$3965,$AS$1,'Vendor Months'!$C$6:$C$3965,A9,'Vendor Months'!$J$6:$J$3965,"LEGAL")</f>
        <v>0</v>
      </c>
      <c r="Q9" s="10" t="n">
        <f aca="false">SUMIFS('Vendor Months'!$G$6:$G$3965,'Vendor Months'!$A$6:$A$3965,$AS$1,'Vendor Months'!$C$6:$C$3965,A9,'Vendor Months'!$J$6:$J$3965,"SECURITY")</f>
        <v>0</v>
      </c>
      <c r="R9" s="10" t="n">
        <f aca="false">SUMIFS('Vendor Months'!$G$6:$G$3965,'Vendor Months'!$A$6:$A$3965,$AS$1,'Vendor Months'!$C$6:$C$3965,A9,'Vendor Months'!$J$6:$J$3965,"COMPLIANCE")</f>
        <v>0</v>
      </c>
      <c r="S9" s="10" t="n">
        <f aca="false">SUMIFS('Vendor Months'!$G$6:$G$3965,'Vendor Months'!$A$6:$A$3965,$AS$1,'Vendor Months'!$C$6:$C$3965,A9,'Vendor Months'!$J$6:$J$3965,"INSURANCE")</f>
        <v>0</v>
      </c>
      <c r="T9" s="10" t="n">
        <f aca="false">SUMIFS('Vendor Months'!$G$6:$G$3965,'Vendor Months'!$A$6:$A$3965,$AS$1,'Vendor Months'!$C$6:$C$3965,A9,'Vendor Months'!$J$6:$J$3965,"ACCOUNTING")</f>
        <v>600</v>
      </c>
      <c r="U9" s="10" t="n">
        <f aca="false">SUMIFS('Vendor Months'!$G$6:$G$3965,'Vendor Months'!$A$6:$A$3965,$AS$1,'Vendor Months'!$C$6:$C$3965,A9,'Vendor Months'!$J$6:$J$3965,"SUPPORT")</f>
        <v>0</v>
      </c>
      <c r="V9" s="10" t="n">
        <f aca="false">SUMIFS('Vendor Months'!$G$6:$G$3965,'Vendor Months'!$A$6:$A$3965,$AS$1,'Vendor Months'!$C$6:$C$3965,A9,'Vendor Months'!$J$6:$J$3965,"MARKETING")</f>
        <v>0</v>
      </c>
      <c r="W9" s="10" t="n">
        <f aca="false">SUMIFS('Vendor Months'!$G$6:$G$3965,'Vendor Months'!$A$6:$A$3965,$AS$1,'Vendor Months'!$C$6:$C$3965,A9,'Vendor Months'!$J$6:$J$3965,"ONBOARD")</f>
        <v>0</v>
      </c>
      <c r="X9" s="10" t="n">
        <f aca="false">SUMIFS('Vendor Months'!$G$6:$G$3965,'Vendor Months'!$A$6:$A$3965,$AS$1,'Vendor Months'!$C$6:$C$3965,A9,'Vendor Months'!$J$6:$J$3965,"AI")</f>
        <v>0</v>
      </c>
      <c r="Y9" s="10" t="n">
        <f aca="false">SUMIFS('Vendor Months'!$G$6:$G$3965,'Vendor Months'!$A$6:$A$3965,$AS$1,'Vendor Months'!$C$6:$C$3965,A9,'Vendor Months'!$J$6:$J$3965,"CTMS")</f>
        <v>0</v>
      </c>
      <c r="Z9" s="10" t="n">
        <f aca="false">SUM(N9:Y9)</f>
        <v>2144</v>
      </c>
      <c r="AA9" s="10" t="n">
        <f aca="false">(SUM(K9:M9)+Z9)*Assumptions!$E$12</f>
        <v>15712.1333333333</v>
      </c>
      <c r="AB9" s="10" t="n">
        <f aca="false">AD9*Assumptions!$E$29</f>
        <v>0</v>
      </c>
      <c r="AC9" s="10" t="n">
        <f aca="false">SUM(K9:M9)+Z9+AA9+AB9</f>
        <v>94272.8</v>
      </c>
      <c r="AD9" s="10" t="n">
        <f aca="false">D9*Assumptions!$E$17</f>
        <v>0</v>
      </c>
      <c r="AE9" s="10" t="n">
        <f aca="false">AD9*12</f>
        <v>0</v>
      </c>
      <c r="AF9" s="10" t="n">
        <f aca="false">AC9-AD9</f>
        <v>94272.8</v>
      </c>
      <c r="AG9" s="10" t="n">
        <f aca="false">IF(A9=Assumptions!$E$7,Assumptions!$E$8,0)</f>
        <v>0</v>
      </c>
      <c r="AH9" s="10" t="n">
        <f aca="false">AI8</f>
        <v>1714825.6</v>
      </c>
      <c r="AI9" s="10" t="n">
        <f aca="false">AH9+AG9-AF9</f>
        <v>1620552.8</v>
      </c>
      <c r="AJ9" s="10" t="n">
        <f aca="false">SUM($AC$6:AC9)</f>
        <v>379447.2</v>
      </c>
      <c r="AK9" s="10" t="n">
        <f aca="false">MAX(0,-AI9)</f>
        <v>0</v>
      </c>
      <c r="AL9" s="10" t="n">
        <f aca="false">Assumptions!$E$6+SUM($AG$6:AG9)-AJ9</f>
        <v>1620552.8</v>
      </c>
      <c r="AM9" s="10" t="n">
        <f aca="false">SUMIFS('Vendor Months'!$H$6:$H$3965,'Vendor Months'!$A$6:$A$3965,$AS$1,'Vendor Months'!$C$6:$C$3965,A9)</f>
        <v>1850</v>
      </c>
      <c r="AN9" s="10" t="n">
        <f aca="false">X9+Y9</f>
        <v>0</v>
      </c>
      <c r="AO9" s="10" t="n">
        <f aca="false">SUMIFS('Staff Months'!$I$6:$I$2345,'Staff Months'!$A$6:$A$2345,$AS$1,'Staff Months'!$C$6:$C$2345,A9)</f>
        <v>16666.6666666667</v>
      </c>
      <c r="AP9" s="10" t="n">
        <f aca="false">SUM($AF$6:AF9)</f>
        <v>379447.2</v>
      </c>
      <c r="AQ9" s="10" t="n">
        <f aca="false">AC9</f>
        <v>94272.8</v>
      </c>
      <c r="AR9" s="26" t="n">
        <f aca="false">IF(AI9&lt;0,1,0)</f>
        <v>0</v>
      </c>
      <c r="AS9" s="6"/>
    </row>
    <row r="10" customFormat="false" ht="15" hidden="false" customHeight="false" outlineLevel="0" collapsed="false">
      <c r="A10" s="6" t="n">
        <v>5</v>
      </c>
      <c r="B10" s="25" t="n">
        <f aca="false">EDATE('Start Here'!$B$6,A10-1)</f>
        <v>46447</v>
      </c>
      <c r="C10" s="11" t="n">
        <f aca="false">IF(A10&gt;=Assumptions!$E$13,Assumptions!$E$14*(1+Assumptions!$E$15)^INT((A10-Assumptions!$E$13)/12),0)</f>
        <v>0</v>
      </c>
      <c r="D10" s="11" t="n">
        <f aca="false">D9*(1-Assumptions!$E$16)+C10</f>
        <v>0</v>
      </c>
      <c r="E10" s="11" t="n">
        <f aca="false">D10*Assumptions!$E$18</f>
        <v>0</v>
      </c>
      <c r="F10" s="11" t="n">
        <f aca="false">E10*Assumptions!$E$19*30/1000000</f>
        <v>0</v>
      </c>
      <c r="G10" s="11" t="n">
        <f aca="false">D10*Assumptions!$E$20</f>
        <v>0</v>
      </c>
      <c r="H10" s="11" t="n">
        <f aca="false">D10*Assumptions!$E$21</f>
        <v>0</v>
      </c>
      <c r="I10" s="11" t="n">
        <f aca="false">SUMIFS('Staff Months'!$E$6:$E$2345,'Staff Months'!$A$6:$A$2345,$AS$1,'Staff Months'!$C$6:$C$2345,A10)</f>
        <v>5.75</v>
      </c>
      <c r="J10" s="11" t="n">
        <f aca="false">SUMIFS('Staff Months'!$L$6:$L$2345,'Staff Months'!$A$6:$A$2345,$AS$1,'Staff Months'!$C$6:$C$2345,A10)</f>
        <v>8</v>
      </c>
      <c r="K10" s="10" t="n">
        <f aca="false">SUMIFS('Staff Months'!$H$6:$H$2345,'Staff Months'!$A$6:$A$2345,$AS$1,'Staff Months'!$C$6:$C$2345,A10)</f>
        <v>76416.6666666667</v>
      </c>
      <c r="L10" s="10" t="n">
        <f aca="false">SUMIFS('Staff Months'!$J$6:$J$2345,'Staff Months'!$A$6:$A$2345,$AS$1,'Staff Months'!$C$6:$C$2345,A10)</f>
        <v>0</v>
      </c>
      <c r="M10" s="10" t="n">
        <f aca="false">SUMIFS('Staff Months'!$K$6:$K$2345,'Staff Months'!$A$6:$A$2345,$AS$1,'Staff Months'!$C$6:$C$2345,A10)</f>
        <v>0</v>
      </c>
      <c r="N10" s="10" t="n">
        <f aca="false">SUMIFS('Vendor Months'!$G$6:$G$3965,'Vendor Months'!$A$6:$A$3965,$AS$1,'Vendor Months'!$C$6:$C$3965,A10,'Vendor Months'!$J$6:$J$3965,"INFRA")</f>
        <v>1250</v>
      </c>
      <c r="O10" s="10" t="n">
        <f aca="false">SUMIFS('Vendor Months'!$G$6:$G$3965,'Vendor Months'!$A$6:$A$3965,$AS$1,'Vendor Months'!$C$6:$C$3965,A10,'Vendor Months'!$J$6:$J$3965,"TOOLS")</f>
        <v>294</v>
      </c>
      <c r="P10" s="10" t="n">
        <f aca="false">SUMIFS('Vendor Months'!$G$6:$G$3965,'Vendor Months'!$A$6:$A$3965,$AS$1,'Vendor Months'!$C$6:$C$3965,A10,'Vendor Months'!$J$6:$J$3965,"LEGAL")</f>
        <v>0</v>
      </c>
      <c r="Q10" s="10" t="n">
        <f aca="false">SUMIFS('Vendor Months'!$G$6:$G$3965,'Vendor Months'!$A$6:$A$3965,$AS$1,'Vendor Months'!$C$6:$C$3965,A10,'Vendor Months'!$J$6:$J$3965,"SECURITY")</f>
        <v>0</v>
      </c>
      <c r="R10" s="10" t="n">
        <f aca="false">SUMIFS('Vendor Months'!$G$6:$G$3965,'Vendor Months'!$A$6:$A$3965,$AS$1,'Vendor Months'!$C$6:$C$3965,A10,'Vendor Months'!$J$6:$J$3965,"COMPLIANCE")</f>
        <v>0</v>
      </c>
      <c r="S10" s="10" t="n">
        <f aca="false">SUMIFS('Vendor Months'!$G$6:$G$3965,'Vendor Months'!$A$6:$A$3965,$AS$1,'Vendor Months'!$C$6:$C$3965,A10,'Vendor Months'!$J$6:$J$3965,"INSURANCE")</f>
        <v>0</v>
      </c>
      <c r="T10" s="10" t="n">
        <f aca="false">SUMIFS('Vendor Months'!$G$6:$G$3965,'Vendor Months'!$A$6:$A$3965,$AS$1,'Vendor Months'!$C$6:$C$3965,A10,'Vendor Months'!$J$6:$J$3965,"ACCOUNTING")</f>
        <v>600</v>
      </c>
      <c r="U10" s="10" t="n">
        <f aca="false">SUMIFS('Vendor Months'!$G$6:$G$3965,'Vendor Months'!$A$6:$A$3965,$AS$1,'Vendor Months'!$C$6:$C$3965,A10,'Vendor Months'!$J$6:$J$3965,"SUPPORT")</f>
        <v>0</v>
      </c>
      <c r="V10" s="10" t="n">
        <f aca="false">SUMIFS('Vendor Months'!$G$6:$G$3965,'Vendor Months'!$A$6:$A$3965,$AS$1,'Vendor Months'!$C$6:$C$3965,A10,'Vendor Months'!$J$6:$J$3965,"MARKETING")</f>
        <v>0</v>
      </c>
      <c r="W10" s="10" t="n">
        <f aca="false">SUMIFS('Vendor Months'!$G$6:$G$3965,'Vendor Months'!$A$6:$A$3965,$AS$1,'Vendor Months'!$C$6:$C$3965,A10,'Vendor Months'!$J$6:$J$3965,"ONBOARD")</f>
        <v>0</v>
      </c>
      <c r="X10" s="10" t="n">
        <f aca="false">SUMIFS('Vendor Months'!$G$6:$G$3965,'Vendor Months'!$A$6:$A$3965,$AS$1,'Vendor Months'!$C$6:$C$3965,A10,'Vendor Months'!$J$6:$J$3965,"AI")</f>
        <v>0</v>
      </c>
      <c r="Y10" s="10" t="n">
        <f aca="false">SUMIFS('Vendor Months'!$G$6:$G$3965,'Vendor Months'!$A$6:$A$3965,$AS$1,'Vendor Months'!$C$6:$C$3965,A10,'Vendor Months'!$J$6:$J$3965,"CTMS")</f>
        <v>0</v>
      </c>
      <c r="Z10" s="10" t="n">
        <f aca="false">SUM(N10:Y10)</f>
        <v>2144</v>
      </c>
      <c r="AA10" s="10" t="n">
        <f aca="false">(SUM(K10:M10)+Z10)*Assumptions!$E$12</f>
        <v>15712.1333333333</v>
      </c>
      <c r="AB10" s="10" t="n">
        <f aca="false">AD10*Assumptions!$E$29</f>
        <v>0</v>
      </c>
      <c r="AC10" s="10" t="n">
        <f aca="false">SUM(K10:M10)+Z10+AA10+AB10</f>
        <v>94272.8</v>
      </c>
      <c r="AD10" s="10" t="n">
        <f aca="false">D10*Assumptions!$E$17</f>
        <v>0</v>
      </c>
      <c r="AE10" s="10" t="n">
        <f aca="false">AD10*12</f>
        <v>0</v>
      </c>
      <c r="AF10" s="10" t="n">
        <f aca="false">AC10-AD10</f>
        <v>94272.8</v>
      </c>
      <c r="AG10" s="10" t="n">
        <f aca="false">IF(A10=Assumptions!$E$7,Assumptions!$E$8,0)</f>
        <v>0</v>
      </c>
      <c r="AH10" s="10" t="n">
        <f aca="false">AI9</f>
        <v>1620552.8</v>
      </c>
      <c r="AI10" s="10" t="n">
        <f aca="false">AH10+AG10-AF10</f>
        <v>1526280</v>
      </c>
      <c r="AJ10" s="10" t="n">
        <f aca="false">SUM($AC$6:AC10)</f>
        <v>473720</v>
      </c>
      <c r="AK10" s="10" t="n">
        <f aca="false">MAX(0,-AI10)</f>
        <v>0</v>
      </c>
      <c r="AL10" s="10" t="n">
        <f aca="false">Assumptions!$E$6+SUM($AG$6:AG10)-AJ10</f>
        <v>1526280</v>
      </c>
      <c r="AM10" s="10" t="n">
        <f aca="false">SUMIFS('Vendor Months'!$H$6:$H$3965,'Vendor Months'!$A$6:$A$3965,$AS$1,'Vendor Months'!$C$6:$C$3965,A10)</f>
        <v>1850</v>
      </c>
      <c r="AN10" s="10" t="n">
        <f aca="false">X10+Y10</f>
        <v>0</v>
      </c>
      <c r="AO10" s="10" t="n">
        <f aca="false">SUMIFS('Staff Months'!$I$6:$I$2345,'Staff Months'!$A$6:$A$2345,$AS$1,'Staff Months'!$C$6:$C$2345,A10)</f>
        <v>16666.6666666667</v>
      </c>
      <c r="AP10" s="10" t="n">
        <f aca="false">SUM($AF$6:AF10)</f>
        <v>473720</v>
      </c>
      <c r="AQ10" s="10" t="n">
        <f aca="false">AC10</f>
        <v>94272.8</v>
      </c>
      <c r="AR10" s="26" t="n">
        <f aca="false">IF(AI10&lt;0,1,0)</f>
        <v>0</v>
      </c>
      <c r="AS10" s="6"/>
    </row>
    <row r="11" customFormat="false" ht="15" hidden="false" customHeight="false" outlineLevel="0" collapsed="false">
      <c r="A11" s="6" t="n">
        <v>6</v>
      </c>
      <c r="B11" s="25" t="n">
        <f aca="false">EDATE('Start Here'!$B$6,A11-1)</f>
        <v>46478</v>
      </c>
      <c r="C11" s="11" t="n">
        <f aca="false">IF(A11&gt;=Assumptions!$E$13,Assumptions!$E$14*(1+Assumptions!$E$15)^INT((A11-Assumptions!$E$13)/12),0)</f>
        <v>0</v>
      </c>
      <c r="D11" s="11" t="n">
        <f aca="false">D10*(1-Assumptions!$E$16)+C11</f>
        <v>0</v>
      </c>
      <c r="E11" s="11" t="n">
        <f aca="false">D11*Assumptions!$E$18</f>
        <v>0</v>
      </c>
      <c r="F11" s="11" t="n">
        <f aca="false">E11*Assumptions!$E$19*30/1000000</f>
        <v>0</v>
      </c>
      <c r="G11" s="11" t="n">
        <f aca="false">D11*Assumptions!$E$20</f>
        <v>0</v>
      </c>
      <c r="H11" s="11" t="n">
        <f aca="false">D11*Assumptions!$E$21</f>
        <v>0</v>
      </c>
      <c r="I11" s="11" t="n">
        <f aca="false">SUMIFS('Staff Months'!$E$6:$E$2345,'Staff Months'!$A$6:$A$2345,$AS$1,'Staff Months'!$C$6:$C$2345,A11)</f>
        <v>5.75</v>
      </c>
      <c r="J11" s="11" t="n">
        <f aca="false">SUMIFS('Staff Months'!$L$6:$L$2345,'Staff Months'!$A$6:$A$2345,$AS$1,'Staff Months'!$C$6:$C$2345,A11)</f>
        <v>8</v>
      </c>
      <c r="K11" s="10" t="n">
        <f aca="false">SUMIFS('Staff Months'!$H$6:$H$2345,'Staff Months'!$A$6:$A$2345,$AS$1,'Staff Months'!$C$6:$C$2345,A11)</f>
        <v>76416.6666666667</v>
      </c>
      <c r="L11" s="10" t="n">
        <f aca="false">SUMIFS('Staff Months'!$J$6:$J$2345,'Staff Months'!$A$6:$A$2345,$AS$1,'Staff Months'!$C$6:$C$2345,A11)</f>
        <v>0</v>
      </c>
      <c r="M11" s="10" t="n">
        <f aca="false">SUMIFS('Staff Months'!$K$6:$K$2345,'Staff Months'!$A$6:$A$2345,$AS$1,'Staff Months'!$C$6:$C$2345,A11)</f>
        <v>0</v>
      </c>
      <c r="N11" s="10" t="n">
        <f aca="false">SUMIFS('Vendor Months'!$G$6:$G$3965,'Vendor Months'!$A$6:$A$3965,$AS$1,'Vendor Months'!$C$6:$C$3965,A11,'Vendor Months'!$J$6:$J$3965,"INFRA")</f>
        <v>1250</v>
      </c>
      <c r="O11" s="10" t="n">
        <f aca="false">SUMIFS('Vendor Months'!$G$6:$G$3965,'Vendor Months'!$A$6:$A$3965,$AS$1,'Vendor Months'!$C$6:$C$3965,A11,'Vendor Months'!$J$6:$J$3965,"TOOLS")</f>
        <v>294</v>
      </c>
      <c r="P11" s="10" t="n">
        <f aca="false">SUMIFS('Vendor Months'!$G$6:$G$3965,'Vendor Months'!$A$6:$A$3965,$AS$1,'Vendor Months'!$C$6:$C$3965,A11,'Vendor Months'!$J$6:$J$3965,"LEGAL")</f>
        <v>0</v>
      </c>
      <c r="Q11" s="10" t="n">
        <f aca="false">SUMIFS('Vendor Months'!$G$6:$G$3965,'Vendor Months'!$A$6:$A$3965,$AS$1,'Vendor Months'!$C$6:$C$3965,A11,'Vendor Months'!$J$6:$J$3965,"SECURITY")</f>
        <v>0</v>
      </c>
      <c r="R11" s="10" t="n">
        <f aca="false">SUMIFS('Vendor Months'!$G$6:$G$3965,'Vendor Months'!$A$6:$A$3965,$AS$1,'Vendor Months'!$C$6:$C$3965,A11,'Vendor Months'!$J$6:$J$3965,"COMPLIANCE")</f>
        <v>0</v>
      </c>
      <c r="S11" s="10" t="n">
        <f aca="false">SUMIFS('Vendor Months'!$G$6:$G$3965,'Vendor Months'!$A$6:$A$3965,$AS$1,'Vendor Months'!$C$6:$C$3965,A11,'Vendor Months'!$J$6:$J$3965,"INSURANCE")</f>
        <v>0</v>
      </c>
      <c r="T11" s="10" t="n">
        <f aca="false">SUMIFS('Vendor Months'!$G$6:$G$3965,'Vendor Months'!$A$6:$A$3965,$AS$1,'Vendor Months'!$C$6:$C$3965,A11,'Vendor Months'!$J$6:$J$3965,"ACCOUNTING")</f>
        <v>600</v>
      </c>
      <c r="U11" s="10" t="n">
        <f aca="false">SUMIFS('Vendor Months'!$G$6:$G$3965,'Vendor Months'!$A$6:$A$3965,$AS$1,'Vendor Months'!$C$6:$C$3965,A11,'Vendor Months'!$J$6:$J$3965,"SUPPORT")</f>
        <v>0</v>
      </c>
      <c r="V11" s="10" t="n">
        <f aca="false">SUMIFS('Vendor Months'!$G$6:$G$3965,'Vendor Months'!$A$6:$A$3965,$AS$1,'Vendor Months'!$C$6:$C$3965,A11,'Vendor Months'!$J$6:$J$3965,"MARKETING")</f>
        <v>0</v>
      </c>
      <c r="W11" s="10" t="n">
        <f aca="false">SUMIFS('Vendor Months'!$G$6:$G$3965,'Vendor Months'!$A$6:$A$3965,$AS$1,'Vendor Months'!$C$6:$C$3965,A11,'Vendor Months'!$J$6:$J$3965,"ONBOARD")</f>
        <v>0</v>
      </c>
      <c r="X11" s="10" t="n">
        <f aca="false">SUMIFS('Vendor Months'!$G$6:$G$3965,'Vendor Months'!$A$6:$A$3965,$AS$1,'Vendor Months'!$C$6:$C$3965,A11,'Vendor Months'!$J$6:$J$3965,"AI")</f>
        <v>0</v>
      </c>
      <c r="Y11" s="10" t="n">
        <f aca="false">SUMIFS('Vendor Months'!$G$6:$G$3965,'Vendor Months'!$A$6:$A$3965,$AS$1,'Vendor Months'!$C$6:$C$3965,A11,'Vendor Months'!$J$6:$J$3965,"CTMS")</f>
        <v>0</v>
      </c>
      <c r="Z11" s="10" t="n">
        <f aca="false">SUM(N11:Y11)</f>
        <v>2144</v>
      </c>
      <c r="AA11" s="10" t="n">
        <f aca="false">(SUM(K11:M11)+Z11)*Assumptions!$E$12</f>
        <v>15712.1333333333</v>
      </c>
      <c r="AB11" s="10" t="n">
        <f aca="false">AD11*Assumptions!$E$29</f>
        <v>0</v>
      </c>
      <c r="AC11" s="10" t="n">
        <f aca="false">SUM(K11:M11)+Z11+AA11+AB11</f>
        <v>94272.8</v>
      </c>
      <c r="AD11" s="10" t="n">
        <f aca="false">D11*Assumptions!$E$17</f>
        <v>0</v>
      </c>
      <c r="AE11" s="10" t="n">
        <f aca="false">AD11*12</f>
        <v>0</v>
      </c>
      <c r="AF11" s="10" t="n">
        <f aca="false">AC11-AD11</f>
        <v>94272.8</v>
      </c>
      <c r="AG11" s="10" t="n">
        <f aca="false">IF(A11=Assumptions!$E$7,Assumptions!$E$8,0)</f>
        <v>0</v>
      </c>
      <c r="AH11" s="10" t="n">
        <f aca="false">AI10</f>
        <v>1526280</v>
      </c>
      <c r="AI11" s="10" t="n">
        <f aca="false">AH11+AG11-AF11</f>
        <v>1432007.2</v>
      </c>
      <c r="AJ11" s="10" t="n">
        <f aca="false">SUM($AC$6:AC11)</f>
        <v>567992.8</v>
      </c>
      <c r="AK11" s="10" t="n">
        <f aca="false">MAX(0,-AI11)</f>
        <v>0</v>
      </c>
      <c r="AL11" s="10" t="n">
        <f aca="false">Assumptions!$E$6+SUM($AG$6:AG11)-AJ11</f>
        <v>1432007.2</v>
      </c>
      <c r="AM11" s="10" t="n">
        <f aca="false">SUMIFS('Vendor Months'!$H$6:$H$3965,'Vendor Months'!$A$6:$A$3965,$AS$1,'Vendor Months'!$C$6:$C$3965,A11)</f>
        <v>1850</v>
      </c>
      <c r="AN11" s="10" t="n">
        <f aca="false">X11+Y11</f>
        <v>0</v>
      </c>
      <c r="AO11" s="10" t="n">
        <f aca="false">SUMIFS('Staff Months'!$I$6:$I$2345,'Staff Months'!$A$6:$A$2345,$AS$1,'Staff Months'!$C$6:$C$2345,A11)</f>
        <v>16666.6666666667</v>
      </c>
      <c r="AP11" s="10" t="n">
        <f aca="false">SUM($AF$6:AF11)</f>
        <v>567992.8</v>
      </c>
      <c r="AQ11" s="10" t="n">
        <f aca="false">AC11</f>
        <v>94272.8</v>
      </c>
      <c r="AR11" s="26" t="n">
        <f aca="false">IF(AI11&lt;0,1,0)</f>
        <v>0</v>
      </c>
      <c r="AS11" s="6"/>
    </row>
    <row r="12" customFormat="false" ht="15" hidden="false" customHeight="false" outlineLevel="0" collapsed="false">
      <c r="A12" s="6" t="n">
        <v>7</v>
      </c>
      <c r="B12" s="25" t="n">
        <f aca="false">EDATE('Start Here'!$B$6,A12-1)</f>
        <v>46508</v>
      </c>
      <c r="C12" s="11" t="n">
        <f aca="false">IF(A12&gt;=Assumptions!$E$13,Assumptions!$E$14*(1+Assumptions!$E$15)^INT((A12-Assumptions!$E$13)/12),0)</f>
        <v>0</v>
      </c>
      <c r="D12" s="11" t="n">
        <f aca="false">D11*(1-Assumptions!$E$16)+C12</f>
        <v>0</v>
      </c>
      <c r="E12" s="11" t="n">
        <f aca="false">D12*Assumptions!$E$18</f>
        <v>0</v>
      </c>
      <c r="F12" s="11" t="n">
        <f aca="false">E12*Assumptions!$E$19*30/1000000</f>
        <v>0</v>
      </c>
      <c r="G12" s="11" t="n">
        <f aca="false">D12*Assumptions!$E$20</f>
        <v>0</v>
      </c>
      <c r="H12" s="11" t="n">
        <f aca="false">D12*Assumptions!$E$21</f>
        <v>0</v>
      </c>
      <c r="I12" s="11" t="n">
        <f aca="false">SUMIFS('Staff Months'!$E$6:$E$2345,'Staff Months'!$A$6:$A$2345,$AS$1,'Staff Months'!$C$6:$C$2345,A12)</f>
        <v>7.75</v>
      </c>
      <c r="J12" s="11" t="n">
        <f aca="false">SUMIFS('Staff Months'!$L$6:$L$2345,'Staff Months'!$A$6:$A$2345,$AS$1,'Staff Months'!$C$6:$C$2345,A12)</f>
        <v>9</v>
      </c>
      <c r="K12" s="10" t="n">
        <f aca="false">SUMIFS('Staff Months'!$H$6:$H$2345,'Staff Months'!$A$6:$A$2345,$AS$1,'Staff Months'!$C$6:$C$2345,A12)</f>
        <v>107875</v>
      </c>
      <c r="L12" s="10" t="n">
        <f aca="false">SUMIFS('Staff Months'!$J$6:$J$2345,'Staff Months'!$A$6:$A$2345,$AS$1,'Staff Months'!$C$6:$C$2345,A12)</f>
        <v>18000</v>
      </c>
      <c r="M12" s="10" t="n">
        <f aca="false">SUMIFS('Staff Months'!$K$6:$K$2345,'Staff Months'!$A$6:$A$2345,$AS$1,'Staff Months'!$C$6:$C$2345,A12)</f>
        <v>7000</v>
      </c>
      <c r="N12" s="10" t="n">
        <f aca="false">SUMIFS('Vendor Months'!$G$6:$G$3965,'Vendor Months'!$A$6:$A$3965,$AS$1,'Vendor Months'!$C$6:$C$3965,A12,'Vendor Months'!$J$6:$J$3965,"INFRA")</f>
        <v>1250</v>
      </c>
      <c r="O12" s="10" t="n">
        <f aca="false">SUMIFS('Vendor Months'!$G$6:$G$3965,'Vendor Months'!$A$6:$A$3965,$AS$1,'Vendor Months'!$C$6:$C$3965,A12,'Vendor Months'!$J$6:$J$3965,"TOOLS")</f>
        <v>392</v>
      </c>
      <c r="P12" s="10" t="n">
        <f aca="false">SUMIFS('Vendor Months'!$G$6:$G$3965,'Vendor Months'!$A$6:$A$3965,$AS$1,'Vendor Months'!$C$6:$C$3965,A12,'Vendor Months'!$J$6:$J$3965,"LEGAL")</f>
        <v>0</v>
      </c>
      <c r="Q12" s="10" t="n">
        <f aca="false">SUMIFS('Vendor Months'!$G$6:$G$3965,'Vendor Months'!$A$6:$A$3965,$AS$1,'Vendor Months'!$C$6:$C$3965,A12,'Vendor Months'!$J$6:$J$3965,"SECURITY")</f>
        <v>0</v>
      </c>
      <c r="R12" s="10" t="n">
        <f aca="false">SUMIFS('Vendor Months'!$G$6:$G$3965,'Vendor Months'!$A$6:$A$3965,$AS$1,'Vendor Months'!$C$6:$C$3965,A12,'Vendor Months'!$J$6:$J$3965,"COMPLIANCE")</f>
        <v>0</v>
      </c>
      <c r="S12" s="10" t="n">
        <f aca="false">SUMIFS('Vendor Months'!$G$6:$G$3965,'Vendor Months'!$A$6:$A$3965,$AS$1,'Vendor Months'!$C$6:$C$3965,A12,'Vendor Months'!$J$6:$J$3965,"INSURANCE")</f>
        <v>0</v>
      </c>
      <c r="T12" s="10" t="n">
        <f aca="false">SUMIFS('Vendor Months'!$G$6:$G$3965,'Vendor Months'!$A$6:$A$3965,$AS$1,'Vendor Months'!$C$6:$C$3965,A12,'Vendor Months'!$J$6:$J$3965,"ACCOUNTING")</f>
        <v>600</v>
      </c>
      <c r="U12" s="10" t="n">
        <f aca="false">SUMIFS('Vendor Months'!$G$6:$G$3965,'Vendor Months'!$A$6:$A$3965,$AS$1,'Vendor Months'!$C$6:$C$3965,A12,'Vendor Months'!$J$6:$J$3965,"SUPPORT")</f>
        <v>0</v>
      </c>
      <c r="V12" s="10" t="n">
        <f aca="false">SUMIFS('Vendor Months'!$G$6:$G$3965,'Vendor Months'!$A$6:$A$3965,$AS$1,'Vendor Months'!$C$6:$C$3965,A12,'Vendor Months'!$J$6:$J$3965,"MARKETING")</f>
        <v>0</v>
      </c>
      <c r="W12" s="10" t="n">
        <f aca="false">SUMIFS('Vendor Months'!$G$6:$G$3965,'Vendor Months'!$A$6:$A$3965,$AS$1,'Vendor Months'!$C$6:$C$3965,A12,'Vendor Months'!$J$6:$J$3965,"ONBOARD")</f>
        <v>0</v>
      </c>
      <c r="X12" s="10" t="n">
        <f aca="false">SUMIFS('Vendor Months'!$G$6:$G$3965,'Vendor Months'!$A$6:$A$3965,$AS$1,'Vendor Months'!$C$6:$C$3965,A12,'Vendor Months'!$J$6:$J$3965,"AI")</f>
        <v>0</v>
      </c>
      <c r="Y12" s="10" t="n">
        <f aca="false">SUMIFS('Vendor Months'!$G$6:$G$3965,'Vendor Months'!$A$6:$A$3965,$AS$1,'Vendor Months'!$C$6:$C$3965,A12,'Vendor Months'!$J$6:$J$3965,"CTMS")</f>
        <v>0</v>
      </c>
      <c r="Z12" s="10" t="n">
        <f aca="false">SUM(N12:Y12)</f>
        <v>2242</v>
      </c>
      <c r="AA12" s="10" t="n">
        <f aca="false">(SUM(K12:M12)+Z12)*Assumptions!$E$12</f>
        <v>27023.4</v>
      </c>
      <c r="AB12" s="10" t="n">
        <f aca="false">AD12*Assumptions!$E$29</f>
        <v>0</v>
      </c>
      <c r="AC12" s="10" t="n">
        <f aca="false">SUM(K12:M12)+Z12+AA12+AB12</f>
        <v>162140.4</v>
      </c>
      <c r="AD12" s="10" t="n">
        <f aca="false">D12*Assumptions!$E$17</f>
        <v>0</v>
      </c>
      <c r="AE12" s="10" t="n">
        <f aca="false">AD12*12</f>
        <v>0</v>
      </c>
      <c r="AF12" s="10" t="n">
        <f aca="false">AC12-AD12</f>
        <v>162140.4</v>
      </c>
      <c r="AG12" s="10" t="n">
        <f aca="false">IF(A12=Assumptions!$E$7,Assumptions!$E$8,0)</f>
        <v>0</v>
      </c>
      <c r="AH12" s="10" t="n">
        <f aca="false">AI11</f>
        <v>1432007.2</v>
      </c>
      <c r="AI12" s="10" t="n">
        <f aca="false">AH12+AG12-AF12</f>
        <v>1269866.8</v>
      </c>
      <c r="AJ12" s="10" t="n">
        <f aca="false">SUM($AC$6:AC12)</f>
        <v>730133.2</v>
      </c>
      <c r="AK12" s="10" t="n">
        <f aca="false">MAX(0,-AI12)</f>
        <v>0</v>
      </c>
      <c r="AL12" s="10" t="n">
        <f aca="false">Assumptions!$E$6+SUM($AG$6:AG12)-AJ12</f>
        <v>1269866.8</v>
      </c>
      <c r="AM12" s="10" t="n">
        <f aca="false">SUMIFS('Vendor Months'!$H$6:$H$3965,'Vendor Months'!$A$6:$A$3965,$AS$1,'Vendor Months'!$C$6:$C$3965,A12)</f>
        <v>1850</v>
      </c>
      <c r="AN12" s="10" t="n">
        <f aca="false">X12+Y12</f>
        <v>0</v>
      </c>
      <c r="AO12" s="10" t="n">
        <f aca="false">SUMIFS('Staff Months'!$I$6:$I$2345,'Staff Months'!$A$6:$A$2345,$AS$1,'Staff Months'!$C$6:$C$2345,A12)</f>
        <v>16666.6666666667</v>
      </c>
      <c r="AP12" s="10" t="n">
        <f aca="false">SUM($AF$6:AF12)</f>
        <v>730133.2</v>
      </c>
      <c r="AQ12" s="10" t="n">
        <f aca="false">AC12</f>
        <v>162140.4</v>
      </c>
      <c r="AR12" s="26" t="n">
        <f aca="false">IF(AI12&lt;0,1,0)</f>
        <v>0</v>
      </c>
      <c r="AS12" s="6"/>
    </row>
    <row r="13" customFormat="false" ht="15" hidden="false" customHeight="false" outlineLevel="0" collapsed="false">
      <c r="A13" s="6" t="n">
        <v>8</v>
      </c>
      <c r="B13" s="25" t="n">
        <f aca="false">EDATE('Start Here'!$B$6,A13-1)</f>
        <v>46539</v>
      </c>
      <c r="C13" s="11" t="n">
        <f aca="false">IF(A13&gt;=Assumptions!$E$13,Assumptions!$E$14*(1+Assumptions!$E$15)^INT((A13-Assumptions!$E$13)/12),0)</f>
        <v>0</v>
      </c>
      <c r="D13" s="11" t="n">
        <f aca="false">D12*(1-Assumptions!$E$16)+C13</f>
        <v>0</v>
      </c>
      <c r="E13" s="11" t="n">
        <f aca="false">D13*Assumptions!$E$18</f>
        <v>0</v>
      </c>
      <c r="F13" s="11" t="n">
        <f aca="false">E13*Assumptions!$E$19*30/1000000</f>
        <v>0</v>
      </c>
      <c r="G13" s="11" t="n">
        <f aca="false">D13*Assumptions!$E$20</f>
        <v>0</v>
      </c>
      <c r="H13" s="11" t="n">
        <f aca="false">D13*Assumptions!$E$21</f>
        <v>0</v>
      </c>
      <c r="I13" s="11" t="n">
        <f aca="false">SUMIFS('Staff Months'!$E$6:$E$2345,'Staff Months'!$A$6:$A$2345,$AS$1,'Staff Months'!$C$6:$C$2345,A13)</f>
        <v>7.75</v>
      </c>
      <c r="J13" s="11" t="n">
        <f aca="false">SUMIFS('Staff Months'!$L$6:$L$2345,'Staff Months'!$A$6:$A$2345,$AS$1,'Staff Months'!$C$6:$C$2345,A13)</f>
        <v>9</v>
      </c>
      <c r="K13" s="10" t="n">
        <f aca="false">SUMIFS('Staff Months'!$H$6:$H$2345,'Staff Months'!$A$6:$A$2345,$AS$1,'Staff Months'!$C$6:$C$2345,A13)</f>
        <v>107875</v>
      </c>
      <c r="L13" s="10" t="n">
        <f aca="false">SUMIFS('Staff Months'!$J$6:$J$2345,'Staff Months'!$A$6:$A$2345,$AS$1,'Staff Months'!$C$6:$C$2345,A13)</f>
        <v>0</v>
      </c>
      <c r="M13" s="10" t="n">
        <f aca="false">SUMIFS('Staff Months'!$K$6:$K$2345,'Staff Months'!$A$6:$A$2345,$AS$1,'Staff Months'!$C$6:$C$2345,A13)</f>
        <v>0</v>
      </c>
      <c r="N13" s="10" t="n">
        <f aca="false">SUMIFS('Vendor Months'!$G$6:$G$3965,'Vendor Months'!$A$6:$A$3965,$AS$1,'Vendor Months'!$C$6:$C$3965,A13,'Vendor Months'!$J$6:$J$3965,"INFRA")</f>
        <v>1250</v>
      </c>
      <c r="O13" s="10" t="n">
        <f aca="false">SUMIFS('Vendor Months'!$G$6:$G$3965,'Vendor Months'!$A$6:$A$3965,$AS$1,'Vendor Months'!$C$6:$C$3965,A13,'Vendor Months'!$J$6:$J$3965,"TOOLS")</f>
        <v>392</v>
      </c>
      <c r="P13" s="10" t="n">
        <f aca="false">SUMIFS('Vendor Months'!$G$6:$G$3965,'Vendor Months'!$A$6:$A$3965,$AS$1,'Vendor Months'!$C$6:$C$3965,A13,'Vendor Months'!$J$6:$J$3965,"LEGAL")</f>
        <v>0</v>
      </c>
      <c r="Q13" s="10" t="n">
        <f aca="false">SUMIFS('Vendor Months'!$G$6:$G$3965,'Vendor Months'!$A$6:$A$3965,$AS$1,'Vendor Months'!$C$6:$C$3965,A13,'Vendor Months'!$J$6:$J$3965,"SECURITY")</f>
        <v>0</v>
      </c>
      <c r="R13" s="10" t="n">
        <f aca="false">SUMIFS('Vendor Months'!$G$6:$G$3965,'Vendor Months'!$A$6:$A$3965,$AS$1,'Vendor Months'!$C$6:$C$3965,A13,'Vendor Months'!$J$6:$J$3965,"COMPLIANCE")</f>
        <v>0</v>
      </c>
      <c r="S13" s="10" t="n">
        <f aca="false">SUMIFS('Vendor Months'!$G$6:$G$3965,'Vendor Months'!$A$6:$A$3965,$AS$1,'Vendor Months'!$C$6:$C$3965,A13,'Vendor Months'!$J$6:$J$3965,"INSURANCE")</f>
        <v>0</v>
      </c>
      <c r="T13" s="10" t="n">
        <f aca="false">SUMIFS('Vendor Months'!$G$6:$G$3965,'Vendor Months'!$A$6:$A$3965,$AS$1,'Vendor Months'!$C$6:$C$3965,A13,'Vendor Months'!$J$6:$J$3965,"ACCOUNTING")</f>
        <v>600</v>
      </c>
      <c r="U13" s="10" t="n">
        <f aca="false">SUMIFS('Vendor Months'!$G$6:$G$3965,'Vendor Months'!$A$6:$A$3965,$AS$1,'Vendor Months'!$C$6:$C$3965,A13,'Vendor Months'!$J$6:$J$3965,"SUPPORT")</f>
        <v>0</v>
      </c>
      <c r="V13" s="10" t="n">
        <f aca="false">SUMIFS('Vendor Months'!$G$6:$G$3965,'Vendor Months'!$A$6:$A$3965,$AS$1,'Vendor Months'!$C$6:$C$3965,A13,'Vendor Months'!$J$6:$J$3965,"MARKETING")</f>
        <v>0</v>
      </c>
      <c r="W13" s="10" t="n">
        <f aca="false">SUMIFS('Vendor Months'!$G$6:$G$3965,'Vendor Months'!$A$6:$A$3965,$AS$1,'Vendor Months'!$C$6:$C$3965,A13,'Vendor Months'!$J$6:$J$3965,"ONBOARD")</f>
        <v>0</v>
      </c>
      <c r="X13" s="10" t="n">
        <f aca="false">SUMIFS('Vendor Months'!$G$6:$G$3965,'Vendor Months'!$A$6:$A$3965,$AS$1,'Vendor Months'!$C$6:$C$3965,A13,'Vendor Months'!$J$6:$J$3965,"AI")</f>
        <v>0</v>
      </c>
      <c r="Y13" s="10" t="n">
        <f aca="false">SUMIFS('Vendor Months'!$G$6:$G$3965,'Vendor Months'!$A$6:$A$3965,$AS$1,'Vendor Months'!$C$6:$C$3965,A13,'Vendor Months'!$J$6:$J$3965,"CTMS")</f>
        <v>0</v>
      </c>
      <c r="Z13" s="10" t="n">
        <f aca="false">SUM(N13:Y13)</f>
        <v>2242</v>
      </c>
      <c r="AA13" s="10" t="n">
        <f aca="false">(SUM(K13:M13)+Z13)*Assumptions!$E$12</f>
        <v>22023.4</v>
      </c>
      <c r="AB13" s="10" t="n">
        <f aca="false">AD13*Assumptions!$E$29</f>
        <v>0</v>
      </c>
      <c r="AC13" s="10" t="n">
        <f aca="false">SUM(K13:M13)+Z13+AA13+AB13</f>
        <v>132140.4</v>
      </c>
      <c r="AD13" s="10" t="n">
        <f aca="false">D13*Assumptions!$E$17</f>
        <v>0</v>
      </c>
      <c r="AE13" s="10" t="n">
        <f aca="false">AD13*12</f>
        <v>0</v>
      </c>
      <c r="AF13" s="10" t="n">
        <f aca="false">AC13-AD13</f>
        <v>132140.4</v>
      </c>
      <c r="AG13" s="10" t="n">
        <f aca="false">IF(A13=Assumptions!$E$7,Assumptions!$E$8,0)</f>
        <v>0</v>
      </c>
      <c r="AH13" s="10" t="n">
        <f aca="false">AI12</f>
        <v>1269866.8</v>
      </c>
      <c r="AI13" s="10" t="n">
        <f aca="false">AH13+AG13-AF13</f>
        <v>1137726.4</v>
      </c>
      <c r="AJ13" s="10" t="n">
        <f aca="false">SUM($AC$6:AC13)</f>
        <v>862273.6</v>
      </c>
      <c r="AK13" s="10" t="n">
        <f aca="false">MAX(0,-AI13)</f>
        <v>0</v>
      </c>
      <c r="AL13" s="10" t="n">
        <f aca="false">Assumptions!$E$6+SUM($AG$6:AG13)-AJ13</f>
        <v>1137726.4</v>
      </c>
      <c r="AM13" s="10" t="n">
        <f aca="false">SUMIFS('Vendor Months'!$H$6:$H$3965,'Vendor Months'!$A$6:$A$3965,$AS$1,'Vendor Months'!$C$6:$C$3965,A13)</f>
        <v>1850</v>
      </c>
      <c r="AN13" s="10" t="n">
        <f aca="false">X13+Y13</f>
        <v>0</v>
      </c>
      <c r="AO13" s="10" t="n">
        <f aca="false">SUMIFS('Staff Months'!$I$6:$I$2345,'Staff Months'!$A$6:$A$2345,$AS$1,'Staff Months'!$C$6:$C$2345,A13)</f>
        <v>16666.6666666667</v>
      </c>
      <c r="AP13" s="10" t="n">
        <f aca="false">SUM($AF$6:AF13)</f>
        <v>862273.6</v>
      </c>
      <c r="AQ13" s="10" t="n">
        <f aca="false">AC13</f>
        <v>132140.4</v>
      </c>
      <c r="AR13" s="26" t="n">
        <f aca="false">IF(AI13&lt;0,1,0)</f>
        <v>0</v>
      </c>
      <c r="AS13" s="6"/>
    </row>
    <row r="14" customFormat="false" ht="15" hidden="false" customHeight="false" outlineLevel="0" collapsed="false">
      <c r="A14" s="6" t="n">
        <v>9</v>
      </c>
      <c r="B14" s="25" t="n">
        <f aca="false">EDATE('Start Here'!$B$6,A14-1)</f>
        <v>46569</v>
      </c>
      <c r="C14" s="11" t="n">
        <f aca="false">IF(A14&gt;=Assumptions!$E$13,Assumptions!$E$14*(1+Assumptions!$E$15)^INT((A14-Assumptions!$E$13)/12),0)</f>
        <v>0</v>
      </c>
      <c r="D14" s="11" t="n">
        <f aca="false">D13*(1-Assumptions!$E$16)+C14</f>
        <v>0</v>
      </c>
      <c r="E14" s="11" t="n">
        <f aca="false">D14*Assumptions!$E$18</f>
        <v>0</v>
      </c>
      <c r="F14" s="11" t="n">
        <f aca="false">E14*Assumptions!$E$19*30/1000000</f>
        <v>0</v>
      </c>
      <c r="G14" s="11" t="n">
        <f aca="false">D14*Assumptions!$E$20</f>
        <v>0</v>
      </c>
      <c r="H14" s="11" t="n">
        <f aca="false">D14*Assumptions!$E$21</f>
        <v>0</v>
      </c>
      <c r="I14" s="11" t="n">
        <f aca="false">SUMIFS('Staff Months'!$E$6:$E$2345,'Staff Months'!$A$6:$A$2345,$AS$1,'Staff Months'!$C$6:$C$2345,A14)</f>
        <v>8.75</v>
      </c>
      <c r="J14" s="11" t="n">
        <f aca="false">SUMIFS('Staff Months'!$L$6:$L$2345,'Staff Months'!$A$6:$A$2345,$AS$1,'Staff Months'!$C$6:$C$2345,A14)</f>
        <v>10</v>
      </c>
      <c r="K14" s="10" t="n">
        <f aca="false">SUMIFS('Staff Months'!$H$6:$H$2345,'Staff Months'!$A$6:$A$2345,$AS$1,'Staff Months'!$C$6:$C$2345,A14)</f>
        <v>118375</v>
      </c>
      <c r="L14" s="10" t="n">
        <f aca="false">SUMIFS('Staff Months'!$J$6:$J$2345,'Staff Months'!$A$6:$A$2345,$AS$1,'Staff Months'!$C$6:$C$2345,A14)</f>
        <v>12000</v>
      </c>
      <c r="M14" s="10" t="n">
        <f aca="false">SUMIFS('Staff Months'!$K$6:$K$2345,'Staff Months'!$A$6:$A$2345,$AS$1,'Staff Months'!$C$6:$C$2345,A14)</f>
        <v>3500</v>
      </c>
      <c r="N14" s="10" t="n">
        <f aca="false">SUMIFS('Vendor Months'!$G$6:$G$3965,'Vendor Months'!$A$6:$A$3965,$AS$1,'Vendor Months'!$C$6:$C$3965,A14,'Vendor Months'!$J$6:$J$3965,"INFRA")</f>
        <v>1250</v>
      </c>
      <c r="O14" s="10" t="n">
        <f aca="false">SUMIFS('Vendor Months'!$G$6:$G$3965,'Vendor Months'!$A$6:$A$3965,$AS$1,'Vendor Months'!$C$6:$C$3965,A14,'Vendor Months'!$J$6:$J$3965,"TOOLS")</f>
        <v>441</v>
      </c>
      <c r="P14" s="10" t="n">
        <f aca="false">SUMIFS('Vendor Months'!$G$6:$G$3965,'Vendor Months'!$A$6:$A$3965,$AS$1,'Vendor Months'!$C$6:$C$3965,A14,'Vendor Months'!$J$6:$J$3965,"LEGAL")</f>
        <v>0</v>
      </c>
      <c r="Q14" s="10" t="n">
        <f aca="false">SUMIFS('Vendor Months'!$G$6:$G$3965,'Vendor Months'!$A$6:$A$3965,$AS$1,'Vendor Months'!$C$6:$C$3965,A14,'Vendor Months'!$J$6:$J$3965,"SECURITY")</f>
        <v>0</v>
      </c>
      <c r="R14" s="10" t="n">
        <f aca="false">SUMIFS('Vendor Months'!$G$6:$G$3965,'Vendor Months'!$A$6:$A$3965,$AS$1,'Vendor Months'!$C$6:$C$3965,A14,'Vendor Months'!$J$6:$J$3965,"COMPLIANCE")</f>
        <v>0</v>
      </c>
      <c r="S14" s="10" t="n">
        <f aca="false">SUMIFS('Vendor Months'!$G$6:$G$3965,'Vendor Months'!$A$6:$A$3965,$AS$1,'Vendor Months'!$C$6:$C$3965,A14,'Vendor Months'!$J$6:$J$3965,"INSURANCE")</f>
        <v>12000</v>
      </c>
      <c r="T14" s="10" t="n">
        <f aca="false">SUMIFS('Vendor Months'!$G$6:$G$3965,'Vendor Months'!$A$6:$A$3965,$AS$1,'Vendor Months'!$C$6:$C$3965,A14,'Vendor Months'!$J$6:$J$3965,"ACCOUNTING")</f>
        <v>600</v>
      </c>
      <c r="U14" s="10" t="n">
        <f aca="false">SUMIFS('Vendor Months'!$G$6:$G$3965,'Vendor Months'!$A$6:$A$3965,$AS$1,'Vendor Months'!$C$6:$C$3965,A14,'Vendor Months'!$J$6:$J$3965,"SUPPORT")</f>
        <v>100</v>
      </c>
      <c r="V14" s="10" t="n">
        <f aca="false">SUMIFS('Vendor Months'!$G$6:$G$3965,'Vendor Months'!$A$6:$A$3965,$AS$1,'Vendor Months'!$C$6:$C$3965,A14,'Vendor Months'!$J$6:$J$3965,"MARKETING")</f>
        <v>0</v>
      </c>
      <c r="W14" s="10" t="n">
        <f aca="false">SUMIFS('Vendor Months'!$G$6:$G$3965,'Vendor Months'!$A$6:$A$3965,$AS$1,'Vendor Months'!$C$6:$C$3965,A14,'Vendor Months'!$J$6:$J$3965,"ONBOARD")</f>
        <v>0</v>
      </c>
      <c r="X14" s="10" t="n">
        <f aca="false">SUMIFS('Vendor Months'!$G$6:$G$3965,'Vendor Months'!$A$6:$A$3965,$AS$1,'Vendor Months'!$C$6:$C$3965,A14,'Vendor Months'!$J$6:$J$3965,"AI")</f>
        <v>0</v>
      </c>
      <c r="Y14" s="10" t="n">
        <f aca="false">SUMIFS('Vendor Months'!$G$6:$G$3965,'Vendor Months'!$A$6:$A$3965,$AS$1,'Vendor Months'!$C$6:$C$3965,A14,'Vendor Months'!$J$6:$J$3965,"CTMS")</f>
        <v>0</v>
      </c>
      <c r="Z14" s="10" t="n">
        <f aca="false">SUM(N14:Y14)</f>
        <v>14391</v>
      </c>
      <c r="AA14" s="10" t="n">
        <f aca="false">(SUM(K14:M14)+Z14)*Assumptions!$E$12</f>
        <v>29653.2</v>
      </c>
      <c r="AB14" s="10" t="n">
        <f aca="false">AD14*Assumptions!$E$29</f>
        <v>0</v>
      </c>
      <c r="AC14" s="10" t="n">
        <f aca="false">SUM(K14:M14)+Z14+AA14+AB14</f>
        <v>177919.2</v>
      </c>
      <c r="AD14" s="10" t="n">
        <f aca="false">D14*Assumptions!$E$17</f>
        <v>0</v>
      </c>
      <c r="AE14" s="10" t="n">
        <f aca="false">AD14*12</f>
        <v>0</v>
      </c>
      <c r="AF14" s="10" t="n">
        <f aca="false">AC14-AD14</f>
        <v>177919.2</v>
      </c>
      <c r="AG14" s="10" t="n">
        <f aca="false">IF(A14=Assumptions!$E$7,Assumptions!$E$8,0)</f>
        <v>0</v>
      </c>
      <c r="AH14" s="10" t="n">
        <f aca="false">AI13</f>
        <v>1137726.4</v>
      </c>
      <c r="AI14" s="10" t="n">
        <f aca="false">AH14+AG14-AF14</f>
        <v>959807.2</v>
      </c>
      <c r="AJ14" s="10" t="n">
        <f aca="false">SUM($AC$6:AC14)</f>
        <v>1040192.8</v>
      </c>
      <c r="AK14" s="10" t="n">
        <f aca="false">MAX(0,-AI14)</f>
        <v>0</v>
      </c>
      <c r="AL14" s="10" t="n">
        <f aca="false">Assumptions!$E$6+SUM($AG$6:AG14)-AJ14</f>
        <v>959807.2</v>
      </c>
      <c r="AM14" s="10" t="n">
        <f aca="false">SUMIFS('Vendor Months'!$H$6:$H$3965,'Vendor Months'!$A$6:$A$3965,$AS$1,'Vendor Months'!$C$6:$C$3965,A14)</f>
        <v>13850</v>
      </c>
      <c r="AN14" s="10" t="n">
        <f aca="false">X14+Y14</f>
        <v>0</v>
      </c>
      <c r="AO14" s="10" t="n">
        <f aca="false">SUMIFS('Staff Months'!$I$6:$I$2345,'Staff Months'!$A$6:$A$2345,$AS$1,'Staff Months'!$C$6:$C$2345,A14)</f>
        <v>16666.6666666667</v>
      </c>
      <c r="AP14" s="10" t="n">
        <f aca="false">SUM($AF$6:AF14)</f>
        <v>1040192.8</v>
      </c>
      <c r="AQ14" s="10" t="n">
        <f aca="false">AC14</f>
        <v>177919.2</v>
      </c>
      <c r="AR14" s="26" t="n">
        <f aca="false">IF(AI14&lt;0,1,0)</f>
        <v>0</v>
      </c>
      <c r="AS14" s="6"/>
    </row>
    <row r="15" customFormat="false" ht="15" hidden="false" customHeight="false" outlineLevel="0" collapsed="false">
      <c r="A15" s="6" t="n">
        <v>10</v>
      </c>
      <c r="B15" s="25" t="n">
        <f aca="false">EDATE('Start Here'!$B$6,A15-1)</f>
        <v>46600</v>
      </c>
      <c r="C15" s="11" t="n">
        <f aca="false">IF(A15&gt;=Assumptions!$E$13,Assumptions!$E$14*(1+Assumptions!$E$15)^INT((A15-Assumptions!$E$13)/12),0)</f>
        <v>0</v>
      </c>
      <c r="D15" s="11" t="n">
        <f aca="false">D14*(1-Assumptions!$E$16)+C15</f>
        <v>0</v>
      </c>
      <c r="E15" s="11" t="n">
        <f aca="false">D15*Assumptions!$E$18</f>
        <v>0</v>
      </c>
      <c r="F15" s="11" t="n">
        <f aca="false">E15*Assumptions!$E$19*30/1000000</f>
        <v>0</v>
      </c>
      <c r="G15" s="11" t="n">
        <f aca="false">D15*Assumptions!$E$20</f>
        <v>0</v>
      </c>
      <c r="H15" s="11" t="n">
        <f aca="false">D15*Assumptions!$E$21</f>
        <v>0</v>
      </c>
      <c r="I15" s="11" t="n">
        <f aca="false">SUMIFS('Staff Months'!$E$6:$E$2345,'Staff Months'!$A$6:$A$2345,$AS$1,'Staff Months'!$C$6:$C$2345,A15)</f>
        <v>8.75</v>
      </c>
      <c r="J15" s="11" t="n">
        <f aca="false">SUMIFS('Staff Months'!$L$6:$L$2345,'Staff Months'!$A$6:$A$2345,$AS$1,'Staff Months'!$C$6:$C$2345,A15)</f>
        <v>10</v>
      </c>
      <c r="K15" s="10" t="n">
        <f aca="false">SUMIFS('Staff Months'!$H$6:$H$2345,'Staff Months'!$A$6:$A$2345,$AS$1,'Staff Months'!$C$6:$C$2345,A15)</f>
        <v>118375</v>
      </c>
      <c r="L15" s="10" t="n">
        <f aca="false">SUMIFS('Staff Months'!$J$6:$J$2345,'Staff Months'!$A$6:$A$2345,$AS$1,'Staff Months'!$C$6:$C$2345,A15)</f>
        <v>0</v>
      </c>
      <c r="M15" s="10" t="n">
        <f aca="false">SUMIFS('Staff Months'!$K$6:$K$2345,'Staff Months'!$A$6:$A$2345,$AS$1,'Staff Months'!$C$6:$C$2345,A15)</f>
        <v>0</v>
      </c>
      <c r="N15" s="10" t="n">
        <f aca="false">SUMIFS('Vendor Months'!$G$6:$G$3965,'Vendor Months'!$A$6:$A$3965,$AS$1,'Vendor Months'!$C$6:$C$3965,A15,'Vendor Months'!$J$6:$J$3965,"INFRA")</f>
        <v>1250</v>
      </c>
      <c r="O15" s="10" t="n">
        <f aca="false">SUMIFS('Vendor Months'!$G$6:$G$3965,'Vendor Months'!$A$6:$A$3965,$AS$1,'Vendor Months'!$C$6:$C$3965,A15,'Vendor Months'!$J$6:$J$3965,"TOOLS")</f>
        <v>441</v>
      </c>
      <c r="P15" s="10" t="n">
        <f aca="false">SUMIFS('Vendor Months'!$G$6:$G$3965,'Vendor Months'!$A$6:$A$3965,$AS$1,'Vendor Months'!$C$6:$C$3965,A15,'Vendor Months'!$J$6:$J$3965,"LEGAL")</f>
        <v>0</v>
      </c>
      <c r="Q15" s="10" t="n">
        <f aca="false">SUMIFS('Vendor Months'!$G$6:$G$3965,'Vendor Months'!$A$6:$A$3965,$AS$1,'Vendor Months'!$C$6:$C$3965,A15,'Vendor Months'!$J$6:$J$3965,"SECURITY")</f>
        <v>18000</v>
      </c>
      <c r="R15" s="10" t="n">
        <f aca="false">SUMIFS('Vendor Months'!$G$6:$G$3965,'Vendor Months'!$A$6:$A$3965,$AS$1,'Vendor Months'!$C$6:$C$3965,A15,'Vendor Months'!$J$6:$J$3965,"COMPLIANCE")</f>
        <v>0</v>
      </c>
      <c r="S15" s="10" t="n">
        <f aca="false">SUMIFS('Vendor Months'!$G$6:$G$3965,'Vendor Months'!$A$6:$A$3965,$AS$1,'Vendor Months'!$C$6:$C$3965,A15,'Vendor Months'!$J$6:$J$3965,"INSURANCE")</f>
        <v>0</v>
      </c>
      <c r="T15" s="10" t="n">
        <f aca="false">SUMIFS('Vendor Months'!$G$6:$G$3965,'Vendor Months'!$A$6:$A$3965,$AS$1,'Vendor Months'!$C$6:$C$3965,A15,'Vendor Months'!$J$6:$J$3965,"ACCOUNTING")</f>
        <v>600</v>
      </c>
      <c r="U15" s="10" t="n">
        <f aca="false">SUMIFS('Vendor Months'!$G$6:$G$3965,'Vendor Months'!$A$6:$A$3965,$AS$1,'Vendor Months'!$C$6:$C$3965,A15,'Vendor Months'!$J$6:$J$3965,"SUPPORT")</f>
        <v>100</v>
      </c>
      <c r="V15" s="10" t="n">
        <f aca="false">SUMIFS('Vendor Months'!$G$6:$G$3965,'Vendor Months'!$A$6:$A$3965,$AS$1,'Vendor Months'!$C$6:$C$3965,A15,'Vendor Months'!$J$6:$J$3965,"MARKETING")</f>
        <v>0</v>
      </c>
      <c r="W15" s="10" t="n">
        <f aca="false">SUMIFS('Vendor Months'!$G$6:$G$3965,'Vendor Months'!$A$6:$A$3965,$AS$1,'Vendor Months'!$C$6:$C$3965,A15,'Vendor Months'!$J$6:$J$3965,"ONBOARD")</f>
        <v>0</v>
      </c>
      <c r="X15" s="10" t="n">
        <f aca="false">SUMIFS('Vendor Months'!$G$6:$G$3965,'Vendor Months'!$A$6:$A$3965,$AS$1,'Vendor Months'!$C$6:$C$3965,A15,'Vendor Months'!$J$6:$J$3965,"AI")</f>
        <v>0</v>
      </c>
      <c r="Y15" s="10" t="n">
        <f aca="false">SUMIFS('Vendor Months'!$G$6:$G$3965,'Vendor Months'!$A$6:$A$3965,$AS$1,'Vendor Months'!$C$6:$C$3965,A15,'Vendor Months'!$J$6:$J$3965,"CTMS")</f>
        <v>0</v>
      </c>
      <c r="Z15" s="10" t="n">
        <f aca="false">SUM(N15:Y15)</f>
        <v>20391</v>
      </c>
      <c r="AA15" s="10" t="n">
        <f aca="false">(SUM(K15:M15)+Z15)*Assumptions!$E$12</f>
        <v>27753.2</v>
      </c>
      <c r="AB15" s="10" t="n">
        <f aca="false">AD15*Assumptions!$E$29</f>
        <v>0</v>
      </c>
      <c r="AC15" s="10" t="n">
        <f aca="false">SUM(K15:M15)+Z15+AA15+AB15</f>
        <v>166519.2</v>
      </c>
      <c r="AD15" s="10" t="n">
        <f aca="false">D15*Assumptions!$E$17</f>
        <v>0</v>
      </c>
      <c r="AE15" s="10" t="n">
        <f aca="false">AD15*12</f>
        <v>0</v>
      </c>
      <c r="AF15" s="10" t="n">
        <f aca="false">AC15-AD15</f>
        <v>166519.2</v>
      </c>
      <c r="AG15" s="10" t="n">
        <f aca="false">IF(A15=Assumptions!$E$7,Assumptions!$E$8,0)</f>
        <v>6000000</v>
      </c>
      <c r="AH15" s="10" t="n">
        <f aca="false">AI14</f>
        <v>959807.2</v>
      </c>
      <c r="AI15" s="10" t="n">
        <f aca="false">AH15+AG15-AF15</f>
        <v>6793288</v>
      </c>
      <c r="AJ15" s="10" t="n">
        <f aca="false">SUM($AC$6:AC15)</f>
        <v>1206712</v>
      </c>
      <c r="AK15" s="10" t="n">
        <f aca="false">MAX(0,-AI15)</f>
        <v>0</v>
      </c>
      <c r="AL15" s="10" t="n">
        <f aca="false">Assumptions!$E$6+SUM($AG$6:AG15)-AJ15</f>
        <v>6793288</v>
      </c>
      <c r="AM15" s="10" t="n">
        <f aca="false">SUMIFS('Vendor Months'!$H$6:$H$3965,'Vendor Months'!$A$6:$A$3965,$AS$1,'Vendor Months'!$C$6:$C$3965,A15)</f>
        <v>19850</v>
      </c>
      <c r="AN15" s="10" t="n">
        <f aca="false">X15+Y15</f>
        <v>0</v>
      </c>
      <c r="AO15" s="10" t="n">
        <f aca="false">SUMIFS('Staff Months'!$I$6:$I$2345,'Staff Months'!$A$6:$A$2345,$AS$1,'Staff Months'!$C$6:$C$2345,A15)</f>
        <v>16666.6666666667</v>
      </c>
      <c r="AP15" s="10" t="n">
        <f aca="false">SUM($AF$6:AF15)</f>
        <v>1206712</v>
      </c>
      <c r="AQ15" s="10" t="n">
        <f aca="false">AC15</f>
        <v>166519.2</v>
      </c>
      <c r="AR15" s="26" t="n">
        <f aca="false">IF(AI15&lt;0,1,0)</f>
        <v>0</v>
      </c>
      <c r="AS15" s="6"/>
    </row>
    <row r="16" customFormat="false" ht="15" hidden="false" customHeight="false" outlineLevel="0" collapsed="false">
      <c r="A16" s="6" t="n">
        <v>11</v>
      </c>
      <c r="B16" s="25" t="n">
        <f aca="false">EDATE('Start Here'!$B$6,A16-1)</f>
        <v>46631</v>
      </c>
      <c r="C16" s="11" t="n">
        <f aca="false">IF(A16&gt;=Assumptions!$E$13,Assumptions!$E$14*(1+Assumptions!$E$15)^INT((A16-Assumptions!$E$13)/12),0)</f>
        <v>0</v>
      </c>
      <c r="D16" s="11" t="n">
        <f aca="false">D15*(1-Assumptions!$E$16)+C16</f>
        <v>0</v>
      </c>
      <c r="E16" s="11" t="n">
        <f aca="false">D16*Assumptions!$E$18</f>
        <v>0</v>
      </c>
      <c r="F16" s="11" t="n">
        <f aca="false">E16*Assumptions!$E$19*30/1000000</f>
        <v>0</v>
      </c>
      <c r="G16" s="11" t="n">
        <f aca="false">D16*Assumptions!$E$20</f>
        <v>0</v>
      </c>
      <c r="H16" s="11" t="n">
        <f aca="false">D16*Assumptions!$E$21</f>
        <v>0</v>
      </c>
      <c r="I16" s="11" t="n">
        <f aca="false">SUMIFS('Staff Months'!$E$6:$E$2345,'Staff Months'!$A$6:$A$2345,$AS$1,'Staff Months'!$C$6:$C$2345,A16)</f>
        <v>8.75</v>
      </c>
      <c r="J16" s="11" t="n">
        <f aca="false">SUMIFS('Staff Months'!$L$6:$L$2345,'Staff Months'!$A$6:$A$2345,$AS$1,'Staff Months'!$C$6:$C$2345,A16)</f>
        <v>10</v>
      </c>
      <c r="K16" s="10" t="n">
        <f aca="false">SUMIFS('Staff Months'!$H$6:$H$2345,'Staff Months'!$A$6:$A$2345,$AS$1,'Staff Months'!$C$6:$C$2345,A16)</f>
        <v>118375</v>
      </c>
      <c r="L16" s="10" t="n">
        <f aca="false">SUMIFS('Staff Months'!$J$6:$J$2345,'Staff Months'!$A$6:$A$2345,$AS$1,'Staff Months'!$C$6:$C$2345,A16)</f>
        <v>0</v>
      </c>
      <c r="M16" s="10" t="n">
        <f aca="false">SUMIFS('Staff Months'!$K$6:$K$2345,'Staff Months'!$A$6:$A$2345,$AS$1,'Staff Months'!$C$6:$C$2345,A16)</f>
        <v>0</v>
      </c>
      <c r="N16" s="10" t="n">
        <f aca="false">SUMIFS('Vendor Months'!$G$6:$G$3965,'Vendor Months'!$A$6:$A$3965,$AS$1,'Vendor Months'!$C$6:$C$3965,A16,'Vendor Months'!$J$6:$J$3965,"INFRA")</f>
        <v>1250</v>
      </c>
      <c r="O16" s="10" t="n">
        <f aca="false">SUMIFS('Vendor Months'!$G$6:$G$3965,'Vendor Months'!$A$6:$A$3965,$AS$1,'Vendor Months'!$C$6:$C$3965,A16,'Vendor Months'!$J$6:$J$3965,"TOOLS")</f>
        <v>441</v>
      </c>
      <c r="P16" s="10" t="n">
        <f aca="false">SUMIFS('Vendor Months'!$G$6:$G$3965,'Vendor Months'!$A$6:$A$3965,$AS$1,'Vendor Months'!$C$6:$C$3965,A16,'Vendor Months'!$J$6:$J$3965,"LEGAL")</f>
        <v>0</v>
      </c>
      <c r="Q16" s="10" t="n">
        <f aca="false">SUMIFS('Vendor Months'!$G$6:$G$3965,'Vendor Months'!$A$6:$A$3965,$AS$1,'Vendor Months'!$C$6:$C$3965,A16,'Vendor Months'!$J$6:$J$3965,"SECURITY")</f>
        <v>0</v>
      </c>
      <c r="R16" s="10" t="n">
        <f aca="false">SUMIFS('Vendor Months'!$G$6:$G$3965,'Vendor Months'!$A$6:$A$3965,$AS$1,'Vendor Months'!$C$6:$C$3965,A16,'Vendor Months'!$J$6:$J$3965,"COMPLIANCE")</f>
        <v>15000</v>
      </c>
      <c r="S16" s="10" t="n">
        <f aca="false">SUMIFS('Vendor Months'!$G$6:$G$3965,'Vendor Months'!$A$6:$A$3965,$AS$1,'Vendor Months'!$C$6:$C$3965,A16,'Vendor Months'!$J$6:$J$3965,"INSURANCE")</f>
        <v>0</v>
      </c>
      <c r="T16" s="10" t="n">
        <f aca="false">SUMIFS('Vendor Months'!$G$6:$G$3965,'Vendor Months'!$A$6:$A$3965,$AS$1,'Vendor Months'!$C$6:$C$3965,A16,'Vendor Months'!$J$6:$J$3965,"ACCOUNTING")</f>
        <v>600</v>
      </c>
      <c r="U16" s="10" t="n">
        <f aca="false">SUMIFS('Vendor Months'!$G$6:$G$3965,'Vendor Months'!$A$6:$A$3965,$AS$1,'Vendor Months'!$C$6:$C$3965,A16,'Vendor Months'!$J$6:$J$3965,"SUPPORT")</f>
        <v>100</v>
      </c>
      <c r="V16" s="10" t="n">
        <f aca="false">SUMIFS('Vendor Months'!$G$6:$G$3965,'Vendor Months'!$A$6:$A$3965,$AS$1,'Vendor Months'!$C$6:$C$3965,A16,'Vendor Months'!$J$6:$J$3965,"MARKETING")</f>
        <v>0</v>
      </c>
      <c r="W16" s="10" t="n">
        <f aca="false">SUMIFS('Vendor Months'!$G$6:$G$3965,'Vendor Months'!$A$6:$A$3965,$AS$1,'Vendor Months'!$C$6:$C$3965,A16,'Vendor Months'!$J$6:$J$3965,"ONBOARD")</f>
        <v>0</v>
      </c>
      <c r="X16" s="10" t="n">
        <f aca="false">SUMIFS('Vendor Months'!$G$6:$G$3965,'Vendor Months'!$A$6:$A$3965,$AS$1,'Vendor Months'!$C$6:$C$3965,A16,'Vendor Months'!$J$6:$J$3965,"AI")</f>
        <v>0</v>
      </c>
      <c r="Y16" s="10" t="n">
        <f aca="false">SUMIFS('Vendor Months'!$G$6:$G$3965,'Vendor Months'!$A$6:$A$3965,$AS$1,'Vendor Months'!$C$6:$C$3965,A16,'Vendor Months'!$J$6:$J$3965,"CTMS")</f>
        <v>0</v>
      </c>
      <c r="Z16" s="10" t="n">
        <f aca="false">SUM(N16:Y16)</f>
        <v>17391</v>
      </c>
      <c r="AA16" s="10" t="n">
        <f aca="false">(SUM(K16:M16)+Z16)*Assumptions!$E$12</f>
        <v>27153.2</v>
      </c>
      <c r="AB16" s="10" t="n">
        <f aca="false">AD16*Assumptions!$E$29</f>
        <v>0</v>
      </c>
      <c r="AC16" s="10" t="n">
        <f aca="false">SUM(K16:M16)+Z16+AA16+AB16</f>
        <v>162919.2</v>
      </c>
      <c r="AD16" s="10" t="n">
        <f aca="false">D16*Assumptions!$E$17</f>
        <v>0</v>
      </c>
      <c r="AE16" s="10" t="n">
        <f aca="false">AD16*12</f>
        <v>0</v>
      </c>
      <c r="AF16" s="10" t="n">
        <f aca="false">AC16-AD16</f>
        <v>162919.2</v>
      </c>
      <c r="AG16" s="10" t="n">
        <f aca="false">IF(A16=Assumptions!$E$7,Assumptions!$E$8,0)</f>
        <v>0</v>
      </c>
      <c r="AH16" s="10" t="n">
        <f aca="false">AI15</f>
        <v>6793288</v>
      </c>
      <c r="AI16" s="10" t="n">
        <f aca="false">AH16+AG16-AF16</f>
        <v>6630368.8</v>
      </c>
      <c r="AJ16" s="10" t="n">
        <f aca="false">SUM($AC$6:AC16)</f>
        <v>1369631.2</v>
      </c>
      <c r="AK16" s="10" t="n">
        <f aca="false">MAX(0,-AI16)</f>
        <v>0</v>
      </c>
      <c r="AL16" s="10" t="n">
        <f aca="false">Assumptions!$E$6+SUM($AG$6:AG16)-AJ16</f>
        <v>6630368.8</v>
      </c>
      <c r="AM16" s="10" t="n">
        <f aca="false">SUMIFS('Vendor Months'!$H$6:$H$3965,'Vendor Months'!$A$6:$A$3965,$AS$1,'Vendor Months'!$C$6:$C$3965,A16)</f>
        <v>16850</v>
      </c>
      <c r="AN16" s="10" t="n">
        <f aca="false">X16+Y16</f>
        <v>0</v>
      </c>
      <c r="AO16" s="10" t="n">
        <f aca="false">SUMIFS('Staff Months'!$I$6:$I$2345,'Staff Months'!$A$6:$A$2345,$AS$1,'Staff Months'!$C$6:$C$2345,A16)</f>
        <v>16666.6666666667</v>
      </c>
      <c r="AP16" s="10" t="n">
        <f aca="false">SUM($AF$6:AF16)</f>
        <v>1369631.2</v>
      </c>
      <c r="AQ16" s="10" t="n">
        <f aca="false">AC16</f>
        <v>162919.2</v>
      </c>
      <c r="AR16" s="26" t="n">
        <f aca="false">IF(AI16&lt;0,1,0)</f>
        <v>0</v>
      </c>
      <c r="AS16" s="6"/>
    </row>
    <row r="17" customFormat="false" ht="15" hidden="false" customHeight="false" outlineLevel="0" collapsed="false">
      <c r="A17" s="6" t="n">
        <v>12</v>
      </c>
      <c r="B17" s="25" t="n">
        <f aca="false">EDATE('Start Here'!$B$6,A17-1)</f>
        <v>46661</v>
      </c>
      <c r="C17" s="11" t="n">
        <f aca="false">IF(A17&gt;=Assumptions!$E$13,Assumptions!$E$14*(1+Assumptions!$E$15)^INT((A17-Assumptions!$E$13)/12),0)</f>
        <v>2</v>
      </c>
      <c r="D17" s="11" t="n">
        <f aca="false">D16*(1-Assumptions!$E$16)+C17</f>
        <v>2</v>
      </c>
      <c r="E17" s="11" t="n">
        <f aca="false">D17*Assumptions!$E$18</f>
        <v>50</v>
      </c>
      <c r="F17" s="11" t="n">
        <f aca="false">E17*Assumptions!$E$19*30/1000000</f>
        <v>0.375</v>
      </c>
      <c r="G17" s="11" t="n">
        <f aca="false">D17*Assumptions!$E$20</f>
        <v>20</v>
      </c>
      <c r="H17" s="11" t="n">
        <f aca="false">D17*Assumptions!$E$21</f>
        <v>4</v>
      </c>
      <c r="I17" s="11" t="n">
        <f aca="false">SUMIFS('Staff Months'!$E$6:$E$2345,'Staff Months'!$A$6:$A$2345,$AS$1,'Staff Months'!$C$6:$C$2345,A17)</f>
        <v>8.75</v>
      </c>
      <c r="J17" s="11" t="n">
        <f aca="false">SUMIFS('Staff Months'!$L$6:$L$2345,'Staff Months'!$A$6:$A$2345,$AS$1,'Staff Months'!$C$6:$C$2345,A17)</f>
        <v>10</v>
      </c>
      <c r="K17" s="10" t="n">
        <f aca="false">SUMIFS('Staff Months'!$H$6:$H$2345,'Staff Months'!$A$6:$A$2345,$AS$1,'Staff Months'!$C$6:$C$2345,A17)</f>
        <v>118375</v>
      </c>
      <c r="L17" s="10" t="n">
        <f aca="false">SUMIFS('Staff Months'!$J$6:$J$2345,'Staff Months'!$A$6:$A$2345,$AS$1,'Staff Months'!$C$6:$C$2345,A17)</f>
        <v>0</v>
      </c>
      <c r="M17" s="10" t="n">
        <f aca="false">SUMIFS('Staff Months'!$K$6:$K$2345,'Staff Months'!$A$6:$A$2345,$AS$1,'Staff Months'!$C$6:$C$2345,A17)</f>
        <v>0</v>
      </c>
      <c r="N17" s="10" t="n">
        <f aca="false">SUMIFS('Vendor Months'!$G$6:$G$3965,'Vendor Months'!$A$6:$A$3965,$AS$1,'Vendor Months'!$C$6:$C$3965,A17,'Vendor Months'!$J$6:$J$3965,"INFRA")</f>
        <v>1284.25</v>
      </c>
      <c r="O17" s="10" t="n">
        <f aca="false">SUMIFS('Vendor Months'!$G$6:$G$3965,'Vendor Months'!$A$6:$A$3965,$AS$1,'Vendor Months'!$C$6:$C$3965,A17,'Vendor Months'!$J$6:$J$3965,"TOOLS")</f>
        <v>441</v>
      </c>
      <c r="P17" s="10" t="n">
        <f aca="false">SUMIFS('Vendor Months'!$G$6:$G$3965,'Vendor Months'!$A$6:$A$3965,$AS$1,'Vendor Months'!$C$6:$C$3965,A17,'Vendor Months'!$J$6:$J$3965,"LEGAL")</f>
        <v>0</v>
      </c>
      <c r="Q17" s="10" t="n">
        <f aca="false">SUMIFS('Vendor Months'!$G$6:$G$3965,'Vendor Months'!$A$6:$A$3965,$AS$1,'Vendor Months'!$C$6:$C$3965,A17,'Vendor Months'!$J$6:$J$3965,"SECURITY")</f>
        <v>0</v>
      </c>
      <c r="R17" s="10" t="n">
        <f aca="false">SUMIFS('Vendor Months'!$G$6:$G$3965,'Vendor Months'!$A$6:$A$3965,$AS$1,'Vendor Months'!$C$6:$C$3965,A17,'Vendor Months'!$J$6:$J$3965,"COMPLIANCE")</f>
        <v>0</v>
      </c>
      <c r="S17" s="10" t="n">
        <f aca="false">SUMIFS('Vendor Months'!$G$6:$G$3965,'Vendor Months'!$A$6:$A$3965,$AS$1,'Vendor Months'!$C$6:$C$3965,A17,'Vendor Months'!$J$6:$J$3965,"INSURANCE")</f>
        <v>0</v>
      </c>
      <c r="T17" s="10" t="n">
        <f aca="false">SUMIFS('Vendor Months'!$G$6:$G$3965,'Vendor Months'!$A$6:$A$3965,$AS$1,'Vendor Months'!$C$6:$C$3965,A17,'Vendor Months'!$J$6:$J$3965,"ACCOUNTING")</f>
        <v>600</v>
      </c>
      <c r="U17" s="10" t="n">
        <f aca="false">SUMIFS('Vendor Months'!$G$6:$G$3965,'Vendor Months'!$A$6:$A$3965,$AS$1,'Vendor Months'!$C$6:$C$3965,A17,'Vendor Months'!$J$6:$J$3965,"SUPPORT")</f>
        <v>100</v>
      </c>
      <c r="V17" s="10" t="n">
        <f aca="false">SUMIFS('Vendor Months'!$G$6:$G$3965,'Vendor Months'!$A$6:$A$3965,$AS$1,'Vendor Months'!$C$6:$C$3965,A17,'Vendor Months'!$J$6:$J$3965,"MARKETING")</f>
        <v>150</v>
      </c>
      <c r="W17" s="10" t="n">
        <f aca="false">SUMIFS('Vendor Months'!$G$6:$G$3965,'Vendor Months'!$A$6:$A$3965,$AS$1,'Vendor Months'!$C$6:$C$3965,A17,'Vendor Months'!$J$6:$J$3965,"ONBOARD")</f>
        <v>600</v>
      </c>
      <c r="X17" s="10" t="n">
        <f aca="false">SUMIFS('Vendor Months'!$G$6:$G$3965,'Vendor Months'!$A$6:$A$3965,$AS$1,'Vendor Months'!$C$6:$C$3965,A17,'Vendor Months'!$J$6:$J$3965,"AI")</f>
        <v>0</v>
      </c>
      <c r="Y17" s="10" t="n">
        <f aca="false">SUMIFS('Vendor Months'!$G$6:$G$3965,'Vendor Months'!$A$6:$A$3965,$AS$1,'Vendor Months'!$C$6:$C$3965,A17,'Vendor Months'!$J$6:$J$3965,"CTMS")</f>
        <v>0</v>
      </c>
      <c r="Z17" s="10" t="n">
        <f aca="false">SUM(N17:Y17)</f>
        <v>3175.25</v>
      </c>
      <c r="AA17" s="10" t="n">
        <f aca="false">(SUM(K17:M17)+Z17)*Assumptions!$E$12</f>
        <v>24310.05</v>
      </c>
      <c r="AB17" s="10" t="n">
        <f aca="false">AD17*Assumptions!$E$29</f>
        <v>84</v>
      </c>
      <c r="AC17" s="10" t="n">
        <f aca="false">SUM(K17:M17)+Z17+AA17+AB17</f>
        <v>145944.3</v>
      </c>
      <c r="AD17" s="10" t="n">
        <f aca="false">D17*Assumptions!$E$17</f>
        <v>2800</v>
      </c>
      <c r="AE17" s="10" t="n">
        <f aca="false">AD17*12</f>
        <v>33600</v>
      </c>
      <c r="AF17" s="10" t="n">
        <f aca="false">AC17-AD17</f>
        <v>143144.3</v>
      </c>
      <c r="AG17" s="10" t="n">
        <f aca="false">IF(A17=Assumptions!$E$7,Assumptions!$E$8,0)</f>
        <v>0</v>
      </c>
      <c r="AH17" s="10" t="n">
        <f aca="false">AI16</f>
        <v>6630368.8</v>
      </c>
      <c r="AI17" s="10" t="n">
        <f aca="false">AH17+AG17-AF17</f>
        <v>6487224.5</v>
      </c>
      <c r="AJ17" s="10" t="n">
        <f aca="false">SUM($AC$6:AC17)</f>
        <v>1515575.5</v>
      </c>
      <c r="AK17" s="10" t="n">
        <f aca="false">MAX(0,-AI17)</f>
        <v>0</v>
      </c>
      <c r="AL17" s="10" t="n">
        <f aca="false">Assumptions!$E$6+SUM($AG$6:AG17)-AJ17</f>
        <v>6484424.5</v>
      </c>
      <c r="AM17" s="10" t="n">
        <f aca="false">SUMIFS('Vendor Months'!$H$6:$H$3965,'Vendor Months'!$A$6:$A$3965,$AS$1,'Vendor Months'!$C$6:$C$3965,A17)</f>
        <v>1850</v>
      </c>
      <c r="AN17" s="10" t="n">
        <f aca="false">X17+Y17</f>
        <v>0</v>
      </c>
      <c r="AO17" s="10" t="n">
        <f aca="false">SUMIFS('Staff Months'!$I$6:$I$2345,'Staff Months'!$A$6:$A$2345,$AS$1,'Staff Months'!$C$6:$C$2345,A17)</f>
        <v>16666.6666666667</v>
      </c>
      <c r="AP17" s="10" t="n">
        <f aca="false">SUM($AF$6:AF17)</f>
        <v>1512775.5</v>
      </c>
      <c r="AQ17" s="10" t="n">
        <f aca="false">AC17</f>
        <v>145944.3</v>
      </c>
      <c r="AR17" s="26" t="n">
        <f aca="false">IF(AI17&lt;0,1,0)</f>
        <v>0</v>
      </c>
      <c r="AS17" s="6"/>
    </row>
    <row r="18" customFormat="false" ht="15" hidden="false" customHeight="false" outlineLevel="0" collapsed="false">
      <c r="A18" s="6" t="n">
        <v>13</v>
      </c>
      <c r="B18" s="25" t="n">
        <f aca="false">EDATE('Start Here'!$B$6,A18-1)</f>
        <v>46692</v>
      </c>
      <c r="C18" s="11" t="n">
        <f aca="false">IF(A18&gt;=Assumptions!$E$13,Assumptions!$E$14*(1+Assumptions!$E$15)^INT((A18-Assumptions!$E$13)/12),0)</f>
        <v>2</v>
      </c>
      <c r="D18" s="11" t="n">
        <f aca="false">D17*(1-Assumptions!$E$16)+C18</f>
        <v>3.98</v>
      </c>
      <c r="E18" s="11" t="n">
        <f aca="false">D18*Assumptions!$E$18</f>
        <v>99.5</v>
      </c>
      <c r="F18" s="11" t="n">
        <f aca="false">E18*Assumptions!$E$19*30/1000000</f>
        <v>0.74625</v>
      </c>
      <c r="G18" s="11" t="n">
        <f aca="false">D18*Assumptions!$E$20</f>
        <v>39.8</v>
      </c>
      <c r="H18" s="11" t="n">
        <f aca="false">D18*Assumptions!$E$21</f>
        <v>7.96</v>
      </c>
      <c r="I18" s="11" t="n">
        <f aca="false">SUMIFS('Staff Months'!$E$6:$E$2345,'Staff Months'!$A$6:$A$2345,$AS$1,'Staff Months'!$C$6:$C$2345,A18)</f>
        <v>8.75</v>
      </c>
      <c r="J18" s="11" t="n">
        <f aca="false">SUMIFS('Staff Months'!$L$6:$L$2345,'Staff Months'!$A$6:$A$2345,$AS$1,'Staff Months'!$C$6:$C$2345,A18)</f>
        <v>10</v>
      </c>
      <c r="K18" s="10" t="n">
        <f aca="false">SUMIFS('Staff Months'!$H$6:$H$2345,'Staff Months'!$A$6:$A$2345,$AS$1,'Staff Months'!$C$6:$C$2345,A18)</f>
        <v>124293.75</v>
      </c>
      <c r="L18" s="10" t="n">
        <f aca="false">SUMIFS('Staff Months'!$J$6:$J$2345,'Staff Months'!$A$6:$A$2345,$AS$1,'Staff Months'!$C$6:$C$2345,A18)</f>
        <v>0</v>
      </c>
      <c r="M18" s="10" t="n">
        <f aca="false">SUMIFS('Staff Months'!$K$6:$K$2345,'Staff Months'!$A$6:$A$2345,$AS$1,'Staff Months'!$C$6:$C$2345,A18)</f>
        <v>0</v>
      </c>
      <c r="N18" s="10" t="n">
        <f aca="false">SUMIFS('Vendor Months'!$G$6:$G$3965,'Vendor Months'!$A$6:$A$3965,$AS$1,'Vendor Months'!$C$6:$C$3965,A18,'Vendor Months'!$J$6:$J$3965,"INFRA")</f>
        <v>1370.8838</v>
      </c>
      <c r="O18" s="10" t="n">
        <f aca="false">SUMIFS('Vendor Months'!$G$6:$G$3965,'Vendor Months'!$A$6:$A$3965,$AS$1,'Vendor Months'!$C$6:$C$3965,A18,'Vendor Months'!$J$6:$J$3965,"TOOLS")</f>
        <v>458.64</v>
      </c>
      <c r="P18" s="10" t="n">
        <f aca="false">SUMIFS('Vendor Months'!$G$6:$G$3965,'Vendor Months'!$A$6:$A$3965,$AS$1,'Vendor Months'!$C$6:$C$3965,A18,'Vendor Months'!$J$6:$J$3965,"LEGAL")</f>
        <v>0</v>
      </c>
      <c r="Q18" s="10" t="n">
        <f aca="false">SUMIFS('Vendor Months'!$G$6:$G$3965,'Vendor Months'!$A$6:$A$3965,$AS$1,'Vendor Months'!$C$6:$C$3965,A18,'Vendor Months'!$J$6:$J$3965,"SECURITY")</f>
        <v>0</v>
      </c>
      <c r="R18" s="10" t="n">
        <f aca="false">SUMIFS('Vendor Months'!$G$6:$G$3965,'Vendor Months'!$A$6:$A$3965,$AS$1,'Vendor Months'!$C$6:$C$3965,A18,'Vendor Months'!$J$6:$J$3965,"COMPLIANCE")</f>
        <v>0</v>
      </c>
      <c r="S18" s="10" t="n">
        <f aca="false">SUMIFS('Vendor Months'!$G$6:$G$3965,'Vendor Months'!$A$6:$A$3965,$AS$1,'Vendor Months'!$C$6:$C$3965,A18,'Vendor Months'!$J$6:$J$3965,"INSURANCE")</f>
        <v>0</v>
      </c>
      <c r="T18" s="10" t="n">
        <f aca="false">SUMIFS('Vendor Months'!$G$6:$G$3965,'Vendor Months'!$A$6:$A$3965,$AS$1,'Vendor Months'!$C$6:$C$3965,A18,'Vendor Months'!$J$6:$J$3965,"ACCOUNTING")</f>
        <v>624</v>
      </c>
      <c r="U18" s="10" t="n">
        <f aca="false">SUMIFS('Vendor Months'!$G$6:$G$3965,'Vendor Months'!$A$6:$A$3965,$AS$1,'Vendor Months'!$C$6:$C$3965,A18,'Vendor Months'!$J$6:$J$3965,"SUPPORT")</f>
        <v>104</v>
      </c>
      <c r="V18" s="10" t="n">
        <f aca="false">SUMIFS('Vendor Months'!$G$6:$G$3965,'Vendor Months'!$A$6:$A$3965,$AS$1,'Vendor Months'!$C$6:$C$3965,A18,'Vendor Months'!$J$6:$J$3965,"MARKETING")</f>
        <v>310.44</v>
      </c>
      <c r="W18" s="10" t="n">
        <f aca="false">SUMIFS('Vendor Months'!$G$6:$G$3965,'Vendor Months'!$A$6:$A$3965,$AS$1,'Vendor Months'!$C$6:$C$3965,A18,'Vendor Months'!$J$6:$J$3965,"ONBOARD")</f>
        <v>624</v>
      </c>
      <c r="X18" s="10" t="n">
        <f aca="false">SUMIFS('Vendor Months'!$G$6:$G$3965,'Vendor Months'!$A$6:$A$3965,$AS$1,'Vendor Months'!$C$6:$C$3965,A18,'Vendor Months'!$J$6:$J$3965,"AI")</f>
        <v>0</v>
      </c>
      <c r="Y18" s="10" t="n">
        <f aca="false">SUMIFS('Vendor Months'!$G$6:$G$3965,'Vendor Months'!$A$6:$A$3965,$AS$1,'Vendor Months'!$C$6:$C$3965,A18,'Vendor Months'!$J$6:$J$3965,"CTMS")</f>
        <v>0</v>
      </c>
      <c r="Z18" s="10" t="n">
        <f aca="false">SUM(N18:Y18)</f>
        <v>3491.9638</v>
      </c>
      <c r="AA18" s="10" t="n">
        <f aca="false">(SUM(K18:M18)+Z18)*Assumptions!$E$12</f>
        <v>25557.14276</v>
      </c>
      <c r="AB18" s="10" t="n">
        <f aca="false">AD18*Assumptions!$E$29</f>
        <v>167.16</v>
      </c>
      <c r="AC18" s="10" t="n">
        <f aca="false">SUM(K18:M18)+Z18+AA18+AB18</f>
        <v>153510.01656</v>
      </c>
      <c r="AD18" s="10" t="n">
        <f aca="false">D18*Assumptions!$E$17</f>
        <v>5572</v>
      </c>
      <c r="AE18" s="10" t="n">
        <f aca="false">AD18*12</f>
        <v>66864</v>
      </c>
      <c r="AF18" s="10" t="n">
        <f aca="false">AC18-AD18</f>
        <v>147938.01656</v>
      </c>
      <c r="AG18" s="10" t="n">
        <f aca="false">IF(A18=Assumptions!$E$7,Assumptions!$E$8,0)</f>
        <v>0</v>
      </c>
      <c r="AH18" s="10" t="n">
        <f aca="false">AI17</f>
        <v>6487224.5</v>
      </c>
      <c r="AI18" s="10" t="n">
        <f aca="false">AH18+AG18-AF18</f>
        <v>6339286.48344</v>
      </c>
      <c r="AJ18" s="10" t="n">
        <f aca="false">SUM($AC$6:AC18)</f>
        <v>1669085.51656</v>
      </c>
      <c r="AK18" s="10" t="n">
        <f aca="false">MAX(0,-AI18)</f>
        <v>0</v>
      </c>
      <c r="AL18" s="10" t="n">
        <f aca="false">Assumptions!$E$6+SUM($AG$6:AG18)-AJ18</f>
        <v>6330914.48344</v>
      </c>
      <c r="AM18" s="10" t="n">
        <f aca="false">SUMIFS('Vendor Months'!$H$6:$H$3965,'Vendor Months'!$A$6:$A$3965,$AS$1,'Vendor Months'!$C$6:$C$3965,A18)</f>
        <v>1924</v>
      </c>
      <c r="AN18" s="10" t="n">
        <f aca="false">X18+Y18</f>
        <v>0</v>
      </c>
      <c r="AO18" s="10" t="n">
        <f aca="false">SUMIFS('Staff Months'!$I$6:$I$2345,'Staff Months'!$A$6:$A$2345,$AS$1,'Staff Months'!$C$6:$C$2345,A18)</f>
        <v>17500</v>
      </c>
      <c r="AP18" s="10" t="n">
        <f aca="false">SUM($AF$6:AF18)</f>
        <v>1660713.51656</v>
      </c>
      <c r="AQ18" s="10" t="n">
        <f aca="false">AC18</f>
        <v>153510.01656</v>
      </c>
      <c r="AR18" s="26" t="n">
        <f aca="false">IF(AI18&lt;0,1,0)</f>
        <v>0</v>
      </c>
      <c r="AS18" s="6"/>
    </row>
    <row r="19" customFormat="false" ht="15" hidden="false" customHeight="false" outlineLevel="0" collapsed="false">
      <c r="A19" s="6" t="n">
        <v>14</v>
      </c>
      <c r="B19" s="25" t="n">
        <f aca="false">EDATE('Start Here'!$B$6,A19-1)</f>
        <v>46722</v>
      </c>
      <c r="C19" s="11" t="n">
        <f aca="false">IF(A19&gt;=Assumptions!$E$13,Assumptions!$E$14*(1+Assumptions!$E$15)^INT((A19-Assumptions!$E$13)/12),0)</f>
        <v>2</v>
      </c>
      <c r="D19" s="11" t="n">
        <f aca="false">D18*(1-Assumptions!$E$16)+C19</f>
        <v>5.9402</v>
      </c>
      <c r="E19" s="11" t="n">
        <f aca="false">D19*Assumptions!$E$18</f>
        <v>148.505</v>
      </c>
      <c r="F19" s="11" t="n">
        <f aca="false">E19*Assumptions!$E$19*30/1000000</f>
        <v>1.1137875</v>
      </c>
      <c r="G19" s="11" t="n">
        <f aca="false">D19*Assumptions!$E$20</f>
        <v>59.402</v>
      </c>
      <c r="H19" s="11" t="n">
        <f aca="false">D19*Assumptions!$E$21</f>
        <v>11.8804</v>
      </c>
      <c r="I19" s="11" t="n">
        <f aca="false">SUMIFS('Staff Months'!$E$6:$E$2345,'Staff Months'!$A$6:$A$2345,$AS$1,'Staff Months'!$C$6:$C$2345,A19)</f>
        <v>8.75</v>
      </c>
      <c r="J19" s="11" t="n">
        <f aca="false">SUMIFS('Staff Months'!$L$6:$L$2345,'Staff Months'!$A$6:$A$2345,$AS$1,'Staff Months'!$C$6:$C$2345,A19)</f>
        <v>10</v>
      </c>
      <c r="K19" s="10" t="n">
        <f aca="false">SUMIFS('Staff Months'!$H$6:$H$2345,'Staff Months'!$A$6:$A$2345,$AS$1,'Staff Months'!$C$6:$C$2345,A19)</f>
        <v>124293.75</v>
      </c>
      <c r="L19" s="10" t="n">
        <f aca="false">SUMIFS('Staff Months'!$J$6:$J$2345,'Staff Months'!$A$6:$A$2345,$AS$1,'Staff Months'!$C$6:$C$2345,A19)</f>
        <v>0</v>
      </c>
      <c r="M19" s="10" t="n">
        <f aca="false">SUMIFS('Staff Months'!$K$6:$K$2345,'Staff Months'!$A$6:$A$2345,$AS$1,'Staff Months'!$C$6:$C$2345,A19)</f>
        <v>0</v>
      </c>
      <c r="N19" s="10" t="n">
        <f aca="false">SUMIFS('Vendor Months'!$G$6:$G$3965,'Vendor Months'!$A$6:$A$3965,$AS$1,'Vendor Months'!$C$6:$C$3965,A19,'Vendor Months'!$J$6:$J$3965,"INFRA")</f>
        <v>1405.794962</v>
      </c>
      <c r="O19" s="10" t="n">
        <f aca="false">SUMIFS('Vendor Months'!$G$6:$G$3965,'Vendor Months'!$A$6:$A$3965,$AS$1,'Vendor Months'!$C$6:$C$3965,A19,'Vendor Months'!$J$6:$J$3965,"TOOLS")</f>
        <v>458.64</v>
      </c>
      <c r="P19" s="10" t="n">
        <f aca="false">SUMIFS('Vendor Months'!$G$6:$G$3965,'Vendor Months'!$A$6:$A$3965,$AS$1,'Vendor Months'!$C$6:$C$3965,A19,'Vendor Months'!$J$6:$J$3965,"LEGAL")</f>
        <v>12480</v>
      </c>
      <c r="Q19" s="10" t="n">
        <f aca="false">SUMIFS('Vendor Months'!$G$6:$G$3965,'Vendor Months'!$A$6:$A$3965,$AS$1,'Vendor Months'!$C$6:$C$3965,A19,'Vendor Months'!$J$6:$J$3965,"SECURITY")</f>
        <v>0</v>
      </c>
      <c r="R19" s="10" t="n">
        <f aca="false">SUMIFS('Vendor Months'!$G$6:$G$3965,'Vendor Months'!$A$6:$A$3965,$AS$1,'Vendor Months'!$C$6:$C$3965,A19,'Vendor Months'!$J$6:$J$3965,"COMPLIANCE")</f>
        <v>0</v>
      </c>
      <c r="S19" s="10" t="n">
        <f aca="false">SUMIFS('Vendor Months'!$G$6:$G$3965,'Vendor Months'!$A$6:$A$3965,$AS$1,'Vendor Months'!$C$6:$C$3965,A19,'Vendor Months'!$J$6:$J$3965,"INSURANCE")</f>
        <v>0</v>
      </c>
      <c r="T19" s="10" t="n">
        <f aca="false">SUMIFS('Vendor Months'!$G$6:$G$3965,'Vendor Months'!$A$6:$A$3965,$AS$1,'Vendor Months'!$C$6:$C$3965,A19,'Vendor Months'!$J$6:$J$3965,"ACCOUNTING")</f>
        <v>624</v>
      </c>
      <c r="U19" s="10" t="n">
        <f aca="false">SUMIFS('Vendor Months'!$G$6:$G$3965,'Vendor Months'!$A$6:$A$3965,$AS$1,'Vendor Months'!$C$6:$C$3965,A19,'Vendor Months'!$J$6:$J$3965,"SUPPORT")</f>
        <v>104</v>
      </c>
      <c r="V19" s="10" t="n">
        <f aca="false">SUMIFS('Vendor Months'!$G$6:$G$3965,'Vendor Months'!$A$6:$A$3965,$AS$1,'Vendor Months'!$C$6:$C$3965,A19,'Vendor Months'!$J$6:$J$3965,"MARKETING")</f>
        <v>463.3356</v>
      </c>
      <c r="W19" s="10" t="n">
        <f aca="false">SUMIFS('Vendor Months'!$G$6:$G$3965,'Vendor Months'!$A$6:$A$3965,$AS$1,'Vendor Months'!$C$6:$C$3965,A19,'Vendor Months'!$J$6:$J$3965,"ONBOARD")</f>
        <v>624</v>
      </c>
      <c r="X19" s="10" t="n">
        <f aca="false">SUMIFS('Vendor Months'!$G$6:$G$3965,'Vendor Months'!$A$6:$A$3965,$AS$1,'Vendor Months'!$C$6:$C$3965,A19,'Vendor Months'!$J$6:$J$3965,"AI")</f>
        <v>0</v>
      </c>
      <c r="Y19" s="10" t="n">
        <f aca="false">SUMIFS('Vendor Months'!$G$6:$G$3965,'Vendor Months'!$A$6:$A$3965,$AS$1,'Vendor Months'!$C$6:$C$3965,A19,'Vendor Months'!$J$6:$J$3965,"CTMS")</f>
        <v>0</v>
      </c>
      <c r="Z19" s="10" t="n">
        <f aca="false">SUM(N19:Y19)</f>
        <v>16159.770562</v>
      </c>
      <c r="AA19" s="10" t="n">
        <f aca="false">(SUM(K19:M19)+Z19)*Assumptions!$E$12</f>
        <v>28090.7041124</v>
      </c>
      <c r="AB19" s="10" t="n">
        <f aca="false">AD19*Assumptions!$E$29</f>
        <v>249.4884</v>
      </c>
      <c r="AC19" s="10" t="n">
        <f aca="false">SUM(K19:M19)+Z19+AA19+AB19</f>
        <v>168793.7130744</v>
      </c>
      <c r="AD19" s="10" t="n">
        <f aca="false">D19*Assumptions!$E$17</f>
        <v>8316.28</v>
      </c>
      <c r="AE19" s="10" t="n">
        <f aca="false">AD19*12</f>
        <v>99795.36</v>
      </c>
      <c r="AF19" s="10" t="n">
        <f aca="false">AC19-AD19</f>
        <v>160477.4330744</v>
      </c>
      <c r="AG19" s="10" t="n">
        <f aca="false">IF(A19=Assumptions!$E$7,Assumptions!$E$8,0)</f>
        <v>0</v>
      </c>
      <c r="AH19" s="10" t="n">
        <f aca="false">AI18</f>
        <v>6339286.48344</v>
      </c>
      <c r="AI19" s="10" t="n">
        <f aca="false">AH19+AG19-AF19</f>
        <v>6178809.0503656</v>
      </c>
      <c r="AJ19" s="10" t="n">
        <f aca="false">SUM($AC$6:AC19)</f>
        <v>1837879.2296344</v>
      </c>
      <c r="AK19" s="10" t="n">
        <f aca="false">MAX(0,-AI19)</f>
        <v>0</v>
      </c>
      <c r="AL19" s="10" t="n">
        <f aca="false">Assumptions!$E$6+SUM($AG$6:AG19)-AJ19</f>
        <v>6162120.7703656</v>
      </c>
      <c r="AM19" s="10" t="n">
        <f aca="false">SUMIFS('Vendor Months'!$H$6:$H$3965,'Vendor Months'!$A$6:$A$3965,$AS$1,'Vendor Months'!$C$6:$C$3965,A19)</f>
        <v>14404</v>
      </c>
      <c r="AN19" s="10" t="n">
        <f aca="false">X19+Y19</f>
        <v>0</v>
      </c>
      <c r="AO19" s="10" t="n">
        <f aca="false">SUMIFS('Staff Months'!$I$6:$I$2345,'Staff Months'!$A$6:$A$2345,$AS$1,'Staff Months'!$C$6:$C$2345,A19)</f>
        <v>17500</v>
      </c>
      <c r="AP19" s="10" t="n">
        <f aca="false">SUM($AF$6:AF19)</f>
        <v>1821190.9496344</v>
      </c>
      <c r="AQ19" s="10" t="n">
        <f aca="false">AC19</f>
        <v>168793.7130744</v>
      </c>
      <c r="AR19" s="26" t="n">
        <f aca="false">IF(AI19&lt;0,1,0)</f>
        <v>0</v>
      </c>
      <c r="AS19" s="6"/>
    </row>
    <row r="20" customFormat="false" ht="15" hidden="false" customHeight="false" outlineLevel="0" collapsed="false">
      <c r="A20" s="6" t="n">
        <v>15</v>
      </c>
      <c r="B20" s="25" t="n">
        <f aca="false">EDATE('Start Here'!$B$6,A20-1)</f>
        <v>46753</v>
      </c>
      <c r="C20" s="11" t="n">
        <f aca="false">IF(A20&gt;=Assumptions!$E$13,Assumptions!$E$14*(1+Assumptions!$E$15)^INT((A20-Assumptions!$E$13)/12),0)</f>
        <v>2</v>
      </c>
      <c r="D20" s="11" t="n">
        <f aca="false">D19*(1-Assumptions!$E$16)+C20</f>
        <v>7.880798</v>
      </c>
      <c r="E20" s="11" t="n">
        <f aca="false">D20*Assumptions!$E$18</f>
        <v>197.01995</v>
      </c>
      <c r="F20" s="11" t="n">
        <f aca="false">E20*Assumptions!$E$19*30/1000000</f>
        <v>1.477649625</v>
      </c>
      <c r="G20" s="11" t="n">
        <f aca="false">D20*Assumptions!$E$20</f>
        <v>78.80798</v>
      </c>
      <c r="H20" s="11" t="n">
        <f aca="false">D20*Assumptions!$E$21</f>
        <v>15.761596</v>
      </c>
      <c r="I20" s="11" t="n">
        <f aca="false">SUMIFS('Staff Months'!$E$6:$E$2345,'Staff Months'!$A$6:$A$2345,$AS$1,'Staff Months'!$C$6:$C$2345,A20)</f>
        <v>8.75</v>
      </c>
      <c r="J20" s="11" t="n">
        <f aca="false">SUMIFS('Staff Months'!$L$6:$L$2345,'Staff Months'!$A$6:$A$2345,$AS$1,'Staff Months'!$C$6:$C$2345,A20)</f>
        <v>10</v>
      </c>
      <c r="K20" s="10" t="n">
        <f aca="false">SUMIFS('Staff Months'!$H$6:$H$2345,'Staff Months'!$A$6:$A$2345,$AS$1,'Staff Months'!$C$6:$C$2345,A20)</f>
        <v>124293.75</v>
      </c>
      <c r="L20" s="10" t="n">
        <f aca="false">SUMIFS('Staff Months'!$J$6:$J$2345,'Staff Months'!$A$6:$A$2345,$AS$1,'Staff Months'!$C$6:$C$2345,A20)</f>
        <v>0</v>
      </c>
      <c r="M20" s="10" t="n">
        <f aca="false">SUMIFS('Staff Months'!$K$6:$K$2345,'Staff Months'!$A$6:$A$2345,$AS$1,'Staff Months'!$C$6:$C$2345,A20)</f>
        <v>0</v>
      </c>
      <c r="N20" s="10" t="n">
        <f aca="false">SUMIFS('Vendor Months'!$G$6:$G$3965,'Vendor Months'!$A$6:$A$3965,$AS$1,'Vendor Months'!$C$6:$C$3965,A20,'Vendor Months'!$J$6:$J$3965,"INFRA")</f>
        <v>1440.35701238</v>
      </c>
      <c r="O20" s="10" t="n">
        <f aca="false">SUMIFS('Vendor Months'!$G$6:$G$3965,'Vendor Months'!$A$6:$A$3965,$AS$1,'Vendor Months'!$C$6:$C$3965,A20,'Vendor Months'!$J$6:$J$3965,"TOOLS")</f>
        <v>458.64</v>
      </c>
      <c r="P20" s="10" t="n">
        <f aca="false">SUMIFS('Vendor Months'!$G$6:$G$3965,'Vendor Months'!$A$6:$A$3965,$AS$1,'Vendor Months'!$C$6:$C$3965,A20,'Vendor Months'!$J$6:$J$3965,"LEGAL")</f>
        <v>0</v>
      </c>
      <c r="Q20" s="10" t="n">
        <f aca="false">SUMIFS('Vendor Months'!$G$6:$G$3965,'Vendor Months'!$A$6:$A$3965,$AS$1,'Vendor Months'!$C$6:$C$3965,A20,'Vendor Months'!$J$6:$J$3965,"SECURITY")</f>
        <v>0</v>
      </c>
      <c r="R20" s="10" t="n">
        <f aca="false">SUMIFS('Vendor Months'!$G$6:$G$3965,'Vendor Months'!$A$6:$A$3965,$AS$1,'Vendor Months'!$C$6:$C$3965,A20,'Vendor Months'!$J$6:$J$3965,"COMPLIANCE")</f>
        <v>0</v>
      </c>
      <c r="S20" s="10" t="n">
        <f aca="false">SUMIFS('Vendor Months'!$G$6:$G$3965,'Vendor Months'!$A$6:$A$3965,$AS$1,'Vendor Months'!$C$6:$C$3965,A20,'Vendor Months'!$J$6:$J$3965,"INSURANCE")</f>
        <v>0</v>
      </c>
      <c r="T20" s="10" t="n">
        <f aca="false">SUMIFS('Vendor Months'!$G$6:$G$3965,'Vendor Months'!$A$6:$A$3965,$AS$1,'Vendor Months'!$C$6:$C$3965,A20,'Vendor Months'!$J$6:$J$3965,"ACCOUNTING")</f>
        <v>624</v>
      </c>
      <c r="U20" s="10" t="n">
        <f aca="false">SUMIFS('Vendor Months'!$G$6:$G$3965,'Vendor Months'!$A$6:$A$3965,$AS$1,'Vendor Months'!$C$6:$C$3965,A20,'Vendor Months'!$J$6:$J$3965,"SUPPORT")</f>
        <v>104</v>
      </c>
      <c r="V20" s="10" t="n">
        <f aca="false">SUMIFS('Vendor Months'!$G$6:$G$3965,'Vendor Months'!$A$6:$A$3965,$AS$1,'Vendor Months'!$C$6:$C$3965,A20,'Vendor Months'!$J$6:$J$3965,"MARKETING")</f>
        <v>614.702244</v>
      </c>
      <c r="W20" s="10" t="n">
        <f aca="false">SUMIFS('Vendor Months'!$G$6:$G$3965,'Vendor Months'!$A$6:$A$3965,$AS$1,'Vendor Months'!$C$6:$C$3965,A20,'Vendor Months'!$J$6:$J$3965,"ONBOARD")</f>
        <v>624</v>
      </c>
      <c r="X20" s="10" t="n">
        <f aca="false">SUMIFS('Vendor Months'!$G$6:$G$3965,'Vendor Months'!$A$6:$A$3965,$AS$1,'Vendor Months'!$C$6:$C$3965,A20,'Vendor Months'!$J$6:$J$3965,"AI")</f>
        <v>0</v>
      </c>
      <c r="Y20" s="10" t="n">
        <f aca="false">SUMIFS('Vendor Months'!$G$6:$G$3965,'Vendor Months'!$A$6:$A$3965,$AS$1,'Vendor Months'!$C$6:$C$3965,A20,'Vendor Months'!$J$6:$J$3965,"CTMS")</f>
        <v>0</v>
      </c>
      <c r="Z20" s="10" t="n">
        <f aca="false">SUM(N20:Y20)</f>
        <v>3865.69925638</v>
      </c>
      <c r="AA20" s="10" t="n">
        <f aca="false">(SUM(K20:M20)+Z20)*Assumptions!$E$12</f>
        <v>25631.889851276</v>
      </c>
      <c r="AB20" s="10" t="n">
        <f aca="false">AD20*Assumptions!$E$29</f>
        <v>330.993516</v>
      </c>
      <c r="AC20" s="10" t="n">
        <f aca="false">SUM(K20:M20)+Z20+AA20+AB20</f>
        <v>154122.332623656</v>
      </c>
      <c r="AD20" s="10" t="n">
        <f aca="false">D20*Assumptions!$E$17</f>
        <v>11033.1172</v>
      </c>
      <c r="AE20" s="10" t="n">
        <f aca="false">AD20*12</f>
        <v>132397.4064</v>
      </c>
      <c r="AF20" s="10" t="n">
        <f aca="false">AC20-AD20</f>
        <v>143089.215423656</v>
      </c>
      <c r="AG20" s="10" t="n">
        <f aca="false">IF(A20=Assumptions!$E$7,Assumptions!$E$8,0)</f>
        <v>0</v>
      </c>
      <c r="AH20" s="10" t="n">
        <f aca="false">AI19</f>
        <v>6178809.0503656</v>
      </c>
      <c r="AI20" s="10" t="n">
        <f aca="false">AH20+AG20-AF20</f>
        <v>6035719.83494194</v>
      </c>
      <c r="AJ20" s="10" t="n">
        <f aca="false">SUM($AC$6:AC20)</f>
        <v>1992001.56225806</v>
      </c>
      <c r="AK20" s="10" t="n">
        <f aca="false">MAX(0,-AI20)</f>
        <v>0</v>
      </c>
      <c r="AL20" s="10" t="n">
        <f aca="false">Assumptions!$E$6+SUM($AG$6:AG20)-AJ20</f>
        <v>6007998.43774195</v>
      </c>
      <c r="AM20" s="10" t="n">
        <f aca="false">SUMIFS('Vendor Months'!$H$6:$H$3965,'Vendor Months'!$A$6:$A$3965,$AS$1,'Vendor Months'!$C$6:$C$3965,A20)</f>
        <v>1924</v>
      </c>
      <c r="AN20" s="10" t="n">
        <f aca="false">X20+Y20</f>
        <v>0</v>
      </c>
      <c r="AO20" s="10" t="n">
        <f aca="false">SUMIFS('Staff Months'!$I$6:$I$2345,'Staff Months'!$A$6:$A$2345,$AS$1,'Staff Months'!$C$6:$C$2345,A20)</f>
        <v>17500</v>
      </c>
      <c r="AP20" s="10" t="n">
        <f aca="false">SUM($AF$6:AF20)</f>
        <v>1964280.16505806</v>
      </c>
      <c r="AQ20" s="10" t="n">
        <f aca="false">AC20</f>
        <v>154122.332623656</v>
      </c>
      <c r="AR20" s="26" t="n">
        <f aca="false">IF(AI20&lt;0,1,0)</f>
        <v>0</v>
      </c>
      <c r="AS20" s="6"/>
    </row>
    <row r="21" customFormat="false" ht="15" hidden="false" customHeight="false" outlineLevel="0" collapsed="false">
      <c r="A21" s="6" t="n">
        <v>16</v>
      </c>
      <c r="B21" s="25" t="n">
        <f aca="false">EDATE('Start Here'!$B$6,A21-1)</f>
        <v>46784</v>
      </c>
      <c r="C21" s="11" t="n">
        <f aca="false">IF(A21&gt;=Assumptions!$E$13,Assumptions!$E$14*(1+Assumptions!$E$15)^INT((A21-Assumptions!$E$13)/12),0)</f>
        <v>2</v>
      </c>
      <c r="D21" s="11" t="n">
        <f aca="false">D20*(1-Assumptions!$E$16)+C21</f>
        <v>9.80199002</v>
      </c>
      <c r="E21" s="11" t="n">
        <f aca="false">D21*Assumptions!$E$18</f>
        <v>245.0497505</v>
      </c>
      <c r="F21" s="11" t="n">
        <f aca="false">E21*Assumptions!$E$19*30/1000000</f>
        <v>1.83787312875</v>
      </c>
      <c r="G21" s="11" t="n">
        <f aca="false">D21*Assumptions!$E$20</f>
        <v>98.0199002</v>
      </c>
      <c r="H21" s="11" t="n">
        <f aca="false">D21*Assumptions!$E$21</f>
        <v>19.60398004</v>
      </c>
      <c r="I21" s="11" t="n">
        <f aca="false">SUMIFS('Staff Months'!$E$6:$E$2345,'Staff Months'!$A$6:$A$2345,$AS$1,'Staff Months'!$C$6:$C$2345,A21)</f>
        <v>14.5</v>
      </c>
      <c r="J21" s="11" t="n">
        <f aca="false">SUMIFS('Staff Months'!$L$6:$L$2345,'Staff Months'!$A$6:$A$2345,$AS$1,'Staff Months'!$C$6:$C$2345,A21)</f>
        <v>15</v>
      </c>
      <c r="K21" s="10" t="n">
        <f aca="false">SUMIFS('Staff Months'!$H$6:$H$2345,'Staff Months'!$A$6:$A$2345,$AS$1,'Staff Months'!$C$6:$C$2345,A21)</f>
        <v>209781.25</v>
      </c>
      <c r="L21" s="10" t="n">
        <f aca="false">SUMIFS('Staff Months'!$J$6:$J$2345,'Staff Months'!$A$6:$A$2345,$AS$1,'Staff Months'!$C$6:$C$2345,A21)</f>
        <v>60000</v>
      </c>
      <c r="M21" s="10" t="n">
        <f aca="false">SUMIFS('Staff Months'!$K$6:$K$2345,'Staff Months'!$A$6:$A$2345,$AS$1,'Staff Months'!$C$6:$C$2345,A21)</f>
        <v>20125</v>
      </c>
      <c r="N21" s="10" t="n">
        <f aca="false">SUMIFS('Vendor Months'!$G$6:$G$3965,'Vendor Months'!$A$6:$A$3965,$AS$1,'Vendor Months'!$C$6:$C$3965,A21,'Vendor Months'!$J$6:$J$3965,"INFRA")</f>
        <v>1474.5734422562</v>
      </c>
      <c r="O21" s="10" t="n">
        <f aca="false">SUMIFS('Vendor Months'!$G$6:$G$3965,'Vendor Months'!$A$6:$A$3965,$AS$1,'Vendor Months'!$C$6:$C$3965,A21,'Vendor Months'!$J$6:$J$3965,"TOOLS")</f>
        <v>764.4</v>
      </c>
      <c r="P21" s="10" t="n">
        <f aca="false">SUMIFS('Vendor Months'!$G$6:$G$3965,'Vendor Months'!$A$6:$A$3965,$AS$1,'Vendor Months'!$C$6:$C$3965,A21,'Vendor Months'!$J$6:$J$3965,"LEGAL")</f>
        <v>0</v>
      </c>
      <c r="Q21" s="10" t="n">
        <f aca="false">SUMIFS('Vendor Months'!$G$6:$G$3965,'Vendor Months'!$A$6:$A$3965,$AS$1,'Vendor Months'!$C$6:$C$3965,A21,'Vendor Months'!$J$6:$J$3965,"SECURITY")</f>
        <v>0</v>
      </c>
      <c r="R21" s="10" t="n">
        <f aca="false">SUMIFS('Vendor Months'!$G$6:$G$3965,'Vendor Months'!$A$6:$A$3965,$AS$1,'Vendor Months'!$C$6:$C$3965,A21,'Vendor Months'!$J$6:$J$3965,"COMPLIANCE")</f>
        <v>0</v>
      </c>
      <c r="S21" s="10" t="n">
        <f aca="false">SUMIFS('Vendor Months'!$G$6:$G$3965,'Vendor Months'!$A$6:$A$3965,$AS$1,'Vendor Months'!$C$6:$C$3965,A21,'Vendor Months'!$J$6:$J$3965,"INSURANCE")</f>
        <v>0</v>
      </c>
      <c r="T21" s="10" t="n">
        <f aca="false">SUMIFS('Vendor Months'!$G$6:$G$3965,'Vendor Months'!$A$6:$A$3965,$AS$1,'Vendor Months'!$C$6:$C$3965,A21,'Vendor Months'!$J$6:$J$3965,"ACCOUNTING")</f>
        <v>624</v>
      </c>
      <c r="U21" s="10" t="n">
        <f aca="false">SUMIFS('Vendor Months'!$G$6:$G$3965,'Vendor Months'!$A$6:$A$3965,$AS$1,'Vendor Months'!$C$6:$C$3965,A21,'Vendor Months'!$J$6:$J$3965,"SUPPORT")</f>
        <v>104</v>
      </c>
      <c r="V21" s="10" t="n">
        <f aca="false">SUMIFS('Vendor Months'!$G$6:$G$3965,'Vendor Months'!$A$6:$A$3965,$AS$1,'Vendor Months'!$C$6:$C$3965,A21,'Vendor Months'!$J$6:$J$3965,"MARKETING")</f>
        <v>764.55522156</v>
      </c>
      <c r="W21" s="10" t="n">
        <f aca="false">SUMIFS('Vendor Months'!$G$6:$G$3965,'Vendor Months'!$A$6:$A$3965,$AS$1,'Vendor Months'!$C$6:$C$3965,A21,'Vendor Months'!$J$6:$J$3965,"ONBOARD")</f>
        <v>624</v>
      </c>
      <c r="X21" s="10" t="n">
        <f aca="false">SUMIFS('Vendor Months'!$G$6:$G$3965,'Vendor Months'!$A$6:$A$3965,$AS$1,'Vendor Months'!$C$6:$C$3965,A21,'Vendor Months'!$J$6:$J$3965,"AI")</f>
        <v>0</v>
      </c>
      <c r="Y21" s="10" t="n">
        <f aca="false">SUMIFS('Vendor Months'!$G$6:$G$3965,'Vendor Months'!$A$6:$A$3965,$AS$1,'Vendor Months'!$C$6:$C$3965,A21,'Vendor Months'!$J$6:$J$3965,"CTMS")</f>
        <v>0</v>
      </c>
      <c r="Z21" s="10" t="n">
        <f aca="false">SUM(N21:Y21)</f>
        <v>4355.5286638162</v>
      </c>
      <c r="AA21" s="10" t="n">
        <f aca="false">(SUM(K21:M21)+Z21)*Assumptions!$E$12</f>
        <v>58852.3557327632</v>
      </c>
      <c r="AB21" s="10" t="n">
        <f aca="false">AD21*Assumptions!$E$29</f>
        <v>411.68358084</v>
      </c>
      <c r="AC21" s="10" t="n">
        <f aca="false">SUM(K21:M21)+Z21+AA21+AB21</f>
        <v>353525.81797742</v>
      </c>
      <c r="AD21" s="10" t="n">
        <f aca="false">D21*Assumptions!$E$17</f>
        <v>13722.786028</v>
      </c>
      <c r="AE21" s="10" t="n">
        <f aca="false">AD21*12</f>
        <v>164673.432336</v>
      </c>
      <c r="AF21" s="10" t="n">
        <f aca="false">AC21-AD21</f>
        <v>339803.031949419</v>
      </c>
      <c r="AG21" s="10" t="n">
        <f aca="false">IF(A21=Assumptions!$E$7,Assumptions!$E$8,0)</f>
        <v>0</v>
      </c>
      <c r="AH21" s="10" t="n">
        <f aca="false">AI20</f>
        <v>6035719.83494194</v>
      </c>
      <c r="AI21" s="10" t="n">
        <f aca="false">AH21+AG21-AF21</f>
        <v>5695916.80299253</v>
      </c>
      <c r="AJ21" s="10" t="n">
        <f aca="false">SUM($AC$6:AC21)</f>
        <v>2345527.38023548</v>
      </c>
      <c r="AK21" s="10" t="n">
        <f aca="false">MAX(0,-AI21)</f>
        <v>0</v>
      </c>
      <c r="AL21" s="10" t="n">
        <f aca="false">Assumptions!$E$6+SUM($AG$6:AG21)-AJ21</f>
        <v>5654472.61976452</v>
      </c>
      <c r="AM21" s="10" t="n">
        <f aca="false">SUMIFS('Vendor Months'!$H$6:$H$3965,'Vendor Months'!$A$6:$A$3965,$AS$1,'Vendor Months'!$C$6:$C$3965,A21)</f>
        <v>1924</v>
      </c>
      <c r="AN21" s="10" t="n">
        <f aca="false">X21+Y21</f>
        <v>0</v>
      </c>
      <c r="AO21" s="10" t="n">
        <f aca="false">SUMIFS('Staff Months'!$I$6:$I$2345,'Staff Months'!$A$6:$A$2345,$AS$1,'Staff Months'!$C$6:$C$2345,A21)</f>
        <v>17500</v>
      </c>
      <c r="AP21" s="10" t="n">
        <f aca="false">SUM($AF$6:AF21)</f>
        <v>2304083.19700748</v>
      </c>
      <c r="AQ21" s="10" t="n">
        <f aca="false">AC21</f>
        <v>353525.81797742</v>
      </c>
      <c r="AR21" s="26" t="n">
        <f aca="false">IF(AI21&lt;0,1,0)</f>
        <v>0</v>
      </c>
      <c r="AS21" s="6"/>
    </row>
    <row r="22" customFormat="false" ht="15" hidden="false" customHeight="false" outlineLevel="0" collapsed="false">
      <c r="A22" s="6" t="n">
        <v>17</v>
      </c>
      <c r="B22" s="25" t="n">
        <f aca="false">EDATE('Start Here'!$B$6,A22-1)</f>
        <v>46813</v>
      </c>
      <c r="C22" s="11" t="n">
        <f aca="false">IF(A22&gt;=Assumptions!$E$13,Assumptions!$E$14*(1+Assumptions!$E$15)^INT((A22-Assumptions!$E$13)/12),0)</f>
        <v>2</v>
      </c>
      <c r="D22" s="11" t="n">
        <f aca="false">D21*(1-Assumptions!$E$16)+C22</f>
        <v>11.7039701198</v>
      </c>
      <c r="E22" s="11" t="n">
        <f aca="false">D22*Assumptions!$E$18</f>
        <v>292.599252995</v>
      </c>
      <c r="F22" s="11" t="n">
        <f aca="false">E22*Assumptions!$E$19*30/1000000</f>
        <v>2.1944943974625</v>
      </c>
      <c r="G22" s="11" t="n">
        <f aca="false">D22*Assumptions!$E$20</f>
        <v>117.039701198</v>
      </c>
      <c r="H22" s="11" t="n">
        <f aca="false">D22*Assumptions!$E$21</f>
        <v>23.4079402396</v>
      </c>
      <c r="I22" s="11" t="n">
        <f aca="false">SUMIFS('Staff Months'!$E$6:$E$2345,'Staff Months'!$A$6:$A$2345,$AS$1,'Staff Months'!$C$6:$C$2345,A22)</f>
        <v>14.5</v>
      </c>
      <c r="J22" s="11" t="n">
        <f aca="false">SUMIFS('Staff Months'!$L$6:$L$2345,'Staff Months'!$A$6:$A$2345,$AS$1,'Staff Months'!$C$6:$C$2345,A22)</f>
        <v>15</v>
      </c>
      <c r="K22" s="10" t="n">
        <f aca="false">SUMIFS('Staff Months'!$H$6:$H$2345,'Staff Months'!$A$6:$A$2345,$AS$1,'Staff Months'!$C$6:$C$2345,A22)</f>
        <v>209781.25</v>
      </c>
      <c r="L22" s="10" t="n">
        <f aca="false">SUMIFS('Staff Months'!$J$6:$J$2345,'Staff Months'!$A$6:$A$2345,$AS$1,'Staff Months'!$C$6:$C$2345,A22)</f>
        <v>0</v>
      </c>
      <c r="M22" s="10" t="n">
        <f aca="false">SUMIFS('Staff Months'!$K$6:$K$2345,'Staff Months'!$A$6:$A$2345,$AS$1,'Staff Months'!$C$6:$C$2345,A22)</f>
        <v>0</v>
      </c>
      <c r="N22" s="10" t="n">
        <f aca="false">SUMIFS('Vendor Months'!$G$6:$G$3965,'Vendor Months'!$A$6:$A$3965,$AS$1,'Vendor Months'!$C$6:$C$3965,A22,'Vendor Months'!$J$6:$J$3965,"INFRA")</f>
        <v>1508.44770783364</v>
      </c>
      <c r="O22" s="10" t="n">
        <f aca="false">SUMIFS('Vendor Months'!$G$6:$G$3965,'Vendor Months'!$A$6:$A$3965,$AS$1,'Vendor Months'!$C$6:$C$3965,A22,'Vendor Months'!$J$6:$J$3965,"TOOLS")</f>
        <v>764.4</v>
      </c>
      <c r="P22" s="10" t="n">
        <f aca="false">SUMIFS('Vendor Months'!$G$6:$G$3965,'Vendor Months'!$A$6:$A$3965,$AS$1,'Vendor Months'!$C$6:$C$3965,A22,'Vendor Months'!$J$6:$J$3965,"LEGAL")</f>
        <v>0</v>
      </c>
      <c r="Q22" s="10" t="n">
        <f aca="false">SUMIFS('Vendor Months'!$G$6:$G$3965,'Vendor Months'!$A$6:$A$3965,$AS$1,'Vendor Months'!$C$6:$C$3965,A22,'Vendor Months'!$J$6:$J$3965,"SECURITY")</f>
        <v>0</v>
      </c>
      <c r="R22" s="10" t="n">
        <f aca="false">SUMIFS('Vendor Months'!$G$6:$G$3965,'Vendor Months'!$A$6:$A$3965,$AS$1,'Vendor Months'!$C$6:$C$3965,A22,'Vendor Months'!$J$6:$J$3965,"COMPLIANCE")</f>
        <v>0</v>
      </c>
      <c r="S22" s="10" t="n">
        <f aca="false">SUMIFS('Vendor Months'!$G$6:$G$3965,'Vendor Months'!$A$6:$A$3965,$AS$1,'Vendor Months'!$C$6:$C$3965,A22,'Vendor Months'!$J$6:$J$3965,"INSURANCE")</f>
        <v>0</v>
      </c>
      <c r="T22" s="10" t="n">
        <f aca="false">SUMIFS('Vendor Months'!$G$6:$G$3965,'Vendor Months'!$A$6:$A$3965,$AS$1,'Vendor Months'!$C$6:$C$3965,A22,'Vendor Months'!$J$6:$J$3965,"ACCOUNTING")</f>
        <v>624</v>
      </c>
      <c r="U22" s="10" t="n">
        <f aca="false">SUMIFS('Vendor Months'!$G$6:$G$3965,'Vendor Months'!$A$6:$A$3965,$AS$1,'Vendor Months'!$C$6:$C$3965,A22,'Vendor Months'!$J$6:$J$3965,"SUPPORT")</f>
        <v>104</v>
      </c>
      <c r="V22" s="10" t="n">
        <f aca="false">SUMIFS('Vendor Months'!$G$6:$G$3965,'Vendor Months'!$A$6:$A$3965,$AS$1,'Vendor Months'!$C$6:$C$3965,A22,'Vendor Months'!$J$6:$J$3965,"MARKETING")</f>
        <v>912.9096693444</v>
      </c>
      <c r="W22" s="10" t="n">
        <f aca="false">SUMIFS('Vendor Months'!$G$6:$G$3965,'Vendor Months'!$A$6:$A$3965,$AS$1,'Vendor Months'!$C$6:$C$3965,A22,'Vendor Months'!$J$6:$J$3965,"ONBOARD")</f>
        <v>624</v>
      </c>
      <c r="X22" s="10" t="n">
        <f aca="false">SUMIFS('Vendor Months'!$G$6:$G$3965,'Vendor Months'!$A$6:$A$3965,$AS$1,'Vendor Months'!$C$6:$C$3965,A22,'Vendor Months'!$J$6:$J$3965,"AI")</f>
        <v>0</v>
      </c>
      <c r="Y22" s="10" t="n">
        <f aca="false">SUMIFS('Vendor Months'!$G$6:$G$3965,'Vendor Months'!$A$6:$A$3965,$AS$1,'Vendor Months'!$C$6:$C$3965,A22,'Vendor Months'!$J$6:$J$3965,"CTMS")</f>
        <v>0</v>
      </c>
      <c r="Z22" s="10" t="n">
        <f aca="false">SUM(N22:Y22)</f>
        <v>4537.75737717804</v>
      </c>
      <c r="AA22" s="10" t="n">
        <f aca="false">(SUM(K22:M22)+Z22)*Assumptions!$E$12</f>
        <v>42863.8014754356</v>
      </c>
      <c r="AB22" s="10" t="n">
        <f aca="false">AD22*Assumptions!$E$29</f>
        <v>491.5667450316</v>
      </c>
      <c r="AC22" s="10" t="n">
        <f aca="false">SUM(K22:M22)+Z22+AA22+AB22</f>
        <v>257674.375597645</v>
      </c>
      <c r="AD22" s="10" t="n">
        <f aca="false">D22*Assumptions!$E$17</f>
        <v>16385.55816772</v>
      </c>
      <c r="AE22" s="10" t="n">
        <f aca="false">AD22*12</f>
        <v>196626.69801264</v>
      </c>
      <c r="AF22" s="10" t="n">
        <f aca="false">AC22-AD22</f>
        <v>241288.817429925</v>
      </c>
      <c r="AG22" s="10" t="n">
        <f aca="false">IF(A22=Assumptions!$E$7,Assumptions!$E$8,0)</f>
        <v>0</v>
      </c>
      <c r="AH22" s="10" t="n">
        <f aca="false">AI21</f>
        <v>5695916.80299253</v>
      </c>
      <c r="AI22" s="10" t="n">
        <f aca="false">AH22+AG22-AF22</f>
        <v>5454627.9855626</v>
      </c>
      <c r="AJ22" s="10" t="n">
        <f aca="false">SUM($AC$6:AC22)</f>
        <v>2603201.75583312</v>
      </c>
      <c r="AK22" s="10" t="n">
        <f aca="false">MAX(0,-AI22)</f>
        <v>0</v>
      </c>
      <c r="AL22" s="10" t="n">
        <f aca="false">Assumptions!$E$6+SUM($AG$6:AG22)-AJ22</f>
        <v>5396798.24416688</v>
      </c>
      <c r="AM22" s="10" t="n">
        <f aca="false">SUMIFS('Vendor Months'!$H$6:$H$3965,'Vendor Months'!$A$6:$A$3965,$AS$1,'Vendor Months'!$C$6:$C$3965,A22)</f>
        <v>1924</v>
      </c>
      <c r="AN22" s="10" t="n">
        <f aca="false">X22+Y22</f>
        <v>0</v>
      </c>
      <c r="AO22" s="10" t="n">
        <f aca="false">SUMIFS('Staff Months'!$I$6:$I$2345,'Staff Months'!$A$6:$A$2345,$AS$1,'Staff Months'!$C$6:$C$2345,A22)</f>
        <v>17500</v>
      </c>
      <c r="AP22" s="10" t="n">
        <f aca="false">SUM($AF$6:AF22)</f>
        <v>2545372.0144374</v>
      </c>
      <c r="AQ22" s="10" t="n">
        <f aca="false">AC22</f>
        <v>257674.375597645</v>
      </c>
      <c r="AR22" s="26" t="n">
        <f aca="false">IF(AI22&lt;0,1,0)</f>
        <v>0</v>
      </c>
      <c r="AS22" s="6"/>
    </row>
    <row r="23" customFormat="false" ht="15" hidden="false" customHeight="false" outlineLevel="0" collapsed="false">
      <c r="A23" s="6" t="n">
        <v>18</v>
      </c>
      <c r="B23" s="25" t="n">
        <f aca="false">EDATE('Start Here'!$B$6,A23-1)</f>
        <v>46844</v>
      </c>
      <c r="C23" s="11" t="n">
        <f aca="false">IF(A23&gt;=Assumptions!$E$13,Assumptions!$E$14*(1+Assumptions!$E$15)^INT((A23-Assumptions!$E$13)/12),0)</f>
        <v>2</v>
      </c>
      <c r="D23" s="11" t="n">
        <f aca="false">D22*(1-Assumptions!$E$16)+C23</f>
        <v>13.586930418602</v>
      </c>
      <c r="E23" s="11" t="n">
        <f aca="false">D23*Assumptions!$E$18</f>
        <v>339.67326046505</v>
      </c>
      <c r="F23" s="11" t="n">
        <f aca="false">E23*Assumptions!$E$19*30/1000000</f>
        <v>2.54754945348788</v>
      </c>
      <c r="G23" s="11" t="n">
        <f aca="false">D23*Assumptions!$E$20</f>
        <v>135.86930418602</v>
      </c>
      <c r="H23" s="11" t="n">
        <f aca="false">D23*Assumptions!$E$21</f>
        <v>27.173860837204</v>
      </c>
      <c r="I23" s="11" t="n">
        <f aca="false">SUMIFS('Staff Months'!$E$6:$E$2345,'Staff Months'!$A$6:$A$2345,$AS$1,'Staff Months'!$C$6:$C$2345,A23)</f>
        <v>14.5</v>
      </c>
      <c r="J23" s="11" t="n">
        <f aca="false">SUMIFS('Staff Months'!$L$6:$L$2345,'Staff Months'!$A$6:$A$2345,$AS$1,'Staff Months'!$C$6:$C$2345,A23)</f>
        <v>15</v>
      </c>
      <c r="K23" s="10" t="n">
        <f aca="false">SUMIFS('Staff Months'!$H$6:$H$2345,'Staff Months'!$A$6:$A$2345,$AS$1,'Staff Months'!$C$6:$C$2345,A23)</f>
        <v>209781.25</v>
      </c>
      <c r="L23" s="10" t="n">
        <f aca="false">SUMIFS('Staff Months'!$J$6:$J$2345,'Staff Months'!$A$6:$A$2345,$AS$1,'Staff Months'!$C$6:$C$2345,A23)</f>
        <v>0</v>
      </c>
      <c r="M23" s="10" t="n">
        <f aca="false">SUMIFS('Staff Months'!$K$6:$K$2345,'Staff Months'!$A$6:$A$2345,$AS$1,'Staff Months'!$C$6:$C$2345,A23)</f>
        <v>0</v>
      </c>
      <c r="N23" s="10" t="n">
        <f aca="false">SUMIFS('Vendor Months'!$G$6:$G$3965,'Vendor Months'!$A$6:$A$3965,$AS$1,'Vendor Months'!$C$6:$C$3965,A23,'Vendor Months'!$J$6:$J$3965,"INFRA")</f>
        <v>1541.9832307553</v>
      </c>
      <c r="O23" s="10" t="n">
        <f aca="false">SUMIFS('Vendor Months'!$G$6:$G$3965,'Vendor Months'!$A$6:$A$3965,$AS$1,'Vendor Months'!$C$6:$C$3965,A23,'Vendor Months'!$J$6:$J$3965,"TOOLS")</f>
        <v>764.4</v>
      </c>
      <c r="P23" s="10" t="n">
        <f aca="false">SUMIFS('Vendor Months'!$G$6:$G$3965,'Vendor Months'!$A$6:$A$3965,$AS$1,'Vendor Months'!$C$6:$C$3965,A23,'Vendor Months'!$J$6:$J$3965,"LEGAL")</f>
        <v>0</v>
      </c>
      <c r="Q23" s="10" t="n">
        <f aca="false">SUMIFS('Vendor Months'!$G$6:$G$3965,'Vendor Months'!$A$6:$A$3965,$AS$1,'Vendor Months'!$C$6:$C$3965,A23,'Vendor Months'!$J$6:$J$3965,"SECURITY")</f>
        <v>0</v>
      </c>
      <c r="R23" s="10" t="n">
        <f aca="false">SUMIFS('Vendor Months'!$G$6:$G$3965,'Vendor Months'!$A$6:$A$3965,$AS$1,'Vendor Months'!$C$6:$C$3965,A23,'Vendor Months'!$J$6:$J$3965,"COMPLIANCE")</f>
        <v>0</v>
      </c>
      <c r="S23" s="10" t="n">
        <f aca="false">SUMIFS('Vendor Months'!$G$6:$G$3965,'Vendor Months'!$A$6:$A$3965,$AS$1,'Vendor Months'!$C$6:$C$3965,A23,'Vendor Months'!$J$6:$J$3965,"INSURANCE")</f>
        <v>0</v>
      </c>
      <c r="T23" s="10" t="n">
        <f aca="false">SUMIFS('Vendor Months'!$G$6:$G$3965,'Vendor Months'!$A$6:$A$3965,$AS$1,'Vendor Months'!$C$6:$C$3965,A23,'Vendor Months'!$J$6:$J$3965,"ACCOUNTING")</f>
        <v>624</v>
      </c>
      <c r="U23" s="10" t="n">
        <f aca="false">SUMIFS('Vendor Months'!$G$6:$G$3965,'Vendor Months'!$A$6:$A$3965,$AS$1,'Vendor Months'!$C$6:$C$3965,A23,'Vendor Months'!$J$6:$J$3965,"SUPPORT")</f>
        <v>104</v>
      </c>
      <c r="V23" s="10" t="n">
        <f aca="false">SUMIFS('Vendor Months'!$G$6:$G$3965,'Vendor Months'!$A$6:$A$3965,$AS$1,'Vendor Months'!$C$6:$C$3965,A23,'Vendor Months'!$J$6:$J$3965,"MARKETING")</f>
        <v>1059.78057265096</v>
      </c>
      <c r="W23" s="10" t="n">
        <f aca="false">SUMIFS('Vendor Months'!$G$6:$G$3965,'Vendor Months'!$A$6:$A$3965,$AS$1,'Vendor Months'!$C$6:$C$3965,A23,'Vendor Months'!$J$6:$J$3965,"ONBOARD")</f>
        <v>624</v>
      </c>
      <c r="X23" s="10" t="n">
        <f aca="false">SUMIFS('Vendor Months'!$G$6:$G$3965,'Vendor Months'!$A$6:$A$3965,$AS$1,'Vendor Months'!$C$6:$C$3965,A23,'Vendor Months'!$J$6:$J$3965,"AI")</f>
        <v>0</v>
      </c>
      <c r="Y23" s="10" t="n">
        <f aca="false">SUMIFS('Vendor Months'!$G$6:$G$3965,'Vendor Months'!$A$6:$A$3965,$AS$1,'Vendor Months'!$C$6:$C$3965,A23,'Vendor Months'!$J$6:$J$3965,"CTMS")</f>
        <v>0</v>
      </c>
      <c r="Z23" s="10" t="n">
        <f aca="false">SUM(N23:Y23)</f>
        <v>4718.16380340626</v>
      </c>
      <c r="AA23" s="10" t="n">
        <f aca="false">(SUM(K23:M23)+Z23)*Assumptions!$E$12</f>
        <v>42899.8827606813</v>
      </c>
      <c r="AB23" s="10" t="n">
        <f aca="false">AD23*Assumptions!$E$29</f>
        <v>570.651077581284</v>
      </c>
      <c r="AC23" s="10" t="n">
        <f aca="false">SUM(K23:M23)+Z23+AA23+AB23</f>
        <v>257969.947641669</v>
      </c>
      <c r="AD23" s="10" t="n">
        <f aca="false">D23*Assumptions!$E$17</f>
        <v>19021.7025860428</v>
      </c>
      <c r="AE23" s="10" t="n">
        <f aca="false">AD23*12</f>
        <v>228260.431032514</v>
      </c>
      <c r="AF23" s="10" t="n">
        <f aca="false">AC23-AD23</f>
        <v>238948.245055626</v>
      </c>
      <c r="AG23" s="10" t="n">
        <f aca="false">IF(A23=Assumptions!$E$7,Assumptions!$E$8,0)</f>
        <v>0</v>
      </c>
      <c r="AH23" s="10" t="n">
        <f aca="false">AI22</f>
        <v>5454627.9855626</v>
      </c>
      <c r="AI23" s="10" t="n">
        <f aca="false">AH23+AG23-AF23</f>
        <v>5215679.74050697</v>
      </c>
      <c r="AJ23" s="10" t="n">
        <f aca="false">SUM($AC$6:AC23)</f>
        <v>2861171.70347479</v>
      </c>
      <c r="AK23" s="10" t="n">
        <f aca="false">MAX(0,-AI23)</f>
        <v>0</v>
      </c>
      <c r="AL23" s="10" t="n">
        <f aca="false">Assumptions!$E$6+SUM($AG$6:AG23)-AJ23</f>
        <v>5138828.29652521</v>
      </c>
      <c r="AM23" s="10" t="n">
        <f aca="false">SUMIFS('Vendor Months'!$H$6:$H$3965,'Vendor Months'!$A$6:$A$3965,$AS$1,'Vendor Months'!$C$6:$C$3965,A23)</f>
        <v>1924</v>
      </c>
      <c r="AN23" s="10" t="n">
        <f aca="false">X23+Y23</f>
        <v>0</v>
      </c>
      <c r="AO23" s="10" t="n">
        <f aca="false">SUMIFS('Staff Months'!$I$6:$I$2345,'Staff Months'!$A$6:$A$2345,$AS$1,'Staff Months'!$C$6:$C$2345,A23)</f>
        <v>17500</v>
      </c>
      <c r="AP23" s="10" t="n">
        <f aca="false">SUM($AF$6:AF23)</f>
        <v>2784320.25949303</v>
      </c>
      <c r="AQ23" s="10" t="n">
        <f aca="false">AC23</f>
        <v>257969.947641669</v>
      </c>
      <c r="AR23" s="26" t="n">
        <f aca="false">IF(AI23&lt;0,1,0)</f>
        <v>0</v>
      </c>
      <c r="AS23" s="6"/>
    </row>
    <row r="24" customFormat="false" ht="15" hidden="false" customHeight="false" outlineLevel="0" collapsed="false">
      <c r="A24" s="6" t="n">
        <v>19</v>
      </c>
      <c r="B24" s="25" t="n">
        <f aca="false">EDATE('Start Here'!$B$6,A24-1)</f>
        <v>46874</v>
      </c>
      <c r="C24" s="11" t="n">
        <f aca="false">IF(A24&gt;=Assumptions!$E$13,Assumptions!$E$14*(1+Assumptions!$E$15)^INT((A24-Assumptions!$E$13)/12),0)</f>
        <v>2</v>
      </c>
      <c r="D24" s="11" t="n">
        <f aca="false">D23*(1-Assumptions!$E$16)+C24</f>
        <v>15.451061114416</v>
      </c>
      <c r="E24" s="11" t="n">
        <f aca="false">D24*Assumptions!$E$18</f>
        <v>386.2765278604</v>
      </c>
      <c r="F24" s="11" t="n">
        <f aca="false">E24*Assumptions!$E$19*30/1000000</f>
        <v>2.897073958953</v>
      </c>
      <c r="G24" s="11" t="n">
        <f aca="false">D24*Assumptions!$E$20</f>
        <v>154.51061114416</v>
      </c>
      <c r="H24" s="11" t="n">
        <f aca="false">D24*Assumptions!$E$21</f>
        <v>30.902122228832</v>
      </c>
      <c r="I24" s="11" t="n">
        <f aca="false">SUMIFS('Staff Months'!$E$6:$E$2345,'Staff Months'!$A$6:$A$2345,$AS$1,'Staff Months'!$C$6:$C$2345,A24)</f>
        <v>14.5</v>
      </c>
      <c r="J24" s="11" t="n">
        <f aca="false">SUMIFS('Staff Months'!$L$6:$L$2345,'Staff Months'!$A$6:$A$2345,$AS$1,'Staff Months'!$C$6:$C$2345,A24)</f>
        <v>15</v>
      </c>
      <c r="K24" s="10" t="n">
        <f aca="false">SUMIFS('Staff Months'!$H$6:$H$2345,'Staff Months'!$A$6:$A$2345,$AS$1,'Staff Months'!$C$6:$C$2345,A24)</f>
        <v>209781.25</v>
      </c>
      <c r="L24" s="10" t="n">
        <f aca="false">SUMIFS('Staff Months'!$J$6:$J$2345,'Staff Months'!$A$6:$A$2345,$AS$1,'Staff Months'!$C$6:$C$2345,A24)</f>
        <v>0</v>
      </c>
      <c r="M24" s="10" t="n">
        <f aca="false">SUMIFS('Staff Months'!$K$6:$K$2345,'Staff Months'!$A$6:$A$2345,$AS$1,'Staff Months'!$C$6:$C$2345,A24)</f>
        <v>0</v>
      </c>
      <c r="N24" s="10" t="n">
        <f aca="false">SUMIFS('Vendor Months'!$G$6:$G$3965,'Vendor Months'!$A$6:$A$3965,$AS$1,'Vendor Months'!$C$6:$C$3965,A24,'Vendor Months'!$J$6:$J$3965,"INFRA")</f>
        <v>1575.18339844775</v>
      </c>
      <c r="O24" s="10" t="n">
        <f aca="false">SUMIFS('Vendor Months'!$G$6:$G$3965,'Vendor Months'!$A$6:$A$3965,$AS$1,'Vendor Months'!$C$6:$C$3965,A24,'Vendor Months'!$J$6:$J$3965,"TOOLS")</f>
        <v>764.4</v>
      </c>
      <c r="P24" s="10" t="n">
        <f aca="false">SUMIFS('Vendor Months'!$G$6:$G$3965,'Vendor Months'!$A$6:$A$3965,$AS$1,'Vendor Months'!$C$6:$C$3965,A24,'Vendor Months'!$J$6:$J$3965,"LEGAL")</f>
        <v>0</v>
      </c>
      <c r="Q24" s="10" t="n">
        <f aca="false">SUMIFS('Vendor Months'!$G$6:$G$3965,'Vendor Months'!$A$6:$A$3965,$AS$1,'Vendor Months'!$C$6:$C$3965,A24,'Vendor Months'!$J$6:$J$3965,"SECURITY")</f>
        <v>0</v>
      </c>
      <c r="R24" s="10" t="n">
        <f aca="false">SUMIFS('Vendor Months'!$G$6:$G$3965,'Vendor Months'!$A$6:$A$3965,$AS$1,'Vendor Months'!$C$6:$C$3965,A24,'Vendor Months'!$J$6:$J$3965,"COMPLIANCE")</f>
        <v>0</v>
      </c>
      <c r="S24" s="10" t="n">
        <f aca="false">SUMIFS('Vendor Months'!$G$6:$G$3965,'Vendor Months'!$A$6:$A$3965,$AS$1,'Vendor Months'!$C$6:$C$3965,A24,'Vendor Months'!$J$6:$J$3965,"INSURANCE")</f>
        <v>0</v>
      </c>
      <c r="T24" s="10" t="n">
        <f aca="false">SUMIFS('Vendor Months'!$G$6:$G$3965,'Vendor Months'!$A$6:$A$3965,$AS$1,'Vendor Months'!$C$6:$C$3965,A24,'Vendor Months'!$J$6:$J$3965,"ACCOUNTING")</f>
        <v>624</v>
      </c>
      <c r="U24" s="10" t="n">
        <f aca="false">SUMIFS('Vendor Months'!$G$6:$G$3965,'Vendor Months'!$A$6:$A$3965,$AS$1,'Vendor Months'!$C$6:$C$3965,A24,'Vendor Months'!$J$6:$J$3965,"SUPPORT")</f>
        <v>104</v>
      </c>
      <c r="V24" s="10" t="n">
        <f aca="false">SUMIFS('Vendor Months'!$G$6:$G$3965,'Vendor Months'!$A$6:$A$3965,$AS$1,'Vendor Months'!$C$6:$C$3965,A24,'Vendor Months'!$J$6:$J$3965,"MARKETING")</f>
        <v>1205.18276692445</v>
      </c>
      <c r="W24" s="10" t="n">
        <f aca="false">SUMIFS('Vendor Months'!$G$6:$G$3965,'Vendor Months'!$A$6:$A$3965,$AS$1,'Vendor Months'!$C$6:$C$3965,A24,'Vendor Months'!$J$6:$J$3965,"ONBOARD")</f>
        <v>624</v>
      </c>
      <c r="X24" s="10" t="n">
        <f aca="false">SUMIFS('Vendor Months'!$G$6:$G$3965,'Vendor Months'!$A$6:$A$3965,$AS$1,'Vendor Months'!$C$6:$C$3965,A24,'Vendor Months'!$J$6:$J$3965,"AI")</f>
        <v>0</v>
      </c>
      <c r="Y24" s="10" t="n">
        <f aca="false">SUMIFS('Vendor Months'!$G$6:$G$3965,'Vendor Months'!$A$6:$A$3965,$AS$1,'Vendor Months'!$C$6:$C$3965,A24,'Vendor Months'!$J$6:$J$3965,"CTMS")</f>
        <v>0</v>
      </c>
      <c r="Z24" s="10" t="n">
        <f aca="false">SUM(N24:Y24)</f>
        <v>4896.7661653722</v>
      </c>
      <c r="AA24" s="10" t="n">
        <f aca="false">(SUM(K24:M24)+Z24)*Assumptions!$E$12</f>
        <v>42935.6032330744</v>
      </c>
      <c r="AB24" s="10" t="n">
        <f aca="false">AD24*Assumptions!$E$29</f>
        <v>648.944566805471</v>
      </c>
      <c r="AC24" s="10" t="n">
        <f aca="false">SUM(K24:M24)+Z24+AA24+AB24</f>
        <v>258262.563965252</v>
      </c>
      <c r="AD24" s="10" t="n">
        <f aca="false">D24*Assumptions!$E$17</f>
        <v>21631.4855601824</v>
      </c>
      <c r="AE24" s="10" t="n">
        <f aca="false">AD24*12</f>
        <v>259577.826722188</v>
      </c>
      <c r="AF24" s="10" t="n">
        <f aca="false">AC24-AD24</f>
        <v>236631.07840507</v>
      </c>
      <c r="AG24" s="10" t="n">
        <f aca="false">IF(A24=Assumptions!$E$7,Assumptions!$E$8,0)</f>
        <v>0</v>
      </c>
      <c r="AH24" s="10" t="n">
        <f aca="false">AI23</f>
        <v>5215679.74050697</v>
      </c>
      <c r="AI24" s="10" t="n">
        <f aca="false">AH24+AG24-AF24</f>
        <v>4979048.6621019</v>
      </c>
      <c r="AJ24" s="10" t="n">
        <f aca="false">SUM($AC$6:AC24)</f>
        <v>3119434.26744004</v>
      </c>
      <c r="AK24" s="10" t="n">
        <f aca="false">MAX(0,-AI24)</f>
        <v>0</v>
      </c>
      <c r="AL24" s="10" t="n">
        <f aca="false">Assumptions!$E$6+SUM($AG$6:AG24)-AJ24</f>
        <v>4880565.73255996</v>
      </c>
      <c r="AM24" s="10" t="n">
        <f aca="false">SUMIFS('Vendor Months'!$H$6:$H$3965,'Vendor Months'!$A$6:$A$3965,$AS$1,'Vendor Months'!$C$6:$C$3965,A24)</f>
        <v>1924</v>
      </c>
      <c r="AN24" s="10" t="n">
        <f aca="false">X24+Y24</f>
        <v>0</v>
      </c>
      <c r="AO24" s="10" t="n">
        <f aca="false">SUMIFS('Staff Months'!$I$6:$I$2345,'Staff Months'!$A$6:$A$2345,$AS$1,'Staff Months'!$C$6:$C$2345,A24)</f>
        <v>17500</v>
      </c>
      <c r="AP24" s="10" t="n">
        <f aca="false">SUM($AF$6:AF24)</f>
        <v>3020951.3378981</v>
      </c>
      <c r="AQ24" s="10" t="n">
        <f aca="false">AC24</f>
        <v>258262.563965252</v>
      </c>
      <c r="AR24" s="26" t="n">
        <f aca="false">IF(AI24&lt;0,1,0)</f>
        <v>0</v>
      </c>
      <c r="AS24" s="6"/>
    </row>
    <row r="25" customFormat="false" ht="15" hidden="false" customHeight="false" outlineLevel="0" collapsed="false">
      <c r="A25" s="6" t="n">
        <v>20</v>
      </c>
      <c r="B25" s="25" t="n">
        <f aca="false">EDATE('Start Here'!$B$6,A25-1)</f>
        <v>46905</v>
      </c>
      <c r="C25" s="11" t="n">
        <f aca="false">IF(A25&gt;=Assumptions!$E$13,Assumptions!$E$14*(1+Assumptions!$E$15)^INT((A25-Assumptions!$E$13)/12),0)</f>
        <v>2</v>
      </c>
      <c r="D25" s="11" t="n">
        <f aca="false">D24*(1-Assumptions!$E$16)+C25</f>
        <v>17.2965505032718</v>
      </c>
      <c r="E25" s="11" t="n">
        <f aca="false">D25*Assumptions!$E$18</f>
        <v>432.413762581796</v>
      </c>
      <c r="F25" s="11" t="n">
        <f aca="false">E25*Assumptions!$E$19*30/1000000</f>
        <v>3.24310321936347</v>
      </c>
      <c r="G25" s="11" t="n">
        <f aca="false">D25*Assumptions!$E$20</f>
        <v>172.965505032718</v>
      </c>
      <c r="H25" s="11" t="n">
        <f aca="false">D25*Assumptions!$E$21</f>
        <v>34.5931010065436</v>
      </c>
      <c r="I25" s="11" t="n">
        <f aca="false">SUMIFS('Staff Months'!$E$6:$E$2345,'Staff Months'!$A$6:$A$2345,$AS$1,'Staff Months'!$C$6:$C$2345,A25)</f>
        <v>14.5</v>
      </c>
      <c r="J25" s="11" t="n">
        <f aca="false">SUMIFS('Staff Months'!$L$6:$L$2345,'Staff Months'!$A$6:$A$2345,$AS$1,'Staff Months'!$C$6:$C$2345,A25)</f>
        <v>15</v>
      </c>
      <c r="K25" s="10" t="n">
        <f aca="false">SUMIFS('Staff Months'!$H$6:$H$2345,'Staff Months'!$A$6:$A$2345,$AS$1,'Staff Months'!$C$6:$C$2345,A25)</f>
        <v>209781.25</v>
      </c>
      <c r="L25" s="10" t="n">
        <f aca="false">SUMIFS('Staff Months'!$J$6:$J$2345,'Staff Months'!$A$6:$A$2345,$AS$1,'Staff Months'!$C$6:$C$2345,A25)</f>
        <v>0</v>
      </c>
      <c r="M25" s="10" t="n">
        <f aca="false">SUMIFS('Staff Months'!$K$6:$K$2345,'Staff Months'!$A$6:$A$2345,$AS$1,'Staff Months'!$C$6:$C$2345,A25)</f>
        <v>0</v>
      </c>
      <c r="N25" s="10" t="n">
        <f aca="false">SUMIFS('Vendor Months'!$G$6:$G$3965,'Vendor Months'!$A$6:$A$3965,$AS$1,'Vendor Months'!$C$6:$C$3965,A25,'Vendor Months'!$J$6:$J$3965,"INFRA")</f>
        <v>1608.05156446327</v>
      </c>
      <c r="O25" s="10" t="n">
        <f aca="false">SUMIFS('Vendor Months'!$G$6:$G$3965,'Vendor Months'!$A$6:$A$3965,$AS$1,'Vendor Months'!$C$6:$C$3965,A25,'Vendor Months'!$J$6:$J$3965,"TOOLS")</f>
        <v>764.4</v>
      </c>
      <c r="P25" s="10" t="n">
        <f aca="false">SUMIFS('Vendor Months'!$G$6:$G$3965,'Vendor Months'!$A$6:$A$3965,$AS$1,'Vendor Months'!$C$6:$C$3965,A25,'Vendor Months'!$J$6:$J$3965,"LEGAL")</f>
        <v>0</v>
      </c>
      <c r="Q25" s="10" t="n">
        <f aca="false">SUMIFS('Vendor Months'!$G$6:$G$3965,'Vendor Months'!$A$6:$A$3965,$AS$1,'Vendor Months'!$C$6:$C$3965,A25,'Vendor Months'!$J$6:$J$3965,"SECURITY")</f>
        <v>0</v>
      </c>
      <c r="R25" s="10" t="n">
        <f aca="false">SUMIFS('Vendor Months'!$G$6:$G$3965,'Vendor Months'!$A$6:$A$3965,$AS$1,'Vendor Months'!$C$6:$C$3965,A25,'Vendor Months'!$J$6:$J$3965,"COMPLIANCE")</f>
        <v>0</v>
      </c>
      <c r="S25" s="10" t="n">
        <f aca="false">SUMIFS('Vendor Months'!$G$6:$G$3965,'Vendor Months'!$A$6:$A$3965,$AS$1,'Vendor Months'!$C$6:$C$3965,A25,'Vendor Months'!$J$6:$J$3965,"INSURANCE")</f>
        <v>0</v>
      </c>
      <c r="T25" s="10" t="n">
        <f aca="false">SUMIFS('Vendor Months'!$G$6:$G$3965,'Vendor Months'!$A$6:$A$3965,$AS$1,'Vendor Months'!$C$6:$C$3965,A25,'Vendor Months'!$J$6:$J$3965,"ACCOUNTING")</f>
        <v>624</v>
      </c>
      <c r="U25" s="10" t="n">
        <f aca="false">SUMIFS('Vendor Months'!$G$6:$G$3965,'Vendor Months'!$A$6:$A$3965,$AS$1,'Vendor Months'!$C$6:$C$3965,A25,'Vendor Months'!$J$6:$J$3965,"SUPPORT")</f>
        <v>104</v>
      </c>
      <c r="V25" s="10" t="n">
        <f aca="false">SUMIFS('Vendor Months'!$G$6:$G$3965,'Vendor Months'!$A$6:$A$3965,$AS$1,'Vendor Months'!$C$6:$C$3965,A25,'Vendor Months'!$J$6:$J$3965,"MARKETING")</f>
        <v>1349.1309392552</v>
      </c>
      <c r="W25" s="10" t="n">
        <f aca="false">SUMIFS('Vendor Months'!$G$6:$G$3965,'Vendor Months'!$A$6:$A$3965,$AS$1,'Vendor Months'!$C$6:$C$3965,A25,'Vendor Months'!$J$6:$J$3965,"ONBOARD")</f>
        <v>624</v>
      </c>
      <c r="X25" s="10" t="n">
        <f aca="false">SUMIFS('Vendor Months'!$G$6:$G$3965,'Vendor Months'!$A$6:$A$3965,$AS$1,'Vendor Months'!$C$6:$C$3965,A25,'Vendor Months'!$J$6:$J$3965,"AI")</f>
        <v>0</v>
      </c>
      <c r="Y25" s="10" t="n">
        <f aca="false">SUMIFS('Vendor Months'!$G$6:$G$3965,'Vendor Months'!$A$6:$A$3965,$AS$1,'Vendor Months'!$C$6:$C$3965,A25,'Vendor Months'!$J$6:$J$3965,"CTMS")</f>
        <v>0</v>
      </c>
      <c r="Z25" s="10" t="n">
        <f aca="false">SUM(N25:Y25)</f>
        <v>5073.58250371847</v>
      </c>
      <c r="AA25" s="10" t="n">
        <f aca="false">(SUM(K25:M25)+Z25)*Assumptions!$E$12</f>
        <v>42970.9665007437</v>
      </c>
      <c r="AB25" s="10" t="n">
        <f aca="false">AD25*Assumptions!$E$29</f>
        <v>726.455121137416</v>
      </c>
      <c r="AC25" s="10" t="n">
        <f aca="false">SUM(K25:M25)+Z25+AA25+AB25</f>
        <v>258552.2541256</v>
      </c>
      <c r="AD25" s="10" t="n">
        <f aca="false">D25*Assumptions!$E$17</f>
        <v>24215.1707045806</v>
      </c>
      <c r="AE25" s="10" t="n">
        <f aca="false">AD25*12</f>
        <v>290582.048454967</v>
      </c>
      <c r="AF25" s="10" t="n">
        <f aca="false">AC25-AD25</f>
        <v>234337.083421019</v>
      </c>
      <c r="AG25" s="10" t="n">
        <f aca="false">IF(A25=Assumptions!$E$7,Assumptions!$E$8,0)</f>
        <v>0</v>
      </c>
      <c r="AH25" s="10" t="n">
        <f aca="false">AI24</f>
        <v>4979048.6621019</v>
      </c>
      <c r="AI25" s="10" t="n">
        <f aca="false">AH25+AG25-AF25</f>
        <v>4744711.57868088</v>
      </c>
      <c r="AJ25" s="10" t="n">
        <f aca="false">SUM($AC$6:AC25)</f>
        <v>3377986.52156564</v>
      </c>
      <c r="AK25" s="10" t="n">
        <f aca="false">MAX(0,-AI25)</f>
        <v>0</v>
      </c>
      <c r="AL25" s="10" t="n">
        <f aca="false">Assumptions!$E$6+SUM($AG$6:AG25)-AJ25</f>
        <v>4622013.47843436</v>
      </c>
      <c r="AM25" s="10" t="n">
        <f aca="false">SUMIFS('Vendor Months'!$H$6:$H$3965,'Vendor Months'!$A$6:$A$3965,$AS$1,'Vendor Months'!$C$6:$C$3965,A25)</f>
        <v>1924</v>
      </c>
      <c r="AN25" s="10" t="n">
        <f aca="false">X25+Y25</f>
        <v>0</v>
      </c>
      <c r="AO25" s="10" t="n">
        <f aca="false">SUMIFS('Staff Months'!$I$6:$I$2345,'Staff Months'!$A$6:$A$2345,$AS$1,'Staff Months'!$C$6:$C$2345,A25)</f>
        <v>17500</v>
      </c>
      <c r="AP25" s="10" t="n">
        <f aca="false">SUM($AF$6:AF25)</f>
        <v>3255288.42131912</v>
      </c>
      <c r="AQ25" s="10" t="n">
        <f aca="false">AC25</f>
        <v>258552.2541256</v>
      </c>
      <c r="AR25" s="26" t="n">
        <f aca="false">IF(AI25&lt;0,1,0)</f>
        <v>0</v>
      </c>
      <c r="AS25" s="6"/>
    </row>
    <row r="26" customFormat="false" ht="15" hidden="false" customHeight="false" outlineLevel="0" collapsed="false">
      <c r="A26" s="6" t="n">
        <v>21</v>
      </c>
      <c r="B26" s="25" t="n">
        <f aca="false">EDATE('Start Here'!$B$6,A26-1)</f>
        <v>46935</v>
      </c>
      <c r="C26" s="11" t="n">
        <f aca="false">IF(A26&gt;=Assumptions!$E$13,Assumptions!$E$14*(1+Assumptions!$E$15)^INT((A26-Assumptions!$E$13)/12),0)</f>
        <v>2</v>
      </c>
      <c r="D26" s="11" t="n">
        <f aca="false">D25*(1-Assumptions!$E$16)+C26</f>
        <v>19.1235849982391</v>
      </c>
      <c r="E26" s="11" t="n">
        <f aca="false">D26*Assumptions!$E$18</f>
        <v>478.089624955978</v>
      </c>
      <c r="F26" s="11" t="n">
        <f aca="false">E26*Assumptions!$E$19*30/1000000</f>
        <v>3.58567218716983</v>
      </c>
      <c r="G26" s="11" t="n">
        <f aca="false">D26*Assumptions!$E$20</f>
        <v>191.235849982391</v>
      </c>
      <c r="H26" s="11" t="n">
        <f aca="false">D26*Assumptions!$E$21</f>
        <v>38.2471699964782</v>
      </c>
      <c r="I26" s="11" t="n">
        <f aca="false">SUMIFS('Staff Months'!$E$6:$E$2345,'Staff Months'!$A$6:$A$2345,$AS$1,'Staff Months'!$C$6:$C$2345,A26)</f>
        <v>14.5</v>
      </c>
      <c r="J26" s="11" t="n">
        <f aca="false">SUMIFS('Staff Months'!$L$6:$L$2345,'Staff Months'!$A$6:$A$2345,$AS$1,'Staff Months'!$C$6:$C$2345,A26)</f>
        <v>15</v>
      </c>
      <c r="K26" s="10" t="n">
        <f aca="false">SUMIFS('Staff Months'!$H$6:$H$2345,'Staff Months'!$A$6:$A$2345,$AS$1,'Staff Months'!$C$6:$C$2345,A26)</f>
        <v>209781.25</v>
      </c>
      <c r="L26" s="10" t="n">
        <f aca="false">SUMIFS('Staff Months'!$J$6:$J$2345,'Staff Months'!$A$6:$A$2345,$AS$1,'Staff Months'!$C$6:$C$2345,A26)</f>
        <v>0</v>
      </c>
      <c r="M26" s="10" t="n">
        <f aca="false">SUMIFS('Staff Months'!$K$6:$K$2345,'Staff Months'!$A$6:$A$2345,$AS$1,'Staff Months'!$C$6:$C$2345,A26)</f>
        <v>0</v>
      </c>
      <c r="N26" s="10" t="n">
        <f aca="false">SUMIFS('Vendor Months'!$G$6:$G$3965,'Vendor Months'!$A$6:$A$3965,$AS$1,'Vendor Months'!$C$6:$C$3965,A26,'Vendor Months'!$J$6:$J$3965,"INFRA")</f>
        <v>1640.59104881864</v>
      </c>
      <c r="O26" s="10" t="n">
        <f aca="false">SUMIFS('Vendor Months'!$G$6:$G$3965,'Vendor Months'!$A$6:$A$3965,$AS$1,'Vendor Months'!$C$6:$C$3965,A26,'Vendor Months'!$J$6:$J$3965,"TOOLS")</f>
        <v>764.4</v>
      </c>
      <c r="P26" s="10" t="n">
        <f aca="false">SUMIFS('Vendor Months'!$G$6:$G$3965,'Vendor Months'!$A$6:$A$3965,$AS$1,'Vendor Months'!$C$6:$C$3965,A26,'Vendor Months'!$J$6:$J$3965,"LEGAL")</f>
        <v>0</v>
      </c>
      <c r="Q26" s="10" t="n">
        <f aca="false">SUMIFS('Vendor Months'!$G$6:$G$3965,'Vendor Months'!$A$6:$A$3965,$AS$1,'Vendor Months'!$C$6:$C$3965,A26,'Vendor Months'!$J$6:$J$3965,"SECURITY")</f>
        <v>0</v>
      </c>
      <c r="R26" s="10" t="n">
        <f aca="false">SUMIFS('Vendor Months'!$G$6:$G$3965,'Vendor Months'!$A$6:$A$3965,$AS$1,'Vendor Months'!$C$6:$C$3965,A26,'Vendor Months'!$J$6:$J$3965,"COMPLIANCE")</f>
        <v>0</v>
      </c>
      <c r="S26" s="10" t="n">
        <f aca="false">SUMIFS('Vendor Months'!$G$6:$G$3965,'Vendor Months'!$A$6:$A$3965,$AS$1,'Vendor Months'!$C$6:$C$3965,A26,'Vendor Months'!$J$6:$J$3965,"INSURANCE")</f>
        <v>12480</v>
      </c>
      <c r="T26" s="10" t="n">
        <f aca="false">SUMIFS('Vendor Months'!$G$6:$G$3965,'Vendor Months'!$A$6:$A$3965,$AS$1,'Vendor Months'!$C$6:$C$3965,A26,'Vendor Months'!$J$6:$J$3965,"ACCOUNTING")</f>
        <v>624</v>
      </c>
      <c r="U26" s="10" t="n">
        <f aca="false">SUMIFS('Vendor Months'!$G$6:$G$3965,'Vendor Months'!$A$6:$A$3965,$AS$1,'Vendor Months'!$C$6:$C$3965,A26,'Vendor Months'!$J$6:$J$3965,"SUPPORT")</f>
        <v>104</v>
      </c>
      <c r="V26" s="10" t="n">
        <f aca="false">SUMIFS('Vendor Months'!$G$6:$G$3965,'Vendor Months'!$A$6:$A$3965,$AS$1,'Vendor Months'!$C$6:$C$3965,A26,'Vendor Months'!$J$6:$J$3965,"MARKETING")</f>
        <v>1491.63962986265</v>
      </c>
      <c r="W26" s="10" t="n">
        <f aca="false">SUMIFS('Vendor Months'!$G$6:$G$3965,'Vendor Months'!$A$6:$A$3965,$AS$1,'Vendor Months'!$C$6:$C$3965,A26,'Vendor Months'!$J$6:$J$3965,"ONBOARD")</f>
        <v>624</v>
      </c>
      <c r="X26" s="10" t="n">
        <f aca="false">SUMIFS('Vendor Months'!$G$6:$G$3965,'Vendor Months'!$A$6:$A$3965,$AS$1,'Vendor Months'!$C$6:$C$3965,A26,'Vendor Months'!$J$6:$J$3965,"AI")</f>
        <v>0</v>
      </c>
      <c r="Y26" s="10" t="n">
        <f aca="false">SUMIFS('Vendor Months'!$G$6:$G$3965,'Vendor Months'!$A$6:$A$3965,$AS$1,'Vendor Months'!$C$6:$C$3965,A26,'Vendor Months'!$J$6:$J$3965,"CTMS")</f>
        <v>0</v>
      </c>
      <c r="Z26" s="10" t="n">
        <f aca="false">SUM(N26:Y26)</f>
        <v>17728.6306786813</v>
      </c>
      <c r="AA26" s="10" t="n">
        <f aca="false">(SUM(K26:M26)+Z26)*Assumptions!$E$12</f>
        <v>45501.9761357363</v>
      </c>
      <c r="AB26" s="10" t="n">
        <f aca="false">AD26*Assumptions!$E$29</f>
        <v>803.190569926042</v>
      </c>
      <c r="AC26" s="10" t="n">
        <f aca="false">SUM(K26:M26)+Z26+AA26+AB26</f>
        <v>273815.047384344</v>
      </c>
      <c r="AD26" s="10" t="n">
        <f aca="false">D26*Assumptions!$E$17</f>
        <v>26773.0189975347</v>
      </c>
      <c r="AE26" s="10" t="n">
        <f aca="false">AD26*12</f>
        <v>321276.227970417</v>
      </c>
      <c r="AF26" s="10" t="n">
        <f aca="false">AC26-AD26</f>
        <v>247042.028386809</v>
      </c>
      <c r="AG26" s="10" t="n">
        <f aca="false">IF(A26=Assumptions!$E$7,Assumptions!$E$8,0)</f>
        <v>0</v>
      </c>
      <c r="AH26" s="10" t="n">
        <f aca="false">AI25</f>
        <v>4744711.57868088</v>
      </c>
      <c r="AI26" s="10" t="n">
        <f aca="false">AH26+AG26-AF26</f>
        <v>4497669.55029408</v>
      </c>
      <c r="AJ26" s="10" t="n">
        <f aca="false">SUM($AC$6:AC26)</f>
        <v>3651801.56894999</v>
      </c>
      <c r="AK26" s="10" t="n">
        <f aca="false">MAX(0,-AI26)</f>
        <v>0</v>
      </c>
      <c r="AL26" s="10" t="n">
        <f aca="false">Assumptions!$E$6+SUM($AG$6:AG26)-AJ26</f>
        <v>4348198.43105002</v>
      </c>
      <c r="AM26" s="10" t="n">
        <f aca="false">SUMIFS('Vendor Months'!$H$6:$H$3965,'Vendor Months'!$A$6:$A$3965,$AS$1,'Vendor Months'!$C$6:$C$3965,A26)</f>
        <v>14404</v>
      </c>
      <c r="AN26" s="10" t="n">
        <f aca="false">X26+Y26</f>
        <v>0</v>
      </c>
      <c r="AO26" s="10" t="n">
        <f aca="false">SUMIFS('Staff Months'!$I$6:$I$2345,'Staff Months'!$A$6:$A$2345,$AS$1,'Staff Months'!$C$6:$C$2345,A26)</f>
        <v>17500</v>
      </c>
      <c r="AP26" s="10" t="n">
        <f aca="false">SUM($AF$6:AF26)</f>
        <v>3502330.44970592</v>
      </c>
      <c r="AQ26" s="10" t="n">
        <f aca="false">AC26</f>
        <v>273815.047384344</v>
      </c>
      <c r="AR26" s="26" t="n">
        <f aca="false">IF(AI26&lt;0,1,0)</f>
        <v>0</v>
      </c>
      <c r="AS26" s="6"/>
    </row>
    <row r="27" customFormat="false" ht="15" hidden="false" customHeight="false" outlineLevel="0" collapsed="false">
      <c r="A27" s="6" t="n">
        <v>22</v>
      </c>
      <c r="B27" s="25" t="n">
        <f aca="false">EDATE('Start Here'!$B$6,A27-1)</f>
        <v>46966</v>
      </c>
      <c r="C27" s="11" t="n">
        <f aca="false">IF(A27&gt;=Assumptions!$E$13,Assumptions!$E$14*(1+Assumptions!$E$15)^INT((A27-Assumptions!$E$13)/12),0)</f>
        <v>2</v>
      </c>
      <c r="D27" s="11" t="n">
        <f aca="false">D26*(1-Assumptions!$E$16)+C27</f>
        <v>20.9323491482567</v>
      </c>
      <c r="E27" s="11" t="n">
        <f aca="false">D27*Assumptions!$E$18</f>
        <v>523.308728706418</v>
      </c>
      <c r="F27" s="11" t="n">
        <f aca="false">E27*Assumptions!$E$19*30/1000000</f>
        <v>3.92481546529813</v>
      </c>
      <c r="G27" s="11" t="n">
        <f aca="false">D27*Assumptions!$E$20</f>
        <v>209.323491482567</v>
      </c>
      <c r="H27" s="11" t="n">
        <f aca="false">D27*Assumptions!$E$21</f>
        <v>41.8646982965134</v>
      </c>
      <c r="I27" s="11" t="n">
        <f aca="false">SUMIFS('Staff Months'!$E$6:$E$2345,'Staff Months'!$A$6:$A$2345,$AS$1,'Staff Months'!$C$6:$C$2345,A27)</f>
        <v>14.5</v>
      </c>
      <c r="J27" s="11" t="n">
        <f aca="false">SUMIFS('Staff Months'!$L$6:$L$2345,'Staff Months'!$A$6:$A$2345,$AS$1,'Staff Months'!$C$6:$C$2345,A27)</f>
        <v>15</v>
      </c>
      <c r="K27" s="10" t="n">
        <f aca="false">SUMIFS('Staff Months'!$H$6:$H$2345,'Staff Months'!$A$6:$A$2345,$AS$1,'Staff Months'!$C$6:$C$2345,A27)</f>
        <v>209781.25</v>
      </c>
      <c r="L27" s="10" t="n">
        <f aca="false">SUMIFS('Staff Months'!$J$6:$J$2345,'Staff Months'!$A$6:$A$2345,$AS$1,'Staff Months'!$C$6:$C$2345,A27)</f>
        <v>0</v>
      </c>
      <c r="M27" s="10" t="n">
        <f aca="false">SUMIFS('Staff Months'!$K$6:$K$2345,'Staff Months'!$A$6:$A$2345,$AS$1,'Staff Months'!$C$6:$C$2345,A27)</f>
        <v>0</v>
      </c>
      <c r="N27" s="10" t="n">
        <f aca="false">SUMIFS('Vendor Months'!$G$6:$G$3965,'Vendor Months'!$A$6:$A$3965,$AS$1,'Vendor Months'!$C$6:$C$3965,A27,'Vendor Months'!$J$6:$J$3965,"INFRA")</f>
        <v>1672.80513833045</v>
      </c>
      <c r="O27" s="10" t="n">
        <f aca="false">SUMIFS('Vendor Months'!$G$6:$G$3965,'Vendor Months'!$A$6:$A$3965,$AS$1,'Vendor Months'!$C$6:$C$3965,A27,'Vendor Months'!$J$6:$J$3965,"TOOLS")</f>
        <v>764.4</v>
      </c>
      <c r="P27" s="10" t="n">
        <f aca="false">SUMIFS('Vendor Months'!$G$6:$G$3965,'Vendor Months'!$A$6:$A$3965,$AS$1,'Vendor Months'!$C$6:$C$3965,A27,'Vendor Months'!$J$6:$J$3965,"LEGAL")</f>
        <v>0</v>
      </c>
      <c r="Q27" s="10" t="n">
        <f aca="false">SUMIFS('Vendor Months'!$G$6:$G$3965,'Vendor Months'!$A$6:$A$3965,$AS$1,'Vendor Months'!$C$6:$C$3965,A27,'Vendor Months'!$J$6:$J$3965,"SECURITY")</f>
        <v>18720</v>
      </c>
      <c r="R27" s="10" t="n">
        <f aca="false">SUMIFS('Vendor Months'!$G$6:$G$3965,'Vendor Months'!$A$6:$A$3965,$AS$1,'Vendor Months'!$C$6:$C$3965,A27,'Vendor Months'!$J$6:$J$3965,"COMPLIANCE")</f>
        <v>0</v>
      </c>
      <c r="S27" s="10" t="n">
        <f aca="false">SUMIFS('Vendor Months'!$G$6:$G$3965,'Vendor Months'!$A$6:$A$3965,$AS$1,'Vendor Months'!$C$6:$C$3965,A27,'Vendor Months'!$J$6:$J$3965,"INSURANCE")</f>
        <v>0</v>
      </c>
      <c r="T27" s="10" t="n">
        <f aca="false">SUMIFS('Vendor Months'!$G$6:$G$3965,'Vendor Months'!$A$6:$A$3965,$AS$1,'Vendor Months'!$C$6:$C$3965,A27,'Vendor Months'!$J$6:$J$3965,"ACCOUNTING")</f>
        <v>624</v>
      </c>
      <c r="U27" s="10" t="n">
        <f aca="false">SUMIFS('Vendor Months'!$G$6:$G$3965,'Vendor Months'!$A$6:$A$3965,$AS$1,'Vendor Months'!$C$6:$C$3965,A27,'Vendor Months'!$J$6:$J$3965,"SUPPORT")</f>
        <v>104</v>
      </c>
      <c r="V27" s="10" t="n">
        <f aca="false">SUMIFS('Vendor Months'!$G$6:$G$3965,'Vendor Months'!$A$6:$A$3965,$AS$1,'Vendor Months'!$C$6:$C$3965,A27,'Vendor Months'!$J$6:$J$3965,"MARKETING")</f>
        <v>1632.72323356402</v>
      </c>
      <c r="W27" s="10" t="n">
        <f aca="false">SUMIFS('Vendor Months'!$G$6:$G$3965,'Vendor Months'!$A$6:$A$3965,$AS$1,'Vendor Months'!$C$6:$C$3965,A27,'Vendor Months'!$J$6:$J$3965,"ONBOARD")</f>
        <v>624</v>
      </c>
      <c r="X27" s="10" t="n">
        <f aca="false">SUMIFS('Vendor Months'!$G$6:$G$3965,'Vendor Months'!$A$6:$A$3965,$AS$1,'Vendor Months'!$C$6:$C$3965,A27,'Vendor Months'!$J$6:$J$3965,"AI")</f>
        <v>0</v>
      </c>
      <c r="Y27" s="10" t="n">
        <f aca="false">SUMIFS('Vendor Months'!$G$6:$G$3965,'Vendor Months'!$A$6:$A$3965,$AS$1,'Vendor Months'!$C$6:$C$3965,A27,'Vendor Months'!$J$6:$J$3965,"CTMS")</f>
        <v>0</v>
      </c>
      <c r="Z27" s="10" t="n">
        <f aca="false">SUM(N27:Y27)</f>
        <v>24141.9283718945</v>
      </c>
      <c r="AA27" s="10" t="n">
        <f aca="false">(SUM(K27:M27)+Z27)*Assumptions!$E$12</f>
        <v>46784.6356743789</v>
      </c>
      <c r="AB27" s="10" t="n">
        <f aca="false">AD27*Assumptions!$E$29</f>
        <v>879.158664226782</v>
      </c>
      <c r="AC27" s="10" t="n">
        <f aca="false">SUM(K27:M27)+Z27+AA27+AB27</f>
        <v>281586.9727105</v>
      </c>
      <c r="AD27" s="10" t="n">
        <f aca="false">D27*Assumptions!$E$17</f>
        <v>29305.2888075594</v>
      </c>
      <c r="AE27" s="10" t="n">
        <f aca="false">AD27*12</f>
        <v>351663.465690713</v>
      </c>
      <c r="AF27" s="10" t="n">
        <f aca="false">AC27-AD27</f>
        <v>252281.683902941</v>
      </c>
      <c r="AG27" s="10" t="n">
        <f aca="false">IF(A27=Assumptions!$E$7,Assumptions!$E$8,0)</f>
        <v>0</v>
      </c>
      <c r="AH27" s="10" t="n">
        <f aca="false">AI26</f>
        <v>4497669.55029408</v>
      </c>
      <c r="AI27" s="10" t="n">
        <f aca="false">AH27+AG27-AF27</f>
        <v>4245387.86639113</v>
      </c>
      <c r="AJ27" s="10" t="n">
        <f aca="false">SUM($AC$6:AC27)</f>
        <v>3933388.54166049</v>
      </c>
      <c r="AK27" s="10" t="n">
        <f aca="false">MAX(0,-AI27)</f>
        <v>0</v>
      </c>
      <c r="AL27" s="10" t="n">
        <f aca="false">Assumptions!$E$6+SUM($AG$6:AG27)-AJ27</f>
        <v>4066611.45833952</v>
      </c>
      <c r="AM27" s="10" t="n">
        <f aca="false">SUMIFS('Vendor Months'!$H$6:$H$3965,'Vendor Months'!$A$6:$A$3965,$AS$1,'Vendor Months'!$C$6:$C$3965,A27)</f>
        <v>20644</v>
      </c>
      <c r="AN27" s="10" t="n">
        <f aca="false">X27+Y27</f>
        <v>0</v>
      </c>
      <c r="AO27" s="10" t="n">
        <f aca="false">SUMIFS('Staff Months'!$I$6:$I$2345,'Staff Months'!$A$6:$A$2345,$AS$1,'Staff Months'!$C$6:$C$2345,A27)</f>
        <v>17500</v>
      </c>
      <c r="AP27" s="10" t="n">
        <f aca="false">SUM($AF$6:AF27)</f>
        <v>3754612.13360887</v>
      </c>
      <c r="AQ27" s="10" t="n">
        <f aca="false">AC27</f>
        <v>281586.9727105</v>
      </c>
      <c r="AR27" s="26" t="n">
        <f aca="false">IF(AI27&lt;0,1,0)</f>
        <v>0</v>
      </c>
      <c r="AS27" s="6"/>
    </row>
    <row r="28" customFormat="false" ht="15" hidden="false" customHeight="false" outlineLevel="0" collapsed="false">
      <c r="A28" s="6" t="n">
        <v>23</v>
      </c>
      <c r="B28" s="25" t="n">
        <f aca="false">EDATE('Start Here'!$B$6,A28-1)</f>
        <v>46997</v>
      </c>
      <c r="C28" s="11" t="n">
        <f aca="false">IF(A28&gt;=Assumptions!$E$13,Assumptions!$E$14*(1+Assumptions!$E$15)^INT((A28-Assumptions!$E$13)/12),0)</f>
        <v>2</v>
      </c>
      <c r="D28" s="11" t="n">
        <f aca="false">D27*(1-Assumptions!$E$16)+C28</f>
        <v>22.7230256567741</v>
      </c>
      <c r="E28" s="11" t="n">
        <f aca="false">D28*Assumptions!$E$18</f>
        <v>568.075641419354</v>
      </c>
      <c r="F28" s="11" t="n">
        <f aca="false">E28*Assumptions!$E$19*30/1000000</f>
        <v>4.26056731064515</v>
      </c>
      <c r="G28" s="11" t="n">
        <f aca="false">D28*Assumptions!$E$20</f>
        <v>227.230256567741</v>
      </c>
      <c r="H28" s="11" t="n">
        <f aca="false">D28*Assumptions!$E$21</f>
        <v>45.4460513135483</v>
      </c>
      <c r="I28" s="11" t="n">
        <f aca="false">SUMIFS('Staff Months'!$E$6:$E$2345,'Staff Months'!$A$6:$A$2345,$AS$1,'Staff Months'!$C$6:$C$2345,A28)</f>
        <v>14.5</v>
      </c>
      <c r="J28" s="11" t="n">
        <f aca="false">SUMIFS('Staff Months'!$L$6:$L$2345,'Staff Months'!$A$6:$A$2345,$AS$1,'Staff Months'!$C$6:$C$2345,A28)</f>
        <v>15</v>
      </c>
      <c r="K28" s="10" t="n">
        <f aca="false">SUMIFS('Staff Months'!$H$6:$H$2345,'Staff Months'!$A$6:$A$2345,$AS$1,'Staff Months'!$C$6:$C$2345,A28)</f>
        <v>209781.25</v>
      </c>
      <c r="L28" s="10" t="n">
        <f aca="false">SUMIFS('Staff Months'!$J$6:$J$2345,'Staff Months'!$A$6:$A$2345,$AS$1,'Staff Months'!$C$6:$C$2345,A28)</f>
        <v>0</v>
      </c>
      <c r="M28" s="10" t="n">
        <f aca="false">SUMIFS('Staff Months'!$K$6:$K$2345,'Staff Months'!$A$6:$A$2345,$AS$1,'Staff Months'!$C$6:$C$2345,A28)</f>
        <v>0</v>
      </c>
      <c r="N28" s="10" t="n">
        <f aca="false">SUMIFS('Vendor Months'!$G$6:$G$3965,'Vendor Months'!$A$6:$A$3965,$AS$1,'Vendor Months'!$C$6:$C$3965,A28,'Vendor Months'!$J$6:$J$3965,"INFRA")</f>
        <v>1704.69708694715</v>
      </c>
      <c r="O28" s="10" t="n">
        <f aca="false">SUMIFS('Vendor Months'!$G$6:$G$3965,'Vendor Months'!$A$6:$A$3965,$AS$1,'Vendor Months'!$C$6:$C$3965,A28,'Vendor Months'!$J$6:$J$3965,"TOOLS")</f>
        <v>764.4</v>
      </c>
      <c r="P28" s="10" t="n">
        <f aca="false">SUMIFS('Vendor Months'!$G$6:$G$3965,'Vendor Months'!$A$6:$A$3965,$AS$1,'Vendor Months'!$C$6:$C$3965,A28,'Vendor Months'!$J$6:$J$3965,"LEGAL")</f>
        <v>0</v>
      </c>
      <c r="Q28" s="10" t="n">
        <f aca="false">SUMIFS('Vendor Months'!$G$6:$G$3965,'Vendor Months'!$A$6:$A$3965,$AS$1,'Vendor Months'!$C$6:$C$3965,A28,'Vendor Months'!$J$6:$J$3965,"SECURITY")</f>
        <v>0</v>
      </c>
      <c r="R28" s="10" t="n">
        <f aca="false">SUMIFS('Vendor Months'!$G$6:$G$3965,'Vendor Months'!$A$6:$A$3965,$AS$1,'Vendor Months'!$C$6:$C$3965,A28,'Vendor Months'!$J$6:$J$3965,"COMPLIANCE")</f>
        <v>15600</v>
      </c>
      <c r="S28" s="10" t="n">
        <f aca="false">SUMIFS('Vendor Months'!$G$6:$G$3965,'Vendor Months'!$A$6:$A$3965,$AS$1,'Vendor Months'!$C$6:$C$3965,A28,'Vendor Months'!$J$6:$J$3965,"INSURANCE")</f>
        <v>0</v>
      </c>
      <c r="T28" s="10" t="n">
        <f aca="false">SUMIFS('Vendor Months'!$G$6:$G$3965,'Vendor Months'!$A$6:$A$3965,$AS$1,'Vendor Months'!$C$6:$C$3965,A28,'Vendor Months'!$J$6:$J$3965,"ACCOUNTING")</f>
        <v>624</v>
      </c>
      <c r="U28" s="10" t="n">
        <f aca="false">SUMIFS('Vendor Months'!$G$6:$G$3965,'Vendor Months'!$A$6:$A$3965,$AS$1,'Vendor Months'!$C$6:$C$3965,A28,'Vendor Months'!$J$6:$J$3965,"SUPPORT")</f>
        <v>104</v>
      </c>
      <c r="V28" s="10" t="n">
        <f aca="false">SUMIFS('Vendor Months'!$G$6:$G$3965,'Vendor Months'!$A$6:$A$3965,$AS$1,'Vendor Months'!$C$6:$C$3965,A28,'Vendor Months'!$J$6:$J$3965,"MARKETING")</f>
        <v>1772.39600122838</v>
      </c>
      <c r="W28" s="10" t="n">
        <f aca="false">SUMIFS('Vendor Months'!$G$6:$G$3965,'Vendor Months'!$A$6:$A$3965,$AS$1,'Vendor Months'!$C$6:$C$3965,A28,'Vendor Months'!$J$6:$J$3965,"ONBOARD")</f>
        <v>624</v>
      </c>
      <c r="X28" s="10" t="n">
        <f aca="false">SUMIFS('Vendor Months'!$G$6:$G$3965,'Vendor Months'!$A$6:$A$3965,$AS$1,'Vendor Months'!$C$6:$C$3965,A28,'Vendor Months'!$J$6:$J$3965,"AI")</f>
        <v>0</v>
      </c>
      <c r="Y28" s="10" t="n">
        <f aca="false">SUMIFS('Vendor Months'!$G$6:$G$3965,'Vendor Months'!$A$6:$A$3965,$AS$1,'Vendor Months'!$C$6:$C$3965,A28,'Vendor Months'!$J$6:$J$3965,"CTMS")</f>
        <v>0</v>
      </c>
      <c r="Z28" s="10" t="n">
        <f aca="false">SUM(N28:Y28)</f>
        <v>21193.4930881755</v>
      </c>
      <c r="AA28" s="10" t="n">
        <f aca="false">(SUM(K28:M28)+Z28)*Assumptions!$E$12</f>
        <v>46194.9486176351</v>
      </c>
      <c r="AB28" s="10" t="n">
        <f aca="false">AD28*Assumptions!$E$29</f>
        <v>954.367077584514</v>
      </c>
      <c r="AC28" s="10" t="n">
        <f aca="false">SUM(K28:M28)+Z28+AA28+AB28</f>
        <v>278124.058783395</v>
      </c>
      <c r="AD28" s="10" t="n">
        <f aca="false">D28*Assumptions!$E$17</f>
        <v>31812.2359194838</v>
      </c>
      <c r="AE28" s="10" t="n">
        <f aca="false">AD28*12</f>
        <v>381746.831033806</v>
      </c>
      <c r="AF28" s="10" t="n">
        <f aca="false">AC28-AD28</f>
        <v>246311.822863911</v>
      </c>
      <c r="AG28" s="10" t="n">
        <f aca="false">IF(A28=Assumptions!$E$7,Assumptions!$E$8,0)</f>
        <v>0</v>
      </c>
      <c r="AH28" s="10" t="n">
        <f aca="false">AI27</f>
        <v>4245387.86639113</v>
      </c>
      <c r="AI28" s="10" t="n">
        <f aca="false">AH28+AG28-AF28</f>
        <v>3999076.04352722</v>
      </c>
      <c r="AJ28" s="10" t="n">
        <f aca="false">SUM($AC$6:AC28)</f>
        <v>4211512.60044388</v>
      </c>
      <c r="AK28" s="10" t="n">
        <f aca="false">MAX(0,-AI28)</f>
        <v>0</v>
      </c>
      <c r="AL28" s="10" t="n">
        <f aca="false">Assumptions!$E$6+SUM($AG$6:AG28)-AJ28</f>
        <v>3788487.39955612</v>
      </c>
      <c r="AM28" s="10" t="n">
        <f aca="false">SUMIFS('Vendor Months'!$H$6:$H$3965,'Vendor Months'!$A$6:$A$3965,$AS$1,'Vendor Months'!$C$6:$C$3965,A28)</f>
        <v>17524</v>
      </c>
      <c r="AN28" s="10" t="n">
        <f aca="false">X28+Y28</f>
        <v>0</v>
      </c>
      <c r="AO28" s="10" t="n">
        <f aca="false">SUMIFS('Staff Months'!$I$6:$I$2345,'Staff Months'!$A$6:$A$2345,$AS$1,'Staff Months'!$C$6:$C$2345,A28)</f>
        <v>17500</v>
      </c>
      <c r="AP28" s="10" t="n">
        <f aca="false">SUM($AF$6:AF28)</f>
        <v>4000923.95647278</v>
      </c>
      <c r="AQ28" s="10" t="n">
        <f aca="false">AC28</f>
        <v>278124.058783395</v>
      </c>
      <c r="AR28" s="26" t="n">
        <f aca="false">IF(AI28&lt;0,1,0)</f>
        <v>0</v>
      </c>
      <c r="AS28" s="6"/>
    </row>
    <row r="29" customFormat="false" ht="15" hidden="false" customHeight="false" outlineLevel="0" collapsed="false">
      <c r="A29" s="6" t="n">
        <v>24</v>
      </c>
      <c r="B29" s="25" t="n">
        <f aca="false">EDATE('Start Here'!$B$6,A29-1)</f>
        <v>47027</v>
      </c>
      <c r="C29" s="11" t="n">
        <f aca="false">IF(A29&gt;=Assumptions!$E$13,Assumptions!$E$14*(1+Assumptions!$E$15)^INT((A29-Assumptions!$E$13)/12),0)</f>
        <v>3.4</v>
      </c>
      <c r="D29" s="11" t="n">
        <f aca="false">D28*(1-Assumptions!$E$16)+C29</f>
        <v>25.8957954002064</v>
      </c>
      <c r="E29" s="11" t="n">
        <f aca="false">D29*Assumptions!$E$18</f>
        <v>647.39488500516</v>
      </c>
      <c r="F29" s="11" t="n">
        <f aca="false">E29*Assumptions!$E$19*30/1000000</f>
        <v>4.8554616375387</v>
      </c>
      <c r="G29" s="11" t="n">
        <f aca="false">D29*Assumptions!$E$20</f>
        <v>258.957954002064</v>
      </c>
      <c r="H29" s="11" t="n">
        <f aca="false">D29*Assumptions!$E$21</f>
        <v>51.7915908004128</v>
      </c>
      <c r="I29" s="11" t="n">
        <f aca="false">SUMIFS('Staff Months'!$E$6:$E$2345,'Staff Months'!$A$6:$A$2345,$AS$1,'Staff Months'!$C$6:$C$2345,A29)</f>
        <v>14.5</v>
      </c>
      <c r="J29" s="11" t="n">
        <f aca="false">SUMIFS('Staff Months'!$L$6:$L$2345,'Staff Months'!$A$6:$A$2345,$AS$1,'Staff Months'!$C$6:$C$2345,A29)</f>
        <v>15</v>
      </c>
      <c r="K29" s="10" t="n">
        <f aca="false">SUMIFS('Staff Months'!$H$6:$H$2345,'Staff Months'!$A$6:$A$2345,$AS$1,'Staff Months'!$C$6:$C$2345,A29)</f>
        <v>209781.25</v>
      </c>
      <c r="L29" s="10" t="n">
        <f aca="false">SUMIFS('Staff Months'!$J$6:$J$2345,'Staff Months'!$A$6:$A$2345,$AS$1,'Staff Months'!$C$6:$C$2345,A29)</f>
        <v>0</v>
      </c>
      <c r="M29" s="10" t="n">
        <f aca="false">SUMIFS('Staff Months'!$K$6:$K$2345,'Staff Months'!$A$6:$A$2345,$AS$1,'Staff Months'!$C$6:$C$2345,A29)</f>
        <v>0</v>
      </c>
      <c r="N29" s="10" t="n">
        <f aca="false">SUMIFS('Vendor Months'!$G$6:$G$3965,'Vendor Months'!$A$6:$A$3965,$AS$1,'Vendor Months'!$C$6:$C$3965,A29,'Vendor Months'!$J$6:$J$3965,"INFRA")</f>
        <v>1761.20411607768</v>
      </c>
      <c r="O29" s="10" t="n">
        <f aca="false">SUMIFS('Vendor Months'!$G$6:$G$3965,'Vendor Months'!$A$6:$A$3965,$AS$1,'Vendor Months'!$C$6:$C$3965,A29,'Vendor Months'!$J$6:$J$3965,"TOOLS")</f>
        <v>764.4</v>
      </c>
      <c r="P29" s="10" t="n">
        <f aca="false">SUMIFS('Vendor Months'!$G$6:$G$3965,'Vendor Months'!$A$6:$A$3965,$AS$1,'Vendor Months'!$C$6:$C$3965,A29,'Vendor Months'!$J$6:$J$3965,"LEGAL")</f>
        <v>0</v>
      </c>
      <c r="Q29" s="10" t="n">
        <f aca="false">SUMIFS('Vendor Months'!$G$6:$G$3965,'Vendor Months'!$A$6:$A$3965,$AS$1,'Vendor Months'!$C$6:$C$3965,A29,'Vendor Months'!$J$6:$J$3965,"SECURITY")</f>
        <v>0</v>
      </c>
      <c r="R29" s="10" t="n">
        <f aca="false">SUMIFS('Vendor Months'!$G$6:$G$3965,'Vendor Months'!$A$6:$A$3965,$AS$1,'Vendor Months'!$C$6:$C$3965,A29,'Vendor Months'!$J$6:$J$3965,"COMPLIANCE")</f>
        <v>0</v>
      </c>
      <c r="S29" s="10" t="n">
        <f aca="false">SUMIFS('Vendor Months'!$G$6:$G$3965,'Vendor Months'!$A$6:$A$3965,$AS$1,'Vendor Months'!$C$6:$C$3965,A29,'Vendor Months'!$J$6:$J$3965,"INSURANCE")</f>
        <v>0</v>
      </c>
      <c r="T29" s="10" t="n">
        <f aca="false">SUMIFS('Vendor Months'!$G$6:$G$3965,'Vendor Months'!$A$6:$A$3965,$AS$1,'Vendor Months'!$C$6:$C$3965,A29,'Vendor Months'!$J$6:$J$3965,"ACCOUNTING")</f>
        <v>624</v>
      </c>
      <c r="U29" s="10" t="n">
        <f aca="false">SUMIFS('Vendor Months'!$G$6:$G$3965,'Vendor Months'!$A$6:$A$3965,$AS$1,'Vendor Months'!$C$6:$C$3965,A29,'Vendor Months'!$J$6:$J$3965,"SUPPORT")</f>
        <v>104</v>
      </c>
      <c r="V29" s="10" t="n">
        <f aca="false">SUMIFS('Vendor Months'!$G$6:$G$3965,'Vendor Months'!$A$6:$A$3965,$AS$1,'Vendor Months'!$C$6:$C$3965,A29,'Vendor Months'!$J$6:$J$3965,"MARKETING")</f>
        <v>2019.8720412161</v>
      </c>
      <c r="W29" s="10" t="n">
        <f aca="false">SUMIFS('Vendor Months'!$G$6:$G$3965,'Vendor Months'!$A$6:$A$3965,$AS$1,'Vendor Months'!$C$6:$C$3965,A29,'Vendor Months'!$J$6:$J$3965,"ONBOARD")</f>
        <v>1060.8</v>
      </c>
      <c r="X29" s="10" t="n">
        <f aca="false">SUMIFS('Vendor Months'!$G$6:$G$3965,'Vendor Months'!$A$6:$A$3965,$AS$1,'Vendor Months'!$C$6:$C$3965,A29,'Vendor Months'!$J$6:$J$3965,"AI")</f>
        <v>0</v>
      </c>
      <c r="Y29" s="10" t="n">
        <f aca="false">SUMIFS('Vendor Months'!$G$6:$G$3965,'Vendor Months'!$A$6:$A$3965,$AS$1,'Vendor Months'!$C$6:$C$3965,A29,'Vendor Months'!$J$6:$J$3965,"CTMS")</f>
        <v>0</v>
      </c>
      <c r="Z29" s="10" t="n">
        <f aca="false">SUM(N29:Y29)</f>
        <v>6334.27615729378</v>
      </c>
      <c r="AA29" s="10" t="n">
        <f aca="false">(SUM(K29:M29)+Z29)*Assumptions!$E$12</f>
        <v>43223.1052314588</v>
      </c>
      <c r="AB29" s="10" t="n">
        <f aca="false">AD29*Assumptions!$E$29</f>
        <v>1087.62340680867</v>
      </c>
      <c r="AC29" s="10" t="n">
        <f aca="false">SUM(K29:M29)+Z29+AA29+AB29</f>
        <v>260426.254795561</v>
      </c>
      <c r="AD29" s="10" t="n">
        <f aca="false">D29*Assumptions!$E$17</f>
        <v>36254.113560289</v>
      </c>
      <c r="AE29" s="10" t="n">
        <f aca="false">AD29*12</f>
        <v>435049.362723468</v>
      </c>
      <c r="AF29" s="10" t="n">
        <f aca="false">AC29-AD29</f>
        <v>224172.141235272</v>
      </c>
      <c r="AG29" s="10" t="n">
        <f aca="false">IF(A29=Assumptions!$E$7,Assumptions!$E$8,0)</f>
        <v>0</v>
      </c>
      <c r="AH29" s="10" t="n">
        <f aca="false">AI28</f>
        <v>3999076.04352722</v>
      </c>
      <c r="AI29" s="10" t="n">
        <f aca="false">AH29+AG29-AF29</f>
        <v>3774903.90229195</v>
      </c>
      <c r="AJ29" s="10" t="n">
        <f aca="false">SUM($AC$6:AC29)</f>
        <v>4471938.85523944</v>
      </c>
      <c r="AK29" s="10" t="n">
        <f aca="false">MAX(0,-AI29)</f>
        <v>0</v>
      </c>
      <c r="AL29" s="10" t="n">
        <f aca="false">Assumptions!$E$6+SUM($AG$6:AG29)-AJ29</f>
        <v>3528061.14476056</v>
      </c>
      <c r="AM29" s="10" t="n">
        <f aca="false">SUMIFS('Vendor Months'!$H$6:$H$3965,'Vendor Months'!$A$6:$A$3965,$AS$1,'Vendor Months'!$C$6:$C$3965,A29)</f>
        <v>1924</v>
      </c>
      <c r="AN29" s="10" t="n">
        <f aca="false">X29+Y29</f>
        <v>0</v>
      </c>
      <c r="AO29" s="10" t="n">
        <f aca="false">SUMIFS('Staff Months'!$I$6:$I$2345,'Staff Months'!$A$6:$A$2345,$AS$1,'Staff Months'!$C$6:$C$2345,A29)</f>
        <v>17500</v>
      </c>
      <c r="AP29" s="10" t="n">
        <f aca="false">SUM($AF$6:AF29)</f>
        <v>4225096.09770805</v>
      </c>
      <c r="AQ29" s="10" t="n">
        <f aca="false">AC29</f>
        <v>260426.254795561</v>
      </c>
      <c r="AR29" s="26" t="n">
        <f aca="false">IF(AI29&lt;0,1,0)</f>
        <v>0</v>
      </c>
      <c r="AS29" s="6"/>
    </row>
    <row r="30" customFormat="false" ht="15" hidden="false" customHeight="false" outlineLevel="0" collapsed="false">
      <c r="A30" s="6" t="n">
        <v>25</v>
      </c>
      <c r="B30" s="25" t="n">
        <f aca="false">EDATE('Start Here'!$B$6,A30-1)</f>
        <v>47058</v>
      </c>
      <c r="C30" s="11" t="n">
        <f aca="false">IF(A30&gt;=Assumptions!$E$13,Assumptions!$E$14*(1+Assumptions!$E$15)^INT((A30-Assumptions!$E$13)/12),0)</f>
        <v>3.4</v>
      </c>
      <c r="D30" s="11" t="n">
        <f aca="false">D29*(1-Assumptions!$E$16)+C30</f>
        <v>29.0368374462043</v>
      </c>
      <c r="E30" s="11" t="n">
        <f aca="false">D30*Assumptions!$E$18</f>
        <v>725.920936155108</v>
      </c>
      <c r="F30" s="11" t="n">
        <f aca="false">E30*Assumptions!$E$19*30/1000000</f>
        <v>5.44440702116331</v>
      </c>
      <c r="G30" s="11" t="n">
        <f aca="false">D30*Assumptions!$E$20</f>
        <v>290.368374462043</v>
      </c>
      <c r="H30" s="11" t="n">
        <f aca="false">D30*Assumptions!$E$21</f>
        <v>58.0736748924087</v>
      </c>
      <c r="I30" s="11" t="n">
        <f aca="false">SUMIFS('Staff Months'!$E$6:$E$2345,'Staff Months'!$A$6:$A$2345,$AS$1,'Staff Months'!$C$6:$C$2345,A30)</f>
        <v>14.5</v>
      </c>
      <c r="J30" s="11" t="n">
        <f aca="false">SUMIFS('Staff Months'!$L$6:$L$2345,'Staff Months'!$A$6:$A$2345,$AS$1,'Staff Months'!$C$6:$C$2345,A30)</f>
        <v>15</v>
      </c>
      <c r="K30" s="10" t="n">
        <f aca="false">SUMIFS('Staff Months'!$H$6:$H$2345,'Staff Months'!$A$6:$A$2345,$AS$1,'Staff Months'!$C$6:$C$2345,A30)</f>
        <v>220270.3125</v>
      </c>
      <c r="L30" s="10" t="n">
        <f aca="false">SUMIFS('Staff Months'!$J$6:$J$2345,'Staff Months'!$A$6:$A$2345,$AS$1,'Staff Months'!$C$6:$C$2345,A30)</f>
        <v>0</v>
      </c>
      <c r="M30" s="10" t="n">
        <f aca="false">SUMIFS('Staff Months'!$K$6:$K$2345,'Staff Months'!$A$6:$A$2345,$AS$1,'Staff Months'!$C$6:$C$2345,A30)</f>
        <v>0</v>
      </c>
      <c r="N30" s="10" t="n">
        <f aca="false">SUMIFS('Vendor Months'!$G$6:$G$3965,'Vendor Months'!$A$6:$A$3965,$AS$1,'Vendor Months'!$C$6:$C$3965,A30,'Vendor Months'!$J$6:$J$3965,"INFRA")</f>
        <v>1889.83191791358</v>
      </c>
      <c r="O30" s="10" t="n">
        <f aca="false">SUMIFS('Vendor Months'!$G$6:$G$3965,'Vendor Months'!$A$6:$A$3965,$AS$1,'Vendor Months'!$C$6:$C$3965,A30,'Vendor Months'!$J$6:$J$3965,"TOOLS")</f>
        <v>794.976</v>
      </c>
      <c r="P30" s="10" t="n">
        <f aca="false">SUMIFS('Vendor Months'!$G$6:$G$3965,'Vendor Months'!$A$6:$A$3965,$AS$1,'Vendor Months'!$C$6:$C$3965,A30,'Vendor Months'!$J$6:$J$3965,"LEGAL")</f>
        <v>0</v>
      </c>
      <c r="Q30" s="10" t="n">
        <f aca="false">SUMIFS('Vendor Months'!$G$6:$G$3965,'Vendor Months'!$A$6:$A$3965,$AS$1,'Vendor Months'!$C$6:$C$3965,A30,'Vendor Months'!$J$6:$J$3965,"SECURITY")</f>
        <v>0</v>
      </c>
      <c r="R30" s="10" t="n">
        <f aca="false">SUMIFS('Vendor Months'!$G$6:$G$3965,'Vendor Months'!$A$6:$A$3965,$AS$1,'Vendor Months'!$C$6:$C$3965,A30,'Vendor Months'!$J$6:$J$3965,"COMPLIANCE")</f>
        <v>0</v>
      </c>
      <c r="S30" s="10" t="n">
        <f aca="false">SUMIFS('Vendor Months'!$G$6:$G$3965,'Vendor Months'!$A$6:$A$3965,$AS$1,'Vendor Months'!$C$6:$C$3965,A30,'Vendor Months'!$J$6:$J$3965,"INSURANCE")</f>
        <v>0</v>
      </c>
      <c r="T30" s="10" t="n">
        <f aca="false">SUMIFS('Vendor Months'!$G$6:$G$3965,'Vendor Months'!$A$6:$A$3965,$AS$1,'Vendor Months'!$C$6:$C$3965,A30,'Vendor Months'!$J$6:$J$3965,"ACCOUNTING")</f>
        <v>648.96</v>
      </c>
      <c r="U30" s="10" t="n">
        <f aca="false">SUMIFS('Vendor Months'!$G$6:$G$3965,'Vendor Months'!$A$6:$A$3965,$AS$1,'Vendor Months'!$C$6:$C$3965,A30,'Vendor Months'!$J$6:$J$3965,"SUPPORT")</f>
        <v>108.16</v>
      </c>
      <c r="V30" s="10" t="n">
        <f aca="false">SUMIFS('Vendor Months'!$G$6:$G$3965,'Vendor Months'!$A$6:$A$3965,$AS$1,'Vendor Months'!$C$6:$C$3965,A30,'Vendor Months'!$J$6:$J$3965,"MARKETING")</f>
        <v>2355.4682536361</v>
      </c>
      <c r="W30" s="10" t="n">
        <f aca="false">SUMIFS('Vendor Months'!$G$6:$G$3965,'Vendor Months'!$A$6:$A$3965,$AS$1,'Vendor Months'!$C$6:$C$3965,A30,'Vendor Months'!$J$6:$J$3965,"ONBOARD")</f>
        <v>1103.232</v>
      </c>
      <c r="X30" s="10" t="n">
        <f aca="false">SUMIFS('Vendor Months'!$G$6:$G$3965,'Vendor Months'!$A$6:$A$3965,$AS$1,'Vendor Months'!$C$6:$C$3965,A30,'Vendor Months'!$J$6:$J$3965,"AI")</f>
        <v>0</v>
      </c>
      <c r="Y30" s="10" t="n">
        <f aca="false">SUMIFS('Vendor Months'!$G$6:$G$3965,'Vendor Months'!$A$6:$A$3965,$AS$1,'Vendor Months'!$C$6:$C$3965,A30,'Vendor Months'!$J$6:$J$3965,"CTMS")</f>
        <v>0</v>
      </c>
      <c r="Z30" s="10" t="n">
        <f aca="false">SUM(N30:Y30)</f>
        <v>6900.62817154967</v>
      </c>
      <c r="AA30" s="10" t="n">
        <f aca="false">(SUM(K30:M30)+Z30)*Assumptions!$E$12</f>
        <v>45434.1881343099</v>
      </c>
      <c r="AB30" s="10" t="n">
        <f aca="false">AD30*Assumptions!$E$29</f>
        <v>1219.54717274058</v>
      </c>
      <c r="AC30" s="10" t="n">
        <f aca="false">SUM(K30:M30)+Z30+AA30+AB30</f>
        <v>273824.6759786</v>
      </c>
      <c r="AD30" s="10" t="n">
        <f aca="false">D30*Assumptions!$E$17</f>
        <v>40651.5724246861</v>
      </c>
      <c r="AE30" s="10" t="n">
        <f aca="false">AD30*12</f>
        <v>487818.869096233</v>
      </c>
      <c r="AF30" s="10" t="n">
        <f aca="false">AC30-AD30</f>
        <v>233173.103553914</v>
      </c>
      <c r="AG30" s="10" t="n">
        <f aca="false">IF(A30=Assumptions!$E$7,Assumptions!$E$8,0)</f>
        <v>0</v>
      </c>
      <c r="AH30" s="10" t="n">
        <f aca="false">AI29</f>
        <v>3774903.90229195</v>
      </c>
      <c r="AI30" s="10" t="n">
        <f aca="false">AH30+AG30-AF30</f>
        <v>3541730.79873804</v>
      </c>
      <c r="AJ30" s="10" t="n">
        <f aca="false">SUM($AC$6:AC30)</f>
        <v>4745763.53121804</v>
      </c>
      <c r="AK30" s="10" t="n">
        <f aca="false">MAX(0,-AI30)</f>
        <v>0</v>
      </c>
      <c r="AL30" s="10" t="n">
        <f aca="false">Assumptions!$E$6+SUM($AG$6:AG30)-AJ30</f>
        <v>3254236.46878196</v>
      </c>
      <c r="AM30" s="10" t="n">
        <f aca="false">SUMIFS('Vendor Months'!$H$6:$H$3965,'Vendor Months'!$A$6:$A$3965,$AS$1,'Vendor Months'!$C$6:$C$3965,A30)</f>
        <v>2000.96</v>
      </c>
      <c r="AN30" s="10" t="n">
        <f aca="false">X30+Y30</f>
        <v>0</v>
      </c>
      <c r="AO30" s="10" t="n">
        <f aca="false">SUMIFS('Staff Months'!$I$6:$I$2345,'Staff Months'!$A$6:$A$2345,$AS$1,'Staff Months'!$C$6:$C$2345,A30)</f>
        <v>18375</v>
      </c>
      <c r="AP30" s="10" t="n">
        <f aca="false">SUM($AF$6:AF30)</f>
        <v>4458269.20126196</v>
      </c>
      <c r="AQ30" s="10" t="n">
        <f aca="false">AC30</f>
        <v>273824.6759786</v>
      </c>
      <c r="AR30" s="26" t="n">
        <f aca="false">IF(AI30&lt;0,1,0)</f>
        <v>0</v>
      </c>
      <c r="AS30" s="6"/>
    </row>
    <row r="31" customFormat="false" ht="15" hidden="false" customHeight="false" outlineLevel="0" collapsed="false">
      <c r="A31" s="6" t="n">
        <v>26</v>
      </c>
      <c r="B31" s="25" t="n">
        <f aca="false">EDATE('Start Here'!$B$6,A31-1)</f>
        <v>47088</v>
      </c>
      <c r="C31" s="11" t="n">
        <f aca="false">IF(A31&gt;=Assumptions!$E$13,Assumptions!$E$14*(1+Assumptions!$E$15)^INT((A31-Assumptions!$E$13)/12),0)</f>
        <v>3.4</v>
      </c>
      <c r="D31" s="11" t="n">
        <f aca="false">D30*(1-Assumptions!$E$16)+C31</f>
        <v>32.1464690717423</v>
      </c>
      <c r="E31" s="11" t="n">
        <f aca="false">D31*Assumptions!$E$18</f>
        <v>803.661726793557</v>
      </c>
      <c r="F31" s="11" t="n">
        <f aca="false">E31*Assumptions!$E$19*30/1000000</f>
        <v>6.02746295095168</v>
      </c>
      <c r="G31" s="11" t="n">
        <f aca="false">D31*Assumptions!$E$20</f>
        <v>321.464690717423</v>
      </c>
      <c r="H31" s="11" t="n">
        <f aca="false">D31*Assumptions!$E$21</f>
        <v>64.2929381434846</v>
      </c>
      <c r="I31" s="11" t="n">
        <f aca="false">SUMIFS('Staff Months'!$E$6:$E$2345,'Staff Months'!$A$6:$A$2345,$AS$1,'Staff Months'!$C$6:$C$2345,A31)</f>
        <v>14.5</v>
      </c>
      <c r="J31" s="11" t="n">
        <f aca="false">SUMIFS('Staff Months'!$L$6:$L$2345,'Staff Months'!$A$6:$A$2345,$AS$1,'Staff Months'!$C$6:$C$2345,A31)</f>
        <v>15</v>
      </c>
      <c r="K31" s="10" t="n">
        <f aca="false">SUMIFS('Staff Months'!$H$6:$H$2345,'Staff Months'!$A$6:$A$2345,$AS$1,'Staff Months'!$C$6:$C$2345,A31)</f>
        <v>220270.3125</v>
      </c>
      <c r="L31" s="10" t="n">
        <f aca="false">SUMIFS('Staff Months'!$J$6:$J$2345,'Staff Months'!$A$6:$A$2345,$AS$1,'Staff Months'!$C$6:$C$2345,A31)</f>
        <v>0</v>
      </c>
      <c r="M31" s="10" t="n">
        <f aca="false">SUMIFS('Staff Months'!$K$6:$K$2345,'Staff Months'!$A$6:$A$2345,$AS$1,'Staff Months'!$C$6:$C$2345,A31)</f>
        <v>0</v>
      </c>
      <c r="N31" s="10" t="n">
        <f aca="false">SUMIFS('Vendor Months'!$G$6:$G$3965,'Vendor Months'!$A$6:$A$3965,$AS$1,'Vendor Months'!$C$6:$C$3965,A31,'Vendor Months'!$J$6:$J$3965,"INFRA")</f>
        <v>1947.42975873444</v>
      </c>
      <c r="O31" s="10" t="n">
        <f aca="false">SUMIFS('Vendor Months'!$G$6:$G$3965,'Vendor Months'!$A$6:$A$3965,$AS$1,'Vendor Months'!$C$6:$C$3965,A31,'Vendor Months'!$J$6:$J$3965,"TOOLS")</f>
        <v>794.976</v>
      </c>
      <c r="P31" s="10" t="n">
        <f aca="false">SUMIFS('Vendor Months'!$G$6:$G$3965,'Vendor Months'!$A$6:$A$3965,$AS$1,'Vendor Months'!$C$6:$C$3965,A31,'Vendor Months'!$J$6:$J$3965,"LEGAL")</f>
        <v>12979.2</v>
      </c>
      <c r="Q31" s="10" t="n">
        <f aca="false">SUMIFS('Vendor Months'!$G$6:$G$3965,'Vendor Months'!$A$6:$A$3965,$AS$1,'Vendor Months'!$C$6:$C$3965,A31,'Vendor Months'!$J$6:$J$3965,"SECURITY")</f>
        <v>0</v>
      </c>
      <c r="R31" s="10" t="n">
        <f aca="false">SUMIFS('Vendor Months'!$G$6:$G$3965,'Vendor Months'!$A$6:$A$3965,$AS$1,'Vendor Months'!$C$6:$C$3965,A31,'Vendor Months'!$J$6:$J$3965,"COMPLIANCE")</f>
        <v>0</v>
      </c>
      <c r="S31" s="10" t="n">
        <f aca="false">SUMIFS('Vendor Months'!$G$6:$G$3965,'Vendor Months'!$A$6:$A$3965,$AS$1,'Vendor Months'!$C$6:$C$3965,A31,'Vendor Months'!$J$6:$J$3965,"INSURANCE")</f>
        <v>0</v>
      </c>
      <c r="T31" s="10" t="n">
        <f aca="false">SUMIFS('Vendor Months'!$G$6:$G$3965,'Vendor Months'!$A$6:$A$3965,$AS$1,'Vendor Months'!$C$6:$C$3965,A31,'Vendor Months'!$J$6:$J$3965,"ACCOUNTING")</f>
        <v>648.96</v>
      </c>
      <c r="U31" s="10" t="n">
        <f aca="false">SUMIFS('Vendor Months'!$G$6:$G$3965,'Vendor Months'!$A$6:$A$3965,$AS$1,'Vendor Months'!$C$6:$C$3965,A31,'Vendor Months'!$J$6:$J$3965,"SUPPORT")</f>
        <v>108.16</v>
      </c>
      <c r="V31" s="10" t="n">
        <f aca="false">SUMIFS('Vendor Months'!$G$6:$G$3965,'Vendor Months'!$A$6:$A$3965,$AS$1,'Vendor Months'!$C$6:$C$3965,A31,'Vendor Months'!$J$6:$J$3965,"MARKETING")</f>
        <v>2607.72157109974</v>
      </c>
      <c r="W31" s="10" t="n">
        <f aca="false">SUMIFS('Vendor Months'!$G$6:$G$3965,'Vendor Months'!$A$6:$A$3965,$AS$1,'Vendor Months'!$C$6:$C$3965,A31,'Vendor Months'!$J$6:$J$3965,"ONBOARD")</f>
        <v>1103.232</v>
      </c>
      <c r="X31" s="10" t="n">
        <f aca="false">SUMIFS('Vendor Months'!$G$6:$G$3965,'Vendor Months'!$A$6:$A$3965,$AS$1,'Vendor Months'!$C$6:$C$3965,A31,'Vendor Months'!$J$6:$J$3965,"AI")</f>
        <v>0</v>
      </c>
      <c r="Y31" s="10" t="n">
        <f aca="false">SUMIFS('Vendor Months'!$G$6:$G$3965,'Vendor Months'!$A$6:$A$3965,$AS$1,'Vendor Months'!$C$6:$C$3965,A31,'Vendor Months'!$J$6:$J$3965,"CTMS")</f>
        <v>0</v>
      </c>
      <c r="Z31" s="10" t="n">
        <f aca="false">SUM(N31:Y31)</f>
        <v>20189.6793298342</v>
      </c>
      <c r="AA31" s="10" t="n">
        <f aca="false">(SUM(K31:M31)+Z31)*Assumptions!$E$12</f>
        <v>48091.9983659668</v>
      </c>
      <c r="AB31" s="10" t="n">
        <f aca="false">AD31*Assumptions!$E$29</f>
        <v>1350.15170101318</v>
      </c>
      <c r="AC31" s="10" t="n">
        <f aca="false">SUM(K31:M31)+Z31+AA31+AB31</f>
        <v>289902.141896814</v>
      </c>
      <c r="AD31" s="10" t="n">
        <f aca="false">D31*Assumptions!$E$17</f>
        <v>45005.0567004392</v>
      </c>
      <c r="AE31" s="10" t="n">
        <f aca="false">AD31*12</f>
        <v>540060.680405271</v>
      </c>
      <c r="AF31" s="10" t="n">
        <f aca="false">AC31-AD31</f>
        <v>244897.085196375</v>
      </c>
      <c r="AG31" s="10" t="n">
        <f aca="false">IF(A31=Assumptions!$E$7,Assumptions!$E$8,0)</f>
        <v>0</v>
      </c>
      <c r="AH31" s="10" t="n">
        <f aca="false">AI30</f>
        <v>3541730.79873804</v>
      </c>
      <c r="AI31" s="10" t="n">
        <f aca="false">AH31+AG31-AF31</f>
        <v>3296833.71354166</v>
      </c>
      <c r="AJ31" s="10" t="n">
        <f aca="false">SUM($AC$6:AC31)</f>
        <v>5035665.67311486</v>
      </c>
      <c r="AK31" s="10" t="n">
        <f aca="false">MAX(0,-AI31)</f>
        <v>0</v>
      </c>
      <c r="AL31" s="10" t="n">
        <f aca="false">Assumptions!$E$6+SUM($AG$6:AG31)-AJ31</f>
        <v>2964334.32688514</v>
      </c>
      <c r="AM31" s="10" t="n">
        <f aca="false">SUMIFS('Vendor Months'!$H$6:$H$3965,'Vendor Months'!$A$6:$A$3965,$AS$1,'Vendor Months'!$C$6:$C$3965,A31)</f>
        <v>14980.16</v>
      </c>
      <c r="AN31" s="10" t="n">
        <f aca="false">X31+Y31</f>
        <v>0</v>
      </c>
      <c r="AO31" s="10" t="n">
        <f aca="false">SUMIFS('Staff Months'!$I$6:$I$2345,'Staff Months'!$A$6:$A$2345,$AS$1,'Staff Months'!$C$6:$C$2345,A31)</f>
        <v>18375</v>
      </c>
      <c r="AP31" s="10" t="n">
        <f aca="false">SUM($AF$6:AF31)</f>
        <v>4703166.28645834</v>
      </c>
      <c r="AQ31" s="10" t="n">
        <f aca="false">AC31</f>
        <v>289902.141896814</v>
      </c>
      <c r="AR31" s="26" t="n">
        <f aca="false">IF(AI31&lt;0,1,0)</f>
        <v>0</v>
      </c>
      <c r="AS31" s="6"/>
    </row>
    <row r="32" customFormat="false" ht="15" hidden="false" customHeight="false" outlineLevel="0" collapsed="false">
      <c r="A32" s="6" t="n">
        <v>27</v>
      </c>
      <c r="B32" s="25" t="n">
        <f aca="false">EDATE('Start Here'!$B$6,A32-1)</f>
        <v>47119</v>
      </c>
      <c r="C32" s="11" t="n">
        <f aca="false">IF(A32&gt;=Assumptions!$E$13,Assumptions!$E$14*(1+Assumptions!$E$15)^INT((A32-Assumptions!$E$13)/12),0)</f>
        <v>3.4</v>
      </c>
      <c r="D32" s="11" t="n">
        <f aca="false">D31*(1-Assumptions!$E$16)+C32</f>
        <v>35.2250043810249</v>
      </c>
      <c r="E32" s="11" t="n">
        <f aca="false">D32*Assumptions!$E$18</f>
        <v>880.625109525622</v>
      </c>
      <c r="F32" s="11" t="n">
        <f aca="false">E32*Assumptions!$E$19*30/1000000</f>
        <v>6.60468832144217</v>
      </c>
      <c r="G32" s="11" t="n">
        <f aca="false">D32*Assumptions!$E$20</f>
        <v>352.250043810249</v>
      </c>
      <c r="H32" s="11" t="n">
        <f aca="false">D32*Assumptions!$E$21</f>
        <v>70.4500087620498</v>
      </c>
      <c r="I32" s="11" t="n">
        <f aca="false">SUMIFS('Staff Months'!$E$6:$E$2345,'Staff Months'!$A$6:$A$2345,$AS$1,'Staff Months'!$C$6:$C$2345,A32)</f>
        <v>14.5</v>
      </c>
      <c r="J32" s="11" t="n">
        <f aca="false">SUMIFS('Staff Months'!$L$6:$L$2345,'Staff Months'!$A$6:$A$2345,$AS$1,'Staff Months'!$C$6:$C$2345,A32)</f>
        <v>15</v>
      </c>
      <c r="K32" s="10" t="n">
        <f aca="false">SUMIFS('Staff Months'!$H$6:$H$2345,'Staff Months'!$A$6:$A$2345,$AS$1,'Staff Months'!$C$6:$C$2345,A32)</f>
        <v>220270.3125</v>
      </c>
      <c r="L32" s="10" t="n">
        <f aca="false">SUMIFS('Staff Months'!$J$6:$J$2345,'Staff Months'!$A$6:$A$2345,$AS$1,'Staff Months'!$C$6:$C$2345,A32)</f>
        <v>0</v>
      </c>
      <c r="M32" s="10" t="n">
        <f aca="false">SUMIFS('Staff Months'!$K$6:$K$2345,'Staff Months'!$A$6:$A$2345,$AS$1,'Staff Months'!$C$6:$C$2345,A32)</f>
        <v>0</v>
      </c>
      <c r="N32" s="10" t="n">
        <f aca="false">SUMIFS('Vendor Months'!$G$6:$G$3965,'Vendor Months'!$A$6:$A$3965,$AS$1,'Vendor Months'!$C$6:$C$3965,A32,'Vendor Months'!$J$6:$J$3965,"INFRA")</f>
        <v>2004.4516211471</v>
      </c>
      <c r="O32" s="10" t="n">
        <f aca="false">SUMIFS('Vendor Months'!$G$6:$G$3965,'Vendor Months'!$A$6:$A$3965,$AS$1,'Vendor Months'!$C$6:$C$3965,A32,'Vendor Months'!$J$6:$J$3965,"TOOLS")</f>
        <v>794.976</v>
      </c>
      <c r="P32" s="10" t="n">
        <f aca="false">SUMIFS('Vendor Months'!$G$6:$G$3965,'Vendor Months'!$A$6:$A$3965,$AS$1,'Vendor Months'!$C$6:$C$3965,A32,'Vendor Months'!$J$6:$J$3965,"LEGAL")</f>
        <v>0</v>
      </c>
      <c r="Q32" s="10" t="n">
        <f aca="false">SUMIFS('Vendor Months'!$G$6:$G$3965,'Vendor Months'!$A$6:$A$3965,$AS$1,'Vendor Months'!$C$6:$C$3965,A32,'Vendor Months'!$J$6:$J$3965,"SECURITY")</f>
        <v>0</v>
      </c>
      <c r="R32" s="10" t="n">
        <f aca="false">SUMIFS('Vendor Months'!$G$6:$G$3965,'Vendor Months'!$A$6:$A$3965,$AS$1,'Vendor Months'!$C$6:$C$3965,A32,'Vendor Months'!$J$6:$J$3965,"COMPLIANCE")</f>
        <v>0</v>
      </c>
      <c r="S32" s="10" t="n">
        <f aca="false">SUMIFS('Vendor Months'!$G$6:$G$3965,'Vendor Months'!$A$6:$A$3965,$AS$1,'Vendor Months'!$C$6:$C$3965,A32,'Vendor Months'!$J$6:$J$3965,"INSURANCE")</f>
        <v>0</v>
      </c>
      <c r="T32" s="10" t="n">
        <f aca="false">SUMIFS('Vendor Months'!$G$6:$G$3965,'Vendor Months'!$A$6:$A$3965,$AS$1,'Vendor Months'!$C$6:$C$3965,A32,'Vendor Months'!$J$6:$J$3965,"ACCOUNTING")</f>
        <v>648.96</v>
      </c>
      <c r="U32" s="10" t="n">
        <f aca="false">SUMIFS('Vendor Months'!$G$6:$G$3965,'Vendor Months'!$A$6:$A$3965,$AS$1,'Vendor Months'!$C$6:$C$3965,A32,'Vendor Months'!$J$6:$J$3965,"SUPPORT")</f>
        <v>108.16</v>
      </c>
      <c r="V32" s="10" t="n">
        <f aca="false">SUMIFS('Vendor Months'!$G$6:$G$3965,'Vendor Months'!$A$6:$A$3965,$AS$1,'Vendor Months'!$C$6:$C$3965,A32,'Vendor Months'!$J$6:$J$3965,"MARKETING")</f>
        <v>2857.45235538874</v>
      </c>
      <c r="W32" s="10" t="n">
        <f aca="false">SUMIFS('Vendor Months'!$G$6:$G$3965,'Vendor Months'!$A$6:$A$3965,$AS$1,'Vendor Months'!$C$6:$C$3965,A32,'Vendor Months'!$J$6:$J$3965,"ONBOARD")</f>
        <v>1103.232</v>
      </c>
      <c r="X32" s="10" t="n">
        <f aca="false">SUMIFS('Vendor Months'!$G$6:$G$3965,'Vendor Months'!$A$6:$A$3965,$AS$1,'Vendor Months'!$C$6:$C$3965,A32,'Vendor Months'!$J$6:$J$3965,"AI")</f>
        <v>0</v>
      </c>
      <c r="Y32" s="10" t="n">
        <f aca="false">SUMIFS('Vendor Months'!$G$6:$G$3965,'Vendor Months'!$A$6:$A$3965,$AS$1,'Vendor Months'!$C$6:$C$3965,A32,'Vendor Months'!$J$6:$J$3965,"CTMS")</f>
        <v>0</v>
      </c>
      <c r="Z32" s="10" t="n">
        <f aca="false">SUM(N32:Y32)</f>
        <v>7517.23197653583</v>
      </c>
      <c r="AA32" s="10" t="n">
        <f aca="false">(SUM(K32:M32)+Z32)*Assumptions!$E$12</f>
        <v>45557.5088953072</v>
      </c>
      <c r="AB32" s="10" t="n">
        <f aca="false">AD32*Assumptions!$E$29</f>
        <v>1479.45018400304</v>
      </c>
      <c r="AC32" s="10" t="n">
        <f aca="false">SUM(K32:M32)+Z32+AA32+AB32</f>
        <v>274824.503555846</v>
      </c>
      <c r="AD32" s="10" t="n">
        <f aca="false">D32*Assumptions!$E$17</f>
        <v>49315.0061334348</v>
      </c>
      <c r="AE32" s="10" t="n">
        <f aca="false">AD32*12</f>
        <v>591780.073601218</v>
      </c>
      <c r="AF32" s="10" t="n">
        <f aca="false">AC32-AD32</f>
        <v>225509.497422411</v>
      </c>
      <c r="AG32" s="10" t="n">
        <f aca="false">IF(A32=Assumptions!$E$7,Assumptions!$E$8,0)</f>
        <v>0</v>
      </c>
      <c r="AH32" s="10" t="n">
        <f aca="false">AI31</f>
        <v>3296833.71354166</v>
      </c>
      <c r="AI32" s="10" t="n">
        <f aca="false">AH32+AG32-AF32</f>
        <v>3071324.21611925</v>
      </c>
      <c r="AJ32" s="10" t="n">
        <f aca="false">SUM($AC$6:AC32)</f>
        <v>5310490.1766707</v>
      </c>
      <c r="AK32" s="10" t="n">
        <f aca="false">MAX(0,-AI32)</f>
        <v>0</v>
      </c>
      <c r="AL32" s="10" t="n">
        <f aca="false">Assumptions!$E$6+SUM($AG$6:AG32)-AJ32</f>
        <v>2689509.8233293</v>
      </c>
      <c r="AM32" s="10" t="n">
        <f aca="false">SUMIFS('Vendor Months'!$H$6:$H$3965,'Vendor Months'!$A$6:$A$3965,$AS$1,'Vendor Months'!$C$6:$C$3965,A32)</f>
        <v>2000.96</v>
      </c>
      <c r="AN32" s="10" t="n">
        <f aca="false">X32+Y32</f>
        <v>0</v>
      </c>
      <c r="AO32" s="10" t="n">
        <f aca="false">SUMIFS('Staff Months'!$I$6:$I$2345,'Staff Months'!$A$6:$A$2345,$AS$1,'Staff Months'!$C$6:$C$2345,A32)</f>
        <v>18375</v>
      </c>
      <c r="AP32" s="10" t="n">
        <f aca="false">SUM($AF$6:AF32)</f>
        <v>4928675.78388075</v>
      </c>
      <c r="AQ32" s="10" t="n">
        <f aca="false">AC32</f>
        <v>274824.503555846</v>
      </c>
      <c r="AR32" s="26" t="n">
        <f aca="false">IF(AI32&lt;0,1,0)</f>
        <v>0</v>
      </c>
      <c r="AS32" s="6"/>
    </row>
    <row r="33" customFormat="false" ht="15" hidden="false" customHeight="false" outlineLevel="0" collapsed="false">
      <c r="A33" s="6" t="n">
        <v>28</v>
      </c>
      <c r="B33" s="25" t="n">
        <f aca="false">EDATE('Start Here'!$B$6,A33-1)</f>
        <v>47150</v>
      </c>
      <c r="C33" s="11" t="n">
        <f aca="false">IF(A33&gt;=Assumptions!$E$13,Assumptions!$E$14*(1+Assumptions!$E$15)^INT((A33-Assumptions!$E$13)/12),0)</f>
        <v>3.4</v>
      </c>
      <c r="D33" s="11" t="n">
        <f aca="false">D32*(1-Assumptions!$E$16)+C33</f>
        <v>38.2727543372146</v>
      </c>
      <c r="E33" s="11" t="n">
        <f aca="false">D33*Assumptions!$E$18</f>
        <v>956.818858430366</v>
      </c>
      <c r="F33" s="11" t="n">
        <f aca="false">E33*Assumptions!$E$19*30/1000000</f>
        <v>7.17614143822774</v>
      </c>
      <c r="G33" s="11" t="n">
        <f aca="false">D33*Assumptions!$E$20</f>
        <v>382.727543372146</v>
      </c>
      <c r="H33" s="11" t="n">
        <f aca="false">D33*Assumptions!$E$21</f>
        <v>76.5455086744292</v>
      </c>
      <c r="I33" s="11" t="n">
        <f aca="false">SUMIFS('Staff Months'!$E$6:$E$2345,'Staff Months'!$A$6:$A$2345,$AS$1,'Staff Months'!$C$6:$C$2345,A33)</f>
        <v>14.5</v>
      </c>
      <c r="J33" s="11" t="n">
        <f aca="false">SUMIFS('Staff Months'!$L$6:$L$2345,'Staff Months'!$A$6:$A$2345,$AS$1,'Staff Months'!$C$6:$C$2345,A33)</f>
        <v>15</v>
      </c>
      <c r="K33" s="10" t="n">
        <f aca="false">SUMIFS('Staff Months'!$H$6:$H$2345,'Staff Months'!$A$6:$A$2345,$AS$1,'Staff Months'!$C$6:$C$2345,A33)</f>
        <v>220270.3125</v>
      </c>
      <c r="L33" s="10" t="n">
        <f aca="false">SUMIFS('Staff Months'!$J$6:$J$2345,'Staff Months'!$A$6:$A$2345,$AS$1,'Staff Months'!$C$6:$C$2345,A33)</f>
        <v>0</v>
      </c>
      <c r="M33" s="10" t="n">
        <f aca="false">SUMIFS('Staff Months'!$K$6:$K$2345,'Staff Months'!$A$6:$A$2345,$AS$1,'Staff Months'!$C$6:$C$2345,A33)</f>
        <v>0</v>
      </c>
      <c r="N33" s="10" t="n">
        <f aca="false">SUMIFS('Vendor Months'!$G$6:$G$3965,'Vendor Months'!$A$6:$A$3965,$AS$1,'Vendor Months'!$C$6:$C$3965,A33,'Vendor Months'!$J$6:$J$3965,"INFRA")</f>
        <v>2060.90326493562</v>
      </c>
      <c r="O33" s="10" t="n">
        <f aca="false">SUMIFS('Vendor Months'!$G$6:$G$3965,'Vendor Months'!$A$6:$A$3965,$AS$1,'Vendor Months'!$C$6:$C$3965,A33,'Vendor Months'!$J$6:$J$3965,"TOOLS")</f>
        <v>794.976</v>
      </c>
      <c r="P33" s="10" t="n">
        <f aca="false">SUMIFS('Vendor Months'!$G$6:$G$3965,'Vendor Months'!$A$6:$A$3965,$AS$1,'Vendor Months'!$C$6:$C$3965,A33,'Vendor Months'!$J$6:$J$3965,"LEGAL")</f>
        <v>0</v>
      </c>
      <c r="Q33" s="10" t="n">
        <f aca="false">SUMIFS('Vendor Months'!$G$6:$G$3965,'Vendor Months'!$A$6:$A$3965,$AS$1,'Vendor Months'!$C$6:$C$3965,A33,'Vendor Months'!$J$6:$J$3965,"SECURITY")</f>
        <v>0</v>
      </c>
      <c r="R33" s="10" t="n">
        <f aca="false">SUMIFS('Vendor Months'!$G$6:$G$3965,'Vendor Months'!$A$6:$A$3965,$AS$1,'Vendor Months'!$C$6:$C$3965,A33,'Vendor Months'!$J$6:$J$3965,"COMPLIANCE")</f>
        <v>0</v>
      </c>
      <c r="S33" s="10" t="n">
        <f aca="false">SUMIFS('Vendor Months'!$G$6:$G$3965,'Vendor Months'!$A$6:$A$3965,$AS$1,'Vendor Months'!$C$6:$C$3965,A33,'Vendor Months'!$J$6:$J$3965,"INSURANCE")</f>
        <v>0</v>
      </c>
      <c r="T33" s="10" t="n">
        <f aca="false">SUMIFS('Vendor Months'!$G$6:$G$3965,'Vendor Months'!$A$6:$A$3965,$AS$1,'Vendor Months'!$C$6:$C$3965,A33,'Vendor Months'!$J$6:$J$3965,"ACCOUNTING")</f>
        <v>648.96</v>
      </c>
      <c r="U33" s="10" t="n">
        <f aca="false">SUMIFS('Vendor Months'!$G$6:$G$3965,'Vendor Months'!$A$6:$A$3965,$AS$1,'Vendor Months'!$C$6:$C$3965,A33,'Vendor Months'!$J$6:$J$3965,"SUPPORT")</f>
        <v>108.16</v>
      </c>
      <c r="V33" s="10" t="n">
        <f aca="false">SUMIFS('Vendor Months'!$G$6:$G$3965,'Vendor Months'!$A$6:$A$3965,$AS$1,'Vendor Months'!$C$6:$C$3965,A33,'Vendor Months'!$J$6:$J$3965,"MARKETING")</f>
        <v>3104.68583183485</v>
      </c>
      <c r="W33" s="10" t="n">
        <f aca="false">SUMIFS('Vendor Months'!$G$6:$G$3965,'Vendor Months'!$A$6:$A$3965,$AS$1,'Vendor Months'!$C$6:$C$3965,A33,'Vendor Months'!$J$6:$J$3965,"ONBOARD")</f>
        <v>1103.232</v>
      </c>
      <c r="X33" s="10" t="n">
        <f aca="false">SUMIFS('Vendor Months'!$G$6:$G$3965,'Vendor Months'!$A$6:$A$3965,$AS$1,'Vendor Months'!$C$6:$C$3965,A33,'Vendor Months'!$J$6:$J$3965,"AI")</f>
        <v>0</v>
      </c>
      <c r="Y33" s="10" t="n">
        <f aca="false">SUMIFS('Vendor Months'!$G$6:$G$3965,'Vendor Months'!$A$6:$A$3965,$AS$1,'Vendor Months'!$C$6:$C$3965,A33,'Vendor Months'!$J$6:$J$3965,"CTMS")</f>
        <v>0</v>
      </c>
      <c r="Z33" s="10" t="n">
        <f aca="false">SUM(N33:Y33)</f>
        <v>7820.91709677048</v>
      </c>
      <c r="AA33" s="10" t="n">
        <f aca="false">(SUM(K33:M33)+Z33)*Assumptions!$E$12</f>
        <v>45618.2459193541</v>
      </c>
      <c r="AB33" s="10" t="n">
        <f aca="false">AD33*Assumptions!$E$29</f>
        <v>1607.45568216301</v>
      </c>
      <c r="AC33" s="10" t="n">
        <f aca="false">SUM(K33:M33)+Z33+AA33+AB33</f>
        <v>275316.931198288</v>
      </c>
      <c r="AD33" s="10" t="n">
        <f aca="false">D33*Assumptions!$E$17</f>
        <v>53581.8560721005</v>
      </c>
      <c r="AE33" s="10" t="n">
        <f aca="false">AD33*12</f>
        <v>642982.272865206</v>
      </c>
      <c r="AF33" s="10" t="n">
        <f aca="false">AC33-AD33</f>
        <v>221735.075126187</v>
      </c>
      <c r="AG33" s="10" t="n">
        <f aca="false">IF(A33=Assumptions!$E$7,Assumptions!$E$8,0)</f>
        <v>0</v>
      </c>
      <c r="AH33" s="10" t="n">
        <f aca="false">AI32</f>
        <v>3071324.21611925</v>
      </c>
      <c r="AI33" s="10" t="n">
        <f aca="false">AH33+AG33-AF33</f>
        <v>2849589.14099306</v>
      </c>
      <c r="AJ33" s="10" t="n">
        <f aca="false">SUM($AC$6:AC33)</f>
        <v>5585807.10786899</v>
      </c>
      <c r="AK33" s="10" t="n">
        <f aca="false">MAX(0,-AI33)</f>
        <v>0</v>
      </c>
      <c r="AL33" s="10" t="n">
        <f aca="false">Assumptions!$E$6+SUM($AG$6:AG33)-AJ33</f>
        <v>2414192.89213101</v>
      </c>
      <c r="AM33" s="10" t="n">
        <f aca="false">SUMIFS('Vendor Months'!$H$6:$H$3965,'Vendor Months'!$A$6:$A$3965,$AS$1,'Vendor Months'!$C$6:$C$3965,A33)</f>
        <v>2000.96</v>
      </c>
      <c r="AN33" s="10" t="n">
        <f aca="false">X33+Y33</f>
        <v>0</v>
      </c>
      <c r="AO33" s="10" t="n">
        <f aca="false">SUMIFS('Staff Months'!$I$6:$I$2345,'Staff Months'!$A$6:$A$2345,$AS$1,'Staff Months'!$C$6:$C$2345,A33)</f>
        <v>18375</v>
      </c>
      <c r="AP33" s="10" t="n">
        <f aca="false">SUM($AF$6:AF33)</f>
        <v>5150410.85900694</v>
      </c>
      <c r="AQ33" s="10" t="n">
        <f aca="false">AC33</f>
        <v>275316.931198288</v>
      </c>
      <c r="AR33" s="26" t="n">
        <f aca="false">IF(AI33&lt;0,1,0)</f>
        <v>0</v>
      </c>
      <c r="AS33" s="6"/>
    </row>
    <row r="34" customFormat="false" ht="15" hidden="false" customHeight="false" outlineLevel="0" collapsed="false">
      <c r="A34" s="6" t="n">
        <v>29</v>
      </c>
      <c r="B34" s="25" t="n">
        <f aca="false">EDATE('Start Here'!$B$6,A34-1)</f>
        <v>47178</v>
      </c>
      <c r="C34" s="11" t="n">
        <f aca="false">IF(A34&gt;=Assumptions!$E$13,Assumptions!$E$14*(1+Assumptions!$E$15)^INT((A34-Assumptions!$E$13)/12),0)</f>
        <v>3.4</v>
      </c>
      <c r="D34" s="11" t="n">
        <f aca="false">D33*(1-Assumptions!$E$16)+C34</f>
        <v>41.2900267938425</v>
      </c>
      <c r="E34" s="11" t="n">
        <f aca="false">D34*Assumptions!$E$18</f>
        <v>1032.25066984606</v>
      </c>
      <c r="F34" s="11" t="n">
        <f aca="false">E34*Assumptions!$E$19*30/1000000</f>
        <v>7.74188002384546</v>
      </c>
      <c r="G34" s="11" t="n">
        <f aca="false">D34*Assumptions!$E$20</f>
        <v>412.900267938425</v>
      </c>
      <c r="H34" s="11" t="n">
        <f aca="false">D34*Assumptions!$E$21</f>
        <v>82.5800535876849</v>
      </c>
      <c r="I34" s="11" t="n">
        <f aca="false">SUMIFS('Staff Months'!$E$6:$E$2345,'Staff Months'!$A$6:$A$2345,$AS$1,'Staff Months'!$C$6:$C$2345,A34)</f>
        <v>14.5</v>
      </c>
      <c r="J34" s="11" t="n">
        <f aca="false">SUMIFS('Staff Months'!$L$6:$L$2345,'Staff Months'!$A$6:$A$2345,$AS$1,'Staff Months'!$C$6:$C$2345,A34)</f>
        <v>15</v>
      </c>
      <c r="K34" s="10" t="n">
        <f aca="false">SUMIFS('Staff Months'!$H$6:$H$2345,'Staff Months'!$A$6:$A$2345,$AS$1,'Staff Months'!$C$6:$C$2345,A34)</f>
        <v>220270.3125</v>
      </c>
      <c r="L34" s="10" t="n">
        <f aca="false">SUMIFS('Staff Months'!$J$6:$J$2345,'Staff Months'!$A$6:$A$2345,$AS$1,'Staff Months'!$C$6:$C$2345,A34)</f>
        <v>0</v>
      </c>
      <c r="M34" s="10" t="n">
        <f aca="false">SUMIFS('Staff Months'!$K$6:$K$2345,'Staff Months'!$A$6:$A$2345,$AS$1,'Staff Months'!$C$6:$C$2345,A34)</f>
        <v>0</v>
      </c>
      <c r="N34" s="10" t="n">
        <f aca="false">SUMIFS('Vendor Months'!$G$6:$G$3965,'Vendor Months'!$A$6:$A$3965,$AS$1,'Vendor Months'!$C$6:$C$3965,A34,'Vendor Months'!$J$6:$J$3965,"INFRA")</f>
        <v>2116.79039228627</v>
      </c>
      <c r="O34" s="10" t="n">
        <f aca="false">SUMIFS('Vendor Months'!$G$6:$G$3965,'Vendor Months'!$A$6:$A$3965,$AS$1,'Vendor Months'!$C$6:$C$3965,A34,'Vendor Months'!$J$6:$J$3965,"TOOLS")</f>
        <v>794.976</v>
      </c>
      <c r="P34" s="10" t="n">
        <f aca="false">SUMIFS('Vendor Months'!$G$6:$G$3965,'Vendor Months'!$A$6:$A$3965,$AS$1,'Vendor Months'!$C$6:$C$3965,A34,'Vendor Months'!$J$6:$J$3965,"LEGAL")</f>
        <v>0</v>
      </c>
      <c r="Q34" s="10" t="n">
        <f aca="false">SUMIFS('Vendor Months'!$G$6:$G$3965,'Vendor Months'!$A$6:$A$3965,$AS$1,'Vendor Months'!$C$6:$C$3965,A34,'Vendor Months'!$J$6:$J$3965,"SECURITY")</f>
        <v>0</v>
      </c>
      <c r="R34" s="10" t="n">
        <f aca="false">SUMIFS('Vendor Months'!$G$6:$G$3965,'Vendor Months'!$A$6:$A$3965,$AS$1,'Vendor Months'!$C$6:$C$3965,A34,'Vendor Months'!$J$6:$J$3965,"COMPLIANCE")</f>
        <v>0</v>
      </c>
      <c r="S34" s="10" t="n">
        <f aca="false">SUMIFS('Vendor Months'!$G$6:$G$3965,'Vendor Months'!$A$6:$A$3965,$AS$1,'Vendor Months'!$C$6:$C$3965,A34,'Vendor Months'!$J$6:$J$3965,"INSURANCE")</f>
        <v>0</v>
      </c>
      <c r="T34" s="10" t="n">
        <f aca="false">SUMIFS('Vendor Months'!$G$6:$G$3965,'Vendor Months'!$A$6:$A$3965,$AS$1,'Vendor Months'!$C$6:$C$3965,A34,'Vendor Months'!$J$6:$J$3965,"ACCOUNTING")</f>
        <v>648.96</v>
      </c>
      <c r="U34" s="10" t="n">
        <f aca="false">SUMIFS('Vendor Months'!$G$6:$G$3965,'Vendor Months'!$A$6:$A$3965,$AS$1,'Vendor Months'!$C$6:$C$3965,A34,'Vendor Months'!$J$6:$J$3965,"SUPPORT")</f>
        <v>108.16</v>
      </c>
      <c r="V34" s="10" t="n">
        <f aca="false">SUMIFS('Vendor Months'!$G$6:$G$3965,'Vendor Months'!$A$6:$A$3965,$AS$1,'Vendor Months'!$C$6:$C$3965,A34,'Vendor Months'!$J$6:$J$3965,"MARKETING")</f>
        <v>3349.4469735165</v>
      </c>
      <c r="W34" s="10" t="n">
        <f aca="false">SUMIFS('Vendor Months'!$G$6:$G$3965,'Vendor Months'!$A$6:$A$3965,$AS$1,'Vendor Months'!$C$6:$C$3965,A34,'Vendor Months'!$J$6:$J$3965,"ONBOARD")</f>
        <v>1103.232</v>
      </c>
      <c r="X34" s="10" t="n">
        <f aca="false">SUMIFS('Vendor Months'!$G$6:$G$3965,'Vendor Months'!$A$6:$A$3965,$AS$1,'Vendor Months'!$C$6:$C$3965,A34,'Vendor Months'!$J$6:$J$3965,"AI")</f>
        <v>0</v>
      </c>
      <c r="Y34" s="10" t="n">
        <f aca="false">SUMIFS('Vendor Months'!$G$6:$G$3965,'Vendor Months'!$A$6:$A$3965,$AS$1,'Vendor Months'!$C$6:$C$3965,A34,'Vendor Months'!$J$6:$J$3965,"CTMS")</f>
        <v>0</v>
      </c>
      <c r="Z34" s="10" t="n">
        <f aca="false">SUM(N34:Y34)</f>
        <v>8121.56536580277</v>
      </c>
      <c r="AA34" s="10" t="n">
        <f aca="false">(SUM(K34:M34)+Z34)*Assumptions!$E$12</f>
        <v>45678.3755731606</v>
      </c>
      <c r="AB34" s="10" t="n">
        <f aca="false">AD34*Assumptions!$E$29</f>
        <v>1734.18112534138</v>
      </c>
      <c r="AC34" s="10" t="n">
        <f aca="false">SUM(K34:M34)+Z34+AA34+AB34</f>
        <v>275804.434564305</v>
      </c>
      <c r="AD34" s="10" t="n">
        <f aca="false">D34*Assumptions!$E$17</f>
        <v>57806.0375113795</v>
      </c>
      <c r="AE34" s="10" t="n">
        <f aca="false">AD34*12</f>
        <v>693672.450136554</v>
      </c>
      <c r="AF34" s="10" t="n">
        <f aca="false">AC34-AD34</f>
        <v>217998.397052925</v>
      </c>
      <c r="AG34" s="10" t="n">
        <f aca="false">IF(A34=Assumptions!$E$7,Assumptions!$E$8,0)</f>
        <v>0</v>
      </c>
      <c r="AH34" s="10" t="n">
        <f aca="false">AI33</f>
        <v>2849589.14099306</v>
      </c>
      <c r="AI34" s="10" t="n">
        <f aca="false">AH34+AG34-AF34</f>
        <v>2631590.74394014</v>
      </c>
      <c r="AJ34" s="10" t="n">
        <f aca="false">SUM($AC$6:AC34)</f>
        <v>5861611.54243329</v>
      </c>
      <c r="AK34" s="10" t="n">
        <f aca="false">MAX(0,-AI34)</f>
        <v>0</v>
      </c>
      <c r="AL34" s="10" t="n">
        <f aca="false">Assumptions!$E$6+SUM($AG$6:AG34)-AJ34</f>
        <v>2138388.45756671</v>
      </c>
      <c r="AM34" s="10" t="n">
        <f aca="false">SUMIFS('Vendor Months'!$H$6:$H$3965,'Vendor Months'!$A$6:$A$3965,$AS$1,'Vendor Months'!$C$6:$C$3965,A34)</f>
        <v>2000.96</v>
      </c>
      <c r="AN34" s="10" t="n">
        <f aca="false">X34+Y34</f>
        <v>0</v>
      </c>
      <c r="AO34" s="10" t="n">
        <f aca="false">SUMIFS('Staff Months'!$I$6:$I$2345,'Staff Months'!$A$6:$A$2345,$AS$1,'Staff Months'!$C$6:$C$2345,A34)</f>
        <v>18375</v>
      </c>
      <c r="AP34" s="10" t="n">
        <f aca="false">SUM($AF$6:AF34)</f>
        <v>5368409.25605986</v>
      </c>
      <c r="AQ34" s="10" t="n">
        <f aca="false">AC34</f>
        <v>275804.434564305</v>
      </c>
      <c r="AR34" s="26" t="n">
        <f aca="false">IF(AI34&lt;0,1,0)</f>
        <v>0</v>
      </c>
      <c r="AS34" s="6"/>
    </row>
    <row r="35" customFormat="false" ht="15" hidden="false" customHeight="false" outlineLevel="0" collapsed="false">
      <c r="A35" s="6" t="n">
        <v>30</v>
      </c>
      <c r="B35" s="25" t="n">
        <f aca="false">EDATE('Start Here'!$B$6,A35-1)</f>
        <v>47209</v>
      </c>
      <c r="C35" s="11" t="n">
        <f aca="false">IF(A35&gt;=Assumptions!$E$13,Assumptions!$E$14*(1+Assumptions!$E$15)^INT((A35-Assumptions!$E$13)/12),0)</f>
        <v>3.4</v>
      </c>
      <c r="D35" s="11" t="n">
        <f aca="false">D34*(1-Assumptions!$E$16)+C35</f>
        <v>44.277126525904</v>
      </c>
      <c r="E35" s="11" t="n">
        <f aca="false">D35*Assumptions!$E$18</f>
        <v>1106.9281631476</v>
      </c>
      <c r="F35" s="11" t="n">
        <f aca="false">E35*Assumptions!$E$19*30/1000000</f>
        <v>8.30196122360701</v>
      </c>
      <c r="G35" s="11" t="n">
        <f aca="false">D35*Assumptions!$E$20</f>
        <v>442.77126525904</v>
      </c>
      <c r="H35" s="11" t="n">
        <f aca="false">D35*Assumptions!$E$21</f>
        <v>88.5542530518081</v>
      </c>
      <c r="I35" s="11" t="n">
        <f aca="false">SUMIFS('Staff Months'!$E$6:$E$2345,'Staff Months'!$A$6:$A$2345,$AS$1,'Staff Months'!$C$6:$C$2345,A35)</f>
        <v>14.5</v>
      </c>
      <c r="J35" s="11" t="n">
        <f aca="false">SUMIFS('Staff Months'!$L$6:$L$2345,'Staff Months'!$A$6:$A$2345,$AS$1,'Staff Months'!$C$6:$C$2345,A35)</f>
        <v>15</v>
      </c>
      <c r="K35" s="10" t="n">
        <f aca="false">SUMIFS('Staff Months'!$H$6:$H$2345,'Staff Months'!$A$6:$A$2345,$AS$1,'Staff Months'!$C$6:$C$2345,A35)</f>
        <v>220270.3125</v>
      </c>
      <c r="L35" s="10" t="n">
        <f aca="false">SUMIFS('Staff Months'!$J$6:$J$2345,'Staff Months'!$A$6:$A$2345,$AS$1,'Staff Months'!$C$6:$C$2345,A35)</f>
        <v>0</v>
      </c>
      <c r="M35" s="10" t="n">
        <f aca="false">SUMIFS('Staff Months'!$K$6:$K$2345,'Staff Months'!$A$6:$A$2345,$AS$1,'Staff Months'!$C$6:$C$2345,A35)</f>
        <v>0</v>
      </c>
      <c r="N35" s="10" t="n">
        <f aca="false">SUMIFS('Vendor Months'!$G$6:$G$3965,'Vendor Months'!$A$6:$A$3965,$AS$1,'Vendor Months'!$C$6:$C$3965,A35,'Vendor Months'!$J$6:$J$3965,"INFRA")</f>
        <v>2172.11864836341</v>
      </c>
      <c r="O35" s="10" t="n">
        <f aca="false">SUMIFS('Vendor Months'!$G$6:$G$3965,'Vendor Months'!$A$6:$A$3965,$AS$1,'Vendor Months'!$C$6:$C$3965,A35,'Vendor Months'!$J$6:$J$3965,"TOOLS")</f>
        <v>794.976</v>
      </c>
      <c r="P35" s="10" t="n">
        <f aca="false">SUMIFS('Vendor Months'!$G$6:$G$3965,'Vendor Months'!$A$6:$A$3965,$AS$1,'Vendor Months'!$C$6:$C$3965,A35,'Vendor Months'!$J$6:$J$3965,"LEGAL")</f>
        <v>0</v>
      </c>
      <c r="Q35" s="10" t="n">
        <f aca="false">SUMIFS('Vendor Months'!$G$6:$G$3965,'Vendor Months'!$A$6:$A$3965,$AS$1,'Vendor Months'!$C$6:$C$3965,A35,'Vendor Months'!$J$6:$J$3965,"SECURITY")</f>
        <v>0</v>
      </c>
      <c r="R35" s="10" t="n">
        <f aca="false">SUMIFS('Vendor Months'!$G$6:$G$3965,'Vendor Months'!$A$6:$A$3965,$AS$1,'Vendor Months'!$C$6:$C$3965,A35,'Vendor Months'!$J$6:$J$3965,"COMPLIANCE")</f>
        <v>0</v>
      </c>
      <c r="S35" s="10" t="n">
        <f aca="false">SUMIFS('Vendor Months'!$G$6:$G$3965,'Vendor Months'!$A$6:$A$3965,$AS$1,'Vendor Months'!$C$6:$C$3965,A35,'Vendor Months'!$J$6:$J$3965,"INSURANCE")</f>
        <v>0</v>
      </c>
      <c r="T35" s="10" t="n">
        <f aca="false">SUMIFS('Vendor Months'!$G$6:$G$3965,'Vendor Months'!$A$6:$A$3965,$AS$1,'Vendor Months'!$C$6:$C$3965,A35,'Vendor Months'!$J$6:$J$3965,"ACCOUNTING")</f>
        <v>648.96</v>
      </c>
      <c r="U35" s="10" t="n">
        <f aca="false">SUMIFS('Vendor Months'!$G$6:$G$3965,'Vendor Months'!$A$6:$A$3965,$AS$1,'Vendor Months'!$C$6:$C$3965,A35,'Vendor Months'!$J$6:$J$3965,"SUPPORT")</f>
        <v>108.16</v>
      </c>
      <c r="V35" s="10" t="n">
        <f aca="false">SUMIFS('Vendor Months'!$G$6:$G$3965,'Vendor Months'!$A$6:$A$3965,$AS$1,'Vendor Months'!$C$6:$C$3965,A35,'Vendor Months'!$J$6:$J$3965,"MARKETING")</f>
        <v>3591.76050378134</v>
      </c>
      <c r="W35" s="10" t="n">
        <f aca="false">SUMIFS('Vendor Months'!$G$6:$G$3965,'Vendor Months'!$A$6:$A$3965,$AS$1,'Vendor Months'!$C$6:$C$3965,A35,'Vendor Months'!$J$6:$J$3965,"ONBOARD")</f>
        <v>1103.232</v>
      </c>
      <c r="X35" s="10" t="n">
        <f aca="false">SUMIFS('Vendor Months'!$G$6:$G$3965,'Vendor Months'!$A$6:$A$3965,$AS$1,'Vendor Months'!$C$6:$C$3965,A35,'Vendor Months'!$J$6:$J$3965,"AI")</f>
        <v>0</v>
      </c>
      <c r="Y35" s="10" t="n">
        <f aca="false">SUMIFS('Vendor Months'!$G$6:$G$3965,'Vendor Months'!$A$6:$A$3965,$AS$1,'Vendor Months'!$C$6:$C$3965,A35,'Vendor Months'!$J$6:$J$3965,"CTMS")</f>
        <v>0</v>
      </c>
      <c r="Z35" s="10" t="n">
        <f aca="false">SUM(N35:Y35)</f>
        <v>8419.20715214474</v>
      </c>
      <c r="AA35" s="10" t="n">
        <f aca="false">(SUM(K35:M35)+Z35)*Assumptions!$E$12</f>
        <v>45737.903930429</v>
      </c>
      <c r="AB35" s="10" t="n">
        <f aca="false">AD35*Assumptions!$E$29</f>
        <v>1859.63931408797</v>
      </c>
      <c r="AC35" s="10" t="n">
        <f aca="false">SUM(K35:M35)+Z35+AA35+AB35</f>
        <v>276287.062896662</v>
      </c>
      <c r="AD35" s="10" t="n">
        <f aca="false">D35*Assumptions!$E$17</f>
        <v>61987.9771362657</v>
      </c>
      <c r="AE35" s="10" t="n">
        <f aca="false">AD35*12</f>
        <v>743855.725635188</v>
      </c>
      <c r="AF35" s="10" t="n">
        <f aca="false">AC35-AD35</f>
        <v>214299.085760396</v>
      </c>
      <c r="AG35" s="10" t="n">
        <f aca="false">IF(A35=Assumptions!$E$7,Assumptions!$E$8,0)</f>
        <v>0</v>
      </c>
      <c r="AH35" s="10" t="n">
        <f aca="false">AI34</f>
        <v>2631590.74394014</v>
      </c>
      <c r="AI35" s="10" t="n">
        <f aca="false">AH35+AG35-AF35</f>
        <v>2417291.65817974</v>
      </c>
      <c r="AJ35" s="10" t="n">
        <f aca="false">SUM($AC$6:AC35)</f>
        <v>6137898.60532996</v>
      </c>
      <c r="AK35" s="10" t="n">
        <f aca="false">MAX(0,-AI35)</f>
        <v>0</v>
      </c>
      <c r="AL35" s="10" t="n">
        <f aca="false">Assumptions!$E$6+SUM($AG$6:AG35)-AJ35</f>
        <v>1862101.39467004</v>
      </c>
      <c r="AM35" s="10" t="n">
        <f aca="false">SUMIFS('Vendor Months'!$H$6:$H$3965,'Vendor Months'!$A$6:$A$3965,$AS$1,'Vendor Months'!$C$6:$C$3965,A35)</f>
        <v>2000.96</v>
      </c>
      <c r="AN35" s="10" t="n">
        <f aca="false">X35+Y35</f>
        <v>0</v>
      </c>
      <c r="AO35" s="10" t="n">
        <f aca="false">SUMIFS('Staff Months'!$I$6:$I$2345,'Staff Months'!$A$6:$A$2345,$AS$1,'Staff Months'!$C$6:$C$2345,A35)</f>
        <v>18375</v>
      </c>
      <c r="AP35" s="10" t="n">
        <f aca="false">SUM($AF$6:AF35)</f>
        <v>5582708.34182026</v>
      </c>
      <c r="AQ35" s="10" t="n">
        <f aca="false">AC35</f>
        <v>276287.062896662</v>
      </c>
      <c r="AR35" s="26" t="n">
        <f aca="false">IF(AI35&lt;0,1,0)</f>
        <v>0</v>
      </c>
      <c r="AS35" s="6"/>
    </row>
    <row r="36" customFormat="false" ht="15" hidden="false" customHeight="false" outlineLevel="0" collapsed="false">
      <c r="A36" s="6" t="n">
        <v>31</v>
      </c>
      <c r="B36" s="25" t="n">
        <f aca="false">EDATE('Start Here'!$B$6,A36-1)</f>
        <v>47239</v>
      </c>
      <c r="C36" s="11" t="n">
        <f aca="false">IF(A36&gt;=Assumptions!$E$13,Assumptions!$E$14*(1+Assumptions!$E$15)^INT((A36-Assumptions!$E$13)/12),0)</f>
        <v>3.4</v>
      </c>
      <c r="D36" s="11" t="n">
        <f aca="false">D35*(1-Assumptions!$E$16)+C36</f>
        <v>47.234355260645</v>
      </c>
      <c r="E36" s="11" t="n">
        <f aca="false">D36*Assumptions!$E$18</f>
        <v>1180.85888151613</v>
      </c>
      <c r="F36" s="11" t="n">
        <f aca="false">E36*Assumptions!$E$19*30/1000000</f>
        <v>8.85644161137094</v>
      </c>
      <c r="G36" s="11" t="n">
        <f aca="false">D36*Assumptions!$E$20</f>
        <v>472.34355260645</v>
      </c>
      <c r="H36" s="11" t="n">
        <f aca="false">D36*Assumptions!$E$21</f>
        <v>94.46871052129</v>
      </c>
      <c r="I36" s="11" t="n">
        <f aca="false">SUMIFS('Staff Months'!$E$6:$E$2345,'Staff Months'!$A$6:$A$2345,$AS$1,'Staff Months'!$C$6:$C$2345,A36)</f>
        <v>23</v>
      </c>
      <c r="J36" s="11" t="n">
        <f aca="false">SUMIFS('Staff Months'!$L$6:$L$2345,'Staff Months'!$A$6:$A$2345,$AS$1,'Staff Months'!$C$6:$C$2345,A36)</f>
        <v>23</v>
      </c>
      <c r="K36" s="10" t="n">
        <f aca="false">SUMIFS('Staff Months'!$H$6:$H$2345,'Staff Months'!$A$6:$A$2345,$AS$1,'Staff Months'!$C$6:$C$2345,A36)</f>
        <v>350135.625</v>
      </c>
      <c r="L36" s="10" t="n">
        <f aca="false">SUMIFS('Staff Months'!$J$6:$J$2345,'Staff Months'!$A$6:$A$2345,$AS$1,'Staff Months'!$C$6:$C$2345,A36)</f>
        <v>84000</v>
      </c>
      <c r="M36" s="10" t="n">
        <f aca="false">SUMIFS('Staff Months'!$K$6:$K$2345,'Staff Months'!$A$6:$A$2345,$AS$1,'Staff Months'!$C$6:$C$2345,A36)</f>
        <v>29750</v>
      </c>
      <c r="N36" s="10" t="n">
        <f aca="false">SUMIFS('Vendor Months'!$G$6:$G$3965,'Vendor Months'!$A$6:$A$3965,$AS$1,'Vendor Months'!$C$6:$C$3965,A36,'Vendor Months'!$J$6:$J$3965,"INFRA")</f>
        <v>2226.89362187977</v>
      </c>
      <c r="O36" s="10" t="n">
        <f aca="false">SUMIFS('Vendor Months'!$G$6:$G$3965,'Vendor Months'!$A$6:$A$3965,$AS$1,'Vendor Months'!$C$6:$C$3965,A36,'Vendor Months'!$J$6:$J$3965,"TOOLS")</f>
        <v>1218.9632</v>
      </c>
      <c r="P36" s="10" t="n">
        <f aca="false">SUMIFS('Vendor Months'!$G$6:$G$3965,'Vendor Months'!$A$6:$A$3965,$AS$1,'Vendor Months'!$C$6:$C$3965,A36,'Vendor Months'!$J$6:$J$3965,"LEGAL")</f>
        <v>0</v>
      </c>
      <c r="Q36" s="10" t="n">
        <f aca="false">SUMIFS('Vendor Months'!$G$6:$G$3965,'Vendor Months'!$A$6:$A$3965,$AS$1,'Vendor Months'!$C$6:$C$3965,A36,'Vendor Months'!$J$6:$J$3965,"SECURITY")</f>
        <v>0</v>
      </c>
      <c r="R36" s="10" t="n">
        <f aca="false">SUMIFS('Vendor Months'!$G$6:$G$3965,'Vendor Months'!$A$6:$A$3965,$AS$1,'Vendor Months'!$C$6:$C$3965,A36,'Vendor Months'!$J$6:$J$3965,"COMPLIANCE")</f>
        <v>0</v>
      </c>
      <c r="S36" s="10" t="n">
        <f aca="false">SUMIFS('Vendor Months'!$G$6:$G$3965,'Vendor Months'!$A$6:$A$3965,$AS$1,'Vendor Months'!$C$6:$C$3965,A36,'Vendor Months'!$J$6:$J$3965,"INSURANCE")</f>
        <v>0</v>
      </c>
      <c r="T36" s="10" t="n">
        <f aca="false">SUMIFS('Vendor Months'!$G$6:$G$3965,'Vendor Months'!$A$6:$A$3965,$AS$1,'Vendor Months'!$C$6:$C$3965,A36,'Vendor Months'!$J$6:$J$3965,"ACCOUNTING")</f>
        <v>648.96</v>
      </c>
      <c r="U36" s="10" t="n">
        <f aca="false">SUMIFS('Vendor Months'!$G$6:$G$3965,'Vendor Months'!$A$6:$A$3965,$AS$1,'Vendor Months'!$C$6:$C$3965,A36,'Vendor Months'!$J$6:$J$3965,"SUPPORT")</f>
        <v>108.16</v>
      </c>
      <c r="V36" s="10" t="n">
        <f aca="false">SUMIFS('Vendor Months'!$G$6:$G$3965,'Vendor Months'!$A$6:$A$3965,$AS$1,'Vendor Months'!$C$6:$C$3965,A36,'Vendor Months'!$J$6:$J$3965,"MARKETING")</f>
        <v>3831.65089874352</v>
      </c>
      <c r="W36" s="10" t="n">
        <f aca="false">SUMIFS('Vendor Months'!$G$6:$G$3965,'Vendor Months'!$A$6:$A$3965,$AS$1,'Vendor Months'!$C$6:$C$3965,A36,'Vendor Months'!$J$6:$J$3965,"ONBOARD")</f>
        <v>1103.232</v>
      </c>
      <c r="X36" s="10" t="n">
        <f aca="false">SUMIFS('Vendor Months'!$G$6:$G$3965,'Vendor Months'!$A$6:$A$3965,$AS$1,'Vendor Months'!$C$6:$C$3965,A36,'Vendor Months'!$J$6:$J$3965,"AI")</f>
        <v>0</v>
      </c>
      <c r="Y36" s="10" t="n">
        <f aca="false">SUMIFS('Vendor Months'!$G$6:$G$3965,'Vendor Months'!$A$6:$A$3965,$AS$1,'Vendor Months'!$C$6:$C$3965,A36,'Vendor Months'!$J$6:$J$3965,"CTMS")</f>
        <v>0</v>
      </c>
      <c r="Z36" s="10" t="n">
        <f aca="false">SUM(N36:Y36)</f>
        <v>9137.8597206233</v>
      </c>
      <c r="AA36" s="10" t="n">
        <f aca="false">(SUM(K36:M36)+Z36)*Assumptions!$E$12</f>
        <v>94604.6969441247</v>
      </c>
      <c r="AB36" s="10" t="n">
        <f aca="false">AD36*Assumptions!$E$29</f>
        <v>1983.84292094709</v>
      </c>
      <c r="AC36" s="10" t="n">
        <f aca="false">SUM(K36:M36)+Z36+AA36+AB36</f>
        <v>569612.024585695</v>
      </c>
      <c r="AD36" s="10" t="n">
        <f aca="false">D36*Assumptions!$E$17</f>
        <v>66128.097364903</v>
      </c>
      <c r="AE36" s="10" t="n">
        <f aca="false">AD36*12</f>
        <v>793537.168378836</v>
      </c>
      <c r="AF36" s="10" t="n">
        <f aca="false">AC36-AD36</f>
        <v>503483.927220792</v>
      </c>
      <c r="AG36" s="10" t="n">
        <f aca="false">IF(A36=Assumptions!$E$7,Assumptions!$E$8,0)</f>
        <v>0</v>
      </c>
      <c r="AH36" s="10" t="n">
        <f aca="false">AI35</f>
        <v>2417291.65817974</v>
      </c>
      <c r="AI36" s="10" t="n">
        <f aca="false">AH36+AG36-AF36</f>
        <v>1913807.73095895</v>
      </c>
      <c r="AJ36" s="10" t="n">
        <f aca="false">SUM($AC$6:AC36)</f>
        <v>6707510.62991565</v>
      </c>
      <c r="AK36" s="10" t="n">
        <f aca="false">MAX(0,-AI36)</f>
        <v>0</v>
      </c>
      <c r="AL36" s="10" t="n">
        <f aca="false">Assumptions!$E$6+SUM($AG$6:AG36)-AJ36</f>
        <v>1292489.37008435</v>
      </c>
      <c r="AM36" s="10" t="n">
        <f aca="false">SUMIFS('Vendor Months'!$H$6:$H$3965,'Vendor Months'!$A$6:$A$3965,$AS$1,'Vendor Months'!$C$6:$C$3965,A36)</f>
        <v>2000.96</v>
      </c>
      <c r="AN36" s="10" t="n">
        <f aca="false">X36+Y36</f>
        <v>0</v>
      </c>
      <c r="AO36" s="10" t="n">
        <f aca="false">SUMIFS('Staff Months'!$I$6:$I$2345,'Staff Months'!$A$6:$A$2345,$AS$1,'Staff Months'!$C$6:$C$2345,A36)</f>
        <v>18375</v>
      </c>
      <c r="AP36" s="10" t="n">
        <f aca="false">SUM($AF$6:AF36)</f>
        <v>6086192.26904105</v>
      </c>
      <c r="AQ36" s="10" t="n">
        <f aca="false">AC36</f>
        <v>569612.024585695</v>
      </c>
      <c r="AR36" s="26" t="n">
        <f aca="false">IF(AI36&lt;0,1,0)</f>
        <v>0</v>
      </c>
      <c r="AS36" s="6"/>
    </row>
    <row r="37" customFormat="false" ht="15" hidden="false" customHeight="false" outlineLevel="0" collapsed="false">
      <c r="A37" s="6" t="n">
        <v>32</v>
      </c>
      <c r="B37" s="25" t="n">
        <f aca="false">EDATE('Start Here'!$B$6,A37-1)</f>
        <v>47270</v>
      </c>
      <c r="C37" s="11" t="n">
        <f aca="false">IF(A37&gt;=Assumptions!$E$13,Assumptions!$E$14*(1+Assumptions!$E$15)^INT((A37-Assumptions!$E$13)/12),0)</f>
        <v>3.4</v>
      </c>
      <c r="D37" s="11" t="n">
        <f aca="false">D36*(1-Assumptions!$E$16)+C37</f>
        <v>50.1620117080386</v>
      </c>
      <c r="E37" s="11" t="n">
        <f aca="false">D37*Assumptions!$E$18</f>
        <v>1254.05029270096</v>
      </c>
      <c r="F37" s="11" t="n">
        <f aca="false">E37*Assumptions!$E$19*30/1000000</f>
        <v>9.40537719525723</v>
      </c>
      <c r="G37" s="11" t="n">
        <f aca="false">D37*Assumptions!$E$20</f>
        <v>501.620117080386</v>
      </c>
      <c r="H37" s="11" t="n">
        <f aca="false">D37*Assumptions!$E$21</f>
        <v>100.324023416077</v>
      </c>
      <c r="I37" s="11" t="n">
        <f aca="false">SUMIFS('Staff Months'!$E$6:$E$2345,'Staff Months'!$A$6:$A$2345,$AS$1,'Staff Months'!$C$6:$C$2345,A37)</f>
        <v>23</v>
      </c>
      <c r="J37" s="11" t="n">
        <f aca="false">SUMIFS('Staff Months'!$L$6:$L$2345,'Staff Months'!$A$6:$A$2345,$AS$1,'Staff Months'!$C$6:$C$2345,A37)</f>
        <v>23</v>
      </c>
      <c r="K37" s="10" t="n">
        <f aca="false">SUMIFS('Staff Months'!$H$6:$H$2345,'Staff Months'!$A$6:$A$2345,$AS$1,'Staff Months'!$C$6:$C$2345,A37)</f>
        <v>350135.625</v>
      </c>
      <c r="L37" s="10" t="n">
        <f aca="false">SUMIFS('Staff Months'!$J$6:$J$2345,'Staff Months'!$A$6:$A$2345,$AS$1,'Staff Months'!$C$6:$C$2345,A37)</f>
        <v>0</v>
      </c>
      <c r="M37" s="10" t="n">
        <f aca="false">SUMIFS('Staff Months'!$K$6:$K$2345,'Staff Months'!$A$6:$A$2345,$AS$1,'Staff Months'!$C$6:$C$2345,A37)</f>
        <v>0</v>
      </c>
      <c r="N37" s="10" t="n">
        <f aca="false">SUMIFS('Vendor Months'!$G$6:$G$3965,'Vendor Months'!$A$6:$A$3965,$AS$1,'Vendor Months'!$C$6:$C$3965,A37,'Vendor Months'!$J$6:$J$3965,"INFRA")</f>
        <v>2281.12084566097</v>
      </c>
      <c r="O37" s="10" t="n">
        <f aca="false">SUMIFS('Vendor Months'!$G$6:$G$3965,'Vendor Months'!$A$6:$A$3965,$AS$1,'Vendor Months'!$C$6:$C$3965,A37,'Vendor Months'!$J$6:$J$3965,"TOOLS")</f>
        <v>1218.9632</v>
      </c>
      <c r="P37" s="10" t="n">
        <f aca="false">SUMIFS('Vendor Months'!$G$6:$G$3965,'Vendor Months'!$A$6:$A$3965,$AS$1,'Vendor Months'!$C$6:$C$3965,A37,'Vendor Months'!$J$6:$J$3965,"LEGAL")</f>
        <v>0</v>
      </c>
      <c r="Q37" s="10" t="n">
        <f aca="false">SUMIFS('Vendor Months'!$G$6:$G$3965,'Vendor Months'!$A$6:$A$3965,$AS$1,'Vendor Months'!$C$6:$C$3965,A37,'Vendor Months'!$J$6:$J$3965,"SECURITY")</f>
        <v>0</v>
      </c>
      <c r="R37" s="10" t="n">
        <f aca="false">SUMIFS('Vendor Months'!$G$6:$G$3965,'Vendor Months'!$A$6:$A$3965,$AS$1,'Vendor Months'!$C$6:$C$3965,A37,'Vendor Months'!$J$6:$J$3965,"COMPLIANCE")</f>
        <v>0</v>
      </c>
      <c r="S37" s="10" t="n">
        <f aca="false">SUMIFS('Vendor Months'!$G$6:$G$3965,'Vendor Months'!$A$6:$A$3965,$AS$1,'Vendor Months'!$C$6:$C$3965,A37,'Vendor Months'!$J$6:$J$3965,"INSURANCE")</f>
        <v>0</v>
      </c>
      <c r="T37" s="10" t="n">
        <f aca="false">SUMIFS('Vendor Months'!$G$6:$G$3965,'Vendor Months'!$A$6:$A$3965,$AS$1,'Vendor Months'!$C$6:$C$3965,A37,'Vendor Months'!$J$6:$J$3965,"ACCOUNTING")</f>
        <v>648.96</v>
      </c>
      <c r="U37" s="10" t="n">
        <f aca="false">SUMIFS('Vendor Months'!$G$6:$G$3965,'Vendor Months'!$A$6:$A$3965,$AS$1,'Vendor Months'!$C$6:$C$3965,A37,'Vendor Months'!$J$6:$J$3965,"SUPPORT")</f>
        <v>108.16</v>
      </c>
      <c r="V37" s="10" t="n">
        <f aca="false">SUMIFS('Vendor Months'!$G$6:$G$3965,'Vendor Months'!$A$6:$A$3965,$AS$1,'Vendor Months'!$C$6:$C$3965,A37,'Vendor Months'!$J$6:$J$3965,"MARKETING")</f>
        <v>4069.14238975609</v>
      </c>
      <c r="W37" s="10" t="n">
        <f aca="false">SUMIFS('Vendor Months'!$G$6:$G$3965,'Vendor Months'!$A$6:$A$3965,$AS$1,'Vendor Months'!$C$6:$C$3965,A37,'Vendor Months'!$J$6:$J$3965,"ONBOARD")</f>
        <v>1103.232</v>
      </c>
      <c r="X37" s="10" t="n">
        <f aca="false">SUMIFS('Vendor Months'!$G$6:$G$3965,'Vendor Months'!$A$6:$A$3965,$AS$1,'Vendor Months'!$C$6:$C$3965,A37,'Vendor Months'!$J$6:$J$3965,"AI")</f>
        <v>0</v>
      </c>
      <c r="Y37" s="10" t="n">
        <f aca="false">SUMIFS('Vendor Months'!$G$6:$G$3965,'Vendor Months'!$A$6:$A$3965,$AS$1,'Vendor Months'!$C$6:$C$3965,A37,'Vendor Months'!$J$6:$J$3965,"CTMS")</f>
        <v>0</v>
      </c>
      <c r="Z37" s="10" t="n">
        <f aca="false">SUM(N37:Y37)</f>
        <v>9429.57843541706</v>
      </c>
      <c r="AA37" s="10" t="n">
        <f aca="false">(SUM(K37:M37)+Z37)*Assumptions!$E$12</f>
        <v>71913.0406870834</v>
      </c>
      <c r="AB37" s="10" t="n">
        <f aca="false">AD37*Assumptions!$E$29</f>
        <v>2106.80449173762</v>
      </c>
      <c r="AC37" s="10" t="n">
        <f aca="false">SUM(K37:M37)+Z37+AA37+AB37</f>
        <v>433585.048614238</v>
      </c>
      <c r="AD37" s="10" t="n">
        <f aca="false">D37*Assumptions!$E$17</f>
        <v>70226.816391254</v>
      </c>
      <c r="AE37" s="10" t="n">
        <f aca="false">AD37*12</f>
        <v>842721.796695048</v>
      </c>
      <c r="AF37" s="10" t="n">
        <f aca="false">AC37-AD37</f>
        <v>363358.232222984</v>
      </c>
      <c r="AG37" s="10" t="n">
        <f aca="false">IF(A37=Assumptions!$E$7,Assumptions!$E$8,0)</f>
        <v>0</v>
      </c>
      <c r="AH37" s="10" t="n">
        <f aca="false">AI36</f>
        <v>1913807.73095895</v>
      </c>
      <c r="AI37" s="10" t="n">
        <f aca="false">AH37+AG37-AF37</f>
        <v>1550449.49873597</v>
      </c>
      <c r="AJ37" s="10" t="n">
        <f aca="false">SUM($AC$6:AC37)</f>
        <v>7141095.67852989</v>
      </c>
      <c r="AK37" s="10" t="n">
        <f aca="false">MAX(0,-AI37)</f>
        <v>0</v>
      </c>
      <c r="AL37" s="10" t="n">
        <f aca="false">Assumptions!$E$6+SUM($AG$6:AG37)-AJ37</f>
        <v>858904.321470111</v>
      </c>
      <c r="AM37" s="10" t="n">
        <f aca="false">SUMIFS('Vendor Months'!$H$6:$H$3965,'Vendor Months'!$A$6:$A$3965,$AS$1,'Vendor Months'!$C$6:$C$3965,A37)</f>
        <v>2000.96</v>
      </c>
      <c r="AN37" s="10" t="n">
        <f aca="false">X37+Y37</f>
        <v>0</v>
      </c>
      <c r="AO37" s="10" t="n">
        <f aca="false">SUMIFS('Staff Months'!$I$6:$I$2345,'Staff Months'!$A$6:$A$2345,$AS$1,'Staff Months'!$C$6:$C$2345,A37)</f>
        <v>18375</v>
      </c>
      <c r="AP37" s="10" t="n">
        <f aca="false">SUM($AF$6:AF37)</f>
        <v>6449550.50126403</v>
      </c>
      <c r="AQ37" s="10" t="n">
        <f aca="false">AC37</f>
        <v>433585.048614238</v>
      </c>
      <c r="AR37" s="26" t="n">
        <f aca="false">IF(AI37&lt;0,1,0)</f>
        <v>0</v>
      </c>
      <c r="AS37" s="6"/>
    </row>
    <row r="38" customFormat="false" ht="15" hidden="false" customHeight="false" outlineLevel="0" collapsed="false">
      <c r="A38" s="6" t="n">
        <v>33</v>
      </c>
      <c r="B38" s="25" t="n">
        <f aca="false">EDATE('Start Here'!$B$6,A38-1)</f>
        <v>47300</v>
      </c>
      <c r="C38" s="11" t="n">
        <f aca="false">IF(A38&gt;=Assumptions!$E$13,Assumptions!$E$14*(1+Assumptions!$E$15)^INT((A38-Assumptions!$E$13)/12),0)</f>
        <v>3.4</v>
      </c>
      <c r="D38" s="11" t="n">
        <f aca="false">D37*(1-Assumptions!$E$16)+C38</f>
        <v>53.0603915909582</v>
      </c>
      <c r="E38" s="11" t="n">
        <f aca="false">D38*Assumptions!$E$18</f>
        <v>1326.50978977395</v>
      </c>
      <c r="F38" s="11" t="n">
        <f aca="false">E38*Assumptions!$E$19*30/1000000</f>
        <v>9.94882342330465</v>
      </c>
      <c r="G38" s="11" t="n">
        <f aca="false">D38*Assumptions!$E$20</f>
        <v>530.603915909582</v>
      </c>
      <c r="H38" s="11" t="n">
        <f aca="false">D38*Assumptions!$E$21</f>
        <v>106.120783181916</v>
      </c>
      <c r="I38" s="11" t="n">
        <f aca="false">SUMIFS('Staff Months'!$E$6:$E$2345,'Staff Months'!$A$6:$A$2345,$AS$1,'Staff Months'!$C$6:$C$2345,A38)</f>
        <v>23</v>
      </c>
      <c r="J38" s="11" t="n">
        <f aca="false">SUMIFS('Staff Months'!$L$6:$L$2345,'Staff Months'!$A$6:$A$2345,$AS$1,'Staff Months'!$C$6:$C$2345,A38)</f>
        <v>23</v>
      </c>
      <c r="K38" s="10" t="n">
        <f aca="false">SUMIFS('Staff Months'!$H$6:$H$2345,'Staff Months'!$A$6:$A$2345,$AS$1,'Staff Months'!$C$6:$C$2345,A38)</f>
        <v>350135.625</v>
      </c>
      <c r="L38" s="10" t="n">
        <f aca="false">SUMIFS('Staff Months'!$J$6:$J$2345,'Staff Months'!$A$6:$A$2345,$AS$1,'Staff Months'!$C$6:$C$2345,A38)</f>
        <v>0</v>
      </c>
      <c r="M38" s="10" t="n">
        <f aca="false">SUMIFS('Staff Months'!$K$6:$K$2345,'Staff Months'!$A$6:$A$2345,$AS$1,'Staff Months'!$C$6:$C$2345,A38)</f>
        <v>0</v>
      </c>
      <c r="N38" s="10" t="n">
        <f aca="false">SUMIFS('Vendor Months'!$G$6:$G$3965,'Vendor Months'!$A$6:$A$3965,$AS$1,'Vendor Months'!$C$6:$C$3965,A38,'Vendor Months'!$J$6:$J$3965,"INFRA")</f>
        <v>2334.80579720436</v>
      </c>
      <c r="O38" s="10" t="n">
        <f aca="false">SUMIFS('Vendor Months'!$G$6:$G$3965,'Vendor Months'!$A$6:$A$3965,$AS$1,'Vendor Months'!$C$6:$C$3965,A38,'Vendor Months'!$J$6:$J$3965,"TOOLS")</f>
        <v>1218.9632</v>
      </c>
      <c r="P38" s="10" t="n">
        <f aca="false">SUMIFS('Vendor Months'!$G$6:$G$3965,'Vendor Months'!$A$6:$A$3965,$AS$1,'Vendor Months'!$C$6:$C$3965,A38,'Vendor Months'!$J$6:$J$3965,"LEGAL")</f>
        <v>0</v>
      </c>
      <c r="Q38" s="10" t="n">
        <f aca="false">SUMIFS('Vendor Months'!$G$6:$G$3965,'Vendor Months'!$A$6:$A$3965,$AS$1,'Vendor Months'!$C$6:$C$3965,A38,'Vendor Months'!$J$6:$J$3965,"SECURITY")</f>
        <v>0</v>
      </c>
      <c r="R38" s="10" t="n">
        <f aca="false">SUMIFS('Vendor Months'!$G$6:$G$3965,'Vendor Months'!$A$6:$A$3965,$AS$1,'Vendor Months'!$C$6:$C$3965,A38,'Vendor Months'!$J$6:$J$3965,"COMPLIANCE")</f>
        <v>0</v>
      </c>
      <c r="S38" s="10" t="n">
        <f aca="false">SUMIFS('Vendor Months'!$G$6:$G$3965,'Vendor Months'!$A$6:$A$3965,$AS$1,'Vendor Months'!$C$6:$C$3965,A38,'Vendor Months'!$J$6:$J$3965,"INSURANCE")</f>
        <v>12979.2</v>
      </c>
      <c r="T38" s="10" t="n">
        <f aca="false">SUMIFS('Vendor Months'!$G$6:$G$3965,'Vendor Months'!$A$6:$A$3965,$AS$1,'Vendor Months'!$C$6:$C$3965,A38,'Vendor Months'!$J$6:$J$3965,"ACCOUNTING")</f>
        <v>648.96</v>
      </c>
      <c r="U38" s="10" t="n">
        <f aca="false">SUMIFS('Vendor Months'!$G$6:$G$3965,'Vendor Months'!$A$6:$A$3965,$AS$1,'Vendor Months'!$C$6:$C$3965,A38,'Vendor Months'!$J$6:$J$3965,"SUPPORT")</f>
        <v>108.16</v>
      </c>
      <c r="V38" s="10" t="n">
        <f aca="false">SUMIFS('Vendor Months'!$G$6:$G$3965,'Vendor Months'!$A$6:$A$3965,$AS$1,'Vendor Months'!$C$6:$C$3965,A38,'Vendor Months'!$J$6:$J$3965,"MARKETING")</f>
        <v>4304.25896585853</v>
      </c>
      <c r="W38" s="10" t="n">
        <f aca="false">SUMIFS('Vendor Months'!$G$6:$G$3965,'Vendor Months'!$A$6:$A$3965,$AS$1,'Vendor Months'!$C$6:$C$3965,A38,'Vendor Months'!$J$6:$J$3965,"ONBOARD")</f>
        <v>1103.232</v>
      </c>
      <c r="X38" s="10" t="n">
        <f aca="false">SUMIFS('Vendor Months'!$G$6:$G$3965,'Vendor Months'!$A$6:$A$3965,$AS$1,'Vendor Months'!$C$6:$C$3965,A38,'Vendor Months'!$J$6:$J$3965,"AI")</f>
        <v>0</v>
      </c>
      <c r="Y38" s="10" t="n">
        <f aca="false">SUMIFS('Vendor Months'!$G$6:$G$3965,'Vendor Months'!$A$6:$A$3965,$AS$1,'Vendor Months'!$C$6:$C$3965,A38,'Vendor Months'!$J$6:$J$3965,"CTMS")</f>
        <v>0</v>
      </c>
      <c r="Z38" s="10" t="n">
        <f aca="false">SUM(N38:Y38)</f>
        <v>22697.5799630629</v>
      </c>
      <c r="AA38" s="10" t="n">
        <f aca="false">(SUM(K38:M38)+Z38)*Assumptions!$E$12</f>
        <v>74566.6409926126</v>
      </c>
      <c r="AB38" s="10" t="n">
        <f aca="false">AD38*Assumptions!$E$29</f>
        <v>2228.53644682024</v>
      </c>
      <c r="AC38" s="10" t="n">
        <f aca="false">SUM(K38:M38)+Z38+AA38+AB38</f>
        <v>449628.382402496</v>
      </c>
      <c r="AD38" s="10" t="n">
        <f aca="false">D38*Assumptions!$E$17</f>
        <v>74284.5482273414</v>
      </c>
      <c r="AE38" s="10" t="n">
        <f aca="false">AD38*12</f>
        <v>891414.578728097</v>
      </c>
      <c r="AF38" s="10" t="n">
        <f aca="false">AC38-AD38</f>
        <v>375343.834175154</v>
      </c>
      <c r="AG38" s="10" t="n">
        <f aca="false">IF(A38=Assumptions!$E$7,Assumptions!$E$8,0)</f>
        <v>0</v>
      </c>
      <c r="AH38" s="10" t="n">
        <f aca="false">AI37</f>
        <v>1550449.49873597</v>
      </c>
      <c r="AI38" s="10" t="n">
        <f aca="false">AH38+AG38-AF38</f>
        <v>1175105.66456081</v>
      </c>
      <c r="AJ38" s="10" t="n">
        <f aca="false">SUM($AC$6:AC38)</f>
        <v>7590724.06093239</v>
      </c>
      <c r="AK38" s="10" t="n">
        <f aca="false">MAX(0,-AI38)</f>
        <v>0</v>
      </c>
      <c r="AL38" s="10" t="n">
        <f aca="false">Assumptions!$E$6+SUM($AG$6:AG38)-AJ38</f>
        <v>409275.939067615</v>
      </c>
      <c r="AM38" s="10" t="n">
        <f aca="false">SUMIFS('Vendor Months'!$H$6:$H$3965,'Vendor Months'!$A$6:$A$3965,$AS$1,'Vendor Months'!$C$6:$C$3965,A38)</f>
        <v>14980.16</v>
      </c>
      <c r="AN38" s="10" t="n">
        <f aca="false">X38+Y38</f>
        <v>0</v>
      </c>
      <c r="AO38" s="10" t="n">
        <f aca="false">SUMIFS('Staff Months'!$I$6:$I$2345,'Staff Months'!$A$6:$A$2345,$AS$1,'Staff Months'!$C$6:$C$2345,A38)</f>
        <v>18375</v>
      </c>
      <c r="AP38" s="10" t="n">
        <f aca="false">SUM($AF$6:AF38)</f>
        <v>6824894.33543919</v>
      </c>
      <c r="AQ38" s="10" t="n">
        <f aca="false">AC38</f>
        <v>449628.382402496</v>
      </c>
      <c r="AR38" s="26" t="n">
        <f aca="false">IF(AI38&lt;0,1,0)</f>
        <v>0</v>
      </c>
      <c r="AS38" s="6"/>
    </row>
    <row r="39" customFormat="false" ht="15" hidden="false" customHeight="false" outlineLevel="0" collapsed="false">
      <c r="A39" s="6" t="n">
        <v>34</v>
      </c>
      <c r="B39" s="25" t="n">
        <f aca="false">EDATE('Start Here'!$B$6,A39-1)</f>
        <v>47331</v>
      </c>
      <c r="C39" s="11" t="n">
        <f aca="false">IF(A39&gt;=Assumptions!$E$13,Assumptions!$E$14*(1+Assumptions!$E$15)^INT((A39-Assumptions!$E$13)/12),0)</f>
        <v>3.4</v>
      </c>
      <c r="D39" s="11" t="n">
        <f aca="false">D38*(1-Assumptions!$E$16)+C39</f>
        <v>55.9297876750486</v>
      </c>
      <c r="E39" s="11" t="n">
        <f aca="false">D39*Assumptions!$E$18</f>
        <v>1398.24469187621</v>
      </c>
      <c r="F39" s="11" t="n">
        <f aca="false">E39*Assumptions!$E$19*30/1000000</f>
        <v>10.4868351890716</v>
      </c>
      <c r="G39" s="11" t="n">
        <f aca="false">D39*Assumptions!$E$20</f>
        <v>559.297876750486</v>
      </c>
      <c r="H39" s="11" t="n">
        <f aca="false">D39*Assumptions!$E$21</f>
        <v>111.859575350097</v>
      </c>
      <c r="I39" s="11" t="n">
        <f aca="false">SUMIFS('Staff Months'!$E$6:$E$2345,'Staff Months'!$A$6:$A$2345,$AS$1,'Staff Months'!$C$6:$C$2345,A39)</f>
        <v>23</v>
      </c>
      <c r="J39" s="11" t="n">
        <f aca="false">SUMIFS('Staff Months'!$L$6:$L$2345,'Staff Months'!$A$6:$A$2345,$AS$1,'Staff Months'!$C$6:$C$2345,A39)</f>
        <v>23</v>
      </c>
      <c r="K39" s="10" t="n">
        <f aca="false">SUMIFS('Staff Months'!$H$6:$H$2345,'Staff Months'!$A$6:$A$2345,$AS$1,'Staff Months'!$C$6:$C$2345,A39)</f>
        <v>350135.625</v>
      </c>
      <c r="L39" s="10" t="n">
        <f aca="false">SUMIFS('Staff Months'!$J$6:$J$2345,'Staff Months'!$A$6:$A$2345,$AS$1,'Staff Months'!$C$6:$C$2345,A39)</f>
        <v>0</v>
      </c>
      <c r="M39" s="10" t="n">
        <f aca="false">SUMIFS('Staff Months'!$K$6:$K$2345,'Staff Months'!$A$6:$A$2345,$AS$1,'Staff Months'!$C$6:$C$2345,A39)</f>
        <v>0</v>
      </c>
      <c r="N39" s="10" t="n">
        <f aca="false">SUMIFS('Vendor Months'!$G$6:$G$3965,'Vendor Months'!$A$6:$A$3965,$AS$1,'Vendor Months'!$C$6:$C$3965,A39,'Vendor Months'!$J$6:$J$3965,"INFRA")</f>
        <v>2387.95389923232</v>
      </c>
      <c r="O39" s="10" t="n">
        <f aca="false">SUMIFS('Vendor Months'!$G$6:$G$3965,'Vendor Months'!$A$6:$A$3965,$AS$1,'Vendor Months'!$C$6:$C$3965,A39,'Vendor Months'!$J$6:$J$3965,"TOOLS")</f>
        <v>1218.9632</v>
      </c>
      <c r="P39" s="10" t="n">
        <f aca="false">SUMIFS('Vendor Months'!$G$6:$G$3965,'Vendor Months'!$A$6:$A$3965,$AS$1,'Vendor Months'!$C$6:$C$3965,A39,'Vendor Months'!$J$6:$J$3965,"LEGAL")</f>
        <v>0</v>
      </c>
      <c r="Q39" s="10" t="n">
        <f aca="false">SUMIFS('Vendor Months'!$G$6:$G$3965,'Vendor Months'!$A$6:$A$3965,$AS$1,'Vendor Months'!$C$6:$C$3965,A39,'Vendor Months'!$J$6:$J$3965,"SECURITY")</f>
        <v>19468.8</v>
      </c>
      <c r="R39" s="10" t="n">
        <f aca="false">SUMIFS('Vendor Months'!$G$6:$G$3965,'Vendor Months'!$A$6:$A$3965,$AS$1,'Vendor Months'!$C$6:$C$3965,A39,'Vendor Months'!$J$6:$J$3965,"COMPLIANCE")</f>
        <v>0</v>
      </c>
      <c r="S39" s="10" t="n">
        <f aca="false">SUMIFS('Vendor Months'!$G$6:$G$3965,'Vendor Months'!$A$6:$A$3965,$AS$1,'Vendor Months'!$C$6:$C$3965,A39,'Vendor Months'!$J$6:$J$3965,"INSURANCE")</f>
        <v>0</v>
      </c>
      <c r="T39" s="10" t="n">
        <f aca="false">SUMIFS('Vendor Months'!$G$6:$G$3965,'Vendor Months'!$A$6:$A$3965,$AS$1,'Vendor Months'!$C$6:$C$3965,A39,'Vendor Months'!$J$6:$J$3965,"ACCOUNTING")</f>
        <v>648.96</v>
      </c>
      <c r="U39" s="10" t="n">
        <f aca="false">SUMIFS('Vendor Months'!$G$6:$G$3965,'Vendor Months'!$A$6:$A$3965,$AS$1,'Vendor Months'!$C$6:$C$3965,A39,'Vendor Months'!$J$6:$J$3965,"SUPPORT")</f>
        <v>108.16</v>
      </c>
      <c r="V39" s="10" t="n">
        <f aca="false">SUMIFS('Vendor Months'!$G$6:$G$3965,'Vendor Months'!$A$6:$A$3965,$AS$1,'Vendor Months'!$C$6:$C$3965,A39,'Vendor Months'!$J$6:$J$3965,"MARKETING")</f>
        <v>4537.02437619994</v>
      </c>
      <c r="W39" s="10" t="n">
        <f aca="false">SUMIFS('Vendor Months'!$G$6:$G$3965,'Vendor Months'!$A$6:$A$3965,$AS$1,'Vendor Months'!$C$6:$C$3965,A39,'Vendor Months'!$J$6:$J$3965,"ONBOARD")</f>
        <v>1103.232</v>
      </c>
      <c r="X39" s="10" t="n">
        <f aca="false">SUMIFS('Vendor Months'!$G$6:$G$3965,'Vendor Months'!$A$6:$A$3965,$AS$1,'Vendor Months'!$C$6:$C$3965,A39,'Vendor Months'!$J$6:$J$3965,"AI")</f>
        <v>0</v>
      </c>
      <c r="Y39" s="10" t="n">
        <f aca="false">SUMIFS('Vendor Months'!$G$6:$G$3965,'Vendor Months'!$A$6:$A$3965,$AS$1,'Vendor Months'!$C$6:$C$3965,A39,'Vendor Months'!$J$6:$J$3965,"CTMS")</f>
        <v>0</v>
      </c>
      <c r="Z39" s="10" t="n">
        <f aca="false">SUM(N39:Y39)</f>
        <v>29473.0934754323</v>
      </c>
      <c r="AA39" s="10" t="n">
        <f aca="false">(SUM(K39:M39)+Z39)*Assumptions!$E$12</f>
        <v>75921.7436950865</v>
      </c>
      <c r="AB39" s="10" t="n">
        <f aca="false">AD39*Assumptions!$E$29</f>
        <v>2349.05108235204</v>
      </c>
      <c r="AC39" s="10" t="n">
        <f aca="false">SUM(K39:M39)+Z39+AA39+AB39</f>
        <v>457879.513252871</v>
      </c>
      <c r="AD39" s="10" t="n">
        <f aca="false">D39*Assumptions!$E$17</f>
        <v>78301.702745068</v>
      </c>
      <c r="AE39" s="10" t="n">
        <f aca="false">AD39*12</f>
        <v>939620.432940816</v>
      </c>
      <c r="AF39" s="10" t="n">
        <f aca="false">AC39-AD39</f>
        <v>379577.810507803</v>
      </c>
      <c r="AG39" s="10" t="n">
        <f aca="false">IF(A39=Assumptions!$E$7,Assumptions!$E$8,0)</f>
        <v>0</v>
      </c>
      <c r="AH39" s="10" t="n">
        <f aca="false">AI38</f>
        <v>1175105.66456081</v>
      </c>
      <c r="AI39" s="10" t="n">
        <f aca="false">AH39+AG39-AF39</f>
        <v>795527.85405301</v>
      </c>
      <c r="AJ39" s="10" t="n">
        <f aca="false">SUM($AC$6:AC39)</f>
        <v>8048603.57418526</v>
      </c>
      <c r="AK39" s="10" t="n">
        <f aca="false">MAX(0,-AI39)</f>
        <v>0</v>
      </c>
      <c r="AL39" s="10" t="n">
        <f aca="false">Assumptions!$E$6+SUM($AG$6:AG39)-AJ39</f>
        <v>-48603.5741852559</v>
      </c>
      <c r="AM39" s="10" t="n">
        <f aca="false">SUMIFS('Vendor Months'!$H$6:$H$3965,'Vendor Months'!$A$6:$A$3965,$AS$1,'Vendor Months'!$C$6:$C$3965,A39)</f>
        <v>21469.76</v>
      </c>
      <c r="AN39" s="10" t="n">
        <f aca="false">X39+Y39</f>
        <v>0</v>
      </c>
      <c r="AO39" s="10" t="n">
        <f aca="false">SUMIFS('Staff Months'!$I$6:$I$2345,'Staff Months'!$A$6:$A$2345,$AS$1,'Staff Months'!$C$6:$C$2345,A39)</f>
        <v>18375</v>
      </c>
      <c r="AP39" s="10" t="n">
        <f aca="false">SUM($AF$6:AF39)</f>
        <v>7204472.14594699</v>
      </c>
      <c r="AQ39" s="10" t="n">
        <f aca="false">AC39</f>
        <v>457879.513252871</v>
      </c>
      <c r="AR39" s="26" t="n">
        <f aca="false">IF(AI39&lt;0,1,0)</f>
        <v>0</v>
      </c>
      <c r="AS39" s="6"/>
    </row>
    <row r="40" customFormat="false" ht="15" hidden="false" customHeight="false" outlineLevel="0" collapsed="false">
      <c r="A40" s="6" t="n">
        <v>35</v>
      </c>
      <c r="B40" s="25" t="n">
        <f aca="false">EDATE('Start Here'!$B$6,A40-1)</f>
        <v>47362</v>
      </c>
      <c r="C40" s="11" t="n">
        <f aca="false">IF(A40&gt;=Assumptions!$E$13,Assumptions!$E$14*(1+Assumptions!$E$15)^INT((A40-Assumptions!$E$13)/12),0)</f>
        <v>3.4</v>
      </c>
      <c r="D40" s="11" t="n">
        <f aca="false">D39*(1-Assumptions!$E$16)+C40</f>
        <v>58.7704897982981</v>
      </c>
      <c r="E40" s="11" t="n">
        <f aca="false">D40*Assumptions!$E$18</f>
        <v>1469.26224495745</v>
      </c>
      <c r="F40" s="11" t="n">
        <f aca="false">E40*Assumptions!$E$19*30/1000000</f>
        <v>11.0194668371809</v>
      </c>
      <c r="G40" s="11" t="n">
        <f aca="false">D40*Assumptions!$E$20</f>
        <v>587.704897982981</v>
      </c>
      <c r="H40" s="11" t="n">
        <f aca="false">D40*Assumptions!$E$21</f>
        <v>117.540979596596</v>
      </c>
      <c r="I40" s="11" t="n">
        <f aca="false">SUMIFS('Staff Months'!$E$6:$E$2345,'Staff Months'!$A$6:$A$2345,$AS$1,'Staff Months'!$C$6:$C$2345,A40)</f>
        <v>23</v>
      </c>
      <c r="J40" s="11" t="n">
        <f aca="false">SUMIFS('Staff Months'!$L$6:$L$2345,'Staff Months'!$A$6:$A$2345,$AS$1,'Staff Months'!$C$6:$C$2345,A40)</f>
        <v>23</v>
      </c>
      <c r="K40" s="10" t="n">
        <f aca="false">SUMIFS('Staff Months'!$H$6:$H$2345,'Staff Months'!$A$6:$A$2345,$AS$1,'Staff Months'!$C$6:$C$2345,A40)</f>
        <v>350135.625</v>
      </c>
      <c r="L40" s="10" t="n">
        <f aca="false">SUMIFS('Staff Months'!$J$6:$J$2345,'Staff Months'!$A$6:$A$2345,$AS$1,'Staff Months'!$C$6:$C$2345,A40)</f>
        <v>0</v>
      </c>
      <c r="M40" s="10" t="n">
        <f aca="false">SUMIFS('Staff Months'!$K$6:$K$2345,'Staff Months'!$A$6:$A$2345,$AS$1,'Staff Months'!$C$6:$C$2345,A40)</f>
        <v>0</v>
      </c>
      <c r="N40" s="10" t="n">
        <f aca="false">SUMIFS('Vendor Months'!$G$6:$G$3965,'Vendor Months'!$A$6:$A$3965,$AS$1,'Vendor Months'!$C$6:$C$3965,A40,'Vendor Months'!$J$6:$J$3965,"INFRA")</f>
        <v>2440.57052024</v>
      </c>
      <c r="O40" s="10" t="n">
        <f aca="false">SUMIFS('Vendor Months'!$G$6:$G$3965,'Vendor Months'!$A$6:$A$3965,$AS$1,'Vendor Months'!$C$6:$C$3965,A40,'Vendor Months'!$J$6:$J$3965,"TOOLS")</f>
        <v>1218.9632</v>
      </c>
      <c r="P40" s="10" t="n">
        <f aca="false">SUMIFS('Vendor Months'!$G$6:$G$3965,'Vendor Months'!$A$6:$A$3965,$AS$1,'Vendor Months'!$C$6:$C$3965,A40,'Vendor Months'!$J$6:$J$3965,"LEGAL")</f>
        <v>0</v>
      </c>
      <c r="Q40" s="10" t="n">
        <f aca="false">SUMIFS('Vendor Months'!$G$6:$G$3965,'Vendor Months'!$A$6:$A$3965,$AS$1,'Vendor Months'!$C$6:$C$3965,A40,'Vendor Months'!$J$6:$J$3965,"SECURITY")</f>
        <v>0</v>
      </c>
      <c r="R40" s="10" t="n">
        <f aca="false">SUMIFS('Vendor Months'!$G$6:$G$3965,'Vendor Months'!$A$6:$A$3965,$AS$1,'Vendor Months'!$C$6:$C$3965,A40,'Vendor Months'!$J$6:$J$3965,"COMPLIANCE")</f>
        <v>16224</v>
      </c>
      <c r="S40" s="10" t="n">
        <f aca="false">SUMIFS('Vendor Months'!$G$6:$G$3965,'Vendor Months'!$A$6:$A$3965,$AS$1,'Vendor Months'!$C$6:$C$3965,A40,'Vendor Months'!$J$6:$J$3965,"INSURANCE")</f>
        <v>0</v>
      </c>
      <c r="T40" s="10" t="n">
        <f aca="false">SUMIFS('Vendor Months'!$G$6:$G$3965,'Vendor Months'!$A$6:$A$3965,$AS$1,'Vendor Months'!$C$6:$C$3965,A40,'Vendor Months'!$J$6:$J$3965,"ACCOUNTING")</f>
        <v>648.96</v>
      </c>
      <c r="U40" s="10" t="n">
        <f aca="false">SUMIFS('Vendor Months'!$G$6:$G$3965,'Vendor Months'!$A$6:$A$3965,$AS$1,'Vendor Months'!$C$6:$C$3965,A40,'Vendor Months'!$J$6:$J$3965,"SUPPORT")</f>
        <v>108.16</v>
      </c>
      <c r="V40" s="10" t="n">
        <f aca="false">SUMIFS('Vendor Months'!$G$6:$G$3965,'Vendor Months'!$A$6:$A$3965,$AS$1,'Vendor Months'!$C$6:$C$3965,A40,'Vendor Months'!$J$6:$J$3965,"MARKETING")</f>
        <v>4767.46213243794</v>
      </c>
      <c r="W40" s="10" t="n">
        <f aca="false">SUMIFS('Vendor Months'!$G$6:$G$3965,'Vendor Months'!$A$6:$A$3965,$AS$1,'Vendor Months'!$C$6:$C$3965,A40,'Vendor Months'!$J$6:$J$3965,"ONBOARD")</f>
        <v>1103.232</v>
      </c>
      <c r="X40" s="10" t="n">
        <f aca="false">SUMIFS('Vendor Months'!$G$6:$G$3965,'Vendor Months'!$A$6:$A$3965,$AS$1,'Vendor Months'!$C$6:$C$3965,A40,'Vendor Months'!$J$6:$J$3965,"AI")</f>
        <v>0</v>
      </c>
      <c r="Y40" s="10" t="n">
        <f aca="false">SUMIFS('Vendor Months'!$G$6:$G$3965,'Vendor Months'!$A$6:$A$3965,$AS$1,'Vendor Months'!$C$6:$C$3965,A40,'Vendor Months'!$J$6:$J$3965,"CTMS")</f>
        <v>0</v>
      </c>
      <c r="Z40" s="10" t="n">
        <f aca="false">SUM(N40:Y40)</f>
        <v>26511.3478526779</v>
      </c>
      <c r="AA40" s="10" t="n">
        <f aca="false">(SUM(K40:M40)+Z40)*Assumptions!$E$12</f>
        <v>75329.3945705356</v>
      </c>
      <c r="AB40" s="10" t="n">
        <f aca="false">AD40*Assumptions!$E$29</f>
        <v>2468.36057152852</v>
      </c>
      <c r="AC40" s="10" t="n">
        <f aca="false">SUM(K40:M40)+Z40+AA40+AB40</f>
        <v>454444.727994742</v>
      </c>
      <c r="AD40" s="10" t="n">
        <f aca="false">D40*Assumptions!$E$17</f>
        <v>82278.6857176173</v>
      </c>
      <c r="AE40" s="10" t="n">
        <f aca="false">AD40*12</f>
        <v>987344.228611408</v>
      </c>
      <c r="AF40" s="10" t="n">
        <f aca="false">AC40-AD40</f>
        <v>372166.042277125</v>
      </c>
      <c r="AG40" s="10" t="n">
        <f aca="false">IF(A40=Assumptions!$E$7,Assumptions!$E$8,0)</f>
        <v>0</v>
      </c>
      <c r="AH40" s="10" t="n">
        <f aca="false">AI39</f>
        <v>795527.85405301</v>
      </c>
      <c r="AI40" s="10" t="n">
        <f aca="false">AH40+AG40-AF40</f>
        <v>423361.811775885</v>
      </c>
      <c r="AJ40" s="10" t="n">
        <f aca="false">SUM($AC$6:AC40)</f>
        <v>8503048.30218</v>
      </c>
      <c r="AK40" s="10" t="n">
        <f aca="false">MAX(0,-AI40)</f>
        <v>0</v>
      </c>
      <c r="AL40" s="10" t="n">
        <f aca="false">Assumptions!$E$6+SUM($AG$6:AG40)-AJ40</f>
        <v>-503048.302179998</v>
      </c>
      <c r="AM40" s="10" t="n">
        <f aca="false">SUMIFS('Vendor Months'!$H$6:$H$3965,'Vendor Months'!$A$6:$A$3965,$AS$1,'Vendor Months'!$C$6:$C$3965,A40)</f>
        <v>18224.96</v>
      </c>
      <c r="AN40" s="10" t="n">
        <f aca="false">X40+Y40</f>
        <v>0</v>
      </c>
      <c r="AO40" s="10" t="n">
        <f aca="false">SUMIFS('Staff Months'!$I$6:$I$2345,'Staff Months'!$A$6:$A$2345,$AS$1,'Staff Months'!$C$6:$C$2345,A40)</f>
        <v>18375</v>
      </c>
      <c r="AP40" s="10" t="n">
        <f aca="false">SUM($AF$6:AF40)</f>
        <v>7576638.18822412</v>
      </c>
      <c r="AQ40" s="10" t="n">
        <f aca="false">AC40</f>
        <v>454444.727994742</v>
      </c>
      <c r="AR40" s="26" t="n">
        <f aca="false">IF(AI40&lt;0,1,0)</f>
        <v>0</v>
      </c>
      <c r="AS40" s="6"/>
    </row>
    <row r="41" customFormat="false" ht="15" hidden="false" customHeight="false" outlineLevel="0" collapsed="false">
      <c r="A41" s="6" t="n">
        <v>36</v>
      </c>
      <c r="B41" s="25" t="n">
        <f aca="false">EDATE('Start Here'!$B$6,A41-1)</f>
        <v>47392</v>
      </c>
      <c r="C41" s="11" t="n">
        <f aca="false">IF(A41&gt;=Assumptions!$E$13,Assumptions!$E$14*(1+Assumptions!$E$15)^INT((A41-Assumptions!$E$13)/12),0)</f>
        <v>5.78</v>
      </c>
      <c r="D41" s="11" t="n">
        <f aca="false">D40*(1-Assumptions!$E$16)+C41</f>
        <v>63.9627849003151</v>
      </c>
      <c r="E41" s="11" t="n">
        <f aca="false">D41*Assumptions!$E$18</f>
        <v>1599.06962250788</v>
      </c>
      <c r="F41" s="11" t="n">
        <f aca="false">E41*Assumptions!$E$19*30/1000000</f>
        <v>11.9930221688091</v>
      </c>
      <c r="G41" s="11" t="n">
        <f aca="false">D41*Assumptions!$E$20</f>
        <v>639.627849003151</v>
      </c>
      <c r="H41" s="11" t="n">
        <f aca="false">D41*Assumptions!$E$21</f>
        <v>127.92556980063</v>
      </c>
      <c r="I41" s="11" t="n">
        <f aca="false">SUMIFS('Staff Months'!$E$6:$E$2345,'Staff Months'!$A$6:$A$2345,$AS$1,'Staff Months'!$C$6:$C$2345,A41)</f>
        <v>23</v>
      </c>
      <c r="J41" s="11" t="n">
        <f aca="false">SUMIFS('Staff Months'!$L$6:$L$2345,'Staff Months'!$A$6:$A$2345,$AS$1,'Staff Months'!$C$6:$C$2345,A41)</f>
        <v>23</v>
      </c>
      <c r="K41" s="10" t="n">
        <f aca="false">SUMIFS('Staff Months'!$H$6:$H$2345,'Staff Months'!$A$6:$A$2345,$AS$1,'Staff Months'!$C$6:$C$2345,A41)</f>
        <v>350135.625</v>
      </c>
      <c r="L41" s="10" t="n">
        <f aca="false">SUMIFS('Staff Months'!$J$6:$J$2345,'Staff Months'!$A$6:$A$2345,$AS$1,'Staff Months'!$C$6:$C$2345,A41)</f>
        <v>0</v>
      </c>
      <c r="M41" s="10" t="n">
        <f aca="false">SUMIFS('Staff Months'!$K$6:$K$2345,'Staff Months'!$A$6:$A$2345,$AS$1,'Staff Months'!$C$6:$C$2345,A41)</f>
        <v>0</v>
      </c>
      <c r="N41" s="10" t="n">
        <f aca="false">SUMIFS('Vendor Months'!$G$6:$G$3965,'Vendor Months'!$A$6:$A$3965,$AS$1,'Vendor Months'!$C$6:$C$3965,A41,'Vendor Months'!$J$6:$J$3965,"INFRA")</f>
        <v>2536.7442870376</v>
      </c>
      <c r="O41" s="10" t="n">
        <f aca="false">SUMIFS('Vendor Months'!$G$6:$G$3965,'Vendor Months'!$A$6:$A$3965,$AS$1,'Vendor Months'!$C$6:$C$3965,A41,'Vendor Months'!$J$6:$J$3965,"TOOLS")</f>
        <v>1218.9632</v>
      </c>
      <c r="P41" s="10" t="n">
        <f aca="false">SUMIFS('Vendor Months'!$G$6:$G$3965,'Vendor Months'!$A$6:$A$3965,$AS$1,'Vendor Months'!$C$6:$C$3965,A41,'Vendor Months'!$J$6:$J$3965,"LEGAL")</f>
        <v>0</v>
      </c>
      <c r="Q41" s="10" t="n">
        <f aca="false">SUMIFS('Vendor Months'!$G$6:$G$3965,'Vendor Months'!$A$6:$A$3965,$AS$1,'Vendor Months'!$C$6:$C$3965,A41,'Vendor Months'!$J$6:$J$3965,"SECURITY")</f>
        <v>0</v>
      </c>
      <c r="R41" s="10" t="n">
        <f aca="false">SUMIFS('Vendor Months'!$G$6:$G$3965,'Vendor Months'!$A$6:$A$3965,$AS$1,'Vendor Months'!$C$6:$C$3965,A41,'Vendor Months'!$J$6:$J$3965,"COMPLIANCE")</f>
        <v>0</v>
      </c>
      <c r="S41" s="10" t="n">
        <f aca="false">SUMIFS('Vendor Months'!$G$6:$G$3965,'Vendor Months'!$A$6:$A$3965,$AS$1,'Vendor Months'!$C$6:$C$3965,A41,'Vendor Months'!$J$6:$J$3965,"INSURANCE")</f>
        <v>0</v>
      </c>
      <c r="T41" s="10" t="n">
        <f aca="false">SUMIFS('Vendor Months'!$G$6:$G$3965,'Vendor Months'!$A$6:$A$3965,$AS$1,'Vendor Months'!$C$6:$C$3965,A41,'Vendor Months'!$J$6:$J$3965,"ACCOUNTING")</f>
        <v>648.96</v>
      </c>
      <c r="U41" s="10" t="n">
        <f aca="false">SUMIFS('Vendor Months'!$G$6:$G$3965,'Vendor Months'!$A$6:$A$3965,$AS$1,'Vendor Months'!$C$6:$C$3965,A41,'Vendor Months'!$J$6:$J$3965,"SUPPORT")</f>
        <v>108.16</v>
      </c>
      <c r="V41" s="10" t="n">
        <f aca="false">SUMIFS('Vendor Months'!$G$6:$G$3965,'Vendor Months'!$A$6:$A$3965,$AS$1,'Vendor Months'!$C$6:$C$3965,A41,'Vendor Months'!$J$6:$J$3965,"MARKETING")</f>
        <v>5188.66111111356</v>
      </c>
      <c r="W41" s="10" t="n">
        <f aca="false">SUMIFS('Vendor Months'!$G$6:$G$3965,'Vendor Months'!$A$6:$A$3965,$AS$1,'Vendor Months'!$C$6:$C$3965,A41,'Vendor Months'!$J$6:$J$3965,"ONBOARD")</f>
        <v>1875.4944</v>
      </c>
      <c r="X41" s="10" t="n">
        <f aca="false">SUMIFS('Vendor Months'!$G$6:$G$3965,'Vendor Months'!$A$6:$A$3965,$AS$1,'Vendor Months'!$C$6:$C$3965,A41,'Vendor Months'!$J$6:$J$3965,"AI")</f>
        <v>0</v>
      </c>
      <c r="Y41" s="10" t="n">
        <f aca="false">SUMIFS('Vendor Months'!$G$6:$G$3965,'Vendor Months'!$A$6:$A$3965,$AS$1,'Vendor Months'!$C$6:$C$3965,A41,'Vendor Months'!$J$6:$J$3965,"CTMS")</f>
        <v>0</v>
      </c>
      <c r="Z41" s="10" t="n">
        <f aca="false">SUM(N41:Y41)</f>
        <v>11576.9829981512</v>
      </c>
      <c r="AA41" s="10" t="n">
        <f aca="false">(SUM(K41:M41)+Z41)*Assumptions!$E$12</f>
        <v>72342.5215996302</v>
      </c>
      <c r="AB41" s="10" t="n">
        <f aca="false">AD41*Assumptions!$E$29</f>
        <v>2686.43696581323</v>
      </c>
      <c r="AC41" s="10" t="n">
        <f aca="false">SUM(K41:M41)+Z41+AA41+AB41</f>
        <v>436741.566563595</v>
      </c>
      <c r="AD41" s="10" t="n">
        <f aca="false">D41*Assumptions!$E$17</f>
        <v>89547.8988604412</v>
      </c>
      <c r="AE41" s="10" t="n">
        <f aca="false">AD41*12</f>
        <v>1074574.78632529</v>
      </c>
      <c r="AF41" s="10" t="n">
        <f aca="false">AC41-AD41</f>
        <v>347193.667703153</v>
      </c>
      <c r="AG41" s="10" t="n">
        <f aca="false">IF(A41=Assumptions!$E$7,Assumptions!$E$8,0)</f>
        <v>0</v>
      </c>
      <c r="AH41" s="10" t="n">
        <f aca="false">AI40</f>
        <v>423361.811775885</v>
      </c>
      <c r="AI41" s="10" t="n">
        <f aca="false">AH41+AG41-AF41</f>
        <v>76168.1440727314</v>
      </c>
      <c r="AJ41" s="10" t="n">
        <f aca="false">SUM($AC$6:AC41)</f>
        <v>8939789.86874359</v>
      </c>
      <c r="AK41" s="10" t="n">
        <f aca="false">MAX(0,-AI41)</f>
        <v>0</v>
      </c>
      <c r="AL41" s="10" t="n">
        <f aca="false">Assumptions!$E$6+SUM($AG$6:AG41)-AJ41</f>
        <v>-939789.868743593</v>
      </c>
      <c r="AM41" s="10" t="n">
        <f aca="false">SUMIFS('Vendor Months'!$H$6:$H$3965,'Vendor Months'!$A$6:$A$3965,$AS$1,'Vendor Months'!$C$6:$C$3965,A41)</f>
        <v>2000.96</v>
      </c>
      <c r="AN41" s="10" t="n">
        <f aca="false">X41+Y41</f>
        <v>0</v>
      </c>
      <c r="AO41" s="10" t="n">
        <f aca="false">SUMIFS('Staff Months'!$I$6:$I$2345,'Staff Months'!$A$6:$A$2345,$AS$1,'Staff Months'!$C$6:$C$2345,A41)</f>
        <v>18375</v>
      </c>
      <c r="AP41" s="10" t="n">
        <f aca="false">SUM($AF$6:AF41)</f>
        <v>7923831.85592727</v>
      </c>
      <c r="AQ41" s="10" t="n">
        <f aca="false">AC41</f>
        <v>436741.566563595</v>
      </c>
      <c r="AR41" s="26" t="n">
        <f aca="false">IF(AI41&lt;0,1,0)</f>
        <v>0</v>
      </c>
      <c r="AS41" s="6"/>
    </row>
    <row r="42" customFormat="false" ht="15" hidden="false" customHeight="false" outlineLevel="0" collapsed="false">
      <c r="A42" s="6" t="n">
        <v>37</v>
      </c>
      <c r="B42" s="25" t="n">
        <f aca="false">EDATE('Start Here'!$B$6,A42-1)</f>
        <v>47423</v>
      </c>
      <c r="C42" s="11" t="n">
        <f aca="false">IF(A42&gt;=Assumptions!$E$13,Assumptions!$E$14*(1+Assumptions!$E$15)^INT((A42-Assumptions!$E$13)/12),0)</f>
        <v>5.78</v>
      </c>
      <c r="D42" s="11" t="n">
        <f aca="false">D41*(1-Assumptions!$E$16)+C42</f>
        <v>69.103157051312</v>
      </c>
      <c r="E42" s="11" t="n">
        <f aca="false">D42*Assumptions!$E$18</f>
        <v>1727.5789262828</v>
      </c>
      <c r="F42" s="11" t="n">
        <f aca="false">E42*Assumptions!$E$19*30/1000000</f>
        <v>12.956841947121</v>
      </c>
      <c r="G42" s="11" t="n">
        <f aca="false">D42*Assumptions!$E$20</f>
        <v>691.03157051312</v>
      </c>
      <c r="H42" s="11" t="n">
        <f aca="false">D42*Assumptions!$E$21</f>
        <v>138.206314102624</v>
      </c>
      <c r="I42" s="11" t="n">
        <f aca="false">SUMIFS('Staff Months'!$E$6:$E$2345,'Staff Months'!$A$6:$A$2345,$AS$1,'Staff Months'!$C$6:$C$2345,A42)</f>
        <v>23</v>
      </c>
      <c r="J42" s="11" t="n">
        <f aca="false">SUMIFS('Staff Months'!$L$6:$L$2345,'Staff Months'!$A$6:$A$2345,$AS$1,'Staff Months'!$C$6:$C$2345,A42)</f>
        <v>23</v>
      </c>
      <c r="K42" s="10" t="n">
        <f aca="false">SUMIFS('Staff Months'!$H$6:$H$2345,'Staff Months'!$A$6:$A$2345,$AS$1,'Staff Months'!$C$6:$C$2345,A42)</f>
        <v>367642.40625</v>
      </c>
      <c r="L42" s="10" t="n">
        <f aca="false">SUMIFS('Staff Months'!$J$6:$J$2345,'Staff Months'!$A$6:$A$2345,$AS$1,'Staff Months'!$C$6:$C$2345,A42)</f>
        <v>0</v>
      </c>
      <c r="M42" s="10" t="n">
        <f aca="false">SUMIFS('Staff Months'!$K$6:$K$2345,'Staff Months'!$A$6:$A$2345,$AS$1,'Staff Months'!$C$6:$C$2345,A42)</f>
        <v>0</v>
      </c>
      <c r="N42" s="10" t="n">
        <f aca="false">SUMIFS('Vendor Months'!$G$6:$G$3965,'Vendor Months'!$A$6:$A$3965,$AS$1,'Vendor Months'!$C$6:$C$3965,A42,'Vendor Months'!$J$6:$J$3965,"INFRA")</f>
        <v>2737.23456881391</v>
      </c>
      <c r="O42" s="10" t="n">
        <f aca="false">SUMIFS('Vendor Months'!$G$6:$G$3965,'Vendor Months'!$A$6:$A$3965,$AS$1,'Vendor Months'!$C$6:$C$3965,A42,'Vendor Months'!$J$6:$J$3965,"TOOLS")</f>
        <v>1267.721728</v>
      </c>
      <c r="P42" s="10" t="n">
        <f aca="false">SUMIFS('Vendor Months'!$G$6:$G$3965,'Vendor Months'!$A$6:$A$3965,$AS$1,'Vendor Months'!$C$6:$C$3965,A42,'Vendor Months'!$J$6:$J$3965,"LEGAL")</f>
        <v>0</v>
      </c>
      <c r="Q42" s="10" t="n">
        <f aca="false">SUMIFS('Vendor Months'!$G$6:$G$3965,'Vendor Months'!$A$6:$A$3965,$AS$1,'Vendor Months'!$C$6:$C$3965,A42,'Vendor Months'!$J$6:$J$3965,"SECURITY")</f>
        <v>0</v>
      </c>
      <c r="R42" s="10" t="n">
        <f aca="false">SUMIFS('Vendor Months'!$G$6:$G$3965,'Vendor Months'!$A$6:$A$3965,$AS$1,'Vendor Months'!$C$6:$C$3965,A42,'Vendor Months'!$J$6:$J$3965,"COMPLIANCE")</f>
        <v>0</v>
      </c>
      <c r="S42" s="10" t="n">
        <f aca="false">SUMIFS('Vendor Months'!$G$6:$G$3965,'Vendor Months'!$A$6:$A$3965,$AS$1,'Vendor Months'!$C$6:$C$3965,A42,'Vendor Months'!$J$6:$J$3965,"INSURANCE")</f>
        <v>0</v>
      </c>
      <c r="T42" s="10" t="n">
        <f aca="false">SUMIFS('Vendor Months'!$G$6:$G$3965,'Vendor Months'!$A$6:$A$3965,$AS$1,'Vendor Months'!$C$6:$C$3965,A42,'Vendor Months'!$J$6:$J$3965,"ACCOUNTING")</f>
        <v>674.9184</v>
      </c>
      <c r="U42" s="10" t="n">
        <f aca="false">SUMIFS('Vendor Months'!$G$6:$G$3965,'Vendor Months'!$A$6:$A$3965,$AS$1,'Vendor Months'!$C$6:$C$3965,A42,'Vendor Months'!$J$6:$J$3965,"SUPPORT")</f>
        <v>112.4864</v>
      </c>
      <c r="V42" s="10" t="n">
        <f aca="false">SUMIFS('Vendor Months'!$G$6:$G$3965,'Vendor Months'!$A$6:$A$3965,$AS$1,'Vendor Months'!$C$6:$C$3965,A42,'Vendor Months'!$J$6:$J$3965,"MARKETING")</f>
        <v>5829.87402400252</v>
      </c>
      <c r="W42" s="10" t="n">
        <f aca="false">SUMIFS('Vendor Months'!$G$6:$G$3965,'Vendor Months'!$A$6:$A$3965,$AS$1,'Vendor Months'!$C$6:$C$3965,A42,'Vendor Months'!$J$6:$J$3965,"ONBOARD")</f>
        <v>1950.514176</v>
      </c>
      <c r="X42" s="10" t="n">
        <f aca="false">SUMIFS('Vendor Months'!$G$6:$G$3965,'Vendor Months'!$A$6:$A$3965,$AS$1,'Vendor Months'!$C$6:$C$3965,A42,'Vendor Months'!$J$6:$J$3965,"AI")</f>
        <v>0</v>
      </c>
      <c r="Y42" s="10" t="n">
        <f aca="false">SUMIFS('Vendor Months'!$G$6:$G$3965,'Vendor Months'!$A$6:$A$3965,$AS$1,'Vendor Months'!$C$6:$C$3965,A42,'Vendor Months'!$J$6:$J$3965,"CTMS")</f>
        <v>0</v>
      </c>
      <c r="Z42" s="10" t="n">
        <f aca="false">SUM(N42:Y42)</f>
        <v>12572.7492968164</v>
      </c>
      <c r="AA42" s="10" t="n">
        <f aca="false">(SUM(K42:M42)+Z42)*Assumptions!$E$12</f>
        <v>76043.0311093633</v>
      </c>
      <c r="AB42" s="10" t="n">
        <f aca="false">AD42*Assumptions!$E$29</f>
        <v>2902.3325961551</v>
      </c>
      <c r="AC42" s="10" t="n">
        <f aca="false">SUM(K42:M42)+Z42+AA42+AB42</f>
        <v>459160.519252335</v>
      </c>
      <c r="AD42" s="10" t="n">
        <f aca="false">D42*Assumptions!$E$17</f>
        <v>96744.4198718367</v>
      </c>
      <c r="AE42" s="10" t="n">
        <f aca="false">AD42*12</f>
        <v>1160933.03846204</v>
      </c>
      <c r="AF42" s="10" t="n">
        <f aca="false">AC42-AD42</f>
        <v>362416.099380498</v>
      </c>
      <c r="AG42" s="10" t="n">
        <f aca="false">IF(A42=Assumptions!$E$7,Assumptions!$E$8,0)</f>
        <v>0</v>
      </c>
      <c r="AH42" s="10" t="n">
        <f aca="false">AI41</f>
        <v>76168.1440727314</v>
      </c>
      <c r="AI42" s="10" t="n">
        <f aca="false">AH42+AG42-AF42</f>
        <v>-286247.955307767</v>
      </c>
      <c r="AJ42" s="10" t="n">
        <f aca="false">SUM($AC$6:AC42)</f>
        <v>9398950.38799593</v>
      </c>
      <c r="AK42" s="10" t="n">
        <f aca="false">MAX(0,-AI42)</f>
        <v>286247.955307767</v>
      </c>
      <c r="AL42" s="10" t="n">
        <f aca="false">Assumptions!$E$6+SUM($AG$6:AG42)-AJ42</f>
        <v>-1398950.38799593</v>
      </c>
      <c r="AM42" s="10" t="n">
        <f aca="false">SUMIFS('Vendor Months'!$H$6:$H$3965,'Vendor Months'!$A$6:$A$3965,$AS$1,'Vendor Months'!$C$6:$C$3965,A42)</f>
        <v>2080.9984</v>
      </c>
      <c r="AN42" s="10" t="n">
        <f aca="false">X42+Y42</f>
        <v>0</v>
      </c>
      <c r="AO42" s="10" t="n">
        <f aca="false">SUMIFS('Staff Months'!$I$6:$I$2345,'Staff Months'!$A$6:$A$2345,$AS$1,'Staff Months'!$C$6:$C$2345,A42)</f>
        <v>19293.75</v>
      </c>
      <c r="AP42" s="10" t="n">
        <f aca="false">SUM($AF$6:AF42)</f>
        <v>8286247.95530777</v>
      </c>
      <c r="AQ42" s="10" t="n">
        <f aca="false">AC42</f>
        <v>459160.519252335</v>
      </c>
      <c r="AR42" s="26" t="n">
        <f aca="false">IF(AI42&lt;0,1,0)</f>
        <v>1</v>
      </c>
      <c r="AS42" s="6"/>
    </row>
    <row r="43" customFormat="false" ht="15" hidden="false" customHeight="false" outlineLevel="0" collapsed="false">
      <c r="A43" s="6" t="n">
        <v>38</v>
      </c>
      <c r="B43" s="25" t="n">
        <f aca="false">EDATE('Start Here'!$B$6,A43-1)</f>
        <v>47453</v>
      </c>
      <c r="C43" s="11" t="n">
        <f aca="false">IF(A43&gt;=Assumptions!$E$13,Assumptions!$E$14*(1+Assumptions!$E$15)^INT((A43-Assumptions!$E$13)/12),0)</f>
        <v>5.78</v>
      </c>
      <c r="D43" s="11" t="n">
        <f aca="false">D42*(1-Assumptions!$E$16)+C43</f>
        <v>74.1921254807988</v>
      </c>
      <c r="E43" s="11" t="n">
        <f aca="false">D43*Assumptions!$E$18</f>
        <v>1854.80313701997</v>
      </c>
      <c r="F43" s="11" t="n">
        <f aca="false">E43*Assumptions!$E$19*30/1000000</f>
        <v>13.9110235276498</v>
      </c>
      <c r="G43" s="11" t="n">
        <f aca="false">D43*Assumptions!$E$20</f>
        <v>741.921254807988</v>
      </c>
      <c r="H43" s="11" t="n">
        <f aca="false">D43*Assumptions!$E$21</f>
        <v>148.384250961598</v>
      </c>
      <c r="I43" s="11" t="n">
        <f aca="false">SUMIFS('Staff Months'!$E$6:$E$2345,'Staff Months'!$A$6:$A$2345,$AS$1,'Staff Months'!$C$6:$C$2345,A43)</f>
        <v>23</v>
      </c>
      <c r="J43" s="11" t="n">
        <f aca="false">SUMIFS('Staff Months'!$L$6:$L$2345,'Staff Months'!$A$6:$A$2345,$AS$1,'Staff Months'!$C$6:$C$2345,A43)</f>
        <v>23</v>
      </c>
      <c r="K43" s="10" t="n">
        <f aca="false">SUMIFS('Staff Months'!$H$6:$H$2345,'Staff Months'!$A$6:$A$2345,$AS$1,'Staff Months'!$C$6:$C$2345,A43)</f>
        <v>367642.40625</v>
      </c>
      <c r="L43" s="10" t="n">
        <f aca="false">SUMIFS('Staff Months'!$J$6:$J$2345,'Staff Months'!$A$6:$A$2345,$AS$1,'Staff Months'!$C$6:$C$2345,A43)</f>
        <v>0</v>
      </c>
      <c r="M43" s="10" t="n">
        <f aca="false">SUMIFS('Staff Months'!$K$6:$K$2345,'Staff Months'!$A$6:$A$2345,$AS$1,'Staff Months'!$C$6:$C$2345,A43)</f>
        <v>0</v>
      </c>
      <c r="N43" s="10" t="n">
        <f aca="false">SUMIFS('Vendor Months'!$G$6:$G$3965,'Vendor Months'!$A$6:$A$3965,$AS$1,'Vendor Months'!$C$6:$C$3965,A43,'Vendor Months'!$J$6:$J$3965,"INFRA")</f>
        <v>2835.26487400577</v>
      </c>
      <c r="O43" s="10" t="n">
        <f aca="false">SUMIFS('Vendor Months'!$G$6:$G$3965,'Vendor Months'!$A$6:$A$3965,$AS$1,'Vendor Months'!$C$6:$C$3965,A43,'Vendor Months'!$J$6:$J$3965,"TOOLS")</f>
        <v>1267.721728</v>
      </c>
      <c r="P43" s="10" t="n">
        <f aca="false">SUMIFS('Vendor Months'!$G$6:$G$3965,'Vendor Months'!$A$6:$A$3965,$AS$1,'Vendor Months'!$C$6:$C$3965,A43,'Vendor Months'!$J$6:$J$3965,"LEGAL")</f>
        <v>13498.368</v>
      </c>
      <c r="Q43" s="10" t="n">
        <f aca="false">SUMIFS('Vendor Months'!$G$6:$G$3965,'Vendor Months'!$A$6:$A$3965,$AS$1,'Vendor Months'!$C$6:$C$3965,A43,'Vendor Months'!$J$6:$J$3965,"SECURITY")</f>
        <v>0</v>
      </c>
      <c r="R43" s="10" t="n">
        <f aca="false">SUMIFS('Vendor Months'!$G$6:$G$3965,'Vendor Months'!$A$6:$A$3965,$AS$1,'Vendor Months'!$C$6:$C$3965,A43,'Vendor Months'!$J$6:$J$3965,"COMPLIANCE")</f>
        <v>0</v>
      </c>
      <c r="S43" s="10" t="n">
        <f aca="false">SUMIFS('Vendor Months'!$G$6:$G$3965,'Vendor Months'!$A$6:$A$3965,$AS$1,'Vendor Months'!$C$6:$C$3965,A43,'Vendor Months'!$J$6:$J$3965,"INSURANCE")</f>
        <v>0</v>
      </c>
      <c r="T43" s="10" t="n">
        <f aca="false">SUMIFS('Vendor Months'!$G$6:$G$3965,'Vendor Months'!$A$6:$A$3965,$AS$1,'Vendor Months'!$C$6:$C$3965,A43,'Vendor Months'!$J$6:$J$3965,"ACCOUNTING")</f>
        <v>674.9184</v>
      </c>
      <c r="U43" s="10" t="n">
        <f aca="false">SUMIFS('Vendor Months'!$G$6:$G$3965,'Vendor Months'!$A$6:$A$3965,$AS$1,'Vendor Months'!$C$6:$C$3965,A43,'Vendor Months'!$J$6:$J$3965,"SUPPORT")</f>
        <v>112.4864</v>
      </c>
      <c r="V43" s="10" t="n">
        <f aca="false">SUMIFS('Vendor Months'!$G$6:$G$3965,'Vendor Months'!$A$6:$A$3965,$AS$1,'Vendor Months'!$C$6:$C$3965,A43,'Vendor Months'!$J$6:$J$3965,"MARKETING")</f>
        <v>6259.2038277625</v>
      </c>
      <c r="W43" s="10" t="n">
        <f aca="false">SUMIFS('Vendor Months'!$G$6:$G$3965,'Vendor Months'!$A$6:$A$3965,$AS$1,'Vendor Months'!$C$6:$C$3965,A43,'Vendor Months'!$J$6:$J$3965,"ONBOARD")</f>
        <v>1950.514176</v>
      </c>
      <c r="X43" s="10" t="n">
        <f aca="false">SUMIFS('Vendor Months'!$G$6:$G$3965,'Vendor Months'!$A$6:$A$3965,$AS$1,'Vendor Months'!$C$6:$C$3965,A43,'Vendor Months'!$J$6:$J$3965,"AI")</f>
        <v>0</v>
      </c>
      <c r="Y43" s="10" t="n">
        <f aca="false">SUMIFS('Vendor Months'!$G$6:$G$3965,'Vendor Months'!$A$6:$A$3965,$AS$1,'Vendor Months'!$C$6:$C$3965,A43,'Vendor Months'!$J$6:$J$3965,"CTMS")</f>
        <v>0</v>
      </c>
      <c r="Z43" s="10" t="n">
        <f aca="false">SUM(N43:Y43)</f>
        <v>26598.4774057683</v>
      </c>
      <c r="AA43" s="10" t="n">
        <f aca="false">(SUM(K43:M43)+Z43)*Assumptions!$E$12</f>
        <v>78848.1767311537</v>
      </c>
      <c r="AB43" s="10" t="n">
        <f aca="false">AD43*Assumptions!$E$29</f>
        <v>3116.06927019355</v>
      </c>
      <c r="AC43" s="10" t="n">
        <f aca="false">SUM(K43:M43)+Z43+AA43+AB43</f>
        <v>476205.129657116</v>
      </c>
      <c r="AD43" s="10" t="n">
        <f aca="false">D43*Assumptions!$E$17</f>
        <v>103868.975673118</v>
      </c>
      <c r="AE43" s="10" t="n">
        <f aca="false">AD43*12</f>
        <v>1246427.70807742</v>
      </c>
      <c r="AF43" s="10" t="n">
        <f aca="false">AC43-AD43</f>
        <v>372336.153983997</v>
      </c>
      <c r="AG43" s="10" t="n">
        <f aca="false">IF(A43=Assumptions!$E$7,Assumptions!$E$8,0)</f>
        <v>0</v>
      </c>
      <c r="AH43" s="10" t="n">
        <f aca="false">AI42</f>
        <v>-286247.955307767</v>
      </c>
      <c r="AI43" s="10" t="n">
        <f aca="false">AH43+AG43-AF43</f>
        <v>-658584.109291764</v>
      </c>
      <c r="AJ43" s="10" t="n">
        <f aca="false">SUM($AC$6:AC43)</f>
        <v>9875155.51765304</v>
      </c>
      <c r="AK43" s="10" t="n">
        <f aca="false">MAX(0,-AI43)</f>
        <v>658584.109291764</v>
      </c>
      <c r="AL43" s="10" t="n">
        <f aca="false">Assumptions!$E$6+SUM($AG$6:AG43)-AJ43</f>
        <v>-1875155.51765304</v>
      </c>
      <c r="AM43" s="10" t="n">
        <f aca="false">SUMIFS('Vendor Months'!$H$6:$H$3965,'Vendor Months'!$A$6:$A$3965,$AS$1,'Vendor Months'!$C$6:$C$3965,A43)</f>
        <v>15579.3664</v>
      </c>
      <c r="AN43" s="10" t="n">
        <f aca="false">X43+Y43</f>
        <v>0</v>
      </c>
      <c r="AO43" s="10" t="n">
        <f aca="false">SUMIFS('Staff Months'!$I$6:$I$2345,'Staff Months'!$A$6:$A$2345,$AS$1,'Staff Months'!$C$6:$C$2345,A43)</f>
        <v>19293.75</v>
      </c>
      <c r="AP43" s="10" t="n">
        <f aca="false">SUM($AF$6:AF43)</f>
        <v>8658584.10929176</v>
      </c>
      <c r="AQ43" s="10" t="n">
        <f aca="false">AC43</f>
        <v>476205.129657116</v>
      </c>
      <c r="AR43" s="26" t="n">
        <f aca="false">IF(AI43&lt;0,1,0)</f>
        <v>1</v>
      </c>
      <c r="AS43" s="6"/>
    </row>
    <row r="44" customFormat="false" ht="15" hidden="false" customHeight="false" outlineLevel="0" collapsed="false">
      <c r="A44" s="6" t="n">
        <v>39</v>
      </c>
      <c r="B44" s="25" t="n">
        <f aca="false">EDATE('Start Here'!$B$6,A44-1)</f>
        <v>47484</v>
      </c>
      <c r="C44" s="11" t="n">
        <f aca="false">IF(A44&gt;=Assumptions!$E$13,Assumptions!$E$14*(1+Assumptions!$E$15)^INT((A44-Assumptions!$E$13)/12),0)</f>
        <v>5.78</v>
      </c>
      <c r="D44" s="11" t="n">
        <f aca="false">D43*(1-Assumptions!$E$16)+C44</f>
        <v>79.2302042259909</v>
      </c>
      <c r="E44" s="11" t="n">
        <f aca="false">D44*Assumptions!$E$18</f>
        <v>1980.75510564977</v>
      </c>
      <c r="F44" s="11" t="n">
        <f aca="false">E44*Assumptions!$E$19*30/1000000</f>
        <v>14.8556632923733</v>
      </c>
      <c r="G44" s="11" t="n">
        <f aca="false">D44*Assumptions!$E$20</f>
        <v>792.302042259909</v>
      </c>
      <c r="H44" s="11" t="n">
        <f aca="false">D44*Assumptions!$E$21</f>
        <v>158.460408451982</v>
      </c>
      <c r="I44" s="11" t="n">
        <f aca="false">SUMIFS('Staff Months'!$E$6:$E$2345,'Staff Months'!$A$6:$A$2345,$AS$1,'Staff Months'!$C$6:$C$2345,A44)</f>
        <v>23</v>
      </c>
      <c r="J44" s="11" t="n">
        <f aca="false">SUMIFS('Staff Months'!$L$6:$L$2345,'Staff Months'!$A$6:$A$2345,$AS$1,'Staff Months'!$C$6:$C$2345,A44)</f>
        <v>23</v>
      </c>
      <c r="K44" s="10" t="n">
        <f aca="false">SUMIFS('Staff Months'!$H$6:$H$2345,'Staff Months'!$A$6:$A$2345,$AS$1,'Staff Months'!$C$6:$C$2345,A44)</f>
        <v>367642.40625</v>
      </c>
      <c r="L44" s="10" t="n">
        <f aca="false">SUMIFS('Staff Months'!$J$6:$J$2345,'Staff Months'!$A$6:$A$2345,$AS$1,'Staff Months'!$C$6:$C$2345,A44)</f>
        <v>0</v>
      </c>
      <c r="M44" s="10" t="n">
        <f aca="false">SUMIFS('Staff Months'!$K$6:$K$2345,'Staff Months'!$A$6:$A$2345,$AS$1,'Staff Months'!$C$6:$C$2345,A44)</f>
        <v>0</v>
      </c>
      <c r="N44" s="10" t="n">
        <f aca="false">SUMIFS('Vendor Months'!$G$6:$G$3965,'Vendor Months'!$A$6:$A$3965,$AS$1,'Vendor Months'!$C$6:$C$3965,A44,'Vendor Months'!$J$6:$J$3965,"INFRA")</f>
        <v>2932.31487614571</v>
      </c>
      <c r="O44" s="10" t="n">
        <f aca="false">SUMIFS('Vendor Months'!$G$6:$G$3965,'Vendor Months'!$A$6:$A$3965,$AS$1,'Vendor Months'!$C$6:$C$3965,A44,'Vendor Months'!$J$6:$J$3965,"TOOLS")</f>
        <v>1267.721728</v>
      </c>
      <c r="P44" s="10" t="n">
        <f aca="false">SUMIFS('Vendor Months'!$G$6:$G$3965,'Vendor Months'!$A$6:$A$3965,$AS$1,'Vendor Months'!$C$6:$C$3965,A44,'Vendor Months'!$J$6:$J$3965,"LEGAL")</f>
        <v>0</v>
      </c>
      <c r="Q44" s="10" t="n">
        <f aca="false">SUMIFS('Vendor Months'!$G$6:$G$3965,'Vendor Months'!$A$6:$A$3965,$AS$1,'Vendor Months'!$C$6:$C$3965,A44,'Vendor Months'!$J$6:$J$3965,"SECURITY")</f>
        <v>0</v>
      </c>
      <c r="R44" s="10" t="n">
        <f aca="false">SUMIFS('Vendor Months'!$G$6:$G$3965,'Vendor Months'!$A$6:$A$3965,$AS$1,'Vendor Months'!$C$6:$C$3965,A44,'Vendor Months'!$J$6:$J$3965,"COMPLIANCE")</f>
        <v>0</v>
      </c>
      <c r="S44" s="10" t="n">
        <f aca="false">SUMIFS('Vendor Months'!$G$6:$G$3965,'Vendor Months'!$A$6:$A$3965,$AS$1,'Vendor Months'!$C$6:$C$3965,A44,'Vendor Months'!$J$6:$J$3965,"INSURANCE")</f>
        <v>0</v>
      </c>
      <c r="T44" s="10" t="n">
        <f aca="false">SUMIFS('Vendor Months'!$G$6:$G$3965,'Vendor Months'!$A$6:$A$3965,$AS$1,'Vendor Months'!$C$6:$C$3965,A44,'Vendor Months'!$J$6:$J$3965,"ACCOUNTING")</f>
        <v>674.9184</v>
      </c>
      <c r="U44" s="10" t="n">
        <f aca="false">SUMIFS('Vendor Months'!$G$6:$G$3965,'Vendor Months'!$A$6:$A$3965,$AS$1,'Vendor Months'!$C$6:$C$3965,A44,'Vendor Months'!$J$6:$J$3965,"SUPPORT")</f>
        <v>112.4864</v>
      </c>
      <c r="V44" s="10" t="n">
        <f aca="false">SUMIFS('Vendor Months'!$G$6:$G$3965,'Vendor Months'!$A$6:$A$3965,$AS$1,'Vendor Months'!$C$6:$C$3965,A44,'Vendor Months'!$J$6:$J$3965,"MARKETING")</f>
        <v>6684.24033348487</v>
      </c>
      <c r="W44" s="10" t="n">
        <f aca="false">SUMIFS('Vendor Months'!$G$6:$G$3965,'Vendor Months'!$A$6:$A$3965,$AS$1,'Vendor Months'!$C$6:$C$3965,A44,'Vendor Months'!$J$6:$J$3965,"ONBOARD")</f>
        <v>1950.514176</v>
      </c>
      <c r="X44" s="10" t="n">
        <f aca="false">SUMIFS('Vendor Months'!$G$6:$G$3965,'Vendor Months'!$A$6:$A$3965,$AS$1,'Vendor Months'!$C$6:$C$3965,A44,'Vendor Months'!$J$6:$J$3965,"AI")</f>
        <v>0</v>
      </c>
      <c r="Y44" s="10" t="n">
        <f aca="false">SUMIFS('Vendor Months'!$G$6:$G$3965,'Vendor Months'!$A$6:$A$3965,$AS$1,'Vendor Months'!$C$6:$C$3965,A44,'Vendor Months'!$J$6:$J$3965,"CTMS")</f>
        <v>0</v>
      </c>
      <c r="Z44" s="10" t="n">
        <f aca="false">SUM(N44:Y44)</f>
        <v>13622.1959136306</v>
      </c>
      <c r="AA44" s="10" t="n">
        <f aca="false">(SUM(K44:M44)+Z44)*Assumptions!$E$12</f>
        <v>76252.9204327261</v>
      </c>
      <c r="AB44" s="10" t="n">
        <f aca="false">AD44*Assumptions!$E$29</f>
        <v>3327.66857749162</v>
      </c>
      <c r="AC44" s="10" t="n">
        <f aca="false">SUM(K44:M44)+Z44+AA44+AB44</f>
        <v>460845.191173848</v>
      </c>
      <c r="AD44" s="10" t="n">
        <f aca="false">D44*Assumptions!$E$17</f>
        <v>110922.285916387</v>
      </c>
      <c r="AE44" s="10" t="n">
        <f aca="false">AD44*12</f>
        <v>1331067.43099665</v>
      </c>
      <c r="AF44" s="10" t="n">
        <f aca="false">AC44-AD44</f>
        <v>349922.905257461</v>
      </c>
      <c r="AG44" s="10" t="n">
        <f aca="false">IF(A44=Assumptions!$E$7,Assumptions!$E$8,0)</f>
        <v>0</v>
      </c>
      <c r="AH44" s="10" t="n">
        <f aca="false">AI43</f>
        <v>-658584.109291764</v>
      </c>
      <c r="AI44" s="10" t="n">
        <f aca="false">AH44+AG44-AF44</f>
        <v>-1008507.01454923</v>
      </c>
      <c r="AJ44" s="10" t="n">
        <f aca="false">SUM($AC$6:AC44)</f>
        <v>10336000.7088269</v>
      </c>
      <c r="AK44" s="10" t="n">
        <f aca="false">MAX(0,-AI44)</f>
        <v>1008507.01454923</v>
      </c>
      <c r="AL44" s="10" t="n">
        <f aca="false">Assumptions!$E$6+SUM($AG$6:AG44)-AJ44</f>
        <v>-2336000.70882689</v>
      </c>
      <c r="AM44" s="10" t="n">
        <f aca="false">SUMIFS('Vendor Months'!$H$6:$H$3965,'Vendor Months'!$A$6:$A$3965,$AS$1,'Vendor Months'!$C$6:$C$3965,A44)</f>
        <v>2080.9984</v>
      </c>
      <c r="AN44" s="10" t="n">
        <f aca="false">X44+Y44</f>
        <v>0</v>
      </c>
      <c r="AO44" s="10" t="n">
        <f aca="false">SUMIFS('Staff Months'!$I$6:$I$2345,'Staff Months'!$A$6:$A$2345,$AS$1,'Staff Months'!$C$6:$C$2345,A44)</f>
        <v>19293.75</v>
      </c>
      <c r="AP44" s="10" t="n">
        <f aca="false">SUM($AF$6:AF44)</f>
        <v>9008507.01454923</v>
      </c>
      <c r="AQ44" s="10" t="n">
        <f aca="false">AC44</f>
        <v>460845.191173848</v>
      </c>
      <c r="AR44" s="26" t="n">
        <f aca="false">IF(AI44&lt;0,1,0)</f>
        <v>1</v>
      </c>
      <c r="AS44" s="6"/>
    </row>
    <row r="45" customFormat="false" ht="15" hidden="false" customHeight="false" outlineLevel="0" collapsed="false">
      <c r="A45" s="6" t="n">
        <v>40</v>
      </c>
      <c r="B45" s="25" t="n">
        <f aca="false">EDATE('Start Here'!$B$6,A45-1)</f>
        <v>47515</v>
      </c>
      <c r="C45" s="11" t="n">
        <f aca="false">IF(A45&gt;=Assumptions!$E$13,Assumptions!$E$14*(1+Assumptions!$E$15)^INT((A45-Assumptions!$E$13)/12),0)</f>
        <v>5.78</v>
      </c>
      <c r="D45" s="11" t="n">
        <f aca="false">D44*(1-Assumptions!$E$16)+C45</f>
        <v>84.2179021837309</v>
      </c>
      <c r="E45" s="11" t="n">
        <f aca="false">D45*Assumptions!$E$18</f>
        <v>2105.44755459327</v>
      </c>
      <c r="F45" s="11" t="n">
        <f aca="false">E45*Assumptions!$E$19*30/1000000</f>
        <v>15.7908566594496</v>
      </c>
      <c r="G45" s="11" t="n">
        <f aca="false">D45*Assumptions!$E$20</f>
        <v>842.179021837309</v>
      </c>
      <c r="H45" s="11" t="n">
        <f aca="false">D45*Assumptions!$E$21</f>
        <v>168.435804367462</v>
      </c>
      <c r="I45" s="11" t="n">
        <f aca="false">SUMIFS('Staff Months'!$E$6:$E$2345,'Staff Months'!$A$6:$A$2345,$AS$1,'Staff Months'!$C$6:$C$2345,A45)</f>
        <v>23</v>
      </c>
      <c r="J45" s="11" t="n">
        <f aca="false">SUMIFS('Staff Months'!$L$6:$L$2345,'Staff Months'!$A$6:$A$2345,$AS$1,'Staff Months'!$C$6:$C$2345,A45)</f>
        <v>23</v>
      </c>
      <c r="K45" s="10" t="n">
        <f aca="false">SUMIFS('Staff Months'!$H$6:$H$2345,'Staff Months'!$A$6:$A$2345,$AS$1,'Staff Months'!$C$6:$C$2345,A45)</f>
        <v>367642.40625</v>
      </c>
      <c r="L45" s="10" t="n">
        <f aca="false">SUMIFS('Staff Months'!$J$6:$J$2345,'Staff Months'!$A$6:$A$2345,$AS$1,'Staff Months'!$C$6:$C$2345,A45)</f>
        <v>0</v>
      </c>
      <c r="M45" s="10" t="n">
        <f aca="false">SUMIFS('Staff Months'!$K$6:$K$2345,'Staff Months'!$A$6:$A$2345,$AS$1,'Staff Months'!$C$6:$C$2345,A45)</f>
        <v>0</v>
      </c>
      <c r="N45" s="10" t="n">
        <f aca="false">SUMIFS('Vendor Months'!$G$6:$G$3965,'Vendor Months'!$A$6:$A$3965,$AS$1,'Vendor Months'!$C$6:$C$3965,A45,'Vendor Months'!$J$6:$J$3965,"INFRA")</f>
        <v>3028.39437826426</v>
      </c>
      <c r="O45" s="10" t="n">
        <f aca="false">SUMIFS('Vendor Months'!$G$6:$G$3965,'Vendor Months'!$A$6:$A$3965,$AS$1,'Vendor Months'!$C$6:$C$3965,A45,'Vendor Months'!$J$6:$J$3965,"TOOLS")</f>
        <v>1267.721728</v>
      </c>
      <c r="P45" s="10" t="n">
        <f aca="false">SUMIFS('Vendor Months'!$G$6:$G$3965,'Vendor Months'!$A$6:$A$3965,$AS$1,'Vendor Months'!$C$6:$C$3965,A45,'Vendor Months'!$J$6:$J$3965,"LEGAL")</f>
        <v>0</v>
      </c>
      <c r="Q45" s="10" t="n">
        <f aca="false">SUMIFS('Vendor Months'!$G$6:$G$3965,'Vendor Months'!$A$6:$A$3965,$AS$1,'Vendor Months'!$C$6:$C$3965,A45,'Vendor Months'!$J$6:$J$3965,"SECURITY")</f>
        <v>0</v>
      </c>
      <c r="R45" s="10" t="n">
        <f aca="false">SUMIFS('Vendor Months'!$G$6:$G$3965,'Vendor Months'!$A$6:$A$3965,$AS$1,'Vendor Months'!$C$6:$C$3965,A45,'Vendor Months'!$J$6:$J$3965,"COMPLIANCE")</f>
        <v>0</v>
      </c>
      <c r="S45" s="10" t="n">
        <f aca="false">SUMIFS('Vendor Months'!$G$6:$G$3965,'Vendor Months'!$A$6:$A$3965,$AS$1,'Vendor Months'!$C$6:$C$3965,A45,'Vendor Months'!$J$6:$J$3965,"INSURANCE")</f>
        <v>0</v>
      </c>
      <c r="T45" s="10" t="n">
        <f aca="false">SUMIFS('Vendor Months'!$G$6:$G$3965,'Vendor Months'!$A$6:$A$3965,$AS$1,'Vendor Months'!$C$6:$C$3965,A45,'Vendor Months'!$J$6:$J$3965,"ACCOUNTING")</f>
        <v>674.9184</v>
      </c>
      <c r="U45" s="10" t="n">
        <f aca="false">SUMIFS('Vendor Months'!$G$6:$G$3965,'Vendor Months'!$A$6:$A$3965,$AS$1,'Vendor Months'!$C$6:$C$3965,A45,'Vendor Months'!$J$6:$J$3965,"SUPPORT")</f>
        <v>112.4864</v>
      </c>
      <c r="V45" s="10" t="n">
        <f aca="false">SUMIFS('Vendor Months'!$G$6:$G$3965,'Vendor Months'!$A$6:$A$3965,$AS$1,'Vendor Months'!$C$6:$C$3965,A45,'Vendor Months'!$J$6:$J$3965,"MARKETING")</f>
        <v>7105.02647415002</v>
      </c>
      <c r="W45" s="10" t="n">
        <f aca="false">SUMIFS('Vendor Months'!$G$6:$G$3965,'Vendor Months'!$A$6:$A$3965,$AS$1,'Vendor Months'!$C$6:$C$3965,A45,'Vendor Months'!$J$6:$J$3965,"ONBOARD")</f>
        <v>1950.514176</v>
      </c>
      <c r="X45" s="10" t="n">
        <f aca="false">SUMIFS('Vendor Months'!$G$6:$G$3965,'Vendor Months'!$A$6:$A$3965,$AS$1,'Vendor Months'!$C$6:$C$3965,A45,'Vendor Months'!$J$6:$J$3965,"AI")</f>
        <v>0</v>
      </c>
      <c r="Y45" s="10" t="n">
        <f aca="false">SUMIFS('Vendor Months'!$G$6:$G$3965,'Vendor Months'!$A$6:$A$3965,$AS$1,'Vendor Months'!$C$6:$C$3965,A45,'Vendor Months'!$J$6:$J$3965,"CTMS")</f>
        <v>0</v>
      </c>
      <c r="Z45" s="10" t="n">
        <f aca="false">SUM(N45:Y45)</f>
        <v>14139.0615564143</v>
      </c>
      <c r="AA45" s="10" t="n">
        <f aca="false">(SUM(K45:M45)+Z45)*Assumptions!$E$12</f>
        <v>76356.2935612829</v>
      </c>
      <c r="AB45" s="10" t="n">
        <f aca="false">AD45*Assumptions!$E$29</f>
        <v>3537.1518917167</v>
      </c>
      <c r="AC45" s="10" t="n">
        <f aca="false">SUM(K45:M45)+Z45+AA45+AB45</f>
        <v>461674.913259414</v>
      </c>
      <c r="AD45" s="10" t="n">
        <f aca="false">D45*Assumptions!$E$17</f>
        <v>117905.063057223</v>
      </c>
      <c r="AE45" s="10" t="n">
        <f aca="false">AD45*12</f>
        <v>1414860.75668668</v>
      </c>
      <c r="AF45" s="10" t="n">
        <f aca="false">AC45-AD45</f>
        <v>343769.850202191</v>
      </c>
      <c r="AG45" s="10" t="n">
        <f aca="false">IF(A45=Assumptions!$E$7,Assumptions!$E$8,0)</f>
        <v>0</v>
      </c>
      <c r="AH45" s="10" t="n">
        <f aca="false">AI44</f>
        <v>-1008507.01454923</v>
      </c>
      <c r="AI45" s="10" t="n">
        <f aca="false">AH45+AG45-AF45</f>
        <v>-1352276.86475142</v>
      </c>
      <c r="AJ45" s="10" t="n">
        <f aca="false">SUM($AC$6:AC45)</f>
        <v>10797675.6220863</v>
      </c>
      <c r="AK45" s="10" t="n">
        <f aca="false">MAX(0,-AI45)</f>
        <v>1352276.86475142</v>
      </c>
      <c r="AL45" s="10" t="n">
        <f aca="false">Assumptions!$E$6+SUM($AG$6:AG45)-AJ45</f>
        <v>-2797675.6220863</v>
      </c>
      <c r="AM45" s="10" t="n">
        <f aca="false">SUMIFS('Vendor Months'!$H$6:$H$3965,'Vendor Months'!$A$6:$A$3965,$AS$1,'Vendor Months'!$C$6:$C$3965,A45)</f>
        <v>2080.9984</v>
      </c>
      <c r="AN45" s="10" t="n">
        <f aca="false">X45+Y45</f>
        <v>0</v>
      </c>
      <c r="AO45" s="10" t="n">
        <f aca="false">SUMIFS('Staff Months'!$I$6:$I$2345,'Staff Months'!$A$6:$A$2345,$AS$1,'Staff Months'!$C$6:$C$2345,A45)</f>
        <v>19293.75</v>
      </c>
      <c r="AP45" s="10" t="n">
        <f aca="false">SUM($AF$6:AF45)</f>
        <v>9352276.86475142</v>
      </c>
      <c r="AQ45" s="10" t="n">
        <f aca="false">AC45</f>
        <v>461674.913259414</v>
      </c>
      <c r="AR45" s="26" t="n">
        <f aca="false">IF(AI45&lt;0,1,0)</f>
        <v>1</v>
      </c>
      <c r="AS45" s="6"/>
    </row>
    <row r="46" customFormat="false" ht="15" hidden="false" customHeight="false" outlineLevel="0" collapsed="false">
      <c r="A46" s="6" t="n">
        <v>41</v>
      </c>
      <c r="B46" s="25" t="n">
        <f aca="false">EDATE('Start Here'!$B$6,A46-1)</f>
        <v>47543</v>
      </c>
      <c r="C46" s="11" t="n">
        <f aca="false">IF(A46&gt;=Assumptions!$E$13,Assumptions!$E$14*(1+Assumptions!$E$15)^INT((A46-Assumptions!$E$13)/12),0)</f>
        <v>5.78</v>
      </c>
      <c r="D46" s="11" t="n">
        <f aca="false">D45*(1-Assumptions!$E$16)+C46</f>
        <v>89.1557231618936</v>
      </c>
      <c r="E46" s="11" t="n">
        <f aca="false">D46*Assumptions!$E$18</f>
        <v>2228.89307904734</v>
      </c>
      <c r="F46" s="11" t="n">
        <f aca="false">E46*Assumptions!$E$19*30/1000000</f>
        <v>16.7166980928551</v>
      </c>
      <c r="G46" s="11" t="n">
        <f aca="false">D46*Assumptions!$E$20</f>
        <v>891.557231618936</v>
      </c>
      <c r="H46" s="11" t="n">
        <f aca="false">D46*Assumptions!$E$21</f>
        <v>178.311446323787</v>
      </c>
      <c r="I46" s="11" t="n">
        <f aca="false">SUMIFS('Staff Months'!$E$6:$E$2345,'Staff Months'!$A$6:$A$2345,$AS$1,'Staff Months'!$C$6:$C$2345,A46)</f>
        <v>23</v>
      </c>
      <c r="J46" s="11" t="n">
        <f aca="false">SUMIFS('Staff Months'!$L$6:$L$2345,'Staff Months'!$A$6:$A$2345,$AS$1,'Staff Months'!$C$6:$C$2345,A46)</f>
        <v>23</v>
      </c>
      <c r="K46" s="10" t="n">
        <f aca="false">SUMIFS('Staff Months'!$H$6:$H$2345,'Staff Months'!$A$6:$A$2345,$AS$1,'Staff Months'!$C$6:$C$2345,A46)</f>
        <v>367642.40625</v>
      </c>
      <c r="L46" s="10" t="n">
        <f aca="false">SUMIFS('Staff Months'!$J$6:$J$2345,'Staff Months'!$A$6:$A$2345,$AS$1,'Staff Months'!$C$6:$C$2345,A46)</f>
        <v>0</v>
      </c>
      <c r="M46" s="10" t="n">
        <f aca="false">SUMIFS('Staff Months'!$K$6:$K$2345,'Staff Months'!$A$6:$A$2345,$AS$1,'Staff Months'!$C$6:$C$2345,A46)</f>
        <v>0</v>
      </c>
      <c r="N46" s="10" t="n">
        <f aca="false">SUMIFS('Vendor Months'!$G$6:$G$3965,'Vendor Months'!$A$6:$A$3965,$AS$1,'Vendor Months'!$C$6:$C$3965,A46,'Vendor Months'!$J$6:$J$3965,"INFRA")</f>
        <v>3123.51308536161</v>
      </c>
      <c r="O46" s="10" t="n">
        <f aca="false">SUMIFS('Vendor Months'!$G$6:$G$3965,'Vendor Months'!$A$6:$A$3965,$AS$1,'Vendor Months'!$C$6:$C$3965,A46,'Vendor Months'!$J$6:$J$3965,"TOOLS")</f>
        <v>1267.721728</v>
      </c>
      <c r="P46" s="10" t="n">
        <f aca="false">SUMIFS('Vendor Months'!$G$6:$G$3965,'Vendor Months'!$A$6:$A$3965,$AS$1,'Vendor Months'!$C$6:$C$3965,A46,'Vendor Months'!$J$6:$J$3965,"LEGAL")</f>
        <v>0</v>
      </c>
      <c r="Q46" s="10" t="n">
        <f aca="false">SUMIFS('Vendor Months'!$G$6:$G$3965,'Vendor Months'!$A$6:$A$3965,$AS$1,'Vendor Months'!$C$6:$C$3965,A46,'Vendor Months'!$J$6:$J$3965,"SECURITY")</f>
        <v>0</v>
      </c>
      <c r="R46" s="10" t="n">
        <f aca="false">SUMIFS('Vendor Months'!$G$6:$G$3965,'Vendor Months'!$A$6:$A$3965,$AS$1,'Vendor Months'!$C$6:$C$3965,A46,'Vendor Months'!$J$6:$J$3965,"COMPLIANCE")</f>
        <v>0</v>
      </c>
      <c r="S46" s="10" t="n">
        <f aca="false">SUMIFS('Vendor Months'!$G$6:$G$3965,'Vendor Months'!$A$6:$A$3965,$AS$1,'Vendor Months'!$C$6:$C$3965,A46,'Vendor Months'!$J$6:$J$3965,"INSURANCE")</f>
        <v>0</v>
      </c>
      <c r="T46" s="10" t="n">
        <f aca="false">SUMIFS('Vendor Months'!$G$6:$G$3965,'Vendor Months'!$A$6:$A$3965,$AS$1,'Vendor Months'!$C$6:$C$3965,A46,'Vendor Months'!$J$6:$J$3965,"ACCOUNTING")</f>
        <v>674.9184</v>
      </c>
      <c r="U46" s="10" t="n">
        <f aca="false">SUMIFS('Vendor Months'!$G$6:$G$3965,'Vendor Months'!$A$6:$A$3965,$AS$1,'Vendor Months'!$C$6:$C$3965,A46,'Vendor Months'!$J$6:$J$3965,"SUPPORT")</f>
        <v>112.4864</v>
      </c>
      <c r="V46" s="10" t="n">
        <f aca="false">SUMIFS('Vendor Months'!$G$6:$G$3965,'Vendor Months'!$A$6:$A$3965,$AS$1,'Vendor Months'!$C$6:$C$3965,A46,'Vendor Months'!$J$6:$J$3965,"MARKETING")</f>
        <v>7521.60475340852</v>
      </c>
      <c r="W46" s="10" t="n">
        <f aca="false">SUMIFS('Vendor Months'!$G$6:$G$3965,'Vendor Months'!$A$6:$A$3965,$AS$1,'Vendor Months'!$C$6:$C$3965,A46,'Vendor Months'!$J$6:$J$3965,"ONBOARD")</f>
        <v>1950.514176</v>
      </c>
      <c r="X46" s="10" t="n">
        <f aca="false">SUMIFS('Vendor Months'!$G$6:$G$3965,'Vendor Months'!$A$6:$A$3965,$AS$1,'Vendor Months'!$C$6:$C$3965,A46,'Vendor Months'!$J$6:$J$3965,"AI")</f>
        <v>0</v>
      </c>
      <c r="Y46" s="10" t="n">
        <f aca="false">SUMIFS('Vendor Months'!$G$6:$G$3965,'Vendor Months'!$A$6:$A$3965,$AS$1,'Vendor Months'!$C$6:$C$3965,A46,'Vendor Months'!$J$6:$J$3965,"CTMS")</f>
        <v>0</v>
      </c>
      <c r="Z46" s="10" t="n">
        <f aca="false">SUM(N46:Y46)</f>
        <v>14650.7585427701</v>
      </c>
      <c r="AA46" s="10" t="n">
        <f aca="false">(SUM(K46:M46)+Z46)*Assumptions!$E$12</f>
        <v>76458.632958554</v>
      </c>
      <c r="AB46" s="10" t="n">
        <f aca="false">AD46*Assumptions!$E$29</f>
        <v>3744.54037279953</v>
      </c>
      <c r="AC46" s="10" t="n">
        <f aca="false">SUM(K46:M46)+Z46+AA46+AB46</f>
        <v>462496.338124124</v>
      </c>
      <c r="AD46" s="10" t="n">
        <f aca="false">D46*Assumptions!$E$17</f>
        <v>124818.012426651</v>
      </c>
      <c r="AE46" s="10" t="n">
        <f aca="false">AD46*12</f>
        <v>1497816.14911981</v>
      </c>
      <c r="AF46" s="10" t="n">
        <f aca="false">AC46-AD46</f>
        <v>337678.325697473</v>
      </c>
      <c r="AG46" s="10" t="n">
        <f aca="false">IF(A46=Assumptions!$E$7,Assumptions!$E$8,0)</f>
        <v>0</v>
      </c>
      <c r="AH46" s="10" t="n">
        <f aca="false">AI45</f>
        <v>-1352276.86475142</v>
      </c>
      <c r="AI46" s="10" t="n">
        <f aca="false">AH46+AG46-AF46</f>
        <v>-1689955.19044889</v>
      </c>
      <c r="AJ46" s="10" t="n">
        <f aca="false">SUM($AC$6:AC46)</f>
        <v>11260171.9602104</v>
      </c>
      <c r="AK46" s="10" t="n">
        <f aca="false">MAX(0,-AI46)</f>
        <v>1689955.19044889</v>
      </c>
      <c r="AL46" s="10" t="n">
        <f aca="false">Assumptions!$E$6+SUM($AG$6:AG46)-AJ46</f>
        <v>-3260171.96021043</v>
      </c>
      <c r="AM46" s="10" t="n">
        <f aca="false">SUMIFS('Vendor Months'!$H$6:$H$3965,'Vendor Months'!$A$6:$A$3965,$AS$1,'Vendor Months'!$C$6:$C$3965,A46)</f>
        <v>2080.9984</v>
      </c>
      <c r="AN46" s="10" t="n">
        <f aca="false">X46+Y46</f>
        <v>0</v>
      </c>
      <c r="AO46" s="10" t="n">
        <f aca="false">SUMIFS('Staff Months'!$I$6:$I$2345,'Staff Months'!$A$6:$A$2345,$AS$1,'Staff Months'!$C$6:$C$2345,A46)</f>
        <v>19293.75</v>
      </c>
      <c r="AP46" s="10" t="n">
        <f aca="false">SUM($AF$6:AF46)</f>
        <v>9689955.19044889</v>
      </c>
      <c r="AQ46" s="10" t="n">
        <f aca="false">AC46</f>
        <v>462496.338124124</v>
      </c>
      <c r="AR46" s="26" t="n">
        <f aca="false">IF(AI46&lt;0,1,0)</f>
        <v>1</v>
      </c>
      <c r="AS46" s="6"/>
    </row>
    <row r="47" customFormat="false" ht="15" hidden="false" customHeight="false" outlineLevel="0" collapsed="false">
      <c r="A47" s="6" t="n">
        <v>42</v>
      </c>
      <c r="B47" s="25" t="n">
        <f aca="false">EDATE('Start Here'!$B$6,A47-1)</f>
        <v>47574</v>
      </c>
      <c r="C47" s="11" t="n">
        <f aca="false">IF(A47&gt;=Assumptions!$E$13,Assumptions!$E$14*(1+Assumptions!$E$15)^INT((A47-Assumptions!$E$13)/12),0)</f>
        <v>5.78</v>
      </c>
      <c r="D47" s="11" t="n">
        <f aca="false">D46*(1-Assumptions!$E$16)+C47</f>
        <v>94.0441659302747</v>
      </c>
      <c r="E47" s="11" t="n">
        <f aca="false">D47*Assumptions!$E$18</f>
        <v>2351.10414825687</v>
      </c>
      <c r="F47" s="11" t="n">
        <f aca="false">E47*Assumptions!$E$19*30/1000000</f>
        <v>17.6332811119265</v>
      </c>
      <c r="G47" s="11" t="n">
        <f aca="false">D47*Assumptions!$E$20</f>
        <v>940.441659302747</v>
      </c>
      <c r="H47" s="11" t="n">
        <f aca="false">D47*Assumptions!$E$21</f>
        <v>188.088331860549</v>
      </c>
      <c r="I47" s="11" t="n">
        <f aca="false">SUMIFS('Staff Months'!$E$6:$E$2345,'Staff Months'!$A$6:$A$2345,$AS$1,'Staff Months'!$C$6:$C$2345,A47)</f>
        <v>23</v>
      </c>
      <c r="J47" s="11" t="n">
        <f aca="false">SUMIFS('Staff Months'!$L$6:$L$2345,'Staff Months'!$A$6:$A$2345,$AS$1,'Staff Months'!$C$6:$C$2345,A47)</f>
        <v>23</v>
      </c>
      <c r="K47" s="10" t="n">
        <f aca="false">SUMIFS('Staff Months'!$H$6:$H$2345,'Staff Months'!$A$6:$A$2345,$AS$1,'Staff Months'!$C$6:$C$2345,A47)</f>
        <v>367642.40625</v>
      </c>
      <c r="L47" s="10" t="n">
        <f aca="false">SUMIFS('Staff Months'!$J$6:$J$2345,'Staff Months'!$A$6:$A$2345,$AS$1,'Staff Months'!$C$6:$C$2345,A47)</f>
        <v>0</v>
      </c>
      <c r="M47" s="10" t="n">
        <f aca="false">SUMIFS('Staff Months'!$K$6:$K$2345,'Staff Months'!$A$6:$A$2345,$AS$1,'Staff Months'!$C$6:$C$2345,A47)</f>
        <v>0</v>
      </c>
      <c r="N47" s="10" t="n">
        <f aca="false">SUMIFS('Vendor Months'!$G$6:$G$3965,'Vendor Months'!$A$6:$A$3965,$AS$1,'Vendor Months'!$C$6:$C$3965,A47,'Vendor Months'!$J$6:$J$3965,"INFRA")</f>
        <v>3217.680605388</v>
      </c>
      <c r="O47" s="10" t="n">
        <f aca="false">SUMIFS('Vendor Months'!$G$6:$G$3965,'Vendor Months'!$A$6:$A$3965,$AS$1,'Vendor Months'!$C$6:$C$3965,A47,'Vendor Months'!$J$6:$J$3965,"TOOLS")</f>
        <v>1267.721728</v>
      </c>
      <c r="P47" s="10" t="n">
        <f aca="false">SUMIFS('Vendor Months'!$G$6:$G$3965,'Vendor Months'!$A$6:$A$3965,$AS$1,'Vendor Months'!$C$6:$C$3965,A47,'Vendor Months'!$J$6:$J$3965,"LEGAL")</f>
        <v>0</v>
      </c>
      <c r="Q47" s="10" t="n">
        <f aca="false">SUMIFS('Vendor Months'!$G$6:$G$3965,'Vendor Months'!$A$6:$A$3965,$AS$1,'Vendor Months'!$C$6:$C$3965,A47,'Vendor Months'!$J$6:$J$3965,"SECURITY")</f>
        <v>0</v>
      </c>
      <c r="R47" s="10" t="n">
        <f aca="false">SUMIFS('Vendor Months'!$G$6:$G$3965,'Vendor Months'!$A$6:$A$3965,$AS$1,'Vendor Months'!$C$6:$C$3965,A47,'Vendor Months'!$J$6:$J$3965,"COMPLIANCE")</f>
        <v>0</v>
      </c>
      <c r="S47" s="10" t="n">
        <f aca="false">SUMIFS('Vendor Months'!$G$6:$G$3965,'Vendor Months'!$A$6:$A$3965,$AS$1,'Vendor Months'!$C$6:$C$3965,A47,'Vendor Months'!$J$6:$J$3965,"INSURANCE")</f>
        <v>0</v>
      </c>
      <c r="T47" s="10" t="n">
        <f aca="false">SUMIFS('Vendor Months'!$G$6:$G$3965,'Vendor Months'!$A$6:$A$3965,$AS$1,'Vendor Months'!$C$6:$C$3965,A47,'Vendor Months'!$J$6:$J$3965,"ACCOUNTING")</f>
        <v>674.9184</v>
      </c>
      <c r="U47" s="10" t="n">
        <f aca="false">SUMIFS('Vendor Months'!$G$6:$G$3965,'Vendor Months'!$A$6:$A$3965,$AS$1,'Vendor Months'!$C$6:$C$3965,A47,'Vendor Months'!$J$6:$J$3965,"SUPPORT")</f>
        <v>112.4864</v>
      </c>
      <c r="V47" s="10" t="n">
        <f aca="false">SUMIFS('Vendor Months'!$G$6:$G$3965,'Vendor Months'!$A$6:$A$3965,$AS$1,'Vendor Months'!$C$6:$C$3965,A47,'Vendor Months'!$J$6:$J$3965,"MARKETING")</f>
        <v>7934.01724987444</v>
      </c>
      <c r="W47" s="10" t="n">
        <f aca="false">SUMIFS('Vendor Months'!$G$6:$G$3965,'Vendor Months'!$A$6:$A$3965,$AS$1,'Vendor Months'!$C$6:$C$3965,A47,'Vendor Months'!$J$6:$J$3965,"ONBOARD")</f>
        <v>1950.514176</v>
      </c>
      <c r="X47" s="10" t="n">
        <f aca="false">SUMIFS('Vendor Months'!$G$6:$G$3965,'Vendor Months'!$A$6:$A$3965,$AS$1,'Vendor Months'!$C$6:$C$3965,A47,'Vendor Months'!$J$6:$J$3965,"AI")</f>
        <v>0</v>
      </c>
      <c r="Y47" s="10" t="n">
        <f aca="false">SUMIFS('Vendor Months'!$G$6:$G$3965,'Vendor Months'!$A$6:$A$3965,$AS$1,'Vendor Months'!$C$6:$C$3965,A47,'Vendor Months'!$J$6:$J$3965,"CTMS")</f>
        <v>0</v>
      </c>
      <c r="Z47" s="10" t="n">
        <f aca="false">SUM(N47:Y47)</f>
        <v>15157.3385592624</v>
      </c>
      <c r="AA47" s="10" t="n">
        <f aca="false">(SUM(K47:M47)+Z47)*Assumptions!$E$12</f>
        <v>76559.9489618525</v>
      </c>
      <c r="AB47" s="10" t="n">
        <f aca="false">AD47*Assumptions!$E$29</f>
        <v>3949.85496907154</v>
      </c>
      <c r="AC47" s="10" t="n">
        <f aca="false">SUM(K47:M47)+Z47+AA47+AB47</f>
        <v>463309.548740187</v>
      </c>
      <c r="AD47" s="10" t="n">
        <f aca="false">D47*Assumptions!$E$17</f>
        <v>131661.832302385</v>
      </c>
      <c r="AE47" s="10" t="n">
        <f aca="false">AD47*12</f>
        <v>1579941.98762862</v>
      </c>
      <c r="AF47" s="10" t="n">
        <f aca="false">AC47-AD47</f>
        <v>331647.716437802</v>
      </c>
      <c r="AG47" s="10" t="n">
        <f aca="false">IF(A47=Assumptions!$E$7,Assumptions!$E$8,0)</f>
        <v>0</v>
      </c>
      <c r="AH47" s="10" t="n">
        <f aca="false">AI46</f>
        <v>-1689955.19044889</v>
      </c>
      <c r="AI47" s="10" t="n">
        <f aca="false">AH47+AG47-AF47</f>
        <v>-2021602.90688669</v>
      </c>
      <c r="AJ47" s="10" t="n">
        <f aca="false">SUM($AC$6:AC47)</f>
        <v>11723481.5089506</v>
      </c>
      <c r="AK47" s="10" t="n">
        <f aca="false">MAX(0,-AI47)</f>
        <v>2021602.90688669</v>
      </c>
      <c r="AL47" s="10" t="n">
        <f aca="false">Assumptions!$E$6+SUM($AG$6:AG47)-AJ47</f>
        <v>-3723481.50895061</v>
      </c>
      <c r="AM47" s="10" t="n">
        <f aca="false">SUMIFS('Vendor Months'!$H$6:$H$3965,'Vendor Months'!$A$6:$A$3965,$AS$1,'Vendor Months'!$C$6:$C$3965,A47)</f>
        <v>2080.9984</v>
      </c>
      <c r="AN47" s="10" t="n">
        <f aca="false">X47+Y47</f>
        <v>0</v>
      </c>
      <c r="AO47" s="10" t="n">
        <f aca="false">SUMIFS('Staff Months'!$I$6:$I$2345,'Staff Months'!$A$6:$A$2345,$AS$1,'Staff Months'!$C$6:$C$2345,A47)</f>
        <v>19293.75</v>
      </c>
      <c r="AP47" s="10" t="n">
        <f aca="false">SUM($AF$6:AF47)</f>
        <v>10021602.9068867</v>
      </c>
      <c r="AQ47" s="10" t="n">
        <f aca="false">AC47</f>
        <v>463309.548740187</v>
      </c>
      <c r="AR47" s="26" t="n">
        <f aca="false">IF(AI47&lt;0,1,0)</f>
        <v>1</v>
      </c>
      <c r="AS47" s="6"/>
    </row>
    <row r="48" customFormat="false" ht="15" hidden="false" customHeight="false" outlineLevel="0" collapsed="false">
      <c r="A48" s="6" t="n">
        <v>43</v>
      </c>
      <c r="B48" s="25" t="n">
        <f aca="false">EDATE('Start Here'!$B$6,A48-1)</f>
        <v>47604</v>
      </c>
      <c r="C48" s="11" t="n">
        <f aca="false">IF(A48&gt;=Assumptions!$E$13,Assumptions!$E$14*(1+Assumptions!$E$15)^INT((A48-Assumptions!$E$13)/12),0)</f>
        <v>5.78</v>
      </c>
      <c r="D48" s="11" t="n">
        <f aca="false">D47*(1-Assumptions!$E$16)+C48</f>
        <v>98.883724270972</v>
      </c>
      <c r="E48" s="11" t="n">
        <f aca="false">D48*Assumptions!$E$18</f>
        <v>2472.0931067743</v>
      </c>
      <c r="F48" s="11" t="n">
        <f aca="false">E48*Assumptions!$E$19*30/1000000</f>
        <v>18.5406983008072</v>
      </c>
      <c r="G48" s="11" t="n">
        <f aca="false">D48*Assumptions!$E$20</f>
        <v>988.83724270972</v>
      </c>
      <c r="H48" s="11" t="n">
        <f aca="false">D48*Assumptions!$E$21</f>
        <v>197.767448541944</v>
      </c>
      <c r="I48" s="11" t="n">
        <f aca="false">SUMIFS('Staff Months'!$E$6:$E$2345,'Staff Months'!$A$6:$A$2345,$AS$1,'Staff Months'!$C$6:$C$2345,A48)</f>
        <v>23</v>
      </c>
      <c r="J48" s="11" t="n">
        <f aca="false">SUMIFS('Staff Months'!$L$6:$L$2345,'Staff Months'!$A$6:$A$2345,$AS$1,'Staff Months'!$C$6:$C$2345,A48)</f>
        <v>23</v>
      </c>
      <c r="K48" s="10" t="n">
        <f aca="false">SUMIFS('Staff Months'!$H$6:$H$2345,'Staff Months'!$A$6:$A$2345,$AS$1,'Staff Months'!$C$6:$C$2345,A48)</f>
        <v>367642.40625</v>
      </c>
      <c r="L48" s="10" t="n">
        <f aca="false">SUMIFS('Staff Months'!$J$6:$J$2345,'Staff Months'!$A$6:$A$2345,$AS$1,'Staff Months'!$C$6:$C$2345,A48)</f>
        <v>0</v>
      </c>
      <c r="M48" s="10" t="n">
        <f aca="false">SUMIFS('Staff Months'!$K$6:$K$2345,'Staff Months'!$A$6:$A$2345,$AS$1,'Staff Months'!$C$6:$C$2345,A48)</f>
        <v>0</v>
      </c>
      <c r="N48" s="10" t="n">
        <f aca="false">SUMIFS('Vendor Months'!$G$6:$G$3965,'Vendor Months'!$A$6:$A$3965,$AS$1,'Vendor Months'!$C$6:$C$3965,A48,'Vendor Months'!$J$6:$J$3965,"INFRA")</f>
        <v>3310.90645021412</v>
      </c>
      <c r="O48" s="10" t="n">
        <f aca="false">SUMIFS('Vendor Months'!$G$6:$G$3965,'Vendor Months'!$A$6:$A$3965,$AS$1,'Vendor Months'!$C$6:$C$3965,A48,'Vendor Months'!$J$6:$J$3965,"TOOLS")</f>
        <v>1267.721728</v>
      </c>
      <c r="P48" s="10" t="n">
        <f aca="false">SUMIFS('Vendor Months'!$G$6:$G$3965,'Vendor Months'!$A$6:$A$3965,$AS$1,'Vendor Months'!$C$6:$C$3965,A48,'Vendor Months'!$J$6:$J$3965,"LEGAL")</f>
        <v>0</v>
      </c>
      <c r="Q48" s="10" t="n">
        <f aca="false">SUMIFS('Vendor Months'!$G$6:$G$3965,'Vendor Months'!$A$6:$A$3965,$AS$1,'Vendor Months'!$C$6:$C$3965,A48,'Vendor Months'!$J$6:$J$3965,"SECURITY")</f>
        <v>0</v>
      </c>
      <c r="R48" s="10" t="n">
        <f aca="false">SUMIFS('Vendor Months'!$G$6:$G$3965,'Vendor Months'!$A$6:$A$3965,$AS$1,'Vendor Months'!$C$6:$C$3965,A48,'Vendor Months'!$J$6:$J$3965,"COMPLIANCE")</f>
        <v>0</v>
      </c>
      <c r="S48" s="10" t="n">
        <f aca="false">SUMIFS('Vendor Months'!$G$6:$G$3965,'Vendor Months'!$A$6:$A$3965,$AS$1,'Vendor Months'!$C$6:$C$3965,A48,'Vendor Months'!$J$6:$J$3965,"INSURANCE")</f>
        <v>0</v>
      </c>
      <c r="T48" s="10" t="n">
        <f aca="false">SUMIFS('Vendor Months'!$G$6:$G$3965,'Vendor Months'!$A$6:$A$3965,$AS$1,'Vendor Months'!$C$6:$C$3965,A48,'Vendor Months'!$J$6:$J$3965,"ACCOUNTING")</f>
        <v>674.9184</v>
      </c>
      <c r="U48" s="10" t="n">
        <f aca="false">SUMIFS('Vendor Months'!$G$6:$G$3965,'Vendor Months'!$A$6:$A$3965,$AS$1,'Vendor Months'!$C$6:$C$3965,A48,'Vendor Months'!$J$6:$J$3965,"SUPPORT")</f>
        <v>112.4864</v>
      </c>
      <c r="V48" s="10" t="n">
        <f aca="false">SUMIFS('Vendor Months'!$G$6:$G$3965,'Vendor Months'!$A$6:$A$3965,$AS$1,'Vendor Months'!$C$6:$C$3965,A48,'Vendor Months'!$J$6:$J$3965,"MARKETING")</f>
        <v>8342.3056213757</v>
      </c>
      <c r="W48" s="10" t="n">
        <f aca="false">SUMIFS('Vendor Months'!$G$6:$G$3965,'Vendor Months'!$A$6:$A$3965,$AS$1,'Vendor Months'!$C$6:$C$3965,A48,'Vendor Months'!$J$6:$J$3965,"ONBOARD")</f>
        <v>1950.514176</v>
      </c>
      <c r="X48" s="10" t="n">
        <f aca="false">SUMIFS('Vendor Months'!$G$6:$G$3965,'Vendor Months'!$A$6:$A$3965,$AS$1,'Vendor Months'!$C$6:$C$3965,A48,'Vendor Months'!$J$6:$J$3965,"AI")</f>
        <v>0</v>
      </c>
      <c r="Y48" s="10" t="n">
        <f aca="false">SUMIFS('Vendor Months'!$G$6:$G$3965,'Vendor Months'!$A$6:$A$3965,$AS$1,'Vendor Months'!$C$6:$C$3965,A48,'Vendor Months'!$J$6:$J$3965,"CTMS")</f>
        <v>0</v>
      </c>
      <c r="Z48" s="10" t="n">
        <f aca="false">SUM(N48:Y48)</f>
        <v>15658.8527755898</v>
      </c>
      <c r="AA48" s="10" t="n">
        <f aca="false">(SUM(K48:M48)+Z48)*Assumptions!$E$12</f>
        <v>76660.251805118</v>
      </c>
      <c r="AB48" s="10" t="n">
        <f aca="false">AD48*Assumptions!$E$29</f>
        <v>4153.11641938082</v>
      </c>
      <c r="AC48" s="10" t="n">
        <f aca="false">SUM(K48:M48)+Z48+AA48+AB48</f>
        <v>464114.627250089</v>
      </c>
      <c r="AD48" s="10" t="n">
        <f aca="false">D48*Assumptions!$E$17</f>
        <v>138437.213979361</v>
      </c>
      <c r="AE48" s="10" t="n">
        <f aca="false">AD48*12</f>
        <v>1661246.56775233</v>
      </c>
      <c r="AF48" s="10" t="n">
        <f aca="false">AC48-AD48</f>
        <v>325677.413270728</v>
      </c>
      <c r="AG48" s="10" t="n">
        <f aca="false">IF(A48=Assumptions!$E$7,Assumptions!$E$8,0)</f>
        <v>0</v>
      </c>
      <c r="AH48" s="10" t="n">
        <f aca="false">AI47</f>
        <v>-2021602.90688669</v>
      </c>
      <c r="AI48" s="10" t="n">
        <f aca="false">AH48+AG48-AF48</f>
        <v>-2347280.32015742</v>
      </c>
      <c r="AJ48" s="10" t="n">
        <f aca="false">SUM($AC$6:AC48)</f>
        <v>12187596.1362007</v>
      </c>
      <c r="AK48" s="10" t="n">
        <f aca="false">MAX(0,-AI48)</f>
        <v>2347280.32015742</v>
      </c>
      <c r="AL48" s="10" t="n">
        <f aca="false">Assumptions!$E$6+SUM($AG$6:AG48)-AJ48</f>
        <v>-4187596.1362007</v>
      </c>
      <c r="AM48" s="10" t="n">
        <f aca="false">SUMIFS('Vendor Months'!$H$6:$H$3965,'Vendor Months'!$A$6:$A$3965,$AS$1,'Vendor Months'!$C$6:$C$3965,A48)</f>
        <v>2080.9984</v>
      </c>
      <c r="AN48" s="10" t="n">
        <f aca="false">X48+Y48</f>
        <v>0</v>
      </c>
      <c r="AO48" s="10" t="n">
        <f aca="false">SUMIFS('Staff Months'!$I$6:$I$2345,'Staff Months'!$A$6:$A$2345,$AS$1,'Staff Months'!$C$6:$C$2345,A48)</f>
        <v>19293.75</v>
      </c>
      <c r="AP48" s="10" t="n">
        <f aca="false">SUM($AF$6:AF48)</f>
        <v>10347280.3201574</v>
      </c>
      <c r="AQ48" s="10" t="n">
        <f aca="false">AC48</f>
        <v>464114.627250089</v>
      </c>
      <c r="AR48" s="26" t="n">
        <f aca="false">IF(AI48&lt;0,1,0)</f>
        <v>1</v>
      </c>
      <c r="AS48" s="6"/>
    </row>
    <row r="49" customFormat="false" ht="15" hidden="false" customHeight="false" outlineLevel="0" collapsed="false">
      <c r="A49" s="6" t="n">
        <v>44</v>
      </c>
      <c r="B49" s="25" t="n">
        <f aca="false">EDATE('Start Here'!$B$6,A49-1)</f>
        <v>47635</v>
      </c>
      <c r="C49" s="11" t="n">
        <f aca="false">IF(A49&gt;=Assumptions!$E$13,Assumptions!$E$14*(1+Assumptions!$E$15)^INT((A49-Assumptions!$E$13)/12),0)</f>
        <v>5.78</v>
      </c>
      <c r="D49" s="11" t="n">
        <f aca="false">D48*(1-Assumptions!$E$16)+C49</f>
        <v>103.674887028262</v>
      </c>
      <c r="E49" s="11" t="n">
        <f aca="false">D49*Assumptions!$E$18</f>
        <v>2591.87217570656</v>
      </c>
      <c r="F49" s="11" t="n">
        <f aca="false">E49*Assumptions!$E$19*30/1000000</f>
        <v>19.4390413177992</v>
      </c>
      <c r="G49" s="11" t="n">
        <f aca="false">D49*Assumptions!$E$20</f>
        <v>1036.74887028262</v>
      </c>
      <c r="H49" s="11" t="n">
        <f aca="false">D49*Assumptions!$E$21</f>
        <v>207.349774056524</v>
      </c>
      <c r="I49" s="11" t="n">
        <f aca="false">SUMIFS('Staff Months'!$E$6:$E$2345,'Staff Months'!$A$6:$A$2345,$AS$1,'Staff Months'!$C$6:$C$2345,A49)</f>
        <v>23</v>
      </c>
      <c r="J49" s="11" t="n">
        <f aca="false">SUMIFS('Staff Months'!$L$6:$L$2345,'Staff Months'!$A$6:$A$2345,$AS$1,'Staff Months'!$C$6:$C$2345,A49)</f>
        <v>23</v>
      </c>
      <c r="K49" s="10" t="n">
        <f aca="false">SUMIFS('Staff Months'!$H$6:$H$2345,'Staff Months'!$A$6:$A$2345,$AS$1,'Staff Months'!$C$6:$C$2345,A49)</f>
        <v>367642.40625</v>
      </c>
      <c r="L49" s="10" t="n">
        <f aca="false">SUMIFS('Staff Months'!$J$6:$J$2345,'Staff Months'!$A$6:$A$2345,$AS$1,'Staff Months'!$C$6:$C$2345,A49)</f>
        <v>0</v>
      </c>
      <c r="M49" s="10" t="n">
        <f aca="false">SUMIFS('Staff Months'!$K$6:$K$2345,'Staff Months'!$A$6:$A$2345,$AS$1,'Staff Months'!$C$6:$C$2345,A49)</f>
        <v>0</v>
      </c>
      <c r="N49" s="10" t="n">
        <f aca="false">SUMIFS('Vendor Months'!$G$6:$G$3965,'Vendor Months'!$A$6:$A$3965,$AS$1,'Vendor Months'!$C$6:$C$3965,A49,'Vendor Months'!$J$6:$J$3965,"INFRA")</f>
        <v>3403.20003659198</v>
      </c>
      <c r="O49" s="10" t="n">
        <f aca="false">SUMIFS('Vendor Months'!$G$6:$G$3965,'Vendor Months'!$A$6:$A$3965,$AS$1,'Vendor Months'!$C$6:$C$3965,A49,'Vendor Months'!$J$6:$J$3965,"TOOLS")</f>
        <v>1267.721728</v>
      </c>
      <c r="P49" s="10" t="n">
        <f aca="false">SUMIFS('Vendor Months'!$G$6:$G$3965,'Vendor Months'!$A$6:$A$3965,$AS$1,'Vendor Months'!$C$6:$C$3965,A49,'Vendor Months'!$J$6:$J$3965,"LEGAL")</f>
        <v>0</v>
      </c>
      <c r="Q49" s="10" t="n">
        <f aca="false">SUMIFS('Vendor Months'!$G$6:$G$3965,'Vendor Months'!$A$6:$A$3965,$AS$1,'Vendor Months'!$C$6:$C$3965,A49,'Vendor Months'!$J$6:$J$3965,"SECURITY")</f>
        <v>0</v>
      </c>
      <c r="R49" s="10" t="n">
        <f aca="false">SUMIFS('Vendor Months'!$G$6:$G$3965,'Vendor Months'!$A$6:$A$3965,$AS$1,'Vendor Months'!$C$6:$C$3965,A49,'Vendor Months'!$J$6:$J$3965,"COMPLIANCE")</f>
        <v>0</v>
      </c>
      <c r="S49" s="10" t="n">
        <f aca="false">SUMIFS('Vendor Months'!$G$6:$G$3965,'Vendor Months'!$A$6:$A$3965,$AS$1,'Vendor Months'!$C$6:$C$3965,A49,'Vendor Months'!$J$6:$J$3965,"INSURANCE")</f>
        <v>0</v>
      </c>
      <c r="T49" s="10" t="n">
        <f aca="false">SUMIFS('Vendor Months'!$G$6:$G$3965,'Vendor Months'!$A$6:$A$3965,$AS$1,'Vendor Months'!$C$6:$C$3965,A49,'Vendor Months'!$J$6:$J$3965,"ACCOUNTING")</f>
        <v>674.9184</v>
      </c>
      <c r="U49" s="10" t="n">
        <f aca="false">SUMIFS('Vendor Months'!$G$6:$G$3965,'Vendor Months'!$A$6:$A$3965,$AS$1,'Vendor Months'!$C$6:$C$3965,A49,'Vendor Months'!$J$6:$J$3965,"SUPPORT")</f>
        <v>112.4864</v>
      </c>
      <c r="V49" s="10" t="n">
        <f aca="false">SUMIFS('Vendor Months'!$G$6:$G$3965,'Vendor Months'!$A$6:$A$3965,$AS$1,'Vendor Months'!$C$6:$C$3965,A49,'Vendor Months'!$J$6:$J$3965,"MARKETING")</f>
        <v>8746.51110916194</v>
      </c>
      <c r="W49" s="10" t="n">
        <f aca="false">SUMIFS('Vendor Months'!$G$6:$G$3965,'Vendor Months'!$A$6:$A$3965,$AS$1,'Vendor Months'!$C$6:$C$3965,A49,'Vendor Months'!$J$6:$J$3965,"ONBOARD")</f>
        <v>1950.514176</v>
      </c>
      <c r="X49" s="10" t="n">
        <f aca="false">SUMIFS('Vendor Months'!$G$6:$G$3965,'Vendor Months'!$A$6:$A$3965,$AS$1,'Vendor Months'!$C$6:$C$3965,A49,'Vendor Months'!$J$6:$J$3965,"AI")</f>
        <v>0</v>
      </c>
      <c r="Y49" s="10" t="n">
        <f aca="false">SUMIFS('Vendor Months'!$G$6:$G$3965,'Vendor Months'!$A$6:$A$3965,$AS$1,'Vendor Months'!$C$6:$C$3965,A49,'Vendor Months'!$J$6:$J$3965,"CTMS")</f>
        <v>0</v>
      </c>
      <c r="Z49" s="10" t="n">
        <f aca="false">SUM(N49:Y49)</f>
        <v>16155.3518497539</v>
      </c>
      <c r="AA49" s="10" t="n">
        <f aca="false">(SUM(K49:M49)+Z49)*Assumptions!$E$12</f>
        <v>76759.5516199508</v>
      </c>
      <c r="AB49" s="10" t="n">
        <f aca="false">AD49*Assumptions!$E$29</f>
        <v>4354.34525518701</v>
      </c>
      <c r="AC49" s="10" t="n">
        <f aca="false">SUM(K49:M49)+Z49+AA49+AB49</f>
        <v>464911.654974892</v>
      </c>
      <c r="AD49" s="10" t="n">
        <f aca="false">D49*Assumptions!$E$17</f>
        <v>145144.841839567</v>
      </c>
      <c r="AE49" s="10" t="n">
        <f aca="false">AD49*12</f>
        <v>1741738.10207481</v>
      </c>
      <c r="AF49" s="10" t="n">
        <f aca="false">AC49-AD49</f>
        <v>319766.813135325</v>
      </c>
      <c r="AG49" s="10" t="n">
        <f aca="false">IF(A49=Assumptions!$E$7,Assumptions!$E$8,0)</f>
        <v>0</v>
      </c>
      <c r="AH49" s="10" t="n">
        <f aca="false">AI48</f>
        <v>-2347280.32015742</v>
      </c>
      <c r="AI49" s="10" t="n">
        <f aca="false">AH49+AG49-AF49</f>
        <v>-2667047.13329274</v>
      </c>
      <c r="AJ49" s="10" t="n">
        <f aca="false">SUM($AC$6:AC49)</f>
        <v>12652507.7911756</v>
      </c>
      <c r="AK49" s="10" t="n">
        <f aca="false">MAX(0,-AI49)</f>
        <v>2667047.13329274</v>
      </c>
      <c r="AL49" s="10" t="n">
        <f aca="false">Assumptions!$E$6+SUM($AG$6:AG49)-AJ49</f>
        <v>-4652507.7911756</v>
      </c>
      <c r="AM49" s="10" t="n">
        <f aca="false">SUMIFS('Vendor Months'!$H$6:$H$3965,'Vendor Months'!$A$6:$A$3965,$AS$1,'Vendor Months'!$C$6:$C$3965,A49)</f>
        <v>2080.9984</v>
      </c>
      <c r="AN49" s="10" t="n">
        <f aca="false">X49+Y49</f>
        <v>0</v>
      </c>
      <c r="AO49" s="10" t="n">
        <f aca="false">SUMIFS('Staff Months'!$I$6:$I$2345,'Staff Months'!$A$6:$A$2345,$AS$1,'Staff Months'!$C$6:$C$2345,A49)</f>
        <v>19293.75</v>
      </c>
      <c r="AP49" s="10" t="n">
        <f aca="false">SUM($AF$6:AF49)</f>
        <v>10667047.1332927</v>
      </c>
      <c r="AQ49" s="10" t="n">
        <f aca="false">AC49</f>
        <v>464911.654974892</v>
      </c>
      <c r="AR49" s="26" t="n">
        <f aca="false">IF(AI49&lt;0,1,0)</f>
        <v>1</v>
      </c>
      <c r="AS49" s="6"/>
    </row>
    <row r="50" customFormat="false" ht="15" hidden="false" customHeight="false" outlineLevel="0" collapsed="false">
      <c r="A50" s="6" t="n">
        <v>45</v>
      </c>
      <c r="B50" s="25" t="n">
        <f aca="false">EDATE('Start Here'!$B$6,A50-1)</f>
        <v>47665</v>
      </c>
      <c r="C50" s="11" t="n">
        <f aca="false">IF(A50&gt;=Assumptions!$E$13,Assumptions!$E$14*(1+Assumptions!$E$15)^INT((A50-Assumptions!$E$13)/12),0)</f>
        <v>5.78</v>
      </c>
      <c r="D50" s="11" t="n">
        <f aca="false">D49*(1-Assumptions!$E$16)+C50</f>
        <v>108.41813815798</v>
      </c>
      <c r="E50" s="11" t="n">
        <f aca="false">D50*Assumptions!$E$18</f>
        <v>2710.45345394949</v>
      </c>
      <c r="F50" s="11" t="n">
        <f aca="false">E50*Assumptions!$E$19*30/1000000</f>
        <v>20.3284009046212</v>
      </c>
      <c r="G50" s="11" t="n">
        <f aca="false">D50*Assumptions!$E$20</f>
        <v>1084.1813815798</v>
      </c>
      <c r="H50" s="11" t="n">
        <f aca="false">D50*Assumptions!$E$21</f>
        <v>216.836276315959</v>
      </c>
      <c r="I50" s="11" t="n">
        <f aca="false">SUMIFS('Staff Months'!$E$6:$E$2345,'Staff Months'!$A$6:$A$2345,$AS$1,'Staff Months'!$C$6:$C$2345,A50)</f>
        <v>23</v>
      </c>
      <c r="J50" s="11" t="n">
        <f aca="false">SUMIFS('Staff Months'!$L$6:$L$2345,'Staff Months'!$A$6:$A$2345,$AS$1,'Staff Months'!$C$6:$C$2345,A50)</f>
        <v>23</v>
      </c>
      <c r="K50" s="10" t="n">
        <f aca="false">SUMIFS('Staff Months'!$H$6:$H$2345,'Staff Months'!$A$6:$A$2345,$AS$1,'Staff Months'!$C$6:$C$2345,A50)</f>
        <v>367642.40625</v>
      </c>
      <c r="L50" s="10" t="n">
        <f aca="false">SUMIFS('Staff Months'!$J$6:$J$2345,'Staff Months'!$A$6:$A$2345,$AS$1,'Staff Months'!$C$6:$C$2345,A50)</f>
        <v>0</v>
      </c>
      <c r="M50" s="10" t="n">
        <f aca="false">SUMIFS('Staff Months'!$K$6:$K$2345,'Staff Months'!$A$6:$A$2345,$AS$1,'Staff Months'!$C$6:$C$2345,A50)</f>
        <v>0</v>
      </c>
      <c r="N50" s="10" t="n">
        <f aca="false">SUMIFS('Vendor Months'!$G$6:$G$3965,'Vendor Months'!$A$6:$A$3965,$AS$1,'Vendor Months'!$C$6:$C$3965,A50,'Vendor Months'!$J$6:$J$3965,"INFRA")</f>
        <v>3494.57068710606</v>
      </c>
      <c r="O50" s="10" t="n">
        <f aca="false">SUMIFS('Vendor Months'!$G$6:$G$3965,'Vendor Months'!$A$6:$A$3965,$AS$1,'Vendor Months'!$C$6:$C$3965,A50,'Vendor Months'!$J$6:$J$3965,"TOOLS")</f>
        <v>1267.721728</v>
      </c>
      <c r="P50" s="10" t="n">
        <f aca="false">SUMIFS('Vendor Months'!$G$6:$G$3965,'Vendor Months'!$A$6:$A$3965,$AS$1,'Vendor Months'!$C$6:$C$3965,A50,'Vendor Months'!$J$6:$J$3965,"LEGAL")</f>
        <v>0</v>
      </c>
      <c r="Q50" s="10" t="n">
        <f aca="false">SUMIFS('Vendor Months'!$G$6:$G$3965,'Vendor Months'!$A$6:$A$3965,$AS$1,'Vendor Months'!$C$6:$C$3965,A50,'Vendor Months'!$J$6:$J$3965,"SECURITY")</f>
        <v>0</v>
      </c>
      <c r="R50" s="10" t="n">
        <f aca="false">SUMIFS('Vendor Months'!$G$6:$G$3965,'Vendor Months'!$A$6:$A$3965,$AS$1,'Vendor Months'!$C$6:$C$3965,A50,'Vendor Months'!$J$6:$J$3965,"COMPLIANCE")</f>
        <v>0</v>
      </c>
      <c r="S50" s="10" t="n">
        <f aca="false">SUMIFS('Vendor Months'!$G$6:$G$3965,'Vendor Months'!$A$6:$A$3965,$AS$1,'Vendor Months'!$C$6:$C$3965,A50,'Vendor Months'!$J$6:$J$3965,"INSURANCE")</f>
        <v>13498.368</v>
      </c>
      <c r="T50" s="10" t="n">
        <f aca="false">SUMIFS('Vendor Months'!$G$6:$G$3965,'Vendor Months'!$A$6:$A$3965,$AS$1,'Vendor Months'!$C$6:$C$3965,A50,'Vendor Months'!$J$6:$J$3965,"ACCOUNTING")</f>
        <v>674.9184</v>
      </c>
      <c r="U50" s="10" t="n">
        <f aca="false">SUMIFS('Vendor Months'!$G$6:$G$3965,'Vendor Months'!$A$6:$A$3965,$AS$1,'Vendor Months'!$C$6:$C$3965,A50,'Vendor Months'!$J$6:$J$3965,"SUPPORT")</f>
        <v>112.4864</v>
      </c>
      <c r="V50" s="10" t="n">
        <f aca="false">SUMIFS('Vendor Months'!$G$6:$G$3965,'Vendor Months'!$A$6:$A$3965,$AS$1,'Vendor Months'!$C$6:$C$3965,A50,'Vendor Months'!$J$6:$J$3965,"MARKETING")</f>
        <v>9146.67454207032</v>
      </c>
      <c r="W50" s="10" t="n">
        <f aca="false">SUMIFS('Vendor Months'!$G$6:$G$3965,'Vendor Months'!$A$6:$A$3965,$AS$1,'Vendor Months'!$C$6:$C$3965,A50,'Vendor Months'!$J$6:$J$3965,"ONBOARD")</f>
        <v>1950.514176</v>
      </c>
      <c r="X50" s="10" t="n">
        <f aca="false">SUMIFS('Vendor Months'!$G$6:$G$3965,'Vendor Months'!$A$6:$A$3965,$AS$1,'Vendor Months'!$C$6:$C$3965,A50,'Vendor Months'!$J$6:$J$3965,"AI")</f>
        <v>0</v>
      </c>
      <c r="Y50" s="10" t="n">
        <f aca="false">SUMIFS('Vendor Months'!$G$6:$G$3965,'Vendor Months'!$A$6:$A$3965,$AS$1,'Vendor Months'!$C$6:$C$3965,A50,'Vendor Months'!$J$6:$J$3965,"CTMS")</f>
        <v>0</v>
      </c>
      <c r="Z50" s="10" t="n">
        <f aca="false">SUM(N50:Y50)</f>
        <v>30145.2539331764</v>
      </c>
      <c r="AA50" s="10" t="n">
        <f aca="false">(SUM(K50:M50)+Z50)*Assumptions!$E$12</f>
        <v>79557.5320366353</v>
      </c>
      <c r="AB50" s="10" t="n">
        <f aca="false">AD50*Assumptions!$E$29</f>
        <v>4553.56180263514</v>
      </c>
      <c r="AC50" s="10" t="n">
        <f aca="false">SUM(K50:M50)+Z50+AA50+AB50</f>
        <v>481898.754022447</v>
      </c>
      <c r="AD50" s="10" t="n">
        <f aca="false">D50*Assumptions!$E$17</f>
        <v>151785.393421171</v>
      </c>
      <c r="AE50" s="10" t="n">
        <f aca="false">AD50*12</f>
        <v>1821424.72105406</v>
      </c>
      <c r="AF50" s="10" t="n">
        <f aca="false">AC50-AD50</f>
        <v>330113.360601275</v>
      </c>
      <c r="AG50" s="10" t="n">
        <f aca="false">IF(A50=Assumptions!$E$7,Assumptions!$E$8,0)</f>
        <v>0</v>
      </c>
      <c r="AH50" s="10" t="n">
        <f aca="false">AI49</f>
        <v>-2667047.13329274</v>
      </c>
      <c r="AI50" s="10" t="n">
        <f aca="false">AH50+AG50-AF50</f>
        <v>-2997160.49389402</v>
      </c>
      <c r="AJ50" s="10" t="n">
        <f aca="false">SUM($AC$6:AC50)</f>
        <v>13134406.545198</v>
      </c>
      <c r="AK50" s="10" t="n">
        <f aca="false">MAX(0,-AI50)</f>
        <v>2997160.49389402</v>
      </c>
      <c r="AL50" s="10" t="n">
        <f aca="false">Assumptions!$E$6+SUM($AG$6:AG50)-AJ50</f>
        <v>-5134406.54519804</v>
      </c>
      <c r="AM50" s="10" t="n">
        <f aca="false">SUMIFS('Vendor Months'!$H$6:$H$3965,'Vendor Months'!$A$6:$A$3965,$AS$1,'Vendor Months'!$C$6:$C$3965,A50)</f>
        <v>15579.3664</v>
      </c>
      <c r="AN50" s="10" t="n">
        <f aca="false">X50+Y50</f>
        <v>0</v>
      </c>
      <c r="AO50" s="10" t="n">
        <f aca="false">SUMIFS('Staff Months'!$I$6:$I$2345,'Staff Months'!$A$6:$A$2345,$AS$1,'Staff Months'!$C$6:$C$2345,A50)</f>
        <v>19293.75</v>
      </c>
      <c r="AP50" s="10" t="n">
        <f aca="false">SUM($AF$6:AF50)</f>
        <v>10997160.493894</v>
      </c>
      <c r="AQ50" s="10" t="n">
        <f aca="false">AC50</f>
        <v>481898.754022447</v>
      </c>
      <c r="AR50" s="26" t="n">
        <f aca="false">IF(AI50&lt;0,1,0)</f>
        <v>1</v>
      </c>
      <c r="AS50" s="6"/>
    </row>
    <row r="51" customFormat="false" ht="15" hidden="false" customHeight="false" outlineLevel="0" collapsed="false">
      <c r="A51" s="6" t="n">
        <v>46</v>
      </c>
      <c r="B51" s="25" t="n">
        <f aca="false">EDATE('Start Here'!$B$6,A51-1)</f>
        <v>47696</v>
      </c>
      <c r="C51" s="11" t="n">
        <f aca="false">IF(A51&gt;=Assumptions!$E$13,Assumptions!$E$14*(1+Assumptions!$E$15)^INT((A51-Assumptions!$E$13)/12),0)</f>
        <v>5.78</v>
      </c>
      <c r="D51" s="11" t="n">
        <f aca="false">D50*(1-Assumptions!$E$16)+C51</f>
        <v>113.1139567764</v>
      </c>
      <c r="E51" s="11" t="n">
        <f aca="false">D51*Assumptions!$E$18</f>
        <v>2827.84891941</v>
      </c>
      <c r="F51" s="11" t="n">
        <f aca="false">E51*Assumptions!$E$19*30/1000000</f>
        <v>21.208866895575</v>
      </c>
      <c r="G51" s="11" t="n">
        <f aca="false">D51*Assumptions!$E$20</f>
        <v>1131.139567764</v>
      </c>
      <c r="H51" s="11" t="n">
        <f aca="false">D51*Assumptions!$E$21</f>
        <v>226.2279135528</v>
      </c>
      <c r="I51" s="11" t="n">
        <f aca="false">SUMIFS('Staff Months'!$E$6:$E$2345,'Staff Months'!$A$6:$A$2345,$AS$1,'Staff Months'!$C$6:$C$2345,A51)</f>
        <v>23</v>
      </c>
      <c r="J51" s="11" t="n">
        <f aca="false">SUMIFS('Staff Months'!$L$6:$L$2345,'Staff Months'!$A$6:$A$2345,$AS$1,'Staff Months'!$C$6:$C$2345,A51)</f>
        <v>23</v>
      </c>
      <c r="K51" s="10" t="n">
        <f aca="false">SUMIFS('Staff Months'!$H$6:$H$2345,'Staff Months'!$A$6:$A$2345,$AS$1,'Staff Months'!$C$6:$C$2345,A51)</f>
        <v>367642.40625</v>
      </c>
      <c r="L51" s="10" t="n">
        <f aca="false">SUMIFS('Staff Months'!$J$6:$J$2345,'Staff Months'!$A$6:$A$2345,$AS$1,'Staff Months'!$C$6:$C$2345,A51)</f>
        <v>0</v>
      </c>
      <c r="M51" s="10" t="n">
        <f aca="false">SUMIFS('Staff Months'!$K$6:$K$2345,'Staff Months'!$A$6:$A$2345,$AS$1,'Staff Months'!$C$6:$C$2345,A51)</f>
        <v>0</v>
      </c>
      <c r="N51" s="10" t="n">
        <f aca="false">SUMIFS('Vendor Months'!$G$6:$G$3965,'Vendor Months'!$A$6:$A$3965,$AS$1,'Vendor Months'!$C$6:$C$3965,A51,'Vendor Months'!$J$6:$J$3965,"INFRA")</f>
        <v>3585.027631115</v>
      </c>
      <c r="O51" s="10" t="n">
        <f aca="false">SUMIFS('Vendor Months'!$G$6:$G$3965,'Vendor Months'!$A$6:$A$3965,$AS$1,'Vendor Months'!$C$6:$C$3965,A51,'Vendor Months'!$J$6:$J$3965,"TOOLS")</f>
        <v>1267.721728</v>
      </c>
      <c r="P51" s="10" t="n">
        <f aca="false">SUMIFS('Vendor Months'!$G$6:$G$3965,'Vendor Months'!$A$6:$A$3965,$AS$1,'Vendor Months'!$C$6:$C$3965,A51,'Vendor Months'!$J$6:$J$3965,"LEGAL")</f>
        <v>0</v>
      </c>
      <c r="Q51" s="10" t="n">
        <f aca="false">SUMIFS('Vendor Months'!$G$6:$G$3965,'Vendor Months'!$A$6:$A$3965,$AS$1,'Vendor Months'!$C$6:$C$3965,A51,'Vendor Months'!$J$6:$J$3965,"SECURITY")</f>
        <v>20247.552</v>
      </c>
      <c r="R51" s="10" t="n">
        <f aca="false">SUMIFS('Vendor Months'!$G$6:$G$3965,'Vendor Months'!$A$6:$A$3965,$AS$1,'Vendor Months'!$C$6:$C$3965,A51,'Vendor Months'!$J$6:$J$3965,"COMPLIANCE")</f>
        <v>0</v>
      </c>
      <c r="S51" s="10" t="n">
        <f aca="false">SUMIFS('Vendor Months'!$G$6:$G$3965,'Vendor Months'!$A$6:$A$3965,$AS$1,'Vendor Months'!$C$6:$C$3965,A51,'Vendor Months'!$J$6:$J$3965,"INSURANCE")</f>
        <v>0</v>
      </c>
      <c r="T51" s="10" t="n">
        <f aca="false">SUMIFS('Vendor Months'!$G$6:$G$3965,'Vendor Months'!$A$6:$A$3965,$AS$1,'Vendor Months'!$C$6:$C$3965,A51,'Vendor Months'!$J$6:$J$3965,"ACCOUNTING")</f>
        <v>674.9184</v>
      </c>
      <c r="U51" s="10" t="n">
        <f aca="false">SUMIFS('Vendor Months'!$G$6:$G$3965,'Vendor Months'!$A$6:$A$3965,$AS$1,'Vendor Months'!$C$6:$C$3965,A51,'Vendor Months'!$J$6:$J$3965,"SUPPORT")</f>
        <v>112.4864</v>
      </c>
      <c r="V51" s="10" t="n">
        <f aca="false">SUMIFS('Vendor Months'!$G$6:$G$3965,'Vendor Months'!$A$6:$A$3965,$AS$1,'Vendor Months'!$C$6:$C$3965,A51,'Vendor Months'!$J$6:$J$3965,"MARKETING")</f>
        <v>9542.83634064962</v>
      </c>
      <c r="W51" s="10" t="n">
        <f aca="false">SUMIFS('Vendor Months'!$G$6:$G$3965,'Vendor Months'!$A$6:$A$3965,$AS$1,'Vendor Months'!$C$6:$C$3965,A51,'Vendor Months'!$J$6:$J$3965,"ONBOARD")</f>
        <v>1950.514176</v>
      </c>
      <c r="X51" s="10" t="n">
        <f aca="false">SUMIFS('Vendor Months'!$G$6:$G$3965,'Vendor Months'!$A$6:$A$3965,$AS$1,'Vendor Months'!$C$6:$C$3965,A51,'Vendor Months'!$J$6:$J$3965,"AI")</f>
        <v>0</v>
      </c>
      <c r="Y51" s="10" t="n">
        <f aca="false">SUMIFS('Vendor Months'!$G$6:$G$3965,'Vendor Months'!$A$6:$A$3965,$AS$1,'Vendor Months'!$C$6:$C$3965,A51,'Vendor Months'!$J$6:$J$3965,"CTMS")</f>
        <v>0</v>
      </c>
      <c r="Z51" s="10" t="n">
        <f aca="false">SUM(N51:Y51)</f>
        <v>37381.0566757646</v>
      </c>
      <c r="AA51" s="10" t="n">
        <f aca="false">(SUM(K51:M51)+Z51)*Assumptions!$E$12</f>
        <v>81004.6925851529</v>
      </c>
      <c r="AB51" s="10" t="n">
        <f aca="false">AD51*Assumptions!$E$29</f>
        <v>4750.78618460879</v>
      </c>
      <c r="AC51" s="10" t="n">
        <f aca="false">SUM(K51:M51)+Z51+AA51+AB51</f>
        <v>490778.941695526</v>
      </c>
      <c r="AD51" s="10" t="n">
        <f aca="false">D51*Assumptions!$E$17</f>
        <v>158359.53948696</v>
      </c>
      <c r="AE51" s="10" t="n">
        <f aca="false">AD51*12</f>
        <v>1900314.47384352</v>
      </c>
      <c r="AF51" s="10" t="n">
        <f aca="false">AC51-AD51</f>
        <v>332419.402208567</v>
      </c>
      <c r="AG51" s="10" t="n">
        <f aca="false">IF(A51=Assumptions!$E$7,Assumptions!$E$8,0)</f>
        <v>0</v>
      </c>
      <c r="AH51" s="10" t="n">
        <f aca="false">AI50</f>
        <v>-2997160.49389402</v>
      </c>
      <c r="AI51" s="10" t="n">
        <f aca="false">AH51+AG51-AF51</f>
        <v>-3329579.89610259</v>
      </c>
      <c r="AJ51" s="10" t="n">
        <f aca="false">SUM($AC$6:AC51)</f>
        <v>13625185.4868936</v>
      </c>
      <c r="AK51" s="10" t="n">
        <f aca="false">MAX(0,-AI51)</f>
        <v>3329579.89610259</v>
      </c>
      <c r="AL51" s="10" t="n">
        <f aca="false">Assumptions!$E$6+SUM($AG$6:AG51)-AJ51</f>
        <v>-5625185.48689357</v>
      </c>
      <c r="AM51" s="10" t="n">
        <f aca="false">SUMIFS('Vendor Months'!$H$6:$H$3965,'Vendor Months'!$A$6:$A$3965,$AS$1,'Vendor Months'!$C$6:$C$3965,A51)</f>
        <v>22328.5504</v>
      </c>
      <c r="AN51" s="10" t="n">
        <f aca="false">X51+Y51</f>
        <v>0</v>
      </c>
      <c r="AO51" s="10" t="n">
        <f aca="false">SUMIFS('Staff Months'!$I$6:$I$2345,'Staff Months'!$A$6:$A$2345,$AS$1,'Staff Months'!$C$6:$C$2345,A51)</f>
        <v>19293.75</v>
      </c>
      <c r="AP51" s="10" t="n">
        <f aca="false">SUM($AF$6:AF51)</f>
        <v>11329579.8961026</v>
      </c>
      <c r="AQ51" s="10" t="n">
        <f aca="false">AC51</f>
        <v>490778.941695526</v>
      </c>
      <c r="AR51" s="26" t="n">
        <f aca="false">IF(AI51&lt;0,1,0)</f>
        <v>1</v>
      </c>
      <c r="AS51" s="6"/>
    </row>
    <row r="52" customFormat="false" ht="15" hidden="false" customHeight="false" outlineLevel="0" collapsed="false">
      <c r="A52" s="6" t="n">
        <v>47</v>
      </c>
      <c r="B52" s="25" t="n">
        <f aca="false">EDATE('Start Here'!$B$6,A52-1)</f>
        <v>47727</v>
      </c>
      <c r="C52" s="11" t="n">
        <f aca="false">IF(A52&gt;=Assumptions!$E$13,Assumptions!$E$14*(1+Assumptions!$E$15)^INT((A52-Assumptions!$E$13)/12),0)</f>
        <v>5.78</v>
      </c>
      <c r="D52" s="11" t="n">
        <f aca="false">D51*(1-Assumptions!$E$16)+C52</f>
        <v>117.762817208636</v>
      </c>
      <c r="E52" s="11" t="n">
        <f aca="false">D52*Assumptions!$E$18</f>
        <v>2944.0704302159</v>
      </c>
      <c r="F52" s="11" t="n">
        <f aca="false">E52*Assumptions!$E$19*30/1000000</f>
        <v>22.0805282266192</v>
      </c>
      <c r="G52" s="11" t="n">
        <f aca="false">D52*Assumptions!$E$20</f>
        <v>1177.62817208636</v>
      </c>
      <c r="H52" s="11" t="n">
        <f aca="false">D52*Assumptions!$E$21</f>
        <v>235.525634417272</v>
      </c>
      <c r="I52" s="11" t="n">
        <f aca="false">SUMIFS('Staff Months'!$E$6:$E$2345,'Staff Months'!$A$6:$A$2345,$AS$1,'Staff Months'!$C$6:$C$2345,A52)</f>
        <v>23</v>
      </c>
      <c r="J52" s="11" t="n">
        <f aca="false">SUMIFS('Staff Months'!$L$6:$L$2345,'Staff Months'!$A$6:$A$2345,$AS$1,'Staff Months'!$C$6:$C$2345,A52)</f>
        <v>23</v>
      </c>
      <c r="K52" s="10" t="n">
        <f aca="false">SUMIFS('Staff Months'!$H$6:$H$2345,'Staff Months'!$A$6:$A$2345,$AS$1,'Staff Months'!$C$6:$C$2345,A52)</f>
        <v>367642.40625</v>
      </c>
      <c r="L52" s="10" t="n">
        <f aca="false">SUMIFS('Staff Months'!$J$6:$J$2345,'Staff Months'!$A$6:$A$2345,$AS$1,'Staff Months'!$C$6:$C$2345,A52)</f>
        <v>0</v>
      </c>
      <c r="M52" s="10" t="n">
        <f aca="false">SUMIFS('Staff Months'!$K$6:$K$2345,'Staff Months'!$A$6:$A$2345,$AS$1,'Staff Months'!$C$6:$C$2345,A52)</f>
        <v>0</v>
      </c>
      <c r="N52" s="10" t="n">
        <f aca="false">SUMIFS('Vendor Months'!$G$6:$G$3965,'Vendor Months'!$A$6:$A$3965,$AS$1,'Vendor Months'!$C$6:$C$3965,A52,'Vendor Months'!$J$6:$J$3965,"INFRA")</f>
        <v>3674.58000568385</v>
      </c>
      <c r="O52" s="10" t="n">
        <f aca="false">SUMIFS('Vendor Months'!$G$6:$G$3965,'Vendor Months'!$A$6:$A$3965,$AS$1,'Vendor Months'!$C$6:$C$3965,A52,'Vendor Months'!$J$6:$J$3965,"TOOLS")</f>
        <v>1267.721728</v>
      </c>
      <c r="P52" s="10" t="n">
        <f aca="false">SUMIFS('Vendor Months'!$G$6:$G$3965,'Vendor Months'!$A$6:$A$3965,$AS$1,'Vendor Months'!$C$6:$C$3965,A52,'Vendor Months'!$J$6:$J$3965,"LEGAL")</f>
        <v>0</v>
      </c>
      <c r="Q52" s="10" t="n">
        <f aca="false">SUMIFS('Vendor Months'!$G$6:$G$3965,'Vendor Months'!$A$6:$A$3965,$AS$1,'Vendor Months'!$C$6:$C$3965,A52,'Vendor Months'!$J$6:$J$3965,"SECURITY")</f>
        <v>0</v>
      </c>
      <c r="R52" s="10" t="n">
        <f aca="false">SUMIFS('Vendor Months'!$G$6:$G$3965,'Vendor Months'!$A$6:$A$3965,$AS$1,'Vendor Months'!$C$6:$C$3965,A52,'Vendor Months'!$J$6:$J$3965,"COMPLIANCE")</f>
        <v>16872.96</v>
      </c>
      <c r="S52" s="10" t="n">
        <f aca="false">SUMIFS('Vendor Months'!$G$6:$G$3965,'Vendor Months'!$A$6:$A$3965,$AS$1,'Vendor Months'!$C$6:$C$3965,A52,'Vendor Months'!$J$6:$J$3965,"INSURANCE")</f>
        <v>0</v>
      </c>
      <c r="T52" s="10" t="n">
        <f aca="false">SUMIFS('Vendor Months'!$G$6:$G$3965,'Vendor Months'!$A$6:$A$3965,$AS$1,'Vendor Months'!$C$6:$C$3965,A52,'Vendor Months'!$J$6:$J$3965,"ACCOUNTING")</f>
        <v>674.9184</v>
      </c>
      <c r="U52" s="10" t="n">
        <f aca="false">SUMIFS('Vendor Months'!$G$6:$G$3965,'Vendor Months'!$A$6:$A$3965,$AS$1,'Vendor Months'!$C$6:$C$3965,A52,'Vendor Months'!$J$6:$J$3965,"SUPPORT")</f>
        <v>112.4864</v>
      </c>
      <c r="V52" s="10" t="n">
        <f aca="false">SUMIFS('Vendor Months'!$G$6:$G$3965,'Vendor Months'!$A$6:$A$3965,$AS$1,'Vendor Months'!$C$6:$C$3965,A52,'Vendor Months'!$J$6:$J$3965,"MARKETING")</f>
        <v>9935.03652124312</v>
      </c>
      <c r="W52" s="10" t="n">
        <f aca="false">SUMIFS('Vendor Months'!$G$6:$G$3965,'Vendor Months'!$A$6:$A$3965,$AS$1,'Vendor Months'!$C$6:$C$3965,A52,'Vendor Months'!$J$6:$J$3965,"ONBOARD")</f>
        <v>1950.514176</v>
      </c>
      <c r="X52" s="10" t="n">
        <f aca="false">SUMIFS('Vendor Months'!$G$6:$G$3965,'Vendor Months'!$A$6:$A$3965,$AS$1,'Vendor Months'!$C$6:$C$3965,A52,'Vendor Months'!$J$6:$J$3965,"AI")</f>
        <v>0</v>
      </c>
      <c r="Y52" s="10" t="n">
        <f aca="false">SUMIFS('Vendor Months'!$G$6:$G$3965,'Vendor Months'!$A$6:$A$3965,$AS$1,'Vendor Months'!$C$6:$C$3965,A52,'Vendor Months'!$J$6:$J$3965,"CTMS")</f>
        <v>0</v>
      </c>
      <c r="Z52" s="10" t="n">
        <f aca="false">SUM(N52:Y52)</f>
        <v>34488.217230927</v>
      </c>
      <c r="AA52" s="10" t="n">
        <f aca="false">(SUM(K52:M52)+Z52)*Assumptions!$E$12</f>
        <v>80426.1246961854</v>
      </c>
      <c r="AB52" s="10" t="n">
        <f aca="false">AD52*Assumptions!$E$29</f>
        <v>4946.0383227627</v>
      </c>
      <c r="AC52" s="10" t="n">
        <f aca="false">SUM(K52:M52)+Z52+AA52+AB52</f>
        <v>487502.786499875</v>
      </c>
      <c r="AD52" s="10" t="n">
        <f aca="false">D52*Assumptions!$E$17</f>
        <v>164867.94409209</v>
      </c>
      <c r="AE52" s="10" t="n">
        <f aca="false">AD52*12</f>
        <v>1978415.32910508</v>
      </c>
      <c r="AF52" s="10" t="n">
        <f aca="false">AC52-AD52</f>
        <v>322634.842407785</v>
      </c>
      <c r="AG52" s="10" t="n">
        <f aca="false">IF(A52=Assumptions!$E$7,Assumptions!$E$8,0)</f>
        <v>0</v>
      </c>
      <c r="AH52" s="10" t="n">
        <f aca="false">AI51</f>
        <v>-3329579.89610259</v>
      </c>
      <c r="AI52" s="10" t="n">
        <f aca="false">AH52+AG52-AF52</f>
        <v>-3652214.73851037</v>
      </c>
      <c r="AJ52" s="10" t="n">
        <f aca="false">SUM($AC$6:AC52)</f>
        <v>14112688.2733934</v>
      </c>
      <c r="AK52" s="10" t="n">
        <f aca="false">MAX(0,-AI52)</f>
        <v>3652214.73851037</v>
      </c>
      <c r="AL52" s="10" t="n">
        <f aca="false">Assumptions!$E$6+SUM($AG$6:AG52)-AJ52</f>
        <v>-6112688.27339344</v>
      </c>
      <c r="AM52" s="10" t="n">
        <f aca="false">SUMIFS('Vendor Months'!$H$6:$H$3965,'Vendor Months'!$A$6:$A$3965,$AS$1,'Vendor Months'!$C$6:$C$3965,A52)</f>
        <v>18953.9584</v>
      </c>
      <c r="AN52" s="10" t="n">
        <f aca="false">X52+Y52</f>
        <v>0</v>
      </c>
      <c r="AO52" s="10" t="n">
        <f aca="false">SUMIFS('Staff Months'!$I$6:$I$2345,'Staff Months'!$A$6:$A$2345,$AS$1,'Staff Months'!$C$6:$C$2345,A52)</f>
        <v>19293.75</v>
      </c>
      <c r="AP52" s="10" t="n">
        <f aca="false">SUM($AF$6:AF52)</f>
        <v>11652214.7385104</v>
      </c>
      <c r="AQ52" s="10" t="n">
        <f aca="false">AC52</f>
        <v>487502.786499875</v>
      </c>
      <c r="AR52" s="26" t="n">
        <f aca="false">IF(AI52&lt;0,1,0)</f>
        <v>1</v>
      </c>
      <c r="AS52" s="6"/>
    </row>
    <row r="53" customFormat="false" ht="15" hidden="false" customHeight="false" outlineLevel="0" collapsed="false">
      <c r="A53" s="6" t="n">
        <v>48</v>
      </c>
      <c r="B53" s="25" t="n">
        <f aca="false">EDATE('Start Here'!$B$6,A53-1)</f>
        <v>47757</v>
      </c>
      <c r="C53" s="11" t="n">
        <f aca="false">IF(A53&gt;=Assumptions!$E$13,Assumptions!$E$14*(1+Assumptions!$E$15)^INT((A53-Assumptions!$E$13)/12),0)</f>
        <v>9.826</v>
      </c>
      <c r="D53" s="11" t="n">
        <f aca="false">D52*(1-Assumptions!$E$16)+C53</f>
        <v>126.411189036549</v>
      </c>
      <c r="E53" s="11" t="n">
        <f aca="false">D53*Assumptions!$E$18</f>
        <v>3160.27972591374</v>
      </c>
      <c r="F53" s="11" t="n">
        <f aca="false">E53*Assumptions!$E$19*30/1000000</f>
        <v>23.702097944353</v>
      </c>
      <c r="G53" s="11" t="n">
        <f aca="false">D53*Assumptions!$E$20</f>
        <v>1264.11189036549</v>
      </c>
      <c r="H53" s="11" t="n">
        <f aca="false">D53*Assumptions!$E$21</f>
        <v>252.822378073099</v>
      </c>
      <c r="I53" s="11" t="n">
        <f aca="false">SUMIFS('Staff Months'!$E$6:$E$2345,'Staff Months'!$A$6:$A$2345,$AS$1,'Staff Months'!$C$6:$C$2345,A53)</f>
        <v>23</v>
      </c>
      <c r="J53" s="11" t="n">
        <f aca="false">SUMIFS('Staff Months'!$L$6:$L$2345,'Staff Months'!$A$6:$A$2345,$AS$1,'Staff Months'!$C$6:$C$2345,A53)</f>
        <v>23</v>
      </c>
      <c r="K53" s="10" t="n">
        <f aca="false">SUMIFS('Staff Months'!$H$6:$H$2345,'Staff Months'!$A$6:$A$2345,$AS$1,'Staff Months'!$C$6:$C$2345,A53)</f>
        <v>367642.40625</v>
      </c>
      <c r="L53" s="10" t="n">
        <f aca="false">SUMIFS('Staff Months'!$J$6:$J$2345,'Staff Months'!$A$6:$A$2345,$AS$1,'Staff Months'!$C$6:$C$2345,A53)</f>
        <v>0</v>
      </c>
      <c r="M53" s="10" t="n">
        <f aca="false">SUMIFS('Staff Months'!$K$6:$K$2345,'Staff Months'!$A$6:$A$2345,$AS$1,'Staff Months'!$C$6:$C$2345,A53)</f>
        <v>0</v>
      </c>
      <c r="N53" s="10" t="n">
        <f aca="false">SUMIFS('Vendor Months'!$G$6:$G$3965,'Vendor Months'!$A$6:$A$3965,$AS$1,'Vendor Months'!$C$6:$C$3965,A53,'Vendor Months'!$J$6:$J$3965,"INFRA")</f>
        <v>3841.17615212301</v>
      </c>
      <c r="O53" s="10" t="n">
        <f aca="false">SUMIFS('Vendor Months'!$G$6:$G$3965,'Vendor Months'!$A$6:$A$3965,$AS$1,'Vendor Months'!$C$6:$C$3965,A53,'Vendor Months'!$J$6:$J$3965,"TOOLS")</f>
        <v>1267.721728</v>
      </c>
      <c r="P53" s="10" t="n">
        <f aca="false">SUMIFS('Vendor Months'!$G$6:$G$3965,'Vendor Months'!$A$6:$A$3965,$AS$1,'Vendor Months'!$C$6:$C$3965,A53,'Vendor Months'!$J$6:$J$3965,"LEGAL")</f>
        <v>0</v>
      </c>
      <c r="Q53" s="10" t="n">
        <f aca="false">SUMIFS('Vendor Months'!$G$6:$G$3965,'Vendor Months'!$A$6:$A$3965,$AS$1,'Vendor Months'!$C$6:$C$3965,A53,'Vendor Months'!$J$6:$J$3965,"SECURITY")</f>
        <v>0</v>
      </c>
      <c r="R53" s="10" t="n">
        <f aca="false">SUMIFS('Vendor Months'!$G$6:$G$3965,'Vendor Months'!$A$6:$A$3965,$AS$1,'Vendor Months'!$C$6:$C$3965,A53,'Vendor Months'!$J$6:$J$3965,"COMPLIANCE")</f>
        <v>0</v>
      </c>
      <c r="S53" s="10" t="n">
        <f aca="false">SUMIFS('Vendor Months'!$G$6:$G$3965,'Vendor Months'!$A$6:$A$3965,$AS$1,'Vendor Months'!$C$6:$C$3965,A53,'Vendor Months'!$J$6:$J$3965,"INSURANCE")</f>
        <v>0</v>
      </c>
      <c r="T53" s="10" t="n">
        <f aca="false">SUMIFS('Vendor Months'!$G$6:$G$3965,'Vendor Months'!$A$6:$A$3965,$AS$1,'Vendor Months'!$C$6:$C$3965,A53,'Vendor Months'!$J$6:$J$3965,"ACCOUNTING")</f>
        <v>674.9184</v>
      </c>
      <c r="U53" s="10" t="n">
        <f aca="false">SUMIFS('Vendor Months'!$G$6:$G$3965,'Vendor Months'!$A$6:$A$3965,$AS$1,'Vendor Months'!$C$6:$C$3965,A53,'Vendor Months'!$J$6:$J$3965,"SUPPORT")</f>
        <v>112.4864</v>
      </c>
      <c r="V53" s="10" t="n">
        <f aca="false">SUMIFS('Vendor Months'!$G$6:$G$3965,'Vendor Months'!$A$6:$A$3965,$AS$1,'Vendor Months'!$C$6:$C$3965,A53,'Vendor Months'!$J$6:$J$3965,"MARKETING")</f>
        <v>10664.6546808307</v>
      </c>
      <c r="W53" s="10" t="n">
        <f aca="false">SUMIFS('Vendor Months'!$G$6:$G$3965,'Vendor Months'!$A$6:$A$3965,$AS$1,'Vendor Months'!$C$6:$C$3965,A53,'Vendor Months'!$J$6:$J$3965,"ONBOARD")</f>
        <v>3315.8740992</v>
      </c>
      <c r="X53" s="10" t="n">
        <f aca="false">SUMIFS('Vendor Months'!$G$6:$G$3965,'Vendor Months'!$A$6:$A$3965,$AS$1,'Vendor Months'!$C$6:$C$3965,A53,'Vendor Months'!$J$6:$J$3965,"AI")</f>
        <v>0</v>
      </c>
      <c r="Y53" s="10" t="n">
        <f aca="false">SUMIFS('Vendor Months'!$G$6:$G$3965,'Vendor Months'!$A$6:$A$3965,$AS$1,'Vendor Months'!$C$6:$C$3965,A53,'Vendor Months'!$J$6:$J$3965,"CTMS")</f>
        <v>0</v>
      </c>
      <c r="Z53" s="10" t="n">
        <f aca="false">SUM(N53:Y53)</f>
        <v>19876.8314601537</v>
      </c>
      <c r="AA53" s="10" t="n">
        <f aca="false">(SUM(K53:M53)+Z53)*Assumptions!$E$12</f>
        <v>77503.8475420308</v>
      </c>
      <c r="AB53" s="10" t="n">
        <f aca="false">AD53*Assumptions!$E$29</f>
        <v>5309.26993953508</v>
      </c>
      <c r="AC53" s="10" t="n">
        <f aca="false">SUM(K53:M53)+Z53+AA53+AB53</f>
        <v>470332.35519172</v>
      </c>
      <c r="AD53" s="10" t="n">
        <f aca="false">D53*Assumptions!$E$17</f>
        <v>176975.664651169</v>
      </c>
      <c r="AE53" s="10" t="n">
        <f aca="false">AD53*12</f>
        <v>2123707.97581403</v>
      </c>
      <c r="AF53" s="10" t="n">
        <f aca="false">AC53-AD53</f>
        <v>293356.69054055</v>
      </c>
      <c r="AG53" s="10" t="n">
        <f aca="false">IF(A53=Assumptions!$E$7,Assumptions!$E$8,0)</f>
        <v>0</v>
      </c>
      <c r="AH53" s="10" t="n">
        <f aca="false">AI52</f>
        <v>-3652214.73851037</v>
      </c>
      <c r="AI53" s="10" t="n">
        <f aca="false">AH53+AG53-AF53</f>
        <v>-3945571.42905092</v>
      </c>
      <c r="AJ53" s="10" t="n">
        <f aca="false">SUM($AC$6:AC53)</f>
        <v>14583020.6285852</v>
      </c>
      <c r="AK53" s="10" t="n">
        <f aca="false">MAX(0,-AI53)</f>
        <v>3945571.42905092</v>
      </c>
      <c r="AL53" s="10" t="n">
        <f aca="false">Assumptions!$E$6+SUM($AG$6:AG53)-AJ53</f>
        <v>-6583020.62858516</v>
      </c>
      <c r="AM53" s="10" t="n">
        <f aca="false">SUMIFS('Vendor Months'!$H$6:$H$3965,'Vendor Months'!$A$6:$A$3965,$AS$1,'Vendor Months'!$C$6:$C$3965,A53)</f>
        <v>2080.9984</v>
      </c>
      <c r="AN53" s="10" t="n">
        <f aca="false">X53+Y53</f>
        <v>0</v>
      </c>
      <c r="AO53" s="10" t="n">
        <f aca="false">SUMIFS('Staff Months'!$I$6:$I$2345,'Staff Months'!$A$6:$A$2345,$AS$1,'Staff Months'!$C$6:$C$2345,A53)</f>
        <v>19293.75</v>
      </c>
      <c r="AP53" s="10" t="n">
        <f aca="false">SUM($AF$6:AF53)</f>
        <v>11945571.4290509</v>
      </c>
      <c r="AQ53" s="10" t="n">
        <f aca="false">AC53</f>
        <v>470332.35519172</v>
      </c>
      <c r="AR53" s="26" t="n">
        <f aca="false">IF(AI53&lt;0,1,0)</f>
        <v>1</v>
      </c>
      <c r="AS53" s="6"/>
    </row>
    <row r="54" customFormat="false" ht="15" hidden="false" customHeight="false" outlineLevel="0" collapsed="false">
      <c r="A54" s="6" t="n">
        <v>49</v>
      </c>
      <c r="B54" s="25" t="n">
        <f aca="false">EDATE('Start Here'!$B$6,A54-1)</f>
        <v>47788</v>
      </c>
      <c r="C54" s="11" t="n">
        <f aca="false">IF(A54&gt;=Assumptions!$E$13,Assumptions!$E$14*(1+Assumptions!$E$15)^INT((A54-Assumptions!$E$13)/12),0)</f>
        <v>9.826</v>
      </c>
      <c r="D54" s="11" t="n">
        <f aca="false">D53*(1-Assumptions!$E$16)+C54</f>
        <v>134.973077146184</v>
      </c>
      <c r="E54" s="11" t="n">
        <f aca="false">D54*Assumptions!$E$18</f>
        <v>3374.3269286546</v>
      </c>
      <c r="F54" s="11" t="n">
        <f aca="false">E54*Assumptions!$E$19*30/1000000</f>
        <v>25.3074519649095</v>
      </c>
      <c r="G54" s="11" t="n">
        <f aca="false">D54*Assumptions!$E$20</f>
        <v>1349.73077146184</v>
      </c>
      <c r="H54" s="11" t="n">
        <f aca="false">D54*Assumptions!$E$21</f>
        <v>269.946154292368</v>
      </c>
      <c r="I54" s="11" t="n">
        <f aca="false">SUMIFS('Staff Months'!$E$6:$E$2345,'Staff Months'!$A$6:$A$2345,$AS$1,'Staff Months'!$C$6:$C$2345,A54)</f>
        <v>23</v>
      </c>
      <c r="J54" s="11" t="n">
        <f aca="false">SUMIFS('Staff Months'!$L$6:$L$2345,'Staff Months'!$A$6:$A$2345,$AS$1,'Staff Months'!$C$6:$C$2345,A54)</f>
        <v>23</v>
      </c>
      <c r="K54" s="10" t="n">
        <f aca="false">SUMIFS('Staff Months'!$H$6:$H$2345,'Staff Months'!$A$6:$A$2345,$AS$1,'Staff Months'!$C$6:$C$2345,A54)</f>
        <v>386024.5265625</v>
      </c>
      <c r="L54" s="10" t="n">
        <f aca="false">SUMIFS('Staff Months'!$J$6:$J$2345,'Staff Months'!$A$6:$A$2345,$AS$1,'Staff Months'!$C$6:$C$2345,A54)</f>
        <v>0</v>
      </c>
      <c r="M54" s="10" t="n">
        <f aca="false">SUMIFS('Staff Months'!$K$6:$K$2345,'Staff Months'!$A$6:$A$2345,$AS$1,'Staff Months'!$C$6:$C$2345,A54)</f>
        <v>0</v>
      </c>
      <c r="N54" s="10" t="n">
        <f aca="false">SUMIFS('Vendor Months'!$G$6:$G$3965,'Vendor Months'!$A$6:$A$3965,$AS$1,'Vendor Months'!$C$6:$C$3965,A54,'Vendor Months'!$J$6:$J$3965,"INFRA")</f>
        <v>4166.35059058169</v>
      </c>
      <c r="O54" s="10" t="n">
        <f aca="false">SUMIFS('Vendor Months'!$G$6:$G$3965,'Vendor Months'!$A$6:$A$3965,$AS$1,'Vendor Months'!$C$6:$C$3965,A54,'Vendor Months'!$J$6:$J$3965,"TOOLS")</f>
        <v>1318.43059712</v>
      </c>
      <c r="P54" s="10" t="n">
        <f aca="false">SUMIFS('Vendor Months'!$G$6:$G$3965,'Vendor Months'!$A$6:$A$3965,$AS$1,'Vendor Months'!$C$6:$C$3965,A54,'Vendor Months'!$J$6:$J$3965,"LEGAL")</f>
        <v>0</v>
      </c>
      <c r="Q54" s="10" t="n">
        <f aca="false">SUMIFS('Vendor Months'!$G$6:$G$3965,'Vendor Months'!$A$6:$A$3965,$AS$1,'Vendor Months'!$C$6:$C$3965,A54,'Vendor Months'!$J$6:$J$3965,"SECURITY")</f>
        <v>0</v>
      </c>
      <c r="R54" s="10" t="n">
        <f aca="false">SUMIFS('Vendor Months'!$G$6:$G$3965,'Vendor Months'!$A$6:$A$3965,$AS$1,'Vendor Months'!$C$6:$C$3965,A54,'Vendor Months'!$J$6:$J$3965,"COMPLIANCE")</f>
        <v>0</v>
      </c>
      <c r="S54" s="10" t="n">
        <f aca="false">SUMIFS('Vendor Months'!$G$6:$G$3965,'Vendor Months'!$A$6:$A$3965,$AS$1,'Vendor Months'!$C$6:$C$3965,A54,'Vendor Months'!$J$6:$J$3965,"INSURANCE")</f>
        <v>0</v>
      </c>
      <c r="T54" s="10" t="n">
        <f aca="false">SUMIFS('Vendor Months'!$G$6:$G$3965,'Vendor Months'!$A$6:$A$3965,$AS$1,'Vendor Months'!$C$6:$C$3965,A54,'Vendor Months'!$J$6:$J$3965,"ACCOUNTING")</f>
        <v>701.915136</v>
      </c>
      <c r="U54" s="10" t="n">
        <f aca="false">SUMIFS('Vendor Months'!$G$6:$G$3965,'Vendor Months'!$A$6:$A$3965,$AS$1,'Vendor Months'!$C$6:$C$3965,A54,'Vendor Months'!$J$6:$J$3965,"SUPPORT")</f>
        <v>116.985856</v>
      </c>
      <c r="V54" s="10" t="n">
        <f aca="false">SUMIFS('Vendor Months'!$G$6:$G$3965,'Vendor Months'!$A$6:$A$3965,$AS$1,'Vendor Months'!$C$6:$C$3965,A54,'Vendor Months'!$J$6:$J$3965,"MARKETING")</f>
        <v>11842.4557251753</v>
      </c>
      <c r="W54" s="10" t="n">
        <f aca="false">SUMIFS('Vendor Months'!$G$6:$G$3965,'Vendor Months'!$A$6:$A$3965,$AS$1,'Vendor Months'!$C$6:$C$3965,A54,'Vendor Months'!$J$6:$J$3965,"ONBOARD")</f>
        <v>3448.509063168</v>
      </c>
      <c r="X54" s="10" t="n">
        <f aca="false">SUMIFS('Vendor Months'!$G$6:$G$3965,'Vendor Months'!$A$6:$A$3965,$AS$1,'Vendor Months'!$C$6:$C$3965,A54,'Vendor Months'!$J$6:$J$3965,"AI")</f>
        <v>0</v>
      </c>
      <c r="Y54" s="10" t="n">
        <f aca="false">SUMIFS('Vendor Months'!$G$6:$G$3965,'Vendor Months'!$A$6:$A$3965,$AS$1,'Vendor Months'!$C$6:$C$3965,A54,'Vendor Months'!$J$6:$J$3965,"CTMS")</f>
        <v>0</v>
      </c>
      <c r="Z54" s="10" t="n">
        <f aca="false">SUM(N54:Y54)</f>
        <v>21594.646968045</v>
      </c>
      <c r="AA54" s="10" t="n">
        <f aca="false">(SUM(K54:M54)+Z54)*Assumptions!$E$12</f>
        <v>81523.834706109</v>
      </c>
      <c r="AB54" s="10" t="n">
        <f aca="false">AD54*Assumptions!$E$29</f>
        <v>5668.86924013973</v>
      </c>
      <c r="AC54" s="10" t="n">
        <f aca="false">SUM(K54:M54)+Z54+AA54+AB54</f>
        <v>494811.877476794</v>
      </c>
      <c r="AD54" s="10" t="n">
        <f aca="false">D54*Assumptions!$E$17</f>
        <v>188962.308004658</v>
      </c>
      <c r="AE54" s="10" t="n">
        <f aca="false">AD54*12</f>
        <v>2267547.69605589</v>
      </c>
      <c r="AF54" s="10" t="n">
        <f aca="false">AC54-AD54</f>
        <v>305849.569472136</v>
      </c>
      <c r="AG54" s="10" t="n">
        <f aca="false">IF(A54=Assumptions!$E$7,Assumptions!$E$8,0)</f>
        <v>0</v>
      </c>
      <c r="AH54" s="10" t="n">
        <f aca="false">AI53</f>
        <v>-3945571.42905092</v>
      </c>
      <c r="AI54" s="10" t="n">
        <f aca="false">AH54+AG54-AF54</f>
        <v>-4251420.99852306</v>
      </c>
      <c r="AJ54" s="10" t="n">
        <f aca="false">SUM($AC$6:AC54)</f>
        <v>15077832.506062</v>
      </c>
      <c r="AK54" s="10" t="n">
        <f aca="false">MAX(0,-AI54)</f>
        <v>4251420.99852306</v>
      </c>
      <c r="AL54" s="10" t="n">
        <f aca="false">Assumptions!$E$6+SUM($AG$6:AG54)-AJ54</f>
        <v>-7077832.50606196</v>
      </c>
      <c r="AM54" s="10" t="n">
        <f aca="false">SUMIFS('Vendor Months'!$H$6:$H$3965,'Vendor Months'!$A$6:$A$3965,$AS$1,'Vendor Months'!$C$6:$C$3965,A54)</f>
        <v>2164.238336</v>
      </c>
      <c r="AN54" s="10" t="n">
        <f aca="false">X54+Y54</f>
        <v>0</v>
      </c>
      <c r="AO54" s="10" t="n">
        <f aca="false">SUMIFS('Staff Months'!$I$6:$I$2345,'Staff Months'!$A$6:$A$2345,$AS$1,'Staff Months'!$C$6:$C$2345,A54)</f>
        <v>20258.4375</v>
      </c>
      <c r="AP54" s="10" t="n">
        <f aca="false">SUM($AF$6:AF54)</f>
        <v>12251420.9985231</v>
      </c>
      <c r="AQ54" s="10" t="n">
        <f aca="false">AC54</f>
        <v>494811.877476794</v>
      </c>
      <c r="AR54" s="26" t="n">
        <f aca="false">IF(AI54&lt;0,1,0)</f>
        <v>1</v>
      </c>
      <c r="AS54" s="6"/>
    </row>
    <row r="55" customFormat="false" ht="15" hidden="false" customHeight="false" outlineLevel="0" collapsed="false">
      <c r="A55" s="6" t="n">
        <v>50</v>
      </c>
      <c r="B55" s="25" t="n">
        <f aca="false">EDATE('Start Here'!$B$6,A55-1)</f>
        <v>47818</v>
      </c>
      <c r="C55" s="11" t="n">
        <f aca="false">IF(A55&gt;=Assumptions!$E$13,Assumptions!$E$14*(1+Assumptions!$E$15)^INT((A55-Assumptions!$E$13)/12),0)</f>
        <v>9.826</v>
      </c>
      <c r="D55" s="11" t="n">
        <f aca="false">D54*(1-Assumptions!$E$16)+C55</f>
        <v>143.449346374722</v>
      </c>
      <c r="E55" s="11" t="n">
        <f aca="false">D55*Assumptions!$E$18</f>
        <v>3586.23365936805</v>
      </c>
      <c r="F55" s="11" t="n">
        <f aca="false">E55*Assumptions!$E$19*30/1000000</f>
        <v>26.8967524452604</v>
      </c>
      <c r="G55" s="11" t="n">
        <f aca="false">D55*Assumptions!$E$20</f>
        <v>1434.49346374722</v>
      </c>
      <c r="H55" s="11" t="n">
        <f aca="false">D55*Assumptions!$E$21</f>
        <v>286.898692749444</v>
      </c>
      <c r="I55" s="11" t="n">
        <f aca="false">SUMIFS('Staff Months'!$E$6:$E$2345,'Staff Months'!$A$6:$A$2345,$AS$1,'Staff Months'!$C$6:$C$2345,A55)</f>
        <v>23</v>
      </c>
      <c r="J55" s="11" t="n">
        <f aca="false">SUMIFS('Staff Months'!$L$6:$L$2345,'Staff Months'!$A$6:$A$2345,$AS$1,'Staff Months'!$C$6:$C$2345,A55)</f>
        <v>23</v>
      </c>
      <c r="K55" s="10" t="n">
        <f aca="false">SUMIFS('Staff Months'!$H$6:$H$2345,'Staff Months'!$A$6:$A$2345,$AS$1,'Staff Months'!$C$6:$C$2345,A55)</f>
        <v>386024.5265625</v>
      </c>
      <c r="L55" s="10" t="n">
        <f aca="false">SUMIFS('Staff Months'!$J$6:$J$2345,'Staff Months'!$A$6:$A$2345,$AS$1,'Staff Months'!$C$6:$C$2345,A55)</f>
        <v>0</v>
      </c>
      <c r="M55" s="10" t="n">
        <f aca="false">SUMIFS('Staff Months'!$K$6:$K$2345,'Staff Months'!$A$6:$A$2345,$AS$1,'Staff Months'!$C$6:$C$2345,A55)</f>
        <v>0</v>
      </c>
      <c r="N55" s="10" t="n">
        <f aca="false">SUMIFS('Vendor Months'!$G$6:$G$3965,'Vendor Months'!$A$6:$A$3965,$AS$1,'Vendor Months'!$C$6:$C$3965,A55,'Vendor Months'!$J$6:$J$3965,"INFRA")</f>
        <v>4336.16270903171</v>
      </c>
      <c r="O55" s="10" t="n">
        <f aca="false">SUMIFS('Vendor Months'!$G$6:$G$3965,'Vendor Months'!$A$6:$A$3965,$AS$1,'Vendor Months'!$C$6:$C$3965,A55,'Vendor Months'!$J$6:$J$3965,"TOOLS")</f>
        <v>1318.43059712</v>
      </c>
      <c r="P55" s="10" t="n">
        <f aca="false">SUMIFS('Vendor Months'!$G$6:$G$3965,'Vendor Months'!$A$6:$A$3965,$AS$1,'Vendor Months'!$C$6:$C$3965,A55,'Vendor Months'!$J$6:$J$3965,"LEGAL")</f>
        <v>14038.30272</v>
      </c>
      <c r="Q55" s="10" t="n">
        <f aca="false">SUMIFS('Vendor Months'!$G$6:$G$3965,'Vendor Months'!$A$6:$A$3965,$AS$1,'Vendor Months'!$C$6:$C$3965,A55,'Vendor Months'!$J$6:$J$3965,"SECURITY")</f>
        <v>0</v>
      </c>
      <c r="R55" s="10" t="n">
        <f aca="false">SUMIFS('Vendor Months'!$G$6:$G$3965,'Vendor Months'!$A$6:$A$3965,$AS$1,'Vendor Months'!$C$6:$C$3965,A55,'Vendor Months'!$J$6:$J$3965,"COMPLIANCE")</f>
        <v>0</v>
      </c>
      <c r="S55" s="10" t="n">
        <f aca="false">SUMIFS('Vendor Months'!$G$6:$G$3965,'Vendor Months'!$A$6:$A$3965,$AS$1,'Vendor Months'!$C$6:$C$3965,A55,'Vendor Months'!$J$6:$J$3965,"INSURANCE")</f>
        <v>0</v>
      </c>
      <c r="T55" s="10" t="n">
        <f aca="false">SUMIFS('Vendor Months'!$G$6:$G$3965,'Vendor Months'!$A$6:$A$3965,$AS$1,'Vendor Months'!$C$6:$C$3965,A55,'Vendor Months'!$J$6:$J$3965,"ACCOUNTING")</f>
        <v>701.915136</v>
      </c>
      <c r="U55" s="10" t="n">
        <f aca="false">SUMIFS('Vendor Months'!$G$6:$G$3965,'Vendor Months'!$A$6:$A$3965,$AS$1,'Vendor Months'!$C$6:$C$3965,A55,'Vendor Months'!$J$6:$J$3965,"SUPPORT")</f>
        <v>116.985856</v>
      </c>
      <c r="V55" s="10" t="n">
        <f aca="false">SUMIFS('Vendor Months'!$G$6:$G$3965,'Vendor Months'!$A$6:$A$3965,$AS$1,'Vendor Months'!$C$6:$C$3965,A55,'Vendor Months'!$J$6:$J$3965,"MARKETING")</f>
        <v>12586.1584337155</v>
      </c>
      <c r="W55" s="10" t="n">
        <f aca="false">SUMIFS('Vendor Months'!$G$6:$G$3965,'Vendor Months'!$A$6:$A$3965,$AS$1,'Vendor Months'!$C$6:$C$3965,A55,'Vendor Months'!$J$6:$J$3965,"ONBOARD")</f>
        <v>3448.509063168</v>
      </c>
      <c r="X55" s="10" t="n">
        <f aca="false">SUMIFS('Vendor Months'!$G$6:$G$3965,'Vendor Months'!$A$6:$A$3965,$AS$1,'Vendor Months'!$C$6:$C$3965,A55,'Vendor Months'!$J$6:$J$3965,"AI")</f>
        <v>0</v>
      </c>
      <c r="Y55" s="10" t="n">
        <f aca="false">SUMIFS('Vendor Months'!$G$6:$G$3965,'Vendor Months'!$A$6:$A$3965,$AS$1,'Vendor Months'!$C$6:$C$3965,A55,'Vendor Months'!$J$6:$J$3965,"CTMS")</f>
        <v>0</v>
      </c>
      <c r="Z55" s="10" t="n">
        <f aca="false">SUM(N55:Y55)</f>
        <v>36546.4645150352</v>
      </c>
      <c r="AA55" s="10" t="n">
        <f aca="false">(SUM(K55:M55)+Z55)*Assumptions!$E$12</f>
        <v>84514.1982155071</v>
      </c>
      <c r="AB55" s="10" t="n">
        <f aca="false">AD55*Assumptions!$E$29</f>
        <v>6024.87254773833</v>
      </c>
      <c r="AC55" s="10" t="n">
        <f aca="false">SUM(K55:M55)+Z55+AA55+AB55</f>
        <v>513110.061840781</v>
      </c>
      <c r="AD55" s="10" t="n">
        <f aca="false">D55*Assumptions!$E$17</f>
        <v>200829.084924611</v>
      </c>
      <c r="AE55" s="10" t="n">
        <f aca="false">AD55*12</f>
        <v>2409949.01909533</v>
      </c>
      <c r="AF55" s="10" t="n">
        <f aca="false">AC55-AD55</f>
        <v>312280.97691617</v>
      </c>
      <c r="AG55" s="10" t="n">
        <f aca="false">IF(A55=Assumptions!$E$7,Assumptions!$E$8,0)</f>
        <v>0</v>
      </c>
      <c r="AH55" s="10" t="n">
        <f aca="false">AI54</f>
        <v>-4251420.99852306</v>
      </c>
      <c r="AI55" s="10" t="n">
        <f aca="false">AH55+AG55-AF55</f>
        <v>-4563701.97543923</v>
      </c>
      <c r="AJ55" s="10" t="n">
        <f aca="false">SUM($AC$6:AC55)</f>
        <v>15590942.5679027</v>
      </c>
      <c r="AK55" s="10" t="n">
        <f aca="false">MAX(0,-AI55)</f>
        <v>4563701.97543923</v>
      </c>
      <c r="AL55" s="10" t="n">
        <f aca="false">Assumptions!$E$6+SUM($AG$6:AG55)-AJ55</f>
        <v>-7590942.56790274</v>
      </c>
      <c r="AM55" s="10" t="n">
        <f aca="false">SUMIFS('Vendor Months'!$H$6:$H$3965,'Vendor Months'!$A$6:$A$3965,$AS$1,'Vendor Months'!$C$6:$C$3965,A55)</f>
        <v>16202.541056</v>
      </c>
      <c r="AN55" s="10" t="n">
        <f aca="false">X55+Y55</f>
        <v>0</v>
      </c>
      <c r="AO55" s="10" t="n">
        <f aca="false">SUMIFS('Staff Months'!$I$6:$I$2345,'Staff Months'!$A$6:$A$2345,$AS$1,'Staff Months'!$C$6:$C$2345,A55)</f>
        <v>20258.4375</v>
      </c>
      <c r="AP55" s="10" t="n">
        <f aca="false">SUM($AF$6:AF55)</f>
        <v>12563701.9754392</v>
      </c>
      <c r="AQ55" s="10" t="n">
        <f aca="false">AC55</f>
        <v>513110.061840781</v>
      </c>
      <c r="AR55" s="26" t="n">
        <f aca="false">IF(AI55&lt;0,1,0)</f>
        <v>1</v>
      </c>
      <c r="AS55" s="6"/>
    </row>
    <row r="56" customFormat="false" ht="15" hidden="false" customHeight="false" outlineLevel="0" collapsed="false">
      <c r="A56" s="6" t="n">
        <v>51</v>
      </c>
      <c r="B56" s="25" t="n">
        <f aca="false">EDATE('Start Here'!$B$6,A56-1)</f>
        <v>47849</v>
      </c>
      <c r="C56" s="11" t="n">
        <f aca="false">IF(A56&gt;=Assumptions!$E$13,Assumptions!$E$14*(1+Assumptions!$E$15)^INT((A56-Assumptions!$E$13)/12),0)</f>
        <v>9.826</v>
      </c>
      <c r="D56" s="11" t="n">
        <f aca="false">D55*(1-Assumptions!$E$16)+C56</f>
        <v>151.840852910975</v>
      </c>
      <c r="E56" s="11" t="n">
        <f aca="false">D56*Assumptions!$E$18</f>
        <v>3796.02132277437</v>
      </c>
      <c r="F56" s="11" t="n">
        <f aca="false">E56*Assumptions!$E$19*30/1000000</f>
        <v>28.4701599208078</v>
      </c>
      <c r="G56" s="11" t="n">
        <f aca="false">D56*Assumptions!$E$20</f>
        <v>1518.40852910975</v>
      </c>
      <c r="H56" s="11" t="n">
        <f aca="false">D56*Assumptions!$E$21</f>
        <v>303.68170582195</v>
      </c>
      <c r="I56" s="11" t="n">
        <f aca="false">SUMIFS('Staff Months'!$E$6:$E$2345,'Staff Months'!$A$6:$A$2345,$AS$1,'Staff Months'!$C$6:$C$2345,A56)</f>
        <v>23</v>
      </c>
      <c r="J56" s="11" t="n">
        <f aca="false">SUMIFS('Staff Months'!$L$6:$L$2345,'Staff Months'!$A$6:$A$2345,$AS$1,'Staff Months'!$C$6:$C$2345,A56)</f>
        <v>23</v>
      </c>
      <c r="K56" s="10" t="n">
        <f aca="false">SUMIFS('Staff Months'!$H$6:$H$2345,'Staff Months'!$A$6:$A$2345,$AS$1,'Staff Months'!$C$6:$C$2345,A56)</f>
        <v>386024.5265625</v>
      </c>
      <c r="L56" s="10" t="n">
        <f aca="false">SUMIFS('Staff Months'!$J$6:$J$2345,'Staff Months'!$A$6:$A$2345,$AS$1,'Staff Months'!$C$6:$C$2345,A56)</f>
        <v>0</v>
      </c>
      <c r="M56" s="10" t="n">
        <f aca="false">SUMIFS('Staff Months'!$K$6:$K$2345,'Staff Months'!$A$6:$A$2345,$AS$1,'Staff Months'!$C$6:$C$2345,A56)</f>
        <v>0</v>
      </c>
      <c r="N56" s="10" t="n">
        <f aca="false">SUMIFS('Vendor Months'!$G$6:$G$3965,'Vendor Months'!$A$6:$A$3965,$AS$1,'Vendor Months'!$C$6:$C$3965,A56,'Vendor Months'!$J$6:$J$3965,"INFRA")</f>
        <v>4504.27670629723</v>
      </c>
      <c r="O56" s="10" t="n">
        <f aca="false">SUMIFS('Vendor Months'!$G$6:$G$3965,'Vendor Months'!$A$6:$A$3965,$AS$1,'Vendor Months'!$C$6:$C$3965,A56,'Vendor Months'!$J$6:$J$3965,"TOOLS")</f>
        <v>1318.43059712</v>
      </c>
      <c r="P56" s="10" t="n">
        <f aca="false">SUMIFS('Vendor Months'!$G$6:$G$3965,'Vendor Months'!$A$6:$A$3965,$AS$1,'Vendor Months'!$C$6:$C$3965,A56,'Vendor Months'!$J$6:$J$3965,"LEGAL")</f>
        <v>0</v>
      </c>
      <c r="Q56" s="10" t="n">
        <f aca="false">SUMIFS('Vendor Months'!$G$6:$G$3965,'Vendor Months'!$A$6:$A$3965,$AS$1,'Vendor Months'!$C$6:$C$3965,A56,'Vendor Months'!$J$6:$J$3965,"SECURITY")</f>
        <v>0</v>
      </c>
      <c r="R56" s="10" t="n">
        <f aca="false">SUMIFS('Vendor Months'!$G$6:$G$3965,'Vendor Months'!$A$6:$A$3965,$AS$1,'Vendor Months'!$C$6:$C$3965,A56,'Vendor Months'!$J$6:$J$3965,"COMPLIANCE")</f>
        <v>0</v>
      </c>
      <c r="S56" s="10" t="n">
        <f aca="false">SUMIFS('Vendor Months'!$G$6:$G$3965,'Vendor Months'!$A$6:$A$3965,$AS$1,'Vendor Months'!$C$6:$C$3965,A56,'Vendor Months'!$J$6:$J$3965,"INSURANCE")</f>
        <v>0</v>
      </c>
      <c r="T56" s="10" t="n">
        <f aca="false">SUMIFS('Vendor Months'!$G$6:$G$3965,'Vendor Months'!$A$6:$A$3965,$AS$1,'Vendor Months'!$C$6:$C$3965,A56,'Vendor Months'!$J$6:$J$3965,"ACCOUNTING")</f>
        <v>701.915136</v>
      </c>
      <c r="U56" s="10" t="n">
        <f aca="false">SUMIFS('Vendor Months'!$G$6:$G$3965,'Vendor Months'!$A$6:$A$3965,$AS$1,'Vendor Months'!$C$6:$C$3965,A56,'Vendor Months'!$J$6:$J$3965,"SUPPORT")</f>
        <v>116.985856</v>
      </c>
      <c r="V56" s="10" t="n">
        <f aca="false">SUMIFS('Vendor Months'!$G$6:$G$3965,'Vendor Months'!$A$6:$A$3965,$AS$1,'Vendor Months'!$C$6:$C$3965,A56,'Vendor Months'!$J$6:$J$3965,"MARKETING")</f>
        <v>13322.4241151704</v>
      </c>
      <c r="W56" s="10" t="n">
        <f aca="false">SUMIFS('Vendor Months'!$G$6:$G$3965,'Vendor Months'!$A$6:$A$3965,$AS$1,'Vendor Months'!$C$6:$C$3965,A56,'Vendor Months'!$J$6:$J$3965,"ONBOARD")</f>
        <v>3448.509063168</v>
      </c>
      <c r="X56" s="10" t="n">
        <f aca="false">SUMIFS('Vendor Months'!$G$6:$G$3965,'Vendor Months'!$A$6:$A$3965,$AS$1,'Vendor Months'!$C$6:$C$3965,A56,'Vendor Months'!$J$6:$J$3965,"AI")</f>
        <v>0</v>
      </c>
      <c r="Y56" s="10" t="n">
        <f aca="false">SUMIFS('Vendor Months'!$G$6:$G$3965,'Vendor Months'!$A$6:$A$3965,$AS$1,'Vendor Months'!$C$6:$C$3965,A56,'Vendor Months'!$J$6:$J$3965,"CTMS")</f>
        <v>0</v>
      </c>
      <c r="Z56" s="10" t="n">
        <f aca="false">SUM(N56:Y56)</f>
        <v>23412.5414737556</v>
      </c>
      <c r="AA56" s="10" t="n">
        <f aca="false">(SUM(K56:M56)+Z56)*Assumptions!$E$12</f>
        <v>81887.4136072512</v>
      </c>
      <c r="AB56" s="10" t="n">
        <f aca="false">AD56*Assumptions!$E$29</f>
        <v>6377.31582226094</v>
      </c>
      <c r="AC56" s="10" t="n">
        <f aca="false">SUM(K56:M56)+Z56+AA56+AB56</f>
        <v>497701.797465768</v>
      </c>
      <c r="AD56" s="10" t="n">
        <f aca="false">D56*Assumptions!$E$17</f>
        <v>212577.194075365</v>
      </c>
      <c r="AE56" s="10" t="n">
        <f aca="false">AD56*12</f>
        <v>2550926.32890438</v>
      </c>
      <c r="AF56" s="10" t="n">
        <f aca="false">AC56-AD56</f>
        <v>285124.603390403</v>
      </c>
      <c r="AG56" s="10" t="n">
        <f aca="false">IF(A56=Assumptions!$E$7,Assumptions!$E$8,0)</f>
        <v>0</v>
      </c>
      <c r="AH56" s="10" t="n">
        <f aca="false">AI55</f>
        <v>-4563701.97543923</v>
      </c>
      <c r="AI56" s="10" t="n">
        <f aca="false">AH56+AG56-AF56</f>
        <v>-4848826.57882963</v>
      </c>
      <c r="AJ56" s="10" t="n">
        <f aca="false">SUM($AC$6:AC56)</f>
        <v>16088644.3653685</v>
      </c>
      <c r="AK56" s="10" t="n">
        <f aca="false">MAX(0,-AI56)</f>
        <v>4848826.57882963</v>
      </c>
      <c r="AL56" s="10" t="n">
        <f aca="false">Assumptions!$E$6+SUM($AG$6:AG56)-AJ56</f>
        <v>-8088644.36536851</v>
      </c>
      <c r="AM56" s="10" t="n">
        <f aca="false">SUMIFS('Vendor Months'!$H$6:$H$3965,'Vendor Months'!$A$6:$A$3965,$AS$1,'Vendor Months'!$C$6:$C$3965,A56)</f>
        <v>2164.238336</v>
      </c>
      <c r="AN56" s="10" t="n">
        <f aca="false">X56+Y56</f>
        <v>0</v>
      </c>
      <c r="AO56" s="10" t="n">
        <f aca="false">SUMIFS('Staff Months'!$I$6:$I$2345,'Staff Months'!$A$6:$A$2345,$AS$1,'Staff Months'!$C$6:$C$2345,A56)</f>
        <v>20258.4375</v>
      </c>
      <c r="AP56" s="10" t="n">
        <f aca="false">SUM($AF$6:AF56)</f>
        <v>12848826.5788296</v>
      </c>
      <c r="AQ56" s="10" t="n">
        <f aca="false">AC56</f>
        <v>497701.797465768</v>
      </c>
      <c r="AR56" s="26" t="n">
        <f aca="false">IF(AI56&lt;0,1,0)</f>
        <v>1</v>
      </c>
      <c r="AS56" s="6"/>
    </row>
    <row r="57" customFormat="false" ht="15" hidden="false" customHeight="false" outlineLevel="0" collapsed="false">
      <c r="A57" s="6" t="n">
        <v>52</v>
      </c>
      <c r="B57" s="25" t="n">
        <f aca="false">EDATE('Start Here'!$B$6,A57-1)</f>
        <v>47880</v>
      </c>
      <c r="C57" s="11" t="n">
        <f aca="false">IF(A57&gt;=Assumptions!$E$13,Assumptions!$E$14*(1+Assumptions!$E$15)^INT((A57-Assumptions!$E$13)/12),0)</f>
        <v>9.826</v>
      </c>
      <c r="D57" s="11" t="n">
        <f aca="false">D56*(1-Assumptions!$E$16)+C57</f>
        <v>160.148444381865</v>
      </c>
      <c r="E57" s="11" t="n">
        <f aca="false">D57*Assumptions!$E$18</f>
        <v>4003.71110954663</v>
      </c>
      <c r="F57" s="11" t="n">
        <f aca="false">E57*Assumptions!$E$19*30/1000000</f>
        <v>30.0278333215997</v>
      </c>
      <c r="G57" s="11" t="n">
        <f aca="false">D57*Assumptions!$E$20</f>
        <v>1601.48444381865</v>
      </c>
      <c r="H57" s="11" t="n">
        <f aca="false">D57*Assumptions!$E$21</f>
        <v>320.29688876373</v>
      </c>
      <c r="I57" s="11" t="n">
        <f aca="false">SUMIFS('Staff Months'!$E$6:$E$2345,'Staff Months'!$A$6:$A$2345,$AS$1,'Staff Months'!$C$6:$C$2345,A57)</f>
        <v>23</v>
      </c>
      <c r="J57" s="11" t="n">
        <f aca="false">SUMIFS('Staff Months'!$L$6:$L$2345,'Staff Months'!$A$6:$A$2345,$AS$1,'Staff Months'!$C$6:$C$2345,A57)</f>
        <v>23</v>
      </c>
      <c r="K57" s="10" t="n">
        <f aca="false">SUMIFS('Staff Months'!$H$6:$H$2345,'Staff Months'!$A$6:$A$2345,$AS$1,'Staff Months'!$C$6:$C$2345,A57)</f>
        <v>386024.5265625</v>
      </c>
      <c r="L57" s="10" t="n">
        <f aca="false">SUMIFS('Staff Months'!$J$6:$J$2345,'Staff Months'!$A$6:$A$2345,$AS$1,'Staff Months'!$C$6:$C$2345,A57)</f>
        <v>0</v>
      </c>
      <c r="M57" s="10" t="n">
        <f aca="false">SUMIFS('Staff Months'!$K$6:$K$2345,'Staff Months'!$A$6:$A$2345,$AS$1,'Staff Months'!$C$6:$C$2345,A57)</f>
        <v>0</v>
      </c>
      <c r="N57" s="10" t="n">
        <f aca="false">SUMIFS('Vendor Months'!$G$6:$G$3965,'Vendor Months'!$A$6:$A$3965,$AS$1,'Vendor Months'!$C$6:$C$3965,A57,'Vendor Months'!$J$6:$J$3965,"INFRA")</f>
        <v>4670.7095635901</v>
      </c>
      <c r="O57" s="10" t="n">
        <f aca="false">SUMIFS('Vendor Months'!$G$6:$G$3965,'Vendor Months'!$A$6:$A$3965,$AS$1,'Vendor Months'!$C$6:$C$3965,A57,'Vendor Months'!$J$6:$J$3965,"TOOLS")</f>
        <v>1318.43059712</v>
      </c>
      <c r="P57" s="10" t="n">
        <f aca="false">SUMIFS('Vendor Months'!$G$6:$G$3965,'Vendor Months'!$A$6:$A$3965,$AS$1,'Vendor Months'!$C$6:$C$3965,A57,'Vendor Months'!$J$6:$J$3965,"LEGAL")</f>
        <v>0</v>
      </c>
      <c r="Q57" s="10" t="n">
        <f aca="false">SUMIFS('Vendor Months'!$G$6:$G$3965,'Vendor Months'!$A$6:$A$3965,$AS$1,'Vendor Months'!$C$6:$C$3965,A57,'Vendor Months'!$J$6:$J$3965,"SECURITY")</f>
        <v>0</v>
      </c>
      <c r="R57" s="10" t="n">
        <f aca="false">SUMIFS('Vendor Months'!$G$6:$G$3965,'Vendor Months'!$A$6:$A$3965,$AS$1,'Vendor Months'!$C$6:$C$3965,A57,'Vendor Months'!$J$6:$J$3965,"COMPLIANCE")</f>
        <v>0</v>
      </c>
      <c r="S57" s="10" t="n">
        <f aca="false">SUMIFS('Vendor Months'!$G$6:$G$3965,'Vendor Months'!$A$6:$A$3965,$AS$1,'Vendor Months'!$C$6:$C$3965,A57,'Vendor Months'!$J$6:$J$3965,"INSURANCE")</f>
        <v>0</v>
      </c>
      <c r="T57" s="10" t="n">
        <f aca="false">SUMIFS('Vendor Months'!$G$6:$G$3965,'Vendor Months'!$A$6:$A$3965,$AS$1,'Vendor Months'!$C$6:$C$3965,A57,'Vendor Months'!$J$6:$J$3965,"ACCOUNTING")</f>
        <v>701.915136</v>
      </c>
      <c r="U57" s="10" t="n">
        <f aca="false">SUMIFS('Vendor Months'!$G$6:$G$3965,'Vendor Months'!$A$6:$A$3965,$AS$1,'Vendor Months'!$C$6:$C$3965,A57,'Vendor Months'!$J$6:$J$3965,"SUPPORT")</f>
        <v>116.985856</v>
      </c>
      <c r="V57" s="10" t="n">
        <f aca="false">SUMIFS('Vendor Months'!$G$6:$G$3965,'Vendor Months'!$A$6:$A$3965,$AS$1,'Vendor Months'!$C$6:$C$3965,A57,'Vendor Months'!$J$6:$J$3965,"MARKETING")</f>
        <v>14051.3271398107</v>
      </c>
      <c r="W57" s="10" t="n">
        <f aca="false">SUMIFS('Vendor Months'!$G$6:$G$3965,'Vendor Months'!$A$6:$A$3965,$AS$1,'Vendor Months'!$C$6:$C$3965,A57,'Vendor Months'!$J$6:$J$3965,"ONBOARD")</f>
        <v>3448.509063168</v>
      </c>
      <c r="X57" s="10" t="n">
        <f aca="false">SUMIFS('Vendor Months'!$G$6:$G$3965,'Vendor Months'!$A$6:$A$3965,$AS$1,'Vendor Months'!$C$6:$C$3965,A57,'Vendor Months'!$J$6:$J$3965,"AI")</f>
        <v>0</v>
      </c>
      <c r="Y57" s="10" t="n">
        <f aca="false">SUMIFS('Vendor Months'!$G$6:$G$3965,'Vendor Months'!$A$6:$A$3965,$AS$1,'Vendor Months'!$C$6:$C$3965,A57,'Vendor Months'!$J$6:$J$3965,"CTMS")</f>
        <v>0</v>
      </c>
      <c r="Z57" s="10" t="n">
        <f aca="false">SUM(N57:Y57)</f>
        <v>24307.8773556888</v>
      </c>
      <c r="AA57" s="10" t="n">
        <f aca="false">(SUM(K57:M57)+Z57)*Assumptions!$E$12</f>
        <v>82066.4807836378</v>
      </c>
      <c r="AB57" s="10" t="n">
        <f aca="false">AD57*Assumptions!$E$29</f>
        <v>6726.23466403833</v>
      </c>
      <c r="AC57" s="10" t="n">
        <f aca="false">SUM(K57:M57)+Z57+AA57+AB57</f>
        <v>499125.119365865</v>
      </c>
      <c r="AD57" s="10" t="n">
        <f aca="false">D57*Assumptions!$E$17</f>
        <v>224207.822134611</v>
      </c>
      <c r="AE57" s="10" t="n">
        <f aca="false">AD57*12</f>
        <v>2690493.86561533</v>
      </c>
      <c r="AF57" s="10" t="n">
        <f aca="false">AC57-AD57</f>
        <v>274917.297231254</v>
      </c>
      <c r="AG57" s="10" t="n">
        <f aca="false">IF(A57=Assumptions!$E$7,Assumptions!$E$8,0)</f>
        <v>0</v>
      </c>
      <c r="AH57" s="10" t="n">
        <f aca="false">AI56</f>
        <v>-4848826.57882963</v>
      </c>
      <c r="AI57" s="10" t="n">
        <f aca="false">AH57+AG57-AF57</f>
        <v>-5123743.87606088</v>
      </c>
      <c r="AJ57" s="10" t="n">
        <f aca="false">SUM($AC$6:AC57)</f>
        <v>16587769.4847344</v>
      </c>
      <c r="AK57" s="10" t="n">
        <f aca="false">MAX(0,-AI57)</f>
        <v>5123743.87606088</v>
      </c>
      <c r="AL57" s="10" t="n">
        <f aca="false">Assumptions!$E$6+SUM($AG$6:AG57)-AJ57</f>
        <v>-8587769.48473437</v>
      </c>
      <c r="AM57" s="10" t="n">
        <f aca="false">SUMIFS('Vendor Months'!$H$6:$H$3965,'Vendor Months'!$A$6:$A$3965,$AS$1,'Vendor Months'!$C$6:$C$3965,A57)</f>
        <v>2164.238336</v>
      </c>
      <c r="AN57" s="10" t="n">
        <f aca="false">X57+Y57</f>
        <v>0</v>
      </c>
      <c r="AO57" s="10" t="n">
        <f aca="false">SUMIFS('Staff Months'!$I$6:$I$2345,'Staff Months'!$A$6:$A$2345,$AS$1,'Staff Months'!$C$6:$C$2345,A57)</f>
        <v>20258.4375</v>
      </c>
      <c r="AP57" s="10" t="n">
        <f aca="false">SUM($AF$6:AF57)</f>
        <v>13123743.8760609</v>
      </c>
      <c r="AQ57" s="10" t="n">
        <f aca="false">AC57</f>
        <v>499125.119365865</v>
      </c>
      <c r="AR57" s="26" t="n">
        <f aca="false">IF(AI57&lt;0,1,0)</f>
        <v>1</v>
      </c>
      <c r="AS57" s="6"/>
    </row>
    <row r="58" customFormat="false" ht="15" hidden="false" customHeight="false" outlineLevel="0" collapsed="false">
      <c r="A58" s="6" t="n">
        <v>53</v>
      </c>
      <c r="B58" s="25" t="n">
        <f aca="false">EDATE('Start Here'!$B$6,A58-1)</f>
        <v>47908</v>
      </c>
      <c r="C58" s="11" t="n">
        <f aca="false">IF(A58&gt;=Assumptions!$E$13,Assumptions!$E$14*(1+Assumptions!$E$15)^INT((A58-Assumptions!$E$13)/12),0)</f>
        <v>9.826</v>
      </c>
      <c r="D58" s="11" t="n">
        <f aca="false">D57*(1-Assumptions!$E$16)+C58</f>
        <v>168.372959938046</v>
      </c>
      <c r="E58" s="11" t="n">
        <f aca="false">D58*Assumptions!$E$18</f>
        <v>4209.32399845116</v>
      </c>
      <c r="F58" s="11" t="n">
        <f aca="false">E58*Assumptions!$E$19*30/1000000</f>
        <v>31.5699299883837</v>
      </c>
      <c r="G58" s="11" t="n">
        <f aca="false">D58*Assumptions!$E$20</f>
        <v>1683.72959938046</v>
      </c>
      <c r="H58" s="11" t="n">
        <f aca="false">D58*Assumptions!$E$21</f>
        <v>336.745919876093</v>
      </c>
      <c r="I58" s="11" t="n">
        <f aca="false">SUMIFS('Staff Months'!$E$6:$E$2345,'Staff Months'!$A$6:$A$2345,$AS$1,'Staff Months'!$C$6:$C$2345,A58)</f>
        <v>23</v>
      </c>
      <c r="J58" s="11" t="n">
        <f aca="false">SUMIFS('Staff Months'!$L$6:$L$2345,'Staff Months'!$A$6:$A$2345,$AS$1,'Staff Months'!$C$6:$C$2345,A58)</f>
        <v>23</v>
      </c>
      <c r="K58" s="10" t="n">
        <f aca="false">SUMIFS('Staff Months'!$H$6:$H$2345,'Staff Months'!$A$6:$A$2345,$AS$1,'Staff Months'!$C$6:$C$2345,A58)</f>
        <v>386024.5265625</v>
      </c>
      <c r="L58" s="10" t="n">
        <f aca="false">SUMIFS('Staff Months'!$J$6:$J$2345,'Staff Months'!$A$6:$A$2345,$AS$1,'Staff Months'!$C$6:$C$2345,A58)</f>
        <v>0</v>
      </c>
      <c r="M58" s="10" t="n">
        <f aca="false">SUMIFS('Staff Months'!$K$6:$K$2345,'Staff Months'!$A$6:$A$2345,$AS$1,'Staff Months'!$C$6:$C$2345,A58)</f>
        <v>0</v>
      </c>
      <c r="N58" s="10" t="n">
        <f aca="false">SUMIFS('Vendor Months'!$G$6:$G$3965,'Vendor Months'!$A$6:$A$3965,$AS$1,'Vendor Months'!$C$6:$C$3965,A58,'Vendor Months'!$J$6:$J$3965,"INFRA")</f>
        <v>4835.47809231004</v>
      </c>
      <c r="O58" s="10" t="n">
        <f aca="false">SUMIFS('Vendor Months'!$G$6:$G$3965,'Vendor Months'!$A$6:$A$3965,$AS$1,'Vendor Months'!$C$6:$C$3965,A58,'Vendor Months'!$J$6:$J$3965,"TOOLS")</f>
        <v>1318.43059712</v>
      </c>
      <c r="P58" s="10" t="n">
        <f aca="false">SUMIFS('Vendor Months'!$G$6:$G$3965,'Vendor Months'!$A$6:$A$3965,$AS$1,'Vendor Months'!$C$6:$C$3965,A58,'Vendor Months'!$J$6:$J$3965,"LEGAL")</f>
        <v>0</v>
      </c>
      <c r="Q58" s="10" t="n">
        <f aca="false">SUMIFS('Vendor Months'!$G$6:$G$3965,'Vendor Months'!$A$6:$A$3965,$AS$1,'Vendor Months'!$C$6:$C$3965,A58,'Vendor Months'!$J$6:$J$3965,"SECURITY")</f>
        <v>0</v>
      </c>
      <c r="R58" s="10" t="n">
        <f aca="false">SUMIFS('Vendor Months'!$G$6:$G$3965,'Vendor Months'!$A$6:$A$3965,$AS$1,'Vendor Months'!$C$6:$C$3965,A58,'Vendor Months'!$J$6:$J$3965,"COMPLIANCE")</f>
        <v>0</v>
      </c>
      <c r="S58" s="10" t="n">
        <f aca="false">SUMIFS('Vendor Months'!$G$6:$G$3965,'Vendor Months'!$A$6:$A$3965,$AS$1,'Vendor Months'!$C$6:$C$3965,A58,'Vendor Months'!$J$6:$J$3965,"INSURANCE")</f>
        <v>0</v>
      </c>
      <c r="T58" s="10" t="n">
        <f aca="false">SUMIFS('Vendor Months'!$G$6:$G$3965,'Vendor Months'!$A$6:$A$3965,$AS$1,'Vendor Months'!$C$6:$C$3965,A58,'Vendor Months'!$J$6:$J$3965,"ACCOUNTING")</f>
        <v>701.915136</v>
      </c>
      <c r="U58" s="10" t="n">
        <f aca="false">SUMIFS('Vendor Months'!$G$6:$G$3965,'Vendor Months'!$A$6:$A$3965,$AS$1,'Vendor Months'!$C$6:$C$3965,A58,'Vendor Months'!$J$6:$J$3965,"SUPPORT")</f>
        <v>116.985856</v>
      </c>
      <c r="V58" s="10" t="n">
        <f aca="false">SUMIFS('Vendor Months'!$G$6:$G$3965,'Vendor Months'!$A$6:$A$3965,$AS$1,'Vendor Months'!$C$6:$C$3965,A58,'Vendor Months'!$J$6:$J$3965,"MARKETING")</f>
        <v>14772.9411342046</v>
      </c>
      <c r="W58" s="10" t="n">
        <f aca="false">SUMIFS('Vendor Months'!$G$6:$G$3965,'Vendor Months'!$A$6:$A$3965,$AS$1,'Vendor Months'!$C$6:$C$3965,A58,'Vendor Months'!$J$6:$J$3965,"ONBOARD")</f>
        <v>3448.509063168</v>
      </c>
      <c r="X58" s="10" t="n">
        <f aca="false">SUMIFS('Vendor Months'!$G$6:$G$3965,'Vendor Months'!$A$6:$A$3965,$AS$1,'Vendor Months'!$C$6:$C$3965,A58,'Vendor Months'!$J$6:$J$3965,"AI")</f>
        <v>0</v>
      </c>
      <c r="Y58" s="10" t="n">
        <f aca="false">SUMIFS('Vendor Months'!$G$6:$G$3965,'Vendor Months'!$A$6:$A$3965,$AS$1,'Vendor Months'!$C$6:$C$3965,A58,'Vendor Months'!$J$6:$J$3965,"CTMS")</f>
        <v>0</v>
      </c>
      <c r="Z58" s="10" t="n">
        <f aca="false">SUM(N58:Y58)</f>
        <v>25194.2598788026</v>
      </c>
      <c r="AA58" s="10" t="n">
        <f aca="false">(SUM(K58:M58)+Z58)*Assumptions!$E$12</f>
        <v>82243.7572882606</v>
      </c>
      <c r="AB58" s="10" t="n">
        <f aca="false">AD58*Assumptions!$E$29</f>
        <v>7071.66431739795</v>
      </c>
      <c r="AC58" s="10" t="n">
        <f aca="false">SUM(K58:M58)+Z58+AA58+AB58</f>
        <v>500534.208046961</v>
      </c>
      <c r="AD58" s="10" t="n">
        <f aca="false">D58*Assumptions!$E$17</f>
        <v>235722.143913265</v>
      </c>
      <c r="AE58" s="10" t="n">
        <f aca="false">AD58*12</f>
        <v>2828665.72695918</v>
      </c>
      <c r="AF58" s="10" t="n">
        <f aca="false">AC58-AD58</f>
        <v>264812.064133696</v>
      </c>
      <c r="AG58" s="10" t="n">
        <f aca="false">IF(A58=Assumptions!$E$7,Assumptions!$E$8,0)</f>
        <v>0</v>
      </c>
      <c r="AH58" s="10" t="n">
        <f aca="false">AI57</f>
        <v>-5123743.87606088</v>
      </c>
      <c r="AI58" s="10" t="n">
        <f aca="false">AH58+AG58-AF58</f>
        <v>-5388555.94019458</v>
      </c>
      <c r="AJ58" s="10" t="n">
        <f aca="false">SUM($AC$6:AC58)</f>
        <v>17088303.6927813</v>
      </c>
      <c r="AK58" s="10" t="n">
        <f aca="false">MAX(0,-AI58)</f>
        <v>5388555.94019458</v>
      </c>
      <c r="AL58" s="10" t="n">
        <f aca="false">Assumptions!$E$6+SUM($AG$6:AG58)-AJ58</f>
        <v>-9088303.69278133</v>
      </c>
      <c r="AM58" s="10" t="n">
        <f aca="false">SUMIFS('Vendor Months'!$H$6:$H$3965,'Vendor Months'!$A$6:$A$3965,$AS$1,'Vendor Months'!$C$6:$C$3965,A58)</f>
        <v>2164.238336</v>
      </c>
      <c r="AN58" s="10" t="n">
        <f aca="false">X58+Y58</f>
        <v>0</v>
      </c>
      <c r="AO58" s="10" t="n">
        <f aca="false">SUMIFS('Staff Months'!$I$6:$I$2345,'Staff Months'!$A$6:$A$2345,$AS$1,'Staff Months'!$C$6:$C$2345,A58)</f>
        <v>20258.4375</v>
      </c>
      <c r="AP58" s="10" t="n">
        <f aca="false">SUM($AF$6:AF58)</f>
        <v>13388555.9401946</v>
      </c>
      <c r="AQ58" s="10" t="n">
        <f aca="false">AC58</f>
        <v>500534.208046961</v>
      </c>
      <c r="AR58" s="26" t="n">
        <f aca="false">IF(AI58&lt;0,1,0)</f>
        <v>1</v>
      </c>
      <c r="AS58" s="6"/>
    </row>
    <row r="59" customFormat="false" ht="15" hidden="false" customHeight="false" outlineLevel="0" collapsed="false">
      <c r="A59" s="6" t="n">
        <v>54</v>
      </c>
      <c r="B59" s="25" t="n">
        <f aca="false">EDATE('Start Here'!$B$6,A59-1)</f>
        <v>47939</v>
      </c>
      <c r="C59" s="11" t="n">
        <f aca="false">IF(A59&gt;=Assumptions!$E$13,Assumptions!$E$14*(1+Assumptions!$E$15)^INT((A59-Assumptions!$E$13)/12),0)</f>
        <v>9.826</v>
      </c>
      <c r="D59" s="11" t="n">
        <f aca="false">D58*(1-Assumptions!$E$16)+C59</f>
        <v>176.515230338666</v>
      </c>
      <c r="E59" s="11" t="n">
        <f aca="false">D59*Assumptions!$E$18</f>
        <v>4412.88075846665</v>
      </c>
      <c r="F59" s="11" t="n">
        <f aca="false">E59*Assumptions!$E$19*30/1000000</f>
        <v>33.0966056884999</v>
      </c>
      <c r="G59" s="11" t="n">
        <f aca="false">D59*Assumptions!$E$20</f>
        <v>1765.15230338666</v>
      </c>
      <c r="H59" s="11" t="n">
        <f aca="false">D59*Assumptions!$E$21</f>
        <v>353.030460677332</v>
      </c>
      <c r="I59" s="11" t="n">
        <f aca="false">SUMIFS('Staff Months'!$E$6:$E$2345,'Staff Months'!$A$6:$A$2345,$AS$1,'Staff Months'!$C$6:$C$2345,A59)</f>
        <v>23</v>
      </c>
      <c r="J59" s="11" t="n">
        <f aca="false">SUMIFS('Staff Months'!$L$6:$L$2345,'Staff Months'!$A$6:$A$2345,$AS$1,'Staff Months'!$C$6:$C$2345,A59)</f>
        <v>23</v>
      </c>
      <c r="K59" s="10" t="n">
        <f aca="false">SUMIFS('Staff Months'!$H$6:$H$2345,'Staff Months'!$A$6:$A$2345,$AS$1,'Staff Months'!$C$6:$C$2345,A59)</f>
        <v>386024.5265625</v>
      </c>
      <c r="L59" s="10" t="n">
        <f aca="false">SUMIFS('Staff Months'!$J$6:$J$2345,'Staff Months'!$A$6:$A$2345,$AS$1,'Staff Months'!$C$6:$C$2345,A59)</f>
        <v>0</v>
      </c>
      <c r="M59" s="10" t="n">
        <f aca="false">SUMIFS('Staff Months'!$K$6:$K$2345,'Staff Months'!$A$6:$A$2345,$AS$1,'Staff Months'!$C$6:$C$2345,A59)</f>
        <v>0</v>
      </c>
      <c r="N59" s="10" t="n">
        <f aca="false">SUMIFS('Vendor Months'!$G$6:$G$3965,'Vendor Months'!$A$6:$A$3965,$AS$1,'Vendor Months'!$C$6:$C$3965,A59,'Vendor Months'!$J$6:$J$3965,"INFRA")</f>
        <v>4998.59893574278</v>
      </c>
      <c r="O59" s="10" t="n">
        <f aca="false">SUMIFS('Vendor Months'!$G$6:$G$3965,'Vendor Months'!$A$6:$A$3965,$AS$1,'Vendor Months'!$C$6:$C$3965,A59,'Vendor Months'!$J$6:$J$3965,"TOOLS")</f>
        <v>1318.43059712</v>
      </c>
      <c r="P59" s="10" t="n">
        <f aca="false">SUMIFS('Vendor Months'!$G$6:$G$3965,'Vendor Months'!$A$6:$A$3965,$AS$1,'Vendor Months'!$C$6:$C$3965,A59,'Vendor Months'!$J$6:$J$3965,"LEGAL")</f>
        <v>0</v>
      </c>
      <c r="Q59" s="10" t="n">
        <f aca="false">SUMIFS('Vendor Months'!$G$6:$G$3965,'Vendor Months'!$A$6:$A$3965,$AS$1,'Vendor Months'!$C$6:$C$3965,A59,'Vendor Months'!$J$6:$J$3965,"SECURITY")</f>
        <v>0</v>
      </c>
      <c r="R59" s="10" t="n">
        <f aca="false">SUMIFS('Vendor Months'!$G$6:$G$3965,'Vendor Months'!$A$6:$A$3965,$AS$1,'Vendor Months'!$C$6:$C$3965,A59,'Vendor Months'!$J$6:$J$3965,"COMPLIANCE")</f>
        <v>0</v>
      </c>
      <c r="S59" s="10" t="n">
        <f aca="false">SUMIFS('Vendor Months'!$G$6:$G$3965,'Vendor Months'!$A$6:$A$3965,$AS$1,'Vendor Months'!$C$6:$C$3965,A59,'Vendor Months'!$J$6:$J$3965,"INSURANCE")</f>
        <v>0</v>
      </c>
      <c r="T59" s="10" t="n">
        <f aca="false">SUMIFS('Vendor Months'!$G$6:$G$3965,'Vendor Months'!$A$6:$A$3965,$AS$1,'Vendor Months'!$C$6:$C$3965,A59,'Vendor Months'!$J$6:$J$3965,"ACCOUNTING")</f>
        <v>701.915136</v>
      </c>
      <c r="U59" s="10" t="n">
        <f aca="false">SUMIFS('Vendor Months'!$G$6:$G$3965,'Vendor Months'!$A$6:$A$3965,$AS$1,'Vendor Months'!$C$6:$C$3965,A59,'Vendor Months'!$J$6:$J$3965,"SUPPORT")</f>
        <v>116.985856</v>
      </c>
      <c r="V59" s="10" t="n">
        <f aca="false">SUMIFS('Vendor Months'!$G$6:$G$3965,'Vendor Months'!$A$6:$A$3965,$AS$1,'Vendor Months'!$C$6:$C$3965,A59,'Vendor Months'!$J$6:$J$3965,"MARKETING")</f>
        <v>15487.3389886545</v>
      </c>
      <c r="W59" s="10" t="n">
        <f aca="false">SUMIFS('Vendor Months'!$G$6:$G$3965,'Vendor Months'!$A$6:$A$3965,$AS$1,'Vendor Months'!$C$6:$C$3965,A59,'Vendor Months'!$J$6:$J$3965,"ONBOARD")</f>
        <v>3448.509063168</v>
      </c>
      <c r="X59" s="10" t="n">
        <f aca="false">SUMIFS('Vendor Months'!$G$6:$G$3965,'Vendor Months'!$A$6:$A$3965,$AS$1,'Vendor Months'!$C$6:$C$3965,A59,'Vendor Months'!$J$6:$J$3965,"AI")</f>
        <v>0</v>
      </c>
      <c r="Y59" s="10" t="n">
        <f aca="false">SUMIFS('Vendor Months'!$G$6:$G$3965,'Vendor Months'!$A$6:$A$3965,$AS$1,'Vendor Months'!$C$6:$C$3965,A59,'Vendor Months'!$J$6:$J$3965,"CTMS")</f>
        <v>0</v>
      </c>
      <c r="Z59" s="10" t="n">
        <f aca="false">SUM(N59:Y59)</f>
        <v>26071.7785766853</v>
      </c>
      <c r="AA59" s="10" t="n">
        <f aca="false">(SUM(K59:M59)+Z59)*Assumptions!$E$12</f>
        <v>82419.2610278371</v>
      </c>
      <c r="AB59" s="10" t="n">
        <f aca="false">AD59*Assumptions!$E$29</f>
        <v>7413.63967422397</v>
      </c>
      <c r="AC59" s="10" t="n">
        <f aca="false">SUM(K59:M59)+Z59+AA59+AB59</f>
        <v>501929.205841246</v>
      </c>
      <c r="AD59" s="10" t="n">
        <f aca="false">D59*Assumptions!$E$17</f>
        <v>247121.322474132</v>
      </c>
      <c r="AE59" s="10" t="n">
        <f aca="false">AD59*12</f>
        <v>2965455.86968959</v>
      </c>
      <c r="AF59" s="10" t="n">
        <f aca="false">AC59-AD59</f>
        <v>254807.883367114</v>
      </c>
      <c r="AG59" s="10" t="n">
        <f aca="false">IF(A59=Assumptions!$E$7,Assumptions!$E$8,0)</f>
        <v>0</v>
      </c>
      <c r="AH59" s="10" t="n">
        <f aca="false">AI58</f>
        <v>-5388555.94019458</v>
      </c>
      <c r="AI59" s="10" t="n">
        <f aca="false">AH59+AG59-AF59</f>
        <v>-5643363.82356169</v>
      </c>
      <c r="AJ59" s="10" t="n">
        <f aca="false">SUM($AC$6:AC59)</f>
        <v>17590232.8986226</v>
      </c>
      <c r="AK59" s="10" t="n">
        <f aca="false">MAX(0,-AI59)</f>
        <v>5643363.82356169</v>
      </c>
      <c r="AL59" s="10" t="n">
        <f aca="false">Assumptions!$E$6+SUM($AG$6:AG59)-AJ59</f>
        <v>-9590232.89862258</v>
      </c>
      <c r="AM59" s="10" t="n">
        <f aca="false">SUMIFS('Vendor Months'!$H$6:$H$3965,'Vendor Months'!$A$6:$A$3965,$AS$1,'Vendor Months'!$C$6:$C$3965,A59)</f>
        <v>2164.238336</v>
      </c>
      <c r="AN59" s="10" t="n">
        <f aca="false">X59+Y59</f>
        <v>0</v>
      </c>
      <c r="AO59" s="10" t="n">
        <f aca="false">SUMIFS('Staff Months'!$I$6:$I$2345,'Staff Months'!$A$6:$A$2345,$AS$1,'Staff Months'!$C$6:$C$2345,A59)</f>
        <v>20258.4375</v>
      </c>
      <c r="AP59" s="10" t="n">
        <f aca="false">SUM($AF$6:AF59)</f>
        <v>13643363.8235617</v>
      </c>
      <c r="AQ59" s="10" t="n">
        <f aca="false">AC59</f>
        <v>501929.205841246</v>
      </c>
      <c r="AR59" s="26" t="n">
        <f aca="false">IF(AI59&lt;0,1,0)</f>
        <v>1</v>
      </c>
      <c r="AS59" s="6"/>
    </row>
    <row r="60" customFormat="false" ht="15" hidden="false" customHeight="false" outlineLevel="0" collapsed="false">
      <c r="A60" s="6" t="n">
        <v>55</v>
      </c>
      <c r="B60" s="25" t="n">
        <f aca="false">EDATE('Start Here'!$B$6,A60-1)</f>
        <v>47969</v>
      </c>
      <c r="C60" s="11" t="n">
        <f aca="false">IF(A60&gt;=Assumptions!$E$13,Assumptions!$E$14*(1+Assumptions!$E$15)^INT((A60-Assumptions!$E$13)/12),0)</f>
        <v>9.826</v>
      </c>
      <c r="D60" s="11" t="n">
        <f aca="false">D59*(1-Assumptions!$E$16)+C60</f>
        <v>184.576078035279</v>
      </c>
      <c r="E60" s="11" t="n">
        <f aca="false">D60*Assumptions!$E$18</f>
        <v>4614.40195088198</v>
      </c>
      <c r="F60" s="11" t="n">
        <f aca="false">E60*Assumptions!$E$19*30/1000000</f>
        <v>34.6080146316149</v>
      </c>
      <c r="G60" s="11" t="n">
        <f aca="false">D60*Assumptions!$E$20</f>
        <v>1845.76078035279</v>
      </c>
      <c r="H60" s="11" t="n">
        <f aca="false">D60*Assumptions!$E$21</f>
        <v>369.152156070559</v>
      </c>
      <c r="I60" s="11" t="n">
        <f aca="false">SUMIFS('Staff Months'!$E$6:$E$2345,'Staff Months'!$A$6:$A$2345,$AS$1,'Staff Months'!$C$6:$C$2345,A60)</f>
        <v>23</v>
      </c>
      <c r="J60" s="11" t="n">
        <f aca="false">SUMIFS('Staff Months'!$L$6:$L$2345,'Staff Months'!$A$6:$A$2345,$AS$1,'Staff Months'!$C$6:$C$2345,A60)</f>
        <v>23</v>
      </c>
      <c r="K60" s="10" t="n">
        <f aca="false">SUMIFS('Staff Months'!$H$6:$H$2345,'Staff Months'!$A$6:$A$2345,$AS$1,'Staff Months'!$C$6:$C$2345,A60)</f>
        <v>386024.5265625</v>
      </c>
      <c r="L60" s="10" t="n">
        <f aca="false">SUMIFS('Staff Months'!$J$6:$J$2345,'Staff Months'!$A$6:$A$2345,$AS$1,'Staff Months'!$C$6:$C$2345,A60)</f>
        <v>0</v>
      </c>
      <c r="M60" s="10" t="n">
        <f aca="false">SUMIFS('Staff Months'!$K$6:$K$2345,'Staff Months'!$A$6:$A$2345,$AS$1,'Staff Months'!$C$6:$C$2345,A60)</f>
        <v>0</v>
      </c>
      <c r="N60" s="10" t="n">
        <f aca="false">SUMIFS('Vendor Months'!$G$6:$G$3965,'Vendor Months'!$A$6:$A$3965,$AS$1,'Vendor Months'!$C$6:$C$3965,A60,'Vendor Months'!$J$6:$J$3965,"INFRA")</f>
        <v>5160.08857074119</v>
      </c>
      <c r="O60" s="10" t="n">
        <f aca="false">SUMIFS('Vendor Months'!$G$6:$G$3965,'Vendor Months'!$A$6:$A$3965,$AS$1,'Vendor Months'!$C$6:$C$3965,A60,'Vendor Months'!$J$6:$J$3965,"TOOLS")</f>
        <v>1318.43059712</v>
      </c>
      <c r="P60" s="10" t="n">
        <f aca="false">SUMIFS('Vendor Months'!$G$6:$G$3965,'Vendor Months'!$A$6:$A$3965,$AS$1,'Vendor Months'!$C$6:$C$3965,A60,'Vendor Months'!$J$6:$J$3965,"LEGAL")</f>
        <v>0</v>
      </c>
      <c r="Q60" s="10" t="n">
        <f aca="false">SUMIFS('Vendor Months'!$G$6:$G$3965,'Vendor Months'!$A$6:$A$3965,$AS$1,'Vendor Months'!$C$6:$C$3965,A60,'Vendor Months'!$J$6:$J$3965,"SECURITY")</f>
        <v>0</v>
      </c>
      <c r="R60" s="10" t="n">
        <f aca="false">SUMIFS('Vendor Months'!$G$6:$G$3965,'Vendor Months'!$A$6:$A$3965,$AS$1,'Vendor Months'!$C$6:$C$3965,A60,'Vendor Months'!$J$6:$J$3965,"COMPLIANCE")</f>
        <v>0</v>
      </c>
      <c r="S60" s="10" t="n">
        <f aca="false">SUMIFS('Vendor Months'!$G$6:$G$3965,'Vendor Months'!$A$6:$A$3965,$AS$1,'Vendor Months'!$C$6:$C$3965,A60,'Vendor Months'!$J$6:$J$3965,"INSURANCE")</f>
        <v>0</v>
      </c>
      <c r="T60" s="10" t="n">
        <f aca="false">SUMIFS('Vendor Months'!$G$6:$G$3965,'Vendor Months'!$A$6:$A$3965,$AS$1,'Vendor Months'!$C$6:$C$3965,A60,'Vendor Months'!$J$6:$J$3965,"ACCOUNTING")</f>
        <v>701.915136</v>
      </c>
      <c r="U60" s="10" t="n">
        <f aca="false">SUMIFS('Vendor Months'!$G$6:$G$3965,'Vendor Months'!$A$6:$A$3965,$AS$1,'Vendor Months'!$C$6:$C$3965,A60,'Vendor Months'!$J$6:$J$3965,"SUPPORT")</f>
        <v>116.985856</v>
      </c>
      <c r="V60" s="10" t="n">
        <f aca="false">SUMIFS('Vendor Months'!$G$6:$G$3965,'Vendor Months'!$A$6:$A$3965,$AS$1,'Vendor Months'!$C$6:$C$3965,A60,'Vendor Months'!$J$6:$J$3965,"MARKETING")</f>
        <v>16194.59286456</v>
      </c>
      <c r="W60" s="10" t="n">
        <f aca="false">SUMIFS('Vendor Months'!$G$6:$G$3965,'Vendor Months'!$A$6:$A$3965,$AS$1,'Vendor Months'!$C$6:$C$3965,A60,'Vendor Months'!$J$6:$J$3965,"ONBOARD")</f>
        <v>3448.509063168</v>
      </c>
      <c r="X60" s="10" t="n">
        <f aca="false">SUMIFS('Vendor Months'!$G$6:$G$3965,'Vendor Months'!$A$6:$A$3965,$AS$1,'Vendor Months'!$C$6:$C$3965,A60,'Vendor Months'!$J$6:$J$3965,"AI")</f>
        <v>0</v>
      </c>
      <c r="Y60" s="10" t="n">
        <f aca="false">SUMIFS('Vendor Months'!$G$6:$G$3965,'Vendor Months'!$A$6:$A$3965,$AS$1,'Vendor Months'!$C$6:$C$3965,A60,'Vendor Months'!$J$6:$J$3965,"CTMS")</f>
        <v>0</v>
      </c>
      <c r="Z60" s="10" t="n">
        <f aca="false">SUM(N60:Y60)</f>
        <v>26940.5220875892</v>
      </c>
      <c r="AA60" s="10" t="n">
        <f aca="false">(SUM(K60:M60)+Z60)*Assumptions!$E$12</f>
        <v>82593.0097300179</v>
      </c>
      <c r="AB60" s="10" t="n">
        <f aca="false">AD60*Assumptions!$E$29</f>
        <v>7752.19527748173</v>
      </c>
      <c r="AC60" s="10" t="n">
        <f aca="false">SUM(K60:M60)+Z60+AA60+AB60</f>
        <v>503310.253657589</v>
      </c>
      <c r="AD60" s="10" t="n">
        <f aca="false">D60*Assumptions!$E$17</f>
        <v>258406.509249391</v>
      </c>
      <c r="AE60" s="10" t="n">
        <f aca="false">AD60*12</f>
        <v>3100878.11099269</v>
      </c>
      <c r="AF60" s="10" t="n">
        <f aca="false">AC60-AD60</f>
        <v>244903.744408198</v>
      </c>
      <c r="AG60" s="10" t="n">
        <f aca="false">IF(A60=Assumptions!$E$7,Assumptions!$E$8,0)</f>
        <v>0</v>
      </c>
      <c r="AH60" s="10" t="n">
        <f aca="false">AI59</f>
        <v>-5643363.82356169</v>
      </c>
      <c r="AI60" s="10" t="n">
        <f aca="false">AH60+AG60-AF60</f>
        <v>-5888267.56796989</v>
      </c>
      <c r="AJ60" s="10" t="n">
        <f aca="false">SUM($AC$6:AC60)</f>
        <v>18093543.1522802</v>
      </c>
      <c r="AK60" s="10" t="n">
        <f aca="false">MAX(0,-AI60)</f>
        <v>5888267.56796989</v>
      </c>
      <c r="AL60" s="10" t="n">
        <f aca="false">Assumptions!$E$6+SUM($AG$6:AG60)-AJ60</f>
        <v>-10093543.1522802</v>
      </c>
      <c r="AM60" s="10" t="n">
        <f aca="false">SUMIFS('Vendor Months'!$H$6:$H$3965,'Vendor Months'!$A$6:$A$3965,$AS$1,'Vendor Months'!$C$6:$C$3965,A60)</f>
        <v>2164.238336</v>
      </c>
      <c r="AN60" s="10" t="n">
        <f aca="false">X60+Y60</f>
        <v>0</v>
      </c>
      <c r="AO60" s="10" t="n">
        <f aca="false">SUMIFS('Staff Months'!$I$6:$I$2345,'Staff Months'!$A$6:$A$2345,$AS$1,'Staff Months'!$C$6:$C$2345,A60)</f>
        <v>20258.4375</v>
      </c>
      <c r="AP60" s="10" t="n">
        <f aca="false">SUM($AF$6:AF60)</f>
        <v>13888267.5679699</v>
      </c>
      <c r="AQ60" s="10" t="n">
        <f aca="false">AC60</f>
        <v>503310.253657589</v>
      </c>
      <c r="AR60" s="26" t="n">
        <f aca="false">IF(AI60&lt;0,1,0)</f>
        <v>1</v>
      </c>
      <c r="AS60" s="6"/>
    </row>
    <row r="61" customFormat="false" ht="15" hidden="false" customHeight="false" outlineLevel="0" collapsed="false">
      <c r="A61" s="6" t="n">
        <v>56</v>
      </c>
      <c r="B61" s="25" t="n">
        <f aca="false">EDATE('Start Here'!$B$6,A61-1)</f>
        <v>48000</v>
      </c>
      <c r="C61" s="11" t="n">
        <f aca="false">IF(A61&gt;=Assumptions!$E$13,Assumptions!$E$14*(1+Assumptions!$E$15)^INT((A61-Assumptions!$E$13)/12),0)</f>
        <v>9.826</v>
      </c>
      <c r="D61" s="11" t="n">
        <f aca="false">D60*(1-Assumptions!$E$16)+C61</f>
        <v>192.556317254926</v>
      </c>
      <c r="E61" s="11" t="n">
        <f aca="false">D61*Assumptions!$E$18</f>
        <v>4813.90793137316</v>
      </c>
      <c r="F61" s="11" t="n">
        <f aca="false">E61*Assumptions!$E$19*30/1000000</f>
        <v>36.1043094852987</v>
      </c>
      <c r="G61" s="11" t="n">
        <f aca="false">D61*Assumptions!$E$20</f>
        <v>1925.56317254927</v>
      </c>
      <c r="H61" s="11" t="n">
        <f aca="false">D61*Assumptions!$E$21</f>
        <v>385.112634509853</v>
      </c>
      <c r="I61" s="11" t="n">
        <f aca="false">SUMIFS('Staff Months'!$E$6:$E$2345,'Staff Months'!$A$6:$A$2345,$AS$1,'Staff Months'!$C$6:$C$2345,A61)</f>
        <v>23</v>
      </c>
      <c r="J61" s="11" t="n">
        <f aca="false">SUMIFS('Staff Months'!$L$6:$L$2345,'Staff Months'!$A$6:$A$2345,$AS$1,'Staff Months'!$C$6:$C$2345,A61)</f>
        <v>23</v>
      </c>
      <c r="K61" s="10" t="n">
        <f aca="false">SUMIFS('Staff Months'!$H$6:$H$2345,'Staff Months'!$A$6:$A$2345,$AS$1,'Staff Months'!$C$6:$C$2345,A61)</f>
        <v>386024.5265625</v>
      </c>
      <c r="L61" s="10" t="n">
        <f aca="false">SUMIFS('Staff Months'!$J$6:$J$2345,'Staff Months'!$A$6:$A$2345,$AS$1,'Staff Months'!$C$6:$C$2345,A61)</f>
        <v>0</v>
      </c>
      <c r="M61" s="10" t="n">
        <f aca="false">SUMIFS('Staff Months'!$K$6:$K$2345,'Staff Months'!$A$6:$A$2345,$AS$1,'Staff Months'!$C$6:$C$2345,A61)</f>
        <v>0</v>
      </c>
      <c r="N61" s="10" t="n">
        <f aca="false">SUMIFS('Vendor Months'!$G$6:$G$3965,'Vendor Months'!$A$6:$A$3965,$AS$1,'Vendor Months'!$C$6:$C$3965,A61,'Vendor Months'!$J$6:$J$3965,"INFRA")</f>
        <v>5319.96330938962</v>
      </c>
      <c r="O61" s="10" t="n">
        <f aca="false">SUMIFS('Vendor Months'!$G$6:$G$3965,'Vendor Months'!$A$6:$A$3965,$AS$1,'Vendor Months'!$C$6:$C$3965,A61,'Vendor Months'!$J$6:$J$3965,"TOOLS")</f>
        <v>1318.43059712</v>
      </c>
      <c r="P61" s="10" t="n">
        <f aca="false">SUMIFS('Vendor Months'!$G$6:$G$3965,'Vendor Months'!$A$6:$A$3965,$AS$1,'Vendor Months'!$C$6:$C$3965,A61,'Vendor Months'!$J$6:$J$3965,"LEGAL")</f>
        <v>0</v>
      </c>
      <c r="Q61" s="10" t="n">
        <f aca="false">SUMIFS('Vendor Months'!$G$6:$G$3965,'Vendor Months'!$A$6:$A$3965,$AS$1,'Vendor Months'!$C$6:$C$3965,A61,'Vendor Months'!$J$6:$J$3965,"SECURITY")</f>
        <v>0</v>
      </c>
      <c r="R61" s="10" t="n">
        <f aca="false">SUMIFS('Vendor Months'!$G$6:$G$3965,'Vendor Months'!$A$6:$A$3965,$AS$1,'Vendor Months'!$C$6:$C$3965,A61,'Vendor Months'!$J$6:$J$3965,"COMPLIANCE")</f>
        <v>0</v>
      </c>
      <c r="S61" s="10" t="n">
        <f aca="false">SUMIFS('Vendor Months'!$G$6:$G$3965,'Vendor Months'!$A$6:$A$3965,$AS$1,'Vendor Months'!$C$6:$C$3965,A61,'Vendor Months'!$J$6:$J$3965,"INSURANCE")</f>
        <v>0</v>
      </c>
      <c r="T61" s="10" t="n">
        <f aca="false">SUMIFS('Vendor Months'!$G$6:$G$3965,'Vendor Months'!$A$6:$A$3965,$AS$1,'Vendor Months'!$C$6:$C$3965,A61,'Vendor Months'!$J$6:$J$3965,"ACCOUNTING")</f>
        <v>701.915136</v>
      </c>
      <c r="U61" s="10" t="n">
        <f aca="false">SUMIFS('Vendor Months'!$G$6:$G$3965,'Vendor Months'!$A$6:$A$3965,$AS$1,'Vendor Months'!$C$6:$C$3965,A61,'Vendor Months'!$J$6:$J$3965,"SUPPORT")</f>
        <v>116.985856</v>
      </c>
      <c r="V61" s="10" t="n">
        <f aca="false">SUMIFS('Vendor Months'!$G$6:$G$3965,'Vendor Months'!$A$6:$A$3965,$AS$1,'Vendor Months'!$C$6:$C$3965,A61,'Vendor Months'!$J$6:$J$3965,"MARKETING")</f>
        <v>16894.7742017064</v>
      </c>
      <c r="W61" s="10" t="n">
        <f aca="false">SUMIFS('Vendor Months'!$G$6:$G$3965,'Vendor Months'!$A$6:$A$3965,$AS$1,'Vendor Months'!$C$6:$C$3965,A61,'Vendor Months'!$J$6:$J$3965,"ONBOARD")</f>
        <v>3448.509063168</v>
      </c>
      <c r="X61" s="10" t="n">
        <f aca="false">SUMIFS('Vendor Months'!$G$6:$G$3965,'Vendor Months'!$A$6:$A$3965,$AS$1,'Vendor Months'!$C$6:$C$3965,A61,'Vendor Months'!$J$6:$J$3965,"AI")</f>
        <v>0</v>
      </c>
      <c r="Y61" s="10" t="n">
        <f aca="false">SUMIFS('Vendor Months'!$G$6:$G$3965,'Vendor Months'!$A$6:$A$3965,$AS$1,'Vendor Months'!$C$6:$C$3965,A61,'Vendor Months'!$J$6:$J$3965,"CTMS")</f>
        <v>0</v>
      </c>
      <c r="Z61" s="10" t="n">
        <f aca="false">SUM(N61:Y61)</f>
        <v>27800.578163384</v>
      </c>
      <c r="AA61" s="10" t="n">
        <f aca="false">(SUM(K61:M61)+Z61)*Assumptions!$E$12</f>
        <v>82765.0209451768</v>
      </c>
      <c r="AB61" s="10" t="n">
        <f aca="false">AD61*Assumptions!$E$29</f>
        <v>8087.36532470691</v>
      </c>
      <c r="AC61" s="10" t="n">
        <f aca="false">SUM(K61:M61)+Z61+AA61+AB61</f>
        <v>504677.490995768</v>
      </c>
      <c r="AD61" s="10" t="n">
        <f aca="false">D61*Assumptions!$E$17</f>
        <v>269578.844156897</v>
      </c>
      <c r="AE61" s="10" t="n">
        <f aca="false">AD61*12</f>
        <v>3234946.12988277</v>
      </c>
      <c r="AF61" s="10" t="n">
        <f aca="false">AC61-AD61</f>
        <v>235098.646838871</v>
      </c>
      <c r="AG61" s="10" t="n">
        <f aca="false">IF(A61=Assumptions!$E$7,Assumptions!$E$8,0)</f>
        <v>0</v>
      </c>
      <c r="AH61" s="10" t="n">
        <f aca="false">AI60</f>
        <v>-5888267.56796989</v>
      </c>
      <c r="AI61" s="10" t="n">
        <f aca="false">AH61+AG61-AF61</f>
        <v>-6123366.21480876</v>
      </c>
      <c r="AJ61" s="10" t="n">
        <f aca="false">SUM($AC$6:AC61)</f>
        <v>18598220.6432759</v>
      </c>
      <c r="AK61" s="10" t="n">
        <f aca="false">MAX(0,-AI61)</f>
        <v>6123366.21480876</v>
      </c>
      <c r="AL61" s="10" t="n">
        <f aca="false">Assumptions!$E$6+SUM($AG$6:AG61)-AJ61</f>
        <v>-10598220.6432759</v>
      </c>
      <c r="AM61" s="10" t="n">
        <f aca="false">SUMIFS('Vendor Months'!$H$6:$H$3965,'Vendor Months'!$A$6:$A$3965,$AS$1,'Vendor Months'!$C$6:$C$3965,A61)</f>
        <v>2164.238336</v>
      </c>
      <c r="AN61" s="10" t="n">
        <f aca="false">X61+Y61</f>
        <v>0</v>
      </c>
      <c r="AO61" s="10" t="n">
        <f aca="false">SUMIFS('Staff Months'!$I$6:$I$2345,'Staff Months'!$A$6:$A$2345,$AS$1,'Staff Months'!$C$6:$C$2345,A61)</f>
        <v>20258.4375</v>
      </c>
      <c r="AP61" s="10" t="n">
        <f aca="false">SUM($AF$6:AF61)</f>
        <v>14123366.2148088</v>
      </c>
      <c r="AQ61" s="10" t="n">
        <f aca="false">AC61</f>
        <v>504677.490995768</v>
      </c>
      <c r="AR61" s="26" t="n">
        <f aca="false">IF(AI61&lt;0,1,0)</f>
        <v>1</v>
      </c>
      <c r="AS61" s="6"/>
    </row>
    <row r="62" customFormat="false" ht="15" hidden="false" customHeight="false" outlineLevel="0" collapsed="false">
      <c r="A62" s="6" t="n">
        <v>57</v>
      </c>
      <c r="B62" s="25" t="n">
        <f aca="false">EDATE('Start Here'!$B$6,A62-1)</f>
        <v>48030</v>
      </c>
      <c r="C62" s="11" t="n">
        <f aca="false">IF(A62&gt;=Assumptions!$E$13,Assumptions!$E$14*(1+Assumptions!$E$15)^INT((A62-Assumptions!$E$13)/12),0)</f>
        <v>9.826</v>
      </c>
      <c r="D62" s="11" t="n">
        <f aca="false">D61*(1-Assumptions!$E$16)+C62</f>
        <v>200.456754082377</v>
      </c>
      <c r="E62" s="11" t="n">
        <f aca="false">D62*Assumptions!$E$18</f>
        <v>5011.41885205943</v>
      </c>
      <c r="F62" s="11" t="n">
        <f aca="false">E62*Assumptions!$E$19*30/1000000</f>
        <v>37.5856413904457</v>
      </c>
      <c r="G62" s="11" t="n">
        <f aca="false">D62*Assumptions!$E$20</f>
        <v>2004.56754082377</v>
      </c>
      <c r="H62" s="11" t="n">
        <f aca="false">D62*Assumptions!$E$21</f>
        <v>400.913508164754</v>
      </c>
      <c r="I62" s="11" t="n">
        <f aca="false">SUMIFS('Staff Months'!$E$6:$E$2345,'Staff Months'!$A$6:$A$2345,$AS$1,'Staff Months'!$C$6:$C$2345,A62)</f>
        <v>23</v>
      </c>
      <c r="J62" s="11" t="n">
        <f aca="false">SUMIFS('Staff Months'!$L$6:$L$2345,'Staff Months'!$A$6:$A$2345,$AS$1,'Staff Months'!$C$6:$C$2345,A62)</f>
        <v>23</v>
      </c>
      <c r="K62" s="10" t="n">
        <f aca="false">SUMIFS('Staff Months'!$H$6:$H$2345,'Staff Months'!$A$6:$A$2345,$AS$1,'Staff Months'!$C$6:$C$2345,A62)</f>
        <v>386024.5265625</v>
      </c>
      <c r="L62" s="10" t="n">
        <f aca="false">SUMIFS('Staff Months'!$J$6:$J$2345,'Staff Months'!$A$6:$A$2345,$AS$1,'Staff Months'!$C$6:$C$2345,A62)</f>
        <v>0</v>
      </c>
      <c r="M62" s="10" t="n">
        <f aca="false">SUMIFS('Staff Months'!$K$6:$K$2345,'Staff Months'!$A$6:$A$2345,$AS$1,'Staff Months'!$C$6:$C$2345,A62)</f>
        <v>0</v>
      </c>
      <c r="N62" s="10" t="n">
        <f aca="false">SUMIFS('Vendor Months'!$G$6:$G$3965,'Vendor Months'!$A$6:$A$3965,$AS$1,'Vendor Months'!$C$6:$C$3965,A62,'Vendor Months'!$J$6:$J$3965,"INFRA")</f>
        <v>5478.23930065156</v>
      </c>
      <c r="O62" s="10" t="n">
        <f aca="false">SUMIFS('Vendor Months'!$G$6:$G$3965,'Vendor Months'!$A$6:$A$3965,$AS$1,'Vendor Months'!$C$6:$C$3965,A62,'Vendor Months'!$J$6:$J$3965,"TOOLS")</f>
        <v>1318.43059712</v>
      </c>
      <c r="P62" s="10" t="n">
        <f aca="false">SUMIFS('Vendor Months'!$G$6:$G$3965,'Vendor Months'!$A$6:$A$3965,$AS$1,'Vendor Months'!$C$6:$C$3965,A62,'Vendor Months'!$J$6:$J$3965,"LEGAL")</f>
        <v>0</v>
      </c>
      <c r="Q62" s="10" t="n">
        <f aca="false">SUMIFS('Vendor Months'!$G$6:$G$3965,'Vendor Months'!$A$6:$A$3965,$AS$1,'Vendor Months'!$C$6:$C$3965,A62,'Vendor Months'!$J$6:$J$3965,"SECURITY")</f>
        <v>0</v>
      </c>
      <c r="R62" s="10" t="n">
        <f aca="false">SUMIFS('Vendor Months'!$G$6:$G$3965,'Vendor Months'!$A$6:$A$3965,$AS$1,'Vendor Months'!$C$6:$C$3965,A62,'Vendor Months'!$J$6:$J$3965,"COMPLIANCE")</f>
        <v>0</v>
      </c>
      <c r="S62" s="10" t="n">
        <f aca="false">SUMIFS('Vendor Months'!$G$6:$G$3965,'Vendor Months'!$A$6:$A$3965,$AS$1,'Vendor Months'!$C$6:$C$3965,A62,'Vendor Months'!$J$6:$J$3965,"INSURANCE")</f>
        <v>14038.30272</v>
      </c>
      <c r="T62" s="10" t="n">
        <f aca="false">SUMIFS('Vendor Months'!$G$6:$G$3965,'Vendor Months'!$A$6:$A$3965,$AS$1,'Vendor Months'!$C$6:$C$3965,A62,'Vendor Months'!$J$6:$J$3965,"ACCOUNTING")</f>
        <v>701.915136</v>
      </c>
      <c r="U62" s="10" t="n">
        <f aca="false">SUMIFS('Vendor Months'!$G$6:$G$3965,'Vendor Months'!$A$6:$A$3965,$AS$1,'Vendor Months'!$C$6:$C$3965,A62,'Vendor Months'!$J$6:$J$3965,"SUPPORT")</f>
        <v>116.985856</v>
      </c>
      <c r="V62" s="10" t="n">
        <f aca="false">SUMIFS('Vendor Months'!$G$6:$G$3965,'Vendor Months'!$A$6:$A$3965,$AS$1,'Vendor Months'!$C$6:$C$3965,A62,'Vendor Months'!$J$6:$J$3965,"MARKETING")</f>
        <v>17587.9537254813</v>
      </c>
      <c r="W62" s="10" t="n">
        <f aca="false">SUMIFS('Vendor Months'!$G$6:$G$3965,'Vendor Months'!$A$6:$A$3965,$AS$1,'Vendor Months'!$C$6:$C$3965,A62,'Vendor Months'!$J$6:$J$3965,"ONBOARD")</f>
        <v>3448.509063168</v>
      </c>
      <c r="X62" s="10" t="n">
        <f aca="false">SUMIFS('Vendor Months'!$G$6:$G$3965,'Vendor Months'!$A$6:$A$3965,$AS$1,'Vendor Months'!$C$6:$C$3965,A62,'Vendor Months'!$J$6:$J$3965,"AI")</f>
        <v>0</v>
      </c>
      <c r="Y62" s="10" t="n">
        <f aca="false">SUMIFS('Vendor Months'!$G$6:$G$3965,'Vendor Months'!$A$6:$A$3965,$AS$1,'Vendor Months'!$C$6:$C$3965,A62,'Vendor Months'!$J$6:$J$3965,"CTMS")</f>
        <v>0</v>
      </c>
      <c r="Z62" s="10" t="n">
        <f aca="false">SUM(N62:Y62)</f>
        <v>42690.3363984209</v>
      </c>
      <c r="AA62" s="10" t="n">
        <f aca="false">(SUM(K62:M62)+Z62)*Assumptions!$E$12</f>
        <v>85742.9725921842</v>
      </c>
      <c r="AB62" s="10" t="n">
        <f aca="false">AD62*Assumptions!$E$29</f>
        <v>8419.18367145984</v>
      </c>
      <c r="AC62" s="10" t="n">
        <f aca="false">SUM(K62:M62)+Z62+AA62+AB62</f>
        <v>522877.019224565</v>
      </c>
      <c r="AD62" s="10" t="n">
        <f aca="false">D62*Assumptions!$E$17</f>
        <v>280639.455715328</v>
      </c>
      <c r="AE62" s="10" t="n">
        <f aca="false">AD62*12</f>
        <v>3367673.46858394</v>
      </c>
      <c r="AF62" s="10" t="n">
        <f aca="false">AC62-AD62</f>
        <v>242237.563509237</v>
      </c>
      <c r="AG62" s="10" t="n">
        <f aca="false">IF(A62=Assumptions!$E$7,Assumptions!$E$8,0)</f>
        <v>0</v>
      </c>
      <c r="AH62" s="10" t="n">
        <f aca="false">AI61</f>
        <v>-6123366.21480876</v>
      </c>
      <c r="AI62" s="10" t="n">
        <f aca="false">AH62+AG62-AF62</f>
        <v>-6365603.778318</v>
      </c>
      <c r="AJ62" s="10" t="n">
        <f aca="false">SUM($AC$6:AC62)</f>
        <v>19121097.6625005</v>
      </c>
      <c r="AK62" s="10" t="n">
        <f aca="false">MAX(0,-AI62)</f>
        <v>6365603.778318</v>
      </c>
      <c r="AL62" s="10" t="n">
        <f aca="false">Assumptions!$E$6+SUM($AG$6:AG62)-AJ62</f>
        <v>-11121097.6625005</v>
      </c>
      <c r="AM62" s="10" t="n">
        <f aca="false">SUMIFS('Vendor Months'!$H$6:$H$3965,'Vendor Months'!$A$6:$A$3965,$AS$1,'Vendor Months'!$C$6:$C$3965,A62)</f>
        <v>16202.541056</v>
      </c>
      <c r="AN62" s="10" t="n">
        <f aca="false">X62+Y62</f>
        <v>0</v>
      </c>
      <c r="AO62" s="10" t="n">
        <f aca="false">SUMIFS('Staff Months'!$I$6:$I$2345,'Staff Months'!$A$6:$A$2345,$AS$1,'Staff Months'!$C$6:$C$2345,A62)</f>
        <v>20258.4375</v>
      </c>
      <c r="AP62" s="10" t="n">
        <f aca="false">SUM($AF$6:AF62)</f>
        <v>14365603.778318</v>
      </c>
      <c r="AQ62" s="10" t="n">
        <f aca="false">AC62</f>
        <v>522877.019224565</v>
      </c>
      <c r="AR62" s="26" t="n">
        <f aca="false">IF(AI62&lt;0,1,0)</f>
        <v>1</v>
      </c>
      <c r="AS62" s="6"/>
    </row>
    <row r="63" customFormat="false" ht="15" hidden="false" customHeight="false" outlineLevel="0" collapsed="false">
      <c r="A63" s="6" t="n">
        <v>58</v>
      </c>
      <c r="B63" s="25" t="n">
        <f aca="false">EDATE('Start Here'!$B$6,A63-1)</f>
        <v>48061</v>
      </c>
      <c r="C63" s="11" t="n">
        <f aca="false">IF(A63&gt;=Assumptions!$E$13,Assumptions!$E$14*(1+Assumptions!$E$15)^INT((A63-Assumptions!$E$13)/12),0)</f>
        <v>9.826</v>
      </c>
      <c r="D63" s="11" t="n">
        <f aca="false">D62*(1-Assumptions!$E$16)+C63</f>
        <v>208.278186541553</v>
      </c>
      <c r="E63" s="11" t="n">
        <f aca="false">D63*Assumptions!$E$18</f>
        <v>5206.95466353884</v>
      </c>
      <c r="F63" s="11" t="n">
        <f aca="false">E63*Assumptions!$E$19*30/1000000</f>
        <v>39.0521599765413</v>
      </c>
      <c r="G63" s="11" t="n">
        <f aca="false">D63*Assumptions!$E$20</f>
        <v>2082.78186541553</v>
      </c>
      <c r="H63" s="11" t="n">
        <f aca="false">D63*Assumptions!$E$21</f>
        <v>416.556373083107</v>
      </c>
      <c r="I63" s="11" t="n">
        <f aca="false">SUMIFS('Staff Months'!$E$6:$E$2345,'Staff Months'!$A$6:$A$2345,$AS$1,'Staff Months'!$C$6:$C$2345,A63)</f>
        <v>23</v>
      </c>
      <c r="J63" s="11" t="n">
        <f aca="false">SUMIFS('Staff Months'!$L$6:$L$2345,'Staff Months'!$A$6:$A$2345,$AS$1,'Staff Months'!$C$6:$C$2345,A63)</f>
        <v>23</v>
      </c>
      <c r="K63" s="10" t="n">
        <f aca="false">SUMIFS('Staff Months'!$H$6:$H$2345,'Staff Months'!$A$6:$A$2345,$AS$1,'Staff Months'!$C$6:$C$2345,A63)</f>
        <v>386024.5265625</v>
      </c>
      <c r="L63" s="10" t="n">
        <f aca="false">SUMIFS('Staff Months'!$J$6:$J$2345,'Staff Months'!$A$6:$A$2345,$AS$1,'Staff Months'!$C$6:$C$2345,A63)</f>
        <v>0</v>
      </c>
      <c r="M63" s="10" t="n">
        <f aca="false">SUMIFS('Staff Months'!$K$6:$K$2345,'Staff Months'!$A$6:$A$2345,$AS$1,'Staff Months'!$C$6:$C$2345,A63)</f>
        <v>0</v>
      </c>
      <c r="N63" s="10" t="n">
        <f aca="false">SUMIFS('Vendor Months'!$G$6:$G$3965,'Vendor Months'!$A$6:$A$3965,$AS$1,'Vendor Months'!$C$6:$C$3965,A63,'Vendor Months'!$J$6:$J$3965,"INFRA")</f>
        <v>5634.93253200089</v>
      </c>
      <c r="O63" s="10" t="n">
        <f aca="false">SUMIFS('Vendor Months'!$G$6:$G$3965,'Vendor Months'!$A$6:$A$3965,$AS$1,'Vendor Months'!$C$6:$C$3965,A63,'Vendor Months'!$J$6:$J$3965,"TOOLS")</f>
        <v>1318.43059712</v>
      </c>
      <c r="P63" s="10" t="n">
        <f aca="false">SUMIFS('Vendor Months'!$G$6:$G$3965,'Vendor Months'!$A$6:$A$3965,$AS$1,'Vendor Months'!$C$6:$C$3965,A63,'Vendor Months'!$J$6:$J$3965,"LEGAL")</f>
        <v>0</v>
      </c>
      <c r="Q63" s="10" t="n">
        <f aca="false">SUMIFS('Vendor Months'!$G$6:$G$3965,'Vendor Months'!$A$6:$A$3965,$AS$1,'Vendor Months'!$C$6:$C$3965,A63,'Vendor Months'!$J$6:$J$3965,"SECURITY")</f>
        <v>21057.45408</v>
      </c>
      <c r="R63" s="10" t="n">
        <f aca="false">SUMIFS('Vendor Months'!$G$6:$G$3965,'Vendor Months'!$A$6:$A$3965,$AS$1,'Vendor Months'!$C$6:$C$3965,A63,'Vendor Months'!$J$6:$J$3965,"COMPLIANCE")</f>
        <v>0</v>
      </c>
      <c r="S63" s="10" t="n">
        <f aca="false">SUMIFS('Vendor Months'!$G$6:$G$3965,'Vendor Months'!$A$6:$A$3965,$AS$1,'Vendor Months'!$C$6:$C$3965,A63,'Vendor Months'!$J$6:$J$3965,"INSURANCE")</f>
        <v>0</v>
      </c>
      <c r="T63" s="10" t="n">
        <f aca="false">SUMIFS('Vendor Months'!$G$6:$G$3965,'Vendor Months'!$A$6:$A$3965,$AS$1,'Vendor Months'!$C$6:$C$3965,A63,'Vendor Months'!$J$6:$J$3965,"ACCOUNTING")</f>
        <v>701.915136</v>
      </c>
      <c r="U63" s="10" t="n">
        <f aca="false">SUMIFS('Vendor Months'!$G$6:$G$3965,'Vendor Months'!$A$6:$A$3965,$AS$1,'Vendor Months'!$C$6:$C$3965,A63,'Vendor Months'!$J$6:$J$3965,"SUPPORT")</f>
        <v>116.985856</v>
      </c>
      <c r="V63" s="10" t="n">
        <f aca="false">SUMIFS('Vendor Months'!$G$6:$G$3965,'Vendor Months'!$A$6:$A$3965,$AS$1,'Vendor Months'!$C$6:$C$3965,A63,'Vendor Months'!$J$6:$J$3965,"MARKETING")</f>
        <v>18274.2014540185</v>
      </c>
      <c r="W63" s="10" t="n">
        <f aca="false">SUMIFS('Vendor Months'!$G$6:$G$3965,'Vendor Months'!$A$6:$A$3965,$AS$1,'Vendor Months'!$C$6:$C$3965,A63,'Vendor Months'!$J$6:$J$3965,"ONBOARD")</f>
        <v>3448.509063168</v>
      </c>
      <c r="X63" s="10" t="n">
        <f aca="false">SUMIFS('Vendor Months'!$G$6:$G$3965,'Vendor Months'!$A$6:$A$3965,$AS$1,'Vendor Months'!$C$6:$C$3965,A63,'Vendor Months'!$J$6:$J$3965,"AI")</f>
        <v>0</v>
      </c>
      <c r="Y63" s="10" t="n">
        <f aca="false">SUMIFS('Vendor Months'!$G$6:$G$3965,'Vendor Months'!$A$6:$A$3965,$AS$1,'Vendor Months'!$C$6:$C$3965,A63,'Vendor Months'!$J$6:$J$3965,"CTMS")</f>
        <v>0</v>
      </c>
      <c r="Z63" s="10" t="n">
        <f aca="false">SUM(N63:Y63)</f>
        <v>50552.4287183074</v>
      </c>
      <c r="AA63" s="10" t="n">
        <f aca="false">(SUM(K63:M63)+Z63)*Assumptions!$E$12</f>
        <v>87315.3910561615</v>
      </c>
      <c r="AB63" s="10" t="n">
        <f aca="false">AD63*Assumptions!$E$29</f>
        <v>8747.68383474524</v>
      </c>
      <c r="AC63" s="10" t="n">
        <f aca="false">SUM(K63:M63)+Z63+AA63+AB63</f>
        <v>532640.030171714</v>
      </c>
      <c r="AD63" s="10" t="n">
        <f aca="false">D63*Assumptions!$E$17</f>
        <v>291589.461158175</v>
      </c>
      <c r="AE63" s="10" t="n">
        <f aca="false">AD63*12</f>
        <v>3499073.5338981</v>
      </c>
      <c r="AF63" s="10" t="n">
        <f aca="false">AC63-AD63</f>
        <v>241050.569013539</v>
      </c>
      <c r="AG63" s="10" t="n">
        <f aca="false">IF(A63=Assumptions!$E$7,Assumptions!$E$8,0)</f>
        <v>0</v>
      </c>
      <c r="AH63" s="10" t="n">
        <f aca="false">AI62</f>
        <v>-6365603.778318</v>
      </c>
      <c r="AI63" s="10" t="n">
        <f aca="false">AH63+AG63-AF63</f>
        <v>-6606654.34733154</v>
      </c>
      <c r="AJ63" s="10" t="n">
        <f aca="false">SUM($AC$6:AC63)</f>
        <v>19653737.6926722</v>
      </c>
      <c r="AK63" s="10" t="n">
        <f aca="false">MAX(0,-AI63)</f>
        <v>6606654.34733154</v>
      </c>
      <c r="AL63" s="10" t="n">
        <f aca="false">Assumptions!$E$6+SUM($AG$6:AG63)-AJ63</f>
        <v>-11653737.6926722</v>
      </c>
      <c r="AM63" s="10" t="n">
        <f aca="false">SUMIFS('Vendor Months'!$H$6:$H$3965,'Vendor Months'!$A$6:$A$3965,$AS$1,'Vendor Months'!$C$6:$C$3965,A63)</f>
        <v>23221.692416</v>
      </c>
      <c r="AN63" s="10" t="n">
        <f aca="false">X63+Y63</f>
        <v>0</v>
      </c>
      <c r="AO63" s="10" t="n">
        <f aca="false">SUMIFS('Staff Months'!$I$6:$I$2345,'Staff Months'!$A$6:$A$2345,$AS$1,'Staff Months'!$C$6:$C$2345,A63)</f>
        <v>20258.4375</v>
      </c>
      <c r="AP63" s="10" t="n">
        <f aca="false">SUM($AF$6:AF63)</f>
        <v>14606654.3473315</v>
      </c>
      <c r="AQ63" s="10" t="n">
        <f aca="false">AC63</f>
        <v>532640.030171714</v>
      </c>
      <c r="AR63" s="26" t="n">
        <f aca="false">IF(AI63&lt;0,1,0)</f>
        <v>1</v>
      </c>
      <c r="AS63" s="6"/>
    </row>
    <row r="64" customFormat="false" ht="15" hidden="false" customHeight="false" outlineLevel="0" collapsed="false">
      <c r="A64" s="6" t="n">
        <v>59</v>
      </c>
      <c r="B64" s="25" t="n">
        <f aca="false">EDATE('Start Here'!$B$6,A64-1)</f>
        <v>48092</v>
      </c>
      <c r="C64" s="11" t="n">
        <f aca="false">IF(A64&gt;=Assumptions!$E$13,Assumptions!$E$14*(1+Assumptions!$E$15)^INT((A64-Assumptions!$E$13)/12),0)</f>
        <v>9.826</v>
      </c>
      <c r="D64" s="11" t="n">
        <f aca="false">D63*(1-Assumptions!$E$16)+C64</f>
        <v>216.021404676138</v>
      </c>
      <c r="E64" s="11" t="n">
        <f aca="false">D64*Assumptions!$E$18</f>
        <v>5400.53511690345</v>
      </c>
      <c r="F64" s="11" t="n">
        <f aca="false">E64*Assumptions!$E$19*30/1000000</f>
        <v>40.5040133767758</v>
      </c>
      <c r="G64" s="11" t="n">
        <f aca="false">D64*Assumptions!$E$20</f>
        <v>2160.21404676138</v>
      </c>
      <c r="H64" s="11" t="n">
        <f aca="false">D64*Assumptions!$E$21</f>
        <v>432.042809352276</v>
      </c>
      <c r="I64" s="11" t="n">
        <f aca="false">SUMIFS('Staff Months'!$E$6:$E$2345,'Staff Months'!$A$6:$A$2345,$AS$1,'Staff Months'!$C$6:$C$2345,A64)</f>
        <v>23</v>
      </c>
      <c r="J64" s="11" t="n">
        <f aca="false">SUMIFS('Staff Months'!$L$6:$L$2345,'Staff Months'!$A$6:$A$2345,$AS$1,'Staff Months'!$C$6:$C$2345,A64)</f>
        <v>23</v>
      </c>
      <c r="K64" s="10" t="n">
        <f aca="false">SUMIFS('Staff Months'!$H$6:$H$2345,'Staff Months'!$A$6:$A$2345,$AS$1,'Staff Months'!$C$6:$C$2345,A64)</f>
        <v>386024.5265625</v>
      </c>
      <c r="L64" s="10" t="n">
        <f aca="false">SUMIFS('Staff Months'!$J$6:$J$2345,'Staff Months'!$A$6:$A$2345,$AS$1,'Staff Months'!$C$6:$C$2345,A64)</f>
        <v>0</v>
      </c>
      <c r="M64" s="10" t="n">
        <f aca="false">SUMIFS('Staff Months'!$K$6:$K$2345,'Staff Months'!$A$6:$A$2345,$AS$1,'Staff Months'!$C$6:$C$2345,A64)</f>
        <v>0</v>
      </c>
      <c r="N64" s="10" t="n">
        <f aca="false">SUMIFS('Vendor Months'!$G$6:$G$3965,'Vendor Months'!$A$6:$A$3965,$AS$1,'Vendor Months'!$C$6:$C$3965,A64,'Vendor Months'!$J$6:$J$3965,"INFRA")</f>
        <v>5790.05883103672</v>
      </c>
      <c r="O64" s="10" t="n">
        <f aca="false">SUMIFS('Vendor Months'!$G$6:$G$3965,'Vendor Months'!$A$6:$A$3965,$AS$1,'Vendor Months'!$C$6:$C$3965,A64,'Vendor Months'!$J$6:$J$3965,"TOOLS")</f>
        <v>1318.43059712</v>
      </c>
      <c r="P64" s="10" t="n">
        <f aca="false">SUMIFS('Vendor Months'!$G$6:$G$3965,'Vendor Months'!$A$6:$A$3965,$AS$1,'Vendor Months'!$C$6:$C$3965,A64,'Vendor Months'!$J$6:$J$3965,"LEGAL")</f>
        <v>0</v>
      </c>
      <c r="Q64" s="10" t="n">
        <f aca="false">SUMIFS('Vendor Months'!$G$6:$G$3965,'Vendor Months'!$A$6:$A$3965,$AS$1,'Vendor Months'!$C$6:$C$3965,A64,'Vendor Months'!$J$6:$J$3965,"SECURITY")</f>
        <v>0</v>
      </c>
      <c r="R64" s="10" t="n">
        <f aca="false">SUMIFS('Vendor Months'!$G$6:$G$3965,'Vendor Months'!$A$6:$A$3965,$AS$1,'Vendor Months'!$C$6:$C$3965,A64,'Vendor Months'!$J$6:$J$3965,"COMPLIANCE")</f>
        <v>17547.8784</v>
      </c>
      <c r="S64" s="10" t="n">
        <f aca="false">SUMIFS('Vendor Months'!$G$6:$G$3965,'Vendor Months'!$A$6:$A$3965,$AS$1,'Vendor Months'!$C$6:$C$3965,A64,'Vendor Months'!$J$6:$J$3965,"INSURANCE")</f>
        <v>0</v>
      </c>
      <c r="T64" s="10" t="n">
        <f aca="false">SUMIFS('Vendor Months'!$G$6:$G$3965,'Vendor Months'!$A$6:$A$3965,$AS$1,'Vendor Months'!$C$6:$C$3965,A64,'Vendor Months'!$J$6:$J$3965,"ACCOUNTING")</f>
        <v>701.915136</v>
      </c>
      <c r="U64" s="10" t="n">
        <f aca="false">SUMIFS('Vendor Months'!$G$6:$G$3965,'Vendor Months'!$A$6:$A$3965,$AS$1,'Vendor Months'!$C$6:$C$3965,A64,'Vendor Months'!$J$6:$J$3965,"SUPPORT")</f>
        <v>116.985856</v>
      </c>
      <c r="V64" s="10" t="n">
        <f aca="false">SUMIFS('Vendor Months'!$G$6:$G$3965,'Vendor Months'!$A$6:$A$3965,$AS$1,'Vendor Months'!$C$6:$C$3965,A64,'Vendor Months'!$J$6:$J$3965,"MARKETING")</f>
        <v>18953.5867052703</v>
      </c>
      <c r="W64" s="10" t="n">
        <f aca="false">SUMIFS('Vendor Months'!$G$6:$G$3965,'Vendor Months'!$A$6:$A$3965,$AS$1,'Vendor Months'!$C$6:$C$3965,A64,'Vendor Months'!$J$6:$J$3965,"ONBOARD")</f>
        <v>3448.509063168</v>
      </c>
      <c r="X64" s="10" t="n">
        <f aca="false">SUMIFS('Vendor Months'!$G$6:$G$3965,'Vendor Months'!$A$6:$A$3965,$AS$1,'Vendor Months'!$C$6:$C$3965,A64,'Vendor Months'!$J$6:$J$3965,"AI")</f>
        <v>0</v>
      </c>
      <c r="Y64" s="10" t="n">
        <f aca="false">SUMIFS('Vendor Months'!$G$6:$G$3965,'Vendor Months'!$A$6:$A$3965,$AS$1,'Vendor Months'!$C$6:$C$3965,A64,'Vendor Months'!$J$6:$J$3965,"CTMS")</f>
        <v>0</v>
      </c>
      <c r="Z64" s="10" t="n">
        <f aca="false">SUM(N64:Y64)</f>
        <v>47877.364588595</v>
      </c>
      <c r="AA64" s="10" t="n">
        <f aca="false">(SUM(K64:M64)+Z64)*Assumptions!$E$12</f>
        <v>86780.378230219</v>
      </c>
      <c r="AB64" s="10" t="n">
        <f aca="false">AD64*Assumptions!$E$29</f>
        <v>9072.89899639779</v>
      </c>
      <c r="AC64" s="10" t="n">
        <f aca="false">SUM(K64:M64)+Z64+AA64+AB64</f>
        <v>529755.168377712</v>
      </c>
      <c r="AD64" s="10" t="n">
        <f aca="false">D64*Assumptions!$E$17</f>
        <v>302429.966546593</v>
      </c>
      <c r="AE64" s="10" t="n">
        <f aca="false">AD64*12</f>
        <v>3629159.59855912</v>
      </c>
      <c r="AF64" s="10" t="n">
        <f aca="false">AC64-AD64</f>
        <v>227325.201831119</v>
      </c>
      <c r="AG64" s="10" t="n">
        <f aca="false">IF(A64=Assumptions!$E$7,Assumptions!$E$8,0)</f>
        <v>0</v>
      </c>
      <c r="AH64" s="10" t="n">
        <f aca="false">AI63</f>
        <v>-6606654.34733154</v>
      </c>
      <c r="AI64" s="10" t="n">
        <f aca="false">AH64+AG64-AF64</f>
        <v>-6833979.54916266</v>
      </c>
      <c r="AJ64" s="10" t="n">
        <f aca="false">SUM($AC$6:AC64)</f>
        <v>20183492.8610499</v>
      </c>
      <c r="AK64" s="10" t="n">
        <f aca="false">MAX(0,-AI64)</f>
        <v>6833979.54916266</v>
      </c>
      <c r="AL64" s="10" t="n">
        <f aca="false">Assumptions!$E$6+SUM($AG$6:AG64)-AJ64</f>
        <v>-12183492.8610499</v>
      </c>
      <c r="AM64" s="10" t="n">
        <f aca="false">SUMIFS('Vendor Months'!$H$6:$H$3965,'Vendor Months'!$A$6:$A$3965,$AS$1,'Vendor Months'!$C$6:$C$3965,A64)</f>
        <v>19712.116736</v>
      </c>
      <c r="AN64" s="10" t="n">
        <f aca="false">X64+Y64</f>
        <v>0</v>
      </c>
      <c r="AO64" s="10" t="n">
        <f aca="false">SUMIFS('Staff Months'!$I$6:$I$2345,'Staff Months'!$A$6:$A$2345,$AS$1,'Staff Months'!$C$6:$C$2345,A64)</f>
        <v>20258.4375</v>
      </c>
      <c r="AP64" s="10" t="n">
        <f aca="false">SUM($AF$6:AF64)</f>
        <v>14833979.5491627</v>
      </c>
      <c r="AQ64" s="10" t="n">
        <f aca="false">AC64</f>
        <v>529755.168377712</v>
      </c>
      <c r="AR64" s="26" t="n">
        <f aca="false">IF(AI64&lt;0,1,0)</f>
        <v>1</v>
      </c>
      <c r="AS64" s="6"/>
    </row>
    <row r="65" customFormat="false" ht="15" hidden="false" customHeight="false" outlineLevel="0" collapsed="false">
      <c r="A65" s="6" t="n">
        <v>60</v>
      </c>
      <c r="B65" s="25" t="n">
        <f aca="false">EDATE('Start Here'!$B$6,A65-1)</f>
        <v>48122</v>
      </c>
      <c r="C65" s="11" t="n">
        <f aca="false">IF(A65&gt;=Assumptions!$E$13,Assumptions!$E$14*(1+Assumptions!$E$15)^INT((A65-Assumptions!$E$13)/12),0)</f>
        <v>16.7042</v>
      </c>
      <c r="D65" s="11" t="n">
        <f aca="false">D64*(1-Assumptions!$E$16)+C65</f>
        <v>230.565390629376</v>
      </c>
      <c r="E65" s="11" t="n">
        <f aca="false">D65*Assumptions!$E$18</f>
        <v>5764.13476573441</v>
      </c>
      <c r="F65" s="11" t="n">
        <f aca="false">E65*Assumptions!$E$19*30/1000000</f>
        <v>43.2310107430081</v>
      </c>
      <c r="G65" s="11" t="n">
        <f aca="false">D65*Assumptions!$E$20</f>
        <v>2305.65390629377</v>
      </c>
      <c r="H65" s="11" t="n">
        <f aca="false">D65*Assumptions!$E$21</f>
        <v>461.130781258753</v>
      </c>
      <c r="I65" s="11" t="n">
        <f aca="false">SUMIFS('Staff Months'!$E$6:$E$2345,'Staff Months'!$A$6:$A$2345,$AS$1,'Staff Months'!$C$6:$C$2345,A65)</f>
        <v>23</v>
      </c>
      <c r="J65" s="11" t="n">
        <f aca="false">SUMIFS('Staff Months'!$L$6:$L$2345,'Staff Months'!$A$6:$A$2345,$AS$1,'Staff Months'!$C$6:$C$2345,A65)</f>
        <v>23</v>
      </c>
      <c r="K65" s="10" t="n">
        <f aca="false">SUMIFS('Staff Months'!$H$6:$H$2345,'Staff Months'!$A$6:$A$2345,$AS$1,'Staff Months'!$C$6:$C$2345,A65)</f>
        <v>386024.5265625</v>
      </c>
      <c r="L65" s="10" t="n">
        <f aca="false">SUMIFS('Staff Months'!$J$6:$J$2345,'Staff Months'!$A$6:$A$2345,$AS$1,'Staff Months'!$C$6:$C$2345,A65)</f>
        <v>0</v>
      </c>
      <c r="M65" s="10" t="n">
        <f aca="false">SUMIFS('Staff Months'!$K$6:$K$2345,'Staff Months'!$A$6:$A$2345,$AS$1,'Staff Months'!$C$6:$C$2345,A65)</f>
        <v>0</v>
      </c>
      <c r="N65" s="10" t="n">
        <f aca="false">SUMIFS('Vendor Months'!$G$6:$G$3965,'Vendor Months'!$A$6:$A$3965,$AS$1,'Vendor Months'!$C$6:$C$3965,A65,'Vendor Months'!$J$6:$J$3965,"INFRA")</f>
        <v>6081.43054173128</v>
      </c>
      <c r="O65" s="10" t="n">
        <f aca="false">SUMIFS('Vendor Months'!$G$6:$G$3965,'Vendor Months'!$A$6:$A$3965,$AS$1,'Vendor Months'!$C$6:$C$3965,A65,'Vendor Months'!$J$6:$J$3965,"TOOLS")</f>
        <v>1318.43059712</v>
      </c>
      <c r="P65" s="10" t="n">
        <f aca="false">SUMIFS('Vendor Months'!$G$6:$G$3965,'Vendor Months'!$A$6:$A$3965,$AS$1,'Vendor Months'!$C$6:$C$3965,A65,'Vendor Months'!$J$6:$J$3965,"LEGAL")</f>
        <v>0</v>
      </c>
      <c r="Q65" s="10" t="n">
        <f aca="false">SUMIFS('Vendor Months'!$G$6:$G$3965,'Vendor Months'!$A$6:$A$3965,$AS$1,'Vendor Months'!$C$6:$C$3965,A65,'Vendor Months'!$J$6:$J$3965,"SECURITY")</f>
        <v>0</v>
      </c>
      <c r="R65" s="10" t="n">
        <f aca="false">SUMIFS('Vendor Months'!$G$6:$G$3965,'Vendor Months'!$A$6:$A$3965,$AS$1,'Vendor Months'!$C$6:$C$3965,A65,'Vendor Months'!$J$6:$J$3965,"COMPLIANCE")</f>
        <v>0</v>
      </c>
      <c r="S65" s="10" t="n">
        <f aca="false">SUMIFS('Vendor Months'!$G$6:$G$3965,'Vendor Months'!$A$6:$A$3965,$AS$1,'Vendor Months'!$C$6:$C$3965,A65,'Vendor Months'!$J$6:$J$3965,"INSURANCE")</f>
        <v>0</v>
      </c>
      <c r="T65" s="10" t="n">
        <f aca="false">SUMIFS('Vendor Months'!$G$6:$G$3965,'Vendor Months'!$A$6:$A$3965,$AS$1,'Vendor Months'!$C$6:$C$3965,A65,'Vendor Months'!$J$6:$J$3965,"ACCOUNTING")</f>
        <v>701.915136</v>
      </c>
      <c r="U65" s="10" t="n">
        <f aca="false">SUMIFS('Vendor Months'!$G$6:$G$3965,'Vendor Months'!$A$6:$A$3965,$AS$1,'Vendor Months'!$C$6:$C$3965,A65,'Vendor Months'!$J$6:$J$3965,"SUPPORT")</f>
        <v>116.985856</v>
      </c>
      <c r="V65" s="10" t="n">
        <f aca="false">SUMIFS('Vendor Months'!$G$6:$G$3965,'Vendor Months'!$A$6:$A$3965,$AS$1,'Vendor Months'!$C$6:$C$3965,A65,'Vendor Months'!$J$6:$J$3965,"MARKETING")</f>
        <v>20229.667190064</v>
      </c>
      <c r="W65" s="10" t="n">
        <f aca="false">SUMIFS('Vendor Months'!$G$6:$G$3965,'Vendor Months'!$A$6:$A$3965,$AS$1,'Vendor Months'!$C$6:$C$3965,A65,'Vendor Months'!$J$6:$J$3965,"ONBOARD")</f>
        <v>5862.4654073856</v>
      </c>
      <c r="X65" s="10" t="n">
        <f aca="false">SUMIFS('Vendor Months'!$G$6:$G$3965,'Vendor Months'!$A$6:$A$3965,$AS$1,'Vendor Months'!$C$6:$C$3965,A65,'Vendor Months'!$J$6:$J$3965,"AI")</f>
        <v>0</v>
      </c>
      <c r="Y65" s="10" t="n">
        <f aca="false">SUMIFS('Vendor Months'!$G$6:$G$3965,'Vendor Months'!$A$6:$A$3965,$AS$1,'Vendor Months'!$C$6:$C$3965,A65,'Vendor Months'!$J$6:$J$3965,"CTMS")</f>
        <v>0</v>
      </c>
      <c r="Z65" s="10" t="n">
        <f aca="false">SUM(N65:Y65)</f>
        <v>34310.8947283009</v>
      </c>
      <c r="AA65" s="10" t="n">
        <f aca="false">(SUM(K65:M65)+Z65)*Assumptions!$E$12</f>
        <v>84067.0842581602</v>
      </c>
      <c r="AB65" s="10" t="n">
        <f aca="false">AD65*Assumptions!$E$29</f>
        <v>9683.74640643381</v>
      </c>
      <c r="AC65" s="10" t="n">
        <f aca="false">SUM(K65:M65)+Z65+AA65+AB65</f>
        <v>514086.251955395</v>
      </c>
      <c r="AD65" s="10" t="n">
        <f aca="false">D65*Assumptions!$E$17</f>
        <v>322791.546881127</v>
      </c>
      <c r="AE65" s="10" t="n">
        <f aca="false">AD65*12</f>
        <v>3873498.56257352</v>
      </c>
      <c r="AF65" s="10" t="n">
        <f aca="false">AC65-AD65</f>
        <v>191294.705074268</v>
      </c>
      <c r="AG65" s="10" t="n">
        <f aca="false">IF(A65=Assumptions!$E$7,Assumptions!$E$8,0)</f>
        <v>0</v>
      </c>
      <c r="AH65" s="10" t="n">
        <f aca="false">AI64</f>
        <v>-6833979.54916266</v>
      </c>
      <c r="AI65" s="10" t="n">
        <f aca="false">AH65+AG65-AF65</f>
        <v>-7025274.25423693</v>
      </c>
      <c r="AJ65" s="10" t="n">
        <f aca="false">SUM($AC$6:AC65)</f>
        <v>20697579.1130053</v>
      </c>
      <c r="AK65" s="10" t="n">
        <f aca="false">MAX(0,-AI65)</f>
        <v>7025274.25423693</v>
      </c>
      <c r="AL65" s="10" t="n">
        <f aca="false">Assumptions!$E$6+SUM($AG$6:AG65)-AJ65</f>
        <v>-12697579.1130053</v>
      </c>
      <c r="AM65" s="10" t="n">
        <f aca="false">SUMIFS('Vendor Months'!$H$6:$H$3965,'Vendor Months'!$A$6:$A$3965,$AS$1,'Vendor Months'!$C$6:$C$3965,A65)</f>
        <v>2164.238336</v>
      </c>
      <c r="AN65" s="10" t="n">
        <f aca="false">X65+Y65</f>
        <v>0</v>
      </c>
      <c r="AO65" s="10" t="n">
        <f aca="false">SUMIFS('Staff Months'!$I$6:$I$2345,'Staff Months'!$A$6:$A$2345,$AS$1,'Staff Months'!$C$6:$C$2345,A65)</f>
        <v>20258.4375</v>
      </c>
      <c r="AP65" s="10" t="n">
        <f aca="false">SUM($AF$6:AF65)</f>
        <v>15025274.2542369</v>
      </c>
      <c r="AQ65" s="10" t="n">
        <f aca="false">AC65</f>
        <v>514086.251955395</v>
      </c>
      <c r="AR65" s="26" t="n">
        <f aca="false">IF(AI65&lt;0,1,0)</f>
        <v>1</v>
      </c>
      <c r="AS65" s="6"/>
    </row>
  </sheetData>
  <autoFilter ref="A5:AS65"/>
  <mergeCells count="1">
    <mergeCell ref="A2:H2"/>
  </mergeCells>
  <conditionalFormatting sqref="AI6:AI65">
    <cfRule type="cellIs" priority="2" operator="lessThan" aboveAverage="0" equalAverage="0" bottom="0" percent="0" rank="0" text="" dxfId="12">
      <formula>0</formula>
    </cfRule>
  </conditionalFormatting>
  <conditionalFormatting sqref="AL6:AL65">
    <cfRule type="cellIs" priority="3" operator="lessThan" aboveAverage="0" equalAverage="0" bottom="0" percent="0" rank="0" text="" dxfId="12">
      <formula>0</formula>
    </cfRule>
  </conditionalFormatting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4" min="1" style="0" width="20"/>
    <col collapsed="false" customWidth="true" hidden="true" outlineLevel="1" max="8" min="5" style="0" width="20"/>
    <col collapsed="false" customWidth="true" hidden="false" outlineLevel="0" max="11" min="9" style="0" width="20"/>
    <col collapsed="false" customWidth="true" hidden="true" outlineLevel="1" max="25" min="12" style="0" width="20"/>
    <col collapsed="false" customWidth="true" hidden="false" outlineLevel="0" max="35" min="26" style="0" width="20"/>
    <col collapsed="false" customWidth="true" hidden="true" outlineLevel="1" max="44" min="36" style="0" width="20"/>
  </cols>
  <sheetData>
    <row r="1" customFormat="false" ht="28.5" hidden="false" customHeight="true" outlineLevel="0" collapsed="false">
      <c r="A1" s="1" t="s">
        <v>1031</v>
      </c>
    </row>
    <row r="2" customFormat="false" ht="43.5" hidden="false" customHeight="true" outlineLevel="0" collapsed="false">
      <c r="A2" s="2" t="s">
        <v>1032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996</v>
      </c>
      <c r="B5" s="13" t="s">
        <v>997</v>
      </c>
      <c r="C5" s="13" t="s">
        <v>1006</v>
      </c>
      <c r="D5" s="13" t="s">
        <v>1007</v>
      </c>
      <c r="E5" s="13" t="s">
        <v>1008</v>
      </c>
      <c r="F5" s="13" t="s">
        <v>1009</v>
      </c>
      <c r="G5" s="13" t="s">
        <v>1010</v>
      </c>
      <c r="H5" s="13" t="s">
        <v>1011</v>
      </c>
      <c r="I5" s="13" t="s">
        <v>1012</v>
      </c>
      <c r="J5" s="13" t="s">
        <v>1003</v>
      </c>
      <c r="K5" s="13" t="s">
        <v>33</v>
      </c>
      <c r="L5" s="13" t="s">
        <v>35</v>
      </c>
      <c r="M5" s="13" t="s">
        <v>37</v>
      </c>
      <c r="N5" s="13" t="s">
        <v>39</v>
      </c>
      <c r="O5" s="13" t="s">
        <v>41</v>
      </c>
      <c r="P5" s="13" t="s">
        <v>43</v>
      </c>
      <c r="Q5" s="13" t="s">
        <v>45</v>
      </c>
      <c r="R5" s="13" t="s">
        <v>47</v>
      </c>
      <c r="S5" s="13" t="s">
        <v>49</v>
      </c>
      <c r="T5" s="13" t="s">
        <v>51</v>
      </c>
      <c r="U5" s="13" t="s">
        <v>53</v>
      </c>
      <c r="V5" s="13" t="s">
        <v>55</v>
      </c>
      <c r="W5" s="13" t="s">
        <v>57</v>
      </c>
      <c r="X5" s="13" t="s">
        <v>59</v>
      </c>
      <c r="Y5" s="13" t="s">
        <v>61</v>
      </c>
      <c r="Z5" s="13" t="s">
        <v>1013</v>
      </c>
      <c r="AA5" s="13" t="s">
        <v>63</v>
      </c>
      <c r="AB5" s="13" t="s">
        <v>65</v>
      </c>
      <c r="AC5" s="13" t="s">
        <v>1014</v>
      </c>
      <c r="AD5" s="13" t="s">
        <v>1015</v>
      </c>
      <c r="AE5" s="13" t="s">
        <v>1016</v>
      </c>
      <c r="AF5" s="13" t="s">
        <v>1017</v>
      </c>
      <c r="AG5" s="13" t="s">
        <v>1018</v>
      </c>
      <c r="AH5" s="13" t="s">
        <v>1019</v>
      </c>
      <c r="AI5" s="13" t="s">
        <v>1020</v>
      </c>
      <c r="AJ5" s="13" t="s">
        <v>1021</v>
      </c>
      <c r="AK5" s="13" t="s">
        <v>1022</v>
      </c>
      <c r="AL5" s="13" t="s">
        <v>1023</v>
      </c>
      <c r="AM5" s="13" t="s">
        <v>1024</v>
      </c>
      <c r="AN5" s="13" t="s">
        <v>1025</v>
      </c>
      <c r="AO5" s="13" t="s">
        <v>1002</v>
      </c>
      <c r="AP5" s="13" t="s">
        <v>1026</v>
      </c>
      <c r="AQ5" s="13" t="s">
        <v>1027</v>
      </c>
      <c r="AR5" s="13" t="s">
        <v>1028</v>
      </c>
    </row>
    <row r="6" customFormat="false" ht="15" hidden="false" customHeight="false" outlineLevel="0" collapsed="false">
      <c r="A6" s="11" t="n">
        <f aca="false">IF('Start Here'!$B$5="Lean",'Monthly Lean'!A6,IF('Start Here'!$B$5="Growth",'Monthly Growth'!A6,'Monthly Base'!A6))</f>
        <v>1</v>
      </c>
      <c r="B6" s="25" t="n">
        <f aca="false">IF('Start Here'!$B$5="Lean",'Monthly Lean'!B6,IF('Start Here'!$B$5="Growth",'Monthly Growth'!B6,'Monthly Base'!B6))</f>
        <v>46327</v>
      </c>
      <c r="C6" s="11" t="n">
        <f aca="false">IF('Start Here'!$B$5="Lean",'Monthly Lean'!C6,IF('Start Here'!$B$5="Growth",'Monthly Growth'!C6,'Monthly Base'!C6))</f>
        <v>0</v>
      </c>
      <c r="D6" s="11" t="n">
        <f aca="false">IF('Start Here'!$B$5="Lean",'Monthly Lean'!D6,IF('Start Here'!$B$5="Growth",'Monthly Growth'!D6,'Monthly Base'!D6))</f>
        <v>0</v>
      </c>
      <c r="E6" s="11" t="n">
        <f aca="false">IF('Start Here'!$B$5="Lean",'Monthly Lean'!E6,IF('Start Here'!$B$5="Growth",'Monthly Growth'!E6,'Monthly Base'!E6))</f>
        <v>0</v>
      </c>
      <c r="F6" s="11" t="n">
        <f aca="false">IF('Start Here'!$B$5="Lean",'Monthly Lean'!F6,IF('Start Here'!$B$5="Growth",'Monthly Growth'!F6,'Monthly Base'!F6))</f>
        <v>0</v>
      </c>
      <c r="G6" s="11" t="n">
        <f aca="false">IF('Start Here'!$B$5="Lean",'Monthly Lean'!G6,IF('Start Here'!$B$5="Growth",'Monthly Growth'!G6,'Monthly Base'!G6))</f>
        <v>0</v>
      </c>
      <c r="H6" s="11" t="n">
        <f aca="false">IF('Start Here'!$B$5="Lean",'Monthly Lean'!H6,IF('Start Here'!$B$5="Growth",'Monthly Growth'!H6,'Monthly Base'!H6))</f>
        <v>0</v>
      </c>
      <c r="I6" s="11" t="n">
        <f aca="false">IF('Start Here'!$B$5="Lean",'Monthly Lean'!I6,IF('Start Here'!$B$5="Growth",'Monthly Growth'!I6,'Monthly Base'!I6))</f>
        <v>2</v>
      </c>
      <c r="J6" s="11" t="n">
        <f aca="false">IF('Start Here'!$B$5="Lean",'Monthly Lean'!J6,IF('Start Here'!$B$5="Growth",'Monthly Growth'!J6,'Monthly Base'!J6))</f>
        <v>2</v>
      </c>
      <c r="K6" s="10" t="n">
        <f aca="false">IF('Start Here'!$B$5="Lean",'Monthly Lean'!K6,IF('Start Here'!$B$5="Growth",'Monthly Growth'!K6,'Monthly Base'!K6))</f>
        <v>19250</v>
      </c>
      <c r="L6" s="10" t="n">
        <f aca="false">IF('Start Here'!$B$5="Lean",'Monthly Lean'!L6,IF('Start Here'!$B$5="Growth",'Monthly Growth'!L6,'Monthly Base'!L6))</f>
        <v>8000</v>
      </c>
      <c r="M6" s="10" t="n">
        <f aca="false">IF('Start Here'!$B$5="Lean",'Monthly Lean'!M6,IF('Start Here'!$B$5="Growth",'Monthly Growth'!M6,'Monthly Base'!M6))</f>
        <v>6000</v>
      </c>
      <c r="N6" s="10" t="n">
        <f aca="false">IF('Start Here'!$B$5="Lean",'Monthly Lean'!N6,IF('Start Here'!$B$5="Growth",'Monthly Growth'!N6,'Monthly Base'!N6))</f>
        <v>1250</v>
      </c>
      <c r="O6" s="10" t="n">
        <f aca="false">IF('Start Here'!$B$5="Lean",'Monthly Lean'!O6,IF('Start Here'!$B$5="Growth",'Monthly Growth'!O6,'Monthly Base'!O6))</f>
        <v>98</v>
      </c>
      <c r="P6" s="10" t="n">
        <f aca="false">IF('Start Here'!$B$5="Lean",'Monthly Lean'!P6,IF('Start Here'!$B$5="Growth",'Monthly Growth'!P6,'Monthly Base'!P6))</f>
        <v>0</v>
      </c>
      <c r="Q6" s="10" t="n">
        <f aca="false">IF('Start Here'!$B$5="Lean",'Monthly Lean'!Q6,IF('Start Here'!$B$5="Growth",'Monthly Growth'!Q6,'Monthly Base'!Q6))</f>
        <v>0</v>
      </c>
      <c r="R6" s="10" t="n">
        <f aca="false">IF('Start Here'!$B$5="Lean",'Monthly Lean'!R6,IF('Start Here'!$B$5="Growth",'Monthly Growth'!R6,'Monthly Base'!R6))</f>
        <v>0</v>
      </c>
      <c r="S6" s="10" t="n">
        <f aca="false">IF('Start Here'!$B$5="Lean",'Monthly Lean'!S6,IF('Start Here'!$B$5="Growth",'Monthly Growth'!S6,'Monthly Base'!S6))</f>
        <v>0</v>
      </c>
      <c r="T6" s="10" t="n">
        <f aca="false">IF('Start Here'!$B$5="Lean",'Monthly Lean'!T6,IF('Start Here'!$B$5="Growth",'Monthly Growth'!T6,'Monthly Base'!T6))</f>
        <v>600</v>
      </c>
      <c r="U6" s="10" t="n">
        <f aca="false">IF('Start Here'!$B$5="Lean",'Monthly Lean'!U6,IF('Start Here'!$B$5="Growth",'Monthly Growth'!U6,'Monthly Base'!U6))</f>
        <v>0</v>
      </c>
      <c r="V6" s="10" t="n">
        <f aca="false">IF('Start Here'!$B$5="Lean",'Monthly Lean'!V6,IF('Start Here'!$B$5="Growth",'Monthly Growth'!V6,'Monthly Base'!V6))</f>
        <v>0</v>
      </c>
      <c r="W6" s="10" t="n">
        <f aca="false">IF('Start Here'!$B$5="Lean",'Monthly Lean'!W6,IF('Start Here'!$B$5="Growth",'Monthly Growth'!W6,'Monthly Base'!W6))</f>
        <v>0</v>
      </c>
      <c r="X6" s="10" t="n">
        <f aca="false">IF('Start Here'!$B$5="Lean",'Monthly Lean'!X6,IF('Start Here'!$B$5="Growth",'Monthly Growth'!X6,'Monthly Base'!X6))</f>
        <v>0</v>
      </c>
      <c r="Y6" s="10" t="n">
        <f aca="false">IF('Start Here'!$B$5="Lean",'Monthly Lean'!Y6,IF('Start Here'!$B$5="Growth",'Monthly Growth'!Y6,'Monthly Base'!Y6))</f>
        <v>0</v>
      </c>
      <c r="Z6" s="10" t="n">
        <f aca="false">IF('Start Here'!$B$5="Lean",'Monthly Lean'!Z6,IF('Start Here'!$B$5="Growth",'Monthly Growth'!Z6,'Monthly Base'!Z6))</f>
        <v>1948</v>
      </c>
      <c r="AA6" s="10" t="n">
        <f aca="false">IF('Start Here'!$B$5="Lean",'Monthly Lean'!AA6,IF('Start Here'!$B$5="Growth",'Monthly Growth'!AA6,'Monthly Base'!AA6))</f>
        <v>5279.7</v>
      </c>
      <c r="AB6" s="10" t="n">
        <f aca="false">IF('Start Here'!$B$5="Lean",'Monthly Lean'!AB6,IF('Start Here'!$B$5="Growth",'Monthly Growth'!AB6,'Monthly Base'!AB6))</f>
        <v>0</v>
      </c>
      <c r="AC6" s="10" t="n">
        <f aca="false">IF('Start Here'!$B$5="Lean",'Monthly Lean'!AC6,IF('Start Here'!$B$5="Growth",'Monthly Growth'!AC6,'Monthly Base'!AC6))</f>
        <v>40477.7</v>
      </c>
      <c r="AD6" s="10" t="n">
        <f aca="false">IF('Start Here'!$B$5="Lean",'Monthly Lean'!AD6,IF('Start Here'!$B$5="Growth",'Monthly Growth'!AD6,'Monthly Base'!AD6))</f>
        <v>0</v>
      </c>
      <c r="AE6" s="10" t="n">
        <f aca="false">IF('Start Here'!$B$5="Lean",'Monthly Lean'!AE6,IF('Start Here'!$B$5="Growth",'Monthly Growth'!AE6,'Monthly Base'!AE6))</f>
        <v>0</v>
      </c>
      <c r="AF6" s="10" t="n">
        <f aca="false">IF('Start Here'!$B$5="Lean",'Monthly Lean'!AF6,IF('Start Here'!$B$5="Growth",'Monthly Growth'!AF6,'Monthly Base'!AF6))</f>
        <v>40477.7</v>
      </c>
      <c r="AG6" s="10" t="n">
        <f aca="false">IF('Start Here'!$B$5="Lean",'Monthly Lean'!AG6,IF('Start Here'!$B$5="Growth",'Monthly Growth'!AG6,'Monthly Base'!AG6))</f>
        <v>0</v>
      </c>
      <c r="AH6" s="10" t="n">
        <f aca="false">IF('Start Here'!$B$5="Lean",'Monthly Lean'!AH6,IF('Start Here'!$B$5="Growth",'Monthly Growth'!AH6,'Monthly Base'!AH6))</f>
        <v>1000000</v>
      </c>
      <c r="AI6" s="10" t="n">
        <f aca="false">IF('Start Here'!$B$5="Lean",'Monthly Lean'!AI6,IF('Start Here'!$B$5="Growth",'Monthly Growth'!AI6,'Monthly Base'!AI6))</f>
        <v>959522.3</v>
      </c>
      <c r="AJ6" s="10" t="n">
        <f aca="false">IF('Start Here'!$B$5="Lean",'Monthly Lean'!AJ6,IF('Start Here'!$B$5="Growth",'Monthly Growth'!AJ6,'Monthly Base'!AJ6))</f>
        <v>40477.7</v>
      </c>
      <c r="AK6" s="10" t="n">
        <f aca="false">IF('Start Here'!$B$5="Lean",'Monthly Lean'!AK6,IF('Start Here'!$B$5="Growth",'Monthly Growth'!AK6,'Monthly Base'!AK6))</f>
        <v>0</v>
      </c>
      <c r="AL6" s="10" t="n">
        <f aca="false">IF('Start Here'!$B$5="Lean",'Monthly Lean'!AL6,IF('Start Here'!$B$5="Growth",'Monthly Growth'!AL6,'Monthly Base'!AL6))</f>
        <v>959522.3</v>
      </c>
      <c r="AM6" s="10" t="n">
        <f aca="false">IF('Start Here'!$B$5="Lean",'Monthly Lean'!AM6,IF('Start Here'!$B$5="Growth",'Monthly Growth'!AM6,'Monthly Base'!AM6))</f>
        <v>1850</v>
      </c>
      <c r="AN6" s="10" t="n">
        <f aca="false">IF('Start Here'!$B$5="Lean",'Monthly Lean'!AN6,IF('Start Here'!$B$5="Growth",'Monthly Growth'!AN6,'Monthly Base'!AN6))</f>
        <v>0</v>
      </c>
      <c r="AO6" s="10" t="n">
        <f aca="false">IF('Start Here'!$B$5="Lean",'Monthly Lean'!AO6,IF('Start Here'!$B$5="Growth",'Monthly Growth'!AO6,'Monthly Base'!AO6))</f>
        <v>15000</v>
      </c>
      <c r="AP6" s="10" t="n">
        <f aca="false">IF('Start Here'!$B$5="Lean",'Monthly Lean'!AP6,IF('Start Here'!$B$5="Growth",'Monthly Growth'!AP6,'Monthly Base'!AP6))</f>
        <v>40477.7</v>
      </c>
      <c r="AQ6" s="10" t="n">
        <f aca="false">IF('Start Here'!$B$5="Lean",'Monthly Lean'!AQ6,IF('Start Here'!$B$5="Growth",'Monthly Growth'!AQ6,'Monthly Base'!AQ6))</f>
        <v>40477.7</v>
      </c>
      <c r="AR6" s="10" t="n">
        <f aca="false">IF('Start Here'!$B$5="Lean",'Monthly Lean'!AR6,IF('Start Here'!$B$5="Growth",'Monthly Growth'!AR6,'Monthly Base'!AR6))</f>
        <v>0</v>
      </c>
    </row>
    <row r="7" customFormat="false" ht="15" hidden="false" customHeight="false" outlineLevel="0" collapsed="false">
      <c r="A7" s="11" t="n">
        <f aca="false">IF('Start Here'!$B$5="Lean",'Monthly Lean'!A7,IF('Start Here'!$B$5="Growth",'Monthly Growth'!A7,'Monthly Base'!A7))</f>
        <v>2</v>
      </c>
      <c r="B7" s="25" t="n">
        <f aca="false">IF('Start Here'!$B$5="Lean",'Monthly Lean'!B7,IF('Start Here'!$B$5="Growth",'Monthly Growth'!B7,'Monthly Base'!B7))</f>
        <v>46357</v>
      </c>
      <c r="C7" s="11" t="n">
        <f aca="false">IF('Start Here'!$B$5="Lean",'Monthly Lean'!C7,IF('Start Here'!$B$5="Growth",'Monthly Growth'!C7,'Monthly Base'!C7))</f>
        <v>0</v>
      </c>
      <c r="D7" s="11" t="n">
        <f aca="false">IF('Start Here'!$B$5="Lean",'Monthly Lean'!D7,IF('Start Here'!$B$5="Growth",'Monthly Growth'!D7,'Monthly Base'!D7))</f>
        <v>0</v>
      </c>
      <c r="E7" s="11" t="n">
        <f aca="false">IF('Start Here'!$B$5="Lean",'Monthly Lean'!E7,IF('Start Here'!$B$5="Growth",'Monthly Growth'!E7,'Monthly Base'!E7))</f>
        <v>0</v>
      </c>
      <c r="F7" s="11" t="n">
        <f aca="false">IF('Start Here'!$B$5="Lean",'Monthly Lean'!F7,IF('Start Here'!$B$5="Growth",'Monthly Growth'!F7,'Monthly Base'!F7))</f>
        <v>0</v>
      </c>
      <c r="G7" s="11" t="n">
        <f aca="false">IF('Start Here'!$B$5="Lean",'Monthly Lean'!G7,IF('Start Here'!$B$5="Growth",'Monthly Growth'!G7,'Monthly Base'!G7))</f>
        <v>0</v>
      </c>
      <c r="H7" s="11" t="n">
        <f aca="false">IF('Start Here'!$B$5="Lean",'Monthly Lean'!H7,IF('Start Here'!$B$5="Growth",'Monthly Growth'!H7,'Monthly Base'!H7))</f>
        <v>0</v>
      </c>
      <c r="I7" s="11" t="n">
        <f aca="false">IF('Start Here'!$B$5="Lean",'Monthly Lean'!I7,IF('Start Here'!$B$5="Growth",'Monthly Growth'!I7,'Monthly Base'!I7))</f>
        <v>2.65</v>
      </c>
      <c r="J7" s="11" t="n">
        <f aca="false">IF('Start Here'!$B$5="Lean",'Monthly Lean'!J7,IF('Start Here'!$B$5="Growth",'Monthly Growth'!J7,'Monthly Base'!J7))</f>
        <v>5</v>
      </c>
      <c r="K7" s="10" t="n">
        <f aca="false">IF('Start Here'!$B$5="Lean",'Monthly Lean'!K7,IF('Start Here'!$B$5="Growth",'Monthly Growth'!K7,'Monthly Base'!K7))</f>
        <v>28416.6666666667</v>
      </c>
      <c r="L7" s="10" t="n">
        <f aca="false">IF('Start Here'!$B$5="Lean",'Monthly Lean'!L7,IF('Start Here'!$B$5="Growth",'Monthly Growth'!L7,'Monthly Base'!L7))</f>
        <v>0</v>
      </c>
      <c r="M7" s="10" t="n">
        <f aca="false">IF('Start Here'!$B$5="Lean",'Monthly Lean'!M7,IF('Start Here'!$B$5="Growth",'Monthly Growth'!M7,'Monthly Base'!M7))</f>
        <v>1950</v>
      </c>
      <c r="N7" s="10" t="n">
        <f aca="false">IF('Start Here'!$B$5="Lean",'Monthly Lean'!N7,IF('Start Here'!$B$5="Growth",'Monthly Growth'!N7,'Monthly Base'!N7))</f>
        <v>1250</v>
      </c>
      <c r="O7" s="10" t="n">
        <f aca="false">IF('Start Here'!$B$5="Lean",'Monthly Lean'!O7,IF('Start Here'!$B$5="Growth",'Monthly Growth'!O7,'Monthly Base'!O7))</f>
        <v>147</v>
      </c>
      <c r="P7" s="10" t="n">
        <f aca="false">IF('Start Here'!$B$5="Lean",'Monthly Lean'!P7,IF('Start Here'!$B$5="Growth",'Monthly Growth'!P7,'Monthly Base'!P7))</f>
        <v>20000</v>
      </c>
      <c r="Q7" s="10" t="n">
        <f aca="false">IF('Start Here'!$B$5="Lean",'Monthly Lean'!Q7,IF('Start Here'!$B$5="Growth",'Monthly Growth'!Q7,'Monthly Base'!Q7))</f>
        <v>0</v>
      </c>
      <c r="R7" s="10" t="n">
        <f aca="false">IF('Start Here'!$B$5="Lean",'Monthly Lean'!R7,IF('Start Here'!$B$5="Growth",'Monthly Growth'!R7,'Monthly Base'!R7))</f>
        <v>0</v>
      </c>
      <c r="S7" s="10" t="n">
        <f aca="false">IF('Start Here'!$B$5="Lean",'Monthly Lean'!S7,IF('Start Here'!$B$5="Growth",'Monthly Growth'!S7,'Monthly Base'!S7))</f>
        <v>0</v>
      </c>
      <c r="T7" s="10" t="n">
        <f aca="false">IF('Start Here'!$B$5="Lean",'Monthly Lean'!T7,IF('Start Here'!$B$5="Growth",'Monthly Growth'!T7,'Monthly Base'!T7))</f>
        <v>600</v>
      </c>
      <c r="U7" s="10" t="n">
        <f aca="false">IF('Start Here'!$B$5="Lean",'Monthly Lean'!U7,IF('Start Here'!$B$5="Growth",'Monthly Growth'!U7,'Monthly Base'!U7))</f>
        <v>0</v>
      </c>
      <c r="V7" s="10" t="n">
        <f aca="false">IF('Start Here'!$B$5="Lean",'Monthly Lean'!V7,IF('Start Here'!$B$5="Growth",'Monthly Growth'!V7,'Monthly Base'!V7))</f>
        <v>0</v>
      </c>
      <c r="W7" s="10" t="n">
        <f aca="false">IF('Start Here'!$B$5="Lean",'Monthly Lean'!W7,IF('Start Here'!$B$5="Growth",'Monthly Growth'!W7,'Monthly Base'!W7))</f>
        <v>0</v>
      </c>
      <c r="X7" s="10" t="n">
        <f aca="false">IF('Start Here'!$B$5="Lean",'Monthly Lean'!X7,IF('Start Here'!$B$5="Growth",'Monthly Growth'!X7,'Monthly Base'!X7))</f>
        <v>0</v>
      </c>
      <c r="Y7" s="10" t="n">
        <f aca="false">IF('Start Here'!$B$5="Lean",'Monthly Lean'!Y7,IF('Start Here'!$B$5="Growth",'Monthly Growth'!Y7,'Monthly Base'!Y7))</f>
        <v>0</v>
      </c>
      <c r="Z7" s="10" t="n">
        <f aca="false">IF('Start Here'!$B$5="Lean",'Monthly Lean'!Z7,IF('Start Here'!$B$5="Growth",'Monthly Growth'!Z7,'Monthly Base'!Z7))</f>
        <v>21997</v>
      </c>
      <c r="AA7" s="10" t="n">
        <f aca="false">IF('Start Here'!$B$5="Lean",'Monthly Lean'!AA7,IF('Start Here'!$B$5="Growth",'Monthly Growth'!AA7,'Monthly Base'!AA7))</f>
        <v>7854.55</v>
      </c>
      <c r="AB7" s="10" t="n">
        <f aca="false">IF('Start Here'!$B$5="Lean",'Monthly Lean'!AB7,IF('Start Here'!$B$5="Growth",'Monthly Growth'!AB7,'Monthly Base'!AB7))</f>
        <v>0</v>
      </c>
      <c r="AC7" s="10" t="n">
        <f aca="false">IF('Start Here'!$B$5="Lean",'Monthly Lean'!AC7,IF('Start Here'!$B$5="Growth",'Monthly Growth'!AC7,'Monthly Base'!AC7))</f>
        <v>60218.2166666667</v>
      </c>
      <c r="AD7" s="10" t="n">
        <f aca="false">IF('Start Here'!$B$5="Lean",'Monthly Lean'!AD7,IF('Start Here'!$B$5="Growth",'Monthly Growth'!AD7,'Monthly Base'!AD7))</f>
        <v>0</v>
      </c>
      <c r="AE7" s="10" t="n">
        <f aca="false">IF('Start Here'!$B$5="Lean",'Monthly Lean'!AE7,IF('Start Here'!$B$5="Growth",'Monthly Growth'!AE7,'Monthly Base'!AE7))</f>
        <v>0</v>
      </c>
      <c r="AF7" s="10" t="n">
        <f aca="false">IF('Start Here'!$B$5="Lean",'Monthly Lean'!AF7,IF('Start Here'!$B$5="Growth",'Monthly Growth'!AF7,'Monthly Base'!AF7))</f>
        <v>60218.2166666667</v>
      </c>
      <c r="AG7" s="10" t="n">
        <f aca="false">IF('Start Here'!$B$5="Lean",'Monthly Lean'!AG7,IF('Start Here'!$B$5="Growth",'Monthly Growth'!AG7,'Monthly Base'!AG7))</f>
        <v>0</v>
      </c>
      <c r="AH7" s="10" t="n">
        <f aca="false">IF('Start Here'!$B$5="Lean",'Monthly Lean'!AH7,IF('Start Here'!$B$5="Growth",'Monthly Growth'!AH7,'Monthly Base'!AH7))</f>
        <v>959522.3</v>
      </c>
      <c r="AI7" s="10" t="n">
        <f aca="false">IF('Start Here'!$B$5="Lean",'Monthly Lean'!AI7,IF('Start Here'!$B$5="Growth",'Monthly Growth'!AI7,'Monthly Base'!AI7))</f>
        <v>899304.083333333</v>
      </c>
      <c r="AJ7" s="10" t="n">
        <f aca="false">IF('Start Here'!$B$5="Lean",'Monthly Lean'!AJ7,IF('Start Here'!$B$5="Growth",'Monthly Growth'!AJ7,'Monthly Base'!AJ7))</f>
        <v>100695.916666667</v>
      </c>
      <c r="AK7" s="10" t="n">
        <f aca="false">IF('Start Here'!$B$5="Lean",'Monthly Lean'!AK7,IF('Start Here'!$B$5="Growth",'Monthly Growth'!AK7,'Monthly Base'!AK7))</f>
        <v>0</v>
      </c>
      <c r="AL7" s="10" t="n">
        <f aca="false">IF('Start Here'!$B$5="Lean",'Monthly Lean'!AL7,IF('Start Here'!$B$5="Growth",'Monthly Growth'!AL7,'Monthly Base'!AL7))</f>
        <v>899304.083333333</v>
      </c>
      <c r="AM7" s="10" t="n">
        <f aca="false">IF('Start Here'!$B$5="Lean",'Monthly Lean'!AM7,IF('Start Here'!$B$5="Growth",'Monthly Growth'!AM7,'Monthly Base'!AM7))</f>
        <v>21850</v>
      </c>
      <c r="AN7" s="10" t="n">
        <f aca="false">IF('Start Here'!$B$5="Lean",'Monthly Lean'!AN7,IF('Start Here'!$B$5="Growth",'Monthly Growth'!AN7,'Monthly Base'!AN7))</f>
        <v>0</v>
      </c>
      <c r="AO7" s="10" t="n">
        <f aca="false">IF('Start Here'!$B$5="Lean",'Monthly Lean'!AO7,IF('Start Here'!$B$5="Growth",'Monthly Growth'!AO7,'Monthly Base'!AO7))</f>
        <v>15000</v>
      </c>
      <c r="AP7" s="10" t="n">
        <f aca="false">IF('Start Here'!$B$5="Lean",'Monthly Lean'!AP7,IF('Start Here'!$B$5="Growth",'Monthly Growth'!AP7,'Monthly Base'!AP7))</f>
        <v>100695.916666667</v>
      </c>
      <c r="AQ7" s="10" t="n">
        <f aca="false">IF('Start Here'!$B$5="Lean",'Monthly Lean'!AQ7,IF('Start Here'!$B$5="Growth",'Monthly Growth'!AQ7,'Monthly Base'!AQ7))</f>
        <v>60218.2166666667</v>
      </c>
      <c r="AR7" s="10" t="n">
        <f aca="false">IF('Start Here'!$B$5="Lean",'Monthly Lean'!AR7,IF('Start Here'!$B$5="Growth",'Monthly Growth'!AR7,'Monthly Base'!AR7))</f>
        <v>0</v>
      </c>
    </row>
    <row r="8" customFormat="false" ht="15" hidden="false" customHeight="false" outlineLevel="0" collapsed="false">
      <c r="A8" s="11" t="n">
        <f aca="false">IF('Start Here'!$B$5="Lean",'Monthly Lean'!A8,IF('Start Here'!$B$5="Growth",'Monthly Growth'!A8,'Monthly Base'!A8))</f>
        <v>3</v>
      </c>
      <c r="B8" s="25" t="n">
        <f aca="false">IF('Start Here'!$B$5="Lean",'Monthly Lean'!B8,IF('Start Here'!$B$5="Growth",'Monthly Growth'!B8,'Monthly Base'!B8))</f>
        <v>46388</v>
      </c>
      <c r="C8" s="11" t="n">
        <f aca="false">IF('Start Here'!$B$5="Lean",'Monthly Lean'!C8,IF('Start Here'!$B$5="Growth",'Monthly Growth'!C8,'Monthly Base'!C8))</f>
        <v>0</v>
      </c>
      <c r="D8" s="11" t="n">
        <f aca="false">IF('Start Here'!$B$5="Lean",'Monthly Lean'!D8,IF('Start Here'!$B$5="Growth",'Monthly Growth'!D8,'Monthly Base'!D8))</f>
        <v>0</v>
      </c>
      <c r="E8" s="11" t="n">
        <f aca="false">IF('Start Here'!$B$5="Lean",'Monthly Lean'!E8,IF('Start Here'!$B$5="Growth",'Monthly Growth'!E8,'Monthly Base'!E8))</f>
        <v>0</v>
      </c>
      <c r="F8" s="11" t="n">
        <f aca="false">IF('Start Here'!$B$5="Lean",'Monthly Lean'!F8,IF('Start Here'!$B$5="Growth",'Monthly Growth'!F8,'Monthly Base'!F8))</f>
        <v>0</v>
      </c>
      <c r="G8" s="11" t="n">
        <f aca="false">IF('Start Here'!$B$5="Lean",'Monthly Lean'!G8,IF('Start Here'!$B$5="Growth",'Monthly Growth'!G8,'Monthly Base'!G8))</f>
        <v>0</v>
      </c>
      <c r="H8" s="11" t="n">
        <f aca="false">IF('Start Here'!$B$5="Lean",'Monthly Lean'!H8,IF('Start Here'!$B$5="Growth",'Monthly Growth'!H8,'Monthly Base'!H8))</f>
        <v>0</v>
      </c>
      <c r="I8" s="11" t="n">
        <f aca="false">IF('Start Here'!$B$5="Lean",'Monthly Lean'!I8,IF('Start Here'!$B$5="Growth",'Monthly Growth'!I8,'Monthly Base'!I8))</f>
        <v>3.65</v>
      </c>
      <c r="J8" s="11" t="n">
        <f aca="false">IF('Start Here'!$B$5="Lean",'Monthly Lean'!J8,IF('Start Here'!$B$5="Growth",'Monthly Growth'!J8,'Monthly Base'!J8))</f>
        <v>6</v>
      </c>
      <c r="K8" s="10" t="n">
        <f aca="false">IF('Start Here'!$B$5="Lean",'Monthly Lean'!K8,IF('Start Here'!$B$5="Growth",'Monthly Growth'!K8,'Monthly Base'!K8))</f>
        <v>45333.3333333333</v>
      </c>
      <c r="L8" s="10" t="n">
        <f aca="false">IF('Start Here'!$B$5="Lean",'Monthly Lean'!L8,IF('Start Here'!$B$5="Growth",'Monthly Growth'!L8,'Monthly Base'!L8))</f>
        <v>8000</v>
      </c>
      <c r="M8" s="10" t="n">
        <f aca="false">IF('Start Here'!$B$5="Lean",'Monthly Lean'!M8,IF('Start Here'!$B$5="Growth",'Monthly Growth'!M8,'Monthly Base'!M8))</f>
        <v>3000</v>
      </c>
      <c r="N8" s="10" t="n">
        <f aca="false">IF('Start Here'!$B$5="Lean",'Monthly Lean'!N8,IF('Start Here'!$B$5="Growth",'Monthly Growth'!N8,'Monthly Base'!N8))</f>
        <v>1250</v>
      </c>
      <c r="O8" s="10" t="n">
        <f aca="false">IF('Start Here'!$B$5="Lean",'Monthly Lean'!O8,IF('Start Here'!$B$5="Growth",'Monthly Growth'!O8,'Monthly Base'!O8))</f>
        <v>196</v>
      </c>
      <c r="P8" s="10" t="n">
        <f aca="false">IF('Start Here'!$B$5="Lean",'Monthly Lean'!P8,IF('Start Here'!$B$5="Growth",'Monthly Growth'!P8,'Monthly Base'!P8))</f>
        <v>0</v>
      </c>
      <c r="Q8" s="10" t="n">
        <f aca="false">IF('Start Here'!$B$5="Lean",'Monthly Lean'!Q8,IF('Start Here'!$B$5="Growth",'Monthly Growth'!Q8,'Monthly Base'!Q8))</f>
        <v>0</v>
      </c>
      <c r="R8" s="10" t="n">
        <f aca="false">IF('Start Here'!$B$5="Lean",'Monthly Lean'!R8,IF('Start Here'!$B$5="Growth",'Monthly Growth'!R8,'Monthly Base'!R8))</f>
        <v>0</v>
      </c>
      <c r="S8" s="10" t="n">
        <f aca="false">IF('Start Here'!$B$5="Lean",'Monthly Lean'!S8,IF('Start Here'!$B$5="Growth",'Monthly Growth'!S8,'Monthly Base'!S8))</f>
        <v>0</v>
      </c>
      <c r="T8" s="10" t="n">
        <f aca="false">IF('Start Here'!$B$5="Lean",'Monthly Lean'!T8,IF('Start Here'!$B$5="Growth",'Monthly Growth'!T8,'Monthly Base'!T8))</f>
        <v>600</v>
      </c>
      <c r="U8" s="10" t="n">
        <f aca="false">IF('Start Here'!$B$5="Lean",'Monthly Lean'!U8,IF('Start Here'!$B$5="Growth",'Monthly Growth'!U8,'Monthly Base'!U8))</f>
        <v>0</v>
      </c>
      <c r="V8" s="10" t="n">
        <f aca="false">IF('Start Here'!$B$5="Lean",'Monthly Lean'!V8,IF('Start Here'!$B$5="Growth",'Monthly Growth'!V8,'Monthly Base'!V8))</f>
        <v>0</v>
      </c>
      <c r="W8" s="10" t="n">
        <f aca="false">IF('Start Here'!$B$5="Lean",'Monthly Lean'!W8,IF('Start Here'!$B$5="Growth",'Monthly Growth'!W8,'Monthly Base'!W8))</f>
        <v>0</v>
      </c>
      <c r="X8" s="10" t="n">
        <f aca="false">IF('Start Here'!$B$5="Lean",'Monthly Lean'!X8,IF('Start Here'!$B$5="Growth",'Monthly Growth'!X8,'Monthly Base'!X8))</f>
        <v>0</v>
      </c>
      <c r="Y8" s="10" t="n">
        <f aca="false">IF('Start Here'!$B$5="Lean",'Monthly Lean'!Y8,IF('Start Here'!$B$5="Growth",'Monthly Growth'!Y8,'Monthly Base'!Y8))</f>
        <v>0</v>
      </c>
      <c r="Z8" s="10" t="n">
        <f aca="false">IF('Start Here'!$B$5="Lean",'Monthly Lean'!Z8,IF('Start Here'!$B$5="Growth",'Monthly Growth'!Z8,'Monthly Base'!Z8))</f>
        <v>2046</v>
      </c>
      <c r="AA8" s="10" t="n">
        <f aca="false">IF('Start Here'!$B$5="Lean",'Monthly Lean'!AA8,IF('Start Here'!$B$5="Growth",'Monthly Growth'!AA8,'Monthly Base'!AA8))</f>
        <v>8756.9</v>
      </c>
      <c r="AB8" s="10" t="n">
        <f aca="false">IF('Start Here'!$B$5="Lean",'Monthly Lean'!AB8,IF('Start Here'!$B$5="Growth",'Monthly Growth'!AB8,'Monthly Base'!AB8))</f>
        <v>0</v>
      </c>
      <c r="AC8" s="10" t="n">
        <f aca="false">IF('Start Here'!$B$5="Lean",'Monthly Lean'!AC8,IF('Start Here'!$B$5="Growth",'Monthly Growth'!AC8,'Monthly Base'!AC8))</f>
        <v>67136.2333333333</v>
      </c>
      <c r="AD8" s="10" t="n">
        <f aca="false">IF('Start Here'!$B$5="Lean",'Monthly Lean'!AD8,IF('Start Here'!$B$5="Growth",'Monthly Growth'!AD8,'Monthly Base'!AD8))</f>
        <v>0</v>
      </c>
      <c r="AE8" s="10" t="n">
        <f aca="false">IF('Start Here'!$B$5="Lean",'Monthly Lean'!AE8,IF('Start Here'!$B$5="Growth",'Monthly Growth'!AE8,'Monthly Base'!AE8))</f>
        <v>0</v>
      </c>
      <c r="AF8" s="10" t="n">
        <f aca="false">IF('Start Here'!$B$5="Lean",'Monthly Lean'!AF8,IF('Start Here'!$B$5="Growth",'Monthly Growth'!AF8,'Monthly Base'!AF8))</f>
        <v>67136.2333333333</v>
      </c>
      <c r="AG8" s="10" t="n">
        <f aca="false">IF('Start Here'!$B$5="Lean",'Monthly Lean'!AG8,IF('Start Here'!$B$5="Growth",'Monthly Growth'!AG8,'Monthly Base'!AG8))</f>
        <v>0</v>
      </c>
      <c r="AH8" s="10" t="n">
        <f aca="false">IF('Start Here'!$B$5="Lean",'Monthly Lean'!AH8,IF('Start Here'!$B$5="Growth",'Monthly Growth'!AH8,'Monthly Base'!AH8))</f>
        <v>899304.083333333</v>
      </c>
      <c r="AI8" s="10" t="n">
        <f aca="false">IF('Start Here'!$B$5="Lean",'Monthly Lean'!AI8,IF('Start Here'!$B$5="Growth",'Monthly Growth'!AI8,'Monthly Base'!AI8))</f>
        <v>832167.85</v>
      </c>
      <c r="AJ8" s="10" t="n">
        <f aca="false">IF('Start Here'!$B$5="Lean",'Monthly Lean'!AJ8,IF('Start Here'!$B$5="Growth",'Monthly Growth'!AJ8,'Monthly Base'!AJ8))</f>
        <v>167832.15</v>
      </c>
      <c r="AK8" s="10" t="n">
        <f aca="false">IF('Start Here'!$B$5="Lean",'Monthly Lean'!AK8,IF('Start Here'!$B$5="Growth",'Monthly Growth'!AK8,'Monthly Base'!AK8))</f>
        <v>0</v>
      </c>
      <c r="AL8" s="10" t="n">
        <f aca="false">IF('Start Here'!$B$5="Lean",'Monthly Lean'!AL8,IF('Start Here'!$B$5="Growth",'Monthly Growth'!AL8,'Monthly Base'!AL8))</f>
        <v>832167.85</v>
      </c>
      <c r="AM8" s="10" t="n">
        <f aca="false">IF('Start Here'!$B$5="Lean",'Monthly Lean'!AM8,IF('Start Here'!$B$5="Growth",'Monthly Growth'!AM8,'Monthly Base'!AM8))</f>
        <v>1850</v>
      </c>
      <c r="AN8" s="10" t="n">
        <f aca="false">IF('Start Here'!$B$5="Lean",'Monthly Lean'!AN8,IF('Start Here'!$B$5="Growth",'Monthly Growth'!AN8,'Monthly Base'!AN8))</f>
        <v>0</v>
      </c>
      <c r="AO8" s="10" t="n">
        <f aca="false">IF('Start Here'!$B$5="Lean",'Monthly Lean'!AO8,IF('Start Here'!$B$5="Growth",'Monthly Growth'!AO8,'Monthly Base'!AO8))</f>
        <v>15000</v>
      </c>
      <c r="AP8" s="10" t="n">
        <f aca="false">IF('Start Here'!$B$5="Lean",'Monthly Lean'!AP8,IF('Start Here'!$B$5="Growth",'Monthly Growth'!AP8,'Monthly Base'!AP8))</f>
        <v>167832.15</v>
      </c>
      <c r="AQ8" s="10" t="n">
        <f aca="false">IF('Start Here'!$B$5="Lean",'Monthly Lean'!AQ8,IF('Start Here'!$B$5="Growth",'Monthly Growth'!AQ8,'Monthly Base'!AQ8))</f>
        <v>67136.2333333333</v>
      </c>
      <c r="AR8" s="10" t="n">
        <f aca="false">IF('Start Here'!$B$5="Lean",'Monthly Lean'!AR8,IF('Start Here'!$B$5="Growth",'Monthly Growth'!AR8,'Monthly Base'!AR8))</f>
        <v>0</v>
      </c>
    </row>
    <row r="9" customFormat="false" ht="15" hidden="false" customHeight="false" outlineLevel="0" collapsed="false">
      <c r="A9" s="11" t="n">
        <f aca="false">IF('Start Here'!$B$5="Lean",'Monthly Lean'!A9,IF('Start Here'!$B$5="Growth",'Monthly Growth'!A9,'Monthly Base'!A9))</f>
        <v>4</v>
      </c>
      <c r="B9" s="25" t="n">
        <f aca="false">IF('Start Here'!$B$5="Lean",'Monthly Lean'!B9,IF('Start Here'!$B$5="Growth",'Monthly Growth'!B9,'Monthly Base'!B9))</f>
        <v>46419</v>
      </c>
      <c r="C9" s="11" t="n">
        <f aca="false">IF('Start Here'!$B$5="Lean",'Monthly Lean'!C9,IF('Start Here'!$B$5="Growth",'Monthly Growth'!C9,'Monthly Base'!C9))</f>
        <v>0</v>
      </c>
      <c r="D9" s="11" t="n">
        <f aca="false">IF('Start Here'!$B$5="Lean",'Monthly Lean'!D9,IF('Start Here'!$B$5="Growth",'Monthly Growth'!D9,'Monthly Base'!D9))</f>
        <v>0</v>
      </c>
      <c r="E9" s="11" t="n">
        <f aca="false">IF('Start Here'!$B$5="Lean",'Monthly Lean'!E9,IF('Start Here'!$B$5="Growth",'Monthly Growth'!E9,'Monthly Base'!E9))</f>
        <v>0</v>
      </c>
      <c r="F9" s="11" t="n">
        <f aca="false">IF('Start Here'!$B$5="Lean",'Monthly Lean'!F9,IF('Start Here'!$B$5="Growth",'Monthly Growth'!F9,'Monthly Base'!F9))</f>
        <v>0</v>
      </c>
      <c r="G9" s="11" t="n">
        <f aca="false">IF('Start Here'!$B$5="Lean",'Monthly Lean'!G9,IF('Start Here'!$B$5="Growth",'Monthly Growth'!G9,'Monthly Base'!G9))</f>
        <v>0</v>
      </c>
      <c r="H9" s="11" t="n">
        <f aca="false">IF('Start Here'!$B$5="Lean",'Monthly Lean'!H9,IF('Start Here'!$B$5="Growth",'Monthly Growth'!H9,'Monthly Base'!H9))</f>
        <v>0</v>
      </c>
      <c r="I9" s="11" t="n">
        <f aca="false">IF('Start Here'!$B$5="Lean",'Monthly Lean'!I9,IF('Start Here'!$B$5="Growth",'Monthly Growth'!I9,'Monthly Base'!I9))</f>
        <v>4.65</v>
      </c>
      <c r="J9" s="11" t="n">
        <f aca="false">IF('Start Here'!$B$5="Lean",'Monthly Lean'!J9,IF('Start Here'!$B$5="Growth",'Monthly Growth'!J9,'Monthly Base'!J9))</f>
        <v>8</v>
      </c>
      <c r="K9" s="10" t="n">
        <f aca="false">IF('Start Here'!$B$5="Lean",'Monthly Lean'!K9,IF('Start Here'!$B$5="Growth",'Monthly Growth'!K9,'Monthly Base'!K9))</f>
        <v>59916.6666666667</v>
      </c>
      <c r="L9" s="10" t="n">
        <f aca="false">IF('Start Here'!$B$5="Lean",'Monthly Lean'!L9,IF('Start Here'!$B$5="Growth",'Monthly Growth'!L9,'Monthly Base'!L9))</f>
        <v>8000</v>
      </c>
      <c r="M9" s="10" t="n">
        <f aca="false">IF('Start Here'!$B$5="Lean",'Monthly Lean'!M9,IF('Start Here'!$B$5="Growth",'Monthly Growth'!M9,'Monthly Base'!M9))</f>
        <v>3000</v>
      </c>
      <c r="N9" s="10" t="n">
        <f aca="false">IF('Start Here'!$B$5="Lean",'Monthly Lean'!N9,IF('Start Here'!$B$5="Growth",'Monthly Growth'!N9,'Monthly Base'!N9))</f>
        <v>1250</v>
      </c>
      <c r="O9" s="10" t="n">
        <f aca="false">IF('Start Here'!$B$5="Lean",'Monthly Lean'!O9,IF('Start Here'!$B$5="Growth",'Monthly Growth'!O9,'Monthly Base'!O9))</f>
        <v>245</v>
      </c>
      <c r="P9" s="10" t="n">
        <f aca="false">IF('Start Here'!$B$5="Lean",'Monthly Lean'!P9,IF('Start Here'!$B$5="Growth",'Monthly Growth'!P9,'Monthly Base'!P9))</f>
        <v>0</v>
      </c>
      <c r="Q9" s="10" t="n">
        <f aca="false">IF('Start Here'!$B$5="Lean",'Monthly Lean'!Q9,IF('Start Here'!$B$5="Growth",'Monthly Growth'!Q9,'Monthly Base'!Q9))</f>
        <v>0</v>
      </c>
      <c r="R9" s="10" t="n">
        <f aca="false">IF('Start Here'!$B$5="Lean",'Monthly Lean'!R9,IF('Start Here'!$B$5="Growth",'Monthly Growth'!R9,'Monthly Base'!R9))</f>
        <v>0</v>
      </c>
      <c r="S9" s="10" t="n">
        <f aca="false">IF('Start Here'!$B$5="Lean",'Monthly Lean'!S9,IF('Start Here'!$B$5="Growth",'Monthly Growth'!S9,'Monthly Base'!S9))</f>
        <v>0</v>
      </c>
      <c r="T9" s="10" t="n">
        <f aca="false">IF('Start Here'!$B$5="Lean",'Monthly Lean'!T9,IF('Start Here'!$B$5="Growth",'Monthly Growth'!T9,'Monthly Base'!T9))</f>
        <v>600</v>
      </c>
      <c r="U9" s="10" t="n">
        <f aca="false">IF('Start Here'!$B$5="Lean",'Monthly Lean'!U9,IF('Start Here'!$B$5="Growth",'Monthly Growth'!U9,'Monthly Base'!U9))</f>
        <v>0</v>
      </c>
      <c r="V9" s="10" t="n">
        <f aca="false">IF('Start Here'!$B$5="Lean",'Monthly Lean'!V9,IF('Start Here'!$B$5="Growth",'Monthly Growth'!V9,'Monthly Base'!V9))</f>
        <v>0</v>
      </c>
      <c r="W9" s="10" t="n">
        <f aca="false">IF('Start Here'!$B$5="Lean",'Monthly Lean'!W9,IF('Start Here'!$B$5="Growth",'Monthly Growth'!W9,'Monthly Base'!W9))</f>
        <v>0</v>
      </c>
      <c r="X9" s="10" t="n">
        <f aca="false">IF('Start Here'!$B$5="Lean",'Monthly Lean'!X9,IF('Start Here'!$B$5="Growth",'Monthly Growth'!X9,'Monthly Base'!X9))</f>
        <v>0</v>
      </c>
      <c r="Y9" s="10" t="n">
        <f aca="false">IF('Start Here'!$B$5="Lean",'Monthly Lean'!Y9,IF('Start Here'!$B$5="Growth",'Monthly Growth'!Y9,'Monthly Base'!Y9))</f>
        <v>0</v>
      </c>
      <c r="Z9" s="10" t="n">
        <f aca="false">IF('Start Here'!$B$5="Lean",'Monthly Lean'!Z9,IF('Start Here'!$B$5="Growth",'Monthly Growth'!Z9,'Monthly Base'!Z9))</f>
        <v>2095</v>
      </c>
      <c r="AA9" s="10" t="n">
        <f aca="false">IF('Start Here'!$B$5="Lean",'Monthly Lean'!AA9,IF('Start Here'!$B$5="Growth",'Monthly Growth'!AA9,'Monthly Base'!AA9))</f>
        <v>10951.75</v>
      </c>
      <c r="AB9" s="10" t="n">
        <f aca="false">IF('Start Here'!$B$5="Lean",'Monthly Lean'!AB9,IF('Start Here'!$B$5="Growth",'Monthly Growth'!AB9,'Monthly Base'!AB9))</f>
        <v>0</v>
      </c>
      <c r="AC9" s="10" t="n">
        <f aca="false">IF('Start Here'!$B$5="Lean",'Monthly Lean'!AC9,IF('Start Here'!$B$5="Growth",'Monthly Growth'!AC9,'Monthly Base'!AC9))</f>
        <v>83963.4166666667</v>
      </c>
      <c r="AD9" s="10" t="n">
        <f aca="false">IF('Start Here'!$B$5="Lean",'Monthly Lean'!AD9,IF('Start Here'!$B$5="Growth",'Monthly Growth'!AD9,'Monthly Base'!AD9))</f>
        <v>0</v>
      </c>
      <c r="AE9" s="10" t="n">
        <f aca="false">IF('Start Here'!$B$5="Lean",'Monthly Lean'!AE9,IF('Start Here'!$B$5="Growth",'Monthly Growth'!AE9,'Monthly Base'!AE9))</f>
        <v>0</v>
      </c>
      <c r="AF9" s="10" t="n">
        <f aca="false">IF('Start Here'!$B$5="Lean",'Monthly Lean'!AF9,IF('Start Here'!$B$5="Growth",'Monthly Growth'!AF9,'Monthly Base'!AF9))</f>
        <v>83963.4166666667</v>
      </c>
      <c r="AG9" s="10" t="n">
        <f aca="false">IF('Start Here'!$B$5="Lean",'Monthly Lean'!AG9,IF('Start Here'!$B$5="Growth",'Monthly Growth'!AG9,'Monthly Base'!AG9))</f>
        <v>0</v>
      </c>
      <c r="AH9" s="10" t="n">
        <f aca="false">IF('Start Here'!$B$5="Lean",'Monthly Lean'!AH9,IF('Start Here'!$B$5="Growth",'Monthly Growth'!AH9,'Monthly Base'!AH9))</f>
        <v>832167.85</v>
      </c>
      <c r="AI9" s="10" t="n">
        <f aca="false">IF('Start Here'!$B$5="Lean",'Monthly Lean'!AI9,IF('Start Here'!$B$5="Growth",'Monthly Growth'!AI9,'Monthly Base'!AI9))</f>
        <v>748204.433333334</v>
      </c>
      <c r="AJ9" s="10" t="n">
        <f aca="false">IF('Start Here'!$B$5="Lean",'Monthly Lean'!AJ9,IF('Start Here'!$B$5="Growth",'Monthly Growth'!AJ9,'Monthly Base'!AJ9))</f>
        <v>251795.566666667</v>
      </c>
      <c r="AK9" s="10" t="n">
        <f aca="false">IF('Start Here'!$B$5="Lean",'Monthly Lean'!AK9,IF('Start Here'!$B$5="Growth",'Monthly Growth'!AK9,'Monthly Base'!AK9))</f>
        <v>0</v>
      </c>
      <c r="AL9" s="10" t="n">
        <f aca="false">IF('Start Here'!$B$5="Lean",'Monthly Lean'!AL9,IF('Start Here'!$B$5="Growth",'Monthly Growth'!AL9,'Monthly Base'!AL9))</f>
        <v>748204.433333333</v>
      </c>
      <c r="AM9" s="10" t="n">
        <f aca="false">IF('Start Here'!$B$5="Lean",'Monthly Lean'!AM9,IF('Start Here'!$B$5="Growth",'Monthly Growth'!AM9,'Monthly Base'!AM9))</f>
        <v>1850</v>
      </c>
      <c r="AN9" s="10" t="n">
        <f aca="false">IF('Start Here'!$B$5="Lean",'Monthly Lean'!AN9,IF('Start Here'!$B$5="Growth",'Monthly Growth'!AN9,'Monthly Base'!AN9))</f>
        <v>0</v>
      </c>
      <c r="AO9" s="10" t="n">
        <f aca="false">IF('Start Here'!$B$5="Lean",'Monthly Lean'!AO9,IF('Start Here'!$B$5="Growth",'Monthly Growth'!AO9,'Monthly Base'!AO9))</f>
        <v>15000</v>
      </c>
      <c r="AP9" s="10" t="n">
        <f aca="false">IF('Start Here'!$B$5="Lean",'Monthly Lean'!AP9,IF('Start Here'!$B$5="Growth",'Monthly Growth'!AP9,'Monthly Base'!AP9))</f>
        <v>251795.566666667</v>
      </c>
      <c r="AQ9" s="10" t="n">
        <f aca="false">IF('Start Here'!$B$5="Lean",'Monthly Lean'!AQ9,IF('Start Here'!$B$5="Growth",'Monthly Growth'!AQ9,'Monthly Base'!AQ9))</f>
        <v>83963.4166666667</v>
      </c>
      <c r="AR9" s="10" t="n">
        <f aca="false">IF('Start Here'!$B$5="Lean",'Monthly Lean'!AR9,IF('Start Here'!$B$5="Growth",'Monthly Growth'!AR9,'Monthly Base'!AR9))</f>
        <v>0</v>
      </c>
    </row>
    <row r="10" customFormat="false" ht="15" hidden="false" customHeight="false" outlineLevel="0" collapsed="false">
      <c r="A10" s="11" t="n">
        <f aca="false">IF('Start Here'!$B$5="Lean",'Monthly Lean'!A10,IF('Start Here'!$B$5="Growth",'Monthly Growth'!A10,'Monthly Base'!A10))</f>
        <v>5</v>
      </c>
      <c r="B10" s="25" t="n">
        <f aca="false">IF('Start Here'!$B$5="Lean",'Monthly Lean'!B10,IF('Start Here'!$B$5="Growth",'Monthly Growth'!B10,'Monthly Base'!B10))</f>
        <v>46447</v>
      </c>
      <c r="C10" s="11" t="n">
        <f aca="false">IF('Start Here'!$B$5="Lean",'Monthly Lean'!C10,IF('Start Here'!$B$5="Growth",'Monthly Growth'!C10,'Monthly Base'!C10))</f>
        <v>0</v>
      </c>
      <c r="D10" s="11" t="n">
        <f aca="false">IF('Start Here'!$B$5="Lean",'Monthly Lean'!D10,IF('Start Here'!$B$5="Growth",'Monthly Growth'!D10,'Monthly Base'!D10))</f>
        <v>0</v>
      </c>
      <c r="E10" s="11" t="n">
        <f aca="false">IF('Start Here'!$B$5="Lean",'Monthly Lean'!E10,IF('Start Here'!$B$5="Growth",'Monthly Growth'!E10,'Monthly Base'!E10))</f>
        <v>0</v>
      </c>
      <c r="F10" s="11" t="n">
        <f aca="false">IF('Start Here'!$B$5="Lean",'Monthly Lean'!F10,IF('Start Here'!$B$5="Growth",'Monthly Growth'!F10,'Monthly Base'!F10))</f>
        <v>0</v>
      </c>
      <c r="G10" s="11" t="n">
        <f aca="false">IF('Start Here'!$B$5="Lean",'Monthly Lean'!G10,IF('Start Here'!$B$5="Growth",'Monthly Growth'!G10,'Monthly Base'!G10))</f>
        <v>0</v>
      </c>
      <c r="H10" s="11" t="n">
        <f aca="false">IF('Start Here'!$B$5="Lean",'Monthly Lean'!H10,IF('Start Here'!$B$5="Growth",'Monthly Growth'!H10,'Monthly Base'!H10))</f>
        <v>0</v>
      </c>
      <c r="I10" s="11" t="n">
        <f aca="false">IF('Start Here'!$B$5="Lean",'Monthly Lean'!I10,IF('Start Here'!$B$5="Growth",'Monthly Growth'!I10,'Monthly Base'!I10))</f>
        <v>4.65</v>
      </c>
      <c r="J10" s="11" t="n">
        <f aca="false">IF('Start Here'!$B$5="Lean",'Monthly Lean'!J10,IF('Start Here'!$B$5="Growth",'Monthly Growth'!J10,'Monthly Base'!J10))</f>
        <v>8</v>
      </c>
      <c r="K10" s="10" t="n">
        <f aca="false">IF('Start Here'!$B$5="Lean",'Monthly Lean'!K10,IF('Start Here'!$B$5="Growth",'Monthly Growth'!K10,'Monthly Base'!K10))</f>
        <v>59916.6666666667</v>
      </c>
      <c r="L10" s="10" t="n">
        <f aca="false">IF('Start Here'!$B$5="Lean",'Monthly Lean'!L10,IF('Start Here'!$B$5="Growth",'Monthly Growth'!L10,'Monthly Base'!L10))</f>
        <v>0</v>
      </c>
      <c r="M10" s="10" t="n">
        <f aca="false">IF('Start Here'!$B$5="Lean",'Monthly Lean'!M10,IF('Start Here'!$B$5="Growth",'Monthly Growth'!M10,'Monthly Base'!M10))</f>
        <v>0</v>
      </c>
      <c r="N10" s="10" t="n">
        <f aca="false">IF('Start Here'!$B$5="Lean",'Monthly Lean'!N10,IF('Start Here'!$B$5="Growth",'Monthly Growth'!N10,'Monthly Base'!N10))</f>
        <v>1250</v>
      </c>
      <c r="O10" s="10" t="n">
        <f aca="false">IF('Start Here'!$B$5="Lean",'Monthly Lean'!O10,IF('Start Here'!$B$5="Growth",'Monthly Growth'!O10,'Monthly Base'!O10))</f>
        <v>245</v>
      </c>
      <c r="P10" s="10" t="n">
        <f aca="false">IF('Start Here'!$B$5="Lean",'Monthly Lean'!P10,IF('Start Here'!$B$5="Growth",'Monthly Growth'!P10,'Monthly Base'!P10))</f>
        <v>0</v>
      </c>
      <c r="Q10" s="10" t="n">
        <f aca="false">IF('Start Here'!$B$5="Lean",'Monthly Lean'!Q10,IF('Start Here'!$B$5="Growth",'Monthly Growth'!Q10,'Monthly Base'!Q10))</f>
        <v>0</v>
      </c>
      <c r="R10" s="10" t="n">
        <f aca="false">IF('Start Here'!$B$5="Lean",'Monthly Lean'!R10,IF('Start Here'!$B$5="Growth",'Monthly Growth'!R10,'Monthly Base'!R10))</f>
        <v>0</v>
      </c>
      <c r="S10" s="10" t="n">
        <f aca="false">IF('Start Here'!$B$5="Lean",'Monthly Lean'!S10,IF('Start Here'!$B$5="Growth",'Monthly Growth'!S10,'Monthly Base'!S10))</f>
        <v>0</v>
      </c>
      <c r="T10" s="10" t="n">
        <f aca="false">IF('Start Here'!$B$5="Lean",'Monthly Lean'!T10,IF('Start Here'!$B$5="Growth",'Monthly Growth'!T10,'Monthly Base'!T10))</f>
        <v>600</v>
      </c>
      <c r="U10" s="10" t="n">
        <f aca="false">IF('Start Here'!$B$5="Lean",'Monthly Lean'!U10,IF('Start Here'!$B$5="Growth",'Monthly Growth'!U10,'Monthly Base'!U10))</f>
        <v>0</v>
      </c>
      <c r="V10" s="10" t="n">
        <f aca="false">IF('Start Here'!$B$5="Lean",'Monthly Lean'!V10,IF('Start Here'!$B$5="Growth",'Monthly Growth'!V10,'Monthly Base'!V10))</f>
        <v>0</v>
      </c>
      <c r="W10" s="10" t="n">
        <f aca="false">IF('Start Here'!$B$5="Lean",'Monthly Lean'!W10,IF('Start Here'!$B$5="Growth",'Monthly Growth'!W10,'Monthly Base'!W10))</f>
        <v>0</v>
      </c>
      <c r="X10" s="10" t="n">
        <f aca="false">IF('Start Here'!$B$5="Lean",'Monthly Lean'!X10,IF('Start Here'!$B$5="Growth",'Monthly Growth'!X10,'Monthly Base'!X10))</f>
        <v>0</v>
      </c>
      <c r="Y10" s="10" t="n">
        <f aca="false">IF('Start Here'!$B$5="Lean",'Monthly Lean'!Y10,IF('Start Here'!$B$5="Growth",'Monthly Growth'!Y10,'Monthly Base'!Y10))</f>
        <v>0</v>
      </c>
      <c r="Z10" s="10" t="n">
        <f aca="false">IF('Start Here'!$B$5="Lean",'Monthly Lean'!Z10,IF('Start Here'!$B$5="Growth",'Monthly Growth'!Z10,'Monthly Base'!Z10))</f>
        <v>2095</v>
      </c>
      <c r="AA10" s="10" t="n">
        <f aca="false">IF('Start Here'!$B$5="Lean",'Monthly Lean'!AA10,IF('Start Here'!$B$5="Growth",'Monthly Growth'!AA10,'Monthly Base'!AA10))</f>
        <v>9301.75</v>
      </c>
      <c r="AB10" s="10" t="n">
        <f aca="false">IF('Start Here'!$B$5="Lean",'Monthly Lean'!AB10,IF('Start Here'!$B$5="Growth",'Monthly Growth'!AB10,'Monthly Base'!AB10))</f>
        <v>0</v>
      </c>
      <c r="AC10" s="10" t="n">
        <f aca="false">IF('Start Here'!$B$5="Lean",'Monthly Lean'!AC10,IF('Start Here'!$B$5="Growth",'Monthly Growth'!AC10,'Monthly Base'!AC10))</f>
        <v>71313.4166666667</v>
      </c>
      <c r="AD10" s="10" t="n">
        <f aca="false">IF('Start Here'!$B$5="Lean",'Monthly Lean'!AD10,IF('Start Here'!$B$5="Growth",'Monthly Growth'!AD10,'Monthly Base'!AD10))</f>
        <v>0</v>
      </c>
      <c r="AE10" s="10" t="n">
        <f aca="false">IF('Start Here'!$B$5="Lean",'Monthly Lean'!AE10,IF('Start Here'!$B$5="Growth",'Monthly Growth'!AE10,'Monthly Base'!AE10))</f>
        <v>0</v>
      </c>
      <c r="AF10" s="10" t="n">
        <f aca="false">IF('Start Here'!$B$5="Lean",'Monthly Lean'!AF10,IF('Start Here'!$B$5="Growth",'Monthly Growth'!AF10,'Monthly Base'!AF10))</f>
        <v>71313.4166666667</v>
      </c>
      <c r="AG10" s="10" t="n">
        <f aca="false">IF('Start Here'!$B$5="Lean",'Monthly Lean'!AG10,IF('Start Here'!$B$5="Growth",'Monthly Growth'!AG10,'Monthly Base'!AG10))</f>
        <v>0</v>
      </c>
      <c r="AH10" s="10" t="n">
        <f aca="false">IF('Start Here'!$B$5="Lean",'Monthly Lean'!AH10,IF('Start Here'!$B$5="Growth",'Monthly Growth'!AH10,'Monthly Base'!AH10))</f>
        <v>748204.433333334</v>
      </c>
      <c r="AI10" s="10" t="n">
        <f aca="false">IF('Start Here'!$B$5="Lean",'Monthly Lean'!AI10,IF('Start Here'!$B$5="Growth",'Monthly Growth'!AI10,'Monthly Base'!AI10))</f>
        <v>676891.016666667</v>
      </c>
      <c r="AJ10" s="10" t="n">
        <f aca="false">IF('Start Here'!$B$5="Lean",'Monthly Lean'!AJ10,IF('Start Here'!$B$5="Growth",'Monthly Growth'!AJ10,'Monthly Base'!AJ10))</f>
        <v>323108.983333333</v>
      </c>
      <c r="AK10" s="10" t="n">
        <f aca="false">IF('Start Here'!$B$5="Lean",'Monthly Lean'!AK10,IF('Start Here'!$B$5="Growth",'Monthly Growth'!AK10,'Monthly Base'!AK10))</f>
        <v>0</v>
      </c>
      <c r="AL10" s="10" t="n">
        <f aca="false">IF('Start Here'!$B$5="Lean",'Monthly Lean'!AL10,IF('Start Here'!$B$5="Growth",'Monthly Growth'!AL10,'Monthly Base'!AL10))</f>
        <v>676891.016666667</v>
      </c>
      <c r="AM10" s="10" t="n">
        <f aca="false">IF('Start Here'!$B$5="Lean",'Monthly Lean'!AM10,IF('Start Here'!$B$5="Growth",'Monthly Growth'!AM10,'Monthly Base'!AM10))</f>
        <v>1850</v>
      </c>
      <c r="AN10" s="10" t="n">
        <f aca="false">IF('Start Here'!$B$5="Lean",'Monthly Lean'!AN10,IF('Start Here'!$B$5="Growth",'Monthly Growth'!AN10,'Monthly Base'!AN10))</f>
        <v>0</v>
      </c>
      <c r="AO10" s="10" t="n">
        <f aca="false">IF('Start Here'!$B$5="Lean",'Monthly Lean'!AO10,IF('Start Here'!$B$5="Growth",'Monthly Growth'!AO10,'Monthly Base'!AO10))</f>
        <v>15000</v>
      </c>
      <c r="AP10" s="10" t="n">
        <f aca="false">IF('Start Here'!$B$5="Lean",'Monthly Lean'!AP10,IF('Start Here'!$B$5="Growth",'Monthly Growth'!AP10,'Monthly Base'!AP10))</f>
        <v>323108.983333333</v>
      </c>
      <c r="AQ10" s="10" t="n">
        <f aca="false">IF('Start Here'!$B$5="Lean",'Monthly Lean'!AQ10,IF('Start Here'!$B$5="Growth",'Monthly Growth'!AQ10,'Monthly Base'!AQ10))</f>
        <v>71313.4166666667</v>
      </c>
      <c r="AR10" s="10" t="n">
        <f aca="false">IF('Start Here'!$B$5="Lean",'Monthly Lean'!AR10,IF('Start Here'!$B$5="Growth",'Monthly Growth'!AR10,'Monthly Base'!AR10))</f>
        <v>0</v>
      </c>
    </row>
    <row r="11" customFormat="false" ht="15" hidden="false" customHeight="false" outlineLevel="0" collapsed="false">
      <c r="A11" s="11" t="n">
        <f aca="false">IF('Start Here'!$B$5="Lean",'Monthly Lean'!A11,IF('Start Here'!$B$5="Growth",'Monthly Growth'!A11,'Monthly Base'!A11))</f>
        <v>6</v>
      </c>
      <c r="B11" s="25" t="n">
        <f aca="false">IF('Start Here'!$B$5="Lean",'Monthly Lean'!B11,IF('Start Here'!$B$5="Growth",'Monthly Growth'!B11,'Monthly Base'!B11))</f>
        <v>46478</v>
      </c>
      <c r="C11" s="11" t="n">
        <f aca="false">IF('Start Here'!$B$5="Lean",'Monthly Lean'!C11,IF('Start Here'!$B$5="Growth",'Monthly Growth'!C11,'Monthly Base'!C11))</f>
        <v>0</v>
      </c>
      <c r="D11" s="11" t="n">
        <f aca="false">IF('Start Here'!$B$5="Lean",'Monthly Lean'!D11,IF('Start Here'!$B$5="Growth",'Monthly Growth'!D11,'Monthly Base'!D11))</f>
        <v>0</v>
      </c>
      <c r="E11" s="11" t="n">
        <f aca="false">IF('Start Here'!$B$5="Lean",'Monthly Lean'!E11,IF('Start Here'!$B$5="Growth",'Monthly Growth'!E11,'Monthly Base'!E11))</f>
        <v>0</v>
      </c>
      <c r="F11" s="11" t="n">
        <f aca="false">IF('Start Here'!$B$5="Lean",'Monthly Lean'!F11,IF('Start Here'!$B$5="Growth",'Monthly Growth'!F11,'Monthly Base'!F11))</f>
        <v>0</v>
      </c>
      <c r="G11" s="11" t="n">
        <f aca="false">IF('Start Here'!$B$5="Lean",'Monthly Lean'!G11,IF('Start Here'!$B$5="Growth",'Monthly Growth'!G11,'Monthly Base'!G11))</f>
        <v>0</v>
      </c>
      <c r="H11" s="11" t="n">
        <f aca="false">IF('Start Here'!$B$5="Lean",'Monthly Lean'!H11,IF('Start Here'!$B$5="Growth",'Monthly Growth'!H11,'Monthly Base'!H11))</f>
        <v>0</v>
      </c>
      <c r="I11" s="11" t="n">
        <f aca="false">IF('Start Here'!$B$5="Lean",'Monthly Lean'!I11,IF('Start Here'!$B$5="Growth",'Monthly Growth'!I11,'Monthly Base'!I11))</f>
        <v>4.65</v>
      </c>
      <c r="J11" s="11" t="n">
        <f aca="false">IF('Start Here'!$B$5="Lean",'Monthly Lean'!J11,IF('Start Here'!$B$5="Growth",'Monthly Growth'!J11,'Monthly Base'!J11))</f>
        <v>8</v>
      </c>
      <c r="K11" s="10" t="n">
        <f aca="false">IF('Start Here'!$B$5="Lean",'Monthly Lean'!K11,IF('Start Here'!$B$5="Growth",'Monthly Growth'!K11,'Monthly Base'!K11))</f>
        <v>59916.6666666667</v>
      </c>
      <c r="L11" s="10" t="n">
        <f aca="false">IF('Start Here'!$B$5="Lean",'Monthly Lean'!L11,IF('Start Here'!$B$5="Growth",'Monthly Growth'!L11,'Monthly Base'!L11))</f>
        <v>0</v>
      </c>
      <c r="M11" s="10" t="n">
        <f aca="false">IF('Start Here'!$B$5="Lean",'Monthly Lean'!M11,IF('Start Here'!$B$5="Growth",'Monthly Growth'!M11,'Monthly Base'!M11))</f>
        <v>0</v>
      </c>
      <c r="N11" s="10" t="n">
        <f aca="false">IF('Start Here'!$B$5="Lean",'Monthly Lean'!N11,IF('Start Here'!$B$5="Growth",'Monthly Growth'!N11,'Monthly Base'!N11))</f>
        <v>1250</v>
      </c>
      <c r="O11" s="10" t="n">
        <f aca="false">IF('Start Here'!$B$5="Lean",'Monthly Lean'!O11,IF('Start Here'!$B$5="Growth",'Monthly Growth'!O11,'Monthly Base'!O11))</f>
        <v>245</v>
      </c>
      <c r="P11" s="10" t="n">
        <f aca="false">IF('Start Here'!$B$5="Lean",'Monthly Lean'!P11,IF('Start Here'!$B$5="Growth",'Monthly Growth'!P11,'Monthly Base'!P11))</f>
        <v>0</v>
      </c>
      <c r="Q11" s="10" t="n">
        <f aca="false">IF('Start Here'!$B$5="Lean",'Monthly Lean'!Q11,IF('Start Here'!$B$5="Growth",'Monthly Growth'!Q11,'Monthly Base'!Q11))</f>
        <v>0</v>
      </c>
      <c r="R11" s="10" t="n">
        <f aca="false">IF('Start Here'!$B$5="Lean",'Monthly Lean'!R11,IF('Start Here'!$B$5="Growth",'Monthly Growth'!R11,'Monthly Base'!R11))</f>
        <v>0</v>
      </c>
      <c r="S11" s="10" t="n">
        <f aca="false">IF('Start Here'!$B$5="Lean",'Monthly Lean'!S11,IF('Start Here'!$B$5="Growth",'Monthly Growth'!S11,'Monthly Base'!S11))</f>
        <v>0</v>
      </c>
      <c r="T11" s="10" t="n">
        <f aca="false">IF('Start Here'!$B$5="Lean",'Monthly Lean'!T11,IF('Start Here'!$B$5="Growth",'Monthly Growth'!T11,'Monthly Base'!T11))</f>
        <v>600</v>
      </c>
      <c r="U11" s="10" t="n">
        <f aca="false">IF('Start Here'!$B$5="Lean",'Monthly Lean'!U11,IF('Start Here'!$B$5="Growth",'Monthly Growth'!U11,'Monthly Base'!U11))</f>
        <v>0</v>
      </c>
      <c r="V11" s="10" t="n">
        <f aca="false">IF('Start Here'!$B$5="Lean",'Monthly Lean'!V11,IF('Start Here'!$B$5="Growth",'Monthly Growth'!V11,'Monthly Base'!V11))</f>
        <v>0</v>
      </c>
      <c r="W11" s="10" t="n">
        <f aca="false">IF('Start Here'!$B$5="Lean",'Monthly Lean'!W11,IF('Start Here'!$B$5="Growth",'Monthly Growth'!W11,'Monthly Base'!W11))</f>
        <v>0</v>
      </c>
      <c r="X11" s="10" t="n">
        <f aca="false">IF('Start Here'!$B$5="Lean",'Monthly Lean'!X11,IF('Start Here'!$B$5="Growth",'Monthly Growth'!X11,'Monthly Base'!X11))</f>
        <v>0</v>
      </c>
      <c r="Y11" s="10" t="n">
        <f aca="false">IF('Start Here'!$B$5="Lean",'Monthly Lean'!Y11,IF('Start Here'!$B$5="Growth",'Monthly Growth'!Y11,'Monthly Base'!Y11))</f>
        <v>0</v>
      </c>
      <c r="Z11" s="10" t="n">
        <f aca="false">IF('Start Here'!$B$5="Lean",'Monthly Lean'!Z11,IF('Start Here'!$B$5="Growth",'Monthly Growth'!Z11,'Monthly Base'!Z11))</f>
        <v>2095</v>
      </c>
      <c r="AA11" s="10" t="n">
        <f aca="false">IF('Start Here'!$B$5="Lean",'Monthly Lean'!AA11,IF('Start Here'!$B$5="Growth",'Monthly Growth'!AA11,'Monthly Base'!AA11))</f>
        <v>9301.75</v>
      </c>
      <c r="AB11" s="10" t="n">
        <f aca="false">IF('Start Here'!$B$5="Lean",'Monthly Lean'!AB11,IF('Start Here'!$B$5="Growth",'Monthly Growth'!AB11,'Monthly Base'!AB11))</f>
        <v>0</v>
      </c>
      <c r="AC11" s="10" t="n">
        <f aca="false">IF('Start Here'!$B$5="Lean",'Monthly Lean'!AC11,IF('Start Here'!$B$5="Growth",'Monthly Growth'!AC11,'Monthly Base'!AC11))</f>
        <v>71313.4166666667</v>
      </c>
      <c r="AD11" s="10" t="n">
        <f aca="false">IF('Start Here'!$B$5="Lean",'Monthly Lean'!AD11,IF('Start Here'!$B$5="Growth",'Monthly Growth'!AD11,'Monthly Base'!AD11))</f>
        <v>0</v>
      </c>
      <c r="AE11" s="10" t="n">
        <f aca="false">IF('Start Here'!$B$5="Lean",'Monthly Lean'!AE11,IF('Start Here'!$B$5="Growth",'Monthly Growth'!AE11,'Monthly Base'!AE11))</f>
        <v>0</v>
      </c>
      <c r="AF11" s="10" t="n">
        <f aca="false">IF('Start Here'!$B$5="Lean",'Monthly Lean'!AF11,IF('Start Here'!$B$5="Growth",'Monthly Growth'!AF11,'Monthly Base'!AF11))</f>
        <v>71313.4166666667</v>
      </c>
      <c r="AG11" s="10" t="n">
        <f aca="false">IF('Start Here'!$B$5="Lean",'Monthly Lean'!AG11,IF('Start Here'!$B$5="Growth",'Monthly Growth'!AG11,'Monthly Base'!AG11))</f>
        <v>0</v>
      </c>
      <c r="AH11" s="10" t="n">
        <f aca="false">IF('Start Here'!$B$5="Lean",'Monthly Lean'!AH11,IF('Start Here'!$B$5="Growth",'Monthly Growth'!AH11,'Monthly Base'!AH11))</f>
        <v>676891.016666667</v>
      </c>
      <c r="AI11" s="10" t="n">
        <f aca="false">IF('Start Here'!$B$5="Lean",'Monthly Lean'!AI11,IF('Start Here'!$B$5="Growth",'Monthly Growth'!AI11,'Monthly Base'!AI11))</f>
        <v>605577.6</v>
      </c>
      <c r="AJ11" s="10" t="n">
        <f aca="false">IF('Start Here'!$B$5="Lean",'Monthly Lean'!AJ11,IF('Start Here'!$B$5="Growth",'Monthly Growth'!AJ11,'Monthly Base'!AJ11))</f>
        <v>394422.4</v>
      </c>
      <c r="AK11" s="10" t="n">
        <f aca="false">IF('Start Here'!$B$5="Lean",'Monthly Lean'!AK11,IF('Start Here'!$B$5="Growth",'Monthly Growth'!AK11,'Monthly Base'!AK11))</f>
        <v>0</v>
      </c>
      <c r="AL11" s="10" t="n">
        <f aca="false">IF('Start Here'!$B$5="Lean",'Monthly Lean'!AL11,IF('Start Here'!$B$5="Growth",'Monthly Growth'!AL11,'Monthly Base'!AL11))</f>
        <v>605577.6</v>
      </c>
      <c r="AM11" s="10" t="n">
        <f aca="false">IF('Start Here'!$B$5="Lean",'Monthly Lean'!AM11,IF('Start Here'!$B$5="Growth",'Monthly Growth'!AM11,'Monthly Base'!AM11))</f>
        <v>1850</v>
      </c>
      <c r="AN11" s="10" t="n">
        <f aca="false">IF('Start Here'!$B$5="Lean",'Monthly Lean'!AN11,IF('Start Here'!$B$5="Growth",'Monthly Growth'!AN11,'Monthly Base'!AN11))</f>
        <v>0</v>
      </c>
      <c r="AO11" s="10" t="n">
        <f aca="false">IF('Start Here'!$B$5="Lean",'Monthly Lean'!AO11,IF('Start Here'!$B$5="Growth",'Monthly Growth'!AO11,'Monthly Base'!AO11))</f>
        <v>15000</v>
      </c>
      <c r="AP11" s="10" t="n">
        <f aca="false">IF('Start Here'!$B$5="Lean",'Monthly Lean'!AP11,IF('Start Here'!$B$5="Growth",'Monthly Growth'!AP11,'Monthly Base'!AP11))</f>
        <v>394422.4</v>
      </c>
      <c r="AQ11" s="10" t="n">
        <f aca="false">IF('Start Here'!$B$5="Lean",'Monthly Lean'!AQ11,IF('Start Here'!$B$5="Growth",'Monthly Growth'!AQ11,'Monthly Base'!AQ11))</f>
        <v>71313.4166666667</v>
      </c>
      <c r="AR11" s="10" t="n">
        <f aca="false">IF('Start Here'!$B$5="Lean",'Monthly Lean'!AR11,IF('Start Here'!$B$5="Growth",'Monthly Growth'!AR11,'Monthly Base'!AR11))</f>
        <v>0</v>
      </c>
    </row>
    <row r="12" customFormat="false" ht="15" hidden="false" customHeight="false" outlineLevel="0" collapsed="false">
      <c r="A12" s="11" t="n">
        <f aca="false">IF('Start Here'!$B$5="Lean",'Monthly Lean'!A12,IF('Start Here'!$B$5="Growth",'Monthly Growth'!A12,'Monthly Base'!A12))</f>
        <v>7</v>
      </c>
      <c r="B12" s="25" t="n">
        <f aca="false">IF('Start Here'!$B$5="Lean",'Monthly Lean'!B12,IF('Start Here'!$B$5="Growth",'Monthly Growth'!B12,'Monthly Base'!B12))</f>
        <v>46508</v>
      </c>
      <c r="C12" s="11" t="n">
        <f aca="false">IF('Start Here'!$B$5="Lean",'Monthly Lean'!C12,IF('Start Here'!$B$5="Growth",'Monthly Growth'!C12,'Monthly Base'!C12))</f>
        <v>0</v>
      </c>
      <c r="D12" s="11" t="n">
        <f aca="false">IF('Start Here'!$B$5="Lean",'Monthly Lean'!D12,IF('Start Here'!$B$5="Growth",'Monthly Growth'!D12,'Monthly Base'!D12))</f>
        <v>0</v>
      </c>
      <c r="E12" s="11" t="n">
        <f aca="false">IF('Start Here'!$B$5="Lean",'Monthly Lean'!E12,IF('Start Here'!$B$5="Growth",'Monthly Growth'!E12,'Monthly Base'!E12))</f>
        <v>0</v>
      </c>
      <c r="F12" s="11" t="n">
        <f aca="false">IF('Start Here'!$B$5="Lean",'Monthly Lean'!F12,IF('Start Here'!$B$5="Growth",'Monthly Growth'!F12,'Monthly Base'!F12))</f>
        <v>0</v>
      </c>
      <c r="G12" s="11" t="n">
        <f aca="false">IF('Start Here'!$B$5="Lean",'Monthly Lean'!G12,IF('Start Here'!$B$5="Growth",'Monthly Growth'!G12,'Monthly Base'!G12))</f>
        <v>0</v>
      </c>
      <c r="H12" s="11" t="n">
        <f aca="false">IF('Start Here'!$B$5="Lean",'Monthly Lean'!H12,IF('Start Here'!$B$5="Growth",'Monthly Growth'!H12,'Monthly Base'!H12))</f>
        <v>0</v>
      </c>
      <c r="I12" s="11" t="n">
        <f aca="false">IF('Start Here'!$B$5="Lean",'Monthly Lean'!I12,IF('Start Here'!$B$5="Growth",'Monthly Growth'!I12,'Monthly Base'!I12))</f>
        <v>5.75</v>
      </c>
      <c r="J12" s="11" t="n">
        <f aca="false">IF('Start Here'!$B$5="Lean",'Monthly Lean'!J12,IF('Start Here'!$B$5="Growth",'Monthly Growth'!J12,'Monthly Base'!J12))</f>
        <v>8</v>
      </c>
      <c r="K12" s="10" t="n">
        <f aca="false">IF('Start Here'!$B$5="Lean",'Monthly Lean'!K12,IF('Start Here'!$B$5="Growth",'Monthly Growth'!K12,'Monthly Base'!K12))</f>
        <v>76916.6666666667</v>
      </c>
      <c r="L12" s="10" t="n">
        <f aca="false">IF('Start Here'!$B$5="Lean",'Monthly Lean'!L12,IF('Start Here'!$B$5="Growth",'Monthly Growth'!L12,'Monthly Base'!L12))</f>
        <v>6000</v>
      </c>
      <c r="M12" s="10" t="n">
        <f aca="false">IF('Start Here'!$B$5="Lean",'Monthly Lean'!M12,IF('Start Here'!$B$5="Growth",'Monthly Growth'!M12,'Monthly Base'!M12))</f>
        <v>3300</v>
      </c>
      <c r="N12" s="10" t="n">
        <f aca="false">IF('Start Here'!$B$5="Lean",'Monthly Lean'!N12,IF('Start Here'!$B$5="Growth",'Monthly Growth'!N12,'Monthly Base'!N12))</f>
        <v>1250</v>
      </c>
      <c r="O12" s="10" t="n">
        <f aca="false">IF('Start Here'!$B$5="Lean",'Monthly Lean'!O12,IF('Start Here'!$B$5="Growth",'Monthly Growth'!O12,'Monthly Base'!O12))</f>
        <v>294</v>
      </c>
      <c r="P12" s="10" t="n">
        <f aca="false">IF('Start Here'!$B$5="Lean",'Monthly Lean'!P12,IF('Start Here'!$B$5="Growth",'Monthly Growth'!P12,'Monthly Base'!P12))</f>
        <v>0</v>
      </c>
      <c r="Q12" s="10" t="n">
        <f aca="false">IF('Start Here'!$B$5="Lean",'Monthly Lean'!Q12,IF('Start Here'!$B$5="Growth",'Monthly Growth'!Q12,'Monthly Base'!Q12))</f>
        <v>0</v>
      </c>
      <c r="R12" s="10" t="n">
        <f aca="false">IF('Start Here'!$B$5="Lean",'Monthly Lean'!R12,IF('Start Here'!$B$5="Growth",'Monthly Growth'!R12,'Monthly Base'!R12))</f>
        <v>0</v>
      </c>
      <c r="S12" s="10" t="n">
        <f aca="false">IF('Start Here'!$B$5="Lean",'Monthly Lean'!S12,IF('Start Here'!$B$5="Growth",'Monthly Growth'!S12,'Monthly Base'!S12))</f>
        <v>0</v>
      </c>
      <c r="T12" s="10" t="n">
        <f aca="false">IF('Start Here'!$B$5="Lean",'Monthly Lean'!T12,IF('Start Here'!$B$5="Growth",'Monthly Growth'!T12,'Monthly Base'!T12))</f>
        <v>600</v>
      </c>
      <c r="U12" s="10" t="n">
        <f aca="false">IF('Start Here'!$B$5="Lean",'Monthly Lean'!U12,IF('Start Here'!$B$5="Growth",'Monthly Growth'!U12,'Monthly Base'!U12))</f>
        <v>0</v>
      </c>
      <c r="V12" s="10" t="n">
        <f aca="false">IF('Start Here'!$B$5="Lean",'Monthly Lean'!V12,IF('Start Here'!$B$5="Growth",'Monthly Growth'!V12,'Monthly Base'!V12))</f>
        <v>0</v>
      </c>
      <c r="W12" s="10" t="n">
        <f aca="false">IF('Start Here'!$B$5="Lean",'Monthly Lean'!W12,IF('Start Here'!$B$5="Growth",'Monthly Growth'!W12,'Monthly Base'!W12))</f>
        <v>0</v>
      </c>
      <c r="X12" s="10" t="n">
        <f aca="false">IF('Start Here'!$B$5="Lean",'Monthly Lean'!X12,IF('Start Here'!$B$5="Growth",'Monthly Growth'!X12,'Monthly Base'!X12))</f>
        <v>0</v>
      </c>
      <c r="Y12" s="10" t="n">
        <f aca="false">IF('Start Here'!$B$5="Lean",'Monthly Lean'!Y12,IF('Start Here'!$B$5="Growth",'Monthly Growth'!Y12,'Monthly Base'!Y12))</f>
        <v>0</v>
      </c>
      <c r="Z12" s="10" t="n">
        <f aca="false">IF('Start Here'!$B$5="Lean",'Monthly Lean'!Z12,IF('Start Here'!$B$5="Growth",'Monthly Growth'!Z12,'Monthly Base'!Z12))</f>
        <v>2144</v>
      </c>
      <c r="AA12" s="10" t="n">
        <f aca="false">IF('Start Here'!$B$5="Lean",'Monthly Lean'!AA12,IF('Start Here'!$B$5="Growth",'Monthly Growth'!AA12,'Monthly Base'!AA12))</f>
        <v>13254.1</v>
      </c>
      <c r="AB12" s="10" t="n">
        <f aca="false">IF('Start Here'!$B$5="Lean",'Monthly Lean'!AB12,IF('Start Here'!$B$5="Growth",'Monthly Growth'!AB12,'Monthly Base'!AB12))</f>
        <v>0</v>
      </c>
      <c r="AC12" s="10" t="n">
        <f aca="false">IF('Start Here'!$B$5="Lean",'Monthly Lean'!AC12,IF('Start Here'!$B$5="Growth",'Monthly Growth'!AC12,'Monthly Base'!AC12))</f>
        <v>101614.766666667</v>
      </c>
      <c r="AD12" s="10" t="n">
        <f aca="false">IF('Start Here'!$B$5="Lean",'Monthly Lean'!AD12,IF('Start Here'!$B$5="Growth",'Monthly Growth'!AD12,'Monthly Base'!AD12))</f>
        <v>0</v>
      </c>
      <c r="AE12" s="10" t="n">
        <f aca="false">IF('Start Here'!$B$5="Lean",'Monthly Lean'!AE12,IF('Start Here'!$B$5="Growth",'Monthly Growth'!AE12,'Monthly Base'!AE12))</f>
        <v>0</v>
      </c>
      <c r="AF12" s="10" t="n">
        <f aca="false">IF('Start Here'!$B$5="Lean",'Monthly Lean'!AF12,IF('Start Here'!$B$5="Growth",'Monthly Growth'!AF12,'Monthly Base'!AF12))</f>
        <v>101614.766666667</v>
      </c>
      <c r="AG12" s="10" t="n">
        <f aca="false">IF('Start Here'!$B$5="Lean",'Monthly Lean'!AG12,IF('Start Here'!$B$5="Growth",'Monthly Growth'!AG12,'Monthly Base'!AG12))</f>
        <v>0</v>
      </c>
      <c r="AH12" s="10" t="n">
        <f aca="false">IF('Start Here'!$B$5="Lean",'Monthly Lean'!AH12,IF('Start Here'!$B$5="Growth",'Monthly Growth'!AH12,'Monthly Base'!AH12))</f>
        <v>605577.6</v>
      </c>
      <c r="AI12" s="10" t="n">
        <f aca="false">IF('Start Here'!$B$5="Lean",'Monthly Lean'!AI12,IF('Start Here'!$B$5="Growth",'Monthly Growth'!AI12,'Monthly Base'!AI12))</f>
        <v>503962.833333334</v>
      </c>
      <c r="AJ12" s="10" t="n">
        <f aca="false">IF('Start Here'!$B$5="Lean",'Monthly Lean'!AJ12,IF('Start Here'!$B$5="Growth",'Monthly Growth'!AJ12,'Monthly Base'!AJ12))</f>
        <v>496037.166666667</v>
      </c>
      <c r="AK12" s="10" t="n">
        <f aca="false">IF('Start Here'!$B$5="Lean",'Monthly Lean'!AK12,IF('Start Here'!$B$5="Growth",'Monthly Growth'!AK12,'Monthly Base'!AK12))</f>
        <v>0</v>
      </c>
      <c r="AL12" s="10" t="n">
        <f aca="false">IF('Start Here'!$B$5="Lean",'Monthly Lean'!AL12,IF('Start Here'!$B$5="Growth",'Monthly Growth'!AL12,'Monthly Base'!AL12))</f>
        <v>503962.833333333</v>
      </c>
      <c r="AM12" s="10" t="n">
        <f aca="false">IF('Start Here'!$B$5="Lean",'Monthly Lean'!AM12,IF('Start Here'!$B$5="Growth",'Monthly Growth'!AM12,'Monthly Base'!AM12))</f>
        <v>1850</v>
      </c>
      <c r="AN12" s="10" t="n">
        <f aca="false">IF('Start Here'!$B$5="Lean",'Monthly Lean'!AN12,IF('Start Here'!$B$5="Growth",'Monthly Growth'!AN12,'Monthly Base'!AN12))</f>
        <v>0</v>
      </c>
      <c r="AO12" s="10" t="n">
        <f aca="false">IF('Start Here'!$B$5="Lean",'Monthly Lean'!AO12,IF('Start Here'!$B$5="Growth",'Monthly Growth'!AO12,'Monthly Base'!AO12))</f>
        <v>15000</v>
      </c>
      <c r="AP12" s="10" t="n">
        <f aca="false">IF('Start Here'!$B$5="Lean",'Monthly Lean'!AP12,IF('Start Here'!$B$5="Growth",'Monthly Growth'!AP12,'Monthly Base'!AP12))</f>
        <v>496037.166666667</v>
      </c>
      <c r="AQ12" s="10" t="n">
        <f aca="false">IF('Start Here'!$B$5="Lean",'Monthly Lean'!AQ12,IF('Start Here'!$B$5="Growth",'Monthly Growth'!AQ12,'Monthly Base'!AQ12))</f>
        <v>101614.766666667</v>
      </c>
      <c r="AR12" s="10" t="n">
        <f aca="false">IF('Start Here'!$B$5="Lean",'Monthly Lean'!AR12,IF('Start Here'!$B$5="Growth",'Monthly Growth'!AR12,'Monthly Base'!AR12))</f>
        <v>0</v>
      </c>
    </row>
    <row r="13" customFormat="false" ht="15" hidden="false" customHeight="false" outlineLevel="0" collapsed="false">
      <c r="A13" s="11" t="n">
        <f aca="false">IF('Start Here'!$B$5="Lean",'Monthly Lean'!A13,IF('Start Here'!$B$5="Growth",'Monthly Growth'!A13,'Monthly Base'!A13))</f>
        <v>8</v>
      </c>
      <c r="B13" s="25" t="n">
        <f aca="false">IF('Start Here'!$B$5="Lean",'Monthly Lean'!B13,IF('Start Here'!$B$5="Growth",'Monthly Growth'!B13,'Monthly Base'!B13))</f>
        <v>46539</v>
      </c>
      <c r="C13" s="11" t="n">
        <f aca="false">IF('Start Here'!$B$5="Lean",'Monthly Lean'!C13,IF('Start Here'!$B$5="Growth",'Monthly Growth'!C13,'Monthly Base'!C13))</f>
        <v>0</v>
      </c>
      <c r="D13" s="11" t="n">
        <f aca="false">IF('Start Here'!$B$5="Lean",'Monthly Lean'!D13,IF('Start Here'!$B$5="Growth",'Monthly Growth'!D13,'Monthly Base'!D13))</f>
        <v>0</v>
      </c>
      <c r="E13" s="11" t="n">
        <f aca="false">IF('Start Here'!$B$5="Lean",'Monthly Lean'!E13,IF('Start Here'!$B$5="Growth",'Monthly Growth'!E13,'Monthly Base'!E13))</f>
        <v>0</v>
      </c>
      <c r="F13" s="11" t="n">
        <f aca="false">IF('Start Here'!$B$5="Lean",'Monthly Lean'!F13,IF('Start Here'!$B$5="Growth",'Monthly Growth'!F13,'Monthly Base'!F13))</f>
        <v>0</v>
      </c>
      <c r="G13" s="11" t="n">
        <f aca="false">IF('Start Here'!$B$5="Lean",'Monthly Lean'!G13,IF('Start Here'!$B$5="Growth",'Monthly Growth'!G13,'Monthly Base'!G13))</f>
        <v>0</v>
      </c>
      <c r="H13" s="11" t="n">
        <f aca="false">IF('Start Here'!$B$5="Lean",'Monthly Lean'!H13,IF('Start Here'!$B$5="Growth",'Monthly Growth'!H13,'Monthly Base'!H13))</f>
        <v>0</v>
      </c>
      <c r="I13" s="11" t="n">
        <f aca="false">IF('Start Here'!$B$5="Lean",'Monthly Lean'!I13,IF('Start Here'!$B$5="Growth",'Monthly Growth'!I13,'Monthly Base'!I13))</f>
        <v>5.75</v>
      </c>
      <c r="J13" s="11" t="n">
        <f aca="false">IF('Start Here'!$B$5="Lean",'Monthly Lean'!J13,IF('Start Here'!$B$5="Growth",'Monthly Growth'!J13,'Monthly Base'!J13))</f>
        <v>8</v>
      </c>
      <c r="K13" s="10" t="n">
        <f aca="false">IF('Start Here'!$B$5="Lean",'Monthly Lean'!K13,IF('Start Here'!$B$5="Growth",'Monthly Growth'!K13,'Monthly Base'!K13))</f>
        <v>76916.6666666667</v>
      </c>
      <c r="L13" s="10" t="n">
        <f aca="false">IF('Start Here'!$B$5="Lean",'Monthly Lean'!L13,IF('Start Here'!$B$5="Growth",'Monthly Growth'!L13,'Monthly Base'!L13))</f>
        <v>0</v>
      </c>
      <c r="M13" s="10" t="n">
        <f aca="false">IF('Start Here'!$B$5="Lean",'Monthly Lean'!M13,IF('Start Here'!$B$5="Growth",'Monthly Growth'!M13,'Monthly Base'!M13))</f>
        <v>0</v>
      </c>
      <c r="N13" s="10" t="n">
        <f aca="false">IF('Start Here'!$B$5="Lean",'Monthly Lean'!N13,IF('Start Here'!$B$5="Growth",'Monthly Growth'!N13,'Monthly Base'!N13))</f>
        <v>1250</v>
      </c>
      <c r="O13" s="10" t="n">
        <f aca="false">IF('Start Here'!$B$5="Lean",'Monthly Lean'!O13,IF('Start Here'!$B$5="Growth",'Monthly Growth'!O13,'Monthly Base'!O13))</f>
        <v>294</v>
      </c>
      <c r="P13" s="10" t="n">
        <f aca="false">IF('Start Here'!$B$5="Lean",'Monthly Lean'!P13,IF('Start Here'!$B$5="Growth",'Monthly Growth'!P13,'Monthly Base'!P13))</f>
        <v>0</v>
      </c>
      <c r="Q13" s="10" t="n">
        <f aca="false">IF('Start Here'!$B$5="Lean",'Monthly Lean'!Q13,IF('Start Here'!$B$5="Growth",'Monthly Growth'!Q13,'Monthly Base'!Q13))</f>
        <v>0</v>
      </c>
      <c r="R13" s="10" t="n">
        <f aca="false">IF('Start Here'!$B$5="Lean",'Monthly Lean'!R13,IF('Start Here'!$B$5="Growth",'Monthly Growth'!R13,'Monthly Base'!R13))</f>
        <v>0</v>
      </c>
      <c r="S13" s="10" t="n">
        <f aca="false">IF('Start Here'!$B$5="Lean",'Monthly Lean'!S13,IF('Start Here'!$B$5="Growth",'Monthly Growth'!S13,'Monthly Base'!S13))</f>
        <v>0</v>
      </c>
      <c r="T13" s="10" t="n">
        <f aca="false">IF('Start Here'!$B$5="Lean",'Monthly Lean'!T13,IF('Start Here'!$B$5="Growth",'Monthly Growth'!T13,'Monthly Base'!T13))</f>
        <v>600</v>
      </c>
      <c r="U13" s="10" t="n">
        <f aca="false">IF('Start Here'!$B$5="Lean",'Monthly Lean'!U13,IF('Start Here'!$B$5="Growth",'Monthly Growth'!U13,'Monthly Base'!U13))</f>
        <v>0</v>
      </c>
      <c r="V13" s="10" t="n">
        <f aca="false">IF('Start Here'!$B$5="Lean",'Monthly Lean'!V13,IF('Start Here'!$B$5="Growth",'Monthly Growth'!V13,'Monthly Base'!V13))</f>
        <v>0</v>
      </c>
      <c r="W13" s="10" t="n">
        <f aca="false">IF('Start Here'!$B$5="Lean",'Monthly Lean'!W13,IF('Start Here'!$B$5="Growth",'Monthly Growth'!W13,'Monthly Base'!W13))</f>
        <v>0</v>
      </c>
      <c r="X13" s="10" t="n">
        <f aca="false">IF('Start Here'!$B$5="Lean",'Monthly Lean'!X13,IF('Start Here'!$B$5="Growth",'Monthly Growth'!X13,'Monthly Base'!X13))</f>
        <v>0</v>
      </c>
      <c r="Y13" s="10" t="n">
        <f aca="false">IF('Start Here'!$B$5="Lean",'Monthly Lean'!Y13,IF('Start Here'!$B$5="Growth",'Monthly Growth'!Y13,'Monthly Base'!Y13))</f>
        <v>0</v>
      </c>
      <c r="Z13" s="10" t="n">
        <f aca="false">IF('Start Here'!$B$5="Lean",'Monthly Lean'!Z13,IF('Start Here'!$B$5="Growth",'Monthly Growth'!Z13,'Monthly Base'!Z13))</f>
        <v>2144</v>
      </c>
      <c r="AA13" s="10" t="n">
        <f aca="false">IF('Start Here'!$B$5="Lean",'Monthly Lean'!AA13,IF('Start Here'!$B$5="Growth",'Monthly Growth'!AA13,'Monthly Base'!AA13))</f>
        <v>11859.1</v>
      </c>
      <c r="AB13" s="10" t="n">
        <f aca="false">IF('Start Here'!$B$5="Lean",'Monthly Lean'!AB13,IF('Start Here'!$B$5="Growth",'Monthly Growth'!AB13,'Monthly Base'!AB13))</f>
        <v>0</v>
      </c>
      <c r="AC13" s="10" t="n">
        <f aca="false">IF('Start Here'!$B$5="Lean",'Monthly Lean'!AC13,IF('Start Here'!$B$5="Growth",'Monthly Growth'!AC13,'Monthly Base'!AC13))</f>
        <v>90919.7666666667</v>
      </c>
      <c r="AD13" s="10" t="n">
        <f aca="false">IF('Start Here'!$B$5="Lean",'Monthly Lean'!AD13,IF('Start Here'!$B$5="Growth",'Monthly Growth'!AD13,'Monthly Base'!AD13))</f>
        <v>0</v>
      </c>
      <c r="AE13" s="10" t="n">
        <f aca="false">IF('Start Here'!$B$5="Lean",'Monthly Lean'!AE13,IF('Start Here'!$B$5="Growth",'Monthly Growth'!AE13,'Monthly Base'!AE13))</f>
        <v>0</v>
      </c>
      <c r="AF13" s="10" t="n">
        <f aca="false">IF('Start Here'!$B$5="Lean",'Monthly Lean'!AF13,IF('Start Here'!$B$5="Growth",'Monthly Growth'!AF13,'Monthly Base'!AF13))</f>
        <v>90919.7666666667</v>
      </c>
      <c r="AG13" s="10" t="n">
        <f aca="false">IF('Start Here'!$B$5="Lean",'Monthly Lean'!AG13,IF('Start Here'!$B$5="Growth",'Monthly Growth'!AG13,'Monthly Base'!AG13))</f>
        <v>0</v>
      </c>
      <c r="AH13" s="10" t="n">
        <f aca="false">IF('Start Here'!$B$5="Lean",'Monthly Lean'!AH13,IF('Start Here'!$B$5="Growth",'Monthly Growth'!AH13,'Monthly Base'!AH13))</f>
        <v>503962.833333334</v>
      </c>
      <c r="AI13" s="10" t="n">
        <f aca="false">IF('Start Here'!$B$5="Lean",'Monthly Lean'!AI13,IF('Start Here'!$B$5="Growth",'Monthly Growth'!AI13,'Monthly Base'!AI13))</f>
        <v>413043.066666667</v>
      </c>
      <c r="AJ13" s="10" t="n">
        <f aca="false">IF('Start Here'!$B$5="Lean",'Monthly Lean'!AJ13,IF('Start Here'!$B$5="Growth",'Monthly Growth'!AJ13,'Monthly Base'!AJ13))</f>
        <v>586956.933333333</v>
      </c>
      <c r="AK13" s="10" t="n">
        <f aca="false">IF('Start Here'!$B$5="Lean",'Monthly Lean'!AK13,IF('Start Here'!$B$5="Growth",'Monthly Growth'!AK13,'Monthly Base'!AK13))</f>
        <v>0</v>
      </c>
      <c r="AL13" s="10" t="n">
        <f aca="false">IF('Start Here'!$B$5="Lean",'Monthly Lean'!AL13,IF('Start Here'!$B$5="Growth",'Monthly Growth'!AL13,'Monthly Base'!AL13))</f>
        <v>413043.066666667</v>
      </c>
      <c r="AM13" s="10" t="n">
        <f aca="false">IF('Start Here'!$B$5="Lean",'Monthly Lean'!AM13,IF('Start Here'!$B$5="Growth",'Monthly Growth'!AM13,'Monthly Base'!AM13))</f>
        <v>1850</v>
      </c>
      <c r="AN13" s="10" t="n">
        <f aca="false">IF('Start Here'!$B$5="Lean",'Monthly Lean'!AN13,IF('Start Here'!$B$5="Growth",'Monthly Growth'!AN13,'Monthly Base'!AN13))</f>
        <v>0</v>
      </c>
      <c r="AO13" s="10" t="n">
        <f aca="false">IF('Start Here'!$B$5="Lean",'Monthly Lean'!AO13,IF('Start Here'!$B$5="Growth",'Monthly Growth'!AO13,'Monthly Base'!AO13))</f>
        <v>15000</v>
      </c>
      <c r="AP13" s="10" t="n">
        <f aca="false">IF('Start Here'!$B$5="Lean",'Monthly Lean'!AP13,IF('Start Here'!$B$5="Growth",'Monthly Growth'!AP13,'Monthly Base'!AP13))</f>
        <v>586956.933333333</v>
      </c>
      <c r="AQ13" s="10" t="n">
        <f aca="false">IF('Start Here'!$B$5="Lean",'Monthly Lean'!AQ13,IF('Start Here'!$B$5="Growth",'Monthly Growth'!AQ13,'Monthly Base'!AQ13))</f>
        <v>90919.7666666667</v>
      </c>
      <c r="AR13" s="10" t="n">
        <f aca="false">IF('Start Here'!$B$5="Lean",'Monthly Lean'!AR13,IF('Start Here'!$B$5="Growth",'Monthly Growth'!AR13,'Monthly Base'!AR13))</f>
        <v>0</v>
      </c>
    </row>
    <row r="14" customFormat="false" ht="15" hidden="false" customHeight="false" outlineLevel="0" collapsed="false">
      <c r="A14" s="11" t="n">
        <f aca="false">IF('Start Here'!$B$5="Lean",'Monthly Lean'!A14,IF('Start Here'!$B$5="Growth",'Monthly Growth'!A14,'Monthly Base'!A14))</f>
        <v>9</v>
      </c>
      <c r="B14" s="25" t="n">
        <f aca="false">IF('Start Here'!$B$5="Lean",'Monthly Lean'!B14,IF('Start Here'!$B$5="Growth",'Monthly Growth'!B14,'Monthly Base'!B14))</f>
        <v>46569</v>
      </c>
      <c r="C14" s="11" t="n">
        <f aca="false">IF('Start Here'!$B$5="Lean",'Monthly Lean'!C14,IF('Start Here'!$B$5="Growth",'Monthly Growth'!C14,'Monthly Base'!C14))</f>
        <v>0</v>
      </c>
      <c r="D14" s="11" t="n">
        <f aca="false">IF('Start Here'!$B$5="Lean",'Monthly Lean'!D14,IF('Start Here'!$B$5="Growth",'Monthly Growth'!D14,'Monthly Base'!D14))</f>
        <v>0</v>
      </c>
      <c r="E14" s="11" t="n">
        <f aca="false">IF('Start Here'!$B$5="Lean",'Monthly Lean'!E14,IF('Start Here'!$B$5="Growth",'Monthly Growth'!E14,'Monthly Base'!E14))</f>
        <v>0</v>
      </c>
      <c r="F14" s="11" t="n">
        <f aca="false">IF('Start Here'!$B$5="Lean",'Monthly Lean'!F14,IF('Start Here'!$B$5="Growth",'Monthly Growth'!F14,'Monthly Base'!F14))</f>
        <v>0</v>
      </c>
      <c r="G14" s="11" t="n">
        <f aca="false">IF('Start Here'!$B$5="Lean",'Monthly Lean'!G14,IF('Start Here'!$B$5="Growth",'Monthly Growth'!G14,'Monthly Base'!G14))</f>
        <v>0</v>
      </c>
      <c r="H14" s="11" t="n">
        <f aca="false">IF('Start Here'!$B$5="Lean",'Monthly Lean'!H14,IF('Start Here'!$B$5="Growth",'Monthly Growth'!H14,'Monthly Base'!H14))</f>
        <v>0</v>
      </c>
      <c r="I14" s="11" t="n">
        <f aca="false">IF('Start Here'!$B$5="Lean",'Monthly Lean'!I14,IF('Start Here'!$B$5="Growth",'Monthly Growth'!I14,'Monthly Base'!I14))</f>
        <v>5.75</v>
      </c>
      <c r="J14" s="11" t="n">
        <f aca="false">IF('Start Here'!$B$5="Lean",'Monthly Lean'!J14,IF('Start Here'!$B$5="Growth",'Monthly Growth'!J14,'Monthly Base'!J14))</f>
        <v>8</v>
      </c>
      <c r="K14" s="10" t="n">
        <f aca="false">IF('Start Here'!$B$5="Lean",'Monthly Lean'!K14,IF('Start Here'!$B$5="Growth",'Monthly Growth'!K14,'Monthly Base'!K14))</f>
        <v>76916.6666666667</v>
      </c>
      <c r="L14" s="10" t="n">
        <f aca="false">IF('Start Here'!$B$5="Lean",'Monthly Lean'!L14,IF('Start Here'!$B$5="Growth",'Monthly Growth'!L14,'Monthly Base'!L14))</f>
        <v>0</v>
      </c>
      <c r="M14" s="10" t="n">
        <f aca="false">IF('Start Here'!$B$5="Lean",'Monthly Lean'!M14,IF('Start Here'!$B$5="Growth",'Monthly Growth'!M14,'Monthly Base'!M14))</f>
        <v>0</v>
      </c>
      <c r="N14" s="10" t="n">
        <f aca="false">IF('Start Here'!$B$5="Lean",'Monthly Lean'!N14,IF('Start Here'!$B$5="Growth",'Monthly Growth'!N14,'Monthly Base'!N14))</f>
        <v>1250</v>
      </c>
      <c r="O14" s="10" t="n">
        <f aca="false">IF('Start Here'!$B$5="Lean",'Monthly Lean'!O14,IF('Start Here'!$B$5="Growth",'Monthly Growth'!O14,'Monthly Base'!O14))</f>
        <v>294</v>
      </c>
      <c r="P14" s="10" t="n">
        <f aca="false">IF('Start Here'!$B$5="Lean",'Monthly Lean'!P14,IF('Start Here'!$B$5="Growth",'Monthly Growth'!P14,'Monthly Base'!P14))</f>
        <v>0</v>
      </c>
      <c r="Q14" s="10" t="n">
        <f aca="false">IF('Start Here'!$B$5="Lean",'Monthly Lean'!Q14,IF('Start Here'!$B$5="Growth",'Monthly Growth'!Q14,'Monthly Base'!Q14))</f>
        <v>0</v>
      </c>
      <c r="R14" s="10" t="n">
        <f aca="false">IF('Start Here'!$B$5="Lean",'Monthly Lean'!R14,IF('Start Here'!$B$5="Growth",'Monthly Growth'!R14,'Monthly Base'!R14))</f>
        <v>0</v>
      </c>
      <c r="S14" s="10" t="n">
        <f aca="false">IF('Start Here'!$B$5="Lean",'Monthly Lean'!S14,IF('Start Here'!$B$5="Growth",'Monthly Growth'!S14,'Monthly Base'!S14))</f>
        <v>12000</v>
      </c>
      <c r="T14" s="10" t="n">
        <f aca="false">IF('Start Here'!$B$5="Lean",'Monthly Lean'!T14,IF('Start Here'!$B$5="Growth",'Monthly Growth'!T14,'Monthly Base'!T14))</f>
        <v>600</v>
      </c>
      <c r="U14" s="10" t="n">
        <f aca="false">IF('Start Here'!$B$5="Lean",'Monthly Lean'!U14,IF('Start Here'!$B$5="Growth",'Monthly Growth'!U14,'Monthly Base'!U14))</f>
        <v>100</v>
      </c>
      <c r="V14" s="10" t="n">
        <f aca="false">IF('Start Here'!$B$5="Lean",'Monthly Lean'!V14,IF('Start Here'!$B$5="Growth",'Monthly Growth'!V14,'Monthly Base'!V14))</f>
        <v>0</v>
      </c>
      <c r="W14" s="10" t="n">
        <f aca="false">IF('Start Here'!$B$5="Lean",'Monthly Lean'!W14,IF('Start Here'!$B$5="Growth",'Monthly Growth'!W14,'Monthly Base'!W14))</f>
        <v>0</v>
      </c>
      <c r="X14" s="10" t="n">
        <f aca="false">IF('Start Here'!$B$5="Lean",'Monthly Lean'!X14,IF('Start Here'!$B$5="Growth",'Monthly Growth'!X14,'Monthly Base'!X14))</f>
        <v>0</v>
      </c>
      <c r="Y14" s="10" t="n">
        <f aca="false">IF('Start Here'!$B$5="Lean",'Monthly Lean'!Y14,IF('Start Here'!$B$5="Growth",'Monthly Growth'!Y14,'Monthly Base'!Y14))</f>
        <v>0</v>
      </c>
      <c r="Z14" s="10" t="n">
        <f aca="false">IF('Start Here'!$B$5="Lean",'Monthly Lean'!Z14,IF('Start Here'!$B$5="Growth",'Monthly Growth'!Z14,'Monthly Base'!Z14))</f>
        <v>14244</v>
      </c>
      <c r="AA14" s="10" t="n">
        <f aca="false">IF('Start Here'!$B$5="Lean",'Monthly Lean'!AA14,IF('Start Here'!$B$5="Growth",'Monthly Growth'!AA14,'Monthly Base'!AA14))</f>
        <v>13674.1</v>
      </c>
      <c r="AB14" s="10" t="n">
        <f aca="false">IF('Start Here'!$B$5="Lean",'Monthly Lean'!AB14,IF('Start Here'!$B$5="Growth",'Monthly Growth'!AB14,'Monthly Base'!AB14))</f>
        <v>0</v>
      </c>
      <c r="AC14" s="10" t="n">
        <f aca="false">IF('Start Here'!$B$5="Lean",'Monthly Lean'!AC14,IF('Start Here'!$B$5="Growth",'Monthly Growth'!AC14,'Monthly Base'!AC14))</f>
        <v>104834.766666667</v>
      </c>
      <c r="AD14" s="10" t="n">
        <f aca="false">IF('Start Here'!$B$5="Lean",'Monthly Lean'!AD14,IF('Start Here'!$B$5="Growth",'Monthly Growth'!AD14,'Monthly Base'!AD14))</f>
        <v>0</v>
      </c>
      <c r="AE14" s="10" t="n">
        <f aca="false">IF('Start Here'!$B$5="Lean",'Monthly Lean'!AE14,IF('Start Here'!$B$5="Growth",'Monthly Growth'!AE14,'Monthly Base'!AE14))</f>
        <v>0</v>
      </c>
      <c r="AF14" s="10" t="n">
        <f aca="false">IF('Start Here'!$B$5="Lean",'Monthly Lean'!AF14,IF('Start Here'!$B$5="Growth",'Monthly Growth'!AF14,'Monthly Base'!AF14))</f>
        <v>104834.766666667</v>
      </c>
      <c r="AG14" s="10" t="n">
        <f aca="false">IF('Start Here'!$B$5="Lean",'Monthly Lean'!AG14,IF('Start Here'!$B$5="Growth",'Monthly Growth'!AG14,'Monthly Base'!AG14))</f>
        <v>0</v>
      </c>
      <c r="AH14" s="10" t="n">
        <f aca="false">IF('Start Here'!$B$5="Lean",'Monthly Lean'!AH14,IF('Start Here'!$B$5="Growth",'Monthly Growth'!AH14,'Monthly Base'!AH14))</f>
        <v>413043.066666667</v>
      </c>
      <c r="AI14" s="10" t="n">
        <f aca="false">IF('Start Here'!$B$5="Lean",'Monthly Lean'!AI14,IF('Start Here'!$B$5="Growth",'Monthly Growth'!AI14,'Monthly Base'!AI14))</f>
        <v>308208.3</v>
      </c>
      <c r="AJ14" s="10" t="n">
        <f aca="false">IF('Start Here'!$B$5="Lean",'Monthly Lean'!AJ14,IF('Start Here'!$B$5="Growth",'Monthly Growth'!AJ14,'Monthly Base'!AJ14))</f>
        <v>691791.7</v>
      </c>
      <c r="AK14" s="10" t="n">
        <f aca="false">IF('Start Here'!$B$5="Lean",'Monthly Lean'!AK14,IF('Start Here'!$B$5="Growth",'Monthly Growth'!AK14,'Monthly Base'!AK14))</f>
        <v>0</v>
      </c>
      <c r="AL14" s="10" t="n">
        <f aca="false">IF('Start Here'!$B$5="Lean",'Monthly Lean'!AL14,IF('Start Here'!$B$5="Growth",'Monthly Growth'!AL14,'Monthly Base'!AL14))</f>
        <v>308208.3</v>
      </c>
      <c r="AM14" s="10" t="n">
        <f aca="false">IF('Start Here'!$B$5="Lean",'Monthly Lean'!AM14,IF('Start Here'!$B$5="Growth",'Monthly Growth'!AM14,'Monthly Base'!AM14))</f>
        <v>13850</v>
      </c>
      <c r="AN14" s="10" t="n">
        <f aca="false">IF('Start Here'!$B$5="Lean",'Monthly Lean'!AN14,IF('Start Here'!$B$5="Growth",'Monthly Growth'!AN14,'Monthly Base'!AN14))</f>
        <v>0</v>
      </c>
      <c r="AO14" s="10" t="n">
        <f aca="false">IF('Start Here'!$B$5="Lean",'Monthly Lean'!AO14,IF('Start Here'!$B$5="Growth",'Monthly Growth'!AO14,'Monthly Base'!AO14))</f>
        <v>15000</v>
      </c>
      <c r="AP14" s="10" t="n">
        <f aca="false">IF('Start Here'!$B$5="Lean",'Monthly Lean'!AP14,IF('Start Here'!$B$5="Growth",'Monthly Growth'!AP14,'Monthly Base'!AP14))</f>
        <v>691791.7</v>
      </c>
      <c r="AQ14" s="10" t="n">
        <f aca="false">IF('Start Here'!$B$5="Lean",'Monthly Lean'!AQ14,IF('Start Here'!$B$5="Growth",'Monthly Growth'!AQ14,'Monthly Base'!AQ14))</f>
        <v>104834.766666667</v>
      </c>
      <c r="AR14" s="10" t="n">
        <f aca="false">IF('Start Here'!$B$5="Lean",'Monthly Lean'!AR14,IF('Start Here'!$B$5="Growth",'Monthly Growth'!AR14,'Monthly Base'!AR14))</f>
        <v>0</v>
      </c>
    </row>
    <row r="15" customFormat="false" ht="15" hidden="false" customHeight="false" outlineLevel="0" collapsed="false">
      <c r="A15" s="11" t="n">
        <f aca="false">IF('Start Here'!$B$5="Lean",'Monthly Lean'!A15,IF('Start Here'!$B$5="Growth",'Monthly Growth'!A15,'Monthly Base'!A15))</f>
        <v>10</v>
      </c>
      <c r="B15" s="25" t="n">
        <f aca="false">IF('Start Here'!$B$5="Lean",'Monthly Lean'!B15,IF('Start Here'!$B$5="Growth",'Monthly Growth'!B15,'Monthly Base'!B15))</f>
        <v>46600</v>
      </c>
      <c r="C15" s="11" t="n">
        <f aca="false">IF('Start Here'!$B$5="Lean",'Monthly Lean'!C15,IF('Start Here'!$B$5="Growth",'Monthly Growth'!C15,'Monthly Base'!C15))</f>
        <v>0</v>
      </c>
      <c r="D15" s="11" t="n">
        <f aca="false">IF('Start Here'!$B$5="Lean",'Monthly Lean'!D15,IF('Start Here'!$B$5="Growth",'Monthly Growth'!D15,'Monthly Base'!D15))</f>
        <v>0</v>
      </c>
      <c r="E15" s="11" t="n">
        <f aca="false">IF('Start Here'!$B$5="Lean",'Monthly Lean'!E15,IF('Start Here'!$B$5="Growth",'Monthly Growth'!E15,'Monthly Base'!E15))</f>
        <v>0</v>
      </c>
      <c r="F15" s="11" t="n">
        <f aca="false">IF('Start Here'!$B$5="Lean",'Monthly Lean'!F15,IF('Start Here'!$B$5="Growth",'Monthly Growth'!F15,'Monthly Base'!F15))</f>
        <v>0</v>
      </c>
      <c r="G15" s="11" t="n">
        <f aca="false">IF('Start Here'!$B$5="Lean",'Monthly Lean'!G15,IF('Start Here'!$B$5="Growth",'Monthly Growth'!G15,'Monthly Base'!G15))</f>
        <v>0</v>
      </c>
      <c r="H15" s="11" t="n">
        <f aca="false">IF('Start Here'!$B$5="Lean",'Monthly Lean'!H15,IF('Start Here'!$B$5="Growth",'Monthly Growth'!H15,'Monthly Base'!H15))</f>
        <v>0</v>
      </c>
      <c r="I15" s="11" t="n">
        <f aca="false">IF('Start Here'!$B$5="Lean",'Monthly Lean'!I15,IF('Start Here'!$B$5="Growth",'Monthly Growth'!I15,'Monthly Base'!I15))</f>
        <v>6.25</v>
      </c>
      <c r="J15" s="11" t="n">
        <f aca="false">IF('Start Here'!$B$5="Lean",'Monthly Lean'!J15,IF('Start Here'!$B$5="Growth",'Monthly Growth'!J15,'Monthly Base'!J15))</f>
        <v>9</v>
      </c>
      <c r="K15" s="10" t="n">
        <f aca="false">IF('Start Here'!$B$5="Lean",'Monthly Lean'!K15,IF('Start Here'!$B$5="Growth",'Monthly Growth'!K15,'Monthly Base'!K15))</f>
        <v>82166.6666666667</v>
      </c>
      <c r="L15" s="10" t="n">
        <f aca="false">IF('Start Here'!$B$5="Lean",'Monthly Lean'!L15,IF('Start Here'!$B$5="Growth",'Monthly Growth'!L15,'Monthly Base'!L15))</f>
        <v>4000</v>
      </c>
      <c r="M15" s="10" t="n">
        <f aca="false">IF('Start Here'!$B$5="Lean",'Monthly Lean'!M15,IF('Start Here'!$B$5="Growth",'Monthly Growth'!M15,'Monthly Base'!M15))</f>
        <v>1500</v>
      </c>
      <c r="N15" s="10" t="n">
        <f aca="false">IF('Start Here'!$B$5="Lean",'Monthly Lean'!N15,IF('Start Here'!$B$5="Growth",'Monthly Growth'!N15,'Monthly Base'!N15))</f>
        <v>1250</v>
      </c>
      <c r="O15" s="10" t="n">
        <f aca="false">IF('Start Here'!$B$5="Lean",'Monthly Lean'!O15,IF('Start Here'!$B$5="Growth",'Monthly Growth'!O15,'Monthly Base'!O15))</f>
        <v>343</v>
      </c>
      <c r="P15" s="10" t="n">
        <f aca="false">IF('Start Here'!$B$5="Lean",'Monthly Lean'!P15,IF('Start Here'!$B$5="Growth",'Monthly Growth'!P15,'Monthly Base'!P15))</f>
        <v>0</v>
      </c>
      <c r="Q15" s="10" t="n">
        <f aca="false">IF('Start Here'!$B$5="Lean",'Monthly Lean'!Q15,IF('Start Here'!$B$5="Growth",'Monthly Growth'!Q15,'Monthly Base'!Q15))</f>
        <v>18000</v>
      </c>
      <c r="R15" s="10" t="n">
        <f aca="false">IF('Start Here'!$B$5="Lean",'Monthly Lean'!R15,IF('Start Here'!$B$5="Growth",'Monthly Growth'!R15,'Monthly Base'!R15))</f>
        <v>0</v>
      </c>
      <c r="S15" s="10" t="n">
        <f aca="false">IF('Start Here'!$B$5="Lean",'Monthly Lean'!S15,IF('Start Here'!$B$5="Growth",'Monthly Growth'!S15,'Monthly Base'!S15))</f>
        <v>0</v>
      </c>
      <c r="T15" s="10" t="n">
        <f aca="false">IF('Start Here'!$B$5="Lean",'Monthly Lean'!T15,IF('Start Here'!$B$5="Growth",'Monthly Growth'!T15,'Monthly Base'!T15))</f>
        <v>600</v>
      </c>
      <c r="U15" s="10" t="n">
        <f aca="false">IF('Start Here'!$B$5="Lean",'Monthly Lean'!U15,IF('Start Here'!$B$5="Growth",'Monthly Growth'!U15,'Monthly Base'!U15))</f>
        <v>100</v>
      </c>
      <c r="V15" s="10" t="n">
        <f aca="false">IF('Start Here'!$B$5="Lean",'Monthly Lean'!V15,IF('Start Here'!$B$5="Growth",'Monthly Growth'!V15,'Monthly Base'!V15))</f>
        <v>0</v>
      </c>
      <c r="W15" s="10" t="n">
        <f aca="false">IF('Start Here'!$B$5="Lean",'Monthly Lean'!W15,IF('Start Here'!$B$5="Growth",'Monthly Growth'!W15,'Monthly Base'!W15))</f>
        <v>0</v>
      </c>
      <c r="X15" s="10" t="n">
        <f aca="false">IF('Start Here'!$B$5="Lean",'Monthly Lean'!X15,IF('Start Here'!$B$5="Growth",'Monthly Growth'!X15,'Monthly Base'!X15))</f>
        <v>0</v>
      </c>
      <c r="Y15" s="10" t="n">
        <f aca="false">IF('Start Here'!$B$5="Lean",'Monthly Lean'!Y15,IF('Start Here'!$B$5="Growth",'Monthly Growth'!Y15,'Monthly Base'!Y15))</f>
        <v>0</v>
      </c>
      <c r="Z15" s="10" t="n">
        <f aca="false">IF('Start Here'!$B$5="Lean",'Monthly Lean'!Z15,IF('Start Here'!$B$5="Growth",'Monthly Growth'!Z15,'Monthly Base'!Z15))</f>
        <v>20293</v>
      </c>
      <c r="AA15" s="10" t="n">
        <f aca="false">IF('Start Here'!$B$5="Lean",'Monthly Lean'!AA15,IF('Start Here'!$B$5="Growth",'Monthly Growth'!AA15,'Monthly Base'!AA15))</f>
        <v>16193.95</v>
      </c>
      <c r="AB15" s="10" t="n">
        <f aca="false">IF('Start Here'!$B$5="Lean",'Monthly Lean'!AB15,IF('Start Here'!$B$5="Growth",'Monthly Growth'!AB15,'Monthly Base'!AB15))</f>
        <v>0</v>
      </c>
      <c r="AC15" s="10" t="n">
        <f aca="false">IF('Start Here'!$B$5="Lean",'Monthly Lean'!AC15,IF('Start Here'!$B$5="Growth",'Monthly Growth'!AC15,'Monthly Base'!AC15))</f>
        <v>124153.616666667</v>
      </c>
      <c r="AD15" s="10" t="n">
        <f aca="false">IF('Start Here'!$B$5="Lean",'Monthly Lean'!AD15,IF('Start Here'!$B$5="Growth",'Monthly Growth'!AD15,'Monthly Base'!AD15))</f>
        <v>0</v>
      </c>
      <c r="AE15" s="10" t="n">
        <f aca="false">IF('Start Here'!$B$5="Lean",'Monthly Lean'!AE15,IF('Start Here'!$B$5="Growth",'Monthly Growth'!AE15,'Monthly Base'!AE15))</f>
        <v>0</v>
      </c>
      <c r="AF15" s="10" t="n">
        <f aca="false">IF('Start Here'!$B$5="Lean",'Monthly Lean'!AF15,IF('Start Here'!$B$5="Growth",'Monthly Growth'!AF15,'Monthly Base'!AF15))</f>
        <v>124153.616666667</v>
      </c>
      <c r="AG15" s="10" t="n">
        <f aca="false">IF('Start Here'!$B$5="Lean",'Monthly Lean'!AG15,IF('Start Here'!$B$5="Growth",'Monthly Growth'!AG15,'Monthly Base'!AG15))</f>
        <v>0</v>
      </c>
      <c r="AH15" s="10" t="n">
        <f aca="false">IF('Start Here'!$B$5="Lean",'Monthly Lean'!AH15,IF('Start Here'!$B$5="Growth",'Monthly Growth'!AH15,'Monthly Base'!AH15))</f>
        <v>308208.3</v>
      </c>
      <c r="AI15" s="10" t="n">
        <f aca="false">IF('Start Here'!$B$5="Lean",'Monthly Lean'!AI15,IF('Start Here'!$B$5="Growth",'Monthly Growth'!AI15,'Monthly Base'!AI15))</f>
        <v>184054.683333334</v>
      </c>
      <c r="AJ15" s="10" t="n">
        <f aca="false">IF('Start Here'!$B$5="Lean",'Monthly Lean'!AJ15,IF('Start Here'!$B$5="Growth",'Monthly Growth'!AJ15,'Monthly Base'!AJ15))</f>
        <v>815945.316666667</v>
      </c>
      <c r="AK15" s="10" t="n">
        <f aca="false">IF('Start Here'!$B$5="Lean",'Monthly Lean'!AK15,IF('Start Here'!$B$5="Growth",'Monthly Growth'!AK15,'Monthly Base'!AK15))</f>
        <v>0</v>
      </c>
      <c r="AL15" s="10" t="n">
        <f aca="false">IF('Start Here'!$B$5="Lean",'Monthly Lean'!AL15,IF('Start Here'!$B$5="Growth",'Monthly Growth'!AL15,'Monthly Base'!AL15))</f>
        <v>184054.683333333</v>
      </c>
      <c r="AM15" s="10" t="n">
        <f aca="false">IF('Start Here'!$B$5="Lean",'Monthly Lean'!AM15,IF('Start Here'!$B$5="Growth",'Monthly Growth'!AM15,'Monthly Base'!AM15))</f>
        <v>19850</v>
      </c>
      <c r="AN15" s="10" t="n">
        <f aca="false">IF('Start Here'!$B$5="Lean",'Monthly Lean'!AN15,IF('Start Here'!$B$5="Growth",'Monthly Growth'!AN15,'Monthly Base'!AN15))</f>
        <v>0</v>
      </c>
      <c r="AO15" s="10" t="n">
        <f aca="false">IF('Start Here'!$B$5="Lean",'Monthly Lean'!AO15,IF('Start Here'!$B$5="Growth",'Monthly Growth'!AO15,'Monthly Base'!AO15))</f>
        <v>15000</v>
      </c>
      <c r="AP15" s="10" t="n">
        <f aca="false">IF('Start Here'!$B$5="Lean",'Monthly Lean'!AP15,IF('Start Here'!$B$5="Growth",'Monthly Growth'!AP15,'Monthly Base'!AP15))</f>
        <v>815945.316666667</v>
      </c>
      <c r="AQ15" s="10" t="n">
        <f aca="false">IF('Start Here'!$B$5="Lean",'Monthly Lean'!AQ15,IF('Start Here'!$B$5="Growth",'Monthly Growth'!AQ15,'Monthly Base'!AQ15))</f>
        <v>124153.616666667</v>
      </c>
      <c r="AR15" s="10" t="n">
        <f aca="false">IF('Start Here'!$B$5="Lean",'Monthly Lean'!AR15,IF('Start Here'!$B$5="Growth",'Monthly Growth'!AR15,'Monthly Base'!AR15))</f>
        <v>0</v>
      </c>
    </row>
    <row r="16" customFormat="false" ht="15" hidden="false" customHeight="false" outlineLevel="0" collapsed="false">
      <c r="A16" s="11" t="n">
        <f aca="false">IF('Start Here'!$B$5="Lean",'Monthly Lean'!A16,IF('Start Here'!$B$5="Growth",'Monthly Growth'!A16,'Monthly Base'!A16))</f>
        <v>11</v>
      </c>
      <c r="B16" s="25" t="n">
        <f aca="false">IF('Start Here'!$B$5="Lean",'Monthly Lean'!B16,IF('Start Here'!$B$5="Growth",'Monthly Growth'!B16,'Monthly Base'!B16))</f>
        <v>46631</v>
      </c>
      <c r="C16" s="11" t="n">
        <f aca="false">IF('Start Here'!$B$5="Lean",'Monthly Lean'!C16,IF('Start Here'!$B$5="Growth",'Monthly Growth'!C16,'Monthly Base'!C16))</f>
        <v>0</v>
      </c>
      <c r="D16" s="11" t="n">
        <f aca="false">IF('Start Here'!$B$5="Lean",'Monthly Lean'!D16,IF('Start Here'!$B$5="Growth",'Monthly Growth'!D16,'Monthly Base'!D16))</f>
        <v>0</v>
      </c>
      <c r="E16" s="11" t="n">
        <f aca="false">IF('Start Here'!$B$5="Lean",'Monthly Lean'!E16,IF('Start Here'!$B$5="Growth",'Monthly Growth'!E16,'Monthly Base'!E16))</f>
        <v>0</v>
      </c>
      <c r="F16" s="11" t="n">
        <f aca="false">IF('Start Here'!$B$5="Lean",'Monthly Lean'!F16,IF('Start Here'!$B$5="Growth",'Monthly Growth'!F16,'Monthly Base'!F16))</f>
        <v>0</v>
      </c>
      <c r="G16" s="11" t="n">
        <f aca="false">IF('Start Here'!$B$5="Lean",'Monthly Lean'!G16,IF('Start Here'!$B$5="Growth",'Monthly Growth'!G16,'Monthly Base'!G16))</f>
        <v>0</v>
      </c>
      <c r="H16" s="11" t="n">
        <f aca="false">IF('Start Here'!$B$5="Lean",'Monthly Lean'!H16,IF('Start Here'!$B$5="Growth",'Monthly Growth'!H16,'Monthly Base'!H16))</f>
        <v>0</v>
      </c>
      <c r="I16" s="11" t="n">
        <f aca="false">IF('Start Here'!$B$5="Lean",'Monthly Lean'!I16,IF('Start Here'!$B$5="Growth",'Monthly Growth'!I16,'Monthly Base'!I16))</f>
        <v>6.25</v>
      </c>
      <c r="J16" s="11" t="n">
        <f aca="false">IF('Start Here'!$B$5="Lean",'Monthly Lean'!J16,IF('Start Here'!$B$5="Growth",'Monthly Growth'!J16,'Monthly Base'!J16))</f>
        <v>9</v>
      </c>
      <c r="K16" s="10" t="n">
        <f aca="false">IF('Start Here'!$B$5="Lean",'Monthly Lean'!K16,IF('Start Here'!$B$5="Growth",'Monthly Growth'!K16,'Monthly Base'!K16))</f>
        <v>82166.6666666667</v>
      </c>
      <c r="L16" s="10" t="n">
        <f aca="false">IF('Start Here'!$B$5="Lean",'Monthly Lean'!L16,IF('Start Here'!$B$5="Growth",'Monthly Growth'!L16,'Monthly Base'!L16))</f>
        <v>0</v>
      </c>
      <c r="M16" s="10" t="n">
        <f aca="false">IF('Start Here'!$B$5="Lean",'Monthly Lean'!M16,IF('Start Here'!$B$5="Growth",'Monthly Growth'!M16,'Monthly Base'!M16))</f>
        <v>0</v>
      </c>
      <c r="N16" s="10" t="n">
        <f aca="false">IF('Start Here'!$B$5="Lean",'Monthly Lean'!N16,IF('Start Here'!$B$5="Growth",'Monthly Growth'!N16,'Monthly Base'!N16))</f>
        <v>1250</v>
      </c>
      <c r="O16" s="10" t="n">
        <f aca="false">IF('Start Here'!$B$5="Lean",'Monthly Lean'!O16,IF('Start Here'!$B$5="Growth",'Monthly Growth'!O16,'Monthly Base'!O16))</f>
        <v>343</v>
      </c>
      <c r="P16" s="10" t="n">
        <f aca="false">IF('Start Here'!$B$5="Lean",'Monthly Lean'!P16,IF('Start Here'!$B$5="Growth",'Monthly Growth'!P16,'Monthly Base'!P16))</f>
        <v>0</v>
      </c>
      <c r="Q16" s="10" t="n">
        <f aca="false">IF('Start Here'!$B$5="Lean",'Monthly Lean'!Q16,IF('Start Here'!$B$5="Growth",'Monthly Growth'!Q16,'Monthly Base'!Q16))</f>
        <v>0</v>
      </c>
      <c r="R16" s="10" t="n">
        <f aca="false">IF('Start Here'!$B$5="Lean",'Monthly Lean'!R16,IF('Start Here'!$B$5="Growth",'Monthly Growth'!R16,'Monthly Base'!R16))</f>
        <v>15000</v>
      </c>
      <c r="S16" s="10" t="n">
        <f aca="false">IF('Start Here'!$B$5="Lean",'Monthly Lean'!S16,IF('Start Here'!$B$5="Growth",'Monthly Growth'!S16,'Monthly Base'!S16))</f>
        <v>0</v>
      </c>
      <c r="T16" s="10" t="n">
        <f aca="false">IF('Start Here'!$B$5="Lean",'Monthly Lean'!T16,IF('Start Here'!$B$5="Growth",'Monthly Growth'!T16,'Monthly Base'!T16))</f>
        <v>600</v>
      </c>
      <c r="U16" s="10" t="n">
        <f aca="false">IF('Start Here'!$B$5="Lean",'Monthly Lean'!U16,IF('Start Here'!$B$5="Growth",'Monthly Growth'!U16,'Monthly Base'!U16))</f>
        <v>100</v>
      </c>
      <c r="V16" s="10" t="n">
        <f aca="false">IF('Start Here'!$B$5="Lean",'Monthly Lean'!V16,IF('Start Here'!$B$5="Growth",'Monthly Growth'!V16,'Monthly Base'!V16))</f>
        <v>0</v>
      </c>
      <c r="W16" s="10" t="n">
        <f aca="false">IF('Start Here'!$B$5="Lean",'Monthly Lean'!W16,IF('Start Here'!$B$5="Growth",'Monthly Growth'!W16,'Monthly Base'!W16))</f>
        <v>0</v>
      </c>
      <c r="X16" s="10" t="n">
        <f aca="false">IF('Start Here'!$B$5="Lean",'Monthly Lean'!X16,IF('Start Here'!$B$5="Growth",'Monthly Growth'!X16,'Monthly Base'!X16))</f>
        <v>0</v>
      </c>
      <c r="Y16" s="10" t="n">
        <f aca="false">IF('Start Here'!$B$5="Lean",'Monthly Lean'!Y16,IF('Start Here'!$B$5="Growth",'Monthly Growth'!Y16,'Monthly Base'!Y16))</f>
        <v>0</v>
      </c>
      <c r="Z16" s="10" t="n">
        <f aca="false">IF('Start Here'!$B$5="Lean",'Monthly Lean'!Z16,IF('Start Here'!$B$5="Growth",'Monthly Growth'!Z16,'Monthly Base'!Z16))</f>
        <v>17293</v>
      </c>
      <c r="AA16" s="10" t="n">
        <f aca="false">IF('Start Here'!$B$5="Lean",'Monthly Lean'!AA16,IF('Start Here'!$B$5="Growth",'Monthly Growth'!AA16,'Monthly Base'!AA16))</f>
        <v>14918.95</v>
      </c>
      <c r="AB16" s="10" t="n">
        <f aca="false">IF('Start Here'!$B$5="Lean",'Monthly Lean'!AB16,IF('Start Here'!$B$5="Growth",'Monthly Growth'!AB16,'Monthly Base'!AB16))</f>
        <v>0</v>
      </c>
      <c r="AC16" s="10" t="n">
        <f aca="false">IF('Start Here'!$B$5="Lean",'Monthly Lean'!AC16,IF('Start Here'!$B$5="Growth",'Monthly Growth'!AC16,'Monthly Base'!AC16))</f>
        <v>114378.616666667</v>
      </c>
      <c r="AD16" s="10" t="n">
        <f aca="false">IF('Start Here'!$B$5="Lean",'Monthly Lean'!AD16,IF('Start Here'!$B$5="Growth",'Monthly Growth'!AD16,'Monthly Base'!AD16))</f>
        <v>0</v>
      </c>
      <c r="AE16" s="10" t="n">
        <f aca="false">IF('Start Here'!$B$5="Lean",'Monthly Lean'!AE16,IF('Start Here'!$B$5="Growth",'Monthly Growth'!AE16,'Monthly Base'!AE16))</f>
        <v>0</v>
      </c>
      <c r="AF16" s="10" t="n">
        <f aca="false">IF('Start Here'!$B$5="Lean",'Monthly Lean'!AF16,IF('Start Here'!$B$5="Growth",'Monthly Growth'!AF16,'Monthly Base'!AF16))</f>
        <v>114378.616666667</v>
      </c>
      <c r="AG16" s="10" t="n">
        <f aca="false">IF('Start Here'!$B$5="Lean",'Monthly Lean'!AG16,IF('Start Here'!$B$5="Growth",'Monthly Growth'!AG16,'Monthly Base'!AG16))</f>
        <v>0</v>
      </c>
      <c r="AH16" s="10" t="n">
        <f aca="false">IF('Start Here'!$B$5="Lean",'Monthly Lean'!AH16,IF('Start Here'!$B$5="Growth",'Monthly Growth'!AH16,'Monthly Base'!AH16))</f>
        <v>184054.683333334</v>
      </c>
      <c r="AI16" s="10" t="n">
        <f aca="false">IF('Start Here'!$B$5="Lean",'Monthly Lean'!AI16,IF('Start Here'!$B$5="Growth",'Monthly Growth'!AI16,'Monthly Base'!AI16))</f>
        <v>69676.0666666669</v>
      </c>
      <c r="AJ16" s="10" t="n">
        <f aca="false">IF('Start Here'!$B$5="Lean",'Monthly Lean'!AJ16,IF('Start Here'!$B$5="Growth",'Monthly Growth'!AJ16,'Monthly Base'!AJ16))</f>
        <v>930323.933333333</v>
      </c>
      <c r="AK16" s="10" t="n">
        <f aca="false">IF('Start Here'!$B$5="Lean",'Monthly Lean'!AK16,IF('Start Here'!$B$5="Growth",'Monthly Growth'!AK16,'Monthly Base'!AK16))</f>
        <v>0</v>
      </c>
      <c r="AL16" s="10" t="n">
        <f aca="false">IF('Start Here'!$B$5="Lean",'Monthly Lean'!AL16,IF('Start Here'!$B$5="Growth",'Monthly Growth'!AL16,'Monthly Base'!AL16))</f>
        <v>69676.0666666667</v>
      </c>
      <c r="AM16" s="10" t="n">
        <f aca="false">IF('Start Here'!$B$5="Lean",'Monthly Lean'!AM16,IF('Start Here'!$B$5="Growth",'Monthly Growth'!AM16,'Monthly Base'!AM16))</f>
        <v>16850</v>
      </c>
      <c r="AN16" s="10" t="n">
        <f aca="false">IF('Start Here'!$B$5="Lean",'Monthly Lean'!AN16,IF('Start Here'!$B$5="Growth",'Monthly Growth'!AN16,'Monthly Base'!AN16))</f>
        <v>0</v>
      </c>
      <c r="AO16" s="10" t="n">
        <f aca="false">IF('Start Here'!$B$5="Lean",'Monthly Lean'!AO16,IF('Start Here'!$B$5="Growth",'Monthly Growth'!AO16,'Monthly Base'!AO16))</f>
        <v>15000</v>
      </c>
      <c r="AP16" s="10" t="n">
        <f aca="false">IF('Start Here'!$B$5="Lean",'Monthly Lean'!AP16,IF('Start Here'!$B$5="Growth",'Monthly Growth'!AP16,'Monthly Base'!AP16))</f>
        <v>930323.933333333</v>
      </c>
      <c r="AQ16" s="10" t="n">
        <f aca="false">IF('Start Here'!$B$5="Lean",'Monthly Lean'!AQ16,IF('Start Here'!$B$5="Growth",'Monthly Growth'!AQ16,'Monthly Base'!AQ16))</f>
        <v>114378.616666667</v>
      </c>
      <c r="AR16" s="10" t="n">
        <f aca="false">IF('Start Here'!$B$5="Lean",'Monthly Lean'!AR16,IF('Start Here'!$B$5="Growth",'Monthly Growth'!AR16,'Monthly Base'!AR16))</f>
        <v>0</v>
      </c>
    </row>
    <row r="17" customFormat="false" ht="15" hidden="false" customHeight="false" outlineLevel="0" collapsed="false">
      <c r="A17" s="11" t="n">
        <f aca="false">IF('Start Here'!$B$5="Lean",'Monthly Lean'!A17,IF('Start Here'!$B$5="Growth",'Monthly Growth'!A17,'Monthly Base'!A17))</f>
        <v>12</v>
      </c>
      <c r="B17" s="25" t="n">
        <f aca="false">IF('Start Here'!$B$5="Lean",'Monthly Lean'!B17,IF('Start Here'!$B$5="Growth",'Monthly Growth'!B17,'Monthly Base'!B17))</f>
        <v>46661</v>
      </c>
      <c r="C17" s="11" t="n">
        <f aca="false">IF('Start Here'!$B$5="Lean",'Monthly Lean'!C17,IF('Start Here'!$B$5="Growth",'Monthly Growth'!C17,'Monthly Base'!C17))</f>
        <v>0</v>
      </c>
      <c r="D17" s="11" t="n">
        <f aca="false">IF('Start Here'!$B$5="Lean",'Monthly Lean'!D17,IF('Start Here'!$B$5="Growth",'Monthly Growth'!D17,'Monthly Base'!D17))</f>
        <v>0</v>
      </c>
      <c r="E17" s="11" t="n">
        <f aca="false">IF('Start Here'!$B$5="Lean",'Monthly Lean'!E17,IF('Start Here'!$B$5="Growth",'Monthly Growth'!E17,'Monthly Base'!E17))</f>
        <v>0</v>
      </c>
      <c r="F17" s="11" t="n">
        <f aca="false">IF('Start Here'!$B$5="Lean",'Monthly Lean'!F17,IF('Start Here'!$B$5="Growth",'Monthly Growth'!F17,'Monthly Base'!F17))</f>
        <v>0</v>
      </c>
      <c r="G17" s="11" t="n">
        <f aca="false">IF('Start Here'!$B$5="Lean",'Monthly Lean'!G17,IF('Start Here'!$B$5="Growth",'Monthly Growth'!G17,'Monthly Base'!G17))</f>
        <v>0</v>
      </c>
      <c r="H17" s="11" t="n">
        <f aca="false">IF('Start Here'!$B$5="Lean",'Monthly Lean'!H17,IF('Start Here'!$B$5="Growth",'Monthly Growth'!H17,'Monthly Base'!H17))</f>
        <v>0</v>
      </c>
      <c r="I17" s="11" t="n">
        <f aca="false">IF('Start Here'!$B$5="Lean",'Monthly Lean'!I17,IF('Start Here'!$B$5="Growth",'Monthly Growth'!I17,'Monthly Base'!I17))</f>
        <v>6.25</v>
      </c>
      <c r="J17" s="11" t="n">
        <f aca="false">IF('Start Here'!$B$5="Lean",'Monthly Lean'!J17,IF('Start Here'!$B$5="Growth",'Monthly Growth'!J17,'Monthly Base'!J17))</f>
        <v>9</v>
      </c>
      <c r="K17" s="10" t="n">
        <f aca="false">IF('Start Here'!$B$5="Lean",'Monthly Lean'!K17,IF('Start Here'!$B$5="Growth",'Monthly Growth'!K17,'Monthly Base'!K17))</f>
        <v>82166.6666666667</v>
      </c>
      <c r="L17" s="10" t="n">
        <f aca="false">IF('Start Here'!$B$5="Lean",'Monthly Lean'!L17,IF('Start Here'!$B$5="Growth",'Monthly Growth'!L17,'Monthly Base'!L17))</f>
        <v>0</v>
      </c>
      <c r="M17" s="10" t="n">
        <f aca="false">IF('Start Here'!$B$5="Lean",'Monthly Lean'!M17,IF('Start Here'!$B$5="Growth",'Monthly Growth'!M17,'Monthly Base'!M17))</f>
        <v>0</v>
      </c>
      <c r="N17" s="10" t="n">
        <f aca="false">IF('Start Here'!$B$5="Lean",'Monthly Lean'!N17,IF('Start Here'!$B$5="Growth",'Monthly Growth'!N17,'Monthly Base'!N17))</f>
        <v>1250</v>
      </c>
      <c r="O17" s="10" t="n">
        <f aca="false">IF('Start Here'!$B$5="Lean",'Monthly Lean'!O17,IF('Start Here'!$B$5="Growth",'Monthly Growth'!O17,'Monthly Base'!O17))</f>
        <v>343</v>
      </c>
      <c r="P17" s="10" t="n">
        <f aca="false">IF('Start Here'!$B$5="Lean",'Monthly Lean'!P17,IF('Start Here'!$B$5="Growth",'Monthly Growth'!P17,'Monthly Base'!P17))</f>
        <v>0</v>
      </c>
      <c r="Q17" s="10" t="n">
        <f aca="false">IF('Start Here'!$B$5="Lean",'Monthly Lean'!Q17,IF('Start Here'!$B$5="Growth",'Monthly Growth'!Q17,'Monthly Base'!Q17))</f>
        <v>0</v>
      </c>
      <c r="R17" s="10" t="n">
        <f aca="false">IF('Start Here'!$B$5="Lean",'Monthly Lean'!R17,IF('Start Here'!$B$5="Growth",'Monthly Growth'!R17,'Monthly Base'!R17))</f>
        <v>0</v>
      </c>
      <c r="S17" s="10" t="n">
        <f aca="false">IF('Start Here'!$B$5="Lean",'Monthly Lean'!S17,IF('Start Here'!$B$5="Growth",'Monthly Growth'!S17,'Monthly Base'!S17))</f>
        <v>0</v>
      </c>
      <c r="T17" s="10" t="n">
        <f aca="false">IF('Start Here'!$B$5="Lean",'Monthly Lean'!T17,IF('Start Here'!$B$5="Growth",'Monthly Growth'!T17,'Monthly Base'!T17))</f>
        <v>600</v>
      </c>
      <c r="U17" s="10" t="n">
        <f aca="false">IF('Start Here'!$B$5="Lean",'Monthly Lean'!U17,IF('Start Here'!$B$5="Growth",'Monthly Growth'!U17,'Monthly Base'!U17))</f>
        <v>100</v>
      </c>
      <c r="V17" s="10" t="n">
        <f aca="false">IF('Start Here'!$B$5="Lean",'Monthly Lean'!V17,IF('Start Here'!$B$5="Growth",'Monthly Growth'!V17,'Monthly Base'!V17))</f>
        <v>0</v>
      </c>
      <c r="W17" s="10" t="n">
        <f aca="false">IF('Start Here'!$B$5="Lean",'Monthly Lean'!W17,IF('Start Here'!$B$5="Growth",'Monthly Growth'!W17,'Monthly Base'!W17))</f>
        <v>0</v>
      </c>
      <c r="X17" s="10" t="n">
        <f aca="false">IF('Start Here'!$B$5="Lean",'Monthly Lean'!X17,IF('Start Here'!$B$5="Growth",'Monthly Growth'!X17,'Monthly Base'!X17))</f>
        <v>0</v>
      </c>
      <c r="Y17" s="10" t="n">
        <f aca="false">IF('Start Here'!$B$5="Lean",'Monthly Lean'!Y17,IF('Start Here'!$B$5="Growth",'Monthly Growth'!Y17,'Monthly Base'!Y17))</f>
        <v>0</v>
      </c>
      <c r="Z17" s="10" t="n">
        <f aca="false">IF('Start Here'!$B$5="Lean",'Monthly Lean'!Z17,IF('Start Here'!$B$5="Growth",'Monthly Growth'!Z17,'Monthly Base'!Z17))</f>
        <v>2293</v>
      </c>
      <c r="AA17" s="10" t="n">
        <f aca="false">IF('Start Here'!$B$5="Lean",'Monthly Lean'!AA17,IF('Start Here'!$B$5="Growth",'Monthly Growth'!AA17,'Monthly Base'!AA17))</f>
        <v>12668.95</v>
      </c>
      <c r="AB17" s="10" t="n">
        <f aca="false">IF('Start Here'!$B$5="Lean",'Monthly Lean'!AB17,IF('Start Here'!$B$5="Growth",'Monthly Growth'!AB17,'Monthly Base'!AB17))</f>
        <v>0</v>
      </c>
      <c r="AC17" s="10" t="n">
        <f aca="false">IF('Start Here'!$B$5="Lean",'Monthly Lean'!AC17,IF('Start Here'!$B$5="Growth",'Monthly Growth'!AC17,'Monthly Base'!AC17))</f>
        <v>97128.6166666667</v>
      </c>
      <c r="AD17" s="10" t="n">
        <f aca="false">IF('Start Here'!$B$5="Lean",'Monthly Lean'!AD17,IF('Start Here'!$B$5="Growth",'Monthly Growth'!AD17,'Monthly Base'!AD17))</f>
        <v>0</v>
      </c>
      <c r="AE17" s="10" t="n">
        <f aca="false">IF('Start Here'!$B$5="Lean",'Monthly Lean'!AE17,IF('Start Here'!$B$5="Growth",'Monthly Growth'!AE17,'Monthly Base'!AE17))</f>
        <v>0</v>
      </c>
      <c r="AF17" s="10" t="n">
        <f aca="false">IF('Start Here'!$B$5="Lean",'Monthly Lean'!AF17,IF('Start Here'!$B$5="Growth",'Monthly Growth'!AF17,'Monthly Base'!AF17))</f>
        <v>97128.6166666667</v>
      </c>
      <c r="AG17" s="10" t="n">
        <f aca="false">IF('Start Here'!$B$5="Lean",'Monthly Lean'!AG17,IF('Start Here'!$B$5="Growth",'Monthly Growth'!AG17,'Monthly Base'!AG17))</f>
        <v>0</v>
      </c>
      <c r="AH17" s="10" t="n">
        <f aca="false">IF('Start Here'!$B$5="Lean",'Monthly Lean'!AH17,IF('Start Here'!$B$5="Growth",'Monthly Growth'!AH17,'Monthly Base'!AH17))</f>
        <v>69676.0666666669</v>
      </c>
      <c r="AI17" s="10" t="n">
        <f aca="false">IF('Start Here'!$B$5="Lean",'Monthly Lean'!AI17,IF('Start Here'!$B$5="Growth",'Monthly Growth'!AI17,'Monthly Base'!AI17))</f>
        <v>-27452.5499999998</v>
      </c>
      <c r="AJ17" s="10" t="n">
        <f aca="false">IF('Start Here'!$B$5="Lean",'Monthly Lean'!AJ17,IF('Start Here'!$B$5="Growth",'Monthly Growth'!AJ17,'Monthly Base'!AJ17))</f>
        <v>1027452.55</v>
      </c>
      <c r="AK17" s="10" t="n">
        <f aca="false">IF('Start Here'!$B$5="Lean",'Monthly Lean'!AK17,IF('Start Here'!$B$5="Growth",'Monthly Growth'!AK17,'Monthly Base'!AK17))</f>
        <v>27452.5499999998</v>
      </c>
      <c r="AL17" s="10" t="n">
        <f aca="false">IF('Start Here'!$B$5="Lean",'Monthly Lean'!AL17,IF('Start Here'!$B$5="Growth",'Monthly Growth'!AL17,'Monthly Base'!AL17))</f>
        <v>-27452.55</v>
      </c>
      <c r="AM17" s="10" t="n">
        <f aca="false">IF('Start Here'!$B$5="Lean",'Monthly Lean'!AM17,IF('Start Here'!$B$5="Growth",'Monthly Growth'!AM17,'Monthly Base'!AM17))</f>
        <v>1850</v>
      </c>
      <c r="AN17" s="10" t="n">
        <f aca="false">IF('Start Here'!$B$5="Lean",'Monthly Lean'!AN17,IF('Start Here'!$B$5="Growth",'Monthly Growth'!AN17,'Monthly Base'!AN17))</f>
        <v>0</v>
      </c>
      <c r="AO17" s="10" t="n">
        <f aca="false">IF('Start Here'!$B$5="Lean",'Monthly Lean'!AO17,IF('Start Here'!$B$5="Growth",'Monthly Growth'!AO17,'Monthly Base'!AO17))</f>
        <v>15000</v>
      </c>
      <c r="AP17" s="10" t="n">
        <f aca="false">IF('Start Here'!$B$5="Lean",'Monthly Lean'!AP17,IF('Start Here'!$B$5="Growth",'Monthly Growth'!AP17,'Monthly Base'!AP17))</f>
        <v>1027452.55</v>
      </c>
      <c r="AQ17" s="10" t="n">
        <f aca="false">IF('Start Here'!$B$5="Lean",'Monthly Lean'!AQ17,IF('Start Here'!$B$5="Growth",'Monthly Growth'!AQ17,'Monthly Base'!AQ17))</f>
        <v>97128.6166666667</v>
      </c>
      <c r="AR17" s="10" t="n">
        <f aca="false">IF('Start Here'!$B$5="Lean",'Monthly Lean'!AR17,IF('Start Here'!$B$5="Growth",'Monthly Growth'!AR17,'Monthly Base'!AR17))</f>
        <v>1</v>
      </c>
    </row>
    <row r="18" customFormat="false" ht="15" hidden="false" customHeight="false" outlineLevel="0" collapsed="false">
      <c r="A18" s="11" t="n">
        <f aca="false">IF('Start Here'!$B$5="Lean",'Monthly Lean'!A18,IF('Start Here'!$B$5="Growth",'Monthly Growth'!A18,'Monthly Base'!A18))</f>
        <v>13</v>
      </c>
      <c r="B18" s="25" t="n">
        <f aca="false">IF('Start Here'!$B$5="Lean",'Monthly Lean'!B18,IF('Start Here'!$B$5="Growth",'Monthly Growth'!B18,'Monthly Base'!B18))</f>
        <v>46692</v>
      </c>
      <c r="C18" s="11" t="n">
        <f aca="false">IF('Start Here'!$B$5="Lean",'Monthly Lean'!C18,IF('Start Here'!$B$5="Growth",'Monthly Growth'!C18,'Monthly Base'!C18))</f>
        <v>1</v>
      </c>
      <c r="D18" s="11" t="n">
        <f aca="false">IF('Start Here'!$B$5="Lean",'Monthly Lean'!D18,IF('Start Here'!$B$5="Growth",'Monthly Growth'!D18,'Monthly Base'!D18))</f>
        <v>1</v>
      </c>
      <c r="E18" s="11" t="n">
        <f aca="false">IF('Start Here'!$B$5="Lean",'Monthly Lean'!E18,IF('Start Here'!$B$5="Growth",'Monthly Growth'!E18,'Monthly Base'!E18))</f>
        <v>15</v>
      </c>
      <c r="F18" s="11" t="n">
        <f aca="false">IF('Start Here'!$B$5="Lean",'Monthly Lean'!F18,IF('Start Here'!$B$5="Growth",'Monthly Growth'!F18,'Monthly Base'!F18))</f>
        <v>0.0675</v>
      </c>
      <c r="G18" s="11" t="n">
        <f aca="false">IF('Start Here'!$B$5="Lean",'Monthly Lean'!G18,IF('Start Here'!$B$5="Growth",'Monthly Growth'!G18,'Monthly Base'!G18))</f>
        <v>5</v>
      </c>
      <c r="H18" s="11" t="n">
        <f aca="false">IF('Start Here'!$B$5="Lean",'Monthly Lean'!H18,IF('Start Here'!$B$5="Growth",'Monthly Growth'!H18,'Monthly Base'!H18))</f>
        <v>1</v>
      </c>
      <c r="I18" s="11" t="n">
        <f aca="false">IF('Start Here'!$B$5="Lean",'Monthly Lean'!I18,IF('Start Here'!$B$5="Growth",'Monthly Growth'!I18,'Monthly Base'!I18))</f>
        <v>6.25</v>
      </c>
      <c r="J18" s="11" t="n">
        <f aca="false">IF('Start Here'!$B$5="Lean",'Monthly Lean'!J18,IF('Start Here'!$B$5="Growth",'Monthly Growth'!J18,'Monthly Base'!J18))</f>
        <v>9</v>
      </c>
      <c r="K18" s="10" t="n">
        <f aca="false">IF('Start Here'!$B$5="Lean",'Monthly Lean'!K18,IF('Start Here'!$B$5="Growth",'Monthly Growth'!K18,'Monthly Base'!K18))</f>
        <v>85453.3333333333</v>
      </c>
      <c r="L18" s="10" t="n">
        <f aca="false">IF('Start Here'!$B$5="Lean",'Monthly Lean'!L18,IF('Start Here'!$B$5="Growth",'Monthly Growth'!L18,'Monthly Base'!L18))</f>
        <v>0</v>
      </c>
      <c r="M18" s="10" t="n">
        <f aca="false">IF('Start Here'!$B$5="Lean",'Monthly Lean'!M18,IF('Start Here'!$B$5="Growth",'Monthly Growth'!M18,'Monthly Base'!M18))</f>
        <v>0</v>
      </c>
      <c r="N18" s="10" t="n">
        <f aca="false">IF('Start Here'!$B$5="Lean",'Monthly Lean'!N18,IF('Start Here'!$B$5="Growth",'Monthly Growth'!N18,'Monthly Base'!N18))</f>
        <v>1295.50825</v>
      </c>
      <c r="O18" s="10" t="n">
        <f aca="false">IF('Start Here'!$B$5="Lean",'Monthly Lean'!O18,IF('Start Here'!$B$5="Growth",'Monthly Growth'!O18,'Monthly Base'!O18))</f>
        <v>353.29</v>
      </c>
      <c r="P18" s="10" t="n">
        <f aca="false">IF('Start Here'!$B$5="Lean",'Monthly Lean'!P18,IF('Start Here'!$B$5="Growth",'Monthly Growth'!P18,'Monthly Base'!P18))</f>
        <v>0</v>
      </c>
      <c r="Q18" s="10" t="n">
        <f aca="false">IF('Start Here'!$B$5="Lean",'Monthly Lean'!Q18,IF('Start Here'!$B$5="Growth",'Monthly Growth'!Q18,'Monthly Base'!Q18))</f>
        <v>0</v>
      </c>
      <c r="R18" s="10" t="n">
        <f aca="false">IF('Start Here'!$B$5="Lean",'Monthly Lean'!R18,IF('Start Here'!$B$5="Growth",'Monthly Growth'!R18,'Monthly Base'!R18))</f>
        <v>0</v>
      </c>
      <c r="S18" s="10" t="n">
        <f aca="false">IF('Start Here'!$B$5="Lean",'Monthly Lean'!S18,IF('Start Here'!$B$5="Growth",'Monthly Growth'!S18,'Monthly Base'!S18))</f>
        <v>0</v>
      </c>
      <c r="T18" s="10" t="n">
        <f aca="false">IF('Start Here'!$B$5="Lean",'Monthly Lean'!T18,IF('Start Here'!$B$5="Growth",'Monthly Growth'!T18,'Monthly Base'!T18))</f>
        <v>618</v>
      </c>
      <c r="U18" s="10" t="n">
        <f aca="false">IF('Start Here'!$B$5="Lean",'Monthly Lean'!U18,IF('Start Here'!$B$5="Growth",'Monthly Growth'!U18,'Monthly Base'!U18))</f>
        <v>103</v>
      </c>
      <c r="V18" s="10" t="n">
        <f aca="false">IF('Start Here'!$B$5="Lean",'Monthly Lean'!V18,IF('Start Here'!$B$5="Growth",'Monthly Growth'!V18,'Monthly Base'!V18))</f>
        <v>77.25</v>
      </c>
      <c r="W18" s="10" t="n">
        <f aca="false">IF('Start Here'!$B$5="Lean",'Monthly Lean'!W18,IF('Start Here'!$B$5="Growth",'Monthly Growth'!W18,'Monthly Base'!W18))</f>
        <v>309</v>
      </c>
      <c r="X18" s="10" t="n">
        <f aca="false">IF('Start Here'!$B$5="Lean",'Monthly Lean'!X18,IF('Start Here'!$B$5="Growth",'Monthly Growth'!X18,'Monthly Base'!X18))</f>
        <v>0</v>
      </c>
      <c r="Y18" s="10" t="n">
        <f aca="false">IF('Start Here'!$B$5="Lean",'Monthly Lean'!Y18,IF('Start Here'!$B$5="Growth",'Monthly Growth'!Y18,'Monthly Base'!Y18))</f>
        <v>0</v>
      </c>
      <c r="Z18" s="10" t="n">
        <f aca="false">IF('Start Here'!$B$5="Lean",'Monthly Lean'!Z18,IF('Start Here'!$B$5="Growth",'Monthly Growth'!Z18,'Monthly Base'!Z18))</f>
        <v>2756.04825</v>
      </c>
      <c r="AA18" s="10" t="n">
        <f aca="false">IF('Start Here'!$B$5="Lean",'Monthly Lean'!AA18,IF('Start Here'!$B$5="Growth",'Monthly Growth'!AA18,'Monthly Base'!AA18))</f>
        <v>13231.4072375</v>
      </c>
      <c r="AB18" s="10" t="n">
        <f aca="false">IF('Start Here'!$B$5="Lean",'Monthly Lean'!AB18,IF('Start Here'!$B$5="Growth",'Monthly Growth'!AB18,'Monthly Base'!AB18))</f>
        <v>27</v>
      </c>
      <c r="AC18" s="10" t="n">
        <f aca="false">IF('Start Here'!$B$5="Lean",'Monthly Lean'!AC18,IF('Start Here'!$B$5="Growth",'Monthly Growth'!AC18,'Monthly Base'!AC18))</f>
        <v>101467.788820833</v>
      </c>
      <c r="AD18" s="10" t="n">
        <f aca="false">IF('Start Here'!$B$5="Lean",'Monthly Lean'!AD18,IF('Start Here'!$B$5="Growth",'Monthly Growth'!AD18,'Monthly Base'!AD18))</f>
        <v>900</v>
      </c>
      <c r="AE18" s="10" t="n">
        <f aca="false">IF('Start Here'!$B$5="Lean",'Monthly Lean'!AE18,IF('Start Here'!$B$5="Growth",'Monthly Growth'!AE18,'Monthly Base'!AE18))</f>
        <v>10800</v>
      </c>
      <c r="AF18" s="10" t="n">
        <f aca="false">IF('Start Here'!$B$5="Lean",'Monthly Lean'!AF18,IF('Start Here'!$B$5="Growth",'Monthly Growth'!AF18,'Monthly Base'!AF18))</f>
        <v>100567.788820833</v>
      </c>
      <c r="AG18" s="10" t="n">
        <f aca="false">IF('Start Here'!$B$5="Lean",'Monthly Lean'!AG18,IF('Start Here'!$B$5="Growth",'Monthly Growth'!AG18,'Monthly Base'!AG18))</f>
        <v>3000000</v>
      </c>
      <c r="AH18" s="10" t="n">
        <f aca="false">IF('Start Here'!$B$5="Lean",'Monthly Lean'!AH18,IF('Start Here'!$B$5="Growth",'Monthly Growth'!AH18,'Monthly Base'!AH18))</f>
        <v>-27452.5499999998</v>
      </c>
      <c r="AI18" s="10" t="n">
        <f aca="false">IF('Start Here'!$B$5="Lean",'Monthly Lean'!AI18,IF('Start Here'!$B$5="Growth",'Monthly Growth'!AI18,'Monthly Base'!AI18))</f>
        <v>2871979.66117917</v>
      </c>
      <c r="AJ18" s="10" t="n">
        <f aca="false">IF('Start Here'!$B$5="Lean",'Monthly Lean'!AJ18,IF('Start Here'!$B$5="Growth",'Monthly Growth'!AJ18,'Monthly Base'!AJ18))</f>
        <v>1128920.33882083</v>
      </c>
      <c r="AK18" s="10" t="n">
        <f aca="false">IF('Start Here'!$B$5="Lean",'Monthly Lean'!AK18,IF('Start Here'!$B$5="Growth",'Monthly Growth'!AK18,'Monthly Base'!AK18))</f>
        <v>0</v>
      </c>
      <c r="AL18" s="10" t="n">
        <f aca="false">IF('Start Here'!$B$5="Lean",'Monthly Lean'!AL18,IF('Start Here'!$B$5="Growth",'Monthly Growth'!AL18,'Monthly Base'!AL18))</f>
        <v>2871079.66117917</v>
      </c>
      <c r="AM18" s="10" t="n">
        <f aca="false">IF('Start Here'!$B$5="Lean",'Monthly Lean'!AM18,IF('Start Here'!$B$5="Growth",'Monthly Growth'!AM18,'Monthly Base'!AM18))</f>
        <v>1905.5</v>
      </c>
      <c r="AN18" s="10" t="n">
        <f aca="false">IF('Start Here'!$B$5="Lean",'Monthly Lean'!AN18,IF('Start Here'!$B$5="Growth",'Monthly Growth'!AN18,'Monthly Base'!AN18))</f>
        <v>0</v>
      </c>
      <c r="AO18" s="10" t="n">
        <f aca="false">IF('Start Here'!$B$5="Lean",'Monthly Lean'!AO18,IF('Start Here'!$B$5="Growth",'Monthly Growth'!AO18,'Monthly Base'!AO18))</f>
        <v>15600</v>
      </c>
      <c r="AP18" s="10" t="n">
        <f aca="false">IF('Start Here'!$B$5="Lean",'Monthly Lean'!AP18,IF('Start Here'!$B$5="Growth",'Monthly Growth'!AP18,'Monthly Base'!AP18))</f>
        <v>1128020.33882083</v>
      </c>
      <c r="AQ18" s="10" t="n">
        <f aca="false">IF('Start Here'!$B$5="Lean",'Monthly Lean'!AQ18,IF('Start Here'!$B$5="Growth",'Monthly Growth'!AQ18,'Monthly Base'!AQ18))</f>
        <v>101467.788820833</v>
      </c>
      <c r="AR18" s="10" t="n">
        <f aca="false">IF('Start Here'!$B$5="Lean",'Monthly Lean'!AR18,IF('Start Here'!$B$5="Growth",'Monthly Growth'!AR18,'Monthly Base'!AR18))</f>
        <v>0</v>
      </c>
    </row>
    <row r="19" customFormat="false" ht="15" hidden="false" customHeight="false" outlineLevel="0" collapsed="false">
      <c r="A19" s="11" t="n">
        <f aca="false">IF('Start Here'!$B$5="Lean",'Monthly Lean'!A19,IF('Start Here'!$B$5="Growth",'Monthly Growth'!A19,'Monthly Base'!A19))</f>
        <v>14</v>
      </c>
      <c r="B19" s="25" t="n">
        <f aca="false">IF('Start Here'!$B$5="Lean",'Monthly Lean'!B19,IF('Start Here'!$B$5="Growth",'Monthly Growth'!B19,'Monthly Base'!B19))</f>
        <v>46722</v>
      </c>
      <c r="C19" s="11" t="n">
        <f aca="false">IF('Start Here'!$B$5="Lean",'Monthly Lean'!C19,IF('Start Here'!$B$5="Growth",'Monthly Growth'!C19,'Monthly Base'!C19))</f>
        <v>1</v>
      </c>
      <c r="D19" s="11" t="n">
        <f aca="false">IF('Start Here'!$B$5="Lean",'Monthly Lean'!D19,IF('Start Here'!$B$5="Growth",'Monthly Growth'!D19,'Monthly Base'!D19))</f>
        <v>1.99</v>
      </c>
      <c r="E19" s="11" t="n">
        <f aca="false">IF('Start Here'!$B$5="Lean",'Monthly Lean'!E19,IF('Start Here'!$B$5="Growth",'Monthly Growth'!E19,'Monthly Base'!E19))</f>
        <v>29.85</v>
      </c>
      <c r="F19" s="11" t="n">
        <f aca="false">IF('Start Here'!$B$5="Lean",'Monthly Lean'!F19,IF('Start Here'!$B$5="Growth",'Monthly Growth'!F19,'Monthly Base'!F19))</f>
        <v>0.134325</v>
      </c>
      <c r="G19" s="11" t="n">
        <f aca="false">IF('Start Here'!$B$5="Lean",'Monthly Lean'!G19,IF('Start Here'!$B$5="Growth",'Monthly Growth'!G19,'Monthly Base'!G19))</f>
        <v>9.95</v>
      </c>
      <c r="H19" s="11" t="n">
        <f aca="false">IF('Start Here'!$B$5="Lean",'Monthly Lean'!H19,IF('Start Here'!$B$5="Growth",'Monthly Growth'!H19,'Monthly Base'!H19))</f>
        <v>1.99</v>
      </c>
      <c r="I19" s="11" t="n">
        <f aca="false">IF('Start Here'!$B$5="Lean",'Monthly Lean'!I19,IF('Start Here'!$B$5="Growth",'Monthly Growth'!I19,'Monthly Base'!I19))</f>
        <v>6.25</v>
      </c>
      <c r="J19" s="11" t="n">
        <f aca="false">IF('Start Here'!$B$5="Lean",'Monthly Lean'!J19,IF('Start Here'!$B$5="Growth",'Monthly Growth'!J19,'Monthly Base'!J19))</f>
        <v>9</v>
      </c>
      <c r="K19" s="10" t="n">
        <f aca="false">IF('Start Here'!$B$5="Lean",'Monthly Lean'!K19,IF('Start Here'!$B$5="Growth",'Monthly Growth'!K19,'Monthly Base'!K19))</f>
        <v>85453.3333333333</v>
      </c>
      <c r="L19" s="10" t="n">
        <f aca="false">IF('Start Here'!$B$5="Lean",'Monthly Lean'!L19,IF('Start Here'!$B$5="Growth",'Monthly Growth'!L19,'Monthly Base'!L19))</f>
        <v>0</v>
      </c>
      <c r="M19" s="10" t="n">
        <f aca="false">IF('Start Here'!$B$5="Lean",'Monthly Lean'!M19,IF('Start Here'!$B$5="Growth",'Monthly Growth'!M19,'Monthly Base'!M19))</f>
        <v>0</v>
      </c>
      <c r="N19" s="10" t="n">
        <f aca="false">IF('Start Here'!$B$5="Lean",'Monthly Lean'!N19,IF('Start Here'!$B$5="Growth",'Monthly Growth'!N19,'Monthly Base'!N19))</f>
        <v>1303.4364175</v>
      </c>
      <c r="O19" s="10" t="n">
        <f aca="false">IF('Start Here'!$B$5="Lean",'Monthly Lean'!O19,IF('Start Here'!$B$5="Growth",'Monthly Growth'!O19,'Monthly Base'!O19))</f>
        <v>353.29</v>
      </c>
      <c r="P19" s="10" t="n">
        <f aca="false">IF('Start Here'!$B$5="Lean",'Monthly Lean'!P19,IF('Start Here'!$B$5="Growth",'Monthly Growth'!P19,'Monthly Base'!P19))</f>
        <v>12360</v>
      </c>
      <c r="Q19" s="10" t="n">
        <f aca="false">IF('Start Here'!$B$5="Lean",'Monthly Lean'!Q19,IF('Start Here'!$B$5="Growth",'Monthly Growth'!Q19,'Monthly Base'!Q19))</f>
        <v>0</v>
      </c>
      <c r="R19" s="10" t="n">
        <f aca="false">IF('Start Here'!$B$5="Lean",'Monthly Lean'!R19,IF('Start Here'!$B$5="Growth",'Monthly Growth'!R19,'Monthly Base'!R19))</f>
        <v>0</v>
      </c>
      <c r="S19" s="10" t="n">
        <f aca="false">IF('Start Here'!$B$5="Lean",'Monthly Lean'!S19,IF('Start Here'!$B$5="Growth",'Monthly Growth'!S19,'Monthly Base'!S19))</f>
        <v>0</v>
      </c>
      <c r="T19" s="10" t="n">
        <f aca="false">IF('Start Here'!$B$5="Lean",'Monthly Lean'!T19,IF('Start Here'!$B$5="Growth",'Monthly Growth'!T19,'Monthly Base'!T19))</f>
        <v>618</v>
      </c>
      <c r="U19" s="10" t="n">
        <f aca="false">IF('Start Here'!$B$5="Lean",'Monthly Lean'!U19,IF('Start Here'!$B$5="Growth",'Monthly Growth'!U19,'Monthly Base'!U19))</f>
        <v>103</v>
      </c>
      <c r="V19" s="10" t="n">
        <f aca="false">IF('Start Here'!$B$5="Lean",'Monthly Lean'!V19,IF('Start Here'!$B$5="Growth",'Monthly Growth'!V19,'Monthly Base'!V19))</f>
        <v>153.7275</v>
      </c>
      <c r="W19" s="10" t="n">
        <f aca="false">IF('Start Here'!$B$5="Lean",'Monthly Lean'!W19,IF('Start Here'!$B$5="Growth",'Monthly Growth'!W19,'Monthly Base'!W19))</f>
        <v>309</v>
      </c>
      <c r="X19" s="10" t="n">
        <f aca="false">IF('Start Here'!$B$5="Lean",'Monthly Lean'!X19,IF('Start Here'!$B$5="Growth",'Monthly Growth'!X19,'Monthly Base'!X19))</f>
        <v>0</v>
      </c>
      <c r="Y19" s="10" t="n">
        <f aca="false">IF('Start Here'!$B$5="Lean",'Monthly Lean'!Y19,IF('Start Here'!$B$5="Growth",'Monthly Growth'!Y19,'Monthly Base'!Y19))</f>
        <v>0</v>
      </c>
      <c r="Z19" s="10" t="n">
        <f aca="false">IF('Start Here'!$B$5="Lean",'Monthly Lean'!Z19,IF('Start Here'!$B$5="Growth",'Monthly Growth'!Z19,'Monthly Base'!Z19))</f>
        <v>15200.4539175</v>
      </c>
      <c r="AA19" s="10" t="n">
        <f aca="false">IF('Start Here'!$B$5="Lean",'Monthly Lean'!AA19,IF('Start Here'!$B$5="Growth",'Monthly Growth'!AA19,'Monthly Base'!AA19))</f>
        <v>15098.068087625</v>
      </c>
      <c r="AB19" s="10" t="n">
        <f aca="false">IF('Start Here'!$B$5="Lean",'Monthly Lean'!AB19,IF('Start Here'!$B$5="Growth",'Monthly Growth'!AB19,'Monthly Base'!AB19))</f>
        <v>53.73</v>
      </c>
      <c r="AC19" s="10" t="n">
        <f aca="false">IF('Start Here'!$B$5="Lean",'Monthly Lean'!AC19,IF('Start Here'!$B$5="Growth",'Monthly Growth'!AC19,'Monthly Base'!AC19))</f>
        <v>115805.585338458</v>
      </c>
      <c r="AD19" s="10" t="n">
        <f aca="false">IF('Start Here'!$B$5="Lean",'Monthly Lean'!AD19,IF('Start Here'!$B$5="Growth",'Monthly Growth'!AD19,'Monthly Base'!AD19))</f>
        <v>1791</v>
      </c>
      <c r="AE19" s="10" t="n">
        <f aca="false">IF('Start Here'!$B$5="Lean",'Monthly Lean'!AE19,IF('Start Here'!$B$5="Growth",'Monthly Growth'!AE19,'Monthly Base'!AE19))</f>
        <v>21492</v>
      </c>
      <c r="AF19" s="10" t="n">
        <f aca="false">IF('Start Here'!$B$5="Lean",'Monthly Lean'!AF19,IF('Start Here'!$B$5="Growth",'Monthly Growth'!AF19,'Monthly Base'!AF19))</f>
        <v>114014.585338458</v>
      </c>
      <c r="AG19" s="10" t="n">
        <f aca="false">IF('Start Here'!$B$5="Lean",'Monthly Lean'!AG19,IF('Start Here'!$B$5="Growth",'Monthly Growth'!AG19,'Monthly Base'!AG19))</f>
        <v>0</v>
      </c>
      <c r="AH19" s="10" t="n">
        <f aca="false">IF('Start Here'!$B$5="Lean",'Monthly Lean'!AH19,IF('Start Here'!$B$5="Growth",'Monthly Growth'!AH19,'Monthly Base'!AH19))</f>
        <v>2871979.66117917</v>
      </c>
      <c r="AI19" s="10" t="n">
        <f aca="false">IF('Start Here'!$B$5="Lean",'Monthly Lean'!AI19,IF('Start Here'!$B$5="Growth",'Monthly Growth'!AI19,'Monthly Base'!AI19))</f>
        <v>2757965.07584071</v>
      </c>
      <c r="AJ19" s="10" t="n">
        <f aca="false">IF('Start Here'!$B$5="Lean",'Monthly Lean'!AJ19,IF('Start Here'!$B$5="Growth",'Monthly Growth'!AJ19,'Monthly Base'!AJ19))</f>
        <v>1244725.92415929</v>
      </c>
      <c r="AK19" s="10" t="n">
        <f aca="false">IF('Start Here'!$B$5="Lean",'Monthly Lean'!AK19,IF('Start Here'!$B$5="Growth",'Monthly Growth'!AK19,'Monthly Base'!AK19))</f>
        <v>0</v>
      </c>
      <c r="AL19" s="10" t="n">
        <f aca="false">IF('Start Here'!$B$5="Lean",'Monthly Lean'!AL19,IF('Start Here'!$B$5="Growth",'Monthly Growth'!AL19,'Monthly Base'!AL19))</f>
        <v>2755274.07584071</v>
      </c>
      <c r="AM19" s="10" t="n">
        <f aca="false">IF('Start Here'!$B$5="Lean",'Monthly Lean'!AM19,IF('Start Here'!$B$5="Growth",'Monthly Growth'!AM19,'Monthly Base'!AM19))</f>
        <v>14265.5</v>
      </c>
      <c r="AN19" s="10" t="n">
        <f aca="false">IF('Start Here'!$B$5="Lean",'Monthly Lean'!AN19,IF('Start Here'!$B$5="Growth",'Monthly Growth'!AN19,'Monthly Base'!AN19))</f>
        <v>0</v>
      </c>
      <c r="AO19" s="10" t="n">
        <f aca="false">IF('Start Here'!$B$5="Lean",'Monthly Lean'!AO19,IF('Start Here'!$B$5="Growth",'Monthly Growth'!AO19,'Monthly Base'!AO19))</f>
        <v>15600</v>
      </c>
      <c r="AP19" s="10" t="n">
        <f aca="false">IF('Start Here'!$B$5="Lean",'Monthly Lean'!AP19,IF('Start Here'!$B$5="Growth",'Monthly Growth'!AP19,'Monthly Base'!AP19))</f>
        <v>1242034.92415929</v>
      </c>
      <c r="AQ19" s="10" t="n">
        <f aca="false">IF('Start Here'!$B$5="Lean",'Monthly Lean'!AQ19,IF('Start Here'!$B$5="Growth",'Monthly Growth'!AQ19,'Monthly Base'!AQ19))</f>
        <v>115805.585338458</v>
      </c>
      <c r="AR19" s="10" t="n">
        <f aca="false">IF('Start Here'!$B$5="Lean",'Monthly Lean'!AR19,IF('Start Here'!$B$5="Growth",'Monthly Growth'!AR19,'Monthly Base'!AR19))</f>
        <v>0</v>
      </c>
    </row>
    <row r="20" customFormat="false" ht="15" hidden="false" customHeight="false" outlineLevel="0" collapsed="false">
      <c r="A20" s="11" t="n">
        <f aca="false">IF('Start Here'!$B$5="Lean",'Monthly Lean'!A20,IF('Start Here'!$B$5="Growth",'Monthly Growth'!A20,'Monthly Base'!A20))</f>
        <v>15</v>
      </c>
      <c r="B20" s="25" t="n">
        <f aca="false">IF('Start Here'!$B$5="Lean",'Monthly Lean'!B20,IF('Start Here'!$B$5="Growth",'Monthly Growth'!B20,'Monthly Base'!B20))</f>
        <v>46753</v>
      </c>
      <c r="C20" s="11" t="n">
        <f aca="false">IF('Start Here'!$B$5="Lean",'Monthly Lean'!C20,IF('Start Here'!$B$5="Growth",'Monthly Growth'!C20,'Monthly Base'!C20))</f>
        <v>1</v>
      </c>
      <c r="D20" s="11" t="n">
        <f aca="false">IF('Start Here'!$B$5="Lean",'Monthly Lean'!D20,IF('Start Here'!$B$5="Growth",'Monthly Growth'!D20,'Monthly Base'!D20))</f>
        <v>2.9701</v>
      </c>
      <c r="E20" s="11" t="n">
        <f aca="false">IF('Start Here'!$B$5="Lean",'Monthly Lean'!E20,IF('Start Here'!$B$5="Growth",'Monthly Growth'!E20,'Monthly Base'!E20))</f>
        <v>44.5515</v>
      </c>
      <c r="F20" s="11" t="n">
        <f aca="false">IF('Start Here'!$B$5="Lean",'Monthly Lean'!F20,IF('Start Here'!$B$5="Growth",'Monthly Growth'!F20,'Monthly Base'!F20))</f>
        <v>0.20048175</v>
      </c>
      <c r="G20" s="11" t="n">
        <f aca="false">IF('Start Here'!$B$5="Lean",'Monthly Lean'!G20,IF('Start Here'!$B$5="Growth",'Monthly Growth'!G20,'Monthly Base'!G20))</f>
        <v>14.8505</v>
      </c>
      <c r="H20" s="11" t="n">
        <f aca="false">IF('Start Here'!$B$5="Lean",'Monthly Lean'!H20,IF('Start Here'!$B$5="Growth",'Monthly Growth'!H20,'Monthly Base'!H20))</f>
        <v>2.9701</v>
      </c>
      <c r="I20" s="11" t="n">
        <f aca="false">IF('Start Here'!$B$5="Lean",'Monthly Lean'!I20,IF('Start Here'!$B$5="Growth",'Monthly Growth'!I20,'Monthly Base'!I20))</f>
        <v>6.25</v>
      </c>
      <c r="J20" s="11" t="n">
        <f aca="false">IF('Start Here'!$B$5="Lean",'Monthly Lean'!J20,IF('Start Here'!$B$5="Growth",'Monthly Growth'!J20,'Monthly Base'!J20))</f>
        <v>9</v>
      </c>
      <c r="K20" s="10" t="n">
        <f aca="false">IF('Start Here'!$B$5="Lean",'Monthly Lean'!K20,IF('Start Here'!$B$5="Growth",'Monthly Growth'!K20,'Monthly Base'!K20))</f>
        <v>85453.3333333333</v>
      </c>
      <c r="L20" s="10" t="n">
        <f aca="false">IF('Start Here'!$B$5="Lean",'Monthly Lean'!L20,IF('Start Here'!$B$5="Growth",'Monthly Growth'!L20,'Monthly Base'!L20))</f>
        <v>0</v>
      </c>
      <c r="M20" s="10" t="n">
        <f aca="false">IF('Start Here'!$B$5="Lean",'Monthly Lean'!M20,IF('Start Here'!$B$5="Growth",'Monthly Growth'!M20,'Monthly Base'!M20))</f>
        <v>0</v>
      </c>
      <c r="N20" s="10" t="n">
        <f aca="false">IF('Start Here'!$B$5="Lean",'Monthly Lean'!N20,IF('Start Here'!$B$5="Growth",'Monthly Growth'!N20,'Monthly Base'!N20))</f>
        <v>1311.285303325</v>
      </c>
      <c r="O20" s="10" t="n">
        <f aca="false">IF('Start Here'!$B$5="Lean",'Monthly Lean'!O20,IF('Start Here'!$B$5="Growth",'Monthly Growth'!O20,'Monthly Base'!O20))</f>
        <v>353.29</v>
      </c>
      <c r="P20" s="10" t="n">
        <f aca="false">IF('Start Here'!$B$5="Lean",'Monthly Lean'!P20,IF('Start Here'!$B$5="Growth",'Monthly Growth'!P20,'Monthly Base'!P20))</f>
        <v>0</v>
      </c>
      <c r="Q20" s="10" t="n">
        <f aca="false">IF('Start Here'!$B$5="Lean",'Monthly Lean'!Q20,IF('Start Here'!$B$5="Growth",'Monthly Growth'!Q20,'Monthly Base'!Q20))</f>
        <v>0</v>
      </c>
      <c r="R20" s="10" t="n">
        <f aca="false">IF('Start Here'!$B$5="Lean",'Monthly Lean'!R20,IF('Start Here'!$B$5="Growth",'Monthly Growth'!R20,'Monthly Base'!R20))</f>
        <v>0</v>
      </c>
      <c r="S20" s="10" t="n">
        <f aca="false">IF('Start Here'!$B$5="Lean",'Monthly Lean'!S20,IF('Start Here'!$B$5="Growth",'Monthly Growth'!S20,'Monthly Base'!S20))</f>
        <v>0</v>
      </c>
      <c r="T20" s="10" t="n">
        <f aca="false">IF('Start Here'!$B$5="Lean",'Monthly Lean'!T20,IF('Start Here'!$B$5="Growth",'Monthly Growth'!T20,'Monthly Base'!T20))</f>
        <v>618</v>
      </c>
      <c r="U20" s="10" t="n">
        <f aca="false">IF('Start Here'!$B$5="Lean",'Monthly Lean'!U20,IF('Start Here'!$B$5="Growth",'Monthly Growth'!U20,'Monthly Base'!U20))</f>
        <v>103</v>
      </c>
      <c r="V20" s="10" t="n">
        <f aca="false">IF('Start Here'!$B$5="Lean",'Monthly Lean'!V20,IF('Start Here'!$B$5="Growth",'Monthly Growth'!V20,'Monthly Base'!V20))</f>
        <v>229.440225</v>
      </c>
      <c r="W20" s="10" t="n">
        <f aca="false">IF('Start Here'!$B$5="Lean",'Monthly Lean'!W20,IF('Start Here'!$B$5="Growth",'Monthly Growth'!W20,'Monthly Base'!W20))</f>
        <v>309</v>
      </c>
      <c r="X20" s="10" t="n">
        <f aca="false">IF('Start Here'!$B$5="Lean",'Monthly Lean'!X20,IF('Start Here'!$B$5="Growth",'Monthly Growth'!X20,'Monthly Base'!X20))</f>
        <v>0</v>
      </c>
      <c r="Y20" s="10" t="n">
        <f aca="false">IF('Start Here'!$B$5="Lean",'Monthly Lean'!Y20,IF('Start Here'!$B$5="Growth",'Monthly Growth'!Y20,'Monthly Base'!Y20))</f>
        <v>0</v>
      </c>
      <c r="Z20" s="10" t="n">
        <f aca="false">IF('Start Here'!$B$5="Lean",'Monthly Lean'!Z20,IF('Start Here'!$B$5="Growth",'Monthly Growth'!Z20,'Monthly Base'!Z20))</f>
        <v>2924.015528325</v>
      </c>
      <c r="AA20" s="10" t="n">
        <f aca="false">IF('Start Here'!$B$5="Lean",'Monthly Lean'!AA20,IF('Start Here'!$B$5="Growth",'Monthly Growth'!AA20,'Monthly Base'!AA20))</f>
        <v>13256.6023292488</v>
      </c>
      <c r="AB20" s="10" t="n">
        <f aca="false">IF('Start Here'!$B$5="Lean",'Monthly Lean'!AB20,IF('Start Here'!$B$5="Growth",'Monthly Growth'!AB20,'Monthly Base'!AB20))</f>
        <v>80.1927</v>
      </c>
      <c r="AC20" s="10" t="n">
        <f aca="false">IF('Start Here'!$B$5="Lean",'Monthly Lean'!AC20,IF('Start Here'!$B$5="Growth",'Monthly Growth'!AC20,'Monthly Base'!AC20))</f>
        <v>101714.143890907</v>
      </c>
      <c r="AD20" s="10" t="n">
        <f aca="false">IF('Start Here'!$B$5="Lean",'Monthly Lean'!AD20,IF('Start Here'!$B$5="Growth",'Monthly Growth'!AD20,'Monthly Base'!AD20))</f>
        <v>2673.09</v>
      </c>
      <c r="AE20" s="10" t="n">
        <f aca="false">IF('Start Here'!$B$5="Lean",'Monthly Lean'!AE20,IF('Start Here'!$B$5="Growth",'Monthly Growth'!AE20,'Monthly Base'!AE20))</f>
        <v>32077.08</v>
      </c>
      <c r="AF20" s="10" t="n">
        <f aca="false">IF('Start Here'!$B$5="Lean",'Monthly Lean'!AF20,IF('Start Here'!$B$5="Growth",'Monthly Growth'!AF20,'Monthly Base'!AF20))</f>
        <v>99041.0538909071</v>
      </c>
      <c r="AG20" s="10" t="n">
        <f aca="false">IF('Start Here'!$B$5="Lean",'Monthly Lean'!AG20,IF('Start Here'!$B$5="Growth",'Monthly Growth'!AG20,'Monthly Base'!AG20))</f>
        <v>0</v>
      </c>
      <c r="AH20" s="10" t="n">
        <f aca="false">IF('Start Here'!$B$5="Lean",'Monthly Lean'!AH20,IF('Start Here'!$B$5="Growth",'Monthly Growth'!AH20,'Monthly Base'!AH20))</f>
        <v>2757965.07584071</v>
      </c>
      <c r="AI20" s="10" t="n">
        <f aca="false">IF('Start Here'!$B$5="Lean",'Monthly Lean'!AI20,IF('Start Here'!$B$5="Growth",'Monthly Growth'!AI20,'Monthly Base'!AI20))</f>
        <v>2658924.0219498</v>
      </c>
      <c r="AJ20" s="10" t="n">
        <f aca="false">IF('Start Here'!$B$5="Lean",'Monthly Lean'!AJ20,IF('Start Here'!$B$5="Growth",'Monthly Growth'!AJ20,'Monthly Base'!AJ20))</f>
        <v>1346440.0680502</v>
      </c>
      <c r="AK20" s="10" t="n">
        <f aca="false">IF('Start Here'!$B$5="Lean",'Monthly Lean'!AK20,IF('Start Here'!$B$5="Growth",'Monthly Growth'!AK20,'Monthly Base'!AK20))</f>
        <v>0</v>
      </c>
      <c r="AL20" s="10" t="n">
        <f aca="false">IF('Start Here'!$B$5="Lean",'Monthly Lean'!AL20,IF('Start Here'!$B$5="Growth",'Monthly Growth'!AL20,'Monthly Base'!AL20))</f>
        <v>2653559.9319498</v>
      </c>
      <c r="AM20" s="10" t="n">
        <f aca="false">IF('Start Here'!$B$5="Lean",'Monthly Lean'!AM20,IF('Start Here'!$B$5="Growth",'Monthly Growth'!AM20,'Monthly Base'!AM20))</f>
        <v>1905.5</v>
      </c>
      <c r="AN20" s="10" t="n">
        <f aca="false">IF('Start Here'!$B$5="Lean",'Monthly Lean'!AN20,IF('Start Here'!$B$5="Growth",'Monthly Growth'!AN20,'Monthly Base'!AN20))</f>
        <v>0</v>
      </c>
      <c r="AO20" s="10" t="n">
        <f aca="false">IF('Start Here'!$B$5="Lean",'Monthly Lean'!AO20,IF('Start Here'!$B$5="Growth",'Monthly Growth'!AO20,'Monthly Base'!AO20))</f>
        <v>15600</v>
      </c>
      <c r="AP20" s="10" t="n">
        <f aca="false">IF('Start Here'!$B$5="Lean",'Monthly Lean'!AP20,IF('Start Here'!$B$5="Growth",'Monthly Growth'!AP20,'Monthly Base'!AP20))</f>
        <v>1341075.9780502</v>
      </c>
      <c r="AQ20" s="10" t="n">
        <f aca="false">IF('Start Here'!$B$5="Lean",'Monthly Lean'!AQ20,IF('Start Here'!$B$5="Growth",'Monthly Growth'!AQ20,'Monthly Base'!AQ20))</f>
        <v>101714.143890907</v>
      </c>
      <c r="AR20" s="10" t="n">
        <f aca="false">IF('Start Here'!$B$5="Lean",'Monthly Lean'!AR20,IF('Start Here'!$B$5="Growth",'Monthly Growth'!AR20,'Monthly Base'!AR20))</f>
        <v>0</v>
      </c>
    </row>
    <row r="21" customFormat="false" ht="15" hidden="false" customHeight="false" outlineLevel="0" collapsed="false">
      <c r="A21" s="11" t="n">
        <f aca="false">IF('Start Here'!$B$5="Lean",'Monthly Lean'!A21,IF('Start Here'!$B$5="Growth",'Monthly Growth'!A21,'Monthly Base'!A21))</f>
        <v>16</v>
      </c>
      <c r="B21" s="25" t="n">
        <f aca="false">IF('Start Here'!$B$5="Lean",'Monthly Lean'!B21,IF('Start Here'!$B$5="Growth",'Monthly Growth'!B21,'Monthly Base'!B21))</f>
        <v>46784</v>
      </c>
      <c r="C21" s="11" t="n">
        <f aca="false">IF('Start Here'!$B$5="Lean",'Monthly Lean'!C21,IF('Start Here'!$B$5="Growth",'Monthly Growth'!C21,'Monthly Base'!C21))</f>
        <v>1</v>
      </c>
      <c r="D21" s="11" t="n">
        <f aca="false">IF('Start Here'!$B$5="Lean",'Monthly Lean'!D21,IF('Start Here'!$B$5="Growth",'Monthly Growth'!D21,'Monthly Base'!D21))</f>
        <v>3.940399</v>
      </c>
      <c r="E21" s="11" t="n">
        <f aca="false">IF('Start Here'!$B$5="Lean",'Monthly Lean'!E21,IF('Start Here'!$B$5="Growth",'Monthly Growth'!E21,'Monthly Base'!E21))</f>
        <v>59.105985</v>
      </c>
      <c r="F21" s="11" t="n">
        <f aca="false">IF('Start Here'!$B$5="Lean",'Monthly Lean'!F21,IF('Start Here'!$B$5="Growth",'Monthly Growth'!F21,'Monthly Base'!F21))</f>
        <v>0.2659769325</v>
      </c>
      <c r="G21" s="11" t="n">
        <f aca="false">IF('Start Here'!$B$5="Lean",'Monthly Lean'!G21,IF('Start Here'!$B$5="Growth",'Monthly Growth'!G21,'Monthly Base'!G21))</f>
        <v>19.701995</v>
      </c>
      <c r="H21" s="11" t="n">
        <f aca="false">IF('Start Here'!$B$5="Lean",'Monthly Lean'!H21,IF('Start Here'!$B$5="Growth",'Monthly Growth'!H21,'Monthly Base'!H21))</f>
        <v>3.940399</v>
      </c>
      <c r="I21" s="11" t="n">
        <f aca="false">IF('Start Here'!$B$5="Lean",'Monthly Lean'!I21,IF('Start Here'!$B$5="Growth",'Monthly Growth'!I21,'Monthly Base'!I21))</f>
        <v>8.25</v>
      </c>
      <c r="J21" s="11" t="n">
        <f aca="false">IF('Start Here'!$B$5="Lean",'Monthly Lean'!J21,IF('Start Here'!$B$5="Growth",'Monthly Growth'!J21,'Monthly Base'!J21))</f>
        <v>10</v>
      </c>
      <c r="K21" s="10" t="n">
        <f aca="false">IF('Start Here'!$B$5="Lean",'Monthly Lean'!K21,IF('Start Here'!$B$5="Growth",'Monthly Growth'!K21,'Monthly Base'!K21))</f>
        <v>115960</v>
      </c>
      <c r="L21" s="10" t="n">
        <f aca="false">IF('Start Here'!$B$5="Lean",'Monthly Lean'!L21,IF('Start Here'!$B$5="Growth",'Monthly Growth'!L21,'Monthly Base'!L21))</f>
        <v>14000</v>
      </c>
      <c r="M21" s="10" t="n">
        <f aca="false">IF('Start Here'!$B$5="Lean",'Monthly Lean'!M21,IF('Start Here'!$B$5="Growth",'Monthly Growth'!M21,'Monthly Base'!M21))</f>
        <v>6000</v>
      </c>
      <c r="N21" s="10" t="n">
        <f aca="false">IF('Start Here'!$B$5="Lean",'Monthly Lean'!N21,IF('Start Here'!$B$5="Growth",'Monthly Growth'!N21,'Monthly Base'!N21))</f>
        <v>1319.05570029175</v>
      </c>
      <c r="O21" s="10" t="n">
        <f aca="false">IF('Start Here'!$B$5="Lean",'Monthly Lean'!O21,IF('Start Here'!$B$5="Growth",'Monthly Growth'!O21,'Monthly Base'!O21))</f>
        <v>454.23</v>
      </c>
      <c r="P21" s="10" t="n">
        <f aca="false">IF('Start Here'!$B$5="Lean",'Monthly Lean'!P21,IF('Start Here'!$B$5="Growth",'Monthly Growth'!P21,'Monthly Base'!P21))</f>
        <v>0</v>
      </c>
      <c r="Q21" s="10" t="n">
        <f aca="false">IF('Start Here'!$B$5="Lean",'Monthly Lean'!Q21,IF('Start Here'!$B$5="Growth",'Monthly Growth'!Q21,'Monthly Base'!Q21))</f>
        <v>0</v>
      </c>
      <c r="R21" s="10" t="n">
        <f aca="false">IF('Start Here'!$B$5="Lean",'Monthly Lean'!R21,IF('Start Here'!$B$5="Growth",'Monthly Growth'!R21,'Monthly Base'!R21))</f>
        <v>0</v>
      </c>
      <c r="S21" s="10" t="n">
        <f aca="false">IF('Start Here'!$B$5="Lean",'Monthly Lean'!S21,IF('Start Here'!$B$5="Growth",'Monthly Growth'!S21,'Monthly Base'!S21))</f>
        <v>0</v>
      </c>
      <c r="T21" s="10" t="n">
        <f aca="false">IF('Start Here'!$B$5="Lean",'Monthly Lean'!T21,IF('Start Here'!$B$5="Growth",'Monthly Growth'!T21,'Monthly Base'!T21))</f>
        <v>618</v>
      </c>
      <c r="U21" s="10" t="n">
        <f aca="false">IF('Start Here'!$B$5="Lean",'Monthly Lean'!U21,IF('Start Here'!$B$5="Growth",'Monthly Growth'!U21,'Monthly Base'!U21))</f>
        <v>103</v>
      </c>
      <c r="V21" s="10" t="n">
        <f aca="false">IF('Start Here'!$B$5="Lean",'Monthly Lean'!V21,IF('Start Here'!$B$5="Growth",'Monthly Growth'!V21,'Monthly Base'!V21))</f>
        <v>304.39582275</v>
      </c>
      <c r="W21" s="10" t="n">
        <f aca="false">IF('Start Here'!$B$5="Lean",'Monthly Lean'!W21,IF('Start Here'!$B$5="Growth",'Monthly Growth'!W21,'Monthly Base'!W21))</f>
        <v>309</v>
      </c>
      <c r="X21" s="10" t="n">
        <f aca="false">IF('Start Here'!$B$5="Lean",'Monthly Lean'!X21,IF('Start Here'!$B$5="Growth",'Monthly Growth'!X21,'Monthly Base'!X21))</f>
        <v>0</v>
      </c>
      <c r="Y21" s="10" t="n">
        <f aca="false">IF('Start Here'!$B$5="Lean",'Monthly Lean'!Y21,IF('Start Here'!$B$5="Growth",'Monthly Growth'!Y21,'Monthly Base'!Y21))</f>
        <v>0</v>
      </c>
      <c r="Z21" s="10" t="n">
        <f aca="false">IF('Start Here'!$B$5="Lean",'Monthly Lean'!Z21,IF('Start Here'!$B$5="Growth",'Monthly Growth'!Z21,'Monthly Base'!Z21))</f>
        <v>3107.68152304175</v>
      </c>
      <c r="AA21" s="10" t="n">
        <f aca="false">IF('Start Here'!$B$5="Lean",'Monthly Lean'!AA21,IF('Start Here'!$B$5="Growth",'Monthly Growth'!AA21,'Monthly Base'!AA21))</f>
        <v>20860.1522284563</v>
      </c>
      <c r="AB21" s="10" t="n">
        <f aca="false">IF('Start Here'!$B$5="Lean",'Monthly Lean'!AB21,IF('Start Here'!$B$5="Growth",'Monthly Growth'!AB21,'Monthly Base'!AB21))</f>
        <v>106.390773</v>
      </c>
      <c r="AC21" s="10" t="n">
        <f aca="false">IF('Start Here'!$B$5="Lean",'Monthly Lean'!AC21,IF('Start Here'!$B$5="Growth",'Monthly Growth'!AC21,'Monthly Base'!AC21))</f>
        <v>160034.224524498</v>
      </c>
      <c r="AD21" s="10" t="n">
        <f aca="false">IF('Start Here'!$B$5="Lean",'Monthly Lean'!AD21,IF('Start Here'!$B$5="Growth",'Monthly Growth'!AD21,'Monthly Base'!AD21))</f>
        <v>3546.3591</v>
      </c>
      <c r="AE21" s="10" t="n">
        <f aca="false">IF('Start Here'!$B$5="Lean",'Monthly Lean'!AE21,IF('Start Here'!$B$5="Growth",'Monthly Growth'!AE21,'Monthly Base'!AE21))</f>
        <v>42556.3092</v>
      </c>
      <c r="AF21" s="10" t="n">
        <f aca="false">IF('Start Here'!$B$5="Lean",'Monthly Lean'!AF21,IF('Start Here'!$B$5="Growth",'Monthly Growth'!AF21,'Monthly Base'!AF21))</f>
        <v>156487.865424498</v>
      </c>
      <c r="AG21" s="10" t="n">
        <f aca="false">IF('Start Here'!$B$5="Lean",'Monthly Lean'!AG21,IF('Start Here'!$B$5="Growth",'Monthly Growth'!AG21,'Monthly Base'!AG21))</f>
        <v>0</v>
      </c>
      <c r="AH21" s="10" t="n">
        <f aca="false">IF('Start Here'!$B$5="Lean",'Monthly Lean'!AH21,IF('Start Here'!$B$5="Growth",'Monthly Growth'!AH21,'Monthly Base'!AH21))</f>
        <v>2658924.0219498</v>
      </c>
      <c r="AI21" s="10" t="n">
        <f aca="false">IF('Start Here'!$B$5="Lean",'Monthly Lean'!AI21,IF('Start Here'!$B$5="Growth",'Monthly Growth'!AI21,'Monthly Base'!AI21))</f>
        <v>2502436.1565253</v>
      </c>
      <c r="AJ21" s="10" t="n">
        <f aca="false">IF('Start Here'!$B$5="Lean",'Monthly Lean'!AJ21,IF('Start Here'!$B$5="Growth",'Monthly Growth'!AJ21,'Monthly Base'!AJ21))</f>
        <v>1506474.2925747</v>
      </c>
      <c r="AK21" s="10" t="n">
        <f aca="false">IF('Start Here'!$B$5="Lean",'Monthly Lean'!AK21,IF('Start Here'!$B$5="Growth",'Monthly Growth'!AK21,'Monthly Base'!AK21))</f>
        <v>0</v>
      </c>
      <c r="AL21" s="10" t="n">
        <f aca="false">IF('Start Here'!$B$5="Lean",'Monthly Lean'!AL21,IF('Start Here'!$B$5="Growth",'Monthly Growth'!AL21,'Monthly Base'!AL21))</f>
        <v>2493525.7074253</v>
      </c>
      <c r="AM21" s="10" t="n">
        <f aca="false">IF('Start Here'!$B$5="Lean",'Monthly Lean'!AM21,IF('Start Here'!$B$5="Growth",'Monthly Growth'!AM21,'Monthly Base'!AM21))</f>
        <v>1905.5</v>
      </c>
      <c r="AN21" s="10" t="n">
        <f aca="false">IF('Start Here'!$B$5="Lean",'Monthly Lean'!AN21,IF('Start Here'!$B$5="Growth",'Monthly Growth'!AN21,'Monthly Base'!AN21))</f>
        <v>0</v>
      </c>
      <c r="AO21" s="10" t="n">
        <f aca="false">IF('Start Here'!$B$5="Lean",'Monthly Lean'!AO21,IF('Start Here'!$B$5="Growth",'Monthly Growth'!AO21,'Monthly Base'!AO21))</f>
        <v>15600</v>
      </c>
      <c r="AP21" s="10" t="n">
        <f aca="false">IF('Start Here'!$B$5="Lean",'Monthly Lean'!AP21,IF('Start Here'!$B$5="Growth",'Monthly Growth'!AP21,'Monthly Base'!AP21))</f>
        <v>1497563.8434747</v>
      </c>
      <c r="AQ21" s="10" t="n">
        <f aca="false">IF('Start Here'!$B$5="Lean",'Monthly Lean'!AQ21,IF('Start Here'!$B$5="Growth",'Monthly Growth'!AQ21,'Monthly Base'!AQ21))</f>
        <v>160034.224524498</v>
      </c>
      <c r="AR21" s="10" t="n">
        <f aca="false">IF('Start Here'!$B$5="Lean",'Monthly Lean'!AR21,IF('Start Here'!$B$5="Growth",'Monthly Growth'!AR21,'Monthly Base'!AR21))</f>
        <v>0</v>
      </c>
    </row>
    <row r="22" customFormat="false" ht="15" hidden="false" customHeight="false" outlineLevel="0" collapsed="false">
      <c r="A22" s="11" t="n">
        <f aca="false">IF('Start Here'!$B$5="Lean",'Monthly Lean'!A22,IF('Start Here'!$B$5="Growth",'Monthly Growth'!A22,'Monthly Base'!A22))</f>
        <v>17</v>
      </c>
      <c r="B22" s="25" t="n">
        <f aca="false">IF('Start Here'!$B$5="Lean",'Monthly Lean'!B22,IF('Start Here'!$B$5="Growth",'Monthly Growth'!B22,'Monthly Base'!B22))</f>
        <v>46813</v>
      </c>
      <c r="C22" s="11" t="n">
        <f aca="false">IF('Start Here'!$B$5="Lean",'Monthly Lean'!C22,IF('Start Here'!$B$5="Growth",'Monthly Growth'!C22,'Monthly Base'!C22))</f>
        <v>1</v>
      </c>
      <c r="D22" s="11" t="n">
        <f aca="false">IF('Start Here'!$B$5="Lean",'Monthly Lean'!D22,IF('Start Here'!$B$5="Growth",'Monthly Growth'!D22,'Monthly Base'!D22))</f>
        <v>4.90099501</v>
      </c>
      <c r="E22" s="11" t="n">
        <f aca="false">IF('Start Here'!$B$5="Lean",'Monthly Lean'!E22,IF('Start Here'!$B$5="Growth",'Monthly Growth'!E22,'Monthly Base'!E22))</f>
        <v>73.51492515</v>
      </c>
      <c r="F22" s="11" t="n">
        <f aca="false">IF('Start Here'!$B$5="Lean",'Monthly Lean'!F22,IF('Start Here'!$B$5="Growth",'Monthly Growth'!F22,'Monthly Base'!F22))</f>
        <v>0.330817163175</v>
      </c>
      <c r="G22" s="11" t="n">
        <f aca="false">IF('Start Here'!$B$5="Lean",'Monthly Lean'!G22,IF('Start Here'!$B$5="Growth",'Monthly Growth'!G22,'Monthly Base'!G22))</f>
        <v>24.50497505</v>
      </c>
      <c r="H22" s="11" t="n">
        <f aca="false">IF('Start Here'!$B$5="Lean",'Monthly Lean'!H22,IF('Start Here'!$B$5="Growth",'Monthly Growth'!H22,'Monthly Base'!H22))</f>
        <v>4.90099501</v>
      </c>
      <c r="I22" s="11" t="n">
        <f aca="false">IF('Start Here'!$B$5="Lean",'Monthly Lean'!I22,IF('Start Here'!$B$5="Growth",'Monthly Growth'!I22,'Monthly Base'!I22))</f>
        <v>8.25</v>
      </c>
      <c r="J22" s="11" t="n">
        <f aca="false">IF('Start Here'!$B$5="Lean",'Monthly Lean'!J22,IF('Start Here'!$B$5="Growth",'Monthly Growth'!J22,'Monthly Base'!J22))</f>
        <v>10</v>
      </c>
      <c r="K22" s="10" t="n">
        <f aca="false">IF('Start Here'!$B$5="Lean",'Monthly Lean'!K22,IF('Start Here'!$B$5="Growth",'Monthly Growth'!K22,'Monthly Base'!K22))</f>
        <v>115960</v>
      </c>
      <c r="L22" s="10" t="n">
        <f aca="false">IF('Start Here'!$B$5="Lean",'Monthly Lean'!L22,IF('Start Here'!$B$5="Growth",'Monthly Growth'!L22,'Monthly Base'!L22))</f>
        <v>0</v>
      </c>
      <c r="M22" s="10" t="n">
        <f aca="false">IF('Start Here'!$B$5="Lean",'Monthly Lean'!M22,IF('Start Here'!$B$5="Growth",'Monthly Growth'!M22,'Monthly Base'!M22))</f>
        <v>0</v>
      </c>
      <c r="N22" s="10" t="n">
        <f aca="false">IF('Start Here'!$B$5="Lean",'Monthly Lean'!N22,IF('Start Here'!$B$5="Growth",'Monthly Growth'!N22,'Monthly Base'!N22))</f>
        <v>1326.74839328883</v>
      </c>
      <c r="O22" s="10" t="n">
        <f aca="false">IF('Start Here'!$B$5="Lean",'Monthly Lean'!O22,IF('Start Here'!$B$5="Growth",'Monthly Growth'!O22,'Monthly Base'!O22))</f>
        <v>454.23</v>
      </c>
      <c r="P22" s="10" t="n">
        <f aca="false">IF('Start Here'!$B$5="Lean",'Monthly Lean'!P22,IF('Start Here'!$B$5="Growth",'Monthly Growth'!P22,'Monthly Base'!P22))</f>
        <v>0</v>
      </c>
      <c r="Q22" s="10" t="n">
        <f aca="false">IF('Start Here'!$B$5="Lean",'Monthly Lean'!Q22,IF('Start Here'!$B$5="Growth",'Monthly Growth'!Q22,'Monthly Base'!Q22))</f>
        <v>0</v>
      </c>
      <c r="R22" s="10" t="n">
        <f aca="false">IF('Start Here'!$B$5="Lean",'Monthly Lean'!R22,IF('Start Here'!$B$5="Growth",'Monthly Growth'!R22,'Monthly Base'!R22))</f>
        <v>0</v>
      </c>
      <c r="S22" s="10" t="n">
        <f aca="false">IF('Start Here'!$B$5="Lean",'Monthly Lean'!S22,IF('Start Here'!$B$5="Growth",'Monthly Growth'!S22,'Monthly Base'!S22))</f>
        <v>0</v>
      </c>
      <c r="T22" s="10" t="n">
        <f aca="false">IF('Start Here'!$B$5="Lean",'Monthly Lean'!T22,IF('Start Here'!$B$5="Growth",'Monthly Growth'!T22,'Monthly Base'!T22))</f>
        <v>618</v>
      </c>
      <c r="U22" s="10" t="n">
        <f aca="false">IF('Start Here'!$B$5="Lean",'Monthly Lean'!U22,IF('Start Here'!$B$5="Growth",'Monthly Growth'!U22,'Monthly Base'!U22))</f>
        <v>103</v>
      </c>
      <c r="V22" s="10" t="n">
        <f aca="false">IF('Start Here'!$B$5="Lean",'Monthly Lean'!V22,IF('Start Here'!$B$5="Growth",'Monthly Growth'!V22,'Monthly Base'!V22))</f>
        <v>378.6018645225</v>
      </c>
      <c r="W22" s="10" t="n">
        <f aca="false">IF('Start Here'!$B$5="Lean",'Monthly Lean'!W22,IF('Start Here'!$B$5="Growth",'Monthly Growth'!W22,'Monthly Base'!W22))</f>
        <v>309</v>
      </c>
      <c r="X22" s="10" t="n">
        <f aca="false">IF('Start Here'!$B$5="Lean",'Monthly Lean'!X22,IF('Start Here'!$B$5="Growth",'Monthly Growth'!X22,'Monthly Base'!X22))</f>
        <v>0</v>
      </c>
      <c r="Y22" s="10" t="n">
        <f aca="false">IF('Start Here'!$B$5="Lean",'Monthly Lean'!Y22,IF('Start Here'!$B$5="Growth",'Monthly Growth'!Y22,'Monthly Base'!Y22))</f>
        <v>0</v>
      </c>
      <c r="Z22" s="10" t="n">
        <f aca="false">IF('Start Here'!$B$5="Lean",'Monthly Lean'!Z22,IF('Start Here'!$B$5="Growth",'Monthly Growth'!Z22,'Monthly Base'!Z22))</f>
        <v>3189.58025781133</v>
      </c>
      <c r="AA22" s="10" t="n">
        <f aca="false">IF('Start Here'!$B$5="Lean",'Monthly Lean'!AA22,IF('Start Here'!$B$5="Growth",'Monthly Growth'!AA22,'Monthly Base'!AA22))</f>
        <v>17872.4370386717</v>
      </c>
      <c r="AB22" s="10" t="n">
        <f aca="false">IF('Start Here'!$B$5="Lean",'Monthly Lean'!AB22,IF('Start Here'!$B$5="Growth",'Monthly Growth'!AB22,'Monthly Base'!AB22))</f>
        <v>132.32686527</v>
      </c>
      <c r="AC22" s="10" t="n">
        <f aca="false">IF('Start Here'!$B$5="Lean",'Monthly Lean'!AC22,IF('Start Here'!$B$5="Growth",'Monthly Growth'!AC22,'Monthly Base'!AC22))</f>
        <v>137154.344161753</v>
      </c>
      <c r="AD22" s="10" t="n">
        <f aca="false">IF('Start Here'!$B$5="Lean",'Monthly Lean'!AD22,IF('Start Here'!$B$5="Growth",'Monthly Growth'!AD22,'Monthly Base'!AD22))</f>
        <v>4410.895509</v>
      </c>
      <c r="AE22" s="10" t="n">
        <f aca="false">IF('Start Here'!$B$5="Lean",'Monthly Lean'!AE22,IF('Start Here'!$B$5="Growth",'Monthly Growth'!AE22,'Monthly Base'!AE22))</f>
        <v>52930.746108</v>
      </c>
      <c r="AF22" s="10" t="n">
        <f aca="false">IF('Start Here'!$B$5="Lean",'Monthly Lean'!AF22,IF('Start Here'!$B$5="Growth",'Monthly Growth'!AF22,'Monthly Base'!AF22))</f>
        <v>132743.448652753</v>
      </c>
      <c r="AG22" s="10" t="n">
        <f aca="false">IF('Start Here'!$B$5="Lean",'Monthly Lean'!AG22,IF('Start Here'!$B$5="Growth",'Monthly Growth'!AG22,'Monthly Base'!AG22))</f>
        <v>0</v>
      </c>
      <c r="AH22" s="10" t="n">
        <f aca="false">IF('Start Here'!$B$5="Lean",'Monthly Lean'!AH22,IF('Start Here'!$B$5="Growth",'Monthly Growth'!AH22,'Monthly Base'!AH22))</f>
        <v>2502436.1565253</v>
      </c>
      <c r="AI22" s="10" t="n">
        <f aca="false">IF('Start Here'!$B$5="Lean",'Monthly Lean'!AI22,IF('Start Here'!$B$5="Growth",'Monthly Growth'!AI22,'Monthly Base'!AI22))</f>
        <v>2369692.70787255</v>
      </c>
      <c r="AJ22" s="10" t="n">
        <f aca="false">IF('Start Here'!$B$5="Lean",'Monthly Lean'!AJ22,IF('Start Here'!$B$5="Growth",'Monthly Growth'!AJ22,'Monthly Base'!AJ22))</f>
        <v>1643628.63673645</v>
      </c>
      <c r="AK22" s="10" t="n">
        <f aca="false">IF('Start Here'!$B$5="Lean",'Monthly Lean'!AK22,IF('Start Here'!$B$5="Growth",'Monthly Growth'!AK22,'Monthly Base'!AK22))</f>
        <v>0</v>
      </c>
      <c r="AL22" s="10" t="n">
        <f aca="false">IF('Start Here'!$B$5="Lean",'Monthly Lean'!AL22,IF('Start Here'!$B$5="Growth",'Monthly Growth'!AL22,'Monthly Base'!AL22))</f>
        <v>2356371.36326355</v>
      </c>
      <c r="AM22" s="10" t="n">
        <f aca="false">IF('Start Here'!$B$5="Lean",'Monthly Lean'!AM22,IF('Start Here'!$B$5="Growth",'Monthly Growth'!AM22,'Monthly Base'!AM22))</f>
        <v>1905.5</v>
      </c>
      <c r="AN22" s="10" t="n">
        <f aca="false">IF('Start Here'!$B$5="Lean",'Monthly Lean'!AN22,IF('Start Here'!$B$5="Growth",'Monthly Growth'!AN22,'Monthly Base'!AN22))</f>
        <v>0</v>
      </c>
      <c r="AO22" s="10" t="n">
        <f aca="false">IF('Start Here'!$B$5="Lean",'Monthly Lean'!AO22,IF('Start Here'!$B$5="Growth",'Monthly Growth'!AO22,'Monthly Base'!AO22))</f>
        <v>15600</v>
      </c>
      <c r="AP22" s="10" t="n">
        <f aca="false">IF('Start Here'!$B$5="Lean",'Monthly Lean'!AP22,IF('Start Here'!$B$5="Growth",'Monthly Growth'!AP22,'Monthly Base'!AP22))</f>
        <v>1630307.29212745</v>
      </c>
      <c r="AQ22" s="10" t="n">
        <f aca="false">IF('Start Here'!$B$5="Lean",'Monthly Lean'!AQ22,IF('Start Here'!$B$5="Growth",'Monthly Growth'!AQ22,'Monthly Base'!AQ22))</f>
        <v>137154.344161753</v>
      </c>
      <c r="AR22" s="10" t="n">
        <f aca="false">IF('Start Here'!$B$5="Lean",'Monthly Lean'!AR22,IF('Start Here'!$B$5="Growth",'Monthly Growth'!AR22,'Monthly Base'!AR22))</f>
        <v>0</v>
      </c>
    </row>
    <row r="23" customFormat="false" ht="15" hidden="false" customHeight="false" outlineLevel="0" collapsed="false">
      <c r="A23" s="11" t="n">
        <f aca="false">IF('Start Here'!$B$5="Lean",'Monthly Lean'!A23,IF('Start Here'!$B$5="Growth",'Monthly Growth'!A23,'Monthly Base'!A23))</f>
        <v>18</v>
      </c>
      <c r="B23" s="25" t="n">
        <f aca="false">IF('Start Here'!$B$5="Lean",'Monthly Lean'!B23,IF('Start Here'!$B$5="Growth",'Monthly Growth'!B23,'Monthly Base'!B23))</f>
        <v>46844</v>
      </c>
      <c r="C23" s="11" t="n">
        <f aca="false">IF('Start Here'!$B$5="Lean",'Monthly Lean'!C23,IF('Start Here'!$B$5="Growth",'Monthly Growth'!C23,'Monthly Base'!C23))</f>
        <v>1</v>
      </c>
      <c r="D23" s="11" t="n">
        <f aca="false">IF('Start Here'!$B$5="Lean",'Monthly Lean'!D23,IF('Start Here'!$B$5="Growth",'Monthly Growth'!D23,'Monthly Base'!D23))</f>
        <v>5.8519850599</v>
      </c>
      <c r="E23" s="11" t="n">
        <f aca="false">IF('Start Here'!$B$5="Lean",'Monthly Lean'!E23,IF('Start Here'!$B$5="Growth",'Monthly Growth'!E23,'Monthly Base'!E23))</f>
        <v>87.7797758985</v>
      </c>
      <c r="F23" s="11" t="n">
        <f aca="false">IF('Start Here'!$B$5="Lean",'Monthly Lean'!F23,IF('Start Here'!$B$5="Growth",'Monthly Growth'!F23,'Monthly Base'!F23))</f>
        <v>0.39500899154325</v>
      </c>
      <c r="G23" s="11" t="n">
        <f aca="false">IF('Start Here'!$B$5="Lean",'Monthly Lean'!G23,IF('Start Here'!$B$5="Growth",'Monthly Growth'!G23,'Monthly Base'!G23))</f>
        <v>29.2599252995</v>
      </c>
      <c r="H23" s="11" t="n">
        <f aca="false">IF('Start Here'!$B$5="Lean",'Monthly Lean'!H23,IF('Start Here'!$B$5="Growth",'Monthly Growth'!H23,'Monthly Base'!H23))</f>
        <v>5.8519850599</v>
      </c>
      <c r="I23" s="11" t="n">
        <f aca="false">IF('Start Here'!$B$5="Lean",'Monthly Lean'!I23,IF('Start Here'!$B$5="Growth",'Monthly Growth'!I23,'Monthly Base'!I23))</f>
        <v>8.25</v>
      </c>
      <c r="J23" s="11" t="n">
        <f aca="false">IF('Start Here'!$B$5="Lean",'Monthly Lean'!J23,IF('Start Here'!$B$5="Growth",'Monthly Growth'!J23,'Monthly Base'!J23))</f>
        <v>10</v>
      </c>
      <c r="K23" s="10" t="n">
        <f aca="false">IF('Start Here'!$B$5="Lean",'Monthly Lean'!K23,IF('Start Here'!$B$5="Growth",'Monthly Growth'!K23,'Monthly Base'!K23))</f>
        <v>115960</v>
      </c>
      <c r="L23" s="10" t="n">
        <f aca="false">IF('Start Here'!$B$5="Lean",'Monthly Lean'!L23,IF('Start Here'!$B$5="Growth",'Monthly Growth'!L23,'Monthly Base'!L23))</f>
        <v>0</v>
      </c>
      <c r="M23" s="10" t="n">
        <f aca="false">IF('Start Here'!$B$5="Lean",'Monthly Lean'!M23,IF('Start Here'!$B$5="Growth",'Monthly Growth'!M23,'Monthly Base'!M23))</f>
        <v>0</v>
      </c>
      <c r="N23" s="10" t="n">
        <f aca="false">IF('Start Here'!$B$5="Lean",'Monthly Lean'!N23,IF('Start Here'!$B$5="Growth",'Monthly Growth'!N23,'Monthly Base'!N23))</f>
        <v>1334.36415935594</v>
      </c>
      <c r="O23" s="10" t="n">
        <f aca="false">IF('Start Here'!$B$5="Lean",'Monthly Lean'!O23,IF('Start Here'!$B$5="Growth",'Monthly Growth'!O23,'Monthly Base'!O23))</f>
        <v>454.23</v>
      </c>
      <c r="P23" s="10" t="n">
        <f aca="false">IF('Start Here'!$B$5="Lean",'Monthly Lean'!P23,IF('Start Here'!$B$5="Growth",'Monthly Growth'!P23,'Monthly Base'!P23))</f>
        <v>0</v>
      </c>
      <c r="Q23" s="10" t="n">
        <f aca="false">IF('Start Here'!$B$5="Lean",'Monthly Lean'!Q23,IF('Start Here'!$B$5="Growth",'Monthly Growth'!Q23,'Monthly Base'!Q23))</f>
        <v>0</v>
      </c>
      <c r="R23" s="10" t="n">
        <f aca="false">IF('Start Here'!$B$5="Lean",'Monthly Lean'!R23,IF('Start Here'!$B$5="Growth",'Monthly Growth'!R23,'Monthly Base'!R23))</f>
        <v>0</v>
      </c>
      <c r="S23" s="10" t="n">
        <f aca="false">IF('Start Here'!$B$5="Lean",'Monthly Lean'!S23,IF('Start Here'!$B$5="Growth",'Monthly Growth'!S23,'Monthly Base'!S23))</f>
        <v>0</v>
      </c>
      <c r="T23" s="10" t="n">
        <f aca="false">IF('Start Here'!$B$5="Lean",'Monthly Lean'!T23,IF('Start Here'!$B$5="Growth",'Monthly Growth'!T23,'Monthly Base'!T23))</f>
        <v>618</v>
      </c>
      <c r="U23" s="10" t="n">
        <f aca="false">IF('Start Here'!$B$5="Lean",'Monthly Lean'!U23,IF('Start Here'!$B$5="Growth",'Monthly Growth'!U23,'Monthly Base'!U23))</f>
        <v>103</v>
      </c>
      <c r="V23" s="10" t="n">
        <f aca="false">IF('Start Here'!$B$5="Lean",'Monthly Lean'!V23,IF('Start Here'!$B$5="Growth",'Monthly Growth'!V23,'Monthly Base'!V23))</f>
        <v>452.065845877275</v>
      </c>
      <c r="W23" s="10" t="n">
        <f aca="false">IF('Start Here'!$B$5="Lean",'Monthly Lean'!W23,IF('Start Here'!$B$5="Growth",'Monthly Growth'!W23,'Monthly Base'!W23))</f>
        <v>309</v>
      </c>
      <c r="X23" s="10" t="n">
        <f aca="false">IF('Start Here'!$B$5="Lean",'Monthly Lean'!X23,IF('Start Here'!$B$5="Growth",'Monthly Growth'!X23,'Monthly Base'!X23))</f>
        <v>0</v>
      </c>
      <c r="Y23" s="10" t="n">
        <f aca="false">IF('Start Here'!$B$5="Lean",'Monthly Lean'!Y23,IF('Start Here'!$B$5="Growth",'Monthly Growth'!Y23,'Monthly Base'!Y23))</f>
        <v>0</v>
      </c>
      <c r="Z23" s="10" t="n">
        <f aca="false">IF('Start Here'!$B$5="Lean",'Monthly Lean'!Z23,IF('Start Here'!$B$5="Growth",'Monthly Growth'!Z23,'Monthly Base'!Z23))</f>
        <v>3270.66000523322</v>
      </c>
      <c r="AA23" s="10" t="n">
        <f aca="false">IF('Start Here'!$B$5="Lean",'Monthly Lean'!AA23,IF('Start Here'!$B$5="Growth",'Monthly Growth'!AA23,'Monthly Base'!AA23))</f>
        <v>17884.599000785</v>
      </c>
      <c r="AB23" s="10" t="n">
        <f aca="false">IF('Start Here'!$B$5="Lean",'Monthly Lean'!AB23,IF('Start Here'!$B$5="Growth",'Monthly Growth'!AB23,'Monthly Base'!AB23))</f>
        <v>158.0035966173</v>
      </c>
      <c r="AC23" s="10" t="n">
        <f aca="false">IF('Start Here'!$B$5="Lean",'Monthly Lean'!AC23,IF('Start Here'!$B$5="Growth",'Monthly Growth'!AC23,'Monthly Base'!AC23))</f>
        <v>137273.262602635</v>
      </c>
      <c r="AD23" s="10" t="n">
        <f aca="false">IF('Start Here'!$B$5="Lean",'Monthly Lean'!AD23,IF('Start Here'!$B$5="Growth",'Monthly Growth'!AD23,'Monthly Base'!AD23))</f>
        <v>5266.78655391</v>
      </c>
      <c r="AE23" s="10" t="n">
        <f aca="false">IF('Start Here'!$B$5="Lean",'Monthly Lean'!AE23,IF('Start Here'!$B$5="Growth",'Monthly Growth'!AE23,'Monthly Base'!AE23))</f>
        <v>63201.43864692</v>
      </c>
      <c r="AF23" s="10" t="n">
        <f aca="false">IF('Start Here'!$B$5="Lean",'Monthly Lean'!AF23,IF('Start Here'!$B$5="Growth",'Monthly Growth'!AF23,'Monthly Base'!AF23))</f>
        <v>132006.476048725</v>
      </c>
      <c r="AG23" s="10" t="n">
        <f aca="false">IF('Start Here'!$B$5="Lean",'Monthly Lean'!AG23,IF('Start Here'!$B$5="Growth",'Monthly Growth'!AG23,'Monthly Base'!AG23))</f>
        <v>0</v>
      </c>
      <c r="AH23" s="10" t="n">
        <f aca="false">IF('Start Here'!$B$5="Lean",'Monthly Lean'!AH23,IF('Start Here'!$B$5="Growth",'Monthly Growth'!AH23,'Monthly Base'!AH23))</f>
        <v>2369692.70787255</v>
      </c>
      <c r="AI23" s="10" t="n">
        <f aca="false">IF('Start Here'!$B$5="Lean",'Monthly Lean'!AI23,IF('Start Here'!$B$5="Growth",'Monthly Growth'!AI23,'Monthly Base'!AI23))</f>
        <v>2237686.23182382</v>
      </c>
      <c r="AJ23" s="10" t="n">
        <f aca="false">IF('Start Here'!$B$5="Lean",'Monthly Lean'!AJ23,IF('Start Here'!$B$5="Growth",'Monthly Growth'!AJ23,'Monthly Base'!AJ23))</f>
        <v>1780901.89933909</v>
      </c>
      <c r="AK23" s="10" t="n">
        <f aca="false">IF('Start Here'!$B$5="Lean",'Monthly Lean'!AK23,IF('Start Here'!$B$5="Growth",'Monthly Growth'!AK23,'Monthly Base'!AK23))</f>
        <v>0</v>
      </c>
      <c r="AL23" s="10" t="n">
        <f aca="false">IF('Start Here'!$B$5="Lean",'Monthly Lean'!AL23,IF('Start Here'!$B$5="Growth",'Monthly Growth'!AL23,'Monthly Base'!AL23))</f>
        <v>2219098.10066091</v>
      </c>
      <c r="AM23" s="10" t="n">
        <f aca="false">IF('Start Here'!$B$5="Lean",'Monthly Lean'!AM23,IF('Start Here'!$B$5="Growth",'Monthly Growth'!AM23,'Monthly Base'!AM23))</f>
        <v>1905.5</v>
      </c>
      <c r="AN23" s="10" t="n">
        <f aca="false">IF('Start Here'!$B$5="Lean",'Monthly Lean'!AN23,IF('Start Here'!$B$5="Growth",'Monthly Growth'!AN23,'Monthly Base'!AN23))</f>
        <v>0</v>
      </c>
      <c r="AO23" s="10" t="n">
        <f aca="false">IF('Start Here'!$B$5="Lean",'Monthly Lean'!AO23,IF('Start Here'!$B$5="Growth",'Monthly Growth'!AO23,'Monthly Base'!AO23))</f>
        <v>15600</v>
      </c>
      <c r="AP23" s="10" t="n">
        <f aca="false">IF('Start Here'!$B$5="Lean",'Monthly Lean'!AP23,IF('Start Here'!$B$5="Growth",'Monthly Growth'!AP23,'Monthly Base'!AP23))</f>
        <v>1762313.76817618</v>
      </c>
      <c r="AQ23" s="10" t="n">
        <f aca="false">IF('Start Here'!$B$5="Lean",'Monthly Lean'!AQ23,IF('Start Here'!$B$5="Growth",'Monthly Growth'!AQ23,'Monthly Base'!AQ23))</f>
        <v>137273.262602635</v>
      </c>
      <c r="AR23" s="10" t="n">
        <f aca="false">IF('Start Here'!$B$5="Lean",'Monthly Lean'!AR23,IF('Start Here'!$B$5="Growth",'Monthly Growth'!AR23,'Monthly Base'!AR23))</f>
        <v>0</v>
      </c>
    </row>
    <row r="24" customFormat="false" ht="15" hidden="false" customHeight="false" outlineLevel="0" collapsed="false">
      <c r="A24" s="11" t="n">
        <f aca="false">IF('Start Here'!$B$5="Lean",'Monthly Lean'!A24,IF('Start Here'!$B$5="Growth",'Monthly Growth'!A24,'Monthly Base'!A24))</f>
        <v>19</v>
      </c>
      <c r="B24" s="25" t="n">
        <f aca="false">IF('Start Here'!$B$5="Lean",'Monthly Lean'!B24,IF('Start Here'!$B$5="Growth",'Monthly Growth'!B24,'Monthly Base'!B24))</f>
        <v>46874</v>
      </c>
      <c r="C24" s="11" t="n">
        <f aca="false">IF('Start Here'!$B$5="Lean",'Monthly Lean'!C24,IF('Start Here'!$B$5="Growth",'Monthly Growth'!C24,'Monthly Base'!C24))</f>
        <v>1</v>
      </c>
      <c r="D24" s="11" t="n">
        <f aca="false">IF('Start Here'!$B$5="Lean",'Monthly Lean'!D24,IF('Start Here'!$B$5="Growth",'Monthly Growth'!D24,'Monthly Base'!D24))</f>
        <v>6.793465209301</v>
      </c>
      <c r="E24" s="11" t="n">
        <f aca="false">IF('Start Here'!$B$5="Lean",'Monthly Lean'!E24,IF('Start Here'!$B$5="Growth",'Monthly Growth'!E24,'Monthly Base'!E24))</f>
        <v>101.901978139515</v>
      </c>
      <c r="F24" s="11" t="n">
        <f aca="false">IF('Start Here'!$B$5="Lean",'Monthly Lean'!F24,IF('Start Here'!$B$5="Growth",'Monthly Growth'!F24,'Monthly Base'!F24))</f>
        <v>0.458558901627818</v>
      </c>
      <c r="G24" s="11" t="n">
        <f aca="false">IF('Start Here'!$B$5="Lean",'Monthly Lean'!G24,IF('Start Here'!$B$5="Growth",'Monthly Growth'!G24,'Monthly Base'!G24))</f>
        <v>33.967326046505</v>
      </c>
      <c r="H24" s="11" t="n">
        <f aca="false">IF('Start Here'!$B$5="Lean",'Monthly Lean'!H24,IF('Start Here'!$B$5="Growth",'Monthly Growth'!H24,'Monthly Base'!H24))</f>
        <v>6.793465209301</v>
      </c>
      <c r="I24" s="11" t="n">
        <f aca="false">IF('Start Here'!$B$5="Lean",'Monthly Lean'!I24,IF('Start Here'!$B$5="Growth",'Monthly Growth'!I24,'Monthly Base'!I24))</f>
        <v>8.75</v>
      </c>
      <c r="J24" s="11" t="n">
        <f aca="false">IF('Start Here'!$B$5="Lean",'Monthly Lean'!J24,IF('Start Here'!$B$5="Growth",'Monthly Growth'!J24,'Monthly Base'!J24))</f>
        <v>11</v>
      </c>
      <c r="K24" s="10" t="n">
        <f aca="false">IF('Start Here'!$B$5="Lean",'Monthly Lean'!K24,IF('Start Here'!$B$5="Growth",'Monthly Growth'!K24,'Monthly Base'!K24))</f>
        <v>123240</v>
      </c>
      <c r="L24" s="10" t="n">
        <f aca="false">IF('Start Here'!$B$5="Lean",'Monthly Lean'!L24,IF('Start Here'!$B$5="Growth",'Monthly Growth'!L24,'Monthly Base'!L24))</f>
        <v>4000</v>
      </c>
      <c r="M24" s="10" t="n">
        <f aca="false">IF('Start Here'!$B$5="Lean",'Monthly Lean'!M24,IF('Start Here'!$B$5="Growth",'Monthly Growth'!M24,'Monthly Base'!M24))</f>
        <v>1500</v>
      </c>
      <c r="N24" s="10" t="n">
        <f aca="false">IF('Start Here'!$B$5="Lean",'Monthly Lean'!N24,IF('Start Here'!$B$5="Growth",'Monthly Growth'!N24,'Monthly Base'!N24))</f>
        <v>1341.90376776238</v>
      </c>
      <c r="O24" s="10" t="n">
        <f aca="false">IF('Start Here'!$B$5="Lean",'Monthly Lean'!O24,IF('Start Here'!$B$5="Growth",'Monthly Growth'!O24,'Monthly Base'!O24))</f>
        <v>454.23</v>
      </c>
      <c r="P24" s="10" t="n">
        <f aca="false">IF('Start Here'!$B$5="Lean",'Monthly Lean'!P24,IF('Start Here'!$B$5="Growth",'Monthly Growth'!P24,'Monthly Base'!P24))</f>
        <v>0</v>
      </c>
      <c r="Q24" s="10" t="n">
        <f aca="false">IF('Start Here'!$B$5="Lean",'Monthly Lean'!Q24,IF('Start Here'!$B$5="Growth",'Monthly Growth'!Q24,'Monthly Base'!Q24))</f>
        <v>0</v>
      </c>
      <c r="R24" s="10" t="n">
        <f aca="false">IF('Start Here'!$B$5="Lean",'Monthly Lean'!R24,IF('Start Here'!$B$5="Growth",'Monthly Growth'!R24,'Monthly Base'!R24))</f>
        <v>0</v>
      </c>
      <c r="S24" s="10" t="n">
        <f aca="false">IF('Start Here'!$B$5="Lean",'Monthly Lean'!S24,IF('Start Here'!$B$5="Growth",'Monthly Growth'!S24,'Monthly Base'!S24))</f>
        <v>0</v>
      </c>
      <c r="T24" s="10" t="n">
        <f aca="false">IF('Start Here'!$B$5="Lean",'Monthly Lean'!T24,IF('Start Here'!$B$5="Growth",'Monthly Growth'!T24,'Monthly Base'!T24))</f>
        <v>618</v>
      </c>
      <c r="U24" s="10" t="n">
        <f aca="false">IF('Start Here'!$B$5="Lean",'Monthly Lean'!U24,IF('Start Here'!$B$5="Growth",'Monthly Growth'!U24,'Monthly Base'!U24))</f>
        <v>103</v>
      </c>
      <c r="V24" s="10" t="n">
        <f aca="false">IF('Start Here'!$B$5="Lean",'Monthly Lean'!V24,IF('Start Here'!$B$5="Growth",'Monthly Growth'!V24,'Monthly Base'!V24))</f>
        <v>524.795187418502</v>
      </c>
      <c r="W24" s="10" t="n">
        <f aca="false">IF('Start Here'!$B$5="Lean",'Monthly Lean'!W24,IF('Start Here'!$B$5="Growth",'Monthly Growth'!W24,'Monthly Base'!W24))</f>
        <v>309</v>
      </c>
      <c r="X24" s="10" t="n">
        <f aca="false">IF('Start Here'!$B$5="Lean",'Monthly Lean'!X24,IF('Start Here'!$B$5="Growth",'Monthly Growth'!X24,'Monthly Base'!X24))</f>
        <v>0</v>
      </c>
      <c r="Y24" s="10" t="n">
        <f aca="false">IF('Start Here'!$B$5="Lean",'Monthly Lean'!Y24,IF('Start Here'!$B$5="Growth",'Monthly Growth'!Y24,'Monthly Base'!Y24))</f>
        <v>0</v>
      </c>
      <c r="Z24" s="10" t="n">
        <f aca="false">IF('Start Here'!$B$5="Lean",'Monthly Lean'!Z24,IF('Start Here'!$B$5="Growth",'Monthly Growth'!Z24,'Monthly Base'!Z24))</f>
        <v>3350.92895518089</v>
      </c>
      <c r="AA24" s="10" t="n">
        <f aca="false">IF('Start Here'!$B$5="Lean",'Monthly Lean'!AA24,IF('Start Here'!$B$5="Growth",'Monthly Growth'!AA24,'Monthly Base'!AA24))</f>
        <v>19813.6393432771</v>
      </c>
      <c r="AB24" s="10" t="n">
        <f aca="false">IF('Start Here'!$B$5="Lean",'Monthly Lean'!AB24,IF('Start Here'!$B$5="Growth",'Monthly Growth'!AB24,'Monthly Base'!AB24))</f>
        <v>183.423560651127</v>
      </c>
      <c r="AC24" s="10" t="n">
        <f aca="false">IF('Start Here'!$B$5="Lean",'Monthly Lean'!AC24,IF('Start Here'!$B$5="Growth",'Monthly Growth'!AC24,'Monthly Base'!AC24))</f>
        <v>152087.991859109</v>
      </c>
      <c r="AD24" s="10" t="n">
        <f aca="false">IF('Start Here'!$B$5="Lean",'Monthly Lean'!AD24,IF('Start Here'!$B$5="Growth",'Monthly Growth'!AD24,'Monthly Base'!AD24))</f>
        <v>6114.1186883709</v>
      </c>
      <c r="AE24" s="10" t="n">
        <f aca="false">IF('Start Here'!$B$5="Lean",'Monthly Lean'!AE24,IF('Start Here'!$B$5="Growth",'Monthly Growth'!AE24,'Monthly Base'!AE24))</f>
        <v>73369.4242604508</v>
      </c>
      <c r="AF24" s="10" t="n">
        <f aca="false">IF('Start Here'!$B$5="Lean",'Monthly Lean'!AF24,IF('Start Here'!$B$5="Growth",'Monthly Growth'!AF24,'Monthly Base'!AF24))</f>
        <v>145973.873170738</v>
      </c>
      <c r="AG24" s="10" t="n">
        <f aca="false">IF('Start Here'!$B$5="Lean",'Monthly Lean'!AG24,IF('Start Here'!$B$5="Growth",'Monthly Growth'!AG24,'Monthly Base'!AG24))</f>
        <v>0</v>
      </c>
      <c r="AH24" s="10" t="n">
        <f aca="false">IF('Start Here'!$B$5="Lean",'Monthly Lean'!AH24,IF('Start Here'!$B$5="Growth",'Monthly Growth'!AH24,'Monthly Base'!AH24))</f>
        <v>2237686.23182382</v>
      </c>
      <c r="AI24" s="10" t="n">
        <f aca="false">IF('Start Here'!$B$5="Lean",'Monthly Lean'!AI24,IF('Start Here'!$B$5="Growth",'Monthly Growth'!AI24,'Monthly Base'!AI24))</f>
        <v>2091712.35865309</v>
      </c>
      <c r="AJ24" s="10" t="n">
        <f aca="false">IF('Start Here'!$B$5="Lean",'Monthly Lean'!AJ24,IF('Start Here'!$B$5="Growth",'Monthly Growth'!AJ24,'Monthly Base'!AJ24))</f>
        <v>1932989.89119819</v>
      </c>
      <c r="AK24" s="10" t="n">
        <f aca="false">IF('Start Here'!$B$5="Lean",'Monthly Lean'!AK24,IF('Start Here'!$B$5="Growth",'Monthly Growth'!AK24,'Monthly Base'!AK24))</f>
        <v>0</v>
      </c>
      <c r="AL24" s="10" t="n">
        <f aca="false">IF('Start Here'!$B$5="Lean",'Monthly Lean'!AL24,IF('Start Here'!$B$5="Growth",'Monthly Growth'!AL24,'Monthly Base'!AL24))</f>
        <v>2067010.10880181</v>
      </c>
      <c r="AM24" s="10" t="n">
        <f aca="false">IF('Start Here'!$B$5="Lean",'Monthly Lean'!AM24,IF('Start Here'!$B$5="Growth",'Monthly Growth'!AM24,'Monthly Base'!AM24))</f>
        <v>1905.5</v>
      </c>
      <c r="AN24" s="10" t="n">
        <f aca="false">IF('Start Here'!$B$5="Lean",'Monthly Lean'!AN24,IF('Start Here'!$B$5="Growth",'Monthly Growth'!AN24,'Monthly Base'!AN24))</f>
        <v>0</v>
      </c>
      <c r="AO24" s="10" t="n">
        <f aca="false">IF('Start Here'!$B$5="Lean",'Monthly Lean'!AO24,IF('Start Here'!$B$5="Growth",'Monthly Growth'!AO24,'Monthly Base'!AO24))</f>
        <v>15600</v>
      </c>
      <c r="AP24" s="10" t="n">
        <f aca="false">IF('Start Here'!$B$5="Lean",'Monthly Lean'!AP24,IF('Start Here'!$B$5="Growth",'Monthly Growth'!AP24,'Monthly Base'!AP24))</f>
        <v>1908287.64134691</v>
      </c>
      <c r="AQ24" s="10" t="n">
        <f aca="false">IF('Start Here'!$B$5="Lean",'Monthly Lean'!AQ24,IF('Start Here'!$B$5="Growth",'Monthly Growth'!AQ24,'Monthly Base'!AQ24))</f>
        <v>152087.991859109</v>
      </c>
      <c r="AR24" s="10" t="n">
        <f aca="false">IF('Start Here'!$B$5="Lean",'Monthly Lean'!AR24,IF('Start Here'!$B$5="Growth",'Monthly Growth'!AR24,'Monthly Base'!AR24))</f>
        <v>0</v>
      </c>
    </row>
    <row r="25" customFormat="false" ht="15" hidden="false" customHeight="false" outlineLevel="0" collapsed="false">
      <c r="A25" s="11" t="n">
        <f aca="false">IF('Start Here'!$B$5="Lean",'Monthly Lean'!A25,IF('Start Here'!$B$5="Growth",'Monthly Growth'!A25,'Monthly Base'!A25))</f>
        <v>20</v>
      </c>
      <c r="B25" s="25" t="n">
        <f aca="false">IF('Start Here'!$B$5="Lean",'Monthly Lean'!B25,IF('Start Here'!$B$5="Growth",'Monthly Growth'!B25,'Monthly Base'!B25))</f>
        <v>46905</v>
      </c>
      <c r="C25" s="11" t="n">
        <f aca="false">IF('Start Here'!$B$5="Lean",'Monthly Lean'!C25,IF('Start Here'!$B$5="Growth",'Monthly Growth'!C25,'Monthly Base'!C25))</f>
        <v>1</v>
      </c>
      <c r="D25" s="11" t="n">
        <f aca="false">IF('Start Here'!$B$5="Lean",'Monthly Lean'!D25,IF('Start Here'!$B$5="Growth",'Monthly Growth'!D25,'Monthly Base'!D25))</f>
        <v>7.72553055720799</v>
      </c>
      <c r="E25" s="11" t="n">
        <f aca="false">IF('Start Here'!$B$5="Lean",'Monthly Lean'!E25,IF('Start Here'!$B$5="Growth",'Monthly Growth'!E25,'Monthly Base'!E25))</f>
        <v>115.88295835812</v>
      </c>
      <c r="F25" s="11" t="n">
        <f aca="false">IF('Start Here'!$B$5="Lean",'Monthly Lean'!F25,IF('Start Here'!$B$5="Growth",'Monthly Growth'!F25,'Monthly Base'!F25))</f>
        <v>0.521473312611539</v>
      </c>
      <c r="G25" s="11" t="n">
        <f aca="false">IF('Start Here'!$B$5="Lean",'Monthly Lean'!G25,IF('Start Here'!$B$5="Growth",'Monthly Growth'!G25,'Monthly Base'!G25))</f>
        <v>38.62765278604</v>
      </c>
      <c r="H25" s="11" t="n">
        <f aca="false">IF('Start Here'!$B$5="Lean",'Monthly Lean'!H25,IF('Start Here'!$B$5="Growth",'Monthly Growth'!H25,'Monthly Base'!H25))</f>
        <v>7.72553055720799</v>
      </c>
      <c r="I25" s="11" t="n">
        <f aca="false">IF('Start Here'!$B$5="Lean",'Monthly Lean'!I25,IF('Start Here'!$B$5="Growth",'Monthly Growth'!I25,'Monthly Base'!I25))</f>
        <v>8.75</v>
      </c>
      <c r="J25" s="11" t="n">
        <f aca="false">IF('Start Here'!$B$5="Lean",'Monthly Lean'!J25,IF('Start Here'!$B$5="Growth",'Monthly Growth'!J25,'Monthly Base'!J25))</f>
        <v>11</v>
      </c>
      <c r="K25" s="10" t="n">
        <f aca="false">IF('Start Here'!$B$5="Lean",'Monthly Lean'!K25,IF('Start Here'!$B$5="Growth",'Monthly Growth'!K25,'Monthly Base'!K25))</f>
        <v>123240</v>
      </c>
      <c r="L25" s="10" t="n">
        <f aca="false">IF('Start Here'!$B$5="Lean",'Monthly Lean'!L25,IF('Start Here'!$B$5="Growth",'Monthly Growth'!L25,'Monthly Base'!L25))</f>
        <v>0</v>
      </c>
      <c r="M25" s="10" t="n">
        <f aca="false">IF('Start Here'!$B$5="Lean",'Monthly Lean'!M25,IF('Start Here'!$B$5="Growth",'Monthly Growth'!M25,'Monthly Base'!M25))</f>
        <v>0</v>
      </c>
      <c r="N25" s="10" t="n">
        <f aca="false">IF('Start Here'!$B$5="Lean",'Monthly Lean'!N25,IF('Start Here'!$B$5="Growth",'Monthly Growth'!N25,'Monthly Base'!N25))</f>
        <v>1349.36798008476</v>
      </c>
      <c r="O25" s="10" t="n">
        <f aca="false">IF('Start Here'!$B$5="Lean",'Monthly Lean'!O25,IF('Start Here'!$B$5="Growth",'Monthly Growth'!O25,'Monthly Base'!O25))</f>
        <v>454.23</v>
      </c>
      <c r="P25" s="10" t="n">
        <f aca="false">IF('Start Here'!$B$5="Lean",'Monthly Lean'!P25,IF('Start Here'!$B$5="Growth",'Monthly Growth'!P25,'Monthly Base'!P25))</f>
        <v>0</v>
      </c>
      <c r="Q25" s="10" t="n">
        <f aca="false">IF('Start Here'!$B$5="Lean",'Monthly Lean'!Q25,IF('Start Here'!$B$5="Growth",'Monthly Growth'!Q25,'Monthly Base'!Q25))</f>
        <v>0</v>
      </c>
      <c r="R25" s="10" t="n">
        <f aca="false">IF('Start Here'!$B$5="Lean",'Monthly Lean'!R25,IF('Start Here'!$B$5="Growth",'Monthly Growth'!R25,'Monthly Base'!R25))</f>
        <v>0</v>
      </c>
      <c r="S25" s="10" t="n">
        <f aca="false">IF('Start Here'!$B$5="Lean",'Monthly Lean'!S25,IF('Start Here'!$B$5="Growth",'Monthly Growth'!S25,'Monthly Base'!S25))</f>
        <v>0</v>
      </c>
      <c r="T25" s="10" t="n">
        <f aca="false">IF('Start Here'!$B$5="Lean",'Monthly Lean'!T25,IF('Start Here'!$B$5="Growth",'Monthly Growth'!T25,'Monthly Base'!T25))</f>
        <v>618</v>
      </c>
      <c r="U25" s="10" t="n">
        <f aca="false">IF('Start Here'!$B$5="Lean",'Monthly Lean'!U25,IF('Start Here'!$B$5="Growth",'Monthly Growth'!U25,'Monthly Base'!U25))</f>
        <v>103</v>
      </c>
      <c r="V25" s="10" t="n">
        <f aca="false">IF('Start Here'!$B$5="Lean",'Monthly Lean'!V25,IF('Start Here'!$B$5="Growth",'Monthly Growth'!V25,'Monthly Base'!V25))</f>
        <v>596.797235544317</v>
      </c>
      <c r="W25" s="10" t="n">
        <f aca="false">IF('Start Here'!$B$5="Lean",'Monthly Lean'!W25,IF('Start Here'!$B$5="Growth",'Monthly Growth'!W25,'Monthly Base'!W25))</f>
        <v>309</v>
      </c>
      <c r="X25" s="10" t="n">
        <f aca="false">IF('Start Here'!$B$5="Lean",'Monthly Lean'!X25,IF('Start Here'!$B$5="Growth",'Monthly Growth'!X25,'Monthly Base'!X25))</f>
        <v>0</v>
      </c>
      <c r="Y25" s="10" t="n">
        <f aca="false">IF('Start Here'!$B$5="Lean",'Monthly Lean'!Y25,IF('Start Here'!$B$5="Growth",'Monthly Growth'!Y25,'Monthly Base'!Y25))</f>
        <v>0</v>
      </c>
      <c r="Z25" s="10" t="n">
        <f aca="false">IF('Start Here'!$B$5="Lean",'Monthly Lean'!Z25,IF('Start Here'!$B$5="Growth",'Monthly Growth'!Z25,'Monthly Base'!Z25))</f>
        <v>3430.39521562908</v>
      </c>
      <c r="AA25" s="10" t="n">
        <f aca="false">IF('Start Here'!$B$5="Lean",'Monthly Lean'!AA25,IF('Start Here'!$B$5="Growth",'Monthly Growth'!AA25,'Monthly Base'!AA25))</f>
        <v>19000.5592823444</v>
      </c>
      <c r="AB25" s="10" t="n">
        <f aca="false">IF('Start Here'!$B$5="Lean",'Monthly Lean'!AB25,IF('Start Here'!$B$5="Growth",'Monthly Growth'!AB25,'Monthly Base'!AB25))</f>
        <v>208.589325044616</v>
      </c>
      <c r="AC25" s="10" t="n">
        <f aca="false">IF('Start Here'!$B$5="Lean",'Monthly Lean'!AC25,IF('Start Here'!$B$5="Growth",'Monthly Growth'!AC25,'Monthly Base'!AC25))</f>
        <v>145879.543823018</v>
      </c>
      <c r="AD25" s="10" t="n">
        <f aca="false">IF('Start Here'!$B$5="Lean",'Monthly Lean'!AD25,IF('Start Here'!$B$5="Growth",'Monthly Growth'!AD25,'Monthly Base'!AD25))</f>
        <v>6952.97750148719</v>
      </c>
      <c r="AE25" s="10" t="n">
        <f aca="false">IF('Start Here'!$B$5="Lean",'Monthly Lean'!AE25,IF('Start Here'!$B$5="Growth",'Monthly Growth'!AE25,'Monthly Base'!AE25))</f>
        <v>83435.7300178463</v>
      </c>
      <c r="AF25" s="10" t="n">
        <f aca="false">IF('Start Here'!$B$5="Lean",'Monthly Lean'!AF25,IF('Start Here'!$B$5="Growth",'Monthly Growth'!AF25,'Monthly Base'!AF25))</f>
        <v>138926.566321531</v>
      </c>
      <c r="AG25" s="10" t="n">
        <f aca="false">IF('Start Here'!$B$5="Lean",'Monthly Lean'!AG25,IF('Start Here'!$B$5="Growth",'Monthly Growth'!AG25,'Monthly Base'!AG25))</f>
        <v>0</v>
      </c>
      <c r="AH25" s="10" t="n">
        <f aca="false">IF('Start Here'!$B$5="Lean",'Monthly Lean'!AH25,IF('Start Here'!$B$5="Growth",'Monthly Growth'!AH25,'Monthly Base'!AH25))</f>
        <v>2091712.35865309</v>
      </c>
      <c r="AI25" s="10" t="n">
        <f aca="false">IF('Start Here'!$B$5="Lean",'Monthly Lean'!AI25,IF('Start Here'!$B$5="Growth",'Monthly Growth'!AI25,'Monthly Base'!AI25))</f>
        <v>1952785.79233156</v>
      </c>
      <c r="AJ25" s="10" t="n">
        <f aca="false">IF('Start Here'!$B$5="Lean",'Monthly Lean'!AJ25,IF('Start Here'!$B$5="Growth",'Monthly Growth'!AJ25,'Monthly Base'!AJ25))</f>
        <v>2078869.43502121</v>
      </c>
      <c r="AK25" s="10" t="n">
        <f aca="false">IF('Start Here'!$B$5="Lean",'Monthly Lean'!AK25,IF('Start Here'!$B$5="Growth",'Monthly Growth'!AK25,'Monthly Base'!AK25))</f>
        <v>0</v>
      </c>
      <c r="AL25" s="10" t="n">
        <f aca="false">IF('Start Here'!$B$5="Lean",'Monthly Lean'!AL25,IF('Start Here'!$B$5="Growth",'Monthly Growth'!AL25,'Monthly Base'!AL25))</f>
        <v>1921130.56497879</v>
      </c>
      <c r="AM25" s="10" t="n">
        <f aca="false">IF('Start Here'!$B$5="Lean",'Monthly Lean'!AM25,IF('Start Here'!$B$5="Growth",'Monthly Growth'!AM25,'Monthly Base'!AM25))</f>
        <v>1905.5</v>
      </c>
      <c r="AN25" s="10" t="n">
        <f aca="false">IF('Start Here'!$B$5="Lean",'Monthly Lean'!AN25,IF('Start Here'!$B$5="Growth",'Monthly Growth'!AN25,'Monthly Base'!AN25))</f>
        <v>0</v>
      </c>
      <c r="AO25" s="10" t="n">
        <f aca="false">IF('Start Here'!$B$5="Lean",'Monthly Lean'!AO25,IF('Start Here'!$B$5="Growth",'Monthly Growth'!AO25,'Monthly Base'!AO25))</f>
        <v>15600</v>
      </c>
      <c r="AP25" s="10" t="n">
        <f aca="false">IF('Start Here'!$B$5="Lean",'Monthly Lean'!AP25,IF('Start Here'!$B$5="Growth",'Monthly Growth'!AP25,'Monthly Base'!AP25))</f>
        <v>2047214.20766844</v>
      </c>
      <c r="AQ25" s="10" t="n">
        <f aca="false">IF('Start Here'!$B$5="Lean",'Monthly Lean'!AQ25,IF('Start Here'!$B$5="Growth",'Monthly Growth'!AQ25,'Monthly Base'!AQ25))</f>
        <v>145879.543823018</v>
      </c>
      <c r="AR25" s="10" t="n">
        <f aca="false">IF('Start Here'!$B$5="Lean",'Monthly Lean'!AR25,IF('Start Here'!$B$5="Growth",'Monthly Growth'!AR25,'Monthly Base'!AR25))</f>
        <v>0</v>
      </c>
    </row>
    <row r="26" customFormat="false" ht="15" hidden="false" customHeight="false" outlineLevel="0" collapsed="false">
      <c r="A26" s="11" t="n">
        <f aca="false">IF('Start Here'!$B$5="Lean",'Monthly Lean'!A26,IF('Start Here'!$B$5="Growth",'Monthly Growth'!A26,'Monthly Base'!A26))</f>
        <v>21</v>
      </c>
      <c r="B26" s="25" t="n">
        <f aca="false">IF('Start Here'!$B$5="Lean",'Monthly Lean'!B26,IF('Start Here'!$B$5="Growth",'Monthly Growth'!B26,'Monthly Base'!B26))</f>
        <v>46935</v>
      </c>
      <c r="C26" s="11" t="n">
        <f aca="false">IF('Start Here'!$B$5="Lean",'Monthly Lean'!C26,IF('Start Here'!$B$5="Growth",'Monthly Growth'!C26,'Monthly Base'!C26))</f>
        <v>1</v>
      </c>
      <c r="D26" s="11" t="n">
        <f aca="false">IF('Start Here'!$B$5="Lean",'Monthly Lean'!D26,IF('Start Here'!$B$5="Growth",'Monthly Growth'!D26,'Monthly Base'!D26))</f>
        <v>8.64827525163591</v>
      </c>
      <c r="E26" s="11" t="n">
        <f aca="false">IF('Start Here'!$B$5="Lean",'Monthly Lean'!E26,IF('Start Here'!$B$5="Growth",'Monthly Growth'!E26,'Monthly Base'!E26))</f>
        <v>129.724128774539</v>
      </c>
      <c r="F26" s="11" t="n">
        <f aca="false">IF('Start Here'!$B$5="Lean",'Monthly Lean'!F26,IF('Start Here'!$B$5="Growth",'Monthly Growth'!F26,'Monthly Base'!F26))</f>
        <v>0.583758579485424</v>
      </c>
      <c r="G26" s="11" t="n">
        <f aca="false">IF('Start Here'!$B$5="Lean",'Monthly Lean'!G26,IF('Start Here'!$B$5="Growth",'Monthly Growth'!G26,'Monthly Base'!G26))</f>
        <v>43.2413762581796</v>
      </c>
      <c r="H26" s="11" t="n">
        <f aca="false">IF('Start Here'!$B$5="Lean",'Monthly Lean'!H26,IF('Start Here'!$B$5="Growth",'Monthly Growth'!H26,'Monthly Base'!H26))</f>
        <v>8.64827525163591</v>
      </c>
      <c r="I26" s="11" t="n">
        <f aca="false">IF('Start Here'!$B$5="Lean",'Monthly Lean'!I26,IF('Start Here'!$B$5="Growth",'Monthly Growth'!I26,'Monthly Base'!I26))</f>
        <v>8.75</v>
      </c>
      <c r="J26" s="11" t="n">
        <f aca="false">IF('Start Here'!$B$5="Lean",'Monthly Lean'!J26,IF('Start Here'!$B$5="Growth",'Monthly Growth'!J26,'Monthly Base'!J26))</f>
        <v>11</v>
      </c>
      <c r="K26" s="10" t="n">
        <f aca="false">IF('Start Here'!$B$5="Lean",'Monthly Lean'!K26,IF('Start Here'!$B$5="Growth",'Monthly Growth'!K26,'Monthly Base'!K26))</f>
        <v>123240</v>
      </c>
      <c r="L26" s="10" t="n">
        <f aca="false">IF('Start Here'!$B$5="Lean",'Monthly Lean'!L26,IF('Start Here'!$B$5="Growth",'Monthly Growth'!L26,'Monthly Base'!L26))</f>
        <v>0</v>
      </c>
      <c r="M26" s="10" t="n">
        <f aca="false">IF('Start Here'!$B$5="Lean",'Monthly Lean'!M26,IF('Start Here'!$B$5="Growth",'Monthly Growth'!M26,'Monthly Base'!M26))</f>
        <v>0</v>
      </c>
      <c r="N26" s="10" t="n">
        <f aca="false">IF('Start Here'!$B$5="Lean",'Monthly Lean'!N26,IF('Start Here'!$B$5="Growth",'Monthly Growth'!N26,'Monthly Base'!N26))</f>
        <v>1356.75755028391</v>
      </c>
      <c r="O26" s="10" t="n">
        <f aca="false">IF('Start Here'!$B$5="Lean",'Monthly Lean'!O26,IF('Start Here'!$B$5="Growth",'Monthly Growth'!O26,'Monthly Base'!O26))</f>
        <v>454.23</v>
      </c>
      <c r="P26" s="10" t="n">
        <f aca="false">IF('Start Here'!$B$5="Lean",'Monthly Lean'!P26,IF('Start Here'!$B$5="Growth",'Monthly Growth'!P26,'Monthly Base'!P26))</f>
        <v>0</v>
      </c>
      <c r="Q26" s="10" t="n">
        <f aca="false">IF('Start Here'!$B$5="Lean",'Monthly Lean'!Q26,IF('Start Here'!$B$5="Growth",'Monthly Growth'!Q26,'Monthly Base'!Q26))</f>
        <v>0</v>
      </c>
      <c r="R26" s="10" t="n">
        <f aca="false">IF('Start Here'!$B$5="Lean",'Monthly Lean'!R26,IF('Start Here'!$B$5="Growth",'Monthly Growth'!R26,'Monthly Base'!R26))</f>
        <v>0</v>
      </c>
      <c r="S26" s="10" t="n">
        <f aca="false">IF('Start Here'!$B$5="Lean",'Monthly Lean'!S26,IF('Start Here'!$B$5="Growth",'Monthly Growth'!S26,'Monthly Base'!S26))</f>
        <v>12360</v>
      </c>
      <c r="T26" s="10" t="n">
        <f aca="false">IF('Start Here'!$B$5="Lean",'Monthly Lean'!T26,IF('Start Here'!$B$5="Growth",'Monthly Growth'!T26,'Monthly Base'!T26))</f>
        <v>618</v>
      </c>
      <c r="U26" s="10" t="n">
        <f aca="false">IF('Start Here'!$B$5="Lean",'Monthly Lean'!U26,IF('Start Here'!$B$5="Growth",'Monthly Growth'!U26,'Monthly Base'!U26))</f>
        <v>103</v>
      </c>
      <c r="V26" s="10" t="n">
        <f aca="false">IF('Start Here'!$B$5="Lean",'Monthly Lean'!V26,IF('Start Here'!$B$5="Growth",'Monthly Growth'!V26,'Monthly Base'!V26))</f>
        <v>668.079263188874</v>
      </c>
      <c r="W26" s="10" t="n">
        <f aca="false">IF('Start Here'!$B$5="Lean",'Monthly Lean'!W26,IF('Start Here'!$B$5="Growth",'Monthly Growth'!W26,'Monthly Base'!W26))</f>
        <v>309</v>
      </c>
      <c r="X26" s="10" t="n">
        <f aca="false">IF('Start Here'!$B$5="Lean",'Monthly Lean'!X26,IF('Start Here'!$B$5="Growth",'Monthly Growth'!X26,'Monthly Base'!X26))</f>
        <v>0</v>
      </c>
      <c r="Y26" s="10" t="n">
        <f aca="false">IF('Start Here'!$B$5="Lean",'Monthly Lean'!Y26,IF('Start Here'!$B$5="Growth",'Monthly Growth'!Y26,'Monthly Base'!Y26))</f>
        <v>0</v>
      </c>
      <c r="Z26" s="10" t="n">
        <f aca="false">IF('Start Here'!$B$5="Lean",'Monthly Lean'!Z26,IF('Start Here'!$B$5="Growth",'Monthly Growth'!Z26,'Monthly Base'!Z26))</f>
        <v>15869.0668134728</v>
      </c>
      <c r="AA26" s="10" t="n">
        <f aca="false">IF('Start Here'!$B$5="Lean",'Monthly Lean'!AA26,IF('Start Here'!$B$5="Growth",'Monthly Growth'!AA26,'Monthly Base'!AA26))</f>
        <v>20866.3600220209</v>
      </c>
      <c r="AB26" s="10" t="n">
        <f aca="false">IF('Start Here'!$B$5="Lean",'Monthly Lean'!AB26,IF('Start Here'!$B$5="Growth",'Monthly Growth'!AB26,'Monthly Base'!AB26))</f>
        <v>233.50343179417</v>
      </c>
      <c r="AC26" s="10" t="n">
        <f aca="false">IF('Start Here'!$B$5="Lean",'Monthly Lean'!AC26,IF('Start Here'!$B$5="Growth",'Monthly Growth'!AC26,'Monthly Base'!AC26))</f>
        <v>160208.930267288</v>
      </c>
      <c r="AD26" s="10" t="n">
        <f aca="false">IF('Start Here'!$B$5="Lean",'Monthly Lean'!AD26,IF('Start Here'!$B$5="Growth",'Monthly Growth'!AD26,'Monthly Base'!AD26))</f>
        <v>7783.44772647232</v>
      </c>
      <c r="AE26" s="10" t="n">
        <f aca="false">IF('Start Here'!$B$5="Lean",'Monthly Lean'!AE26,IF('Start Here'!$B$5="Growth",'Monthly Growth'!AE26,'Monthly Base'!AE26))</f>
        <v>93401.3727176678</v>
      </c>
      <c r="AF26" s="10" t="n">
        <f aca="false">IF('Start Here'!$B$5="Lean",'Monthly Lean'!AF26,IF('Start Here'!$B$5="Growth",'Monthly Growth'!AF26,'Monthly Base'!AF26))</f>
        <v>152425.482540816</v>
      </c>
      <c r="AG26" s="10" t="n">
        <f aca="false">IF('Start Here'!$B$5="Lean",'Monthly Lean'!AG26,IF('Start Here'!$B$5="Growth",'Monthly Growth'!AG26,'Monthly Base'!AG26))</f>
        <v>0</v>
      </c>
      <c r="AH26" s="10" t="n">
        <f aca="false">IF('Start Here'!$B$5="Lean",'Monthly Lean'!AH26,IF('Start Here'!$B$5="Growth",'Monthly Growth'!AH26,'Monthly Base'!AH26))</f>
        <v>1952785.79233156</v>
      </c>
      <c r="AI26" s="10" t="n">
        <f aca="false">IF('Start Here'!$B$5="Lean",'Monthly Lean'!AI26,IF('Start Here'!$B$5="Growth",'Monthly Growth'!AI26,'Monthly Base'!AI26))</f>
        <v>1800360.30979074</v>
      </c>
      <c r="AJ26" s="10" t="n">
        <f aca="false">IF('Start Here'!$B$5="Lean",'Monthly Lean'!AJ26,IF('Start Here'!$B$5="Growth",'Monthly Growth'!AJ26,'Monthly Base'!AJ26))</f>
        <v>2239078.3652885</v>
      </c>
      <c r="AK26" s="10" t="n">
        <f aca="false">IF('Start Here'!$B$5="Lean",'Monthly Lean'!AK26,IF('Start Here'!$B$5="Growth",'Monthly Growth'!AK26,'Monthly Base'!AK26))</f>
        <v>0</v>
      </c>
      <c r="AL26" s="10" t="n">
        <f aca="false">IF('Start Here'!$B$5="Lean",'Monthly Lean'!AL26,IF('Start Here'!$B$5="Growth",'Monthly Growth'!AL26,'Monthly Base'!AL26))</f>
        <v>1760921.6347115</v>
      </c>
      <c r="AM26" s="10" t="n">
        <f aca="false">IF('Start Here'!$B$5="Lean",'Monthly Lean'!AM26,IF('Start Here'!$B$5="Growth",'Monthly Growth'!AM26,'Monthly Base'!AM26))</f>
        <v>14265.5</v>
      </c>
      <c r="AN26" s="10" t="n">
        <f aca="false">IF('Start Here'!$B$5="Lean",'Monthly Lean'!AN26,IF('Start Here'!$B$5="Growth",'Monthly Growth'!AN26,'Monthly Base'!AN26))</f>
        <v>0</v>
      </c>
      <c r="AO26" s="10" t="n">
        <f aca="false">IF('Start Here'!$B$5="Lean",'Monthly Lean'!AO26,IF('Start Here'!$B$5="Growth",'Monthly Growth'!AO26,'Monthly Base'!AO26))</f>
        <v>15600</v>
      </c>
      <c r="AP26" s="10" t="n">
        <f aca="false">IF('Start Here'!$B$5="Lean",'Monthly Lean'!AP26,IF('Start Here'!$B$5="Growth",'Monthly Growth'!AP26,'Monthly Base'!AP26))</f>
        <v>2199639.69020926</v>
      </c>
      <c r="AQ26" s="10" t="n">
        <f aca="false">IF('Start Here'!$B$5="Lean",'Monthly Lean'!AQ26,IF('Start Here'!$B$5="Growth",'Monthly Growth'!AQ26,'Monthly Base'!AQ26))</f>
        <v>160208.930267288</v>
      </c>
      <c r="AR26" s="10" t="n">
        <f aca="false">IF('Start Here'!$B$5="Lean",'Monthly Lean'!AR26,IF('Start Here'!$B$5="Growth",'Monthly Growth'!AR26,'Monthly Base'!AR26))</f>
        <v>0</v>
      </c>
    </row>
    <row r="27" customFormat="false" ht="15" hidden="false" customHeight="false" outlineLevel="0" collapsed="false">
      <c r="A27" s="11" t="n">
        <f aca="false">IF('Start Here'!$B$5="Lean",'Monthly Lean'!A27,IF('Start Here'!$B$5="Growth",'Monthly Growth'!A27,'Monthly Base'!A27))</f>
        <v>22</v>
      </c>
      <c r="B27" s="25" t="n">
        <f aca="false">IF('Start Here'!$B$5="Lean",'Monthly Lean'!B27,IF('Start Here'!$B$5="Growth",'Monthly Growth'!B27,'Monthly Base'!B27))</f>
        <v>46966</v>
      </c>
      <c r="C27" s="11" t="n">
        <f aca="false">IF('Start Here'!$B$5="Lean",'Monthly Lean'!C27,IF('Start Here'!$B$5="Growth",'Monthly Growth'!C27,'Monthly Base'!C27))</f>
        <v>1</v>
      </c>
      <c r="D27" s="11" t="n">
        <f aca="false">IF('Start Here'!$B$5="Lean",'Monthly Lean'!D27,IF('Start Here'!$B$5="Growth",'Monthly Growth'!D27,'Monthly Base'!D27))</f>
        <v>9.56179249911955</v>
      </c>
      <c r="E27" s="11" t="n">
        <f aca="false">IF('Start Here'!$B$5="Lean",'Monthly Lean'!E27,IF('Start Here'!$B$5="Growth",'Monthly Growth'!E27,'Monthly Base'!E27))</f>
        <v>143.426887486793</v>
      </c>
      <c r="F27" s="11" t="n">
        <f aca="false">IF('Start Here'!$B$5="Lean",'Monthly Lean'!F27,IF('Start Here'!$B$5="Growth",'Monthly Growth'!F27,'Monthly Base'!F27))</f>
        <v>0.64542099369057</v>
      </c>
      <c r="G27" s="11" t="n">
        <f aca="false">IF('Start Here'!$B$5="Lean",'Monthly Lean'!G27,IF('Start Here'!$B$5="Growth",'Monthly Growth'!G27,'Monthly Base'!G27))</f>
        <v>47.8089624955978</v>
      </c>
      <c r="H27" s="11" t="n">
        <f aca="false">IF('Start Here'!$B$5="Lean",'Monthly Lean'!H27,IF('Start Here'!$B$5="Growth",'Monthly Growth'!H27,'Monthly Base'!H27))</f>
        <v>9.56179249911955</v>
      </c>
      <c r="I27" s="11" t="n">
        <f aca="false">IF('Start Here'!$B$5="Lean",'Monthly Lean'!I27,IF('Start Here'!$B$5="Growth",'Monthly Growth'!I27,'Monthly Base'!I27))</f>
        <v>8.75</v>
      </c>
      <c r="J27" s="11" t="n">
        <f aca="false">IF('Start Here'!$B$5="Lean",'Monthly Lean'!J27,IF('Start Here'!$B$5="Growth",'Monthly Growth'!J27,'Monthly Base'!J27))</f>
        <v>11</v>
      </c>
      <c r="K27" s="10" t="n">
        <f aca="false">IF('Start Here'!$B$5="Lean",'Monthly Lean'!K27,IF('Start Here'!$B$5="Growth",'Monthly Growth'!K27,'Monthly Base'!K27))</f>
        <v>123240</v>
      </c>
      <c r="L27" s="10" t="n">
        <f aca="false">IF('Start Here'!$B$5="Lean",'Monthly Lean'!L27,IF('Start Here'!$B$5="Growth",'Monthly Growth'!L27,'Monthly Base'!L27))</f>
        <v>0</v>
      </c>
      <c r="M27" s="10" t="n">
        <f aca="false">IF('Start Here'!$B$5="Lean",'Monthly Lean'!M27,IF('Start Here'!$B$5="Growth",'Monthly Growth'!M27,'Monthly Base'!M27))</f>
        <v>0</v>
      </c>
      <c r="N27" s="10" t="n">
        <f aca="false">IF('Start Here'!$B$5="Lean",'Monthly Lean'!N27,IF('Start Here'!$B$5="Growth",'Monthly Growth'!N27,'Monthly Base'!N27))</f>
        <v>1364.07322478107</v>
      </c>
      <c r="O27" s="10" t="n">
        <f aca="false">IF('Start Here'!$B$5="Lean",'Monthly Lean'!O27,IF('Start Here'!$B$5="Growth",'Monthly Growth'!O27,'Monthly Base'!O27))</f>
        <v>454.23</v>
      </c>
      <c r="P27" s="10" t="n">
        <f aca="false">IF('Start Here'!$B$5="Lean",'Monthly Lean'!P27,IF('Start Here'!$B$5="Growth",'Monthly Growth'!P27,'Monthly Base'!P27))</f>
        <v>0</v>
      </c>
      <c r="Q27" s="10" t="n">
        <f aca="false">IF('Start Here'!$B$5="Lean",'Monthly Lean'!Q27,IF('Start Here'!$B$5="Growth",'Monthly Growth'!Q27,'Monthly Base'!Q27))</f>
        <v>18540</v>
      </c>
      <c r="R27" s="10" t="n">
        <f aca="false">IF('Start Here'!$B$5="Lean",'Monthly Lean'!R27,IF('Start Here'!$B$5="Growth",'Monthly Growth'!R27,'Monthly Base'!R27))</f>
        <v>0</v>
      </c>
      <c r="S27" s="10" t="n">
        <f aca="false">IF('Start Here'!$B$5="Lean",'Monthly Lean'!S27,IF('Start Here'!$B$5="Growth",'Monthly Growth'!S27,'Monthly Base'!S27))</f>
        <v>0</v>
      </c>
      <c r="T27" s="10" t="n">
        <f aca="false">IF('Start Here'!$B$5="Lean",'Monthly Lean'!T27,IF('Start Here'!$B$5="Growth",'Monthly Growth'!T27,'Monthly Base'!T27))</f>
        <v>618</v>
      </c>
      <c r="U27" s="10" t="n">
        <f aca="false">IF('Start Here'!$B$5="Lean",'Monthly Lean'!U27,IF('Start Here'!$B$5="Growth",'Monthly Growth'!U27,'Monthly Base'!U27))</f>
        <v>103</v>
      </c>
      <c r="V27" s="10" t="n">
        <f aca="false">IF('Start Here'!$B$5="Lean",'Monthly Lean'!V27,IF('Start Here'!$B$5="Growth",'Monthly Growth'!V27,'Monthly Base'!V27))</f>
        <v>738.648470556985</v>
      </c>
      <c r="W27" s="10" t="n">
        <f aca="false">IF('Start Here'!$B$5="Lean",'Monthly Lean'!W27,IF('Start Here'!$B$5="Growth",'Monthly Growth'!W27,'Monthly Base'!W27))</f>
        <v>309</v>
      </c>
      <c r="X27" s="10" t="n">
        <f aca="false">IF('Start Here'!$B$5="Lean",'Monthly Lean'!X27,IF('Start Here'!$B$5="Growth",'Monthly Growth'!X27,'Monthly Base'!X27))</f>
        <v>0</v>
      </c>
      <c r="Y27" s="10" t="n">
        <f aca="false">IF('Start Here'!$B$5="Lean",'Monthly Lean'!Y27,IF('Start Here'!$B$5="Growth",'Monthly Growth'!Y27,'Monthly Base'!Y27))</f>
        <v>0</v>
      </c>
      <c r="Z27" s="10" t="n">
        <f aca="false">IF('Start Here'!$B$5="Lean",'Monthly Lean'!Z27,IF('Start Here'!$B$5="Growth",'Monthly Growth'!Z27,'Monthly Base'!Z27))</f>
        <v>22126.9516953381</v>
      </c>
      <c r="AA27" s="10" t="n">
        <f aca="false">IF('Start Here'!$B$5="Lean",'Monthly Lean'!AA27,IF('Start Here'!$B$5="Growth",'Monthly Growth'!AA27,'Monthly Base'!AA27))</f>
        <v>21805.0427543007</v>
      </c>
      <c r="AB27" s="10" t="n">
        <f aca="false">IF('Start Here'!$B$5="Lean",'Monthly Lean'!AB27,IF('Start Here'!$B$5="Growth",'Monthly Growth'!AB27,'Monthly Base'!AB27))</f>
        <v>258.168397476228</v>
      </c>
      <c r="AC27" s="10" t="n">
        <f aca="false">IF('Start Here'!$B$5="Lean",'Monthly Lean'!AC27,IF('Start Here'!$B$5="Growth",'Monthly Growth'!AC27,'Monthly Base'!AC27))</f>
        <v>167430.162847115</v>
      </c>
      <c r="AD27" s="10" t="n">
        <f aca="false">IF('Start Here'!$B$5="Lean",'Monthly Lean'!AD27,IF('Start Here'!$B$5="Growth",'Monthly Growth'!AD27,'Monthly Base'!AD27))</f>
        <v>8605.6132492076</v>
      </c>
      <c r="AE27" s="10" t="n">
        <f aca="false">IF('Start Here'!$B$5="Lean",'Monthly Lean'!AE27,IF('Start Here'!$B$5="Growth",'Monthly Growth'!AE27,'Monthly Base'!AE27))</f>
        <v>103267.358990491</v>
      </c>
      <c r="AF27" s="10" t="n">
        <f aca="false">IF('Start Here'!$B$5="Lean",'Monthly Lean'!AF27,IF('Start Here'!$B$5="Growth",'Monthly Growth'!AF27,'Monthly Base'!AF27))</f>
        <v>158824.549597907</v>
      </c>
      <c r="AG27" s="10" t="n">
        <f aca="false">IF('Start Here'!$B$5="Lean",'Monthly Lean'!AG27,IF('Start Here'!$B$5="Growth",'Monthly Growth'!AG27,'Monthly Base'!AG27))</f>
        <v>0</v>
      </c>
      <c r="AH27" s="10" t="n">
        <f aca="false">IF('Start Here'!$B$5="Lean",'Monthly Lean'!AH27,IF('Start Here'!$B$5="Growth",'Monthly Growth'!AH27,'Monthly Base'!AH27))</f>
        <v>1800360.30979074</v>
      </c>
      <c r="AI27" s="10" t="n">
        <f aca="false">IF('Start Here'!$B$5="Lean",'Monthly Lean'!AI27,IF('Start Here'!$B$5="Growth",'Monthly Growth'!AI27,'Monthly Base'!AI27))</f>
        <v>1641535.76019283</v>
      </c>
      <c r="AJ27" s="10" t="n">
        <f aca="false">IF('Start Here'!$B$5="Lean",'Monthly Lean'!AJ27,IF('Start Here'!$B$5="Growth",'Monthly Growth'!AJ27,'Monthly Base'!AJ27))</f>
        <v>2406508.52813562</v>
      </c>
      <c r="AK27" s="10" t="n">
        <f aca="false">IF('Start Here'!$B$5="Lean",'Monthly Lean'!AK27,IF('Start Here'!$B$5="Growth",'Monthly Growth'!AK27,'Monthly Base'!AK27))</f>
        <v>0</v>
      </c>
      <c r="AL27" s="10" t="n">
        <f aca="false">IF('Start Here'!$B$5="Lean",'Monthly Lean'!AL27,IF('Start Here'!$B$5="Growth",'Monthly Growth'!AL27,'Monthly Base'!AL27))</f>
        <v>1593491.47186438</v>
      </c>
      <c r="AM27" s="10" t="n">
        <f aca="false">IF('Start Here'!$B$5="Lean",'Monthly Lean'!AM27,IF('Start Here'!$B$5="Growth",'Monthly Growth'!AM27,'Monthly Base'!AM27))</f>
        <v>20445.5</v>
      </c>
      <c r="AN27" s="10" t="n">
        <f aca="false">IF('Start Here'!$B$5="Lean",'Monthly Lean'!AN27,IF('Start Here'!$B$5="Growth",'Monthly Growth'!AN27,'Monthly Base'!AN27))</f>
        <v>0</v>
      </c>
      <c r="AO27" s="10" t="n">
        <f aca="false">IF('Start Here'!$B$5="Lean",'Monthly Lean'!AO27,IF('Start Here'!$B$5="Growth",'Monthly Growth'!AO27,'Monthly Base'!AO27))</f>
        <v>15600</v>
      </c>
      <c r="AP27" s="10" t="n">
        <f aca="false">IF('Start Here'!$B$5="Lean",'Monthly Lean'!AP27,IF('Start Here'!$B$5="Growth",'Monthly Growth'!AP27,'Monthly Base'!AP27))</f>
        <v>2358464.23980717</v>
      </c>
      <c r="AQ27" s="10" t="n">
        <f aca="false">IF('Start Here'!$B$5="Lean",'Monthly Lean'!AQ27,IF('Start Here'!$B$5="Growth",'Monthly Growth'!AQ27,'Monthly Base'!AQ27))</f>
        <v>167430.162847115</v>
      </c>
      <c r="AR27" s="10" t="n">
        <f aca="false">IF('Start Here'!$B$5="Lean",'Monthly Lean'!AR27,IF('Start Here'!$B$5="Growth",'Monthly Growth'!AR27,'Monthly Base'!AR27))</f>
        <v>0</v>
      </c>
    </row>
    <row r="28" customFormat="false" ht="15" hidden="false" customHeight="false" outlineLevel="0" collapsed="false">
      <c r="A28" s="11" t="n">
        <f aca="false">IF('Start Here'!$B$5="Lean",'Monthly Lean'!A28,IF('Start Here'!$B$5="Growth",'Monthly Growth'!A28,'Monthly Base'!A28))</f>
        <v>23</v>
      </c>
      <c r="B28" s="25" t="n">
        <f aca="false">IF('Start Here'!$B$5="Lean",'Monthly Lean'!B28,IF('Start Here'!$B$5="Growth",'Monthly Growth'!B28,'Monthly Base'!B28))</f>
        <v>46997</v>
      </c>
      <c r="C28" s="11" t="n">
        <f aca="false">IF('Start Here'!$B$5="Lean",'Monthly Lean'!C28,IF('Start Here'!$B$5="Growth",'Monthly Growth'!C28,'Monthly Base'!C28))</f>
        <v>1</v>
      </c>
      <c r="D28" s="11" t="n">
        <f aca="false">IF('Start Here'!$B$5="Lean",'Monthly Lean'!D28,IF('Start Here'!$B$5="Growth",'Monthly Growth'!D28,'Monthly Base'!D28))</f>
        <v>10.4661745741284</v>
      </c>
      <c r="E28" s="11" t="n">
        <f aca="false">IF('Start Here'!$B$5="Lean",'Monthly Lean'!E28,IF('Start Here'!$B$5="Growth",'Monthly Growth'!E28,'Monthly Base'!E28))</f>
        <v>156.992618611925</v>
      </c>
      <c r="F28" s="11" t="n">
        <f aca="false">IF('Start Here'!$B$5="Lean",'Monthly Lean'!F28,IF('Start Here'!$B$5="Growth",'Monthly Growth'!F28,'Monthly Base'!F28))</f>
        <v>0.706466783753664</v>
      </c>
      <c r="G28" s="11" t="n">
        <f aca="false">IF('Start Here'!$B$5="Lean",'Monthly Lean'!G28,IF('Start Here'!$B$5="Growth",'Monthly Growth'!G28,'Monthly Base'!G28))</f>
        <v>52.3308728706418</v>
      </c>
      <c r="H28" s="11" t="n">
        <f aca="false">IF('Start Here'!$B$5="Lean",'Monthly Lean'!H28,IF('Start Here'!$B$5="Growth",'Monthly Growth'!H28,'Monthly Base'!H28))</f>
        <v>10.4661745741284</v>
      </c>
      <c r="I28" s="11" t="n">
        <f aca="false">IF('Start Here'!$B$5="Lean",'Monthly Lean'!I28,IF('Start Here'!$B$5="Growth",'Monthly Growth'!I28,'Monthly Base'!I28))</f>
        <v>8.75</v>
      </c>
      <c r="J28" s="11" t="n">
        <f aca="false">IF('Start Here'!$B$5="Lean",'Monthly Lean'!J28,IF('Start Here'!$B$5="Growth",'Monthly Growth'!J28,'Monthly Base'!J28))</f>
        <v>11</v>
      </c>
      <c r="K28" s="10" t="n">
        <f aca="false">IF('Start Here'!$B$5="Lean",'Monthly Lean'!K28,IF('Start Here'!$B$5="Growth",'Monthly Growth'!K28,'Monthly Base'!K28))</f>
        <v>123240</v>
      </c>
      <c r="L28" s="10" t="n">
        <f aca="false">IF('Start Here'!$B$5="Lean",'Monthly Lean'!L28,IF('Start Here'!$B$5="Growth",'Monthly Growth'!L28,'Monthly Base'!L28))</f>
        <v>0</v>
      </c>
      <c r="M28" s="10" t="n">
        <f aca="false">IF('Start Here'!$B$5="Lean",'Monthly Lean'!M28,IF('Start Here'!$B$5="Growth",'Monthly Growth'!M28,'Monthly Base'!M28))</f>
        <v>0</v>
      </c>
      <c r="N28" s="10" t="n">
        <f aca="false">IF('Start Here'!$B$5="Lean",'Monthly Lean'!N28,IF('Start Here'!$B$5="Growth",'Monthly Growth'!N28,'Monthly Base'!N28))</f>
        <v>1371.31574253326</v>
      </c>
      <c r="O28" s="10" t="n">
        <f aca="false">IF('Start Here'!$B$5="Lean",'Monthly Lean'!O28,IF('Start Here'!$B$5="Growth",'Monthly Growth'!O28,'Monthly Base'!O28))</f>
        <v>454.23</v>
      </c>
      <c r="P28" s="10" t="n">
        <f aca="false">IF('Start Here'!$B$5="Lean",'Monthly Lean'!P28,IF('Start Here'!$B$5="Growth",'Monthly Growth'!P28,'Monthly Base'!P28))</f>
        <v>0</v>
      </c>
      <c r="Q28" s="10" t="n">
        <f aca="false">IF('Start Here'!$B$5="Lean",'Monthly Lean'!Q28,IF('Start Here'!$B$5="Growth",'Monthly Growth'!Q28,'Monthly Base'!Q28))</f>
        <v>0</v>
      </c>
      <c r="R28" s="10" t="n">
        <f aca="false">IF('Start Here'!$B$5="Lean",'Monthly Lean'!R28,IF('Start Here'!$B$5="Growth",'Monthly Growth'!R28,'Monthly Base'!R28))</f>
        <v>15450</v>
      </c>
      <c r="S28" s="10" t="n">
        <f aca="false">IF('Start Here'!$B$5="Lean",'Monthly Lean'!S28,IF('Start Here'!$B$5="Growth",'Monthly Growth'!S28,'Monthly Base'!S28))</f>
        <v>0</v>
      </c>
      <c r="T28" s="10" t="n">
        <f aca="false">IF('Start Here'!$B$5="Lean",'Monthly Lean'!T28,IF('Start Here'!$B$5="Growth",'Monthly Growth'!T28,'Monthly Base'!T28))</f>
        <v>618</v>
      </c>
      <c r="U28" s="10" t="n">
        <f aca="false">IF('Start Here'!$B$5="Lean",'Monthly Lean'!U28,IF('Start Here'!$B$5="Growth",'Monthly Growth'!U28,'Monthly Base'!U28))</f>
        <v>103</v>
      </c>
      <c r="V28" s="10" t="n">
        <f aca="false">IF('Start Here'!$B$5="Lean",'Monthly Lean'!V28,IF('Start Here'!$B$5="Growth",'Monthly Growth'!V28,'Monthly Base'!V28))</f>
        <v>808.511985851416</v>
      </c>
      <c r="W28" s="10" t="n">
        <f aca="false">IF('Start Here'!$B$5="Lean",'Monthly Lean'!W28,IF('Start Here'!$B$5="Growth",'Monthly Growth'!W28,'Monthly Base'!W28))</f>
        <v>309</v>
      </c>
      <c r="X28" s="10" t="n">
        <f aca="false">IF('Start Here'!$B$5="Lean",'Monthly Lean'!X28,IF('Start Here'!$B$5="Growth",'Monthly Growth'!X28,'Monthly Base'!X28))</f>
        <v>0</v>
      </c>
      <c r="Y28" s="10" t="n">
        <f aca="false">IF('Start Here'!$B$5="Lean",'Monthly Lean'!Y28,IF('Start Here'!$B$5="Growth",'Monthly Growth'!Y28,'Monthly Base'!Y28))</f>
        <v>0</v>
      </c>
      <c r="Z28" s="10" t="n">
        <f aca="false">IF('Start Here'!$B$5="Lean",'Monthly Lean'!Z28,IF('Start Here'!$B$5="Growth",'Monthly Growth'!Z28,'Monthly Base'!Z28))</f>
        <v>19114.0577283847</v>
      </c>
      <c r="AA28" s="10" t="n">
        <f aca="false">IF('Start Here'!$B$5="Lean",'Monthly Lean'!AA28,IF('Start Here'!$B$5="Growth",'Monthly Growth'!AA28,'Monthly Base'!AA28))</f>
        <v>21353.1086592577</v>
      </c>
      <c r="AB28" s="10" t="n">
        <f aca="false">IF('Start Here'!$B$5="Lean",'Monthly Lean'!AB28,IF('Start Here'!$B$5="Growth",'Monthly Growth'!AB28,'Monthly Base'!AB28))</f>
        <v>282.586713501466</v>
      </c>
      <c r="AC28" s="10" t="n">
        <f aca="false">IF('Start Here'!$B$5="Lean",'Monthly Lean'!AC28,IF('Start Here'!$B$5="Growth",'Monthly Growth'!AC28,'Monthly Base'!AC28))</f>
        <v>163989.753101144</v>
      </c>
      <c r="AD28" s="10" t="n">
        <f aca="false">IF('Start Here'!$B$5="Lean",'Monthly Lean'!AD28,IF('Start Here'!$B$5="Growth",'Monthly Growth'!AD28,'Monthly Base'!AD28))</f>
        <v>9419.55711671552</v>
      </c>
      <c r="AE28" s="10" t="n">
        <f aca="false">IF('Start Here'!$B$5="Lean",'Monthly Lean'!AE28,IF('Start Here'!$B$5="Growth",'Monthly Growth'!AE28,'Monthly Base'!AE28))</f>
        <v>113034.685400586</v>
      </c>
      <c r="AF28" s="10" t="n">
        <f aca="false">IF('Start Here'!$B$5="Lean",'Monthly Lean'!AF28,IF('Start Here'!$B$5="Growth",'Monthly Growth'!AF28,'Monthly Base'!AF28))</f>
        <v>154570.195984428</v>
      </c>
      <c r="AG28" s="10" t="n">
        <f aca="false">IF('Start Here'!$B$5="Lean",'Monthly Lean'!AG28,IF('Start Here'!$B$5="Growth",'Monthly Growth'!AG28,'Monthly Base'!AG28))</f>
        <v>0</v>
      </c>
      <c r="AH28" s="10" t="n">
        <f aca="false">IF('Start Here'!$B$5="Lean",'Monthly Lean'!AH28,IF('Start Here'!$B$5="Growth",'Monthly Growth'!AH28,'Monthly Base'!AH28))</f>
        <v>1641535.76019283</v>
      </c>
      <c r="AI28" s="10" t="n">
        <f aca="false">IF('Start Here'!$B$5="Lean",'Monthly Lean'!AI28,IF('Start Here'!$B$5="Growth",'Monthly Growth'!AI28,'Monthly Base'!AI28))</f>
        <v>1486965.5642084</v>
      </c>
      <c r="AJ28" s="10" t="n">
        <f aca="false">IF('Start Here'!$B$5="Lean",'Monthly Lean'!AJ28,IF('Start Here'!$B$5="Growth",'Monthly Growth'!AJ28,'Monthly Base'!AJ28))</f>
        <v>2570498.28123676</v>
      </c>
      <c r="AK28" s="10" t="n">
        <f aca="false">IF('Start Here'!$B$5="Lean",'Monthly Lean'!AK28,IF('Start Here'!$B$5="Growth",'Monthly Growth'!AK28,'Monthly Base'!AK28))</f>
        <v>0</v>
      </c>
      <c r="AL28" s="10" t="n">
        <f aca="false">IF('Start Here'!$B$5="Lean",'Monthly Lean'!AL28,IF('Start Here'!$B$5="Growth",'Monthly Growth'!AL28,'Monthly Base'!AL28))</f>
        <v>1429501.71876324</v>
      </c>
      <c r="AM28" s="10" t="n">
        <f aca="false">IF('Start Here'!$B$5="Lean",'Monthly Lean'!AM28,IF('Start Here'!$B$5="Growth",'Monthly Growth'!AM28,'Monthly Base'!AM28))</f>
        <v>17355.5</v>
      </c>
      <c r="AN28" s="10" t="n">
        <f aca="false">IF('Start Here'!$B$5="Lean",'Monthly Lean'!AN28,IF('Start Here'!$B$5="Growth",'Monthly Growth'!AN28,'Monthly Base'!AN28))</f>
        <v>0</v>
      </c>
      <c r="AO28" s="10" t="n">
        <f aca="false">IF('Start Here'!$B$5="Lean",'Monthly Lean'!AO28,IF('Start Here'!$B$5="Growth",'Monthly Growth'!AO28,'Monthly Base'!AO28))</f>
        <v>15600</v>
      </c>
      <c r="AP28" s="10" t="n">
        <f aca="false">IF('Start Here'!$B$5="Lean",'Monthly Lean'!AP28,IF('Start Here'!$B$5="Growth",'Monthly Growth'!AP28,'Monthly Base'!AP28))</f>
        <v>2513034.4357916</v>
      </c>
      <c r="AQ28" s="10" t="n">
        <f aca="false">IF('Start Here'!$B$5="Lean",'Monthly Lean'!AQ28,IF('Start Here'!$B$5="Growth",'Monthly Growth'!AQ28,'Monthly Base'!AQ28))</f>
        <v>163989.753101144</v>
      </c>
      <c r="AR28" s="10" t="n">
        <f aca="false">IF('Start Here'!$B$5="Lean",'Monthly Lean'!AR28,IF('Start Here'!$B$5="Growth",'Monthly Growth'!AR28,'Monthly Base'!AR28))</f>
        <v>0</v>
      </c>
    </row>
    <row r="29" customFormat="false" ht="15" hidden="false" customHeight="false" outlineLevel="0" collapsed="false">
      <c r="A29" s="11" t="n">
        <f aca="false">IF('Start Here'!$B$5="Lean",'Monthly Lean'!A29,IF('Start Here'!$B$5="Growth",'Monthly Growth'!A29,'Monthly Base'!A29))</f>
        <v>24</v>
      </c>
      <c r="B29" s="25" t="n">
        <f aca="false">IF('Start Here'!$B$5="Lean",'Monthly Lean'!B29,IF('Start Here'!$B$5="Growth",'Monthly Growth'!B29,'Monthly Base'!B29))</f>
        <v>47027</v>
      </c>
      <c r="C29" s="11" t="n">
        <f aca="false">IF('Start Here'!$B$5="Lean",'Monthly Lean'!C29,IF('Start Here'!$B$5="Growth",'Monthly Growth'!C29,'Monthly Base'!C29))</f>
        <v>1</v>
      </c>
      <c r="D29" s="11" t="n">
        <f aca="false">IF('Start Here'!$B$5="Lean",'Monthly Lean'!D29,IF('Start Here'!$B$5="Growth",'Monthly Growth'!D29,'Monthly Base'!D29))</f>
        <v>11.3615128283871</v>
      </c>
      <c r="E29" s="11" t="n">
        <f aca="false">IF('Start Here'!$B$5="Lean",'Monthly Lean'!E29,IF('Start Here'!$B$5="Growth",'Monthly Growth'!E29,'Monthly Base'!E29))</f>
        <v>170.422692425806</v>
      </c>
      <c r="F29" s="11" t="n">
        <f aca="false">IF('Start Here'!$B$5="Lean",'Monthly Lean'!F29,IF('Start Here'!$B$5="Growth",'Monthly Growth'!F29,'Monthly Base'!F29))</f>
        <v>0.766902115916127</v>
      </c>
      <c r="G29" s="11" t="n">
        <f aca="false">IF('Start Here'!$B$5="Lean",'Monthly Lean'!G29,IF('Start Here'!$B$5="Growth",'Monthly Growth'!G29,'Monthly Base'!G29))</f>
        <v>56.8075641419354</v>
      </c>
      <c r="H29" s="11" t="n">
        <f aca="false">IF('Start Here'!$B$5="Lean",'Monthly Lean'!H29,IF('Start Here'!$B$5="Growth",'Monthly Growth'!H29,'Monthly Base'!H29))</f>
        <v>11.3615128283871</v>
      </c>
      <c r="I29" s="11" t="n">
        <f aca="false">IF('Start Here'!$B$5="Lean",'Monthly Lean'!I29,IF('Start Here'!$B$5="Growth",'Monthly Growth'!I29,'Monthly Base'!I29))</f>
        <v>8.75</v>
      </c>
      <c r="J29" s="11" t="n">
        <f aca="false">IF('Start Here'!$B$5="Lean",'Monthly Lean'!J29,IF('Start Here'!$B$5="Growth",'Monthly Growth'!J29,'Monthly Base'!J29))</f>
        <v>11</v>
      </c>
      <c r="K29" s="10" t="n">
        <f aca="false">IF('Start Here'!$B$5="Lean",'Monthly Lean'!K29,IF('Start Here'!$B$5="Growth",'Monthly Growth'!K29,'Monthly Base'!K29))</f>
        <v>123240</v>
      </c>
      <c r="L29" s="10" t="n">
        <f aca="false">IF('Start Here'!$B$5="Lean",'Monthly Lean'!L29,IF('Start Here'!$B$5="Growth",'Monthly Growth'!L29,'Monthly Base'!L29))</f>
        <v>0</v>
      </c>
      <c r="M29" s="10" t="n">
        <f aca="false">IF('Start Here'!$B$5="Lean",'Monthly Lean'!M29,IF('Start Here'!$B$5="Growth",'Monthly Growth'!M29,'Monthly Base'!M29))</f>
        <v>0</v>
      </c>
      <c r="N29" s="10" t="n">
        <f aca="false">IF('Start Here'!$B$5="Lean",'Monthly Lean'!N29,IF('Start Here'!$B$5="Growth",'Monthly Growth'!N29,'Monthly Base'!N29))</f>
        <v>1378.48583510793</v>
      </c>
      <c r="O29" s="10" t="n">
        <f aca="false">IF('Start Here'!$B$5="Lean",'Monthly Lean'!O29,IF('Start Here'!$B$5="Growth",'Monthly Growth'!O29,'Monthly Base'!O29))</f>
        <v>454.23</v>
      </c>
      <c r="P29" s="10" t="n">
        <f aca="false">IF('Start Here'!$B$5="Lean",'Monthly Lean'!P29,IF('Start Here'!$B$5="Growth",'Monthly Growth'!P29,'Monthly Base'!P29))</f>
        <v>0</v>
      </c>
      <c r="Q29" s="10" t="n">
        <f aca="false">IF('Start Here'!$B$5="Lean",'Monthly Lean'!Q29,IF('Start Here'!$B$5="Growth",'Monthly Growth'!Q29,'Monthly Base'!Q29))</f>
        <v>0</v>
      </c>
      <c r="R29" s="10" t="n">
        <f aca="false">IF('Start Here'!$B$5="Lean",'Monthly Lean'!R29,IF('Start Here'!$B$5="Growth",'Monthly Growth'!R29,'Monthly Base'!R29))</f>
        <v>0</v>
      </c>
      <c r="S29" s="10" t="n">
        <f aca="false">IF('Start Here'!$B$5="Lean",'Monthly Lean'!S29,IF('Start Here'!$B$5="Growth",'Monthly Growth'!S29,'Monthly Base'!S29))</f>
        <v>0</v>
      </c>
      <c r="T29" s="10" t="n">
        <f aca="false">IF('Start Here'!$B$5="Lean",'Monthly Lean'!T29,IF('Start Here'!$B$5="Growth",'Monthly Growth'!T29,'Monthly Base'!T29))</f>
        <v>618</v>
      </c>
      <c r="U29" s="10" t="n">
        <f aca="false">IF('Start Here'!$B$5="Lean",'Monthly Lean'!U29,IF('Start Here'!$B$5="Growth",'Monthly Growth'!U29,'Monthly Base'!U29))</f>
        <v>103</v>
      </c>
      <c r="V29" s="10" t="n">
        <f aca="false">IF('Start Here'!$B$5="Lean",'Monthly Lean'!V29,IF('Start Here'!$B$5="Growth",'Monthly Growth'!V29,'Monthly Base'!V29))</f>
        <v>877.676865992901</v>
      </c>
      <c r="W29" s="10" t="n">
        <f aca="false">IF('Start Here'!$B$5="Lean",'Monthly Lean'!W29,IF('Start Here'!$B$5="Growth",'Monthly Growth'!W29,'Monthly Base'!W29))</f>
        <v>309</v>
      </c>
      <c r="X29" s="10" t="n">
        <f aca="false">IF('Start Here'!$B$5="Lean",'Monthly Lean'!X29,IF('Start Here'!$B$5="Growth",'Monthly Growth'!X29,'Monthly Base'!X29))</f>
        <v>0</v>
      </c>
      <c r="Y29" s="10" t="n">
        <f aca="false">IF('Start Here'!$B$5="Lean",'Monthly Lean'!Y29,IF('Start Here'!$B$5="Growth",'Monthly Growth'!Y29,'Monthly Base'!Y29))</f>
        <v>0</v>
      </c>
      <c r="Z29" s="10" t="n">
        <f aca="false">IF('Start Here'!$B$5="Lean",'Monthly Lean'!Z29,IF('Start Here'!$B$5="Growth",'Monthly Growth'!Z29,'Monthly Base'!Z29))</f>
        <v>3740.39270110083</v>
      </c>
      <c r="AA29" s="10" t="n">
        <f aca="false">IF('Start Here'!$B$5="Lean",'Monthly Lean'!AA29,IF('Start Here'!$B$5="Growth",'Monthly Growth'!AA29,'Monthly Base'!AA29))</f>
        <v>19047.0589051651</v>
      </c>
      <c r="AB29" s="10" t="n">
        <f aca="false">IF('Start Here'!$B$5="Lean",'Monthly Lean'!AB29,IF('Start Here'!$B$5="Growth",'Monthly Growth'!AB29,'Monthly Base'!AB29))</f>
        <v>306.760846366451</v>
      </c>
      <c r="AC29" s="10" t="n">
        <f aca="false">IF('Start Here'!$B$5="Lean",'Monthly Lean'!AC29,IF('Start Here'!$B$5="Growth",'Monthly Growth'!AC29,'Monthly Base'!AC29))</f>
        <v>146334.212452632</v>
      </c>
      <c r="AD29" s="10" t="n">
        <f aca="false">IF('Start Here'!$B$5="Lean",'Monthly Lean'!AD29,IF('Start Here'!$B$5="Growth",'Monthly Growth'!AD29,'Monthly Base'!AD29))</f>
        <v>10225.3615455484</v>
      </c>
      <c r="AE29" s="10" t="n">
        <f aca="false">IF('Start Here'!$B$5="Lean",'Monthly Lean'!AE29,IF('Start Here'!$B$5="Growth",'Monthly Growth'!AE29,'Monthly Base'!AE29))</f>
        <v>122704.33854658</v>
      </c>
      <c r="AF29" s="10" t="n">
        <f aca="false">IF('Start Here'!$B$5="Lean",'Monthly Lean'!AF29,IF('Start Here'!$B$5="Growth",'Monthly Growth'!AF29,'Monthly Base'!AF29))</f>
        <v>136108.850907084</v>
      </c>
      <c r="AG29" s="10" t="n">
        <f aca="false">IF('Start Here'!$B$5="Lean",'Monthly Lean'!AG29,IF('Start Here'!$B$5="Growth",'Monthly Growth'!AG29,'Monthly Base'!AG29))</f>
        <v>0</v>
      </c>
      <c r="AH29" s="10" t="n">
        <f aca="false">IF('Start Here'!$B$5="Lean",'Monthly Lean'!AH29,IF('Start Here'!$B$5="Growth",'Monthly Growth'!AH29,'Monthly Base'!AH29))</f>
        <v>1486965.5642084</v>
      </c>
      <c r="AI29" s="10" t="n">
        <f aca="false">IF('Start Here'!$B$5="Lean",'Monthly Lean'!AI29,IF('Start Here'!$B$5="Growth",'Monthly Growth'!AI29,'Monthly Base'!AI29))</f>
        <v>1350856.71330132</v>
      </c>
      <c r="AJ29" s="10" t="n">
        <f aca="false">IF('Start Here'!$B$5="Lean",'Monthly Lean'!AJ29,IF('Start Here'!$B$5="Growth",'Monthly Growth'!AJ29,'Monthly Base'!AJ29))</f>
        <v>2716832.49368939</v>
      </c>
      <c r="AK29" s="10" t="n">
        <f aca="false">IF('Start Here'!$B$5="Lean",'Monthly Lean'!AK29,IF('Start Here'!$B$5="Growth",'Monthly Growth'!AK29,'Monthly Base'!AK29))</f>
        <v>0</v>
      </c>
      <c r="AL29" s="10" t="n">
        <f aca="false">IF('Start Here'!$B$5="Lean",'Monthly Lean'!AL29,IF('Start Here'!$B$5="Growth",'Monthly Growth'!AL29,'Monthly Base'!AL29))</f>
        <v>1283167.50631061</v>
      </c>
      <c r="AM29" s="10" t="n">
        <f aca="false">IF('Start Here'!$B$5="Lean",'Monthly Lean'!AM29,IF('Start Here'!$B$5="Growth",'Monthly Growth'!AM29,'Monthly Base'!AM29))</f>
        <v>1905.5</v>
      </c>
      <c r="AN29" s="10" t="n">
        <f aca="false">IF('Start Here'!$B$5="Lean",'Monthly Lean'!AN29,IF('Start Here'!$B$5="Growth",'Monthly Growth'!AN29,'Monthly Base'!AN29))</f>
        <v>0</v>
      </c>
      <c r="AO29" s="10" t="n">
        <f aca="false">IF('Start Here'!$B$5="Lean",'Monthly Lean'!AO29,IF('Start Here'!$B$5="Growth",'Monthly Growth'!AO29,'Monthly Base'!AO29))</f>
        <v>15600</v>
      </c>
      <c r="AP29" s="10" t="n">
        <f aca="false">IF('Start Here'!$B$5="Lean",'Monthly Lean'!AP29,IF('Start Here'!$B$5="Growth",'Monthly Growth'!AP29,'Monthly Base'!AP29))</f>
        <v>2649143.28669868</v>
      </c>
      <c r="AQ29" s="10" t="n">
        <f aca="false">IF('Start Here'!$B$5="Lean",'Monthly Lean'!AQ29,IF('Start Here'!$B$5="Growth",'Monthly Growth'!AQ29,'Monthly Base'!AQ29))</f>
        <v>146334.212452632</v>
      </c>
      <c r="AR29" s="10" t="n">
        <f aca="false">IF('Start Here'!$B$5="Lean",'Monthly Lean'!AR29,IF('Start Here'!$B$5="Growth",'Monthly Growth'!AR29,'Monthly Base'!AR29))</f>
        <v>0</v>
      </c>
    </row>
    <row r="30" customFormat="false" ht="15" hidden="false" customHeight="false" outlineLevel="0" collapsed="false">
      <c r="A30" s="11" t="n">
        <f aca="false">IF('Start Here'!$B$5="Lean",'Monthly Lean'!A30,IF('Start Here'!$B$5="Growth",'Monthly Growth'!A30,'Monthly Base'!A30))</f>
        <v>25</v>
      </c>
      <c r="B30" s="25" t="n">
        <f aca="false">IF('Start Here'!$B$5="Lean",'Monthly Lean'!B30,IF('Start Here'!$B$5="Growth",'Monthly Growth'!B30,'Monthly Base'!B30))</f>
        <v>47058</v>
      </c>
      <c r="C30" s="11" t="n">
        <f aca="false">IF('Start Here'!$B$5="Lean",'Monthly Lean'!C30,IF('Start Here'!$B$5="Growth",'Monthly Growth'!C30,'Monthly Base'!C30))</f>
        <v>1.5</v>
      </c>
      <c r="D30" s="11" t="n">
        <f aca="false">IF('Start Here'!$B$5="Lean",'Monthly Lean'!D30,IF('Start Here'!$B$5="Growth",'Monthly Growth'!D30,'Monthly Base'!D30))</f>
        <v>12.7478977001032</v>
      </c>
      <c r="E30" s="11" t="n">
        <f aca="false">IF('Start Here'!$B$5="Lean",'Monthly Lean'!E30,IF('Start Here'!$B$5="Growth",'Monthly Growth'!E30,'Monthly Base'!E30))</f>
        <v>191.218465501548</v>
      </c>
      <c r="F30" s="11" t="n">
        <f aca="false">IF('Start Here'!$B$5="Lean",'Monthly Lean'!F30,IF('Start Here'!$B$5="Growth",'Monthly Growth'!F30,'Monthly Base'!F30))</f>
        <v>0.860483094756966</v>
      </c>
      <c r="G30" s="11" t="n">
        <f aca="false">IF('Start Here'!$B$5="Lean",'Monthly Lean'!G30,IF('Start Here'!$B$5="Growth",'Monthly Growth'!G30,'Monthly Base'!G30))</f>
        <v>63.739488500516</v>
      </c>
      <c r="H30" s="11" t="n">
        <f aca="false">IF('Start Here'!$B$5="Lean",'Monthly Lean'!H30,IF('Start Here'!$B$5="Growth",'Monthly Growth'!H30,'Monthly Base'!H30))</f>
        <v>12.7478977001032</v>
      </c>
      <c r="I30" s="11" t="n">
        <f aca="false">IF('Start Here'!$B$5="Lean",'Monthly Lean'!I30,IF('Start Here'!$B$5="Growth",'Monthly Growth'!I30,'Monthly Base'!I30))</f>
        <v>8.75</v>
      </c>
      <c r="J30" s="11" t="n">
        <f aca="false">IF('Start Here'!$B$5="Lean",'Monthly Lean'!J30,IF('Start Here'!$B$5="Growth",'Monthly Growth'!J30,'Monthly Base'!J30))</f>
        <v>11</v>
      </c>
      <c r="K30" s="10" t="n">
        <f aca="false">IF('Start Here'!$B$5="Lean",'Monthly Lean'!K30,IF('Start Here'!$B$5="Growth",'Monthly Growth'!K30,'Monthly Base'!K30))</f>
        <v>128169.6</v>
      </c>
      <c r="L30" s="10" t="n">
        <f aca="false">IF('Start Here'!$B$5="Lean",'Monthly Lean'!L30,IF('Start Here'!$B$5="Growth",'Monthly Growth'!L30,'Monthly Base'!L30))</f>
        <v>0</v>
      </c>
      <c r="M30" s="10" t="n">
        <f aca="false">IF('Start Here'!$B$5="Lean",'Monthly Lean'!M30,IF('Start Here'!$B$5="Growth",'Monthly Growth'!M30,'Monthly Base'!M30))</f>
        <v>0</v>
      </c>
      <c r="N30" s="10" t="n">
        <f aca="false">IF('Start Here'!$B$5="Lean",'Monthly Lean'!N30,IF('Start Here'!$B$5="Growth",'Monthly Growth'!N30,'Monthly Base'!N30))</f>
        <v>1431.27600230956</v>
      </c>
      <c r="O30" s="10" t="n">
        <f aca="false">IF('Start Here'!$B$5="Lean",'Monthly Lean'!O30,IF('Start Here'!$B$5="Growth",'Monthly Growth'!O30,'Monthly Base'!O30))</f>
        <v>467.8569</v>
      </c>
      <c r="P30" s="10" t="n">
        <f aca="false">IF('Start Here'!$B$5="Lean",'Monthly Lean'!P30,IF('Start Here'!$B$5="Growth",'Monthly Growth'!P30,'Monthly Base'!P30))</f>
        <v>0</v>
      </c>
      <c r="Q30" s="10" t="n">
        <f aca="false">IF('Start Here'!$B$5="Lean",'Monthly Lean'!Q30,IF('Start Here'!$B$5="Growth",'Monthly Growth'!Q30,'Monthly Base'!Q30))</f>
        <v>0</v>
      </c>
      <c r="R30" s="10" t="n">
        <f aca="false">IF('Start Here'!$B$5="Lean",'Monthly Lean'!R30,IF('Start Here'!$B$5="Growth",'Monthly Growth'!R30,'Monthly Base'!R30))</f>
        <v>0</v>
      </c>
      <c r="S30" s="10" t="n">
        <f aca="false">IF('Start Here'!$B$5="Lean",'Monthly Lean'!S30,IF('Start Here'!$B$5="Growth",'Monthly Growth'!S30,'Monthly Base'!S30))</f>
        <v>0</v>
      </c>
      <c r="T30" s="10" t="n">
        <f aca="false">IF('Start Here'!$B$5="Lean",'Monthly Lean'!T30,IF('Start Here'!$B$5="Growth",'Monthly Growth'!T30,'Monthly Base'!T30))</f>
        <v>636.54</v>
      </c>
      <c r="U30" s="10" t="n">
        <f aca="false">IF('Start Here'!$B$5="Lean",'Monthly Lean'!U30,IF('Start Here'!$B$5="Growth",'Monthly Growth'!U30,'Monthly Base'!U30))</f>
        <v>106.09</v>
      </c>
      <c r="V30" s="10" t="n">
        <f aca="false">IF('Start Here'!$B$5="Lean",'Monthly Lean'!V30,IF('Start Here'!$B$5="Growth",'Monthly Growth'!V30,'Monthly Base'!V30))</f>
        <v>1014.31835025296</v>
      </c>
      <c r="W30" s="10" t="n">
        <f aca="false">IF('Start Here'!$B$5="Lean",'Monthly Lean'!W30,IF('Start Here'!$B$5="Growth",'Monthly Growth'!W30,'Monthly Base'!W30))</f>
        <v>477.405</v>
      </c>
      <c r="X30" s="10" t="n">
        <f aca="false">IF('Start Here'!$B$5="Lean",'Monthly Lean'!X30,IF('Start Here'!$B$5="Growth",'Monthly Growth'!X30,'Monthly Base'!X30))</f>
        <v>0</v>
      </c>
      <c r="Y30" s="10" t="n">
        <f aca="false">IF('Start Here'!$B$5="Lean",'Monthly Lean'!Y30,IF('Start Here'!$B$5="Growth",'Monthly Growth'!Y30,'Monthly Base'!Y30))</f>
        <v>0</v>
      </c>
      <c r="Z30" s="10" t="n">
        <f aca="false">IF('Start Here'!$B$5="Lean",'Monthly Lean'!Z30,IF('Start Here'!$B$5="Growth",'Monthly Growth'!Z30,'Monthly Base'!Z30))</f>
        <v>4133.48625256252</v>
      </c>
      <c r="AA30" s="10" t="n">
        <f aca="false">IF('Start Here'!$B$5="Lean",'Monthly Lean'!AA30,IF('Start Here'!$B$5="Growth",'Monthly Growth'!AA30,'Monthly Base'!AA30))</f>
        <v>19845.4629378844</v>
      </c>
      <c r="AB30" s="10" t="n">
        <f aca="false">IF('Start Here'!$B$5="Lean",'Monthly Lean'!AB30,IF('Start Here'!$B$5="Growth",'Monthly Growth'!AB30,'Monthly Base'!AB30))</f>
        <v>344.193237902786</v>
      </c>
      <c r="AC30" s="10" t="n">
        <f aca="false">IF('Start Here'!$B$5="Lean",'Monthly Lean'!AC30,IF('Start Here'!$B$5="Growth",'Monthly Growth'!AC30,'Monthly Base'!AC30))</f>
        <v>152492.74242835</v>
      </c>
      <c r="AD30" s="10" t="n">
        <f aca="false">IF('Start Here'!$B$5="Lean",'Monthly Lean'!AD30,IF('Start Here'!$B$5="Growth",'Monthly Growth'!AD30,'Monthly Base'!AD30))</f>
        <v>11473.1079300929</v>
      </c>
      <c r="AE30" s="10" t="n">
        <f aca="false">IF('Start Here'!$B$5="Lean",'Monthly Lean'!AE30,IF('Start Here'!$B$5="Growth",'Monthly Growth'!AE30,'Monthly Base'!AE30))</f>
        <v>137677.295161115</v>
      </c>
      <c r="AF30" s="10" t="n">
        <f aca="false">IF('Start Here'!$B$5="Lean",'Monthly Lean'!AF30,IF('Start Here'!$B$5="Growth",'Monthly Growth'!AF30,'Monthly Base'!AF30))</f>
        <v>141019.634498257</v>
      </c>
      <c r="AG30" s="10" t="n">
        <f aca="false">IF('Start Here'!$B$5="Lean",'Monthly Lean'!AG30,IF('Start Here'!$B$5="Growth",'Monthly Growth'!AG30,'Monthly Base'!AG30))</f>
        <v>0</v>
      </c>
      <c r="AH30" s="10" t="n">
        <f aca="false">IF('Start Here'!$B$5="Lean",'Monthly Lean'!AH30,IF('Start Here'!$B$5="Growth",'Monthly Growth'!AH30,'Monthly Base'!AH30))</f>
        <v>1350856.71330132</v>
      </c>
      <c r="AI30" s="10" t="n">
        <f aca="false">IF('Start Here'!$B$5="Lean",'Monthly Lean'!AI30,IF('Start Here'!$B$5="Growth",'Monthly Growth'!AI30,'Monthly Base'!AI30))</f>
        <v>1209837.07880306</v>
      </c>
      <c r="AJ30" s="10" t="n">
        <f aca="false">IF('Start Here'!$B$5="Lean",'Monthly Lean'!AJ30,IF('Start Here'!$B$5="Growth",'Monthly Growth'!AJ30,'Monthly Base'!AJ30))</f>
        <v>2869325.23611774</v>
      </c>
      <c r="AK30" s="10" t="n">
        <f aca="false">IF('Start Here'!$B$5="Lean",'Monthly Lean'!AK30,IF('Start Here'!$B$5="Growth",'Monthly Growth'!AK30,'Monthly Base'!AK30))</f>
        <v>0</v>
      </c>
      <c r="AL30" s="10" t="n">
        <f aca="false">IF('Start Here'!$B$5="Lean",'Monthly Lean'!AL30,IF('Start Here'!$B$5="Growth",'Monthly Growth'!AL30,'Monthly Base'!AL30))</f>
        <v>1130674.76388226</v>
      </c>
      <c r="AM30" s="10" t="n">
        <f aca="false">IF('Start Here'!$B$5="Lean",'Monthly Lean'!AM30,IF('Start Here'!$B$5="Growth",'Monthly Growth'!AM30,'Monthly Base'!AM30))</f>
        <v>1962.665</v>
      </c>
      <c r="AN30" s="10" t="n">
        <f aca="false">IF('Start Here'!$B$5="Lean",'Monthly Lean'!AN30,IF('Start Here'!$B$5="Growth",'Monthly Growth'!AN30,'Monthly Base'!AN30))</f>
        <v>0</v>
      </c>
      <c r="AO30" s="10" t="n">
        <f aca="false">IF('Start Here'!$B$5="Lean",'Monthly Lean'!AO30,IF('Start Here'!$B$5="Growth",'Monthly Growth'!AO30,'Monthly Base'!AO30))</f>
        <v>16224</v>
      </c>
      <c r="AP30" s="10" t="n">
        <f aca="false">IF('Start Here'!$B$5="Lean",'Monthly Lean'!AP30,IF('Start Here'!$B$5="Growth",'Monthly Growth'!AP30,'Monthly Base'!AP30))</f>
        <v>2790162.92119694</v>
      </c>
      <c r="AQ30" s="10" t="n">
        <f aca="false">IF('Start Here'!$B$5="Lean",'Monthly Lean'!AQ30,IF('Start Here'!$B$5="Growth",'Monthly Growth'!AQ30,'Monthly Base'!AQ30))</f>
        <v>152492.74242835</v>
      </c>
      <c r="AR30" s="10" t="n">
        <f aca="false">IF('Start Here'!$B$5="Lean",'Monthly Lean'!AR30,IF('Start Here'!$B$5="Growth",'Monthly Growth'!AR30,'Monthly Base'!AR30))</f>
        <v>0</v>
      </c>
    </row>
    <row r="31" customFormat="false" ht="15" hidden="false" customHeight="false" outlineLevel="0" collapsed="false">
      <c r="A31" s="11" t="n">
        <f aca="false">IF('Start Here'!$B$5="Lean",'Monthly Lean'!A31,IF('Start Here'!$B$5="Growth",'Monthly Growth'!A31,'Monthly Base'!A31))</f>
        <v>26</v>
      </c>
      <c r="B31" s="25" t="n">
        <f aca="false">IF('Start Here'!$B$5="Lean",'Monthly Lean'!B31,IF('Start Here'!$B$5="Growth",'Monthly Growth'!B31,'Monthly Base'!B31))</f>
        <v>47088</v>
      </c>
      <c r="C31" s="11" t="n">
        <f aca="false">IF('Start Here'!$B$5="Lean",'Monthly Lean'!C31,IF('Start Here'!$B$5="Growth",'Monthly Growth'!C31,'Monthly Base'!C31))</f>
        <v>1.5</v>
      </c>
      <c r="D31" s="11" t="n">
        <f aca="false">IF('Start Here'!$B$5="Lean",'Monthly Lean'!D31,IF('Start Here'!$B$5="Growth",'Monthly Growth'!D31,'Monthly Base'!D31))</f>
        <v>14.1204187231022</v>
      </c>
      <c r="E31" s="11" t="n">
        <f aca="false">IF('Start Here'!$B$5="Lean",'Monthly Lean'!E31,IF('Start Here'!$B$5="Growth",'Monthly Growth'!E31,'Monthly Base'!E31))</f>
        <v>211.806280846533</v>
      </c>
      <c r="F31" s="11" t="n">
        <f aca="false">IF('Start Here'!$B$5="Lean",'Monthly Lean'!F31,IF('Start Here'!$B$5="Growth",'Monthly Growth'!F31,'Monthly Base'!F31))</f>
        <v>0.953128263809396</v>
      </c>
      <c r="G31" s="11" t="n">
        <f aca="false">IF('Start Here'!$B$5="Lean",'Monthly Lean'!G31,IF('Start Here'!$B$5="Growth",'Monthly Growth'!G31,'Monthly Base'!G31))</f>
        <v>70.6020936155109</v>
      </c>
      <c r="H31" s="11" t="n">
        <f aca="false">IF('Start Here'!$B$5="Lean",'Monthly Lean'!H31,IF('Start Here'!$B$5="Growth",'Monthly Growth'!H31,'Monthly Base'!H31))</f>
        <v>14.1204187231022</v>
      </c>
      <c r="I31" s="11" t="n">
        <f aca="false">IF('Start Here'!$B$5="Lean",'Monthly Lean'!I31,IF('Start Here'!$B$5="Growth",'Monthly Growth'!I31,'Monthly Base'!I31))</f>
        <v>8.75</v>
      </c>
      <c r="J31" s="11" t="n">
        <f aca="false">IF('Start Here'!$B$5="Lean",'Monthly Lean'!J31,IF('Start Here'!$B$5="Growth",'Monthly Growth'!J31,'Monthly Base'!J31))</f>
        <v>11</v>
      </c>
      <c r="K31" s="10" t="n">
        <f aca="false">IF('Start Here'!$B$5="Lean",'Monthly Lean'!K31,IF('Start Here'!$B$5="Growth",'Monthly Growth'!K31,'Monthly Base'!K31))</f>
        <v>128169.6</v>
      </c>
      <c r="L31" s="10" t="n">
        <f aca="false">IF('Start Here'!$B$5="Lean",'Monthly Lean'!L31,IF('Start Here'!$B$5="Growth",'Monthly Growth'!L31,'Monthly Base'!L31))</f>
        <v>0</v>
      </c>
      <c r="M31" s="10" t="n">
        <f aca="false">IF('Start Here'!$B$5="Lean",'Monthly Lean'!M31,IF('Start Here'!$B$5="Growth",'Monthly Growth'!M31,'Monthly Base'!M31))</f>
        <v>0</v>
      </c>
      <c r="N31" s="10" t="n">
        <f aca="false">IF('Start Here'!$B$5="Lean",'Monthly Lean'!N31,IF('Start Here'!$B$5="Growth",'Monthly Growth'!N31,'Monthly Base'!N31))</f>
        <v>1442.59723853646</v>
      </c>
      <c r="O31" s="10" t="n">
        <f aca="false">IF('Start Here'!$B$5="Lean",'Monthly Lean'!O31,IF('Start Here'!$B$5="Growth",'Monthly Growth'!O31,'Monthly Base'!O31))</f>
        <v>467.8569</v>
      </c>
      <c r="P31" s="10" t="n">
        <f aca="false">IF('Start Here'!$B$5="Lean",'Monthly Lean'!P31,IF('Start Here'!$B$5="Growth",'Monthly Growth'!P31,'Monthly Base'!P31))</f>
        <v>12730.8</v>
      </c>
      <c r="Q31" s="10" t="n">
        <f aca="false">IF('Start Here'!$B$5="Lean",'Monthly Lean'!Q31,IF('Start Here'!$B$5="Growth",'Monthly Growth'!Q31,'Monthly Base'!Q31))</f>
        <v>0</v>
      </c>
      <c r="R31" s="10" t="n">
        <f aca="false">IF('Start Here'!$B$5="Lean",'Monthly Lean'!R31,IF('Start Here'!$B$5="Growth",'Monthly Growth'!R31,'Monthly Base'!R31))</f>
        <v>0</v>
      </c>
      <c r="S31" s="10" t="n">
        <f aca="false">IF('Start Here'!$B$5="Lean",'Monthly Lean'!S31,IF('Start Here'!$B$5="Growth",'Monthly Growth'!S31,'Monthly Base'!S31))</f>
        <v>0</v>
      </c>
      <c r="T31" s="10" t="n">
        <f aca="false">IF('Start Here'!$B$5="Lean",'Monthly Lean'!T31,IF('Start Here'!$B$5="Growth",'Monthly Growth'!T31,'Monthly Base'!T31))</f>
        <v>636.54</v>
      </c>
      <c r="U31" s="10" t="n">
        <f aca="false">IF('Start Here'!$B$5="Lean",'Monthly Lean'!U31,IF('Start Here'!$B$5="Growth",'Monthly Growth'!U31,'Monthly Base'!U31))</f>
        <v>106.09</v>
      </c>
      <c r="V31" s="10" t="n">
        <f aca="false">IF('Start Here'!$B$5="Lean",'Monthly Lean'!V31,IF('Start Here'!$B$5="Growth",'Monthly Growth'!V31,'Monthly Base'!V31))</f>
        <v>1123.52641675043</v>
      </c>
      <c r="W31" s="10" t="n">
        <f aca="false">IF('Start Here'!$B$5="Lean",'Monthly Lean'!W31,IF('Start Here'!$B$5="Growth",'Monthly Growth'!W31,'Monthly Base'!W31))</f>
        <v>477.405</v>
      </c>
      <c r="X31" s="10" t="n">
        <f aca="false">IF('Start Here'!$B$5="Lean",'Monthly Lean'!X31,IF('Start Here'!$B$5="Growth",'Monthly Growth'!X31,'Monthly Base'!X31))</f>
        <v>0</v>
      </c>
      <c r="Y31" s="10" t="n">
        <f aca="false">IF('Start Here'!$B$5="Lean",'Monthly Lean'!Y31,IF('Start Here'!$B$5="Growth",'Monthly Growth'!Y31,'Monthly Base'!Y31))</f>
        <v>0</v>
      </c>
      <c r="Z31" s="10" t="n">
        <f aca="false">IF('Start Here'!$B$5="Lean",'Monthly Lean'!Z31,IF('Start Here'!$B$5="Growth",'Monthly Growth'!Z31,'Monthly Base'!Z31))</f>
        <v>16984.8155552869</v>
      </c>
      <c r="AA31" s="10" t="n">
        <f aca="false">IF('Start Here'!$B$5="Lean",'Monthly Lean'!AA31,IF('Start Here'!$B$5="Growth",'Monthly Growth'!AA31,'Monthly Base'!AA31))</f>
        <v>21773.162333293</v>
      </c>
      <c r="AB31" s="10" t="n">
        <f aca="false">IF('Start Here'!$B$5="Lean",'Monthly Lean'!AB31,IF('Start Here'!$B$5="Growth",'Monthly Growth'!AB31,'Monthly Base'!AB31))</f>
        <v>381.251305523759</v>
      </c>
      <c r="AC31" s="10" t="n">
        <f aca="false">IF('Start Here'!$B$5="Lean",'Monthly Lean'!AC31,IF('Start Here'!$B$5="Growth",'Monthly Growth'!AC31,'Monthly Base'!AC31))</f>
        <v>167308.829194104</v>
      </c>
      <c r="AD31" s="10" t="n">
        <f aca="false">IF('Start Here'!$B$5="Lean",'Monthly Lean'!AD31,IF('Start Here'!$B$5="Growth",'Monthly Growth'!AD31,'Monthly Base'!AD31))</f>
        <v>12708.376850792</v>
      </c>
      <c r="AE31" s="10" t="n">
        <f aca="false">IF('Start Here'!$B$5="Lean",'Monthly Lean'!AE31,IF('Start Here'!$B$5="Growth",'Monthly Growth'!AE31,'Monthly Base'!AE31))</f>
        <v>152500.522209503</v>
      </c>
      <c r="AF31" s="10" t="n">
        <f aca="false">IF('Start Here'!$B$5="Lean",'Monthly Lean'!AF31,IF('Start Here'!$B$5="Growth",'Monthly Growth'!AF31,'Monthly Base'!AF31))</f>
        <v>154600.452343312</v>
      </c>
      <c r="AG31" s="10" t="n">
        <f aca="false">IF('Start Here'!$B$5="Lean",'Monthly Lean'!AG31,IF('Start Here'!$B$5="Growth",'Monthly Growth'!AG31,'Monthly Base'!AG31))</f>
        <v>0</v>
      </c>
      <c r="AH31" s="10" t="n">
        <f aca="false">IF('Start Here'!$B$5="Lean",'Monthly Lean'!AH31,IF('Start Here'!$B$5="Growth",'Monthly Growth'!AH31,'Monthly Base'!AH31))</f>
        <v>1209837.07880306</v>
      </c>
      <c r="AI31" s="10" t="n">
        <f aca="false">IF('Start Here'!$B$5="Lean",'Monthly Lean'!AI31,IF('Start Here'!$B$5="Growth",'Monthly Growth'!AI31,'Monthly Base'!AI31))</f>
        <v>1055236.62645975</v>
      </c>
      <c r="AJ31" s="10" t="n">
        <f aca="false">IF('Start Here'!$B$5="Lean",'Monthly Lean'!AJ31,IF('Start Here'!$B$5="Growth",'Monthly Growth'!AJ31,'Monthly Base'!AJ31))</f>
        <v>3036634.06531185</v>
      </c>
      <c r="AK31" s="10" t="n">
        <f aca="false">IF('Start Here'!$B$5="Lean",'Monthly Lean'!AK31,IF('Start Here'!$B$5="Growth",'Monthly Growth'!AK31,'Monthly Base'!AK31))</f>
        <v>0</v>
      </c>
      <c r="AL31" s="10" t="n">
        <f aca="false">IF('Start Here'!$B$5="Lean",'Monthly Lean'!AL31,IF('Start Here'!$B$5="Growth",'Monthly Growth'!AL31,'Monthly Base'!AL31))</f>
        <v>963365.934688155</v>
      </c>
      <c r="AM31" s="10" t="n">
        <f aca="false">IF('Start Here'!$B$5="Lean",'Monthly Lean'!AM31,IF('Start Here'!$B$5="Growth",'Monthly Growth'!AM31,'Monthly Base'!AM31))</f>
        <v>14693.465</v>
      </c>
      <c r="AN31" s="10" t="n">
        <f aca="false">IF('Start Here'!$B$5="Lean",'Monthly Lean'!AN31,IF('Start Here'!$B$5="Growth",'Monthly Growth'!AN31,'Monthly Base'!AN31))</f>
        <v>0</v>
      </c>
      <c r="AO31" s="10" t="n">
        <f aca="false">IF('Start Here'!$B$5="Lean",'Monthly Lean'!AO31,IF('Start Here'!$B$5="Growth",'Monthly Growth'!AO31,'Monthly Base'!AO31))</f>
        <v>16224</v>
      </c>
      <c r="AP31" s="10" t="n">
        <f aca="false">IF('Start Here'!$B$5="Lean",'Monthly Lean'!AP31,IF('Start Here'!$B$5="Growth",'Monthly Growth'!AP31,'Monthly Base'!AP31))</f>
        <v>2944763.37354025</v>
      </c>
      <c r="AQ31" s="10" t="n">
        <f aca="false">IF('Start Here'!$B$5="Lean",'Monthly Lean'!AQ31,IF('Start Here'!$B$5="Growth",'Monthly Growth'!AQ31,'Monthly Base'!AQ31))</f>
        <v>167308.829194104</v>
      </c>
      <c r="AR31" s="10" t="n">
        <f aca="false">IF('Start Here'!$B$5="Lean",'Monthly Lean'!AR31,IF('Start Here'!$B$5="Growth",'Monthly Growth'!AR31,'Monthly Base'!AR31))</f>
        <v>0</v>
      </c>
    </row>
    <row r="32" customFormat="false" ht="15" hidden="false" customHeight="false" outlineLevel="0" collapsed="false">
      <c r="A32" s="11" t="n">
        <f aca="false">IF('Start Here'!$B$5="Lean",'Monthly Lean'!A32,IF('Start Here'!$B$5="Growth",'Monthly Growth'!A32,'Monthly Base'!A32))</f>
        <v>27</v>
      </c>
      <c r="B32" s="25" t="n">
        <f aca="false">IF('Start Here'!$B$5="Lean",'Monthly Lean'!B32,IF('Start Here'!$B$5="Growth",'Monthly Growth'!B32,'Monthly Base'!B32))</f>
        <v>47119</v>
      </c>
      <c r="C32" s="11" t="n">
        <f aca="false">IF('Start Here'!$B$5="Lean",'Monthly Lean'!C32,IF('Start Here'!$B$5="Growth",'Monthly Growth'!C32,'Monthly Base'!C32))</f>
        <v>1.5</v>
      </c>
      <c r="D32" s="11" t="n">
        <f aca="false">IF('Start Here'!$B$5="Lean",'Monthly Lean'!D32,IF('Start Here'!$B$5="Growth",'Monthly Growth'!D32,'Monthly Base'!D32))</f>
        <v>15.4792145358711</v>
      </c>
      <c r="E32" s="11" t="n">
        <f aca="false">IF('Start Here'!$B$5="Lean",'Monthly Lean'!E32,IF('Start Here'!$B$5="Growth",'Monthly Growth'!E32,'Monthly Base'!E32))</f>
        <v>232.188218038067</v>
      </c>
      <c r="F32" s="11" t="n">
        <f aca="false">IF('Start Here'!$B$5="Lean",'Monthly Lean'!F32,IF('Start Here'!$B$5="Growth",'Monthly Growth'!F32,'Monthly Base'!F32))</f>
        <v>1.0448469811713</v>
      </c>
      <c r="G32" s="11" t="n">
        <f aca="false">IF('Start Here'!$B$5="Lean",'Monthly Lean'!G32,IF('Start Here'!$B$5="Growth",'Monthly Growth'!G32,'Monthly Base'!G32))</f>
        <v>77.3960726793557</v>
      </c>
      <c r="H32" s="11" t="n">
        <f aca="false">IF('Start Here'!$B$5="Lean",'Monthly Lean'!H32,IF('Start Here'!$B$5="Growth",'Monthly Growth'!H32,'Monthly Base'!H32))</f>
        <v>15.4792145358711</v>
      </c>
      <c r="I32" s="11" t="n">
        <f aca="false">IF('Start Here'!$B$5="Lean",'Monthly Lean'!I32,IF('Start Here'!$B$5="Growth",'Monthly Growth'!I32,'Monthly Base'!I32))</f>
        <v>8.75</v>
      </c>
      <c r="J32" s="11" t="n">
        <f aca="false">IF('Start Here'!$B$5="Lean",'Monthly Lean'!J32,IF('Start Here'!$B$5="Growth",'Monthly Growth'!J32,'Monthly Base'!J32))</f>
        <v>11</v>
      </c>
      <c r="K32" s="10" t="n">
        <f aca="false">IF('Start Here'!$B$5="Lean",'Monthly Lean'!K32,IF('Start Here'!$B$5="Growth",'Monthly Growth'!K32,'Monthly Base'!K32))</f>
        <v>128169.6</v>
      </c>
      <c r="L32" s="10" t="n">
        <f aca="false">IF('Start Here'!$B$5="Lean",'Monthly Lean'!L32,IF('Start Here'!$B$5="Growth",'Monthly Growth'!L32,'Monthly Base'!L32))</f>
        <v>0</v>
      </c>
      <c r="M32" s="10" t="n">
        <f aca="false">IF('Start Here'!$B$5="Lean",'Monthly Lean'!M32,IF('Start Here'!$B$5="Growth",'Monthly Growth'!M32,'Monthly Base'!M32))</f>
        <v>0</v>
      </c>
      <c r="N32" s="10" t="n">
        <f aca="false">IF('Start Here'!$B$5="Lean",'Monthly Lean'!N32,IF('Start Here'!$B$5="Growth",'Monthly Growth'!N32,'Monthly Base'!N32))</f>
        <v>1453.8052624011</v>
      </c>
      <c r="O32" s="10" t="n">
        <f aca="false">IF('Start Here'!$B$5="Lean",'Monthly Lean'!O32,IF('Start Here'!$B$5="Growth",'Monthly Growth'!O32,'Monthly Base'!O32))</f>
        <v>467.8569</v>
      </c>
      <c r="P32" s="10" t="n">
        <f aca="false">IF('Start Here'!$B$5="Lean",'Monthly Lean'!P32,IF('Start Here'!$B$5="Growth",'Monthly Growth'!P32,'Monthly Base'!P32))</f>
        <v>0</v>
      </c>
      <c r="Q32" s="10" t="n">
        <f aca="false">IF('Start Here'!$B$5="Lean",'Monthly Lean'!Q32,IF('Start Here'!$B$5="Growth",'Monthly Growth'!Q32,'Monthly Base'!Q32))</f>
        <v>0</v>
      </c>
      <c r="R32" s="10" t="n">
        <f aca="false">IF('Start Here'!$B$5="Lean",'Monthly Lean'!R32,IF('Start Here'!$B$5="Growth",'Monthly Growth'!R32,'Monthly Base'!R32))</f>
        <v>0</v>
      </c>
      <c r="S32" s="10" t="n">
        <f aca="false">IF('Start Here'!$B$5="Lean",'Monthly Lean'!S32,IF('Start Here'!$B$5="Growth",'Monthly Growth'!S32,'Monthly Base'!S32))</f>
        <v>0</v>
      </c>
      <c r="T32" s="10" t="n">
        <f aca="false">IF('Start Here'!$B$5="Lean",'Monthly Lean'!T32,IF('Start Here'!$B$5="Growth",'Monthly Growth'!T32,'Monthly Base'!T32))</f>
        <v>636.54</v>
      </c>
      <c r="U32" s="10" t="n">
        <f aca="false">IF('Start Here'!$B$5="Lean",'Monthly Lean'!U32,IF('Start Here'!$B$5="Growth",'Monthly Growth'!U32,'Monthly Base'!U32))</f>
        <v>106.09</v>
      </c>
      <c r="V32" s="10" t="n">
        <f aca="false">IF('Start Here'!$B$5="Lean",'Monthly Lean'!V32,IF('Start Here'!$B$5="Growth",'Monthly Growth'!V32,'Monthly Base'!V32))</f>
        <v>1231.64240258293</v>
      </c>
      <c r="W32" s="10" t="n">
        <f aca="false">IF('Start Here'!$B$5="Lean",'Monthly Lean'!W32,IF('Start Here'!$B$5="Growth",'Monthly Growth'!W32,'Monthly Base'!W32))</f>
        <v>477.405</v>
      </c>
      <c r="X32" s="10" t="n">
        <f aca="false">IF('Start Here'!$B$5="Lean",'Monthly Lean'!X32,IF('Start Here'!$B$5="Growth",'Monthly Growth'!X32,'Monthly Base'!X32))</f>
        <v>0</v>
      </c>
      <c r="Y32" s="10" t="n">
        <f aca="false">IF('Start Here'!$B$5="Lean",'Monthly Lean'!Y32,IF('Start Here'!$B$5="Growth",'Monthly Growth'!Y32,'Monthly Base'!Y32))</f>
        <v>0</v>
      </c>
      <c r="Z32" s="10" t="n">
        <f aca="false">IF('Start Here'!$B$5="Lean",'Monthly Lean'!Z32,IF('Start Here'!$B$5="Growth",'Monthly Growth'!Z32,'Monthly Base'!Z32))</f>
        <v>4373.33956498402</v>
      </c>
      <c r="AA32" s="10" t="n">
        <f aca="false">IF('Start Here'!$B$5="Lean",'Monthly Lean'!AA32,IF('Start Here'!$B$5="Growth",'Monthly Growth'!AA32,'Monthly Base'!AA32))</f>
        <v>19881.4409347476</v>
      </c>
      <c r="AB32" s="10" t="n">
        <f aca="false">IF('Start Here'!$B$5="Lean",'Monthly Lean'!AB32,IF('Start Here'!$B$5="Growth",'Monthly Growth'!AB32,'Monthly Base'!AB32))</f>
        <v>417.938792468521</v>
      </c>
      <c r="AC32" s="10" t="n">
        <f aca="false">IF('Start Here'!$B$5="Lean",'Monthly Lean'!AC32,IF('Start Here'!$B$5="Growth",'Monthly Growth'!AC32,'Monthly Base'!AC32))</f>
        <v>152842.3192922</v>
      </c>
      <c r="AD32" s="10" t="n">
        <f aca="false">IF('Start Here'!$B$5="Lean",'Monthly Lean'!AD32,IF('Start Here'!$B$5="Growth",'Monthly Growth'!AD32,'Monthly Base'!AD32))</f>
        <v>13931.293082284</v>
      </c>
      <c r="AE32" s="10" t="n">
        <f aca="false">IF('Start Here'!$B$5="Lean",'Monthly Lean'!AE32,IF('Start Here'!$B$5="Growth",'Monthly Growth'!AE32,'Monthly Base'!AE32))</f>
        <v>167175.516987408</v>
      </c>
      <c r="AF32" s="10" t="n">
        <f aca="false">IF('Start Here'!$B$5="Lean",'Monthly Lean'!AF32,IF('Start Here'!$B$5="Growth",'Monthly Growth'!AF32,'Monthly Base'!AF32))</f>
        <v>138911.026209916</v>
      </c>
      <c r="AG32" s="10" t="n">
        <f aca="false">IF('Start Here'!$B$5="Lean",'Monthly Lean'!AG32,IF('Start Here'!$B$5="Growth",'Monthly Growth'!AG32,'Monthly Base'!AG32))</f>
        <v>0</v>
      </c>
      <c r="AH32" s="10" t="n">
        <f aca="false">IF('Start Here'!$B$5="Lean",'Monthly Lean'!AH32,IF('Start Here'!$B$5="Growth",'Monthly Growth'!AH32,'Monthly Base'!AH32))</f>
        <v>1055236.62645975</v>
      </c>
      <c r="AI32" s="10" t="n">
        <f aca="false">IF('Start Here'!$B$5="Lean",'Monthly Lean'!AI32,IF('Start Here'!$B$5="Growth",'Monthly Growth'!AI32,'Monthly Base'!AI32))</f>
        <v>916325.600249835</v>
      </c>
      <c r="AJ32" s="10" t="n">
        <f aca="false">IF('Start Here'!$B$5="Lean",'Monthly Lean'!AJ32,IF('Start Here'!$B$5="Growth",'Monthly Growth'!AJ32,'Monthly Base'!AJ32))</f>
        <v>3189476.38460405</v>
      </c>
      <c r="AK32" s="10" t="n">
        <f aca="false">IF('Start Here'!$B$5="Lean",'Monthly Lean'!AK32,IF('Start Here'!$B$5="Growth",'Monthly Growth'!AK32,'Monthly Base'!AK32))</f>
        <v>0</v>
      </c>
      <c r="AL32" s="10" t="n">
        <f aca="false">IF('Start Here'!$B$5="Lean",'Monthly Lean'!AL32,IF('Start Here'!$B$5="Growth",'Monthly Growth'!AL32,'Monthly Base'!AL32))</f>
        <v>810523.615395955</v>
      </c>
      <c r="AM32" s="10" t="n">
        <f aca="false">IF('Start Here'!$B$5="Lean",'Monthly Lean'!AM32,IF('Start Here'!$B$5="Growth",'Monthly Growth'!AM32,'Monthly Base'!AM32))</f>
        <v>1962.665</v>
      </c>
      <c r="AN32" s="10" t="n">
        <f aca="false">IF('Start Here'!$B$5="Lean",'Monthly Lean'!AN32,IF('Start Here'!$B$5="Growth",'Monthly Growth'!AN32,'Monthly Base'!AN32))</f>
        <v>0</v>
      </c>
      <c r="AO32" s="10" t="n">
        <f aca="false">IF('Start Here'!$B$5="Lean",'Monthly Lean'!AO32,IF('Start Here'!$B$5="Growth",'Monthly Growth'!AO32,'Monthly Base'!AO32))</f>
        <v>16224</v>
      </c>
      <c r="AP32" s="10" t="n">
        <f aca="false">IF('Start Here'!$B$5="Lean",'Monthly Lean'!AP32,IF('Start Here'!$B$5="Growth",'Monthly Growth'!AP32,'Monthly Base'!AP32))</f>
        <v>3083674.39975016</v>
      </c>
      <c r="AQ32" s="10" t="n">
        <f aca="false">IF('Start Here'!$B$5="Lean",'Monthly Lean'!AQ32,IF('Start Here'!$B$5="Growth",'Monthly Growth'!AQ32,'Monthly Base'!AQ32))</f>
        <v>152842.3192922</v>
      </c>
      <c r="AR32" s="10" t="n">
        <f aca="false">IF('Start Here'!$B$5="Lean",'Monthly Lean'!AR32,IF('Start Here'!$B$5="Growth",'Monthly Growth'!AR32,'Monthly Base'!AR32))</f>
        <v>0</v>
      </c>
    </row>
    <row r="33" customFormat="false" ht="15" hidden="false" customHeight="false" outlineLevel="0" collapsed="false">
      <c r="A33" s="11" t="n">
        <f aca="false">IF('Start Here'!$B$5="Lean",'Monthly Lean'!A33,IF('Start Here'!$B$5="Growth",'Monthly Growth'!A33,'Monthly Base'!A33))</f>
        <v>28</v>
      </c>
      <c r="B33" s="25" t="n">
        <f aca="false">IF('Start Here'!$B$5="Lean",'Monthly Lean'!B33,IF('Start Here'!$B$5="Growth",'Monthly Growth'!B33,'Monthly Base'!B33))</f>
        <v>47150</v>
      </c>
      <c r="C33" s="11" t="n">
        <f aca="false">IF('Start Here'!$B$5="Lean",'Monthly Lean'!C33,IF('Start Here'!$B$5="Growth",'Monthly Growth'!C33,'Monthly Base'!C33))</f>
        <v>1.5</v>
      </c>
      <c r="D33" s="11" t="n">
        <f aca="false">IF('Start Here'!$B$5="Lean",'Monthly Lean'!D33,IF('Start Here'!$B$5="Growth",'Monthly Growth'!D33,'Monthly Base'!D33))</f>
        <v>16.8244223905124</v>
      </c>
      <c r="E33" s="11" t="n">
        <f aca="false">IF('Start Here'!$B$5="Lean",'Monthly Lean'!E33,IF('Start Here'!$B$5="Growth",'Monthly Growth'!E33,'Monthly Base'!E33))</f>
        <v>252.366335857687</v>
      </c>
      <c r="F33" s="11" t="n">
        <f aca="false">IF('Start Here'!$B$5="Lean",'Monthly Lean'!F33,IF('Start Here'!$B$5="Growth",'Monthly Growth'!F33,'Monthly Base'!F33))</f>
        <v>1.13564851135959</v>
      </c>
      <c r="G33" s="11" t="n">
        <f aca="false">IF('Start Here'!$B$5="Lean",'Monthly Lean'!G33,IF('Start Here'!$B$5="Growth",'Monthly Growth'!G33,'Monthly Base'!G33))</f>
        <v>84.1221119525622</v>
      </c>
      <c r="H33" s="11" t="n">
        <f aca="false">IF('Start Here'!$B$5="Lean",'Monthly Lean'!H33,IF('Start Here'!$B$5="Growth",'Monthly Growth'!H33,'Monthly Base'!H33))</f>
        <v>16.8244223905124</v>
      </c>
      <c r="I33" s="11" t="n">
        <f aca="false">IF('Start Here'!$B$5="Lean",'Monthly Lean'!I33,IF('Start Here'!$B$5="Growth",'Monthly Growth'!I33,'Monthly Base'!I33))</f>
        <v>8.75</v>
      </c>
      <c r="J33" s="11" t="n">
        <f aca="false">IF('Start Here'!$B$5="Lean",'Monthly Lean'!J33,IF('Start Here'!$B$5="Growth",'Monthly Growth'!J33,'Monthly Base'!J33))</f>
        <v>11</v>
      </c>
      <c r="K33" s="10" t="n">
        <f aca="false">IF('Start Here'!$B$5="Lean",'Monthly Lean'!K33,IF('Start Here'!$B$5="Growth",'Monthly Growth'!K33,'Monthly Base'!K33))</f>
        <v>128169.6</v>
      </c>
      <c r="L33" s="10" t="n">
        <f aca="false">IF('Start Here'!$B$5="Lean",'Monthly Lean'!L33,IF('Start Here'!$B$5="Growth",'Monthly Growth'!L33,'Monthly Base'!L33))</f>
        <v>0</v>
      </c>
      <c r="M33" s="10" t="n">
        <f aca="false">IF('Start Here'!$B$5="Lean",'Monthly Lean'!M33,IF('Start Here'!$B$5="Growth",'Monthly Growth'!M33,'Monthly Base'!M33))</f>
        <v>0</v>
      </c>
      <c r="N33" s="10" t="n">
        <f aca="false">IF('Start Here'!$B$5="Lean",'Monthly Lean'!N33,IF('Start Here'!$B$5="Growth",'Monthly Growth'!N33,'Monthly Base'!N33))</f>
        <v>1464.90120602709</v>
      </c>
      <c r="O33" s="10" t="n">
        <f aca="false">IF('Start Here'!$B$5="Lean",'Monthly Lean'!O33,IF('Start Here'!$B$5="Growth",'Monthly Growth'!O33,'Monthly Base'!O33))</f>
        <v>467.8569</v>
      </c>
      <c r="P33" s="10" t="n">
        <f aca="false">IF('Start Here'!$B$5="Lean",'Monthly Lean'!P33,IF('Start Here'!$B$5="Growth",'Monthly Growth'!P33,'Monthly Base'!P33))</f>
        <v>0</v>
      </c>
      <c r="Q33" s="10" t="n">
        <f aca="false">IF('Start Here'!$B$5="Lean",'Monthly Lean'!Q33,IF('Start Here'!$B$5="Growth",'Monthly Growth'!Q33,'Monthly Base'!Q33))</f>
        <v>0</v>
      </c>
      <c r="R33" s="10" t="n">
        <f aca="false">IF('Start Here'!$B$5="Lean",'Monthly Lean'!R33,IF('Start Here'!$B$5="Growth",'Monthly Growth'!R33,'Monthly Base'!R33))</f>
        <v>0</v>
      </c>
      <c r="S33" s="10" t="n">
        <f aca="false">IF('Start Here'!$B$5="Lean",'Monthly Lean'!S33,IF('Start Here'!$B$5="Growth",'Monthly Growth'!S33,'Monthly Base'!S33))</f>
        <v>0</v>
      </c>
      <c r="T33" s="10" t="n">
        <f aca="false">IF('Start Here'!$B$5="Lean",'Monthly Lean'!T33,IF('Start Here'!$B$5="Growth",'Monthly Growth'!T33,'Monthly Base'!T33))</f>
        <v>636.54</v>
      </c>
      <c r="U33" s="10" t="n">
        <f aca="false">IF('Start Here'!$B$5="Lean",'Monthly Lean'!U33,IF('Start Here'!$B$5="Growth",'Monthly Growth'!U33,'Monthly Base'!U33))</f>
        <v>106.09</v>
      </c>
      <c r="V33" s="10" t="n">
        <f aca="false">IF('Start Here'!$B$5="Lean",'Monthly Lean'!V33,IF('Start Here'!$B$5="Growth",'Monthly Growth'!V33,'Monthly Base'!V33))</f>
        <v>1338.6772285571</v>
      </c>
      <c r="W33" s="10" t="n">
        <f aca="false">IF('Start Here'!$B$5="Lean",'Monthly Lean'!W33,IF('Start Here'!$B$5="Growth",'Monthly Growth'!W33,'Monthly Base'!W33))</f>
        <v>477.405</v>
      </c>
      <c r="X33" s="10" t="n">
        <f aca="false">IF('Start Here'!$B$5="Lean",'Monthly Lean'!X33,IF('Start Here'!$B$5="Growth",'Monthly Growth'!X33,'Monthly Base'!X33))</f>
        <v>0</v>
      </c>
      <c r="Y33" s="10" t="n">
        <f aca="false">IF('Start Here'!$B$5="Lean",'Monthly Lean'!Y33,IF('Start Here'!$B$5="Growth",'Monthly Growth'!Y33,'Monthly Base'!Y33))</f>
        <v>0</v>
      </c>
      <c r="Z33" s="10" t="n">
        <f aca="false">IF('Start Here'!$B$5="Lean",'Monthly Lean'!Z33,IF('Start Here'!$B$5="Growth",'Monthly Growth'!Z33,'Monthly Base'!Z33))</f>
        <v>4491.47033458418</v>
      </c>
      <c r="AA33" s="10" t="n">
        <f aca="false">IF('Start Here'!$B$5="Lean",'Monthly Lean'!AA33,IF('Start Here'!$B$5="Growth",'Monthly Growth'!AA33,'Monthly Base'!AA33))</f>
        <v>19899.1605501876</v>
      </c>
      <c r="AB33" s="10" t="n">
        <f aca="false">IF('Start Here'!$B$5="Lean",'Monthly Lean'!AB33,IF('Start Here'!$B$5="Growth",'Monthly Growth'!AB33,'Monthly Base'!AB33))</f>
        <v>454.259404543836</v>
      </c>
      <c r="AC33" s="10" t="n">
        <f aca="false">IF('Start Here'!$B$5="Lean",'Monthly Lean'!AC33,IF('Start Here'!$B$5="Growth",'Monthly Growth'!AC33,'Monthly Base'!AC33))</f>
        <v>153014.490289316</v>
      </c>
      <c r="AD33" s="10" t="n">
        <f aca="false">IF('Start Here'!$B$5="Lean",'Monthly Lean'!AD33,IF('Start Here'!$B$5="Growth",'Monthly Growth'!AD33,'Monthly Base'!AD33))</f>
        <v>15141.9801514612</v>
      </c>
      <c r="AE33" s="10" t="n">
        <f aca="false">IF('Start Here'!$B$5="Lean",'Monthly Lean'!AE33,IF('Start Here'!$B$5="Growth",'Monthly Growth'!AE33,'Monthly Base'!AE33))</f>
        <v>181703.761817534</v>
      </c>
      <c r="AF33" s="10" t="n">
        <f aca="false">IF('Start Here'!$B$5="Lean",'Monthly Lean'!AF33,IF('Start Here'!$B$5="Growth",'Monthly Growth'!AF33,'Monthly Base'!AF33))</f>
        <v>137872.510137854</v>
      </c>
      <c r="AG33" s="10" t="n">
        <f aca="false">IF('Start Here'!$B$5="Lean",'Monthly Lean'!AG33,IF('Start Here'!$B$5="Growth",'Monthly Growth'!AG33,'Monthly Base'!AG33))</f>
        <v>0</v>
      </c>
      <c r="AH33" s="10" t="n">
        <f aca="false">IF('Start Here'!$B$5="Lean",'Monthly Lean'!AH33,IF('Start Here'!$B$5="Growth",'Monthly Growth'!AH33,'Monthly Base'!AH33))</f>
        <v>916325.600249835</v>
      </c>
      <c r="AI33" s="10" t="n">
        <f aca="false">IF('Start Here'!$B$5="Lean",'Monthly Lean'!AI33,IF('Start Here'!$B$5="Growth",'Monthly Growth'!AI33,'Monthly Base'!AI33))</f>
        <v>778453.09011198</v>
      </c>
      <c r="AJ33" s="10" t="n">
        <f aca="false">IF('Start Here'!$B$5="Lean",'Monthly Lean'!AJ33,IF('Start Here'!$B$5="Growth",'Monthly Growth'!AJ33,'Monthly Base'!AJ33))</f>
        <v>3342490.87489336</v>
      </c>
      <c r="AK33" s="10" t="n">
        <f aca="false">IF('Start Here'!$B$5="Lean",'Monthly Lean'!AK33,IF('Start Here'!$B$5="Growth",'Monthly Growth'!AK33,'Monthly Base'!AK33))</f>
        <v>0</v>
      </c>
      <c r="AL33" s="10" t="n">
        <f aca="false">IF('Start Here'!$B$5="Lean",'Monthly Lean'!AL33,IF('Start Here'!$B$5="Growth",'Monthly Growth'!AL33,'Monthly Base'!AL33))</f>
        <v>657509.125106639</v>
      </c>
      <c r="AM33" s="10" t="n">
        <f aca="false">IF('Start Here'!$B$5="Lean",'Monthly Lean'!AM33,IF('Start Here'!$B$5="Growth",'Monthly Growth'!AM33,'Monthly Base'!AM33))</f>
        <v>1962.665</v>
      </c>
      <c r="AN33" s="10" t="n">
        <f aca="false">IF('Start Here'!$B$5="Lean",'Monthly Lean'!AN33,IF('Start Here'!$B$5="Growth",'Monthly Growth'!AN33,'Monthly Base'!AN33))</f>
        <v>0</v>
      </c>
      <c r="AO33" s="10" t="n">
        <f aca="false">IF('Start Here'!$B$5="Lean",'Monthly Lean'!AO33,IF('Start Here'!$B$5="Growth",'Monthly Growth'!AO33,'Monthly Base'!AO33))</f>
        <v>16224</v>
      </c>
      <c r="AP33" s="10" t="n">
        <f aca="false">IF('Start Here'!$B$5="Lean",'Monthly Lean'!AP33,IF('Start Here'!$B$5="Growth",'Monthly Growth'!AP33,'Monthly Base'!AP33))</f>
        <v>3221546.90988802</v>
      </c>
      <c r="AQ33" s="10" t="n">
        <f aca="false">IF('Start Here'!$B$5="Lean",'Monthly Lean'!AQ33,IF('Start Here'!$B$5="Growth",'Monthly Growth'!AQ33,'Monthly Base'!AQ33))</f>
        <v>153014.490289316</v>
      </c>
      <c r="AR33" s="10" t="n">
        <f aca="false">IF('Start Here'!$B$5="Lean",'Monthly Lean'!AR33,IF('Start Here'!$B$5="Growth",'Monthly Growth'!AR33,'Monthly Base'!AR33))</f>
        <v>0</v>
      </c>
    </row>
    <row r="34" customFormat="false" ht="15" hidden="false" customHeight="false" outlineLevel="0" collapsed="false">
      <c r="A34" s="11" t="n">
        <f aca="false">IF('Start Here'!$B$5="Lean",'Monthly Lean'!A34,IF('Start Here'!$B$5="Growth",'Monthly Growth'!A34,'Monthly Base'!A34))</f>
        <v>29</v>
      </c>
      <c r="B34" s="25" t="n">
        <f aca="false">IF('Start Here'!$B$5="Lean",'Monthly Lean'!B34,IF('Start Here'!$B$5="Growth",'Monthly Growth'!B34,'Monthly Base'!B34))</f>
        <v>47178</v>
      </c>
      <c r="C34" s="11" t="n">
        <f aca="false">IF('Start Here'!$B$5="Lean",'Monthly Lean'!C34,IF('Start Here'!$B$5="Growth",'Monthly Growth'!C34,'Monthly Base'!C34))</f>
        <v>1.5</v>
      </c>
      <c r="D34" s="11" t="n">
        <f aca="false">IF('Start Here'!$B$5="Lean",'Monthly Lean'!D34,IF('Start Here'!$B$5="Growth",'Monthly Growth'!D34,'Monthly Base'!D34))</f>
        <v>18.1561781666073</v>
      </c>
      <c r="E34" s="11" t="n">
        <f aca="false">IF('Start Here'!$B$5="Lean",'Monthly Lean'!E34,IF('Start Here'!$B$5="Growth",'Monthly Growth'!E34,'Monthly Base'!E34))</f>
        <v>272.34267249911</v>
      </c>
      <c r="F34" s="11" t="n">
        <f aca="false">IF('Start Here'!$B$5="Lean",'Monthly Lean'!F34,IF('Start Here'!$B$5="Growth",'Monthly Growth'!F34,'Monthly Base'!F34))</f>
        <v>1.22554202624599</v>
      </c>
      <c r="G34" s="11" t="n">
        <f aca="false">IF('Start Here'!$B$5="Lean",'Monthly Lean'!G34,IF('Start Here'!$B$5="Growth",'Monthly Growth'!G34,'Monthly Base'!G34))</f>
        <v>90.7808908330366</v>
      </c>
      <c r="H34" s="11" t="n">
        <f aca="false">IF('Start Here'!$B$5="Lean",'Monthly Lean'!H34,IF('Start Here'!$B$5="Growth",'Monthly Growth'!H34,'Monthly Base'!H34))</f>
        <v>18.1561781666073</v>
      </c>
      <c r="I34" s="11" t="n">
        <f aca="false">IF('Start Here'!$B$5="Lean",'Monthly Lean'!I34,IF('Start Here'!$B$5="Growth",'Monthly Growth'!I34,'Monthly Base'!I34))</f>
        <v>8.75</v>
      </c>
      <c r="J34" s="11" t="n">
        <f aca="false">IF('Start Here'!$B$5="Lean",'Monthly Lean'!J34,IF('Start Here'!$B$5="Growth",'Monthly Growth'!J34,'Monthly Base'!J34))</f>
        <v>11</v>
      </c>
      <c r="K34" s="10" t="n">
        <f aca="false">IF('Start Here'!$B$5="Lean",'Monthly Lean'!K34,IF('Start Here'!$B$5="Growth",'Monthly Growth'!K34,'Monthly Base'!K34))</f>
        <v>128169.6</v>
      </c>
      <c r="L34" s="10" t="n">
        <f aca="false">IF('Start Here'!$B$5="Lean",'Monthly Lean'!L34,IF('Start Here'!$B$5="Growth",'Monthly Growth'!L34,'Monthly Base'!L34))</f>
        <v>0</v>
      </c>
      <c r="M34" s="10" t="n">
        <f aca="false">IF('Start Here'!$B$5="Lean",'Monthly Lean'!M34,IF('Start Here'!$B$5="Growth",'Monthly Growth'!M34,'Monthly Base'!M34))</f>
        <v>0</v>
      </c>
      <c r="N34" s="10" t="n">
        <f aca="false">IF('Start Here'!$B$5="Lean",'Monthly Lean'!N34,IF('Start Here'!$B$5="Growth",'Monthly Growth'!N34,'Monthly Base'!N34))</f>
        <v>1475.88619021681</v>
      </c>
      <c r="O34" s="10" t="n">
        <f aca="false">IF('Start Here'!$B$5="Lean",'Monthly Lean'!O34,IF('Start Here'!$B$5="Growth",'Monthly Growth'!O34,'Monthly Base'!O34))</f>
        <v>467.8569</v>
      </c>
      <c r="P34" s="10" t="n">
        <f aca="false">IF('Start Here'!$B$5="Lean",'Monthly Lean'!P34,IF('Start Here'!$B$5="Growth",'Monthly Growth'!P34,'Monthly Base'!P34))</f>
        <v>0</v>
      </c>
      <c r="Q34" s="10" t="n">
        <f aca="false">IF('Start Here'!$B$5="Lean",'Monthly Lean'!Q34,IF('Start Here'!$B$5="Growth",'Monthly Growth'!Q34,'Monthly Base'!Q34))</f>
        <v>0</v>
      </c>
      <c r="R34" s="10" t="n">
        <f aca="false">IF('Start Here'!$B$5="Lean",'Monthly Lean'!R34,IF('Start Here'!$B$5="Growth",'Monthly Growth'!R34,'Monthly Base'!R34))</f>
        <v>0</v>
      </c>
      <c r="S34" s="10" t="n">
        <f aca="false">IF('Start Here'!$B$5="Lean",'Monthly Lean'!S34,IF('Start Here'!$B$5="Growth",'Monthly Growth'!S34,'Monthly Base'!S34))</f>
        <v>0</v>
      </c>
      <c r="T34" s="10" t="n">
        <f aca="false">IF('Start Here'!$B$5="Lean",'Monthly Lean'!T34,IF('Start Here'!$B$5="Growth",'Monthly Growth'!T34,'Monthly Base'!T34))</f>
        <v>636.54</v>
      </c>
      <c r="U34" s="10" t="n">
        <f aca="false">IF('Start Here'!$B$5="Lean",'Monthly Lean'!U34,IF('Start Here'!$B$5="Growth",'Monthly Growth'!U34,'Monthly Base'!U34))</f>
        <v>106.09</v>
      </c>
      <c r="V34" s="10" t="n">
        <f aca="false">IF('Start Here'!$B$5="Lean",'Monthly Lean'!V34,IF('Start Here'!$B$5="Growth",'Monthly Growth'!V34,'Monthly Base'!V34))</f>
        <v>1444.64170627153</v>
      </c>
      <c r="W34" s="10" t="n">
        <f aca="false">IF('Start Here'!$B$5="Lean",'Monthly Lean'!W34,IF('Start Here'!$B$5="Growth",'Monthly Growth'!W34,'Monthly Base'!W34))</f>
        <v>477.405</v>
      </c>
      <c r="X34" s="10" t="n">
        <f aca="false">IF('Start Here'!$B$5="Lean",'Monthly Lean'!X34,IF('Start Here'!$B$5="Growth",'Monthly Growth'!X34,'Monthly Base'!X34))</f>
        <v>0</v>
      </c>
      <c r="Y34" s="10" t="n">
        <f aca="false">IF('Start Here'!$B$5="Lean",'Monthly Lean'!Y34,IF('Start Here'!$B$5="Growth",'Monthly Growth'!Y34,'Monthly Base'!Y34))</f>
        <v>0</v>
      </c>
      <c r="Z34" s="10" t="n">
        <f aca="false">IF('Start Here'!$B$5="Lean",'Monthly Lean'!Z34,IF('Start Here'!$B$5="Growth",'Monthly Growth'!Z34,'Monthly Base'!Z34))</f>
        <v>4608.41979648834</v>
      </c>
      <c r="AA34" s="10" t="n">
        <f aca="false">IF('Start Here'!$B$5="Lean",'Monthly Lean'!AA34,IF('Start Here'!$B$5="Growth",'Monthly Growth'!AA34,'Monthly Base'!AA34))</f>
        <v>19916.7029694733</v>
      </c>
      <c r="AB34" s="10" t="n">
        <f aca="false">IF('Start Here'!$B$5="Lean",'Monthly Lean'!AB34,IF('Start Here'!$B$5="Growth",'Monthly Growth'!AB34,'Monthly Base'!AB34))</f>
        <v>490.216810498397</v>
      </c>
      <c r="AC34" s="10" t="n">
        <f aca="false">IF('Start Here'!$B$5="Lean",'Monthly Lean'!AC34,IF('Start Here'!$B$5="Growth",'Monthly Growth'!AC34,'Monthly Base'!AC34))</f>
        <v>153184.93957646</v>
      </c>
      <c r="AD34" s="10" t="n">
        <f aca="false">IF('Start Here'!$B$5="Lean",'Monthly Lean'!AD34,IF('Start Here'!$B$5="Growth",'Monthly Growth'!AD34,'Monthly Base'!AD34))</f>
        <v>16340.5603499466</v>
      </c>
      <c r="AE34" s="10" t="n">
        <f aca="false">IF('Start Here'!$B$5="Lean",'Monthly Lean'!AE34,IF('Start Here'!$B$5="Growth",'Monthly Growth'!AE34,'Monthly Base'!AE34))</f>
        <v>196086.724199359</v>
      </c>
      <c r="AF34" s="10" t="n">
        <f aca="false">IF('Start Here'!$B$5="Lean",'Monthly Lean'!AF34,IF('Start Here'!$B$5="Growth",'Monthly Growth'!AF34,'Monthly Base'!AF34))</f>
        <v>136844.379226513</v>
      </c>
      <c r="AG34" s="10" t="n">
        <f aca="false">IF('Start Here'!$B$5="Lean",'Monthly Lean'!AG34,IF('Start Here'!$B$5="Growth",'Monthly Growth'!AG34,'Monthly Base'!AG34))</f>
        <v>0</v>
      </c>
      <c r="AH34" s="10" t="n">
        <f aca="false">IF('Start Here'!$B$5="Lean",'Monthly Lean'!AH34,IF('Start Here'!$B$5="Growth",'Monthly Growth'!AH34,'Monthly Base'!AH34))</f>
        <v>778453.09011198</v>
      </c>
      <c r="AI34" s="10" t="n">
        <f aca="false">IF('Start Here'!$B$5="Lean",'Monthly Lean'!AI34,IF('Start Here'!$B$5="Growth",'Monthly Growth'!AI34,'Monthly Base'!AI34))</f>
        <v>641608.710885467</v>
      </c>
      <c r="AJ34" s="10" t="n">
        <f aca="false">IF('Start Here'!$B$5="Lean",'Monthly Lean'!AJ34,IF('Start Here'!$B$5="Growth",'Monthly Growth'!AJ34,'Monthly Base'!AJ34))</f>
        <v>3495675.81446982</v>
      </c>
      <c r="AK34" s="10" t="n">
        <f aca="false">IF('Start Here'!$B$5="Lean",'Monthly Lean'!AK34,IF('Start Here'!$B$5="Growth",'Monthly Growth'!AK34,'Monthly Base'!AK34))</f>
        <v>0</v>
      </c>
      <c r="AL34" s="10" t="n">
        <f aca="false">IF('Start Here'!$B$5="Lean",'Monthly Lean'!AL34,IF('Start Here'!$B$5="Growth",'Monthly Growth'!AL34,'Monthly Base'!AL34))</f>
        <v>504324.185530179</v>
      </c>
      <c r="AM34" s="10" t="n">
        <f aca="false">IF('Start Here'!$B$5="Lean",'Monthly Lean'!AM34,IF('Start Here'!$B$5="Growth",'Monthly Growth'!AM34,'Monthly Base'!AM34))</f>
        <v>1962.665</v>
      </c>
      <c r="AN34" s="10" t="n">
        <f aca="false">IF('Start Here'!$B$5="Lean",'Monthly Lean'!AN34,IF('Start Here'!$B$5="Growth",'Monthly Growth'!AN34,'Monthly Base'!AN34))</f>
        <v>0</v>
      </c>
      <c r="AO34" s="10" t="n">
        <f aca="false">IF('Start Here'!$B$5="Lean",'Monthly Lean'!AO34,IF('Start Here'!$B$5="Growth",'Monthly Growth'!AO34,'Monthly Base'!AO34))</f>
        <v>16224</v>
      </c>
      <c r="AP34" s="10" t="n">
        <f aca="false">IF('Start Here'!$B$5="Lean",'Monthly Lean'!AP34,IF('Start Here'!$B$5="Growth",'Monthly Growth'!AP34,'Monthly Base'!AP34))</f>
        <v>3358391.28911453</v>
      </c>
      <c r="AQ34" s="10" t="n">
        <f aca="false">IF('Start Here'!$B$5="Lean",'Monthly Lean'!AQ34,IF('Start Here'!$B$5="Growth",'Monthly Growth'!AQ34,'Monthly Base'!AQ34))</f>
        <v>153184.93957646</v>
      </c>
      <c r="AR34" s="10" t="n">
        <f aca="false">IF('Start Here'!$B$5="Lean",'Monthly Lean'!AR34,IF('Start Here'!$B$5="Growth",'Monthly Growth'!AR34,'Monthly Base'!AR34))</f>
        <v>0</v>
      </c>
    </row>
    <row r="35" customFormat="false" ht="15" hidden="false" customHeight="false" outlineLevel="0" collapsed="false">
      <c r="A35" s="11" t="n">
        <f aca="false">IF('Start Here'!$B$5="Lean",'Monthly Lean'!A35,IF('Start Here'!$B$5="Growth",'Monthly Growth'!A35,'Monthly Base'!A35))</f>
        <v>30</v>
      </c>
      <c r="B35" s="25" t="n">
        <f aca="false">IF('Start Here'!$B$5="Lean",'Monthly Lean'!B35,IF('Start Here'!$B$5="Growth",'Monthly Growth'!B35,'Monthly Base'!B35))</f>
        <v>47209</v>
      </c>
      <c r="C35" s="11" t="n">
        <f aca="false">IF('Start Here'!$B$5="Lean",'Monthly Lean'!C35,IF('Start Here'!$B$5="Growth",'Monthly Growth'!C35,'Monthly Base'!C35))</f>
        <v>1.5</v>
      </c>
      <c r="D35" s="11" t="n">
        <f aca="false">IF('Start Here'!$B$5="Lean",'Monthly Lean'!D35,IF('Start Here'!$B$5="Growth",'Monthly Growth'!D35,'Monthly Base'!D35))</f>
        <v>19.4746163849412</v>
      </c>
      <c r="E35" s="11" t="n">
        <f aca="false">IF('Start Here'!$B$5="Lean",'Monthly Lean'!E35,IF('Start Here'!$B$5="Growth",'Monthly Growth'!E35,'Monthly Base'!E35))</f>
        <v>292.119245774119</v>
      </c>
      <c r="F35" s="11" t="n">
        <f aca="false">IF('Start Here'!$B$5="Lean",'Monthly Lean'!F35,IF('Start Here'!$B$5="Growth",'Monthly Growth'!F35,'Monthly Base'!F35))</f>
        <v>1.31453660598353</v>
      </c>
      <c r="G35" s="11" t="n">
        <f aca="false">IF('Start Here'!$B$5="Lean",'Monthly Lean'!G35,IF('Start Here'!$B$5="Growth",'Monthly Growth'!G35,'Monthly Base'!G35))</f>
        <v>97.3730819247062</v>
      </c>
      <c r="H35" s="11" t="n">
        <f aca="false">IF('Start Here'!$B$5="Lean",'Monthly Lean'!H35,IF('Start Here'!$B$5="Growth",'Monthly Growth'!H35,'Monthly Base'!H35))</f>
        <v>19.4746163849412</v>
      </c>
      <c r="I35" s="11" t="n">
        <f aca="false">IF('Start Here'!$B$5="Lean",'Monthly Lean'!I35,IF('Start Here'!$B$5="Growth",'Monthly Growth'!I35,'Monthly Base'!I35))</f>
        <v>8.75</v>
      </c>
      <c r="J35" s="11" t="n">
        <f aca="false">IF('Start Here'!$B$5="Lean",'Monthly Lean'!J35,IF('Start Here'!$B$5="Growth",'Monthly Growth'!J35,'Monthly Base'!J35))</f>
        <v>11</v>
      </c>
      <c r="K35" s="10" t="n">
        <f aca="false">IF('Start Here'!$B$5="Lean",'Monthly Lean'!K35,IF('Start Here'!$B$5="Growth",'Monthly Growth'!K35,'Monthly Base'!K35))</f>
        <v>128169.6</v>
      </c>
      <c r="L35" s="10" t="n">
        <f aca="false">IF('Start Here'!$B$5="Lean",'Monthly Lean'!L35,IF('Start Here'!$B$5="Growth",'Monthly Growth'!L35,'Monthly Base'!L35))</f>
        <v>0</v>
      </c>
      <c r="M35" s="10" t="n">
        <f aca="false">IF('Start Here'!$B$5="Lean",'Monthly Lean'!M35,IF('Start Here'!$B$5="Growth",'Monthly Growth'!M35,'Monthly Base'!M35))</f>
        <v>0</v>
      </c>
      <c r="N35" s="10" t="n">
        <f aca="false">IF('Start Here'!$B$5="Lean",'Monthly Lean'!N35,IF('Start Here'!$B$5="Growth",'Monthly Growth'!N35,'Monthly Base'!N35))</f>
        <v>1486.76132456465</v>
      </c>
      <c r="O35" s="10" t="n">
        <f aca="false">IF('Start Here'!$B$5="Lean",'Monthly Lean'!O35,IF('Start Here'!$B$5="Growth",'Monthly Growth'!O35,'Monthly Base'!O35))</f>
        <v>467.8569</v>
      </c>
      <c r="P35" s="10" t="n">
        <f aca="false">IF('Start Here'!$B$5="Lean",'Monthly Lean'!P35,IF('Start Here'!$B$5="Growth",'Monthly Growth'!P35,'Monthly Base'!P35))</f>
        <v>0</v>
      </c>
      <c r="Q35" s="10" t="n">
        <f aca="false">IF('Start Here'!$B$5="Lean",'Monthly Lean'!Q35,IF('Start Here'!$B$5="Growth",'Monthly Growth'!Q35,'Monthly Base'!Q35))</f>
        <v>0</v>
      </c>
      <c r="R35" s="10" t="n">
        <f aca="false">IF('Start Here'!$B$5="Lean",'Monthly Lean'!R35,IF('Start Here'!$B$5="Growth",'Monthly Growth'!R35,'Monthly Base'!R35))</f>
        <v>0</v>
      </c>
      <c r="S35" s="10" t="n">
        <f aca="false">IF('Start Here'!$B$5="Lean",'Monthly Lean'!S35,IF('Start Here'!$B$5="Growth",'Monthly Growth'!S35,'Monthly Base'!S35))</f>
        <v>0</v>
      </c>
      <c r="T35" s="10" t="n">
        <f aca="false">IF('Start Here'!$B$5="Lean",'Monthly Lean'!T35,IF('Start Here'!$B$5="Growth",'Monthly Growth'!T35,'Monthly Base'!T35))</f>
        <v>636.54</v>
      </c>
      <c r="U35" s="10" t="n">
        <f aca="false">IF('Start Here'!$B$5="Lean",'Monthly Lean'!U35,IF('Start Here'!$B$5="Growth",'Monthly Growth'!U35,'Monthly Base'!U35))</f>
        <v>106.09</v>
      </c>
      <c r="V35" s="10" t="n">
        <f aca="false">IF('Start Here'!$B$5="Lean",'Monthly Lean'!V35,IF('Start Here'!$B$5="Growth",'Monthly Growth'!V35,'Monthly Base'!V35))</f>
        <v>1549.54653920881</v>
      </c>
      <c r="W35" s="10" t="n">
        <f aca="false">IF('Start Here'!$B$5="Lean",'Monthly Lean'!W35,IF('Start Here'!$B$5="Growth",'Monthly Growth'!W35,'Monthly Base'!W35))</f>
        <v>477.405</v>
      </c>
      <c r="X35" s="10" t="n">
        <f aca="false">IF('Start Here'!$B$5="Lean",'Monthly Lean'!X35,IF('Start Here'!$B$5="Growth",'Monthly Growth'!X35,'Monthly Base'!X35))</f>
        <v>0</v>
      </c>
      <c r="Y35" s="10" t="n">
        <f aca="false">IF('Start Here'!$B$5="Lean",'Monthly Lean'!Y35,IF('Start Here'!$B$5="Growth",'Monthly Growth'!Y35,'Monthly Base'!Y35))</f>
        <v>0</v>
      </c>
      <c r="Z35" s="10" t="n">
        <f aca="false">IF('Start Here'!$B$5="Lean",'Monthly Lean'!Z35,IF('Start Here'!$B$5="Growth",'Monthly Growth'!Z35,'Monthly Base'!Z35))</f>
        <v>4724.19976377346</v>
      </c>
      <c r="AA35" s="10" t="n">
        <f aca="false">IF('Start Here'!$B$5="Lean",'Monthly Lean'!AA35,IF('Start Here'!$B$5="Growth",'Monthly Growth'!AA35,'Monthly Base'!AA35))</f>
        <v>19934.069964566</v>
      </c>
      <c r="AB35" s="10" t="n">
        <f aca="false">IF('Start Here'!$B$5="Lean",'Monthly Lean'!AB35,IF('Start Here'!$B$5="Growth",'Monthly Growth'!AB35,'Monthly Base'!AB35))</f>
        <v>525.814642393414</v>
      </c>
      <c r="AC35" s="10" t="n">
        <f aca="false">IF('Start Here'!$B$5="Lean",'Monthly Lean'!AC35,IF('Start Here'!$B$5="Growth",'Monthly Growth'!AC35,'Monthly Base'!AC35))</f>
        <v>153353.684370733</v>
      </c>
      <c r="AD35" s="10" t="n">
        <f aca="false">IF('Start Here'!$B$5="Lean",'Monthly Lean'!AD35,IF('Start Here'!$B$5="Growth",'Monthly Growth'!AD35,'Monthly Base'!AD35))</f>
        <v>17527.1547464471</v>
      </c>
      <c r="AE35" s="10" t="n">
        <f aca="false">IF('Start Here'!$B$5="Lean",'Monthly Lean'!AE35,IF('Start Here'!$B$5="Growth",'Monthly Growth'!AE35,'Monthly Base'!AE35))</f>
        <v>210325.856957365</v>
      </c>
      <c r="AF35" s="10" t="n">
        <f aca="false">IF('Start Here'!$B$5="Lean",'Monthly Lean'!AF35,IF('Start Here'!$B$5="Growth",'Monthly Growth'!AF35,'Monthly Base'!AF35))</f>
        <v>135826.529624286</v>
      </c>
      <c r="AG35" s="10" t="n">
        <f aca="false">IF('Start Here'!$B$5="Lean",'Monthly Lean'!AG35,IF('Start Here'!$B$5="Growth",'Monthly Growth'!AG35,'Monthly Base'!AG35))</f>
        <v>0</v>
      </c>
      <c r="AH35" s="10" t="n">
        <f aca="false">IF('Start Here'!$B$5="Lean",'Monthly Lean'!AH35,IF('Start Here'!$B$5="Growth",'Monthly Growth'!AH35,'Monthly Base'!AH35))</f>
        <v>641608.710885467</v>
      </c>
      <c r="AI35" s="10" t="n">
        <f aca="false">IF('Start Here'!$B$5="Lean",'Monthly Lean'!AI35,IF('Start Here'!$B$5="Growth",'Monthly Growth'!AI35,'Monthly Base'!AI35))</f>
        <v>505782.181261181</v>
      </c>
      <c r="AJ35" s="10" t="n">
        <f aca="false">IF('Start Here'!$B$5="Lean",'Monthly Lean'!AJ35,IF('Start Here'!$B$5="Growth",'Monthly Growth'!AJ35,'Monthly Base'!AJ35))</f>
        <v>3649029.49884055</v>
      </c>
      <c r="AK35" s="10" t="n">
        <f aca="false">IF('Start Here'!$B$5="Lean",'Monthly Lean'!AK35,IF('Start Here'!$B$5="Growth",'Monthly Growth'!AK35,'Monthly Base'!AK35))</f>
        <v>0</v>
      </c>
      <c r="AL35" s="10" t="n">
        <f aca="false">IF('Start Here'!$B$5="Lean",'Monthly Lean'!AL35,IF('Start Here'!$B$5="Growth",'Monthly Growth'!AL35,'Monthly Base'!AL35))</f>
        <v>350970.501159446</v>
      </c>
      <c r="AM35" s="10" t="n">
        <f aca="false">IF('Start Here'!$B$5="Lean",'Monthly Lean'!AM35,IF('Start Here'!$B$5="Growth",'Monthly Growth'!AM35,'Monthly Base'!AM35))</f>
        <v>1962.665</v>
      </c>
      <c r="AN35" s="10" t="n">
        <f aca="false">IF('Start Here'!$B$5="Lean",'Monthly Lean'!AN35,IF('Start Here'!$B$5="Growth",'Monthly Growth'!AN35,'Monthly Base'!AN35))</f>
        <v>0</v>
      </c>
      <c r="AO35" s="10" t="n">
        <f aca="false">IF('Start Here'!$B$5="Lean",'Monthly Lean'!AO35,IF('Start Here'!$B$5="Growth",'Monthly Growth'!AO35,'Monthly Base'!AO35))</f>
        <v>16224</v>
      </c>
      <c r="AP35" s="10" t="n">
        <f aca="false">IF('Start Here'!$B$5="Lean",'Monthly Lean'!AP35,IF('Start Here'!$B$5="Growth",'Monthly Growth'!AP35,'Monthly Base'!AP35))</f>
        <v>3494217.81873882</v>
      </c>
      <c r="AQ35" s="10" t="n">
        <f aca="false">IF('Start Here'!$B$5="Lean",'Monthly Lean'!AQ35,IF('Start Here'!$B$5="Growth",'Monthly Growth'!AQ35,'Monthly Base'!AQ35))</f>
        <v>153353.684370733</v>
      </c>
      <c r="AR35" s="10" t="n">
        <f aca="false">IF('Start Here'!$B$5="Lean",'Monthly Lean'!AR35,IF('Start Here'!$B$5="Growth",'Monthly Growth'!AR35,'Monthly Base'!AR35))</f>
        <v>0</v>
      </c>
    </row>
    <row r="36" customFormat="false" ht="15" hidden="false" customHeight="false" outlineLevel="0" collapsed="false">
      <c r="A36" s="11" t="n">
        <f aca="false">IF('Start Here'!$B$5="Lean",'Monthly Lean'!A36,IF('Start Here'!$B$5="Growth",'Monthly Growth'!A36,'Monthly Base'!A36))</f>
        <v>31</v>
      </c>
      <c r="B36" s="25" t="n">
        <f aca="false">IF('Start Here'!$B$5="Lean",'Monthly Lean'!B36,IF('Start Here'!$B$5="Growth",'Monthly Growth'!B36,'Monthly Base'!B36))</f>
        <v>47239</v>
      </c>
      <c r="C36" s="11" t="n">
        <f aca="false">IF('Start Here'!$B$5="Lean",'Monthly Lean'!C36,IF('Start Here'!$B$5="Growth",'Monthly Growth'!C36,'Monthly Base'!C36))</f>
        <v>1.5</v>
      </c>
      <c r="D36" s="11" t="n">
        <f aca="false">IF('Start Here'!$B$5="Lean",'Monthly Lean'!D36,IF('Start Here'!$B$5="Growth",'Monthly Growth'!D36,'Monthly Base'!D36))</f>
        <v>20.7798702210918</v>
      </c>
      <c r="E36" s="11" t="n">
        <f aca="false">IF('Start Here'!$B$5="Lean",'Monthly Lean'!E36,IF('Start Here'!$B$5="Growth",'Monthly Growth'!E36,'Monthly Base'!E36))</f>
        <v>311.698053316377</v>
      </c>
      <c r="F36" s="11" t="n">
        <f aca="false">IF('Start Here'!$B$5="Lean",'Monthly Lean'!F36,IF('Start Here'!$B$5="Growth",'Monthly Growth'!F36,'Monthly Base'!F36))</f>
        <v>1.4026412399237</v>
      </c>
      <c r="G36" s="11" t="n">
        <f aca="false">IF('Start Here'!$B$5="Lean",'Monthly Lean'!G36,IF('Start Here'!$B$5="Growth",'Monthly Growth'!G36,'Monthly Base'!G36))</f>
        <v>103.899351105459</v>
      </c>
      <c r="H36" s="11" t="n">
        <f aca="false">IF('Start Here'!$B$5="Lean",'Monthly Lean'!H36,IF('Start Here'!$B$5="Growth",'Monthly Growth'!H36,'Monthly Base'!H36))</f>
        <v>20.7798702210918</v>
      </c>
      <c r="I36" s="11" t="n">
        <f aca="false">IF('Start Here'!$B$5="Lean",'Monthly Lean'!I36,IF('Start Here'!$B$5="Growth",'Monthly Growth'!I36,'Monthly Base'!I36))</f>
        <v>12.75</v>
      </c>
      <c r="J36" s="11" t="n">
        <f aca="false">IF('Start Here'!$B$5="Lean",'Monthly Lean'!J36,IF('Start Here'!$B$5="Growth",'Monthly Growth'!J36,'Monthly Base'!J36))</f>
        <v>14</v>
      </c>
      <c r="K36" s="10" t="n">
        <f aca="false">IF('Start Here'!$B$5="Lean",'Monthly Lean'!K36,IF('Start Here'!$B$5="Growth",'Monthly Growth'!K36,'Monthly Base'!K36))</f>
        <v>187432.266666667</v>
      </c>
      <c r="L36" s="10" t="n">
        <f aca="false">IF('Start Here'!$B$5="Lean",'Monthly Lean'!L36,IF('Start Here'!$B$5="Growth",'Monthly Growth'!L36,'Monthly Base'!L36))</f>
        <v>28000</v>
      </c>
      <c r="M36" s="10" t="n">
        <f aca="false">IF('Start Here'!$B$5="Lean",'Monthly Lean'!M36,IF('Start Here'!$B$5="Growth",'Monthly Growth'!M36,'Monthly Base'!M36))</f>
        <v>12000</v>
      </c>
      <c r="N36" s="10" t="n">
        <f aca="false">IF('Start Here'!$B$5="Lean",'Monthly Lean'!N36,IF('Start Here'!$B$5="Growth",'Monthly Growth'!N36,'Monthly Base'!N36))</f>
        <v>1497.527707569</v>
      </c>
      <c r="O36" s="10" t="n">
        <f aca="false">IF('Start Here'!$B$5="Lean",'Monthly Lean'!O36,IF('Start Here'!$B$5="Growth",'Monthly Growth'!O36,'Monthly Base'!O36))</f>
        <v>675.7933</v>
      </c>
      <c r="P36" s="10" t="n">
        <f aca="false">IF('Start Here'!$B$5="Lean",'Monthly Lean'!P36,IF('Start Here'!$B$5="Growth",'Monthly Growth'!P36,'Monthly Base'!P36))</f>
        <v>0</v>
      </c>
      <c r="Q36" s="10" t="n">
        <f aca="false">IF('Start Here'!$B$5="Lean",'Monthly Lean'!Q36,IF('Start Here'!$B$5="Growth",'Monthly Growth'!Q36,'Monthly Base'!Q36))</f>
        <v>0</v>
      </c>
      <c r="R36" s="10" t="n">
        <f aca="false">IF('Start Here'!$B$5="Lean",'Monthly Lean'!R36,IF('Start Here'!$B$5="Growth",'Monthly Growth'!R36,'Monthly Base'!R36))</f>
        <v>0</v>
      </c>
      <c r="S36" s="10" t="n">
        <f aca="false">IF('Start Here'!$B$5="Lean",'Monthly Lean'!S36,IF('Start Here'!$B$5="Growth",'Monthly Growth'!S36,'Monthly Base'!S36))</f>
        <v>0</v>
      </c>
      <c r="T36" s="10" t="n">
        <f aca="false">IF('Start Here'!$B$5="Lean",'Monthly Lean'!T36,IF('Start Here'!$B$5="Growth",'Monthly Growth'!T36,'Monthly Base'!T36))</f>
        <v>636.54</v>
      </c>
      <c r="U36" s="10" t="n">
        <f aca="false">IF('Start Here'!$B$5="Lean",'Monthly Lean'!U36,IF('Start Here'!$B$5="Growth",'Monthly Growth'!U36,'Monthly Base'!U36))</f>
        <v>106.09</v>
      </c>
      <c r="V36" s="10" t="n">
        <f aca="false">IF('Start Here'!$B$5="Lean",'Monthly Lean'!V36,IF('Start Here'!$B$5="Growth",'Monthly Growth'!V36,'Monthly Base'!V36))</f>
        <v>1653.40232381672</v>
      </c>
      <c r="W36" s="10" t="n">
        <f aca="false">IF('Start Here'!$B$5="Lean",'Monthly Lean'!W36,IF('Start Here'!$B$5="Growth",'Monthly Growth'!W36,'Monthly Base'!W36))</f>
        <v>477.405</v>
      </c>
      <c r="X36" s="10" t="n">
        <f aca="false">IF('Start Here'!$B$5="Lean",'Monthly Lean'!X36,IF('Start Here'!$B$5="Growth",'Monthly Growth'!X36,'Monthly Base'!X36))</f>
        <v>0</v>
      </c>
      <c r="Y36" s="10" t="n">
        <f aca="false">IF('Start Here'!$B$5="Lean",'Monthly Lean'!Y36,IF('Start Here'!$B$5="Growth",'Monthly Growth'!Y36,'Monthly Base'!Y36))</f>
        <v>0</v>
      </c>
      <c r="Z36" s="10" t="n">
        <f aca="false">IF('Start Here'!$B$5="Lean",'Monthly Lean'!Z36,IF('Start Here'!$B$5="Growth",'Monthly Growth'!Z36,'Monthly Base'!Z36))</f>
        <v>5046.75833138572</v>
      </c>
      <c r="AA36" s="10" t="n">
        <f aca="false">IF('Start Here'!$B$5="Lean",'Monthly Lean'!AA36,IF('Start Here'!$B$5="Growth",'Monthly Growth'!AA36,'Monthly Base'!AA36))</f>
        <v>34871.8537497079</v>
      </c>
      <c r="AB36" s="10" t="n">
        <f aca="false">IF('Start Here'!$B$5="Lean",'Monthly Lean'!AB36,IF('Start Here'!$B$5="Growth",'Monthly Growth'!AB36,'Monthly Base'!AB36))</f>
        <v>561.056495969479</v>
      </c>
      <c r="AC36" s="10" t="n">
        <f aca="false">IF('Start Here'!$B$5="Lean",'Monthly Lean'!AC36,IF('Start Here'!$B$5="Growth",'Monthly Growth'!AC36,'Monthly Base'!AC36))</f>
        <v>267911.93524373</v>
      </c>
      <c r="AD36" s="10" t="n">
        <f aca="false">IF('Start Here'!$B$5="Lean",'Monthly Lean'!AD36,IF('Start Here'!$B$5="Growth",'Monthly Growth'!AD36,'Monthly Base'!AD36))</f>
        <v>18701.8831989826</v>
      </c>
      <c r="AE36" s="10" t="n">
        <f aca="false">IF('Start Here'!$B$5="Lean",'Monthly Lean'!AE36,IF('Start Here'!$B$5="Growth",'Monthly Growth'!AE36,'Monthly Base'!AE36))</f>
        <v>224422.598387792</v>
      </c>
      <c r="AF36" s="10" t="n">
        <f aca="false">IF('Start Here'!$B$5="Lean",'Monthly Lean'!AF36,IF('Start Here'!$B$5="Growth",'Monthly Growth'!AF36,'Monthly Base'!AF36))</f>
        <v>249210.052044747</v>
      </c>
      <c r="AG36" s="10" t="n">
        <f aca="false">IF('Start Here'!$B$5="Lean",'Monthly Lean'!AG36,IF('Start Here'!$B$5="Growth",'Monthly Growth'!AG36,'Monthly Base'!AG36))</f>
        <v>0</v>
      </c>
      <c r="AH36" s="10" t="n">
        <f aca="false">IF('Start Here'!$B$5="Lean",'Monthly Lean'!AH36,IF('Start Here'!$B$5="Growth",'Monthly Growth'!AH36,'Monthly Base'!AH36))</f>
        <v>505782.181261181</v>
      </c>
      <c r="AI36" s="10" t="n">
        <f aca="false">IF('Start Here'!$B$5="Lean",'Monthly Lean'!AI36,IF('Start Here'!$B$5="Growth",'Monthly Growth'!AI36,'Monthly Base'!AI36))</f>
        <v>256572.129216434</v>
      </c>
      <c r="AJ36" s="10" t="n">
        <f aca="false">IF('Start Here'!$B$5="Lean",'Monthly Lean'!AJ36,IF('Start Here'!$B$5="Growth",'Monthly Growth'!AJ36,'Monthly Base'!AJ36))</f>
        <v>3916941.43408428</v>
      </c>
      <c r="AK36" s="10" t="n">
        <f aca="false">IF('Start Here'!$B$5="Lean",'Monthly Lean'!AK36,IF('Start Here'!$B$5="Growth",'Monthly Growth'!AK36,'Monthly Base'!AK36))</f>
        <v>0</v>
      </c>
      <c r="AL36" s="10" t="n">
        <f aca="false">IF('Start Here'!$B$5="Lean",'Monthly Lean'!AL36,IF('Start Here'!$B$5="Growth",'Monthly Growth'!AL36,'Monthly Base'!AL36))</f>
        <v>83058.5659157164</v>
      </c>
      <c r="AM36" s="10" t="n">
        <f aca="false">IF('Start Here'!$B$5="Lean",'Monthly Lean'!AM36,IF('Start Here'!$B$5="Growth",'Monthly Growth'!AM36,'Monthly Base'!AM36))</f>
        <v>1962.665</v>
      </c>
      <c r="AN36" s="10" t="n">
        <f aca="false">IF('Start Here'!$B$5="Lean",'Monthly Lean'!AN36,IF('Start Here'!$B$5="Growth",'Monthly Growth'!AN36,'Monthly Base'!AN36))</f>
        <v>0</v>
      </c>
      <c r="AO36" s="10" t="n">
        <f aca="false">IF('Start Here'!$B$5="Lean",'Monthly Lean'!AO36,IF('Start Here'!$B$5="Growth",'Monthly Growth'!AO36,'Monthly Base'!AO36))</f>
        <v>16224</v>
      </c>
      <c r="AP36" s="10" t="n">
        <f aca="false">IF('Start Here'!$B$5="Lean",'Monthly Lean'!AP36,IF('Start Here'!$B$5="Growth",'Monthly Growth'!AP36,'Monthly Base'!AP36))</f>
        <v>3743427.87078357</v>
      </c>
      <c r="AQ36" s="10" t="n">
        <f aca="false">IF('Start Here'!$B$5="Lean",'Monthly Lean'!AQ36,IF('Start Here'!$B$5="Growth",'Monthly Growth'!AQ36,'Monthly Base'!AQ36))</f>
        <v>267911.93524373</v>
      </c>
      <c r="AR36" s="10" t="n">
        <f aca="false">IF('Start Here'!$B$5="Lean",'Monthly Lean'!AR36,IF('Start Here'!$B$5="Growth",'Monthly Growth'!AR36,'Monthly Base'!AR36))</f>
        <v>0</v>
      </c>
    </row>
    <row r="37" customFormat="false" ht="15" hidden="false" customHeight="false" outlineLevel="0" collapsed="false">
      <c r="A37" s="11" t="n">
        <f aca="false">IF('Start Here'!$B$5="Lean",'Monthly Lean'!A37,IF('Start Here'!$B$5="Growth",'Monthly Growth'!A37,'Monthly Base'!A37))</f>
        <v>32</v>
      </c>
      <c r="B37" s="25" t="n">
        <f aca="false">IF('Start Here'!$B$5="Lean",'Monthly Lean'!B37,IF('Start Here'!$B$5="Growth",'Monthly Growth'!B37,'Monthly Base'!B37))</f>
        <v>47270</v>
      </c>
      <c r="C37" s="11" t="n">
        <f aca="false">IF('Start Here'!$B$5="Lean",'Monthly Lean'!C37,IF('Start Here'!$B$5="Growth",'Monthly Growth'!C37,'Monthly Base'!C37))</f>
        <v>1.5</v>
      </c>
      <c r="D37" s="11" t="n">
        <f aca="false">IF('Start Here'!$B$5="Lean",'Monthly Lean'!D37,IF('Start Here'!$B$5="Growth",'Monthly Growth'!D37,'Monthly Base'!D37))</f>
        <v>22.0720715188809</v>
      </c>
      <c r="E37" s="11" t="n">
        <f aca="false">IF('Start Here'!$B$5="Lean",'Monthly Lean'!E37,IF('Start Here'!$B$5="Growth",'Monthly Growth'!E37,'Monthly Base'!E37))</f>
        <v>331.081072783214</v>
      </c>
      <c r="F37" s="11" t="n">
        <f aca="false">IF('Start Here'!$B$5="Lean",'Monthly Lean'!F37,IF('Start Here'!$B$5="Growth",'Monthly Growth'!F37,'Monthly Base'!F37))</f>
        <v>1.48986482752446</v>
      </c>
      <c r="G37" s="11" t="n">
        <f aca="false">IF('Start Here'!$B$5="Lean",'Monthly Lean'!G37,IF('Start Here'!$B$5="Growth",'Monthly Growth'!G37,'Monthly Base'!G37))</f>
        <v>110.360357594405</v>
      </c>
      <c r="H37" s="11" t="n">
        <f aca="false">IF('Start Here'!$B$5="Lean",'Monthly Lean'!H37,IF('Start Here'!$B$5="Growth",'Monthly Growth'!H37,'Monthly Base'!H37))</f>
        <v>22.0720715188809</v>
      </c>
      <c r="I37" s="11" t="n">
        <f aca="false">IF('Start Here'!$B$5="Lean",'Monthly Lean'!I37,IF('Start Here'!$B$5="Growth",'Monthly Growth'!I37,'Monthly Base'!I37))</f>
        <v>12.75</v>
      </c>
      <c r="J37" s="11" t="n">
        <f aca="false">IF('Start Here'!$B$5="Lean",'Monthly Lean'!J37,IF('Start Here'!$B$5="Growth",'Monthly Growth'!J37,'Monthly Base'!J37))</f>
        <v>14</v>
      </c>
      <c r="K37" s="10" t="n">
        <f aca="false">IF('Start Here'!$B$5="Lean",'Monthly Lean'!K37,IF('Start Here'!$B$5="Growth",'Monthly Growth'!K37,'Monthly Base'!K37))</f>
        <v>187432.266666667</v>
      </c>
      <c r="L37" s="10" t="n">
        <f aca="false">IF('Start Here'!$B$5="Lean",'Monthly Lean'!L37,IF('Start Here'!$B$5="Growth",'Monthly Growth'!L37,'Monthly Base'!L37))</f>
        <v>0</v>
      </c>
      <c r="M37" s="10" t="n">
        <f aca="false">IF('Start Here'!$B$5="Lean",'Monthly Lean'!M37,IF('Start Here'!$B$5="Growth",'Monthly Growth'!M37,'Monthly Base'!M37))</f>
        <v>0</v>
      </c>
      <c r="N37" s="10" t="n">
        <f aca="false">IF('Start Here'!$B$5="Lean",'Monthly Lean'!N37,IF('Start Here'!$B$5="Growth",'Monthly Growth'!N37,'Monthly Base'!N37))</f>
        <v>1508.18642674331</v>
      </c>
      <c r="O37" s="10" t="n">
        <f aca="false">IF('Start Here'!$B$5="Lean",'Monthly Lean'!O37,IF('Start Here'!$B$5="Growth",'Monthly Growth'!O37,'Monthly Base'!O37))</f>
        <v>675.7933</v>
      </c>
      <c r="P37" s="10" t="n">
        <f aca="false">IF('Start Here'!$B$5="Lean",'Monthly Lean'!P37,IF('Start Here'!$B$5="Growth",'Monthly Growth'!P37,'Monthly Base'!P37))</f>
        <v>0</v>
      </c>
      <c r="Q37" s="10" t="n">
        <f aca="false">IF('Start Here'!$B$5="Lean",'Monthly Lean'!Q37,IF('Start Here'!$B$5="Growth",'Monthly Growth'!Q37,'Monthly Base'!Q37))</f>
        <v>0</v>
      </c>
      <c r="R37" s="10" t="n">
        <f aca="false">IF('Start Here'!$B$5="Lean",'Monthly Lean'!R37,IF('Start Here'!$B$5="Growth",'Monthly Growth'!R37,'Monthly Base'!R37))</f>
        <v>0</v>
      </c>
      <c r="S37" s="10" t="n">
        <f aca="false">IF('Start Here'!$B$5="Lean",'Monthly Lean'!S37,IF('Start Here'!$B$5="Growth",'Monthly Growth'!S37,'Monthly Base'!S37))</f>
        <v>0</v>
      </c>
      <c r="T37" s="10" t="n">
        <f aca="false">IF('Start Here'!$B$5="Lean",'Monthly Lean'!T37,IF('Start Here'!$B$5="Growth",'Monthly Growth'!T37,'Monthly Base'!T37))</f>
        <v>636.54</v>
      </c>
      <c r="U37" s="10" t="n">
        <f aca="false">IF('Start Here'!$B$5="Lean",'Monthly Lean'!U37,IF('Start Here'!$B$5="Growth",'Monthly Growth'!U37,'Monthly Base'!U37))</f>
        <v>106.09</v>
      </c>
      <c r="V37" s="10" t="n">
        <f aca="false">IF('Start Here'!$B$5="Lean",'Monthly Lean'!V37,IF('Start Here'!$B$5="Growth",'Monthly Growth'!V37,'Monthly Base'!V37))</f>
        <v>1756.21955057856</v>
      </c>
      <c r="W37" s="10" t="n">
        <f aca="false">IF('Start Here'!$B$5="Lean",'Monthly Lean'!W37,IF('Start Here'!$B$5="Growth",'Monthly Growth'!W37,'Monthly Base'!W37))</f>
        <v>477.405</v>
      </c>
      <c r="X37" s="10" t="n">
        <f aca="false">IF('Start Here'!$B$5="Lean",'Monthly Lean'!X37,IF('Start Here'!$B$5="Growth",'Monthly Growth'!X37,'Monthly Base'!X37))</f>
        <v>0</v>
      </c>
      <c r="Y37" s="10" t="n">
        <f aca="false">IF('Start Here'!$B$5="Lean",'Monthly Lean'!Y37,IF('Start Here'!$B$5="Growth",'Monthly Growth'!Y37,'Monthly Base'!Y37))</f>
        <v>0</v>
      </c>
      <c r="Z37" s="10" t="n">
        <f aca="false">IF('Start Here'!$B$5="Lean",'Monthly Lean'!Z37,IF('Start Here'!$B$5="Growth",'Monthly Growth'!Z37,'Monthly Base'!Z37))</f>
        <v>5160.23427732187</v>
      </c>
      <c r="AA37" s="10" t="n">
        <f aca="false">IF('Start Here'!$B$5="Lean",'Monthly Lean'!AA37,IF('Start Here'!$B$5="Growth",'Monthly Growth'!AA37,'Monthly Base'!AA37))</f>
        <v>28888.8751415983</v>
      </c>
      <c r="AB37" s="10" t="n">
        <f aca="false">IF('Start Here'!$B$5="Lean",'Monthly Lean'!AB37,IF('Start Here'!$B$5="Growth",'Monthly Growth'!AB37,'Monthly Base'!AB37))</f>
        <v>595.945931009784</v>
      </c>
      <c r="AC37" s="10" t="n">
        <f aca="false">IF('Start Here'!$B$5="Lean",'Monthly Lean'!AC37,IF('Start Here'!$B$5="Growth",'Monthly Growth'!AC37,'Monthly Base'!AC37))</f>
        <v>222077.322016597</v>
      </c>
      <c r="AD37" s="10" t="n">
        <f aca="false">IF('Start Here'!$B$5="Lean",'Monthly Lean'!AD37,IF('Start Here'!$B$5="Growth",'Monthly Growth'!AD37,'Monthly Base'!AD37))</f>
        <v>19864.8643669928</v>
      </c>
      <c r="AE37" s="10" t="n">
        <f aca="false">IF('Start Here'!$B$5="Lean",'Monthly Lean'!AE37,IF('Start Here'!$B$5="Growth",'Monthly Growth'!AE37,'Monthly Base'!AE37))</f>
        <v>238378.372403914</v>
      </c>
      <c r="AF37" s="10" t="n">
        <f aca="false">IF('Start Here'!$B$5="Lean",'Monthly Lean'!AF37,IF('Start Here'!$B$5="Growth",'Monthly Growth'!AF37,'Monthly Base'!AF37))</f>
        <v>202212.457649604</v>
      </c>
      <c r="AG37" s="10" t="n">
        <f aca="false">IF('Start Here'!$B$5="Lean",'Monthly Lean'!AG37,IF('Start Here'!$B$5="Growth",'Monthly Growth'!AG37,'Monthly Base'!AG37))</f>
        <v>0</v>
      </c>
      <c r="AH37" s="10" t="n">
        <f aca="false">IF('Start Here'!$B$5="Lean",'Monthly Lean'!AH37,IF('Start Here'!$B$5="Growth",'Monthly Growth'!AH37,'Monthly Base'!AH37))</f>
        <v>256572.129216434</v>
      </c>
      <c r="AI37" s="10" t="n">
        <f aca="false">IF('Start Here'!$B$5="Lean",'Monthly Lean'!AI37,IF('Start Here'!$B$5="Growth",'Monthly Growth'!AI37,'Monthly Base'!AI37))</f>
        <v>54359.6715668303</v>
      </c>
      <c r="AJ37" s="10" t="n">
        <f aca="false">IF('Start Here'!$B$5="Lean",'Monthly Lean'!AJ37,IF('Start Here'!$B$5="Growth",'Monthly Growth'!AJ37,'Monthly Base'!AJ37))</f>
        <v>4139018.75610088</v>
      </c>
      <c r="AK37" s="10" t="n">
        <f aca="false">IF('Start Here'!$B$5="Lean",'Monthly Lean'!AK37,IF('Start Here'!$B$5="Growth",'Monthly Growth'!AK37,'Monthly Base'!AK37))</f>
        <v>0</v>
      </c>
      <c r="AL37" s="10" t="n">
        <f aca="false">IF('Start Here'!$B$5="Lean",'Monthly Lean'!AL37,IF('Start Here'!$B$5="Growth",'Monthly Growth'!AL37,'Monthly Base'!AL37))</f>
        <v>-139018.75610088</v>
      </c>
      <c r="AM37" s="10" t="n">
        <f aca="false">IF('Start Here'!$B$5="Lean",'Monthly Lean'!AM37,IF('Start Here'!$B$5="Growth",'Monthly Growth'!AM37,'Monthly Base'!AM37))</f>
        <v>1962.665</v>
      </c>
      <c r="AN37" s="10" t="n">
        <f aca="false">IF('Start Here'!$B$5="Lean",'Monthly Lean'!AN37,IF('Start Here'!$B$5="Growth",'Monthly Growth'!AN37,'Monthly Base'!AN37))</f>
        <v>0</v>
      </c>
      <c r="AO37" s="10" t="n">
        <f aca="false">IF('Start Here'!$B$5="Lean",'Monthly Lean'!AO37,IF('Start Here'!$B$5="Growth",'Monthly Growth'!AO37,'Monthly Base'!AO37))</f>
        <v>16224</v>
      </c>
      <c r="AP37" s="10" t="n">
        <f aca="false">IF('Start Here'!$B$5="Lean",'Monthly Lean'!AP37,IF('Start Here'!$B$5="Growth",'Monthly Growth'!AP37,'Monthly Base'!AP37))</f>
        <v>3945640.32843317</v>
      </c>
      <c r="AQ37" s="10" t="n">
        <f aca="false">IF('Start Here'!$B$5="Lean",'Monthly Lean'!AQ37,IF('Start Here'!$B$5="Growth",'Monthly Growth'!AQ37,'Monthly Base'!AQ37))</f>
        <v>222077.322016597</v>
      </c>
      <c r="AR37" s="10" t="n">
        <f aca="false">IF('Start Here'!$B$5="Lean",'Monthly Lean'!AR37,IF('Start Here'!$B$5="Growth",'Monthly Growth'!AR37,'Monthly Base'!AR37))</f>
        <v>0</v>
      </c>
    </row>
    <row r="38" customFormat="false" ht="15" hidden="false" customHeight="false" outlineLevel="0" collapsed="false">
      <c r="A38" s="11" t="n">
        <f aca="false">IF('Start Here'!$B$5="Lean",'Monthly Lean'!A38,IF('Start Here'!$B$5="Growth",'Monthly Growth'!A38,'Monthly Base'!A38))</f>
        <v>33</v>
      </c>
      <c r="B38" s="25" t="n">
        <f aca="false">IF('Start Here'!$B$5="Lean",'Monthly Lean'!B38,IF('Start Here'!$B$5="Growth",'Monthly Growth'!B38,'Monthly Base'!B38))</f>
        <v>47300</v>
      </c>
      <c r="C38" s="11" t="n">
        <f aca="false">IF('Start Here'!$B$5="Lean",'Monthly Lean'!C38,IF('Start Here'!$B$5="Growth",'Monthly Growth'!C38,'Monthly Base'!C38))</f>
        <v>1.5</v>
      </c>
      <c r="D38" s="11" t="n">
        <f aca="false">IF('Start Here'!$B$5="Lean",'Monthly Lean'!D38,IF('Start Here'!$B$5="Growth",'Monthly Growth'!D38,'Monthly Base'!D38))</f>
        <v>23.3513508036921</v>
      </c>
      <c r="E38" s="11" t="n">
        <f aca="false">IF('Start Here'!$B$5="Lean",'Monthly Lean'!E38,IF('Start Here'!$B$5="Growth",'Monthly Growth'!E38,'Monthly Base'!E38))</f>
        <v>350.270262055382</v>
      </c>
      <c r="F38" s="11" t="n">
        <f aca="false">IF('Start Here'!$B$5="Lean",'Monthly Lean'!F38,IF('Start Here'!$B$5="Growth",'Monthly Growth'!F38,'Monthly Base'!F38))</f>
        <v>1.57621617924922</v>
      </c>
      <c r="G38" s="11" t="n">
        <f aca="false">IF('Start Here'!$B$5="Lean",'Monthly Lean'!G38,IF('Start Here'!$B$5="Growth",'Monthly Growth'!G38,'Monthly Base'!G38))</f>
        <v>116.756754018461</v>
      </c>
      <c r="H38" s="11" t="n">
        <f aca="false">IF('Start Here'!$B$5="Lean",'Monthly Lean'!H38,IF('Start Here'!$B$5="Growth",'Monthly Growth'!H38,'Monthly Base'!H38))</f>
        <v>23.3513508036921</v>
      </c>
      <c r="I38" s="11" t="n">
        <f aca="false">IF('Start Here'!$B$5="Lean",'Monthly Lean'!I38,IF('Start Here'!$B$5="Growth",'Monthly Growth'!I38,'Monthly Base'!I38))</f>
        <v>12.75</v>
      </c>
      <c r="J38" s="11" t="n">
        <f aca="false">IF('Start Here'!$B$5="Lean",'Monthly Lean'!J38,IF('Start Here'!$B$5="Growth",'Monthly Growth'!J38,'Monthly Base'!J38))</f>
        <v>14</v>
      </c>
      <c r="K38" s="10" t="n">
        <f aca="false">IF('Start Here'!$B$5="Lean",'Monthly Lean'!K38,IF('Start Here'!$B$5="Growth",'Monthly Growth'!K38,'Monthly Base'!K38))</f>
        <v>187432.266666667</v>
      </c>
      <c r="L38" s="10" t="n">
        <f aca="false">IF('Start Here'!$B$5="Lean",'Monthly Lean'!L38,IF('Start Here'!$B$5="Growth",'Monthly Growth'!L38,'Monthly Base'!L38))</f>
        <v>0</v>
      </c>
      <c r="M38" s="10" t="n">
        <f aca="false">IF('Start Here'!$B$5="Lean",'Monthly Lean'!M38,IF('Start Here'!$B$5="Growth",'Monthly Growth'!M38,'Monthly Base'!M38))</f>
        <v>0</v>
      </c>
      <c r="N38" s="10" t="n">
        <f aca="false">IF('Start Here'!$B$5="Lean",'Monthly Lean'!N38,IF('Start Here'!$B$5="Growth",'Monthly Growth'!N38,'Monthly Base'!N38))</f>
        <v>1518.73855872588</v>
      </c>
      <c r="O38" s="10" t="n">
        <f aca="false">IF('Start Here'!$B$5="Lean",'Monthly Lean'!O38,IF('Start Here'!$B$5="Growth",'Monthly Growth'!O38,'Monthly Base'!O38))</f>
        <v>675.7933</v>
      </c>
      <c r="P38" s="10" t="n">
        <f aca="false">IF('Start Here'!$B$5="Lean",'Monthly Lean'!P38,IF('Start Here'!$B$5="Growth",'Monthly Growth'!P38,'Monthly Base'!P38))</f>
        <v>0</v>
      </c>
      <c r="Q38" s="10" t="n">
        <f aca="false">IF('Start Here'!$B$5="Lean",'Monthly Lean'!Q38,IF('Start Here'!$B$5="Growth",'Monthly Growth'!Q38,'Monthly Base'!Q38))</f>
        <v>0</v>
      </c>
      <c r="R38" s="10" t="n">
        <f aca="false">IF('Start Here'!$B$5="Lean",'Monthly Lean'!R38,IF('Start Here'!$B$5="Growth",'Monthly Growth'!R38,'Monthly Base'!R38))</f>
        <v>0</v>
      </c>
      <c r="S38" s="10" t="n">
        <f aca="false">IF('Start Here'!$B$5="Lean",'Monthly Lean'!S38,IF('Start Here'!$B$5="Growth",'Monthly Growth'!S38,'Monthly Base'!S38))</f>
        <v>12730.8</v>
      </c>
      <c r="T38" s="10" t="n">
        <f aca="false">IF('Start Here'!$B$5="Lean",'Monthly Lean'!T38,IF('Start Here'!$B$5="Growth",'Monthly Growth'!T38,'Monthly Base'!T38))</f>
        <v>636.54</v>
      </c>
      <c r="U38" s="10" t="n">
        <f aca="false">IF('Start Here'!$B$5="Lean",'Monthly Lean'!U38,IF('Start Here'!$B$5="Growth",'Monthly Growth'!U38,'Monthly Base'!U38))</f>
        <v>106.09</v>
      </c>
      <c r="V38" s="10" t="n">
        <f aca="false">IF('Start Here'!$B$5="Lean",'Monthly Lean'!V38,IF('Start Here'!$B$5="Growth",'Monthly Growth'!V38,'Monthly Base'!V38))</f>
        <v>1858.00860507277</v>
      </c>
      <c r="W38" s="10" t="n">
        <f aca="false">IF('Start Here'!$B$5="Lean",'Monthly Lean'!W38,IF('Start Here'!$B$5="Growth",'Monthly Growth'!W38,'Monthly Base'!W38))</f>
        <v>477.405</v>
      </c>
      <c r="X38" s="10" t="n">
        <f aca="false">IF('Start Here'!$B$5="Lean",'Monthly Lean'!X38,IF('Start Here'!$B$5="Growth",'Monthly Growth'!X38,'Monthly Base'!X38))</f>
        <v>0</v>
      </c>
      <c r="Y38" s="10" t="n">
        <f aca="false">IF('Start Here'!$B$5="Lean",'Monthly Lean'!Y38,IF('Start Here'!$B$5="Growth",'Monthly Growth'!Y38,'Monthly Base'!Y38))</f>
        <v>0</v>
      </c>
      <c r="Z38" s="10" t="n">
        <f aca="false">IF('Start Here'!$B$5="Lean",'Monthly Lean'!Z38,IF('Start Here'!$B$5="Growth",'Monthly Growth'!Z38,'Monthly Base'!Z38))</f>
        <v>18003.3754637986</v>
      </c>
      <c r="AA38" s="10" t="n">
        <f aca="false">IF('Start Here'!$B$5="Lean",'Monthly Lean'!AA38,IF('Start Here'!$B$5="Growth",'Monthly Growth'!AA38,'Monthly Base'!AA38))</f>
        <v>30815.3463195698</v>
      </c>
      <c r="AB38" s="10" t="n">
        <f aca="false">IF('Start Here'!$B$5="Lean",'Monthly Lean'!AB38,IF('Start Here'!$B$5="Growth",'Monthly Growth'!AB38,'Monthly Base'!AB38))</f>
        <v>630.486471699687</v>
      </c>
      <c r="AC38" s="10" t="n">
        <f aca="false">IF('Start Here'!$B$5="Lean",'Monthly Lean'!AC38,IF('Start Here'!$B$5="Growth",'Monthly Growth'!AC38,'Monthly Base'!AC38))</f>
        <v>236881.474921735</v>
      </c>
      <c r="AD38" s="10" t="n">
        <f aca="false">IF('Start Here'!$B$5="Lean",'Monthly Lean'!AD38,IF('Start Here'!$B$5="Growth",'Monthly Growth'!AD38,'Monthly Base'!AD38))</f>
        <v>21016.2157233229</v>
      </c>
      <c r="AE38" s="10" t="n">
        <f aca="false">IF('Start Here'!$B$5="Lean",'Monthly Lean'!AE38,IF('Start Here'!$B$5="Growth",'Monthly Growth'!AE38,'Monthly Base'!AE38))</f>
        <v>252194.588679875</v>
      </c>
      <c r="AF38" s="10" t="n">
        <f aca="false">IF('Start Here'!$B$5="Lean",'Monthly Lean'!AF38,IF('Start Here'!$B$5="Growth",'Monthly Growth'!AF38,'Monthly Base'!AF38))</f>
        <v>215865.259198412</v>
      </c>
      <c r="AG38" s="10" t="n">
        <f aca="false">IF('Start Here'!$B$5="Lean",'Monthly Lean'!AG38,IF('Start Here'!$B$5="Growth",'Monthly Growth'!AG38,'Monthly Base'!AG38))</f>
        <v>0</v>
      </c>
      <c r="AH38" s="10" t="n">
        <f aca="false">IF('Start Here'!$B$5="Lean",'Monthly Lean'!AH38,IF('Start Here'!$B$5="Growth",'Monthly Growth'!AH38,'Monthly Base'!AH38))</f>
        <v>54359.6715668303</v>
      </c>
      <c r="AI38" s="10" t="n">
        <f aca="false">IF('Start Here'!$B$5="Lean",'Monthly Lean'!AI38,IF('Start Here'!$B$5="Growth",'Monthly Growth'!AI38,'Monthly Base'!AI38))</f>
        <v>-161505.587631582</v>
      </c>
      <c r="AJ38" s="10" t="n">
        <f aca="false">IF('Start Here'!$B$5="Lean",'Monthly Lean'!AJ38,IF('Start Here'!$B$5="Growth",'Monthly Growth'!AJ38,'Monthly Base'!AJ38))</f>
        <v>4375900.23102262</v>
      </c>
      <c r="AK38" s="10" t="n">
        <f aca="false">IF('Start Here'!$B$5="Lean",'Monthly Lean'!AK38,IF('Start Here'!$B$5="Growth",'Monthly Growth'!AK38,'Monthly Base'!AK38))</f>
        <v>161505.587631582</v>
      </c>
      <c r="AL38" s="10" t="n">
        <f aca="false">IF('Start Here'!$B$5="Lean",'Monthly Lean'!AL38,IF('Start Here'!$B$5="Growth",'Monthly Growth'!AL38,'Monthly Base'!AL38))</f>
        <v>-375900.231022615</v>
      </c>
      <c r="AM38" s="10" t="n">
        <f aca="false">IF('Start Here'!$B$5="Lean",'Monthly Lean'!AM38,IF('Start Here'!$B$5="Growth",'Monthly Growth'!AM38,'Monthly Base'!AM38))</f>
        <v>14693.465</v>
      </c>
      <c r="AN38" s="10" t="n">
        <f aca="false">IF('Start Here'!$B$5="Lean",'Monthly Lean'!AN38,IF('Start Here'!$B$5="Growth",'Monthly Growth'!AN38,'Monthly Base'!AN38))</f>
        <v>0</v>
      </c>
      <c r="AO38" s="10" t="n">
        <f aca="false">IF('Start Here'!$B$5="Lean",'Monthly Lean'!AO38,IF('Start Here'!$B$5="Growth",'Monthly Growth'!AO38,'Monthly Base'!AO38))</f>
        <v>16224</v>
      </c>
      <c r="AP38" s="10" t="n">
        <f aca="false">IF('Start Here'!$B$5="Lean",'Monthly Lean'!AP38,IF('Start Here'!$B$5="Growth",'Monthly Growth'!AP38,'Monthly Base'!AP38))</f>
        <v>4161505.58763158</v>
      </c>
      <c r="AQ38" s="10" t="n">
        <f aca="false">IF('Start Here'!$B$5="Lean",'Monthly Lean'!AQ38,IF('Start Here'!$B$5="Growth",'Monthly Growth'!AQ38,'Monthly Base'!AQ38))</f>
        <v>236881.474921735</v>
      </c>
      <c r="AR38" s="10" t="n">
        <f aca="false">IF('Start Here'!$B$5="Lean",'Monthly Lean'!AR38,IF('Start Here'!$B$5="Growth",'Monthly Growth'!AR38,'Monthly Base'!AR38))</f>
        <v>1</v>
      </c>
    </row>
    <row r="39" customFormat="false" ht="15" hidden="false" customHeight="false" outlineLevel="0" collapsed="false">
      <c r="A39" s="11" t="n">
        <f aca="false">IF('Start Here'!$B$5="Lean",'Monthly Lean'!A39,IF('Start Here'!$B$5="Growth",'Monthly Growth'!A39,'Monthly Base'!A39))</f>
        <v>34</v>
      </c>
      <c r="B39" s="25" t="n">
        <f aca="false">IF('Start Here'!$B$5="Lean",'Monthly Lean'!B39,IF('Start Here'!$B$5="Growth",'Monthly Growth'!B39,'Monthly Base'!B39))</f>
        <v>47331</v>
      </c>
      <c r="C39" s="11" t="n">
        <f aca="false">IF('Start Here'!$B$5="Lean",'Monthly Lean'!C39,IF('Start Here'!$B$5="Growth",'Monthly Growth'!C39,'Monthly Base'!C39))</f>
        <v>1.5</v>
      </c>
      <c r="D39" s="11" t="n">
        <f aca="false">IF('Start Here'!$B$5="Lean",'Monthly Lean'!D39,IF('Start Here'!$B$5="Growth",'Monthly Growth'!D39,'Monthly Base'!D39))</f>
        <v>24.6178372956552</v>
      </c>
      <c r="E39" s="11" t="n">
        <f aca="false">IF('Start Here'!$B$5="Lean",'Monthly Lean'!E39,IF('Start Here'!$B$5="Growth",'Monthly Growth'!E39,'Monthly Base'!E39))</f>
        <v>369.267559434828</v>
      </c>
      <c r="F39" s="11" t="n">
        <f aca="false">IF('Start Here'!$B$5="Lean",'Monthly Lean'!F39,IF('Start Here'!$B$5="Growth",'Monthly Growth'!F39,'Monthly Base'!F39))</f>
        <v>1.66170401745672</v>
      </c>
      <c r="G39" s="11" t="n">
        <f aca="false">IF('Start Here'!$B$5="Lean",'Monthly Lean'!G39,IF('Start Here'!$B$5="Growth",'Monthly Growth'!G39,'Monthly Base'!G39))</f>
        <v>123.089186478276</v>
      </c>
      <c r="H39" s="11" t="n">
        <f aca="false">IF('Start Here'!$B$5="Lean",'Monthly Lean'!H39,IF('Start Here'!$B$5="Growth",'Monthly Growth'!H39,'Monthly Base'!H39))</f>
        <v>24.6178372956552</v>
      </c>
      <c r="I39" s="11" t="n">
        <f aca="false">IF('Start Here'!$B$5="Lean",'Monthly Lean'!I39,IF('Start Here'!$B$5="Growth",'Monthly Growth'!I39,'Monthly Base'!I39))</f>
        <v>12.75</v>
      </c>
      <c r="J39" s="11" t="n">
        <f aca="false">IF('Start Here'!$B$5="Lean",'Monthly Lean'!J39,IF('Start Here'!$B$5="Growth",'Monthly Growth'!J39,'Monthly Base'!J39))</f>
        <v>14</v>
      </c>
      <c r="K39" s="10" t="n">
        <f aca="false">IF('Start Here'!$B$5="Lean",'Monthly Lean'!K39,IF('Start Here'!$B$5="Growth",'Monthly Growth'!K39,'Monthly Base'!K39))</f>
        <v>187432.266666667</v>
      </c>
      <c r="L39" s="10" t="n">
        <f aca="false">IF('Start Here'!$B$5="Lean",'Monthly Lean'!L39,IF('Start Here'!$B$5="Growth",'Monthly Growth'!L39,'Monthly Base'!L39))</f>
        <v>0</v>
      </c>
      <c r="M39" s="10" t="n">
        <f aca="false">IF('Start Here'!$B$5="Lean",'Monthly Lean'!M39,IF('Start Here'!$B$5="Growth",'Monthly Growth'!M39,'Monthly Base'!M39))</f>
        <v>0</v>
      </c>
      <c r="N39" s="10" t="n">
        <f aca="false">IF('Start Here'!$B$5="Lean",'Monthly Lean'!N39,IF('Start Here'!$B$5="Growth",'Monthly Growth'!N39,'Monthly Base'!N39))</f>
        <v>1529.18516938862</v>
      </c>
      <c r="O39" s="10" t="n">
        <f aca="false">IF('Start Here'!$B$5="Lean",'Monthly Lean'!O39,IF('Start Here'!$B$5="Growth",'Monthly Growth'!O39,'Monthly Base'!O39))</f>
        <v>675.7933</v>
      </c>
      <c r="P39" s="10" t="n">
        <f aca="false">IF('Start Here'!$B$5="Lean",'Monthly Lean'!P39,IF('Start Here'!$B$5="Growth",'Monthly Growth'!P39,'Monthly Base'!P39))</f>
        <v>0</v>
      </c>
      <c r="Q39" s="10" t="n">
        <f aca="false">IF('Start Here'!$B$5="Lean",'Monthly Lean'!Q39,IF('Start Here'!$B$5="Growth",'Monthly Growth'!Q39,'Monthly Base'!Q39))</f>
        <v>19096.2</v>
      </c>
      <c r="R39" s="10" t="n">
        <f aca="false">IF('Start Here'!$B$5="Lean",'Monthly Lean'!R39,IF('Start Here'!$B$5="Growth",'Monthly Growth'!R39,'Monthly Base'!R39))</f>
        <v>0</v>
      </c>
      <c r="S39" s="10" t="n">
        <f aca="false">IF('Start Here'!$B$5="Lean",'Monthly Lean'!S39,IF('Start Here'!$B$5="Growth",'Monthly Growth'!S39,'Monthly Base'!S39))</f>
        <v>0</v>
      </c>
      <c r="T39" s="10" t="n">
        <f aca="false">IF('Start Here'!$B$5="Lean",'Monthly Lean'!T39,IF('Start Here'!$B$5="Growth",'Monthly Growth'!T39,'Monthly Base'!T39))</f>
        <v>636.54</v>
      </c>
      <c r="U39" s="10" t="n">
        <f aca="false">IF('Start Here'!$B$5="Lean",'Monthly Lean'!U39,IF('Start Here'!$B$5="Growth",'Monthly Growth'!U39,'Monthly Base'!U39))</f>
        <v>106.09</v>
      </c>
      <c r="V39" s="10" t="n">
        <f aca="false">IF('Start Here'!$B$5="Lean",'Monthly Lean'!V39,IF('Start Here'!$B$5="Growth",'Monthly Growth'!V39,'Monthly Base'!V39))</f>
        <v>1958.77976902204</v>
      </c>
      <c r="W39" s="10" t="n">
        <f aca="false">IF('Start Here'!$B$5="Lean",'Monthly Lean'!W39,IF('Start Here'!$B$5="Growth",'Monthly Growth'!W39,'Monthly Base'!W39))</f>
        <v>477.405</v>
      </c>
      <c r="X39" s="10" t="n">
        <f aca="false">IF('Start Here'!$B$5="Lean",'Monthly Lean'!X39,IF('Start Here'!$B$5="Growth",'Monthly Growth'!X39,'Monthly Base'!X39))</f>
        <v>0</v>
      </c>
      <c r="Y39" s="10" t="n">
        <f aca="false">IF('Start Here'!$B$5="Lean",'Monthly Lean'!Y39,IF('Start Here'!$B$5="Growth",'Monthly Growth'!Y39,'Monthly Base'!Y39))</f>
        <v>0</v>
      </c>
      <c r="Z39" s="10" t="n">
        <f aca="false">IF('Start Here'!$B$5="Lean",'Monthly Lean'!Z39,IF('Start Here'!$B$5="Growth",'Monthly Growth'!Z39,'Monthly Base'!Z39))</f>
        <v>24479.9932384107</v>
      </c>
      <c r="AA39" s="10" t="n">
        <f aca="false">IF('Start Here'!$B$5="Lean",'Monthly Lean'!AA39,IF('Start Here'!$B$5="Growth",'Monthly Growth'!AA39,'Monthly Base'!AA39))</f>
        <v>31786.8389857616</v>
      </c>
      <c r="AB39" s="10" t="n">
        <f aca="false">IF('Start Here'!$B$5="Lean",'Monthly Lean'!AB39,IF('Start Here'!$B$5="Growth",'Monthly Growth'!AB39,'Monthly Base'!AB39))</f>
        <v>664.68160698269</v>
      </c>
      <c r="AC39" s="10" t="n">
        <f aca="false">IF('Start Here'!$B$5="Lean",'Monthly Lean'!AC39,IF('Start Here'!$B$5="Growth",'Monthly Growth'!AC39,'Monthly Base'!AC39))</f>
        <v>244363.780497822</v>
      </c>
      <c r="AD39" s="10" t="n">
        <f aca="false">IF('Start Here'!$B$5="Lean",'Monthly Lean'!AD39,IF('Start Here'!$B$5="Growth",'Monthly Growth'!AD39,'Monthly Base'!AD39))</f>
        <v>22156.0535660897</v>
      </c>
      <c r="AE39" s="10" t="n">
        <f aca="false">IF('Start Here'!$B$5="Lean",'Monthly Lean'!AE39,IF('Start Here'!$B$5="Growth",'Monthly Growth'!AE39,'Monthly Base'!AE39))</f>
        <v>265872.642793076</v>
      </c>
      <c r="AF39" s="10" t="n">
        <f aca="false">IF('Start Here'!$B$5="Lean",'Monthly Lean'!AF39,IF('Start Here'!$B$5="Growth",'Monthly Growth'!AF39,'Monthly Base'!AF39))</f>
        <v>222207.726931732</v>
      </c>
      <c r="AG39" s="10" t="n">
        <f aca="false">IF('Start Here'!$B$5="Lean",'Monthly Lean'!AG39,IF('Start Here'!$B$5="Growth",'Monthly Growth'!AG39,'Monthly Base'!AG39))</f>
        <v>0</v>
      </c>
      <c r="AH39" s="10" t="n">
        <f aca="false">IF('Start Here'!$B$5="Lean",'Monthly Lean'!AH39,IF('Start Here'!$B$5="Growth",'Monthly Growth'!AH39,'Monthly Base'!AH39))</f>
        <v>-161505.587631582</v>
      </c>
      <c r="AI39" s="10" t="n">
        <f aca="false">IF('Start Here'!$B$5="Lean",'Monthly Lean'!AI39,IF('Start Here'!$B$5="Growth",'Monthly Growth'!AI39,'Monthly Base'!AI39))</f>
        <v>-383713.314563314</v>
      </c>
      <c r="AJ39" s="10" t="n">
        <f aca="false">IF('Start Here'!$B$5="Lean",'Monthly Lean'!AJ39,IF('Start Here'!$B$5="Growth",'Monthly Growth'!AJ39,'Monthly Base'!AJ39))</f>
        <v>4620264.01152044</v>
      </c>
      <c r="AK39" s="10" t="n">
        <f aca="false">IF('Start Here'!$B$5="Lean",'Monthly Lean'!AK39,IF('Start Here'!$B$5="Growth",'Monthly Growth'!AK39,'Monthly Base'!AK39))</f>
        <v>383713.314563314</v>
      </c>
      <c r="AL39" s="10" t="n">
        <f aca="false">IF('Start Here'!$B$5="Lean",'Monthly Lean'!AL39,IF('Start Here'!$B$5="Growth",'Monthly Growth'!AL39,'Monthly Base'!AL39))</f>
        <v>-620264.011520437</v>
      </c>
      <c r="AM39" s="10" t="n">
        <f aca="false">IF('Start Here'!$B$5="Lean",'Monthly Lean'!AM39,IF('Start Here'!$B$5="Growth",'Monthly Growth'!AM39,'Monthly Base'!AM39))</f>
        <v>21058.865</v>
      </c>
      <c r="AN39" s="10" t="n">
        <f aca="false">IF('Start Here'!$B$5="Lean",'Monthly Lean'!AN39,IF('Start Here'!$B$5="Growth",'Monthly Growth'!AN39,'Monthly Base'!AN39))</f>
        <v>0</v>
      </c>
      <c r="AO39" s="10" t="n">
        <f aca="false">IF('Start Here'!$B$5="Lean",'Monthly Lean'!AO39,IF('Start Here'!$B$5="Growth",'Monthly Growth'!AO39,'Monthly Base'!AO39))</f>
        <v>16224</v>
      </c>
      <c r="AP39" s="10" t="n">
        <f aca="false">IF('Start Here'!$B$5="Lean",'Monthly Lean'!AP39,IF('Start Here'!$B$5="Growth",'Monthly Growth'!AP39,'Monthly Base'!AP39))</f>
        <v>4383713.31456331</v>
      </c>
      <c r="AQ39" s="10" t="n">
        <f aca="false">IF('Start Here'!$B$5="Lean",'Monthly Lean'!AQ39,IF('Start Here'!$B$5="Growth",'Monthly Growth'!AQ39,'Monthly Base'!AQ39))</f>
        <v>244363.780497822</v>
      </c>
      <c r="AR39" s="10" t="n">
        <f aca="false">IF('Start Here'!$B$5="Lean",'Monthly Lean'!AR39,IF('Start Here'!$B$5="Growth",'Monthly Growth'!AR39,'Monthly Base'!AR39))</f>
        <v>1</v>
      </c>
    </row>
    <row r="40" customFormat="false" ht="15" hidden="false" customHeight="false" outlineLevel="0" collapsed="false">
      <c r="A40" s="11" t="n">
        <f aca="false">IF('Start Here'!$B$5="Lean",'Monthly Lean'!A40,IF('Start Here'!$B$5="Growth",'Monthly Growth'!A40,'Monthly Base'!A40))</f>
        <v>35</v>
      </c>
      <c r="B40" s="25" t="n">
        <f aca="false">IF('Start Here'!$B$5="Lean",'Monthly Lean'!B40,IF('Start Here'!$B$5="Growth",'Monthly Growth'!B40,'Monthly Base'!B40))</f>
        <v>47362</v>
      </c>
      <c r="C40" s="11" t="n">
        <f aca="false">IF('Start Here'!$B$5="Lean",'Monthly Lean'!C40,IF('Start Here'!$B$5="Growth",'Monthly Growth'!C40,'Monthly Base'!C40))</f>
        <v>1.5</v>
      </c>
      <c r="D40" s="11" t="n">
        <f aca="false">IF('Start Here'!$B$5="Lean",'Monthly Lean'!D40,IF('Start Here'!$B$5="Growth",'Monthly Growth'!D40,'Monthly Base'!D40))</f>
        <v>25.8716589226986</v>
      </c>
      <c r="E40" s="11" t="n">
        <f aca="false">IF('Start Here'!$B$5="Lean",'Monthly Lean'!E40,IF('Start Here'!$B$5="Growth",'Monthly Growth'!E40,'Monthly Base'!E40))</f>
        <v>388.074883840479</v>
      </c>
      <c r="F40" s="11" t="n">
        <f aca="false">IF('Start Here'!$B$5="Lean",'Monthly Lean'!F40,IF('Start Here'!$B$5="Growth",'Monthly Growth'!F40,'Monthly Base'!F40))</f>
        <v>1.74633697728216</v>
      </c>
      <c r="G40" s="11" t="n">
        <f aca="false">IF('Start Here'!$B$5="Lean",'Monthly Lean'!G40,IF('Start Here'!$B$5="Growth",'Monthly Growth'!G40,'Monthly Base'!G40))</f>
        <v>129.358294613493</v>
      </c>
      <c r="H40" s="11" t="n">
        <f aca="false">IF('Start Here'!$B$5="Lean",'Monthly Lean'!H40,IF('Start Here'!$B$5="Growth",'Monthly Growth'!H40,'Monthly Base'!H40))</f>
        <v>25.8716589226986</v>
      </c>
      <c r="I40" s="11" t="n">
        <f aca="false">IF('Start Here'!$B$5="Lean",'Monthly Lean'!I40,IF('Start Here'!$B$5="Growth",'Monthly Growth'!I40,'Monthly Base'!I40))</f>
        <v>12.75</v>
      </c>
      <c r="J40" s="11" t="n">
        <f aca="false">IF('Start Here'!$B$5="Lean",'Monthly Lean'!J40,IF('Start Here'!$B$5="Growth",'Monthly Growth'!J40,'Monthly Base'!J40))</f>
        <v>14</v>
      </c>
      <c r="K40" s="10" t="n">
        <f aca="false">IF('Start Here'!$B$5="Lean",'Monthly Lean'!K40,IF('Start Here'!$B$5="Growth",'Monthly Growth'!K40,'Monthly Base'!K40))</f>
        <v>187432.266666667</v>
      </c>
      <c r="L40" s="10" t="n">
        <f aca="false">IF('Start Here'!$B$5="Lean",'Monthly Lean'!L40,IF('Start Here'!$B$5="Growth",'Monthly Growth'!L40,'Monthly Base'!L40))</f>
        <v>0</v>
      </c>
      <c r="M40" s="10" t="n">
        <f aca="false">IF('Start Here'!$B$5="Lean",'Monthly Lean'!M40,IF('Start Here'!$B$5="Growth",'Monthly Growth'!M40,'Monthly Base'!M40))</f>
        <v>0</v>
      </c>
      <c r="N40" s="10" t="n">
        <f aca="false">IF('Start Here'!$B$5="Lean",'Monthly Lean'!N40,IF('Start Here'!$B$5="Growth",'Monthly Growth'!N40,'Monthly Base'!N40))</f>
        <v>1539.52731394473</v>
      </c>
      <c r="O40" s="10" t="n">
        <f aca="false">IF('Start Here'!$B$5="Lean",'Monthly Lean'!O40,IF('Start Here'!$B$5="Growth",'Monthly Growth'!O40,'Monthly Base'!O40))</f>
        <v>675.7933</v>
      </c>
      <c r="P40" s="10" t="n">
        <f aca="false">IF('Start Here'!$B$5="Lean",'Monthly Lean'!P40,IF('Start Here'!$B$5="Growth",'Monthly Growth'!P40,'Monthly Base'!P40))</f>
        <v>0</v>
      </c>
      <c r="Q40" s="10" t="n">
        <f aca="false">IF('Start Here'!$B$5="Lean",'Monthly Lean'!Q40,IF('Start Here'!$B$5="Growth",'Monthly Growth'!Q40,'Monthly Base'!Q40))</f>
        <v>0</v>
      </c>
      <c r="R40" s="10" t="n">
        <f aca="false">IF('Start Here'!$B$5="Lean",'Monthly Lean'!R40,IF('Start Here'!$B$5="Growth",'Monthly Growth'!R40,'Monthly Base'!R40))</f>
        <v>15913.5</v>
      </c>
      <c r="S40" s="10" t="n">
        <f aca="false">IF('Start Here'!$B$5="Lean",'Monthly Lean'!S40,IF('Start Here'!$B$5="Growth",'Monthly Growth'!S40,'Monthly Base'!S40))</f>
        <v>0</v>
      </c>
      <c r="T40" s="10" t="n">
        <f aca="false">IF('Start Here'!$B$5="Lean",'Monthly Lean'!T40,IF('Start Here'!$B$5="Growth",'Monthly Growth'!T40,'Monthly Base'!T40))</f>
        <v>636.54</v>
      </c>
      <c r="U40" s="10" t="n">
        <f aca="false">IF('Start Here'!$B$5="Lean",'Monthly Lean'!U40,IF('Start Here'!$B$5="Growth",'Monthly Growth'!U40,'Monthly Base'!U40))</f>
        <v>106.09</v>
      </c>
      <c r="V40" s="10" t="n">
        <f aca="false">IF('Start Here'!$B$5="Lean",'Monthly Lean'!V40,IF('Start Here'!$B$5="Growth",'Monthly Growth'!V40,'Monthly Base'!V40))</f>
        <v>2058.54322133182</v>
      </c>
      <c r="W40" s="10" t="n">
        <f aca="false">IF('Start Here'!$B$5="Lean",'Monthly Lean'!W40,IF('Start Here'!$B$5="Growth",'Monthly Growth'!W40,'Monthly Base'!W40))</f>
        <v>477.405</v>
      </c>
      <c r="X40" s="10" t="n">
        <f aca="false">IF('Start Here'!$B$5="Lean",'Monthly Lean'!X40,IF('Start Here'!$B$5="Growth",'Monthly Growth'!X40,'Monthly Base'!X40))</f>
        <v>0</v>
      </c>
      <c r="Y40" s="10" t="n">
        <f aca="false">IF('Start Here'!$B$5="Lean",'Monthly Lean'!Y40,IF('Start Here'!$B$5="Growth",'Monthly Growth'!Y40,'Monthly Base'!Y40))</f>
        <v>0</v>
      </c>
      <c r="Z40" s="10" t="n">
        <f aca="false">IF('Start Here'!$B$5="Lean",'Monthly Lean'!Z40,IF('Start Here'!$B$5="Growth",'Monthly Growth'!Z40,'Monthly Base'!Z40))</f>
        <v>21407.3988352766</v>
      </c>
      <c r="AA40" s="10" t="n">
        <f aca="false">IF('Start Here'!$B$5="Lean",'Monthly Lean'!AA40,IF('Start Here'!$B$5="Growth",'Monthly Growth'!AA40,'Monthly Base'!AA40))</f>
        <v>31325.9498252915</v>
      </c>
      <c r="AB40" s="10" t="n">
        <f aca="false">IF('Start Here'!$B$5="Lean",'Monthly Lean'!AB40,IF('Start Here'!$B$5="Growth",'Monthly Growth'!AB40,'Monthly Base'!AB40))</f>
        <v>698.534790912863</v>
      </c>
      <c r="AC40" s="10" t="n">
        <f aca="false">IF('Start Here'!$B$5="Lean",'Monthly Lean'!AC40,IF('Start Here'!$B$5="Growth",'Monthly Growth'!AC40,'Monthly Base'!AC40))</f>
        <v>240864.150118148</v>
      </c>
      <c r="AD40" s="10" t="n">
        <f aca="false">IF('Start Here'!$B$5="Lean",'Monthly Lean'!AD40,IF('Start Here'!$B$5="Growth",'Monthly Growth'!AD40,'Monthly Base'!AD40))</f>
        <v>23284.4930304288</v>
      </c>
      <c r="AE40" s="10" t="n">
        <f aca="false">IF('Start Here'!$B$5="Lean",'Monthly Lean'!AE40,IF('Start Here'!$B$5="Growth",'Monthly Growth'!AE40,'Monthly Base'!AE40))</f>
        <v>279413.916365145</v>
      </c>
      <c r="AF40" s="10" t="n">
        <f aca="false">IF('Start Here'!$B$5="Lean",'Monthly Lean'!AF40,IF('Start Here'!$B$5="Growth",'Monthly Growth'!AF40,'Monthly Base'!AF40))</f>
        <v>217579.657087719</v>
      </c>
      <c r="AG40" s="10" t="n">
        <f aca="false">IF('Start Here'!$B$5="Lean",'Monthly Lean'!AG40,IF('Start Here'!$B$5="Growth",'Monthly Growth'!AG40,'Monthly Base'!AG40))</f>
        <v>0</v>
      </c>
      <c r="AH40" s="10" t="n">
        <f aca="false">IF('Start Here'!$B$5="Lean",'Monthly Lean'!AH40,IF('Start Here'!$B$5="Growth",'Monthly Growth'!AH40,'Monthly Base'!AH40))</f>
        <v>-383713.314563314</v>
      </c>
      <c r="AI40" s="10" t="n">
        <f aca="false">IF('Start Here'!$B$5="Lean",'Monthly Lean'!AI40,IF('Start Here'!$B$5="Growth",'Monthly Growth'!AI40,'Monthly Base'!AI40))</f>
        <v>-601292.971651033</v>
      </c>
      <c r="AJ40" s="10" t="n">
        <f aca="false">IF('Start Here'!$B$5="Lean",'Monthly Lean'!AJ40,IF('Start Here'!$B$5="Growth",'Monthly Growth'!AJ40,'Monthly Base'!AJ40))</f>
        <v>4861128.16163859</v>
      </c>
      <c r="AK40" s="10" t="n">
        <f aca="false">IF('Start Here'!$B$5="Lean",'Monthly Lean'!AK40,IF('Start Here'!$B$5="Growth",'Monthly Growth'!AK40,'Monthly Base'!AK40))</f>
        <v>601292.971651033</v>
      </c>
      <c r="AL40" s="10" t="n">
        <f aca="false">IF('Start Here'!$B$5="Lean",'Monthly Lean'!AL40,IF('Start Here'!$B$5="Growth",'Monthly Growth'!AL40,'Monthly Base'!AL40))</f>
        <v>-861128.161638585</v>
      </c>
      <c r="AM40" s="10" t="n">
        <f aca="false">IF('Start Here'!$B$5="Lean",'Monthly Lean'!AM40,IF('Start Here'!$B$5="Growth",'Monthly Growth'!AM40,'Monthly Base'!AM40))</f>
        <v>17876.165</v>
      </c>
      <c r="AN40" s="10" t="n">
        <f aca="false">IF('Start Here'!$B$5="Lean",'Monthly Lean'!AN40,IF('Start Here'!$B$5="Growth",'Monthly Growth'!AN40,'Monthly Base'!AN40))</f>
        <v>0</v>
      </c>
      <c r="AO40" s="10" t="n">
        <f aca="false">IF('Start Here'!$B$5="Lean",'Monthly Lean'!AO40,IF('Start Here'!$B$5="Growth",'Monthly Growth'!AO40,'Monthly Base'!AO40))</f>
        <v>16224</v>
      </c>
      <c r="AP40" s="10" t="n">
        <f aca="false">IF('Start Here'!$B$5="Lean",'Monthly Lean'!AP40,IF('Start Here'!$B$5="Growth",'Monthly Growth'!AP40,'Monthly Base'!AP40))</f>
        <v>4601292.97165103</v>
      </c>
      <c r="AQ40" s="10" t="n">
        <f aca="false">IF('Start Here'!$B$5="Lean",'Monthly Lean'!AQ40,IF('Start Here'!$B$5="Growth",'Monthly Growth'!AQ40,'Monthly Base'!AQ40))</f>
        <v>240864.150118148</v>
      </c>
      <c r="AR40" s="10" t="n">
        <f aca="false">IF('Start Here'!$B$5="Lean",'Monthly Lean'!AR40,IF('Start Here'!$B$5="Growth",'Monthly Growth'!AR40,'Monthly Base'!AR40))</f>
        <v>1</v>
      </c>
    </row>
    <row r="41" customFormat="false" ht="15" hidden="false" customHeight="false" outlineLevel="0" collapsed="false">
      <c r="A41" s="11" t="n">
        <f aca="false">IF('Start Here'!$B$5="Lean",'Monthly Lean'!A41,IF('Start Here'!$B$5="Growth",'Monthly Growth'!A41,'Monthly Base'!A41))</f>
        <v>36</v>
      </c>
      <c r="B41" s="25" t="n">
        <f aca="false">IF('Start Here'!$B$5="Lean",'Monthly Lean'!B41,IF('Start Here'!$B$5="Growth",'Monthly Growth'!B41,'Monthly Base'!B41))</f>
        <v>47392</v>
      </c>
      <c r="C41" s="11" t="n">
        <f aca="false">IF('Start Here'!$B$5="Lean",'Monthly Lean'!C41,IF('Start Here'!$B$5="Growth",'Monthly Growth'!C41,'Monthly Base'!C41))</f>
        <v>1.5</v>
      </c>
      <c r="D41" s="11" t="n">
        <f aca="false">IF('Start Here'!$B$5="Lean",'Monthly Lean'!D41,IF('Start Here'!$B$5="Growth",'Monthly Growth'!D41,'Monthly Base'!D41))</f>
        <v>27.1129423334716</v>
      </c>
      <c r="E41" s="11" t="n">
        <f aca="false">IF('Start Here'!$B$5="Lean",'Monthly Lean'!E41,IF('Start Here'!$B$5="Growth",'Monthly Growth'!E41,'Monthly Base'!E41))</f>
        <v>406.694135002075</v>
      </c>
      <c r="F41" s="11" t="n">
        <f aca="false">IF('Start Here'!$B$5="Lean",'Monthly Lean'!F41,IF('Start Here'!$B$5="Growth",'Monthly Growth'!F41,'Monthly Base'!F41))</f>
        <v>1.83012360750934</v>
      </c>
      <c r="G41" s="11" t="n">
        <f aca="false">IF('Start Here'!$B$5="Lean",'Monthly Lean'!G41,IF('Start Here'!$B$5="Growth",'Monthly Growth'!G41,'Monthly Base'!G41))</f>
        <v>135.564711667358</v>
      </c>
      <c r="H41" s="11" t="n">
        <f aca="false">IF('Start Here'!$B$5="Lean",'Monthly Lean'!H41,IF('Start Here'!$B$5="Growth",'Monthly Growth'!H41,'Monthly Base'!H41))</f>
        <v>27.1129423334716</v>
      </c>
      <c r="I41" s="11" t="n">
        <f aca="false">IF('Start Here'!$B$5="Lean",'Monthly Lean'!I41,IF('Start Here'!$B$5="Growth",'Monthly Growth'!I41,'Monthly Base'!I41))</f>
        <v>12.75</v>
      </c>
      <c r="J41" s="11" t="n">
        <f aca="false">IF('Start Here'!$B$5="Lean",'Monthly Lean'!J41,IF('Start Here'!$B$5="Growth",'Monthly Growth'!J41,'Monthly Base'!J41))</f>
        <v>14</v>
      </c>
      <c r="K41" s="10" t="n">
        <f aca="false">IF('Start Here'!$B$5="Lean",'Monthly Lean'!K41,IF('Start Here'!$B$5="Growth",'Monthly Growth'!K41,'Monthly Base'!K41))</f>
        <v>187432.266666667</v>
      </c>
      <c r="L41" s="10" t="n">
        <f aca="false">IF('Start Here'!$B$5="Lean",'Monthly Lean'!L41,IF('Start Here'!$B$5="Growth",'Monthly Growth'!L41,'Monthly Base'!L41))</f>
        <v>0</v>
      </c>
      <c r="M41" s="10" t="n">
        <f aca="false">IF('Start Here'!$B$5="Lean",'Monthly Lean'!M41,IF('Start Here'!$B$5="Growth",'Monthly Growth'!M41,'Monthly Base'!M41))</f>
        <v>0</v>
      </c>
      <c r="N41" s="10" t="n">
        <f aca="false">IF('Start Here'!$B$5="Lean",'Monthly Lean'!N41,IF('Start Here'!$B$5="Growth",'Monthly Growth'!N41,'Monthly Base'!N41))</f>
        <v>1549.76603705528</v>
      </c>
      <c r="O41" s="10" t="n">
        <f aca="false">IF('Start Here'!$B$5="Lean",'Monthly Lean'!O41,IF('Start Here'!$B$5="Growth",'Monthly Growth'!O41,'Monthly Base'!O41))</f>
        <v>675.7933</v>
      </c>
      <c r="P41" s="10" t="n">
        <f aca="false">IF('Start Here'!$B$5="Lean",'Monthly Lean'!P41,IF('Start Here'!$B$5="Growth",'Monthly Growth'!P41,'Monthly Base'!P41))</f>
        <v>0</v>
      </c>
      <c r="Q41" s="10" t="n">
        <f aca="false">IF('Start Here'!$B$5="Lean",'Monthly Lean'!Q41,IF('Start Here'!$B$5="Growth",'Monthly Growth'!Q41,'Monthly Base'!Q41))</f>
        <v>0</v>
      </c>
      <c r="R41" s="10" t="n">
        <f aca="false">IF('Start Here'!$B$5="Lean",'Monthly Lean'!R41,IF('Start Here'!$B$5="Growth",'Monthly Growth'!R41,'Monthly Base'!R41))</f>
        <v>0</v>
      </c>
      <c r="S41" s="10" t="n">
        <f aca="false">IF('Start Here'!$B$5="Lean",'Monthly Lean'!S41,IF('Start Here'!$B$5="Growth",'Monthly Growth'!S41,'Monthly Base'!S41))</f>
        <v>0</v>
      </c>
      <c r="T41" s="10" t="n">
        <f aca="false">IF('Start Here'!$B$5="Lean",'Monthly Lean'!T41,IF('Start Here'!$B$5="Growth",'Monthly Growth'!T41,'Monthly Base'!T41))</f>
        <v>636.54</v>
      </c>
      <c r="U41" s="10" t="n">
        <f aca="false">IF('Start Here'!$B$5="Lean",'Monthly Lean'!U41,IF('Start Here'!$B$5="Growth",'Monthly Growth'!U41,'Monthly Base'!U41))</f>
        <v>106.09</v>
      </c>
      <c r="V41" s="10" t="n">
        <f aca="false">IF('Start Here'!$B$5="Lean",'Monthly Lean'!V41,IF('Start Here'!$B$5="Growth",'Monthly Growth'!V41,'Monthly Base'!V41))</f>
        <v>2157.3090391185</v>
      </c>
      <c r="W41" s="10" t="n">
        <f aca="false">IF('Start Here'!$B$5="Lean",'Monthly Lean'!W41,IF('Start Here'!$B$5="Growth",'Monthly Growth'!W41,'Monthly Base'!W41))</f>
        <v>477.405</v>
      </c>
      <c r="X41" s="10" t="n">
        <f aca="false">IF('Start Here'!$B$5="Lean",'Monthly Lean'!X41,IF('Start Here'!$B$5="Growth",'Monthly Growth'!X41,'Monthly Base'!X41))</f>
        <v>0</v>
      </c>
      <c r="Y41" s="10" t="n">
        <f aca="false">IF('Start Here'!$B$5="Lean",'Monthly Lean'!Y41,IF('Start Here'!$B$5="Growth",'Monthly Growth'!Y41,'Monthly Base'!Y41))</f>
        <v>0</v>
      </c>
      <c r="Z41" s="10" t="n">
        <f aca="false">IF('Start Here'!$B$5="Lean",'Monthly Lean'!Z41,IF('Start Here'!$B$5="Growth",'Monthly Growth'!Z41,'Monthly Base'!Z41))</f>
        <v>5602.90337617379</v>
      </c>
      <c r="AA41" s="10" t="n">
        <f aca="false">IF('Start Here'!$B$5="Lean",'Monthly Lean'!AA41,IF('Start Here'!$B$5="Growth",'Monthly Growth'!AA41,'Monthly Base'!AA41))</f>
        <v>28955.2755064261</v>
      </c>
      <c r="AB41" s="10" t="n">
        <f aca="false">IF('Start Here'!$B$5="Lean",'Monthly Lean'!AB41,IF('Start Here'!$B$5="Growth",'Monthly Growth'!AB41,'Monthly Base'!AB41))</f>
        <v>732.049443003734</v>
      </c>
      <c r="AC41" s="10" t="n">
        <f aca="false">IF('Start Here'!$B$5="Lean",'Monthly Lean'!AC41,IF('Start Here'!$B$5="Growth",'Monthly Growth'!AC41,'Monthly Base'!AC41))</f>
        <v>222722.49499227</v>
      </c>
      <c r="AD41" s="10" t="n">
        <f aca="false">IF('Start Here'!$B$5="Lean",'Monthly Lean'!AD41,IF('Start Here'!$B$5="Growth",'Monthly Growth'!AD41,'Monthly Base'!AD41))</f>
        <v>24401.6481001245</v>
      </c>
      <c r="AE41" s="10" t="n">
        <f aca="false">IF('Start Here'!$B$5="Lean",'Monthly Lean'!AE41,IF('Start Here'!$B$5="Growth",'Monthly Growth'!AE41,'Monthly Base'!AE41))</f>
        <v>292819.777201494</v>
      </c>
      <c r="AF41" s="10" t="n">
        <f aca="false">IF('Start Here'!$B$5="Lean",'Monthly Lean'!AF41,IF('Start Here'!$B$5="Growth",'Monthly Growth'!AF41,'Monthly Base'!AF41))</f>
        <v>198320.846892146</v>
      </c>
      <c r="AG41" s="10" t="n">
        <f aca="false">IF('Start Here'!$B$5="Lean",'Monthly Lean'!AG41,IF('Start Here'!$B$5="Growth",'Monthly Growth'!AG41,'Monthly Base'!AG41))</f>
        <v>0</v>
      </c>
      <c r="AH41" s="10" t="n">
        <f aca="false">IF('Start Here'!$B$5="Lean",'Monthly Lean'!AH41,IF('Start Here'!$B$5="Growth",'Monthly Growth'!AH41,'Monthly Base'!AH41))</f>
        <v>-601292.971651033</v>
      </c>
      <c r="AI41" s="10" t="n">
        <f aca="false">IF('Start Here'!$B$5="Lean",'Monthly Lean'!AI41,IF('Start Here'!$B$5="Growth",'Monthly Growth'!AI41,'Monthly Base'!AI41))</f>
        <v>-799613.818543178</v>
      </c>
      <c r="AJ41" s="10" t="n">
        <f aca="false">IF('Start Here'!$B$5="Lean",'Monthly Lean'!AJ41,IF('Start Here'!$B$5="Growth",'Monthly Growth'!AJ41,'Monthly Base'!AJ41))</f>
        <v>5083850.65663085</v>
      </c>
      <c r="AK41" s="10" t="n">
        <f aca="false">IF('Start Here'!$B$5="Lean",'Monthly Lean'!AK41,IF('Start Here'!$B$5="Growth",'Monthly Growth'!AK41,'Monthly Base'!AK41))</f>
        <v>799613.818543178</v>
      </c>
      <c r="AL41" s="10" t="n">
        <f aca="false">IF('Start Here'!$B$5="Lean",'Monthly Lean'!AL41,IF('Start Here'!$B$5="Growth",'Monthly Growth'!AL41,'Monthly Base'!AL41))</f>
        <v>-1083850.65663085</v>
      </c>
      <c r="AM41" s="10" t="n">
        <f aca="false">IF('Start Here'!$B$5="Lean",'Monthly Lean'!AM41,IF('Start Here'!$B$5="Growth",'Monthly Growth'!AM41,'Monthly Base'!AM41))</f>
        <v>1962.665</v>
      </c>
      <c r="AN41" s="10" t="n">
        <f aca="false">IF('Start Here'!$B$5="Lean",'Monthly Lean'!AN41,IF('Start Here'!$B$5="Growth",'Monthly Growth'!AN41,'Monthly Base'!AN41))</f>
        <v>0</v>
      </c>
      <c r="AO41" s="10" t="n">
        <f aca="false">IF('Start Here'!$B$5="Lean",'Monthly Lean'!AO41,IF('Start Here'!$B$5="Growth",'Monthly Growth'!AO41,'Monthly Base'!AO41))</f>
        <v>16224</v>
      </c>
      <c r="AP41" s="10" t="n">
        <f aca="false">IF('Start Here'!$B$5="Lean",'Monthly Lean'!AP41,IF('Start Here'!$B$5="Growth",'Monthly Growth'!AP41,'Monthly Base'!AP41))</f>
        <v>4799613.81854318</v>
      </c>
      <c r="AQ41" s="10" t="n">
        <f aca="false">IF('Start Here'!$B$5="Lean",'Monthly Lean'!AQ41,IF('Start Here'!$B$5="Growth",'Monthly Growth'!AQ41,'Monthly Base'!AQ41))</f>
        <v>222722.49499227</v>
      </c>
      <c r="AR41" s="10" t="n">
        <f aca="false">IF('Start Here'!$B$5="Lean",'Monthly Lean'!AR41,IF('Start Here'!$B$5="Growth",'Monthly Growth'!AR41,'Monthly Base'!AR41))</f>
        <v>1</v>
      </c>
    </row>
    <row r="42" customFormat="false" ht="15" hidden="false" customHeight="false" outlineLevel="0" collapsed="false">
      <c r="A42" s="11" t="n">
        <f aca="false">IF('Start Here'!$B$5="Lean",'Monthly Lean'!A42,IF('Start Here'!$B$5="Growth",'Monthly Growth'!A42,'Monthly Base'!A42))</f>
        <v>37</v>
      </c>
      <c r="B42" s="25" t="n">
        <f aca="false">IF('Start Here'!$B$5="Lean",'Monthly Lean'!B42,IF('Start Here'!$B$5="Growth",'Monthly Growth'!B42,'Monthly Base'!B42))</f>
        <v>47423</v>
      </c>
      <c r="C42" s="11" t="n">
        <f aca="false">IF('Start Here'!$B$5="Lean",'Monthly Lean'!C42,IF('Start Here'!$B$5="Growth",'Monthly Growth'!C42,'Monthly Base'!C42))</f>
        <v>2.25</v>
      </c>
      <c r="D42" s="11" t="n">
        <f aca="false">IF('Start Here'!$B$5="Lean",'Monthly Lean'!D42,IF('Start Here'!$B$5="Growth",'Monthly Growth'!D42,'Monthly Base'!D42))</f>
        <v>29.0918129101369</v>
      </c>
      <c r="E42" s="11" t="n">
        <f aca="false">IF('Start Here'!$B$5="Lean",'Monthly Lean'!E42,IF('Start Here'!$B$5="Growth",'Monthly Growth'!E42,'Monthly Base'!E42))</f>
        <v>436.377193652054</v>
      </c>
      <c r="F42" s="11" t="n">
        <f aca="false">IF('Start Here'!$B$5="Lean",'Monthly Lean'!F42,IF('Start Here'!$B$5="Growth",'Monthly Growth'!F42,'Monthly Base'!F42))</f>
        <v>1.96369737143424</v>
      </c>
      <c r="G42" s="11" t="n">
        <f aca="false">IF('Start Here'!$B$5="Lean",'Monthly Lean'!G42,IF('Start Here'!$B$5="Growth",'Monthly Growth'!G42,'Monthly Base'!G42))</f>
        <v>145.459064550685</v>
      </c>
      <c r="H42" s="11" t="n">
        <f aca="false">IF('Start Here'!$B$5="Lean",'Monthly Lean'!H42,IF('Start Here'!$B$5="Growth",'Monthly Growth'!H42,'Monthly Base'!H42))</f>
        <v>29.0918129101369</v>
      </c>
      <c r="I42" s="11" t="n">
        <f aca="false">IF('Start Here'!$B$5="Lean",'Monthly Lean'!I42,IF('Start Here'!$B$5="Growth",'Monthly Growth'!I42,'Monthly Base'!I42))</f>
        <v>12.5</v>
      </c>
      <c r="J42" s="11" t="n">
        <f aca="false">IF('Start Here'!$B$5="Lean",'Monthly Lean'!J42,IF('Start Here'!$B$5="Growth",'Monthly Growth'!J42,'Monthly Base'!J42))</f>
        <v>13</v>
      </c>
      <c r="K42" s="10" t="n">
        <f aca="false">IF('Start Here'!$B$5="Lean",'Monthly Lean'!K42,IF('Start Here'!$B$5="Growth",'Monthly Growth'!K42,'Monthly Base'!K42))</f>
        <v>191883.050666667</v>
      </c>
      <c r="L42" s="10" t="n">
        <f aca="false">IF('Start Here'!$B$5="Lean",'Monthly Lean'!L42,IF('Start Here'!$B$5="Growth",'Monthly Growth'!L42,'Monthly Base'!L42))</f>
        <v>0</v>
      </c>
      <c r="M42" s="10" t="n">
        <f aca="false">IF('Start Here'!$B$5="Lean",'Monthly Lean'!M42,IF('Start Here'!$B$5="Growth",'Monthly Growth'!M42,'Monthly Base'!M42))</f>
        <v>0</v>
      </c>
      <c r="N42" s="10" t="n">
        <f aca="false">IF('Start Here'!$B$5="Lean",'Monthly Lean'!N42,IF('Start Here'!$B$5="Growth",'Monthly Growth'!N42,'Monthly Base'!N42))</f>
        <v>1613.07140844152</v>
      </c>
      <c r="O42" s="10" t="n">
        <f aca="false">IF('Start Here'!$B$5="Lean",'Monthly Lean'!O42,IF('Start Here'!$B$5="Growth",'Monthly Growth'!O42,'Monthly Base'!O42))</f>
        <v>696.067099</v>
      </c>
      <c r="P42" s="10" t="n">
        <f aca="false">IF('Start Here'!$B$5="Lean",'Monthly Lean'!P42,IF('Start Here'!$B$5="Growth",'Monthly Growth'!P42,'Monthly Base'!P42))</f>
        <v>0</v>
      </c>
      <c r="Q42" s="10" t="n">
        <f aca="false">IF('Start Here'!$B$5="Lean",'Monthly Lean'!Q42,IF('Start Here'!$B$5="Growth",'Monthly Growth'!Q42,'Monthly Base'!Q42))</f>
        <v>0</v>
      </c>
      <c r="R42" s="10" t="n">
        <f aca="false">IF('Start Here'!$B$5="Lean",'Monthly Lean'!R42,IF('Start Here'!$B$5="Growth",'Monthly Growth'!R42,'Monthly Base'!R42))</f>
        <v>0</v>
      </c>
      <c r="S42" s="10" t="n">
        <f aca="false">IF('Start Here'!$B$5="Lean",'Monthly Lean'!S42,IF('Start Here'!$B$5="Growth",'Monthly Growth'!S42,'Monthly Base'!S42))</f>
        <v>0</v>
      </c>
      <c r="T42" s="10" t="n">
        <f aca="false">IF('Start Here'!$B$5="Lean",'Monthly Lean'!T42,IF('Start Here'!$B$5="Growth",'Monthly Growth'!T42,'Monthly Base'!T42))</f>
        <v>655.6362</v>
      </c>
      <c r="U42" s="10" t="n">
        <f aca="false">IF('Start Here'!$B$5="Lean",'Monthly Lean'!U42,IF('Start Here'!$B$5="Growth",'Monthly Growth'!U42,'Monthly Base'!U42))</f>
        <v>109.2727</v>
      </c>
      <c r="V42" s="10" t="n">
        <f aca="false">IF('Start Here'!$B$5="Lean",'Monthly Lean'!V42,IF('Start Here'!$B$5="Growth",'Monthly Growth'!V42,'Monthly Base'!V42))</f>
        <v>2384.20570843914</v>
      </c>
      <c r="W42" s="10" t="n">
        <f aca="false">IF('Start Here'!$B$5="Lean",'Monthly Lean'!W42,IF('Start Here'!$B$5="Growth",'Monthly Growth'!W42,'Monthly Base'!W42))</f>
        <v>737.590725</v>
      </c>
      <c r="X42" s="10" t="n">
        <f aca="false">IF('Start Here'!$B$5="Lean",'Monthly Lean'!X42,IF('Start Here'!$B$5="Growth",'Monthly Growth'!X42,'Monthly Base'!X42))</f>
        <v>0</v>
      </c>
      <c r="Y42" s="10" t="n">
        <f aca="false">IF('Start Here'!$B$5="Lean",'Monthly Lean'!Y42,IF('Start Here'!$B$5="Growth",'Monthly Growth'!Y42,'Monthly Base'!Y42))</f>
        <v>0</v>
      </c>
      <c r="Z42" s="10" t="n">
        <f aca="false">IF('Start Here'!$B$5="Lean",'Monthly Lean'!Z42,IF('Start Here'!$B$5="Growth",'Monthly Growth'!Z42,'Monthly Base'!Z42))</f>
        <v>6195.84384088066</v>
      </c>
      <c r="AA42" s="10" t="n">
        <f aca="false">IF('Start Here'!$B$5="Lean",'Monthly Lean'!AA42,IF('Start Here'!$B$5="Growth",'Monthly Growth'!AA42,'Monthly Base'!AA42))</f>
        <v>29711.8341761321</v>
      </c>
      <c r="AB42" s="10" t="n">
        <f aca="false">IF('Start Here'!$B$5="Lean",'Monthly Lean'!AB42,IF('Start Here'!$B$5="Growth",'Monthly Growth'!AB42,'Monthly Base'!AB42))</f>
        <v>785.478948573697</v>
      </c>
      <c r="AC42" s="10" t="n">
        <f aca="false">IF('Start Here'!$B$5="Lean",'Monthly Lean'!AC42,IF('Start Here'!$B$5="Growth",'Monthly Growth'!AC42,'Monthly Base'!AC42))</f>
        <v>228576.207632253</v>
      </c>
      <c r="AD42" s="10" t="n">
        <f aca="false">IF('Start Here'!$B$5="Lean",'Monthly Lean'!AD42,IF('Start Here'!$B$5="Growth",'Monthly Growth'!AD42,'Monthly Base'!AD42))</f>
        <v>26182.6316191232</v>
      </c>
      <c r="AE42" s="10" t="n">
        <f aca="false">IF('Start Here'!$B$5="Lean",'Monthly Lean'!AE42,IF('Start Here'!$B$5="Growth",'Monthly Growth'!AE42,'Monthly Base'!AE42))</f>
        <v>314191.579429479</v>
      </c>
      <c r="AF42" s="10" t="n">
        <f aca="false">IF('Start Here'!$B$5="Lean",'Monthly Lean'!AF42,IF('Start Here'!$B$5="Growth",'Monthly Growth'!AF42,'Monthly Base'!AF42))</f>
        <v>202393.57601313</v>
      </c>
      <c r="AG42" s="10" t="n">
        <f aca="false">IF('Start Here'!$B$5="Lean",'Monthly Lean'!AG42,IF('Start Here'!$B$5="Growth",'Monthly Growth'!AG42,'Monthly Base'!AG42))</f>
        <v>0</v>
      </c>
      <c r="AH42" s="10" t="n">
        <f aca="false">IF('Start Here'!$B$5="Lean",'Monthly Lean'!AH42,IF('Start Here'!$B$5="Growth",'Monthly Growth'!AH42,'Monthly Base'!AH42))</f>
        <v>-799613.818543178</v>
      </c>
      <c r="AI42" s="10" t="n">
        <f aca="false">IF('Start Here'!$B$5="Lean",'Monthly Lean'!AI42,IF('Start Here'!$B$5="Growth",'Monthly Growth'!AI42,'Monthly Base'!AI42))</f>
        <v>-1002007.39455631</v>
      </c>
      <c r="AJ42" s="10" t="n">
        <f aca="false">IF('Start Here'!$B$5="Lean",'Monthly Lean'!AJ42,IF('Start Here'!$B$5="Growth",'Monthly Growth'!AJ42,'Monthly Base'!AJ42))</f>
        <v>5312426.86426311</v>
      </c>
      <c r="AK42" s="10" t="n">
        <f aca="false">IF('Start Here'!$B$5="Lean",'Monthly Lean'!AK42,IF('Start Here'!$B$5="Growth",'Monthly Growth'!AK42,'Monthly Base'!AK42))</f>
        <v>1002007.39455631</v>
      </c>
      <c r="AL42" s="10" t="n">
        <f aca="false">IF('Start Here'!$B$5="Lean",'Monthly Lean'!AL42,IF('Start Here'!$B$5="Growth",'Monthly Growth'!AL42,'Monthly Base'!AL42))</f>
        <v>-1312426.86426311</v>
      </c>
      <c r="AM42" s="10" t="n">
        <f aca="false">IF('Start Here'!$B$5="Lean",'Monthly Lean'!AM42,IF('Start Here'!$B$5="Growth",'Monthly Growth'!AM42,'Monthly Base'!AM42))</f>
        <v>2021.54495</v>
      </c>
      <c r="AN42" s="10" t="n">
        <f aca="false">IF('Start Here'!$B$5="Lean",'Monthly Lean'!AN42,IF('Start Here'!$B$5="Growth",'Monthly Growth'!AN42,'Monthly Base'!AN42))</f>
        <v>0</v>
      </c>
      <c r="AO42" s="10" t="n">
        <f aca="false">IF('Start Here'!$B$5="Lean",'Monthly Lean'!AO42,IF('Start Here'!$B$5="Growth",'Monthly Growth'!AO42,'Monthly Base'!AO42))</f>
        <v>16872.96</v>
      </c>
      <c r="AP42" s="10" t="n">
        <f aca="false">IF('Start Here'!$B$5="Lean",'Monthly Lean'!AP42,IF('Start Here'!$B$5="Growth",'Monthly Growth'!AP42,'Monthly Base'!AP42))</f>
        <v>5002007.39455631</v>
      </c>
      <c r="AQ42" s="10" t="n">
        <f aca="false">IF('Start Here'!$B$5="Lean",'Monthly Lean'!AQ42,IF('Start Here'!$B$5="Growth",'Monthly Growth'!AQ42,'Monthly Base'!AQ42))</f>
        <v>228576.207632253</v>
      </c>
      <c r="AR42" s="10" t="n">
        <f aca="false">IF('Start Here'!$B$5="Lean",'Monthly Lean'!AR42,IF('Start Here'!$B$5="Growth",'Monthly Growth'!AR42,'Monthly Base'!AR42))</f>
        <v>1</v>
      </c>
    </row>
    <row r="43" customFormat="false" ht="15" hidden="false" customHeight="false" outlineLevel="0" collapsed="false">
      <c r="A43" s="11" t="n">
        <f aca="false">IF('Start Here'!$B$5="Lean",'Monthly Lean'!A43,IF('Start Here'!$B$5="Growth",'Monthly Growth'!A43,'Monthly Base'!A43))</f>
        <v>38</v>
      </c>
      <c r="B43" s="25" t="n">
        <f aca="false">IF('Start Here'!$B$5="Lean",'Monthly Lean'!B43,IF('Start Here'!$B$5="Growth",'Monthly Growth'!B43,'Monthly Base'!B43))</f>
        <v>47453</v>
      </c>
      <c r="C43" s="11" t="n">
        <f aca="false">IF('Start Here'!$B$5="Lean",'Monthly Lean'!C43,IF('Start Here'!$B$5="Growth",'Monthly Growth'!C43,'Monthly Base'!C43))</f>
        <v>2.25</v>
      </c>
      <c r="D43" s="11" t="n">
        <f aca="false">IF('Start Here'!$B$5="Lean",'Monthly Lean'!D43,IF('Start Here'!$B$5="Growth",'Monthly Growth'!D43,'Monthly Base'!D43))</f>
        <v>31.0508947810356</v>
      </c>
      <c r="E43" s="11" t="n">
        <f aca="false">IF('Start Here'!$B$5="Lean",'Monthly Lean'!E43,IF('Start Here'!$B$5="Growth",'Monthly Growth'!E43,'Monthly Base'!E43))</f>
        <v>465.763421715533</v>
      </c>
      <c r="F43" s="11" t="n">
        <f aca="false">IF('Start Here'!$B$5="Lean",'Monthly Lean'!F43,IF('Start Here'!$B$5="Growth",'Monthly Growth'!F43,'Monthly Base'!F43))</f>
        <v>2.0959353977199</v>
      </c>
      <c r="G43" s="11" t="n">
        <f aca="false">IF('Start Here'!$B$5="Lean",'Monthly Lean'!G43,IF('Start Here'!$B$5="Growth",'Monthly Growth'!G43,'Monthly Base'!G43))</f>
        <v>155.254473905178</v>
      </c>
      <c r="H43" s="11" t="n">
        <f aca="false">IF('Start Here'!$B$5="Lean",'Monthly Lean'!H43,IF('Start Here'!$B$5="Growth",'Monthly Growth'!H43,'Monthly Base'!H43))</f>
        <v>31.0508947810356</v>
      </c>
      <c r="I43" s="11" t="n">
        <f aca="false">IF('Start Here'!$B$5="Lean",'Monthly Lean'!I43,IF('Start Here'!$B$5="Growth",'Monthly Growth'!I43,'Monthly Base'!I43))</f>
        <v>12.5</v>
      </c>
      <c r="J43" s="11" t="n">
        <f aca="false">IF('Start Here'!$B$5="Lean",'Monthly Lean'!J43,IF('Start Here'!$B$5="Growth",'Monthly Growth'!J43,'Monthly Base'!J43))</f>
        <v>13</v>
      </c>
      <c r="K43" s="10" t="n">
        <f aca="false">IF('Start Here'!$B$5="Lean",'Monthly Lean'!K43,IF('Start Here'!$B$5="Growth",'Monthly Growth'!K43,'Monthly Base'!K43))</f>
        <v>191883.050666667</v>
      </c>
      <c r="L43" s="10" t="n">
        <f aca="false">IF('Start Here'!$B$5="Lean",'Monthly Lean'!L43,IF('Start Here'!$B$5="Growth",'Monthly Growth'!L43,'Monthly Base'!L43))</f>
        <v>0</v>
      </c>
      <c r="M43" s="10" t="n">
        <f aca="false">IF('Start Here'!$B$5="Lean",'Monthly Lean'!M43,IF('Start Here'!$B$5="Growth",'Monthly Growth'!M43,'Monthly Base'!M43))</f>
        <v>0</v>
      </c>
      <c r="N43" s="10" t="n">
        <f aca="false">IF('Start Here'!$B$5="Lean",'Monthly Lean'!N43,IF('Start Here'!$B$5="Growth",'Monthly Growth'!N43,'Monthly Base'!N43))</f>
        <v>1629.71567481336</v>
      </c>
      <c r="O43" s="10" t="n">
        <f aca="false">IF('Start Here'!$B$5="Lean",'Monthly Lean'!O43,IF('Start Here'!$B$5="Growth",'Monthly Growth'!O43,'Monthly Base'!O43))</f>
        <v>696.067099</v>
      </c>
      <c r="P43" s="10" t="n">
        <f aca="false">IF('Start Here'!$B$5="Lean",'Monthly Lean'!P43,IF('Start Here'!$B$5="Growth",'Monthly Growth'!P43,'Monthly Base'!P43))</f>
        <v>13112.724</v>
      </c>
      <c r="Q43" s="10" t="n">
        <f aca="false">IF('Start Here'!$B$5="Lean",'Monthly Lean'!Q43,IF('Start Here'!$B$5="Growth",'Monthly Growth'!Q43,'Monthly Base'!Q43))</f>
        <v>0</v>
      </c>
      <c r="R43" s="10" t="n">
        <f aca="false">IF('Start Here'!$B$5="Lean",'Monthly Lean'!R43,IF('Start Here'!$B$5="Growth",'Monthly Growth'!R43,'Monthly Base'!R43))</f>
        <v>0</v>
      </c>
      <c r="S43" s="10" t="n">
        <f aca="false">IF('Start Here'!$B$5="Lean",'Monthly Lean'!S43,IF('Start Here'!$B$5="Growth",'Monthly Growth'!S43,'Monthly Base'!S43))</f>
        <v>0</v>
      </c>
      <c r="T43" s="10" t="n">
        <f aca="false">IF('Start Here'!$B$5="Lean",'Monthly Lean'!T43,IF('Start Here'!$B$5="Growth",'Monthly Growth'!T43,'Monthly Base'!T43))</f>
        <v>655.6362</v>
      </c>
      <c r="U43" s="10" t="n">
        <f aca="false">IF('Start Here'!$B$5="Lean",'Monthly Lean'!U43,IF('Start Here'!$B$5="Growth",'Monthly Growth'!U43,'Monthly Base'!U43))</f>
        <v>109.2727</v>
      </c>
      <c r="V43" s="10" t="n">
        <f aca="false">IF('Start Here'!$B$5="Lean",'Monthly Lean'!V43,IF('Start Here'!$B$5="Growth",'Monthly Growth'!V43,'Monthly Base'!V43))</f>
        <v>2544.76133260475</v>
      </c>
      <c r="W43" s="10" t="n">
        <f aca="false">IF('Start Here'!$B$5="Lean",'Monthly Lean'!W43,IF('Start Here'!$B$5="Growth",'Monthly Growth'!W43,'Monthly Base'!W43))</f>
        <v>737.590725</v>
      </c>
      <c r="X43" s="10" t="n">
        <f aca="false">IF('Start Here'!$B$5="Lean",'Monthly Lean'!X43,IF('Start Here'!$B$5="Growth",'Monthly Growth'!X43,'Monthly Base'!X43))</f>
        <v>0</v>
      </c>
      <c r="Y43" s="10" t="n">
        <f aca="false">IF('Start Here'!$B$5="Lean",'Monthly Lean'!Y43,IF('Start Here'!$B$5="Growth",'Monthly Growth'!Y43,'Monthly Base'!Y43))</f>
        <v>0</v>
      </c>
      <c r="Z43" s="10" t="n">
        <f aca="false">IF('Start Here'!$B$5="Lean",'Monthly Lean'!Z43,IF('Start Here'!$B$5="Growth",'Monthly Growth'!Z43,'Monthly Base'!Z43))</f>
        <v>19485.7677314181</v>
      </c>
      <c r="AA43" s="10" t="n">
        <f aca="false">IF('Start Here'!$B$5="Lean",'Monthly Lean'!AA43,IF('Start Here'!$B$5="Growth",'Monthly Growth'!AA43,'Monthly Base'!AA43))</f>
        <v>31705.3227597127</v>
      </c>
      <c r="AB43" s="10" t="n">
        <f aca="false">IF('Start Here'!$B$5="Lean",'Monthly Lean'!AB43,IF('Start Here'!$B$5="Growth",'Monthly Growth'!AB43,'Monthly Base'!AB43))</f>
        <v>838.37415908796</v>
      </c>
      <c r="AC43" s="10" t="n">
        <f aca="false">IF('Start Here'!$B$5="Lean",'Monthly Lean'!AC43,IF('Start Here'!$B$5="Growth",'Monthly Growth'!AC43,'Monthly Base'!AC43))</f>
        <v>243912.515316886</v>
      </c>
      <c r="AD43" s="10" t="n">
        <f aca="false">IF('Start Here'!$B$5="Lean",'Monthly Lean'!AD43,IF('Start Here'!$B$5="Growth",'Monthly Growth'!AD43,'Monthly Base'!AD43))</f>
        <v>27945.805302932</v>
      </c>
      <c r="AE43" s="10" t="n">
        <f aca="false">IF('Start Here'!$B$5="Lean",'Monthly Lean'!AE43,IF('Start Here'!$B$5="Growth",'Monthly Growth'!AE43,'Monthly Base'!AE43))</f>
        <v>335349.663635184</v>
      </c>
      <c r="AF43" s="10" t="n">
        <f aca="false">IF('Start Here'!$B$5="Lean",'Monthly Lean'!AF43,IF('Start Here'!$B$5="Growth",'Monthly Growth'!AF43,'Monthly Base'!AF43))</f>
        <v>215966.710013954</v>
      </c>
      <c r="AG43" s="10" t="n">
        <f aca="false">IF('Start Here'!$B$5="Lean",'Monthly Lean'!AG43,IF('Start Here'!$B$5="Growth",'Monthly Growth'!AG43,'Monthly Base'!AG43))</f>
        <v>0</v>
      </c>
      <c r="AH43" s="10" t="n">
        <f aca="false">IF('Start Here'!$B$5="Lean",'Monthly Lean'!AH43,IF('Start Here'!$B$5="Growth",'Monthly Growth'!AH43,'Monthly Base'!AH43))</f>
        <v>-1002007.39455631</v>
      </c>
      <c r="AI43" s="10" t="n">
        <f aca="false">IF('Start Here'!$B$5="Lean",'Monthly Lean'!AI43,IF('Start Here'!$B$5="Growth",'Monthly Growth'!AI43,'Monthly Base'!AI43))</f>
        <v>-1217974.10457026</v>
      </c>
      <c r="AJ43" s="10" t="n">
        <f aca="false">IF('Start Here'!$B$5="Lean",'Monthly Lean'!AJ43,IF('Start Here'!$B$5="Growth",'Monthly Growth'!AJ43,'Monthly Base'!AJ43))</f>
        <v>5556339.37957999</v>
      </c>
      <c r="AK43" s="10" t="n">
        <f aca="false">IF('Start Here'!$B$5="Lean",'Monthly Lean'!AK43,IF('Start Here'!$B$5="Growth",'Monthly Growth'!AK43,'Monthly Base'!AK43))</f>
        <v>1217974.10457026</v>
      </c>
      <c r="AL43" s="10" t="n">
        <f aca="false">IF('Start Here'!$B$5="Lean",'Monthly Lean'!AL43,IF('Start Here'!$B$5="Growth",'Monthly Growth'!AL43,'Monthly Base'!AL43))</f>
        <v>-1556339.37957999</v>
      </c>
      <c r="AM43" s="10" t="n">
        <f aca="false">IF('Start Here'!$B$5="Lean",'Monthly Lean'!AM43,IF('Start Here'!$B$5="Growth",'Monthly Growth'!AM43,'Monthly Base'!AM43))</f>
        <v>15134.26895</v>
      </c>
      <c r="AN43" s="10" t="n">
        <f aca="false">IF('Start Here'!$B$5="Lean",'Monthly Lean'!AN43,IF('Start Here'!$B$5="Growth",'Monthly Growth'!AN43,'Monthly Base'!AN43))</f>
        <v>0</v>
      </c>
      <c r="AO43" s="10" t="n">
        <f aca="false">IF('Start Here'!$B$5="Lean",'Monthly Lean'!AO43,IF('Start Here'!$B$5="Growth",'Monthly Growth'!AO43,'Monthly Base'!AO43))</f>
        <v>16872.96</v>
      </c>
      <c r="AP43" s="10" t="n">
        <f aca="false">IF('Start Here'!$B$5="Lean",'Monthly Lean'!AP43,IF('Start Here'!$B$5="Growth",'Monthly Growth'!AP43,'Monthly Base'!AP43))</f>
        <v>5217974.10457026</v>
      </c>
      <c r="AQ43" s="10" t="n">
        <f aca="false">IF('Start Here'!$B$5="Lean",'Monthly Lean'!AQ43,IF('Start Here'!$B$5="Growth",'Monthly Growth'!AQ43,'Monthly Base'!AQ43))</f>
        <v>243912.515316886</v>
      </c>
      <c r="AR43" s="10" t="n">
        <f aca="false">IF('Start Here'!$B$5="Lean",'Monthly Lean'!AR43,IF('Start Here'!$B$5="Growth",'Monthly Growth'!AR43,'Monthly Base'!AR43))</f>
        <v>1</v>
      </c>
    </row>
    <row r="44" customFormat="false" ht="15" hidden="false" customHeight="false" outlineLevel="0" collapsed="false">
      <c r="A44" s="11" t="n">
        <f aca="false">IF('Start Here'!$B$5="Lean",'Monthly Lean'!A44,IF('Start Here'!$B$5="Growth",'Monthly Growth'!A44,'Monthly Base'!A44))</f>
        <v>39</v>
      </c>
      <c r="B44" s="25" t="n">
        <f aca="false">IF('Start Here'!$B$5="Lean",'Monthly Lean'!B44,IF('Start Here'!$B$5="Growth",'Monthly Growth'!B44,'Monthly Base'!B44))</f>
        <v>47484</v>
      </c>
      <c r="C44" s="11" t="n">
        <f aca="false">IF('Start Here'!$B$5="Lean",'Monthly Lean'!C44,IF('Start Here'!$B$5="Growth",'Monthly Growth'!C44,'Monthly Base'!C44))</f>
        <v>2.25</v>
      </c>
      <c r="D44" s="11" t="n">
        <f aca="false">IF('Start Here'!$B$5="Lean",'Monthly Lean'!D44,IF('Start Here'!$B$5="Growth",'Monthly Growth'!D44,'Monthly Base'!D44))</f>
        <v>32.9903858332252</v>
      </c>
      <c r="E44" s="11" t="n">
        <f aca="false">IF('Start Here'!$B$5="Lean",'Monthly Lean'!E44,IF('Start Here'!$B$5="Growth",'Monthly Growth'!E44,'Monthly Base'!E44))</f>
        <v>494.855787498378</v>
      </c>
      <c r="F44" s="11" t="n">
        <f aca="false">IF('Start Here'!$B$5="Lean",'Monthly Lean'!F44,IF('Start Here'!$B$5="Growth",'Monthly Growth'!F44,'Monthly Base'!F44))</f>
        <v>2.2268510437427</v>
      </c>
      <c r="G44" s="11" t="n">
        <f aca="false">IF('Start Here'!$B$5="Lean",'Monthly Lean'!G44,IF('Start Here'!$B$5="Growth",'Monthly Growth'!G44,'Monthly Base'!G44))</f>
        <v>164.951929166126</v>
      </c>
      <c r="H44" s="11" t="n">
        <f aca="false">IF('Start Here'!$B$5="Lean",'Monthly Lean'!H44,IF('Start Here'!$B$5="Growth",'Monthly Growth'!H44,'Monthly Base'!H44))</f>
        <v>32.9903858332252</v>
      </c>
      <c r="I44" s="11" t="n">
        <f aca="false">IF('Start Here'!$B$5="Lean",'Monthly Lean'!I44,IF('Start Here'!$B$5="Growth",'Monthly Growth'!I44,'Monthly Base'!I44))</f>
        <v>12.5</v>
      </c>
      <c r="J44" s="11" t="n">
        <f aca="false">IF('Start Here'!$B$5="Lean",'Monthly Lean'!J44,IF('Start Here'!$B$5="Growth",'Monthly Growth'!J44,'Monthly Base'!J44))</f>
        <v>13</v>
      </c>
      <c r="K44" s="10" t="n">
        <f aca="false">IF('Start Here'!$B$5="Lean",'Monthly Lean'!K44,IF('Start Here'!$B$5="Growth",'Monthly Growth'!K44,'Monthly Base'!K44))</f>
        <v>191883.050666667</v>
      </c>
      <c r="L44" s="10" t="n">
        <f aca="false">IF('Start Here'!$B$5="Lean",'Monthly Lean'!L44,IF('Start Here'!$B$5="Growth",'Monthly Growth'!L44,'Monthly Base'!L44))</f>
        <v>0</v>
      </c>
      <c r="M44" s="10" t="n">
        <f aca="false">IF('Start Here'!$B$5="Lean",'Monthly Lean'!M44,IF('Start Here'!$B$5="Growth",'Monthly Growth'!M44,'Monthly Base'!M44))</f>
        <v>0</v>
      </c>
      <c r="N44" s="10" t="n">
        <f aca="false">IF('Start Here'!$B$5="Lean",'Monthly Lean'!N44,IF('Start Here'!$B$5="Growth",'Monthly Growth'!N44,'Monthly Base'!N44))</f>
        <v>1646.19349852148</v>
      </c>
      <c r="O44" s="10" t="n">
        <f aca="false">IF('Start Here'!$B$5="Lean",'Monthly Lean'!O44,IF('Start Here'!$B$5="Growth",'Monthly Growth'!O44,'Monthly Base'!O44))</f>
        <v>696.067099</v>
      </c>
      <c r="P44" s="10" t="n">
        <f aca="false">IF('Start Here'!$B$5="Lean",'Monthly Lean'!P44,IF('Start Here'!$B$5="Growth",'Monthly Growth'!P44,'Monthly Base'!P44))</f>
        <v>0</v>
      </c>
      <c r="Q44" s="10" t="n">
        <f aca="false">IF('Start Here'!$B$5="Lean",'Monthly Lean'!Q44,IF('Start Here'!$B$5="Growth",'Monthly Growth'!Q44,'Monthly Base'!Q44))</f>
        <v>0</v>
      </c>
      <c r="R44" s="10" t="n">
        <f aca="false">IF('Start Here'!$B$5="Lean",'Monthly Lean'!R44,IF('Start Here'!$B$5="Growth",'Monthly Growth'!R44,'Monthly Base'!R44))</f>
        <v>0</v>
      </c>
      <c r="S44" s="10" t="n">
        <f aca="false">IF('Start Here'!$B$5="Lean",'Monthly Lean'!S44,IF('Start Here'!$B$5="Growth",'Monthly Growth'!S44,'Monthly Base'!S44))</f>
        <v>0</v>
      </c>
      <c r="T44" s="10" t="n">
        <f aca="false">IF('Start Here'!$B$5="Lean",'Monthly Lean'!T44,IF('Start Here'!$B$5="Growth",'Monthly Growth'!T44,'Monthly Base'!T44))</f>
        <v>655.6362</v>
      </c>
      <c r="U44" s="10" t="n">
        <f aca="false">IF('Start Here'!$B$5="Lean",'Monthly Lean'!U44,IF('Start Here'!$B$5="Growth",'Monthly Growth'!U44,'Monthly Base'!U44))</f>
        <v>109.2727</v>
      </c>
      <c r="V44" s="10" t="n">
        <f aca="false">IF('Start Here'!$B$5="Lean",'Monthly Lean'!V44,IF('Start Here'!$B$5="Growth",'Monthly Growth'!V44,'Monthly Base'!V44))</f>
        <v>2703.7114005287</v>
      </c>
      <c r="W44" s="10" t="n">
        <f aca="false">IF('Start Here'!$B$5="Lean",'Monthly Lean'!W44,IF('Start Here'!$B$5="Growth",'Monthly Growth'!W44,'Monthly Base'!W44))</f>
        <v>737.590725</v>
      </c>
      <c r="X44" s="10" t="n">
        <f aca="false">IF('Start Here'!$B$5="Lean",'Monthly Lean'!X44,IF('Start Here'!$B$5="Growth",'Monthly Growth'!X44,'Monthly Base'!X44))</f>
        <v>0</v>
      </c>
      <c r="Y44" s="10" t="n">
        <f aca="false">IF('Start Here'!$B$5="Lean",'Monthly Lean'!Y44,IF('Start Here'!$B$5="Growth",'Monthly Growth'!Y44,'Monthly Base'!Y44))</f>
        <v>0</v>
      </c>
      <c r="Z44" s="10" t="n">
        <f aca="false">IF('Start Here'!$B$5="Lean",'Monthly Lean'!Z44,IF('Start Here'!$B$5="Growth",'Monthly Growth'!Z44,'Monthly Base'!Z44))</f>
        <v>6548.47162305018</v>
      </c>
      <c r="AA44" s="10" t="n">
        <f aca="false">IF('Start Here'!$B$5="Lean",'Monthly Lean'!AA44,IF('Start Here'!$B$5="Growth",'Monthly Growth'!AA44,'Monthly Base'!AA44))</f>
        <v>29764.7283434575</v>
      </c>
      <c r="AB44" s="10" t="n">
        <f aca="false">IF('Start Here'!$B$5="Lean",'Monthly Lean'!AB44,IF('Start Here'!$B$5="Growth",'Monthly Growth'!AB44,'Monthly Base'!AB44))</f>
        <v>890.74041749708</v>
      </c>
      <c r="AC44" s="10" t="n">
        <f aca="false">IF('Start Here'!$B$5="Lean",'Monthly Lean'!AC44,IF('Start Here'!$B$5="Growth",'Monthly Growth'!AC44,'Monthly Base'!AC44))</f>
        <v>229086.991050672</v>
      </c>
      <c r="AD44" s="10" t="n">
        <f aca="false">IF('Start Here'!$B$5="Lean",'Monthly Lean'!AD44,IF('Start Here'!$B$5="Growth",'Monthly Growth'!AD44,'Monthly Base'!AD44))</f>
        <v>29691.3472499027</v>
      </c>
      <c r="AE44" s="10" t="n">
        <f aca="false">IF('Start Here'!$B$5="Lean",'Monthly Lean'!AE44,IF('Start Here'!$B$5="Growth",'Monthly Growth'!AE44,'Monthly Base'!AE44))</f>
        <v>356296.166998832</v>
      </c>
      <c r="AF44" s="10" t="n">
        <f aca="false">IF('Start Here'!$B$5="Lean",'Monthly Lean'!AF44,IF('Start Here'!$B$5="Growth",'Monthly Growth'!AF44,'Monthly Base'!AF44))</f>
        <v>199395.643800769</v>
      </c>
      <c r="AG44" s="10" t="n">
        <f aca="false">IF('Start Here'!$B$5="Lean",'Monthly Lean'!AG44,IF('Start Here'!$B$5="Growth",'Monthly Growth'!AG44,'Monthly Base'!AG44))</f>
        <v>0</v>
      </c>
      <c r="AH44" s="10" t="n">
        <f aca="false">IF('Start Here'!$B$5="Lean",'Monthly Lean'!AH44,IF('Start Here'!$B$5="Growth",'Monthly Growth'!AH44,'Monthly Base'!AH44))</f>
        <v>-1217974.10457026</v>
      </c>
      <c r="AI44" s="10" t="n">
        <f aca="false">IF('Start Here'!$B$5="Lean",'Monthly Lean'!AI44,IF('Start Here'!$B$5="Growth",'Monthly Growth'!AI44,'Monthly Base'!AI44))</f>
        <v>-1417369.74837103</v>
      </c>
      <c r="AJ44" s="10" t="n">
        <f aca="false">IF('Start Here'!$B$5="Lean",'Monthly Lean'!AJ44,IF('Start Here'!$B$5="Growth",'Monthly Growth'!AJ44,'Monthly Base'!AJ44))</f>
        <v>5785426.37063067</v>
      </c>
      <c r="AK44" s="10" t="n">
        <f aca="false">IF('Start Here'!$B$5="Lean",'Monthly Lean'!AK44,IF('Start Here'!$B$5="Growth",'Monthly Growth'!AK44,'Monthly Base'!AK44))</f>
        <v>1417369.74837103</v>
      </c>
      <c r="AL44" s="10" t="n">
        <f aca="false">IF('Start Here'!$B$5="Lean",'Monthly Lean'!AL44,IF('Start Here'!$B$5="Growth",'Monthly Growth'!AL44,'Monthly Base'!AL44))</f>
        <v>-1785426.37063066</v>
      </c>
      <c r="AM44" s="10" t="n">
        <f aca="false">IF('Start Here'!$B$5="Lean",'Monthly Lean'!AM44,IF('Start Here'!$B$5="Growth",'Monthly Growth'!AM44,'Monthly Base'!AM44))</f>
        <v>2021.54495</v>
      </c>
      <c r="AN44" s="10" t="n">
        <f aca="false">IF('Start Here'!$B$5="Lean",'Monthly Lean'!AN44,IF('Start Here'!$B$5="Growth",'Monthly Growth'!AN44,'Monthly Base'!AN44))</f>
        <v>0</v>
      </c>
      <c r="AO44" s="10" t="n">
        <f aca="false">IF('Start Here'!$B$5="Lean",'Monthly Lean'!AO44,IF('Start Here'!$B$5="Growth",'Monthly Growth'!AO44,'Monthly Base'!AO44))</f>
        <v>16872.96</v>
      </c>
      <c r="AP44" s="10" t="n">
        <f aca="false">IF('Start Here'!$B$5="Lean",'Monthly Lean'!AP44,IF('Start Here'!$B$5="Growth",'Monthly Growth'!AP44,'Monthly Base'!AP44))</f>
        <v>5417369.74837103</v>
      </c>
      <c r="AQ44" s="10" t="n">
        <f aca="false">IF('Start Here'!$B$5="Lean",'Monthly Lean'!AQ44,IF('Start Here'!$B$5="Growth",'Monthly Growth'!AQ44,'Monthly Base'!AQ44))</f>
        <v>229086.991050672</v>
      </c>
      <c r="AR44" s="10" t="n">
        <f aca="false">IF('Start Here'!$B$5="Lean",'Monthly Lean'!AR44,IF('Start Here'!$B$5="Growth",'Monthly Growth'!AR44,'Monthly Base'!AR44))</f>
        <v>1</v>
      </c>
    </row>
    <row r="45" customFormat="false" ht="15" hidden="false" customHeight="false" outlineLevel="0" collapsed="false">
      <c r="A45" s="11" t="n">
        <f aca="false">IF('Start Here'!$B$5="Lean",'Monthly Lean'!A45,IF('Start Here'!$B$5="Growth",'Monthly Growth'!A45,'Monthly Base'!A45))</f>
        <v>40</v>
      </c>
      <c r="B45" s="25" t="n">
        <f aca="false">IF('Start Here'!$B$5="Lean",'Monthly Lean'!B45,IF('Start Here'!$B$5="Growth",'Monthly Growth'!B45,'Monthly Base'!B45))</f>
        <v>47515</v>
      </c>
      <c r="C45" s="11" t="n">
        <f aca="false">IF('Start Here'!$B$5="Lean",'Monthly Lean'!C45,IF('Start Here'!$B$5="Growth",'Monthly Growth'!C45,'Monthly Base'!C45))</f>
        <v>2.25</v>
      </c>
      <c r="D45" s="11" t="n">
        <f aca="false">IF('Start Here'!$B$5="Lean",'Monthly Lean'!D45,IF('Start Here'!$B$5="Growth",'Monthly Growth'!D45,'Monthly Base'!D45))</f>
        <v>34.9104819748929</v>
      </c>
      <c r="E45" s="11" t="n">
        <f aca="false">IF('Start Here'!$B$5="Lean",'Monthly Lean'!E45,IF('Start Here'!$B$5="Growth",'Monthly Growth'!E45,'Monthly Base'!E45))</f>
        <v>523.657229623394</v>
      </c>
      <c r="F45" s="11" t="n">
        <f aca="false">IF('Start Here'!$B$5="Lean",'Monthly Lean'!F45,IF('Start Here'!$B$5="Growth",'Monthly Growth'!F45,'Monthly Base'!F45))</f>
        <v>2.35645753330527</v>
      </c>
      <c r="G45" s="11" t="n">
        <f aca="false">IF('Start Here'!$B$5="Lean",'Monthly Lean'!G45,IF('Start Here'!$B$5="Growth",'Monthly Growth'!G45,'Monthly Base'!G45))</f>
        <v>174.552409874465</v>
      </c>
      <c r="H45" s="11" t="n">
        <f aca="false">IF('Start Here'!$B$5="Lean",'Monthly Lean'!H45,IF('Start Here'!$B$5="Growth",'Monthly Growth'!H45,'Monthly Base'!H45))</f>
        <v>34.9104819748929</v>
      </c>
      <c r="I45" s="11" t="n">
        <f aca="false">IF('Start Here'!$B$5="Lean",'Monthly Lean'!I45,IF('Start Here'!$B$5="Growth",'Monthly Growth'!I45,'Monthly Base'!I45))</f>
        <v>12.5</v>
      </c>
      <c r="J45" s="11" t="n">
        <f aca="false">IF('Start Here'!$B$5="Lean",'Monthly Lean'!J45,IF('Start Here'!$B$5="Growth",'Monthly Growth'!J45,'Monthly Base'!J45))</f>
        <v>13</v>
      </c>
      <c r="K45" s="10" t="n">
        <f aca="false">IF('Start Here'!$B$5="Lean",'Monthly Lean'!K45,IF('Start Here'!$B$5="Growth",'Monthly Growth'!K45,'Monthly Base'!K45))</f>
        <v>191883.050666667</v>
      </c>
      <c r="L45" s="10" t="n">
        <f aca="false">IF('Start Here'!$B$5="Lean",'Monthly Lean'!L45,IF('Start Here'!$B$5="Growth",'Monthly Growth'!L45,'Monthly Base'!L45))</f>
        <v>0</v>
      </c>
      <c r="M45" s="10" t="n">
        <f aca="false">IF('Start Here'!$B$5="Lean",'Monthly Lean'!M45,IF('Start Here'!$B$5="Growth",'Monthly Growth'!M45,'Monthly Base'!M45))</f>
        <v>0</v>
      </c>
      <c r="N45" s="10" t="n">
        <f aca="false">IF('Start Here'!$B$5="Lean",'Monthly Lean'!N45,IF('Start Here'!$B$5="Growth",'Monthly Growth'!N45,'Monthly Base'!N45))</f>
        <v>1662.50654399251</v>
      </c>
      <c r="O45" s="10" t="n">
        <f aca="false">IF('Start Here'!$B$5="Lean",'Monthly Lean'!O45,IF('Start Here'!$B$5="Growth",'Monthly Growth'!O45,'Monthly Base'!O45))</f>
        <v>696.067099</v>
      </c>
      <c r="P45" s="10" t="n">
        <f aca="false">IF('Start Here'!$B$5="Lean",'Monthly Lean'!P45,IF('Start Here'!$B$5="Growth",'Monthly Growth'!P45,'Monthly Base'!P45))</f>
        <v>0</v>
      </c>
      <c r="Q45" s="10" t="n">
        <f aca="false">IF('Start Here'!$B$5="Lean",'Monthly Lean'!Q45,IF('Start Here'!$B$5="Growth",'Monthly Growth'!Q45,'Monthly Base'!Q45))</f>
        <v>0</v>
      </c>
      <c r="R45" s="10" t="n">
        <f aca="false">IF('Start Here'!$B$5="Lean",'Monthly Lean'!R45,IF('Start Here'!$B$5="Growth",'Monthly Growth'!R45,'Monthly Base'!R45))</f>
        <v>0</v>
      </c>
      <c r="S45" s="10" t="n">
        <f aca="false">IF('Start Here'!$B$5="Lean",'Monthly Lean'!S45,IF('Start Here'!$B$5="Growth",'Monthly Growth'!S45,'Monthly Base'!S45))</f>
        <v>0</v>
      </c>
      <c r="T45" s="10" t="n">
        <f aca="false">IF('Start Here'!$B$5="Lean",'Monthly Lean'!T45,IF('Start Here'!$B$5="Growth",'Monthly Growth'!T45,'Monthly Base'!T45))</f>
        <v>655.6362</v>
      </c>
      <c r="U45" s="10" t="n">
        <f aca="false">IF('Start Here'!$B$5="Lean",'Monthly Lean'!U45,IF('Start Here'!$B$5="Growth",'Monthly Growth'!U45,'Monthly Base'!U45))</f>
        <v>109.2727</v>
      </c>
      <c r="V45" s="10" t="n">
        <f aca="false">IF('Start Here'!$B$5="Lean",'Monthly Lean'!V45,IF('Start Here'!$B$5="Growth",'Monthly Growth'!V45,'Monthly Base'!V45))</f>
        <v>2861.07196777341</v>
      </c>
      <c r="W45" s="10" t="n">
        <f aca="false">IF('Start Here'!$B$5="Lean",'Monthly Lean'!W45,IF('Start Here'!$B$5="Growth",'Monthly Growth'!W45,'Monthly Base'!W45))</f>
        <v>737.590725</v>
      </c>
      <c r="X45" s="10" t="n">
        <f aca="false">IF('Start Here'!$B$5="Lean",'Monthly Lean'!X45,IF('Start Here'!$B$5="Growth",'Monthly Growth'!X45,'Monthly Base'!X45))</f>
        <v>0</v>
      </c>
      <c r="Y45" s="10" t="n">
        <f aca="false">IF('Start Here'!$B$5="Lean",'Monthly Lean'!Y45,IF('Start Here'!$B$5="Growth",'Monthly Growth'!Y45,'Monthly Base'!Y45))</f>
        <v>0</v>
      </c>
      <c r="Z45" s="10" t="n">
        <f aca="false">IF('Start Here'!$B$5="Lean",'Monthly Lean'!Z45,IF('Start Here'!$B$5="Growth",'Monthly Growth'!Z45,'Monthly Base'!Z45))</f>
        <v>6722.14523576592</v>
      </c>
      <c r="AA45" s="10" t="n">
        <f aca="false">IF('Start Here'!$B$5="Lean",'Monthly Lean'!AA45,IF('Start Here'!$B$5="Growth",'Monthly Growth'!AA45,'Monthly Base'!AA45))</f>
        <v>29790.7793853649</v>
      </c>
      <c r="AB45" s="10" t="n">
        <f aca="false">IF('Start Here'!$B$5="Lean",'Monthly Lean'!AB45,IF('Start Here'!$B$5="Growth",'Monthly Growth'!AB45,'Monthly Base'!AB45))</f>
        <v>942.583013322109</v>
      </c>
      <c r="AC45" s="10" t="n">
        <f aca="false">IF('Start Here'!$B$5="Lean",'Monthly Lean'!AC45,IF('Start Here'!$B$5="Growth",'Monthly Growth'!AC45,'Monthly Base'!AC45))</f>
        <v>229338.55830112</v>
      </c>
      <c r="AD45" s="10" t="n">
        <f aca="false">IF('Start Here'!$B$5="Lean",'Monthly Lean'!AD45,IF('Start Here'!$B$5="Growth",'Monthly Growth'!AD45,'Monthly Base'!AD45))</f>
        <v>31419.4337774037</v>
      </c>
      <c r="AE45" s="10" t="n">
        <f aca="false">IF('Start Here'!$B$5="Lean",'Monthly Lean'!AE45,IF('Start Here'!$B$5="Growth",'Monthly Growth'!AE45,'Monthly Base'!AE45))</f>
        <v>377033.205328844</v>
      </c>
      <c r="AF45" s="10" t="n">
        <f aca="false">IF('Start Here'!$B$5="Lean",'Monthly Lean'!AF45,IF('Start Here'!$B$5="Growth",'Monthly Growth'!AF45,'Monthly Base'!AF45))</f>
        <v>197919.124523716</v>
      </c>
      <c r="AG45" s="10" t="n">
        <f aca="false">IF('Start Here'!$B$5="Lean",'Monthly Lean'!AG45,IF('Start Here'!$B$5="Growth",'Monthly Growth'!AG45,'Monthly Base'!AG45))</f>
        <v>0</v>
      </c>
      <c r="AH45" s="10" t="n">
        <f aca="false">IF('Start Here'!$B$5="Lean",'Monthly Lean'!AH45,IF('Start Here'!$B$5="Growth",'Monthly Growth'!AH45,'Monthly Base'!AH45))</f>
        <v>-1417369.74837103</v>
      </c>
      <c r="AI45" s="10" t="n">
        <f aca="false">IF('Start Here'!$B$5="Lean",'Monthly Lean'!AI45,IF('Start Here'!$B$5="Growth",'Monthly Growth'!AI45,'Monthly Base'!AI45))</f>
        <v>-1615288.87289475</v>
      </c>
      <c r="AJ45" s="10" t="n">
        <f aca="false">IF('Start Here'!$B$5="Lean",'Monthly Lean'!AJ45,IF('Start Here'!$B$5="Growth",'Monthly Growth'!AJ45,'Monthly Base'!AJ45))</f>
        <v>6014764.92893179</v>
      </c>
      <c r="AK45" s="10" t="n">
        <f aca="false">IF('Start Here'!$B$5="Lean",'Monthly Lean'!AK45,IF('Start Here'!$B$5="Growth",'Monthly Growth'!AK45,'Monthly Base'!AK45))</f>
        <v>1615288.87289475</v>
      </c>
      <c r="AL45" s="10" t="n">
        <f aca="false">IF('Start Here'!$B$5="Lean",'Monthly Lean'!AL45,IF('Start Here'!$B$5="Growth",'Monthly Growth'!AL45,'Monthly Base'!AL45))</f>
        <v>-2014764.92893178</v>
      </c>
      <c r="AM45" s="10" t="n">
        <f aca="false">IF('Start Here'!$B$5="Lean",'Monthly Lean'!AM45,IF('Start Here'!$B$5="Growth",'Monthly Growth'!AM45,'Monthly Base'!AM45))</f>
        <v>2021.54495</v>
      </c>
      <c r="AN45" s="10" t="n">
        <f aca="false">IF('Start Here'!$B$5="Lean",'Monthly Lean'!AN45,IF('Start Here'!$B$5="Growth",'Monthly Growth'!AN45,'Monthly Base'!AN45))</f>
        <v>0</v>
      </c>
      <c r="AO45" s="10" t="n">
        <f aca="false">IF('Start Here'!$B$5="Lean",'Monthly Lean'!AO45,IF('Start Here'!$B$5="Growth",'Monthly Growth'!AO45,'Monthly Base'!AO45))</f>
        <v>16872.96</v>
      </c>
      <c r="AP45" s="10" t="n">
        <f aca="false">IF('Start Here'!$B$5="Lean",'Monthly Lean'!AP45,IF('Start Here'!$B$5="Growth",'Monthly Growth'!AP45,'Monthly Base'!AP45))</f>
        <v>5615288.87289475</v>
      </c>
      <c r="AQ45" s="10" t="n">
        <f aca="false">IF('Start Here'!$B$5="Lean",'Monthly Lean'!AQ45,IF('Start Here'!$B$5="Growth",'Monthly Growth'!AQ45,'Monthly Base'!AQ45))</f>
        <v>229338.55830112</v>
      </c>
      <c r="AR45" s="10" t="n">
        <f aca="false">IF('Start Here'!$B$5="Lean",'Monthly Lean'!AR45,IF('Start Here'!$B$5="Growth",'Monthly Growth'!AR45,'Monthly Base'!AR45))</f>
        <v>1</v>
      </c>
    </row>
    <row r="46" customFormat="false" ht="15" hidden="false" customHeight="false" outlineLevel="0" collapsed="false">
      <c r="A46" s="11" t="n">
        <f aca="false">IF('Start Here'!$B$5="Lean",'Monthly Lean'!A46,IF('Start Here'!$B$5="Growth",'Monthly Growth'!A46,'Monthly Base'!A46))</f>
        <v>41</v>
      </c>
      <c r="B46" s="25" t="n">
        <f aca="false">IF('Start Here'!$B$5="Lean",'Monthly Lean'!B46,IF('Start Here'!$B$5="Growth",'Monthly Growth'!B46,'Monthly Base'!B46))</f>
        <v>47543</v>
      </c>
      <c r="C46" s="11" t="n">
        <f aca="false">IF('Start Here'!$B$5="Lean",'Monthly Lean'!C46,IF('Start Here'!$B$5="Growth",'Monthly Growth'!C46,'Monthly Base'!C46))</f>
        <v>2.25</v>
      </c>
      <c r="D46" s="11" t="n">
        <f aca="false">IF('Start Here'!$B$5="Lean",'Monthly Lean'!D46,IF('Start Here'!$B$5="Growth",'Monthly Growth'!D46,'Monthly Base'!D46))</f>
        <v>36.811377155144</v>
      </c>
      <c r="E46" s="11" t="n">
        <f aca="false">IF('Start Here'!$B$5="Lean",'Monthly Lean'!E46,IF('Start Here'!$B$5="Growth",'Monthly Growth'!E46,'Monthly Base'!E46))</f>
        <v>552.17065732716</v>
      </c>
      <c r="F46" s="11" t="n">
        <f aca="false">IF('Start Here'!$B$5="Lean",'Monthly Lean'!F46,IF('Start Here'!$B$5="Growth",'Monthly Growth'!F46,'Monthly Base'!F46))</f>
        <v>2.48476795797222</v>
      </c>
      <c r="G46" s="11" t="n">
        <f aca="false">IF('Start Here'!$B$5="Lean",'Monthly Lean'!G46,IF('Start Here'!$B$5="Growth",'Monthly Growth'!G46,'Monthly Base'!G46))</f>
        <v>184.05688577572</v>
      </c>
      <c r="H46" s="11" t="n">
        <f aca="false">IF('Start Here'!$B$5="Lean",'Monthly Lean'!H46,IF('Start Here'!$B$5="Growth",'Monthly Growth'!H46,'Monthly Base'!H46))</f>
        <v>36.811377155144</v>
      </c>
      <c r="I46" s="11" t="n">
        <f aca="false">IF('Start Here'!$B$5="Lean",'Monthly Lean'!I46,IF('Start Here'!$B$5="Growth",'Monthly Growth'!I46,'Monthly Base'!I46))</f>
        <v>12.5</v>
      </c>
      <c r="J46" s="11" t="n">
        <f aca="false">IF('Start Here'!$B$5="Lean",'Monthly Lean'!J46,IF('Start Here'!$B$5="Growth",'Monthly Growth'!J46,'Monthly Base'!J46))</f>
        <v>13</v>
      </c>
      <c r="K46" s="10" t="n">
        <f aca="false">IF('Start Here'!$B$5="Lean",'Monthly Lean'!K46,IF('Start Here'!$B$5="Growth",'Monthly Growth'!K46,'Monthly Base'!K46))</f>
        <v>191883.050666667</v>
      </c>
      <c r="L46" s="10" t="n">
        <f aca="false">IF('Start Here'!$B$5="Lean",'Monthly Lean'!L46,IF('Start Here'!$B$5="Growth",'Monthly Growth'!L46,'Monthly Base'!L46))</f>
        <v>0</v>
      </c>
      <c r="M46" s="10" t="n">
        <f aca="false">IF('Start Here'!$B$5="Lean",'Monthly Lean'!M46,IF('Start Here'!$B$5="Growth",'Monthly Growth'!M46,'Monthly Base'!M46))</f>
        <v>0</v>
      </c>
      <c r="N46" s="10" t="n">
        <f aca="false">IF('Start Here'!$B$5="Lean",'Monthly Lean'!N46,IF('Start Here'!$B$5="Growth",'Monthly Growth'!N46,'Monthly Base'!N46))</f>
        <v>1678.65645900884</v>
      </c>
      <c r="O46" s="10" t="n">
        <f aca="false">IF('Start Here'!$B$5="Lean",'Monthly Lean'!O46,IF('Start Here'!$B$5="Growth",'Monthly Growth'!O46,'Monthly Base'!O46))</f>
        <v>696.067099</v>
      </c>
      <c r="P46" s="10" t="n">
        <f aca="false">IF('Start Here'!$B$5="Lean",'Monthly Lean'!P46,IF('Start Here'!$B$5="Growth",'Monthly Growth'!P46,'Monthly Base'!P46))</f>
        <v>0</v>
      </c>
      <c r="Q46" s="10" t="n">
        <f aca="false">IF('Start Here'!$B$5="Lean",'Monthly Lean'!Q46,IF('Start Here'!$B$5="Growth",'Monthly Growth'!Q46,'Monthly Base'!Q46))</f>
        <v>0</v>
      </c>
      <c r="R46" s="10" t="n">
        <f aca="false">IF('Start Here'!$B$5="Lean",'Monthly Lean'!R46,IF('Start Here'!$B$5="Growth",'Monthly Growth'!R46,'Monthly Base'!R46))</f>
        <v>0</v>
      </c>
      <c r="S46" s="10" t="n">
        <f aca="false">IF('Start Here'!$B$5="Lean",'Monthly Lean'!S46,IF('Start Here'!$B$5="Growth",'Monthly Growth'!S46,'Monthly Base'!S46))</f>
        <v>0</v>
      </c>
      <c r="T46" s="10" t="n">
        <f aca="false">IF('Start Here'!$B$5="Lean",'Monthly Lean'!T46,IF('Start Here'!$B$5="Growth",'Monthly Growth'!T46,'Monthly Base'!T46))</f>
        <v>655.6362</v>
      </c>
      <c r="U46" s="10" t="n">
        <f aca="false">IF('Start Here'!$B$5="Lean",'Monthly Lean'!U46,IF('Start Here'!$B$5="Growth",'Monthly Growth'!U46,'Monthly Base'!U46))</f>
        <v>109.2727</v>
      </c>
      <c r="V46" s="10" t="n">
        <f aca="false">IF('Start Here'!$B$5="Lean",'Monthly Lean'!V46,IF('Start Here'!$B$5="Growth",'Monthly Growth'!V46,'Monthly Base'!V46))</f>
        <v>3016.85892934568</v>
      </c>
      <c r="W46" s="10" t="n">
        <f aca="false">IF('Start Here'!$B$5="Lean",'Monthly Lean'!W46,IF('Start Here'!$B$5="Growth",'Monthly Growth'!W46,'Monthly Base'!W46))</f>
        <v>737.590725</v>
      </c>
      <c r="X46" s="10" t="n">
        <f aca="false">IF('Start Here'!$B$5="Lean",'Monthly Lean'!X46,IF('Start Here'!$B$5="Growth",'Monthly Growth'!X46,'Monthly Base'!X46))</f>
        <v>0</v>
      </c>
      <c r="Y46" s="10" t="n">
        <f aca="false">IF('Start Here'!$B$5="Lean",'Monthly Lean'!Y46,IF('Start Here'!$B$5="Growth",'Monthly Growth'!Y46,'Monthly Base'!Y46))</f>
        <v>0</v>
      </c>
      <c r="Z46" s="10" t="n">
        <f aca="false">IF('Start Here'!$B$5="Lean",'Monthly Lean'!Z46,IF('Start Here'!$B$5="Growth",'Monthly Growth'!Z46,'Monthly Base'!Z46))</f>
        <v>6894.08211235452</v>
      </c>
      <c r="AA46" s="10" t="n">
        <f aca="false">IF('Start Here'!$B$5="Lean",'Monthly Lean'!AA46,IF('Start Here'!$B$5="Growth",'Monthly Growth'!AA46,'Monthly Base'!AA46))</f>
        <v>29816.5699168532</v>
      </c>
      <c r="AB46" s="10" t="n">
        <f aca="false">IF('Start Here'!$B$5="Lean",'Monthly Lean'!AB46,IF('Start Here'!$B$5="Growth",'Monthly Growth'!AB46,'Monthly Base'!AB46))</f>
        <v>993.907183188888</v>
      </c>
      <c r="AC46" s="10" t="n">
        <f aca="false">IF('Start Here'!$B$5="Lean",'Monthly Lean'!AC46,IF('Start Here'!$B$5="Growth",'Monthly Growth'!AC46,'Monthly Base'!AC46))</f>
        <v>229587.609879063</v>
      </c>
      <c r="AD46" s="10" t="n">
        <f aca="false">IF('Start Here'!$B$5="Lean",'Monthly Lean'!AD46,IF('Start Here'!$B$5="Growth",'Monthly Growth'!AD46,'Monthly Base'!AD46))</f>
        <v>33130.2394396296</v>
      </c>
      <c r="AE46" s="10" t="n">
        <f aca="false">IF('Start Here'!$B$5="Lean",'Monthly Lean'!AE46,IF('Start Here'!$B$5="Growth",'Monthly Growth'!AE46,'Monthly Base'!AE46))</f>
        <v>397562.873275555</v>
      </c>
      <c r="AF46" s="10" t="n">
        <f aca="false">IF('Start Here'!$B$5="Lean",'Monthly Lean'!AF46,IF('Start Here'!$B$5="Growth",'Monthly Growth'!AF46,'Monthly Base'!AF46))</f>
        <v>196457.370439434</v>
      </c>
      <c r="AG46" s="10" t="n">
        <f aca="false">IF('Start Here'!$B$5="Lean",'Monthly Lean'!AG46,IF('Start Here'!$B$5="Growth",'Monthly Growth'!AG46,'Monthly Base'!AG46))</f>
        <v>0</v>
      </c>
      <c r="AH46" s="10" t="n">
        <f aca="false">IF('Start Here'!$B$5="Lean",'Monthly Lean'!AH46,IF('Start Here'!$B$5="Growth",'Monthly Growth'!AH46,'Monthly Base'!AH46))</f>
        <v>-1615288.87289475</v>
      </c>
      <c r="AI46" s="10" t="n">
        <f aca="false">IF('Start Here'!$B$5="Lean",'Monthly Lean'!AI46,IF('Start Here'!$B$5="Growth",'Monthly Growth'!AI46,'Monthly Base'!AI46))</f>
        <v>-1811746.24333418</v>
      </c>
      <c r="AJ46" s="10" t="n">
        <f aca="false">IF('Start Here'!$B$5="Lean",'Monthly Lean'!AJ46,IF('Start Here'!$B$5="Growth",'Monthly Growth'!AJ46,'Monthly Base'!AJ46))</f>
        <v>6244352.53881085</v>
      </c>
      <c r="AK46" s="10" t="n">
        <f aca="false">IF('Start Here'!$B$5="Lean",'Monthly Lean'!AK46,IF('Start Here'!$B$5="Growth",'Monthly Growth'!AK46,'Monthly Base'!AK46))</f>
        <v>1811746.24333418</v>
      </c>
      <c r="AL46" s="10" t="n">
        <f aca="false">IF('Start Here'!$B$5="Lean",'Monthly Lean'!AL46,IF('Start Here'!$B$5="Growth",'Monthly Growth'!AL46,'Monthly Base'!AL46))</f>
        <v>-2244352.53881085</v>
      </c>
      <c r="AM46" s="10" t="n">
        <f aca="false">IF('Start Here'!$B$5="Lean",'Monthly Lean'!AM46,IF('Start Here'!$B$5="Growth",'Monthly Growth'!AM46,'Monthly Base'!AM46))</f>
        <v>2021.54495</v>
      </c>
      <c r="AN46" s="10" t="n">
        <f aca="false">IF('Start Here'!$B$5="Lean",'Monthly Lean'!AN46,IF('Start Here'!$B$5="Growth",'Monthly Growth'!AN46,'Monthly Base'!AN46))</f>
        <v>0</v>
      </c>
      <c r="AO46" s="10" t="n">
        <f aca="false">IF('Start Here'!$B$5="Lean",'Monthly Lean'!AO46,IF('Start Here'!$B$5="Growth",'Monthly Growth'!AO46,'Monthly Base'!AO46))</f>
        <v>16872.96</v>
      </c>
      <c r="AP46" s="10" t="n">
        <f aca="false">IF('Start Here'!$B$5="Lean",'Monthly Lean'!AP46,IF('Start Here'!$B$5="Growth",'Monthly Growth'!AP46,'Monthly Base'!AP46))</f>
        <v>5811746.24333418</v>
      </c>
      <c r="AQ46" s="10" t="n">
        <f aca="false">IF('Start Here'!$B$5="Lean",'Monthly Lean'!AQ46,IF('Start Here'!$B$5="Growth",'Monthly Growth'!AQ46,'Monthly Base'!AQ46))</f>
        <v>229587.609879063</v>
      </c>
      <c r="AR46" s="10" t="n">
        <f aca="false">IF('Start Here'!$B$5="Lean",'Monthly Lean'!AR46,IF('Start Here'!$B$5="Growth",'Monthly Growth'!AR46,'Monthly Base'!AR46))</f>
        <v>1</v>
      </c>
    </row>
    <row r="47" customFormat="false" ht="15" hidden="false" customHeight="false" outlineLevel="0" collapsed="false">
      <c r="A47" s="11" t="n">
        <f aca="false">IF('Start Here'!$B$5="Lean",'Monthly Lean'!A47,IF('Start Here'!$B$5="Growth",'Monthly Growth'!A47,'Monthly Base'!A47))</f>
        <v>42</v>
      </c>
      <c r="B47" s="25" t="n">
        <f aca="false">IF('Start Here'!$B$5="Lean",'Monthly Lean'!B47,IF('Start Here'!$B$5="Growth",'Monthly Growth'!B47,'Monthly Base'!B47))</f>
        <v>47574</v>
      </c>
      <c r="C47" s="11" t="n">
        <f aca="false">IF('Start Here'!$B$5="Lean",'Monthly Lean'!C47,IF('Start Here'!$B$5="Growth",'Monthly Growth'!C47,'Monthly Base'!C47))</f>
        <v>2.25</v>
      </c>
      <c r="D47" s="11" t="n">
        <f aca="false">IF('Start Here'!$B$5="Lean",'Monthly Lean'!D47,IF('Start Here'!$B$5="Growth",'Monthly Growth'!D47,'Monthly Base'!D47))</f>
        <v>38.6932633835926</v>
      </c>
      <c r="E47" s="11" t="n">
        <f aca="false">IF('Start Here'!$B$5="Lean",'Monthly Lean'!E47,IF('Start Here'!$B$5="Growth",'Monthly Growth'!E47,'Monthly Base'!E47))</f>
        <v>580.398950753889</v>
      </c>
      <c r="F47" s="11" t="n">
        <f aca="false">IF('Start Here'!$B$5="Lean",'Monthly Lean'!F47,IF('Start Here'!$B$5="Growth",'Monthly Growth'!F47,'Monthly Base'!F47))</f>
        <v>2.6117952783925</v>
      </c>
      <c r="G47" s="11" t="n">
        <f aca="false">IF('Start Here'!$B$5="Lean",'Monthly Lean'!G47,IF('Start Here'!$B$5="Growth",'Monthly Growth'!G47,'Monthly Base'!G47))</f>
        <v>193.466316917963</v>
      </c>
      <c r="H47" s="11" t="n">
        <f aca="false">IF('Start Here'!$B$5="Lean",'Monthly Lean'!H47,IF('Start Here'!$B$5="Growth",'Monthly Growth'!H47,'Monthly Base'!H47))</f>
        <v>38.6932633835926</v>
      </c>
      <c r="I47" s="11" t="n">
        <f aca="false">IF('Start Here'!$B$5="Lean",'Monthly Lean'!I47,IF('Start Here'!$B$5="Growth",'Monthly Growth'!I47,'Monthly Base'!I47))</f>
        <v>12.5</v>
      </c>
      <c r="J47" s="11" t="n">
        <f aca="false">IF('Start Here'!$B$5="Lean",'Monthly Lean'!J47,IF('Start Here'!$B$5="Growth",'Monthly Growth'!J47,'Monthly Base'!J47))</f>
        <v>13</v>
      </c>
      <c r="K47" s="10" t="n">
        <f aca="false">IF('Start Here'!$B$5="Lean",'Monthly Lean'!K47,IF('Start Here'!$B$5="Growth",'Monthly Growth'!K47,'Monthly Base'!K47))</f>
        <v>191883.050666667</v>
      </c>
      <c r="L47" s="10" t="n">
        <f aca="false">IF('Start Here'!$B$5="Lean",'Monthly Lean'!L47,IF('Start Here'!$B$5="Growth",'Monthly Growth'!L47,'Monthly Base'!L47))</f>
        <v>0</v>
      </c>
      <c r="M47" s="10" t="n">
        <f aca="false">IF('Start Here'!$B$5="Lean",'Monthly Lean'!M47,IF('Start Here'!$B$5="Growth",'Monthly Growth'!M47,'Monthly Base'!M47))</f>
        <v>0</v>
      </c>
      <c r="N47" s="10" t="n">
        <f aca="false">IF('Start Here'!$B$5="Lean",'Monthly Lean'!N47,IF('Start Here'!$B$5="Growth",'Monthly Growth'!N47,'Monthly Base'!N47))</f>
        <v>1694.644874875</v>
      </c>
      <c r="O47" s="10" t="n">
        <f aca="false">IF('Start Here'!$B$5="Lean",'Monthly Lean'!O47,IF('Start Here'!$B$5="Growth",'Monthly Growth'!O47,'Monthly Base'!O47))</f>
        <v>696.067099</v>
      </c>
      <c r="P47" s="10" t="n">
        <f aca="false">IF('Start Here'!$B$5="Lean",'Monthly Lean'!P47,IF('Start Here'!$B$5="Growth",'Monthly Growth'!P47,'Monthly Base'!P47))</f>
        <v>0</v>
      </c>
      <c r="Q47" s="10" t="n">
        <f aca="false">IF('Start Here'!$B$5="Lean",'Monthly Lean'!Q47,IF('Start Here'!$B$5="Growth",'Monthly Growth'!Q47,'Monthly Base'!Q47))</f>
        <v>0</v>
      </c>
      <c r="R47" s="10" t="n">
        <f aca="false">IF('Start Here'!$B$5="Lean",'Monthly Lean'!R47,IF('Start Here'!$B$5="Growth",'Monthly Growth'!R47,'Monthly Base'!R47))</f>
        <v>0</v>
      </c>
      <c r="S47" s="10" t="n">
        <f aca="false">IF('Start Here'!$B$5="Lean",'Monthly Lean'!S47,IF('Start Here'!$B$5="Growth",'Monthly Growth'!S47,'Monthly Base'!S47))</f>
        <v>0</v>
      </c>
      <c r="T47" s="10" t="n">
        <f aca="false">IF('Start Here'!$B$5="Lean",'Monthly Lean'!T47,IF('Start Here'!$B$5="Growth",'Monthly Growth'!T47,'Monthly Base'!T47))</f>
        <v>655.6362</v>
      </c>
      <c r="U47" s="10" t="n">
        <f aca="false">IF('Start Here'!$B$5="Lean",'Monthly Lean'!U47,IF('Start Here'!$B$5="Growth",'Monthly Growth'!U47,'Monthly Base'!U47))</f>
        <v>109.2727</v>
      </c>
      <c r="V47" s="10" t="n">
        <f aca="false">IF('Start Here'!$B$5="Lean",'Monthly Lean'!V47,IF('Start Here'!$B$5="Growth",'Monthly Growth'!V47,'Monthly Base'!V47))</f>
        <v>3171.08802130222</v>
      </c>
      <c r="W47" s="10" t="n">
        <f aca="false">IF('Start Here'!$B$5="Lean",'Monthly Lean'!W47,IF('Start Here'!$B$5="Growth",'Monthly Growth'!W47,'Monthly Base'!W47))</f>
        <v>737.590725</v>
      </c>
      <c r="X47" s="10" t="n">
        <f aca="false">IF('Start Here'!$B$5="Lean",'Monthly Lean'!X47,IF('Start Here'!$B$5="Growth",'Monthly Growth'!X47,'Monthly Base'!X47))</f>
        <v>0</v>
      </c>
      <c r="Y47" s="10" t="n">
        <f aca="false">IF('Start Here'!$B$5="Lean",'Monthly Lean'!Y47,IF('Start Here'!$B$5="Growth",'Monthly Growth'!Y47,'Monthly Base'!Y47))</f>
        <v>0</v>
      </c>
      <c r="Z47" s="10" t="n">
        <f aca="false">IF('Start Here'!$B$5="Lean",'Monthly Lean'!Z47,IF('Start Here'!$B$5="Growth",'Monthly Growth'!Z47,'Monthly Base'!Z47))</f>
        <v>7064.29962017722</v>
      </c>
      <c r="AA47" s="10" t="n">
        <f aca="false">IF('Start Here'!$B$5="Lean",'Monthly Lean'!AA47,IF('Start Here'!$B$5="Growth",'Monthly Growth'!AA47,'Monthly Base'!AA47))</f>
        <v>29842.1025430266</v>
      </c>
      <c r="AB47" s="10" t="n">
        <f aca="false">IF('Start Here'!$B$5="Lean",'Monthly Lean'!AB47,IF('Start Here'!$B$5="Growth",'Monthly Growth'!AB47,'Monthly Base'!AB47))</f>
        <v>1044.718111357</v>
      </c>
      <c r="AC47" s="10" t="n">
        <f aca="false">IF('Start Here'!$B$5="Lean",'Monthly Lean'!AC47,IF('Start Here'!$B$5="Growth",'Monthly Growth'!AC47,'Monthly Base'!AC47))</f>
        <v>229834.170941228</v>
      </c>
      <c r="AD47" s="10" t="n">
        <f aca="false">IF('Start Here'!$B$5="Lean",'Monthly Lean'!AD47,IF('Start Here'!$B$5="Growth",'Monthly Growth'!AD47,'Monthly Base'!AD47))</f>
        <v>34823.9370452333</v>
      </c>
      <c r="AE47" s="10" t="n">
        <f aca="false">IF('Start Here'!$B$5="Lean",'Monthly Lean'!AE47,IF('Start Here'!$B$5="Growth",'Monthly Growth'!AE47,'Monthly Base'!AE47))</f>
        <v>417887.2445428</v>
      </c>
      <c r="AF47" s="10" t="n">
        <f aca="false">IF('Start Here'!$B$5="Lean",'Monthly Lean'!AF47,IF('Start Here'!$B$5="Growth",'Monthly Growth'!AF47,'Monthly Base'!AF47))</f>
        <v>195010.233895994</v>
      </c>
      <c r="AG47" s="10" t="n">
        <f aca="false">IF('Start Here'!$B$5="Lean",'Monthly Lean'!AG47,IF('Start Here'!$B$5="Growth",'Monthly Growth'!AG47,'Monthly Base'!AG47))</f>
        <v>0</v>
      </c>
      <c r="AH47" s="10" t="n">
        <f aca="false">IF('Start Here'!$B$5="Lean",'Monthly Lean'!AH47,IF('Start Here'!$B$5="Growth",'Monthly Growth'!AH47,'Monthly Base'!AH47))</f>
        <v>-1811746.24333418</v>
      </c>
      <c r="AI47" s="10" t="n">
        <f aca="false">IF('Start Here'!$B$5="Lean",'Monthly Lean'!AI47,IF('Start Here'!$B$5="Growth",'Monthly Growth'!AI47,'Monthly Base'!AI47))</f>
        <v>-2006756.47723017</v>
      </c>
      <c r="AJ47" s="10" t="n">
        <f aca="false">IF('Start Here'!$B$5="Lean",'Monthly Lean'!AJ47,IF('Start Here'!$B$5="Growth",'Monthly Growth'!AJ47,'Monthly Base'!AJ47))</f>
        <v>6474186.70975207</v>
      </c>
      <c r="AK47" s="10" t="n">
        <f aca="false">IF('Start Here'!$B$5="Lean",'Monthly Lean'!AK47,IF('Start Here'!$B$5="Growth",'Monthly Growth'!AK47,'Monthly Base'!AK47))</f>
        <v>2006756.47723017</v>
      </c>
      <c r="AL47" s="10" t="n">
        <f aca="false">IF('Start Here'!$B$5="Lean",'Monthly Lean'!AL47,IF('Start Here'!$B$5="Growth",'Monthly Growth'!AL47,'Monthly Base'!AL47))</f>
        <v>-2474186.70975207</v>
      </c>
      <c r="AM47" s="10" t="n">
        <f aca="false">IF('Start Here'!$B$5="Lean",'Monthly Lean'!AM47,IF('Start Here'!$B$5="Growth",'Monthly Growth'!AM47,'Monthly Base'!AM47))</f>
        <v>2021.54495</v>
      </c>
      <c r="AN47" s="10" t="n">
        <f aca="false">IF('Start Here'!$B$5="Lean",'Monthly Lean'!AN47,IF('Start Here'!$B$5="Growth",'Monthly Growth'!AN47,'Monthly Base'!AN47))</f>
        <v>0</v>
      </c>
      <c r="AO47" s="10" t="n">
        <f aca="false">IF('Start Here'!$B$5="Lean",'Monthly Lean'!AO47,IF('Start Here'!$B$5="Growth",'Monthly Growth'!AO47,'Monthly Base'!AO47))</f>
        <v>16872.96</v>
      </c>
      <c r="AP47" s="10" t="n">
        <f aca="false">IF('Start Here'!$B$5="Lean",'Monthly Lean'!AP47,IF('Start Here'!$B$5="Growth",'Monthly Growth'!AP47,'Monthly Base'!AP47))</f>
        <v>6006756.47723017</v>
      </c>
      <c r="AQ47" s="10" t="n">
        <f aca="false">IF('Start Here'!$B$5="Lean",'Monthly Lean'!AQ47,IF('Start Here'!$B$5="Growth",'Monthly Growth'!AQ47,'Monthly Base'!AQ47))</f>
        <v>229834.170941228</v>
      </c>
      <c r="AR47" s="10" t="n">
        <f aca="false">IF('Start Here'!$B$5="Lean",'Monthly Lean'!AR47,IF('Start Here'!$B$5="Growth",'Monthly Growth'!AR47,'Monthly Base'!AR47))</f>
        <v>1</v>
      </c>
    </row>
    <row r="48" customFormat="false" ht="15" hidden="false" customHeight="false" outlineLevel="0" collapsed="false">
      <c r="A48" s="11" t="n">
        <f aca="false">IF('Start Here'!$B$5="Lean",'Monthly Lean'!A48,IF('Start Here'!$B$5="Growth",'Monthly Growth'!A48,'Monthly Base'!A48))</f>
        <v>43</v>
      </c>
      <c r="B48" s="25" t="n">
        <f aca="false">IF('Start Here'!$B$5="Lean",'Monthly Lean'!B48,IF('Start Here'!$B$5="Growth",'Monthly Growth'!B48,'Monthly Base'!B48))</f>
        <v>47604</v>
      </c>
      <c r="C48" s="11" t="n">
        <f aca="false">IF('Start Here'!$B$5="Lean",'Monthly Lean'!C48,IF('Start Here'!$B$5="Growth",'Monthly Growth'!C48,'Monthly Base'!C48))</f>
        <v>2.25</v>
      </c>
      <c r="D48" s="11" t="n">
        <f aca="false">IF('Start Here'!$B$5="Lean",'Monthly Lean'!D48,IF('Start Here'!$B$5="Growth",'Monthly Growth'!D48,'Monthly Base'!D48))</f>
        <v>40.5563307497567</v>
      </c>
      <c r="E48" s="11" t="n">
        <f aca="false">IF('Start Here'!$B$5="Lean",'Monthly Lean'!E48,IF('Start Here'!$B$5="Growth",'Monthly Growth'!E48,'Monthly Base'!E48))</f>
        <v>608.34496124635</v>
      </c>
      <c r="F48" s="11" t="n">
        <f aca="false">IF('Start Here'!$B$5="Lean",'Monthly Lean'!F48,IF('Start Here'!$B$5="Growth",'Monthly Growth'!F48,'Monthly Base'!F48))</f>
        <v>2.73755232560857</v>
      </c>
      <c r="G48" s="11" t="n">
        <f aca="false">IF('Start Here'!$B$5="Lean",'Monthly Lean'!G48,IF('Start Here'!$B$5="Growth",'Monthly Growth'!G48,'Monthly Base'!G48))</f>
        <v>202.781653748783</v>
      </c>
      <c r="H48" s="11" t="n">
        <f aca="false">IF('Start Here'!$B$5="Lean",'Monthly Lean'!H48,IF('Start Here'!$B$5="Growth",'Monthly Growth'!H48,'Monthly Base'!H48))</f>
        <v>40.5563307497567</v>
      </c>
      <c r="I48" s="11" t="n">
        <f aca="false">IF('Start Here'!$B$5="Lean",'Monthly Lean'!I48,IF('Start Here'!$B$5="Growth",'Monthly Growth'!I48,'Monthly Base'!I48))</f>
        <v>12.5</v>
      </c>
      <c r="J48" s="11" t="n">
        <f aca="false">IF('Start Here'!$B$5="Lean",'Monthly Lean'!J48,IF('Start Here'!$B$5="Growth",'Monthly Growth'!J48,'Monthly Base'!J48))</f>
        <v>13</v>
      </c>
      <c r="K48" s="10" t="n">
        <f aca="false">IF('Start Here'!$B$5="Lean",'Monthly Lean'!K48,IF('Start Here'!$B$5="Growth",'Monthly Growth'!K48,'Monthly Base'!K48))</f>
        <v>191883.050666667</v>
      </c>
      <c r="L48" s="10" t="n">
        <f aca="false">IF('Start Here'!$B$5="Lean",'Monthly Lean'!L48,IF('Start Here'!$B$5="Growth",'Monthly Growth'!L48,'Monthly Base'!L48))</f>
        <v>0</v>
      </c>
      <c r="M48" s="10" t="n">
        <f aca="false">IF('Start Here'!$B$5="Lean",'Monthly Lean'!M48,IF('Start Here'!$B$5="Growth",'Monthly Growth'!M48,'Monthly Base'!M48))</f>
        <v>0</v>
      </c>
      <c r="N48" s="10" t="n">
        <f aca="false">IF('Start Here'!$B$5="Lean",'Monthly Lean'!N48,IF('Start Here'!$B$5="Growth",'Monthly Growth'!N48,'Monthly Base'!N48))</f>
        <v>1710.4734065825</v>
      </c>
      <c r="O48" s="10" t="n">
        <f aca="false">IF('Start Here'!$B$5="Lean",'Monthly Lean'!O48,IF('Start Here'!$B$5="Growth",'Monthly Growth'!O48,'Monthly Base'!O48))</f>
        <v>696.067099</v>
      </c>
      <c r="P48" s="10" t="n">
        <f aca="false">IF('Start Here'!$B$5="Lean",'Monthly Lean'!P48,IF('Start Here'!$B$5="Growth",'Monthly Growth'!P48,'Monthly Base'!P48))</f>
        <v>0</v>
      </c>
      <c r="Q48" s="10" t="n">
        <f aca="false">IF('Start Here'!$B$5="Lean",'Monthly Lean'!Q48,IF('Start Here'!$B$5="Growth",'Monthly Growth'!Q48,'Monthly Base'!Q48))</f>
        <v>0</v>
      </c>
      <c r="R48" s="10" t="n">
        <f aca="false">IF('Start Here'!$B$5="Lean",'Monthly Lean'!R48,IF('Start Here'!$B$5="Growth",'Monthly Growth'!R48,'Monthly Base'!R48))</f>
        <v>0</v>
      </c>
      <c r="S48" s="10" t="n">
        <f aca="false">IF('Start Here'!$B$5="Lean",'Monthly Lean'!S48,IF('Start Here'!$B$5="Growth",'Monthly Growth'!S48,'Monthly Base'!S48))</f>
        <v>0</v>
      </c>
      <c r="T48" s="10" t="n">
        <f aca="false">IF('Start Here'!$B$5="Lean",'Monthly Lean'!T48,IF('Start Here'!$B$5="Growth",'Monthly Growth'!T48,'Monthly Base'!T48))</f>
        <v>655.6362</v>
      </c>
      <c r="U48" s="10" t="n">
        <f aca="false">IF('Start Here'!$B$5="Lean",'Monthly Lean'!U48,IF('Start Here'!$B$5="Growth",'Monthly Growth'!U48,'Monthly Base'!U48))</f>
        <v>109.2727</v>
      </c>
      <c r="V48" s="10" t="n">
        <f aca="false">IF('Start Here'!$B$5="Lean",'Monthly Lean'!V48,IF('Start Here'!$B$5="Growth",'Monthly Growth'!V48,'Monthly Base'!V48))</f>
        <v>3323.7748223392</v>
      </c>
      <c r="W48" s="10" t="n">
        <f aca="false">IF('Start Here'!$B$5="Lean",'Monthly Lean'!W48,IF('Start Here'!$B$5="Growth",'Monthly Growth'!W48,'Monthly Base'!W48))</f>
        <v>737.590725</v>
      </c>
      <c r="X48" s="10" t="n">
        <f aca="false">IF('Start Here'!$B$5="Lean",'Monthly Lean'!X48,IF('Start Here'!$B$5="Growth",'Monthly Growth'!X48,'Monthly Base'!X48))</f>
        <v>0</v>
      </c>
      <c r="Y48" s="10" t="n">
        <f aca="false">IF('Start Here'!$B$5="Lean",'Monthly Lean'!Y48,IF('Start Here'!$B$5="Growth",'Monthly Growth'!Y48,'Monthly Base'!Y48))</f>
        <v>0</v>
      </c>
      <c r="Z48" s="10" t="n">
        <f aca="false">IF('Start Here'!$B$5="Lean",'Monthly Lean'!Z48,IF('Start Here'!$B$5="Growth",'Monthly Growth'!Z48,'Monthly Base'!Z48))</f>
        <v>7232.8149529217</v>
      </c>
      <c r="AA48" s="10" t="n">
        <f aca="false">IF('Start Here'!$B$5="Lean",'Monthly Lean'!AA48,IF('Start Here'!$B$5="Growth",'Monthly Growth'!AA48,'Monthly Base'!AA48))</f>
        <v>29867.3798429383</v>
      </c>
      <c r="AB48" s="10" t="n">
        <f aca="false">IF('Start Here'!$B$5="Lean",'Monthly Lean'!AB48,IF('Start Here'!$B$5="Growth",'Monthly Growth'!AB48,'Monthly Base'!AB48))</f>
        <v>1095.02093024343</v>
      </c>
      <c r="AC48" s="10" t="n">
        <f aca="false">IF('Start Here'!$B$5="Lean",'Monthly Lean'!AC48,IF('Start Here'!$B$5="Growth",'Monthly Growth'!AC48,'Monthly Base'!AC48))</f>
        <v>230078.26639277</v>
      </c>
      <c r="AD48" s="10" t="n">
        <f aca="false">IF('Start Here'!$B$5="Lean",'Monthly Lean'!AD48,IF('Start Here'!$B$5="Growth",'Monthly Growth'!AD48,'Monthly Base'!AD48))</f>
        <v>36500.697674781</v>
      </c>
      <c r="AE48" s="10" t="n">
        <f aca="false">IF('Start Here'!$B$5="Lean",'Monthly Lean'!AE48,IF('Start Here'!$B$5="Growth",'Monthly Growth'!AE48,'Monthly Base'!AE48))</f>
        <v>438008.372097372</v>
      </c>
      <c r="AF48" s="10" t="n">
        <f aca="false">IF('Start Here'!$B$5="Lean",'Monthly Lean'!AF48,IF('Start Here'!$B$5="Growth",'Monthly Growth'!AF48,'Monthly Base'!AF48))</f>
        <v>193577.568717989</v>
      </c>
      <c r="AG48" s="10" t="n">
        <f aca="false">IF('Start Here'!$B$5="Lean",'Monthly Lean'!AG48,IF('Start Here'!$B$5="Growth",'Monthly Growth'!AG48,'Monthly Base'!AG48))</f>
        <v>0</v>
      </c>
      <c r="AH48" s="10" t="n">
        <f aca="false">IF('Start Here'!$B$5="Lean",'Monthly Lean'!AH48,IF('Start Here'!$B$5="Growth",'Monthly Growth'!AH48,'Monthly Base'!AH48))</f>
        <v>-2006756.47723017</v>
      </c>
      <c r="AI48" s="10" t="n">
        <f aca="false">IF('Start Here'!$B$5="Lean",'Monthly Lean'!AI48,IF('Start Here'!$B$5="Growth",'Monthly Growth'!AI48,'Monthly Base'!AI48))</f>
        <v>-2200334.04594816</v>
      </c>
      <c r="AJ48" s="10" t="n">
        <f aca="false">IF('Start Here'!$B$5="Lean",'Monthly Lean'!AJ48,IF('Start Here'!$B$5="Growth",'Monthly Growth'!AJ48,'Monthly Base'!AJ48))</f>
        <v>6704264.97614485</v>
      </c>
      <c r="AK48" s="10" t="n">
        <f aca="false">IF('Start Here'!$B$5="Lean",'Monthly Lean'!AK48,IF('Start Here'!$B$5="Growth",'Monthly Growth'!AK48,'Monthly Base'!AK48))</f>
        <v>2200334.04594816</v>
      </c>
      <c r="AL48" s="10" t="n">
        <f aca="false">IF('Start Here'!$B$5="Lean",'Monthly Lean'!AL48,IF('Start Here'!$B$5="Growth",'Monthly Growth'!AL48,'Monthly Base'!AL48))</f>
        <v>-2704264.97614485</v>
      </c>
      <c r="AM48" s="10" t="n">
        <f aca="false">IF('Start Here'!$B$5="Lean",'Monthly Lean'!AM48,IF('Start Here'!$B$5="Growth",'Monthly Growth'!AM48,'Monthly Base'!AM48))</f>
        <v>2021.54495</v>
      </c>
      <c r="AN48" s="10" t="n">
        <f aca="false">IF('Start Here'!$B$5="Lean",'Monthly Lean'!AN48,IF('Start Here'!$B$5="Growth",'Monthly Growth'!AN48,'Monthly Base'!AN48))</f>
        <v>0</v>
      </c>
      <c r="AO48" s="10" t="n">
        <f aca="false">IF('Start Here'!$B$5="Lean",'Monthly Lean'!AO48,IF('Start Here'!$B$5="Growth",'Monthly Growth'!AO48,'Monthly Base'!AO48))</f>
        <v>16872.96</v>
      </c>
      <c r="AP48" s="10" t="n">
        <f aca="false">IF('Start Here'!$B$5="Lean",'Monthly Lean'!AP48,IF('Start Here'!$B$5="Growth",'Monthly Growth'!AP48,'Monthly Base'!AP48))</f>
        <v>6200334.04594816</v>
      </c>
      <c r="AQ48" s="10" t="n">
        <f aca="false">IF('Start Here'!$B$5="Lean",'Monthly Lean'!AQ48,IF('Start Here'!$B$5="Growth",'Monthly Growth'!AQ48,'Monthly Base'!AQ48))</f>
        <v>230078.26639277</v>
      </c>
      <c r="AR48" s="10" t="n">
        <f aca="false">IF('Start Here'!$B$5="Lean",'Monthly Lean'!AR48,IF('Start Here'!$B$5="Growth",'Monthly Growth'!AR48,'Monthly Base'!AR48))</f>
        <v>1</v>
      </c>
    </row>
    <row r="49" customFormat="false" ht="15" hidden="false" customHeight="false" outlineLevel="0" collapsed="false">
      <c r="A49" s="11" t="n">
        <f aca="false">IF('Start Here'!$B$5="Lean",'Monthly Lean'!A49,IF('Start Here'!$B$5="Growth",'Monthly Growth'!A49,'Monthly Base'!A49))</f>
        <v>44</v>
      </c>
      <c r="B49" s="25" t="n">
        <f aca="false">IF('Start Here'!$B$5="Lean",'Monthly Lean'!B49,IF('Start Here'!$B$5="Growth",'Monthly Growth'!B49,'Monthly Base'!B49))</f>
        <v>47635</v>
      </c>
      <c r="C49" s="11" t="n">
        <f aca="false">IF('Start Here'!$B$5="Lean",'Monthly Lean'!C49,IF('Start Here'!$B$5="Growth",'Monthly Growth'!C49,'Monthly Base'!C49))</f>
        <v>2.25</v>
      </c>
      <c r="D49" s="11" t="n">
        <f aca="false">IF('Start Here'!$B$5="Lean",'Monthly Lean'!D49,IF('Start Here'!$B$5="Growth",'Monthly Growth'!D49,'Monthly Base'!D49))</f>
        <v>42.4007674422591</v>
      </c>
      <c r="E49" s="11" t="n">
        <f aca="false">IF('Start Here'!$B$5="Lean",'Monthly Lean'!E49,IF('Start Here'!$B$5="Growth",'Monthly Growth'!E49,'Monthly Base'!E49))</f>
        <v>636.011511633886</v>
      </c>
      <c r="F49" s="11" t="n">
        <f aca="false">IF('Start Here'!$B$5="Lean",'Monthly Lean'!F49,IF('Start Here'!$B$5="Growth",'Monthly Growth'!F49,'Monthly Base'!F49))</f>
        <v>2.86205180235249</v>
      </c>
      <c r="G49" s="11" t="n">
        <f aca="false">IF('Start Here'!$B$5="Lean",'Monthly Lean'!G49,IF('Start Here'!$B$5="Growth",'Monthly Growth'!G49,'Monthly Base'!G49))</f>
        <v>212.003837211295</v>
      </c>
      <c r="H49" s="11" t="n">
        <f aca="false">IF('Start Here'!$B$5="Lean",'Monthly Lean'!H49,IF('Start Here'!$B$5="Growth",'Monthly Growth'!H49,'Monthly Base'!H49))</f>
        <v>42.4007674422591</v>
      </c>
      <c r="I49" s="11" t="n">
        <f aca="false">IF('Start Here'!$B$5="Lean",'Monthly Lean'!I49,IF('Start Here'!$B$5="Growth",'Monthly Growth'!I49,'Monthly Base'!I49))</f>
        <v>12.5</v>
      </c>
      <c r="J49" s="11" t="n">
        <f aca="false">IF('Start Here'!$B$5="Lean",'Monthly Lean'!J49,IF('Start Here'!$B$5="Growth",'Monthly Growth'!J49,'Monthly Base'!J49))</f>
        <v>13</v>
      </c>
      <c r="K49" s="10" t="n">
        <f aca="false">IF('Start Here'!$B$5="Lean",'Monthly Lean'!K49,IF('Start Here'!$B$5="Growth",'Monthly Growth'!K49,'Monthly Base'!K49))</f>
        <v>191883.050666667</v>
      </c>
      <c r="L49" s="10" t="n">
        <f aca="false">IF('Start Here'!$B$5="Lean",'Monthly Lean'!L49,IF('Start Here'!$B$5="Growth",'Monthly Growth'!L49,'Monthly Base'!L49))</f>
        <v>0</v>
      </c>
      <c r="M49" s="10" t="n">
        <f aca="false">IF('Start Here'!$B$5="Lean",'Monthly Lean'!M49,IF('Start Here'!$B$5="Growth",'Monthly Growth'!M49,'Monthly Base'!M49))</f>
        <v>0</v>
      </c>
      <c r="N49" s="10" t="n">
        <f aca="false">IF('Start Here'!$B$5="Lean",'Monthly Lean'!N49,IF('Start Here'!$B$5="Growth",'Monthly Growth'!N49,'Monthly Base'!N49))</f>
        <v>1726.14365297292</v>
      </c>
      <c r="O49" s="10" t="n">
        <f aca="false">IF('Start Here'!$B$5="Lean",'Monthly Lean'!O49,IF('Start Here'!$B$5="Growth",'Monthly Growth'!O49,'Monthly Base'!O49))</f>
        <v>696.067099</v>
      </c>
      <c r="P49" s="10" t="n">
        <f aca="false">IF('Start Here'!$B$5="Lean",'Monthly Lean'!P49,IF('Start Here'!$B$5="Growth",'Monthly Growth'!P49,'Monthly Base'!P49))</f>
        <v>0</v>
      </c>
      <c r="Q49" s="10" t="n">
        <f aca="false">IF('Start Here'!$B$5="Lean",'Monthly Lean'!Q49,IF('Start Here'!$B$5="Growth",'Monthly Growth'!Q49,'Monthly Base'!Q49))</f>
        <v>0</v>
      </c>
      <c r="R49" s="10" t="n">
        <f aca="false">IF('Start Here'!$B$5="Lean",'Monthly Lean'!R49,IF('Start Here'!$B$5="Growth",'Monthly Growth'!R49,'Monthly Base'!R49))</f>
        <v>0</v>
      </c>
      <c r="S49" s="10" t="n">
        <f aca="false">IF('Start Here'!$B$5="Lean",'Monthly Lean'!S49,IF('Start Here'!$B$5="Growth",'Monthly Growth'!S49,'Monthly Base'!S49))</f>
        <v>0</v>
      </c>
      <c r="T49" s="10" t="n">
        <f aca="false">IF('Start Here'!$B$5="Lean",'Monthly Lean'!T49,IF('Start Here'!$B$5="Growth",'Monthly Growth'!T49,'Monthly Base'!T49))</f>
        <v>655.6362</v>
      </c>
      <c r="U49" s="10" t="n">
        <f aca="false">IF('Start Here'!$B$5="Lean",'Monthly Lean'!U49,IF('Start Here'!$B$5="Growth",'Monthly Growth'!U49,'Monthly Base'!U49))</f>
        <v>109.2727</v>
      </c>
      <c r="V49" s="10" t="n">
        <f aca="false">IF('Start Here'!$B$5="Lean",'Monthly Lean'!V49,IF('Start Here'!$B$5="Growth",'Monthly Growth'!V49,'Monthly Base'!V49))</f>
        <v>3474.93475536581</v>
      </c>
      <c r="W49" s="10" t="n">
        <f aca="false">IF('Start Here'!$B$5="Lean",'Monthly Lean'!W49,IF('Start Here'!$B$5="Growth",'Monthly Growth'!W49,'Monthly Base'!W49))</f>
        <v>737.590725</v>
      </c>
      <c r="X49" s="10" t="n">
        <f aca="false">IF('Start Here'!$B$5="Lean",'Monthly Lean'!X49,IF('Start Here'!$B$5="Growth",'Monthly Growth'!X49,'Monthly Base'!X49))</f>
        <v>0</v>
      </c>
      <c r="Y49" s="10" t="n">
        <f aca="false">IF('Start Here'!$B$5="Lean",'Monthly Lean'!Y49,IF('Start Here'!$B$5="Growth",'Monthly Growth'!Y49,'Monthly Base'!Y49))</f>
        <v>0</v>
      </c>
      <c r="Z49" s="10" t="n">
        <f aca="false">IF('Start Here'!$B$5="Lean",'Monthly Lean'!Z49,IF('Start Here'!$B$5="Growth",'Monthly Growth'!Z49,'Monthly Base'!Z49))</f>
        <v>7399.64513233873</v>
      </c>
      <c r="AA49" s="10" t="n">
        <f aca="false">IF('Start Here'!$B$5="Lean",'Monthly Lean'!AA49,IF('Start Here'!$B$5="Growth",'Monthly Growth'!AA49,'Monthly Base'!AA49))</f>
        <v>29892.4043698508</v>
      </c>
      <c r="AB49" s="10" t="n">
        <f aca="false">IF('Start Here'!$B$5="Lean",'Monthly Lean'!AB49,IF('Start Here'!$B$5="Growth",'Monthly Growth'!AB49,'Monthly Base'!AB49))</f>
        <v>1144.820720941</v>
      </c>
      <c r="AC49" s="10" t="n">
        <f aca="false">IF('Start Here'!$B$5="Lean",'Monthly Lean'!AC49,IF('Start Here'!$B$5="Growth",'Monthly Growth'!AC49,'Monthly Base'!AC49))</f>
        <v>230319.920889797</v>
      </c>
      <c r="AD49" s="10" t="n">
        <f aca="false">IF('Start Here'!$B$5="Lean",'Monthly Lean'!AD49,IF('Start Here'!$B$5="Growth",'Monthly Growth'!AD49,'Monthly Base'!AD49))</f>
        <v>38160.6906980332</v>
      </c>
      <c r="AE49" s="10" t="n">
        <f aca="false">IF('Start Here'!$B$5="Lean",'Monthly Lean'!AE49,IF('Start Here'!$B$5="Growth",'Monthly Growth'!AE49,'Monthly Base'!AE49))</f>
        <v>457928.288376398</v>
      </c>
      <c r="AF49" s="10" t="n">
        <f aca="false">IF('Start Here'!$B$5="Lean",'Monthly Lean'!AF49,IF('Start Here'!$B$5="Growth",'Monthly Growth'!AF49,'Monthly Base'!AF49))</f>
        <v>192159.230191764</v>
      </c>
      <c r="AG49" s="10" t="n">
        <f aca="false">IF('Start Here'!$B$5="Lean",'Monthly Lean'!AG49,IF('Start Here'!$B$5="Growth",'Monthly Growth'!AG49,'Monthly Base'!AG49))</f>
        <v>0</v>
      </c>
      <c r="AH49" s="10" t="n">
        <f aca="false">IF('Start Here'!$B$5="Lean",'Monthly Lean'!AH49,IF('Start Here'!$B$5="Growth",'Monthly Growth'!AH49,'Monthly Base'!AH49))</f>
        <v>-2200334.04594816</v>
      </c>
      <c r="AI49" s="10" t="n">
        <f aca="false">IF('Start Here'!$B$5="Lean",'Monthly Lean'!AI49,IF('Start Here'!$B$5="Growth",'Monthly Growth'!AI49,'Monthly Base'!AI49))</f>
        <v>-2392493.27613993</v>
      </c>
      <c r="AJ49" s="10" t="n">
        <f aca="false">IF('Start Here'!$B$5="Lean",'Monthly Lean'!AJ49,IF('Start Here'!$B$5="Growth",'Monthly Growth'!AJ49,'Monthly Base'!AJ49))</f>
        <v>6934584.89703464</v>
      </c>
      <c r="AK49" s="10" t="n">
        <f aca="false">IF('Start Here'!$B$5="Lean",'Monthly Lean'!AK49,IF('Start Here'!$B$5="Growth",'Monthly Growth'!AK49,'Monthly Base'!AK49))</f>
        <v>2392493.27613993</v>
      </c>
      <c r="AL49" s="10" t="n">
        <f aca="false">IF('Start Here'!$B$5="Lean",'Monthly Lean'!AL49,IF('Start Here'!$B$5="Growth",'Monthly Growth'!AL49,'Monthly Base'!AL49))</f>
        <v>-2934584.89703464</v>
      </c>
      <c r="AM49" s="10" t="n">
        <f aca="false">IF('Start Here'!$B$5="Lean",'Monthly Lean'!AM49,IF('Start Here'!$B$5="Growth",'Monthly Growth'!AM49,'Monthly Base'!AM49))</f>
        <v>2021.54495</v>
      </c>
      <c r="AN49" s="10" t="n">
        <f aca="false">IF('Start Here'!$B$5="Lean",'Monthly Lean'!AN49,IF('Start Here'!$B$5="Growth",'Monthly Growth'!AN49,'Monthly Base'!AN49))</f>
        <v>0</v>
      </c>
      <c r="AO49" s="10" t="n">
        <f aca="false">IF('Start Here'!$B$5="Lean",'Monthly Lean'!AO49,IF('Start Here'!$B$5="Growth",'Monthly Growth'!AO49,'Monthly Base'!AO49))</f>
        <v>16872.96</v>
      </c>
      <c r="AP49" s="10" t="n">
        <f aca="false">IF('Start Here'!$B$5="Lean",'Monthly Lean'!AP49,IF('Start Here'!$B$5="Growth",'Monthly Growth'!AP49,'Monthly Base'!AP49))</f>
        <v>6392493.27613993</v>
      </c>
      <c r="AQ49" s="10" t="n">
        <f aca="false">IF('Start Here'!$B$5="Lean",'Monthly Lean'!AQ49,IF('Start Here'!$B$5="Growth",'Monthly Growth'!AQ49,'Monthly Base'!AQ49))</f>
        <v>230319.920889797</v>
      </c>
      <c r="AR49" s="10" t="n">
        <f aca="false">IF('Start Here'!$B$5="Lean",'Monthly Lean'!AR49,IF('Start Here'!$B$5="Growth",'Monthly Growth'!AR49,'Monthly Base'!AR49))</f>
        <v>1</v>
      </c>
    </row>
    <row r="50" customFormat="false" ht="15" hidden="false" customHeight="false" outlineLevel="0" collapsed="false">
      <c r="A50" s="11" t="n">
        <f aca="false">IF('Start Here'!$B$5="Lean",'Monthly Lean'!A50,IF('Start Here'!$B$5="Growth",'Monthly Growth'!A50,'Monthly Base'!A50))</f>
        <v>45</v>
      </c>
      <c r="B50" s="25" t="n">
        <f aca="false">IF('Start Here'!$B$5="Lean",'Monthly Lean'!B50,IF('Start Here'!$B$5="Growth",'Monthly Growth'!B50,'Monthly Base'!B50))</f>
        <v>47665</v>
      </c>
      <c r="C50" s="11" t="n">
        <f aca="false">IF('Start Here'!$B$5="Lean",'Monthly Lean'!C50,IF('Start Here'!$B$5="Growth",'Monthly Growth'!C50,'Monthly Base'!C50))</f>
        <v>2.25</v>
      </c>
      <c r="D50" s="11" t="n">
        <f aca="false">IF('Start Here'!$B$5="Lean",'Monthly Lean'!D50,IF('Start Here'!$B$5="Growth",'Monthly Growth'!D50,'Monthly Base'!D50))</f>
        <v>44.2267597678365</v>
      </c>
      <c r="E50" s="11" t="n">
        <f aca="false">IF('Start Here'!$B$5="Lean",'Monthly Lean'!E50,IF('Start Here'!$B$5="Growth",'Monthly Growth'!E50,'Monthly Base'!E50))</f>
        <v>663.401396517547</v>
      </c>
      <c r="F50" s="11" t="n">
        <f aca="false">IF('Start Here'!$B$5="Lean",'Monthly Lean'!F50,IF('Start Here'!$B$5="Growth",'Monthly Growth'!F50,'Monthly Base'!F50))</f>
        <v>2.98530628432896</v>
      </c>
      <c r="G50" s="11" t="n">
        <f aca="false">IF('Start Here'!$B$5="Lean",'Monthly Lean'!G50,IF('Start Here'!$B$5="Growth",'Monthly Growth'!G50,'Monthly Base'!G50))</f>
        <v>221.133798839182</v>
      </c>
      <c r="H50" s="11" t="n">
        <f aca="false">IF('Start Here'!$B$5="Lean",'Monthly Lean'!H50,IF('Start Here'!$B$5="Growth",'Monthly Growth'!H50,'Monthly Base'!H50))</f>
        <v>44.2267597678365</v>
      </c>
      <c r="I50" s="11" t="n">
        <f aca="false">IF('Start Here'!$B$5="Lean",'Monthly Lean'!I50,IF('Start Here'!$B$5="Growth",'Monthly Growth'!I50,'Monthly Base'!I50))</f>
        <v>12.5</v>
      </c>
      <c r="J50" s="11" t="n">
        <f aca="false">IF('Start Here'!$B$5="Lean",'Monthly Lean'!J50,IF('Start Here'!$B$5="Growth",'Monthly Growth'!J50,'Monthly Base'!J50))</f>
        <v>13</v>
      </c>
      <c r="K50" s="10" t="n">
        <f aca="false">IF('Start Here'!$B$5="Lean",'Monthly Lean'!K50,IF('Start Here'!$B$5="Growth",'Monthly Growth'!K50,'Monthly Base'!K50))</f>
        <v>191883.050666667</v>
      </c>
      <c r="L50" s="10" t="n">
        <f aca="false">IF('Start Here'!$B$5="Lean",'Monthly Lean'!L50,IF('Start Here'!$B$5="Growth",'Monthly Growth'!L50,'Monthly Base'!L50))</f>
        <v>0</v>
      </c>
      <c r="M50" s="10" t="n">
        <f aca="false">IF('Start Here'!$B$5="Lean",'Monthly Lean'!M50,IF('Start Here'!$B$5="Growth",'Monthly Growth'!M50,'Monthly Base'!M50))</f>
        <v>0</v>
      </c>
      <c r="N50" s="10" t="n">
        <f aca="false">IF('Start Here'!$B$5="Lean",'Monthly Lean'!N50,IF('Start Here'!$B$5="Growth",'Monthly Growth'!N50,'Monthly Base'!N50))</f>
        <v>1741.65719689944</v>
      </c>
      <c r="O50" s="10" t="n">
        <f aca="false">IF('Start Here'!$B$5="Lean",'Monthly Lean'!O50,IF('Start Here'!$B$5="Growth",'Monthly Growth'!O50,'Monthly Base'!O50))</f>
        <v>696.067099</v>
      </c>
      <c r="P50" s="10" t="n">
        <f aca="false">IF('Start Here'!$B$5="Lean",'Monthly Lean'!P50,IF('Start Here'!$B$5="Growth",'Monthly Growth'!P50,'Monthly Base'!P50))</f>
        <v>0</v>
      </c>
      <c r="Q50" s="10" t="n">
        <f aca="false">IF('Start Here'!$B$5="Lean",'Monthly Lean'!Q50,IF('Start Here'!$B$5="Growth",'Monthly Growth'!Q50,'Monthly Base'!Q50))</f>
        <v>0</v>
      </c>
      <c r="R50" s="10" t="n">
        <f aca="false">IF('Start Here'!$B$5="Lean",'Monthly Lean'!R50,IF('Start Here'!$B$5="Growth",'Monthly Growth'!R50,'Monthly Base'!R50))</f>
        <v>0</v>
      </c>
      <c r="S50" s="10" t="n">
        <f aca="false">IF('Start Here'!$B$5="Lean",'Monthly Lean'!S50,IF('Start Here'!$B$5="Growth",'Monthly Growth'!S50,'Monthly Base'!S50))</f>
        <v>13112.724</v>
      </c>
      <c r="T50" s="10" t="n">
        <f aca="false">IF('Start Here'!$B$5="Lean",'Monthly Lean'!T50,IF('Start Here'!$B$5="Growth",'Monthly Growth'!T50,'Monthly Base'!T50))</f>
        <v>655.6362</v>
      </c>
      <c r="U50" s="10" t="n">
        <f aca="false">IF('Start Here'!$B$5="Lean",'Monthly Lean'!U50,IF('Start Here'!$B$5="Growth",'Monthly Growth'!U50,'Monthly Base'!U50))</f>
        <v>109.2727</v>
      </c>
      <c r="V50" s="10" t="n">
        <f aca="false">IF('Start Here'!$B$5="Lean",'Monthly Lean'!V50,IF('Start Here'!$B$5="Growth",'Monthly Growth'!V50,'Monthly Base'!V50))</f>
        <v>3624.58308906215</v>
      </c>
      <c r="W50" s="10" t="n">
        <f aca="false">IF('Start Here'!$B$5="Lean",'Monthly Lean'!W50,IF('Start Here'!$B$5="Growth",'Monthly Growth'!W50,'Monthly Base'!W50))</f>
        <v>737.590725</v>
      </c>
      <c r="X50" s="10" t="n">
        <f aca="false">IF('Start Here'!$B$5="Lean",'Monthly Lean'!X50,IF('Start Here'!$B$5="Growth",'Monthly Growth'!X50,'Monthly Base'!X50))</f>
        <v>0</v>
      </c>
      <c r="Y50" s="10" t="n">
        <f aca="false">IF('Start Here'!$B$5="Lean",'Monthly Lean'!Y50,IF('Start Here'!$B$5="Growth",'Monthly Growth'!Y50,'Monthly Base'!Y50))</f>
        <v>0</v>
      </c>
      <c r="Z50" s="10" t="n">
        <f aca="false">IF('Start Here'!$B$5="Lean",'Monthly Lean'!Z50,IF('Start Here'!$B$5="Growth",'Monthly Growth'!Z50,'Monthly Base'!Z50))</f>
        <v>20677.5310099616</v>
      </c>
      <c r="AA50" s="10" t="n">
        <f aca="false">IF('Start Here'!$B$5="Lean",'Monthly Lean'!AA50,IF('Start Here'!$B$5="Growth",'Monthly Growth'!AA50,'Monthly Base'!AA50))</f>
        <v>31884.0872514942</v>
      </c>
      <c r="AB50" s="10" t="n">
        <f aca="false">IF('Start Here'!$B$5="Lean",'Monthly Lean'!AB50,IF('Start Here'!$B$5="Growth",'Monthly Growth'!AB50,'Monthly Base'!AB50))</f>
        <v>1194.12251373159</v>
      </c>
      <c r="AC50" s="10" t="n">
        <f aca="false">IF('Start Here'!$B$5="Lean",'Monthly Lean'!AC50,IF('Start Here'!$B$5="Growth",'Monthly Growth'!AC50,'Monthly Base'!AC50))</f>
        <v>245638.791441854</v>
      </c>
      <c r="AD50" s="10" t="n">
        <f aca="false">IF('Start Here'!$B$5="Lean",'Monthly Lean'!AD50,IF('Start Here'!$B$5="Growth",'Monthly Growth'!AD50,'Monthly Base'!AD50))</f>
        <v>39804.0837910528</v>
      </c>
      <c r="AE50" s="10" t="n">
        <f aca="false">IF('Start Here'!$B$5="Lean",'Monthly Lean'!AE50,IF('Start Here'!$B$5="Growth",'Monthly Growth'!AE50,'Monthly Base'!AE50))</f>
        <v>477649.005492634</v>
      </c>
      <c r="AF50" s="10" t="n">
        <f aca="false">IF('Start Here'!$B$5="Lean",'Monthly Lean'!AF50,IF('Start Here'!$B$5="Growth",'Monthly Growth'!AF50,'Monthly Base'!AF50))</f>
        <v>205834.707650801</v>
      </c>
      <c r="AG50" s="10" t="n">
        <f aca="false">IF('Start Here'!$B$5="Lean",'Monthly Lean'!AG50,IF('Start Here'!$B$5="Growth",'Monthly Growth'!AG50,'Monthly Base'!AG50))</f>
        <v>0</v>
      </c>
      <c r="AH50" s="10" t="n">
        <f aca="false">IF('Start Here'!$B$5="Lean",'Monthly Lean'!AH50,IF('Start Here'!$B$5="Growth",'Monthly Growth'!AH50,'Monthly Base'!AH50))</f>
        <v>-2392493.27613993</v>
      </c>
      <c r="AI50" s="10" t="n">
        <f aca="false">IF('Start Here'!$B$5="Lean",'Monthly Lean'!AI50,IF('Start Here'!$B$5="Growth",'Monthly Growth'!AI50,'Monthly Base'!AI50))</f>
        <v>-2598327.98379073</v>
      </c>
      <c r="AJ50" s="10" t="n">
        <f aca="false">IF('Start Here'!$B$5="Lean",'Monthly Lean'!AJ50,IF('Start Here'!$B$5="Growth",'Monthly Growth'!AJ50,'Monthly Base'!AJ50))</f>
        <v>7180223.6884765</v>
      </c>
      <c r="AK50" s="10" t="n">
        <f aca="false">IF('Start Here'!$B$5="Lean",'Monthly Lean'!AK50,IF('Start Here'!$B$5="Growth",'Monthly Growth'!AK50,'Monthly Base'!AK50))</f>
        <v>2598327.98379073</v>
      </c>
      <c r="AL50" s="10" t="n">
        <f aca="false">IF('Start Here'!$B$5="Lean",'Monthly Lean'!AL50,IF('Start Here'!$B$5="Growth",'Monthly Growth'!AL50,'Monthly Base'!AL50))</f>
        <v>-3180223.6884765</v>
      </c>
      <c r="AM50" s="10" t="n">
        <f aca="false">IF('Start Here'!$B$5="Lean",'Monthly Lean'!AM50,IF('Start Here'!$B$5="Growth",'Monthly Growth'!AM50,'Monthly Base'!AM50))</f>
        <v>15134.26895</v>
      </c>
      <c r="AN50" s="10" t="n">
        <f aca="false">IF('Start Here'!$B$5="Lean",'Monthly Lean'!AN50,IF('Start Here'!$B$5="Growth",'Monthly Growth'!AN50,'Monthly Base'!AN50))</f>
        <v>0</v>
      </c>
      <c r="AO50" s="10" t="n">
        <f aca="false">IF('Start Here'!$B$5="Lean",'Monthly Lean'!AO50,IF('Start Here'!$B$5="Growth",'Monthly Growth'!AO50,'Monthly Base'!AO50))</f>
        <v>16872.96</v>
      </c>
      <c r="AP50" s="10" t="n">
        <f aca="false">IF('Start Here'!$B$5="Lean",'Monthly Lean'!AP50,IF('Start Here'!$B$5="Growth",'Monthly Growth'!AP50,'Monthly Base'!AP50))</f>
        <v>6598327.98379073</v>
      </c>
      <c r="AQ50" s="10" t="n">
        <f aca="false">IF('Start Here'!$B$5="Lean",'Monthly Lean'!AQ50,IF('Start Here'!$B$5="Growth",'Monthly Growth'!AQ50,'Monthly Base'!AQ50))</f>
        <v>245638.791441854</v>
      </c>
      <c r="AR50" s="10" t="n">
        <f aca="false">IF('Start Here'!$B$5="Lean",'Monthly Lean'!AR50,IF('Start Here'!$B$5="Growth",'Monthly Growth'!AR50,'Monthly Base'!AR50))</f>
        <v>1</v>
      </c>
    </row>
    <row r="51" customFormat="false" ht="15" hidden="false" customHeight="false" outlineLevel="0" collapsed="false">
      <c r="A51" s="11" t="n">
        <f aca="false">IF('Start Here'!$B$5="Lean",'Monthly Lean'!A51,IF('Start Here'!$B$5="Growth",'Monthly Growth'!A51,'Monthly Base'!A51))</f>
        <v>46</v>
      </c>
      <c r="B51" s="25" t="n">
        <f aca="false">IF('Start Here'!$B$5="Lean",'Monthly Lean'!B51,IF('Start Here'!$B$5="Growth",'Monthly Growth'!B51,'Monthly Base'!B51))</f>
        <v>47696</v>
      </c>
      <c r="C51" s="11" t="n">
        <f aca="false">IF('Start Here'!$B$5="Lean",'Monthly Lean'!C51,IF('Start Here'!$B$5="Growth",'Monthly Growth'!C51,'Monthly Base'!C51))</f>
        <v>2.25</v>
      </c>
      <c r="D51" s="11" t="n">
        <f aca="false">IF('Start Here'!$B$5="Lean",'Monthly Lean'!D51,IF('Start Here'!$B$5="Growth",'Monthly Growth'!D51,'Monthly Base'!D51))</f>
        <v>46.0344921701581</v>
      </c>
      <c r="E51" s="11" t="n">
        <f aca="false">IF('Start Here'!$B$5="Lean",'Monthly Lean'!E51,IF('Start Here'!$B$5="Growth",'Monthly Growth'!E51,'Monthly Base'!E51))</f>
        <v>690.517382552372</v>
      </c>
      <c r="F51" s="11" t="n">
        <f aca="false">IF('Start Here'!$B$5="Lean",'Monthly Lean'!F51,IF('Start Here'!$B$5="Growth",'Monthly Growth'!F51,'Monthly Base'!F51))</f>
        <v>3.10732822148567</v>
      </c>
      <c r="G51" s="11" t="n">
        <f aca="false">IF('Start Here'!$B$5="Lean",'Monthly Lean'!G51,IF('Start Here'!$B$5="Growth",'Monthly Growth'!G51,'Monthly Base'!G51))</f>
        <v>230.172460850791</v>
      </c>
      <c r="H51" s="11" t="n">
        <f aca="false">IF('Start Here'!$B$5="Lean",'Monthly Lean'!H51,IF('Start Here'!$B$5="Growth",'Monthly Growth'!H51,'Monthly Base'!H51))</f>
        <v>46.0344921701581</v>
      </c>
      <c r="I51" s="11" t="n">
        <f aca="false">IF('Start Here'!$B$5="Lean",'Monthly Lean'!I51,IF('Start Here'!$B$5="Growth",'Monthly Growth'!I51,'Monthly Base'!I51))</f>
        <v>12.5</v>
      </c>
      <c r="J51" s="11" t="n">
        <f aca="false">IF('Start Here'!$B$5="Lean",'Monthly Lean'!J51,IF('Start Here'!$B$5="Growth",'Monthly Growth'!J51,'Monthly Base'!J51))</f>
        <v>13</v>
      </c>
      <c r="K51" s="10" t="n">
        <f aca="false">IF('Start Here'!$B$5="Lean",'Monthly Lean'!K51,IF('Start Here'!$B$5="Growth",'Monthly Growth'!K51,'Monthly Base'!K51))</f>
        <v>191883.050666667</v>
      </c>
      <c r="L51" s="10" t="n">
        <f aca="false">IF('Start Here'!$B$5="Lean",'Monthly Lean'!L51,IF('Start Here'!$B$5="Growth",'Monthly Growth'!L51,'Monthly Base'!L51))</f>
        <v>0</v>
      </c>
      <c r="M51" s="10" t="n">
        <f aca="false">IF('Start Here'!$B$5="Lean",'Monthly Lean'!M51,IF('Start Here'!$B$5="Growth",'Monthly Growth'!M51,'Monthly Base'!M51))</f>
        <v>0</v>
      </c>
      <c r="N51" s="10" t="n">
        <f aca="false">IF('Start Here'!$B$5="Lean",'Monthly Lean'!N51,IF('Start Here'!$B$5="Growth",'Monthly Growth'!N51,'Monthly Base'!N51))</f>
        <v>1757.0156053867</v>
      </c>
      <c r="O51" s="10" t="n">
        <f aca="false">IF('Start Here'!$B$5="Lean",'Monthly Lean'!O51,IF('Start Here'!$B$5="Growth",'Monthly Growth'!O51,'Monthly Base'!O51))</f>
        <v>696.067099</v>
      </c>
      <c r="P51" s="10" t="n">
        <f aca="false">IF('Start Here'!$B$5="Lean",'Monthly Lean'!P51,IF('Start Here'!$B$5="Growth",'Monthly Growth'!P51,'Monthly Base'!P51))</f>
        <v>0</v>
      </c>
      <c r="Q51" s="10" t="n">
        <f aca="false">IF('Start Here'!$B$5="Lean",'Monthly Lean'!Q51,IF('Start Here'!$B$5="Growth",'Monthly Growth'!Q51,'Monthly Base'!Q51))</f>
        <v>19669.086</v>
      </c>
      <c r="R51" s="10" t="n">
        <f aca="false">IF('Start Here'!$B$5="Lean",'Monthly Lean'!R51,IF('Start Here'!$B$5="Growth",'Monthly Growth'!R51,'Monthly Base'!R51))</f>
        <v>0</v>
      </c>
      <c r="S51" s="10" t="n">
        <f aca="false">IF('Start Here'!$B$5="Lean",'Monthly Lean'!S51,IF('Start Here'!$B$5="Growth",'Monthly Growth'!S51,'Monthly Base'!S51))</f>
        <v>0</v>
      </c>
      <c r="T51" s="10" t="n">
        <f aca="false">IF('Start Here'!$B$5="Lean",'Monthly Lean'!T51,IF('Start Here'!$B$5="Growth",'Monthly Growth'!T51,'Monthly Base'!T51))</f>
        <v>655.6362</v>
      </c>
      <c r="U51" s="10" t="n">
        <f aca="false">IF('Start Here'!$B$5="Lean",'Monthly Lean'!U51,IF('Start Here'!$B$5="Growth",'Monthly Growth'!U51,'Monthly Base'!U51))</f>
        <v>109.2727</v>
      </c>
      <c r="V51" s="10" t="n">
        <f aca="false">IF('Start Here'!$B$5="Lean",'Monthly Lean'!V51,IF('Start Here'!$B$5="Growth",'Monthly Growth'!V51,'Monthly Base'!V51))</f>
        <v>3772.73493942153</v>
      </c>
      <c r="W51" s="10" t="n">
        <f aca="false">IF('Start Here'!$B$5="Lean",'Monthly Lean'!W51,IF('Start Here'!$B$5="Growth",'Monthly Growth'!W51,'Monthly Base'!W51))</f>
        <v>737.590725</v>
      </c>
      <c r="X51" s="10" t="n">
        <f aca="false">IF('Start Here'!$B$5="Lean",'Monthly Lean'!X51,IF('Start Here'!$B$5="Growth",'Monthly Growth'!X51,'Monthly Base'!X51))</f>
        <v>0</v>
      </c>
      <c r="Y51" s="10" t="n">
        <f aca="false">IF('Start Here'!$B$5="Lean",'Monthly Lean'!Y51,IF('Start Here'!$B$5="Growth",'Monthly Growth'!Y51,'Monthly Base'!Y51))</f>
        <v>0</v>
      </c>
      <c r="Z51" s="10" t="n">
        <f aca="false">IF('Start Here'!$B$5="Lean",'Monthly Lean'!Z51,IF('Start Here'!$B$5="Growth",'Monthly Growth'!Z51,'Monthly Base'!Z51))</f>
        <v>27397.4032688082</v>
      </c>
      <c r="AA51" s="10" t="n">
        <f aca="false">IF('Start Here'!$B$5="Lean",'Monthly Lean'!AA51,IF('Start Here'!$B$5="Growth",'Monthly Growth'!AA51,'Monthly Base'!AA51))</f>
        <v>32892.0680903212</v>
      </c>
      <c r="AB51" s="10" t="n">
        <f aca="false">IF('Start Here'!$B$5="Lean",'Monthly Lean'!AB51,IF('Start Here'!$B$5="Growth",'Monthly Growth'!AB51,'Monthly Base'!AB51))</f>
        <v>1242.93128859427</v>
      </c>
      <c r="AC51" s="10" t="n">
        <f aca="false">IF('Start Here'!$B$5="Lean",'Monthly Lean'!AC51,IF('Start Here'!$B$5="Growth",'Monthly Growth'!AC51,'Monthly Base'!AC51))</f>
        <v>253415.45331439</v>
      </c>
      <c r="AD51" s="10" t="n">
        <f aca="false">IF('Start Here'!$B$5="Lean",'Monthly Lean'!AD51,IF('Start Here'!$B$5="Growth",'Monthly Growth'!AD51,'Monthly Base'!AD51))</f>
        <v>41431.0429531423</v>
      </c>
      <c r="AE51" s="10" t="n">
        <f aca="false">IF('Start Here'!$B$5="Lean",'Monthly Lean'!AE51,IF('Start Here'!$B$5="Growth",'Monthly Growth'!AE51,'Monthly Base'!AE51))</f>
        <v>497172.515437708</v>
      </c>
      <c r="AF51" s="10" t="n">
        <f aca="false">IF('Start Here'!$B$5="Lean",'Monthly Lean'!AF51,IF('Start Here'!$B$5="Growth",'Monthly Growth'!AF51,'Monthly Base'!AF51))</f>
        <v>211984.410361248</v>
      </c>
      <c r="AG51" s="10" t="n">
        <f aca="false">IF('Start Here'!$B$5="Lean",'Monthly Lean'!AG51,IF('Start Here'!$B$5="Growth",'Monthly Growth'!AG51,'Monthly Base'!AG51))</f>
        <v>0</v>
      </c>
      <c r="AH51" s="10" t="n">
        <f aca="false">IF('Start Here'!$B$5="Lean",'Monthly Lean'!AH51,IF('Start Here'!$B$5="Growth",'Monthly Growth'!AH51,'Monthly Base'!AH51))</f>
        <v>-2598327.98379073</v>
      </c>
      <c r="AI51" s="10" t="n">
        <f aca="false">IF('Start Here'!$B$5="Lean",'Monthly Lean'!AI51,IF('Start Here'!$B$5="Growth",'Monthly Growth'!AI51,'Monthly Base'!AI51))</f>
        <v>-2810312.39415198</v>
      </c>
      <c r="AJ51" s="10" t="n">
        <f aca="false">IF('Start Here'!$B$5="Lean",'Monthly Lean'!AJ51,IF('Start Here'!$B$5="Growth",'Monthly Growth'!AJ51,'Monthly Base'!AJ51))</f>
        <v>7433639.14179089</v>
      </c>
      <c r="AK51" s="10" t="n">
        <f aca="false">IF('Start Here'!$B$5="Lean",'Monthly Lean'!AK51,IF('Start Here'!$B$5="Growth",'Monthly Growth'!AK51,'Monthly Base'!AK51))</f>
        <v>2810312.39415198</v>
      </c>
      <c r="AL51" s="10" t="n">
        <f aca="false">IF('Start Here'!$B$5="Lean",'Monthly Lean'!AL51,IF('Start Here'!$B$5="Growth",'Monthly Growth'!AL51,'Monthly Base'!AL51))</f>
        <v>-3433639.14179089</v>
      </c>
      <c r="AM51" s="10" t="n">
        <f aca="false">IF('Start Here'!$B$5="Lean",'Monthly Lean'!AM51,IF('Start Here'!$B$5="Growth",'Monthly Growth'!AM51,'Monthly Base'!AM51))</f>
        <v>21690.63095</v>
      </c>
      <c r="AN51" s="10" t="n">
        <f aca="false">IF('Start Here'!$B$5="Lean",'Monthly Lean'!AN51,IF('Start Here'!$B$5="Growth",'Monthly Growth'!AN51,'Monthly Base'!AN51))</f>
        <v>0</v>
      </c>
      <c r="AO51" s="10" t="n">
        <f aca="false">IF('Start Here'!$B$5="Lean",'Monthly Lean'!AO51,IF('Start Here'!$B$5="Growth",'Monthly Growth'!AO51,'Monthly Base'!AO51))</f>
        <v>16872.96</v>
      </c>
      <c r="AP51" s="10" t="n">
        <f aca="false">IF('Start Here'!$B$5="Lean",'Monthly Lean'!AP51,IF('Start Here'!$B$5="Growth",'Monthly Growth'!AP51,'Monthly Base'!AP51))</f>
        <v>6810312.39415198</v>
      </c>
      <c r="AQ51" s="10" t="n">
        <f aca="false">IF('Start Here'!$B$5="Lean",'Monthly Lean'!AQ51,IF('Start Here'!$B$5="Growth",'Monthly Growth'!AQ51,'Monthly Base'!AQ51))</f>
        <v>253415.45331439</v>
      </c>
      <c r="AR51" s="10" t="n">
        <f aca="false">IF('Start Here'!$B$5="Lean",'Monthly Lean'!AR51,IF('Start Here'!$B$5="Growth",'Monthly Growth'!AR51,'Monthly Base'!AR51))</f>
        <v>1</v>
      </c>
    </row>
    <row r="52" customFormat="false" ht="15" hidden="false" customHeight="false" outlineLevel="0" collapsed="false">
      <c r="A52" s="11" t="n">
        <f aca="false">IF('Start Here'!$B$5="Lean",'Monthly Lean'!A52,IF('Start Here'!$B$5="Growth",'Monthly Growth'!A52,'Monthly Base'!A52))</f>
        <v>47</v>
      </c>
      <c r="B52" s="25" t="n">
        <f aca="false">IF('Start Here'!$B$5="Lean",'Monthly Lean'!B52,IF('Start Here'!$B$5="Growth",'Monthly Growth'!B52,'Monthly Base'!B52))</f>
        <v>47727</v>
      </c>
      <c r="C52" s="11" t="n">
        <f aca="false">IF('Start Here'!$B$5="Lean",'Monthly Lean'!C52,IF('Start Here'!$B$5="Growth",'Monthly Growth'!C52,'Monthly Base'!C52))</f>
        <v>2.25</v>
      </c>
      <c r="D52" s="11" t="n">
        <f aca="false">IF('Start Here'!$B$5="Lean",'Monthly Lean'!D52,IF('Start Here'!$B$5="Growth",'Monthly Growth'!D52,'Monthly Base'!D52))</f>
        <v>47.8241472484565</v>
      </c>
      <c r="E52" s="11" t="n">
        <f aca="false">IF('Start Here'!$B$5="Lean",'Monthly Lean'!E52,IF('Start Here'!$B$5="Growth",'Monthly Growth'!E52,'Monthly Base'!E52))</f>
        <v>717.362208726848</v>
      </c>
      <c r="F52" s="11" t="n">
        <f aca="false">IF('Start Here'!$B$5="Lean",'Monthly Lean'!F52,IF('Start Here'!$B$5="Growth",'Monthly Growth'!F52,'Monthly Base'!F52))</f>
        <v>3.22812993927082</v>
      </c>
      <c r="G52" s="11" t="n">
        <f aca="false">IF('Start Here'!$B$5="Lean",'Monthly Lean'!G52,IF('Start Here'!$B$5="Growth",'Monthly Growth'!G52,'Monthly Base'!G52))</f>
        <v>239.120736242283</v>
      </c>
      <c r="H52" s="11" t="n">
        <f aca="false">IF('Start Here'!$B$5="Lean",'Monthly Lean'!H52,IF('Start Here'!$B$5="Growth",'Monthly Growth'!H52,'Monthly Base'!H52))</f>
        <v>47.8241472484565</v>
      </c>
      <c r="I52" s="11" t="n">
        <f aca="false">IF('Start Here'!$B$5="Lean",'Monthly Lean'!I52,IF('Start Here'!$B$5="Growth",'Monthly Growth'!I52,'Monthly Base'!I52))</f>
        <v>12.5</v>
      </c>
      <c r="J52" s="11" t="n">
        <f aca="false">IF('Start Here'!$B$5="Lean",'Monthly Lean'!J52,IF('Start Here'!$B$5="Growth",'Monthly Growth'!J52,'Monthly Base'!J52))</f>
        <v>13</v>
      </c>
      <c r="K52" s="10" t="n">
        <f aca="false">IF('Start Here'!$B$5="Lean",'Monthly Lean'!K52,IF('Start Here'!$B$5="Growth",'Monthly Growth'!K52,'Monthly Base'!K52))</f>
        <v>191883.050666667</v>
      </c>
      <c r="L52" s="10" t="n">
        <f aca="false">IF('Start Here'!$B$5="Lean",'Monthly Lean'!L52,IF('Start Here'!$B$5="Growth",'Monthly Growth'!L52,'Monthly Base'!L52))</f>
        <v>0</v>
      </c>
      <c r="M52" s="10" t="n">
        <f aca="false">IF('Start Here'!$B$5="Lean",'Monthly Lean'!M52,IF('Start Here'!$B$5="Growth",'Monthly Growth'!M52,'Monthly Base'!M52))</f>
        <v>0</v>
      </c>
      <c r="N52" s="10" t="n">
        <f aca="false">IF('Start Here'!$B$5="Lean",'Monthly Lean'!N52,IF('Start Here'!$B$5="Growth",'Monthly Growth'!N52,'Monthly Base'!N52))</f>
        <v>1772.22042978908</v>
      </c>
      <c r="O52" s="10" t="n">
        <f aca="false">IF('Start Here'!$B$5="Lean",'Monthly Lean'!O52,IF('Start Here'!$B$5="Growth",'Monthly Growth'!O52,'Monthly Base'!O52))</f>
        <v>696.067099</v>
      </c>
      <c r="P52" s="10" t="n">
        <f aca="false">IF('Start Here'!$B$5="Lean",'Monthly Lean'!P52,IF('Start Here'!$B$5="Growth",'Monthly Growth'!P52,'Monthly Base'!P52))</f>
        <v>0</v>
      </c>
      <c r="Q52" s="10" t="n">
        <f aca="false">IF('Start Here'!$B$5="Lean",'Monthly Lean'!Q52,IF('Start Here'!$B$5="Growth",'Monthly Growth'!Q52,'Monthly Base'!Q52))</f>
        <v>0</v>
      </c>
      <c r="R52" s="10" t="n">
        <f aca="false">IF('Start Here'!$B$5="Lean",'Monthly Lean'!R52,IF('Start Here'!$B$5="Growth",'Monthly Growth'!R52,'Monthly Base'!R52))</f>
        <v>16390.905</v>
      </c>
      <c r="S52" s="10" t="n">
        <f aca="false">IF('Start Here'!$B$5="Lean",'Monthly Lean'!S52,IF('Start Here'!$B$5="Growth",'Monthly Growth'!S52,'Monthly Base'!S52))</f>
        <v>0</v>
      </c>
      <c r="T52" s="10" t="n">
        <f aca="false">IF('Start Here'!$B$5="Lean",'Monthly Lean'!T52,IF('Start Here'!$B$5="Growth",'Monthly Growth'!T52,'Monthly Base'!T52))</f>
        <v>655.6362</v>
      </c>
      <c r="U52" s="10" t="n">
        <f aca="false">IF('Start Here'!$B$5="Lean",'Monthly Lean'!U52,IF('Start Here'!$B$5="Growth",'Monthly Growth'!U52,'Monthly Base'!U52))</f>
        <v>109.2727</v>
      </c>
      <c r="V52" s="10" t="n">
        <f aca="false">IF('Start Here'!$B$5="Lean",'Monthly Lean'!V52,IF('Start Here'!$B$5="Growth",'Monthly Growth'!V52,'Monthly Base'!V52))</f>
        <v>3919.40527127731</v>
      </c>
      <c r="W52" s="10" t="n">
        <f aca="false">IF('Start Here'!$B$5="Lean",'Monthly Lean'!W52,IF('Start Here'!$B$5="Growth",'Monthly Growth'!W52,'Monthly Base'!W52))</f>
        <v>737.590725</v>
      </c>
      <c r="X52" s="10" t="n">
        <f aca="false">IF('Start Here'!$B$5="Lean",'Monthly Lean'!X52,IF('Start Here'!$B$5="Growth",'Monthly Growth'!X52,'Monthly Base'!X52))</f>
        <v>0</v>
      </c>
      <c r="Y52" s="10" t="n">
        <f aca="false">IF('Start Here'!$B$5="Lean",'Monthly Lean'!Y52,IF('Start Here'!$B$5="Growth",'Monthly Growth'!Y52,'Monthly Base'!Y52))</f>
        <v>0</v>
      </c>
      <c r="Z52" s="10" t="n">
        <f aca="false">IF('Start Here'!$B$5="Lean",'Monthly Lean'!Z52,IF('Start Here'!$B$5="Growth",'Monthly Growth'!Z52,'Monthly Base'!Z52))</f>
        <v>24281.0974250664</v>
      </c>
      <c r="AA52" s="10" t="n">
        <f aca="false">IF('Start Here'!$B$5="Lean",'Monthly Lean'!AA52,IF('Start Here'!$B$5="Growth",'Monthly Growth'!AA52,'Monthly Base'!AA52))</f>
        <v>32424.62221376</v>
      </c>
      <c r="AB52" s="10" t="n">
        <f aca="false">IF('Start Here'!$B$5="Lean",'Monthly Lean'!AB52,IF('Start Here'!$B$5="Growth",'Monthly Growth'!AB52,'Monthly Base'!AB52))</f>
        <v>1291.25197570833</v>
      </c>
      <c r="AC52" s="10" t="n">
        <f aca="false">IF('Start Here'!$B$5="Lean",'Monthly Lean'!AC52,IF('Start Here'!$B$5="Growth",'Monthly Growth'!AC52,'Monthly Base'!AC52))</f>
        <v>249880.022281201</v>
      </c>
      <c r="AD52" s="10" t="n">
        <f aca="false">IF('Start Here'!$B$5="Lean",'Monthly Lean'!AD52,IF('Start Here'!$B$5="Growth",'Monthly Growth'!AD52,'Monthly Base'!AD52))</f>
        <v>43041.7325236109</v>
      </c>
      <c r="AE52" s="10" t="n">
        <f aca="false">IF('Start Here'!$B$5="Lean",'Monthly Lean'!AE52,IF('Start Here'!$B$5="Growth",'Monthly Growth'!AE52,'Monthly Base'!AE52))</f>
        <v>516500.790283331</v>
      </c>
      <c r="AF52" s="10" t="n">
        <f aca="false">IF('Start Here'!$B$5="Lean",'Monthly Lean'!AF52,IF('Start Here'!$B$5="Growth",'Monthly Growth'!AF52,'Monthly Base'!AF52))</f>
        <v>206838.289757591</v>
      </c>
      <c r="AG52" s="10" t="n">
        <f aca="false">IF('Start Here'!$B$5="Lean",'Monthly Lean'!AG52,IF('Start Here'!$B$5="Growth",'Monthly Growth'!AG52,'Monthly Base'!AG52))</f>
        <v>0</v>
      </c>
      <c r="AH52" s="10" t="n">
        <f aca="false">IF('Start Here'!$B$5="Lean",'Monthly Lean'!AH52,IF('Start Here'!$B$5="Growth",'Monthly Growth'!AH52,'Monthly Base'!AH52))</f>
        <v>-2810312.39415198</v>
      </c>
      <c r="AI52" s="10" t="n">
        <f aca="false">IF('Start Here'!$B$5="Lean",'Monthly Lean'!AI52,IF('Start Here'!$B$5="Growth",'Monthly Growth'!AI52,'Monthly Base'!AI52))</f>
        <v>-3017150.68390957</v>
      </c>
      <c r="AJ52" s="10" t="n">
        <f aca="false">IF('Start Here'!$B$5="Lean",'Monthly Lean'!AJ52,IF('Start Here'!$B$5="Growth",'Monthly Growth'!AJ52,'Monthly Base'!AJ52))</f>
        <v>7683519.16407209</v>
      </c>
      <c r="AK52" s="10" t="n">
        <f aca="false">IF('Start Here'!$B$5="Lean",'Monthly Lean'!AK52,IF('Start Here'!$B$5="Growth",'Monthly Growth'!AK52,'Monthly Base'!AK52))</f>
        <v>3017150.68390957</v>
      </c>
      <c r="AL52" s="10" t="n">
        <f aca="false">IF('Start Here'!$B$5="Lean",'Monthly Lean'!AL52,IF('Start Here'!$B$5="Growth",'Monthly Growth'!AL52,'Monthly Base'!AL52))</f>
        <v>-3683519.16407209</v>
      </c>
      <c r="AM52" s="10" t="n">
        <f aca="false">IF('Start Here'!$B$5="Lean",'Monthly Lean'!AM52,IF('Start Here'!$B$5="Growth",'Monthly Growth'!AM52,'Monthly Base'!AM52))</f>
        <v>18412.44995</v>
      </c>
      <c r="AN52" s="10" t="n">
        <f aca="false">IF('Start Here'!$B$5="Lean",'Monthly Lean'!AN52,IF('Start Here'!$B$5="Growth",'Monthly Growth'!AN52,'Monthly Base'!AN52))</f>
        <v>0</v>
      </c>
      <c r="AO52" s="10" t="n">
        <f aca="false">IF('Start Here'!$B$5="Lean",'Monthly Lean'!AO52,IF('Start Here'!$B$5="Growth",'Monthly Growth'!AO52,'Monthly Base'!AO52))</f>
        <v>16872.96</v>
      </c>
      <c r="AP52" s="10" t="n">
        <f aca="false">IF('Start Here'!$B$5="Lean",'Monthly Lean'!AP52,IF('Start Here'!$B$5="Growth",'Monthly Growth'!AP52,'Monthly Base'!AP52))</f>
        <v>7017150.68390957</v>
      </c>
      <c r="AQ52" s="10" t="n">
        <f aca="false">IF('Start Here'!$B$5="Lean",'Monthly Lean'!AQ52,IF('Start Here'!$B$5="Growth",'Monthly Growth'!AQ52,'Monthly Base'!AQ52))</f>
        <v>249880.022281201</v>
      </c>
      <c r="AR52" s="10" t="n">
        <f aca="false">IF('Start Here'!$B$5="Lean",'Monthly Lean'!AR52,IF('Start Here'!$B$5="Growth",'Monthly Growth'!AR52,'Monthly Base'!AR52))</f>
        <v>1</v>
      </c>
    </row>
    <row r="53" customFormat="false" ht="15" hidden="false" customHeight="false" outlineLevel="0" collapsed="false">
      <c r="A53" s="11" t="n">
        <f aca="false">IF('Start Here'!$B$5="Lean",'Monthly Lean'!A53,IF('Start Here'!$B$5="Growth",'Monthly Growth'!A53,'Monthly Base'!A53))</f>
        <v>48</v>
      </c>
      <c r="B53" s="25" t="n">
        <f aca="false">IF('Start Here'!$B$5="Lean",'Monthly Lean'!B53,IF('Start Here'!$B$5="Growth",'Monthly Growth'!B53,'Monthly Base'!B53))</f>
        <v>47757</v>
      </c>
      <c r="C53" s="11" t="n">
        <f aca="false">IF('Start Here'!$B$5="Lean",'Monthly Lean'!C53,IF('Start Here'!$B$5="Growth",'Monthly Growth'!C53,'Monthly Base'!C53))</f>
        <v>2.25</v>
      </c>
      <c r="D53" s="11" t="n">
        <f aca="false">IF('Start Here'!$B$5="Lean",'Monthly Lean'!D53,IF('Start Here'!$B$5="Growth",'Monthly Growth'!D53,'Monthly Base'!D53))</f>
        <v>49.595905775972</v>
      </c>
      <c r="E53" s="11" t="n">
        <f aca="false">IF('Start Here'!$B$5="Lean",'Monthly Lean'!E53,IF('Start Here'!$B$5="Growth",'Monthly Growth'!E53,'Monthly Base'!E53))</f>
        <v>743.93858663958</v>
      </c>
      <c r="F53" s="11" t="n">
        <f aca="false">IF('Start Here'!$B$5="Lean",'Monthly Lean'!F53,IF('Start Here'!$B$5="Growth",'Monthly Growth'!F53,'Monthly Base'!F53))</f>
        <v>3.34772363987811</v>
      </c>
      <c r="G53" s="11" t="n">
        <f aca="false">IF('Start Here'!$B$5="Lean",'Monthly Lean'!G53,IF('Start Here'!$B$5="Growth",'Monthly Growth'!G53,'Monthly Base'!G53))</f>
        <v>247.97952887986</v>
      </c>
      <c r="H53" s="11" t="n">
        <f aca="false">IF('Start Here'!$B$5="Lean",'Monthly Lean'!H53,IF('Start Here'!$B$5="Growth",'Monthly Growth'!H53,'Monthly Base'!H53))</f>
        <v>49.595905775972</v>
      </c>
      <c r="I53" s="11" t="n">
        <f aca="false">IF('Start Here'!$B$5="Lean",'Monthly Lean'!I53,IF('Start Here'!$B$5="Growth",'Monthly Growth'!I53,'Monthly Base'!I53))</f>
        <v>12.5</v>
      </c>
      <c r="J53" s="11" t="n">
        <f aca="false">IF('Start Here'!$B$5="Lean",'Monthly Lean'!J53,IF('Start Here'!$B$5="Growth",'Monthly Growth'!J53,'Monthly Base'!J53))</f>
        <v>13</v>
      </c>
      <c r="K53" s="10" t="n">
        <f aca="false">IF('Start Here'!$B$5="Lean",'Monthly Lean'!K53,IF('Start Here'!$B$5="Growth",'Monthly Growth'!K53,'Monthly Base'!K53))</f>
        <v>191883.050666667</v>
      </c>
      <c r="L53" s="10" t="n">
        <f aca="false">IF('Start Here'!$B$5="Lean",'Monthly Lean'!L53,IF('Start Here'!$B$5="Growth",'Monthly Growth'!L53,'Monthly Base'!L53))</f>
        <v>0</v>
      </c>
      <c r="M53" s="10" t="n">
        <f aca="false">IF('Start Here'!$B$5="Lean",'Monthly Lean'!M53,IF('Start Here'!$B$5="Growth",'Monthly Growth'!M53,'Monthly Base'!M53))</f>
        <v>0</v>
      </c>
      <c r="N53" s="10" t="n">
        <f aca="false">IF('Start Here'!$B$5="Lean",'Monthly Lean'!N53,IF('Start Here'!$B$5="Growth",'Monthly Growth'!N53,'Monthly Base'!N53))</f>
        <v>1787.27320594744</v>
      </c>
      <c r="O53" s="10" t="n">
        <f aca="false">IF('Start Here'!$B$5="Lean",'Monthly Lean'!O53,IF('Start Here'!$B$5="Growth",'Monthly Growth'!O53,'Monthly Base'!O53))</f>
        <v>696.067099</v>
      </c>
      <c r="P53" s="10" t="n">
        <f aca="false">IF('Start Here'!$B$5="Lean",'Monthly Lean'!P53,IF('Start Here'!$B$5="Growth",'Monthly Growth'!P53,'Monthly Base'!P53))</f>
        <v>0</v>
      </c>
      <c r="Q53" s="10" t="n">
        <f aca="false">IF('Start Here'!$B$5="Lean",'Monthly Lean'!Q53,IF('Start Here'!$B$5="Growth",'Monthly Growth'!Q53,'Monthly Base'!Q53))</f>
        <v>0</v>
      </c>
      <c r="R53" s="10" t="n">
        <f aca="false">IF('Start Here'!$B$5="Lean",'Monthly Lean'!R53,IF('Start Here'!$B$5="Growth",'Monthly Growth'!R53,'Monthly Base'!R53))</f>
        <v>0</v>
      </c>
      <c r="S53" s="10" t="n">
        <f aca="false">IF('Start Here'!$B$5="Lean",'Monthly Lean'!S53,IF('Start Here'!$B$5="Growth",'Monthly Growth'!S53,'Monthly Base'!S53))</f>
        <v>0</v>
      </c>
      <c r="T53" s="10" t="n">
        <f aca="false">IF('Start Here'!$B$5="Lean",'Monthly Lean'!T53,IF('Start Here'!$B$5="Growth",'Monthly Growth'!T53,'Monthly Base'!T53))</f>
        <v>655.6362</v>
      </c>
      <c r="U53" s="10" t="n">
        <f aca="false">IF('Start Here'!$B$5="Lean",'Monthly Lean'!U53,IF('Start Here'!$B$5="Growth",'Monthly Growth'!U53,'Monthly Base'!U53))</f>
        <v>109.2727</v>
      </c>
      <c r="V53" s="10" t="n">
        <f aca="false">IF('Start Here'!$B$5="Lean",'Monthly Lean'!V53,IF('Start Here'!$B$5="Growth",'Monthly Growth'!V53,'Monthly Base'!V53))</f>
        <v>4064.60889981454</v>
      </c>
      <c r="W53" s="10" t="n">
        <f aca="false">IF('Start Here'!$B$5="Lean",'Monthly Lean'!W53,IF('Start Here'!$B$5="Growth",'Monthly Growth'!W53,'Monthly Base'!W53))</f>
        <v>737.590725</v>
      </c>
      <c r="X53" s="10" t="n">
        <f aca="false">IF('Start Here'!$B$5="Lean",'Monthly Lean'!X53,IF('Start Here'!$B$5="Growth",'Monthly Growth'!X53,'Monthly Base'!X53))</f>
        <v>0</v>
      </c>
      <c r="Y53" s="10" t="n">
        <f aca="false">IF('Start Here'!$B$5="Lean",'Monthly Lean'!Y53,IF('Start Here'!$B$5="Growth",'Monthly Growth'!Y53,'Monthly Base'!Y53))</f>
        <v>0</v>
      </c>
      <c r="Z53" s="10" t="n">
        <f aca="false">IF('Start Here'!$B$5="Lean",'Monthly Lean'!Z53,IF('Start Here'!$B$5="Growth",'Monthly Growth'!Z53,'Monthly Base'!Z53))</f>
        <v>8050.44882976198</v>
      </c>
      <c r="AA53" s="10" t="n">
        <f aca="false">IF('Start Here'!$B$5="Lean",'Monthly Lean'!AA53,IF('Start Here'!$B$5="Growth",'Monthly Growth'!AA53,'Monthly Base'!AA53))</f>
        <v>29990.0249244643</v>
      </c>
      <c r="AB53" s="10" t="n">
        <f aca="false">IF('Start Here'!$B$5="Lean",'Monthly Lean'!AB53,IF('Start Here'!$B$5="Growth",'Monthly Growth'!AB53,'Monthly Base'!AB53))</f>
        <v>1339.08945595124</v>
      </c>
      <c r="AC53" s="10" t="n">
        <f aca="false">IF('Start Here'!$B$5="Lean",'Monthly Lean'!AC53,IF('Start Here'!$B$5="Growth",'Monthly Growth'!AC53,'Monthly Base'!AC53))</f>
        <v>231262.613876844</v>
      </c>
      <c r="AD53" s="10" t="n">
        <f aca="false">IF('Start Here'!$B$5="Lean",'Monthly Lean'!AD53,IF('Start Here'!$B$5="Growth",'Monthly Growth'!AD53,'Monthly Base'!AD53))</f>
        <v>44636.3151983748</v>
      </c>
      <c r="AE53" s="10" t="n">
        <f aca="false">IF('Start Here'!$B$5="Lean",'Monthly Lean'!AE53,IF('Start Here'!$B$5="Growth",'Monthly Growth'!AE53,'Monthly Base'!AE53))</f>
        <v>535635.782380497</v>
      </c>
      <c r="AF53" s="10" t="n">
        <f aca="false">IF('Start Here'!$B$5="Lean",'Monthly Lean'!AF53,IF('Start Here'!$B$5="Growth",'Monthly Growth'!AF53,'Monthly Base'!AF53))</f>
        <v>186626.298678469</v>
      </c>
      <c r="AG53" s="10" t="n">
        <f aca="false">IF('Start Here'!$B$5="Lean",'Monthly Lean'!AG53,IF('Start Here'!$B$5="Growth",'Monthly Growth'!AG53,'Monthly Base'!AG53))</f>
        <v>0</v>
      </c>
      <c r="AH53" s="10" t="n">
        <f aca="false">IF('Start Here'!$B$5="Lean",'Monthly Lean'!AH53,IF('Start Here'!$B$5="Growth",'Monthly Growth'!AH53,'Monthly Base'!AH53))</f>
        <v>-3017150.68390957</v>
      </c>
      <c r="AI53" s="10" t="n">
        <f aca="false">IF('Start Here'!$B$5="Lean",'Monthly Lean'!AI53,IF('Start Here'!$B$5="Growth",'Monthly Growth'!AI53,'Monthly Base'!AI53))</f>
        <v>-3203776.98258804</v>
      </c>
      <c r="AJ53" s="10" t="n">
        <f aca="false">IF('Start Here'!$B$5="Lean",'Monthly Lean'!AJ53,IF('Start Here'!$B$5="Growth",'Monthly Growth'!AJ53,'Monthly Base'!AJ53))</f>
        <v>7914781.77794893</v>
      </c>
      <c r="AK53" s="10" t="n">
        <f aca="false">IF('Start Here'!$B$5="Lean",'Monthly Lean'!AK53,IF('Start Here'!$B$5="Growth",'Monthly Growth'!AK53,'Monthly Base'!AK53))</f>
        <v>3203776.98258804</v>
      </c>
      <c r="AL53" s="10" t="n">
        <f aca="false">IF('Start Here'!$B$5="Lean",'Monthly Lean'!AL53,IF('Start Here'!$B$5="Growth",'Monthly Growth'!AL53,'Monthly Base'!AL53))</f>
        <v>-3914781.77794893</v>
      </c>
      <c r="AM53" s="10" t="n">
        <f aca="false">IF('Start Here'!$B$5="Lean",'Monthly Lean'!AM53,IF('Start Here'!$B$5="Growth",'Monthly Growth'!AM53,'Monthly Base'!AM53))</f>
        <v>2021.54495</v>
      </c>
      <c r="AN53" s="10" t="n">
        <f aca="false">IF('Start Here'!$B$5="Lean",'Monthly Lean'!AN53,IF('Start Here'!$B$5="Growth",'Monthly Growth'!AN53,'Monthly Base'!AN53))</f>
        <v>0</v>
      </c>
      <c r="AO53" s="10" t="n">
        <f aca="false">IF('Start Here'!$B$5="Lean",'Monthly Lean'!AO53,IF('Start Here'!$B$5="Growth",'Monthly Growth'!AO53,'Monthly Base'!AO53))</f>
        <v>16872.96</v>
      </c>
      <c r="AP53" s="10" t="n">
        <f aca="false">IF('Start Here'!$B$5="Lean",'Monthly Lean'!AP53,IF('Start Here'!$B$5="Growth",'Monthly Growth'!AP53,'Monthly Base'!AP53))</f>
        <v>7203776.98258804</v>
      </c>
      <c r="AQ53" s="10" t="n">
        <f aca="false">IF('Start Here'!$B$5="Lean",'Monthly Lean'!AQ53,IF('Start Here'!$B$5="Growth",'Monthly Growth'!AQ53,'Monthly Base'!AQ53))</f>
        <v>231262.613876844</v>
      </c>
      <c r="AR53" s="10" t="n">
        <f aca="false">IF('Start Here'!$B$5="Lean",'Monthly Lean'!AR53,IF('Start Here'!$B$5="Growth",'Monthly Growth'!AR53,'Monthly Base'!AR53))</f>
        <v>1</v>
      </c>
    </row>
    <row r="54" customFormat="false" ht="15" hidden="false" customHeight="false" outlineLevel="0" collapsed="false">
      <c r="A54" s="11" t="n">
        <f aca="false">IF('Start Here'!$B$5="Lean",'Monthly Lean'!A54,IF('Start Here'!$B$5="Growth",'Monthly Growth'!A54,'Monthly Base'!A54))</f>
        <v>49</v>
      </c>
      <c r="B54" s="25" t="n">
        <f aca="false">IF('Start Here'!$B$5="Lean",'Monthly Lean'!B54,IF('Start Here'!$B$5="Growth",'Monthly Growth'!B54,'Monthly Base'!B54))</f>
        <v>47788</v>
      </c>
      <c r="C54" s="11" t="n">
        <f aca="false">IF('Start Here'!$B$5="Lean",'Monthly Lean'!C54,IF('Start Here'!$B$5="Growth",'Monthly Growth'!C54,'Monthly Base'!C54))</f>
        <v>3.375</v>
      </c>
      <c r="D54" s="11" t="n">
        <f aca="false">IF('Start Here'!$B$5="Lean",'Monthly Lean'!D54,IF('Start Here'!$B$5="Growth",'Monthly Growth'!D54,'Monthly Base'!D54))</f>
        <v>52.4749467182123</v>
      </c>
      <c r="E54" s="11" t="n">
        <f aca="false">IF('Start Here'!$B$5="Lean",'Monthly Lean'!E54,IF('Start Here'!$B$5="Growth",'Monthly Growth'!E54,'Monthly Base'!E54))</f>
        <v>787.124200773184</v>
      </c>
      <c r="F54" s="11" t="n">
        <f aca="false">IF('Start Here'!$B$5="Lean",'Monthly Lean'!F54,IF('Start Here'!$B$5="Growth",'Monthly Growth'!F54,'Monthly Base'!F54))</f>
        <v>3.54205890347933</v>
      </c>
      <c r="G54" s="11" t="n">
        <f aca="false">IF('Start Here'!$B$5="Lean",'Monthly Lean'!G54,IF('Start Here'!$B$5="Growth",'Monthly Growth'!G54,'Monthly Base'!G54))</f>
        <v>262.374733591061</v>
      </c>
      <c r="H54" s="11" t="n">
        <f aca="false">IF('Start Here'!$B$5="Lean",'Monthly Lean'!H54,IF('Start Here'!$B$5="Growth",'Monthly Growth'!H54,'Monthly Base'!H54))</f>
        <v>52.4749467182123</v>
      </c>
      <c r="I54" s="11" t="n">
        <f aca="false">IF('Start Here'!$B$5="Lean",'Monthly Lean'!I54,IF('Start Here'!$B$5="Growth",'Monthly Growth'!I54,'Monthly Base'!I54))</f>
        <v>12.5</v>
      </c>
      <c r="J54" s="11" t="n">
        <f aca="false">IF('Start Here'!$B$5="Lean",'Monthly Lean'!J54,IF('Start Here'!$B$5="Growth",'Monthly Growth'!J54,'Monthly Base'!J54))</f>
        <v>13</v>
      </c>
      <c r="K54" s="10" t="n">
        <f aca="false">IF('Start Here'!$B$5="Lean",'Monthly Lean'!K54,IF('Start Here'!$B$5="Growth",'Monthly Growth'!K54,'Monthly Base'!K54))</f>
        <v>199558.372693333</v>
      </c>
      <c r="L54" s="10" t="n">
        <f aca="false">IF('Start Here'!$B$5="Lean",'Monthly Lean'!L54,IF('Start Here'!$B$5="Growth",'Monthly Growth'!L54,'Monthly Base'!L54))</f>
        <v>0</v>
      </c>
      <c r="M54" s="10" t="n">
        <f aca="false">IF('Start Here'!$B$5="Lean",'Monthly Lean'!M54,IF('Start Here'!$B$5="Growth",'Monthly Growth'!M54,'Monthly Base'!M54))</f>
        <v>0</v>
      </c>
      <c r="N54" s="10" t="n">
        <f aca="false">IF('Start Here'!$B$5="Lean",'Monthly Lean'!N54,IF('Start Here'!$B$5="Growth",'Monthly Growth'!N54,'Monthly Base'!N54))</f>
        <v>1866.08540284701</v>
      </c>
      <c r="O54" s="10" t="n">
        <f aca="false">IF('Start Here'!$B$5="Lean",'Monthly Lean'!O54,IF('Start Here'!$B$5="Growth",'Monthly Growth'!O54,'Monthly Base'!O54))</f>
        <v>716.94911197</v>
      </c>
      <c r="P54" s="10" t="n">
        <f aca="false">IF('Start Here'!$B$5="Lean",'Monthly Lean'!P54,IF('Start Here'!$B$5="Growth",'Monthly Growth'!P54,'Monthly Base'!P54))</f>
        <v>0</v>
      </c>
      <c r="Q54" s="10" t="n">
        <f aca="false">IF('Start Here'!$B$5="Lean",'Monthly Lean'!Q54,IF('Start Here'!$B$5="Growth",'Monthly Growth'!Q54,'Monthly Base'!Q54))</f>
        <v>0</v>
      </c>
      <c r="R54" s="10" t="n">
        <f aca="false">IF('Start Here'!$B$5="Lean",'Monthly Lean'!R54,IF('Start Here'!$B$5="Growth",'Monthly Growth'!R54,'Monthly Base'!R54))</f>
        <v>0</v>
      </c>
      <c r="S54" s="10" t="n">
        <f aca="false">IF('Start Here'!$B$5="Lean",'Monthly Lean'!S54,IF('Start Here'!$B$5="Growth",'Monthly Growth'!S54,'Monthly Base'!S54))</f>
        <v>0</v>
      </c>
      <c r="T54" s="10" t="n">
        <f aca="false">IF('Start Here'!$B$5="Lean",'Monthly Lean'!T54,IF('Start Here'!$B$5="Growth",'Monthly Growth'!T54,'Monthly Base'!T54))</f>
        <v>675.305286</v>
      </c>
      <c r="U54" s="10" t="n">
        <f aca="false">IF('Start Here'!$B$5="Lean",'Monthly Lean'!U54,IF('Start Here'!$B$5="Growth",'Monthly Growth'!U54,'Monthly Base'!U54))</f>
        <v>112.550881</v>
      </c>
      <c r="V54" s="10" t="n">
        <f aca="false">IF('Start Here'!$B$5="Lean",'Monthly Lean'!V54,IF('Start Here'!$B$5="Growth",'Monthly Growth'!V54,'Monthly Base'!V54))</f>
        <v>4429.57611267214</v>
      </c>
      <c r="W54" s="10" t="n">
        <f aca="false">IF('Start Here'!$B$5="Lean",'Monthly Lean'!W54,IF('Start Here'!$B$5="Growth",'Monthly Growth'!W54,'Monthly Base'!W54))</f>
        <v>1139.577670125</v>
      </c>
      <c r="X54" s="10" t="n">
        <f aca="false">IF('Start Here'!$B$5="Lean",'Monthly Lean'!X54,IF('Start Here'!$B$5="Growth",'Monthly Growth'!X54,'Monthly Base'!X54))</f>
        <v>0</v>
      </c>
      <c r="Y54" s="10" t="n">
        <f aca="false">IF('Start Here'!$B$5="Lean",'Monthly Lean'!Y54,IF('Start Here'!$B$5="Growth",'Monthly Growth'!Y54,'Monthly Base'!Y54))</f>
        <v>0</v>
      </c>
      <c r="Z54" s="10" t="n">
        <f aca="false">IF('Start Here'!$B$5="Lean",'Monthly Lean'!Z54,IF('Start Here'!$B$5="Growth",'Monthly Growth'!Z54,'Monthly Base'!Z54))</f>
        <v>8940.04446461415</v>
      </c>
      <c r="AA54" s="10" t="n">
        <f aca="false">IF('Start Here'!$B$5="Lean",'Monthly Lean'!AA54,IF('Start Here'!$B$5="Growth",'Monthly Growth'!AA54,'Monthly Base'!AA54))</f>
        <v>31274.7625736921</v>
      </c>
      <c r="AB54" s="10" t="n">
        <f aca="false">IF('Start Here'!$B$5="Lean",'Monthly Lean'!AB54,IF('Start Here'!$B$5="Growth",'Monthly Growth'!AB54,'Monthly Base'!AB54))</f>
        <v>1416.82356139173</v>
      </c>
      <c r="AC54" s="10" t="n">
        <f aca="false">IF('Start Here'!$B$5="Lean",'Monthly Lean'!AC54,IF('Start Here'!$B$5="Growth",'Monthly Growth'!AC54,'Monthly Base'!AC54))</f>
        <v>241190.003293031</v>
      </c>
      <c r="AD54" s="10" t="n">
        <f aca="false">IF('Start Here'!$B$5="Lean",'Monthly Lean'!AD54,IF('Start Here'!$B$5="Growth",'Monthly Growth'!AD54,'Monthly Base'!AD54))</f>
        <v>47227.452046391</v>
      </c>
      <c r="AE54" s="10" t="n">
        <f aca="false">IF('Start Here'!$B$5="Lean",'Monthly Lean'!AE54,IF('Start Here'!$B$5="Growth",'Monthly Growth'!AE54,'Monthly Base'!AE54))</f>
        <v>566729.424556692</v>
      </c>
      <c r="AF54" s="10" t="n">
        <f aca="false">IF('Start Here'!$B$5="Lean",'Monthly Lean'!AF54,IF('Start Here'!$B$5="Growth",'Monthly Growth'!AF54,'Monthly Base'!AF54))</f>
        <v>193962.55124664</v>
      </c>
      <c r="AG54" s="10" t="n">
        <f aca="false">IF('Start Here'!$B$5="Lean",'Monthly Lean'!AG54,IF('Start Here'!$B$5="Growth",'Monthly Growth'!AG54,'Monthly Base'!AG54))</f>
        <v>0</v>
      </c>
      <c r="AH54" s="10" t="n">
        <f aca="false">IF('Start Here'!$B$5="Lean",'Monthly Lean'!AH54,IF('Start Here'!$B$5="Growth",'Monthly Growth'!AH54,'Monthly Base'!AH54))</f>
        <v>-3203776.98258804</v>
      </c>
      <c r="AI54" s="10" t="n">
        <f aca="false">IF('Start Here'!$B$5="Lean",'Monthly Lean'!AI54,IF('Start Here'!$B$5="Growth",'Monthly Growth'!AI54,'Monthly Base'!AI54))</f>
        <v>-3397739.53383468</v>
      </c>
      <c r="AJ54" s="10" t="n">
        <f aca="false">IF('Start Here'!$B$5="Lean",'Monthly Lean'!AJ54,IF('Start Here'!$B$5="Growth",'Monthly Growth'!AJ54,'Monthly Base'!AJ54))</f>
        <v>8155971.78124197</v>
      </c>
      <c r="AK54" s="10" t="n">
        <f aca="false">IF('Start Here'!$B$5="Lean",'Monthly Lean'!AK54,IF('Start Here'!$B$5="Growth",'Monthly Growth'!AK54,'Monthly Base'!AK54))</f>
        <v>3397739.53383468</v>
      </c>
      <c r="AL54" s="10" t="n">
        <f aca="false">IF('Start Here'!$B$5="Lean",'Monthly Lean'!AL54,IF('Start Here'!$B$5="Growth",'Monthly Growth'!AL54,'Monthly Base'!AL54))</f>
        <v>-4155971.78124196</v>
      </c>
      <c r="AM54" s="10" t="n">
        <f aca="false">IF('Start Here'!$B$5="Lean",'Monthly Lean'!AM54,IF('Start Here'!$B$5="Growth",'Monthly Growth'!AM54,'Monthly Base'!AM54))</f>
        <v>2082.1912985</v>
      </c>
      <c r="AN54" s="10" t="n">
        <f aca="false">IF('Start Here'!$B$5="Lean",'Monthly Lean'!AN54,IF('Start Here'!$B$5="Growth",'Monthly Growth'!AN54,'Monthly Base'!AN54))</f>
        <v>0</v>
      </c>
      <c r="AO54" s="10" t="n">
        <f aca="false">IF('Start Here'!$B$5="Lean",'Monthly Lean'!AO54,IF('Start Here'!$B$5="Growth",'Monthly Growth'!AO54,'Monthly Base'!AO54))</f>
        <v>17547.8784</v>
      </c>
      <c r="AP54" s="10" t="n">
        <f aca="false">IF('Start Here'!$B$5="Lean",'Monthly Lean'!AP54,IF('Start Here'!$B$5="Growth",'Monthly Growth'!AP54,'Monthly Base'!AP54))</f>
        <v>7397739.53383468</v>
      </c>
      <c r="AQ54" s="10" t="n">
        <f aca="false">IF('Start Here'!$B$5="Lean",'Monthly Lean'!AQ54,IF('Start Here'!$B$5="Growth",'Monthly Growth'!AQ54,'Monthly Base'!AQ54))</f>
        <v>241190.003293031</v>
      </c>
      <c r="AR54" s="10" t="n">
        <f aca="false">IF('Start Here'!$B$5="Lean",'Monthly Lean'!AR54,IF('Start Here'!$B$5="Growth",'Monthly Growth'!AR54,'Monthly Base'!AR54))</f>
        <v>1</v>
      </c>
    </row>
    <row r="55" customFormat="false" ht="15" hidden="false" customHeight="false" outlineLevel="0" collapsed="false">
      <c r="A55" s="11" t="n">
        <f aca="false">IF('Start Here'!$B$5="Lean",'Monthly Lean'!A55,IF('Start Here'!$B$5="Growth",'Monthly Growth'!A55,'Monthly Base'!A55))</f>
        <v>50</v>
      </c>
      <c r="B55" s="25" t="n">
        <f aca="false">IF('Start Here'!$B$5="Lean",'Monthly Lean'!B55,IF('Start Here'!$B$5="Growth",'Monthly Growth'!B55,'Monthly Base'!B55))</f>
        <v>47818</v>
      </c>
      <c r="C55" s="11" t="n">
        <f aca="false">IF('Start Here'!$B$5="Lean",'Monthly Lean'!C55,IF('Start Here'!$B$5="Growth",'Monthly Growth'!C55,'Monthly Base'!C55))</f>
        <v>3.375</v>
      </c>
      <c r="D55" s="11" t="n">
        <f aca="false">IF('Start Here'!$B$5="Lean",'Monthly Lean'!D55,IF('Start Here'!$B$5="Growth",'Monthly Growth'!D55,'Monthly Base'!D55))</f>
        <v>55.3251972510301</v>
      </c>
      <c r="E55" s="11" t="n">
        <f aca="false">IF('Start Here'!$B$5="Lean",'Monthly Lean'!E55,IF('Start Here'!$B$5="Growth",'Monthly Growth'!E55,'Monthly Base'!E55))</f>
        <v>829.877958765452</v>
      </c>
      <c r="F55" s="11" t="n">
        <f aca="false">IF('Start Here'!$B$5="Lean",'Monthly Lean'!F55,IF('Start Here'!$B$5="Growth",'Monthly Growth'!F55,'Monthly Base'!F55))</f>
        <v>3.73445081444453</v>
      </c>
      <c r="G55" s="11" t="n">
        <f aca="false">IF('Start Here'!$B$5="Lean",'Monthly Lean'!G55,IF('Start Here'!$B$5="Growth",'Monthly Growth'!G55,'Monthly Base'!G55))</f>
        <v>276.625986255151</v>
      </c>
      <c r="H55" s="11" t="n">
        <f aca="false">IF('Start Here'!$B$5="Lean",'Monthly Lean'!H55,IF('Start Here'!$B$5="Growth",'Monthly Growth'!H55,'Monthly Base'!H55))</f>
        <v>55.3251972510301</v>
      </c>
      <c r="I55" s="11" t="n">
        <f aca="false">IF('Start Here'!$B$5="Lean",'Monthly Lean'!I55,IF('Start Here'!$B$5="Growth",'Monthly Growth'!I55,'Monthly Base'!I55))</f>
        <v>12.5</v>
      </c>
      <c r="J55" s="11" t="n">
        <f aca="false">IF('Start Here'!$B$5="Lean",'Monthly Lean'!J55,IF('Start Here'!$B$5="Growth",'Monthly Growth'!J55,'Monthly Base'!J55))</f>
        <v>13</v>
      </c>
      <c r="K55" s="10" t="n">
        <f aca="false">IF('Start Here'!$B$5="Lean",'Monthly Lean'!K55,IF('Start Here'!$B$5="Growth",'Monthly Growth'!K55,'Monthly Base'!K55))</f>
        <v>199558.372693333</v>
      </c>
      <c r="L55" s="10" t="n">
        <f aca="false">IF('Start Here'!$B$5="Lean",'Monthly Lean'!L55,IF('Start Here'!$B$5="Growth",'Monthly Growth'!L55,'Monthly Base'!L55))</f>
        <v>0</v>
      </c>
      <c r="M55" s="10" t="n">
        <f aca="false">IF('Start Here'!$B$5="Lean",'Monthly Lean'!M55,IF('Start Here'!$B$5="Growth",'Monthly Growth'!M55,'Monthly Base'!M55))</f>
        <v>0</v>
      </c>
      <c r="N55" s="10" t="n">
        <f aca="false">IF('Start Here'!$B$5="Lean",'Monthly Lean'!N55,IF('Start Here'!$B$5="Growth",'Monthly Growth'!N55,'Monthly Base'!N55))</f>
        <v>1891.02746356095</v>
      </c>
      <c r="O55" s="10" t="n">
        <f aca="false">IF('Start Here'!$B$5="Lean",'Monthly Lean'!O55,IF('Start Here'!$B$5="Growth",'Monthly Growth'!O55,'Monthly Base'!O55))</f>
        <v>716.94911197</v>
      </c>
      <c r="P55" s="10" t="n">
        <f aca="false">IF('Start Here'!$B$5="Lean",'Monthly Lean'!P55,IF('Start Here'!$B$5="Growth",'Monthly Growth'!P55,'Monthly Base'!P55))</f>
        <v>13506.10572</v>
      </c>
      <c r="Q55" s="10" t="n">
        <f aca="false">IF('Start Here'!$B$5="Lean",'Monthly Lean'!Q55,IF('Start Here'!$B$5="Growth",'Monthly Growth'!Q55,'Monthly Base'!Q55))</f>
        <v>0</v>
      </c>
      <c r="R55" s="10" t="n">
        <f aca="false">IF('Start Here'!$B$5="Lean",'Monthly Lean'!R55,IF('Start Here'!$B$5="Growth",'Monthly Growth'!R55,'Monthly Base'!R55))</f>
        <v>0</v>
      </c>
      <c r="S55" s="10" t="n">
        <f aca="false">IF('Start Here'!$B$5="Lean",'Monthly Lean'!S55,IF('Start Here'!$B$5="Growth",'Monthly Growth'!S55,'Monthly Base'!S55))</f>
        <v>0</v>
      </c>
      <c r="T55" s="10" t="n">
        <f aca="false">IF('Start Here'!$B$5="Lean",'Monthly Lean'!T55,IF('Start Here'!$B$5="Growth",'Monthly Growth'!T55,'Monthly Base'!T55))</f>
        <v>675.305286</v>
      </c>
      <c r="U55" s="10" t="n">
        <f aca="false">IF('Start Here'!$B$5="Lean",'Monthly Lean'!U55,IF('Start Here'!$B$5="Growth",'Monthly Growth'!U55,'Monthly Base'!U55))</f>
        <v>112.550881</v>
      </c>
      <c r="V55" s="10" t="n">
        <f aca="false">IF('Start Here'!$B$5="Lean",'Monthly Lean'!V55,IF('Start Here'!$B$5="Growth",'Monthly Growth'!V55,'Monthly Base'!V55))</f>
        <v>4670.17476907667</v>
      </c>
      <c r="W55" s="10" t="n">
        <f aca="false">IF('Start Here'!$B$5="Lean",'Monthly Lean'!W55,IF('Start Here'!$B$5="Growth",'Monthly Growth'!W55,'Monthly Base'!W55))</f>
        <v>1139.577670125</v>
      </c>
      <c r="X55" s="10" t="n">
        <f aca="false">IF('Start Here'!$B$5="Lean",'Monthly Lean'!X55,IF('Start Here'!$B$5="Growth",'Monthly Growth'!X55,'Monthly Base'!X55))</f>
        <v>0</v>
      </c>
      <c r="Y55" s="10" t="n">
        <f aca="false">IF('Start Here'!$B$5="Lean",'Monthly Lean'!Y55,IF('Start Here'!$B$5="Growth",'Monthly Growth'!Y55,'Monthly Base'!Y55))</f>
        <v>0</v>
      </c>
      <c r="Z55" s="10" t="n">
        <f aca="false">IF('Start Here'!$B$5="Lean",'Monthly Lean'!Z55,IF('Start Here'!$B$5="Growth",'Monthly Growth'!Z55,'Monthly Base'!Z55))</f>
        <v>22711.6909017326</v>
      </c>
      <c r="AA55" s="10" t="n">
        <f aca="false">IF('Start Here'!$B$5="Lean",'Monthly Lean'!AA55,IF('Start Here'!$B$5="Growth",'Monthly Growth'!AA55,'Monthly Base'!AA55))</f>
        <v>33340.5095392599</v>
      </c>
      <c r="AB55" s="10" t="n">
        <f aca="false">IF('Start Here'!$B$5="Lean",'Monthly Lean'!AB55,IF('Start Here'!$B$5="Growth",'Monthly Growth'!AB55,'Monthly Base'!AB55))</f>
        <v>1493.78032577781</v>
      </c>
      <c r="AC55" s="10" t="n">
        <f aca="false">IF('Start Here'!$B$5="Lean",'Monthly Lean'!AC55,IF('Start Here'!$B$5="Growth",'Monthly Growth'!AC55,'Monthly Base'!AC55))</f>
        <v>257104.353460104</v>
      </c>
      <c r="AD55" s="10" t="n">
        <f aca="false">IF('Start Here'!$B$5="Lean",'Monthly Lean'!AD55,IF('Start Here'!$B$5="Growth",'Monthly Growth'!AD55,'Monthly Base'!AD55))</f>
        <v>49792.6775259271</v>
      </c>
      <c r="AE55" s="10" t="n">
        <f aca="false">IF('Start Here'!$B$5="Lean",'Monthly Lean'!AE55,IF('Start Here'!$B$5="Growth",'Monthly Growth'!AE55,'Monthly Base'!AE55))</f>
        <v>597512.130311125</v>
      </c>
      <c r="AF55" s="10" t="n">
        <f aca="false">IF('Start Here'!$B$5="Lean",'Monthly Lean'!AF55,IF('Start Here'!$B$5="Growth",'Monthly Growth'!AF55,'Monthly Base'!AF55))</f>
        <v>207311.675934177</v>
      </c>
      <c r="AG55" s="10" t="n">
        <f aca="false">IF('Start Here'!$B$5="Lean",'Monthly Lean'!AG55,IF('Start Here'!$B$5="Growth",'Monthly Growth'!AG55,'Monthly Base'!AG55))</f>
        <v>0</v>
      </c>
      <c r="AH55" s="10" t="n">
        <f aca="false">IF('Start Here'!$B$5="Lean",'Monthly Lean'!AH55,IF('Start Here'!$B$5="Growth",'Monthly Growth'!AH55,'Monthly Base'!AH55))</f>
        <v>-3397739.53383468</v>
      </c>
      <c r="AI55" s="10" t="n">
        <f aca="false">IF('Start Here'!$B$5="Lean",'Monthly Lean'!AI55,IF('Start Here'!$B$5="Growth",'Monthly Growth'!AI55,'Monthly Base'!AI55))</f>
        <v>-3605051.20976885</v>
      </c>
      <c r="AJ55" s="10" t="n">
        <f aca="false">IF('Start Here'!$B$5="Lean",'Monthly Lean'!AJ55,IF('Start Here'!$B$5="Growth",'Monthly Growth'!AJ55,'Monthly Base'!AJ55))</f>
        <v>8413076.13470207</v>
      </c>
      <c r="AK55" s="10" t="n">
        <f aca="false">IF('Start Here'!$B$5="Lean",'Monthly Lean'!AK55,IF('Start Here'!$B$5="Growth",'Monthly Growth'!AK55,'Monthly Base'!AK55))</f>
        <v>3605051.20976885</v>
      </c>
      <c r="AL55" s="10" t="n">
        <f aca="false">IF('Start Here'!$B$5="Lean",'Monthly Lean'!AL55,IF('Start Here'!$B$5="Growth",'Monthly Growth'!AL55,'Monthly Base'!AL55))</f>
        <v>-4413076.13470207</v>
      </c>
      <c r="AM55" s="10" t="n">
        <f aca="false">IF('Start Here'!$B$5="Lean",'Monthly Lean'!AM55,IF('Start Here'!$B$5="Growth",'Monthly Growth'!AM55,'Monthly Base'!AM55))</f>
        <v>15588.2970185</v>
      </c>
      <c r="AN55" s="10" t="n">
        <f aca="false">IF('Start Here'!$B$5="Lean",'Monthly Lean'!AN55,IF('Start Here'!$B$5="Growth",'Monthly Growth'!AN55,'Monthly Base'!AN55))</f>
        <v>0</v>
      </c>
      <c r="AO55" s="10" t="n">
        <f aca="false">IF('Start Here'!$B$5="Lean",'Monthly Lean'!AO55,IF('Start Here'!$B$5="Growth",'Monthly Growth'!AO55,'Monthly Base'!AO55))</f>
        <v>17547.8784</v>
      </c>
      <c r="AP55" s="10" t="n">
        <f aca="false">IF('Start Here'!$B$5="Lean",'Monthly Lean'!AP55,IF('Start Here'!$B$5="Growth",'Monthly Growth'!AP55,'Monthly Base'!AP55))</f>
        <v>7605051.20976885</v>
      </c>
      <c r="AQ55" s="10" t="n">
        <f aca="false">IF('Start Here'!$B$5="Lean",'Monthly Lean'!AQ55,IF('Start Here'!$B$5="Growth",'Monthly Growth'!AQ55,'Monthly Base'!AQ55))</f>
        <v>257104.353460104</v>
      </c>
      <c r="AR55" s="10" t="n">
        <f aca="false">IF('Start Here'!$B$5="Lean",'Monthly Lean'!AR55,IF('Start Here'!$B$5="Growth",'Monthly Growth'!AR55,'Monthly Base'!AR55))</f>
        <v>1</v>
      </c>
    </row>
    <row r="56" customFormat="false" ht="15" hidden="false" customHeight="false" outlineLevel="0" collapsed="false">
      <c r="A56" s="11" t="n">
        <f aca="false">IF('Start Here'!$B$5="Lean",'Monthly Lean'!A56,IF('Start Here'!$B$5="Growth",'Monthly Growth'!A56,'Monthly Base'!A56))</f>
        <v>51</v>
      </c>
      <c r="B56" s="25" t="n">
        <f aca="false">IF('Start Here'!$B$5="Lean",'Monthly Lean'!B56,IF('Start Here'!$B$5="Growth",'Monthly Growth'!B56,'Monthly Base'!B56))</f>
        <v>47849</v>
      </c>
      <c r="C56" s="11" t="n">
        <f aca="false">IF('Start Here'!$B$5="Lean",'Monthly Lean'!C56,IF('Start Here'!$B$5="Growth",'Monthly Growth'!C56,'Monthly Base'!C56))</f>
        <v>3.375</v>
      </c>
      <c r="D56" s="11" t="n">
        <f aca="false">IF('Start Here'!$B$5="Lean",'Monthly Lean'!D56,IF('Start Here'!$B$5="Growth",'Monthly Growth'!D56,'Monthly Base'!D56))</f>
        <v>58.1469452785198</v>
      </c>
      <c r="E56" s="11" t="n">
        <f aca="false">IF('Start Here'!$B$5="Lean",'Monthly Lean'!E56,IF('Start Here'!$B$5="Growth",'Monthly Growth'!E56,'Monthly Base'!E56))</f>
        <v>872.204179177797</v>
      </c>
      <c r="F56" s="11" t="n">
        <f aca="false">IF('Start Here'!$B$5="Lean",'Monthly Lean'!F56,IF('Start Here'!$B$5="Growth",'Monthly Growth'!F56,'Monthly Base'!F56))</f>
        <v>3.92491880630009</v>
      </c>
      <c r="G56" s="11" t="n">
        <f aca="false">IF('Start Here'!$B$5="Lean",'Monthly Lean'!G56,IF('Start Here'!$B$5="Growth",'Monthly Growth'!G56,'Monthly Base'!G56))</f>
        <v>290.734726392599</v>
      </c>
      <c r="H56" s="11" t="n">
        <f aca="false">IF('Start Here'!$B$5="Lean",'Monthly Lean'!H56,IF('Start Here'!$B$5="Growth",'Monthly Growth'!H56,'Monthly Base'!H56))</f>
        <v>58.1469452785198</v>
      </c>
      <c r="I56" s="11" t="n">
        <f aca="false">IF('Start Here'!$B$5="Lean",'Monthly Lean'!I56,IF('Start Here'!$B$5="Growth",'Monthly Growth'!I56,'Monthly Base'!I56))</f>
        <v>12.5</v>
      </c>
      <c r="J56" s="11" t="n">
        <f aca="false">IF('Start Here'!$B$5="Lean",'Monthly Lean'!J56,IF('Start Here'!$B$5="Growth",'Monthly Growth'!J56,'Monthly Base'!J56))</f>
        <v>13</v>
      </c>
      <c r="K56" s="10" t="n">
        <f aca="false">IF('Start Here'!$B$5="Lean",'Monthly Lean'!K56,IF('Start Here'!$B$5="Growth",'Monthly Growth'!K56,'Monthly Base'!K56))</f>
        <v>199558.372693333</v>
      </c>
      <c r="L56" s="10" t="n">
        <f aca="false">IF('Start Here'!$B$5="Lean",'Monthly Lean'!L56,IF('Start Here'!$B$5="Growth",'Monthly Growth'!L56,'Monthly Base'!L56))</f>
        <v>0</v>
      </c>
      <c r="M56" s="10" t="n">
        <f aca="false">IF('Start Here'!$B$5="Lean",'Monthly Lean'!M56,IF('Start Here'!$B$5="Growth",'Monthly Growth'!M56,'Monthly Base'!M56))</f>
        <v>0</v>
      </c>
      <c r="N56" s="10" t="n">
        <f aca="false">IF('Start Here'!$B$5="Lean",'Monthly Lean'!N56,IF('Start Here'!$B$5="Growth",'Monthly Growth'!N56,'Monthly Base'!N56))</f>
        <v>1915.72010366774</v>
      </c>
      <c r="O56" s="10" t="n">
        <f aca="false">IF('Start Here'!$B$5="Lean",'Monthly Lean'!O56,IF('Start Here'!$B$5="Growth",'Monthly Growth'!O56,'Monthly Base'!O56))</f>
        <v>716.94911197</v>
      </c>
      <c r="P56" s="10" t="n">
        <f aca="false">IF('Start Here'!$B$5="Lean",'Monthly Lean'!P56,IF('Start Here'!$B$5="Growth",'Monthly Growth'!P56,'Monthly Base'!P56))</f>
        <v>0</v>
      </c>
      <c r="Q56" s="10" t="n">
        <f aca="false">IF('Start Here'!$B$5="Lean",'Monthly Lean'!Q56,IF('Start Here'!$B$5="Growth",'Monthly Growth'!Q56,'Monthly Base'!Q56))</f>
        <v>0</v>
      </c>
      <c r="R56" s="10" t="n">
        <f aca="false">IF('Start Here'!$B$5="Lean",'Monthly Lean'!R56,IF('Start Here'!$B$5="Growth",'Monthly Growth'!R56,'Monthly Base'!R56))</f>
        <v>0</v>
      </c>
      <c r="S56" s="10" t="n">
        <f aca="false">IF('Start Here'!$B$5="Lean",'Monthly Lean'!S56,IF('Start Here'!$B$5="Growth",'Monthly Growth'!S56,'Monthly Base'!S56))</f>
        <v>0</v>
      </c>
      <c r="T56" s="10" t="n">
        <f aca="false">IF('Start Here'!$B$5="Lean",'Monthly Lean'!T56,IF('Start Here'!$B$5="Growth",'Monthly Growth'!T56,'Monthly Base'!T56))</f>
        <v>675.305286</v>
      </c>
      <c r="U56" s="10" t="n">
        <f aca="false">IF('Start Here'!$B$5="Lean",'Monthly Lean'!U56,IF('Start Here'!$B$5="Growth",'Monthly Growth'!U56,'Monthly Base'!U56))</f>
        <v>112.550881</v>
      </c>
      <c r="V56" s="10" t="n">
        <f aca="false">IF('Start Here'!$B$5="Lean",'Monthly Lean'!V56,IF('Start Here'!$B$5="Growth",'Monthly Growth'!V56,'Monthly Base'!V56))</f>
        <v>4908.36743891715</v>
      </c>
      <c r="W56" s="10" t="n">
        <f aca="false">IF('Start Here'!$B$5="Lean",'Monthly Lean'!W56,IF('Start Here'!$B$5="Growth",'Monthly Growth'!W56,'Monthly Base'!W56))</f>
        <v>1139.577670125</v>
      </c>
      <c r="X56" s="10" t="n">
        <f aca="false">IF('Start Here'!$B$5="Lean",'Monthly Lean'!X56,IF('Start Here'!$B$5="Growth",'Monthly Growth'!X56,'Monthly Base'!X56))</f>
        <v>0</v>
      </c>
      <c r="Y56" s="10" t="n">
        <f aca="false">IF('Start Here'!$B$5="Lean",'Monthly Lean'!Y56,IF('Start Here'!$B$5="Growth",'Monthly Growth'!Y56,'Monthly Base'!Y56))</f>
        <v>0</v>
      </c>
      <c r="Z56" s="10" t="n">
        <f aca="false">IF('Start Here'!$B$5="Lean",'Monthly Lean'!Z56,IF('Start Here'!$B$5="Growth",'Monthly Growth'!Z56,'Monthly Base'!Z56))</f>
        <v>9468.4704916799</v>
      </c>
      <c r="AA56" s="10" t="n">
        <f aca="false">IF('Start Here'!$B$5="Lean",'Monthly Lean'!AA56,IF('Start Here'!$B$5="Growth",'Monthly Growth'!AA56,'Monthly Base'!AA56))</f>
        <v>31354.026477752</v>
      </c>
      <c r="AB56" s="10" t="n">
        <f aca="false">IF('Start Here'!$B$5="Lean",'Monthly Lean'!AB56,IF('Start Here'!$B$5="Growth",'Monthly Growth'!AB56,'Monthly Base'!AB56))</f>
        <v>1569.96752252004</v>
      </c>
      <c r="AC56" s="10" t="n">
        <f aca="false">IF('Start Here'!$B$5="Lean",'Monthly Lean'!AC56,IF('Start Here'!$B$5="Growth",'Monthly Growth'!AC56,'Monthly Base'!AC56))</f>
        <v>241950.837185285</v>
      </c>
      <c r="AD56" s="10" t="n">
        <f aca="false">IF('Start Here'!$B$5="Lean",'Monthly Lean'!AD56,IF('Start Here'!$B$5="Growth",'Monthly Growth'!AD56,'Monthly Base'!AD56))</f>
        <v>52332.2507506678</v>
      </c>
      <c r="AE56" s="10" t="n">
        <f aca="false">IF('Start Here'!$B$5="Lean",'Monthly Lean'!AE56,IF('Start Here'!$B$5="Growth",'Monthly Growth'!AE56,'Monthly Base'!AE56))</f>
        <v>627987.009008014</v>
      </c>
      <c r="AF56" s="10" t="n">
        <f aca="false">IF('Start Here'!$B$5="Lean",'Monthly Lean'!AF56,IF('Start Here'!$B$5="Growth",'Monthly Growth'!AF56,'Monthly Base'!AF56))</f>
        <v>189618.586434617</v>
      </c>
      <c r="AG56" s="10" t="n">
        <f aca="false">IF('Start Here'!$B$5="Lean",'Monthly Lean'!AG56,IF('Start Here'!$B$5="Growth",'Monthly Growth'!AG56,'Monthly Base'!AG56))</f>
        <v>0</v>
      </c>
      <c r="AH56" s="10" t="n">
        <f aca="false">IF('Start Here'!$B$5="Lean",'Monthly Lean'!AH56,IF('Start Here'!$B$5="Growth",'Monthly Growth'!AH56,'Monthly Base'!AH56))</f>
        <v>-3605051.20976885</v>
      </c>
      <c r="AI56" s="10" t="n">
        <f aca="false">IF('Start Here'!$B$5="Lean",'Monthly Lean'!AI56,IF('Start Here'!$B$5="Growth",'Monthly Growth'!AI56,'Monthly Base'!AI56))</f>
        <v>-3794669.79620347</v>
      </c>
      <c r="AJ56" s="10" t="n">
        <f aca="false">IF('Start Here'!$B$5="Lean",'Monthly Lean'!AJ56,IF('Start Here'!$B$5="Growth",'Monthly Growth'!AJ56,'Monthly Base'!AJ56))</f>
        <v>8655026.97188735</v>
      </c>
      <c r="AK56" s="10" t="n">
        <f aca="false">IF('Start Here'!$B$5="Lean",'Monthly Lean'!AK56,IF('Start Here'!$B$5="Growth",'Monthly Growth'!AK56,'Monthly Base'!AK56))</f>
        <v>3794669.79620347</v>
      </c>
      <c r="AL56" s="10" t="n">
        <f aca="false">IF('Start Here'!$B$5="Lean",'Monthly Lean'!AL56,IF('Start Here'!$B$5="Growth",'Monthly Growth'!AL56,'Monthly Base'!AL56))</f>
        <v>-4655026.97188735</v>
      </c>
      <c r="AM56" s="10" t="n">
        <f aca="false">IF('Start Here'!$B$5="Lean",'Monthly Lean'!AM56,IF('Start Here'!$B$5="Growth",'Monthly Growth'!AM56,'Monthly Base'!AM56))</f>
        <v>2082.1912985</v>
      </c>
      <c r="AN56" s="10" t="n">
        <f aca="false">IF('Start Here'!$B$5="Lean",'Monthly Lean'!AN56,IF('Start Here'!$B$5="Growth",'Monthly Growth'!AN56,'Monthly Base'!AN56))</f>
        <v>0</v>
      </c>
      <c r="AO56" s="10" t="n">
        <f aca="false">IF('Start Here'!$B$5="Lean",'Monthly Lean'!AO56,IF('Start Here'!$B$5="Growth",'Monthly Growth'!AO56,'Monthly Base'!AO56))</f>
        <v>17547.8784</v>
      </c>
      <c r="AP56" s="10" t="n">
        <f aca="false">IF('Start Here'!$B$5="Lean",'Monthly Lean'!AP56,IF('Start Here'!$B$5="Growth",'Monthly Growth'!AP56,'Monthly Base'!AP56))</f>
        <v>7794669.79620347</v>
      </c>
      <c r="AQ56" s="10" t="n">
        <f aca="false">IF('Start Here'!$B$5="Lean",'Monthly Lean'!AQ56,IF('Start Here'!$B$5="Growth",'Monthly Growth'!AQ56,'Monthly Base'!AQ56))</f>
        <v>241950.837185285</v>
      </c>
      <c r="AR56" s="10" t="n">
        <f aca="false">IF('Start Here'!$B$5="Lean",'Monthly Lean'!AR56,IF('Start Here'!$B$5="Growth",'Monthly Growth'!AR56,'Monthly Base'!AR56))</f>
        <v>1</v>
      </c>
    </row>
    <row r="57" customFormat="false" ht="15" hidden="false" customHeight="false" outlineLevel="0" collapsed="false">
      <c r="A57" s="11" t="n">
        <f aca="false">IF('Start Here'!$B$5="Lean",'Monthly Lean'!A57,IF('Start Here'!$B$5="Growth",'Monthly Growth'!A57,'Monthly Base'!A57))</f>
        <v>52</v>
      </c>
      <c r="B57" s="25" t="n">
        <f aca="false">IF('Start Here'!$B$5="Lean",'Monthly Lean'!B57,IF('Start Here'!$B$5="Growth",'Monthly Growth'!B57,'Monthly Base'!B57))</f>
        <v>47880</v>
      </c>
      <c r="C57" s="11" t="n">
        <f aca="false">IF('Start Here'!$B$5="Lean",'Monthly Lean'!C57,IF('Start Here'!$B$5="Growth",'Monthly Growth'!C57,'Monthly Base'!C57))</f>
        <v>3.375</v>
      </c>
      <c r="D57" s="11" t="n">
        <f aca="false">IF('Start Here'!$B$5="Lean",'Monthly Lean'!D57,IF('Start Here'!$B$5="Growth",'Monthly Growth'!D57,'Monthly Base'!D57))</f>
        <v>60.9404758257346</v>
      </c>
      <c r="E57" s="11" t="n">
        <f aca="false">IF('Start Here'!$B$5="Lean",'Monthly Lean'!E57,IF('Start Here'!$B$5="Growth",'Monthly Growth'!E57,'Monthly Base'!E57))</f>
        <v>914.107137386019</v>
      </c>
      <c r="F57" s="11" t="n">
        <f aca="false">IF('Start Here'!$B$5="Lean",'Monthly Lean'!F57,IF('Start Here'!$B$5="Growth",'Monthly Growth'!F57,'Monthly Base'!F57))</f>
        <v>4.11348211823709</v>
      </c>
      <c r="G57" s="11" t="n">
        <f aca="false">IF('Start Here'!$B$5="Lean",'Monthly Lean'!G57,IF('Start Here'!$B$5="Growth",'Monthly Growth'!G57,'Monthly Base'!G57))</f>
        <v>304.702379128673</v>
      </c>
      <c r="H57" s="11" t="n">
        <f aca="false">IF('Start Here'!$B$5="Lean",'Monthly Lean'!H57,IF('Start Here'!$B$5="Growth",'Monthly Growth'!H57,'Monthly Base'!H57))</f>
        <v>60.9404758257346</v>
      </c>
      <c r="I57" s="11" t="n">
        <f aca="false">IF('Start Here'!$B$5="Lean",'Monthly Lean'!I57,IF('Start Here'!$B$5="Growth",'Monthly Growth'!I57,'Monthly Base'!I57))</f>
        <v>12.5</v>
      </c>
      <c r="J57" s="11" t="n">
        <f aca="false">IF('Start Here'!$B$5="Lean",'Monthly Lean'!J57,IF('Start Here'!$B$5="Growth",'Monthly Growth'!J57,'Monthly Base'!J57))</f>
        <v>13</v>
      </c>
      <c r="K57" s="10" t="n">
        <f aca="false">IF('Start Here'!$B$5="Lean",'Monthly Lean'!K57,IF('Start Here'!$B$5="Growth",'Monthly Growth'!K57,'Monthly Base'!K57))</f>
        <v>199558.372693333</v>
      </c>
      <c r="L57" s="10" t="n">
        <f aca="false">IF('Start Here'!$B$5="Lean",'Monthly Lean'!L57,IF('Start Here'!$B$5="Growth",'Monthly Growth'!L57,'Monthly Base'!L57))</f>
        <v>0</v>
      </c>
      <c r="M57" s="10" t="n">
        <f aca="false">IF('Start Here'!$B$5="Lean",'Monthly Lean'!M57,IF('Start Here'!$B$5="Growth",'Monthly Growth'!M57,'Monthly Base'!M57))</f>
        <v>0</v>
      </c>
      <c r="N57" s="10" t="n">
        <f aca="false">IF('Start Here'!$B$5="Lean",'Monthly Lean'!N57,IF('Start Here'!$B$5="Growth",'Monthly Growth'!N57,'Monthly Base'!N57))</f>
        <v>1940.16581737347</v>
      </c>
      <c r="O57" s="10" t="n">
        <f aca="false">IF('Start Here'!$B$5="Lean",'Monthly Lean'!O57,IF('Start Here'!$B$5="Growth",'Monthly Growth'!O57,'Monthly Base'!O57))</f>
        <v>716.94911197</v>
      </c>
      <c r="P57" s="10" t="n">
        <f aca="false">IF('Start Here'!$B$5="Lean",'Monthly Lean'!P57,IF('Start Here'!$B$5="Growth",'Monthly Growth'!P57,'Monthly Base'!P57))</f>
        <v>0</v>
      </c>
      <c r="Q57" s="10" t="n">
        <f aca="false">IF('Start Here'!$B$5="Lean",'Monthly Lean'!Q57,IF('Start Here'!$B$5="Growth",'Monthly Growth'!Q57,'Monthly Base'!Q57))</f>
        <v>0</v>
      </c>
      <c r="R57" s="10" t="n">
        <f aca="false">IF('Start Here'!$B$5="Lean",'Monthly Lean'!R57,IF('Start Here'!$B$5="Growth",'Monthly Growth'!R57,'Monthly Base'!R57))</f>
        <v>0</v>
      </c>
      <c r="S57" s="10" t="n">
        <f aca="false">IF('Start Here'!$B$5="Lean",'Monthly Lean'!S57,IF('Start Here'!$B$5="Growth",'Monthly Growth'!S57,'Monthly Base'!S57))</f>
        <v>0</v>
      </c>
      <c r="T57" s="10" t="n">
        <f aca="false">IF('Start Here'!$B$5="Lean",'Monthly Lean'!T57,IF('Start Here'!$B$5="Growth",'Monthly Growth'!T57,'Monthly Base'!T57))</f>
        <v>675.305286</v>
      </c>
      <c r="U57" s="10" t="n">
        <f aca="false">IF('Start Here'!$B$5="Lean",'Monthly Lean'!U57,IF('Start Here'!$B$5="Growth",'Monthly Growth'!U57,'Monthly Base'!U57))</f>
        <v>112.550881</v>
      </c>
      <c r="V57" s="10" t="n">
        <f aca="false">IF('Start Here'!$B$5="Lean",'Monthly Lean'!V57,IF('Start Here'!$B$5="Growth",'Monthly Growth'!V57,'Monthly Base'!V57))</f>
        <v>5144.17818205923</v>
      </c>
      <c r="W57" s="10" t="n">
        <f aca="false">IF('Start Here'!$B$5="Lean",'Monthly Lean'!W57,IF('Start Here'!$B$5="Growth",'Monthly Growth'!W57,'Monthly Base'!W57))</f>
        <v>1139.577670125</v>
      </c>
      <c r="X57" s="10" t="n">
        <f aca="false">IF('Start Here'!$B$5="Lean",'Monthly Lean'!X57,IF('Start Here'!$B$5="Growth",'Monthly Growth'!X57,'Monthly Base'!X57))</f>
        <v>0</v>
      </c>
      <c r="Y57" s="10" t="n">
        <f aca="false">IF('Start Here'!$B$5="Lean",'Monthly Lean'!Y57,IF('Start Here'!$B$5="Growth",'Monthly Growth'!Y57,'Monthly Base'!Y57))</f>
        <v>0</v>
      </c>
      <c r="Z57" s="10" t="n">
        <f aca="false">IF('Start Here'!$B$5="Lean",'Monthly Lean'!Z57,IF('Start Here'!$B$5="Growth",'Monthly Growth'!Z57,'Monthly Base'!Z57))</f>
        <v>9728.7269485277</v>
      </c>
      <c r="AA57" s="10" t="n">
        <f aca="false">IF('Start Here'!$B$5="Lean",'Monthly Lean'!AA57,IF('Start Here'!$B$5="Growth",'Monthly Growth'!AA57,'Monthly Base'!AA57))</f>
        <v>31393.0649462792</v>
      </c>
      <c r="AB57" s="10" t="n">
        <f aca="false">IF('Start Here'!$B$5="Lean",'Monthly Lean'!AB57,IF('Start Here'!$B$5="Growth",'Monthly Growth'!AB57,'Monthly Base'!AB57))</f>
        <v>1645.39284729483</v>
      </c>
      <c r="AC57" s="10" t="n">
        <f aca="false">IF('Start Here'!$B$5="Lean",'Monthly Lean'!AC57,IF('Start Here'!$B$5="Growth",'Monthly Growth'!AC57,'Monthly Base'!AC57))</f>
        <v>242325.557435435</v>
      </c>
      <c r="AD57" s="10" t="n">
        <f aca="false">IF('Start Here'!$B$5="Lean",'Monthly Lean'!AD57,IF('Start Here'!$B$5="Growth",'Monthly Growth'!AD57,'Monthly Base'!AD57))</f>
        <v>54846.4282431612</v>
      </c>
      <c r="AE57" s="10" t="n">
        <f aca="false">IF('Start Here'!$B$5="Lean",'Monthly Lean'!AE57,IF('Start Here'!$B$5="Growth",'Monthly Growth'!AE57,'Monthly Base'!AE57))</f>
        <v>658157.138917934</v>
      </c>
      <c r="AF57" s="10" t="n">
        <f aca="false">IF('Start Here'!$B$5="Lean",'Monthly Lean'!AF57,IF('Start Here'!$B$5="Growth",'Monthly Growth'!AF57,'Monthly Base'!AF57))</f>
        <v>187479.129192274</v>
      </c>
      <c r="AG57" s="10" t="n">
        <f aca="false">IF('Start Here'!$B$5="Lean",'Monthly Lean'!AG57,IF('Start Here'!$B$5="Growth",'Monthly Growth'!AG57,'Monthly Base'!AG57))</f>
        <v>0</v>
      </c>
      <c r="AH57" s="10" t="n">
        <f aca="false">IF('Start Here'!$B$5="Lean",'Monthly Lean'!AH57,IF('Start Here'!$B$5="Growth",'Monthly Growth'!AH57,'Monthly Base'!AH57))</f>
        <v>-3794669.79620347</v>
      </c>
      <c r="AI57" s="10" t="n">
        <f aca="false">IF('Start Here'!$B$5="Lean",'Monthly Lean'!AI57,IF('Start Here'!$B$5="Growth",'Monthly Growth'!AI57,'Monthly Base'!AI57))</f>
        <v>-3982148.92539575</v>
      </c>
      <c r="AJ57" s="10" t="n">
        <f aca="false">IF('Start Here'!$B$5="Lean",'Monthly Lean'!AJ57,IF('Start Here'!$B$5="Growth",'Monthly Growth'!AJ57,'Monthly Base'!AJ57))</f>
        <v>8897352.52932279</v>
      </c>
      <c r="AK57" s="10" t="n">
        <f aca="false">IF('Start Here'!$B$5="Lean",'Monthly Lean'!AK57,IF('Start Here'!$B$5="Growth",'Monthly Growth'!AK57,'Monthly Base'!AK57))</f>
        <v>3982148.92539575</v>
      </c>
      <c r="AL57" s="10" t="n">
        <f aca="false">IF('Start Here'!$B$5="Lean",'Monthly Lean'!AL57,IF('Start Here'!$B$5="Growth",'Monthly Growth'!AL57,'Monthly Base'!AL57))</f>
        <v>-4897352.52932279</v>
      </c>
      <c r="AM57" s="10" t="n">
        <f aca="false">IF('Start Here'!$B$5="Lean",'Monthly Lean'!AM57,IF('Start Here'!$B$5="Growth",'Monthly Growth'!AM57,'Monthly Base'!AM57))</f>
        <v>2082.1912985</v>
      </c>
      <c r="AN57" s="10" t="n">
        <f aca="false">IF('Start Here'!$B$5="Lean",'Monthly Lean'!AN57,IF('Start Here'!$B$5="Growth",'Monthly Growth'!AN57,'Monthly Base'!AN57))</f>
        <v>0</v>
      </c>
      <c r="AO57" s="10" t="n">
        <f aca="false">IF('Start Here'!$B$5="Lean",'Monthly Lean'!AO57,IF('Start Here'!$B$5="Growth",'Monthly Growth'!AO57,'Monthly Base'!AO57))</f>
        <v>17547.8784</v>
      </c>
      <c r="AP57" s="10" t="n">
        <f aca="false">IF('Start Here'!$B$5="Lean",'Monthly Lean'!AP57,IF('Start Here'!$B$5="Growth",'Monthly Growth'!AP57,'Monthly Base'!AP57))</f>
        <v>7982148.92539575</v>
      </c>
      <c r="AQ57" s="10" t="n">
        <f aca="false">IF('Start Here'!$B$5="Lean",'Monthly Lean'!AQ57,IF('Start Here'!$B$5="Growth",'Monthly Growth'!AQ57,'Monthly Base'!AQ57))</f>
        <v>242325.557435435</v>
      </c>
      <c r="AR57" s="10" t="n">
        <f aca="false">IF('Start Here'!$B$5="Lean",'Monthly Lean'!AR57,IF('Start Here'!$B$5="Growth",'Monthly Growth'!AR57,'Monthly Base'!AR57))</f>
        <v>1</v>
      </c>
    </row>
    <row r="58" customFormat="false" ht="15" hidden="false" customHeight="false" outlineLevel="0" collapsed="false">
      <c r="A58" s="11" t="n">
        <f aca="false">IF('Start Here'!$B$5="Lean",'Monthly Lean'!A58,IF('Start Here'!$B$5="Growth",'Monthly Growth'!A58,'Monthly Base'!A58))</f>
        <v>53</v>
      </c>
      <c r="B58" s="25" t="n">
        <f aca="false">IF('Start Here'!$B$5="Lean",'Monthly Lean'!B58,IF('Start Here'!$B$5="Growth",'Monthly Growth'!B58,'Monthly Base'!B58))</f>
        <v>47908</v>
      </c>
      <c r="C58" s="11" t="n">
        <f aca="false">IF('Start Here'!$B$5="Lean",'Monthly Lean'!C58,IF('Start Here'!$B$5="Growth",'Monthly Growth'!C58,'Monthly Base'!C58))</f>
        <v>3.375</v>
      </c>
      <c r="D58" s="11" t="n">
        <f aca="false">IF('Start Here'!$B$5="Lean",'Monthly Lean'!D58,IF('Start Here'!$B$5="Growth",'Monthly Growth'!D58,'Monthly Base'!D58))</f>
        <v>63.7060710674773</v>
      </c>
      <c r="E58" s="11" t="n">
        <f aca="false">IF('Start Here'!$B$5="Lean",'Monthly Lean'!E58,IF('Start Here'!$B$5="Growth",'Monthly Growth'!E58,'Monthly Base'!E58))</f>
        <v>955.591066012159</v>
      </c>
      <c r="F58" s="11" t="n">
        <f aca="false">IF('Start Here'!$B$5="Lean",'Monthly Lean'!F58,IF('Start Here'!$B$5="Growth",'Monthly Growth'!F58,'Monthly Base'!F58))</f>
        <v>4.30015979705472</v>
      </c>
      <c r="G58" s="11" t="n">
        <f aca="false">IF('Start Here'!$B$5="Lean",'Monthly Lean'!G58,IF('Start Here'!$B$5="Growth",'Monthly Growth'!G58,'Monthly Base'!G58))</f>
        <v>318.530355337386</v>
      </c>
      <c r="H58" s="11" t="n">
        <f aca="false">IF('Start Here'!$B$5="Lean",'Monthly Lean'!H58,IF('Start Here'!$B$5="Growth",'Monthly Growth'!H58,'Monthly Base'!H58))</f>
        <v>63.7060710674773</v>
      </c>
      <c r="I58" s="11" t="n">
        <f aca="false">IF('Start Here'!$B$5="Lean",'Monthly Lean'!I58,IF('Start Here'!$B$5="Growth",'Monthly Growth'!I58,'Monthly Base'!I58))</f>
        <v>12.5</v>
      </c>
      <c r="J58" s="11" t="n">
        <f aca="false">IF('Start Here'!$B$5="Lean",'Monthly Lean'!J58,IF('Start Here'!$B$5="Growth",'Monthly Growth'!J58,'Monthly Base'!J58))</f>
        <v>13</v>
      </c>
      <c r="K58" s="10" t="n">
        <f aca="false">IF('Start Here'!$B$5="Lean",'Monthly Lean'!K58,IF('Start Here'!$B$5="Growth",'Monthly Growth'!K58,'Monthly Base'!K58))</f>
        <v>199558.372693333</v>
      </c>
      <c r="L58" s="10" t="n">
        <f aca="false">IF('Start Here'!$B$5="Lean",'Monthly Lean'!L58,IF('Start Here'!$B$5="Growth",'Monthly Growth'!L58,'Monthly Base'!L58))</f>
        <v>0</v>
      </c>
      <c r="M58" s="10" t="n">
        <f aca="false">IF('Start Here'!$B$5="Lean",'Monthly Lean'!M58,IF('Start Here'!$B$5="Growth",'Monthly Growth'!M58,'Monthly Base'!M58))</f>
        <v>0</v>
      </c>
      <c r="N58" s="10" t="n">
        <f aca="false">IF('Start Here'!$B$5="Lean",'Monthly Lean'!N58,IF('Start Here'!$B$5="Growth",'Monthly Growth'!N58,'Monthly Base'!N58))</f>
        <v>1964.36707394215</v>
      </c>
      <c r="O58" s="10" t="n">
        <f aca="false">IF('Start Here'!$B$5="Lean",'Monthly Lean'!O58,IF('Start Here'!$B$5="Growth",'Monthly Growth'!O58,'Monthly Base'!O58))</f>
        <v>716.94911197</v>
      </c>
      <c r="P58" s="10" t="n">
        <f aca="false">IF('Start Here'!$B$5="Lean",'Monthly Lean'!P58,IF('Start Here'!$B$5="Growth",'Monthly Growth'!P58,'Monthly Base'!P58))</f>
        <v>0</v>
      </c>
      <c r="Q58" s="10" t="n">
        <f aca="false">IF('Start Here'!$B$5="Lean",'Monthly Lean'!Q58,IF('Start Here'!$B$5="Growth",'Monthly Growth'!Q58,'Monthly Base'!Q58))</f>
        <v>0</v>
      </c>
      <c r="R58" s="10" t="n">
        <f aca="false">IF('Start Here'!$B$5="Lean",'Monthly Lean'!R58,IF('Start Here'!$B$5="Growth",'Monthly Growth'!R58,'Monthly Base'!R58))</f>
        <v>0</v>
      </c>
      <c r="S58" s="10" t="n">
        <f aca="false">IF('Start Here'!$B$5="Lean",'Monthly Lean'!S58,IF('Start Here'!$B$5="Growth",'Monthly Growth'!S58,'Monthly Base'!S58))</f>
        <v>0</v>
      </c>
      <c r="T58" s="10" t="n">
        <f aca="false">IF('Start Here'!$B$5="Lean",'Monthly Lean'!T58,IF('Start Here'!$B$5="Growth",'Monthly Growth'!T58,'Monthly Base'!T58))</f>
        <v>675.305286</v>
      </c>
      <c r="U58" s="10" t="n">
        <f aca="false">IF('Start Here'!$B$5="Lean",'Monthly Lean'!U58,IF('Start Here'!$B$5="Growth",'Monthly Growth'!U58,'Monthly Base'!U58))</f>
        <v>112.550881</v>
      </c>
      <c r="V58" s="10" t="n">
        <f aca="false">IF('Start Here'!$B$5="Lean",'Monthly Lean'!V58,IF('Start Here'!$B$5="Growth",'Monthly Growth'!V58,'Monthly Base'!V58))</f>
        <v>5377.63081776989</v>
      </c>
      <c r="W58" s="10" t="n">
        <f aca="false">IF('Start Here'!$B$5="Lean",'Monthly Lean'!W58,IF('Start Here'!$B$5="Growth",'Monthly Growth'!W58,'Monthly Base'!W58))</f>
        <v>1139.577670125</v>
      </c>
      <c r="X58" s="10" t="n">
        <f aca="false">IF('Start Here'!$B$5="Lean",'Monthly Lean'!X58,IF('Start Here'!$B$5="Growth",'Monthly Growth'!X58,'Monthly Base'!X58))</f>
        <v>0</v>
      </c>
      <c r="Y58" s="10" t="n">
        <f aca="false">IF('Start Here'!$B$5="Lean",'Monthly Lean'!Y58,IF('Start Here'!$B$5="Growth",'Monthly Growth'!Y58,'Monthly Base'!Y58))</f>
        <v>0</v>
      </c>
      <c r="Z58" s="10" t="n">
        <f aca="false">IF('Start Here'!$B$5="Lean",'Monthly Lean'!Z58,IF('Start Here'!$B$5="Growth",'Monthly Growth'!Z58,'Monthly Base'!Z58))</f>
        <v>9986.38084080703</v>
      </c>
      <c r="AA58" s="10" t="n">
        <f aca="false">IF('Start Here'!$B$5="Lean",'Monthly Lean'!AA58,IF('Start Here'!$B$5="Growth",'Monthly Growth'!AA58,'Monthly Base'!AA58))</f>
        <v>31431.7130301211</v>
      </c>
      <c r="AB58" s="10" t="n">
        <f aca="false">IF('Start Here'!$B$5="Lean",'Monthly Lean'!AB58,IF('Start Here'!$B$5="Growth",'Monthly Growth'!AB58,'Monthly Base'!AB58))</f>
        <v>1720.06391882189</v>
      </c>
      <c r="AC58" s="10" t="n">
        <f aca="false">IF('Start Here'!$B$5="Lean",'Monthly Lean'!AC58,IF('Start Here'!$B$5="Growth",'Monthly Growth'!AC58,'Monthly Base'!AC58))</f>
        <v>242696.530483083</v>
      </c>
      <c r="AD58" s="10" t="n">
        <f aca="false">IF('Start Here'!$B$5="Lean",'Monthly Lean'!AD58,IF('Start Here'!$B$5="Growth",'Monthly Growth'!AD58,'Monthly Base'!AD58))</f>
        <v>57335.4639607296</v>
      </c>
      <c r="AE58" s="10" t="n">
        <f aca="false">IF('Start Here'!$B$5="Lean",'Monthly Lean'!AE58,IF('Start Here'!$B$5="Growth",'Monthly Growth'!AE58,'Monthly Base'!AE58))</f>
        <v>688025.567528755</v>
      </c>
      <c r="AF58" s="10" t="n">
        <f aca="false">IF('Start Here'!$B$5="Lean",'Monthly Lean'!AF58,IF('Start Here'!$B$5="Growth",'Monthly Growth'!AF58,'Monthly Base'!AF58))</f>
        <v>185361.066522354</v>
      </c>
      <c r="AG58" s="10" t="n">
        <f aca="false">IF('Start Here'!$B$5="Lean",'Monthly Lean'!AG58,IF('Start Here'!$B$5="Growth",'Monthly Growth'!AG58,'Monthly Base'!AG58))</f>
        <v>0</v>
      </c>
      <c r="AH58" s="10" t="n">
        <f aca="false">IF('Start Here'!$B$5="Lean",'Monthly Lean'!AH58,IF('Start Here'!$B$5="Growth",'Monthly Growth'!AH58,'Monthly Base'!AH58))</f>
        <v>-3982148.92539575</v>
      </c>
      <c r="AI58" s="10" t="n">
        <f aca="false">IF('Start Here'!$B$5="Lean",'Monthly Lean'!AI58,IF('Start Here'!$B$5="Growth",'Monthly Growth'!AI58,'Monthly Base'!AI58))</f>
        <v>-4167509.9919181</v>
      </c>
      <c r="AJ58" s="10" t="n">
        <f aca="false">IF('Start Here'!$B$5="Lean",'Monthly Lean'!AJ58,IF('Start Here'!$B$5="Growth",'Monthly Growth'!AJ58,'Monthly Base'!AJ58))</f>
        <v>9140049.05980587</v>
      </c>
      <c r="AK58" s="10" t="n">
        <f aca="false">IF('Start Here'!$B$5="Lean",'Monthly Lean'!AK58,IF('Start Here'!$B$5="Growth",'Monthly Growth'!AK58,'Monthly Base'!AK58))</f>
        <v>4167509.9919181</v>
      </c>
      <c r="AL58" s="10" t="n">
        <f aca="false">IF('Start Here'!$B$5="Lean",'Monthly Lean'!AL58,IF('Start Here'!$B$5="Growth",'Monthly Growth'!AL58,'Monthly Base'!AL58))</f>
        <v>-5140049.05980587</v>
      </c>
      <c r="AM58" s="10" t="n">
        <f aca="false">IF('Start Here'!$B$5="Lean",'Monthly Lean'!AM58,IF('Start Here'!$B$5="Growth",'Monthly Growth'!AM58,'Monthly Base'!AM58))</f>
        <v>2082.1912985</v>
      </c>
      <c r="AN58" s="10" t="n">
        <f aca="false">IF('Start Here'!$B$5="Lean",'Monthly Lean'!AN58,IF('Start Here'!$B$5="Growth",'Monthly Growth'!AN58,'Monthly Base'!AN58))</f>
        <v>0</v>
      </c>
      <c r="AO58" s="10" t="n">
        <f aca="false">IF('Start Here'!$B$5="Lean",'Monthly Lean'!AO58,IF('Start Here'!$B$5="Growth",'Monthly Growth'!AO58,'Monthly Base'!AO58))</f>
        <v>17547.8784</v>
      </c>
      <c r="AP58" s="10" t="n">
        <f aca="false">IF('Start Here'!$B$5="Lean",'Monthly Lean'!AP58,IF('Start Here'!$B$5="Growth",'Monthly Growth'!AP58,'Monthly Base'!AP58))</f>
        <v>8167509.9919181</v>
      </c>
      <c r="AQ58" s="10" t="n">
        <f aca="false">IF('Start Here'!$B$5="Lean",'Monthly Lean'!AQ58,IF('Start Here'!$B$5="Growth",'Monthly Growth'!AQ58,'Monthly Base'!AQ58))</f>
        <v>242696.530483083</v>
      </c>
      <c r="AR58" s="10" t="n">
        <f aca="false">IF('Start Here'!$B$5="Lean",'Monthly Lean'!AR58,IF('Start Here'!$B$5="Growth",'Monthly Growth'!AR58,'Monthly Base'!AR58))</f>
        <v>1</v>
      </c>
    </row>
    <row r="59" customFormat="false" ht="15" hidden="false" customHeight="false" outlineLevel="0" collapsed="false">
      <c r="A59" s="11" t="n">
        <f aca="false">IF('Start Here'!$B$5="Lean",'Monthly Lean'!A59,IF('Start Here'!$B$5="Growth",'Monthly Growth'!A59,'Monthly Base'!A59))</f>
        <v>54</v>
      </c>
      <c r="B59" s="25" t="n">
        <f aca="false">IF('Start Here'!$B$5="Lean",'Monthly Lean'!B59,IF('Start Here'!$B$5="Growth",'Monthly Growth'!B59,'Monthly Base'!B59))</f>
        <v>47939</v>
      </c>
      <c r="C59" s="11" t="n">
        <f aca="false">IF('Start Here'!$B$5="Lean",'Monthly Lean'!C59,IF('Start Here'!$B$5="Growth",'Monthly Growth'!C59,'Monthly Base'!C59))</f>
        <v>3.375</v>
      </c>
      <c r="D59" s="11" t="n">
        <f aca="false">IF('Start Here'!$B$5="Lean",'Monthly Lean'!D59,IF('Start Here'!$B$5="Growth",'Monthly Growth'!D59,'Monthly Base'!D59))</f>
        <v>66.4440103568025</v>
      </c>
      <c r="E59" s="11" t="n">
        <f aca="false">IF('Start Here'!$B$5="Lean",'Monthly Lean'!E59,IF('Start Here'!$B$5="Growth",'Monthly Growth'!E59,'Monthly Base'!E59))</f>
        <v>996.660155352038</v>
      </c>
      <c r="F59" s="11" t="n">
        <f aca="false">IF('Start Here'!$B$5="Lean",'Monthly Lean'!F59,IF('Start Here'!$B$5="Growth",'Monthly Growth'!F59,'Monthly Base'!F59))</f>
        <v>4.48497069908417</v>
      </c>
      <c r="G59" s="11" t="n">
        <f aca="false">IF('Start Here'!$B$5="Lean",'Monthly Lean'!G59,IF('Start Here'!$B$5="Growth",'Monthly Growth'!G59,'Monthly Base'!G59))</f>
        <v>332.220051784013</v>
      </c>
      <c r="H59" s="11" t="n">
        <f aca="false">IF('Start Here'!$B$5="Lean",'Monthly Lean'!H59,IF('Start Here'!$B$5="Growth",'Monthly Growth'!H59,'Monthly Base'!H59))</f>
        <v>66.4440103568025</v>
      </c>
      <c r="I59" s="11" t="n">
        <f aca="false">IF('Start Here'!$B$5="Lean",'Monthly Lean'!I59,IF('Start Here'!$B$5="Growth",'Monthly Growth'!I59,'Monthly Base'!I59))</f>
        <v>12.5</v>
      </c>
      <c r="J59" s="11" t="n">
        <f aca="false">IF('Start Here'!$B$5="Lean",'Monthly Lean'!J59,IF('Start Here'!$B$5="Growth",'Monthly Growth'!J59,'Monthly Base'!J59))</f>
        <v>13</v>
      </c>
      <c r="K59" s="10" t="n">
        <f aca="false">IF('Start Here'!$B$5="Lean",'Monthly Lean'!K59,IF('Start Here'!$B$5="Growth",'Monthly Growth'!K59,'Monthly Base'!K59))</f>
        <v>199558.372693333</v>
      </c>
      <c r="L59" s="10" t="n">
        <f aca="false">IF('Start Here'!$B$5="Lean",'Monthly Lean'!L59,IF('Start Here'!$B$5="Growth",'Monthly Growth'!L59,'Monthly Base'!L59))</f>
        <v>0</v>
      </c>
      <c r="M59" s="10" t="n">
        <f aca="false">IF('Start Here'!$B$5="Lean",'Monthly Lean'!M59,IF('Start Here'!$B$5="Growth",'Monthly Growth'!M59,'Monthly Base'!M59))</f>
        <v>0</v>
      </c>
      <c r="N59" s="10" t="n">
        <f aca="false">IF('Start Here'!$B$5="Lean",'Monthly Lean'!N59,IF('Start Here'!$B$5="Growth",'Monthly Growth'!N59,'Monthly Base'!N59))</f>
        <v>1988.32631794513</v>
      </c>
      <c r="O59" s="10" t="n">
        <f aca="false">IF('Start Here'!$B$5="Lean",'Monthly Lean'!O59,IF('Start Here'!$B$5="Growth",'Monthly Growth'!O59,'Monthly Base'!O59))</f>
        <v>716.94911197</v>
      </c>
      <c r="P59" s="10" t="n">
        <f aca="false">IF('Start Here'!$B$5="Lean",'Monthly Lean'!P59,IF('Start Here'!$B$5="Growth",'Monthly Growth'!P59,'Monthly Base'!P59))</f>
        <v>0</v>
      </c>
      <c r="Q59" s="10" t="n">
        <f aca="false">IF('Start Here'!$B$5="Lean",'Monthly Lean'!Q59,IF('Start Here'!$B$5="Growth",'Monthly Growth'!Q59,'Monthly Base'!Q59))</f>
        <v>0</v>
      </c>
      <c r="R59" s="10" t="n">
        <f aca="false">IF('Start Here'!$B$5="Lean",'Monthly Lean'!R59,IF('Start Here'!$B$5="Growth",'Monthly Growth'!R59,'Monthly Base'!R59))</f>
        <v>0</v>
      </c>
      <c r="S59" s="10" t="n">
        <f aca="false">IF('Start Here'!$B$5="Lean",'Monthly Lean'!S59,IF('Start Here'!$B$5="Growth",'Monthly Growth'!S59,'Monthly Base'!S59))</f>
        <v>0</v>
      </c>
      <c r="T59" s="10" t="n">
        <f aca="false">IF('Start Here'!$B$5="Lean",'Monthly Lean'!T59,IF('Start Here'!$B$5="Growth",'Monthly Growth'!T59,'Monthly Base'!T59))</f>
        <v>675.305286</v>
      </c>
      <c r="U59" s="10" t="n">
        <f aca="false">IF('Start Here'!$B$5="Lean",'Monthly Lean'!U59,IF('Start Here'!$B$5="Growth",'Monthly Growth'!U59,'Monthly Base'!U59))</f>
        <v>112.550881</v>
      </c>
      <c r="V59" s="10" t="n">
        <f aca="false">IF('Start Here'!$B$5="Lean",'Monthly Lean'!V59,IF('Start Here'!$B$5="Growth",'Monthly Growth'!V59,'Monthly Base'!V59))</f>
        <v>5608.74892712344</v>
      </c>
      <c r="W59" s="10" t="n">
        <f aca="false">IF('Start Here'!$B$5="Lean",'Monthly Lean'!W59,IF('Start Here'!$B$5="Growth",'Monthly Growth'!W59,'Monthly Base'!W59))</f>
        <v>1139.577670125</v>
      </c>
      <c r="X59" s="10" t="n">
        <f aca="false">IF('Start Here'!$B$5="Lean",'Monthly Lean'!X59,IF('Start Here'!$B$5="Growth",'Monthly Growth'!X59,'Monthly Base'!X59))</f>
        <v>0</v>
      </c>
      <c r="Y59" s="10" t="n">
        <f aca="false">IF('Start Here'!$B$5="Lean",'Monthly Lean'!Y59,IF('Start Here'!$B$5="Growth",'Monthly Growth'!Y59,'Monthly Base'!Y59))</f>
        <v>0</v>
      </c>
      <c r="Z59" s="10" t="n">
        <f aca="false">IF('Start Here'!$B$5="Lean",'Monthly Lean'!Z59,IF('Start Here'!$B$5="Growth",'Monthly Growth'!Z59,'Monthly Base'!Z59))</f>
        <v>10241.4581941636</v>
      </c>
      <c r="AA59" s="10" t="n">
        <f aca="false">IF('Start Here'!$B$5="Lean",'Monthly Lean'!AA59,IF('Start Here'!$B$5="Growth",'Monthly Growth'!AA59,'Monthly Base'!AA59))</f>
        <v>31469.9746331245</v>
      </c>
      <c r="AB59" s="10" t="n">
        <f aca="false">IF('Start Here'!$B$5="Lean",'Monthly Lean'!AB59,IF('Start Here'!$B$5="Growth",'Monthly Growth'!AB59,'Monthly Base'!AB59))</f>
        <v>1793.98827963367</v>
      </c>
      <c r="AC59" s="10" t="n">
        <f aca="false">IF('Start Here'!$B$5="Lean",'Monthly Lean'!AC59,IF('Start Here'!$B$5="Growth",'Monthly Growth'!AC59,'Monthly Base'!AC59))</f>
        <v>243063.793800255</v>
      </c>
      <c r="AD59" s="10" t="n">
        <f aca="false">IF('Start Here'!$B$5="Lean",'Monthly Lean'!AD59,IF('Start Here'!$B$5="Growth",'Monthly Growth'!AD59,'Monthly Base'!AD59))</f>
        <v>59799.6093211223</v>
      </c>
      <c r="AE59" s="10" t="n">
        <f aca="false">IF('Start Here'!$B$5="Lean",'Monthly Lean'!AE59,IF('Start Here'!$B$5="Growth",'Monthly Growth'!AE59,'Monthly Base'!AE59))</f>
        <v>717595.311853467</v>
      </c>
      <c r="AF59" s="10" t="n">
        <f aca="false">IF('Start Here'!$B$5="Lean",'Monthly Lean'!AF59,IF('Start Here'!$B$5="Growth",'Monthly Growth'!AF59,'Monthly Base'!AF59))</f>
        <v>183264.184479133</v>
      </c>
      <c r="AG59" s="10" t="n">
        <f aca="false">IF('Start Here'!$B$5="Lean",'Monthly Lean'!AG59,IF('Start Here'!$B$5="Growth",'Monthly Growth'!AG59,'Monthly Base'!AG59))</f>
        <v>0</v>
      </c>
      <c r="AH59" s="10" t="n">
        <f aca="false">IF('Start Here'!$B$5="Lean",'Monthly Lean'!AH59,IF('Start Here'!$B$5="Growth",'Monthly Growth'!AH59,'Monthly Base'!AH59))</f>
        <v>-4167509.9919181</v>
      </c>
      <c r="AI59" s="10" t="n">
        <f aca="false">IF('Start Here'!$B$5="Lean",'Monthly Lean'!AI59,IF('Start Here'!$B$5="Growth",'Monthly Growth'!AI59,'Monthly Base'!AI59))</f>
        <v>-4350774.17639723</v>
      </c>
      <c r="AJ59" s="10" t="n">
        <f aca="false">IF('Start Here'!$B$5="Lean",'Monthly Lean'!AJ59,IF('Start Here'!$B$5="Growth",'Monthly Growth'!AJ59,'Monthly Base'!AJ59))</f>
        <v>9383112.85360613</v>
      </c>
      <c r="AK59" s="10" t="n">
        <f aca="false">IF('Start Here'!$B$5="Lean",'Monthly Lean'!AK59,IF('Start Here'!$B$5="Growth",'Monthly Growth'!AK59,'Monthly Base'!AK59))</f>
        <v>4350774.17639723</v>
      </c>
      <c r="AL59" s="10" t="n">
        <f aca="false">IF('Start Here'!$B$5="Lean",'Monthly Lean'!AL59,IF('Start Here'!$B$5="Growth",'Monthly Growth'!AL59,'Monthly Base'!AL59))</f>
        <v>-5383112.85360613</v>
      </c>
      <c r="AM59" s="10" t="n">
        <f aca="false">IF('Start Here'!$B$5="Lean",'Monthly Lean'!AM59,IF('Start Here'!$B$5="Growth",'Monthly Growth'!AM59,'Monthly Base'!AM59))</f>
        <v>2082.1912985</v>
      </c>
      <c r="AN59" s="10" t="n">
        <f aca="false">IF('Start Here'!$B$5="Lean",'Monthly Lean'!AN59,IF('Start Here'!$B$5="Growth",'Monthly Growth'!AN59,'Monthly Base'!AN59))</f>
        <v>0</v>
      </c>
      <c r="AO59" s="10" t="n">
        <f aca="false">IF('Start Here'!$B$5="Lean",'Monthly Lean'!AO59,IF('Start Here'!$B$5="Growth",'Monthly Growth'!AO59,'Monthly Base'!AO59))</f>
        <v>17547.8784</v>
      </c>
      <c r="AP59" s="10" t="n">
        <f aca="false">IF('Start Here'!$B$5="Lean",'Monthly Lean'!AP59,IF('Start Here'!$B$5="Growth",'Monthly Growth'!AP59,'Monthly Base'!AP59))</f>
        <v>8350774.17639723</v>
      </c>
      <c r="AQ59" s="10" t="n">
        <f aca="false">IF('Start Here'!$B$5="Lean",'Monthly Lean'!AQ59,IF('Start Here'!$B$5="Growth",'Monthly Growth'!AQ59,'Monthly Base'!AQ59))</f>
        <v>243063.793800255</v>
      </c>
      <c r="AR59" s="10" t="n">
        <f aca="false">IF('Start Here'!$B$5="Lean",'Monthly Lean'!AR59,IF('Start Here'!$B$5="Growth",'Monthly Growth'!AR59,'Monthly Base'!AR59))</f>
        <v>1</v>
      </c>
    </row>
    <row r="60" customFormat="false" ht="15" hidden="false" customHeight="false" outlineLevel="0" collapsed="false">
      <c r="A60" s="11" t="n">
        <f aca="false">IF('Start Here'!$B$5="Lean",'Monthly Lean'!A60,IF('Start Here'!$B$5="Growth",'Monthly Growth'!A60,'Monthly Base'!A60))</f>
        <v>55</v>
      </c>
      <c r="B60" s="25" t="n">
        <f aca="false">IF('Start Here'!$B$5="Lean",'Monthly Lean'!B60,IF('Start Here'!$B$5="Growth",'Monthly Growth'!B60,'Monthly Base'!B60))</f>
        <v>47969</v>
      </c>
      <c r="C60" s="11" t="n">
        <f aca="false">IF('Start Here'!$B$5="Lean",'Monthly Lean'!C60,IF('Start Here'!$B$5="Growth",'Monthly Growth'!C60,'Monthly Base'!C60))</f>
        <v>3.375</v>
      </c>
      <c r="D60" s="11" t="n">
        <f aca="false">IF('Start Here'!$B$5="Lean",'Monthly Lean'!D60,IF('Start Here'!$B$5="Growth",'Monthly Growth'!D60,'Monthly Base'!D60))</f>
        <v>69.1545702532345</v>
      </c>
      <c r="E60" s="11" t="n">
        <f aca="false">IF('Start Here'!$B$5="Lean",'Monthly Lean'!E60,IF('Start Here'!$B$5="Growth",'Monthly Growth'!E60,'Monthly Base'!E60))</f>
        <v>1037.31855379852</v>
      </c>
      <c r="F60" s="11" t="n">
        <f aca="false">IF('Start Here'!$B$5="Lean",'Monthly Lean'!F60,IF('Start Here'!$B$5="Growth",'Monthly Growth'!F60,'Monthly Base'!F60))</f>
        <v>4.66793349209333</v>
      </c>
      <c r="G60" s="11" t="n">
        <f aca="false">IF('Start Here'!$B$5="Lean",'Monthly Lean'!G60,IF('Start Here'!$B$5="Growth",'Monthly Growth'!G60,'Monthly Base'!G60))</f>
        <v>345.772851266172</v>
      </c>
      <c r="H60" s="11" t="n">
        <f aca="false">IF('Start Here'!$B$5="Lean",'Monthly Lean'!H60,IF('Start Here'!$B$5="Growth",'Monthly Growth'!H60,'Monthly Base'!H60))</f>
        <v>69.1545702532345</v>
      </c>
      <c r="I60" s="11" t="n">
        <f aca="false">IF('Start Here'!$B$5="Lean",'Monthly Lean'!I60,IF('Start Here'!$B$5="Growth",'Monthly Growth'!I60,'Monthly Base'!I60))</f>
        <v>12.5</v>
      </c>
      <c r="J60" s="11" t="n">
        <f aca="false">IF('Start Here'!$B$5="Lean",'Monthly Lean'!J60,IF('Start Here'!$B$5="Growth",'Monthly Growth'!J60,'Monthly Base'!J60))</f>
        <v>13</v>
      </c>
      <c r="K60" s="10" t="n">
        <f aca="false">IF('Start Here'!$B$5="Lean",'Monthly Lean'!K60,IF('Start Here'!$B$5="Growth",'Monthly Growth'!K60,'Monthly Base'!K60))</f>
        <v>199558.372693333</v>
      </c>
      <c r="L60" s="10" t="n">
        <f aca="false">IF('Start Here'!$B$5="Lean",'Monthly Lean'!L60,IF('Start Here'!$B$5="Growth",'Monthly Growth'!L60,'Monthly Base'!L60))</f>
        <v>0</v>
      </c>
      <c r="M60" s="10" t="n">
        <f aca="false">IF('Start Here'!$B$5="Lean",'Monthly Lean'!M60,IF('Start Here'!$B$5="Growth",'Monthly Growth'!M60,'Monthly Base'!M60))</f>
        <v>0</v>
      </c>
      <c r="N60" s="10" t="n">
        <f aca="false">IF('Start Here'!$B$5="Lean",'Monthly Lean'!N60,IF('Start Here'!$B$5="Growth",'Monthly Growth'!N60,'Monthly Base'!N60))</f>
        <v>2012.04596950808</v>
      </c>
      <c r="O60" s="10" t="n">
        <f aca="false">IF('Start Here'!$B$5="Lean",'Monthly Lean'!O60,IF('Start Here'!$B$5="Growth",'Monthly Growth'!O60,'Monthly Base'!O60))</f>
        <v>716.94911197</v>
      </c>
      <c r="P60" s="10" t="n">
        <f aca="false">IF('Start Here'!$B$5="Lean",'Monthly Lean'!P60,IF('Start Here'!$B$5="Growth",'Monthly Growth'!P60,'Monthly Base'!P60))</f>
        <v>0</v>
      </c>
      <c r="Q60" s="10" t="n">
        <f aca="false">IF('Start Here'!$B$5="Lean",'Monthly Lean'!Q60,IF('Start Here'!$B$5="Growth",'Monthly Growth'!Q60,'Monthly Base'!Q60))</f>
        <v>0</v>
      </c>
      <c r="R60" s="10" t="n">
        <f aca="false">IF('Start Here'!$B$5="Lean",'Monthly Lean'!R60,IF('Start Here'!$B$5="Growth",'Monthly Growth'!R60,'Monthly Base'!R60))</f>
        <v>0</v>
      </c>
      <c r="S60" s="10" t="n">
        <f aca="false">IF('Start Here'!$B$5="Lean",'Monthly Lean'!S60,IF('Start Here'!$B$5="Growth",'Monthly Growth'!S60,'Monthly Base'!S60))</f>
        <v>0</v>
      </c>
      <c r="T60" s="10" t="n">
        <f aca="false">IF('Start Here'!$B$5="Lean",'Monthly Lean'!T60,IF('Start Here'!$B$5="Growth",'Monthly Growth'!T60,'Monthly Base'!T60))</f>
        <v>675.305286</v>
      </c>
      <c r="U60" s="10" t="n">
        <f aca="false">IF('Start Here'!$B$5="Lean",'Monthly Lean'!U60,IF('Start Here'!$B$5="Growth",'Monthly Growth'!U60,'Monthly Base'!U60))</f>
        <v>112.550881</v>
      </c>
      <c r="V60" s="10" t="n">
        <f aca="false">IF('Start Here'!$B$5="Lean",'Monthly Lean'!V60,IF('Start Here'!$B$5="Growth",'Monthly Growth'!V60,'Monthly Base'!V60))</f>
        <v>5837.55585538345</v>
      </c>
      <c r="W60" s="10" t="n">
        <f aca="false">IF('Start Here'!$B$5="Lean",'Monthly Lean'!W60,IF('Start Here'!$B$5="Growth",'Monthly Growth'!W60,'Monthly Base'!W60))</f>
        <v>1139.577670125</v>
      </c>
      <c r="X60" s="10" t="n">
        <f aca="false">IF('Start Here'!$B$5="Lean",'Monthly Lean'!X60,IF('Start Here'!$B$5="Growth",'Monthly Growth'!X60,'Monthly Base'!X60))</f>
        <v>0</v>
      </c>
      <c r="Y60" s="10" t="n">
        <f aca="false">IF('Start Here'!$B$5="Lean",'Monthly Lean'!Y60,IF('Start Here'!$B$5="Growth",'Monthly Growth'!Y60,'Monthly Base'!Y60))</f>
        <v>0</v>
      </c>
      <c r="Z60" s="10" t="n">
        <f aca="false">IF('Start Here'!$B$5="Lean",'Monthly Lean'!Z60,IF('Start Here'!$B$5="Growth",'Monthly Growth'!Z60,'Monthly Base'!Z60))</f>
        <v>10493.9847739865</v>
      </c>
      <c r="AA60" s="10" t="n">
        <f aca="false">IF('Start Here'!$B$5="Lean",'Monthly Lean'!AA60,IF('Start Here'!$B$5="Growth",'Monthly Growth'!AA60,'Monthly Base'!AA60))</f>
        <v>31507.853620098</v>
      </c>
      <c r="AB60" s="10" t="n">
        <f aca="false">IF('Start Here'!$B$5="Lean",'Monthly Lean'!AB60,IF('Start Here'!$B$5="Growth",'Monthly Growth'!AB60,'Monthly Base'!AB60))</f>
        <v>1867.17339683733</v>
      </c>
      <c r="AC60" s="10" t="n">
        <f aca="false">IF('Start Here'!$B$5="Lean",'Monthly Lean'!AC60,IF('Start Here'!$B$5="Growth",'Monthly Growth'!AC60,'Monthly Base'!AC60))</f>
        <v>243427.384484255</v>
      </c>
      <c r="AD60" s="10" t="n">
        <f aca="false">IF('Start Here'!$B$5="Lean",'Monthly Lean'!AD60,IF('Start Here'!$B$5="Growth",'Monthly Growth'!AD60,'Monthly Base'!AD60))</f>
        <v>62239.113227911</v>
      </c>
      <c r="AE60" s="10" t="n">
        <f aca="false">IF('Start Here'!$B$5="Lean",'Monthly Lean'!AE60,IF('Start Here'!$B$5="Growth",'Monthly Growth'!AE60,'Monthly Base'!AE60))</f>
        <v>746869.358734932</v>
      </c>
      <c r="AF60" s="10" t="n">
        <f aca="false">IF('Start Here'!$B$5="Lean",'Monthly Lean'!AF60,IF('Start Here'!$B$5="Growth",'Monthly Growth'!AF60,'Monthly Base'!AF60))</f>
        <v>181188.271256344</v>
      </c>
      <c r="AG60" s="10" t="n">
        <f aca="false">IF('Start Here'!$B$5="Lean",'Monthly Lean'!AG60,IF('Start Here'!$B$5="Growth",'Monthly Growth'!AG60,'Monthly Base'!AG60))</f>
        <v>0</v>
      </c>
      <c r="AH60" s="10" t="n">
        <f aca="false">IF('Start Here'!$B$5="Lean",'Monthly Lean'!AH60,IF('Start Here'!$B$5="Growth",'Monthly Growth'!AH60,'Monthly Base'!AH60))</f>
        <v>-4350774.17639723</v>
      </c>
      <c r="AI60" s="10" t="n">
        <f aca="false">IF('Start Here'!$B$5="Lean",'Monthly Lean'!AI60,IF('Start Here'!$B$5="Growth",'Monthly Growth'!AI60,'Monthly Base'!AI60))</f>
        <v>-4531962.44765358</v>
      </c>
      <c r="AJ60" s="10" t="n">
        <f aca="false">IF('Start Here'!$B$5="Lean",'Monthly Lean'!AJ60,IF('Start Here'!$B$5="Growth",'Monthly Growth'!AJ60,'Monthly Base'!AJ60))</f>
        <v>9626540.23809038</v>
      </c>
      <c r="AK60" s="10" t="n">
        <f aca="false">IF('Start Here'!$B$5="Lean",'Monthly Lean'!AK60,IF('Start Here'!$B$5="Growth",'Monthly Growth'!AK60,'Monthly Base'!AK60))</f>
        <v>4531962.44765358</v>
      </c>
      <c r="AL60" s="10" t="n">
        <f aca="false">IF('Start Here'!$B$5="Lean",'Monthly Lean'!AL60,IF('Start Here'!$B$5="Growth",'Monthly Growth'!AL60,'Monthly Base'!AL60))</f>
        <v>-5626540.23809038</v>
      </c>
      <c r="AM60" s="10" t="n">
        <f aca="false">IF('Start Here'!$B$5="Lean",'Monthly Lean'!AM60,IF('Start Here'!$B$5="Growth",'Monthly Growth'!AM60,'Monthly Base'!AM60))</f>
        <v>2082.1912985</v>
      </c>
      <c r="AN60" s="10" t="n">
        <f aca="false">IF('Start Here'!$B$5="Lean",'Monthly Lean'!AN60,IF('Start Here'!$B$5="Growth",'Monthly Growth'!AN60,'Monthly Base'!AN60))</f>
        <v>0</v>
      </c>
      <c r="AO60" s="10" t="n">
        <f aca="false">IF('Start Here'!$B$5="Lean",'Monthly Lean'!AO60,IF('Start Here'!$B$5="Growth",'Monthly Growth'!AO60,'Monthly Base'!AO60))</f>
        <v>17547.8784</v>
      </c>
      <c r="AP60" s="10" t="n">
        <f aca="false">IF('Start Here'!$B$5="Lean",'Monthly Lean'!AP60,IF('Start Here'!$B$5="Growth",'Monthly Growth'!AP60,'Monthly Base'!AP60))</f>
        <v>8531962.44765358</v>
      </c>
      <c r="AQ60" s="10" t="n">
        <f aca="false">IF('Start Here'!$B$5="Lean",'Monthly Lean'!AQ60,IF('Start Here'!$B$5="Growth",'Monthly Growth'!AQ60,'Monthly Base'!AQ60))</f>
        <v>243427.384484255</v>
      </c>
      <c r="AR60" s="10" t="n">
        <f aca="false">IF('Start Here'!$B$5="Lean",'Monthly Lean'!AR60,IF('Start Here'!$B$5="Growth",'Monthly Growth'!AR60,'Monthly Base'!AR60))</f>
        <v>1</v>
      </c>
    </row>
    <row r="61" customFormat="false" ht="15" hidden="false" customHeight="false" outlineLevel="0" collapsed="false">
      <c r="A61" s="11" t="n">
        <f aca="false">IF('Start Here'!$B$5="Lean",'Monthly Lean'!A61,IF('Start Here'!$B$5="Growth",'Monthly Growth'!A61,'Monthly Base'!A61))</f>
        <v>56</v>
      </c>
      <c r="B61" s="25" t="n">
        <f aca="false">IF('Start Here'!$B$5="Lean",'Monthly Lean'!B61,IF('Start Here'!$B$5="Growth",'Monthly Growth'!B61,'Monthly Base'!B61))</f>
        <v>48000</v>
      </c>
      <c r="C61" s="11" t="n">
        <f aca="false">IF('Start Here'!$B$5="Lean",'Monthly Lean'!C61,IF('Start Here'!$B$5="Growth",'Monthly Growth'!C61,'Monthly Base'!C61))</f>
        <v>3.375</v>
      </c>
      <c r="D61" s="11" t="n">
        <f aca="false">IF('Start Here'!$B$5="Lean",'Monthly Lean'!D61,IF('Start Here'!$B$5="Growth",'Monthly Growth'!D61,'Monthly Base'!D61))</f>
        <v>71.8380245507021</v>
      </c>
      <c r="E61" s="11" t="n">
        <f aca="false">IF('Start Here'!$B$5="Lean",'Monthly Lean'!E61,IF('Start Here'!$B$5="Growth",'Monthly Growth'!E61,'Monthly Base'!E61))</f>
        <v>1077.57036826053</v>
      </c>
      <c r="F61" s="11" t="n">
        <f aca="false">IF('Start Here'!$B$5="Lean",'Monthly Lean'!F61,IF('Start Here'!$B$5="Growth",'Monthly Growth'!F61,'Monthly Base'!F61))</f>
        <v>4.84906665717239</v>
      </c>
      <c r="G61" s="11" t="n">
        <f aca="false">IF('Start Here'!$B$5="Lean",'Monthly Lean'!G61,IF('Start Here'!$B$5="Growth",'Monthly Growth'!G61,'Monthly Base'!G61))</f>
        <v>359.190122753511</v>
      </c>
      <c r="H61" s="11" t="n">
        <f aca="false">IF('Start Here'!$B$5="Lean",'Monthly Lean'!H61,IF('Start Here'!$B$5="Growth",'Monthly Growth'!H61,'Monthly Base'!H61))</f>
        <v>71.8380245507021</v>
      </c>
      <c r="I61" s="11" t="n">
        <f aca="false">IF('Start Here'!$B$5="Lean",'Monthly Lean'!I61,IF('Start Here'!$B$5="Growth",'Monthly Growth'!I61,'Monthly Base'!I61))</f>
        <v>12.5</v>
      </c>
      <c r="J61" s="11" t="n">
        <f aca="false">IF('Start Here'!$B$5="Lean",'Monthly Lean'!J61,IF('Start Here'!$B$5="Growth",'Monthly Growth'!J61,'Monthly Base'!J61))</f>
        <v>13</v>
      </c>
      <c r="K61" s="10" t="n">
        <f aca="false">IF('Start Here'!$B$5="Lean",'Monthly Lean'!K61,IF('Start Here'!$B$5="Growth",'Monthly Growth'!K61,'Monthly Base'!K61))</f>
        <v>199558.372693333</v>
      </c>
      <c r="L61" s="10" t="n">
        <f aca="false">IF('Start Here'!$B$5="Lean",'Monthly Lean'!L61,IF('Start Here'!$B$5="Growth",'Monthly Growth'!L61,'Monthly Base'!L61))</f>
        <v>0</v>
      </c>
      <c r="M61" s="10" t="n">
        <f aca="false">IF('Start Here'!$B$5="Lean",'Monthly Lean'!M61,IF('Start Here'!$B$5="Growth",'Monthly Growth'!M61,'Monthly Base'!M61))</f>
        <v>0</v>
      </c>
      <c r="N61" s="10" t="n">
        <f aca="false">IF('Start Here'!$B$5="Lean",'Monthly Lean'!N61,IF('Start Here'!$B$5="Growth",'Monthly Growth'!N61,'Monthly Base'!N61))</f>
        <v>2035.52842455541</v>
      </c>
      <c r="O61" s="10" t="n">
        <f aca="false">IF('Start Here'!$B$5="Lean",'Monthly Lean'!O61,IF('Start Here'!$B$5="Growth",'Monthly Growth'!O61,'Monthly Base'!O61))</f>
        <v>716.94911197</v>
      </c>
      <c r="P61" s="10" t="n">
        <f aca="false">IF('Start Here'!$B$5="Lean",'Monthly Lean'!P61,IF('Start Here'!$B$5="Growth",'Monthly Growth'!P61,'Monthly Base'!P61))</f>
        <v>0</v>
      </c>
      <c r="Q61" s="10" t="n">
        <f aca="false">IF('Start Here'!$B$5="Lean",'Monthly Lean'!Q61,IF('Start Here'!$B$5="Growth",'Monthly Growth'!Q61,'Monthly Base'!Q61))</f>
        <v>0</v>
      </c>
      <c r="R61" s="10" t="n">
        <f aca="false">IF('Start Here'!$B$5="Lean",'Monthly Lean'!R61,IF('Start Here'!$B$5="Growth",'Monthly Growth'!R61,'Monthly Base'!R61))</f>
        <v>0</v>
      </c>
      <c r="S61" s="10" t="n">
        <f aca="false">IF('Start Here'!$B$5="Lean",'Monthly Lean'!S61,IF('Start Here'!$B$5="Growth",'Monthly Growth'!S61,'Monthly Base'!S61))</f>
        <v>0</v>
      </c>
      <c r="T61" s="10" t="n">
        <f aca="false">IF('Start Here'!$B$5="Lean",'Monthly Lean'!T61,IF('Start Here'!$B$5="Growth",'Monthly Growth'!T61,'Monthly Base'!T61))</f>
        <v>675.305286</v>
      </c>
      <c r="U61" s="10" t="n">
        <f aca="false">IF('Start Here'!$B$5="Lean",'Monthly Lean'!U61,IF('Start Here'!$B$5="Growth",'Monthly Growth'!U61,'Monthly Base'!U61))</f>
        <v>112.550881</v>
      </c>
      <c r="V61" s="10" t="n">
        <f aca="false">IF('Start Here'!$B$5="Lean",'Monthly Lean'!V61,IF('Start Here'!$B$5="Growth",'Monthly Growth'!V61,'Monthly Base'!V61))</f>
        <v>6064.07471436087</v>
      </c>
      <c r="W61" s="10" t="n">
        <f aca="false">IF('Start Here'!$B$5="Lean",'Monthly Lean'!W61,IF('Start Here'!$B$5="Growth",'Monthly Growth'!W61,'Monthly Base'!W61))</f>
        <v>1139.577670125</v>
      </c>
      <c r="X61" s="10" t="n">
        <f aca="false">IF('Start Here'!$B$5="Lean",'Monthly Lean'!X61,IF('Start Here'!$B$5="Growth",'Monthly Growth'!X61,'Monthly Base'!X61))</f>
        <v>0</v>
      </c>
      <c r="Y61" s="10" t="n">
        <f aca="false">IF('Start Here'!$B$5="Lean",'Monthly Lean'!Y61,IF('Start Here'!$B$5="Growth",'Monthly Growth'!Y61,'Monthly Base'!Y61))</f>
        <v>0</v>
      </c>
      <c r="Z61" s="10" t="n">
        <f aca="false">IF('Start Here'!$B$5="Lean",'Monthly Lean'!Z61,IF('Start Here'!$B$5="Growth",'Monthly Growth'!Z61,'Monthly Base'!Z61))</f>
        <v>10743.9860880113</v>
      </c>
      <c r="AA61" s="10" t="n">
        <f aca="false">IF('Start Here'!$B$5="Lean",'Monthly Lean'!AA61,IF('Start Here'!$B$5="Growth",'Monthly Growth'!AA61,'Monthly Base'!AA61))</f>
        <v>31545.3538172017</v>
      </c>
      <c r="AB61" s="10" t="n">
        <f aca="false">IF('Start Here'!$B$5="Lean",'Monthly Lean'!AB61,IF('Start Here'!$B$5="Growth",'Monthly Growth'!AB61,'Monthly Base'!AB61))</f>
        <v>1939.62666286896</v>
      </c>
      <c r="AC61" s="10" t="n">
        <f aca="false">IF('Start Here'!$B$5="Lean",'Monthly Lean'!AC61,IF('Start Here'!$B$5="Growth",'Monthly Growth'!AC61,'Monthly Base'!AC61))</f>
        <v>243787.339261415</v>
      </c>
      <c r="AD61" s="10" t="n">
        <f aca="false">IF('Start Here'!$B$5="Lean",'Monthly Lean'!AD61,IF('Start Here'!$B$5="Growth",'Monthly Growth'!AD61,'Monthly Base'!AD61))</f>
        <v>64654.2220956319</v>
      </c>
      <c r="AE61" s="10" t="n">
        <f aca="false">IF('Start Here'!$B$5="Lean",'Monthly Lean'!AE61,IF('Start Here'!$B$5="Growth",'Monthly Growth'!AE61,'Monthly Base'!AE61))</f>
        <v>775850.665147583</v>
      </c>
      <c r="AF61" s="10" t="n">
        <f aca="false">IF('Start Here'!$B$5="Lean",'Monthly Lean'!AF61,IF('Start Here'!$B$5="Growth",'Monthly Growth'!AF61,'Monthly Base'!AF61))</f>
        <v>179133.117165783</v>
      </c>
      <c r="AG61" s="10" t="n">
        <f aca="false">IF('Start Here'!$B$5="Lean",'Monthly Lean'!AG61,IF('Start Here'!$B$5="Growth",'Monthly Growth'!AG61,'Monthly Base'!AG61))</f>
        <v>0</v>
      </c>
      <c r="AH61" s="10" t="n">
        <f aca="false">IF('Start Here'!$B$5="Lean",'Monthly Lean'!AH61,IF('Start Here'!$B$5="Growth",'Monthly Growth'!AH61,'Monthly Base'!AH61))</f>
        <v>-4531962.44765358</v>
      </c>
      <c r="AI61" s="10" t="n">
        <f aca="false">IF('Start Here'!$B$5="Lean",'Monthly Lean'!AI61,IF('Start Here'!$B$5="Growth",'Monthly Growth'!AI61,'Monthly Base'!AI61))</f>
        <v>-4711095.56481936</v>
      </c>
      <c r="AJ61" s="10" t="n">
        <f aca="false">IF('Start Here'!$B$5="Lean",'Monthly Lean'!AJ61,IF('Start Here'!$B$5="Growth",'Monthly Growth'!AJ61,'Monthly Base'!AJ61))</f>
        <v>9870327.5773518</v>
      </c>
      <c r="AK61" s="10" t="n">
        <f aca="false">IF('Start Here'!$B$5="Lean",'Monthly Lean'!AK61,IF('Start Here'!$B$5="Growth",'Monthly Growth'!AK61,'Monthly Base'!AK61))</f>
        <v>4711095.56481936</v>
      </c>
      <c r="AL61" s="10" t="n">
        <f aca="false">IF('Start Here'!$B$5="Lean",'Monthly Lean'!AL61,IF('Start Here'!$B$5="Growth",'Monthly Growth'!AL61,'Monthly Base'!AL61))</f>
        <v>-5870327.5773518</v>
      </c>
      <c r="AM61" s="10" t="n">
        <f aca="false">IF('Start Here'!$B$5="Lean",'Monthly Lean'!AM61,IF('Start Here'!$B$5="Growth",'Monthly Growth'!AM61,'Monthly Base'!AM61))</f>
        <v>2082.1912985</v>
      </c>
      <c r="AN61" s="10" t="n">
        <f aca="false">IF('Start Here'!$B$5="Lean",'Monthly Lean'!AN61,IF('Start Here'!$B$5="Growth",'Monthly Growth'!AN61,'Monthly Base'!AN61))</f>
        <v>0</v>
      </c>
      <c r="AO61" s="10" t="n">
        <f aca="false">IF('Start Here'!$B$5="Lean",'Monthly Lean'!AO61,IF('Start Here'!$B$5="Growth",'Monthly Growth'!AO61,'Monthly Base'!AO61))</f>
        <v>17547.8784</v>
      </c>
      <c r="AP61" s="10" t="n">
        <f aca="false">IF('Start Here'!$B$5="Lean",'Monthly Lean'!AP61,IF('Start Here'!$B$5="Growth",'Monthly Growth'!AP61,'Monthly Base'!AP61))</f>
        <v>8711095.56481936</v>
      </c>
      <c r="AQ61" s="10" t="n">
        <f aca="false">IF('Start Here'!$B$5="Lean",'Monthly Lean'!AQ61,IF('Start Here'!$B$5="Growth",'Monthly Growth'!AQ61,'Monthly Base'!AQ61))</f>
        <v>243787.339261415</v>
      </c>
      <c r="AR61" s="10" t="n">
        <f aca="false">IF('Start Here'!$B$5="Lean",'Monthly Lean'!AR61,IF('Start Here'!$B$5="Growth",'Monthly Growth'!AR61,'Monthly Base'!AR61))</f>
        <v>1</v>
      </c>
    </row>
    <row r="62" customFormat="false" ht="15" hidden="false" customHeight="false" outlineLevel="0" collapsed="false">
      <c r="A62" s="11" t="n">
        <f aca="false">IF('Start Here'!$B$5="Lean",'Monthly Lean'!A62,IF('Start Here'!$B$5="Growth",'Monthly Growth'!A62,'Monthly Base'!A62))</f>
        <v>57</v>
      </c>
      <c r="B62" s="25" t="n">
        <f aca="false">IF('Start Here'!$B$5="Lean",'Monthly Lean'!B62,IF('Start Here'!$B$5="Growth",'Monthly Growth'!B62,'Monthly Base'!B62))</f>
        <v>48030</v>
      </c>
      <c r="C62" s="11" t="n">
        <f aca="false">IF('Start Here'!$B$5="Lean",'Monthly Lean'!C62,IF('Start Here'!$B$5="Growth",'Monthly Growth'!C62,'Monthly Base'!C62))</f>
        <v>3.375</v>
      </c>
      <c r="D62" s="11" t="n">
        <f aca="false">IF('Start Here'!$B$5="Lean",'Monthly Lean'!D62,IF('Start Here'!$B$5="Growth",'Monthly Growth'!D62,'Monthly Base'!D62))</f>
        <v>74.4946443051951</v>
      </c>
      <c r="E62" s="11" t="n">
        <f aca="false">IF('Start Here'!$B$5="Lean",'Monthly Lean'!E62,IF('Start Here'!$B$5="Growth",'Monthly Growth'!E62,'Monthly Base'!E62))</f>
        <v>1117.41966457793</v>
      </c>
      <c r="F62" s="11" t="n">
        <f aca="false">IF('Start Here'!$B$5="Lean",'Monthly Lean'!F62,IF('Start Here'!$B$5="Growth",'Monthly Growth'!F62,'Monthly Base'!F62))</f>
        <v>5.02838849060067</v>
      </c>
      <c r="G62" s="11" t="n">
        <f aca="false">IF('Start Here'!$B$5="Lean",'Monthly Lean'!G62,IF('Start Here'!$B$5="Growth",'Monthly Growth'!G62,'Monthly Base'!G62))</f>
        <v>372.473221525976</v>
      </c>
      <c r="H62" s="11" t="n">
        <f aca="false">IF('Start Here'!$B$5="Lean",'Monthly Lean'!H62,IF('Start Here'!$B$5="Growth",'Monthly Growth'!H62,'Monthly Base'!H62))</f>
        <v>74.4946443051951</v>
      </c>
      <c r="I62" s="11" t="n">
        <f aca="false">IF('Start Here'!$B$5="Lean",'Monthly Lean'!I62,IF('Start Here'!$B$5="Growth",'Monthly Growth'!I62,'Monthly Base'!I62))</f>
        <v>12.5</v>
      </c>
      <c r="J62" s="11" t="n">
        <f aca="false">IF('Start Here'!$B$5="Lean",'Monthly Lean'!J62,IF('Start Here'!$B$5="Growth",'Monthly Growth'!J62,'Monthly Base'!J62))</f>
        <v>13</v>
      </c>
      <c r="K62" s="10" t="n">
        <f aca="false">IF('Start Here'!$B$5="Lean",'Monthly Lean'!K62,IF('Start Here'!$B$5="Growth",'Monthly Growth'!K62,'Monthly Base'!K62))</f>
        <v>199558.372693333</v>
      </c>
      <c r="L62" s="10" t="n">
        <f aca="false">IF('Start Here'!$B$5="Lean",'Monthly Lean'!L62,IF('Start Here'!$B$5="Growth",'Monthly Growth'!L62,'Monthly Base'!L62))</f>
        <v>0</v>
      </c>
      <c r="M62" s="10" t="n">
        <f aca="false">IF('Start Here'!$B$5="Lean",'Monthly Lean'!M62,IF('Start Here'!$B$5="Growth",'Monthly Growth'!M62,'Monthly Base'!M62))</f>
        <v>0</v>
      </c>
      <c r="N62" s="10" t="n">
        <f aca="false">IF('Start Here'!$B$5="Lean",'Monthly Lean'!N62,IF('Start Here'!$B$5="Growth",'Monthly Growth'!N62,'Monthly Base'!N62))</f>
        <v>2058.77605505226</v>
      </c>
      <c r="O62" s="10" t="n">
        <f aca="false">IF('Start Here'!$B$5="Lean",'Monthly Lean'!O62,IF('Start Here'!$B$5="Growth",'Monthly Growth'!O62,'Monthly Base'!O62))</f>
        <v>716.94911197</v>
      </c>
      <c r="P62" s="10" t="n">
        <f aca="false">IF('Start Here'!$B$5="Lean",'Monthly Lean'!P62,IF('Start Here'!$B$5="Growth",'Monthly Growth'!P62,'Monthly Base'!P62))</f>
        <v>0</v>
      </c>
      <c r="Q62" s="10" t="n">
        <f aca="false">IF('Start Here'!$B$5="Lean",'Monthly Lean'!Q62,IF('Start Here'!$B$5="Growth",'Monthly Growth'!Q62,'Monthly Base'!Q62))</f>
        <v>0</v>
      </c>
      <c r="R62" s="10" t="n">
        <f aca="false">IF('Start Here'!$B$5="Lean",'Monthly Lean'!R62,IF('Start Here'!$B$5="Growth",'Monthly Growth'!R62,'Monthly Base'!R62))</f>
        <v>0</v>
      </c>
      <c r="S62" s="10" t="n">
        <f aca="false">IF('Start Here'!$B$5="Lean",'Monthly Lean'!S62,IF('Start Here'!$B$5="Growth",'Monthly Growth'!S62,'Monthly Base'!S62))</f>
        <v>13506.10572</v>
      </c>
      <c r="T62" s="10" t="n">
        <f aca="false">IF('Start Here'!$B$5="Lean",'Monthly Lean'!T62,IF('Start Here'!$B$5="Growth",'Monthly Growth'!T62,'Monthly Base'!T62))</f>
        <v>675.305286</v>
      </c>
      <c r="U62" s="10" t="n">
        <f aca="false">IF('Start Here'!$B$5="Lean",'Monthly Lean'!U62,IF('Start Here'!$B$5="Growth",'Monthly Growth'!U62,'Monthly Base'!U62))</f>
        <v>112.550881</v>
      </c>
      <c r="V62" s="10" t="n">
        <f aca="false">IF('Start Here'!$B$5="Lean",'Monthly Lean'!V62,IF('Start Here'!$B$5="Growth",'Monthly Growth'!V62,'Monthly Base'!V62))</f>
        <v>6288.32838474851</v>
      </c>
      <c r="W62" s="10" t="n">
        <f aca="false">IF('Start Here'!$B$5="Lean",'Monthly Lean'!W62,IF('Start Here'!$B$5="Growth",'Monthly Growth'!W62,'Monthly Base'!W62))</f>
        <v>1139.577670125</v>
      </c>
      <c r="X62" s="10" t="n">
        <f aca="false">IF('Start Here'!$B$5="Lean",'Monthly Lean'!X62,IF('Start Here'!$B$5="Growth",'Monthly Growth'!X62,'Monthly Base'!X62))</f>
        <v>0</v>
      </c>
      <c r="Y62" s="10" t="n">
        <f aca="false">IF('Start Here'!$B$5="Lean",'Monthly Lean'!Y62,IF('Start Here'!$B$5="Growth",'Monthly Growth'!Y62,'Monthly Base'!Y62))</f>
        <v>0</v>
      </c>
      <c r="Z62" s="10" t="n">
        <f aca="false">IF('Start Here'!$B$5="Lean",'Monthly Lean'!Z62,IF('Start Here'!$B$5="Growth",'Monthly Growth'!Z62,'Monthly Base'!Z62))</f>
        <v>24497.5931088958</v>
      </c>
      <c r="AA62" s="10" t="n">
        <f aca="false">IF('Start Here'!$B$5="Lean",'Monthly Lean'!AA62,IF('Start Here'!$B$5="Growth",'Monthly Growth'!AA62,'Monthly Base'!AA62))</f>
        <v>33608.3948703344</v>
      </c>
      <c r="AB62" s="10" t="n">
        <f aca="false">IF('Start Here'!$B$5="Lean",'Monthly Lean'!AB62,IF('Start Here'!$B$5="Growth",'Monthly Growth'!AB62,'Monthly Base'!AB62))</f>
        <v>2011.35539624027</v>
      </c>
      <c r="AC62" s="10" t="n">
        <f aca="false">IF('Start Here'!$B$5="Lean",'Monthly Lean'!AC62,IF('Start Here'!$B$5="Growth",'Monthly Growth'!AC62,'Monthly Base'!AC62))</f>
        <v>259675.716068804</v>
      </c>
      <c r="AD62" s="10" t="n">
        <f aca="false">IF('Start Here'!$B$5="Lean",'Monthly Lean'!AD62,IF('Start Here'!$B$5="Growth",'Monthly Growth'!AD62,'Monthly Base'!AD62))</f>
        <v>67045.1798746756</v>
      </c>
      <c r="AE62" s="10" t="n">
        <f aca="false">IF('Start Here'!$B$5="Lean",'Monthly Lean'!AE62,IF('Start Here'!$B$5="Growth",'Monthly Growth'!AE62,'Monthly Base'!AE62))</f>
        <v>804542.158496107</v>
      </c>
      <c r="AF62" s="10" t="n">
        <f aca="false">IF('Start Here'!$B$5="Lean",'Monthly Lean'!AF62,IF('Start Here'!$B$5="Growth",'Monthly Growth'!AF62,'Monthly Base'!AF62))</f>
        <v>192630.536194128</v>
      </c>
      <c r="AG62" s="10" t="n">
        <f aca="false">IF('Start Here'!$B$5="Lean",'Monthly Lean'!AG62,IF('Start Here'!$B$5="Growth",'Monthly Growth'!AG62,'Monthly Base'!AG62))</f>
        <v>0</v>
      </c>
      <c r="AH62" s="10" t="n">
        <f aca="false">IF('Start Here'!$B$5="Lean",'Monthly Lean'!AH62,IF('Start Here'!$B$5="Growth",'Monthly Growth'!AH62,'Monthly Base'!AH62))</f>
        <v>-4711095.56481936</v>
      </c>
      <c r="AI62" s="10" t="n">
        <f aca="false">IF('Start Here'!$B$5="Lean",'Monthly Lean'!AI62,IF('Start Here'!$B$5="Growth",'Monthly Growth'!AI62,'Monthly Base'!AI62))</f>
        <v>-4903726.10101349</v>
      </c>
      <c r="AJ62" s="10" t="n">
        <f aca="false">IF('Start Here'!$B$5="Lean",'Monthly Lean'!AJ62,IF('Start Here'!$B$5="Growth",'Monthly Growth'!AJ62,'Monthly Base'!AJ62))</f>
        <v>10130003.2934206</v>
      </c>
      <c r="AK62" s="10" t="n">
        <f aca="false">IF('Start Here'!$B$5="Lean",'Monthly Lean'!AK62,IF('Start Here'!$B$5="Growth",'Monthly Growth'!AK62,'Monthly Base'!AK62))</f>
        <v>4903726.10101349</v>
      </c>
      <c r="AL62" s="10" t="n">
        <f aca="false">IF('Start Here'!$B$5="Lean",'Monthly Lean'!AL62,IF('Start Here'!$B$5="Growth",'Monthly Growth'!AL62,'Monthly Base'!AL62))</f>
        <v>-6130003.2934206</v>
      </c>
      <c r="AM62" s="10" t="n">
        <f aca="false">IF('Start Here'!$B$5="Lean",'Monthly Lean'!AM62,IF('Start Here'!$B$5="Growth",'Monthly Growth'!AM62,'Monthly Base'!AM62))</f>
        <v>15588.2970185</v>
      </c>
      <c r="AN62" s="10" t="n">
        <f aca="false">IF('Start Here'!$B$5="Lean",'Monthly Lean'!AN62,IF('Start Here'!$B$5="Growth",'Monthly Growth'!AN62,'Monthly Base'!AN62))</f>
        <v>0</v>
      </c>
      <c r="AO62" s="10" t="n">
        <f aca="false">IF('Start Here'!$B$5="Lean",'Monthly Lean'!AO62,IF('Start Here'!$B$5="Growth",'Monthly Growth'!AO62,'Monthly Base'!AO62))</f>
        <v>17547.8784</v>
      </c>
      <c r="AP62" s="10" t="n">
        <f aca="false">IF('Start Here'!$B$5="Lean",'Monthly Lean'!AP62,IF('Start Here'!$B$5="Growth",'Monthly Growth'!AP62,'Monthly Base'!AP62))</f>
        <v>8903726.10101349</v>
      </c>
      <c r="AQ62" s="10" t="n">
        <f aca="false">IF('Start Here'!$B$5="Lean",'Monthly Lean'!AQ62,IF('Start Here'!$B$5="Growth",'Monthly Growth'!AQ62,'Monthly Base'!AQ62))</f>
        <v>259675.716068804</v>
      </c>
      <c r="AR62" s="10" t="n">
        <f aca="false">IF('Start Here'!$B$5="Lean",'Monthly Lean'!AR62,IF('Start Here'!$B$5="Growth",'Monthly Growth'!AR62,'Monthly Base'!AR62))</f>
        <v>1</v>
      </c>
    </row>
    <row r="63" customFormat="false" ht="15" hidden="false" customHeight="false" outlineLevel="0" collapsed="false">
      <c r="A63" s="11" t="n">
        <f aca="false">IF('Start Here'!$B$5="Lean",'Monthly Lean'!A63,IF('Start Here'!$B$5="Growth",'Monthly Growth'!A63,'Monthly Base'!A63))</f>
        <v>58</v>
      </c>
      <c r="B63" s="25" t="n">
        <f aca="false">IF('Start Here'!$B$5="Lean",'Monthly Lean'!B63,IF('Start Here'!$B$5="Growth",'Monthly Growth'!B63,'Monthly Base'!B63))</f>
        <v>48061</v>
      </c>
      <c r="C63" s="11" t="n">
        <f aca="false">IF('Start Here'!$B$5="Lean",'Monthly Lean'!C63,IF('Start Here'!$B$5="Growth",'Monthly Growth'!C63,'Monthly Base'!C63))</f>
        <v>3.375</v>
      </c>
      <c r="D63" s="11" t="n">
        <f aca="false">IF('Start Here'!$B$5="Lean",'Monthly Lean'!D63,IF('Start Here'!$B$5="Growth",'Monthly Growth'!D63,'Monthly Base'!D63))</f>
        <v>77.1246978621432</v>
      </c>
      <c r="E63" s="11" t="n">
        <f aca="false">IF('Start Here'!$B$5="Lean",'Monthly Lean'!E63,IF('Start Here'!$B$5="Growth",'Monthly Growth'!E63,'Monthly Base'!E63))</f>
        <v>1156.87046793215</v>
      </c>
      <c r="F63" s="11" t="n">
        <f aca="false">IF('Start Here'!$B$5="Lean",'Monthly Lean'!F63,IF('Start Here'!$B$5="Growth",'Monthly Growth'!F63,'Monthly Base'!F63))</f>
        <v>5.20591710569466</v>
      </c>
      <c r="G63" s="11" t="n">
        <f aca="false">IF('Start Here'!$B$5="Lean",'Monthly Lean'!G63,IF('Start Here'!$B$5="Growth",'Monthly Growth'!G63,'Monthly Base'!G63))</f>
        <v>385.623489310716</v>
      </c>
      <c r="H63" s="11" t="n">
        <f aca="false">IF('Start Here'!$B$5="Lean",'Monthly Lean'!H63,IF('Start Here'!$B$5="Growth",'Monthly Growth'!H63,'Monthly Base'!H63))</f>
        <v>77.1246978621432</v>
      </c>
      <c r="I63" s="11" t="n">
        <f aca="false">IF('Start Here'!$B$5="Lean",'Monthly Lean'!I63,IF('Start Here'!$B$5="Growth",'Monthly Growth'!I63,'Monthly Base'!I63))</f>
        <v>12.5</v>
      </c>
      <c r="J63" s="11" t="n">
        <f aca="false">IF('Start Here'!$B$5="Lean",'Monthly Lean'!J63,IF('Start Here'!$B$5="Growth",'Monthly Growth'!J63,'Monthly Base'!J63))</f>
        <v>13</v>
      </c>
      <c r="K63" s="10" t="n">
        <f aca="false">IF('Start Here'!$B$5="Lean",'Monthly Lean'!K63,IF('Start Here'!$B$5="Growth",'Monthly Growth'!K63,'Monthly Base'!K63))</f>
        <v>199558.372693333</v>
      </c>
      <c r="L63" s="10" t="n">
        <f aca="false">IF('Start Here'!$B$5="Lean",'Monthly Lean'!L63,IF('Start Here'!$B$5="Growth",'Monthly Growth'!L63,'Monthly Base'!L63))</f>
        <v>0</v>
      </c>
      <c r="M63" s="10" t="n">
        <f aca="false">IF('Start Here'!$B$5="Lean",'Monthly Lean'!M63,IF('Start Here'!$B$5="Growth",'Monthly Growth'!M63,'Monthly Base'!M63))</f>
        <v>0</v>
      </c>
      <c r="N63" s="10" t="n">
        <f aca="false">IF('Start Here'!$B$5="Lean",'Monthly Lean'!N63,IF('Start Here'!$B$5="Growth",'Monthly Growth'!N63,'Monthly Base'!N63))</f>
        <v>2081.79120924415</v>
      </c>
      <c r="O63" s="10" t="n">
        <f aca="false">IF('Start Here'!$B$5="Lean",'Monthly Lean'!O63,IF('Start Here'!$B$5="Growth",'Monthly Growth'!O63,'Monthly Base'!O63))</f>
        <v>716.94911197</v>
      </c>
      <c r="P63" s="10" t="n">
        <f aca="false">IF('Start Here'!$B$5="Lean",'Monthly Lean'!P63,IF('Start Here'!$B$5="Growth",'Monthly Growth'!P63,'Monthly Base'!P63))</f>
        <v>0</v>
      </c>
      <c r="Q63" s="10" t="n">
        <f aca="false">IF('Start Here'!$B$5="Lean",'Monthly Lean'!Q63,IF('Start Here'!$B$5="Growth",'Monthly Growth'!Q63,'Monthly Base'!Q63))</f>
        <v>20259.15858</v>
      </c>
      <c r="R63" s="10" t="n">
        <f aca="false">IF('Start Here'!$B$5="Lean",'Monthly Lean'!R63,IF('Start Here'!$B$5="Growth",'Monthly Growth'!R63,'Monthly Base'!R63))</f>
        <v>0</v>
      </c>
      <c r="S63" s="10" t="n">
        <f aca="false">IF('Start Here'!$B$5="Lean",'Monthly Lean'!S63,IF('Start Here'!$B$5="Growth",'Monthly Growth'!S63,'Monthly Base'!S63))</f>
        <v>0</v>
      </c>
      <c r="T63" s="10" t="n">
        <f aca="false">IF('Start Here'!$B$5="Lean",'Monthly Lean'!T63,IF('Start Here'!$B$5="Growth",'Monthly Growth'!T63,'Monthly Base'!T63))</f>
        <v>675.305286</v>
      </c>
      <c r="U63" s="10" t="n">
        <f aca="false">IF('Start Here'!$B$5="Lean",'Monthly Lean'!U63,IF('Start Here'!$B$5="Growth",'Monthly Growth'!U63,'Monthly Base'!U63))</f>
        <v>112.550881</v>
      </c>
      <c r="V63" s="10" t="n">
        <f aca="false">IF('Start Here'!$B$5="Lean",'Monthly Lean'!V63,IF('Start Here'!$B$5="Growth",'Monthly Growth'!V63,'Monthly Base'!V63))</f>
        <v>6510.33951843227</v>
      </c>
      <c r="W63" s="10" t="n">
        <f aca="false">IF('Start Here'!$B$5="Lean",'Monthly Lean'!W63,IF('Start Here'!$B$5="Growth",'Monthly Growth'!W63,'Monthly Base'!W63))</f>
        <v>1139.577670125</v>
      </c>
      <c r="X63" s="10" t="n">
        <f aca="false">IF('Start Here'!$B$5="Lean",'Monthly Lean'!X63,IF('Start Here'!$B$5="Growth",'Monthly Growth'!X63,'Monthly Base'!X63))</f>
        <v>0</v>
      </c>
      <c r="Y63" s="10" t="n">
        <f aca="false">IF('Start Here'!$B$5="Lean",'Monthly Lean'!Y63,IF('Start Here'!$B$5="Growth",'Monthly Growth'!Y63,'Monthly Base'!Y63))</f>
        <v>0</v>
      </c>
      <c r="Z63" s="10" t="n">
        <f aca="false">IF('Start Here'!$B$5="Lean",'Monthly Lean'!Z63,IF('Start Here'!$B$5="Growth",'Monthly Growth'!Z63,'Monthly Base'!Z63))</f>
        <v>31495.6722567714</v>
      </c>
      <c r="AA63" s="10" t="n">
        <f aca="false">IF('Start Here'!$B$5="Lean",'Monthly Lean'!AA63,IF('Start Here'!$B$5="Growth",'Monthly Growth'!AA63,'Monthly Base'!AA63))</f>
        <v>34658.1067425157</v>
      </c>
      <c r="AB63" s="10" t="n">
        <f aca="false">IF('Start Here'!$B$5="Lean",'Monthly Lean'!AB63,IF('Start Here'!$B$5="Growth",'Monthly Growth'!AB63,'Monthly Base'!AB63))</f>
        <v>2082.36684227787</v>
      </c>
      <c r="AC63" s="10" t="n">
        <f aca="false">IF('Start Here'!$B$5="Lean",'Monthly Lean'!AC63,IF('Start Here'!$B$5="Growth",'Monthly Growth'!AC63,'Monthly Base'!AC63))</f>
        <v>267794.518534898</v>
      </c>
      <c r="AD63" s="10" t="n">
        <f aca="false">IF('Start Here'!$B$5="Lean",'Monthly Lean'!AD63,IF('Start Here'!$B$5="Growth",'Monthly Growth'!AD63,'Monthly Base'!AD63))</f>
        <v>69412.2280759288</v>
      </c>
      <c r="AE63" s="10" t="n">
        <f aca="false">IF('Start Here'!$B$5="Lean",'Monthly Lean'!AE63,IF('Start Here'!$B$5="Growth",'Monthly Growth'!AE63,'Monthly Base'!AE63))</f>
        <v>832946.736911146</v>
      </c>
      <c r="AF63" s="10" t="n">
        <f aca="false">IF('Start Here'!$B$5="Lean",'Monthly Lean'!AF63,IF('Start Here'!$B$5="Growth",'Monthly Growth'!AF63,'Monthly Base'!AF63))</f>
        <v>198382.29045897</v>
      </c>
      <c r="AG63" s="10" t="n">
        <f aca="false">IF('Start Here'!$B$5="Lean",'Monthly Lean'!AG63,IF('Start Here'!$B$5="Growth",'Monthly Growth'!AG63,'Monthly Base'!AG63))</f>
        <v>0</v>
      </c>
      <c r="AH63" s="10" t="n">
        <f aca="false">IF('Start Here'!$B$5="Lean",'Monthly Lean'!AH63,IF('Start Here'!$B$5="Growth",'Monthly Growth'!AH63,'Monthly Base'!AH63))</f>
        <v>-4903726.10101349</v>
      </c>
      <c r="AI63" s="10" t="n">
        <f aca="false">IF('Start Here'!$B$5="Lean",'Monthly Lean'!AI63,IF('Start Here'!$B$5="Growth",'Monthly Growth'!AI63,'Monthly Base'!AI63))</f>
        <v>-5102108.39147246</v>
      </c>
      <c r="AJ63" s="10" t="n">
        <f aca="false">IF('Start Here'!$B$5="Lean",'Monthly Lean'!AJ63,IF('Start Here'!$B$5="Growth",'Monthly Growth'!AJ63,'Monthly Base'!AJ63))</f>
        <v>10397797.8119555</v>
      </c>
      <c r="AK63" s="10" t="n">
        <f aca="false">IF('Start Here'!$B$5="Lean",'Monthly Lean'!AK63,IF('Start Here'!$B$5="Growth",'Monthly Growth'!AK63,'Monthly Base'!AK63))</f>
        <v>5102108.39147246</v>
      </c>
      <c r="AL63" s="10" t="n">
        <f aca="false">IF('Start Here'!$B$5="Lean",'Monthly Lean'!AL63,IF('Start Here'!$B$5="Growth",'Monthly Growth'!AL63,'Monthly Base'!AL63))</f>
        <v>-6397797.8119555</v>
      </c>
      <c r="AM63" s="10" t="n">
        <f aca="false">IF('Start Here'!$B$5="Lean",'Monthly Lean'!AM63,IF('Start Here'!$B$5="Growth",'Monthly Growth'!AM63,'Monthly Base'!AM63))</f>
        <v>22341.3498785</v>
      </c>
      <c r="AN63" s="10" t="n">
        <f aca="false">IF('Start Here'!$B$5="Lean",'Monthly Lean'!AN63,IF('Start Here'!$B$5="Growth",'Monthly Growth'!AN63,'Monthly Base'!AN63))</f>
        <v>0</v>
      </c>
      <c r="AO63" s="10" t="n">
        <f aca="false">IF('Start Here'!$B$5="Lean",'Monthly Lean'!AO63,IF('Start Here'!$B$5="Growth",'Monthly Growth'!AO63,'Monthly Base'!AO63))</f>
        <v>17547.8784</v>
      </c>
      <c r="AP63" s="10" t="n">
        <f aca="false">IF('Start Here'!$B$5="Lean",'Monthly Lean'!AP63,IF('Start Here'!$B$5="Growth",'Monthly Growth'!AP63,'Monthly Base'!AP63))</f>
        <v>9102108.39147246</v>
      </c>
      <c r="AQ63" s="10" t="n">
        <f aca="false">IF('Start Here'!$B$5="Lean",'Monthly Lean'!AQ63,IF('Start Here'!$B$5="Growth",'Monthly Growth'!AQ63,'Monthly Base'!AQ63))</f>
        <v>267794.518534898</v>
      </c>
      <c r="AR63" s="10" t="n">
        <f aca="false">IF('Start Here'!$B$5="Lean",'Monthly Lean'!AR63,IF('Start Here'!$B$5="Growth",'Monthly Growth'!AR63,'Monthly Base'!AR63))</f>
        <v>1</v>
      </c>
    </row>
    <row r="64" customFormat="false" ht="15" hidden="false" customHeight="false" outlineLevel="0" collapsed="false">
      <c r="A64" s="11" t="n">
        <f aca="false">IF('Start Here'!$B$5="Lean",'Monthly Lean'!A64,IF('Start Here'!$B$5="Growth",'Monthly Growth'!A64,'Monthly Base'!A64))</f>
        <v>59</v>
      </c>
      <c r="B64" s="25" t="n">
        <f aca="false">IF('Start Here'!$B$5="Lean",'Monthly Lean'!B64,IF('Start Here'!$B$5="Growth",'Monthly Growth'!B64,'Monthly Base'!B64))</f>
        <v>48092</v>
      </c>
      <c r="C64" s="11" t="n">
        <f aca="false">IF('Start Here'!$B$5="Lean",'Monthly Lean'!C64,IF('Start Here'!$B$5="Growth",'Monthly Growth'!C64,'Monthly Base'!C64))</f>
        <v>3.375</v>
      </c>
      <c r="D64" s="11" t="n">
        <f aca="false">IF('Start Here'!$B$5="Lean",'Monthly Lean'!D64,IF('Start Here'!$B$5="Growth",'Monthly Growth'!D64,'Monthly Base'!D64))</f>
        <v>79.7284508835217</v>
      </c>
      <c r="E64" s="11" t="n">
        <f aca="false">IF('Start Here'!$B$5="Lean",'Monthly Lean'!E64,IF('Start Here'!$B$5="Growth",'Monthly Growth'!E64,'Monthly Base'!E64))</f>
        <v>1195.92676325283</v>
      </c>
      <c r="F64" s="11" t="n">
        <f aca="false">IF('Start Here'!$B$5="Lean",'Monthly Lean'!F64,IF('Start Here'!$B$5="Growth",'Monthly Growth'!F64,'Monthly Base'!F64))</f>
        <v>5.38167043463772</v>
      </c>
      <c r="G64" s="11" t="n">
        <f aca="false">IF('Start Here'!$B$5="Lean",'Monthly Lean'!G64,IF('Start Here'!$B$5="Growth",'Monthly Growth'!G64,'Monthly Base'!G64))</f>
        <v>398.642254417609</v>
      </c>
      <c r="H64" s="11" t="n">
        <f aca="false">IF('Start Here'!$B$5="Lean",'Monthly Lean'!H64,IF('Start Here'!$B$5="Growth",'Monthly Growth'!H64,'Monthly Base'!H64))</f>
        <v>79.7284508835217</v>
      </c>
      <c r="I64" s="11" t="n">
        <f aca="false">IF('Start Here'!$B$5="Lean",'Monthly Lean'!I64,IF('Start Here'!$B$5="Growth",'Monthly Growth'!I64,'Monthly Base'!I64))</f>
        <v>12.5</v>
      </c>
      <c r="J64" s="11" t="n">
        <f aca="false">IF('Start Here'!$B$5="Lean",'Monthly Lean'!J64,IF('Start Here'!$B$5="Growth",'Monthly Growth'!J64,'Monthly Base'!J64))</f>
        <v>13</v>
      </c>
      <c r="K64" s="10" t="n">
        <f aca="false">IF('Start Here'!$B$5="Lean",'Monthly Lean'!K64,IF('Start Here'!$B$5="Growth",'Monthly Growth'!K64,'Monthly Base'!K64))</f>
        <v>199558.372693333</v>
      </c>
      <c r="L64" s="10" t="n">
        <f aca="false">IF('Start Here'!$B$5="Lean",'Monthly Lean'!L64,IF('Start Here'!$B$5="Growth",'Monthly Growth'!L64,'Monthly Base'!L64))</f>
        <v>0</v>
      </c>
      <c r="M64" s="10" t="n">
        <f aca="false">IF('Start Here'!$B$5="Lean",'Monthly Lean'!M64,IF('Start Here'!$B$5="Growth",'Monthly Growth'!M64,'Monthly Base'!M64))</f>
        <v>0</v>
      </c>
      <c r="N64" s="10" t="n">
        <f aca="false">IF('Start Here'!$B$5="Lean",'Monthly Lean'!N64,IF('Start Here'!$B$5="Growth",'Monthly Growth'!N64,'Monthly Base'!N64))</f>
        <v>2104.57621189411</v>
      </c>
      <c r="O64" s="10" t="n">
        <f aca="false">IF('Start Here'!$B$5="Lean",'Monthly Lean'!O64,IF('Start Here'!$B$5="Growth",'Monthly Growth'!O64,'Monthly Base'!O64))</f>
        <v>716.94911197</v>
      </c>
      <c r="P64" s="10" t="n">
        <f aca="false">IF('Start Here'!$B$5="Lean",'Monthly Lean'!P64,IF('Start Here'!$B$5="Growth",'Monthly Growth'!P64,'Monthly Base'!P64))</f>
        <v>0</v>
      </c>
      <c r="Q64" s="10" t="n">
        <f aca="false">IF('Start Here'!$B$5="Lean",'Monthly Lean'!Q64,IF('Start Here'!$B$5="Growth",'Monthly Growth'!Q64,'Monthly Base'!Q64))</f>
        <v>0</v>
      </c>
      <c r="R64" s="10" t="n">
        <f aca="false">IF('Start Here'!$B$5="Lean",'Monthly Lean'!R64,IF('Start Here'!$B$5="Growth",'Monthly Growth'!R64,'Monthly Base'!R64))</f>
        <v>16882.63215</v>
      </c>
      <c r="S64" s="10" t="n">
        <f aca="false">IF('Start Here'!$B$5="Lean",'Monthly Lean'!S64,IF('Start Here'!$B$5="Growth",'Monthly Growth'!S64,'Monthly Base'!S64))</f>
        <v>0</v>
      </c>
      <c r="T64" s="10" t="n">
        <f aca="false">IF('Start Here'!$B$5="Lean",'Monthly Lean'!T64,IF('Start Here'!$B$5="Growth",'Monthly Growth'!T64,'Monthly Base'!T64))</f>
        <v>675.305286</v>
      </c>
      <c r="U64" s="10" t="n">
        <f aca="false">IF('Start Here'!$B$5="Lean",'Monthly Lean'!U64,IF('Start Here'!$B$5="Growth",'Monthly Growth'!U64,'Monthly Base'!U64))</f>
        <v>112.550881</v>
      </c>
      <c r="V64" s="10" t="n">
        <f aca="false">IF('Start Here'!$B$5="Lean",'Monthly Lean'!V64,IF('Start Here'!$B$5="Growth",'Monthly Growth'!V64,'Monthly Base'!V64))</f>
        <v>6730.1305407792</v>
      </c>
      <c r="W64" s="10" t="n">
        <f aca="false">IF('Start Here'!$B$5="Lean",'Monthly Lean'!W64,IF('Start Here'!$B$5="Growth",'Monthly Growth'!W64,'Monthly Base'!W64))</f>
        <v>1139.577670125</v>
      </c>
      <c r="X64" s="10" t="n">
        <f aca="false">IF('Start Here'!$B$5="Lean",'Monthly Lean'!X64,IF('Start Here'!$B$5="Growth",'Monthly Growth'!X64,'Monthly Base'!X64))</f>
        <v>0</v>
      </c>
      <c r="Y64" s="10" t="n">
        <f aca="false">IF('Start Here'!$B$5="Lean",'Monthly Lean'!Y64,IF('Start Here'!$B$5="Growth",'Monthly Growth'!Y64,'Monthly Base'!Y64))</f>
        <v>0</v>
      </c>
      <c r="Z64" s="10" t="n">
        <f aca="false">IF('Start Here'!$B$5="Lean",'Monthly Lean'!Z64,IF('Start Here'!$B$5="Growth",'Monthly Growth'!Z64,'Monthly Base'!Z64))</f>
        <v>28361.7218517683</v>
      </c>
      <c r="AA64" s="10" t="n">
        <f aca="false">IF('Start Here'!$B$5="Lean",'Monthly Lean'!AA64,IF('Start Here'!$B$5="Growth",'Monthly Growth'!AA64,'Monthly Base'!AA64))</f>
        <v>34188.0141817653</v>
      </c>
      <c r="AB64" s="10" t="n">
        <f aca="false">IF('Start Here'!$B$5="Lean",'Monthly Lean'!AB64,IF('Start Here'!$B$5="Growth",'Monthly Growth'!AB64,'Monthly Base'!AB64))</f>
        <v>2152.66817385509</v>
      </c>
      <c r="AC64" s="10" t="n">
        <f aca="false">IF('Start Here'!$B$5="Lean",'Monthly Lean'!AC64,IF('Start Here'!$B$5="Growth",'Monthly Growth'!AC64,'Monthly Base'!AC64))</f>
        <v>264260.776900722</v>
      </c>
      <c r="AD64" s="10" t="n">
        <f aca="false">IF('Start Here'!$B$5="Lean",'Monthly Lean'!AD64,IF('Start Here'!$B$5="Growth",'Monthly Growth'!AD64,'Monthly Base'!AD64))</f>
        <v>71755.6057951695</v>
      </c>
      <c r="AE64" s="10" t="n">
        <f aca="false">IF('Start Here'!$B$5="Lean",'Monthly Lean'!AE64,IF('Start Here'!$B$5="Growth",'Monthly Growth'!AE64,'Monthly Base'!AE64))</f>
        <v>861067.269542035</v>
      </c>
      <c r="AF64" s="10" t="n">
        <f aca="false">IF('Start Here'!$B$5="Lean",'Monthly Lean'!AF64,IF('Start Here'!$B$5="Growth",'Monthly Growth'!AF64,'Monthly Base'!AF64))</f>
        <v>192505.171105553</v>
      </c>
      <c r="AG64" s="10" t="n">
        <f aca="false">IF('Start Here'!$B$5="Lean",'Monthly Lean'!AG64,IF('Start Here'!$B$5="Growth",'Monthly Growth'!AG64,'Monthly Base'!AG64))</f>
        <v>0</v>
      </c>
      <c r="AH64" s="10" t="n">
        <f aca="false">IF('Start Here'!$B$5="Lean",'Monthly Lean'!AH64,IF('Start Here'!$B$5="Growth",'Monthly Growth'!AH64,'Monthly Base'!AH64))</f>
        <v>-5102108.39147246</v>
      </c>
      <c r="AI64" s="10" t="n">
        <f aca="false">IF('Start Here'!$B$5="Lean",'Monthly Lean'!AI64,IF('Start Here'!$B$5="Growth",'Monthly Growth'!AI64,'Monthly Base'!AI64))</f>
        <v>-5294613.56257801</v>
      </c>
      <c r="AJ64" s="10" t="n">
        <f aca="false">IF('Start Here'!$B$5="Lean",'Monthly Lean'!AJ64,IF('Start Here'!$B$5="Growth",'Monthly Growth'!AJ64,'Monthly Base'!AJ64))</f>
        <v>10662058.5888562</v>
      </c>
      <c r="AK64" s="10" t="n">
        <f aca="false">IF('Start Here'!$B$5="Lean",'Monthly Lean'!AK64,IF('Start Here'!$B$5="Growth",'Monthly Growth'!AK64,'Monthly Base'!AK64))</f>
        <v>5294613.56257801</v>
      </c>
      <c r="AL64" s="10" t="n">
        <f aca="false">IF('Start Here'!$B$5="Lean",'Monthly Lean'!AL64,IF('Start Here'!$B$5="Growth",'Monthly Growth'!AL64,'Monthly Base'!AL64))</f>
        <v>-6662058.58885622</v>
      </c>
      <c r="AM64" s="10" t="n">
        <f aca="false">IF('Start Here'!$B$5="Lean",'Monthly Lean'!AM64,IF('Start Here'!$B$5="Growth",'Monthly Growth'!AM64,'Monthly Base'!AM64))</f>
        <v>18964.8234485</v>
      </c>
      <c r="AN64" s="10" t="n">
        <f aca="false">IF('Start Here'!$B$5="Lean",'Monthly Lean'!AN64,IF('Start Here'!$B$5="Growth",'Monthly Growth'!AN64,'Monthly Base'!AN64))</f>
        <v>0</v>
      </c>
      <c r="AO64" s="10" t="n">
        <f aca="false">IF('Start Here'!$B$5="Lean",'Monthly Lean'!AO64,IF('Start Here'!$B$5="Growth",'Monthly Growth'!AO64,'Monthly Base'!AO64))</f>
        <v>17547.8784</v>
      </c>
      <c r="AP64" s="10" t="n">
        <f aca="false">IF('Start Here'!$B$5="Lean",'Monthly Lean'!AP64,IF('Start Here'!$B$5="Growth",'Monthly Growth'!AP64,'Monthly Base'!AP64))</f>
        <v>9294613.56257801</v>
      </c>
      <c r="AQ64" s="10" t="n">
        <f aca="false">IF('Start Here'!$B$5="Lean",'Monthly Lean'!AQ64,IF('Start Here'!$B$5="Growth",'Monthly Growth'!AQ64,'Monthly Base'!AQ64))</f>
        <v>264260.776900722</v>
      </c>
      <c r="AR64" s="10" t="n">
        <f aca="false">IF('Start Here'!$B$5="Lean",'Monthly Lean'!AR64,IF('Start Here'!$B$5="Growth",'Monthly Growth'!AR64,'Monthly Base'!AR64))</f>
        <v>1</v>
      </c>
    </row>
    <row r="65" customFormat="false" ht="15" hidden="false" customHeight="false" outlineLevel="0" collapsed="false">
      <c r="A65" s="11" t="n">
        <f aca="false">IF('Start Here'!$B$5="Lean",'Monthly Lean'!A65,IF('Start Here'!$B$5="Growth",'Monthly Growth'!A65,'Monthly Base'!A65))</f>
        <v>60</v>
      </c>
      <c r="B65" s="25" t="n">
        <f aca="false">IF('Start Here'!$B$5="Lean",'Monthly Lean'!B65,IF('Start Here'!$B$5="Growth",'Monthly Growth'!B65,'Monthly Base'!B65))</f>
        <v>48122</v>
      </c>
      <c r="C65" s="11" t="n">
        <f aca="false">IF('Start Here'!$B$5="Lean",'Monthly Lean'!C65,IF('Start Here'!$B$5="Growth",'Monthly Growth'!C65,'Monthly Base'!C65))</f>
        <v>3.375</v>
      </c>
      <c r="D65" s="11" t="n">
        <f aca="false">IF('Start Here'!$B$5="Lean",'Monthly Lean'!D65,IF('Start Here'!$B$5="Growth",'Monthly Growth'!D65,'Monthly Base'!D65))</f>
        <v>82.3061663746865</v>
      </c>
      <c r="E65" s="11" t="n">
        <f aca="false">IF('Start Here'!$B$5="Lean",'Monthly Lean'!E65,IF('Start Here'!$B$5="Growth",'Monthly Growth'!E65,'Monthly Base'!E65))</f>
        <v>1234.5924956203</v>
      </c>
      <c r="F65" s="11" t="n">
        <f aca="false">IF('Start Here'!$B$5="Lean",'Monthly Lean'!F65,IF('Start Here'!$B$5="Growth",'Monthly Growth'!F65,'Monthly Base'!F65))</f>
        <v>5.55566623029134</v>
      </c>
      <c r="G65" s="11" t="n">
        <f aca="false">IF('Start Here'!$B$5="Lean",'Monthly Lean'!G65,IF('Start Here'!$B$5="Growth",'Monthly Growth'!G65,'Monthly Base'!G65))</f>
        <v>411.530831873433</v>
      </c>
      <c r="H65" s="11" t="n">
        <f aca="false">IF('Start Here'!$B$5="Lean",'Monthly Lean'!H65,IF('Start Here'!$B$5="Growth",'Monthly Growth'!H65,'Monthly Base'!H65))</f>
        <v>82.3061663746865</v>
      </c>
      <c r="I65" s="11" t="n">
        <f aca="false">IF('Start Here'!$B$5="Lean",'Monthly Lean'!I65,IF('Start Here'!$B$5="Growth",'Monthly Growth'!I65,'Monthly Base'!I65))</f>
        <v>12.5</v>
      </c>
      <c r="J65" s="11" t="n">
        <f aca="false">IF('Start Here'!$B$5="Lean",'Monthly Lean'!J65,IF('Start Here'!$B$5="Growth",'Monthly Growth'!J65,'Monthly Base'!J65))</f>
        <v>13</v>
      </c>
      <c r="K65" s="10" t="n">
        <f aca="false">IF('Start Here'!$B$5="Lean",'Monthly Lean'!K65,IF('Start Here'!$B$5="Growth",'Monthly Growth'!K65,'Monthly Base'!K65))</f>
        <v>199558.372693333</v>
      </c>
      <c r="L65" s="10" t="n">
        <f aca="false">IF('Start Here'!$B$5="Lean",'Monthly Lean'!L65,IF('Start Here'!$B$5="Growth",'Monthly Growth'!L65,'Monthly Base'!L65))</f>
        <v>0</v>
      </c>
      <c r="M65" s="10" t="n">
        <f aca="false">IF('Start Here'!$B$5="Lean",'Monthly Lean'!M65,IF('Start Here'!$B$5="Growth",'Monthly Growth'!M65,'Monthly Base'!M65))</f>
        <v>0</v>
      </c>
      <c r="N65" s="10" t="n">
        <f aca="false">IF('Start Here'!$B$5="Lean",'Monthly Lean'!N65,IF('Start Here'!$B$5="Growth",'Monthly Growth'!N65,'Monthly Base'!N65))</f>
        <v>2127.13336451758</v>
      </c>
      <c r="O65" s="10" t="n">
        <f aca="false">IF('Start Here'!$B$5="Lean",'Monthly Lean'!O65,IF('Start Here'!$B$5="Growth",'Monthly Growth'!O65,'Monthly Base'!O65))</f>
        <v>716.94911197</v>
      </c>
      <c r="P65" s="10" t="n">
        <f aca="false">IF('Start Here'!$B$5="Lean",'Monthly Lean'!P65,IF('Start Here'!$B$5="Growth",'Monthly Growth'!P65,'Monthly Base'!P65))</f>
        <v>0</v>
      </c>
      <c r="Q65" s="10" t="n">
        <f aca="false">IF('Start Here'!$B$5="Lean",'Monthly Lean'!Q65,IF('Start Here'!$B$5="Growth",'Monthly Growth'!Q65,'Monthly Base'!Q65))</f>
        <v>0</v>
      </c>
      <c r="R65" s="10" t="n">
        <f aca="false">IF('Start Here'!$B$5="Lean",'Monthly Lean'!R65,IF('Start Here'!$B$5="Growth",'Monthly Growth'!R65,'Monthly Base'!R65))</f>
        <v>0</v>
      </c>
      <c r="S65" s="10" t="n">
        <f aca="false">IF('Start Here'!$B$5="Lean",'Monthly Lean'!S65,IF('Start Here'!$B$5="Growth",'Monthly Growth'!S65,'Monthly Base'!S65))</f>
        <v>0</v>
      </c>
      <c r="T65" s="10" t="n">
        <f aca="false">IF('Start Here'!$B$5="Lean",'Monthly Lean'!T65,IF('Start Here'!$B$5="Growth",'Monthly Growth'!T65,'Monthly Base'!T65))</f>
        <v>675.305286</v>
      </c>
      <c r="U65" s="10" t="n">
        <f aca="false">IF('Start Here'!$B$5="Lean",'Monthly Lean'!U65,IF('Start Here'!$B$5="Growth",'Monthly Growth'!U65,'Monthly Base'!U65))</f>
        <v>112.550881</v>
      </c>
      <c r="V65" s="10" t="n">
        <f aca="false">IF('Start Here'!$B$5="Lean",'Monthly Lean'!V65,IF('Start Here'!$B$5="Growth",'Monthly Growth'!V65,'Monthly Base'!V65))</f>
        <v>6947.72365290266</v>
      </c>
      <c r="W65" s="10" t="n">
        <f aca="false">IF('Start Here'!$B$5="Lean",'Monthly Lean'!W65,IF('Start Here'!$B$5="Growth",'Monthly Growth'!W65,'Monthly Base'!W65))</f>
        <v>1139.577670125</v>
      </c>
      <c r="X65" s="10" t="n">
        <f aca="false">IF('Start Here'!$B$5="Lean",'Monthly Lean'!X65,IF('Start Here'!$B$5="Growth",'Monthly Growth'!X65,'Monthly Base'!X65))</f>
        <v>0</v>
      </c>
      <c r="Y65" s="10" t="n">
        <f aca="false">IF('Start Here'!$B$5="Lean",'Monthly Lean'!Y65,IF('Start Here'!$B$5="Growth",'Monthly Growth'!Y65,'Monthly Base'!Y65))</f>
        <v>0</v>
      </c>
      <c r="Z65" s="10" t="n">
        <f aca="false">IF('Start Here'!$B$5="Lean",'Monthly Lean'!Z65,IF('Start Here'!$B$5="Growth",'Monthly Growth'!Z65,'Monthly Base'!Z65))</f>
        <v>11719.2399665152</v>
      </c>
      <c r="AA65" s="10" t="n">
        <f aca="false">IF('Start Here'!$B$5="Lean",'Monthly Lean'!AA65,IF('Start Here'!$B$5="Growth",'Monthly Growth'!AA65,'Monthly Base'!AA65))</f>
        <v>31691.6418989773</v>
      </c>
      <c r="AB65" s="10" t="n">
        <f aca="false">IF('Start Here'!$B$5="Lean",'Monthly Lean'!AB65,IF('Start Here'!$B$5="Growth",'Monthly Growth'!AB65,'Monthly Base'!AB65))</f>
        <v>2222.26649211654</v>
      </c>
      <c r="AC65" s="10" t="n">
        <f aca="false">IF('Start Here'!$B$5="Lean",'Monthly Lean'!AC65,IF('Start Here'!$B$5="Growth",'Monthly Growth'!AC65,'Monthly Base'!AC65))</f>
        <v>245191.521050942</v>
      </c>
      <c r="AD65" s="10" t="n">
        <f aca="false">IF('Start Here'!$B$5="Lean",'Monthly Lean'!AD65,IF('Start Here'!$B$5="Growth",'Monthly Growth'!AD65,'Monthly Base'!AD65))</f>
        <v>74075.5497372179</v>
      </c>
      <c r="AE65" s="10" t="n">
        <f aca="false">IF('Start Here'!$B$5="Lean",'Monthly Lean'!AE65,IF('Start Here'!$B$5="Growth",'Monthly Growth'!AE65,'Monthly Base'!AE65))</f>
        <v>888906.596846614</v>
      </c>
      <c r="AF65" s="10" t="n">
        <f aca="false">IF('Start Here'!$B$5="Lean",'Monthly Lean'!AF65,IF('Start Here'!$B$5="Growth",'Monthly Growth'!AF65,'Monthly Base'!AF65))</f>
        <v>171115.971313725</v>
      </c>
      <c r="AG65" s="10" t="n">
        <f aca="false">IF('Start Here'!$B$5="Lean",'Monthly Lean'!AG65,IF('Start Here'!$B$5="Growth",'Monthly Growth'!AG65,'Monthly Base'!AG65))</f>
        <v>0</v>
      </c>
      <c r="AH65" s="10" t="n">
        <f aca="false">IF('Start Here'!$B$5="Lean",'Monthly Lean'!AH65,IF('Start Here'!$B$5="Growth",'Monthly Growth'!AH65,'Monthly Base'!AH65))</f>
        <v>-5294613.56257801</v>
      </c>
      <c r="AI65" s="10" t="n">
        <f aca="false">IF('Start Here'!$B$5="Lean",'Monthly Lean'!AI65,IF('Start Here'!$B$5="Growth",'Monthly Growth'!AI65,'Monthly Base'!AI65))</f>
        <v>-5465729.53389173</v>
      </c>
      <c r="AJ65" s="10" t="n">
        <f aca="false">IF('Start Here'!$B$5="Lean",'Monthly Lean'!AJ65,IF('Start Here'!$B$5="Growth",'Monthly Growth'!AJ65,'Monthly Base'!AJ65))</f>
        <v>10907250.1099072</v>
      </c>
      <c r="AK65" s="10" t="n">
        <f aca="false">IF('Start Here'!$B$5="Lean",'Monthly Lean'!AK65,IF('Start Here'!$B$5="Growth",'Monthly Growth'!AK65,'Monthly Base'!AK65))</f>
        <v>5465729.53389173</v>
      </c>
      <c r="AL65" s="10" t="n">
        <f aca="false">IF('Start Here'!$B$5="Lean",'Monthly Lean'!AL65,IF('Start Here'!$B$5="Growth",'Monthly Growth'!AL65,'Monthly Base'!AL65))</f>
        <v>-6907250.10990717</v>
      </c>
      <c r="AM65" s="10" t="n">
        <f aca="false">IF('Start Here'!$B$5="Lean",'Monthly Lean'!AM65,IF('Start Here'!$B$5="Growth",'Monthly Growth'!AM65,'Monthly Base'!AM65))</f>
        <v>2082.1912985</v>
      </c>
      <c r="AN65" s="10" t="n">
        <f aca="false">IF('Start Here'!$B$5="Lean",'Monthly Lean'!AN65,IF('Start Here'!$B$5="Growth",'Monthly Growth'!AN65,'Monthly Base'!AN65))</f>
        <v>0</v>
      </c>
      <c r="AO65" s="10" t="n">
        <f aca="false">IF('Start Here'!$B$5="Lean",'Monthly Lean'!AO65,IF('Start Here'!$B$5="Growth",'Monthly Growth'!AO65,'Monthly Base'!AO65))</f>
        <v>17547.8784</v>
      </c>
      <c r="AP65" s="10" t="n">
        <f aca="false">IF('Start Here'!$B$5="Lean",'Monthly Lean'!AP65,IF('Start Here'!$B$5="Growth",'Monthly Growth'!AP65,'Monthly Base'!AP65))</f>
        <v>9465729.53389173</v>
      </c>
      <c r="AQ65" s="10" t="n">
        <f aca="false">IF('Start Here'!$B$5="Lean",'Monthly Lean'!AQ65,IF('Start Here'!$B$5="Growth",'Monthly Growth'!AQ65,'Monthly Base'!AQ65))</f>
        <v>245191.521050942</v>
      </c>
      <c r="AR65" s="10" t="n">
        <f aca="false">IF('Start Here'!$B$5="Lean",'Monthly Lean'!AR65,IF('Start Here'!$B$5="Growth",'Monthly Growth'!AR65,'Monthly Base'!AR65))</f>
        <v>1</v>
      </c>
    </row>
  </sheetData>
  <autoFilter ref="A5:AR65"/>
  <mergeCells count="1">
    <mergeCell ref="A2:H2"/>
  </mergeCells>
  <conditionalFormatting sqref="AI6:AI65">
    <cfRule type="cellIs" priority="2" operator="lessThan" aboveAverage="0" equalAverage="0" bottom="0" percent="0" rank="0" text="" dxfId="12">
      <formula>0</formula>
    </cfRule>
  </conditionalFormatting>
  <conditionalFormatting sqref="AL6:AL65">
    <cfRule type="cellIs" priority="3" operator="lessThan" aboveAverage="0" equalAverage="0" bottom="0" percent="0" rank="0" text="" dxfId="12">
      <formula>0</formula>
    </cfRule>
  </conditionalFormatting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20"/>
  </cols>
  <sheetData>
    <row r="1" customFormat="false" ht="28.5" hidden="false" customHeight="true" outlineLevel="0" collapsed="false">
      <c r="A1" s="1" t="s">
        <v>1033</v>
      </c>
    </row>
    <row r="2" customFormat="false" ht="43.5" hidden="false" customHeight="true" outlineLevel="0" collapsed="false">
      <c r="A2" s="2" t="s">
        <v>1034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3</v>
      </c>
      <c r="B5" s="13" t="s">
        <v>357</v>
      </c>
      <c r="C5" s="13" t="s">
        <v>996</v>
      </c>
      <c r="D5" s="13" t="s">
        <v>997</v>
      </c>
      <c r="E5" s="13" t="s">
        <v>1035</v>
      </c>
      <c r="F5" s="13" t="s">
        <v>1036</v>
      </c>
      <c r="G5" s="13" t="s">
        <v>1037</v>
      </c>
      <c r="H5" s="13" t="s">
        <v>1038</v>
      </c>
      <c r="I5" s="13" t="s">
        <v>1039</v>
      </c>
      <c r="J5" s="13" t="s">
        <v>358</v>
      </c>
    </row>
    <row r="6" customFormat="false" ht="15" hidden="false" customHeight="false" outlineLevel="0" collapsed="false">
      <c r="A6" s="6" t="s">
        <v>72</v>
      </c>
      <c r="B6" s="6" t="s">
        <v>368</v>
      </c>
      <c r="C6" s="6" t="n">
        <v>1</v>
      </c>
      <c r="D6" s="25" t="n">
        <f aca="false">EDATE('Start Here'!$B$6,C6-1)</f>
        <v>46327</v>
      </c>
      <c r="E6" s="23" t="n">
        <f aca="false">IF(AND(OR(Nonlabor!$D$6="Both",Nonlabor!$D$6='Start Here'!$B$9),IF(Nonlabor!$E$6="Core",1,IF(Nonlabor!$E$6="AI",'Start Here'!$B$7,'Start Here'!$B$8))=1,C6&gt;=IF(Nonlabor!$E$6="Core",Nonlabor!$F$6,MAX(Nonlabor!$F$6,IF(Nonlabor!$E$6="AI",Assumptions!$C$24,Assumptions!$C$25))),C6&lt;=Nonlabor!$G$6,OR(Nonlabor!$H$6="Monthly",AND(Nonlabor!$H$6="Once",C6=IF(Nonlabor!$E$6="Core",Nonlabor!$F$6,MAX(Nonlabor!$F$6,IF(Nonlabor!$E$6="AI",Assumptions!$C$24,Assumptions!$C$25)))),AND(Nonlabor!$H$6="Annual",MOD(C6-IF(Nonlabor!$E$6="Core",Nonlabor!$F$6,MAX(Nonlabor!$F$6,IF(Nonlabor!$E$6="AI",Assumptions!$C$24,Assumptions!$C$25))),12)=0))),IF(Nonlabor!$I$6="Fixed",1,IF(Nonlabor!$I$6="Seats",ROUNDUP('Monthly Lean'!I6,0),IF(Nonlabor!$I$6="Customers",'Monthly Lean'!D6,IF(Nonlabor!$I$6="NewCustomers",'Monthly Lean'!C6,IF(Nonlabor!$I$6="StorageGB",'Monthly Lean'!G6,IF(Nonlabor!$I$6="LogGB",'Monthly Lean'!H6,IF(Nonlabor!$I$6="RequestsM",'Monthly Lean'!F6,IF(Nonlabor!$I$6="InputM",'Monthly Lean'!D6*Assumptions!$C$22/1000000,IF(Nonlabor!$I$6="OutputM",'Monthly Lean'!D6*Assumptions!$C$23/1000000,0))))))))),0)</f>
        <v>1</v>
      </c>
      <c r="F6" s="10" t="n">
        <f aca="false">Nonlabor!$J$6*(1+Assumptions!$C$9)^INT((C6-1)/12)</f>
        <v>400</v>
      </c>
      <c r="G6" s="10" t="n">
        <f aca="false">E6*F6</f>
        <v>400</v>
      </c>
      <c r="H6" s="10" t="n">
        <f aca="false">IF(OR(Nonlabor!$L$6="Quote required",Nonlabor!$L$6="Unverified"),G6,0)</f>
        <v>400</v>
      </c>
      <c r="I6" s="10" t="n">
        <f aca="false">IF(Nonlabor!$E$6="Core",0,G6)</f>
        <v>0</v>
      </c>
      <c r="J6" s="23" t="str">
        <f aca="false">Nonlabor!$B$6</f>
        <v>INFRA</v>
      </c>
    </row>
    <row r="7" customFormat="false" ht="15" hidden="false" customHeight="false" outlineLevel="0" collapsed="false">
      <c r="A7" s="6" t="s">
        <v>72</v>
      </c>
      <c r="B7" s="6" t="s">
        <v>368</v>
      </c>
      <c r="C7" s="6" t="n">
        <v>2</v>
      </c>
      <c r="D7" s="25" t="n">
        <f aca="false">EDATE('Start Here'!$B$6,C7-1)</f>
        <v>46357</v>
      </c>
      <c r="E7" s="23" t="n">
        <f aca="false">IF(AND(OR(Nonlabor!$D$6="Both",Nonlabor!$D$6='Start Here'!$B$9),IF(Nonlabor!$E$6="Core",1,IF(Nonlabor!$E$6="AI",'Start Here'!$B$7,'Start Here'!$B$8))=1,C7&gt;=IF(Nonlabor!$E$6="Core",Nonlabor!$F$6,MAX(Nonlabor!$F$6,IF(Nonlabor!$E$6="AI",Assumptions!$C$24,Assumptions!$C$25))),C7&lt;=Nonlabor!$G$6,OR(Nonlabor!$H$6="Monthly",AND(Nonlabor!$H$6="Once",C7=IF(Nonlabor!$E$6="Core",Nonlabor!$F$6,MAX(Nonlabor!$F$6,IF(Nonlabor!$E$6="AI",Assumptions!$C$24,Assumptions!$C$25)))),AND(Nonlabor!$H$6="Annual",MOD(C7-IF(Nonlabor!$E$6="Core",Nonlabor!$F$6,MAX(Nonlabor!$F$6,IF(Nonlabor!$E$6="AI",Assumptions!$C$24,Assumptions!$C$25))),12)=0))),IF(Nonlabor!$I$6="Fixed",1,IF(Nonlabor!$I$6="Seats",ROUNDUP('Monthly Lean'!I7,0),IF(Nonlabor!$I$6="Customers",'Monthly Lean'!D7,IF(Nonlabor!$I$6="NewCustomers",'Monthly Lean'!C7,IF(Nonlabor!$I$6="StorageGB",'Monthly Lean'!G7,IF(Nonlabor!$I$6="LogGB",'Monthly Lean'!H7,IF(Nonlabor!$I$6="RequestsM",'Monthly Lean'!F7,IF(Nonlabor!$I$6="InputM",'Monthly Lean'!D7*Assumptions!$C$22/1000000,IF(Nonlabor!$I$6="OutputM",'Monthly Lean'!D7*Assumptions!$C$23/1000000,0))))))))),0)</f>
        <v>1</v>
      </c>
      <c r="F7" s="10" t="n">
        <f aca="false">Nonlabor!$J$6*(1+Assumptions!$C$9)^INT((C7-1)/12)</f>
        <v>400</v>
      </c>
      <c r="G7" s="10" t="n">
        <f aca="false">E7*F7</f>
        <v>400</v>
      </c>
      <c r="H7" s="10" t="n">
        <f aca="false">IF(OR(Nonlabor!$L$6="Quote required",Nonlabor!$L$6="Unverified"),G7,0)</f>
        <v>400</v>
      </c>
      <c r="I7" s="10" t="n">
        <f aca="false">IF(Nonlabor!$E$6="Core",0,G7)</f>
        <v>0</v>
      </c>
      <c r="J7" s="23" t="str">
        <f aca="false">Nonlabor!$B$6</f>
        <v>INFRA</v>
      </c>
    </row>
    <row r="8" customFormat="false" ht="15" hidden="false" customHeight="false" outlineLevel="0" collapsed="false">
      <c r="A8" s="6" t="s">
        <v>72</v>
      </c>
      <c r="B8" s="6" t="s">
        <v>368</v>
      </c>
      <c r="C8" s="6" t="n">
        <v>3</v>
      </c>
      <c r="D8" s="25" t="n">
        <f aca="false">EDATE('Start Here'!$B$6,C8-1)</f>
        <v>46388</v>
      </c>
      <c r="E8" s="23" t="n">
        <f aca="false">IF(AND(OR(Nonlabor!$D$6="Both",Nonlabor!$D$6='Start Here'!$B$9),IF(Nonlabor!$E$6="Core",1,IF(Nonlabor!$E$6="AI",'Start Here'!$B$7,'Start Here'!$B$8))=1,C8&gt;=IF(Nonlabor!$E$6="Core",Nonlabor!$F$6,MAX(Nonlabor!$F$6,IF(Nonlabor!$E$6="AI",Assumptions!$C$24,Assumptions!$C$25))),C8&lt;=Nonlabor!$G$6,OR(Nonlabor!$H$6="Monthly",AND(Nonlabor!$H$6="Once",C8=IF(Nonlabor!$E$6="Core",Nonlabor!$F$6,MAX(Nonlabor!$F$6,IF(Nonlabor!$E$6="AI",Assumptions!$C$24,Assumptions!$C$25)))),AND(Nonlabor!$H$6="Annual",MOD(C8-IF(Nonlabor!$E$6="Core",Nonlabor!$F$6,MAX(Nonlabor!$F$6,IF(Nonlabor!$E$6="AI",Assumptions!$C$24,Assumptions!$C$25))),12)=0))),IF(Nonlabor!$I$6="Fixed",1,IF(Nonlabor!$I$6="Seats",ROUNDUP('Monthly Lean'!I8,0),IF(Nonlabor!$I$6="Customers",'Monthly Lean'!D8,IF(Nonlabor!$I$6="NewCustomers",'Monthly Lean'!C8,IF(Nonlabor!$I$6="StorageGB",'Monthly Lean'!G8,IF(Nonlabor!$I$6="LogGB",'Monthly Lean'!H8,IF(Nonlabor!$I$6="RequestsM",'Monthly Lean'!F8,IF(Nonlabor!$I$6="InputM",'Monthly Lean'!D8*Assumptions!$C$22/1000000,IF(Nonlabor!$I$6="OutputM",'Monthly Lean'!D8*Assumptions!$C$23/1000000,0))))))))),0)</f>
        <v>1</v>
      </c>
      <c r="F8" s="10" t="n">
        <f aca="false">Nonlabor!$J$6*(1+Assumptions!$C$9)^INT((C8-1)/12)</f>
        <v>400</v>
      </c>
      <c r="G8" s="10" t="n">
        <f aca="false">E8*F8</f>
        <v>400</v>
      </c>
      <c r="H8" s="10" t="n">
        <f aca="false">IF(OR(Nonlabor!$L$6="Quote required",Nonlabor!$L$6="Unverified"),G8,0)</f>
        <v>400</v>
      </c>
      <c r="I8" s="10" t="n">
        <f aca="false">IF(Nonlabor!$E$6="Core",0,G8)</f>
        <v>0</v>
      </c>
      <c r="J8" s="23" t="str">
        <f aca="false">Nonlabor!$B$6</f>
        <v>INFRA</v>
      </c>
    </row>
    <row r="9" customFormat="false" ht="15" hidden="false" customHeight="false" outlineLevel="0" collapsed="false">
      <c r="A9" s="6" t="s">
        <v>72</v>
      </c>
      <c r="B9" s="6" t="s">
        <v>368</v>
      </c>
      <c r="C9" s="6" t="n">
        <v>4</v>
      </c>
      <c r="D9" s="25" t="n">
        <f aca="false">EDATE('Start Here'!$B$6,C9-1)</f>
        <v>46419</v>
      </c>
      <c r="E9" s="23" t="n">
        <f aca="false">IF(AND(OR(Nonlabor!$D$6="Both",Nonlabor!$D$6='Start Here'!$B$9),IF(Nonlabor!$E$6="Core",1,IF(Nonlabor!$E$6="AI",'Start Here'!$B$7,'Start Here'!$B$8))=1,C9&gt;=IF(Nonlabor!$E$6="Core",Nonlabor!$F$6,MAX(Nonlabor!$F$6,IF(Nonlabor!$E$6="AI",Assumptions!$C$24,Assumptions!$C$25))),C9&lt;=Nonlabor!$G$6,OR(Nonlabor!$H$6="Monthly",AND(Nonlabor!$H$6="Once",C9=IF(Nonlabor!$E$6="Core",Nonlabor!$F$6,MAX(Nonlabor!$F$6,IF(Nonlabor!$E$6="AI",Assumptions!$C$24,Assumptions!$C$25)))),AND(Nonlabor!$H$6="Annual",MOD(C9-IF(Nonlabor!$E$6="Core",Nonlabor!$F$6,MAX(Nonlabor!$F$6,IF(Nonlabor!$E$6="AI",Assumptions!$C$24,Assumptions!$C$25))),12)=0))),IF(Nonlabor!$I$6="Fixed",1,IF(Nonlabor!$I$6="Seats",ROUNDUP('Monthly Lean'!I9,0),IF(Nonlabor!$I$6="Customers",'Monthly Lean'!D9,IF(Nonlabor!$I$6="NewCustomers",'Monthly Lean'!C9,IF(Nonlabor!$I$6="StorageGB",'Monthly Lean'!G9,IF(Nonlabor!$I$6="LogGB",'Monthly Lean'!H9,IF(Nonlabor!$I$6="RequestsM",'Monthly Lean'!F9,IF(Nonlabor!$I$6="InputM",'Monthly Lean'!D9*Assumptions!$C$22/1000000,IF(Nonlabor!$I$6="OutputM",'Monthly Lean'!D9*Assumptions!$C$23/1000000,0))))))))),0)</f>
        <v>1</v>
      </c>
      <c r="F9" s="10" t="n">
        <f aca="false">Nonlabor!$J$6*(1+Assumptions!$C$9)^INT((C9-1)/12)</f>
        <v>400</v>
      </c>
      <c r="G9" s="10" t="n">
        <f aca="false">E9*F9</f>
        <v>400</v>
      </c>
      <c r="H9" s="10" t="n">
        <f aca="false">IF(OR(Nonlabor!$L$6="Quote required",Nonlabor!$L$6="Unverified"),G9,0)</f>
        <v>400</v>
      </c>
      <c r="I9" s="10" t="n">
        <f aca="false">IF(Nonlabor!$E$6="Core",0,G9)</f>
        <v>0</v>
      </c>
      <c r="J9" s="23" t="str">
        <f aca="false">Nonlabor!$B$6</f>
        <v>INFRA</v>
      </c>
    </row>
    <row r="10" customFormat="false" ht="15" hidden="false" customHeight="false" outlineLevel="0" collapsed="false">
      <c r="A10" s="6" t="s">
        <v>72</v>
      </c>
      <c r="B10" s="6" t="s">
        <v>368</v>
      </c>
      <c r="C10" s="6" t="n">
        <v>5</v>
      </c>
      <c r="D10" s="25" t="n">
        <f aca="false">EDATE('Start Here'!$B$6,C10-1)</f>
        <v>46447</v>
      </c>
      <c r="E10" s="23" t="n">
        <f aca="false">IF(AND(OR(Nonlabor!$D$6="Both",Nonlabor!$D$6='Start Here'!$B$9),IF(Nonlabor!$E$6="Core",1,IF(Nonlabor!$E$6="AI",'Start Here'!$B$7,'Start Here'!$B$8))=1,C10&gt;=IF(Nonlabor!$E$6="Core",Nonlabor!$F$6,MAX(Nonlabor!$F$6,IF(Nonlabor!$E$6="AI",Assumptions!$C$24,Assumptions!$C$25))),C10&lt;=Nonlabor!$G$6,OR(Nonlabor!$H$6="Monthly",AND(Nonlabor!$H$6="Once",C10=IF(Nonlabor!$E$6="Core",Nonlabor!$F$6,MAX(Nonlabor!$F$6,IF(Nonlabor!$E$6="AI",Assumptions!$C$24,Assumptions!$C$25)))),AND(Nonlabor!$H$6="Annual",MOD(C10-IF(Nonlabor!$E$6="Core",Nonlabor!$F$6,MAX(Nonlabor!$F$6,IF(Nonlabor!$E$6="AI",Assumptions!$C$24,Assumptions!$C$25))),12)=0))),IF(Nonlabor!$I$6="Fixed",1,IF(Nonlabor!$I$6="Seats",ROUNDUP('Monthly Lean'!I10,0),IF(Nonlabor!$I$6="Customers",'Monthly Lean'!D10,IF(Nonlabor!$I$6="NewCustomers",'Monthly Lean'!C10,IF(Nonlabor!$I$6="StorageGB",'Monthly Lean'!G10,IF(Nonlabor!$I$6="LogGB",'Monthly Lean'!H10,IF(Nonlabor!$I$6="RequestsM",'Monthly Lean'!F10,IF(Nonlabor!$I$6="InputM",'Monthly Lean'!D10*Assumptions!$C$22/1000000,IF(Nonlabor!$I$6="OutputM",'Monthly Lean'!D10*Assumptions!$C$23/1000000,0))))))))),0)</f>
        <v>1</v>
      </c>
      <c r="F10" s="10" t="n">
        <f aca="false">Nonlabor!$J$6*(1+Assumptions!$C$9)^INT((C10-1)/12)</f>
        <v>400</v>
      </c>
      <c r="G10" s="10" t="n">
        <f aca="false">E10*F10</f>
        <v>400</v>
      </c>
      <c r="H10" s="10" t="n">
        <f aca="false">IF(OR(Nonlabor!$L$6="Quote required",Nonlabor!$L$6="Unverified"),G10,0)</f>
        <v>400</v>
      </c>
      <c r="I10" s="10" t="n">
        <f aca="false">IF(Nonlabor!$E$6="Core",0,G10)</f>
        <v>0</v>
      </c>
      <c r="J10" s="23" t="str">
        <f aca="false">Nonlabor!$B$6</f>
        <v>INFRA</v>
      </c>
    </row>
    <row r="11" customFormat="false" ht="15" hidden="false" customHeight="false" outlineLevel="0" collapsed="false">
      <c r="A11" s="6" t="s">
        <v>72</v>
      </c>
      <c r="B11" s="6" t="s">
        <v>368</v>
      </c>
      <c r="C11" s="6" t="n">
        <v>6</v>
      </c>
      <c r="D11" s="25" t="n">
        <f aca="false">EDATE('Start Here'!$B$6,C11-1)</f>
        <v>46478</v>
      </c>
      <c r="E11" s="23" t="n">
        <f aca="false">IF(AND(OR(Nonlabor!$D$6="Both",Nonlabor!$D$6='Start Here'!$B$9),IF(Nonlabor!$E$6="Core",1,IF(Nonlabor!$E$6="AI",'Start Here'!$B$7,'Start Here'!$B$8))=1,C11&gt;=IF(Nonlabor!$E$6="Core",Nonlabor!$F$6,MAX(Nonlabor!$F$6,IF(Nonlabor!$E$6="AI",Assumptions!$C$24,Assumptions!$C$25))),C11&lt;=Nonlabor!$G$6,OR(Nonlabor!$H$6="Monthly",AND(Nonlabor!$H$6="Once",C11=IF(Nonlabor!$E$6="Core",Nonlabor!$F$6,MAX(Nonlabor!$F$6,IF(Nonlabor!$E$6="AI",Assumptions!$C$24,Assumptions!$C$25)))),AND(Nonlabor!$H$6="Annual",MOD(C11-IF(Nonlabor!$E$6="Core",Nonlabor!$F$6,MAX(Nonlabor!$F$6,IF(Nonlabor!$E$6="AI",Assumptions!$C$24,Assumptions!$C$25))),12)=0))),IF(Nonlabor!$I$6="Fixed",1,IF(Nonlabor!$I$6="Seats",ROUNDUP('Monthly Lean'!I11,0),IF(Nonlabor!$I$6="Customers",'Monthly Lean'!D11,IF(Nonlabor!$I$6="NewCustomers",'Monthly Lean'!C11,IF(Nonlabor!$I$6="StorageGB",'Monthly Lean'!G11,IF(Nonlabor!$I$6="LogGB",'Monthly Lean'!H11,IF(Nonlabor!$I$6="RequestsM",'Monthly Lean'!F11,IF(Nonlabor!$I$6="InputM",'Monthly Lean'!D11*Assumptions!$C$22/1000000,IF(Nonlabor!$I$6="OutputM",'Monthly Lean'!D11*Assumptions!$C$23/1000000,0))))))))),0)</f>
        <v>1</v>
      </c>
      <c r="F11" s="10" t="n">
        <f aca="false">Nonlabor!$J$6*(1+Assumptions!$C$9)^INT((C11-1)/12)</f>
        <v>400</v>
      </c>
      <c r="G11" s="10" t="n">
        <f aca="false">E11*F11</f>
        <v>400</v>
      </c>
      <c r="H11" s="10" t="n">
        <f aca="false">IF(OR(Nonlabor!$L$6="Quote required",Nonlabor!$L$6="Unverified"),G11,0)</f>
        <v>400</v>
      </c>
      <c r="I11" s="10" t="n">
        <f aca="false">IF(Nonlabor!$E$6="Core",0,G11)</f>
        <v>0</v>
      </c>
      <c r="J11" s="23" t="str">
        <f aca="false">Nonlabor!$B$6</f>
        <v>INFRA</v>
      </c>
    </row>
    <row r="12" customFormat="false" ht="15" hidden="false" customHeight="false" outlineLevel="0" collapsed="false">
      <c r="A12" s="6" t="s">
        <v>72</v>
      </c>
      <c r="B12" s="6" t="s">
        <v>368</v>
      </c>
      <c r="C12" s="6" t="n">
        <v>7</v>
      </c>
      <c r="D12" s="25" t="n">
        <f aca="false">EDATE('Start Here'!$B$6,C12-1)</f>
        <v>46508</v>
      </c>
      <c r="E12" s="23" t="n">
        <f aca="false">IF(AND(OR(Nonlabor!$D$6="Both",Nonlabor!$D$6='Start Here'!$B$9),IF(Nonlabor!$E$6="Core",1,IF(Nonlabor!$E$6="AI",'Start Here'!$B$7,'Start Here'!$B$8))=1,C12&gt;=IF(Nonlabor!$E$6="Core",Nonlabor!$F$6,MAX(Nonlabor!$F$6,IF(Nonlabor!$E$6="AI",Assumptions!$C$24,Assumptions!$C$25))),C12&lt;=Nonlabor!$G$6,OR(Nonlabor!$H$6="Monthly",AND(Nonlabor!$H$6="Once",C12=IF(Nonlabor!$E$6="Core",Nonlabor!$F$6,MAX(Nonlabor!$F$6,IF(Nonlabor!$E$6="AI",Assumptions!$C$24,Assumptions!$C$25)))),AND(Nonlabor!$H$6="Annual",MOD(C12-IF(Nonlabor!$E$6="Core",Nonlabor!$F$6,MAX(Nonlabor!$F$6,IF(Nonlabor!$E$6="AI",Assumptions!$C$24,Assumptions!$C$25))),12)=0))),IF(Nonlabor!$I$6="Fixed",1,IF(Nonlabor!$I$6="Seats",ROUNDUP('Monthly Lean'!I12,0),IF(Nonlabor!$I$6="Customers",'Monthly Lean'!D12,IF(Nonlabor!$I$6="NewCustomers",'Monthly Lean'!C12,IF(Nonlabor!$I$6="StorageGB",'Monthly Lean'!G12,IF(Nonlabor!$I$6="LogGB",'Monthly Lean'!H12,IF(Nonlabor!$I$6="RequestsM",'Monthly Lean'!F12,IF(Nonlabor!$I$6="InputM",'Monthly Lean'!D12*Assumptions!$C$22/1000000,IF(Nonlabor!$I$6="OutputM",'Monthly Lean'!D12*Assumptions!$C$23/1000000,0))))))))),0)</f>
        <v>1</v>
      </c>
      <c r="F12" s="10" t="n">
        <f aca="false">Nonlabor!$J$6*(1+Assumptions!$C$9)^INT((C12-1)/12)</f>
        <v>400</v>
      </c>
      <c r="G12" s="10" t="n">
        <f aca="false">E12*F12</f>
        <v>400</v>
      </c>
      <c r="H12" s="10" t="n">
        <f aca="false">IF(OR(Nonlabor!$L$6="Quote required",Nonlabor!$L$6="Unverified"),G12,0)</f>
        <v>400</v>
      </c>
      <c r="I12" s="10" t="n">
        <f aca="false">IF(Nonlabor!$E$6="Core",0,G12)</f>
        <v>0</v>
      </c>
      <c r="J12" s="23" t="str">
        <f aca="false">Nonlabor!$B$6</f>
        <v>INFRA</v>
      </c>
    </row>
    <row r="13" customFormat="false" ht="15" hidden="false" customHeight="false" outlineLevel="0" collapsed="false">
      <c r="A13" s="6" t="s">
        <v>72</v>
      </c>
      <c r="B13" s="6" t="s">
        <v>368</v>
      </c>
      <c r="C13" s="6" t="n">
        <v>8</v>
      </c>
      <c r="D13" s="25" t="n">
        <f aca="false">EDATE('Start Here'!$B$6,C13-1)</f>
        <v>46539</v>
      </c>
      <c r="E13" s="23" t="n">
        <f aca="false">IF(AND(OR(Nonlabor!$D$6="Both",Nonlabor!$D$6='Start Here'!$B$9),IF(Nonlabor!$E$6="Core",1,IF(Nonlabor!$E$6="AI",'Start Here'!$B$7,'Start Here'!$B$8))=1,C13&gt;=IF(Nonlabor!$E$6="Core",Nonlabor!$F$6,MAX(Nonlabor!$F$6,IF(Nonlabor!$E$6="AI",Assumptions!$C$24,Assumptions!$C$25))),C13&lt;=Nonlabor!$G$6,OR(Nonlabor!$H$6="Monthly",AND(Nonlabor!$H$6="Once",C13=IF(Nonlabor!$E$6="Core",Nonlabor!$F$6,MAX(Nonlabor!$F$6,IF(Nonlabor!$E$6="AI",Assumptions!$C$24,Assumptions!$C$25)))),AND(Nonlabor!$H$6="Annual",MOD(C13-IF(Nonlabor!$E$6="Core",Nonlabor!$F$6,MAX(Nonlabor!$F$6,IF(Nonlabor!$E$6="AI",Assumptions!$C$24,Assumptions!$C$25))),12)=0))),IF(Nonlabor!$I$6="Fixed",1,IF(Nonlabor!$I$6="Seats",ROUNDUP('Monthly Lean'!I13,0),IF(Nonlabor!$I$6="Customers",'Monthly Lean'!D13,IF(Nonlabor!$I$6="NewCustomers",'Monthly Lean'!C13,IF(Nonlabor!$I$6="StorageGB",'Monthly Lean'!G13,IF(Nonlabor!$I$6="LogGB",'Monthly Lean'!H13,IF(Nonlabor!$I$6="RequestsM",'Monthly Lean'!F13,IF(Nonlabor!$I$6="InputM",'Monthly Lean'!D13*Assumptions!$C$22/1000000,IF(Nonlabor!$I$6="OutputM",'Monthly Lean'!D13*Assumptions!$C$23/1000000,0))))))))),0)</f>
        <v>1</v>
      </c>
      <c r="F13" s="10" t="n">
        <f aca="false">Nonlabor!$J$6*(1+Assumptions!$C$9)^INT((C13-1)/12)</f>
        <v>400</v>
      </c>
      <c r="G13" s="10" t="n">
        <f aca="false">E13*F13</f>
        <v>400</v>
      </c>
      <c r="H13" s="10" t="n">
        <f aca="false">IF(OR(Nonlabor!$L$6="Quote required",Nonlabor!$L$6="Unverified"),G13,0)</f>
        <v>400</v>
      </c>
      <c r="I13" s="10" t="n">
        <f aca="false">IF(Nonlabor!$E$6="Core",0,G13)</f>
        <v>0</v>
      </c>
      <c r="J13" s="23" t="str">
        <f aca="false">Nonlabor!$B$6</f>
        <v>INFRA</v>
      </c>
    </row>
    <row r="14" customFormat="false" ht="15" hidden="false" customHeight="false" outlineLevel="0" collapsed="false">
      <c r="A14" s="6" t="s">
        <v>72</v>
      </c>
      <c r="B14" s="6" t="s">
        <v>368</v>
      </c>
      <c r="C14" s="6" t="n">
        <v>9</v>
      </c>
      <c r="D14" s="25" t="n">
        <f aca="false">EDATE('Start Here'!$B$6,C14-1)</f>
        <v>46569</v>
      </c>
      <c r="E14" s="23" t="n">
        <f aca="false">IF(AND(OR(Nonlabor!$D$6="Both",Nonlabor!$D$6='Start Here'!$B$9),IF(Nonlabor!$E$6="Core",1,IF(Nonlabor!$E$6="AI",'Start Here'!$B$7,'Start Here'!$B$8))=1,C14&gt;=IF(Nonlabor!$E$6="Core",Nonlabor!$F$6,MAX(Nonlabor!$F$6,IF(Nonlabor!$E$6="AI",Assumptions!$C$24,Assumptions!$C$25))),C14&lt;=Nonlabor!$G$6,OR(Nonlabor!$H$6="Monthly",AND(Nonlabor!$H$6="Once",C14=IF(Nonlabor!$E$6="Core",Nonlabor!$F$6,MAX(Nonlabor!$F$6,IF(Nonlabor!$E$6="AI",Assumptions!$C$24,Assumptions!$C$25)))),AND(Nonlabor!$H$6="Annual",MOD(C14-IF(Nonlabor!$E$6="Core",Nonlabor!$F$6,MAX(Nonlabor!$F$6,IF(Nonlabor!$E$6="AI",Assumptions!$C$24,Assumptions!$C$25))),12)=0))),IF(Nonlabor!$I$6="Fixed",1,IF(Nonlabor!$I$6="Seats",ROUNDUP('Monthly Lean'!I14,0),IF(Nonlabor!$I$6="Customers",'Monthly Lean'!D14,IF(Nonlabor!$I$6="NewCustomers",'Monthly Lean'!C14,IF(Nonlabor!$I$6="StorageGB",'Monthly Lean'!G14,IF(Nonlabor!$I$6="LogGB",'Monthly Lean'!H14,IF(Nonlabor!$I$6="RequestsM",'Monthly Lean'!F14,IF(Nonlabor!$I$6="InputM",'Monthly Lean'!D14*Assumptions!$C$22/1000000,IF(Nonlabor!$I$6="OutputM",'Monthly Lean'!D14*Assumptions!$C$23/1000000,0))))))))),0)</f>
        <v>1</v>
      </c>
      <c r="F14" s="10" t="n">
        <f aca="false">Nonlabor!$J$6*(1+Assumptions!$C$9)^INT((C14-1)/12)</f>
        <v>400</v>
      </c>
      <c r="G14" s="10" t="n">
        <f aca="false">E14*F14</f>
        <v>400</v>
      </c>
      <c r="H14" s="10" t="n">
        <f aca="false">IF(OR(Nonlabor!$L$6="Quote required",Nonlabor!$L$6="Unverified"),G14,0)</f>
        <v>400</v>
      </c>
      <c r="I14" s="10" t="n">
        <f aca="false">IF(Nonlabor!$E$6="Core",0,G14)</f>
        <v>0</v>
      </c>
      <c r="J14" s="23" t="str">
        <f aca="false">Nonlabor!$B$6</f>
        <v>INFRA</v>
      </c>
    </row>
    <row r="15" customFormat="false" ht="15" hidden="false" customHeight="false" outlineLevel="0" collapsed="false">
      <c r="A15" s="6" t="s">
        <v>72</v>
      </c>
      <c r="B15" s="6" t="s">
        <v>368</v>
      </c>
      <c r="C15" s="6" t="n">
        <v>10</v>
      </c>
      <c r="D15" s="25" t="n">
        <f aca="false">EDATE('Start Here'!$B$6,C15-1)</f>
        <v>46600</v>
      </c>
      <c r="E15" s="23" t="n">
        <f aca="false">IF(AND(OR(Nonlabor!$D$6="Both",Nonlabor!$D$6='Start Here'!$B$9),IF(Nonlabor!$E$6="Core",1,IF(Nonlabor!$E$6="AI",'Start Here'!$B$7,'Start Here'!$B$8))=1,C15&gt;=IF(Nonlabor!$E$6="Core",Nonlabor!$F$6,MAX(Nonlabor!$F$6,IF(Nonlabor!$E$6="AI",Assumptions!$C$24,Assumptions!$C$25))),C15&lt;=Nonlabor!$G$6,OR(Nonlabor!$H$6="Monthly",AND(Nonlabor!$H$6="Once",C15=IF(Nonlabor!$E$6="Core",Nonlabor!$F$6,MAX(Nonlabor!$F$6,IF(Nonlabor!$E$6="AI",Assumptions!$C$24,Assumptions!$C$25)))),AND(Nonlabor!$H$6="Annual",MOD(C15-IF(Nonlabor!$E$6="Core",Nonlabor!$F$6,MAX(Nonlabor!$F$6,IF(Nonlabor!$E$6="AI",Assumptions!$C$24,Assumptions!$C$25))),12)=0))),IF(Nonlabor!$I$6="Fixed",1,IF(Nonlabor!$I$6="Seats",ROUNDUP('Monthly Lean'!I15,0),IF(Nonlabor!$I$6="Customers",'Monthly Lean'!D15,IF(Nonlabor!$I$6="NewCustomers",'Monthly Lean'!C15,IF(Nonlabor!$I$6="StorageGB",'Monthly Lean'!G15,IF(Nonlabor!$I$6="LogGB",'Monthly Lean'!H15,IF(Nonlabor!$I$6="RequestsM",'Monthly Lean'!F15,IF(Nonlabor!$I$6="InputM",'Monthly Lean'!D15*Assumptions!$C$22/1000000,IF(Nonlabor!$I$6="OutputM",'Monthly Lean'!D15*Assumptions!$C$23/1000000,0))))))))),0)</f>
        <v>1</v>
      </c>
      <c r="F15" s="10" t="n">
        <f aca="false">Nonlabor!$J$6*(1+Assumptions!$C$9)^INT((C15-1)/12)</f>
        <v>400</v>
      </c>
      <c r="G15" s="10" t="n">
        <f aca="false">E15*F15</f>
        <v>400</v>
      </c>
      <c r="H15" s="10" t="n">
        <f aca="false">IF(OR(Nonlabor!$L$6="Quote required",Nonlabor!$L$6="Unverified"),G15,0)</f>
        <v>400</v>
      </c>
      <c r="I15" s="10" t="n">
        <f aca="false">IF(Nonlabor!$E$6="Core",0,G15)</f>
        <v>0</v>
      </c>
      <c r="J15" s="23" t="str">
        <f aca="false">Nonlabor!$B$6</f>
        <v>INFRA</v>
      </c>
    </row>
    <row r="16" customFormat="false" ht="15" hidden="false" customHeight="false" outlineLevel="0" collapsed="false">
      <c r="A16" s="6" t="s">
        <v>72</v>
      </c>
      <c r="B16" s="6" t="s">
        <v>368</v>
      </c>
      <c r="C16" s="6" t="n">
        <v>11</v>
      </c>
      <c r="D16" s="25" t="n">
        <f aca="false">EDATE('Start Here'!$B$6,C16-1)</f>
        <v>46631</v>
      </c>
      <c r="E16" s="23" t="n">
        <f aca="false">IF(AND(OR(Nonlabor!$D$6="Both",Nonlabor!$D$6='Start Here'!$B$9),IF(Nonlabor!$E$6="Core",1,IF(Nonlabor!$E$6="AI",'Start Here'!$B$7,'Start Here'!$B$8))=1,C16&gt;=IF(Nonlabor!$E$6="Core",Nonlabor!$F$6,MAX(Nonlabor!$F$6,IF(Nonlabor!$E$6="AI",Assumptions!$C$24,Assumptions!$C$25))),C16&lt;=Nonlabor!$G$6,OR(Nonlabor!$H$6="Monthly",AND(Nonlabor!$H$6="Once",C16=IF(Nonlabor!$E$6="Core",Nonlabor!$F$6,MAX(Nonlabor!$F$6,IF(Nonlabor!$E$6="AI",Assumptions!$C$24,Assumptions!$C$25)))),AND(Nonlabor!$H$6="Annual",MOD(C16-IF(Nonlabor!$E$6="Core",Nonlabor!$F$6,MAX(Nonlabor!$F$6,IF(Nonlabor!$E$6="AI",Assumptions!$C$24,Assumptions!$C$25))),12)=0))),IF(Nonlabor!$I$6="Fixed",1,IF(Nonlabor!$I$6="Seats",ROUNDUP('Monthly Lean'!I16,0),IF(Nonlabor!$I$6="Customers",'Monthly Lean'!D16,IF(Nonlabor!$I$6="NewCustomers",'Monthly Lean'!C16,IF(Nonlabor!$I$6="StorageGB",'Monthly Lean'!G16,IF(Nonlabor!$I$6="LogGB",'Monthly Lean'!H16,IF(Nonlabor!$I$6="RequestsM",'Monthly Lean'!F16,IF(Nonlabor!$I$6="InputM",'Monthly Lean'!D16*Assumptions!$C$22/1000000,IF(Nonlabor!$I$6="OutputM",'Monthly Lean'!D16*Assumptions!$C$23/1000000,0))))))))),0)</f>
        <v>1</v>
      </c>
      <c r="F16" s="10" t="n">
        <f aca="false">Nonlabor!$J$6*(1+Assumptions!$C$9)^INT((C16-1)/12)</f>
        <v>400</v>
      </c>
      <c r="G16" s="10" t="n">
        <f aca="false">E16*F16</f>
        <v>400</v>
      </c>
      <c r="H16" s="10" t="n">
        <f aca="false">IF(OR(Nonlabor!$L$6="Quote required",Nonlabor!$L$6="Unverified"),G16,0)</f>
        <v>400</v>
      </c>
      <c r="I16" s="10" t="n">
        <f aca="false">IF(Nonlabor!$E$6="Core",0,G16)</f>
        <v>0</v>
      </c>
      <c r="J16" s="23" t="str">
        <f aca="false">Nonlabor!$B$6</f>
        <v>INFRA</v>
      </c>
    </row>
    <row r="17" customFormat="false" ht="15" hidden="false" customHeight="false" outlineLevel="0" collapsed="false">
      <c r="A17" s="6" t="s">
        <v>72</v>
      </c>
      <c r="B17" s="6" t="s">
        <v>368</v>
      </c>
      <c r="C17" s="6" t="n">
        <v>12</v>
      </c>
      <c r="D17" s="25" t="n">
        <f aca="false">EDATE('Start Here'!$B$6,C17-1)</f>
        <v>46661</v>
      </c>
      <c r="E17" s="23" t="n">
        <f aca="false">IF(AND(OR(Nonlabor!$D$6="Both",Nonlabor!$D$6='Start Here'!$B$9),IF(Nonlabor!$E$6="Core",1,IF(Nonlabor!$E$6="AI",'Start Here'!$B$7,'Start Here'!$B$8))=1,C17&gt;=IF(Nonlabor!$E$6="Core",Nonlabor!$F$6,MAX(Nonlabor!$F$6,IF(Nonlabor!$E$6="AI",Assumptions!$C$24,Assumptions!$C$25))),C17&lt;=Nonlabor!$G$6,OR(Nonlabor!$H$6="Monthly",AND(Nonlabor!$H$6="Once",C17=IF(Nonlabor!$E$6="Core",Nonlabor!$F$6,MAX(Nonlabor!$F$6,IF(Nonlabor!$E$6="AI",Assumptions!$C$24,Assumptions!$C$25)))),AND(Nonlabor!$H$6="Annual",MOD(C17-IF(Nonlabor!$E$6="Core",Nonlabor!$F$6,MAX(Nonlabor!$F$6,IF(Nonlabor!$E$6="AI",Assumptions!$C$24,Assumptions!$C$25))),12)=0))),IF(Nonlabor!$I$6="Fixed",1,IF(Nonlabor!$I$6="Seats",ROUNDUP('Monthly Lean'!I17,0),IF(Nonlabor!$I$6="Customers",'Monthly Lean'!D17,IF(Nonlabor!$I$6="NewCustomers",'Monthly Lean'!C17,IF(Nonlabor!$I$6="StorageGB",'Monthly Lean'!G17,IF(Nonlabor!$I$6="LogGB",'Monthly Lean'!H17,IF(Nonlabor!$I$6="RequestsM",'Monthly Lean'!F17,IF(Nonlabor!$I$6="InputM",'Monthly Lean'!D17*Assumptions!$C$22/1000000,IF(Nonlabor!$I$6="OutputM",'Monthly Lean'!D17*Assumptions!$C$23/1000000,0))))))))),0)</f>
        <v>1</v>
      </c>
      <c r="F17" s="10" t="n">
        <f aca="false">Nonlabor!$J$6*(1+Assumptions!$C$9)^INT((C17-1)/12)</f>
        <v>400</v>
      </c>
      <c r="G17" s="10" t="n">
        <f aca="false">E17*F17</f>
        <v>400</v>
      </c>
      <c r="H17" s="10" t="n">
        <f aca="false">IF(OR(Nonlabor!$L$6="Quote required",Nonlabor!$L$6="Unverified"),G17,0)</f>
        <v>400</v>
      </c>
      <c r="I17" s="10" t="n">
        <f aca="false">IF(Nonlabor!$E$6="Core",0,G17)</f>
        <v>0</v>
      </c>
      <c r="J17" s="23" t="str">
        <f aca="false">Nonlabor!$B$6</f>
        <v>INFRA</v>
      </c>
    </row>
    <row r="18" customFormat="false" ht="15" hidden="false" customHeight="false" outlineLevel="0" collapsed="false">
      <c r="A18" s="6" t="s">
        <v>72</v>
      </c>
      <c r="B18" s="6" t="s">
        <v>368</v>
      </c>
      <c r="C18" s="6" t="n">
        <v>13</v>
      </c>
      <c r="D18" s="25" t="n">
        <f aca="false">EDATE('Start Here'!$B$6,C18-1)</f>
        <v>46692</v>
      </c>
      <c r="E18" s="23" t="n">
        <f aca="false">IF(AND(OR(Nonlabor!$D$6="Both",Nonlabor!$D$6='Start Here'!$B$9),IF(Nonlabor!$E$6="Core",1,IF(Nonlabor!$E$6="AI",'Start Here'!$B$7,'Start Here'!$B$8))=1,C18&gt;=IF(Nonlabor!$E$6="Core",Nonlabor!$F$6,MAX(Nonlabor!$F$6,IF(Nonlabor!$E$6="AI",Assumptions!$C$24,Assumptions!$C$25))),C18&lt;=Nonlabor!$G$6,OR(Nonlabor!$H$6="Monthly",AND(Nonlabor!$H$6="Once",C18=IF(Nonlabor!$E$6="Core",Nonlabor!$F$6,MAX(Nonlabor!$F$6,IF(Nonlabor!$E$6="AI",Assumptions!$C$24,Assumptions!$C$25)))),AND(Nonlabor!$H$6="Annual",MOD(C18-IF(Nonlabor!$E$6="Core",Nonlabor!$F$6,MAX(Nonlabor!$F$6,IF(Nonlabor!$E$6="AI",Assumptions!$C$24,Assumptions!$C$25))),12)=0))),IF(Nonlabor!$I$6="Fixed",1,IF(Nonlabor!$I$6="Seats",ROUNDUP('Monthly Lean'!I18,0),IF(Nonlabor!$I$6="Customers",'Monthly Lean'!D18,IF(Nonlabor!$I$6="NewCustomers",'Monthly Lean'!C18,IF(Nonlabor!$I$6="StorageGB",'Monthly Lean'!G18,IF(Nonlabor!$I$6="LogGB",'Monthly Lean'!H18,IF(Nonlabor!$I$6="RequestsM",'Monthly Lean'!F18,IF(Nonlabor!$I$6="InputM",'Monthly Lean'!D18*Assumptions!$C$22/1000000,IF(Nonlabor!$I$6="OutputM",'Monthly Lean'!D18*Assumptions!$C$23/1000000,0))))))))),0)</f>
        <v>1</v>
      </c>
      <c r="F18" s="10" t="n">
        <f aca="false">Nonlabor!$J$6*(1+Assumptions!$C$9)^INT((C18-1)/12)</f>
        <v>412</v>
      </c>
      <c r="G18" s="10" t="n">
        <f aca="false">E18*F18</f>
        <v>412</v>
      </c>
      <c r="H18" s="10" t="n">
        <f aca="false">IF(OR(Nonlabor!$L$6="Quote required",Nonlabor!$L$6="Unverified"),G18,0)</f>
        <v>412</v>
      </c>
      <c r="I18" s="10" t="n">
        <f aca="false">IF(Nonlabor!$E$6="Core",0,G18)</f>
        <v>0</v>
      </c>
      <c r="J18" s="23" t="str">
        <f aca="false">Nonlabor!$B$6</f>
        <v>INFRA</v>
      </c>
    </row>
    <row r="19" customFormat="false" ht="15" hidden="false" customHeight="false" outlineLevel="0" collapsed="false">
      <c r="A19" s="6" t="s">
        <v>72</v>
      </c>
      <c r="B19" s="6" t="s">
        <v>368</v>
      </c>
      <c r="C19" s="6" t="n">
        <v>14</v>
      </c>
      <c r="D19" s="25" t="n">
        <f aca="false">EDATE('Start Here'!$B$6,C19-1)</f>
        <v>46722</v>
      </c>
      <c r="E19" s="23" t="n">
        <f aca="false">IF(AND(OR(Nonlabor!$D$6="Both",Nonlabor!$D$6='Start Here'!$B$9),IF(Nonlabor!$E$6="Core",1,IF(Nonlabor!$E$6="AI",'Start Here'!$B$7,'Start Here'!$B$8))=1,C19&gt;=IF(Nonlabor!$E$6="Core",Nonlabor!$F$6,MAX(Nonlabor!$F$6,IF(Nonlabor!$E$6="AI",Assumptions!$C$24,Assumptions!$C$25))),C19&lt;=Nonlabor!$G$6,OR(Nonlabor!$H$6="Monthly",AND(Nonlabor!$H$6="Once",C19=IF(Nonlabor!$E$6="Core",Nonlabor!$F$6,MAX(Nonlabor!$F$6,IF(Nonlabor!$E$6="AI",Assumptions!$C$24,Assumptions!$C$25)))),AND(Nonlabor!$H$6="Annual",MOD(C19-IF(Nonlabor!$E$6="Core",Nonlabor!$F$6,MAX(Nonlabor!$F$6,IF(Nonlabor!$E$6="AI",Assumptions!$C$24,Assumptions!$C$25))),12)=0))),IF(Nonlabor!$I$6="Fixed",1,IF(Nonlabor!$I$6="Seats",ROUNDUP('Monthly Lean'!I19,0),IF(Nonlabor!$I$6="Customers",'Monthly Lean'!D19,IF(Nonlabor!$I$6="NewCustomers",'Monthly Lean'!C19,IF(Nonlabor!$I$6="StorageGB",'Monthly Lean'!G19,IF(Nonlabor!$I$6="LogGB",'Monthly Lean'!H19,IF(Nonlabor!$I$6="RequestsM",'Monthly Lean'!F19,IF(Nonlabor!$I$6="InputM",'Monthly Lean'!D19*Assumptions!$C$22/1000000,IF(Nonlabor!$I$6="OutputM",'Monthly Lean'!D19*Assumptions!$C$23/1000000,0))))))))),0)</f>
        <v>1</v>
      </c>
      <c r="F19" s="10" t="n">
        <f aca="false">Nonlabor!$J$6*(1+Assumptions!$C$9)^INT((C19-1)/12)</f>
        <v>412</v>
      </c>
      <c r="G19" s="10" t="n">
        <f aca="false">E19*F19</f>
        <v>412</v>
      </c>
      <c r="H19" s="10" t="n">
        <f aca="false">IF(OR(Nonlabor!$L$6="Quote required",Nonlabor!$L$6="Unverified"),G19,0)</f>
        <v>412</v>
      </c>
      <c r="I19" s="10" t="n">
        <f aca="false">IF(Nonlabor!$E$6="Core",0,G19)</f>
        <v>0</v>
      </c>
      <c r="J19" s="23" t="str">
        <f aca="false">Nonlabor!$B$6</f>
        <v>INFRA</v>
      </c>
    </row>
    <row r="20" customFormat="false" ht="15" hidden="false" customHeight="false" outlineLevel="0" collapsed="false">
      <c r="A20" s="6" t="s">
        <v>72</v>
      </c>
      <c r="B20" s="6" t="s">
        <v>368</v>
      </c>
      <c r="C20" s="6" t="n">
        <v>15</v>
      </c>
      <c r="D20" s="25" t="n">
        <f aca="false">EDATE('Start Here'!$B$6,C20-1)</f>
        <v>46753</v>
      </c>
      <c r="E20" s="23" t="n">
        <f aca="false">IF(AND(OR(Nonlabor!$D$6="Both",Nonlabor!$D$6='Start Here'!$B$9),IF(Nonlabor!$E$6="Core",1,IF(Nonlabor!$E$6="AI",'Start Here'!$B$7,'Start Here'!$B$8))=1,C20&gt;=IF(Nonlabor!$E$6="Core",Nonlabor!$F$6,MAX(Nonlabor!$F$6,IF(Nonlabor!$E$6="AI",Assumptions!$C$24,Assumptions!$C$25))),C20&lt;=Nonlabor!$G$6,OR(Nonlabor!$H$6="Monthly",AND(Nonlabor!$H$6="Once",C20=IF(Nonlabor!$E$6="Core",Nonlabor!$F$6,MAX(Nonlabor!$F$6,IF(Nonlabor!$E$6="AI",Assumptions!$C$24,Assumptions!$C$25)))),AND(Nonlabor!$H$6="Annual",MOD(C20-IF(Nonlabor!$E$6="Core",Nonlabor!$F$6,MAX(Nonlabor!$F$6,IF(Nonlabor!$E$6="AI",Assumptions!$C$24,Assumptions!$C$25))),12)=0))),IF(Nonlabor!$I$6="Fixed",1,IF(Nonlabor!$I$6="Seats",ROUNDUP('Monthly Lean'!I20,0),IF(Nonlabor!$I$6="Customers",'Monthly Lean'!D20,IF(Nonlabor!$I$6="NewCustomers",'Monthly Lean'!C20,IF(Nonlabor!$I$6="StorageGB",'Monthly Lean'!G20,IF(Nonlabor!$I$6="LogGB",'Monthly Lean'!H20,IF(Nonlabor!$I$6="RequestsM",'Monthly Lean'!F20,IF(Nonlabor!$I$6="InputM",'Monthly Lean'!D20*Assumptions!$C$22/1000000,IF(Nonlabor!$I$6="OutputM",'Monthly Lean'!D20*Assumptions!$C$23/1000000,0))))))))),0)</f>
        <v>1</v>
      </c>
      <c r="F20" s="10" t="n">
        <f aca="false">Nonlabor!$J$6*(1+Assumptions!$C$9)^INT((C20-1)/12)</f>
        <v>412</v>
      </c>
      <c r="G20" s="10" t="n">
        <f aca="false">E20*F20</f>
        <v>412</v>
      </c>
      <c r="H20" s="10" t="n">
        <f aca="false">IF(OR(Nonlabor!$L$6="Quote required",Nonlabor!$L$6="Unverified"),G20,0)</f>
        <v>412</v>
      </c>
      <c r="I20" s="10" t="n">
        <f aca="false">IF(Nonlabor!$E$6="Core",0,G20)</f>
        <v>0</v>
      </c>
      <c r="J20" s="23" t="str">
        <f aca="false">Nonlabor!$B$6</f>
        <v>INFRA</v>
      </c>
    </row>
    <row r="21" customFormat="false" ht="15" hidden="false" customHeight="false" outlineLevel="0" collapsed="false">
      <c r="A21" s="6" t="s">
        <v>72</v>
      </c>
      <c r="B21" s="6" t="s">
        <v>368</v>
      </c>
      <c r="C21" s="6" t="n">
        <v>16</v>
      </c>
      <c r="D21" s="25" t="n">
        <f aca="false">EDATE('Start Here'!$B$6,C21-1)</f>
        <v>46784</v>
      </c>
      <c r="E21" s="23" t="n">
        <f aca="false">IF(AND(OR(Nonlabor!$D$6="Both",Nonlabor!$D$6='Start Here'!$B$9),IF(Nonlabor!$E$6="Core",1,IF(Nonlabor!$E$6="AI",'Start Here'!$B$7,'Start Here'!$B$8))=1,C21&gt;=IF(Nonlabor!$E$6="Core",Nonlabor!$F$6,MAX(Nonlabor!$F$6,IF(Nonlabor!$E$6="AI",Assumptions!$C$24,Assumptions!$C$25))),C21&lt;=Nonlabor!$G$6,OR(Nonlabor!$H$6="Monthly",AND(Nonlabor!$H$6="Once",C21=IF(Nonlabor!$E$6="Core",Nonlabor!$F$6,MAX(Nonlabor!$F$6,IF(Nonlabor!$E$6="AI",Assumptions!$C$24,Assumptions!$C$25)))),AND(Nonlabor!$H$6="Annual",MOD(C21-IF(Nonlabor!$E$6="Core",Nonlabor!$F$6,MAX(Nonlabor!$F$6,IF(Nonlabor!$E$6="AI",Assumptions!$C$24,Assumptions!$C$25))),12)=0))),IF(Nonlabor!$I$6="Fixed",1,IF(Nonlabor!$I$6="Seats",ROUNDUP('Monthly Lean'!I21,0),IF(Nonlabor!$I$6="Customers",'Monthly Lean'!D21,IF(Nonlabor!$I$6="NewCustomers",'Monthly Lean'!C21,IF(Nonlabor!$I$6="StorageGB",'Monthly Lean'!G21,IF(Nonlabor!$I$6="LogGB",'Monthly Lean'!H21,IF(Nonlabor!$I$6="RequestsM",'Monthly Lean'!F21,IF(Nonlabor!$I$6="InputM",'Monthly Lean'!D21*Assumptions!$C$22/1000000,IF(Nonlabor!$I$6="OutputM",'Monthly Lean'!D21*Assumptions!$C$23/1000000,0))))))))),0)</f>
        <v>1</v>
      </c>
      <c r="F21" s="10" t="n">
        <f aca="false">Nonlabor!$J$6*(1+Assumptions!$C$9)^INT((C21-1)/12)</f>
        <v>412</v>
      </c>
      <c r="G21" s="10" t="n">
        <f aca="false">E21*F21</f>
        <v>412</v>
      </c>
      <c r="H21" s="10" t="n">
        <f aca="false">IF(OR(Nonlabor!$L$6="Quote required",Nonlabor!$L$6="Unverified"),G21,0)</f>
        <v>412</v>
      </c>
      <c r="I21" s="10" t="n">
        <f aca="false">IF(Nonlabor!$E$6="Core",0,G21)</f>
        <v>0</v>
      </c>
      <c r="J21" s="23" t="str">
        <f aca="false">Nonlabor!$B$6</f>
        <v>INFRA</v>
      </c>
    </row>
    <row r="22" customFormat="false" ht="15" hidden="false" customHeight="false" outlineLevel="0" collapsed="false">
      <c r="A22" s="6" t="s">
        <v>72</v>
      </c>
      <c r="B22" s="6" t="s">
        <v>368</v>
      </c>
      <c r="C22" s="6" t="n">
        <v>17</v>
      </c>
      <c r="D22" s="25" t="n">
        <f aca="false">EDATE('Start Here'!$B$6,C22-1)</f>
        <v>46813</v>
      </c>
      <c r="E22" s="23" t="n">
        <f aca="false">IF(AND(OR(Nonlabor!$D$6="Both",Nonlabor!$D$6='Start Here'!$B$9),IF(Nonlabor!$E$6="Core",1,IF(Nonlabor!$E$6="AI",'Start Here'!$B$7,'Start Here'!$B$8))=1,C22&gt;=IF(Nonlabor!$E$6="Core",Nonlabor!$F$6,MAX(Nonlabor!$F$6,IF(Nonlabor!$E$6="AI",Assumptions!$C$24,Assumptions!$C$25))),C22&lt;=Nonlabor!$G$6,OR(Nonlabor!$H$6="Monthly",AND(Nonlabor!$H$6="Once",C22=IF(Nonlabor!$E$6="Core",Nonlabor!$F$6,MAX(Nonlabor!$F$6,IF(Nonlabor!$E$6="AI",Assumptions!$C$24,Assumptions!$C$25)))),AND(Nonlabor!$H$6="Annual",MOD(C22-IF(Nonlabor!$E$6="Core",Nonlabor!$F$6,MAX(Nonlabor!$F$6,IF(Nonlabor!$E$6="AI",Assumptions!$C$24,Assumptions!$C$25))),12)=0))),IF(Nonlabor!$I$6="Fixed",1,IF(Nonlabor!$I$6="Seats",ROUNDUP('Monthly Lean'!I22,0),IF(Nonlabor!$I$6="Customers",'Monthly Lean'!D22,IF(Nonlabor!$I$6="NewCustomers",'Monthly Lean'!C22,IF(Nonlabor!$I$6="StorageGB",'Monthly Lean'!G22,IF(Nonlabor!$I$6="LogGB",'Monthly Lean'!H22,IF(Nonlabor!$I$6="RequestsM",'Monthly Lean'!F22,IF(Nonlabor!$I$6="InputM",'Monthly Lean'!D22*Assumptions!$C$22/1000000,IF(Nonlabor!$I$6="OutputM",'Monthly Lean'!D22*Assumptions!$C$23/1000000,0))))))))),0)</f>
        <v>1</v>
      </c>
      <c r="F22" s="10" t="n">
        <f aca="false">Nonlabor!$J$6*(1+Assumptions!$C$9)^INT((C22-1)/12)</f>
        <v>412</v>
      </c>
      <c r="G22" s="10" t="n">
        <f aca="false">E22*F22</f>
        <v>412</v>
      </c>
      <c r="H22" s="10" t="n">
        <f aca="false">IF(OR(Nonlabor!$L$6="Quote required",Nonlabor!$L$6="Unverified"),G22,0)</f>
        <v>412</v>
      </c>
      <c r="I22" s="10" t="n">
        <f aca="false">IF(Nonlabor!$E$6="Core",0,G22)</f>
        <v>0</v>
      </c>
      <c r="J22" s="23" t="str">
        <f aca="false">Nonlabor!$B$6</f>
        <v>INFRA</v>
      </c>
    </row>
    <row r="23" customFormat="false" ht="15" hidden="false" customHeight="false" outlineLevel="0" collapsed="false">
      <c r="A23" s="6" t="s">
        <v>72</v>
      </c>
      <c r="B23" s="6" t="s">
        <v>368</v>
      </c>
      <c r="C23" s="6" t="n">
        <v>18</v>
      </c>
      <c r="D23" s="25" t="n">
        <f aca="false">EDATE('Start Here'!$B$6,C23-1)</f>
        <v>46844</v>
      </c>
      <c r="E23" s="23" t="n">
        <f aca="false">IF(AND(OR(Nonlabor!$D$6="Both",Nonlabor!$D$6='Start Here'!$B$9),IF(Nonlabor!$E$6="Core",1,IF(Nonlabor!$E$6="AI",'Start Here'!$B$7,'Start Here'!$B$8))=1,C23&gt;=IF(Nonlabor!$E$6="Core",Nonlabor!$F$6,MAX(Nonlabor!$F$6,IF(Nonlabor!$E$6="AI",Assumptions!$C$24,Assumptions!$C$25))),C23&lt;=Nonlabor!$G$6,OR(Nonlabor!$H$6="Monthly",AND(Nonlabor!$H$6="Once",C23=IF(Nonlabor!$E$6="Core",Nonlabor!$F$6,MAX(Nonlabor!$F$6,IF(Nonlabor!$E$6="AI",Assumptions!$C$24,Assumptions!$C$25)))),AND(Nonlabor!$H$6="Annual",MOD(C23-IF(Nonlabor!$E$6="Core",Nonlabor!$F$6,MAX(Nonlabor!$F$6,IF(Nonlabor!$E$6="AI",Assumptions!$C$24,Assumptions!$C$25))),12)=0))),IF(Nonlabor!$I$6="Fixed",1,IF(Nonlabor!$I$6="Seats",ROUNDUP('Monthly Lean'!I23,0),IF(Nonlabor!$I$6="Customers",'Monthly Lean'!D23,IF(Nonlabor!$I$6="NewCustomers",'Monthly Lean'!C23,IF(Nonlabor!$I$6="StorageGB",'Monthly Lean'!G23,IF(Nonlabor!$I$6="LogGB",'Monthly Lean'!H23,IF(Nonlabor!$I$6="RequestsM",'Monthly Lean'!F23,IF(Nonlabor!$I$6="InputM",'Monthly Lean'!D23*Assumptions!$C$22/1000000,IF(Nonlabor!$I$6="OutputM",'Monthly Lean'!D23*Assumptions!$C$23/1000000,0))))))))),0)</f>
        <v>1</v>
      </c>
      <c r="F23" s="10" t="n">
        <f aca="false">Nonlabor!$J$6*(1+Assumptions!$C$9)^INT((C23-1)/12)</f>
        <v>412</v>
      </c>
      <c r="G23" s="10" t="n">
        <f aca="false">E23*F23</f>
        <v>412</v>
      </c>
      <c r="H23" s="10" t="n">
        <f aca="false">IF(OR(Nonlabor!$L$6="Quote required",Nonlabor!$L$6="Unverified"),G23,0)</f>
        <v>412</v>
      </c>
      <c r="I23" s="10" t="n">
        <f aca="false">IF(Nonlabor!$E$6="Core",0,G23)</f>
        <v>0</v>
      </c>
      <c r="J23" s="23" t="str">
        <f aca="false">Nonlabor!$B$6</f>
        <v>INFRA</v>
      </c>
    </row>
    <row r="24" customFormat="false" ht="15" hidden="false" customHeight="false" outlineLevel="0" collapsed="false">
      <c r="A24" s="6" t="s">
        <v>72</v>
      </c>
      <c r="B24" s="6" t="s">
        <v>368</v>
      </c>
      <c r="C24" s="6" t="n">
        <v>19</v>
      </c>
      <c r="D24" s="25" t="n">
        <f aca="false">EDATE('Start Here'!$B$6,C24-1)</f>
        <v>46874</v>
      </c>
      <c r="E24" s="23" t="n">
        <f aca="false">IF(AND(OR(Nonlabor!$D$6="Both",Nonlabor!$D$6='Start Here'!$B$9),IF(Nonlabor!$E$6="Core",1,IF(Nonlabor!$E$6="AI",'Start Here'!$B$7,'Start Here'!$B$8))=1,C24&gt;=IF(Nonlabor!$E$6="Core",Nonlabor!$F$6,MAX(Nonlabor!$F$6,IF(Nonlabor!$E$6="AI",Assumptions!$C$24,Assumptions!$C$25))),C24&lt;=Nonlabor!$G$6,OR(Nonlabor!$H$6="Monthly",AND(Nonlabor!$H$6="Once",C24=IF(Nonlabor!$E$6="Core",Nonlabor!$F$6,MAX(Nonlabor!$F$6,IF(Nonlabor!$E$6="AI",Assumptions!$C$24,Assumptions!$C$25)))),AND(Nonlabor!$H$6="Annual",MOD(C24-IF(Nonlabor!$E$6="Core",Nonlabor!$F$6,MAX(Nonlabor!$F$6,IF(Nonlabor!$E$6="AI",Assumptions!$C$24,Assumptions!$C$25))),12)=0))),IF(Nonlabor!$I$6="Fixed",1,IF(Nonlabor!$I$6="Seats",ROUNDUP('Monthly Lean'!I24,0),IF(Nonlabor!$I$6="Customers",'Monthly Lean'!D24,IF(Nonlabor!$I$6="NewCustomers",'Monthly Lean'!C24,IF(Nonlabor!$I$6="StorageGB",'Monthly Lean'!G24,IF(Nonlabor!$I$6="LogGB",'Monthly Lean'!H24,IF(Nonlabor!$I$6="RequestsM",'Monthly Lean'!F24,IF(Nonlabor!$I$6="InputM",'Monthly Lean'!D24*Assumptions!$C$22/1000000,IF(Nonlabor!$I$6="OutputM",'Monthly Lean'!D24*Assumptions!$C$23/1000000,0))))))))),0)</f>
        <v>1</v>
      </c>
      <c r="F24" s="10" t="n">
        <f aca="false">Nonlabor!$J$6*(1+Assumptions!$C$9)^INT((C24-1)/12)</f>
        <v>412</v>
      </c>
      <c r="G24" s="10" t="n">
        <f aca="false">E24*F24</f>
        <v>412</v>
      </c>
      <c r="H24" s="10" t="n">
        <f aca="false">IF(OR(Nonlabor!$L$6="Quote required",Nonlabor!$L$6="Unverified"),G24,0)</f>
        <v>412</v>
      </c>
      <c r="I24" s="10" t="n">
        <f aca="false">IF(Nonlabor!$E$6="Core",0,G24)</f>
        <v>0</v>
      </c>
      <c r="J24" s="23" t="str">
        <f aca="false">Nonlabor!$B$6</f>
        <v>INFRA</v>
      </c>
    </row>
    <row r="25" customFormat="false" ht="15" hidden="false" customHeight="false" outlineLevel="0" collapsed="false">
      <c r="A25" s="6" t="s">
        <v>72</v>
      </c>
      <c r="B25" s="6" t="s">
        <v>368</v>
      </c>
      <c r="C25" s="6" t="n">
        <v>20</v>
      </c>
      <c r="D25" s="25" t="n">
        <f aca="false">EDATE('Start Here'!$B$6,C25-1)</f>
        <v>46905</v>
      </c>
      <c r="E25" s="23" t="n">
        <f aca="false">IF(AND(OR(Nonlabor!$D$6="Both",Nonlabor!$D$6='Start Here'!$B$9),IF(Nonlabor!$E$6="Core",1,IF(Nonlabor!$E$6="AI",'Start Here'!$B$7,'Start Here'!$B$8))=1,C25&gt;=IF(Nonlabor!$E$6="Core",Nonlabor!$F$6,MAX(Nonlabor!$F$6,IF(Nonlabor!$E$6="AI",Assumptions!$C$24,Assumptions!$C$25))),C25&lt;=Nonlabor!$G$6,OR(Nonlabor!$H$6="Monthly",AND(Nonlabor!$H$6="Once",C25=IF(Nonlabor!$E$6="Core",Nonlabor!$F$6,MAX(Nonlabor!$F$6,IF(Nonlabor!$E$6="AI",Assumptions!$C$24,Assumptions!$C$25)))),AND(Nonlabor!$H$6="Annual",MOD(C25-IF(Nonlabor!$E$6="Core",Nonlabor!$F$6,MAX(Nonlabor!$F$6,IF(Nonlabor!$E$6="AI",Assumptions!$C$24,Assumptions!$C$25))),12)=0))),IF(Nonlabor!$I$6="Fixed",1,IF(Nonlabor!$I$6="Seats",ROUNDUP('Monthly Lean'!I25,0),IF(Nonlabor!$I$6="Customers",'Monthly Lean'!D25,IF(Nonlabor!$I$6="NewCustomers",'Monthly Lean'!C25,IF(Nonlabor!$I$6="StorageGB",'Monthly Lean'!G25,IF(Nonlabor!$I$6="LogGB",'Monthly Lean'!H25,IF(Nonlabor!$I$6="RequestsM",'Monthly Lean'!F25,IF(Nonlabor!$I$6="InputM",'Monthly Lean'!D25*Assumptions!$C$22/1000000,IF(Nonlabor!$I$6="OutputM",'Monthly Lean'!D25*Assumptions!$C$23/1000000,0))))))))),0)</f>
        <v>1</v>
      </c>
      <c r="F25" s="10" t="n">
        <f aca="false">Nonlabor!$J$6*(1+Assumptions!$C$9)^INT((C25-1)/12)</f>
        <v>412</v>
      </c>
      <c r="G25" s="10" t="n">
        <f aca="false">E25*F25</f>
        <v>412</v>
      </c>
      <c r="H25" s="10" t="n">
        <f aca="false">IF(OR(Nonlabor!$L$6="Quote required",Nonlabor!$L$6="Unverified"),G25,0)</f>
        <v>412</v>
      </c>
      <c r="I25" s="10" t="n">
        <f aca="false">IF(Nonlabor!$E$6="Core",0,G25)</f>
        <v>0</v>
      </c>
      <c r="J25" s="23" t="str">
        <f aca="false">Nonlabor!$B$6</f>
        <v>INFRA</v>
      </c>
    </row>
    <row r="26" customFormat="false" ht="15" hidden="false" customHeight="false" outlineLevel="0" collapsed="false">
      <c r="A26" s="6" t="s">
        <v>72</v>
      </c>
      <c r="B26" s="6" t="s">
        <v>368</v>
      </c>
      <c r="C26" s="6" t="n">
        <v>21</v>
      </c>
      <c r="D26" s="25" t="n">
        <f aca="false">EDATE('Start Here'!$B$6,C26-1)</f>
        <v>46935</v>
      </c>
      <c r="E26" s="23" t="n">
        <f aca="false">IF(AND(OR(Nonlabor!$D$6="Both",Nonlabor!$D$6='Start Here'!$B$9),IF(Nonlabor!$E$6="Core",1,IF(Nonlabor!$E$6="AI",'Start Here'!$B$7,'Start Here'!$B$8))=1,C26&gt;=IF(Nonlabor!$E$6="Core",Nonlabor!$F$6,MAX(Nonlabor!$F$6,IF(Nonlabor!$E$6="AI",Assumptions!$C$24,Assumptions!$C$25))),C26&lt;=Nonlabor!$G$6,OR(Nonlabor!$H$6="Monthly",AND(Nonlabor!$H$6="Once",C26=IF(Nonlabor!$E$6="Core",Nonlabor!$F$6,MAX(Nonlabor!$F$6,IF(Nonlabor!$E$6="AI",Assumptions!$C$24,Assumptions!$C$25)))),AND(Nonlabor!$H$6="Annual",MOD(C26-IF(Nonlabor!$E$6="Core",Nonlabor!$F$6,MAX(Nonlabor!$F$6,IF(Nonlabor!$E$6="AI",Assumptions!$C$24,Assumptions!$C$25))),12)=0))),IF(Nonlabor!$I$6="Fixed",1,IF(Nonlabor!$I$6="Seats",ROUNDUP('Monthly Lean'!I26,0),IF(Nonlabor!$I$6="Customers",'Monthly Lean'!D26,IF(Nonlabor!$I$6="NewCustomers",'Monthly Lean'!C26,IF(Nonlabor!$I$6="StorageGB",'Monthly Lean'!G26,IF(Nonlabor!$I$6="LogGB",'Monthly Lean'!H26,IF(Nonlabor!$I$6="RequestsM",'Monthly Lean'!F26,IF(Nonlabor!$I$6="InputM",'Monthly Lean'!D26*Assumptions!$C$22/1000000,IF(Nonlabor!$I$6="OutputM",'Monthly Lean'!D26*Assumptions!$C$23/1000000,0))))))))),0)</f>
        <v>1</v>
      </c>
      <c r="F26" s="10" t="n">
        <f aca="false">Nonlabor!$J$6*(1+Assumptions!$C$9)^INT((C26-1)/12)</f>
        <v>412</v>
      </c>
      <c r="G26" s="10" t="n">
        <f aca="false">E26*F26</f>
        <v>412</v>
      </c>
      <c r="H26" s="10" t="n">
        <f aca="false">IF(OR(Nonlabor!$L$6="Quote required",Nonlabor!$L$6="Unverified"),G26,0)</f>
        <v>412</v>
      </c>
      <c r="I26" s="10" t="n">
        <f aca="false">IF(Nonlabor!$E$6="Core",0,G26)</f>
        <v>0</v>
      </c>
      <c r="J26" s="23" t="str">
        <f aca="false">Nonlabor!$B$6</f>
        <v>INFRA</v>
      </c>
    </row>
    <row r="27" customFormat="false" ht="15" hidden="false" customHeight="false" outlineLevel="0" collapsed="false">
      <c r="A27" s="6" t="s">
        <v>72</v>
      </c>
      <c r="B27" s="6" t="s">
        <v>368</v>
      </c>
      <c r="C27" s="6" t="n">
        <v>22</v>
      </c>
      <c r="D27" s="25" t="n">
        <f aca="false">EDATE('Start Here'!$B$6,C27-1)</f>
        <v>46966</v>
      </c>
      <c r="E27" s="23" t="n">
        <f aca="false">IF(AND(OR(Nonlabor!$D$6="Both",Nonlabor!$D$6='Start Here'!$B$9),IF(Nonlabor!$E$6="Core",1,IF(Nonlabor!$E$6="AI",'Start Here'!$B$7,'Start Here'!$B$8))=1,C27&gt;=IF(Nonlabor!$E$6="Core",Nonlabor!$F$6,MAX(Nonlabor!$F$6,IF(Nonlabor!$E$6="AI",Assumptions!$C$24,Assumptions!$C$25))),C27&lt;=Nonlabor!$G$6,OR(Nonlabor!$H$6="Monthly",AND(Nonlabor!$H$6="Once",C27=IF(Nonlabor!$E$6="Core",Nonlabor!$F$6,MAX(Nonlabor!$F$6,IF(Nonlabor!$E$6="AI",Assumptions!$C$24,Assumptions!$C$25)))),AND(Nonlabor!$H$6="Annual",MOD(C27-IF(Nonlabor!$E$6="Core",Nonlabor!$F$6,MAX(Nonlabor!$F$6,IF(Nonlabor!$E$6="AI",Assumptions!$C$24,Assumptions!$C$25))),12)=0))),IF(Nonlabor!$I$6="Fixed",1,IF(Nonlabor!$I$6="Seats",ROUNDUP('Monthly Lean'!I27,0),IF(Nonlabor!$I$6="Customers",'Monthly Lean'!D27,IF(Nonlabor!$I$6="NewCustomers",'Monthly Lean'!C27,IF(Nonlabor!$I$6="StorageGB",'Monthly Lean'!G27,IF(Nonlabor!$I$6="LogGB",'Monthly Lean'!H27,IF(Nonlabor!$I$6="RequestsM",'Monthly Lean'!F27,IF(Nonlabor!$I$6="InputM",'Monthly Lean'!D27*Assumptions!$C$22/1000000,IF(Nonlabor!$I$6="OutputM",'Monthly Lean'!D27*Assumptions!$C$23/1000000,0))))))))),0)</f>
        <v>1</v>
      </c>
      <c r="F27" s="10" t="n">
        <f aca="false">Nonlabor!$J$6*(1+Assumptions!$C$9)^INT((C27-1)/12)</f>
        <v>412</v>
      </c>
      <c r="G27" s="10" t="n">
        <f aca="false">E27*F27</f>
        <v>412</v>
      </c>
      <c r="H27" s="10" t="n">
        <f aca="false">IF(OR(Nonlabor!$L$6="Quote required",Nonlabor!$L$6="Unverified"),G27,0)</f>
        <v>412</v>
      </c>
      <c r="I27" s="10" t="n">
        <f aca="false">IF(Nonlabor!$E$6="Core",0,G27)</f>
        <v>0</v>
      </c>
      <c r="J27" s="23" t="str">
        <f aca="false">Nonlabor!$B$6</f>
        <v>INFRA</v>
      </c>
    </row>
    <row r="28" customFormat="false" ht="15" hidden="false" customHeight="false" outlineLevel="0" collapsed="false">
      <c r="A28" s="6" t="s">
        <v>72</v>
      </c>
      <c r="B28" s="6" t="s">
        <v>368</v>
      </c>
      <c r="C28" s="6" t="n">
        <v>23</v>
      </c>
      <c r="D28" s="25" t="n">
        <f aca="false">EDATE('Start Here'!$B$6,C28-1)</f>
        <v>46997</v>
      </c>
      <c r="E28" s="23" t="n">
        <f aca="false">IF(AND(OR(Nonlabor!$D$6="Both",Nonlabor!$D$6='Start Here'!$B$9),IF(Nonlabor!$E$6="Core",1,IF(Nonlabor!$E$6="AI",'Start Here'!$B$7,'Start Here'!$B$8))=1,C28&gt;=IF(Nonlabor!$E$6="Core",Nonlabor!$F$6,MAX(Nonlabor!$F$6,IF(Nonlabor!$E$6="AI",Assumptions!$C$24,Assumptions!$C$25))),C28&lt;=Nonlabor!$G$6,OR(Nonlabor!$H$6="Monthly",AND(Nonlabor!$H$6="Once",C28=IF(Nonlabor!$E$6="Core",Nonlabor!$F$6,MAX(Nonlabor!$F$6,IF(Nonlabor!$E$6="AI",Assumptions!$C$24,Assumptions!$C$25)))),AND(Nonlabor!$H$6="Annual",MOD(C28-IF(Nonlabor!$E$6="Core",Nonlabor!$F$6,MAX(Nonlabor!$F$6,IF(Nonlabor!$E$6="AI",Assumptions!$C$24,Assumptions!$C$25))),12)=0))),IF(Nonlabor!$I$6="Fixed",1,IF(Nonlabor!$I$6="Seats",ROUNDUP('Monthly Lean'!I28,0),IF(Nonlabor!$I$6="Customers",'Monthly Lean'!D28,IF(Nonlabor!$I$6="NewCustomers",'Monthly Lean'!C28,IF(Nonlabor!$I$6="StorageGB",'Monthly Lean'!G28,IF(Nonlabor!$I$6="LogGB",'Monthly Lean'!H28,IF(Nonlabor!$I$6="RequestsM",'Monthly Lean'!F28,IF(Nonlabor!$I$6="InputM",'Monthly Lean'!D28*Assumptions!$C$22/1000000,IF(Nonlabor!$I$6="OutputM",'Monthly Lean'!D28*Assumptions!$C$23/1000000,0))))))))),0)</f>
        <v>1</v>
      </c>
      <c r="F28" s="10" t="n">
        <f aca="false">Nonlabor!$J$6*(1+Assumptions!$C$9)^INT((C28-1)/12)</f>
        <v>412</v>
      </c>
      <c r="G28" s="10" t="n">
        <f aca="false">E28*F28</f>
        <v>412</v>
      </c>
      <c r="H28" s="10" t="n">
        <f aca="false">IF(OR(Nonlabor!$L$6="Quote required",Nonlabor!$L$6="Unverified"),G28,0)</f>
        <v>412</v>
      </c>
      <c r="I28" s="10" t="n">
        <f aca="false">IF(Nonlabor!$E$6="Core",0,G28)</f>
        <v>0</v>
      </c>
      <c r="J28" s="23" t="str">
        <f aca="false">Nonlabor!$B$6</f>
        <v>INFRA</v>
      </c>
    </row>
    <row r="29" customFormat="false" ht="15" hidden="false" customHeight="false" outlineLevel="0" collapsed="false">
      <c r="A29" s="6" t="s">
        <v>72</v>
      </c>
      <c r="B29" s="6" t="s">
        <v>368</v>
      </c>
      <c r="C29" s="6" t="n">
        <v>24</v>
      </c>
      <c r="D29" s="25" t="n">
        <f aca="false">EDATE('Start Here'!$B$6,C29-1)</f>
        <v>47027</v>
      </c>
      <c r="E29" s="23" t="n">
        <f aca="false">IF(AND(OR(Nonlabor!$D$6="Both",Nonlabor!$D$6='Start Here'!$B$9),IF(Nonlabor!$E$6="Core",1,IF(Nonlabor!$E$6="AI",'Start Here'!$B$7,'Start Here'!$B$8))=1,C29&gt;=IF(Nonlabor!$E$6="Core",Nonlabor!$F$6,MAX(Nonlabor!$F$6,IF(Nonlabor!$E$6="AI",Assumptions!$C$24,Assumptions!$C$25))),C29&lt;=Nonlabor!$G$6,OR(Nonlabor!$H$6="Monthly",AND(Nonlabor!$H$6="Once",C29=IF(Nonlabor!$E$6="Core",Nonlabor!$F$6,MAX(Nonlabor!$F$6,IF(Nonlabor!$E$6="AI",Assumptions!$C$24,Assumptions!$C$25)))),AND(Nonlabor!$H$6="Annual",MOD(C29-IF(Nonlabor!$E$6="Core",Nonlabor!$F$6,MAX(Nonlabor!$F$6,IF(Nonlabor!$E$6="AI",Assumptions!$C$24,Assumptions!$C$25))),12)=0))),IF(Nonlabor!$I$6="Fixed",1,IF(Nonlabor!$I$6="Seats",ROUNDUP('Monthly Lean'!I29,0),IF(Nonlabor!$I$6="Customers",'Monthly Lean'!D29,IF(Nonlabor!$I$6="NewCustomers",'Monthly Lean'!C29,IF(Nonlabor!$I$6="StorageGB",'Monthly Lean'!G29,IF(Nonlabor!$I$6="LogGB",'Monthly Lean'!H29,IF(Nonlabor!$I$6="RequestsM",'Monthly Lean'!F29,IF(Nonlabor!$I$6="InputM",'Monthly Lean'!D29*Assumptions!$C$22/1000000,IF(Nonlabor!$I$6="OutputM",'Monthly Lean'!D29*Assumptions!$C$23/1000000,0))))))))),0)</f>
        <v>1</v>
      </c>
      <c r="F29" s="10" t="n">
        <f aca="false">Nonlabor!$J$6*(1+Assumptions!$C$9)^INT((C29-1)/12)</f>
        <v>412</v>
      </c>
      <c r="G29" s="10" t="n">
        <f aca="false">E29*F29</f>
        <v>412</v>
      </c>
      <c r="H29" s="10" t="n">
        <f aca="false">IF(OR(Nonlabor!$L$6="Quote required",Nonlabor!$L$6="Unverified"),G29,0)</f>
        <v>412</v>
      </c>
      <c r="I29" s="10" t="n">
        <f aca="false">IF(Nonlabor!$E$6="Core",0,G29)</f>
        <v>0</v>
      </c>
      <c r="J29" s="23" t="str">
        <f aca="false">Nonlabor!$B$6</f>
        <v>INFRA</v>
      </c>
    </row>
    <row r="30" customFormat="false" ht="15" hidden="false" customHeight="false" outlineLevel="0" collapsed="false">
      <c r="A30" s="6" t="s">
        <v>72</v>
      </c>
      <c r="B30" s="6" t="s">
        <v>368</v>
      </c>
      <c r="C30" s="6" t="n">
        <v>25</v>
      </c>
      <c r="D30" s="25" t="n">
        <f aca="false">EDATE('Start Here'!$B$6,C30-1)</f>
        <v>47058</v>
      </c>
      <c r="E30" s="23" t="n">
        <f aca="false">IF(AND(OR(Nonlabor!$D$6="Both",Nonlabor!$D$6='Start Here'!$B$9),IF(Nonlabor!$E$6="Core",1,IF(Nonlabor!$E$6="AI",'Start Here'!$B$7,'Start Here'!$B$8))=1,C30&gt;=IF(Nonlabor!$E$6="Core",Nonlabor!$F$6,MAX(Nonlabor!$F$6,IF(Nonlabor!$E$6="AI",Assumptions!$C$24,Assumptions!$C$25))),C30&lt;=Nonlabor!$G$6,OR(Nonlabor!$H$6="Monthly",AND(Nonlabor!$H$6="Once",C30=IF(Nonlabor!$E$6="Core",Nonlabor!$F$6,MAX(Nonlabor!$F$6,IF(Nonlabor!$E$6="AI",Assumptions!$C$24,Assumptions!$C$25)))),AND(Nonlabor!$H$6="Annual",MOD(C30-IF(Nonlabor!$E$6="Core",Nonlabor!$F$6,MAX(Nonlabor!$F$6,IF(Nonlabor!$E$6="AI",Assumptions!$C$24,Assumptions!$C$25))),12)=0))),IF(Nonlabor!$I$6="Fixed",1,IF(Nonlabor!$I$6="Seats",ROUNDUP('Monthly Lean'!I30,0),IF(Nonlabor!$I$6="Customers",'Monthly Lean'!D30,IF(Nonlabor!$I$6="NewCustomers",'Monthly Lean'!C30,IF(Nonlabor!$I$6="StorageGB",'Monthly Lean'!G30,IF(Nonlabor!$I$6="LogGB",'Monthly Lean'!H30,IF(Nonlabor!$I$6="RequestsM",'Monthly Lean'!F30,IF(Nonlabor!$I$6="InputM",'Monthly Lean'!D30*Assumptions!$C$22/1000000,IF(Nonlabor!$I$6="OutputM",'Monthly Lean'!D30*Assumptions!$C$23/1000000,0))))))))),0)</f>
        <v>1</v>
      </c>
      <c r="F30" s="10" t="n">
        <f aca="false">Nonlabor!$J$6*(1+Assumptions!$C$9)^INT((C30-1)/12)</f>
        <v>424.36</v>
      </c>
      <c r="G30" s="10" t="n">
        <f aca="false">E30*F30</f>
        <v>424.36</v>
      </c>
      <c r="H30" s="10" t="n">
        <f aca="false">IF(OR(Nonlabor!$L$6="Quote required",Nonlabor!$L$6="Unverified"),G30,0)</f>
        <v>424.36</v>
      </c>
      <c r="I30" s="10" t="n">
        <f aca="false">IF(Nonlabor!$E$6="Core",0,G30)</f>
        <v>0</v>
      </c>
      <c r="J30" s="23" t="str">
        <f aca="false">Nonlabor!$B$6</f>
        <v>INFRA</v>
      </c>
    </row>
    <row r="31" customFormat="false" ht="15" hidden="false" customHeight="false" outlineLevel="0" collapsed="false">
      <c r="A31" s="6" t="s">
        <v>72</v>
      </c>
      <c r="B31" s="6" t="s">
        <v>368</v>
      </c>
      <c r="C31" s="6" t="n">
        <v>26</v>
      </c>
      <c r="D31" s="25" t="n">
        <f aca="false">EDATE('Start Here'!$B$6,C31-1)</f>
        <v>47088</v>
      </c>
      <c r="E31" s="23" t="n">
        <f aca="false">IF(AND(OR(Nonlabor!$D$6="Both",Nonlabor!$D$6='Start Here'!$B$9),IF(Nonlabor!$E$6="Core",1,IF(Nonlabor!$E$6="AI",'Start Here'!$B$7,'Start Here'!$B$8))=1,C31&gt;=IF(Nonlabor!$E$6="Core",Nonlabor!$F$6,MAX(Nonlabor!$F$6,IF(Nonlabor!$E$6="AI",Assumptions!$C$24,Assumptions!$C$25))),C31&lt;=Nonlabor!$G$6,OR(Nonlabor!$H$6="Monthly",AND(Nonlabor!$H$6="Once",C31=IF(Nonlabor!$E$6="Core",Nonlabor!$F$6,MAX(Nonlabor!$F$6,IF(Nonlabor!$E$6="AI",Assumptions!$C$24,Assumptions!$C$25)))),AND(Nonlabor!$H$6="Annual",MOD(C31-IF(Nonlabor!$E$6="Core",Nonlabor!$F$6,MAX(Nonlabor!$F$6,IF(Nonlabor!$E$6="AI",Assumptions!$C$24,Assumptions!$C$25))),12)=0))),IF(Nonlabor!$I$6="Fixed",1,IF(Nonlabor!$I$6="Seats",ROUNDUP('Monthly Lean'!I31,0),IF(Nonlabor!$I$6="Customers",'Monthly Lean'!D31,IF(Nonlabor!$I$6="NewCustomers",'Monthly Lean'!C31,IF(Nonlabor!$I$6="StorageGB",'Monthly Lean'!G31,IF(Nonlabor!$I$6="LogGB",'Monthly Lean'!H31,IF(Nonlabor!$I$6="RequestsM",'Monthly Lean'!F31,IF(Nonlabor!$I$6="InputM",'Monthly Lean'!D31*Assumptions!$C$22/1000000,IF(Nonlabor!$I$6="OutputM",'Monthly Lean'!D31*Assumptions!$C$23/1000000,0))))))))),0)</f>
        <v>1</v>
      </c>
      <c r="F31" s="10" t="n">
        <f aca="false">Nonlabor!$J$6*(1+Assumptions!$C$9)^INT((C31-1)/12)</f>
        <v>424.36</v>
      </c>
      <c r="G31" s="10" t="n">
        <f aca="false">E31*F31</f>
        <v>424.36</v>
      </c>
      <c r="H31" s="10" t="n">
        <f aca="false">IF(OR(Nonlabor!$L$6="Quote required",Nonlabor!$L$6="Unverified"),G31,0)</f>
        <v>424.36</v>
      </c>
      <c r="I31" s="10" t="n">
        <f aca="false">IF(Nonlabor!$E$6="Core",0,G31)</f>
        <v>0</v>
      </c>
      <c r="J31" s="23" t="str">
        <f aca="false">Nonlabor!$B$6</f>
        <v>INFRA</v>
      </c>
    </row>
    <row r="32" customFormat="false" ht="15" hidden="false" customHeight="false" outlineLevel="0" collapsed="false">
      <c r="A32" s="6" t="s">
        <v>72</v>
      </c>
      <c r="B32" s="6" t="s">
        <v>368</v>
      </c>
      <c r="C32" s="6" t="n">
        <v>27</v>
      </c>
      <c r="D32" s="25" t="n">
        <f aca="false">EDATE('Start Here'!$B$6,C32-1)</f>
        <v>47119</v>
      </c>
      <c r="E32" s="23" t="n">
        <f aca="false">IF(AND(OR(Nonlabor!$D$6="Both",Nonlabor!$D$6='Start Here'!$B$9),IF(Nonlabor!$E$6="Core",1,IF(Nonlabor!$E$6="AI",'Start Here'!$B$7,'Start Here'!$B$8))=1,C32&gt;=IF(Nonlabor!$E$6="Core",Nonlabor!$F$6,MAX(Nonlabor!$F$6,IF(Nonlabor!$E$6="AI",Assumptions!$C$24,Assumptions!$C$25))),C32&lt;=Nonlabor!$G$6,OR(Nonlabor!$H$6="Monthly",AND(Nonlabor!$H$6="Once",C32=IF(Nonlabor!$E$6="Core",Nonlabor!$F$6,MAX(Nonlabor!$F$6,IF(Nonlabor!$E$6="AI",Assumptions!$C$24,Assumptions!$C$25)))),AND(Nonlabor!$H$6="Annual",MOD(C32-IF(Nonlabor!$E$6="Core",Nonlabor!$F$6,MAX(Nonlabor!$F$6,IF(Nonlabor!$E$6="AI",Assumptions!$C$24,Assumptions!$C$25))),12)=0))),IF(Nonlabor!$I$6="Fixed",1,IF(Nonlabor!$I$6="Seats",ROUNDUP('Monthly Lean'!I32,0),IF(Nonlabor!$I$6="Customers",'Monthly Lean'!D32,IF(Nonlabor!$I$6="NewCustomers",'Monthly Lean'!C32,IF(Nonlabor!$I$6="StorageGB",'Monthly Lean'!G32,IF(Nonlabor!$I$6="LogGB",'Monthly Lean'!H32,IF(Nonlabor!$I$6="RequestsM",'Monthly Lean'!F32,IF(Nonlabor!$I$6="InputM",'Monthly Lean'!D32*Assumptions!$C$22/1000000,IF(Nonlabor!$I$6="OutputM",'Monthly Lean'!D32*Assumptions!$C$23/1000000,0))))))))),0)</f>
        <v>1</v>
      </c>
      <c r="F32" s="10" t="n">
        <f aca="false">Nonlabor!$J$6*(1+Assumptions!$C$9)^INT((C32-1)/12)</f>
        <v>424.36</v>
      </c>
      <c r="G32" s="10" t="n">
        <f aca="false">E32*F32</f>
        <v>424.36</v>
      </c>
      <c r="H32" s="10" t="n">
        <f aca="false">IF(OR(Nonlabor!$L$6="Quote required",Nonlabor!$L$6="Unverified"),G32,0)</f>
        <v>424.36</v>
      </c>
      <c r="I32" s="10" t="n">
        <f aca="false">IF(Nonlabor!$E$6="Core",0,G32)</f>
        <v>0</v>
      </c>
      <c r="J32" s="23" t="str">
        <f aca="false">Nonlabor!$B$6</f>
        <v>INFRA</v>
      </c>
    </row>
    <row r="33" customFormat="false" ht="15" hidden="false" customHeight="false" outlineLevel="0" collapsed="false">
      <c r="A33" s="6" t="s">
        <v>72</v>
      </c>
      <c r="B33" s="6" t="s">
        <v>368</v>
      </c>
      <c r="C33" s="6" t="n">
        <v>28</v>
      </c>
      <c r="D33" s="25" t="n">
        <f aca="false">EDATE('Start Here'!$B$6,C33-1)</f>
        <v>47150</v>
      </c>
      <c r="E33" s="23" t="n">
        <f aca="false">IF(AND(OR(Nonlabor!$D$6="Both",Nonlabor!$D$6='Start Here'!$B$9),IF(Nonlabor!$E$6="Core",1,IF(Nonlabor!$E$6="AI",'Start Here'!$B$7,'Start Here'!$B$8))=1,C33&gt;=IF(Nonlabor!$E$6="Core",Nonlabor!$F$6,MAX(Nonlabor!$F$6,IF(Nonlabor!$E$6="AI",Assumptions!$C$24,Assumptions!$C$25))),C33&lt;=Nonlabor!$G$6,OR(Nonlabor!$H$6="Monthly",AND(Nonlabor!$H$6="Once",C33=IF(Nonlabor!$E$6="Core",Nonlabor!$F$6,MAX(Nonlabor!$F$6,IF(Nonlabor!$E$6="AI",Assumptions!$C$24,Assumptions!$C$25)))),AND(Nonlabor!$H$6="Annual",MOD(C33-IF(Nonlabor!$E$6="Core",Nonlabor!$F$6,MAX(Nonlabor!$F$6,IF(Nonlabor!$E$6="AI",Assumptions!$C$24,Assumptions!$C$25))),12)=0))),IF(Nonlabor!$I$6="Fixed",1,IF(Nonlabor!$I$6="Seats",ROUNDUP('Monthly Lean'!I33,0),IF(Nonlabor!$I$6="Customers",'Monthly Lean'!D33,IF(Nonlabor!$I$6="NewCustomers",'Monthly Lean'!C33,IF(Nonlabor!$I$6="StorageGB",'Monthly Lean'!G33,IF(Nonlabor!$I$6="LogGB",'Monthly Lean'!H33,IF(Nonlabor!$I$6="RequestsM",'Monthly Lean'!F33,IF(Nonlabor!$I$6="InputM",'Monthly Lean'!D33*Assumptions!$C$22/1000000,IF(Nonlabor!$I$6="OutputM",'Monthly Lean'!D33*Assumptions!$C$23/1000000,0))))))))),0)</f>
        <v>1</v>
      </c>
      <c r="F33" s="10" t="n">
        <f aca="false">Nonlabor!$J$6*(1+Assumptions!$C$9)^INT((C33-1)/12)</f>
        <v>424.36</v>
      </c>
      <c r="G33" s="10" t="n">
        <f aca="false">E33*F33</f>
        <v>424.36</v>
      </c>
      <c r="H33" s="10" t="n">
        <f aca="false">IF(OR(Nonlabor!$L$6="Quote required",Nonlabor!$L$6="Unverified"),G33,0)</f>
        <v>424.36</v>
      </c>
      <c r="I33" s="10" t="n">
        <f aca="false">IF(Nonlabor!$E$6="Core",0,G33)</f>
        <v>0</v>
      </c>
      <c r="J33" s="23" t="str">
        <f aca="false">Nonlabor!$B$6</f>
        <v>INFRA</v>
      </c>
    </row>
    <row r="34" customFormat="false" ht="15" hidden="false" customHeight="false" outlineLevel="0" collapsed="false">
      <c r="A34" s="6" t="s">
        <v>72</v>
      </c>
      <c r="B34" s="6" t="s">
        <v>368</v>
      </c>
      <c r="C34" s="6" t="n">
        <v>29</v>
      </c>
      <c r="D34" s="25" t="n">
        <f aca="false">EDATE('Start Here'!$B$6,C34-1)</f>
        <v>47178</v>
      </c>
      <c r="E34" s="23" t="n">
        <f aca="false">IF(AND(OR(Nonlabor!$D$6="Both",Nonlabor!$D$6='Start Here'!$B$9),IF(Nonlabor!$E$6="Core",1,IF(Nonlabor!$E$6="AI",'Start Here'!$B$7,'Start Here'!$B$8))=1,C34&gt;=IF(Nonlabor!$E$6="Core",Nonlabor!$F$6,MAX(Nonlabor!$F$6,IF(Nonlabor!$E$6="AI",Assumptions!$C$24,Assumptions!$C$25))),C34&lt;=Nonlabor!$G$6,OR(Nonlabor!$H$6="Monthly",AND(Nonlabor!$H$6="Once",C34=IF(Nonlabor!$E$6="Core",Nonlabor!$F$6,MAX(Nonlabor!$F$6,IF(Nonlabor!$E$6="AI",Assumptions!$C$24,Assumptions!$C$25)))),AND(Nonlabor!$H$6="Annual",MOD(C34-IF(Nonlabor!$E$6="Core",Nonlabor!$F$6,MAX(Nonlabor!$F$6,IF(Nonlabor!$E$6="AI",Assumptions!$C$24,Assumptions!$C$25))),12)=0))),IF(Nonlabor!$I$6="Fixed",1,IF(Nonlabor!$I$6="Seats",ROUNDUP('Monthly Lean'!I34,0),IF(Nonlabor!$I$6="Customers",'Monthly Lean'!D34,IF(Nonlabor!$I$6="NewCustomers",'Monthly Lean'!C34,IF(Nonlabor!$I$6="StorageGB",'Monthly Lean'!G34,IF(Nonlabor!$I$6="LogGB",'Monthly Lean'!H34,IF(Nonlabor!$I$6="RequestsM",'Monthly Lean'!F34,IF(Nonlabor!$I$6="InputM",'Monthly Lean'!D34*Assumptions!$C$22/1000000,IF(Nonlabor!$I$6="OutputM",'Monthly Lean'!D34*Assumptions!$C$23/1000000,0))))))))),0)</f>
        <v>1</v>
      </c>
      <c r="F34" s="10" t="n">
        <f aca="false">Nonlabor!$J$6*(1+Assumptions!$C$9)^INT((C34-1)/12)</f>
        <v>424.36</v>
      </c>
      <c r="G34" s="10" t="n">
        <f aca="false">E34*F34</f>
        <v>424.36</v>
      </c>
      <c r="H34" s="10" t="n">
        <f aca="false">IF(OR(Nonlabor!$L$6="Quote required",Nonlabor!$L$6="Unverified"),G34,0)</f>
        <v>424.36</v>
      </c>
      <c r="I34" s="10" t="n">
        <f aca="false">IF(Nonlabor!$E$6="Core",0,G34)</f>
        <v>0</v>
      </c>
      <c r="J34" s="23" t="str">
        <f aca="false">Nonlabor!$B$6</f>
        <v>INFRA</v>
      </c>
    </row>
    <row r="35" customFormat="false" ht="15" hidden="false" customHeight="false" outlineLevel="0" collapsed="false">
      <c r="A35" s="6" t="s">
        <v>72</v>
      </c>
      <c r="B35" s="6" t="s">
        <v>368</v>
      </c>
      <c r="C35" s="6" t="n">
        <v>30</v>
      </c>
      <c r="D35" s="25" t="n">
        <f aca="false">EDATE('Start Here'!$B$6,C35-1)</f>
        <v>47209</v>
      </c>
      <c r="E35" s="23" t="n">
        <f aca="false">IF(AND(OR(Nonlabor!$D$6="Both",Nonlabor!$D$6='Start Here'!$B$9),IF(Nonlabor!$E$6="Core",1,IF(Nonlabor!$E$6="AI",'Start Here'!$B$7,'Start Here'!$B$8))=1,C35&gt;=IF(Nonlabor!$E$6="Core",Nonlabor!$F$6,MAX(Nonlabor!$F$6,IF(Nonlabor!$E$6="AI",Assumptions!$C$24,Assumptions!$C$25))),C35&lt;=Nonlabor!$G$6,OR(Nonlabor!$H$6="Monthly",AND(Nonlabor!$H$6="Once",C35=IF(Nonlabor!$E$6="Core",Nonlabor!$F$6,MAX(Nonlabor!$F$6,IF(Nonlabor!$E$6="AI",Assumptions!$C$24,Assumptions!$C$25)))),AND(Nonlabor!$H$6="Annual",MOD(C35-IF(Nonlabor!$E$6="Core",Nonlabor!$F$6,MAX(Nonlabor!$F$6,IF(Nonlabor!$E$6="AI",Assumptions!$C$24,Assumptions!$C$25))),12)=0))),IF(Nonlabor!$I$6="Fixed",1,IF(Nonlabor!$I$6="Seats",ROUNDUP('Monthly Lean'!I35,0),IF(Nonlabor!$I$6="Customers",'Monthly Lean'!D35,IF(Nonlabor!$I$6="NewCustomers",'Monthly Lean'!C35,IF(Nonlabor!$I$6="StorageGB",'Monthly Lean'!G35,IF(Nonlabor!$I$6="LogGB",'Monthly Lean'!H35,IF(Nonlabor!$I$6="RequestsM",'Monthly Lean'!F35,IF(Nonlabor!$I$6="InputM",'Monthly Lean'!D35*Assumptions!$C$22/1000000,IF(Nonlabor!$I$6="OutputM",'Monthly Lean'!D35*Assumptions!$C$23/1000000,0))))))))),0)</f>
        <v>1</v>
      </c>
      <c r="F35" s="10" t="n">
        <f aca="false">Nonlabor!$J$6*(1+Assumptions!$C$9)^INT((C35-1)/12)</f>
        <v>424.36</v>
      </c>
      <c r="G35" s="10" t="n">
        <f aca="false">E35*F35</f>
        <v>424.36</v>
      </c>
      <c r="H35" s="10" t="n">
        <f aca="false">IF(OR(Nonlabor!$L$6="Quote required",Nonlabor!$L$6="Unverified"),G35,0)</f>
        <v>424.36</v>
      </c>
      <c r="I35" s="10" t="n">
        <f aca="false">IF(Nonlabor!$E$6="Core",0,G35)</f>
        <v>0</v>
      </c>
      <c r="J35" s="23" t="str">
        <f aca="false">Nonlabor!$B$6</f>
        <v>INFRA</v>
      </c>
    </row>
    <row r="36" customFormat="false" ht="15" hidden="false" customHeight="false" outlineLevel="0" collapsed="false">
      <c r="A36" s="6" t="s">
        <v>72</v>
      </c>
      <c r="B36" s="6" t="s">
        <v>368</v>
      </c>
      <c r="C36" s="6" t="n">
        <v>31</v>
      </c>
      <c r="D36" s="25" t="n">
        <f aca="false">EDATE('Start Here'!$B$6,C36-1)</f>
        <v>47239</v>
      </c>
      <c r="E36" s="23" t="n">
        <f aca="false">IF(AND(OR(Nonlabor!$D$6="Both",Nonlabor!$D$6='Start Here'!$B$9),IF(Nonlabor!$E$6="Core",1,IF(Nonlabor!$E$6="AI",'Start Here'!$B$7,'Start Here'!$B$8))=1,C36&gt;=IF(Nonlabor!$E$6="Core",Nonlabor!$F$6,MAX(Nonlabor!$F$6,IF(Nonlabor!$E$6="AI",Assumptions!$C$24,Assumptions!$C$25))),C36&lt;=Nonlabor!$G$6,OR(Nonlabor!$H$6="Monthly",AND(Nonlabor!$H$6="Once",C36=IF(Nonlabor!$E$6="Core",Nonlabor!$F$6,MAX(Nonlabor!$F$6,IF(Nonlabor!$E$6="AI",Assumptions!$C$24,Assumptions!$C$25)))),AND(Nonlabor!$H$6="Annual",MOD(C36-IF(Nonlabor!$E$6="Core",Nonlabor!$F$6,MAX(Nonlabor!$F$6,IF(Nonlabor!$E$6="AI",Assumptions!$C$24,Assumptions!$C$25))),12)=0))),IF(Nonlabor!$I$6="Fixed",1,IF(Nonlabor!$I$6="Seats",ROUNDUP('Monthly Lean'!I36,0),IF(Nonlabor!$I$6="Customers",'Monthly Lean'!D36,IF(Nonlabor!$I$6="NewCustomers",'Monthly Lean'!C36,IF(Nonlabor!$I$6="StorageGB",'Monthly Lean'!G36,IF(Nonlabor!$I$6="LogGB",'Monthly Lean'!H36,IF(Nonlabor!$I$6="RequestsM",'Monthly Lean'!F36,IF(Nonlabor!$I$6="InputM",'Monthly Lean'!D36*Assumptions!$C$22/1000000,IF(Nonlabor!$I$6="OutputM",'Monthly Lean'!D36*Assumptions!$C$23/1000000,0))))))))),0)</f>
        <v>1</v>
      </c>
      <c r="F36" s="10" t="n">
        <f aca="false">Nonlabor!$J$6*(1+Assumptions!$C$9)^INT((C36-1)/12)</f>
        <v>424.36</v>
      </c>
      <c r="G36" s="10" t="n">
        <f aca="false">E36*F36</f>
        <v>424.36</v>
      </c>
      <c r="H36" s="10" t="n">
        <f aca="false">IF(OR(Nonlabor!$L$6="Quote required",Nonlabor!$L$6="Unverified"),G36,0)</f>
        <v>424.36</v>
      </c>
      <c r="I36" s="10" t="n">
        <f aca="false">IF(Nonlabor!$E$6="Core",0,G36)</f>
        <v>0</v>
      </c>
      <c r="J36" s="23" t="str">
        <f aca="false">Nonlabor!$B$6</f>
        <v>INFRA</v>
      </c>
    </row>
    <row r="37" customFormat="false" ht="15" hidden="false" customHeight="false" outlineLevel="0" collapsed="false">
      <c r="A37" s="6" t="s">
        <v>72</v>
      </c>
      <c r="B37" s="6" t="s">
        <v>368</v>
      </c>
      <c r="C37" s="6" t="n">
        <v>32</v>
      </c>
      <c r="D37" s="25" t="n">
        <f aca="false">EDATE('Start Here'!$B$6,C37-1)</f>
        <v>47270</v>
      </c>
      <c r="E37" s="23" t="n">
        <f aca="false">IF(AND(OR(Nonlabor!$D$6="Both",Nonlabor!$D$6='Start Here'!$B$9),IF(Nonlabor!$E$6="Core",1,IF(Nonlabor!$E$6="AI",'Start Here'!$B$7,'Start Here'!$B$8))=1,C37&gt;=IF(Nonlabor!$E$6="Core",Nonlabor!$F$6,MAX(Nonlabor!$F$6,IF(Nonlabor!$E$6="AI",Assumptions!$C$24,Assumptions!$C$25))),C37&lt;=Nonlabor!$G$6,OR(Nonlabor!$H$6="Monthly",AND(Nonlabor!$H$6="Once",C37=IF(Nonlabor!$E$6="Core",Nonlabor!$F$6,MAX(Nonlabor!$F$6,IF(Nonlabor!$E$6="AI",Assumptions!$C$24,Assumptions!$C$25)))),AND(Nonlabor!$H$6="Annual",MOD(C37-IF(Nonlabor!$E$6="Core",Nonlabor!$F$6,MAX(Nonlabor!$F$6,IF(Nonlabor!$E$6="AI",Assumptions!$C$24,Assumptions!$C$25))),12)=0))),IF(Nonlabor!$I$6="Fixed",1,IF(Nonlabor!$I$6="Seats",ROUNDUP('Monthly Lean'!I37,0),IF(Nonlabor!$I$6="Customers",'Monthly Lean'!D37,IF(Nonlabor!$I$6="NewCustomers",'Monthly Lean'!C37,IF(Nonlabor!$I$6="StorageGB",'Monthly Lean'!G37,IF(Nonlabor!$I$6="LogGB",'Monthly Lean'!H37,IF(Nonlabor!$I$6="RequestsM",'Monthly Lean'!F37,IF(Nonlabor!$I$6="InputM",'Monthly Lean'!D37*Assumptions!$C$22/1000000,IF(Nonlabor!$I$6="OutputM",'Monthly Lean'!D37*Assumptions!$C$23/1000000,0))))))))),0)</f>
        <v>1</v>
      </c>
      <c r="F37" s="10" t="n">
        <f aca="false">Nonlabor!$J$6*(1+Assumptions!$C$9)^INT((C37-1)/12)</f>
        <v>424.36</v>
      </c>
      <c r="G37" s="10" t="n">
        <f aca="false">E37*F37</f>
        <v>424.36</v>
      </c>
      <c r="H37" s="10" t="n">
        <f aca="false">IF(OR(Nonlabor!$L$6="Quote required",Nonlabor!$L$6="Unverified"),G37,0)</f>
        <v>424.36</v>
      </c>
      <c r="I37" s="10" t="n">
        <f aca="false">IF(Nonlabor!$E$6="Core",0,G37)</f>
        <v>0</v>
      </c>
      <c r="J37" s="23" t="str">
        <f aca="false">Nonlabor!$B$6</f>
        <v>INFRA</v>
      </c>
    </row>
    <row r="38" customFormat="false" ht="15" hidden="false" customHeight="false" outlineLevel="0" collapsed="false">
      <c r="A38" s="6" t="s">
        <v>72</v>
      </c>
      <c r="B38" s="6" t="s">
        <v>368</v>
      </c>
      <c r="C38" s="6" t="n">
        <v>33</v>
      </c>
      <c r="D38" s="25" t="n">
        <f aca="false">EDATE('Start Here'!$B$6,C38-1)</f>
        <v>47300</v>
      </c>
      <c r="E38" s="23" t="n">
        <f aca="false">IF(AND(OR(Nonlabor!$D$6="Both",Nonlabor!$D$6='Start Here'!$B$9),IF(Nonlabor!$E$6="Core",1,IF(Nonlabor!$E$6="AI",'Start Here'!$B$7,'Start Here'!$B$8))=1,C38&gt;=IF(Nonlabor!$E$6="Core",Nonlabor!$F$6,MAX(Nonlabor!$F$6,IF(Nonlabor!$E$6="AI",Assumptions!$C$24,Assumptions!$C$25))),C38&lt;=Nonlabor!$G$6,OR(Nonlabor!$H$6="Monthly",AND(Nonlabor!$H$6="Once",C38=IF(Nonlabor!$E$6="Core",Nonlabor!$F$6,MAX(Nonlabor!$F$6,IF(Nonlabor!$E$6="AI",Assumptions!$C$24,Assumptions!$C$25)))),AND(Nonlabor!$H$6="Annual",MOD(C38-IF(Nonlabor!$E$6="Core",Nonlabor!$F$6,MAX(Nonlabor!$F$6,IF(Nonlabor!$E$6="AI",Assumptions!$C$24,Assumptions!$C$25))),12)=0))),IF(Nonlabor!$I$6="Fixed",1,IF(Nonlabor!$I$6="Seats",ROUNDUP('Monthly Lean'!I38,0),IF(Nonlabor!$I$6="Customers",'Monthly Lean'!D38,IF(Nonlabor!$I$6="NewCustomers",'Monthly Lean'!C38,IF(Nonlabor!$I$6="StorageGB",'Monthly Lean'!G38,IF(Nonlabor!$I$6="LogGB",'Monthly Lean'!H38,IF(Nonlabor!$I$6="RequestsM",'Monthly Lean'!F38,IF(Nonlabor!$I$6="InputM",'Monthly Lean'!D38*Assumptions!$C$22/1000000,IF(Nonlabor!$I$6="OutputM",'Monthly Lean'!D38*Assumptions!$C$23/1000000,0))))))))),0)</f>
        <v>1</v>
      </c>
      <c r="F38" s="10" t="n">
        <f aca="false">Nonlabor!$J$6*(1+Assumptions!$C$9)^INT((C38-1)/12)</f>
        <v>424.36</v>
      </c>
      <c r="G38" s="10" t="n">
        <f aca="false">E38*F38</f>
        <v>424.36</v>
      </c>
      <c r="H38" s="10" t="n">
        <f aca="false">IF(OR(Nonlabor!$L$6="Quote required",Nonlabor!$L$6="Unverified"),G38,0)</f>
        <v>424.36</v>
      </c>
      <c r="I38" s="10" t="n">
        <f aca="false">IF(Nonlabor!$E$6="Core",0,G38)</f>
        <v>0</v>
      </c>
      <c r="J38" s="23" t="str">
        <f aca="false">Nonlabor!$B$6</f>
        <v>INFRA</v>
      </c>
    </row>
    <row r="39" customFormat="false" ht="15" hidden="false" customHeight="false" outlineLevel="0" collapsed="false">
      <c r="A39" s="6" t="s">
        <v>72</v>
      </c>
      <c r="B39" s="6" t="s">
        <v>368</v>
      </c>
      <c r="C39" s="6" t="n">
        <v>34</v>
      </c>
      <c r="D39" s="25" t="n">
        <f aca="false">EDATE('Start Here'!$B$6,C39-1)</f>
        <v>47331</v>
      </c>
      <c r="E39" s="23" t="n">
        <f aca="false">IF(AND(OR(Nonlabor!$D$6="Both",Nonlabor!$D$6='Start Here'!$B$9),IF(Nonlabor!$E$6="Core",1,IF(Nonlabor!$E$6="AI",'Start Here'!$B$7,'Start Here'!$B$8))=1,C39&gt;=IF(Nonlabor!$E$6="Core",Nonlabor!$F$6,MAX(Nonlabor!$F$6,IF(Nonlabor!$E$6="AI",Assumptions!$C$24,Assumptions!$C$25))),C39&lt;=Nonlabor!$G$6,OR(Nonlabor!$H$6="Monthly",AND(Nonlabor!$H$6="Once",C39=IF(Nonlabor!$E$6="Core",Nonlabor!$F$6,MAX(Nonlabor!$F$6,IF(Nonlabor!$E$6="AI",Assumptions!$C$24,Assumptions!$C$25)))),AND(Nonlabor!$H$6="Annual",MOD(C39-IF(Nonlabor!$E$6="Core",Nonlabor!$F$6,MAX(Nonlabor!$F$6,IF(Nonlabor!$E$6="AI",Assumptions!$C$24,Assumptions!$C$25))),12)=0))),IF(Nonlabor!$I$6="Fixed",1,IF(Nonlabor!$I$6="Seats",ROUNDUP('Monthly Lean'!I39,0),IF(Nonlabor!$I$6="Customers",'Monthly Lean'!D39,IF(Nonlabor!$I$6="NewCustomers",'Monthly Lean'!C39,IF(Nonlabor!$I$6="StorageGB",'Monthly Lean'!G39,IF(Nonlabor!$I$6="LogGB",'Monthly Lean'!H39,IF(Nonlabor!$I$6="RequestsM",'Monthly Lean'!F39,IF(Nonlabor!$I$6="InputM",'Monthly Lean'!D39*Assumptions!$C$22/1000000,IF(Nonlabor!$I$6="OutputM",'Monthly Lean'!D39*Assumptions!$C$23/1000000,0))))))))),0)</f>
        <v>1</v>
      </c>
      <c r="F39" s="10" t="n">
        <f aca="false">Nonlabor!$J$6*(1+Assumptions!$C$9)^INT((C39-1)/12)</f>
        <v>424.36</v>
      </c>
      <c r="G39" s="10" t="n">
        <f aca="false">E39*F39</f>
        <v>424.36</v>
      </c>
      <c r="H39" s="10" t="n">
        <f aca="false">IF(OR(Nonlabor!$L$6="Quote required",Nonlabor!$L$6="Unverified"),G39,0)</f>
        <v>424.36</v>
      </c>
      <c r="I39" s="10" t="n">
        <f aca="false">IF(Nonlabor!$E$6="Core",0,G39)</f>
        <v>0</v>
      </c>
      <c r="J39" s="23" t="str">
        <f aca="false">Nonlabor!$B$6</f>
        <v>INFRA</v>
      </c>
    </row>
    <row r="40" customFormat="false" ht="15" hidden="false" customHeight="false" outlineLevel="0" collapsed="false">
      <c r="A40" s="6" t="s">
        <v>72</v>
      </c>
      <c r="B40" s="6" t="s">
        <v>368</v>
      </c>
      <c r="C40" s="6" t="n">
        <v>35</v>
      </c>
      <c r="D40" s="25" t="n">
        <f aca="false">EDATE('Start Here'!$B$6,C40-1)</f>
        <v>47362</v>
      </c>
      <c r="E40" s="23" t="n">
        <f aca="false">IF(AND(OR(Nonlabor!$D$6="Both",Nonlabor!$D$6='Start Here'!$B$9),IF(Nonlabor!$E$6="Core",1,IF(Nonlabor!$E$6="AI",'Start Here'!$B$7,'Start Here'!$B$8))=1,C40&gt;=IF(Nonlabor!$E$6="Core",Nonlabor!$F$6,MAX(Nonlabor!$F$6,IF(Nonlabor!$E$6="AI",Assumptions!$C$24,Assumptions!$C$25))),C40&lt;=Nonlabor!$G$6,OR(Nonlabor!$H$6="Monthly",AND(Nonlabor!$H$6="Once",C40=IF(Nonlabor!$E$6="Core",Nonlabor!$F$6,MAX(Nonlabor!$F$6,IF(Nonlabor!$E$6="AI",Assumptions!$C$24,Assumptions!$C$25)))),AND(Nonlabor!$H$6="Annual",MOD(C40-IF(Nonlabor!$E$6="Core",Nonlabor!$F$6,MAX(Nonlabor!$F$6,IF(Nonlabor!$E$6="AI",Assumptions!$C$24,Assumptions!$C$25))),12)=0))),IF(Nonlabor!$I$6="Fixed",1,IF(Nonlabor!$I$6="Seats",ROUNDUP('Monthly Lean'!I40,0),IF(Nonlabor!$I$6="Customers",'Monthly Lean'!D40,IF(Nonlabor!$I$6="NewCustomers",'Monthly Lean'!C40,IF(Nonlabor!$I$6="StorageGB",'Monthly Lean'!G40,IF(Nonlabor!$I$6="LogGB",'Monthly Lean'!H40,IF(Nonlabor!$I$6="RequestsM",'Monthly Lean'!F40,IF(Nonlabor!$I$6="InputM",'Monthly Lean'!D40*Assumptions!$C$22/1000000,IF(Nonlabor!$I$6="OutputM",'Monthly Lean'!D40*Assumptions!$C$23/1000000,0))))))))),0)</f>
        <v>1</v>
      </c>
      <c r="F40" s="10" t="n">
        <f aca="false">Nonlabor!$J$6*(1+Assumptions!$C$9)^INT((C40-1)/12)</f>
        <v>424.36</v>
      </c>
      <c r="G40" s="10" t="n">
        <f aca="false">E40*F40</f>
        <v>424.36</v>
      </c>
      <c r="H40" s="10" t="n">
        <f aca="false">IF(OR(Nonlabor!$L$6="Quote required",Nonlabor!$L$6="Unverified"),G40,0)</f>
        <v>424.36</v>
      </c>
      <c r="I40" s="10" t="n">
        <f aca="false">IF(Nonlabor!$E$6="Core",0,G40)</f>
        <v>0</v>
      </c>
      <c r="J40" s="23" t="str">
        <f aca="false">Nonlabor!$B$6</f>
        <v>INFRA</v>
      </c>
    </row>
    <row r="41" customFormat="false" ht="15" hidden="false" customHeight="false" outlineLevel="0" collapsed="false">
      <c r="A41" s="6" t="s">
        <v>72</v>
      </c>
      <c r="B41" s="6" t="s">
        <v>368</v>
      </c>
      <c r="C41" s="6" t="n">
        <v>36</v>
      </c>
      <c r="D41" s="25" t="n">
        <f aca="false">EDATE('Start Here'!$B$6,C41-1)</f>
        <v>47392</v>
      </c>
      <c r="E41" s="23" t="n">
        <f aca="false">IF(AND(OR(Nonlabor!$D$6="Both",Nonlabor!$D$6='Start Here'!$B$9),IF(Nonlabor!$E$6="Core",1,IF(Nonlabor!$E$6="AI",'Start Here'!$B$7,'Start Here'!$B$8))=1,C41&gt;=IF(Nonlabor!$E$6="Core",Nonlabor!$F$6,MAX(Nonlabor!$F$6,IF(Nonlabor!$E$6="AI",Assumptions!$C$24,Assumptions!$C$25))),C41&lt;=Nonlabor!$G$6,OR(Nonlabor!$H$6="Monthly",AND(Nonlabor!$H$6="Once",C41=IF(Nonlabor!$E$6="Core",Nonlabor!$F$6,MAX(Nonlabor!$F$6,IF(Nonlabor!$E$6="AI",Assumptions!$C$24,Assumptions!$C$25)))),AND(Nonlabor!$H$6="Annual",MOD(C41-IF(Nonlabor!$E$6="Core",Nonlabor!$F$6,MAX(Nonlabor!$F$6,IF(Nonlabor!$E$6="AI",Assumptions!$C$24,Assumptions!$C$25))),12)=0))),IF(Nonlabor!$I$6="Fixed",1,IF(Nonlabor!$I$6="Seats",ROUNDUP('Monthly Lean'!I41,0),IF(Nonlabor!$I$6="Customers",'Monthly Lean'!D41,IF(Nonlabor!$I$6="NewCustomers",'Monthly Lean'!C41,IF(Nonlabor!$I$6="StorageGB",'Monthly Lean'!G41,IF(Nonlabor!$I$6="LogGB",'Monthly Lean'!H41,IF(Nonlabor!$I$6="RequestsM",'Monthly Lean'!F41,IF(Nonlabor!$I$6="InputM",'Monthly Lean'!D41*Assumptions!$C$22/1000000,IF(Nonlabor!$I$6="OutputM",'Monthly Lean'!D41*Assumptions!$C$23/1000000,0))))))))),0)</f>
        <v>1</v>
      </c>
      <c r="F41" s="10" t="n">
        <f aca="false">Nonlabor!$J$6*(1+Assumptions!$C$9)^INT((C41-1)/12)</f>
        <v>424.36</v>
      </c>
      <c r="G41" s="10" t="n">
        <f aca="false">E41*F41</f>
        <v>424.36</v>
      </c>
      <c r="H41" s="10" t="n">
        <f aca="false">IF(OR(Nonlabor!$L$6="Quote required",Nonlabor!$L$6="Unverified"),G41,0)</f>
        <v>424.36</v>
      </c>
      <c r="I41" s="10" t="n">
        <f aca="false">IF(Nonlabor!$E$6="Core",0,G41)</f>
        <v>0</v>
      </c>
      <c r="J41" s="23" t="str">
        <f aca="false">Nonlabor!$B$6</f>
        <v>INFRA</v>
      </c>
    </row>
    <row r="42" customFormat="false" ht="15" hidden="false" customHeight="false" outlineLevel="0" collapsed="false">
      <c r="A42" s="6" t="s">
        <v>72</v>
      </c>
      <c r="B42" s="6" t="s">
        <v>368</v>
      </c>
      <c r="C42" s="6" t="n">
        <v>37</v>
      </c>
      <c r="D42" s="25" t="n">
        <f aca="false">EDATE('Start Here'!$B$6,C42-1)</f>
        <v>47423</v>
      </c>
      <c r="E42" s="23" t="n">
        <f aca="false">IF(AND(OR(Nonlabor!$D$6="Both",Nonlabor!$D$6='Start Here'!$B$9),IF(Nonlabor!$E$6="Core",1,IF(Nonlabor!$E$6="AI",'Start Here'!$B$7,'Start Here'!$B$8))=1,C42&gt;=IF(Nonlabor!$E$6="Core",Nonlabor!$F$6,MAX(Nonlabor!$F$6,IF(Nonlabor!$E$6="AI",Assumptions!$C$24,Assumptions!$C$25))),C42&lt;=Nonlabor!$G$6,OR(Nonlabor!$H$6="Monthly",AND(Nonlabor!$H$6="Once",C42=IF(Nonlabor!$E$6="Core",Nonlabor!$F$6,MAX(Nonlabor!$F$6,IF(Nonlabor!$E$6="AI",Assumptions!$C$24,Assumptions!$C$25)))),AND(Nonlabor!$H$6="Annual",MOD(C42-IF(Nonlabor!$E$6="Core",Nonlabor!$F$6,MAX(Nonlabor!$F$6,IF(Nonlabor!$E$6="AI",Assumptions!$C$24,Assumptions!$C$25))),12)=0))),IF(Nonlabor!$I$6="Fixed",1,IF(Nonlabor!$I$6="Seats",ROUNDUP('Monthly Lean'!I42,0),IF(Nonlabor!$I$6="Customers",'Monthly Lean'!D42,IF(Nonlabor!$I$6="NewCustomers",'Monthly Lean'!C42,IF(Nonlabor!$I$6="StorageGB",'Monthly Lean'!G42,IF(Nonlabor!$I$6="LogGB",'Monthly Lean'!H42,IF(Nonlabor!$I$6="RequestsM",'Monthly Lean'!F42,IF(Nonlabor!$I$6="InputM",'Monthly Lean'!D42*Assumptions!$C$22/1000000,IF(Nonlabor!$I$6="OutputM",'Monthly Lean'!D42*Assumptions!$C$23/1000000,0))))))))),0)</f>
        <v>1</v>
      </c>
      <c r="F42" s="10" t="n">
        <f aca="false">Nonlabor!$J$6*(1+Assumptions!$C$9)^INT((C42-1)/12)</f>
        <v>437.0908</v>
      </c>
      <c r="G42" s="10" t="n">
        <f aca="false">E42*F42</f>
        <v>437.0908</v>
      </c>
      <c r="H42" s="10" t="n">
        <f aca="false">IF(OR(Nonlabor!$L$6="Quote required",Nonlabor!$L$6="Unverified"),G42,0)</f>
        <v>437.0908</v>
      </c>
      <c r="I42" s="10" t="n">
        <f aca="false">IF(Nonlabor!$E$6="Core",0,G42)</f>
        <v>0</v>
      </c>
      <c r="J42" s="23" t="str">
        <f aca="false">Nonlabor!$B$6</f>
        <v>INFRA</v>
      </c>
    </row>
    <row r="43" customFormat="false" ht="15" hidden="false" customHeight="false" outlineLevel="0" collapsed="false">
      <c r="A43" s="6" t="s">
        <v>72</v>
      </c>
      <c r="B43" s="6" t="s">
        <v>368</v>
      </c>
      <c r="C43" s="6" t="n">
        <v>38</v>
      </c>
      <c r="D43" s="25" t="n">
        <f aca="false">EDATE('Start Here'!$B$6,C43-1)</f>
        <v>47453</v>
      </c>
      <c r="E43" s="23" t="n">
        <f aca="false">IF(AND(OR(Nonlabor!$D$6="Both",Nonlabor!$D$6='Start Here'!$B$9),IF(Nonlabor!$E$6="Core",1,IF(Nonlabor!$E$6="AI",'Start Here'!$B$7,'Start Here'!$B$8))=1,C43&gt;=IF(Nonlabor!$E$6="Core",Nonlabor!$F$6,MAX(Nonlabor!$F$6,IF(Nonlabor!$E$6="AI",Assumptions!$C$24,Assumptions!$C$25))),C43&lt;=Nonlabor!$G$6,OR(Nonlabor!$H$6="Monthly",AND(Nonlabor!$H$6="Once",C43=IF(Nonlabor!$E$6="Core",Nonlabor!$F$6,MAX(Nonlabor!$F$6,IF(Nonlabor!$E$6="AI",Assumptions!$C$24,Assumptions!$C$25)))),AND(Nonlabor!$H$6="Annual",MOD(C43-IF(Nonlabor!$E$6="Core",Nonlabor!$F$6,MAX(Nonlabor!$F$6,IF(Nonlabor!$E$6="AI",Assumptions!$C$24,Assumptions!$C$25))),12)=0))),IF(Nonlabor!$I$6="Fixed",1,IF(Nonlabor!$I$6="Seats",ROUNDUP('Monthly Lean'!I43,0),IF(Nonlabor!$I$6="Customers",'Monthly Lean'!D43,IF(Nonlabor!$I$6="NewCustomers",'Monthly Lean'!C43,IF(Nonlabor!$I$6="StorageGB",'Monthly Lean'!G43,IF(Nonlabor!$I$6="LogGB",'Monthly Lean'!H43,IF(Nonlabor!$I$6="RequestsM",'Monthly Lean'!F43,IF(Nonlabor!$I$6="InputM",'Monthly Lean'!D43*Assumptions!$C$22/1000000,IF(Nonlabor!$I$6="OutputM",'Monthly Lean'!D43*Assumptions!$C$23/1000000,0))))))))),0)</f>
        <v>1</v>
      </c>
      <c r="F43" s="10" t="n">
        <f aca="false">Nonlabor!$J$6*(1+Assumptions!$C$9)^INT((C43-1)/12)</f>
        <v>437.0908</v>
      </c>
      <c r="G43" s="10" t="n">
        <f aca="false">E43*F43</f>
        <v>437.0908</v>
      </c>
      <c r="H43" s="10" t="n">
        <f aca="false">IF(OR(Nonlabor!$L$6="Quote required",Nonlabor!$L$6="Unverified"),G43,0)</f>
        <v>437.0908</v>
      </c>
      <c r="I43" s="10" t="n">
        <f aca="false">IF(Nonlabor!$E$6="Core",0,G43)</f>
        <v>0</v>
      </c>
      <c r="J43" s="23" t="str">
        <f aca="false">Nonlabor!$B$6</f>
        <v>INFRA</v>
      </c>
    </row>
    <row r="44" customFormat="false" ht="15" hidden="false" customHeight="false" outlineLevel="0" collapsed="false">
      <c r="A44" s="6" t="s">
        <v>72</v>
      </c>
      <c r="B44" s="6" t="s">
        <v>368</v>
      </c>
      <c r="C44" s="6" t="n">
        <v>39</v>
      </c>
      <c r="D44" s="25" t="n">
        <f aca="false">EDATE('Start Here'!$B$6,C44-1)</f>
        <v>47484</v>
      </c>
      <c r="E44" s="23" t="n">
        <f aca="false">IF(AND(OR(Nonlabor!$D$6="Both",Nonlabor!$D$6='Start Here'!$B$9),IF(Nonlabor!$E$6="Core",1,IF(Nonlabor!$E$6="AI",'Start Here'!$B$7,'Start Here'!$B$8))=1,C44&gt;=IF(Nonlabor!$E$6="Core",Nonlabor!$F$6,MAX(Nonlabor!$F$6,IF(Nonlabor!$E$6="AI",Assumptions!$C$24,Assumptions!$C$25))),C44&lt;=Nonlabor!$G$6,OR(Nonlabor!$H$6="Monthly",AND(Nonlabor!$H$6="Once",C44=IF(Nonlabor!$E$6="Core",Nonlabor!$F$6,MAX(Nonlabor!$F$6,IF(Nonlabor!$E$6="AI",Assumptions!$C$24,Assumptions!$C$25)))),AND(Nonlabor!$H$6="Annual",MOD(C44-IF(Nonlabor!$E$6="Core",Nonlabor!$F$6,MAX(Nonlabor!$F$6,IF(Nonlabor!$E$6="AI",Assumptions!$C$24,Assumptions!$C$25))),12)=0))),IF(Nonlabor!$I$6="Fixed",1,IF(Nonlabor!$I$6="Seats",ROUNDUP('Monthly Lean'!I44,0),IF(Nonlabor!$I$6="Customers",'Monthly Lean'!D44,IF(Nonlabor!$I$6="NewCustomers",'Monthly Lean'!C44,IF(Nonlabor!$I$6="StorageGB",'Monthly Lean'!G44,IF(Nonlabor!$I$6="LogGB",'Monthly Lean'!H44,IF(Nonlabor!$I$6="RequestsM",'Monthly Lean'!F44,IF(Nonlabor!$I$6="InputM",'Monthly Lean'!D44*Assumptions!$C$22/1000000,IF(Nonlabor!$I$6="OutputM",'Monthly Lean'!D44*Assumptions!$C$23/1000000,0))))))))),0)</f>
        <v>1</v>
      </c>
      <c r="F44" s="10" t="n">
        <f aca="false">Nonlabor!$J$6*(1+Assumptions!$C$9)^INT((C44-1)/12)</f>
        <v>437.0908</v>
      </c>
      <c r="G44" s="10" t="n">
        <f aca="false">E44*F44</f>
        <v>437.0908</v>
      </c>
      <c r="H44" s="10" t="n">
        <f aca="false">IF(OR(Nonlabor!$L$6="Quote required",Nonlabor!$L$6="Unverified"),G44,0)</f>
        <v>437.0908</v>
      </c>
      <c r="I44" s="10" t="n">
        <f aca="false">IF(Nonlabor!$E$6="Core",0,G44)</f>
        <v>0</v>
      </c>
      <c r="J44" s="23" t="str">
        <f aca="false">Nonlabor!$B$6</f>
        <v>INFRA</v>
      </c>
    </row>
    <row r="45" customFormat="false" ht="15" hidden="false" customHeight="false" outlineLevel="0" collapsed="false">
      <c r="A45" s="6" t="s">
        <v>72</v>
      </c>
      <c r="B45" s="6" t="s">
        <v>368</v>
      </c>
      <c r="C45" s="6" t="n">
        <v>40</v>
      </c>
      <c r="D45" s="25" t="n">
        <f aca="false">EDATE('Start Here'!$B$6,C45-1)</f>
        <v>47515</v>
      </c>
      <c r="E45" s="23" t="n">
        <f aca="false">IF(AND(OR(Nonlabor!$D$6="Both",Nonlabor!$D$6='Start Here'!$B$9),IF(Nonlabor!$E$6="Core",1,IF(Nonlabor!$E$6="AI",'Start Here'!$B$7,'Start Here'!$B$8))=1,C45&gt;=IF(Nonlabor!$E$6="Core",Nonlabor!$F$6,MAX(Nonlabor!$F$6,IF(Nonlabor!$E$6="AI",Assumptions!$C$24,Assumptions!$C$25))),C45&lt;=Nonlabor!$G$6,OR(Nonlabor!$H$6="Monthly",AND(Nonlabor!$H$6="Once",C45=IF(Nonlabor!$E$6="Core",Nonlabor!$F$6,MAX(Nonlabor!$F$6,IF(Nonlabor!$E$6="AI",Assumptions!$C$24,Assumptions!$C$25)))),AND(Nonlabor!$H$6="Annual",MOD(C45-IF(Nonlabor!$E$6="Core",Nonlabor!$F$6,MAX(Nonlabor!$F$6,IF(Nonlabor!$E$6="AI",Assumptions!$C$24,Assumptions!$C$25))),12)=0))),IF(Nonlabor!$I$6="Fixed",1,IF(Nonlabor!$I$6="Seats",ROUNDUP('Monthly Lean'!I45,0),IF(Nonlabor!$I$6="Customers",'Monthly Lean'!D45,IF(Nonlabor!$I$6="NewCustomers",'Monthly Lean'!C45,IF(Nonlabor!$I$6="StorageGB",'Monthly Lean'!G45,IF(Nonlabor!$I$6="LogGB",'Monthly Lean'!H45,IF(Nonlabor!$I$6="RequestsM",'Monthly Lean'!F45,IF(Nonlabor!$I$6="InputM",'Monthly Lean'!D45*Assumptions!$C$22/1000000,IF(Nonlabor!$I$6="OutputM",'Monthly Lean'!D45*Assumptions!$C$23/1000000,0))))))))),0)</f>
        <v>1</v>
      </c>
      <c r="F45" s="10" t="n">
        <f aca="false">Nonlabor!$J$6*(1+Assumptions!$C$9)^INT((C45-1)/12)</f>
        <v>437.0908</v>
      </c>
      <c r="G45" s="10" t="n">
        <f aca="false">E45*F45</f>
        <v>437.0908</v>
      </c>
      <c r="H45" s="10" t="n">
        <f aca="false">IF(OR(Nonlabor!$L$6="Quote required",Nonlabor!$L$6="Unverified"),G45,0)</f>
        <v>437.0908</v>
      </c>
      <c r="I45" s="10" t="n">
        <f aca="false">IF(Nonlabor!$E$6="Core",0,G45)</f>
        <v>0</v>
      </c>
      <c r="J45" s="23" t="str">
        <f aca="false">Nonlabor!$B$6</f>
        <v>INFRA</v>
      </c>
    </row>
    <row r="46" customFormat="false" ht="15" hidden="false" customHeight="false" outlineLevel="0" collapsed="false">
      <c r="A46" s="6" t="s">
        <v>72</v>
      </c>
      <c r="B46" s="6" t="s">
        <v>368</v>
      </c>
      <c r="C46" s="6" t="n">
        <v>41</v>
      </c>
      <c r="D46" s="25" t="n">
        <f aca="false">EDATE('Start Here'!$B$6,C46-1)</f>
        <v>47543</v>
      </c>
      <c r="E46" s="23" t="n">
        <f aca="false">IF(AND(OR(Nonlabor!$D$6="Both",Nonlabor!$D$6='Start Here'!$B$9),IF(Nonlabor!$E$6="Core",1,IF(Nonlabor!$E$6="AI",'Start Here'!$B$7,'Start Here'!$B$8))=1,C46&gt;=IF(Nonlabor!$E$6="Core",Nonlabor!$F$6,MAX(Nonlabor!$F$6,IF(Nonlabor!$E$6="AI",Assumptions!$C$24,Assumptions!$C$25))),C46&lt;=Nonlabor!$G$6,OR(Nonlabor!$H$6="Monthly",AND(Nonlabor!$H$6="Once",C46=IF(Nonlabor!$E$6="Core",Nonlabor!$F$6,MAX(Nonlabor!$F$6,IF(Nonlabor!$E$6="AI",Assumptions!$C$24,Assumptions!$C$25)))),AND(Nonlabor!$H$6="Annual",MOD(C46-IF(Nonlabor!$E$6="Core",Nonlabor!$F$6,MAX(Nonlabor!$F$6,IF(Nonlabor!$E$6="AI",Assumptions!$C$24,Assumptions!$C$25))),12)=0))),IF(Nonlabor!$I$6="Fixed",1,IF(Nonlabor!$I$6="Seats",ROUNDUP('Monthly Lean'!I46,0),IF(Nonlabor!$I$6="Customers",'Monthly Lean'!D46,IF(Nonlabor!$I$6="NewCustomers",'Monthly Lean'!C46,IF(Nonlabor!$I$6="StorageGB",'Monthly Lean'!G46,IF(Nonlabor!$I$6="LogGB",'Monthly Lean'!H46,IF(Nonlabor!$I$6="RequestsM",'Monthly Lean'!F46,IF(Nonlabor!$I$6="InputM",'Monthly Lean'!D46*Assumptions!$C$22/1000000,IF(Nonlabor!$I$6="OutputM",'Monthly Lean'!D46*Assumptions!$C$23/1000000,0))))))))),0)</f>
        <v>1</v>
      </c>
      <c r="F46" s="10" t="n">
        <f aca="false">Nonlabor!$J$6*(1+Assumptions!$C$9)^INT((C46-1)/12)</f>
        <v>437.0908</v>
      </c>
      <c r="G46" s="10" t="n">
        <f aca="false">E46*F46</f>
        <v>437.0908</v>
      </c>
      <c r="H46" s="10" t="n">
        <f aca="false">IF(OR(Nonlabor!$L$6="Quote required",Nonlabor!$L$6="Unverified"),G46,0)</f>
        <v>437.0908</v>
      </c>
      <c r="I46" s="10" t="n">
        <f aca="false">IF(Nonlabor!$E$6="Core",0,G46)</f>
        <v>0</v>
      </c>
      <c r="J46" s="23" t="str">
        <f aca="false">Nonlabor!$B$6</f>
        <v>INFRA</v>
      </c>
    </row>
    <row r="47" customFormat="false" ht="15" hidden="false" customHeight="false" outlineLevel="0" collapsed="false">
      <c r="A47" s="6" t="s">
        <v>72</v>
      </c>
      <c r="B47" s="6" t="s">
        <v>368</v>
      </c>
      <c r="C47" s="6" t="n">
        <v>42</v>
      </c>
      <c r="D47" s="25" t="n">
        <f aca="false">EDATE('Start Here'!$B$6,C47-1)</f>
        <v>47574</v>
      </c>
      <c r="E47" s="23" t="n">
        <f aca="false">IF(AND(OR(Nonlabor!$D$6="Both",Nonlabor!$D$6='Start Here'!$B$9),IF(Nonlabor!$E$6="Core",1,IF(Nonlabor!$E$6="AI",'Start Here'!$B$7,'Start Here'!$B$8))=1,C47&gt;=IF(Nonlabor!$E$6="Core",Nonlabor!$F$6,MAX(Nonlabor!$F$6,IF(Nonlabor!$E$6="AI",Assumptions!$C$24,Assumptions!$C$25))),C47&lt;=Nonlabor!$G$6,OR(Nonlabor!$H$6="Monthly",AND(Nonlabor!$H$6="Once",C47=IF(Nonlabor!$E$6="Core",Nonlabor!$F$6,MAX(Nonlabor!$F$6,IF(Nonlabor!$E$6="AI",Assumptions!$C$24,Assumptions!$C$25)))),AND(Nonlabor!$H$6="Annual",MOD(C47-IF(Nonlabor!$E$6="Core",Nonlabor!$F$6,MAX(Nonlabor!$F$6,IF(Nonlabor!$E$6="AI",Assumptions!$C$24,Assumptions!$C$25))),12)=0))),IF(Nonlabor!$I$6="Fixed",1,IF(Nonlabor!$I$6="Seats",ROUNDUP('Monthly Lean'!I47,0),IF(Nonlabor!$I$6="Customers",'Monthly Lean'!D47,IF(Nonlabor!$I$6="NewCustomers",'Monthly Lean'!C47,IF(Nonlabor!$I$6="StorageGB",'Monthly Lean'!G47,IF(Nonlabor!$I$6="LogGB",'Monthly Lean'!H47,IF(Nonlabor!$I$6="RequestsM",'Monthly Lean'!F47,IF(Nonlabor!$I$6="InputM",'Monthly Lean'!D47*Assumptions!$C$22/1000000,IF(Nonlabor!$I$6="OutputM",'Monthly Lean'!D47*Assumptions!$C$23/1000000,0))))))))),0)</f>
        <v>1</v>
      </c>
      <c r="F47" s="10" t="n">
        <f aca="false">Nonlabor!$J$6*(1+Assumptions!$C$9)^INT((C47-1)/12)</f>
        <v>437.0908</v>
      </c>
      <c r="G47" s="10" t="n">
        <f aca="false">E47*F47</f>
        <v>437.0908</v>
      </c>
      <c r="H47" s="10" t="n">
        <f aca="false">IF(OR(Nonlabor!$L$6="Quote required",Nonlabor!$L$6="Unverified"),G47,0)</f>
        <v>437.0908</v>
      </c>
      <c r="I47" s="10" t="n">
        <f aca="false">IF(Nonlabor!$E$6="Core",0,G47)</f>
        <v>0</v>
      </c>
      <c r="J47" s="23" t="str">
        <f aca="false">Nonlabor!$B$6</f>
        <v>INFRA</v>
      </c>
    </row>
    <row r="48" customFormat="false" ht="15" hidden="false" customHeight="false" outlineLevel="0" collapsed="false">
      <c r="A48" s="6" t="s">
        <v>72</v>
      </c>
      <c r="B48" s="6" t="s">
        <v>368</v>
      </c>
      <c r="C48" s="6" t="n">
        <v>43</v>
      </c>
      <c r="D48" s="25" t="n">
        <f aca="false">EDATE('Start Here'!$B$6,C48-1)</f>
        <v>47604</v>
      </c>
      <c r="E48" s="23" t="n">
        <f aca="false">IF(AND(OR(Nonlabor!$D$6="Both",Nonlabor!$D$6='Start Here'!$B$9),IF(Nonlabor!$E$6="Core",1,IF(Nonlabor!$E$6="AI",'Start Here'!$B$7,'Start Here'!$B$8))=1,C48&gt;=IF(Nonlabor!$E$6="Core",Nonlabor!$F$6,MAX(Nonlabor!$F$6,IF(Nonlabor!$E$6="AI",Assumptions!$C$24,Assumptions!$C$25))),C48&lt;=Nonlabor!$G$6,OR(Nonlabor!$H$6="Monthly",AND(Nonlabor!$H$6="Once",C48=IF(Nonlabor!$E$6="Core",Nonlabor!$F$6,MAX(Nonlabor!$F$6,IF(Nonlabor!$E$6="AI",Assumptions!$C$24,Assumptions!$C$25)))),AND(Nonlabor!$H$6="Annual",MOD(C48-IF(Nonlabor!$E$6="Core",Nonlabor!$F$6,MAX(Nonlabor!$F$6,IF(Nonlabor!$E$6="AI",Assumptions!$C$24,Assumptions!$C$25))),12)=0))),IF(Nonlabor!$I$6="Fixed",1,IF(Nonlabor!$I$6="Seats",ROUNDUP('Monthly Lean'!I48,0),IF(Nonlabor!$I$6="Customers",'Monthly Lean'!D48,IF(Nonlabor!$I$6="NewCustomers",'Monthly Lean'!C48,IF(Nonlabor!$I$6="StorageGB",'Monthly Lean'!G48,IF(Nonlabor!$I$6="LogGB",'Monthly Lean'!H48,IF(Nonlabor!$I$6="RequestsM",'Monthly Lean'!F48,IF(Nonlabor!$I$6="InputM",'Monthly Lean'!D48*Assumptions!$C$22/1000000,IF(Nonlabor!$I$6="OutputM",'Monthly Lean'!D48*Assumptions!$C$23/1000000,0))))))))),0)</f>
        <v>1</v>
      </c>
      <c r="F48" s="10" t="n">
        <f aca="false">Nonlabor!$J$6*(1+Assumptions!$C$9)^INT((C48-1)/12)</f>
        <v>437.0908</v>
      </c>
      <c r="G48" s="10" t="n">
        <f aca="false">E48*F48</f>
        <v>437.0908</v>
      </c>
      <c r="H48" s="10" t="n">
        <f aca="false">IF(OR(Nonlabor!$L$6="Quote required",Nonlabor!$L$6="Unverified"),G48,0)</f>
        <v>437.0908</v>
      </c>
      <c r="I48" s="10" t="n">
        <f aca="false">IF(Nonlabor!$E$6="Core",0,G48)</f>
        <v>0</v>
      </c>
      <c r="J48" s="23" t="str">
        <f aca="false">Nonlabor!$B$6</f>
        <v>INFRA</v>
      </c>
    </row>
    <row r="49" customFormat="false" ht="15" hidden="false" customHeight="false" outlineLevel="0" collapsed="false">
      <c r="A49" s="6" t="s">
        <v>72</v>
      </c>
      <c r="B49" s="6" t="s">
        <v>368</v>
      </c>
      <c r="C49" s="6" t="n">
        <v>44</v>
      </c>
      <c r="D49" s="25" t="n">
        <f aca="false">EDATE('Start Here'!$B$6,C49-1)</f>
        <v>47635</v>
      </c>
      <c r="E49" s="23" t="n">
        <f aca="false">IF(AND(OR(Nonlabor!$D$6="Both",Nonlabor!$D$6='Start Here'!$B$9),IF(Nonlabor!$E$6="Core",1,IF(Nonlabor!$E$6="AI",'Start Here'!$B$7,'Start Here'!$B$8))=1,C49&gt;=IF(Nonlabor!$E$6="Core",Nonlabor!$F$6,MAX(Nonlabor!$F$6,IF(Nonlabor!$E$6="AI",Assumptions!$C$24,Assumptions!$C$25))),C49&lt;=Nonlabor!$G$6,OR(Nonlabor!$H$6="Monthly",AND(Nonlabor!$H$6="Once",C49=IF(Nonlabor!$E$6="Core",Nonlabor!$F$6,MAX(Nonlabor!$F$6,IF(Nonlabor!$E$6="AI",Assumptions!$C$24,Assumptions!$C$25)))),AND(Nonlabor!$H$6="Annual",MOD(C49-IF(Nonlabor!$E$6="Core",Nonlabor!$F$6,MAX(Nonlabor!$F$6,IF(Nonlabor!$E$6="AI",Assumptions!$C$24,Assumptions!$C$25))),12)=0))),IF(Nonlabor!$I$6="Fixed",1,IF(Nonlabor!$I$6="Seats",ROUNDUP('Monthly Lean'!I49,0),IF(Nonlabor!$I$6="Customers",'Monthly Lean'!D49,IF(Nonlabor!$I$6="NewCustomers",'Monthly Lean'!C49,IF(Nonlabor!$I$6="StorageGB",'Monthly Lean'!G49,IF(Nonlabor!$I$6="LogGB",'Monthly Lean'!H49,IF(Nonlabor!$I$6="RequestsM",'Monthly Lean'!F49,IF(Nonlabor!$I$6="InputM",'Monthly Lean'!D49*Assumptions!$C$22/1000000,IF(Nonlabor!$I$6="OutputM",'Monthly Lean'!D49*Assumptions!$C$23/1000000,0))))))))),0)</f>
        <v>1</v>
      </c>
      <c r="F49" s="10" t="n">
        <f aca="false">Nonlabor!$J$6*(1+Assumptions!$C$9)^INT((C49-1)/12)</f>
        <v>437.0908</v>
      </c>
      <c r="G49" s="10" t="n">
        <f aca="false">E49*F49</f>
        <v>437.0908</v>
      </c>
      <c r="H49" s="10" t="n">
        <f aca="false">IF(OR(Nonlabor!$L$6="Quote required",Nonlabor!$L$6="Unverified"),G49,0)</f>
        <v>437.0908</v>
      </c>
      <c r="I49" s="10" t="n">
        <f aca="false">IF(Nonlabor!$E$6="Core",0,G49)</f>
        <v>0</v>
      </c>
      <c r="J49" s="23" t="str">
        <f aca="false">Nonlabor!$B$6</f>
        <v>INFRA</v>
      </c>
    </row>
    <row r="50" customFormat="false" ht="15" hidden="false" customHeight="false" outlineLevel="0" collapsed="false">
      <c r="A50" s="6" t="s">
        <v>72</v>
      </c>
      <c r="B50" s="6" t="s">
        <v>368</v>
      </c>
      <c r="C50" s="6" t="n">
        <v>45</v>
      </c>
      <c r="D50" s="25" t="n">
        <f aca="false">EDATE('Start Here'!$B$6,C50-1)</f>
        <v>47665</v>
      </c>
      <c r="E50" s="23" t="n">
        <f aca="false">IF(AND(OR(Nonlabor!$D$6="Both",Nonlabor!$D$6='Start Here'!$B$9),IF(Nonlabor!$E$6="Core",1,IF(Nonlabor!$E$6="AI",'Start Here'!$B$7,'Start Here'!$B$8))=1,C50&gt;=IF(Nonlabor!$E$6="Core",Nonlabor!$F$6,MAX(Nonlabor!$F$6,IF(Nonlabor!$E$6="AI",Assumptions!$C$24,Assumptions!$C$25))),C50&lt;=Nonlabor!$G$6,OR(Nonlabor!$H$6="Monthly",AND(Nonlabor!$H$6="Once",C50=IF(Nonlabor!$E$6="Core",Nonlabor!$F$6,MAX(Nonlabor!$F$6,IF(Nonlabor!$E$6="AI",Assumptions!$C$24,Assumptions!$C$25)))),AND(Nonlabor!$H$6="Annual",MOD(C50-IF(Nonlabor!$E$6="Core",Nonlabor!$F$6,MAX(Nonlabor!$F$6,IF(Nonlabor!$E$6="AI",Assumptions!$C$24,Assumptions!$C$25))),12)=0))),IF(Nonlabor!$I$6="Fixed",1,IF(Nonlabor!$I$6="Seats",ROUNDUP('Monthly Lean'!I50,0),IF(Nonlabor!$I$6="Customers",'Monthly Lean'!D50,IF(Nonlabor!$I$6="NewCustomers",'Monthly Lean'!C50,IF(Nonlabor!$I$6="StorageGB",'Monthly Lean'!G50,IF(Nonlabor!$I$6="LogGB",'Monthly Lean'!H50,IF(Nonlabor!$I$6="RequestsM",'Monthly Lean'!F50,IF(Nonlabor!$I$6="InputM",'Monthly Lean'!D50*Assumptions!$C$22/1000000,IF(Nonlabor!$I$6="OutputM",'Monthly Lean'!D50*Assumptions!$C$23/1000000,0))))))))),0)</f>
        <v>1</v>
      </c>
      <c r="F50" s="10" t="n">
        <f aca="false">Nonlabor!$J$6*(1+Assumptions!$C$9)^INT((C50-1)/12)</f>
        <v>437.0908</v>
      </c>
      <c r="G50" s="10" t="n">
        <f aca="false">E50*F50</f>
        <v>437.0908</v>
      </c>
      <c r="H50" s="10" t="n">
        <f aca="false">IF(OR(Nonlabor!$L$6="Quote required",Nonlabor!$L$6="Unverified"),G50,0)</f>
        <v>437.0908</v>
      </c>
      <c r="I50" s="10" t="n">
        <f aca="false">IF(Nonlabor!$E$6="Core",0,G50)</f>
        <v>0</v>
      </c>
      <c r="J50" s="23" t="str">
        <f aca="false">Nonlabor!$B$6</f>
        <v>INFRA</v>
      </c>
    </row>
    <row r="51" customFormat="false" ht="15" hidden="false" customHeight="false" outlineLevel="0" collapsed="false">
      <c r="A51" s="6" t="s">
        <v>72</v>
      </c>
      <c r="B51" s="6" t="s">
        <v>368</v>
      </c>
      <c r="C51" s="6" t="n">
        <v>46</v>
      </c>
      <c r="D51" s="25" t="n">
        <f aca="false">EDATE('Start Here'!$B$6,C51-1)</f>
        <v>47696</v>
      </c>
      <c r="E51" s="23" t="n">
        <f aca="false">IF(AND(OR(Nonlabor!$D$6="Both",Nonlabor!$D$6='Start Here'!$B$9),IF(Nonlabor!$E$6="Core",1,IF(Nonlabor!$E$6="AI",'Start Here'!$B$7,'Start Here'!$B$8))=1,C51&gt;=IF(Nonlabor!$E$6="Core",Nonlabor!$F$6,MAX(Nonlabor!$F$6,IF(Nonlabor!$E$6="AI",Assumptions!$C$24,Assumptions!$C$25))),C51&lt;=Nonlabor!$G$6,OR(Nonlabor!$H$6="Monthly",AND(Nonlabor!$H$6="Once",C51=IF(Nonlabor!$E$6="Core",Nonlabor!$F$6,MAX(Nonlabor!$F$6,IF(Nonlabor!$E$6="AI",Assumptions!$C$24,Assumptions!$C$25)))),AND(Nonlabor!$H$6="Annual",MOD(C51-IF(Nonlabor!$E$6="Core",Nonlabor!$F$6,MAX(Nonlabor!$F$6,IF(Nonlabor!$E$6="AI",Assumptions!$C$24,Assumptions!$C$25))),12)=0))),IF(Nonlabor!$I$6="Fixed",1,IF(Nonlabor!$I$6="Seats",ROUNDUP('Monthly Lean'!I51,0),IF(Nonlabor!$I$6="Customers",'Monthly Lean'!D51,IF(Nonlabor!$I$6="NewCustomers",'Monthly Lean'!C51,IF(Nonlabor!$I$6="StorageGB",'Monthly Lean'!G51,IF(Nonlabor!$I$6="LogGB",'Monthly Lean'!H51,IF(Nonlabor!$I$6="RequestsM",'Monthly Lean'!F51,IF(Nonlabor!$I$6="InputM",'Monthly Lean'!D51*Assumptions!$C$22/1000000,IF(Nonlabor!$I$6="OutputM",'Monthly Lean'!D51*Assumptions!$C$23/1000000,0))))))))),0)</f>
        <v>1</v>
      </c>
      <c r="F51" s="10" t="n">
        <f aca="false">Nonlabor!$J$6*(1+Assumptions!$C$9)^INT((C51-1)/12)</f>
        <v>437.0908</v>
      </c>
      <c r="G51" s="10" t="n">
        <f aca="false">E51*F51</f>
        <v>437.0908</v>
      </c>
      <c r="H51" s="10" t="n">
        <f aca="false">IF(OR(Nonlabor!$L$6="Quote required",Nonlabor!$L$6="Unverified"),G51,0)</f>
        <v>437.0908</v>
      </c>
      <c r="I51" s="10" t="n">
        <f aca="false">IF(Nonlabor!$E$6="Core",0,G51)</f>
        <v>0</v>
      </c>
      <c r="J51" s="23" t="str">
        <f aca="false">Nonlabor!$B$6</f>
        <v>INFRA</v>
      </c>
    </row>
    <row r="52" customFormat="false" ht="15" hidden="false" customHeight="false" outlineLevel="0" collapsed="false">
      <c r="A52" s="6" t="s">
        <v>72</v>
      </c>
      <c r="B52" s="6" t="s">
        <v>368</v>
      </c>
      <c r="C52" s="6" t="n">
        <v>47</v>
      </c>
      <c r="D52" s="25" t="n">
        <f aca="false">EDATE('Start Here'!$B$6,C52-1)</f>
        <v>47727</v>
      </c>
      <c r="E52" s="23" t="n">
        <f aca="false">IF(AND(OR(Nonlabor!$D$6="Both",Nonlabor!$D$6='Start Here'!$B$9),IF(Nonlabor!$E$6="Core",1,IF(Nonlabor!$E$6="AI",'Start Here'!$B$7,'Start Here'!$B$8))=1,C52&gt;=IF(Nonlabor!$E$6="Core",Nonlabor!$F$6,MAX(Nonlabor!$F$6,IF(Nonlabor!$E$6="AI",Assumptions!$C$24,Assumptions!$C$25))),C52&lt;=Nonlabor!$G$6,OR(Nonlabor!$H$6="Monthly",AND(Nonlabor!$H$6="Once",C52=IF(Nonlabor!$E$6="Core",Nonlabor!$F$6,MAX(Nonlabor!$F$6,IF(Nonlabor!$E$6="AI",Assumptions!$C$24,Assumptions!$C$25)))),AND(Nonlabor!$H$6="Annual",MOD(C52-IF(Nonlabor!$E$6="Core",Nonlabor!$F$6,MAX(Nonlabor!$F$6,IF(Nonlabor!$E$6="AI",Assumptions!$C$24,Assumptions!$C$25))),12)=0))),IF(Nonlabor!$I$6="Fixed",1,IF(Nonlabor!$I$6="Seats",ROUNDUP('Monthly Lean'!I52,0),IF(Nonlabor!$I$6="Customers",'Monthly Lean'!D52,IF(Nonlabor!$I$6="NewCustomers",'Monthly Lean'!C52,IF(Nonlabor!$I$6="StorageGB",'Monthly Lean'!G52,IF(Nonlabor!$I$6="LogGB",'Monthly Lean'!H52,IF(Nonlabor!$I$6="RequestsM",'Monthly Lean'!F52,IF(Nonlabor!$I$6="InputM",'Monthly Lean'!D52*Assumptions!$C$22/1000000,IF(Nonlabor!$I$6="OutputM",'Monthly Lean'!D52*Assumptions!$C$23/1000000,0))))))))),0)</f>
        <v>1</v>
      </c>
      <c r="F52" s="10" t="n">
        <f aca="false">Nonlabor!$J$6*(1+Assumptions!$C$9)^INT((C52-1)/12)</f>
        <v>437.0908</v>
      </c>
      <c r="G52" s="10" t="n">
        <f aca="false">E52*F52</f>
        <v>437.0908</v>
      </c>
      <c r="H52" s="10" t="n">
        <f aca="false">IF(OR(Nonlabor!$L$6="Quote required",Nonlabor!$L$6="Unverified"),G52,0)</f>
        <v>437.0908</v>
      </c>
      <c r="I52" s="10" t="n">
        <f aca="false">IF(Nonlabor!$E$6="Core",0,G52)</f>
        <v>0</v>
      </c>
      <c r="J52" s="23" t="str">
        <f aca="false">Nonlabor!$B$6</f>
        <v>INFRA</v>
      </c>
    </row>
    <row r="53" customFormat="false" ht="15" hidden="false" customHeight="false" outlineLevel="0" collapsed="false">
      <c r="A53" s="6" t="s">
        <v>72</v>
      </c>
      <c r="B53" s="6" t="s">
        <v>368</v>
      </c>
      <c r="C53" s="6" t="n">
        <v>48</v>
      </c>
      <c r="D53" s="25" t="n">
        <f aca="false">EDATE('Start Here'!$B$6,C53-1)</f>
        <v>47757</v>
      </c>
      <c r="E53" s="23" t="n">
        <f aca="false">IF(AND(OR(Nonlabor!$D$6="Both",Nonlabor!$D$6='Start Here'!$B$9),IF(Nonlabor!$E$6="Core",1,IF(Nonlabor!$E$6="AI",'Start Here'!$B$7,'Start Here'!$B$8))=1,C53&gt;=IF(Nonlabor!$E$6="Core",Nonlabor!$F$6,MAX(Nonlabor!$F$6,IF(Nonlabor!$E$6="AI",Assumptions!$C$24,Assumptions!$C$25))),C53&lt;=Nonlabor!$G$6,OR(Nonlabor!$H$6="Monthly",AND(Nonlabor!$H$6="Once",C53=IF(Nonlabor!$E$6="Core",Nonlabor!$F$6,MAX(Nonlabor!$F$6,IF(Nonlabor!$E$6="AI",Assumptions!$C$24,Assumptions!$C$25)))),AND(Nonlabor!$H$6="Annual",MOD(C53-IF(Nonlabor!$E$6="Core",Nonlabor!$F$6,MAX(Nonlabor!$F$6,IF(Nonlabor!$E$6="AI",Assumptions!$C$24,Assumptions!$C$25))),12)=0))),IF(Nonlabor!$I$6="Fixed",1,IF(Nonlabor!$I$6="Seats",ROUNDUP('Monthly Lean'!I53,0),IF(Nonlabor!$I$6="Customers",'Monthly Lean'!D53,IF(Nonlabor!$I$6="NewCustomers",'Monthly Lean'!C53,IF(Nonlabor!$I$6="StorageGB",'Monthly Lean'!G53,IF(Nonlabor!$I$6="LogGB",'Monthly Lean'!H53,IF(Nonlabor!$I$6="RequestsM",'Monthly Lean'!F53,IF(Nonlabor!$I$6="InputM",'Monthly Lean'!D53*Assumptions!$C$22/1000000,IF(Nonlabor!$I$6="OutputM",'Monthly Lean'!D53*Assumptions!$C$23/1000000,0))))))))),0)</f>
        <v>1</v>
      </c>
      <c r="F53" s="10" t="n">
        <f aca="false">Nonlabor!$J$6*(1+Assumptions!$C$9)^INT((C53-1)/12)</f>
        <v>437.0908</v>
      </c>
      <c r="G53" s="10" t="n">
        <f aca="false">E53*F53</f>
        <v>437.0908</v>
      </c>
      <c r="H53" s="10" t="n">
        <f aca="false">IF(OR(Nonlabor!$L$6="Quote required",Nonlabor!$L$6="Unverified"),G53,0)</f>
        <v>437.0908</v>
      </c>
      <c r="I53" s="10" t="n">
        <f aca="false">IF(Nonlabor!$E$6="Core",0,G53)</f>
        <v>0</v>
      </c>
      <c r="J53" s="23" t="str">
        <f aca="false">Nonlabor!$B$6</f>
        <v>INFRA</v>
      </c>
    </row>
    <row r="54" customFormat="false" ht="15" hidden="false" customHeight="false" outlineLevel="0" collapsed="false">
      <c r="A54" s="6" t="s">
        <v>72</v>
      </c>
      <c r="B54" s="6" t="s">
        <v>368</v>
      </c>
      <c r="C54" s="6" t="n">
        <v>49</v>
      </c>
      <c r="D54" s="25" t="n">
        <f aca="false">EDATE('Start Here'!$B$6,C54-1)</f>
        <v>47788</v>
      </c>
      <c r="E54" s="23" t="n">
        <f aca="false">IF(AND(OR(Nonlabor!$D$6="Both",Nonlabor!$D$6='Start Here'!$B$9),IF(Nonlabor!$E$6="Core",1,IF(Nonlabor!$E$6="AI",'Start Here'!$B$7,'Start Here'!$B$8))=1,C54&gt;=IF(Nonlabor!$E$6="Core",Nonlabor!$F$6,MAX(Nonlabor!$F$6,IF(Nonlabor!$E$6="AI",Assumptions!$C$24,Assumptions!$C$25))),C54&lt;=Nonlabor!$G$6,OR(Nonlabor!$H$6="Monthly",AND(Nonlabor!$H$6="Once",C54=IF(Nonlabor!$E$6="Core",Nonlabor!$F$6,MAX(Nonlabor!$F$6,IF(Nonlabor!$E$6="AI",Assumptions!$C$24,Assumptions!$C$25)))),AND(Nonlabor!$H$6="Annual",MOD(C54-IF(Nonlabor!$E$6="Core",Nonlabor!$F$6,MAX(Nonlabor!$F$6,IF(Nonlabor!$E$6="AI",Assumptions!$C$24,Assumptions!$C$25))),12)=0))),IF(Nonlabor!$I$6="Fixed",1,IF(Nonlabor!$I$6="Seats",ROUNDUP('Monthly Lean'!I54,0),IF(Nonlabor!$I$6="Customers",'Monthly Lean'!D54,IF(Nonlabor!$I$6="NewCustomers",'Monthly Lean'!C54,IF(Nonlabor!$I$6="StorageGB",'Monthly Lean'!G54,IF(Nonlabor!$I$6="LogGB",'Monthly Lean'!H54,IF(Nonlabor!$I$6="RequestsM",'Monthly Lean'!F54,IF(Nonlabor!$I$6="InputM",'Monthly Lean'!D54*Assumptions!$C$22/1000000,IF(Nonlabor!$I$6="OutputM",'Monthly Lean'!D54*Assumptions!$C$23/1000000,0))))))))),0)</f>
        <v>1</v>
      </c>
      <c r="F54" s="10" t="n">
        <f aca="false">Nonlabor!$J$6*(1+Assumptions!$C$9)^INT((C54-1)/12)</f>
        <v>450.203524</v>
      </c>
      <c r="G54" s="10" t="n">
        <f aca="false">E54*F54</f>
        <v>450.203524</v>
      </c>
      <c r="H54" s="10" t="n">
        <f aca="false">IF(OR(Nonlabor!$L$6="Quote required",Nonlabor!$L$6="Unverified"),G54,0)</f>
        <v>450.203524</v>
      </c>
      <c r="I54" s="10" t="n">
        <f aca="false">IF(Nonlabor!$E$6="Core",0,G54)</f>
        <v>0</v>
      </c>
      <c r="J54" s="23" t="str">
        <f aca="false">Nonlabor!$B$6</f>
        <v>INFRA</v>
      </c>
    </row>
    <row r="55" customFormat="false" ht="15" hidden="false" customHeight="false" outlineLevel="0" collapsed="false">
      <c r="A55" s="6" t="s">
        <v>72</v>
      </c>
      <c r="B55" s="6" t="s">
        <v>368</v>
      </c>
      <c r="C55" s="6" t="n">
        <v>50</v>
      </c>
      <c r="D55" s="25" t="n">
        <f aca="false">EDATE('Start Here'!$B$6,C55-1)</f>
        <v>47818</v>
      </c>
      <c r="E55" s="23" t="n">
        <f aca="false">IF(AND(OR(Nonlabor!$D$6="Both",Nonlabor!$D$6='Start Here'!$B$9),IF(Nonlabor!$E$6="Core",1,IF(Nonlabor!$E$6="AI",'Start Here'!$B$7,'Start Here'!$B$8))=1,C55&gt;=IF(Nonlabor!$E$6="Core",Nonlabor!$F$6,MAX(Nonlabor!$F$6,IF(Nonlabor!$E$6="AI",Assumptions!$C$24,Assumptions!$C$25))),C55&lt;=Nonlabor!$G$6,OR(Nonlabor!$H$6="Monthly",AND(Nonlabor!$H$6="Once",C55=IF(Nonlabor!$E$6="Core",Nonlabor!$F$6,MAX(Nonlabor!$F$6,IF(Nonlabor!$E$6="AI",Assumptions!$C$24,Assumptions!$C$25)))),AND(Nonlabor!$H$6="Annual",MOD(C55-IF(Nonlabor!$E$6="Core",Nonlabor!$F$6,MAX(Nonlabor!$F$6,IF(Nonlabor!$E$6="AI",Assumptions!$C$24,Assumptions!$C$25))),12)=0))),IF(Nonlabor!$I$6="Fixed",1,IF(Nonlabor!$I$6="Seats",ROUNDUP('Monthly Lean'!I55,0),IF(Nonlabor!$I$6="Customers",'Monthly Lean'!D55,IF(Nonlabor!$I$6="NewCustomers",'Monthly Lean'!C55,IF(Nonlabor!$I$6="StorageGB",'Monthly Lean'!G55,IF(Nonlabor!$I$6="LogGB",'Monthly Lean'!H55,IF(Nonlabor!$I$6="RequestsM",'Monthly Lean'!F55,IF(Nonlabor!$I$6="InputM",'Monthly Lean'!D55*Assumptions!$C$22/1000000,IF(Nonlabor!$I$6="OutputM",'Monthly Lean'!D55*Assumptions!$C$23/1000000,0))))))))),0)</f>
        <v>1</v>
      </c>
      <c r="F55" s="10" t="n">
        <f aca="false">Nonlabor!$J$6*(1+Assumptions!$C$9)^INT((C55-1)/12)</f>
        <v>450.203524</v>
      </c>
      <c r="G55" s="10" t="n">
        <f aca="false">E55*F55</f>
        <v>450.203524</v>
      </c>
      <c r="H55" s="10" t="n">
        <f aca="false">IF(OR(Nonlabor!$L$6="Quote required",Nonlabor!$L$6="Unverified"),G55,0)</f>
        <v>450.203524</v>
      </c>
      <c r="I55" s="10" t="n">
        <f aca="false">IF(Nonlabor!$E$6="Core",0,G55)</f>
        <v>0</v>
      </c>
      <c r="J55" s="23" t="str">
        <f aca="false">Nonlabor!$B$6</f>
        <v>INFRA</v>
      </c>
    </row>
    <row r="56" customFormat="false" ht="15" hidden="false" customHeight="false" outlineLevel="0" collapsed="false">
      <c r="A56" s="6" t="s">
        <v>72</v>
      </c>
      <c r="B56" s="6" t="s">
        <v>368</v>
      </c>
      <c r="C56" s="6" t="n">
        <v>51</v>
      </c>
      <c r="D56" s="25" t="n">
        <f aca="false">EDATE('Start Here'!$B$6,C56-1)</f>
        <v>47849</v>
      </c>
      <c r="E56" s="23" t="n">
        <f aca="false">IF(AND(OR(Nonlabor!$D$6="Both",Nonlabor!$D$6='Start Here'!$B$9),IF(Nonlabor!$E$6="Core",1,IF(Nonlabor!$E$6="AI",'Start Here'!$B$7,'Start Here'!$B$8))=1,C56&gt;=IF(Nonlabor!$E$6="Core",Nonlabor!$F$6,MAX(Nonlabor!$F$6,IF(Nonlabor!$E$6="AI",Assumptions!$C$24,Assumptions!$C$25))),C56&lt;=Nonlabor!$G$6,OR(Nonlabor!$H$6="Monthly",AND(Nonlabor!$H$6="Once",C56=IF(Nonlabor!$E$6="Core",Nonlabor!$F$6,MAX(Nonlabor!$F$6,IF(Nonlabor!$E$6="AI",Assumptions!$C$24,Assumptions!$C$25)))),AND(Nonlabor!$H$6="Annual",MOD(C56-IF(Nonlabor!$E$6="Core",Nonlabor!$F$6,MAX(Nonlabor!$F$6,IF(Nonlabor!$E$6="AI",Assumptions!$C$24,Assumptions!$C$25))),12)=0))),IF(Nonlabor!$I$6="Fixed",1,IF(Nonlabor!$I$6="Seats",ROUNDUP('Monthly Lean'!I56,0),IF(Nonlabor!$I$6="Customers",'Monthly Lean'!D56,IF(Nonlabor!$I$6="NewCustomers",'Monthly Lean'!C56,IF(Nonlabor!$I$6="StorageGB",'Monthly Lean'!G56,IF(Nonlabor!$I$6="LogGB",'Monthly Lean'!H56,IF(Nonlabor!$I$6="RequestsM",'Monthly Lean'!F56,IF(Nonlabor!$I$6="InputM",'Monthly Lean'!D56*Assumptions!$C$22/1000000,IF(Nonlabor!$I$6="OutputM",'Monthly Lean'!D56*Assumptions!$C$23/1000000,0))))))))),0)</f>
        <v>1</v>
      </c>
      <c r="F56" s="10" t="n">
        <f aca="false">Nonlabor!$J$6*(1+Assumptions!$C$9)^INT((C56-1)/12)</f>
        <v>450.203524</v>
      </c>
      <c r="G56" s="10" t="n">
        <f aca="false">E56*F56</f>
        <v>450.203524</v>
      </c>
      <c r="H56" s="10" t="n">
        <f aca="false">IF(OR(Nonlabor!$L$6="Quote required",Nonlabor!$L$6="Unverified"),G56,0)</f>
        <v>450.203524</v>
      </c>
      <c r="I56" s="10" t="n">
        <f aca="false">IF(Nonlabor!$E$6="Core",0,G56)</f>
        <v>0</v>
      </c>
      <c r="J56" s="23" t="str">
        <f aca="false">Nonlabor!$B$6</f>
        <v>INFRA</v>
      </c>
    </row>
    <row r="57" customFormat="false" ht="15" hidden="false" customHeight="false" outlineLevel="0" collapsed="false">
      <c r="A57" s="6" t="s">
        <v>72</v>
      </c>
      <c r="B57" s="6" t="s">
        <v>368</v>
      </c>
      <c r="C57" s="6" t="n">
        <v>52</v>
      </c>
      <c r="D57" s="25" t="n">
        <f aca="false">EDATE('Start Here'!$B$6,C57-1)</f>
        <v>47880</v>
      </c>
      <c r="E57" s="23" t="n">
        <f aca="false">IF(AND(OR(Nonlabor!$D$6="Both",Nonlabor!$D$6='Start Here'!$B$9),IF(Nonlabor!$E$6="Core",1,IF(Nonlabor!$E$6="AI",'Start Here'!$B$7,'Start Here'!$B$8))=1,C57&gt;=IF(Nonlabor!$E$6="Core",Nonlabor!$F$6,MAX(Nonlabor!$F$6,IF(Nonlabor!$E$6="AI",Assumptions!$C$24,Assumptions!$C$25))),C57&lt;=Nonlabor!$G$6,OR(Nonlabor!$H$6="Monthly",AND(Nonlabor!$H$6="Once",C57=IF(Nonlabor!$E$6="Core",Nonlabor!$F$6,MAX(Nonlabor!$F$6,IF(Nonlabor!$E$6="AI",Assumptions!$C$24,Assumptions!$C$25)))),AND(Nonlabor!$H$6="Annual",MOD(C57-IF(Nonlabor!$E$6="Core",Nonlabor!$F$6,MAX(Nonlabor!$F$6,IF(Nonlabor!$E$6="AI",Assumptions!$C$24,Assumptions!$C$25))),12)=0))),IF(Nonlabor!$I$6="Fixed",1,IF(Nonlabor!$I$6="Seats",ROUNDUP('Monthly Lean'!I57,0),IF(Nonlabor!$I$6="Customers",'Monthly Lean'!D57,IF(Nonlabor!$I$6="NewCustomers",'Monthly Lean'!C57,IF(Nonlabor!$I$6="StorageGB",'Monthly Lean'!G57,IF(Nonlabor!$I$6="LogGB",'Monthly Lean'!H57,IF(Nonlabor!$I$6="RequestsM",'Monthly Lean'!F57,IF(Nonlabor!$I$6="InputM",'Monthly Lean'!D57*Assumptions!$C$22/1000000,IF(Nonlabor!$I$6="OutputM",'Monthly Lean'!D57*Assumptions!$C$23/1000000,0))))))))),0)</f>
        <v>1</v>
      </c>
      <c r="F57" s="10" t="n">
        <f aca="false">Nonlabor!$J$6*(1+Assumptions!$C$9)^INT((C57-1)/12)</f>
        <v>450.203524</v>
      </c>
      <c r="G57" s="10" t="n">
        <f aca="false">E57*F57</f>
        <v>450.203524</v>
      </c>
      <c r="H57" s="10" t="n">
        <f aca="false">IF(OR(Nonlabor!$L$6="Quote required",Nonlabor!$L$6="Unverified"),G57,0)</f>
        <v>450.203524</v>
      </c>
      <c r="I57" s="10" t="n">
        <f aca="false">IF(Nonlabor!$E$6="Core",0,G57)</f>
        <v>0</v>
      </c>
      <c r="J57" s="23" t="str">
        <f aca="false">Nonlabor!$B$6</f>
        <v>INFRA</v>
      </c>
    </row>
    <row r="58" customFormat="false" ht="15" hidden="false" customHeight="false" outlineLevel="0" collapsed="false">
      <c r="A58" s="6" t="s">
        <v>72</v>
      </c>
      <c r="B58" s="6" t="s">
        <v>368</v>
      </c>
      <c r="C58" s="6" t="n">
        <v>53</v>
      </c>
      <c r="D58" s="25" t="n">
        <f aca="false">EDATE('Start Here'!$B$6,C58-1)</f>
        <v>47908</v>
      </c>
      <c r="E58" s="23" t="n">
        <f aca="false">IF(AND(OR(Nonlabor!$D$6="Both",Nonlabor!$D$6='Start Here'!$B$9),IF(Nonlabor!$E$6="Core",1,IF(Nonlabor!$E$6="AI",'Start Here'!$B$7,'Start Here'!$B$8))=1,C58&gt;=IF(Nonlabor!$E$6="Core",Nonlabor!$F$6,MAX(Nonlabor!$F$6,IF(Nonlabor!$E$6="AI",Assumptions!$C$24,Assumptions!$C$25))),C58&lt;=Nonlabor!$G$6,OR(Nonlabor!$H$6="Monthly",AND(Nonlabor!$H$6="Once",C58=IF(Nonlabor!$E$6="Core",Nonlabor!$F$6,MAX(Nonlabor!$F$6,IF(Nonlabor!$E$6="AI",Assumptions!$C$24,Assumptions!$C$25)))),AND(Nonlabor!$H$6="Annual",MOD(C58-IF(Nonlabor!$E$6="Core",Nonlabor!$F$6,MAX(Nonlabor!$F$6,IF(Nonlabor!$E$6="AI",Assumptions!$C$24,Assumptions!$C$25))),12)=0))),IF(Nonlabor!$I$6="Fixed",1,IF(Nonlabor!$I$6="Seats",ROUNDUP('Monthly Lean'!I58,0),IF(Nonlabor!$I$6="Customers",'Monthly Lean'!D58,IF(Nonlabor!$I$6="NewCustomers",'Monthly Lean'!C58,IF(Nonlabor!$I$6="StorageGB",'Monthly Lean'!G58,IF(Nonlabor!$I$6="LogGB",'Monthly Lean'!H58,IF(Nonlabor!$I$6="RequestsM",'Monthly Lean'!F58,IF(Nonlabor!$I$6="InputM",'Monthly Lean'!D58*Assumptions!$C$22/1000000,IF(Nonlabor!$I$6="OutputM",'Monthly Lean'!D58*Assumptions!$C$23/1000000,0))))))))),0)</f>
        <v>1</v>
      </c>
      <c r="F58" s="10" t="n">
        <f aca="false">Nonlabor!$J$6*(1+Assumptions!$C$9)^INT((C58-1)/12)</f>
        <v>450.203524</v>
      </c>
      <c r="G58" s="10" t="n">
        <f aca="false">E58*F58</f>
        <v>450.203524</v>
      </c>
      <c r="H58" s="10" t="n">
        <f aca="false">IF(OR(Nonlabor!$L$6="Quote required",Nonlabor!$L$6="Unverified"),G58,0)</f>
        <v>450.203524</v>
      </c>
      <c r="I58" s="10" t="n">
        <f aca="false">IF(Nonlabor!$E$6="Core",0,G58)</f>
        <v>0</v>
      </c>
      <c r="J58" s="23" t="str">
        <f aca="false">Nonlabor!$B$6</f>
        <v>INFRA</v>
      </c>
    </row>
    <row r="59" customFormat="false" ht="15" hidden="false" customHeight="false" outlineLevel="0" collapsed="false">
      <c r="A59" s="6" t="s">
        <v>72</v>
      </c>
      <c r="B59" s="6" t="s">
        <v>368</v>
      </c>
      <c r="C59" s="6" t="n">
        <v>54</v>
      </c>
      <c r="D59" s="25" t="n">
        <f aca="false">EDATE('Start Here'!$B$6,C59-1)</f>
        <v>47939</v>
      </c>
      <c r="E59" s="23" t="n">
        <f aca="false">IF(AND(OR(Nonlabor!$D$6="Both",Nonlabor!$D$6='Start Here'!$B$9),IF(Nonlabor!$E$6="Core",1,IF(Nonlabor!$E$6="AI",'Start Here'!$B$7,'Start Here'!$B$8))=1,C59&gt;=IF(Nonlabor!$E$6="Core",Nonlabor!$F$6,MAX(Nonlabor!$F$6,IF(Nonlabor!$E$6="AI",Assumptions!$C$24,Assumptions!$C$25))),C59&lt;=Nonlabor!$G$6,OR(Nonlabor!$H$6="Monthly",AND(Nonlabor!$H$6="Once",C59=IF(Nonlabor!$E$6="Core",Nonlabor!$F$6,MAX(Nonlabor!$F$6,IF(Nonlabor!$E$6="AI",Assumptions!$C$24,Assumptions!$C$25)))),AND(Nonlabor!$H$6="Annual",MOD(C59-IF(Nonlabor!$E$6="Core",Nonlabor!$F$6,MAX(Nonlabor!$F$6,IF(Nonlabor!$E$6="AI",Assumptions!$C$24,Assumptions!$C$25))),12)=0))),IF(Nonlabor!$I$6="Fixed",1,IF(Nonlabor!$I$6="Seats",ROUNDUP('Monthly Lean'!I59,0),IF(Nonlabor!$I$6="Customers",'Monthly Lean'!D59,IF(Nonlabor!$I$6="NewCustomers",'Monthly Lean'!C59,IF(Nonlabor!$I$6="StorageGB",'Monthly Lean'!G59,IF(Nonlabor!$I$6="LogGB",'Monthly Lean'!H59,IF(Nonlabor!$I$6="RequestsM",'Monthly Lean'!F59,IF(Nonlabor!$I$6="InputM",'Monthly Lean'!D59*Assumptions!$C$22/1000000,IF(Nonlabor!$I$6="OutputM",'Monthly Lean'!D59*Assumptions!$C$23/1000000,0))))))))),0)</f>
        <v>1</v>
      </c>
      <c r="F59" s="10" t="n">
        <f aca="false">Nonlabor!$J$6*(1+Assumptions!$C$9)^INT((C59-1)/12)</f>
        <v>450.203524</v>
      </c>
      <c r="G59" s="10" t="n">
        <f aca="false">E59*F59</f>
        <v>450.203524</v>
      </c>
      <c r="H59" s="10" t="n">
        <f aca="false">IF(OR(Nonlabor!$L$6="Quote required",Nonlabor!$L$6="Unverified"),G59,0)</f>
        <v>450.203524</v>
      </c>
      <c r="I59" s="10" t="n">
        <f aca="false">IF(Nonlabor!$E$6="Core",0,G59)</f>
        <v>0</v>
      </c>
      <c r="J59" s="23" t="str">
        <f aca="false">Nonlabor!$B$6</f>
        <v>INFRA</v>
      </c>
    </row>
    <row r="60" customFormat="false" ht="15" hidden="false" customHeight="false" outlineLevel="0" collapsed="false">
      <c r="A60" s="6" t="s">
        <v>72</v>
      </c>
      <c r="B60" s="6" t="s">
        <v>368</v>
      </c>
      <c r="C60" s="6" t="n">
        <v>55</v>
      </c>
      <c r="D60" s="25" t="n">
        <f aca="false">EDATE('Start Here'!$B$6,C60-1)</f>
        <v>47969</v>
      </c>
      <c r="E60" s="23" t="n">
        <f aca="false">IF(AND(OR(Nonlabor!$D$6="Both",Nonlabor!$D$6='Start Here'!$B$9),IF(Nonlabor!$E$6="Core",1,IF(Nonlabor!$E$6="AI",'Start Here'!$B$7,'Start Here'!$B$8))=1,C60&gt;=IF(Nonlabor!$E$6="Core",Nonlabor!$F$6,MAX(Nonlabor!$F$6,IF(Nonlabor!$E$6="AI",Assumptions!$C$24,Assumptions!$C$25))),C60&lt;=Nonlabor!$G$6,OR(Nonlabor!$H$6="Monthly",AND(Nonlabor!$H$6="Once",C60=IF(Nonlabor!$E$6="Core",Nonlabor!$F$6,MAX(Nonlabor!$F$6,IF(Nonlabor!$E$6="AI",Assumptions!$C$24,Assumptions!$C$25)))),AND(Nonlabor!$H$6="Annual",MOD(C60-IF(Nonlabor!$E$6="Core",Nonlabor!$F$6,MAX(Nonlabor!$F$6,IF(Nonlabor!$E$6="AI",Assumptions!$C$24,Assumptions!$C$25))),12)=0))),IF(Nonlabor!$I$6="Fixed",1,IF(Nonlabor!$I$6="Seats",ROUNDUP('Monthly Lean'!I60,0),IF(Nonlabor!$I$6="Customers",'Monthly Lean'!D60,IF(Nonlabor!$I$6="NewCustomers",'Monthly Lean'!C60,IF(Nonlabor!$I$6="StorageGB",'Monthly Lean'!G60,IF(Nonlabor!$I$6="LogGB",'Monthly Lean'!H60,IF(Nonlabor!$I$6="RequestsM",'Monthly Lean'!F60,IF(Nonlabor!$I$6="InputM",'Monthly Lean'!D60*Assumptions!$C$22/1000000,IF(Nonlabor!$I$6="OutputM",'Monthly Lean'!D60*Assumptions!$C$23/1000000,0))))))))),0)</f>
        <v>1</v>
      </c>
      <c r="F60" s="10" t="n">
        <f aca="false">Nonlabor!$J$6*(1+Assumptions!$C$9)^INT((C60-1)/12)</f>
        <v>450.203524</v>
      </c>
      <c r="G60" s="10" t="n">
        <f aca="false">E60*F60</f>
        <v>450.203524</v>
      </c>
      <c r="H60" s="10" t="n">
        <f aca="false">IF(OR(Nonlabor!$L$6="Quote required",Nonlabor!$L$6="Unverified"),G60,0)</f>
        <v>450.203524</v>
      </c>
      <c r="I60" s="10" t="n">
        <f aca="false">IF(Nonlabor!$E$6="Core",0,G60)</f>
        <v>0</v>
      </c>
      <c r="J60" s="23" t="str">
        <f aca="false">Nonlabor!$B$6</f>
        <v>INFRA</v>
      </c>
    </row>
    <row r="61" customFormat="false" ht="15" hidden="false" customHeight="false" outlineLevel="0" collapsed="false">
      <c r="A61" s="6" t="s">
        <v>72</v>
      </c>
      <c r="B61" s="6" t="s">
        <v>368</v>
      </c>
      <c r="C61" s="6" t="n">
        <v>56</v>
      </c>
      <c r="D61" s="25" t="n">
        <f aca="false">EDATE('Start Here'!$B$6,C61-1)</f>
        <v>48000</v>
      </c>
      <c r="E61" s="23" t="n">
        <f aca="false">IF(AND(OR(Nonlabor!$D$6="Both",Nonlabor!$D$6='Start Here'!$B$9),IF(Nonlabor!$E$6="Core",1,IF(Nonlabor!$E$6="AI",'Start Here'!$B$7,'Start Here'!$B$8))=1,C61&gt;=IF(Nonlabor!$E$6="Core",Nonlabor!$F$6,MAX(Nonlabor!$F$6,IF(Nonlabor!$E$6="AI",Assumptions!$C$24,Assumptions!$C$25))),C61&lt;=Nonlabor!$G$6,OR(Nonlabor!$H$6="Monthly",AND(Nonlabor!$H$6="Once",C61=IF(Nonlabor!$E$6="Core",Nonlabor!$F$6,MAX(Nonlabor!$F$6,IF(Nonlabor!$E$6="AI",Assumptions!$C$24,Assumptions!$C$25)))),AND(Nonlabor!$H$6="Annual",MOD(C61-IF(Nonlabor!$E$6="Core",Nonlabor!$F$6,MAX(Nonlabor!$F$6,IF(Nonlabor!$E$6="AI",Assumptions!$C$24,Assumptions!$C$25))),12)=0))),IF(Nonlabor!$I$6="Fixed",1,IF(Nonlabor!$I$6="Seats",ROUNDUP('Monthly Lean'!I61,0),IF(Nonlabor!$I$6="Customers",'Monthly Lean'!D61,IF(Nonlabor!$I$6="NewCustomers",'Monthly Lean'!C61,IF(Nonlabor!$I$6="StorageGB",'Monthly Lean'!G61,IF(Nonlabor!$I$6="LogGB",'Monthly Lean'!H61,IF(Nonlabor!$I$6="RequestsM",'Monthly Lean'!F61,IF(Nonlabor!$I$6="InputM",'Monthly Lean'!D61*Assumptions!$C$22/1000000,IF(Nonlabor!$I$6="OutputM",'Monthly Lean'!D61*Assumptions!$C$23/1000000,0))))))))),0)</f>
        <v>1</v>
      </c>
      <c r="F61" s="10" t="n">
        <f aca="false">Nonlabor!$J$6*(1+Assumptions!$C$9)^INT((C61-1)/12)</f>
        <v>450.203524</v>
      </c>
      <c r="G61" s="10" t="n">
        <f aca="false">E61*F61</f>
        <v>450.203524</v>
      </c>
      <c r="H61" s="10" t="n">
        <f aca="false">IF(OR(Nonlabor!$L$6="Quote required",Nonlabor!$L$6="Unverified"),G61,0)</f>
        <v>450.203524</v>
      </c>
      <c r="I61" s="10" t="n">
        <f aca="false">IF(Nonlabor!$E$6="Core",0,G61)</f>
        <v>0</v>
      </c>
      <c r="J61" s="23" t="str">
        <f aca="false">Nonlabor!$B$6</f>
        <v>INFRA</v>
      </c>
    </row>
    <row r="62" customFormat="false" ht="15" hidden="false" customHeight="false" outlineLevel="0" collapsed="false">
      <c r="A62" s="6" t="s">
        <v>72</v>
      </c>
      <c r="B62" s="6" t="s">
        <v>368</v>
      </c>
      <c r="C62" s="6" t="n">
        <v>57</v>
      </c>
      <c r="D62" s="25" t="n">
        <f aca="false">EDATE('Start Here'!$B$6,C62-1)</f>
        <v>48030</v>
      </c>
      <c r="E62" s="23" t="n">
        <f aca="false">IF(AND(OR(Nonlabor!$D$6="Both",Nonlabor!$D$6='Start Here'!$B$9),IF(Nonlabor!$E$6="Core",1,IF(Nonlabor!$E$6="AI",'Start Here'!$B$7,'Start Here'!$B$8))=1,C62&gt;=IF(Nonlabor!$E$6="Core",Nonlabor!$F$6,MAX(Nonlabor!$F$6,IF(Nonlabor!$E$6="AI",Assumptions!$C$24,Assumptions!$C$25))),C62&lt;=Nonlabor!$G$6,OR(Nonlabor!$H$6="Monthly",AND(Nonlabor!$H$6="Once",C62=IF(Nonlabor!$E$6="Core",Nonlabor!$F$6,MAX(Nonlabor!$F$6,IF(Nonlabor!$E$6="AI",Assumptions!$C$24,Assumptions!$C$25)))),AND(Nonlabor!$H$6="Annual",MOD(C62-IF(Nonlabor!$E$6="Core",Nonlabor!$F$6,MAX(Nonlabor!$F$6,IF(Nonlabor!$E$6="AI",Assumptions!$C$24,Assumptions!$C$25))),12)=0))),IF(Nonlabor!$I$6="Fixed",1,IF(Nonlabor!$I$6="Seats",ROUNDUP('Monthly Lean'!I62,0),IF(Nonlabor!$I$6="Customers",'Monthly Lean'!D62,IF(Nonlabor!$I$6="NewCustomers",'Monthly Lean'!C62,IF(Nonlabor!$I$6="StorageGB",'Monthly Lean'!G62,IF(Nonlabor!$I$6="LogGB",'Monthly Lean'!H62,IF(Nonlabor!$I$6="RequestsM",'Monthly Lean'!F62,IF(Nonlabor!$I$6="InputM",'Monthly Lean'!D62*Assumptions!$C$22/1000000,IF(Nonlabor!$I$6="OutputM",'Monthly Lean'!D62*Assumptions!$C$23/1000000,0))))))))),0)</f>
        <v>1</v>
      </c>
      <c r="F62" s="10" t="n">
        <f aca="false">Nonlabor!$J$6*(1+Assumptions!$C$9)^INT((C62-1)/12)</f>
        <v>450.203524</v>
      </c>
      <c r="G62" s="10" t="n">
        <f aca="false">E62*F62</f>
        <v>450.203524</v>
      </c>
      <c r="H62" s="10" t="n">
        <f aca="false">IF(OR(Nonlabor!$L$6="Quote required",Nonlabor!$L$6="Unverified"),G62,0)</f>
        <v>450.203524</v>
      </c>
      <c r="I62" s="10" t="n">
        <f aca="false">IF(Nonlabor!$E$6="Core",0,G62)</f>
        <v>0</v>
      </c>
      <c r="J62" s="23" t="str">
        <f aca="false">Nonlabor!$B$6</f>
        <v>INFRA</v>
      </c>
    </row>
    <row r="63" customFormat="false" ht="15" hidden="false" customHeight="false" outlineLevel="0" collapsed="false">
      <c r="A63" s="6" t="s">
        <v>72</v>
      </c>
      <c r="B63" s="6" t="s">
        <v>368</v>
      </c>
      <c r="C63" s="6" t="n">
        <v>58</v>
      </c>
      <c r="D63" s="25" t="n">
        <f aca="false">EDATE('Start Here'!$B$6,C63-1)</f>
        <v>48061</v>
      </c>
      <c r="E63" s="23" t="n">
        <f aca="false">IF(AND(OR(Nonlabor!$D$6="Both",Nonlabor!$D$6='Start Here'!$B$9),IF(Nonlabor!$E$6="Core",1,IF(Nonlabor!$E$6="AI",'Start Here'!$B$7,'Start Here'!$B$8))=1,C63&gt;=IF(Nonlabor!$E$6="Core",Nonlabor!$F$6,MAX(Nonlabor!$F$6,IF(Nonlabor!$E$6="AI",Assumptions!$C$24,Assumptions!$C$25))),C63&lt;=Nonlabor!$G$6,OR(Nonlabor!$H$6="Monthly",AND(Nonlabor!$H$6="Once",C63=IF(Nonlabor!$E$6="Core",Nonlabor!$F$6,MAX(Nonlabor!$F$6,IF(Nonlabor!$E$6="AI",Assumptions!$C$24,Assumptions!$C$25)))),AND(Nonlabor!$H$6="Annual",MOD(C63-IF(Nonlabor!$E$6="Core",Nonlabor!$F$6,MAX(Nonlabor!$F$6,IF(Nonlabor!$E$6="AI",Assumptions!$C$24,Assumptions!$C$25))),12)=0))),IF(Nonlabor!$I$6="Fixed",1,IF(Nonlabor!$I$6="Seats",ROUNDUP('Monthly Lean'!I63,0),IF(Nonlabor!$I$6="Customers",'Monthly Lean'!D63,IF(Nonlabor!$I$6="NewCustomers",'Monthly Lean'!C63,IF(Nonlabor!$I$6="StorageGB",'Monthly Lean'!G63,IF(Nonlabor!$I$6="LogGB",'Monthly Lean'!H63,IF(Nonlabor!$I$6="RequestsM",'Monthly Lean'!F63,IF(Nonlabor!$I$6="InputM",'Monthly Lean'!D63*Assumptions!$C$22/1000000,IF(Nonlabor!$I$6="OutputM",'Monthly Lean'!D63*Assumptions!$C$23/1000000,0))))))))),0)</f>
        <v>1</v>
      </c>
      <c r="F63" s="10" t="n">
        <f aca="false">Nonlabor!$J$6*(1+Assumptions!$C$9)^INT((C63-1)/12)</f>
        <v>450.203524</v>
      </c>
      <c r="G63" s="10" t="n">
        <f aca="false">E63*F63</f>
        <v>450.203524</v>
      </c>
      <c r="H63" s="10" t="n">
        <f aca="false">IF(OR(Nonlabor!$L$6="Quote required",Nonlabor!$L$6="Unverified"),G63,0)</f>
        <v>450.203524</v>
      </c>
      <c r="I63" s="10" t="n">
        <f aca="false">IF(Nonlabor!$E$6="Core",0,G63)</f>
        <v>0</v>
      </c>
      <c r="J63" s="23" t="str">
        <f aca="false">Nonlabor!$B$6</f>
        <v>INFRA</v>
      </c>
    </row>
    <row r="64" customFormat="false" ht="15" hidden="false" customHeight="false" outlineLevel="0" collapsed="false">
      <c r="A64" s="6" t="s">
        <v>72</v>
      </c>
      <c r="B64" s="6" t="s">
        <v>368</v>
      </c>
      <c r="C64" s="6" t="n">
        <v>59</v>
      </c>
      <c r="D64" s="25" t="n">
        <f aca="false">EDATE('Start Here'!$B$6,C64-1)</f>
        <v>48092</v>
      </c>
      <c r="E64" s="23" t="n">
        <f aca="false">IF(AND(OR(Nonlabor!$D$6="Both",Nonlabor!$D$6='Start Here'!$B$9),IF(Nonlabor!$E$6="Core",1,IF(Nonlabor!$E$6="AI",'Start Here'!$B$7,'Start Here'!$B$8))=1,C64&gt;=IF(Nonlabor!$E$6="Core",Nonlabor!$F$6,MAX(Nonlabor!$F$6,IF(Nonlabor!$E$6="AI",Assumptions!$C$24,Assumptions!$C$25))),C64&lt;=Nonlabor!$G$6,OR(Nonlabor!$H$6="Monthly",AND(Nonlabor!$H$6="Once",C64=IF(Nonlabor!$E$6="Core",Nonlabor!$F$6,MAX(Nonlabor!$F$6,IF(Nonlabor!$E$6="AI",Assumptions!$C$24,Assumptions!$C$25)))),AND(Nonlabor!$H$6="Annual",MOD(C64-IF(Nonlabor!$E$6="Core",Nonlabor!$F$6,MAX(Nonlabor!$F$6,IF(Nonlabor!$E$6="AI",Assumptions!$C$24,Assumptions!$C$25))),12)=0))),IF(Nonlabor!$I$6="Fixed",1,IF(Nonlabor!$I$6="Seats",ROUNDUP('Monthly Lean'!I64,0),IF(Nonlabor!$I$6="Customers",'Monthly Lean'!D64,IF(Nonlabor!$I$6="NewCustomers",'Monthly Lean'!C64,IF(Nonlabor!$I$6="StorageGB",'Monthly Lean'!G64,IF(Nonlabor!$I$6="LogGB",'Monthly Lean'!H64,IF(Nonlabor!$I$6="RequestsM",'Monthly Lean'!F64,IF(Nonlabor!$I$6="InputM",'Monthly Lean'!D64*Assumptions!$C$22/1000000,IF(Nonlabor!$I$6="OutputM",'Monthly Lean'!D64*Assumptions!$C$23/1000000,0))))))))),0)</f>
        <v>1</v>
      </c>
      <c r="F64" s="10" t="n">
        <f aca="false">Nonlabor!$J$6*(1+Assumptions!$C$9)^INT((C64-1)/12)</f>
        <v>450.203524</v>
      </c>
      <c r="G64" s="10" t="n">
        <f aca="false">E64*F64</f>
        <v>450.203524</v>
      </c>
      <c r="H64" s="10" t="n">
        <f aca="false">IF(OR(Nonlabor!$L$6="Quote required",Nonlabor!$L$6="Unverified"),G64,0)</f>
        <v>450.203524</v>
      </c>
      <c r="I64" s="10" t="n">
        <f aca="false">IF(Nonlabor!$E$6="Core",0,G64)</f>
        <v>0</v>
      </c>
      <c r="J64" s="23" t="str">
        <f aca="false">Nonlabor!$B$6</f>
        <v>INFRA</v>
      </c>
    </row>
    <row r="65" customFormat="false" ht="15" hidden="false" customHeight="false" outlineLevel="0" collapsed="false">
      <c r="A65" s="6" t="s">
        <v>72</v>
      </c>
      <c r="B65" s="6" t="s">
        <v>368</v>
      </c>
      <c r="C65" s="6" t="n">
        <v>60</v>
      </c>
      <c r="D65" s="25" t="n">
        <f aca="false">EDATE('Start Here'!$B$6,C65-1)</f>
        <v>48122</v>
      </c>
      <c r="E65" s="23" t="n">
        <f aca="false">IF(AND(OR(Nonlabor!$D$6="Both",Nonlabor!$D$6='Start Here'!$B$9),IF(Nonlabor!$E$6="Core",1,IF(Nonlabor!$E$6="AI",'Start Here'!$B$7,'Start Here'!$B$8))=1,C65&gt;=IF(Nonlabor!$E$6="Core",Nonlabor!$F$6,MAX(Nonlabor!$F$6,IF(Nonlabor!$E$6="AI",Assumptions!$C$24,Assumptions!$C$25))),C65&lt;=Nonlabor!$G$6,OR(Nonlabor!$H$6="Monthly",AND(Nonlabor!$H$6="Once",C65=IF(Nonlabor!$E$6="Core",Nonlabor!$F$6,MAX(Nonlabor!$F$6,IF(Nonlabor!$E$6="AI",Assumptions!$C$24,Assumptions!$C$25)))),AND(Nonlabor!$H$6="Annual",MOD(C65-IF(Nonlabor!$E$6="Core",Nonlabor!$F$6,MAX(Nonlabor!$F$6,IF(Nonlabor!$E$6="AI",Assumptions!$C$24,Assumptions!$C$25))),12)=0))),IF(Nonlabor!$I$6="Fixed",1,IF(Nonlabor!$I$6="Seats",ROUNDUP('Monthly Lean'!I65,0),IF(Nonlabor!$I$6="Customers",'Monthly Lean'!D65,IF(Nonlabor!$I$6="NewCustomers",'Monthly Lean'!C65,IF(Nonlabor!$I$6="StorageGB",'Monthly Lean'!G65,IF(Nonlabor!$I$6="LogGB",'Monthly Lean'!H65,IF(Nonlabor!$I$6="RequestsM",'Monthly Lean'!F65,IF(Nonlabor!$I$6="InputM",'Monthly Lean'!D65*Assumptions!$C$22/1000000,IF(Nonlabor!$I$6="OutputM",'Monthly Lean'!D65*Assumptions!$C$23/1000000,0))))))))),0)</f>
        <v>1</v>
      </c>
      <c r="F65" s="10" t="n">
        <f aca="false">Nonlabor!$J$6*(1+Assumptions!$C$9)^INT((C65-1)/12)</f>
        <v>450.203524</v>
      </c>
      <c r="G65" s="10" t="n">
        <f aca="false">E65*F65</f>
        <v>450.203524</v>
      </c>
      <c r="H65" s="10" t="n">
        <f aca="false">IF(OR(Nonlabor!$L$6="Quote required",Nonlabor!$L$6="Unverified"),G65,0)</f>
        <v>450.203524</v>
      </c>
      <c r="I65" s="10" t="n">
        <f aca="false">IF(Nonlabor!$E$6="Core",0,G65)</f>
        <v>0</v>
      </c>
      <c r="J65" s="23" t="str">
        <f aca="false">Nonlabor!$B$6</f>
        <v>INFRA</v>
      </c>
    </row>
    <row r="66" customFormat="false" ht="15" hidden="false" customHeight="false" outlineLevel="0" collapsed="false">
      <c r="A66" s="6" t="s">
        <v>72</v>
      </c>
      <c r="B66" s="6" t="s">
        <v>373</v>
      </c>
      <c r="C66" s="6" t="n">
        <v>1</v>
      </c>
      <c r="D66" s="25" t="n">
        <f aca="false">EDATE('Start Here'!$B$6,C66-1)</f>
        <v>46327</v>
      </c>
      <c r="E66" s="23" t="n">
        <f aca="false">IF(AND(OR(Nonlabor!$D$7="Both",Nonlabor!$D$7='Start Here'!$B$9),IF(Nonlabor!$E$7="Core",1,IF(Nonlabor!$E$7="AI",'Start Here'!$B$7,'Start Here'!$B$8))=1,C66&gt;=IF(Nonlabor!$E$7="Core",Nonlabor!$F$7,MAX(Nonlabor!$F$7,IF(Nonlabor!$E$7="AI",Assumptions!$C$24,Assumptions!$C$25))),C66&lt;=Nonlabor!$G$7,OR(Nonlabor!$H$7="Monthly",AND(Nonlabor!$H$7="Once",C66=IF(Nonlabor!$E$7="Core",Nonlabor!$F$7,MAX(Nonlabor!$F$7,IF(Nonlabor!$E$7="AI",Assumptions!$C$24,Assumptions!$C$25)))),AND(Nonlabor!$H$7="Annual",MOD(C66-IF(Nonlabor!$E$7="Core",Nonlabor!$F$7,MAX(Nonlabor!$F$7,IF(Nonlabor!$E$7="AI",Assumptions!$C$24,Assumptions!$C$25))),12)=0))),IF(Nonlabor!$I$7="Fixed",1,IF(Nonlabor!$I$7="Seats",ROUNDUP('Monthly Lean'!I6,0),IF(Nonlabor!$I$7="Customers",'Monthly Lean'!D6,IF(Nonlabor!$I$7="NewCustomers",'Monthly Lean'!C6,IF(Nonlabor!$I$7="StorageGB",'Monthly Lean'!G6,IF(Nonlabor!$I$7="LogGB",'Monthly Lean'!H6,IF(Nonlabor!$I$7="RequestsM",'Monthly Lean'!F6,IF(Nonlabor!$I$7="InputM",'Monthly Lean'!D6*Assumptions!$C$22/1000000,IF(Nonlabor!$I$7="OutputM",'Monthly Lean'!D6*Assumptions!$C$23/1000000,0))))))))),0)</f>
        <v>1</v>
      </c>
      <c r="F66" s="10" t="n">
        <f aca="false">Nonlabor!$J$7*(1+Assumptions!$C$9)^INT((C66-1)/12)</f>
        <v>600</v>
      </c>
      <c r="G66" s="10" t="n">
        <f aca="false">E66*F66</f>
        <v>600</v>
      </c>
      <c r="H66" s="10" t="n">
        <f aca="false">IF(OR(Nonlabor!$L$7="Quote required",Nonlabor!$L$7="Unverified"),G66,0)</f>
        <v>600</v>
      </c>
      <c r="I66" s="10" t="n">
        <f aca="false">IF(Nonlabor!$E$7="Core",0,G66)</f>
        <v>0</v>
      </c>
      <c r="J66" s="23" t="str">
        <f aca="false">Nonlabor!$B$7</f>
        <v>INFRA</v>
      </c>
    </row>
    <row r="67" customFormat="false" ht="15" hidden="false" customHeight="false" outlineLevel="0" collapsed="false">
      <c r="A67" s="6" t="s">
        <v>72</v>
      </c>
      <c r="B67" s="6" t="s">
        <v>373</v>
      </c>
      <c r="C67" s="6" t="n">
        <v>2</v>
      </c>
      <c r="D67" s="25" t="n">
        <f aca="false">EDATE('Start Here'!$B$6,C67-1)</f>
        <v>46357</v>
      </c>
      <c r="E67" s="23" t="n">
        <f aca="false">IF(AND(OR(Nonlabor!$D$7="Both",Nonlabor!$D$7='Start Here'!$B$9),IF(Nonlabor!$E$7="Core",1,IF(Nonlabor!$E$7="AI",'Start Here'!$B$7,'Start Here'!$B$8))=1,C67&gt;=IF(Nonlabor!$E$7="Core",Nonlabor!$F$7,MAX(Nonlabor!$F$7,IF(Nonlabor!$E$7="AI",Assumptions!$C$24,Assumptions!$C$25))),C67&lt;=Nonlabor!$G$7,OR(Nonlabor!$H$7="Monthly",AND(Nonlabor!$H$7="Once",C67=IF(Nonlabor!$E$7="Core",Nonlabor!$F$7,MAX(Nonlabor!$F$7,IF(Nonlabor!$E$7="AI",Assumptions!$C$24,Assumptions!$C$25)))),AND(Nonlabor!$H$7="Annual",MOD(C67-IF(Nonlabor!$E$7="Core",Nonlabor!$F$7,MAX(Nonlabor!$F$7,IF(Nonlabor!$E$7="AI",Assumptions!$C$24,Assumptions!$C$25))),12)=0))),IF(Nonlabor!$I$7="Fixed",1,IF(Nonlabor!$I$7="Seats",ROUNDUP('Monthly Lean'!I7,0),IF(Nonlabor!$I$7="Customers",'Monthly Lean'!D7,IF(Nonlabor!$I$7="NewCustomers",'Monthly Lean'!C7,IF(Nonlabor!$I$7="StorageGB",'Monthly Lean'!G7,IF(Nonlabor!$I$7="LogGB",'Monthly Lean'!H7,IF(Nonlabor!$I$7="RequestsM",'Monthly Lean'!F7,IF(Nonlabor!$I$7="InputM",'Monthly Lean'!D7*Assumptions!$C$22/1000000,IF(Nonlabor!$I$7="OutputM",'Monthly Lean'!D7*Assumptions!$C$23/1000000,0))))))))),0)</f>
        <v>1</v>
      </c>
      <c r="F67" s="10" t="n">
        <f aca="false">Nonlabor!$J$7*(1+Assumptions!$C$9)^INT((C67-1)/12)</f>
        <v>600</v>
      </c>
      <c r="G67" s="10" t="n">
        <f aca="false">E67*F67</f>
        <v>600</v>
      </c>
      <c r="H67" s="10" t="n">
        <f aca="false">IF(OR(Nonlabor!$L$7="Quote required",Nonlabor!$L$7="Unverified"),G67,0)</f>
        <v>600</v>
      </c>
      <c r="I67" s="10" t="n">
        <f aca="false">IF(Nonlabor!$E$7="Core",0,G67)</f>
        <v>0</v>
      </c>
      <c r="J67" s="23" t="str">
        <f aca="false">Nonlabor!$B$7</f>
        <v>INFRA</v>
      </c>
    </row>
    <row r="68" customFormat="false" ht="15" hidden="false" customHeight="false" outlineLevel="0" collapsed="false">
      <c r="A68" s="6" t="s">
        <v>72</v>
      </c>
      <c r="B68" s="6" t="s">
        <v>373</v>
      </c>
      <c r="C68" s="6" t="n">
        <v>3</v>
      </c>
      <c r="D68" s="25" t="n">
        <f aca="false">EDATE('Start Here'!$B$6,C68-1)</f>
        <v>46388</v>
      </c>
      <c r="E68" s="23" t="n">
        <f aca="false">IF(AND(OR(Nonlabor!$D$7="Both",Nonlabor!$D$7='Start Here'!$B$9),IF(Nonlabor!$E$7="Core",1,IF(Nonlabor!$E$7="AI",'Start Here'!$B$7,'Start Here'!$B$8))=1,C68&gt;=IF(Nonlabor!$E$7="Core",Nonlabor!$F$7,MAX(Nonlabor!$F$7,IF(Nonlabor!$E$7="AI",Assumptions!$C$24,Assumptions!$C$25))),C68&lt;=Nonlabor!$G$7,OR(Nonlabor!$H$7="Monthly",AND(Nonlabor!$H$7="Once",C68=IF(Nonlabor!$E$7="Core",Nonlabor!$F$7,MAX(Nonlabor!$F$7,IF(Nonlabor!$E$7="AI",Assumptions!$C$24,Assumptions!$C$25)))),AND(Nonlabor!$H$7="Annual",MOD(C68-IF(Nonlabor!$E$7="Core",Nonlabor!$F$7,MAX(Nonlabor!$F$7,IF(Nonlabor!$E$7="AI",Assumptions!$C$24,Assumptions!$C$25))),12)=0))),IF(Nonlabor!$I$7="Fixed",1,IF(Nonlabor!$I$7="Seats",ROUNDUP('Monthly Lean'!I8,0),IF(Nonlabor!$I$7="Customers",'Monthly Lean'!D8,IF(Nonlabor!$I$7="NewCustomers",'Monthly Lean'!C8,IF(Nonlabor!$I$7="StorageGB",'Monthly Lean'!G8,IF(Nonlabor!$I$7="LogGB",'Monthly Lean'!H8,IF(Nonlabor!$I$7="RequestsM",'Monthly Lean'!F8,IF(Nonlabor!$I$7="InputM",'Monthly Lean'!D8*Assumptions!$C$22/1000000,IF(Nonlabor!$I$7="OutputM",'Monthly Lean'!D8*Assumptions!$C$23/1000000,0))))))))),0)</f>
        <v>1</v>
      </c>
      <c r="F68" s="10" t="n">
        <f aca="false">Nonlabor!$J$7*(1+Assumptions!$C$9)^INT((C68-1)/12)</f>
        <v>600</v>
      </c>
      <c r="G68" s="10" t="n">
        <f aca="false">E68*F68</f>
        <v>600</v>
      </c>
      <c r="H68" s="10" t="n">
        <f aca="false">IF(OR(Nonlabor!$L$7="Quote required",Nonlabor!$L$7="Unverified"),G68,0)</f>
        <v>600</v>
      </c>
      <c r="I68" s="10" t="n">
        <f aca="false">IF(Nonlabor!$E$7="Core",0,G68)</f>
        <v>0</v>
      </c>
      <c r="J68" s="23" t="str">
        <f aca="false">Nonlabor!$B$7</f>
        <v>INFRA</v>
      </c>
    </row>
    <row r="69" customFormat="false" ht="15" hidden="false" customHeight="false" outlineLevel="0" collapsed="false">
      <c r="A69" s="6" t="s">
        <v>72</v>
      </c>
      <c r="B69" s="6" t="s">
        <v>373</v>
      </c>
      <c r="C69" s="6" t="n">
        <v>4</v>
      </c>
      <c r="D69" s="25" t="n">
        <f aca="false">EDATE('Start Here'!$B$6,C69-1)</f>
        <v>46419</v>
      </c>
      <c r="E69" s="23" t="n">
        <f aca="false">IF(AND(OR(Nonlabor!$D$7="Both",Nonlabor!$D$7='Start Here'!$B$9),IF(Nonlabor!$E$7="Core",1,IF(Nonlabor!$E$7="AI",'Start Here'!$B$7,'Start Here'!$B$8))=1,C69&gt;=IF(Nonlabor!$E$7="Core",Nonlabor!$F$7,MAX(Nonlabor!$F$7,IF(Nonlabor!$E$7="AI",Assumptions!$C$24,Assumptions!$C$25))),C69&lt;=Nonlabor!$G$7,OR(Nonlabor!$H$7="Monthly",AND(Nonlabor!$H$7="Once",C69=IF(Nonlabor!$E$7="Core",Nonlabor!$F$7,MAX(Nonlabor!$F$7,IF(Nonlabor!$E$7="AI",Assumptions!$C$24,Assumptions!$C$25)))),AND(Nonlabor!$H$7="Annual",MOD(C69-IF(Nonlabor!$E$7="Core",Nonlabor!$F$7,MAX(Nonlabor!$F$7,IF(Nonlabor!$E$7="AI",Assumptions!$C$24,Assumptions!$C$25))),12)=0))),IF(Nonlabor!$I$7="Fixed",1,IF(Nonlabor!$I$7="Seats",ROUNDUP('Monthly Lean'!I9,0),IF(Nonlabor!$I$7="Customers",'Monthly Lean'!D9,IF(Nonlabor!$I$7="NewCustomers",'Monthly Lean'!C9,IF(Nonlabor!$I$7="StorageGB",'Monthly Lean'!G9,IF(Nonlabor!$I$7="LogGB",'Monthly Lean'!H9,IF(Nonlabor!$I$7="RequestsM",'Monthly Lean'!F9,IF(Nonlabor!$I$7="InputM",'Monthly Lean'!D9*Assumptions!$C$22/1000000,IF(Nonlabor!$I$7="OutputM",'Monthly Lean'!D9*Assumptions!$C$23/1000000,0))))))))),0)</f>
        <v>1</v>
      </c>
      <c r="F69" s="10" t="n">
        <f aca="false">Nonlabor!$J$7*(1+Assumptions!$C$9)^INT((C69-1)/12)</f>
        <v>600</v>
      </c>
      <c r="G69" s="10" t="n">
        <f aca="false">E69*F69</f>
        <v>600</v>
      </c>
      <c r="H69" s="10" t="n">
        <f aca="false">IF(OR(Nonlabor!$L$7="Quote required",Nonlabor!$L$7="Unverified"),G69,0)</f>
        <v>600</v>
      </c>
      <c r="I69" s="10" t="n">
        <f aca="false">IF(Nonlabor!$E$7="Core",0,G69)</f>
        <v>0</v>
      </c>
      <c r="J69" s="23" t="str">
        <f aca="false">Nonlabor!$B$7</f>
        <v>INFRA</v>
      </c>
    </row>
    <row r="70" customFormat="false" ht="15" hidden="false" customHeight="false" outlineLevel="0" collapsed="false">
      <c r="A70" s="6" t="s">
        <v>72</v>
      </c>
      <c r="B70" s="6" t="s">
        <v>373</v>
      </c>
      <c r="C70" s="6" t="n">
        <v>5</v>
      </c>
      <c r="D70" s="25" t="n">
        <f aca="false">EDATE('Start Here'!$B$6,C70-1)</f>
        <v>46447</v>
      </c>
      <c r="E70" s="23" t="n">
        <f aca="false">IF(AND(OR(Nonlabor!$D$7="Both",Nonlabor!$D$7='Start Here'!$B$9),IF(Nonlabor!$E$7="Core",1,IF(Nonlabor!$E$7="AI",'Start Here'!$B$7,'Start Here'!$B$8))=1,C70&gt;=IF(Nonlabor!$E$7="Core",Nonlabor!$F$7,MAX(Nonlabor!$F$7,IF(Nonlabor!$E$7="AI",Assumptions!$C$24,Assumptions!$C$25))),C70&lt;=Nonlabor!$G$7,OR(Nonlabor!$H$7="Monthly",AND(Nonlabor!$H$7="Once",C70=IF(Nonlabor!$E$7="Core",Nonlabor!$F$7,MAX(Nonlabor!$F$7,IF(Nonlabor!$E$7="AI",Assumptions!$C$24,Assumptions!$C$25)))),AND(Nonlabor!$H$7="Annual",MOD(C70-IF(Nonlabor!$E$7="Core",Nonlabor!$F$7,MAX(Nonlabor!$F$7,IF(Nonlabor!$E$7="AI",Assumptions!$C$24,Assumptions!$C$25))),12)=0))),IF(Nonlabor!$I$7="Fixed",1,IF(Nonlabor!$I$7="Seats",ROUNDUP('Monthly Lean'!I10,0),IF(Nonlabor!$I$7="Customers",'Monthly Lean'!D10,IF(Nonlabor!$I$7="NewCustomers",'Monthly Lean'!C10,IF(Nonlabor!$I$7="StorageGB",'Monthly Lean'!G10,IF(Nonlabor!$I$7="LogGB",'Monthly Lean'!H10,IF(Nonlabor!$I$7="RequestsM",'Monthly Lean'!F10,IF(Nonlabor!$I$7="InputM",'Monthly Lean'!D10*Assumptions!$C$22/1000000,IF(Nonlabor!$I$7="OutputM",'Monthly Lean'!D10*Assumptions!$C$23/1000000,0))))))))),0)</f>
        <v>1</v>
      </c>
      <c r="F70" s="10" t="n">
        <f aca="false">Nonlabor!$J$7*(1+Assumptions!$C$9)^INT((C70-1)/12)</f>
        <v>600</v>
      </c>
      <c r="G70" s="10" t="n">
        <f aca="false">E70*F70</f>
        <v>600</v>
      </c>
      <c r="H70" s="10" t="n">
        <f aca="false">IF(OR(Nonlabor!$L$7="Quote required",Nonlabor!$L$7="Unverified"),G70,0)</f>
        <v>600</v>
      </c>
      <c r="I70" s="10" t="n">
        <f aca="false">IF(Nonlabor!$E$7="Core",0,G70)</f>
        <v>0</v>
      </c>
      <c r="J70" s="23" t="str">
        <f aca="false">Nonlabor!$B$7</f>
        <v>INFRA</v>
      </c>
    </row>
    <row r="71" customFormat="false" ht="15" hidden="false" customHeight="false" outlineLevel="0" collapsed="false">
      <c r="A71" s="6" t="s">
        <v>72</v>
      </c>
      <c r="B71" s="6" t="s">
        <v>373</v>
      </c>
      <c r="C71" s="6" t="n">
        <v>6</v>
      </c>
      <c r="D71" s="25" t="n">
        <f aca="false">EDATE('Start Here'!$B$6,C71-1)</f>
        <v>46478</v>
      </c>
      <c r="E71" s="23" t="n">
        <f aca="false">IF(AND(OR(Nonlabor!$D$7="Both",Nonlabor!$D$7='Start Here'!$B$9),IF(Nonlabor!$E$7="Core",1,IF(Nonlabor!$E$7="AI",'Start Here'!$B$7,'Start Here'!$B$8))=1,C71&gt;=IF(Nonlabor!$E$7="Core",Nonlabor!$F$7,MAX(Nonlabor!$F$7,IF(Nonlabor!$E$7="AI",Assumptions!$C$24,Assumptions!$C$25))),C71&lt;=Nonlabor!$G$7,OR(Nonlabor!$H$7="Monthly",AND(Nonlabor!$H$7="Once",C71=IF(Nonlabor!$E$7="Core",Nonlabor!$F$7,MAX(Nonlabor!$F$7,IF(Nonlabor!$E$7="AI",Assumptions!$C$24,Assumptions!$C$25)))),AND(Nonlabor!$H$7="Annual",MOD(C71-IF(Nonlabor!$E$7="Core",Nonlabor!$F$7,MAX(Nonlabor!$F$7,IF(Nonlabor!$E$7="AI",Assumptions!$C$24,Assumptions!$C$25))),12)=0))),IF(Nonlabor!$I$7="Fixed",1,IF(Nonlabor!$I$7="Seats",ROUNDUP('Monthly Lean'!I11,0),IF(Nonlabor!$I$7="Customers",'Monthly Lean'!D11,IF(Nonlabor!$I$7="NewCustomers",'Monthly Lean'!C11,IF(Nonlabor!$I$7="StorageGB",'Monthly Lean'!G11,IF(Nonlabor!$I$7="LogGB",'Monthly Lean'!H11,IF(Nonlabor!$I$7="RequestsM",'Monthly Lean'!F11,IF(Nonlabor!$I$7="InputM",'Monthly Lean'!D11*Assumptions!$C$22/1000000,IF(Nonlabor!$I$7="OutputM",'Monthly Lean'!D11*Assumptions!$C$23/1000000,0))))))))),0)</f>
        <v>1</v>
      </c>
      <c r="F71" s="10" t="n">
        <f aca="false">Nonlabor!$J$7*(1+Assumptions!$C$9)^INT((C71-1)/12)</f>
        <v>600</v>
      </c>
      <c r="G71" s="10" t="n">
        <f aca="false">E71*F71</f>
        <v>600</v>
      </c>
      <c r="H71" s="10" t="n">
        <f aca="false">IF(OR(Nonlabor!$L$7="Quote required",Nonlabor!$L$7="Unverified"),G71,0)</f>
        <v>600</v>
      </c>
      <c r="I71" s="10" t="n">
        <f aca="false">IF(Nonlabor!$E$7="Core",0,G71)</f>
        <v>0</v>
      </c>
      <c r="J71" s="23" t="str">
        <f aca="false">Nonlabor!$B$7</f>
        <v>INFRA</v>
      </c>
    </row>
    <row r="72" customFormat="false" ht="15" hidden="false" customHeight="false" outlineLevel="0" collapsed="false">
      <c r="A72" s="6" t="s">
        <v>72</v>
      </c>
      <c r="B72" s="6" t="s">
        <v>373</v>
      </c>
      <c r="C72" s="6" t="n">
        <v>7</v>
      </c>
      <c r="D72" s="25" t="n">
        <f aca="false">EDATE('Start Here'!$B$6,C72-1)</f>
        <v>46508</v>
      </c>
      <c r="E72" s="23" t="n">
        <f aca="false">IF(AND(OR(Nonlabor!$D$7="Both",Nonlabor!$D$7='Start Here'!$B$9),IF(Nonlabor!$E$7="Core",1,IF(Nonlabor!$E$7="AI",'Start Here'!$B$7,'Start Here'!$B$8))=1,C72&gt;=IF(Nonlabor!$E$7="Core",Nonlabor!$F$7,MAX(Nonlabor!$F$7,IF(Nonlabor!$E$7="AI",Assumptions!$C$24,Assumptions!$C$25))),C72&lt;=Nonlabor!$G$7,OR(Nonlabor!$H$7="Monthly",AND(Nonlabor!$H$7="Once",C72=IF(Nonlabor!$E$7="Core",Nonlabor!$F$7,MAX(Nonlabor!$F$7,IF(Nonlabor!$E$7="AI",Assumptions!$C$24,Assumptions!$C$25)))),AND(Nonlabor!$H$7="Annual",MOD(C72-IF(Nonlabor!$E$7="Core",Nonlabor!$F$7,MAX(Nonlabor!$F$7,IF(Nonlabor!$E$7="AI",Assumptions!$C$24,Assumptions!$C$25))),12)=0))),IF(Nonlabor!$I$7="Fixed",1,IF(Nonlabor!$I$7="Seats",ROUNDUP('Monthly Lean'!I12,0),IF(Nonlabor!$I$7="Customers",'Monthly Lean'!D12,IF(Nonlabor!$I$7="NewCustomers",'Monthly Lean'!C12,IF(Nonlabor!$I$7="StorageGB",'Monthly Lean'!G12,IF(Nonlabor!$I$7="LogGB",'Monthly Lean'!H12,IF(Nonlabor!$I$7="RequestsM",'Monthly Lean'!F12,IF(Nonlabor!$I$7="InputM",'Monthly Lean'!D12*Assumptions!$C$22/1000000,IF(Nonlabor!$I$7="OutputM",'Monthly Lean'!D12*Assumptions!$C$23/1000000,0))))))))),0)</f>
        <v>1</v>
      </c>
      <c r="F72" s="10" t="n">
        <f aca="false">Nonlabor!$J$7*(1+Assumptions!$C$9)^INT((C72-1)/12)</f>
        <v>600</v>
      </c>
      <c r="G72" s="10" t="n">
        <f aca="false">E72*F72</f>
        <v>600</v>
      </c>
      <c r="H72" s="10" t="n">
        <f aca="false">IF(OR(Nonlabor!$L$7="Quote required",Nonlabor!$L$7="Unverified"),G72,0)</f>
        <v>600</v>
      </c>
      <c r="I72" s="10" t="n">
        <f aca="false">IF(Nonlabor!$E$7="Core",0,G72)</f>
        <v>0</v>
      </c>
      <c r="J72" s="23" t="str">
        <f aca="false">Nonlabor!$B$7</f>
        <v>INFRA</v>
      </c>
    </row>
    <row r="73" customFormat="false" ht="15" hidden="false" customHeight="false" outlineLevel="0" collapsed="false">
      <c r="A73" s="6" t="s">
        <v>72</v>
      </c>
      <c r="B73" s="6" t="s">
        <v>373</v>
      </c>
      <c r="C73" s="6" t="n">
        <v>8</v>
      </c>
      <c r="D73" s="25" t="n">
        <f aca="false">EDATE('Start Here'!$B$6,C73-1)</f>
        <v>46539</v>
      </c>
      <c r="E73" s="23" t="n">
        <f aca="false">IF(AND(OR(Nonlabor!$D$7="Both",Nonlabor!$D$7='Start Here'!$B$9),IF(Nonlabor!$E$7="Core",1,IF(Nonlabor!$E$7="AI",'Start Here'!$B$7,'Start Here'!$B$8))=1,C73&gt;=IF(Nonlabor!$E$7="Core",Nonlabor!$F$7,MAX(Nonlabor!$F$7,IF(Nonlabor!$E$7="AI",Assumptions!$C$24,Assumptions!$C$25))),C73&lt;=Nonlabor!$G$7,OR(Nonlabor!$H$7="Monthly",AND(Nonlabor!$H$7="Once",C73=IF(Nonlabor!$E$7="Core",Nonlabor!$F$7,MAX(Nonlabor!$F$7,IF(Nonlabor!$E$7="AI",Assumptions!$C$24,Assumptions!$C$25)))),AND(Nonlabor!$H$7="Annual",MOD(C73-IF(Nonlabor!$E$7="Core",Nonlabor!$F$7,MAX(Nonlabor!$F$7,IF(Nonlabor!$E$7="AI",Assumptions!$C$24,Assumptions!$C$25))),12)=0))),IF(Nonlabor!$I$7="Fixed",1,IF(Nonlabor!$I$7="Seats",ROUNDUP('Monthly Lean'!I13,0),IF(Nonlabor!$I$7="Customers",'Monthly Lean'!D13,IF(Nonlabor!$I$7="NewCustomers",'Monthly Lean'!C13,IF(Nonlabor!$I$7="StorageGB",'Monthly Lean'!G13,IF(Nonlabor!$I$7="LogGB",'Monthly Lean'!H13,IF(Nonlabor!$I$7="RequestsM",'Monthly Lean'!F13,IF(Nonlabor!$I$7="InputM",'Monthly Lean'!D13*Assumptions!$C$22/1000000,IF(Nonlabor!$I$7="OutputM",'Monthly Lean'!D13*Assumptions!$C$23/1000000,0))))))))),0)</f>
        <v>1</v>
      </c>
      <c r="F73" s="10" t="n">
        <f aca="false">Nonlabor!$J$7*(1+Assumptions!$C$9)^INT((C73-1)/12)</f>
        <v>600</v>
      </c>
      <c r="G73" s="10" t="n">
        <f aca="false">E73*F73</f>
        <v>600</v>
      </c>
      <c r="H73" s="10" t="n">
        <f aca="false">IF(OR(Nonlabor!$L$7="Quote required",Nonlabor!$L$7="Unverified"),G73,0)</f>
        <v>600</v>
      </c>
      <c r="I73" s="10" t="n">
        <f aca="false">IF(Nonlabor!$E$7="Core",0,G73)</f>
        <v>0</v>
      </c>
      <c r="J73" s="23" t="str">
        <f aca="false">Nonlabor!$B$7</f>
        <v>INFRA</v>
      </c>
    </row>
    <row r="74" customFormat="false" ht="15" hidden="false" customHeight="false" outlineLevel="0" collapsed="false">
      <c r="A74" s="6" t="s">
        <v>72</v>
      </c>
      <c r="B74" s="6" t="s">
        <v>373</v>
      </c>
      <c r="C74" s="6" t="n">
        <v>9</v>
      </c>
      <c r="D74" s="25" t="n">
        <f aca="false">EDATE('Start Here'!$B$6,C74-1)</f>
        <v>46569</v>
      </c>
      <c r="E74" s="23" t="n">
        <f aca="false">IF(AND(OR(Nonlabor!$D$7="Both",Nonlabor!$D$7='Start Here'!$B$9),IF(Nonlabor!$E$7="Core",1,IF(Nonlabor!$E$7="AI",'Start Here'!$B$7,'Start Here'!$B$8))=1,C74&gt;=IF(Nonlabor!$E$7="Core",Nonlabor!$F$7,MAX(Nonlabor!$F$7,IF(Nonlabor!$E$7="AI",Assumptions!$C$24,Assumptions!$C$25))),C74&lt;=Nonlabor!$G$7,OR(Nonlabor!$H$7="Monthly",AND(Nonlabor!$H$7="Once",C74=IF(Nonlabor!$E$7="Core",Nonlabor!$F$7,MAX(Nonlabor!$F$7,IF(Nonlabor!$E$7="AI",Assumptions!$C$24,Assumptions!$C$25)))),AND(Nonlabor!$H$7="Annual",MOD(C74-IF(Nonlabor!$E$7="Core",Nonlabor!$F$7,MAX(Nonlabor!$F$7,IF(Nonlabor!$E$7="AI",Assumptions!$C$24,Assumptions!$C$25))),12)=0))),IF(Nonlabor!$I$7="Fixed",1,IF(Nonlabor!$I$7="Seats",ROUNDUP('Monthly Lean'!I14,0),IF(Nonlabor!$I$7="Customers",'Monthly Lean'!D14,IF(Nonlabor!$I$7="NewCustomers",'Monthly Lean'!C14,IF(Nonlabor!$I$7="StorageGB",'Monthly Lean'!G14,IF(Nonlabor!$I$7="LogGB",'Monthly Lean'!H14,IF(Nonlabor!$I$7="RequestsM",'Monthly Lean'!F14,IF(Nonlabor!$I$7="InputM",'Monthly Lean'!D14*Assumptions!$C$22/1000000,IF(Nonlabor!$I$7="OutputM",'Monthly Lean'!D14*Assumptions!$C$23/1000000,0))))))))),0)</f>
        <v>1</v>
      </c>
      <c r="F74" s="10" t="n">
        <f aca="false">Nonlabor!$J$7*(1+Assumptions!$C$9)^INT((C74-1)/12)</f>
        <v>600</v>
      </c>
      <c r="G74" s="10" t="n">
        <f aca="false">E74*F74</f>
        <v>600</v>
      </c>
      <c r="H74" s="10" t="n">
        <f aca="false">IF(OR(Nonlabor!$L$7="Quote required",Nonlabor!$L$7="Unverified"),G74,0)</f>
        <v>600</v>
      </c>
      <c r="I74" s="10" t="n">
        <f aca="false">IF(Nonlabor!$E$7="Core",0,G74)</f>
        <v>0</v>
      </c>
      <c r="J74" s="23" t="str">
        <f aca="false">Nonlabor!$B$7</f>
        <v>INFRA</v>
      </c>
    </row>
    <row r="75" customFormat="false" ht="15" hidden="false" customHeight="false" outlineLevel="0" collapsed="false">
      <c r="A75" s="6" t="s">
        <v>72</v>
      </c>
      <c r="B75" s="6" t="s">
        <v>373</v>
      </c>
      <c r="C75" s="6" t="n">
        <v>10</v>
      </c>
      <c r="D75" s="25" t="n">
        <f aca="false">EDATE('Start Here'!$B$6,C75-1)</f>
        <v>46600</v>
      </c>
      <c r="E75" s="23" t="n">
        <f aca="false">IF(AND(OR(Nonlabor!$D$7="Both",Nonlabor!$D$7='Start Here'!$B$9),IF(Nonlabor!$E$7="Core",1,IF(Nonlabor!$E$7="AI",'Start Here'!$B$7,'Start Here'!$B$8))=1,C75&gt;=IF(Nonlabor!$E$7="Core",Nonlabor!$F$7,MAX(Nonlabor!$F$7,IF(Nonlabor!$E$7="AI",Assumptions!$C$24,Assumptions!$C$25))),C75&lt;=Nonlabor!$G$7,OR(Nonlabor!$H$7="Monthly",AND(Nonlabor!$H$7="Once",C75=IF(Nonlabor!$E$7="Core",Nonlabor!$F$7,MAX(Nonlabor!$F$7,IF(Nonlabor!$E$7="AI",Assumptions!$C$24,Assumptions!$C$25)))),AND(Nonlabor!$H$7="Annual",MOD(C75-IF(Nonlabor!$E$7="Core",Nonlabor!$F$7,MAX(Nonlabor!$F$7,IF(Nonlabor!$E$7="AI",Assumptions!$C$24,Assumptions!$C$25))),12)=0))),IF(Nonlabor!$I$7="Fixed",1,IF(Nonlabor!$I$7="Seats",ROUNDUP('Monthly Lean'!I15,0),IF(Nonlabor!$I$7="Customers",'Monthly Lean'!D15,IF(Nonlabor!$I$7="NewCustomers",'Monthly Lean'!C15,IF(Nonlabor!$I$7="StorageGB",'Monthly Lean'!G15,IF(Nonlabor!$I$7="LogGB",'Monthly Lean'!H15,IF(Nonlabor!$I$7="RequestsM",'Monthly Lean'!F15,IF(Nonlabor!$I$7="InputM",'Monthly Lean'!D15*Assumptions!$C$22/1000000,IF(Nonlabor!$I$7="OutputM",'Monthly Lean'!D15*Assumptions!$C$23/1000000,0))))))))),0)</f>
        <v>1</v>
      </c>
      <c r="F75" s="10" t="n">
        <f aca="false">Nonlabor!$J$7*(1+Assumptions!$C$9)^INT((C75-1)/12)</f>
        <v>600</v>
      </c>
      <c r="G75" s="10" t="n">
        <f aca="false">E75*F75</f>
        <v>600</v>
      </c>
      <c r="H75" s="10" t="n">
        <f aca="false">IF(OR(Nonlabor!$L$7="Quote required",Nonlabor!$L$7="Unverified"),G75,0)</f>
        <v>600</v>
      </c>
      <c r="I75" s="10" t="n">
        <f aca="false">IF(Nonlabor!$E$7="Core",0,G75)</f>
        <v>0</v>
      </c>
      <c r="J75" s="23" t="str">
        <f aca="false">Nonlabor!$B$7</f>
        <v>INFRA</v>
      </c>
    </row>
    <row r="76" customFormat="false" ht="15" hidden="false" customHeight="false" outlineLevel="0" collapsed="false">
      <c r="A76" s="6" t="s">
        <v>72</v>
      </c>
      <c r="B76" s="6" t="s">
        <v>373</v>
      </c>
      <c r="C76" s="6" t="n">
        <v>11</v>
      </c>
      <c r="D76" s="25" t="n">
        <f aca="false">EDATE('Start Here'!$B$6,C76-1)</f>
        <v>46631</v>
      </c>
      <c r="E76" s="23" t="n">
        <f aca="false">IF(AND(OR(Nonlabor!$D$7="Both",Nonlabor!$D$7='Start Here'!$B$9),IF(Nonlabor!$E$7="Core",1,IF(Nonlabor!$E$7="AI",'Start Here'!$B$7,'Start Here'!$B$8))=1,C76&gt;=IF(Nonlabor!$E$7="Core",Nonlabor!$F$7,MAX(Nonlabor!$F$7,IF(Nonlabor!$E$7="AI",Assumptions!$C$24,Assumptions!$C$25))),C76&lt;=Nonlabor!$G$7,OR(Nonlabor!$H$7="Monthly",AND(Nonlabor!$H$7="Once",C76=IF(Nonlabor!$E$7="Core",Nonlabor!$F$7,MAX(Nonlabor!$F$7,IF(Nonlabor!$E$7="AI",Assumptions!$C$24,Assumptions!$C$25)))),AND(Nonlabor!$H$7="Annual",MOD(C76-IF(Nonlabor!$E$7="Core",Nonlabor!$F$7,MAX(Nonlabor!$F$7,IF(Nonlabor!$E$7="AI",Assumptions!$C$24,Assumptions!$C$25))),12)=0))),IF(Nonlabor!$I$7="Fixed",1,IF(Nonlabor!$I$7="Seats",ROUNDUP('Monthly Lean'!I16,0),IF(Nonlabor!$I$7="Customers",'Monthly Lean'!D16,IF(Nonlabor!$I$7="NewCustomers",'Monthly Lean'!C16,IF(Nonlabor!$I$7="StorageGB",'Monthly Lean'!G16,IF(Nonlabor!$I$7="LogGB",'Monthly Lean'!H16,IF(Nonlabor!$I$7="RequestsM",'Monthly Lean'!F16,IF(Nonlabor!$I$7="InputM",'Monthly Lean'!D16*Assumptions!$C$22/1000000,IF(Nonlabor!$I$7="OutputM",'Monthly Lean'!D16*Assumptions!$C$23/1000000,0))))))))),0)</f>
        <v>1</v>
      </c>
      <c r="F76" s="10" t="n">
        <f aca="false">Nonlabor!$J$7*(1+Assumptions!$C$9)^INT((C76-1)/12)</f>
        <v>600</v>
      </c>
      <c r="G76" s="10" t="n">
        <f aca="false">E76*F76</f>
        <v>600</v>
      </c>
      <c r="H76" s="10" t="n">
        <f aca="false">IF(OR(Nonlabor!$L$7="Quote required",Nonlabor!$L$7="Unverified"),G76,0)</f>
        <v>600</v>
      </c>
      <c r="I76" s="10" t="n">
        <f aca="false">IF(Nonlabor!$E$7="Core",0,G76)</f>
        <v>0</v>
      </c>
      <c r="J76" s="23" t="str">
        <f aca="false">Nonlabor!$B$7</f>
        <v>INFRA</v>
      </c>
    </row>
    <row r="77" customFormat="false" ht="15" hidden="false" customHeight="false" outlineLevel="0" collapsed="false">
      <c r="A77" s="6" t="s">
        <v>72</v>
      </c>
      <c r="B77" s="6" t="s">
        <v>373</v>
      </c>
      <c r="C77" s="6" t="n">
        <v>12</v>
      </c>
      <c r="D77" s="25" t="n">
        <f aca="false">EDATE('Start Here'!$B$6,C77-1)</f>
        <v>46661</v>
      </c>
      <c r="E77" s="23" t="n">
        <f aca="false">IF(AND(OR(Nonlabor!$D$7="Both",Nonlabor!$D$7='Start Here'!$B$9),IF(Nonlabor!$E$7="Core",1,IF(Nonlabor!$E$7="AI",'Start Here'!$B$7,'Start Here'!$B$8))=1,C77&gt;=IF(Nonlabor!$E$7="Core",Nonlabor!$F$7,MAX(Nonlabor!$F$7,IF(Nonlabor!$E$7="AI",Assumptions!$C$24,Assumptions!$C$25))),C77&lt;=Nonlabor!$G$7,OR(Nonlabor!$H$7="Monthly",AND(Nonlabor!$H$7="Once",C77=IF(Nonlabor!$E$7="Core",Nonlabor!$F$7,MAX(Nonlabor!$F$7,IF(Nonlabor!$E$7="AI",Assumptions!$C$24,Assumptions!$C$25)))),AND(Nonlabor!$H$7="Annual",MOD(C77-IF(Nonlabor!$E$7="Core",Nonlabor!$F$7,MAX(Nonlabor!$F$7,IF(Nonlabor!$E$7="AI",Assumptions!$C$24,Assumptions!$C$25))),12)=0))),IF(Nonlabor!$I$7="Fixed",1,IF(Nonlabor!$I$7="Seats",ROUNDUP('Monthly Lean'!I17,0),IF(Nonlabor!$I$7="Customers",'Monthly Lean'!D17,IF(Nonlabor!$I$7="NewCustomers",'Monthly Lean'!C17,IF(Nonlabor!$I$7="StorageGB",'Monthly Lean'!G17,IF(Nonlabor!$I$7="LogGB",'Monthly Lean'!H17,IF(Nonlabor!$I$7="RequestsM",'Monthly Lean'!F17,IF(Nonlabor!$I$7="InputM",'Monthly Lean'!D17*Assumptions!$C$22/1000000,IF(Nonlabor!$I$7="OutputM",'Monthly Lean'!D17*Assumptions!$C$23/1000000,0))))))))),0)</f>
        <v>1</v>
      </c>
      <c r="F77" s="10" t="n">
        <f aca="false">Nonlabor!$J$7*(1+Assumptions!$C$9)^INT((C77-1)/12)</f>
        <v>600</v>
      </c>
      <c r="G77" s="10" t="n">
        <f aca="false">E77*F77</f>
        <v>600</v>
      </c>
      <c r="H77" s="10" t="n">
        <f aca="false">IF(OR(Nonlabor!$L$7="Quote required",Nonlabor!$L$7="Unverified"),G77,0)</f>
        <v>600</v>
      </c>
      <c r="I77" s="10" t="n">
        <f aca="false">IF(Nonlabor!$E$7="Core",0,G77)</f>
        <v>0</v>
      </c>
      <c r="J77" s="23" t="str">
        <f aca="false">Nonlabor!$B$7</f>
        <v>INFRA</v>
      </c>
    </row>
    <row r="78" customFormat="false" ht="15" hidden="false" customHeight="false" outlineLevel="0" collapsed="false">
      <c r="A78" s="6" t="s">
        <v>72</v>
      </c>
      <c r="B78" s="6" t="s">
        <v>373</v>
      </c>
      <c r="C78" s="6" t="n">
        <v>13</v>
      </c>
      <c r="D78" s="25" t="n">
        <f aca="false">EDATE('Start Here'!$B$6,C78-1)</f>
        <v>46692</v>
      </c>
      <c r="E78" s="23" t="n">
        <f aca="false">IF(AND(OR(Nonlabor!$D$7="Both",Nonlabor!$D$7='Start Here'!$B$9),IF(Nonlabor!$E$7="Core",1,IF(Nonlabor!$E$7="AI",'Start Here'!$B$7,'Start Here'!$B$8))=1,C78&gt;=IF(Nonlabor!$E$7="Core",Nonlabor!$F$7,MAX(Nonlabor!$F$7,IF(Nonlabor!$E$7="AI",Assumptions!$C$24,Assumptions!$C$25))),C78&lt;=Nonlabor!$G$7,OR(Nonlabor!$H$7="Monthly",AND(Nonlabor!$H$7="Once",C78=IF(Nonlabor!$E$7="Core",Nonlabor!$F$7,MAX(Nonlabor!$F$7,IF(Nonlabor!$E$7="AI",Assumptions!$C$24,Assumptions!$C$25)))),AND(Nonlabor!$H$7="Annual",MOD(C78-IF(Nonlabor!$E$7="Core",Nonlabor!$F$7,MAX(Nonlabor!$F$7,IF(Nonlabor!$E$7="AI",Assumptions!$C$24,Assumptions!$C$25))),12)=0))),IF(Nonlabor!$I$7="Fixed",1,IF(Nonlabor!$I$7="Seats",ROUNDUP('Monthly Lean'!I18,0),IF(Nonlabor!$I$7="Customers",'Monthly Lean'!D18,IF(Nonlabor!$I$7="NewCustomers",'Monthly Lean'!C18,IF(Nonlabor!$I$7="StorageGB",'Monthly Lean'!G18,IF(Nonlabor!$I$7="LogGB",'Monthly Lean'!H18,IF(Nonlabor!$I$7="RequestsM",'Monthly Lean'!F18,IF(Nonlabor!$I$7="InputM",'Monthly Lean'!D18*Assumptions!$C$22/1000000,IF(Nonlabor!$I$7="OutputM",'Monthly Lean'!D18*Assumptions!$C$23/1000000,0))))))))),0)</f>
        <v>1</v>
      </c>
      <c r="F78" s="10" t="n">
        <f aca="false">Nonlabor!$J$7*(1+Assumptions!$C$9)^INT((C78-1)/12)</f>
        <v>618</v>
      </c>
      <c r="G78" s="10" t="n">
        <f aca="false">E78*F78</f>
        <v>618</v>
      </c>
      <c r="H78" s="10" t="n">
        <f aca="false">IF(OR(Nonlabor!$L$7="Quote required",Nonlabor!$L$7="Unverified"),G78,0)</f>
        <v>618</v>
      </c>
      <c r="I78" s="10" t="n">
        <f aca="false">IF(Nonlabor!$E$7="Core",0,G78)</f>
        <v>0</v>
      </c>
      <c r="J78" s="23" t="str">
        <f aca="false">Nonlabor!$B$7</f>
        <v>INFRA</v>
      </c>
    </row>
    <row r="79" customFormat="false" ht="15" hidden="false" customHeight="false" outlineLevel="0" collapsed="false">
      <c r="A79" s="6" t="s">
        <v>72</v>
      </c>
      <c r="B79" s="6" t="s">
        <v>373</v>
      </c>
      <c r="C79" s="6" t="n">
        <v>14</v>
      </c>
      <c r="D79" s="25" t="n">
        <f aca="false">EDATE('Start Here'!$B$6,C79-1)</f>
        <v>46722</v>
      </c>
      <c r="E79" s="23" t="n">
        <f aca="false">IF(AND(OR(Nonlabor!$D$7="Both",Nonlabor!$D$7='Start Here'!$B$9),IF(Nonlabor!$E$7="Core",1,IF(Nonlabor!$E$7="AI",'Start Here'!$B$7,'Start Here'!$B$8))=1,C79&gt;=IF(Nonlabor!$E$7="Core",Nonlabor!$F$7,MAX(Nonlabor!$F$7,IF(Nonlabor!$E$7="AI",Assumptions!$C$24,Assumptions!$C$25))),C79&lt;=Nonlabor!$G$7,OR(Nonlabor!$H$7="Monthly",AND(Nonlabor!$H$7="Once",C79=IF(Nonlabor!$E$7="Core",Nonlabor!$F$7,MAX(Nonlabor!$F$7,IF(Nonlabor!$E$7="AI",Assumptions!$C$24,Assumptions!$C$25)))),AND(Nonlabor!$H$7="Annual",MOD(C79-IF(Nonlabor!$E$7="Core",Nonlabor!$F$7,MAX(Nonlabor!$F$7,IF(Nonlabor!$E$7="AI",Assumptions!$C$24,Assumptions!$C$25))),12)=0))),IF(Nonlabor!$I$7="Fixed",1,IF(Nonlabor!$I$7="Seats",ROUNDUP('Monthly Lean'!I19,0),IF(Nonlabor!$I$7="Customers",'Monthly Lean'!D19,IF(Nonlabor!$I$7="NewCustomers",'Monthly Lean'!C19,IF(Nonlabor!$I$7="StorageGB",'Monthly Lean'!G19,IF(Nonlabor!$I$7="LogGB",'Monthly Lean'!H19,IF(Nonlabor!$I$7="RequestsM",'Monthly Lean'!F19,IF(Nonlabor!$I$7="InputM",'Monthly Lean'!D19*Assumptions!$C$22/1000000,IF(Nonlabor!$I$7="OutputM",'Monthly Lean'!D19*Assumptions!$C$23/1000000,0))))))))),0)</f>
        <v>1</v>
      </c>
      <c r="F79" s="10" t="n">
        <f aca="false">Nonlabor!$J$7*(1+Assumptions!$C$9)^INT((C79-1)/12)</f>
        <v>618</v>
      </c>
      <c r="G79" s="10" t="n">
        <f aca="false">E79*F79</f>
        <v>618</v>
      </c>
      <c r="H79" s="10" t="n">
        <f aca="false">IF(OR(Nonlabor!$L$7="Quote required",Nonlabor!$L$7="Unverified"),G79,0)</f>
        <v>618</v>
      </c>
      <c r="I79" s="10" t="n">
        <f aca="false">IF(Nonlabor!$E$7="Core",0,G79)</f>
        <v>0</v>
      </c>
      <c r="J79" s="23" t="str">
        <f aca="false">Nonlabor!$B$7</f>
        <v>INFRA</v>
      </c>
    </row>
    <row r="80" customFormat="false" ht="15" hidden="false" customHeight="false" outlineLevel="0" collapsed="false">
      <c r="A80" s="6" t="s">
        <v>72</v>
      </c>
      <c r="B80" s="6" t="s">
        <v>373</v>
      </c>
      <c r="C80" s="6" t="n">
        <v>15</v>
      </c>
      <c r="D80" s="25" t="n">
        <f aca="false">EDATE('Start Here'!$B$6,C80-1)</f>
        <v>46753</v>
      </c>
      <c r="E80" s="23" t="n">
        <f aca="false">IF(AND(OR(Nonlabor!$D$7="Both",Nonlabor!$D$7='Start Here'!$B$9),IF(Nonlabor!$E$7="Core",1,IF(Nonlabor!$E$7="AI",'Start Here'!$B$7,'Start Here'!$B$8))=1,C80&gt;=IF(Nonlabor!$E$7="Core",Nonlabor!$F$7,MAX(Nonlabor!$F$7,IF(Nonlabor!$E$7="AI",Assumptions!$C$24,Assumptions!$C$25))),C80&lt;=Nonlabor!$G$7,OR(Nonlabor!$H$7="Monthly",AND(Nonlabor!$H$7="Once",C80=IF(Nonlabor!$E$7="Core",Nonlabor!$F$7,MAX(Nonlabor!$F$7,IF(Nonlabor!$E$7="AI",Assumptions!$C$24,Assumptions!$C$25)))),AND(Nonlabor!$H$7="Annual",MOD(C80-IF(Nonlabor!$E$7="Core",Nonlabor!$F$7,MAX(Nonlabor!$F$7,IF(Nonlabor!$E$7="AI",Assumptions!$C$24,Assumptions!$C$25))),12)=0))),IF(Nonlabor!$I$7="Fixed",1,IF(Nonlabor!$I$7="Seats",ROUNDUP('Monthly Lean'!I20,0),IF(Nonlabor!$I$7="Customers",'Monthly Lean'!D20,IF(Nonlabor!$I$7="NewCustomers",'Monthly Lean'!C20,IF(Nonlabor!$I$7="StorageGB",'Monthly Lean'!G20,IF(Nonlabor!$I$7="LogGB",'Monthly Lean'!H20,IF(Nonlabor!$I$7="RequestsM",'Monthly Lean'!F20,IF(Nonlabor!$I$7="InputM",'Monthly Lean'!D20*Assumptions!$C$22/1000000,IF(Nonlabor!$I$7="OutputM",'Monthly Lean'!D20*Assumptions!$C$23/1000000,0))))))))),0)</f>
        <v>1</v>
      </c>
      <c r="F80" s="10" t="n">
        <f aca="false">Nonlabor!$J$7*(1+Assumptions!$C$9)^INT((C80-1)/12)</f>
        <v>618</v>
      </c>
      <c r="G80" s="10" t="n">
        <f aca="false">E80*F80</f>
        <v>618</v>
      </c>
      <c r="H80" s="10" t="n">
        <f aca="false">IF(OR(Nonlabor!$L$7="Quote required",Nonlabor!$L$7="Unverified"),G80,0)</f>
        <v>618</v>
      </c>
      <c r="I80" s="10" t="n">
        <f aca="false">IF(Nonlabor!$E$7="Core",0,G80)</f>
        <v>0</v>
      </c>
      <c r="J80" s="23" t="str">
        <f aca="false">Nonlabor!$B$7</f>
        <v>INFRA</v>
      </c>
    </row>
    <row r="81" customFormat="false" ht="15" hidden="false" customHeight="false" outlineLevel="0" collapsed="false">
      <c r="A81" s="6" t="s">
        <v>72</v>
      </c>
      <c r="B81" s="6" t="s">
        <v>373</v>
      </c>
      <c r="C81" s="6" t="n">
        <v>16</v>
      </c>
      <c r="D81" s="25" t="n">
        <f aca="false">EDATE('Start Here'!$B$6,C81-1)</f>
        <v>46784</v>
      </c>
      <c r="E81" s="23" t="n">
        <f aca="false">IF(AND(OR(Nonlabor!$D$7="Both",Nonlabor!$D$7='Start Here'!$B$9),IF(Nonlabor!$E$7="Core",1,IF(Nonlabor!$E$7="AI",'Start Here'!$B$7,'Start Here'!$B$8))=1,C81&gt;=IF(Nonlabor!$E$7="Core",Nonlabor!$F$7,MAX(Nonlabor!$F$7,IF(Nonlabor!$E$7="AI",Assumptions!$C$24,Assumptions!$C$25))),C81&lt;=Nonlabor!$G$7,OR(Nonlabor!$H$7="Monthly",AND(Nonlabor!$H$7="Once",C81=IF(Nonlabor!$E$7="Core",Nonlabor!$F$7,MAX(Nonlabor!$F$7,IF(Nonlabor!$E$7="AI",Assumptions!$C$24,Assumptions!$C$25)))),AND(Nonlabor!$H$7="Annual",MOD(C81-IF(Nonlabor!$E$7="Core",Nonlabor!$F$7,MAX(Nonlabor!$F$7,IF(Nonlabor!$E$7="AI",Assumptions!$C$24,Assumptions!$C$25))),12)=0))),IF(Nonlabor!$I$7="Fixed",1,IF(Nonlabor!$I$7="Seats",ROUNDUP('Monthly Lean'!I21,0),IF(Nonlabor!$I$7="Customers",'Monthly Lean'!D21,IF(Nonlabor!$I$7="NewCustomers",'Monthly Lean'!C21,IF(Nonlabor!$I$7="StorageGB",'Monthly Lean'!G21,IF(Nonlabor!$I$7="LogGB",'Monthly Lean'!H21,IF(Nonlabor!$I$7="RequestsM",'Monthly Lean'!F21,IF(Nonlabor!$I$7="InputM",'Monthly Lean'!D21*Assumptions!$C$22/1000000,IF(Nonlabor!$I$7="OutputM",'Monthly Lean'!D21*Assumptions!$C$23/1000000,0))))))))),0)</f>
        <v>1</v>
      </c>
      <c r="F81" s="10" t="n">
        <f aca="false">Nonlabor!$J$7*(1+Assumptions!$C$9)^INT((C81-1)/12)</f>
        <v>618</v>
      </c>
      <c r="G81" s="10" t="n">
        <f aca="false">E81*F81</f>
        <v>618</v>
      </c>
      <c r="H81" s="10" t="n">
        <f aca="false">IF(OR(Nonlabor!$L$7="Quote required",Nonlabor!$L$7="Unverified"),G81,0)</f>
        <v>618</v>
      </c>
      <c r="I81" s="10" t="n">
        <f aca="false">IF(Nonlabor!$E$7="Core",0,G81)</f>
        <v>0</v>
      </c>
      <c r="J81" s="23" t="str">
        <f aca="false">Nonlabor!$B$7</f>
        <v>INFRA</v>
      </c>
    </row>
    <row r="82" customFormat="false" ht="15" hidden="false" customHeight="false" outlineLevel="0" collapsed="false">
      <c r="A82" s="6" t="s">
        <v>72</v>
      </c>
      <c r="B82" s="6" t="s">
        <v>373</v>
      </c>
      <c r="C82" s="6" t="n">
        <v>17</v>
      </c>
      <c r="D82" s="25" t="n">
        <f aca="false">EDATE('Start Here'!$B$6,C82-1)</f>
        <v>46813</v>
      </c>
      <c r="E82" s="23" t="n">
        <f aca="false">IF(AND(OR(Nonlabor!$D$7="Both",Nonlabor!$D$7='Start Here'!$B$9),IF(Nonlabor!$E$7="Core",1,IF(Nonlabor!$E$7="AI",'Start Here'!$B$7,'Start Here'!$B$8))=1,C82&gt;=IF(Nonlabor!$E$7="Core",Nonlabor!$F$7,MAX(Nonlabor!$F$7,IF(Nonlabor!$E$7="AI",Assumptions!$C$24,Assumptions!$C$25))),C82&lt;=Nonlabor!$G$7,OR(Nonlabor!$H$7="Monthly",AND(Nonlabor!$H$7="Once",C82=IF(Nonlabor!$E$7="Core",Nonlabor!$F$7,MAX(Nonlabor!$F$7,IF(Nonlabor!$E$7="AI",Assumptions!$C$24,Assumptions!$C$25)))),AND(Nonlabor!$H$7="Annual",MOD(C82-IF(Nonlabor!$E$7="Core",Nonlabor!$F$7,MAX(Nonlabor!$F$7,IF(Nonlabor!$E$7="AI",Assumptions!$C$24,Assumptions!$C$25))),12)=0))),IF(Nonlabor!$I$7="Fixed",1,IF(Nonlabor!$I$7="Seats",ROUNDUP('Monthly Lean'!I22,0),IF(Nonlabor!$I$7="Customers",'Monthly Lean'!D22,IF(Nonlabor!$I$7="NewCustomers",'Monthly Lean'!C22,IF(Nonlabor!$I$7="StorageGB",'Monthly Lean'!G22,IF(Nonlabor!$I$7="LogGB",'Monthly Lean'!H22,IF(Nonlabor!$I$7="RequestsM",'Monthly Lean'!F22,IF(Nonlabor!$I$7="InputM",'Monthly Lean'!D22*Assumptions!$C$22/1000000,IF(Nonlabor!$I$7="OutputM",'Monthly Lean'!D22*Assumptions!$C$23/1000000,0))))))))),0)</f>
        <v>1</v>
      </c>
      <c r="F82" s="10" t="n">
        <f aca="false">Nonlabor!$J$7*(1+Assumptions!$C$9)^INT((C82-1)/12)</f>
        <v>618</v>
      </c>
      <c r="G82" s="10" t="n">
        <f aca="false">E82*F82</f>
        <v>618</v>
      </c>
      <c r="H82" s="10" t="n">
        <f aca="false">IF(OR(Nonlabor!$L$7="Quote required",Nonlabor!$L$7="Unverified"),G82,0)</f>
        <v>618</v>
      </c>
      <c r="I82" s="10" t="n">
        <f aca="false">IF(Nonlabor!$E$7="Core",0,G82)</f>
        <v>0</v>
      </c>
      <c r="J82" s="23" t="str">
        <f aca="false">Nonlabor!$B$7</f>
        <v>INFRA</v>
      </c>
    </row>
    <row r="83" customFormat="false" ht="15" hidden="false" customHeight="false" outlineLevel="0" collapsed="false">
      <c r="A83" s="6" t="s">
        <v>72</v>
      </c>
      <c r="B83" s="6" t="s">
        <v>373</v>
      </c>
      <c r="C83" s="6" t="n">
        <v>18</v>
      </c>
      <c r="D83" s="25" t="n">
        <f aca="false">EDATE('Start Here'!$B$6,C83-1)</f>
        <v>46844</v>
      </c>
      <c r="E83" s="23" t="n">
        <f aca="false">IF(AND(OR(Nonlabor!$D$7="Both",Nonlabor!$D$7='Start Here'!$B$9),IF(Nonlabor!$E$7="Core",1,IF(Nonlabor!$E$7="AI",'Start Here'!$B$7,'Start Here'!$B$8))=1,C83&gt;=IF(Nonlabor!$E$7="Core",Nonlabor!$F$7,MAX(Nonlabor!$F$7,IF(Nonlabor!$E$7="AI",Assumptions!$C$24,Assumptions!$C$25))),C83&lt;=Nonlabor!$G$7,OR(Nonlabor!$H$7="Monthly",AND(Nonlabor!$H$7="Once",C83=IF(Nonlabor!$E$7="Core",Nonlabor!$F$7,MAX(Nonlabor!$F$7,IF(Nonlabor!$E$7="AI",Assumptions!$C$24,Assumptions!$C$25)))),AND(Nonlabor!$H$7="Annual",MOD(C83-IF(Nonlabor!$E$7="Core",Nonlabor!$F$7,MAX(Nonlabor!$F$7,IF(Nonlabor!$E$7="AI",Assumptions!$C$24,Assumptions!$C$25))),12)=0))),IF(Nonlabor!$I$7="Fixed",1,IF(Nonlabor!$I$7="Seats",ROUNDUP('Monthly Lean'!I23,0),IF(Nonlabor!$I$7="Customers",'Monthly Lean'!D23,IF(Nonlabor!$I$7="NewCustomers",'Monthly Lean'!C23,IF(Nonlabor!$I$7="StorageGB",'Monthly Lean'!G23,IF(Nonlabor!$I$7="LogGB",'Monthly Lean'!H23,IF(Nonlabor!$I$7="RequestsM",'Monthly Lean'!F23,IF(Nonlabor!$I$7="InputM",'Monthly Lean'!D23*Assumptions!$C$22/1000000,IF(Nonlabor!$I$7="OutputM",'Monthly Lean'!D23*Assumptions!$C$23/1000000,0))))))))),0)</f>
        <v>1</v>
      </c>
      <c r="F83" s="10" t="n">
        <f aca="false">Nonlabor!$J$7*(1+Assumptions!$C$9)^INT((C83-1)/12)</f>
        <v>618</v>
      </c>
      <c r="G83" s="10" t="n">
        <f aca="false">E83*F83</f>
        <v>618</v>
      </c>
      <c r="H83" s="10" t="n">
        <f aca="false">IF(OR(Nonlabor!$L$7="Quote required",Nonlabor!$L$7="Unverified"),G83,0)</f>
        <v>618</v>
      </c>
      <c r="I83" s="10" t="n">
        <f aca="false">IF(Nonlabor!$E$7="Core",0,G83)</f>
        <v>0</v>
      </c>
      <c r="J83" s="23" t="str">
        <f aca="false">Nonlabor!$B$7</f>
        <v>INFRA</v>
      </c>
    </row>
    <row r="84" customFormat="false" ht="15" hidden="false" customHeight="false" outlineLevel="0" collapsed="false">
      <c r="A84" s="6" t="s">
        <v>72</v>
      </c>
      <c r="B84" s="6" t="s">
        <v>373</v>
      </c>
      <c r="C84" s="6" t="n">
        <v>19</v>
      </c>
      <c r="D84" s="25" t="n">
        <f aca="false">EDATE('Start Here'!$B$6,C84-1)</f>
        <v>46874</v>
      </c>
      <c r="E84" s="23" t="n">
        <f aca="false">IF(AND(OR(Nonlabor!$D$7="Both",Nonlabor!$D$7='Start Here'!$B$9),IF(Nonlabor!$E$7="Core",1,IF(Nonlabor!$E$7="AI",'Start Here'!$B$7,'Start Here'!$B$8))=1,C84&gt;=IF(Nonlabor!$E$7="Core",Nonlabor!$F$7,MAX(Nonlabor!$F$7,IF(Nonlabor!$E$7="AI",Assumptions!$C$24,Assumptions!$C$25))),C84&lt;=Nonlabor!$G$7,OR(Nonlabor!$H$7="Monthly",AND(Nonlabor!$H$7="Once",C84=IF(Nonlabor!$E$7="Core",Nonlabor!$F$7,MAX(Nonlabor!$F$7,IF(Nonlabor!$E$7="AI",Assumptions!$C$24,Assumptions!$C$25)))),AND(Nonlabor!$H$7="Annual",MOD(C84-IF(Nonlabor!$E$7="Core",Nonlabor!$F$7,MAX(Nonlabor!$F$7,IF(Nonlabor!$E$7="AI",Assumptions!$C$24,Assumptions!$C$25))),12)=0))),IF(Nonlabor!$I$7="Fixed",1,IF(Nonlabor!$I$7="Seats",ROUNDUP('Monthly Lean'!I24,0),IF(Nonlabor!$I$7="Customers",'Monthly Lean'!D24,IF(Nonlabor!$I$7="NewCustomers",'Monthly Lean'!C24,IF(Nonlabor!$I$7="StorageGB",'Monthly Lean'!G24,IF(Nonlabor!$I$7="LogGB",'Monthly Lean'!H24,IF(Nonlabor!$I$7="RequestsM",'Monthly Lean'!F24,IF(Nonlabor!$I$7="InputM",'Monthly Lean'!D24*Assumptions!$C$22/1000000,IF(Nonlabor!$I$7="OutputM",'Monthly Lean'!D24*Assumptions!$C$23/1000000,0))))))))),0)</f>
        <v>1</v>
      </c>
      <c r="F84" s="10" t="n">
        <f aca="false">Nonlabor!$J$7*(1+Assumptions!$C$9)^INT((C84-1)/12)</f>
        <v>618</v>
      </c>
      <c r="G84" s="10" t="n">
        <f aca="false">E84*F84</f>
        <v>618</v>
      </c>
      <c r="H84" s="10" t="n">
        <f aca="false">IF(OR(Nonlabor!$L$7="Quote required",Nonlabor!$L$7="Unverified"),G84,0)</f>
        <v>618</v>
      </c>
      <c r="I84" s="10" t="n">
        <f aca="false">IF(Nonlabor!$E$7="Core",0,G84)</f>
        <v>0</v>
      </c>
      <c r="J84" s="23" t="str">
        <f aca="false">Nonlabor!$B$7</f>
        <v>INFRA</v>
      </c>
    </row>
    <row r="85" customFormat="false" ht="15" hidden="false" customHeight="false" outlineLevel="0" collapsed="false">
      <c r="A85" s="6" t="s">
        <v>72</v>
      </c>
      <c r="B85" s="6" t="s">
        <v>373</v>
      </c>
      <c r="C85" s="6" t="n">
        <v>20</v>
      </c>
      <c r="D85" s="25" t="n">
        <f aca="false">EDATE('Start Here'!$B$6,C85-1)</f>
        <v>46905</v>
      </c>
      <c r="E85" s="23" t="n">
        <f aca="false">IF(AND(OR(Nonlabor!$D$7="Both",Nonlabor!$D$7='Start Here'!$B$9),IF(Nonlabor!$E$7="Core",1,IF(Nonlabor!$E$7="AI",'Start Here'!$B$7,'Start Here'!$B$8))=1,C85&gt;=IF(Nonlabor!$E$7="Core",Nonlabor!$F$7,MAX(Nonlabor!$F$7,IF(Nonlabor!$E$7="AI",Assumptions!$C$24,Assumptions!$C$25))),C85&lt;=Nonlabor!$G$7,OR(Nonlabor!$H$7="Monthly",AND(Nonlabor!$H$7="Once",C85=IF(Nonlabor!$E$7="Core",Nonlabor!$F$7,MAX(Nonlabor!$F$7,IF(Nonlabor!$E$7="AI",Assumptions!$C$24,Assumptions!$C$25)))),AND(Nonlabor!$H$7="Annual",MOD(C85-IF(Nonlabor!$E$7="Core",Nonlabor!$F$7,MAX(Nonlabor!$F$7,IF(Nonlabor!$E$7="AI",Assumptions!$C$24,Assumptions!$C$25))),12)=0))),IF(Nonlabor!$I$7="Fixed",1,IF(Nonlabor!$I$7="Seats",ROUNDUP('Monthly Lean'!I25,0),IF(Nonlabor!$I$7="Customers",'Monthly Lean'!D25,IF(Nonlabor!$I$7="NewCustomers",'Monthly Lean'!C25,IF(Nonlabor!$I$7="StorageGB",'Monthly Lean'!G25,IF(Nonlabor!$I$7="LogGB",'Monthly Lean'!H25,IF(Nonlabor!$I$7="RequestsM",'Monthly Lean'!F25,IF(Nonlabor!$I$7="InputM",'Monthly Lean'!D25*Assumptions!$C$22/1000000,IF(Nonlabor!$I$7="OutputM",'Monthly Lean'!D25*Assumptions!$C$23/1000000,0))))))))),0)</f>
        <v>1</v>
      </c>
      <c r="F85" s="10" t="n">
        <f aca="false">Nonlabor!$J$7*(1+Assumptions!$C$9)^INT((C85-1)/12)</f>
        <v>618</v>
      </c>
      <c r="G85" s="10" t="n">
        <f aca="false">E85*F85</f>
        <v>618</v>
      </c>
      <c r="H85" s="10" t="n">
        <f aca="false">IF(OR(Nonlabor!$L$7="Quote required",Nonlabor!$L$7="Unverified"),G85,0)</f>
        <v>618</v>
      </c>
      <c r="I85" s="10" t="n">
        <f aca="false">IF(Nonlabor!$E$7="Core",0,G85)</f>
        <v>0</v>
      </c>
      <c r="J85" s="23" t="str">
        <f aca="false">Nonlabor!$B$7</f>
        <v>INFRA</v>
      </c>
    </row>
    <row r="86" customFormat="false" ht="15" hidden="false" customHeight="false" outlineLevel="0" collapsed="false">
      <c r="A86" s="6" t="s">
        <v>72</v>
      </c>
      <c r="B86" s="6" t="s">
        <v>373</v>
      </c>
      <c r="C86" s="6" t="n">
        <v>21</v>
      </c>
      <c r="D86" s="25" t="n">
        <f aca="false">EDATE('Start Here'!$B$6,C86-1)</f>
        <v>46935</v>
      </c>
      <c r="E86" s="23" t="n">
        <f aca="false">IF(AND(OR(Nonlabor!$D$7="Both",Nonlabor!$D$7='Start Here'!$B$9),IF(Nonlabor!$E$7="Core",1,IF(Nonlabor!$E$7="AI",'Start Here'!$B$7,'Start Here'!$B$8))=1,C86&gt;=IF(Nonlabor!$E$7="Core",Nonlabor!$F$7,MAX(Nonlabor!$F$7,IF(Nonlabor!$E$7="AI",Assumptions!$C$24,Assumptions!$C$25))),C86&lt;=Nonlabor!$G$7,OR(Nonlabor!$H$7="Monthly",AND(Nonlabor!$H$7="Once",C86=IF(Nonlabor!$E$7="Core",Nonlabor!$F$7,MAX(Nonlabor!$F$7,IF(Nonlabor!$E$7="AI",Assumptions!$C$24,Assumptions!$C$25)))),AND(Nonlabor!$H$7="Annual",MOD(C86-IF(Nonlabor!$E$7="Core",Nonlabor!$F$7,MAX(Nonlabor!$F$7,IF(Nonlabor!$E$7="AI",Assumptions!$C$24,Assumptions!$C$25))),12)=0))),IF(Nonlabor!$I$7="Fixed",1,IF(Nonlabor!$I$7="Seats",ROUNDUP('Monthly Lean'!I26,0),IF(Nonlabor!$I$7="Customers",'Monthly Lean'!D26,IF(Nonlabor!$I$7="NewCustomers",'Monthly Lean'!C26,IF(Nonlabor!$I$7="StorageGB",'Monthly Lean'!G26,IF(Nonlabor!$I$7="LogGB",'Monthly Lean'!H26,IF(Nonlabor!$I$7="RequestsM",'Monthly Lean'!F26,IF(Nonlabor!$I$7="InputM",'Monthly Lean'!D26*Assumptions!$C$22/1000000,IF(Nonlabor!$I$7="OutputM",'Monthly Lean'!D26*Assumptions!$C$23/1000000,0))))))))),0)</f>
        <v>1</v>
      </c>
      <c r="F86" s="10" t="n">
        <f aca="false">Nonlabor!$J$7*(1+Assumptions!$C$9)^INT((C86-1)/12)</f>
        <v>618</v>
      </c>
      <c r="G86" s="10" t="n">
        <f aca="false">E86*F86</f>
        <v>618</v>
      </c>
      <c r="H86" s="10" t="n">
        <f aca="false">IF(OR(Nonlabor!$L$7="Quote required",Nonlabor!$L$7="Unverified"),G86,0)</f>
        <v>618</v>
      </c>
      <c r="I86" s="10" t="n">
        <f aca="false">IF(Nonlabor!$E$7="Core",0,G86)</f>
        <v>0</v>
      </c>
      <c r="J86" s="23" t="str">
        <f aca="false">Nonlabor!$B$7</f>
        <v>INFRA</v>
      </c>
    </row>
    <row r="87" customFormat="false" ht="15" hidden="false" customHeight="false" outlineLevel="0" collapsed="false">
      <c r="A87" s="6" t="s">
        <v>72</v>
      </c>
      <c r="B87" s="6" t="s">
        <v>373</v>
      </c>
      <c r="C87" s="6" t="n">
        <v>22</v>
      </c>
      <c r="D87" s="25" t="n">
        <f aca="false">EDATE('Start Here'!$B$6,C87-1)</f>
        <v>46966</v>
      </c>
      <c r="E87" s="23" t="n">
        <f aca="false">IF(AND(OR(Nonlabor!$D$7="Both",Nonlabor!$D$7='Start Here'!$B$9),IF(Nonlabor!$E$7="Core",1,IF(Nonlabor!$E$7="AI",'Start Here'!$B$7,'Start Here'!$B$8))=1,C87&gt;=IF(Nonlabor!$E$7="Core",Nonlabor!$F$7,MAX(Nonlabor!$F$7,IF(Nonlabor!$E$7="AI",Assumptions!$C$24,Assumptions!$C$25))),C87&lt;=Nonlabor!$G$7,OR(Nonlabor!$H$7="Monthly",AND(Nonlabor!$H$7="Once",C87=IF(Nonlabor!$E$7="Core",Nonlabor!$F$7,MAX(Nonlabor!$F$7,IF(Nonlabor!$E$7="AI",Assumptions!$C$24,Assumptions!$C$25)))),AND(Nonlabor!$H$7="Annual",MOD(C87-IF(Nonlabor!$E$7="Core",Nonlabor!$F$7,MAX(Nonlabor!$F$7,IF(Nonlabor!$E$7="AI",Assumptions!$C$24,Assumptions!$C$25))),12)=0))),IF(Nonlabor!$I$7="Fixed",1,IF(Nonlabor!$I$7="Seats",ROUNDUP('Monthly Lean'!I27,0),IF(Nonlabor!$I$7="Customers",'Monthly Lean'!D27,IF(Nonlabor!$I$7="NewCustomers",'Monthly Lean'!C27,IF(Nonlabor!$I$7="StorageGB",'Monthly Lean'!G27,IF(Nonlabor!$I$7="LogGB",'Monthly Lean'!H27,IF(Nonlabor!$I$7="RequestsM",'Monthly Lean'!F27,IF(Nonlabor!$I$7="InputM",'Monthly Lean'!D27*Assumptions!$C$22/1000000,IF(Nonlabor!$I$7="OutputM",'Monthly Lean'!D27*Assumptions!$C$23/1000000,0))))))))),0)</f>
        <v>1</v>
      </c>
      <c r="F87" s="10" t="n">
        <f aca="false">Nonlabor!$J$7*(1+Assumptions!$C$9)^INT((C87-1)/12)</f>
        <v>618</v>
      </c>
      <c r="G87" s="10" t="n">
        <f aca="false">E87*F87</f>
        <v>618</v>
      </c>
      <c r="H87" s="10" t="n">
        <f aca="false">IF(OR(Nonlabor!$L$7="Quote required",Nonlabor!$L$7="Unverified"),G87,0)</f>
        <v>618</v>
      </c>
      <c r="I87" s="10" t="n">
        <f aca="false">IF(Nonlabor!$E$7="Core",0,G87)</f>
        <v>0</v>
      </c>
      <c r="J87" s="23" t="str">
        <f aca="false">Nonlabor!$B$7</f>
        <v>INFRA</v>
      </c>
    </row>
    <row r="88" customFormat="false" ht="15" hidden="false" customHeight="false" outlineLevel="0" collapsed="false">
      <c r="A88" s="6" t="s">
        <v>72</v>
      </c>
      <c r="B88" s="6" t="s">
        <v>373</v>
      </c>
      <c r="C88" s="6" t="n">
        <v>23</v>
      </c>
      <c r="D88" s="25" t="n">
        <f aca="false">EDATE('Start Here'!$B$6,C88-1)</f>
        <v>46997</v>
      </c>
      <c r="E88" s="23" t="n">
        <f aca="false">IF(AND(OR(Nonlabor!$D$7="Both",Nonlabor!$D$7='Start Here'!$B$9),IF(Nonlabor!$E$7="Core",1,IF(Nonlabor!$E$7="AI",'Start Here'!$B$7,'Start Here'!$B$8))=1,C88&gt;=IF(Nonlabor!$E$7="Core",Nonlabor!$F$7,MAX(Nonlabor!$F$7,IF(Nonlabor!$E$7="AI",Assumptions!$C$24,Assumptions!$C$25))),C88&lt;=Nonlabor!$G$7,OR(Nonlabor!$H$7="Monthly",AND(Nonlabor!$H$7="Once",C88=IF(Nonlabor!$E$7="Core",Nonlabor!$F$7,MAX(Nonlabor!$F$7,IF(Nonlabor!$E$7="AI",Assumptions!$C$24,Assumptions!$C$25)))),AND(Nonlabor!$H$7="Annual",MOD(C88-IF(Nonlabor!$E$7="Core",Nonlabor!$F$7,MAX(Nonlabor!$F$7,IF(Nonlabor!$E$7="AI",Assumptions!$C$24,Assumptions!$C$25))),12)=0))),IF(Nonlabor!$I$7="Fixed",1,IF(Nonlabor!$I$7="Seats",ROUNDUP('Monthly Lean'!I28,0),IF(Nonlabor!$I$7="Customers",'Monthly Lean'!D28,IF(Nonlabor!$I$7="NewCustomers",'Monthly Lean'!C28,IF(Nonlabor!$I$7="StorageGB",'Monthly Lean'!G28,IF(Nonlabor!$I$7="LogGB",'Monthly Lean'!H28,IF(Nonlabor!$I$7="RequestsM",'Monthly Lean'!F28,IF(Nonlabor!$I$7="InputM",'Monthly Lean'!D28*Assumptions!$C$22/1000000,IF(Nonlabor!$I$7="OutputM",'Monthly Lean'!D28*Assumptions!$C$23/1000000,0))))))))),0)</f>
        <v>1</v>
      </c>
      <c r="F88" s="10" t="n">
        <f aca="false">Nonlabor!$J$7*(1+Assumptions!$C$9)^INT((C88-1)/12)</f>
        <v>618</v>
      </c>
      <c r="G88" s="10" t="n">
        <f aca="false">E88*F88</f>
        <v>618</v>
      </c>
      <c r="H88" s="10" t="n">
        <f aca="false">IF(OR(Nonlabor!$L$7="Quote required",Nonlabor!$L$7="Unverified"),G88,0)</f>
        <v>618</v>
      </c>
      <c r="I88" s="10" t="n">
        <f aca="false">IF(Nonlabor!$E$7="Core",0,G88)</f>
        <v>0</v>
      </c>
      <c r="J88" s="23" t="str">
        <f aca="false">Nonlabor!$B$7</f>
        <v>INFRA</v>
      </c>
    </row>
    <row r="89" customFormat="false" ht="15" hidden="false" customHeight="false" outlineLevel="0" collapsed="false">
      <c r="A89" s="6" t="s">
        <v>72</v>
      </c>
      <c r="B89" s="6" t="s">
        <v>373</v>
      </c>
      <c r="C89" s="6" t="n">
        <v>24</v>
      </c>
      <c r="D89" s="25" t="n">
        <f aca="false">EDATE('Start Here'!$B$6,C89-1)</f>
        <v>47027</v>
      </c>
      <c r="E89" s="23" t="n">
        <f aca="false">IF(AND(OR(Nonlabor!$D$7="Both",Nonlabor!$D$7='Start Here'!$B$9),IF(Nonlabor!$E$7="Core",1,IF(Nonlabor!$E$7="AI",'Start Here'!$B$7,'Start Here'!$B$8))=1,C89&gt;=IF(Nonlabor!$E$7="Core",Nonlabor!$F$7,MAX(Nonlabor!$F$7,IF(Nonlabor!$E$7="AI",Assumptions!$C$24,Assumptions!$C$25))),C89&lt;=Nonlabor!$G$7,OR(Nonlabor!$H$7="Monthly",AND(Nonlabor!$H$7="Once",C89=IF(Nonlabor!$E$7="Core",Nonlabor!$F$7,MAX(Nonlabor!$F$7,IF(Nonlabor!$E$7="AI",Assumptions!$C$24,Assumptions!$C$25)))),AND(Nonlabor!$H$7="Annual",MOD(C89-IF(Nonlabor!$E$7="Core",Nonlabor!$F$7,MAX(Nonlabor!$F$7,IF(Nonlabor!$E$7="AI",Assumptions!$C$24,Assumptions!$C$25))),12)=0))),IF(Nonlabor!$I$7="Fixed",1,IF(Nonlabor!$I$7="Seats",ROUNDUP('Monthly Lean'!I29,0),IF(Nonlabor!$I$7="Customers",'Monthly Lean'!D29,IF(Nonlabor!$I$7="NewCustomers",'Monthly Lean'!C29,IF(Nonlabor!$I$7="StorageGB",'Monthly Lean'!G29,IF(Nonlabor!$I$7="LogGB",'Monthly Lean'!H29,IF(Nonlabor!$I$7="RequestsM",'Monthly Lean'!F29,IF(Nonlabor!$I$7="InputM",'Monthly Lean'!D29*Assumptions!$C$22/1000000,IF(Nonlabor!$I$7="OutputM",'Monthly Lean'!D29*Assumptions!$C$23/1000000,0))))))))),0)</f>
        <v>1</v>
      </c>
      <c r="F89" s="10" t="n">
        <f aca="false">Nonlabor!$J$7*(1+Assumptions!$C$9)^INT((C89-1)/12)</f>
        <v>618</v>
      </c>
      <c r="G89" s="10" t="n">
        <f aca="false">E89*F89</f>
        <v>618</v>
      </c>
      <c r="H89" s="10" t="n">
        <f aca="false">IF(OR(Nonlabor!$L$7="Quote required",Nonlabor!$L$7="Unverified"),G89,0)</f>
        <v>618</v>
      </c>
      <c r="I89" s="10" t="n">
        <f aca="false">IF(Nonlabor!$E$7="Core",0,G89)</f>
        <v>0</v>
      </c>
      <c r="J89" s="23" t="str">
        <f aca="false">Nonlabor!$B$7</f>
        <v>INFRA</v>
      </c>
    </row>
    <row r="90" customFormat="false" ht="15" hidden="false" customHeight="false" outlineLevel="0" collapsed="false">
      <c r="A90" s="6" t="s">
        <v>72</v>
      </c>
      <c r="B90" s="6" t="s">
        <v>373</v>
      </c>
      <c r="C90" s="6" t="n">
        <v>25</v>
      </c>
      <c r="D90" s="25" t="n">
        <f aca="false">EDATE('Start Here'!$B$6,C90-1)</f>
        <v>47058</v>
      </c>
      <c r="E90" s="23" t="n">
        <f aca="false">IF(AND(OR(Nonlabor!$D$7="Both",Nonlabor!$D$7='Start Here'!$B$9),IF(Nonlabor!$E$7="Core",1,IF(Nonlabor!$E$7="AI",'Start Here'!$B$7,'Start Here'!$B$8))=1,C90&gt;=IF(Nonlabor!$E$7="Core",Nonlabor!$F$7,MAX(Nonlabor!$F$7,IF(Nonlabor!$E$7="AI",Assumptions!$C$24,Assumptions!$C$25))),C90&lt;=Nonlabor!$G$7,OR(Nonlabor!$H$7="Monthly",AND(Nonlabor!$H$7="Once",C90=IF(Nonlabor!$E$7="Core",Nonlabor!$F$7,MAX(Nonlabor!$F$7,IF(Nonlabor!$E$7="AI",Assumptions!$C$24,Assumptions!$C$25)))),AND(Nonlabor!$H$7="Annual",MOD(C90-IF(Nonlabor!$E$7="Core",Nonlabor!$F$7,MAX(Nonlabor!$F$7,IF(Nonlabor!$E$7="AI",Assumptions!$C$24,Assumptions!$C$25))),12)=0))),IF(Nonlabor!$I$7="Fixed",1,IF(Nonlabor!$I$7="Seats",ROUNDUP('Monthly Lean'!I30,0),IF(Nonlabor!$I$7="Customers",'Monthly Lean'!D30,IF(Nonlabor!$I$7="NewCustomers",'Monthly Lean'!C30,IF(Nonlabor!$I$7="StorageGB",'Monthly Lean'!G30,IF(Nonlabor!$I$7="LogGB",'Monthly Lean'!H30,IF(Nonlabor!$I$7="RequestsM",'Monthly Lean'!F30,IF(Nonlabor!$I$7="InputM",'Monthly Lean'!D30*Assumptions!$C$22/1000000,IF(Nonlabor!$I$7="OutputM",'Monthly Lean'!D30*Assumptions!$C$23/1000000,0))))))))),0)</f>
        <v>1</v>
      </c>
      <c r="F90" s="10" t="n">
        <f aca="false">Nonlabor!$J$7*(1+Assumptions!$C$9)^INT((C90-1)/12)</f>
        <v>636.54</v>
      </c>
      <c r="G90" s="10" t="n">
        <f aca="false">E90*F90</f>
        <v>636.54</v>
      </c>
      <c r="H90" s="10" t="n">
        <f aca="false">IF(OR(Nonlabor!$L$7="Quote required",Nonlabor!$L$7="Unverified"),G90,0)</f>
        <v>636.54</v>
      </c>
      <c r="I90" s="10" t="n">
        <f aca="false">IF(Nonlabor!$E$7="Core",0,G90)</f>
        <v>0</v>
      </c>
      <c r="J90" s="23" t="str">
        <f aca="false">Nonlabor!$B$7</f>
        <v>INFRA</v>
      </c>
    </row>
    <row r="91" customFormat="false" ht="15" hidden="false" customHeight="false" outlineLevel="0" collapsed="false">
      <c r="A91" s="6" t="s">
        <v>72</v>
      </c>
      <c r="B91" s="6" t="s">
        <v>373</v>
      </c>
      <c r="C91" s="6" t="n">
        <v>26</v>
      </c>
      <c r="D91" s="25" t="n">
        <f aca="false">EDATE('Start Here'!$B$6,C91-1)</f>
        <v>47088</v>
      </c>
      <c r="E91" s="23" t="n">
        <f aca="false">IF(AND(OR(Nonlabor!$D$7="Both",Nonlabor!$D$7='Start Here'!$B$9),IF(Nonlabor!$E$7="Core",1,IF(Nonlabor!$E$7="AI",'Start Here'!$B$7,'Start Here'!$B$8))=1,C91&gt;=IF(Nonlabor!$E$7="Core",Nonlabor!$F$7,MAX(Nonlabor!$F$7,IF(Nonlabor!$E$7="AI",Assumptions!$C$24,Assumptions!$C$25))),C91&lt;=Nonlabor!$G$7,OR(Nonlabor!$H$7="Monthly",AND(Nonlabor!$H$7="Once",C91=IF(Nonlabor!$E$7="Core",Nonlabor!$F$7,MAX(Nonlabor!$F$7,IF(Nonlabor!$E$7="AI",Assumptions!$C$24,Assumptions!$C$25)))),AND(Nonlabor!$H$7="Annual",MOD(C91-IF(Nonlabor!$E$7="Core",Nonlabor!$F$7,MAX(Nonlabor!$F$7,IF(Nonlabor!$E$7="AI",Assumptions!$C$24,Assumptions!$C$25))),12)=0))),IF(Nonlabor!$I$7="Fixed",1,IF(Nonlabor!$I$7="Seats",ROUNDUP('Monthly Lean'!I31,0),IF(Nonlabor!$I$7="Customers",'Monthly Lean'!D31,IF(Nonlabor!$I$7="NewCustomers",'Monthly Lean'!C31,IF(Nonlabor!$I$7="StorageGB",'Monthly Lean'!G31,IF(Nonlabor!$I$7="LogGB",'Monthly Lean'!H31,IF(Nonlabor!$I$7="RequestsM",'Monthly Lean'!F31,IF(Nonlabor!$I$7="InputM",'Monthly Lean'!D31*Assumptions!$C$22/1000000,IF(Nonlabor!$I$7="OutputM",'Monthly Lean'!D31*Assumptions!$C$23/1000000,0))))))))),0)</f>
        <v>1</v>
      </c>
      <c r="F91" s="10" t="n">
        <f aca="false">Nonlabor!$J$7*(1+Assumptions!$C$9)^INT((C91-1)/12)</f>
        <v>636.54</v>
      </c>
      <c r="G91" s="10" t="n">
        <f aca="false">E91*F91</f>
        <v>636.54</v>
      </c>
      <c r="H91" s="10" t="n">
        <f aca="false">IF(OR(Nonlabor!$L$7="Quote required",Nonlabor!$L$7="Unverified"),G91,0)</f>
        <v>636.54</v>
      </c>
      <c r="I91" s="10" t="n">
        <f aca="false">IF(Nonlabor!$E$7="Core",0,G91)</f>
        <v>0</v>
      </c>
      <c r="J91" s="23" t="str">
        <f aca="false">Nonlabor!$B$7</f>
        <v>INFRA</v>
      </c>
    </row>
    <row r="92" customFormat="false" ht="15" hidden="false" customHeight="false" outlineLevel="0" collapsed="false">
      <c r="A92" s="6" t="s">
        <v>72</v>
      </c>
      <c r="B92" s="6" t="s">
        <v>373</v>
      </c>
      <c r="C92" s="6" t="n">
        <v>27</v>
      </c>
      <c r="D92" s="25" t="n">
        <f aca="false">EDATE('Start Here'!$B$6,C92-1)</f>
        <v>47119</v>
      </c>
      <c r="E92" s="23" t="n">
        <f aca="false">IF(AND(OR(Nonlabor!$D$7="Both",Nonlabor!$D$7='Start Here'!$B$9),IF(Nonlabor!$E$7="Core",1,IF(Nonlabor!$E$7="AI",'Start Here'!$B$7,'Start Here'!$B$8))=1,C92&gt;=IF(Nonlabor!$E$7="Core",Nonlabor!$F$7,MAX(Nonlabor!$F$7,IF(Nonlabor!$E$7="AI",Assumptions!$C$24,Assumptions!$C$25))),C92&lt;=Nonlabor!$G$7,OR(Nonlabor!$H$7="Monthly",AND(Nonlabor!$H$7="Once",C92=IF(Nonlabor!$E$7="Core",Nonlabor!$F$7,MAX(Nonlabor!$F$7,IF(Nonlabor!$E$7="AI",Assumptions!$C$24,Assumptions!$C$25)))),AND(Nonlabor!$H$7="Annual",MOD(C92-IF(Nonlabor!$E$7="Core",Nonlabor!$F$7,MAX(Nonlabor!$F$7,IF(Nonlabor!$E$7="AI",Assumptions!$C$24,Assumptions!$C$25))),12)=0))),IF(Nonlabor!$I$7="Fixed",1,IF(Nonlabor!$I$7="Seats",ROUNDUP('Monthly Lean'!I32,0),IF(Nonlabor!$I$7="Customers",'Monthly Lean'!D32,IF(Nonlabor!$I$7="NewCustomers",'Monthly Lean'!C32,IF(Nonlabor!$I$7="StorageGB",'Monthly Lean'!G32,IF(Nonlabor!$I$7="LogGB",'Monthly Lean'!H32,IF(Nonlabor!$I$7="RequestsM",'Monthly Lean'!F32,IF(Nonlabor!$I$7="InputM",'Monthly Lean'!D32*Assumptions!$C$22/1000000,IF(Nonlabor!$I$7="OutputM",'Monthly Lean'!D32*Assumptions!$C$23/1000000,0))))))))),0)</f>
        <v>1</v>
      </c>
      <c r="F92" s="10" t="n">
        <f aca="false">Nonlabor!$J$7*(1+Assumptions!$C$9)^INT((C92-1)/12)</f>
        <v>636.54</v>
      </c>
      <c r="G92" s="10" t="n">
        <f aca="false">E92*F92</f>
        <v>636.54</v>
      </c>
      <c r="H92" s="10" t="n">
        <f aca="false">IF(OR(Nonlabor!$L$7="Quote required",Nonlabor!$L$7="Unverified"),G92,0)</f>
        <v>636.54</v>
      </c>
      <c r="I92" s="10" t="n">
        <f aca="false">IF(Nonlabor!$E$7="Core",0,G92)</f>
        <v>0</v>
      </c>
      <c r="J92" s="23" t="str">
        <f aca="false">Nonlabor!$B$7</f>
        <v>INFRA</v>
      </c>
    </row>
    <row r="93" customFormat="false" ht="15" hidden="false" customHeight="false" outlineLevel="0" collapsed="false">
      <c r="A93" s="6" t="s">
        <v>72</v>
      </c>
      <c r="B93" s="6" t="s">
        <v>373</v>
      </c>
      <c r="C93" s="6" t="n">
        <v>28</v>
      </c>
      <c r="D93" s="25" t="n">
        <f aca="false">EDATE('Start Here'!$B$6,C93-1)</f>
        <v>47150</v>
      </c>
      <c r="E93" s="23" t="n">
        <f aca="false">IF(AND(OR(Nonlabor!$D$7="Both",Nonlabor!$D$7='Start Here'!$B$9),IF(Nonlabor!$E$7="Core",1,IF(Nonlabor!$E$7="AI",'Start Here'!$B$7,'Start Here'!$B$8))=1,C93&gt;=IF(Nonlabor!$E$7="Core",Nonlabor!$F$7,MAX(Nonlabor!$F$7,IF(Nonlabor!$E$7="AI",Assumptions!$C$24,Assumptions!$C$25))),C93&lt;=Nonlabor!$G$7,OR(Nonlabor!$H$7="Monthly",AND(Nonlabor!$H$7="Once",C93=IF(Nonlabor!$E$7="Core",Nonlabor!$F$7,MAX(Nonlabor!$F$7,IF(Nonlabor!$E$7="AI",Assumptions!$C$24,Assumptions!$C$25)))),AND(Nonlabor!$H$7="Annual",MOD(C93-IF(Nonlabor!$E$7="Core",Nonlabor!$F$7,MAX(Nonlabor!$F$7,IF(Nonlabor!$E$7="AI",Assumptions!$C$24,Assumptions!$C$25))),12)=0))),IF(Nonlabor!$I$7="Fixed",1,IF(Nonlabor!$I$7="Seats",ROUNDUP('Monthly Lean'!I33,0),IF(Nonlabor!$I$7="Customers",'Monthly Lean'!D33,IF(Nonlabor!$I$7="NewCustomers",'Monthly Lean'!C33,IF(Nonlabor!$I$7="StorageGB",'Monthly Lean'!G33,IF(Nonlabor!$I$7="LogGB",'Monthly Lean'!H33,IF(Nonlabor!$I$7="RequestsM",'Monthly Lean'!F33,IF(Nonlabor!$I$7="InputM",'Monthly Lean'!D33*Assumptions!$C$22/1000000,IF(Nonlabor!$I$7="OutputM",'Monthly Lean'!D33*Assumptions!$C$23/1000000,0))))))))),0)</f>
        <v>1</v>
      </c>
      <c r="F93" s="10" t="n">
        <f aca="false">Nonlabor!$J$7*(1+Assumptions!$C$9)^INT((C93-1)/12)</f>
        <v>636.54</v>
      </c>
      <c r="G93" s="10" t="n">
        <f aca="false">E93*F93</f>
        <v>636.54</v>
      </c>
      <c r="H93" s="10" t="n">
        <f aca="false">IF(OR(Nonlabor!$L$7="Quote required",Nonlabor!$L$7="Unverified"),G93,0)</f>
        <v>636.54</v>
      </c>
      <c r="I93" s="10" t="n">
        <f aca="false">IF(Nonlabor!$E$7="Core",0,G93)</f>
        <v>0</v>
      </c>
      <c r="J93" s="23" t="str">
        <f aca="false">Nonlabor!$B$7</f>
        <v>INFRA</v>
      </c>
    </row>
    <row r="94" customFormat="false" ht="15" hidden="false" customHeight="false" outlineLevel="0" collapsed="false">
      <c r="A94" s="6" t="s">
        <v>72</v>
      </c>
      <c r="B94" s="6" t="s">
        <v>373</v>
      </c>
      <c r="C94" s="6" t="n">
        <v>29</v>
      </c>
      <c r="D94" s="25" t="n">
        <f aca="false">EDATE('Start Here'!$B$6,C94-1)</f>
        <v>47178</v>
      </c>
      <c r="E94" s="23" t="n">
        <f aca="false">IF(AND(OR(Nonlabor!$D$7="Both",Nonlabor!$D$7='Start Here'!$B$9),IF(Nonlabor!$E$7="Core",1,IF(Nonlabor!$E$7="AI",'Start Here'!$B$7,'Start Here'!$B$8))=1,C94&gt;=IF(Nonlabor!$E$7="Core",Nonlabor!$F$7,MAX(Nonlabor!$F$7,IF(Nonlabor!$E$7="AI",Assumptions!$C$24,Assumptions!$C$25))),C94&lt;=Nonlabor!$G$7,OR(Nonlabor!$H$7="Monthly",AND(Nonlabor!$H$7="Once",C94=IF(Nonlabor!$E$7="Core",Nonlabor!$F$7,MAX(Nonlabor!$F$7,IF(Nonlabor!$E$7="AI",Assumptions!$C$24,Assumptions!$C$25)))),AND(Nonlabor!$H$7="Annual",MOD(C94-IF(Nonlabor!$E$7="Core",Nonlabor!$F$7,MAX(Nonlabor!$F$7,IF(Nonlabor!$E$7="AI",Assumptions!$C$24,Assumptions!$C$25))),12)=0))),IF(Nonlabor!$I$7="Fixed",1,IF(Nonlabor!$I$7="Seats",ROUNDUP('Monthly Lean'!I34,0),IF(Nonlabor!$I$7="Customers",'Monthly Lean'!D34,IF(Nonlabor!$I$7="NewCustomers",'Monthly Lean'!C34,IF(Nonlabor!$I$7="StorageGB",'Monthly Lean'!G34,IF(Nonlabor!$I$7="LogGB",'Monthly Lean'!H34,IF(Nonlabor!$I$7="RequestsM",'Monthly Lean'!F34,IF(Nonlabor!$I$7="InputM",'Monthly Lean'!D34*Assumptions!$C$22/1000000,IF(Nonlabor!$I$7="OutputM",'Monthly Lean'!D34*Assumptions!$C$23/1000000,0))))))))),0)</f>
        <v>1</v>
      </c>
      <c r="F94" s="10" t="n">
        <f aca="false">Nonlabor!$J$7*(1+Assumptions!$C$9)^INT((C94-1)/12)</f>
        <v>636.54</v>
      </c>
      <c r="G94" s="10" t="n">
        <f aca="false">E94*F94</f>
        <v>636.54</v>
      </c>
      <c r="H94" s="10" t="n">
        <f aca="false">IF(OR(Nonlabor!$L$7="Quote required",Nonlabor!$L$7="Unverified"),G94,0)</f>
        <v>636.54</v>
      </c>
      <c r="I94" s="10" t="n">
        <f aca="false">IF(Nonlabor!$E$7="Core",0,G94)</f>
        <v>0</v>
      </c>
      <c r="J94" s="23" t="str">
        <f aca="false">Nonlabor!$B$7</f>
        <v>INFRA</v>
      </c>
    </row>
    <row r="95" customFormat="false" ht="15" hidden="false" customHeight="false" outlineLevel="0" collapsed="false">
      <c r="A95" s="6" t="s">
        <v>72</v>
      </c>
      <c r="B95" s="6" t="s">
        <v>373</v>
      </c>
      <c r="C95" s="6" t="n">
        <v>30</v>
      </c>
      <c r="D95" s="25" t="n">
        <f aca="false">EDATE('Start Here'!$B$6,C95-1)</f>
        <v>47209</v>
      </c>
      <c r="E95" s="23" t="n">
        <f aca="false">IF(AND(OR(Nonlabor!$D$7="Both",Nonlabor!$D$7='Start Here'!$B$9),IF(Nonlabor!$E$7="Core",1,IF(Nonlabor!$E$7="AI",'Start Here'!$B$7,'Start Here'!$B$8))=1,C95&gt;=IF(Nonlabor!$E$7="Core",Nonlabor!$F$7,MAX(Nonlabor!$F$7,IF(Nonlabor!$E$7="AI",Assumptions!$C$24,Assumptions!$C$25))),C95&lt;=Nonlabor!$G$7,OR(Nonlabor!$H$7="Monthly",AND(Nonlabor!$H$7="Once",C95=IF(Nonlabor!$E$7="Core",Nonlabor!$F$7,MAX(Nonlabor!$F$7,IF(Nonlabor!$E$7="AI",Assumptions!$C$24,Assumptions!$C$25)))),AND(Nonlabor!$H$7="Annual",MOD(C95-IF(Nonlabor!$E$7="Core",Nonlabor!$F$7,MAX(Nonlabor!$F$7,IF(Nonlabor!$E$7="AI",Assumptions!$C$24,Assumptions!$C$25))),12)=0))),IF(Nonlabor!$I$7="Fixed",1,IF(Nonlabor!$I$7="Seats",ROUNDUP('Monthly Lean'!I35,0),IF(Nonlabor!$I$7="Customers",'Monthly Lean'!D35,IF(Nonlabor!$I$7="NewCustomers",'Monthly Lean'!C35,IF(Nonlabor!$I$7="StorageGB",'Monthly Lean'!G35,IF(Nonlabor!$I$7="LogGB",'Monthly Lean'!H35,IF(Nonlabor!$I$7="RequestsM",'Monthly Lean'!F35,IF(Nonlabor!$I$7="InputM",'Monthly Lean'!D35*Assumptions!$C$22/1000000,IF(Nonlabor!$I$7="OutputM",'Monthly Lean'!D35*Assumptions!$C$23/1000000,0))))))))),0)</f>
        <v>1</v>
      </c>
      <c r="F95" s="10" t="n">
        <f aca="false">Nonlabor!$J$7*(1+Assumptions!$C$9)^INT((C95-1)/12)</f>
        <v>636.54</v>
      </c>
      <c r="G95" s="10" t="n">
        <f aca="false">E95*F95</f>
        <v>636.54</v>
      </c>
      <c r="H95" s="10" t="n">
        <f aca="false">IF(OR(Nonlabor!$L$7="Quote required",Nonlabor!$L$7="Unverified"),G95,0)</f>
        <v>636.54</v>
      </c>
      <c r="I95" s="10" t="n">
        <f aca="false">IF(Nonlabor!$E$7="Core",0,G95)</f>
        <v>0</v>
      </c>
      <c r="J95" s="23" t="str">
        <f aca="false">Nonlabor!$B$7</f>
        <v>INFRA</v>
      </c>
    </row>
    <row r="96" customFormat="false" ht="15" hidden="false" customHeight="false" outlineLevel="0" collapsed="false">
      <c r="A96" s="6" t="s">
        <v>72</v>
      </c>
      <c r="B96" s="6" t="s">
        <v>373</v>
      </c>
      <c r="C96" s="6" t="n">
        <v>31</v>
      </c>
      <c r="D96" s="25" t="n">
        <f aca="false">EDATE('Start Here'!$B$6,C96-1)</f>
        <v>47239</v>
      </c>
      <c r="E96" s="23" t="n">
        <f aca="false">IF(AND(OR(Nonlabor!$D$7="Both",Nonlabor!$D$7='Start Here'!$B$9),IF(Nonlabor!$E$7="Core",1,IF(Nonlabor!$E$7="AI",'Start Here'!$B$7,'Start Here'!$B$8))=1,C96&gt;=IF(Nonlabor!$E$7="Core",Nonlabor!$F$7,MAX(Nonlabor!$F$7,IF(Nonlabor!$E$7="AI",Assumptions!$C$24,Assumptions!$C$25))),C96&lt;=Nonlabor!$G$7,OR(Nonlabor!$H$7="Monthly",AND(Nonlabor!$H$7="Once",C96=IF(Nonlabor!$E$7="Core",Nonlabor!$F$7,MAX(Nonlabor!$F$7,IF(Nonlabor!$E$7="AI",Assumptions!$C$24,Assumptions!$C$25)))),AND(Nonlabor!$H$7="Annual",MOD(C96-IF(Nonlabor!$E$7="Core",Nonlabor!$F$7,MAX(Nonlabor!$F$7,IF(Nonlabor!$E$7="AI",Assumptions!$C$24,Assumptions!$C$25))),12)=0))),IF(Nonlabor!$I$7="Fixed",1,IF(Nonlabor!$I$7="Seats",ROUNDUP('Monthly Lean'!I36,0),IF(Nonlabor!$I$7="Customers",'Monthly Lean'!D36,IF(Nonlabor!$I$7="NewCustomers",'Monthly Lean'!C36,IF(Nonlabor!$I$7="StorageGB",'Monthly Lean'!G36,IF(Nonlabor!$I$7="LogGB",'Monthly Lean'!H36,IF(Nonlabor!$I$7="RequestsM",'Monthly Lean'!F36,IF(Nonlabor!$I$7="InputM",'Monthly Lean'!D36*Assumptions!$C$22/1000000,IF(Nonlabor!$I$7="OutputM",'Monthly Lean'!D36*Assumptions!$C$23/1000000,0))))))))),0)</f>
        <v>1</v>
      </c>
      <c r="F96" s="10" t="n">
        <f aca="false">Nonlabor!$J$7*(1+Assumptions!$C$9)^INT((C96-1)/12)</f>
        <v>636.54</v>
      </c>
      <c r="G96" s="10" t="n">
        <f aca="false">E96*F96</f>
        <v>636.54</v>
      </c>
      <c r="H96" s="10" t="n">
        <f aca="false">IF(OR(Nonlabor!$L$7="Quote required",Nonlabor!$L$7="Unverified"),G96,0)</f>
        <v>636.54</v>
      </c>
      <c r="I96" s="10" t="n">
        <f aca="false">IF(Nonlabor!$E$7="Core",0,G96)</f>
        <v>0</v>
      </c>
      <c r="J96" s="23" t="str">
        <f aca="false">Nonlabor!$B$7</f>
        <v>INFRA</v>
      </c>
    </row>
    <row r="97" customFormat="false" ht="15" hidden="false" customHeight="false" outlineLevel="0" collapsed="false">
      <c r="A97" s="6" t="s">
        <v>72</v>
      </c>
      <c r="B97" s="6" t="s">
        <v>373</v>
      </c>
      <c r="C97" s="6" t="n">
        <v>32</v>
      </c>
      <c r="D97" s="25" t="n">
        <f aca="false">EDATE('Start Here'!$B$6,C97-1)</f>
        <v>47270</v>
      </c>
      <c r="E97" s="23" t="n">
        <f aca="false">IF(AND(OR(Nonlabor!$D$7="Both",Nonlabor!$D$7='Start Here'!$B$9),IF(Nonlabor!$E$7="Core",1,IF(Nonlabor!$E$7="AI",'Start Here'!$B$7,'Start Here'!$B$8))=1,C97&gt;=IF(Nonlabor!$E$7="Core",Nonlabor!$F$7,MAX(Nonlabor!$F$7,IF(Nonlabor!$E$7="AI",Assumptions!$C$24,Assumptions!$C$25))),C97&lt;=Nonlabor!$G$7,OR(Nonlabor!$H$7="Monthly",AND(Nonlabor!$H$7="Once",C97=IF(Nonlabor!$E$7="Core",Nonlabor!$F$7,MAX(Nonlabor!$F$7,IF(Nonlabor!$E$7="AI",Assumptions!$C$24,Assumptions!$C$25)))),AND(Nonlabor!$H$7="Annual",MOD(C97-IF(Nonlabor!$E$7="Core",Nonlabor!$F$7,MAX(Nonlabor!$F$7,IF(Nonlabor!$E$7="AI",Assumptions!$C$24,Assumptions!$C$25))),12)=0))),IF(Nonlabor!$I$7="Fixed",1,IF(Nonlabor!$I$7="Seats",ROUNDUP('Monthly Lean'!I37,0),IF(Nonlabor!$I$7="Customers",'Monthly Lean'!D37,IF(Nonlabor!$I$7="NewCustomers",'Monthly Lean'!C37,IF(Nonlabor!$I$7="StorageGB",'Monthly Lean'!G37,IF(Nonlabor!$I$7="LogGB",'Monthly Lean'!H37,IF(Nonlabor!$I$7="RequestsM",'Monthly Lean'!F37,IF(Nonlabor!$I$7="InputM",'Monthly Lean'!D37*Assumptions!$C$22/1000000,IF(Nonlabor!$I$7="OutputM",'Monthly Lean'!D37*Assumptions!$C$23/1000000,0))))))))),0)</f>
        <v>1</v>
      </c>
      <c r="F97" s="10" t="n">
        <f aca="false">Nonlabor!$J$7*(1+Assumptions!$C$9)^INT((C97-1)/12)</f>
        <v>636.54</v>
      </c>
      <c r="G97" s="10" t="n">
        <f aca="false">E97*F97</f>
        <v>636.54</v>
      </c>
      <c r="H97" s="10" t="n">
        <f aca="false">IF(OR(Nonlabor!$L$7="Quote required",Nonlabor!$L$7="Unverified"),G97,0)</f>
        <v>636.54</v>
      </c>
      <c r="I97" s="10" t="n">
        <f aca="false">IF(Nonlabor!$E$7="Core",0,G97)</f>
        <v>0</v>
      </c>
      <c r="J97" s="23" t="str">
        <f aca="false">Nonlabor!$B$7</f>
        <v>INFRA</v>
      </c>
    </row>
    <row r="98" customFormat="false" ht="15" hidden="false" customHeight="false" outlineLevel="0" collapsed="false">
      <c r="A98" s="6" t="s">
        <v>72</v>
      </c>
      <c r="B98" s="6" t="s">
        <v>373</v>
      </c>
      <c r="C98" s="6" t="n">
        <v>33</v>
      </c>
      <c r="D98" s="25" t="n">
        <f aca="false">EDATE('Start Here'!$B$6,C98-1)</f>
        <v>47300</v>
      </c>
      <c r="E98" s="23" t="n">
        <f aca="false">IF(AND(OR(Nonlabor!$D$7="Both",Nonlabor!$D$7='Start Here'!$B$9),IF(Nonlabor!$E$7="Core",1,IF(Nonlabor!$E$7="AI",'Start Here'!$B$7,'Start Here'!$B$8))=1,C98&gt;=IF(Nonlabor!$E$7="Core",Nonlabor!$F$7,MAX(Nonlabor!$F$7,IF(Nonlabor!$E$7="AI",Assumptions!$C$24,Assumptions!$C$25))),C98&lt;=Nonlabor!$G$7,OR(Nonlabor!$H$7="Monthly",AND(Nonlabor!$H$7="Once",C98=IF(Nonlabor!$E$7="Core",Nonlabor!$F$7,MAX(Nonlabor!$F$7,IF(Nonlabor!$E$7="AI",Assumptions!$C$24,Assumptions!$C$25)))),AND(Nonlabor!$H$7="Annual",MOD(C98-IF(Nonlabor!$E$7="Core",Nonlabor!$F$7,MAX(Nonlabor!$F$7,IF(Nonlabor!$E$7="AI",Assumptions!$C$24,Assumptions!$C$25))),12)=0))),IF(Nonlabor!$I$7="Fixed",1,IF(Nonlabor!$I$7="Seats",ROUNDUP('Monthly Lean'!I38,0),IF(Nonlabor!$I$7="Customers",'Monthly Lean'!D38,IF(Nonlabor!$I$7="NewCustomers",'Monthly Lean'!C38,IF(Nonlabor!$I$7="StorageGB",'Monthly Lean'!G38,IF(Nonlabor!$I$7="LogGB",'Monthly Lean'!H38,IF(Nonlabor!$I$7="RequestsM",'Monthly Lean'!F38,IF(Nonlabor!$I$7="InputM",'Monthly Lean'!D38*Assumptions!$C$22/1000000,IF(Nonlabor!$I$7="OutputM",'Monthly Lean'!D38*Assumptions!$C$23/1000000,0))))))))),0)</f>
        <v>1</v>
      </c>
      <c r="F98" s="10" t="n">
        <f aca="false">Nonlabor!$J$7*(1+Assumptions!$C$9)^INT((C98-1)/12)</f>
        <v>636.54</v>
      </c>
      <c r="G98" s="10" t="n">
        <f aca="false">E98*F98</f>
        <v>636.54</v>
      </c>
      <c r="H98" s="10" t="n">
        <f aca="false">IF(OR(Nonlabor!$L$7="Quote required",Nonlabor!$L$7="Unverified"),G98,0)</f>
        <v>636.54</v>
      </c>
      <c r="I98" s="10" t="n">
        <f aca="false">IF(Nonlabor!$E$7="Core",0,G98)</f>
        <v>0</v>
      </c>
      <c r="J98" s="23" t="str">
        <f aca="false">Nonlabor!$B$7</f>
        <v>INFRA</v>
      </c>
    </row>
    <row r="99" customFormat="false" ht="15" hidden="false" customHeight="false" outlineLevel="0" collapsed="false">
      <c r="A99" s="6" t="s">
        <v>72</v>
      </c>
      <c r="B99" s="6" t="s">
        <v>373</v>
      </c>
      <c r="C99" s="6" t="n">
        <v>34</v>
      </c>
      <c r="D99" s="25" t="n">
        <f aca="false">EDATE('Start Here'!$B$6,C99-1)</f>
        <v>47331</v>
      </c>
      <c r="E99" s="23" t="n">
        <f aca="false">IF(AND(OR(Nonlabor!$D$7="Both",Nonlabor!$D$7='Start Here'!$B$9),IF(Nonlabor!$E$7="Core",1,IF(Nonlabor!$E$7="AI",'Start Here'!$B$7,'Start Here'!$B$8))=1,C99&gt;=IF(Nonlabor!$E$7="Core",Nonlabor!$F$7,MAX(Nonlabor!$F$7,IF(Nonlabor!$E$7="AI",Assumptions!$C$24,Assumptions!$C$25))),C99&lt;=Nonlabor!$G$7,OR(Nonlabor!$H$7="Monthly",AND(Nonlabor!$H$7="Once",C99=IF(Nonlabor!$E$7="Core",Nonlabor!$F$7,MAX(Nonlabor!$F$7,IF(Nonlabor!$E$7="AI",Assumptions!$C$24,Assumptions!$C$25)))),AND(Nonlabor!$H$7="Annual",MOD(C99-IF(Nonlabor!$E$7="Core",Nonlabor!$F$7,MAX(Nonlabor!$F$7,IF(Nonlabor!$E$7="AI",Assumptions!$C$24,Assumptions!$C$25))),12)=0))),IF(Nonlabor!$I$7="Fixed",1,IF(Nonlabor!$I$7="Seats",ROUNDUP('Monthly Lean'!I39,0),IF(Nonlabor!$I$7="Customers",'Monthly Lean'!D39,IF(Nonlabor!$I$7="NewCustomers",'Monthly Lean'!C39,IF(Nonlabor!$I$7="StorageGB",'Monthly Lean'!G39,IF(Nonlabor!$I$7="LogGB",'Monthly Lean'!H39,IF(Nonlabor!$I$7="RequestsM",'Monthly Lean'!F39,IF(Nonlabor!$I$7="InputM",'Monthly Lean'!D39*Assumptions!$C$22/1000000,IF(Nonlabor!$I$7="OutputM",'Monthly Lean'!D39*Assumptions!$C$23/1000000,0))))))))),0)</f>
        <v>1</v>
      </c>
      <c r="F99" s="10" t="n">
        <f aca="false">Nonlabor!$J$7*(1+Assumptions!$C$9)^INT((C99-1)/12)</f>
        <v>636.54</v>
      </c>
      <c r="G99" s="10" t="n">
        <f aca="false">E99*F99</f>
        <v>636.54</v>
      </c>
      <c r="H99" s="10" t="n">
        <f aca="false">IF(OR(Nonlabor!$L$7="Quote required",Nonlabor!$L$7="Unverified"),G99,0)</f>
        <v>636.54</v>
      </c>
      <c r="I99" s="10" t="n">
        <f aca="false">IF(Nonlabor!$E$7="Core",0,G99)</f>
        <v>0</v>
      </c>
      <c r="J99" s="23" t="str">
        <f aca="false">Nonlabor!$B$7</f>
        <v>INFRA</v>
      </c>
    </row>
    <row r="100" customFormat="false" ht="15" hidden="false" customHeight="false" outlineLevel="0" collapsed="false">
      <c r="A100" s="6" t="s">
        <v>72</v>
      </c>
      <c r="B100" s="6" t="s">
        <v>373</v>
      </c>
      <c r="C100" s="6" t="n">
        <v>35</v>
      </c>
      <c r="D100" s="25" t="n">
        <f aca="false">EDATE('Start Here'!$B$6,C100-1)</f>
        <v>47362</v>
      </c>
      <c r="E100" s="23" t="n">
        <f aca="false">IF(AND(OR(Nonlabor!$D$7="Both",Nonlabor!$D$7='Start Here'!$B$9),IF(Nonlabor!$E$7="Core",1,IF(Nonlabor!$E$7="AI",'Start Here'!$B$7,'Start Here'!$B$8))=1,C100&gt;=IF(Nonlabor!$E$7="Core",Nonlabor!$F$7,MAX(Nonlabor!$F$7,IF(Nonlabor!$E$7="AI",Assumptions!$C$24,Assumptions!$C$25))),C100&lt;=Nonlabor!$G$7,OR(Nonlabor!$H$7="Monthly",AND(Nonlabor!$H$7="Once",C100=IF(Nonlabor!$E$7="Core",Nonlabor!$F$7,MAX(Nonlabor!$F$7,IF(Nonlabor!$E$7="AI",Assumptions!$C$24,Assumptions!$C$25)))),AND(Nonlabor!$H$7="Annual",MOD(C100-IF(Nonlabor!$E$7="Core",Nonlabor!$F$7,MAX(Nonlabor!$F$7,IF(Nonlabor!$E$7="AI",Assumptions!$C$24,Assumptions!$C$25))),12)=0))),IF(Nonlabor!$I$7="Fixed",1,IF(Nonlabor!$I$7="Seats",ROUNDUP('Monthly Lean'!I40,0),IF(Nonlabor!$I$7="Customers",'Monthly Lean'!D40,IF(Nonlabor!$I$7="NewCustomers",'Monthly Lean'!C40,IF(Nonlabor!$I$7="StorageGB",'Monthly Lean'!G40,IF(Nonlabor!$I$7="LogGB",'Monthly Lean'!H40,IF(Nonlabor!$I$7="RequestsM",'Monthly Lean'!F40,IF(Nonlabor!$I$7="InputM",'Monthly Lean'!D40*Assumptions!$C$22/1000000,IF(Nonlabor!$I$7="OutputM",'Monthly Lean'!D40*Assumptions!$C$23/1000000,0))))))))),0)</f>
        <v>1</v>
      </c>
      <c r="F100" s="10" t="n">
        <f aca="false">Nonlabor!$J$7*(1+Assumptions!$C$9)^INT((C100-1)/12)</f>
        <v>636.54</v>
      </c>
      <c r="G100" s="10" t="n">
        <f aca="false">E100*F100</f>
        <v>636.54</v>
      </c>
      <c r="H100" s="10" t="n">
        <f aca="false">IF(OR(Nonlabor!$L$7="Quote required",Nonlabor!$L$7="Unverified"),G100,0)</f>
        <v>636.54</v>
      </c>
      <c r="I100" s="10" t="n">
        <f aca="false">IF(Nonlabor!$E$7="Core",0,G100)</f>
        <v>0</v>
      </c>
      <c r="J100" s="23" t="str">
        <f aca="false">Nonlabor!$B$7</f>
        <v>INFRA</v>
      </c>
    </row>
    <row r="101" customFormat="false" ht="15" hidden="false" customHeight="false" outlineLevel="0" collapsed="false">
      <c r="A101" s="6" t="s">
        <v>72</v>
      </c>
      <c r="B101" s="6" t="s">
        <v>373</v>
      </c>
      <c r="C101" s="6" t="n">
        <v>36</v>
      </c>
      <c r="D101" s="25" t="n">
        <f aca="false">EDATE('Start Here'!$B$6,C101-1)</f>
        <v>47392</v>
      </c>
      <c r="E101" s="23" t="n">
        <f aca="false">IF(AND(OR(Nonlabor!$D$7="Both",Nonlabor!$D$7='Start Here'!$B$9),IF(Nonlabor!$E$7="Core",1,IF(Nonlabor!$E$7="AI",'Start Here'!$B$7,'Start Here'!$B$8))=1,C101&gt;=IF(Nonlabor!$E$7="Core",Nonlabor!$F$7,MAX(Nonlabor!$F$7,IF(Nonlabor!$E$7="AI",Assumptions!$C$24,Assumptions!$C$25))),C101&lt;=Nonlabor!$G$7,OR(Nonlabor!$H$7="Monthly",AND(Nonlabor!$H$7="Once",C101=IF(Nonlabor!$E$7="Core",Nonlabor!$F$7,MAX(Nonlabor!$F$7,IF(Nonlabor!$E$7="AI",Assumptions!$C$24,Assumptions!$C$25)))),AND(Nonlabor!$H$7="Annual",MOD(C101-IF(Nonlabor!$E$7="Core",Nonlabor!$F$7,MAX(Nonlabor!$F$7,IF(Nonlabor!$E$7="AI",Assumptions!$C$24,Assumptions!$C$25))),12)=0))),IF(Nonlabor!$I$7="Fixed",1,IF(Nonlabor!$I$7="Seats",ROUNDUP('Monthly Lean'!I41,0),IF(Nonlabor!$I$7="Customers",'Monthly Lean'!D41,IF(Nonlabor!$I$7="NewCustomers",'Monthly Lean'!C41,IF(Nonlabor!$I$7="StorageGB",'Monthly Lean'!G41,IF(Nonlabor!$I$7="LogGB",'Monthly Lean'!H41,IF(Nonlabor!$I$7="RequestsM",'Monthly Lean'!F41,IF(Nonlabor!$I$7="InputM",'Monthly Lean'!D41*Assumptions!$C$22/1000000,IF(Nonlabor!$I$7="OutputM",'Monthly Lean'!D41*Assumptions!$C$23/1000000,0))))))))),0)</f>
        <v>1</v>
      </c>
      <c r="F101" s="10" t="n">
        <f aca="false">Nonlabor!$J$7*(1+Assumptions!$C$9)^INT((C101-1)/12)</f>
        <v>636.54</v>
      </c>
      <c r="G101" s="10" t="n">
        <f aca="false">E101*F101</f>
        <v>636.54</v>
      </c>
      <c r="H101" s="10" t="n">
        <f aca="false">IF(OR(Nonlabor!$L$7="Quote required",Nonlabor!$L$7="Unverified"),G101,0)</f>
        <v>636.54</v>
      </c>
      <c r="I101" s="10" t="n">
        <f aca="false">IF(Nonlabor!$E$7="Core",0,G101)</f>
        <v>0</v>
      </c>
      <c r="J101" s="23" t="str">
        <f aca="false">Nonlabor!$B$7</f>
        <v>INFRA</v>
      </c>
    </row>
    <row r="102" customFormat="false" ht="15" hidden="false" customHeight="false" outlineLevel="0" collapsed="false">
      <c r="A102" s="6" t="s">
        <v>72</v>
      </c>
      <c r="B102" s="6" t="s">
        <v>373</v>
      </c>
      <c r="C102" s="6" t="n">
        <v>37</v>
      </c>
      <c r="D102" s="25" t="n">
        <f aca="false">EDATE('Start Here'!$B$6,C102-1)</f>
        <v>47423</v>
      </c>
      <c r="E102" s="23" t="n">
        <f aca="false">IF(AND(OR(Nonlabor!$D$7="Both",Nonlabor!$D$7='Start Here'!$B$9),IF(Nonlabor!$E$7="Core",1,IF(Nonlabor!$E$7="AI",'Start Here'!$B$7,'Start Here'!$B$8))=1,C102&gt;=IF(Nonlabor!$E$7="Core",Nonlabor!$F$7,MAX(Nonlabor!$F$7,IF(Nonlabor!$E$7="AI",Assumptions!$C$24,Assumptions!$C$25))),C102&lt;=Nonlabor!$G$7,OR(Nonlabor!$H$7="Monthly",AND(Nonlabor!$H$7="Once",C102=IF(Nonlabor!$E$7="Core",Nonlabor!$F$7,MAX(Nonlabor!$F$7,IF(Nonlabor!$E$7="AI",Assumptions!$C$24,Assumptions!$C$25)))),AND(Nonlabor!$H$7="Annual",MOD(C102-IF(Nonlabor!$E$7="Core",Nonlabor!$F$7,MAX(Nonlabor!$F$7,IF(Nonlabor!$E$7="AI",Assumptions!$C$24,Assumptions!$C$25))),12)=0))),IF(Nonlabor!$I$7="Fixed",1,IF(Nonlabor!$I$7="Seats",ROUNDUP('Monthly Lean'!I42,0),IF(Nonlabor!$I$7="Customers",'Monthly Lean'!D42,IF(Nonlabor!$I$7="NewCustomers",'Monthly Lean'!C42,IF(Nonlabor!$I$7="StorageGB",'Monthly Lean'!G42,IF(Nonlabor!$I$7="LogGB",'Monthly Lean'!H42,IF(Nonlabor!$I$7="RequestsM",'Monthly Lean'!F42,IF(Nonlabor!$I$7="InputM",'Monthly Lean'!D42*Assumptions!$C$22/1000000,IF(Nonlabor!$I$7="OutputM",'Monthly Lean'!D42*Assumptions!$C$23/1000000,0))))))))),0)</f>
        <v>1</v>
      </c>
      <c r="F102" s="10" t="n">
        <f aca="false">Nonlabor!$J$7*(1+Assumptions!$C$9)^INT((C102-1)/12)</f>
        <v>655.6362</v>
      </c>
      <c r="G102" s="10" t="n">
        <f aca="false">E102*F102</f>
        <v>655.6362</v>
      </c>
      <c r="H102" s="10" t="n">
        <f aca="false">IF(OR(Nonlabor!$L$7="Quote required",Nonlabor!$L$7="Unverified"),G102,0)</f>
        <v>655.6362</v>
      </c>
      <c r="I102" s="10" t="n">
        <f aca="false">IF(Nonlabor!$E$7="Core",0,G102)</f>
        <v>0</v>
      </c>
      <c r="J102" s="23" t="str">
        <f aca="false">Nonlabor!$B$7</f>
        <v>INFRA</v>
      </c>
    </row>
    <row r="103" customFormat="false" ht="15" hidden="false" customHeight="false" outlineLevel="0" collapsed="false">
      <c r="A103" s="6" t="s">
        <v>72</v>
      </c>
      <c r="B103" s="6" t="s">
        <v>373</v>
      </c>
      <c r="C103" s="6" t="n">
        <v>38</v>
      </c>
      <c r="D103" s="25" t="n">
        <f aca="false">EDATE('Start Here'!$B$6,C103-1)</f>
        <v>47453</v>
      </c>
      <c r="E103" s="23" t="n">
        <f aca="false">IF(AND(OR(Nonlabor!$D$7="Both",Nonlabor!$D$7='Start Here'!$B$9),IF(Nonlabor!$E$7="Core",1,IF(Nonlabor!$E$7="AI",'Start Here'!$B$7,'Start Here'!$B$8))=1,C103&gt;=IF(Nonlabor!$E$7="Core",Nonlabor!$F$7,MAX(Nonlabor!$F$7,IF(Nonlabor!$E$7="AI",Assumptions!$C$24,Assumptions!$C$25))),C103&lt;=Nonlabor!$G$7,OR(Nonlabor!$H$7="Monthly",AND(Nonlabor!$H$7="Once",C103=IF(Nonlabor!$E$7="Core",Nonlabor!$F$7,MAX(Nonlabor!$F$7,IF(Nonlabor!$E$7="AI",Assumptions!$C$24,Assumptions!$C$25)))),AND(Nonlabor!$H$7="Annual",MOD(C103-IF(Nonlabor!$E$7="Core",Nonlabor!$F$7,MAX(Nonlabor!$F$7,IF(Nonlabor!$E$7="AI",Assumptions!$C$24,Assumptions!$C$25))),12)=0))),IF(Nonlabor!$I$7="Fixed",1,IF(Nonlabor!$I$7="Seats",ROUNDUP('Monthly Lean'!I43,0),IF(Nonlabor!$I$7="Customers",'Monthly Lean'!D43,IF(Nonlabor!$I$7="NewCustomers",'Monthly Lean'!C43,IF(Nonlabor!$I$7="StorageGB",'Monthly Lean'!G43,IF(Nonlabor!$I$7="LogGB",'Monthly Lean'!H43,IF(Nonlabor!$I$7="RequestsM",'Monthly Lean'!F43,IF(Nonlabor!$I$7="InputM",'Monthly Lean'!D43*Assumptions!$C$22/1000000,IF(Nonlabor!$I$7="OutputM",'Monthly Lean'!D43*Assumptions!$C$23/1000000,0))))))))),0)</f>
        <v>1</v>
      </c>
      <c r="F103" s="10" t="n">
        <f aca="false">Nonlabor!$J$7*(1+Assumptions!$C$9)^INT((C103-1)/12)</f>
        <v>655.6362</v>
      </c>
      <c r="G103" s="10" t="n">
        <f aca="false">E103*F103</f>
        <v>655.6362</v>
      </c>
      <c r="H103" s="10" t="n">
        <f aca="false">IF(OR(Nonlabor!$L$7="Quote required",Nonlabor!$L$7="Unverified"),G103,0)</f>
        <v>655.6362</v>
      </c>
      <c r="I103" s="10" t="n">
        <f aca="false">IF(Nonlabor!$E$7="Core",0,G103)</f>
        <v>0</v>
      </c>
      <c r="J103" s="23" t="str">
        <f aca="false">Nonlabor!$B$7</f>
        <v>INFRA</v>
      </c>
    </row>
    <row r="104" customFormat="false" ht="15" hidden="false" customHeight="false" outlineLevel="0" collapsed="false">
      <c r="A104" s="6" t="s">
        <v>72</v>
      </c>
      <c r="B104" s="6" t="s">
        <v>373</v>
      </c>
      <c r="C104" s="6" t="n">
        <v>39</v>
      </c>
      <c r="D104" s="25" t="n">
        <f aca="false">EDATE('Start Here'!$B$6,C104-1)</f>
        <v>47484</v>
      </c>
      <c r="E104" s="23" t="n">
        <f aca="false">IF(AND(OR(Nonlabor!$D$7="Both",Nonlabor!$D$7='Start Here'!$B$9),IF(Nonlabor!$E$7="Core",1,IF(Nonlabor!$E$7="AI",'Start Here'!$B$7,'Start Here'!$B$8))=1,C104&gt;=IF(Nonlabor!$E$7="Core",Nonlabor!$F$7,MAX(Nonlabor!$F$7,IF(Nonlabor!$E$7="AI",Assumptions!$C$24,Assumptions!$C$25))),C104&lt;=Nonlabor!$G$7,OR(Nonlabor!$H$7="Monthly",AND(Nonlabor!$H$7="Once",C104=IF(Nonlabor!$E$7="Core",Nonlabor!$F$7,MAX(Nonlabor!$F$7,IF(Nonlabor!$E$7="AI",Assumptions!$C$24,Assumptions!$C$25)))),AND(Nonlabor!$H$7="Annual",MOD(C104-IF(Nonlabor!$E$7="Core",Nonlabor!$F$7,MAX(Nonlabor!$F$7,IF(Nonlabor!$E$7="AI",Assumptions!$C$24,Assumptions!$C$25))),12)=0))),IF(Nonlabor!$I$7="Fixed",1,IF(Nonlabor!$I$7="Seats",ROUNDUP('Monthly Lean'!I44,0),IF(Nonlabor!$I$7="Customers",'Monthly Lean'!D44,IF(Nonlabor!$I$7="NewCustomers",'Monthly Lean'!C44,IF(Nonlabor!$I$7="StorageGB",'Monthly Lean'!G44,IF(Nonlabor!$I$7="LogGB",'Monthly Lean'!H44,IF(Nonlabor!$I$7="RequestsM",'Monthly Lean'!F44,IF(Nonlabor!$I$7="InputM",'Monthly Lean'!D44*Assumptions!$C$22/1000000,IF(Nonlabor!$I$7="OutputM",'Monthly Lean'!D44*Assumptions!$C$23/1000000,0))))))))),0)</f>
        <v>1</v>
      </c>
      <c r="F104" s="10" t="n">
        <f aca="false">Nonlabor!$J$7*(1+Assumptions!$C$9)^INT((C104-1)/12)</f>
        <v>655.6362</v>
      </c>
      <c r="G104" s="10" t="n">
        <f aca="false">E104*F104</f>
        <v>655.6362</v>
      </c>
      <c r="H104" s="10" t="n">
        <f aca="false">IF(OR(Nonlabor!$L$7="Quote required",Nonlabor!$L$7="Unverified"),G104,0)</f>
        <v>655.6362</v>
      </c>
      <c r="I104" s="10" t="n">
        <f aca="false">IF(Nonlabor!$E$7="Core",0,G104)</f>
        <v>0</v>
      </c>
      <c r="J104" s="23" t="str">
        <f aca="false">Nonlabor!$B$7</f>
        <v>INFRA</v>
      </c>
    </row>
    <row r="105" customFormat="false" ht="15" hidden="false" customHeight="false" outlineLevel="0" collapsed="false">
      <c r="A105" s="6" t="s">
        <v>72</v>
      </c>
      <c r="B105" s="6" t="s">
        <v>373</v>
      </c>
      <c r="C105" s="6" t="n">
        <v>40</v>
      </c>
      <c r="D105" s="25" t="n">
        <f aca="false">EDATE('Start Here'!$B$6,C105-1)</f>
        <v>47515</v>
      </c>
      <c r="E105" s="23" t="n">
        <f aca="false">IF(AND(OR(Nonlabor!$D$7="Both",Nonlabor!$D$7='Start Here'!$B$9),IF(Nonlabor!$E$7="Core",1,IF(Nonlabor!$E$7="AI",'Start Here'!$B$7,'Start Here'!$B$8))=1,C105&gt;=IF(Nonlabor!$E$7="Core",Nonlabor!$F$7,MAX(Nonlabor!$F$7,IF(Nonlabor!$E$7="AI",Assumptions!$C$24,Assumptions!$C$25))),C105&lt;=Nonlabor!$G$7,OR(Nonlabor!$H$7="Monthly",AND(Nonlabor!$H$7="Once",C105=IF(Nonlabor!$E$7="Core",Nonlabor!$F$7,MAX(Nonlabor!$F$7,IF(Nonlabor!$E$7="AI",Assumptions!$C$24,Assumptions!$C$25)))),AND(Nonlabor!$H$7="Annual",MOD(C105-IF(Nonlabor!$E$7="Core",Nonlabor!$F$7,MAX(Nonlabor!$F$7,IF(Nonlabor!$E$7="AI",Assumptions!$C$24,Assumptions!$C$25))),12)=0))),IF(Nonlabor!$I$7="Fixed",1,IF(Nonlabor!$I$7="Seats",ROUNDUP('Monthly Lean'!I45,0),IF(Nonlabor!$I$7="Customers",'Monthly Lean'!D45,IF(Nonlabor!$I$7="NewCustomers",'Monthly Lean'!C45,IF(Nonlabor!$I$7="StorageGB",'Monthly Lean'!G45,IF(Nonlabor!$I$7="LogGB",'Monthly Lean'!H45,IF(Nonlabor!$I$7="RequestsM",'Monthly Lean'!F45,IF(Nonlabor!$I$7="InputM",'Monthly Lean'!D45*Assumptions!$C$22/1000000,IF(Nonlabor!$I$7="OutputM",'Monthly Lean'!D45*Assumptions!$C$23/1000000,0))))))))),0)</f>
        <v>1</v>
      </c>
      <c r="F105" s="10" t="n">
        <f aca="false">Nonlabor!$J$7*(1+Assumptions!$C$9)^INT((C105-1)/12)</f>
        <v>655.6362</v>
      </c>
      <c r="G105" s="10" t="n">
        <f aca="false">E105*F105</f>
        <v>655.6362</v>
      </c>
      <c r="H105" s="10" t="n">
        <f aca="false">IF(OR(Nonlabor!$L$7="Quote required",Nonlabor!$L$7="Unverified"),G105,0)</f>
        <v>655.6362</v>
      </c>
      <c r="I105" s="10" t="n">
        <f aca="false">IF(Nonlabor!$E$7="Core",0,G105)</f>
        <v>0</v>
      </c>
      <c r="J105" s="23" t="str">
        <f aca="false">Nonlabor!$B$7</f>
        <v>INFRA</v>
      </c>
    </row>
    <row r="106" customFormat="false" ht="15" hidden="false" customHeight="false" outlineLevel="0" collapsed="false">
      <c r="A106" s="6" t="s">
        <v>72</v>
      </c>
      <c r="B106" s="6" t="s">
        <v>373</v>
      </c>
      <c r="C106" s="6" t="n">
        <v>41</v>
      </c>
      <c r="D106" s="25" t="n">
        <f aca="false">EDATE('Start Here'!$B$6,C106-1)</f>
        <v>47543</v>
      </c>
      <c r="E106" s="23" t="n">
        <f aca="false">IF(AND(OR(Nonlabor!$D$7="Both",Nonlabor!$D$7='Start Here'!$B$9),IF(Nonlabor!$E$7="Core",1,IF(Nonlabor!$E$7="AI",'Start Here'!$B$7,'Start Here'!$B$8))=1,C106&gt;=IF(Nonlabor!$E$7="Core",Nonlabor!$F$7,MAX(Nonlabor!$F$7,IF(Nonlabor!$E$7="AI",Assumptions!$C$24,Assumptions!$C$25))),C106&lt;=Nonlabor!$G$7,OR(Nonlabor!$H$7="Monthly",AND(Nonlabor!$H$7="Once",C106=IF(Nonlabor!$E$7="Core",Nonlabor!$F$7,MAX(Nonlabor!$F$7,IF(Nonlabor!$E$7="AI",Assumptions!$C$24,Assumptions!$C$25)))),AND(Nonlabor!$H$7="Annual",MOD(C106-IF(Nonlabor!$E$7="Core",Nonlabor!$F$7,MAX(Nonlabor!$F$7,IF(Nonlabor!$E$7="AI",Assumptions!$C$24,Assumptions!$C$25))),12)=0))),IF(Nonlabor!$I$7="Fixed",1,IF(Nonlabor!$I$7="Seats",ROUNDUP('Monthly Lean'!I46,0),IF(Nonlabor!$I$7="Customers",'Monthly Lean'!D46,IF(Nonlabor!$I$7="NewCustomers",'Monthly Lean'!C46,IF(Nonlabor!$I$7="StorageGB",'Monthly Lean'!G46,IF(Nonlabor!$I$7="LogGB",'Monthly Lean'!H46,IF(Nonlabor!$I$7="RequestsM",'Monthly Lean'!F46,IF(Nonlabor!$I$7="InputM",'Monthly Lean'!D46*Assumptions!$C$22/1000000,IF(Nonlabor!$I$7="OutputM",'Monthly Lean'!D46*Assumptions!$C$23/1000000,0))))))))),0)</f>
        <v>1</v>
      </c>
      <c r="F106" s="10" t="n">
        <f aca="false">Nonlabor!$J$7*(1+Assumptions!$C$9)^INT((C106-1)/12)</f>
        <v>655.6362</v>
      </c>
      <c r="G106" s="10" t="n">
        <f aca="false">E106*F106</f>
        <v>655.6362</v>
      </c>
      <c r="H106" s="10" t="n">
        <f aca="false">IF(OR(Nonlabor!$L$7="Quote required",Nonlabor!$L$7="Unverified"),G106,0)</f>
        <v>655.6362</v>
      </c>
      <c r="I106" s="10" t="n">
        <f aca="false">IF(Nonlabor!$E$7="Core",0,G106)</f>
        <v>0</v>
      </c>
      <c r="J106" s="23" t="str">
        <f aca="false">Nonlabor!$B$7</f>
        <v>INFRA</v>
      </c>
    </row>
    <row r="107" customFormat="false" ht="15" hidden="false" customHeight="false" outlineLevel="0" collapsed="false">
      <c r="A107" s="6" t="s">
        <v>72</v>
      </c>
      <c r="B107" s="6" t="s">
        <v>373</v>
      </c>
      <c r="C107" s="6" t="n">
        <v>42</v>
      </c>
      <c r="D107" s="25" t="n">
        <f aca="false">EDATE('Start Here'!$B$6,C107-1)</f>
        <v>47574</v>
      </c>
      <c r="E107" s="23" t="n">
        <f aca="false">IF(AND(OR(Nonlabor!$D$7="Both",Nonlabor!$D$7='Start Here'!$B$9),IF(Nonlabor!$E$7="Core",1,IF(Nonlabor!$E$7="AI",'Start Here'!$B$7,'Start Here'!$B$8))=1,C107&gt;=IF(Nonlabor!$E$7="Core",Nonlabor!$F$7,MAX(Nonlabor!$F$7,IF(Nonlabor!$E$7="AI",Assumptions!$C$24,Assumptions!$C$25))),C107&lt;=Nonlabor!$G$7,OR(Nonlabor!$H$7="Monthly",AND(Nonlabor!$H$7="Once",C107=IF(Nonlabor!$E$7="Core",Nonlabor!$F$7,MAX(Nonlabor!$F$7,IF(Nonlabor!$E$7="AI",Assumptions!$C$24,Assumptions!$C$25)))),AND(Nonlabor!$H$7="Annual",MOD(C107-IF(Nonlabor!$E$7="Core",Nonlabor!$F$7,MAX(Nonlabor!$F$7,IF(Nonlabor!$E$7="AI",Assumptions!$C$24,Assumptions!$C$25))),12)=0))),IF(Nonlabor!$I$7="Fixed",1,IF(Nonlabor!$I$7="Seats",ROUNDUP('Monthly Lean'!I47,0),IF(Nonlabor!$I$7="Customers",'Monthly Lean'!D47,IF(Nonlabor!$I$7="NewCustomers",'Monthly Lean'!C47,IF(Nonlabor!$I$7="StorageGB",'Monthly Lean'!G47,IF(Nonlabor!$I$7="LogGB",'Monthly Lean'!H47,IF(Nonlabor!$I$7="RequestsM",'Monthly Lean'!F47,IF(Nonlabor!$I$7="InputM",'Monthly Lean'!D47*Assumptions!$C$22/1000000,IF(Nonlabor!$I$7="OutputM",'Monthly Lean'!D47*Assumptions!$C$23/1000000,0))))))))),0)</f>
        <v>1</v>
      </c>
      <c r="F107" s="10" t="n">
        <f aca="false">Nonlabor!$J$7*(1+Assumptions!$C$9)^INT((C107-1)/12)</f>
        <v>655.6362</v>
      </c>
      <c r="G107" s="10" t="n">
        <f aca="false">E107*F107</f>
        <v>655.6362</v>
      </c>
      <c r="H107" s="10" t="n">
        <f aca="false">IF(OR(Nonlabor!$L$7="Quote required",Nonlabor!$L$7="Unverified"),G107,0)</f>
        <v>655.6362</v>
      </c>
      <c r="I107" s="10" t="n">
        <f aca="false">IF(Nonlabor!$E$7="Core",0,G107)</f>
        <v>0</v>
      </c>
      <c r="J107" s="23" t="str">
        <f aca="false">Nonlabor!$B$7</f>
        <v>INFRA</v>
      </c>
    </row>
    <row r="108" customFormat="false" ht="15" hidden="false" customHeight="false" outlineLevel="0" collapsed="false">
      <c r="A108" s="6" t="s">
        <v>72</v>
      </c>
      <c r="B108" s="6" t="s">
        <v>373</v>
      </c>
      <c r="C108" s="6" t="n">
        <v>43</v>
      </c>
      <c r="D108" s="25" t="n">
        <f aca="false">EDATE('Start Here'!$B$6,C108-1)</f>
        <v>47604</v>
      </c>
      <c r="E108" s="23" t="n">
        <f aca="false">IF(AND(OR(Nonlabor!$D$7="Both",Nonlabor!$D$7='Start Here'!$B$9),IF(Nonlabor!$E$7="Core",1,IF(Nonlabor!$E$7="AI",'Start Here'!$B$7,'Start Here'!$B$8))=1,C108&gt;=IF(Nonlabor!$E$7="Core",Nonlabor!$F$7,MAX(Nonlabor!$F$7,IF(Nonlabor!$E$7="AI",Assumptions!$C$24,Assumptions!$C$25))),C108&lt;=Nonlabor!$G$7,OR(Nonlabor!$H$7="Monthly",AND(Nonlabor!$H$7="Once",C108=IF(Nonlabor!$E$7="Core",Nonlabor!$F$7,MAX(Nonlabor!$F$7,IF(Nonlabor!$E$7="AI",Assumptions!$C$24,Assumptions!$C$25)))),AND(Nonlabor!$H$7="Annual",MOD(C108-IF(Nonlabor!$E$7="Core",Nonlabor!$F$7,MAX(Nonlabor!$F$7,IF(Nonlabor!$E$7="AI",Assumptions!$C$24,Assumptions!$C$25))),12)=0))),IF(Nonlabor!$I$7="Fixed",1,IF(Nonlabor!$I$7="Seats",ROUNDUP('Monthly Lean'!I48,0),IF(Nonlabor!$I$7="Customers",'Monthly Lean'!D48,IF(Nonlabor!$I$7="NewCustomers",'Monthly Lean'!C48,IF(Nonlabor!$I$7="StorageGB",'Monthly Lean'!G48,IF(Nonlabor!$I$7="LogGB",'Monthly Lean'!H48,IF(Nonlabor!$I$7="RequestsM",'Monthly Lean'!F48,IF(Nonlabor!$I$7="InputM",'Monthly Lean'!D48*Assumptions!$C$22/1000000,IF(Nonlabor!$I$7="OutputM",'Monthly Lean'!D48*Assumptions!$C$23/1000000,0))))))))),0)</f>
        <v>1</v>
      </c>
      <c r="F108" s="10" t="n">
        <f aca="false">Nonlabor!$J$7*(1+Assumptions!$C$9)^INT((C108-1)/12)</f>
        <v>655.6362</v>
      </c>
      <c r="G108" s="10" t="n">
        <f aca="false">E108*F108</f>
        <v>655.6362</v>
      </c>
      <c r="H108" s="10" t="n">
        <f aca="false">IF(OR(Nonlabor!$L$7="Quote required",Nonlabor!$L$7="Unverified"),G108,0)</f>
        <v>655.6362</v>
      </c>
      <c r="I108" s="10" t="n">
        <f aca="false">IF(Nonlabor!$E$7="Core",0,G108)</f>
        <v>0</v>
      </c>
      <c r="J108" s="23" t="str">
        <f aca="false">Nonlabor!$B$7</f>
        <v>INFRA</v>
      </c>
    </row>
    <row r="109" customFormat="false" ht="15" hidden="false" customHeight="false" outlineLevel="0" collapsed="false">
      <c r="A109" s="6" t="s">
        <v>72</v>
      </c>
      <c r="B109" s="6" t="s">
        <v>373</v>
      </c>
      <c r="C109" s="6" t="n">
        <v>44</v>
      </c>
      <c r="D109" s="25" t="n">
        <f aca="false">EDATE('Start Here'!$B$6,C109-1)</f>
        <v>47635</v>
      </c>
      <c r="E109" s="23" t="n">
        <f aca="false">IF(AND(OR(Nonlabor!$D$7="Both",Nonlabor!$D$7='Start Here'!$B$9),IF(Nonlabor!$E$7="Core",1,IF(Nonlabor!$E$7="AI",'Start Here'!$B$7,'Start Here'!$B$8))=1,C109&gt;=IF(Nonlabor!$E$7="Core",Nonlabor!$F$7,MAX(Nonlabor!$F$7,IF(Nonlabor!$E$7="AI",Assumptions!$C$24,Assumptions!$C$25))),C109&lt;=Nonlabor!$G$7,OR(Nonlabor!$H$7="Monthly",AND(Nonlabor!$H$7="Once",C109=IF(Nonlabor!$E$7="Core",Nonlabor!$F$7,MAX(Nonlabor!$F$7,IF(Nonlabor!$E$7="AI",Assumptions!$C$24,Assumptions!$C$25)))),AND(Nonlabor!$H$7="Annual",MOD(C109-IF(Nonlabor!$E$7="Core",Nonlabor!$F$7,MAX(Nonlabor!$F$7,IF(Nonlabor!$E$7="AI",Assumptions!$C$24,Assumptions!$C$25))),12)=0))),IF(Nonlabor!$I$7="Fixed",1,IF(Nonlabor!$I$7="Seats",ROUNDUP('Monthly Lean'!I49,0),IF(Nonlabor!$I$7="Customers",'Monthly Lean'!D49,IF(Nonlabor!$I$7="NewCustomers",'Monthly Lean'!C49,IF(Nonlabor!$I$7="StorageGB",'Monthly Lean'!G49,IF(Nonlabor!$I$7="LogGB",'Monthly Lean'!H49,IF(Nonlabor!$I$7="RequestsM",'Monthly Lean'!F49,IF(Nonlabor!$I$7="InputM",'Monthly Lean'!D49*Assumptions!$C$22/1000000,IF(Nonlabor!$I$7="OutputM",'Monthly Lean'!D49*Assumptions!$C$23/1000000,0))))))))),0)</f>
        <v>1</v>
      </c>
      <c r="F109" s="10" t="n">
        <f aca="false">Nonlabor!$J$7*(1+Assumptions!$C$9)^INT((C109-1)/12)</f>
        <v>655.6362</v>
      </c>
      <c r="G109" s="10" t="n">
        <f aca="false">E109*F109</f>
        <v>655.6362</v>
      </c>
      <c r="H109" s="10" t="n">
        <f aca="false">IF(OR(Nonlabor!$L$7="Quote required",Nonlabor!$L$7="Unverified"),G109,0)</f>
        <v>655.6362</v>
      </c>
      <c r="I109" s="10" t="n">
        <f aca="false">IF(Nonlabor!$E$7="Core",0,G109)</f>
        <v>0</v>
      </c>
      <c r="J109" s="23" t="str">
        <f aca="false">Nonlabor!$B$7</f>
        <v>INFRA</v>
      </c>
    </row>
    <row r="110" customFormat="false" ht="15" hidden="false" customHeight="false" outlineLevel="0" collapsed="false">
      <c r="A110" s="6" t="s">
        <v>72</v>
      </c>
      <c r="B110" s="6" t="s">
        <v>373</v>
      </c>
      <c r="C110" s="6" t="n">
        <v>45</v>
      </c>
      <c r="D110" s="25" t="n">
        <f aca="false">EDATE('Start Here'!$B$6,C110-1)</f>
        <v>47665</v>
      </c>
      <c r="E110" s="23" t="n">
        <f aca="false">IF(AND(OR(Nonlabor!$D$7="Both",Nonlabor!$D$7='Start Here'!$B$9),IF(Nonlabor!$E$7="Core",1,IF(Nonlabor!$E$7="AI",'Start Here'!$B$7,'Start Here'!$B$8))=1,C110&gt;=IF(Nonlabor!$E$7="Core",Nonlabor!$F$7,MAX(Nonlabor!$F$7,IF(Nonlabor!$E$7="AI",Assumptions!$C$24,Assumptions!$C$25))),C110&lt;=Nonlabor!$G$7,OR(Nonlabor!$H$7="Monthly",AND(Nonlabor!$H$7="Once",C110=IF(Nonlabor!$E$7="Core",Nonlabor!$F$7,MAX(Nonlabor!$F$7,IF(Nonlabor!$E$7="AI",Assumptions!$C$24,Assumptions!$C$25)))),AND(Nonlabor!$H$7="Annual",MOD(C110-IF(Nonlabor!$E$7="Core",Nonlabor!$F$7,MAX(Nonlabor!$F$7,IF(Nonlabor!$E$7="AI",Assumptions!$C$24,Assumptions!$C$25))),12)=0))),IF(Nonlabor!$I$7="Fixed",1,IF(Nonlabor!$I$7="Seats",ROUNDUP('Monthly Lean'!I50,0),IF(Nonlabor!$I$7="Customers",'Monthly Lean'!D50,IF(Nonlabor!$I$7="NewCustomers",'Monthly Lean'!C50,IF(Nonlabor!$I$7="StorageGB",'Monthly Lean'!G50,IF(Nonlabor!$I$7="LogGB",'Monthly Lean'!H50,IF(Nonlabor!$I$7="RequestsM",'Monthly Lean'!F50,IF(Nonlabor!$I$7="InputM",'Monthly Lean'!D50*Assumptions!$C$22/1000000,IF(Nonlabor!$I$7="OutputM",'Monthly Lean'!D50*Assumptions!$C$23/1000000,0))))))))),0)</f>
        <v>1</v>
      </c>
      <c r="F110" s="10" t="n">
        <f aca="false">Nonlabor!$J$7*(1+Assumptions!$C$9)^INT((C110-1)/12)</f>
        <v>655.6362</v>
      </c>
      <c r="G110" s="10" t="n">
        <f aca="false">E110*F110</f>
        <v>655.6362</v>
      </c>
      <c r="H110" s="10" t="n">
        <f aca="false">IF(OR(Nonlabor!$L$7="Quote required",Nonlabor!$L$7="Unverified"),G110,0)</f>
        <v>655.6362</v>
      </c>
      <c r="I110" s="10" t="n">
        <f aca="false">IF(Nonlabor!$E$7="Core",0,G110)</f>
        <v>0</v>
      </c>
      <c r="J110" s="23" t="str">
        <f aca="false">Nonlabor!$B$7</f>
        <v>INFRA</v>
      </c>
    </row>
    <row r="111" customFormat="false" ht="15" hidden="false" customHeight="false" outlineLevel="0" collapsed="false">
      <c r="A111" s="6" t="s">
        <v>72</v>
      </c>
      <c r="B111" s="6" t="s">
        <v>373</v>
      </c>
      <c r="C111" s="6" t="n">
        <v>46</v>
      </c>
      <c r="D111" s="25" t="n">
        <f aca="false">EDATE('Start Here'!$B$6,C111-1)</f>
        <v>47696</v>
      </c>
      <c r="E111" s="23" t="n">
        <f aca="false">IF(AND(OR(Nonlabor!$D$7="Both",Nonlabor!$D$7='Start Here'!$B$9),IF(Nonlabor!$E$7="Core",1,IF(Nonlabor!$E$7="AI",'Start Here'!$B$7,'Start Here'!$B$8))=1,C111&gt;=IF(Nonlabor!$E$7="Core",Nonlabor!$F$7,MAX(Nonlabor!$F$7,IF(Nonlabor!$E$7="AI",Assumptions!$C$24,Assumptions!$C$25))),C111&lt;=Nonlabor!$G$7,OR(Nonlabor!$H$7="Monthly",AND(Nonlabor!$H$7="Once",C111=IF(Nonlabor!$E$7="Core",Nonlabor!$F$7,MAX(Nonlabor!$F$7,IF(Nonlabor!$E$7="AI",Assumptions!$C$24,Assumptions!$C$25)))),AND(Nonlabor!$H$7="Annual",MOD(C111-IF(Nonlabor!$E$7="Core",Nonlabor!$F$7,MAX(Nonlabor!$F$7,IF(Nonlabor!$E$7="AI",Assumptions!$C$24,Assumptions!$C$25))),12)=0))),IF(Nonlabor!$I$7="Fixed",1,IF(Nonlabor!$I$7="Seats",ROUNDUP('Monthly Lean'!I51,0),IF(Nonlabor!$I$7="Customers",'Monthly Lean'!D51,IF(Nonlabor!$I$7="NewCustomers",'Monthly Lean'!C51,IF(Nonlabor!$I$7="StorageGB",'Monthly Lean'!G51,IF(Nonlabor!$I$7="LogGB",'Monthly Lean'!H51,IF(Nonlabor!$I$7="RequestsM",'Monthly Lean'!F51,IF(Nonlabor!$I$7="InputM",'Monthly Lean'!D51*Assumptions!$C$22/1000000,IF(Nonlabor!$I$7="OutputM",'Monthly Lean'!D51*Assumptions!$C$23/1000000,0))))))))),0)</f>
        <v>1</v>
      </c>
      <c r="F111" s="10" t="n">
        <f aca="false">Nonlabor!$J$7*(1+Assumptions!$C$9)^INT((C111-1)/12)</f>
        <v>655.6362</v>
      </c>
      <c r="G111" s="10" t="n">
        <f aca="false">E111*F111</f>
        <v>655.6362</v>
      </c>
      <c r="H111" s="10" t="n">
        <f aca="false">IF(OR(Nonlabor!$L$7="Quote required",Nonlabor!$L$7="Unverified"),G111,0)</f>
        <v>655.6362</v>
      </c>
      <c r="I111" s="10" t="n">
        <f aca="false">IF(Nonlabor!$E$7="Core",0,G111)</f>
        <v>0</v>
      </c>
      <c r="J111" s="23" t="str">
        <f aca="false">Nonlabor!$B$7</f>
        <v>INFRA</v>
      </c>
    </row>
    <row r="112" customFormat="false" ht="15" hidden="false" customHeight="false" outlineLevel="0" collapsed="false">
      <c r="A112" s="6" t="s">
        <v>72</v>
      </c>
      <c r="B112" s="6" t="s">
        <v>373</v>
      </c>
      <c r="C112" s="6" t="n">
        <v>47</v>
      </c>
      <c r="D112" s="25" t="n">
        <f aca="false">EDATE('Start Here'!$B$6,C112-1)</f>
        <v>47727</v>
      </c>
      <c r="E112" s="23" t="n">
        <f aca="false">IF(AND(OR(Nonlabor!$D$7="Both",Nonlabor!$D$7='Start Here'!$B$9),IF(Nonlabor!$E$7="Core",1,IF(Nonlabor!$E$7="AI",'Start Here'!$B$7,'Start Here'!$B$8))=1,C112&gt;=IF(Nonlabor!$E$7="Core",Nonlabor!$F$7,MAX(Nonlabor!$F$7,IF(Nonlabor!$E$7="AI",Assumptions!$C$24,Assumptions!$C$25))),C112&lt;=Nonlabor!$G$7,OR(Nonlabor!$H$7="Monthly",AND(Nonlabor!$H$7="Once",C112=IF(Nonlabor!$E$7="Core",Nonlabor!$F$7,MAX(Nonlabor!$F$7,IF(Nonlabor!$E$7="AI",Assumptions!$C$24,Assumptions!$C$25)))),AND(Nonlabor!$H$7="Annual",MOD(C112-IF(Nonlabor!$E$7="Core",Nonlabor!$F$7,MAX(Nonlabor!$F$7,IF(Nonlabor!$E$7="AI",Assumptions!$C$24,Assumptions!$C$25))),12)=0))),IF(Nonlabor!$I$7="Fixed",1,IF(Nonlabor!$I$7="Seats",ROUNDUP('Monthly Lean'!I52,0),IF(Nonlabor!$I$7="Customers",'Monthly Lean'!D52,IF(Nonlabor!$I$7="NewCustomers",'Monthly Lean'!C52,IF(Nonlabor!$I$7="StorageGB",'Monthly Lean'!G52,IF(Nonlabor!$I$7="LogGB",'Monthly Lean'!H52,IF(Nonlabor!$I$7="RequestsM",'Monthly Lean'!F52,IF(Nonlabor!$I$7="InputM",'Monthly Lean'!D52*Assumptions!$C$22/1000000,IF(Nonlabor!$I$7="OutputM",'Monthly Lean'!D52*Assumptions!$C$23/1000000,0))))))))),0)</f>
        <v>1</v>
      </c>
      <c r="F112" s="10" t="n">
        <f aca="false">Nonlabor!$J$7*(1+Assumptions!$C$9)^INT((C112-1)/12)</f>
        <v>655.6362</v>
      </c>
      <c r="G112" s="10" t="n">
        <f aca="false">E112*F112</f>
        <v>655.6362</v>
      </c>
      <c r="H112" s="10" t="n">
        <f aca="false">IF(OR(Nonlabor!$L$7="Quote required",Nonlabor!$L$7="Unverified"),G112,0)</f>
        <v>655.6362</v>
      </c>
      <c r="I112" s="10" t="n">
        <f aca="false">IF(Nonlabor!$E$7="Core",0,G112)</f>
        <v>0</v>
      </c>
      <c r="J112" s="23" t="str">
        <f aca="false">Nonlabor!$B$7</f>
        <v>INFRA</v>
      </c>
    </row>
    <row r="113" customFormat="false" ht="15" hidden="false" customHeight="false" outlineLevel="0" collapsed="false">
      <c r="A113" s="6" t="s">
        <v>72</v>
      </c>
      <c r="B113" s="6" t="s">
        <v>373</v>
      </c>
      <c r="C113" s="6" t="n">
        <v>48</v>
      </c>
      <c r="D113" s="25" t="n">
        <f aca="false">EDATE('Start Here'!$B$6,C113-1)</f>
        <v>47757</v>
      </c>
      <c r="E113" s="23" t="n">
        <f aca="false">IF(AND(OR(Nonlabor!$D$7="Both",Nonlabor!$D$7='Start Here'!$B$9),IF(Nonlabor!$E$7="Core",1,IF(Nonlabor!$E$7="AI",'Start Here'!$B$7,'Start Here'!$B$8))=1,C113&gt;=IF(Nonlabor!$E$7="Core",Nonlabor!$F$7,MAX(Nonlabor!$F$7,IF(Nonlabor!$E$7="AI",Assumptions!$C$24,Assumptions!$C$25))),C113&lt;=Nonlabor!$G$7,OR(Nonlabor!$H$7="Monthly",AND(Nonlabor!$H$7="Once",C113=IF(Nonlabor!$E$7="Core",Nonlabor!$F$7,MAX(Nonlabor!$F$7,IF(Nonlabor!$E$7="AI",Assumptions!$C$24,Assumptions!$C$25)))),AND(Nonlabor!$H$7="Annual",MOD(C113-IF(Nonlabor!$E$7="Core",Nonlabor!$F$7,MAX(Nonlabor!$F$7,IF(Nonlabor!$E$7="AI",Assumptions!$C$24,Assumptions!$C$25))),12)=0))),IF(Nonlabor!$I$7="Fixed",1,IF(Nonlabor!$I$7="Seats",ROUNDUP('Monthly Lean'!I53,0),IF(Nonlabor!$I$7="Customers",'Monthly Lean'!D53,IF(Nonlabor!$I$7="NewCustomers",'Monthly Lean'!C53,IF(Nonlabor!$I$7="StorageGB",'Monthly Lean'!G53,IF(Nonlabor!$I$7="LogGB",'Monthly Lean'!H53,IF(Nonlabor!$I$7="RequestsM",'Monthly Lean'!F53,IF(Nonlabor!$I$7="InputM",'Monthly Lean'!D53*Assumptions!$C$22/1000000,IF(Nonlabor!$I$7="OutputM",'Monthly Lean'!D53*Assumptions!$C$23/1000000,0))))))))),0)</f>
        <v>1</v>
      </c>
      <c r="F113" s="10" t="n">
        <f aca="false">Nonlabor!$J$7*(1+Assumptions!$C$9)^INT((C113-1)/12)</f>
        <v>655.6362</v>
      </c>
      <c r="G113" s="10" t="n">
        <f aca="false">E113*F113</f>
        <v>655.6362</v>
      </c>
      <c r="H113" s="10" t="n">
        <f aca="false">IF(OR(Nonlabor!$L$7="Quote required",Nonlabor!$L$7="Unverified"),G113,0)</f>
        <v>655.6362</v>
      </c>
      <c r="I113" s="10" t="n">
        <f aca="false">IF(Nonlabor!$E$7="Core",0,G113)</f>
        <v>0</v>
      </c>
      <c r="J113" s="23" t="str">
        <f aca="false">Nonlabor!$B$7</f>
        <v>INFRA</v>
      </c>
    </row>
    <row r="114" customFormat="false" ht="15" hidden="false" customHeight="false" outlineLevel="0" collapsed="false">
      <c r="A114" s="6" t="s">
        <v>72</v>
      </c>
      <c r="B114" s="6" t="s">
        <v>373</v>
      </c>
      <c r="C114" s="6" t="n">
        <v>49</v>
      </c>
      <c r="D114" s="25" t="n">
        <f aca="false">EDATE('Start Here'!$B$6,C114-1)</f>
        <v>47788</v>
      </c>
      <c r="E114" s="23" t="n">
        <f aca="false">IF(AND(OR(Nonlabor!$D$7="Both",Nonlabor!$D$7='Start Here'!$B$9),IF(Nonlabor!$E$7="Core",1,IF(Nonlabor!$E$7="AI",'Start Here'!$B$7,'Start Here'!$B$8))=1,C114&gt;=IF(Nonlabor!$E$7="Core",Nonlabor!$F$7,MAX(Nonlabor!$F$7,IF(Nonlabor!$E$7="AI",Assumptions!$C$24,Assumptions!$C$25))),C114&lt;=Nonlabor!$G$7,OR(Nonlabor!$H$7="Monthly",AND(Nonlabor!$H$7="Once",C114=IF(Nonlabor!$E$7="Core",Nonlabor!$F$7,MAX(Nonlabor!$F$7,IF(Nonlabor!$E$7="AI",Assumptions!$C$24,Assumptions!$C$25)))),AND(Nonlabor!$H$7="Annual",MOD(C114-IF(Nonlabor!$E$7="Core",Nonlabor!$F$7,MAX(Nonlabor!$F$7,IF(Nonlabor!$E$7="AI",Assumptions!$C$24,Assumptions!$C$25))),12)=0))),IF(Nonlabor!$I$7="Fixed",1,IF(Nonlabor!$I$7="Seats",ROUNDUP('Monthly Lean'!I54,0),IF(Nonlabor!$I$7="Customers",'Monthly Lean'!D54,IF(Nonlabor!$I$7="NewCustomers",'Monthly Lean'!C54,IF(Nonlabor!$I$7="StorageGB",'Monthly Lean'!G54,IF(Nonlabor!$I$7="LogGB",'Monthly Lean'!H54,IF(Nonlabor!$I$7="RequestsM",'Monthly Lean'!F54,IF(Nonlabor!$I$7="InputM",'Monthly Lean'!D54*Assumptions!$C$22/1000000,IF(Nonlabor!$I$7="OutputM",'Monthly Lean'!D54*Assumptions!$C$23/1000000,0))))))))),0)</f>
        <v>1</v>
      </c>
      <c r="F114" s="10" t="n">
        <f aca="false">Nonlabor!$J$7*(1+Assumptions!$C$9)^INT((C114-1)/12)</f>
        <v>675.305286</v>
      </c>
      <c r="G114" s="10" t="n">
        <f aca="false">E114*F114</f>
        <v>675.305286</v>
      </c>
      <c r="H114" s="10" t="n">
        <f aca="false">IF(OR(Nonlabor!$L$7="Quote required",Nonlabor!$L$7="Unverified"),G114,0)</f>
        <v>675.305286</v>
      </c>
      <c r="I114" s="10" t="n">
        <f aca="false">IF(Nonlabor!$E$7="Core",0,G114)</f>
        <v>0</v>
      </c>
      <c r="J114" s="23" t="str">
        <f aca="false">Nonlabor!$B$7</f>
        <v>INFRA</v>
      </c>
    </row>
    <row r="115" customFormat="false" ht="15" hidden="false" customHeight="false" outlineLevel="0" collapsed="false">
      <c r="A115" s="6" t="s">
        <v>72</v>
      </c>
      <c r="B115" s="6" t="s">
        <v>373</v>
      </c>
      <c r="C115" s="6" t="n">
        <v>50</v>
      </c>
      <c r="D115" s="25" t="n">
        <f aca="false">EDATE('Start Here'!$B$6,C115-1)</f>
        <v>47818</v>
      </c>
      <c r="E115" s="23" t="n">
        <f aca="false">IF(AND(OR(Nonlabor!$D$7="Both",Nonlabor!$D$7='Start Here'!$B$9),IF(Nonlabor!$E$7="Core",1,IF(Nonlabor!$E$7="AI",'Start Here'!$B$7,'Start Here'!$B$8))=1,C115&gt;=IF(Nonlabor!$E$7="Core",Nonlabor!$F$7,MAX(Nonlabor!$F$7,IF(Nonlabor!$E$7="AI",Assumptions!$C$24,Assumptions!$C$25))),C115&lt;=Nonlabor!$G$7,OR(Nonlabor!$H$7="Monthly",AND(Nonlabor!$H$7="Once",C115=IF(Nonlabor!$E$7="Core",Nonlabor!$F$7,MAX(Nonlabor!$F$7,IF(Nonlabor!$E$7="AI",Assumptions!$C$24,Assumptions!$C$25)))),AND(Nonlabor!$H$7="Annual",MOD(C115-IF(Nonlabor!$E$7="Core",Nonlabor!$F$7,MAX(Nonlabor!$F$7,IF(Nonlabor!$E$7="AI",Assumptions!$C$24,Assumptions!$C$25))),12)=0))),IF(Nonlabor!$I$7="Fixed",1,IF(Nonlabor!$I$7="Seats",ROUNDUP('Monthly Lean'!I55,0),IF(Nonlabor!$I$7="Customers",'Monthly Lean'!D55,IF(Nonlabor!$I$7="NewCustomers",'Monthly Lean'!C55,IF(Nonlabor!$I$7="StorageGB",'Monthly Lean'!G55,IF(Nonlabor!$I$7="LogGB",'Monthly Lean'!H55,IF(Nonlabor!$I$7="RequestsM",'Monthly Lean'!F55,IF(Nonlabor!$I$7="InputM",'Monthly Lean'!D55*Assumptions!$C$22/1000000,IF(Nonlabor!$I$7="OutputM",'Monthly Lean'!D55*Assumptions!$C$23/1000000,0))))))))),0)</f>
        <v>1</v>
      </c>
      <c r="F115" s="10" t="n">
        <f aca="false">Nonlabor!$J$7*(1+Assumptions!$C$9)^INT((C115-1)/12)</f>
        <v>675.305286</v>
      </c>
      <c r="G115" s="10" t="n">
        <f aca="false">E115*F115</f>
        <v>675.305286</v>
      </c>
      <c r="H115" s="10" t="n">
        <f aca="false">IF(OR(Nonlabor!$L$7="Quote required",Nonlabor!$L$7="Unverified"),G115,0)</f>
        <v>675.305286</v>
      </c>
      <c r="I115" s="10" t="n">
        <f aca="false">IF(Nonlabor!$E$7="Core",0,G115)</f>
        <v>0</v>
      </c>
      <c r="J115" s="23" t="str">
        <f aca="false">Nonlabor!$B$7</f>
        <v>INFRA</v>
      </c>
    </row>
    <row r="116" customFormat="false" ht="15" hidden="false" customHeight="false" outlineLevel="0" collapsed="false">
      <c r="A116" s="6" t="s">
        <v>72</v>
      </c>
      <c r="B116" s="6" t="s">
        <v>373</v>
      </c>
      <c r="C116" s="6" t="n">
        <v>51</v>
      </c>
      <c r="D116" s="25" t="n">
        <f aca="false">EDATE('Start Here'!$B$6,C116-1)</f>
        <v>47849</v>
      </c>
      <c r="E116" s="23" t="n">
        <f aca="false">IF(AND(OR(Nonlabor!$D$7="Both",Nonlabor!$D$7='Start Here'!$B$9),IF(Nonlabor!$E$7="Core",1,IF(Nonlabor!$E$7="AI",'Start Here'!$B$7,'Start Here'!$B$8))=1,C116&gt;=IF(Nonlabor!$E$7="Core",Nonlabor!$F$7,MAX(Nonlabor!$F$7,IF(Nonlabor!$E$7="AI",Assumptions!$C$24,Assumptions!$C$25))),C116&lt;=Nonlabor!$G$7,OR(Nonlabor!$H$7="Monthly",AND(Nonlabor!$H$7="Once",C116=IF(Nonlabor!$E$7="Core",Nonlabor!$F$7,MAX(Nonlabor!$F$7,IF(Nonlabor!$E$7="AI",Assumptions!$C$24,Assumptions!$C$25)))),AND(Nonlabor!$H$7="Annual",MOD(C116-IF(Nonlabor!$E$7="Core",Nonlabor!$F$7,MAX(Nonlabor!$F$7,IF(Nonlabor!$E$7="AI",Assumptions!$C$24,Assumptions!$C$25))),12)=0))),IF(Nonlabor!$I$7="Fixed",1,IF(Nonlabor!$I$7="Seats",ROUNDUP('Monthly Lean'!I56,0),IF(Nonlabor!$I$7="Customers",'Monthly Lean'!D56,IF(Nonlabor!$I$7="NewCustomers",'Monthly Lean'!C56,IF(Nonlabor!$I$7="StorageGB",'Monthly Lean'!G56,IF(Nonlabor!$I$7="LogGB",'Monthly Lean'!H56,IF(Nonlabor!$I$7="RequestsM",'Monthly Lean'!F56,IF(Nonlabor!$I$7="InputM",'Monthly Lean'!D56*Assumptions!$C$22/1000000,IF(Nonlabor!$I$7="OutputM",'Monthly Lean'!D56*Assumptions!$C$23/1000000,0))))))))),0)</f>
        <v>1</v>
      </c>
      <c r="F116" s="10" t="n">
        <f aca="false">Nonlabor!$J$7*(1+Assumptions!$C$9)^INT((C116-1)/12)</f>
        <v>675.305286</v>
      </c>
      <c r="G116" s="10" t="n">
        <f aca="false">E116*F116</f>
        <v>675.305286</v>
      </c>
      <c r="H116" s="10" t="n">
        <f aca="false">IF(OR(Nonlabor!$L$7="Quote required",Nonlabor!$L$7="Unverified"),G116,0)</f>
        <v>675.305286</v>
      </c>
      <c r="I116" s="10" t="n">
        <f aca="false">IF(Nonlabor!$E$7="Core",0,G116)</f>
        <v>0</v>
      </c>
      <c r="J116" s="23" t="str">
        <f aca="false">Nonlabor!$B$7</f>
        <v>INFRA</v>
      </c>
    </row>
    <row r="117" customFormat="false" ht="15" hidden="false" customHeight="false" outlineLevel="0" collapsed="false">
      <c r="A117" s="6" t="s">
        <v>72</v>
      </c>
      <c r="B117" s="6" t="s">
        <v>373</v>
      </c>
      <c r="C117" s="6" t="n">
        <v>52</v>
      </c>
      <c r="D117" s="25" t="n">
        <f aca="false">EDATE('Start Here'!$B$6,C117-1)</f>
        <v>47880</v>
      </c>
      <c r="E117" s="23" t="n">
        <f aca="false">IF(AND(OR(Nonlabor!$D$7="Both",Nonlabor!$D$7='Start Here'!$B$9),IF(Nonlabor!$E$7="Core",1,IF(Nonlabor!$E$7="AI",'Start Here'!$B$7,'Start Here'!$B$8))=1,C117&gt;=IF(Nonlabor!$E$7="Core",Nonlabor!$F$7,MAX(Nonlabor!$F$7,IF(Nonlabor!$E$7="AI",Assumptions!$C$24,Assumptions!$C$25))),C117&lt;=Nonlabor!$G$7,OR(Nonlabor!$H$7="Monthly",AND(Nonlabor!$H$7="Once",C117=IF(Nonlabor!$E$7="Core",Nonlabor!$F$7,MAX(Nonlabor!$F$7,IF(Nonlabor!$E$7="AI",Assumptions!$C$24,Assumptions!$C$25)))),AND(Nonlabor!$H$7="Annual",MOD(C117-IF(Nonlabor!$E$7="Core",Nonlabor!$F$7,MAX(Nonlabor!$F$7,IF(Nonlabor!$E$7="AI",Assumptions!$C$24,Assumptions!$C$25))),12)=0))),IF(Nonlabor!$I$7="Fixed",1,IF(Nonlabor!$I$7="Seats",ROUNDUP('Monthly Lean'!I57,0),IF(Nonlabor!$I$7="Customers",'Monthly Lean'!D57,IF(Nonlabor!$I$7="NewCustomers",'Monthly Lean'!C57,IF(Nonlabor!$I$7="StorageGB",'Monthly Lean'!G57,IF(Nonlabor!$I$7="LogGB",'Monthly Lean'!H57,IF(Nonlabor!$I$7="RequestsM",'Monthly Lean'!F57,IF(Nonlabor!$I$7="InputM",'Monthly Lean'!D57*Assumptions!$C$22/1000000,IF(Nonlabor!$I$7="OutputM",'Monthly Lean'!D57*Assumptions!$C$23/1000000,0))))))))),0)</f>
        <v>1</v>
      </c>
      <c r="F117" s="10" t="n">
        <f aca="false">Nonlabor!$J$7*(1+Assumptions!$C$9)^INT((C117-1)/12)</f>
        <v>675.305286</v>
      </c>
      <c r="G117" s="10" t="n">
        <f aca="false">E117*F117</f>
        <v>675.305286</v>
      </c>
      <c r="H117" s="10" t="n">
        <f aca="false">IF(OR(Nonlabor!$L$7="Quote required",Nonlabor!$L$7="Unverified"),G117,0)</f>
        <v>675.305286</v>
      </c>
      <c r="I117" s="10" t="n">
        <f aca="false">IF(Nonlabor!$E$7="Core",0,G117)</f>
        <v>0</v>
      </c>
      <c r="J117" s="23" t="str">
        <f aca="false">Nonlabor!$B$7</f>
        <v>INFRA</v>
      </c>
    </row>
    <row r="118" customFormat="false" ht="15" hidden="false" customHeight="false" outlineLevel="0" collapsed="false">
      <c r="A118" s="6" t="s">
        <v>72</v>
      </c>
      <c r="B118" s="6" t="s">
        <v>373</v>
      </c>
      <c r="C118" s="6" t="n">
        <v>53</v>
      </c>
      <c r="D118" s="25" t="n">
        <f aca="false">EDATE('Start Here'!$B$6,C118-1)</f>
        <v>47908</v>
      </c>
      <c r="E118" s="23" t="n">
        <f aca="false">IF(AND(OR(Nonlabor!$D$7="Both",Nonlabor!$D$7='Start Here'!$B$9),IF(Nonlabor!$E$7="Core",1,IF(Nonlabor!$E$7="AI",'Start Here'!$B$7,'Start Here'!$B$8))=1,C118&gt;=IF(Nonlabor!$E$7="Core",Nonlabor!$F$7,MAX(Nonlabor!$F$7,IF(Nonlabor!$E$7="AI",Assumptions!$C$24,Assumptions!$C$25))),C118&lt;=Nonlabor!$G$7,OR(Nonlabor!$H$7="Monthly",AND(Nonlabor!$H$7="Once",C118=IF(Nonlabor!$E$7="Core",Nonlabor!$F$7,MAX(Nonlabor!$F$7,IF(Nonlabor!$E$7="AI",Assumptions!$C$24,Assumptions!$C$25)))),AND(Nonlabor!$H$7="Annual",MOD(C118-IF(Nonlabor!$E$7="Core",Nonlabor!$F$7,MAX(Nonlabor!$F$7,IF(Nonlabor!$E$7="AI",Assumptions!$C$24,Assumptions!$C$25))),12)=0))),IF(Nonlabor!$I$7="Fixed",1,IF(Nonlabor!$I$7="Seats",ROUNDUP('Monthly Lean'!I58,0),IF(Nonlabor!$I$7="Customers",'Monthly Lean'!D58,IF(Nonlabor!$I$7="NewCustomers",'Monthly Lean'!C58,IF(Nonlabor!$I$7="StorageGB",'Monthly Lean'!G58,IF(Nonlabor!$I$7="LogGB",'Monthly Lean'!H58,IF(Nonlabor!$I$7="RequestsM",'Monthly Lean'!F58,IF(Nonlabor!$I$7="InputM",'Monthly Lean'!D58*Assumptions!$C$22/1000000,IF(Nonlabor!$I$7="OutputM",'Monthly Lean'!D58*Assumptions!$C$23/1000000,0))))))))),0)</f>
        <v>1</v>
      </c>
      <c r="F118" s="10" t="n">
        <f aca="false">Nonlabor!$J$7*(1+Assumptions!$C$9)^INT((C118-1)/12)</f>
        <v>675.305286</v>
      </c>
      <c r="G118" s="10" t="n">
        <f aca="false">E118*F118</f>
        <v>675.305286</v>
      </c>
      <c r="H118" s="10" t="n">
        <f aca="false">IF(OR(Nonlabor!$L$7="Quote required",Nonlabor!$L$7="Unverified"),G118,0)</f>
        <v>675.305286</v>
      </c>
      <c r="I118" s="10" t="n">
        <f aca="false">IF(Nonlabor!$E$7="Core",0,G118)</f>
        <v>0</v>
      </c>
      <c r="J118" s="23" t="str">
        <f aca="false">Nonlabor!$B$7</f>
        <v>INFRA</v>
      </c>
    </row>
    <row r="119" customFormat="false" ht="15" hidden="false" customHeight="false" outlineLevel="0" collapsed="false">
      <c r="A119" s="6" t="s">
        <v>72</v>
      </c>
      <c r="B119" s="6" t="s">
        <v>373</v>
      </c>
      <c r="C119" s="6" t="n">
        <v>54</v>
      </c>
      <c r="D119" s="25" t="n">
        <f aca="false">EDATE('Start Here'!$B$6,C119-1)</f>
        <v>47939</v>
      </c>
      <c r="E119" s="23" t="n">
        <f aca="false">IF(AND(OR(Nonlabor!$D$7="Both",Nonlabor!$D$7='Start Here'!$B$9),IF(Nonlabor!$E$7="Core",1,IF(Nonlabor!$E$7="AI",'Start Here'!$B$7,'Start Here'!$B$8))=1,C119&gt;=IF(Nonlabor!$E$7="Core",Nonlabor!$F$7,MAX(Nonlabor!$F$7,IF(Nonlabor!$E$7="AI",Assumptions!$C$24,Assumptions!$C$25))),C119&lt;=Nonlabor!$G$7,OR(Nonlabor!$H$7="Monthly",AND(Nonlabor!$H$7="Once",C119=IF(Nonlabor!$E$7="Core",Nonlabor!$F$7,MAX(Nonlabor!$F$7,IF(Nonlabor!$E$7="AI",Assumptions!$C$24,Assumptions!$C$25)))),AND(Nonlabor!$H$7="Annual",MOD(C119-IF(Nonlabor!$E$7="Core",Nonlabor!$F$7,MAX(Nonlabor!$F$7,IF(Nonlabor!$E$7="AI",Assumptions!$C$24,Assumptions!$C$25))),12)=0))),IF(Nonlabor!$I$7="Fixed",1,IF(Nonlabor!$I$7="Seats",ROUNDUP('Monthly Lean'!I59,0),IF(Nonlabor!$I$7="Customers",'Monthly Lean'!D59,IF(Nonlabor!$I$7="NewCustomers",'Monthly Lean'!C59,IF(Nonlabor!$I$7="StorageGB",'Monthly Lean'!G59,IF(Nonlabor!$I$7="LogGB",'Monthly Lean'!H59,IF(Nonlabor!$I$7="RequestsM",'Monthly Lean'!F59,IF(Nonlabor!$I$7="InputM",'Monthly Lean'!D59*Assumptions!$C$22/1000000,IF(Nonlabor!$I$7="OutputM",'Monthly Lean'!D59*Assumptions!$C$23/1000000,0))))))))),0)</f>
        <v>1</v>
      </c>
      <c r="F119" s="10" t="n">
        <f aca="false">Nonlabor!$J$7*(1+Assumptions!$C$9)^INT((C119-1)/12)</f>
        <v>675.305286</v>
      </c>
      <c r="G119" s="10" t="n">
        <f aca="false">E119*F119</f>
        <v>675.305286</v>
      </c>
      <c r="H119" s="10" t="n">
        <f aca="false">IF(OR(Nonlabor!$L$7="Quote required",Nonlabor!$L$7="Unverified"),G119,0)</f>
        <v>675.305286</v>
      </c>
      <c r="I119" s="10" t="n">
        <f aca="false">IF(Nonlabor!$E$7="Core",0,G119)</f>
        <v>0</v>
      </c>
      <c r="J119" s="23" t="str">
        <f aca="false">Nonlabor!$B$7</f>
        <v>INFRA</v>
      </c>
    </row>
    <row r="120" customFormat="false" ht="15" hidden="false" customHeight="false" outlineLevel="0" collapsed="false">
      <c r="A120" s="6" t="s">
        <v>72</v>
      </c>
      <c r="B120" s="6" t="s">
        <v>373</v>
      </c>
      <c r="C120" s="6" t="n">
        <v>55</v>
      </c>
      <c r="D120" s="25" t="n">
        <f aca="false">EDATE('Start Here'!$B$6,C120-1)</f>
        <v>47969</v>
      </c>
      <c r="E120" s="23" t="n">
        <f aca="false">IF(AND(OR(Nonlabor!$D$7="Both",Nonlabor!$D$7='Start Here'!$B$9),IF(Nonlabor!$E$7="Core",1,IF(Nonlabor!$E$7="AI",'Start Here'!$B$7,'Start Here'!$B$8))=1,C120&gt;=IF(Nonlabor!$E$7="Core",Nonlabor!$F$7,MAX(Nonlabor!$F$7,IF(Nonlabor!$E$7="AI",Assumptions!$C$24,Assumptions!$C$25))),C120&lt;=Nonlabor!$G$7,OR(Nonlabor!$H$7="Monthly",AND(Nonlabor!$H$7="Once",C120=IF(Nonlabor!$E$7="Core",Nonlabor!$F$7,MAX(Nonlabor!$F$7,IF(Nonlabor!$E$7="AI",Assumptions!$C$24,Assumptions!$C$25)))),AND(Nonlabor!$H$7="Annual",MOD(C120-IF(Nonlabor!$E$7="Core",Nonlabor!$F$7,MAX(Nonlabor!$F$7,IF(Nonlabor!$E$7="AI",Assumptions!$C$24,Assumptions!$C$25))),12)=0))),IF(Nonlabor!$I$7="Fixed",1,IF(Nonlabor!$I$7="Seats",ROUNDUP('Monthly Lean'!I60,0),IF(Nonlabor!$I$7="Customers",'Monthly Lean'!D60,IF(Nonlabor!$I$7="NewCustomers",'Monthly Lean'!C60,IF(Nonlabor!$I$7="StorageGB",'Monthly Lean'!G60,IF(Nonlabor!$I$7="LogGB",'Monthly Lean'!H60,IF(Nonlabor!$I$7="RequestsM",'Monthly Lean'!F60,IF(Nonlabor!$I$7="InputM",'Monthly Lean'!D60*Assumptions!$C$22/1000000,IF(Nonlabor!$I$7="OutputM",'Monthly Lean'!D60*Assumptions!$C$23/1000000,0))))))))),0)</f>
        <v>1</v>
      </c>
      <c r="F120" s="10" t="n">
        <f aca="false">Nonlabor!$J$7*(1+Assumptions!$C$9)^INT((C120-1)/12)</f>
        <v>675.305286</v>
      </c>
      <c r="G120" s="10" t="n">
        <f aca="false">E120*F120</f>
        <v>675.305286</v>
      </c>
      <c r="H120" s="10" t="n">
        <f aca="false">IF(OR(Nonlabor!$L$7="Quote required",Nonlabor!$L$7="Unverified"),G120,0)</f>
        <v>675.305286</v>
      </c>
      <c r="I120" s="10" t="n">
        <f aca="false">IF(Nonlabor!$E$7="Core",0,G120)</f>
        <v>0</v>
      </c>
      <c r="J120" s="23" t="str">
        <f aca="false">Nonlabor!$B$7</f>
        <v>INFRA</v>
      </c>
    </row>
    <row r="121" customFormat="false" ht="15" hidden="false" customHeight="false" outlineLevel="0" collapsed="false">
      <c r="A121" s="6" t="s">
        <v>72</v>
      </c>
      <c r="B121" s="6" t="s">
        <v>373</v>
      </c>
      <c r="C121" s="6" t="n">
        <v>56</v>
      </c>
      <c r="D121" s="25" t="n">
        <f aca="false">EDATE('Start Here'!$B$6,C121-1)</f>
        <v>48000</v>
      </c>
      <c r="E121" s="23" t="n">
        <f aca="false">IF(AND(OR(Nonlabor!$D$7="Both",Nonlabor!$D$7='Start Here'!$B$9),IF(Nonlabor!$E$7="Core",1,IF(Nonlabor!$E$7="AI",'Start Here'!$B$7,'Start Here'!$B$8))=1,C121&gt;=IF(Nonlabor!$E$7="Core",Nonlabor!$F$7,MAX(Nonlabor!$F$7,IF(Nonlabor!$E$7="AI",Assumptions!$C$24,Assumptions!$C$25))),C121&lt;=Nonlabor!$G$7,OR(Nonlabor!$H$7="Monthly",AND(Nonlabor!$H$7="Once",C121=IF(Nonlabor!$E$7="Core",Nonlabor!$F$7,MAX(Nonlabor!$F$7,IF(Nonlabor!$E$7="AI",Assumptions!$C$24,Assumptions!$C$25)))),AND(Nonlabor!$H$7="Annual",MOD(C121-IF(Nonlabor!$E$7="Core",Nonlabor!$F$7,MAX(Nonlabor!$F$7,IF(Nonlabor!$E$7="AI",Assumptions!$C$24,Assumptions!$C$25))),12)=0))),IF(Nonlabor!$I$7="Fixed",1,IF(Nonlabor!$I$7="Seats",ROUNDUP('Monthly Lean'!I61,0),IF(Nonlabor!$I$7="Customers",'Monthly Lean'!D61,IF(Nonlabor!$I$7="NewCustomers",'Monthly Lean'!C61,IF(Nonlabor!$I$7="StorageGB",'Monthly Lean'!G61,IF(Nonlabor!$I$7="LogGB",'Monthly Lean'!H61,IF(Nonlabor!$I$7="RequestsM",'Monthly Lean'!F61,IF(Nonlabor!$I$7="InputM",'Monthly Lean'!D61*Assumptions!$C$22/1000000,IF(Nonlabor!$I$7="OutputM",'Monthly Lean'!D61*Assumptions!$C$23/1000000,0))))))))),0)</f>
        <v>1</v>
      </c>
      <c r="F121" s="10" t="n">
        <f aca="false">Nonlabor!$J$7*(1+Assumptions!$C$9)^INT((C121-1)/12)</f>
        <v>675.305286</v>
      </c>
      <c r="G121" s="10" t="n">
        <f aca="false">E121*F121</f>
        <v>675.305286</v>
      </c>
      <c r="H121" s="10" t="n">
        <f aca="false">IF(OR(Nonlabor!$L$7="Quote required",Nonlabor!$L$7="Unverified"),G121,0)</f>
        <v>675.305286</v>
      </c>
      <c r="I121" s="10" t="n">
        <f aca="false">IF(Nonlabor!$E$7="Core",0,G121)</f>
        <v>0</v>
      </c>
      <c r="J121" s="23" t="str">
        <f aca="false">Nonlabor!$B$7</f>
        <v>INFRA</v>
      </c>
    </row>
    <row r="122" customFormat="false" ht="15" hidden="false" customHeight="false" outlineLevel="0" collapsed="false">
      <c r="A122" s="6" t="s">
        <v>72</v>
      </c>
      <c r="B122" s="6" t="s">
        <v>373</v>
      </c>
      <c r="C122" s="6" t="n">
        <v>57</v>
      </c>
      <c r="D122" s="25" t="n">
        <f aca="false">EDATE('Start Here'!$B$6,C122-1)</f>
        <v>48030</v>
      </c>
      <c r="E122" s="23" t="n">
        <f aca="false">IF(AND(OR(Nonlabor!$D$7="Both",Nonlabor!$D$7='Start Here'!$B$9),IF(Nonlabor!$E$7="Core",1,IF(Nonlabor!$E$7="AI",'Start Here'!$B$7,'Start Here'!$B$8))=1,C122&gt;=IF(Nonlabor!$E$7="Core",Nonlabor!$F$7,MAX(Nonlabor!$F$7,IF(Nonlabor!$E$7="AI",Assumptions!$C$24,Assumptions!$C$25))),C122&lt;=Nonlabor!$G$7,OR(Nonlabor!$H$7="Monthly",AND(Nonlabor!$H$7="Once",C122=IF(Nonlabor!$E$7="Core",Nonlabor!$F$7,MAX(Nonlabor!$F$7,IF(Nonlabor!$E$7="AI",Assumptions!$C$24,Assumptions!$C$25)))),AND(Nonlabor!$H$7="Annual",MOD(C122-IF(Nonlabor!$E$7="Core",Nonlabor!$F$7,MAX(Nonlabor!$F$7,IF(Nonlabor!$E$7="AI",Assumptions!$C$24,Assumptions!$C$25))),12)=0))),IF(Nonlabor!$I$7="Fixed",1,IF(Nonlabor!$I$7="Seats",ROUNDUP('Monthly Lean'!I62,0),IF(Nonlabor!$I$7="Customers",'Monthly Lean'!D62,IF(Nonlabor!$I$7="NewCustomers",'Monthly Lean'!C62,IF(Nonlabor!$I$7="StorageGB",'Monthly Lean'!G62,IF(Nonlabor!$I$7="LogGB",'Monthly Lean'!H62,IF(Nonlabor!$I$7="RequestsM",'Monthly Lean'!F62,IF(Nonlabor!$I$7="InputM",'Monthly Lean'!D62*Assumptions!$C$22/1000000,IF(Nonlabor!$I$7="OutputM",'Monthly Lean'!D62*Assumptions!$C$23/1000000,0))))))))),0)</f>
        <v>1</v>
      </c>
      <c r="F122" s="10" t="n">
        <f aca="false">Nonlabor!$J$7*(1+Assumptions!$C$9)^INT((C122-1)/12)</f>
        <v>675.305286</v>
      </c>
      <c r="G122" s="10" t="n">
        <f aca="false">E122*F122</f>
        <v>675.305286</v>
      </c>
      <c r="H122" s="10" t="n">
        <f aca="false">IF(OR(Nonlabor!$L$7="Quote required",Nonlabor!$L$7="Unverified"),G122,0)</f>
        <v>675.305286</v>
      </c>
      <c r="I122" s="10" t="n">
        <f aca="false">IF(Nonlabor!$E$7="Core",0,G122)</f>
        <v>0</v>
      </c>
      <c r="J122" s="23" t="str">
        <f aca="false">Nonlabor!$B$7</f>
        <v>INFRA</v>
      </c>
    </row>
    <row r="123" customFormat="false" ht="15" hidden="false" customHeight="false" outlineLevel="0" collapsed="false">
      <c r="A123" s="6" t="s">
        <v>72</v>
      </c>
      <c r="B123" s="6" t="s">
        <v>373</v>
      </c>
      <c r="C123" s="6" t="n">
        <v>58</v>
      </c>
      <c r="D123" s="25" t="n">
        <f aca="false">EDATE('Start Here'!$B$6,C123-1)</f>
        <v>48061</v>
      </c>
      <c r="E123" s="23" t="n">
        <f aca="false">IF(AND(OR(Nonlabor!$D$7="Both",Nonlabor!$D$7='Start Here'!$B$9),IF(Nonlabor!$E$7="Core",1,IF(Nonlabor!$E$7="AI",'Start Here'!$B$7,'Start Here'!$B$8))=1,C123&gt;=IF(Nonlabor!$E$7="Core",Nonlabor!$F$7,MAX(Nonlabor!$F$7,IF(Nonlabor!$E$7="AI",Assumptions!$C$24,Assumptions!$C$25))),C123&lt;=Nonlabor!$G$7,OR(Nonlabor!$H$7="Monthly",AND(Nonlabor!$H$7="Once",C123=IF(Nonlabor!$E$7="Core",Nonlabor!$F$7,MAX(Nonlabor!$F$7,IF(Nonlabor!$E$7="AI",Assumptions!$C$24,Assumptions!$C$25)))),AND(Nonlabor!$H$7="Annual",MOD(C123-IF(Nonlabor!$E$7="Core",Nonlabor!$F$7,MAX(Nonlabor!$F$7,IF(Nonlabor!$E$7="AI",Assumptions!$C$24,Assumptions!$C$25))),12)=0))),IF(Nonlabor!$I$7="Fixed",1,IF(Nonlabor!$I$7="Seats",ROUNDUP('Monthly Lean'!I63,0),IF(Nonlabor!$I$7="Customers",'Monthly Lean'!D63,IF(Nonlabor!$I$7="NewCustomers",'Monthly Lean'!C63,IF(Nonlabor!$I$7="StorageGB",'Monthly Lean'!G63,IF(Nonlabor!$I$7="LogGB",'Monthly Lean'!H63,IF(Nonlabor!$I$7="RequestsM",'Monthly Lean'!F63,IF(Nonlabor!$I$7="InputM",'Monthly Lean'!D63*Assumptions!$C$22/1000000,IF(Nonlabor!$I$7="OutputM",'Monthly Lean'!D63*Assumptions!$C$23/1000000,0))))))))),0)</f>
        <v>1</v>
      </c>
      <c r="F123" s="10" t="n">
        <f aca="false">Nonlabor!$J$7*(1+Assumptions!$C$9)^INT((C123-1)/12)</f>
        <v>675.305286</v>
      </c>
      <c r="G123" s="10" t="n">
        <f aca="false">E123*F123</f>
        <v>675.305286</v>
      </c>
      <c r="H123" s="10" t="n">
        <f aca="false">IF(OR(Nonlabor!$L$7="Quote required",Nonlabor!$L$7="Unverified"),G123,0)</f>
        <v>675.305286</v>
      </c>
      <c r="I123" s="10" t="n">
        <f aca="false">IF(Nonlabor!$E$7="Core",0,G123)</f>
        <v>0</v>
      </c>
      <c r="J123" s="23" t="str">
        <f aca="false">Nonlabor!$B$7</f>
        <v>INFRA</v>
      </c>
    </row>
    <row r="124" customFormat="false" ht="15" hidden="false" customHeight="false" outlineLevel="0" collapsed="false">
      <c r="A124" s="6" t="s">
        <v>72</v>
      </c>
      <c r="B124" s="6" t="s">
        <v>373</v>
      </c>
      <c r="C124" s="6" t="n">
        <v>59</v>
      </c>
      <c r="D124" s="25" t="n">
        <f aca="false">EDATE('Start Here'!$B$6,C124-1)</f>
        <v>48092</v>
      </c>
      <c r="E124" s="23" t="n">
        <f aca="false">IF(AND(OR(Nonlabor!$D$7="Both",Nonlabor!$D$7='Start Here'!$B$9),IF(Nonlabor!$E$7="Core",1,IF(Nonlabor!$E$7="AI",'Start Here'!$B$7,'Start Here'!$B$8))=1,C124&gt;=IF(Nonlabor!$E$7="Core",Nonlabor!$F$7,MAX(Nonlabor!$F$7,IF(Nonlabor!$E$7="AI",Assumptions!$C$24,Assumptions!$C$25))),C124&lt;=Nonlabor!$G$7,OR(Nonlabor!$H$7="Monthly",AND(Nonlabor!$H$7="Once",C124=IF(Nonlabor!$E$7="Core",Nonlabor!$F$7,MAX(Nonlabor!$F$7,IF(Nonlabor!$E$7="AI",Assumptions!$C$24,Assumptions!$C$25)))),AND(Nonlabor!$H$7="Annual",MOD(C124-IF(Nonlabor!$E$7="Core",Nonlabor!$F$7,MAX(Nonlabor!$F$7,IF(Nonlabor!$E$7="AI",Assumptions!$C$24,Assumptions!$C$25))),12)=0))),IF(Nonlabor!$I$7="Fixed",1,IF(Nonlabor!$I$7="Seats",ROUNDUP('Monthly Lean'!I64,0),IF(Nonlabor!$I$7="Customers",'Monthly Lean'!D64,IF(Nonlabor!$I$7="NewCustomers",'Monthly Lean'!C64,IF(Nonlabor!$I$7="StorageGB",'Monthly Lean'!G64,IF(Nonlabor!$I$7="LogGB",'Monthly Lean'!H64,IF(Nonlabor!$I$7="RequestsM",'Monthly Lean'!F64,IF(Nonlabor!$I$7="InputM",'Monthly Lean'!D64*Assumptions!$C$22/1000000,IF(Nonlabor!$I$7="OutputM",'Monthly Lean'!D64*Assumptions!$C$23/1000000,0))))))))),0)</f>
        <v>1</v>
      </c>
      <c r="F124" s="10" t="n">
        <f aca="false">Nonlabor!$J$7*(1+Assumptions!$C$9)^INT((C124-1)/12)</f>
        <v>675.305286</v>
      </c>
      <c r="G124" s="10" t="n">
        <f aca="false">E124*F124</f>
        <v>675.305286</v>
      </c>
      <c r="H124" s="10" t="n">
        <f aca="false">IF(OR(Nonlabor!$L$7="Quote required",Nonlabor!$L$7="Unverified"),G124,0)</f>
        <v>675.305286</v>
      </c>
      <c r="I124" s="10" t="n">
        <f aca="false">IF(Nonlabor!$E$7="Core",0,G124)</f>
        <v>0</v>
      </c>
      <c r="J124" s="23" t="str">
        <f aca="false">Nonlabor!$B$7</f>
        <v>INFRA</v>
      </c>
    </row>
    <row r="125" customFormat="false" ht="15" hidden="false" customHeight="false" outlineLevel="0" collapsed="false">
      <c r="A125" s="6" t="s">
        <v>72</v>
      </c>
      <c r="B125" s="6" t="s">
        <v>373</v>
      </c>
      <c r="C125" s="6" t="n">
        <v>60</v>
      </c>
      <c r="D125" s="25" t="n">
        <f aca="false">EDATE('Start Here'!$B$6,C125-1)</f>
        <v>48122</v>
      </c>
      <c r="E125" s="23" t="n">
        <f aca="false">IF(AND(OR(Nonlabor!$D$7="Both",Nonlabor!$D$7='Start Here'!$B$9),IF(Nonlabor!$E$7="Core",1,IF(Nonlabor!$E$7="AI",'Start Here'!$B$7,'Start Here'!$B$8))=1,C125&gt;=IF(Nonlabor!$E$7="Core",Nonlabor!$F$7,MAX(Nonlabor!$F$7,IF(Nonlabor!$E$7="AI",Assumptions!$C$24,Assumptions!$C$25))),C125&lt;=Nonlabor!$G$7,OR(Nonlabor!$H$7="Monthly",AND(Nonlabor!$H$7="Once",C125=IF(Nonlabor!$E$7="Core",Nonlabor!$F$7,MAX(Nonlabor!$F$7,IF(Nonlabor!$E$7="AI",Assumptions!$C$24,Assumptions!$C$25)))),AND(Nonlabor!$H$7="Annual",MOD(C125-IF(Nonlabor!$E$7="Core",Nonlabor!$F$7,MAX(Nonlabor!$F$7,IF(Nonlabor!$E$7="AI",Assumptions!$C$24,Assumptions!$C$25))),12)=0))),IF(Nonlabor!$I$7="Fixed",1,IF(Nonlabor!$I$7="Seats",ROUNDUP('Monthly Lean'!I65,0),IF(Nonlabor!$I$7="Customers",'Monthly Lean'!D65,IF(Nonlabor!$I$7="NewCustomers",'Monthly Lean'!C65,IF(Nonlabor!$I$7="StorageGB",'Monthly Lean'!G65,IF(Nonlabor!$I$7="LogGB",'Monthly Lean'!H65,IF(Nonlabor!$I$7="RequestsM",'Monthly Lean'!F65,IF(Nonlabor!$I$7="InputM",'Monthly Lean'!D65*Assumptions!$C$22/1000000,IF(Nonlabor!$I$7="OutputM",'Monthly Lean'!D65*Assumptions!$C$23/1000000,0))))))))),0)</f>
        <v>1</v>
      </c>
      <c r="F125" s="10" t="n">
        <f aca="false">Nonlabor!$J$7*(1+Assumptions!$C$9)^INT((C125-1)/12)</f>
        <v>675.305286</v>
      </c>
      <c r="G125" s="10" t="n">
        <f aca="false">E125*F125</f>
        <v>675.305286</v>
      </c>
      <c r="H125" s="10" t="n">
        <f aca="false">IF(OR(Nonlabor!$L$7="Quote required",Nonlabor!$L$7="Unverified"),G125,0)</f>
        <v>675.305286</v>
      </c>
      <c r="I125" s="10" t="n">
        <f aca="false">IF(Nonlabor!$E$7="Core",0,G125)</f>
        <v>0</v>
      </c>
      <c r="J125" s="23" t="str">
        <f aca="false">Nonlabor!$B$7</f>
        <v>INFRA</v>
      </c>
    </row>
    <row r="126" customFormat="false" ht="15" hidden="false" customHeight="false" outlineLevel="0" collapsed="false">
      <c r="A126" s="6" t="s">
        <v>72</v>
      </c>
      <c r="B126" s="6" t="s">
        <v>376</v>
      </c>
      <c r="C126" s="6" t="n">
        <v>1</v>
      </c>
      <c r="D126" s="25" t="n">
        <f aca="false">EDATE('Start Here'!$B$6,C126-1)</f>
        <v>46327</v>
      </c>
      <c r="E126" s="23" t="n">
        <f aca="false">IF(AND(OR(Nonlabor!$D$8="Both",Nonlabor!$D$8='Start Here'!$B$9),IF(Nonlabor!$E$8="Core",1,IF(Nonlabor!$E$8="AI",'Start Here'!$B$7,'Start Here'!$B$8))=1,C126&gt;=IF(Nonlabor!$E$8="Core",Nonlabor!$F$8,MAX(Nonlabor!$F$8,IF(Nonlabor!$E$8="AI",Assumptions!$C$24,Assumptions!$C$25))),C126&lt;=Nonlabor!$G$8,OR(Nonlabor!$H$8="Monthly",AND(Nonlabor!$H$8="Once",C126=IF(Nonlabor!$E$8="Core",Nonlabor!$F$8,MAX(Nonlabor!$F$8,IF(Nonlabor!$E$8="AI",Assumptions!$C$24,Assumptions!$C$25)))),AND(Nonlabor!$H$8="Annual",MOD(C126-IF(Nonlabor!$E$8="Core",Nonlabor!$F$8,MAX(Nonlabor!$F$8,IF(Nonlabor!$E$8="AI",Assumptions!$C$24,Assumptions!$C$25))),12)=0))),IF(Nonlabor!$I$8="Fixed",1,IF(Nonlabor!$I$8="Seats",ROUNDUP('Monthly Lean'!I6,0),IF(Nonlabor!$I$8="Customers",'Monthly Lean'!D6,IF(Nonlabor!$I$8="NewCustomers",'Monthly Lean'!C6,IF(Nonlabor!$I$8="StorageGB",'Monthly Lean'!G6,IF(Nonlabor!$I$8="LogGB",'Monthly Lean'!H6,IF(Nonlabor!$I$8="RequestsM",'Monthly Lean'!F6,IF(Nonlabor!$I$8="InputM",'Monthly Lean'!D6*Assumptions!$C$22/1000000,IF(Nonlabor!$I$8="OutputM",'Monthly Lean'!D6*Assumptions!$C$23/1000000,0))))))))),0)</f>
        <v>0</v>
      </c>
      <c r="F126" s="10" t="n">
        <f aca="false">Nonlabor!$J$8*(1+Assumptions!$C$9)^INT((C126-1)/12)</f>
        <v>1100</v>
      </c>
      <c r="G126" s="10" t="n">
        <f aca="false">E126*F126</f>
        <v>0</v>
      </c>
      <c r="H126" s="10" t="n">
        <f aca="false">IF(OR(Nonlabor!$L$8="Quote required",Nonlabor!$L$8="Unverified"),G126,0)</f>
        <v>0</v>
      </c>
      <c r="I126" s="10" t="n">
        <f aca="false">IF(Nonlabor!$E$8="Core",0,G126)</f>
        <v>0</v>
      </c>
      <c r="J126" s="23" t="str">
        <f aca="false">Nonlabor!$B$8</f>
        <v>INFRA</v>
      </c>
    </row>
    <row r="127" customFormat="false" ht="15" hidden="false" customHeight="false" outlineLevel="0" collapsed="false">
      <c r="A127" s="6" t="s">
        <v>72</v>
      </c>
      <c r="B127" s="6" t="s">
        <v>376</v>
      </c>
      <c r="C127" s="6" t="n">
        <v>2</v>
      </c>
      <c r="D127" s="25" t="n">
        <f aca="false">EDATE('Start Here'!$B$6,C127-1)</f>
        <v>46357</v>
      </c>
      <c r="E127" s="23" t="n">
        <f aca="false">IF(AND(OR(Nonlabor!$D$8="Both",Nonlabor!$D$8='Start Here'!$B$9),IF(Nonlabor!$E$8="Core",1,IF(Nonlabor!$E$8="AI",'Start Here'!$B$7,'Start Here'!$B$8))=1,C127&gt;=IF(Nonlabor!$E$8="Core",Nonlabor!$F$8,MAX(Nonlabor!$F$8,IF(Nonlabor!$E$8="AI",Assumptions!$C$24,Assumptions!$C$25))),C127&lt;=Nonlabor!$G$8,OR(Nonlabor!$H$8="Monthly",AND(Nonlabor!$H$8="Once",C127=IF(Nonlabor!$E$8="Core",Nonlabor!$F$8,MAX(Nonlabor!$F$8,IF(Nonlabor!$E$8="AI",Assumptions!$C$24,Assumptions!$C$25)))),AND(Nonlabor!$H$8="Annual",MOD(C127-IF(Nonlabor!$E$8="Core",Nonlabor!$F$8,MAX(Nonlabor!$F$8,IF(Nonlabor!$E$8="AI",Assumptions!$C$24,Assumptions!$C$25))),12)=0))),IF(Nonlabor!$I$8="Fixed",1,IF(Nonlabor!$I$8="Seats",ROUNDUP('Monthly Lean'!I7,0),IF(Nonlabor!$I$8="Customers",'Monthly Lean'!D7,IF(Nonlabor!$I$8="NewCustomers",'Monthly Lean'!C7,IF(Nonlabor!$I$8="StorageGB",'Monthly Lean'!G7,IF(Nonlabor!$I$8="LogGB",'Monthly Lean'!H7,IF(Nonlabor!$I$8="RequestsM",'Monthly Lean'!F7,IF(Nonlabor!$I$8="InputM",'Monthly Lean'!D7*Assumptions!$C$22/1000000,IF(Nonlabor!$I$8="OutputM",'Monthly Lean'!D7*Assumptions!$C$23/1000000,0))))))))),0)</f>
        <v>0</v>
      </c>
      <c r="F127" s="10" t="n">
        <f aca="false">Nonlabor!$J$8*(1+Assumptions!$C$9)^INT((C127-1)/12)</f>
        <v>1100</v>
      </c>
      <c r="G127" s="10" t="n">
        <f aca="false">E127*F127</f>
        <v>0</v>
      </c>
      <c r="H127" s="10" t="n">
        <f aca="false">IF(OR(Nonlabor!$L$8="Quote required",Nonlabor!$L$8="Unverified"),G127,0)</f>
        <v>0</v>
      </c>
      <c r="I127" s="10" t="n">
        <f aca="false">IF(Nonlabor!$E$8="Core",0,G127)</f>
        <v>0</v>
      </c>
      <c r="J127" s="23" t="str">
        <f aca="false">Nonlabor!$B$8</f>
        <v>INFRA</v>
      </c>
    </row>
    <row r="128" customFormat="false" ht="15" hidden="false" customHeight="false" outlineLevel="0" collapsed="false">
      <c r="A128" s="6" t="s">
        <v>72</v>
      </c>
      <c r="B128" s="6" t="s">
        <v>376</v>
      </c>
      <c r="C128" s="6" t="n">
        <v>3</v>
      </c>
      <c r="D128" s="25" t="n">
        <f aca="false">EDATE('Start Here'!$B$6,C128-1)</f>
        <v>46388</v>
      </c>
      <c r="E128" s="23" t="n">
        <f aca="false">IF(AND(OR(Nonlabor!$D$8="Both",Nonlabor!$D$8='Start Here'!$B$9),IF(Nonlabor!$E$8="Core",1,IF(Nonlabor!$E$8="AI",'Start Here'!$B$7,'Start Here'!$B$8))=1,C128&gt;=IF(Nonlabor!$E$8="Core",Nonlabor!$F$8,MAX(Nonlabor!$F$8,IF(Nonlabor!$E$8="AI",Assumptions!$C$24,Assumptions!$C$25))),C128&lt;=Nonlabor!$G$8,OR(Nonlabor!$H$8="Monthly",AND(Nonlabor!$H$8="Once",C128=IF(Nonlabor!$E$8="Core",Nonlabor!$F$8,MAX(Nonlabor!$F$8,IF(Nonlabor!$E$8="AI",Assumptions!$C$24,Assumptions!$C$25)))),AND(Nonlabor!$H$8="Annual",MOD(C128-IF(Nonlabor!$E$8="Core",Nonlabor!$F$8,MAX(Nonlabor!$F$8,IF(Nonlabor!$E$8="AI",Assumptions!$C$24,Assumptions!$C$25))),12)=0))),IF(Nonlabor!$I$8="Fixed",1,IF(Nonlabor!$I$8="Seats",ROUNDUP('Monthly Lean'!I8,0),IF(Nonlabor!$I$8="Customers",'Monthly Lean'!D8,IF(Nonlabor!$I$8="NewCustomers",'Monthly Lean'!C8,IF(Nonlabor!$I$8="StorageGB",'Monthly Lean'!G8,IF(Nonlabor!$I$8="LogGB",'Monthly Lean'!H8,IF(Nonlabor!$I$8="RequestsM",'Monthly Lean'!F8,IF(Nonlabor!$I$8="InputM",'Monthly Lean'!D8*Assumptions!$C$22/1000000,IF(Nonlabor!$I$8="OutputM",'Monthly Lean'!D8*Assumptions!$C$23/1000000,0))))))))),0)</f>
        <v>0</v>
      </c>
      <c r="F128" s="10" t="n">
        <f aca="false">Nonlabor!$J$8*(1+Assumptions!$C$9)^INT((C128-1)/12)</f>
        <v>1100</v>
      </c>
      <c r="G128" s="10" t="n">
        <f aca="false">E128*F128</f>
        <v>0</v>
      </c>
      <c r="H128" s="10" t="n">
        <f aca="false">IF(OR(Nonlabor!$L$8="Quote required",Nonlabor!$L$8="Unverified"),G128,0)</f>
        <v>0</v>
      </c>
      <c r="I128" s="10" t="n">
        <f aca="false">IF(Nonlabor!$E$8="Core",0,G128)</f>
        <v>0</v>
      </c>
      <c r="J128" s="23" t="str">
        <f aca="false">Nonlabor!$B$8</f>
        <v>INFRA</v>
      </c>
    </row>
    <row r="129" customFormat="false" ht="15" hidden="false" customHeight="false" outlineLevel="0" collapsed="false">
      <c r="A129" s="6" t="s">
        <v>72</v>
      </c>
      <c r="B129" s="6" t="s">
        <v>376</v>
      </c>
      <c r="C129" s="6" t="n">
        <v>4</v>
      </c>
      <c r="D129" s="25" t="n">
        <f aca="false">EDATE('Start Here'!$B$6,C129-1)</f>
        <v>46419</v>
      </c>
      <c r="E129" s="23" t="n">
        <f aca="false">IF(AND(OR(Nonlabor!$D$8="Both",Nonlabor!$D$8='Start Here'!$B$9),IF(Nonlabor!$E$8="Core",1,IF(Nonlabor!$E$8="AI",'Start Here'!$B$7,'Start Here'!$B$8))=1,C129&gt;=IF(Nonlabor!$E$8="Core",Nonlabor!$F$8,MAX(Nonlabor!$F$8,IF(Nonlabor!$E$8="AI",Assumptions!$C$24,Assumptions!$C$25))),C129&lt;=Nonlabor!$G$8,OR(Nonlabor!$H$8="Monthly",AND(Nonlabor!$H$8="Once",C129=IF(Nonlabor!$E$8="Core",Nonlabor!$F$8,MAX(Nonlabor!$F$8,IF(Nonlabor!$E$8="AI",Assumptions!$C$24,Assumptions!$C$25)))),AND(Nonlabor!$H$8="Annual",MOD(C129-IF(Nonlabor!$E$8="Core",Nonlabor!$F$8,MAX(Nonlabor!$F$8,IF(Nonlabor!$E$8="AI",Assumptions!$C$24,Assumptions!$C$25))),12)=0))),IF(Nonlabor!$I$8="Fixed",1,IF(Nonlabor!$I$8="Seats",ROUNDUP('Monthly Lean'!I9,0),IF(Nonlabor!$I$8="Customers",'Monthly Lean'!D9,IF(Nonlabor!$I$8="NewCustomers",'Monthly Lean'!C9,IF(Nonlabor!$I$8="StorageGB",'Monthly Lean'!G9,IF(Nonlabor!$I$8="LogGB",'Monthly Lean'!H9,IF(Nonlabor!$I$8="RequestsM",'Monthly Lean'!F9,IF(Nonlabor!$I$8="InputM",'Monthly Lean'!D9*Assumptions!$C$22/1000000,IF(Nonlabor!$I$8="OutputM",'Monthly Lean'!D9*Assumptions!$C$23/1000000,0))))))))),0)</f>
        <v>0</v>
      </c>
      <c r="F129" s="10" t="n">
        <f aca="false">Nonlabor!$J$8*(1+Assumptions!$C$9)^INT((C129-1)/12)</f>
        <v>1100</v>
      </c>
      <c r="G129" s="10" t="n">
        <f aca="false">E129*F129</f>
        <v>0</v>
      </c>
      <c r="H129" s="10" t="n">
        <f aca="false">IF(OR(Nonlabor!$L$8="Quote required",Nonlabor!$L$8="Unverified"),G129,0)</f>
        <v>0</v>
      </c>
      <c r="I129" s="10" t="n">
        <f aca="false">IF(Nonlabor!$E$8="Core",0,G129)</f>
        <v>0</v>
      </c>
      <c r="J129" s="23" t="str">
        <f aca="false">Nonlabor!$B$8</f>
        <v>INFRA</v>
      </c>
    </row>
    <row r="130" customFormat="false" ht="15" hidden="false" customHeight="false" outlineLevel="0" collapsed="false">
      <c r="A130" s="6" t="s">
        <v>72</v>
      </c>
      <c r="B130" s="6" t="s">
        <v>376</v>
      </c>
      <c r="C130" s="6" t="n">
        <v>5</v>
      </c>
      <c r="D130" s="25" t="n">
        <f aca="false">EDATE('Start Here'!$B$6,C130-1)</f>
        <v>46447</v>
      </c>
      <c r="E130" s="23" t="n">
        <f aca="false">IF(AND(OR(Nonlabor!$D$8="Both",Nonlabor!$D$8='Start Here'!$B$9),IF(Nonlabor!$E$8="Core",1,IF(Nonlabor!$E$8="AI",'Start Here'!$B$7,'Start Here'!$B$8))=1,C130&gt;=IF(Nonlabor!$E$8="Core",Nonlabor!$F$8,MAX(Nonlabor!$F$8,IF(Nonlabor!$E$8="AI",Assumptions!$C$24,Assumptions!$C$25))),C130&lt;=Nonlabor!$G$8,OR(Nonlabor!$H$8="Monthly",AND(Nonlabor!$H$8="Once",C130=IF(Nonlabor!$E$8="Core",Nonlabor!$F$8,MAX(Nonlabor!$F$8,IF(Nonlabor!$E$8="AI",Assumptions!$C$24,Assumptions!$C$25)))),AND(Nonlabor!$H$8="Annual",MOD(C130-IF(Nonlabor!$E$8="Core",Nonlabor!$F$8,MAX(Nonlabor!$F$8,IF(Nonlabor!$E$8="AI",Assumptions!$C$24,Assumptions!$C$25))),12)=0))),IF(Nonlabor!$I$8="Fixed",1,IF(Nonlabor!$I$8="Seats",ROUNDUP('Monthly Lean'!I10,0),IF(Nonlabor!$I$8="Customers",'Monthly Lean'!D10,IF(Nonlabor!$I$8="NewCustomers",'Monthly Lean'!C10,IF(Nonlabor!$I$8="StorageGB",'Monthly Lean'!G10,IF(Nonlabor!$I$8="LogGB",'Monthly Lean'!H10,IF(Nonlabor!$I$8="RequestsM",'Monthly Lean'!F10,IF(Nonlabor!$I$8="InputM",'Monthly Lean'!D10*Assumptions!$C$22/1000000,IF(Nonlabor!$I$8="OutputM",'Monthly Lean'!D10*Assumptions!$C$23/1000000,0))))))))),0)</f>
        <v>0</v>
      </c>
      <c r="F130" s="10" t="n">
        <f aca="false">Nonlabor!$J$8*(1+Assumptions!$C$9)^INT((C130-1)/12)</f>
        <v>1100</v>
      </c>
      <c r="G130" s="10" t="n">
        <f aca="false">E130*F130</f>
        <v>0</v>
      </c>
      <c r="H130" s="10" t="n">
        <f aca="false">IF(OR(Nonlabor!$L$8="Quote required",Nonlabor!$L$8="Unverified"),G130,0)</f>
        <v>0</v>
      </c>
      <c r="I130" s="10" t="n">
        <f aca="false">IF(Nonlabor!$E$8="Core",0,G130)</f>
        <v>0</v>
      </c>
      <c r="J130" s="23" t="str">
        <f aca="false">Nonlabor!$B$8</f>
        <v>INFRA</v>
      </c>
    </row>
    <row r="131" customFormat="false" ht="15" hidden="false" customHeight="false" outlineLevel="0" collapsed="false">
      <c r="A131" s="6" t="s">
        <v>72</v>
      </c>
      <c r="B131" s="6" t="s">
        <v>376</v>
      </c>
      <c r="C131" s="6" t="n">
        <v>6</v>
      </c>
      <c r="D131" s="25" t="n">
        <f aca="false">EDATE('Start Here'!$B$6,C131-1)</f>
        <v>46478</v>
      </c>
      <c r="E131" s="23" t="n">
        <f aca="false">IF(AND(OR(Nonlabor!$D$8="Both",Nonlabor!$D$8='Start Here'!$B$9),IF(Nonlabor!$E$8="Core",1,IF(Nonlabor!$E$8="AI",'Start Here'!$B$7,'Start Here'!$B$8))=1,C131&gt;=IF(Nonlabor!$E$8="Core",Nonlabor!$F$8,MAX(Nonlabor!$F$8,IF(Nonlabor!$E$8="AI",Assumptions!$C$24,Assumptions!$C$25))),C131&lt;=Nonlabor!$G$8,OR(Nonlabor!$H$8="Monthly",AND(Nonlabor!$H$8="Once",C131=IF(Nonlabor!$E$8="Core",Nonlabor!$F$8,MAX(Nonlabor!$F$8,IF(Nonlabor!$E$8="AI",Assumptions!$C$24,Assumptions!$C$25)))),AND(Nonlabor!$H$8="Annual",MOD(C131-IF(Nonlabor!$E$8="Core",Nonlabor!$F$8,MAX(Nonlabor!$F$8,IF(Nonlabor!$E$8="AI",Assumptions!$C$24,Assumptions!$C$25))),12)=0))),IF(Nonlabor!$I$8="Fixed",1,IF(Nonlabor!$I$8="Seats",ROUNDUP('Monthly Lean'!I11,0),IF(Nonlabor!$I$8="Customers",'Monthly Lean'!D11,IF(Nonlabor!$I$8="NewCustomers",'Monthly Lean'!C11,IF(Nonlabor!$I$8="StorageGB",'Monthly Lean'!G11,IF(Nonlabor!$I$8="LogGB",'Monthly Lean'!H11,IF(Nonlabor!$I$8="RequestsM",'Monthly Lean'!F11,IF(Nonlabor!$I$8="InputM",'Monthly Lean'!D11*Assumptions!$C$22/1000000,IF(Nonlabor!$I$8="OutputM",'Monthly Lean'!D11*Assumptions!$C$23/1000000,0))))))))),0)</f>
        <v>0</v>
      </c>
      <c r="F131" s="10" t="n">
        <f aca="false">Nonlabor!$J$8*(1+Assumptions!$C$9)^INT((C131-1)/12)</f>
        <v>1100</v>
      </c>
      <c r="G131" s="10" t="n">
        <f aca="false">E131*F131</f>
        <v>0</v>
      </c>
      <c r="H131" s="10" t="n">
        <f aca="false">IF(OR(Nonlabor!$L$8="Quote required",Nonlabor!$L$8="Unverified"),G131,0)</f>
        <v>0</v>
      </c>
      <c r="I131" s="10" t="n">
        <f aca="false">IF(Nonlabor!$E$8="Core",0,G131)</f>
        <v>0</v>
      </c>
      <c r="J131" s="23" t="str">
        <f aca="false">Nonlabor!$B$8</f>
        <v>INFRA</v>
      </c>
    </row>
    <row r="132" customFormat="false" ht="15" hidden="false" customHeight="false" outlineLevel="0" collapsed="false">
      <c r="A132" s="6" t="s">
        <v>72</v>
      </c>
      <c r="B132" s="6" t="s">
        <v>376</v>
      </c>
      <c r="C132" s="6" t="n">
        <v>7</v>
      </c>
      <c r="D132" s="25" t="n">
        <f aca="false">EDATE('Start Here'!$B$6,C132-1)</f>
        <v>46508</v>
      </c>
      <c r="E132" s="23" t="n">
        <f aca="false">IF(AND(OR(Nonlabor!$D$8="Both",Nonlabor!$D$8='Start Here'!$B$9),IF(Nonlabor!$E$8="Core",1,IF(Nonlabor!$E$8="AI",'Start Here'!$B$7,'Start Here'!$B$8))=1,C132&gt;=IF(Nonlabor!$E$8="Core",Nonlabor!$F$8,MAX(Nonlabor!$F$8,IF(Nonlabor!$E$8="AI",Assumptions!$C$24,Assumptions!$C$25))),C132&lt;=Nonlabor!$G$8,OR(Nonlabor!$H$8="Monthly",AND(Nonlabor!$H$8="Once",C132=IF(Nonlabor!$E$8="Core",Nonlabor!$F$8,MAX(Nonlabor!$F$8,IF(Nonlabor!$E$8="AI",Assumptions!$C$24,Assumptions!$C$25)))),AND(Nonlabor!$H$8="Annual",MOD(C132-IF(Nonlabor!$E$8="Core",Nonlabor!$F$8,MAX(Nonlabor!$F$8,IF(Nonlabor!$E$8="AI",Assumptions!$C$24,Assumptions!$C$25))),12)=0))),IF(Nonlabor!$I$8="Fixed",1,IF(Nonlabor!$I$8="Seats",ROUNDUP('Monthly Lean'!I12,0),IF(Nonlabor!$I$8="Customers",'Monthly Lean'!D12,IF(Nonlabor!$I$8="NewCustomers",'Monthly Lean'!C12,IF(Nonlabor!$I$8="StorageGB",'Monthly Lean'!G12,IF(Nonlabor!$I$8="LogGB",'Monthly Lean'!H12,IF(Nonlabor!$I$8="RequestsM",'Monthly Lean'!F12,IF(Nonlabor!$I$8="InputM",'Monthly Lean'!D12*Assumptions!$C$22/1000000,IF(Nonlabor!$I$8="OutputM",'Monthly Lean'!D12*Assumptions!$C$23/1000000,0))))))))),0)</f>
        <v>0</v>
      </c>
      <c r="F132" s="10" t="n">
        <f aca="false">Nonlabor!$J$8*(1+Assumptions!$C$9)^INT((C132-1)/12)</f>
        <v>1100</v>
      </c>
      <c r="G132" s="10" t="n">
        <f aca="false">E132*F132</f>
        <v>0</v>
      </c>
      <c r="H132" s="10" t="n">
        <f aca="false">IF(OR(Nonlabor!$L$8="Quote required",Nonlabor!$L$8="Unverified"),G132,0)</f>
        <v>0</v>
      </c>
      <c r="I132" s="10" t="n">
        <f aca="false">IF(Nonlabor!$E$8="Core",0,G132)</f>
        <v>0</v>
      </c>
      <c r="J132" s="23" t="str">
        <f aca="false">Nonlabor!$B$8</f>
        <v>INFRA</v>
      </c>
    </row>
    <row r="133" customFormat="false" ht="15" hidden="false" customHeight="false" outlineLevel="0" collapsed="false">
      <c r="A133" s="6" t="s">
        <v>72</v>
      </c>
      <c r="B133" s="6" t="s">
        <v>376</v>
      </c>
      <c r="C133" s="6" t="n">
        <v>8</v>
      </c>
      <c r="D133" s="25" t="n">
        <f aca="false">EDATE('Start Here'!$B$6,C133-1)</f>
        <v>46539</v>
      </c>
      <c r="E133" s="23" t="n">
        <f aca="false">IF(AND(OR(Nonlabor!$D$8="Both",Nonlabor!$D$8='Start Here'!$B$9),IF(Nonlabor!$E$8="Core",1,IF(Nonlabor!$E$8="AI",'Start Here'!$B$7,'Start Here'!$B$8))=1,C133&gt;=IF(Nonlabor!$E$8="Core",Nonlabor!$F$8,MAX(Nonlabor!$F$8,IF(Nonlabor!$E$8="AI",Assumptions!$C$24,Assumptions!$C$25))),C133&lt;=Nonlabor!$G$8,OR(Nonlabor!$H$8="Monthly",AND(Nonlabor!$H$8="Once",C133=IF(Nonlabor!$E$8="Core",Nonlabor!$F$8,MAX(Nonlabor!$F$8,IF(Nonlabor!$E$8="AI",Assumptions!$C$24,Assumptions!$C$25)))),AND(Nonlabor!$H$8="Annual",MOD(C133-IF(Nonlabor!$E$8="Core",Nonlabor!$F$8,MAX(Nonlabor!$F$8,IF(Nonlabor!$E$8="AI",Assumptions!$C$24,Assumptions!$C$25))),12)=0))),IF(Nonlabor!$I$8="Fixed",1,IF(Nonlabor!$I$8="Seats",ROUNDUP('Monthly Lean'!I13,0),IF(Nonlabor!$I$8="Customers",'Monthly Lean'!D13,IF(Nonlabor!$I$8="NewCustomers",'Monthly Lean'!C13,IF(Nonlabor!$I$8="StorageGB",'Monthly Lean'!G13,IF(Nonlabor!$I$8="LogGB",'Monthly Lean'!H13,IF(Nonlabor!$I$8="RequestsM",'Monthly Lean'!F13,IF(Nonlabor!$I$8="InputM",'Monthly Lean'!D13*Assumptions!$C$22/1000000,IF(Nonlabor!$I$8="OutputM",'Monthly Lean'!D13*Assumptions!$C$23/1000000,0))))))))),0)</f>
        <v>0</v>
      </c>
      <c r="F133" s="10" t="n">
        <f aca="false">Nonlabor!$J$8*(1+Assumptions!$C$9)^INT((C133-1)/12)</f>
        <v>1100</v>
      </c>
      <c r="G133" s="10" t="n">
        <f aca="false">E133*F133</f>
        <v>0</v>
      </c>
      <c r="H133" s="10" t="n">
        <f aca="false">IF(OR(Nonlabor!$L$8="Quote required",Nonlabor!$L$8="Unverified"),G133,0)</f>
        <v>0</v>
      </c>
      <c r="I133" s="10" t="n">
        <f aca="false">IF(Nonlabor!$E$8="Core",0,G133)</f>
        <v>0</v>
      </c>
      <c r="J133" s="23" t="str">
        <f aca="false">Nonlabor!$B$8</f>
        <v>INFRA</v>
      </c>
    </row>
    <row r="134" customFormat="false" ht="15" hidden="false" customHeight="false" outlineLevel="0" collapsed="false">
      <c r="A134" s="6" t="s">
        <v>72</v>
      </c>
      <c r="B134" s="6" t="s">
        <v>376</v>
      </c>
      <c r="C134" s="6" t="n">
        <v>9</v>
      </c>
      <c r="D134" s="25" t="n">
        <f aca="false">EDATE('Start Here'!$B$6,C134-1)</f>
        <v>46569</v>
      </c>
      <c r="E134" s="23" t="n">
        <f aca="false">IF(AND(OR(Nonlabor!$D$8="Both",Nonlabor!$D$8='Start Here'!$B$9),IF(Nonlabor!$E$8="Core",1,IF(Nonlabor!$E$8="AI",'Start Here'!$B$7,'Start Here'!$B$8))=1,C134&gt;=IF(Nonlabor!$E$8="Core",Nonlabor!$F$8,MAX(Nonlabor!$F$8,IF(Nonlabor!$E$8="AI",Assumptions!$C$24,Assumptions!$C$25))),C134&lt;=Nonlabor!$G$8,OR(Nonlabor!$H$8="Monthly",AND(Nonlabor!$H$8="Once",C134=IF(Nonlabor!$E$8="Core",Nonlabor!$F$8,MAX(Nonlabor!$F$8,IF(Nonlabor!$E$8="AI",Assumptions!$C$24,Assumptions!$C$25)))),AND(Nonlabor!$H$8="Annual",MOD(C134-IF(Nonlabor!$E$8="Core",Nonlabor!$F$8,MAX(Nonlabor!$F$8,IF(Nonlabor!$E$8="AI",Assumptions!$C$24,Assumptions!$C$25))),12)=0))),IF(Nonlabor!$I$8="Fixed",1,IF(Nonlabor!$I$8="Seats",ROUNDUP('Monthly Lean'!I14,0),IF(Nonlabor!$I$8="Customers",'Monthly Lean'!D14,IF(Nonlabor!$I$8="NewCustomers",'Monthly Lean'!C14,IF(Nonlabor!$I$8="StorageGB",'Monthly Lean'!G14,IF(Nonlabor!$I$8="LogGB",'Monthly Lean'!H14,IF(Nonlabor!$I$8="RequestsM",'Monthly Lean'!F14,IF(Nonlabor!$I$8="InputM",'Monthly Lean'!D14*Assumptions!$C$22/1000000,IF(Nonlabor!$I$8="OutputM",'Monthly Lean'!D14*Assumptions!$C$23/1000000,0))))))))),0)</f>
        <v>0</v>
      </c>
      <c r="F134" s="10" t="n">
        <f aca="false">Nonlabor!$J$8*(1+Assumptions!$C$9)^INT((C134-1)/12)</f>
        <v>1100</v>
      </c>
      <c r="G134" s="10" t="n">
        <f aca="false">E134*F134</f>
        <v>0</v>
      </c>
      <c r="H134" s="10" t="n">
        <f aca="false">IF(OR(Nonlabor!$L$8="Quote required",Nonlabor!$L$8="Unverified"),G134,0)</f>
        <v>0</v>
      </c>
      <c r="I134" s="10" t="n">
        <f aca="false">IF(Nonlabor!$E$8="Core",0,G134)</f>
        <v>0</v>
      </c>
      <c r="J134" s="23" t="str">
        <f aca="false">Nonlabor!$B$8</f>
        <v>INFRA</v>
      </c>
    </row>
    <row r="135" customFormat="false" ht="15" hidden="false" customHeight="false" outlineLevel="0" collapsed="false">
      <c r="A135" s="6" t="s">
        <v>72</v>
      </c>
      <c r="B135" s="6" t="s">
        <v>376</v>
      </c>
      <c r="C135" s="6" t="n">
        <v>10</v>
      </c>
      <c r="D135" s="25" t="n">
        <f aca="false">EDATE('Start Here'!$B$6,C135-1)</f>
        <v>46600</v>
      </c>
      <c r="E135" s="23" t="n">
        <f aca="false">IF(AND(OR(Nonlabor!$D$8="Both",Nonlabor!$D$8='Start Here'!$B$9),IF(Nonlabor!$E$8="Core",1,IF(Nonlabor!$E$8="AI",'Start Here'!$B$7,'Start Here'!$B$8))=1,C135&gt;=IF(Nonlabor!$E$8="Core",Nonlabor!$F$8,MAX(Nonlabor!$F$8,IF(Nonlabor!$E$8="AI",Assumptions!$C$24,Assumptions!$C$25))),C135&lt;=Nonlabor!$G$8,OR(Nonlabor!$H$8="Monthly",AND(Nonlabor!$H$8="Once",C135=IF(Nonlabor!$E$8="Core",Nonlabor!$F$8,MAX(Nonlabor!$F$8,IF(Nonlabor!$E$8="AI",Assumptions!$C$24,Assumptions!$C$25)))),AND(Nonlabor!$H$8="Annual",MOD(C135-IF(Nonlabor!$E$8="Core",Nonlabor!$F$8,MAX(Nonlabor!$F$8,IF(Nonlabor!$E$8="AI",Assumptions!$C$24,Assumptions!$C$25))),12)=0))),IF(Nonlabor!$I$8="Fixed",1,IF(Nonlabor!$I$8="Seats",ROUNDUP('Monthly Lean'!I15,0),IF(Nonlabor!$I$8="Customers",'Monthly Lean'!D15,IF(Nonlabor!$I$8="NewCustomers",'Monthly Lean'!C15,IF(Nonlabor!$I$8="StorageGB",'Monthly Lean'!G15,IF(Nonlabor!$I$8="LogGB",'Monthly Lean'!H15,IF(Nonlabor!$I$8="RequestsM",'Monthly Lean'!F15,IF(Nonlabor!$I$8="InputM",'Monthly Lean'!D15*Assumptions!$C$22/1000000,IF(Nonlabor!$I$8="OutputM",'Monthly Lean'!D15*Assumptions!$C$23/1000000,0))))))))),0)</f>
        <v>0</v>
      </c>
      <c r="F135" s="10" t="n">
        <f aca="false">Nonlabor!$J$8*(1+Assumptions!$C$9)^INT((C135-1)/12)</f>
        <v>1100</v>
      </c>
      <c r="G135" s="10" t="n">
        <f aca="false">E135*F135</f>
        <v>0</v>
      </c>
      <c r="H135" s="10" t="n">
        <f aca="false">IF(OR(Nonlabor!$L$8="Quote required",Nonlabor!$L$8="Unverified"),G135,0)</f>
        <v>0</v>
      </c>
      <c r="I135" s="10" t="n">
        <f aca="false">IF(Nonlabor!$E$8="Core",0,G135)</f>
        <v>0</v>
      </c>
      <c r="J135" s="23" t="str">
        <f aca="false">Nonlabor!$B$8</f>
        <v>INFRA</v>
      </c>
    </row>
    <row r="136" customFormat="false" ht="15" hidden="false" customHeight="false" outlineLevel="0" collapsed="false">
      <c r="A136" s="6" t="s">
        <v>72</v>
      </c>
      <c r="B136" s="6" t="s">
        <v>376</v>
      </c>
      <c r="C136" s="6" t="n">
        <v>11</v>
      </c>
      <c r="D136" s="25" t="n">
        <f aca="false">EDATE('Start Here'!$B$6,C136-1)</f>
        <v>46631</v>
      </c>
      <c r="E136" s="23" t="n">
        <f aca="false">IF(AND(OR(Nonlabor!$D$8="Both",Nonlabor!$D$8='Start Here'!$B$9),IF(Nonlabor!$E$8="Core",1,IF(Nonlabor!$E$8="AI",'Start Here'!$B$7,'Start Here'!$B$8))=1,C136&gt;=IF(Nonlabor!$E$8="Core",Nonlabor!$F$8,MAX(Nonlabor!$F$8,IF(Nonlabor!$E$8="AI",Assumptions!$C$24,Assumptions!$C$25))),C136&lt;=Nonlabor!$G$8,OR(Nonlabor!$H$8="Monthly",AND(Nonlabor!$H$8="Once",C136=IF(Nonlabor!$E$8="Core",Nonlabor!$F$8,MAX(Nonlabor!$F$8,IF(Nonlabor!$E$8="AI",Assumptions!$C$24,Assumptions!$C$25)))),AND(Nonlabor!$H$8="Annual",MOD(C136-IF(Nonlabor!$E$8="Core",Nonlabor!$F$8,MAX(Nonlabor!$F$8,IF(Nonlabor!$E$8="AI",Assumptions!$C$24,Assumptions!$C$25))),12)=0))),IF(Nonlabor!$I$8="Fixed",1,IF(Nonlabor!$I$8="Seats",ROUNDUP('Monthly Lean'!I16,0),IF(Nonlabor!$I$8="Customers",'Monthly Lean'!D16,IF(Nonlabor!$I$8="NewCustomers",'Monthly Lean'!C16,IF(Nonlabor!$I$8="StorageGB",'Monthly Lean'!G16,IF(Nonlabor!$I$8="LogGB",'Monthly Lean'!H16,IF(Nonlabor!$I$8="RequestsM",'Monthly Lean'!F16,IF(Nonlabor!$I$8="InputM",'Monthly Lean'!D16*Assumptions!$C$22/1000000,IF(Nonlabor!$I$8="OutputM",'Monthly Lean'!D16*Assumptions!$C$23/1000000,0))))))))),0)</f>
        <v>0</v>
      </c>
      <c r="F136" s="10" t="n">
        <f aca="false">Nonlabor!$J$8*(1+Assumptions!$C$9)^INT((C136-1)/12)</f>
        <v>1100</v>
      </c>
      <c r="G136" s="10" t="n">
        <f aca="false">E136*F136</f>
        <v>0</v>
      </c>
      <c r="H136" s="10" t="n">
        <f aca="false">IF(OR(Nonlabor!$L$8="Quote required",Nonlabor!$L$8="Unverified"),G136,0)</f>
        <v>0</v>
      </c>
      <c r="I136" s="10" t="n">
        <f aca="false">IF(Nonlabor!$E$8="Core",0,G136)</f>
        <v>0</v>
      </c>
      <c r="J136" s="23" t="str">
        <f aca="false">Nonlabor!$B$8</f>
        <v>INFRA</v>
      </c>
    </row>
    <row r="137" customFormat="false" ht="15" hidden="false" customHeight="false" outlineLevel="0" collapsed="false">
      <c r="A137" s="6" t="s">
        <v>72</v>
      </c>
      <c r="B137" s="6" t="s">
        <v>376</v>
      </c>
      <c r="C137" s="6" t="n">
        <v>12</v>
      </c>
      <c r="D137" s="25" t="n">
        <f aca="false">EDATE('Start Here'!$B$6,C137-1)</f>
        <v>46661</v>
      </c>
      <c r="E137" s="23" t="n">
        <f aca="false">IF(AND(OR(Nonlabor!$D$8="Both",Nonlabor!$D$8='Start Here'!$B$9),IF(Nonlabor!$E$8="Core",1,IF(Nonlabor!$E$8="AI",'Start Here'!$B$7,'Start Here'!$B$8))=1,C137&gt;=IF(Nonlabor!$E$8="Core",Nonlabor!$F$8,MAX(Nonlabor!$F$8,IF(Nonlabor!$E$8="AI",Assumptions!$C$24,Assumptions!$C$25))),C137&lt;=Nonlabor!$G$8,OR(Nonlabor!$H$8="Monthly",AND(Nonlabor!$H$8="Once",C137=IF(Nonlabor!$E$8="Core",Nonlabor!$F$8,MAX(Nonlabor!$F$8,IF(Nonlabor!$E$8="AI",Assumptions!$C$24,Assumptions!$C$25)))),AND(Nonlabor!$H$8="Annual",MOD(C137-IF(Nonlabor!$E$8="Core",Nonlabor!$F$8,MAX(Nonlabor!$F$8,IF(Nonlabor!$E$8="AI",Assumptions!$C$24,Assumptions!$C$25))),12)=0))),IF(Nonlabor!$I$8="Fixed",1,IF(Nonlabor!$I$8="Seats",ROUNDUP('Monthly Lean'!I17,0),IF(Nonlabor!$I$8="Customers",'Monthly Lean'!D17,IF(Nonlabor!$I$8="NewCustomers",'Monthly Lean'!C17,IF(Nonlabor!$I$8="StorageGB",'Monthly Lean'!G17,IF(Nonlabor!$I$8="LogGB",'Monthly Lean'!H17,IF(Nonlabor!$I$8="RequestsM",'Monthly Lean'!F17,IF(Nonlabor!$I$8="InputM",'Monthly Lean'!D17*Assumptions!$C$22/1000000,IF(Nonlabor!$I$8="OutputM",'Monthly Lean'!D17*Assumptions!$C$23/1000000,0))))))))),0)</f>
        <v>0</v>
      </c>
      <c r="F137" s="10" t="n">
        <f aca="false">Nonlabor!$J$8*(1+Assumptions!$C$9)^INT((C137-1)/12)</f>
        <v>1100</v>
      </c>
      <c r="G137" s="10" t="n">
        <f aca="false">E137*F137</f>
        <v>0</v>
      </c>
      <c r="H137" s="10" t="n">
        <f aca="false">IF(OR(Nonlabor!$L$8="Quote required",Nonlabor!$L$8="Unverified"),G137,0)</f>
        <v>0</v>
      </c>
      <c r="I137" s="10" t="n">
        <f aca="false">IF(Nonlabor!$E$8="Core",0,G137)</f>
        <v>0</v>
      </c>
      <c r="J137" s="23" t="str">
        <f aca="false">Nonlabor!$B$8</f>
        <v>INFRA</v>
      </c>
    </row>
    <row r="138" customFormat="false" ht="15" hidden="false" customHeight="false" outlineLevel="0" collapsed="false">
      <c r="A138" s="6" t="s">
        <v>72</v>
      </c>
      <c r="B138" s="6" t="s">
        <v>376</v>
      </c>
      <c r="C138" s="6" t="n">
        <v>13</v>
      </c>
      <c r="D138" s="25" t="n">
        <f aca="false">EDATE('Start Here'!$B$6,C138-1)</f>
        <v>46692</v>
      </c>
      <c r="E138" s="23" t="n">
        <f aca="false">IF(AND(OR(Nonlabor!$D$8="Both",Nonlabor!$D$8='Start Here'!$B$9),IF(Nonlabor!$E$8="Core",1,IF(Nonlabor!$E$8="AI",'Start Here'!$B$7,'Start Here'!$B$8))=1,C138&gt;=IF(Nonlabor!$E$8="Core",Nonlabor!$F$8,MAX(Nonlabor!$F$8,IF(Nonlabor!$E$8="AI",Assumptions!$C$24,Assumptions!$C$25))),C138&lt;=Nonlabor!$G$8,OR(Nonlabor!$H$8="Monthly",AND(Nonlabor!$H$8="Once",C138=IF(Nonlabor!$E$8="Core",Nonlabor!$F$8,MAX(Nonlabor!$F$8,IF(Nonlabor!$E$8="AI",Assumptions!$C$24,Assumptions!$C$25)))),AND(Nonlabor!$H$8="Annual",MOD(C138-IF(Nonlabor!$E$8="Core",Nonlabor!$F$8,MAX(Nonlabor!$F$8,IF(Nonlabor!$E$8="AI",Assumptions!$C$24,Assumptions!$C$25))),12)=0))),IF(Nonlabor!$I$8="Fixed",1,IF(Nonlabor!$I$8="Seats",ROUNDUP('Monthly Lean'!I18,0),IF(Nonlabor!$I$8="Customers",'Monthly Lean'!D18,IF(Nonlabor!$I$8="NewCustomers",'Monthly Lean'!C18,IF(Nonlabor!$I$8="StorageGB",'Monthly Lean'!G18,IF(Nonlabor!$I$8="LogGB",'Monthly Lean'!H18,IF(Nonlabor!$I$8="RequestsM",'Monthly Lean'!F18,IF(Nonlabor!$I$8="InputM",'Monthly Lean'!D18*Assumptions!$C$22/1000000,IF(Nonlabor!$I$8="OutputM",'Monthly Lean'!D18*Assumptions!$C$23/1000000,0))))))))),0)</f>
        <v>0</v>
      </c>
      <c r="F138" s="10" t="n">
        <f aca="false">Nonlabor!$J$8*(1+Assumptions!$C$9)^INT((C138-1)/12)</f>
        <v>1133</v>
      </c>
      <c r="G138" s="10" t="n">
        <f aca="false">E138*F138</f>
        <v>0</v>
      </c>
      <c r="H138" s="10" t="n">
        <f aca="false">IF(OR(Nonlabor!$L$8="Quote required",Nonlabor!$L$8="Unverified"),G138,0)</f>
        <v>0</v>
      </c>
      <c r="I138" s="10" t="n">
        <f aca="false">IF(Nonlabor!$E$8="Core",0,G138)</f>
        <v>0</v>
      </c>
      <c r="J138" s="23" t="str">
        <f aca="false">Nonlabor!$B$8</f>
        <v>INFRA</v>
      </c>
    </row>
    <row r="139" customFormat="false" ht="15" hidden="false" customHeight="false" outlineLevel="0" collapsed="false">
      <c r="A139" s="6" t="s">
        <v>72</v>
      </c>
      <c r="B139" s="6" t="s">
        <v>376</v>
      </c>
      <c r="C139" s="6" t="n">
        <v>14</v>
      </c>
      <c r="D139" s="25" t="n">
        <f aca="false">EDATE('Start Here'!$B$6,C139-1)</f>
        <v>46722</v>
      </c>
      <c r="E139" s="23" t="n">
        <f aca="false">IF(AND(OR(Nonlabor!$D$8="Both",Nonlabor!$D$8='Start Here'!$B$9),IF(Nonlabor!$E$8="Core",1,IF(Nonlabor!$E$8="AI",'Start Here'!$B$7,'Start Here'!$B$8))=1,C139&gt;=IF(Nonlabor!$E$8="Core",Nonlabor!$F$8,MAX(Nonlabor!$F$8,IF(Nonlabor!$E$8="AI",Assumptions!$C$24,Assumptions!$C$25))),C139&lt;=Nonlabor!$G$8,OR(Nonlabor!$H$8="Monthly",AND(Nonlabor!$H$8="Once",C139=IF(Nonlabor!$E$8="Core",Nonlabor!$F$8,MAX(Nonlabor!$F$8,IF(Nonlabor!$E$8="AI",Assumptions!$C$24,Assumptions!$C$25)))),AND(Nonlabor!$H$8="Annual",MOD(C139-IF(Nonlabor!$E$8="Core",Nonlabor!$F$8,MAX(Nonlabor!$F$8,IF(Nonlabor!$E$8="AI",Assumptions!$C$24,Assumptions!$C$25))),12)=0))),IF(Nonlabor!$I$8="Fixed",1,IF(Nonlabor!$I$8="Seats",ROUNDUP('Monthly Lean'!I19,0),IF(Nonlabor!$I$8="Customers",'Monthly Lean'!D19,IF(Nonlabor!$I$8="NewCustomers",'Monthly Lean'!C19,IF(Nonlabor!$I$8="StorageGB",'Monthly Lean'!G19,IF(Nonlabor!$I$8="LogGB",'Monthly Lean'!H19,IF(Nonlabor!$I$8="RequestsM",'Monthly Lean'!F19,IF(Nonlabor!$I$8="InputM",'Monthly Lean'!D19*Assumptions!$C$22/1000000,IF(Nonlabor!$I$8="OutputM",'Monthly Lean'!D19*Assumptions!$C$23/1000000,0))))))))),0)</f>
        <v>0</v>
      </c>
      <c r="F139" s="10" t="n">
        <f aca="false">Nonlabor!$J$8*(1+Assumptions!$C$9)^INT((C139-1)/12)</f>
        <v>1133</v>
      </c>
      <c r="G139" s="10" t="n">
        <f aca="false">E139*F139</f>
        <v>0</v>
      </c>
      <c r="H139" s="10" t="n">
        <f aca="false">IF(OR(Nonlabor!$L$8="Quote required",Nonlabor!$L$8="Unverified"),G139,0)</f>
        <v>0</v>
      </c>
      <c r="I139" s="10" t="n">
        <f aca="false">IF(Nonlabor!$E$8="Core",0,G139)</f>
        <v>0</v>
      </c>
      <c r="J139" s="23" t="str">
        <f aca="false">Nonlabor!$B$8</f>
        <v>INFRA</v>
      </c>
    </row>
    <row r="140" customFormat="false" ht="15" hidden="false" customHeight="false" outlineLevel="0" collapsed="false">
      <c r="A140" s="6" t="s">
        <v>72</v>
      </c>
      <c r="B140" s="6" t="s">
        <v>376</v>
      </c>
      <c r="C140" s="6" t="n">
        <v>15</v>
      </c>
      <c r="D140" s="25" t="n">
        <f aca="false">EDATE('Start Here'!$B$6,C140-1)</f>
        <v>46753</v>
      </c>
      <c r="E140" s="23" t="n">
        <f aca="false">IF(AND(OR(Nonlabor!$D$8="Both",Nonlabor!$D$8='Start Here'!$B$9),IF(Nonlabor!$E$8="Core",1,IF(Nonlabor!$E$8="AI",'Start Here'!$B$7,'Start Here'!$B$8))=1,C140&gt;=IF(Nonlabor!$E$8="Core",Nonlabor!$F$8,MAX(Nonlabor!$F$8,IF(Nonlabor!$E$8="AI",Assumptions!$C$24,Assumptions!$C$25))),C140&lt;=Nonlabor!$G$8,OR(Nonlabor!$H$8="Monthly",AND(Nonlabor!$H$8="Once",C140=IF(Nonlabor!$E$8="Core",Nonlabor!$F$8,MAX(Nonlabor!$F$8,IF(Nonlabor!$E$8="AI",Assumptions!$C$24,Assumptions!$C$25)))),AND(Nonlabor!$H$8="Annual",MOD(C140-IF(Nonlabor!$E$8="Core",Nonlabor!$F$8,MAX(Nonlabor!$F$8,IF(Nonlabor!$E$8="AI",Assumptions!$C$24,Assumptions!$C$25))),12)=0))),IF(Nonlabor!$I$8="Fixed",1,IF(Nonlabor!$I$8="Seats",ROUNDUP('Monthly Lean'!I20,0),IF(Nonlabor!$I$8="Customers",'Monthly Lean'!D20,IF(Nonlabor!$I$8="NewCustomers",'Monthly Lean'!C20,IF(Nonlabor!$I$8="StorageGB",'Monthly Lean'!G20,IF(Nonlabor!$I$8="LogGB",'Monthly Lean'!H20,IF(Nonlabor!$I$8="RequestsM",'Monthly Lean'!F20,IF(Nonlabor!$I$8="InputM",'Monthly Lean'!D20*Assumptions!$C$22/1000000,IF(Nonlabor!$I$8="OutputM",'Monthly Lean'!D20*Assumptions!$C$23/1000000,0))))))))),0)</f>
        <v>0</v>
      </c>
      <c r="F140" s="10" t="n">
        <f aca="false">Nonlabor!$J$8*(1+Assumptions!$C$9)^INT((C140-1)/12)</f>
        <v>1133</v>
      </c>
      <c r="G140" s="10" t="n">
        <f aca="false">E140*F140</f>
        <v>0</v>
      </c>
      <c r="H140" s="10" t="n">
        <f aca="false">IF(OR(Nonlabor!$L$8="Quote required",Nonlabor!$L$8="Unverified"),G140,0)</f>
        <v>0</v>
      </c>
      <c r="I140" s="10" t="n">
        <f aca="false">IF(Nonlabor!$E$8="Core",0,G140)</f>
        <v>0</v>
      </c>
      <c r="J140" s="23" t="str">
        <f aca="false">Nonlabor!$B$8</f>
        <v>INFRA</v>
      </c>
    </row>
    <row r="141" customFormat="false" ht="15" hidden="false" customHeight="false" outlineLevel="0" collapsed="false">
      <c r="A141" s="6" t="s">
        <v>72</v>
      </c>
      <c r="B141" s="6" t="s">
        <v>376</v>
      </c>
      <c r="C141" s="6" t="n">
        <v>16</v>
      </c>
      <c r="D141" s="25" t="n">
        <f aca="false">EDATE('Start Here'!$B$6,C141-1)</f>
        <v>46784</v>
      </c>
      <c r="E141" s="23" t="n">
        <f aca="false">IF(AND(OR(Nonlabor!$D$8="Both",Nonlabor!$D$8='Start Here'!$B$9),IF(Nonlabor!$E$8="Core",1,IF(Nonlabor!$E$8="AI",'Start Here'!$B$7,'Start Here'!$B$8))=1,C141&gt;=IF(Nonlabor!$E$8="Core",Nonlabor!$F$8,MAX(Nonlabor!$F$8,IF(Nonlabor!$E$8="AI",Assumptions!$C$24,Assumptions!$C$25))),C141&lt;=Nonlabor!$G$8,OR(Nonlabor!$H$8="Monthly",AND(Nonlabor!$H$8="Once",C141=IF(Nonlabor!$E$8="Core",Nonlabor!$F$8,MAX(Nonlabor!$F$8,IF(Nonlabor!$E$8="AI",Assumptions!$C$24,Assumptions!$C$25)))),AND(Nonlabor!$H$8="Annual",MOD(C141-IF(Nonlabor!$E$8="Core",Nonlabor!$F$8,MAX(Nonlabor!$F$8,IF(Nonlabor!$E$8="AI",Assumptions!$C$24,Assumptions!$C$25))),12)=0))),IF(Nonlabor!$I$8="Fixed",1,IF(Nonlabor!$I$8="Seats",ROUNDUP('Monthly Lean'!I21,0),IF(Nonlabor!$I$8="Customers",'Monthly Lean'!D21,IF(Nonlabor!$I$8="NewCustomers",'Monthly Lean'!C21,IF(Nonlabor!$I$8="StorageGB",'Monthly Lean'!G21,IF(Nonlabor!$I$8="LogGB",'Monthly Lean'!H21,IF(Nonlabor!$I$8="RequestsM",'Monthly Lean'!F21,IF(Nonlabor!$I$8="InputM",'Monthly Lean'!D21*Assumptions!$C$22/1000000,IF(Nonlabor!$I$8="OutputM",'Monthly Lean'!D21*Assumptions!$C$23/1000000,0))))))))),0)</f>
        <v>0</v>
      </c>
      <c r="F141" s="10" t="n">
        <f aca="false">Nonlabor!$J$8*(1+Assumptions!$C$9)^INT((C141-1)/12)</f>
        <v>1133</v>
      </c>
      <c r="G141" s="10" t="n">
        <f aca="false">E141*F141</f>
        <v>0</v>
      </c>
      <c r="H141" s="10" t="n">
        <f aca="false">IF(OR(Nonlabor!$L$8="Quote required",Nonlabor!$L$8="Unverified"),G141,0)</f>
        <v>0</v>
      </c>
      <c r="I141" s="10" t="n">
        <f aca="false">IF(Nonlabor!$E$8="Core",0,G141)</f>
        <v>0</v>
      </c>
      <c r="J141" s="23" t="str">
        <f aca="false">Nonlabor!$B$8</f>
        <v>INFRA</v>
      </c>
    </row>
    <row r="142" customFormat="false" ht="15" hidden="false" customHeight="false" outlineLevel="0" collapsed="false">
      <c r="A142" s="6" t="s">
        <v>72</v>
      </c>
      <c r="B142" s="6" t="s">
        <v>376</v>
      </c>
      <c r="C142" s="6" t="n">
        <v>17</v>
      </c>
      <c r="D142" s="25" t="n">
        <f aca="false">EDATE('Start Here'!$B$6,C142-1)</f>
        <v>46813</v>
      </c>
      <c r="E142" s="23" t="n">
        <f aca="false">IF(AND(OR(Nonlabor!$D$8="Both",Nonlabor!$D$8='Start Here'!$B$9),IF(Nonlabor!$E$8="Core",1,IF(Nonlabor!$E$8="AI",'Start Here'!$B$7,'Start Here'!$B$8))=1,C142&gt;=IF(Nonlabor!$E$8="Core",Nonlabor!$F$8,MAX(Nonlabor!$F$8,IF(Nonlabor!$E$8="AI",Assumptions!$C$24,Assumptions!$C$25))),C142&lt;=Nonlabor!$G$8,OR(Nonlabor!$H$8="Monthly",AND(Nonlabor!$H$8="Once",C142=IF(Nonlabor!$E$8="Core",Nonlabor!$F$8,MAX(Nonlabor!$F$8,IF(Nonlabor!$E$8="AI",Assumptions!$C$24,Assumptions!$C$25)))),AND(Nonlabor!$H$8="Annual",MOD(C142-IF(Nonlabor!$E$8="Core",Nonlabor!$F$8,MAX(Nonlabor!$F$8,IF(Nonlabor!$E$8="AI",Assumptions!$C$24,Assumptions!$C$25))),12)=0))),IF(Nonlabor!$I$8="Fixed",1,IF(Nonlabor!$I$8="Seats",ROUNDUP('Monthly Lean'!I22,0),IF(Nonlabor!$I$8="Customers",'Monthly Lean'!D22,IF(Nonlabor!$I$8="NewCustomers",'Monthly Lean'!C22,IF(Nonlabor!$I$8="StorageGB",'Monthly Lean'!G22,IF(Nonlabor!$I$8="LogGB",'Monthly Lean'!H22,IF(Nonlabor!$I$8="RequestsM",'Monthly Lean'!F22,IF(Nonlabor!$I$8="InputM",'Monthly Lean'!D22*Assumptions!$C$22/1000000,IF(Nonlabor!$I$8="OutputM",'Monthly Lean'!D22*Assumptions!$C$23/1000000,0))))))))),0)</f>
        <v>0</v>
      </c>
      <c r="F142" s="10" t="n">
        <f aca="false">Nonlabor!$J$8*(1+Assumptions!$C$9)^INT((C142-1)/12)</f>
        <v>1133</v>
      </c>
      <c r="G142" s="10" t="n">
        <f aca="false">E142*F142</f>
        <v>0</v>
      </c>
      <c r="H142" s="10" t="n">
        <f aca="false">IF(OR(Nonlabor!$L$8="Quote required",Nonlabor!$L$8="Unverified"),G142,0)</f>
        <v>0</v>
      </c>
      <c r="I142" s="10" t="n">
        <f aca="false">IF(Nonlabor!$E$8="Core",0,G142)</f>
        <v>0</v>
      </c>
      <c r="J142" s="23" t="str">
        <f aca="false">Nonlabor!$B$8</f>
        <v>INFRA</v>
      </c>
    </row>
    <row r="143" customFormat="false" ht="15" hidden="false" customHeight="false" outlineLevel="0" collapsed="false">
      <c r="A143" s="6" t="s">
        <v>72</v>
      </c>
      <c r="B143" s="6" t="s">
        <v>376</v>
      </c>
      <c r="C143" s="6" t="n">
        <v>18</v>
      </c>
      <c r="D143" s="25" t="n">
        <f aca="false">EDATE('Start Here'!$B$6,C143-1)</f>
        <v>46844</v>
      </c>
      <c r="E143" s="23" t="n">
        <f aca="false">IF(AND(OR(Nonlabor!$D$8="Both",Nonlabor!$D$8='Start Here'!$B$9),IF(Nonlabor!$E$8="Core",1,IF(Nonlabor!$E$8="AI",'Start Here'!$B$7,'Start Here'!$B$8))=1,C143&gt;=IF(Nonlabor!$E$8="Core",Nonlabor!$F$8,MAX(Nonlabor!$F$8,IF(Nonlabor!$E$8="AI",Assumptions!$C$24,Assumptions!$C$25))),C143&lt;=Nonlabor!$G$8,OR(Nonlabor!$H$8="Monthly",AND(Nonlabor!$H$8="Once",C143=IF(Nonlabor!$E$8="Core",Nonlabor!$F$8,MAX(Nonlabor!$F$8,IF(Nonlabor!$E$8="AI",Assumptions!$C$24,Assumptions!$C$25)))),AND(Nonlabor!$H$8="Annual",MOD(C143-IF(Nonlabor!$E$8="Core",Nonlabor!$F$8,MAX(Nonlabor!$F$8,IF(Nonlabor!$E$8="AI",Assumptions!$C$24,Assumptions!$C$25))),12)=0))),IF(Nonlabor!$I$8="Fixed",1,IF(Nonlabor!$I$8="Seats",ROUNDUP('Monthly Lean'!I23,0),IF(Nonlabor!$I$8="Customers",'Monthly Lean'!D23,IF(Nonlabor!$I$8="NewCustomers",'Monthly Lean'!C23,IF(Nonlabor!$I$8="StorageGB",'Monthly Lean'!G23,IF(Nonlabor!$I$8="LogGB",'Monthly Lean'!H23,IF(Nonlabor!$I$8="RequestsM",'Monthly Lean'!F23,IF(Nonlabor!$I$8="InputM",'Monthly Lean'!D23*Assumptions!$C$22/1000000,IF(Nonlabor!$I$8="OutputM",'Monthly Lean'!D23*Assumptions!$C$23/1000000,0))))))))),0)</f>
        <v>0</v>
      </c>
      <c r="F143" s="10" t="n">
        <f aca="false">Nonlabor!$J$8*(1+Assumptions!$C$9)^INT((C143-1)/12)</f>
        <v>1133</v>
      </c>
      <c r="G143" s="10" t="n">
        <f aca="false">E143*F143</f>
        <v>0</v>
      </c>
      <c r="H143" s="10" t="n">
        <f aca="false">IF(OR(Nonlabor!$L$8="Quote required",Nonlabor!$L$8="Unverified"),G143,0)</f>
        <v>0</v>
      </c>
      <c r="I143" s="10" t="n">
        <f aca="false">IF(Nonlabor!$E$8="Core",0,G143)</f>
        <v>0</v>
      </c>
      <c r="J143" s="23" t="str">
        <f aca="false">Nonlabor!$B$8</f>
        <v>INFRA</v>
      </c>
    </row>
    <row r="144" customFormat="false" ht="15" hidden="false" customHeight="false" outlineLevel="0" collapsed="false">
      <c r="A144" s="6" t="s">
        <v>72</v>
      </c>
      <c r="B144" s="6" t="s">
        <v>376</v>
      </c>
      <c r="C144" s="6" t="n">
        <v>19</v>
      </c>
      <c r="D144" s="25" t="n">
        <f aca="false">EDATE('Start Here'!$B$6,C144-1)</f>
        <v>46874</v>
      </c>
      <c r="E144" s="23" t="n">
        <f aca="false">IF(AND(OR(Nonlabor!$D$8="Both",Nonlabor!$D$8='Start Here'!$B$9),IF(Nonlabor!$E$8="Core",1,IF(Nonlabor!$E$8="AI",'Start Here'!$B$7,'Start Here'!$B$8))=1,C144&gt;=IF(Nonlabor!$E$8="Core",Nonlabor!$F$8,MAX(Nonlabor!$F$8,IF(Nonlabor!$E$8="AI",Assumptions!$C$24,Assumptions!$C$25))),C144&lt;=Nonlabor!$G$8,OR(Nonlabor!$H$8="Monthly",AND(Nonlabor!$H$8="Once",C144=IF(Nonlabor!$E$8="Core",Nonlabor!$F$8,MAX(Nonlabor!$F$8,IF(Nonlabor!$E$8="AI",Assumptions!$C$24,Assumptions!$C$25)))),AND(Nonlabor!$H$8="Annual",MOD(C144-IF(Nonlabor!$E$8="Core",Nonlabor!$F$8,MAX(Nonlabor!$F$8,IF(Nonlabor!$E$8="AI",Assumptions!$C$24,Assumptions!$C$25))),12)=0))),IF(Nonlabor!$I$8="Fixed",1,IF(Nonlabor!$I$8="Seats",ROUNDUP('Monthly Lean'!I24,0),IF(Nonlabor!$I$8="Customers",'Monthly Lean'!D24,IF(Nonlabor!$I$8="NewCustomers",'Monthly Lean'!C24,IF(Nonlabor!$I$8="StorageGB",'Monthly Lean'!G24,IF(Nonlabor!$I$8="LogGB",'Monthly Lean'!H24,IF(Nonlabor!$I$8="RequestsM",'Monthly Lean'!F24,IF(Nonlabor!$I$8="InputM",'Monthly Lean'!D24*Assumptions!$C$22/1000000,IF(Nonlabor!$I$8="OutputM",'Monthly Lean'!D24*Assumptions!$C$23/1000000,0))))))))),0)</f>
        <v>0</v>
      </c>
      <c r="F144" s="10" t="n">
        <f aca="false">Nonlabor!$J$8*(1+Assumptions!$C$9)^INT((C144-1)/12)</f>
        <v>1133</v>
      </c>
      <c r="G144" s="10" t="n">
        <f aca="false">E144*F144</f>
        <v>0</v>
      </c>
      <c r="H144" s="10" t="n">
        <f aca="false">IF(OR(Nonlabor!$L$8="Quote required",Nonlabor!$L$8="Unverified"),G144,0)</f>
        <v>0</v>
      </c>
      <c r="I144" s="10" t="n">
        <f aca="false">IF(Nonlabor!$E$8="Core",0,G144)</f>
        <v>0</v>
      </c>
      <c r="J144" s="23" t="str">
        <f aca="false">Nonlabor!$B$8</f>
        <v>INFRA</v>
      </c>
    </row>
    <row r="145" customFormat="false" ht="15" hidden="false" customHeight="false" outlineLevel="0" collapsed="false">
      <c r="A145" s="6" t="s">
        <v>72</v>
      </c>
      <c r="B145" s="6" t="s">
        <v>376</v>
      </c>
      <c r="C145" s="6" t="n">
        <v>20</v>
      </c>
      <c r="D145" s="25" t="n">
        <f aca="false">EDATE('Start Here'!$B$6,C145-1)</f>
        <v>46905</v>
      </c>
      <c r="E145" s="23" t="n">
        <f aca="false">IF(AND(OR(Nonlabor!$D$8="Both",Nonlabor!$D$8='Start Here'!$B$9),IF(Nonlabor!$E$8="Core",1,IF(Nonlabor!$E$8="AI",'Start Here'!$B$7,'Start Here'!$B$8))=1,C145&gt;=IF(Nonlabor!$E$8="Core",Nonlabor!$F$8,MAX(Nonlabor!$F$8,IF(Nonlabor!$E$8="AI",Assumptions!$C$24,Assumptions!$C$25))),C145&lt;=Nonlabor!$G$8,OR(Nonlabor!$H$8="Monthly",AND(Nonlabor!$H$8="Once",C145=IF(Nonlabor!$E$8="Core",Nonlabor!$F$8,MAX(Nonlabor!$F$8,IF(Nonlabor!$E$8="AI",Assumptions!$C$24,Assumptions!$C$25)))),AND(Nonlabor!$H$8="Annual",MOD(C145-IF(Nonlabor!$E$8="Core",Nonlabor!$F$8,MAX(Nonlabor!$F$8,IF(Nonlabor!$E$8="AI",Assumptions!$C$24,Assumptions!$C$25))),12)=0))),IF(Nonlabor!$I$8="Fixed",1,IF(Nonlabor!$I$8="Seats",ROUNDUP('Monthly Lean'!I25,0),IF(Nonlabor!$I$8="Customers",'Monthly Lean'!D25,IF(Nonlabor!$I$8="NewCustomers",'Monthly Lean'!C25,IF(Nonlabor!$I$8="StorageGB",'Monthly Lean'!G25,IF(Nonlabor!$I$8="LogGB",'Monthly Lean'!H25,IF(Nonlabor!$I$8="RequestsM",'Monthly Lean'!F25,IF(Nonlabor!$I$8="InputM",'Monthly Lean'!D25*Assumptions!$C$22/1000000,IF(Nonlabor!$I$8="OutputM",'Monthly Lean'!D25*Assumptions!$C$23/1000000,0))))))))),0)</f>
        <v>0</v>
      </c>
      <c r="F145" s="10" t="n">
        <f aca="false">Nonlabor!$J$8*(1+Assumptions!$C$9)^INT((C145-1)/12)</f>
        <v>1133</v>
      </c>
      <c r="G145" s="10" t="n">
        <f aca="false">E145*F145</f>
        <v>0</v>
      </c>
      <c r="H145" s="10" t="n">
        <f aca="false">IF(OR(Nonlabor!$L$8="Quote required",Nonlabor!$L$8="Unverified"),G145,0)</f>
        <v>0</v>
      </c>
      <c r="I145" s="10" t="n">
        <f aca="false">IF(Nonlabor!$E$8="Core",0,G145)</f>
        <v>0</v>
      </c>
      <c r="J145" s="23" t="str">
        <f aca="false">Nonlabor!$B$8</f>
        <v>INFRA</v>
      </c>
    </row>
    <row r="146" customFormat="false" ht="15" hidden="false" customHeight="false" outlineLevel="0" collapsed="false">
      <c r="A146" s="6" t="s">
        <v>72</v>
      </c>
      <c r="B146" s="6" t="s">
        <v>376</v>
      </c>
      <c r="C146" s="6" t="n">
        <v>21</v>
      </c>
      <c r="D146" s="25" t="n">
        <f aca="false">EDATE('Start Here'!$B$6,C146-1)</f>
        <v>46935</v>
      </c>
      <c r="E146" s="23" t="n">
        <f aca="false">IF(AND(OR(Nonlabor!$D$8="Both",Nonlabor!$D$8='Start Here'!$B$9),IF(Nonlabor!$E$8="Core",1,IF(Nonlabor!$E$8="AI",'Start Here'!$B$7,'Start Here'!$B$8))=1,C146&gt;=IF(Nonlabor!$E$8="Core",Nonlabor!$F$8,MAX(Nonlabor!$F$8,IF(Nonlabor!$E$8="AI",Assumptions!$C$24,Assumptions!$C$25))),C146&lt;=Nonlabor!$G$8,OR(Nonlabor!$H$8="Monthly",AND(Nonlabor!$H$8="Once",C146=IF(Nonlabor!$E$8="Core",Nonlabor!$F$8,MAX(Nonlabor!$F$8,IF(Nonlabor!$E$8="AI",Assumptions!$C$24,Assumptions!$C$25)))),AND(Nonlabor!$H$8="Annual",MOD(C146-IF(Nonlabor!$E$8="Core",Nonlabor!$F$8,MAX(Nonlabor!$F$8,IF(Nonlabor!$E$8="AI",Assumptions!$C$24,Assumptions!$C$25))),12)=0))),IF(Nonlabor!$I$8="Fixed",1,IF(Nonlabor!$I$8="Seats",ROUNDUP('Monthly Lean'!I26,0),IF(Nonlabor!$I$8="Customers",'Monthly Lean'!D26,IF(Nonlabor!$I$8="NewCustomers",'Monthly Lean'!C26,IF(Nonlabor!$I$8="StorageGB",'Monthly Lean'!G26,IF(Nonlabor!$I$8="LogGB",'Monthly Lean'!H26,IF(Nonlabor!$I$8="RequestsM",'Monthly Lean'!F26,IF(Nonlabor!$I$8="InputM",'Monthly Lean'!D26*Assumptions!$C$22/1000000,IF(Nonlabor!$I$8="OutputM",'Monthly Lean'!D26*Assumptions!$C$23/1000000,0))))))))),0)</f>
        <v>0</v>
      </c>
      <c r="F146" s="10" t="n">
        <f aca="false">Nonlabor!$J$8*(1+Assumptions!$C$9)^INT((C146-1)/12)</f>
        <v>1133</v>
      </c>
      <c r="G146" s="10" t="n">
        <f aca="false">E146*F146</f>
        <v>0</v>
      </c>
      <c r="H146" s="10" t="n">
        <f aca="false">IF(OR(Nonlabor!$L$8="Quote required",Nonlabor!$L$8="Unverified"),G146,0)</f>
        <v>0</v>
      </c>
      <c r="I146" s="10" t="n">
        <f aca="false">IF(Nonlabor!$E$8="Core",0,G146)</f>
        <v>0</v>
      </c>
      <c r="J146" s="23" t="str">
        <f aca="false">Nonlabor!$B$8</f>
        <v>INFRA</v>
      </c>
    </row>
    <row r="147" customFormat="false" ht="15" hidden="false" customHeight="false" outlineLevel="0" collapsed="false">
      <c r="A147" s="6" t="s">
        <v>72</v>
      </c>
      <c r="B147" s="6" t="s">
        <v>376</v>
      </c>
      <c r="C147" s="6" t="n">
        <v>22</v>
      </c>
      <c r="D147" s="25" t="n">
        <f aca="false">EDATE('Start Here'!$B$6,C147-1)</f>
        <v>46966</v>
      </c>
      <c r="E147" s="23" t="n">
        <f aca="false">IF(AND(OR(Nonlabor!$D$8="Both",Nonlabor!$D$8='Start Here'!$B$9),IF(Nonlabor!$E$8="Core",1,IF(Nonlabor!$E$8="AI",'Start Here'!$B$7,'Start Here'!$B$8))=1,C147&gt;=IF(Nonlabor!$E$8="Core",Nonlabor!$F$8,MAX(Nonlabor!$F$8,IF(Nonlabor!$E$8="AI",Assumptions!$C$24,Assumptions!$C$25))),C147&lt;=Nonlabor!$G$8,OR(Nonlabor!$H$8="Monthly",AND(Nonlabor!$H$8="Once",C147=IF(Nonlabor!$E$8="Core",Nonlabor!$F$8,MAX(Nonlabor!$F$8,IF(Nonlabor!$E$8="AI",Assumptions!$C$24,Assumptions!$C$25)))),AND(Nonlabor!$H$8="Annual",MOD(C147-IF(Nonlabor!$E$8="Core",Nonlabor!$F$8,MAX(Nonlabor!$F$8,IF(Nonlabor!$E$8="AI",Assumptions!$C$24,Assumptions!$C$25))),12)=0))),IF(Nonlabor!$I$8="Fixed",1,IF(Nonlabor!$I$8="Seats",ROUNDUP('Monthly Lean'!I27,0),IF(Nonlabor!$I$8="Customers",'Monthly Lean'!D27,IF(Nonlabor!$I$8="NewCustomers",'Monthly Lean'!C27,IF(Nonlabor!$I$8="StorageGB",'Monthly Lean'!G27,IF(Nonlabor!$I$8="LogGB",'Monthly Lean'!H27,IF(Nonlabor!$I$8="RequestsM",'Monthly Lean'!F27,IF(Nonlabor!$I$8="InputM",'Monthly Lean'!D27*Assumptions!$C$22/1000000,IF(Nonlabor!$I$8="OutputM",'Monthly Lean'!D27*Assumptions!$C$23/1000000,0))))))))),0)</f>
        <v>0</v>
      </c>
      <c r="F147" s="10" t="n">
        <f aca="false">Nonlabor!$J$8*(1+Assumptions!$C$9)^INT((C147-1)/12)</f>
        <v>1133</v>
      </c>
      <c r="G147" s="10" t="n">
        <f aca="false">E147*F147</f>
        <v>0</v>
      </c>
      <c r="H147" s="10" t="n">
        <f aca="false">IF(OR(Nonlabor!$L$8="Quote required",Nonlabor!$L$8="Unverified"),G147,0)</f>
        <v>0</v>
      </c>
      <c r="I147" s="10" t="n">
        <f aca="false">IF(Nonlabor!$E$8="Core",0,G147)</f>
        <v>0</v>
      </c>
      <c r="J147" s="23" t="str">
        <f aca="false">Nonlabor!$B$8</f>
        <v>INFRA</v>
      </c>
    </row>
    <row r="148" customFormat="false" ht="15" hidden="false" customHeight="false" outlineLevel="0" collapsed="false">
      <c r="A148" s="6" t="s">
        <v>72</v>
      </c>
      <c r="B148" s="6" t="s">
        <v>376</v>
      </c>
      <c r="C148" s="6" t="n">
        <v>23</v>
      </c>
      <c r="D148" s="25" t="n">
        <f aca="false">EDATE('Start Here'!$B$6,C148-1)</f>
        <v>46997</v>
      </c>
      <c r="E148" s="23" t="n">
        <f aca="false">IF(AND(OR(Nonlabor!$D$8="Both",Nonlabor!$D$8='Start Here'!$B$9),IF(Nonlabor!$E$8="Core",1,IF(Nonlabor!$E$8="AI",'Start Here'!$B$7,'Start Here'!$B$8))=1,C148&gt;=IF(Nonlabor!$E$8="Core",Nonlabor!$F$8,MAX(Nonlabor!$F$8,IF(Nonlabor!$E$8="AI",Assumptions!$C$24,Assumptions!$C$25))),C148&lt;=Nonlabor!$G$8,OR(Nonlabor!$H$8="Monthly",AND(Nonlabor!$H$8="Once",C148=IF(Nonlabor!$E$8="Core",Nonlabor!$F$8,MAX(Nonlabor!$F$8,IF(Nonlabor!$E$8="AI",Assumptions!$C$24,Assumptions!$C$25)))),AND(Nonlabor!$H$8="Annual",MOD(C148-IF(Nonlabor!$E$8="Core",Nonlabor!$F$8,MAX(Nonlabor!$F$8,IF(Nonlabor!$E$8="AI",Assumptions!$C$24,Assumptions!$C$25))),12)=0))),IF(Nonlabor!$I$8="Fixed",1,IF(Nonlabor!$I$8="Seats",ROUNDUP('Monthly Lean'!I28,0),IF(Nonlabor!$I$8="Customers",'Monthly Lean'!D28,IF(Nonlabor!$I$8="NewCustomers",'Monthly Lean'!C28,IF(Nonlabor!$I$8="StorageGB",'Monthly Lean'!G28,IF(Nonlabor!$I$8="LogGB",'Monthly Lean'!H28,IF(Nonlabor!$I$8="RequestsM",'Monthly Lean'!F28,IF(Nonlabor!$I$8="InputM",'Monthly Lean'!D28*Assumptions!$C$22/1000000,IF(Nonlabor!$I$8="OutputM",'Monthly Lean'!D28*Assumptions!$C$23/1000000,0))))))))),0)</f>
        <v>0</v>
      </c>
      <c r="F148" s="10" t="n">
        <f aca="false">Nonlabor!$J$8*(1+Assumptions!$C$9)^INT((C148-1)/12)</f>
        <v>1133</v>
      </c>
      <c r="G148" s="10" t="n">
        <f aca="false">E148*F148</f>
        <v>0</v>
      </c>
      <c r="H148" s="10" t="n">
        <f aca="false">IF(OR(Nonlabor!$L$8="Quote required",Nonlabor!$L$8="Unverified"),G148,0)</f>
        <v>0</v>
      </c>
      <c r="I148" s="10" t="n">
        <f aca="false">IF(Nonlabor!$E$8="Core",0,G148)</f>
        <v>0</v>
      </c>
      <c r="J148" s="23" t="str">
        <f aca="false">Nonlabor!$B$8</f>
        <v>INFRA</v>
      </c>
    </row>
    <row r="149" customFormat="false" ht="15" hidden="false" customHeight="false" outlineLevel="0" collapsed="false">
      <c r="A149" s="6" t="s">
        <v>72</v>
      </c>
      <c r="B149" s="6" t="s">
        <v>376</v>
      </c>
      <c r="C149" s="6" t="n">
        <v>24</v>
      </c>
      <c r="D149" s="25" t="n">
        <f aca="false">EDATE('Start Here'!$B$6,C149-1)</f>
        <v>47027</v>
      </c>
      <c r="E149" s="23" t="n">
        <f aca="false">IF(AND(OR(Nonlabor!$D$8="Both",Nonlabor!$D$8='Start Here'!$B$9),IF(Nonlabor!$E$8="Core",1,IF(Nonlabor!$E$8="AI",'Start Here'!$B$7,'Start Here'!$B$8))=1,C149&gt;=IF(Nonlabor!$E$8="Core",Nonlabor!$F$8,MAX(Nonlabor!$F$8,IF(Nonlabor!$E$8="AI",Assumptions!$C$24,Assumptions!$C$25))),C149&lt;=Nonlabor!$G$8,OR(Nonlabor!$H$8="Monthly",AND(Nonlabor!$H$8="Once",C149=IF(Nonlabor!$E$8="Core",Nonlabor!$F$8,MAX(Nonlabor!$F$8,IF(Nonlabor!$E$8="AI",Assumptions!$C$24,Assumptions!$C$25)))),AND(Nonlabor!$H$8="Annual",MOD(C149-IF(Nonlabor!$E$8="Core",Nonlabor!$F$8,MAX(Nonlabor!$F$8,IF(Nonlabor!$E$8="AI",Assumptions!$C$24,Assumptions!$C$25))),12)=0))),IF(Nonlabor!$I$8="Fixed",1,IF(Nonlabor!$I$8="Seats",ROUNDUP('Monthly Lean'!I29,0),IF(Nonlabor!$I$8="Customers",'Monthly Lean'!D29,IF(Nonlabor!$I$8="NewCustomers",'Monthly Lean'!C29,IF(Nonlabor!$I$8="StorageGB",'Monthly Lean'!G29,IF(Nonlabor!$I$8="LogGB",'Monthly Lean'!H29,IF(Nonlabor!$I$8="RequestsM",'Monthly Lean'!F29,IF(Nonlabor!$I$8="InputM",'Monthly Lean'!D29*Assumptions!$C$22/1000000,IF(Nonlabor!$I$8="OutputM",'Monthly Lean'!D29*Assumptions!$C$23/1000000,0))))))))),0)</f>
        <v>0</v>
      </c>
      <c r="F149" s="10" t="n">
        <f aca="false">Nonlabor!$J$8*(1+Assumptions!$C$9)^INT((C149-1)/12)</f>
        <v>1133</v>
      </c>
      <c r="G149" s="10" t="n">
        <f aca="false">E149*F149</f>
        <v>0</v>
      </c>
      <c r="H149" s="10" t="n">
        <f aca="false">IF(OR(Nonlabor!$L$8="Quote required",Nonlabor!$L$8="Unverified"),G149,0)</f>
        <v>0</v>
      </c>
      <c r="I149" s="10" t="n">
        <f aca="false">IF(Nonlabor!$E$8="Core",0,G149)</f>
        <v>0</v>
      </c>
      <c r="J149" s="23" t="str">
        <f aca="false">Nonlabor!$B$8</f>
        <v>INFRA</v>
      </c>
    </row>
    <row r="150" customFormat="false" ht="15" hidden="false" customHeight="false" outlineLevel="0" collapsed="false">
      <c r="A150" s="6" t="s">
        <v>72</v>
      </c>
      <c r="B150" s="6" t="s">
        <v>376</v>
      </c>
      <c r="C150" s="6" t="n">
        <v>25</v>
      </c>
      <c r="D150" s="25" t="n">
        <f aca="false">EDATE('Start Here'!$B$6,C150-1)</f>
        <v>47058</v>
      </c>
      <c r="E150" s="23" t="n">
        <f aca="false">IF(AND(OR(Nonlabor!$D$8="Both",Nonlabor!$D$8='Start Here'!$B$9),IF(Nonlabor!$E$8="Core",1,IF(Nonlabor!$E$8="AI",'Start Here'!$B$7,'Start Here'!$B$8))=1,C150&gt;=IF(Nonlabor!$E$8="Core",Nonlabor!$F$8,MAX(Nonlabor!$F$8,IF(Nonlabor!$E$8="AI",Assumptions!$C$24,Assumptions!$C$25))),C150&lt;=Nonlabor!$G$8,OR(Nonlabor!$H$8="Monthly",AND(Nonlabor!$H$8="Once",C150=IF(Nonlabor!$E$8="Core",Nonlabor!$F$8,MAX(Nonlabor!$F$8,IF(Nonlabor!$E$8="AI",Assumptions!$C$24,Assumptions!$C$25)))),AND(Nonlabor!$H$8="Annual",MOD(C150-IF(Nonlabor!$E$8="Core",Nonlabor!$F$8,MAX(Nonlabor!$F$8,IF(Nonlabor!$E$8="AI",Assumptions!$C$24,Assumptions!$C$25))),12)=0))),IF(Nonlabor!$I$8="Fixed",1,IF(Nonlabor!$I$8="Seats",ROUNDUP('Monthly Lean'!I30,0),IF(Nonlabor!$I$8="Customers",'Monthly Lean'!D30,IF(Nonlabor!$I$8="NewCustomers",'Monthly Lean'!C30,IF(Nonlabor!$I$8="StorageGB",'Monthly Lean'!G30,IF(Nonlabor!$I$8="LogGB",'Monthly Lean'!H30,IF(Nonlabor!$I$8="RequestsM",'Monthly Lean'!F30,IF(Nonlabor!$I$8="InputM",'Monthly Lean'!D30*Assumptions!$C$22/1000000,IF(Nonlabor!$I$8="OutputM",'Monthly Lean'!D30*Assumptions!$C$23/1000000,0))))))))),0)</f>
        <v>0</v>
      </c>
      <c r="F150" s="10" t="n">
        <f aca="false">Nonlabor!$J$8*(1+Assumptions!$C$9)^INT((C150-1)/12)</f>
        <v>1166.99</v>
      </c>
      <c r="G150" s="10" t="n">
        <f aca="false">E150*F150</f>
        <v>0</v>
      </c>
      <c r="H150" s="10" t="n">
        <f aca="false">IF(OR(Nonlabor!$L$8="Quote required",Nonlabor!$L$8="Unverified"),G150,0)</f>
        <v>0</v>
      </c>
      <c r="I150" s="10" t="n">
        <f aca="false">IF(Nonlabor!$E$8="Core",0,G150)</f>
        <v>0</v>
      </c>
      <c r="J150" s="23" t="str">
        <f aca="false">Nonlabor!$B$8</f>
        <v>INFRA</v>
      </c>
    </row>
    <row r="151" customFormat="false" ht="15" hidden="false" customHeight="false" outlineLevel="0" collapsed="false">
      <c r="A151" s="6" t="s">
        <v>72</v>
      </c>
      <c r="B151" s="6" t="s">
        <v>376</v>
      </c>
      <c r="C151" s="6" t="n">
        <v>26</v>
      </c>
      <c r="D151" s="25" t="n">
        <f aca="false">EDATE('Start Here'!$B$6,C151-1)</f>
        <v>47088</v>
      </c>
      <c r="E151" s="23" t="n">
        <f aca="false">IF(AND(OR(Nonlabor!$D$8="Both",Nonlabor!$D$8='Start Here'!$B$9),IF(Nonlabor!$E$8="Core",1,IF(Nonlabor!$E$8="AI",'Start Here'!$B$7,'Start Here'!$B$8))=1,C151&gt;=IF(Nonlabor!$E$8="Core",Nonlabor!$F$8,MAX(Nonlabor!$F$8,IF(Nonlabor!$E$8="AI",Assumptions!$C$24,Assumptions!$C$25))),C151&lt;=Nonlabor!$G$8,OR(Nonlabor!$H$8="Monthly",AND(Nonlabor!$H$8="Once",C151=IF(Nonlabor!$E$8="Core",Nonlabor!$F$8,MAX(Nonlabor!$F$8,IF(Nonlabor!$E$8="AI",Assumptions!$C$24,Assumptions!$C$25)))),AND(Nonlabor!$H$8="Annual",MOD(C151-IF(Nonlabor!$E$8="Core",Nonlabor!$F$8,MAX(Nonlabor!$F$8,IF(Nonlabor!$E$8="AI",Assumptions!$C$24,Assumptions!$C$25))),12)=0))),IF(Nonlabor!$I$8="Fixed",1,IF(Nonlabor!$I$8="Seats",ROUNDUP('Monthly Lean'!I31,0),IF(Nonlabor!$I$8="Customers",'Monthly Lean'!D31,IF(Nonlabor!$I$8="NewCustomers",'Monthly Lean'!C31,IF(Nonlabor!$I$8="StorageGB",'Monthly Lean'!G31,IF(Nonlabor!$I$8="LogGB",'Monthly Lean'!H31,IF(Nonlabor!$I$8="RequestsM",'Monthly Lean'!F31,IF(Nonlabor!$I$8="InputM",'Monthly Lean'!D31*Assumptions!$C$22/1000000,IF(Nonlabor!$I$8="OutputM",'Monthly Lean'!D31*Assumptions!$C$23/1000000,0))))))))),0)</f>
        <v>0</v>
      </c>
      <c r="F151" s="10" t="n">
        <f aca="false">Nonlabor!$J$8*(1+Assumptions!$C$9)^INT((C151-1)/12)</f>
        <v>1166.99</v>
      </c>
      <c r="G151" s="10" t="n">
        <f aca="false">E151*F151</f>
        <v>0</v>
      </c>
      <c r="H151" s="10" t="n">
        <f aca="false">IF(OR(Nonlabor!$L$8="Quote required",Nonlabor!$L$8="Unverified"),G151,0)</f>
        <v>0</v>
      </c>
      <c r="I151" s="10" t="n">
        <f aca="false">IF(Nonlabor!$E$8="Core",0,G151)</f>
        <v>0</v>
      </c>
      <c r="J151" s="23" t="str">
        <f aca="false">Nonlabor!$B$8</f>
        <v>INFRA</v>
      </c>
    </row>
    <row r="152" customFormat="false" ht="15" hidden="false" customHeight="false" outlineLevel="0" collapsed="false">
      <c r="A152" s="6" t="s">
        <v>72</v>
      </c>
      <c r="B152" s="6" t="s">
        <v>376</v>
      </c>
      <c r="C152" s="6" t="n">
        <v>27</v>
      </c>
      <c r="D152" s="25" t="n">
        <f aca="false">EDATE('Start Here'!$B$6,C152-1)</f>
        <v>47119</v>
      </c>
      <c r="E152" s="23" t="n">
        <f aca="false">IF(AND(OR(Nonlabor!$D$8="Both",Nonlabor!$D$8='Start Here'!$B$9),IF(Nonlabor!$E$8="Core",1,IF(Nonlabor!$E$8="AI",'Start Here'!$B$7,'Start Here'!$B$8))=1,C152&gt;=IF(Nonlabor!$E$8="Core",Nonlabor!$F$8,MAX(Nonlabor!$F$8,IF(Nonlabor!$E$8="AI",Assumptions!$C$24,Assumptions!$C$25))),C152&lt;=Nonlabor!$G$8,OR(Nonlabor!$H$8="Monthly",AND(Nonlabor!$H$8="Once",C152=IF(Nonlabor!$E$8="Core",Nonlabor!$F$8,MAX(Nonlabor!$F$8,IF(Nonlabor!$E$8="AI",Assumptions!$C$24,Assumptions!$C$25)))),AND(Nonlabor!$H$8="Annual",MOD(C152-IF(Nonlabor!$E$8="Core",Nonlabor!$F$8,MAX(Nonlabor!$F$8,IF(Nonlabor!$E$8="AI",Assumptions!$C$24,Assumptions!$C$25))),12)=0))),IF(Nonlabor!$I$8="Fixed",1,IF(Nonlabor!$I$8="Seats",ROUNDUP('Monthly Lean'!I32,0),IF(Nonlabor!$I$8="Customers",'Monthly Lean'!D32,IF(Nonlabor!$I$8="NewCustomers",'Monthly Lean'!C32,IF(Nonlabor!$I$8="StorageGB",'Monthly Lean'!G32,IF(Nonlabor!$I$8="LogGB",'Monthly Lean'!H32,IF(Nonlabor!$I$8="RequestsM",'Monthly Lean'!F32,IF(Nonlabor!$I$8="InputM",'Monthly Lean'!D32*Assumptions!$C$22/1000000,IF(Nonlabor!$I$8="OutputM",'Monthly Lean'!D32*Assumptions!$C$23/1000000,0))))))))),0)</f>
        <v>0</v>
      </c>
      <c r="F152" s="10" t="n">
        <f aca="false">Nonlabor!$J$8*(1+Assumptions!$C$9)^INT((C152-1)/12)</f>
        <v>1166.99</v>
      </c>
      <c r="G152" s="10" t="n">
        <f aca="false">E152*F152</f>
        <v>0</v>
      </c>
      <c r="H152" s="10" t="n">
        <f aca="false">IF(OR(Nonlabor!$L$8="Quote required",Nonlabor!$L$8="Unverified"),G152,0)</f>
        <v>0</v>
      </c>
      <c r="I152" s="10" t="n">
        <f aca="false">IF(Nonlabor!$E$8="Core",0,G152)</f>
        <v>0</v>
      </c>
      <c r="J152" s="23" t="str">
        <f aca="false">Nonlabor!$B$8</f>
        <v>INFRA</v>
      </c>
    </row>
    <row r="153" customFormat="false" ht="15" hidden="false" customHeight="false" outlineLevel="0" collapsed="false">
      <c r="A153" s="6" t="s">
        <v>72</v>
      </c>
      <c r="B153" s="6" t="s">
        <v>376</v>
      </c>
      <c r="C153" s="6" t="n">
        <v>28</v>
      </c>
      <c r="D153" s="25" t="n">
        <f aca="false">EDATE('Start Here'!$B$6,C153-1)</f>
        <v>47150</v>
      </c>
      <c r="E153" s="23" t="n">
        <f aca="false">IF(AND(OR(Nonlabor!$D$8="Both",Nonlabor!$D$8='Start Here'!$B$9),IF(Nonlabor!$E$8="Core",1,IF(Nonlabor!$E$8="AI",'Start Here'!$B$7,'Start Here'!$B$8))=1,C153&gt;=IF(Nonlabor!$E$8="Core",Nonlabor!$F$8,MAX(Nonlabor!$F$8,IF(Nonlabor!$E$8="AI",Assumptions!$C$24,Assumptions!$C$25))),C153&lt;=Nonlabor!$G$8,OR(Nonlabor!$H$8="Monthly",AND(Nonlabor!$H$8="Once",C153=IF(Nonlabor!$E$8="Core",Nonlabor!$F$8,MAX(Nonlabor!$F$8,IF(Nonlabor!$E$8="AI",Assumptions!$C$24,Assumptions!$C$25)))),AND(Nonlabor!$H$8="Annual",MOD(C153-IF(Nonlabor!$E$8="Core",Nonlabor!$F$8,MAX(Nonlabor!$F$8,IF(Nonlabor!$E$8="AI",Assumptions!$C$24,Assumptions!$C$25))),12)=0))),IF(Nonlabor!$I$8="Fixed",1,IF(Nonlabor!$I$8="Seats",ROUNDUP('Monthly Lean'!I33,0),IF(Nonlabor!$I$8="Customers",'Monthly Lean'!D33,IF(Nonlabor!$I$8="NewCustomers",'Monthly Lean'!C33,IF(Nonlabor!$I$8="StorageGB",'Monthly Lean'!G33,IF(Nonlabor!$I$8="LogGB",'Monthly Lean'!H33,IF(Nonlabor!$I$8="RequestsM",'Monthly Lean'!F33,IF(Nonlabor!$I$8="InputM",'Monthly Lean'!D33*Assumptions!$C$22/1000000,IF(Nonlabor!$I$8="OutputM",'Monthly Lean'!D33*Assumptions!$C$23/1000000,0))))))))),0)</f>
        <v>0</v>
      </c>
      <c r="F153" s="10" t="n">
        <f aca="false">Nonlabor!$J$8*(1+Assumptions!$C$9)^INT((C153-1)/12)</f>
        <v>1166.99</v>
      </c>
      <c r="G153" s="10" t="n">
        <f aca="false">E153*F153</f>
        <v>0</v>
      </c>
      <c r="H153" s="10" t="n">
        <f aca="false">IF(OR(Nonlabor!$L$8="Quote required",Nonlabor!$L$8="Unverified"),G153,0)</f>
        <v>0</v>
      </c>
      <c r="I153" s="10" t="n">
        <f aca="false">IF(Nonlabor!$E$8="Core",0,G153)</f>
        <v>0</v>
      </c>
      <c r="J153" s="23" t="str">
        <f aca="false">Nonlabor!$B$8</f>
        <v>INFRA</v>
      </c>
    </row>
    <row r="154" customFormat="false" ht="15" hidden="false" customHeight="false" outlineLevel="0" collapsed="false">
      <c r="A154" s="6" t="s">
        <v>72</v>
      </c>
      <c r="B154" s="6" t="s">
        <v>376</v>
      </c>
      <c r="C154" s="6" t="n">
        <v>29</v>
      </c>
      <c r="D154" s="25" t="n">
        <f aca="false">EDATE('Start Here'!$B$6,C154-1)</f>
        <v>47178</v>
      </c>
      <c r="E154" s="23" t="n">
        <f aca="false">IF(AND(OR(Nonlabor!$D$8="Both",Nonlabor!$D$8='Start Here'!$B$9),IF(Nonlabor!$E$8="Core",1,IF(Nonlabor!$E$8="AI",'Start Here'!$B$7,'Start Here'!$B$8))=1,C154&gt;=IF(Nonlabor!$E$8="Core",Nonlabor!$F$8,MAX(Nonlabor!$F$8,IF(Nonlabor!$E$8="AI",Assumptions!$C$24,Assumptions!$C$25))),C154&lt;=Nonlabor!$G$8,OR(Nonlabor!$H$8="Monthly",AND(Nonlabor!$H$8="Once",C154=IF(Nonlabor!$E$8="Core",Nonlabor!$F$8,MAX(Nonlabor!$F$8,IF(Nonlabor!$E$8="AI",Assumptions!$C$24,Assumptions!$C$25)))),AND(Nonlabor!$H$8="Annual",MOD(C154-IF(Nonlabor!$E$8="Core",Nonlabor!$F$8,MAX(Nonlabor!$F$8,IF(Nonlabor!$E$8="AI",Assumptions!$C$24,Assumptions!$C$25))),12)=0))),IF(Nonlabor!$I$8="Fixed",1,IF(Nonlabor!$I$8="Seats",ROUNDUP('Monthly Lean'!I34,0),IF(Nonlabor!$I$8="Customers",'Monthly Lean'!D34,IF(Nonlabor!$I$8="NewCustomers",'Monthly Lean'!C34,IF(Nonlabor!$I$8="StorageGB",'Monthly Lean'!G34,IF(Nonlabor!$I$8="LogGB",'Monthly Lean'!H34,IF(Nonlabor!$I$8="RequestsM",'Monthly Lean'!F34,IF(Nonlabor!$I$8="InputM",'Monthly Lean'!D34*Assumptions!$C$22/1000000,IF(Nonlabor!$I$8="OutputM",'Monthly Lean'!D34*Assumptions!$C$23/1000000,0))))))))),0)</f>
        <v>0</v>
      </c>
      <c r="F154" s="10" t="n">
        <f aca="false">Nonlabor!$J$8*(1+Assumptions!$C$9)^INT((C154-1)/12)</f>
        <v>1166.99</v>
      </c>
      <c r="G154" s="10" t="n">
        <f aca="false">E154*F154</f>
        <v>0</v>
      </c>
      <c r="H154" s="10" t="n">
        <f aca="false">IF(OR(Nonlabor!$L$8="Quote required",Nonlabor!$L$8="Unverified"),G154,0)</f>
        <v>0</v>
      </c>
      <c r="I154" s="10" t="n">
        <f aca="false">IF(Nonlabor!$E$8="Core",0,G154)</f>
        <v>0</v>
      </c>
      <c r="J154" s="23" t="str">
        <f aca="false">Nonlabor!$B$8</f>
        <v>INFRA</v>
      </c>
    </row>
    <row r="155" customFormat="false" ht="15" hidden="false" customHeight="false" outlineLevel="0" collapsed="false">
      <c r="A155" s="6" t="s">
        <v>72</v>
      </c>
      <c r="B155" s="6" t="s">
        <v>376</v>
      </c>
      <c r="C155" s="6" t="n">
        <v>30</v>
      </c>
      <c r="D155" s="25" t="n">
        <f aca="false">EDATE('Start Here'!$B$6,C155-1)</f>
        <v>47209</v>
      </c>
      <c r="E155" s="23" t="n">
        <f aca="false">IF(AND(OR(Nonlabor!$D$8="Both",Nonlabor!$D$8='Start Here'!$B$9),IF(Nonlabor!$E$8="Core",1,IF(Nonlabor!$E$8="AI",'Start Here'!$B$7,'Start Here'!$B$8))=1,C155&gt;=IF(Nonlabor!$E$8="Core",Nonlabor!$F$8,MAX(Nonlabor!$F$8,IF(Nonlabor!$E$8="AI",Assumptions!$C$24,Assumptions!$C$25))),C155&lt;=Nonlabor!$G$8,OR(Nonlabor!$H$8="Monthly",AND(Nonlabor!$H$8="Once",C155=IF(Nonlabor!$E$8="Core",Nonlabor!$F$8,MAX(Nonlabor!$F$8,IF(Nonlabor!$E$8="AI",Assumptions!$C$24,Assumptions!$C$25)))),AND(Nonlabor!$H$8="Annual",MOD(C155-IF(Nonlabor!$E$8="Core",Nonlabor!$F$8,MAX(Nonlabor!$F$8,IF(Nonlabor!$E$8="AI",Assumptions!$C$24,Assumptions!$C$25))),12)=0))),IF(Nonlabor!$I$8="Fixed",1,IF(Nonlabor!$I$8="Seats",ROUNDUP('Monthly Lean'!I35,0),IF(Nonlabor!$I$8="Customers",'Monthly Lean'!D35,IF(Nonlabor!$I$8="NewCustomers",'Monthly Lean'!C35,IF(Nonlabor!$I$8="StorageGB",'Monthly Lean'!G35,IF(Nonlabor!$I$8="LogGB",'Monthly Lean'!H35,IF(Nonlabor!$I$8="RequestsM",'Monthly Lean'!F35,IF(Nonlabor!$I$8="InputM",'Monthly Lean'!D35*Assumptions!$C$22/1000000,IF(Nonlabor!$I$8="OutputM",'Monthly Lean'!D35*Assumptions!$C$23/1000000,0))))))))),0)</f>
        <v>0</v>
      </c>
      <c r="F155" s="10" t="n">
        <f aca="false">Nonlabor!$J$8*(1+Assumptions!$C$9)^INT((C155-1)/12)</f>
        <v>1166.99</v>
      </c>
      <c r="G155" s="10" t="n">
        <f aca="false">E155*F155</f>
        <v>0</v>
      </c>
      <c r="H155" s="10" t="n">
        <f aca="false">IF(OR(Nonlabor!$L$8="Quote required",Nonlabor!$L$8="Unverified"),G155,0)</f>
        <v>0</v>
      </c>
      <c r="I155" s="10" t="n">
        <f aca="false">IF(Nonlabor!$E$8="Core",0,G155)</f>
        <v>0</v>
      </c>
      <c r="J155" s="23" t="str">
        <f aca="false">Nonlabor!$B$8</f>
        <v>INFRA</v>
      </c>
    </row>
    <row r="156" customFormat="false" ht="15" hidden="false" customHeight="false" outlineLevel="0" collapsed="false">
      <c r="A156" s="6" t="s">
        <v>72</v>
      </c>
      <c r="B156" s="6" t="s">
        <v>376</v>
      </c>
      <c r="C156" s="6" t="n">
        <v>31</v>
      </c>
      <c r="D156" s="25" t="n">
        <f aca="false">EDATE('Start Here'!$B$6,C156-1)</f>
        <v>47239</v>
      </c>
      <c r="E156" s="23" t="n">
        <f aca="false">IF(AND(OR(Nonlabor!$D$8="Both",Nonlabor!$D$8='Start Here'!$B$9),IF(Nonlabor!$E$8="Core",1,IF(Nonlabor!$E$8="AI",'Start Here'!$B$7,'Start Here'!$B$8))=1,C156&gt;=IF(Nonlabor!$E$8="Core",Nonlabor!$F$8,MAX(Nonlabor!$F$8,IF(Nonlabor!$E$8="AI",Assumptions!$C$24,Assumptions!$C$25))),C156&lt;=Nonlabor!$G$8,OR(Nonlabor!$H$8="Monthly",AND(Nonlabor!$H$8="Once",C156=IF(Nonlabor!$E$8="Core",Nonlabor!$F$8,MAX(Nonlabor!$F$8,IF(Nonlabor!$E$8="AI",Assumptions!$C$24,Assumptions!$C$25)))),AND(Nonlabor!$H$8="Annual",MOD(C156-IF(Nonlabor!$E$8="Core",Nonlabor!$F$8,MAX(Nonlabor!$F$8,IF(Nonlabor!$E$8="AI",Assumptions!$C$24,Assumptions!$C$25))),12)=0))),IF(Nonlabor!$I$8="Fixed",1,IF(Nonlabor!$I$8="Seats",ROUNDUP('Monthly Lean'!I36,0),IF(Nonlabor!$I$8="Customers",'Monthly Lean'!D36,IF(Nonlabor!$I$8="NewCustomers",'Monthly Lean'!C36,IF(Nonlabor!$I$8="StorageGB",'Monthly Lean'!G36,IF(Nonlabor!$I$8="LogGB",'Monthly Lean'!H36,IF(Nonlabor!$I$8="RequestsM",'Monthly Lean'!F36,IF(Nonlabor!$I$8="InputM",'Monthly Lean'!D36*Assumptions!$C$22/1000000,IF(Nonlabor!$I$8="OutputM",'Monthly Lean'!D36*Assumptions!$C$23/1000000,0))))))))),0)</f>
        <v>0</v>
      </c>
      <c r="F156" s="10" t="n">
        <f aca="false">Nonlabor!$J$8*(1+Assumptions!$C$9)^INT((C156-1)/12)</f>
        <v>1166.99</v>
      </c>
      <c r="G156" s="10" t="n">
        <f aca="false">E156*F156</f>
        <v>0</v>
      </c>
      <c r="H156" s="10" t="n">
        <f aca="false">IF(OR(Nonlabor!$L$8="Quote required",Nonlabor!$L$8="Unverified"),G156,0)</f>
        <v>0</v>
      </c>
      <c r="I156" s="10" t="n">
        <f aca="false">IF(Nonlabor!$E$8="Core",0,G156)</f>
        <v>0</v>
      </c>
      <c r="J156" s="23" t="str">
        <f aca="false">Nonlabor!$B$8</f>
        <v>INFRA</v>
      </c>
    </row>
    <row r="157" customFormat="false" ht="15" hidden="false" customHeight="false" outlineLevel="0" collapsed="false">
      <c r="A157" s="6" t="s">
        <v>72</v>
      </c>
      <c r="B157" s="6" t="s">
        <v>376</v>
      </c>
      <c r="C157" s="6" t="n">
        <v>32</v>
      </c>
      <c r="D157" s="25" t="n">
        <f aca="false">EDATE('Start Here'!$B$6,C157-1)</f>
        <v>47270</v>
      </c>
      <c r="E157" s="23" t="n">
        <f aca="false">IF(AND(OR(Nonlabor!$D$8="Both",Nonlabor!$D$8='Start Here'!$B$9),IF(Nonlabor!$E$8="Core",1,IF(Nonlabor!$E$8="AI",'Start Here'!$B$7,'Start Here'!$B$8))=1,C157&gt;=IF(Nonlabor!$E$8="Core",Nonlabor!$F$8,MAX(Nonlabor!$F$8,IF(Nonlabor!$E$8="AI",Assumptions!$C$24,Assumptions!$C$25))),C157&lt;=Nonlabor!$G$8,OR(Nonlabor!$H$8="Monthly",AND(Nonlabor!$H$8="Once",C157=IF(Nonlabor!$E$8="Core",Nonlabor!$F$8,MAX(Nonlabor!$F$8,IF(Nonlabor!$E$8="AI",Assumptions!$C$24,Assumptions!$C$25)))),AND(Nonlabor!$H$8="Annual",MOD(C157-IF(Nonlabor!$E$8="Core",Nonlabor!$F$8,MAX(Nonlabor!$F$8,IF(Nonlabor!$E$8="AI",Assumptions!$C$24,Assumptions!$C$25))),12)=0))),IF(Nonlabor!$I$8="Fixed",1,IF(Nonlabor!$I$8="Seats",ROUNDUP('Monthly Lean'!I37,0),IF(Nonlabor!$I$8="Customers",'Monthly Lean'!D37,IF(Nonlabor!$I$8="NewCustomers",'Monthly Lean'!C37,IF(Nonlabor!$I$8="StorageGB",'Monthly Lean'!G37,IF(Nonlabor!$I$8="LogGB",'Monthly Lean'!H37,IF(Nonlabor!$I$8="RequestsM",'Monthly Lean'!F37,IF(Nonlabor!$I$8="InputM",'Monthly Lean'!D37*Assumptions!$C$22/1000000,IF(Nonlabor!$I$8="OutputM",'Monthly Lean'!D37*Assumptions!$C$23/1000000,0))))))))),0)</f>
        <v>0</v>
      </c>
      <c r="F157" s="10" t="n">
        <f aca="false">Nonlabor!$J$8*(1+Assumptions!$C$9)^INT((C157-1)/12)</f>
        <v>1166.99</v>
      </c>
      <c r="G157" s="10" t="n">
        <f aca="false">E157*F157</f>
        <v>0</v>
      </c>
      <c r="H157" s="10" t="n">
        <f aca="false">IF(OR(Nonlabor!$L$8="Quote required",Nonlabor!$L$8="Unverified"),G157,0)</f>
        <v>0</v>
      </c>
      <c r="I157" s="10" t="n">
        <f aca="false">IF(Nonlabor!$E$8="Core",0,G157)</f>
        <v>0</v>
      </c>
      <c r="J157" s="23" t="str">
        <f aca="false">Nonlabor!$B$8</f>
        <v>INFRA</v>
      </c>
    </row>
    <row r="158" customFormat="false" ht="15" hidden="false" customHeight="false" outlineLevel="0" collapsed="false">
      <c r="A158" s="6" t="s">
        <v>72</v>
      </c>
      <c r="B158" s="6" t="s">
        <v>376</v>
      </c>
      <c r="C158" s="6" t="n">
        <v>33</v>
      </c>
      <c r="D158" s="25" t="n">
        <f aca="false">EDATE('Start Here'!$B$6,C158-1)</f>
        <v>47300</v>
      </c>
      <c r="E158" s="23" t="n">
        <f aca="false">IF(AND(OR(Nonlabor!$D$8="Both",Nonlabor!$D$8='Start Here'!$B$9),IF(Nonlabor!$E$8="Core",1,IF(Nonlabor!$E$8="AI",'Start Here'!$B$7,'Start Here'!$B$8))=1,C158&gt;=IF(Nonlabor!$E$8="Core",Nonlabor!$F$8,MAX(Nonlabor!$F$8,IF(Nonlabor!$E$8="AI",Assumptions!$C$24,Assumptions!$C$25))),C158&lt;=Nonlabor!$G$8,OR(Nonlabor!$H$8="Monthly",AND(Nonlabor!$H$8="Once",C158=IF(Nonlabor!$E$8="Core",Nonlabor!$F$8,MAX(Nonlabor!$F$8,IF(Nonlabor!$E$8="AI",Assumptions!$C$24,Assumptions!$C$25)))),AND(Nonlabor!$H$8="Annual",MOD(C158-IF(Nonlabor!$E$8="Core",Nonlabor!$F$8,MAX(Nonlabor!$F$8,IF(Nonlabor!$E$8="AI",Assumptions!$C$24,Assumptions!$C$25))),12)=0))),IF(Nonlabor!$I$8="Fixed",1,IF(Nonlabor!$I$8="Seats",ROUNDUP('Monthly Lean'!I38,0),IF(Nonlabor!$I$8="Customers",'Monthly Lean'!D38,IF(Nonlabor!$I$8="NewCustomers",'Monthly Lean'!C38,IF(Nonlabor!$I$8="StorageGB",'Monthly Lean'!G38,IF(Nonlabor!$I$8="LogGB",'Monthly Lean'!H38,IF(Nonlabor!$I$8="RequestsM",'Monthly Lean'!F38,IF(Nonlabor!$I$8="InputM",'Monthly Lean'!D38*Assumptions!$C$22/1000000,IF(Nonlabor!$I$8="OutputM",'Monthly Lean'!D38*Assumptions!$C$23/1000000,0))))))))),0)</f>
        <v>0</v>
      </c>
      <c r="F158" s="10" t="n">
        <f aca="false">Nonlabor!$J$8*(1+Assumptions!$C$9)^INT((C158-1)/12)</f>
        <v>1166.99</v>
      </c>
      <c r="G158" s="10" t="n">
        <f aca="false">E158*F158</f>
        <v>0</v>
      </c>
      <c r="H158" s="10" t="n">
        <f aca="false">IF(OR(Nonlabor!$L$8="Quote required",Nonlabor!$L$8="Unverified"),G158,0)</f>
        <v>0</v>
      </c>
      <c r="I158" s="10" t="n">
        <f aca="false">IF(Nonlabor!$E$8="Core",0,G158)</f>
        <v>0</v>
      </c>
      <c r="J158" s="23" t="str">
        <f aca="false">Nonlabor!$B$8</f>
        <v>INFRA</v>
      </c>
    </row>
    <row r="159" customFormat="false" ht="15" hidden="false" customHeight="false" outlineLevel="0" collapsed="false">
      <c r="A159" s="6" t="s">
        <v>72</v>
      </c>
      <c r="B159" s="6" t="s">
        <v>376</v>
      </c>
      <c r="C159" s="6" t="n">
        <v>34</v>
      </c>
      <c r="D159" s="25" t="n">
        <f aca="false">EDATE('Start Here'!$B$6,C159-1)</f>
        <v>47331</v>
      </c>
      <c r="E159" s="23" t="n">
        <f aca="false">IF(AND(OR(Nonlabor!$D$8="Both",Nonlabor!$D$8='Start Here'!$B$9),IF(Nonlabor!$E$8="Core",1,IF(Nonlabor!$E$8="AI",'Start Here'!$B$7,'Start Here'!$B$8))=1,C159&gt;=IF(Nonlabor!$E$8="Core",Nonlabor!$F$8,MAX(Nonlabor!$F$8,IF(Nonlabor!$E$8="AI",Assumptions!$C$24,Assumptions!$C$25))),C159&lt;=Nonlabor!$G$8,OR(Nonlabor!$H$8="Monthly",AND(Nonlabor!$H$8="Once",C159=IF(Nonlabor!$E$8="Core",Nonlabor!$F$8,MAX(Nonlabor!$F$8,IF(Nonlabor!$E$8="AI",Assumptions!$C$24,Assumptions!$C$25)))),AND(Nonlabor!$H$8="Annual",MOD(C159-IF(Nonlabor!$E$8="Core",Nonlabor!$F$8,MAX(Nonlabor!$F$8,IF(Nonlabor!$E$8="AI",Assumptions!$C$24,Assumptions!$C$25))),12)=0))),IF(Nonlabor!$I$8="Fixed",1,IF(Nonlabor!$I$8="Seats",ROUNDUP('Monthly Lean'!I39,0),IF(Nonlabor!$I$8="Customers",'Monthly Lean'!D39,IF(Nonlabor!$I$8="NewCustomers",'Monthly Lean'!C39,IF(Nonlabor!$I$8="StorageGB",'Monthly Lean'!G39,IF(Nonlabor!$I$8="LogGB",'Monthly Lean'!H39,IF(Nonlabor!$I$8="RequestsM",'Monthly Lean'!F39,IF(Nonlabor!$I$8="InputM",'Monthly Lean'!D39*Assumptions!$C$22/1000000,IF(Nonlabor!$I$8="OutputM",'Monthly Lean'!D39*Assumptions!$C$23/1000000,0))))))))),0)</f>
        <v>0</v>
      </c>
      <c r="F159" s="10" t="n">
        <f aca="false">Nonlabor!$J$8*(1+Assumptions!$C$9)^INT((C159-1)/12)</f>
        <v>1166.99</v>
      </c>
      <c r="G159" s="10" t="n">
        <f aca="false">E159*F159</f>
        <v>0</v>
      </c>
      <c r="H159" s="10" t="n">
        <f aca="false">IF(OR(Nonlabor!$L$8="Quote required",Nonlabor!$L$8="Unverified"),G159,0)</f>
        <v>0</v>
      </c>
      <c r="I159" s="10" t="n">
        <f aca="false">IF(Nonlabor!$E$8="Core",0,G159)</f>
        <v>0</v>
      </c>
      <c r="J159" s="23" t="str">
        <f aca="false">Nonlabor!$B$8</f>
        <v>INFRA</v>
      </c>
    </row>
    <row r="160" customFormat="false" ht="15" hidden="false" customHeight="false" outlineLevel="0" collapsed="false">
      <c r="A160" s="6" t="s">
        <v>72</v>
      </c>
      <c r="B160" s="6" t="s">
        <v>376</v>
      </c>
      <c r="C160" s="6" t="n">
        <v>35</v>
      </c>
      <c r="D160" s="25" t="n">
        <f aca="false">EDATE('Start Here'!$B$6,C160-1)</f>
        <v>47362</v>
      </c>
      <c r="E160" s="23" t="n">
        <f aca="false">IF(AND(OR(Nonlabor!$D$8="Both",Nonlabor!$D$8='Start Here'!$B$9),IF(Nonlabor!$E$8="Core",1,IF(Nonlabor!$E$8="AI",'Start Here'!$B$7,'Start Here'!$B$8))=1,C160&gt;=IF(Nonlabor!$E$8="Core",Nonlabor!$F$8,MAX(Nonlabor!$F$8,IF(Nonlabor!$E$8="AI",Assumptions!$C$24,Assumptions!$C$25))),C160&lt;=Nonlabor!$G$8,OR(Nonlabor!$H$8="Monthly",AND(Nonlabor!$H$8="Once",C160=IF(Nonlabor!$E$8="Core",Nonlabor!$F$8,MAX(Nonlabor!$F$8,IF(Nonlabor!$E$8="AI",Assumptions!$C$24,Assumptions!$C$25)))),AND(Nonlabor!$H$8="Annual",MOD(C160-IF(Nonlabor!$E$8="Core",Nonlabor!$F$8,MAX(Nonlabor!$F$8,IF(Nonlabor!$E$8="AI",Assumptions!$C$24,Assumptions!$C$25))),12)=0))),IF(Nonlabor!$I$8="Fixed",1,IF(Nonlabor!$I$8="Seats",ROUNDUP('Monthly Lean'!I40,0),IF(Nonlabor!$I$8="Customers",'Monthly Lean'!D40,IF(Nonlabor!$I$8="NewCustomers",'Monthly Lean'!C40,IF(Nonlabor!$I$8="StorageGB",'Monthly Lean'!G40,IF(Nonlabor!$I$8="LogGB",'Monthly Lean'!H40,IF(Nonlabor!$I$8="RequestsM",'Monthly Lean'!F40,IF(Nonlabor!$I$8="InputM",'Monthly Lean'!D40*Assumptions!$C$22/1000000,IF(Nonlabor!$I$8="OutputM",'Monthly Lean'!D40*Assumptions!$C$23/1000000,0))))))))),0)</f>
        <v>0</v>
      </c>
      <c r="F160" s="10" t="n">
        <f aca="false">Nonlabor!$J$8*(1+Assumptions!$C$9)^INT((C160-1)/12)</f>
        <v>1166.99</v>
      </c>
      <c r="G160" s="10" t="n">
        <f aca="false">E160*F160</f>
        <v>0</v>
      </c>
      <c r="H160" s="10" t="n">
        <f aca="false">IF(OR(Nonlabor!$L$8="Quote required",Nonlabor!$L$8="Unverified"),G160,0)</f>
        <v>0</v>
      </c>
      <c r="I160" s="10" t="n">
        <f aca="false">IF(Nonlabor!$E$8="Core",0,G160)</f>
        <v>0</v>
      </c>
      <c r="J160" s="23" t="str">
        <f aca="false">Nonlabor!$B$8</f>
        <v>INFRA</v>
      </c>
    </row>
    <row r="161" customFormat="false" ht="15" hidden="false" customHeight="false" outlineLevel="0" collapsed="false">
      <c r="A161" s="6" t="s">
        <v>72</v>
      </c>
      <c r="B161" s="6" t="s">
        <v>376</v>
      </c>
      <c r="C161" s="6" t="n">
        <v>36</v>
      </c>
      <c r="D161" s="25" t="n">
        <f aca="false">EDATE('Start Here'!$B$6,C161-1)</f>
        <v>47392</v>
      </c>
      <c r="E161" s="23" t="n">
        <f aca="false">IF(AND(OR(Nonlabor!$D$8="Both",Nonlabor!$D$8='Start Here'!$B$9),IF(Nonlabor!$E$8="Core",1,IF(Nonlabor!$E$8="AI",'Start Here'!$B$7,'Start Here'!$B$8))=1,C161&gt;=IF(Nonlabor!$E$8="Core",Nonlabor!$F$8,MAX(Nonlabor!$F$8,IF(Nonlabor!$E$8="AI",Assumptions!$C$24,Assumptions!$C$25))),C161&lt;=Nonlabor!$G$8,OR(Nonlabor!$H$8="Monthly",AND(Nonlabor!$H$8="Once",C161=IF(Nonlabor!$E$8="Core",Nonlabor!$F$8,MAX(Nonlabor!$F$8,IF(Nonlabor!$E$8="AI",Assumptions!$C$24,Assumptions!$C$25)))),AND(Nonlabor!$H$8="Annual",MOD(C161-IF(Nonlabor!$E$8="Core",Nonlabor!$F$8,MAX(Nonlabor!$F$8,IF(Nonlabor!$E$8="AI",Assumptions!$C$24,Assumptions!$C$25))),12)=0))),IF(Nonlabor!$I$8="Fixed",1,IF(Nonlabor!$I$8="Seats",ROUNDUP('Monthly Lean'!I41,0),IF(Nonlabor!$I$8="Customers",'Monthly Lean'!D41,IF(Nonlabor!$I$8="NewCustomers",'Monthly Lean'!C41,IF(Nonlabor!$I$8="StorageGB",'Monthly Lean'!G41,IF(Nonlabor!$I$8="LogGB",'Monthly Lean'!H41,IF(Nonlabor!$I$8="RequestsM",'Monthly Lean'!F41,IF(Nonlabor!$I$8="InputM",'Monthly Lean'!D41*Assumptions!$C$22/1000000,IF(Nonlabor!$I$8="OutputM",'Monthly Lean'!D41*Assumptions!$C$23/1000000,0))))))))),0)</f>
        <v>0</v>
      </c>
      <c r="F161" s="10" t="n">
        <f aca="false">Nonlabor!$J$8*(1+Assumptions!$C$9)^INT((C161-1)/12)</f>
        <v>1166.99</v>
      </c>
      <c r="G161" s="10" t="n">
        <f aca="false">E161*F161</f>
        <v>0</v>
      </c>
      <c r="H161" s="10" t="n">
        <f aca="false">IF(OR(Nonlabor!$L$8="Quote required",Nonlabor!$L$8="Unverified"),G161,0)</f>
        <v>0</v>
      </c>
      <c r="I161" s="10" t="n">
        <f aca="false">IF(Nonlabor!$E$8="Core",0,G161)</f>
        <v>0</v>
      </c>
      <c r="J161" s="23" t="str">
        <f aca="false">Nonlabor!$B$8</f>
        <v>INFRA</v>
      </c>
    </row>
    <row r="162" customFormat="false" ht="15" hidden="false" customHeight="false" outlineLevel="0" collapsed="false">
      <c r="A162" s="6" t="s">
        <v>72</v>
      </c>
      <c r="B162" s="6" t="s">
        <v>376</v>
      </c>
      <c r="C162" s="6" t="n">
        <v>37</v>
      </c>
      <c r="D162" s="25" t="n">
        <f aca="false">EDATE('Start Here'!$B$6,C162-1)</f>
        <v>47423</v>
      </c>
      <c r="E162" s="23" t="n">
        <f aca="false">IF(AND(OR(Nonlabor!$D$8="Both",Nonlabor!$D$8='Start Here'!$B$9),IF(Nonlabor!$E$8="Core",1,IF(Nonlabor!$E$8="AI",'Start Here'!$B$7,'Start Here'!$B$8))=1,C162&gt;=IF(Nonlabor!$E$8="Core",Nonlabor!$F$8,MAX(Nonlabor!$F$8,IF(Nonlabor!$E$8="AI",Assumptions!$C$24,Assumptions!$C$25))),C162&lt;=Nonlabor!$G$8,OR(Nonlabor!$H$8="Monthly",AND(Nonlabor!$H$8="Once",C162=IF(Nonlabor!$E$8="Core",Nonlabor!$F$8,MAX(Nonlabor!$F$8,IF(Nonlabor!$E$8="AI",Assumptions!$C$24,Assumptions!$C$25)))),AND(Nonlabor!$H$8="Annual",MOD(C162-IF(Nonlabor!$E$8="Core",Nonlabor!$F$8,MAX(Nonlabor!$F$8,IF(Nonlabor!$E$8="AI",Assumptions!$C$24,Assumptions!$C$25))),12)=0))),IF(Nonlabor!$I$8="Fixed",1,IF(Nonlabor!$I$8="Seats",ROUNDUP('Monthly Lean'!I42,0),IF(Nonlabor!$I$8="Customers",'Monthly Lean'!D42,IF(Nonlabor!$I$8="NewCustomers",'Monthly Lean'!C42,IF(Nonlabor!$I$8="StorageGB",'Monthly Lean'!G42,IF(Nonlabor!$I$8="LogGB",'Monthly Lean'!H42,IF(Nonlabor!$I$8="RequestsM",'Monthly Lean'!F42,IF(Nonlabor!$I$8="InputM",'Monthly Lean'!D42*Assumptions!$C$22/1000000,IF(Nonlabor!$I$8="OutputM",'Monthly Lean'!D42*Assumptions!$C$23/1000000,0))))))))),0)</f>
        <v>0</v>
      </c>
      <c r="F162" s="10" t="n">
        <f aca="false">Nonlabor!$J$8*(1+Assumptions!$C$9)^INT((C162-1)/12)</f>
        <v>1201.9997</v>
      </c>
      <c r="G162" s="10" t="n">
        <f aca="false">E162*F162</f>
        <v>0</v>
      </c>
      <c r="H162" s="10" t="n">
        <f aca="false">IF(OR(Nonlabor!$L$8="Quote required",Nonlabor!$L$8="Unverified"),G162,0)</f>
        <v>0</v>
      </c>
      <c r="I162" s="10" t="n">
        <f aca="false">IF(Nonlabor!$E$8="Core",0,G162)</f>
        <v>0</v>
      </c>
      <c r="J162" s="23" t="str">
        <f aca="false">Nonlabor!$B$8</f>
        <v>INFRA</v>
      </c>
    </row>
    <row r="163" customFormat="false" ht="15" hidden="false" customHeight="false" outlineLevel="0" collapsed="false">
      <c r="A163" s="6" t="s">
        <v>72</v>
      </c>
      <c r="B163" s="6" t="s">
        <v>376</v>
      </c>
      <c r="C163" s="6" t="n">
        <v>38</v>
      </c>
      <c r="D163" s="25" t="n">
        <f aca="false">EDATE('Start Here'!$B$6,C163-1)</f>
        <v>47453</v>
      </c>
      <c r="E163" s="23" t="n">
        <f aca="false">IF(AND(OR(Nonlabor!$D$8="Both",Nonlabor!$D$8='Start Here'!$B$9),IF(Nonlabor!$E$8="Core",1,IF(Nonlabor!$E$8="AI",'Start Here'!$B$7,'Start Here'!$B$8))=1,C163&gt;=IF(Nonlabor!$E$8="Core",Nonlabor!$F$8,MAX(Nonlabor!$F$8,IF(Nonlabor!$E$8="AI",Assumptions!$C$24,Assumptions!$C$25))),C163&lt;=Nonlabor!$G$8,OR(Nonlabor!$H$8="Monthly",AND(Nonlabor!$H$8="Once",C163=IF(Nonlabor!$E$8="Core",Nonlabor!$F$8,MAX(Nonlabor!$F$8,IF(Nonlabor!$E$8="AI",Assumptions!$C$24,Assumptions!$C$25)))),AND(Nonlabor!$H$8="Annual",MOD(C163-IF(Nonlabor!$E$8="Core",Nonlabor!$F$8,MAX(Nonlabor!$F$8,IF(Nonlabor!$E$8="AI",Assumptions!$C$24,Assumptions!$C$25))),12)=0))),IF(Nonlabor!$I$8="Fixed",1,IF(Nonlabor!$I$8="Seats",ROUNDUP('Monthly Lean'!I43,0),IF(Nonlabor!$I$8="Customers",'Monthly Lean'!D43,IF(Nonlabor!$I$8="NewCustomers",'Monthly Lean'!C43,IF(Nonlabor!$I$8="StorageGB",'Monthly Lean'!G43,IF(Nonlabor!$I$8="LogGB",'Monthly Lean'!H43,IF(Nonlabor!$I$8="RequestsM",'Monthly Lean'!F43,IF(Nonlabor!$I$8="InputM",'Monthly Lean'!D43*Assumptions!$C$22/1000000,IF(Nonlabor!$I$8="OutputM",'Monthly Lean'!D43*Assumptions!$C$23/1000000,0))))))))),0)</f>
        <v>0</v>
      </c>
      <c r="F163" s="10" t="n">
        <f aca="false">Nonlabor!$J$8*(1+Assumptions!$C$9)^INT((C163-1)/12)</f>
        <v>1201.9997</v>
      </c>
      <c r="G163" s="10" t="n">
        <f aca="false">E163*F163</f>
        <v>0</v>
      </c>
      <c r="H163" s="10" t="n">
        <f aca="false">IF(OR(Nonlabor!$L$8="Quote required",Nonlabor!$L$8="Unverified"),G163,0)</f>
        <v>0</v>
      </c>
      <c r="I163" s="10" t="n">
        <f aca="false">IF(Nonlabor!$E$8="Core",0,G163)</f>
        <v>0</v>
      </c>
      <c r="J163" s="23" t="str">
        <f aca="false">Nonlabor!$B$8</f>
        <v>INFRA</v>
      </c>
    </row>
    <row r="164" customFormat="false" ht="15" hidden="false" customHeight="false" outlineLevel="0" collapsed="false">
      <c r="A164" s="6" t="s">
        <v>72</v>
      </c>
      <c r="B164" s="6" t="s">
        <v>376</v>
      </c>
      <c r="C164" s="6" t="n">
        <v>39</v>
      </c>
      <c r="D164" s="25" t="n">
        <f aca="false">EDATE('Start Here'!$B$6,C164-1)</f>
        <v>47484</v>
      </c>
      <c r="E164" s="23" t="n">
        <f aca="false">IF(AND(OR(Nonlabor!$D$8="Both",Nonlabor!$D$8='Start Here'!$B$9),IF(Nonlabor!$E$8="Core",1,IF(Nonlabor!$E$8="AI",'Start Here'!$B$7,'Start Here'!$B$8))=1,C164&gt;=IF(Nonlabor!$E$8="Core",Nonlabor!$F$8,MAX(Nonlabor!$F$8,IF(Nonlabor!$E$8="AI",Assumptions!$C$24,Assumptions!$C$25))),C164&lt;=Nonlabor!$G$8,OR(Nonlabor!$H$8="Monthly",AND(Nonlabor!$H$8="Once",C164=IF(Nonlabor!$E$8="Core",Nonlabor!$F$8,MAX(Nonlabor!$F$8,IF(Nonlabor!$E$8="AI",Assumptions!$C$24,Assumptions!$C$25)))),AND(Nonlabor!$H$8="Annual",MOD(C164-IF(Nonlabor!$E$8="Core",Nonlabor!$F$8,MAX(Nonlabor!$F$8,IF(Nonlabor!$E$8="AI",Assumptions!$C$24,Assumptions!$C$25))),12)=0))),IF(Nonlabor!$I$8="Fixed",1,IF(Nonlabor!$I$8="Seats",ROUNDUP('Monthly Lean'!I44,0),IF(Nonlabor!$I$8="Customers",'Monthly Lean'!D44,IF(Nonlabor!$I$8="NewCustomers",'Monthly Lean'!C44,IF(Nonlabor!$I$8="StorageGB",'Monthly Lean'!G44,IF(Nonlabor!$I$8="LogGB",'Monthly Lean'!H44,IF(Nonlabor!$I$8="RequestsM",'Monthly Lean'!F44,IF(Nonlabor!$I$8="InputM",'Monthly Lean'!D44*Assumptions!$C$22/1000000,IF(Nonlabor!$I$8="OutputM",'Monthly Lean'!D44*Assumptions!$C$23/1000000,0))))))))),0)</f>
        <v>0</v>
      </c>
      <c r="F164" s="10" t="n">
        <f aca="false">Nonlabor!$J$8*(1+Assumptions!$C$9)^INT((C164-1)/12)</f>
        <v>1201.9997</v>
      </c>
      <c r="G164" s="10" t="n">
        <f aca="false">E164*F164</f>
        <v>0</v>
      </c>
      <c r="H164" s="10" t="n">
        <f aca="false">IF(OR(Nonlabor!$L$8="Quote required",Nonlabor!$L$8="Unverified"),G164,0)</f>
        <v>0</v>
      </c>
      <c r="I164" s="10" t="n">
        <f aca="false">IF(Nonlabor!$E$8="Core",0,G164)</f>
        <v>0</v>
      </c>
      <c r="J164" s="23" t="str">
        <f aca="false">Nonlabor!$B$8</f>
        <v>INFRA</v>
      </c>
    </row>
    <row r="165" customFormat="false" ht="15" hidden="false" customHeight="false" outlineLevel="0" collapsed="false">
      <c r="A165" s="6" t="s">
        <v>72</v>
      </c>
      <c r="B165" s="6" t="s">
        <v>376</v>
      </c>
      <c r="C165" s="6" t="n">
        <v>40</v>
      </c>
      <c r="D165" s="25" t="n">
        <f aca="false">EDATE('Start Here'!$B$6,C165-1)</f>
        <v>47515</v>
      </c>
      <c r="E165" s="23" t="n">
        <f aca="false">IF(AND(OR(Nonlabor!$D$8="Both",Nonlabor!$D$8='Start Here'!$B$9),IF(Nonlabor!$E$8="Core",1,IF(Nonlabor!$E$8="AI",'Start Here'!$B$7,'Start Here'!$B$8))=1,C165&gt;=IF(Nonlabor!$E$8="Core",Nonlabor!$F$8,MAX(Nonlabor!$F$8,IF(Nonlabor!$E$8="AI",Assumptions!$C$24,Assumptions!$C$25))),C165&lt;=Nonlabor!$G$8,OR(Nonlabor!$H$8="Monthly",AND(Nonlabor!$H$8="Once",C165=IF(Nonlabor!$E$8="Core",Nonlabor!$F$8,MAX(Nonlabor!$F$8,IF(Nonlabor!$E$8="AI",Assumptions!$C$24,Assumptions!$C$25)))),AND(Nonlabor!$H$8="Annual",MOD(C165-IF(Nonlabor!$E$8="Core",Nonlabor!$F$8,MAX(Nonlabor!$F$8,IF(Nonlabor!$E$8="AI",Assumptions!$C$24,Assumptions!$C$25))),12)=0))),IF(Nonlabor!$I$8="Fixed",1,IF(Nonlabor!$I$8="Seats",ROUNDUP('Monthly Lean'!I45,0),IF(Nonlabor!$I$8="Customers",'Monthly Lean'!D45,IF(Nonlabor!$I$8="NewCustomers",'Monthly Lean'!C45,IF(Nonlabor!$I$8="StorageGB",'Monthly Lean'!G45,IF(Nonlabor!$I$8="LogGB",'Monthly Lean'!H45,IF(Nonlabor!$I$8="RequestsM",'Monthly Lean'!F45,IF(Nonlabor!$I$8="InputM",'Monthly Lean'!D45*Assumptions!$C$22/1000000,IF(Nonlabor!$I$8="OutputM",'Monthly Lean'!D45*Assumptions!$C$23/1000000,0))))))))),0)</f>
        <v>0</v>
      </c>
      <c r="F165" s="10" t="n">
        <f aca="false">Nonlabor!$J$8*(1+Assumptions!$C$9)^INT((C165-1)/12)</f>
        <v>1201.9997</v>
      </c>
      <c r="G165" s="10" t="n">
        <f aca="false">E165*F165</f>
        <v>0</v>
      </c>
      <c r="H165" s="10" t="n">
        <f aca="false">IF(OR(Nonlabor!$L$8="Quote required",Nonlabor!$L$8="Unverified"),G165,0)</f>
        <v>0</v>
      </c>
      <c r="I165" s="10" t="n">
        <f aca="false">IF(Nonlabor!$E$8="Core",0,G165)</f>
        <v>0</v>
      </c>
      <c r="J165" s="23" t="str">
        <f aca="false">Nonlabor!$B$8</f>
        <v>INFRA</v>
      </c>
    </row>
    <row r="166" customFormat="false" ht="15" hidden="false" customHeight="false" outlineLevel="0" collapsed="false">
      <c r="A166" s="6" t="s">
        <v>72</v>
      </c>
      <c r="B166" s="6" t="s">
        <v>376</v>
      </c>
      <c r="C166" s="6" t="n">
        <v>41</v>
      </c>
      <c r="D166" s="25" t="n">
        <f aca="false">EDATE('Start Here'!$B$6,C166-1)</f>
        <v>47543</v>
      </c>
      <c r="E166" s="23" t="n">
        <f aca="false">IF(AND(OR(Nonlabor!$D$8="Both",Nonlabor!$D$8='Start Here'!$B$9),IF(Nonlabor!$E$8="Core",1,IF(Nonlabor!$E$8="AI",'Start Here'!$B$7,'Start Here'!$B$8))=1,C166&gt;=IF(Nonlabor!$E$8="Core",Nonlabor!$F$8,MAX(Nonlabor!$F$8,IF(Nonlabor!$E$8="AI",Assumptions!$C$24,Assumptions!$C$25))),C166&lt;=Nonlabor!$G$8,OR(Nonlabor!$H$8="Monthly",AND(Nonlabor!$H$8="Once",C166=IF(Nonlabor!$E$8="Core",Nonlabor!$F$8,MAX(Nonlabor!$F$8,IF(Nonlabor!$E$8="AI",Assumptions!$C$24,Assumptions!$C$25)))),AND(Nonlabor!$H$8="Annual",MOD(C166-IF(Nonlabor!$E$8="Core",Nonlabor!$F$8,MAX(Nonlabor!$F$8,IF(Nonlabor!$E$8="AI",Assumptions!$C$24,Assumptions!$C$25))),12)=0))),IF(Nonlabor!$I$8="Fixed",1,IF(Nonlabor!$I$8="Seats",ROUNDUP('Monthly Lean'!I46,0),IF(Nonlabor!$I$8="Customers",'Monthly Lean'!D46,IF(Nonlabor!$I$8="NewCustomers",'Monthly Lean'!C46,IF(Nonlabor!$I$8="StorageGB",'Monthly Lean'!G46,IF(Nonlabor!$I$8="LogGB",'Monthly Lean'!H46,IF(Nonlabor!$I$8="RequestsM",'Monthly Lean'!F46,IF(Nonlabor!$I$8="InputM",'Monthly Lean'!D46*Assumptions!$C$22/1000000,IF(Nonlabor!$I$8="OutputM",'Monthly Lean'!D46*Assumptions!$C$23/1000000,0))))))))),0)</f>
        <v>0</v>
      </c>
      <c r="F166" s="10" t="n">
        <f aca="false">Nonlabor!$J$8*(1+Assumptions!$C$9)^INT((C166-1)/12)</f>
        <v>1201.9997</v>
      </c>
      <c r="G166" s="10" t="n">
        <f aca="false">E166*F166</f>
        <v>0</v>
      </c>
      <c r="H166" s="10" t="n">
        <f aca="false">IF(OR(Nonlabor!$L$8="Quote required",Nonlabor!$L$8="Unverified"),G166,0)</f>
        <v>0</v>
      </c>
      <c r="I166" s="10" t="n">
        <f aca="false">IF(Nonlabor!$E$8="Core",0,G166)</f>
        <v>0</v>
      </c>
      <c r="J166" s="23" t="str">
        <f aca="false">Nonlabor!$B$8</f>
        <v>INFRA</v>
      </c>
    </row>
    <row r="167" customFormat="false" ht="15" hidden="false" customHeight="false" outlineLevel="0" collapsed="false">
      <c r="A167" s="6" t="s">
        <v>72</v>
      </c>
      <c r="B167" s="6" t="s">
        <v>376</v>
      </c>
      <c r="C167" s="6" t="n">
        <v>42</v>
      </c>
      <c r="D167" s="25" t="n">
        <f aca="false">EDATE('Start Here'!$B$6,C167-1)</f>
        <v>47574</v>
      </c>
      <c r="E167" s="23" t="n">
        <f aca="false">IF(AND(OR(Nonlabor!$D$8="Both",Nonlabor!$D$8='Start Here'!$B$9),IF(Nonlabor!$E$8="Core",1,IF(Nonlabor!$E$8="AI",'Start Here'!$B$7,'Start Here'!$B$8))=1,C167&gt;=IF(Nonlabor!$E$8="Core",Nonlabor!$F$8,MAX(Nonlabor!$F$8,IF(Nonlabor!$E$8="AI",Assumptions!$C$24,Assumptions!$C$25))),C167&lt;=Nonlabor!$G$8,OR(Nonlabor!$H$8="Monthly",AND(Nonlabor!$H$8="Once",C167=IF(Nonlabor!$E$8="Core",Nonlabor!$F$8,MAX(Nonlabor!$F$8,IF(Nonlabor!$E$8="AI",Assumptions!$C$24,Assumptions!$C$25)))),AND(Nonlabor!$H$8="Annual",MOD(C167-IF(Nonlabor!$E$8="Core",Nonlabor!$F$8,MAX(Nonlabor!$F$8,IF(Nonlabor!$E$8="AI",Assumptions!$C$24,Assumptions!$C$25))),12)=0))),IF(Nonlabor!$I$8="Fixed",1,IF(Nonlabor!$I$8="Seats",ROUNDUP('Monthly Lean'!I47,0),IF(Nonlabor!$I$8="Customers",'Monthly Lean'!D47,IF(Nonlabor!$I$8="NewCustomers",'Monthly Lean'!C47,IF(Nonlabor!$I$8="StorageGB",'Monthly Lean'!G47,IF(Nonlabor!$I$8="LogGB",'Monthly Lean'!H47,IF(Nonlabor!$I$8="RequestsM",'Monthly Lean'!F47,IF(Nonlabor!$I$8="InputM",'Monthly Lean'!D47*Assumptions!$C$22/1000000,IF(Nonlabor!$I$8="OutputM",'Monthly Lean'!D47*Assumptions!$C$23/1000000,0))))))))),0)</f>
        <v>0</v>
      </c>
      <c r="F167" s="10" t="n">
        <f aca="false">Nonlabor!$J$8*(1+Assumptions!$C$9)^INT((C167-1)/12)</f>
        <v>1201.9997</v>
      </c>
      <c r="G167" s="10" t="n">
        <f aca="false">E167*F167</f>
        <v>0</v>
      </c>
      <c r="H167" s="10" t="n">
        <f aca="false">IF(OR(Nonlabor!$L$8="Quote required",Nonlabor!$L$8="Unverified"),G167,0)</f>
        <v>0</v>
      </c>
      <c r="I167" s="10" t="n">
        <f aca="false">IF(Nonlabor!$E$8="Core",0,G167)</f>
        <v>0</v>
      </c>
      <c r="J167" s="23" t="str">
        <f aca="false">Nonlabor!$B$8</f>
        <v>INFRA</v>
      </c>
    </row>
    <row r="168" customFormat="false" ht="15" hidden="false" customHeight="false" outlineLevel="0" collapsed="false">
      <c r="A168" s="6" t="s">
        <v>72</v>
      </c>
      <c r="B168" s="6" t="s">
        <v>376</v>
      </c>
      <c r="C168" s="6" t="n">
        <v>43</v>
      </c>
      <c r="D168" s="25" t="n">
        <f aca="false">EDATE('Start Here'!$B$6,C168-1)</f>
        <v>47604</v>
      </c>
      <c r="E168" s="23" t="n">
        <f aca="false">IF(AND(OR(Nonlabor!$D$8="Both",Nonlabor!$D$8='Start Here'!$B$9),IF(Nonlabor!$E$8="Core",1,IF(Nonlabor!$E$8="AI",'Start Here'!$B$7,'Start Here'!$B$8))=1,C168&gt;=IF(Nonlabor!$E$8="Core",Nonlabor!$F$8,MAX(Nonlabor!$F$8,IF(Nonlabor!$E$8="AI",Assumptions!$C$24,Assumptions!$C$25))),C168&lt;=Nonlabor!$G$8,OR(Nonlabor!$H$8="Monthly",AND(Nonlabor!$H$8="Once",C168=IF(Nonlabor!$E$8="Core",Nonlabor!$F$8,MAX(Nonlabor!$F$8,IF(Nonlabor!$E$8="AI",Assumptions!$C$24,Assumptions!$C$25)))),AND(Nonlabor!$H$8="Annual",MOD(C168-IF(Nonlabor!$E$8="Core",Nonlabor!$F$8,MAX(Nonlabor!$F$8,IF(Nonlabor!$E$8="AI",Assumptions!$C$24,Assumptions!$C$25))),12)=0))),IF(Nonlabor!$I$8="Fixed",1,IF(Nonlabor!$I$8="Seats",ROUNDUP('Monthly Lean'!I48,0),IF(Nonlabor!$I$8="Customers",'Monthly Lean'!D48,IF(Nonlabor!$I$8="NewCustomers",'Monthly Lean'!C48,IF(Nonlabor!$I$8="StorageGB",'Monthly Lean'!G48,IF(Nonlabor!$I$8="LogGB",'Monthly Lean'!H48,IF(Nonlabor!$I$8="RequestsM",'Monthly Lean'!F48,IF(Nonlabor!$I$8="InputM",'Monthly Lean'!D48*Assumptions!$C$22/1000000,IF(Nonlabor!$I$8="OutputM",'Monthly Lean'!D48*Assumptions!$C$23/1000000,0))))))))),0)</f>
        <v>0</v>
      </c>
      <c r="F168" s="10" t="n">
        <f aca="false">Nonlabor!$J$8*(1+Assumptions!$C$9)^INT((C168-1)/12)</f>
        <v>1201.9997</v>
      </c>
      <c r="G168" s="10" t="n">
        <f aca="false">E168*F168</f>
        <v>0</v>
      </c>
      <c r="H168" s="10" t="n">
        <f aca="false">IF(OR(Nonlabor!$L$8="Quote required",Nonlabor!$L$8="Unverified"),G168,0)</f>
        <v>0</v>
      </c>
      <c r="I168" s="10" t="n">
        <f aca="false">IF(Nonlabor!$E$8="Core",0,G168)</f>
        <v>0</v>
      </c>
      <c r="J168" s="23" t="str">
        <f aca="false">Nonlabor!$B$8</f>
        <v>INFRA</v>
      </c>
    </row>
    <row r="169" customFormat="false" ht="15" hidden="false" customHeight="false" outlineLevel="0" collapsed="false">
      <c r="A169" s="6" t="s">
        <v>72</v>
      </c>
      <c r="B169" s="6" t="s">
        <v>376</v>
      </c>
      <c r="C169" s="6" t="n">
        <v>44</v>
      </c>
      <c r="D169" s="25" t="n">
        <f aca="false">EDATE('Start Here'!$B$6,C169-1)</f>
        <v>47635</v>
      </c>
      <c r="E169" s="23" t="n">
        <f aca="false">IF(AND(OR(Nonlabor!$D$8="Both",Nonlabor!$D$8='Start Here'!$B$9),IF(Nonlabor!$E$8="Core",1,IF(Nonlabor!$E$8="AI",'Start Here'!$B$7,'Start Here'!$B$8))=1,C169&gt;=IF(Nonlabor!$E$8="Core",Nonlabor!$F$8,MAX(Nonlabor!$F$8,IF(Nonlabor!$E$8="AI",Assumptions!$C$24,Assumptions!$C$25))),C169&lt;=Nonlabor!$G$8,OR(Nonlabor!$H$8="Monthly",AND(Nonlabor!$H$8="Once",C169=IF(Nonlabor!$E$8="Core",Nonlabor!$F$8,MAX(Nonlabor!$F$8,IF(Nonlabor!$E$8="AI",Assumptions!$C$24,Assumptions!$C$25)))),AND(Nonlabor!$H$8="Annual",MOD(C169-IF(Nonlabor!$E$8="Core",Nonlabor!$F$8,MAX(Nonlabor!$F$8,IF(Nonlabor!$E$8="AI",Assumptions!$C$24,Assumptions!$C$25))),12)=0))),IF(Nonlabor!$I$8="Fixed",1,IF(Nonlabor!$I$8="Seats",ROUNDUP('Monthly Lean'!I49,0),IF(Nonlabor!$I$8="Customers",'Monthly Lean'!D49,IF(Nonlabor!$I$8="NewCustomers",'Monthly Lean'!C49,IF(Nonlabor!$I$8="StorageGB",'Monthly Lean'!G49,IF(Nonlabor!$I$8="LogGB",'Monthly Lean'!H49,IF(Nonlabor!$I$8="RequestsM",'Monthly Lean'!F49,IF(Nonlabor!$I$8="InputM",'Monthly Lean'!D49*Assumptions!$C$22/1000000,IF(Nonlabor!$I$8="OutputM",'Monthly Lean'!D49*Assumptions!$C$23/1000000,0))))))))),0)</f>
        <v>0</v>
      </c>
      <c r="F169" s="10" t="n">
        <f aca="false">Nonlabor!$J$8*(1+Assumptions!$C$9)^INT((C169-1)/12)</f>
        <v>1201.9997</v>
      </c>
      <c r="G169" s="10" t="n">
        <f aca="false">E169*F169</f>
        <v>0</v>
      </c>
      <c r="H169" s="10" t="n">
        <f aca="false">IF(OR(Nonlabor!$L$8="Quote required",Nonlabor!$L$8="Unverified"),G169,0)</f>
        <v>0</v>
      </c>
      <c r="I169" s="10" t="n">
        <f aca="false">IF(Nonlabor!$E$8="Core",0,G169)</f>
        <v>0</v>
      </c>
      <c r="J169" s="23" t="str">
        <f aca="false">Nonlabor!$B$8</f>
        <v>INFRA</v>
      </c>
    </row>
    <row r="170" customFormat="false" ht="15" hidden="false" customHeight="false" outlineLevel="0" collapsed="false">
      <c r="A170" s="6" t="s">
        <v>72</v>
      </c>
      <c r="B170" s="6" t="s">
        <v>376</v>
      </c>
      <c r="C170" s="6" t="n">
        <v>45</v>
      </c>
      <c r="D170" s="25" t="n">
        <f aca="false">EDATE('Start Here'!$B$6,C170-1)</f>
        <v>47665</v>
      </c>
      <c r="E170" s="23" t="n">
        <f aca="false">IF(AND(OR(Nonlabor!$D$8="Both",Nonlabor!$D$8='Start Here'!$B$9),IF(Nonlabor!$E$8="Core",1,IF(Nonlabor!$E$8="AI",'Start Here'!$B$7,'Start Here'!$B$8))=1,C170&gt;=IF(Nonlabor!$E$8="Core",Nonlabor!$F$8,MAX(Nonlabor!$F$8,IF(Nonlabor!$E$8="AI",Assumptions!$C$24,Assumptions!$C$25))),C170&lt;=Nonlabor!$G$8,OR(Nonlabor!$H$8="Monthly",AND(Nonlabor!$H$8="Once",C170=IF(Nonlabor!$E$8="Core",Nonlabor!$F$8,MAX(Nonlabor!$F$8,IF(Nonlabor!$E$8="AI",Assumptions!$C$24,Assumptions!$C$25)))),AND(Nonlabor!$H$8="Annual",MOD(C170-IF(Nonlabor!$E$8="Core",Nonlabor!$F$8,MAX(Nonlabor!$F$8,IF(Nonlabor!$E$8="AI",Assumptions!$C$24,Assumptions!$C$25))),12)=0))),IF(Nonlabor!$I$8="Fixed",1,IF(Nonlabor!$I$8="Seats",ROUNDUP('Monthly Lean'!I50,0),IF(Nonlabor!$I$8="Customers",'Monthly Lean'!D50,IF(Nonlabor!$I$8="NewCustomers",'Monthly Lean'!C50,IF(Nonlabor!$I$8="StorageGB",'Monthly Lean'!G50,IF(Nonlabor!$I$8="LogGB",'Monthly Lean'!H50,IF(Nonlabor!$I$8="RequestsM",'Monthly Lean'!F50,IF(Nonlabor!$I$8="InputM",'Monthly Lean'!D50*Assumptions!$C$22/1000000,IF(Nonlabor!$I$8="OutputM",'Monthly Lean'!D50*Assumptions!$C$23/1000000,0))))))))),0)</f>
        <v>0</v>
      </c>
      <c r="F170" s="10" t="n">
        <f aca="false">Nonlabor!$J$8*(1+Assumptions!$C$9)^INT((C170-1)/12)</f>
        <v>1201.9997</v>
      </c>
      <c r="G170" s="10" t="n">
        <f aca="false">E170*F170</f>
        <v>0</v>
      </c>
      <c r="H170" s="10" t="n">
        <f aca="false">IF(OR(Nonlabor!$L$8="Quote required",Nonlabor!$L$8="Unverified"),G170,0)</f>
        <v>0</v>
      </c>
      <c r="I170" s="10" t="n">
        <f aca="false">IF(Nonlabor!$E$8="Core",0,G170)</f>
        <v>0</v>
      </c>
      <c r="J170" s="23" t="str">
        <f aca="false">Nonlabor!$B$8</f>
        <v>INFRA</v>
      </c>
    </row>
    <row r="171" customFormat="false" ht="15" hidden="false" customHeight="false" outlineLevel="0" collapsed="false">
      <c r="A171" s="6" t="s">
        <v>72</v>
      </c>
      <c r="B171" s="6" t="s">
        <v>376</v>
      </c>
      <c r="C171" s="6" t="n">
        <v>46</v>
      </c>
      <c r="D171" s="25" t="n">
        <f aca="false">EDATE('Start Here'!$B$6,C171-1)</f>
        <v>47696</v>
      </c>
      <c r="E171" s="23" t="n">
        <f aca="false">IF(AND(OR(Nonlabor!$D$8="Both",Nonlabor!$D$8='Start Here'!$B$9),IF(Nonlabor!$E$8="Core",1,IF(Nonlabor!$E$8="AI",'Start Here'!$B$7,'Start Here'!$B$8))=1,C171&gt;=IF(Nonlabor!$E$8="Core",Nonlabor!$F$8,MAX(Nonlabor!$F$8,IF(Nonlabor!$E$8="AI",Assumptions!$C$24,Assumptions!$C$25))),C171&lt;=Nonlabor!$G$8,OR(Nonlabor!$H$8="Monthly",AND(Nonlabor!$H$8="Once",C171=IF(Nonlabor!$E$8="Core",Nonlabor!$F$8,MAX(Nonlabor!$F$8,IF(Nonlabor!$E$8="AI",Assumptions!$C$24,Assumptions!$C$25)))),AND(Nonlabor!$H$8="Annual",MOD(C171-IF(Nonlabor!$E$8="Core",Nonlabor!$F$8,MAX(Nonlabor!$F$8,IF(Nonlabor!$E$8="AI",Assumptions!$C$24,Assumptions!$C$25))),12)=0))),IF(Nonlabor!$I$8="Fixed",1,IF(Nonlabor!$I$8="Seats",ROUNDUP('Monthly Lean'!I51,0),IF(Nonlabor!$I$8="Customers",'Monthly Lean'!D51,IF(Nonlabor!$I$8="NewCustomers",'Monthly Lean'!C51,IF(Nonlabor!$I$8="StorageGB",'Monthly Lean'!G51,IF(Nonlabor!$I$8="LogGB",'Monthly Lean'!H51,IF(Nonlabor!$I$8="RequestsM",'Monthly Lean'!F51,IF(Nonlabor!$I$8="InputM",'Monthly Lean'!D51*Assumptions!$C$22/1000000,IF(Nonlabor!$I$8="OutputM",'Monthly Lean'!D51*Assumptions!$C$23/1000000,0))))))))),0)</f>
        <v>0</v>
      </c>
      <c r="F171" s="10" t="n">
        <f aca="false">Nonlabor!$J$8*(1+Assumptions!$C$9)^INT((C171-1)/12)</f>
        <v>1201.9997</v>
      </c>
      <c r="G171" s="10" t="n">
        <f aca="false">E171*F171</f>
        <v>0</v>
      </c>
      <c r="H171" s="10" t="n">
        <f aca="false">IF(OR(Nonlabor!$L$8="Quote required",Nonlabor!$L$8="Unverified"),G171,0)</f>
        <v>0</v>
      </c>
      <c r="I171" s="10" t="n">
        <f aca="false">IF(Nonlabor!$E$8="Core",0,G171)</f>
        <v>0</v>
      </c>
      <c r="J171" s="23" t="str">
        <f aca="false">Nonlabor!$B$8</f>
        <v>INFRA</v>
      </c>
    </row>
    <row r="172" customFormat="false" ht="15" hidden="false" customHeight="false" outlineLevel="0" collapsed="false">
      <c r="A172" s="6" t="s">
        <v>72</v>
      </c>
      <c r="B172" s="6" t="s">
        <v>376</v>
      </c>
      <c r="C172" s="6" t="n">
        <v>47</v>
      </c>
      <c r="D172" s="25" t="n">
        <f aca="false">EDATE('Start Here'!$B$6,C172-1)</f>
        <v>47727</v>
      </c>
      <c r="E172" s="23" t="n">
        <f aca="false">IF(AND(OR(Nonlabor!$D$8="Both",Nonlabor!$D$8='Start Here'!$B$9),IF(Nonlabor!$E$8="Core",1,IF(Nonlabor!$E$8="AI",'Start Here'!$B$7,'Start Here'!$B$8))=1,C172&gt;=IF(Nonlabor!$E$8="Core",Nonlabor!$F$8,MAX(Nonlabor!$F$8,IF(Nonlabor!$E$8="AI",Assumptions!$C$24,Assumptions!$C$25))),C172&lt;=Nonlabor!$G$8,OR(Nonlabor!$H$8="Monthly",AND(Nonlabor!$H$8="Once",C172=IF(Nonlabor!$E$8="Core",Nonlabor!$F$8,MAX(Nonlabor!$F$8,IF(Nonlabor!$E$8="AI",Assumptions!$C$24,Assumptions!$C$25)))),AND(Nonlabor!$H$8="Annual",MOD(C172-IF(Nonlabor!$E$8="Core",Nonlabor!$F$8,MAX(Nonlabor!$F$8,IF(Nonlabor!$E$8="AI",Assumptions!$C$24,Assumptions!$C$25))),12)=0))),IF(Nonlabor!$I$8="Fixed",1,IF(Nonlabor!$I$8="Seats",ROUNDUP('Monthly Lean'!I52,0),IF(Nonlabor!$I$8="Customers",'Monthly Lean'!D52,IF(Nonlabor!$I$8="NewCustomers",'Monthly Lean'!C52,IF(Nonlabor!$I$8="StorageGB",'Monthly Lean'!G52,IF(Nonlabor!$I$8="LogGB",'Monthly Lean'!H52,IF(Nonlabor!$I$8="RequestsM",'Monthly Lean'!F52,IF(Nonlabor!$I$8="InputM",'Monthly Lean'!D52*Assumptions!$C$22/1000000,IF(Nonlabor!$I$8="OutputM",'Monthly Lean'!D52*Assumptions!$C$23/1000000,0))))))))),0)</f>
        <v>0</v>
      </c>
      <c r="F172" s="10" t="n">
        <f aca="false">Nonlabor!$J$8*(1+Assumptions!$C$9)^INT((C172-1)/12)</f>
        <v>1201.9997</v>
      </c>
      <c r="G172" s="10" t="n">
        <f aca="false">E172*F172</f>
        <v>0</v>
      </c>
      <c r="H172" s="10" t="n">
        <f aca="false">IF(OR(Nonlabor!$L$8="Quote required",Nonlabor!$L$8="Unverified"),G172,0)</f>
        <v>0</v>
      </c>
      <c r="I172" s="10" t="n">
        <f aca="false">IF(Nonlabor!$E$8="Core",0,G172)</f>
        <v>0</v>
      </c>
      <c r="J172" s="23" t="str">
        <f aca="false">Nonlabor!$B$8</f>
        <v>INFRA</v>
      </c>
    </row>
    <row r="173" customFormat="false" ht="15" hidden="false" customHeight="false" outlineLevel="0" collapsed="false">
      <c r="A173" s="6" t="s">
        <v>72</v>
      </c>
      <c r="B173" s="6" t="s">
        <v>376</v>
      </c>
      <c r="C173" s="6" t="n">
        <v>48</v>
      </c>
      <c r="D173" s="25" t="n">
        <f aca="false">EDATE('Start Here'!$B$6,C173-1)</f>
        <v>47757</v>
      </c>
      <c r="E173" s="23" t="n">
        <f aca="false">IF(AND(OR(Nonlabor!$D$8="Both",Nonlabor!$D$8='Start Here'!$B$9),IF(Nonlabor!$E$8="Core",1,IF(Nonlabor!$E$8="AI",'Start Here'!$B$7,'Start Here'!$B$8))=1,C173&gt;=IF(Nonlabor!$E$8="Core",Nonlabor!$F$8,MAX(Nonlabor!$F$8,IF(Nonlabor!$E$8="AI",Assumptions!$C$24,Assumptions!$C$25))),C173&lt;=Nonlabor!$G$8,OR(Nonlabor!$H$8="Monthly",AND(Nonlabor!$H$8="Once",C173=IF(Nonlabor!$E$8="Core",Nonlabor!$F$8,MAX(Nonlabor!$F$8,IF(Nonlabor!$E$8="AI",Assumptions!$C$24,Assumptions!$C$25)))),AND(Nonlabor!$H$8="Annual",MOD(C173-IF(Nonlabor!$E$8="Core",Nonlabor!$F$8,MAX(Nonlabor!$F$8,IF(Nonlabor!$E$8="AI",Assumptions!$C$24,Assumptions!$C$25))),12)=0))),IF(Nonlabor!$I$8="Fixed",1,IF(Nonlabor!$I$8="Seats",ROUNDUP('Monthly Lean'!I53,0),IF(Nonlabor!$I$8="Customers",'Monthly Lean'!D53,IF(Nonlabor!$I$8="NewCustomers",'Monthly Lean'!C53,IF(Nonlabor!$I$8="StorageGB",'Monthly Lean'!G53,IF(Nonlabor!$I$8="LogGB",'Monthly Lean'!H53,IF(Nonlabor!$I$8="RequestsM",'Monthly Lean'!F53,IF(Nonlabor!$I$8="InputM",'Monthly Lean'!D53*Assumptions!$C$22/1000000,IF(Nonlabor!$I$8="OutputM",'Monthly Lean'!D53*Assumptions!$C$23/1000000,0))))))))),0)</f>
        <v>0</v>
      </c>
      <c r="F173" s="10" t="n">
        <f aca="false">Nonlabor!$J$8*(1+Assumptions!$C$9)^INT((C173-1)/12)</f>
        <v>1201.9997</v>
      </c>
      <c r="G173" s="10" t="n">
        <f aca="false">E173*F173</f>
        <v>0</v>
      </c>
      <c r="H173" s="10" t="n">
        <f aca="false">IF(OR(Nonlabor!$L$8="Quote required",Nonlabor!$L$8="Unverified"),G173,0)</f>
        <v>0</v>
      </c>
      <c r="I173" s="10" t="n">
        <f aca="false">IF(Nonlabor!$E$8="Core",0,G173)</f>
        <v>0</v>
      </c>
      <c r="J173" s="23" t="str">
        <f aca="false">Nonlabor!$B$8</f>
        <v>INFRA</v>
      </c>
    </row>
    <row r="174" customFormat="false" ht="15" hidden="false" customHeight="false" outlineLevel="0" collapsed="false">
      <c r="A174" s="6" t="s">
        <v>72</v>
      </c>
      <c r="B174" s="6" t="s">
        <v>376</v>
      </c>
      <c r="C174" s="6" t="n">
        <v>49</v>
      </c>
      <c r="D174" s="25" t="n">
        <f aca="false">EDATE('Start Here'!$B$6,C174-1)</f>
        <v>47788</v>
      </c>
      <c r="E174" s="23" t="n">
        <f aca="false">IF(AND(OR(Nonlabor!$D$8="Both",Nonlabor!$D$8='Start Here'!$B$9),IF(Nonlabor!$E$8="Core",1,IF(Nonlabor!$E$8="AI",'Start Here'!$B$7,'Start Here'!$B$8))=1,C174&gt;=IF(Nonlabor!$E$8="Core",Nonlabor!$F$8,MAX(Nonlabor!$F$8,IF(Nonlabor!$E$8="AI",Assumptions!$C$24,Assumptions!$C$25))),C174&lt;=Nonlabor!$G$8,OR(Nonlabor!$H$8="Monthly",AND(Nonlabor!$H$8="Once",C174=IF(Nonlabor!$E$8="Core",Nonlabor!$F$8,MAX(Nonlabor!$F$8,IF(Nonlabor!$E$8="AI",Assumptions!$C$24,Assumptions!$C$25)))),AND(Nonlabor!$H$8="Annual",MOD(C174-IF(Nonlabor!$E$8="Core",Nonlabor!$F$8,MAX(Nonlabor!$F$8,IF(Nonlabor!$E$8="AI",Assumptions!$C$24,Assumptions!$C$25))),12)=0))),IF(Nonlabor!$I$8="Fixed",1,IF(Nonlabor!$I$8="Seats",ROUNDUP('Monthly Lean'!I54,0),IF(Nonlabor!$I$8="Customers",'Monthly Lean'!D54,IF(Nonlabor!$I$8="NewCustomers",'Monthly Lean'!C54,IF(Nonlabor!$I$8="StorageGB",'Monthly Lean'!G54,IF(Nonlabor!$I$8="LogGB",'Monthly Lean'!H54,IF(Nonlabor!$I$8="RequestsM",'Monthly Lean'!F54,IF(Nonlabor!$I$8="InputM",'Monthly Lean'!D54*Assumptions!$C$22/1000000,IF(Nonlabor!$I$8="OutputM",'Monthly Lean'!D54*Assumptions!$C$23/1000000,0))))))))),0)</f>
        <v>0</v>
      </c>
      <c r="F174" s="10" t="n">
        <f aca="false">Nonlabor!$J$8*(1+Assumptions!$C$9)^INT((C174-1)/12)</f>
        <v>1238.059691</v>
      </c>
      <c r="G174" s="10" t="n">
        <f aca="false">E174*F174</f>
        <v>0</v>
      </c>
      <c r="H174" s="10" t="n">
        <f aca="false">IF(OR(Nonlabor!$L$8="Quote required",Nonlabor!$L$8="Unverified"),G174,0)</f>
        <v>0</v>
      </c>
      <c r="I174" s="10" t="n">
        <f aca="false">IF(Nonlabor!$E$8="Core",0,G174)</f>
        <v>0</v>
      </c>
      <c r="J174" s="23" t="str">
        <f aca="false">Nonlabor!$B$8</f>
        <v>INFRA</v>
      </c>
    </row>
    <row r="175" customFormat="false" ht="15" hidden="false" customHeight="false" outlineLevel="0" collapsed="false">
      <c r="A175" s="6" t="s">
        <v>72</v>
      </c>
      <c r="B175" s="6" t="s">
        <v>376</v>
      </c>
      <c r="C175" s="6" t="n">
        <v>50</v>
      </c>
      <c r="D175" s="25" t="n">
        <f aca="false">EDATE('Start Here'!$B$6,C175-1)</f>
        <v>47818</v>
      </c>
      <c r="E175" s="23" t="n">
        <f aca="false">IF(AND(OR(Nonlabor!$D$8="Both",Nonlabor!$D$8='Start Here'!$B$9),IF(Nonlabor!$E$8="Core",1,IF(Nonlabor!$E$8="AI",'Start Here'!$B$7,'Start Here'!$B$8))=1,C175&gt;=IF(Nonlabor!$E$8="Core",Nonlabor!$F$8,MAX(Nonlabor!$F$8,IF(Nonlabor!$E$8="AI",Assumptions!$C$24,Assumptions!$C$25))),C175&lt;=Nonlabor!$G$8,OR(Nonlabor!$H$8="Monthly",AND(Nonlabor!$H$8="Once",C175=IF(Nonlabor!$E$8="Core",Nonlabor!$F$8,MAX(Nonlabor!$F$8,IF(Nonlabor!$E$8="AI",Assumptions!$C$24,Assumptions!$C$25)))),AND(Nonlabor!$H$8="Annual",MOD(C175-IF(Nonlabor!$E$8="Core",Nonlabor!$F$8,MAX(Nonlabor!$F$8,IF(Nonlabor!$E$8="AI",Assumptions!$C$24,Assumptions!$C$25))),12)=0))),IF(Nonlabor!$I$8="Fixed",1,IF(Nonlabor!$I$8="Seats",ROUNDUP('Monthly Lean'!I55,0),IF(Nonlabor!$I$8="Customers",'Monthly Lean'!D55,IF(Nonlabor!$I$8="NewCustomers",'Monthly Lean'!C55,IF(Nonlabor!$I$8="StorageGB",'Monthly Lean'!G55,IF(Nonlabor!$I$8="LogGB",'Monthly Lean'!H55,IF(Nonlabor!$I$8="RequestsM",'Monthly Lean'!F55,IF(Nonlabor!$I$8="InputM",'Monthly Lean'!D55*Assumptions!$C$22/1000000,IF(Nonlabor!$I$8="OutputM",'Monthly Lean'!D55*Assumptions!$C$23/1000000,0))))))))),0)</f>
        <v>0</v>
      </c>
      <c r="F175" s="10" t="n">
        <f aca="false">Nonlabor!$J$8*(1+Assumptions!$C$9)^INT((C175-1)/12)</f>
        <v>1238.059691</v>
      </c>
      <c r="G175" s="10" t="n">
        <f aca="false">E175*F175</f>
        <v>0</v>
      </c>
      <c r="H175" s="10" t="n">
        <f aca="false">IF(OR(Nonlabor!$L$8="Quote required",Nonlabor!$L$8="Unverified"),G175,0)</f>
        <v>0</v>
      </c>
      <c r="I175" s="10" t="n">
        <f aca="false">IF(Nonlabor!$E$8="Core",0,G175)</f>
        <v>0</v>
      </c>
      <c r="J175" s="23" t="str">
        <f aca="false">Nonlabor!$B$8</f>
        <v>INFRA</v>
      </c>
    </row>
    <row r="176" customFormat="false" ht="15" hidden="false" customHeight="false" outlineLevel="0" collapsed="false">
      <c r="A176" s="6" t="s">
        <v>72</v>
      </c>
      <c r="B176" s="6" t="s">
        <v>376</v>
      </c>
      <c r="C176" s="6" t="n">
        <v>51</v>
      </c>
      <c r="D176" s="25" t="n">
        <f aca="false">EDATE('Start Here'!$B$6,C176-1)</f>
        <v>47849</v>
      </c>
      <c r="E176" s="23" t="n">
        <f aca="false">IF(AND(OR(Nonlabor!$D$8="Both",Nonlabor!$D$8='Start Here'!$B$9),IF(Nonlabor!$E$8="Core",1,IF(Nonlabor!$E$8="AI",'Start Here'!$B$7,'Start Here'!$B$8))=1,C176&gt;=IF(Nonlabor!$E$8="Core",Nonlabor!$F$8,MAX(Nonlabor!$F$8,IF(Nonlabor!$E$8="AI",Assumptions!$C$24,Assumptions!$C$25))),C176&lt;=Nonlabor!$G$8,OR(Nonlabor!$H$8="Monthly",AND(Nonlabor!$H$8="Once",C176=IF(Nonlabor!$E$8="Core",Nonlabor!$F$8,MAX(Nonlabor!$F$8,IF(Nonlabor!$E$8="AI",Assumptions!$C$24,Assumptions!$C$25)))),AND(Nonlabor!$H$8="Annual",MOD(C176-IF(Nonlabor!$E$8="Core",Nonlabor!$F$8,MAX(Nonlabor!$F$8,IF(Nonlabor!$E$8="AI",Assumptions!$C$24,Assumptions!$C$25))),12)=0))),IF(Nonlabor!$I$8="Fixed",1,IF(Nonlabor!$I$8="Seats",ROUNDUP('Monthly Lean'!I56,0),IF(Nonlabor!$I$8="Customers",'Monthly Lean'!D56,IF(Nonlabor!$I$8="NewCustomers",'Monthly Lean'!C56,IF(Nonlabor!$I$8="StorageGB",'Monthly Lean'!G56,IF(Nonlabor!$I$8="LogGB",'Monthly Lean'!H56,IF(Nonlabor!$I$8="RequestsM",'Monthly Lean'!F56,IF(Nonlabor!$I$8="InputM",'Monthly Lean'!D56*Assumptions!$C$22/1000000,IF(Nonlabor!$I$8="OutputM",'Monthly Lean'!D56*Assumptions!$C$23/1000000,0))))))))),0)</f>
        <v>0</v>
      </c>
      <c r="F176" s="10" t="n">
        <f aca="false">Nonlabor!$J$8*(1+Assumptions!$C$9)^INT((C176-1)/12)</f>
        <v>1238.059691</v>
      </c>
      <c r="G176" s="10" t="n">
        <f aca="false">E176*F176</f>
        <v>0</v>
      </c>
      <c r="H176" s="10" t="n">
        <f aca="false">IF(OR(Nonlabor!$L$8="Quote required",Nonlabor!$L$8="Unverified"),G176,0)</f>
        <v>0</v>
      </c>
      <c r="I176" s="10" t="n">
        <f aca="false">IF(Nonlabor!$E$8="Core",0,G176)</f>
        <v>0</v>
      </c>
      <c r="J176" s="23" t="str">
        <f aca="false">Nonlabor!$B$8</f>
        <v>INFRA</v>
      </c>
    </row>
    <row r="177" customFormat="false" ht="15" hidden="false" customHeight="false" outlineLevel="0" collapsed="false">
      <c r="A177" s="6" t="s">
        <v>72</v>
      </c>
      <c r="B177" s="6" t="s">
        <v>376</v>
      </c>
      <c r="C177" s="6" t="n">
        <v>52</v>
      </c>
      <c r="D177" s="25" t="n">
        <f aca="false">EDATE('Start Here'!$B$6,C177-1)</f>
        <v>47880</v>
      </c>
      <c r="E177" s="23" t="n">
        <f aca="false">IF(AND(OR(Nonlabor!$D$8="Both",Nonlabor!$D$8='Start Here'!$B$9),IF(Nonlabor!$E$8="Core",1,IF(Nonlabor!$E$8="AI",'Start Here'!$B$7,'Start Here'!$B$8))=1,C177&gt;=IF(Nonlabor!$E$8="Core",Nonlabor!$F$8,MAX(Nonlabor!$F$8,IF(Nonlabor!$E$8="AI",Assumptions!$C$24,Assumptions!$C$25))),C177&lt;=Nonlabor!$G$8,OR(Nonlabor!$H$8="Monthly",AND(Nonlabor!$H$8="Once",C177=IF(Nonlabor!$E$8="Core",Nonlabor!$F$8,MAX(Nonlabor!$F$8,IF(Nonlabor!$E$8="AI",Assumptions!$C$24,Assumptions!$C$25)))),AND(Nonlabor!$H$8="Annual",MOD(C177-IF(Nonlabor!$E$8="Core",Nonlabor!$F$8,MAX(Nonlabor!$F$8,IF(Nonlabor!$E$8="AI",Assumptions!$C$24,Assumptions!$C$25))),12)=0))),IF(Nonlabor!$I$8="Fixed",1,IF(Nonlabor!$I$8="Seats",ROUNDUP('Monthly Lean'!I57,0),IF(Nonlabor!$I$8="Customers",'Monthly Lean'!D57,IF(Nonlabor!$I$8="NewCustomers",'Monthly Lean'!C57,IF(Nonlabor!$I$8="StorageGB",'Monthly Lean'!G57,IF(Nonlabor!$I$8="LogGB",'Monthly Lean'!H57,IF(Nonlabor!$I$8="RequestsM",'Monthly Lean'!F57,IF(Nonlabor!$I$8="InputM",'Monthly Lean'!D57*Assumptions!$C$22/1000000,IF(Nonlabor!$I$8="OutputM",'Monthly Lean'!D57*Assumptions!$C$23/1000000,0))))))))),0)</f>
        <v>0</v>
      </c>
      <c r="F177" s="10" t="n">
        <f aca="false">Nonlabor!$J$8*(1+Assumptions!$C$9)^INT((C177-1)/12)</f>
        <v>1238.059691</v>
      </c>
      <c r="G177" s="10" t="n">
        <f aca="false">E177*F177</f>
        <v>0</v>
      </c>
      <c r="H177" s="10" t="n">
        <f aca="false">IF(OR(Nonlabor!$L$8="Quote required",Nonlabor!$L$8="Unverified"),G177,0)</f>
        <v>0</v>
      </c>
      <c r="I177" s="10" t="n">
        <f aca="false">IF(Nonlabor!$E$8="Core",0,G177)</f>
        <v>0</v>
      </c>
      <c r="J177" s="23" t="str">
        <f aca="false">Nonlabor!$B$8</f>
        <v>INFRA</v>
      </c>
    </row>
    <row r="178" customFormat="false" ht="15" hidden="false" customHeight="false" outlineLevel="0" collapsed="false">
      <c r="A178" s="6" t="s">
        <v>72</v>
      </c>
      <c r="B178" s="6" t="s">
        <v>376</v>
      </c>
      <c r="C178" s="6" t="n">
        <v>53</v>
      </c>
      <c r="D178" s="25" t="n">
        <f aca="false">EDATE('Start Here'!$B$6,C178-1)</f>
        <v>47908</v>
      </c>
      <c r="E178" s="23" t="n">
        <f aca="false">IF(AND(OR(Nonlabor!$D$8="Both",Nonlabor!$D$8='Start Here'!$B$9),IF(Nonlabor!$E$8="Core",1,IF(Nonlabor!$E$8="AI",'Start Here'!$B$7,'Start Here'!$B$8))=1,C178&gt;=IF(Nonlabor!$E$8="Core",Nonlabor!$F$8,MAX(Nonlabor!$F$8,IF(Nonlabor!$E$8="AI",Assumptions!$C$24,Assumptions!$C$25))),C178&lt;=Nonlabor!$G$8,OR(Nonlabor!$H$8="Monthly",AND(Nonlabor!$H$8="Once",C178=IF(Nonlabor!$E$8="Core",Nonlabor!$F$8,MAX(Nonlabor!$F$8,IF(Nonlabor!$E$8="AI",Assumptions!$C$24,Assumptions!$C$25)))),AND(Nonlabor!$H$8="Annual",MOD(C178-IF(Nonlabor!$E$8="Core",Nonlabor!$F$8,MAX(Nonlabor!$F$8,IF(Nonlabor!$E$8="AI",Assumptions!$C$24,Assumptions!$C$25))),12)=0))),IF(Nonlabor!$I$8="Fixed",1,IF(Nonlabor!$I$8="Seats",ROUNDUP('Monthly Lean'!I58,0),IF(Nonlabor!$I$8="Customers",'Monthly Lean'!D58,IF(Nonlabor!$I$8="NewCustomers",'Monthly Lean'!C58,IF(Nonlabor!$I$8="StorageGB",'Monthly Lean'!G58,IF(Nonlabor!$I$8="LogGB",'Monthly Lean'!H58,IF(Nonlabor!$I$8="RequestsM",'Monthly Lean'!F58,IF(Nonlabor!$I$8="InputM",'Monthly Lean'!D58*Assumptions!$C$22/1000000,IF(Nonlabor!$I$8="OutputM",'Monthly Lean'!D58*Assumptions!$C$23/1000000,0))))))))),0)</f>
        <v>0</v>
      </c>
      <c r="F178" s="10" t="n">
        <f aca="false">Nonlabor!$J$8*(1+Assumptions!$C$9)^INT((C178-1)/12)</f>
        <v>1238.059691</v>
      </c>
      <c r="G178" s="10" t="n">
        <f aca="false">E178*F178</f>
        <v>0</v>
      </c>
      <c r="H178" s="10" t="n">
        <f aca="false">IF(OR(Nonlabor!$L$8="Quote required",Nonlabor!$L$8="Unverified"),G178,0)</f>
        <v>0</v>
      </c>
      <c r="I178" s="10" t="n">
        <f aca="false">IF(Nonlabor!$E$8="Core",0,G178)</f>
        <v>0</v>
      </c>
      <c r="J178" s="23" t="str">
        <f aca="false">Nonlabor!$B$8</f>
        <v>INFRA</v>
      </c>
    </row>
    <row r="179" customFormat="false" ht="15" hidden="false" customHeight="false" outlineLevel="0" collapsed="false">
      <c r="A179" s="6" t="s">
        <v>72</v>
      </c>
      <c r="B179" s="6" t="s">
        <v>376</v>
      </c>
      <c r="C179" s="6" t="n">
        <v>54</v>
      </c>
      <c r="D179" s="25" t="n">
        <f aca="false">EDATE('Start Here'!$B$6,C179-1)</f>
        <v>47939</v>
      </c>
      <c r="E179" s="23" t="n">
        <f aca="false">IF(AND(OR(Nonlabor!$D$8="Both",Nonlabor!$D$8='Start Here'!$B$9),IF(Nonlabor!$E$8="Core",1,IF(Nonlabor!$E$8="AI",'Start Here'!$B$7,'Start Here'!$B$8))=1,C179&gt;=IF(Nonlabor!$E$8="Core",Nonlabor!$F$8,MAX(Nonlabor!$F$8,IF(Nonlabor!$E$8="AI",Assumptions!$C$24,Assumptions!$C$25))),C179&lt;=Nonlabor!$G$8,OR(Nonlabor!$H$8="Monthly",AND(Nonlabor!$H$8="Once",C179=IF(Nonlabor!$E$8="Core",Nonlabor!$F$8,MAX(Nonlabor!$F$8,IF(Nonlabor!$E$8="AI",Assumptions!$C$24,Assumptions!$C$25)))),AND(Nonlabor!$H$8="Annual",MOD(C179-IF(Nonlabor!$E$8="Core",Nonlabor!$F$8,MAX(Nonlabor!$F$8,IF(Nonlabor!$E$8="AI",Assumptions!$C$24,Assumptions!$C$25))),12)=0))),IF(Nonlabor!$I$8="Fixed",1,IF(Nonlabor!$I$8="Seats",ROUNDUP('Monthly Lean'!I59,0),IF(Nonlabor!$I$8="Customers",'Monthly Lean'!D59,IF(Nonlabor!$I$8="NewCustomers",'Monthly Lean'!C59,IF(Nonlabor!$I$8="StorageGB",'Monthly Lean'!G59,IF(Nonlabor!$I$8="LogGB",'Monthly Lean'!H59,IF(Nonlabor!$I$8="RequestsM",'Monthly Lean'!F59,IF(Nonlabor!$I$8="InputM",'Monthly Lean'!D59*Assumptions!$C$22/1000000,IF(Nonlabor!$I$8="OutputM",'Monthly Lean'!D59*Assumptions!$C$23/1000000,0))))))))),0)</f>
        <v>0</v>
      </c>
      <c r="F179" s="10" t="n">
        <f aca="false">Nonlabor!$J$8*(1+Assumptions!$C$9)^INT((C179-1)/12)</f>
        <v>1238.059691</v>
      </c>
      <c r="G179" s="10" t="n">
        <f aca="false">E179*F179</f>
        <v>0</v>
      </c>
      <c r="H179" s="10" t="n">
        <f aca="false">IF(OR(Nonlabor!$L$8="Quote required",Nonlabor!$L$8="Unverified"),G179,0)</f>
        <v>0</v>
      </c>
      <c r="I179" s="10" t="n">
        <f aca="false">IF(Nonlabor!$E$8="Core",0,G179)</f>
        <v>0</v>
      </c>
      <c r="J179" s="23" t="str">
        <f aca="false">Nonlabor!$B$8</f>
        <v>INFRA</v>
      </c>
    </row>
    <row r="180" customFormat="false" ht="15" hidden="false" customHeight="false" outlineLevel="0" collapsed="false">
      <c r="A180" s="6" t="s">
        <v>72</v>
      </c>
      <c r="B180" s="6" t="s">
        <v>376</v>
      </c>
      <c r="C180" s="6" t="n">
        <v>55</v>
      </c>
      <c r="D180" s="25" t="n">
        <f aca="false">EDATE('Start Here'!$B$6,C180-1)</f>
        <v>47969</v>
      </c>
      <c r="E180" s="23" t="n">
        <f aca="false">IF(AND(OR(Nonlabor!$D$8="Both",Nonlabor!$D$8='Start Here'!$B$9),IF(Nonlabor!$E$8="Core",1,IF(Nonlabor!$E$8="AI",'Start Here'!$B$7,'Start Here'!$B$8))=1,C180&gt;=IF(Nonlabor!$E$8="Core",Nonlabor!$F$8,MAX(Nonlabor!$F$8,IF(Nonlabor!$E$8="AI",Assumptions!$C$24,Assumptions!$C$25))),C180&lt;=Nonlabor!$G$8,OR(Nonlabor!$H$8="Monthly",AND(Nonlabor!$H$8="Once",C180=IF(Nonlabor!$E$8="Core",Nonlabor!$F$8,MAX(Nonlabor!$F$8,IF(Nonlabor!$E$8="AI",Assumptions!$C$24,Assumptions!$C$25)))),AND(Nonlabor!$H$8="Annual",MOD(C180-IF(Nonlabor!$E$8="Core",Nonlabor!$F$8,MAX(Nonlabor!$F$8,IF(Nonlabor!$E$8="AI",Assumptions!$C$24,Assumptions!$C$25))),12)=0))),IF(Nonlabor!$I$8="Fixed",1,IF(Nonlabor!$I$8="Seats",ROUNDUP('Monthly Lean'!I60,0),IF(Nonlabor!$I$8="Customers",'Monthly Lean'!D60,IF(Nonlabor!$I$8="NewCustomers",'Monthly Lean'!C60,IF(Nonlabor!$I$8="StorageGB",'Monthly Lean'!G60,IF(Nonlabor!$I$8="LogGB",'Monthly Lean'!H60,IF(Nonlabor!$I$8="RequestsM",'Monthly Lean'!F60,IF(Nonlabor!$I$8="InputM",'Monthly Lean'!D60*Assumptions!$C$22/1000000,IF(Nonlabor!$I$8="OutputM",'Monthly Lean'!D60*Assumptions!$C$23/1000000,0))))))))),0)</f>
        <v>0</v>
      </c>
      <c r="F180" s="10" t="n">
        <f aca="false">Nonlabor!$J$8*(1+Assumptions!$C$9)^INT((C180-1)/12)</f>
        <v>1238.059691</v>
      </c>
      <c r="G180" s="10" t="n">
        <f aca="false">E180*F180</f>
        <v>0</v>
      </c>
      <c r="H180" s="10" t="n">
        <f aca="false">IF(OR(Nonlabor!$L$8="Quote required",Nonlabor!$L$8="Unverified"),G180,0)</f>
        <v>0</v>
      </c>
      <c r="I180" s="10" t="n">
        <f aca="false">IF(Nonlabor!$E$8="Core",0,G180)</f>
        <v>0</v>
      </c>
      <c r="J180" s="23" t="str">
        <f aca="false">Nonlabor!$B$8</f>
        <v>INFRA</v>
      </c>
    </row>
    <row r="181" customFormat="false" ht="15" hidden="false" customHeight="false" outlineLevel="0" collapsed="false">
      <c r="A181" s="6" t="s">
        <v>72</v>
      </c>
      <c r="B181" s="6" t="s">
        <v>376</v>
      </c>
      <c r="C181" s="6" t="n">
        <v>56</v>
      </c>
      <c r="D181" s="25" t="n">
        <f aca="false">EDATE('Start Here'!$B$6,C181-1)</f>
        <v>48000</v>
      </c>
      <c r="E181" s="23" t="n">
        <f aca="false">IF(AND(OR(Nonlabor!$D$8="Both",Nonlabor!$D$8='Start Here'!$B$9),IF(Nonlabor!$E$8="Core",1,IF(Nonlabor!$E$8="AI",'Start Here'!$B$7,'Start Here'!$B$8))=1,C181&gt;=IF(Nonlabor!$E$8="Core",Nonlabor!$F$8,MAX(Nonlabor!$F$8,IF(Nonlabor!$E$8="AI",Assumptions!$C$24,Assumptions!$C$25))),C181&lt;=Nonlabor!$G$8,OR(Nonlabor!$H$8="Monthly",AND(Nonlabor!$H$8="Once",C181=IF(Nonlabor!$E$8="Core",Nonlabor!$F$8,MAX(Nonlabor!$F$8,IF(Nonlabor!$E$8="AI",Assumptions!$C$24,Assumptions!$C$25)))),AND(Nonlabor!$H$8="Annual",MOD(C181-IF(Nonlabor!$E$8="Core",Nonlabor!$F$8,MAX(Nonlabor!$F$8,IF(Nonlabor!$E$8="AI",Assumptions!$C$24,Assumptions!$C$25))),12)=0))),IF(Nonlabor!$I$8="Fixed",1,IF(Nonlabor!$I$8="Seats",ROUNDUP('Monthly Lean'!I61,0),IF(Nonlabor!$I$8="Customers",'Monthly Lean'!D61,IF(Nonlabor!$I$8="NewCustomers",'Monthly Lean'!C61,IF(Nonlabor!$I$8="StorageGB",'Monthly Lean'!G61,IF(Nonlabor!$I$8="LogGB",'Monthly Lean'!H61,IF(Nonlabor!$I$8="RequestsM",'Monthly Lean'!F61,IF(Nonlabor!$I$8="InputM",'Monthly Lean'!D61*Assumptions!$C$22/1000000,IF(Nonlabor!$I$8="OutputM",'Monthly Lean'!D61*Assumptions!$C$23/1000000,0))))))))),0)</f>
        <v>0</v>
      </c>
      <c r="F181" s="10" t="n">
        <f aca="false">Nonlabor!$J$8*(1+Assumptions!$C$9)^INT((C181-1)/12)</f>
        <v>1238.059691</v>
      </c>
      <c r="G181" s="10" t="n">
        <f aca="false">E181*F181</f>
        <v>0</v>
      </c>
      <c r="H181" s="10" t="n">
        <f aca="false">IF(OR(Nonlabor!$L$8="Quote required",Nonlabor!$L$8="Unverified"),G181,0)</f>
        <v>0</v>
      </c>
      <c r="I181" s="10" t="n">
        <f aca="false">IF(Nonlabor!$E$8="Core",0,G181)</f>
        <v>0</v>
      </c>
      <c r="J181" s="23" t="str">
        <f aca="false">Nonlabor!$B$8</f>
        <v>INFRA</v>
      </c>
    </row>
    <row r="182" customFormat="false" ht="15" hidden="false" customHeight="false" outlineLevel="0" collapsed="false">
      <c r="A182" s="6" t="s">
        <v>72</v>
      </c>
      <c r="B182" s="6" t="s">
        <v>376</v>
      </c>
      <c r="C182" s="6" t="n">
        <v>57</v>
      </c>
      <c r="D182" s="25" t="n">
        <f aca="false">EDATE('Start Here'!$B$6,C182-1)</f>
        <v>48030</v>
      </c>
      <c r="E182" s="23" t="n">
        <f aca="false">IF(AND(OR(Nonlabor!$D$8="Both",Nonlabor!$D$8='Start Here'!$B$9),IF(Nonlabor!$E$8="Core",1,IF(Nonlabor!$E$8="AI",'Start Here'!$B$7,'Start Here'!$B$8))=1,C182&gt;=IF(Nonlabor!$E$8="Core",Nonlabor!$F$8,MAX(Nonlabor!$F$8,IF(Nonlabor!$E$8="AI",Assumptions!$C$24,Assumptions!$C$25))),C182&lt;=Nonlabor!$G$8,OR(Nonlabor!$H$8="Monthly",AND(Nonlabor!$H$8="Once",C182=IF(Nonlabor!$E$8="Core",Nonlabor!$F$8,MAX(Nonlabor!$F$8,IF(Nonlabor!$E$8="AI",Assumptions!$C$24,Assumptions!$C$25)))),AND(Nonlabor!$H$8="Annual",MOD(C182-IF(Nonlabor!$E$8="Core",Nonlabor!$F$8,MAX(Nonlabor!$F$8,IF(Nonlabor!$E$8="AI",Assumptions!$C$24,Assumptions!$C$25))),12)=0))),IF(Nonlabor!$I$8="Fixed",1,IF(Nonlabor!$I$8="Seats",ROUNDUP('Monthly Lean'!I62,0),IF(Nonlabor!$I$8="Customers",'Monthly Lean'!D62,IF(Nonlabor!$I$8="NewCustomers",'Monthly Lean'!C62,IF(Nonlabor!$I$8="StorageGB",'Monthly Lean'!G62,IF(Nonlabor!$I$8="LogGB",'Monthly Lean'!H62,IF(Nonlabor!$I$8="RequestsM",'Monthly Lean'!F62,IF(Nonlabor!$I$8="InputM",'Monthly Lean'!D62*Assumptions!$C$22/1000000,IF(Nonlabor!$I$8="OutputM",'Monthly Lean'!D62*Assumptions!$C$23/1000000,0))))))))),0)</f>
        <v>0</v>
      </c>
      <c r="F182" s="10" t="n">
        <f aca="false">Nonlabor!$J$8*(1+Assumptions!$C$9)^INT((C182-1)/12)</f>
        <v>1238.059691</v>
      </c>
      <c r="G182" s="10" t="n">
        <f aca="false">E182*F182</f>
        <v>0</v>
      </c>
      <c r="H182" s="10" t="n">
        <f aca="false">IF(OR(Nonlabor!$L$8="Quote required",Nonlabor!$L$8="Unverified"),G182,0)</f>
        <v>0</v>
      </c>
      <c r="I182" s="10" t="n">
        <f aca="false">IF(Nonlabor!$E$8="Core",0,G182)</f>
        <v>0</v>
      </c>
      <c r="J182" s="23" t="str">
        <f aca="false">Nonlabor!$B$8</f>
        <v>INFRA</v>
      </c>
    </row>
    <row r="183" customFormat="false" ht="15" hidden="false" customHeight="false" outlineLevel="0" collapsed="false">
      <c r="A183" s="6" t="s">
        <v>72</v>
      </c>
      <c r="B183" s="6" t="s">
        <v>376</v>
      </c>
      <c r="C183" s="6" t="n">
        <v>58</v>
      </c>
      <c r="D183" s="25" t="n">
        <f aca="false">EDATE('Start Here'!$B$6,C183-1)</f>
        <v>48061</v>
      </c>
      <c r="E183" s="23" t="n">
        <f aca="false">IF(AND(OR(Nonlabor!$D$8="Both",Nonlabor!$D$8='Start Here'!$B$9),IF(Nonlabor!$E$8="Core",1,IF(Nonlabor!$E$8="AI",'Start Here'!$B$7,'Start Here'!$B$8))=1,C183&gt;=IF(Nonlabor!$E$8="Core",Nonlabor!$F$8,MAX(Nonlabor!$F$8,IF(Nonlabor!$E$8="AI",Assumptions!$C$24,Assumptions!$C$25))),C183&lt;=Nonlabor!$G$8,OR(Nonlabor!$H$8="Monthly",AND(Nonlabor!$H$8="Once",C183=IF(Nonlabor!$E$8="Core",Nonlabor!$F$8,MAX(Nonlabor!$F$8,IF(Nonlabor!$E$8="AI",Assumptions!$C$24,Assumptions!$C$25)))),AND(Nonlabor!$H$8="Annual",MOD(C183-IF(Nonlabor!$E$8="Core",Nonlabor!$F$8,MAX(Nonlabor!$F$8,IF(Nonlabor!$E$8="AI",Assumptions!$C$24,Assumptions!$C$25))),12)=0))),IF(Nonlabor!$I$8="Fixed",1,IF(Nonlabor!$I$8="Seats",ROUNDUP('Monthly Lean'!I63,0),IF(Nonlabor!$I$8="Customers",'Monthly Lean'!D63,IF(Nonlabor!$I$8="NewCustomers",'Monthly Lean'!C63,IF(Nonlabor!$I$8="StorageGB",'Monthly Lean'!G63,IF(Nonlabor!$I$8="LogGB",'Monthly Lean'!H63,IF(Nonlabor!$I$8="RequestsM",'Monthly Lean'!F63,IF(Nonlabor!$I$8="InputM",'Monthly Lean'!D63*Assumptions!$C$22/1000000,IF(Nonlabor!$I$8="OutputM",'Monthly Lean'!D63*Assumptions!$C$23/1000000,0))))))))),0)</f>
        <v>0</v>
      </c>
      <c r="F183" s="10" t="n">
        <f aca="false">Nonlabor!$J$8*(1+Assumptions!$C$9)^INT((C183-1)/12)</f>
        <v>1238.059691</v>
      </c>
      <c r="G183" s="10" t="n">
        <f aca="false">E183*F183</f>
        <v>0</v>
      </c>
      <c r="H183" s="10" t="n">
        <f aca="false">IF(OR(Nonlabor!$L$8="Quote required",Nonlabor!$L$8="Unverified"),G183,0)</f>
        <v>0</v>
      </c>
      <c r="I183" s="10" t="n">
        <f aca="false">IF(Nonlabor!$E$8="Core",0,G183)</f>
        <v>0</v>
      </c>
      <c r="J183" s="23" t="str">
        <f aca="false">Nonlabor!$B$8</f>
        <v>INFRA</v>
      </c>
    </row>
    <row r="184" customFormat="false" ht="15" hidden="false" customHeight="false" outlineLevel="0" collapsed="false">
      <c r="A184" s="6" t="s">
        <v>72</v>
      </c>
      <c r="B184" s="6" t="s">
        <v>376</v>
      </c>
      <c r="C184" s="6" t="n">
        <v>59</v>
      </c>
      <c r="D184" s="25" t="n">
        <f aca="false">EDATE('Start Here'!$B$6,C184-1)</f>
        <v>48092</v>
      </c>
      <c r="E184" s="23" t="n">
        <f aca="false">IF(AND(OR(Nonlabor!$D$8="Both",Nonlabor!$D$8='Start Here'!$B$9),IF(Nonlabor!$E$8="Core",1,IF(Nonlabor!$E$8="AI",'Start Here'!$B$7,'Start Here'!$B$8))=1,C184&gt;=IF(Nonlabor!$E$8="Core",Nonlabor!$F$8,MAX(Nonlabor!$F$8,IF(Nonlabor!$E$8="AI",Assumptions!$C$24,Assumptions!$C$25))),C184&lt;=Nonlabor!$G$8,OR(Nonlabor!$H$8="Monthly",AND(Nonlabor!$H$8="Once",C184=IF(Nonlabor!$E$8="Core",Nonlabor!$F$8,MAX(Nonlabor!$F$8,IF(Nonlabor!$E$8="AI",Assumptions!$C$24,Assumptions!$C$25)))),AND(Nonlabor!$H$8="Annual",MOD(C184-IF(Nonlabor!$E$8="Core",Nonlabor!$F$8,MAX(Nonlabor!$F$8,IF(Nonlabor!$E$8="AI",Assumptions!$C$24,Assumptions!$C$25))),12)=0))),IF(Nonlabor!$I$8="Fixed",1,IF(Nonlabor!$I$8="Seats",ROUNDUP('Monthly Lean'!I64,0),IF(Nonlabor!$I$8="Customers",'Monthly Lean'!D64,IF(Nonlabor!$I$8="NewCustomers",'Monthly Lean'!C64,IF(Nonlabor!$I$8="StorageGB",'Monthly Lean'!G64,IF(Nonlabor!$I$8="LogGB",'Monthly Lean'!H64,IF(Nonlabor!$I$8="RequestsM",'Monthly Lean'!F64,IF(Nonlabor!$I$8="InputM",'Monthly Lean'!D64*Assumptions!$C$22/1000000,IF(Nonlabor!$I$8="OutputM",'Monthly Lean'!D64*Assumptions!$C$23/1000000,0))))))))),0)</f>
        <v>0</v>
      </c>
      <c r="F184" s="10" t="n">
        <f aca="false">Nonlabor!$J$8*(1+Assumptions!$C$9)^INT((C184-1)/12)</f>
        <v>1238.059691</v>
      </c>
      <c r="G184" s="10" t="n">
        <f aca="false">E184*F184</f>
        <v>0</v>
      </c>
      <c r="H184" s="10" t="n">
        <f aca="false">IF(OR(Nonlabor!$L$8="Quote required",Nonlabor!$L$8="Unverified"),G184,0)</f>
        <v>0</v>
      </c>
      <c r="I184" s="10" t="n">
        <f aca="false">IF(Nonlabor!$E$8="Core",0,G184)</f>
        <v>0</v>
      </c>
      <c r="J184" s="23" t="str">
        <f aca="false">Nonlabor!$B$8</f>
        <v>INFRA</v>
      </c>
    </row>
    <row r="185" customFormat="false" ht="15" hidden="false" customHeight="false" outlineLevel="0" collapsed="false">
      <c r="A185" s="6" t="s">
        <v>72</v>
      </c>
      <c r="B185" s="6" t="s">
        <v>376</v>
      </c>
      <c r="C185" s="6" t="n">
        <v>60</v>
      </c>
      <c r="D185" s="25" t="n">
        <f aca="false">EDATE('Start Here'!$B$6,C185-1)</f>
        <v>48122</v>
      </c>
      <c r="E185" s="23" t="n">
        <f aca="false">IF(AND(OR(Nonlabor!$D$8="Both",Nonlabor!$D$8='Start Here'!$B$9),IF(Nonlabor!$E$8="Core",1,IF(Nonlabor!$E$8="AI",'Start Here'!$B$7,'Start Here'!$B$8))=1,C185&gt;=IF(Nonlabor!$E$8="Core",Nonlabor!$F$8,MAX(Nonlabor!$F$8,IF(Nonlabor!$E$8="AI",Assumptions!$C$24,Assumptions!$C$25))),C185&lt;=Nonlabor!$G$8,OR(Nonlabor!$H$8="Monthly",AND(Nonlabor!$H$8="Once",C185=IF(Nonlabor!$E$8="Core",Nonlabor!$F$8,MAX(Nonlabor!$F$8,IF(Nonlabor!$E$8="AI",Assumptions!$C$24,Assumptions!$C$25)))),AND(Nonlabor!$H$8="Annual",MOD(C185-IF(Nonlabor!$E$8="Core",Nonlabor!$F$8,MAX(Nonlabor!$F$8,IF(Nonlabor!$E$8="AI",Assumptions!$C$24,Assumptions!$C$25))),12)=0))),IF(Nonlabor!$I$8="Fixed",1,IF(Nonlabor!$I$8="Seats",ROUNDUP('Monthly Lean'!I65,0),IF(Nonlabor!$I$8="Customers",'Monthly Lean'!D65,IF(Nonlabor!$I$8="NewCustomers",'Monthly Lean'!C65,IF(Nonlabor!$I$8="StorageGB",'Monthly Lean'!G65,IF(Nonlabor!$I$8="LogGB",'Monthly Lean'!H65,IF(Nonlabor!$I$8="RequestsM",'Monthly Lean'!F65,IF(Nonlabor!$I$8="InputM",'Monthly Lean'!D65*Assumptions!$C$22/1000000,IF(Nonlabor!$I$8="OutputM",'Monthly Lean'!D65*Assumptions!$C$23/1000000,0))))))))),0)</f>
        <v>0</v>
      </c>
      <c r="F185" s="10" t="n">
        <f aca="false">Nonlabor!$J$8*(1+Assumptions!$C$9)^INT((C185-1)/12)</f>
        <v>1238.059691</v>
      </c>
      <c r="G185" s="10" t="n">
        <f aca="false">E185*F185</f>
        <v>0</v>
      </c>
      <c r="H185" s="10" t="n">
        <f aca="false">IF(OR(Nonlabor!$L$8="Quote required",Nonlabor!$L$8="Unverified"),G185,0)</f>
        <v>0</v>
      </c>
      <c r="I185" s="10" t="n">
        <f aca="false">IF(Nonlabor!$E$8="Core",0,G185)</f>
        <v>0</v>
      </c>
      <c r="J185" s="23" t="str">
        <f aca="false">Nonlabor!$B$8</f>
        <v>INFRA</v>
      </c>
    </row>
    <row r="186" customFormat="false" ht="15" hidden="false" customHeight="false" outlineLevel="0" collapsed="false">
      <c r="A186" s="6" t="s">
        <v>72</v>
      </c>
      <c r="B186" s="6" t="s">
        <v>379</v>
      </c>
      <c r="C186" s="6" t="n">
        <v>1</v>
      </c>
      <c r="D186" s="25" t="n">
        <f aca="false">EDATE('Start Here'!$B$6,C186-1)</f>
        <v>46327</v>
      </c>
      <c r="E186" s="23" t="n">
        <f aca="false">IF(AND(OR(Nonlabor!$D$9="Both",Nonlabor!$D$9='Start Here'!$B$9),IF(Nonlabor!$E$9="Core",1,IF(Nonlabor!$E$9="AI",'Start Here'!$B$7,'Start Here'!$B$8))=1,C186&gt;=IF(Nonlabor!$E$9="Core",Nonlabor!$F$9,MAX(Nonlabor!$F$9,IF(Nonlabor!$E$9="AI",Assumptions!$C$24,Assumptions!$C$25))),C186&lt;=Nonlabor!$G$9,OR(Nonlabor!$H$9="Monthly",AND(Nonlabor!$H$9="Once",C186=IF(Nonlabor!$E$9="Core",Nonlabor!$F$9,MAX(Nonlabor!$F$9,IF(Nonlabor!$E$9="AI",Assumptions!$C$24,Assumptions!$C$25)))),AND(Nonlabor!$H$9="Annual",MOD(C186-IF(Nonlabor!$E$9="Core",Nonlabor!$F$9,MAX(Nonlabor!$F$9,IF(Nonlabor!$E$9="AI",Assumptions!$C$24,Assumptions!$C$25))),12)=0))),IF(Nonlabor!$I$9="Fixed",1,IF(Nonlabor!$I$9="Seats",ROUNDUP('Monthly Lean'!I6,0),IF(Nonlabor!$I$9="Customers",'Monthly Lean'!D6,IF(Nonlabor!$I$9="NewCustomers",'Monthly Lean'!C6,IF(Nonlabor!$I$9="StorageGB",'Monthly Lean'!G6,IF(Nonlabor!$I$9="LogGB",'Monthly Lean'!H6,IF(Nonlabor!$I$9="RequestsM",'Monthly Lean'!F6,IF(Nonlabor!$I$9="InputM",'Monthly Lean'!D6*Assumptions!$C$22/1000000,IF(Nonlabor!$I$9="OutputM",'Monthly Lean'!D6*Assumptions!$C$23/1000000,0))))))))),0)</f>
        <v>1</v>
      </c>
      <c r="F186" s="10" t="n">
        <f aca="false">Nonlabor!$J$9*(1+Assumptions!$C$9)^INT((C186-1)/12)</f>
        <v>250</v>
      </c>
      <c r="G186" s="10" t="n">
        <f aca="false">E186*F186</f>
        <v>250</v>
      </c>
      <c r="H186" s="10" t="n">
        <f aca="false">IF(OR(Nonlabor!$L$9="Quote required",Nonlabor!$L$9="Unverified"),G186,0)</f>
        <v>250</v>
      </c>
      <c r="I186" s="10" t="n">
        <f aca="false">IF(Nonlabor!$E$9="Core",0,G186)</f>
        <v>0</v>
      </c>
      <c r="J186" s="23" t="str">
        <f aca="false">Nonlabor!$B$9</f>
        <v>INFRA</v>
      </c>
    </row>
    <row r="187" customFormat="false" ht="15" hidden="false" customHeight="false" outlineLevel="0" collapsed="false">
      <c r="A187" s="6" t="s">
        <v>72</v>
      </c>
      <c r="B187" s="6" t="s">
        <v>379</v>
      </c>
      <c r="C187" s="6" t="n">
        <v>2</v>
      </c>
      <c r="D187" s="25" t="n">
        <f aca="false">EDATE('Start Here'!$B$6,C187-1)</f>
        <v>46357</v>
      </c>
      <c r="E187" s="23" t="n">
        <f aca="false">IF(AND(OR(Nonlabor!$D$9="Both",Nonlabor!$D$9='Start Here'!$B$9),IF(Nonlabor!$E$9="Core",1,IF(Nonlabor!$E$9="AI",'Start Here'!$B$7,'Start Here'!$B$8))=1,C187&gt;=IF(Nonlabor!$E$9="Core",Nonlabor!$F$9,MAX(Nonlabor!$F$9,IF(Nonlabor!$E$9="AI",Assumptions!$C$24,Assumptions!$C$25))),C187&lt;=Nonlabor!$G$9,OR(Nonlabor!$H$9="Monthly",AND(Nonlabor!$H$9="Once",C187=IF(Nonlabor!$E$9="Core",Nonlabor!$F$9,MAX(Nonlabor!$F$9,IF(Nonlabor!$E$9="AI",Assumptions!$C$24,Assumptions!$C$25)))),AND(Nonlabor!$H$9="Annual",MOD(C187-IF(Nonlabor!$E$9="Core",Nonlabor!$F$9,MAX(Nonlabor!$F$9,IF(Nonlabor!$E$9="AI",Assumptions!$C$24,Assumptions!$C$25))),12)=0))),IF(Nonlabor!$I$9="Fixed",1,IF(Nonlabor!$I$9="Seats",ROUNDUP('Monthly Lean'!I7,0),IF(Nonlabor!$I$9="Customers",'Monthly Lean'!D7,IF(Nonlabor!$I$9="NewCustomers",'Monthly Lean'!C7,IF(Nonlabor!$I$9="StorageGB",'Monthly Lean'!G7,IF(Nonlabor!$I$9="LogGB",'Monthly Lean'!H7,IF(Nonlabor!$I$9="RequestsM",'Monthly Lean'!F7,IF(Nonlabor!$I$9="InputM",'Monthly Lean'!D7*Assumptions!$C$22/1000000,IF(Nonlabor!$I$9="OutputM",'Monthly Lean'!D7*Assumptions!$C$23/1000000,0))))))))),0)</f>
        <v>1</v>
      </c>
      <c r="F187" s="10" t="n">
        <f aca="false">Nonlabor!$J$9*(1+Assumptions!$C$9)^INT((C187-1)/12)</f>
        <v>250</v>
      </c>
      <c r="G187" s="10" t="n">
        <f aca="false">E187*F187</f>
        <v>250</v>
      </c>
      <c r="H187" s="10" t="n">
        <f aca="false">IF(OR(Nonlabor!$L$9="Quote required",Nonlabor!$L$9="Unverified"),G187,0)</f>
        <v>250</v>
      </c>
      <c r="I187" s="10" t="n">
        <f aca="false">IF(Nonlabor!$E$9="Core",0,G187)</f>
        <v>0</v>
      </c>
      <c r="J187" s="23" t="str">
        <f aca="false">Nonlabor!$B$9</f>
        <v>INFRA</v>
      </c>
    </row>
    <row r="188" customFormat="false" ht="15" hidden="false" customHeight="false" outlineLevel="0" collapsed="false">
      <c r="A188" s="6" t="s">
        <v>72</v>
      </c>
      <c r="B188" s="6" t="s">
        <v>379</v>
      </c>
      <c r="C188" s="6" t="n">
        <v>3</v>
      </c>
      <c r="D188" s="25" t="n">
        <f aca="false">EDATE('Start Here'!$B$6,C188-1)</f>
        <v>46388</v>
      </c>
      <c r="E188" s="23" t="n">
        <f aca="false">IF(AND(OR(Nonlabor!$D$9="Both",Nonlabor!$D$9='Start Here'!$B$9),IF(Nonlabor!$E$9="Core",1,IF(Nonlabor!$E$9="AI",'Start Here'!$B$7,'Start Here'!$B$8))=1,C188&gt;=IF(Nonlabor!$E$9="Core",Nonlabor!$F$9,MAX(Nonlabor!$F$9,IF(Nonlabor!$E$9="AI",Assumptions!$C$24,Assumptions!$C$25))),C188&lt;=Nonlabor!$G$9,OR(Nonlabor!$H$9="Monthly",AND(Nonlabor!$H$9="Once",C188=IF(Nonlabor!$E$9="Core",Nonlabor!$F$9,MAX(Nonlabor!$F$9,IF(Nonlabor!$E$9="AI",Assumptions!$C$24,Assumptions!$C$25)))),AND(Nonlabor!$H$9="Annual",MOD(C188-IF(Nonlabor!$E$9="Core",Nonlabor!$F$9,MAX(Nonlabor!$F$9,IF(Nonlabor!$E$9="AI",Assumptions!$C$24,Assumptions!$C$25))),12)=0))),IF(Nonlabor!$I$9="Fixed",1,IF(Nonlabor!$I$9="Seats",ROUNDUP('Monthly Lean'!I8,0),IF(Nonlabor!$I$9="Customers",'Monthly Lean'!D8,IF(Nonlabor!$I$9="NewCustomers",'Monthly Lean'!C8,IF(Nonlabor!$I$9="StorageGB",'Monthly Lean'!G8,IF(Nonlabor!$I$9="LogGB",'Monthly Lean'!H8,IF(Nonlabor!$I$9="RequestsM",'Monthly Lean'!F8,IF(Nonlabor!$I$9="InputM",'Monthly Lean'!D8*Assumptions!$C$22/1000000,IF(Nonlabor!$I$9="OutputM",'Monthly Lean'!D8*Assumptions!$C$23/1000000,0))))))))),0)</f>
        <v>1</v>
      </c>
      <c r="F188" s="10" t="n">
        <f aca="false">Nonlabor!$J$9*(1+Assumptions!$C$9)^INT((C188-1)/12)</f>
        <v>250</v>
      </c>
      <c r="G188" s="10" t="n">
        <f aca="false">E188*F188</f>
        <v>250</v>
      </c>
      <c r="H188" s="10" t="n">
        <f aca="false">IF(OR(Nonlabor!$L$9="Quote required",Nonlabor!$L$9="Unverified"),G188,0)</f>
        <v>250</v>
      </c>
      <c r="I188" s="10" t="n">
        <f aca="false">IF(Nonlabor!$E$9="Core",0,G188)</f>
        <v>0</v>
      </c>
      <c r="J188" s="23" t="str">
        <f aca="false">Nonlabor!$B$9</f>
        <v>INFRA</v>
      </c>
    </row>
    <row r="189" customFormat="false" ht="15" hidden="false" customHeight="false" outlineLevel="0" collapsed="false">
      <c r="A189" s="6" t="s">
        <v>72</v>
      </c>
      <c r="B189" s="6" t="s">
        <v>379</v>
      </c>
      <c r="C189" s="6" t="n">
        <v>4</v>
      </c>
      <c r="D189" s="25" t="n">
        <f aca="false">EDATE('Start Here'!$B$6,C189-1)</f>
        <v>46419</v>
      </c>
      <c r="E189" s="23" t="n">
        <f aca="false">IF(AND(OR(Nonlabor!$D$9="Both",Nonlabor!$D$9='Start Here'!$B$9),IF(Nonlabor!$E$9="Core",1,IF(Nonlabor!$E$9="AI",'Start Here'!$B$7,'Start Here'!$B$8))=1,C189&gt;=IF(Nonlabor!$E$9="Core",Nonlabor!$F$9,MAX(Nonlabor!$F$9,IF(Nonlabor!$E$9="AI",Assumptions!$C$24,Assumptions!$C$25))),C189&lt;=Nonlabor!$G$9,OR(Nonlabor!$H$9="Monthly",AND(Nonlabor!$H$9="Once",C189=IF(Nonlabor!$E$9="Core",Nonlabor!$F$9,MAX(Nonlabor!$F$9,IF(Nonlabor!$E$9="AI",Assumptions!$C$24,Assumptions!$C$25)))),AND(Nonlabor!$H$9="Annual",MOD(C189-IF(Nonlabor!$E$9="Core",Nonlabor!$F$9,MAX(Nonlabor!$F$9,IF(Nonlabor!$E$9="AI",Assumptions!$C$24,Assumptions!$C$25))),12)=0))),IF(Nonlabor!$I$9="Fixed",1,IF(Nonlabor!$I$9="Seats",ROUNDUP('Monthly Lean'!I9,0),IF(Nonlabor!$I$9="Customers",'Monthly Lean'!D9,IF(Nonlabor!$I$9="NewCustomers",'Monthly Lean'!C9,IF(Nonlabor!$I$9="StorageGB",'Monthly Lean'!G9,IF(Nonlabor!$I$9="LogGB",'Monthly Lean'!H9,IF(Nonlabor!$I$9="RequestsM",'Monthly Lean'!F9,IF(Nonlabor!$I$9="InputM",'Monthly Lean'!D9*Assumptions!$C$22/1000000,IF(Nonlabor!$I$9="OutputM",'Monthly Lean'!D9*Assumptions!$C$23/1000000,0))))))))),0)</f>
        <v>1</v>
      </c>
      <c r="F189" s="10" t="n">
        <f aca="false">Nonlabor!$J$9*(1+Assumptions!$C$9)^INT((C189-1)/12)</f>
        <v>250</v>
      </c>
      <c r="G189" s="10" t="n">
        <f aca="false">E189*F189</f>
        <v>250</v>
      </c>
      <c r="H189" s="10" t="n">
        <f aca="false">IF(OR(Nonlabor!$L$9="Quote required",Nonlabor!$L$9="Unverified"),G189,0)</f>
        <v>250</v>
      </c>
      <c r="I189" s="10" t="n">
        <f aca="false">IF(Nonlabor!$E$9="Core",0,G189)</f>
        <v>0</v>
      </c>
      <c r="J189" s="23" t="str">
        <f aca="false">Nonlabor!$B$9</f>
        <v>INFRA</v>
      </c>
    </row>
    <row r="190" customFormat="false" ht="15" hidden="false" customHeight="false" outlineLevel="0" collapsed="false">
      <c r="A190" s="6" t="s">
        <v>72</v>
      </c>
      <c r="B190" s="6" t="s">
        <v>379</v>
      </c>
      <c r="C190" s="6" t="n">
        <v>5</v>
      </c>
      <c r="D190" s="25" t="n">
        <f aca="false">EDATE('Start Here'!$B$6,C190-1)</f>
        <v>46447</v>
      </c>
      <c r="E190" s="23" t="n">
        <f aca="false">IF(AND(OR(Nonlabor!$D$9="Both",Nonlabor!$D$9='Start Here'!$B$9),IF(Nonlabor!$E$9="Core",1,IF(Nonlabor!$E$9="AI",'Start Here'!$B$7,'Start Here'!$B$8))=1,C190&gt;=IF(Nonlabor!$E$9="Core",Nonlabor!$F$9,MAX(Nonlabor!$F$9,IF(Nonlabor!$E$9="AI",Assumptions!$C$24,Assumptions!$C$25))),C190&lt;=Nonlabor!$G$9,OR(Nonlabor!$H$9="Monthly",AND(Nonlabor!$H$9="Once",C190=IF(Nonlabor!$E$9="Core",Nonlabor!$F$9,MAX(Nonlabor!$F$9,IF(Nonlabor!$E$9="AI",Assumptions!$C$24,Assumptions!$C$25)))),AND(Nonlabor!$H$9="Annual",MOD(C190-IF(Nonlabor!$E$9="Core",Nonlabor!$F$9,MAX(Nonlabor!$F$9,IF(Nonlabor!$E$9="AI",Assumptions!$C$24,Assumptions!$C$25))),12)=0))),IF(Nonlabor!$I$9="Fixed",1,IF(Nonlabor!$I$9="Seats",ROUNDUP('Monthly Lean'!I10,0),IF(Nonlabor!$I$9="Customers",'Monthly Lean'!D10,IF(Nonlabor!$I$9="NewCustomers",'Monthly Lean'!C10,IF(Nonlabor!$I$9="StorageGB",'Monthly Lean'!G10,IF(Nonlabor!$I$9="LogGB",'Monthly Lean'!H10,IF(Nonlabor!$I$9="RequestsM",'Monthly Lean'!F10,IF(Nonlabor!$I$9="InputM",'Monthly Lean'!D10*Assumptions!$C$22/1000000,IF(Nonlabor!$I$9="OutputM",'Monthly Lean'!D10*Assumptions!$C$23/1000000,0))))))))),0)</f>
        <v>1</v>
      </c>
      <c r="F190" s="10" t="n">
        <f aca="false">Nonlabor!$J$9*(1+Assumptions!$C$9)^INT((C190-1)/12)</f>
        <v>250</v>
      </c>
      <c r="G190" s="10" t="n">
        <f aca="false">E190*F190</f>
        <v>250</v>
      </c>
      <c r="H190" s="10" t="n">
        <f aca="false">IF(OR(Nonlabor!$L$9="Quote required",Nonlabor!$L$9="Unverified"),G190,0)</f>
        <v>250</v>
      </c>
      <c r="I190" s="10" t="n">
        <f aca="false">IF(Nonlabor!$E$9="Core",0,G190)</f>
        <v>0</v>
      </c>
      <c r="J190" s="23" t="str">
        <f aca="false">Nonlabor!$B$9</f>
        <v>INFRA</v>
      </c>
    </row>
    <row r="191" customFormat="false" ht="15" hidden="false" customHeight="false" outlineLevel="0" collapsed="false">
      <c r="A191" s="6" t="s">
        <v>72</v>
      </c>
      <c r="B191" s="6" t="s">
        <v>379</v>
      </c>
      <c r="C191" s="6" t="n">
        <v>6</v>
      </c>
      <c r="D191" s="25" t="n">
        <f aca="false">EDATE('Start Here'!$B$6,C191-1)</f>
        <v>46478</v>
      </c>
      <c r="E191" s="23" t="n">
        <f aca="false">IF(AND(OR(Nonlabor!$D$9="Both",Nonlabor!$D$9='Start Here'!$B$9),IF(Nonlabor!$E$9="Core",1,IF(Nonlabor!$E$9="AI",'Start Here'!$B$7,'Start Here'!$B$8))=1,C191&gt;=IF(Nonlabor!$E$9="Core",Nonlabor!$F$9,MAX(Nonlabor!$F$9,IF(Nonlabor!$E$9="AI",Assumptions!$C$24,Assumptions!$C$25))),C191&lt;=Nonlabor!$G$9,OR(Nonlabor!$H$9="Monthly",AND(Nonlabor!$H$9="Once",C191=IF(Nonlabor!$E$9="Core",Nonlabor!$F$9,MAX(Nonlabor!$F$9,IF(Nonlabor!$E$9="AI",Assumptions!$C$24,Assumptions!$C$25)))),AND(Nonlabor!$H$9="Annual",MOD(C191-IF(Nonlabor!$E$9="Core",Nonlabor!$F$9,MAX(Nonlabor!$F$9,IF(Nonlabor!$E$9="AI",Assumptions!$C$24,Assumptions!$C$25))),12)=0))),IF(Nonlabor!$I$9="Fixed",1,IF(Nonlabor!$I$9="Seats",ROUNDUP('Monthly Lean'!I11,0),IF(Nonlabor!$I$9="Customers",'Monthly Lean'!D11,IF(Nonlabor!$I$9="NewCustomers",'Monthly Lean'!C11,IF(Nonlabor!$I$9="StorageGB",'Monthly Lean'!G11,IF(Nonlabor!$I$9="LogGB",'Monthly Lean'!H11,IF(Nonlabor!$I$9="RequestsM",'Monthly Lean'!F11,IF(Nonlabor!$I$9="InputM",'Monthly Lean'!D11*Assumptions!$C$22/1000000,IF(Nonlabor!$I$9="OutputM",'Monthly Lean'!D11*Assumptions!$C$23/1000000,0))))))))),0)</f>
        <v>1</v>
      </c>
      <c r="F191" s="10" t="n">
        <f aca="false">Nonlabor!$J$9*(1+Assumptions!$C$9)^INT((C191-1)/12)</f>
        <v>250</v>
      </c>
      <c r="G191" s="10" t="n">
        <f aca="false">E191*F191</f>
        <v>250</v>
      </c>
      <c r="H191" s="10" t="n">
        <f aca="false">IF(OR(Nonlabor!$L$9="Quote required",Nonlabor!$L$9="Unverified"),G191,0)</f>
        <v>250</v>
      </c>
      <c r="I191" s="10" t="n">
        <f aca="false">IF(Nonlabor!$E$9="Core",0,G191)</f>
        <v>0</v>
      </c>
      <c r="J191" s="23" t="str">
        <f aca="false">Nonlabor!$B$9</f>
        <v>INFRA</v>
      </c>
    </row>
    <row r="192" customFormat="false" ht="15" hidden="false" customHeight="false" outlineLevel="0" collapsed="false">
      <c r="A192" s="6" t="s">
        <v>72</v>
      </c>
      <c r="B192" s="6" t="s">
        <v>379</v>
      </c>
      <c r="C192" s="6" t="n">
        <v>7</v>
      </c>
      <c r="D192" s="25" t="n">
        <f aca="false">EDATE('Start Here'!$B$6,C192-1)</f>
        <v>46508</v>
      </c>
      <c r="E192" s="23" t="n">
        <f aca="false">IF(AND(OR(Nonlabor!$D$9="Both",Nonlabor!$D$9='Start Here'!$B$9),IF(Nonlabor!$E$9="Core",1,IF(Nonlabor!$E$9="AI",'Start Here'!$B$7,'Start Here'!$B$8))=1,C192&gt;=IF(Nonlabor!$E$9="Core",Nonlabor!$F$9,MAX(Nonlabor!$F$9,IF(Nonlabor!$E$9="AI",Assumptions!$C$24,Assumptions!$C$25))),C192&lt;=Nonlabor!$G$9,OR(Nonlabor!$H$9="Monthly",AND(Nonlabor!$H$9="Once",C192=IF(Nonlabor!$E$9="Core",Nonlabor!$F$9,MAX(Nonlabor!$F$9,IF(Nonlabor!$E$9="AI",Assumptions!$C$24,Assumptions!$C$25)))),AND(Nonlabor!$H$9="Annual",MOD(C192-IF(Nonlabor!$E$9="Core",Nonlabor!$F$9,MAX(Nonlabor!$F$9,IF(Nonlabor!$E$9="AI",Assumptions!$C$24,Assumptions!$C$25))),12)=0))),IF(Nonlabor!$I$9="Fixed",1,IF(Nonlabor!$I$9="Seats",ROUNDUP('Monthly Lean'!I12,0),IF(Nonlabor!$I$9="Customers",'Monthly Lean'!D12,IF(Nonlabor!$I$9="NewCustomers",'Monthly Lean'!C12,IF(Nonlabor!$I$9="StorageGB",'Monthly Lean'!G12,IF(Nonlabor!$I$9="LogGB",'Monthly Lean'!H12,IF(Nonlabor!$I$9="RequestsM",'Monthly Lean'!F12,IF(Nonlabor!$I$9="InputM",'Monthly Lean'!D12*Assumptions!$C$22/1000000,IF(Nonlabor!$I$9="OutputM",'Monthly Lean'!D12*Assumptions!$C$23/1000000,0))))))))),0)</f>
        <v>1</v>
      </c>
      <c r="F192" s="10" t="n">
        <f aca="false">Nonlabor!$J$9*(1+Assumptions!$C$9)^INT((C192-1)/12)</f>
        <v>250</v>
      </c>
      <c r="G192" s="10" t="n">
        <f aca="false">E192*F192</f>
        <v>250</v>
      </c>
      <c r="H192" s="10" t="n">
        <f aca="false">IF(OR(Nonlabor!$L$9="Quote required",Nonlabor!$L$9="Unverified"),G192,0)</f>
        <v>250</v>
      </c>
      <c r="I192" s="10" t="n">
        <f aca="false">IF(Nonlabor!$E$9="Core",0,G192)</f>
        <v>0</v>
      </c>
      <c r="J192" s="23" t="str">
        <f aca="false">Nonlabor!$B$9</f>
        <v>INFRA</v>
      </c>
    </row>
    <row r="193" customFormat="false" ht="15" hidden="false" customHeight="false" outlineLevel="0" collapsed="false">
      <c r="A193" s="6" t="s">
        <v>72</v>
      </c>
      <c r="B193" s="6" t="s">
        <v>379</v>
      </c>
      <c r="C193" s="6" t="n">
        <v>8</v>
      </c>
      <c r="D193" s="25" t="n">
        <f aca="false">EDATE('Start Here'!$B$6,C193-1)</f>
        <v>46539</v>
      </c>
      <c r="E193" s="23" t="n">
        <f aca="false">IF(AND(OR(Nonlabor!$D$9="Both",Nonlabor!$D$9='Start Here'!$B$9),IF(Nonlabor!$E$9="Core",1,IF(Nonlabor!$E$9="AI",'Start Here'!$B$7,'Start Here'!$B$8))=1,C193&gt;=IF(Nonlabor!$E$9="Core",Nonlabor!$F$9,MAX(Nonlabor!$F$9,IF(Nonlabor!$E$9="AI",Assumptions!$C$24,Assumptions!$C$25))),C193&lt;=Nonlabor!$G$9,OR(Nonlabor!$H$9="Monthly",AND(Nonlabor!$H$9="Once",C193=IF(Nonlabor!$E$9="Core",Nonlabor!$F$9,MAX(Nonlabor!$F$9,IF(Nonlabor!$E$9="AI",Assumptions!$C$24,Assumptions!$C$25)))),AND(Nonlabor!$H$9="Annual",MOD(C193-IF(Nonlabor!$E$9="Core",Nonlabor!$F$9,MAX(Nonlabor!$F$9,IF(Nonlabor!$E$9="AI",Assumptions!$C$24,Assumptions!$C$25))),12)=0))),IF(Nonlabor!$I$9="Fixed",1,IF(Nonlabor!$I$9="Seats",ROUNDUP('Monthly Lean'!I13,0),IF(Nonlabor!$I$9="Customers",'Monthly Lean'!D13,IF(Nonlabor!$I$9="NewCustomers",'Monthly Lean'!C13,IF(Nonlabor!$I$9="StorageGB",'Monthly Lean'!G13,IF(Nonlabor!$I$9="LogGB",'Monthly Lean'!H13,IF(Nonlabor!$I$9="RequestsM",'Monthly Lean'!F13,IF(Nonlabor!$I$9="InputM",'Monthly Lean'!D13*Assumptions!$C$22/1000000,IF(Nonlabor!$I$9="OutputM",'Monthly Lean'!D13*Assumptions!$C$23/1000000,0))))))))),0)</f>
        <v>1</v>
      </c>
      <c r="F193" s="10" t="n">
        <f aca="false">Nonlabor!$J$9*(1+Assumptions!$C$9)^INT((C193-1)/12)</f>
        <v>250</v>
      </c>
      <c r="G193" s="10" t="n">
        <f aca="false">E193*F193</f>
        <v>250</v>
      </c>
      <c r="H193" s="10" t="n">
        <f aca="false">IF(OR(Nonlabor!$L$9="Quote required",Nonlabor!$L$9="Unverified"),G193,0)</f>
        <v>250</v>
      </c>
      <c r="I193" s="10" t="n">
        <f aca="false">IF(Nonlabor!$E$9="Core",0,G193)</f>
        <v>0</v>
      </c>
      <c r="J193" s="23" t="str">
        <f aca="false">Nonlabor!$B$9</f>
        <v>INFRA</v>
      </c>
    </row>
    <row r="194" customFormat="false" ht="15" hidden="false" customHeight="false" outlineLevel="0" collapsed="false">
      <c r="A194" s="6" t="s">
        <v>72</v>
      </c>
      <c r="B194" s="6" t="s">
        <v>379</v>
      </c>
      <c r="C194" s="6" t="n">
        <v>9</v>
      </c>
      <c r="D194" s="25" t="n">
        <f aca="false">EDATE('Start Here'!$B$6,C194-1)</f>
        <v>46569</v>
      </c>
      <c r="E194" s="23" t="n">
        <f aca="false">IF(AND(OR(Nonlabor!$D$9="Both",Nonlabor!$D$9='Start Here'!$B$9),IF(Nonlabor!$E$9="Core",1,IF(Nonlabor!$E$9="AI",'Start Here'!$B$7,'Start Here'!$B$8))=1,C194&gt;=IF(Nonlabor!$E$9="Core",Nonlabor!$F$9,MAX(Nonlabor!$F$9,IF(Nonlabor!$E$9="AI",Assumptions!$C$24,Assumptions!$C$25))),C194&lt;=Nonlabor!$G$9,OR(Nonlabor!$H$9="Monthly",AND(Nonlabor!$H$9="Once",C194=IF(Nonlabor!$E$9="Core",Nonlabor!$F$9,MAX(Nonlabor!$F$9,IF(Nonlabor!$E$9="AI",Assumptions!$C$24,Assumptions!$C$25)))),AND(Nonlabor!$H$9="Annual",MOD(C194-IF(Nonlabor!$E$9="Core",Nonlabor!$F$9,MAX(Nonlabor!$F$9,IF(Nonlabor!$E$9="AI",Assumptions!$C$24,Assumptions!$C$25))),12)=0))),IF(Nonlabor!$I$9="Fixed",1,IF(Nonlabor!$I$9="Seats",ROUNDUP('Monthly Lean'!I14,0),IF(Nonlabor!$I$9="Customers",'Monthly Lean'!D14,IF(Nonlabor!$I$9="NewCustomers",'Monthly Lean'!C14,IF(Nonlabor!$I$9="StorageGB",'Monthly Lean'!G14,IF(Nonlabor!$I$9="LogGB",'Monthly Lean'!H14,IF(Nonlabor!$I$9="RequestsM",'Monthly Lean'!F14,IF(Nonlabor!$I$9="InputM",'Monthly Lean'!D14*Assumptions!$C$22/1000000,IF(Nonlabor!$I$9="OutputM",'Monthly Lean'!D14*Assumptions!$C$23/1000000,0))))))))),0)</f>
        <v>1</v>
      </c>
      <c r="F194" s="10" t="n">
        <f aca="false">Nonlabor!$J$9*(1+Assumptions!$C$9)^INT((C194-1)/12)</f>
        <v>250</v>
      </c>
      <c r="G194" s="10" t="n">
        <f aca="false">E194*F194</f>
        <v>250</v>
      </c>
      <c r="H194" s="10" t="n">
        <f aca="false">IF(OR(Nonlabor!$L$9="Quote required",Nonlabor!$L$9="Unverified"),G194,0)</f>
        <v>250</v>
      </c>
      <c r="I194" s="10" t="n">
        <f aca="false">IF(Nonlabor!$E$9="Core",0,G194)</f>
        <v>0</v>
      </c>
      <c r="J194" s="23" t="str">
        <f aca="false">Nonlabor!$B$9</f>
        <v>INFRA</v>
      </c>
    </row>
    <row r="195" customFormat="false" ht="15" hidden="false" customHeight="false" outlineLevel="0" collapsed="false">
      <c r="A195" s="6" t="s">
        <v>72</v>
      </c>
      <c r="B195" s="6" t="s">
        <v>379</v>
      </c>
      <c r="C195" s="6" t="n">
        <v>10</v>
      </c>
      <c r="D195" s="25" t="n">
        <f aca="false">EDATE('Start Here'!$B$6,C195-1)</f>
        <v>46600</v>
      </c>
      <c r="E195" s="23" t="n">
        <f aca="false">IF(AND(OR(Nonlabor!$D$9="Both",Nonlabor!$D$9='Start Here'!$B$9),IF(Nonlabor!$E$9="Core",1,IF(Nonlabor!$E$9="AI",'Start Here'!$B$7,'Start Here'!$B$8))=1,C195&gt;=IF(Nonlabor!$E$9="Core",Nonlabor!$F$9,MAX(Nonlabor!$F$9,IF(Nonlabor!$E$9="AI",Assumptions!$C$24,Assumptions!$C$25))),C195&lt;=Nonlabor!$G$9,OR(Nonlabor!$H$9="Monthly",AND(Nonlabor!$H$9="Once",C195=IF(Nonlabor!$E$9="Core",Nonlabor!$F$9,MAX(Nonlabor!$F$9,IF(Nonlabor!$E$9="AI",Assumptions!$C$24,Assumptions!$C$25)))),AND(Nonlabor!$H$9="Annual",MOD(C195-IF(Nonlabor!$E$9="Core",Nonlabor!$F$9,MAX(Nonlabor!$F$9,IF(Nonlabor!$E$9="AI",Assumptions!$C$24,Assumptions!$C$25))),12)=0))),IF(Nonlabor!$I$9="Fixed",1,IF(Nonlabor!$I$9="Seats",ROUNDUP('Monthly Lean'!I15,0),IF(Nonlabor!$I$9="Customers",'Monthly Lean'!D15,IF(Nonlabor!$I$9="NewCustomers",'Monthly Lean'!C15,IF(Nonlabor!$I$9="StorageGB",'Monthly Lean'!G15,IF(Nonlabor!$I$9="LogGB",'Monthly Lean'!H15,IF(Nonlabor!$I$9="RequestsM",'Monthly Lean'!F15,IF(Nonlabor!$I$9="InputM",'Monthly Lean'!D15*Assumptions!$C$22/1000000,IF(Nonlabor!$I$9="OutputM",'Monthly Lean'!D15*Assumptions!$C$23/1000000,0))))))))),0)</f>
        <v>1</v>
      </c>
      <c r="F195" s="10" t="n">
        <f aca="false">Nonlabor!$J$9*(1+Assumptions!$C$9)^INT((C195-1)/12)</f>
        <v>250</v>
      </c>
      <c r="G195" s="10" t="n">
        <f aca="false">E195*F195</f>
        <v>250</v>
      </c>
      <c r="H195" s="10" t="n">
        <f aca="false">IF(OR(Nonlabor!$L$9="Quote required",Nonlabor!$L$9="Unverified"),G195,0)</f>
        <v>250</v>
      </c>
      <c r="I195" s="10" t="n">
        <f aca="false">IF(Nonlabor!$E$9="Core",0,G195)</f>
        <v>0</v>
      </c>
      <c r="J195" s="23" t="str">
        <f aca="false">Nonlabor!$B$9</f>
        <v>INFRA</v>
      </c>
    </row>
    <row r="196" customFormat="false" ht="15" hidden="false" customHeight="false" outlineLevel="0" collapsed="false">
      <c r="A196" s="6" t="s">
        <v>72</v>
      </c>
      <c r="B196" s="6" t="s">
        <v>379</v>
      </c>
      <c r="C196" s="6" t="n">
        <v>11</v>
      </c>
      <c r="D196" s="25" t="n">
        <f aca="false">EDATE('Start Here'!$B$6,C196-1)</f>
        <v>46631</v>
      </c>
      <c r="E196" s="23" t="n">
        <f aca="false">IF(AND(OR(Nonlabor!$D$9="Both",Nonlabor!$D$9='Start Here'!$B$9),IF(Nonlabor!$E$9="Core",1,IF(Nonlabor!$E$9="AI",'Start Here'!$B$7,'Start Here'!$B$8))=1,C196&gt;=IF(Nonlabor!$E$9="Core",Nonlabor!$F$9,MAX(Nonlabor!$F$9,IF(Nonlabor!$E$9="AI",Assumptions!$C$24,Assumptions!$C$25))),C196&lt;=Nonlabor!$G$9,OR(Nonlabor!$H$9="Monthly",AND(Nonlabor!$H$9="Once",C196=IF(Nonlabor!$E$9="Core",Nonlabor!$F$9,MAX(Nonlabor!$F$9,IF(Nonlabor!$E$9="AI",Assumptions!$C$24,Assumptions!$C$25)))),AND(Nonlabor!$H$9="Annual",MOD(C196-IF(Nonlabor!$E$9="Core",Nonlabor!$F$9,MAX(Nonlabor!$F$9,IF(Nonlabor!$E$9="AI",Assumptions!$C$24,Assumptions!$C$25))),12)=0))),IF(Nonlabor!$I$9="Fixed",1,IF(Nonlabor!$I$9="Seats",ROUNDUP('Monthly Lean'!I16,0),IF(Nonlabor!$I$9="Customers",'Monthly Lean'!D16,IF(Nonlabor!$I$9="NewCustomers",'Monthly Lean'!C16,IF(Nonlabor!$I$9="StorageGB",'Monthly Lean'!G16,IF(Nonlabor!$I$9="LogGB",'Monthly Lean'!H16,IF(Nonlabor!$I$9="RequestsM",'Monthly Lean'!F16,IF(Nonlabor!$I$9="InputM",'Monthly Lean'!D16*Assumptions!$C$22/1000000,IF(Nonlabor!$I$9="OutputM",'Monthly Lean'!D16*Assumptions!$C$23/1000000,0))))))))),0)</f>
        <v>1</v>
      </c>
      <c r="F196" s="10" t="n">
        <f aca="false">Nonlabor!$J$9*(1+Assumptions!$C$9)^INT((C196-1)/12)</f>
        <v>250</v>
      </c>
      <c r="G196" s="10" t="n">
        <f aca="false">E196*F196</f>
        <v>250</v>
      </c>
      <c r="H196" s="10" t="n">
        <f aca="false">IF(OR(Nonlabor!$L$9="Quote required",Nonlabor!$L$9="Unverified"),G196,0)</f>
        <v>250</v>
      </c>
      <c r="I196" s="10" t="n">
        <f aca="false">IF(Nonlabor!$E$9="Core",0,G196)</f>
        <v>0</v>
      </c>
      <c r="J196" s="23" t="str">
        <f aca="false">Nonlabor!$B$9</f>
        <v>INFRA</v>
      </c>
    </row>
    <row r="197" customFormat="false" ht="15" hidden="false" customHeight="false" outlineLevel="0" collapsed="false">
      <c r="A197" s="6" t="s">
        <v>72</v>
      </c>
      <c r="B197" s="6" t="s">
        <v>379</v>
      </c>
      <c r="C197" s="6" t="n">
        <v>12</v>
      </c>
      <c r="D197" s="25" t="n">
        <f aca="false">EDATE('Start Here'!$B$6,C197-1)</f>
        <v>46661</v>
      </c>
      <c r="E197" s="23" t="n">
        <f aca="false">IF(AND(OR(Nonlabor!$D$9="Both",Nonlabor!$D$9='Start Here'!$B$9),IF(Nonlabor!$E$9="Core",1,IF(Nonlabor!$E$9="AI",'Start Here'!$B$7,'Start Here'!$B$8))=1,C197&gt;=IF(Nonlabor!$E$9="Core",Nonlabor!$F$9,MAX(Nonlabor!$F$9,IF(Nonlabor!$E$9="AI",Assumptions!$C$24,Assumptions!$C$25))),C197&lt;=Nonlabor!$G$9,OR(Nonlabor!$H$9="Monthly",AND(Nonlabor!$H$9="Once",C197=IF(Nonlabor!$E$9="Core",Nonlabor!$F$9,MAX(Nonlabor!$F$9,IF(Nonlabor!$E$9="AI",Assumptions!$C$24,Assumptions!$C$25)))),AND(Nonlabor!$H$9="Annual",MOD(C197-IF(Nonlabor!$E$9="Core",Nonlabor!$F$9,MAX(Nonlabor!$F$9,IF(Nonlabor!$E$9="AI",Assumptions!$C$24,Assumptions!$C$25))),12)=0))),IF(Nonlabor!$I$9="Fixed",1,IF(Nonlabor!$I$9="Seats",ROUNDUP('Monthly Lean'!I17,0),IF(Nonlabor!$I$9="Customers",'Monthly Lean'!D17,IF(Nonlabor!$I$9="NewCustomers",'Monthly Lean'!C17,IF(Nonlabor!$I$9="StorageGB",'Monthly Lean'!G17,IF(Nonlabor!$I$9="LogGB",'Monthly Lean'!H17,IF(Nonlabor!$I$9="RequestsM",'Monthly Lean'!F17,IF(Nonlabor!$I$9="InputM",'Monthly Lean'!D17*Assumptions!$C$22/1000000,IF(Nonlabor!$I$9="OutputM",'Monthly Lean'!D17*Assumptions!$C$23/1000000,0))))))))),0)</f>
        <v>1</v>
      </c>
      <c r="F197" s="10" t="n">
        <f aca="false">Nonlabor!$J$9*(1+Assumptions!$C$9)^INT((C197-1)/12)</f>
        <v>250</v>
      </c>
      <c r="G197" s="10" t="n">
        <f aca="false">E197*F197</f>
        <v>250</v>
      </c>
      <c r="H197" s="10" t="n">
        <f aca="false">IF(OR(Nonlabor!$L$9="Quote required",Nonlabor!$L$9="Unverified"),G197,0)</f>
        <v>250</v>
      </c>
      <c r="I197" s="10" t="n">
        <f aca="false">IF(Nonlabor!$E$9="Core",0,G197)</f>
        <v>0</v>
      </c>
      <c r="J197" s="23" t="str">
        <f aca="false">Nonlabor!$B$9</f>
        <v>INFRA</v>
      </c>
    </row>
    <row r="198" customFormat="false" ht="15" hidden="false" customHeight="false" outlineLevel="0" collapsed="false">
      <c r="A198" s="6" t="s">
        <v>72</v>
      </c>
      <c r="B198" s="6" t="s">
        <v>379</v>
      </c>
      <c r="C198" s="6" t="n">
        <v>13</v>
      </c>
      <c r="D198" s="25" t="n">
        <f aca="false">EDATE('Start Here'!$B$6,C198-1)</f>
        <v>46692</v>
      </c>
      <c r="E198" s="23" t="n">
        <f aca="false">IF(AND(OR(Nonlabor!$D$9="Both",Nonlabor!$D$9='Start Here'!$B$9),IF(Nonlabor!$E$9="Core",1,IF(Nonlabor!$E$9="AI",'Start Here'!$B$7,'Start Here'!$B$8))=1,C198&gt;=IF(Nonlabor!$E$9="Core",Nonlabor!$F$9,MAX(Nonlabor!$F$9,IF(Nonlabor!$E$9="AI",Assumptions!$C$24,Assumptions!$C$25))),C198&lt;=Nonlabor!$G$9,OR(Nonlabor!$H$9="Monthly",AND(Nonlabor!$H$9="Once",C198=IF(Nonlabor!$E$9="Core",Nonlabor!$F$9,MAX(Nonlabor!$F$9,IF(Nonlabor!$E$9="AI",Assumptions!$C$24,Assumptions!$C$25)))),AND(Nonlabor!$H$9="Annual",MOD(C198-IF(Nonlabor!$E$9="Core",Nonlabor!$F$9,MAX(Nonlabor!$F$9,IF(Nonlabor!$E$9="AI",Assumptions!$C$24,Assumptions!$C$25))),12)=0))),IF(Nonlabor!$I$9="Fixed",1,IF(Nonlabor!$I$9="Seats",ROUNDUP('Monthly Lean'!I18,0),IF(Nonlabor!$I$9="Customers",'Monthly Lean'!D18,IF(Nonlabor!$I$9="NewCustomers",'Monthly Lean'!C18,IF(Nonlabor!$I$9="StorageGB",'Monthly Lean'!G18,IF(Nonlabor!$I$9="LogGB",'Monthly Lean'!H18,IF(Nonlabor!$I$9="RequestsM",'Monthly Lean'!F18,IF(Nonlabor!$I$9="InputM",'Monthly Lean'!D18*Assumptions!$C$22/1000000,IF(Nonlabor!$I$9="OutputM",'Monthly Lean'!D18*Assumptions!$C$23/1000000,0))))))))),0)</f>
        <v>1</v>
      </c>
      <c r="F198" s="10" t="n">
        <f aca="false">Nonlabor!$J$9*(1+Assumptions!$C$9)^INT((C198-1)/12)</f>
        <v>257.5</v>
      </c>
      <c r="G198" s="10" t="n">
        <f aca="false">E198*F198</f>
        <v>257.5</v>
      </c>
      <c r="H198" s="10" t="n">
        <f aca="false">IF(OR(Nonlabor!$L$9="Quote required",Nonlabor!$L$9="Unverified"),G198,0)</f>
        <v>257.5</v>
      </c>
      <c r="I198" s="10" t="n">
        <f aca="false">IF(Nonlabor!$E$9="Core",0,G198)</f>
        <v>0</v>
      </c>
      <c r="J198" s="23" t="str">
        <f aca="false">Nonlabor!$B$9</f>
        <v>INFRA</v>
      </c>
    </row>
    <row r="199" customFormat="false" ht="15" hidden="false" customHeight="false" outlineLevel="0" collapsed="false">
      <c r="A199" s="6" t="s">
        <v>72</v>
      </c>
      <c r="B199" s="6" t="s">
        <v>379</v>
      </c>
      <c r="C199" s="6" t="n">
        <v>14</v>
      </c>
      <c r="D199" s="25" t="n">
        <f aca="false">EDATE('Start Here'!$B$6,C199-1)</f>
        <v>46722</v>
      </c>
      <c r="E199" s="23" t="n">
        <f aca="false">IF(AND(OR(Nonlabor!$D$9="Both",Nonlabor!$D$9='Start Here'!$B$9),IF(Nonlabor!$E$9="Core",1,IF(Nonlabor!$E$9="AI",'Start Here'!$B$7,'Start Here'!$B$8))=1,C199&gt;=IF(Nonlabor!$E$9="Core",Nonlabor!$F$9,MAX(Nonlabor!$F$9,IF(Nonlabor!$E$9="AI",Assumptions!$C$24,Assumptions!$C$25))),C199&lt;=Nonlabor!$G$9,OR(Nonlabor!$H$9="Monthly",AND(Nonlabor!$H$9="Once",C199=IF(Nonlabor!$E$9="Core",Nonlabor!$F$9,MAX(Nonlabor!$F$9,IF(Nonlabor!$E$9="AI",Assumptions!$C$24,Assumptions!$C$25)))),AND(Nonlabor!$H$9="Annual",MOD(C199-IF(Nonlabor!$E$9="Core",Nonlabor!$F$9,MAX(Nonlabor!$F$9,IF(Nonlabor!$E$9="AI",Assumptions!$C$24,Assumptions!$C$25))),12)=0))),IF(Nonlabor!$I$9="Fixed",1,IF(Nonlabor!$I$9="Seats",ROUNDUP('Monthly Lean'!I19,0),IF(Nonlabor!$I$9="Customers",'Monthly Lean'!D19,IF(Nonlabor!$I$9="NewCustomers",'Monthly Lean'!C19,IF(Nonlabor!$I$9="StorageGB",'Monthly Lean'!G19,IF(Nonlabor!$I$9="LogGB",'Monthly Lean'!H19,IF(Nonlabor!$I$9="RequestsM",'Monthly Lean'!F19,IF(Nonlabor!$I$9="InputM",'Monthly Lean'!D19*Assumptions!$C$22/1000000,IF(Nonlabor!$I$9="OutputM",'Monthly Lean'!D19*Assumptions!$C$23/1000000,0))))))))),0)</f>
        <v>1</v>
      </c>
      <c r="F199" s="10" t="n">
        <f aca="false">Nonlabor!$J$9*(1+Assumptions!$C$9)^INT((C199-1)/12)</f>
        <v>257.5</v>
      </c>
      <c r="G199" s="10" t="n">
        <f aca="false">E199*F199</f>
        <v>257.5</v>
      </c>
      <c r="H199" s="10" t="n">
        <f aca="false">IF(OR(Nonlabor!$L$9="Quote required",Nonlabor!$L$9="Unverified"),G199,0)</f>
        <v>257.5</v>
      </c>
      <c r="I199" s="10" t="n">
        <f aca="false">IF(Nonlabor!$E$9="Core",0,G199)</f>
        <v>0</v>
      </c>
      <c r="J199" s="23" t="str">
        <f aca="false">Nonlabor!$B$9</f>
        <v>INFRA</v>
      </c>
    </row>
    <row r="200" customFormat="false" ht="15" hidden="false" customHeight="false" outlineLevel="0" collapsed="false">
      <c r="A200" s="6" t="s">
        <v>72</v>
      </c>
      <c r="B200" s="6" t="s">
        <v>379</v>
      </c>
      <c r="C200" s="6" t="n">
        <v>15</v>
      </c>
      <c r="D200" s="25" t="n">
        <f aca="false">EDATE('Start Here'!$B$6,C200-1)</f>
        <v>46753</v>
      </c>
      <c r="E200" s="23" t="n">
        <f aca="false">IF(AND(OR(Nonlabor!$D$9="Both",Nonlabor!$D$9='Start Here'!$B$9),IF(Nonlabor!$E$9="Core",1,IF(Nonlabor!$E$9="AI",'Start Here'!$B$7,'Start Here'!$B$8))=1,C200&gt;=IF(Nonlabor!$E$9="Core",Nonlabor!$F$9,MAX(Nonlabor!$F$9,IF(Nonlabor!$E$9="AI",Assumptions!$C$24,Assumptions!$C$25))),C200&lt;=Nonlabor!$G$9,OR(Nonlabor!$H$9="Monthly",AND(Nonlabor!$H$9="Once",C200=IF(Nonlabor!$E$9="Core",Nonlabor!$F$9,MAX(Nonlabor!$F$9,IF(Nonlabor!$E$9="AI",Assumptions!$C$24,Assumptions!$C$25)))),AND(Nonlabor!$H$9="Annual",MOD(C200-IF(Nonlabor!$E$9="Core",Nonlabor!$F$9,MAX(Nonlabor!$F$9,IF(Nonlabor!$E$9="AI",Assumptions!$C$24,Assumptions!$C$25))),12)=0))),IF(Nonlabor!$I$9="Fixed",1,IF(Nonlabor!$I$9="Seats",ROUNDUP('Monthly Lean'!I20,0),IF(Nonlabor!$I$9="Customers",'Monthly Lean'!D20,IF(Nonlabor!$I$9="NewCustomers",'Monthly Lean'!C20,IF(Nonlabor!$I$9="StorageGB",'Monthly Lean'!G20,IF(Nonlabor!$I$9="LogGB",'Monthly Lean'!H20,IF(Nonlabor!$I$9="RequestsM",'Monthly Lean'!F20,IF(Nonlabor!$I$9="InputM",'Monthly Lean'!D20*Assumptions!$C$22/1000000,IF(Nonlabor!$I$9="OutputM",'Monthly Lean'!D20*Assumptions!$C$23/1000000,0))))))))),0)</f>
        <v>1</v>
      </c>
      <c r="F200" s="10" t="n">
        <f aca="false">Nonlabor!$J$9*(1+Assumptions!$C$9)^INT((C200-1)/12)</f>
        <v>257.5</v>
      </c>
      <c r="G200" s="10" t="n">
        <f aca="false">E200*F200</f>
        <v>257.5</v>
      </c>
      <c r="H200" s="10" t="n">
        <f aca="false">IF(OR(Nonlabor!$L$9="Quote required",Nonlabor!$L$9="Unverified"),G200,0)</f>
        <v>257.5</v>
      </c>
      <c r="I200" s="10" t="n">
        <f aca="false">IF(Nonlabor!$E$9="Core",0,G200)</f>
        <v>0</v>
      </c>
      <c r="J200" s="23" t="str">
        <f aca="false">Nonlabor!$B$9</f>
        <v>INFRA</v>
      </c>
    </row>
    <row r="201" customFormat="false" ht="15" hidden="false" customHeight="false" outlineLevel="0" collapsed="false">
      <c r="A201" s="6" t="s">
        <v>72</v>
      </c>
      <c r="B201" s="6" t="s">
        <v>379</v>
      </c>
      <c r="C201" s="6" t="n">
        <v>16</v>
      </c>
      <c r="D201" s="25" t="n">
        <f aca="false">EDATE('Start Here'!$B$6,C201-1)</f>
        <v>46784</v>
      </c>
      <c r="E201" s="23" t="n">
        <f aca="false">IF(AND(OR(Nonlabor!$D$9="Both",Nonlabor!$D$9='Start Here'!$B$9),IF(Nonlabor!$E$9="Core",1,IF(Nonlabor!$E$9="AI",'Start Here'!$B$7,'Start Here'!$B$8))=1,C201&gt;=IF(Nonlabor!$E$9="Core",Nonlabor!$F$9,MAX(Nonlabor!$F$9,IF(Nonlabor!$E$9="AI",Assumptions!$C$24,Assumptions!$C$25))),C201&lt;=Nonlabor!$G$9,OR(Nonlabor!$H$9="Monthly",AND(Nonlabor!$H$9="Once",C201=IF(Nonlabor!$E$9="Core",Nonlabor!$F$9,MAX(Nonlabor!$F$9,IF(Nonlabor!$E$9="AI",Assumptions!$C$24,Assumptions!$C$25)))),AND(Nonlabor!$H$9="Annual",MOD(C201-IF(Nonlabor!$E$9="Core",Nonlabor!$F$9,MAX(Nonlabor!$F$9,IF(Nonlabor!$E$9="AI",Assumptions!$C$24,Assumptions!$C$25))),12)=0))),IF(Nonlabor!$I$9="Fixed",1,IF(Nonlabor!$I$9="Seats",ROUNDUP('Monthly Lean'!I21,0),IF(Nonlabor!$I$9="Customers",'Monthly Lean'!D21,IF(Nonlabor!$I$9="NewCustomers",'Monthly Lean'!C21,IF(Nonlabor!$I$9="StorageGB",'Monthly Lean'!G21,IF(Nonlabor!$I$9="LogGB",'Monthly Lean'!H21,IF(Nonlabor!$I$9="RequestsM",'Monthly Lean'!F21,IF(Nonlabor!$I$9="InputM",'Monthly Lean'!D21*Assumptions!$C$22/1000000,IF(Nonlabor!$I$9="OutputM",'Monthly Lean'!D21*Assumptions!$C$23/1000000,0))))))))),0)</f>
        <v>1</v>
      </c>
      <c r="F201" s="10" t="n">
        <f aca="false">Nonlabor!$J$9*(1+Assumptions!$C$9)^INT((C201-1)/12)</f>
        <v>257.5</v>
      </c>
      <c r="G201" s="10" t="n">
        <f aca="false">E201*F201</f>
        <v>257.5</v>
      </c>
      <c r="H201" s="10" t="n">
        <f aca="false">IF(OR(Nonlabor!$L$9="Quote required",Nonlabor!$L$9="Unverified"),G201,0)</f>
        <v>257.5</v>
      </c>
      <c r="I201" s="10" t="n">
        <f aca="false">IF(Nonlabor!$E$9="Core",0,G201)</f>
        <v>0</v>
      </c>
      <c r="J201" s="23" t="str">
        <f aca="false">Nonlabor!$B$9</f>
        <v>INFRA</v>
      </c>
    </row>
    <row r="202" customFormat="false" ht="15" hidden="false" customHeight="false" outlineLevel="0" collapsed="false">
      <c r="A202" s="6" t="s">
        <v>72</v>
      </c>
      <c r="B202" s="6" t="s">
        <v>379</v>
      </c>
      <c r="C202" s="6" t="n">
        <v>17</v>
      </c>
      <c r="D202" s="25" t="n">
        <f aca="false">EDATE('Start Here'!$B$6,C202-1)</f>
        <v>46813</v>
      </c>
      <c r="E202" s="23" t="n">
        <f aca="false">IF(AND(OR(Nonlabor!$D$9="Both",Nonlabor!$D$9='Start Here'!$B$9),IF(Nonlabor!$E$9="Core",1,IF(Nonlabor!$E$9="AI",'Start Here'!$B$7,'Start Here'!$B$8))=1,C202&gt;=IF(Nonlabor!$E$9="Core",Nonlabor!$F$9,MAX(Nonlabor!$F$9,IF(Nonlabor!$E$9="AI",Assumptions!$C$24,Assumptions!$C$25))),C202&lt;=Nonlabor!$G$9,OR(Nonlabor!$H$9="Monthly",AND(Nonlabor!$H$9="Once",C202=IF(Nonlabor!$E$9="Core",Nonlabor!$F$9,MAX(Nonlabor!$F$9,IF(Nonlabor!$E$9="AI",Assumptions!$C$24,Assumptions!$C$25)))),AND(Nonlabor!$H$9="Annual",MOD(C202-IF(Nonlabor!$E$9="Core",Nonlabor!$F$9,MAX(Nonlabor!$F$9,IF(Nonlabor!$E$9="AI",Assumptions!$C$24,Assumptions!$C$25))),12)=0))),IF(Nonlabor!$I$9="Fixed",1,IF(Nonlabor!$I$9="Seats",ROUNDUP('Monthly Lean'!I22,0),IF(Nonlabor!$I$9="Customers",'Monthly Lean'!D22,IF(Nonlabor!$I$9="NewCustomers",'Monthly Lean'!C22,IF(Nonlabor!$I$9="StorageGB",'Monthly Lean'!G22,IF(Nonlabor!$I$9="LogGB",'Monthly Lean'!H22,IF(Nonlabor!$I$9="RequestsM",'Monthly Lean'!F22,IF(Nonlabor!$I$9="InputM",'Monthly Lean'!D22*Assumptions!$C$22/1000000,IF(Nonlabor!$I$9="OutputM",'Monthly Lean'!D22*Assumptions!$C$23/1000000,0))))))))),0)</f>
        <v>1</v>
      </c>
      <c r="F202" s="10" t="n">
        <f aca="false">Nonlabor!$J$9*(1+Assumptions!$C$9)^INT((C202-1)/12)</f>
        <v>257.5</v>
      </c>
      <c r="G202" s="10" t="n">
        <f aca="false">E202*F202</f>
        <v>257.5</v>
      </c>
      <c r="H202" s="10" t="n">
        <f aca="false">IF(OR(Nonlabor!$L$9="Quote required",Nonlabor!$L$9="Unverified"),G202,0)</f>
        <v>257.5</v>
      </c>
      <c r="I202" s="10" t="n">
        <f aca="false">IF(Nonlabor!$E$9="Core",0,G202)</f>
        <v>0</v>
      </c>
      <c r="J202" s="23" t="str">
        <f aca="false">Nonlabor!$B$9</f>
        <v>INFRA</v>
      </c>
    </row>
    <row r="203" customFormat="false" ht="15" hidden="false" customHeight="false" outlineLevel="0" collapsed="false">
      <c r="A203" s="6" t="s">
        <v>72</v>
      </c>
      <c r="B203" s="6" t="s">
        <v>379</v>
      </c>
      <c r="C203" s="6" t="n">
        <v>18</v>
      </c>
      <c r="D203" s="25" t="n">
        <f aca="false">EDATE('Start Here'!$B$6,C203-1)</f>
        <v>46844</v>
      </c>
      <c r="E203" s="23" t="n">
        <f aca="false">IF(AND(OR(Nonlabor!$D$9="Both",Nonlabor!$D$9='Start Here'!$B$9),IF(Nonlabor!$E$9="Core",1,IF(Nonlabor!$E$9="AI",'Start Here'!$B$7,'Start Here'!$B$8))=1,C203&gt;=IF(Nonlabor!$E$9="Core",Nonlabor!$F$9,MAX(Nonlabor!$F$9,IF(Nonlabor!$E$9="AI",Assumptions!$C$24,Assumptions!$C$25))),C203&lt;=Nonlabor!$G$9,OR(Nonlabor!$H$9="Monthly",AND(Nonlabor!$H$9="Once",C203=IF(Nonlabor!$E$9="Core",Nonlabor!$F$9,MAX(Nonlabor!$F$9,IF(Nonlabor!$E$9="AI",Assumptions!$C$24,Assumptions!$C$25)))),AND(Nonlabor!$H$9="Annual",MOD(C203-IF(Nonlabor!$E$9="Core",Nonlabor!$F$9,MAX(Nonlabor!$F$9,IF(Nonlabor!$E$9="AI",Assumptions!$C$24,Assumptions!$C$25))),12)=0))),IF(Nonlabor!$I$9="Fixed",1,IF(Nonlabor!$I$9="Seats",ROUNDUP('Monthly Lean'!I23,0),IF(Nonlabor!$I$9="Customers",'Monthly Lean'!D23,IF(Nonlabor!$I$9="NewCustomers",'Monthly Lean'!C23,IF(Nonlabor!$I$9="StorageGB",'Monthly Lean'!G23,IF(Nonlabor!$I$9="LogGB",'Monthly Lean'!H23,IF(Nonlabor!$I$9="RequestsM",'Monthly Lean'!F23,IF(Nonlabor!$I$9="InputM",'Monthly Lean'!D23*Assumptions!$C$22/1000000,IF(Nonlabor!$I$9="OutputM",'Monthly Lean'!D23*Assumptions!$C$23/1000000,0))))))))),0)</f>
        <v>1</v>
      </c>
      <c r="F203" s="10" t="n">
        <f aca="false">Nonlabor!$J$9*(1+Assumptions!$C$9)^INT((C203-1)/12)</f>
        <v>257.5</v>
      </c>
      <c r="G203" s="10" t="n">
        <f aca="false">E203*F203</f>
        <v>257.5</v>
      </c>
      <c r="H203" s="10" t="n">
        <f aca="false">IF(OR(Nonlabor!$L$9="Quote required",Nonlabor!$L$9="Unverified"),G203,0)</f>
        <v>257.5</v>
      </c>
      <c r="I203" s="10" t="n">
        <f aca="false">IF(Nonlabor!$E$9="Core",0,G203)</f>
        <v>0</v>
      </c>
      <c r="J203" s="23" t="str">
        <f aca="false">Nonlabor!$B$9</f>
        <v>INFRA</v>
      </c>
    </row>
    <row r="204" customFormat="false" ht="15" hidden="false" customHeight="false" outlineLevel="0" collapsed="false">
      <c r="A204" s="6" t="s">
        <v>72</v>
      </c>
      <c r="B204" s="6" t="s">
        <v>379</v>
      </c>
      <c r="C204" s="6" t="n">
        <v>19</v>
      </c>
      <c r="D204" s="25" t="n">
        <f aca="false">EDATE('Start Here'!$B$6,C204-1)</f>
        <v>46874</v>
      </c>
      <c r="E204" s="23" t="n">
        <f aca="false">IF(AND(OR(Nonlabor!$D$9="Both",Nonlabor!$D$9='Start Here'!$B$9),IF(Nonlabor!$E$9="Core",1,IF(Nonlabor!$E$9="AI",'Start Here'!$B$7,'Start Here'!$B$8))=1,C204&gt;=IF(Nonlabor!$E$9="Core",Nonlabor!$F$9,MAX(Nonlabor!$F$9,IF(Nonlabor!$E$9="AI",Assumptions!$C$24,Assumptions!$C$25))),C204&lt;=Nonlabor!$G$9,OR(Nonlabor!$H$9="Monthly",AND(Nonlabor!$H$9="Once",C204=IF(Nonlabor!$E$9="Core",Nonlabor!$F$9,MAX(Nonlabor!$F$9,IF(Nonlabor!$E$9="AI",Assumptions!$C$24,Assumptions!$C$25)))),AND(Nonlabor!$H$9="Annual",MOD(C204-IF(Nonlabor!$E$9="Core",Nonlabor!$F$9,MAX(Nonlabor!$F$9,IF(Nonlabor!$E$9="AI",Assumptions!$C$24,Assumptions!$C$25))),12)=0))),IF(Nonlabor!$I$9="Fixed",1,IF(Nonlabor!$I$9="Seats",ROUNDUP('Monthly Lean'!I24,0),IF(Nonlabor!$I$9="Customers",'Monthly Lean'!D24,IF(Nonlabor!$I$9="NewCustomers",'Monthly Lean'!C24,IF(Nonlabor!$I$9="StorageGB",'Monthly Lean'!G24,IF(Nonlabor!$I$9="LogGB",'Monthly Lean'!H24,IF(Nonlabor!$I$9="RequestsM",'Monthly Lean'!F24,IF(Nonlabor!$I$9="InputM",'Monthly Lean'!D24*Assumptions!$C$22/1000000,IF(Nonlabor!$I$9="OutputM",'Monthly Lean'!D24*Assumptions!$C$23/1000000,0))))))))),0)</f>
        <v>1</v>
      </c>
      <c r="F204" s="10" t="n">
        <f aca="false">Nonlabor!$J$9*(1+Assumptions!$C$9)^INT((C204-1)/12)</f>
        <v>257.5</v>
      </c>
      <c r="G204" s="10" t="n">
        <f aca="false">E204*F204</f>
        <v>257.5</v>
      </c>
      <c r="H204" s="10" t="n">
        <f aca="false">IF(OR(Nonlabor!$L$9="Quote required",Nonlabor!$L$9="Unverified"),G204,0)</f>
        <v>257.5</v>
      </c>
      <c r="I204" s="10" t="n">
        <f aca="false">IF(Nonlabor!$E$9="Core",0,G204)</f>
        <v>0</v>
      </c>
      <c r="J204" s="23" t="str">
        <f aca="false">Nonlabor!$B$9</f>
        <v>INFRA</v>
      </c>
    </row>
    <row r="205" customFormat="false" ht="15" hidden="false" customHeight="false" outlineLevel="0" collapsed="false">
      <c r="A205" s="6" t="s">
        <v>72</v>
      </c>
      <c r="B205" s="6" t="s">
        <v>379</v>
      </c>
      <c r="C205" s="6" t="n">
        <v>20</v>
      </c>
      <c r="D205" s="25" t="n">
        <f aca="false">EDATE('Start Here'!$B$6,C205-1)</f>
        <v>46905</v>
      </c>
      <c r="E205" s="23" t="n">
        <f aca="false">IF(AND(OR(Nonlabor!$D$9="Both",Nonlabor!$D$9='Start Here'!$B$9),IF(Nonlabor!$E$9="Core",1,IF(Nonlabor!$E$9="AI",'Start Here'!$B$7,'Start Here'!$B$8))=1,C205&gt;=IF(Nonlabor!$E$9="Core",Nonlabor!$F$9,MAX(Nonlabor!$F$9,IF(Nonlabor!$E$9="AI",Assumptions!$C$24,Assumptions!$C$25))),C205&lt;=Nonlabor!$G$9,OR(Nonlabor!$H$9="Monthly",AND(Nonlabor!$H$9="Once",C205=IF(Nonlabor!$E$9="Core",Nonlabor!$F$9,MAX(Nonlabor!$F$9,IF(Nonlabor!$E$9="AI",Assumptions!$C$24,Assumptions!$C$25)))),AND(Nonlabor!$H$9="Annual",MOD(C205-IF(Nonlabor!$E$9="Core",Nonlabor!$F$9,MAX(Nonlabor!$F$9,IF(Nonlabor!$E$9="AI",Assumptions!$C$24,Assumptions!$C$25))),12)=0))),IF(Nonlabor!$I$9="Fixed",1,IF(Nonlabor!$I$9="Seats",ROUNDUP('Monthly Lean'!I25,0),IF(Nonlabor!$I$9="Customers",'Monthly Lean'!D25,IF(Nonlabor!$I$9="NewCustomers",'Monthly Lean'!C25,IF(Nonlabor!$I$9="StorageGB",'Monthly Lean'!G25,IF(Nonlabor!$I$9="LogGB",'Monthly Lean'!H25,IF(Nonlabor!$I$9="RequestsM",'Monthly Lean'!F25,IF(Nonlabor!$I$9="InputM",'Monthly Lean'!D25*Assumptions!$C$22/1000000,IF(Nonlabor!$I$9="OutputM",'Monthly Lean'!D25*Assumptions!$C$23/1000000,0))))))))),0)</f>
        <v>1</v>
      </c>
      <c r="F205" s="10" t="n">
        <f aca="false">Nonlabor!$J$9*(1+Assumptions!$C$9)^INT((C205-1)/12)</f>
        <v>257.5</v>
      </c>
      <c r="G205" s="10" t="n">
        <f aca="false">E205*F205</f>
        <v>257.5</v>
      </c>
      <c r="H205" s="10" t="n">
        <f aca="false">IF(OR(Nonlabor!$L$9="Quote required",Nonlabor!$L$9="Unverified"),G205,0)</f>
        <v>257.5</v>
      </c>
      <c r="I205" s="10" t="n">
        <f aca="false">IF(Nonlabor!$E$9="Core",0,G205)</f>
        <v>0</v>
      </c>
      <c r="J205" s="23" t="str">
        <f aca="false">Nonlabor!$B$9</f>
        <v>INFRA</v>
      </c>
    </row>
    <row r="206" customFormat="false" ht="15" hidden="false" customHeight="false" outlineLevel="0" collapsed="false">
      <c r="A206" s="6" t="s">
        <v>72</v>
      </c>
      <c r="B206" s="6" t="s">
        <v>379</v>
      </c>
      <c r="C206" s="6" t="n">
        <v>21</v>
      </c>
      <c r="D206" s="25" t="n">
        <f aca="false">EDATE('Start Here'!$B$6,C206-1)</f>
        <v>46935</v>
      </c>
      <c r="E206" s="23" t="n">
        <f aca="false">IF(AND(OR(Nonlabor!$D$9="Both",Nonlabor!$D$9='Start Here'!$B$9),IF(Nonlabor!$E$9="Core",1,IF(Nonlabor!$E$9="AI",'Start Here'!$B$7,'Start Here'!$B$8))=1,C206&gt;=IF(Nonlabor!$E$9="Core",Nonlabor!$F$9,MAX(Nonlabor!$F$9,IF(Nonlabor!$E$9="AI",Assumptions!$C$24,Assumptions!$C$25))),C206&lt;=Nonlabor!$G$9,OR(Nonlabor!$H$9="Monthly",AND(Nonlabor!$H$9="Once",C206=IF(Nonlabor!$E$9="Core",Nonlabor!$F$9,MAX(Nonlabor!$F$9,IF(Nonlabor!$E$9="AI",Assumptions!$C$24,Assumptions!$C$25)))),AND(Nonlabor!$H$9="Annual",MOD(C206-IF(Nonlabor!$E$9="Core",Nonlabor!$F$9,MAX(Nonlabor!$F$9,IF(Nonlabor!$E$9="AI",Assumptions!$C$24,Assumptions!$C$25))),12)=0))),IF(Nonlabor!$I$9="Fixed",1,IF(Nonlabor!$I$9="Seats",ROUNDUP('Monthly Lean'!I26,0),IF(Nonlabor!$I$9="Customers",'Monthly Lean'!D26,IF(Nonlabor!$I$9="NewCustomers",'Monthly Lean'!C26,IF(Nonlabor!$I$9="StorageGB",'Monthly Lean'!G26,IF(Nonlabor!$I$9="LogGB",'Monthly Lean'!H26,IF(Nonlabor!$I$9="RequestsM",'Monthly Lean'!F26,IF(Nonlabor!$I$9="InputM",'Monthly Lean'!D26*Assumptions!$C$22/1000000,IF(Nonlabor!$I$9="OutputM",'Monthly Lean'!D26*Assumptions!$C$23/1000000,0))))))))),0)</f>
        <v>1</v>
      </c>
      <c r="F206" s="10" t="n">
        <f aca="false">Nonlabor!$J$9*(1+Assumptions!$C$9)^INT((C206-1)/12)</f>
        <v>257.5</v>
      </c>
      <c r="G206" s="10" t="n">
        <f aca="false">E206*F206</f>
        <v>257.5</v>
      </c>
      <c r="H206" s="10" t="n">
        <f aca="false">IF(OR(Nonlabor!$L$9="Quote required",Nonlabor!$L$9="Unverified"),G206,0)</f>
        <v>257.5</v>
      </c>
      <c r="I206" s="10" t="n">
        <f aca="false">IF(Nonlabor!$E$9="Core",0,G206)</f>
        <v>0</v>
      </c>
      <c r="J206" s="23" t="str">
        <f aca="false">Nonlabor!$B$9</f>
        <v>INFRA</v>
      </c>
    </row>
    <row r="207" customFormat="false" ht="15" hidden="false" customHeight="false" outlineLevel="0" collapsed="false">
      <c r="A207" s="6" t="s">
        <v>72</v>
      </c>
      <c r="B207" s="6" t="s">
        <v>379</v>
      </c>
      <c r="C207" s="6" t="n">
        <v>22</v>
      </c>
      <c r="D207" s="25" t="n">
        <f aca="false">EDATE('Start Here'!$B$6,C207-1)</f>
        <v>46966</v>
      </c>
      <c r="E207" s="23" t="n">
        <f aca="false">IF(AND(OR(Nonlabor!$D$9="Both",Nonlabor!$D$9='Start Here'!$B$9),IF(Nonlabor!$E$9="Core",1,IF(Nonlabor!$E$9="AI",'Start Here'!$B$7,'Start Here'!$B$8))=1,C207&gt;=IF(Nonlabor!$E$9="Core",Nonlabor!$F$9,MAX(Nonlabor!$F$9,IF(Nonlabor!$E$9="AI",Assumptions!$C$24,Assumptions!$C$25))),C207&lt;=Nonlabor!$G$9,OR(Nonlabor!$H$9="Monthly",AND(Nonlabor!$H$9="Once",C207=IF(Nonlabor!$E$9="Core",Nonlabor!$F$9,MAX(Nonlabor!$F$9,IF(Nonlabor!$E$9="AI",Assumptions!$C$24,Assumptions!$C$25)))),AND(Nonlabor!$H$9="Annual",MOD(C207-IF(Nonlabor!$E$9="Core",Nonlabor!$F$9,MAX(Nonlabor!$F$9,IF(Nonlabor!$E$9="AI",Assumptions!$C$24,Assumptions!$C$25))),12)=0))),IF(Nonlabor!$I$9="Fixed",1,IF(Nonlabor!$I$9="Seats",ROUNDUP('Monthly Lean'!I27,0),IF(Nonlabor!$I$9="Customers",'Monthly Lean'!D27,IF(Nonlabor!$I$9="NewCustomers",'Monthly Lean'!C27,IF(Nonlabor!$I$9="StorageGB",'Monthly Lean'!G27,IF(Nonlabor!$I$9="LogGB",'Monthly Lean'!H27,IF(Nonlabor!$I$9="RequestsM",'Monthly Lean'!F27,IF(Nonlabor!$I$9="InputM",'Monthly Lean'!D27*Assumptions!$C$22/1000000,IF(Nonlabor!$I$9="OutputM",'Monthly Lean'!D27*Assumptions!$C$23/1000000,0))))))))),0)</f>
        <v>1</v>
      </c>
      <c r="F207" s="10" t="n">
        <f aca="false">Nonlabor!$J$9*(1+Assumptions!$C$9)^INT((C207-1)/12)</f>
        <v>257.5</v>
      </c>
      <c r="G207" s="10" t="n">
        <f aca="false">E207*F207</f>
        <v>257.5</v>
      </c>
      <c r="H207" s="10" t="n">
        <f aca="false">IF(OR(Nonlabor!$L$9="Quote required",Nonlabor!$L$9="Unverified"),G207,0)</f>
        <v>257.5</v>
      </c>
      <c r="I207" s="10" t="n">
        <f aca="false">IF(Nonlabor!$E$9="Core",0,G207)</f>
        <v>0</v>
      </c>
      <c r="J207" s="23" t="str">
        <f aca="false">Nonlabor!$B$9</f>
        <v>INFRA</v>
      </c>
    </row>
    <row r="208" customFormat="false" ht="15" hidden="false" customHeight="false" outlineLevel="0" collapsed="false">
      <c r="A208" s="6" t="s">
        <v>72</v>
      </c>
      <c r="B208" s="6" t="s">
        <v>379</v>
      </c>
      <c r="C208" s="6" t="n">
        <v>23</v>
      </c>
      <c r="D208" s="25" t="n">
        <f aca="false">EDATE('Start Here'!$B$6,C208-1)</f>
        <v>46997</v>
      </c>
      <c r="E208" s="23" t="n">
        <f aca="false">IF(AND(OR(Nonlabor!$D$9="Both",Nonlabor!$D$9='Start Here'!$B$9),IF(Nonlabor!$E$9="Core",1,IF(Nonlabor!$E$9="AI",'Start Here'!$B$7,'Start Here'!$B$8))=1,C208&gt;=IF(Nonlabor!$E$9="Core",Nonlabor!$F$9,MAX(Nonlabor!$F$9,IF(Nonlabor!$E$9="AI",Assumptions!$C$24,Assumptions!$C$25))),C208&lt;=Nonlabor!$G$9,OR(Nonlabor!$H$9="Monthly",AND(Nonlabor!$H$9="Once",C208=IF(Nonlabor!$E$9="Core",Nonlabor!$F$9,MAX(Nonlabor!$F$9,IF(Nonlabor!$E$9="AI",Assumptions!$C$24,Assumptions!$C$25)))),AND(Nonlabor!$H$9="Annual",MOD(C208-IF(Nonlabor!$E$9="Core",Nonlabor!$F$9,MAX(Nonlabor!$F$9,IF(Nonlabor!$E$9="AI",Assumptions!$C$24,Assumptions!$C$25))),12)=0))),IF(Nonlabor!$I$9="Fixed",1,IF(Nonlabor!$I$9="Seats",ROUNDUP('Monthly Lean'!I28,0),IF(Nonlabor!$I$9="Customers",'Monthly Lean'!D28,IF(Nonlabor!$I$9="NewCustomers",'Monthly Lean'!C28,IF(Nonlabor!$I$9="StorageGB",'Monthly Lean'!G28,IF(Nonlabor!$I$9="LogGB",'Monthly Lean'!H28,IF(Nonlabor!$I$9="RequestsM",'Monthly Lean'!F28,IF(Nonlabor!$I$9="InputM",'Monthly Lean'!D28*Assumptions!$C$22/1000000,IF(Nonlabor!$I$9="OutputM",'Monthly Lean'!D28*Assumptions!$C$23/1000000,0))))))))),0)</f>
        <v>1</v>
      </c>
      <c r="F208" s="10" t="n">
        <f aca="false">Nonlabor!$J$9*(1+Assumptions!$C$9)^INT((C208-1)/12)</f>
        <v>257.5</v>
      </c>
      <c r="G208" s="10" t="n">
        <f aca="false">E208*F208</f>
        <v>257.5</v>
      </c>
      <c r="H208" s="10" t="n">
        <f aca="false">IF(OR(Nonlabor!$L$9="Quote required",Nonlabor!$L$9="Unverified"),G208,0)</f>
        <v>257.5</v>
      </c>
      <c r="I208" s="10" t="n">
        <f aca="false">IF(Nonlabor!$E$9="Core",0,G208)</f>
        <v>0</v>
      </c>
      <c r="J208" s="23" t="str">
        <f aca="false">Nonlabor!$B$9</f>
        <v>INFRA</v>
      </c>
    </row>
    <row r="209" customFormat="false" ht="15" hidden="false" customHeight="false" outlineLevel="0" collapsed="false">
      <c r="A209" s="6" t="s">
        <v>72</v>
      </c>
      <c r="B209" s="6" t="s">
        <v>379</v>
      </c>
      <c r="C209" s="6" t="n">
        <v>24</v>
      </c>
      <c r="D209" s="25" t="n">
        <f aca="false">EDATE('Start Here'!$B$6,C209-1)</f>
        <v>47027</v>
      </c>
      <c r="E209" s="23" t="n">
        <f aca="false">IF(AND(OR(Nonlabor!$D$9="Both",Nonlabor!$D$9='Start Here'!$B$9),IF(Nonlabor!$E$9="Core",1,IF(Nonlabor!$E$9="AI",'Start Here'!$B$7,'Start Here'!$B$8))=1,C209&gt;=IF(Nonlabor!$E$9="Core",Nonlabor!$F$9,MAX(Nonlabor!$F$9,IF(Nonlabor!$E$9="AI",Assumptions!$C$24,Assumptions!$C$25))),C209&lt;=Nonlabor!$G$9,OR(Nonlabor!$H$9="Monthly",AND(Nonlabor!$H$9="Once",C209=IF(Nonlabor!$E$9="Core",Nonlabor!$F$9,MAX(Nonlabor!$F$9,IF(Nonlabor!$E$9="AI",Assumptions!$C$24,Assumptions!$C$25)))),AND(Nonlabor!$H$9="Annual",MOD(C209-IF(Nonlabor!$E$9="Core",Nonlabor!$F$9,MAX(Nonlabor!$F$9,IF(Nonlabor!$E$9="AI",Assumptions!$C$24,Assumptions!$C$25))),12)=0))),IF(Nonlabor!$I$9="Fixed",1,IF(Nonlabor!$I$9="Seats",ROUNDUP('Monthly Lean'!I29,0),IF(Nonlabor!$I$9="Customers",'Monthly Lean'!D29,IF(Nonlabor!$I$9="NewCustomers",'Monthly Lean'!C29,IF(Nonlabor!$I$9="StorageGB",'Monthly Lean'!G29,IF(Nonlabor!$I$9="LogGB",'Monthly Lean'!H29,IF(Nonlabor!$I$9="RequestsM",'Monthly Lean'!F29,IF(Nonlabor!$I$9="InputM",'Monthly Lean'!D29*Assumptions!$C$22/1000000,IF(Nonlabor!$I$9="OutputM",'Monthly Lean'!D29*Assumptions!$C$23/1000000,0))))))))),0)</f>
        <v>1</v>
      </c>
      <c r="F209" s="10" t="n">
        <f aca="false">Nonlabor!$J$9*(1+Assumptions!$C$9)^INT((C209-1)/12)</f>
        <v>257.5</v>
      </c>
      <c r="G209" s="10" t="n">
        <f aca="false">E209*F209</f>
        <v>257.5</v>
      </c>
      <c r="H209" s="10" t="n">
        <f aca="false">IF(OR(Nonlabor!$L$9="Quote required",Nonlabor!$L$9="Unverified"),G209,0)</f>
        <v>257.5</v>
      </c>
      <c r="I209" s="10" t="n">
        <f aca="false">IF(Nonlabor!$E$9="Core",0,G209)</f>
        <v>0</v>
      </c>
      <c r="J209" s="23" t="str">
        <f aca="false">Nonlabor!$B$9</f>
        <v>INFRA</v>
      </c>
    </row>
    <row r="210" customFormat="false" ht="15" hidden="false" customHeight="false" outlineLevel="0" collapsed="false">
      <c r="A210" s="6" t="s">
        <v>72</v>
      </c>
      <c r="B210" s="6" t="s">
        <v>379</v>
      </c>
      <c r="C210" s="6" t="n">
        <v>25</v>
      </c>
      <c r="D210" s="25" t="n">
        <f aca="false">EDATE('Start Here'!$B$6,C210-1)</f>
        <v>47058</v>
      </c>
      <c r="E210" s="23" t="n">
        <f aca="false">IF(AND(OR(Nonlabor!$D$9="Both",Nonlabor!$D$9='Start Here'!$B$9),IF(Nonlabor!$E$9="Core",1,IF(Nonlabor!$E$9="AI",'Start Here'!$B$7,'Start Here'!$B$8))=1,C210&gt;=IF(Nonlabor!$E$9="Core",Nonlabor!$F$9,MAX(Nonlabor!$F$9,IF(Nonlabor!$E$9="AI",Assumptions!$C$24,Assumptions!$C$25))),C210&lt;=Nonlabor!$G$9,OR(Nonlabor!$H$9="Monthly",AND(Nonlabor!$H$9="Once",C210=IF(Nonlabor!$E$9="Core",Nonlabor!$F$9,MAX(Nonlabor!$F$9,IF(Nonlabor!$E$9="AI",Assumptions!$C$24,Assumptions!$C$25)))),AND(Nonlabor!$H$9="Annual",MOD(C210-IF(Nonlabor!$E$9="Core",Nonlabor!$F$9,MAX(Nonlabor!$F$9,IF(Nonlabor!$E$9="AI",Assumptions!$C$24,Assumptions!$C$25))),12)=0))),IF(Nonlabor!$I$9="Fixed",1,IF(Nonlabor!$I$9="Seats",ROUNDUP('Monthly Lean'!I30,0),IF(Nonlabor!$I$9="Customers",'Monthly Lean'!D30,IF(Nonlabor!$I$9="NewCustomers",'Monthly Lean'!C30,IF(Nonlabor!$I$9="StorageGB",'Monthly Lean'!G30,IF(Nonlabor!$I$9="LogGB",'Monthly Lean'!H30,IF(Nonlabor!$I$9="RequestsM",'Monthly Lean'!F30,IF(Nonlabor!$I$9="InputM",'Monthly Lean'!D30*Assumptions!$C$22/1000000,IF(Nonlabor!$I$9="OutputM",'Monthly Lean'!D30*Assumptions!$C$23/1000000,0))))))))),0)</f>
        <v>1</v>
      </c>
      <c r="F210" s="10" t="n">
        <f aca="false">Nonlabor!$J$9*(1+Assumptions!$C$9)^INT((C210-1)/12)</f>
        <v>265.225</v>
      </c>
      <c r="G210" s="10" t="n">
        <f aca="false">E210*F210</f>
        <v>265.225</v>
      </c>
      <c r="H210" s="10" t="n">
        <f aca="false">IF(OR(Nonlabor!$L$9="Quote required",Nonlabor!$L$9="Unverified"),G210,0)</f>
        <v>265.225</v>
      </c>
      <c r="I210" s="10" t="n">
        <f aca="false">IF(Nonlabor!$E$9="Core",0,G210)</f>
        <v>0</v>
      </c>
      <c r="J210" s="23" t="str">
        <f aca="false">Nonlabor!$B$9</f>
        <v>INFRA</v>
      </c>
    </row>
    <row r="211" customFormat="false" ht="15" hidden="false" customHeight="false" outlineLevel="0" collapsed="false">
      <c r="A211" s="6" t="s">
        <v>72</v>
      </c>
      <c r="B211" s="6" t="s">
        <v>379</v>
      </c>
      <c r="C211" s="6" t="n">
        <v>26</v>
      </c>
      <c r="D211" s="25" t="n">
        <f aca="false">EDATE('Start Here'!$B$6,C211-1)</f>
        <v>47088</v>
      </c>
      <c r="E211" s="23" t="n">
        <f aca="false">IF(AND(OR(Nonlabor!$D$9="Both",Nonlabor!$D$9='Start Here'!$B$9),IF(Nonlabor!$E$9="Core",1,IF(Nonlabor!$E$9="AI",'Start Here'!$B$7,'Start Here'!$B$8))=1,C211&gt;=IF(Nonlabor!$E$9="Core",Nonlabor!$F$9,MAX(Nonlabor!$F$9,IF(Nonlabor!$E$9="AI",Assumptions!$C$24,Assumptions!$C$25))),C211&lt;=Nonlabor!$G$9,OR(Nonlabor!$H$9="Monthly",AND(Nonlabor!$H$9="Once",C211=IF(Nonlabor!$E$9="Core",Nonlabor!$F$9,MAX(Nonlabor!$F$9,IF(Nonlabor!$E$9="AI",Assumptions!$C$24,Assumptions!$C$25)))),AND(Nonlabor!$H$9="Annual",MOD(C211-IF(Nonlabor!$E$9="Core",Nonlabor!$F$9,MAX(Nonlabor!$F$9,IF(Nonlabor!$E$9="AI",Assumptions!$C$24,Assumptions!$C$25))),12)=0))),IF(Nonlabor!$I$9="Fixed",1,IF(Nonlabor!$I$9="Seats",ROUNDUP('Monthly Lean'!I31,0),IF(Nonlabor!$I$9="Customers",'Monthly Lean'!D31,IF(Nonlabor!$I$9="NewCustomers",'Monthly Lean'!C31,IF(Nonlabor!$I$9="StorageGB",'Monthly Lean'!G31,IF(Nonlabor!$I$9="LogGB",'Monthly Lean'!H31,IF(Nonlabor!$I$9="RequestsM",'Monthly Lean'!F31,IF(Nonlabor!$I$9="InputM",'Monthly Lean'!D31*Assumptions!$C$22/1000000,IF(Nonlabor!$I$9="OutputM",'Monthly Lean'!D31*Assumptions!$C$23/1000000,0))))))))),0)</f>
        <v>1</v>
      </c>
      <c r="F211" s="10" t="n">
        <f aca="false">Nonlabor!$J$9*(1+Assumptions!$C$9)^INT((C211-1)/12)</f>
        <v>265.225</v>
      </c>
      <c r="G211" s="10" t="n">
        <f aca="false">E211*F211</f>
        <v>265.225</v>
      </c>
      <c r="H211" s="10" t="n">
        <f aca="false">IF(OR(Nonlabor!$L$9="Quote required",Nonlabor!$L$9="Unverified"),G211,0)</f>
        <v>265.225</v>
      </c>
      <c r="I211" s="10" t="n">
        <f aca="false">IF(Nonlabor!$E$9="Core",0,G211)</f>
        <v>0</v>
      </c>
      <c r="J211" s="23" t="str">
        <f aca="false">Nonlabor!$B$9</f>
        <v>INFRA</v>
      </c>
    </row>
    <row r="212" customFormat="false" ht="15" hidden="false" customHeight="false" outlineLevel="0" collapsed="false">
      <c r="A212" s="6" t="s">
        <v>72</v>
      </c>
      <c r="B212" s="6" t="s">
        <v>379</v>
      </c>
      <c r="C212" s="6" t="n">
        <v>27</v>
      </c>
      <c r="D212" s="25" t="n">
        <f aca="false">EDATE('Start Here'!$B$6,C212-1)</f>
        <v>47119</v>
      </c>
      <c r="E212" s="23" t="n">
        <f aca="false">IF(AND(OR(Nonlabor!$D$9="Both",Nonlabor!$D$9='Start Here'!$B$9),IF(Nonlabor!$E$9="Core",1,IF(Nonlabor!$E$9="AI",'Start Here'!$B$7,'Start Here'!$B$8))=1,C212&gt;=IF(Nonlabor!$E$9="Core",Nonlabor!$F$9,MAX(Nonlabor!$F$9,IF(Nonlabor!$E$9="AI",Assumptions!$C$24,Assumptions!$C$25))),C212&lt;=Nonlabor!$G$9,OR(Nonlabor!$H$9="Monthly",AND(Nonlabor!$H$9="Once",C212=IF(Nonlabor!$E$9="Core",Nonlabor!$F$9,MAX(Nonlabor!$F$9,IF(Nonlabor!$E$9="AI",Assumptions!$C$24,Assumptions!$C$25)))),AND(Nonlabor!$H$9="Annual",MOD(C212-IF(Nonlabor!$E$9="Core",Nonlabor!$F$9,MAX(Nonlabor!$F$9,IF(Nonlabor!$E$9="AI",Assumptions!$C$24,Assumptions!$C$25))),12)=0))),IF(Nonlabor!$I$9="Fixed",1,IF(Nonlabor!$I$9="Seats",ROUNDUP('Monthly Lean'!I32,0),IF(Nonlabor!$I$9="Customers",'Monthly Lean'!D32,IF(Nonlabor!$I$9="NewCustomers",'Monthly Lean'!C32,IF(Nonlabor!$I$9="StorageGB",'Monthly Lean'!G32,IF(Nonlabor!$I$9="LogGB",'Monthly Lean'!H32,IF(Nonlabor!$I$9="RequestsM",'Monthly Lean'!F32,IF(Nonlabor!$I$9="InputM",'Monthly Lean'!D32*Assumptions!$C$22/1000000,IF(Nonlabor!$I$9="OutputM",'Monthly Lean'!D32*Assumptions!$C$23/1000000,0))))))))),0)</f>
        <v>1</v>
      </c>
      <c r="F212" s="10" t="n">
        <f aca="false">Nonlabor!$J$9*(1+Assumptions!$C$9)^INT((C212-1)/12)</f>
        <v>265.225</v>
      </c>
      <c r="G212" s="10" t="n">
        <f aca="false">E212*F212</f>
        <v>265.225</v>
      </c>
      <c r="H212" s="10" t="n">
        <f aca="false">IF(OR(Nonlabor!$L$9="Quote required",Nonlabor!$L$9="Unverified"),G212,0)</f>
        <v>265.225</v>
      </c>
      <c r="I212" s="10" t="n">
        <f aca="false">IF(Nonlabor!$E$9="Core",0,G212)</f>
        <v>0</v>
      </c>
      <c r="J212" s="23" t="str">
        <f aca="false">Nonlabor!$B$9</f>
        <v>INFRA</v>
      </c>
    </row>
    <row r="213" customFormat="false" ht="15" hidden="false" customHeight="false" outlineLevel="0" collapsed="false">
      <c r="A213" s="6" t="s">
        <v>72</v>
      </c>
      <c r="B213" s="6" t="s">
        <v>379</v>
      </c>
      <c r="C213" s="6" t="n">
        <v>28</v>
      </c>
      <c r="D213" s="25" t="n">
        <f aca="false">EDATE('Start Here'!$B$6,C213-1)</f>
        <v>47150</v>
      </c>
      <c r="E213" s="23" t="n">
        <f aca="false">IF(AND(OR(Nonlabor!$D$9="Both",Nonlabor!$D$9='Start Here'!$B$9),IF(Nonlabor!$E$9="Core",1,IF(Nonlabor!$E$9="AI",'Start Here'!$B$7,'Start Here'!$B$8))=1,C213&gt;=IF(Nonlabor!$E$9="Core",Nonlabor!$F$9,MAX(Nonlabor!$F$9,IF(Nonlabor!$E$9="AI",Assumptions!$C$24,Assumptions!$C$25))),C213&lt;=Nonlabor!$G$9,OR(Nonlabor!$H$9="Monthly",AND(Nonlabor!$H$9="Once",C213=IF(Nonlabor!$E$9="Core",Nonlabor!$F$9,MAX(Nonlabor!$F$9,IF(Nonlabor!$E$9="AI",Assumptions!$C$24,Assumptions!$C$25)))),AND(Nonlabor!$H$9="Annual",MOD(C213-IF(Nonlabor!$E$9="Core",Nonlabor!$F$9,MAX(Nonlabor!$F$9,IF(Nonlabor!$E$9="AI",Assumptions!$C$24,Assumptions!$C$25))),12)=0))),IF(Nonlabor!$I$9="Fixed",1,IF(Nonlabor!$I$9="Seats",ROUNDUP('Monthly Lean'!I33,0),IF(Nonlabor!$I$9="Customers",'Monthly Lean'!D33,IF(Nonlabor!$I$9="NewCustomers",'Monthly Lean'!C33,IF(Nonlabor!$I$9="StorageGB",'Monthly Lean'!G33,IF(Nonlabor!$I$9="LogGB",'Monthly Lean'!H33,IF(Nonlabor!$I$9="RequestsM",'Monthly Lean'!F33,IF(Nonlabor!$I$9="InputM",'Monthly Lean'!D33*Assumptions!$C$22/1000000,IF(Nonlabor!$I$9="OutputM",'Monthly Lean'!D33*Assumptions!$C$23/1000000,0))))))))),0)</f>
        <v>1</v>
      </c>
      <c r="F213" s="10" t="n">
        <f aca="false">Nonlabor!$J$9*(1+Assumptions!$C$9)^INT((C213-1)/12)</f>
        <v>265.225</v>
      </c>
      <c r="G213" s="10" t="n">
        <f aca="false">E213*F213</f>
        <v>265.225</v>
      </c>
      <c r="H213" s="10" t="n">
        <f aca="false">IF(OR(Nonlabor!$L$9="Quote required",Nonlabor!$L$9="Unverified"),G213,0)</f>
        <v>265.225</v>
      </c>
      <c r="I213" s="10" t="n">
        <f aca="false">IF(Nonlabor!$E$9="Core",0,G213)</f>
        <v>0</v>
      </c>
      <c r="J213" s="23" t="str">
        <f aca="false">Nonlabor!$B$9</f>
        <v>INFRA</v>
      </c>
    </row>
    <row r="214" customFormat="false" ht="15" hidden="false" customHeight="false" outlineLevel="0" collapsed="false">
      <c r="A214" s="6" t="s">
        <v>72</v>
      </c>
      <c r="B214" s="6" t="s">
        <v>379</v>
      </c>
      <c r="C214" s="6" t="n">
        <v>29</v>
      </c>
      <c r="D214" s="25" t="n">
        <f aca="false">EDATE('Start Here'!$B$6,C214-1)</f>
        <v>47178</v>
      </c>
      <c r="E214" s="23" t="n">
        <f aca="false">IF(AND(OR(Nonlabor!$D$9="Both",Nonlabor!$D$9='Start Here'!$B$9),IF(Nonlabor!$E$9="Core",1,IF(Nonlabor!$E$9="AI",'Start Here'!$B$7,'Start Here'!$B$8))=1,C214&gt;=IF(Nonlabor!$E$9="Core",Nonlabor!$F$9,MAX(Nonlabor!$F$9,IF(Nonlabor!$E$9="AI",Assumptions!$C$24,Assumptions!$C$25))),C214&lt;=Nonlabor!$G$9,OR(Nonlabor!$H$9="Monthly",AND(Nonlabor!$H$9="Once",C214=IF(Nonlabor!$E$9="Core",Nonlabor!$F$9,MAX(Nonlabor!$F$9,IF(Nonlabor!$E$9="AI",Assumptions!$C$24,Assumptions!$C$25)))),AND(Nonlabor!$H$9="Annual",MOD(C214-IF(Nonlabor!$E$9="Core",Nonlabor!$F$9,MAX(Nonlabor!$F$9,IF(Nonlabor!$E$9="AI",Assumptions!$C$24,Assumptions!$C$25))),12)=0))),IF(Nonlabor!$I$9="Fixed",1,IF(Nonlabor!$I$9="Seats",ROUNDUP('Monthly Lean'!I34,0),IF(Nonlabor!$I$9="Customers",'Monthly Lean'!D34,IF(Nonlabor!$I$9="NewCustomers",'Monthly Lean'!C34,IF(Nonlabor!$I$9="StorageGB",'Monthly Lean'!G34,IF(Nonlabor!$I$9="LogGB",'Monthly Lean'!H34,IF(Nonlabor!$I$9="RequestsM",'Monthly Lean'!F34,IF(Nonlabor!$I$9="InputM",'Monthly Lean'!D34*Assumptions!$C$22/1000000,IF(Nonlabor!$I$9="OutputM",'Monthly Lean'!D34*Assumptions!$C$23/1000000,0))))))))),0)</f>
        <v>1</v>
      </c>
      <c r="F214" s="10" t="n">
        <f aca="false">Nonlabor!$J$9*(1+Assumptions!$C$9)^INT((C214-1)/12)</f>
        <v>265.225</v>
      </c>
      <c r="G214" s="10" t="n">
        <f aca="false">E214*F214</f>
        <v>265.225</v>
      </c>
      <c r="H214" s="10" t="n">
        <f aca="false">IF(OR(Nonlabor!$L$9="Quote required",Nonlabor!$L$9="Unverified"),G214,0)</f>
        <v>265.225</v>
      </c>
      <c r="I214" s="10" t="n">
        <f aca="false">IF(Nonlabor!$E$9="Core",0,G214)</f>
        <v>0</v>
      </c>
      <c r="J214" s="23" t="str">
        <f aca="false">Nonlabor!$B$9</f>
        <v>INFRA</v>
      </c>
    </row>
    <row r="215" customFormat="false" ht="15" hidden="false" customHeight="false" outlineLevel="0" collapsed="false">
      <c r="A215" s="6" t="s">
        <v>72</v>
      </c>
      <c r="B215" s="6" t="s">
        <v>379</v>
      </c>
      <c r="C215" s="6" t="n">
        <v>30</v>
      </c>
      <c r="D215" s="25" t="n">
        <f aca="false">EDATE('Start Here'!$B$6,C215-1)</f>
        <v>47209</v>
      </c>
      <c r="E215" s="23" t="n">
        <f aca="false">IF(AND(OR(Nonlabor!$D$9="Both",Nonlabor!$D$9='Start Here'!$B$9),IF(Nonlabor!$E$9="Core",1,IF(Nonlabor!$E$9="AI",'Start Here'!$B$7,'Start Here'!$B$8))=1,C215&gt;=IF(Nonlabor!$E$9="Core",Nonlabor!$F$9,MAX(Nonlabor!$F$9,IF(Nonlabor!$E$9="AI",Assumptions!$C$24,Assumptions!$C$25))),C215&lt;=Nonlabor!$G$9,OR(Nonlabor!$H$9="Monthly",AND(Nonlabor!$H$9="Once",C215=IF(Nonlabor!$E$9="Core",Nonlabor!$F$9,MAX(Nonlabor!$F$9,IF(Nonlabor!$E$9="AI",Assumptions!$C$24,Assumptions!$C$25)))),AND(Nonlabor!$H$9="Annual",MOD(C215-IF(Nonlabor!$E$9="Core",Nonlabor!$F$9,MAX(Nonlabor!$F$9,IF(Nonlabor!$E$9="AI",Assumptions!$C$24,Assumptions!$C$25))),12)=0))),IF(Nonlabor!$I$9="Fixed",1,IF(Nonlabor!$I$9="Seats",ROUNDUP('Monthly Lean'!I35,0),IF(Nonlabor!$I$9="Customers",'Monthly Lean'!D35,IF(Nonlabor!$I$9="NewCustomers",'Monthly Lean'!C35,IF(Nonlabor!$I$9="StorageGB",'Monthly Lean'!G35,IF(Nonlabor!$I$9="LogGB",'Monthly Lean'!H35,IF(Nonlabor!$I$9="RequestsM",'Monthly Lean'!F35,IF(Nonlabor!$I$9="InputM",'Monthly Lean'!D35*Assumptions!$C$22/1000000,IF(Nonlabor!$I$9="OutputM",'Monthly Lean'!D35*Assumptions!$C$23/1000000,0))))))))),0)</f>
        <v>1</v>
      </c>
      <c r="F215" s="10" t="n">
        <f aca="false">Nonlabor!$J$9*(1+Assumptions!$C$9)^INT((C215-1)/12)</f>
        <v>265.225</v>
      </c>
      <c r="G215" s="10" t="n">
        <f aca="false">E215*F215</f>
        <v>265.225</v>
      </c>
      <c r="H215" s="10" t="n">
        <f aca="false">IF(OR(Nonlabor!$L$9="Quote required",Nonlabor!$L$9="Unverified"),G215,0)</f>
        <v>265.225</v>
      </c>
      <c r="I215" s="10" t="n">
        <f aca="false">IF(Nonlabor!$E$9="Core",0,G215)</f>
        <v>0</v>
      </c>
      <c r="J215" s="23" t="str">
        <f aca="false">Nonlabor!$B$9</f>
        <v>INFRA</v>
      </c>
    </row>
    <row r="216" customFormat="false" ht="15" hidden="false" customHeight="false" outlineLevel="0" collapsed="false">
      <c r="A216" s="6" t="s">
        <v>72</v>
      </c>
      <c r="B216" s="6" t="s">
        <v>379</v>
      </c>
      <c r="C216" s="6" t="n">
        <v>31</v>
      </c>
      <c r="D216" s="25" t="n">
        <f aca="false">EDATE('Start Here'!$B$6,C216-1)</f>
        <v>47239</v>
      </c>
      <c r="E216" s="23" t="n">
        <f aca="false">IF(AND(OR(Nonlabor!$D$9="Both",Nonlabor!$D$9='Start Here'!$B$9),IF(Nonlabor!$E$9="Core",1,IF(Nonlabor!$E$9="AI",'Start Here'!$B$7,'Start Here'!$B$8))=1,C216&gt;=IF(Nonlabor!$E$9="Core",Nonlabor!$F$9,MAX(Nonlabor!$F$9,IF(Nonlabor!$E$9="AI",Assumptions!$C$24,Assumptions!$C$25))),C216&lt;=Nonlabor!$G$9,OR(Nonlabor!$H$9="Monthly",AND(Nonlabor!$H$9="Once",C216=IF(Nonlabor!$E$9="Core",Nonlabor!$F$9,MAX(Nonlabor!$F$9,IF(Nonlabor!$E$9="AI",Assumptions!$C$24,Assumptions!$C$25)))),AND(Nonlabor!$H$9="Annual",MOD(C216-IF(Nonlabor!$E$9="Core",Nonlabor!$F$9,MAX(Nonlabor!$F$9,IF(Nonlabor!$E$9="AI",Assumptions!$C$24,Assumptions!$C$25))),12)=0))),IF(Nonlabor!$I$9="Fixed",1,IF(Nonlabor!$I$9="Seats",ROUNDUP('Monthly Lean'!I36,0),IF(Nonlabor!$I$9="Customers",'Monthly Lean'!D36,IF(Nonlabor!$I$9="NewCustomers",'Monthly Lean'!C36,IF(Nonlabor!$I$9="StorageGB",'Monthly Lean'!G36,IF(Nonlabor!$I$9="LogGB",'Monthly Lean'!H36,IF(Nonlabor!$I$9="RequestsM",'Monthly Lean'!F36,IF(Nonlabor!$I$9="InputM",'Monthly Lean'!D36*Assumptions!$C$22/1000000,IF(Nonlabor!$I$9="OutputM",'Monthly Lean'!D36*Assumptions!$C$23/1000000,0))))))))),0)</f>
        <v>1</v>
      </c>
      <c r="F216" s="10" t="n">
        <f aca="false">Nonlabor!$J$9*(1+Assumptions!$C$9)^INT((C216-1)/12)</f>
        <v>265.225</v>
      </c>
      <c r="G216" s="10" t="n">
        <f aca="false">E216*F216</f>
        <v>265.225</v>
      </c>
      <c r="H216" s="10" t="n">
        <f aca="false">IF(OR(Nonlabor!$L$9="Quote required",Nonlabor!$L$9="Unverified"),G216,0)</f>
        <v>265.225</v>
      </c>
      <c r="I216" s="10" t="n">
        <f aca="false">IF(Nonlabor!$E$9="Core",0,G216)</f>
        <v>0</v>
      </c>
      <c r="J216" s="23" t="str">
        <f aca="false">Nonlabor!$B$9</f>
        <v>INFRA</v>
      </c>
    </row>
    <row r="217" customFormat="false" ht="15" hidden="false" customHeight="false" outlineLevel="0" collapsed="false">
      <c r="A217" s="6" t="s">
        <v>72</v>
      </c>
      <c r="B217" s="6" t="s">
        <v>379</v>
      </c>
      <c r="C217" s="6" t="n">
        <v>32</v>
      </c>
      <c r="D217" s="25" t="n">
        <f aca="false">EDATE('Start Here'!$B$6,C217-1)</f>
        <v>47270</v>
      </c>
      <c r="E217" s="23" t="n">
        <f aca="false">IF(AND(OR(Nonlabor!$D$9="Both",Nonlabor!$D$9='Start Here'!$B$9),IF(Nonlabor!$E$9="Core",1,IF(Nonlabor!$E$9="AI",'Start Here'!$B$7,'Start Here'!$B$8))=1,C217&gt;=IF(Nonlabor!$E$9="Core",Nonlabor!$F$9,MAX(Nonlabor!$F$9,IF(Nonlabor!$E$9="AI",Assumptions!$C$24,Assumptions!$C$25))),C217&lt;=Nonlabor!$G$9,OR(Nonlabor!$H$9="Monthly",AND(Nonlabor!$H$9="Once",C217=IF(Nonlabor!$E$9="Core",Nonlabor!$F$9,MAX(Nonlabor!$F$9,IF(Nonlabor!$E$9="AI",Assumptions!$C$24,Assumptions!$C$25)))),AND(Nonlabor!$H$9="Annual",MOD(C217-IF(Nonlabor!$E$9="Core",Nonlabor!$F$9,MAX(Nonlabor!$F$9,IF(Nonlabor!$E$9="AI",Assumptions!$C$24,Assumptions!$C$25))),12)=0))),IF(Nonlabor!$I$9="Fixed",1,IF(Nonlabor!$I$9="Seats",ROUNDUP('Monthly Lean'!I37,0),IF(Nonlabor!$I$9="Customers",'Monthly Lean'!D37,IF(Nonlabor!$I$9="NewCustomers",'Monthly Lean'!C37,IF(Nonlabor!$I$9="StorageGB",'Monthly Lean'!G37,IF(Nonlabor!$I$9="LogGB",'Monthly Lean'!H37,IF(Nonlabor!$I$9="RequestsM",'Monthly Lean'!F37,IF(Nonlabor!$I$9="InputM",'Monthly Lean'!D37*Assumptions!$C$22/1000000,IF(Nonlabor!$I$9="OutputM",'Monthly Lean'!D37*Assumptions!$C$23/1000000,0))))))))),0)</f>
        <v>1</v>
      </c>
      <c r="F217" s="10" t="n">
        <f aca="false">Nonlabor!$J$9*(1+Assumptions!$C$9)^INT((C217-1)/12)</f>
        <v>265.225</v>
      </c>
      <c r="G217" s="10" t="n">
        <f aca="false">E217*F217</f>
        <v>265.225</v>
      </c>
      <c r="H217" s="10" t="n">
        <f aca="false">IF(OR(Nonlabor!$L$9="Quote required",Nonlabor!$L$9="Unverified"),G217,0)</f>
        <v>265.225</v>
      </c>
      <c r="I217" s="10" t="n">
        <f aca="false">IF(Nonlabor!$E$9="Core",0,G217)</f>
        <v>0</v>
      </c>
      <c r="J217" s="23" t="str">
        <f aca="false">Nonlabor!$B$9</f>
        <v>INFRA</v>
      </c>
    </row>
    <row r="218" customFormat="false" ht="15" hidden="false" customHeight="false" outlineLevel="0" collapsed="false">
      <c r="A218" s="6" t="s">
        <v>72</v>
      </c>
      <c r="B218" s="6" t="s">
        <v>379</v>
      </c>
      <c r="C218" s="6" t="n">
        <v>33</v>
      </c>
      <c r="D218" s="25" t="n">
        <f aca="false">EDATE('Start Here'!$B$6,C218-1)</f>
        <v>47300</v>
      </c>
      <c r="E218" s="23" t="n">
        <f aca="false">IF(AND(OR(Nonlabor!$D$9="Both",Nonlabor!$D$9='Start Here'!$B$9),IF(Nonlabor!$E$9="Core",1,IF(Nonlabor!$E$9="AI",'Start Here'!$B$7,'Start Here'!$B$8))=1,C218&gt;=IF(Nonlabor!$E$9="Core",Nonlabor!$F$9,MAX(Nonlabor!$F$9,IF(Nonlabor!$E$9="AI",Assumptions!$C$24,Assumptions!$C$25))),C218&lt;=Nonlabor!$G$9,OR(Nonlabor!$H$9="Monthly",AND(Nonlabor!$H$9="Once",C218=IF(Nonlabor!$E$9="Core",Nonlabor!$F$9,MAX(Nonlabor!$F$9,IF(Nonlabor!$E$9="AI",Assumptions!$C$24,Assumptions!$C$25)))),AND(Nonlabor!$H$9="Annual",MOD(C218-IF(Nonlabor!$E$9="Core",Nonlabor!$F$9,MAX(Nonlabor!$F$9,IF(Nonlabor!$E$9="AI",Assumptions!$C$24,Assumptions!$C$25))),12)=0))),IF(Nonlabor!$I$9="Fixed",1,IF(Nonlabor!$I$9="Seats",ROUNDUP('Monthly Lean'!I38,0),IF(Nonlabor!$I$9="Customers",'Monthly Lean'!D38,IF(Nonlabor!$I$9="NewCustomers",'Monthly Lean'!C38,IF(Nonlabor!$I$9="StorageGB",'Monthly Lean'!G38,IF(Nonlabor!$I$9="LogGB",'Monthly Lean'!H38,IF(Nonlabor!$I$9="RequestsM",'Monthly Lean'!F38,IF(Nonlabor!$I$9="InputM",'Monthly Lean'!D38*Assumptions!$C$22/1000000,IF(Nonlabor!$I$9="OutputM",'Monthly Lean'!D38*Assumptions!$C$23/1000000,0))))))))),0)</f>
        <v>1</v>
      </c>
      <c r="F218" s="10" t="n">
        <f aca="false">Nonlabor!$J$9*(1+Assumptions!$C$9)^INT((C218-1)/12)</f>
        <v>265.225</v>
      </c>
      <c r="G218" s="10" t="n">
        <f aca="false">E218*F218</f>
        <v>265.225</v>
      </c>
      <c r="H218" s="10" t="n">
        <f aca="false">IF(OR(Nonlabor!$L$9="Quote required",Nonlabor!$L$9="Unverified"),G218,0)</f>
        <v>265.225</v>
      </c>
      <c r="I218" s="10" t="n">
        <f aca="false">IF(Nonlabor!$E$9="Core",0,G218)</f>
        <v>0</v>
      </c>
      <c r="J218" s="23" t="str">
        <f aca="false">Nonlabor!$B$9</f>
        <v>INFRA</v>
      </c>
    </row>
    <row r="219" customFormat="false" ht="15" hidden="false" customHeight="false" outlineLevel="0" collapsed="false">
      <c r="A219" s="6" t="s">
        <v>72</v>
      </c>
      <c r="B219" s="6" t="s">
        <v>379</v>
      </c>
      <c r="C219" s="6" t="n">
        <v>34</v>
      </c>
      <c r="D219" s="25" t="n">
        <f aca="false">EDATE('Start Here'!$B$6,C219-1)</f>
        <v>47331</v>
      </c>
      <c r="E219" s="23" t="n">
        <f aca="false">IF(AND(OR(Nonlabor!$D$9="Both",Nonlabor!$D$9='Start Here'!$B$9),IF(Nonlabor!$E$9="Core",1,IF(Nonlabor!$E$9="AI",'Start Here'!$B$7,'Start Here'!$B$8))=1,C219&gt;=IF(Nonlabor!$E$9="Core",Nonlabor!$F$9,MAX(Nonlabor!$F$9,IF(Nonlabor!$E$9="AI",Assumptions!$C$24,Assumptions!$C$25))),C219&lt;=Nonlabor!$G$9,OR(Nonlabor!$H$9="Monthly",AND(Nonlabor!$H$9="Once",C219=IF(Nonlabor!$E$9="Core",Nonlabor!$F$9,MAX(Nonlabor!$F$9,IF(Nonlabor!$E$9="AI",Assumptions!$C$24,Assumptions!$C$25)))),AND(Nonlabor!$H$9="Annual",MOD(C219-IF(Nonlabor!$E$9="Core",Nonlabor!$F$9,MAX(Nonlabor!$F$9,IF(Nonlabor!$E$9="AI",Assumptions!$C$24,Assumptions!$C$25))),12)=0))),IF(Nonlabor!$I$9="Fixed",1,IF(Nonlabor!$I$9="Seats",ROUNDUP('Monthly Lean'!I39,0),IF(Nonlabor!$I$9="Customers",'Monthly Lean'!D39,IF(Nonlabor!$I$9="NewCustomers",'Monthly Lean'!C39,IF(Nonlabor!$I$9="StorageGB",'Monthly Lean'!G39,IF(Nonlabor!$I$9="LogGB",'Monthly Lean'!H39,IF(Nonlabor!$I$9="RequestsM",'Monthly Lean'!F39,IF(Nonlabor!$I$9="InputM",'Monthly Lean'!D39*Assumptions!$C$22/1000000,IF(Nonlabor!$I$9="OutputM",'Monthly Lean'!D39*Assumptions!$C$23/1000000,0))))))))),0)</f>
        <v>1</v>
      </c>
      <c r="F219" s="10" t="n">
        <f aca="false">Nonlabor!$J$9*(1+Assumptions!$C$9)^INT((C219-1)/12)</f>
        <v>265.225</v>
      </c>
      <c r="G219" s="10" t="n">
        <f aca="false">E219*F219</f>
        <v>265.225</v>
      </c>
      <c r="H219" s="10" t="n">
        <f aca="false">IF(OR(Nonlabor!$L$9="Quote required",Nonlabor!$L$9="Unverified"),G219,0)</f>
        <v>265.225</v>
      </c>
      <c r="I219" s="10" t="n">
        <f aca="false">IF(Nonlabor!$E$9="Core",0,G219)</f>
        <v>0</v>
      </c>
      <c r="J219" s="23" t="str">
        <f aca="false">Nonlabor!$B$9</f>
        <v>INFRA</v>
      </c>
    </row>
    <row r="220" customFormat="false" ht="15" hidden="false" customHeight="false" outlineLevel="0" collapsed="false">
      <c r="A220" s="6" t="s">
        <v>72</v>
      </c>
      <c r="B220" s="6" t="s">
        <v>379</v>
      </c>
      <c r="C220" s="6" t="n">
        <v>35</v>
      </c>
      <c r="D220" s="25" t="n">
        <f aca="false">EDATE('Start Here'!$B$6,C220-1)</f>
        <v>47362</v>
      </c>
      <c r="E220" s="23" t="n">
        <f aca="false">IF(AND(OR(Nonlabor!$D$9="Both",Nonlabor!$D$9='Start Here'!$B$9),IF(Nonlabor!$E$9="Core",1,IF(Nonlabor!$E$9="AI",'Start Here'!$B$7,'Start Here'!$B$8))=1,C220&gt;=IF(Nonlabor!$E$9="Core",Nonlabor!$F$9,MAX(Nonlabor!$F$9,IF(Nonlabor!$E$9="AI",Assumptions!$C$24,Assumptions!$C$25))),C220&lt;=Nonlabor!$G$9,OR(Nonlabor!$H$9="Monthly",AND(Nonlabor!$H$9="Once",C220=IF(Nonlabor!$E$9="Core",Nonlabor!$F$9,MAX(Nonlabor!$F$9,IF(Nonlabor!$E$9="AI",Assumptions!$C$24,Assumptions!$C$25)))),AND(Nonlabor!$H$9="Annual",MOD(C220-IF(Nonlabor!$E$9="Core",Nonlabor!$F$9,MAX(Nonlabor!$F$9,IF(Nonlabor!$E$9="AI",Assumptions!$C$24,Assumptions!$C$25))),12)=0))),IF(Nonlabor!$I$9="Fixed",1,IF(Nonlabor!$I$9="Seats",ROUNDUP('Monthly Lean'!I40,0),IF(Nonlabor!$I$9="Customers",'Monthly Lean'!D40,IF(Nonlabor!$I$9="NewCustomers",'Monthly Lean'!C40,IF(Nonlabor!$I$9="StorageGB",'Monthly Lean'!G40,IF(Nonlabor!$I$9="LogGB",'Monthly Lean'!H40,IF(Nonlabor!$I$9="RequestsM",'Monthly Lean'!F40,IF(Nonlabor!$I$9="InputM",'Monthly Lean'!D40*Assumptions!$C$22/1000000,IF(Nonlabor!$I$9="OutputM",'Monthly Lean'!D40*Assumptions!$C$23/1000000,0))))))))),0)</f>
        <v>1</v>
      </c>
      <c r="F220" s="10" t="n">
        <f aca="false">Nonlabor!$J$9*(1+Assumptions!$C$9)^INT((C220-1)/12)</f>
        <v>265.225</v>
      </c>
      <c r="G220" s="10" t="n">
        <f aca="false">E220*F220</f>
        <v>265.225</v>
      </c>
      <c r="H220" s="10" t="n">
        <f aca="false">IF(OR(Nonlabor!$L$9="Quote required",Nonlabor!$L$9="Unverified"),G220,0)</f>
        <v>265.225</v>
      </c>
      <c r="I220" s="10" t="n">
        <f aca="false">IF(Nonlabor!$E$9="Core",0,G220)</f>
        <v>0</v>
      </c>
      <c r="J220" s="23" t="str">
        <f aca="false">Nonlabor!$B$9</f>
        <v>INFRA</v>
      </c>
    </row>
    <row r="221" customFormat="false" ht="15" hidden="false" customHeight="false" outlineLevel="0" collapsed="false">
      <c r="A221" s="6" t="s">
        <v>72</v>
      </c>
      <c r="B221" s="6" t="s">
        <v>379</v>
      </c>
      <c r="C221" s="6" t="n">
        <v>36</v>
      </c>
      <c r="D221" s="25" t="n">
        <f aca="false">EDATE('Start Here'!$B$6,C221-1)</f>
        <v>47392</v>
      </c>
      <c r="E221" s="23" t="n">
        <f aca="false">IF(AND(OR(Nonlabor!$D$9="Both",Nonlabor!$D$9='Start Here'!$B$9),IF(Nonlabor!$E$9="Core",1,IF(Nonlabor!$E$9="AI",'Start Here'!$B$7,'Start Here'!$B$8))=1,C221&gt;=IF(Nonlabor!$E$9="Core",Nonlabor!$F$9,MAX(Nonlabor!$F$9,IF(Nonlabor!$E$9="AI",Assumptions!$C$24,Assumptions!$C$25))),C221&lt;=Nonlabor!$G$9,OR(Nonlabor!$H$9="Monthly",AND(Nonlabor!$H$9="Once",C221=IF(Nonlabor!$E$9="Core",Nonlabor!$F$9,MAX(Nonlabor!$F$9,IF(Nonlabor!$E$9="AI",Assumptions!$C$24,Assumptions!$C$25)))),AND(Nonlabor!$H$9="Annual",MOD(C221-IF(Nonlabor!$E$9="Core",Nonlabor!$F$9,MAX(Nonlabor!$F$9,IF(Nonlabor!$E$9="AI",Assumptions!$C$24,Assumptions!$C$25))),12)=0))),IF(Nonlabor!$I$9="Fixed",1,IF(Nonlabor!$I$9="Seats",ROUNDUP('Monthly Lean'!I41,0),IF(Nonlabor!$I$9="Customers",'Monthly Lean'!D41,IF(Nonlabor!$I$9="NewCustomers",'Monthly Lean'!C41,IF(Nonlabor!$I$9="StorageGB",'Monthly Lean'!G41,IF(Nonlabor!$I$9="LogGB",'Monthly Lean'!H41,IF(Nonlabor!$I$9="RequestsM",'Monthly Lean'!F41,IF(Nonlabor!$I$9="InputM",'Monthly Lean'!D41*Assumptions!$C$22/1000000,IF(Nonlabor!$I$9="OutputM",'Monthly Lean'!D41*Assumptions!$C$23/1000000,0))))))))),0)</f>
        <v>1</v>
      </c>
      <c r="F221" s="10" t="n">
        <f aca="false">Nonlabor!$J$9*(1+Assumptions!$C$9)^INT((C221-1)/12)</f>
        <v>265.225</v>
      </c>
      <c r="G221" s="10" t="n">
        <f aca="false">E221*F221</f>
        <v>265.225</v>
      </c>
      <c r="H221" s="10" t="n">
        <f aca="false">IF(OR(Nonlabor!$L$9="Quote required",Nonlabor!$L$9="Unverified"),G221,0)</f>
        <v>265.225</v>
      </c>
      <c r="I221" s="10" t="n">
        <f aca="false">IF(Nonlabor!$E$9="Core",0,G221)</f>
        <v>0</v>
      </c>
      <c r="J221" s="23" t="str">
        <f aca="false">Nonlabor!$B$9</f>
        <v>INFRA</v>
      </c>
    </row>
    <row r="222" customFormat="false" ht="15" hidden="false" customHeight="false" outlineLevel="0" collapsed="false">
      <c r="A222" s="6" t="s">
        <v>72</v>
      </c>
      <c r="B222" s="6" t="s">
        <v>379</v>
      </c>
      <c r="C222" s="6" t="n">
        <v>37</v>
      </c>
      <c r="D222" s="25" t="n">
        <f aca="false">EDATE('Start Here'!$B$6,C222-1)</f>
        <v>47423</v>
      </c>
      <c r="E222" s="23" t="n">
        <f aca="false">IF(AND(OR(Nonlabor!$D$9="Both",Nonlabor!$D$9='Start Here'!$B$9),IF(Nonlabor!$E$9="Core",1,IF(Nonlabor!$E$9="AI",'Start Here'!$B$7,'Start Here'!$B$8))=1,C222&gt;=IF(Nonlabor!$E$9="Core",Nonlabor!$F$9,MAX(Nonlabor!$F$9,IF(Nonlabor!$E$9="AI",Assumptions!$C$24,Assumptions!$C$25))),C222&lt;=Nonlabor!$G$9,OR(Nonlabor!$H$9="Monthly",AND(Nonlabor!$H$9="Once",C222=IF(Nonlabor!$E$9="Core",Nonlabor!$F$9,MAX(Nonlabor!$F$9,IF(Nonlabor!$E$9="AI",Assumptions!$C$24,Assumptions!$C$25)))),AND(Nonlabor!$H$9="Annual",MOD(C222-IF(Nonlabor!$E$9="Core",Nonlabor!$F$9,MAX(Nonlabor!$F$9,IF(Nonlabor!$E$9="AI",Assumptions!$C$24,Assumptions!$C$25))),12)=0))),IF(Nonlabor!$I$9="Fixed",1,IF(Nonlabor!$I$9="Seats",ROUNDUP('Monthly Lean'!I42,0),IF(Nonlabor!$I$9="Customers",'Monthly Lean'!D42,IF(Nonlabor!$I$9="NewCustomers",'Monthly Lean'!C42,IF(Nonlabor!$I$9="StorageGB",'Monthly Lean'!G42,IF(Nonlabor!$I$9="LogGB",'Monthly Lean'!H42,IF(Nonlabor!$I$9="RequestsM",'Monthly Lean'!F42,IF(Nonlabor!$I$9="InputM",'Monthly Lean'!D42*Assumptions!$C$22/1000000,IF(Nonlabor!$I$9="OutputM",'Monthly Lean'!D42*Assumptions!$C$23/1000000,0))))))))),0)</f>
        <v>1</v>
      </c>
      <c r="F222" s="10" t="n">
        <f aca="false">Nonlabor!$J$9*(1+Assumptions!$C$9)^INT((C222-1)/12)</f>
        <v>273.18175</v>
      </c>
      <c r="G222" s="10" t="n">
        <f aca="false">E222*F222</f>
        <v>273.18175</v>
      </c>
      <c r="H222" s="10" t="n">
        <f aca="false">IF(OR(Nonlabor!$L$9="Quote required",Nonlabor!$L$9="Unverified"),G222,0)</f>
        <v>273.18175</v>
      </c>
      <c r="I222" s="10" t="n">
        <f aca="false">IF(Nonlabor!$E$9="Core",0,G222)</f>
        <v>0</v>
      </c>
      <c r="J222" s="23" t="str">
        <f aca="false">Nonlabor!$B$9</f>
        <v>INFRA</v>
      </c>
    </row>
    <row r="223" customFormat="false" ht="15" hidden="false" customHeight="false" outlineLevel="0" collapsed="false">
      <c r="A223" s="6" t="s">
        <v>72</v>
      </c>
      <c r="B223" s="6" t="s">
        <v>379</v>
      </c>
      <c r="C223" s="6" t="n">
        <v>38</v>
      </c>
      <c r="D223" s="25" t="n">
        <f aca="false">EDATE('Start Here'!$B$6,C223-1)</f>
        <v>47453</v>
      </c>
      <c r="E223" s="23" t="n">
        <f aca="false">IF(AND(OR(Nonlabor!$D$9="Both",Nonlabor!$D$9='Start Here'!$B$9),IF(Nonlabor!$E$9="Core",1,IF(Nonlabor!$E$9="AI",'Start Here'!$B$7,'Start Here'!$B$8))=1,C223&gt;=IF(Nonlabor!$E$9="Core",Nonlabor!$F$9,MAX(Nonlabor!$F$9,IF(Nonlabor!$E$9="AI",Assumptions!$C$24,Assumptions!$C$25))),C223&lt;=Nonlabor!$G$9,OR(Nonlabor!$H$9="Monthly",AND(Nonlabor!$H$9="Once",C223=IF(Nonlabor!$E$9="Core",Nonlabor!$F$9,MAX(Nonlabor!$F$9,IF(Nonlabor!$E$9="AI",Assumptions!$C$24,Assumptions!$C$25)))),AND(Nonlabor!$H$9="Annual",MOD(C223-IF(Nonlabor!$E$9="Core",Nonlabor!$F$9,MAX(Nonlabor!$F$9,IF(Nonlabor!$E$9="AI",Assumptions!$C$24,Assumptions!$C$25))),12)=0))),IF(Nonlabor!$I$9="Fixed",1,IF(Nonlabor!$I$9="Seats",ROUNDUP('Monthly Lean'!I43,0),IF(Nonlabor!$I$9="Customers",'Monthly Lean'!D43,IF(Nonlabor!$I$9="NewCustomers",'Monthly Lean'!C43,IF(Nonlabor!$I$9="StorageGB",'Monthly Lean'!G43,IF(Nonlabor!$I$9="LogGB",'Monthly Lean'!H43,IF(Nonlabor!$I$9="RequestsM",'Monthly Lean'!F43,IF(Nonlabor!$I$9="InputM",'Monthly Lean'!D43*Assumptions!$C$22/1000000,IF(Nonlabor!$I$9="OutputM",'Monthly Lean'!D43*Assumptions!$C$23/1000000,0))))))))),0)</f>
        <v>1</v>
      </c>
      <c r="F223" s="10" t="n">
        <f aca="false">Nonlabor!$J$9*(1+Assumptions!$C$9)^INT((C223-1)/12)</f>
        <v>273.18175</v>
      </c>
      <c r="G223" s="10" t="n">
        <f aca="false">E223*F223</f>
        <v>273.18175</v>
      </c>
      <c r="H223" s="10" t="n">
        <f aca="false">IF(OR(Nonlabor!$L$9="Quote required",Nonlabor!$L$9="Unverified"),G223,0)</f>
        <v>273.18175</v>
      </c>
      <c r="I223" s="10" t="n">
        <f aca="false">IF(Nonlabor!$E$9="Core",0,G223)</f>
        <v>0</v>
      </c>
      <c r="J223" s="23" t="str">
        <f aca="false">Nonlabor!$B$9</f>
        <v>INFRA</v>
      </c>
    </row>
    <row r="224" customFormat="false" ht="15" hidden="false" customHeight="false" outlineLevel="0" collapsed="false">
      <c r="A224" s="6" t="s">
        <v>72</v>
      </c>
      <c r="B224" s="6" t="s">
        <v>379</v>
      </c>
      <c r="C224" s="6" t="n">
        <v>39</v>
      </c>
      <c r="D224" s="25" t="n">
        <f aca="false">EDATE('Start Here'!$B$6,C224-1)</f>
        <v>47484</v>
      </c>
      <c r="E224" s="23" t="n">
        <f aca="false">IF(AND(OR(Nonlabor!$D$9="Both",Nonlabor!$D$9='Start Here'!$B$9),IF(Nonlabor!$E$9="Core",1,IF(Nonlabor!$E$9="AI",'Start Here'!$B$7,'Start Here'!$B$8))=1,C224&gt;=IF(Nonlabor!$E$9="Core",Nonlabor!$F$9,MAX(Nonlabor!$F$9,IF(Nonlabor!$E$9="AI",Assumptions!$C$24,Assumptions!$C$25))),C224&lt;=Nonlabor!$G$9,OR(Nonlabor!$H$9="Monthly",AND(Nonlabor!$H$9="Once",C224=IF(Nonlabor!$E$9="Core",Nonlabor!$F$9,MAX(Nonlabor!$F$9,IF(Nonlabor!$E$9="AI",Assumptions!$C$24,Assumptions!$C$25)))),AND(Nonlabor!$H$9="Annual",MOD(C224-IF(Nonlabor!$E$9="Core",Nonlabor!$F$9,MAX(Nonlabor!$F$9,IF(Nonlabor!$E$9="AI",Assumptions!$C$24,Assumptions!$C$25))),12)=0))),IF(Nonlabor!$I$9="Fixed",1,IF(Nonlabor!$I$9="Seats",ROUNDUP('Monthly Lean'!I44,0),IF(Nonlabor!$I$9="Customers",'Monthly Lean'!D44,IF(Nonlabor!$I$9="NewCustomers",'Monthly Lean'!C44,IF(Nonlabor!$I$9="StorageGB",'Monthly Lean'!G44,IF(Nonlabor!$I$9="LogGB",'Monthly Lean'!H44,IF(Nonlabor!$I$9="RequestsM",'Monthly Lean'!F44,IF(Nonlabor!$I$9="InputM",'Monthly Lean'!D44*Assumptions!$C$22/1000000,IF(Nonlabor!$I$9="OutputM",'Monthly Lean'!D44*Assumptions!$C$23/1000000,0))))))))),0)</f>
        <v>1</v>
      </c>
      <c r="F224" s="10" t="n">
        <f aca="false">Nonlabor!$J$9*(1+Assumptions!$C$9)^INT((C224-1)/12)</f>
        <v>273.18175</v>
      </c>
      <c r="G224" s="10" t="n">
        <f aca="false">E224*F224</f>
        <v>273.18175</v>
      </c>
      <c r="H224" s="10" t="n">
        <f aca="false">IF(OR(Nonlabor!$L$9="Quote required",Nonlabor!$L$9="Unverified"),G224,0)</f>
        <v>273.18175</v>
      </c>
      <c r="I224" s="10" t="n">
        <f aca="false">IF(Nonlabor!$E$9="Core",0,G224)</f>
        <v>0</v>
      </c>
      <c r="J224" s="23" t="str">
        <f aca="false">Nonlabor!$B$9</f>
        <v>INFRA</v>
      </c>
    </row>
    <row r="225" customFormat="false" ht="15" hidden="false" customHeight="false" outlineLevel="0" collapsed="false">
      <c r="A225" s="6" t="s">
        <v>72</v>
      </c>
      <c r="B225" s="6" t="s">
        <v>379</v>
      </c>
      <c r="C225" s="6" t="n">
        <v>40</v>
      </c>
      <c r="D225" s="25" t="n">
        <f aca="false">EDATE('Start Here'!$B$6,C225-1)</f>
        <v>47515</v>
      </c>
      <c r="E225" s="23" t="n">
        <f aca="false">IF(AND(OR(Nonlabor!$D$9="Both",Nonlabor!$D$9='Start Here'!$B$9),IF(Nonlabor!$E$9="Core",1,IF(Nonlabor!$E$9="AI",'Start Here'!$B$7,'Start Here'!$B$8))=1,C225&gt;=IF(Nonlabor!$E$9="Core",Nonlabor!$F$9,MAX(Nonlabor!$F$9,IF(Nonlabor!$E$9="AI",Assumptions!$C$24,Assumptions!$C$25))),C225&lt;=Nonlabor!$G$9,OR(Nonlabor!$H$9="Monthly",AND(Nonlabor!$H$9="Once",C225=IF(Nonlabor!$E$9="Core",Nonlabor!$F$9,MAX(Nonlabor!$F$9,IF(Nonlabor!$E$9="AI",Assumptions!$C$24,Assumptions!$C$25)))),AND(Nonlabor!$H$9="Annual",MOD(C225-IF(Nonlabor!$E$9="Core",Nonlabor!$F$9,MAX(Nonlabor!$F$9,IF(Nonlabor!$E$9="AI",Assumptions!$C$24,Assumptions!$C$25))),12)=0))),IF(Nonlabor!$I$9="Fixed",1,IF(Nonlabor!$I$9="Seats",ROUNDUP('Monthly Lean'!I45,0),IF(Nonlabor!$I$9="Customers",'Monthly Lean'!D45,IF(Nonlabor!$I$9="NewCustomers",'Monthly Lean'!C45,IF(Nonlabor!$I$9="StorageGB",'Monthly Lean'!G45,IF(Nonlabor!$I$9="LogGB",'Monthly Lean'!H45,IF(Nonlabor!$I$9="RequestsM",'Monthly Lean'!F45,IF(Nonlabor!$I$9="InputM",'Monthly Lean'!D45*Assumptions!$C$22/1000000,IF(Nonlabor!$I$9="OutputM",'Monthly Lean'!D45*Assumptions!$C$23/1000000,0))))))))),0)</f>
        <v>1</v>
      </c>
      <c r="F225" s="10" t="n">
        <f aca="false">Nonlabor!$J$9*(1+Assumptions!$C$9)^INT((C225-1)/12)</f>
        <v>273.18175</v>
      </c>
      <c r="G225" s="10" t="n">
        <f aca="false">E225*F225</f>
        <v>273.18175</v>
      </c>
      <c r="H225" s="10" t="n">
        <f aca="false">IF(OR(Nonlabor!$L$9="Quote required",Nonlabor!$L$9="Unverified"),G225,0)</f>
        <v>273.18175</v>
      </c>
      <c r="I225" s="10" t="n">
        <f aca="false">IF(Nonlabor!$E$9="Core",0,G225)</f>
        <v>0</v>
      </c>
      <c r="J225" s="23" t="str">
        <f aca="false">Nonlabor!$B$9</f>
        <v>INFRA</v>
      </c>
    </row>
    <row r="226" customFormat="false" ht="15" hidden="false" customHeight="false" outlineLevel="0" collapsed="false">
      <c r="A226" s="6" t="s">
        <v>72</v>
      </c>
      <c r="B226" s="6" t="s">
        <v>379</v>
      </c>
      <c r="C226" s="6" t="n">
        <v>41</v>
      </c>
      <c r="D226" s="25" t="n">
        <f aca="false">EDATE('Start Here'!$B$6,C226-1)</f>
        <v>47543</v>
      </c>
      <c r="E226" s="23" t="n">
        <f aca="false">IF(AND(OR(Nonlabor!$D$9="Both",Nonlabor!$D$9='Start Here'!$B$9),IF(Nonlabor!$E$9="Core",1,IF(Nonlabor!$E$9="AI",'Start Here'!$B$7,'Start Here'!$B$8))=1,C226&gt;=IF(Nonlabor!$E$9="Core",Nonlabor!$F$9,MAX(Nonlabor!$F$9,IF(Nonlabor!$E$9="AI",Assumptions!$C$24,Assumptions!$C$25))),C226&lt;=Nonlabor!$G$9,OR(Nonlabor!$H$9="Monthly",AND(Nonlabor!$H$9="Once",C226=IF(Nonlabor!$E$9="Core",Nonlabor!$F$9,MAX(Nonlabor!$F$9,IF(Nonlabor!$E$9="AI",Assumptions!$C$24,Assumptions!$C$25)))),AND(Nonlabor!$H$9="Annual",MOD(C226-IF(Nonlabor!$E$9="Core",Nonlabor!$F$9,MAX(Nonlabor!$F$9,IF(Nonlabor!$E$9="AI",Assumptions!$C$24,Assumptions!$C$25))),12)=0))),IF(Nonlabor!$I$9="Fixed",1,IF(Nonlabor!$I$9="Seats",ROUNDUP('Monthly Lean'!I46,0),IF(Nonlabor!$I$9="Customers",'Monthly Lean'!D46,IF(Nonlabor!$I$9="NewCustomers",'Monthly Lean'!C46,IF(Nonlabor!$I$9="StorageGB",'Monthly Lean'!G46,IF(Nonlabor!$I$9="LogGB",'Monthly Lean'!H46,IF(Nonlabor!$I$9="RequestsM",'Monthly Lean'!F46,IF(Nonlabor!$I$9="InputM",'Monthly Lean'!D46*Assumptions!$C$22/1000000,IF(Nonlabor!$I$9="OutputM",'Monthly Lean'!D46*Assumptions!$C$23/1000000,0))))))))),0)</f>
        <v>1</v>
      </c>
      <c r="F226" s="10" t="n">
        <f aca="false">Nonlabor!$J$9*(1+Assumptions!$C$9)^INT((C226-1)/12)</f>
        <v>273.18175</v>
      </c>
      <c r="G226" s="10" t="n">
        <f aca="false">E226*F226</f>
        <v>273.18175</v>
      </c>
      <c r="H226" s="10" t="n">
        <f aca="false">IF(OR(Nonlabor!$L$9="Quote required",Nonlabor!$L$9="Unverified"),G226,0)</f>
        <v>273.18175</v>
      </c>
      <c r="I226" s="10" t="n">
        <f aca="false">IF(Nonlabor!$E$9="Core",0,G226)</f>
        <v>0</v>
      </c>
      <c r="J226" s="23" t="str">
        <f aca="false">Nonlabor!$B$9</f>
        <v>INFRA</v>
      </c>
    </row>
    <row r="227" customFormat="false" ht="15" hidden="false" customHeight="false" outlineLevel="0" collapsed="false">
      <c r="A227" s="6" t="s">
        <v>72</v>
      </c>
      <c r="B227" s="6" t="s">
        <v>379</v>
      </c>
      <c r="C227" s="6" t="n">
        <v>42</v>
      </c>
      <c r="D227" s="25" t="n">
        <f aca="false">EDATE('Start Here'!$B$6,C227-1)</f>
        <v>47574</v>
      </c>
      <c r="E227" s="23" t="n">
        <f aca="false">IF(AND(OR(Nonlabor!$D$9="Both",Nonlabor!$D$9='Start Here'!$B$9),IF(Nonlabor!$E$9="Core",1,IF(Nonlabor!$E$9="AI",'Start Here'!$B$7,'Start Here'!$B$8))=1,C227&gt;=IF(Nonlabor!$E$9="Core",Nonlabor!$F$9,MAX(Nonlabor!$F$9,IF(Nonlabor!$E$9="AI",Assumptions!$C$24,Assumptions!$C$25))),C227&lt;=Nonlabor!$G$9,OR(Nonlabor!$H$9="Monthly",AND(Nonlabor!$H$9="Once",C227=IF(Nonlabor!$E$9="Core",Nonlabor!$F$9,MAX(Nonlabor!$F$9,IF(Nonlabor!$E$9="AI",Assumptions!$C$24,Assumptions!$C$25)))),AND(Nonlabor!$H$9="Annual",MOD(C227-IF(Nonlabor!$E$9="Core",Nonlabor!$F$9,MAX(Nonlabor!$F$9,IF(Nonlabor!$E$9="AI",Assumptions!$C$24,Assumptions!$C$25))),12)=0))),IF(Nonlabor!$I$9="Fixed",1,IF(Nonlabor!$I$9="Seats",ROUNDUP('Monthly Lean'!I47,0),IF(Nonlabor!$I$9="Customers",'Monthly Lean'!D47,IF(Nonlabor!$I$9="NewCustomers",'Monthly Lean'!C47,IF(Nonlabor!$I$9="StorageGB",'Monthly Lean'!G47,IF(Nonlabor!$I$9="LogGB",'Monthly Lean'!H47,IF(Nonlabor!$I$9="RequestsM",'Monthly Lean'!F47,IF(Nonlabor!$I$9="InputM",'Monthly Lean'!D47*Assumptions!$C$22/1000000,IF(Nonlabor!$I$9="OutputM",'Monthly Lean'!D47*Assumptions!$C$23/1000000,0))))))))),0)</f>
        <v>1</v>
      </c>
      <c r="F227" s="10" t="n">
        <f aca="false">Nonlabor!$J$9*(1+Assumptions!$C$9)^INT((C227-1)/12)</f>
        <v>273.18175</v>
      </c>
      <c r="G227" s="10" t="n">
        <f aca="false">E227*F227</f>
        <v>273.18175</v>
      </c>
      <c r="H227" s="10" t="n">
        <f aca="false">IF(OR(Nonlabor!$L$9="Quote required",Nonlabor!$L$9="Unverified"),G227,0)</f>
        <v>273.18175</v>
      </c>
      <c r="I227" s="10" t="n">
        <f aca="false">IF(Nonlabor!$E$9="Core",0,G227)</f>
        <v>0</v>
      </c>
      <c r="J227" s="23" t="str">
        <f aca="false">Nonlabor!$B$9</f>
        <v>INFRA</v>
      </c>
    </row>
    <row r="228" customFormat="false" ht="15" hidden="false" customHeight="false" outlineLevel="0" collapsed="false">
      <c r="A228" s="6" t="s">
        <v>72</v>
      </c>
      <c r="B228" s="6" t="s">
        <v>379</v>
      </c>
      <c r="C228" s="6" t="n">
        <v>43</v>
      </c>
      <c r="D228" s="25" t="n">
        <f aca="false">EDATE('Start Here'!$B$6,C228-1)</f>
        <v>47604</v>
      </c>
      <c r="E228" s="23" t="n">
        <f aca="false">IF(AND(OR(Nonlabor!$D$9="Both",Nonlabor!$D$9='Start Here'!$B$9),IF(Nonlabor!$E$9="Core",1,IF(Nonlabor!$E$9="AI",'Start Here'!$B$7,'Start Here'!$B$8))=1,C228&gt;=IF(Nonlabor!$E$9="Core",Nonlabor!$F$9,MAX(Nonlabor!$F$9,IF(Nonlabor!$E$9="AI",Assumptions!$C$24,Assumptions!$C$25))),C228&lt;=Nonlabor!$G$9,OR(Nonlabor!$H$9="Monthly",AND(Nonlabor!$H$9="Once",C228=IF(Nonlabor!$E$9="Core",Nonlabor!$F$9,MAX(Nonlabor!$F$9,IF(Nonlabor!$E$9="AI",Assumptions!$C$24,Assumptions!$C$25)))),AND(Nonlabor!$H$9="Annual",MOD(C228-IF(Nonlabor!$E$9="Core",Nonlabor!$F$9,MAX(Nonlabor!$F$9,IF(Nonlabor!$E$9="AI",Assumptions!$C$24,Assumptions!$C$25))),12)=0))),IF(Nonlabor!$I$9="Fixed",1,IF(Nonlabor!$I$9="Seats",ROUNDUP('Monthly Lean'!I48,0),IF(Nonlabor!$I$9="Customers",'Monthly Lean'!D48,IF(Nonlabor!$I$9="NewCustomers",'Monthly Lean'!C48,IF(Nonlabor!$I$9="StorageGB",'Monthly Lean'!G48,IF(Nonlabor!$I$9="LogGB",'Monthly Lean'!H48,IF(Nonlabor!$I$9="RequestsM",'Monthly Lean'!F48,IF(Nonlabor!$I$9="InputM",'Monthly Lean'!D48*Assumptions!$C$22/1000000,IF(Nonlabor!$I$9="OutputM",'Monthly Lean'!D48*Assumptions!$C$23/1000000,0))))))))),0)</f>
        <v>1</v>
      </c>
      <c r="F228" s="10" t="n">
        <f aca="false">Nonlabor!$J$9*(1+Assumptions!$C$9)^INT((C228-1)/12)</f>
        <v>273.18175</v>
      </c>
      <c r="G228" s="10" t="n">
        <f aca="false">E228*F228</f>
        <v>273.18175</v>
      </c>
      <c r="H228" s="10" t="n">
        <f aca="false">IF(OR(Nonlabor!$L$9="Quote required",Nonlabor!$L$9="Unverified"),G228,0)</f>
        <v>273.18175</v>
      </c>
      <c r="I228" s="10" t="n">
        <f aca="false">IF(Nonlabor!$E$9="Core",0,G228)</f>
        <v>0</v>
      </c>
      <c r="J228" s="23" t="str">
        <f aca="false">Nonlabor!$B$9</f>
        <v>INFRA</v>
      </c>
    </row>
    <row r="229" customFormat="false" ht="15" hidden="false" customHeight="false" outlineLevel="0" collapsed="false">
      <c r="A229" s="6" t="s">
        <v>72</v>
      </c>
      <c r="B229" s="6" t="s">
        <v>379</v>
      </c>
      <c r="C229" s="6" t="n">
        <v>44</v>
      </c>
      <c r="D229" s="25" t="n">
        <f aca="false">EDATE('Start Here'!$B$6,C229-1)</f>
        <v>47635</v>
      </c>
      <c r="E229" s="23" t="n">
        <f aca="false">IF(AND(OR(Nonlabor!$D$9="Both",Nonlabor!$D$9='Start Here'!$B$9),IF(Nonlabor!$E$9="Core",1,IF(Nonlabor!$E$9="AI",'Start Here'!$B$7,'Start Here'!$B$8))=1,C229&gt;=IF(Nonlabor!$E$9="Core",Nonlabor!$F$9,MAX(Nonlabor!$F$9,IF(Nonlabor!$E$9="AI",Assumptions!$C$24,Assumptions!$C$25))),C229&lt;=Nonlabor!$G$9,OR(Nonlabor!$H$9="Monthly",AND(Nonlabor!$H$9="Once",C229=IF(Nonlabor!$E$9="Core",Nonlabor!$F$9,MAX(Nonlabor!$F$9,IF(Nonlabor!$E$9="AI",Assumptions!$C$24,Assumptions!$C$25)))),AND(Nonlabor!$H$9="Annual",MOD(C229-IF(Nonlabor!$E$9="Core",Nonlabor!$F$9,MAX(Nonlabor!$F$9,IF(Nonlabor!$E$9="AI",Assumptions!$C$24,Assumptions!$C$25))),12)=0))),IF(Nonlabor!$I$9="Fixed",1,IF(Nonlabor!$I$9="Seats",ROUNDUP('Monthly Lean'!I49,0),IF(Nonlabor!$I$9="Customers",'Monthly Lean'!D49,IF(Nonlabor!$I$9="NewCustomers",'Monthly Lean'!C49,IF(Nonlabor!$I$9="StorageGB",'Monthly Lean'!G49,IF(Nonlabor!$I$9="LogGB",'Monthly Lean'!H49,IF(Nonlabor!$I$9="RequestsM",'Monthly Lean'!F49,IF(Nonlabor!$I$9="InputM",'Monthly Lean'!D49*Assumptions!$C$22/1000000,IF(Nonlabor!$I$9="OutputM",'Monthly Lean'!D49*Assumptions!$C$23/1000000,0))))))))),0)</f>
        <v>1</v>
      </c>
      <c r="F229" s="10" t="n">
        <f aca="false">Nonlabor!$J$9*(1+Assumptions!$C$9)^INT((C229-1)/12)</f>
        <v>273.18175</v>
      </c>
      <c r="G229" s="10" t="n">
        <f aca="false">E229*F229</f>
        <v>273.18175</v>
      </c>
      <c r="H229" s="10" t="n">
        <f aca="false">IF(OR(Nonlabor!$L$9="Quote required",Nonlabor!$L$9="Unverified"),G229,0)</f>
        <v>273.18175</v>
      </c>
      <c r="I229" s="10" t="n">
        <f aca="false">IF(Nonlabor!$E$9="Core",0,G229)</f>
        <v>0</v>
      </c>
      <c r="J229" s="23" t="str">
        <f aca="false">Nonlabor!$B$9</f>
        <v>INFRA</v>
      </c>
    </row>
    <row r="230" customFormat="false" ht="15" hidden="false" customHeight="false" outlineLevel="0" collapsed="false">
      <c r="A230" s="6" t="s">
        <v>72</v>
      </c>
      <c r="B230" s="6" t="s">
        <v>379</v>
      </c>
      <c r="C230" s="6" t="n">
        <v>45</v>
      </c>
      <c r="D230" s="25" t="n">
        <f aca="false">EDATE('Start Here'!$B$6,C230-1)</f>
        <v>47665</v>
      </c>
      <c r="E230" s="23" t="n">
        <f aca="false">IF(AND(OR(Nonlabor!$D$9="Both",Nonlabor!$D$9='Start Here'!$B$9),IF(Nonlabor!$E$9="Core",1,IF(Nonlabor!$E$9="AI",'Start Here'!$B$7,'Start Here'!$B$8))=1,C230&gt;=IF(Nonlabor!$E$9="Core",Nonlabor!$F$9,MAX(Nonlabor!$F$9,IF(Nonlabor!$E$9="AI",Assumptions!$C$24,Assumptions!$C$25))),C230&lt;=Nonlabor!$G$9,OR(Nonlabor!$H$9="Monthly",AND(Nonlabor!$H$9="Once",C230=IF(Nonlabor!$E$9="Core",Nonlabor!$F$9,MAX(Nonlabor!$F$9,IF(Nonlabor!$E$9="AI",Assumptions!$C$24,Assumptions!$C$25)))),AND(Nonlabor!$H$9="Annual",MOD(C230-IF(Nonlabor!$E$9="Core",Nonlabor!$F$9,MAX(Nonlabor!$F$9,IF(Nonlabor!$E$9="AI",Assumptions!$C$24,Assumptions!$C$25))),12)=0))),IF(Nonlabor!$I$9="Fixed",1,IF(Nonlabor!$I$9="Seats",ROUNDUP('Monthly Lean'!I50,0),IF(Nonlabor!$I$9="Customers",'Monthly Lean'!D50,IF(Nonlabor!$I$9="NewCustomers",'Monthly Lean'!C50,IF(Nonlabor!$I$9="StorageGB",'Monthly Lean'!G50,IF(Nonlabor!$I$9="LogGB",'Monthly Lean'!H50,IF(Nonlabor!$I$9="RequestsM",'Monthly Lean'!F50,IF(Nonlabor!$I$9="InputM",'Monthly Lean'!D50*Assumptions!$C$22/1000000,IF(Nonlabor!$I$9="OutputM",'Monthly Lean'!D50*Assumptions!$C$23/1000000,0))))))))),0)</f>
        <v>1</v>
      </c>
      <c r="F230" s="10" t="n">
        <f aca="false">Nonlabor!$J$9*(1+Assumptions!$C$9)^INT((C230-1)/12)</f>
        <v>273.18175</v>
      </c>
      <c r="G230" s="10" t="n">
        <f aca="false">E230*F230</f>
        <v>273.18175</v>
      </c>
      <c r="H230" s="10" t="n">
        <f aca="false">IF(OR(Nonlabor!$L$9="Quote required",Nonlabor!$L$9="Unverified"),G230,0)</f>
        <v>273.18175</v>
      </c>
      <c r="I230" s="10" t="n">
        <f aca="false">IF(Nonlabor!$E$9="Core",0,G230)</f>
        <v>0</v>
      </c>
      <c r="J230" s="23" t="str">
        <f aca="false">Nonlabor!$B$9</f>
        <v>INFRA</v>
      </c>
    </row>
    <row r="231" customFormat="false" ht="15" hidden="false" customHeight="false" outlineLevel="0" collapsed="false">
      <c r="A231" s="6" t="s">
        <v>72</v>
      </c>
      <c r="B231" s="6" t="s">
        <v>379</v>
      </c>
      <c r="C231" s="6" t="n">
        <v>46</v>
      </c>
      <c r="D231" s="25" t="n">
        <f aca="false">EDATE('Start Here'!$B$6,C231-1)</f>
        <v>47696</v>
      </c>
      <c r="E231" s="23" t="n">
        <f aca="false">IF(AND(OR(Nonlabor!$D$9="Both",Nonlabor!$D$9='Start Here'!$B$9),IF(Nonlabor!$E$9="Core",1,IF(Nonlabor!$E$9="AI",'Start Here'!$B$7,'Start Here'!$B$8))=1,C231&gt;=IF(Nonlabor!$E$9="Core",Nonlabor!$F$9,MAX(Nonlabor!$F$9,IF(Nonlabor!$E$9="AI",Assumptions!$C$24,Assumptions!$C$25))),C231&lt;=Nonlabor!$G$9,OR(Nonlabor!$H$9="Monthly",AND(Nonlabor!$H$9="Once",C231=IF(Nonlabor!$E$9="Core",Nonlabor!$F$9,MAX(Nonlabor!$F$9,IF(Nonlabor!$E$9="AI",Assumptions!$C$24,Assumptions!$C$25)))),AND(Nonlabor!$H$9="Annual",MOD(C231-IF(Nonlabor!$E$9="Core",Nonlabor!$F$9,MAX(Nonlabor!$F$9,IF(Nonlabor!$E$9="AI",Assumptions!$C$24,Assumptions!$C$25))),12)=0))),IF(Nonlabor!$I$9="Fixed",1,IF(Nonlabor!$I$9="Seats",ROUNDUP('Monthly Lean'!I51,0),IF(Nonlabor!$I$9="Customers",'Monthly Lean'!D51,IF(Nonlabor!$I$9="NewCustomers",'Monthly Lean'!C51,IF(Nonlabor!$I$9="StorageGB",'Monthly Lean'!G51,IF(Nonlabor!$I$9="LogGB",'Monthly Lean'!H51,IF(Nonlabor!$I$9="RequestsM",'Monthly Lean'!F51,IF(Nonlabor!$I$9="InputM",'Monthly Lean'!D51*Assumptions!$C$22/1000000,IF(Nonlabor!$I$9="OutputM",'Monthly Lean'!D51*Assumptions!$C$23/1000000,0))))))))),0)</f>
        <v>1</v>
      </c>
      <c r="F231" s="10" t="n">
        <f aca="false">Nonlabor!$J$9*(1+Assumptions!$C$9)^INT((C231-1)/12)</f>
        <v>273.18175</v>
      </c>
      <c r="G231" s="10" t="n">
        <f aca="false">E231*F231</f>
        <v>273.18175</v>
      </c>
      <c r="H231" s="10" t="n">
        <f aca="false">IF(OR(Nonlabor!$L$9="Quote required",Nonlabor!$L$9="Unverified"),G231,0)</f>
        <v>273.18175</v>
      </c>
      <c r="I231" s="10" t="n">
        <f aca="false">IF(Nonlabor!$E$9="Core",0,G231)</f>
        <v>0</v>
      </c>
      <c r="J231" s="23" t="str">
        <f aca="false">Nonlabor!$B$9</f>
        <v>INFRA</v>
      </c>
    </row>
    <row r="232" customFormat="false" ht="15" hidden="false" customHeight="false" outlineLevel="0" collapsed="false">
      <c r="A232" s="6" t="s">
        <v>72</v>
      </c>
      <c r="B232" s="6" t="s">
        <v>379</v>
      </c>
      <c r="C232" s="6" t="n">
        <v>47</v>
      </c>
      <c r="D232" s="25" t="n">
        <f aca="false">EDATE('Start Here'!$B$6,C232-1)</f>
        <v>47727</v>
      </c>
      <c r="E232" s="23" t="n">
        <f aca="false">IF(AND(OR(Nonlabor!$D$9="Both",Nonlabor!$D$9='Start Here'!$B$9),IF(Nonlabor!$E$9="Core",1,IF(Nonlabor!$E$9="AI",'Start Here'!$B$7,'Start Here'!$B$8))=1,C232&gt;=IF(Nonlabor!$E$9="Core",Nonlabor!$F$9,MAX(Nonlabor!$F$9,IF(Nonlabor!$E$9="AI",Assumptions!$C$24,Assumptions!$C$25))),C232&lt;=Nonlabor!$G$9,OR(Nonlabor!$H$9="Monthly",AND(Nonlabor!$H$9="Once",C232=IF(Nonlabor!$E$9="Core",Nonlabor!$F$9,MAX(Nonlabor!$F$9,IF(Nonlabor!$E$9="AI",Assumptions!$C$24,Assumptions!$C$25)))),AND(Nonlabor!$H$9="Annual",MOD(C232-IF(Nonlabor!$E$9="Core",Nonlabor!$F$9,MAX(Nonlabor!$F$9,IF(Nonlabor!$E$9="AI",Assumptions!$C$24,Assumptions!$C$25))),12)=0))),IF(Nonlabor!$I$9="Fixed",1,IF(Nonlabor!$I$9="Seats",ROUNDUP('Monthly Lean'!I52,0),IF(Nonlabor!$I$9="Customers",'Monthly Lean'!D52,IF(Nonlabor!$I$9="NewCustomers",'Monthly Lean'!C52,IF(Nonlabor!$I$9="StorageGB",'Monthly Lean'!G52,IF(Nonlabor!$I$9="LogGB",'Monthly Lean'!H52,IF(Nonlabor!$I$9="RequestsM",'Monthly Lean'!F52,IF(Nonlabor!$I$9="InputM",'Monthly Lean'!D52*Assumptions!$C$22/1000000,IF(Nonlabor!$I$9="OutputM",'Monthly Lean'!D52*Assumptions!$C$23/1000000,0))))))))),0)</f>
        <v>1</v>
      </c>
      <c r="F232" s="10" t="n">
        <f aca="false">Nonlabor!$J$9*(1+Assumptions!$C$9)^INT((C232-1)/12)</f>
        <v>273.18175</v>
      </c>
      <c r="G232" s="10" t="n">
        <f aca="false">E232*F232</f>
        <v>273.18175</v>
      </c>
      <c r="H232" s="10" t="n">
        <f aca="false">IF(OR(Nonlabor!$L$9="Quote required",Nonlabor!$L$9="Unverified"),G232,0)</f>
        <v>273.18175</v>
      </c>
      <c r="I232" s="10" t="n">
        <f aca="false">IF(Nonlabor!$E$9="Core",0,G232)</f>
        <v>0</v>
      </c>
      <c r="J232" s="23" t="str">
        <f aca="false">Nonlabor!$B$9</f>
        <v>INFRA</v>
      </c>
    </row>
    <row r="233" customFormat="false" ht="15" hidden="false" customHeight="false" outlineLevel="0" collapsed="false">
      <c r="A233" s="6" t="s">
        <v>72</v>
      </c>
      <c r="B233" s="6" t="s">
        <v>379</v>
      </c>
      <c r="C233" s="6" t="n">
        <v>48</v>
      </c>
      <c r="D233" s="25" t="n">
        <f aca="false">EDATE('Start Here'!$B$6,C233-1)</f>
        <v>47757</v>
      </c>
      <c r="E233" s="23" t="n">
        <f aca="false">IF(AND(OR(Nonlabor!$D$9="Both",Nonlabor!$D$9='Start Here'!$B$9),IF(Nonlabor!$E$9="Core",1,IF(Nonlabor!$E$9="AI",'Start Here'!$B$7,'Start Here'!$B$8))=1,C233&gt;=IF(Nonlabor!$E$9="Core",Nonlabor!$F$9,MAX(Nonlabor!$F$9,IF(Nonlabor!$E$9="AI",Assumptions!$C$24,Assumptions!$C$25))),C233&lt;=Nonlabor!$G$9,OR(Nonlabor!$H$9="Monthly",AND(Nonlabor!$H$9="Once",C233=IF(Nonlabor!$E$9="Core",Nonlabor!$F$9,MAX(Nonlabor!$F$9,IF(Nonlabor!$E$9="AI",Assumptions!$C$24,Assumptions!$C$25)))),AND(Nonlabor!$H$9="Annual",MOD(C233-IF(Nonlabor!$E$9="Core",Nonlabor!$F$9,MAX(Nonlabor!$F$9,IF(Nonlabor!$E$9="AI",Assumptions!$C$24,Assumptions!$C$25))),12)=0))),IF(Nonlabor!$I$9="Fixed",1,IF(Nonlabor!$I$9="Seats",ROUNDUP('Monthly Lean'!I53,0),IF(Nonlabor!$I$9="Customers",'Monthly Lean'!D53,IF(Nonlabor!$I$9="NewCustomers",'Monthly Lean'!C53,IF(Nonlabor!$I$9="StorageGB",'Monthly Lean'!G53,IF(Nonlabor!$I$9="LogGB",'Monthly Lean'!H53,IF(Nonlabor!$I$9="RequestsM",'Monthly Lean'!F53,IF(Nonlabor!$I$9="InputM",'Monthly Lean'!D53*Assumptions!$C$22/1000000,IF(Nonlabor!$I$9="OutputM",'Monthly Lean'!D53*Assumptions!$C$23/1000000,0))))))))),0)</f>
        <v>1</v>
      </c>
      <c r="F233" s="10" t="n">
        <f aca="false">Nonlabor!$J$9*(1+Assumptions!$C$9)^INT((C233-1)/12)</f>
        <v>273.18175</v>
      </c>
      <c r="G233" s="10" t="n">
        <f aca="false">E233*F233</f>
        <v>273.18175</v>
      </c>
      <c r="H233" s="10" t="n">
        <f aca="false">IF(OR(Nonlabor!$L$9="Quote required",Nonlabor!$L$9="Unverified"),G233,0)</f>
        <v>273.18175</v>
      </c>
      <c r="I233" s="10" t="n">
        <f aca="false">IF(Nonlabor!$E$9="Core",0,G233)</f>
        <v>0</v>
      </c>
      <c r="J233" s="23" t="str">
        <f aca="false">Nonlabor!$B$9</f>
        <v>INFRA</v>
      </c>
    </row>
    <row r="234" customFormat="false" ht="15" hidden="false" customHeight="false" outlineLevel="0" collapsed="false">
      <c r="A234" s="6" t="s">
        <v>72</v>
      </c>
      <c r="B234" s="6" t="s">
        <v>379</v>
      </c>
      <c r="C234" s="6" t="n">
        <v>49</v>
      </c>
      <c r="D234" s="25" t="n">
        <f aca="false">EDATE('Start Here'!$B$6,C234-1)</f>
        <v>47788</v>
      </c>
      <c r="E234" s="23" t="n">
        <f aca="false">IF(AND(OR(Nonlabor!$D$9="Both",Nonlabor!$D$9='Start Here'!$B$9),IF(Nonlabor!$E$9="Core",1,IF(Nonlabor!$E$9="AI",'Start Here'!$B$7,'Start Here'!$B$8))=1,C234&gt;=IF(Nonlabor!$E$9="Core",Nonlabor!$F$9,MAX(Nonlabor!$F$9,IF(Nonlabor!$E$9="AI",Assumptions!$C$24,Assumptions!$C$25))),C234&lt;=Nonlabor!$G$9,OR(Nonlabor!$H$9="Monthly",AND(Nonlabor!$H$9="Once",C234=IF(Nonlabor!$E$9="Core",Nonlabor!$F$9,MAX(Nonlabor!$F$9,IF(Nonlabor!$E$9="AI",Assumptions!$C$24,Assumptions!$C$25)))),AND(Nonlabor!$H$9="Annual",MOD(C234-IF(Nonlabor!$E$9="Core",Nonlabor!$F$9,MAX(Nonlabor!$F$9,IF(Nonlabor!$E$9="AI",Assumptions!$C$24,Assumptions!$C$25))),12)=0))),IF(Nonlabor!$I$9="Fixed",1,IF(Nonlabor!$I$9="Seats",ROUNDUP('Monthly Lean'!I54,0),IF(Nonlabor!$I$9="Customers",'Monthly Lean'!D54,IF(Nonlabor!$I$9="NewCustomers",'Monthly Lean'!C54,IF(Nonlabor!$I$9="StorageGB",'Monthly Lean'!G54,IF(Nonlabor!$I$9="LogGB",'Monthly Lean'!H54,IF(Nonlabor!$I$9="RequestsM",'Monthly Lean'!F54,IF(Nonlabor!$I$9="InputM",'Monthly Lean'!D54*Assumptions!$C$22/1000000,IF(Nonlabor!$I$9="OutputM",'Monthly Lean'!D54*Assumptions!$C$23/1000000,0))))))))),0)</f>
        <v>1</v>
      </c>
      <c r="F234" s="10" t="n">
        <f aca="false">Nonlabor!$J$9*(1+Assumptions!$C$9)^INT((C234-1)/12)</f>
        <v>281.3772025</v>
      </c>
      <c r="G234" s="10" t="n">
        <f aca="false">E234*F234</f>
        <v>281.3772025</v>
      </c>
      <c r="H234" s="10" t="n">
        <f aca="false">IF(OR(Nonlabor!$L$9="Quote required",Nonlabor!$L$9="Unverified"),G234,0)</f>
        <v>281.3772025</v>
      </c>
      <c r="I234" s="10" t="n">
        <f aca="false">IF(Nonlabor!$E$9="Core",0,G234)</f>
        <v>0</v>
      </c>
      <c r="J234" s="23" t="str">
        <f aca="false">Nonlabor!$B$9</f>
        <v>INFRA</v>
      </c>
    </row>
    <row r="235" customFormat="false" ht="15" hidden="false" customHeight="false" outlineLevel="0" collapsed="false">
      <c r="A235" s="6" t="s">
        <v>72</v>
      </c>
      <c r="B235" s="6" t="s">
        <v>379</v>
      </c>
      <c r="C235" s="6" t="n">
        <v>50</v>
      </c>
      <c r="D235" s="25" t="n">
        <f aca="false">EDATE('Start Here'!$B$6,C235-1)</f>
        <v>47818</v>
      </c>
      <c r="E235" s="23" t="n">
        <f aca="false">IF(AND(OR(Nonlabor!$D$9="Both",Nonlabor!$D$9='Start Here'!$B$9),IF(Nonlabor!$E$9="Core",1,IF(Nonlabor!$E$9="AI",'Start Here'!$B$7,'Start Here'!$B$8))=1,C235&gt;=IF(Nonlabor!$E$9="Core",Nonlabor!$F$9,MAX(Nonlabor!$F$9,IF(Nonlabor!$E$9="AI",Assumptions!$C$24,Assumptions!$C$25))),C235&lt;=Nonlabor!$G$9,OR(Nonlabor!$H$9="Monthly",AND(Nonlabor!$H$9="Once",C235=IF(Nonlabor!$E$9="Core",Nonlabor!$F$9,MAX(Nonlabor!$F$9,IF(Nonlabor!$E$9="AI",Assumptions!$C$24,Assumptions!$C$25)))),AND(Nonlabor!$H$9="Annual",MOD(C235-IF(Nonlabor!$E$9="Core",Nonlabor!$F$9,MAX(Nonlabor!$F$9,IF(Nonlabor!$E$9="AI",Assumptions!$C$24,Assumptions!$C$25))),12)=0))),IF(Nonlabor!$I$9="Fixed",1,IF(Nonlabor!$I$9="Seats",ROUNDUP('Monthly Lean'!I55,0),IF(Nonlabor!$I$9="Customers",'Monthly Lean'!D55,IF(Nonlabor!$I$9="NewCustomers",'Monthly Lean'!C55,IF(Nonlabor!$I$9="StorageGB",'Monthly Lean'!G55,IF(Nonlabor!$I$9="LogGB",'Monthly Lean'!H55,IF(Nonlabor!$I$9="RequestsM",'Monthly Lean'!F55,IF(Nonlabor!$I$9="InputM",'Monthly Lean'!D55*Assumptions!$C$22/1000000,IF(Nonlabor!$I$9="OutputM",'Monthly Lean'!D55*Assumptions!$C$23/1000000,0))))))))),0)</f>
        <v>1</v>
      </c>
      <c r="F235" s="10" t="n">
        <f aca="false">Nonlabor!$J$9*(1+Assumptions!$C$9)^INT((C235-1)/12)</f>
        <v>281.3772025</v>
      </c>
      <c r="G235" s="10" t="n">
        <f aca="false">E235*F235</f>
        <v>281.3772025</v>
      </c>
      <c r="H235" s="10" t="n">
        <f aca="false">IF(OR(Nonlabor!$L$9="Quote required",Nonlabor!$L$9="Unverified"),G235,0)</f>
        <v>281.3772025</v>
      </c>
      <c r="I235" s="10" t="n">
        <f aca="false">IF(Nonlabor!$E$9="Core",0,G235)</f>
        <v>0</v>
      </c>
      <c r="J235" s="23" t="str">
        <f aca="false">Nonlabor!$B$9</f>
        <v>INFRA</v>
      </c>
    </row>
    <row r="236" customFormat="false" ht="15" hidden="false" customHeight="false" outlineLevel="0" collapsed="false">
      <c r="A236" s="6" t="s">
        <v>72</v>
      </c>
      <c r="B236" s="6" t="s">
        <v>379</v>
      </c>
      <c r="C236" s="6" t="n">
        <v>51</v>
      </c>
      <c r="D236" s="25" t="n">
        <f aca="false">EDATE('Start Here'!$B$6,C236-1)</f>
        <v>47849</v>
      </c>
      <c r="E236" s="23" t="n">
        <f aca="false">IF(AND(OR(Nonlabor!$D$9="Both",Nonlabor!$D$9='Start Here'!$B$9),IF(Nonlabor!$E$9="Core",1,IF(Nonlabor!$E$9="AI",'Start Here'!$B$7,'Start Here'!$B$8))=1,C236&gt;=IF(Nonlabor!$E$9="Core",Nonlabor!$F$9,MAX(Nonlabor!$F$9,IF(Nonlabor!$E$9="AI",Assumptions!$C$24,Assumptions!$C$25))),C236&lt;=Nonlabor!$G$9,OR(Nonlabor!$H$9="Monthly",AND(Nonlabor!$H$9="Once",C236=IF(Nonlabor!$E$9="Core",Nonlabor!$F$9,MAX(Nonlabor!$F$9,IF(Nonlabor!$E$9="AI",Assumptions!$C$24,Assumptions!$C$25)))),AND(Nonlabor!$H$9="Annual",MOD(C236-IF(Nonlabor!$E$9="Core",Nonlabor!$F$9,MAX(Nonlabor!$F$9,IF(Nonlabor!$E$9="AI",Assumptions!$C$24,Assumptions!$C$25))),12)=0))),IF(Nonlabor!$I$9="Fixed",1,IF(Nonlabor!$I$9="Seats",ROUNDUP('Monthly Lean'!I56,0),IF(Nonlabor!$I$9="Customers",'Monthly Lean'!D56,IF(Nonlabor!$I$9="NewCustomers",'Monthly Lean'!C56,IF(Nonlabor!$I$9="StorageGB",'Monthly Lean'!G56,IF(Nonlabor!$I$9="LogGB",'Monthly Lean'!H56,IF(Nonlabor!$I$9="RequestsM",'Monthly Lean'!F56,IF(Nonlabor!$I$9="InputM",'Monthly Lean'!D56*Assumptions!$C$22/1000000,IF(Nonlabor!$I$9="OutputM",'Monthly Lean'!D56*Assumptions!$C$23/1000000,0))))))))),0)</f>
        <v>1</v>
      </c>
      <c r="F236" s="10" t="n">
        <f aca="false">Nonlabor!$J$9*(1+Assumptions!$C$9)^INT((C236-1)/12)</f>
        <v>281.3772025</v>
      </c>
      <c r="G236" s="10" t="n">
        <f aca="false">E236*F236</f>
        <v>281.3772025</v>
      </c>
      <c r="H236" s="10" t="n">
        <f aca="false">IF(OR(Nonlabor!$L$9="Quote required",Nonlabor!$L$9="Unverified"),G236,0)</f>
        <v>281.3772025</v>
      </c>
      <c r="I236" s="10" t="n">
        <f aca="false">IF(Nonlabor!$E$9="Core",0,G236)</f>
        <v>0</v>
      </c>
      <c r="J236" s="23" t="str">
        <f aca="false">Nonlabor!$B$9</f>
        <v>INFRA</v>
      </c>
    </row>
    <row r="237" customFormat="false" ht="15" hidden="false" customHeight="false" outlineLevel="0" collapsed="false">
      <c r="A237" s="6" t="s">
        <v>72</v>
      </c>
      <c r="B237" s="6" t="s">
        <v>379</v>
      </c>
      <c r="C237" s="6" t="n">
        <v>52</v>
      </c>
      <c r="D237" s="25" t="n">
        <f aca="false">EDATE('Start Here'!$B$6,C237-1)</f>
        <v>47880</v>
      </c>
      <c r="E237" s="23" t="n">
        <f aca="false">IF(AND(OR(Nonlabor!$D$9="Both",Nonlabor!$D$9='Start Here'!$B$9),IF(Nonlabor!$E$9="Core",1,IF(Nonlabor!$E$9="AI",'Start Here'!$B$7,'Start Here'!$B$8))=1,C237&gt;=IF(Nonlabor!$E$9="Core",Nonlabor!$F$9,MAX(Nonlabor!$F$9,IF(Nonlabor!$E$9="AI",Assumptions!$C$24,Assumptions!$C$25))),C237&lt;=Nonlabor!$G$9,OR(Nonlabor!$H$9="Monthly",AND(Nonlabor!$H$9="Once",C237=IF(Nonlabor!$E$9="Core",Nonlabor!$F$9,MAX(Nonlabor!$F$9,IF(Nonlabor!$E$9="AI",Assumptions!$C$24,Assumptions!$C$25)))),AND(Nonlabor!$H$9="Annual",MOD(C237-IF(Nonlabor!$E$9="Core",Nonlabor!$F$9,MAX(Nonlabor!$F$9,IF(Nonlabor!$E$9="AI",Assumptions!$C$24,Assumptions!$C$25))),12)=0))),IF(Nonlabor!$I$9="Fixed",1,IF(Nonlabor!$I$9="Seats",ROUNDUP('Monthly Lean'!I57,0),IF(Nonlabor!$I$9="Customers",'Monthly Lean'!D57,IF(Nonlabor!$I$9="NewCustomers",'Monthly Lean'!C57,IF(Nonlabor!$I$9="StorageGB",'Monthly Lean'!G57,IF(Nonlabor!$I$9="LogGB",'Monthly Lean'!H57,IF(Nonlabor!$I$9="RequestsM",'Monthly Lean'!F57,IF(Nonlabor!$I$9="InputM",'Monthly Lean'!D57*Assumptions!$C$22/1000000,IF(Nonlabor!$I$9="OutputM",'Monthly Lean'!D57*Assumptions!$C$23/1000000,0))))))))),0)</f>
        <v>1</v>
      </c>
      <c r="F237" s="10" t="n">
        <f aca="false">Nonlabor!$J$9*(1+Assumptions!$C$9)^INT((C237-1)/12)</f>
        <v>281.3772025</v>
      </c>
      <c r="G237" s="10" t="n">
        <f aca="false">E237*F237</f>
        <v>281.3772025</v>
      </c>
      <c r="H237" s="10" t="n">
        <f aca="false">IF(OR(Nonlabor!$L$9="Quote required",Nonlabor!$L$9="Unverified"),G237,0)</f>
        <v>281.3772025</v>
      </c>
      <c r="I237" s="10" t="n">
        <f aca="false">IF(Nonlabor!$E$9="Core",0,G237)</f>
        <v>0</v>
      </c>
      <c r="J237" s="23" t="str">
        <f aca="false">Nonlabor!$B$9</f>
        <v>INFRA</v>
      </c>
    </row>
    <row r="238" customFormat="false" ht="15" hidden="false" customHeight="false" outlineLevel="0" collapsed="false">
      <c r="A238" s="6" t="s">
        <v>72</v>
      </c>
      <c r="B238" s="6" t="s">
        <v>379</v>
      </c>
      <c r="C238" s="6" t="n">
        <v>53</v>
      </c>
      <c r="D238" s="25" t="n">
        <f aca="false">EDATE('Start Here'!$B$6,C238-1)</f>
        <v>47908</v>
      </c>
      <c r="E238" s="23" t="n">
        <f aca="false">IF(AND(OR(Nonlabor!$D$9="Both",Nonlabor!$D$9='Start Here'!$B$9),IF(Nonlabor!$E$9="Core",1,IF(Nonlabor!$E$9="AI",'Start Here'!$B$7,'Start Here'!$B$8))=1,C238&gt;=IF(Nonlabor!$E$9="Core",Nonlabor!$F$9,MAX(Nonlabor!$F$9,IF(Nonlabor!$E$9="AI",Assumptions!$C$24,Assumptions!$C$25))),C238&lt;=Nonlabor!$G$9,OR(Nonlabor!$H$9="Monthly",AND(Nonlabor!$H$9="Once",C238=IF(Nonlabor!$E$9="Core",Nonlabor!$F$9,MAX(Nonlabor!$F$9,IF(Nonlabor!$E$9="AI",Assumptions!$C$24,Assumptions!$C$25)))),AND(Nonlabor!$H$9="Annual",MOD(C238-IF(Nonlabor!$E$9="Core",Nonlabor!$F$9,MAX(Nonlabor!$F$9,IF(Nonlabor!$E$9="AI",Assumptions!$C$24,Assumptions!$C$25))),12)=0))),IF(Nonlabor!$I$9="Fixed",1,IF(Nonlabor!$I$9="Seats",ROUNDUP('Monthly Lean'!I58,0),IF(Nonlabor!$I$9="Customers",'Monthly Lean'!D58,IF(Nonlabor!$I$9="NewCustomers",'Monthly Lean'!C58,IF(Nonlabor!$I$9="StorageGB",'Monthly Lean'!G58,IF(Nonlabor!$I$9="LogGB",'Monthly Lean'!H58,IF(Nonlabor!$I$9="RequestsM",'Monthly Lean'!F58,IF(Nonlabor!$I$9="InputM",'Monthly Lean'!D58*Assumptions!$C$22/1000000,IF(Nonlabor!$I$9="OutputM",'Monthly Lean'!D58*Assumptions!$C$23/1000000,0))))))))),0)</f>
        <v>1</v>
      </c>
      <c r="F238" s="10" t="n">
        <f aca="false">Nonlabor!$J$9*(1+Assumptions!$C$9)^INT((C238-1)/12)</f>
        <v>281.3772025</v>
      </c>
      <c r="G238" s="10" t="n">
        <f aca="false">E238*F238</f>
        <v>281.3772025</v>
      </c>
      <c r="H238" s="10" t="n">
        <f aca="false">IF(OR(Nonlabor!$L$9="Quote required",Nonlabor!$L$9="Unverified"),G238,0)</f>
        <v>281.3772025</v>
      </c>
      <c r="I238" s="10" t="n">
        <f aca="false">IF(Nonlabor!$E$9="Core",0,G238)</f>
        <v>0</v>
      </c>
      <c r="J238" s="23" t="str">
        <f aca="false">Nonlabor!$B$9</f>
        <v>INFRA</v>
      </c>
    </row>
    <row r="239" customFormat="false" ht="15" hidden="false" customHeight="false" outlineLevel="0" collapsed="false">
      <c r="A239" s="6" t="s">
        <v>72</v>
      </c>
      <c r="B239" s="6" t="s">
        <v>379</v>
      </c>
      <c r="C239" s="6" t="n">
        <v>54</v>
      </c>
      <c r="D239" s="25" t="n">
        <f aca="false">EDATE('Start Here'!$B$6,C239-1)</f>
        <v>47939</v>
      </c>
      <c r="E239" s="23" t="n">
        <f aca="false">IF(AND(OR(Nonlabor!$D$9="Both",Nonlabor!$D$9='Start Here'!$B$9),IF(Nonlabor!$E$9="Core",1,IF(Nonlabor!$E$9="AI",'Start Here'!$B$7,'Start Here'!$B$8))=1,C239&gt;=IF(Nonlabor!$E$9="Core",Nonlabor!$F$9,MAX(Nonlabor!$F$9,IF(Nonlabor!$E$9="AI",Assumptions!$C$24,Assumptions!$C$25))),C239&lt;=Nonlabor!$G$9,OR(Nonlabor!$H$9="Monthly",AND(Nonlabor!$H$9="Once",C239=IF(Nonlabor!$E$9="Core",Nonlabor!$F$9,MAX(Nonlabor!$F$9,IF(Nonlabor!$E$9="AI",Assumptions!$C$24,Assumptions!$C$25)))),AND(Nonlabor!$H$9="Annual",MOD(C239-IF(Nonlabor!$E$9="Core",Nonlabor!$F$9,MAX(Nonlabor!$F$9,IF(Nonlabor!$E$9="AI",Assumptions!$C$24,Assumptions!$C$25))),12)=0))),IF(Nonlabor!$I$9="Fixed",1,IF(Nonlabor!$I$9="Seats",ROUNDUP('Monthly Lean'!I59,0),IF(Nonlabor!$I$9="Customers",'Monthly Lean'!D59,IF(Nonlabor!$I$9="NewCustomers",'Monthly Lean'!C59,IF(Nonlabor!$I$9="StorageGB",'Monthly Lean'!G59,IF(Nonlabor!$I$9="LogGB",'Monthly Lean'!H59,IF(Nonlabor!$I$9="RequestsM",'Monthly Lean'!F59,IF(Nonlabor!$I$9="InputM",'Monthly Lean'!D59*Assumptions!$C$22/1000000,IF(Nonlabor!$I$9="OutputM",'Monthly Lean'!D59*Assumptions!$C$23/1000000,0))))))))),0)</f>
        <v>1</v>
      </c>
      <c r="F239" s="10" t="n">
        <f aca="false">Nonlabor!$J$9*(1+Assumptions!$C$9)^INT((C239-1)/12)</f>
        <v>281.3772025</v>
      </c>
      <c r="G239" s="10" t="n">
        <f aca="false">E239*F239</f>
        <v>281.3772025</v>
      </c>
      <c r="H239" s="10" t="n">
        <f aca="false">IF(OR(Nonlabor!$L$9="Quote required",Nonlabor!$L$9="Unverified"),G239,0)</f>
        <v>281.3772025</v>
      </c>
      <c r="I239" s="10" t="n">
        <f aca="false">IF(Nonlabor!$E$9="Core",0,G239)</f>
        <v>0</v>
      </c>
      <c r="J239" s="23" t="str">
        <f aca="false">Nonlabor!$B$9</f>
        <v>INFRA</v>
      </c>
    </row>
    <row r="240" customFormat="false" ht="15" hidden="false" customHeight="false" outlineLevel="0" collapsed="false">
      <c r="A240" s="6" t="s">
        <v>72</v>
      </c>
      <c r="B240" s="6" t="s">
        <v>379</v>
      </c>
      <c r="C240" s="6" t="n">
        <v>55</v>
      </c>
      <c r="D240" s="25" t="n">
        <f aca="false">EDATE('Start Here'!$B$6,C240-1)</f>
        <v>47969</v>
      </c>
      <c r="E240" s="23" t="n">
        <f aca="false">IF(AND(OR(Nonlabor!$D$9="Both",Nonlabor!$D$9='Start Here'!$B$9),IF(Nonlabor!$E$9="Core",1,IF(Nonlabor!$E$9="AI",'Start Here'!$B$7,'Start Here'!$B$8))=1,C240&gt;=IF(Nonlabor!$E$9="Core",Nonlabor!$F$9,MAX(Nonlabor!$F$9,IF(Nonlabor!$E$9="AI",Assumptions!$C$24,Assumptions!$C$25))),C240&lt;=Nonlabor!$G$9,OR(Nonlabor!$H$9="Monthly",AND(Nonlabor!$H$9="Once",C240=IF(Nonlabor!$E$9="Core",Nonlabor!$F$9,MAX(Nonlabor!$F$9,IF(Nonlabor!$E$9="AI",Assumptions!$C$24,Assumptions!$C$25)))),AND(Nonlabor!$H$9="Annual",MOD(C240-IF(Nonlabor!$E$9="Core",Nonlabor!$F$9,MAX(Nonlabor!$F$9,IF(Nonlabor!$E$9="AI",Assumptions!$C$24,Assumptions!$C$25))),12)=0))),IF(Nonlabor!$I$9="Fixed",1,IF(Nonlabor!$I$9="Seats",ROUNDUP('Monthly Lean'!I60,0),IF(Nonlabor!$I$9="Customers",'Monthly Lean'!D60,IF(Nonlabor!$I$9="NewCustomers",'Monthly Lean'!C60,IF(Nonlabor!$I$9="StorageGB",'Monthly Lean'!G60,IF(Nonlabor!$I$9="LogGB",'Monthly Lean'!H60,IF(Nonlabor!$I$9="RequestsM",'Monthly Lean'!F60,IF(Nonlabor!$I$9="InputM",'Monthly Lean'!D60*Assumptions!$C$22/1000000,IF(Nonlabor!$I$9="OutputM",'Monthly Lean'!D60*Assumptions!$C$23/1000000,0))))))))),0)</f>
        <v>1</v>
      </c>
      <c r="F240" s="10" t="n">
        <f aca="false">Nonlabor!$J$9*(1+Assumptions!$C$9)^INT((C240-1)/12)</f>
        <v>281.3772025</v>
      </c>
      <c r="G240" s="10" t="n">
        <f aca="false">E240*F240</f>
        <v>281.3772025</v>
      </c>
      <c r="H240" s="10" t="n">
        <f aca="false">IF(OR(Nonlabor!$L$9="Quote required",Nonlabor!$L$9="Unverified"),G240,0)</f>
        <v>281.3772025</v>
      </c>
      <c r="I240" s="10" t="n">
        <f aca="false">IF(Nonlabor!$E$9="Core",0,G240)</f>
        <v>0</v>
      </c>
      <c r="J240" s="23" t="str">
        <f aca="false">Nonlabor!$B$9</f>
        <v>INFRA</v>
      </c>
    </row>
    <row r="241" customFormat="false" ht="15" hidden="false" customHeight="false" outlineLevel="0" collapsed="false">
      <c r="A241" s="6" t="s">
        <v>72</v>
      </c>
      <c r="B241" s="6" t="s">
        <v>379</v>
      </c>
      <c r="C241" s="6" t="n">
        <v>56</v>
      </c>
      <c r="D241" s="25" t="n">
        <f aca="false">EDATE('Start Here'!$B$6,C241-1)</f>
        <v>48000</v>
      </c>
      <c r="E241" s="23" t="n">
        <f aca="false">IF(AND(OR(Nonlabor!$D$9="Both",Nonlabor!$D$9='Start Here'!$B$9),IF(Nonlabor!$E$9="Core",1,IF(Nonlabor!$E$9="AI",'Start Here'!$B$7,'Start Here'!$B$8))=1,C241&gt;=IF(Nonlabor!$E$9="Core",Nonlabor!$F$9,MAX(Nonlabor!$F$9,IF(Nonlabor!$E$9="AI",Assumptions!$C$24,Assumptions!$C$25))),C241&lt;=Nonlabor!$G$9,OR(Nonlabor!$H$9="Monthly",AND(Nonlabor!$H$9="Once",C241=IF(Nonlabor!$E$9="Core",Nonlabor!$F$9,MAX(Nonlabor!$F$9,IF(Nonlabor!$E$9="AI",Assumptions!$C$24,Assumptions!$C$25)))),AND(Nonlabor!$H$9="Annual",MOD(C241-IF(Nonlabor!$E$9="Core",Nonlabor!$F$9,MAX(Nonlabor!$F$9,IF(Nonlabor!$E$9="AI",Assumptions!$C$24,Assumptions!$C$25))),12)=0))),IF(Nonlabor!$I$9="Fixed",1,IF(Nonlabor!$I$9="Seats",ROUNDUP('Monthly Lean'!I61,0),IF(Nonlabor!$I$9="Customers",'Monthly Lean'!D61,IF(Nonlabor!$I$9="NewCustomers",'Monthly Lean'!C61,IF(Nonlabor!$I$9="StorageGB",'Monthly Lean'!G61,IF(Nonlabor!$I$9="LogGB",'Monthly Lean'!H61,IF(Nonlabor!$I$9="RequestsM",'Monthly Lean'!F61,IF(Nonlabor!$I$9="InputM",'Monthly Lean'!D61*Assumptions!$C$22/1000000,IF(Nonlabor!$I$9="OutputM",'Monthly Lean'!D61*Assumptions!$C$23/1000000,0))))))))),0)</f>
        <v>1</v>
      </c>
      <c r="F241" s="10" t="n">
        <f aca="false">Nonlabor!$J$9*(1+Assumptions!$C$9)^INT((C241-1)/12)</f>
        <v>281.3772025</v>
      </c>
      <c r="G241" s="10" t="n">
        <f aca="false">E241*F241</f>
        <v>281.3772025</v>
      </c>
      <c r="H241" s="10" t="n">
        <f aca="false">IF(OR(Nonlabor!$L$9="Quote required",Nonlabor!$L$9="Unverified"),G241,0)</f>
        <v>281.3772025</v>
      </c>
      <c r="I241" s="10" t="n">
        <f aca="false">IF(Nonlabor!$E$9="Core",0,G241)</f>
        <v>0</v>
      </c>
      <c r="J241" s="23" t="str">
        <f aca="false">Nonlabor!$B$9</f>
        <v>INFRA</v>
      </c>
    </row>
    <row r="242" customFormat="false" ht="15" hidden="false" customHeight="false" outlineLevel="0" collapsed="false">
      <c r="A242" s="6" t="s">
        <v>72</v>
      </c>
      <c r="B242" s="6" t="s">
        <v>379</v>
      </c>
      <c r="C242" s="6" t="n">
        <v>57</v>
      </c>
      <c r="D242" s="25" t="n">
        <f aca="false">EDATE('Start Here'!$B$6,C242-1)</f>
        <v>48030</v>
      </c>
      <c r="E242" s="23" t="n">
        <f aca="false">IF(AND(OR(Nonlabor!$D$9="Both",Nonlabor!$D$9='Start Here'!$B$9),IF(Nonlabor!$E$9="Core",1,IF(Nonlabor!$E$9="AI",'Start Here'!$B$7,'Start Here'!$B$8))=1,C242&gt;=IF(Nonlabor!$E$9="Core",Nonlabor!$F$9,MAX(Nonlabor!$F$9,IF(Nonlabor!$E$9="AI",Assumptions!$C$24,Assumptions!$C$25))),C242&lt;=Nonlabor!$G$9,OR(Nonlabor!$H$9="Monthly",AND(Nonlabor!$H$9="Once",C242=IF(Nonlabor!$E$9="Core",Nonlabor!$F$9,MAX(Nonlabor!$F$9,IF(Nonlabor!$E$9="AI",Assumptions!$C$24,Assumptions!$C$25)))),AND(Nonlabor!$H$9="Annual",MOD(C242-IF(Nonlabor!$E$9="Core",Nonlabor!$F$9,MAX(Nonlabor!$F$9,IF(Nonlabor!$E$9="AI",Assumptions!$C$24,Assumptions!$C$25))),12)=0))),IF(Nonlabor!$I$9="Fixed",1,IF(Nonlabor!$I$9="Seats",ROUNDUP('Monthly Lean'!I62,0),IF(Nonlabor!$I$9="Customers",'Monthly Lean'!D62,IF(Nonlabor!$I$9="NewCustomers",'Monthly Lean'!C62,IF(Nonlabor!$I$9="StorageGB",'Monthly Lean'!G62,IF(Nonlabor!$I$9="LogGB",'Monthly Lean'!H62,IF(Nonlabor!$I$9="RequestsM",'Monthly Lean'!F62,IF(Nonlabor!$I$9="InputM",'Monthly Lean'!D62*Assumptions!$C$22/1000000,IF(Nonlabor!$I$9="OutputM",'Monthly Lean'!D62*Assumptions!$C$23/1000000,0))))))))),0)</f>
        <v>1</v>
      </c>
      <c r="F242" s="10" t="n">
        <f aca="false">Nonlabor!$J$9*(1+Assumptions!$C$9)^INT((C242-1)/12)</f>
        <v>281.3772025</v>
      </c>
      <c r="G242" s="10" t="n">
        <f aca="false">E242*F242</f>
        <v>281.3772025</v>
      </c>
      <c r="H242" s="10" t="n">
        <f aca="false">IF(OR(Nonlabor!$L$9="Quote required",Nonlabor!$L$9="Unverified"),G242,0)</f>
        <v>281.3772025</v>
      </c>
      <c r="I242" s="10" t="n">
        <f aca="false">IF(Nonlabor!$E$9="Core",0,G242)</f>
        <v>0</v>
      </c>
      <c r="J242" s="23" t="str">
        <f aca="false">Nonlabor!$B$9</f>
        <v>INFRA</v>
      </c>
    </row>
    <row r="243" customFormat="false" ht="15" hidden="false" customHeight="false" outlineLevel="0" collapsed="false">
      <c r="A243" s="6" t="s">
        <v>72</v>
      </c>
      <c r="B243" s="6" t="s">
        <v>379</v>
      </c>
      <c r="C243" s="6" t="n">
        <v>58</v>
      </c>
      <c r="D243" s="25" t="n">
        <f aca="false">EDATE('Start Here'!$B$6,C243-1)</f>
        <v>48061</v>
      </c>
      <c r="E243" s="23" t="n">
        <f aca="false">IF(AND(OR(Nonlabor!$D$9="Both",Nonlabor!$D$9='Start Here'!$B$9),IF(Nonlabor!$E$9="Core",1,IF(Nonlabor!$E$9="AI",'Start Here'!$B$7,'Start Here'!$B$8))=1,C243&gt;=IF(Nonlabor!$E$9="Core",Nonlabor!$F$9,MAX(Nonlabor!$F$9,IF(Nonlabor!$E$9="AI",Assumptions!$C$24,Assumptions!$C$25))),C243&lt;=Nonlabor!$G$9,OR(Nonlabor!$H$9="Monthly",AND(Nonlabor!$H$9="Once",C243=IF(Nonlabor!$E$9="Core",Nonlabor!$F$9,MAX(Nonlabor!$F$9,IF(Nonlabor!$E$9="AI",Assumptions!$C$24,Assumptions!$C$25)))),AND(Nonlabor!$H$9="Annual",MOD(C243-IF(Nonlabor!$E$9="Core",Nonlabor!$F$9,MAX(Nonlabor!$F$9,IF(Nonlabor!$E$9="AI",Assumptions!$C$24,Assumptions!$C$25))),12)=0))),IF(Nonlabor!$I$9="Fixed",1,IF(Nonlabor!$I$9="Seats",ROUNDUP('Monthly Lean'!I63,0),IF(Nonlabor!$I$9="Customers",'Monthly Lean'!D63,IF(Nonlabor!$I$9="NewCustomers",'Monthly Lean'!C63,IF(Nonlabor!$I$9="StorageGB",'Monthly Lean'!G63,IF(Nonlabor!$I$9="LogGB",'Monthly Lean'!H63,IF(Nonlabor!$I$9="RequestsM",'Monthly Lean'!F63,IF(Nonlabor!$I$9="InputM",'Monthly Lean'!D63*Assumptions!$C$22/1000000,IF(Nonlabor!$I$9="OutputM",'Monthly Lean'!D63*Assumptions!$C$23/1000000,0))))))))),0)</f>
        <v>1</v>
      </c>
      <c r="F243" s="10" t="n">
        <f aca="false">Nonlabor!$J$9*(1+Assumptions!$C$9)^INT((C243-1)/12)</f>
        <v>281.3772025</v>
      </c>
      <c r="G243" s="10" t="n">
        <f aca="false">E243*F243</f>
        <v>281.3772025</v>
      </c>
      <c r="H243" s="10" t="n">
        <f aca="false">IF(OR(Nonlabor!$L$9="Quote required",Nonlabor!$L$9="Unverified"),G243,0)</f>
        <v>281.3772025</v>
      </c>
      <c r="I243" s="10" t="n">
        <f aca="false">IF(Nonlabor!$E$9="Core",0,G243)</f>
        <v>0</v>
      </c>
      <c r="J243" s="23" t="str">
        <f aca="false">Nonlabor!$B$9</f>
        <v>INFRA</v>
      </c>
    </row>
    <row r="244" customFormat="false" ht="15" hidden="false" customHeight="false" outlineLevel="0" collapsed="false">
      <c r="A244" s="6" t="s">
        <v>72</v>
      </c>
      <c r="B244" s="6" t="s">
        <v>379</v>
      </c>
      <c r="C244" s="6" t="n">
        <v>59</v>
      </c>
      <c r="D244" s="25" t="n">
        <f aca="false">EDATE('Start Here'!$B$6,C244-1)</f>
        <v>48092</v>
      </c>
      <c r="E244" s="23" t="n">
        <f aca="false">IF(AND(OR(Nonlabor!$D$9="Both",Nonlabor!$D$9='Start Here'!$B$9),IF(Nonlabor!$E$9="Core",1,IF(Nonlabor!$E$9="AI",'Start Here'!$B$7,'Start Here'!$B$8))=1,C244&gt;=IF(Nonlabor!$E$9="Core",Nonlabor!$F$9,MAX(Nonlabor!$F$9,IF(Nonlabor!$E$9="AI",Assumptions!$C$24,Assumptions!$C$25))),C244&lt;=Nonlabor!$G$9,OR(Nonlabor!$H$9="Monthly",AND(Nonlabor!$H$9="Once",C244=IF(Nonlabor!$E$9="Core",Nonlabor!$F$9,MAX(Nonlabor!$F$9,IF(Nonlabor!$E$9="AI",Assumptions!$C$24,Assumptions!$C$25)))),AND(Nonlabor!$H$9="Annual",MOD(C244-IF(Nonlabor!$E$9="Core",Nonlabor!$F$9,MAX(Nonlabor!$F$9,IF(Nonlabor!$E$9="AI",Assumptions!$C$24,Assumptions!$C$25))),12)=0))),IF(Nonlabor!$I$9="Fixed",1,IF(Nonlabor!$I$9="Seats",ROUNDUP('Monthly Lean'!I64,0),IF(Nonlabor!$I$9="Customers",'Monthly Lean'!D64,IF(Nonlabor!$I$9="NewCustomers",'Monthly Lean'!C64,IF(Nonlabor!$I$9="StorageGB",'Monthly Lean'!G64,IF(Nonlabor!$I$9="LogGB",'Monthly Lean'!H64,IF(Nonlabor!$I$9="RequestsM",'Monthly Lean'!F64,IF(Nonlabor!$I$9="InputM",'Monthly Lean'!D64*Assumptions!$C$22/1000000,IF(Nonlabor!$I$9="OutputM",'Monthly Lean'!D64*Assumptions!$C$23/1000000,0))))))))),0)</f>
        <v>1</v>
      </c>
      <c r="F244" s="10" t="n">
        <f aca="false">Nonlabor!$J$9*(1+Assumptions!$C$9)^INT((C244-1)/12)</f>
        <v>281.3772025</v>
      </c>
      <c r="G244" s="10" t="n">
        <f aca="false">E244*F244</f>
        <v>281.3772025</v>
      </c>
      <c r="H244" s="10" t="n">
        <f aca="false">IF(OR(Nonlabor!$L$9="Quote required",Nonlabor!$L$9="Unverified"),G244,0)</f>
        <v>281.3772025</v>
      </c>
      <c r="I244" s="10" t="n">
        <f aca="false">IF(Nonlabor!$E$9="Core",0,G244)</f>
        <v>0</v>
      </c>
      <c r="J244" s="23" t="str">
        <f aca="false">Nonlabor!$B$9</f>
        <v>INFRA</v>
      </c>
    </row>
    <row r="245" customFormat="false" ht="15" hidden="false" customHeight="false" outlineLevel="0" collapsed="false">
      <c r="A245" s="6" t="s">
        <v>72</v>
      </c>
      <c r="B245" s="6" t="s">
        <v>379</v>
      </c>
      <c r="C245" s="6" t="n">
        <v>60</v>
      </c>
      <c r="D245" s="25" t="n">
        <f aca="false">EDATE('Start Here'!$B$6,C245-1)</f>
        <v>48122</v>
      </c>
      <c r="E245" s="23" t="n">
        <f aca="false">IF(AND(OR(Nonlabor!$D$9="Both",Nonlabor!$D$9='Start Here'!$B$9),IF(Nonlabor!$E$9="Core",1,IF(Nonlabor!$E$9="AI",'Start Here'!$B$7,'Start Here'!$B$8))=1,C245&gt;=IF(Nonlabor!$E$9="Core",Nonlabor!$F$9,MAX(Nonlabor!$F$9,IF(Nonlabor!$E$9="AI",Assumptions!$C$24,Assumptions!$C$25))),C245&lt;=Nonlabor!$G$9,OR(Nonlabor!$H$9="Monthly",AND(Nonlabor!$H$9="Once",C245=IF(Nonlabor!$E$9="Core",Nonlabor!$F$9,MAX(Nonlabor!$F$9,IF(Nonlabor!$E$9="AI",Assumptions!$C$24,Assumptions!$C$25)))),AND(Nonlabor!$H$9="Annual",MOD(C245-IF(Nonlabor!$E$9="Core",Nonlabor!$F$9,MAX(Nonlabor!$F$9,IF(Nonlabor!$E$9="AI",Assumptions!$C$24,Assumptions!$C$25))),12)=0))),IF(Nonlabor!$I$9="Fixed",1,IF(Nonlabor!$I$9="Seats",ROUNDUP('Monthly Lean'!I65,0),IF(Nonlabor!$I$9="Customers",'Monthly Lean'!D65,IF(Nonlabor!$I$9="NewCustomers",'Monthly Lean'!C65,IF(Nonlabor!$I$9="StorageGB",'Monthly Lean'!G65,IF(Nonlabor!$I$9="LogGB",'Monthly Lean'!H65,IF(Nonlabor!$I$9="RequestsM",'Monthly Lean'!F65,IF(Nonlabor!$I$9="InputM",'Monthly Lean'!D65*Assumptions!$C$22/1000000,IF(Nonlabor!$I$9="OutputM",'Monthly Lean'!D65*Assumptions!$C$23/1000000,0))))))))),0)</f>
        <v>1</v>
      </c>
      <c r="F245" s="10" t="n">
        <f aca="false">Nonlabor!$J$9*(1+Assumptions!$C$9)^INT((C245-1)/12)</f>
        <v>281.3772025</v>
      </c>
      <c r="G245" s="10" t="n">
        <f aca="false">E245*F245</f>
        <v>281.3772025</v>
      </c>
      <c r="H245" s="10" t="n">
        <f aca="false">IF(OR(Nonlabor!$L$9="Quote required",Nonlabor!$L$9="Unverified"),G245,0)</f>
        <v>281.3772025</v>
      </c>
      <c r="I245" s="10" t="n">
        <f aca="false">IF(Nonlabor!$E$9="Core",0,G245)</f>
        <v>0</v>
      </c>
      <c r="J245" s="23" t="str">
        <f aca="false">Nonlabor!$B$9</f>
        <v>INFRA</v>
      </c>
    </row>
    <row r="246" customFormat="false" ht="15" hidden="false" customHeight="false" outlineLevel="0" collapsed="false">
      <c r="A246" s="6" t="s">
        <v>72</v>
      </c>
      <c r="B246" s="6" t="s">
        <v>383</v>
      </c>
      <c r="C246" s="6" t="n">
        <v>1</v>
      </c>
      <c r="D246" s="25" t="n">
        <f aca="false">EDATE('Start Here'!$B$6,C246-1)</f>
        <v>46327</v>
      </c>
      <c r="E246" s="11" t="n">
        <f aca="false">IF(AND(OR(Nonlabor!$D$10="Both",Nonlabor!$D$10='Start Here'!$B$9),IF(Nonlabor!$E$10="Core",1,IF(Nonlabor!$E$10="AI",'Start Here'!$B$7,'Start Here'!$B$8))=1,C246&gt;=IF(Nonlabor!$E$10="Core",Nonlabor!$F$10,MAX(Nonlabor!$F$10,IF(Nonlabor!$E$10="AI",Assumptions!$C$24,Assumptions!$C$25))),C246&lt;=Nonlabor!$G$10,OR(Nonlabor!$H$10="Monthly",AND(Nonlabor!$H$10="Once",C246=IF(Nonlabor!$E$10="Core",Nonlabor!$F$10,MAX(Nonlabor!$F$10,IF(Nonlabor!$E$10="AI",Assumptions!$C$24,Assumptions!$C$25)))),AND(Nonlabor!$H$10="Annual",MOD(C246-IF(Nonlabor!$E$10="Core",Nonlabor!$F$10,MAX(Nonlabor!$F$10,IF(Nonlabor!$E$10="AI",Assumptions!$C$24,Assumptions!$C$25))),12)=0))),IF(Nonlabor!$I$10="Fixed",1,IF(Nonlabor!$I$10="Seats",ROUNDUP('Monthly Lean'!I6,0),IF(Nonlabor!$I$10="Customers",'Monthly Lean'!D6,IF(Nonlabor!$I$10="NewCustomers",'Monthly Lean'!C6,IF(Nonlabor!$I$10="StorageGB",'Monthly Lean'!G6,IF(Nonlabor!$I$10="LogGB",'Monthly Lean'!H6,IF(Nonlabor!$I$10="RequestsM",'Monthly Lean'!F6,IF(Nonlabor!$I$10="InputM",'Monthly Lean'!D6*Assumptions!$C$22/1000000,IF(Nonlabor!$I$10="OutputM",'Monthly Lean'!D6*Assumptions!$C$23/1000000,0))))))))),0)</f>
        <v>0</v>
      </c>
      <c r="F246" s="10" t="n">
        <f aca="false">Nonlabor!$J$10*(1+Assumptions!$C$9)^INT((C246-1)/12)</f>
        <v>0.15</v>
      </c>
      <c r="G246" s="10" t="n">
        <f aca="false">E246*F246</f>
        <v>0</v>
      </c>
      <c r="H246" s="10" t="n">
        <f aca="false">IF(OR(Nonlabor!$L$10="Quote required",Nonlabor!$L$10="Unverified"),G246,0)</f>
        <v>0</v>
      </c>
      <c r="I246" s="10" t="n">
        <f aca="false">IF(Nonlabor!$E$10="Core",0,G246)</f>
        <v>0</v>
      </c>
      <c r="J246" s="23" t="str">
        <f aca="false">Nonlabor!$B$10</f>
        <v>INFRA</v>
      </c>
    </row>
    <row r="247" customFormat="false" ht="15" hidden="false" customHeight="false" outlineLevel="0" collapsed="false">
      <c r="A247" s="6" t="s">
        <v>72</v>
      </c>
      <c r="B247" s="6" t="s">
        <v>383</v>
      </c>
      <c r="C247" s="6" t="n">
        <v>2</v>
      </c>
      <c r="D247" s="25" t="n">
        <f aca="false">EDATE('Start Here'!$B$6,C247-1)</f>
        <v>46357</v>
      </c>
      <c r="E247" s="11" t="n">
        <f aca="false">IF(AND(OR(Nonlabor!$D$10="Both",Nonlabor!$D$10='Start Here'!$B$9),IF(Nonlabor!$E$10="Core",1,IF(Nonlabor!$E$10="AI",'Start Here'!$B$7,'Start Here'!$B$8))=1,C247&gt;=IF(Nonlabor!$E$10="Core",Nonlabor!$F$10,MAX(Nonlabor!$F$10,IF(Nonlabor!$E$10="AI",Assumptions!$C$24,Assumptions!$C$25))),C247&lt;=Nonlabor!$G$10,OR(Nonlabor!$H$10="Monthly",AND(Nonlabor!$H$10="Once",C247=IF(Nonlabor!$E$10="Core",Nonlabor!$F$10,MAX(Nonlabor!$F$10,IF(Nonlabor!$E$10="AI",Assumptions!$C$24,Assumptions!$C$25)))),AND(Nonlabor!$H$10="Annual",MOD(C247-IF(Nonlabor!$E$10="Core",Nonlabor!$F$10,MAX(Nonlabor!$F$10,IF(Nonlabor!$E$10="AI",Assumptions!$C$24,Assumptions!$C$25))),12)=0))),IF(Nonlabor!$I$10="Fixed",1,IF(Nonlabor!$I$10="Seats",ROUNDUP('Monthly Lean'!I7,0),IF(Nonlabor!$I$10="Customers",'Monthly Lean'!D7,IF(Nonlabor!$I$10="NewCustomers",'Monthly Lean'!C7,IF(Nonlabor!$I$10="StorageGB",'Monthly Lean'!G7,IF(Nonlabor!$I$10="LogGB",'Monthly Lean'!H7,IF(Nonlabor!$I$10="RequestsM",'Monthly Lean'!F7,IF(Nonlabor!$I$10="InputM",'Monthly Lean'!D7*Assumptions!$C$22/1000000,IF(Nonlabor!$I$10="OutputM",'Monthly Lean'!D7*Assumptions!$C$23/1000000,0))))))))),0)</f>
        <v>0</v>
      </c>
      <c r="F247" s="10" t="n">
        <f aca="false">Nonlabor!$J$10*(1+Assumptions!$C$9)^INT((C247-1)/12)</f>
        <v>0.15</v>
      </c>
      <c r="G247" s="10" t="n">
        <f aca="false">E247*F247</f>
        <v>0</v>
      </c>
      <c r="H247" s="10" t="n">
        <f aca="false">IF(OR(Nonlabor!$L$10="Quote required",Nonlabor!$L$10="Unverified"),G247,0)</f>
        <v>0</v>
      </c>
      <c r="I247" s="10" t="n">
        <f aca="false">IF(Nonlabor!$E$10="Core",0,G247)</f>
        <v>0</v>
      </c>
      <c r="J247" s="23" t="str">
        <f aca="false">Nonlabor!$B$10</f>
        <v>INFRA</v>
      </c>
    </row>
    <row r="248" customFormat="false" ht="15" hidden="false" customHeight="false" outlineLevel="0" collapsed="false">
      <c r="A248" s="6" t="s">
        <v>72</v>
      </c>
      <c r="B248" s="6" t="s">
        <v>383</v>
      </c>
      <c r="C248" s="6" t="n">
        <v>3</v>
      </c>
      <c r="D248" s="25" t="n">
        <f aca="false">EDATE('Start Here'!$B$6,C248-1)</f>
        <v>46388</v>
      </c>
      <c r="E248" s="11" t="n">
        <f aca="false">IF(AND(OR(Nonlabor!$D$10="Both",Nonlabor!$D$10='Start Here'!$B$9),IF(Nonlabor!$E$10="Core",1,IF(Nonlabor!$E$10="AI",'Start Here'!$B$7,'Start Here'!$B$8))=1,C248&gt;=IF(Nonlabor!$E$10="Core",Nonlabor!$F$10,MAX(Nonlabor!$F$10,IF(Nonlabor!$E$10="AI",Assumptions!$C$24,Assumptions!$C$25))),C248&lt;=Nonlabor!$G$10,OR(Nonlabor!$H$10="Monthly",AND(Nonlabor!$H$10="Once",C248=IF(Nonlabor!$E$10="Core",Nonlabor!$F$10,MAX(Nonlabor!$F$10,IF(Nonlabor!$E$10="AI",Assumptions!$C$24,Assumptions!$C$25)))),AND(Nonlabor!$H$10="Annual",MOD(C248-IF(Nonlabor!$E$10="Core",Nonlabor!$F$10,MAX(Nonlabor!$F$10,IF(Nonlabor!$E$10="AI",Assumptions!$C$24,Assumptions!$C$25))),12)=0))),IF(Nonlabor!$I$10="Fixed",1,IF(Nonlabor!$I$10="Seats",ROUNDUP('Monthly Lean'!I8,0),IF(Nonlabor!$I$10="Customers",'Monthly Lean'!D8,IF(Nonlabor!$I$10="NewCustomers",'Monthly Lean'!C8,IF(Nonlabor!$I$10="StorageGB",'Monthly Lean'!G8,IF(Nonlabor!$I$10="LogGB",'Monthly Lean'!H8,IF(Nonlabor!$I$10="RequestsM",'Monthly Lean'!F8,IF(Nonlabor!$I$10="InputM",'Monthly Lean'!D8*Assumptions!$C$22/1000000,IF(Nonlabor!$I$10="OutputM",'Monthly Lean'!D8*Assumptions!$C$23/1000000,0))))))))),0)</f>
        <v>0</v>
      </c>
      <c r="F248" s="10" t="n">
        <f aca="false">Nonlabor!$J$10*(1+Assumptions!$C$9)^INT((C248-1)/12)</f>
        <v>0.15</v>
      </c>
      <c r="G248" s="10" t="n">
        <f aca="false">E248*F248</f>
        <v>0</v>
      </c>
      <c r="H248" s="10" t="n">
        <f aca="false">IF(OR(Nonlabor!$L$10="Quote required",Nonlabor!$L$10="Unverified"),G248,0)</f>
        <v>0</v>
      </c>
      <c r="I248" s="10" t="n">
        <f aca="false">IF(Nonlabor!$E$10="Core",0,G248)</f>
        <v>0</v>
      </c>
      <c r="J248" s="23" t="str">
        <f aca="false">Nonlabor!$B$10</f>
        <v>INFRA</v>
      </c>
    </row>
    <row r="249" customFormat="false" ht="15" hidden="false" customHeight="false" outlineLevel="0" collapsed="false">
      <c r="A249" s="6" t="s">
        <v>72</v>
      </c>
      <c r="B249" s="6" t="s">
        <v>383</v>
      </c>
      <c r="C249" s="6" t="n">
        <v>4</v>
      </c>
      <c r="D249" s="25" t="n">
        <f aca="false">EDATE('Start Here'!$B$6,C249-1)</f>
        <v>46419</v>
      </c>
      <c r="E249" s="11" t="n">
        <f aca="false">IF(AND(OR(Nonlabor!$D$10="Both",Nonlabor!$D$10='Start Here'!$B$9),IF(Nonlabor!$E$10="Core",1,IF(Nonlabor!$E$10="AI",'Start Here'!$B$7,'Start Here'!$B$8))=1,C249&gt;=IF(Nonlabor!$E$10="Core",Nonlabor!$F$10,MAX(Nonlabor!$F$10,IF(Nonlabor!$E$10="AI",Assumptions!$C$24,Assumptions!$C$25))),C249&lt;=Nonlabor!$G$10,OR(Nonlabor!$H$10="Monthly",AND(Nonlabor!$H$10="Once",C249=IF(Nonlabor!$E$10="Core",Nonlabor!$F$10,MAX(Nonlabor!$F$10,IF(Nonlabor!$E$10="AI",Assumptions!$C$24,Assumptions!$C$25)))),AND(Nonlabor!$H$10="Annual",MOD(C249-IF(Nonlabor!$E$10="Core",Nonlabor!$F$10,MAX(Nonlabor!$F$10,IF(Nonlabor!$E$10="AI",Assumptions!$C$24,Assumptions!$C$25))),12)=0))),IF(Nonlabor!$I$10="Fixed",1,IF(Nonlabor!$I$10="Seats",ROUNDUP('Monthly Lean'!I9,0),IF(Nonlabor!$I$10="Customers",'Monthly Lean'!D9,IF(Nonlabor!$I$10="NewCustomers",'Monthly Lean'!C9,IF(Nonlabor!$I$10="StorageGB",'Monthly Lean'!G9,IF(Nonlabor!$I$10="LogGB",'Monthly Lean'!H9,IF(Nonlabor!$I$10="RequestsM",'Monthly Lean'!F9,IF(Nonlabor!$I$10="InputM",'Monthly Lean'!D9*Assumptions!$C$22/1000000,IF(Nonlabor!$I$10="OutputM",'Monthly Lean'!D9*Assumptions!$C$23/1000000,0))))))))),0)</f>
        <v>0</v>
      </c>
      <c r="F249" s="10" t="n">
        <f aca="false">Nonlabor!$J$10*(1+Assumptions!$C$9)^INT((C249-1)/12)</f>
        <v>0.15</v>
      </c>
      <c r="G249" s="10" t="n">
        <f aca="false">E249*F249</f>
        <v>0</v>
      </c>
      <c r="H249" s="10" t="n">
        <f aca="false">IF(OR(Nonlabor!$L$10="Quote required",Nonlabor!$L$10="Unverified"),G249,0)</f>
        <v>0</v>
      </c>
      <c r="I249" s="10" t="n">
        <f aca="false">IF(Nonlabor!$E$10="Core",0,G249)</f>
        <v>0</v>
      </c>
      <c r="J249" s="23" t="str">
        <f aca="false">Nonlabor!$B$10</f>
        <v>INFRA</v>
      </c>
    </row>
    <row r="250" customFormat="false" ht="15" hidden="false" customHeight="false" outlineLevel="0" collapsed="false">
      <c r="A250" s="6" t="s">
        <v>72</v>
      </c>
      <c r="B250" s="6" t="s">
        <v>383</v>
      </c>
      <c r="C250" s="6" t="n">
        <v>5</v>
      </c>
      <c r="D250" s="25" t="n">
        <f aca="false">EDATE('Start Here'!$B$6,C250-1)</f>
        <v>46447</v>
      </c>
      <c r="E250" s="11" t="n">
        <f aca="false">IF(AND(OR(Nonlabor!$D$10="Both",Nonlabor!$D$10='Start Here'!$B$9),IF(Nonlabor!$E$10="Core",1,IF(Nonlabor!$E$10="AI",'Start Here'!$B$7,'Start Here'!$B$8))=1,C250&gt;=IF(Nonlabor!$E$10="Core",Nonlabor!$F$10,MAX(Nonlabor!$F$10,IF(Nonlabor!$E$10="AI",Assumptions!$C$24,Assumptions!$C$25))),C250&lt;=Nonlabor!$G$10,OR(Nonlabor!$H$10="Monthly",AND(Nonlabor!$H$10="Once",C250=IF(Nonlabor!$E$10="Core",Nonlabor!$F$10,MAX(Nonlabor!$F$10,IF(Nonlabor!$E$10="AI",Assumptions!$C$24,Assumptions!$C$25)))),AND(Nonlabor!$H$10="Annual",MOD(C250-IF(Nonlabor!$E$10="Core",Nonlabor!$F$10,MAX(Nonlabor!$F$10,IF(Nonlabor!$E$10="AI",Assumptions!$C$24,Assumptions!$C$25))),12)=0))),IF(Nonlabor!$I$10="Fixed",1,IF(Nonlabor!$I$10="Seats",ROUNDUP('Monthly Lean'!I10,0),IF(Nonlabor!$I$10="Customers",'Monthly Lean'!D10,IF(Nonlabor!$I$10="NewCustomers",'Monthly Lean'!C10,IF(Nonlabor!$I$10="StorageGB",'Monthly Lean'!G10,IF(Nonlabor!$I$10="LogGB",'Monthly Lean'!H10,IF(Nonlabor!$I$10="RequestsM",'Monthly Lean'!F10,IF(Nonlabor!$I$10="InputM",'Monthly Lean'!D10*Assumptions!$C$22/1000000,IF(Nonlabor!$I$10="OutputM",'Monthly Lean'!D10*Assumptions!$C$23/1000000,0))))))))),0)</f>
        <v>0</v>
      </c>
      <c r="F250" s="10" t="n">
        <f aca="false">Nonlabor!$J$10*(1+Assumptions!$C$9)^INT((C250-1)/12)</f>
        <v>0.15</v>
      </c>
      <c r="G250" s="10" t="n">
        <f aca="false">E250*F250</f>
        <v>0</v>
      </c>
      <c r="H250" s="10" t="n">
        <f aca="false">IF(OR(Nonlabor!$L$10="Quote required",Nonlabor!$L$10="Unverified"),G250,0)</f>
        <v>0</v>
      </c>
      <c r="I250" s="10" t="n">
        <f aca="false">IF(Nonlabor!$E$10="Core",0,G250)</f>
        <v>0</v>
      </c>
      <c r="J250" s="23" t="str">
        <f aca="false">Nonlabor!$B$10</f>
        <v>INFRA</v>
      </c>
    </row>
    <row r="251" customFormat="false" ht="15" hidden="false" customHeight="false" outlineLevel="0" collapsed="false">
      <c r="A251" s="6" t="s">
        <v>72</v>
      </c>
      <c r="B251" s="6" t="s">
        <v>383</v>
      </c>
      <c r="C251" s="6" t="n">
        <v>6</v>
      </c>
      <c r="D251" s="25" t="n">
        <f aca="false">EDATE('Start Here'!$B$6,C251-1)</f>
        <v>46478</v>
      </c>
      <c r="E251" s="11" t="n">
        <f aca="false">IF(AND(OR(Nonlabor!$D$10="Both",Nonlabor!$D$10='Start Here'!$B$9),IF(Nonlabor!$E$10="Core",1,IF(Nonlabor!$E$10="AI",'Start Here'!$B$7,'Start Here'!$B$8))=1,C251&gt;=IF(Nonlabor!$E$10="Core",Nonlabor!$F$10,MAX(Nonlabor!$F$10,IF(Nonlabor!$E$10="AI",Assumptions!$C$24,Assumptions!$C$25))),C251&lt;=Nonlabor!$G$10,OR(Nonlabor!$H$10="Monthly",AND(Nonlabor!$H$10="Once",C251=IF(Nonlabor!$E$10="Core",Nonlabor!$F$10,MAX(Nonlabor!$F$10,IF(Nonlabor!$E$10="AI",Assumptions!$C$24,Assumptions!$C$25)))),AND(Nonlabor!$H$10="Annual",MOD(C251-IF(Nonlabor!$E$10="Core",Nonlabor!$F$10,MAX(Nonlabor!$F$10,IF(Nonlabor!$E$10="AI",Assumptions!$C$24,Assumptions!$C$25))),12)=0))),IF(Nonlabor!$I$10="Fixed",1,IF(Nonlabor!$I$10="Seats",ROUNDUP('Monthly Lean'!I11,0),IF(Nonlabor!$I$10="Customers",'Monthly Lean'!D11,IF(Nonlabor!$I$10="NewCustomers",'Monthly Lean'!C11,IF(Nonlabor!$I$10="StorageGB",'Monthly Lean'!G11,IF(Nonlabor!$I$10="LogGB",'Monthly Lean'!H11,IF(Nonlabor!$I$10="RequestsM",'Monthly Lean'!F11,IF(Nonlabor!$I$10="InputM",'Monthly Lean'!D11*Assumptions!$C$22/1000000,IF(Nonlabor!$I$10="OutputM",'Monthly Lean'!D11*Assumptions!$C$23/1000000,0))))))))),0)</f>
        <v>0</v>
      </c>
      <c r="F251" s="10" t="n">
        <f aca="false">Nonlabor!$J$10*(1+Assumptions!$C$9)^INT((C251-1)/12)</f>
        <v>0.15</v>
      </c>
      <c r="G251" s="10" t="n">
        <f aca="false">E251*F251</f>
        <v>0</v>
      </c>
      <c r="H251" s="10" t="n">
        <f aca="false">IF(OR(Nonlabor!$L$10="Quote required",Nonlabor!$L$10="Unverified"),G251,0)</f>
        <v>0</v>
      </c>
      <c r="I251" s="10" t="n">
        <f aca="false">IF(Nonlabor!$E$10="Core",0,G251)</f>
        <v>0</v>
      </c>
      <c r="J251" s="23" t="str">
        <f aca="false">Nonlabor!$B$10</f>
        <v>INFRA</v>
      </c>
    </row>
    <row r="252" customFormat="false" ht="15" hidden="false" customHeight="false" outlineLevel="0" collapsed="false">
      <c r="A252" s="6" t="s">
        <v>72</v>
      </c>
      <c r="B252" s="6" t="s">
        <v>383</v>
      </c>
      <c r="C252" s="6" t="n">
        <v>7</v>
      </c>
      <c r="D252" s="25" t="n">
        <f aca="false">EDATE('Start Here'!$B$6,C252-1)</f>
        <v>46508</v>
      </c>
      <c r="E252" s="11" t="n">
        <f aca="false">IF(AND(OR(Nonlabor!$D$10="Both",Nonlabor!$D$10='Start Here'!$B$9),IF(Nonlabor!$E$10="Core",1,IF(Nonlabor!$E$10="AI",'Start Here'!$B$7,'Start Here'!$B$8))=1,C252&gt;=IF(Nonlabor!$E$10="Core",Nonlabor!$F$10,MAX(Nonlabor!$F$10,IF(Nonlabor!$E$10="AI",Assumptions!$C$24,Assumptions!$C$25))),C252&lt;=Nonlabor!$G$10,OR(Nonlabor!$H$10="Monthly",AND(Nonlabor!$H$10="Once",C252=IF(Nonlabor!$E$10="Core",Nonlabor!$F$10,MAX(Nonlabor!$F$10,IF(Nonlabor!$E$10="AI",Assumptions!$C$24,Assumptions!$C$25)))),AND(Nonlabor!$H$10="Annual",MOD(C252-IF(Nonlabor!$E$10="Core",Nonlabor!$F$10,MAX(Nonlabor!$F$10,IF(Nonlabor!$E$10="AI",Assumptions!$C$24,Assumptions!$C$25))),12)=0))),IF(Nonlabor!$I$10="Fixed",1,IF(Nonlabor!$I$10="Seats",ROUNDUP('Monthly Lean'!I12,0),IF(Nonlabor!$I$10="Customers",'Monthly Lean'!D12,IF(Nonlabor!$I$10="NewCustomers",'Monthly Lean'!C12,IF(Nonlabor!$I$10="StorageGB",'Monthly Lean'!G12,IF(Nonlabor!$I$10="LogGB",'Monthly Lean'!H12,IF(Nonlabor!$I$10="RequestsM",'Monthly Lean'!F12,IF(Nonlabor!$I$10="InputM",'Monthly Lean'!D12*Assumptions!$C$22/1000000,IF(Nonlabor!$I$10="OutputM",'Monthly Lean'!D12*Assumptions!$C$23/1000000,0))))))))),0)</f>
        <v>0</v>
      </c>
      <c r="F252" s="10" t="n">
        <f aca="false">Nonlabor!$J$10*(1+Assumptions!$C$9)^INT((C252-1)/12)</f>
        <v>0.15</v>
      </c>
      <c r="G252" s="10" t="n">
        <f aca="false">E252*F252</f>
        <v>0</v>
      </c>
      <c r="H252" s="10" t="n">
        <f aca="false">IF(OR(Nonlabor!$L$10="Quote required",Nonlabor!$L$10="Unverified"),G252,0)</f>
        <v>0</v>
      </c>
      <c r="I252" s="10" t="n">
        <f aca="false">IF(Nonlabor!$E$10="Core",0,G252)</f>
        <v>0</v>
      </c>
      <c r="J252" s="23" t="str">
        <f aca="false">Nonlabor!$B$10</f>
        <v>INFRA</v>
      </c>
    </row>
    <row r="253" customFormat="false" ht="15" hidden="false" customHeight="false" outlineLevel="0" collapsed="false">
      <c r="A253" s="6" t="s">
        <v>72</v>
      </c>
      <c r="B253" s="6" t="s">
        <v>383</v>
      </c>
      <c r="C253" s="6" t="n">
        <v>8</v>
      </c>
      <c r="D253" s="25" t="n">
        <f aca="false">EDATE('Start Here'!$B$6,C253-1)</f>
        <v>46539</v>
      </c>
      <c r="E253" s="11" t="n">
        <f aca="false">IF(AND(OR(Nonlabor!$D$10="Both",Nonlabor!$D$10='Start Here'!$B$9),IF(Nonlabor!$E$10="Core",1,IF(Nonlabor!$E$10="AI",'Start Here'!$B$7,'Start Here'!$B$8))=1,C253&gt;=IF(Nonlabor!$E$10="Core",Nonlabor!$F$10,MAX(Nonlabor!$F$10,IF(Nonlabor!$E$10="AI",Assumptions!$C$24,Assumptions!$C$25))),C253&lt;=Nonlabor!$G$10,OR(Nonlabor!$H$10="Monthly",AND(Nonlabor!$H$10="Once",C253=IF(Nonlabor!$E$10="Core",Nonlabor!$F$10,MAX(Nonlabor!$F$10,IF(Nonlabor!$E$10="AI",Assumptions!$C$24,Assumptions!$C$25)))),AND(Nonlabor!$H$10="Annual",MOD(C253-IF(Nonlabor!$E$10="Core",Nonlabor!$F$10,MAX(Nonlabor!$F$10,IF(Nonlabor!$E$10="AI",Assumptions!$C$24,Assumptions!$C$25))),12)=0))),IF(Nonlabor!$I$10="Fixed",1,IF(Nonlabor!$I$10="Seats",ROUNDUP('Monthly Lean'!I13,0),IF(Nonlabor!$I$10="Customers",'Monthly Lean'!D13,IF(Nonlabor!$I$10="NewCustomers",'Monthly Lean'!C13,IF(Nonlabor!$I$10="StorageGB",'Monthly Lean'!G13,IF(Nonlabor!$I$10="LogGB",'Monthly Lean'!H13,IF(Nonlabor!$I$10="RequestsM",'Monthly Lean'!F13,IF(Nonlabor!$I$10="InputM",'Monthly Lean'!D13*Assumptions!$C$22/1000000,IF(Nonlabor!$I$10="OutputM",'Monthly Lean'!D13*Assumptions!$C$23/1000000,0))))))))),0)</f>
        <v>0</v>
      </c>
      <c r="F253" s="10" t="n">
        <f aca="false">Nonlabor!$J$10*(1+Assumptions!$C$9)^INT((C253-1)/12)</f>
        <v>0.15</v>
      </c>
      <c r="G253" s="10" t="n">
        <f aca="false">E253*F253</f>
        <v>0</v>
      </c>
      <c r="H253" s="10" t="n">
        <f aca="false">IF(OR(Nonlabor!$L$10="Quote required",Nonlabor!$L$10="Unverified"),G253,0)</f>
        <v>0</v>
      </c>
      <c r="I253" s="10" t="n">
        <f aca="false">IF(Nonlabor!$E$10="Core",0,G253)</f>
        <v>0</v>
      </c>
      <c r="J253" s="23" t="str">
        <f aca="false">Nonlabor!$B$10</f>
        <v>INFRA</v>
      </c>
    </row>
    <row r="254" customFormat="false" ht="15" hidden="false" customHeight="false" outlineLevel="0" collapsed="false">
      <c r="A254" s="6" t="s">
        <v>72</v>
      </c>
      <c r="B254" s="6" t="s">
        <v>383</v>
      </c>
      <c r="C254" s="6" t="n">
        <v>9</v>
      </c>
      <c r="D254" s="25" t="n">
        <f aca="false">EDATE('Start Here'!$B$6,C254-1)</f>
        <v>46569</v>
      </c>
      <c r="E254" s="11" t="n">
        <f aca="false">IF(AND(OR(Nonlabor!$D$10="Both",Nonlabor!$D$10='Start Here'!$B$9),IF(Nonlabor!$E$10="Core",1,IF(Nonlabor!$E$10="AI",'Start Here'!$B$7,'Start Here'!$B$8))=1,C254&gt;=IF(Nonlabor!$E$10="Core",Nonlabor!$F$10,MAX(Nonlabor!$F$10,IF(Nonlabor!$E$10="AI",Assumptions!$C$24,Assumptions!$C$25))),C254&lt;=Nonlabor!$G$10,OR(Nonlabor!$H$10="Monthly",AND(Nonlabor!$H$10="Once",C254=IF(Nonlabor!$E$10="Core",Nonlabor!$F$10,MAX(Nonlabor!$F$10,IF(Nonlabor!$E$10="AI",Assumptions!$C$24,Assumptions!$C$25)))),AND(Nonlabor!$H$10="Annual",MOD(C254-IF(Nonlabor!$E$10="Core",Nonlabor!$F$10,MAX(Nonlabor!$F$10,IF(Nonlabor!$E$10="AI",Assumptions!$C$24,Assumptions!$C$25))),12)=0))),IF(Nonlabor!$I$10="Fixed",1,IF(Nonlabor!$I$10="Seats",ROUNDUP('Monthly Lean'!I14,0),IF(Nonlabor!$I$10="Customers",'Monthly Lean'!D14,IF(Nonlabor!$I$10="NewCustomers",'Monthly Lean'!C14,IF(Nonlabor!$I$10="StorageGB",'Monthly Lean'!G14,IF(Nonlabor!$I$10="LogGB",'Monthly Lean'!H14,IF(Nonlabor!$I$10="RequestsM",'Monthly Lean'!F14,IF(Nonlabor!$I$10="InputM",'Monthly Lean'!D14*Assumptions!$C$22/1000000,IF(Nonlabor!$I$10="OutputM",'Monthly Lean'!D14*Assumptions!$C$23/1000000,0))))))))),0)</f>
        <v>0</v>
      </c>
      <c r="F254" s="10" t="n">
        <f aca="false">Nonlabor!$J$10*(1+Assumptions!$C$9)^INT((C254-1)/12)</f>
        <v>0.15</v>
      </c>
      <c r="G254" s="10" t="n">
        <f aca="false">E254*F254</f>
        <v>0</v>
      </c>
      <c r="H254" s="10" t="n">
        <f aca="false">IF(OR(Nonlabor!$L$10="Quote required",Nonlabor!$L$10="Unverified"),G254,0)</f>
        <v>0</v>
      </c>
      <c r="I254" s="10" t="n">
        <f aca="false">IF(Nonlabor!$E$10="Core",0,G254)</f>
        <v>0</v>
      </c>
      <c r="J254" s="23" t="str">
        <f aca="false">Nonlabor!$B$10</f>
        <v>INFRA</v>
      </c>
    </row>
    <row r="255" customFormat="false" ht="15" hidden="false" customHeight="false" outlineLevel="0" collapsed="false">
      <c r="A255" s="6" t="s">
        <v>72</v>
      </c>
      <c r="B255" s="6" t="s">
        <v>383</v>
      </c>
      <c r="C255" s="6" t="n">
        <v>10</v>
      </c>
      <c r="D255" s="25" t="n">
        <f aca="false">EDATE('Start Here'!$B$6,C255-1)</f>
        <v>46600</v>
      </c>
      <c r="E255" s="11" t="n">
        <f aca="false">IF(AND(OR(Nonlabor!$D$10="Both",Nonlabor!$D$10='Start Here'!$B$9),IF(Nonlabor!$E$10="Core",1,IF(Nonlabor!$E$10="AI",'Start Here'!$B$7,'Start Here'!$B$8))=1,C255&gt;=IF(Nonlabor!$E$10="Core",Nonlabor!$F$10,MAX(Nonlabor!$F$10,IF(Nonlabor!$E$10="AI",Assumptions!$C$24,Assumptions!$C$25))),C255&lt;=Nonlabor!$G$10,OR(Nonlabor!$H$10="Monthly",AND(Nonlabor!$H$10="Once",C255=IF(Nonlabor!$E$10="Core",Nonlabor!$F$10,MAX(Nonlabor!$F$10,IF(Nonlabor!$E$10="AI",Assumptions!$C$24,Assumptions!$C$25)))),AND(Nonlabor!$H$10="Annual",MOD(C255-IF(Nonlabor!$E$10="Core",Nonlabor!$F$10,MAX(Nonlabor!$F$10,IF(Nonlabor!$E$10="AI",Assumptions!$C$24,Assumptions!$C$25))),12)=0))),IF(Nonlabor!$I$10="Fixed",1,IF(Nonlabor!$I$10="Seats",ROUNDUP('Monthly Lean'!I15,0),IF(Nonlabor!$I$10="Customers",'Monthly Lean'!D15,IF(Nonlabor!$I$10="NewCustomers",'Monthly Lean'!C15,IF(Nonlabor!$I$10="StorageGB",'Monthly Lean'!G15,IF(Nonlabor!$I$10="LogGB",'Monthly Lean'!H15,IF(Nonlabor!$I$10="RequestsM",'Monthly Lean'!F15,IF(Nonlabor!$I$10="InputM",'Monthly Lean'!D15*Assumptions!$C$22/1000000,IF(Nonlabor!$I$10="OutputM",'Monthly Lean'!D15*Assumptions!$C$23/1000000,0))))))))),0)</f>
        <v>0</v>
      </c>
      <c r="F255" s="10" t="n">
        <f aca="false">Nonlabor!$J$10*(1+Assumptions!$C$9)^INT((C255-1)/12)</f>
        <v>0.15</v>
      </c>
      <c r="G255" s="10" t="n">
        <f aca="false">E255*F255</f>
        <v>0</v>
      </c>
      <c r="H255" s="10" t="n">
        <f aca="false">IF(OR(Nonlabor!$L$10="Quote required",Nonlabor!$L$10="Unverified"),G255,0)</f>
        <v>0</v>
      </c>
      <c r="I255" s="10" t="n">
        <f aca="false">IF(Nonlabor!$E$10="Core",0,G255)</f>
        <v>0</v>
      </c>
      <c r="J255" s="23" t="str">
        <f aca="false">Nonlabor!$B$10</f>
        <v>INFRA</v>
      </c>
    </row>
    <row r="256" customFormat="false" ht="15" hidden="false" customHeight="false" outlineLevel="0" collapsed="false">
      <c r="A256" s="6" t="s">
        <v>72</v>
      </c>
      <c r="B256" s="6" t="s">
        <v>383</v>
      </c>
      <c r="C256" s="6" t="n">
        <v>11</v>
      </c>
      <c r="D256" s="25" t="n">
        <f aca="false">EDATE('Start Here'!$B$6,C256-1)</f>
        <v>46631</v>
      </c>
      <c r="E256" s="11" t="n">
        <f aca="false">IF(AND(OR(Nonlabor!$D$10="Both",Nonlabor!$D$10='Start Here'!$B$9),IF(Nonlabor!$E$10="Core",1,IF(Nonlabor!$E$10="AI",'Start Here'!$B$7,'Start Here'!$B$8))=1,C256&gt;=IF(Nonlabor!$E$10="Core",Nonlabor!$F$10,MAX(Nonlabor!$F$10,IF(Nonlabor!$E$10="AI",Assumptions!$C$24,Assumptions!$C$25))),C256&lt;=Nonlabor!$G$10,OR(Nonlabor!$H$10="Monthly",AND(Nonlabor!$H$10="Once",C256=IF(Nonlabor!$E$10="Core",Nonlabor!$F$10,MAX(Nonlabor!$F$10,IF(Nonlabor!$E$10="AI",Assumptions!$C$24,Assumptions!$C$25)))),AND(Nonlabor!$H$10="Annual",MOD(C256-IF(Nonlabor!$E$10="Core",Nonlabor!$F$10,MAX(Nonlabor!$F$10,IF(Nonlabor!$E$10="AI",Assumptions!$C$24,Assumptions!$C$25))),12)=0))),IF(Nonlabor!$I$10="Fixed",1,IF(Nonlabor!$I$10="Seats",ROUNDUP('Monthly Lean'!I16,0),IF(Nonlabor!$I$10="Customers",'Monthly Lean'!D16,IF(Nonlabor!$I$10="NewCustomers",'Monthly Lean'!C16,IF(Nonlabor!$I$10="StorageGB",'Monthly Lean'!G16,IF(Nonlabor!$I$10="LogGB",'Monthly Lean'!H16,IF(Nonlabor!$I$10="RequestsM",'Monthly Lean'!F16,IF(Nonlabor!$I$10="InputM",'Monthly Lean'!D16*Assumptions!$C$22/1000000,IF(Nonlabor!$I$10="OutputM",'Monthly Lean'!D16*Assumptions!$C$23/1000000,0))))))))),0)</f>
        <v>0</v>
      </c>
      <c r="F256" s="10" t="n">
        <f aca="false">Nonlabor!$J$10*(1+Assumptions!$C$9)^INT((C256-1)/12)</f>
        <v>0.15</v>
      </c>
      <c r="G256" s="10" t="n">
        <f aca="false">E256*F256</f>
        <v>0</v>
      </c>
      <c r="H256" s="10" t="n">
        <f aca="false">IF(OR(Nonlabor!$L$10="Quote required",Nonlabor!$L$10="Unverified"),G256,0)</f>
        <v>0</v>
      </c>
      <c r="I256" s="10" t="n">
        <f aca="false">IF(Nonlabor!$E$10="Core",0,G256)</f>
        <v>0</v>
      </c>
      <c r="J256" s="23" t="str">
        <f aca="false">Nonlabor!$B$10</f>
        <v>INFRA</v>
      </c>
    </row>
    <row r="257" customFormat="false" ht="15" hidden="false" customHeight="false" outlineLevel="0" collapsed="false">
      <c r="A257" s="6" t="s">
        <v>72</v>
      </c>
      <c r="B257" s="6" t="s">
        <v>383</v>
      </c>
      <c r="C257" s="6" t="n">
        <v>12</v>
      </c>
      <c r="D257" s="25" t="n">
        <f aca="false">EDATE('Start Here'!$B$6,C257-1)</f>
        <v>46661</v>
      </c>
      <c r="E257" s="11" t="n">
        <f aca="false">IF(AND(OR(Nonlabor!$D$10="Both",Nonlabor!$D$10='Start Here'!$B$9),IF(Nonlabor!$E$10="Core",1,IF(Nonlabor!$E$10="AI",'Start Here'!$B$7,'Start Here'!$B$8))=1,C257&gt;=IF(Nonlabor!$E$10="Core",Nonlabor!$F$10,MAX(Nonlabor!$F$10,IF(Nonlabor!$E$10="AI",Assumptions!$C$24,Assumptions!$C$25))),C257&lt;=Nonlabor!$G$10,OR(Nonlabor!$H$10="Monthly",AND(Nonlabor!$H$10="Once",C257=IF(Nonlabor!$E$10="Core",Nonlabor!$F$10,MAX(Nonlabor!$F$10,IF(Nonlabor!$E$10="AI",Assumptions!$C$24,Assumptions!$C$25)))),AND(Nonlabor!$H$10="Annual",MOD(C257-IF(Nonlabor!$E$10="Core",Nonlabor!$F$10,MAX(Nonlabor!$F$10,IF(Nonlabor!$E$10="AI",Assumptions!$C$24,Assumptions!$C$25))),12)=0))),IF(Nonlabor!$I$10="Fixed",1,IF(Nonlabor!$I$10="Seats",ROUNDUP('Monthly Lean'!I17,0),IF(Nonlabor!$I$10="Customers",'Monthly Lean'!D17,IF(Nonlabor!$I$10="NewCustomers",'Monthly Lean'!C17,IF(Nonlabor!$I$10="StorageGB",'Monthly Lean'!G17,IF(Nonlabor!$I$10="LogGB",'Monthly Lean'!H17,IF(Nonlabor!$I$10="RequestsM",'Monthly Lean'!F17,IF(Nonlabor!$I$10="InputM",'Monthly Lean'!D17*Assumptions!$C$22/1000000,IF(Nonlabor!$I$10="OutputM",'Monthly Lean'!D17*Assumptions!$C$23/1000000,0))))))))),0)</f>
        <v>0</v>
      </c>
      <c r="F257" s="10" t="n">
        <f aca="false">Nonlabor!$J$10*(1+Assumptions!$C$9)^INT((C257-1)/12)</f>
        <v>0.15</v>
      </c>
      <c r="G257" s="10" t="n">
        <f aca="false">E257*F257</f>
        <v>0</v>
      </c>
      <c r="H257" s="10" t="n">
        <f aca="false">IF(OR(Nonlabor!$L$10="Quote required",Nonlabor!$L$10="Unverified"),G257,0)</f>
        <v>0</v>
      </c>
      <c r="I257" s="10" t="n">
        <f aca="false">IF(Nonlabor!$E$10="Core",0,G257)</f>
        <v>0</v>
      </c>
      <c r="J257" s="23" t="str">
        <f aca="false">Nonlabor!$B$10</f>
        <v>INFRA</v>
      </c>
    </row>
    <row r="258" customFormat="false" ht="15" hidden="false" customHeight="false" outlineLevel="0" collapsed="false">
      <c r="A258" s="6" t="s">
        <v>72</v>
      </c>
      <c r="B258" s="6" t="s">
        <v>383</v>
      </c>
      <c r="C258" s="6" t="n">
        <v>13</v>
      </c>
      <c r="D258" s="25" t="n">
        <f aca="false">EDATE('Start Here'!$B$6,C258-1)</f>
        <v>46692</v>
      </c>
      <c r="E258" s="11" t="n">
        <f aca="false">IF(AND(OR(Nonlabor!$D$10="Both",Nonlabor!$D$10='Start Here'!$B$9),IF(Nonlabor!$E$10="Core",1,IF(Nonlabor!$E$10="AI",'Start Here'!$B$7,'Start Here'!$B$8))=1,C258&gt;=IF(Nonlabor!$E$10="Core",Nonlabor!$F$10,MAX(Nonlabor!$F$10,IF(Nonlabor!$E$10="AI",Assumptions!$C$24,Assumptions!$C$25))),C258&lt;=Nonlabor!$G$10,OR(Nonlabor!$H$10="Monthly",AND(Nonlabor!$H$10="Once",C258=IF(Nonlabor!$E$10="Core",Nonlabor!$F$10,MAX(Nonlabor!$F$10,IF(Nonlabor!$E$10="AI",Assumptions!$C$24,Assumptions!$C$25)))),AND(Nonlabor!$H$10="Annual",MOD(C258-IF(Nonlabor!$E$10="Core",Nonlabor!$F$10,MAX(Nonlabor!$F$10,IF(Nonlabor!$E$10="AI",Assumptions!$C$24,Assumptions!$C$25))),12)=0))),IF(Nonlabor!$I$10="Fixed",1,IF(Nonlabor!$I$10="Seats",ROUNDUP('Monthly Lean'!I18,0),IF(Nonlabor!$I$10="Customers",'Monthly Lean'!D18,IF(Nonlabor!$I$10="NewCustomers",'Monthly Lean'!C18,IF(Nonlabor!$I$10="StorageGB",'Monthly Lean'!G18,IF(Nonlabor!$I$10="LogGB",'Monthly Lean'!H18,IF(Nonlabor!$I$10="RequestsM",'Monthly Lean'!F18,IF(Nonlabor!$I$10="InputM",'Monthly Lean'!D18*Assumptions!$C$22/1000000,IF(Nonlabor!$I$10="OutputM",'Monthly Lean'!D18*Assumptions!$C$23/1000000,0))))))))),0)</f>
        <v>0</v>
      </c>
      <c r="F258" s="10" t="n">
        <f aca="false">Nonlabor!$J$10*(1+Assumptions!$C$9)^INT((C258-1)/12)</f>
        <v>0.1545</v>
      </c>
      <c r="G258" s="10" t="n">
        <f aca="false">E258*F258</f>
        <v>0</v>
      </c>
      <c r="H258" s="10" t="n">
        <f aca="false">IF(OR(Nonlabor!$L$10="Quote required",Nonlabor!$L$10="Unverified"),G258,0)</f>
        <v>0</v>
      </c>
      <c r="I258" s="10" t="n">
        <f aca="false">IF(Nonlabor!$E$10="Core",0,G258)</f>
        <v>0</v>
      </c>
      <c r="J258" s="23" t="str">
        <f aca="false">Nonlabor!$B$10</f>
        <v>INFRA</v>
      </c>
    </row>
    <row r="259" customFormat="false" ht="15" hidden="false" customHeight="false" outlineLevel="0" collapsed="false">
      <c r="A259" s="6" t="s">
        <v>72</v>
      </c>
      <c r="B259" s="6" t="s">
        <v>383</v>
      </c>
      <c r="C259" s="6" t="n">
        <v>14</v>
      </c>
      <c r="D259" s="25" t="n">
        <f aca="false">EDATE('Start Here'!$B$6,C259-1)</f>
        <v>46722</v>
      </c>
      <c r="E259" s="11" t="n">
        <f aca="false">IF(AND(OR(Nonlabor!$D$10="Both",Nonlabor!$D$10='Start Here'!$B$9),IF(Nonlabor!$E$10="Core",1,IF(Nonlabor!$E$10="AI",'Start Here'!$B$7,'Start Here'!$B$8))=1,C259&gt;=IF(Nonlabor!$E$10="Core",Nonlabor!$F$10,MAX(Nonlabor!$F$10,IF(Nonlabor!$E$10="AI",Assumptions!$C$24,Assumptions!$C$25))),C259&lt;=Nonlabor!$G$10,OR(Nonlabor!$H$10="Monthly",AND(Nonlabor!$H$10="Once",C259=IF(Nonlabor!$E$10="Core",Nonlabor!$F$10,MAX(Nonlabor!$F$10,IF(Nonlabor!$E$10="AI",Assumptions!$C$24,Assumptions!$C$25)))),AND(Nonlabor!$H$10="Annual",MOD(C259-IF(Nonlabor!$E$10="Core",Nonlabor!$F$10,MAX(Nonlabor!$F$10,IF(Nonlabor!$E$10="AI",Assumptions!$C$24,Assumptions!$C$25))),12)=0))),IF(Nonlabor!$I$10="Fixed",1,IF(Nonlabor!$I$10="Seats",ROUNDUP('Monthly Lean'!I19,0),IF(Nonlabor!$I$10="Customers",'Monthly Lean'!D19,IF(Nonlabor!$I$10="NewCustomers",'Monthly Lean'!C19,IF(Nonlabor!$I$10="StorageGB",'Monthly Lean'!G19,IF(Nonlabor!$I$10="LogGB",'Monthly Lean'!H19,IF(Nonlabor!$I$10="RequestsM",'Monthly Lean'!F19,IF(Nonlabor!$I$10="InputM",'Monthly Lean'!D19*Assumptions!$C$22/1000000,IF(Nonlabor!$I$10="OutputM",'Monthly Lean'!D19*Assumptions!$C$23/1000000,0))))))))),0)</f>
        <v>0</v>
      </c>
      <c r="F259" s="10" t="n">
        <f aca="false">Nonlabor!$J$10*(1+Assumptions!$C$9)^INT((C259-1)/12)</f>
        <v>0.1545</v>
      </c>
      <c r="G259" s="10" t="n">
        <f aca="false">E259*F259</f>
        <v>0</v>
      </c>
      <c r="H259" s="10" t="n">
        <f aca="false">IF(OR(Nonlabor!$L$10="Quote required",Nonlabor!$L$10="Unverified"),G259,0)</f>
        <v>0</v>
      </c>
      <c r="I259" s="10" t="n">
        <f aca="false">IF(Nonlabor!$E$10="Core",0,G259)</f>
        <v>0</v>
      </c>
      <c r="J259" s="23" t="str">
        <f aca="false">Nonlabor!$B$10</f>
        <v>INFRA</v>
      </c>
    </row>
    <row r="260" customFormat="false" ht="15" hidden="false" customHeight="false" outlineLevel="0" collapsed="false">
      <c r="A260" s="6" t="s">
        <v>72</v>
      </c>
      <c r="B260" s="6" t="s">
        <v>383</v>
      </c>
      <c r="C260" s="6" t="n">
        <v>15</v>
      </c>
      <c r="D260" s="25" t="n">
        <f aca="false">EDATE('Start Here'!$B$6,C260-1)</f>
        <v>46753</v>
      </c>
      <c r="E260" s="11" t="n">
        <f aca="false">IF(AND(OR(Nonlabor!$D$10="Both",Nonlabor!$D$10='Start Here'!$B$9),IF(Nonlabor!$E$10="Core",1,IF(Nonlabor!$E$10="AI",'Start Here'!$B$7,'Start Here'!$B$8))=1,C260&gt;=IF(Nonlabor!$E$10="Core",Nonlabor!$F$10,MAX(Nonlabor!$F$10,IF(Nonlabor!$E$10="AI",Assumptions!$C$24,Assumptions!$C$25))),C260&lt;=Nonlabor!$G$10,OR(Nonlabor!$H$10="Monthly",AND(Nonlabor!$H$10="Once",C260=IF(Nonlabor!$E$10="Core",Nonlabor!$F$10,MAX(Nonlabor!$F$10,IF(Nonlabor!$E$10="AI",Assumptions!$C$24,Assumptions!$C$25)))),AND(Nonlabor!$H$10="Annual",MOD(C260-IF(Nonlabor!$E$10="Core",Nonlabor!$F$10,MAX(Nonlabor!$F$10,IF(Nonlabor!$E$10="AI",Assumptions!$C$24,Assumptions!$C$25))),12)=0))),IF(Nonlabor!$I$10="Fixed",1,IF(Nonlabor!$I$10="Seats",ROUNDUP('Monthly Lean'!I20,0),IF(Nonlabor!$I$10="Customers",'Monthly Lean'!D20,IF(Nonlabor!$I$10="NewCustomers",'Monthly Lean'!C20,IF(Nonlabor!$I$10="StorageGB",'Monthly Lean'!G20,IF(Nonlabor!$I$10="LogGB",'Monthly Lean'!H20,IF(Nonlabor!$I$10="RequestsM",'Monthly Lean'!F20,IF(Nonlabor!$I$10="InputM",'Monthly Lean'!D20*Assumptions!$C$22/1000000,IF(Nonlabor!$I$10="OutputM",'Monthly Lean'!D20*Assumptions!$C$23/1000000,0))))))))),0)</f>
        <v>0</v>
      </c>
      <c r="F260" s="10" t="n">
        <f aca="false">Nonlabor!$J$10*(1+Assumptions!$C$9)^INT((C260-1)/12)</f>
        <v>0.1545</v>
      </c>
      <c r="G260" s="10" t="n">
        <f aca="false">E260*F260</f>
        <v>0</v>
      </c>
      <c r="H260" s="10" t="n">
        <f aca="false">IF(OR(Nonlabor!$L$10="Quote required",Nonlabor!$L$10="Unverified"),G260,0)</f>
        <v>0</v>
      </c>
      <c r="I260" s="10" t="n">
        <f aca="false">IF(Nonlabor!$E$10="Core",0,G260)</f>
        <v>0</v>
      </c>
      <c r="J260" s="23" t="str">
        <f aca="false">Nonlabor!$B$10</f>
        <v>INFRA</v>
      </c>
    </row>
    <row r="261" customFormat="false" ht="15" hidden="false" customHeight="false" outlineLevel="0" collapsed="false">
      <c r="A261" s="6" t="s">
        <v>72</v>
      </c>
      <c r="B261" s="6" t="s">
        <v>383</v>
      </c>
      <c r="C261" s="6" t="n">
        <v>16</v>
      </c>
      <c r="D261" s="25" t="n">
        <f aca="false">EDATE('Start Here'!$B$6,C261-1)</f>
        <v>46784</v>
      </c>
      <c r="E261" s="11" t="n">
        <f aca="false">IF(AND(OR(Nonlabor!$D$10="Both",Nonlabor!$D$10='Start Here'!$B$9),IF(Nonlabor!$E$10="Core",1,IF(Nonlabor!$E$10="AI",'Start Here'!$B$7,'Start Here'!$B$8))=1,C261&gt;=IF(Nonlabor!$E$10="Core",Nonlabor!$F$10,MAX(Nonlabor!$F$10,IF(Nonlabor!$E$10="AI",Assumptions!$C$24,Assumptions!$C$25))),C261&lt;=Nonlabor!$G$10,OR(Nonlabor!$H$10="Monthly",AND(Nonlabor!$H$10="Once",C261=IF(Nonlabor!$E$10="Core",Nonlabor!$F$10,MAX(Nonlabor!$F$10,IF(Nonlabor!$E$10="AI",Assumptions!$C$24,Assumptions!$C$25)))),AND(Nonlabor!$H$10="Annual",MOD(C261-IF(Nonlabor!$E$10="Core",Nonlabor!$F$10,MAX(Nonlabor!$F$10,IF(Nonlabor!$E$10="AI",Assumptions!$C$24,Assumptions!$C$25))),12)=0))),IF(Nonlabor!$I$10="Fixed",1,IF(Nonlabor!$I$10="Seats",ROUNDUP('Monthly Lean'!I21,0),IF(Nonlabor!$I$10="Customers",'Monthly Lean'!D21,IF(Nonlabor!$I$10="NewCustomers",'Monthly Lean'!C21,IF(Nonlabor!$I$10="StorageGB",'Monthly Lean'!G21,IF(Nonlabor!$I$10="LogGB",'Monthly Lean'!H21,IF(Nonlabor!$I$10="RequestsM",'Monthly Lean'!F21,IF(Nonlabor!$I$10="InputM",'Monthly Lean'!D21*Assumptions!$C$22/1000000,IF(Nonlabor!$I$10="OutputM",'Monthly Lean'!D21*Assumptions!$C$23/1000000,0))))))))),0)</f>
        <v>1</v>
      </c>
      <c r="F261" s="10" t="n">
        <f aca="false">Nonlabor!$J$10*(1+Assumptions!$C$9)^INT((C261-1)/12)</f>
        <v>0.1545</v>
      </c>
      <c r="G261" s="10" t="n">
        <f aca="false">E261*F261</f>
        <v>0.1545</v>
      </c>
      <c r="H261" s="10" t="n">
        <f aca="false">IF(OR(Nonlabor!$L$10="Quote required",Nonlabor!$L$10="Unverified"),G261,0)</f>
        <v>0</v>
      </c>
      <c r="I261" s="10" t="n">
        <f aca="false">IF(Nonlabor!$E$10="Core",0,G261)</f>
        <v>0</v>
      </c>
      <c r="J261" s="23" t="str">
        <f aca="false">Nonlabor!$B$10</f>
        <v>INFRA</v>
      </c>
    </row>
    <row r="262" customFormat="false" ht="15" hidden="false" customHeight="false" outlineLevel="0" collapsed="false">
      <c r="A262" s="6" t="s">
        <v>72</v>
      </c>
      <c r="B262" s="6" t="s">
        <v>383</v>
      </c>
      <c r="C262" s="6" t="n">
        <v>17</v>
      </c>
      <c r="D262" s="25" t="n">
        <f aca="false">EDATE('Start Here'!$B$6,C262-1)</f>
        <v>46813</v>
      </c>
      <c r="E262" s="11" t="n">
        <f aca="false">IF(AND(OR(Nonlabor!$D$10="Both",Nonlabor!$D$10='Start Here'!$B$9),IF(Nonlabor!$E$10="Core",1,IF(Nonlabor!$E$10="AI",'Start Here'!$B$7,'Start Here'!$B$8))=1,C262&gt;=IF(Nonlabor!$E$10="Core",Nonlabor!$F$10,MAX(Nonlabor!$F$10,IF(Nonlabor!$E$10="AI",Assumptions!$C$24,Assumptions!$C$25))),C262&lt;=Nonlabor!$G$10,OR(Nonlabor!$H$10="Monthly",AND(Nonlabor!$H$10="Once",C262=IF(Nonlabor!$E$10="Core",Nonlabor!$F$10,MAX(Nonlabor!$F$10,IF(Nonlabor!$E$10="AI",Assumptions!$C$24,Assumptions!$C$25)))),AND(Nonlabor!$H$10="Annual",MOD(C262-IF(Nonlabor!$E$10="Core",Nonlabor!$F$10,MAX(Nonlabor!$F$10,IF(Nonlabor!$E$10="AI",Assumptions!$C$24,Assumptions!$C$25))),12)=0))),IF(Nonlabor!$I$10="Fixed",1,IF(Nonlabor!$I$10="Seats",ROUNDUP('Monthly Lean'!I22,0),IF(Nonlabor!$I$10="Customers",'Monthly Lean'!D22,IF(Nonlabor!$I$10="NewCustomers",'Monthly Lean'!C22,IF(Nonlabor!$I$10="StorageGB",'Monthly Lean'!G22,IF(Nonlabor!$I$10="LogGB",'Monthly Lean'!H22,IF(Nonlabor!$I$10="RequestsM",'Monthly Lean'!F22,IF(Nonlabor!$I$10="InputM",'Monthly Lean'!D22*Assumptions!$C$22/1000000,IF(Nonlabor!$I$10="OutputM",'Monthly Lean'!D22*Assumptions!$C$23/1000000,0))))))))),0)</f>
        <v>1.985</v>
      </c>
      <c r="F262" s="10" t="n">
        <f aca="false">Nonlabor!$J$10*(1+Assumptions!$C$9)^INT((C262-1)/12)</f>
        <v>0.1545</v>
      </c>
      <c r="G262" s="10" t="n">
        <f aca="false">E262*F262</f>
        <v>0.3066825</v>
      </c>
      <c r="H262" s="10" t="n">
        <f aca="false">IF(OR(Nonlabor!$L$10="Quote required",Nonlabor!$L$10="Unverified"),G262,0)</f>
        <v>0</v>
      </c>
      <c r="I262" s="10" t="n">
        <f aca="false">IF(Nonlabor!$E$10="Core",0,G262)</f>
        <v>0</v>
      </c>
      <c r="J262" s="23" t="str">
        <f aca="false">Nonlabor!$B$10</f>
        <v>INFRA</v>
      </c>
    </row>
    <row r="263" customFormat="false" ht="15" hidden="false" customHeight="false" outlineLevel="0" collapsed="false">
      <c r="A263" s="6" t="s">
        <v>72</v>
      </c>
      <c r="B263" s="6" t="s">
        <v>383</v>
      </c>
      <c r="C263" s="6" t="n">
        <v>18</v>
      </c>
      <c r="D263" s="25" t="n">
        <f aca="false">EDATE('Start Here'!$B$6,C263-1)</f>
        <v>46844</v>
      </c>
      <c r="E263" s="11" t="n">
        <f aca="false">IF(AND(OR(Nonlabor!$D$10="Both",Nonlabor!$D$10='Start Here'!$B$9),IF(Nonlabor!$E$10="Core",1,IF(Nonlabor!$E$10="AI",'Start Here'!$B$7,'Start Here'!$B$8))=1,C263&gt;=IF(Nonlabor!$E$10="Core",Nonlabor!$F$10,MAX(Nonlabor!$F$10,IF(Nonlabor!$E$10="AI",Assumptions!$C$24,Assumptions!$C$25))),C263&lt;=Nonlabor!$G$10,OR(Nonlabor!$H$10="Monthly",AND(Nonlabor!$H$10="Once",C263=IF(Nonlabor!$E$10="Core",Nonlabor!$F$10,MAX(Nonlabor!$F$10,IF(Nonlabor!$E$10="AI",Assumptions!$C$24,Assumptions!$C$25)))),AND(Nonlabor!$H$10="Annual",MOD(C263-IF(Nonlabor!$E$10="Core",Nonlabor!$F$10,MAX(Nonlabor!$F$10,IF(Nonlabor!$E$10="AI",Assumptions!$C$24,Assumptions!$C$25))),12)=0))),IF(Nonlabor!$I$10="Fixed",1,IF(Nonlabor!$I$10="Seats",ROUNDUP('Monthly Lean'!I23,0),IF(Nonlabor!$I$10="Customers",'Monthly Lean'!D23,IF(Nonlabor!$I$10="NewCustomers",'Monthly Lean'!C23,IF(Nonlabor!$I$10="StorageGB",'Monthly Lean'!G23,IF(Nonlabor!$I$10="LogGB",'Monthly Lean'!H23,IF(Nonlabor!$I$10="RequestsM",'Monthly Lean'!F23,IF(Nonlabor!$I$10="InputM",'Monthly Lean'!D23*Assumptions!$C$22/1000000,IF(Nonlabor!$I$10="OutputM",'Monthly Lean'!D23*Assumptions!$C$23/1000000,0))))))))),0)</f>
        <v>2.955225</v>
      </c>
      <c r="F263" s="10" t="n">
        <f aca="false">Nonlabor!$J$10*(1+Assumptions!$C$9)^INT((C263-1)/12)</f>
        <v>0.1545</v>
      </c>
      <c r="G263" s="10" t="n">
        <f aca="false">E263*F263</f>
        <v>0.4565822625</v>
      </c>
      <c r="H263" s="10" t="n">
        <f aca="false">IF(OR(Nonlabor!$L$10="Quote required",Nonlabor!$L$10="Unverified"),G263,0)</f>
        <v>0</v>
      </c>
      <c r="I263" s="10" t="n">
        <f aca="false">IF(Nonlabor!$E$10="Core",0,G263)</f>
        <v>0</v>
      </c>
      <c r="J263" s="23" t="str">
        <f aca="false">Nonlabor!$B$10</f>
        <v>INFRA</v>
      </c>
    </row>
    <row r="264" customFormat="false" ht="15" hidden="false" customHeight="false" outlineLevel="0" collapsed="false">
      <c r="A264" s="6" t="s">
        <v>72</v>
      </c>
      <c r="B264" s="6" t="s">
        <v>383</v>
      </c>
      <c r="C264" s="6" t="n">
        <v>19</v>
      </c>
      <c r="D264" s="25" t="n">
        <f aca="false">EDATE('Start Here'!$B$6,C264-1)</f>
        <v>46874</v>
      </c>
      <c r="E264" s="11" t="n">
        <f aca="false">IF(AND(OR(Nonlabor!$D$10="Both",Nonlabor!$D$10='Start Here'!$B$9),IF(Nonlabor!$E$10="Core",1,IF(Nonlabor!$E$10="AI",'Start Here'!$B$7,'Start Here'!$B$8))=1,C264&gt;=IF(Nonlabor!$E$10="Core",Nonlabor!$F$10,MAX(Nonlabor!$F$10,IF(Nonlabor!$E$10="AI",Assumptions!$C$24,Assumptions!$C$25))),C264&lt;=Nonlabor!$G$10,OR(Nonlabor!$H$10="Monthly",AND(Nonlabor!$H$10="Once",C264=IF(Nonlabor!$E$10="Core",Nonlabor!$F$10,MAX(Nonlabor!$F$10,IF(Nonlabor!$E$10="AI",Assumptions!$C$24,Assumptions!$C$25)))),AND(Nonlabor!$H$10="Annual",MOD(C264-IF(Nonlabor!$E$10="Core",Nonlabor!$F$10,MAX(Nonlabor!$F$10,IF(Nonlabor!$E$10="AI",Assumptions!$C$24,Assumptions!$C$25))),12)=0))),IF(Nonlabor!$I$10="Fixed",1,IF(Nonlabor!$I$10="Seats",ROUNDUP('Monthly Lean'!I24,0),IF(Nonlabor!$I$10="Customers",'Monthly Lean'!D24,IF(Nonlabor!$I$10="NewCustomers",'Monthly Lean'!C24,IF(Nonlabor!$I$10="StorageGB",'Monthly Lean'!G24,IF(Nonlabor!$I$10="LogGB",'Monthly Lean'!H24,IF(Nonlabor!$I$10="RequestsM",'Monthly Lean'!F24,IF(Nonlabor!$I$10="InputM",'Monthly Lean'!D24*Assumptions!$C$22/1000000,IF(Nonlabor!$I$10="OutputM",'Monthly Lean'!D24*Assumptions!$C$23/1000000,0))))))))),0)</f>
        <v>3.910896625</v>
      </c>
      <c r="F264" s="10" t="n">
        <f aca="false">Nonlabor!$J$10*(1+Assumptions!$C$9)^INT((C264-1)/12)</f>
        <v>0.1545</v>
      </c>
      <c r="G264" s="10" t="n">
        <f aca="false">E264*F264</f>
        <v>0.6042335285625</v>
      </c>
      <c r="H264" s="10" t="n">
        <f aca="false">IF(OR(Nonlabor!$L$10="Quote required",Nonlabor!$L$10="Unverified"),G264,0)</f>
        <v>0</v>
      </c>
      <c r="I264" s="10" t="n">
        <f aca="false">IF(Nonlabor!$E$10="Core",0,G264)</f>
        <v>0</v>
      </c>
      <c r="J264" s="23" t="str">
        <f aca="false">Nonlabor!$B$10</f>
        <v>INFRA</v>
      </c>
    </row>
    <row r="265" customFormat="false" ht="15" hidden="false" customHeight="false" outlineLevel="0" collapsed="false">
      <c r="A265" s="6" t="s">
        <v>72</v>
      </c>
      <c r="B265" s="6" t="s">
        <v>383</v>
      </c>
      <c r="C265" s="6" t="n">
        <v>20</v>
      </c>
      <c r="D265" s="25" t="n">
        <f aca="false">EDATE('Start Here'!$B$6,C265-1)</f>
        <v>46905</v>
      </c>
      <c r="E265" s="11" t="n">
        <f aca="false">IF(AND(OR(Nonlabor!$D$10="Both",Nonlabor!$D$10='Start Here'!$B$9),IF(Nonlabor!$E$10="Core",1,IF(Nonlabor!$E$10="AI",'Start Here'!$B$7,'Start Here'!$B$8))=1,C265&gt;=IF(Nonlabor!$E$10="Core",Nonlabor!$F$10,MAX(Nonlabor!$F$10,IF(Nonlabor!$E$10="AI",Assumptions!$C$24,Assumptions!$C$25))),C265&lt;=Nonlabor!$G$10,OR(Nonlabor!$H$10="Monthly",AND(Nonlabor!$H$10="Once",C265=IF(Nonlabor!$E$10="Core",Nonlabor!$F$10,MAX(Nonlabor!$F$10,IF(Nonlabor!$E$10="AI",Assumptions!$C$24,Assumptions!$C$25)))),AND(Nonlabor!$H$10="Annual",MOD(C265-IF(Nonlabor!$E$10="Core",Nonlabor!$F$10,MAX(Nonlabor!$F$10,IF(Nonlabor!$E$10="AI",Assumptions!$C$24,Assumptions!$C$25))),12)=0))),IF(Nonlabor!$I$10="Fixed",1,IF(Nonlabor!$I$10="Seats",ROUNDUP('Monthly Lean'!I25,0),IF(Nonlabor!$I$10="Customers",'Monthly Lean'!D25,IF(Nonlabor!$I$10="NewCustomers",'Monthly Lean'!C25,IF(Nonlabor!$I$10="StorageGB",'Monthly Lean'!G25,IF(Nonlabor!$I$10="LogGB",'Monthly Lean'!H25,IF(Nonlabor!$I$10="RequestsM",'Monthly Lean'!F25,IF(Nonlabor!$I$10="InputM",'Monthly Lean'!D25*Assumptions!$C$22/1000000,IF(Nonlabor!$I$10="OutputM",'Monthly Lean'!D25*Assumptions!$C$23/1000000,0))))))))),0)</f>
        <v>4.852233175625</v>
      </c>
      <c r="F265" s="10" t="n">
        <f aca="false">Nonlabor!$J$10*(1+Assumptions!$C$9)^INT((C265-1)/12)</f>
        <v>0.1545</v>
      </c>
      <c r="G265" s="10" t="n">
        <f aca="false">E265*F265</f>
        <v>0.749670025634062</v>
      </c>
      <c r="H265" s="10" t="n">
        <f aca="false">IF(OR(Nonlabor!$L$10="Quote required",Nonlabor!$L$10="Unverified"),G265,0)</f>
        <v>0</v>
      </c>
      <c r="I265" s="10" t="n">
        <f aca="false">IF(Nonlabor!$E$10="Core",0,G265)</f>
        <v>0</v>
      </c>
      <c r="J265" s="23" t="str">
        <f aca="false">Nonlabor!$B$10</f>
        <v>INFRA</v>
      </c>
    </row>
    <row r="266" customFormat="false" ht="15" hidden="false" customHeight="false" outlineLevel="0" collapsed="false">
      <c r="A266" s="6" t="s">
        <v>72</v>
      </c>
      <c r="B266" s="6" t="s">
        <v>383</v>
      </c>
      <c r="C266" s="6" t="n">
        <v>21</v>
      </c>
      <c r="D266" s="25" t="n">
        <f aca="false">EDATE('Start Here'!$B$6,C266-1)</f>
        <v>46935</v>
      </c>
      <c r="E266" s="11" t="n">
        <f aca="false">IF(AND(OR(Nonlabor!$D$10="Both",Nonlabor!$D$10='Start Here'!$B$9),IF(Nonlabor!$E$10="Core",1,IF(Nonlabor!$E$10="AI",'Start Here'!$B$7,'Start Here'!$B$8))=1,C266&gt;=IF(Nonlabor!$E$10="Core",Nonlabor!$F$10,MAX(Nonlabor!$F$10,IF(Nonlabor!$E$10="AI",Assumptions!$C$24,Assumptions!$C$25))),C266&lt;=Nonlabor!$G$10,OR(Nonlabor!$H$10="Monthly",AND(Nonlabor!$H$10="Once",C266=IF(Nonlabor!$E$10="Core",Nonlabor!$F$10,MAX(Nonlabor!$F$10,IF(Nonlabor!$E$10="AI",Assumptions!$C$24,Assumptions!$C$25)))),AND(Nonlabor!$H$10="Annual",MOD(C266-IF(Nonlabor!$E$10="Core",Nonlabor!$F$10,MAX(Nonlabor!$F$10,IF(Nonlabor!$E$10="AI",Assumptions!$C$24,Assumptions!$C$25))),12)=0))),IF(Nonlabor!$I$10="Fixed",1,IF(Nonlabor!$I$10="Seats",ROUNDUP('Monthly Lean'!I26,0),IF(Nonlabor!$I$10="Customers",'Monthly Lean'!D26,IF(Nonlabor!$I$10="NewCustomers",'Monthly Lean'!C26,IF(Nonlabor!$I$10="StorageGB",'Monthly Lean'!G26,IF(Nonlabor!$I$10="LogGB",'Monthly Lean'!H26,IF(Nonlabor!$I$10="RequestsM",'Monthly Lean'!F26,IF(Nonlabor!$I$10="InputM",'Monthly Lean'!D26*Assumptions!$C$22/1000000,IF(Nonlabor!$I$10="OutputM",'Monthly Lean'!D26*Assumptions!$C$23/1000000,0))))))))),0)</f>
        <v>5.77944967799062</v>
      </c>
      <c r="F266" s="10" t="n">
        <f aca="false">Nonlabor!$J$10*(1+Assumptions!$C$9)^INT((C266-1)/12)</f>
        <v>0.1545</v>
      </c>
      <c r="G266" s="10" t="n">
        <f aca="false">E266*F266</f>
        <v>0.892924975249551</v>
      </c>
      <c r="H266" s="10" t="n">
        <f aca="false">IF(OR(Nonlabor!$L$10="Quote required",Nonlabor!$L$10="Unverified"),G266,0)</f>
        <v>0</v>
      </c>
      <c r="I266" s="10" t="n">
        <f aca="false">IF(Nonlabor!$E$10="Core",0,G266)</f>
        <v>0</v>
      </c>
      <c r="J266" s="23" t="str">
        <f aca="false">Nonlabor!$B$10</f>
        <v>INFRA</v>
      </c>
    </row>
    <row r="267" customFormat="false" ht="15" hidden="false" customHeight="false" outlineLevel="0" collapsed="false">
      <c r="A267" s="6" t="s">
        <v>72</v>
      </c>
      <c r="B267" s="6" t="s">
        <v>383</v>
      </c>
      <c r="C267" s="6" t="n">
        <v>22</v>
      </c>
      <c r="D267" s="25" t="n">
        <f aca="false">EDATE('Start Here'!$B$6,C267-1)</f>
        <v>46966</v>
      </c>
      <c r="E267" s="11" t="n">
        <f aca="false">IF(AND(OR(Nonlabor!$D$10="Both",Nonlabor!$D$10='Start Here'!$B$9),IF(Nonlabor!$E$10="Core",1,IF(Nonlabor!$E$10="AI",'Start Here'!$B$7,'Start Here'!$B$8))=1,C267&gt;=IF(Nonlabor!$E$10="Core",Nonlabor!$F$10,MAX(Nonlabor!$F$10,IF(Nonlabor!$E$10="AI",Assumptions!$C$24,Assumptions!$C$25))),C267&lt;=Nonlabor!$G$10,OR(Nonlabor!$H$10="Monthly",AND(Nonlabor!$H$10="Once",C267=IF(Nonlabor!$E$10="Core",Nonlabor!$F$10,MAX(Nonlabor!$F$10,IF(Nonlabor!$E$10="AI",Assumptions!$C$24,Assumptions!$C$25)))),AND(Nonlabor!$H$10="Annual",MOD(C267-IF(Nonlabor!$E$10="Core",Nonlabor!$F$10,MAX(Nonlabor!$F$10,IF(Nonlabor!$E$10="AI",Assumptions!$C$24,Assumptions!$C$25))),12)=0))),IF(Nonlabor!$I$10="Fixed",1,IF(Nonlabor!$I$10="Seats",ROUNDUP('Monthly Lean'!I27,0),IF(Nonlabor!$I$10="Customers",'Monthly Lean'!D27,IF(Nonlabor!$I$10="NewCustomers",'Monthly Lean'!C27,IF(Nonlabor!$I$10="StorageGB",'Monthly Lean'!G27,IF(Nonlabor!$I$10="LogGB",'Monthly Lean'!H27,IF(Nonlabor!$I$10="RequestsM",'Monthly Lean'!F27,IF(Nonlabor!$I$10="InputM",'Monthly Lean'!D27*Assumptions!$C$22/1000000,IF(Nonlabor!$I$10="OutputM",'Monthly Lean'!D27*Assumptions!$C$23/1000000,0))))))))),0)</f>
        <v>6.69275793282077</v>
      </c>
      <c r="F267" s="10" t="n">
        <f aca="false">Nonlabor!$J$10*(1+Assumptions!$C$9)^INT((C267-1)/12)</f>
        <v>0.1545</v>
      </c>
      <c r="G267" s="10" t="n">
        <f aca="false">E267*F267</f>
        <v>1.03403110062081</v>
      </c>
      <c r="H267" s="10" t="n">
        <f aca="false">IF(OR(Nonlabor!$L$10="Quote required",Nonlabor!$L$10="Unverified"),G267,0)</f>
        <v>0</v>
      </c>
      <c r="I267" s="10" t="n">
        <f aca="false">IF(Nonlabor!$E$10="Core",0,G267)</f>
        <v>0</v>
      </c>
      <c r="J267" s="23" t="str">
        <f aca="false">Nonlabor!$B$10</f>
        <v>INFRA</v>
      </c>
    </row>
    <row r="268" customFormat="false" ht="15" hidden="false" customHeight="false" outlineLevel="0" collapsed="false">
      <c r="A268" s="6" t="s">
        <v>72</v>
      </c>
      <c r="B268" s="6" t="s">
        <v>383</v>
      </c>
      <c r="C268" s="6" t="n">
        <v>23</v>
      </c>
      <c r="D268" s="25" t="n">
        <f aca="false">EDATE('Start Here'!$B$6,C268-1)</f>
        <v>46997</v>
      </c>
      <c r="E268" s="11" t="n">
        <f aca="false">IF(AND(OR(Nonlabor!$D$10="Both",Nonlabor!$D$10='Start Here'!$B$9),IF(Nonlabor!$E$10="Core",1,IF(Nonlabor!$E$10="AI",'Start Here'!$B$7,'Start Here'!$B$8))=1,C268&gt;=IF(Nonlabor!$E$10="Core",Nonlabor!$F$10,MAX(Nonlabor!$F$10,IF(Nonlabor!$E$10="AI",Assumptions!$C$24,Assumptions!$C$25))),C268&lt;=Nonlabor!$G$10,OR(Nonlabor!$H$10="Monthly",AND(Nonlabor!$H$10="Once",C268=IF(Nonlabor!$E$10="Core",Nonlabor!$F$10,MAX(Nonlabor!$F$10,IF(Nonlabor!$E$10="AI",Assumptions!$C$24,Assumptions!$C$25)))),AND(Nonlabor!$H$10="Annual",MOD(C268-IF(Nonlabor!$E$10="Core",Nonlabor!$F$10,MAX(Nonlabor!$F$10,IF(Nonlabor!$E$10="AI",Assumptions!$C$24,Assumptions!$C$25))),12)=0))),IF(Nonlabor!$I$10="Fixed",1,IF(Nonlabor!$I$10="Seats",ROUNDUP('Monthly Lean'!I28,0),IF(Nonlabor!$I$10="Customers",'Monthly Lean'!D28,IF(Nonlabor!$I$10="NewCustomers",'Monthly Lean'!C28,IF(Nonlabor!$I$10="StorageGB",'Monthly Lean'!G28,IF(Nonlabor!$I$10="LogGB",'Monthly Lean'!H28,IF(Nonlabor!$I$10="RequestsM",'Monthly Lean'!F28,IF(Nonlabor!$I$10="InputM",'Monthly Lean'!D28*Assumptions!$C$22/1000000,IF(Nonlabor!$I$10="OutputM",'Monthly Lean'!D28*Assumptions!$C$23/1000000,0))))))))),0)</f>
        <v>7.59236656382845</v>
      </c>
      <c r="F268" s="10" t="n">
        <f aca="false">Nonlabor!$J$10*(1+Assumptions!$C$9)^INT((C268-1)/12)</f>
        <v>0.1545</v>
      </c>
      <c r="G268" s="10" t="n">
        <f aca="false">E268*F268</f>
        <v>1.1730206341115</v>
      </c>
      <c r="H268" s="10" t="n">
        <f aca="false">IF(OR(Nonlabor!$L$10="Quote required",Nonlabor!$L$10="Unverified"),G268,0)</f>
        <v>0</v>
      </c>
      <c r="I268" s="10" t="n">
        <f aca="false">IF(Nonlabor!$E$10="Core",0,G268)</f>
        <v>0</v>
      </c>
      <c r="J268" s="23" t="str">
        <f aca="false">Nonlabor!$B$10</f>
        <v>INFRA</v>
      </c>
    </row>
    <row r="269" customFormat="false" ht="15" hidden="false" customHeight="false" outlineLevel="0" collapsed="false">
      <c r="A269" s="6" t="s">
        <v>72</v>
      </c>
      <c r="B269" s="6" t="s">
        <v>383</v>
      </c>
      <c r="C269" s="6" t="n">
        <v>24</v>
      </c>
      <c r="D269" s="25" t="n">
        <f aca="false">EDATE('Start Here'!$B$6,C269-1)</f>
        <v>47027</v>
      </c>
      <c r="E269" s="11" t="n">
        <f aca="false">IF(AND(OR(Nonlabor!$D$10="Both",Nonlabor!$D$10='Start Here'!$B$9),IF(Nonlabor!$E$10="Core",1,IF(Nonlabor!$E$10="AI",'Start Here'!$B$7,'Start Here'!$B$8))=1,C269&gt;=IF(Nonlabor!$E$10="Core",Nonlabor!$F$10,MAX(Nonlabor!$F$10,IF(Nonlabor!$E$10="AI",Assumptions!$C$24,Assumptions!$C$25))),C269&lt;=Nonlabor!$G$10,OR(Nonlabor!$H$10="Monthly",AND(Nonlabor!$H$10="Once",C269=IF(Nonlabor!$E$10="Core",Nonlabor!$F$10,MAX(Nonlabor!$F$10,IF(Nonlabor!$E$10="AI",Assumptions!$C$24,Assumptions!$C$25)))),AND(Nonlabor!$H$10="Annual",MOD(C269-IF(Nonlabor!$E$10="Core",Nonlabor!$F$10,MAX(Nonlabor!$F$10,IF(Nonlabor!$E$10="AI",Assumptions!$C$24,Assumptions!$C$25))),12)=0))),IF(Nonlabor!$I$10="Fixed",1,IF(Nonlabor!$I$10="Seats",ROUNDUP('Monthly Lean'!I29,0),IF(Nonlabor!$I$10="Customers",'Monthly Lean'!D29,IF(Nonlabor!$I$10="NewCustomers",'Monthly Lean'!C29,IF(Nonlabor!$I$10="StorageGB",'Monthly Lean'!G29,IF(Nonlabor!$I$10="LogGB",'Monthly Lean'!H29,IF(Nonlabor!$I$10="RequestsM",'Monthly Lean'!F29,IF(Nonlabor!$I$10="InputM",'Monthly Lean'!D29*Assumptions!$C$22/1000000,IF(Nonlabor!$I$10="OutputM",'Monthly Lean'!D29*Assumptions!$C$23/1000000,0))))))))),0)</f>
        <v>8.47848106537103</v>
      </c>
      <c r="F269" s="10" t="n">
        <f aca="false">Nonlabor!$J$10*(1+Assumptions!$C$9)^INT((C269-1)/12)</f>
        <v>0.1545</v>
      </c>
      <c r="G269" s="10" t="n">
        <f aca="false">E269*F269</f>
        <v>1.30992532459982</v>
      </c>
      <c r="H269" s="10" t="n">
        <f aca="false">IF(OR(Nonlabor!$L$10="Quote required",Nonlabor!$L$10="Unverified"),G269,0)</f>
        <v>0</v>
      </c>
      <c r="I269" s="10" t="n">
        <f aca="false">IF(Nonlabor!$E$10="Core",0,G269)</f>
        <v>0</v>
      </c>
      <c r="J269" s="23" t="str">
        <f aca="false">Nonlabor!$B$10</f>
        <v>INFRA</v>
      </c>
    </row>
    <row r="270" customFormat="false" ht="15" hidden="false" customHeight="false" outlineLevel="0" collapsed="false">
      <c r="A270" s="6" t="s">
        <v>72</v>
      </c>
      <c r="B270" s="6" t="s">
        <v>383</v>
      </c>
      <c r="C270" s="6" t="n">
        <v>25</v>
      </c>
      <c r="D270" s="25" t="n">
        <f aca="false">EDATE('Start Here'!$B$6,C270-1)</f>
        <v>47058</v>
      </c>
      <c r="E270" s="11" t="n">
        <f aca="false">IF(AND(OR(Nonlabor!$D$10="Both",Nonlabor!$D$10='Start Here'!$B$9),IF(Nonlabor!$E$10="Core",1,IF(Nonlabor!$E$10="AI",'Start Here'!$B$7,'Start Here'!$B$8))=1,C270&gt;=IF(Nonlabor!$E$10="Core",Nonlabor!$F$10,MAX(Nonlabor!$F$10,IF(Nonlabor!$E$10="AI",Assumptions!$C$24,Assumptions!$C$25))),C270&lt;=Nonlabor!$G$10,OR(Nonlabor!$H$10="Monthly",AND(Nonlabor!$H$10="Once",C270=IF(Nonlabor!$E$10="Core",Nonlabor!$F$10,MAX(Nonlabor!$F$10,IF(Nonlabor!$E$10="AI",Assumptions!$C$24,Assumptions!$C$25)))),AND(Nonlabor!$H$10="Annual",MOD(C270-IF(Nonlabor!$E$10="Core",Nonlabor!$F$10,MAX(Nonlabor!$F$10,IF(Nonlabor!$E$10="AI",Assumptions!$C$24,Assumptions!$C$25))),12)=0))),IF(Nonlabor!$I$10="Fixed",1,IF(Nonlabor!$I$10="Seats",ROUNDUP('Monthly Lean'!I30,0),IF(Nonlabor!$I$10="Customers",'Monthly Lean'!D30,IF(Nonlabor!$I$10="NewCustomers",'Monthly Lean'!C30,IF(Nonlabor!$I$10="StorageGB",'Monthly Lean'!G30,IF(Nonlabor!$I$10="LogGB",'Monthly Lean'!H30,IF(Nonlabor!$I$10="RequestsM",'Monthly Lean'!F30,IF(Nonlabor!$I$10="InputM",'Monthly Lean'!D30*Assumptions!$C$22/1000000,IF(Nonlabor!$I$10="OutputM",'Monthly Lean'!D30*Assumptions!$C$23/1000000,0))))))))),0)</f>
        <v>9.35130384939046</v>
      </c>
      <c r="F270" s="10" t="n">
        <f aca="false">Nonlabor!$J$10*(1+Assumptions!$C$9)^INT((C270-1)/12)</f>
        <v>0.159135</v>
      </c>
      <c r="G270" s="10" t="n">
        <f aca="false">E270*F270</f>
        <v>1.48811973807275</v>
      </c>
      <c r="H270" s="10" t="n">
        <f aca="false">IF(OR(Nonlabor!$L$10="Quote required",Nonlabor!$L$10="Unverified"),G270,0)</f>
        <v>0</v>
      </c>
      <c r="I270" s="10" t="n">
        <f aca="false">IF(Nonlabor!$E$10="Core",0,G270)</f>
        <v>0</v>
      </c>
      <c r="J270" s="23" t="str">
        <f aca="false">Nonlabor!$B$10</f>
        <v>INFRA</v>
      </c>
    </row>
    <row r="271" customFormat="false" ht="15" hidden="false" customHeight="false" outlineLevel="0" collapsed="false">
      <c r="A271" s="6" t="s">
        <v>72</v>
      </c>
      <c r="B271" s="6" t="s">
        <v>383</v>
      </c>
      <c r="C271" s="6" t="n">
        <v>26</v>
      </c>
      <c r="D271" s="25" t="n">
        <f aca="false">EDATE('Start Here'!$B$6,C271-1)</f>
        <v>47088</v>
      </c>
      <c r="E271" s="11" t="n">
        <f aca="false">IF(AND(OR(Nonlabor!$D$10="Both",Nonlabor!$D$10='Start Here'!$B$9),IF(Nonlabor!$E$10="Core",1,IF(Nonlabor!$E$10="AI",'Start Here'!$B$7,'Start Here'!$B$8))=1,C271&gt;=IF(Nonlabor!$E$10="Core",Nonlabor!$F$10,MAX(Nonlabor!$F$10,IF(Nonlabor!$E$10="AI",Assumptions!$C$24,Assumptions!$C$25))),C271&lt;=Nonlabor!$G$10,OR(Nonlabor!$H$10="Monthly",AND(Nonlabor!$H$10="Once",C271=IF(Nonlabor!$E$10="Core",Nonlabor!$F$10,MAX(Nonlabor!$F$10,IF(Nonlabor!$E$10="AI",Assumptions!$C$24,Assumptions!$C$25)))),AND(Nonlabor!$H$10="Annual",MOD(C271-IF(Nonlabor!$E$10="Core",Nonlabor!$F$10,MAX(Nonlabor!$F$10,IF(Nonlabor!$E$10="AI",Assumptions!$C$24,Assumptions!$C$25))),12)=0))),IF(Nonlabor!$I$10="Fixed",1,IF(Nonlabor!$I$10="Seats",ROUNDUP('Monthly Lean'!I31,0),IF(Nonlabor!$I$10="Customers",'Monthly Lean'!D31,IF(Nonlabor!$I$10="NewCustomers",'Monthly Lean'!C31,IF(Nonlabor!$I$10="StorageGB",'Monthly Lean'!G31,IF(Nonlabor!$I$10="LogGB",'Monthly Lean'!H31,IF(Nonlabor!$I$10="RequestsM",'Monthly Lean'!F31,IF(Nonlabor!$I$10="InputM",'Monthly Lean'!D31*Assumptions!$C$22/1000000,IF(Nonlabor!$I$10="OutputM",'Monthly Lean'!D31*Assumptions!$C$23/1000000,0))))))))),0)</f>
        <v>10.2110342916496</v>
      </c>
      <c r="F271" s="10" t="n">
        <f aca="false">Nonlabor!$J$10*(1+Assumptions!$C$9)^INT((C271-1)/12)</f>
        <v>0.159135</v>
      </c>
      <c r="G271" s="10" t="n">
        <f aca="false">E271*F271</f>
        <v>1.62493294200166</v>
      </c>
      <c r="H271" s="10" t="n">
        <f aca="false">IF(OR(Nonlabor!$L$10="Quote required",Nonlabor!$L$10="Unverified"),G271,0)</f>
        <v>0</v>
      </c>
      <c r="I271" s="10" t="n">
        <f aca="false">IF(Nonlabor!$E$10="Core",0,G271)</f>
        <v>0</v>
      </c>
      <c r="J271" s="23" t="str">
        <f aca="false">Nonlabor!$B$10</f>
        <v>INFRA</v>
      </c>
    </row>
    <row r="272" customFormat="false" ht="15" hidden="false" customHeight="false" outlineLevel="0" collapsed="false">
      <c r="A272" s="6" t="s">
        <v>72</v>
      </c>
      <c r="B272" s="6" t="s">
        <v>383</v>
      </c>
      <c r="C272" s="6" t="n">
        <v>27</v>
      </c>
      <c r="D272" s="25" t="n">
        <f aca="false">EDATE('Start Here'!$B$6,C272-1)</f>
        <v>47119</v>
      </c>
      <c r="E272" s="11" t="n">
        <f aca="false">IF(AND(OR(Nonlabor!$D$10="Both",Nonlabor!$D$10='Start Here'!$B$9),IF(Nonlabor!$E$10="Core",1,IF(Nonlabor!$E$10="AI",'Start Here'!$B$7,'Start Here'!$B$8))=1,C272&gt;=IF(Nonlabor!$E$10="Core",Nonlabor!$F$10,MAX(Nonlabor!$F$10,IF(Nonlabor!$E$10="AI",Assumptions!$C$24,Assumptions!$C$25))),C272&lt;=Nonlabor!$G$10,OR(Nonlabor!$H$10="Monthly",AND(Nonlabor!$H$10="Once",C272=IF(Nonlabor!$E$10="Core",Nonlabor!$F$10,MAX(Nonlabor!$F$10,IF(Nonlabor!$E$10="AI",Assumptions!$C$24,Assumptions!$C$25)))),AND(Nonlabor!$H$10="Annual",MOD(C272-IF(Nonlabor!$E$10="Core",Nonlabor!$F$10,MAX(Nonlabor!$F$10,IF(Nonlabor!$E$10="AI",Assumptions!$C$24,Assumptions!$C$25))),12)=0))),IF(Nonlabor!$I$10="Fixed",1,IF(Nonlabor!$I$10="Seats",ROUNDUP('Monthly Lean'!I32,0),IF(Nonlabor!$I$10="Customers",'Monthly Lean'!D32,IF(Nonlabor!$I$10="NewCustomers",'Monthly Lean'!C32,IF(Nonlabor!$I$10="StorageGB",'Monthly Lean'!G32,IF(Nonlabor!$I$10="LogGB",'Monthly Lean'!H32,IF(Nonlabor!$I$10="RequestsM",'Monthly Lean'!F32,IF(Nonlabor!$I$10="InputM",'Monthly Lean'!D32*Assumptions!$C$22/1000000,IF(Nonlabor!$I$10="OutputM",'Monthly Lean'!D32*Assumptions!$C$23/1000000,0))))))))),0)</f>
        <v>11.0578687772749</v>
      </c>
      <c r="F272" s="10" t="n">
        <f aca="false">Nonlabor!$J$10*(1+Assumptions!$C$9)^INT((C272-1)/12)</f>
        <v>0.159135</v>
      </c>
      <c r="G272" s="10" t="n">
        <f aca="false">E272*F272</f>
        <v>1.75969394787163</v>
      </c>
      <c r="H272" s="10" t="n">
        <f aca="false">IF(OR(Nonlabor!$L$10="Quote required",Nonlabor!$L$10="Unverified"),G272,0)</f>
        <v>0</v>
      </c>
      <c r="I272" s="10" t="n">
        <f aca="false">IF(Nonlabor!$E$10="Core",0,G272)</f>
        <v>0</v>
      </c>
      <c r="J272" s="23" t="str">
        <f aca="false">Nonlabor!$B$10</f>
        <v>INFRA</v>
      </c>
    </row>
    <row r="273" customFormat="false" ht="15" hidden="false" customHeight="false" outlineLevel="0" collapsed="false">
      <c r="A273" s="6" t="s">
        <v>72</v>
      </c>
      <c r="B273" s="6" t="s">
        <v>383</v>
      </c>
      <c r="C273" s="6" t="n">
        <v>28</v>
      </c>
      <c r="D273" s="25" t="n">
        <f aca="false">EDATE('Start Here'!$B$6,C273-1)</f>
        <v>47150</v>
      </c>
      <c r="E273" s="11" t="n">
        <f aca="false">IF(AND(OR(Nonlabor!$D$10="Both",Nonlabor!$D$10='Start Here'!$B$9),IF(Nonlabor!$E$10="Core",1,IF(Nonlabor!$E$10="AI",'Start Here'!$B$7,'Start Here'!$B$8))=1,C273&gt;=IF(Nonlabor!$E$10="Core",Nonlabor!$F$10,MAX(Nonlabor!$F$10,IF(Nonlabor!$E$10="AI",Assumptions!$C$24,Assumptions!$C$25))),C273&lt;=Nonlabor!$G$10,OR(Nonlabor!$H$10="Monthly",AND(Nonlabor!$H$10="Once",C273=IF(Nonlabor!$E$10="Core",Nonlabor!$F$10,MAX(Nonlabor!$F$10,IF(Nonlabor!$E$10="AI",Assumptions!$C$24,Assumptions!$C$25)))),AND(Nonlabor!$H$10="Annual",MOD(C273-IF(Nonlabor!$E$10="Core",Nonlabor!$F$10,MAX(Nonlabor!$F$10,IF(Nonlabor!$E$10="AI",Assumptions!$C$24,Assumptions!$C$25))),12)=0))),IF(Nonlabor!$I$10="Fixed",1,IF(Nonlabor!$I$10="Seats",ROUNDUP('Monthly Lean'!I33,0),IF(Nonlabor!$I$10="Customers",'Monthly Lean'!D33,IF(Nonlabor!$I$10="NewCustomers",'Monthly Lean'!C33,IF(Nonlabor!$I$10="StorageGB",'Monthly Lean'!G33,IF(Nonlabor!$I$10="LogGB",'Monthly Lean'!H33,IF(Nonlabor!$I$10="RequestsM",'Monthly Lean'!F33,IF(Nonlabor!$I$10="InputM",'Monthly Lean'!D33*Assumptions!$C$22/1000000,IF(Nonlabor!$I$10="OutputM",'Monthly Lean'!D33*Assumptions!$C$23/1000000,0))))))))),0)</f>
        <v>12.1420007456157</v>
      </c>
      <c r="F273" s="10" t="n">
        <f aca="false">Nonlabor!$J$10*(1+Assumptions!$C$9)^INT((C273-1)/12)</f>
        <v>0.159135</v>
      </c>
      <c r="G273" s="10" t="n">
        <f aca="false">E273*F273</f>
        <v>1.93221728865356</v>
      </c>
      <c r="H273" s="10" t="n">
        <f aca="false">IF(OR(Nonlabor!$L$10="Quote required",Nonlabor!$L$10="Unverified"),G273,0)</f>
        <v>0</v>
      </c>
      <c r="I273" s="10" t="n">
        <f aca="false">IF(Nonlabor!$E$10="Core",0,G273)</f>
        <v>0</v>
      </c>
      <c r="J273" s="23" t="str">
        <f aca="false">Nonlabor!$B$10</f>
        <v>INFRA</v>
      </c>
    </row>
    <row r="274" customFormat="false" ht="15" hidden="false" customHeight="false" outlineLevel="0" collapsed="false">
      <c r="A274" s="6" t="s">
        <v>72</v>
      </c>
      <c r="B274" s="6" t="s">
        <v>383</v>
      </c>
      <c r="C274" s="6" t="n">
        <v>29</v>
      </c>
      <c r="D274" s="25" t="n">
        <f aca="false">EDATE('Start Here'!$B$6,C274-1)</f>
        <v>47178</v>
      </c>
      <c r="E274" s="11" t="n">
        <f aca="false">IF(AND(OR(Nonlabor!$D$10="Both",Nonlabor!$D$10='Start Here'!$B$9),IF(Nonlabor!$E$10="Core",1,IF(Nonlabor!$E$10="AI",'Start Here'!$B$7,'Start Here'!$B$8))=1,C274&gt;=IF(Nonlabor!$E$10="Core",Nonlabor!$F$10,MAX(Nonlabor!$F$10,IF(Nonlabor!$E$10="AI",Assumptions!$C$24,Assumptions!$C$25))),C274&lt;=Nonlabor!$G$10,OR(Nonlabor!$H$10="Monthly",AND(Nonlabor!$H$10="Once",C274=IF(Nonlabor!$E$10="Core",Nonlabor!$F$10,MAX(Nonlabor!$F$10,IF(Nonlabor!$E$10="AI",Assumptions!$C$24,Assumptions!$C$25)))),AND(Nonlabor!$H$10="Annual",MOD(C274-IF(Nonlabor!$E$10="Core",Nonlabor!$F$10,MAX(Nonlabor!$F$10,IF(Nonlabor!$E$10="AI",Assumptions!$C$24,Assumptions!$C$25))),12)=0))),IF(Nonlabor!$I$10="Fixed",1,IF(Nonlabor!$I$10="Seats",ROUNDUP('Monthly Lean'!I34,0),IF(Nonlabor!$I$10="Customers",'Monthly Lean'!D34,IF(Nonlabor!$I$10="NewCustomers",'Monthly Lean'!C34,IF(Nonlabor!$I$10="StorageGB",'Monthly Lean'!G34,IF(Nonlabor!$I$10="LogGB",'Monthly Lean'!H34,IF(Nonlabor!$I$10="RequestsM",'Monthly Lean'!F34,IF(Nonlabor!$I$10="InputM",'Monthly Lean'!D34*Assumptions!$C$22/1000000,IF(Nonlabor!$I$10="OutputM",'Monthly Lean'!D34*Assumptions!$C$23/1000000,0))))))))),0)</f>
        <v>13.2098707344315</v>
      </c>
      <c r="F274" s="10" t="n">
        <f aca="false">Nonlabor!$J$10*(1+Assumptions!$C$9)^INT((C274-1)/12)</f>
        <v>0.159135</v>
      </c>
      <c r="G274" s="10" t="n">
        <f aca="false">E274*F274</f>
        <v>2.10215277932376</v>
      </c>
      <c r="H274" s="10" t="n">
        <f aca="false">IF(OR(Nonlabor!$L$10="Quote required",Nonlabor!$L$10="Unverified"),G274,0)</f>
        <v>0</v>
      </c>
      <c r="I274" s="10" t="n">
        <f aca="false">IF(Nonlabor!$E$10="Core",0,G274)</f>
        <v>0</v>
      </c>
      <c r="J274" s="23" t="str">
        <f aca="false">Nonlabor!$B$10</f>
        <v>INFRA</v>
      </c>
    </row>
    <row r="275" customFormat="false" ht="15" hidden="false" customHeight="false" outlineLevel="0" collapsed="false">
      <c r="A275" s="6" t="s">
        <v>72</v>
      </c>
      <c r="B275" s="6" t="s">
        <v>383</v>
      </c>
      <c r="C275" s="6" t="n">
        <v>30</v>
      </c>
      <c r="D275" s="25" t="n">
        <f aca="false">EDATE('Start Here'!$B$6,C275-1)</f>
        <v>47209</v>
      </c>
      <c r="E275" s="11" t="n">
        <f aca="false">IF(AND(OR(Nonlabor!$D$10="Both",Nonlabor!$D$10='Start Here'!$B$9),IF(Nonlabor!$E$10="Core",1,IF(Nonlabor!$E$10="AI",'Start Here'!$B$7,'Start Here'!$B$8))=1,C275&gt;=IF(Nonlabor!$E$10="Core",Nonlabor!$F$10,MAX(Nonlabor!$F$10,IF(Nonlabor!$E$10="AI",Assumptions!$C$24,Assumptions!$C$25))),C275&lt;=Nonlabor!$G$10,OR(Nonlabor!$H$10="Monthly",AND(Nonlabor!$H$10="Once",C275=IF(Nonlabor!$E$10="Core",Nonlabor!$F$10,MAX(Nonlabor!$F$10,IF(Nonlabor!$E$10="AI",Assumptions!$C$24,Assumptions!$C$25)))),AND(Nonlabor!$H$10="Annual",MOD(C275-IF(Nonlabor!$E$10="Core",Nonlabor!$F$10,MAX(Nonlabor!$F$10,IF(Nonlabor!$E$10="AI",Assumptions!$C$24,Assumptions!$C$25))),12)=0))),IF(Nonlabor!$I$10="Fixed",1,IF(Nonlabor!$I$10="Seats",ROUNDUP('Monthly Lean'!I35,0),IF(Nonlabor!$I$10="Customers",'Monthly Lean'!D35,IF(Nonlabor!$I$10="NewCustomers",'Monthly Lean'!C35,IF(Nonlabor!$I$10="StorageGB",'Monthly Lean'!G35,IF(Nonlabor!$I$10="LogGB",'Monthly Lean'!H35,IF(Nonlabor!$I$10="RequestsM",'Monthly Lean'!F35,IF(Nonlabor!$I$10="InputM",'Monthly Lean'!D35*Assumptions!$C$22/1000000,IF(Nonlabor!$I$10="OutputM",'Monthly Lean'!D35*Assumptions!$C$23/1000000,0))))))))),0)</f>
        <v>14.261722673415</v>
      </c>
      <c r="F275" s="10" t="n">
        <f aca="false">Nonlabor!$J$10*(1+Assumptions!$C$9)^INT((C275-1)/12)</f>
        <v>0.159135</v>
      </c>
      <c r="G275" s="10" t="n">
        <f aca="false">E275*F275</f>
        <v>2.2695392376339</v>
      </c>
      <c r="H275" s="10" t="n">
        <f aca="false">IF(OR(Nonlabor!$L$10="Quote required",Nonlabor!$L$10="Unverified"),G275,0)</f>
        <v>0</v>
      </c>
      <c r="I275" s="10" t="n">
        <f aca="false">IF(Nonlabor!$E$10="Core",0,G275)</f>
        <v>0</v>
      </c>
      <c r="J275" s="23" t="str">
        <f aca="false">Nonlabor!$B$10</f>
        <v>INFRA</v>
      </c>
    </row>
    <row r="276" customFormat="false" ht="15" hidden="false" customHeight="false" outlineLevel="0" collapsed="false">
      <c r="A276" s="6" t="s">
        <v>72</v>
      </c>
      <c r="B276" s="6" t="s">
        <v>383</v>
      </c>
      <c r="C276" s="6" t="n">
        <v>31</v>
      </c>
      <c r="D276" s="25" t="n">
        <f aca="false">EDATE('Start Here'!$B$6,C276-1)</f>
        <v>47239</v>
      </c>
      <c r="E276" s="11" t="n">
        <f aca="false">IF(AND(OR(Nonlabor!$D$10="Both",Nonlabor!$D$10='Start Here'!$B$9),IF(Nonlabor!$E$10="Core",1,IF(Nonlabor!$E$10="AI",'Start Here'!$B$7,'Start Here'!$B$8))=1,C276&gt;=IF(Nonlabor!$E$10="Core",Nonlabor!$F$10,MAX(Nonlabor!$F$10,IF(Nonlabor!$E$10="AI",Assumptions!$C$24,Assumptions!$C$25))),C276&lt;=Nonlabor!$G$10,OR(Nonlabor!$H$10="Monthly",AND(Nonlabor!$H$10="Once",C276=IF(Nonlabor!$E$10="Core",Nonlabor!$F$10,MAX(Nonlabor!$F$10,IF(Nonlabor!$E$10="AI",Assumptions!$C$24,Assumptions!$C$25)))),AND(Nonlabor!$H$10="Annual",MOD(C276-IF(Nonlabor!$E$10="Core",Nonlabor!$F$10,MAX(Nonlabor!$F$10,IF(Nonlabor!$E$10="AI",Assumptions!$C$24,Assumptions!$C$25))),12)=0))),IF(Nonlabor!$I$10="Fixed",1,IF(Nonlabor!$I$10="Seats",ROUNDUP('Monthly Lean'!I36,0),IF(Nonlabor!$I$10="Customers",'Monthly Lean'!D36,IF(Nonlabor!$I$10="NewCustomers",'Monthly Lean'!C36,IF(Nonlabor!$I$10="StorageGB",'Monthly Lean'!G36,IF(Nonlabor!$I$10="LogGB",'Monthly Lean'!H36,IF(Nonlabor!$I$10="RequestsM",'Monthly Lean'!F36,IF(Nonlabor!$I$10="InputM",'Monthly Lean'!D36*Assumptions!$C$22/1000000,IF(Nonlabor!$I$10="OutputM",'Monthly Lean'!D36*Assumptions!$C$23/1000000,0))))))))),0)</f>
        <v>15.2977968333138</v>
      </c>
      <c r="F276" s="10" t="n">
        <f aca="false">Nonlabor!$J$10*(1+Assumptions!$C$9)^INT((C276-1)/12)</f>
        <v>0.159135</v>
      </c>
      <c r="G276" s="10" t="n">
        <f aca="false">E276*F276</f>
        <v>2.43441489906939</v>
      </c>
      <c r="H276" s="10" t="n">
        <f aca="false">IF(OR(Nonlabor!$L$10="Quote required",Nonlabor!$L$10="Unverified"),G276,0)</f>
        <v>0</v>
      </c>
      <c r="I276" s="10" t="n">
        <f aca="false">IF(Nonlabor!$E$10="Core",0,G276)</f>
        <v>0</v>
      </c>
      <c r="J276" s="23" t="str">
        <f aca="false">Nonlabor!$B$10</f>
        <v>INFRA</v>
      </c>
    </row>
    <row r="277" customFormat="false" ht="15" hidden="false" customHeight="false" outlineLevel="0" collapsed="false">
      <c r="A277" s="6" t="s">
        <v>72</v>
      </c>
      <c r="B277" s="6" t="s">
        <v>383</v>
      </c>
      <c r="C277" s="6" t="n">
        <v>32</v>
      </c>
      <c r="D277" s="25" t="n">
        <f aca="false">EDATE('Start Here'!$B$6,C277-1)</f>
        <v>47270</v>
      </c>
      <c r="E277" s="11" t="n">
        <f aca="false">IF(AND(OR(Nonlabor!$D$10="Both",Nonlabor!$D$10='Start Here'!$B$9),IF(Nonlabor!$E$10="Core",1,IF(Nonlabor!$E$10="AI",'Start Here'!$B$7,'Start Here'!$B$8))=1,C277&gt;=IF(Nonlabor!$E$10="Core",Nonlabor!$F$10,MAX(Nonlabor!$F$10,IF(Nonlabor!$E$10="AI",Assumptions!$C$24,Assumptions!$C$25))),C277&lt;=Nonlabor!$G$10,OR(Nonlabor!$H$10="Monthly",AND(Nonlabor!$H$10="Once",C277=IF(Nonlabor!$E$10="Core",Nonlabor!$F$10,MAX(Nonlabor!$F$10,IF(Nonlabor!$E$10="AI",Assumptions!$C$24,Assumptions!$C$25)))),AND(Nonlabor!$H$10="Annual",MOD(C277-IF(Nonlabor!$E$10="Core",Nonlabor!$F$10,MAX(Nonlabor!$F$10,IF(Nonlabor!$E$10="AI",Assumptions!$C$24,Assumptions!$C$25))),12)=0))),IF(Nonlabor!$I$10="Fixed",1,IF(Nonlabor!$I$10="Seats",ROUNDUP('Monthly Lean'!I37,0),IF(Nonlabor!$I$10="Customers",'Monthly Lean'!D37,IF(Nonlabor!$I$10="NewCustomers",'Monthly Lean'!C37,IF(Nonlabor!$I$10="StorageGB",'Monthly Lean'!G37,IF(Nonlabor!$I$10="LogGB",'Monthly Lean'!H37,IF(Nonlabor!$I$10="RequestsM",'Monthly Lean'!F37,IF(Nonlabor!$I$10="InputM",'Monthly Lean'!D37*Assumptions!$C$22/1000000,IF(Nonlabor!$I$10="OutputM",'Monthly Lean'!D37*Assumptions!$C$23/1000000,0))))))))),0)</f>
        <v>16.3183298808141</v>
      </c>
      <c r="F277" s="10" t="n">
        <f aca="false">Nonlabor!$J$10*(1+Assumptions!$C$9)^INT((C277-1)/12)</f>
        <v>0.159135</v>
      </c>
      <c r="G277" s="10" t="n">
        <f aca="false">E277*F277</f>
        <v>2.59681742558335</v>
      </c>
      <c r="H277" s="10" t="n">
        <f aca="false">IF(OR(Nonlabor!$L$10="Quote required",Nonlabor!$L$10="Unverified"),G277,0)</f>
        <v>0</v>
      </c>
      <c r="I277" s="10" t="n">
        <f aca="false">IF(Nonlabor!$E$10="Core",0,G277)</f>
        <v>0</v>
      </c>
      <c r="J277" s="23" t="str">
        <f aca="false">Nonlabor!$B$10</f>
        <v>INFRA</v>
      </c>
    </row>
    <row r="278" customFormat="false" ht="15" hidden="false" customHeight="false" outlineLevel="0" collapsed="false">
      <c r="A278" s="6" t="s">
        <v>72</v>
      </c>
      <c r="B278" s="6" t="s">
        <v>383</v>
      </c>
      <c r="C278" s="6" t="n">
        <v>33</v>
      </c>
      <c r="D278" s="25" t="n">
        <f aca="false">EDATE('Start Here'!$B$6,C278-1)</f>
        <v>47300</v>
      </c>
      <c r="E278" s="11" t="n">
        <f aca="false">IF(AND(OR(Nonlabor!$D$10="Both",Nonlabor!$D$10='Start Here'!$B$9),IF(Nonlabor!$E$10="Core",1,IF(Nonlabor!$E$10="AI",'Start Here'!$B$7,'Start Here'!$B$8))=1,C278&gt;=IF(Nonlabor!$E$10="Core",Nonlabor!$F$10,MAX(Nonlabor!$F$10,IF(Nonlabor!$E$10="AI",Assumptions!$C$24,Assumptions!$C$25))),C278&lt;=Nonlabor!$G$10,OR(Nonlabor!$H$10="Monthly",AND(Nonlabor!$H$10="Once",C278=IF(Nonlabor!$E$10="Core",Nonlabor!$F$10,MAX(Nonlabor!$F$10,IF(Nonlabor!$E$10="AI",Assumptions!$C$24,Assumptions!$C$25)))),AND(Nonlabor!$H$10="Annual",MOD(C278-IF(Nonlabor!$E$10="Core",Nonlabor!$F$10,MAX(Nonlabor!$F$10,IF(Nonlabor!$E$10="AI",Assumptions!$C$24,Assumptions!$C$25))),12)=0))),IF(Nonlabor!$I$10="Fixed",1,IF(Nonlabor!$I$10="Seats",ROUNDUP('Monthly Lean'!I38,0),IF(Nonlabor!$I$10="Customers",'Monthly Lean'!D38,IF(Nonlabor!$I$10="NewCustomers",'Monthly Lean'!C38,IF(Nonlabor!$I$10="StorageGB",'Monthly Lean'!G38,IF(Nonlabor!$I$10="LogGB",'Monthly Lean'!H38,IF(Nonlabor!$I$10="RequestsM",'Monthly Lean'!F38,IF(Nonlabor!$I$10="InputM",'Monthly Lean'!D38*Assumptions!$C$22/1000000,IF(Nonlabor!$I$10="OutputM",'Monthly Lean'!D38*Assumptions!$C$23/1000000,0))))))))),0)</f>
        <v>17.3235549326019</v>
      </c>
      <c r="F278" s="10" t="n">
        <f aca="false">Nonlabor!$J$10*(1+Assumptions!$C$9)^INT((C278-1)/12)</f>
        <v>0.159135</v>
      </c>
      <c r="G278" s="10" t="n">
        <f aca="false">E278*F278</f>
        <v>2.7567839141996</v>
      </c>
      <c r="H278" s="10" t="n">
        <f aca="false">IF(OR(Nonlabor!$L$10="Quote required",Nonlabor!$L$10="Unverified"),G278,0)</f>
        <v>0</v>
      </c>
      <c r="I278" s="10" t="n">
        <f aca="false">IF(Nonlabor!$E$10="Core",0,G278)</f>
        <v>0</v>
      </c>
      <c r="J278" s="23" t="str">
        <f aca="false">Nonlabor!$B$10</f>
        <v>INFRA</v>
      </c>
    </row>
    <row r="279" customFormat="false" ht="15" hidden="false" customHeight="false" outlineLevel="0" collapsed="false">
      <c r="A279" s="6" t="s">
        <v>72</v>
      </c>
      <c r="B279" s="6" t="s">
        <v>383</v>
      </c>
      <c r="C279" s="6" t="n">
        <v>34</v>
      </c>
      <c r="D279" s="25" t="n">
        <f aca="false">EDATE('Start Here'!$B$6,C279-1)</f>
        <v>47331</v>
      </c>
      <c r="E279" s="11" t="n">
        <f aca="false">IF(AND(OR(Nonlabor!$D$10="Both",Nonlabor!$D$10='Start Here'!$B$9),IF(Nonlabor!$E$10="Core",1,IF(Nonlabor!$E$10="AI",'Start Here'!$B$7,'Start Here'!$B$8))=1,C279&gt;=IF(Nonlabor!$E$10="Core",Nonlabor!$F$10,MAX(Nonlabor!$F$10,IF(Nonlabor!$E$10="AI",Assumptions!$C$24,Assumptions!$C$25))),C279&lt;=Nonlabor!$G$10,OR(Nonlabor!$H$10="Monthly",AND(Nonlabor!$H$10="Once",C279=IF(Nonlabor!$E$10="Core",Nonlabor!$F$10,MAX(Nonlabor!$F$10,IF(Nonlabor!$E$10="AI",Assumptions!$C$24,Assumptions!$C$25)))),AND(Nonlabor!$H$10="Annual",MOD(C279-IF(Nonlabor!$E$10="Core",Nonlabor!$F$10,MAX(Nonlabor!$F$10,IF(Nonlabor!$E$10="AI",Assumptions!$C$24,Assumptions!$C$25))),12)=0))),IF(Nonlabor!$I$10="Fixed",1,IF(Nonlabor!$I$10="Seats",ROUNDUP('Monthly Lean'!I39,0),IF(Nonlabor!$I$10="Customers",'Monthly Lean'!D39,IF(Nonlabor!$I$10="NewCustomers",'Monthly Lean'!C39,IF(Nonlabor!$I$10="StorageGB",'Monthly Lean'!G39,IF(Nonlabor!$I$10="LogGB",'Monthly Lean'!H39,IF(Nonlabor!$I$10="RequestsM",'Monthly Lean'!F39,IF(Nonlabor!$I$10="InputM",'Monthly Lean'!D39*Assumptions!$C$22/1000000,IF(Nonlabor!$I$10="OutputM",'Monthly Lean'!D39*Assumptions!$C$23/1000000,0))))))))),0)</f>
        <v>18.3137016086129</v>
      </c>
      <c r="F279" s="10" t="n">
        <f aca="false">Nonlabor!$J$10*(1+Assumptions!$C$9)^INT((C279-1)/12)</f>
        <v>0.159135</v>
      </c>
      <c r="G279" s="10" t="n">
        <f aca="false">E279*F279</f>
        <v>2.91435090548661</v>
      </c>
      <c r="H279" s="10" t="n">
        <f aca="false">IF(OR(Nonlabor!$L$10="Quote required",Nonlabor!$L$10="Unverified"),G279,0)</f>
        <v>0</v>
      </c>
      <c r="I279" s="10" t="n">
        <f aca="false">IF(Nonlabor!$E$10="Core",0,G279)</f>
        <v>0</v>
      </c>
      <c r="J279" s="23" t="str">
        <f aca="false">Nonlabor!$B$10</f>
        <v>INFRA</v>
      </c>
    </row>
    <row r="280" customFormat="false" ht="15" hidden="false" customHeight="false" outlineLevel="0" collapsed="false">
      <c r="A280" s="6" t="s">
        <v>72</v>
      </c>
      <c r="B280" s="6" t="s">
        <v>383</v>
      </c>
      <c r="C280" s="6" t="n">
        <v>35</v>
      </c>
      <c r="D280" s="25" t="n">
        <f aca="false">EDATE('Start Here'!$B$6,C280-1)</f>
        <v>47362</v>
      </c>
      <c r="E280" s="11" t="n">
        <f aca="false">IF(AND(OR(Nonlabor!$D$10="Both",Nonlabor!$D$10='Start Here'!$B$9),IF(Nonlabor!$E$10="Core",1,IF(Nonlabor!$E$10="AI",'Start Here'!$B$7,'Start Here'!$B$8))=1,C280&gt;=IF(Nonlabor!$E$10="Core",Nonlabor!$F$10,MAX(Nonlabor!$F$10,IF(Nonlabor!$E$10="AI",Assumptions!$C$24,Assumptions!$C$25))),C280&lt;=Nonlabor!$G$10,OR(Nonlabor!$H$10="Monthly",AND(Nonlabor!$H$10="Once",C280=IF(Nonlabor!$E$10="Core",Nonlabor!$F$10,MAX(Nonlabor!$F$10,IF(Nonlabor!$E$10="AI",Assumptions!$C$24,Assumptions!$C$25)))),AND(Nonlabor!$H$10="Annual",MOD(C280-IF(Nonlabor!$E$10="Core",Nonlabor!$F$10,MAX(Nonlabor!$F$10,IF(Nonlabor!$E$10="AI",Assumptions!$C$24,Assumptions!$C$25))),12)=0))),IF(Nonlabor!$I$10="Fixed",1,IF(Nonlabor!$I$10="Seats",ROUNDUP('Monthly Lean'!I40,0),IF(Nonlabor!$I$10="Customers",'Monthly Lean'!D40,IF(Nonlabor!$I$10="NewCustomers",'Monthly Lean'!C40,IF(Nonlabor!$I$10="StorageGB",'Monthly Lean'!G40,IF(Nonlabor!$I$10="LogGB",'Monthly Lean'!H40,IF(Nonlabor!$I$10="RequestsM",'Monthly Lean'!F40,IF(Nonlabor!$I$10="InputM",'Monthly Lean'!D40*Assumptions!$C$22/1000000,IF(Nonlabor!$I$10="OutputM",'Monthly Lean'!D40*Assumptions!$C$23/1000000,0))))))))),0)</f>
        <v>19.2889960844837</v>
      </c>
      <c r="F280" s="10" t="n">
        <f aca="false">Nonlabor!$J$10*(1+Assumptions!$C$9)^INT((C280-1)/12)</f>
        <v>0.159135</v>
      </c>
      <c r="G280" s="10" t="n">
        <f aca="false">E280*F280</f>
        <v>3.06955439190431</v>
      </c>
      <c r="H280" s="10" t="n">
        <f aca="false">IF(OR(Nonlabor!$L$10="Quote required",Nonlabor!$L$10="Unverified"),G280,0)</f>
        <v>0</v>
      </c>
      <c r="I280" s="10" t="n">
        <f aca="false">IF(Nonlabor!$E$10="Core",0,G280)</f>
        <v>0</v>
      </c>
      <c r="J280" s="23" t="str">
        <f aca="false">Nonlabor!$B$10</f>
        <v>INFRA</v>
      </c>
    </row>
    <row r="281" customFormat="false" ht="15" hidden="false" customHeight="false" outlineLevel="0" collapsed="false">
      <c r="A281" s="6" t="s">
        <v>72</v>
      </c>
      <c r="B281" s="6" t="s">
        <v>383</v>
      </c>
      <c r="C281" s="6" t="n">
        <v>36</v>
      </c>
      <c r="D281" s="25" t="n">
        <f aca="false">EDATE('Start Here'!$B$6,C281-1)</f>
        <v>47392</v>
      </c>
      <c r="E281" s="11" t="n">
        <f aca="false">IF(AND(OR(Nonlabor!$D$10="Both",Nonlabor!$D$10='Start Here'!$B$9),IF(Nonlabor!$E$10="Core",1,IF(Nonlabor!$E$10="AI",'Start Here'!$B$7,'Start Here'!$B$8))=1,C281&gt;=IF(Nonlabor!$E$10="Core",Nonlabor!$F$10,MAX(Nonlabor!$F$10,IF(Nonlabor!$E$10="AI",Assumptions!$C$24,Assumptions!$C$25))),C281&lt;=Nonlabor!$G$10,OR(Nonlabor!$H$10="Monthly",AND(Nonlabor!$H$10="Once",C281=IF(Nonlabor!$E$10="Core",Nonlabor!$F$10,MAX(Nonlabor!$F$10,IF(Nonlabor!$E$10="AI",Assumptions!$C$24,Assumptions!$C$25)))),AND(Nonlabor!$H$10="Annual",MOD(C281-IF(Nonlabor!$E$10="Core",Nonlabor!$F$10,MAX(Nonlabor!$F$10,IF(Nonlabor!$E$10="AI",Assumptions!$C$24,Assumptions!$C$25))),12)=0))),IF(Nonlabor!$I$10="Fixed",1,IF(Nonlabor!$I$10="Seats",ROUNDUP('Monthly Lean'!I41,0),IF(Nonlabor!$I$10="Customers",'Monthly Lean'!D41,IF(Nonlabor!$I$10="NewCustomers",'Monthly Lean'!C41,IF(Nonlabor!$I$10="StorageGB",'Monthly Lean'!G41,IF(Nonlabor!$I$10="LogGB",'Monthly Lean'!H41,IF(Nonlabor!$I$10="RequestsM",'Monthly Lean'!F41,IF(Nonlabor!$I$10="InputM",'Monthly Lean'!D41*Assumptions!$C$22/1000000,IF(Nonlabor!$I$10="OutputM",'Monthly Lean'!D41*Assumptions!$C$23/1000000,0))))))))),0)</f>
        <v>20.2496611432164</v>
      </c>
      <c r="F281" s="10" t="n">
        <f aca="false">Nonlabor!$J$10*(1+Assumptions!$C$9)^INT((C281-1)/12)</f>
        <v>0.159135</v>
      </c>
      <c r="G281" s="10" t="n">
        <f aca="false">E281*F281</f>
        <v>3.22242982602574</v>
      </c>
      <c r="H281" s="10" t="n">
        <f aca="false">IF(OR(Nonlabor!$L$10="Quote required",Nonlabor!$L$10="Unverified"),G281,0)</f>
        <v>0</v>
      </c>
      <c r="I281" s="10" t="n">
        <f aca="false">IF(Nonlabor!$E$10="Core",0,G281)</f>
        <v>0</v>
      </c>
      <c r="J281" s="23" t="str">
        <f aca="false">Nonlabor!$B$10</f>
        <v>INFRA</v>
      </c>
    </row>
    <row r="282" customFormat="false" ht="15" hidden="false" customHeight="false" outlineLevel="0" collapsed="false">
      <c r="A282" s="6" t="s">
        <v>72</v>
      </c>
      <c r="B282" s="6" t="s">
        <v>383</v>
      </c>
      <c r="C282" s="6" t="n">
        <v>37</v>
      </c>
      <c r="D282" s="25" t="n">
        <f aca="false">EDATE('Start Here'!$B$6,C282-1)</f>
        <v>47423</v>
      </c>
      <c r="E282" s="11" t="n">
        <f aca="false">IF(AND(OR(Nonlabor!$D$10="Both",Nonlabor!$D$10='Start Here'!$B$9),IF(Nonlabor!$E$10="Core",1,IF(Nonlabor!$E$10="AI",'Start Here'!$B$7,'Start Here'!$B$8))=1,C282&gt;=IF(Nonlabor!$E$10="Core",Nonlabor!$F$10,MAX(Nonlabor!$F$10,IF(Nonlabor!$E$10="AI",Assumptions!$C$24,Assumptions!$C$25))),C282&lt;=Nonlabor!$G$10,OR(Nonlabor!$H$10="Monthly",AND(Nonlabor!$H$10="Once",C282=IF(Nonlabor!$E$10="Core",Nonlabor!$F$10,MAX(Nonlabor!$F$10,IF(Nonlabor!$E$10="AI",Assumptions!$C$24,Assumptions!$C$25)))),AND(Nonlabor!$H$10="Annual",MOD(C282-IF(Nonlabor!$E$10="Core",Nonlabor!$F$10,MAX(Nonlabor!$F$10,IF(Nonlabor!$E$10="AI",Assumptions!$C$24,Assumptions!$C$25))),12)=0))),IF(Nonlabor!$I$10="Fixed",1,IF(Nonlabor!$I$10="Seats",ROUNDUP('Monthly Lean'!I42,0),IF(Nonlabor!$I$10="Customers",'Monthly Lean'!D42,IF(Nonlabor!$I$10="NewCustomers",'Monthly Lean'!C42,IF(Nonlabor!$I$10="StorageGB",'Monthly Lean'!G42,IF(Nonlabor!$I$10="LogGB",'Monthly Lean'!H42,IF(Nonlabor!$I$10="RequestsM",'Monthly Lean'!F42,IF(Nonlabor!$I$10="InputM",'Monthly Lean'!D42*Assumptions!$C$22/1000000,IF(Nonlabor!$I$10="OutputM",'Monthly Lean'!D42*Assumptions!$C$23/1000000,0))))))))),0)</f>
        <v>21.1959162260682</v>
      </c>
      <c r="F282" s="10" t="n">
        <f aca="false">Nonlabor!$J$10*(1+Assumptions!$C$9)^INT((C282-1)/12)</f>
        <v>0.16390905</v>
      </c>
      <c r="G282" s="10" t="n">
        <f aca="false">E282*F282</f>
        <v>3.47420249249442</v>
      </c>
      <c r="H282" s="10" t="n">
        <f aca="false">IF(OR(Nonlabor!$L$10="Quote required",Nonlabor!$L$10="Unverified"),G282,0)</f>
        <v>0</v>
      </c>
      <c r="I282" s="10" t="n">
        <f aca="false">IF(Nonlabor!$E$10="Core",0,G282)</f>
        <v>0</v>
      </c>
      <c r="J282" s="23" t="str">
        <f aca="false">Nonlabor!$B$10</f>
        <v>INFRA</v>
      </c>
    </row>
    <row r="283" customFormat="false" ht="15" hidden="false" customHeight="false" outlineLevel="0" collapsed="false">
      <c r="A283" s="6" t="s">
        <v>72</v>
      </c>
      <c r="B283" s="6" t="s">
        <v>383</v>
      </c>
      <c r="C283" s="6" t="n">
        <v>38</v>
      </c>
      <c r="D283" s="25" t="n">
        <f aca="false">EDATE('Start Here'!$B$6,C283-1)</f>
        <v>47453</v>
      </c>
      <c r="E283" s="11" t="n">
        <f aca="false">IF(AND(OR(Nonlabor!$D$10="Both",Nonlabor!$D$10='Start Here'!$B$9),IF(Nonlabor!$E$10="Core",1,IF(Nonlabor!$E$10="AI",'Start Here'!$B$7,'Start Here'!$B$8))=1,C283&gt;=IF(Nonlabor!$E$10="Core",Nonlabor!$F$10,MAX(Nonlabor!$F$10,IF(Nonlabor!$E$10="AI",Assumptions!$C$24,Assumptions!$C$25))),C283&lt;=Nonlabor!$G$10,OR(Nonlabor!$H$10="Monthly",AND(Nonlabor!$H$10="Once",C283=IF(Nonlabor!$E$10="Core",Nonlabor!$F$10,MAX(Nonlabor!$F$10,IF(Nonlabor!$E$10="AI",Assumptions!$C$24,Assumptions!$C$25)))),AND(Nonlabor!$H$10="Annual",MOD(C283-IF(Nonlabor!$E$10="Core",Nonlabor!$F$10,MAX(Nonlabor!$F$10,IF(Nonlabor!$E$10="AI",Assumptions!$C$24,Assumptions!$C$25))),12)=0))),IF(Nonlabor!$I$10="Fixed",1,IF(Nonlabor!$I$10="Seats",ROUNDUP('Monthly Lean'!I43,0),IF(Nonlabor!$I$10="Customers",'Monthly Lean'!D43,IF(Nonlabor!$I$10="NewCustomers",'Monthly Lean'!C43,IF(Nonlabor!$I$10="StorageGB",'Monthly Lean'!G43,IF(Nonlabor!$I$10="LogGB",'Monthly Lean'!H43,IF(Nonlabor!$I$10="RequestsM",'Monthly Lean'!F43,IF(Nonlabor!$I$10="InputM",'Monthly Lean'!D43*Assumptions!$C$22/1000000,IF(Nonlabor!$I$10="OutputM",'Monthly Lean'!D43*Assumptions!$C$23/1000000,0))))))))),0)</f>
        <v>22.1279774826771</v>
      </c>
      <c r="F283" s="10" t="n">
        <f aca="false">Nonlabor!$J$10*(1+Assumptions!$C$9)^INT((C283-1)/12)</f>
        <v>0.16390905</v>
      </c>
      <c r="G283" s="10" t="n">
        <f aca="false">E283*F283</f>
        <v>3.626975767607</v>
      </c>
      <c r="H283" s="10" t="n">
        <f aca="false">IF(OR(Nonlabor!$L$10="Quote required",Nonlabor!$L$10="Unverified"),G283,0)</f>
        <v>0</v>
      </c>
      <c r="I283" s="10" t="n">
        <f aca="false">IF(Nonlabor!$E$10="Core",0,G283)</f>
        <v>0</v>
      </c>
      <c r="J283" s="23" t="str">
        <f aca="false">Nonlabor!$B$10</f>
        <v>INFRA</v>
      </c>
    </row>
    <row r="284" customFormat="false" ht="15" hidden="false" customHeight="false" outlineLevel="0" collapsed="false">
      <c r="A284" s="6" t="s">
        <v>72</v>
      </c>
      <c r="B284" s="6" t="s">
        <v>383</v>
      </c>
      <c r="C284" s="6" t="n">
        <v>39</v>
      </c>
      <c r="D284" s="25" t="n">
        <f aca="false">EDATE('Start Here'!$B$6,C284-1)</f>
        <v>47484</v>
      </c>
      <c r="E284" s="11" t="n">
        <f aca="false">IF(AND(OR(Nonlabor!$D$10="Both",Nonlabor!$D$10='Start Here'!$B$9),IF(Nonlabor!$E$10="Core",1,IF(Nonlabor!$E$10="AI",'Start Here'!$B$7,'Start Here'!$B$8))=1,C284&gt;=IF(Nonlabor!$E$10="Core",Nonlabor!$F$10,MAX(Nonlabor!$F$10,IF(Nonlabor!$E$10="AI",Assumptions!$C$24,Assumptions!$C$25))),C284&lt;=Nonlabor!$G$10,OR(Nonlabor!$H$10="Monthly",AND(Nonlabor!$H$10="Once",C284=IF(Nonlabor!$E$10="Core",Nonlabor!$F$10,MAX(Nonlabor!$F$10,IF(Nonlabor!$E$10="AI",Assumptions!$C$24,Assumptions!$C$25)))),AND(Nonlabor!$H$10="Annual",MOD(C284-IF(Nonlabor!$E$10="Core",Nonlabor!$F$10,MAX(Nonlabor!$F$10,IF(Nonlabor!$E$10="AI",Assumptions!$C$24,Assumptions!$C$25))),12)=0))),IF(Nonlabor!$I$10="Fixed",1,IF(Nonlabor!$I$10="Seats",ROUNDUP('Monthly Lean'!I44,0),IF(Nonlabor!$I$10="Customers",'Monthly Lean'!D44,IF(Nonlabor!$I$10="NewCustomers",'Monthly Lean'!C44,IF(Nonlabor!$I$10="StorageGB",'Monthly Lean'!G44,IF(Nonlabor!$I$10="LogGB",'Monthly Lean'!H44,IF(Nonlabor!$I$10="RequestsM",'Monthly Lean'!F44,IF(Nonlabor!$I$10="InputM",'Monthly Lean'!D44*Assumptions!$C$22/1000000,IF(Nonlabor!$I$10="OutputM",'Monthly Lean'!D44*Assumptions!$C$23/1000000,0))))))))),0)</f>
        <v>23.046057820437</v>
      </c>
      <c r="F284" s="10" t="n">
        <f aca="false">Nonlabor!$J$10*(1+Assumptions!$C$9)^INT((C284-1)/12)</f>
        <v>0.16390905</v>
      </c>
      <c r="G284" s="10" t="n">
        <f aca="false">E284*F284</f>
        <v>3.7774574435929</v>
      </c>
      <c r="H284" s="10" t="n">
        <f aca="false">IF(OR(Nonlabor!$L$10="Quote required",Nonlabor!$L$10="Unverified"),G284,0)</f>
        <v>0</v>
      </c>
      <c r="I284" s="10" t="n">
        <f aca="false">IF(Nonlabor!$E$10="Core",0,G284)</f>
        <v>0</v>
      </c>
      <c r="J284" s="23" t="str">
        <f aca="false">Nonlabor!$B$10</f>
        <v>INFRA</v>
      </c>
    </row>
    <row r="285" customFormat="false" ht="15" hidden="false" customHeight="false" outlineLevel="0" collapsed="false">
      <c r="A285" s="6" t="s">
        <v>72</v>
      </c>
      <c r="B285" s="6" t="s">
        <v>383</v>
      </c>
      <c r="C285" s="6" t="n">
        <v>40</v>
      </c>
      <c r="D285" s="25" t="n">
        <f aca="false">EDATE('Start Here'!$B$6,C285-1)</f>
        <v>47515</v>
      </c>
      <c r="E285" s="11" t="n">
        <f aca="false">IF(AND(OR(Nonlabor!$D$10="Both",Nonlabor!$D$10='Start Here'!$B$9),IF(Nonlabor!$E$10="Core",1,IF(Nonlabor!$E$10="AI",'Start Here'!$B$7,'Start Here'!$B$8))=1,C285&gt;=IF(Nonlabor!$E$10="Core",Nonlabor!$F$10,MAX(Nonlabor!$F$10,IF(Nonlabor!$E$10="AI",Assumptions!$C$24,Assumptions!$C$25))),C285&lt;=Nonlabor!$G$10,OR(Nonlabor!$H$10="Monthly",AND(Nonlabor!$H$10="Once",C285=IF(Nonlabor!$E$10="Core",Nonlabor!$F$10,MAX(Nonlabor!$F$10,IF(Nonlabor!$E$10="AI",Assumptions!$C$24,Assumptions!$C$25)))),AND(Nonlabor!$H$10="Annual",MOD(C285-IF(Nonlabor!$E$10="Core",Nonlabor!$F$10,MAX(Nonlabor!$F$10,IF(Nonlabor!$E$10="AI",Assumptions!$C$24,Assumptions!$C$25))),12)=0))),IF(Nonlabor!$I$10="Fixed",1,IF(Nonlabor!$I$10="Seats",ROUNDUP('Monthly Lean'!I45,0),IF(Nonlabor!$I$10="Customers",'Monthly Lean'!D45,IF(Nonlabor!$I$10="NewCustomers",'Monthly Lean'!C45,IF(Nonlabor!$I$10="StorageGB",'Monthly Lean'!G45,IF(Nonlabor!$I$10="LogGB",'Monthly Lean'!H45,IF(Nonlabor!$I$10="RequestsM",'Monthly Lean'!F45,IF(Nonlabor!$I$10="InputM",'Monthly Lean'!D45*Assumptions!$C$22/1000000,IF(Nonlabor!$I$10="OutputM",'Monthly Lean'!D45*Assumptions!$C$23/1000000,0))))))))),0)</f>
        <v>24.2628669531304</v>
      </c>
      <c r="F285" s="10" t="n">
        <f aca="false">Nonlabor!$J$10*(1+Assumptions!$C$9)^INT((C285-1)/12)</f>
        <v>0.16390905</v>
      </c>
      <c r="G285" s="10" t="n">
        <f aca="false">E285*F285</f>
        <v>3.976903472564</v>
      </c>
      <c r="H285" s="10" t="n">
        <f aca="false">IF(OR(Nonlabor!$L$10="Quote required",Nonlabor!$L$10="Unverified"),G285,0)</f>
        <v>0</v>
      </c>
      <c r="I285" s="10" t="n">
        <f aca="false">IF(Nonlabor!$E$10="Core",0,G285)</f>
        <v>0</v>
      </c>
      <c r="J285" s="23" t="str">
        <f aca="false">Nonlabor!$B$10</f>
        <v>INFRA</v>
      </c>
    </row>
    <row r="286" customFormat="false" ht="15" hidden="false" customHeight="false" outlineLevel="0" collapsed="false">
      <c r="A286" s="6" t="s">
        <v>72</v>
      </c>
      <c r="B286" s="6" t="s">
        <v>383</v>
      </c>
      <c r="C286" s="6" t="n">
        <v>41</v>
      </c>
      <c r="D286" s="25" t="n">
        <f aca="false">EDATE('Start Here'!$B$6,C286-1)</f>
        <v>47543</v>
      </c>
      <c r="E286" s="11" t="n">
        <f aca="false">IF(AND(OR(Nonlabor!$D$10="Both",Nonlabor!$D$10='Start Here'!$B$9),IF(Nonlabor!$E$10="Core",1,IF(Nonlabor!$E$10="AI",'Start Here'!$B$7,'Start Here'!$B$8))=1,C286&gt;=IF(Nonlabor!$E$10="Core",Nonlabor!$F$10,MAX(Nonlabor!$F$10,IF(Nonlabor!$E$10="AI",Assumptions!$C$24,Assumptions!$C$25))),C286&lt;=Nonlabor!$G$10,OR(Nonlabor!$H$10="Monthly",AND(Nonlabor!$H$10="Once",C286=IF(Nonlabor!$E$10="Core",Nonlabor!$F$10,MAX(Nonlabor!$F$10,IF(Nonlabor!$E$10="AI",Assumptions!$C$24,Assumptions!$C$25)))),AND(Nonlabor!$H$10="Annual",MOD(C286-IF(Nonlabor!$E$10="Core",Nonlabor!$F$10,MAX(Nonlabor!$F$10,IF(Nonlabor!$E$10="AI",Assumptions!$C$24,Assumptions!$C$25))),12)=0))),IF(Nonlabor!$I$10="Fixed",1,IF(Nonlabor!$I$10="Seats",ROUNDUP('Monthly Lean'!I46,0),IF(Nonlabor!$I$10="Customers",'Monthly Lean'!D46,IF(Nonlabor!$I$10="NewCustomers",'Monthly Lean'!C46,IF(Nonlabor!$I$10="StorageGB",'Monthly Lean'!G46,IF(Nonlabor!$I$10="LogGB",'Monthly Lean'!H46,IF(Nonlabor!$I$10="RequestsM",'Monthly Lean'!F46,IF(Nonlabor!$I$10="InputM",'Monthly Lean'!D46*Assumptions!$C$22/1000000,IF(Nonlabor!$I$10="OutputM",'Monthly Lean'!D46*Assumptions!$C$23/1000000,0))))))))),0)</f>
        <v>25.4614239488335</v>
      </c>
      <c r="F286" s="10" t="n">
        <f aca="false">Nonlabor!$J$10*(1+Assumptions!$C$9)^INT((C286-1)/12)</f>
        <v>0.16390905</v>
      </c>
      <c r="G286" s="10" t="n">
        <f aca="false">E286*F286</f>
        <v>4.17335781110054</v>
      </c>
      <c r="H286" s="10" t="n">
        <f aca="false">IF(OR(Nonlabor!$L$10="Quote required",Nonlabor!$L$10="Unverified"),G286,0)</f>
        <v>0</v>
      </c>
      <c r="I286" s="10" t="n">
        <f aca="false">IF(Nonlabor!$E$10="Core",0,G286)</f>
        <v>0</v>
      </c>
      <c r="J286" s="23" t="str">
        <f aca="false">Nonlabor!$B$10</f>
        <v>INFRA</v>
      </c>
    </row>
    <row r="287" customFormat="false" ht="15" hidden="false" customHeight="false" outlineLevel="0" collapsed="false">
      <c r="A287" s="6" t="s">
        <v>72</v>
      </c>
      <c r="B287" s="6" t="s">
        <v>383</v>
      </c>
      <c r="C287" s="6" t="n">
        <v>42</v>
      </c>
      <c r="D287" s="25" t="n">
        <f aca="false">EDATE('Start Here'!$B$6,C287-1)</f>
        <v>47574</v>
      </c>
      <c r="E287" s="11" t="n">
        <f aca="false">IF(AND(OR(Nonlabor!$D$10="Both",Nonlabor!$D$10='Start Here'!$B$9),IF(Nonlabor!$E$10="Core",1,IF(Nonlabor!$E$10="AI",'Start Here'!$B$7,'Start Here'!$B$8))=1,C287&gt;=IF(Nonlabor!$E$10="Core",Nonlabor!$F$10,MAX(Nonlabor!$F$10,IF(Nonlabor!$E$10="AI",Assumptions!$C$24,Assumptions!$C$25))),C287&lt;=Nonlabor!$G$10,OR(Nonlabor!$H$10="Monthly",AND(Nonlabor!$H$10="Once",C287=IF(Nonlabor!$E$10="Core",Nonlabor!$F$10,MAX(Nonlabor!$F$10,IF(Nonlabor!$E$10="AI",Assumptions!$C$24,Assumptions!$C$25)))),AND(Nonlabor!$H$10="Annual",MOD(C287-IF(Nonlabor!$E$10="Core",Nonlabor!$F$10,MAX(Nonlabor!$F$10,IF(Nonlabor!$E$10="AI",Assumptions!$C$24,Assumptions!$C$25))),12)=0))),IF(Nonlabor!$I$10="Fixed",1,IF(Nonlabor!$I$10="Seats",ROUNDUP('Monthly Lean'!I47,0),IF(Nonlabor!$I$10="Customers",'Monthly Lean'!D47,IF(Nonlabor!$I$10="NewCustomers",'Monthly Lean'!C47,IF(Nonlabor!$I$10="StorageGB",'Monthly Lean'!G47,IF(Nonlabor!$I$10="LogGB",'Monthly Lean'!H47,IF(Nonlabor!$I$10="RequestsM",'Monthly Lean'!F47,IF(Nonlabor!$I$10="InputM",'Monthly Lean'!D47*Assumptions!$C$22/1000000,IF(Nonlabor!$I$10="OutputM",'Monthly Lean'!D47*Assumptions!$C$23/1000000,0))))))))),0)</f>
        <v>26.642002589601</v>
      </c>
      <c r="F287" s="10" t="n">
        <f aca="false">Nonlabor!$J$10*(1+Assumptions!$C$9)^INT((C287-1)/12)</f>
        <v>0.16390905</v>
      </c>
      <c r="G287" s="10" t="n">
        <f aca="false">E287*F287</f>
        <v>4.36686533455903</v>
      </c>
      <c r="H287" s="10" t="n">
        <f aca="false">IF(OR(Nonlabor!$L$10="Quote required",Nonlabor!$L$10="Unverified"),G287,0)</f>
        <v>0</v>
      </c>
      <c r="I287" s="10" t="n">
        <f aca="false">IF(Nonlabor!$E$10="Core",0,G287)</f>
        <v>0</v>
      </c>
      <c r="J287" s="23" t="str">
        <f aca="false">Nonlabor!$B$10</f>
        <v>INFRA</v>
      </c>
    </row>
    <row r="288" customFormat="false" ht="15" hidden="false" customHeight="false" outlineLevel="0" collapsed="false">
      <c r="A288" s="6" t="s">
        <v>72</v>
      </c>
      <c r="B288" s="6" t="s">
        <v>383</v>
      </c>
      <c r="C288" s="6" t="n">
        <v>43</v>
      </c>
      <c r="D288" s="25" t="n">
        <f aca="false">EDATE('Start Here'!$B$6,C288-1)</f>
        <v>47604</v>
      </c>
      <c r="E288" s="11" t="n">
        <f aca="false">IF(AND(OR(Nonlabor!$D$10="Both",Nonlabor!$D$10='Start Here'!$B$9),IF(Nonlabor!$E$10="Core",1,IF(Nonlabor!$E$10="AI",'Start Here'!$B$7,'Start Here'!$B$8))=1,C288&gt;=IF(Nonlabor!$E$10="Core",Nonlabor!$F$10,MAX(Nonlabor!$F$10,IF(Nonlabor!$E$10="AI",Assumptions!$C$24,Assumptions!$C$25))),C288&lt;=Nonlabor!$G$10,OR(Nonlabor!$H$10="Monthly",AND(Nonlabor!$H$10="Once",C288=IF(Nonlabor!$E$10="Core",Nonlabor!$F$10,MAX(Nonlabor!$F$10,IF(Nonlabor!$E$10="AI",Assumptions!$C$24,Assumptions!$C$25)))),AND(Nonlabor!$H$10="Annual",MOD(C288-IF(Nonlabor!$E$10="Core",Nonlabor!$F$10,MAX(Nonlabor!$F$10,IF(Nonlabor!$E$10="AI",Assumptions!$C$24,Assumptions!$C$25))),12)=0))),IF(Nonlabor!$I$10="Fixed",1,IF(Nonlabor!$I$10="Seats",ROUNDUP('Monthly Lean'!I48,0),IF(Nonlabor!$I$10="Customers",'Monthly Lean'!D48,IF(Nonlabor!$I$10="NewCustomers",'Monthly Lean'!C48,IF(Nonlabor!$I$10="StorageGB",'Monthly Lean'!G48,IF(Nonlabor!$I$10="LogGB",'Monthly Lean'!H48,IF(Nonlabor!$I$10="RequestsM",'Monthly Lean'!F48,IF(Nonlabor!$I$10="InputM",'Monthly Lean'!D48*Assumptions!$C$22/1000000,IF(Nonlabor!$I$10="OutputM",'Monthly Lean'!D48*Assumptions!$C$23/1000000,0))))))))),0)</f>
        <v>27.8048725507569</v>
      </c>
      <c r="F288" s="10" t="n">
        <f aca="false">Nonlabor!$J$10*(1+Assumptions!$C$9)^INT((C288-1)/12)</f>
        <v>0.16390905</v>
      </c>
      <c r="G288" s="10" t="n">
        <f aca="false">E288*F288</f>
        <v>4.55747024516565</v>
      </c>
      <c r="H288" s="10" t="n">
        <f aca="false">IF(OR(Nonlabor!$L$10="Quote required",Nonlabor!$L$10="Unverified"),G288,0)</f>
        <v>0</v>
      </c>
      <c r="I288" s="10" t="n">
        <f aca="false">IF(Nonlabor!$E$10="Core",0,G288)</f>
        <v>0</v>
      </c>
      <c r="J288" s="23" t="str">
        <f aca="false">Nonlabor!$B$10</f>
        <v>INFRA</v>
      </c>
    </row>
    <row r="289" customFormat="false" ht="15" hidden="false" customHeight="false" outlineLevel="0" collapsed="false">
      <c r="A289" s="6" t="s">
        <v>72</v>
      </c>
      <c r="B289" s="6" t="s">
        <v>383</v>
      </c>
      <c r="C289" s="6" t="n">
        <v>44</v>
      </c>
      <c r="D289" s="25" t="n">
        <f aca="false">EDATE('Start Here'!$B$6,C289-1)</f>
        <v>47635</v>
      </c>
      <c r="E289" s="11" t="n">
        <f aca="false">IF(AND(OR(Nonlabor!$D$10="Both",Nonlabor!$D$10='Start Here'!$B$9),IF(Nonlabor!$E$10="Core",1,IF(Nonlabor!$E$10="AI",'Start Here'!$B$7,'Start Here'!$B$8))=1,C289&gt;=IF(Nonlabor!$E$10="Core",Nonlabor!$F$10,MAX(Nonlabor!$F$10,IF(Nonlabor!$E$10="AI",Assumptions!$C$24,Assumptions!$C$25))),C289&lt;=Nonlabor!$G$10,OR(Nonlabor!$H$10="Monthly",AND(Nonlabor!$H$10="Once",C289=IF(Nonlabor!$E$10="Core",Nonlabor!$F$10,MAX(Nonlabor!$F$10,IF(Nonlabor!$E$10="AI",Assumptions!$C$24,Assumptions!$C$25)))),AND(Nonlabor!$H$10="Annual",MOD(C289-IF(Nonlabor!$E$10="Core",Nonlabor!$F$10,MAX(Nonlabor!$F$10,IF(Nonlabor!$E$10="AI",Assumptions!$C$24,Assumptions!$C$25))),12)=0))),IF(Nonlabor!$I$10="Fixed",1,IF(Nonlabor!$I$10="Seats",ROUNDUP('Monthly Lean'!I49,0),IF(Nonlabor!$I$10="Customers",'Monthly Lean'!D49,IF(Nonlabor!$I$10="NewCustomers",'Monthly Lean'!C49,IF(Nonlabor!$I$10="StorageGB",'Monthly Lean'!G49,IF(Nonlabor!$I$10="LogGB",'Monthly Lean'!H49,IF(Nonlabor!$I$10="RequestsM",'Monthly Lean'!F49,IF(Nonlabor!$I$10="InputM",'Monthly Lean'!D49*Assumptions!$C$22/1000000,IF(Nonlabor!$I$10="OutputM",'Monthly Lean'!D49*Assumptions!$C$23/1000000,0))))))))),0)</f>
        <v>28.9502994624956</v>
      </c>
      <c r="F289" s="10" t="n">
        <f aca="false">Nonlabor!$J$10*(1+Assumptions!$C$9)^INT((C289-1)/12)</f>
        <v>0.16390905</v>
      </c>
      <c r="G289" s="10" t="n">
        <f aca="false">E289*F289</f>
        <v>4.74521608211316</v>
      </c>
      <c r="H289" s="10" t="n">
        <f aca="false">IF(OR(Nonlabor!$L$10="Quote required",Nonlabor!$L$10="Unverified"),G289,0)</f>
        <v>0</v>
      </c>
      <c r="I289" s="10" t="n">
        <f aca="false">IF(Nonlabor!$E$10="Core",0,G289)</f>
        <v>0</v>
      </c>
      <c r="J289" s="23" t="str">
        <f aca="false">Nonlabor!$B$10</f>
        <v>INFRA</v>
      </c>
    </row>
    <row r="290" customFormat="false" ht="15" hidden="false" customHeight="false" outlineLevel="0" collapsed="false">
      <c r="A290" s="6" t="s">
        <v>72</v>
      </c>
      <c r="B290" s="6" t="s">
        <v>383</v>
      </c>
      <c r="C290" s="6" t="n">
        <v>45</v>
      </c>
      <c r="D290" s="25" t="n">
        <f aca="false">EDATE('Start Here'!$B$6,C290-1)</f>
        <v>47665</v>
      </c>
      <c r="E290" s="11" t="n">
        <f aca="false">IF(AND(OR(Nonlabor!$D$10="Both",Nonlabor!$D$10='Start Here'!$B$9),IF(Nonlabor!$E$10="Core",1,IF(Nonlabor!$E$10="AI",'Start Here'!$B$7,'Start Here'!$B$8))=1,C290&gt;=IF(Nonlabor!$E$10="Core",Nonlabor!$F$10,MAX(Nonlabor!$F$10,IF(Nonlabor!$E$10="AI",Assumptions!$C$24,Assumptions!$C$25))),C290&lt;=Nonlabor!$G$10,OR(Nonlabor!$H$10="Monthly",AND(Nonlabor!$H$10="Once",C290=IF(Nonlabor!$E$10="Core",Nonlabor!$F$10,MAX(Nonlabor!$F$10,IF(Nonlabor!$E$10="AI",Assumptions!$C$24,Assumptions!$C$25)))),AND(Nonlabor!$H$10="Annual",MOD(C290-IF(Nonlabor!$E$10="Core",Nonlabor!$F$10,MAX(Nonlabor!$F$10,IF(Nonlabor!$E$10="AI",Assumptions!$C$24,Assumptions!$C$25))),12)=0))),IF(Nonlabor!$I$10="Fixed",1,IF(Nonlabor!$I$10="Seats",ROUNDUP('Monthly Lean'!I50,0),IF(Nonlabor!$I$10="Customers",'Monthly Lean'!D50,IF(Nonlabor!$I$10="NewCustomers",'Monthly Lean'!C50,IF(Nonlabor!$I$10="StorageGB",'Monthly Lean'!G50,IF(Nonlabor!$I$10="LogGB",'Monthly Lean'!H50,IF(Nonlabor!$I$10="RequestsM",'Monthly Lean'!F50,IF(Nonlabor!$I$10="InputM",'Monthly Lean'!D50*Assumptions!$C$22/1000000,IF(Nonlabor!$I$10="OutputM",'Monthly Lean'!D50*Assumptions!$C$23/1000000,0))))))))),0)</f>
        <v>30.0785449705582</v>
      </c>
      <c r="F290" s="10" t="n">
        <f aca="false">Nonlabor!$J$10*(1+Assumptions!$C$9)^INT((C290-1)/12)</f>
        <v>0.16390905</v>
      </c>
      <c r="G290" s="10" t="n">
        <f aca="false">E290*F290</f>
        <v>4.93014573150647</v>
      </c>
      <c r="H290" s="10" t="n">
        <f aca="false">IF(OR(Nonlabor!$L$10="Quote required",Nonlabor!$L$10="Unverified"),G290,0)</f>
        <v>0</v>
      </c>
      <c r="I290" s="10" t="n">
        <f aca="false">IF(Nonlabor!$E$10="Core",0,G290)</f>
        <v>0</v>
      </c>
      <c r="J290" s="23" t="str">
        <f aca="false">Nonlabor!$B$10</f>
        <v>INFRA</v>
      </c>
    </row>
    <row r="291" customFormat="false" ht="15" hidden="false" customHeight="false" outlineLevel="0" collapsed="false">
      <c r="A291" s="6" t="s">
        <v>72</v>
      </c>
      <c r="B291" s="6" t="s">
        <v>383</v>
      </c>
      <c r="C291" s="6" t="n">
        <v>46</v>
      </c>
      <c r="D291" s="25" t="n">
        <f aca="false">EDATE('Start Here'!$B$6,C291-1)</f>
        <v>47696</v>
      </c>
      <c r="E291" s="11" t="n">
        <f aca="false">IF(AND(OR(Nonlabor!$D$10="Both",Nonlabor!$D$10='Start Here'!$B$9),IF(Nonlabor!$E$10="Core",1,IF(Nonlabor!$E$10="AI",'Start Here'!$B$7,'Start Here'!$B$8))=1,C291&gt;=IF(Nonlabor!$E$10="Core",Nonlabor!$F$10,MAX(Nonlabor!$F$10,IF(Nonlabor!$E$10="AI",Assumptions!$C$24,Assumptions!$C$25))),C291&lt;=Nonlabor!$G$10,OR(Nonlabor!$H$10="Monthly",AND(Nonlabor!$H$10="Once",C291=IF(Nonlabor!$E$10="Core",Nonlabor!$F$10,MAX(Nonlabor!$F$10,IF(Nonlabor!$E$10="AI",Assumptions!$C$24,Assumptions!$C$25)))),AND(Nonlabor!$H$10="Annual",MOD(C291-IF(Nonlabor!$E$10="Core",Nonlabor!$F$10,MAX(Nonlabor!$F$10,IF(Nonlabor!$E$10="AI",Assumptions!$C$24,Assumptions!$C$25))),12)=0))),IF(Nonlabor!$I$10="Fixed",1,IF(Nonlabor!$I$10="Seats",ROUNDUP('Monthly Lean'!I51,0),IF(Nonlabor!$I$10="Customers",'Monthly Lean'!D51,IF(Nonlabor!$I$10="NewCustomers",'Monthly Lean'!C51,IF(Nonlabor!$I$10="StorageGB",'Monthly Lean'!G51,IF(Nonlabor!$I$10="LogGB",'Monthly Lean'!H51,IF(Nonlabor!$I$10="RequestsM",'Monthly Lean'!F51,IF(Nonlabor!$I$10="InputM",'Monthly Lean'!D51*Assumptions!$C$22/1000000,IF(Nonlabor!$I$10="OutputM",'Monthly Lean'!D51*Assumptions!$C$23/1000000,0))))))))),0)</f>
        <v>31.1898667959998</v>
      </c>
      <c r="F291" s="10" t="n">
        <f aca="false">Nonlabor!$J$10*(1+Assumptions!$C$9)^INT((C291-1)/12)</f>
        <v>0.16390905</v>
      </c>
      <c r="G291" s="10" t="n">
        <f aca="false">E291*F291</f>
        <v>5.11230143615887</v>
      </c>
      <c r="H291" s="10" t="n">
        <f aca="false">IF(OR(Nonlabor!$L$10="Quote required",Nonlabor!$L$10="Unverified"),G291,0)</f>
        <v>0</v>
      </c>
      <c r="I291" s="10" t="n">
        <f aca="false">IF(Nonlabor!$E$10="Core",0,G291)</f>
        <v>0</v>
      </c>
      <c r="J291" s="23" t="str">
        <f aca="false">Nonlabor!$B$10</f>
        <v>INFRA</v>
      </c>
    </row>
    <row r="292" customFormat="false" ht="15" hidden="false" customHeight="false" outlineLevel="0" collapsed="false">
      <c r="A292" s="6" t="s">
        <v>72</v>
      </c>
      <c r="B292" s="6" t="s">
        <v>383</v>
      </c>
      <c r="C292" s="6" t="n">
        <v>47</v>
      </c>
      <c r="D292" s="25" t="n">
        <f aca="false">EDATE('Start Here'!$B$6,C292-1)</f>
        <v>47727</v>
      </c>
      <c r="E292" s="11" t="n">
        <f aca="false">IF(AND(OR(Nonlabor!$D$10="Both",Nonlabor!$D$10='Start Here'!$B$9),IF(Nonlabor!$E$10="Core",1,IF(Nonlabor!$E$10="AI",'Start Here'!$B$7,'Start Here'!$B$8))=1,C292&gt;=IF(Nonlabor!$E$10="Core",Nonlabor!$F$10,MAX(Nonlabor!$F$10,IF(Nonlabor!$E$10="AI",Assumptions!$C$24,Assumptions!$C$25))),C292&lt;=Nonlabor!$G$10,OR(Nonlabor!$H$10="Monthly",AND(Nonlabor!$H$10="Once",C292=IF(Nonlabor!$E$10="Core",Nonlabor!$F$10,MAX(Nonlabor!$F$10,IF(Nonlabor!$E$10="AI",Assumptions!$C$24,Assumptions!$C$25)))),AND(Nonlabor!$H$10="Annual",MOD(C292-IF(Nonlabor!$E$10="Core",Nonlabor!$F$10,MAX(Nonlabor!$F$10,IF(Nonlabor!$E$10="AI",Assumptions!$C$24,Assumptions!$C$25))),12)=0))),IF(Nonlabor!$I$10="Fixed",1,IF(Nonlabor!$I$10="Seats",ROUNDUP('Monthly Lean'!I52,0),IF(Nonlabor!$I$10="Customers",'Monthly Lean'!D52,IF(Nonlabor!$I$10="NewCustomers",'Monthly Lean'!C52,IF(Nonlabor!$I$10="StorageGB",'Monthly Lean'!G52,IF(Nonlabor!$I$10="LogGB",'Monthly Lean'!H52,IF(Nonlabor!$I$10="RequestsM",'Monthly Lean'!F52,IF(Nonlabor!$I$10="InputM",'Monthly Lean'!D52*Assumptions!$C$22/1000000,IF(Nonlabor!$I$10="OutputM",'Monthly Lean'!D52*Assumptions!$C$23/1000000,0))))))))),0)</f>
        <v>32.2845187940598</v>
      </c>
      <c r="F292" s="10" t="n">
        <f aca="false">Nonlabor!$J$10*(1+Assumptions!$C$9)^INT((C292-1)/12)</f>
        <v>0.16390905</v>
      </c>
      <c r="G292" s="10" t="n">
        <f aca="false">E292*F292</f>
        <v>5.29172480524149</v>
      </c>
      <c r="H292" s="10" t="n">
        <f aca="false">IF(OR(Nonlabor!$L$10="Quote required",Nonlabor!$L$10="Unverified"),G292,0)</f>
        <v>0</v>
      </c>
      <c r="I292" s="10" t="n">
        <f aca="false">IF(Nonlabor!$E$10="Core",0,G292)</f>
        <v>0</v>
      </c>
      <c r="J292" s="23" t="str">
        <f aca="false">Nonlabor!$B$10</f>
        <v>INFRA</v>
      </c>
    </row>
    <row r="293" customFormat="false" ht="15" hidden="false" customHeight="false" outlineLevel="0" collapsed="false">
      <c r="A293" s="6" t="s">
        <v>72</v>
      </c>
      <c r="B293" s="6" t="s">
        <v>383</v>
      </c>
      <c r="C293" s="6" t="n">
        <v>48</v>
      </c>
      <c r="D293" s="25" t="n">
        <f aca="false">EDATE('Start Here'!$B$6,C293-1)</f>
        <v>47757</v>
      </c>
      <c r="E293" s="11" t="n">
        <f aca="false">IF(AND(OR(Nonlabor!$D$10="Both",Nonlabor!$D$10='Start Here'!$B$9),IF(Nonlabor!$E$10="Core",1,IF(Nonlabor!$E$10="AI",'Start Here'!$B$7,'Start Here'!$B$8))=1,C293&gt;=IF(Nonlabor!$E$10="Core",Nonlabor!$F$10,MAX(Nonlabor!$F$10,IF(Nonlabor!$E$10="AI",Assumptions!$C$24,Assumptions!$C$25))),C293&lt;=Nonlabor!$G$10,OR(Nonlabor!$H$10="Monthly",AND(Nonlabor!$H$10="Once",C293=IF(Nonlabor!$E$10="Core",Nonlabor!$F$10,MAX(Nonlabor!$F$10,IF(Nonlabor!$E$10="AI",Assumptions!$C$24,Assumptions!$C$25)))),AND(Nonlabor!$H$10="Annual",MOD(C293-IF(Nonlabor!$E$10="Core",Nonlabor!$F$10,MAX(Nonlabor!$F$10,IF(Nonlabor!$E$10="AI",Assumptions!$C$24,Assumptions!$C$25))),12)=0))),IF(Nonlabor!$I$10="Fixed",1,IF(Nonlabor!$I$10="Seats",ROUNDUP('Monthly Lean'!I53,0),IF(Nonlabor!$I$10="Customers",'Monthly Lean'!D53,IF(Nonlabor!$I$10="NewCustomers",'Monthly Lean'!C53,IF(Nonlabor!$I$10="StorageGB",'Monthly Lean'!G53,IF(Nonlabor!$I$10="LogGB",'Monthly Lean'!H53,IF(Nonlabor!$I$10="RequestsM",'Monthly Lean'!F53,IF(Nonlabor!$I$10="InputM",'Monthly Lean'!D53*Assumptions!$C$22/1000000,IF(Nonlabor!$I$10="OutputM",'Monthly Lean'!D53*Assumptions!$C$23/1000000,0))))))))),0)</f>
        <v>33.3627510121489</v>
      </c>
      <c r="F293" s="10" t="n">
        <f aca="false">Nonlabor!$J$10*(1+Assumptions!$C$9)^INT((C293-1)/12)</f>
        <v>0.16390905</v>
      </c>
      <c r="G293" s="10" t="n">
        <f aca="false">E293*F293</f>
        <v>5.46845682378786</v>
      </c>
      <c r="H293" s="10" t="n">
        <f aca="false">IF(OR(Nonlabor!$L$10="Quote required",Nonlabor!$L$10="Unverified"),G293,0)</f>
        <v>0</v>
      </c>
      <c r="I293" s="10" t="n">
        <f aca="false">IF(Nonlabor!$E$10="Core",0,G293)</f>
        <v>0</v>
      </c>
      <c r="J293" s="23" t="str">
        <f aca="false">Nonlabor!$B$10</f>
        <v>INFRA</v>
      </c>
    </row>
    <row r="294" customFormat="false" ht="15" hidden="false" customHeight="false" outlineLevel="0" collapsed="false">
      <c r="A294" s="6" t="s">
        <v>72</v>
      </c>
      <c r="B294" s="6" t="s">
        <v>383</v>
      </c>
      <c r="C294" s="6" t="n">
        <v>49</v>
      </c>
      <c r="D294" s="25" t="n">
        <f aca="false">EDATE('Start Here'!$B$6,C294-1)</f>
        <v>47788</v>
      </c>
      <c r="E294" s="11" t="n">
        <f aca="false">IF(AND(OR(Nonlabor!$D$10="Both",Nonlabor!$D$10='Start Here'!$B$9),IF(Nonlabor!$E$10="Core",1,IF(Nonlabor!$E$10="AI",'Start Here'!$B$7,'Start Here'!$B$8))=1,C294&gt;=IF(Nonlabor!$E$10="Core",Nonlabor!$F$10,MAX(Nonlabor!$F$10,IF(Nonlabor!$E$10="AI",Assumptions!$C$24,Assumptions!$C$25))),C294&lt;=Nonlabor!$G$10,OR(Nonlabor!$H$10="Monthly",AND(Nonlabor!$H$10="Once",C294=IF(Nonlabor!$E$10="Core",Nonlabor!$F$10,MAX(Nonlabor!$F$10,IF(Nonlabor!$E$10="AI",Assumptions!$C$24,Assumptions!$C$25)))),AND(Nonlabor!$H$10="Annual",MOD(C294-IF(Nonlabor!$E$10="Core",Nonlabor!$F$10,MAX(Nonlabor!$F$10,IF(Nonlabor!$E$10="AI",Assumptions!$C$24,Assumptions!$C$25))),12)=0))),IF(Nonlabor!$I$10="Fixed",1,IF(Nonlabor!$I$10="Seats",ROUNDUP('Monthly Lean'!I54,0),IF(Nonlabor!$I$10="Customers",'Monthly Lean'!D54,IF(Nonlabor!$I$10="NewCustomers",'Monthly Lean'!C54,IF(Nonlabor!$I$10="StorageGB",'Monthly Lean'!G54,IF(Nonlabor!$I$10="LogGB",'Monthly Lean'!H54,IF(Nonlabor!$I$10="RequestsM",'Monthly Lean'!F54,IF(Nonlabor!$I$10="InputM",'Monthly Lean'!D54*Assumptions!$C$22/1000000,IF(Nonlabor!$I$10="OutputM",'Monthly Lean'!D54*Assumptions!$C$23/1000000,0))))))))),0)</f>
        <v>34.4248097469667</v>
      </c>
      <c r="F294" s="10" t="n">
        <f aca="false">Nonlabor!$J$10*(1+Assumptions!$C$9)^INT((C294-1)/12)</f>
        <v>0.1688263215</v>
      </c>
      <c r="G294" s="10" t="n">
        <f aca="false">E294*F294</f>
        <v>5.81181399791773</v>
      </c>
      <c r="H294" s="10" t="n">
        <f aca="false">IF(OR(Nonlabor!$L$10="Quote required",Nonlabor!$L$10="Unverified"),G294,0)</f>
        <v>0</v>
      </c>
      <c r="I294" s="10" t="n">
        <f aca="false">IF(Nonlabor!$E$10="Core",0,G294)</f>
        <v>0</v>
      </c>
      <c r="J294" s="23" t="str">
        <f aca="false">Nonlabor!$B$10</f>
        <v>INFRA</v>
      </c>
    </row>
    <row r="295" customFormat="false" ht="15" hidden="false" customHeight="false" outlineLevel="0" collapsed="false">
      <c r="A295" s="6" t="s">
        <v>72</v>
      </c>
      <c r="B295" s="6" t="s">
        <v>383</v>
      </c>
      <c r="C295" s="6" t="n">
        <v>50</v>
      </c>
      <c r="D295" s="25" t="n">
        <f aca="false">EDATE('Start Here'!$B$6,C295-1)</f>
        <v>47818</v>
      </c>
      <c r="E295" s="11" t="n">
        <f aca="false">IF(AND(OR(Nonlabor!$D$10="Both",Nonlabor!$D$10='Start Here'!$B$9),IF(Nonlabor!$E$10="Core",1,IF(Nonlabor!$E$10="AI",'Start Here'!$B$7,'Start Here'!$B$8))=1,C295&gt;=IF(Nonlabor!$E$10="Core",Nonlabor!$F$10,MAX(Nonlabor!$F$10,IF(Nonlabor!$E$10="AI",Assumptions!$C$24,Assumptions!$C$25))),C295&lt;=Nonlabor!$G$10,OR(Nonlabor!$H$10="Monthly",AND(Nonlabor!$H$10="Once",C295=IF(Nonlabor!$E$10="Core",Nonlabor!$F$10,MAX(Nonlabor!$F$10,IF(Nonlabor!$E$10="AI",Assumptions!$C$24,Assumptions!$C$25)))),AND(Nonlabor!$H$10="Annual",MOD(C295-IF(Nonlabor!$E$10="Core",Nonlabor!$F$10,MAX(Nonlabor!$F$10,IF(Nonlabor!$E$10="AI",Assumptions!$C$24,Assumptions!$C$25))),12)=0))),IF(Nonlabor!$I$10="Fixed",1,IF(Nonlabor!$I$10="Seats",ROUNDUP('Monthly Lean'!I55,0),IF(Nonlabor!$I$10="Customers",'Monthly Lean'!D55,IF(Nonlabor!$I$10="NewCustomers",'Monthly Lean'!C55,IF(Nonlabor!$I$10="StorageGB",'Monthly Lean'!G55,IF(Nonlabor!$I$10="LogGB",'Monthly Lean'!H55,IF(Nonlabor!$I$10="RequestsM",'Monthly Lean'!F55,IF(Nonlabor!$I$10="InputM",'Monthly Lean'!D55*Assumptions!$C$22/1000000,IF(Nonlabor!$I$10="OutputM",'Monthly Lean'!D55*Assumptions!$C$23/1000000,0))))))))),0)</f>
        <v>35.4709376007622</v>
      </c>
      <c r="F295" s="10" t="n">
        <f aca="false">Nonlabor!$J$10*(1+Assumptions!$C$9)^INT((C295-1)/12)</f>
        <v>0.1688263215</v>
      </c>
      <c r="G295" s="10" t="n">
        <f aca="false">E295*F295</f>
        <v>5.98842791529271</v>
      </c>
      <c r="H295" s="10" t="n">
        <f aca="false">IF(OR(Nonlabor!$L$10="Quote required",Nonlabor!$L$10="Unverified"),G295,0)</f>
        <v>0</v>
      </c>
      <c r="I295" s="10" t="n">
        <f aca="false">IF(Nonlabor!$E$10="Core",0,G295)</f>
        <v>0</v>
      </c>
      <c r="J295" s="23" t="str">
        <f aca="false">Nonlabor!$B$10</f>
        <v>INFRA</v>
      </c>
    </row>
    <row r="296" customFormat="false" ht="15" hidden="false" customHeight="false" outlineLevel="0" collapsed="false">
      <c r="A296" s="6" t="s">
        <v>72</v>
      </c>
      <c r="B296" s="6" t="s">
        <v>383</v>
      </c>
      <c r="C296" s="6" t="n">
        <v>51</v>
      </c>
      <c r="D296" s="25" t="n">
        <f aca="false">EDATE('Start Here'!$B$6,C296-1)</f>
        <v>47849</v>
      </c>
      <c r="E296" s="11" t="n">
        <f aca="false">IF(AND(OR(Nonlabor!$D$10="Both",Nonlabor!$D$10='Start Here'!$B$9),IF(Nonlabor!$E$10="Core",1,IF(Nonlabor!$E$10="AI",'Start Here'!$B$7,'Start Here'!$B$8))=1,C296&gt;=IF(Nonlabor!$E$10="Core",Nonlabor!$F$10,MAX(Nonlabor!$F$10,IF(Nonlabor!$E$10="AI",Assumptions!$C$24,Assumptions!$C$25))),C296&lt;=Nonlabor!$G$10,OR(Nonlabor!$H$10="Monthly",AND(Nonlabor!$H$10="Once",C296=IF(Nonlabor!$E$10="Core",Nonlabor!$F$10,MAX(Nonlabor!$F$10,IF(Nonlabor!$E$10="AI",Assumptions!$C$24,Assumptions!$C$25)))),AND(Nonlabor!$H$10="Annual",MOD(C296-IF(Nonlabor!$E$10="Core",Nonlabor!$F$10,MAX(Nonlabor!$F$10,IF(Nonlabor!$E$10="AI",Assumptions!$C$24,Assumptions!$C$25))),12)=0))),IF(Nonlabor!$I$10="Fixed",1,IF(Nonlabor!$I$10="Seats",ROUNDUP('Monthly Lean'!I56,0),IF(Nonlabor!$I$10="Customers",'Monthly Lean'!D56,IF(Nonlabor!$I$10="NewCustomers",'Monthly Lean'!C56,IF(Nonlabor!$I$10="StorageGB",'Monthly Lean'!G56,IF(Nonlabor!$I$10="LogGB",'Monthly Lean'!H56,IF(Nonlabor!$I$10="RequestsM",'Monthly Lean'!F56,IF(Nonlabor!$I$10="InputM",'Monthly Lean'!D56*Assumptions!$C$22/1000000,IF(Nonlabor!$I$10="OutputM",'Monthly Lean'!D56*Assumptions!$C$23/1000000,0))))))))),0)</f>
        <v>36.5013735367507</v>
      </c>
      <c r="F296" s="10" t="n">
        <f aca="false">Nonlabor!$J$10*(1+Assumptions!$C$9)^INT((C296-1)/12)</f>
        <v>0.1688263215</v>
      </c>
      <c r="G296" s="10" t="n">
        <f aca="false">E296*F296</f>
        <v>6.16239262390707</v>
      </c>
      <c r="H296" s="10" t="n">
        <f aca="false">IF(OR(Nonlabor!$L$10="Quote required",Nonlabor!$L$10="Unverified"),G296,0)</f>
        <v>0</v>
      </c>
      <c r="I296" s="10" t="n">
        <f aca="false">IF(Nonlabor!$E$10="Core",0,G296)</f>
        <v>0</v>
      </c>
      <c r="J296" s="23" t="str">
        <f aca="false">Nonlabor!$B$10</f>
        <v>INFRA</v>
      </c>
    </row>
    <row r="297" customFormat="false" ht="15" hidden="false" customHeight="false" outlineLevel="0" collapsed="false">
      <c r="A297" s="6" t="s">
        <v>72</v>
      </c>
      <c r="B297" s="6" t="s">
        <v>383</v>
      </c>
      <c r="C297" s="6" t="n">
        <v>52</v>
      </c>
      <c r="D297" s="25" t="n">
        <f aca="false">EDATE('Start Here'!$B$6,C297-1)</f>
        <v>47880</v>
      </c>
      <c r="E297" s="11" t="n">
        <f aca="false">IF(AND(OR(Nonlabor!$D$10="Both",Nonlabor!$D$10='Start Here'!$B$9),IF(Nonlabor!$E$10="Core",1,IF(Nonlabor!$E$10="AI",'Start Here'!$B$7,'Start Here'!$B$8))=1,C297&gt;=IF(Nonlabor!$E$10="Core",Nonlabor!$F$10,MAX(Nonlabor!$F$10,IF(Nonlabor!$E$10="AI",Assumptions!$C$24,Assumptions!$C$25))),C297&lt;=Nonlabor!$G$10,OR(Nonlabor!$H$10="Monthly",AND(Nonlabor!$H$10="Once",C297=IF(Nonlabor!$E$10="Core",Nonlabor!$F$10,MAX(Nonlabor!$F$10,IF(Nonlabor!$E$10="AI",Assumptions!$C$24,Assumptions!$C$25)))),AND(Nonlabor!$H$10="Annual",MOD(C297-IF(Nonlabor!$E$10="Core",Nonlabor!$F$10,MAX(Nonlabor!$F$10,IF(Nonlabor!$E$10="AI",Assumptions!$C$24,Assumptions!$C$25))),12)=0))),IF(Nonlabor!$I$10="Fixed",1,IF(Nonlabor!$I$10="Seats",ROUNDUP('Monthly Lean'!I57,0),IF(Nonlabor!$I$10="Customers",'Monthly Lean'!D57,IF(Nonlabor!$I$10="NewCustomers",'Monthly Lean'!C57,IF(Nonlabor!$I$10="StorageGB",'Monthly Lean'!G57,IF(Nonlabor!$I$10="LogGB",'Monthly Lean'!H57,IF(Nonlabor!$I$10="RequestsM",'Monthly Lean'!F57,IF(Nonlabor!$I$10="InputM",'Monthly Lean'!D57*Assumptions!$C$22/1000000,IF(Nonlabor!$I$10="OutputM",'Monthly Lean'!D57*Assumptions!$C$23/1000000,0))))))))),0)</f>
        <v>37.9069779336995</v>
      </c>
      <c r="F297" s="10" t="n">
        <f aca="false">Nonlabor!$J$10*(1+Assumptions!$C$9)^INT((C297-1)/12)</f>
        <v>0.1688263215</v>
      </c>
      <c r="G297" s="10" t="n">
        <f aca="false">E297*F297</f>
        <v>6.39969564372815</v>
      </c>
      <c r="H297" s="10" t="n">
        <f aca="false">IF(OR(Nonlabor!$L$10="Quote required",Nonlabor!$L$10="Unverified"),G297,0)</f>
        <v>0</v>
      </c>
      <c r="I297" s="10" t="n">
        <f aca="false">IF(Nonlabor!$E$10="Core",0,G297)</f>
        <v>0</v>
      </c>
      <c r="J297" s="23" t="str">
        <f aca="false">Nonlabor!$B$10</f>
        <v>INFRA</v>
      </c>
    </row>
    <row r="298" customFormat="false" ht="15" hidden="false" customHeight="false" outlineLevel="0" collapsed="false">
      <c r="A298" s="6" t="s">
        <v>72</v>
      </c>
      <c r="B298" s="6" t="s">
        <v>383</v>
      </c>
      <c r="C298" s="6" t="n">
        <v>53</v>
      </c>
      <c r="D298" s="25" t="n">
        <f aca="false">EDATE('Start Here'!$B$6,C298-1)</f>
        <v>47908</v>
      </c>
      <c r="E298" s="11" t="n">
        <f aca="false">IF(AND(OR(Nonlabor!$D$10="Both",Nonlabor!$D$10='Start Here'!$B$9),IF(Nonlabor!$E$10="Core",1,IF(Nonlabor!$E$10="AI",'Start Here'!$B$7,'Start Here'!$B$8))=1,C298&gt;=IF(Nonlabor!$E$10="Core",Nonlabor!$F$10,MAX(Nonlabor!$F$10,IF(Nonlabor!$E$10="AI",Assumptions!$C$24,Assumptions!$C$25))),C298&lt;=Nonlabor!$G$10,OR(Nonlabor!$H$10="Monthly",AND(Nonlabor!$H$10="Once",C298=IF(Nonlabor!$E$10="Core",Nonlabor!$F$10,MAX(Nonlabor!$F$10,IF(Nonlabor!$E$10="AI",Assumptions!$C$24,Assumptions!$C$25)))),AND(Nonlabor!$H$10="Annual",MOD(C298-IF(Nonlabor!$E$10="Core",Nonlabor!$F$10,MAX(Nonlabor!$F$10,IF(Nonlabor!$E$10="AI",Assumptions!$C$24,Assumptions!$C$25))),12)=0))),IF(Nonlabor!$I$10="Fixed",1,IF(Nonlabor!$I$10="Seats",ROUNDUP('Monthly Lean'!I58,0),IF(Nonlabor!$I$10="Customers",'Monthly Lean'!D58,IF(Nonlabor!$I$10="NewCustomers",'Monthly Lean'!C58,IF(Nonlabor!$I$10="StorageGB",'Monthly Lean'!G58,IF(Nonlabor!$I$10="LogGB",'Monthly Lean'!H58,IF(Nonlabor!$I$10="RequestsM",'Monthly Lean'!F58,IF(Nonlabor!$I$10="InputM",'Monthly Lean'!D58*Assumptions!$C$22/1000000,IF(Nonlabor!$I$10="OutputM",'Monthly Lean'!D58*Assumptions!$C$23/1000000,0))))))))),0)</f>
        <v>39.291498264694</v>
      </c>
      <c r="F298" s="10" t="n">
        <f aca="false">Nonlabor!$J$10*(1+Assumptions!$C$9)^INT((C298-1)/12)</f>
        <v>0.1688263215</v>
      </c>
      <c r="G298" s="10" t="n">
        <f aca="false">E298*F298</f>
        <v>6.63343911825192</v>
      </c>
      <c r="H298" s="10" t="n">
        <f aca="false">IF(OR(Nonlabor!$L$10="Quote required",Nonlabor!$L$10="Unverified"),G298,0)</f>
        <v>0</v>
      </c>
      <c r="I298" s="10" t="n">
        <f aca="false">IF(Nonlabor!$E$10="Core",0,G298)</f>
        <v>0</v>
      </c>
      <c r="J298" s="23" t="str">
        <f aca="false">Nonlabor!$B$10</f>
        <v>INFRA</v>
      </c>
    </row>
    <row r="299" customFormat="false" ht="15" hidden="false" customHeight="false" outlineLevel="0" collapsed="false">
      <c r="A299" s="6" t="s">
        <v>72</v>
      </c>
      <c r="B299" s="6" t="s">
        <v>383</v>
      </c>
      <c r="C299" s="6" t="n">
        <v>54</v>
      </c>
      <c r="D299" s="25" t="n">
        <f aca="false">EDATE('Start Here'!$B$6,C299-1)</f>
        <v>47939</v>
      </c>
      <c r="E299" s="11" t="n">
        <f aca="false">IF(AND(OR(Nonlabor!$D$10="Both",Nonlabor!$D$10='Start Here'!$B$9),IF(Nonlabor!$E$10="Core",1,IF(Nonlabor!$E$10="AI",'Start Here'!$B$7,'Start Here'!$B$8))=1,C299&gt;=IF(Nonlabor!$E$10="Core",Nonlabor!$F$10,MAX(Nonlabor!$F$10,IF(Nonlabor!$E$10="AI",Assumptions!$C$24,Assumptions!$C$25))),C299&lt;=Nonlabor!$G$10,OR(Nonlabor!$H$10="Monthly",AND(Nonlabor!$H$10="Once",C299=IF(Nonlabor!$E$10="Core",Nonlabor!$F$10,MAX(Nonlabor!$F$10,IF(Nonlabor!$E$10="AI",Assumptions!$C$24,Assumptions!$C$25)))),AND(Nonlabor!$H$10="Annual",MOD(C299-IF(Nonlabor!$E$10="Core",Nonlabor!$F$10,MAX(Nonlabor!$F$10,IF(Nonlabor!$E$10="AI",Assumptions!$C$24,Assumptions!$C$25))),12)=0))),IF(Nonlabor!$I$10="Fixed",1,IF(Nonlabor!$I$10="Seats",ROUNDUP('Monthly Lean'!I59,0),IF(Nonlabor!$I$10="Customers",'Monthly Lean'!D59,IF(Nonlabor!$I$10="NewCustomers",'Monthly Lean'!C59,IF(Nonlabor!$I$10="StorageGB",'Monthly Lean'!G59,IF(Nonlabor!$I$10="LogGB",'Monthly Lean'!H59,IF(Nonlabor!$I$10="RequestsM",'Monthly Lean'!F59,IF(Nonlabor!$I$10="InputM",'Monthly Lean'!D59*Assumptions!$C$22/1000000,IF(Nonlabor!$I$10="OutputM",'Monthly Lean'!D59*Assumptions!$C$23/1000000,0))))))))),0)</f>
        <v>40.6552507907236</v>
      </c>
      <c r="F299" s="10" t="n">
        <f aca="false">Nonlabor!$J$10*(1+Assumptions!$C$9)^INT((C299-1)/12)</f>
        <v>0.1688263215</v>
      </c>
      <c r="G299" s="10" t="n">
        <f aca="false">E299*F299</f>
        <v>6.86367644065783</v>
      </c>
      <c r="H299" s="10" t="n">
        <f aca="false">IF(OR(Nonlabor!$L$10="Quote required",Nonlabor!$L$10="Unverified"),G299,0)</f>
        <v>0</v>
      </c>
      <c r="I299" s="10" t="n">
        <f aca="false">IF(Nonlabor!$E$10="Core",0,G299)</f>
        <v>0</v>
      </c>
      <c r="J299" s="23" t="str">
        <f aca="false">Nonlabor!$B$10</f>
        <v>INFRA</v>
      </c>
    </row>
    <row r="300" customFormat="false" ht="15" hidden="false" customHeight="false" outlineLevel="0" collapsed="false">
      <c r="A300" s="6" t="s">
        <v>72</v>
      </c>
      <c r="B300" s="6" t="s">
        <v>383</v>
      </c>
      <c r="C300" s="6" t="n">
        <v>55</v>
      </c>
      <c r="D300" s="25" t="n">
        <f aca="false">EDATE('Start Here'!$B$6,C300-1)</f>
        <v>47969</v>
      </c>
      <c r="E300" s="11" t="n">
        <f aca="false">IF(AND(OR(Nonlabor!$D$10="Both",Nonlabor!$D$10='Start Here'!$B$9),IF(Nonlabor!$E$10="Core",1,IF(Nonlabor!$E$10="AI",'Start Here'!$B$7,'Start Here'!$B$8))=1,C300&gt;=IF(Nonlabor!$E$10="Core",Nonlabor!$F$10,MAX(Nonlabor!$F$10,IF(Nonlabor!$E$10="AI",Assumptions!$C$24,Assumptions!$C$25))),C300&lt;=Nonlabor!$G$10,OR(Nonlabor!$H$10="Monthly",AND(Nonlabor!$H$10="Once",C300=IF(Nonlabor!$E$10="Core",Nonlabor!$F$10,MAX(Nonlabor!$F$10,IF(Nonlabor!$E$10="AI",Assumptions!$C$24,Assumptions!$C$25)))),AND(Nonlabor!$H$10="Annual",MOD(C300-IF(Nonlabor!$E$10="Core",Nonlabor!$F$10,MAX(Nonlabor!$F$10,IF(Nonlabor!$E$10="AI",Assumptions!$C$24,Assumptions!$C$25))),12)=0))),IF(Nonlabor!$I$10="Fixed",1,IF(Nonlabor!$I$10="Seats",ROUNDUP('Monthly Lean'!I60,0),IF(Nonlabor!$I$10="Customers",'Monthly Lean'!D60,IF(Nonlabor!$I$10="NewCustomers",'Monthly Lean'!C60,IF(Nonlabor!$I$10="StorageGB",'Monthly Lean'!G60,IF(Nonlabor!$I$10="LogGB",'Monthly Lean'!H60,IF(Nonlabor!$I$10="RequestsM",'Monthly Lean'!F60,IF(Nonlabor!$I$10="InputM",'Monthly Lean'!D60*Assumptions!$C$22/1000000,IF(Nonlabor!$I$10="OutputM",'Monthly Lean'!D60*Assumptions!$C$23/1000000,0))))))))),0)</f>
        <v>41.9985470288627</v>
      </c>
      <c r="F300" s="10" t="n">
        <f aca="false">Nonlabor!$J$10*(1+Assumptions!$C$9)^INT((C300-1)/12)</f>
        <v>0.1688263215</v>
      </c>
      <c r="G300" s="10" t="n">
        <f aca="false">E300*F300</f>
        <v>7.09046020322765</v>
      </c>
      <c r="H300" s="10" t="n">
        <f aca="false">IF(OR(Nonlabor!$L$10="Quote required",Nonlabor!$L$10="Unverified"),G300,0)</f>
        <v>0</v>
      </c>
      <c r="I300" s="10" t="n">
        <f aca="false">IF(Nonlabor!$E$10="Core",0,G300)</f>
        <v>0</v>
      </c>
      <c r="J300" s="23" t="str">
        <f aca="false">Nonlabor!$B$10</f>
        <v>INFRA</v>
      </c>
    </row>
    <row r="301" customFormat="false" ht="15" hidden="false" customHeight="false" outlineLevel="0" collapsed="false">
      <c r="A301" s="6" t="s">
        <v>72</v>
      </c>
      <c r="B301" s="6" t="s">
        <v>383</v>
      </c>
      <c r="C301" s="6" t="n">
        <v>56</v>
      </c>
      <c r="D301" s="25" t="n">
        <f aca="false">EDATE('Start Here'!$B$6,C301-1)</f>
        <v>48000</v>
      </c>
      <c r="E301" s="11" t="n">
        <f aca="false">IF(AND(OR(Nonlabor!$D$10="Both",Nonlabor!$D$10='Start Here'!$B$9),IF(Nonlabor!$E$10="Core",1,IF(Nonlabor!$E$10="AI",'Start Here'!$B$7,'Start Here'!$B$8))=1,C301&gt;=IF(Nonlabor!$E$10="Core",Nonlabor!$F$10,MAX(Nonlabor!$F$10,IF(Nonlabor!$E$10="AI",Assumptions!$C$24,Assumptions!$C$25))),C301&lt;=Nonlabor!$G$10,OR(Nonlabor!$H$10="Monthly",AND(Nonlabor!$H$10="Once",C301=IF(Nonlabor!$E$10="Core",Nonlabor!$F$10,MAX(Nonlabor!$F$10,IF(Nonlabor!$E$10="AI",Assumptions!$C$24,Assumptions!$C$25)))),AND(Nonlabor!$H$10="Annual",MOD(C301-IF(Nonlabor!$E$10="Core",Nonlabor!$F$10,MAX(Nonlabor!$F$10,IF(Nonlabor!$E$10="AI",Assumptions!$C$24,Assumptions!$C$25))),12)=0))),IF(Nonlabor!$I$10="Fixed",1,IF(Nonlabor!$I$10="Seats",ROUNDUP('Monthly Lean'!I61,0),IF(Nonlabor!$I$10="Customers",'Monthly Lean'!D61,IF(Nonlabor!$I$10="NewCustomers",'Monthly Lean'!C61,IF(Nonlabor!$I$10="StorageGB",'Monthly Lean'!G61,IF(Nonlabor!$I$10="LogGB",'Monthly Lean'!H61,IF(Nonlabor!$I$10="RequestsM",'Monthly Lean'!F61,IF(Nonlabor!$I$10="InputM",'Monthly Lean'!D61*Assumptions!$C$22/1000000,IF(Nonlabor!$I$10="OutputM",'Monthly Lean'!D61*Assumptions!$C$23/1000000,0))))))))),0)</f>
        <v>43.3216938234298</v>
      </c>
      <c r="F301" s="10" t="n">
        <f aca="false">Nonlabor!$J$10*(1+Assumptions!$C$9)^INT((C301-1)/12)</f>
        <v>0.1688263215</v>
      </c>
      <c r="G301" s="10" t="n">
        <f aca="false">E301*F301</f>
        <v>7.31384220935892</v>
      </c>
      <c r="H301" s="10" t="n">
        <f aca="false">IF(OR(Nonlabor!$L$10="Quote required",Nonlabor!$L$10="Unverified"),G301,0)</f>
        <v>0</v>
      </c>
      <c r="I301" s="10" t="n">
        <f aca="false">IF(Nonlabor!$E$10="Core",0,G301)</f>
        <v>0</v>
      </c>
      <c r="J301" s="23" t="str">
        <f aca="false">Nonlabor!$B$10</f>
        <v>INFRA</v>
      </c>
    </row>
    <row r="302" customFormat="false" ht="15" hidden="false" customHeight="false" outlineLevel="0" collapsed="false">
      <c r="A302" s="6" t="s">
        <v>72</v>
      </c>
      <c r="B302" s="6" t="s">
        <v>383</v>
      </c>
      <c r="C302" s="6" t="n">
        <v>57</v>
      </c>
      <c r="D302" s="25" t="n">
        <f aca="false">EDATE('Start Here'!$B$6,C302-1)</f>
        <v>48030</v>
      </c>
      <c r="E302" s="11" t="n">
        <f aca="false">IF(AND(OR(Nonlabor!$D$10="Both",Nonlabor!$D$10='Start Here'!$B$9),IF(Nonlabor!$E$10="Core",1,IF(Nonlabor!$E$10="AI",'Start Here'!$B$7,'Start Here'!$B$8))=1,C302&gt;=IF(Nonlabor!$E$10="Core",Nonlabor!$F$10,MAX(Nonlabor!$F$10,IF(Nonlabor!$E$10="AI",Assumptions!$C$24,Assumptions!$C$25))),C302&lt;=Nonlabor!$G$10,OR(Nonlabor!$H$10="Monthly",AND(Nonlabor!$H$10="Once",C302=IF(Nonlabor!$E$10="Core",Nonlabor!$F$10,MAX(Nonlabor!$F$10,IF(Nonlabor!$E$10="AI",Assumptions!$C$24,Assumptions!$C$25)))),AND(Nonlabor!$H$10="Annual",MOD(C302-IF(Nonlabor!$E$10="Core",Nonlabor!$F$10,MAX(Nonlabor!$F$10,IF(Nonlabor!$E$10="AI",Assumptions!$C$24,Assumptions!$C$25))),12)=0))),IF(Nonlabor!$I$10="Fixed",1,IF(Nonlabor!$I$10="Seats",ROUNDUP('Monthly Lean'!I62,0),IF(Nonlabor!$I$10="Customers",'Monthly Lean'!D62,IF(Nonlabor!$I$10="NewCustomers",'Monthly Lean'!C62,IF(Nonlabor!$I$10="StorageGB",'Monthly Lean'!G62,IF(Nonlabor!$I$10="LogGB",'Monthly Lean'!H62,IF(Nonlabor!$I$10="RequestsM",'Monthly Lean'!F62,IF(Nonlabor!$I$10="InputM",'Monthly Lean'!D62*Assumptions!$C$22/1000000,IF(Nonlabor!$I$10="OutputM",'Monthly Lean'!D62*Assumptions!$C$23/1000000,0))))))))),0)</f>
        <v>44.6249934160783</v>
      </c>
      <c r="F302" s="10" t="n">
        <f aca="false">Nonlabor!$J$10*(1+Assumptions!$C$9)^INT((C302-1)/12)</f>
        <v>0.1688263215</v>
      </c>
      <c r="G302" s="10" t="n">
        <f aca="false">E302*F302</f>
        <v>7.53387348539822</v>
      </c>
      <c r="H302" s="10" t="n">
        <f aca="false">IF(OR(Nonlabor!$L$10="Quote required",Nonlabor!$L$10="Unverified"),G302,0)</f>
        <v>0</v>
      </c>
      <c r="I302" s="10" t="n">
        <f aca="false">IF(Nonlabor!$E$10="Core",0,G302)</f>
        <v>0</v>
      </c>
      <c r="J302" s="23" t="str">
        <f aca="false">Nonlabor!$B$10</f>
        <v>INFRA</v>
      </c>
    </row>
    <row r="303" customFormat="false" ht="15" hidden="false" customHeight="false" outlineLevel="0" collapsed="false">
      <c r="A303" s="6" t="s">
        <v>72</v>
      </c>
      <c r="B303" s="6" t="s">
        <v>383</v>
      </c>
      <c r="C303" s="6" t="n">
        <v>58</v>
      </c>
      <c r="D303" s="25" t="n">
        <f aca="false">EDATE('Start Here'!$B$6,C303-1)</f>
        <v>48061</v>
      </c>
      <c r="E303" s="11" t="n">
        <f aca="false">IF(AND(OR(Nonlabor!$D$10="Both",Nonlabor!$D$10='Start Here'!$B$9),IF(Nonlabor!$E$10="Core",1,IF(Nonlabor!$E$10="AI",'Start Here'!$B$7,'Start Here'!$B$8))=1,C303&gt;=IF(Nonlabor!$E$10="Core",Nonlabor!$F$10,MAX(Nonlabor!$F$10,IF(Nonlabor!$E$10="AI",Assumptions!$C$24,Assumptions!$C$25))),C303&lt;=Nonlabor!$G$10,OR(Nonlabor!$H$10="Monthly",AND(Nonlabor!$H$10="Once",C303=IF(Nonlabor!$E$10="Core",Nonlabor!$F$10,MAX(Nonlabor!$F$10,IF(Nonlabor!$E$10="AI",Assumptions!$C$24,Assumptions!$C$25)))),AND(Nonlabor!$H$10="Annual",MOD(C303-IF(Nonlabor!$E$10="Core",Nonlabor!$F$10,MAX(Nonlabor!$F$10,IF(Nonlabor!$E$10="AI",Assumptions!$C$24,Assumptions!$C$25))),12)=0))),IF(Nonlabor!$I$10="Fixed",1,IF(Nonlabor!$I$10="Seats",ROUNDUP('Monthly Lean'!I63,0),IF(Nonlabor!$I$10="Customers",'Monthly Lean'!D63,IF(Nonlabor!$I$10="NewCustomers",'Monthly Lean'!C63,IF(Nonlabor!$I$10="StorageGB",'Monthly Lean'!G63,IF(Nonlabor!$I$10="LogGB",'Monthly Lean'!H63,IF(Nonlabor!$I$10="RequestsM",'Monthly Lean'!F63,IF(Nonlabor!$I$10="InputM",'Monthly Lean'!D63*Assumptions!$C$22/1000000,IF(Nonlabor!$I$10="OutputM",'Monthly Lean'!D63*Assumptions!$C$23/1000000,0))))))))),0)</f>
        <v>45.9087435148371</v>
      </c>
      <c r="F303" s="10" t="n">
        <f aca="false">Nonlabor!$J$10*(1+Assumptions!$C$9)^INT((C303-1)/12)</f>
        <v>0.1688263215</v>
      </c>
      <c r="G303" s="10" t="n">
        <f aca="false">E303*F303</f>
        <v>7.75060429229694</v>
      </c>
      <c r="H303" s="10" t="n">
        <f aca="false">IF(OR(Nonlabor!$L$10="Quote required",Nonlabor!$L$10="Unverified"),G303,0)</f>
        <v>0</v>
      </c>
      <c r="I303" s="10" t="n">
        <f aca="false">IF(Nonlabor!$E$10="Core",0,G303)</f>
        <v>0</v>
      </c>
      <c r="J303" s="23" t="str">
        <f aca="false">Nonlabor!$B$10</f>
        <v>INFRA</v>
      </c>
    </row>
    <row r="304" customFormat="false" ht="15" hidden="false" customHeight="false" outlineLevel="0" collapsed="false">
      <c r="A304" s="6" t="s">
        <v>72</v>
      </c>
      <c r="B304" s="6" t="s">
        <v>383</v>
      </c>
      <c r="C304" s="6" t="n">
        <v>59</v>
      </c>
      <c r="D304" s="25" t="n">
        <f aca="false">EDATE('Start Here'!$B$6,C304-1)</f>
        <v>48092</v>
      </c>
      <c r="E304" s="11" t="n">
        <f aca="false">IF(AND(OR(Nonlabor!$D$10="Both",Nonlabor!$D$10='Start Here'!$B$9),IF(Nonlabor!$E$10="Core",1,IF(Nonlabor!$E$10="AI",'Start Here'!$B$7,'Start Here'!$B$8))=1,C304&gt;=IF(Nonlabor!$E$10="Core",Nonlabor!$F$10,MAX(Nonlabor!$F$10,IF(Nonlabor!$E$10="AI",Assumptions!$C$24,Assumptions!$C$25))),C304&lt;=Nonlabor!$G$10,OR(Nonlabor!$H$10="Monthly",AND(Nonlabor!$H$10="Once",C304=IF(Nonlabor!$E$10="Core",Nonlabor!$F$10,MAX(Nonlabor!$F$10,IF(Nonlabor!$E$10="AI",Assumptions!$C$24,Assumptions!$C$25)))),AND(Nonlabor!$H$10="Annual",MOD(C304-IF(Nonlabor!$E$10="Core",Nonlabor!$F$10,MAX(Nonlabor!$F$10,IF(Nonlabor!$E$10="AI",Assumptions!$C$24,Assumptions!$C$25))),12)=0))),IF(Nonlabor!$I$10="Fixed",1,IF(Nonlabor!$I$10="Seats",ROUNDUP('Monthly Lean'!I64,0),IF(Nonlabor!$I$10="Customers",'Monthly Lean'!D64,IF(Nonlabor!$I$10="NewCustomers",'Monthly Lean'!C64,IF(Nonlabor!$I$10="StorageGB",'Monthly Lean'!G64,IF(Nonlabor!$I$10="LogGB",'Monthly Lean'!H64,IF(Nonlabor!$I$10="RequestsM",'Monthly Lean'!F64,IF(Nonlabor!$I$10="InputM",'Monthly Lean'!D64*Assumptions!$C$22/1000000,IF(Nonlabor!$I$10="OutputM",'Monthly Lean'!D64*Assumptions!$C$23/1000000,0))))))))),0)</f>
        <v>47.1732373621146</v>
      </c>
      <c r="F304" s="10" t="n">
        <f aca="false">Nonlabor!$J$10*(1+Assumptions!$C$9)^INT((C304-1)/12)</f>
        <v>0.1688263215</v>
      </c>
      <c r="G304" s="10" t="n">
        <f aca="false">E304*F304</f>
        <v>7.96408413709217</v>
      </c>
      <c r="H304" s="10" t="n">
        <f aca="false">IF(OR(Nonlabor!$L$10="Quote required",Nonlabor!$L$10="Unverified"),G304,0)</f>
        <v>0</v>
      </c>
      <c r="I304" s="10" t="n">
        <f aca="false">IF(Nonlabor!$E$10="Core",0,G304)</f>
        <v>0</v>
      </c>
      <c r="J304" s="23" t="str">
        <f aca="false">Nonlabor!$B$10</f>
        <v>INFRA</v>
      </c>
    </row>
    <row r="305" customFormat="false" ht="15" hidden="false" customHeight="false" outlineLevel="0" collapsed="false">
      <c r="A305" s="6" t="s">
        <v>72</v>
      </c>
      <c r="B305" s="6" t="s">
        <v>383</v>
      </c>
      <c r="C305" s="6" t="n">
        <v>60</v>
      </c>
      <c r="D305" s="25" t="n">
        <f aca="false">EDATE('Start Here'!$B$6,C305-1)</f>
        <v>48122</v>
      </c>
      <c r="E305" s="11" t="n">
        <f aca="false">IF(AND(OR(Nonlabor!$D$10="Both",Nonlabor!$D$10='Start Here'!$B$9),IF(Nonlabor!$E$10="Core",1,IF(Nonlabor!$E$10="AI",'Start Here'!$B$7,'Start Here'!$B$8))=1,C305&gt;=IF(Nonlabor!$E$10="Core",Nonlabor!$F$10,MAX(Nonlabor!$F$10,IF(Nonlabor!$E$10="AI",Assumptions!$C$24,Assumptions!$C$25))),C305&lt;=Nonlabor!$G$10,OR(Nonlabor!$H$10="Monthly",AND(Nonlabor!$H$10="Once",C305=IF(Nonlabor!$E$10="Core",Nonlabor!$F$10,MAX(Nonlabor!$F$10,IF(Nonlabor!$E$10="AI",Assumptions!$C$24,Assumptions!$C$25)))),AND(Nonlabor!$H$10="Annual",MOD(C305-IF(Nonlabor!$E$10="Core",Nonlabor!$F$10,MAX(Nonlabor!$F$10,IF(Nonlabor!$E$10="AI",Assumptions!$C$24,Assumptions!$C$25))),12)=0))),IF(Nonlabor!$I$10="Fixed",1,IF(Nonlabor!$I$10="Seats",ROUNDUP('Monthly Lean'!I65,0),IF(Nonlabor!$I$10="Customers",'Monthly Lean'!D65,IF(Nonlabor!$I$10="NewCustomers",'Monthly Lean'!C65,IF(Nonlabor!$I$10="StorageGB",'Monthly Lean'!G65,IF(Nonlabor!$I$10="LogGB",'Monthly Lean'!H65,IF(Nonlabor!$I$10="RequestsM",'Monthly Lean'!F65,IF(Nonlabor!$I$10="InputM",'Monthly Lean'!D65*Assumptions!$C$22/1000000,IF(Nonlabor!$I$10="OutputM",'Monthly Lean'!D65*Assumptions!$C$23/1000000,0))))))))),0)</f>
        <v>48.4187638016829</v>
      </c>
      <c r="F305" s="10" t="n">
        <f aca="false">Nonlabor!$J$10*(1+Assumptions!$C$9)^INT((C305-1)/12)</f>
        <v>0.1688263215</v>
      </c>
      <c r="G305" s="10" t="n">
        <f aca="false">E305*F305</f>
        <v>8.17436178421547</v>
      </c>
      <c r="H305" s="10" t="n">
        <f aca="false">IF(OR(Nonlabor!$L$10="Quote required",Nonlabor!$L$10="Unverified"),G305,0)</f>
        <v>0</v>
      </c>
      <c r="I305" s="10" t="n">
        <f aca="false">IF(Nonlabor!$E$10="Core",0,G305)</f>
        <v>0</v>
      </c>
      <c r="J305" s="23" t="str">
        <f aca="false">Nonlabor!$B$10</f>
        <v>INFRA</v>
      </c>
    </row>
    <row r="306" customFormat="false" ht="15" hidden="false" customHeight="false" outlineLevel="0" collapsed="false">
      <c r="A306" s="6" t="s">
        <v>72</v>
      </c>
      <c r="B306" s="6" t="s">
        <v>387</v>
      </c>
      <c r="C306" s="6" t="n">
        <v>1</v>
      </c>
      <c r="D306" s="25" t="n">
        <f aca="false">EDATE('Start Here'!$B$6,C306-1)</f>
        <v>46327</v>
      </c>
      <c r="E306" s="11" t="n">
        <f aca="false">IF(AND(OR(Nonlabor!$D$11="Both",Nonlabor!$D$11='Start Here'!$B$9),IF(Nonlabor!$E$11="Core",1,IF(Nonlabor!$E$11="AI",'Start Here'!$B$7,'Start Here'!$B$8))=1,C306&gt;=IF(Nonlabor!$E$11="Core",Nonlabor!$F$11,MAX(Nonlabor!$F$11,IF(Nonlabor!$E$11="AI",Assumptions!$C$24,Assumptions!$C$25))),C306&lt;=Nonlabor!$G$11,OR(Nonlabor!$H$11="Monthly",AND(Nonlabor!$H$11="Once",C306=IF(Nonlabor!$E$11="Core",Nonlabor!$F$11,MAX(Nonlabor!$F$11,IF(Nonlabor!$E$11="AI",Assumptions!$C$24,Assumptions!$C$25)))),AND(Nonlabor!$H$11="Annual",MOD(C306-IF(Nonlabor!$E$11="Core",Nonlabor!$F$11,MAX(Nonlabor!$F$11,IF(Nonlabor!$E$11="AI",Assumptions!$C$24,Assumptions!$C$25))),12)=0))),IF(Nonlabor!$I$11="Fixed",1,IF(Nonlabor!$I$11="Seats",ROUNDUP('Monthly Lean'!I6,0),IF(Nonlabor!$I$11="Customers",'Monthly Lean'!D6,IF(Nonlabor!$I$11="NewCustomers",'Monthly Lean'!C6,IF(Nonlabor!$I$11="StorageGB",'Monthly Lean'!G6,IF(Nonlabor!$I$11="LogGB",'Monthly Lean'!H6,IF(Nonlabor!$I$11="RequestsM",'Monthly Lean'!F6,IF(Nonlabor!$I$11="InputM",'Monthly Lean'!D6*Assumptions!$C$22/1000000,IF(Nonlabor!$I$11="OutputM",'Monthly Lean'!D6*Assumptions!$C$23/1000000,0))))))))),0)</f>
        <v>0</v>
      </c>
      <c r="F306" s="10" t="n">
        <f aca="false">Nonlabor!$J$11*(1+Assumptions!$C$9)^INT((C306-1)/12)</f>
        <v>5</v>
      </c>
      <c r="G306" s="10" t="n">
        <f aca="false">E306*F306</f>
        <v>0</v>
      </c>
      <c r="H306" s="10" t="n">
        <f aca="false">IF(OR(Nonlabor!$L$11="Quote required",Nonlabor!$L$11="Unverified"),G306,0)</f>
        <v>0</v>
      </c>
      <c r="I306" s="10" t="n">
        <f aca="false">IF(Nonlabor!$E$11="Core",0,G306)</f>
        <v>0</v>
      </c>
      <c r="J306" s="23" t="str">
        <f aca="false">Nonlabor!$B$11</f>
        <v>INFRA</v>
      </c>
    </row>
    <row r="307" customFormat="false" ht="15" hidden="false" customHeight="false" outlineLevel="0" collapsed="false">
      <c r="A307" s="6" t="s">
        <v>72</v>
      </c>
      <c r="B307" s="6" t="s">
        <v>387</v>
      </c>
      <c r="C307" s="6" t="n">
        <v>2</v>
      </c>
      <c r="D307" s="25" t="n">
        <f aca="false">EDATE('Start Here'!$B$6,C307-1)</f>
        <v>46357</v>
      </c>
      <c r="E307" s="11" t="n">
        <f aca="false">IF(AND(OR(Nonlabor!$D$11="Both",Nonlabor!$D$11='Start Here'!$B$9),IF(Nonlabor!$E$11="Core",1,IF(Nonlabor!$E$11="AI",'Start Here'!$B$7,'Start Here'!$B$8))=1,C307&gt;=IF(Nonlabor!$E$11="Core",Nonlabor!$F$11,MAX(Nonlabor!$F$11,IF(Nonlabor!$E$11="AI",Assumptions!$C$24,Assumptions!$C$25))),C307&lt;=Nonlabor!$G$11,OR(Nonlabor!$H$11="Monthly",AND(Nonlabor!$H$11="Once",C307=IF(Nonlabor!$E$11="Core",Nonlabor!$F$11,MAX(Nonlabor!$F$11,IF(Nonlabor!$E$11="AI",Assumptions!$C$24,Assumptions!$C$25)))),AND(Nonlabor!$H$11="Annual",MOD(C307-IF(Nonlabor!$E$11="Core",Nonlabor!$F$11,MAX(Nonlabor!$F$11,IF(Nonlabor!$E$11="AI",Assumptions!$C$24,Assumptions!$C$25))),12)=0))),IF(Nonlabor!$I$11="Fixed",1,IF(Nonlabor!$I$11="Seats",ROUNDUP('Monthly Lean'!I7,0),IF(Nonlabor!$I$11="Customers",'Monthly Lean'!D7,IF(Nonlabor!$I$11="NewCustomers",'Monthly Lean'!C7,IF(Nonlabor!$I$11="StorageGB",'Monthly Lean'!G7,IF(Nonlabor!$I$11="LogGB",'Monthly Lean'!H7,IF(Nonlabor!$I$11="RequestsM",'Monthly Lean'!F7,IF(Nonlabor!$I$11="InputM",'Monthly Lean'!D7*Assumptions!$C$22/1000000,IF(Nonlabor!$I$11="OutputM",'Monthly Lean'!D7*Assumptions!$C$23/1000000,0))))))))),0)</f>
        <v>0</v>
      </c>
      <c r="F307" s="10" t="n">
        <f aca="false">Nonlabor!$J$11*(1+Assumptions!$C$9)^INT((C307-1)/12)</f>
        <v>5</v>
      </c>
      <c r="G307" s="10" t="n">
        <f aca="false">E307*F307</f>
        <v>0</v>
      </c>
      <c r="H307" s="10" t="n">
        <f aca="false">IF(OR(Nonlabor!$L$11="Quote required",Nonlabor!$L$11="Unverified"),G307,0)</f>
        <v>0</v>
      </c>
      <c r="I307" s="10" t="n">
        <f aca="false">IF(Nonlabor!$E$11="Core",0,G307)</f>
        <v>0</v>
      </c>
      <c r="J307" s="23" t="str">
        <f aca="false">Nonlabor!$B$11</f>
        <v>INFRA</v>
      </c>
    </row>
    <row r="308" customFormat="false" ht="15" hidden="false" customHeight="false" outlineLevel="0" collapsed="false">
      <c r="A308" s="6" t="s">
        <v>72</v>
      </c>
      <c r="B308" s="6" t="s">
        <v>387</v>
      </c>
      <c r="C308" s="6" t="n">
        <v>3</v>
      </c>
      <c r="D308" s="25" t="n">
        <f aca="false">EDATE('Start Here'!$B$6,C308-1)</f>
        <v>46388</v>
      </c>
      <c r="E308" s="11" t="n">
        <f aca="false">IF(AND(OR(Nonlabor!$D$11="Both",Nonlabor!$D$11='Start Here'!$B$9),IF(Nonlabor!$E$11="Core",1,IF(Nonlabor!$E$11="AI",'Start Here'!$B$7,'Start Here'!$B$8))=1,C308&gt;=IF(Nonlabor!$E$11="Core",Nonlabor!$F$11,MAX(Nonlabor!$F$11,IF(Nonlabor!$E$11="AI",Assumptions!$C$24,Assumptions!$C$25))),C308&lt;=Nonlabor!$G$11,OR(Nonlabor!$H$11="Monthly",AND(Nonlabor!$H$11="Once",C308=IF(Nonlabor!$E$11="Core",Nonlabor!$F$11,MAX(Nonlabor!$F$11,IF(Nonlabor!$E$11="AI",Assumptions!$C$24,Assumptions!$C$25)))),AND(Nonlabor!$H$11="Annual",MOD(C308-IF(Nonlabor!$E$11="Core",Nonlabor!$F$11,MAX(Nonlabor!$F$11,IF(Nonlabor!$E$11="AI",Assumptions!$C$24,Assumptions!$C$25))),12)=0))),IF(Nonlabor!$I$11="Fixed",1,IF(Nonlabor!$I$11="Seats",ROUNDUP('Monthly Lean'!I8,0),IF(Nonlabor!$I$11="Customers",'Monthly Lean'!D8,IF(Nonlabor!$I$11="NewCustomers",'Monthly Lean'!C8,IF(Nonlabor!$I$11="StorageGB",'Monthly Lean'!G8,IF(Nonlabor!$I$11="LogGB",'Monthly Lean'!H8,IF(Nonlabor!$I$11="RequestsM",'Monthly Lean'!F8,IF(Nonlabor!$I$11="InputM",'Monthly Lean'!D8*Assumptions!$C$22/1000000,IF(Nonlabor!$I$11="OutputM",'Monthly Lean'!D8*Assumptions!$C$23/1000000,0))))))))),0)</f>
        <v>0</v>
      </c>
      <c r="F308" s="10" t="n">
        <f aca="false">Nonlabor!$J$11*(1+Assumptions!$C$9)^INT((C308-1)/12)</f>
        <v>5</v>
      </c>
      <c r="G308" s="10" t="n">
        <f aca="false">E308*F308</f>
        <v>0</v>
      </c>
      <c r="H308" s="10" t="n">
        <f aca="false">IF(OR(Nonlabor!$L$11="Quote required",Nonlabor!$L$11="Unverified"),G308,0)</f>
        <v>0</v>
      </c>
      <c r="I308" s="10" t="n">
        <f aca="false">IF(Nonlabor!$E$11="Core",0,G308)</f>
        <v>0</v>
      </c>
      <c r="J308" s="23" t="str">
        <f aca="false">Nonlabor!$B$11</f>
        <v>INFRA</v>
      </c>
    </row>
    <row r="309" customFormat="false" ht="15" hidden="false" customHeight="false" outlineLevel="0" collapsed="false">
      <c r="A309" s="6" t="s">
        <v>72</v>
      </c>
      <c r="B309" s="6" t="s">
        <v>387</v>
      </c>
      <c r="C309" s="6" t="n">
        <v>4</v>
      </c>
      <c r="D309" s="25" t="n">
        <f aca="false">EDATE('Start Here'!$B$6,C309-1)</f>
        <v>46419</v>
      </c>
      <c r="E309" s="11" t="n">
        <f aca="false">IF(AND(OR(Nonlabor!$D$11="Both",Nonlabor!$D$11='Start Here'!$B$9),IF(Nonlabor!$E$11="Core",1,IF(Nonlabor!$E$11="AI",'Start Here'!$B$7,'Start Here'!$B$8))=1,C309&gt;=IF(Nonlabor!$E$11="Core",Nonlabor!$F$11,MAX(Nonlabor!$F$11,IF(Nonlabor!$E$11="AI",Assumptions!$C$24,Assumptions!$C$25))),C309&lt;=Nonlabor!$G$11,OR(Nonlabor!$H$11="Monthly",AND(Nonlabor!$H$11="Once",C309=IF(Nonlabor!$E$11="Core",Nonlabor!$F$11,MAX(Nonlabor!$F$11,IF(Nonlabor!$E$11="AI",Assumptions!$C$24,Assumptions!$C$25)))),AND(Nonlabor!$H$11="Annual",MOD(C309-IF(Nonlabor!$E$11="Core",Nonlabor!$F$11,MAX(Nonlabor!$F$11,IF(Nonlabor!$E$11="AI",Assumptions!$C$24,Assumptions!$C$25))),12)=0))),IF(Nonlabor!$I$11="Fixed",1,IF(Nonlabor!$I$11="Seats",ROUNDUP('Monthly Lean'!I9,0),IF(Nonlabor!$I$11="Customers",'Monthly Lean'!D9,IF(Nonlabor!$I$11="NewCustomers",'Monthly Lean'!C9,IF(Nonlabor!$I$11="StorageGB",'Monthly Lean'!G9,IF(Nonlabor!$I$11="LogGB",'Monthly Lean'!H9,IF(Nonlabor!$I$11="RequestsM",'Monthly Lean'!F9,IF(Nonlabor!$I$11="InputM",'Monthly Lean'!D9*Assumptions!$C$22/1000000,IF(Nonlabor!$I$11="OutputM",'Monthly Lean'!D9*Assumptions!$C$23/1000000,0))))))))),0)</f>
        <v>0</v>
      </c>
      <c r="F309" s="10" t="n">
        <f aca="false">Nonlabor!$J$11*(1+Assumptions!$C$9)^INT((C309-1)/12)</f>
        <v>5</v>
      </c>
      <c r="G309" s="10" t="n">
        <f aca="false">E309*F309</f>
        <v>0</v>
      </c>
      <c r="H309" s="10" t="n">
        <f aca="false">IF(OR(Nonlabor!$L$11="Quote required",Nonlabor!$L$11="Unverified"),G309,0)</f>
        <v>0</v>
      </c>
      <c r="I309" s="10" t="n">
        <f aca="false">IF(Nonlabor!$E$11="Core",0,G309)</f>
        <v>0</v>
      </c>
      <c r="J309" s="23" t="str">
        <f aca="false">Nonlabor!$B$11</f>
        <v>INFRA</v>
      </c>
    </row>
    <row r="310" customFormat="false" ht="15" hidden="false" customHeight="false" outlineLevel="0" collapsed="false">
      <c r="A310" s="6" t="s">
        <v>72</v>
      </c>
      <c r="B310" s="6" t="s">
        <v>387</v>
      </c>
      <c r="C310" s="6" t="n">
        <v>5</v>
      </c>
      <c r="D310" s="25" t="n">
        <f aca="false">EDATE('Start Here'!$B$6,C310-1)</f>
        <v>46447</v>
      </c>
      <c r="E310" s="11" t="n">
        <f aca="false">IF(AND(OR(Nonlabor!$D$11="Both",Nonlabor!$D$11='Start Here'!$B$9),IF(Nonlabor!$E$11="Core",1,IF(Nonlabor!$E$11="AI",'Start Here'!$B$7,'Start Here'!$B$8))=1,C310&gt;=IF(Nonlabor!$E$11="Core",Nonlabor!$F$11,MAX(Nonlabor!$F$11,IF(Nonlabor!$E$11="AI",Assumptions!$C$24,Assumptions!$C$25))),C310&lt;=Nonlabor!$G$11,OR(Nonlabor!$H$11="Monthly",AND(Nonlabor!$H$11="Once",C310=IF(Nonlabor!$E$11="Core",Nonlabor!$F$11,MAX(Nonlabor!$F$11,IF(Nonlabor!$E$11="AI",Assumptions!$C$24,Assumptions!$C$25)))),AND(Nonlabor!$H$11="Annual",MOD(C310-IF(Nonlabor!$E$11="Core",Nonlabor!$F$11,MAX(Nonlabor!$F$11,IF(Nonlabor!$E$11="AI",Assumptions!$C$24,Assumptions!$C$25))),12)=0))),IF(Nonlabor!$I$11="Fixed",1,IF(Nonlabor!$I$11="Seats",ROUNDUP('Monthly Lean'!I10,0),IF(Nonlabor!$I$11="Customers",'Monthly Lean'!D10,IF(Nonlabor!$I$11="NewCustomers",'Monthly Lean'!C10,IF(Nonlabor!$I$11="StorageGB",'Monthly Lean'!G10,IF(Nonlabor!$I$11="LogGB",'Monthly Lean'!H10,IF(Nonlabor!$I$11="RequestsM",'Monthly Lean'!F10,IF(Nonlabor!$I$11="InputM",'Monthly Lean'!D10*Assumptions!$C$22/1000000,IF(Nonlabor!$I$11="OutputM",'Monthly Lean'!D10*Assumptions!$C$23/1000000,0))))))))),0)</f>
        <v>0</v>
      </c>
      <c r="F310" s="10" t="n">
        <f aca="false">Nonlabor!$J$11*(1+Assumptions!$C$9)^INT((C310-1)/12)</f>
        <v>5</v>
      </c>
      <c r="G310" s="10" t="n">
        <f aca="false">E310*F310</f>
        <v>0</v>
      </c>
      <c r="H310" s="10" t="n">
        <f aca="false">IF(OR(Nonlabor!$L$11="Quote required",Nonlabor!$L$11="Unverified"),G310,0)</f>
        <v>0</v>
      </c>
      <c r="I310" s="10" t="n">
        <f aca="false">IF(Nonlabor!$E$11="Core",0,G310)</f>
        <v>0</v>
      </c>
      <c r="J310" s="23" t="str">
        <f aca="false">Nonlabor!$B$11</f>
        <v>INFRA</v>
      </c>
    </row>
    <row r="311" customFormat="false" ht="15" hidden="false" customHeight="false" outlineLevel="0" collapsed="false">
      <c r="A311" s="6" t="s">
        <v>72</v>
      </c>
      <c r="B311" s="6" t="s">
        <v>387</v>
      </c>
      <c r="C311" s="6" t="n">
        <v>6</v>
      </c>
      <c r="D311" s="25" t="n">
        <f aca="false">EDATE('Start Here'!$B$6,C311-1)</f>
        <v>46478</v>
      </c>
      <c r="E311" s="11" t="n">
        <f aca="false">IF(AND(OR(Nonlabor!$D$11="Both",Nonlabor!$D$11='Start Here'!$B$9),IF(Nonlabor!$E$11="Core",1,IF(Nonlabor!$E$11="AI",'Start Here'!$B$7,'Start Here'!$B$8))=1,C311&gt;=IF(Nonlabor!$E$11="Core",Nonlabor!$F$11,MAX(Nonlabor!$F$11,IF(Nonlabor!$E$11="AI",Assumptions!$C$24,Assumptions!$C$25))),C311&lt;=Nonlabor!$G$11,OR(Nonlabor!$H$11="Monthly",AND(Nonlabor!$H$11="Once",C311=IF(Nonlabor!$E$11="Core",Nonlabor!$F$11,MAX(Nonlabor!$F$11,IF(Nonlabor!$E$11="AI",Assumptions!$C$24,Assumptions!$C$25)))),AND(Nonlabor!$H$11="Annual",MOD(C311-IF(Nonlabor!$E$11="Core",Nonlabor!$F$11,MAX(Nonlabor!$F$11,IF(Nonlabor!$E$11="AI",Assumptions!$C$24,Assumptions!$C$25))),12)=0))),IF(Nonlabor!$I$11="Fixed",1,IF(Nonlabor!$I$11="Seats",ROUNDUP('Monthly Lean'!I11,0),IF(Nonlabor!$I$11="Customers",'Monthly Lean'!D11,IF(Nonlabor!$I$11="NewCustomers",'Monthly Lean'!C11,IF(Nonlabor!$I$11="StorageGB",'Monthly Lean'!G11,IF(Nonlabor!$I$11="LogGB",'Monthly Lean'!H11,IF(Nonlabor!$I$11="RequestsM",'Monthly Lean'!F11,IF(Nonlabor!$I$11="InputM",'Monthly Lean'!D11*Assumptions!$C$22/1000000,IF(Nonlabor!$I$11="OutputM",'Monthly Lean'!D11*Assumptions!$C$23/1000000,0))))))))),0)</f>
        <v>0</v>
      </c>
      <c r="F311" s="10" t="n">
        <f aca="false">Nonlabor!$J$11*(1+Assumptions!$C$9)^INT((C311-1)/12)</f>
        <v>5</v>
      </c>
      <c r="G311" s="10" t="n">
        <f aca="false">E311*F311</f>
        <v>0</v>
      </c>
      <c r="H311" s="10" t="n">
        <f aca="false">IF(OR(Nonlabor!$L$11="Quote required",Nonlabor!$L$11="Unverified"),G311,0)</f>
        <v>0</v>
      </c>
      <c r="I311" s="10" t="n">
        <f aca="false">IF(Nonlabor!$E$11="Core",0,G311)</f>
        <v>0</v>
      </c>
      <c r="J311" s="23" t="str">
        <f aca="false">Nonlabor!$B$11</f>
        <v>INFRA</v>
      </c>
    </row>
    <row r="312" customFormat="false" ht="15" hidden="false" customHeight="false" outlineLevel="0" collapsed="false">
      <c r="A312" s="6" t="s">
        <v>72</v>
      </c>
      <c r="B312" s="6" t="s">
        <v>387</v>
      </c>
      <c r="C312" s="6" t="n">
        <v>7</v>
      </c>
      <c r="D312" s="25" t="n">
        <f aca="false">EDATE('Start Here'!$B$6,C312-1)</f>
        <v>46508</v>
      </c>
      <c r="E312" s="11" t="n">
        <f aca="false">IF(AND(OR(Nonlabor!$D$11="Both",Nonlabor!$D$11='Start Here'!$B$9),IF(Nonlabor!$E$11="Core",1,IF(Nonlabor!$E$11="AI",'Start Here'!$B$7,'Start Here'!$B$8))=1,C312&gt;=IF(Nonlabor!$E$11="Core",Nonlabor!$F$11,MAX(Nonlabor!$F$11,IF(Nonlabor!$E$11="AI",Assumptions!$C$24,Assumptions!$C$25))),C312&lt;=Nonlabor!$G$11,OR(Nonlabor!$H$11="Monthly",AND(Nonlabor!$H$11="Once",C312=IF(Nonlabor!$E$11="Core",Nonlabor!$F$11,MAX(Nonlabor!$F$11,IF(Nonlabor!$E$11="AI",Assumptions!$C$24,Assumptions!$C$25)))),AND(Nonlabor!$H$11="Annual",MOD(C312-IF(Nonlabor!$E$11="Core",Nonlabor!$F$11,MAX(Nonlabor!$F$11,IF(Nonlabor!$E$11="AI",Assumptions!$C$24,Assumptions!$C$25))),12)=0))),IF(Nonlabor!$I$11="Fixed",1,IF(Nonlabor!$I$11="Seats",ROUNDUP('Monthly Lean'!I12,0),IF(Nonlabor!$I$11="Customers",'Monthly Lean'!D12,IF(Nonlabor!$I$11="NewCustomers",'Monthly Lean'!C12,IF(Nonlabor!$I$11="StorageGB",'Monthly Lean'!G12,IF(Nonlabor!$I$11="LogGB",'Monthly Lean'!H12,IF(Nonlabor!$I$11="RequestsM",'Monthly Lean'!F12,IF(Nonlabor!$I$11="InputM",'Monthly Lean'!D12*Assumptions!$C$22/1000000,IF(Nonlabor!$I$11="OutputM",'Monthly Lean'!D12*Assumptions!$C$23/1000000,0))))))))),0)</f>
        <v>0</v>
      </c>
      <c r="F312" s="10" t="n">
        <f aca="false">Nonlabor!$J$11*(1+Assumptions!$C$9)^INT((C312-1)/12)</f>
        <v>5</v>
      </c>
      <c r="G312" s="10" t="n">
        <f aca="false">E312*F312</f>
        <v>0</v>
      </c>
      <c r="H312" s="10" t="n">
        <f aca="false">IF(OR(Nonlabor!$L$11="Quote required",Nonlabor!$L$11="Unverified"),G312,0)</f>
        <v>0</v>
      </c>
      <c r="I312" s="10" t="n">
        <f aca="false">IF(Nonlabor!$E$11="Core",0,G312)</f>
        <v>0</v>
      </c>
      <c r="J312" s="23" t="str">
        <f aca="false">Nonlabor!$B$11</f>
        <v>INFRA</v>
      </c>
    </row>
    <row r="313" customFormat="false" ht="15" hidden="false" customHeight="false" outlineLevel="0" collapsed="false">
      <c r="A313" s="6" t="s">
        <v>72</v>
      </c>
      <c r="B313" s="6" t="s">
        <v>387</v>
      </c>
      <c r="C313" s="6" t="n">
        <v>8</v>
      </c>
      <c r="D313" s="25" t="n">
        <f aca="false">EDATE('Start Here'!$B$6,C313-1)</f>
        <v>46539</v>
      </c>
      <c r="E313" s="11" t="n">
        <f aca="false">IF(AND(OR(Nonlabor!$D$11="Both",Nonlabor!$D$11='Start Here'!$B$9),IF(Nonlabor!$E$11="Core",1,IF(Nonlabor!$E$11="AI",'Start Here'!$B$7,'Start Here'!$B$8))=1,C313&gt;=IF(Nonlabor!$E$11="Core",Nonlabor!$F$11,MAX(Nonlabor!$F$11,IF(Nonlabor!$E$11="AI",Assumptions!$C$24,Assumptions!$C$25))),C313&lt;=Nonlabor!$G$11,OR(Nonlabor!$H$11="Monthly",AND(Nonlabor!$H$11="Once",C313=IF(Nonlabor!$E$11="Core",Nonlabor!$F$11,MAX(Nonlabor!$F$11,IF(Nonlabor!$E$11="AI",Assumptions!$C$24,Assumptions!$C$25)))),AND(Nonlabor!$H$11="Annual",MOD(C313-IF(Nonlabor!$E$11="Core",Nonlabor!$F$11,MAX(Nonlabor!$F$11,IF(Nonlabor!$E$11="AI",Assumptions!$C$24,Assumptions!$C$25))),12)=0))),IF(Nonlabor!$I$11="Fixed",1,IF(Nonlabor!$I$11="Seats",ROUNDUP('Monthly Lean'!I13,0),IF(Nonlabor!$I$11="Customers",'Monthly Lean'!D13,IF(Nonlabor!$I$11="NewCustomers",'Monthly Lean'!C13,IF(Nonlabor!$I$11="StorageGB",'Monthly Lean'!G13,IF(Nonlabor!$I$11="LogGB",'Monthly Lean'!H13,IF(Nonlabor!$I$11="RequestsM",'Monthly Lean'!F13,IF(Nonlabor!$I$11="InputM",'Monthly Lean'!D13*Assumptions!$C$22/1000000,IF(Nonlabor!$I$11="OutputM",'Monthly Lean'!D13*Assumptions!$C$23/1000000,0))))))))),0)</f>
        <v>0</v>
      </c>
      <c r="F313" s="10" t="n">
        <f aca="false">Nonlabor!$J$11*(1+Assumptions!$C$9)^INT((C313-1)/12)</f>
        <v>5</v>
      </c>
      <c r="G313" s="10" t="n">
        <f aca="false">E313*F313</f>
        <v>0</v>
      </c>
      <c r="H313" s="10" t="n">
        <f aca="false">IF(OR(Nonlabor!$L$11="Quote required",Nonlabor!$L$11="Unverified"),G313,0)</f>
        <v>0</v>
      </c>
      <c r="I313" s="10" t="n">
        <f aca="false">IF(Nonlabor!$E$11="Core",0,G313)</f>
        <v>0</v>
      </c>
      <c r="J313" s="23" t="str">
        <f aca="false">Nonlabor!$B$11</f>
        <v>INFRA</v>
      </c>
    </row>
    <row r="314" customFormat="false" ht="15" hidden="false" customHeight="false" outlineLevel="0" collapsed="false">
      <c r="A314" s="6" t="s">
        <v>72</v>
      </c>
      <c r="B314" s="6" t="s">
        <v>387</v>
      </c>
      <c r="C314" s="6" t="n">
        <v>9</v>
      </c>
      <c r="D314" s="25" t="n">
        <f aca="false">EDATE('Start Here'!$B$6,C314-1)</f>
        <v>46569</v>
      </c>
      <c r="E314" s="11" t="n">
        <f aca="false">IF(AND(OR(Nonlabor!$D$11="Both",Nonlabor!$D$11='Start Here'!$B$9),IF(Nonlabor!$E$11="Core",1,IF(Nonlabor!$E$11="AI",'Start Here'!$B$7,'Start Here'!$B$8))=1,C314&gt;=IF(Nonlabor!$E$11="Core",Nonlabor!$F$11,MAX(Nonlabor!$F$11,IF(Nonlabor!$E$11="AI",Assumptions!$C$24,Assumptions!$C$25))),C314&lt;=Nonlabor!$G$11,OR(Nonlabor!$H$11="Monthly",AND(Nonlabor!$H$11="Once",C314=IF(Nonlabor!$E$11="Core",Nonlabor!$F$11,MAX(Nonlabor!$F$11,IF(Nonlabor!$E$11="AI",Assumptions!$C$24,Assumptions!$C$25)))),AND(Nonlabor!$H$11="Annual",MOD(C314-IF(Nonlabor!$E$11="Core",Nonlabor!$F$11,MAX(Nonlabor!$F$11,IF(Nonlabor!$E$11="AI",Assumptions!$C$24,Assumptions!$C$25))),12)=0))),IF(Nonlabor!$I$11="Fixed",1,IF(Nonlabor!$I$11="Seats",ROUNDUP('Monthly Lean'!I14,0),IF(Nonlabor!$I$11="Customers",'Monthly Lean'!D14,IF(Nonlabor!$I$11="NewCustomers",'Monthly Lean'!C14,IF(Nonlabor!$I$11="StorageGB",'Monthly Lean'!G14,IF(Nonlabor!$I$11="LogGB",'Monthly Lean'!H14,IF(Nonlabor!$I$11="RequestsM",'Monthly Lean'!F14,IF(Nonlabor!$I$11="InputM",'Monthly Lean'!D14*Assumptions!$C$22/1000000,IF(Nonlabor!$I$11="OutputM",'Monthly Lean'!D14*Assumptions!$C$23/1000000,0))))))))),0)</f>
        <v>0</v>
      </c>
      <c r="F314" s="10" t="n">
        <f aca="false">Nonlabor!$J$11*(1+Assumptions!$C$9)^INT((C314-1)/12)</f>
        <v>5</v>
      </c>
      <c r="G314" s="10" t="n">
        <f aca="false">E314*F314</f>
        <v>0</v>
      </c>
      <c r="H314" s="10" t="n">
        <f aca="false">IF(OR(Nonlabor!$L$11="Quote required",Nonlabor!$L$11="Unverified"),G314,0)</f>
        <v>0</v>
      </c>
      <c r="I314" s="10" t="n">
        <f aca="false">IF(Nonlabor!$E$11="Core",0,G314)</f>
        <v>0</v>
      </c>
      <c r="J314" s="23" t="str">
        <f aca="false">Nonlabor!$B$11</f>
        <v>INFRA</v>
      </c>
    </row>
    <row r="315" customFormat="false" ht="15" hidden="false" customHeight="false" outlineLevel="0" collapsed="false">
      <c r="A315" s="6" t="s">
        <v>72</v>
      </c>
      <c r="B315" s="6" t="s">
        <v>387</v>
      </c>
      <c r="C315" s="6" t="n">
        <v>10</v>
      </c>
      <c r="D315" s="25" t="n">
        <f aca="false">EDATE('Start Here'!$B$6,C315-1)</f>
        <v>46600</v>
      </c>
      <c r="E315" s="11" t="n">
        <f aca="false">IF(AND(OR(Nonlabor!$D$11="Both",Nonlabor!$D$11='Start Here'!$B$9),IF(Nonlabor!$E$11="Core",1,IF(Nonlabor!$E$11="AI",'Start Here'!$B$7,'Start Here'!$B$8))=1,C315&gt;=IF(Nonlabor!$E$11="Core",Nonlabor!$F$11,MAX(Nonlabor!$F$11,IF(Nonlabor!$E$11="AI",Assumptions!$C$24,Assumptions!$C$25))),C315&lt;=Nonlabor!$G$11,OR(Nonlabor!$H$11="Monthly",AND(Nonlabor!$H$11="Once",C315=IF(Nonlabor!$E$11="Core",Nonlabor!$F$11,MAX(Nonlabor!$F$11,IF(Nonlabor!$E$11="AI",Assumptions!$C$24,Assumptions!$C$25)))),AND(Nonlabor!$H$11="Annual",MOD(C315-IF(Nonlabor!$E$11="Core",Nonlabor!$F$11,MAX(Nonlabor!$F$11,IF(Nonlabor!$E$11="AI",Assumptions!$C$24,Assumptions!$C$25))),12)=0))),IF(Nonlabor!$I$11="Fixed",1,IF(Nonlabor!$I$11="Seats",ROUNDUP('Monthly Lean'!I15,0),IF(Nonlabor!$I$11="Customers",'Monthly Lean'!D15,IF(Nonlabor!$I$11="NewCustomers",'Monthly Lean'!C15,IF(Nonlabor!$I$11="StorageGB",'Monthly Lean'!G15,IF(Nonlabor!$I$11="LogGB",'Monthly Lean'!H15,IF(Nonlabor!$I$11="RequestsM",'Monthly Lean'!F15,IF(Nonlabor!$I$11="InputM",'Monthly Lean'!D15*Assumptions!$C$22/1000000,IF(Nonlabor!$I$11="OutputM",'Monthly Lean'!D15*Assumptions!$C$23/1000000,0))))))))),0)</f>
        <v>0</v>
      </c>
      <c r="F315" s="10" t="n">
        <f aca="false">Nonlabor!$J$11*(1+Assumptions!$C$9)^INT((C315-1)/12)</f>
        <v>5</v>
      </c>
      <c r="G315" s="10" t="n">
        <f aca="false">E315*F315</f>
        <v>0</v>
      </c>
      <c r="H315" s="10" t="n">
        <f aca="false">IF(OR(Nonlabor!$L$11="Quote required",Nonlabor!$L$11="Unverified"),G315,0)</f>
        <v>0</v>
      </c>
      <c r="I315" s="10" t="n">
        <f aca="false">IF(Nonlabor!$E$11="Core",0,G315)</f>
        <v>0</v>
      </c>
      <c r="J315" s="23" t="str">
        <f aca="false">Nonlabor!$B$11</f>
        <v>INFRA</v>
      </c>
    </row>
    <row r="316" customFormat="false" ht="15" hidden="false" customHeight="false" outlineLevel="0" collapsed="false">
      <c r="A316" s="6" t="s">
        <v>72</v>
      </c>
      <c r="B316" s="6" t="s">
        <v>387</v>
      </c>
      <c r="C316" s="6" t="n">
        <v>11</v>
      </c>
      <c r="D316" s="25" t="n">
        <f aca="false">EDATE('Start Here'!$B$6,C316-1)</f>
        <v>46631</v>
      </c>
      <c r="E316" s="11" t="n">
        <f aca="false">IF(AND(OR(Nonlabor!$D$11="Both",Nonlabor!$D$11='Start Here'!$B$9),IF(Nonlabor!$E$11="Core",1,IF(Nonlabor!$E$11="AI",'Start Here'!$B$7,'Start Here'!$B$8))=1,C316&gt;=IF(Nonlabor!$E$11="Core",Nonlabor!$F$11,MAX(Nonlabor!$F$11,IF(Nonlabor!$E$11="AI",Assumptions!$C$24,Assumptions!$C$25))),C316&lt;=Nonlabor!$G$11,OR(Nonlabor!$H$11="Monthly",AND(Nonlabor!$H$11="Once",C316=IF(Nonlabor!$E$11="Core",Nonlabor!$F$11,MAX(Nonlabor!$F$11,IF(Nonlabor!$E$11="AI",Assumptions!$C$24,Assumptions!$C$25)))),AND(Nonlabor!$H$11="Annual",MOD(C316-IF(Nonlabor!$E$11="Core",Nonlabor!$F$11,MAX(Nonlabor!$F$11,IF(Nonlabor!$E$11="AI",Assumptions!$C$24,Assumptions!$C$25))),12)=0))),IF(Nonlabor!$I$11="Fixed",1,IF(Nonlabor!$I$11="Seats",ROUNDUP('Monthly Lean'!I16,0),IF(Nonlabor!$I$11="Customers",'Monthly Lean'!D16,IF(Nonlabor!$I$11="NewCustomers",'Monthly Lean'!C16,IF(Nonlabor!$I$11="StorageGB",'Monthly Lean'!G16,IF(Nonlabor!$I$11="LogGB",'Monthly Lean'!H16,IF(Nonlabor!$I$11="RequestsM",'Monthly Lean'!F16,IF(Nonlabor!$I$11="InputM",'Monthly Lean'!D16*Assumptions!$C$22/1000000,IF(Nonlabor!$I$11="OutputM",'Monthly Lean'!D16*Assumptions!$C$23/1000000,0))))))))),0)</f>
        <v>0</v>
      </c>
      <c r="F316" s="10" t="n">
        <f aca="false">Nonlabor!$J$11*(1+Assumptions!$C$9)^INT((C316-1)/12)</f>
        <v>5</v>
      </c>
      <c r="G316" s="10" t="n">
        <f aca="false">E316*F316</f>
        <v>0</v>
      </c>
      <c r="H316" s="10" t="n">
        <f aca="false">IF(OR(Nonlabor!$L$11="Quote required",Nonlabor!$L$11="Unverified"),G316,0)</f>
        <v>0</v>
      </c>
      <c r="I316" s="10" t="n">
        <f aca="false">IF(Nonlabor!$E$11="Core",0,G316)</f>
        <v>0</v>
      </c>
      <c r="J316" s="23" t="str">
        <f aca="false">Nonlabor!$B$11</f>
        <v>INFRA</v>
      </c>
    </row>
    <row r="317" customFormat="false" ht="15" hidden="false" customHeight="false" outlineLevel="0" collapsed="false">
      <c r="A317" s="6" t="s">
        <v>72</v>
      </c>
      <c r="B317" s="6" t="s">
        <v>387</v>
      </c>
      <c r="C317" s="6" t="n">
        <v>12</v>
      </c>
      <c r="D317" s="25" t="n">
        <f aca="false">EDATE('Start Here'!$B$6,C317-1)</f>
        <v>46661</v>
      </c>
      <c r="E317" s="11" t="n">
        <f aca="false">IF(AND(OR(Nonlabor!$D$11="Both",Nonlabor!$D$11='Start Here'!$B$9),IF(Nonlabor!$E$11="Core",1,IF(Nonlabor!$E$11="AI",'Start Here'!$B$7,'Start Here'!$B$8))=1,C317&gt;=IF(Nonlabor!$E$11="Core",Nonlabor!$F$11,MAX(Nonlabor!$F$11,IF(Nonlabor!$E$11="AI",Assumptions!$C$24,Assumptions!$C$25))),C317&lt;=Nonlabor!$G$11,OR(Nonlabor!$H$11="Monthly",AND(Nonlabor!$H$11="Once",C317=IF(Nonlabor!$E$11="Core",Nonlabor!$F$11,MAX(Nonlabor!$F$11,IF(Nonlabor!$E$11="AI",Assumptions!$C$24,Assumptions!$C$25)))),AND(Nonlabor!$H$11="Annual",MOD(C317-IF(Nonlabor!$E$11="Core",Nonlabor!$F$11,MAX(Nonlabor!$F$11,IF(Nonlabor!$E$11="AI",Assumptions!$C$24,Assumptions!$C$25))),12)=0))),IF(Nonlabor!$I$11="Fixed",1,IF(Nonlabor!$I$11="Seats",ROUNDUP('Monthly Lean'!I17,0),IF(Nonlabor!$I$11="Customers",'Monthly Lean'!D17,IF(Nonlabor!$I$11="NewCustomers",'Monthly Lean'!C17,IF(Nonlabor!$I$11="StorageGB",'Monthly Lean'!G17,IF(Nonlabor!$I$11="LogGB",'Monthly Lean'!H17,IF(Nonlabor!$I$11="RequestsM",'Monthly Lean'!F17,IF(Nonlabor!$I$11="InputM",'Monthly Lean'!D17*Assumptions!$C$22/1000000,IF(Nonlabor!$I$11="OutputM",'Monthly Lean'!D17*Assumptions!$C$23/1000000,0))))))))),0)</f>
        <v>0</v>
      </c>
      <c r="F317" s="10" t="n">
        <f aca="false">Nonlabor!$J$11*(1+Assumptions!$C$9)^INT((C317-1)/12)</f>
        <v>5</v>
      </c>
      <c r="G317" s="10" t="n">
        <f aca="false">E317*F317</f>
        <v>0</v>
      </c>
      <c r="H317" s="10" t="n">
        <f aca="false">IF(OR(Nonlabor!$L$11="Quote required",Nonlabor!$L$11="Unverified"),G317,0)</f>
        <v>0</v>
      </c>
      <c r="I317" s="10" t="n">
        <f aca="false">IF(Nonlabor!$E$11="Core",0,G317)</f>
        <v>0</v>
      </c>
      <c r="J317" s="23" t="str">
        <f aca="false">Nonlabor!$B$11</f>
        <v>INFRA</v>
      </c>
    </row>
    <row r="318" customFormat="false" ht="15" hidden="false" customHeight="false" outlineLevel="0" collapsed="false">
      <c r="A318" s="6" t="s">
        <v>72</v>
      </c>
      <c r="B318" s="6" t="s">
        <v>387</v>
      </c>
      <c r="C318" s="6" t="n">
        <v>13</v>
      </c>
      <c r="D318" s="25" t="n">
        <f aca="false">EDATE('Start Here'!$B$6,C318-1)</f>
        <v>46692</v>
      </c>
      <c r="E318" s="11" t="n">
        <f aca="false">IF(AND(OR(Nonlabor!$D$11="Both",Nonlabor!$D$11='Start Here'!$B$9),IF(Nonlabor!$E$11="Core",1,IF(Nonlabor!$E$11="AI",'Start Here'!$B$7,'Start Here'!$B$8))=1,C318&gt;=IF(Nonlabor!$E$11="Core",Nonlabor!$F$11,MAX(Nonlabor!$F$11,IF(Nonlabor!$E$11="AI",Assumptions!$C$24,Assumptions!$C$25))),C318&lt;=Nonlabor!$G$11,OR(Nonlabor!$H$11="Monthly",AND(Nonlabor!$H$11="Once",C318=IF(Nonlabor!$E$11="Core",Nonlabor!$F$11,MAX(Nonlabor!$F$11,IF(Nonlabor!$E$11="AI",Assumptions!$C$24,Assumptions!$C$25)))),AND(Nonlabor!$H$11="Annual",MOD(C318-IF(Nonlabor!$E$11="Core",Nonlabor!$F$11,MAX(Nonlabor!$F$11,IF(Nonlabor!$E$11="AI",Assumptions!$C$24,Assumptions!$C$25))),12)=0))),IF(Nonlabor!$I$11="Fixed",1,IF(Nonlabor!$I$11="Seats",ROUNDUP('Monthly Lean'!I18,0),IF(Nonlabor!$I$11="Customers",'Monthly Lean'!D18,IF(Nonlabor!$I$11="NewCustomers",'Monthly Lean'!C18,IF(Nonlabor!$I$11="StorageGB",'Monthly Lean'!G18,IF(Nonlabor!$I$11="LogGB",'Monthly Lean'!H18,IF(Nonlabor!$I$11="RequestsM",'Monthly Lean'!F18,IF(Nonlabor!$I$11="InputM",'Monthly Lean'!D18*Assumptions!$C$22/1000000,IF(Nonlabor!$I$11="OutputM",'Monthly Lean'!D18*Assumptions!$C$23/1000000,0))))))))),0)</f>
        <v>0</v>
      </c>
      <c r="F318" s="10" t="n">
        <f aca="false">Nonlabor!$J$11*(1+Assumptions!$C$9)^INT((C318-1)/12)</f>
        <v>5.15</v>
      </c>
      <c r="G318" s="10" t="n">
        <f aca="false">E318*F318</f>
        <v>0</v>
      </c>
      <c r="H318" s="10" t="n">
        <f aca="false">IF(OR(Nonlabor!$L$11="Quote required",Nonlabor!$L$11="Unverified"),G318,0)</f>
        <v>0</v>
      </c>
      <c r="I318" s="10" t="n">
        <f aca="false">IF(Nonlabor!$E$11="Core",0,G318)</f>
        <v>0</v>
      </c>
      <c r="J318" s="23" t="str">
        <f aca="false">Nonlabor!$B$11</f>
        <v>INFRA</v>
      </c>
    </row>
    <row r="319" customFormat="false" ht="15" hidden="false" customHeight="false" outlineLevel="0" collapsed="false">
      <c r="A319" s="6" t="s">
        <v>72</v>
      </c>
      <c r="B319" s="6" t="s">
        <v>387</v>
      </c>
      <c r="C319" s="6" t="n">
        <v>14</v>
      </c>
      <c r="D319" s="25" t="n">
        <f aca="false">EDATE('Start Here'!$B$6,C319-1)</f>
        <v>46722</v>
      </c>
      <c r="E319" s="11" t="n">
        <f aca="false">IF(AND(OR(Nonlabor!$D$11="Both",Nonlabor!$D$11='Start Here'!$B$9),IF(Nonlabor!$E$11="Core",1,IF(Nonlabor!$E$11="AI",'Start Here'!$B$7,'Start Here'!$B$8))=1,C319&gt;=IF(Nonlabor!$E$11="Core",Nonlabor!$F$11,MAX(Nonlabor!$F$11,IF(Nonlabor!$E$11="AI",Assumptions!$C$24,Assumptions!$C$25))),C319&lt;=Nonlabor!$G$11,OR(Nonlabor!$H$11="Monthly",AND(Nonlabor!$H$11="Once",C319=IF(Nonlabor!$E$11="Core",Nonlabor!$F$11,MAX(Nonlabor!$F$11,IF(Nonlabor!$E$11="AI",Assumptions!$C$24,Assumptions!$C$25)))),AND(Nonlabor!$H$11="Annual",MOD(C319-IF(Nonlabor!$E$11="Core",Nonlabor!$F$11,MAX(Nonlabor!$F$11,IF(Nonlabor!$E$11="AI",Assumptions!$C$24,Assumptions!$C$25))),12)=0))),IF(Nonlabor!$I$11="Fixed",1,IF(Nonlabor!$I$11="Seats",ROUNDUP('Monthly Lean'!I19,0),IF(Nonlabor!$I$11="Customers",'Monthly Lean'!D19,IF(Nonlabor!$I$11="NewCustomers",'Monthly Lean'!C19,IF(Nonlabor!$I$11="StorageGB",'Monthly Lean'!G19,IF(Nonlabor!$I$11="LogGB",'Monthly Lean'!H19,IF(Nonlabor!$I$11="RequestsM",'Monthly Lean'!F19,IF(Nonlabor!$I$11="InputM",'Monthly Lean'!D19*Assumptions!$C$22/1000000,IF(Nonlabor!$I$11="OutputM",'Monthly Lean'!D19*Assumptions!$C$23/1000000,0))))))))),0)</f>
        <v>0</v>
      </c>
      <c r="F319" s="10" t="n">
        <f aca="false">Nonlabor!$J$11*(1+Assumptions!$C$9)^INT((C319-1)/12)</f>
        <v>5.15</v>
      </c>
      <c r="G319" s="10" t="n">
        <f aca="false">E319*F319</f>
        <v>0</v>
      </c>
      <c r="H319" s="10" t="n">
        <f aca="false">IF(OR(Nonlabor!$L$11="Quote required",Nonlabor!$L$11="Unverified"),G319,0)</f>
        <v>0</v>
      </c>
      <c r="I319" s="10" t="n">
        <f aca="false">IF(Nonlabor!$E$11="Core",0,G319)</f>
        <v>0</v>
      </c>
      <c r="J319" s="23" t="str">
        <f aca="false">Nonlabor!$B$11</f>
        <v>INFRA</v>
      </c>
    </row>
    <row r="320" customFormat="false" ht="15" hidden="false" customHeight="false" outlineLevel="0" collapsed="false">
      <c r="A320" s="6" t="s">
        <v>72</v>
      </c>
      <c r="B320" s="6" t="s">
        <v>387</v>
      </c>
      <c r="C320" s="6" t="n">
        <v>15</v>
      </c>
      <c r="D320" s="25" t="n">
        <f aca="false">EDATE('Start Here'!$B$6,C320-1)</f>
        <v>46753</v>
      </c>
      <c r="E320" s="11" t="n">
        <f aca="false">IF(AND(OR(Nonlabor!$D$11="Both",Nonlabor!$D$11='Start Here'!$B$9),IF(Nonlabor!$E$11="Core",1,IF(Nonlabor!$E$11="AI",'Start Here'!$B$7,'Start Here'!$B$8))=1,C320&gt;=IF(Nonlabor!$E$11="Core",Nonlabor!$F$11,MAX(Nonlabor!$F$11,IF(Nonlabor!$E$11="AI",Assumptions!$C$24,Assumptions!$C$25))),C320&lt;=Nonlabor!$G$11,OR(Nonlabor!$H$11="Monthly",AND(Nonlabor!$H$11="Once",C320=IF(Nonlabor!$E$11="Core",Nonlabor!$F$11,MAX(Nonlabor!$F$11,IF(Nonlabor!$E$11="AI",Assumptions!$C$24,Assumptions!$C$25)))),AND(Nonlabor!$H$11="Annual",MOD(C320-IF(Nonlabor!$E$11="Core",Nonlabor!$F$11,MAX(Nonlabor!$F$11,IF(Nonlabor!$E$11="AI",Assumptions!$C$24,Assumptions!$C$25))),12)=0))),IF(Nonlabor!$I$11="Fixed",1,IF(Nonlabor!$I$11="Seats",ROUNDUP('Monthly Lean'!I20,0),IF(Nonlabor!$I$11="Customers",'Monthly Lean'!D20,IF(Nonlabor!$I$11="NewCustomers",'Monthly Lean'!C20,IF(Nonlabor!$I$11="StorageGB",'Monthly Lean'!G20,IF(Nonlabor!$I$11="LogGB",'Monthly Lean'!H20,IF(Nonlabor!$I$11="RequestsM",'Monthly Lean'!F20,IF(Nonlabor!$I$11="InputM",'Monthly Lean'!D20*Assumptions!$C$22/1000000,IF(Nonlabor!$I$11="OutputM",'Monthly Lean'!D20*Assumptions!$C$23/1000000,0))))))))),0)</f>
        <v>0</v>
      </c>
      <c r="F320" s="10" t="n">
        <f aca="false">Nonlabor!$J$11*(1+Assumptions!$C$9)^INT((C320-1)/12)</f>
        <v>5.15</v>
      </c>
      <c r="G320" s="10" t="n">
        <f aca="false">E320*F320</f>
        <v>0</v>
      </c>
      <c r="H320" s="10" t="n">
        <f aca="false">IF(OR(Nonlabor!$L$11="Quote required",Nonlabor!$L$11="Unverified"),G320,0)</f>
        <v>0</v>
      </c>
      <c r="I320" s="10" t="n">
        <f aca="false">IF(Nonlabor!$E$11="Core",0,G320)</f>
        <v>0</v>
      </c>
      <c r="J320" s="23" t="str">
        <f aca="false">Nonlabor!$B$11</f>
        <v>INFRA</v>
      </c>
    </row>
    <row r="321" customFormat="false" ht="15" hidden="false" customHeight="false" outlineLevel="0" collapsed="false">
      <c r="A321" s="6" t="s">
        <v>72</v>
      </c>
      <c r="B321" s="6" t="s">
        <v>387</v>
      </c>
      <c r="C321" s="6" t="n">
        <v>16</v>
      </c>
      <c r="D321" s="25" t="n">
        <f aca="false">EDATE('Start Here'!$B$6,C321-1)</f>
        <v>46784</v>
      </c>
      <c r="E321" s="11" t="n">
        <f aca="false">IF(AND(OR(Nonlabor!$D$11="Both",Nonlabor!$D$11='Start Here'!$B$9),IF(Nonlabor!$E$11="Core",1,IF(Nonlabor!$E$11="AI",'Start Here'!$B$7,'Start Here'!$B$8))=1,C321&gt;=IF(Nonlabor!$E$11="Core",Nonlabor!$F$11,MAX(Nonlabor!$F$11,IF(Nonlabor!$E$11="AI",Assumptions!$C$24,Assumptions!$C$25))),C321&lt;=Nonlabor!$G$11,OR(Nonlabor!$H$11="Monthly",AND(Nonlabor!$H$11="Once",C321=IF(Nonlabor!$E$11="Core",Nonlabor!$F$11,MAX(Nonlabor!$F$11,IF(Nonlabor!$E$11="AI",Assumptions!$C$24,Assumptions!$C$25)))),AND(Nonlabor!$H$11="Annual",MOD(C321-IF(Nonlabor!$E$11="Core",Nonlabor!$F$11,MAX(Nonlabor!$F$11,IF(Nonlabor!$E$11="AI",Assumptions!$C$24,Assumptions!$C$25))),12)=0))),IF(Nonlabor!$I$11="Fixed",1,IF(Nonlabor!$I$11="Seats",ROUNDUP('Monthly Lean'!I21,0),IF(Nonlabor!$I$11="Customers",'Monthly Lean'!D21,IF(Nonlabor!$I$11="NewCustomers",'Monthly Lean'!C21,IF(Nonlabor!$I$11="StorageGB",'Monthly Lean'!G21,IF(Nonlabor!$I$11="LogGB",'Monthly Lean'!H21,IF(Nonlabor!$I$11="RequestsM",'Monthly Lean'!F21,IF(Nonlabor!$I$11="InputM",'Monthly Lean'!D21*Assumptions!$C$22/1000000,IF(Nonlabor!$I$11="OutputM",'Monthly Lean'!D21*Assumptions!$C$23/1000000,0))))))))),0)</f>
        <v>0.25</v>
      </c>
      <c r="F321" s="10" t="n">
        <f aca="false">Nonlabor!$J$11*(1+Assumptions!$C$9)^INT((C321-1)/12)</f>
        <v>5.15</v>
      </c>
      <c r="G321" s="10" t="n">
        <f aca="false">E321*F321</f>
        <v>1.2875</v>
      </c>
      <c r="H321" s="10" t="n">
        <f aca="false">IF(OR(Nonlabor!$L$11="Quote required",Nonlabor!$L$11="Unverified"),G321,0)</f>
        <v>0</v>
      </c>
      <c r="I321" s="10" t="n">
        <f aca="false">IF(Nonlabor!$E$11="Core",0,G321)</f>
        <v>0</v>
      </c>
      <c r="J321" s="23" t="str">
        <f aca="false">Nonlabor!$B$11</f>
        <v>INFRA</v>
      </c>
    </row>
    <row r="322" customFormat="false" ht="15" hidden="false" customHeight="false" outlineLevel="0" collapsed="false">
      <c r="A322" s="6" t="s">
        <v>72</v>
      </c>
      <c r="B322" s="6" t="s">
        <v>387</v>
      </c>
      <c r="C322" s="6" t="n">
        <v>17</v>
      </c>
      <c r="D322" s="25" t="n">
        <f aca="false">EDATE('Start Here'!$B$6,C322-1)</f>
        <v>46813</v>
      </c>
      <c r="E322" s="11" t="n">
        <f aca="false">IF(AND(OR(Nonlabor!$D$11="Both",Nonlabor!$D$11='Start Here'!$B$9),IF(Nonlabor!$E$11="Core",1,IF(Nonlabor!$E$11="AI",'Start Here'!$B$7,'Start Here'!$B$8))=1,C322&gt;=IF(Nonlabor!$E$11="Core",Nonlabor!$F$11,MAX(Nonlabor!$F$11,IF(Nonlabor!$E$11="AI",Assumptions!$C$24,Assumptions!$C$25))),C322&lt;=Nonlabor!$G$11,OR(Nonlabor!$H$11="Monthly",AND(Nonlabor!$H$11="Once",C322=IF(Nonlabor!$E$11="Core",Nonlabor!$F$11,MAX(Nonlabor!$F$11,IF(Nonlabor!$E$11="AI",Assumptions!$C$24,Assumptions!$C$25)))),AND(Nonlabor!$H$11="Annual",MOD(C322-IF(Nonlabor!$E$11="Core",Nonlabor!$F$11,MAX(Nonlabor!$F$11,IF(Nonlabor!$E$11="AI",Assumptions!$C$24,Assumptions!$C$25))),12)=0))),IF(Nonlabor!$I$11="Fixed",1,IF(Nonlabor!$I$11="Seats",ROUNDUP('Monthly Lean'!I22,0),IF(Nonlabor!$I$11="Customers",'Monthly Lean'!D22,IF(Nonlabor!$I$11="NewCustomers",'Monthly Lean'!C22,IF(Nonlabor!$I$11="StorageGB",'Monthly Lean'!G22,IF(Nonlabor!$I$11="LogGB",'Monthly Lean'!H22,IF(Nonlabor!$I$11="RequestsM",'Monthly Lean'!F22,IF(Nonlabor!$I$11="InputM",'Monthly Lean'!D22*Assumptions!$C$22/1000000,IF(Nonlabor!$I$11="OutputM",'Monthly Lean'!D22*Assumptions!$C$23/1000000,0))))))))),0)</f>
        <v>0.49625</v>
      </c>
      <c r="F322" s="10" t="n">
        <f aca="false">Nonlabor!$J$11*(1+Assumptions!$C$9)^INT((C322-1)/12)</f>
        <v>5.15</v>
      </c>
      <c r="G322" s="10" t="n">
        <f aca="false">E322*F322</f>
        <v>2.5556875</v>
      </c>
      <c r="H322" s="10" t="n">
        <f aca="false">IF(OR(Nonlabor!$L$11="Quote required",Nonlabor!$L$11="Unverified"),G322,0)</f>
        <v>0</v>
      </c>
      <c r="I322" s="10" t="n">
        <f aca="false">IF(Nonlabor!$E$11="Core",0,G322)</f>
        <v>0</v>
      </c>
      <c r="J322" s="23" t="str">
        <f aca="false">Nonlabor!$B$11</f>
        <v>INFRA</v>
      </c>
    </row>
    <row r="323" customFormat="false" ht="15" hidden="false" customHeight="false" outlineLevel="0" collapsed="false">
      <c r="A323" s="6" t="s">
        <v>72</v>
      </c>
      <c r="B323" s="6" t="s">
        <v>387</v>
      </c>
      <c r="C323" s="6" t="n">
        <v>18</v>
      </c>
      <c r="D323" s="25" t="n">
        <f aca="false">EDATE('Start Here'!$B$6,C323-1)</f>
        <v>46844</v>
      </c>
      <c r="E323" s="11" t="n">
        <f aca="false">IF(AND(OR(Nonlabor!$D$11="Both",Nonlabor!$D$11='Start Here'!$B$9),IF(Nonlabor!$E$11="Core",1,IF(Nonlabor!$E$11="AI",'Start Here'!$B$7,'Start Here'!$B$8))=1,C323&gt;=IF(Nonlabor!$E$11="Core",Nonlabor!$F$11,MAX(Nonlabor!$F$11,IF(Nonlabor!$E$11="AI",Assumptions!$C$24,Assumptions!$C$25))),C323&lt;=Nonlabor!$G$11,OR(Nonlabor!$H$11="Monthly",AND(Nonlabor!$H$11="Once",C323=IF(Nonlabor!$E$11="Core",Nonlabor!$F$11,MAX(Nonlabor!$F$11,IF(Nonlabor!$E$11="AI",Assumptions!$C$24,Assumptions!$C$25)))),AND(Nonlabor!$H$11="Annual",MOD(C323-IF(Nonlabor!$E$11="Core",Nonlabor!$F$11,MAX(Nonlabor!$F$11,IF(Nonlabor!$E$11="AI",Assumptions!$C$24,Assumptions!$C$25))),12)=0))),IF(Nonlabor!$I$11="Fixed",1,IF(Nonlabor!$I$11="Seats",ROUNDUP('Monthly Lean'!I23,0),IF(Nonlabor!$I$11="Customers",'Monthly Lean'!D23,IF(Nonlabor!$I$11="NewCustomers",'Monthly Lean'!C23,IF(Nonlabor!$I$11="StorageGB",'Monthly Lean'!G23,IF(Nonlabor!$I$11="LogGB",'Monthly Lean'!H23,IF(Nonlabor!$I$11="RequestsM",'Monthly Lean'!F23,IF(Nonlabor!$I$11="InputM",'Monthly Lean'!D23*Assumptions!$C$22/1000000,IF(Nonlabor!$I$11="OutputM",'Monthly Lean'!D23*Assumptions!$C$23/1000000,0))))))))),0)</f>
        <v>0.73880625</v>
      </c>
      <c r="F323" s="10" t="n">
        <f aca="false">Nonlabor!$J$11*(1+Assumptions!$C$9)^INT((C323-1)/12)</f>
        <v>5.15</v>
      </c>
      <c r="G323" s="10" t="n">
        <f aca="false">E323*F323</f>
        <v>3.8048521875</v>
      </c>
      <c r="H323" s="10" t="n">
        <f aca="false">IF(OR(Nonlabor!$L$11="Quote required",Nonlabor!$L$11="Unverified"),G323,0)</f>
        <v>0</v>
      </c>
      <c r="I323" s="10" t="n">
        <f aca="false">IF(Nonlabor!$E$11="Core",0,G323)</f>
        <v>0</v>
      </c>
      <c r="J323" s="23" t="str">
        <f aca="false">Nonlabor!$B$11</f>
        <v>INFRA</v>
      </c>
    </row>
    <row r="324" customFormat="false" ht="15" hidden="false" customHeight="false" outlineLevel="0" collapsed="false">
      <c r="A324" s="6" t="s">
        <v>72</v>
      </c>
      <c r="B324" s="6" t="s">
        <v>387</v>
      </c>
      <c r="C324" s="6" t="n">
        <v>19</v>
      </c>
      <c r="D324" s="25" t="n">
        <f aca="false">EDATE('Start Here'!$B$6,C324-1)</f>
        <v>46874</v>
      </c>
      <c r="E324" s="11" t="n">
        <f aca="false">IF(AND(OR(Nonlabor!$D$11="Both",Nonlabor!$D$11='Start Here'!$B$9),IF(Nonlabor!$E$11="Core",1,IF(Nonlabor!$E$11="AI",'Start Here'!$B$7,'Start Here'!$B$8))=1,C324&gt;=IF(Nonlabor!$E$11="Core",Nonlabor!$F$11,MAX(Nonlabor!$F$11,IF(Nonlabor!$E$11="AI",Assumptions!$C$24,Assumptions!$C$25))),C324&lt;=Nonlabor!$G$11,OR(Nonlabor!$H$11="Monthly",AND(Nonlabor!$H$11="Once",C324=IF(Nonlabor!$E$11="Core",Nonlabor!$F$11,MAX(Nonlabor!$F$11,IF(Nonlabor!$E$11="AI",Assumptions!$C$24,Assumptions!$C$25)))),AND(Nonlabor!$H$11="Annual",MOD(C324-IF(Nonlabor!$E$11="Core",Nonlabor!$F$11,MAX(Nonlabor!$F$11,IF(Nonlabor!$E$11="AI",Assumptions!$C$24,Assumptions!$C$25))),12)=0))),IF(Nonlabor!$I$11="Fixed",1,IF(Nonlabor!$I$11="Seats",ROUNDUP('Monthly Lean'!I24,0),IF(Nonlabor!$I$11="Customers",'Monthly Lean'!D24,IF(Nonlabor!$I$11="NewCustomers",'Monthly Lean'!C24,IF(Nonlabor!$I$11="StorageGB",'Monthly Lean'!G24,IF(Nonlabor!$I$11="LogGB",'Monthly Lean'!H24,IF(Nonlabor!$I$11="RequestsM",'Monthly Lean'!F24,IF(Nonlabor!$I$11="InputM",'Monthly Lean'!D24*Assumptions!$C$22/1000000,IF(Nonlabor!$I$11="OutputM",'Monthly Lean'!D24*Assumptions!$C$23/1000000,0))))))))),0)</f>
        <v>0.97772415625</v>
      </c>
      <c r="F324" s="10" t="n">
        <f aca="false">Nonlabor!$J$11*(1+Assumptions!$C$9)^INT((C324-1)/12)</f>
        <v>5.15</v>
      </c>
      <c r="G324" s="10" t="n">
        <f aca="false">E324*F324</f>
        <v>5.0352794046875</v>
      </c>
      <c r="H324" s="10" t="n">
        <f aca="false">IF(OR(Nonlabor!$L$11="Quote required",Nonlabor!$L$11="Unverified"),G324,0)</f>
        <v>0</v>
      </c>
      <c r="I324" s="10" t="n">
        <f aca="false">IF(Nonlabor!$E$11="Core",0,G324)</f>
        <v>0</v>
      </c>
      <c r="J324" s="23" t="str">
        <f aca="false">Nonlabor!$B$11</f>
        <v>INFRA</v>
      </c>
    </row>
    <row r="325" customFormat="false" ht="15" hidden="false" customHeight="false" outlineLevel="0" collapsed="false">
      <c r="A325" s="6" t="s">
        <v>72</v>
      </c>
      <c r="B325" s="6" t="s">
        <v>387</v>
      </c>
      <c r="C325" s="6" t="n">
        <v>20</v>
      </c>
      <c r="D325" s="25" t="n">
        <f aca="false">EDATE('Start Here'!$B$6,C325-1)</f>
        <v>46905</v>
      </c>
      <c r="E325" s="11" t="n">
        <f aca="false">IF(AND(OR(Nonlabor!$D$11="Both",Nonlabor!$D$11='Start Here'!$B$9),IF(Nonlabor!$E$11="Core",1,IF(Nonlabor!$E$11="AI",'Start Here'!$B$7,'Start Here'!$B$8))=1,C325&gt;=IF(Nonlabor!$E$11="Core",Nonlabor!$F$11,MAX(Nonlabor!$F$11,IF(Nonlabor!$E$11="AI",Assumptions!$C$24,Assumptions!$C$25))),C325&lt;=Nonlabor!$G$11,OR(Nonlabor!$H$11="Monthly",AND(Nonlabor!$H$11="Once",C325=IF(Nonlabor!$E$11="Core",Nonlabor!$F$11,MAX(Nonlabor!$F$11,IF(Nonlabor!$E$11="AI",Assumptions!$C$24,Assumptions!$C$25)))),AND(Nonlabor!$H$11="Annual",MOD(C325-IF(Nonlabor!$E$11="Core",Nonlabor!$F$11,MAX(Nonlabor!$F$11,IF(Nonlabor!$E$11="AI",Assumptions!$C$24,Assumptions!$C$25))),12)=0))),IF(Nonlabor!$I$11="Fixed",1,IF(Nonlabor!$I$11="Seats",ROUNDUP('Monthly Lean'!I25,0),IF(Nonlabor!$I$11="Customers",'Monthly Lean'!D25,IF(Nonlabor!$I$11="NewCustomers",'Monthly Lean'!C25,IF(Nonlabor!$I$11="StorageGB",'Monthly Lean'!G25,IF(Nonlabor!$I$11="LogGB",'Monthly Lean'!H25,IF(Nonlabor!$I$11="RequestsM",'Monthly Lean'!F25,IF(Nonlabor!$I$11="InputM",'Monthly Lean'!D25*Assumptions!$C$22/1000000,IF(Nonlabor!$I$11="OutputM",'Monthly Lean'!D25*Assumptions!$C$23/1000000,0))))))))),0)</f>
        <v>1.21305829390625</v>
      </c>
      <c r="F325" s="10" t="n">
        <f aca="false">Nonlabor!$J$11*(1+Assumptions!$C$9)^INT((C325-1)/12)</f>
        <v>5.15</v>
      </c>
      <c r="G325" s="10" t="n">
        <f aca="false">E325*F325</f>
        <v>6.24725021361719</v>
      </c>
      <c r="H325" s="10" t="n">
        <f aca="false">IF(OR(Nonlabor!$L$11="Quote required",Nonlabor!$L$11="Unverified"),G325,0)</f>
        <v>0</v>
      </c>
      <c r="I325" s="10" t="n">
        <f aca="false">IF(Nonlabor!$E$11="Core",0,G325)</f>
        <v>0</v>
      </c>
      <c r="J325" s="23" t="str">
        <f aca="false">Nonlabor!$B$11</f>
        <v>INFRA</v>
      </c>
    </row>
    <row r="326" customFormat="false" ht="15" hidden="false" customHeight="false" outlineLevel="0" collapsed="false">
      <c r="A326" s="6" t="s">
        <v>72</v>
      </c>
      <c r="B326" s="6" t="s">
        <v>387</v>
      </c>
      <c r="C326" s="6" t="n">
        <v>21</v>
      </c>
      <c r="D326" s="25" t="n">
        <f aca="false">EDATE('Start Here'!$B$6,C326-1)</f>
        <v>46935</v>
      </c>
      <c r="E326" s="11" t="n">
        <f aca="false">IF(AND(OR(Nonlabor!$D$11="Both",Nonlabor!$D$11='Start Here'!$B$9),IF(Nonlabor!$E$11="Core",1,IF(Nonlabor!$E$11="AI",'Start Here'!$B$7,'Start Here'!$B$8))=1,C326&gt;=IF(Nonlabor!$E$11="Core",Nonlabor!$F$11,MAX(Nonlabor!$F$11,IF(Nonlabor!$E$11="AI",Assumptions!$C$24,Assumptions!$C$25))),C326&lt;=Nonlabor!$G$11,OR(Nonlabor!$H$11="Monthly",AND(Nonlabor!$H$11="Once",C326=IF(Nonlabor!$E$11="Core",Nonlabor!$F$11,MAX(Nonlabor!$F$11,IF(Nonlabor!$E$11="AI",Assumptions!$C$24,Assumptions!$C$25)))),AND(Nonlabor!$H$11="Annual",MOD(C326-IF(Nonlabor!$E$11="Core",Nonlabor!$F$11,MAX(Nonlabor!$F$11,IF(Nonlabor!$E$11="AI",Assumptions!$C$24,Assumptions!$C$25))),12)=0))),IF(Nonlabor!$I$11="Fixed",1,IF(Nonlabor!$I$11="Seats",ROUNDUP('Monthly Lean'!I26,0),IF(Nonlabor!$I$11="Customers",'Monthly Lean'!D26,IF(Nonlabor!$I$11="NewCustomers",'Monthly Lean'!C26,IF(Nonlabor!$I$11="StorageGB",'Monthly Lean'!G26,IF(Nonlabor!$I$11="LogGB",'Monthly Lean'!H26,IF(Nonlabor!$I$11="RequestsM",'Monthly Lean'!F26,IF(Nonlabor!$I$11="InputM",'Monthly Lean'!D26*Assumptions!$C$22/1000000,IF(Nonlabor!$I$11="OutputM",'Monthly Lean'!D26*Assumptions!$C$23/1000000,0))))))))),0)</f>
        <v>1.44486241949766</v>
      </c>
      <c r="F326" s="10" t="n">
        <f aca="false">Nonlabor!$J$11*(1+Assumptions!$C$9)^INT((C326-1)/12)</f>
        <v>5.15</v>
      </c>
      <c r="G326" s="10" t="n">
        <f aca="false">E326*F326</f>
        <v>7.44104146041293</v>
      </c>
      <c r="H326" s="10" t="n">
        <f aca="false">IF(OR(Nonlabor!$L$11="Quote required",Nonlabor!$L$11="Unverified"),G326,0)</f>
        <v>0</v>
      </c>
      <c r="I326" s="10" t="n">
        <f aca="false">IF(Nonlabor!$E$11="Core",0,G326)</f>
        <v>0</v>
      </c>
      <c r="J326" s="23" t="str">
        <f aca="false">Nonlabor!$B$11</f>
        <v>INFRA</v>
      </c>
    </row>
    <row r="327" customFormat="false" ht="15" hidden="false" customHeight="false" outlineLevel="0" collapsed="false">
      <c r="A327" s="6" t="s">
        <v>72</v>
      </c>
      <c r="B327" s="6" t="s">
        <v>387</v>
      </c>
      <c r="C327" s="6" t="n">
        <v>22</v>
      </c>
      <c r="D327" s="25" t="n">
        <f aca="false">EDATE('Start Here'!$B$6,C327-1)</f>
        <v>46966</v>
      </c>
      <c r="E327" s="11" t="n">
        <f aca="false">IF(AND(OR(Nonlabor!$D$11="Both",Nonlabor!$D$11='Start Here'!$B$9),IF(Nonlabor!$E$11="Core",1,IF(Nonlabor!$E$11="AI",'Start Here'!$B$7,'Start Here'!$B$8))=1,C327&gt;=IF(Nonlabor!$E$11="Core",Nonlabor!$F$11,MAX(Nonlabor!$F$11,IF(Nonlabor!$E$11="AI",Assumptions!$C$24,Assumptions!$C$25))),C327&lt;=Nonlabor!$G$11,OR(Nonlabor!$H$11="Monthly",AND(Nonlabor!$H$11="Once",C327=IF(Nonlabor!$E$11="Core",Nonlabor!$F$11,MAX(Nonlabor!$F$11,IF(Nonlabor!$E$11="AI",Assumptions!$C$24,Assumptions!$C$25)))),AND(Nonlabor!$H$11="Annual",MOD(C327-IF(Nonlabor!$E$11="Core",Nonlabor!$F$11,MAX(Nonlabor!$F$11,IF(Nonlabor!$E$11="AI",Assumptions!$C$24,Assumptions!$C$25))),12)=0))),IF(Nonlabor!$I$11="Fixed",1,IF(Nonlabor!$I$11="Seats",ROUNDUP('Monthly Lean'!I27,0),IF(Nonlabor!$I$11="Customers",'Monthly Lean'!D27,IF(Nonlabor!$I$11="NewCustomers",'Monthly Lean'!C27,IF(Nonlabor!$I$11="StorageGB",'Monthly Lean'!G27,IF(Nonlabor!$I$11="LogGB",'Monthly Lean'!H27,IF(Nonlabor!$I$11="RequestsM",'Monthly Lean'!F27,IF(Nonlabor!$I$11="InputM",'Monthly Lean'!D27*Assumptions!$C$22/1000000,IF(Nonlabor!$I$11="OutputM",'Monthly Lean'!D27*Assumptions!$C$23/1000000,0))))))))),0)</f>
        <v>1.67318948320519</v>
      </c>
      <c r="F327" s="10" t="n">
        <f aca="false">Nonlabor!$J$11*(1+Assumptions!$C$9)^INT((C327-1)/12)</f>
        <v>5.15</v>
      </c>
      <c r="G327" s="10" t="n">
        <f aca="false">E327*F327</f>
        <v>8.61692583850674</v>
      </c>
      <c r="H327" s="10" t="n">
        <f aca="false">IF(OR(Nonlabor!$L$11="Quote required",Nonlabor!$L$11="Unverified"),G327,0)</f>
        <v>0</v>
      </c>
      <c r="I327" s="10" t="n">
        <f aca="false">IF(Nonlabor!$E$11="Core",0,G327)</f>
        <v>0</v>
      </c>
      <c r="J327" s="23" t="str">
        <f aca="false">Nonlabor!$B$11</f>
        <v>INFRA</v>
      </c>
    </row>
    <row r="328" customFormat="false" ht="15" hidden="false" customHeight="false" outlineLevel="0" collapsed="false">
      <c r="A328" s="6" t="s">
        <v>72</v>
      </c>
      <c r="B328" s="6" t="s">
        <v>387</v>
      </c>
      <c r="C328" s="6" t="n">
        <v>23</v>
      </c>
      <c r="D328" s="25" t="n">
        <f aca="false">EDATE('Start Here'!$B$6,C328-1)</f>
        <v>46997</v>
      </c>
      <c r="E328" s="11" t="n">
        <f aca="false">IF(AND(OR(Nonlabor!$D$11="Both",Nonlabor!$D$11='Start Here'!$B$9),IF(Nonlabor!$E$11="Core",1,IF(Nonlabor!$E$11="AI",'Start Here'!$B$7,'Start Here'!$B$8))=1,C328&gt;=IF(Nonlabor!$E$11="Core",Nonlabor!$F$11,MAX(Nonlabor!$F$11,IF(Nonlabor!$E$11="AI",Assumptions!$C$24,Assumptions!$C$25))),C328&lt;=Nonlabor!$G$11,OR(Nonlabor!$H$11="Monthly",AND(Nonlabor!$H$11="Once",C328=IF(Nonlabor!$E$11="Core",Nonlabor!$F$11,MAX(Nonlabor!$F$11,IF(Nonlabor!$E$11="AI",Assumptions!$C$24,Assumptions!$C$25)))),AND(Nonlabor!$H$11="Annual",MOD(C328-IF(Nonlabor!$E$11="Core",Nonlabor!$F$11,MAX(Nonlabor!$F$11,IF(Nonlabor!$E$11="AI",Assumptions!$C$24,Assumptions!$C$25))),12)=0))),IF(Nonlabor!$I$11="Fixed",1,IF(Nonlabor!$I$11="Seats",ROUNDUP('Monthly Lean'!I28,0),IF(Nonlabor!$I$11="Customers",'Monthly Lean'!D28,IF(Nonlabor!$I$11="NewCustomers",'Monthly Lean'!C28,IF(Nonlabor!$I$11="StorageGB",'Monthly Lean'!G28,IF(Nonlabor!$I$11="LogGB",'Monthly Lean'!H28,IF(Nonlabor!$I$11="RequestsM",'Monthly Lean'!F28,IF(Nonlabor!$I$11="InputM",'Monthly Lean'!D28*Assumptions!$C$22/1000000,IF(Nonlabor!$I$11="OutputM",'Monthly Lean'!D28*Assumptions!$C$23/1000000,0))))))))),0)</f>
        <v>1.89809164095711</v>
      </c>
      <c r="F328" s="10" t="n">
        <f aca="false">Nonlabor!$J$11*(1+Assumptions!$C$9)^INT((C328-1)/12)</f>
        <v>5.15</v>
      </c>
      <c r="G328" s="10" t="n">
        <f aca="false">E328*F328</f>
        <v>9.77517195092914</v>
      </c>
      <c r="H328" s="10" t="n">
        <f aca="false">IF(OR(Nonlabor!$L$11="Quote required",Nonlabor!$L$11="Unverified"),G328,0)</f>
        <v>0</v>
      </c>
      <c r="I328" s="10" t="n">
        <f aca="false">IF(Nonlabor!$E$11="Core",0,G328)</f>
        <v>0</v>
      </c>
      <c r="J328" s="23" t="str">
        <f aca="false">Nonlabor!$B$11</f>
        <v>INFRA</v>
      </c>
    </row>
    <row r="329" customFormat="false" ht="15" hidden="false" customHeight="false" outlineLevel="0" collapsed="false">
      <c r="A329" s="6" t="s">
        <v>72</v>
      </c>
      <c r="B329" s="6" t="s">
        <v>387</v>
      </c>
      <c r="C329" s="6" t="n">
        <v>24</v>
      </c>
      <c r="D329" s="25" t="n">
        <f aca="false">EDATE('Start Here'!$B$6,C329-1)</f>
        <v>47027</v>
      </c>
      <c r="E329" s="11" t="n">
        <f aca="false">IF(AND(OR(Nonlabor!$D$11="Both",Nonlabor!$D$11='Start Here'!$B$9),IF(Nonlabor!$E$11="Core",1,IF(Nonlabor!$E$11="AI",'Start Here'!$B$7,'Start Here'!$B$8))=1,C329&gt;=IF(Nonlabor!$E$11="Core",Nonlabor!$F$11,MAX(Nonlabor!$F$11,IF(Nonlabor!$E$11="AI",Assumptions!$C$24,Assumptions!$C$25))),C329&lt;=Nonlabor!$G$11,OR(Nonlabor!$H$11="Monthly",AND(Nonlabor!$H$11="Once",C329=IF(Nonlabor!$E$11="Core",Nonlabor!$F$11,MAX(Nonlabor!$F$11,IF(Nonlabor!$E$11="AI",Assumptions!$C$24,Assumptions!$C$25)))),AND(Nonlabor!$H$11="Annual",MOD(C329-IF(Nonlabor!$E$11="Core",Nonlabor!$F$11,MAX(Nonlabor!$F$11,IF(Nonlabor!$E$11="AI",Assumptions!$C$24,Assumptions!$C$25))),12)=0))),IF(Nonlabor!$I$11="Fixed",1,IF(Nonlabor!$I$11="Seats",ROUNDUP('Monthly Lean'!I29,0),IF(Nonlabor!$I$11="Customers",'Monthly Lean'!D29,IF(Nonlabor!$I$11="NewCustomers",'Monthly Lean'!C29,IF(Nonlabor!$I$11="StorageGB",'Monthly Lean'!G29,IF(Nonlabor!$I$11="LogGB",'Monthly Lean'!H29,IF(Nonlabor!$I$11="RequestsM",'Monthly Lean'!F29,IF(Nonlabor!$I$11="InputM",'Monthly Lean'!D29*Assumptions!$C$22/1000000,IF(Nonlabor!$I$11="OutputM",'Monthly Lean'!D29*Assumptions!$C$23/1000000,0))))))))),0)</f>
        <v>2.11962026634276</v>
      </c>
      <c r="F329" s="10" t="n">
        <f aca="false">Nonlabor!$J$11*(1+Assumptions!$C$9)^INT((C329-1)/12)</f>
        <v>5.15</v>
      </c>
      <c r="G329" s="10" t="n">
        <f aca="false">E329*F329</f>
        <v>10.9160443716652</v>
      </c>
      <c r="H329" s="10" t="n">
        <f aca="false">IF(OR(Nonlabor!$L$11="Quote required",Nonlabor!$L$11="Unverified"),G329,0)</f>
        <v>0</v>
      </c>
      <c r="I329" s="10" t="n">
        <f aca="false">IF(Nonlabor!$E$11="Core",0,G329)</f>
        <v>0</v>
      </c>
      <c r="J329" s="23" t="str">
        <f aca="false">Nonlabor!$B$11</f>
        <v>INFRA</v>
      </c>
    </row>
    <row r="330" customFormat="false" ht="15" hidden="false" customHeight="false" outlineLevel="0" collapsed="false">
      <c r="A330" s="6" t="s">
        <v>72</v>
      </c>
      <c r="B330" s="6" t="s">
        <v>387</v>
      </c>
      <c r="C330" s="6" t="n">
        <v>25</v>
      </c>
      <c r="D330" s="25" t="n">
        <f aca="false">EDATE('Start Here'!$B$6,C330-1)</f>
        <v>47058</v>
      </c>
      <c r="E330" s="11" t="n">
        <f aca="false">IF(AND(OR(Nonlabor!$D$11="Both",Nonlabor!$D$11='Start Here'!$B$9),IF(Nonlabor!$E$11="Core",1,IF(Nonlabor!$E$11="AI",'Start Here'!$B$7,'Start Here'!$B$8))=1,C330&gt;=IF(Nonlabor!$E$11="Core",Nonlabor!$F$11,MAX(Nonlabor!$F$11,IF(Nonlabor!$E$11="AI",Assumptions!$C$24,Assumptions!$C$25))),C330&lt;=Nonlabor!$G$11,OR(Nonlabor!$H$11="Monthly",AND(Nonlabor!$H$11="Once",C330=IF(Nonlabor!$E$11="Core",Nonlabor!$F$11,MAX(Nonlabor!$F$11,IF(Nonlabor!$E$11="AI",Assumptions!$C$24,Assumptions!$C$25)))),AND(Nonlabor!$H$11="Annual",MOD(C330-IF(Nonlabor!$E$11="Core",Nonlabor!$F$11,MAX(Nonlabor!$F$11,IF(Nonlabor!$E$11="AI",Assumptions!$C$24,Assumptions!$C$25))),12)=0))),IF(Nonlabor!$I$11="Fixed",1,IF(Nonlabor!$I$11="Seats",ROUNDUP('Monthly Lean'!I30,0),IF(Nonlabor!$I$11="Customers",'Monthly Lean'!D30,IF(Nonlabor!$I$11="NewCustomers",'Monthly Lean'!C30,IF(Nonlabor!$I$11="StorageGB",'Monthly Lean'!G30,IF(Nonlabor!$I$11="LogGB",'Monthly Lean'!H30,IF(Nonlabor!$I$11="RequestsM",'Monthly Lean'!F30,IF(Nonlabor!$I$11="InputM",'Monthly Lean'!D30*Assumptions!$C$22/1000000,IF(Nonlabor!$I$11="OutputM",'Monthly Lean'!D30*Assumptions!$C$23/1000000,0))))))))),0)</f>
        <v>2.33782596234762</v>
      </c>
      <c r="F330" s="10" t="n">
        <f aca="false">Nonlabor!$J$11*(1+Assumptions!$C$9)^INT((C330-1)/12)</f>
        <v>5.3045</v>
      </c>
      <c r="G330" s="10" t="n">
        <f aca="false">E330*F330</f>
        <v>12.4009978172729</v>
      </c>
      <c r="H330" s="10" t="n">
        <f aca="false">IF(OR(Nonlabor!$L$11="Quote required",Nonlabor!$L$11="Unverified"),G330,0)</f>
        <v>0</v>
      </c>
      <c r="I330" s="10" t="n">
        <f aca="false">IF(Nonlabor!$E$11="Core",0,G330)</f>
        <v>0</v>
      </c>
      <c r="J330" s="23" t="str">
        <f aca="false">Nonlabor!$B$11</f>
        <v>INFRA</v>
      </c>
    </row>
    <row r="331" customFormat="false" ht="15" hidden="false" customHeight="false" outlineLevel="0" collapsed="false">
      <c r="A331" s="6" t="s">
        <v>72</v>
      </c>
      <c r="B331" s="6" t="s">
        <v>387</v>
      </c>
      <c r="C331" s="6" t="n">
        <v>26</v>
      </c>
      <c r="D331" s="25" t="n">
        <f aca="false">EDATE('Start Here'!$B$6,C331-1)</f>
        <v>47088</v>
      </c>
      <c r="E331" s="11" t="n">
        <f aca="false">IF(AND(OR(Nonlabor!$D$11="Both",Nonlabor!$D$11='Start Here'!$B$9),IF(Nonlabor!$E$11="Core",1,IF(Nonlabor!$E$11="AI",'Start Here'!$B$7,'Start Here'!$B$8))=1,C331&gt;=IF(Nonlabor!$E$11="Core",Nonlabor!$F$11,MAX(Nonlabor!$F$11,IF(Nonlabor!$E$11="AI",Assumptions!$C$24,Assumptions!$C$25))),C331&lt;=Nonlabor!$G$11,OR(Nonlabor!$H$11="Monthly",AND(Nonlabor!$H$11="Once",C331=IF(Nonlabor!$E$11="Core",Nonlabor!$F$11,MAX(Nonlabor!$F$11,IF(Nonlabor!$E$11="AI",Assumptions!$C$24,Assumptions!$C$25)))),AND(Nonlabor!$H$11="Annual",MOD(C331-IF(Nonlabor!$E$11="Core",Nonlabor!$F$11,MAX(Nonlabor!$F$11,IF(Nonlabor!$E$11="AI",Assumptions!$C$24,Assumptions!$C$25))),12)=0))),IF(Nonlabor!$I$11="Fixed",1,IF(Nonlabor!$I$11="Seats",ROUNDUP('Monthly Lean'!I31,0),IF(Nonlabor!$I$11="Customers",'Monthly Lean'!D31,IF(Nonlabor!$I$11="NewCustomers",'Monthly Lean'!C31,IF(Nonlabor!$I$11="StorageGB",'Monthly Lean'!G31,IF(Nonlabor!$I$11="LogGB",'Monthly Lean'!H31,IF(Nonlabor!$I$11="RequestsM",'Monthly Lean'!F31,IF(Nonlabor!$I$11="InputM",'Monthly Lean'!D31*Assumptions!$C$22/1000000,IF(Nonlabor!$I$11="OutputM",'Monthly Lean'!D31*Assumptions!$C$23/1000000,0))))))))),0)</f>
        <v>2.5527585729124</v>
      </c>
      <c r="F331" s="10" t="n">
        <f aca="false">Nonlabor!$J$11*(1+Assumptions!$C$9)^INT((C331-1)/12)</f>
        <v>5.3045</v>
      </c>
      <c r="G331" s="10" t="n">
        <f aca="false">E331*F331</f>
        <v>13.5411078500138</v>
      </c>
      <c r="H331" s="10" t="n">
        <f aca="false">IF(OR(Nonlabor!$L$11="Quote required",Nonlabor!$L$11="Unverified"),G331,0)</f>
        <v>0</v>
      </c>
      <c r="I331" s="10" t="n">
        <f aca="false">IF(Nonlabor!$E$11="Core",0,G331)</f>
        <v>0</v>
      </c>
      <c r="J331" s="23" t="str">
        <f aca="false">Nonlabor!$B$11</f>
        <v>INFRA</v>
      </c>
    </row>
    <row r="332" customFormat="false" ht="15" hidden="false" customHeight="false" outlineLevel="0" collapsed="false">
      <c r="A332" s="6" t="s">
        <v>72</v>
      </c>
      <c r="B332" s="6" t="s">
        <v>387</v>
      </c>
      <c r="C332" s="6" t="n">
        <v>27</v>
      </c>
      <c r="D332" s="25" t="n">
        <f aca="false">EDATE('Start Here'!$B$6,C332-1)</f>
        <v>47119</v>
      </c>
      <c r="E332" s="11" t="n">
        <f aca="false">IF(AND(OR(Nonlabor!$D$11="Both",Nonlabor!$D$11='Start Here'!$B$9),IF(Nonlabor!$E$11="Core",1,IF(Nonlabor!$E$11="AI",'Start Here'!$B$7,'Start Here'!$B$8))=1,C332&gt;=IF(Nonlabor!$E$11="Core",Nonlabor!$F$11,MAX(Nonlabor!$F$11,IF(Nonlabor!$E$11="AI",Assumptions!$C$24,Assumptions!$C$25))),C332&lt;=Nonlabor!$G$11,OR(Nonlabor!$H$11="Monthly",AND(Nonlabor!$H$11="Once",C332=IF(Nonlabor!$E$11="Core",Nonlabor!$F$11,MAX(Nonlabor!$F$11,IF(Nonlabor!$E$11="AI",Assumptions!$C$24,Assumptions!$C$25)))),AND(Nonlabor!$H$11="Annual",MOD(C332-IF(Nonlabor!$E$11="Core",Nonlabor!$F$11,MAX(Nonlabor!$F$11,IF(Nonlabor!$E$11="AI",Assumptions!$C$24,Assumptions!$C$25))),12)=0))),IF(Nonlabor!$I$11="Fixed",1,IF(Nonlabor!$I$11="Seats",ROUNDUP('Monthly Lean'!I32,0),IF(Nonlabor!$I$11="Customers",'Monthly Lean'!D32,IF(Nonlabor!$I$11="NewCustomers",'Monthly Lean'!C32,IF(Nonlabor!$I$11="StorageGB",'Monthly Lean'!G32,IF(Nonlabor!$I$11="LogGB",'Monthly Lean'!H32,IF(Nonlabor!$I$11="RequestsM",'Monthly Lean'!F32,IF(Nonlabor!$I$11="InputM",'Monthly Lean'!D32*Assumptions!$C$22/1000000,IF(Nonlabor!$I$11="OutputM",'Monthly Lean'!D32*Assumptions!$C$23/1000000,0))))))))),0)</f>
        <v>2.76446719431871</v>
      </c>
      <c r="F332" s="10" t="n">
        <f aca="false">Nonlabor!$J$11*(1+Assumptions!$C$9)^INT((C332-1)/12)</f>
        <v>5.3045</v>
      </c>
      <c r="G332" s="10" t="n">
        <f aca="false">E332*F332</f>
        <v>14.6641162322636</v>
      </c>
      <c r="H332" s="10" t="n">
        <f aca="false">IF(OR(Nonlabor!$L$11="Quote required",Nonlabor!$L$11="Unverified"),G332,0)</f>
        <v>0</v>
      </c>
      <c r="I332" s="10" t="n">
        <f aca="false">IF(Nonlabor!$E$11="Core",0,G332)</f>
        <v>0</v>
      </c>
      <c r="J332" s="23" t="str">
        <f aca="false">Nonlabor!$B$11</f>
        <v>INFRA</v>
      </c>
    </row>
    <row r="333" customFormat="false" ht="15" hidden="false" customHeight="false" outlineLevel="0" collapsed="false">
      <c r="A333" s="6" t="s">
        <v>72</v>
      </c>
      <c r="B333" s="6" t="s">
        <v>387</v>
      </c>
      <c r="C333" s="6" t="n">
        <v>28</v>
      </c>
      <c r="D333" s="25" t="n">
        <f aca="false">EDATE('Start Here'!$B$6,C333-1)</f>
        <v>47150</v>
      </c>
      <c r="E333" s="11" t="n">
        <f aca="false">IF(AND(OR(Nonlabor!$D$11="Both",Nonlabor!$D$11='Start Here'!$B$9),IF(Nonlabor!$E$11="Core",1,IF(Nonlabor!$E$11="AI",'Start Here'!$B$7,'Start Here'!$B$8))=1,C333&gt;=IF(Nonlabor!$E$11="Core",Nonlabor!$F$11,MAX(Nonlabor!$F$11,IF(Nonlabor!$E$11="AI",Assumptions!$C$24,Assumptions!$C$25))),C333&lt;=Nonlabor!$G$11,OR(Nonlabor!$H$11="Monthly",AND(Nonlabor!$H$11="Once",C333=IF(Nonlabor!$E$11="Core",Nonlabor!$F$11,MAX(Nonlabor!$F$11,IF(Nonlabor!$E$11="AI",Assumptions!$C$24,Assumptions!$C$25)))),AND(Nonlabor!$H$11="Annual",MOD(C333-IF(Nonlabor!$E$11="Core",Nonlabor!$F$11,MAX(Nonlabor!$F$11,IF(Nonlabor!$E$11="AI",Assumptions!$C$24,Assumptions!$C$25))),12)=0))),IF(Nonlabor!$I$11="Fixed",1,IF(Nonlabor!$I$11="Seats",ROUNDUP('Monthly Lean'!I33,0),IF(Nonlabor!$I$11="Customers",'Monthly Lean'!D33,IF(Nonlabor!$I$11="NewCustomers",'Monthly Lean'!C33,IF(Nonlabor!$I$11="StorageGB",'Monthly Lean'!G33,IF(Nonlabor!$I$11="LogGB",'Monthly Lean'!H33,IF(Nonlabor!$I$11="RequestsM",'Monthly Lean'!F33,IF(Nonlabor!$I$11="InputM",'Monthly Lean'!D33*Assumptions!$C$22/1000000,IF(Nonlabor!$I$11="OutputM",'Monthly Lean'!D33*Assumptions!$C$23/1000000,0))))))))),0)</f>
        <v>3.03550018640393</v>
      </c>
      <c r="F333" s="10" t="n">
        <f aca="false">Nonlabor!$J$11*(1+Assumptions!$C$9)^INT((C333-1)/12)</f>
        <v>5.3045</v>
      </c>
      <c r="G333" s="10" t="n">
        <f aca="false">E333*F333</f>
        <v>16.1018107387797</v>
      </c>
      <c r="H333" s="10" t="n">
        <f aca="false">IF(OR(Nonlabor!$L$11="Quote required",Nonlabor!$L$11="Unverified"),G333,0)</f>
        <v>0</v>
      </c>
      <c r="I333" s="10" t="n">
        <f aca="false">IF(Nonlabor!$E$11="Core",0,G333)</f>
        <v>0</v>
      </c>
      <c r="J333" s="23" t="str">
        <f aca="false">Nonlabor!$B$11</f>
        <v>INFRA</v>
      </c>
    </row>
    <row r="334" customFormat="false" ht="15" hidden="false" customHeight="false" outlineLevel="0" collapsed="false">
      <c r="A334" s="6" t="s">
        <v>72</v>
      </c>
      <c r="B334" s="6" t="s">
        <v>387</v>
      </c>
      <c r="C334" s="6" t="n">
        <v>29</v>
      </c>
      <c r="D334" s="25" t="n">
        <f aca="false">EDATE('Start Here'!$B$6,C334-1)</f>
        <v>47178</v>
      </c>
      <c r="E334" s="11" t="n">
        <f aca="false">IF(AND(OR(Nonlabor!$D$11="Both",Nonlabor!$D$11='Start Here'!$B$9),IF(Nonlabor!$E$11="Core",1,IF(Nonlabor!$E$11="AI",'Start Here'!$B$7,'Start Here'!$B$8))=1,C334&gt;=IF(Nonlabor!$E$11="Core",Nonlabor!$F$11,MAX(Nonlabor!$F$11,IF(Nonlabor!$E$11="AI",Assumptions!$C$24,Assumptions!$C$25))),C334&lt;=Nonlabor!$G$11,OR(Nonlabor!$H$11="Monthly",AND(Nonlabor!$H$11="Once",C334=IF(Nonlabor!$E$11="Core",Nonlabor!$F$11,MAX(Nonlabor!$F$11,IF(Nonlabor!$E$11="AI",Assumptions!$C$24,Assumptions!$C$25)))),AND(Nonlabor!$H$11="Annual",MOD(C334-IF(Nonlabor!$E$11="Core",Nonlabor!$F$11,MAX(Nonlabor!$F$11,IF(Nonlabor!$E$11="AI",Assumptions!$C$24,Assumptions!$C$25))),12)=0))),IF(Nonlabor!$I$11="Fixed",1,IF(Nonlabor!$I$11="Seats",ROUNDUP('Monthly Lean'!I34,0),IF(Nonlabor!$I$11="Customers",'Monthly Lean'!D34,IF(Nonlabor!$I$11="NewCustomers",'Monthly Lean'!C34,IF(Nonlabor!$I$11="StorageGB",'Monthly Lean'!G34,IF(Nonlabor!$I$11="LogGB",'Monthly Lean'!H34,IF(Nonlabor!$I$11="RequestsM",'Monthly Lean'!F34,IF(Nonlabor!$I$11="InputM",'Monthly Lean'!D34*Assumptions!$C$22/1000000,IF(Nonlabor!$I$11="OutputM",'Monthly Lean'!D34*Assumptions!$C$23/1000000,0))))))))),0)</f>
        <v>3.30246768360788</v>
      </c>
      <c r="F334" s="10" t="n">
        <f aca="false">Nonlabor!$J$11*(1+Assumptions!$C$9)^INT((C334-1)/12)</f>
        <v>5.3045</v>
      </c>
      <c r="G334" s="10" t="n">
        <f aca="false">E334*F334</f>
        <v>17.517939827698</v>
      </c>
      <c r="H334" s="10" t="n">
        <f aca="false">IF(OR(Nonlabor!$L$11="Quote required",Nonlabor!$L$11="Unverified"),G334,0)</f>
        <v>0</v>
      </c>
      <c r="I334" s="10" t="n">
        <f aca="false">IF(Nonlabor!$E$11="Core",0,G334)</f>
        <v>0</v>
      </c>
      <c r="J334" s="23" t="str">
        <f aca="false">Nonlabor!$B$11</f>
        <v>INFRA</v>
      </c>
    </row>
    <row r="335" customFormat="false" ht="15" hidden="false" customHeight="false" outlineLevel="0" collapsed="false">
      <c r="A335" s="6" t="s">
        <v>72</v>
      </c>
      <c r="B335" s="6" t="s">
        <v>387</v>
      </c>
      <c r="C335" s="6" t="n">
        <v>30</v>
      </c>
      <c r="D335" s="25" t="n">
        <f aca="false">EDATE('Start Here'!$B$6,C335-1)</f>
        <v>47209</v>
      </c>
      <c r="E335" s="11" t="n">
        <f aca="false">IF(AND(OR(Nonlabor!$D$11="Both",Nonlabor!$D$11='Start Here'!$B$9),IF(Nonlabor!$E$11="Core",1,IF(Nonlabor!$E$11="AI",'Start Here'!$B$7,'Start Here'!$B$8))=1,C335&gt;=IF(Nonlabor!$E$11="Core",Nonlabor!$F$11,MAX(Nonlabor!$F$11,IF(Nonlabor!$E$11="AI",Assumptions!$C$24,Assumptions!$C$25))),C335&lt;=Nonlabor!$G$11,OR(Nonlabor!$H$11="Monthly",AND(Nonlabor!$H$11="Once",C335=IF(Nonlabor!$E$11="Core",Nonlabor!$F$11,MAX(Nonlabor!$F$11,IF(Nonlabor!$E$11="AI",Assumptions!$C$24,Assumptions!$C$25)))),AND(Nonlabor!$H$11="Annual",MOD(C335-IF(Nonlabor!$E$11="Core",Nonlabor!$F$11,MAX(Nonlabor!$F$11,IF(Nonlabor!$E$11="AI",Assumptions!$C$24,Assumptions!$C$25))),12)=0))),IF(Nonlabor!$I$11="Fixed",1,IF(Nonlabor!$I$11="Seats",ROUNDUP('Monthly Lean'!I35,0),IF(Nonlabor!$I$11="Customers",'Monthly Lean'!D35,IF(Nonlabor!$I$11="NewCustomers",'Monthly Lean'!C35,IF(Nonlabor!$I$11="StorageGB",'Monthly Lean'!G35,IF(Nonlabor!$I$11="LogGB",'Monthly Lean'!H35,IF(Nonlabor!$I$11="RequestsM",'Monthly Lean'!F35,IF(Nonlabor!$I$11="InputM",'Monthly Lean'!D35*Assumptions!$C$22/1000000,IF(Nonlabor!$I$11="OutputM",'Monthly Lean'!D35*Assumptions!$C$23/1000000,0))))))))),0)</f>
        <v>3.56543066835376</v>
      </c>
      <c r="F335" s="10" t="n">
        <f aca="false">Nonlabor!$J$11*(1+Assumptions!$C$9)^INT((C335-1)/12)</f>
        <v>5.3045</v>
      </c>
      <c r="G335" s="10" t="n">
        <f aca="false">E335*F335</f>
        <v>18.9128269802825</v>
      </c>
      <c r="H335" s="10" t="n">
        <f aca="false">IF(OR(Nonlabor!$L$11="Quote required",Nonlabor!$L$11="Unverified"),G335,0)</f>
        <v>0</v>
      </c>
      <c r="I335" s="10" t="n">
        <f aca="false">IF(Nonlabor!$E$11="Core",0,G335)</f>
        <v>0</v>
      </c>
      <c r="J335" s="23" t="str">
        <f aca="false">Nonlabor!$B$11</f>
        <v>INFRA</v>
      </c>
    </row>
    <row r="336" customFormat="false" ht="15" hidden="false" customHeight="false" outlineLevel="0" collapsed="false">
      <c r="A336" s="6" t="s">
        <v>72</v>
      </c>
      <c r="B336" s="6" t="s">
        <v>387</v>
      </c>
      <c r="C336" s="6" t="n">
        <v>31</v>
      </c>
      <c r="D336" s="25" t="n">
        <f aca="false">EDATE('Start Here'!$B$6,C336-1)</f>
        <v>47239</v>
      </c>
      <c r="E336" s="11" t="n">
        <f aca="false">IF(AND(OR(Nonlabor!$D$11="Both",Nonlabor!$D$11='Start Here'!$B$9),IF(Nonlabor!$E$11="Core",1,IF(Nonlabor!$E$11="AI",'Start Here'!$B$7,'Start Here'!$B$8))=1,C336&gt;=IF(Nonlabor!$E$11="Core",Nonlabor!$F$11,MAX(Nonlabor!$F$11,IF(Nonlabor!$E$11="AI",Assumptions!$C$24,Assumptions!$C$25))),C336&lt;=Nonlabor!$G$11,OR(Nonlabor!$H$11="Monthly",AND(Nonlabor!$H$11="Once",C336=IF(Nonlabor!$E$11="Core",Nonlabor!$F$11,MAX(Nonlabor!$F$11,IF(Nonlabor!$E$11="AI",Assumptions!$C$24,Assumptions!$C$25)))),AND(Nonlabor!$H$11="Annual",MOD(C336-IF(Nonlabor!$E$11="Core",Nonlabor!$F$11,MAX(Nonlabor!$F$11,IF(Nonlabor!$E$11="AI",Assumptions!$C$24,Assumptions!$C$25))),12)=0))),IF(Nonlabor!$I$11="Fixed",1,IF(Nonlabor!$I$11="Seats",ROUNDUP('Monthly Lean'!I36,0),IF(Nonlabor!$I$11="Customers",'Monthly Lean'!D36,IF(Nonlabor!$I$11="NewCustomers",'Monthly Lean'!C36,IF(Nonlabor!$I$11="StorageGB",'Monthly Lean'!G36,IF(Nonlabor!$I$11="LogGB",'Monthly Lean'!H36,IF(Nonlabor!$I$11="RequestsM",'Monthly Lean'!F36,IF(Nonlabor!$I$11="InputM",'Monthly Lean'!D36*Assumptions!$C$22/1000000,IF(Nonlabor!$I$11="OutputM",'Monthly Lean'!D36*Assumptions!$C$23/1000000,0))))))))),0)</f>
        <v>3.82444920832845</v>
      </c>
      <c r="F336" s="10" t="n">
        <f aca="false">Nonlabor!$J$11*(1+Assumptions!$C$9)^INT((C336-1)/12)</f>
        <v>5.3045</v>
      </c>
      <c r="G336" s="10" t="n">
        <f aca="false">E336*F336</f>
        <v>20.2867908255783</v>
      </c>
      <c r="H336" s="10" t="n">
        <f aca="false">IF(OR(Nonlabor!$L$11="Quote required",Nonlabor!$L$11="Unverified"),G336,0)</f>
        <v>0</v>
      </c>
      <c r="I336" s="10" t="n">
        <f aca="false">IF(Nonlabor!$E$11="Core",0,G336)</f>
        <v>0</v>
      </c>
      <c r="J336" s="23" t="str">
        <f aca="false">Nonlabor!$B$11</f>
        <v>INFRA</v>
      </c>
    </row>
    <row r="337" customFormat="false" ht="15" hidden="false" customHeight="false" outlineLevel="0" collapsed="false">
      <c r="A337" s="6" t="s">
        <v>72</v>
      </c>
      <c r="B337" s="6" t="s">
        <v>387</v>
      </c>
      <c r="C337" s="6" t="n">
        <v>32</v>
      </c>
      <c r="D337" s="25" t="n">
        <f aca="false">EDATE('Start Here'!$B$6,C337-1)</f>
        <v>47270</v>
      </c>
      <c r="E337" s="11" t="n">
        <f aca="false">IF(AND(OR(Nonlabor!$D$11="Both",Nonlabor!$D$11='Start Here'!$B$9),IF(Nonlabor!$E$11="Core",1,IF(Nonlabor!$E$11="AI",'Start Here'!$B$7,'Start Here'!$B$8))=1,C337&gt;=IF(Nonlabor!$E$11="Core",Nonlabor!$F$11,MAX(Nonlabor!$F$11,IF(Nonlabor!$E$11="AI",Assumptions!$C$24,Assumptions!$C$25))),C337&lt;=Nonlabor!$G$11,OR(Nonlabor!$H$11="Monthly",AND(Nonlabor!$H$11="Once",C337=IF(Nonlabor!$E$11="Core",Nonlabor!$F$11,MAX(Nonlabor!$F$11,IF(Nonlabor!$E$11="AI",Assumptions!$C$24,Assumptions!$C$25)))),AND(Nonlabor!$H$11="Annual",MOD(C337-IF(Nonlabor!$E$11="Core",Nonlabor!$F$11,MAX(Nonlabor!$F$11,IF(Nonlabor!$E$11="AI",Assumptions!$C$24,Assumptions!$C$25))),12)=0))),IF(Nonlabor!$I$11="Fixed",1,IF(Nonlabor!$I$11="Seats",ROUNDUP('Monthly Lean'!I37,0),IF(Nonlabor!$I$11="Customers",'Monthly Lean'!D37,IF(Nonlabor!$I$11="NewCustomers",'Monthly Lean'!C37,IF(Nonlabor!$I$11="StorageGB",'Monthly Lean'!G37,IF(Nonlabor!$I$11="LogGB",'Monthly Lean'!H37,IF(Nonlabor!$I$11="RequestsM",'Monthly Lean'!F37,IF(Nonlabor!$I$11="InputM",'Monthly Lean'!D37*Assumptions!$C$22/1000000,IF(Nonlabor!$I$11="OutputM",'Monthly Lean'!D37*Assumptions!$C$23/1000000,0))))))))),0)</f>
        <v>4.07958247020352</v>
      </c>
      <c r="F337" s="10" t="n">
        <f aca="false">Nonlabor!$J$11*(1+Assumptions!$C$9)^INT((C337-1)/12)</f>
        <v>5.3045</v>
      </c>
      <c r="G337" s="10" t="n">
        <f aca="false">E337*F337</f>
        <v>21.6401452131946</v>
      </c>
      <c r="H337" s="10" t="n">
        <f aca="false">IF(OR(Nonlabor!$L$11="Quote required",Nonlabor!$L$11="Unverified"),G337,0)</f>
        <v>0</v>
      </c>
      <c r="I337" s="10" t="n">
        <f aca="false">IF(Nonlabor!$E$11="Core",0,G337)</f>
        <v>0</v>
      </c>
      <c r="J337" s="23" t="str">
        <f aca="false">Nonlabor!$B$11</f>
        <v>INFRA</v>
      </c>
    </row>
    <row r="338" customFormat="false" ht="15" hidden="false" customHeight="false" outlineLevel="0" collapsed="false">
      <c r="A338" s="6" t="s">
        <v>72</v>
      </c>
      <c r="B338" s="6" t="s">
        <v>387</v>
      </c>
      <c r="C338" s="6" t="n">
        <v>33</v>
      </c>
      <c r="D338" s="25" t="n">
        <f aca="false">EDATE('Start Here'!$B$6,C338-1)</f>
        <v>47300</v>
      </c>
      <c r="E338" s="11" t="n">
        <f aca="false">IF(AND(OR(Nonlabor!$D$11="Both",Nonlabor!$D$11='Start Here'!$B$9),IF(Nonlabor!$E$11="Core",1,IF(Nonlabor!$E$11="AI",'Start Here'!$B$7,'Start Here'!$B$8))=1,C338&gt;=IF(Nonlabor!$E$11="Core",Nonlabor!$F$11,MAX(Nonlabor!$F$11,IF(Nonlabor!$E$11="AI",Assumptions!$C$24,Assumptions!$C$25))),C338&lt;=Nonlabor!$G$11,OR(Nonlabor!$H$11="Monthly",AND(Nonlabor!$H$11="Once",C338=IF(Nonlabor!$E$11="Core",Nonlabor!$F$11,MAX(Nonlabor!$F$11,IF(Nonlabor!$E$11="AI",Assumptions!$C$24,Assumptions!$C$25)))),AND(Nonlabor!$H$11="Annual",MOD(C338-IF(Nonlabor!$E$11="Core",Nonlabor!$F$11,MAX(Nonlabor!$F$11,IF(Nonlabor!$E$11="AI",Assumptions!$C$24,Assumptions!$C$25))),12)=0))),IF(Nonlabor!$I$11="Fixed",1,IF(Nonlabor!$I$11="Seats",ROUNDUP('Monthly Lean'!I38,0),IF(Nonlabor!$I$11="Customers",'Monthly Lean'!D38,IF(Nonlabor!$I$11="NewCustomers",'Monthly Lean'!C38,IF(Nonlabor!$I$11="StorageGB",'Monthly Lean'!G38,IF(Nonlabor!$I$11="LogGB",'Monthly Lean'!H38,IF(Nonlabor!$I$11="RequestsM",'Monthly Lean'!F38,IF(Nonlabor!$I$11="InputM",'Monthly Lean'!D38*Assumptions!$C$22/1000000,IF(Nonlabor!$I$11="OutputM",'Monthly Lean'!D38*Assumptions!$C$23/1000000,0))))))))),0)</f>
        <v>4.33088873315047</v>
      </c>
      <c r="F338" s="10" t="n">
        <f aca="false">Nonlabor!$J$11*(1+Assumptions!$C$9)^INT((C338-1)/12)</f>
        <v>5.3045</v>
      </c>
      <c r="G338" s="10" t="n">
        <f aca="false">E338*F338</f>
        <v>22.9731992849967</v>
      </c>
      <c r="H338" s="10" t="n">
        <f aca="false">IF(OR(Nonlabor!$L$11="Quote required",Nonlabor!$L$11="Unverified"),G338,0)</f>
        <v>0</v>
      </c>
      <c r="I338" s="10" t="n">
        <f aca="false">IF(Nonlabor!$E$11="Core",0,G338)</f>
        <v>0</v>
      </c>
      <c r="J338" s="23" t="str">
        <f aca="false">Nonlabor!$B$11</f>
        <v>INFRA</v>
      </c>
    </row>
    <row r="339" customFormat="false" ht="15" hidden="false" customHeight="false" outlineLevel="0" collapsed="false">
      <c r="A339" s="6" t="s">
        <v>72</v>
      </c>
      <c r="B339" s="6" t="s">
        <v>387</v>
      </c>
      <c r="C339" s="6" t="n">
        <v>34</v>
      </c>
      <c r="D339" s="25" t="n">
        <f aca="false">EDATE('Start Here'!$B$6,C339-1)</f>
        <v>47331</v>
      </c>
      <c r="E339" s="11" t="n">
        <f aca="false">IF(AND(OR(Nonlabor!$D$11="Both",Nonlabor!$D$11='Start Here'!$B$9),IF(Nonlabor!$E$11="Core",1,IF(Nonlabor!$E$11="AI",'Start Here'!$B$7,'Start Here'!$B$8))=1,C339&gt;=IF(Nonlabor!$E$11="Core",Nonlabor!$F$11,MAX(Nonlabor!$F$11,IF(Nonlabor!$E$11="AI",Assumptions!$C$24,Assumptions!$C$25))),C339&lt;=Nonlabor!$G$11,OR(Nonlabor!$H$11="Monthly",AND(Nonlabor!$H$11="Once",C339=IF(Nonlabor!$E$11="Core",Nonlabor!$F$11,MAX(Nonlabor!$F$11,IF(Nonlabor!$E$11="AI",Assumptions!$C$24,Assumptions!$C$25)))),AND(Nonlabor!$H$11="Annual",MOD(C339-IF(Nonlabor!$E$11="Core",Nonlabor!$F$11,MAX(Nonlabor!$F$11,IF(Nonlabor!$E$11="AI",Assumptions!$C$24,Assumptions!$C$25))),12)=0))),IF(Nonlabor!$I$11="Fixed",1,IF(Nonlabor!$I$11="Seats",ROUNDUP('Monthly Lean'!I39,0),IF(Nonlabor!$I$11="Customers",'Monthly Lean'!D39,IF(Nonlabor!$I$11="NewCustomers",'Monthly Lean'!C39,IF(Nonlabor!$I$11="StorageGB",'Monthly Lean'!G39,IF(Nonlabor!$I$11="LogGB",'Monthly Lean'!H39,IF(Nonlabor!$I$11="RequestsM",'Monthly Lean'!F39,IF(Nonlabor!$I$11="InputM",'Monthly Lean'!D39*Assumptions!$C$22/1000000,IF(Nonlabor!$I$11="OutputM",'Monthly Lean'!D39*Assumptions!$C$23/1000000,0))))))))),0)</f>
        <v>4.57842540215321</v>
      </c>
      <c r="F339" s="10" t="n">
        <f aca="false">Nonlabor!$J$11*(1+Assumptions!$C$9)^INT((C339-1)/12)</f>
        <v>5.3045</v>
      </c>
      <c r="G339" s="10" t="n">
        <f aca="false">E339*F339</f>
        <v>24.2862575457217</v>
      </c>
      <c r="H339" s="10" t="n">
        <f aca="false">IF(OR(Nonlabor!$L$11="Quote required",Nonlabor!$L$11="Unverified"),G339,0)</f>
        <v>0</v>
      </c>
      <c r="I339" s="10" t="n">
        <f aca="false">IF(Nonlabor!$E$11="Core",0,G339)</f>
        <v>0</v>
      </c>
      <c r="J339" s="23" t="str">
        <f aca="false">Nonlabor!$B$11</f>
        <v>INFRA</v>
      </c>
    </row>
    <row r="340" customFormat="false" ht="15" hidden="false" customHeight="false" outlineLevel="0" collapsed="false">
      <c r="A340" s="6" t="s">
        <v>72</v>
      </c>
      <c r="B340" s="6" t="s">
        <v>387</v>
      </c>
      <c r="C340" s="6" t="n">
        <v>35</v>
      </c>
      <c r="D340" s="25" t="n">
        <f aca="false">EDATE('Start Here'!$B$6,C340-1)</f>
        <v>47362</v>
      </c>
      <c r="E340" s="11" t="n">
        <f aca="false">IF(AND(OR(Nonlabor!$D$11="Both",Nonlabor!$D$11='Start Here'!$B$9),IF(Nonlabor!$E$11="Core",1,IF(Nonlabor!$E$11="AI",'Start Here'!$B$7,'Start Here'!$B$8))=1,C340&gt;=IF(Nonlabor!$E$11="Core",Nonlabor!$F$11,MAX(Nonlabor!$F$11,IF(Nonlabor!$E$11="AI",Assumptions!$C$24,Assumptions!$C$25))),C340&lt;=Nonlabor!$G$11,OR(Nonlabor!$H$11="Monthly",AND(Nonlabor!$H$11="Once",C340=IF(Nonlabor!$E$11="Core",Nonlabor!$F$11,MAX(Nonlabor!$F$11,IF(Nonlabor!$E$11="AI",Assumptions!$C$24,Assumptions!$C$25)))),AND(Nonlabor!$H$11="Annual",MOD(C340-IF(Nonlabor!$E$11="Core",Nonlabor!$F$11,MAX(Nonlabor!$F$11,IF(Nonlabor!$E$11="AI",Assumptions!$C$24,Assumptions!$C$25))),12)=0))),IF(Nonlabor!$I$11="Fixed",1,IF(Nonlabor!$I$11="Seats",ROUNDUP('Monthly Lean'!I40,0),IF(Nonlabor!$I$11="Customers",'Monthly Lean'!D40,IF(Nonlabor!$I$11="NewCustomers",'Monthly Lean'!C40,IF(Nonlabor!$I$11="StorageGB",'Monthly Lean'!G40,IF(Nonlabor!$I$11="LogGB",'Monthly Lean'!H40,IF(Nonlabor!$I$11="RequestsM",'Monthly Lean'!F40,IF(Nonlabor!$I$11="InputM",'Monthly Lean'!D40*Assumptions!$C$22/1000000,IF(Nonlabor!$I$11="OutputM",'Monthly Lean'!D40*Assumptions!$C$23/1000000,0))))))))),0)</f>
        <v>4.82224902112092</v>
      </c>
      <c r="F340" s="10" t="n">
        <f aca="false">Nonlabor!$J$11*(1+Assumptions!$C$9)^INT((C340-1)/12)</f>
        <v>5.3045</v>
      </c>
      <c r="G340" s="10" t="n">
        <f aca="false">E340*F340</f>
        <v>25.5796199325359</v>
      </c>
      <c r="H340" s="10" t="n">
        <f aca="false">IF(OR(Nonlabor!$L$11="Quote required",Nonlabor!$L$11="Unverified"),G340,0)</f>
        <v>0</v>
      </c>
      <c r="I340" s="10" t="n">
        <f aca="false">IF(Nonlabor!$E$11="Core",0,G340)</f>
        <v>0</v>
      </c>
      <c r="J340" s="23" t="str">
        <f aca="false">Nonlabor!$B$11</f>
        <v>INFRA</v>
      </c>
    </row>
    <row r="341" customFormat="false" ht="15" hidden="false" customHeight="false" outlineLevel="0" collapsed="false">
      <c r="A341" s="6" t="s">
        <v>72</v>
      </c>
      <c r="B341" s="6" t="s">
        <v>387</v>
      </c>
      <c r="C341" s="6" t="n">
        <v>36</v>
      </c>
      <c r="D341" s="25" t="n">
        <f aca="false">EDATE('Start Here'!$B$6,C341-1)</f>
        <v>47392</v>
      </c>
      <c r="E341" s="11" t="n">
        <f aca="false">IF(AND(OR(Nonlabor!$D$11="Both",Nonlabor!$D$11='Start Here'!$B$9),IF(Nonlabor!$E$11="Core",1,IF(Nonlabor!$E$11="AI",'Start Here'!$B$7,'Start Here'!$B$8))=1,C341&gt;=IF(Nonlabor!$E$11="Core",Nonlabor!$F$11,MAX(Nonlabor!$F$11,IF(Nonlabor!$E$11="AI",Assumptions!$C$24,Assumptions!$C$25))),C341&lt;=Nonlabor!$G$11,OR(Nonlabor!$H$11="Monthly",AND(Nonlabor!$H$11="Once",C341=IF(Nonlabor!$E$11="Core",Nonlabor!$F$11,MAX(Nonlabor!$F$11,IF(Nonlabor!$E$11="AI",Assumptions!$C$24,Assumptions!$C$25)))),AND(Nonlabor!$H$11="Annual",MOD(C341-IF(Nonlabor!$E$11="Core",Nonlabor!$F$11,MAX(Nonlabor!$F$11,IF(Nonlabor!$E$11="AI",Assumptions!$C$24,Assumptions!$C$25))),12)=0))),IF(Nonlabor!$I$11="Fixed",1,IF(Nonlabor!$I$11="Seats",ROUNDUP('Monthly Lean'!I41,0),IF(Nonlabor!$I$11="Customers",'Monthly Lean'!D41,IF(Nonlabor!$I$11="NewCustomers",'Monthly Lean'!C41,IF(Nonlabor!$I$11="StorageGB",'Monthly Lean'!G41,IF(Nonlabor!$I$11="LogGB",'Monthly Lean'!H41,IF(Nonlabor!$I$11="RequestsM",'Monthly Lean'!F41,IF(Nonlabor!$I$11="InputM",'Monthly Lean'!D41*Assumptions!$C$22/1000000,IF(Nonlabor!$I$11="OutputM",'Monthly Lean'!D41*Assumptions!$C$23/1000000,0))))))))),0)</f>
        <v>5.0624152858041</v>
      </c>
      <c r="F341" s="10" t="n">
        <f aca="false">Nonlabor!$J$11*(1+Assumptions!$C$9)^INT((C341-1)/12)</f>
        <v>5.3045</v>
      </c>
      <c r="G341" s="10" t="n">
        <f aca="false">E341*F341</f>
        <v>26.8535818835479</v>
      </c>
      <c r="H341" s="10" t="n">
        <f aca="false">IF(OR(Nonlabor!$L$11="Quote required",Nonlabor!$L$11="Unverified"),G341,0)</f>
        <v>0</v>
      </c>
      <c r="I341" s="10" t="n">
        <f aca="false">IF(Nonlabor!$E$11="Core",0,G341)</f>
        <v>0</v>
      </c>
      <c r="J341" s="23" t="str">
        <f aca="false">Nonlabor!$B$11</f>
        <v>INFRA</v>
      </c>
    </row>
    <row r="342" customFormat="false" ht="15" hidden="false" customHeight="false" outlineLevel="0" collapsed="false">
      <c r="A342" s="6" t="s">
        <v>72</v>
      </c>
      <c r="B342" s="6" t="s">
        <v>387</v>
      </c>
      <c r="C342" s="6" t="n">
        <v>37</v>
      </c>
      <c r="D342" s="25" t="n">
        <f aca="false">EDATE('Start Here'!$B$6,C342-1)</f>
        <v>47423</v>
      </c>
      <c r="E342" s="11" t="n">
        <f aca="false">IF(AND(OR(Nonlabor!$D$11="Both",Nonlabor!$D$11='Start Here'!$B$9),IF(Nonlabor!$E$11="Core",1,IF(Nonlabor!$E$11="AI",'Start Here'!$B$7,'Start Here'!$B$8))=1,C342&gt;=IF(Nonlabor!$E$11="Core",Nonlabor!$F$11,MAX(Nonlabor!$F$11,IF(Nonlabor!$E$11="AI",Assumptions!$C$24,Assumptions!$C$25))),C342&lt;=Nonlabor!$G$11,OR(Nonlabor!$H$11="Monthly",AND(Nonlabor!$H$11="Once",C342=IF(Nonlabor!$E$11="Core",Nonlabor!$F$11,MAX(Nonlabor!$F$11,IF(Nonlabor!$E$11="AI",Assumptions!$C$24,Assumptions!$C$25)))),AND(Nonlabor!$H$11="Annual",MOD(C342-IF(Nonlabor!$E$11="Core",Nonlabor!$F$11,MAX(Nonlabor!$F$11,IF(Nonlabor!$E$11="AI",Assumptions!$C$24,Assumptions!$C$25))),12)=0))),IF(Nonlabor!$I$11="Fixed",1,IF(Nonlabor!$I$11="Seats",ROUNDUP('Monthly Lean'!I42,0),IF(Nonlabor!$I$11="Customers",'Monthly Lean'!D42,IF(Nonlabor!$I$11="NewCustomers",'Monthly Lean'!C42,IF(Nonlabor!$I$11="StorageGB",'Monthly Lean'!G42,IF(Nonlabor!$I$11="LogGB",'Monthly Lean'!H42,IF(Nonlabor!$I$11="RequestsM",'Monthly Lean'!F42,IF(Nonlabor!$I$11="InputM",'Monthly Lean'!D42*Assumptions!$C$22/1000000,IF(Nonlabor!$I$11="OutputM",'Monthly Lean'!D42*Assumptions!$C$23/1000000,0))))))))),0)</f>
        <v>5.29897905651704</v>
      </c>
      <c r="F342" s="10" t="n">
        <f aca="false">Nonlabor!$J$11*(1+Assumptions!$C$9)^INT((C342-1)/12)</f>
        <v>5.463635</v>
      </c>
      <c r="G342" s="10" t="n">
        <f aca="false">E342*F342</f>
        <v>28.9516874374535</v>
      </c>
      <c r="H342" s="10" t="n">
        <f aca="false">IF(OR(Nonlabor!$L$11="Quote required",Nonlabor!$L$11="Unverified"),G342,0)</f>
        <v>0</v>
      </c>
      <c r="I342" s="10" t="n">
        <f aca="false">IF(Nonlabor!$E$11="Core",0,G342)</f>
        <v>0</v>
      </c>
      <c r="J342" s="23" t="str">
        <f aca="false">Nonlabor!$B$11</f>
        <v>INFRA</v>
      </c>
    </row>
    <row r="343" customFormat="false" ht="15" hidden="false" customHeight="false" outlineLevel="0" collapsed="false">
      <c r="A343" s="6" t="s">
        <v>72</v>
      </c>
      <c r="B343" s="6" t="s">
        <v>387</v>
      </c>
      <c r="C343" s="6" t="n">
        <v>38</v>
      </c>
      <c r="D343" s="25" t="n">
        <f aca="false">EDATE('Start Here'!$B$6,C343-1)</f>
        <v>47453</v>
      </c>
      <c r="E343" s="11" t="n">
        <f aca="false">IF(AND(OR(Nonlabor!$D$11="Both",Nonlabor!$D$11='Start Here'!$B$9),IF(Nonlabor!$E$11="Core",1,IF(Nonlabor!$E$11="AI",'Start Here'!$B$7,'Start Here'!$B$8))=1,C343&gt;=IF(Nonlabor!$E$11="Core",Nonlabor!$F$11,MAX(Nonlabor!$F$11,IF(Nonlabor!$E$11="AI",Assumptions!$C$24,Assumptions!$C$25))),C343&lt;=Nonlabor!$G$11,OR(Nonlabor!$H$11="Monthly",AND(Nonlabor!$H$11="Once",C343=IF(Nonlabor!$E$11="Core",Nonlabor!$F$11,MAX(Nonlabor!$F$11,IF(Nonlabor!$E$11="AI",Assumptions!$C$24,Assumptions!$C$25)))),AND(Nonlabor!$H$11="Annual",MOD(C343-IF(Nonlabor!$E$11="Core",Nonlabor!$F$11,MAX(Nonlabor!$F$11,IF(Nonlabor!$E$11="AI",Assumptions!$C$24,Assumptions!$C$25))),12)=0))),IF(Nonlabor!$I$11="Fixed",1,IF(Nonlabor!$I$11="Seats",ROUNDUP('Monthly Lean'!I43,0),IF(Nonlabor!$I$11="Customers",'Monthly Lean'!D43,IF(Nonlabor!$I$11="NewCustomers",'Monthly Lean'!C43,IF(Nonlabor!$I$11="StorageGB",'Monthly Lean'!G43,IF(Nonlabor!$I$11="LogGB",'Monthly Lean'!H43,IF(Nonlabor!$I$11="RequestsM",'Monthly Lean'!F43,IF(Nonlabor!$I$11="InputM",'Monthly Lean'!D43*Assumptions!$C$22/1000000,IF(Nonlabor!$I$11="OutputM",'Monthly Lean'!D43*Assumptions!$C$23/1000000,0))))))))),0)</f>
        <v>5.53199437066928</v>
      </c>
      <c r="F343" s="10" t="n">
        <f aca="false">Nonlabor!$J$11*(1+Assumptions!$C$9)^INT((C343-1)/12)</f>
        <v>5.463635</v>
      </c>
      <c r="G343" s="10" t="n">
        <f aca="false">E343*F343</f>
        <v>30.2247980633917</v>
      </c>
      <c r="H343" s="10" t="n">
        <f aca="false">IF(OR(Nonlabor!$L$11="Quote required",Nonlabor!$L$11="Unverified"),G343,0)</f>
        <v>0</v>
      </c>
      <c r="I343" s="10" t="n">
        <f aca="false">IF(Nonlabor!$E$11="Core",0,G343)</f>
        <v>0</v>
      </c>
      <c r="J343" s="23" t="str">
        <f aca="false">Nonlabor!$B$11</f>
        <v>INFRA</v>
      </c>
    </row>
    <row r="344" customFormat="false" ht="15" hidden="false" customHeight="false" outlineLevel="0" collapsed="false">
      <c r="A344" s="6" t="s">
        <v>72</v>
      </c>
      <c r="B344" s="6" t="s">
        <v>387</v>
      </c>
      <c r="C344" s="6" t="n">
        <v>39</v>
      </c>
      <c r="D344" s="25" t="n">
        <f aca="false">EDATE('Start Here'!$B$6,C344-1)</f>
        <v>47484</v>
      </c>
      <c r="E344" s="11" t="n">
        <f aca="false">IF(AND(OR(Nonlabor!$D$11="Both",Nonlabor!$D$11='Start Here'!$B$9),IF(Nonlabor!$E$11="Core",1,IF(Nonlabor!$E$11="AI",'Start Here'!$B$7,'Start Here'!$B$8))=1,C344&gt;=IF(Nonlabor!$E$11="Core",Nonlabor!$F$11,MAX(Nonlabor!$F$11,IF(Nonlabor!$E$11="AI",Assumptions!$C$24,Assumptions!$C$25))),C344&lt;=Nonlabor!$G$11,OR(Nonlabor!$H$11="Monthly",AND(Nonlabor!$H$11="Once",C344=IF(Nonlabor!$E$11="Core",Nonlabor!$F$11,MAX(Nonlabor!$F$11,IF(Nonlabor!$E$11="AI",Assumptions!$C$24,Assumptions!$C$25)))),AND(Nonlabor!$H$11="Annual",MOD(C344-IF(Nonlabor!$E$11="Core",Nonlabor!$F$11,MAX(Nonlabor!$F$11,IF(Nonlabor!$E$11="AI",Assumptions!$C$24,Assumptions!$C$25))),12)=0))),IF(Nonlabor!$I$11="Fixed",1,IF(Nonlabor!$I$11="Seats",ROUNDUP('Monthly Lean'!I44,0),IF(Nonlabor!$I$11="Customers",'Monthly Lean'!D44,IF(Nonlabor!$I$11="NewCustomers",'Monthly Lean'!C44,IF(Nonlabor!$I$11="StorageGB",'Monthly Lean'!G44,IF(Nonlabor!$I$11="LogGB",'Monthly Lean'!H44,IF(Nonlabor!$I$11="RequestsM",'Monthly Lean'!F44,IF(Nonlabor!$I$11="InputM",'Monthly Lean'!D44*Assumptions!$C$22/1000000,IF(Nonlabor!$I$11="OutputM",'Monthly Lean'!D44*Assumptions!$C$23/1000000,0))))))))),0)</f>
        <v>5.76151445510924</v>
      </c>
      <c r="F344" s="10" t="n">
        <f aca="false">Nonlabor!$J$11*(1+Assumptions!$C$9)^INT((C344-1)/12)</f>
        <v>5.463635</v>
      </c>
      <c r="G344" s="10" t="n">
        <f aca="false">E344*F344</f>
        <v>31.4788120299408</v>
      </c>
      <c r="H344" s="10" t="n">
        <f aca="false">IF(OR(Nonlabor!$L$11="Quote required",Nonlabor!$L$11="Unverified"),G344,0)</f>
        <v>0</v>
      </c>
      <c r="I344" s="10" t="n">
        <f aca="false">IF(Nonlabor!$E$11="Core",0,G344)</f>
        <v>0</v>
      </c>
      <c r="J344" s="23" t="str">
        <f aca="false">Nonlabor!$B$11</f>
        <v>INFRA</v>
      </c>
    </row>
    <row r="345" customFormat="false" ht="15" hidden="false" customHeight="false" outlineLevel="0" collapsed="false">
      <c r="A345" s="6" t="s">
        <v>72</v>
      </c>
      <c r="B345" s="6" t="s">
        <v>387</v>
      </c>
      <c r="C345" s="6" t="n">
        <v>40</v>
      </c>
      <c r="D345" s="25" t="n">
        <f aca="false">EDATE('Start Here'!$B$6,C345-1)</f>
        <v>47515</v>
      </c>
      <c r="E345" s="11" t="n">
        <f aca="false">IF(AND(OR(Nonlabor!$D$11="Both",Nonlabor!$D$11='Start Here'!$B$9),IF(Nonlabor!$E$11="Core",1,IF(Nonlabor!$E$11="AI",'Start Here'!$B$7,'Start Here'!$B$8))=1,C345&gt;=IF(Nonlabor!$E$11="Core",Nonlabor!$F$11,MAX(Nonlabor!$F$11,IF(Nonlabor!$E$11="AI",Assumptions!$C$24,Assumptions!$C$25))),C345&lt;=Nonlabor!$G$11,OR(Nonlabor!$H$11="Monthly",AND(Nonlabor!$H$11="Once",C345=IF(Nonlabor!$E$11="Core",Nonlabor!$F$11,MAX(Nonlabor!$F$11,IF(Nonlabor!$E$11="AI",Assumptions!$C$24,Assumptions!$C$25)))),AND(Nonlabor!$H$11="Annual",MOD(C345-IF(Nonlabor!$E$11="Core",Nonlabor!$F$11,MAX(Nonlabor!$F$11,IF(Nonlabor!$E$11="AI",Assumptions!$C$24,Assumptions!$C$25))),12)=0))),IF(Nonlabor!$I$11="Fixed",1,IF(Nonlabor!$I$11="Seats",ROUNDUP('Monthly Lean'!I45,0),IF(Nonlabor!$I$11="Customers",'Monthly Lean'!D45,IF(Nonlabor!$I$11="NewCustomers",'Monthly Lean'!C45,IF(Nonlabor!$I$11="StorageGB",'Monthly Lean'!G45,IF(Nonlabor!$I$11="LogGB",'Monthly Lean'!H45,IF(Nonlabor!$I$11="RequestsM",'Monthly Lean'!F45,IF(Nonlabor!$I$11="InputM",'Monthly Lean'!D45*Assumptions!$C$22/1000000,IF(Nonlabor!$I$11="OutputM",'Monthly Lean'!D45*Assumptions!$C$23/1000000,0))))))))),0)</f>
        <v>6.06571673828261</v>
      </c>
      <c r="F345" s="10" t="n">
        <f aca="false">Nonlabor!$J$11*(1+Assumptions!$C$9)^INT((C345-1)/12)</f>
        <v>5.463635</v>
      </c>
      <c r="G345" s="10" t="n">
        <f aca="false">E345*F345</f>
        <v>33.1408622713667</v>
      </c>
      <c r="H345" s="10" t="n">
        <f aca="false">IF(OR(Nonlabor!$L$11="Quote required",Nonlabor!$L$11="Unverified"),G345,0)</f>
        <v>0</v>
      </c>
      <c r="I345" s="10" t="n">
        <f aca="false">IF(Nonlabor!$E$11="Core",0,G345)</f>
        <v>0</v>
      </c>
      <c r="J345" s="23" t="str">
        <f aca="false">Nonlabor!$B$11</f>
        <v>INFRA</v>
      </c>
    </row>
    <row r="346" customFormat="false" ht="15" hidden="false" customHeight="false" outlineLevel="0" collapsed="false">
      <c r="A346" s="6" t="s">
        <v>72</v>
      </c>
      <c r="B346" s="6" t="s">
        <v>387</v>
      </c>
      <c r="C346" s="6" t="n">
        <v>41</v>
      </c>
      <c r="D346" s="25" t="n">
        <f aca="false">EDATE('Start Here'!$B$6,C346-1)</f>
        <v>47543</v>
      </c>
      <c r="E346" s="11" t="n">
        <f aca="false">IF(AND(OR(Nonlabor!$D$11="Both",Nonlabor!$D$11='Start Here'!$B$9),IF(Nonlabor!$E$11="Core",1,IF(Nonlabor!$E$11="AI",'Start Here'!$B$7,'Start Here'!$B$8))=1,C346&gt;=IF(Nonlabor!$E$11="Core",Nonlabor!$F$11,MAX(Nonlabor!$F$11,IF(Nonlabor!$E$11="AI",Assumptions!$C$24,Assumptions!$C$25))),C346&lt;=Nonlabor!$G$11,OR(Nonlabor!$H$11="Monthly",AND(Nonlabor!$H$11="Once",C346=IF(Nonlabor!$E$11="Core",Nonlabor!$F$11,MAX(Nonlabor!$F$11,IF(Nonlabor!$E$11="AI",Assumptions!$C$24,Assumptions!$C$25)))),AND(Nonlabor!$H$11="Annual",MOD(C346-IF(Nonlabor!$E$11="Core",Nonlabor!$F$11,MAX(Nonlabor!$F$11,IF(Nonlabor!$E$11="AI",Assumptions!$C$24,Assumptions!$C$25))),12)=0))),IF(Nonlabor!$I$11="Fixed",1,IF(Nonlabor!$I$11="Seats",ROUNDUP('Monthly Lean'!I46,0),IF(Nonlabor!$I$11="Customers",'Monthly Lean'!D46,IF(Nonlabor!$I$11="NewCustomers",'Monthly Lean'!C46,IF(Nonlabor!$I$11="StorageGB",'Monthly Lean'!G46,IF(Nonlabor!$I$11="LogGB",'Monthly Lean'!H46,IF(Nonlabor!$I$11="RequestsM",'Monthly Lean'!F46,IF(Nonlabor!$I$11="InputM",'Monthly Lean'!D46*Assumptions!$C$22/1000000,IF(Nonlabor!$I$11="OutputM",'Monthly Lean'!D46*Assumptions!$C$23/1000000,0))))))))),0)</f>
        <v>6.36535598720837</v>
      </c>
      <c r="F346" s="10" t="n">
        <f aca="false">Nonlabor!$J$11*(1+Assumptions!$C$9)^INT((C346-1)/12)</f>
        <v>5.463635</v>
      </c>
      <c r="G346" s="10" t="n">
        <f aca="false">E346*F346</f>
        <v>34.7779817591712</v>
      </c>
      <c r="H346" s="10" t="n">
        <f aca="false">IF(OR(Nonlabor!$L$11="Quote required",Nonlabor!$L$11="Unverified"),G346,0)</f>
        <v>0</v>
      </c>
      <c r="I346" s="10" t="n">
        <f aca="false">IF(Nonlabor!$E$11="Core",0,G346)</f>
        <v>0</v>
      </c>
      <c r="J346" s="23" t="str">
        <f aca="false">Nonlabor!$B$11</f>
        <v>INFRA</v>
      </c>
    </row>
    <row r="347" customFormat="false" ht="15" hidden="false" customHeight="false" outlineLevel="0" collapsed="false">
      <c r="A347" s="6" t="s">
        <v>72</v>
      </c>
      <c r="B347" s="6" t="s">
        <v>387</v>
      </c>
      <c r="C347" s="6" t="n">
        <v>42</v>
      </c>
      <c r="D347" s="25" t="n">
        <f aca="false">EDATE('Start Here'!$B$6,C347-1)</f>
        <v>47574</v>
      </c>
      <c r="E347" s="11" t="n">
        <f aca="false">IF(AND(OR(Nonlabor!$D$11="Both",Nonlabor!$D$11='Start Here'!$B$9),IF(Nonlabor!$E$11="Core",1,IF(Nonlabor!$E$11="AI",'Start Here'!$B$7,'Start Here'!$B$8))=1,C347&gt;=IF(Nonlabor!$E$11="Core",Nonlabor!$F$11,MAX(Nonlabor!$F$11,IF(Nonlabor!$E$11="AI",Assumptions!$C$24,Assumptions!$C$25))),C347&lt;=Nonlabor!$G$11,OR(Nonlabor!$H$11="Monthly",AND(Nonlabor!$H$11="Once",C347=IF(Nonlabor!$E$11="Core",Nonlabor!$F$11,MAX(Nonlabor!$F$11,IF(Nonlabor!$E$11="AI",Assumptions!$C$24,Assumptions!$C$25)))),AND(Nonlabor!$H$11="Annual",MOD(C347-IF(Nonlabor!$E$11="Core",Nonlabor!$F$11,MAX(Nonlabor!$F$11,IF(Nonlabor!$E$11="AI",Assumptions!$C$24,Assumptions!$C$25))),12)=0))),IF(Nonlabor!$I$11="Fixed",1,IF(Nonlabor!$I$11="Seats",ROUNDUP('Monthly Lean'!I47,0),IF(Nonlabor!$I$11="Customers",'Monthly Lean'!D47,IF(Nonlabor!$I$11="NewCustomers",'Monthly Lean'!C47,IF(Nonlabor!$I$11="StorageGB",'Monthly Lean'!G47,IF(Nonlabor!$I$11="LogGB",'Monthly Lean'!H47,IF(Nonlabor!$I$11="RequestsM",'Monthly Lean'!F47,IF(Nonlabor!$I$11="InputM",'Monthly Lean'!D47*Assumptions!$C$22/1000000,IF(Nonlabor!$I$11="OutputM",'Monthly Lean'!D47*Assumptions!$C$23/1000000,0))))))))),0)</f>
        <v>6.66050064740024</v>
      </c>
      <c r="F347" s="10" t="n">
        <f aca="false">Nonlabor!$J$11*(1+Assumptions!$C$9)^INT((C347-1)/12)</f>
        <v>5.463635</v>
      </c>
      <c r="G347" s="10" t="n">
        <f aca="false">E347*F347</f>
        <v>36.3905444546586</v>
      </c>
      <c r="H347" s="10" t="n">
        <f aca="false">IF(OR(Nonlabor!$L$11="Quote required",Nonlabor!$L$11="Unverified"),G347,0)</f>
        <v>0</v>
      </c>
      <c r="I347" s="10" t="n">
        <f aca="false">IF(Nonlabor!$E$11="Core",0,G347)</f>
        <v>0</v>
      </c>
      <c r="J347" s="23" t="str">
        <f aca="false">Nonlabor!$B$11</f>
        <v>INFRA</v>
      </c>
    </row>
    <row r="348" customFormat="false" ht="15" hidden="false" customHeight="false" outlineLevel="0" collapsed="false">
      <c r="A348" s="6" t="s">
        <v>72</v>
      </c>
      <c r="B348" s="6" t="s">
        <v>387</v>
      </c>
      <c r="C348" s="6" t="n">
        <v>43</v>
      </c>
      <c r="D348" s="25" t="n">
        <f aca="false">EDATE('Start Here'!$B$6,C348-1)</f>
        <v>47604</v>
      </c>
      <c r="E348" s="11" t="n">
        <f aca="false">IF(AND(OR(Nonlabor!$D$11="Both",Nonlabor!$D$11='Start Here'!$B$9),IF(Nonlabor!$E$11="Core",1,IF(Nonlabor!$E$11="AI",'Start Here'!$B$7,'Start Here'!$B$8))=1,C348&gt;=IF(Nonlabor!$E$11="Core",Nonlabor!$F$11,MAX(Nonlabor!$F$11,IF(Nonlabor!$E$11="AI",Assumptions!$C$24,Assumptions!$C$25))),C348&lt;=Nonlabor!$G$11,OR(Nonlabor!$H$11="Monthly",AND(Nonlabor!$H$11="Once",C348=IF(Nonlabor!$E$11="Core",Nonlabor!$F$11,MAX(Nonlabor!$F$11,IF(Nonlabor!$E$11="AI",Assumptions!$C$24,Assumptions!$C$25)))),AND(Nonlabor!$H$11="Annual",MOD(C348-IF(Nonlabor!$E$11="Core",Nonlabor!$F$11,MAX(Nonlabor!$F$11,IF(Nonlabor!$E$11="AI",Assumptions!$C$24,Assumptions!$C$25))),12)=0))),IF(Nonlabor!$I$11="Fixed",1,IF(Nonlabor!$I$11="Seats",ROUNDUP('Monthly Lean'!I48,0),IF(Nonlabor!$I$11="Customers",'Monthly Lean'!D48,IF(Nonlabor!$I$11="NewCustomers",'Monthly Lean'!C48,IF(Nonlabor!$I$11="StorageGB",'Monthly Lean'!G48,IF(Nonlabor!$I$11="LogGB",'Monthly Lean'!H48,IF(Nonlabor!$I$11="RequestsM",'Monthly Lean'!F48,IF(Nonlabor!$I$11="InputM",'Monthly Lean'!D48*Assumptions!$C$22/1000000,IF(Nonlabor!$I$11="OutputM",'Monthly Lean'!D48*Assumptions!$C$23/1000000,0))))))))),0)</f>
        <v>6.95121813768924</v>
      </c>
      <c r="F348" s="10" t="n">
        <f aca="false">Nonlabor!$J$11*(1+Assumptions!$C$9)^INT((C348-1)/12)</f>
        <v>5.463635</v>
      </c>
      <c r="G348" s="10" t="n">
        <f aca="false">E348*F348</f>
        <v>37.9789187097137</v>
      </c>
      <c r="H348" s="10" t="n">
        <f aca="false">IF(OR(Nonlabor!$L$11="Quote required",Nonlabor!$L$11="Unverified"),G348,0)</f>
        <v>0</v>
      </c>
      <c r="I348" s="10" t="n">
        <f aca="false">IF(Nonlabor!$E$11="Core",0,G348)</f>
        <v>0</v>
      </c>
      <c r="J348" s="23" t="str">
        <f aca="false">Nonlabor!$B$11</f>
        <v>INFRA</v>
      </c>
    </row>
    <row r="349" customFormat="false" ht="15" hidden="false" customHeight="false" outlineLevel="0" collapsed="false">
      <c r="A349" s="6" t="s">
        <v>72</v>
      </c>
      <c r="B349" s="6" t="s">
        <v>387</v>
      </c>
      <c r="C349" s="6" t="n">
        <v>44</v>
      </c>
      <c r="D349" s="25" t="n">
        <f aca="false">EDATE('Start Here'!$B$6,C349-1)</f>
        <v>47635</v>
      </c>
      <c r="E349" s="11" t="n">
        <f aca="false">IF(AND(OR(Nonlabor!$D$11="Both",Nonlabor!$D$11='Start Here'!$B$9),IF(Nonlabor!$E$11="Core",1,IF(Nonlabor!$E$11="AI",'Start Here'!$B$7,'Start Here'!$B$8))=1,C349&gt;=IF(Nonlabor!$E$11="Core",Nonlabor!$F$11,MAX(Nonlabor!$F$11,IF(Nonlabor!$E$11="AI",Assumptions!$C$24,Assumptions!$C$25))),C349&lt;=Nonlabor!$G$11,OR(Nonlabor!$H$11="Monthly",AND(Nonlabor!$H$11="Once",C349=IF(Nonlabor!$E$11="Core",Nonlabor!$F$11,MAX(Nonlabor!$F$11,IF(Nonlabor!$E$11="AI",Assumptions!$C$24,Assumptions!$C$25)))),AND(Nonlabor!$H$11="Annual",MOD(C349-IF(Nonlabor!$E$11="Core",Nonlabor!$F$11,MAX(Nonlabor!$F$11,IF(Nonlabor!$E$11="AI",Assumptions!$C$24,Assumptions!$C$25))),12)=0))),IF(Nonlabor!$I$11="Fixed",1,IF(Nonlabor!$I$11="Seats",ROUNDUP('Monthly Lean'!I49,0),IF(Nonlabor!$I$11="Customers",'Monthly Lean'!D49,IF(Nonlabor!$I$11="NewCustomers",'Monthly Lean'!C49,IF(Nonlabor!$I$11="StorageGB",'Monthly Lean'!G49,IF(Nonlabor!$I$11="LogGB",'Monthly Lean'!H49,IF(Nonlabor!$I$11="RequestsM",'Monthly Lean'!F49,IF(Nonlabor!$I$11="InputM",'Monthly Lean'!D49*Assumptions!$C$22/1000000,IF(Nonlabor!$I$11="OutputM",'Monthly Lean'!D49*Assumptions!$C$23/1000000,0))))))))),0)</f>
        <v>7.2375748656239</v>
      </c>
      <c r="F349" s="10" t="n">
        <f aca="false">Nonlabor!$J$11*(1+Assumptions!$C$9)^INT((C349-1)/12)</f>
        <v>5.463635</v>
      </c>
      <c r="G349" s="10" t="n">
        <f aca="false">E349*F349</f>
        <v>39.543467350943</v>
      </c>
      <c r="H349" s="10" t="n">
        <f aca="false">IF(OR(Nonlabor!$L$11="Quote required",Nonlabor!$L$11="Unverified"),G349,0)</f>
        <v>0</v>
      </c>
      <c r="I349" s="10" t="n">
        <f aca="false">IF(Nonlabor!$E$11="Core",0,G349)</f>
        <v>0</v>
      </c>
      <c r="J349" s="23" t="str">
        <f aca="false">Nonlabor!$B$11</f>
        <v>INFRA</v>
      </c>
    </row>
    <row r="350" customFormat="false" ht="15" hidden="false" customHeight="false" outlineLevel="0" collapsed="false">
      <c r="A350" s="6" t="s">
        <v>72</v>
      </c>
      <c r="B350" s="6" t="s">
        <v>387</v>
      </c>
      <c r="C350" s="6" t="n">
        <v>45</v>
      </c>
      <c r="D350" s="25" t="n">
        <f aca="false">EDATE('Start Here'!$B$6,C350-1)</f>
        <v>47665</v>
      </c>
      <c r="E350" s="11" t="n">
        <f aca="false">IF(AND(OR(Nonlabor!$D$11="Both",Nonlabor!$D$11='Start Here'!$B$9),IF(Nonlabor!$E$11="Core",1,IF(Nonlabor!$E$11="AI",'Start Here'!$B$7,'Start Here'!$B$8))=1,C350&gt;=IF(Nonlabor!$E$11="Core",Nonlabor!$F$11,MAX(Nonlabor!$F$11,IF(Nonlabor!$E$11="AI",Assumptions!$C$24,Assumptions!$C$25))),C350&lt;=Nonlabor!$G$11,OR(Nonlabor!$H$11="Monthly",AND(Nonlabor!$H$11="Once",C350=IF(Nonlabor!$E$11="Core",Nonlabor!$F$11,MAX(Nonlabor!$F$11,IF(Nonlabor!$E$11="AI",Assumptions!$C$24,Assumptions!$C$25)))),AND(Nonlabor!$H$11="Annual",MOD(C350-IF(Nonlabor!$E$11="Core",Nonlabor!$F$11,MAX(Nonlabor!$F$11,IF(Nonlabor!$E$11="AI",Assumptions!$C$24,Assumptions!$C$25))),12)=0))),IF(Nonlabor!$I$11="Fixed",1,IF(Nonlabor!$I$11="Seats",ROUNDUP('Monthly Lean'!I50,0),IF(Nonlabor!$I$11="Customers",'Monthly Lean'!D50,IF(Nonlabor!$I$11="NewCustomers",'Monthly Lean'!C50,IF(Nonlabor!$I$11="StorageGB",'Monthly Lean'!G50,IF(Nonlabor!$I$11="LogGB",'Monthly Lean'!H50,IF(Nonlabor!$I$11="RequestsM",'Monthly Lean'!F50,IF(Nonlabor!$I$11="InputM",'Monthly Lean'!D50*Assumptions!$C$22/1000000,IF(Nonlabor!$I$11="OutputM",'Monthly Lean'!D50*Assumptions!$C$23/1000000,0))))))))),0)</f>
        <v>7.51963624263954</v>
      </c>
      <c r="F350" s="10" t="n">
        <f aca="false">Nonlabor!$J$11*(1+Assumptions!$C$9)^INT((C350-1)/12)</f>
        <v>5.463635</v>
      </c>
      <c r="G350" s="10" t="n">
        <f aca="false">E350*F350</f>
        <v>41.0845477625539</v>
      </c>
      <c r="H350" s="10" t="n">
        <f aca="false">IF(OR(Nonlabor!$L$11="Quote required",Nonlabor!$L$11="Unverified"),G350,0)</f>
        <v>0</v>
      </c>
      <c r="I350" s="10" t="n">
        <f aca="false">IF(Nonlabor!$E$11="Core",0,G350)</f>
        <v>0</v>
      </c>
      <c r="J350" s="23" t="str">
        <f aca="false">Nonlabor!$B$11</f>
        <v>INFRA</v>
      </c>
    </row>
    <row r="351" customFormat="false" ht="15" hidden="false" customHeight="false" outlineLevel="0" collapsed="false">
      <c r="A351" s="6" t="s">
        <v>72</v>
      </c>
      <c r="B351" s="6" t="s">
        <v>387</v>
      </c>
      <c r="C351" s="6" t="n">
        <v>46</v>
      </c>
      <c r="D351" s="25" t="n">
        <f aca="false">EDATE('Start Here'!$B$6,C351-1)</f>
        <v>47696</v>
      </c>
      <c r="E351" s="11" t="n">
        <f aca="false">IF(AND(OR(Nonlabor!$D$11="Both",Nonlabor!$D$11='Start Here'!$B$9),IF(Nonlabor!$E$11="Core",1,IF(Nonlabor!$E$11="AI",'Start Here'!$B$7,'Start Here'!$B$8))=1,C351&gt;=IF(Nonlabor!$E$11="Core",Nonlabor!$F$11,MAX(Nonlabor!$F$11,IF(Nonlabor!$E$11="AI",Assumptions!$C$24,Assumptions!$C$25))),C351&lt;=Nonlabor!$G$11,OR(Nonlabor!$H$11="Monthly",AND(Nonlabor!$H$11="Once",C351=IF(Nonlabor!$E$11="Core",Nonlabor!$F$11,MAX(Nonlabor!$F$11,IF(Nonlabor!$E$11="AI",Assumptions!$C$24,Assumptions!$C$25)))),AND(Nonlabor!$H$11="Annual",MOD(C351-IF(Nonlabor!$E$11="Core",Nonlabor!$F$11,MAX(Nonlabor!$F$11,IF(Nonlabor!$E$11="AI",Assumptions!$C$24,Assumptions!$C$25))),12)=0))),IF(Nonlabor!$I$11="Fixed",1,IF(Nonlabor!$I$11="Seats",ROUNDUP('Monthly Lean'!I51,0),IF(Nonlabor!$I$11="Customers",'Monthly Lean'!D51,IF(Nonlabor!$I$11="NewCustomers",'Monthly Lean'!C51,IF(Nonlabor!$I$11="StorageGB",'Monthly Lean'!G51,IF(Nonlabor!$I$11="LogGB",'Monthly Lean'!H51,IF(Nonlabor!$I$11="RequestsM",'Monthly Lean'!F51,IF(Nonlabor!$I$11="InputM",'Monthly Lean'!D51*Assumptions!$C$22/1000000,IF(Nonlabor!$I$11="OutputM",'Monthly Lean'!D51*Assumptions!$C$23/1000000,0))))))))),0)</f>
        <v>7.79746669899995</v>
      </c>
      <c r="F351" s="10" t="n">
        <f aca="false">Nonlabor!$J$11*(1+Assumptions!$C$9)^INT((C351-1)/12)</f>
        <v>5.463635</v>
      </c>
      <c r="G351" s="10" t="n">
        <f aca="false">E351*F351</f>
        <v>42.6025119679906</v>
      </c>
      <c r="H351" s="10" t="n">
        <f aca="false">IF(OR(Nonlabor!$L$11="Quote required",Nonlabor!$L$11="Unverified"),G351,0)</f>
        <v>0</v>
      </c>
      <c r="I351" s="10" t="n">
        <f aca="false">IF(Nonlabor!$E$11="Core",0,G351)</f>
        <v>0</v>
      </c>
      <c r="J351" s="23" t="str">
        <f aca="false">Nonlabor!$B$11</f>
        <v>INFRA</v>
      </c>
    </row>
    <row r="352" customFormat="false" ht="15" hidden="false" customHeight="false" outlineLevel="0" collapsed="false">
      <c r="A352" s="6" t="s">
        <v>72</v>
      </c>
      <c r="B352" s="6" t="s">
        <v>387</v>
      </c>
      <c r="C352" s="6" t="n">
        <v>47</v>
      </c>
      <c r="D352" s="25" t="n">
        <f aca="false">EDATE('Start Here'!$B$6,C352-1)</f>
        <v>47727</v>
      </c>
      <c r="E352" s="11" t="n">
        <f aca="false">IF(AND(OR(Nonlabor!$D$11="Both",Nonlabor!$D$11='Start Here'!$B$9),IF(Nonlabor!$E$11="Core",1,IF(Nonlabor!$E$11="AI",'Start Here'!$B$7,'Start Here'!$B$8))=1,C352&gt;=IF(Nonlabor!$E$11="Core",Nonlabor!$F$11,MAX(Nonlabor!$F$11,IF(Nonlabor!$E$11="AI",Assumptions!$C$24,Assumptions!$C$25))),C352&lt;=Nonlabor!$G$11,OR(Nonlabor!$H$11="Monthly",AND(Nonlabor!$H$11="Once",C352=IF(Nonlabor!$E$11="Core",Nonlabor!$F$11,MAX(Nonlabor!$F$11,IF(Nonlabor!$E$11="AI",Assumptions!$C$24,Assumptions!$C$25)))),AND(Nonlabor!$H$11="Annual",MOD(C352-IF(Nonlabor!$E$11="Core",Nonlabor!$F$11,MAX(Nonlabor!$F$11,IF(Nonlabor!$E$11="AI",Assumptions!$C$24,Assumptions!$C$25))),12)=0))),IF(Nonlabor!$I$11="Fixed",1,IF(Nonlabor!$I$11="Seats",ROUNDUP('Monthly Lean'!I52,0),IF(Nonlabor!$I$11="Customers",'Monthly Lean'!D52,IF(Nonlabor!$I$11="NewCustomers",'Monthly Lean'!C52,IF(Nonlabor!$I$11="StorageGB",'Monthly Lean'!G52,IF(Nonlabor!$I$11="LogGB",'Monthly Lean'!H52,IF(Nonlabor!$I$11="RequestsM",'Monthly Lean'!F52,IF(Nonlabor!$I$11="InputM",'Monthly Lean'!D52*Assumptions!$C$22/1000000,IF(Nonlabor!$I$11="OutputM",'Monthly Lean'!D52*Assumptions!$C$23/1000000,0))))))))),0)</f>
        <v>8.07112969851495</v>
      </c>
      <c r="F352" s="10" t="n">
        <f aca="false">Nonlabor!$J$11*(1+Assumptions!$C$9)^INT((C352-1)/12)</f>
        <v>5.463635</v>
      </c>
      <c r="G352" s="10" t="n">
        <f aca="false">E352*F352</f>
        <v>44.0977067103457</v>
      </c>
      <c r="H352" s="10" t="n">
        <f aca="false">IF(OR(Nonlabor!$L$11="Quote required",Nonlabor!$L$11="Unverified"),G352,0)</f>
        <v>0</v>
      </c>
      <c r="I352" s="10" t="n">
        <f aca="false">IF(Nonlabor!$E$11="Core",0,G352)</f>
        <v>0</v>
      </c>
      <c r="J352" s="23" t="str">
        <f aca="false">Nonlabor!$B$11</f>
        <v>INFRA</v>
      </c>
    </row>
    <row r="353" customFormat="false" ht="15" hidden="false" customHeight="false" outlineLevel="0" collapsed="false">
      <c r="A353" s="6" t="s">
        <v>72</v>
      </c>
      <c r="B353" s="6" t="s">
        <v>387</v>
      </c>
      <c r="C353" s="6" t="n">
        <v>48</v>
      </c>
      <c r="D353" s="25" t="n">
        <f aca="false">EDATE('Start Here'!$B$6,C353-1)</f>
        <v>47757</v>
      </c>
      <c r="E353" s="11" t="n">
        <f aca="false">IF(AND(OR(Nonlabor!$D$11="Both",Nonlabor!$D$11='Start Here'!$B$9),IF(Nonlabor!$E$11="Core",1,IF(Nonlabor!$E$11="AI",'Start Here'!$B$7,'Start Here'!$B$8))=1,C353&gt;=IF(Nonlabor!$E$11="Core",Nonlabor!$F$11,MAX(Nonlabor!$F$11,IF(Nonlabor!$E$11="AI",Assumptions!$C$24,Assumptions!$C$25))),C353&lt;=Nonlabor!$G$11,OR(Nonlabor!$H$11="Monthly",AND(Nonlabor!$H$11="Once",C353=IF(Nonlabor!$E$11="Core",Nonlabor!$F$11,MAX(Nonlabor!$F$11,IF(Nonlabor!$E$11="AI",Assumptions!$C$24,Assumptions!$C$25)))),AND(Nonlabor!$H$11="Annual",MOD(C353-IF(Nonlabor!$E$11="Core",Nonlabor!$F$11,MAX(Nonlabor!$F$11,IF(Nonlabor!$E$11="AI",Assumptions!$C$24,Assumptions!$C$25))),12)=0))),IF(Nonlabor!$I$11="Fixed",1,IF(Nonlabor!$I$11="Seats",ROUNDUP('Monthly Lean'!I53,0),IF(Nonlabor!$I$11="Customers",'Monthly Lean'!D53,IF(Nonlabor!$I$11="NewCustomers",'Monthly Lean'!C53,IF(Nonlabor!$I$11="StorageGB",'Monthly Lean'!G53,IF(Nonlabor!$I$11="LogGB",'Monthly Lean'!H53,IF(Nonlabor!$I$11="RequestsM",'Monthly Lean'!F53,IF(Nonlabor!$I$11="InputM",'Monthly Lean'!D53*Assumptions!$C$22/1000000,IF(Nonlabor!$I$11="OutputM",'Monthly Lean'!D53*Assumptions!$C$23/1000000,0))))))))),0)</f>
        <v>8.34068775303722</v>
      </c>
      <c r="F353" s="10" t="n">
        <f aca="false">Nonlabor!$J$11*(1+Assumptions!$C$9)^INT((C353-1)/12)</f>
        <v>5.463635</v>
      </c>
      <c r="G353" s="10" t="n">
        <f aca="false">E353*F353</f>
        <v>45.5704735315655</v>
      </c>
      <c r="H353" s="10" t="n">
        <f aca="false">IF(OR(Nonlabor!$L$11="Quote required",Nonlabor!$L$11="Unverified"),G353,0)</f>
        <v>0</v>
      </c>
      <c r="I353" s="10" t="n">
        <f aca="false">IF(Nonlabor!$E$11="Core",0,G353)</f>
        <v>0</v>
      </c>
      <c r="J353" s="23" t="str">
        <f aca="false">Nonlabor!$B$11</f>
        <v>INFRA</v>
      </c>
    </row>
    <row r="354" customFormat="false" ht="15" hidden="false" customHeight="false" outlineLevel="0" collapsed="false">
      <c r="A354" s="6" t="s">
        <v>72</v>
      </c>
      <c r="B354" s="6" t="s">
        <v>387</v>
      </c>
      <c r="C354" s="6" t="n">
        <v>49</v>
      </c>
      <c r="D354" s="25" t="n">
        <f aca="false">EDATE('Start Here'!$B$6,C354-1)</f>
        <v>47788</v>
      </c>
      <c r="E354" s="11" t="n">
        <f aca="false">IF(AND(OR(Nonlabor!$D$11="Both",Nonlabor!$D$11='Start Here'!$B$9),IF(Nonlabor!$E$11="Core",1,IF(Nonlabor!$E$11="AI",'Start Here'!$B$7,'Start Here'!$B$8))=1,C354&gt;=IF(Nonlabor!$E$11="Core",Nonlabor!$F$11,MAX(Nonlabor!$F$11,IF(Nonlabor!$E$11="AI",Assumptions!$C$24,Assumptions!$C$25))),C354&lt;=Nonlabor!$G$11,OR(Nonlabor!$H$11="Monthly",AND(Nonlabor!$H$11="Once",C354=IF(Nonlabor!$E$11="Core",Nonlabor!$F$11,MAX(Nonlabor!$F$11,IF(Nonlabor!$E$11="AI",Assumptions!$C$24,Assumptions!$C$25)))),AND(Nonlabor!$H$11="Annual",MOD(C354-IF(Nonlabor!$E$11="Core",Nonlabor!$F$11,MAX(Nonlabor!$F$11,IF(Nonlabor!$E$11="AI",Assumptions!$C$24,Assumptions!$C$25))),12)=0))),IF(Nonlabor!$I$11="Fixed",1,IF(Nonlabor!$I$11="Seats",ROUNDUP('Monthly Lean'!I54,0),IF(Nonlabor!$I$11="Customers",'Monthly Lean'!D54,IF(Nonlabor!$I$11="NewCustomers",'Monthly Lean'!C54,IF(Nonlabor!$I$11="StorageGB",'Monthly Lean'!G54,IF(Nonlabor!$I$11="LogGB",'Monthly Lean'!H54,IF(Nonlabor!$I$11="RequestsM",'Monthly Lean'!F54,IF(Nonlabor!$I$11="InputM",'Monthly Lean'!D54*Assumptions!$C$22/1000000,IF(Nonlabor!$I$11="OutputM",'Monthly Lean'!D54*Assumptions!$C$23/1000000,0))))))))),0)</f>
        <v>8.60620243674167</v>
      </c>
      <c r="F354" s="10" t="n">
        <f aca="false">Nonlabor!$J$11*(1+Assumptions!$C$9)^INT((C354-1)/12)</f>
        <v>5.62754405</v>
      </c>
      <c r="G354" s="10" t="n">
        <f aca="false">E354*F354</f>
        <v>48.4317833159811</v>
      </c>
      <c r="H354" s="10" t="n">
        <f aca="false">IF(OR(Nonlabor!$L$11="Quote required",Nonlabor!$L$11="Unverified"),G354,0)</f>
        <v>0</v>
      </c>
      <c r="I354" s="10" t="n">
        <f aca="false">IF(Nonlabor!$E$11="Core",0,G354)</f>
        <v>0</v>
      </c>
      <c r="J354" s="23" t="str">
        <f aca="false">Nonlabor!$B$11</f>
        <v>INFRA</v>
      </c>
    </row>
    <row r="355" customFormat="false" ht="15" hidden="false" customHeight="false" outlineLevel="0" collapsed="false">
      <c r="A355" s="6" t="s">
        <v>72</v>
      </c>
      <c r="B355" s="6" t="s">
        <v>387</v>
      </c>
      <c r="C355" s="6" t="n">
        <v>50</v>
      </c>
      <c r="D355" s="25" t="n">
        <f aca="false">EDATE('Start Here'!$B$6,C355-1)</f>
        <v>47818</v>
      </c>
      <c r="E355" s="11" t="n">
        <f aca="false">IF(AND(OR(Nonlabor!$D$11="Both",Nonlabor!$D$11='Start Here'!$B$9),IF(Nonlabor!$E$11="Core",1,IF(Nonlabor!$E$11="AI",'Start Here'!$B$7,'Start Here'!$B$8))=1,C355&gt;=IF(Nonlabor!$E$11="Core",Nonlabor!$F$11,MAX(Nonlabor!$F$11,IF(Nonlabor!$E$11="AI",Assumptions!$C$24,Assumptions!$C$25))),C355&lt;=Nonlabor!$G$11,OR(Nonlabor!$H$11="Monthly",AND(Nonlabor!$H$11="Once",C355=IF(Nonlabor!$E$11="Core",Nonlabor!$F$11,MAX(Nonlabor!$F$11,IF(Nonlabor!$E$11="AI",Assumptions!$C$24,Assumptions!$C$25)))),AND(Nonlabor!$H$11="Annual",MOD(C355-IF(Nonlabor!$E$11="Core",Nonlabor!$F$11,MAX(Nonlabor!$F$11,IF(Nonlabor!$E$11="AI",Assumptions!$C$24,Assumptions!$C$25))),12)=0))),IF(Nonlabor!$I$11="Fixed",1,IF(Nonlabor!$I$11="Seats",ROUNDUP('Monthly Lean'!I55,0),IF(Nonlabor!$I$11="Customers",'Monthly Lean'!D55,IF(Nonlabor!$I$11="NewCustomers",'Monthly Lean'!C55,IF(Nonlabor!$I$11="StorageGB",'Monthly Lean'!G55,IF(Nonlabor!$I$11="LogGB",'Monthly Lean'!H55,IF(Nonlabor!$I$11="RequestsM",'Monthly Lean'!F55,IF(Nonlabor!$I$11="InputM",'Monthly Lean'!D55*Assumptions!$C$22/1000000,IF(Nonlabor!$I$11="OutputM",'Monthly Lean'!D55*Assumptions!$C$23/1000000,0))))))))),0)</f>
        <v>8.86773440019054</v>
      </c>
      <c r="F355" s="10" t="n">
        <f aca="false">Nonlabor!$J$11*(1+Assumptions!$C$9)^INT((C355-1)/12)</f>
        <v>5.62754405</v>
      </c>
      <c r="G355" s="10" t="n">
        <f aca="false">E355*F355</f>
        <v>49.9035659607726</v>
      </c>
      <c r="H355" s="10" t="n">
        <f aca="false">IF(OR(Nonlabor!$L$11="Quote required",Nonlabor!$L$11="Unverified"),G355,0)</f>
        <v>0</v>
      </c>
      <c r="I355" s="10" t="n">
        <f aca="false">IF(Nonlabor!$E$11="Core",0,G355)</f>
        <v>0</v>
      </c>
      <c r="J355" s="23" t="str">
        <f aca="false">Nonlabor!$B$11</f>
        <v>INFRA</v>
      </c>
    </row>
    <row r="356" customFormat="false" ht="15" hidden="false" customHeight="false" outlineLevel="0" collapsed="false">
      <c r="A356" s="6" t="s">
        <v>72</v>
      </c>
      <c r="B356" s="6" t="s">
        <v>387</v>
      </c>
      <c r="C356" s="6" t="n">
        <v>51</v>
      </c>
      <c r="D356" s="25" t="n">
        <f aca="false">EDATE('Start Here'!$B$6,C356-1)</f>
        <v>47849</v>
      </c>
      <c r="E356" s="11" t="n">
        <f aca="false">IF(AND(OR(Nonlabor!$D$11="Both",Nonlabor!$D$11='Start Here'!$B$9),IF(Nonlabor!$E$11="Core",1,IF(Nonlabor!$E$11="AI",'Start Here'!$B$7,'Start Here'!$B$8))=1,C356&gt;=IF(Nonlabor!$E$11="Core",Nonlabor!$F$11,MAX(Nonlabor!$F$11,IF(Nonlabor!$E$11="AI",Assumptions!$C$24,Assumptions!$C$25))),C356&lt;=Nonlabor!$G$11,OR(Nonlabor!$H$11="Monthly",AND(Nonlabor!$H$11="Once",C356=IF(Nonlabor!$E$11="Core",Nonlabor!$F$11,MAX(Nonlabor!$F$11,IF(Nonlabor!$E$11="AI",Assumptions!$C$24,Assumptions!$C$25)))),AND(Nonlabor!$H$11="Annual",MOD(C356-IF(Nonlabor!$E$11="Core",Nonlabor!$F$11,MAX(Nonlabor!$F$11,IF(Nonlabor!$E$11="AI",Assumptions!$C$24,Assumptions!$C$25))),12)=0))),IF(Nonlabor!$I$11="Fixed",1,IF(Nonlabor!$I$11="Seats",ROUNDUP('Monthly Lean'!I56,0),IF(Nonlabor!$I$11="Customers",'Monthly Lean'!D56,IF(Nonlabor!$I$11="NewCustomers",'Monthly Lean'!C56,IF(Nonlabor!$I$11="StorageGB",'Monthly Lean'!G56,IF(Nonlabor!$I$11="LogGB",'Monthly Lean'!H56,IF(Nonlabor!$I$11="RequestsM",'Monthly Lean'!F56,IF(Nonlabor!$I$11="InputM",'Monthly Lean'!D56*Assumptions!$C$22/1000000,IF(Nonlabor!$I$11="OutputM",'Monthly Lean'!D56*Assumptions!$C$23/1000000,0))))))))),0)</f>
        <v>9.12534338418768</v>
      </c>
      <c r="F356" s="10" t="n">
        <f aca="false">Nonlabor!$J$11*(1+Assumptions!$C$9)^INT((C356-1)/12)</f>
        <v>5.62754405</v>
      </c>
      <c r="G356" s="10" t="n">
        <f aca="false">E356*F356</f>
        <v>51.3532718658923</v>
      </c>
      <c r="H356" s="10" t="n">
        <f aca="false">IF(OR(Nonlabor!$L$11="Quote required",Nonlabor!$L$11="Unverified"),G356,0)</f>
        <v>0</v>
      </c>
      <c r="I356" s="10" t="n">
        <f aca="false">IF(Nonlabor!$E$11="Core",0,G356)</f>
        <v>0</v>
      </c>
      <c r="J356" s="23" t="str">
        <f aca="false">Nonlabor!$B$11</f>
        <v>INFRA</v>
      </c>
    </row>
    <row r="357" customFormat="false" ht="15" hidden="false" customHeight="false" outlineLevel="0" collapsed="false">
      <c r="A357" s="6" t="s">
        <v>72</v>
      </c>
      <c r="B357" s="6" t="s">
        <v>387</v>
      </c>
      <c r="C357" s="6" t="n">
        <v>52</v>
      </c>
      <c r="D357" s="25" t="n">
        <f aca="false">EDATE('Start Here'!$B$6,C357-1)</f>
        <v>47880</v>
      </c>
      <c r="E357" s="11" t="n">
        <f aca="false">IF(AND(OR(Nonlabor!$D$11="Both",Nonlabor!$D$11='Start Here'!$B$9),IF(Nonlabor!$E$11="Core",1,IF(Nonlabor!$E$11="AI",'Start Here'!$B$7,'Start Here'!$B$8))=1,C357&gt;=IF(Nonlabor!$E$11="Core",Nonlabor!$F$11,MAX(Nonlabor!$F$11,IF(Nonlabor!$E$11="AI",Assumptions!$C$24,Assumptions!$C$25))),C357&lt;=Nonlabor!$G$11,OR(Nonlabor!$H$11="Monthly",AND(Nonlabor!$H$11="Once",C357=IF(Nonlabor!$E$11="Core",Nonlabor!$F$11,MAX(Nonlabor!$F$11,IF(Nonlabor!$E$11="AI",Assumptions!$C$24,Assumptions!$C$25)))),AND(Nonlabor!$H$11="Annual",MOD(C357-IF(Nonlabor!$E$11="Core",Nonlabor!$F$11,MAX(Nonlabor!$F$11,IF(Nonlabor!$E$11="AI",Assumptions!$C$24,Assumptions!$C$25))),12)=0))),IF(Nonlabor!$I$11="Fixed",1,IF(Nonlabor!$I$11="Seats",ROUNDUP('Monthly Lean'!I57,0),IF(Nonlabor!$I$11="Customers",'Monthly Lean'!D57,IF(Nonlabor!$I$11="NewCustomers",'Monthly Lean'!C57,IF(Nonlabor!$I$11="StorageGB",'Monthly Lean'!G57,IF(Nonlabor!$I$11="LogGB",'Monthly Lean'!H57,IF(Nonlabor!$I$11="RequestsM",'Monthly Lean'!F57,IF(Nonlabor!$I$11="InputM",'Monthly Lean'!D57*Assumptions!$C$22/1000000,IF(Nonlabor!$I$11="OutputM",'Monthly Lean'!D57*Assumptions!$C$23/1000000,0))))))))),0)</f>
        <v>9.47674448342487</v>
      </c>
      <c r="F357" s="10" t="n">
        <f aca="false">Nonlabor!$J$11*(1+Assumptions!$C$9)^INT((C357-1)/12)</f>
        <v>5.62754405</v>
      </c>
      <c r="G357" s="10" t="n">
        <f aca="false">E357*F357</f>
        <v>53.3307970310679</v>
      </c>
      <c r="H357" s="10" t="n">
        <f aca="false">IF(OR(Nonlabor!$L$11="Quote required",Nonlabor!$L$11="Unverified"),G357,0)</f>
        <v>0</v>
      </c>
      <c r="I357" s="10" t="n">
        <f aca="false">IF(Nonlabor!$E$11="Core",0,G357)</f>
        <v>0</v>
      </c>
      <c r="J357" s="23" t="str">
        <f aca="false">Nonlabor!$B$11</f>
        <v>INFRA</v>
      </c>
    </row>
    <row r="358" customFormat="false" ht="15" hidden="false" customHeight="false" outlineLevel="0" collapsed="false">
      <c r="A358" s="6" t="s">
        <v>72</v>
      </c>
      <c r="B358" s="6" t="s">
        <v>387</v>
      </c>
      <c r="C358" s="6" t="n">
        <v>53</v>
      </c>
      <c r="D358" s="25" t="n">
        <f aca="false">EDATE('Start Here'!$B$6,C358-1)</f>
        <v>47908</v>
      </c>
      <c r="E358" s="11" t="n">
        <f aca="false">IF(AND(OR(Nonlabor!$D$11="Both",Nonlabor!$D$11='Start Here'!$B$9),IF(Nonlabor!$E$11="Core",1,IF(Nonlabor!$E$11="AI",'Start Here'!$B$7,'Start Here'!$B$8))=1,C358&gt;=IF(Nonlabor!$E$11="Core",Nonlabor!$F$11,MAX(Nonlabor!$F$11,IF(Nonlabor!$E$11="AI",Assumptions!$C$24,Assumptions!$C$25))),C358&lt;=Nonlabor!$G$11,OR(Nonlabor!$H$11="Monthly",AND(Nonlabor!$H$11="Once",C358=IF(Nonlabor!$E$11="Core",Nonlabor!$F$11,MAX(Nonlabor!$F$11,IF(Nonlabor!$E$11="AI",Assumptions!$C$24,Assumptions!$C$25)))),AND(Nonlabor!$H$11="Annual",MOD(C358-IF(Nonlabor!$E$11="Core",Nonlabor!$F$11,MAX(Nonlabor!$F$11,IF(Nonlabor!$E$11="AI",Assumptions!$C$24,Assumptions!$C$25))),12)=0))),IF(Nonlabor!$I$11="Fixed",1,IF(Nonlabor!$I$11="Seats",ROUNDUP('Monthly Lean'!I58,0),IF(Nonlabor!$I$11="Customers",'Monthly Lean'!D58,IF(Nonlabor!$I$11="NewCustomers",'Monthly Lean'!C58,IF(Nonlabor!$I$11="StorageGB",'Monthly Lean'!G58,IF(Nonlabor!$I$11="LogGB",'Monthly Lean'!H58,IF(Nonlabor!$I$11="RequestsM",'Monthly Lean'!F58,IF(Nonlabor!$I$11="InputM",'Monthly Lean'!D58*Assumptions!$C$22/1000000,IF(Nonlabor!$I$11="OutputM",'Monthly Lean'!D58*Assumptions!$C$23/1000000,0))))))))),0)</f>
        <v>9.82287456617349</v>
      </c>
      <c r="F358" s="10" t="n">
        <f aca="false">Nonlabor!$J$11*(1+Assumptions!$C$9)^INT((C358-1)/12)</f>
        <v>5.62754405</v>
      </c>
      <c r="G358" s="10" t="n">
        <f aca="false">E358*F358</f>
        <v>55.278659318766</v>
      </c>
      <c r="H358" s="10" t="n">
        <f aca="false">IF(OR(Nonlabor!$L$11="Quote required",Nonlabor!$L$11="Unverified"),G358,0)</f>
        <v>0</v>
      </c>
      <c r="I358" s="10" t="n">
        <f aca="false">IF(Nonlabor!$E$11="Core",0,G358)</f>
        <v>0</v>
      </c>
      <c r="J358" s="23" t="str">
        <f aca="false">Nonlabor!$B$11</f>
        <v>INFRA</v>
      </c>
    </row>
    <row r="359" customFormat="false" ht="15" hidden="false" customHeight="false" outlineLevel="0" collapsed="false">
      <c r="A359" s="6" t="s">
        <v>72</v>
      </c>
      <c r="B359" s="6" t="s">
        <v>387</v>
      </c>
      <c r="C359" s="6" t="n">
        <v>54</v>
      </c>
      <c r="D359" s="25" t="n">
        <f aca="false">EDATE('Start Here'!$B$6,C359-1)</f>
        <v>47939</v>
      </c>
      <c r="E359" s="11" t="n">
        <f aca="false">IF(AND(OR(Nonlabor!$D$11="Both",Nonlabor!$D$11='Start Here'!$B$9),IF(Nonlabor!$E$11="Core",1,IF(Nonlabor!$E$11="AI",'Start Here'!$B$7,'Start Here'!$B$8))=1,C359&gt;=IF(Nonlabor!$E$11="Core",Nonlabor!$F$11,MAX(Nonlabor!$F$11,IF(Nonlabor!$E$11="AI",Assumptions!$C$24,Assumptions!$C$25))),C359&lt;=Nonlabor!$G$11,OR(Nonlabor!$H$11="Monthly",AND(Nonlabor!$H$11="Once",C359=IF(Nonlabor!$E$11="Core",Nonlabor!$F$11,MAX(Nonlabor!$F$11,IF(Nonlabor!$E$11="AI",Assumptions!$C$24,Assumptions!$C$25)))),AND(Nonlabor!$H$11="Annual",MOD(C359-IF(Nonlabor!$E$11="Core",Nonlabor!$F$11,MAX(Nonlabor!$F$11,IF(Nonlabor!$E$11="AI",Assumptions!$C$24,Assumptions!$C$25))),12)=0))),IF(Nonlabor!$I$11="Fixed",1,IF(Nonlabor!$I$11="Seats",ROUNDUP('Monthly Lean'!I59,0),IF(Nonlabor!$I$11="Customers",'Monthly Lean'!D59,IF(Nonlabor!$I$11="NewCustomers",'Monthly Lean'!C59,IF(Nonlabor!$I$11="StorageGB",'Monthly Lean'!G59,IF(Nonlabor!$I$11="LogGB",'Monthly Lean'!H59,IF(Nonlabor!$I$11="RequestsM",'Monthly Lean'!F59,IF(Nonlabor!$I$11="InputM",'Monthly Lean'!D59*Assumptions!$C$22/1000000,IF(Nonlabor!$I$11="OutputM",'Monthly Lean'!D59*Assumptions!$C$23/1000000,0))))))))),0)</f>
        <v>10.1638126976809</v>
      </c>
      <c r="F359" s="10" t="n">
        <f aca="false">Nonlabor!$J$11*(1+Assumptions!$C$9)^INT((C359-1)/12)</f>
        <v>5.62754405</v>
      </c>
      <c r="G359" s="10" t="n">
        <f aca="false">E359*F359</f>
        <v>57.1973036721485</v>
      </c>
      <c r="H359" s="10" t="n">
        <f aca="false">IF(OR(Nonlabor!$L$11="Quote required",Nonlabor!$L$11="Unverified"),G359,0)</f>
        <v>0</v>
      </c>
      <c r="I359" s="10" t="n">
        <f aca="false">IF(Nonlabor!$E$11="Core",0,G359)</f>
        <v>0</v>
      </c>
      <c r="J359" s="23" t="str">
        <f aca="false">Nonlabor!$B$11</f>
        <v>INFRA</v>
      </c>
    </row>
    <row r="360" customFormat="false" ht="15" hidden="false" customHeight="false" outlineLevel="0" collapsed="false">
      <c r="A360" s="6" t="s">
        <v>72</v>
      </c>
      <c r="B360" s="6" t="s">
        <v>387</v>
      </c>
      <c r="C360" s="6" t="n">
        <v>55</v>
      </c>
      <c r="D360" s="25" t="n">
        <f aca="false">EDATE('Start Here'!$B$6,C360-1)</f>
        <v>47969</v>
      </c>
      <c r="E360" s="11" t="n">
        <f aca="false">IF(AND(OR(Nonlabor!$D$11="Both",Nonlabor!$D$11='Start Here'!$B$9),IF(Nonlabor!$E$11="Core",1,IF(Nonlabor!$E$11="AI",'Start Here'!$B$7,'Start Here'!$B$8))=1,C360&gt;=IF(Nonlabor!$E$11="Core",Nonlabor!$F$11,MAX(Nonlabor!$F$11,IF(Nonlabor!$E$11="AI",Assumptions!$C$24,Assumptions!$C$25))),C360&lt;=Nonlabor!$G$11,OR(Nonlabor!$H$11="Monthly",AND(Nonlabor!$H$11="Once",C360=IF(Nonlabor!$E$11="Core",Nonlabor!$F$11,MAX(Nonlabor!$F$11,IF(Nonlabor!$E$11="AI",Assumptions!$C$24,Assumptions!$C$25)))),AND(Nonlabor!$H$11="Annual",MOD(C360-IF(Nonlabor!$E$11="Core",Nonlabor!$F$11,MAX(Nonlabor!$F$11,IF(Nonlabor!$E$11="AI",Assumptions!$C$24,Assumptions!$C$25))),12)=0))),IF(Nonlabor!$I$11="Fixed",1,IF(Nonlabor!$I$11="Seats",ROUNDUP('Monthly Lean'!I60,0),IF(Nonlabor!$I$11="Customers",'Monthly Lean'!D60,IF(Nonlabor!$I$11="NewCustomers",'Monthly Lean'!C60,IF(Nonlabor!$I$11="StorageGB",'Monthly Lean'!G60,IF(Nonlabor!$I$11="LogGB",'Monthly Lean'!H60,IF(Nonlabor!$I$11="RequestsM",'Monthly Lean'!F60,IF(Nonlabor!$I$11="InputM",'Monthly Lean'!D60*Assumptions!$C$22/1000000,IF(Nonlabor!$I$11="OutputM",'Monthly Lean'!D60*Assumptions!$C$23/1000000,0))))))))),0)</f>
        <v>10.4996367572157</v>
      </c>
      <c r="F360" s="10" t="n">
        <f aca="false">Nonlabor!$J$11*(1+Assumptions!$C$9)^INT((C360-1)/12)</f>
        <v>5.62754405</v>
      </c>
      <c r="G360" s="10" t="n">
        <f aca="false">E360*F360</f>
        <v>59.0871683602304</v>
      </c>
      <c r="H360" s="10" t="n">
        <f aca="false">IF(OR(Nonlabor!$L$11="Quote required",Nonlabor!$L$11="Unverified"),G360,0)</f>
        <v>0</v>
      </c>
      <c r="I360" s="10" t="n">
        <f aca="false">IF(Nonlabor!$E$11="Core",0,G360)</f>
        <v>0</v>
      </c>
      <c r="J360" s="23" t="str">
        <f aca="false">Nonlabor!$B$11</f>
        <v>INFRA</v>
      </c>
    </row>
    <row r="361" customFormat="false" ht="15" hidden="false" customHeight="false" outlineLevel="0" collapsed="false">
      <c r="A361" s="6" t="s">
        <v>72</v>
      </c>
      <c r="B361" s="6" t="s">
        <v>387</v>
      </c>
      <c r="C361" s="6" t="n">
        <v>56</v>
      </c>
      <c r="D361" s="25" t="n">
        <f aca="false">EDATE('Start Here'!$B$6,C361-1)</f>
        <v>48000</v>
      </c>
      <c r="E361" s="11" t="n">
        <f aca="false">IF(AND(OR(Nonlabor!$D$11="Both",Nonlabor!$D$11='Start Here'!$B$9),IF(Nonlabor!$E$11="Core",1,IF(Nonlabor!$E$11="AI",'Start Here'!$B$7,'Start Here'!$B$8))=1,C361&gt;=IF(Nonlabor!$E$11="Core",Nonlabor!$F$11,MAX(Nonlabor!$F$11,IF(Nonlabor!$E$11="AI",Assumptions!$C$24,Assumptions!$C$25))),C361&lt;=Nonlabor!$G$11,OR(Nonlabor!$H$11="Monthly",AND(Nonlabor!$H$11="Once",C361=IF(Nonlabor!$E$11="Core",Nonlabor!$F$11,MAX(Nonlabor!$F$11,IF(Nonlabor!$E$11="AI",Assumptions!$C$24,Assumptions!$C$25)))),AND(Nonlabor!$H$11="Annual",MOD(C361-IF(Nonlabor!$E$11="Core",Nonlabor!$F$11,MAX(Nonlabor!$F$11,IF(Nonlabor!$E$11="AI",Assumptions!$C$24,Assumptions!$C$25))),12)=0))),IF(Nonlabor!$I$11="Fixed",1,IF(Nonlabor!$I$11="Seats",ROUNDUP('Monthly Lean'!I61,0),IF(Nonlabor!$I$11="Customers",'Monthly Lean'!D61,IF(Nonlabor!$I$11="NewCustomers",'Monthly Lean'!C61,IF(Nonlabor!$I$11="StorageGB",'Monthly Lean'!G61,IF(Nonlabor!$I$11="LogGB",'Monthly Lean'!H61,IF(Nonlabor!$I$11="RequestsM",'Monthly Lean'!F61,IF(Nonlabor!$I$11="InputM",'Monthly Lean'!D61*Assumptions!$C$22/1000000,IF(Nonlabor!$I$11="OutputM",'Monthly Lean'!D61*Assumptions!$C$23/1000000,0))))))))),0)</f>
        <v>10.8304234558574</v>
      </c>
      <c r="F361" s="10" t="n">
        <f aca="false">Nonlabor!$J$11*(1+Assumptions!$C$9)^INT((C361-1)/12)</f>
        <v>5.62754405</v>
      </c>
      <c r="G361" s="10" t="n">
        <f aca="false">E361*F361</f>
        <v>60.948685077991</v>
      </c>
      <c r="H361" s="10" t="n">
        <f aca="false">IF(OR(Nonlabor!$L$11="Quote required",Nonlabor!$L$11="Unverified"),G361,0)</f>
        <v>0</v>
      </c>
      <c r="I361" s="10" t="n">
        <f aca="false">IF(Nonlabor!$E$11="Core",0,G361)</f>
        <v>0</v>
      </c>
      <c r="J361" s="23" t="str">
        <f aca="false">Nonlabor!$B$11</f>
        <v>INFRA</v>
      </c>
    </row>
    <row r="362" customFormat="false" ht="15" hidden="false" customHeight="false" outlineLevel="0" collapsed="false">
      <c r="A362" s="6" t="s">
        <v>72</v>
      </c>
      <c r="B362" s="6" t="s">
        <v>387</v>
      </c>
      <c r="C362" s="6" t="n">
        <v>57</v>
      </c>
      <c r="D362" s="25" t="n">
        <f aca="false">EDATE('Start Here'!$B$6,C362-1)</f>
        <v>48030</v>
      </c>
      <c r="E362" s="11" t="n">
        <f aca="false">IF(AND(OR(Nonlabor!$D$11="Both",Nonlabor!$D$11='Start Here'!$B$9),IF(Nonlabor!$E$11="Core",1,IF(Nonlabor!$E$11="AI",'Start Here'!$B$7,'Start Here'!$B$8))=1,C362&gt;=IF(Nonlabor!$E$11="Core",Nonlabor!$F$11,MAX(Nonlabor!$F$11,IF(Nonlabor!$E$11="AI",Assumptions!$C$24,Assumptions!$C$25))),C362&lt;=Nonlabor!$G$11,OR(Nonlabor!$H$11="Monthly",AND(Nonlabor!$H$11="Once",C362=IF(Nonlabor!$E$11="Core",Nonlabor!$F$11,MAX(Nonlabor!$F$11,IF(Nonlabor!$E$11="AI",Assumptions!$C$24,Assumptions!$C$25)))),AND(Nonlabor!$H$11="Annual",MOD(C362-IF(Nonlabor!$E$11="Core",Nonlabor!$F$11,MAX(Nonlabor!$F$11,IF(Nonlabor!$E$11="AI",Assumptions!$C$24,Assumptions!$C$25))),12)=0))),IF(Nonlabor!$I$11="Fixed",1,IF(Nonlabor!$I$11="Seats",ROUNDUP('Monthly Lean'!I62,0),IF(Nonlabor!$I$11="Customers",'Monthly Lean'!D62,IF(Nonlabor!$I$11="NewCustomers",'Monthly Lean'!C62,IF(Nonlabor!$I$11="StorageGB",'Monthly Lean'!G62,IF(Nonlabor!$I$11="LogGB",'Monthly Lean'!H62,IF(Nonlabor!$I$11="RequestsM",'Monthly Lean'!F62,IF(Nonlabor!$I$11="InputM",'Monthly Lean'!D62*Assumptions!$C$22/1000000,IF(Nonlabor!$I$11="OutputM",'Monthly Lean'!D62*Assumptions!$C$23/1000000,0))))))))),0)</f>
        <v>11.1562483540196</v>
      </c>
      <c r="F362" s="10" t="n">
        <f aca="false">Nonlabor!$J$11*(1+Assumptions!$C$9)^INT((C362-1)/12)</f>
        <v>5.62754405</v>
      </c>
      <c r="G362" s="10" t="n">
        <f aca="false">E362*F362</f>
        <v>62.7822790449852</v>
      </c>
      <c r="H362" s="10" t="n">
        <f aca="false">IF(OR(Nonlabor!$L$11="Quote required",Nonlabor!$L$11="Unverified"),G362,0)</f>
        <v>0</v>
      </c>
      <c r="I362" s="10" t="n">
        <f aca="false">IF(Nonlabor!$E$11="Core",0,G362)</f>
        <v>0</v>
      </c>
      <c r="J362" s="23" t="str">
        <f aca="false">Nonlabor!$B$11</f>
        <v>INFRA</v>
      </c>
    </row>
    <row r="363" customFormat="false" ht="15" hidden="false" customHeight="false" outlineLevel="0" collapsed="false">
      <c r="A363" s="6" t="s">
        <v>72</v>
      </c>
      <c r="B363" s="6" t="s">
        <v>387</v>
      </c>
      <c r="C363" s="6" t="n">
        <v>58</v>
      </c>
      <c r="D363" s="25" t="n">
        <f aca="false">EDATE('Start Here'!$B$6,C363-1)</f>
        <v>48061</v>
      </c>
      <c r="E363" s="11" t="n">
        <f aca="false">IF(AND(OR(Nonlabor!$D$11="Both",Nonlabor!$D$11='Start Here'!$B$9),IF(Nonlabor!$E$11="Core",1,IF(Nonlabor!$E$11="AI",'Start Here'!$B$7,'Start Here'!$B$8))=1,C363&gt;=IF(Nonlabor!$E$11="Core",Nonlabor!$F$11,MAX(Nonlabor!$F$11,IF(Nonlabor!$E$11="AI",Assumptions!$C$24,Assumptions!$C$25))),C363&lt;=Nonlabor!$G$11,OR(Nonlabor!$H$11="Monthly",AND(Nonlabor!$H$11="Once",C363=IF(Nonlabor!$E$11="Core",Nonlabor!$F$11,MAX(Nonlabor!$F$11,IF(Nonlabor!$E$11="AI",Assumptions!$C$24,Assumptions!$C$25)))),AND(Nonlabor!$H$11="Annual",MOD(C363-IF(Nonlabor!$E$11="Core",Nonlabor!$F$11,MAX(Nonlabor!$F$11,IF(Nonlabor!$E$11="AI",Assumptions!$C$24,Assumptions!$C$25))),12)=0))),IF(Nonlabor!$I$11="Fixed",1,IF(Nonlabor!$I$11="Seats",ROUNDUP('Monthly Lean'!I63,0),IF(Nonlabor!$I$11="Customers",'Monthly Lean'!D63,IF(Nonlabor!$I$11="NewCustomers",'Monthly Lean'!C63,IF(Nonlabor!$I$11="StorageGB",'Monthly Lean'!G63,IF(Nonlabor!$I$11="LogGB",'Monthly Lean'!H63,IF(Nonlabor!$I$11="RequestsM",'Monthly Lean'!F63,IF(Nonlabor!$I$11="InputM",'Monthly Lean'!D63*Assumptions!$C$22/1000000,IF(Nonlabor!$I$11="OutputM",'Monthly Lean'!D63*Assumptions!$C$23/1000000,0))))))))),0)</f>
        <v>11.4771858787093</v>
      </c>
      <c r="F363" s="10" t="n">
        <f aca="false">Nonlabor!$J$11*(1+Assumptions!$C$9)^INT((C363-1)/12)</f>
        <v>5.62754405</v>
      </c>
      <c r="G363" s="10" t="n">
        <f aca="false">E363*F363</f>
        <v>64.5883691024745</v>
      </c>
      <c r="H363" s="10" t="n">
        <f aca="false">IF(OR(Nonlabor!$L$11="Quote required",Nonlabor!$L$11="Unverified"),G363,0)</f>
        <v>0</v>
      </c>
      <c r="I363" s="10" t="n">
        <f aca="false">IF(Nonlabor!$E$11="Core",0,G363)</f>
        <v>0</v>
      </c>
      <c r="J363" s="23" t="str">
        <f aca="false">Nonlabor!$B$11</f>
        <v>INFRA</v>
      </c>
    </row>
    <row r="364" customFormat="false" ht="15" hidden="false" customHeight="false" outlineLevel="0" collapsed="false">
      <c r="A364" s="6" t="s">
        <v>72</v>
      </c>
      <c r="B364" s="6" t="s">
        <v>387</v>
      </c>
      <c r="C364" s="6" t="n">
        <v>59</v>
      </c>
      <c r="D364" s="25" t="n">
        <f aca="false">EDATE('Start Here'!$B$6,C364-1)</f>
        <v>48092</v>
      </c>
      <c r="E364" s="11" t="n">
        <f aca="false">IF(AND(OR(Nonlabor!$D$11="Both",Nonlabor!$D$11='Start Here'!$B$9),IF(Nonlabor!$E$11="Core",1,IF(Nonlabor!$E$11="AI",'Start Here'!$B$7,'Start Here'!$B$8))=1,C364&gt;=IF(Nonlabor!$E$11="Core",Nonlabor!$F$11,MAX(Nonlabor!$F$11,IF(Nonlabor!$E$11="AI",Assumptions!$C$24,Assumptions!$C$25))),C364&lt;=Nonlabor!$G$11,OR(Nonlabor!$H$11="Monthly",AND(Nonlabor!$H$11="Once",C364=IF(Nonlabor!$E$11="Core",Nonlabor!$F$11,MAX(Nonlabor!$F$11,IF(Nonlabor!$E$11="AI",Assumptions!$C$24,Assumptions!$C$25)))),AND(Nonlabor!$H$11="Annual",MOD(C364-IF(Nonlabor!$E$11="Core",Nonlabor!$F$11,MAX(Nonlabor!$F$11,IF(Nonlabor!$E$11="AI",Assumptions!$C$24,Assumptions!$C$25))),12)=0))),IF(Nonlabor!$I$11="Fixed",1,IF(Nonlabor!$I$11="Seats",ROUNDUP('Monthly Lean'!I64,0),IF(Nonlabor!$I$11="Customers",'Monthly Lean'!D64,IF(Nonlabor!$I$11="NewCustomers",'Monthly Lean'!C64,IF(Nonlabor!$I$11="StorageGB",'Monthly Lean'!G64,IF(Nonlabor!$I$11="LogGB",'Monthly Lean'!H64,IF(Nonlabor!$I$11="RequestsM",'Monthly Lean'!F64,IF(Nonlabor!$I$11="InputM",'Monthly Lean'!D64*Assumptions!$C$22/1000000,IF(Nonlabor!$I$11="OutputM",'Monthly Lean'!D64*Assumptions!$C$23/1000000,0))))))))),0)</f>
        <v>11.7933093405286</v>
      </c>
      <c r="F364" s="10" t="n">
        <f aca="false">Nonlabor!$J$11*(1+Assumptions!$C$9)^INT((C364-1)/12)</f>
        <v>5.62754405</v>
      </c>
      <c r="G364" s="10" t="n">
        <f aca="false">E364*F364</f>
        <v>66.3673678091014</v>
      </c>
      <c r="H364" s="10" t="n">
        <f aca="false">IF(OR(Nonlabor!$L$11="Quote required",Nonlabor!$L$11="Unverified"),G364,0)</f>
        <v>0</v>
      </c>
      <c r="I364" s="10" t="n">
        <f aca="false">IF(Nonlabor!$E$11="Core",0,G364)</f>
        <v>0</v>
      </c>
      <c r="J364" s="23" t="str">
        <f aca="false">Nonlabor!$B$11</f>
        <v>INFRA</v>
      </c>
    </row>
    <row r="365" customFormat="false" ht="15" hidden="false" customHeight="false" outlineLevel="0" collapsed="false">
      <c r="A365" s="6" t="s">
        <v>72</v>
      </c>
      <c r="B365" s="6" t="s">
        <v>387</v>
      </c>
      <c r="C365" s="6" t="n">
        <v>60</v>
      </c>
      <c r="D365" s="25" t="n">
        <f aca="false">EDATE('Start Here'!$B$6,C365-1)</f>
        <v>48122</v>
      </c>
      <c r="E365" s="11" t="n">
        <f aca="false">IF(AND(OR(Nonlabor!$D$11="Both",Nonlabor!$D$11='Start Here'!$B$9),IF(Nonlabor!$E$11="Core",1,IF(Nonlabor!$E$11="AI",'Start Here'!$B$7,'Start Here'!$B$8))=1,C365&gt;=IF(Nonlabor!$E$11="Core",Nonlabor!$F$11,MAX(Nonlabor!$F$11,IF(Nonlabor!$E$11="AI",Assumptions!$C$24,Assumptions!$C$25))),C365&lt;=Nonlabor!$G$11,OR(Nonlabor!$H$11="Monthly",AND(Nonlabor!$H$11="Once",C365=IF(Nonlabor!$E$11="Core",Nonlabor!$F$11,MAX(Nonlabor!$F$11,IF(Nonlabor!$E$11="AI",Assumptions!$C$24,Assumptions!$C$25)))),AND(Nonlabor!$H$11="Annual",MOD(C365-IF(Nonlabor!$E$11="Core",Nonlabor!$F$11,MAX(Nonlabor!$F$11,IF(Nonlabor!$E$11="AI",Assumptions!$C$24,Assumptions!$C$25))),12)=0))),IF(Nonlabor!$I$11="Fixed",1,IF(Nonlabor!$I$11="Seats",ROUNDUP('Monthly Lean'!I65,0),IF(Nonlabor!$I$11="Customers",'Monthly Lean'!D65,IF(Nonlabor!$I$11="NewCustomers",'Monthly Lean'!C65,IF(Nonlabor!$I$11="StorageGB",'Monthly Lean'!G65,IF(Nonlabor!$I$11="LogGB",'Monthly Lean'!H65,IF(Nonlabor!$I$11="RequestsM",'Monthly Lean'!F65,IF(Nonlabor!$I$11="InputM",'Monthly Lean'!D65*Assumptions!$C$22/1000000,IF(Nonlabor!$I$11="OutputM",'Monthly Lean'!D65*Assumptions!$C$23/1000000,0))))))))),0)</f>
        <v>12.1046909504207</v>
      </c>
      <c r="F365" s="10" t="n">
        <f aca="false">Nonlabor!$J$11*(1+Assumptions!$C$9)^INT((C365-1)/12)</f>
        <v>5.62754405</v>
      </c>
      <c r="G365" s="10" t="n">
        <f aca="false">E365*F365</f>
        <v>68.119681535129</v>
      </c>
      <c r="H365" s="10" t="n">
        <f aca="false">IF(OR(Nonlabor!$L$11="Quote required",Nonlabor!$L$11="Unverified"),G365,0)</f>
        <v>0</v>
      </c>
      <c r="I365" s="10" t="n">
        <f aca="false">IF(Nonlabor!$E$11="Core",0,G365)</f>
        <v>0</v>
      </c>
      <c r="J365" s="23" t="str">
        <f aca="false">Nonlabor!$B$11</f>
        <v>INFRA</v>
      </c>
    </row>
    <row r="366" customFormat="false" ht="15" hidden="false" customHeight="false" outlineLevel="0" collapsed="false">
      <c r="A366" s="6" t="s">
        <v>72</v>
      </c>
      <c r="B366" s="6" t="s">
        <v>391</v>
      </c>
      <c r="C366" s="6" t="n">
        <v>1</v>
      </c>
      <c r="D366" s="25" t="n">
        <f aca="false">EDATE('Start Here'!$B$6,C366-1)</f>
        <v>46327</v>
      </c>
      <c r="E366" s="11" t="n">
        <f aca="false">IF(AND(OR(Nonlabor!$D$12="Both",Nonlabor!$D$12='Start Here'!$B$9),IF(Nonlabor!$E$12="Core",1,IF(Nonlabor!$E$12="AI",'Start Here'!$B$7,'Start Here'!$B$8))=1,C366&gt;=IF(Nonlabor!$E$12="Core",Nonlabor!$F$12,MAX(Nonlabor!$F$12,IF(Nonlabor!$E$12="AI",Assumptions!$C$24,Assumptions!$C$25))),C366&lt;=Nonlabor!$G$12,OR(Nonlabor!$H$12="Monthly",AND(Nonlabor!$H$12="Once",C366=IF(Nonlabor!$E$12="Core",Nonlabor!$F$12,MAX(Nonlabor!$F$12,IF(Nonlabor!$E$12="AI",Assumptions!$C$24,Assumptions!$C$25)))),AND(Nonlabor!$H$12="Annual",MOD(C366-IF(Nonlabor!$E$12="Core",Nonlabor!$F$12,MAX(Nonlabor!$F$12,IF(Nonlabor!$E$12="AI",Assumptions!$C$24,Assumptions!$C$25))),12)=0))),IF(Nonlabor!$I$12="Fixed",1,IF(Nonlabor!$I$12="Seats",ROUNDUP('Monthly Lean'!I6,0),IF(Nonlabor!$I$12="Customers",'Monthly Lean'!D6,IF(Nonlabor!$I$12="NewCustomers",'Monthly Lean'!C6,IF(Nonlabor!$I$12="StorageGB",'Monthly Lean'!G6,IF(Nonlabor!$I$12="LogGB",'Monthly Lean'!H6,IF(Nonlabor!$I$12="RequestsM",'Monthly Lean'!F6,IF(Nonlabor!$I$12="InputM",'Monthly Lean'!D6*Assumptions!$C$22/1000000,IF(Nonlabor!$I$12="OutputM",'Monthly Lean'!D6*Assumptions!$C$23/1000000,0))))))))),0)</f>
        <v>0</v>
      </c>
      <c r="F366" s="10" t="n">
        <f aca="false">Nonlabor!$J$12*(1+Assumptions!$C$9)^INT((C366-1)/12)</f>
        <v>30</v>
      </c>
      <c r="G366" s="10" t="n">
        <f aca="false">E366*F366</f>
        <v>0</v>
      </c>
      <c r="H366" s="10" t="n">
        <f aca="false">IF(OR(Nonlabor!$L$12="Quote required",Nonlabor!$L$12="Unverified"),G366,0)</f>
        <v>0</v>
      </c>
      <c r="I366" s="10" t="n">
        <f aca="false">IF(Nonlabor!$E$12="Core",0,G366)</f>
        <v>0</v>
      </c>
      <c r="J366" s="23" t="str">
        <f aca="false">Nonlabor!$B$12</f>
        <v>INFRA</v>
      </c>
    </row>
    <row r="367" customFormat="false" ht="15" hidden="false" customHeight="false" outlineLevel="0" collapsed="false">
      <c r="A367" s="6" t="s">
        <v>72</v>
      </c>
      <c r="B367" s="6" t="s">
        <v>391</v>
      </c>
      <c r="C367" s="6" t="n">
        <v>2</v>
      </c>
      <c r="D367" s="25" t="n">
        <f aca="false">EDATE('Start Here'!$B$6,C367-1)</f>
        <v>46357</v>
      </c>
      <c r="E367" s="11" t="n">
        <f aca="false">IF(AND(OR(Nonlabor!$D$12="Both",Nonlabor!$D$12='Start Here'!$B$9),IF(Nonlabor!$E$12="Core",1,IF(Nonlabor!$E$12="AI",'Start Here'!$B$7,'Start Here'!$B$8))=1,C367&gt;=IF(Nonlabor!$E$12="Core",Nonlabor!$F$12,MAX(Nonlabor!$F$12,IF(Nonlabor!$E$12="AI",Assumptions!$C$24,Assumptions!$C$25))),C367&lt;=Nonlabor!$G$12,OR(Nonlabor!$H$12="Monthly",AND(Nonlabor!$H$12="Once",C367=IF(Nonlabor!$E$12="Core",Nonlabor!$F$12,MAX(Nonlabor!$F$12,IF(Nonlabor!$E$12="AI",Assumptions!$C$24,Assumptions!$C$25)))),AND(Nonlabor!$H$12="Annual",MOD(C367-IF(Nonlabor!$E$12="Core",Nonlabor!$F$12,MAX(Nonlabor!$F$12,IF(Nonlabor!$E$12="AI",Assumptions!$C$24,Assumptions!$C$25))),12)=0))),IF(Nonlabor!$I$12="Fixed",1,IF(Nonlabor!$I$12="Seats",ROUNDUP('Monthly Lean'!I7,0),IF(Nonlabor!$I$12="Customers",'Monthly Lean'!D7,IF(Nonlabor!$I$12="NewCustomers",'Monthly Lean'!C7,IF(Nonlabor!$I$12="StorageGB",'Monthly Lean'!G7,IF(Nonlabor!$I$12="LogGB",'Monthly Lean'!H7,IF(Nonlabor!$I$12="RequestsM",'Monthly Lean'!F7,IF(Nonlabor!$I$12="InputM",'Monthly Lean'!D7*Assumptions!$C$22/1000000,IF(Nonlabor!$I$12="OutputM",'Monthly Lean'!D7*Assumptions!$C$23/1000000,0))))))))),0)</f>
        <v>0</v>
      </c>
      <c r="F367" s="10" t="n">
        <f aca="false">Nonlabor!$J$12*(1+Assumptions!$C$9)^INT((C367-1)/12)</f>
        <v>30</v>
      </c>
      <c r="G367" s="10" t="n">
        <f aca="false">E367*F367</f>
        <v>0</v>
      </c>
      <c r="H367" s="10" t="n">
        <f aca="false">IF(OR(Nonlabor!$L$12="Quote required",Nonlabor!$L$12="Unverified"),G367,0)</f>
        <v>0</v>
      </c>
      <c r="I367" s="10" t="n">
        <f aca="false">IF(Nonlabor!$E$12="Core",0,G367)</f>
        <v>0</v>
      </c>
      <c r="J367" s="23" t="str">
        <f aca="false">Nonlabor!$B$12</f>
        <v>INFRA</v>
      </c>
    </row>
    <row r="368" customFormat="false" ht="15" hidden="false" customHeight="false" outlineLevel="0" collapsed="false">
      <c r="A368" s="6" t="s">
        <v>72</v>
      </c>
      <c r="B368" s="6" t="s">
        <v>391</v>
      </c>
      <c r="C368" s="6" t="n">
        <v>3</v>
      </c>
      <c r="D368" s="25" t="n">
        <f aca="false">EDATE('Start Here'!$B$6,C368-1)</f>
        <v>46388</v>
      </c>
      <c r="E368" s="11" t="n">
        <f aca="false">IF(AND(OR(Nonlabor!$D$12="Both",Nonlabor!$D$12='Start Here'!$B$9),IF(Nonlabor!$E$12="Core",1,IF(Nonlabor!$E$12="AI",'Start Here'!$B$7,'Start Here'!$B$8))=1,C368&gt;=IF(Nonlabor!$E$12="Core",Nonlabor!$F$12,MAX(Nonlabor!$F$12,IF(Nonlabor!$E$12="AI",Assumptions!$C$24,Assumptions!$C$25))),C368&lt;=Nonlabor!$G$12,OR(Nonlabor!$H$12="Monthly",AND(Nonlabor!$H$12="Once",C368=IF(Nonlabor!$E$12="Core",Nonlabor!$F$12,MAX(Nonlabor!$F$12,IF(Nonlabor!$E$12="AI",Assumptions!$C$24,Assumptions!$C$25)))),AND(Nonlabor!$H$12="Annual",MOD(C368-IF(Nonlabor!$E$12="Core",Nonlabor!$F$12,MAX(Nonlabor!$F$12,IF(Nonlabor!$E$12="AI",Assumptions!$C$24,Assumptions!$C$25))),12)=0))),IF(Nonlabor!$I$12="Fixed",1,IF(Nonlabor!$I$12="Seats",ROUNDUP('Monthly Lean'!I8,0),IF(Nonlabor!$I$12="Customers",'Monthly Lean'!D8,IF(Nonlabor!$I$12="NewCustomers",'Monthly Lean'!C8,IF(Nonlabor!$I$12="StorageGB",'Monthly Lean'!G8,IF(Nonlabor!$I$12="LogGB",'Monthly Lean'!H8,IF(Nonlabor!$I$12="RequestsM",'Monthly Lean'!F8,IF(Nonlabor!$I$12="InputM",'Monthly Lean'!D8*Assumptions!$C$22/1000000,IF(Nonlabor!$I$12="OutputM",'Monthly Lean'!D8*Assumptions!$C$23/1000000,0))))))))),0)</f>
        <v>0</v>
      </c>
      <c r="F368" s="10" t="n">
        <f aca="false">Nonlabor!$J$12*(1+Assumptions!$C$9)^INT((C368-1)/12)</f>
        <v>30</v>
      </c>
      <c r="G368" s="10" t="n">
        <f aca="false">E368*F368</f>
        <v>0</v>
      </c>
      <c r="H368" s="10" t="n">
        <f aca="false">IF(OR(Nonlabor!$L$12="Quote required",Nonlabor!$L$12="Unverified"),G368,0)</f>
        <v>0</v>
      </c>
      <c r="I368" s="10" t="n">
        <f aca="false">IF(Nonlabor!$E$12="Core",0,G368)</f>
        <v>0</v>
      </c>
      <c r="J368" s="23" t="str">
        <f aca="false">Nonlabor!$B$12</f>
        <v>INFRA</v>
      </c>
    </row>
    <row r="369" customFormat="false" ht="15" hidden="false" customHeight="false" outlineLevel="0" collapsed="false">
      <c r="A369" s="6" t="s">
        <v>72</v>
      </c>
      <c r="B369" s="6" t="s">
        <v>391</v>
      </c>
      <c r="C369" s="6" t="n">
        <v>4</v>
      </c>
      <c r="D369" s="25" t="n">
        <f aca="false">EDATE('Start Here'!$B$6,C369-1)</f>
        <v>46419</v>
      </c>
      <c r="E369" s="11" t="n">
        <f aca="false">IF(AND(OR(Nonlabor!$D$12="Both",Nonlabor!$D$12='Start Here'!$B$9),IF(Nonlabor!$E$12="Core",1,IF(Nonlabor!$E$12="AI",'Start Here'!$B$7,'Start Here'!$B$8))=1,C369&gt;=IF(Nonlabor!$E$12="Core",Nonlabor!$F$12,MAX(Nonlabor!$F$12,IF(Nonlabor!$E$12="AI",Assumptions!$C$24,Assumptions!$C$25))),C369&lt;=Nonlabor!$G$12,OR(Nonlabor!$H$12="Monthly",AND(Nonlabor!$H$12="Once",C369=IF(Nonlabor!$E$12="Core",Nonlabor!$F$12,MAX(Nonlabor!$F$12,IF(Nonlabor!$E$12="AI",Assumptions!$C$24,Assumptions!$C$25)))),AND(Nonlabor!$H$12="Annual",MOD(C369-IF(Nonlabor!$E$12="Core",Nonlabor!$F$12,MAX(Nonlabor!$F$12,IF(Nonlabor!$E$12="AI",Assumptions!$C$24,Assumptions!$C$25))),12)=0))),IF(Nonlabor!$I$12="Fixed",1,IF(Nonlabor!$I$12="Seats",ROUNDUP('Monthly Lean'!I9,0),IF(Nonlabor!$I$12="Customers",'Monthly Lean'!D9,IF(Nonlabor!$I$12="NewCustomers",'Monthly Lean'!C9,IF(Nonlabor!$I$12="StorageGB",'Monthly Lean'!G9,IF(Nonlabor!$I$12="LogGB",'Monthly Lean'!H9,IF(Nonlabor!$I$12="RequestsM",'Monthly Lean'!F9,IF(Nonlabor!$I$12="InputM",'Monthly Lean'!D9*Assumptions!$C$22/1000000,IF(Nonlabor!$I$12="OutputM",'Monthly Lean'!D9*Assumptions!$C$23/1000000,0))))))))),0)</f>
        <v>0</v>
      </c>
      <c r="F369" s="10" t="n">
        <f aca="false">Nonlabor!$J$12*(1+Assumptions!$C$9)^INT((C369-1)/12)</f>
        <v>30</v>
      </c>
      <c r="G369" s="10" t="n">
        <f aca="false">E369*F369</f>
        <v>0</v>
      </c>
      <c r="H369" s="10" t="n">
        <f aca="false">IF(OR(Nonlabor!$L$12="Quote required",Nonlabor!$L$12="Unverified"),G369,0)</f>
        <v>0</v>
      </c>
      <c r="I369" s="10" t="n">
        <f aca="false">IF(Nonlabor!$E$12="Core",0,G369)</f>
        <v>0</v>
      </c>
      <c r="J369" s="23" t="str">
        <f aca="false">Nonlabor!$B$12</f>
        <v>INFRA</v>
      </c>
    </row>
    <row r="370" customFormat="false" ht="15" hidden="false" customHeight="false" outlineLevel="0" collapsed="false">
      <c r="A370" s="6" t="s">
        <v>72</v>
      </c>
      <c r="B370" s="6" t="s">
        <v>391</v>
      </c>
      <c r="C370" s="6" t="n">
        <v>5</v>
      </c>
      <c r="D370" s="25" t="n">
        <f aca="false">EDATE('Start Here'!$B$6,C370-1)</f>
        <v>46447</v>
      </c>
      <c r="E370" s="11" t="n">
        <f aca="false">IF(AND(OR(Nonlabor!$D$12="Both",Nonlabor!$D$12='Start Here'!$B$9),IF(Nonlabor!$E$12="Core",1,IF(Nonlabor!$E$12="AI",'Start Here'!$B$7,'Start Here'!$B$8))=1,C370&gt;=IF(Nonlabor!$E$12="Core",Nonlabor!$F$12,MAX(Nonlabor!$F$12,IF(Nonlabor!$E$12="AI",Assumptions!$C$24,Assumptions!$C$25))),C370&lt;=Nonlabor!$G$12,OR(Nonlabor!$H$12="Monthly",AND(Nonlabor!$H$12="Once",C370=IF(Nonlabor!$E$12="Core",Nonlabor!$F$12,MAX(Nonlabor!$F$12,IF(Nonlabor!$E$12="AI",Assumptions!$C$24,Assumptions!$C$25)))),AND(Nonlabor!$H$12="Annual",MOD(C370-IF(Nonlabor!$E$12="Core",Nonlabor!$F$12,MAX(Nonlabor!$F$12,IF(Nonlabor!$E$12="AI",Assumptions!$C$24,Assumptions!$C$25))),12)=0))),IF(Nonlabor!$I$12="Fixed",1,IF(Nonlabor!$I$12="Seats",ROUNDUP('Monthly Lean'!I10,0),IF(Nonlabor!$I$12="Customers",'Monthly Lean'!D10,IF(Nonlabor!$I$12="NewCustomers",'Monthly Lean'!C10,IF(Nonlabor!$I$12="StorageGB",'Monthly Lean'!G10,IF(Nonlabor!$I$12="LogGB",'Monthly Lean'!H10,IF(Nonlabor!$I$12="RequestsM",'Monthly Lean'!F10,IF(Nonlabor!$I$12="InputM",'Monthly Lean'!D10*Assumptions!$C$22/1000000,IF(Nonlabor!$I$12="OutputM",'Monthly Lean'!D10*Assumptions!$C$23/1000000,0))))))))),0)</f>
        <v>0</v>
      </c>
      <c r="F370" s="10" t="n">
        <f aca="false">Nonlabor!$J$12*(1+Assumptions!$C$9)^INT((C370-1)/12)</f>
        <v>30</v>
      </c>
      <c r="G370" s="10" t="n">
        <f aca="false">E370*F370</f>
        <v>0</v>
      </c>
      <c r="H370" s="10" t="n">
        <f aca="false">IF(OR(Nonlabor!$L$12="Quote required",Nonlabor!$L$12="Unverified"),G370,0)</f>
        <v>0</v>
      </c>
      <c r="I370" s="10" t="n">
        <f aca="false">IF(Nonlabor!$E$12="Core",0,G370)</f>
        <v>0</v>
      </c>
      <c r="J370" s="23" t="str">
        <f aca="false">Nonlabor!$B$12</f>
        <v>INFRA</v>
      </c>
    </row>
    <row r="371" customFormat="false" ht="15" hidden="false" customHeight="false" outlineLevel="0" collapsed="false">
      <c r="A371" s="6" t="s">
        <v>72</v>
      </c>
      <c r="B371" s="6" t="s">
        <v>391</v>
      </c>
      <c r="C371" s="6" t="n">
        <v>6</v>
      </c>
      <c r="D371" s="25" t="n">
        <f aca="false">EDATE('Start Here'!$B$6,C371-1)</f>
        <v>46478</v>
      </c>
      <c r="E371" s="11" t="n">
        <f aca="false">IF(AND(OR(Nonlabor!$D$12="Both",Nonlabor!$D$12='Start Here'!$B$9),IF(Nonlabor!$E$12="Core",1,IF(Nonlabor!$E$12="AI",'Start Here'!$B$7,'Start Here'!$B$8))=1,C371&gt;=IF(Nonlabor!$E$12="Core",Nonlabor!$F$12,MAX(Nonlabor!$F$12,IF(Nonlabor!$E$12="AI",Assumptions!$C$24,Assumptions!$C$25))),C371&lt;=Nonlabor!$G$12,OR(Nonlabor!$H$12="Monthly",AND(Nonlabor!$H$12="Once",C371=IF(Nonlabor!$E$12="Core",Nonlabor!$F$12,MAX(Nonlabor!$F$12,IF(Nonlabor!$E$12="AI",Assumptions!$C$24,Assumptions!$C$25)))),AND(Nonlabor!$H$12="Annual",MOD(C371-IF(Nonlabor!$E$12="Core",Nonlabor!$F$12,MAX(Nonlabor!$F$12,IF(Nonlabor!$E$12="AI",Assumptions!$C$24,Assumptions!$C$25))),12)=0))),IF(Nonlabor!$I$12="Fixed",1,IF(Nonlabor!$I$12="Seats",ROUNDUP('Monthly Lean'!I11,0),IF(Nonlabor!$I$12="Customers",'Monthly Lean'!D11,IF(Nonlabor!$I$12="NewCustomers",'Monthly Lean'!C11,IF(Nonlabor!$I$12="StorageGB",'Monthly Lean'!G11,IF(Nonlabor!$I$12="LogGB",'Monthly Lean'!H11,IF(Nonlabor!$I$12="RequestsM",'Monthly Lean'!F11,IF(Nonlabor!$I$12="InputM",'Monthly Lean'!D11*Assumptions!$C$22/1000000,IF(Nonlabor!$I$12="OutputM",'Monthly Lean'!D11*Assumptions!$C$23/1000000,0))))))))),0)</f>
        <v>0</v>
      </c>
      <c r="F371" s="10" t="n">
        <f aca="false">Nonlabor!$J$12*(1+Assumptions!$C$9)^INT((C371-1)/12)</f>
        <v>30</v>
      </c>
      <c r="G371" s="10" t="n">
        <f aca="false">E371*F371</f>
        <v>0</v>
      </c>
      <c r="H371" s="10" t="n">
        <f aca="false">IF(OR(Nonlabor!$L$12="Quote required",Nonlabor!$L$12="Unverified"),G371,0)</f>
        <v>0</v>
      </c>
      <c r="I371" s="10" t="n">
        <f aca="false">IF(Nonlabor!$E$12="Core",0,G371)</f>
        <v>0</v>
      </c>
      <c r="J371" s="23" t="str">
        <f aca="false">Nonlabor!$B$12</f>
        <v>INFRA</v>
      </c>
    </row>
    <row r="372" customFormat="false" ht="15" hidden="false" customHeight="false" outlineLevel="0" collapsed="false">
      <c r="A372" s="6" t="s">
        <v>72</v>
      </c>
      <c r="B372" s="6" t="s">
        <v>391</v>
      </c>
      <c r="C372" s="6" t="n">
        <v>7</v>
      </c>
      <c r="D372" s="25" t="n">
        <f aca="false">EDATE('Start Here'!$B$6,C372-1)</f>
        <v>46508</v>
      </c>
      <c r="E372" s="11" t="n">
        <f aca="false">IF(AND(OR(Nonlabor!$D$12="Both",Nonlabor!$D$12='Start Here'!$B$9),IF(Nonlabor!$E$12="Core",1,IF(Nonlabor!$E$12="AI",'Start Here'!$B$7,'Start Here'!$B$8))=1,C372&gt;=IF(Nonlabor!$E$12="Core",Nonlabor!$F$12,MAX(Nonlabor!$F$12,IF(Nonlabor!$E$12="AI",Assumptions!$C$24,Assumptions!$C$25))),C372&lt;=Nonlabor!$G$12,OR(Nonlabor!$H$12="Monthly",AND(Nonlabor!$H$12="Once",C372=IF(Nonlabor!$E$12="Core",Nonlabor!$F$12,MAX(Nonlabor!$F$12,IF(Nonlabor!$E$12="AI",Assumptions!$C$24,Assumptions!$C$25)))),AND(Nonlabor!$H$12="Annual",MOD(C372-IF(Nonlabor!$E$12="Core",Nonlabor!$F$12,MAX(Nonlabor!$F$12,IF(Nonlabor!$E$12="AI",Assumptions!$C$24,Assumptions!$C$25))),12)=0))),IF(Nonlabor!$I$12="Fixed",1,IF(Nonlabor!$I$12="Seats",ROUNDUP('Monthly Lean'!I12,0),IF(Nonlabor!$I$12="Customers",'Monthly Lean'!D12,IF(Nonlabor!$I$12="NewCustomers",'Monthly Lean'!C12,IF(Nonlabor!$I$12="StorageGB",'Monthly Lean'!G12,IF(Nonlabor!$I$12="LogGB",'Monthly Lean'!H12,IF(Nonlabor!$I$12="RequestsM",'Monthly Lean'!F12,IF(Nonlabor!$I$12="InputM",'Monthly Lean'!D12*Assumptions!$C$22/1000000,IF(Nonlabor!$I$12="OutputM",'Monthly Lean'!D12*Assumptions!$C$23/1000000,0))))))))),0)</f>
        <v>0</v>
      </c>
      <c r="F372" s="10" t="n">
        <f aca="false">Nonlabor!$J$12*(1+Assumptions!$C$9)^INT((C372-1)/12)</f>
        <v>30</v>
      </c>
      <c r="G372" s="10" t="n">
        <f aca="false">E372*F372</f>
        <v>0</v>
      </c>
      <c r="H372" s="10" t="n">
        <f aca="false">IF(OR(Nonlabor!$L$12="Quote required",Nonlabor!$L$12="Unverified"),G372,0)</f>
        <v>0</v>
      </c>
      <c r="I372" s="10" t="n">
        <f aca="false">IF(Nonlabor!$E$12="Core",0,G372)</f>
        <v>0</v>
      </c>
      <c r="J372" s="23" t="str">
        <f aca="false">Nonlabor!$B$12</f>
        <v>INFRA</v>
      </c>
    </row>
    <row r="373" customFormat="false" ht="15" hidden="false" customHeight="false" outlineLevel="0" collapsed="false">
      <c r="A373" s="6" t="s">
        <v>72</v>
      </c>
      <c r="B373" s="6" t="s">
        <v>391</v>
      </c>
      <c r="C373" s="6" t="n">
        <v>8</v>
      </c>
      <c r="D373" s="25" t="n">
        <f aca="false">EDATE('Start Here'!$B$6,C373-1)</f>
        <v>46539</v>
      </c>
      <c r="E373" s="11" t="n">
        <f aca="false">IF(AND(OR(Nonlabor!$D$12="Both",Nonlabor!$D$12='Start Here'!$B$9),IF(Nonlabor!$E$12="Core",1,IF(Nonlabor!$E$12="AI",'Start Here'!$B$7,'Start Here'!$B$8))=1,C373&gt;=IF(Nonlabor!$E$12="Core",Nonlabor!$F$12,MAX(Nonlabor!$F$12,IF(Nonlabor!$E$12="AI",Assumptions!$C$24,Assumptions!$C$25))),C373&lt;=Nonlabor!$G$12,OR(Nonlabor!$H$12="Monthly",AND(Nonlabor!$H$12="Once",C373=IF(Nonlabor!$E$12="Core",Nonlabor!$F$12,MAX(Nonlabor!$F$12,IF(Nonlabor!$E$12="AI",Assumptions!$C$24,Assumptions!$C$25)))),AND(Nonlabor!$H$12="Annual",MOD(C373-IF(Nonlabor!$E$12="Core",Nonlabor!$F$12,MAX(Nonlabor!$F$12,IF(Nonlabor!$E$12="AI",Assumptions!$C$24,Assumptions!$C$25))),12)=0))),IF(Nonlabor!$I$12="Fixed",1,IF(Nonlabor!$I$12="Seats",ROUNDUP('Monthly Lean'!I13,0),IF(Nonlabor!$I$12="Customers",'Monthly Lean'!D13,IF(Nonlabor!$I$12="NewCustomers",'Monthly Lean'!C13,IF(Nonlabor!$I$12="StorageGB",'Monthly Lean'!G13,IF(Nonlabor!$I$12="LogGB",'Monthly Lean'!H13,IF(Nonlabor!$I$12="RequestsM",'Monthly Lean'!F13,IF(Nonlabor!$I$12="InputM",'Monthly Lean'!D13*Assumptions!$C$22/1000000,IF(Nonlabor!$I$12="OutputM",'Monthly Lean'!D13*Assumptions!$C$23/1000000,0))))))))),0)</f>
        <v>0</v>
      </c>
      <c r="F373" s="10" t="n">
        <f aca="false">Nonlabor!$J$12*(1+Assumptions!$C$9)^INT((C373-1)/12)</f>
        <v>30</v>
      </c>
      <c r="G373" s="10" t="n">
        <f aca="false">E373*F373</f>
        <v>0</v>
      </c>
      <c r="H373" s="10" t="n">
        <f aca="false">IF(OR(Nonlabor!$L$12="Quote required",Nonlabor!$L$12="Unverified"),G373,0)</f>
        <v>0</v>
      </c>
      <c r="I373" s="10" t="n">
        <f aca="false">IF(Nonlabor!$E$12="Core",0,G373)</f>
        <v>0</v>
      </c>
      <c r="J373" s="23" t="str">
        <f aca="false">Nonlabor!$B$12</f>
        <v>INFRA</v>
      </c>
    </row>
    <row r="374" customFormat="false" ht="15" hidden="false" customHeight="false" outlineLevel="0" collapsed="false">
      <c r="A374" s="6" t="s">
        <v>72</v>
      </c>
      <c r="B374" s="6" t="s">
        <v>391</v>
      </c>
      <c r="C374" s="6" t="n">
        <v>9</v>
      </c>
      <c r="D374" s="25" t="n">
        <f aca="false">EDATE('Start Here'!$B$6,C374-1)</f>
        <v>46569</v>
      </c>
      <c r="E374" s="11" t="n">
        <f aca="false">IF(AND(OR(Nonlabor!$D$12="Both",Nonlabor!$D$12='Start Here'!$B$9),IF(Nonlabor!$E$12="Core",1,IF(Nonlabor!$E$12="AI",'Start Here'!$B$7,'Start Here'!$B$8))=1,C374&gt;=IF(Nonlabor!$E$12="Core",Nonlabor!$F$12,MAX(Nonlabor!$F$12,IF(Nonlabor!$E$12="AI",Assumptions!$C$24,Assumptions!$C$25))),C374&lt;=Nonlabor!$G$12,OR(Nonlabor!$H$12="Monthly",AND(Nonlabor!$H$12="Once",C374=IF(Nonlabor!$E$12="Core",Nonlabor!$F$12,MAX(Nonlabor!$F$12,IF(Nonlabor!$E$12="AI",Assumptions!$C$24,Assumptions!$C$25)))),AND(Nonlabor!$H$12="Annual",MOD(C374-IF(Nonlabor!$E$12="Core",Nonlabor!$F$12,MAX(Nonlabor!$F$12,IF(Nonlabor!$E$12="AI",Assumptions!$C$24,Assumptions!$C$25))),12)=0))),IF(Nonlabor!$I$12="Fixed",1,IF(Nonlabor!$I$12="Seats",ROUNDUP('Monthly Lean'!I14,0),IF(Nonlabor!$I$12="Customers",'Monthly Lean'!D14,IF(Nonlabor!$I$12="NewCustomers",'Monthly Lean'!C14,IF(Nonlabor!$I$12="StorageGB",'Monthly Lean'!G14,IF(Nonlabor!$I$12="LogGB",'Monthly Lean'!H14,IF(Nonlabor!$I$12="RequestsM",'Monthly Lean'!F14,IF(Nonlabor!$I$12="InputM",'Monthly Lean'!D14*Assumptions!$C$22/1000000,IF(Nonlabor!$I$12="OutputM",'Monthly Lean'!D14*Assumptions!$C$23/1000000,0))))))))),0)</f>
        <v>0</v>
      </c>
      <c r="F374" s="10" t="n">
        <f aca="false">Nonlabor!$J$12*(1+Assumptions!$C$9)^INT((C374-1)/12)</f>
        <v>30</v>
      </c>
      <c r="G374" s="10" t="n">
        <f aca="false">E374*F374</f>
        <v>0</v>
      </c>
      <c r="H374" s="10" t="n">
        <f aca="false">IF(OR(Nonlabor!$L$12="Quote required",Nonlabor!$L$12="Unverified"),G374,0)</f>
        <v>0</v>
      </c>
      <c r="I374" s="10" t="n">
        <f aca="false">IF(Nonlabor!$E$12="Core",0,G374)</f>
        <v>0</v>
      </c>
      <c r="J374" s="23" t="str">
        <f aca="false">Nonlabor!$B$12</f>
        <v>INFRA</v>
      </c>
    </row>
    <row r="375" customFormat="false" ht="15" hidden="false" customHeight="false" outlineLevel="0" collapsed="false">
      <c r="A375" s="6" t="s">
        <v>72</v>
      </c>
      <c r="B375" s="6" t="s">
        <v>391</v>
      </c>
      <c r="C375" s="6" t="n">
        <v>10</v>
      </c>
      <c r="D375" s="25" t="n">
        <f aca="false">EDATE('Start Here'!$B$6,C375-1)</f>
        <v>46600</v>
      </c>
      <c r="E375" s="11" t="n">
        <f aca="false">IF(AND(OR(Nonlabor!$D$12="Both",Nonlabor!$D$12='Start Here'!$B$9),IF(Nonlabor!$E$12="Core",1,IF(Nonlabor!$E$12="AI",'Start Here'!$B$7,'Start Here'!$B$8))=1,C375&gt;=IF(Nonlabor!$E$12="Core",Nonlabor!$F$12,MAX(Nonlabor!$F$12,IF(Nonlabor!$E$12="AI",Assumptions!$C$24,Assumptions!$C$25))),C375&lt;=Nonlabor!$G$12,OR(Nonlabor!$H$12="Monthly",AND(Nonlabor!$H$12="Once",C375=IF(Nonlabor!$E$12="Core",Nonlabor!$F$12,MAX(Nonlabor!$F$12,IF(Nonlabor!$E$12="AI",Assumptions!$C$24,Assumptions!$C$25)))),AND(Nonlabor!$H$12="Annual",MOD(C375-IF(Nonlabor!$E$12="Core",Nonlabor!$F$12,MAX(Nonlabor!$F$12,IF(Nonlabor!$E$12="AI",Assumptions!$C$24,Assumptions!$C$25))),12)=0))),IF(Nonlabor!$I$12="Fixed",1,IF(Nonlabor!$I$12="Seats",ROUNDUP('Monthly Lean'!I15,0),IF(Nonlabor!$I$12="Customers",'Monthly Lean'!D15,IF(Nonlabor!$I$12="NewCustomers",'Monthly Lean'!C15,IF(Nonlabor!$I$12="StorageGB",'Monthly Lean'!G15,IF(Nonlabor!$I$12="LogGB",'Monthly Lean'!H15,IF(Nonlabor!$I$12="RequestsM",'Monthly Lean'!F15,IF(Nonlabor!$I$12="InputM",'Monthly Lean'!D15*Assumptions!$C$22/1000000,IF(Nonlabor!$I$12="OutputM",'Monthly Lean'!D15*Assumptions!$C$23/1000000,0))))))))),0)</f>
        <v>0</v>
      </c>
      <c r="F375" s="10" t="n">
        <f aca="false">Nonlabor!$J$12*(1+Assumptions!$C$9)^INT((C375-1)/12)</f>
        <v>30</v>
      </c>
      <c r="G375" s="10" t="n">
        <f aca="false">E375*F375</f>
        <v>0</v>
      </c>
      <c r="H375" s="10" t="n">
        <f aca="false">IF(OR(Nonlabor!$L$12="Quote required",Nonlabor!$L$12="Unverified"),G375,0)</f>
        <v>0</v>
      </c>
      <c r="I375" s="10" t="n">
        <f aca="false">IF(Nonlabor!$E$12="Core",0,G375)</f>
        <v>0</v>
      </c>
      <c r="J375" s="23" t="str">
        <f aca="false">Nonlabor!$B$12</f>
        <v>INFRA</v>
      </c>
    </row>
    <row r="376" customFormat="false" ht="15" hidden="false" customHeight="false" outlineLevel="0" collapsed="false">
      <c r="A376" s="6" t="s">
        <v>72</v>
      </c>
      <c r="B376" s="6" t="s">
        <v>391</v>
      </c>
      <c r="C376" s="6" t="n">
        <v>11</v>
      </c>
      <c r="D376" s="25" t="n">
        <f aca="false">EDATE('Start Here'!$B$6,C376-1)</f>
        <v>46631</v>
      </c>
      <c r="E376" s="11" t="n">
        <f aca="false">IF(AND(OR(Nonlabor!$D$12="Both",Nonlabor!$D$12='Start Here'!$B$9),IF(Nonlabor!$E$12="Core",1,IF(Nonlabor!$E$12="AI",'Start Here'!$B$7,'Start Here'!$B$8))=1,C376&gt;=IF(Nonlabor!$E$12="Core",Nonlabor!$F$12,MAX(Nonlabor!$F$12,IF(Nonlabor!$E$12="AI",Assumptions!$C$24,Assumptions!$C$25))),C376&lt;=Nonlabor!$G$12,OR(Nonlabor!$H$12="Monthly",AND(Nonlabor!$H$12="Once",C376=IF(Nonlabor!$E$12="Core",Nonlabor!$F$12,MAX(Nonlabor!$F$12,IF(Nonlabor!$E$12="AI",Assumptions!$C$24,Assumptions!$C$25)))),AND(Nonlabor!$H$12="Annual",MOD(C376-IF(Nonlabor!$E$12="Core",Nonlabor!$F$12,MAX(Nonlabor!$F$12,IF(Nonlabor!$E$12="AI",Assumptions!$C$24,Assumptions!$C$25))),12)=0))),IF(Nonlabor!$I$12="Fixed",1,IF(Nonlabor!$I$12="Seats",ROUNDUP('Monthly Lean'!I16,0),IF(Nonlabor!$I$12="Customers",'Monthly Lean'!D16,IF(Nonlabor!$I$12="NewCustomers",'Monthly Lean'!C16,IF(Nonlabor!$I$12="StorageGB",'Monthly Lean'!G16,IF(Nonlabor!$I$12="LogGB",'Monthly Lean'!H16,IF(Nonlabor!$I$12="RequestsM",'Monthly Lean'!F16,IF(Nonlabor!$I$12="InputM",'Monthly Lean'!D16*Assumptions!$C$22/1000000,IF(Nonlabor!$I$12="OutputM",'Monthly Lean'!D16*Assumptions!$C$23/1000000,0))))))))),0)</f>
        <v>0</v>
      </c>
      <c r="F376" s="10" t="n">
        <f aca="false">Nonlabor!$J$12*(1+Assumptions!$C$9)^INT((C376-1)/12)</f>
        <v>30</v>
      </c>
      <c r="G376" s="10" t="n">
        <f aca="false">E376*F376</f>
        <v>0</v>
      </c>
      <c r="H376" s="10" t="n">
        <f aca="false">IF(OR(Nonlabor!$L$12="Quote required",Nonlabor!$L$12="Unverified"),G376,0)</f>
        <v>0</v>
      </c>
      <c r="I376" s="10" t="n">
        <f aca="false">IF(Nonlabor!$E$12="Core",0,G376)</f>
        <v>0</v>
      </c>
      <c r="J376" s="23" t="str">
        <f aca="false">Nonlabor!$B$12</f>
        <v>INFRA</v>
      </c>
    </row>
    <row r="377" customFormat="false" ht="15" hidden="false" customHeight="false" outlineLevel="0" collapsed="false">
      <c r="A377" s="6" t="s">
        <v>72</v>
      </c>
      <c r="B377" s="6" t="s">
        <v>391</v>
      </c>
      <c r="C377" s="6" t="n">
        <v>12</v>
      </c>
      <c r="D377" s="25" t="n">
        <f aca="false">EDATE('Start Here'!$B$6,C377-1)</f>
        <v>46661</v>
      </c>
      <c r="E377" s="11" t="n">
        <f aca="false">IF(AND(OR(Nonlabor!$D$12="Both",Nonlabor!$D$12='Start Here'!$B$9),IF(Nonlabor!$E$12="Core",1,IF(Nonlabor!$E$12="AI",'Start Here'!$B$7,'Start Here'!$B$8))=1,C377&gt;=IF(Nonlabor!$E$12="Core",Nonlabor!$F$12,MAX(Nonlabor!$F$12,IF(Nonlabor!$E$12="AI",Assumptions!$C$24,Assumptions!$C$25))),C377&lt;=Nonlabor!$G$12,OR(Nonlabor!$H$12="Monthly",AND(Nonlabor!$H$12="Once",C377=IF(Nonlabor!$E$12="Core",Nonlabor!$F$12,MAX(Nonlabor!$F$12,IF(Nonlabor!$E$12="AI",Assumptions!$C$24,Assumptions!$C$25)))),AND(Nonlabor!$H$12="Annual",MOD(C377-IF(Nonlabor!$E$12="Core",Nonlabor!$F$12,MAX(Nonlabor!$F$12,IF(Nonlabor!$E$12="AI",Assumptions!$C$24,Assumptions!$C$25))),12)=0))),IF(Nonlabor!$I$12="Fixed",1,IF(Nonlabor!$I$12="Seats",ROUNDUP('Monthly Lean'!I17,0),IF(Nonlabor!$I$12="Customers",'Monthly Lean'!D17,IF(Nonlabor!$I$12="NewCustomers",'Monthly Lean'!C17,IF(Nonlabor!$I$12="StorageGB",'Monthly Lean'!G17,IF(Nonlabor!$I$12="LogGB",'Monthly Lean'!H17,IF(Nonlabor!$I$12="RequestsM",'Monthly Lean'!F17,IF(Nonlabor!$I$12="InputM",'Monthly Lean'!D17*Assumptions!$C$22/1000000,IF(Nonlabor!$I$12="OutputM",'Monthly Lean'!D17*Assumptions!$C$23/1000000,0))))))))),0)</f>
        <v>0</v>
      </c>
      <c r="F377" s="10" t="n">
        <f aca="false">Nonlabor!$J$12*(1+Assumptions!$C$9)^INT((C377-1)/12)</f>
        <v>30</v>
      </c>
      <c r="G377" s="10" t="n">
        <f aca="false">E377*F377</f>
        <v>0</v>
      </c>
      <c r="H377" s="10" t="n">
        <f aca="false">IF(OR(Nonlabor!$L$12="Quote required",Nonlabor!$L$12="Unverified"),G377,0)</f>
        <v>0</v>
      </c>
      <c r="I377" s="10" t="n">
        <f aca="false">IF(Nonlabor!$E$12="Core",0,G377)</f>
        <v>0</v>
      </c>
      <c r="J377" s="23" t="str">
        <f aca="false">Nonlabor!$B$12</f>
        <v>INFRA</v>
      </c>
    </row>
    <row r="378" customFormat="false" ht="15" hidden="false" customHeight="false" outlineLevel="0" collapsed="false">
      <c r="A378" s="6" t="s">
        <v>72</v>
      </c>
      <c r="B378" s="6" t="s">
        <v>391</v>
      </c>
      <c r="C378" s="6" t="n">
        <v>13</v>
      </c>
      <c r="D378" s="25" t="n">
        <f aca="false">EDATE('Start Here'!$B$6,C378-1)</f>
        <v>46692</v>
      </c>
      <c r="E378" s="11" t="n">
        <f aca="false">IF(AND(OR(Nonlabor!$D$12="Both",Nonlabor!$D$12='Start Here'!$B$9),IF(Nonlabor!$E$12="Core",1,IF(Nonlabor!$E$12="AI",'Start Here'!$B$7,'Start Here'!$B$8))=1,C378&gt;=IF(Nonlabor!$E$12="Core",Nonlabor!$F$12,MAX(Nonlabor!$F$12,IF(Nonlabor!$E$12="AI",Assumptions!$C$24,Assumptions!$C$25))),C378&lt;=Nonlabor!$G$12,OR(Nonlabor!$H$12="Monthly",AND(Nonlabor!$H$12="Once",C378=IF(Nonlabor!$E$12="Core",Nonlabor!$F$12,MAX(Nonlabor!$F$12,IF(Nonlabor!$E$12="AI",Assumptions!$C$24,Assumptions!$C$25)))),AND(Nonlabor!$H$12="Annual",MOD(C378-IF(Nonlabor!$E$12="Core",Nonlabor!$F$12,MAX(Nonlabor!$F$12,IF(Nonlabor!$E$12="AI",Assumptions!$C$24,Assumptions!$C$25))),12)=0))),IF(Nonlabor!$I$12="Fixed",1,IF(Nonlabor!$I$12="Seats",ROUNDUP('Monthly Lean'!I18,0),IF(Nonlabor!$I$12="Customers",'Monthly Lean'!D18,IF(Nonlabor!$I$12="NewCustomers",'Monthly Lean'!C18,IF(Nonlabor!$I$12="StorageGB",'Monthly Lean'!G18,IF(Nonlabor!$I$12="LogGB",'Monthly Lean'!H18,IF(Nonlabor!$I$12="RequestsM",'Monthly Lean'!F18,IF(Nonlabor!$I$12="InputM",'Monthly Lean'!D18*Assumptions!$C$22/1000000,IF(Nonlabor!$I$12="OutputM",'Monthly Lean'!D18*Assumptions!$C$23/1000000,0))))))))),0)</f>
        <v>0</v>
      </c>
      <c r="F378" s="10" t="n">
        <f aca="false">Nonlabor!$J$12*(1+Assumptions!$C$9)^INT((C378-1)/12)</f>
        <v>30.9</v>
      </c>
      <c r="G378" s="10" t="n">
        <f aca="false">E378*F378</f>
        <v>0</v>
      </c>
      <c r="H378" s="10" t="n">
        <f aca="false">IF(OR(Nonlabor!$L$12="Quote required",Nonlabor!$L$12="Unverified"),G378,0)</f>
        <v>0</v>
      </c>
      <c r="I378" s="10" t="n">
        <f aca="false">IF(Nonlabor!$E$12="Core",0,G378)</f>
        <v>0</v>
      </c>
      <c r="J378" s="23" t="str">
        <f aca="false">Nonlabor!$B$12</f>
        <v>INFRA</v>
      </c>
    </row>
    <row r="379" customFormat="false" ht="15" hidden="false" customHeight="false" outlineLevel="0" collapsed="false">
      <c r="A379" s="6" t="s">
        <v>72</v>
      </c>
      <c r="B379" s="6" t="s">
        <v>391</v>
      </c>
      <c r="C379" s="6" t="n">
        <v>14</v>
      </c>
      <c r="D379" s="25" t="n">
        <f aca="false">EDATE('Start Here'!$B$6,C379-1)</f>
        <v>46722</v>
      </c>
      <c r="E379" s="11" t="n">
        <f aca="false">IF(AND(OR(Nonlabor!$D$12="Both",Nonlabor!$D$12='Start Here'!$B$9),IF(Nonlabor!$E$12="Core",1,IF(Nonlabor!$E$12="AI",'Start Here'!$B$7,'Start Here'!$B$8))=1,C379&gt;=IF(Nonlabor!$E$12="Core",Nonlabor!$F$12,MAX(Nonlabor!$F$12,IF(Nonlabor!$E$12="AI",Assumptions!$C$24,Assumptions!$C$25))),C379&lt;=Nonlabor!$G$12,OR(Nonlabor!$H$12="Monthly",AND(Nonlabor!$H$12="Once",C379=IF(Nonlabor!$E$12="Core",Nonlabor!$F$12,MAX(Nonlabor!$F$12,IF(Nonlabor!$E$12="AI",Assumptions!$C$24,Assumptions!$C$25)))),AND(Nonlabor!$H$12="Annual",MOD(C379-IF(Nonlabor!$E$12="Core",Nonlabor!$F$12,MAX(Nonlabor!$F$12,IF(Nonlabor!$E$12="AI",Assumptions!$C$24,Assumptions!$C$25))),12)=0))),IF(Nonlabor!$I$12="Fixed",1,IF(Nonlabor!$I$12="Seats",ROUNDUP('Monthly Lean'!I19,0),IF(Nonlabor!$I$12="Customers",'Monthly Lean'!D19,IF(Nonlabor!$I$12="NewCustomers",'Monthly Lean'!C19,IF(Nonlabor!$I$12="StorageGB",'Monthly Lean'!G19,IF(Nonlabor!$I$12="LogGB",'Monthly Lean'!H19,IF(Nonlabor!$I$12="RequestsM",'Monthly Lean'!F19,IF(Nonlabor!$I$12="InputM",'Monthly Lean'!D19*Assumptions!$C$22/1000000,IF(Nonlabor!$I$12="OutputM",'Monthly Lean'!D19*Assumptions!$C$23/1000000,0))))))))),0)</f>
        <v>0</v>
      </c>
      <c r="F379" s="10" t="n">
        <f aca="false">Nonlabor!$J$12*(1+Assumptions!$C$9)^INT((C379-1)/12)</f>
        <v>30.9</v>
      </c>
      <c r="G379" s="10" t="n">
        <f aca="false">E379*F379</f>
        <v>0</v>
      </c>
      <c r="H379" s="10" t="n">
        <f aca="false">IF(OR(Nonlabor!$L$12="Quote required",Nonlabor!$L$12="Unverified"),G379,0)</f>
        <v>0</v>
      </c>
      <c r="I379" s="10" t="n">
        <f aca="false">IF(Nonlabor!$E$12="Core",0,G379)</f>
        <v>0</v>
      </c>
      <c r="J379" s="23" t="str">
        <f aca="false">Nonlabor!$B$12</f>
        <v>INFRA</v>
      </c>
    </row>
    <row r="380" customFormat="false" ht="15" hidden="false" customHeight="false" outlineLevel="0" collapsed="false">
      <c r="A380" s="6" t="s">
        <v>72</v>
      </c>
      <c r="B380" s="6" t="s">
        <v>391</v>
      </c>
      <c r="C380" s="6" t="n">
        <v>15</v>
      </c>
      <c r="D380" s="25" t="n">
        <f aca="false">EDATE('Start Here'!$B$6,C380-1)</f>
        <v>46753</v>
      </c>
      <c r="E380" s="11" t="n">
        <f aca="false">IF(AND(OR(Nonlabor!$D$12="Both",Nonlabor!$D$12='Start Here'!$B$9),IF(Nonlabor!$E$12="Core",1,IF(Nonlabor!$E$12="AI",'Start Here'!$B$7,'Start Here'!$B$8))=1,C380&gt;=IF(Nonlabor!$E$12="Core",Nonlabor!$F$12,MAX(Nonlabor!$F$12,IF(Nonlabor!$E$12="AI",Assumptions!$C$24,Assumptions!$C$25))),C380&lt;=Nonlabor!$G$12,OR(Nonlabor!$H$12="Monthly",AND(Nonlabor!$H$12="Once",C380=IF(Nonlabor!$E$12="Core",Nonlabor!$F$12,MAX(Nonlabor!$F$12,IF(Nonlabor!$E$12="AI",Assumptions!$C$24,Assumptions!$C$25)))),AND(Nonlabor!$H$12="Annual",MOD(C380-IF(Nonlabor!$E$12="Core",Nonlabor!$F$12,MAX(Nonlabor!$F$12,IF(Nonlabor!$E$12="AI",Assumptions!$C$24,Assumptions!$C$25))),12)=0))),IF(Nonlabor!$I$12="Fixed",1,IF(Nonlabor!$I$12="Seats",ROUNDUP('Monthly Lean'!I20,0),IF(Nonlabor!$I$12="Customers",'Monthly Lean'!D20,IF(Nonlabor!$I$12="NewCustomers",'Monthly Lean'!C20,IF(Nonlabor!$I$12="StorageGB",'Monthly Lean'!G20,IF(Nonlabor!$I$12="LogGB",'Monthly Lean'!H20,IF(Nonlabor!$I$12="RequestsM",'Monthly Lean'!F20,IF(Nonlabor!$I$12="InputM",'Monthly Lean'!D20*Assumptions!$C$22/1000000,IF(Nonlabor!$I$12="OutputM",'Monthly Lean'!D20*Assumptions!$C$23/1000000,0))))))))),0)</f>
        <v>0</v>
      </c>
      <c r="F380" s="10" t="n">
        <f aca="false">Nonlabor!$J$12*(1+Assumptions!$C$9)^INT((C380-1)/12)</f>
        <v>30.9</v>
      </c>
      <c r="G380" s="10" t="n">
        <f aca="false">E380*F380</f>
        <v>0</v>
      </c>
      <c r="H380" s="10" t="n">
        <f aca="false">IF(OR(Nonlabor!$L$12="Quote required",Nonlabor!$L$12="Unverified"),G380,0)</f>
        <v>0</v>
      </c>
      <c r="I380" s="10" t="n">
        <f aca="false">IF(Nonlabor!$E$12="Core",0,G380)</f>
        <v>0</v>
      </c>
      <c r="J380" s="23" t="str">
        <f aca="false">Nonlabor!$B$12</f>
        <v>INFRA</v>
      </c>
    </row>
    <row r="381" customFormat="false" ht="15" hidden="false" customHeight="false" outlineLevel="0" collapsed="false">
      <c r="A381" s="6" t="s">
        <v>72</v>
      </c>
      <c r="B381" s="6" t="s">
        <v>391</v>
      </c>
      <c r="C381" s="6" t="n">
        <v>16</v>
      </c>
      <c r="D381" s="25" t="n">
        <f aca="false">EDATE('Start Here'!$B$6,C381-1)</f>
        <v>46784</v>
      </c>
      <c r="E381" s="11" t="n">
        <f aca="false">IF(AND(OR(Nonlabor!$D$12="Both",Nonlabor!$D$12='Start Here'!$B$9),IF(Nonlabor!$E$12="Core",1,IF(Nonlabor!$E$12="AI",'Start Here'!$B$7,'Start Here'!$B$8))=1,C381&gt;=IF(Nonlabor!$E$12="Core",Nonlabor!$F$12,MAX(Nonlabor!$F$12,IF(Nonlabor!$E$12="AI",Assumptions!$C$24,Assumptions!$C$25))),C381&lt;=Nonlabor!$G$12,OR(Nonlabor!$H$12="Monthly",AND(Nonlabor!$H$12="Once",C381=IF(Nonlabor!$E$12="Core",Nonlabor!$F$12,MAX(Nonlabor!$F$12,IF(Nonlabor!$E$12="AI",Assumptions!$C$24,Assumptions!$C$25)))),AND(Nonlabor!$H$12="Annual",MOD(C381-IF(Nonlabor!$E$12="Core",Nonlabor!$F$12,MAX(Nonlabor!$F$12,IF(Nonlabor!$E$12="AI",Assumptions!$C$24,Assumptions!$C$25))),12)=0))),IF(Nonlabor!$I$12="Fixed",1,IF(Nonlabor!$I$12="Seats",ROUNDUP('Monthly Lean'!I21,0),IF(Nonlabor!$I$12="Customers",'Monthly Lean'!D21,IF(Nonlabor!$I$12="NewCustomers",'Monthly Lean'!C21,IF(Nonlabor!$I$12="StorageGB",'Monthly Lean'!G21,IF(Nonlabor!$I$12="LogGB",'Monthly Lean'!H21,IF(Nonlabor!$I$12="RequestsM",'Monthly Lean'!F21,IF(Nonlabor!$I$12="InputM",'Monthly Lean'!D21*Assumptions!$C$22/1000000,IF(Nonlabor!$I$12="OutputM",'Monthly Lean'!D21*Assumptions!$C$23/1000000,0))))))))),0)</f>
        <v>0.012</v>
      </c>
      <c r="F381" s="10" t="n">
        <f aca="false">Nonlabor!$J$12*(1+Assumptions!$C$9)^INT((C381-1)/12)</f>
        <v>30.9</v>
      </c>
      <c r="G381" s="10" t="n">
        <f aca="false">E381*F381</f>
        <v>0.3708</v>
      </c>
      <c r="H381" s="10" t="n">
        <f aca="false">IF(OR(Nonlabor!$L$12="Quote required",Nonlabor!$L$12="Unverified"),G381,0)</f>
        <v>0</v>
      </c>
      <c r="I381" s="10" t="n">
        <f aca="false">IF(Nonlabor!$E$12="Core",0,G381)</f>
        <v>0</v>
      </c>
      <c r="J381" s="23" t="str">
        <f aca="false">Nonlabor!$B$12</f>
        <v>INFRA</v>
      </c>
    </row>
    <row r="382" customFormat="false" ht="15" hidden="false" customHeight="false" outlineLevel="0" collapsed="false">
      <c r="A382" s="6" t="s">
        <v>72</v>
      </c>
      <c r="B382" s="6" t="s">
        <v>391</v>
      </c>
      <c r="C382" s="6" t="n">
        <v>17</v>
      </c>
      <c r="D382" s="25" t="n">
        <f aca="false">EDATE('Start Here'!$B$6,C382-1)</f>
        <v>46813</v>
      </c>
      <c r="E382" s="11" t="n">
        <f aca="false">IF(AND(OR(Nonlabor!$D$12="Both",Nonlabor!$D$12='Start Here'!$B$9),IF(Nonlabor!$E$12="Core",1,IF(Nonlabor!$E$12="AI",'Start Here'!$B$7,'Start Here'!$B$8))=1,C382&gt;=IF(Nonlabor!$E$12="Core",Nonlabor!$F$12,MAX(Nonlabor!$F$12,IF(Nonlabor!$E$12="AI",Assumptions!$C$24,Assumptions!$C$25))),C382&lt;=Nonlabor!$G$12,OR(Nonlabor!$H$12="Monthly",AND(Nonlabor!$H$12="Once",C382=IF(Nonlabor!$E$12="Core",Nonlabor!$F$12,MAX(Nonlabor!$F$12,IF(Nonlabor!$E$12="AI",Assumptions!$C$24,Assumptions!$C$25)))),AND(Nonlabor!$H$12="Annual",MOD(C382-IF(Nonlabor!$E$12="Core",Nonlabor!$F$12,MAX(Nonlabor!$F$12,IF(Nonlabor!$E$12="AI",Assumptions!$C$24,Assumptions!$C$25))),12)=0))),IF(Nonlabor!$I$12="Fixed",1,IF(Nonlabor!$I$12="Seats",ROUNDUP('Monthly Lean'!I22,0),IF(Nonlabor!$I$12="Customers",'Monthly Lean'!D22,IF(Nonlabor!$I$12="NewCustomers",'Monthly Lean'!C22,IF(Nonlabor!$I$12="StorageGB",'Monthly Lean'!G22,IF(Nonlabor!$I$12="LogGB",'Monthly Lean'!H22,IF(Nonlabor!$I$12="RequestsM",'Monthly Lean'!F22,IF(Nonlabor!$I$12="InputM",'Monthly Lean'!D22*Assumptions!$C$22/1000000,IF(Nonlabor!$I$12="OutputM",'Monthly Lean'!D22*Assumptions!$C$23/1000000,0))))))))),0)</f>
        <v>0.02382</v>
      </c>
      <c r="F382" s="10" t="n">
        <f aca="false">Nonlabor!$J$12*(1+Assumptions!$C$9)^INT((C382-1)/12)</f>
        <v>30.9</v>
      </c>
      <c r="G382" s="10" t="n">
        <f aca="false">E382*F382</f>
        <v>0.736038</v>
      </c>
      <c r="H382" s="10" t="n">
        <f aca="false">IF(OR(Nonlabor!$L$12="Quote required",Nonlabor!$L$12="Unverified"),G382,0)</f>
        <v>0</v>
      </c>
      <c r="I382" s="10" t="n">
        <f aca="false">IF(Nonlabor!$E$12="Core",0,G382)</f>
        <v>0</v>
      </c>
      <c r="J382" s="23" t="str">
        <f aca="false">Nonlabor!$B$12</f>
        <v>INFRA</v>
      </c>
    </row>
    <row r="383" customFormat="false" ht="15" hidden="false" customHeight="false" outlineLevel="0" collapsed="false">
      <c r="A383" s="6" t="s">
        <v>72</v>
      </c>
      <c r="B383" s="6" t="s">
        <v>391</v>
      </c>
      <c r="C383" s="6" t="n">
        <v>18</v>
      </c>
      <c r="D383" s="25" t="n">
        <f aca="false">EDATE('Start Here'!$B$6,C383-1)</f>
        <v>46844</v>
      </c>
      <c r="E383" s="11" t="n">
        <f aca="false">IF(AND(OR(Nonlabor!$D$12="Both",Nonlabor!$D$12='Start Here'!$B$9),IF(Nonlabor!$E$12="Core",1,IF(Nonlabor!$E$12="AI",'Start Here'!$B$7,'Start Here'!$B$8))=1,C383&gt;=IF(Nonlabor!$E$12="Core",Nonlabor!$F$12,MAX(Nonlabor!$F$12,IF(Nonlabor!$E$12="AI",Assumptions!$C$24,Assumptions!$C$25))),C383&lt;=Nonlabor!$G$12,OR(Nonlabor!$H$12="Monthly",AND(Nonlabor!$H$12="Once",C383=IF(Nonlabor!$E$12="Core",Nonlabor!$F$12,MAX(Nonlabor!$F$12,IF(Nonlabor!$E$12="AI",Assumptions!$C$24,Assumptions!$C$25)))),AND(Nonlabor!$H$12="Annual",MOD(C383-IF(Nonlabor!$E$12="Core",Nonlabor!$F$12,MAX(Nonlabor!$F$12,IF(Nonlabor!$E$12="AI",Assumptions!$C$24,Assumptions!$C$25))),12)=0))),IF(Nonlabor!$I$12="Fixed",1,IF(Nonlabor!$I$12="Seats",ROUNDUP('Monthly Lean'!I23,0),IF(Nonlabor!$I$12="Customers",'Monthly Lean'!D23,IF(Nonlabor!$I$12="NewCustomers",'Monthly Lean'!C23,IF(Nonlabor!$I$12="StorageGB",'Monthly Lean'!G23,IF(Nonlabor!$I$12="LogGB",'Monthly Lean'!H23,IF(Nonlabor!$I$12="RequestsM",'Monthly Lean'!F23,IF(Nonlabor!$I$12="InputM",'Monthly Lean'!D23*Assumptions!$C$22/1000000,IF(Nonlabor!$I$12="OutputM",'Monthly Lean'!D23*Assumptions!$C$23/1000000,0))))))))),0)</f>
        <v>0.0354627</v>
      </c>
      <c r="F383" s="10" t="n">
        <f aca="false">Nonlabor!$J$12*(1+Assumptions!$C$9)^INT((C383-1)/12)</f>
        <v>30.9</v>
      </c>
      <c r="G383" s="10" t="n">
        <f aca="false">E383*F383</f>
        <v>1.09579743</v>
      </c>
      <c r="H383" s="10" t="n">
        <f aca="false">IF(OR(Nonlabor!$L$12="Quote required",Nonlabor!$L$12="Unverified"),G383,0)</f>
        <v>0</v>
      </c>
      <c r="I383" s="10" t="n">
        <f aca="false">IF(Nonlabor!$E$12="Core",0,G383)</f>
        <v>0</v>
      </c>
      <c r="J383" s="23" t="str">
        <f aca="false">Nonlabor!$B$12</f>
        <v>INFRA</v>
      </c>
    </row>
    <row r="384" customFormat="false" ht="15" hidden="false" customHeight="false" outlineLevel="0" collapsed="false">
      <c r="A384" s="6" t="s">
        <v>72</v>
      </c>
      <c r="B384" s="6" t="s">
        <v>391</v>
      </c>
      <c r="C384" s="6" t="n">
        <v>19</v>
      </c>
      <c r="D384" s="25" t="n">
        <f aca="false">EDATE('Start Here'!$B$6,C384-1)</f>
        <v>46874</v>
      </c>
      <c r="E384" s="11" t="n">
        <f aca="false">IF(AND(OR(Nonlabor!$D$12="Both",Nonlabor!$D$12='Start Here'!$B$9),IF(Nonlabor!$E$12="Core",1,IF(Nonlabor!$E$12="AI",'Start Here'!$B$7,'Start Here'!$B$8))=1,C384&gt;=IF(Nonlabor!$E$12="Core",Nonlabor!$F$12,MAX(Nonlabor!$F$12,IF(Nonlabor!$E$12="AI",Assumptions!$C$24,Assumptions!$C$25))),C384&lt;=Nonlabor!$G$12,OR(Nonlabor!$H$12="Monthly",AND(Nonlabor!$H$12="Once",C384=IF(Nonlabor!$E$12="Core",Nonlabor!$F$12,MAX(Nonlabor!$F$12,IF(Nonlabor!$E$12="AI",Assumptions!$C$24,Assumptions!$C$25)))),AND(Nonlabor!$H$12="Annual",MOD(C384-IF(Nonlabor!$E$12="Core",Nonlabor!$F$12,MAX(Nonlabor!$F$12,IF(Nonlabor!$E$12="AI",Assumptions!$C$24,Assumptions!$C$25))),12)=0))),IF(Nonlabor!$I$12="Fixed",1,IF(Nonlabor!$I$12="Seats",ROUNDUP('Monthly Lean'!I24,0),IF(Nonlabor!$I$12="Customers",'Monthly Lean'!D24,IF(Nonlabor!$I$12="NewCustomers",'Monthly Lean'!C24,IF(Nonlabor!$I$12="StorageGB",'Monthly Lean'!G24,IF(Nonlabor!$I$12="LogGB",'Monthly Lean'!H24,IF(Nonlabor!$I$12="RequestsM",'Monthly Lean'!F24,IF(Nonlabor!$I$12="InputM",'Monthly Lean'!D24*Assumptions!$C$22/1000000,IF(Nonlabor!$I$12="OutputM",'Monthly Lean'!D24*Assumptions!$C$23/1000000,0))))))))),0)</f>
        <v>0.0469307595</v>
      </c>
      <c r="F384" s="10" t="n">
        <f aca="false">Nonlabor!$J$12*(1+Assumptions!$C$9)^INT((C384-1)/12)</f>
        <v>30.9</v>
      </c>
      <c r="G384" s="10" t="n">
        <f aca="false">E384*F384</f>
        <v>1.45016046855</v>
      </c>
      <c r="H384" s="10" t="n">
        <f aca="false">IF(OR(Nonlabor!$L$12="Quote required",Nonlabor!$L$12="Unverified"),G384,0)</f>
        <v>0</v>
      </c>
      <c r="I384" s="10" t="n">
        <f aca="false">IF(Nonlabor!$E$12="Core",0,G384)</f>
        <v>0</v>
      </c>
      <c r="J384" s="23" t="str">
        <f aca="false">Nonlabor!$B$12</f>
        <v>INFRA</v>
      </c>
    </row>
    <row r="385" customFormat="false" ht="15" hidden="false" customHeight="false" outlineLevel="0" collapsed="false">
      <c r="A385" s="6" t="s">
        <v>72</v>
      </c>
      <c r="B385" s="6" t="s">
        <v>391</v>
      </c>
      <c r="C385" s="6" t="n">
        <v>20</v>
      </c>
      <c r="D385" s="25" t="n">
        <f aca="false">EDATE('Start Here'!$B$6,C385-1)</f>
        <v>46905</v>
      </c>
      <c r="E385" s="11" t="n">
        <f aca="false">IF(AND(OR(Nonlabor!$D$12="Both",Nonlabor!$D$12='Start Here'!$B$9),IF(Nonlabor!$E$12="Core",1,IF(Nonlabor!$E$12="AI",'Start Here'!$B$7,'Start Here'!$B$8))=1,C385&gt;=IF(Nonlabor!$E$12="Core",Nonlabor!$F$12,MAX(Nonlabor!$F$12,IF(Nonlabor!$E$12="AI",Assumptions!$C$24,Assumptions!$C$25))),C385&lt;=Nonlabor!$G$12,OR(Nonlabor!$H$12="Monthly",AND(Nonlabor!$H$12="Once",C385=IF(Nonlabor!$E$12="Core",Nonlabor!$F$12,MAX(Nonlabor!$F$12,IF(Nonlabor!$E$12="AI",Assumptions!$C$24,Assumptions!$C$25)))),AND(Nonlabor!$H$12="Annual",MOD(C385-IF(Nonlabor!$E$12="Core",Nonlabor!$F$12,MAX(Nonlabor!$F$12,IF(Nonlabor!$E$12="AI",Assumptions!$C$24,Assumptions!$C$25))),12)=0))),IF(Nonlabor!$I$12="Fixed",1,IF(Nonlabor!$I$12="Seats",ROUNDUP('Monthly Lean'!I25,0),IF(Nonlabor!$I$12="Customers",'Monthly Lean'!D25,IF(Nonlabor!$I$12="NewCustomers",'Monthly Lean'!C25,IF(Nonlabor!$I$12="StorageGB",'Monthly Lean'!G25,IF(Nonlabor!$I$12="LogGB",'Monthly Lean'!H25,IF(Nonlabor!$I$12="RequestsM",'Monthly Lean'!F25,IF(Nonlabor!$I$12="InputM",'Monthly Lean'!D25*Assumptions!$C$22/1000000,IF(Nonlabor!$I$12="OutputM",'Monthly Lean'!D25*Assumptions!$C$23/1000000,0))))))))),0)</f>
        <v>0.0582267981075</v>
      </c>
      <c r="F385" s="10" t="n">
        <f aca="false">Nonlabor!$J$12*(1+Assumptions!$C$9)^INT((C385-1)/12)</f>
        <v>30.9</v>
      </c>
      <c r="G385" s="10" t="n">
        <f aca="false">E385*F385</f>
        <v>1.79920806152175</v>
      </c>
      <c r="H385" s="10" t="n">
        <f aca="false">IF(OR(Nonlabor!$L$12="Quote required",Nonlabor!$L$12="Unverified"),G385,0)</f>
        <v>0</v>
      </c>
      <c r="I385" s="10" t="n">
        <f aca="false">IF(Nonlabor!$E$12="Core",0,G385)</f>
        <v>0</v>
      </c>
      <c r="J385" s="23" t="str">
        <f aca="false">Nonlabor!$B$12</f>
        <v>INFRA</v>
      </c>
    </row>
    <row r="386" customFormat="false" ht="15" hidden="false" customHeight="false" outlineLevel="0" collapsed="false">
      <c r="A386" s="6" t="s">
        <v>72</v>
      </c>
      <c r="B386" s="6" t="s">
        <v>391</v>
      </c>
      <c r="C386" s="6" t="n">
        <v>21</v>
      </c>
      <c r="D386" s="25" t="n">
        <f aca="false">EDATE('Start Here'!$B$6,C386-1)</f>
        <v>46935</v>
      </c>
      <c r="E386" s="11" t="n">
        <f aca="false">IF(AND(OR(Nonlabor!$D$12="Both",Nonlabor!$D$12='Start Here'!$B$9),IF(Nonlabor!$E$12="Core",1,IF(Nonlabor!$E$12="AI",'Start Here'!$B$7,'Start Here'!$B$8))=1,C386&gt;=IF(Nonlabor!$E$12="Core",Nonlabor!$F$12,MAX(Nonlabor!$F$12,IF(Nonlabor!$E$12="AI",Assumptions!$C$24,Assumptions!$C$25))),C386&lt;=Nonlabor!$G$12,OR(Nonlabor!$H$12="Monthly",AND(Nonlabor!$H$12="Once",C386=IF(Nonlabor!$E$12="Core",Nonlabor!$F$12,MAX(Nonlabor!$F$12,IF(Nonlabor!$E$12="AI",Assumptions!$C$24,Assumptions!$C$25)))),AND(Nonlabor!$H$12="Annual",MOD(C386-IF(Nonlabor!$E$12="Core",Nonlabor!$F$12,MAX(Nonlabor!$F$12,IF(Nonlabor!$E$12="AI",Assumptions!$C$24,Assumptions!$C$25))),12)=0))),IF(Nonlabor!$I$12="Fixed",1,IF(Nonlabor!$I$12="Seats",ROUNDUP('Monthly Lean'!I26,0),IF(Nonlabor!$I$12="Customers",'Monthly Lean'!D26,IF(Nonlabor!$I$12="NewCustomers",'Monthly Lean'!C26,IF(Nonlabor!$I$12="StorageGB",'Monthly Lean'!G26,IF(Nonlabor!$I$12="LogGB",'Monthly Lean'!H26,IF(Nonlabor!$I$12="RequestsM",'Monthly Lean'!F26,IF(Nonlabor!$I$12="InputM",'Monthly Lean'!D26*Assumptions!$C$22/1000000,IF(Nonlabor!$I$12="OutputM",'Monthly Lean'!D26*Assumptions!$C$23/1000000,0))))))))),0)</f>
        <v>0.0693533961358875</v>
      </c>
      <c r="F386" s="10" t="n">
        <f aca="false">Nonlabor!$J$12*(1+Assumptions!$C$9)^INT((C386-1)/12)</f>
        <v>30.9</v>
      </c>
      <c r="G386" s="10" t="n">
        <f aca="false">E386*F386</f>
        <v>2.14301994059892</v>
      </c>
      <c r="H386" s="10" t="n">
        <f aca="false">IF(OR(Nonlabor!$L$12="Quote required",Nonlabor!$L$12="Unverified"),G386,0)</f>
        <v>0</v>
      </c>
      <c r="I386" s="10" t="n">
        <f aca="false">IF(Nonlabor!$E$12="Core",0,G386)</f>
        <v>0</v>
      </c>
      <c r="J386" s="23" t="str">
        <f aca="false">Nonlabor!$B$12</f>
        <v>INFRA</v>
      </c>
    </row>
    <row r="387" customFormat="false" ht="15" hidden="false" customHeight="false" outlineLevel="0" collapsed="false">
      <c r="A387" s="6" t="s">
        <v>72</v>
      </c>
      <c r="B387" s="6" t="s">
        <v>391</v>
      </c>
      <c r="C387" s="6" t="n">
        <v>22</v>
      </c>
      <c r="D387" s="25" t="n">
        <f aca="false">EDATE('Start Here'!$B$6,C387-1)</f>
        <v>46966</v>
      </c>
      <c r="E387" s="11" t="n">
        <f aca="false">IF(AND(OR(Nonlabor!$D$12="Both",Nonlabor!$D$12='Start Here'!$B$9),IF(Nonlabor!$E$12="Core",1,IF(Nonlabor!$E$12="AI",'Start Here'!$B$7,'Start Here'!$B$8))=1,C387&gt;=IF(Nonlabor!$E$12="Core",Nonlabor!$F$12,MAX(Nonlabor!$F$12,IF(Nonlabor!$E$12="AI",Assumptions!$C$24,Assumptions!$C$25))),C387&lt;=Nonlabor!$G$12,OR(Nonlabor!$H$12="Monthly",AND(Nonlabor!$H$12="Once",C387=IF(Nonlabor!$E$12="Core",Nonlabor!$F$12,MAX(Nonlabor!$F$12,IF(Nonlabor!$E$12="AI",Assumptions!$C$24,Assumptions!$C$25)))),AND(Nonlabor!$H$12="Annual",MOD(C387-IF(Nonlabor!$E$12="Core",Nonlabor!$F$12,MAX(Nonlabor!$F$12,IF(Nonlabor!$E$12="AI",Assumptions!$C$24,Assumptions!$C$25))),12)=0))),IF(Nonlabor!$I$12="Fixed",1,IF(Nonlabor!$I$12="Seats",ROUNDUP('Monthly Lean'!I27,0),IF(Nonlabor!$I$12="Customers",'Monthly Lean'!D27,IF(Nonlabor!$I$12="NewCustomers",'Monthly Lean'!C27,IF(Nonlabor!$I$12="StorageGB",'Monthly Lean'!G27,IF(Nonlabor!$I$12="LogGB",'Monthly Lean'!H27,IF(Nonlabor!$I$12="RequestsM",'Monthly Lean'!F27,IF(Nonlabor!$I$12="InputM",'Monthly Lean'!D27*Assumptions!$C$22/1000000,IF(Nonlabor!$I$12="OutputM",'Monthly Lean'!D27*Assumptions!$C$23/1000000,0))))))))),0)</f>
        <v>0.0803130951938492</v>
      </c>
      <c r="F387" s="10" t="n">
        <f aca="false">Nonlabor!$J$12*(1+Assumptions!$C$9)^INT((C387-1)/12)</f>
        <v>30.9</v>
      </c>
      <c r="G387" s="10" t="n">
        <f aca="false">E387*F387</f>
        <v>2.48167464148994</v>
      </c>
      <c r="H387" s="10" t="n">
        <f aca="false">IF(OR(Nonlabor!$L$12="Quote required",Nonlabor!$L$12="Unverified"),G387,0)</f>
        <v>0</v>
      </c>
      <c r="I387" s="10" t="n">
        <f aca="false">IF(Nonlabor!$E$12="Core",0,G387)</f>
        <v>0</v>
      </c>
      <c r="J387" s="23" t="str">
        <f aca="false">Nonlabor!$B$12</f>
        <v>INFRA</v>
      </c>
    </row>
    <row r="388" customFormat="false" ht="15" hidden="false" customHeight="false" outlineLevel="0" collapsed="false">
      <c r="A388" s="6" t="s">
        <v>72</v>
      </c>
      <c r="B388" s="6" t="s">
        <v>391</v>
      </c>
      <c r="C388" s="6" t="n">
        <v>23</v>
      </c>
      <c r="D388" s="25" t="n">
        <f aca="false">EDATE('Start Here'!$B$6,C388-1)</f>
        <v>46997</v>
      </c>
      <c r="E388" s="11" t="n">
        <f aca="false">IF(AND(OR(Nonlabor!$D$12="Both",Nonlabor!$D$12='Start Here'!$B$9),IF(Nonlabor!$E$12="Core",1,IF(Nonlabor!$E$12="AI",'Start Here'!$B$7,'Start Here'!$B$8))=1,C388&gt;=IF(Nonlabor!$E$12="Core",Nonlabor!$F$12,MAX(Nonlabor!$F$12,IF(Nonlabor!$E$12="AI",Assumptions!$C$24,Assumptions!$C$25))),C388&lt;=Nonlabor!$G$12,OR(Nonlabor!$H$12="Monthly",AND(Nonlabor!$H$12="Once",C388=IF(Nonlabor!$E$12="Core",Nonlabor!$F$12,MAX(Nonlabor!$F$12,IF(Nonlabor!$E$12="AI",Assumptions!$C$24,Assumptions!$C$25)))),AND(Nonlabor!$H$12="Annual",MOD(C388-IF(Nonlabor!$E$12="Core",Nonlabor!$F$12,MAX(Nonlabor!$F$12,IF(Nonlabor!$E$12="AI",Assumptions!$C$24,Assumptions!$C$25))),12)=0))),IF(Nonlabor!$I$12="Fixed",1,IF(Nonlabor!$I$12="Seats",ROUNDUP('Monthly Lean'!I28,0),IF(Nonlabor!$I$12="Customers",'Monthly Lean'!D28,IF(Nonlabor!$I$12="NewCustomers",'Monthly Lean'!C28,IF(Nonlabor!$I$12="StorageGB",'Monthly Lean'!G28,IF(Nonlabor!$I$12="LogGB",'Monthly Lean'!H28,IF(Nonlabor!$I$12="RequestsM",'Monthly Lean'!F28,IF(Nonlabor!$I$12="InputM",'Monthly Lean'!D28*Assumptions!$C$22/1000000,IF(Nonlabor!$I$12="OutputM",'Monthly Lean'!D28*Assumptions!$C$23/1000000,0))))))))),0)</f>
        <v>0.0911083987659414</v>
      </c>
      <c r="F388" s="10" t="n">
        <f aca="false">Nonlabor!$J$12*(1+Assumptions!$C$9)^INT((C388-1)/12)</f>
        <v>30.9</v>
      </c>
      <c r="G388" s="10" t="n">
        <f aca="false">E388*F388</f>
        <v>2.81524952186759</v>
      </c>
      <c r="H388" s="10" t="n">
        <f aca="false">IF(OR(Nonlabor!$L$12="Quote required",Nonlabor!$L$12="Unverified"),G388,0)</f>
        <v>0</v>
      </c>
      <c r="I388" s="10" t="n">
        <f aca="false">IF(Nonlabor!$E$12="Core",0,G388)</f>
        <v>0</v>
      </c>
      <c r="J388" s="23" t="str">
        <f aca="false">Nonlabor!$B$12</f>
        <v>INFRA</v>
      </c>
    </row>
    <row r="389" customFormat="false" ht="15" hidden="false" customHeight="false" outlineLevel="0" collapsed="false">
      <c r="A389" s="6" t="s">
        <v>72</v>
      </c>
      <c r="B389" s="6" t="s">
        <v>391</v>
      </c>
      <c r="C389" s="6" t="n">
        <v>24</v>
      </c>
      <c r="D389" s="25" t="n">
        <f aca="false">EDATE('Start Here'!$B$6,C389-1)</f>
        <v>47027</v>
      </c>
      <c r="E389" s="11" t="n">
        <f aca="false">IF(AND(OR(Nonlabor!$D$12="Both",Nonlabor!$D$12='Start Here'!$B$9),IF(Nonlabor!$E$12="Core",1,IF(Nonlabor!$E$12="AI",'Start Here'!$B$7,'Start Here'!$B$8))=1,C389&gt;=IF(Nonlabor!$E$12="Core",Nonlabor!$F$12,MAX(Nonlabor!$F$12,IF(Nonlabor!$E$12="AI",Assumptions!$C$24,Assumptions!$C$25))),C389&lt;=Nonlabor!$G$12,OR(Nonlabor!$H$12="Monthly",AND(Nonlabor!$H$12="Once",C389=IF(Nonlabor!$E$12="Core",Nonlabor!$F$12,MAX(Nonlabor!$F$12,IF(Nonlabor!$E$12="AI",Assumptions!$C$24,Assumptions!$C$25)))),AND(Nonlabor!$H$12="Annual",MOD(C389-IF(Nonlabor!$E$12="Core",Nonlabor!$F$12,MAX(Nonlabor!$F$12,IF(Nonlabor!$E$12="AI",Assumptions!$C$24,Assumptions!$C$25))),12)=0))),IF(Nonlabor!$I$12="Fixed",1,IF(Nonlabor!$I$12="Seats",ROUNDUP('Monthly Lean'!I29,0),IF(Nonlabor!$I$12="Customers",'Monthly Lean'!D29,IF(Nonlabor!$I$12="NewCustomers",'Monthly Lean'!C29,IF(Nonlabor!$I$12="StorageGB",'Monthly Lean'!G29,IF(Nonlabor!$I$12="LogGB",'Monthly Lean'!H29,IF(Nonlabor!$I$12="RequestsM",'Monthly Lean'!F29,IF(Nonlabor!$I$12="InputM",'Monthly Lean'!D29*Assumptions!$C$22/1000000,IF(Nonlabor!$I$12="OutputM",'Monthly Lean'!D29*Assumptions!$C$23/1000000,0))))))))),0)</f>
        <v>0.101741772784452</v>
      </c>
      <c r="F389" s="10" t="n">
        <f aca="false">Nonlabor!$J$12*(1+Assumptions!$C$9)^INT((C389-1)/12)</f>
        <v>30.9</v>
      </c>
      <c r="G389" s="10" t="n">
        <f aca="false">E389*F389</f>
        <v>3.14382077903958</v>
      </c>
      <c r="H389" s="10" t="n">
        <f aca="false">IF(OR(Nonlabor!$L$12="Quote required",Nonlabor!$L$12="Unverified"),G389,0)</f>
        <v>0</v>
      </c>
      <c r="I389" s="10" t="n">
        <f aca="false">IF(Nonlabor!$E$12="Core",0,G389)</f>
        <v>0</v>
      </c>
      <c r="J389" s="23" t="str">
        <f aca="false">Nonlabor!$B$12</f>
        <v>INFRA</v>
      </c>
    </row>
    <row r="390" customFormat="false" ht="15" hidden="false" customHeight="false" outlineLevel="0" collapsed="false">
      <c r="A390" s="6" t="s">
        <v>72</v>
      </c>
      <c r="B390" s="6" t="s">
        <v>391</v>
      </c>
      <c r="C390" s="6" t="n">
        <v>25</v>
      </c>
      <c r="D390" s="25" t="n">
        <f aca="false">EDATE('Start Here'!$B$6,C390-1)</f>
        <v>47058</v>
      </c>
      <c r="E390" s="11" t="n">
        <f aca="false">IF(AND(OR(Nonlabor!$D$12="Both",Nonlabor!$D$12='Start Here'!$B$9),IF(Nonlabor!$E$12="Core",1,IF(Nonlabor!$E$12="AI",'Start Here'!$B$7,'Start Here'!$B$8))=1,C390&gt;=IF(Nonlabor!$E$12="Core",Nonlabor!$F$12,MAX(Nonlabor!$F$12,IF(Nonlabor!$E$12="AI",Assumptions!$C$24,Assumptions!$C$25))),C390&lt;=Nonlabor!$G$12,OR(Nonlabor!$H$12="Monthly",AND(Nonlabor!$H$12="Once",C390=IF(Nonlabor!$E$12="Core",Nonlabor!$F$12,MAX(Nonlabor!$F$12,IF(Nonlabor!$E$12="AI",Assumptions!$C$24,Assumptions!$C$25)))),AND(Nonlabor!$H$12="Annual",MOD(C390-IF(Nonlabor!$E$12="Core",Nonlabor!$F$12,MAX(Nonlabor!$F$12,IF(Nonlabor!$E$12="AI",Assumptions!$C$24,Assumptions!$C$25))),12)=0))),IF(Nonlabor!$I$12="Fixed",1,IF(Nonlabor!$I$12="Seats",ROUNDUP('Monthly Lean'!I30,0),IF(Nonlabor!$I$12="Customers",'Monthly Lean'!D30,IF(Nonlabor!$I$12="NewCustomers",'Monthly Lean'!C30,IF(Nonlabor!$I$12="StorageGB",'Monthly Lean'!G30,IF(Nonlabor!$I$12="LogGB",'Monthly Lean'!H30,IF(Nonlabor!$I$12="RequestsM",'Monthly Lean'!F30,IF(Nonlabor!$I$12="InputM",'Monthly Lean'!D30*Assumptions!$C$22/1000000,IF(Nonlabor!$I$12="OutputM",'Monthly Lean'!D30*Assumptions!$C$23/1000000,0))))))))),0)</f>
        <v>0.112215646192686</v>
      </c>
      <c r="F390" s="10" t="n">
        <f aca="false">Nonlabor!$J$12*(1+Assumptions!$C$9)^INT((C390-1)/12)</f>
        <v>31.827</v>
      </c>
      <c r="G390" s="10" t="n">
        <f aca="false">E390*F390</f>
        <v>3.5714873713746</v>
      </c>
      <c r="H390" s="10" t="n">
        <f aca="false">IF(OR(Nonlabor!$L$12="Quote required",Nonlabor!$L$12="Unverified"),G390,0)</f>
        <v>0</v>
      </c>
      <c r="I390" s="10" t="n">
        <f aca="false">IF(Nonlabor!$E$12="Core",0,G390)</f>
        <v>0</v>
      </c>
      <c r="J390" s="23" t="str">
        <f aca="false">Nonlabor!$B$12</f>
        <v>INFRA</v>
      </c>
    </row>
    <row r="391" customFormat="false" ht="15" hidden="false" customHeight="false" outlineLevel="0" collapsed="false">
      <c r="A391" s="6" t="s">
        <v>72</v>
      </c>
      <c r="B391" s="6" t="s">
        <v>391</v>
      </c>
      <c r="C391" s="6" t="n">
        <v>26</v>
      </c>
      <c r="D391" s="25" t="n">
        <f aca="false">EDATE('Start Here'!$B$6,C391-1)</f>
        <v>47088</v>
      </c>
      <c r="E391" s="11" t="n">
        <f aca="false">IF(AND(OR(Nonlabor!$D$12="Both",Nonlabor!$D$12='Start Here'!$B$9),IF(Nonlabor!$E$12="Core",1,IF(Nonlabor!$E$12="AI",'Start Here'!$B$7,'Start Here'!$B$8))=1,C391&gt;=IF(Nonlabor!$E$12="Core",Nonlabor!$F$12,MAX(Nonlabor!$F$12,IF(Nonlabor!$E$12="AI",Assumptions!$C$24,Assumptions!$C$25))),C391&lt;=Nonlabor!$G$12,OR(Nonlabor!$H$12="Monthly",AND(Nonlabor!$H$12="Once",C391=IF(Nonlabor!$E$12="Core",Nonlabor!$F$12,MAX(Nonlabor!$F$12,IF(Nonlabor!$E$12="AI",Assumptions!$C$24,Assumptions!$C$25)))),AND(Nonlabor!$H$12="Annual",MOD(C391-IF(Nonlabor!$E$12="Core",Nonlabor!$F$12,MAX(Nonlabor!$F$12,IF(Nonlabor!$E$12="AI",Assumptions!$C$24,Assumptions!$C$25))),12)=0))),IF(Nonlabor!$I$12="Fixed",1,IF(Nonlabor!$I$12="Seats",ROUNDUP('Monthly Lean'!I31,0),IF(Nonlabor!$I$12="Customers",'Monthly Lean'!D31,IF(Nonlabor!$I$12="NewCustomers",'Monthly Lean'!C31,IF(Nonlabor!$I$12="StorageGB",'Monthly Lean'!G31,IF(Nonlabor!$I$12="LogGB",'Monthly Lean'!H31,IF(Nonlabor!$I$12="RequestsM",'Monthly Lean'!F31,IF(Nonlabor!$I$12="InputM",'Monthly Lean'!D31*Assumptions!$C$22/1000000,IF(Nonlabor!$I$12="OutputM",'Monthly Lean'!D31*Assumptions!$C$23/1000000,0))))))))),0)</f>
        <v>0.122532411499795</v>
      </c>
      <c r="F391" s="10" t="n">
        <f aca="false">Nonlabor!$J$12*(1+Assumptions!$C$9)^INT((C391-1)/12)</f>
        <v>31.827</v>
      </c>
      <c r="G391" s="10" t="n">
        <f aca="false">E391*F391</f>
        <v>3.89983906080398</v>
      </c>
      <c r="H391" s="10" t="n">
        <f aca="false">IF(OR(Nonlabor!$L$12="Quote required",Nonlabor!$L$12="Unverified"),G391,0)</f>
        <v>0</v>
      </c>
      <c r="I391" s="10" t="n">
        <f aca="false">IF(Nonlabor!$E$12="Core",0,G391)</f>
        <v>0</v>
      </c>
      <c r="J391" s="23" t="str">
        <f aca="false">Nonlabor!$B$12</f>
        <v>INFRA</v>
      </c>
    </row>
    <row r="392" customFormat="false" ht="15" hidden="false" customHeight="false" outlineLevel="0" collapsed="false">
      <c r="A392" s="6" t="s">
        <v>72</v>
      </c>
      <c r="B392" s="6" t="s">
        <v>391</v>
      </c>
      <c r="C392" s="6" t="n">
        <v>27</v>
      </c>
      <c r="D392" s="25" t="n">
        <f aca="false">EDATE('Start Here'!$B$6,C392-1)</f>
        <v>47119</v>
      </c>
      <c r="E392" s="11" t="n">
        <f aca="false">IF(AND(OR(Nonlabor!$D$12="Both",Nonlabor!$D$12='Start Here'!$B$9),IF(Nonlabor!$E$12="Core",1,IF(Nonlabor!$E$12="AI",'Start Here'!$B$7,'Start Here'!$B$8))=1,C392&gt;=IF(Nonlabor!$E$12="Core",Nonlabor!$F$12,MAX(Nonlabor!$F$12,IF(Nonlabor!$E$12="AI",Assumptions!$C$24,Assumptions!$C$25))),C392&lt;=Nonlabor!$G$12,OR(Nonlabor!$H$12="Monthly",AND(Nonlabor!$H$12="Once",C392=IF(Nonlabor!$E$12="Core",Nonlabor!$F$12,MAX(Nonlabor!$F$12,IF(Nonlabor!$E$12="AI",Assumptions!$C$24,Assumptions!$C$25)))),AND(Nonlabor!$H$12="Annual",MOD(C392-IF(Nonlabor!$E$12="Core",Nonlabor!$F$12,MAX(Nonlabor!$F$12,IF(Nonlabor!$E$12="AI",Assumptions!$C$24,Assumptions!$C$25))),12)=0))),IF(Nonlabor!$I$12="Fixed",1,IF(Nonlabor!$I$12="Seats",ROUNDUP('Monthly Lean'!I32,0),IF(Nonlabor!$I$12="Customers",'Monthly Lean'!D32,IF(Nonlabor!$I$12="NewCustomers",'Monthly Lean'!C32,IF(Nonlabor!$I$12="StorageGB",'Monthly Lean'!G32,IF(Nonlabor!$I$12="LogGB",'Monthly Lean'!H32,IF(Nonlabor!$I$12="RequestsM",'Monthly Lean'!F32,IF(Nonlabor!$I$12="InputM",'Monthly Lean'!D32*Assumptions!$C$22/1000000,IF(Nonlabor!$I$12="OutputM",'Monthly Lean'!D32*Assumptions!$C$23/1000000,0))))))))),0)</f>
        <v>0.132694425327298</v>
      </c>
      <c r="F392" s="10" t="n">
        <f aca="false">Nonlabor!$J$12*(1+Assumptions!$C$9)^INT((C392-1)/12)</f>
        <v>31.827</v>
      </c>
      <c r="G392" s="10" t="n">
        <f aca="false">E392*F392</f>
        <v>4.22326547489192</v>
      </c>
      <c r="H392" s="10" t="n">
        <f aca="false">IF(OR(Nonlabor!$L$12="Quote required",Nonlabor!$L$12="Unverified"),G392,0)</f>
        <v>0</v>
      </c>
      <c r="I392" s="10" t="n">
        <f aca="false">IF(Nonlabor!$E$12="Core",0,G392)</f>
        <v>0</v>
      </c>
      <c r="J392" s="23" t="str">
        <f aca="false">Nonlabor!$B$12</f>
        <v>INFRA</v>
      </c>
    </row>
    <row r="393" customFormat="false" ht="15" hidden="false" customHeight="false" outlineLevel="0" collapsed="false">
      <c r="A393" s="6" t="s">
        <v>72</v>
      </c>
      <c r="B393" s="6" t="s">
        <v>391</v>
      </c>
      <c r="C393" s="6" t="n">
        <v>28</v>
      </c>
      <c r="D393" s="25" t="n">
        <f aca="false">EDATE('Start Here'!$B$6,C393-1)</f>
        <v>47150</v>
      </c>
      <c r="E393" s="11" t="n">
        <f aca="false">IF(AND(OR(Nonlabor!$D$12="Both",Nonlabor!$D$12='Start Here'!$B$9),IF(Nonlabor!$E$12="Core",1,IF(Nonlabor!$E$12="AI",'Start Here'!$B$7,'Start Here'!$B$8))=1,C393&gt;=IF(Nonlabor!$E$12="Core",Nonlabor!$F$12,MAX(Nonlabor!$F$12,IF(Nonlabor!$E$12="AI",Assumptions!$C$24,Assumptions!$C$25))),C393&lt;=Nonlabor!$G$12,OR(Nonlabor!$H$12="Monthly",AND(Nonlabor!$H$12="Once",C393=IF(Nonlabor!$E$12="Core",Nonlabor!$F$12,MAX(Nonlabor!$F$12,IF(Nonlabor!$E$12="AI",Assumptions!$C$24,Assumptions!$C$25)))),AND(Nonlabor!$H$12="Annual",MOD(C393-IF(Nonlabor!$E$12="Core",Nonlabor!$F$12,MAX(Nonlabor!$F$12,IF(Nonlabor!$E$12="AI",Assumptions!$C$24,Assumptions!$C$25))),12)=0))),IF(Nonlabor!$I$12="Fixed",1,IF(Nonlabor!$I$12="Seats",ROUNDUP('Monthly Lean'!I33,0),IF(Nonlabor!$I$12="Customers",'Monthly Lean'!D33,IF(Nonlabor!$I$12="NewCustomers",'Monthly Lean'!C33,IF(Nonlabor!$I$12="StorageGB",'Monthly Lean'!G33,IF(Nonlabor!$I$12="LogGB",'Monthly Lean'!H33,IF(Nonlabor!$I$12="RequestsM",'Monthly Lean'!F33,IF(Nonlabor!$I$12="InputM",'Monthly Lean'!D33*Assumptions!$C$22/1000000,IF(Nonlabor!$I$12="OutputM",'Monthly Lean'!D33*Assumptions!$C$23/1000000,0))))))))),0)</f>
        <v>0.145704008947389</v>
      </c>
      <c r="F393" s="10" t="n">
        <f aca="false">Nonlabor!$J$12*(1+Assumptions!$C$9)^INT((C393-1)/12)</f>
        <v>31.827</v>
      </c>
      <c r="G393" s="10" t="n">
        <f aca="false">E393*F393</f>
        <v>4.63732149276854</v>
      </c>
      <c r="H393" s="10" t="n">
        <f aca="false">IF(OR(Nonlabor!$L$12="Quote required",Nonlabor!$L$12="Unverified"),G393,0)</f>
        <v>0</v>
      </c>
      <c r="I393" s="10" t="n">
        <f aca="false">IF(Nonlabor!$E$12="Core",0,G393)</f>
        <v>0</v>
      </c>
      <c r="J393" s="23" t="str">
        <f aca="false">Nonlabor!$B$12</f>
        <v>INFRA</v>
      </c>
    </row>
    <row r="394" customFormat="false" ht="15" hidden="false" customHeight="false" outlineLevel="0" collapsed="false">
      <c r="A394" s="6" t="s">
        <v>72</v>
      </c>
      <c r="B394" s="6" t="s">
        <v>391</v>
      </c>
      <c r="C394" s="6" t="n">
        <v>29</v>
      </c>
      <c r="D394" s="25" t="n">
        <f aca="false">EDATE('Start Here'!$B$6,C394-1)</f>
        <v>47178</v>
      </c>
      <c r="E394" s="11" t="n">
        <f aca="false">IF(AND(OR(Nonlabor!$D$12="Both",Nonlabor!$D$12='Start Here'!$B$9),IF(Nonlabor!$E$12="Core",1,IF(Nonlabor!$E$12="AI",'Start Here'!$B$7,'Start Here'!$B$8))=1,C394&gt;=IF(Nonlabor!$E$12="Core",Nonlabor!$F$12,MAX(Nonlabor!$F$12,IF(Nonlabor!$E$12="AI",Assumptions!$C$24,Assumptions!$C$25))),C394&lt;=Nonlabor!$G$12,OR(Nonlabor!$H$12="Monthly",AND(Nonlabor!$H$12="Once",C394=IF(Nonlabor!$E$12="Core",Nonlabor!$F$12,MAX(Nonlabor!$F$12,IF(Nonlabor!$E$12="AI",Assumptions!$C$24,Assumptions!$C$25)))),AND(Nonlabor!$H$12="Annual",MOD(C394-IF(Nonlabor!$E$12="Core",Nonlabor!$F$12,MAX(Nonlabor!$F$12,IF(Nonlabor!$E$12="AI",Assumptions!$C$24,Assumptions!$C$25))),12)=0))),IF(Nonlabor!$I$12="Fixed",1,IF(Nonlabor!$I$12="Seats",ROUNDUP('Monthly Lean'!I34,0),IF(Nonlabor!$I$12="Customers",'Monthly Lean'!D34,IF(Nonlabor!$I$12="NewCustomers",'Monthly Lean'!C34,IF(Nonlabor!$I$12="StorageGB",'Monthly Lean'!G34,IF(Nonlabor!$I$12="LogGB",'Monthly Lean'!H34,IF(Nonlabor!$I$12="RequestsM",'Monthly Lean'!F34,IF(Nonlabor!$I$12="InputM",'Monthly Lean'!D34*Assumptions!$C$22/1000000,IF(Nonlabor!$I$12="OutputM",'Monthly Lean'!D34*Assumptions!$C$23/1000000,0))))))))),0)</f>
        <v>0.158518448813178</v>
      </c>
      <c r="F394" s="10" t="n">
        <f aca="false">Nonlabor!$J$12*(1+Assumptions!$C$9)^INT((C394-1)/12)</f>
        <v>31.827</v>
      </c>
      <c r="G394" s="10" t="n">
        <f aca="false">E394*F394</f>
        <v>5.04516667037702</v>
      </c>
      <c r="H394" s="10" t="n">
        <f aca="false">IF(OR(Nonlabor!$L$12="Quote required",Nonlabor!$L$12="Unverified"),G394,0)</f>
        <v>0</v>
      </c>
      <c r="I394" s="10" t="n">
        <f aca="false">IF(Nonlabor!$E$12="Core",0,G394)</f>
        <v>0</v>
      </c>
      <c r="J394" s="23" t="str">
        <f aca="false">Nonlabor!$B$12</f>
        <v>INFRA</v>
      </c>
    </row>
    <row r="395" customFormat="false" ht="15" hidden="false" customHeight="false" outlineLevel="0" collapsed="false">
      <c r="A395" s="6" t="s">
        <v>72</v>
      </c>
      <c r="B395" s="6" t="s">
        <v>391</v>
      </c>
      <c r="C395" s="6" t="n">
        <v>30</v>
      </c>
      <c r="D395" s="25" t="n">
        <f aca="false">EDATE('Start Here'!$B$6,C395-1)</f>
        <v>47209</v>
      </c>
      <c r="E395" s="11" t="n">
        <f aca="false">IF(AND(OR(Nonlabor!$D$12="Both",Nonlabor!$D$12='Start Here'!$B$9),IF(Nonlabor!$E$12="Core",1,IF(Nonlabor!$E$12="AI",'Start Here'!$B$7,'Start Here'!$B$8))=1,C395&gt;=IF(Nonlabor!$E$12="Core",Nonlabor!$F$12,MAX(Nonlabor!$F$12,IF(Nonlabor!$E$12="AI",Assumptions!$C$24,Assumptions!$C$25))),C395&lt;=Nonlabor!$G$12,OR(Nonlabor!$H$12="Monthly",AND(Nonlabor!$H$12="Once",C395=IF(Nonlabor!$E$12="Core",Nonlabor!$F$12,MAX(Nonlabor!$F$12,IF(Nonlabor!$E$12="AI",Assumptions!$C$24,Assumptions!$C$25)))),AND(Nonlabor!$H$12="Annual",MOD(C395-IF(Nonlabor!$E$12="Core",Nonlabor!$F$12,MAX(Nonlabor!$F$12,IF(Nonlabor!$E$12="AI",Assumptions!$C$24,Assumptions!$C$25))),12)=0))),IF(Nonlabor!$I$12="Fixed",1,IF(Nonlabor!$I$12="Seats",ROUNDUP('Monthly Lean'!I35,0),IF(Nonlabor!$I$12="Customers",'Monthly Lean'!D35,IF(Nonlabor!$I$12="NewCustomers",'Monthly Lean'!C35,IF(Nonlabor!$I$12="StorageGB",'Monthly Lean'!G35,IF(Nonlabor!$I$12="LogGB",'Monthly Lean'!H35,IF(Nonlabor!$I$12="RequestsM",'Monthly Lean'!F35,IF(Nonlabor!$I$12="InputM",'Monthly Lean'!D35*Assumptions!$C$22/1000000,IF(Nonlabor!$I$12="OutputM",'Monthly Lean'!D35*Assumptions!$C$23/1000000,0))))))))),0)</f>
        <v>0.17114067208098</v>
      </c>
      <c r="F395" s="10" t="n">
        <f aca="false">Nonlabor!$J$12*(1+Assumptions!$C$9)^INT((C395-1)/12)</f>
        <v>31.827</v>
      </c>
      <c r="G395" s="10" t="n">
        <f aca="false">E395*F395</f>
        <v>5.44689417032136</v>
      </c>
      <c r="H395" s="10" t="n">
        <f aca="false">IF(OR(Nonlabor!$L$12="Quote required",Nonlabor!$L$12="Unverified"),G395,0)</f>
        <v>0</v>
      </c>
      <c r="I395" s="10" t="n">
        <f aca="false">IF(Nonlabor!$E$12="Core",0,G395)</f>
        <v>0</v>
      </c>
      <c r="J395" s="23" t="str">
        <f aca="false">Nonlabor!$B$12</f>
        <v>INFRA</v>
      </c>
    </row>
    <row r="396" customFormat="false" ht="15" hidden="false" customHeight="false" outlineLevel="0" collapsed="false">
      <c r="A396" s="6" t="s">
        <v>72</v>
      </c>
      <c r="B396" s="6" t="s">
        <v>391</v>
      </c>
      <c r="C396" s="6" t="n">
        <v>31</v>
      </c>
      <c r="D396" s="25" t="n">
        <f aca="false">EDATE('Start Here'!$B$6,C396-1)</f>
        <v>47239</v>
      </c>
      <c r="E396" s="11" t="n">
        <f aca="false">IF(AND(OR(Nonlabor!$D$12="Both",Nonlabor!$D$12='Start Here'!$B$9),IF(Nonlabor!$E$12="Core",1,IF(Nonlabor!$E$12="AI",'Start Here'!$B$7,'Start Here'!$B$8))=1,C396&gt;=IF(Nonlabor!$E$12="Core",Nonlabor!$F$12,MAX(Nonlabor!$F$12,IF(Nonlabor!$E$12="AI",Assumptions!$C$24,Assumptions!$C$25))),C396&lt;=Nonlabor!$G$12,OR(Nonlabor!$H$12="Monthly",AND(Nonlabor!$H$12="Once",C396=IF(Nonlabor!$E$12="Core",Nonlabor!$F$12,MAX(Nonlabor!$F$12,IF(Nonlabor!$E$12="AI",Assumptions!$C$24,Assumptions!$C$25)))),AND(Nonlabor!$H$12="Annual",MOD(C396-IF(Nonlabor!$E$12="Core",Nonlabor!$F$12,MAX(Nonlabor!$F$12,IF(Nonlabor!$E$12="AI",Assumptions!$C$24,Assumptions!$C$25))),12)=0))),IF(Nonlabor!$I$12="Fixed",1,IF(Nonlabor!$I$12="Seats",ROUNDUP('Monthly Lean'!I36,0),IF(Nonlabor!$I$12="Customers",'Monthly Lean'!D36,IF(Nonlabor!$I$12="NewCustomers",'Monthly Lean'!C36,IF(Nonlabor!$I$12="StorageGB",'Monthly Lean'!G36,IF(Nonlabor!$I$12="LogGB",'Monthly Lean'!H36,IF(Nonlabor!$I$12="RequestsM",'Monthly Lean'!F36,IF(Nonlabor!$I$12="InputM",'Monthly Lean'!D36*Assumptions!$C$22/1000000,IF(Nonlabor!$I$12="OutputM",'Monthly Lean'!D36*Assumptions!$C$23/1000000,0))))))))),0)</f>
        <v>0.183573561999766</v>
      </c>
      <c r="F396" s="10" t="n">
        <f aca="false">Nonlabor!$J$12*(1+Assumptions!$C$9)^INT((C396-1)/12)</f>
        <v>31.827</v>
      </c>
      <c r="G396" s="10" t="n">
        <f aca="false">E396*F396</f>
        <v>5.84259575776654</v>
      </c>
      <c r="H396" s="10" t="n">
        <f aca="false">IF(OR(Nonlabor!$L$12="Quote required",Nonlabor!$L$12="Unverified"),G396,0)</f>
        <v>0</v>
      </c>
      <c r="I396" s="10" t="n">
        <f aca="false">IF(Nonlabor!$E$12="Core",0,G396)</f>
        <v>0</v>
      </c>
      <c r="J396" s="23" t="str">
        <f aca="false">Nonlabor!$B$12</f>
        <v>INFRA</v>
      </c>
    </row>
    <row r="397" customFormat="false" ht="15" hidden="false" customHeight="false" outlineLevel="0" collapsed="false">
      <c r="A397" s="6" t="s">
        <v>72</v>
      </c>
      <c r="B397" s="6" t="s">
        <v>391</v>
      </c>
      <c r="C397" s="6" t="n">
        <v>32</v>
      </c>
      <c r="D397" s="25" t="n">
        <f aca="false">EDATE('Start Here'!$B$6,C397-1)</f>
        <v>47270</v>
      </c>
      <c r="E397" s="11" t="n">
        <f aca="false">IF(AND(OR(Nonlabor!$D$12="Both",Nonlabor!$D$12='Start Here'!$B$9),IF(Nonlabor!$E$12="Core",1,IF(Nonlabor!$E$12="AI",'Start Here'!$B$7,'Start Here'!$B$8))=1,C397&gt;=IF(Nonlabor!$E$12="Core",Nonlabor!$F$12,MAX(Nonlabor!$F$12,IF(Nonlabor!$E$12="AI",Assumptions!$C$24,Assumptions!$C$25))),C397&lt;=Nonlabor!$G$12,OR(Nonlabor!$H$12="Monthly",AND(Nonlabor!$H$12="Once",C397=IF(Nonlabor!$E$12="Core",Nonlabor!$F$12,MAX(Nonlabor!$F$12,IF(Nonlabor!$E$12="AI",Assumptions!$C$24,Assumptions!$C$25)))),AND(Nonlabor!$H$12="Annual",MOD(C397-IF(Nonlabor!$E$12="Core",Nonlabor!$F$12,MAX(Nonlabor!$F$12,IF(Nonlabor!$E$12="AI",Assumptions!$C$24,Assumptions!$C$25))),12)=0))),IF(Nonlabor!$I$12="Fixed",1,IF(Nonlabor!$I$12="Seats",ROUNDUP('Monthly Lean'!I37,0),IF(Nonlabor!$I$12="Customers",'Monthly Lean'!D37,IF(Nonlabor!$I$12="NewCustomers",'Monthly Lean'!C37,IF(Nonlabor!$I$12="StorageGB",'Monthly Lean'!G37,IF(Nonlabor!$I$12="LogGB",'Monthly Lean'!H37,IF(Nonlabor!$I$12="RequestsM",'Monthly Lean'!F37,IF(Nonlabor!$I$12="InputM",'Monthly Lean'!D37*Assumptions!$C$22/1000000,IF(Nonlabor!$I$12="OutputM",'Monthly Lean'!D37*Assumptions!$C$23/1000000,0))))))))),0)</f>
        <v>0.195819958569769</v>
      </c>
      <c r="F397" s="10" t="n">
        <f aca="false">Nonlabor!$J$12*(1+Assumptions!$C$9)^INT((C397-1)/12)</f>
        <v>31.827</v>
      </c>
      <c r="G397" s="10" t="n">
        <f aca="false">E397*F397</f>
        <v>6.23236182140004</v>
      </c>
      <c r="H397" s="10" t="n">
        <f aca="false">IF(OR(Nonlabor!$L$12="Quote required",Nonlabor!$L$12="Unverified"),G397,0)</f>
        <v>0</v>
      </c>
      <c r="I397" s="10" t="n">
        <f aca="false">IF(Nonlabor!$E$12="Core",0,G397)</f>
        <v>0</v>
      </c>
      <c r="J397" s="23" t="str">
        <f aca="false">Nonlabor!$B$12</f>
        <v>INFRA</v>
      </c>
    </row>
    <row r="398" customFormat="false" ht="15" hidden="false" customHeight="false" outlineLevel="0" collapsed="false">
      <c r="A398" s="6" t="s">
        <v>72</v>
      </c>
      <c r="B398" s="6" t="s">
        <v>391</v>
      </c>
      <c r="C398" s="6" t="n">
        <v>33</v>
      </c>
      <c r="D398" s="25" t="n">
        <f aca="false">EDATE('Start Here'!$B$6,C398-1)</f>
        <v>47300</v>
      </c>
      <c r="E398" s="11" t="n">
        <f aca="false">IF(AND(OR(Nonlabor!$D$12="Both",Nonlabor!$D$12='Start Here'!$B$9),IF(Nonlabor!$E$12="Core",1,IF(Nonlabor!$E$12="AI",'Start Here'!$B$7,'Start Here'!$B$8))=1,C398&gt;=IF(Nonlabor!$E$12="Core",Nonlabor!$F$12,MAX(Nonlabor!$F$12,IF(Nonlabor!$E$12="AI",Assumptions!$C$24,Assumptions!$C$25))),C398&lt;=Nonlabor!$G$12,OR(Nonlabor!$H$12="Monthly",AND(Nonlabor!$H$12="Once",C398=IF(Nonlabor!$E$12="Core",Nonlabor!$F$12,MAX(Nonlabor!$F$12,IF(Nonlabor!$E$12="AI",Assumptions!$C$24,Assumptions!$C$25)))),AND(Nonlabor!$H$12="Annual",MOD(C398-IF(Nonlabor!$E$12="Core",Nonlabor!$F$12,MAX(Nonlabor!$F$12,IF(Nonlabor!$E$12="AI",Assumptions!$C$24,Assumptions!$C$25))),12)=0))),IF(Nonlabor!$I$12="Fixed",1,IF(Nonlabor!$I$12="Seats",ROUNDUP('Monthly Lean'!I38,0),IF(Nonlabor!$I$12="Customers",'Monthly Lean'!D38,IF(Nonlabor!$I$12="NewCustomers",'Monthly Lean'!C38,IF(Nonlabor!$I$12="StorageGB",'Monthly Lean'!G38,IF(Nonlabor!$I$12="LogGB",'Monthly Lean'!H38,IF(Nonlabor!$I$12="RequestsM",'Monthly Lean'!F38,IF(Nonlabor!$I$12="InputM",'Monthly Lean'!D38*Assumptions!$C$22/1000000,IF(Nonlabor!$I$12="OutputM",'Monthly Lean'!D38*Assumptions!$C$23/1000000,0))))))))),0)</f>
        <v>0.207882659191223</v>
      </c>
      <c r="F398" s="10" t="n">
        <f aca="false">Nonlabor!$J$12*(1+Assumptions!$C$9)^INT((C398-1)/12)</f>
        <v>31.827</v>
      </c>
      <c r="G398" s="10" t="n">
        <f aca="false">E398*F398</f>
        <v>6.61628139407904</v>
      </c>
      <c r="H398" s="10" t="n">
        <f aca="false">IF(OR(Nonlabor!$L$12="Quote required",Nonlabor!$L$12="Unverified"),G398,0)</f>
        <v>0</v>
      </c>
      <c r="I398" s="10" t="n">
        <f aca="false">IF(Nonlabor!$E$12="Core",0,G398)</f>
        <v>0</v>
      </c>
      <c r="J398" s="23" t="str">
        <f aca="false">Nonlabor!$B$12</f>
        <v>INFRA</v>
      </c>
    </row>
    <row r="399" customFormat="false" ht="15" hidden="false" customHeight="false" outlineLevel="0" collapsed="false">
      <c r="A399" s="6" t="s">
        <v>72</v>
      </c>
      <c r="B399" s="6" t="s">
        <v>391</v>
      </c>
      <c r="C399" s="6" t="n">
        <v>34</v>
      </c>
      <c r="D399" s="25" t="n">
        <f aca="false">EDATE('Start Here'!$B$6,C399-1)</f>
        <v>47331</v>
      </c>
      <c r="E399" s="11" t="n">
        <f aca="false">IF(AND(OR(Nonlabor!$D$12="Both",Nonlabor!$D$12='Start Here'!$B$9),IF(Nonlabor!$E$12="Core",1,IF(Nonlabor!$E$12="AI",'Start Here'!$B$7,'Start Here'!$B$8))=1,C399&gt;=IF(Nonlabor!$E$12="Core",Nonlabor!$F$12,MAX(Nonlabor!$F$12,IF(Nonlabor!$E$12="AI",Assumptions!$C$24,Assumptions!$C$25))),C399&lt;=Nonlabor!$G$12,OR(Nonlabor!$H$12="Monthly",AND(Nonlabor!$H$12="Once",C399=IF(Nonlabor!$E$12="Core",Nonlabor!$F$12,MAX(Nonlabor!$F$12,IF(Nonlabor!$E$12="AI",Assumptions!$C$24,Assumptions!$C$25)))),AND(Nonlabor!$H$12="Annual",MOD(C399-IF(Nonlabor!$E$12="Core",Nonlabor!$F$12,MAX(Nonlabor!$F$12,IF(Nonlabor!$E$12="AI",Assumptions!$C$24,Assumptions!$C$25))),12)=0))),IF(Nonlabor!$I$12="Fixed",1,IF(Nonlabor!$I$12="Seats",ROUNDUP('Monthly Lean'!I39,0),IF(Nonlabor!$I$12="Customers",'Monthly Lean'!D39,IF(Nonlabor!$I$12="NewCustomers",'Monthly Lean'!C39,IF(Nonlabor!$I$12="StorageGB",'Monthly Lean'!G39,IF(Nonlabor!$I$12="LogGB",'Monthly Lean'!H39,IF(Nonlabor!$I$12="RequestsM",'Monthly Lean'!F39,IF(Nonlabor!$I$12="InputM",'Monthly Lean'!D39*Assumptions!$C$22/1000000,IF(Nonlabor!$I$12="OutputM",'Monthly Lean'!D39*Assumptions!$C$23/1000000,0))))))))),0)</f>
        <v>0.219764419303354</v>
      </c>
      <c r="F399" s="10" t="n">
        <f aca="false">Nonlabor!$J$12*(1+Assumptions!$C$9)^INT((C399-1)/12)</f>
        <v>31.827</v>
      </c>
      <c r="G399" s="10" t="n">
        <f aca="false">E399*F399</f>
        <v>6.99444217316785</v>
      </c>
      <c r="H399" s="10" t="n">
        <f aca="false">IF(OR(Nonlabor!$L$12="Quote required",Nonlabor!$L$12="Unverified"),G399,0)</f>
        <v>0</v>
      </c>
      <c r="I399" s="10" t="n">
        <f aca="false">IF(Nonlabor!$E$12="Core",0,G399)</f>
        <v>0</v>
      </c>
      <c r="J399" s="23" t="str">
        <f aca="false">Nonlabor!$B$12</f>
        <v>INFRA</v>
      </c>
    </row>
    <row r="400" customFormat="false" ht="15" hidden="false" customHeight="false" outlineLevel="0" collapsed="false">
      <c r="A400" s="6" t="s">
        <v>72</v>
      </c>
      <c r="B400" s="6" t="s">
        <v>391</v>
      </c>
      <c r="C400" s="6" t="n">
        <v>35</v>
      </c>
      <c r="D400" s="25" t="n">
        <f aca="false">EDATE('Start Here'!$B$6,C400-1)</f>
        <v>47362</v>
      </c>
      <c r="E400" s="11" t="n">
        <f aca="false">IF(AND(OR(Nonlabor!$D$12="Both",Nonlabor!$D$12='Start Here'!$B$9),IF(Nonlabor!$E$12="Core",1,IF(Nonlabor!$E$12="AI",'Start Here'!$B$7,'Start Here'!$B$8))=1,C400&gt;=IF(Nonlabor!$E$12="Core",Nonlabor!$F$12,MAX(Nonlabor!$F$12,IF(Nonlabor!$E$12="AI",Assumptions!$C$24,Assumptions!$C$25))),C400&lt;=Nonlabor!$G$12,OR(Nonlabor!$H$12="Monthly",AND(Nonlabor!$H$12="Once",C400=IF(Nonlabor!$E$12="Core",Nonlabor!$F$12,MAX(Nonlabor!$F$12,IF(Nonlabor!$E$12="AI",Assumptions!$C$24,Assumptions!$C$25)))),AND(Nonlabor!$H$12="Annual",MOD(C400-IF(Nonlabor!$E$12="Core",Nonlabor!$F$12,MAX(Nonlabor!$F$12,IF(Nonlabor!$E$12="AI",Assumptions!$C$24,Assumptions!$C$25))),12)=0))),IF(Nonlabor!$I$12="Fixed",1,IF(Nonlabor!$I$12="Seats",ROUNDUP('Monthly Lean'!I40,0),IF(Nonlabor!$I$12="Customers",'Monthly Lean'!D40,IF(Nonlabor!$I$12="NewCustomers",'Monthly Lean'!C40,IF(Nonlabor!$I$12="StorageGB",'Monthly Lean'!G40,IF(Nonlabor!$I$12="LogGB",'Monthly Lean'!H40,IF(Nonlabor!$I$12="RequestsM",'Monthly Lean'!F40,IF(Nonlabor!$I$12="InputM",'Monthly Lean'!D40*Assumptions!$C$22/1000000,IF(Nonlabor!$I$12="OutputM",'Monthly Lean'!D40*Assumptions!$C$23/1000000,0))))))))),0)</f>
        <v>0.231467953013804</v>
      </c>
      <c r="F400" s="10" t="n">
        <f aca="false">Nonlabor!$J$12*(1+Assumptions!$C$9)^INT((C400-1)/12)</f>
        <v>31.827</v>
      </c>
      <c r="G400" s="10" t="n">
        <f aca="false">E400*F400</f>
        <v>7.36693054057034</v>
      </c>
      <c r="H400" s="10" t="n">
        <f aca="false">IF(OR(Nonlabor!$L$12="Quote required",Nonlabor!$L$12="Unverified"),G400,0)</f>
        <v>0</v>
      </c>
      <c r="I400" s="10" t="n">
        <f aca="false">IF(Nonlabor!$E$12="Core",0,G400)</f>
        <v>0</v>
      </c>
      <c r="J400" s="23" t="str">
        <f aca="false">Nonlabor!$B$12</f>
        <v>INFRA</v>
      </c>
    </row>
    <row r="401" customFormat="false" ht="15" hidden="false" customHeight="false" outlineLevel="0" collapsed="false">
      <c r="A401" s="6" t="s">
        <v>72</v>
      </c>
      <c r="B401" s="6" t="s">
        <v>391</v>
      </c>
      <c r="C401" s="6" t="n">
        <v>36</v>
      </c>
      <c r="D401" s="25" t="n">
        <f aca="false">EDATE('Start Here'!$B$6,C401-1)</f>
        <v>47392</v>
      </c>
      <c r="E401" s="11" t="n">
        <f aca="false">IF(AND(OR(Nonlabor!$D$12="Both",Nonlabor!$D$12='Start Here'!$B$9),IF(Nonlabor!$E$12="Core",1,IF(Nonlabor!$E$12="AI",'Start Here'!$B$7,'Start Here'!$B$8))=1,C401&gt;=IF(Nonlabor!$E$12="Core",Nonlabor!$F$12,MAX(Nonlabor!$F$12,IF(Nonlabor!$E$12="AI",Assumptions!$C$24,Assumptions!$C$25))),C401&lt;=Nonlabor!$G$12,OR(Nonlabor!$H$12="Monthly",AND(Nonlabor!$H$12="Once",C401=IF(Nonlabor!$E$12="Core",Nonlabor!$F$12,MAX(Nonlabor!$F$12,IF(Nonlabor!$E$12="AI",Assumptions!$C$24,Assumptions!$C$25)))),AND(Nonlabor!$H$12="Annual",MOD(C401-IF(Nonlabor!$E$12="Core",Nonlabor!$F$12,MAX(Nonlabor!$F$12,IF(Nonlabor!$E$12="AI",Assumptions!$C$24,Assumptions!$C$25))),12)=0))),IF(Nonlabor!$I$12="Fixed",1,IF(Nonlabor!$I$12="Seats",ROUNDUP('Monthly Lean'!I41,0),IF(Nonlabor!$I$12="Customers",'Monthly Lean'!D41,IF(Nonlabor!$I$12="NewCustomers",'Monthly Lean'!C41,IF(Nonlabor!$I$12="StorageGB",'Monthly Lean'!G41,IF(Nonlabor!$I$12="LogGB",'Monthly Lean'!H41,IF(Nonlabor!$I$12="RequestsM",'Monthly Lean'!F41,IF(Nonlabor!$I$12="InputM",'Monthly Lean'!D41*Assumptions!$C$22/1000000,IF(Nonlabor!$I$12="OutputM",'Monthly Lean'!D41*Assumptions!$C$23/1000000,0))))))))),0)</f>
        <v>0.242995933718597</v>
      </c>
      <c r="F401" s="10" t="n">
        <f aca="false">Nonlabor!$J$12*(1+Assumptions!$C$9)^INT((C401-1)/12)</f>
        <v>31.827</v>
      </c>
      <c r="G401" s="10" t="n">
        <f aca="false">E401*F401</f>
        <v>7.73383158246178</v>
      </c>
      <c r="H401" s="10" t="n">
        <f aca="false">IF(OR(Nonlabor!$L$12="Quote required",Nonlabor!$L$12="Unverified"),G401,0)</f>
        <v>0</v>
      </c>
      <c r="I401" s="10" t="n">
        <f aca="false">IF(Nonlabor!$E$12="Core",0,G401)</f>
        <v>0</v>
      </c>
      <c r="J401" s="23" t="str">
        <f aca="false">Nonlabor!$B$12</f>
        <v>INFRA</v>
      </c>
    </row>
    <row r="402" customFormat="false" ht="15" hidden="false" customHeight="false" outlineLevel="0" collapsed="false">
      <c r="A402" s="6" t="s">
        <v>72</v>
      </c>
      <c r="B402" s="6" t="s">
        <v>391</v>
      </c>
      <c r="C402" s="6" t="n">
        <v>37</v>
      </c>
      <c r="D402" s="25" t="n">
        <f aca="false">EDATE('Start Here'!$B$6,C402-1)</f>
        <v>47423</v>
      </c>
      <c r="E402" s="11" t="n">
        <f aca="false">IF(AND(OR(Nonlabor!$D$12="Both",Nonlabor!$D$12='Start Here'!$B$9),IF(Nonlabor!$E$12="Core",1,IF(Nonlabor!$E$12="AI",'Start Here'!$B$7,'Start Here'!$B$8))=1,C402&gt;=IF(Nonlabor!$E$12="Core",Nonlabor!$F$12,MAX(Nonlabor!$F$12,IF(Nonlabor!$E$12="AI",Assumptions!$C$24,Assumptions!$C$25))),C402&lt;=Nonlabor!$G$12,OR(Nonlabor!$H$12="Monthly",AND(Nonlabor!$H$12="Once",C402=IF(Nonlabor!$E$12="Core",Nonlabor!$F$12,MAX(Nonlabor!$F$12,IF(Nonlabor!$E$12="AI",Assumptions!$C$24,Assumptions!$C$25)))),AND(Nonlabor!$H$12="Annual",MOD(C402-IF(Nonlabor!$E$12="Core",Nonlabor!$F$12,MAX(Nonlabor!$F$12,IF(Nonlabor!$E$12="AI",Assumptions!$C$24,Assumptions!$C$25))),12)=0))),IF(Nonlabor!$I$12="Fixed",1,IF(Nonlabor!$I$12="Seats",ROUNDUP('Monthly Lean'!I42,0),IF(Nonlabor!$I$12="Customers",'Monthly Lean'!D42,IF(Nonlabor!$I$12="NewCustomers",'Monthly Lean'!C42,IF(Nonlabor!$I$12="StorageGB",'Monthly Lean'!G42,IF(Nonlabor!$I$12="LogGB",'Monthly Lean'!H42,IF(Nonlabor!$I$12="RequestsM",'Monthly Lean'!F42,IF(Nonlabor!$I$12="InputM",'Monthly Lean'!D42*Assumptions!$C$22/1000000,IF(Nonlabor!$I$12="OutputM",'Monthly Lean'!D42*Assumptions!$C$23/1000000,0))))))))),0)</f>
        <v>0.254350994712818</v>
      </c>
      <c r="F402" s="10" t="n">
        <f aca="false">Nonlabor!$J$12*(1+Assumptions!$C$9)^INT((C402-1)/12)</f>
        <v>32.78181</v>
      </c>
      <c r="G402" s="10" t="n">
        <f aca="false">E402*F402</f>
        <v>8.3380859819866</v>
      </c>
      <c r="H402" s="10" t="n">
        <f aca="false">IF(OR(Nonlabor!$L$12="Quote required",Nonlabor!$L$12="Unverified"),G402,0)</f>
        <v>0</v>
      </c>
      <c r="I402" s="10" t="n">
        <f aca="false">IF(Nonlabor!$E$12="Core",0,G402)</f>
        <v>0</v>
      </c>
      <c r="J402" s="23" t="str">
        <f aca="false">Nonlabor!$B$12</f>
        <v>INFRA</v>
      </c>
    </row>
    <row r="403" customFormat="false" ht="15" hidden="false" customHeight="false" outlineLevel="0" collapsed="false">
      <c r="A403" s="6" t="s">
        <v>72</v>
      </c>
      <c r="B403" s="6" t="s">
        <v>391</v>
      </c>
      <c r="C403" s="6" t="n">
        <v>38</v>
      </c>
      <c r="D403" s="25" t="n">
        <f aca="false">EDATE('Start Here'!$B$6,C403-1)</f>
        <v>47453</v>
      </c>
      <c r="E403" s="11" t="n">
        <f aca="false">IF(AND(OR(Nonlabor!$D$12="Both",Nonlabor!$D$12='Start Here'!$B$9),IF(Nonlabor!$E$12="Core",1,IF(Nonlabor!$E$12="AI",'Start Here'!$B$7,'Start Here'!$B$8))=1,C403&gt;=IF(Nonlabor!$E$12="Core",Nonlabor!$F$12,MAX(Nonlabor!$F$12,IF(Nonlabor!$E$12="AI",Assumptions!$C$24,Assumptions!$C$25))),C403&lt;=Nonlabor!$G$12,OR(Nonlabor!$H$12="Monthly",AND(Nonlabor!$H$12="Once",C403=IF(Nonlabor!$E$12="Core",Nonlabor!$F$12,MAX(Nonlabor!$F$12,IF(Nonlabor!$E$12="AI",Assumptions!$C$24,Assumptions!$C$25)))),AND(Nonlabor!$H$12="Annual",MOD(C403-IF(Nonlabor!$E$12="Core",Nonlabor!$F$12,MAX(Nonlabor!$F$12,IF(Nonlabor!$E$12="AI",Assumptions!$C$24,Assumptions!$C$25))),12)=0))),IF(Nonlabor!$I$12="Fixed",1,IF(Nonlabor!$I$12="Seats",ROUNDUP('Monthly Lean'!I43,0),IF(Nonlabor!$I$12="Customers",'Monthly Lean'!D43,IF(Nonlabor!$I$12="NewCustomers",'Monthly Lean'!C43,IF(Nonlabor!$I$12="StorageGB",'Monthly Lean'!G43,IF(Nonlabor!$I$12="LogGB",'Monthly Lean'!H43,IF(Nonlabor!$I$12="RequestsM",'Monthly Lean'!F43,IF(Nonlabor!$I$12="InputM",'Monthly Lean'!D43*Assumptions!$C$22/1000000,IF(Nonlabor!$I$12="OutputM",'Monthly Lean'!D43*Assumptions!$C$23/1000000,0))))))))),0)</f>
        <v>0.265535729792126</v>
      </c>
      <c r="F403" s="10" t="n">
        <f aca="false">Nonlabor!$J$12*(1+Assumptions!$C$9)^INT((C403-1)/12)</f>
        <v>32.78181</v>
      </c>
      <c r="G403" s="10" t="n">
        <f aca="false">E403*F403</f>
        <v>8.7047418422568</v>
      </c>
      <c r="H403" s="10" t="n">
        <f aca="false">IF(OR(Nonlabor!$L$12="Quote required",Nonlabor!$L$12="Unverified"),G403,0)</f>
        <v>0</v>
      </c>
      <c r="I403" s="10" t="n">
        <f aca="false">IF(Nonlabor!$E$12="Core",0,G403)</f>
        <v>0</v>
      </c>
      <c r="J403" s="23" t="str">
        <f aca="false">Nonlabor!$B$12</f>
        <v>INFRA</v>
      </c>
    </row>
    <row r="404" customFormat="false" ht="15" hidden="false" customHeight="false" outlineLevel="0" collapsed="false">
      <c r="A404" s="6" t="s">
        <v>72</v>
      </c>
      <c r="B404" s="6" t="s">
        <v>391</v>
      </c>
      <c r="C404" s="6" t="n">
        <v>39</v>
      </c>
      <c r="D404" s="25" t="n">
        <f aca="false">EDATE('Start Here'!$B$6,C404-1)</f>
        <v>47484</v>
      </c>
      <c r="E404" s="11" t="n">
        <f aca="false">IF(AND(OR(Nonlabor!$D$12="Both",Nonlabor!$D$12='Start Here'!$B$9),IF(Nonlabor!$E$12="Core",1,IF(Nonlabor!$E$12="AI",'Start Here'!$B$7,'Start Here'!$B$8))=1,C404&gt;=IF(Nonlabor!$E$12="Core",Nonlabor!$F$12,MAX(Nonlabor!$F$12,IF(Nonlabor!$E$12="AI",Assumptions!$C$24,Assumptions!$C$25))),C404&lt;=Nonlabor!$G$12,OR(Nonlabor!$H$12="Monthly",AND(Nonlabor!$H$12="Once",C404=IF(Nonlabor!$E$12="Core",Nonlabor!$F$12,MAX(Nonlabor!$F$12,IF(Nonlabor!$E$12="AI",Assumptions!$C$24,Assumptions!$C$25)))),AND(Nonlabor!$H$12="Annual",MOD(C404-IF(Nonlabor!$E$12="Core",Nonlabor!$F$12,MAX(Nonlabor!$F$12,IF(Nonlabor!$E$12="AI",Assumptions!$C$24,Assumptions!$C$25))),12)=0))),IF(Nonlabor!$I$12="Fixed",1,IF(Nonlabor!$I$12="Seats",ROUNDUP('Monthly Lean'!I44,0),IF(Nonlabor!$I$12="Customers",'Monthly Lean'!D44,IF(Nonlabor!$I$12="NewCustomers",'Monthly Lean'!C44,IF(Nonlabor!$I$12="StorageGB",'Monthly Lean'!G44,IF(Nonlabor!$I$12="LogGB",'Monthly Lean'!H44,IF(Nonlabor!$I$12="RequestsM",'Monthly Lean'!F44,IF(Nonlabor!$I$12="InputM",'Monthly Lean'!D44*Assumptions!$C$22/1000000,IF(Nonlabor!$I$12="OutputM",'Monthly Lean'!D44*Assumptions!$C$23/1000000,0))))))))),0)</f>
        <v>0.276552693845244</v>
      </c>
      <c r="F404" s="10" t="n">
        <f aca="false">Nonlabor!$J$12*(1+Assumptions!$C$9)^INT((C404-1)/12)</f>
        <v>32.78181</v>
      </c>
      <c r="G404" s="10" t="n">
        <f aca="false">E404*F404</f>
        <v>9.06589786462295</v>
      </c>
      <c r="H404" s="10" t="n">
        <f aca="false">IF(OR(Nonlabor!$L$12="Quote required",Nonlabor!$L$12="Unverified"),G404,0)</f>
        <v>0</v>
      </c>
      <c r="I404" s="10" t="n">
        <f aca="false">IF(Nonlabor!$E$12="Core",0,G404)</f>
        <v>0</v>
      </c>
      <c r="J404" s="23" t="str">
        <f aca="false">Nonlabor!$B$12</f>
        <v>INFRA</v>
      </c>
    </row>
    <row r="405" customFormat="false" ht="15" hidden="false" customHeight="false" outlineLevel="0" collapsed="false">
      <c r="A405" s="6" t="s">
        <v>72</v>
      </c>
      <c r="B405" s="6" t="s">
        <v>391</v>
      </c>
      <c r="C405" s="6" t="n">
        <v>40</v>
      </c>
      <c r="D405" s="25" t="n">
        <f aca="false">EDATE('Start Here'!$B$6,C405-1)</f>
        <v>47515</v>
      </c>
      <c r="E405" s="11" t="n">
        <f aca="false">IF(AND(OR(Nonlabor!$D$12="Both",Nonlabor!$D$12='Start Here'!$B$9),IF(Nonlabor!$E$12="Core",1,IF(Nonlabor!$E$12="AI",'Start Here'!$B$7,'Start Here'!$B$8))=1,C405&gt;=IF(Nonlabor!$E$12="Core",Nonlabor!$F$12,MAX(Nonlabor!$F$12,IF(Nonlabor!$E$12="AI",Assumptions!$C$24,Assumptions!$C$25))),C405&lt;=Nonlabor!$G$12,OR(Nonlabor!$H$12="Monthly",AND(Nonlabor!$H$12="Once",C405=IF(Nonlabor!$E$12="Core",Nonlabor!$F$12,MAX(Nonlabor!$F$12,IF(Nonlabor!$E$12="AI",Assumptions!$C$24,Assumptions!$C$25)))),AND(Nonlabor!$H$12="Annual",MOD(C405-IF(Nonlabor!$E$12="Core",Nonlabor!$F$12,MAX(Nonlabor!$F$12,IF(Nonlabor!$E$12="AI",Assumptions!$C$24,Assumptions!$C$25))),12)=0))),IF(Nonlabor!$I$12="Fixed",1,IF(Nonlabor!$I$12="Seats",ROUNDUP('Monthly Lean'!I45,0),IF(Nonlabor!$I$12="Customers",'Monthly Lean'!D45,IF(Nonlabor!$I$12="NewCustomers",'Monthly Lean'!C45,IF(Nonlabor!$I$12="StorageGB",'Monthly Lean'!G45,IF(Nonlabor!$I$12="LogGB",'Monthly Lean'!H45,IF(Nonlabor!$I$12="RequestsM",'Monthly Lean'!F45,IF(Nonlabor!$I$12="InputM",'Monthly Lean'!D45*Assumptions!$C$22/1000000,IF(Nonlabor!$I$12="OutputM",'Monthly Lean'!D45*Assumptions!$C$23/1000000,0))))))))),0)</f>
        <v>0.291154403437565</v>
      </c>
      <c r="F405" s="10" t="n">
        <f aca="false">Nonlabor!$J$12*(1+Assumptions!$C$9)^INT((C405-1)/12)</f>
        <v>32.78181</v>
      </c>
      <c r="G405" s="10" t="n">
        <f aca="false">E405*F405</f>
        <v>9.54456833415361</v>
      </c>
      <c r="H405" s="10" t="n">
        <f aca="false">IF(OR(Nonlabor!$L$12="Quote required",Nonlabor!$L$12="Unverified"),G405,0)</f>
        <v>0</v>
      </c>
      <c r="I405" s="10" t="n">
        <f aca="false">IF(Nonlabor!$E$12="Core",0,G405)</f>
        <v>0</v>
      </c>
      <c r="J405" s="23" t="str">
        <f aca="false">Nonlabor!$B$12</f>
        <v>INFRA</v>
      </c>
    </row>
    <row r="406" customFormat="false" ht="15" hidden="false" customHeight="false" outlineLevel="0" collapsed="false">
      <c r="A406" s="6" t="s">
        <v>72</v>
      </c>
      <c r="B406" s="6" t="s">
        <v>391</v>
      </c>
      <c r="C406" s="6" t="n">
        <v>41</v>
      </c>
      <c r="D406" s="25" t="n">
        <f aca="false">EDATE('Start Here'!$B$6,C406-1)</f>
        <v>47543</v>
      </c>
      <c r="E406" s="11" t="n">
        <f aca="false">IF(AND(OR(Nonlabor!$D$12="Both",Nonlabor!$D$12='Start Here'!$B$9),IF(Nonlabor!$E$12="Core",1,IF(Nonlabor!$E$12="AI",'Start Here'!$B$7,'Start Here'!$B$8))=1,C406&gt;=IF(Nonlabor!$E$12="Core",Nonlabor!$F$12,MAX(Nonlabor!$F$12,IF(Nonlabor!$E$12="AI",Assumptions!$C$24,Assumptions!$C$25))),C406&lt;=Nonlabor!$G$12,OR(Nonlabor!$H$12="Monthly",AND(Nonlabor!$H$12="Once",C406=IF(Nonlabor!$E$12="Core",Nonlabor!$F$12,MAX(Nonlabor!$F$12,IF(Nonlabor!$E$12="AI",Assumptions!$C$24,Assumptions!$C$25)))),AND(Nonlabor!$H$12="Annual",MOD(C406-IF(Nonlabor!$E$12="Core",Nonlabor!$F$12,MAX(Nonlabor!$F$12,IF(Nonlabor!$E$12="AI",Assumptions!$C$24,Assumptions!$C$25))),12)=0))),IF(Nonlabor!$I$12="Fixed",1,IF(Nonlabor!$I$12="Seats",ROUNDUP('Monthly Lean'!I46,0),IF(Nonlabor!$I$12="Customers",'Monthly Lean'!D46,IF(Nonlabor!$I$12="NewCustomers",'Monthly Lean'!C46,IF(Nonlabor!$I$12="StorageGB",'Monthly Lean'!G46,IF(Nonlabor!$I$12="LogGB",'Monthly Lean'!H46,IF(Nonlabor!$I$12="RequestsM",'Monthly Lean'!F46,IF(Nonlabor!$I$12="InputM",'Monthly Lean'!D46*Assumptions!$C$22/1000000,IF(Nonlabor!$I$12="OutputM",'Monthly Lean'!D46*Assumptions!$C$23/1000000,0))))))))),0)</f>
        <v>0.305537087386002</v>
      </c>
      <c r="F406" s="10" t="n">
        <f aca="false">Nonlabor!$J$12*(1+Assumptions!$C$9)^INT((C406-1)/12)</f>
        <v>32.78181</v>
      </c>
      <c r="G406" s="10" t="n">
        <f aca="false">E406*F406</f>
        <v>10.0160587466413</v>
      </c>
      <c r="H406" s="10" t="n">
        <f aca="false">IF(OR(Nonlabor!$L$12="Quote required",Nonlabor!$L$12="Unverified"),G406,0)</f>
        <v>0</v>
      </c>
      <c r="I406" s="10" t="n">
        <f aca="false">IF(Nonlabor!$E$12="Core",0,G406)</f>
        <v>0</v>
      </c>
      <c r="J406" s="23" t="str">
        <f aca="false">Nonlabor!$B$12</f>
        <v>INFRA</v>
      </c>
    </row>
    <row r="407" customFormat="false" ht="15" hidden="false" customHeight="false" outlineLevel="0" collapsed="false">
      <c r="A407" s="6" t="s">
        <v>72</v>
      </c>
      <c r="B407" s="6" t="s">
        <v>391</v>
      </c>
      <c r="C407" s="6" t="n">
        <v>42</v>
      </c>
      <c r="D407" s="25" t="n">
        <f aca="false">EDATE('Start Here'!$B$6,C407-1)</f>
        <v>47574</v>
      </c>
      <c r="E407" s="11" t="n">
        <f aca="false">IF(AND(OR(Nonlabor!$D$12="Both",Nonlabor!$D$12='Start Here'!$B$9),IF(Nonlabor!$E$12="Core",1,IF(Nonlabor!$E$12="AI",'Start Here'!$B$7,'Start Here'!$B$8))=1,C407&gt;=IF(Nonlabor!$E$12="Core",Nonlabor!$F$12,MAX(Nonlabor!$F$12,IF(Nonlabor!$E$12="AI",Assumptions!$C$24,Assumptions!$C$25))),C407&lt;=Nonlabor!$G$12,OR(Nonlabor!$H$12="Monthly",AND(Nonlabor!$H$12="Once",C407=IF(Nonlabor!$E$12="Core",Nonlabor!$F$12,MAX(Nonlabor!$F$12,IF(Nonlabor!$E$12="AI",Assumptions!$C$24,Assumptions!$C$25)))),AND(Nonlabor!$H$12="Annual",MOD(C407-IF(Nonlabor!$E$12="Core",Nonlabor!$F$12,MAX(Nonlabor!$F$12,IF(Nonlabor!$E$12="AI",Assumptions!$C$24,Assumptions!$C$25))),12)=0))),IF(Nonlabor!$I$12="Fixed",1,IF(Nonlabor!$I$12="Seats",ROUNDUP('Monthly Lean'!I47,0),IF(Nonlabor!$I$12="Customers",'Monthly Lean'!D47,IF(Nonlabor!$I$12="NewCustomers",'Monthly Lean'!C47,IF(Nonlabor!$I$12="StorageGB",'Monthly Lean'!G47,IF(Nonlabor!$I$12="LogGB",'Monthly Lean'!H47,IF(Nonlabor!$I$12="RequestsM",'Monthly Lean'!F47,IF(Nonlabor!$I$12="InputM",'Monthly Lean'!D47*Assumptions!$C$22/1000000,IF(Nonlabor!$I$12="OutputM",'Monthly Lean'!D47*Assumptions!$C$23/1000000,0))))))))),0)</f>
        <v>0.319704031075212</v>
      </c>
      <c r="F407" s="10" t="n">
        <f aca="false">Nonlabor!$J$12*(1+Assumptions!$C$9)^INT((C407-1)/12)</f>
        <v>32.78181</v>
      </c>
      <c r="G407" s="10" t="n">
        <f aca="false">E407*F407</f>
        <v>10.4804768029417</v>
      </c>
      <c r="H407" s="10" t="n">
        <f aca="false">IF(OR(Nonlabor!$L$12="Quote required",Nonlabor!$L$12="Unverified"),G407,0)</f>
        <v>0</v>
      </c>
      <c r="I407" s="10" t="n">
        <f aca="false">IF(Nonlabor!$E$12="Core",0,G407)</f>
        <v>0</v>
      </c>
      <c r="J407" s="23" t="str">
        <f aca="false">Nonlabor!$B$12</f>
        <v>INFRA</v>
      </c>
    </row>
    <row r="408" customFormat="false" ht="15" hidden="false" customHeight="false" outlineLevel="0" collapsed="false">
      <c r="A408" s="6" t="s">
        <v>72</v>
      </c>
      <c r="B408" s="6" t="s">
        <v>391</v>
      </c>
      <c r="C408" s="6" t="n">
        <v>43</v>
      </c>
      <c r="D408" s="25" t="n">
        <f aca="false">EDATE('Start Here'!$B$6,C408-1)</f>
        <v>47604</v>
      </c>
      <c r="E408" s="11" t="n">
        <f aca="false">IF(AND(OR(Nonlabor!$D$12="Both",Nonlabor!$D$12='Start Here'!$B$9),IF(Nonlabor!$E$12="Core",1,IF(Nonlabor!$E$12="AI",'Start Here'!$B$7,'Start Here'!$B$8))=1,C408&gt;=IF(Nonlabor!$E$12="Core",Nonlabor!$F$12,MAX(Nonlabor!$F$12,IF(Nonlabor!$E$12="AI",Assumptions!$C$24,Assumptions!$C$25))),C408&lt;=Nonlabor!$G$12,OR(Nonlabor!$H$12="Monthly",AND(Nonlabor!$H$12="Once",C408=IF(Nonlabor!$E$12="Core",Nonlabor!$F$12,MAX(Nonlabor!$F$12,IF(Nonlabor!$E$12="AI",Assumptions!$C$24,Assumptions!$C$25)))),AND(Nonlabor!$H$12="Annual",MOD(C408-IF(Nonlabor!$E$12="Core",Nonlabor!$F$12,MAX(Nonlabor!$F$12,IF(Nonlabor!$E$12="AI",Assumptions!$C$24,Assumptions!$C$25))),12)=0))),IF(Nonlabor!$I$12="Fixed",1,IF(Nonlabor!$I$12="Seats",ROUNDUP('Monthly Lean'!I48,0),IF(Nonlabor!$I$12="Customers",'Monthly Lean'!D48,IF(Nonlabor!$I$12="NewCustomers",'Monthly Lean'!C48,IF(Nonlabor!$I$12="StorageGB",'Monthly Lean'!G48,IF(Nonlabor!$I$12="LogGB",'Monthly Lean'!H48,IF(Nonlabor!$I$12="RequestsM",'Monthly Lean'!F48,IF(Nonlabor!$I$12="InputM",'Monthly Lean'!D48*Assumptions!$C$22/1000000,IF(Nonlabor!$I$12="OutputM",'Monthly Lean'!D48*Assumptions!$C$23/1000000,0))))))))),0)</f>
        <v>0.333658470609083</v>
      </c>
      <c r="F408" s="10" t="n">
        <f aca="false">Nonlabor!$J$12*(1+Assumptions!$C$9)^INT((C408-1)/12)</f>
        <v>32.78181</v>
      </c>
      <c r="G408" s="10" t="n">
        <f aca="false">E408*F408</f>
        <v>10.9379285883976</v>
      </c>
      <c r="H408" s="10" t="n">
        <f aca="false">IF(OR(Nonlabor!$L$12="Quote required",Nonlabor!$L$12="Unverified"),G408,0)</f>
        <v>0</v>
      </c>
      <c r="I408" s="10" t="n">
        <f aca="false">IF(Nonlabor!$E$12="Core",0,G408)</f>
        <v>0</v>
      </c>
      <c r="J408" s="23" t="str">
        <f aca="false">Nonlabor!$B$12</f>
        <v>INFRA</v>
      </c>
    </row>
    <row r="409" customFormat="false" ht="15" hidden="false" customHeight="false" outlineLevel="0" collapsed="false">
      <c r="A409" s="6" t="s">
        <v>72</v>
      </c>
      <c r="B409" s="6" t="s">
        <v>391</v>
      </c>
      <c r="C409" s="6" t="n">
        <v>44</v>
      </c>
      <c r="D409" s="25" t="n">
        <f aca="false">EDATE('Start Here'!$B$6,C409-1)</f>
        <v>47635</v>
      </c>
      <c r="E409" s="11" t="n">
        <f aca="false">IF(AND(OR(Nonlabor!$D$12="Both",Nonlabor!$D$12='Start Here'!$B$9),IF(Nonlabor!$E$12="Core",1,IF(Nonlabor!$E$12="AI",'Start Here'!$B$7,'Start Here'!$B$8))=1,C409&gt;=IF(Nonlabor!$E$12="Core",Nonlabor!$F$12,MAX(Nonlabor!$F$12,IF(Nonlabor!$E$12="AI",Assumptions!$C$24,Assumptions!$C$25))),C409&lt;=Nonlabor!$G$12,OR(Nonlabor!$H$12="Monthly",AND(Nonlabor!$H$12="Once",C409=IF(Nonlabor!$E$12="Core",Nonlabor!$F$12,MAX(Nonlabor!$F$12,IF(Nonlabor!$E$12="AI",Assumptions!$C$24,Assumptions!$C$25)))),AND(Nonlabor!$H$12="Annual",MOD(C409-IF(Nonlabor!$E$12="Core",Nonlabor!$F$12,MAX(Nonlabor!$F$12,IF(Nonlabor!$E$12="AI",Assumptions!$C$24,Assumptions!$C$25))),12)=0))),IF(Nonlabor!$I$12="Fixed",1,IF(Nonlabor!$I$12="Seats",ROUNDUP('Monthly Lean'!I49,0),IF(Nonlabor!$I$12="Customers",'Monthly Lean'!D49,IF(Nonlabor!$I$12="NewCustomers",'Monthly Lean'!C49,IF(Nonlabor!$I$12="StorageGB",'Monthly Lean'!G49,IF(Nonlabor!$I$12="LogGB",'Monthly Lean'!H49,IF(Nonlabor!$I$12="RequestsM",'Monthly Lean'!F49,IF(Nonlabor!$I$12="InputM",'Monthly Lean'!D49*Assumptions!$C$22/1000000,IF(Nonlabor!$I$12="OutputM",'Monthly Lean'!D49*Assumptions!$C$23/1000000,0))))))))),0)</f>
        <v>0.347403593549947</v>
      </c>
      <c r="F409" s="10" t="n">
        <f aca="false">Nonlabor!$J$12*(1+Assumptions!$C$9)^INT((C409-1)/12)</f>
        <v>32.78181</v>
      </c>
      <c r="G409" s="10" t="n">
        <f aca="false">E409*F409</f>
        <v>11.3885185970716</v>
      </c>
      <c r="H409" s="10" t="n">
        <f aca="false">IF(OR(Nonlabor!$L$12="Quote required",Nonlabor!$L$12="Unverified"),G409,0)</f>
        <v>0</v>
      </c>
      <c r="I409" s="10" t="n">
        <f aca="false">IF(Nonlabor!$E$12="Core",0,G409)</f>
        <v>0</v>
      </c>
      <c r="J409" s="23" t="str">
        <f aca="false">Nonlabor!$B$12</f>
        <v>INFRA</v>
      </c>
    </row>
    <row r="410" customFormat="false" ht="15" hidden="false" customHeight="false" outlineLevel="0" collapsed="false">
      <c r="A410" s="6" t="s">
        <v>72</v>
      </c>
      <c r="B410" s="6" t="s">
        <v>391</v>
      </c>
      <c r="C410" s="6" t="n">
        <v>45</v>
      </c>
      <c r="D410" s="25" t="n">
        <f aca="false">EDATE('Start Here'!$B$6,C410-1)</f>
        <v>47665</v>
      </c>
      <c r="E410" s="11" t="n">
        <f aca="false">IF(AND(OR(Nonlabor!$D$12="Both",Nonlabor!$D$12='Start Here'!$B$9),IF(Nonlabor!$E$12="Core",1,IF(Nonlabor!$E$12="AI",'Start Here'!$B$7,'Start Here'!$B$8))=1,C410&gt;=IF(Nonlabor!$E$12="Core",Nonlabor!$F$12,MAX(Nonlabor!$F$12,IF(Nonlabor!$E$12="AI",Assumptions!$C$24,Assumptions!$C$25))),C410&lt;=Nonlabor!$G$12,OR(Nonlabor!$H$12="Monthly",AND(Nonlabor!$H$12="Once",C410=IF(Nonlabor!$E$12="Core",Nonlabor!$F$12,MAX(Nonlabor!$F$12,IF(Nonlabor!$E$12="AI",Assumptions!$C$24,Assumptions!$C$25)))),AND(Nonlabor!$H$12="Annual",MOD(C410-IF(Nonlabor!$E$12="Core",Nonlabor!$F$12,MAX(Nonlabor!$F$12,IF(Nonlabor!$E$12="AI",Assumptions!$C$24,Assumptions!$C$25))),12)=0))),IF(Nonlabor!$I$12="Fixed",1,IF(Nonlabor!$I$12="Seats",ROUNDUP('Monthly Lean'!I50,0),IF(Nonlabor!$I$12="Customers",'Monthly Lean'!D50,IF(Nonlabor!$I$12="NewCustomers",'Monthly Lean'!C50,IF(Nonlabor!$I$12="StorageGB",'Monthly Lean'!G50,IF(Nonlabor!$I$12="LogGB",'Monthly Lean'!H50,IF(Nonlabor!$I$12="RequestsM",'Monthly Lean'!F50,IF(Nonlabor!$I$12="InputM",'Monthly Lean'!D50*Assumptions!$C$22/1000000,IF(Nonlabor!$I$12="OutputM",'Monthly Lean'!D50*Assumptions!$C$23/1000000,0))))))))),0)</f>
        <v>0.360942539646698</v>
      </c>
      <c r="F410" s="10" t="n">
        <f aca="false">Nonlabor!$J$12*(1+Assumptions!$C$9)^INT((C410-1)/12)</f>
        <v>32.78181</v>
      </c>
      <c r="G410" s="10" t="n">
        <f aca="false">E410*F410</f>
        <v>11.8323497556155</v>
      </c>
      <c r="H410" s="10" t="n">
        <f aca="false">IF(OR(Nonlabor!$L$12="Quote required",Nonlabor!$L$12="Unverified"),G410,0)</f>
        <v>0</v>
      </c>
      <c r="I410" s="10" t="n">
        <f aca="false">IF(Nonlabor!$E$12="Core",0,G410)</f>
        <v>0</v>
      </c>
      <c r="J410" s="23" t="str">
        <f aca="false">Nonlabor!$B$12</f>
        <v>INFRA</v>
      </c>
    </row>
    <row r="411" customFormat="false" ht="15" hidden="false" customHeight="false" outlineLevel="0" collapsed="false">
      <c r="A411" s="6" t="s">
        <v>72</v>
      </c>
      <c r="B411" s="6" t="s">
        <v>391</v>
      </c>
      <c r="C411" s="6" t="n">
        <v>46</v>
      </c>
      <c r="D411" s="25" t="n">
        <f aca="false">EDATE('Start Here'!$B$6,C411-1)</f>
        <v>47696</v>
      </c>
      <c r="E411" s="11" t="n">
        <f aca="false">IF(AND(OR(Nonlabor!$D$12="Both",Nonlabor!$D$12='Start Here'!$B$9),IF(Nonlabor!$E$12="Core",1,IF(Nonlabor!$E$12="AI",'Start Here'!$B$7,'Start Here'!$B$8))=1,C411&gt;=IF(Nonlabor!$E$12="Core",Nonlabor!$F$12,MAX(Nonlabor!$F$12,IF(Nonlabor!$E$12="AI",Assumptions!$C$24,Assumptions!$C$25))),C411&lt;=Nonlabor!$G$12,OR(Nonlabor!$H$12="Monthly",AND(Nonlabor!$H$12="Once",C411=IF(Nonlabor!$E$12="Core",Nonlabor!$F$12,MAX(Nonlabor!$F$12,IF(Nonlabor!$E$12="AI",Assumptions!$C$24,Assumptions!$C$25)))),AND(Nonlabor!$H$12="Annual",MOD(C411-IF(Nonlabor!$E$12="Core",Nonlabor!$F$12,MAX(Nonlabor!$F$12,IF(Nonlabor!$E$12="AI",Assumptions!$C$24,Assumptions!$C$25))),12)=0))),IF(Nonlabor!$I$12="Fixed",1,IF(Nonlabor!$I$12="Seats",ROUNDUP('Monthly Lean'!I51,0),IF(Nonlabor!$I$12="Customers",'Monthly Lean'!D51,IF(Nonlabor!$I$12="NewCustomers",'Monthly Lean'!C51,IF(Nonlabor!$I$12="StorageGB",'Monthly Lean'!G51,IF(Nonlabor!$I$12="LogGB",'Monthly Lean'!H51,IF(Nonlabor!$I$12="RequestsM",'Monthly Lean'!F51,IF(Nonlabor!$I$12="InputM",'Monthly Lean'!D51*Assumptions!$C$22/1000000,IF(Nonlabor!$I$12="OutputM",'Monthly Lean'!D51*Assumptions!$C$23/1000000,0))))))))),0)</f>
        <v>0.374278401551998</v>
      </c>
      <c r="F411" s="10" t="n">
        <f aca="false">Nonlabor!$J$12*(1+Assumptions!$C$9)^INT((C411-1)/12)</f>
        <v>32.78181</v>
      </c>
      <c r="G411" s="10" t="n">
        <f aca="false">E411*F411</f>
        <v>12.2695234467813</v>
      </c>
      <c r="H411" s="10" t="n">
        <f aca="false">IF(OR(Nonlabor!$L$12="Quote required",Nonlabor!$L$12="Unverified"),G411,0)</f>
        <v>0</v>
      </c>
      <c r="I411" s="10" t="n">
        <f aca="false">IF(Nonlabor!$E$12="Core",0,G411)</f>
        <v>0</v>
      </c>
      <c r="J411" s="23" t="str">
        <f aca="false">Nonlabor!$B$12</f>
        <v>INFRA</v>
      </c>
    </row>
    <row r="412" customFormat="false" ht="15" hidden="false" customHeight="false" outlineLevel="0" collapsed="false">
      <c r="A412" s="6" t="s">
        <v>72</v>
      </c>
      <c r="B412" s="6" t="s">
        <v>391</v>
      </c>
      <c r="C412" s="6" t="n">
        <v>47</v>
      </c>
      <c r="D412" s="25" t="n">
        <f aca="false">EDATE('Start Here'!$B$6,C412-1)</f>
        <v>47727</v>
      </c>
      <c r="E412" s="11" t="n">
        <f aca="false">IF(AND(OR(Nonlabor!$D$12="Both",Nonlabor!$D$12='Start Here'!$B$9),IF(Nonlabor!$E$12="Core",1,IF(Nonlabor!$E$12="AI",'Start Here'!$B$7,'Start Here'!$B$8))=1,C412&gt;=IF(Nonlabor!$E$12="Core",Nonlabor!$F$12,MAX(Nonlabor!$F$12,IF(Nonlabor!$E$12="AI",Assumptions!$C$24,Assumptions!$C$25))),C412&lt;=Nonlabor!$G$12,OR(Nonlabor!$H$12="Monthly",AND(Nonlabor!$H$12="Once",C412=IF(Nonlabor!$E$12="Core",Nonlabor!$F$12,MAX(Nonlabor!$F$12,IF(Nonlabor!$E$12="AI",Assumptions!$C$24,Assumptions!$C$25)))),AND(Nonlabor!$H$12="Annual",MOD(C412-IF(Nonlabor!$E$12="Core",Nonlabor!$F$12,MAX(Nonlabor!$F$12,IF(Nonlabor!$E$12="AI",Assumptions!$C$24,Assumptions!$C$25))),12)=0))),IF(Nonlabor!$I$12="Fixed",1,IF(Nonlabor!$I$12="Seats",ROUNDUP('Monthly Lean'!I52,0),IF(Nonlabor!$I$12="Customers",'Monthly Lean'!D52,IF(Nonlabor!$I$12="NewCustomers",'Monthly Lean'!C52,IF(Nonlabor!$I$12="StorageGB",'Monthly Lean'!G52,IF(Nonlabor!$I$12="LogGB",'Monthly Lean'!H52,IF(Nonlabor!$I$12="RequestsM",'Monthly Lean'!F52,IF(Nonlabor!$I$12="InputM",'Monthly Lean'!D52*Assumptions!$C$22/1000000,IF(Nonlabor!$I$12="OutputM",'Monthly Lean'!D52*Assumptions!$C$23/1000000,0))))))))),0)</f>
        <v>0.387414225528718</v>
      </c>
      <c r="F412" s="10" t="n">
        <f aca="false">Nonlabor!$J$12*(1+Assumptions!$C$9)^INT((C412-1)/12)</f>
        <v>32.78181</v>
      </c>
      <c r="G412" s="10" t="n">
        <f aca="false">E412*F412</f>
        <v>12.7001395325796</v>
      </c>
      <c r="H412" s="10" t="n">
        <f aca="false">IF(OR(Nonlabor!$L$12="Quote required",Nonlabor!$L$12="Unverified"),G412,0)</f>
        <v>0</v>
      </c>
      <c r="I412" s="10" t="n">
        <f aca="false">IF(Nonlabor!$E$12="Core",0,G412)</f>
        <v>0</v>
      </c>
      <c r="J412" s="23" t="str">
        <f aca="false">Nonlabor!$B$12</f>
        <v>INFRA</v>
      </c>
    </row>
    <row r="413" customFormat="false" ht="15" hidden="false" customHeight="false" outlineLevel="0" collapsed="false">
      <c r="A413" s="6" t="s">
        <v>72</v>
      </c>
      <c r="B413" s="6" t="s">
        <v>391</v>
      </c>
      <c r="C413" s="6" t="n">
        <v>48</v>
      </c>
      <c r="D413" s="25" t="n">
        <f aca="false">EDATE('Start Here'!$B$6,C413-1)</f>
        <v>47757</v>
      </c>
      <c r="E413" s="11" t="n">
        <f aca="false">IF(AND(OR(Nonlabor!$D$12="Both",Nonlabor!$D$12='Start Here'!$B$9),IF(Nonlabor!$E$12="Core",1,IF(Nonlabor!$E$12="AI",'Start Here'!$B$7,'Start Here'!$B$8))=1,C413&gt;=IF(Nonlabor!$E$12="Core",Nonlabor!$F$12,MAX(Nonlabor!$F$12,IF(Nonlabor!$E$12="AI",Assumptions!$C$24,Assumptions!$C$25))),C413&lt;=Nonlabor!$G$12,OR(Nonlabor!$H$12="Monthly",AND(Nonlabor!$H$12="Once",C413=IF(Nonlabor!$E$12="Core",Nonlabor!$F$12,MAX(Nonlabor!$F$12,IF(Nonlabor!$E$12="AI",Assumptions!$C$24,Assumptions!$C$25)))),AND(Nonlabor!$H$12="Annual",MOD(C413-IF(Nonlabor!$E$12="Core",Nonlabor!$F$12,MAX(Nonlabor!$F$12,IF(Nonlabor!$E$12="AI",Assumptions!$C$24,Assumptions!$C$25))),12)=0))),IF(Nonlabor!$I$12="Fixed",1,IF(Nonlabor!$I$12="Seats",ROUNDUP('Monthly Lean'!I53,0),IF(Nonlabor!$I$12="Customers",'Monthly Lean'!D53,IF(Nonlabor!$I$12="NewCustomers",'Monthly Lean'!C53,IF(Nonlabor!$I$12="StorageGB",'Monthly Lean'!G53,IF(Nonlabor!$I$12="LogGB",'Monthly Lean'!H53,IF(Nonlabor!$I$12="RequestsM",'Monthly Lean'!F53,IF(Nonlabor!$I$12="InputM",'Monthly Lean'!D53*Assumptions!$C$22/1000000,IF(Nonlabor!$I$12="OutputM",'Monthly Lean'!D53*Assumptions!$C$23/1000000,0))))))))),0)</f>
        <v>0.400353012145787</v>
      </c>
      <c r="F413" s="10" t="n">
        <f aca="false">Nonlabor!$J$12*(1+Assumptions!$C$9)^INT((C413-1)/12)</f>
        <v>32.78181</v>
      </c>
      <c r="G413" s="10" t="n">
        <f aca="false">E413*F413</f>
        <v>13.1242963770909</v>
      </c>
      <c r="H413" s="10" t="n">
        <f aca="false">IF(OR(Nonlabor!$L$12="Quote required",Nonlabor!$L$12="Unverified"),G413,0)</f>
        <v>0</v>
      </c>
      <c r="I413" s="10" t="n">
        <f aca="false">IF(Nonlabor!$E$12="Core",0,G413)</f>
        <v>0</v>
      </c>
      <c r="J413" s="23" t="str">
        <f aca="false">Nonlabor!$B$12</f>
        <v>INFRA</v>
      </c>
    </row>
    <row r="414" customFormat="false" ht="15" hidden="false" customHeight="false" outlineLevel="0" collapsed="false">
      <c r="A414" s="6" t="s">
        <v>72</v>
      </c>
      <c r="B414" s="6" t="s">
        <v>391</v>
      </c>
      <c r="C414" s="6" t="n">
        <v>49</v>
      </c>
      <c r="D414" s="25" t="n">
        <f aca="false">EDATE('Start Here'!$B$6,C414-1)</f>
        <v>47788</v>
      </c>
      <c r="E414" s="11" t="n">
        <f aca="false">IF(AND(OR(Nonlabor!$D$12="Both",Nonlabor!$D$12='Start Here'!$B$9),IF(Nonlabor!$E$12="Core",1,IF(Nonlabor!$E$12="AI",'Start Here'!$B$7,'Start Here'!$B$8))=1,C414&gt;=IF(Nonlabor!$E$12="Core",Nonlabor!$F$12,MAX(Nonlabor!$F$12,IF(Nonlabor!$E$12="AI",Assumptions!$C$24,Assumptions!$C$25))),C414&lt;=Nonlabor!$G$12,OR(Nonlabor!$H$12="Monthly",AND(Nonlabor!$H$12="Once",C414=IF(Nonlabor!$E$12="Core",Nonlabor!$F$12,MAX(Nonlabor!$F$12,IF(Nonlabor!$E$12="AI",Assumptions!$C$24,Assumptions!$C$25)))),AND(Nonlabor!$H$12="Annual",MOD(C414-IF(Nonlabor!$E$12="Core",Nonlabor!$F$12,MAX(Nonlabor!$F$12,IF(Nonlabor!$E$12="AI",Assumptions!$C$24,Assumptions!$C$25))),12)=0))),IF(Nonlabor!$I$12="Fixed",1,IF(Nonlabor!$I$12="Seats",ROUNDUP('Monthly Lean'!I54,0),IF(Nonlabor!$I$12="Customers",'Monthly Lean'!D54,IF(Nonlabor!$I$12="NewCustomers",'Monthly Lean'!C54,IF(Nonlabor!$I$12="StorageGB",'Monthly Lean'!G54,IF(Nonlabor!$I$12="LogGB",'Monthly Lean'!H54,IF(Nonlabor!$I$12="RequestsM",'Monthly Lean'!F54,IF(Nonlabor!$I$12="InputM",'Monthly Lean'!D54*Assumptions!$C$22/1000000,IF(Nonlabor!$I$12="OutputM",'Monthly Lean'!D54*Assumptions!$C$23/1000000,0))))))))),0)</f>
        <v>0.4130977169636</v>
      </c>
      <c r="F414" s="10" t="n">
        <f aca="false">Nonlabor!$J$12*(1+Assumptions!$C$9)^INT((C414-1)/12)</f>
        <v>33.7652643</v>
      </c>
      <c r="G414" s="10" t="n">
        <f aca="false">E414*F414</f>
        <v>13.9483535950025</v>
      </c>
      <c r="H414" s="10" t="n">
        <f aca="false">IF(OR(Nonlabor!$L$12="Quote required",Nonlabor!$L$12="Unverified"),G414,0)</f>
        <v>0</v>
      </c>
      <c r="I414" s="10" t="n">
        <f aca="false">IF(Nonlabor!$E$12="Core",0,G414)</f>
        <v>0</v>
      </c>
      <c r="J414" s="23" t="str">
        <f aca="false">Nonlabor!$B$12</f>
        <v>INFRA</v>
      </c>
    </row>
    <row r="415" customFormat="false" ht="15" hidden="false" customHeight="false" outlineLevel="0" collapsed="false">
      <c r="A415" s="6" t="s">
        <v>72</v>
      </c>
      <c r="B415" s="6" t="s">
        <v>391</v>
      </c>
      <c r="C415" s="6" t="n">
        <v>50</v>
      </c>
      <c r="D415" s="25" t="n">
        <f aca="false">EDATE('Start Here'!$B$6,C415-1)</f>
        <v>47818</v>
      </c>
      <c r="E415" s="11" t="n">
        <f aca="false">IF(AND(OR(Nonlabor!$D$12="Both",Nonlabor!$D$12='Start Here'!$B$9),IF(Nonlabor!$E$12="Core",1,IF(Nonlabor!$E$12="AI",'Start Here'!$B$7,'Start Here'!$B$8))=1,C415&gt;=IF(Nonlabor!$E$12="Core",Nonlabor!$F$12,MAX(Nonlabor!$F$12,IF(Nonlabor!$E$12="AI",Assumptions!$C$24,Assumptions!$C$25))),C415&lt;=Nonlabor!$G$12,OR(Nonlabor!$H$12="Monthly",AND(Nonlabor!$H$12="Once",C415=IF(Nonlabor!$E$12="Core",Nonlabor!$F$12,MAX(Nonlabor!$F$12,IF(Nonlabor!$E$12="AI",Assumptions!$C$24,Assumptions!$C$25)))),AND(Nonlabor!$H$12="Annual",MOD(C415-IF(Nonlabor!$E$12="Core",Nonlabor!$F$12,MAX(Nonlabor!$F$12,IF(Nonlabor!$E$12="AI",Assumptions!$C$24,Assumptions!$C$25))),12)=0))),IF(Nonlabor!$I$12="Fixed",1,IF(Nonlabor!$I$12="Seats",ROUNDUP('Monthly Lean'!I55,0),IF(Nonlabor!$I$12="Customers",'Monthly Lean'!D55,IF(Nonlabor!$I$12="NewCustomers",'Monthly Lean'!C55,IF(Nonlabor!$I$12="StorageGB",'Monthly Lean'!G55,IF(Nonlabor!$I$12="LogGB",'Monthly Lean'!H55,IF(Nonlabor!$I$12="RequestsM",'Monthly Lean'!F55,IF(Nonlabor!$I$12="InputM",'Monthly Lean'!D55*Assumptions!$C$22/1000000,IF(Nonlabor!$I$12="OutputM",'Monthly Lean'!D55*Assumptions!$C$23/1000000,0))))))))),0)</f>
        <v>0.425651251209146</v>
      </c>
      <c r="F415" s="10" t="n">
        <f aca="false">Nonlabor!$J$12*(1+Assumptions!$C$9)^INT((C415-1)/12)</f>
        <v>33.7652643</v>
      </c>
      <c r="G415" s="10" t="n">
        <f aca="false">E415*F415</f>
        <v>14.3722269967025</v>
      </c>
      <c r="H415" s="10" t="n">
        <f aca="false">IF(OR(Nonlabor!$L$12="Quote required",Nonlabor!$L$12="Unverified"),G415,0)</f>
        <v>0</v>
      </c>
      <c r="I415" s="10" t="n">
        <f aca="false">IF(Nonlabor!$E$12="Core",0,G415)</f>
        <v>0</v>
      </c>
      <c r="J415" s="23" t="str">
        <f aca="false">Nonlabor!$B$12</f>
        <v>INFRA</v>
      </c>
    </row>
    <row r="416" customFormat="false" ht="15" hidden="false" customHeight="false" outlineLevel="0" collapsed="false">
      <c r="A416" s="6" t="s">
        <v>72</v>
      </c>
      <c r="B416" s="6" t="s">
        <v>391</v>
      </c>
      <c r="C416" s="6" t="n">
        <v>51</v>
      </c>
      <c r="D416" s="25" t="n">
        <f aca="false">EDATE('Start Here'!$B$6,C416-1)</f>
        <v>47849</v>
      </c>
      <c r="E416" s="11" t="n">
        <f aca="false">IF(AND(OR(Nonlabor!$D$12="Both",Nonlabor!$D$12='Start Here'!$B$9),IF(Nonlabor!$E$12="Core",1,IF(Nonlabor!$E$12="AI",'Start Here'!$B$7,'Start Here'!$B$8))=1,C416&gt;=IF(Nonlabor!$E$12="Core",Nonlabor!$F$12,MAX(Nonlabor!$F$12,IF(Nonlabor!$E$12="AI",Assumptions!$C$24,Assumptions!$C$25))),C416&lt;=Nonlabor!$G$12,OR(Nonlabor!$H$12="Monthly",AND(Nonlabor!$H$12="Once",C416=IF(Nonlabor!$E$12="Core",Nonlabor!$F$12,MAX(Nonlabor!$F$12,IF(Nonlabor!$E$12="AI",Assumptions!$C$24,Assumptions!$C$25)))),AND(Nonlabor!$H$12="Annual",MOD(C416-IF(Nonlabor!$E$12="Core",Nonlabor!$F$12,MAX(Nonlabor!$F$12,IF(Nonlabor!$E$12="AI",Assumptions!$C$24,Assumptions!$C$25))),12)=0))),IF(Nonlabor!$I$12="Fixed",1,IF(Nonlabor!$I$12="Seats",ROUNDUP('Monthly Lean'!I56,0),IF(Nonlabor!$I$12="Customers",'Monthly Lean'!D56,IF(Nonlabor!$I$12="NewCustomers",'Monthly Lean'!C56,IF(Nonlabor!$I$12="StorageGB",'Monthly Lean'!G56,IF(Nonlabor!$I$12="LogGB",'Monthly Lean'!H56,IF(Nonlabor!$I$12="RequestsM",'Monthly Lean'!F56,IF(Nonlabor!$I$12="InputM",'Monthly Lean'!D56*Assumptions!$C$22/1000000,IF(Nonlabor!$I$12="OutputM",'Monthly Lean'!D56*Assumptions!$C$23/1000000,0))))))))),0)</f>
        <v>0.438016482441009</v>
      </c>
      <c r="F416" s="10" t="n">
        <f aca="false">Nonlabor!$J$12*(1+Assumptions!$C$9)^INT((C416-1)/12)</f>
        <v>33.7652643</v>
      </c>
      <c r="G416" s="10" t="n">
        <f aca="false">E416*F416</f>
        <v>14.789742297377</v>
      </c>
      <c r="H416" s="10" t="n">
        <f aca="false">IF(OR(Nonlabor!$L$12="Quote required",Nonlabor!$L$12="Unverified"),G416,0)</f>
        <v>0</v>
      </c>
      <c r="I416" s="10" t="n">
        <f aca="false">IF(Nonlabor!$E$12="Core",0,G416)</f>
        <v>0</v>
      </c>
      <c r="J416" s="23" t="str">
        <f aca="false">Nonlabor!$B$12</f>
        <v>INFRA</v>
      </c>
    </row>
    <row r="417" customFormat="false" ht="15" hidden="false" customHeight="false" outlineLevel="0" collapsed="false">
      <c r="A417" s="6" t="s">
        <v>72</v>
      </c>
      <c r="B417" s="6" t="s">
        <v>391</v>
      </c>
      <c r="C417" s="6" t="n">
        <v>52</v>
      </c>
      <c r="D417" s="25" t="n">
        <f aca="false">EDATE('Start Here'!$B$6,C417-1)</f>
        <v>47880</v>
      </c>
      <c r="E417" s="11" t="n">
        <f aca="false">IF(AND(OR(Nonlabor!$D$12="Both",Nonlabor!$D$12='Start Here'!$B$9),IF(Nonlabor!$E$12="Core",1,IF(Nonlabor!$E$12="AI",'Start Here'!$B$7,'Start Here'!$B$8))=1,C417&gt;=IF(Nonlabor!$E$12="Core",Nonlabor!$F$12,MAX(Nonlabor!$F$12,IF(Nonlabor!$E$12="AI",Assumptions!$C$24,Assumptions!$C$25))),C417&lt;=Nonlabor!$G$12,OR(Nonlabor!$H$12="Monthly",AND(Nonlabor!$H$12="Once",C417=IF(Nonlabor!$E$12="Core",Nonlabor!$F$12,MAX(Nonlabor!$F$12,IF(Nonlabor!$E$12="AI",Assumptions!$C$24,Assumptions!$C$25)))),AND(Nonlabor!$H$12="Annual",MOD(C417-IF(Nonlabor!$E$12="Core",Nonlabor!$F$12,MAX(Nonlabor!$F$12,IF(Nonlabor!$E$12="AI",Assumptions!$C$24,Assumptions!$C$25))),12)=0))),IF(Nonlabor!$I$12="Fixed",1,IF(Nonlabor!$I$12="Seats",ROUNDUP('Monthly Lean'!I57,0),IF(Nonlabor!$I$12="Customers",'Monthly Lean'!D57,IF(Nonlabor!$I$12="NewCustomers",'Monthly Lean'!C57,IF(Nonlabor!$I$12="StorageGB",'Monthly Lean'!G57,IF(Nonlabor!$I$12="LogGB",'Monthly Lean'!H57,IF(Nonlabor!$I$12="RequestsM",'Monthly Lean'!F57,IF(Nonlabor!$I$12="InputM",'Monthly Lean'!D57*Assumptions!$C$22/1000000,IF(Nonlabor!$I$12="OutputM",'Monthly Lean'!D57*Assumptions!$C$23/1000000,0))))))))),0)</f>
        <v>0.454883735204394</v>
      </c>
      <c r="F417" s="10" t="n">
        <f aca="false">Nonlabor!$J$12*(1+Assumptions!$C$9)^INT((C417-1)/12)</f>
        <v>33.7652643</v>
      </c>
      <c r="G417" s="10" t="n">
        <f aca="false">E417*F417</f>
        <v>15.3592695449476</v>
      </c>
      <c r="H417" s="10" t="n">
        <f aca="false">IF(OR(Nonlabor!$L$12="Quote required",Nonlabor!$L$12="Unverified"),G417,0)</f>
        <v>0</v>
      </c>
      <c r="I417" s="10" t="n">
        <f aca="false">IF(Nonlabor!$E$12="Core",0,G417)</f>
        <v>0</v>
      </c>
      <c r="J417" s="23" t="str">
        <f aca="false">Nonlabor!$B$12</f>
        <v>INFRA</v>
      </c>
    </row>
    <row r="418" customFormat="false" ht="15" hidden="false" customHeight="false" outlineLevel="0" collapsed="false">
      <c r="A418" s="6" t="s">
        <v>72</v>
      </c>
      <c r="B418" s="6" t="s">
        <v>391</v>
      </c>
      <c r="C418" s="6" t="n">
        <v>53</v>
      </c>
      <c r="D418" s="25" t="n">
        <f aca="false">EDATE('Start Here'!$B$6,C418-1)</f>
        <v>47908</v>
      </c>
      <c r="E418" s="11" t="n">
        <f aca="false">IF(AND(OR(Nonlabor!$D$12="Both",Nonlabor!$D$12='Start Here'!$B$9),IF(Nonlabor!$E$12="Core",1,IF(Nonlabor!$E$12="AI",'Start Here'!$B$7,'Start Here'!$B$8))=1,C418&gt;=IF(Nonlabor!$E$12="Core",Nonlabor!$F$12,MAX(Nonlabor!$F$12,IF(Nonlabor!$E$12="AI",Assumptions!$C$24,Assumptions!$C$25))),C418&lt;=Nonlabor!$G$12,OR(Nonlabor!$H$12="Monthly",AND(Nonlabor!$H$12="Once",C418=IF(Nonlabor!$E$12="Core",Nonlabor!$F$12,MAX(Nonlabor!$F$12,IF(Nonlabor!$E$12="AI",Assumptions!$C$24,Assumptions!$C$25)))),AND(Nonlabor!$H$12="Annual",MOD(C418-IF(Nonlabor!$E$12="Core",Nonlabor!$F$12,MAX(Nonlabor!$F$12,IF(Nonlabor!$E$12="AI",Assumptions!$C$24,Assumptions!$C$25))),12)=0))),IF(Nonlabor!$I$12="Fixed",1,IF(Nonlabor!$I$12="Seats",ROUNDUP('Monthly Lean'!I58,0),IF(Nonlabor!$I$12="Customers",'Monthly Lean'!D58,IF(Nonlabor!$I$12="NewCustomers",'Monthly Lean'!C58,IF(Nonlabor!$I$12="StorageGB",'Monthly Lean'!G58,IF(Nonlabor!$I$12="LogGB",'Monthly Lean'!H58,IF(Nonlabor!$I$12="RequestsM",'Monthly Lean'!F58,IF(Nonlabor!$I$12="InputM",'Monthly Lean'!D58*Assumptions!$C$22/1000000,IF(Nonlabor!$I$12="OutputM",'Monthly Lean'!D58*Assumptions!$C$23/1000000,0))))))))),0)</f>
        <v>0.471497979176328</v>
      </c>
      <c r="F418" s="10" t="n">
        <f aca="false">Nonlabor!$J$12*(1+Assumptions!$C$9)^INT((C418-1)/12)</f>
        <v>33.7652643</v>
      </c>
      <c r="G418" s="10" t="n">
        <f aca="false">E418*F418</f>
        <v>15.9202538838046</v>
      </c>
      <c r="H418" s="10" t="n">
        <f aca="false">IF(OR(Nonlabor!$L$12="Quote required",Nonlabor!$L$12="Unverified"),G418,0)</f>
        <v>0</v>
      </c>
      <c r="I418" s="10" t="n">
        <f aca="false">IF(Nonlabor!$E$12="Core",0,G418)</f>
        <v>0</v>
      </c>
      <c r="J418" s="23" t="str">
        <f aca="false">Nonlabor!$B$12</f>
        <v>INFRA</v>
      </c>
    </row>
    <row r="419" customFormat="false" ht="15" hidden="false" customHeight="false" outlineLevel="0" collapsed="false">
      <c r="A419" s="6" t="s">
        <v>72</v>
      </c>
      <c r="B419" s="6" t="s">
        <v>391</v>
      </c>
      <c r="C419" s="6" t="n">
        <v>54</v>
      </c>
      <c r="D419" s="25" t="n">
        <f aca="false">EDATE('Start Here'!$B$6,C419-1)</f>
        <v>47939</v>
      </c>
      <c r="E419" s="11" t="n">
        <f aca="false">IF(AND(OR(Nonlabor!$D$12="Both",Nonlabor!$D$12='Start Here'!$B$9),IF(Nonlabor!$E$12="Core",1,IF(Nonlabor!$E$12="AI",'Start Here'!$B$7,'Start Here'!$B$8))=1,C419&gt;=IF(Nonlabor!$E$12="Core",Nonlabor!$F$12,MAX(Nonlabor!$F$12,IF(Nonlabor!$E$12="AI",Assumptions!$C$24,Assumptions!$C$25))),C419&lt;=Nonlabor!$G$12,OR(Nonlabor!$H$12="Monthly",AND(Nonlabor!$H$12="Once",C419=IF(Nonlabor!$E$12="Core",Nonlabor!$F$12,MAX(Nonlabor!$F$12,IF(Nonlabor!$E$12="AI",Assumptions!$C$24,Assumptions!$C$25)))),AND(Nonlabor!$H$12="Annual",MOD(C419-IF(Nonlabor!$E$12="Core",Nonlabor!$F$12,MAX(Nonlabor!$F$12,IF(Nonlabor!$E$12="AI",Assumptions!$C$24,Assumptions!$C$25))),12)=0))),IF(Nonlabor!$I$12="Fixed",1,IF(Nonlabor!$I$12="Seats",ROUNDUP('Monthly Lean'!I59,0),IF(Nonlabor!$I$12="Customers",'Monthly Lean'!D59,IF(Nonlabor!$I$12="NewCustomers",'Monthly Lean'!C59,IF(Nonlabor!$I$12="StorageGB",'Monthly Lean'!G59,IF(Nonlabor!$I$12="LogGB",'Monthly Lean'!H59,IF(Nonlabor!$I$12="RequestsM",'Monthly Lean'!F59,IF(Nonlabor!$I$12="InputM",'Monthly Lean'!D59*Assumptions!$C$22/1000000,IF(Nonlabor!$I$12="OutputM",'Monthly Lean'!D59*Assumptions!$C$23/1000000,0))))))))),0)</f>
        <v>0.487863009488683</v>
      </c>
      <c r="F419" s="10" t="n">
        <f aca="false">Nonlabor!$J$12*(1+Assumptions!$C$9)^INT((C419-1)/12)</f>
        <v>33.7652643</v>
      </c>
      <c r="G419" s="10" t="n">
        <f aca="false">E419*F419</f>
        <v>16.4728234575788</v>
      </c>
      <c r="H419" s="10" t="n">
        <f aca="false">IF(OR(Nonlabor!$L$12="Quote required",Nonlabor!$L$12="Unverified"),G419,0)</f>
        <v>0</v>
      </c>
      <c r="I419" s="10" t="n">
        <f aca="false">IF(Nonlabor!$E$12="Core",0,G419)</f>
        <v>0</v>
      </c>
      <c r="J419" s="23" t="str">
        <f aca="false">Nonlabor!$B$12</f>
        <v>INFRA</v>
      </c>
    </row>
    <row r="420" customFormat="false" ht="15" hidden="false" customHeight="false" outlineLevel="0" collapsed="false">
      <c r="A420" s="6" t="s">
        <v>72</v>
      </c>
      <c r="B420" s="6" t="s">
        <v>391</v>
      </c>
      <c r="C420" s="6" t="n">
        <v>55</v>
      </c>
      <c r="D420" s="25" t="n">
        <f aca="false">EDATE('Start Here'!$B$6,C420-1)</f>
        <v>47969</v>
      </c>
      <c r="E420" s="11" t="n">
        <f aca="false">IF(AND(OR(Nonlabor!$D$12="Both",Nonlabor!$D$12='Start Here'!$B$9),IF(Nonlabor!$E$12="Core",1,IF(Nonlabor!$E$12="AI",'Start Here'!$B$7,'Start Here'!$B$8))=1,C420&gt;=IF(Nonlabor!$E$12="Core",Nonlabor!$F$12,MAX(Nonlabor!$F$12,IF(Nonlabor!$E$12="AI",Assumptions!$C$24,Assumptions!$C$25))),C420&lt;=Nonlabor!$G$12,OR(Nonlabor!$H$12="Monthly",AND(Nonlabor!$H$12="Once",C420=IF(Nonlabor!$E$12="Core",Nonlabor!$F$12,MAX(Nonlabor!$F$12,IF(Nonlabor!$E$12="AI",Assumptions!$C$24,Assumptions!$C$25)))),AND(Nonlabor!$H$12="Annual",MOD(C420-IF(Nonlabor!$E$12="Core",Nonlabor!$F$12,MAX(Nonlabor!$F$12,IF(Nonlabor!$E$12="AI",Assumptions!$C$24,Assumptions!$C$25))),12)=0))),IF(Nonlabor!$I$12="Fixed",1,IF(Nonlabor!$I$12="Seats",ROUNDUP('Monthly Lean'!I60,0),IF(Nonlabor!$I$12="Customers",'Monthly Lean'!D60,IF(Nonlabor!$I$12="NewCustomers",'Monthly Lean'!C60,IF(Nonlabor!$I$12="StorageGB",'Monthly Lean'!G60,IF(Nonlabor!$I$12="LogGB",'Monthly Lean'!H60,IF(Nonlabor!$I$12="RequestsM",'Monthly Lean'!F60,IF(Nonlabor!$I$12="InputM",'Monthly Lean'!D60*Assumptions!$C$22/1000000,IF(Nonlabor!$I$12="OutputM",'Monthly Lean'!D60*Assumptions!$C$23/1000000,0))))))))),0)</f>
        <v>0.503982564346353</v>
      </c>
      <c r="F420" s="10" t="n">
        <f aca="false">Nonlabor!$J$12*(1+Assumptions!$C$9)^INT((C420-1)/12)</f>
        <v>33.7652643</v>
      </c>
      <c r="G420" s="10" t="n">
        <f aca="false">E420*F420</f>
        <v>17.0171044877464</v>
      </c>
      <c r="H420" s="10" t="n">
        <f aca="false">IF(OR(Nonlabor!$L$12="Quote required",Nonlabor!$L$12="Unverified"),G420,0)</f>
        <v>0</v>
      </c>
      <c r="I420" s="10" t="n">
        <f aca="false">IF(Nonlabor!$E$12="Core",0,G420)</f>
        <v>0</v>
      </c>
      <c r="J420" s="23" t="str">
        <f aca="false">Nonlabor!$B$12</f>
        <v>INFRA</v>
      </c>
    </row>
    <row r="421" customFormat="false" ht="15" hidden="false" customHeight="false" outlineLevel="0" collapsed="false">
      <c r="A421" s="6" t="s">
        <v>72</v>
      </c>
      <c r="B421" s="6" t="s">
        <v>391</v>
      </c>
      <c r="C421" s="6" t="n">
        <v>56</v>
      </c>
      <c r="D421" s="25" t="n">
        <f aca="false">EDATE('Start Here'!$B$6,C421-1)</f>
        <v>48000</v>
      </c>
      <c r="E421" s="11" t="n">
        <f aca="false">IF(AND(OR(Nonlabor!$D$12="Both",Nonlabor!$D$12='Start Here'!$B$9),IF(Nonlabor!$E$12="Core",1,IF(Nonlabor!$E$12="AI",'Start Here'!$B$7,'Start Here'!$B$8))=1,C421&gt;=IF(Nonlabor!$E$12="Core",Nonlabor!$F$12,MAX(Nonlabor!$F$12,IF(Nonlabor!$E$12="AI",Assumptions!$C$24,Assumptions!$C$25))),C421&lt;=Nonlabor!$G$12,OR(Nonlabor!$H$12="Monthly",AND(Nonlabor!$H$12="Once",C421=IF(Nonlabor!$E$12="Core",Nonlabor!$F$12,MAX(Nonlabor!$F$12,IF(Nonlabor!$E$12="AI",Assumptions!$C$24,Assumptions!$C$25)))),AND(Nonlabor!$H$12="Annual",MOD(C421-IF(Nonlabor!$E$12="Core",Nonlabor!$F$12,MAX(Nonlabor!$F$12,IF(Nonlabor!$E$12="AI",Assumptions!$C$24,Assumptions!$C$25))),12)=0))),IF(Nonlabor!$I$12="Fixed",1,IF(Nonlabor!$I$12="Seats",ROUNDUP('Monthly Lean'!I61,0),IF(Nonlabor!$I$12="Customers",'Monthly Lean'!D61,IF(Nonlabor!$I$12="NewCustomers",'Monthly Lean'!C61,IF(Nonlabor!$I$12="StorageGB",'Monthly Lean'!G61,IF(Nonlabor!$I$12="LogGB",'Monthly Lean'!H61,IF(Nonlabor!$I$12="RequestsM",'Monthly Lean'!F61,IF(Nonlabor!$I$12="InputM",'Monthly Lean'!D61*Assumptions!$C$22/1000000,IF(Nonlabor!$I$12="OutputM",'Monthly Lean'!D61*Assumptions!$C$23/1000000,0))))))))),0)</f>
        <v>0.519860325881157</v>
      </c>
      <c r="F421" s="10" t="n">
        <f aca="false">Nonlabor!$J$12*(1+Assumptions!$C$9)^INT((C421-1)/12)</f>
        <v>33.7652643</v>
      </c>
      <c r="G421" s="10" t="n">
        <f aca="false">E421*F421</f>
        <v>17.5532213024614</v>
      </c>
      <c r="H421" s="10" t="n">
        <f aca="false">IF(OR(Nonlabor!$L$12="Quote required",Nonlabor!$L$12="Unverified"),G421,0)</f>
        <v>0</v>
      </c>
      <c r="I421" s="10" t="n">
        <f aca="false">IF(Nonlabor!$E$12="Core",0,G421)</f>
        <v>0</v>
      </c>
      <c r="J421" s="23" t="str">
        <f aca="false">Nonlabor!$B$12</f>
        <v>INFRA</v>
      </c>
    </row>
    <row r="422" customFormat="false" ht="15" hidden="false" customHeight="false" outlineLevel="0" collapsed="false">
      <c r="A422" s="6" t="s">
        <v>72</v>
      </c>
      <c r="B422" s="6" t="s">
        <v>391</v>
      </c>
      <c r="C422" s="6" t="n">
        <v>57</v>
      </c>
      <c r="D422" s="25" t="n">
        <f aca="false">EDATE('Start Here'!$B$6,C422-1)</f>
        <v>48030</v>
      </c>
      <c r="E422" s="11" t="n">
        <f aca="false">IF(AND(OR(Nonlabor!$D$12="Both",Nonlabor!$D$12='Start Here'!$B$9),IF(Nonlabor!$E$12="Core",1,IF(Nonlabor!$E$12="AI",'Start Here'!$B$7,'Start Here'!$B$8))=1,C422&gt;=IF(Nonlabor!$E$12="Core",Nonlabor!$F$12,MAX(Nonlabor!$F$12,IF(Nonlabor!$E$12="AI",Assumptions!$C$24,Assumptions!$C$25))),C422&lt;=Nonlabor!$G$12,OR(Nonlabor!$H$12="Monthly",AND(Nonlabor!$H$12="Once",C422=IF(Nonlabor!$E$12="Core",Nonlabor!$F$12,MAX(Nonlabor!$F$12,IF(Nonlabor!$E$12="AI",Assumptions!$C$24,Assumptions!$C$25)))),AND(Nonlabor!$H$12="Annual",MOD(C422-IF(Nonlabor!$E$12="Core",Nonlabor!$F$12,MAX(Nonlabor!$F$12,IF(Nonlabor!$E$12="AI",Assumptions!$C$24,Assumptions!$C$25))),12)=0))),IF(Nonlabor!$I$12="Fixed",1,IF(Nonlabor!$I$12="Seats",ROUNDUP('Monthly Lean'!I62,0),IF(Nonlabor!$I$12="Customers",'Monthly Lean'!D62,IF(Nonlabor!$I$12="NewCustomers",'Monthly Lean'!C62,IF(Nonlabor!$I$12="StorageGB",'Monthly Lean'!G62,IF(Nonlabor!$I$12="LogGB",'Monthly Lean'!H62,IF(Nonlabor!$I$12="RequestsM",'Monthly Lean'!F62,IF(Nonlabor!$I$12="InputM",'Monthly Lean'!D62*Assumptions!$C$22/1000000,IF(Nonlabor!$I$12="OutputM",'Monthly Lean'!D62*Assumptions!$C$23/1000000,0))))))))),0)</f>
        <v>0.53549992099294</v>
      </c>
      <c r="F422" s="10" t="n">
        <f aca="false">Nonlabor!$J$12*(1+Assumptions!$C$9)^INT((C422-1)/12)</f>
        <v>33.7652643</v>
      </c>
      <c r="G422" s="10" t="n">
        <f aca="false">E422*F422</f>
        <v>18.0812963649557</v>
      </c>
      <c r="H422" s="10" t="n">
        <f aca="false">IF(OR(Nonlabor!$L$12="Quote required",Nonlabor!$L$12="Unverified"),G422,0)</f>
        <v>0</v>
      </c>
      <c r="I422" s="10" t="n">
        <f aca="false">IF(Nonlabor!$E$12="Core",0,G422)</f>
        <v>0</v>
      </c>
      <c r="J422" s="23" t="str">
        <f aca="false">Nonlabor!$B$12</f>
        <v>INFRA</v>
      </c>
    </row>
    <row r="423" customFormat="false" ht="15" hidden="false" customHeight="false" outlineLevel="0" collapsed="false">
      <c r="A423" s="6" t="s">
        <v>72</v>
      </c>
      <c r="B423" s="6" t="s">
        <v>391</v>
      </c>
      <c r="C423" s="6" t="n">
        <v>58</v>
      </c>
      <c r="D423" s="25" t="n">
        <f aca="false">EDATE('Start Here'!$B$6,C423-1)</f>
        <v>48061</v>
      </c>
      <c r="E423" s="11" t="n">
        <f aca="false">IF(AND(OR(Nonlabor!$D$12="Both",Nonlabor!$D$12='Start Here'!$B$9),IF(Nonlabor!$E$12="Core",1,IF(Nonlabor!$E$12="AI",'Start Here'!$B$7,'Start Here'!$B$8))=1,C423&gt;=IF(Nonlabor!$E$12="Core",Nonlabor!$F$12,MAX(Nonlabor!$F$12,IF(Nonlabor!$E$12="AI",Assumptions!$C$24,Assumptions!$C$25))),C423&lt;=Nonlabor!$G$12,OR(Nonlabor!$H$12="Monthly",AND(Nonlabor!$H$12="Once",C423=IF(Nonlabor!$E$12="Core",Nonlabor!$F$12,MAX(Nonlabor!$F$12,IF(Nonlabor!$E$12="AI",Assumptions!$C$24,Assumptions!$C$25)))),AND(Nonlabor!$H$12="Annual",MOD(C423-IF(Nonlabor!$E$12="Core",Nonlabor!$F$12,MAX(Nonlabor!$F$12,IF(Nonlabor!$E$12="AI",Assumptions!$C$24,Assumptions!$C$25))),12)=0))),IF(Nonlabor!$I$12="Fixed",1,IF(Nonlabor!$I$12="Seats",ROUNDUP('Monthly Lean'!I63,0),IF(Nonlabor!$I$12="Customers",'Monthly Lean'!D63,IF(Nonlabor!$I$12="NewCustomers",'Monthly Lean'!C63,IF(Nonlabor!$I$12="StorageGB",'Monthly Lean'!G63,IF(Nonlabor!$I$12="LogGB",'Monthly Lean'!H63,IF(Nonlabor!$I$12="RequestsM",'Monthly Lean'!F63,IF(Nonlabor!$I$12="InputM",'Monthly Lean'!D63*Assumptions!$C$22/1000000,IF(Nonlabor!$I$12="OutputM",'Monthly Lean'!D63*Assumptions!$C$23/1000000,0))))))))),0)</f>
        <v>0.550904922178046</v>
      </c>
      <c r="F423" s="10" t="n">
        <f aca="false">Nonlabor!$J$12*(1+Assumptions!$C$9)^INT((C423-1)/12)</f>
        <v>33.7652643</v>
      </c>
      <c r="G423" s="10" t="n">
        <f aca="false">E423*F423</f>
        <v>18.6014503015126</v>
      </c>
      <c r="H423" s="10" t="n">
        <f aca="false">IF(OR(Nonlabor!$L$12="Quote required",Nonlabor!$L$12="Unverified"),G423,0)</f>
        <v>0</v>
      </c>
      <c r="I423" s="10" t="n">
        <f aca="false">IF(Nonlabor!$E$12="Core",0,G423)</f>
        <v>0</v>
      </c>
      <c r="J423" s="23" t="str">
        <f aca="false">Nonlabor!$B$12</f>
        <v>INFRA</v>
      </c>
    </row>
    <row r="424" customFormat="false" ht="15" hidden="false" customHeight="false" outlineLevel="0" collapsed="false">
      <c r="A424" s="6" t="s">
        <v>72</v>
      </c>
      <c r="B424" s="6" t="s">
        <v>391</v>
      </c>
      <c r="C424" s="6" t="n">
        <v>59</v>
      </c>
      <c r="D424" s="25" t="n">
        <f aca="false">EDATE('Start Here'!$B$6,C424-1)</f>
        <v>48092</v>
      </c>
      <c r="E424" s="11" t="n">
        <f aca="false">IF(AND(OR(Nonlabor!$D$12="Both",Nonlabor!$D$12='Start Here'!$B$9),IF(Nonlabor!$E$12="Core",1,IF(Nonlabor!$E$12="AI",'Start Here'!$B$7,'Start Here'!$B$8))=1,C424&gt;=IF(Nonlabor!$E$12="Core",Nonlabor!$F$12,MAX(Nonlabor!$F$12,IF(Nonlabor!$E$12="AI",Assumptions!$C$24,Assumptions!$C$25))),C424&lt;=Nonlabor!$G$12,OR(Nonlabor!$H$12="Monthly",AND(Nonlabor!$H$12="Once",C424=IF(Nonlabor!$E$12="Core",Nonlabor!$F$12,MAX(Nonlabor!$F$12,IF(Nonlabor!$E$12="AI",Assumptions!$C$24,Assumptions!$C$25)))),AND(Nonlabor!$H$12="Annual",MOD(C424-IF(Nonlabor!$E$12="Core",Nonlabor!$F$12,MAX(Nonlabor!$F$12,IF(Nonlabor!$E$12="AI",Assumptions!$C$24,Assumptions!$C$25))),12)=0))),IF(Nonlabor!$I$12="Fixed",1,IF(Nonlabor!$I$12="Seats",ROUNDUP('Monthly Lean'!I64,0),IF(Nonlabor!$I$12="Customers",'Monthly Lean'!D64,IF(Nonlabor!$I$12="NewCustomers",'Monthly Lean'!C64,IF(Nonlabor!$I$12="StorageGB",'Monthly Lean'!G64,IF(Nonlabor!$I$12="LogGB",'Monthly Lean'!H64,IF(Nonlabor!$I$12="RequestsM",'Monthly Lean'!F64,IF(Nonlabor!$I$12="InputM",'Monthly Lean'!D64*Assumptions!$C$22/1000000,IF(Nonlabor!$I$12="OutputM",'Monthly Lean'!D64*Assumptions!$C$23/1000000,0))))))))),0)</f>
        <v>0.566078848345375</v>
      </c>
      <c r="F424" s="10" t="n">
        <f aca="false">Nonlabor!$J$12*(1+Assumptions!$C$9)^INT((C424-1)/12)</f>
        <v>33.7652643</v>
      </c>
      <c r="G424" s="10" t="n">
        <f aca="false">E424*F424</f>
        <v>19.1138019290212</v>
      </c>
      <c r="H424" s="10" t="n">
        <f aca="false">IF(OR(Nonlabor!$L$12="Quote required",Nonlabor!$L$12="Unverified"),G424,0)</f>
        <v>0</v>
      </c>
      <c r="I424" s="10" t="n">
        <f aca="false">IF(Nonlabor!$E$12="Core",0,G424)</f>
        <v>0</v>
      </c>
      <c r="J424" s="23" t="str">
        <f aca="false">Nonlabor!$B$12</f>
        <v>INFRA</v>
      </c>
    </row>
    <row r="425" customFormat="false" ht="15" hidden="false" customHeight="false" outlineLevel="0" collapsed="false">
      <c r="A425" s="6" t="s">
        <v>72</v>
      </c>
      <c r="B425" s="6" t="s">
        <v>391</v>
      </c>
      <c r="C425" s="6" t="n">
        <v>60</v>
      </c>
      <c r="D425" s="25" t="n">
        <f aca="false">EDATE('Start Here'!$B$6,C425-1)</f>
        <v>48122</v>
      </c>
      <c r="E425" s="11" t="n">
        <f aca="false">IF(AND(OR(Nonlabor!$D$12="Both",Nonlabor!$D$12='Start Here'!$B$9),IF(Nonlabor!$E$12="Core",1,IF(Nonlabor!$E$12="AI",'Start Here'!$B$7,'Start Here'!$B$8))=1,C425&gt;=IF(Nonlabor!$E$12="Core",Nonlabor!$F$12,MAX(Nonlabor!$F$12,IF(Nonlabor!$E$12="AI",Assumptions!$C$24,Assumptions!$C$25))),C425&lt;=Nonlabor!$G$12,OR(Nonlabor!$H$12="Monthly",AND(Nonlabor!$H$12="Once",C425=IF(Nonlabor!$E$12="Core",Nonlabor!$F$12,MAX(Nonlabor!$F$12,IF(Nonlabor!$E$12="AI",Assumptions!$C$24,Assumptions!$C$25)))),AND(Nonlabor!$H$12="Annual",MOD(C425-IF(Nonlabor!$E$12="Core",Nonlabor!$F$12,MAX(Nonlabor!$F$12,IF(Nonlabor!$E$12="AI",Assumptions!$C$24,Assumptions!$C$25))),12)=0))),IF(Nonlabor!$I$12="Fixed",1,IF(Nonlabor!$I$12="Seats",ROUNDUP('Monthly Lean'!I65,0),IF(Nonlabor!$I$12="Customers",'Monthly Lean'!D65,IF(Nonlabor!$I$12="NewCustomers",'Monthly Lean'!C65,IF(Nonlabor!$I$12="StorageGB",'Monthly Lean'!G65,IF(Nonlabor!$I$12="LogGB",'Monthly Lean'!H65,IF(Nonlabor!$I$12="RequestsM",'Monthly Lean'!F65,IF(Nonlabor!$I$12="InputM",'Monthly Lean'!D65*Assumptions!$C$22/1000000,IF(Nonlabor!$I$12="OutputM",'Monthly Lean'!D65*Assumptions!$C$23/1000000,0))))))))),0)</f>
        <v>0.581025165620194</v>
      </c>
      <c r="F425" s="10" t="n">
        <f aca="false">Nonlabor!$J$12*(1+Assumptions!$C$9)^INT((C425-1)/12)</f>
        <v>33.7652643</v>
      </c>
      <c r="G425" s="10" t="n">
        <f aca="false">E425*F425</f>
        <v>19.6184682821171</v>
      </c>
      <c r="H425" s="10" t="n">
        <f aca="false">IF(OR(Nonlabor!$L$12="Quote required",Nonlabor!$L$12="Unverified"),G425,0)</f>
        <v>0</v>
      </c>
      <c r="I425" s="10" t="n">
        <f aca="false">IF(Nonlabor!$E$12="Core",0,G425)</f>
        <v>0</v>
      </c>
      <c r="J425" s="23" t="str">
        <f aca="false">Nonlabor!$B$12</f>
        <v>INFRA</v>
      </c>
    </row>
    <row r="426" customFormat="false" ht="15" hidden="false" customHeight="false" outlineLevel="0" collapsed="false">
      <c r="A426" s="6" t="s">
        <v>72</v>
      </c>
      <c r="B426" s="6" t="s">
        <v>395</v>
      </c>
      <c r="C426" s="6" t="n">
        <v>1</v>
      </c>
      <c r="D426" s="25" t="n">
        <f aca="false">EDATE('Start Here'!$B$6,C426-1)</f>
        <v>46327</v>
      </c>
      <c r="E426" s="23" t="n">
        <f aca="false">IF(AND(OR(Nonlabor!$D$13="Both",Nonlabor!$D$13='Start Here'!$B$9),IF(Nonlabor!$E$13="Core",1,IF(Nonlabor!$E$13="AI",'Start Here'!$B$7,'Start Here'!$B$8))=1,C426&gt;=IF(Nonlabor!$E$13="Core",Nonlabor!$F$13,MAX(Nonlabor!$F$13,IF(Nonlabor!$E$13="AI",Assumptions!$C$24,Assumptions!$C$25))),C426&lt;=Nonlabor!$G$13,OR(Nonlabor!$H$13="Monthly",AND(Nonlabor!$H$13="Once",C426=IF(Nonlabor!$E$13="Core",Nonlabor!$F$13,MAX(Nonlabor!$F$13,IF(Nonlabor!$E$13="AI",Assumptions!$C$24,Assumptions!$C$25)))),AND(Nonlabor!$H$13="Annual",MOD(C426-IF(Nonlabor!$E$13="Core",Nonlabor!$F$13,MAX(Nonlabor!$F$13,IF(Nonlabor!$E$13="AI",Assumptions!$C$24,Assumptions!$C$25))),12)=0))),IF(Nonlabor!$I$13="Fixed",1,IF(Nonlabor!$I$13="Seats",ROUNDUP('Monthly Lean'!I6,0),IF(Nonlabor!$I$13="Customers",'Monthly Lean'!D6,IF(Nonlabor!$I$13="NewCustomers",'Monthly Lean'!C6,IF(Nonlabor!$I$13="StorageGB",'Monthly Lean'!G6,IF(Nonlabor!$I$13="LogGB",'Monthly Lean'!H6,IF(Nonlabor!$I$13="RequestsM",'Monthly Lean'!F6,IF(Nonlabor!$I$13="InputM",'Monthly Lean'!D6*Assumptions!$C$22/1000000,IF(Nonlabor!$I$13="OutputM",'Monthly Lean'!D6*Assumptions!$C$23/1000000,0))))))))),0)</f>
        <v>2</v>
      </c>
      <c r="F426" s="10" t="n">
        <f aca="false">Nonlabor!$J$13*(1+Assumptions!$C$9)^INT((C426-1)/12)</f>
        <v>4</v>
      </c>
      <c r="G426" s="10" t="n">
        <f aca="false">E426*F426</f>
        <v>8</v>
      </c>
      <c r="H426" s="10" t="n">
        <f aca="false">IF(OR(Nonlabor!$L$13="Quote required",Nonlabor!$L$13="Unverified"),G426,0)</f>
        <v>0</v>
      </c>
      <c r="I426" s="10" t="n">
        <f aca="false">IF(Nonlabor!$E$13="Core",0,G426)</f>
        <v>0</v>
      </c>
      <c r="J426" s="23" t="str">
        <f aca="false">Nonlabor!$B$13</f>
        <v>TOOLS</v>
      </c>
    </row>
    <row r="427" customFormat="false" ht="15" hidden="false" customHeight="false" outlineLevel="0" collapsed="false">
      <c r="A427" s="6" t="s">
        <v>72</v>
      </c>
      <c r="B427" s="6" t="s">
        <v>395</v>
      </c>
      <c r="C427" s="6" t="n">
        <v>2</v>
      </c>
      <c r="D427" s="25" t="n">
        <f aca="false">EDATE('Start Here'!$B$6,C427-1)</f>
        <v>46357</v>
      </c>
      <c r="E427" s="23" t="n">
        <f aca="false">IF(AND(OR(Nonlabor!$D$13="Both",Nonlabor!$D$13='Start Here'!$B$9),IF(Nonlabor!$E$13="Core",1,IF(Nonlabor!$E$13="AI",'Start Here'!$B$7,'Start Here'!$B$8))=1,C427&gt;=IF(Nonlabor!$E$13="Core",Nonlabor!$F$13,MAX(Nonlabor!$F$13,IF(Nonlabor!$E$13="AI",Assumptions!$C$24,Assumptions!$C$25))),C427&lt;=Nonlabor!$G$13,OR(Nonlabor!$H$13="Monthly",AND(Nonlabor!$H$13="Once",C427=IF(Nonlabor!$E$13="Core",Nonlabor!$F$13,MAX(Nonlabor!$F$13,IF(Nonlabor!$E$13="AI",Assumptions!$C$24,Assumptions!$C$25)))),AND(Nonlabor!$H$13="Annual",MOD(C427-IF(Nonlabor!$E$13="Core",Nonlabor!$F$13,MAX(Nonlabor!$F$13,IF(Nonlabor!$E$13="AI",Assumptions!$C$24,Assumptions!$C$25))),12)=0))),IF(Nonlabor!$I$13="Fixed",1,IF(Nonlabor!$I$13="Seats",ROUNDUP('Monthly Lean'!I7,0),IF(Nonlabor!$I$13="Customers",'Monthly Lean'!D7,IF(Nonlabor!$I$13="NewCustomers",'Monthly Lean'!C7,IF(Nonlabor!$I$13="StorageGB",'Monthly Lean'!G7,IF(Nonlabor!$I$13="LogGB",'Monthly Lean'!H7,IF(Nonlabor!$I$13="RequestsM",'Monthly Lean'!F7,IF(Nonlabor!$I$13="InputM",'Monthly Lean'!D7*Assumptions!$C$22/1000000,IF(Nonlabor!$I$13="OutputM",'Monthly Lean'!D7*Assumptions!$C$23/1000000,0))))))))),0)</f>
        <v>3</v>
      </c>
      <c r="F427" s="10" t="n">
        <f aca="false">Nonlabor!$J$13*(1+Assumptions!$C$9)^INT((C427-1)/12)</f>
        <v>4</v>
      </c>
      <c r="G427" s="10" t="n">
        <f aca="false">E427*F427</f>
        <v>12</v>
      </c>
      <c r="H427" s="10" t="n">
        <f aca="false">IF(OR(Nonlabor!$L$13="Quote required",Nonlabor!$L$13="Unverified"),G427,0)</f>
        <v>0</v>
      </c>
      <c r="I427" s="10" t="n">
        <f aca="false">IF(Nonlabor!$E$13="Core",0,G427)</f>
        <v>0</v>
      </c>
      <c r="J427" s="23" t="str">
        <f aca="false">Nonlabor!$B$13</f>
        <v>TOOLS</v>
      </c>
    </row>
    <row r="428" customFormat="false" ht="15" hidden="false" customHeight="false" outlineLevel="0" collapsed="false">
      <c r="A428" s="6" t="s">
        <v>72</v>
      </c>
      <c r="B428" s="6" t="s">
        <v>395</v>
      </c>
      <c r="C428" s="6" t="n">
        <v>3</v>
      </c>
      <c r="D428" s="25" t="n">
        <f aca="false">EDATE('Start Here'!$B$6,C428-1)</f>
        <v>46388</v>
      </c>
      <c r="E428" s="23" t="n">
        <f aca="false">IF(AND(OR(Nonlabor!$D$13="Both",Nonlabor!$D$13='Start Here'!$B$9),IF(Nonlabor!$E$13="Core",1,IF(Nonlabor!$E$13="AI",'Start Here'!$B$7,'Start Here'!$B$8))=1,C428&gt;=IF(Nonlabor!$E$13="Core",Nonlabor!$F$13,MAX(Nonlabor!$F$13,IF(Nonlabor!$E$13="AI",Assumptions!$C$24,Assumptions!$C$25))),C428&lt;=Nonlabor!$G$13,OR(Nonlabor!$H$13="Monthly",AND(Nonlabor!$H$13="Once",C428=IF(Nonlabor!$E$13="Core",Nonlabor!$F$13,MAX(Nonlabor!$F$13,IF(Nonlabor!$E$13="AI",Assumptions!$C$24,Assumptions!$C$25)))),AND(Nonlabor!$H$13="Annual",MOD(C428-IF(Nonlabor!$E$13="Core",Nonlabor!$F$13,MAX(Nonlabor!$F$13,IF(Nonlabor!$E$13="AI",Assumptions!$C$24,Assumptions!$C$25))),12)=0))),IF(Nonlabor!$I$13="Fixed",1,IF(Nonlabor!$I$13="Seats",ROUNDUP('Monthly Lean'!I8,0),IF(Nonlabor!$I$13="Customers",'Monthly Lean'!D8,IF(Nonlabor!$I$13="NewCustomers",'Monthly Lean'!C8,IF(Nonlabor!$I$13="StorageGB",'Monthly Lean'!G8,IF(Nonlabor!$I$13="LogGB",'Monthly Lean'!H8,IF(Nonlabor!$I$13="RequestsM",'Monthly Lean'!F8,IF(Nonlabor!$I$13="InputM",'Monthly Lean'!D8*Assumptions!$C$22/1000000,IF(Nonlabor!$I$13="OutputM",'Monthly Lean'!D8*Assumptions!$C$23/1000000,0))))))))),0)</f>
        <v>3</v>
      </c>
      <c r="F428" s="10" t="n">
        <f aca="false">Nonlabor!$J$13*(1+Assumptions!$C$9)^INT((C428-1)/12)</f>
        <v>4</v>
      </c>
      <c r="G428" s="10" t="n">
        <f aca="false">E428*F428</f>
        <v>12</v>
      </c>
      <c r="H428" s="10" t="n">
        <f aca="false">IF(OR(Nonlabor!$L$13="Quote required",Nonlabor!$L$13="Unverified"),G428,0)</f>
        <v>0</v>
      </c>
      <c r="I428" s="10" t="n">
        <f aca="false">IF(Nonlabor!$E$13="Core",0,G428)</f>
        <v>0</v>
      </c>
      <c r="J428" s="23" t="str">
        <f aca="false">Nonlabor!$B$13</f>
        <v>TOOLS</v>
      </c>
    </row>
    <row r="429" customFormat="false" ht="15" hidden="false" customHeight="false" outlineLevel="0" collapsed="false">
      <c r="A429" s="6" t="s">
        <v>72</v>
      </c>
      <c r="B429" s="6" t="s">
        <v>395</v>
      </c>
      <c r="C429" s="6" t="n">
        <v>4</v>
      </c>
      <c r="D429" s="25" t="n">
        <f aca="false">EDATE('Start Here'!$B$6,C429-1)</f>
        <v>46419</v>
      </c>
      <c r="E429" s="23" t="n">
        <f aca="false">IF(AND(OR(Nonlabor!$D$13="Both",Nonlabor!$D$13='Start Here'!$B$9),IF(Nonlabor!$E$13="Core",1,IF(Nonlabor!$E$13="AI",'Start Here'!$B$7,'Start Here'!$B$8))=1,C429&gt;=IF(Nonlabor!$E$13="Core",Nonlabor!$F$13,MAX(Nonlabor!$F$13,IF(Nonlabor!$E$13="AI",Assumptions!$C$24,Assumptions!$C$25))),C429&lt;=Nonlabor!$G$13,OR(Nonlabor!$H$13="Monthly",AND(Nonlabor!$H$13="Once",C429=IF(Nonlabor!$E$13="Core",Nonlabor!$F$13,MAX(Nonlabor!$F$13,IF(Nonlabor!$E$13="AI",Assumptions!$C$24,Assumptions!$C$25)))),AND(Nonlabor!$H$13="Annual",MOD(C429-IF(Nonlabor!$E$13="Core",Nonlabor!$F$13,MAX(Nonlabor!$F$13,IF(Nonlabor!$E$13="AI",Assumptions!$C$24,Assumptions!$C$25))),12)=0))),IF(Nonlabor!$I$13="Fixed",1,IF(Nonlabor!$I$13="Seats",ROUNDUP('Monthly Lean'!I9,0),IF(Nonlabor!$I$13="Customers",'Monthly Lean'!D9,IF(Nonlabor!$I$13="NewCustomers",'Monthly Lean'!C9,IF(Nonlabor!$I$13="StorageGB",'Monthly Lean'!G9,IF(Nonlabor!$I$13="LogGB",'Monthly Lean'!H9,IF(Nonlabor!$I$13="RequestsM",'Monthly Lean'!F9,IF(Nonlabor!$I$13="InputM",'Monthly Lean'!D9*Assumptions!$C$22/1000000,IF(Nonlabor!$I$13="OutputM",'Monthly Lean'!D9*Assumptions!$C$23/1000000,0))))))))),0)</f>
        <v>3</v>
      </c>
      <c r="F429" s="10" t="n">
        <f aca="false">Nonlabor!$J$13*(1+Assumptions!$C$9)^INT((C429-1)/12)</f>
        <v>4</v>
      </c>
      <c r="G429" s="10" t="n">
        <f aca="false">E429*F429</f>
        <v>12</v>
      </c>
      <c r="H429" s="10" t="n">
        <f aca="false">IF(OR(Nonlabor!$L$13="Quote required",Nonlabor!$L$13="Unverified"),G429,0)</f>
        <v>0</v>
      </c>
      <c r="I429" s="10" t="n">
        <f aca="false">IF(Nonlabor!$E$13="Core",0,G429)</f>
        <v>0</v>
      </c>
      <c r="J429" s="23" t="str">
        <f aca="false">Nonlabor!$B$13</f>
        <v>TOOLS</v>
      </c>
    </row>
    <row r="430" customFormat="false" ht="15" hidden="false" customHeight="false" outlineLevel="0" collapsed="false">
      <c r="A430" s="6" t="s">
        <v>72</v>
      </c>
      <c r="B430" s="6" t="s">
        <v>395</v>
      </c>
      <c r="C430" s="6" t="n">
        <v>5</v>
      </c>
      <c r="D430" s="25" t="n">
        <f aca="false">EDATE('Start Here'!$B$6,C430-1)</f>
        <v>46447</v>
      </c>
      <c r="E430" s="23" t="n">
        <f aca="false">IF(AND(OR(Nonlabor!$D$13="Both",Nonlabor!$D$13='Start Here'!$B$9),IF(Nonlabor!$E$13="Core",1,IF(Nonlabor!$E$13="AI",'Start Here'!$B$7,'Start Here'!$B$8))=1,C430&gt;=IF(Nonlabor!$E$13="Core",Nonlabor!$F$13,MAX(Nonlabor!$F$13,IF(Nonlabor!$E$13="AI",Assumptions!$C$24,Assumptions!$C$25))),C430&lt;=Nonlabor!$G$13,OR(Nonlabor!$H$13="Monthly",AND(Nonlabor!$H$13="Once",C430=IF(Nonlabor!$E$13="Core",Nonlabor!$F$13,MAX(Nonlabor!$F$13,IF(Nonlabor!$E$13="AI",Assumptions!$C$24,Assumptions!$C$25)))),AND(Nonlabor!$H$13="Annual",MOD(C430-IF(Nonlabor!$E$13="Core",Nonlabor!$F$13,MAX(Nonlabor!$F$13,IF(Nonlabor!$E$13="AI",Assumptions!$C$24,Assumptions!$C$25))),12)=0))),IF(Nonlabor!$I$13="Fixed",1,IF(Nonlabor!$I$13="Seats",ROUNDUP('Monthly Lean'!I10,0),IF(Nonlabor!$I$13="Customers",'Monthly Lean'!D10,IF(Nonlabor!$I$13="NewCustomers",'Monthly Lean'!C10,IF(Nonlabor!$I$13="StorageGB",'Monthly Lean'!G10,IF(Nonlabor!$I$13="LogGB",'Monthly Lean'!H10,IF(Nonlabor!$I$13="RequestsM",'Monthly Lean'!F10,IF(Nonlabor!$I$13="InputM",'Monthly Lean'!D10*Assumptions!$C$22/1000000,IF(Nonlabor!$I$13="OutputM",'Monthly Lean'!D10*Assumptions!$C$23/1000000,0))))))))),0)</f>
        <v>3</v>
      </c>
      <c r="F430" s="10" t="n">
        <f aca="false">Nonlabor!$J$13*(1+Assumptions!$C$9)^INT((C430-1)/12)</f>
        <v>4</v>
      </c>
      <c r="G430" s="10" t="n">
        <f aca="false">E430*F430</f>
        <v>12</v>
      </c>
      <c r="H430" s="10" t="n">
        <f aca="false">IF(OR(Nonlabor!$L$13="Quote required",Nonlabor!$L$13="Unverified"),G430,0)</f>
        <v>0</v>
      </c>
      <c r="I430" s="10" t="n">
        <f aca="false">IF(Nonlabor!$E$13="Core",0,G430)</f>
        <v>0</v>
      </c>
      <c r="J430" s="23" t="str">
        <f aca="false">Nonlabor!$B$13</f>
        <v>TOOLS</v>
      </c>
    </row>
    <row r="431" customFormat="false" ht="15" hidden="false" customHeight="false" outlineLevel="0" collapsed="false">
      <c r="A431" s="6" t="s">
        <v>72</v>
      </c>
      <c r="B431" s="6" t="s">
        <v>395</v>
      </c>
      <c r="C431" s="6" t="n">
        <v>6</v>
      </c>
      <c r="D431" s="25" t="n">
        <f aca="false">EDATE('Start Here'!$B$6,C431-1)</f>
        <v>46478</v>
      </c>
      <c r="E431" s="23" t="n">
        <f aca="false">IF(AND(OR(Nonlabor!$D$13="Both",Nonlabor!$D$13='Start Here'!$B$9),IF(Nonlabor!$E$13="Core",1,IF(Nonlabor!$E$13="AI",'Start Here'!$B$7,'Start Here'!$B$8))=1,C431&gt;=IF(Nonlabor!$E$13="Core",Nonlabor!$F$13,MAX(Nonlabor!$F$13,IF(Nonlabor!$E$13="AI",Assumptions!$C$24,Assumptions!$C$25))),C431&lt;=Nonlabor!$G$13,OR(Nonlabor!$H$13="Monthly",AND(Nonlabor!$H$13="Once",C431=IF(Nonlabor!$E$13="Core",Nonlabor!$F$13,MAX(Nonlabor!$F$13,IF(Nonlabor!$E$13="AI",Assumptions!$C$24,Assumptions!$C$25)))),AND(Nonlabor!$H$13="Annual",MOD(C431-IF(Nonlabor!$E$13="Core",Nonlabor!$F$13,MAX(Nonlabor!$F$13,IF(Nonlabor!$E$13="AI",Assumptions!$C$24,Assumptions!$C$25))),12)=0))),IF(Nonlabor!$I$13="Fixed",1,IF(Nonlabor!$I$13="Seats",ROUNDUP('Monthly Lean'!I11,0),IF(Nonlabor!$I$13="Customers",'Monthly Lean'!D11,IF(Nonlabor!$I$13="NewCustomers",'Monthly Lean'!C11,IF(Nonlabor!$I$13="StorageGB",'Monthly Lean'!G11,IF(Nonlabor!$I$13="LogGB",'Monthly Lean'!H11,IF(Nonlabor!$I$13="RequestsM",'Monthly Lean'!F11,IF(Nonlabor!$I$13="InputM",'Monthly Lean'!D11*Assumptions!$C$22/1000000,IF(Nonlabor!$I$13="OutputM",'Monthly Lean'!D11*Assumptions!$C$23/1000000,0))))))))),0)</f>
        <v>3</v>
      </c>
      <c r="F431" s="10" t="n">
        <f aca="false">Nonlabor!$J$13*(1+Assumptions!$C$9)^INT((C431-1)/12)</f>
        <v>4</v>
      </c>
      <c r="G431" s="10" t="n">
        <f aca="false">E431*F431</f>
        <v>12</v>
      </c>
      <c r="H431" s="10" t="n">
        <f aca="false">IF(OR(Nonlabor!$L$13="Quote required",Nonlabor!$L$13="Unverified"),G431,0)</f>
        <v>0</v>
      </c>
      <c r="I431" s="10" t="n">
        <f aca="false">IF(Nonlabor!$E$13="Core",0,G431)</f>
        <v>0</v>
      </c>
      <c r="J431" s="23" t="str">
        <f aca="false">Nonlabor!$B$13</f>
        <v>TOOLS</v>
      </c>
    </row>
    <row r="432" customFormat="false" ht="15" hidden="false" customHeight="false" outlineLevel="0" collapsed="false">
      <c r="A432" s="6" t="s">
        <v>72</v>
      </c>
      <c r="B432" s="6" t="s">
        <v>395</v>
      </c>
      <c r="C432" s="6" t="n">
        <v>7</v>
      </c>
      <c r="D432" s="25" t="n">
        <f aca="false">EDATE('Start Here'!$B$6,C432-1)</f>
        <v>46508</v>
      </c>
      <c r="E432" s="23" t="n">
        <f aca="false">IF(AND(OR(Nonlabor!$D$13="Both",Nonlabor!$D$13='Start Here'!$B$9),IF(Nonlabor!$E$13="Core",1,IF(Nonlabor!$E$13="AI",'Start Here'!$B$7,'Start Here'!$B$8))=1,C432&gt;=IF(Nonlabor!$E$13="Core",Nonlabor!$F$13,MAX(Nonlabor!$F$13,IF(Nonlabor!$E$13="AI",Assumptions!$C$24,Assumptions!$C$25))),C432&lt;=Nonlabor!$G$13,OR(Nonlabor!$H$13="Monthly",AND(Nonlabor!$H$13="Once",C432=IF(Nonlabor!$E$13="Core",Nonlabor!$F$13,MAX(Nonlabor!$F$13,IF(Nonlabor!$E$13="AI",Assumptions!$C$24,Assumptions!$C$25)))),AND(Nonlabor!$H$13="Annual",MOD(C432-IF(Nonlabor!$E$13="Core",Nonlabor!$F$13,MAX(Nonlabor!$F$13,IF(Nonlabor!$E$13="AI",Assumptions!$C$24,Assumptions!$C$25))),12)=0))),IF(Nonlabor!$I$13="Fixed",1,IF(Nonlabor!$I$13="Seats",ROUNDUP('Monthly Lean'!I12,0),IF(Nonlabor!$I$13="Customers",'Monthly Lean'!D12,IF(Nonlabor!$I$13="NewCustomers",'Monthly Lean'!C12,IF(Nonlabor!$I$13="StorageGB",'Monthly Lean'!G12,IF(Nonlabor!$I$13="LogGB",'Monthly Lean'!H12,IF(Nonlabor!$I$13="RequestsM",'Monthly Lean'!F12,IF(Nonlabor!$I$13="InputM",'Monthly Lean'!D12*Assumptions!$C$22/1000000,IF(Nonlabor!$I$13="OutputM",'Monthly Lean'!D12*Assumptions!$C$23/1000000,0))))))))),0)</f>
        <v>4</v>
      </c>
      <c r="F432" s="10" t="n">
        <f aca="false">Nonlabor!$J$13*(1+Assumptions!$C$9)^INT((C432-1)/12)</f>
        <v>4</v>
      </c>
      <c r="G432" s="10" t="n">
        <f aca="false">E432*F432</f>
        <v>16</v>
      </c>
      <c r="H432" s="10" t="n">
        <f aca="false">IF(OR(Nonlabor!$L$13="Quote required",Nonlabor!$L$13="Unverified"),G432,0)</f>
        <v>0</v>
      </c>
      <c r="I432" s="10" t="n">
        <f aca="false">IF(Nonlabor!$E$13="Core",0,G432)</f>
        <v>0</v>
      </c>
      <c r="J432" s="23" t="str">
        <f aca="false">Nonlabor!$B$13</f>
        <v>TOOLS</v>
      </c>
    </row>
    <row r="433" customFormat="false" ht="15" hidden="false" customHeight="false" outlineLevel="0" collapsed="false">
      <c r="A433" s="6" t="s">
        <v>72</v>
      </c>
      <c r="B433" s="6" t="s">
        <v>395</v>
      </c>
      <c r="C433" s="6" t="n">
        <v>8</v>
      </c>
      <c r="D433" s="25" t="n">
        <f aca="false">EDATE('Start Here'!$B$6,C433-1)</f>
        <v>46539</v>
      </c>
      <c r="E433" s="23" t="n">
        <f aca="false">IF(AND(OR(Nonlabor!$D$13="Both",Nonlabor!$D$13='Start Here'!$B$9),IF(Nonlabor!$E$13="Core",1,IF(Nonlabor!$E$13="AI",'Start Here'!$B$7,'Start Here'!$B$8))=1,C433&gt;=IF(Nonlabor!$E$13="Core",Nonlabor!$F$13,MAX(Nonlabor!$F$13,IF(Nonlabor!$E$13="AI",Assumptions!$C$24,Assumptions!$C$25))),C433&lt;=Nonlabor!$G$13,OR(Nonlabor!$H$13="Monthly",AND(Nonlabor!$H$13="Once",C433=IF(Nonlabor!$E$13="Core",Nonlabor!$F$13,MAX(Nonlabor!$F$13,IF(Nonlabor!$E$13="AI",Assumptions!$C$24,Assumptions!$C$25)))),AND(Nonlabor!$H$13="Annual",MOD(C433-IF(Nonlabor!$E$13="Core",Nonlabor!$F$13,MAX(Nonlabor!$F$13,IF(Nonlabor!$E$13="AI",Assumptions!$C$24,Assumptions!$C$25))),12)=0))),IF(Nonlabor!$I$13="Fixed",1,IF(Nonlabor!$I$13="Seats",ROUNDUP('Monthly Lean'!I13,0),IF(Nonlabor!$I$13="Customers",'Monthly Lean'!D13,IF(Nonlabor!$I$13="NewCustomers",'Monthly Lean'!C13,IF(Nonlabor!$I$13="StorageGB",'Monthly Lean'!G13,IF(Nonlabor!$I$13="LogGB",'Monthly Lean'!H13,IF(Nonlabor!$I$13="RequestsM",'Monthly Lean'!F13,IF(Nonlabor!$I$13="InputM",'Monthly Lean'!D13*Assumptions!$C$22/1000000,IF(Nonlabor!$I$13="OutputM",'Monthly Lean'!D13*Assumptions!$C$23/1000000,0))))))))),0)</f>
        <v>4</v>
      </c>
      <c r="F433" s="10" t="n">
        <f aca="false">Nonlabor!$J$13*(1+Assumptions!$C$9)^INT((C433-1)/12)</f>
        <v>4</v>
      </c>
      <c r="G433" s="10" t="n">
        <f aca="false">E433*F433</f>
        <v>16</v>
      </c>
      <c r="H433" s="10" t="n">
        <f aca="false">IF(OR(Nonlabor!$L$13="Quote required",Nonlabor!$L$13="Unverified"),G433,0)</f>
        <v>0</v>
      </c>
      <c r="I433" s="10" t="n">
        <f aca="false">IF(Nonlabor!$E$13="Core",0,G433)</f>
        <v>0</v>
      </c>
      <c r="J433" s="23" t="str">
        <f aca="false">Nonlabor!$B$13</f>
        <v>TOOLS</v>
      </c>
    </row>
    <row r="434" customFormat="false" ht="15" hidden="false" customHeight="false" outlineLevel="0" collapsed="false">
      <c r="A434" s="6" t="s">
        <v>72</v>
      </c>
      <c r="B434" s="6" t="s">
        <v>395</v>
      </c>
      <c r="C434" s="6" t="n">
        <v>9</v>
      </c>
      <c r="D434" s="25" t="n">
        <f aca="false">EDATE('Start Here'!$B$6,C434-1)</f>
        <v>46569</v>
      </c>
      <c r="E434" s="23" t="n">
        <f aca="false">IF(AND(OR(Nonlabor!$D$13="Both",Nonlabor!$D$13='Start Here'!$B$9),IF(Nonlabor!$E$13="Core",1,IF(Nonlabor!$E$13="AI",'Start Here'!$B$7,'Start Here'!$B$8))=1,C434&gt;=IF(Nonlabor!$E$13="Core",Nonlabor!$F$13,MAX(Nonlabor!$F$13,IF(Nonlabor!$E$13="AI",Assumptions!$C$24,Assumptions!$C$25))),C434&lt;=Nonlabor!$G$13,OR(Nonlabor!$H$13="Monthly",AND(Nonlabor!$H$13="Once",C434=IF(Nonlabor!$E$13="Core",Nonlabor!$F$13,MAX(Nonlabor!$F$13,IF(Nonlabor!$E$13="AI",Assumptions!$C$24,Assumptions!$C$25)))),AND(Nonlabor!$H$13="Annual",MOD(C434-IF(Nonlabor!$E$13="Core",Nonlabor!$F$13,MAX(Nonlabor!$F$13,IF(Nonlabor!$E$13="AI",Assumptions!$C$24,Assumptions!$C$25))),12)=0))),IF(Nonlabor!$I$13="Fixed",1,IF(Nonlabor!$I$13="Seats",ROUNDUP('Monthly Lean'!I14,0),IF(Nonlabor!$I$13="Customers",'Monthly Lean'!D14,IF(Nonlabor!$I$13="NewCustomers",'Monthly Lean'!C14,IF(Nonlabor!$I$13="StorageGB",'Monthly Lean'!G14,IF(Nonlabor!$I$13="LogGB",'Monthly Lean'!H14,IF(Nonlabor!$I$13="RequestsM",'Monthly Lean'!F14,IF(Nonlabor!$I$13="InputM",'Monthly Lean'!D14*Assumptions!$C$22/1000000,IF(Nonlabor!$I$13="OutputM",'Monthly Lean'!D14*Assumptions!$C$23/1000000,0))))))))),0)</f>
        <v>4</v>
      </c>
      <c r="F434" s="10" t="n">
        <f aca="false">Nonlabor!$J$13*(1+Assumptions!$C$9)^INT((C434-1)/12)</f>
        <v>4</v>
      </c>
      <c r="G434" s="10" t="n">
        <f aca="false">E434*F434</f>
        <v>16</v>
      </c>
      <c r="H434" s="10" t="n">
        <f aca="false">IF(OR(Nonlabor!$L$13="Quote required",Nonlabor!$L$13="Unverified"),G434,0)</f>
        <v>0</v>
      </c>
      <c r="I434" s="10" t="n">
        <f aca="false">IF(Nonlabor!$E$13="Core",0,G434)</f>
        <v>0</v>
      </c>
      <c r="J434" s="23" t="str">
        <f aca="false">Nonlabor!$B$13</f>
        <v>TOOLS</v>
      </c>
    </row>
    <row r="435" customFormat="false" ht="15" hidden="false" customHeight="false" outlineLevel="0" collapsed="false">
      <c r="A435" s="6" t="s">
        <v>72</v>
      </c>
      <c r="B435" s="6" t="s">
        <v>395</v>
      </c>
      <c r="C435" s="6" t="n">
        <v>10</v>
      </c>
      <c r="D435" s="25" t="n">
        <f aca="false">EDATE('Start Here'!$B$6,C435-1)</f>
        <v>46600</v>
      </c>
      <c r="E435" s="23" t="n">
        <f aca="false">IF(AND(OR(Nonlabor!$D$13="Both",Nonlabor!$D$13='Start Here'!$B$9),IF(Nonlabor!$E$13="Core",1,IF(Nonlabor!$E$13="AI",'Start Here'!$B$7,'Start Here'!$B$8))=1,C435&gt;=IF(Nonlabor!$E$13="Core",Nonlabor!$F$13,MAX(Nonlabor!$F$13,IF(Nonlabor!$E$13="AI",Assumptions!$C$24,Assumptions!$C$25))),C435&lt;=Nonlabor!$G$13,OR(Nonlabor!$H$13="Monthly",AND(Nonlabor!$H$13="Once",C435=IF(Nonlabor!$E$13="Core",Nonlabor!$F$13,MAX(Nonlabor!$F$13,IF(Nonlabor!$E$13="AI",Assumptions!$C$24,Assumptions!$C$25)))),AND(Nonlabor!$H$13="Annual",MOD(C435-IF(Nonlabor!$E$13="Core",Nonlabor!$F$13,MAX(Nonlabor!$F$13,IF(Nonlabor!$E$13="AI",Assumptions!$C$24,Assumptions!$C$25))),12)=0))),IF(Nonlabor!$I$13="Fixed",1,IF(Nonlabor!$I$13="Seats",ROUNDUP('Monthly Lean'!I15,0),IF(Nonlabor!$I$13="Customers",'Monthly Lean'!D15,IF(Nonlabor!$I$13="NewCustomers",'Monthly Lean'!C15,IF(Nonlabor!$I$13="StorageGB",'Monthly Lean'!G15,IF(Nonlabor!$I$13="LogGB",'Monthly Lean'!H15,IF(Nonlabor!$I$13="RequestsM",'Monthly Lean'!F15,IF(Nonlabor!$I$13="InputM",'Monthly Lean'!D15*Assumptions!$C$22/1000000,IF(Nonlabor!$I$13="OutputM",'Monthly Lean'!D15*Assumptions!$C$23/1000000,0))))))))),0)</f>
        <v>4</v>
      </c>
      <c r="F435" s="10" t="n">
        <f aca="false">Nonlabor!$J$13*(1+Assumptions!$C$9)^INT((C435-1)/12)</f>
        <v>4</v>
      </c>
      <c r="G435" s="10" t="n">
        <f aca="false">E435*F435</f>
        <v>16</v>
      </c>
      <c r="H435" s="10" t="n">
        <f aca="false">IF(OR(Nonlabor!$L$13="Quote required",Nonlabor!$L$13="Unverified"),G435,0)</f>
        <v>0</v>
      </c>
      <c r="I435" s="10" t="n">
        <f aca="false">IF(Nonlabor!$E$13="Core",0,G435)</f>
        <v>0</v>
      </c>
      <c r="J435" s="23" t="str">
        <f aca="false">Nonlabor!$B$13</f>
        <v>TOOLS</v>
      </c>
    </row>
    <row r="436" customFormat="false" ht="15" hidden="false" customHeight="false" outlineLevel="0" collapsed="false">
      <c r="A436" s="6" t="s">
        <v>72</v>
      </c>
      <c r="B436" s="6" t="s">
        <v>395</v>
      </c>
      <c r="C436" s="6" t="n">
        <v>11</v>
      </c>
      <c r="D436" s="25" t="n">
        <f aca="false">EDATE('Start Here'!$B$6,C436-1)</f>
        <v>46631</v>
      </c>
      <c r="E436" s="23" t="n">
        <f aca="false">IF(AND(OR(Nonlabor!$D$13="Both",Nonlabor!$D$13='Start Here'!$B$9),IF(Nonlabor!$E$13="Core",1,IF(Nonlabor!$E$13="AI",'Start Here'!$B$7,'Start Here'!$B$8))=1,C436&gt;=IF(Nonlabor!$E$13="Core",Nonlabor!$F$13,MAX(Nonlabor!$F$13,IF(Nonlabor!$E$13="AI",Assumptions!$C$24,Assumptions!$C$25))),C436&lt;=Nonlabor!$G$13,OR(Nonlabor!$H$13="Monthly",AND(Nonlabor!$H$13="Once",C436=IF(Nonlabor!$E$13="Core",Nonlabor!$F$13,MAX(Nonlabor!$F$13,IF(Nonlabor!$E$13="AI",Assumptions!$C$24,Assumptions!$C$25)))),AND(Nonlabor!$H$13="Annual",MOD(C436-IF(Nonlabor!$E$13="Core",Nonlabor!$F$13,MAX(Nonlabor!$F$13,IF(Nonlabor!$E$13="AI",Assumptions!$C$24,Assumptions!$C$25))),12)=0))),IF(Nonlabor!$I$13="Fixed",1,IF(Nonlabor!$I$13="Seats",ROUNDUP('Monthly Lean'!I16,0),IF(Nonlabor!$I$13="Customers",'Monthly Lean'!D16,IF(Nonlabor!$I$13="NewCustomers",'Monthly Lean'!C16,IF(Nonlabor!$I$13="StorageGB",'Monthly Lean'!G16,IF(Nonlabor!$I$13="LogGB",'Monthly Lean'!H16,IF(Nonlabor!$I$13="RequestsM",'Monthly Lean'!F16,IF(Nonlabor!$I$13="InputM",'Monthly Lean'!D16*Assumptions!$C$22/1000000,IF(Nonlabor!$I$13="OutputM",'Monthly Lean'!D16*Assumptions!$C$23/1000000,0))))))))),0)</f>
        <v>4</v>
      </c>
      <c r="F436" s="10" t="n">
        <f aca="false">Nonlabor!$J$13*(1+Assumptions!$C$9)^INT((C436-1)/12)</f>
        <v>4</v>
      </c>
      <c r="G436" s="10" t="n">
        <f aca="false">E436*F436</f>
        <v>16</v>
      </c>
      <c r="H436" s="10" t="n">
        <f aca="false">IF(OR(Nonlabor!$L$13="Quote required",Nonlabor!$L$13="Unverified"),G436,0)</f>
        <v>0</v>
      </c>
      <c r="I436" s="10" t="n">
        <f aca="false">IF(Nonlabor!$E$13="Core",0,G436)</f>
        <v>0</v>
      </c>
      <c r="J436" s="23" t="str">
        <f aca="false">Nonlabor!$B$13</f>
        <v>TOOLS</v>
      </c>
    </row>
    <row r="437" customFormat="false" ht="15" hidden="false" customHeight="false" outlineLevel="0" collapsed="false">
      <c r="A437" s="6" t="s">
        <v>72</v>
      </c>
      <c r="B437" s="6" t="s">
        <v>395</v>
      </c>
      <c r="C437" s="6" t="n">
        <v>12</v>
      </c>
      <c r="D437" s="25" t="n">
        <f aca="false">EDATE('Start Here'!$B$6,C437-1)</f>
        <v>46661</v>
      </c>
      <c r="E437" s="23" t="n">
        <f aca="false">IF(AND(OR(Nonlabor!$D$13="Both",Nonlabor!$D$13='Start Here'!$B$9),IF(Nonlabor!$E$13="Core",1,IF(Nonlabor!$E$13="AI",'Start Here'!$B$7,'Start Here'!$B$8))=1,C437&gt;=IF(Nonlabor!$E$13="Core",Nonlabor!$F$13,MAX(Nonlabor!$F$13,IF(Nonlabor!$E$13="AI",Assumptions!$C$24,Assumptions!$C$25))),C437&lt;=Nonlabor!$G$13,OR(Nonlabor!$H$13="Monthly",AND(Nonlabor!$H$13="Once",C437=IF(Nonlabor!$E$13="Core",Nonlabor!$F$13,MAX(Nonlabor!$F$13,IF(Nonlabor!$E$13="AI",Assumptions!$C$24,Assumptions!$C$25)))),AND(Nonlabor!$H$13="Annual",MOD(C437-IF(Nonlabor!$E$13="Core",Nonlabor!$F$13,MAX(Nonlabor!$F$13,IF(Nonlabor!$E$13="AI",Assumptions!$C$24,Assumptions!$C$25))),12)=0))),IF(Nonlabor!$I$13="Fixed",1,IF(Nonlabor!$I$13="Seats",ROUNDUP('Monthly Lean'!I17,0),IF(Nonlabor!$I$13="Customers",'Monthly Lean'!D17,IF(Nonlabor!$I$13="NewCustomers",'Monthly Lean'!C17,IF(Nonlabor!$I$13="StorageGB",'Monthly Lean'!G17,IF(Nonlabor!$I$13="LogGB",'Monthly Lean'!H17,IF(Nonlabor!$I$13="RequestsM",'Monthly Lean'!F17,IF(Nonlabor!$I$13="InputM",'Monthly Lean'!D17*Assumptions!$C$22/1000000,IF(Nonlabor!$I$13="OutputM",'Monthly Lean'!D17*Assumptions!$C$23/1000000,0))))))))),0)</f>
        <v>5</v>
      </c>
      <c r="F437" s="10" t="n">
        <f aca="false">Nonlabor!$J$13*(1+Assumptions!$C$9)^INT((C437-1)/12)</f>
        <v>4</v>
      </c>
      <c r="G437" s="10" t="n">
        <f aca="false">E437*F437</f>
        <v>20</v>
      </c>
      <c r="H437" s="10" t="n">
        <f aca="false">IF(OR(Nonlabor!$L$13="Quote required",Nonlabor!$L$13="Unverified"),G437,0)</f>
        <v>0</v>
      </c>
      <c r="I437" s="10" t="n">
        <f aca="false">IF(Nonlabor!$E$13="Core",0,G437)</f>
        <v>0</v>
      </c>
      <c r="J437" s="23" t="str">
        <f aca="false">Nonlabor!$B$13</f>
        <v>TOOLS</v>
      </c>
    </row>
    <row r="438" customFormat="false" ht="15" hidden="false" customHeight="false" outlineLevel="0" collapsed="false">
      <c r="A438" s="6" t="s">
        <v>72</v>
      </c>
      <c r="B438" s="6" t="s">
        <v>395</v>
      </c>
      <c r="C438" s="6" t="n">
        <v>13</v>
      </c>
      <c r="D438" s="25" t="n">
        <f aca="false">EDATE('Start Here'!$B$6,C438-1)</f>
        <v>46692</v>
      </c>
      <c r="E438" s="23" t="n">
        <f aca="false">IF(AND(OR(Nonlabor!$D$13="Both",Nonlabor!$D$13='Start Here'!$B$9),IF(Nonlabor!$E$13="Core",1,IF(Nonlabor!$E$13="AI",'Start Here'!$B$7,'Start Here'!$B$8))=1,C438&gt;=IF(Nonlabor!$E$13="Core",Nonlabor!$F$13,MAX(Nonlabor!$F$13,IF(Nonlabor!$E$13="AI",Assumptions!$C$24,Assumptions!$C$25))),C438&lt;=Nonlabor!$G$13,OR(Nonlabor!$H$13="Monthly",AND(Nonlabor!$H$13="Once",C438=IF(Nonlabor!$E$13="Core",Nonlabor!$F$13,MAX(Nonlabor!$F$13,IF(Nonlabor!$E$13="AI",Assumptions!$C$24,Assumptions!$C$25)))),AND(Nonlabor!$H$13="Annual",MOD(C438-IF(Nonlabor!$E$13="Core",Nonlabor!$F$13,MAX(Nonlabor!$F$13,IF(Nonlabor!$E$13="AI",Assumptions!$C$24,Assumptions!$C$25))),12)=0))),IF(Nonlabor!$I$13="Fixed",1,IF(Nonlabor!$I$13="Seats",ROUNDUP('Monthly Lean'!I18,0),IF(Nonlabor!$I$13="Customers",'Monthly Lean'!D18,IF(Nonlabor!$I$13="NewCustomers",'Monthly Lean'!C18,IF(Nonlabor!$I$13="StorageGB",'Monthly Lean'!G18,IF(Nonlabor!$I$13="LogGB",'Monthly Lean'!H18,IF(Nonlabor!$I$13="RequestsM",'Monthly Lean'!F18,IF(Nonlabor!$I$13="InputM",'Monthly Lean'!D18*Assumptions!$C$22/1000000,IF(Nonlabor!$I$13="OutputM",'Monthly Lean'!D18*Assumptions!$C$23/1000000,0))))))))),0)</f>
        <v>5</v>
      </c>
      <c r="F438" s="10" t="n">
        <f aca="false">Nonlabor!$J$13*(1+Assumptions!$C$9)^INT((C438-1)/12)</f>
        <v>4.12</v>
      </c>
      <c r="G438" s="10" t="n">
        <f aca="false">E438*F438</f>
        <v>20.6</v>
      </c>
      <c r="H438" s="10" t="n">
        <f aca="false">IF(OR(Nonlabor!$L$13="Quote required",Nonlabor!$L$13="Unverified"),G438,0)</f>
        <v>0</v>
      </c>
      <c r="I438" s="10" t="n">
        <f aca="false">IF(Nonlabor!$E$13="Core",0,G438)</f>
        <v>0</v>
      </c>
      <c r="J438" s="23" t="str">
        <f aca="false">Nonlabor!$B$13</f>
        <v>TOOLS</v>
      </c>
    </row>
    <row r="439" customFormat="false" ht="15" hidden="false" customHeight="false" outlineLevel="0" collapsed="false">
      <c r="A439" s="6" t="s">
        <v>72</v>
      </c>
      <c r="B439" s="6" t="s">
        <v>395</v>
      </c>
      <c r="C439" s="6" t="n">
        <v>14</v>
      </c>
      <c r="D439" s="25" t="n">
        <f aca="false">EDATE('Start Here'!$B$6,C439-1)</f>
        <v>46722</v>
      </c>
      <c r="E439" s="23" t="n">
        <f aca="false">IF(AND(OR(Nonlabor!$D$13="Both",Nonlabor!$D$13='Start Here'!$B$9),IF(Nonlabor!$E$13="Core",1,IF(Nonlabor!$E$13="AI",'Start Here'!$B$7,'Start Here'!$B$8))=1,C439&gt;=IF(Nonlabor!$E$13="Core",Nonlabor!$F$13,MAX(Nonlabor!$F$13,IF(Nonlabor!$E$13="AI",Assumptions!$C$24,Assumptions!$C$25))),C439&lt;=Nonlabor!$G$13,OR(Nonlabor!$H$13="Monthly",AND(Nonlabor!$H$13="Once",C439=IF(Nonlabor!$E$13="Core",Nonlabor!$F$13,MAX(Nonlabor!$F$13,IF(Nonlabor!$E$13="AI",Assumptions!$C$24,Assumptions!$C$25)))),AND(Nonlabor!$H$13="Annual",MOD(C439-IF(Nonlabor!$E$13="Core",Nonlabor!$F$13,MAX(Nonlabor!$F$13,IF(Nonlabor!$E$13="AI",Assumptions!$C$24,Assumptions!$C$25))),12)=0))),IF(Nonlabor!$I$13="Fixed",1,IF(Nonlabor!$I$13="Seats",ROUNDUP('Monthly Lean'!I19,0),IF(Nonlabor!$I$13="Customers",'Monthly Lean'!D19,IF(Nonlabor!$I$13="NewCustomers",'Monthly Lean'!C19,IF(Nonlabor!$I$13="StorageGB",'Monthly Lean'!G19,IF(Nonlabor!$I$13="LogGB",'Monthly Lean'!H19,IF(Nonlabor!$I$13="RequestsM",'Monthly Lean'!F19,IF(Nonlabor!$I$13="InputM",'Monthly Lean'!D19*Assumptions!$C$22/1000000,IF(Nonlabor!$I$13="OutputM",'Monthly Lean'!D19*Assumptions!$C$23/1000000,0))))))))),0)</f>
        <v>5</v>
      </c>
      <c r="F439" s="10" t="n">
        <f aca="false">Nonlabor!$J$13*(1+Assumptions!$C$9)^INT((C439-1)/12)</f>
        <v>4.12</v>
      </c>
      <c r="G439" s="10" t="n">
        <f aca="false">E439*F439</f>
        <v>20.6</v>
      </c>
      <c r="H439" s="10" t="n">
        <f aca="false">IF(OR(Nonlabor!$L$13="Quote required",Nonlabor!$L$13="Unverified"),G439,0)</f>
        <v>0</v>
      </c>
      <c r="I439" s="10" t="n">
        <f aca="false">IF(Nonlabor!$E$13="Core",0,G439)</f>
        <v>0</v>
      </c>
      <c r="J439" s="23" t="str">
        <f aca="false">Nonlabor!$B$13</f>
        <v>TOOLS</v>
      </c>
    </row>
    <row r="440" customFormat="false" ht="15" hidden="false" customHeight="false" outlineLevel="0" collapsed="false">
      <c r="A440" s="6" t="s">
        <v>72</v>
      </c>
      <c r="B440" s="6" t="s">
        <v>395</v>
      </c>
      <c r="C440" s="6" t="n">
        <v>15</v>
      </c>
      <c r="D440" s="25" t="n">
        <f aca="false">EDATE('Start Here'!$B$6,C440-1)</f>
        <v>46753</v>
      </c>
      <c r="E440" s="23" t="n">
        <f aca="false">IF(AND(OR(Nonlabor!$D$13="Both",Nonlabor!$D$13='Start Here'!$B$9),IF(Nonlabor!$E$13="Core",1,IF(Nonlabor!$E$13="AI",'Start Here'!$B$7,'Start Here'!$B$8))=1,C440&gt;=IF(Nonlabor!$E$13="Core",Nonlabor!$F$13,MAX(Nonlabor!$F$13,IF(Nonlabor!$E$13="AI",Assumptions!$C$24,Assumptions!$C$25))),C440&lt;=Nonlabor!$G$13,OR(Nonlabor!$H$13="Monthly",AND(Nonlabor!$H$13="Once",C440=IF(Nonlabor!$E$13="Core",Nonlabor!$F$13,MAX(Nonlabor!$F$13,IF(Nonlabor!$E$13="AI",Assumptions!$C$24,Assumptions!$C$25)))),AND(Nonlabor!$H$13="Annual",MOD(C440-IF(Nonlabor!$E$13="Core",Nonlabor!$F$13,MAX(Nonlabor!$F$13,IF(Nonlabor!$E$13="AI",Assumptions!$C$24,Assumptions!$C$25))),12)=0))),IF(Nonlabor!$I$13="Fixed",1,IF(Nonlabor!$I$13="Seats",ROUNDUP('Monthly Lean'!I20,0),IF(Nonlabor!$I$13="Customers",'Monthly Lean'!D20,IF(Nonlabor!$I$13="NewCustomers",'Monthly Lean'!C20,IF(Nonlabor!$I$13="StorageGB",'Monthly Lean'!G20,IF(Nonlabor!$I$13="LogGB",'Monthly Lean'!H20,IF(Nonlabor!$I$13="RequestsM",'Monthly Lean'!F20,IF(Nonlabor!$I$13="InputM",'Monthly Lean'!D20*Assumptions!$C$22/1000000,IF(Nonlabor!$I$13="OutputM",'Monthly Lean'!D20*Assumptions!$C$23/1000000,0))))))))),0)</f>
        <v>5</v>
      </c>
      <c r="F440" s="10" t="n">
        <f aca="false">Nonlabor!$J$13*(1+Assumptions!$C$9)^INT((C440-1)/12)</f>
        <v>4.12</v>
      </c>
      <c r="G440" s="10" t="n">
        <f aca="false">E440*F440</f>
        <v>20.6</v>
      </c>
      <c r="H440" s="10" t="n">
        <f aca="false">IF(OR(Nonlabor!$L$13="Quote required",Nonlabor!$L$13="Unverified"),G440,0)</f>
        <v>0</v>
      </c>
      <c r="I440" s="10" t="n">
        <f aca="false">IF(Nonlabor!$E$13="Core",0,G440)</f>
        <v>0</v>
      </c>
      <c r="J440" s="23" t="str">
        <f aca="false">Nonlabor!$B$13</f>
        <v>TOOLS</v>
      </c>
    </row>
    <row r="441" customFormat="false" ht="15" hidden="false" customHeight="false" outlineLevel="0" collapsed="false">
      <c r="A441" s="6" t="s">
        <v>72</v>
      </c>
      <c r="B441" s="6" t="s">
        <v>395</v>
      </c>
      <c r="C441" s="6" t="n">
        <v>16</v>
      </c>
      <c r="D441" s="25" t="n">
        <f aca="false">EDATE('Start Here'!$B$6,C441-1)</f>
        <v>46784</v>
      </c>
      <c r="E441" s="23" t="n">
        <f aca="false">IF(AND(OR(Nonlabor!$D$13="Both",Nonlabor!$D$13='Start Here'!$B$9),IF(Nonlabor!$E$13="Core",1,IF(Nonlabor!$E$13="AI",'Start Here'!$B$7,'Start Here'!$B$8))=1,C441&gt;=IF(Nonlabor!$E$13="Core",Nonlabor!$F$13,MAX(Nonlabor!$F$13,IF(Nonlabor!$E$13="AI",Assumptions!$C$24,Assumptions!$C$25))),C441&lt;=Nonlabor!$G$13,OR(Nonlabor!$H$13="Monthly",AND(Nonlabor!$H$13="Once",C441=IF(Nonlabor!$E$13="Core",Nonlabor!$F$13,MAX(Nonlabor!$F$13,IF(Nonlabor!$E$13="AI",Assumptions!$C$24,Assumptions!$C$25)))),AND(Nonlabor!$H$13="Annual",MOD(C441-IF(Nonlabor!$E$13="Core",Nonlabor!$F$13,MAX(Nonlabor!$F$13,IF(Nonlabor!$E$13="AI",Assumptions!$C$24,Assumptions!$C$25))),12)=0))),IF(Nonlabor!$I$13="Fixed",1,IF(Nonlabor!$I$13="Seats",ROUNDUP('Monthly Lean'!I21,0),IF(Nonlabor!$I$13="Customers",'Monthly Lean'!D21,IF(Nonlabor!$I$13="NewCustomers",'Monthly Lean'!C21,IF(Nonlabor!$I$13="StorageGB",'Monthly Lean'!G21,IF(Nonlabor!$I$13="LogGB",'Monthly Lean'!H21,IF(Nonlabor!$I$13="RequestsM",'Monthly Lean'!F21,IF(Nonlabor!$I$13="InputM",'Monthly Lean'!D21*Assumptions!$C$22/1000000,IF(Nonlabor!$I$13="OutputM",'Monthly Lean'!D21*Assumptions!$C$23/1000000,0))))))))),0)</f>
        <v>6</v>
      </c>
      <c r="F441" s="10" t="n">
        <f aca="false">Nonlabor!$J$13*(1+Assumptions!$C$9)^INT((C441-1)/12)</f>
        <v>4.12</v>
      </c>
      <c r="G441" s="10" t="n">
        <f aca="false">E441*F441</f>
        <v>24.72</v>
      </c>
      <c r="H441" s="10" t="n">
        <f aca="false">IF(OR(Nonlabor!$L$13="Quote required",Nonlabor!$L$13="Unverified"),G441,0)</f>
        <v>0</v>
      </c>
      <c r="I441" s="10" t="n">
        <f aca="false">IF(Nonlabor!$E$13="Core",0,G441)</f>
        <v>0</v>
      </c>
      <c r="J441" s="23" t="str">
        <f aca="false">Nonlabor!$B$13</f>
        <v>TOOLS</v>
      </c>
    </row>
    <row r="442" customFormat="false" ht="15" hidden="false" customHeight="false" outlineLevel="0" collapsed="false">
      <c r="A442" s="6" t="s">
        <v>72</v>
      </c>
      <c r="B442" s="6" t="s">
        <v>395</v>
      </c>
      <c r="C442" s="6" t="n">
        <v>17</v>
      </c>
      <c r="D442" s="25" t="n">
        <f aca="false">EDATE('Start Here'!$B$6,C442-1)</f>
        <v>46813</v>
      </c>
      <c r="E442" s="23" t="n">
        <f aca="false">IF(AND(OR(Nonlabor!$D$13="Both",Nonlabor!$D$13='Start Here'!$B$9),IF(Nonlabor!$E$13="Core",1,IF(Nonlabor!$E$13="AI",'Start Here'!$B$7,'Start Here'!$B$8))=1,C442&gt;=IF(Nonlabor!$E$13="Core",Nonlabor!$F$13,MAX(Nonlabor!$F$13,IF(Nonlabor!$E$13="AI",Assumptions!$C$24,Assumptions!$C$25))),C442&lt;=Nonlabor!$G$13,OR(Nonlabor!$H$13="Monthly",AND(Nonlabor!$H$13="Once",C442=IF(Nonlabor!$E$13="Core",Nonlabor!$F$13,MAX(Nonlabor!$F$13,IF(Nonlabor!$E$13="AI",Assumptions!$C$24,Assumptions!$C$25)))),AND(Nonlabor!$H$13="Annual",MOD(C442-IF(Nonlabor!$E$13="Core",Nonlabor!$F$13,MAX(Nonlabor!$F$13,IF(Nonlabor!$E$13="AI",Assumptions!$C$24,Assumptions!$C$25))),12)=0))),IF(Nonlabor!$I$13="Fixed",1,IF(Nonlabor!$I$13="Seats",ROUNDUP('Monthly Lean'!I22,0),IF(Nonlabor!$I$13="Customers",'Monthly Lean'!D22,IF(Nonlabor!$I$13="NewCustomers",'Monthly Lean'!C22,IF(Nonlabor!$I$13="StorageGB",'Monthly Lean'!G22,IF(Nonlabor!$I$13="LogGB",'Monthly Lean'!H22,IF(Nonlabor!$I$13="RequestsM",'Monthly Lean'!F22,IF(Nonlabor!$I$13="InputM",'Monthly Lean'!D22*Assumptions!$C$22/1000000,IF(Nonlabor!$I$13="OutputM",'Monthly Lean'!D22*Assumptions!$C$23/1000000,0))))))))),0)</f>
        <v>6</v>
      </c>
      <c r="F442" s="10" t="n">
        <f aca="false">Nonlabor!$J$13*(1+Assumptions!$C$9)^INT((C442-1)/12)</f>
        <v>4.12</v>
      </c>
      <c r="G442" s="10" t="n">
        <f aca="false">E442*F442</f>
        <v>24.72</v>
      </c>
      <c r="H442" s="10" t="n">
        <f aca="false">IF(OR(Nonlabor!$L$13="Quote required",Nonlabor!$L$13="Unverified"),G442,0)</f>
        <v>0</v>
      </c>
      <c r="I442" s="10" t="n">
        <f aca="false">IF(Nonlabor!$E$13="Core",0,G442)</f>
        <v>0</v>
      </c>
      <c r="J442" s="23" t="str">
        <f aca="false">Nonlabor!$B$13</f>
        <v>TOOLS</v>
      </c>
    </row>
    <row r="443" customFormat="false" ht="15" hidden="false" customHeight="false" outlineLevel="0" collapsed="false">
      <c r="A443" s="6" t="s">
        <v>72</v>
      </c>
      <c r="B443" s="6" t="s">
        <v>395</v>
      </c>
      <c r="C443" s="6" t="n">
        <v>18</v>
      </c>
      <c r="D443" s="25" t="n">
        <f aca="false">EDATE('Start Here'!$B$6,C443-1)</f>
        <v>46844</v>
      </c>
      <c r="E443" s="23" t="n">
        <f aca="false">IF(AND(OR(Nonlabor!$D$13="Both",Nonlabor!$D$13='Start Here'!$B$9),IF(Nonlabor!$E$13="Core",1,IF(Nonlabor!$E$13="AI",'Start Here'!$B$7,'Start Here'!$B$8))=1,C443&gt;=IF(Nonlabor!$E$13="Core",Nonlabor!$F$13,MAX(Nonlabor!$F$13,IF(Nonlabor!$E$13="AI",Assumptions!$C$24,Assumptions!$C$25))),C443&lt;=Nonlabor!$G$13,OR(Nonlabor!$H$13="Monthly",AND(Nonlabor!$H$13="Once",C443=IF(Nonlabor!$E$13="Core",Nonlabor!$F$13,MAX(Nonlabor!$F$13,IF(Nonlabor!$E$13="AI",Assumptions!$C$24,Assumptions!$C$25)))),AND(Nonlabor!$H$13="Annual",MOD(C443-IF(Nonlabor!$E$13="Core",Nonlabor!$F$13,MAX(Nonlabor!$F$13,IF(Nonlabor!$E$13="AI",Assumptions!$C$24,Assumptions!$C$25))),12)=0))),IF(Nonlabor!$I$13="Fixed",1,IF(Nonlabor!$I$13="Seats",ROUNDUP('Monthly Lean'!I23,0),IF(Nonlabor!$I$13="Customers",'Monthly Lean'!D23,IF(Nonlabor!$I$13="NewCustomers",'Monthly Lean'!C23,IF(Nonlabor!$I$13="StorageGB",'Monthly Lean'!G23,IF(Nonlabor!$I$13="LogGB",'Monthly Lean'!H23,IF(Nonlabor!$I$13="RequestsM",'Monthly Lean'!F23,IF(Nonlabor!$I$13="InputM",'Monthly Lean'!D23*Assumptions!$C$22/1000000,IF(Nonlabor!$I$13="OutputM",'Monthly Lean'!D23*Assumptions!$C$23/1000000,0))))))))),0)</f>
        <v>6</v>
      </c>
      <c r="F443" s="10" t="n">
        <f aca="false">Nonlabor!$J$13*(1+Assumptions!$C$9)^INT((C443-1)/12)</f>
        <v>4.12</v>
      </c>
      <c r="G443" s="10" t="n">
        <f aca="false">E443*F443</f>
        <v>24.72</v>
      </c>
      <c r="H443" s="10" t="n">
        <f aca="false">IF(OR(Nonlabor!$L$13="Quote required",Nonlabor!$L$13="Unverified"),G443,0)</f>
        <v>0</v>
      </c>
      <c r="I443" s="10" t="n">
        <f aca="false">IF(Nonlabor!$E$13="Core",0,G443)</f>
        <v>0</v>
      </c>
      <c r="J443" s="23" t="str">
        <f aca="false">Nonlabor!$B$13</f>
        <v>TOOLS</v>
      </c>
    </row>
    <row r="444" customFormat="false" ht="15" hidden="false" customHeight="false" outlineLevel="0" collapsed="false">
      <c r="A444" s="6" t="s">
        <v>72</v>
      </c>
      <c r="B444" s="6" t="s">
        <v>395</v>
      </c>
      <c r="C444" s="6" t="n">
        <v>19</v>
      </c>
      <c r="D444" s="25" t="n">
        <f aca="false">EDATE('Start Here'!$B$6,C444-1)</f>
        <v>46874</v>
      </c>
      <c r="E444" s="23" t="n">
        <f aca="false">IF(AND(OR(Nonlabor!$D$13="Both",Nonlabor!$D$13='Start Here'!$B$9),IF(Nonlabor!$E$13="Core",1,IF(Nonlabor!$E$13="AI",'Start Here'!$B$7,'Start Here'!$B$8))=1,C444&gt;=IF(Nonlabor!$E$13="Core",Nonlabor!$F$13,MAX(Nonlabor!$F$13,IF(Nonlabor!$E$13="AI",Assumptions!$C$24,Assumptions!$C$25))),C444&lt;=Nonlabor!$G$13,OR(Nonlabor!$H$13="Monthly",AND(Nonlabor!$H$13="Once",C444=IF(Nonlabor!$E$13="Core",Nonlabor!$F$13,MAX(Nonlabor!$F$13,IF(Nonlabor!$E$13="AI",Assumptions!$C$24,Assumptions!$C$25)))),AND(Nonlabor!$H$13="Annual",MOD(C444-IF(Nonlabor!$E$13="Core",Nonlabor!$F$13,MAX(Nonlabor!$F$13,IF(Nonlabor!$E$13="AI",Assumptions!$C$24,Assumptions!$C$25))),12)=0))),IF(Nonlabor!$I$13="Fixed",1,IF(Nonlabor!$I$13="Seats",ROUNDUP('Monthly Lean'!I24,0),IF(Nonlabor!$I$13="Customers",'Monthly Lean'!D24,IF(Nonlabor!$I$13="NewCustomers",'Monthly Lean'!C24,IF(Nonlabor!$I$13="StorageGB",'Monthly Lean'!G24,IF(Nonlabor!$I$13="LogGB",'Monthly Lean'!H24,IF(Nonlabor!$I$13="RequestsM",'Monthly Lean'!F24,IF(Nonlabor!$I$13="InputM",'Monthly Lean'!D24*Assumptions!$C$22/1000000,IF(Nonlabor!$I$13="OutputM",'Monthly Lean'!D24*Assumptions!$C$23/1000000,0))))))))),0)</f>
        <v>6</v>
      </c>
      <c r="F444" s="10" t="n">
        <f aca="false">Nonlabor!$J$13*(1+Assumptions!$C$9)^INT((C444-1)/12)</f>
        <v>4.12</v>
      </c>
      <c r="G444" s="10" t="n">
        <f aca="false">E444*F444</f>
        <v>24.72</v>
      </c>
      <c r="H444" s="10" t="n">
        <f aca="false">IF(OR(Nonlabor!$L$13="Quote required",Nonlabor!$L$13="Unverified"),G444,0)</f>
        <v>0</v>
      </c>
      <c r="I444" s="10" t="n">
        <f aca="false">IF(Nonlabor!$E$13="Core",0,G444)</f>
        <v>0</v>
      </c>
      <c r="J444" s="23" t="str">
        <f aca="false">Nonlabor!$B$13</f>
        <v>TOOLS</v>
      </c>
    </row>
    <row r="445" customFormat="false" ht="15" hidden="false" customHeight="false" outlineLevel="0" collapsed="false">
      <c r="A445" s="6" t="s">
        <v>72</v>
      </c>
      <c r="B445" s="6" t="s">
        <v>395</v>
      </c>
      <c r="C445" s="6" t="n">
        <v>20</v>
      </c>
      <c r="D445" s="25" t="n">
        <f aca="false">EDATE('Start Here'!$B$6,C445-1)</f>
        <v>46905</v>
      </c>
      <c r="E445" s="23" t="n">
        <f aca="false">IF(AND(OR(Nonlabor!$D$13="Both",Nonlabor!$D$13='Start Here'!$B$9),IF(Nonlabor!$E$13="Core",1,IF(Nonlabor!$E$13="AI",'Start Here'!$B$7,'Start Here'!$B$8))=1,C445&gt;=IF(Nonlabor!$E$13="Core",Nonlabor!$F$13,MAX(Nonlabor!$F$13,IF(Nonlabor!$E$13="AI",Assumptions!$C$24,Assumptions!$C$25))),C445&lt;=Nonlabor!$G$13,OR(Nonlabor!$H$13="Monthly",AND(Nonlabor!$H$13="Once",C445=IF(Nonlabor!$E$13="Core",Nonlabor!$F$13,MAX(Nonlabor!$F$13,IF(Nonlabor!$E$13="AI",Assumptions!$C$24,Assumptions!$C$25)))),AND(Nonlabor!$H$13="Annual",MOD(C445-IF(Nonlabor!$E$13="Core",Nonlabor!$F$13,MAX(Nonlabor!$F$13,IF(Nonlabor!$E$13="AI",Assumptions!$C$24,Assumptions!$C$25))),12)=0))),IF(Nonlabor!$I$13="Fixed",1,IF(Nonlabor!$I$13="Seats",ROUNDUP('Monthly Lean'!I25,0),IF(Nonlabor!$I$13="Customers",'Monthly Lean'!D25,IF(Nonlabor!$I$13="NewCustomers",'Monthly Lean'!C25,IF(Nonlabor!$I$13="StorageGB",'Monthly Lean'!G25,IF(Nonlabor!$I$13="LogGB",'Monthly Lean'!H25,IF(Nonlabor!$I$13="RequestsM",'Monthly Lean'!F25,IF(Nonlabor!$I$13="InputM",'Monthly Lean'!D25*Assumptions!$C$22/1000000,IF(Nonlabor!$I$13="OutputM",'Monthly Lean'!D25*Assumptions!$C$23/1000000,0))))))))),0)</f>
        <v>6</v>
      </c>
      <c r="F445" s="10" t="n">
        <f aca="false">Nonlabor!$J$13*(1+Assumptions!$C$9)^INT((C445-1)/12)</f>
        <v>4.12</v>
      </c>
      <c r="G445" s="10" t="n">
        <f aca="false">E445*F445</f>
        <v>24.72</v>
      </c>
      <c r="H445" s="10" t="n">
        <f aca="false">IF(OR(Nonlabor!$L$13="Quote required",Nonlabor!$L$13="Unverified"),G445,0)</f>
        <v>0</v>
      </c>
      <c r="I445" s="10" t="n">
        <f aca="false">IF(Nonlabor!$E$13="Core",0,G445)</f>
        <v>0</v>
      </c>
      <c r="J445" s="23" t="str">
        <f aca="false">Nonlabor!$B$13</f>
        <v>TOOLS</v>
      </c>
    </row>
    <row r="446" customFormat="false" ht="15" hidden="false" customHeight="false" outlineLevel="0" collapsed="false">
      <c r="A446" s="6" t="s">
        <v>72</v>
      </c>
      <c r="B446" s="6" t="s">
        <v>395</v>
      </c>
      <c r="C446" s="6" t="n">
        <v>21</v>
      </c>
      <c r="D446" s="25" t="n">
        <f aca="false">EDATE('Start Here'!$B$6,C446-1)</f>
        <v>46935</v>
      </c>
      <c r="E446" s="23" t="n">
        <f aca="false">IF(AND(OR(Nonlabor!$D$13="Both",Nonlabor!$D$13='Start Here'!$B$9),IF(Nonlabor!$E$13="Core",1,IF(Nonlabor!$E$13="AI",'Start Here'!$B$7,'Start Here'!$B$8))=1,C446&gt;=IF(Nonlabor!$E$13="Core",Nonlabor!$F$13,MAX(Nonlabor!$F$13,IF(Nonlabor!$E$13="AI",Assumptions!$C$24,Assumptions!$C$25))),C446&lt;=Nonlabor!$G$13,OR(Nonlabor!$H$13="Monthly",AND(Nonlabor!$H$13="Once",C446=IF(Nonlabor!$E$13="Core",Nonlabor!$F$13,MAX(Nonlabor!$F$13,IF(Nonlabor!$E$13="AI",Assumptions!$C$24,Assumptions!$C$25)))),AND(Nonlabor!$H$13="Annual",MOD(C446-IF(Nonlabor!$E$13="Core",Nonlabor!$F$13,MAX(Nonlabor!$F$13,IF(Nonlabor!$E$13="AI",Assumptions!$C$24,Assumptions!$C$25))),12)=0))),IF(Nonlabor!$I$13="Fixed",1,IF(Nonlabor!$I$13="Seats",ROUNDUP('Monthly Lean'!I26,0),IF(Nonlabor!$I$13="Customers",'Monthly Lean'!D26,IF(Nonlabor!$I$13="NewCustomers",'Monthly Lean'!C26,IF(Nonlabor!$I$13="StorageGB",'Monthly Lean'!G26,IF(Nonlabor!$I$13="LogGB",'Monthly Lean'!H26,IF(Nonlabor!$I$13="RequestsM",'Monthly Lean'!F26,IF(Nonlabor!$I$13="InputM",'Monthly Lean'!D26*Assumptions!$C$22/1000000,IF(Nonlabor!$I$13="OutputM",'Monthly Lean'!D26*Assumptions!$C$23/1000000,0))))))))),0)</f>
        <v>6</v>
      </c>
      <c r="F446" s="10" t="n">
        <f aca="false">Nonlabor!$J$13*(1+Assumptions!$C$9)^INT((C446-1)/12)</f>
        <v>4.12</v>
      </c>
      <c r="G446" s="10" t="n">
        <f aca="false">E446*F446</f>
        <v>24.72</v>
      </c>
      <c r="H446" s="10" t="n">
        <f aca="false">IF(OR(Nonlabor!$L$13="Quote required",Nonlabor!$L$13="Unverified"),G446,0)</f>
        <v>0</v>
      </c>
      <c r="I446" s="10" t="n">
        <f aca="false">IF(Nonlabor!$E$13="Core",0,G446)</f>
        <v>0</v>
      </c>
      <c r="J446" s="23" t="str">
        <f aca="false">Nonlabor!$B$13</f>
        <v>TOOLS</v>
      </c>
    </row>
    <row r="447" customFormat="false" ht="15" hidden="false" customHeight="false" outlineLevel="0" collapsed="false">
      <c r="A447" s="6" t="s">
        <v>72</v>
      </c>
      <c r="B447" s="6" t="s">
        <v>395</v>
      </c>
      <c r="C447" s="6" t="n">
        <v>22</v>
      </c>
      <c r="D447" s="25" t="n">
        <f aca="false">EDATE('Start Here'!$B$6,C447-1)</f>
        <v>46966</v>
      </c>
      <c r="E447" s="23" t="n">
        <f aca="false">IF(AND(OR(Nonlabor!$D$13="Both",Nonlabor!$D$13='Start Here'!$B$9),IF(Nonlabor!$E$13="Core",1,IF(Nonlabor!$E$13="AI",'Start Here'!$B$7,'Start Here'!$B$8))=1,C447&gt;=IF(Nonlabor!$E$13="Core",Nonlabor!$F$13,MAX(Nonlabor!$F$13,IF(Nonlabor!$E$13="AI",Assumptions!$C$24,Assumptions!$C$25))),C447&lt;=Nonlabor!$G$13,OR(Nonlabor!$H$13="Monthly",AND(Nonlabor!$H$13="Once",C447=IF(Nonlabor!$E$13="Core",Nonlabor!$F$13,MAX(Nonlabor!$F$13,IF(Nonlabor!$E$13="AI",Assumptions!$C$24,Assumptions!$C$25)))),AND(Nonlabor!$H$13="Annual",MOD(C447-IF(Nonlabor!$E$13="Core",Nonlabor!$F$13,MAX(Nonlabor!$F$13,IF(Nonlabor!$E$13="AI",Assumptions!$C$24,Assumptions!$C$25))),12)=0))),IF(Nonlabor!$I$13="Fixed",1,IF(Nonlabor!$I$13="Seats",ROUNDUP('Monthly Lean'!I27,0),IF(Nonlabor!$I$13="Customers",'Monthly Lean'!D27,IF(Nonlabor!$I$13="NewCustomers",'Monthly Lean'!C27,IF(Nonlabor!$I$13="StorageGB",'Monthly Lean'!G27,IF(Nonlabor!$I$13="LogGB",'Monthly Lean'!H27,IF(Nonlabor!$I$13="RequestsM",'Monthly Lean'!F27,IF(Nonlabor!$I$13="InputM",'Monthly Lean'!D27*Assumptions!$C$22/1000000,IF(Nonlabor!$I$13="OutputM",'Monthly Lean'!D27*Assumptions!$C$23/1000000,0))))))))),0)</f>
        <v>6</v>
      </c>
      <c r="F447" s="10" t="n">
        <f aca="false">Nonlabor!$J$13*(1+Assumptions!$C$9)^INT((C447-1)/12)</f>
        <v>4.12</v>
      </c>
      <c r="G447" s="10" t="n">
        <f aca="false">E447*F447</f>
        <v>24.72</v>
      </c>
      <c r="H447" s="10" t="n">
        <f aca="false">IF(OR(Nonlabor!$L$13="Quote required",Nonlabor!$L$13="Unverified"),G447,0)</f>
        <v>0</v>
      </c>
      <c r="I447" s="10" t="n">
        <f aca="false">IF(Nonlabor!$E$13="Core",0,G447)</f>
        <v>0</v>
      </c>
      <c r="J447" s="23" t="str">
        <f aca="false">Nonlabor!$B$13</f>
        <v>TOOLS</v>
      </c>
    </row>
    <row r="448" customFormat="false" ht="15" hidden="false" customHeight="false" outlineLevel="0" collapsed="false">
      <c r="A448" s="6" t="s">
        <v>72</v>
      </c>
      <c r="B448" s="6" t="s">
        <v>395</v>
      </c>
      <c r="C448" s="6" t="n">
        <v>23</v>
      </c>
      <c r="D448" s="25" t="n">
        <f aca="false">EDATE('Start Here'!$B$6,C448-1)</f>
        <v>46997</v>
      </c>
      <c r="E448" s="23" t="n">
        <f aca="false">IF(AND(OR(Nonlabor!$D$13="Both",Nonlabor!$D$13='Start Here'!$B$9),IF(Nonlabor!$E$13="Core",1,IF(Nonlabor!$E$13="AI",'Start Here'!$B$7,'Start Here'!$B$8))=1,C448&gt;=IF(Nonlabor!$E$13="Core",Nonlabor!$F$13,MAX(Nonlabor!$F$13,IF(Nonlabor!$E$13="AI",Assumptions!$C$24,Assumptions!$C$25))),C448&lt;=Nonlabor!$G$13,OR(Nonlabor!$H$13="Monthly",AND(Nonlabor!$H$13="Once",C448=IF(Nonlabor!$E$13="Core",Nonlabor!$F$13,MAX(Nonlabor!$F$13,IF(Nonlabor!$E$13="AI",Assumptions!$C$24,Assumptions!$C$25)))),AND(Nonlabor!$H$13="Annual",MOD(C448-IF(Nonlabor!$E$13="Core",Nonlabor!$F$13,MAX(Nonlabor!$F$13,IF(Nonlabor!$E$13="AI",Assumptions!$C$24,Assumptions!$C$25))),12)=0))),IF(Nonlabor!$I$13="Fixed",1,IF(Nonlabor!$I$13="Seats",ROUNDUP('Monthly Lean'!I28,0),IF(Nonlabor!$I$13="Customers",'Monthly Lean'!D28,IF(Nonlabor!$I$13="NewCustomers",'Monthly Lean'!C28,IF(Nonlabor!$I$13="StorageGB",'Monthly Lean'!G28,IF(Nonlabor!$I$13="LogGB",'Monthly Lean'!H28,IF(Nonlabor!$I$13="RequestsM",'Monthly Lean'!F28,IF(Nonlabor!$I$13="InputM",'Monthly Lean'!D28*Assumptions!$C$22/1000000,IF(Nonlabor!$I$13="OutputM",'Monthly Lean'!D28*Assumptions!$C$23/1000000,0))))))))),0)</f>
        <v>6</v>
      </c>
      <c r="F448" s="10" t="n">
        <f aca="false">Nonlabor!$J$13*(1+Assumptions!$C$9)^INT((C448-1)/12)</f>
        <v>4.12</v>
      </c>
      <c r="G448" s="10" t="n">
        <f aca="false">E448*F448</f>
        <v>24.72</v>
      </c>
      <c r="H448" s="10" t="n">
        <f aca="false">IF(OR(Nonlabor!$L$13="Quote required",Nonlabor!$L$13="Unverified"),G448,0)</f>
        <v>0</v>
      </c>
      <c r="I448" s="10" t="n">
        <f aca="false">IF(Nonlabor!$E$13="Core",0,G448)</f>
        <v>0</v>
      </c>
      <c r="J448" s="23" t="str">
        <f aca="false">Nonlabor!$B$13</f>
        <v>TOOLS</v>
      </c>
    </row>
    <row r="449" customFormat="false" ht="15" hidden="false" customHeight="false" outlineLevel="0" collapsed="false">
      <c r="A449" s="6" t="s">
        <v>72</v>
      </c>
      <c r="B449" s="6" t="s">
        <v>395</v>
      </c>
      <c r="C449" s="6" t="n">
        <v>24</v>
      </c>
      <c r="D449" s="25" t="n">
        <f aca="false">EDATE('Start Here'!$B$6,C449-1)</f>
        <v>47027</v>
      </c>
      <c r="E449" s="23" t="n">
        <f aca="false">IF(AND(OR(Nonlabor!$D$13="Both",Nonlabor!$D$13='Start Here'!$B$9),IF(Nonlabor!$E$13="Core",1,IF(Nonlabor!$E$13="AI",'Start Here'!$B$7,'Start Here'!$B$8))=1,C449&gt;=IF(Nonlabor!$E$13="Core",Nonlabor!$F$13,MAX(Nonlabor!$F$13,IF(Nonlabor!$E$13="AI",Assumptions!$C$24,Assumptions!$C$25))),C449&lt;=Nonlabor!$G$13,OR(Nonlabor!$H$13="Monthly",AND(Nonlabor!$H$13="Once",C449=IF(Nonlabor!$E$13="Core",Nonlabor!$F$13,MAX(Nonlabor!$F$13,IF(Nonlabor!$E$13="AI",Assumptions!$C$24,Assumptions!$C$25)))),AND(Nonlabor!$H$13="Annual",MOD(C449-IF(Nonlabor!$E$13="Core",Nonlabor!$F$13,MAX(Nonlabor!$F$13,IF(Nonlabor!$E$13="AI",Assumptions!$C$24,Assumptions!$C$25))),12)=0))),IF(Nonlabor!$I$13="Fixed",1,IF(Nonlabor!$I$13="Seats",ROUNDUP('Monthly Lean'!I29,0),IF(Nonlabor!$I$13="Customers",'Monthly Lean'!D29,IF(Nonlabor!$I$13="NewCustomers",'Monthly Lean'!C29,IF(Nonlabor!$I$13="StorageGB",'Monthly Lean'!G29,IF(Nonlabor!$I$13="LogGB",'Monthly Lean'!H29,IF(Nonlabor!$I$13="RequestsM",'Monthly Lean'!F29,IF(Nonlabor!$I$13="InputM",'Monthly Lean'!D29*Assumptions!$C$22/1000000,IF(Nonlabor!$I$13="OutputM",'Monthly Lean'!D29*Assumptions!$C$23/1000000,0))))))))),0)</f>
        <v>6</v>
      </c>
      <c r="F449" s="10" t="n">
        <f aca="false">Nonlabor!$J$13*(1+Assumptions!$C$9)^INT((C449-1)/12)</f>
        <v>4.12</v>
      </c>
      <c r="G449" s="10" t="n">
        <f aca="false">E449*F449</f>
        <v>24.72</v>
      </c>
      <c r="H449" s="10" t="n">
        <f aca="false">IF(OR(Nonlabor!$L$13="Quote required",Nonlabor!$L$13="Unverified"),G449,0)</f>
        <v>0</v>
      </c>
      <c r="I449" s="10" t="n">
        <f aca="false">IF(Nonlabor!$E$13="Core",0,G449)</f>
        <v>0</v>
      </c>
      <c r="J449" s="23" t="str">
        <f aca="false">Nonlabor!$B$13</f>
        <v>TOOLS</v>
      </c>
    </row>
    <row r="450" customFormat="false" ht="15" hidden="false" customHeight="false" outlineLevel="0" collapsed="false">
      <c r="A450" s="6" t="s">
        <v>72</v>
      </c>
      <c r="B450" s="6" t="s">
        <v>395</v>
      </c>
      <c r="C450" s="6" t="n">
        <v>25</v>
      </c>
      <c r="D450" s="25" t="n">
        <f aca="false">EDATE('Start Here'!$B$6,C450-1)</f>
        <v>47058</v>
      </c>
      <c r="E450" s="23" t="n">
        <f aca="false">IF(AND(OR(Nonlabor!$D$13="Both",Nonlabor!$D$13='Start Here'!$B$9),IF(Nonlabor!$E$13="Core",1,IF(Nonlabor!$E$13="AI",'Start Here'!$B$7,'Start Here'!$B$8))=1,C450&gt;=IF(Nonlabor!$E$13="Core",Nonlabor!$F$13,MAX(Nonlabor!$F$13,IF(Nonlabor!$E$13="AI",Assumptions!$C$24,Assumptions!$C$25))),C450&lt;=Nonlabor!$G$13,OR(Nonlabor!$H$13="Monthly",AND(Nonlabor!$H$13="Once",C450=IF(Nonlabor!$E$13="Core",Nonlabor!$F$13,MAX(Nonlabor!$F$13,IF(Nonlabor!$E$13="AI",Assumptions!$C$24,Assumptions!$C$25)))),AND(Nonlabor!$H$13="Annual",MOD(C450-IF(Nonlabor!$E$13="Core",Nonlabor!$F$13,MAX(Nonlabor!$F$13,IF(Nonlabor!$E$13="AI",Assumptions!$C$24,Assumptions!$C$25))),12)=0))),IF(Nonlabor!$I$13="Fixed",1,IF(Nonlabor!$I$13="Seats",ROUNDUP('Monthly Lean'!I30,0),IF(Nonlabor!$I$13="Customers",'Monthly Lean'!D30,IF(Nonlabor!$I$13="NewCustomers",'Monthly Lean'!C30,IF(Nonlabor!$I$13="StorageGB",'Monthly Lean'!G30,IF(Nonlabor!$I$13="LogGB",'Monthly Lean'!H30,IF(Nonlabor!$I$13="RequestsM",'Monthly Lean'!F30,IF(Nonlabor!$I$13="InputM",'Monthly Lean'!D30*Assumptions!$C$22/1000000,IF(Nonlabor!$I$13="OutputM",'Monthly Lean'!D30*Assumptions!$C$23/1000000,0))))))))),0)</f>
        <v>6</v>
      </c>
      <c r="F450" s="10" t="n">
        <f aca="false">Nonlabor!$J$13*(1+Assumptions!$C$9)^INT((C450-1)/12)</f>
        <v>4.2436</v>
      </c>
      <c r="G450" s="10" t="n">
        <f aca="false">E450*F450</f>
        <v>25.4616</v>
      </c>
      <c r="H450" s="10" t="n">
        <f aca="false">IF(OR(Nonlabor!$L$13="Quote required",Nonlabor!$L$13="Unverified"),G450,0)</f>
        <v>0</v>
      </c>
      <c r="I450" s="10" t="n">
        <f aca="false">IF(Nonlabor!$E$13="Core",0,G450)</f>
        <v>0</v>
      </c>
      <c r="J450" s="23" t="str">
        <f aca="false">Nonlabor!$B$13</f>
        <v>TOOLS</v>
      </c>
    </row>
    <row r="451" customFormat="false" ht="15" hidden="false" customHeight="false" outlineLevel="0" collapsed="false">
      <c r="A451" s="6" t="s">
        <v>72</v>
      </c>
      <c r="B451" s="6" t="s">
        <v>395</v>
      </c>
      <c r="C451" s="6" t="n">
        <v>26</v>
      </c>
      <c r="D451" s="25" t="n">
        <f aca="false">EDATE('Start Here'!$B$6,C451-1)</f>
        <v>47088</v>
      </c>
      <c r="E451" s="23" t="n">
        <f aca="false">IF(AND(OR(Nonlabor!$D$13="Both",Nonlabor!$D$13='Start Here'!$B$9),IF(Nonlabor!$E$13="Core",1,IF(Nonlabor!$E$13="AI",'Start Here'!$B$7,'Start Here'!$B$8))=1,C451&gt;=IF(Nonlabor!$E$13="Core",Nonlabor!$F$13,MAX(Nonlabor!$F$13,IF(Nonlabor!$E$13="AI",Assumptions!$C$24,Assumptions!$C$25))),C451&lt;=Nonlabor!$G$13,OR(Nonlabor!$H$13="Monthly",AND(Nonlabor!$H$13="Once",C451=IF(Nonlabor!$E$13="Core",Nonlabor!$F$13,MAX(Nonlabor!$F$13,IF(Nonlabor!$E$13="AI",Assumptions!$C$24,Assumptions!$C$25)))),AND(Nonlabor!$H$13="Annual",MOD(C451-IF(Nonlabor!$E$13="Core",Nonlabor!$F$13,MAX(Nonlabor!$F$13,IF(Nonlabor!$E$13="AI",Assumptions!$C$24,Assumptions!$C$25))),12)=0))),IF(Nonlabor!$I$13="Fixed",1,IF(Nonlabor!$I$13="Seats",ROUNDUP('Monthly Lean'!I31,0),IF(Nonlabor!$I$13="Customers",'Monthly Lean'!D31,IF(Nonlabor!$I$13="NewCustomers",'Monthly Lean'!C31,IF(Nonlabor!$I$13="StorageGB",'Monthly Lean'!G31,IF(Nonlabor!$I$13="LogGB",'Monthly Lean'!H31,IF(Nonlabor!$I$13="RequestsM",'Monthly Lean'!F31,IF(Nonlabor!$I$13="InputM",'Monthly Lean'!D31*Assumptions!$C$22/1000000,IF(Nonlabor!$I$13="OutputM",'Monthly Lean'!D31*Assumptions!$C$23/1000000,0))))))))),0)</f>
        <v>6</v>
      </c>
      <c r="F451" s="10" t="n">
        <f aca="false">Nonlabor!$J$13*(1+Assumptions!$C$9)^INT((C451-1)/12)</f>
        <v>4.2436</v>
      </c>
      <c r="G451" s="10" t="n">
        <f aca="false">E451*F451</f>
        <v>25.4616</v>
      </c>
      <c r="H451" s="10" t="n">
        <f aca="false">IF(OR(Nonlabor!$L$13="Quote required",Nonlabor!$L$13="Unverified"),G451,0)</f>
        <v>0</v>
      </c>
      <c r="I451" s="10" t="n">
        <f aca="false">IF(Nonlabor!$E$13="Core",0,G451)</f>
        <v>0</v>
      </c>
      <c r="J451" s="23" t="str">
        <f aca="false">Nonlabor!$B$13</f>
        <v>TOOLS</v>
      </c>
    </row>
    <row r="452" customFormat="false" ht="15" hidden="false" customHeight="false" outlineLevel="0" collapsed="false">
      <c r="A452" s="6" t="s">
        <v>72</v>
      </c>
      <c r="B452" s="6" t="s">
        <v>395</v>
      </c>
      <c r="C452" s="6" t="n">
        <v>27</v>
      </c>
      <c r="D452" s="25" t="n">
        <f aca="false">EDATE('Start Here'!$B$6,C452-1)</f>
        <v>47119</v>
      </c>
      <c r="E452" s="23" t="n">
        <f aca="false">IF(AND(OR(Nonlabor!$D$13="Both",Nonlabor!$D$13='Start Here'!$B$9),IF(Nonlabor!$E$13="Core",1,IF(Nonlabor!$E$13="AI",'Start Here'!$B$7,'Start Here'!$B$8))=1,C452&gt;=IF(Nonlabor!$E$13="Core",Nonlabor!$F$13,MAX(Nonlabor!$F$13,IF(Nonlabor!$E$13="AI",Assumptions!$C$24,Assumptions!$C$25))),C452&lt;=Nonlabor!$G$13,OR(Nonlabor!$H$13="Monthly",AND(Nonlabor!$H$13="Once",C452=IF(Nonlabor!$E$13="Core",Nonlabor!$F$13,MAX(Nonlabor!$F$13,IF(Nonlabor!$E$13="AI",Assumptions!$C$24,Assumptions!$C$25)))),AND(Nonlabor!$H$13="Annual",MOD(C452-IF(Nonlabor!$E$13="Core",Nonlabor!$F$13,MAX(Nonlabor!$F$13,IF(Nonlabor!$E$13="AI",Assumptions!$C$24,Assumptions!$C$25))),12)=0))),IF(Nonlabor!$I$13="Fixed",1,IF(Nonlabor!$I$13="Seats",ROUNDUP('Monthly Lean'!I32,0),IF(Nonlabor!$I$13="Customers",'Monthly Lean'!D32,IF(Nonlabor!$I$13="NewCustomers",'Monthly Lean'!C32,IF(Nonlabor!$I$13="StorageGB",'Monthly Lean'!G32,IF(Nonlabor!$I$13="LogGB",'Monthly Lean'!H32,IF(Nonlabor!$I$13="RequestsM",'Monthly Lean'!F32,IF(Nonlabor!$I$13="InputM",'Monthly Lean'!D32*Assumptions!$C$22/1000000,IF(Nonlabor!$I$13="OutputM",'Monthly Lean'!D32*Assumptions!$C$23/1000000,0))))))))),0)</f>
        <v>6</v>
      </c>
      <c r="F452" s="10" t="n">
        <f aca="false">Nonlabor!$J$13*(1+Assumptions!$C$9)^INT((C452-1)/12)</f>
        <v>4.2436</v>
      </c>
      <c r="G452" s="10" t="n">
        <f aca="false">E452*F452</f>
        <v>25.4616</v>
      </c>
      <c r="H452" s="10" t="n">
        <f aca="false">IF(OR(Nonlabor!$L$13="Quote required",Nonlabor!$L$13="Unverified"),G452,0)</f>
        <v>0</v>
      </c>
      <c r="I452" s="10" t="n">
        <f aca="false">IF(Nonlabor!$E$13="Core",0,G452)</f>
        <v>0</v>
      </c>
      <c r="J452" s="23" t="str">
        <f aca="false">Nonlabor!$B$13</f>
        <v>TOOLS</v>
      </c>
    </row>
    <row r="453" customFormat="false" ht="15" hidden="false" customHeight="false" outlineLevel="0" collapsed="false">
      <c r="A453" s="6" t="s">
        <v>72</v>
      </c>
      <c r="B453" s="6" t="s">
        <v>395</v>
      </c>
      <c r="C453" s="6" t="n">
        <v>28</v>
      </c>
      <c r="D453" s="25" t="n">
        <f aca="false">EDATE('Start Here'!$B$6,C453-1)</f>
        <v>47150</v>
      </c>
      <c r="E453" s="23" t="n">
        <f aca="false">IF(AND(OR(Nonlabor!$D$13="Both",Nonlabor!$D$13='Start Here'!$B$9),IF(Nonlabor!$E$13="Core",1,IF(Nonlabor!$E$13="AI",'Start Here'!$B$7,'Start Here'!$B$8))=1,C453&gt;=IF(Nonlabor!$E$13="Core",Nonlabor!$F$13,MAX(Nonlabor!$F$13,IF(Nonlabor!$E$13="AI",Assumptions!$C$24,Assumptions!$C$25))),C453&lt;=Nonlabor!$G$13,OR(Nonlabor!$H$13="Monthly",AND(Nonlabor!$H$13="Once",C453=IF(Nonlabor!$E$13="Core",Nonlabor!$F$13,MAX(Nonlabor!$F$13,IF(Nonlabor!$E$13="AI",Assumptions!$C$24,Assumptions!$C$25)))),AND(Nonlabor!$H$13="Annual",MOD(C453-IF(Nonlabor!$E$13="Core",Nonlabor!$F$13,MAX(Nonlabor!$F$13,IF(Nonlabor!$E$13="AI",Assumptions!$C$24,Assumptions!$C$25))),12)=0))),IF(Nonlabor!$I$13="Fixed",1,IF(Nonlabor!$I$13="Seats",ROUNDUP('Monthly Lean'!I33,0),IF(Nonlabor!$I$13="Customers",'Monthly Lean'!D33,IF(Nonlabor!$I$13="NewCustomers",'Monthly Lean'!C33,IF(Nonlabor!$I$13="StorageGB",'Monthly Lean'!G33,IF(Nonlabor!$I$13="LogGB",'Monthly Lean'!H33,IF(Nonlabor!$I$13="RequestsM",'Monthly Lean'!F33,IF(Nonlabor!$I$13="InputM",'Monthly Lean'!D33*Assumptions!$C$22/1000000,IF(Nonlabor!$I$13="OutputM",'Monthly Lean'!D33*Assumptions!$C$23/1000000,0))))))))),0)</f>
        <v>6</v>
      </c>
      <c r="F453" s="10" t="n">
        <f aca="false">Nonlabor!$J$13*(1+Assumptions!$C$9)^INT((C453-1)/12)</f>
        <v>4.2436</v>
      </c>
      <c r="G453" s="10" t="n">
        <f aca="false">E453*F453</f>
        <v>25.4616</v>
      </c>
      <c r="H453" s="10" t="n">
        <f aca="false">IF(OR(Nonlabor!$L$13="Quote required",Nonlabor!$L$13="Unverified"),G453,0)</f>
        <v>0</v>
      </c>
      <c r="I453" s="10" t="n">
        <f aca="false">IF(Nonlabor!$E$13="Core",0,G453)</f>
        <v>0</v>
      </c>
      <c r="J453" s="23" t="str">
        <f aca="false">Nonlabor!$B$13</f>
        <v>TOOLS</v>
      </c>
    </row>
    <row r="454" customFormat="false" ht="15" hidden="false" customHeight="false" outlineLevel="0" collapsed="false">
      <c r="A454" s="6" t="s">
        <v>72</v>
      </c>
      <c r="B454" s="6" t="s">
        <v>395</v>
      </c>
      <c r="C454" s="6" t="n">
        <v>29</v>
      </c>
      <c r="D454" s="25" t="n">
        <f aca="false">EDATE('Start Here'!$B$6,C454-1)</f>
        <v>47178</v>
      </c>
      <c r="E454" s="23" t="n">
        <f aca="false">IF(AND(OR(Nonlabor!$D$13="Both",Nonlabor!$D$13='Start Here'!$B$9),IF(Nonlabor!$E$13="Core",1,IF(Nonlabor!$E$13="AI",'Start Here'!$B$7,'Start Here'!$B$8))=1,C454&gt;=IF(Nonlabor!$E$13="Core",Nonlabor!$F$13,MAX(Nonlabor!$F$13,IF(Nonlabor!$E$13="AI",Assumptions!$C$24,Assumptions!$C$25))),C454&lt;=Nonlabor!$G$13,OR(Nonlabor!$H$13="Monthly",AND(Nonlabor!$H$13="Once",C454=IF(Nonlabor!$E$13="Core",Nonlabor!$F$13,MAX(Nonlabor!$F$13,IF(Nonlabor!$E$13="AI",Assumptions!$C$24,Assumptions!$C$25)))),AND(Nonlabor!$H$13="Annual",MOD(C454-IF(Nonlabor!$E$13="Core",Nonlabor!$F$13,MAX(Nonlabor!$F$13,IF(Nonlabor!$E$13="AI",Assumptions!$C$24,Assumptions!$C$25))),12)=0))),IF(Nonlabor!$I$13="Fixed",1,IF(Nonlabor!$I$13="Seats",ROUNDUP('Monthly Lean'!I34,0),IF(Nonlabor!$I$13="Customers",'Monthly Lean'!D34,IF(Nonlabor!$I$13="NewCustomers",'Monthly Lean'!C34,IF(Nonlabor!$I$13="StorageGB",'Monthly Lean'!G34,IF(Nonlabor!$I$13="LogGB",'Monthly Lean'!H34,IF(Nonlabor!$I$13="RequestsM",'Monthly Lean'!F34,IF(Nonlabor!$I$13="InputM",'Monthly Lean'!D34*Assumptions!$C$22/1000000,IF(Nonlabor!$I$13="OutputM",'Monthly Lean'!D34*Assumptions!$C$23/1000000,0))))))))),0)</f>
        <v>6</v>
      </c>
      <c r="F454" s="10" t="n">
        <f aca="false">Nonlabor!$J$13*(1+Assumptions!$C$9)^INT((C454-1)/12)</f>
        <v>4.2436</v>
      </c>
      <c r="G454" s="10" t="n">
        <f aca="false">E454*F454</f>
        <v>25.4616</v>
      </c>
      <c r="H454" s="10" t="n">
        <f aca="false">IF(OR(Nonlabor!$L$13="Quote required",Nonlabor!$L$13="Unverified"),G454,0)</f>
        <v>0</v>
      </c>
      <c r="I454" s="10" t="n">
        <f aca="false">IF(Nonlabor!$E$13="Core",0,G454)</f>
        <v>0</v>
      </c>
      <c r="J454" s="23" t="str">
        <f aca="false">Nonlabor!$B$13</f>
        <v>TOOLS</v>
      </c>
    </row>
    <row r="455" customFormat="false" ht="15" hidden="false" customHeight="false" outlineLevel="0" collapsed="false">
      <c r="A455" s="6" t="s">
        <v>72</v>
      </c>
      <c r="B455" s="6" t="s">
        <v>395</v>
      </c>
      <c r="C455" s="6" t="n">
        <v>30</v>
      </c>
      <c r="D455" s="25" t="n">
        <f aca="false">EDATE('Start Here'!$B$6,C455-1)</f>
        <v>47209</v>
      </c>
      <c r="E455" s="23" t="n">
        <f aca="false">IF(AND(OR(Nonlabor!$D$13="Both",Nonlabor!$D$13='Start Here'!$B$9),IF(Nonlabor!$E$13="Core",1,IF(Nonlabor!$E$13="AI",'Start Here'!$B$7,'Start Here'!$B$8))=1,C455&gt;=IF(Nonlabor!$E$13="Core",Nonlabor!$F$13,MAX(Nonlabor!$F$13,IF(Nonlabor!$E$13="AI",Assumptions!$C$24,Assumptions!$C$25))),C455&lt;=Nonlabor!$G$13,OR(Nonlabor!$H$13="Monthly",AND(Nonlabor!$H$13="Once",C455=IF(Nonlabor!$E$13="Core",Nonlabor!$F$13,MAX(Nonlabor!$F$13,IF(Nonlabor!$E$13="AI",Assumptions!$C$24,Assumptions!$C$25)))),AND(Nonlabor!$H$13="Annual",MOD(C455-IF(Nonlabor!$E$13="Core",Nonlabor!$F$13,MAX(Nonlabor!$F$13,IF(Nonlabor!$E$13="AI",Assumptions!$C$24,Assumptions!$C$25))),12)=0))),IF(Nonlabor!$I$13="Fixed",1,IF(Nonlabor!$I$13="Seats",ROUNDUP('Monthly Lean'!I35,0),IF(Nonlabor!$I$13="Customers",'Monthly Lean'!D35,IF(Nonlabor!$I$13="NewCustomers",'Monthly Lean'!C35,IF(Nonlabor!$I$13="StorageGB",'Monthly Lean'!G35,IF(Nonlabor!$I$13="LogGB",'Monthly Lean'!H35,IF(Nonlabor!$I$13="RequestsM",'Monthly Lean'!F35,IF(Nonlabor!$I$13="InputM",'Monthly Lean'!D35*Assumptions!$C$22/1000000,IF(Nonlabor!$I$13="OutputM",'Monthly Lean'!D35*Assumptions!$C$23/1000000,0))))))))),0)</f>
        <v>6</v>
      </c>
      <c r="F455" s="10" t="n">
        <f aca="false">Nonlabor!$J$13*(1+Assumptions!$C$9)^INT((C455-1)/12)</f>
        <v>4.2436</v>
      </c>
      <c r="G455" s="10" t="n">
        <f aca="false">E455*F455</f>
        <v>25.4616</v>
      </c>
      <c r="H455" s="10" t="n">
        <f aca="false">IF(OR(Nonlabor!$L$13="Quote required",Nonlabor!$L$13="Unverified"),G455,0)</f>
        <v>0</v>
      </c>
      <c r="I455" s="10" t="n">
        <f aca="false">IF(Nonlabor!$E$13="Core",0,G455)</f>
        <v>0</v>
      </c>
      <c r="J455" s="23" t="str">
        <f aca="false">Nonlabor!$B$13</f>
        <v>TOOLS</v>
      </c>
    </row>
    <row r="456" customFormat="false" ht="15" hidden="false" customHeight="false" outlineLevel="0" collapsed="false">
      <c r="A456" s="6" t="s">
        <v>72</v>
      </c>
      <c r="B456" s="6" t="s">
        <v>395</v>
      </c>
      <c r="C456" s="6" t="n">
        <v>31</v>
      </c>
      <c r="D456" s="25" t="n">
        <f aca="false">EDATE('Start Here'!$B$6,C456-1)</f>
        <v>47239</v>
      </c>
      <c r="E456" s="23" t="n">
        <f aca="false">IF(AND(OR(Nonlabor!$D$13="Both",Nonlabor!$D$13='Start Here'!$B$9),IF(Nonlabor!$E$13="Core",1,IF(Nonlabor!$E$13="AI",'Start Here'!$B$7,'Start Here'!$B$8))=1,C456&gt;=IF(Nonlabor!$E$13="Core",Nonlabor!$F$13,MAX(Nonlabor!$F$13,IF(Nonlabor!$E$13="AI",Assumptions!$C$24,Assumptions!$C$25))),C456&lt;=Nonlabor!$G$13,OR(Nonlabor!$H$13="Monthly",AND(Nonlabor!$H$13="Once",C456=IF(Nonlabor!$E$13="Core",Nonlabor!$F$13,MAX(Nonlabor!$F$13,IF(Nonlabor!$E$13="AI",Assumptions!$C$24,Assumptions!$C$25)))),AND(Nonlabor!$H$13="Annual",MOD(C456-IF(Nonlabor!$E$13="Core",Nonlabor!$F$13,MAX(Nonlabor!$F$13,IF(Nonlabor!$E$13="AI",Assumptions!$C$24,Assumptions!$C$25))),12)=0))),IF(Nonlabor!$I$13="Fixed",1,IF(Nonlabor!$I$13="Seats",ROUNDUP('Monthly Lean'!I36,0),IF(Nonlabor!$I$13="Customers",'Monthly Lean'!D36,IF(Nonlabor!$I$13="NewCustomers",'Monthly Lean'!C36,IF(Nonlabor!$I$13="StorageGB",'Monthly Lean'!G36,IF(Nonlabor!$I$13="LogGB",'Monthly Lean'!H36,IF(Nonlabor!$I$13="RequestsM",'Monthly Lean'!F36,IF(Nonlabor!$I$13="InputM",'Monthly Lean'!D36*Assumptions!$C$22/1000000,IF(Nonlabor!$I$13="OutputM",'Monthly Lean'!D36*Assumptions!$C$23/1000000,0))))))))),0)</f>
        <v>7</v>
      </c>
      <c r="F456" s="10" t="n">
        <f aca="false">Nonlabor!$J$13*(1+Assumptions!$C$9)^INT((C456-1)/12)</f>
        <v>4.2436</v>
      </c>
      <c r="G456" s="10" t="n">
        <f aca="false">E456*F456</f>
        <v>29.7052</v>
      </c>
      <c r="H456" s="10" t="n">
        <f aca="false">IF(OR(Nonlabor!$L$13="Quote required",Nonlabor!$L$13="Unverified"),G456,0)</f>
        <v>0</v>
      </c>
      <c r="I456" s="10" t="n">
        <f aca="false">IF(Nonlabor!$E$13="Core",0,G456)</f>
        <v>0</v>
      </c>
      <c r="J456" s="23" t="str">
        <f aca="false">Nonlabor!$B$13</f>
        <v>TOOLS</v>
      </c>
    </row>
    <row r="457" customFormat="false" ht="15" hidden="false" customHeight="false" outlineLevel="0" collapsed="false">
      <c r="A457" s="6" t="s">
        <v>72</v>
      </c>
      <c r="B457" s="6" t="s">
        <v>395</v>
      </c>
      <c r="C457" s="6" t="n">
        <v>32</v>
      </c>
      <c r="D457" s="25" t="n">
        <f aca="false">EDATE('Start Here'!$B$6,C457-1)</f>
        <v>47270</v>
      </c>
      <c r="E457" s="23" t="n">
        <f aca="false">IF(AND(OR(Nonlabor!$D$13="Both",Nonlabor!$D$13='Start Here'!$B$9),IF(Nonlabor!$E$13="Core",1,IF(Nonlabor!$E$13="AI",'Start Here'!$B$7,'Start Here'!$B$8))=1,C457&gt;=IF(Nonlabor!$E$13="Core",Nonlabor!$F$13,MAX(Nonlabor!$F$13,IF(Nonlabor!$E$13="AI",Assumptions!$C$24,Assumptions!$C$25))),C457&lt;=Nonlabor!$G$13,OR(Nonlabor!$H$13="Monthly",AND(Nonlabor!$H$13="Once",C457=IF(Nonlabor!$E$13="Core",Nonlabor!$F$13,MAX(Nonlabor!$F$13,IF(Nonlabor!$E$13="AI",Assumptions!$C$24,Assumptions!$C$25)))),AND(Nonlabor!$H$13="Annual",MOD(C457-IF(Nonlabor!$E$13="Core",Nonlabor!$F$13,MAX(Nonlabor!$F$13,IF(Nonlabor!$E$13="AI",Assumptions!$C$24,Assumptions!$C$25))),12)=0))),IF(Nonlabor!$I$13="Fixed",1,IF(Nonlabor!$I$13="Seats",ROUNDUP('Monthly Lean'!I37,0),IF(Nonlabor!$I$13="Customers",'Monthly Lean'!D37,IF(Nonlabor!$I$13="NewCustomers",'Monthly Lean'!C37,IF(Nonlabor!$I$13="StorageGB",'Monthly Lean'!G37,IF(Nonlabor!$I$13="LogGB",'Monthly Lean'!H37,IF(Nonlabor!$I$13="RequestsM",'Monthly Lean'!F37,IF(Nonlabor!$I$13="InputM",'Monthly Lean'!D37*Assumptions!$C$22/1000000,IF(Nonlabor!$I$13="OutputM",'Monthly Lean'!D37*Assumptions!$C$23/1000000,0))))))))),0)</f>
        <v>7</v>
      </c>
      <c r="F457" s="10" t="n">
        <f aca="false">Nonlabor!$J$13*(1+Assumptions!$C$9)^INT((C457-1)/12)</f>
        <v>4.2436</v>
      </c>
      <c r="G457" s="10" t="n">
        <f aca="false">E457*F457</f>
        <v>29.7052</v>
      </c>
      <c r="H457" s="10" t="n">
        <f aca="false">IF(OR(Nonlabor!$L$13="Quote required",Nonlabor!$L$13="Unverified"),G457,0)</f>
        <v>0</v>
      </c>
      <c r="I457" s="10" t="n">
        <f aca="false">IF(Nonlabor!$E$13="Core",0,G457)</f>
        <v>0</v>
      </c>
      <c r="J457" s="23" t="str">
        <f aca="false">Nonlabor!$B$13</f>
        <v>TOOLS</v>
      </c>
    </row>
    <row r="458" customFormat="false" ht="15" hidden="false" customHeight="false" outlineLevel="0" collapsed="false">
      <c r="A458" s="6" t="s">
        <v>72</v>
      </c>
      <c r="B458" s="6" t="s">
        <v>395</v>
      </c>
      <c r="C458" s="6" t="n">
        <v>33</v>
      </c>
      <c r="D458" s="25" t="n">
        <f aca="false">EDATE('Start Here'!$B$6,C458-1)</f>
        <v>47300</v>
      </c>
      <c r="E458" s="23" t="n">
        <f aca="false">IF(AND(OR(Nonlabor!$D$13="Both",Nonlabor!$D$13='Start Here'!$B$9),IF(Nonlabor!$E$13="Core",1,IF(Nonlabor!$E$13="AI",'Start Here'!$B$7,'Start Here'!$B$8))=1,C458&gt;=IF(Nonlabor!$E$13="Core",Nonlabor!$F$13,MAX(Nonlabor!$F$13,IF(Nonlabor!$E$13="AI",Assumptions!$C$24,Assumptions!$C$25))),C458&lt;=Nonlabor!$G$13,OR(Nonlabor!$H$13="Monthly",AND(Nonlabor!$H$13="Once",C458=IF(Nonlabor!$E$13="Core",Nonlabor!$F$13,MAX(Nonlabor!$F$13,IF(Nonlabor!$E$13="AI",Assumptions!$C$24,Assumptions!$C$25)))),AND(Nonlabor!$H$13="Annual",MOD(C458-IF(Nonlabor!$E$13="Core",Nonlabor!$F$13,MAX(Nonlabor!$F$13,IF(Nonlabor!$E$13="AI",Assumptions!$C$24,Assumptions!$C$25))),12)=0))),IF(Nonlabor!$I$13="Fixed",1,IF(Nonlabor!$I$13="Seats",ROUNDUP('Monthly Lean'!I38,0),IF(Nonlabor!$I$13="Customers",'Monthly Lean'!D38,IF(Nonlabor!$I$13="NewCustomers",'Monthly Lean'!C38,IF(Nonlabor!$I$13="StorageGB",'Monthly Lean'!G38,IF(Nonlabor!$I$13="LogGB",'Monthly Lean'!H38,IF(Nonlabor!$I$13="RequestsM",'Monthly Lean'!F38,IF(Nonlabor!$I$13="InputM",'Monthly Lean'!D38*Assumptions!$C$22/1000000,IF(Nonlabor!$I$13="OutputM",'Monthly Lean'!D38*Assumptions!$C$23/1000000,0))))))))),0)</f>
        <v>7</v>
      </c>
      <c r="F458" s="10" t="n">
        <f aca="false">Nonlabor!$J$13*(1+Assumptions!$C$9)^INT((C458-1)/12)</f>
        <v>4.2436</v>
      </c>
      <c r="G458" s="10" t="n">
        <f aca="false">E458*F458</f>
        <v>29.7052</v>
      </c>
      <c r="H458" s="10" t="n">
        <f aca="false">IF(OR(Nonlabor!$L$13="Quote required",Nonlabor!$L$13="Unverified"),G458,0)</f>
        <v>0</v>
      </c>
      <c r="I458" s="10" t="n">
        <f aca="false">IF(Nonlabor!$E$13="Core",0,G458)</f>
        <v>0</v>
      </c>
      <c r="J458" s="23" t="str">
        <f aca="false">Nonlabor!$B$13</f>
        <v>TOOLS</v>
      </c>
    </row>
    <row r="459" customFormat="false" ht="15" hidden="false" customHeight="false" outlineLevel="0" collapsed="false">
      <c r="A459" s="6" t="s">
        <v>72</v>
      </c>
      <c r="B459" s="6" t="s">
        <v>395</v>
      </c>
      <c r="C459" s="6" t="n">
        <v>34</v>
      </c>
      <c r="D459" s="25" t="n">
        <f aca="false">EDATE('Start Here'!$B$6,C459-1)</f>
        <v>47331</v>
      </c>
      <c r="E459" s="23" t="n">
        <f aca="false">IF(AND(OR(Nonlabor!$D$13="Both",Nonlabor!$D$13='Start Here'!$B$9),IF(Nonlabor!$E$13="Core",1,IF(Nonlabor!$E$13="AI",'Start Here'!$B$7,'Start Here'!$B$8))=1,C459&gt;=IF(Nonlabor!$E$13="Core",Nonlabor!$F$13,MAX(Nonlabor!$F$13,IF(Nonlabor!$E$13="AI",Assumptions!$C$24,Assumptions!$C$25))),C459&lt;=Nonlabor!$G$13,OR(Nonlabor!$H$13="Monthly",AND(Nonlabor!$H$13="Once",C459=IF(Nonlabor!$E$13="Core",Nonlabor!$F$13,MAX(Nonlabor!$F$13,IF(Nonlabor!$E$13="AI",Assumptions!$C$24,Assumptions!$C$25)))),AND(Nonlabor!$H$13="Annual",MOD(C459-IF(Nonlabor!$E$13="Core",Nonlabor!$F$13,MAX(Nonlabor!$F$13,IF(Nonlabor!$E$13="AI",Assumptions!$C$24,Assumptions!$C$25))),12)=0))),IF(Nonlabor!$I$13="Fixed",1,IF(Nonlabor!$I$13="Seats",ROUNDUP('Monthly Lean'!I39,0),IF(Nonlabor!$I$13="Customers",'Monthly Lean'!D39,IF(Nonlabor!$I$13="NewCustomers",'Monthly Lean'!C39,IF(Nonlabor!$I$13="StorageGB",'Monthly Lean'!G39,IF(Nonlabor!$I$13="LogGB",'Monthly Lean'!H39,IF(Nonlabor!$I$13="RequestsM",'Monthly Lean'!F39,IF(Nonlabor!$I$13="InputM",'Monthly Lean'!D39*Assumptions!$C$22/1000000,IF(Nonlabor!$I$13="OutputM",'Monthly Lean'!D39*Assumptions!$C$23/1000000,0))))))))),0)</f>
        <v>7</v>
      </c>
      <c r="F459" s="10" t="n">
        <f aca="false">Nonlabor!$J$13*(1+Assumptions!$C$9)^INT((C459-1)/12)</f>
        <v>4.2436</v>
      </c>
      <c r="G459" s="10" t="n">
        <f aca="false">E459*F459</f>
        <v>29.7052</v>
      </c>
      <c r="H459" s="10" t="n">
        <f aca="false">IF(OR(Nonlabor!$L$13="Quote required",Nonlabor!$L$13="Unverified"),G459,0)</f>
        <v>0</v>
      </c>
      <c r="I459" s="10" t="n">
        <f aca="false">IF(Nonlabor!$E$13="Core",0,G459)</f>
        <v>0</v>
      </c>
      <c r="J459" s="23" t="str">
        <f aca="false">Nonlabor!$B$13</f>
        <v>TOOLS</v>
      </c>
    </row>
    <row r="460" customFormat="false" ht="15" hidden="false" customHeight="false" outlineLevel="0" collapsed="false">
      <c r="A460" s="6" t="s">
        <v>72</v>
      </c>
      <c r="B460" s="6" t="s">
        <v>395</v>
      </c>
      <c r="C460" s="6" t="n">
        <v>35</v>
      </c>
      <c r="D460" s="25" t="n">
        <f aca="false">EDATE('Start Here'!$B$6,C460-1)</f>
        <v>47362</v>
      </c>
      <c r="E460" s="23" t="n">
        <f aca="false">IF(AND(OR(Nonlabor!$D$13="Both",Nonlabor!$D$13='Start Here'!$B$9),IF(Nonlabor!$E$13="Core",1,IF(Nonlabor!$E$13="AI",'Start Here'!$B$7,'Start Here'!$B$8))=1,C460&gt;=IF(Nonlabor!$E$13="Core",Nonlabor!$F$13,MAX(Nonlabor!$F$13,IF(Nonlabor!$E$13="AI",Assumptions!$C$24,Assumptions!$C$25))),C460&lt;=Nonlabor!$G$13,OR(Nonlabor!$H$13="Monthly",AND(Nonlabor!$H$13="Once",C460=IF(Nonlabor!$E$13="Core",Nonlabor!$F$13,MAX(Nonlabor!$F$13,IF(Nonlabor!$E$13="AI",Assumptions!$C$24,Assumptions!$C$25)))),AND(Nonlabor!$H$13="Annual",MOD(C460-IF(Nonlabor!$E$13="Core",Nonlabor!$F$13,MAX(Nonlabor!$F$13,IF(Nonlabor!$E$13="AI",Assumptions!$C$24,Assumptions!$C$25))),12)=0))),IF(Nonlabor!$I$13="Fixed",1,IF(Nonlabor!$I$13="Seats",ROUNDUP('Monthly Lean'!I40,0),IF(Nonlabor!$I$13="Customers",'Monthly Lean'!D40,IF(Nonlabor!$I$13="NewCustomers",'Monthly Lean'!C40,IF(Nonlabor!$I$13="StorageGB",'Monthly Lean'!G40,IF(Nonlabor!$I$13="LogGB",'Monthly Lean'!H40,IF(Nonlabor!$I$13="RequestsM",'Monthly Lean'!F40,IF(Nonlabor!$I$13="InputM",'Monthly Lean'!D40*Assumptions!$C$22/1000000,IF(Nonlabor!$I$13="OutputM",'Monthly Lean'!D40*Assumptions!$C$23/1000000,0))))))))),0)</f>
        <v>7</v>
      </c>
      <c r="F460" s="10" t="n">
        <f aca="false">Nonlabor!$J$13*(1+Assumptions!$C$9)^INT((C460-1)/12)</f>
        <v>4.2436</v>
      </c>
      <c r="G460" s="10" t="n">
        <f aca="false">E460*F460</f>
        <v>29.7052</v>
      </c>
      <c r="H460" s="10" t="n">
        <f aca="false">IF(OR(Nonlabor!$L$13="Quote required",Nonlabor!$L$13="Unverified"),G460,0)</f>
        <v>0</v>
      </c>
      <c r="I460" s="10" t="n">
        <f aca="false">IF(Nonlabor!$E$13="Core",0,G460)</f>
        <v>0</v>
      </c>
      <c r="J460" s="23" t="str">
        <f aca="false">Nonlabor!$B$13</f>
        <v>TOOLS</v>
      </c>
    </row>
    <row r="461" customFormat="false" ht="15" hidden="false" customHeight="false" outlineLevel="0" collapsed="false">
      <c r="A461" s="6" t="s">
        <v>72</v>
      </c>
      <c r="B461" s="6" t="s">
        <v>395</v>
      </c>
      <c r="C461" s="6" t="n">
        <v>36</v>
      </c>
      <c r="D461" s="25" t="n">
        <f aca="false">EDATE('Start Here'!$B$6,C461-1)</f>
        <v>47392</v>
      </c>
      <c r="E461" s="23" t="n">
        <f aca="false">IF(AND(OR(Nonlabor!$D$13="Both",Nonlabor!$D$13='Start Here'!$B$9),IF(Nonlabor!$E$13="Core",1,IF(Nonlabor!$E$13="AI",'Start Here'!$B$7,'Start Here'!$B$8))=1,C461&gt;=IF(Nonlabor!$E$13="Core",Nonlabor!$F$13,MAX(Nonlabor!$F$13,IF(Nonlabor!$E$13="AI",Assumptions!$C$24,Assumptions!$C$25))),C461&lt;=Nonlabor!$G$13,OR(Nonlabor!$H$13="Monthly",AND(Nonlabor!$H$13="Once",C461=IF(Nonlabor!$E$13="Core",Nonlabor!$F$13,MAX(Nonlabor!$F$13,IF(Nonlabor!$E$13="AI",Assumptions!$C$24,Assumptions!$C$25)))),AND(Nonlabor!$H$13="Annual",MOD(C461-IF(Nonlabor!$E$13="Core",Nonlabor!$F$13,MAX(Nonlabor!$F$13,IF(Nonlabor!$E$13="AI",Assumptions!$C$24,Assumptions!$C$25))),12)=0))),IF(Nonlabor!$I$13="Fixed",1,IF(Nonlabor!$I$13="Seats",ROUNDUP('Monthly Lean'!I41,0),IF(Nonlabor!$I$13="Customers",'Monthly Lean'!D41,IF(Nonlabor!$I$13="NewCustomers",'Monthly Lean'!C41,IF(Nonlabor!$I$13="StorageGB",'Monthly Lean'!G41,IF(Nonlabor!$I$13="LogGB",'Monthly Lean'!H41,IF(Nonlabor!$I$13="RequestsM",'Monthly Lean'!F41,IF(Nonlabor!$I$13="InputM",'Monthly Lean'!D41*Assumptions!$C$22/1000000,IF(Nonlabor!$I$13="OutputM",'Monthly Lean'!D41*Assumptions!$C$23/1000000,0))))))))),0)</f>
        <v>7</v>
      </c>
      <c r="F461" s="10" t="n">
        <f aca="false">Nonlabor!$J$13*(1+Assumptions!$C$9)^INT((C461-1)/12)</f>
        <v>4.2436</v>
      </c>
      <c r="G461" s="10" t="n">
        <f aca="false">E461*F461</f>
        <v>29.7052</v>
      </c>
      <c r="H461" s="10" t="n">
        <f aca="false">IF(OR(Nonlabor!$L$13="Quote required",Nonlabor!$L$13="Unverified"),G461,0)</f>
        <v>0</v>
      </c>
      <c r="I461" s="10" t="n">
        <f aca="false">IF(Nonlabor!$E$13="Core",0,G461)</f>
        <v>0</v>
      </c>
      <c r="J461" s="23" t="str">
        <f aca="false">Nonlabor!$B$13</f>
        <v>TOOLS</v>
      </c>
    </row>
    <row r="462" customFormat="false" ht="15" hidden="false" customHeight="false" outlineLevel="0" collapsed="false">
      <c r="A462" s="6" t="s">
        <v>72</v>
      </c>
      <c r="B462" s="6" t="s">
        <v>395</v>
      </c>
      <c r="C462" s="6" t="n">
        <v>37</v>
      </c>
      <c r="D462" s="25" t="n">
        <f aca="false">EDATE('Start Here'!$B$6,C462-1)</f>
        <v>47423</v>
      </c>
      <c r="E462" s="23" t="n">
        <f aca="false">IF(AND(OR(Nonlabor!$D$13="Both",Nonlabor!$D$13='Start Here'!$B$9),IF(Nonlabor!$E$13="Core",1,IF(Nonlabor!$E$13="AI",'Start Here'!$B$7,'Start Here'!$B$8))=1,C462&gt;=IF(Nonlabor!$E$13="Core",Nonlabor!$F$13,MAX(Nonlabor!$F$13,IF(Nonlabor!$E$13="AI",Assumptions!$C$24,Assumptions!$C$25))),C462&lt;=Nonlabor!$G$13,OR(Nonlabor!$H$13="Monthly",AND(Nonlabor!$H$13="Once",C462=IF(Nonlabor!$E$13="Core",Nonlabor!$F$13,MAX(Nonlabor!$F$13,IF(Nonlabor!$E$13="AI",Assumptions!$C$24,Assumptions!$C$25)))),AND(Nonlabor!$H$13="Annual",MOD(C462-IF(Nonlabor!$E$13="Core",Nonlabor!$F$13,MAX(Nonlabor!$F$13,IF(Nonlabor!$E$13="AI",Assumptions!$C$24,Assumptions!$C$25))),12)=0))),IF(Nonlabor!$I$13="Fixed",1,IF(Nonlabor!$I$13="Seats",ROUNDUP('Monthly Lean'!I42,0),IF(Nonlabor!$I$13="Customers",'Monthly Lean'!D42,IF(Nonlabor!$I$13="NewCustomers",'Monthly Lean'!C42,IF(Nonlabor!$I$13="StorageGB",'Monthly Lean'!G42,IF(Nonlabor!$I$13="LogGB",'Monthly Lean'!H42,IF(Nonlabor!$I$13="RequestsM",'Monthly Lean'!F42,IF(Nonlabor!$I$13="InputM",'Monthly Lean'!D42*Assumptions!$C$22/1000000,IF(Nonlabor!$I$13="OutputM",'Monthly Lean'!D42*Assumptions!$C$23/1000000,0))))))))),0)</f>
        <v>7</v>
      </c>
      <c r="F462" s="10" t="n">
        <f aca="false">Nonlabor!$J$13*(1+Assumptions!$C$9)^INT((C462-1)/12)</f>
        <v>4.370908</v>
      </c>
      <c r="G462" s="10" t="n">
        <f aca="false">E462*F462</f>
        <v>30.596356</v>
      </c>
      <c r="H462" s="10" t="n">
        <f aca="false">IF(OR(Nonlabor!$L$13="Quote required",Nonlabor!$L$13="Unverified"),G462,0)</f>
        <v>0</v>
      </c>
      <c r="I462" s="10" t="n">
        <f aca="false">IF(Nonlabor!$E$13="Core",0,G462)</f>
        <v>0</v>
      </c>
      <c r="J462" s="23" t="str">
        <f aca="false">Nonlabor!$B$13</f>
        <v>TOOLS</v>
      </c>
    </row>
    <row r="463" customFormat="false" ht="15" hidden="false" customHeight="false" outlineLevel="0" collapsed="false">
      <c r="A463" s="6" t="s">
        <v>72</v>
      </c>
      <c r="B463" s="6" t="s">
        <v>395</v>
      </c>
      <c r="C463" s="6" t="n">
        <v>38</v>
      </c>
      <c r="D463" s="25" t="n">
        <f aca="false">EDATE('Start Here'!$B$6,C463-1)</f>
        <v>47453</v>
      </c>
      <c r="E463" s="23" t="n">
        <f aca="false">IF(AND(OR(Nonlabor!$D$13="Both",Nonlabor!$D$13='Start Here'!$B$9),IF(Nonlabor!$E$13="Core",1,IF(Nonlabor!$E$13="AI",'Start Here'!$B$7,'Start Here'!$B$8))=1,C463&gt;=IF(Nonlabor!$E$13="Core",Nonlabor!$F$13,MAX(Nonlabor!$F$13,IF(Nonlabor!$E$13="AI",Assumptions!$C$24,Assumptions!$C$25))),C463&lt;=Nonlabor!$G$13,OR(Nonlabor!$H$13="Monthly",AND(Nonlabor!$H$13="Once",C463=IF(Nonlabor!$E$13="Core",Nonlabor!$F$13,MAX(Nonlabor!$F$13,IF(Nonlabor!$E$13="AI",Assumptions!$C$24,Assumptions!$C$25)))),AND(Nonlabor!$H$13="Annual",MOD(C463-IF(Nonlabor!$E$13="Core",Nonlabor!$F$13,MAX(Nonlabor!$F$13,IF(Nonlabor!$E$13="AI",Assumptions!$C$24,Assumptions!$C$25))),12)=0))),IF(Nonlabor!$I$13="Fixed",1,IF(Nonlabor!$I$13="Seats",ROUNDUP('Monthly Lean'!I43,0),IF(Nonlabor!$I$13="Customers",'Monthly Lean'!D43,IF(Nonlabor!$I$13="NewCustomers",'Monthly Lean'!C43,IF(Nonlabor!$I$13="StorageGB",'Monthly Lean'!G43,IF(Nonlabor!$I$13="LogGB",'Monthly Lean'!H43,IF(Nonlabor!$I$13="RequestsM",'Monthly Lean'!F43,IF(Nonlabor!$I$13="InputM",'Monthly Lean'!D43*Assumptions!$C$22/1000000,IF(Nonlabor!$I$13="OutputM",'Monthly Lean'!D43*Assumptions!$C$23/1000000,0))))))))),0)</f>
        <v>7</v>
      </c>
      <c r="F463" s="10" t="n">
        <f aca="false">Nonlabor!$J$13*(1+Assumptions!$C$9)^INT((C463-1)/12)</f>
        <v>4.370908</v>
      </c>
      <c r="G463" s="10" t="n">
        <f aca="false">E463*F463</f>
        <v>30.596356</v>
      </c>
      <c r="H463" s="10" t="n">
        <f aca="false">IF(OR(Nonlabor!$L$13="Quote required",Nonlabor!$L$13="Unverified"),G463,0)</f>
        <v>0</v>
      </c>
      <c r="I463" s="10" t="n">
        <f aca="false">IF(Nonlabor!$E$13="Core",0,G463)</f>
        <v>0</v>
      </c>
      <c r="J463" s="23" t="str">
        <f aca="false">Nonlabor!$B$13</f>
        <v>TOOLS</v>
      </c>
    </row>
    <row r="464" customFormat="false" ht="15" hidden="false" customHeight="false" outlineLevel="0" collapsed="false">
      <c r="A464" s="6" t="s">
        <v>72</v>
      </c>
      <c r="B464" s="6" t="s">
        <v>395</v>
      </c>
      <c r="C464" s="6" t="n">
        <v>39</v>
      </c>
      <c r="D464" s="25" t="n">
        <f aca="false">EDATE('Start Here'!$B$6,C464-1)</f>
        <v>47484</v>
      </c>
      <c r="E464" s="23" t="n">
        <f aca="false">IF(AND(OR(Nonlabor!$D$13="Both",Nonlabor!$D$13='Start Here'!$B$9),IF(Nonlabor!$E$13="Core",1,IF(Nonlabor!$E$13="AI",'Start Here'!$B$7,'Start Here'!$B$8))=1,C464&gt;=IF(Nonlabor!$E$13="Core",Nonlabor!$F$13,MAX(Nonlabor!$F$13,IF(Nonlabor!$E$13="AI",Assumptions!$C$24,Assumptions!$C$25))),C464&lt;=Nonlabor!$G$13,OR(Nonlabor!$H$13="Monthly",AND(Nonlabor!$H$13="Once",C464=IF(Nonlabor!$E$13="Core",Nonlabor!$F$13,MAX(Nonlabor!$F$13,IF(Nonlabor!$E$13="AI",Assumptions!$C$24,Assumptions!$C$25)))),AND(Nonlabor!$H$13="Annual",MOD(C464-IF(Nonlabor!$E$13="Core",Nonlabor!$F$13,MAX(Nonlabor!$F$13,IF(Nonlabor!$E$13="AI",Assumptions!$C$24,Assumptions!$C$25))),12)=0))),IF(Nonlabor!$I$13="Fixed",1,IF(Nonlabor!$I$13="Seats",ROUNDUP('Monthly Lean'!I44,0),IF(Nonlabor!$I$13="Customers",'Monthly Lean'!D44,IF(Nonlabor!$I$13="NewCustomers",'Monthly Lean'!C44,IF(Nonlabor!$I$13="StorageGB",'Monthly Lean'!G44,IF(Nonlabor!$I$13="LogGB",'Monthly Lean'!H44,IF(Nonlabor!$I$13="RequestsM",'Monthly Lean'!F44,IF(Nonlabor!$I$13="InputM",'Monthly Lean'!D44*Assumptions!$C$22/1000000,IF(Nonlabor!$I$13="OutputM",'Monthly Lean'!D44*Assumptions!$C$23/1000000,0))))))))),0)</f>
        <v>7</v>
      </c>
      <c r="F464" s="10" t="n">
        <f aca="false">Nonlabor!$J$13*(1+Assumptions!$C$9)^INT((C464-1)/12)</f>
        <v>4.370908</v>
      </c>
      <c r="G464" s="10" t="n">
        <f aca="false">E464*F464</f>
        <v>30.596356</v>
      </c>
      <c r="H464" s="10" t="n">
        <f aca="false">IF(OR(Nonlabor!$L$13="Quote required",Nonlabor!$L$13="Unverified"),G464,0)</f>
        <v>0</v>
      </c>
      <c r="I464" s="10" t="n">
        <f aca="false">IF(Nonlabor!$E$13="Core",0,G464)</f>
        <v>0</v>
      </c>
      <c r="J464" s="23" t="str">
        <f aca="false">Nonlabor!$B$13</f>
        <v>TOOLS</v>
      </c>
    </row>
    <row r="465" customFormat="false" ht="15" hidden="false" customHeight="false" outlineLevel="0" collapsed="false">
      <c r="A465" s="6" t="s">
        <v>72</v>
      </c>
      <c r="B465" s="6" t="s">
        <v>395</v>
      </c>
      <c r="C465" s="6" t="n">
        <v>40</v>
      </c>
      <c r="D465" s="25" t="n">
        <f aca="false">EDATE('Start Here'!$B$6,C465-1)</f>
        <v>47515</v>
      </c>
      <c r="E465" s="23" t="n">
        <f aca="false">IF(AND(OR(Nonlabor!$D$13="Both",Nonlabor!$D$13='Start Here'!$B$9),IF(Nonlabor!$E$13="Core",1,IF(Nonlabor!$E$13="AI",'Start Here'!$B$7,'Start Here'!$B$8))=1,C465&gt;=IF(Nonlabor!$E$13="Core",Nonlabor!$F$13,MAX(Nonlabor!$F$13,IF(Nonlabor!$E$13="AI",Assumptions!$C$24,Assumptions!$C$25))),C465&lt;=Nonlabor!$G$13,OR(Nonlabor!$H$13="Monthly",AND(Nonlabor!$H$13="Once",C465=IF(Nonlabor!$E$13="Core",Nonlabor!$F$13,MAX(Nonlabor!$F$13,IF(Nonlabor!$E$13="AI",Assumptions!$C$24,Assumptions!$C$25)))),AND(Nonlabor!$H$13="Annual",MOD(C465-IF(Nonlabor!$E$13="Core",Nonlabor!$F$13,MAX(Nonlabor!$F$13,IF(Nonlabor!$E$13="AI",Assumptions!$C$24,Assumptions!$C$25))),12)=0))),IF(Nonlabor!$I$13="Fixed",1,IF(Nonlabor!$I$13="Seats",ROUNDUP('Monthly Lean'!I45,0),IF(Nonlabor!$I$13="Customers",'Monthly Lean'!D45,IF(Nonlabor!$I$13="NewCustomers",'Monthly Lean'!C45,IF(Nonlabor!$I$13="StorageGB",'Monthly Lean'!G45,IF(Nonlabor!$I$13="LogGB",'Monthly Lean'!H45,IF(Nonlabor!$I$13="RequestsM",'Monthly Lean'!F45,IF(Nonlabor!$I$13="InputM",'Monthly Lean'!D45*Assumptions!$C$22/1000000,IF(Nonlabor!$I$13="OutputM",'Monthly Lean'!D45*Assumptions!$C$23/1000000,0))))))))),0)</f>
        <v>7</v>
      </c>
      <c r="F465" s="10" t="n">
        <f aca="false">Nonlabor!$J$13*(1+Assumptions!$C$9)^INT((C465-1)/12)</f>
        <v>4.370908</v>
      </c>
      <c r="G465" s="10" t="n">
        <f aca="false">E465*F465</f>
        <v>30.596356</v>
      </c>
      <c r="H465" s="10" t="n">
        <f aca="false">IF(OR(Nonlabor!$L$13="Quote required",Nonlabor!$L$13="Unverified"),G465,0)</f>
        <v>0</v>
      </c>
      <c r="I465" s="10" t="n">
        <f aca="false">IF(Nonlabor!$E$13="Core",0,G465)</f>
        <v>0</v>
      </c>
      <c r="J465" s="23" t="str">
        <f aca="false">Nonlabor!$B$13</f>
        <v>TOOLS</v>
      </c>
    </row>
    <row r="466" customFormat="false" ht="15" hidden="false" customHeight="false" outlineLevel="0" collapsed="false">
      <c r="A466" s="6" t="s">
        <v>72</v>
      </c>
      <c r="B466" s="6" t="s">
        <v>395</v>
      </c>
      <c r="C466" s="6" t="n">
        <v>41</v>
      </c>
      <c r="D466" s="25" t="n">
        <f aca="false">EDATE('Start Here'!$B$6,C466-1)</f>
        <v>47543</v>
      </c>
      <c r="E466" s="23" t="n">
        <f aca="false">IF(AND(OR(Nonlabor!$D$13="Both",Nonlabor!$D$13='Start Here'!$B$9),IF(Nonlabor!$E$13="Core",1,IF(Nonlabor!$E$13="AI",'Start Here'!$B$7,'Start Here'!$B$8))=1,C466&gt;=IF(Nonlabor!$E$13="Core",Nonlabor!$F$13,MAX(Nonlabor!$F$13,IF(Nonlabor!$E$13="AI",Assumptions!$C$24,Assumptions!$C$25))),C466&lt;=Nonlabor!$G$13,OR(Nonlabor!$H$13="Monthly",AND(Nonlabor!$H$13="Once",C466=IF(Nonlabor!$E$13="Core",Nonlabor!$F$13,MAX(Nonlabor!$F$13,IF(Nonlabor!$E$13="AI",Assumptions!$C$24,Assumptions!$C$25)))),AND(Nonlabor!$H$13="Annual",MOD(C466-IF(Nonlabor!$E$13="Core",Nonlabor!$F$13,MAX(Nonlabor!$F$13,IF(Nonlabor!$E$13="AI",Assumptions!$C$24,Assumptions!$C$25))),12)=0))),IF(Nonlabor!$I$13="Fixed",1,IF(Nonlabor!$I$13="Seats",ROUNDUP('Monthly Lean'!I46,0),IF(Nonlabor!$I$13="Customers",'Monthly Lean'!D46,IF(Nonlabor!$I$13="NewCustomers",'Monthly Lean'!C46,IF(Nonlabor!$I$13="StorageGB",'Monthly Lean'!G46,IF(Nonlabor!$I$13="LogGB",'Monthly Lean'!H46,IF(Nonlabor!$I$13="RequestsM",'Monthly Lean'!F46,IF(Nonlabor!$I$13="InputM",'Monthly Lean'!D46*Assumptions!$C$22/1000000,IF(Nonlabor!$I$13="OutputM",'Monthly Lean'!D46*Assumptions!$C$23/1000000,0))))))))),0)</f>
        <v>7</v>
      </c>
      <c r="F466" s="10" t="n">
        <f aca="false">Nonlabor!$J$13*(1+Assumptions!$C$9)^INT((C466-1)/12)</f>
        <v>4.370908</v>
      </c>
      <c r="G466" s="10" t="n">
        <f aca="false">E466*F466</f>
        <v>30.596356</v>
      </c>
      <c r="H466" s="10" t="n">
        <f aca="false">IF(OR(Nonlabor!$L$13="Quote required",Nonlabor!$L$13="Unverified"),G466,0)</f>
        <v>0</v>
      </c>
      <c r="I466" s="10" t="n">
        <f aca="false">IF(Nonlabor!$E$13="Core",0,G466)</f>
        <v>0</v>
      </c>
      <c r="J466" s="23" t="str">
        <f aca="false">Nonlabor!$B$13</f>
        <v>TOOLS</v>
      </c>
    </row>
    <row r="467" customFormat="false" ht="15" hidden="false" customHeight="false" outlineLevel="0" collapsed="false">
      <c r="A467" s="6" t="s">
        <v>72</v>
      </c>
      <c r="B467" s="6" t="s">
        <v>395</v>
      </c>
      <c r="C467" s="6" t="n">
        <v>42</v>
      </c>
      <c r="D467" s="25" t="n">
        <f aca="false">EDATE('Start Here'!$B$6,C467-1)</f>
        <v>47574</v>
      </c>
      <c r="E467" s="23" t="n">
        <f aca="false">IF(AND(OR(Nonlabor!$D$13="Both",Nonlabor!$D$13='Start Here'!$B$9),IF(Nonlabor!$E$13="Core",1,IF(Nonlabor!$E$13="AI",'Start Here'!$B$7,'Start Here'!$B$8))=1,C467&gt;=IF(Nonlabor!$E$13="Core",Nonlabor!$F$13,MAX(Nonlabor!$F$13,IF(Nonlabor!$E$13="AI",Assumptions!$C$24,Assumptions!$C$25))),C467&lt;=Nonlabor!$G$13,OR(Nonlabor!$H$13="Monthly",AND(Nonlabor!$H$13="Once",C467=IF(Nonlabor!$E$13="Core",Nonlabor!$F$13,MAX(Nonlabor!$F$13,IF(Nonlabor!$E$13="AI",Assumptions!$C$24,Assumptions!$C$25)))),AND(Nonlabor!$H$13="Annual",MOD(C467-IF(Nonlabor!$E$13="Core",Nonlabor!$F$13,MAX(Nonlabor!$F$13,IF(Nonlabor!$E$13="AI",Assumptions!$C$24,Assumptions!$C$25))),12)=0))),IF(Nonlabor!$I$13="Fixed",1,IF(Nonlabor!$I$13="Seats",ROUNDUP('Monthly Lean'!I47,0),IF(Nonlabor!$I$13="Customers",'Monthly Lean'!D47,IF(Nonlabor!$I$13="NewCustomers",'Monthly Lean'!C47,IF(Nonlabor!$I$13="StorageGB",'Monthly Lean'!G47,IF(Nonlabor!$I$13="LogGB",'Monthly Lean'!H47,IF(Nonlabor!$I$13="RequestsM",'Monthly Lean'!F47,IF(Nonlabor!$I$13="InputM",'Monthly Lean'!D47*Assumptions!$C$22/1000000,IF(Nonlabor!$I$13="OutputM",'Monthly Lean'!D47*Assumptions!$C$23/1000000,0))))))))),0)</f>
        <v>7</v>
      </c>
      <c r="F467" s="10" t="n">
        <f aca="false">Nonlabor!$J$13*(1+Assumptions!$C$9)^INT((C467-1)/12)</f>
        <v>4.370908</v>
      </c>
      <c r="G467" s="10" t="n">
        <f aca="false">E467*F467</f>
        <v>30.596356</v>
      </c>
      <c r="H467" s="10" t="n">
        <f aca="false">IF(OR(Nonlabor!$L$13="Quote required",Nonlabor!$L$13="Unverified"),G467,0)</f>
        <v>0</v>
      </c>
      <c r="I467" s="10" t="n">
        <f aca="false">IF(Nonlabor!$E$13="Core",0,G467)</f>
        <v>0</v>
      </c>
      <c r="J467" s="23" t="str">
        <f aca="false">Nonlabor!$B$13</f>
        <v>TOOLS</v>
      </c>
    </row>
    <row r="468" customFormat="false" ht="15" hidden="false" customHeight="false" outlineLevel="0" collapsed="false">
      <c r="A468" s="6" t="s">
        <v>72</v>
      </c>
      <c r="B468" s="6" t="s">
        <v>395</v>
      </c>
      <c r="C468" s="6" t="n">
        <v>43</v>
      </c>
      <c r="D468" s="25" t="n">
        <f aca="false">EDATE('Start Here'!$B$6,C468-1)</f>
        <v>47604</v>
      </c>
      <c r="E468" s="23" t="n">
        <f aca="false">IF(AND(OR(Nonlabor!$D$13="Both",Nonlabor!$D$13='Start Here'!$B$9),IF(Nonlabor!$E$13="Core",1,IF(Nonlabor!$E$13="AI",'Start Here'!$B$7,'Start Here'!$B$8))=1,C468&gt;=IF(Nonlabor!$E$13="Core",Nonlabor!$F$13,MAX(Nonlabor!$F$13,IF(Nonlabor!$E$13="AI",Assumptions!$C$24,Assumptions!$C$25))),C468&lt;=Nonlabor!$G$13,OR(Nonlabor!$H$13="Monthly",AND(Nonlabor!$H$13="Once",C468=IF(Nonlabor!$E$13="Core",Nonlabor!$F$13,MAX(Nonlabor!$F$13,IF(Nonlabor!$E$13="AI",Assumptions!$C$24,Assumptions!$C$25)))),AND(Nonlabor!$H$13="Annual",MOD(C468-IF(Nonlabor!$E$13="Core",Nonlabor!$F$13,MAX(Nonlabor!$F$13,IF(Nonlabor!$E$13="AI",Assumptions!$C$24,Assumptions!$C$25))),12)=0))),IF(Nonlabor!$I$13="Fixed",1,IF(Nonlabor!$I$13="Seats",ROUNDUP('Monthly Lean'!I48,0),IF(Nonlabor!$I$13="Customers",'Monthly Lean'!D48,IF(Nonlabor!$I$13="NewCustomers",'Monthly Lean'!C48,IF(Nonlabor!$I$13="StorageGB",'Monthly Lean'!G48,IF(Nonlabor!$I$13="LogGB",'Monthly Lean'!H48,IF(Nonlabor!$I$13="RequestsM",'Monthly Lean'!F48,IF(Nonlabor!$I$13="InputM",'Monthly Lean'!D48*Assumptions!$C$22/1000000,IF(Nonlabor!$I$13="OutputM",'Monthly Lean'!D48*Assumptions!$C$23/1000000,0))))))))),0)</f>
        <v>7</v>
      </c>
      <c r="F468" s="10" t="n">
        <f aca="false">Nonlabor!$J$13*(1+Assumptions!$C$9)^INT((C468-1)/12)</f>
        <v>4.370908</v>
      </c>
      <c r="G468" s="10" t="n">
        <f aca="false">E468*F468</f>
        <v>30.596356</v>
      </c>
      <c r="H468" s="10" t="n">
        <f aca="false">IF(OR(Nonlabor!$L$13="Quote required",Nonlabor!$L$13="Unverified"),G468,0)</f>
        <v>0</v>
      </c>
      <c r="I468" s="10" t="n">
        <f aca="false">IF(Nonlabor!$E$13="Core",0,G468)</f>
        <v>0</v>
      </c>
      <c r="J468" s="23" t="str">
        <f aca="false">Nonlabor!$B$13</f>
        <v>TOOLS</v>
      </c>
    </row>
    <row r="469" customFormat="false" ht="15" hidden="false" customHeight="false" outlineLevel="0" collapsed="false">
      <c r="A469" s="6" t="s">
        <v>72</v>
      </c>
      <c r="B469" s="6" t="s">
        <v>395</v>
      </c>
      <c r="C469" s="6" t="n">
        <v>44</v>
      </c>
      <c r="D469" s="25" t="n">
        <f aca="false">EDATE('Start Here'!$B$6,C469-1)</f>
        <v>47635</v>
      </c>
      <c r="E469" s="23" t="n">
        <f aca="false">IF(AND(OR(Nonlabor!$D$13="Both",Nonlabor!$D$13='Start Here'!$B$9),IF(Nonlabor!$E$13="Core",1,IF(Nonlabor!$E$13="AI",'Start Here'!$B$7,'Start Here'!$B$8))=1,C469&gt;=IF(Nonlabor!$E$13="Core",Nonlabor!$F$13,MAX(Nonlabor!$F$13,IF(Nonlabor!$E$13="AI",Assumptions!$C$24,Assumptions!$C$25))),C469&lt;=Nonlabor!$G$13,OR(Nonlabor!$H$13="Monthly",AND(Nonlabor!$H$13="Once",C469=IF(Nonlabor!$E$13="Core",Nonlabor!$F$13,MAX(Nonlabor!$F$13,IF(Nonlabor!$E$13="AI",Assumptions!$C$24,Assumptions!$C$25)))),AND(Nonlabor!$H$13="Annual",MOD(C469-IF(Nonlabor!$E$13="Core",Nonlabor!$F$13,MAX(Nonlabor!$F$13,IF(Nonlabor!$E$13="AI",Assumptions!$C$24,Assumptions!$C$25))),12)=0))),IF(Nonlabor!$I$13="Fixed",1,IF(Nonlabor!$I$13="Seats",ROUNDUP('Monthly Lean'!I49,0),IF(Nonlabor!$I$13="Customers",'Monthly Lean'!D49,IF(Nonlabor!$I$13="NewCustomers",'Monthly Lean'!C49,IF(Nonlabor!$I$13="StorageGB",'Monthly Lean'!G49,IF(Nonlabor!$I$13="LogGB",'Monthly Lean'!H49,IF(Nonlabor!$I$13="RequestsM",'Monthly Lean'!F49,IF(Nonlabor!$I$13="InputM",'Monthly Lean'!D49*Assumptions!$C$22/1000000,IF(Nonlabor!$I$13="OutputM",'Monthly Lean'!D49*Assumptions!$C$23/1000000,0))))))))),0)</f>
        <v>7</v>
      </c>
      <c r="F469" s="10" t="n">
        <f aca="false">Nonlabor!$J$13*(1+Assumptions!$C$9)^INT((C469-1)/12)</f>
        <v>4.370908</v>
      </c>
      <c r="G469" s="10" t="n">
        <f aca="false">E469*F469</f>
        <v>30.596356</v>
      </c>
      <c r="H469" s="10" t="n">
        <f aca="false">IF(OR(Nonlabor!$L$13="Quote required",Nonlabor!$L$13="Unverified"),G469,0)</f>
        <v>0</v>
      </c>
      <c r="I469" s="10" t="n">
        <f aca="false">IF(Nonlabor!$E$13="Core",0,G469)</f>
        <v>0</v>
      </c>
      <c r="J469" s="23" t="str">
        <f aca="false">Nonlabor!$B$13</f>
        <v>TOOLS</v>
      </c>
    </row>
    <row r="470" customFormat="false" ht="15" hidden="false" customHeight="false" outlineLevel="0" collapsed="false">
      <c r="A470" s="6" t="s">
        <v>72</v>
      </c>
      <c r="B470" s="6" t="s">
        <v>395</v>
      </c>
      <c r="C470" s="6" t="n">
        <v>45</v>
      </c>
      <c r="D470" s="25" t="n">
        <f aca="false">EDATE('Start Here'!$B$6,C470-1)</f>
        <v>47665</v>
      </c>
      <c r="E470" s="23" t="n">
        <f aca="false">IF(AND(OR(Nonlabor!$D$13="Both",Nonlabor!$D$13='Start Here'!$B$9),IF(Nonlabor!$E$13="Core",1,IF(Nonlabor!$E$13="AI",'Start Here'!$B$7,'Start Here'!$B$8))=1,C470&gt;=IF(Nonlabor!$E$13="Core",Nonlabor!$F$13,MAX(Nonlabor!$F$13,IF(Nonlabor!$E$13="AI",Assumptions!$C$24,Assumptions!$C$25))),C470&lt;=Nonlabor!$G$13,OR(Nonlabor!$H$13="Monthly",AND(Nonlabor!$H$13="Once",C470=IF(Nonlabor!$E$13="Core",Nonlabor!$F$13,MAX(Nonlabor!$F$13,IF(Nonlabor!$E$13="AI",Assumptions!$C$24,Assumptions!$C$25)))),AND(Nonlabor!$H$13="Annual",MOD(C470-IF(Nonlabor!$E$13="Core",Nonlabor!$F$13,MAX(Nonlabor!$F$13,IF(Nonlabor!$E$13="AI",Assumptions!$C$24,Assumptions!$C$25))),12)=0))),IF(Nonlabor!$I$13="Fixed",1,IF(Nonlabor!$I$13="Seats",ROUNDUP('Monthly Lean'!I50,0),IF(Nonlabor!$I$13="Customers",'Monthly Lean'!D50,IF(Nonlabor!$I$13="NewCustomers",'Monthly Lean'!C50,IF(Nonlabor!$I$13="StorageGB",'Monthly Lean'!G50,IF(Nonlabor!$I$13="LogGB",'Monthly Lean'!H50,IF(Nonlabor!$I$13="RequestsM",'Monthly Lean'!F50,IF(Nonlabor!$I$13="InputM",'Monthly Lean'!D50*Assumptions!$C$22/1000000,IF(Nonlabor!$I$13="OutputM",'Monthly Lean'!D50*Assumptions!$C$23/1000000,0))))))))),0)</f>
        <v>7</v>
      </c>
      <c r="F470" s="10" t="n">
        <f aca="false">Nonlabor!$J$13*(1+Assumptions!$C$9)^INT((C470-1)/12)</f>
        <v>4.370908</v>
      </c>
      <c r="G470" s="10" t="n">
        <f aca="false">E470*F470</f>
        <v>30.596356</v>
      </c>
      <c r="H470" s="10" t="n">
        <f aca="false">IF(OR(Nonlabor!$L$13="Quote required",Nonlabor!$L$13="Unverified"),G470,0)</f>
        <v>0</v>
      </c>
      <c r="I470" s="10" t="n">
        <f aca="false">IF(Nonlabor!$E$13="Core",0,G470)</f>
        <v>0</v>
      </c>
      <c r="J470" s="23" t="str">
        <f aca="false">Nonlabor!$B$13</f>
        <v>TOOLS</v>
      </c>
    </row>
    <row r="471" customFormat="false" ht="15" hidden="false" customHeight="false" outlineLevel="0" collapsed="false">
      <c r="A471" s="6" t="s">
        <v>72</v>
      </c>
      <c r="B471" s="6" t="s">
        <v>395</v>
      </c>
      <c r="C471" s="6" t="n">
        <v>46</v>
      </c>
      <c r="D471" s="25" t="n">
        <f aca="false">EDATE('Start Here'!$B$6,C471-1)</f>
        <v>47696</v>
      </c>
      <c r="E471" s="23" t="n">
        <f aca="false">IF(AND(OR(Nonlabor!$D$13="Both",Nonlabor!$D$13='Start Here'!$B$9),IF(Nonlabor!$E$13="Core",1,IF(Nonlabor!$E$13="AI",'Start Here'!$B$7,'Start Here'!$B$8))=1,C471&gt;=IF(Nonlabor!$E$13="Core",Nonlabor!$F$13,MAX(Nonlabor!$F$13,IF(Nonlabor!$E$13="AI",Assumptions!$C$24,Assumptions!$C$25))),C471&lt;=Nonlabor!$G$13,OR(Nonlabor!$H$13="Monthly",AND(Nonlabor!$H$13="Once",C471=IF(Nonlabor!$E$13="Core",Nonlabor!$F$13,MAX(Nonlabor!$F$13,IF(Nonlabor!$E$13="AI",Assumptions!$C$24,Assumptions!$C$25)))),AND(Nonlabor!$H$13="Annual",MOD(C471-IF(Nonlabor!$E$13="Core",Nonlabor!$F$13,MAX(Nonlabor!$F$13,IF(Nonlabor!$E$13="AI",Assumptions!$C$24,Assumptions!$C$25))),12)=0))),IF(Nonlabor!$I$13="Fixed",1,IF(Nonlabor!$I$13="Seats",ROUNDUP('Monthly Lean'!I51,0),IF(Nonlabor!$I$13="Customers",'Monthly Lean'!D51,IF(Nonlabor!$I$13="NewCustomers",'Monthly Lean'!C51,IF(Nonlabor!$I$13="StorageGB",'Monthly Lean'!G51,IF(Nonlabor!$I$13="LogGB",'Monthly Lean'!H51,IF(Nonlabor!$I$13="RequestsM",'Monthly Lean'!F51,IF(Nonlabor!$I$13="InputM",'Monthly Lean'!D51*Assumptions!$C$22/1000000,IF(Nonlabor!$I$13="OutputM",'Monthly Lean'!D51*Assumptions!$C$23/1000000,0))))))))),0)</f>
        <v>7</v>
      </c>
      <c r="F471" s="10" t="n">
        <f aca="false">Nonlabor!$J$13*(1+Assumptions!$C$9)^INT((C471-1)/12)</f>
        <v>4.370908</v>
      </c>
      <c r="G471" s="10" t="n">
        <f aca="false">E471*F471</f>
        <v>30.596356</v>
      </c>
      <c r="H471" s="10" t="n">
        <f aca="false">IF(OR(Nonlabor!$L$13="Quote required",Nonlabor!$L$13="Unverified"),G471,0)</f>
        <v>0</v>
      </c>
      <c r="I471" s="10" t="n">
        <f aca="false">IF(Nonlabor!$E$13="Core",0,G471)</f>
        <v>0</v>
      </c>
      <c r="J471" s="23" t="str">
        <f aca="false">Nonlabor!$B$13</f>
        <v>TOOLS</v>
      </c>
    </row>
    <row r="472" customFormat="false" ht="15" hidden="false" customHeight="false" outlineLevel="0" collapsed="false">
      <c r="A472" s="6" t="s">
        <v>72</v>
      </c>
      <c r="B472" s="6" t="s">
        <v>395</v>
      </c>
      <c r="C472" s="6" t="n">
        <v>47</v>
      </c>
      <c r="D472" s="25" t="n">
        <f aca="false">EDATE('Start Here'!$B$6,C472-1)</f>
        <v>47727</v>
      </c>
      <c r="E472" s="23" t="n">
        <f aca="false">IF(AND(OR(Nonlabor!$D$13="Both",Nonlabor!$D$13='Start Here'!$B$9),IF(Nonlabor!$E$13="Core",1,IF(Nonlabor!$E$13="AI",'Start Here'!$B$7,'Start Here'!$B$8))=1,C472&gt;=IF(Nonlabor!$E$13="Core",Nonlabor!$F$13,MAX(Nonlabor!$F$13,IF(Nonlabor!$E$13="AI",Assumptions!$C$24,Assumptions!$C$25))),C472&lt;=Nonlabor!$G$13,OR(Nonlabor!$H$13="Monthly",AND(Nonlabor!$H$13="Once",C472=IF(Nonlabor!$E$13="Core",Nonlabor!$F$13,MAX(Nonlabor!$F$13,IF(Nonlabor!$E$13="AI",Assumptions!$C$24,Assumptions!$C$25)))),AND(Nonlabor!$H$13="Annual",MOD(C472-IF(Nonlabor!$E$13="Core",Nonlabor!$F$13,MAX(Nonlabor!$F$13,IF(Nonlabor!$E$13="AI",Assumptions!$C$24,Assumptions!$C$25))),12)=0))),IF(Nonlabor!$I$13="Fixed",1,IF(Nonlabor!$I$13="Seats",ROUNDUP('Monthly Lean'!I52,0),IF(Nonlabor!$I$13="Customers",'Monthly Lean'!D52,IF(Nonlabor!$I$13="NewCustomers",'Monthly Lean'!C52,IF(Nonlabor!$I$13="StorageGB",'Monthly Lean'!G52,IF(Nonlabor!$I$13="LogGB",'Monthly Lean'!H52,IF(Nonlabor!$I$13="RequestsM",'Monthly Lean'!F52,IF(Nonlabor!$I$13="InputM",'Monthly Lean'!D52*Assumptions!$C$22/1000000,IF(Nonlabor!$I$13="OutputM",'Monthly Lean'!D52*Assumptions!$C$23/1000000,0))))))))),0)</f>
        <v>7</v>
      </c>
      <c r="F472" s="10" t="n">
        <f aca="false">Nonlabor!$J$13*(1+Assumptions!$C$9)^INT((C472-1)/12)</f>
        <v>4.370908</v>
      </c>
      <c r="G472" s="10" t="n">
        <f aca="false">E472*F472</f>
        <v>30.596356</v>
      </c>
      <c r="H472" s="10" t="n">
        <f aca="false">IF(OR(Nonlabor!$L$13="Quote required",Nonlabor!$L$13="Unverified"),G472,0)</f>
        <v>0</v>
      </c>
      <c r="I472" s="10" t="n">
        <f aca="false">IF(Nonlabor!$E$13="Core",0,G472)</f>
        <v>0</v>
      </c>
      <c r="J472" s="23" t="str">
        <f aca="false">Nonlabor!$B$13</f>
        <v>TOOLS</v>
      </c>
    </row>
    <row r="473" customFormat="false" ht="15" hidden="false" customHeight="false" outlineLevel="0" collapsed="false">
      <c r="A473" s="6" t="s">
        <v>72</v>
      </c>
      <c r="B473" s="6" t="s">
        <v>395</v>
      </c>
      <c r="C473" s="6" t="n">
        <v>48</v>
      </c>
      <c r="D473" s="25" t="n">
        <f aca="false">EDATE('Start Here'!$B$6,C473-1)</f>
        <v>47757</v>
      </c>
      <c r="E473" s="23" t="n">
        <f aca="false">IF(AND(OR(Nonlabor!$D$13="Both",Nonlabor!$D$13='Start Here'!$B$9),IF(Nonlabor!$E$13="Core",1,IF(Nonlabor!$E$13="AI",'Start Here'!$B$7,'Start Here'!$B$8))=1,C473&gt;=IF(Nonlabor!$E$13="Core",Nonlabor!$F$13,MAX(Nonlabor!$F$13,IF(Nonlabor!$E$13="AI",Assumptions!$C$24,Assumptions!$C$25))),C473&lt;=Nonlabor!$G$13,OR(Nonlabor!$H$13="Monthly",AND(Nonlabor!$H$13="Once",C473=IF(Nonlabor!$E$13="Core",Nonlabor!$F$13,MAX(Nonlabor!$F$13,IF(Nonlabor!$E$13="AI",Assumptions!$C$24,Assumptions!$C$25)))),AND(Nonlabor!$H$13="Annual",MOD(C473-IF(Nonlabor!$E$13="Core",Nonlabor!$F$13,MAX(Nonlabor!$F$13,IF(Nonlabor!$E$13="AI",Assumptions!$C$24,Assumptions!$C$25))),12)=0))),IF(Nonlabor!$I$13="Fixed",1,IF(Nonlabor!$I$13="Seats",ROUNDUP('Monthly Lean'!I53,0),IF(Nonlabor!$I$13="Customers",'Monthly Lean'!D53,IF(Nonlabor!$I$13="NewCustomers",'Monthly Lean'!C53,IF(Nonlabor!$I$13="StorageGB",'Monthly Lean'!G53,IF(Nonlabor!$I$13="LogGB",'Monthly Lean'!H53,IF(Nonlabor!$I$13="RequestsM",'Monthly Lean'!F53,IF(Nonlabor!$I$13="InputM",'Monthly Lean'!D53*Assumptions!$C$22/1000000,IF(Nonlabor!$I$13="OutputM",'Monthly Lean'!D53*Assumptions!$C$23/1000000,0))))))))),0)</f>
        <v>7</v>
      </c>
      <c r="F473" s="10" t="n">
        <f aca="false">Nonlabor!$J$13*(1+Assumptions!$C$9)^INT((C473-1)/12)</f>
        <v>4.370908</v>
      </c>
      <c r="G473" s="10" t="n">
        <f aca="false">E473*F473</f>
        <v>30.596356</v>
      </c>
      <c r="H473" s="10" t="n">
        <f aca="false">IF(OR(Nonlabor!$L$13="Quote required",Nonlabor!$L$13="Unverified"),G473,0)</f>
        <v>0</v>
      </c>
      <c r="I473" s="10" t="n">
        <f aca="false">IF(Nonlabor!$E$13="Core",0,G473)</f>
        <v>0</v>
      </c>
      <c r="J473" s="23" t="str">
        <f aca="false">Nonlabor!$B$13</f>
        <v>TOOLS</v>
      </c>
    </row>
    <row r="474" customFormat="false" ht="15" hidden="false" customHeight="false" outlineLevel="0" collapsed="false">
      <c r="A474" s="6" t="s">
        <v>72</v>
      </c>
      <c r="B474" s="6" t="s">
        <v>395</v>
      </c>
      <c r="C474" s="6" t="n">
        <v>49</v>
      </c>
      <c r="D474" s="25" t="n">
        <f aca="false">EDATE('Start Here'!$B$6,C474-1)</f>
        <v>47788</v>
      </c>
      <c r="E474" s="23" t="n">
        <f aca="false">IF(AND(OR(Nonlabor!$D$13="Both",Nonlabor!$D$13='Start Here'!$B$9),IF(Nonlabor!$E$13="Core",1,IF(Nonlabor!$E$13="AI",'Start Here'!$B$7,'Start Here'!$B$8))=1,C474&gt;=IF(Nonlabor!$E$13="Core",Nonlabor!$F$13,MAX(Nonlabor!$F$13,IF(Nonlabor!$E$13="AI",Assumptions!$C$24,Assumptions!$C$25))),C474&lt;=Nonlabor!$G$13,OR(Nonlabor!$H$13="Monthly",AND(Nonlabor!$H$13="Once",C474=IF(Nonlabor!$E$13="Core",Nonlabor!$F$13,MAX(Nonlabor!$F$13,IF(Nonlabor!$E$13="AI",Assumptions!$C$24,Assumptions!$C$25)))),AND(Nonlabor!$H$13="Annual",MOD(C474-IF(Nonlabor!$E$13="Core",Nonlabor!$F$13,MAX(Nonlabor!$F$13,IF(Nonlabor!$E$13="AI",Assumptions!$C$24,Assumptions!$C$25))),12)=0))),IF(Nonlabor!$I$13="Fixed",1,IF(Nonlabor!$I$13="Seats",ROUNDUP('Monthly Lean'!I54,0),IF(Nonlabor!$I$13="Customers",'Monthly Lean'!D54,IF(Nonlabor!$I$13="NewCustomers",'Monthly Lean'!C54,IF(Nonlabor!$I$13="StorageGB",'Monthly Lean'!G54,IF(Nonlabor!$I$13="LogGB",'Monthly Lean'!H54,IF(Nonlabor!$I$13="RequestsM",'Monthly Lean'!F54,IF(Nonlabor!$I$13="InputM",'Monthly Lean'!D54*Assumptions!$C$22/1000000,IF(Nonlabor!$I$13="OutputM",'Monthly Lean'!D54*Assumptions!$C$23/1000000,0))))))))),0)</f>
        <v>7</v>
      </c>
      <c r="F474" s="10" t="n">
        <f aca="false">Nonlabor!$J$13*(1+Assumptions!$C$9)^INT((C474-1)/12)</f>
        <v>4.50203524</v>
      </c>
      <c r="G474" s="10" t="n">
        <f aca="false">E474*F474</f>
        <v>31.51424668</v>
      </c>
      <c r="H474" s="10" t="n">
        <f aca="false">IF(OR(Nonlabor!$L$13="Quote required",Nonlabor!$L$13="Unverified"),G474,0)</f>
        <v>0</v>
      </c>
      <c r="I474" s="10" t="n">
        <f aca="false">IF(Nonlabor!$E$13="Core",0,G474)</f>
        <v>0</v>
      </c>
      <c r="J474" s="23" t="str">
        <f aca="false">Nonlabor!$B$13</f>
        <v>TOOLS</v>
      </c>
    </row>
    <row r="475" customFormat="false" ht="15" hidden="false" customHeight="false" outlineLevel="0" collapsed="false">
      <c r="A475" s="6" t="s">
        <v>72</v>
      </c>
      <c r="B475" s="6" t="s">
        <v>395</v>
      </c>
      <c r="C475" s="6" t="n">
        <v>50</v>
      </c>
      <c r="D475" s="25" t="n">
        <f aca="false">EDATE('Start Here'!$B$6,C475-1)</f>
        <v>47818</v>
      </c>
      <c r="E475" s="23" t="n">
        <f aca="false">IF(AND(OR(Nonlabor!$D$13="Both",Nonlabor!$D$13='Start Here'!$B$9),IF(Nonlabor!$E$13="Core",1,IF(Nonlabor!$E$13="AI",'Start Here'!$B$7,'Start Here'!$B$8))=1,C475&gt;=IF(Nonlabor!$E$13="Core",Nonlabor!$F$13,MAX(Nonlabor!$F$13,IF(Nonlabor!$E$13="AI",Assumptions!$C$24,Assumptions!$C$25))),C475&lt;=Nonlabor!$G$13,OR(Nonlabor!$H$13="Monthly",AND(Nonlabor!$H$13="Once",C475=IF(Nonlabor!$E$13="Core",Nonlabor!$F$13,MAX(Nonlabor!$F$13,IF(Nonlabor!$E$13="AI",Assumptions!$C$24,Assumptions!$C$25)))),AND(Nonlabor!$H$13="Annual",MOD(C475-IF(Nonlabor!$E$13="Core",Nonlabor!$F$13,MAX(Nonlabor!$F$13,IF(Nonlabor!$E$13="AI",Assumptions!$C$24,Assumptions!$C$25))),12)=0))),IF(Nonlabor!$I$13="Fixed",1,IF(Nonlabor!$I$13="Seats",ROUNDUP('Monthly Lean'!I55,0),IF(Nonlabor!$I$13="Customers",'Monthly Lean'!D55,IF(Nonlabor!$I$13="NewCustomers",'Monthly Lean'!C55,IF(Nonlabor!$I$13="StorageGB",'Monthly Lean'!G55,IF(Nonlabor!$I$13="LogGB",'Monthly Lean'!H55,IF(Nonlabor!$I$13="RequestsM",'Monthly Lean'!F55,IF(Nonlabor!$I$13="InputM",'Monthly Lean'!D55*Assumptions!$C$22/1000000,IF(Nonlabor!$I$13="OutputM",'Monthly Lean'!D55*Assumptions!$C$23/1000000,0))))))))),0)</f>
        <v>7</v>
      </c>
      <c r="F475" s="10" t="n">
        <f aca="false">Nonlabor!$J$13*(1+Assumptions!$C$9)^INT((C475-1)/12)</f>
        <v>4.50203524</v>
      </c>
      <c r="G475" s="10" t="n">
        <f aca="false">E475*F475</f>
        <v>31.51424668</v>
      </c>
      <c r="H475" s="10" t="n">
        <f aca="false">IF(OR(Nonlabor!$L$13="Quote required",Nonlabor!$L$13="Unverified"),G475,0)</f>
        <v>0</v>
      </c>
      <c r="I475" s="10" t="n">
        <f aca="false">IF(Nonlabor!$E$13="Core",0,G475)</f>
        <v>0</v>
      </c>
      <c r="J475" s="23" t="str">
        <f aca="false">Nonlabor!$B$13</f>
        <v>TOOLS</v>
      </c>
    </row>
    <row r="476" customFormat="false" ht="15" hidden="false" customHeight="false" outlineLevel="0" collapsed="false">
      <c r="A476" s="6" t="s">
        <v>72</v>
      </c>
      <c r="B476" s="6" t="s">
        <v>395</v>
      </c>
      <c r="C476" s="6" t="n">
        <v>51</v>
      </c>
      <c r="D476" s="25" t="n">
        <f aca="false">EDATE('Start Here'!$B$6,C476-1)</f>
        <v>47849</v>
      </c>
      <c r="E476" s="23" t="n">
        <f aca="false">IF(AND(OR(Nonlabor!$D$13="Both",Nonlabor!$D$13='Start Here'!$B$9),IF(Nonlabor!$E$13="Core",1,IF(Nonlabor!$E$13="AI",'Start Here'!$B$7,'Start Here'!$B$8))=1,C476&gt;=IF(Nonlabor!$E$13="Core",Nonlabor!$F$13,MAX(Nonlabor!$F$13,IF(Nonlabor!$E$13="AI",Assumptions!$C$24,Assumptions!$C$25))),C476&lt;=Nonlabor!$G$13,OR(Nonlabor!$H$13="Monthly",AND(Nonlabor!$H$13="Once",C476=IF(Nonlabor!$E$13="Core",Nonlabor!$F$13,MAX(Nonlabor!$F$13,IF(Nonlabor!$E$13="AI",Assumptions!$C$24,Assumptions!$C$25)))),AND(Nonlabor!$H$13="Annual",MOD(C476-IF(Nonlabor!$E$13="Core",Nonlabor!$F$13,MAX(Nonlabor!$F$13,IF(Nonlabor!$E$13="AI",Assumptions!$C$24,Assumptions!$C$25))),12)=0))),IF(Nonlabor!$I$13="Fixed",1,IF(Nonlabor!$I$13="Seats",ROUNDUP('Monthly Lean'!I56,0),IF(Nonlabor!$I$13="Customers",'Monthly Lean'!D56,IF(Nonlabor!$I$13="NewCustomers",'Monthly Lean'!C56,IF(Nonlabor!$I$13="StorageGB",'Monthly Lean'!G56,IF(Nonlabor!$I$13="LogGB",'Monthly Lean'!H56,IF(Nonlabor!$I$13="RequestsM",'Monthly Lean'!F56,IF(Nonlabor!$I$13="InputM",'Monthly Lean'!D56*Assumptions!$C$22/1000000,IF(Nonlabor!$I$13="OutputM",'Monthly Lean'!D56*Assumptions!$C$23/1000000,0))))))))),0)</f>
        <v>7</v>
      </c>
      <c r="F476" s="10" t="n">
        <f aca="false">Nonlabor!$J$13*(1+Assumptions!$C$9)^INT((C476-1)/12)</f>
        <v>4.50203524</v>
      </c>
      <c r="G476" s="10" t="n">
        <f aca="false">E476*F476</f>
        <v>31.51424668</v>
      </c>
      <c r="H476" s="10" t="n">
        <f aca="false">IF(OR(Nonlabor!$L$13="Quote required",Nonlabor!$L$13="Unverified"),G476,0)</f>
        <v>0</v>
      </c>
      <c r="I476" s="10" t="n">
        <f aca="false">IF(Nonlabor!$E$13="Core",0,G476)</f>
        <v>0</v>
      </c>
      <c r="J476" s="23" t="str">
        <f aca="false">Nonlabor!$B$13</f>
        <v>TOOLS</v>
      </c>
    </row>
    <row r="477" customFormat="false" ht="15" hidden="false" customHeight="false" outlineLevel="0" collapsed="false">
      <c r="A477" s="6" t="s">
        <v>72</v>
      </c>
      <c r="B477" s="6" t="s">
        <v>395</v>
      </c>
      <c r="C477" s="6" t="n">
        <v>52</v>
      </c>
      <c r="D477" s="25" t="n">
        <f aca="false">EDATE('Start Here'!$B$6,C477-1)</f>
        <v>47880</v>
      </c>
      <c r="E477" s="23" t="n">
        <f aca="false">IF(AND(OR(Nonlabor!$D$13="Both",Nonlabor!$D$13='Start Here'!$B$9),IF(Nonlabor!$E$13="Core",1,IF(Nonlabor!$E$13="AI",'Start Here'!$B$7,'Start Here'!$B$8))=1,C477&gt;=IF(Nonlabor!$E$13="Core",Nonlabor!$F$13,MAX(Nonlabor!$F$13,IF(Nonlabor!$E$13="AI",Assumptions!$C$24,Assumptions!$C$25))),C477&lt;=Nonlabor!$G$13,OR(Nonlabor!$H$13="Monthly",AND(Nonlabor!$H$13="Once",C477=IF(Nonlabor!$E$13="Core",Nonlabor!$F$13,MAX(Nonlabor!$F$13,IF(Nonlabor!$E$13="AI",Assumptions!$C$24,Assumptions!$C$25)))),AND(Nonlabor!$H$13="Annual",MOD(C477-IF(Nonlabor!$E$13="Core",Nonlabor!$F$13,MAX(Nonlabor!$F$13,IF(Nonlabor!$E$13="AI",Assumptions!$C$24,Assumptions!$C$25))),12)=0))),IF(Nonlabor!$I$13="Fixed",1,IF(Nonlabor!$I$13="Seats",ROUNDUP('Monthly Lean'!I57,0),IF(Nonlabor!$I$13="Customers",'Monthly Lean'!D57,IF(Nonlabor!$I$13="NewCustomers",'Monthly Lean'!C57,IF(Nonlabor!$I$13="StorageGB",'Monthly Lean'!G57,IF(Nonlabor!$I$13="LogGB",'Monthly Lean'!H57,IF(Nonlabor!$I$13="RequestsM",'Monthly Lean'!F57,IF(Nonlabor!$I$13="InputM",'Monthly Lean'!D57*Assumptions!$C$22/1000000,IF(Nonlabor!$I$13="OutputM",'Monthly Lean'!D57*Assumptions!$C$23/1000000,0))))))))),0)</f>
        <v>7</v>
      </c>
      <c r="F477" s="10" t="n">
        <f aca="false">Nonlabor!$J$13*(1+Assumptions!$C$9)^INT((C477-1)/12)</f>
        <v>4.50203524</v>
      </c>
      <c r="G477" s="10" t="n">
        <f aca="false">E477*F477</f>
        <v>31.51424668</v>
      </c>
      <c r="H477" s="10" t="n">
        <f aca="false">IF(OR(Nonlabor!$L$13="Quote required",Nonlabor!$L$13="Unverified"),G477,0)</f>
        <v>0</v>
      </c>
      <c r="I477" s="10" t="n">
        <f aca="false">IF(Nonlabor!$E$13="Core",0,G477)</f>
        <v>0</v>
      </c>
      <c r="J477" s="23" t="str">
        <f aca="false">Nonlabor!$B$13</f>
        <v>TOOLS</v>
      </c>
    </row>
    <row r="478" customFormat="false" ht="15" hidden="false" customHeight="false" outlineLevel="0" collapsed="false">
      <c r="A478" s="6" t="s">
        <v>72</v>
      </c>
      <c r="B478" s="6" t="s">
        <v>395</v>
      </c>
      <c r="C478" s="6" t="n">
        <v>53</v>
      </c>
      <c r="D478" s="25" t="n">
        <f aca="false">EDATE('Start Here'!$B$6,C478-1)</f>
        <v>47908</v>
      </c>
      <c r="E478" s="23" t="n">
        <f aca="false">IF(AND(OR(Nonlabor!$D$13="Both",Nonlabor!$D$13='Start Here'!$B$9),IF(Nonlabor!$E$13="Core",1,IF(Nonlabor!$E$13="AI",'Start Here'!$B$7,'Start Here'!$B$8))=1,C478&gt;=IF(Nonlabor!$E$13="Core",Nonlabor!$F$13,MAX(Nonlabor!$F$13,IF(Nonlabor!$E$13="AI",Assumptions!$C$24,Assumptions!$C$25))),C478&lt;=Nonlabor!$G$13,OR(Nonlabor!$H$13="Monthly",AND(Nonlabor!$H$13="Once",C478=IF(Nonlabor!$E$13="Core",Nonlabor!$F$13,MAX(Nonlabor!$F$13,IF(Nonlabor!$E$13="AI",Assumptions!$C$24,Assumptions!$C$25)))),AND(Nonlabor!$H$13="Annual",MOD(C478-IF(Nonlabor!$E$13="Core",Nonlabor!$F$13,MAX(Nonlabor!$F$13,IF(Nonlabor!$E$13="AI",Assumptions!$C$24,Assumptions!$C$25))),12)=0))),IF(Nonlabor!$I$13="Fixed",1,IF(Nonlabor!$I$13="Seats",ROUNDUP('Monthly Lean'!I58,0),IF(Nonlabor!$I$13="Customers",'Monthly Lean'!D58,IF(Nonlabor!$I$13="NewCustomers",'Monthly Lean'!C58,IF(Nonlabor!$I$13="StorageGB",'Monthly Lean'!G58,IF(Nonlabor!$I$13="LogGB",'Monthly Lean'!H58,IF(Nonlabor!$I$13="RequestsM",'Monthly Lean'!F58,IF(Nonlabor!$I$13="InputM",'Monthly Lean'!D58*Assumptions!$C$22/1000000,IF(Nonlabor!$I$13="OutputM",'Monthly Lean'!D58*Assumptions!$C$23/1000000,0))))))))),0)</f>
        <v>7</v>
      </c>
      <c r="F478" s="10" t="n">
        <f aca="false">Nonlabor!$J$13*(1+Assumptions!$C$9)^INT((C478-1)/12)</f>
        <v>4.50203524</v>
      </c>
      <c r="G478" s="10" t="n">
        <f aca="false">E478*F478</f>
        <v>31.51424668</v>
      </c>
      <c r="H478" s="10" t="n">
        <f aca="false">IF(OR(Nonlabor!$L$13="Quote required",Nonlabor!$L$13="Unverified"),G478,0)</f>
        <v>0</v>
      </c>
      <c r="I478" s="10" t="n">
        <f aca="false">IF(Nonlabor!$E$13="Core",0,G478)</f>
        <v>0</v>
      </c>
      <c r="J478" s="23" t="str">
        <f aca="false">Nonlabor!$B$13</f>
        <v>TOOLS</v>
      </c>
    </row>
    <row r="479" customFormat="false" ht="15" hidden="false" customHeight="false" outlineLevel="0" collapsed="false">
      <c r="A479" s="6" t="s">
        <v>72</v>
      </c>
      <c r="B479" s="6" t="s">
        <v>395</v>
      </c>
      <c r="C479" s="6" t="n">
        <v>54</v>
      </c>
      <c r="D479" s="25" t="n">
        <f aca="false">EDATE('Start Here'!$B$6,C479-1)</f>
        <v>47939</v>
      </c>
      <c r="E479" s="23" t="n">
        <f aca="false">IF(AND(OR(Nonlabor!$D$13="Both",Nonlabor!$D$13='Start Here'!$B$9),IF(Nonlabor!$E$13="Core",1,IF(Nonlabor!$E$13="AI",'Start Here'!$B$7,'Start Here'!$B$8))=1,C479&gt;=IF(Nonlabor!$E$13="Core",Nonlabor!$F$13,MAX(Nonlabor!$F$13,IF(Nonlabor!$E$13="AI",Assumptions!$C$24,Assumptions!$C$25))),C479&lt;=Nonlabor!$G$13,OR(Nonlabor!$H$13="Monthly",AND(Nonlabor!$H$13="Once",C479=IF(Nonlabor!$E$13="Core",Nonlabor!$F$13,MAX(Nonlabor!$F$13,IF(Nonlabor!$E$13="AI",Assumptions!$C$24,Assumptions!$C$25)))),AND(Nonlabor!$H$13="Annual",MOD(C479-IF(Nonlabor!$E$13="Core",Nonlabor!$F$13,MAX(Nonlabor!$F$13,IF(Nonlabor!$E$13="AI",Assumptions!$C$24,Assumptions!$C$25))),12)=0))),IF(Nonlabor!$I$13="Fixed",1,IF(Nonlabor!$I$13="Seats",ROUNDUP('Monthly Lean'!I59,0),IF(Nonlabor!$I$13="Customers",'Monthly Lean'!D59,IF(Nonlabor!$I$13="NewCustomers",'Monthly Lean'!C59,IF(Nonlabor!$I$13="StorageGB",'Monthly Lean'!G59,IF(Nonlabor!$I$13="LogGB",'Monthly Lean'!H59,IF(Nonlabor!$I$13="RequestsM",'Monthly Lean'!F59,IF(Nonlabor!$I$13="InputM",'Monthly Lean'!D59*Assumptions!$C$22/1000000,IF(Nonlabor!$I$13="OutputM",'Monthly Lean'!D59*Assumptions!$C$23/1000000,0))))))))),0)</f>
        <v>7</v>
      </c>
      <c r="F479" s="10" t="n">
        <f aca="false">Nonlabor!$J$13*(1+Assumptions!$C$9)^INT((C479-1)/12)</f>
        <v>4.50203524</v>
      </c>
      <c r="G479" s="10" t="n">
        <f aca="false">E479*F479</f>
        <v>31.51424668</v>
      </c>
      <c r="H479" s="10" t="n">
        <f aca="false">IF(OR(Nonlabor!$L$13="Quote required",Nonlabor!$L$13="Unverified"),G479,0)</f>
        <v>0</v>
      </c>
      <c r="I479" s="10" t="n">
        <f aca="false">IF(Nonlabor!$E$13="Core",0,G479)</f>
        <v>0</v>
      </c>
      <c r="J479" s="23" t="str">
        <f aca="false">Nonlabor!$B$13</f>
        <v>TOOLS</v>
      </c>
    </row>
    <row r="480" customFormat="false" ht="15" hidden="false" customHeight="false" outlineLevel="0" collapsed="false">
      <c r="A480" s="6" t="s">
        <v>72</v>
      </c>
      <c r="B480" s="6" t="s">
        <v>395</v>
      </c>
      <c r="C480" s="6" t="n">
        <v>55</v>
      </c>
      <c r="D480" s="25" t="n">
        <f aca="false">EDATE('Start Here'!$B$6,C480-1)</f>
        <v>47969</v>
      </c>
      <c r="E480" s="23" t="n">
        <f aca="false">IF(AND(OR(Nonlabor!$D$13="Both",Nonlabor!$D$13='Start Here'!$B$9),IF(Nonlabor!$E$13="Core",1,IF(Nonlabor!$E$13="AI",'Start Here'!$B$7,'Start Here'!$B$8))=1,C480&gt;=IF(Nonlabor!$E$13="Core",Nonlabor!$F$13,MAX(Nonlabor!$F$13,IF(Nonlabor!$E$13="AI",Assumptions!$C$24,Assumptions!$C$25))),C480&lt;=Nonlabor!$G$13,OR(Nonlabor!$H$13="Monthly",AND(Nonlabor!$H$13="Once",C480=IF(Nonlabor!$E$13="Core",Nonlabor!$F$13,MAX(Nonlabor!$F$13,IF(Nonlabor!$E$13="AI",Assumptions!$C$24,Assumptions!$C$25)))),AND(Nonlabor!$H$13="Annual",MOD(C480-IF(Nonlabor!$E$13="Core",Nonlabor!$F$13,MAX(Nonlabor!$F$13,IF(Nonlabor!$E$13="AI",Assumptions!$C$24,Assumptions!$C$25))),12)=0))),IF(Nonlabor!$I$13="Fixed",1,IF(Nonlabor!$I$13="Seats",ROUNDUP('Monthly Lean'!I60,0),IF(Nonlabor!$I$13="Customers",'Monthly Lean'!D60,IF(Nonlabor!$I$13="NewCustomers",'Monthly Lean'!C60,IF(Nonlabor!$I$13="StorageGB",'Monthly Lean'!G60,IF(Nonlabor!$I$13="LogGB",'Monthly Lean'!H60,IF(Nonlabor!$I$13="RequestsM",'Monthly Lean'!F60,IF(Nonlabor!$I$13="InputM",'Monthly Lean'!D60*Assumptions!$C$22/1000000,IF(Nonlabor!$I$13="OutputM",'Monthly Lean'!D60*Assumptions!$C$23/1000000,0))))))))),0)</f>
        <v>7</v>
      </c>
      <c r="F480" s="10" t="n">
        <f aca="false">Nonlabor!$J$13*(1+Assumptions!$C$9)^INT((C480-1)/12)</f>
        <v>4.50203524</v>
      </c>
      <c r="G480" s="10" t="n">
        <f aca="false">E480*F480</f>
        <v>31.51424668</v>
      </c>
      <c r="H480" s="10" t="n">
        <f aca="false">IF(OR(Nonlabor!$L$13="Quote required",Nonlabor!$L$13="Unverified"),G480,0)</f>
        <v>0</v>
      </c>
      <c r="I480" s="10" t="n">
        <f aca="false">IF(Nonlabor!$E$13="Core",0,G480)</f>
        <v>0</v>
      </c>
      <c r="J480" s="23" t="str">
        <f aca="false">Nonlabor!$B$13</f>
        <v>TOOLS</v>
      </c>
    </row>
    <row r="481" customFormat="false" ht="15" hidden="false" customHeight="false" outlineLevel="0" collapsed="false">
      <c r="A481" s="6" t="s">
        <v>72</v>
      </c>
      <c r="B481" s="6" t="s">
        <v>395</v>
      </c>
      <c r="C481" s="6" t="n">
        <v>56</v>
      </c>
      <c r="D481" s="25" t="n">
        <f aca="false">EDATE('Start Here'!$B$6,C481-1)</f>
        <v>48000</v>
      </c>
      <c r="E481" s="23" t="n">
        <f aca="false">IF(AND(OR(Nonlabor!$D$13="Both",Nonlabor!$D$13='Start Here'!$B$9),IF(Nonlabor!$E$13="Core",1,IF(Nonlabor!$E$13="AI",'Start Here'!$B$7,'Start Here'!$B$8))=1,C481&gt;=IF(Nonlabor!$E$13="Core",Nonlabor!$F$13,MAX(Nonlabor!$F$13,IF(Nonlabor!$E$13="AI",Assumptions!$C$24,Assumptions!$C$25))),C481&lt;=Nonlabor!$G$13,OR(Nonlabor!$H$13="Monthly",AND(Nonlabor!$H$13="Once",C481=IF(Nonlabor!$E$13="Core",Nonlabor!$F$13,MAX(Nonlabor!$F$13,IF(Nonlabor!$E$13="AI",Assumptions!$C$24,Assumptions!$C$25)))),AND(Nonlabor!$H$13="Annual",MOD(C481-IF(Nonlabor!$E$13="Core",Nonlabor!$F$13,MAX(Nonlabor!$F$13,IF(Nonlabor!$E$13="AI",Assumptions!$C$24,Assumptions!$C$25))),12)=0))),IF(Nonlabor!$I$13="Fixed",1,IF(Nonlabor!$I$13="Seats",ROUNDUP('Monthly Lean'!I61,0),IF(Nonlabor!$I$13="Customers",'Monthly Lean'!D61,IF(Nonlabor!$I$13="NewCustomers",'Monthly Lean'!C61,IF(Nonlabor!$I$13="StorageGB",'Monthly Lean'!G61,IF(Nonlabor!$I$13="LogGB",'Monthly Lean'!H61,IF(Nonlabor!$I$13="RequestsM",'Monthly Lean'!F61,IF(Nonlabor!$I$13="InputM",'Monthly Lean'!D61*Assumptions!$C$22/1000000,IF(Nonlabor!$I$13="OutputM",'Monthly Lean'!D61*Assumptions!$C$23/1000000,0))))))))),0)</f>
        <v>7</v>
      </c>
      <c r="F481" s="10" t="n">
        <f aca="false">Nonlabor!$J$13*(1+Assumptions!$C$9)^INT((C481-1)/12)</f>
        <v>4.50203524</v>
      </c>
      <c r="G481" s="10" t="n">
        <f aca="false">E481*F481</f>
        <v>31.51424668</v>
      </c>
      <c r="H481" s="10" t="n">
        <f aca="false">IF(OR(Nonlabor!$L$13="Quote required",Nonlabor!$L$13="Unverified"),G481,0)</f>
        <v>0</v>
      </c>
      <c r="I481" s="10" t="n">
        <f aca="false">IF(Nonlabor!$E$13="Core",0,G481)</f>
        <v>0</v>
      </c>
      <c r="J481" s="23" t="str">
        <f aca="false">Nonlabor!$B$13</f>
        <v>TOOLS</v>
      </c>
    </row>
    <row r="482" customFormat="false" ht="15" hidden="false" customHeight="false" outlineLevel="0" collapsed="false">
      <c r="A482" s="6" t="s">
        <v>72</v>
      </c>
      <c r="B482" s="6" t="s">
        <v>395</v>
      </c>
      <c r="C482" s="6" t="n">
        <v>57</v>
      </c>
      <c r="D482" s="25" t="n">
        <f aca="false">EDATE('Start Here'!$B$6,C482-1)</f>
        <v>48030</v>
      </c>
      <c r="E482" s="23" t="n">
        <f aca="false">IF(AND(OR(Nonlabor!$D$13="Both",Nonlabor!$D$13='Start Here'!$B$9),IF(Nonlabor!$E$13="Core",1,IF(Nonlabor!$E$13="AI",'Start Here'!$B$7,'Start Here'!$B$8))=1,C482&gt;=IF(Nonlabor!$E$13="Core",Nonlabor!$F$13,MAX(Nonlabor!$F$13,IF(Nonlabor!$E$13="AI",Assumptions!$C$24,Assumptions!$C$25))),C482&lt;=Nonlabor!$G$13,OR(Nonlabor!$H$13="Monthly",AND(Nonlabor!$H$13="Once",C482=IF(Nonlabor!$E$13="Core",Nonlabor!$F$13,MAX(Nonlabor!$F$13,IF(Nonlabor!$E$13="AI",Assumptions!$C$24,Assumptions!$C$25)))),AND(Nonlabor!$H$13="Annual",MOD(C482-IF(Nonlabor!$E$13="Core",Nonlabor!$F$13,MAX(Nonlabor!$F$13,IF(Nonlabor!$E$13="AI",Assumptions!$C$24,Assumptions!$C$25))),12)=0))),IF(Nonlabor!$I$13="Fixed",1,IF(Nonlabor!$I$13="Seats",ROUNDUP('Monthly Lean'!I62,0),IF(Nonlabor!$I$13="Customers",'Monthly Lean'!D62,IF(Nonlabor!$I$13="NewCustomers",'Monthly Lean'!C62,IF(Nonlabor!$I$13="StorageGB",'Monthly Lean'!G62,IF(Nonlabor!$I$13="LogGB",'Monthly Lean'!H62,IF(Nonlabor!$I$13="RequestsM",'Monthly Lean'!F62,IF(Nonlabor!$I$13="InputM",'Monthly Lean'!D62*Assumptions!$C$22/1000000,IF(Nonlabor!$I$13="OutputM",'Monthly Lean'!D62*Assumptions!$C$23/1000000,0))))))))),0)</f>
        <v>7</v>
      </c>
      <c r="F482" s="10" t="n">
        <f aca="false">Nonlabor!$J$13*(1+Assumptions!$C$9)^INT((C482-1)/12)</f>
        <v>4.50203524</v>
      </c>
      <c r="G482" s="10" t="n">
        <f aca="false">E482*F482</f>
        <v>31.51424668</v>
      </c>
      <c r="H482" s="10" t="n">
        <f aca="false">IF(OR(Nonlabor!$L$13="Quote required",Nonlabor!$L$13="Unverified"),G482,0)</f>
        <v>0</v>
      </c>
      <c r="I482" s="10" t="n">
        <f aca="false">IF(Nonlabor!$E$13="Core",0,G482)</f>
        <v>0</v>
      </c>
      <c r="J482" s="23" t="str">
        <f aca="false">Nonlabor!$B$13</f>
        <v>TOOLS</v>
      </c>
    </row>
    <row r="483" customFormat="false" ht="15" hidden="false" customHeight="false" outlineLevel="0" collapsed="false">
      <c r="A483" s="6" t="s">
        <v>72</v>
      </c>
      <c r="B483" s="6" t="s">
        <v>395</v>
      </c>
      <c r="C483" s="6" t="n">
        <v>58</v>
      </c>
      <c r="D483" s="25" t="n">
        <f aca="false">EDATE('Start Here'!$B$6,C483-1)</f>
        <v>48061</v>
      </c>
      <c r="E483" s="23" t="n">
        <f aca="false">IF(AND(OR(Nonlabor!$D$13="Both",Nonlabor!$D$13='Start Here'!$B$9),IF(Nonlabor!$E$13="Core",1,IF(Nonlabor!$E$13="AI",'Start Here'!$B$7,'Start Here'!$B$8))=1,C483&gt;=IF(Nonlabor!$E$13="Core",Nonlabor!$F$13,MAX(Nonlabor!$F$13,IF(Nonlabor!$E$13="AI",Assumptions!$C$24,Assumptions!$C$25))),C483&lt;=Nonlabor!$G$13,OR(Nonlabor!$H$13="Monthly",AND(Nonlabor!$H$13="Once",C483=IF(Nonlabor!$E$13="Core",Nonlabor!$F$13,MAX(Nonlabor!$F$13,IF(Nonlabor!$E$13="AI",Assumptions!$C$24,Assumptions!$C$25)))),AND(Nonlabor!$H$13="Annual",MOD(C483-IF(Nonlabor!$E$13="Core",Nonlabor!$F$13,MAX(Nonlabor!$F$13,IF(Nonlabor!$E$13="AI",Assumptions!$C$24,Assumptions!$C$25))),12)=0))),IF(Nonlabor!$I$13="Fixed",1,IF(Nonlabor!$I$13="Seats",ROUNDUP('Monthly Lean'!I63,0),IF(Nonlabor!$I$13="Customers",'Monthly Lean'!D63,IF(Nonlabor!$I$13="NewCustomers",'Monthly Lean'!C63,IF(Nonlabor!$I$13="StorageGB",'Monthly Lean'!G63,IF(Nonlabor!$I$13="LogGB",'Monthly Lean'!H63,IF(Nonlabor!$I$13="RequestsM",'Monthly Lean'!F63,IF(Nonlabor!$I$13="InputM",'Monthly Lean'!D63*Assumptions!$C$22/1000000,IF(Nonlabor!$I$13="OutputM",'Monthly Lean'!D63*Assumptions!$C$23/1000000,0))))))))),0)</f>
        <v>7</v>
      </c>
      <c r="F483" s="10" t="n">
        <f aca="false">Nonlabor!$J$13*(1+Assumptions!$C$9)^INT((C483-1)/12)</f>
        <v>4.50203524</v>
      </c>
      <c r="G483" s="10" t="n">
        <f aca="false">E483*F483</f>
        <v>31.51424668</v>
      </c>
      <c r="H483" s="10" t="n">
        <f aca="false">IF(OR(Nonlabor!$L$13="Quote required",Nonlabor!$L$13="Unverified"),G483,0)</f>
        <v>0</v>
      </c>
      <c r="I483" s="10" t="n">
        <f aca="false">IF(Nonlabor!$E$13="Core",0,G483)</f>
        <v>0</v>
      </c>
      <c r="J483" s="23" t="str">
        <f aca="false">Nonlabor!$B$13</f>
        <v>TOOLS</v>
      </c>
    </row>
    <row r="484" customFormat="false" ht="15" hidden="false" customHeight="false" outlineLevel="0" collapsed="false">
      <c r="A484" s="6" t="s">
        <v>72</v>
      </c>
      <c r="B484" s="6" t="s">
        <v>395</v>
      </c>
      <c r="C484" s="6" t="n">
        <v>59</v>
      </c>
      <c r="D484" s="25" t="n">
        <f aca="false">EDATE('Start Here'!$B$6,C484-1)</f>
        <v>48092</v>
      </c>
      <c r="E484" s="23" t="n">
        <f aca="false">IF(AND(OR(Nonlabor!$D$13="Both",Nonlabor!$D$13='Start Here'!$B$9),IF(Nonlabor!$E$13="Core",1,IF(Nonlabor!$E$13="AI",'Start Here'!$B$7,'Start Here'!$B$8))=1,C484&gt;=IF(Nonlabor!$E$13="Core",Nonlabor!$F$13,MAX(Nonlabor!$F$13,IF(Nonlabor!$E$13="AI",Assumptions!$C$24,Assumptions!$C$25))),C484&lt;=Nonlabor!$G$13,OR(Nonlabor!$H$13="Monthly",AND(Nonlabor!$H$13="Once",C484=IF(Nonlabor!$E$13="Core",Nonlabor!$F$13,MAX(Nonlabor!$F$13,IF(Nonlabor!$E$13="AI",Assumptions!$C$24,Assumptions!$C$25)))),AND(Nonlabor!$H$13="Annual",MOD(C484-IF(Nonlabor!$E$13="Core",Nonlabor!$F$13,MAX(Nonlabor!$F$13,IF(Nonlabor!$E$13="AI",Assumptions!$C$24,Assumptions!$C$25))),12)=0))),IF(Nonlabor!$I$13="Fixed",1,IF(Nonlabor!$I$13="Seats",ROUNDUP('Monthly Lean'!I64,0),IF(Nonlabor!$I$13="Customers",'Monthly Lean'!D64,IF(Nonlabor!$I$13="NewCustomers",'Monthly Lean'!C64,IF(Nonlabor!$I$13="StorageGB",'Monthly Lean'!G64,IF(Nonlabor!$I$13="LogGB",'Monthly Lean'!H64,IF(Nonlabor!$I$13="RequestsM",'Monthly Lean'!F64,IF(Nonlabor!$I$13="InputM",'Monthly Lean'!D64*Assumptions!$C$22/1000000,IF(Nonlabor!$I$13="OutputM",'Monthly Lean'!D64*Assumptions!$C$23/1000000,0))))))))),0)</f>
        <v>7</v>
      </c>
      <c r="F484" s="10" t="n">
        <f aca="false">Nonlabor!$J$13*(1+Assumptions!$C$9)^INT((C484-1)/12)</f>
        <v>4.50203524</v>
      </c>
      <c r="G484" s="10" t="n">
        <f aca="false">E484*F484</f>
        <v>31.51424668</v>
      </c>
      <c r="H484" s="10" t="n">
        <f aca="false">IF(OR(Nonlabor!$L$13="Quote required",Nonlabor!$L$13="Unverified"),G484,0)</f>
        <v>0</v>
      </c>
      <c r="I484" s="10" t="n">
        <f aca="false">IF(Nonlabor!$E$13="Core",0,G484)</f>
        <v>0</v>
      </c>
      <c r="J484" s="23" t="str">
        <f aca="false">Nonlabor!$B$13</f>
        <v>TOOLS</v>
      </c>
    </row>
    <row r="485" customFormat="false" ht="15" hidden="false" customHeight="false" outlineLevel="0" collapsed="false">
      <c r="A485" s="6" t="s">
        <v>72</v>
      </c>
      <c r="B485" s="6" t="s">
        <v>395</v>
      </c>
      <c r="C485" s="6" t="n">
        <v>60</v>
      </c>
      <c r="D485" s="25" t="n">
        <f aca="false">EDATE('Start Here'!$B$6,C485-1)</f>
        <v>48122</v>
      </c>
      <c r="E485" s="23" t="n">
        <f aca="false">IF(AND(OR(Nonlabor!$D$13="Both",Nonlabor!$D$13='Start Here'!$B$9),IF(Nonlabor!$E$13="Core",1,IF(Nonlabor!$E$13="AI",'Start Here'!$B$7,'Start Here'!$B$8))=1,C485&gt;=IF(Nonlabor!$E$13="Core",Nonlabor!$F$13,MAX(Nonlabor!$F$13,IF(Nonlabor!$E$13="AI",Assumptions!$C$24,Assumptions!$C$25))),C485&lt;=Nonlabor!$G$13,OR(Nonlabor!$H$13="Monthly",AND(Nonlabor!$H$13="Once",C485=IF(Nonlabor!$E$13="Core",Nonlabor!$F$13,MAX(Nonlabor!$F$13,IF(Nonlabor!$E$13="AI",Assumptions!$C$24,Assumptions!$C$25)))),AND(Nonlabor!$H$13="Annual",MOD(C485-IF(Nonlabor!$E$13="Core",Nonlabor!$F$13,MAX(Nonlabor!$F$13,IF(Nonlabor!$E$13="AI",Assumptions!$C$24,Assumptions!$C$25))),12)=0))),IF(Nonlabor!$I$13="Fixed",1,IF(Nonlabor!$I$13="Seats",ROUNDUP('Monthly Lean'!I65,0),IF(Nonlabor!$I$13="Customers",'Monthly Lean'!D65,IF(Nonlabor!$I$13="NewCustomers",'Monthly Lean'!C65,IF(Nonlabor!$I$13="StorageGB",'Monthly Lean'!G65,IF(Nonlabor!$I$13="LogGB",'Monthly Lean'!H65,IF(Nonlabor!$I$13="RequestsM",'Monthly Lean'!F65,IF(Nonlabor!$I$13="InputM",'Monthly Lean'!D65*Assumptions!$C$22/1000000,IF(Nonlabor!$I$13="OutputM",'Monthly Lean'!D65*Assumptions!$C$23/1000000,0))))))))),0)</f>
        <v>7</v>
      </c>
      <c r="F485" s="10" t="n">
        <f aca="false">Nonlabor!$J$13*(1+Assumptions!$C$9)^INT((C485-1)/12)</f>
        <v>4.50203524</v>
      </c>
      <c r="G485" s="10" t="n">
        <f aca="false">E485*F485</f>
        <v>31.51424668</v>
      </c>
      <c r="H485" s="10" t="n">
        <f aca="false">IF(OR(Nonlabor!$L$13="Quote required",Nonlabor!$L$13="Unverified"),G485,0)</f>
        <v>0</v>
      </c>
      <c r="I485" s="10" t="n">
        <f aca="false">IF(Nonlabor!$E$13="Core",0,G485)</f>
        <v>0</v>
      </c>
      <c r="J485" s="23" t="str">
        <f aca="false">Nonlabor!$B$13</f>
        <v>TOOLS</v>
      </c>
    </row>
    <row r="486" customFormat="false" ht="15" hidden="false" customHeight="false" outlineLevel="0" collapsed="false">
      <c r="A486" s="6" t="s">
        <v>72</v>
      </c>
      <c r="B486" s="6" t="s">
        <v>399</v>
      </c>
      <c r="C486" s="6" t="n">
        <v>1</v>
      </c>
      <c r="D486" s="25" t="n">
        <f aca="false">EDATE('Start Here'!$B$6,C486-1)</f>
        <v>46327</v>
      </c>
      <c r="E486" s="23" t="n">
        <f aca="false">IF(AND(OR(Nonlabor!$D$14="Both",Nonlabor!$D$14='Start Here'!$B$9),IF(Nonlabor!$E$14="Core",1,IF(Nonlabor!$E$14="AI",'Start Here'!$B$7,'Start Here'!$B$8))=1,C486&gt;=IF(Nonlabor!$E$14="Core",Nonlabor!$F$14,MAX(Nonlabor!$F$14,IF(Nonlabor!$E$14="AI",Assumptions!$C$24,Assumptions!$C$25))),C486&lt;=Nonlabor!$G$14,OR(Nonlabor!$H$14="Monthly",AND(Nonlabor!$H$14="Once",C486=IF(Nonlabor!$E$14="Core",Nonlabor!$F$14,MAX(Nonlabor!$F$14,IF(Nonlabor!$E$14="AI",Assumptions!$C$24,Assumptions!$C$25)))),AND(Nonlabor!$H$14="Annual",MOD(C486-IF(Nonlabor!$E$14="Core",Nonlabor!$F$14,MAX(Nonlabor!$F$14,IF(Nonlabor!$E$14="AI",Assumptions!$C$24,Assumptions!$C$25))),12)=0))),IF(Nonlabor!$I$14="Fixed",1,IF(Nonlabor!$I$14="Seats",ROUNDUP('Monthly Lean'!I6,0),IF(Nonlabor!$I$14="Customers",'Monthly Lean'!D6,IF(Nonlabor!$I$14="NewCustomers",'Monthly Lean'!C6,IF(Nonlabor!$I$14="StorageGB",'Monthly Lean'!G6,IF(Nonlabor!$I$14="LogGB",'Monthly Lean'!H6,IF(Nonlabor!$I$14="RequestsM",'Monthly Lean'!F6,IF(Nonlabor!$I$14="InputM",'Monthly Lean'!D6*Assumptions!$C$22/1000000,IF(Nonlabor!$I$14="OutputM",'Monthly Lean'!D6*Assumptions!$C$23/1000000,0))))))))),0)</f>
        <v>2</v>
      </c>
      <c r="F486" s="10" t="n">
        <f aca="false">Nonlabor!$J$14*(1+Assumptions!$C$9)^INT((C486-1)/12)</f>
        <v>45</v>
      </c>
      <c r="G486" s="10" t="n">
        <f aca="false">E486*F486</f>
        <v>90</v>
      </c>
      <c r="H486" s="10" t="n">
        <f aca="false">IF(OR(Nonlabor!$L$14="Quote required",Nonlabor!$L$14="Unverified"),G486,0)</f>
        <v>0</v>
      </c>
      <c r="I486" s="10" t="n">
        <f aca="false">IF(Nonlabor!$E$14="Core",0,G486)</f>
        <v>0</v>
      </c>
      <c r="J486" s="23" t="str">
        <f aca="false">Nonlabor!$B$14</f>
        <v>TOOLS</v>
      </c>
    </row>
    <row r="487" customFormat="false" ht="15" hidden="false" customHeight="false" outlineLevel="0" collapsed="false">
      <c r="A487" s="6" t="s">
        <v>72</v>
      </c>
      <c r="B487" s="6" t="s">
        <v>399</v>
      </c>
      <c r="C487" s="6" t="n">
        <v>2</v>
      </c>
      <c r="D487" s="25" t="n">
        <f aca="false">EDATE('Start Here'!$B$6,C487-1)</f>
        <v>46357</v>
      </c>
      <c r="E487" s="23" t="n">
        <f aca="false">IF(AND(OR(Nonlabor!$D$14="Both",Nonlabor!$D$14='Start Here'!$B$9),IF(Nonlabor!$E$14="Core",1,IF(Nonlabor!$E$14="AI",'Start Here'!$B$7,'Start Here'!$B$8))=1,C487&gt;=IF(Nonlabor!$E$14="Core",Nonlabor!$F$14,MAX(Nonlabor!$F$14,IF(Nonlabor!$E$14="AI",Assumptions!$C$24,Assumptions!$C$25))),C487&lt;=Nonlabor!$G$14,OR(Nonlabor!$H$14="Monthly",AND(Nonlabor!$H$14="Once",C487=IF(Nonlabor!$E$14="Core",Nonlabor!$F$14,MAX(Nonlabor!$F$14,IF(Nonlabor!$E$14="AI",Assumptions!$C$24,Assumptions!$C$25)))),AND(Nonlabor!$H$14="Annual",MOD(C487-IF(Nonlabor!$E$14="Core",Nonlabor!$F$14,MAX(Nonlabor!$F$14,IF(Nonlabor!$E$14="AI",Assumptions!$C$24,Assumptions!$C$25))),12)=0))),IF(Nonlabor!$I$14="Fixed",1,IF(Nonlabor!$I$14="Seats",ROUNDUP('Monthly Lean'!I7,0),IF(Nonlabor!$I$14="Customers",'Monthly Lean'!D7,IF(Nonlabor!$I$14="NewCustomers",'Monthly Lean'!C7,IF(Nonlabor!$I$14="StorageGB",'Monthly Lean'!G7,IF(Nonlabor!$I$14="LogGB",'Monthly Lean'!H7,IF(Nonlabor!$I$14="RequestsM",'Monthly Lean'!F7,IF(Nonlabor!$I$14="InputM",'Monthly Lean'!D7*Assumptions!$C$22/1000000,IF(Nonlabor!$I$14="OutputM",'Monthly Lean'!D7*Assumptions!$C$23/1000000,0))))))))),0)</f>
        <v>3</v>
      </c>
      <c r="F487" s="10" t="n">
        <f aca="false">Nonlabor!$J$14*(1+Assumptions!$C$9)^INT((C487-1)/12)</f>
        <v>45</v>
      </c>
      <c r="G487" s="10" t="n">
        <f aca="false">E487*F487</f>
        <v>135</v>
      </c>
      <c r="H487" s="10" t="n">
        <f aca="false">IF(OR(Nonlabor!$L$14="Quote required",Nonlabor!$L$14="Unverified"),G487,0)</f>
        <v>0</v>
      </c>
      <c r="I487" s="10" t="n">
        <f aca="false">IF(Nonlabor!$E$14="Core",0,G487)</f>
        <v>0</v>
      </c>
      <c r="J487" s="23" t="str">
        <f aca="false">Nonlabor!$B$14</f>
        <v>TOOLS</v>
      </c>
    </row>
    <row r="488" customFormat="false" ht="15" hidden="false" customHeight="false" outlineLevel="0" collapsed="false">
      <c r="A488" s="6" t="s">
        <v>72</v>
      </c>
      <c r="B488" s="6" t="s">
        <v>399</v>
      </c>
      <c r="C488" s="6" t="n">
        <v>3</v>
      </c>
      <c r="D488" s="25" t="n">
        <f aca="false">EDATE('Start Here'!$B$6,C488-1)</f>
        <v>46388</v>
      </c>
      <c r="E488" s="23" t="n">
        <f aca="false">IF(AND(OR(Nonlabor!$D$14="Both",Nonlabor!$D$14='Start Here'!$B$9),IF(Nonlabor!$E$14="Core",1,IF(Nonlabor!$E$14="AI",'Start Here'!$B$7,'Start Here'!$B$8))=1,C488&gt;=IF(Nonlabor!$E$14="Core",Nonlabor!$F$14,MAX(Nonlabor!$F$14,IF(Nonlabor!$E$14="AI",Assumptions!$C$24,Assumptions!$C$25))),C488&lt;=Nonlabor!$G$14,OR(Nonlabor!$H$14="Monthly",AND(Nonlabor!$H$14="Once",C488=IF(Nonlabor!$E$14="Core",Nonlabor!$F$14,MAX(Nonlabor!$F$14,IF(Nonlabor!$E$14="AI",Assumptions!$C$24,Assumptions!$C$25)))),AND(Nonlabor!$H$14="Annual",MOD(C488-IF(Nonlabor!$E$14="Core",Nonlabor!$F$14,MAX(Nonlabor!$F$14,IF(Nonlabor!$E$14="AI",Assumptions!$C$24,Assumptions!$C$25))),12)=0))),IF(Nonlabor!$I$14="Fixed",1,IF(Nonlabor!$I$14="Seats",ROUNDUP('Monthly Lean'!I8,0),IF(Nonlabor!$I$14="Customers",'Monthly Lean'!D8,IF(Nonlabor!$I$14="NewCustomers",'Monthly Lean'!C8,IF(Nonlabor!$I$14="StorageGB",'Monthly Lean'!G8,IF(Nonlabor!$I$14="LogGB",'Monthly Lean'!H8,IF(Nonlabor!$I$14="RequestsM",'Monthly Lean'!F8,IF(Nonlabor!$I$14="InputM",'Monthly Lean'!D8*Assumptions!$C$22/1000000,IF(Nonlabor!$I$14="OutputM",'Monthly Lean'!D8*Assumptions!$C$23/1000000,0))))))))),0)</f>
        <v>3</v>
      </c>
      <c r="F488" s="10" t="n">
        <f aca="false">Nonlabor!$J$14*(1+Assumptions!$C$9)^INT((C488-1)/12)</f>
        <v>45</v>
      </c>
      <c r="G488" s="10" t="n">
        <f aca="false">E488*F488</f>
        <v>135</v>
      </c>
      <c r="H488" s="10" t="n">
        <f aca="false">IF(OR(Nonlabor!$L$14="Quote required",Nonlabor!$L$14="Unverified"),G488,0)</f>
        <v>0</v>
      </c>
      <c r="I488" s="10" t="n">
        <f aca="false">IF(Nonlabor!$E$14="Core",0,G488)</f>
        <v>0</v>
      </c>
      <c r="J488" s="23" t="str">
        <f aca="false">Nonlabor!$B$14</f>
        <v>TOOLS</v>
      </c>
    </row>
    <row r="489" customFormat="false" ht="15" hidden="false" customHeight="false" outlineLevel="0" collapsed="false">
      <c r="A489" s="6" t="s">
        <v>72</v>
      </c>
      <c r="B489" s="6" t="s">
        <v>399</v>
      </c>
      <c r="C489" s="6" t="n">
        <v>4</v>
      </c>
      <c r="D489" s="25" t="n">
        <f aca="false">EDATE('Start Here'!$B$6,C489-1)</f>
        <v>46419</v>
      </c>
      <c r="E489" s="23" t="n">
        <f aca="false">IF(AND(OR(Nonlabor!$D$14="Both",Nonlabor!$D$14='Start Here'!$B$9),IF(Nonlabor!$E$14="Core",1,IF(Nonlabor!$E$14="AI",'Start Here'!$B$7,'Start Here'!$B$8))=1,C489&gt;=IF(Nonlabor!$E$14="Core",Nonlabor!$F$14,MAX(Nonlabor!$F$14,IF(Nonlabor!$E$14="AI",Assumptions!$C$24,Assumptions!$C$25))),C489&lt;=Nonlabor!$G$14,OR(Nonlabor!$H$14="Monthly",AND(Nonlabor!$H$14="Once",C489=IF(Nonlabor!$E$14="Core",Nonlabor!$F$14,MAX(Nonlabor!$F$14,IF(Nonlabor!$E$14="AI",Assumptions!$C$24,Assumptions!$C$25)))),AND(Nonlabor!$H$14="Annual",MOD(C489-IF(Nonlabor!$E$14="Core",Nonlabor!$F$14,MAX(Nonlabor!$F$14,IF(Nonlabor!$E$14="AI",Assumptions!$C$24,Assumptions!$C$25))),12)=0))),IF(Nonlabor!$I$14="Fixed",1,IF(Nonlabor!$I$14="Seats",ROUNDUP('Monthly Lean'!I9,0),IF(Nonlabor!$I$14="Customers",'Monthly Lean'!D9,IF(Nonlabor!$I$14="NewCustomers",'Monthly Lean'!C9,IF(Nonlabor!$I$14="StorageGB",'Monthly Lean'!G9,IF(Nonlabor!$I$14="LogGB",'Monthly Lean'!H9,IF(Nonlabor!$I$14="RequestsM",'Monthly Lean'!F9,IF(Nonlabor!$I$14="InputM",'Monthly Lean'!D9*Assumptions!$C$22/1000000,IF(Nonlabor!$I$14="OutputM",'Monthly Lean'!D9*Assumptions!$C$23/1000000,0))))))))),0)</f>
        <v>3</v>
      </c>
      <c r="F489" s="10" t="n">
        <f aca="false">Nonlabor!$J$14*(1+Assumptions!$C$9)^INT((C489-1)/12)</f>
        <v>45</v>
      </c>
      <c r="G489" s="10" t="n">
        <f aca="false">E489*F489</f>
        <v>135</v>
      </c>
      <c r="H489" s="10" t="n">
        <f aca="false">IF(OR(Nonlabor!$L$14="Quote required",Nonlabor!$L$14="Unverified"),G489,0)</f>
        <v>0</v>
      </c>
      <c r="I489" s="10" t="n">
        <f aca="false">IF(Nonlabor!$E$14="Core",0,G489)</f>
        <v>0</v>
      </c>
      <c r="J489" s="23" t="str">
        <f aca="false">Nonlabor!$B$14</f>
        <v>TOOLS</v>
      </c>
    </row>
    <row r="490" customFormat="false" ht="15" hidden="false" customHeight="false" outlineLevel="0" collapsed="false">
      <c r="A490" s="6" t="s">
        <v>72</v>
      </c>
      <c r="B490" s="6" t="s">
        <v>399</v>
      </c>
      <c r="C490" s="6" t="n">
        <v>5</v>
      </c>
      <c r="D490" s="25" t="n">
        <f aca="false">EDATE('Start Here'!$B$6,C490-1)</f>
        <v>46447</v>
      </c>
      <c r="E490" s="23" t="n">
        <f aca="false">IF(AND(OR(Nonlabor!$D$14="Both",Nonlabor!$D$14='Start Here'!$B$9),IF(Nonlabor!$E$14="Core",1,IF(Nonlabor!$E$14="AI",'Start Here'!$B$7,'Start Here'!$B$8))=1,C490&gt;=IF(Nonlabor!$E$14="Core",Nonlabor!$F$14,MAX(Nonlabor!$F$14,IF(Nonlabor!$E$14="AI",Assumptions!$C$24,Assumptions!$C$25))),C490&lt;=Nonlabor!$G$14,OR(Nonlabor!$H$14="Monthly",AND(Nonlabor!$H$14="Once",C490=IF(Nonlabor!$E$14="Core",Nonlabor!$F$14,MAX(Nonlabor!$F$14,IF(Nonlabor!$E$14="AI",Assumptions!$C$24,Assumptions!$C$25)))),AND(Nonlabor!$H$14="Annual",MOD(C490-IF(Nonlabor!$E$14="Core",Nonlabor!$F$14,MAX(Nonlabor!$F$14,IF(Nonlabor!$E$14="AI",Assumptions!$C$24,Assumptions!$C$25))),12)=0))),IF(Nonlabor!$I$14="Fixed",1,IF(Nonlabor!$I$14="Seats",ROUNDUP('Monthly Lean'!I10,0),IF(Nonlabor!$I$14="Customers",'Monthly Lean'!D10,IF(Nonlabor!$I$14="NewCustomers",'Monthly Lean'!C10,IF(Nonlabor!$I$14="StorageGB",'Monthly Lean'!G10,IF(Nonlabor!$I$14="LogGB",'Monthly Lean'!H10,IF(Nonlabor!$I$14="RequestsM",'Monthly Lean'!F10,IF(Nonlabor!$I$14="InputM",'Monthly Lean'!D10*Assumptions!$C$22/1000000,IF(Nonlabor!$I$14="OutputM",'Monthly Lean'!D10*Assumptions!$C$23/1000000,0))))))))),0)</f>
        <v>3</v>
      </c>
      <c r="F490" s="10" t="n">
        <f aca="false">Nonlabor!$J$14*(1+Assumptions!$C$9)^INT((C490-1)/12)</f>
        <v>45</v>
      </c>
      <c r="G490" s="10" t="n">
        <f aca="false">E490*F490</f>
        <v>135</v>
      </c>
      <c r="H490" s="10" t="n">
        <f aca="false">IF(OR(Nonlabor!$L$14="Quote required",Nonlabor!$L$14="Unverified"),G490,0)</f>
        <v>0</v>
      </c>
      <c r="I490" s="10" t="n">
        <f aca="false">IF(Nonlabor!$E$14="Core",0,G490)</f>
        <v>0</v>
      </c>
      <c r="J490" s="23" t="str">
        <f aca="false">Nonlabor!$B$14</f>
        <v>TOOLS</v>
      </c>
    </row>
    <row r="491" customFormat="false" ht="15" hidden="false" customHeight="false" outlineLevel="0" collapsed="false">
      <c r="A491" s="6" t="s">
        <v>72</v>
      </c>
      <c r="B491" s="6" t="s">
        <v>399</v>
      </c>
      <c r="C491" s="6" t="n">
        <v>6</v>
      </c>
      <c r="D491" s="25" t="n">
        <f aca="false">EDATE('Start Here'!$B$6,C491-1)</f>
        <v>46478</v>
      </c>
      <c r="E491" s="23" t="n">
        <f aca="false">IF(AND(OR(Nonlabor!$D$14="Both",Nonlabor!$D$14='Start Here'!$B$9),IF(Nonlabor!$E$14="Core",1,IF(Nonlabor!$E$14="AI",'Start Here'!$B$7,'Start Here'!$B$8))=1,C491&gt;=IF(Nonlabor!$E$14="Core",Nonlabor!$F$14,MAX(Nonlabor!$F$14,IF(Nonlabor!$E$14="AI",Assumptions!$C$24,Assumptions!$C$25))),C491&lt;=Nonlabor!$G$14,OR(Nonlabor!$H$14="Monthly",AND(Nonlabor!$H$14="Once",C491=IF(Nonlabor!$E$14="Core",Nonlabor!$F$14,MAX(Nonlabor!$F$14,IF(Nonlabor!$E$14="AI",Assumptions!$C$24,Assumptions!$C$25)))),AND(Nonlabor!$H$14="Annual",MOD(C491-IF(Nonlabor!$E$14="Core",Nonlabor!$F$14,MAX(Nonlabor!$F$14,IF(Nonlabor!$E$14="AI",Assumptions!$C$24,Assumptions!$C$25))),12)=0))),IF(Nonlabor!$I$14="Fixed",1,IF(Nonlabor!$I$14="Seats",ROUNDUP('Monthly Lean'!I11,0),IF(Nonlabor!$I$14="Customers",'Monthly Lean'!D11,IF(Nonlabor!$I$14="NewCustomers",'Monthly Lean'!C11,IF(Nonlabor!$I$14="StorageGB",'Monthly Lean'!G11,IF(Nonlabor!$I$14="LogGB",'Monthly Lean'!H11,IF(Nonlabor!$I$14="RequestsM",'Monthly Lean'!F11,IF(Nonlabor!$I$14="InputM",'Monthly Lean'!D11*Assumptions!$C$22/1000000,IF(Nonlabor!$I$14="OutputM",'Monthly Lean'!D11*Assumptions!$C$23/1000000,0))))))))),0)</f>
        <v>3</v>
      </c>
      <c r="F491" s="10" t="n">
        <f aca="false">Nonlabor!$J$14*(1+Assumptions!$C$9)^INT((C491-1)/12)</f>
        <v>45</v>
      </c>
      <c r="G491" s="10" t="n">
        <f aca="false">E491*F491</f>
        <v>135</v>
      </c>
      <c r="H491" s="10" t="n">
        <f aca="false">IF(OR(Nonlabor!$L$14="Quote required",Nonlabor!$L$14="Unverified"),G491,0)</f>
        <v>0</v>
      </c>
      <c r="I491" s="10" t="n">
        <f aca="false">IF(Nonlabor!$E$14="Core",0,G491)</f>
        <v>0</v>
      </c>
      <c r="J491" s="23" t="str">
        <f aca="false">Nonlabor!$B$14</f>
        <v>TOOLS</v>
      </c>
    </row>
    <row r="492" customFormat="false" ht="15" hidden="false" customHeight="false" outlineLevel="0" collapsed="false">
      <c r="A492" s="6" t="s">
        <v>72</v>
      </c>
      <c r="B492" s="6" t="s">
        <v>399</v>
      </c>
      <c r="C492" s="6" t="n">
        <v>7</v>
      </c>
      <c r="D492" s="25" t="n">
        <f aca="false">EDATE('Start Here'!$B$6,C492-1)</f>
        <v>46508</v>
      </c>
      <c r="E492" s="23" t="n">
        <f aca="false">IF(AND(OR(Nonlabor!$D$14="Both",Nonlabor!$D$14='Start Here'!$B$9),IF(Nonlabor!$E$14="Core",1,IF(Nonlabor!$E$14="AI",'Start Here'!$B$7,'Start Here'!$B$8))=1,C492&gt;=IF(Nonlabor!$E$14="Core",Nonlabor!$F$14,MAX(Nonlabor!$F$14,IF(Nonlabor!$E$14="AI",Assumptions!$C$24,Assumptions!$C$25))),C492&lt;=Nonlabor!$G$14,OR(Nonlabor!$H$14="Monthly",AND(Nonlabor!$H$14="Once",C492=IF(Nonlabor!$E$14="Core",Nonlabor!$F$14,MAX(Nonlabor!$F$14,IF(Nonlabor!$E$14="AI",Assumptions!$C$24,Assumptions!$C$25)))),AND(Nonlabor!$H$14="Annual",MOD(C492-IF(Nonlabor!$E$14="Core",Nonlabor!$F$14,MAX(Nonlabor!$F$14,IF(Nonlabor!$E$14="AI",Assumptions!$C$24,Assumptions!$C$25))),12)=0))),IF(Nonlabor!$I$14="Fixed",1,IF(Nonlabor!$I$14="Seats",ROUNDUP('Monthly Lean'!I12,0),IF(Nonlabor!$I$14="Customers",'Monthly Lean'!D12,IF(Nonlabor!$I$14="NewCustomers",'Monthly Lean'!C12,IF(Nonlabor!$I$14="StorageGB",'Monthly Lean'!G12,IF(Nonlabor!$I$14="LogGB",'Monthly Lean'!H12,IF(Nonlabor!$I$14="RequestsM",'Monthly Lean'!F12,IF(Nonlabor!$I$14="InputM",'Monthly Lean'!D12*Assumptions!$C$22/1000000,IF(Nonlabor!$I$14="OutputM",'Monthly Lean'!D12*Assumptions!$C$23/1000000,0))))))))),0)</f>
        <v>4</v>
      </c>
      <c r="F492" s="10" t="n">
        <f aca="false">Nonlabor!$J$14*(1+Assumptions!$C$9)^INT((C492-1)/12)</f>
        <v>45</v>
      </c>
      <c r="G492" s="10" t="n">
        <f aca="false">E492*F492</f>
        <v>180</v>
      </c>
      <c r="H492" s="10" t="n">
        <f aca="false">IF(OR(Nonlabor!$L$14="Quote required",Nonlabor!$L$14="Unverified"),G492,0)</f>
        <v>0</v>
      </c>
      <c r="I492" s="10" t="n">
        <f aca="false">IF(Nonlabor!$E$14="Core",0,G492)</f>
        <v>0</v>
      </c>
      <c r="J492" s="23" t="str">
        <f aca="false">Nonlabor!$B$14</f>
        <v>TOOLS</v>
      </c>
    </row>
    <row r="493" customFormat="false" ht="15" hidden="false" customHeight="false" outlineLevel="0" collapsed="false">
      <c r="A493" s="6" t="s">
        <v>72</v>
      </c>
      <c r="B493" s="6" t="s">
        <v>399</v>
      </c>
      <c r="C493" s="6" t="n">
        <v>8</v>
      </c>
      <c r="D493" s="25" t="n">
        <f aca="false">EDATE('Start Here'!$B$6,C493-1)</f>
        <v>46539</v>
      </c>
      <c r="E493" s="23" t="n">
        <f aca="false">IF(AND(OR(Nonlabor!$D$14="Both",Nonlabor!$D$14='Start Here'!$B$9),IF(Nonlabor!$E$14="Core",1,IF(Nonlabor!$E$14="AI",'Start Here'!$B$7,'Start Here'!$B$8))=1,C493&gt;=IF(Nonlabor!$E$14="Core",Nonlabor!$F$14,MAX(Nonlabor!$F$14,IF(Nonlabor!$E$14="AI",Assumptions!$C$24,Assumptions!$C$25))),C493&lt;=Nonlabor!$G$14,OR(Nonlabor!$H$14="Monthly",AND(Nonlabor!$H$14="Once",C493=IF(Nonlabor!$E$14="Core",Nonlabor!$F$14,MAX(Nonlabor!$F$14,IF(Nonlabor!$E$14="AI",Assumptions!$C$24,Assumptions!$C$25)))),AND(Nonlabor!$H$14="Annual",MOD(C493-IF(Nonlabor!$E$14="Core",Nonlabor!$F$14,MAX(Nonlabor!$F$14,IF(Nonlabor!$E$14="AI",Assumptions!$C$24,Assumptions!$C$25))),12)=0))),IF(Nonlabor!$I$14="Fixed",1,IF(Nonlabor!$I$14="Seats",ROUNDUP('Monthly Lean'!I13,0),IF(Nonlabor!$I$14="Customers",'Monthly Lean'!D13,IF(Nonlabor!$I$14="NewCustomers",'Monthly Lean'!C13,IF(Nonlabor!$I$14="StorageGB",'Monthly Lean'!G13,IF(Nonlabor!$I$14="LogGB",'Monthly Lean'!H13,IF(Nonlabor!$I$14="RequestsM",'Monthly Lean'!F13,IF(Nonlabor!$I$14="InputM",'Monthly Lean'!D13*Assumptions!$C$22/1000000,IF(Nonlabor!$I$14="OutputM",'Monthly Lean'!D13*Assumptions!$C$23/1000000,0))))))))),0)</f>
        <v>4</v>
      </c>
      <c r="F493" s="10" t="n">
        <f aca="false">Nonlabor!$J$14*(1+Assumptions!$C$9)^INT((C493-1)/12)</f>
        <v>45</v>
      </c>
      <c r="G493" s="10" t="n">
        <f aca="false">E493*F493</f>
        <v>180</v>
      </c>
      <c r="H493" s="10" t="n">
        <f aca="false">IF(OR(Nonlabor!$L$14="Quote required",Nonlabor!$L$14="Unverified"),G493,0)</f>
        <v>0</v>
      </c>
      <c r="I493" s="10" t="n">
        <f aca="false">IF(Nonlabor!$E$14="Core",0,G493)</f>
        <v>0</v>
      </c>
      <c r="J493" s="23" t="str">
        <f aca="false">Nonlabor!$B$14</f>
        <v>TOOLS</v>
      </c>
    </row>
    <row r="494" customFormat="false" ht="15" hidden="false" customHeight="false" outlineLevel="0" collapsed="false">
      <c r="A494" s="6" t="s">
        <v>72</v>
      </c>
      <c r="B494" s="6" t="s">
        <v>399</v>
      </c>
      <c r="C494" s="6" t="n">
        <v>9</v>
      </c>
      <c r="D494" s="25" t="n">
        <f aca="false">EDATE('Start Here'!$B$6,C494-1)</f>
        <v>46569</v>
      </c>
      <c r="E494" s="23" t="n">
        <f aca="false">IF(AND(OR(Nonlabor!$D$14="Both",Nonlabor!$D$14='Start Here'!$B$9),IF(Nonlabor!$E$14="Core",1,IF(Nonlabor!$E$14="AI",'Start Here'!$B$7,'Start Here'!$B$8))=1,C494&gt;=IF(Nonlabor!$E$14="Core",Nonlabor!$F$14,MAX(Nonlabor!$F$14,IF(Nonlabor!$E$14="AI",Assumptions!$C$24,Assumptions!$C$25))),C494&lt;=Nonlabor!$G$14,OR(Nonlabor!$H$14="Monthly",AND(Nonlabor!$H$14="Once",C494=IF(Nonlabor!$E$14="Core",Nonlabor!$F$14,MAX(Nonlabor!$F$14,IF(Nonlabor!$E$14="AI",Assumptions!$C$24,Assumptions!$C$25)))),AND(Nonlabor!$H$14="Annual",MOD(C494-IF(Nonlabor!$E$14="Core",Nonlabor!$F$14,MAX(Nonlabor!$F$14,IF(Nonlabor!$E$14="AI",Assumptions!$C$24,Assumptions!$C$25))),12)=0))),IF(Nonlabor!$I$14="Fixed",1,IF(Nonlabor!$I$14="Seats",ROUNDUP('Monthly Lean'!I14,0),IF(Nonlabor!$I$14="Customers",'Monthly Lean'!D14,IF(Nonlabor!$I$14="NewCustomers",'Monthly Lean'!C14,IF(Nonlabor!$I$14="StorageGB",'Monthly Lean'!G14,IF(Nonlabor!$I$14="LogGB",'Monthly Lean'!H14,IF(Nonlabor!$I$14="RequestsM",'Monthly Lean'!F14,IF(Nonlabor!$I$14="InputM",'Monthly Lean'!D14*Assumptions!$C$22/1000000,IF(Nonlabor!$I$14="OutputM",'Monthly Lean'!D14*Assumptions!$C$23/1000000,0))))))))),0)</f>
        <v>4</v>
      </c>
      <c r="F494" s="10" t="n">
        <f aca="false">Nonlabor!$J$14*(1+Assumptions!$C$9)^INT((C494-1)/12)</f>
        <v>45</v>
      </c>
      <c r="G494" s="10" t="n">
        <f aca="false">E494*F494</f>
        <v>180</v>
      </c>
      <c r="H494" s="10" t="n">
        <f aca="false">IF(OR(Nonlabor!$L$14="Quote required",Nonlabor!$L$14="Unverified"),G494,0)</f>
        <v>0</v>
      </c>
      <c r="I494" s="10" t="n">
        <f aca="false">IF(Nonlabor!$E$14="Core",0,G494)</f>
        <v>0</v>
      </c>
      <c r="J494" s="23" t="str">
        <f aca="false">Nonlabor!$B$14</f>
        <v>TOOLS</v>
      </c>
    </row>
    <row r="495" customFormat="false" ht="15" hidden="false" customHeight="false" outlineLevel="0" collapsed="false">
      <c r="A495" s="6" t="s">
        <v>72</v>
      </c>
      <c r="B495" s="6" t="s">
        <v>399</v>
      </c>
      <c r="C495" s="6" t="n">
        <v>10</v>
      </c>
      <c r="D495" s="25" t="n">
        <f aca="false">EDATE('Start Here'!$B$6,C495-1)</f>
        <v>46600</v>
      </c>
      <c r="E495" s="23" t="n">
        <f aca="false">IF(AND(OR(Nonlabor!$D$14="Both",Nonlabor!$D$14='Start Here'!$B$9),IF(Nonlabor!$E$14="Core",1,IF(Nonlabor!$E$14="AI",'Start Here'!$B$7,'Start Here'!$B$8))=1,C495&gt;=IF(Nonlabor!$E$14="Core",Nonlabor!$F$14,MAX(Nonlabor!$F$14,IF(Nonlabor!$E$14="AI",Assumptions!$C$24,Assumptions!$C$25))),C495&lt;=Nonlabor!$G$14,OR(Nonlabor!$H$14="Monthly",AND(Nonlabor!$H$14="Once",C495=IF(Nonlabor!$E$14="Core",Nonlabor!$F$14,MAX(Nonlabor!$F$14,IF(Nonlabor!$E$14="AI",Assumptions!$C$24,Assumptions!$C$25)))),AND(Nonlabor!$H$14="Annual",MOD(C495-IF(Nonlabor!$E$14="Core",Nonlabor!$F$14,MAX(Nonlabor!$F$14,IF(Nonlabor!$E$14="AI",Assumptions!$C$24,Assumptions!$C$25))),12)=0))),IF(Nonlabor!$I$14="Fixed",1,IF(Nonlabor!$I$14="Seats",ROUNDUP('Monthly Lean'!I15,0),IF(Nonlabor!$I$14="Customers",'Monthly Lean'!D15,IF(Nonlabor!$I$14="NewCustomers",'Monthly Lean'!C15,IF(Nonlabor!$I$14="StorageGB",'Monthly Lean'!G15,IF(Nonlabor!$I$14="LogGB",'Monthly Lean'!H15,IF(Nonlabor!$I$14="RequestsM",'Monthly Lean'!F15,IF(Nonlabor!$I$14="InputM",'Monthly Lean'!D15*Assumptions!$C$22/1000000,IF(Nonlabor!$I$14="OutputM",'Monthly Lean'!D15*Assumptions!$C$23/1000000,0))))))))),0)</f>
        <v>4</v>
      </c>
      <c r="F495" s="10" t="n">
        <f aca="false">Nonlabor!$J$14*(1+Assumptions!$C$9)^INT((C495-1)/12)</f>
        <v>45</v>
      </c>
      <c r="G495" s="10" t="n">
        <f aca="false">E495*F495</f>
        <v>180</v>
      </c>
      <c r="H495" s="10" t="n">
        <f aca="false">IF(OR(Nonlabor!$L$14="Quote required",Nonlabor!$L$14="Unverified"),G495,0)</f>
        <v>0</v>
      </c>
      <c r="I495" s="10" t="n">
        <f aca="false">IF(Nonlabor!$E$14="Core",0,G495)</f>
        <v>0</v>
      </c>
      <c r="J495" s="23" t="str">
        <f aca="false">Nonlabor!$B$14</f>
        <v>TOOLS</v>
      </c>
    </row>
    <row r="496" customFormat="false" ht="15" hidden="false" customHeight="false" outlineLevel="0" collapsed="false">
      <c r="A496" s="6" t="s">
        <v>72</v>
      </c>
      <c r="B496" s="6" t="s">
        <v>399</v>
      </c>
      <c r="C496" s="6" t="n">
        <v>11</v>
      </c>
      <c r="D496" s="25" t="n">
        <f aca="false">EDATE('Start Here'!$B$6,C496-1)</f>
        <v>46631</v>
      </c>
      <c r="E496" s="23" t="n">
        <f aca="false">IF(AND(OR(Nonlabor!$D$14="Both",Nonlabor!$D$14='Start Here'!$B$9),IF(Nonlabor!$E$14="Core",1,IF(Nonlabor!$E$14="AI",'Start Here'!$B$7,'Start Here'!$B$8))=1,C496&gt;=IF(Nonlabor!$E$14="Core",Nonlabor!$F$14,MAX(Nonlabor!$F$14,IF(Nonlabor!$E$14="AI",Assumptions!$C$24,Assumptions!$C$25))),C496&lt;=Nonlabor!$G$14,OR(Nonlabor!$H$14="Monthly",AND(Nonlabor!$H$14="Once",C496=IF(Nonlabor!$E$14="Core",Nonlabor!$F$14,MAX(Nonlabor!$F$14,IF(Nonlabor!$E$14="AI",Assumptions!$C$24,Assumptions!$C$25)))),AND(Nonlabor!$H$14="Annual",MOD(C496-IF(Nonlabor!$E$14="Core",Nonlabor!$F$14,MAX(Nonlabor!$F$14,IF(Nonlabor!$E$14="AI",Assumptions!$C$24,Assumptions!$C$25))),12)=0))),IF(Nonlabor!$I$14="Fixed",1,IF(Nonlabor!$I$14="Seats",ROUNDUP('Monthly Lean'!I16,0),IF(Nonlabor!$I$14="Customers",'Monthly Lean'!D16,IF(Nonlabor!$I$14="NewCustomers",'Monthly Lean'!C16,IF(Nonlabor!$I$14="StorageGB",'Monthly Lean'!G16,IF(Nonlabor!$I$14="LogGB",'Monthly Lean'!H16,IF(Nonlabor!$I$14="RequestsM",'Monthly Lean'!F16,IF(Nonlabor!$I$14="InputM",'Monthly Lean'!D16*Assumptions!$C$22/1000000,IF(Nonlabor!$I$14="OutputM",'Monthly Lean'!D16*Assumptions!$C$23/1000000,0))))))))),0)</f>
        <v>4</v>
      </c>
      <c r="F496" s="10" t="n">
        <f aca="false">Nonlabor!$J$14*(1+Assumptions!$C$9)^INT((C496-1)/12)</f>
        <v>45</v>
      </c>
      <c r="G496" s="10" t="n">
        <f aca="false">E496*F496</f>
        <v>180</v>
      </c>
      <c r="H496" s="10" t="n">
        <f aca="false">IF(OR(Nonlabor!$L$14="Quote required",Nonlabor!$L$14="Unverified"),G496,0)</f>
        <v>0</v>
      </c>
      <c r="I496" s="10" t="n">
        <f aca="false">IF(Nonlabor!$E$14="Core",0,G496)</f>
        <v>0</v>
      </c>
      <c r="J496" s="23" t="str">
        <f aca="false">Nonlabor!$B$14</f>
        <v>TOOLS</v>
      </c>
    </row>
    <row r="497" customFormat="false" ht="15" hidden="false" customHeight="false" outlineLevel="0" collapsed="false">
      <c r="A497" s="6" t="s">
        <v>72</v>
      </c>
      <c r="B497" s="6" t="s">
        <v>399</v>
      </c>
      <c r="C497" s="6" t="n">
        <v>12</v>
      </c>
      <c r="D497" s="25" t="n">
        <f aca="false">EDATE('Start Here'!$B$6,C497-1)</f>
        <v>46661</v>
      </c>
      <c r="E497" s="23" t="n">
        <f aca="false">IF(AND(OR(Nonlabor!$D$14="Both",Nonlabor!$D$14='Start Here'!$B$9),IF(Nonlabor!$E$14="Core",1,IF(Nonlabor!$E$14="AI",'Start Here'!$B$7,'Start Here'!$B$8))=1,C497&gt;=IF(Nonlabor!$E$14="Core",Nonlabor!$F$14,MAX(Nonlabor!$F$14,IF(Nonlabor!$E$14="AI",Assumptions!$C$24,Assumptions!$C$25))),C497&lt;=Nonlabor!$G$14,OR(Nonlabor!$H$14="Monthly",AND(Nonlabor!$H$14="Once",C497=IF(Nonlabor!$E$14="Core",Nonlabor!$F$14,MAX(Nonlabor!$F$14,IF(Nonlabor!$E$14="AI",Assumptions!$C$24,Assumptions!$C$25)))),AND(Nonlabor!$H$14="Annual",MOD(C497-IF(Nonlabor!$E$14="Core",Nonlabor!$F$14,MAX(Nonlabor!$F$14,IF(Nonlabor!$E$14="AI",Assumptions!$C$24,Assumptions!$C$25))),12)=0))),IF(Nonlabor!$I$14="Fixed",1,IF(Nonlabor!$I$14="Seats",ROUNDUP('Monthly Lean'!I17,0),IF(Nonlabor!$I$14="Customers",'Monthly Lean'!D17,IF(Nonlabor!$I$14="NewCustomers",'Monthly Lean'!C17,IF(Nonlabor!$I$14="StorageGB",'Monthly Lean'!G17,IF(Nonlabor!$I$14="LogGB",'Monthly Lean'!H17,IF(Nonlabor!$I$14="RequestsM",'Monthly Lean'!F17,IF(Nonlabor!$I$14="InputM",'Monthly Lean'!D17*Assumptions!$C$22/1000000,IF(Nonlabor!$I$14="OutputM",'Monthly Lean'!D17*Assumptions!$C$23/1000000,0))))))))),0)</f>
        <v>5</v>
      </c>
      <c r="F497" s="10" t="n">
        <f aca="false">Nonlabor!$J$14*(1+Assumptions!$C$9)^INT((C497-1)/12)</f>
        <v>45</v>
      </c>
      <c r="G497" s="10" t="n">
        <f aca="false">E497*F497</f>
        <v>225</v>
      </c>
      <c r="H497" s="10" t="n">
        <f aca="false">IF(OR(Nonlabor!$L$14="Quote required",Nonlabor!$L$14="Unverified"),G497,0)</f>
        <v>0</v>
      </c>
      <c r="I497" s="10" t="n">
        <f aca="false">IF(Nonlabor!$E$14="Core",0,G497)</f>
        <v>0</v>
      </c>
      <c r="J497" s="23" t="str">
        <f aca="false">Nonlabor!$B$14</f>
        <v>TOOLS</v>
      </c>
    </row>
    <row r="498" customFormat="false" ht="15" hidden="false" customHeight="false" outlineLevel="0" collapsed="false">
      <c r="A498" s="6" t="s">
        <v>72</v>
      </c>
      <c r="B498" s="6" t="s">
        <v>399</v>
      </c>
      <c r="C498" s="6" t="n">
        <v>13</v>
      </c>
      <c r="D498" s="25" t="n">
        <f aca="false">EDATE('Start Here'!$B$6,C498-1)</f>
        <v>46692</v>
      </c>
      <c r="E498" s="23" t="n">
        <f aca="false">IF(AND(OR(Nonlabor!$D$14="Both",Nonlabor!$D$14='Start Here'!$B$9),IF(Nonlabor!$E$14="Core",1,IF(Nonlabor!$E$14="AI",'Start Here'!$B$7,'Start Here'!$B$8))=1,C498&gt;=IF(Nonlabor!$E$14="Core",Nonlabor!$F$14,MAX(Nonlabor!$F$14,IF(Nonlabor!$E$14="AI",Assumptions!$C$24,Assumptions!$C$25))),C498&lt;=Nonlabor!$G$14,OR(Nonlabor!$H$14="Monthly",AND(Nonlabor!$H$14="Once",C498=IF(Nonlabor!$E$14="Core",Nonlabor!$F$14,MAX(Nonlabor!$F$14,IF(Nonlabor!$E$14="AI",Assumptions!$C$24,Assumptions!$C$25)))),AND(Nonlabor!$H$14="Annual",MOD(C498-IF(Nonlabor!$E$14="Core",Nonlabor!$F$14,MAX(Nonlabor!$F$14,IF(Nonlabor!$E$14="AI",Assumptions!$C$24,Assumptions!$C$25))),12)=0))),IF(Nonlabor!$I$14="Fixed",1,IF(Nonlabor!$I$14="Seats",ROUNDUP('Monthly Lean'!I18,0),IF(Nonlabor!$I$14="Customers",'Monthly Lean'!D18,IF(Nonlabor!$I$14="NewCustomers",'Monthly Lean'!C18,IF(Nonlabor!$I$14="StorageGB",'Monthly Lean'!G18,IF(Nonlabor!$I$14="LogGB",'Monthly Lean'!H18,IF(Nonlabor!$I$14="RequestsM",'Monthly Lean'!F18,IF(Nonlabor!$I$14="InputM",'Monthly Lean'!D18*Assumptions!$C$22/1000000,IF(Nonlabor!$I$14="OutputM",'Monthly Lean'!D18*Assumptions!$C$23/1000000,0))))))))),0)</f>
        <v>5</v>
      </c>
      <c r="F498" s="10" t="n">
        <f aca="false">Nonlabor!$J$14*(1+Assumptions!$C$9)^INT((C498-1)/12)</f>
        <v>46.35</v>
      </c>
      <c r="G498" s="10" t="n">
        <f aca="false">E498*F498</f>
        <v>231.75</v>
      </c>
      <c r="H498" s="10" t="n">
        <f aca="false">IF(OR(Nonlabor!$L$14="Quote required",Nonlabor!$L$14="Unverified"),G498,0)</f>
        <v>0</v>
      </c>
      <c r="I498" s="10" t="n">
        <f aca="false">IF(Nonlabor!$E$14="Core",0,G498)</f>
        <v>0</v>
      </c>
      <c r="J498" s="23" t="str">
        <f aca="false">Nonlabor!$B$14</f>
        <v>TOOLS</v>
      </c>
    </row>
    <row r="499" customFormat="false" ht="15" hidden="false" customHeight="false" outlineLevel="0" collapsed="false">
      <c r="A499" s="6" t="s">
        <v>72</v>
      </c>
      <c r="B499" s="6" t="s">
        <v>399</v>
      </c>
      <c r="C499" s="6" t="n">
        <v>14</v>
      </c>
      <c r="D499" s="25" t="n">
        <f aca="false">EDATE('Start Here'!$B$6,C499-1)</f>
        <v>46722</v>
      </c>
      <c r="E499" s="23" t="n">
        <f aca="false">IF(AND(OR(Nonlabor!$D$14="Both",Nonlabor!$D$14='Start Here'!$B$9),IF(Nonlabor!$E$14="Core",1,IF(Nonlabor!$E$14="AI",'Start Here'!$B$7,'Start Here'!$B$8))=1,C499&gt;=IF(Nonlabor!$E$14="Core",Nonlabor!$F$14,MAX(Nonlabor!$F$14,IF(Nonlabor!$E$14="AI",Assumptions!$C$24,Assumptions!$C$25))),C499&lt;=Nonlabor!$G$14,OR(Nonlabor!$H$14="Monthly",AND(Nonlabor!$H$14="Once",C499=IF(Nonlabor!$E$14="Core",Nonlabor!$F$14,MAX(Nonlabor!$F$14,IF(Nonlabor!$E$14="AI",Assumptions!$C$24,Assumptions!$C$25)))),AND(Nonlabor!$H$14="Annual",MOD(C499-IF(Nonlabor!$E$14="Core",Nonlabor!$F$14,MAX(Nonlabor!$F$14,IF(Nonlabor!$E$14="AI",Assumptions!$C$24,Assumptions!$C$25))),12)=0))),IF(Nonlabor!$I$14="Fixed",1,IF(Nonlabor!$I$14="Seats",ROUNDUP('Monthly Lean'!I19,0),IF(Nonlabor!$I$14="Customers",'Monthly Lean'!D19,IF(Nonlabor!$I$14="NewCustomers",'Monthly Lean'!C19,IF(Nonlabor!$I$14="StorageGB",'Monthly Lean'!G19,IF(Nonlabor!$I$14="LogGB",'Monthly Lean'!H19,IF(Nonlabor!$I$14="RequestsM",'Monthly Lean'!F19,IF(Nonlabor!$I$14="InputM",'Monthly Lean'!D19*Assumptions!$C$22/1000000,IF(Nonlabor!$I$14="OutputM",'Monthly Lean'!D19*Assumptions!$C$23/1000000,0))))))))),0)</f>
        <v>5</v>
      </c>
      <c r="F499" s="10" t="n">
        <f aca="false">Nonlabor!$J$14*(1+Assumptions!$C$9)^INT((C499-1)/12)</f>
        <v>46.35</v>
      </c>
      <c r="G499" s="10" t="n">
        <f aca="false">E499*F499</f>
        <v>231.75</v>
      </c>
      <c r="H499" s="10" t="n">
        <f aca="false">IF(OR(Nonlabor!$L$14="Quote required",Nonlabor!$L$14="Unverified"),G499,0)</f>
        <v>0</v>
      </c>
      <c r="I499" s="10" t="n">
        <f aca="false">IF(Nonlabor!$E$14="Core",0,G499)</f>
        <v>0</v>
      </c>
      <c r="J499" s="23" t="str">
        <f aca="false">Nonlabor!$B$14</f>
        <v>TOOLS</v>
      </c>
    </row>
    <row r="500" customFormat="false" ht="15" hidden="false" customHeight="false" outlineLevel="0" collapsed="false">
      <c r="A500" s="6" t="s">
        <v>72</v>
      </c>
      <c r="B500" s="6" t="s">
        <v>399</v>
      </c>
      <c r="C500" s="6" t="n">
        <v>15</v>
      </c>
      <c r="D500" s="25" t="n">
        <f aca="false">EDATE('Start Here'!$B$6,C500-1)</f>
        <v>46753</v>
      </c>
      <c r="E500" s="23" t="n">
        <f aca="false">IF(AND(OR(Nonlabor!$D$14="Both",Nonlabor!$D$14='Start Here'!$B$9),IF(Nonlabor!$E$14="Core",1,IF(Nonlabor!$E$14="AI",'Start Here'!$B$7,'Start Here'!$B$8))=1,C500&gt;=IF(Nonlabor!$E$14="Core",Nonlabor!$F$14,MAX(Nonlabor!$F$14,IF(Nonlabor!$E$14="AI",Assumptions!$C$24,Assumptions!$C$25))),C500&lt;=Nonlabor!$G$14,OR(Nonlabor!$H$14="Monthly",AND(Nonlabor!$H$14="Once",C500=IF(Nonlabor!$E$14="Core",Nonlabor!$F$14,MAX(Nonlabor!$F$14,IF(Nonlabor!$E$14="AI",Assumptions!$C$24,Assumptions!$C$25)))),AND(Nonlabor!$H$14="Annual",MOD(C500-IF(Nonlabor!$E$14="Core",Nonlabor!$F$14,MAX(Nonlabor!$F$14,IF(Nonlabor!$E$14="AI",Assumptions!$C$24,Assumptions!$C$25))),12)=0))),IF(Nonlabor!$I$14="Fixed",1,IF(Nonlabor!$I$14="Seats",ROUNDUP('Monthly Lean'!I20,0),IF(Nonlabor!$I$14="Customers",'Monthly Lean'!D20,IF(Nonlabor!$I$14="NewCustomers",'Monthly Lean'!C20,IF(Nonlabor!$I$14="StorageGB",'Monthly Lean'!G20,IF(Nonlabor!$I$14="LogGB",'Monthly Lean'!H20,IF(Nonlabor!$I$14="RequestsM",'Monthly Lean'!F20,IF(Nonlabor!$I$14="InputM",'Monthly Lean'!D20*Assumptions!$C$22/1000000,IF(Nonlabor!$I$14="OutputM",'Monthly Lean'!D20*Assumptions!$C$23/1000000,0))))))))),0)</f>
        <v>5</v>
      </c>
      <c r="F500" s="10" t="n">
        <f aca="false">Nonlabor!$J$14*(1+Assumptions!$C$9)^INT((C500-1)/12)</f>
        <v>46.35</v>
      </c>
      <c r="G500" s="10" t="n">
        <f aca="false">E500*F500</f>
        <v>231.75</v>
      </c>
      <c r="H500" s="10" t="n">
        <f aca="false">IF(OR(Nonlabor!$L$14="Quote required",Nonlabor!$L$14="Unverified"),G500,0)</f>
        <v>0</v>
      </c>
      <c r="I500" s="10" t="n">
        <f aca="false">IF(Nonlabor!$E$14="Core",0,G500)</f>
        <v>0</v>
      </c>
      <c r="J500" s="23" t="str">
        <f aca="false">Nonlabor!$B$14</f>
        <v>TOOLS</v>
      </c>
    </row>
    <row r="501" customFormat="false" ht="15" hidden="false" customHeight="false" outlineLevel="0" collapsed="false">
      <c r="A501" s="6" t="s">
        <v>72</v>
      </c>
      <c r="B501" s="6" t="s">
        <v>399</v>
      </c>
      <c r="C501" s="6" t="n">
        <v>16</v>
      </c>
      <c r="D501" s="25" t="n">
        <f aca="false">EDATE('Start Here'!$B$6,C501-1)</f>
        <v>46784</v>
      </c>
      <c r="E501" s="23" t="n">
        <f aca="false">IF(AND(OR(Nonlabor!$D$14="Both",Nonlabor!$D$14='Start Here'!$B$9),IF(Nonlabor!$E$14="Core",1,IF(Nonlabor!$E$14="AI",'Start Here'!$B$7,'Start Here'!$B$8))=1,C501&gt;=IF(Nonlabor!$E$14="Core",Nonlabor!$F$14,MAX(Nonlabor!$F$14,IF(Nonlabor!$E$14="AI",Assumptions!$C$24,Assumptions!$C$25))),C501&lt;=Nonlabor!$G$14,OR(Nonlabor!$H$14="Monthly",AND(Nonlabor!$H$14="Once",C501=IF(Nonlabor!$E$14="Core",Nonlabor!$F$14,MAX(Nonlabor!$F$14,IF(Nonlabor!$E$14="AI",Assumptions!$C$24,Assumptions!$C$25)))),AND(Nonlabor!$H$14="Annual",MOD(C501-IF(Nonlabor!$E$14="Core",Nonlabor!$F$14,MAX(Nonlabor!$F$14,IF(Nonlabor!$E$14="AI",Assumptions!$C$24,Assumptions!$C$25))),12)=0))),IF(Nonlabor!$I$14="Fixed",1,IF(Nonlabor!$I$14="Seats",ROUNDUP('Monthly Lean'!I21,0),IF(Nonlabor!$I$14="Customers",'Monthly Lean'!D21,IF(Nonlabor!$I$14="NewCustomers",'Monthly Lean'!C21,IF(Nonlabor!$I$14="StorageGB",'Monthly Lean'!G21,IF(Nonlabor!$I$14="LogGB",'Monthly Lean'!H21,IF(Nonlabor!$I$14="RequestsM",'Monthly Lean'!F21,IF(Nonlabor!$I$14="InputM",'Monthly Lean'!D21*Assumptions!$C$22/1000000,IF(Nonlabor!$I$14="OutputM",'Monthly Lean'!D21*Assumptions!$C$23/1000000,0))))))))),0)</f>
        <v>6</v>
      </c>
      <c r="F501" s="10" t="n">
        <f aca="false">Nonlabor!$J$14*(1+Assumptions!$C$9)^INT((C501-1)/12)</f>
        <v>46.35</v>
      </c>
      <c r="G501" s="10" t="n">
        <f aca="false">E501*F501</f>
        <v>278.1</v>
      </c>
      <c r="H501" s="10" t="n">
        <f aca="false">IF(OR(Nonlabor!$L$14="Quote required",Nonlabor!$L$14="Unverified"),G501,0)</f>
        <v>0</v>
      </c>
      <c r="I501" s="10" t="n">
        <f aca="false">IF(Nonlabor!$E$14="Core",0,G501)</f>
        <v>0</v>
      </c>
      <c r="J501" s="23" t="str">
        <f aca="false">Nonlabor!$B$14</f>
        <v>TOOLS</v>
      </c>
    </row>
    <row r="502" customFormat="false" ht="15" hidden="false" customHeight="false" outlineLevel="0" collapsed="false">
      <c r="A502" s="6" t="s">
        <v>72</v>
      </c>
      <c r="B502" s="6" t="s">
        <v>399</v>
      </c>
      <c r="C502" s="6" t="n">
        <v>17</v>
      </c>
      <c r="D502" s="25" t="n">
        <f aca="false">EDATE('Start Here'!$B$6,C502-1)</f>
        <v>46813</v>
      </c>
      <c r="E502" s="23" t="n">
        <f aca="false">IF(AND(OR(Nonlabor!$D$14="Both",Nonlabor!$D$14='Start Here'!$B$9),IF(Nonlabor!$E$14="Core",1,IF(Nonlabor!$E$14="AI",'Start Here'!$B$7,'Start Here'!$B$8))=1,C502&gt;=IF(Nonlabor!$E$14="Core",Nonlabor!$F$14,MAX(Nonlabor!$F$14,IF(Nonlabor!$E$14="AI",Assumptions!$C$24,Assumptions!$C$25))),C502&lt;=Nonlabor!$G$14,OR(Nonlabor!$H$14="Monthly",AND(Nonlabor!$H$14="Once",C502=IF(Nonlabor!$E$14="Core",Nonlabor!$F$14,MAX(Nonlabor!$F$14,IF(Nonlabor!$E$14="AI",Assumptions!$C$24,Assumptions!$C$25)))),AND(Nonlabor!$H$14="Annual",MOD(C502-IF(Nonlabor!$E$14="Core",Nonlabor!$F$14,MAX(Nonlabor!$F$14,IF(Nonlabor!$E$14="AI",Assumptions!$C$24,Assumptions!$C$25))),12)=0))),IF(Nonlabor!$I$14="Fixed",1,IF(Nonlabor!$I$14="Seats",ROUNDUP('Monthly Lean'!I22,0),IF(Nonlabor!$I$14="Customers",'Monthly Lean'!D22,IF(Nonlabor!$I$14="NewCustomers",'Monthly Lean'!C22,IF(Nonlabor!$I$14="StorageGB",'Monthly Lean'!G22,IF(Nonlabor!$I$14="LogGB",'Monthly Lean'!H22,IF(Nonlabor!$I$14="RequestsM",'Monthly Lean'!F22,IF(Nonlabor!$I$14="InputM",'Monthly Lean'!D22*Assumptions!$C$22/1000000,IF(Nonlabor!$I$14="OutputM",'Monthly Lean'!D22*Assumptions!$C$23/1000000,0))))))))),0)</f>
        <v>6</v>
      </c>
      <c r="F502" s="10" t="n">
        <f aca="false">Nonlabor!$J$14*(1+Assumptions!$C$9)^INT((C502-1)/12)</f>
        <v>46.35</v>
      </c>
      <c r="G502" s="10" t="n">
        <f aca="false">E502*F502</f>
        <v>278.1</v>
      </c>
      <c r="H502" s="10" t="n">
        <f aca="false">IF(OR(Nonlabor!$L$14="Quote required",Nonlabor!$L$14="Unverified"),G502,0)</f>
        <v>0</v>
      </c>
      <c r="I502" s="10" t="n">
        <f aca="false">IF(Nonlabor!$E$14="Core",0,G502)</f>
        <v>0</v>
      </c>
      <c r="J502" s="23" t="str">
        <f aca="false">Nonlabor!$B$14</f>
        <v>TOOLS</v>
      </c>
    </row>
    <row r="503" customFormat="false" ht="15" hidden="false" customHeight="false" outlineLevel="0" collapsed="false">
      <c r="A503" s="6" t="s">
        <v>72</v>
      </c>
      <c r="B503" s="6" t="s">
        <v>399</v>
      </c>
      <c r="C503" s="6" t="n">
        <v>18</v>
      </c>
      <c r="D503" s="25" t="n">
        <f aca="false">EDATE('Start Here'!$B$6,C503-1)</f>
        <v>46844</v>
      </c>
      <c r="E503" s="23" t="n">
        <f aca="false">IF(AND(OR(Nonlabor!$D$14="Both",Nonlabor!$D$14='Start Here'!$B$9),IF(Nonlabor!$E$14="Core",1,IF(Nonlabor!$E$14="AI",'Start Here'!$B$7,'Start Here'!$B$8))=1,C503&gt;=IF(Nonlabor!$E$14="Core",Nonlabor!$F$14,MAX(Nonlabor!$F$14,IF(Nonlabor!$E$14="AI",Assumptions!$C$24,Assumptions!$C$25))),C503&lt;=Nonlabor!$G$14,OR(Nonlabor!$H$14="Monthly",AND(Nonlabor!$H$14="Once",C503=IF(Nonlabor!$E$14="Core",Nonlabor!$F$14,MAX(Nonlabor!$F$14,IF(Nonlabor!$E$14="AI",Assumptions!$C$24,Assumptions!$C$25)))),AND(Nonlabor!$H$14="Annual",MOD(C503-IF(Nonlabor!$E$14="Core",Nonlabor!$F$14,MAX(Nonlabor!$F$14,IF(Nonlabor!$E$14="AI",Assumptions!$C$24,Assumptions!$C$25))),12)=0))),IF(Nonlabor!$I$14="Fixed",1,IF(Nonlabor!$I$14="Seats",ROUNDUP('Monthly Lean'!I23,0),IF(Nonlabor!$I$14="Customers",'Monthly Lean'!D23,IF(Nonlabor!$I$14="NewCustomers",'Monthly Lean'!C23,IF(Nonlabor!$I$14="StorageGB",'Monthly Lean'!G23,IF(Nonlabor!$I$14="LogGB",'Monthly Lean'!H23,IF(Nonlabor!$I$14="RequestsM",'Monthly Lean'!F23,IF(Nonlabor!$I$14="InputM",'Monthly Lean'!D23*Assumptions!$C$22/1000000,IF(Nonlabor!$I$14="OutputM",'Monthly Lean'!D23*Assumptions!$C$23/1000000,0))))))))),0)</f>
        <v>6</v>
      </c>
      <c r="F503" s="10" t="n">
        <f aca="false">Nonlabor!$J$14*(1+Assumptions!$C$9)^INT((C503-1)/12)</f>
        <v>46.35</v>
      </c>
      <c r="G503" s="10" t="n">
        <f aca="false">E503*F503</f>
        <v>278.1</v>
      </c>
      <c r="H503" s="10" t="n">
        <f aca="false">IF(OR(Nonlabor!$L$14="Quote required",Nonlabor!$L$14="Unverified"),G503,0)</f>
        <v>0</v>
      </c>
      <c r="I503" s="10" t="n">
        <f aca="false">IF(Nonlabor!$E$14="Core",0,G503)</f>
        <v>0</v>
      </c>
      <c r="J503" s="23" t="str">
        <f aca="false">Nonlabor!$B$14</f>
        <v>TOOLS</v>
      </c>
    </row>
    <row r="504" customFormat="false" ht="15" hidden="false" customHeight="false" outlineLevel="0" collapsed="false">
      <c r="A504" s="6" t="s">
        <v>72</v>
      </c>
      <c r="B504" s="6" t="s">
        <v>399</v>
      </c>
      <c r="C504" s="6" t="n">
        <v>19</v>
      </c>
      <c r="D504" s="25" t="n">
        <f aca="false">EDATE('Start Here'!$B$6,C504-1)</f>
        <v>46874</v>
      </c>
      <c r="E504" s="23" t="n">
        <f aca="false">IF(AND(OR(Nonlabor!$D$14="Both",Nonlabor!$D$14='Start Here'!$B$9),IF(Nonlabor!$E$14="Core",1,IF(Nonlabor!$E$14="AI",'Start Here'!$B$7,'Start Here'!$B$8))=1,C504&gt;=IF(Nonlabor!$E$14="Core",Nonlabor!$F$14,MAX(Nonlabor!$F$14,IF(Nonlabor!$E$14="AI",Assumptions!$C$24,Assumptions!$C$25))),C504&lt;=Nonlabor!$G$14,OR(Nonlabor!$H$14="Monthly",AND(Nonlabor!$H$14="Once",C504=IF(Nonlabor!$E$14="Core",Nonlabor!$F$14,MAX(Nonlabor!$F$14,IF(Nonlabor!$E$14="AI",Assumptions!$C$24,Assumptions!$C$25)))),AND(Nonlabor!$H$14="Annual",MOD(C504-IF(Nonlabor!$E$14="Core",Nonlabor!$F$14,MAX(Nonlabor!$F$14,IF(Nonlabor!$E$14="AI",Assumptions!$C$24,Assumptions!$C$25))),12)=0))),IF(Nonlabor!$I$14="Fixed",1,IF(Nonlabor!$I$14="Seats",ROUNDUP('Monthly Lean'!I24,0),IF(Nonlabor!$I$14="Customers",'Monthly Lean'!D24,IF(Nonlabor!$I$14="NewCustomers",'Monthly Lean'!C24,IF(Nonlabor!$I$14="StorageGB",'Monthly Lean'!G24,IF(Nonlabor!$I$14="LogGB",'Monthly Lean'!H24,IF(Nonlabor!$I$14="RequestsM",'Monthly Lean'!F24,IF(Nonlabor!$I$14="InputM",'Monthly Lean'!D24*Assumptions!$C$22/1000000,IF(Nonlabor!$I$14="OutputM",'Monthly Lean'!D24*Assumptions!$C$23/1000000,0))))))))),0)</f>
        <v>6</v>
      </c>
      <c r="F504" s="10" t="n">
        <f aca="false">Nonlabor!$J$14*(1+Assumptions!$C$9)^INT((C504-1)/12)</f>
        <v>46.35</v>
      </c>
      <c r="G504" s="10" t="n">
        <f aca="false">E504*F504</f>
        <v>278.1</v>
      </c>
      <c r="H504" s="10" t="n">
        <f aca="false">IF(OR(Nonlabor!$L$14="Quote required",Nonlabor!$L$14="Unverified"),G504,0)</f>
        <v>0</v>
      </c>
      <c r="I504" s="10" t="n">
        <f aca="false">IF(Nonlabor!$E$14="Core",0,G504)</f>
        <v>0</v>
      </c>
      <c r="J504" s="23" t="str">
        <f aca="false">Nonlabor!$B$14</f>
        <v>TOOLS</v>
      </c>
    </row>
    <row r="505" customFormat="false" ht="15" hidden="false" customHeight="false" outlineLevel="0" collapsed="false">
      <c r="A505" s="6" t="s">
        <v>72</v>
      </c>
      <c r="B505" s="6" t="s">
        <v>399</v>
      </c>
      <c r="C505" s="6" t="n">
        <v>20</v>
      </c>
      <c r="D505" s="25" t="n">
        <f aca="false">EDATE('Start Here'!$B$6,C505-1)</f>
        <v>46905</v>
      </c>
      <c r="E505" s="23" t="n">
        <f aca="false">IF(AND(OR(Nonlabor!$D$14="Both",Nonlabor!$D$14='Start Here'!$B$9),IF(Nonlabor!$E$14="Core",1,IF(Nonlabor!$E$14="AI",'Start Here'!$B$7,'Start Here'!$B$8))=1,C505&gt;=IF(Nonlabor!$E$14="Core",Nonlabor!$F$14,MAX(Nonlabor!$F$14,IF(Nonlabor!$E$14="AI",Assumptions!$C$24,Assumptions!$C$25))),C505&lt;=Nonlabor!$G$14,OR(Nonlabor!$H$14="Monthly",AND(Nonlabor!$H$14="Once",C505=IF(Nonlabor!$E$14="Core",Nonlabor!$F$14,MAX(Nonlabor!$F$14,IF(Nonlabor!$E$14="AI",Assumptions!$C$24,Assumptions!$C$25)))),AND(Nonlabor!$H$14="Annual",MOD(C505-IF(Nonlabor!$E$14="Core",Nonlabor!$F$14,MAX(Nonlabor!$F$14,IF(Nonlabor!$E$14="AI",Assumptions!$C$24,Assumptions!$C$25))),12)=0))),IF(Nonlabor!$I$14="Fixed",1,IF(Nonlabor!$I$14="Seats",ROUNDUP('Monthly Lean'!I25,0),IF(Nonlabor!$I$14="Customers",'Monthly Lean'!D25,IF(Nonlabor!$I$14="NewCustomers",'Monthly Lean'!C25,IF(Nonlabor!$I$14="StorageGB",'Monthly Lean'!G25,IF(Nonlabor!$I$14="LogGB",'Monthly Lean'!H25,IF(Nonlabor!$I$14="RequestsM",'Monthly Lean'!F25,IF(Nonlabor!$I$14="InputM",'Monthly Lean'!D25*Assumptions!$C$22/1000000,IF(Nonlabor!$I$14="OutputM",'Monthly Lean'!D25*Assumptions!$C$23/1000000,0))))))))),0)</f>
        <v>6</v>
      </c>
      <c r="F505" s="10" t="n">
        <f aca="false">Nonlabor!$J$14*(1+Assumptions!$C$9)^INT((C505-1)/12)</f>
        <v>46.35</v>
      </c>
      <c r="G505" s="10" t="n">
        <f aca="false">E505*F505</f>
        <v>278.1</v>
      </c>
      <c r="H505" s="10" t="n">
        <f aca="false">IF(OR(Nonlabor!$L$14="Quote required",Nonlabor!$L$14="Unverified"),G505,0)</f>
        <v>0</v>
      </c>
      <c r="I505" s="10" t="n">
        <f aca="false">IF(Nonlabor!$E$14="Core",0,G505)</f>
        <v>0</v>
      </c>
      <c r="J505" s="23" t="str">
        <f aca="false">Nonlabor!$B$14</f>
        <v>TOOLS</v>
      </c>
    </row>
    <row r="506" customFormat="false" ht="15" hidden="false" customHeight="false" outlineLevel="0" collapsed="false">
      <c r="A506" s="6" t="s">
        <v>72</v>
      </c>
      <c r="B506" s="6" t="s">
        <v>399</v>
      </c>
      <c r="C506" s="6" t="n">
        <v>21</v>
      </c>
      <c r="D506" s="25" t="n">
        <f aca="false">EDATE('Start Here'!$B$6,C506-1)</f>
        <v>46935</v>
      </c>
      <c r="E506" s="23" t="n">
        <f aca="false">IF(AND(OR(Nonlabor!$D$14="Both",Nonlabor!$D$14='Start Here'!$B$9),IF(Nonlabor!$E$14="Core",1,IF(Nonlabor!$E$14="AI",'Start Here'!$B$7,'Start Here'!$B$8))=1,C506&gt;=IF(Nonlabor!$E$14="Core",Nonlabor!$F$14,MAX(Nonlabor!$F$14,IF(Nonlabor!$E$14="AI",Assumptions!$C$24,Assumptions!$C$25))),C506&lt;=Nonlabor!$G$14,OR(Nonlabor!$H$14="Monthly",AND(Nonlabor!$H$14="Once",C506=IF(Nonlabor!$E$14="Core",Nonlabor!$F$14,MAX(Nonlabor!$F$14,IF(Nonlabor!$E$14="AI",Assumptions!$C$24,Assumptions!$C$25)))),AND(Nonlabor!$H$14="Annual",MOD(C506-IF(Nonlabor!$E$14="Core",Nonlabor!$F$14,MAX(Nonlabor!$F$14,IF(Nonlabor!$E$14="AI",Assumptions!$C$24,Assumptions!$C$25))),12)=0))),IF(Nonlabor!$I$14="Fixed",1,IF(Nonlabor!$I$14="Seats",ROUNDUP('Monthly Lean'!I26,0),IF(Nonlabor!$I$14="Customers",'Monthly Lean'!D26,IF(Nonlabor!$I$14="NewCustomers",'Monthly Lean'!C26,IF(Nonlabor!$I$14="StorageGB",'Monthly Lean'!G26,IF(Nonlabor!$I$14="LogGB",'Monthly Lean'!H26,IF(Nonlabor!$I$14="RequestsM",'Monthly Lean'!F26,IF(Nonlabor!$I$14="InputM",'Monthly Lean'!D26*Assumptions!$C$22/1000000,IF(Nonlabor!$I$14="OutputM",'Monthly Lean'!D26*Assumptions!$C$23/1000000,0))))))))),0)</f>
        <v>6</v>
      </c>
      <c r="F506" s="10" t="n">
        <f aca="false">Nonlabor!$J$14*(1+Assumptions!$C$9)^INT((C506-1)/12)</f>
        <v>46.35</v>
      </c>
      <c r="G506" s="10" t="n">
        <f aca="false">E506*F506</f>
        <v>278.1</v>
      </c>
      <c r="H506" s="10" t="n">
        <f aca="false">IF(OR(Nonlabor!$L$14="Quote required",Nonlabor!$L$14="Unverified"),G506,0)</f>
        <v>0</v>
      </c>
      <c r="I506" s="10" t="n">
        <f aca="false">IF(Nonlabor!$E$14="Core",0,G506)</f>
        <v>0</v>
      </c>
      <c r="J506" s="23" t="str">
        <f aca="false">Nonlabor!$B$14</f>
        <v>TOOLS</v>
      </c>
    </row>
    <row r="507" customFormat="false" ht="15" hidden="false" customHeight="false" outlineLevel="0" collapsed="false">
      <c r="A507" s="6" t="s">
        <v>72</v>
      </c>
      <c r="B507" s="6" t="s">
        <v>399</v>
      </c>
      <c r="C507" s="6" t="n">
        <v>22</v>
      </c>
      <c r="D507" s="25" t="n">
        <f aca="false">EDATE('Start Here'!$B$6,C507-1)</f>
        <v>46966</v>
      </c>
      <c r="E507" s="23" t="n">
        <f aca="false">IF(AND(OR(Nonlabor!$D$14="Both",Nonlabor!$D$14='Start Here'!$B$9),IF(Nonlabor!$E$14="Core",1,IF(Nonlabor!$E$14="AI",'Start Here'!$B$7,'Start Here'!$B$8))=1,C507&gt;=IF(Nonlabor!$E$14="Core",Nonlabor!$F$14,MAX(Nonlabor!$F$14,IF(Nonlabor!$E$14="AI",Assumptions!$C$24,Assumptions!$C$25))),C507&lt;=Nonlabor!$G$14,OR(Nonlabor!$H$14="Monthly",AND(Nonlabor!$H$14="Once",C507=IF(Nonlabor!$E$14="Core",Nonlabor!$F$14,MAX(Nonlabor!$F$14,IF(Nonlabor!$E$14="AI",Assumptions!$C$24,Assumptions!$C$25)))),AND(Nonlabor!$H$14="Annual",MOD(C507-IF(Nonlabor!$E$14="Core",Nonlabor!$F$14,MAX(Nonlabor!$F$14,IF(Nonlabor!$E$14="AI",Assumptions!$C$24,Assumptions!$C$25))),12)=0))),IF(Nonlabor!$I$14="Fixed",1,IF(Nonlabor!$I$14="Seats",ROUNDUP('Monthly Lean'!I27,0),IF(Nonlabor!$I$14="Customers",'Monthly Lean'!D27,IF(Nonlabor!$I$14="NewCustomers",'Monthly Lean'!C27,IF(Nonlabor!$I$14="StorageGB",'Monthly Lean'!G27,IF(Nonlabor!$I$14="LogGB",'Monthly Lean'!H27,IF(Nonlabor!$I$14="RequestsM",'Monthly Lean'!F27,IF(Nonlabor!$I$14="InputM",'Monthly Lean'!D27*Assumptions!$C$22/1000000,IF(Nonlabor!$I$14="OutputM",'Monthly Lean'!D27*Assumptions!$C$23/1000000,0))))))))),0)</f>
        <v>6</v>
      </c>
      <c r="F507" s="10" t="n">
        <f aca="false">Nonlabor!$J$14*(1+Assumptions!$C$9)^INT((C507-1)/12)</f>
        <v>46.35</v>
      </c>
      <c r="G507" s="10" t="n">
        <f aca="false">E507*F507</f>
        <v>278.1</v>
      </c>
      <c r="H507" s="10" t="n">
        <f aca="false">IF(OR(Nonlabor!$L$14="Quote required",Nonlabor!$L$14="Unverified"),G507,0)</f>
        <v>0</v>
      </c>
      <c r="I507" s="10" t="n">
        <f aca="false">IF(Nonlabor!$E$14="Core",0,G507)</f>
        <v>0</v>
      </c>
      <c r="J507" s="23" t="str">
        <f aca="false">Nonlabor!$B$14</f>
        <v>TOOLS</v>
      </c>
    </row>
    <row r="508" customFormat="false" ht="15" hidden="false" customHeight="false" outlineLevel="0" collapsed="false">
      <c r="A508" s="6" t="s">
        <v>72</v>
      </c>
      <c r="B508" s="6" t="s">
        <v>399</v>
      </c>
      <c r="C508" s="6" t="n">
        <v>23</v>
      </c>
      <c r="D508" s="25" t="n">
        <f aca="false">EDATE('Start Here'!$B$6,C508-1)</f>
        <v>46997</v>
      </c>
      <c r="E508" s="23" t="n">
        <f aca="false">IF(AND(OR(Nonlabor!$D$14="Both",Nonlabor!$D$14='Start Here'!$B$9),IF(Nonlabor!$E$14="Core",1,IF(Nonlabor!$E$14="AI",'Start Here'!$B$7,'Start Here'!$B$8))=1,C508&gt;=IF(Nonlabor!$E$14="Core",Nonlabor!$F$14,MAX(Nonlabor!$F$14,IF(Nonlabor!$E$14="AI",Assumptions!$C$24,Assumptions!$C$25))),C508&lt;=Nonlabor!$G$14,OR(Nonlabor!$H$14="Monthly",AND(Nonlabor!$H$14="Once",C508=IF(Nonlabor!$E$14="Core",Nonlabor!$F$14,MAX(Nonlabor!$F$14,IF(Nonlabor!$E$14="AI",Assumptions!$C$24,Assumptions!$C$25)))),AND(Nonlabor!$H$14="Annual",MOD(C508-IF(Nonlabor!$E$14="Core",Nonlabor!$F$14,MAX(Nonlabor!$F$14,IF(Nonlabor!$E$14="AI",Assumptions!$C$24,Assumptions!$C$25))),12)=0))),IF(Nonlabor!$I$14="Fixed",1,IF(Nonlabor!$I$14="Seats",ROUNDUP('Monthly Lean'!I28,0),IF(Nonlabor!$I$14="Customers",'Monthly Lean'!D28,IF(Nonlabor!$I$14="NewCustomers",'Monthly Lean'!C28,IF(Nonlabor!$I$14="StorageGB",'Monthly Lean'!G28,IF(Nonlabor!$I$14="LogGB",'Monthly Lean'!H28,IF(Nonlabor!$I$14="RequestsM",'Monthly Lean'!F28,IF(Nonlabor!$I$14="InputM",'Monthly Lean'!D28*Assumptions!$C$22/1000000,IF(Nonlabor!$I$14="OutputM",'Monthly Lean'!D28*Assumptions!$C$23/1000000,0))))))))),0)</f>
        <v>6</v>
      </c>
      <c r="F508" s="10" t="n">
        <f aca="false">Nonlabor!$J$14*(1+Assumptions!$C$9)^INT((C508-1)/12)</f>
        <v>46.35</v>
      </c>
      <c r="G508" s="10" t="n">
        <f aca="false">E508*F508</f>
        <v>278.1</v>
      </c>
      <c r="H508" s="10" t="n">
        <f aca="false">IF(OR(Nonlabor!$L$14="Quote required",Nonlabor!$L$14="Unverified"),G508,0)</f>
        <v>0</v>
      </c>
      <c r="I508" s="10" t="n">
        <f aca="false">IF(Nonlabor!$E$14="Core",0,G508)</f>
        <v>0</v>
      </c>
      <c r="J508" s="23" t="str">
        <f aca="false">Nonlabor!$B$14</f>
        <v>TOOLS</v>
      </c>
    </row>
    <row r="509" customFormat="false" ht="15" hidden="false" customHeight="false" outlineLevel="0" collapsed="false">
      <c r="A509" s="6" t="s">
        <v>72</v>
      </c>
      <c r="B509" s="6" t="s">
        <v>399</v>
      </c>
      <c r="C509" s="6" t="n">
        <v>24</v>
      </c>
      <c r="D509" s="25" t="n">
        <f aca="false">EDATE('Start Here'!$B$6,C509-1)</f>
        <v>47027</v>
      </c>
      <c r="E509" s="23" t="n">
        <f aca="false">IF(AND(OR(Nonlabor!$D$14="Both",Nonlabor!$D$14='Start Here'!$B$9),IF(Nonlabor!$E$14="Core",1,IF(Nonlabor!$E$14="AI",'Start Here'!$B$7,'Start Here'!$B$8))=1,C509&gt;=IF(Nonlabor!$E$14="Core",Nonlabor!$F$14,MAX(Nonlabor!$F$14,IF(Nonlabor!$E$14="AI",Assumptions!$C$24,Assumptions!$C$25))),C509&lt;=Nonlabor!$G$14,OR(Nonlabor!$H$14="Monthly",AND(Nonlabor!$H$14="Once",C509=IF(Nonlabor!$E$14="Core",Nonlabor!$F$14,MAX(Nonlabor!$F$14,IF(Nonlabor!$E$14="AI",Assumptions!$C$24,Assumptions!$C$25)))),AND(Nonlabor!$H$14="Annual",MOD(C509-IF(Nonlabor!$E$14="Core",Nonlabor!$F$14,MAX(Nonlabor!$F$14,IF(Nonlabor!$E$14="AI",Assumptions!$C$24,Assumptions!$C$25))),12)=0))),IF(Nonlabor!$I$14="Fixed",1,IF(Nonlabor!$I$14="Seats",ROUNDUP('Monthly Lean'!I29,0),IF(Nonlabor!$I$14="Customers",'Monthly Lean'!D29,IF(Nonlabor!$I$14="NewCustomers",'Monthly Lean'!C29,IF(Nonlabor!$I$14="StorageGB",'Monthly Lean'!G29,IF(Nonlabor!$I$14="LogGB",'Monthly Lean'!H29,IF(Nonlabor!$I$14="RequestsM",'Monthly Lean'!F29,IF(Nonlabor!$I$14="InputM",'Monthly Lean'!D29*Assumptions!$C$22/1000000,IF(Nonlabor!$I$14="OutputM",'Monthly Lean'!D29*Assumptions!$C$23/1000000,0))))))))),0)</f>
        <v>6</v>
      </c>
      <c r="F509" s="10" t="n">
        <f aca="false">Nonlabor!$J$14*(1+Assumptions!$C$9)^INT((C509-1)/12)</f>
        <v>46.35</v>
      </c>
      <c r="G509" s="10" t="n">
        <f aca="false">E509*F509</f>
        <v>278.1</v>
      </c>
      <c r="H509" s="10" t="n">
        <f aca="false">IF(OR(Nonlabor!$L$14="Quote required",Nonlabor!$L$14="Unverified"),G509,0)</f>
        <v>0</v>
      </c>
      <c r="I509" s="10" t="n">
        <f aca="false">IF(Nonlabor!$E$14="Core",0,G509)</f>
        <v>0</v>
      </c>
      <c r="J509" s="23" t="str">
        <f aca="false">Nonlabor!$B$14</f>
        <v>TOOLS</v>
      </c>
    </row>
    <row r="510" customFormat="false" ht="15" hidden="false" customHeight="false" outlineLevel="0" collapsed="false">
      <c r="A510" s="6" t="s">
        <v>72</v>
      </c>
      <c r="B510" s="6" t="s">
        <v>399</v>
      </c>
      <c r="C510" s="6" t="n">
        <v>25</v>
      </c>
      <c r="D510" s="25" t="n">
        <f aca="false">EDATE('Start Here'!$B$6,C510-1)</f>
        <v>47058</v>
      </c>
      <c r="E510" s="23" t="n">
        <f aca="false">IF(AND(OR(Nonlabor!$D$14="Both",Nonlabor!$D$14='Start Here'!$B$9),IF(Nonlabor!$E$14="Core",1,IF(Nonlabor!$E$14="AI",'Start Here'!$B$7,'Start Here'!$B$8))=1,C510&gt;=IF(Nonlabor!$E$14="Core",Nonlabor!$F$14,MAX(Nonlabor!$F$14,IF(Nonlabor!$E$14="AI",Assumptions!$C$24,Assumptions!$C$25))),C510&lt;=Nonlabor!$G$14,OR(Nonlabor!$H$14="Monthly",AND(Nonlabor!$H$14="Once",C510=IF(Nonlabor!$E$14="Core",Nonlabor!$F$14,MAX(Nonlabor!$F$14,IF(Nonlabor!$E$14="AI",Assumptions!$C$24,Assumptions!$C$25)))),AND(Nonlabor!$H$14="Annual",MOD(C510-IF(Nonlabor!$E$14="Core",Nonlabor!$F$14,MAX(Nonlabor!$F$14,IF(Nonlabor!$E$14="AI",Assumptions!$C$24,Assumptions!$C$25))),12)=0))),IF(Nonlabor!$I$14="Fixed",1,IF(Nonlabor!$I$14="Seats",ROUNDUP('Monthly Lean'!I30,0),IF(Nonlabor!$I$14="Customers",'Monthly Lean'!D30,IF(Nonlabor!$I$14="NewCustomers",'Monthly Lean'!C30,IF(Nonlabor!$I$14="StorageGB",'Monthly Lean'!G30,IF(Nonlabor!$I$14="LogGB",'Monthly Lean'!H30,IF(Nonlabor!$I$14="RequestsM",'Monthly Lean'!F30,IF(Nonlabor!$I$14="InputM",'Monthly Lean'!D30*Assumptions!$C$22/1000000,IF(Nonlabor!$I$14="OutputM",'Monthly Lean'!D30*Assumptions!$C$23/1000000,0))))))))),0)</f>
        <v>6</v>
      </c>
      <c r="F510" s="10" t="n">
        <f aca="false">Nonlabor!$J$14*(1+Assumptions!$C$9)^INT((C510-1)/12)</f>
        <v>47.7405</v>
      </c>
      <c r="G510" s="10" t="n">
        <f aca="false">E510*F510</f>
        <v>286.443</v>
      </c>
      <c r="H510" s="10" t="n">
        <f aca="false">IF(OR(Nonlabor!$L$14="Quote required",Nonlabor!$L$14="Unverified"),G510,0)</f>
        <v>0</v>
      </c>
      <c r="I510" s="10" t="n">
        <f aca="false">IF(Nonlabor!$E$14="Core",0,G510)</f>
        <v>0</v>
      </c>
      <c r="J510" s="23" t="str">
        <f aca="false">Nonlabor!$B$14</f>
        <v>TOOLS</v>
      </c>
    </row>
    <row r="511" customFormat="false" ht="15" hidden="false" customHeight="false" outlineLevel="0" collapsed="false">
      <c r="A511" s="6" t="s">
        <v>72</v>
      </c>
      <c r="B511" s="6" t="s">
        <v>399</v>
      </c>
      <c r="C511" s="6" t="n">
        <v>26</v>
      </c>
      <c r="D511" s="25" t="n">
        <f aca="false">EDATE('Start Here'!$B$6,C511-1)</f>
        <v>47088</v>
      </c>
      <c r="E511" s="23" t="n">
        <f aca="false">IF(AND(OR(Nonlabor!$D$14="Both",Nonlabor!$D$14='Start Here'!$B$9),IF(Nonlabor!$E$14="Core",1,IF(Nonlabor!$E$14="AI",'Start Here'!$B$7,'Start Here'!$B$8))=1,C511&gt;=IF(Nonlabor!$E$14="Core",Nonlabor!$F$14,MAX(Nonlabor!$F$14,IF(Nonlabor!$E$14="AI",Assumptions!$C$24,Assumptions!$C$25))),C511&lt;=Nonlabor!$G$14,OR(Nonlabor!$H$14="Monthly",AND(Nonlabor!$H$14="Once",C511=IF(Nonlabor!$E$14="Core",Nonlabor!$F$14,MAX(Nonlabor!$F$14,IF(Nonlabor!$E$14="AI",Assumptions!$C$24,Assumptions!$C$25)))),AND(Nonlabor!$H$14="Annual",MOD(C511-IF(Nonlabor!$E$14="Core",Nonlabor!$F$14,MAX(Nonlabor!$F$14,IF(Nonlabor!$E$14="AI",Assumptions!$C$24,Assumptions!$C$25))),12)=0))),IF(Nonlabor!$I$14="Fixed",1,IF(Nonlabor!$I$14="Seats",ROUNDUP('Monthly Lean'!I31,0),IF(Nonlabor!$I$14="Customers",'Monthly Lean'!D31,IF(Nonlabor!$I$14="NewCustomers",'Monthly Lean'!C31,IF(Nonlabor!$I$14="StorageGB",'Monthly Lean'!G31,IF(Nonlabor!$I$14="LogGB",'Monthly Lean'!H31,IF(Nonlabor!$I$14="RequestsM",'Monthly Lean'!F31,IF(Nonlabor!$I$14="InputM",'Monthly Lean'!D31*Assumptions!$C$22/1000000,IF(Nonlabor!$I$14="OutputM",'Monthly Lean'!D31*Assumptions!$C$23/1000000,0))))))))),0)</f>
        <v>6</v>
      </c>
      <c r="F511" s="10" t="n">
        <f aca="false">Nonlabor!$J$14*(1+Assumptions!$C$9)^INT((C511-1)/12)</f>
        <v>47.7405</v>
      </c>
      <c r="G511" s="10" t="n">
        <f aca="false">E511*F511</f>
        <v>286.443</v>
      </c>
      <c r="H511" s="10" t="n">
        <f aca="false">IF(OR(Nonlabor!$L$14="Quote required",Nonlabor!$L$14="Unverified"),G511,0)</f>
        <v>0</v>
      </c>
      <c r="I511" s="10" t="n">
        <f aca="false">IF(Nonlabor!$E$14="Core",0,G511)</f>
        <v>0</v>
      </c>
      <c r="J511" s="23" t="str">
        <f aca="false">Nonlabor!$B$14</f>
        <v>TOOLS</v>
      </c>
    </row>
    <row r="512" customFormat="false" ht="15" hidden="false" customHeight="false" outlineLevel="0" collapsed="false">
      <c r="A512" s="6" t="s">
        <v>72</v>
      </c>
      <c r="B512" s="6" t="s">
        <v>399</v>
      </c>
      <c r="C512" s="6" t="n">
        <v>27</v>
      </c>
      <c r="D512" s="25" t="n">
        <f aca="false">EDATE('Start Here'!$B$6,C512-1)</f>
        <v>47119</v>
      </c>
      <c r="E512" s="23" t="n">
        <f aca="false">IF(AND(OR(Nonlabor!$D$14="Both",Nonlabor!$D$14='Start Here'!$B$9),IF(Nonlabor!$E$14="Core",1,IF(Nonlabor!$E$14="AI",'Start Here'!$B$7,'Start Here'!$B$8))=1,C512&gt;=IF(Nonlabor!$E$14="Core",Nonlabor!$F$14,MAX(Nonlabor!$F$14,IF(Nonlabor!$E$14="AI",Assumptions!$C$24,Assumptions!$C$25))),C512&lt;=Nonlabor!$G$14,OR(Nonlabor!$H$14="Monthly",AND(Nonlabor!$H$14="Once",C512=IF(Nonlabor!$E$14="Core",Nonlabor!$F$14,MAX(Nonlabor!$F$14,IF(Nonlabor!$E$14="AI",Assumptions!$C$24,Assumptions!$C$25)))),AND(Nonlabor!$H$14="Annual",MOD(C512-IF(Nonlabor!$E$14="Core",Nonlabor!$F$14,MAX(Nonlabor!$F$14,IF(Nonlabor!$E$14="AI",Assumptions!$C$24,Assumptions!$C$25))),12)=0))),IF(Nonlabor!$I$14="Fixed",1,IF(Nonlabor!$I$14="Seats",ROUNDUP('Monthly Lean'!I32,0),IF(Nonlabor!$I$14="Customers",'Monthly Lean'!D32,IF(Nonlabor!$I$14="NewCustomers",'Monthly Lean'!C32,IF(Nonlabor!$I$14="StorageGB",'Monthly Lean'!G32,IF(Nonlabor!$I$14="LogGB",'Monthly Lean'!H32,IF(Nonlabor!$I$14="RequestsM",'Monthly Lean'!F32,IF(Nonlabor!$I$14="InputM",'Monthly Lean'!D32*Assumptions!$C$22/1000000,IF(Nonlabor!$I$14="OutputM",'Monthly Lean'!D32*Assumptions!$C$23/1000000,0))))))))),0)</f>
        <v>6</v>
      </c>
      <c r="F512" s="10" t="n">
        <f aca="false">Nonlabor!$J$14*(1+Assumptions!$C$9)^INT((C512-1)/12)</f>
        <v>47.7405</v>
      </c>
      <c r="G512" s="10" t="n">
        <f aca="false">E512*F512</f>
        <v>286.443</v>
      </c>
      <c r="H512" s="10" t="n">
        <f aca="false">IF(OR(Nonlabor!$L$14="Quote required",Nonlabor!$L$14="Unverified"),G512,0)</f>
        <v>0</v>
      </c>
      <c r="I512" s="10" t="n">
        <f aca="false">IF(Nonlabor!$E$14="Core",0,G512)</f>
        <v>0</v>
      </c>
      <c r="J512" s="23" t="str">
        <f aca="false">Nonlabor!$B$14</f>
        <v>TOOLS</v>
      </c>
    </row>
    <row r="513" customFormat="false" ht="15" hidden="false" customHeight="false" outlineLevel="0" collapsed="false">
      <c r="A513" s="6" t="s">
        <v>72</v>
      </c>
      <c r="B513" s="6" t="s">
        <v>399</v>
      </c>
      <c r="C513" s="6" t="n">
        <v>28</v>
      </c>
      <c r="D513" s="25" t="n">
        <f aca="false">EDATE('Start Here'!$B$6,C513-1)</f>
        <v>47150</v>
      </c>
      <c r="E513" s="23" t="n">
        <f aca="false">IF(AND(OR(Nonlabor!$D$14="Both",Nonlabor!$D$14='Start Here'!$B$9),IF(Nonlabor!$E$14="Core",1,IF(Nonlabor!$E$14="AI",'Start Here'!$B$7,'Start Here'!$B$8))=1,C513&gt;=IF(Nonlabor!$E$14="Core",Nonlabor!$F$14,MAX(Nonlabor!$F$14,IF(Nonlabor!$E$14="AI",Assumptions!$C$24,Assumptions!$C$25))),C513&lt;=Nonlabor!$G$14,OR(Nonlabor!$H$14="Monthly",AND(Nonlabor!$H$14="Once",C513=IF(Nonlabor!$E$14="Core",Nonlabor!$F$14,MAX(Nonlabor!$F$14,IF(Nonlabor!$E$14="AI",Assumptions!$C$24,Assumptions!$C$25)))),AND(Nonlabor!$H$14="Annual",MOD(C513-IF(Nonlabor!$E$14="Core",Nonlabor!$F$14,MAX(Nonlabor!$F$14,IF(Nonlabor!$E$14="AI",Assumptions!$C$24,Assumptions!$C$25))),12)=0))),IF(Nonlabor!$I$14="Fixed",1,IF(Nonlabor!$I$14="Seats",ROUNDUP('Monthly Lean'!I33,0),IF(Nonlabor!$I$14="Customers",'Monthly Lean'!D33,IF(Nonlabor!$I$14="NewCustomers",'Monthly Lean'!C33,IF(Nonlabor!$I$14="StorageGB",'Monthly Lean'!G33,IF(Nonlabor!$I$14="LogGB",'Monthly Lean'!H33,IF(Nonlabor!$I$14="RequestsM",'Monthly Lean'!F33,IF(Nonlabor!$I$14="InputM",'Monthly Lean'!D33*Assumptions!$C$22/1000000,IF(Nonlabor!$I$14="OutputM",'Monthly Lean'!D33*Assumptions!$C$23/1000000,0))))))))),0)</f>
        <v>6</v>
      </c>
      <c r="F513" s="10" t="n">
        <f aca="false">Nonlabor!$J$14*(1+Assumptions!$C$9)^INT((C513-1)/12)</f>
        <v>47.7405</v>
      </c>
      <c r="G513" s="10" t="n">
        <f aca="false">E513*F513</f>
        <v>286.443</v>
      </c>
      <c r="H513" s="10" t="n">
        <f aca="false">IF(OR(Nonlabor!$L$14="Quote required",Nonlabor!$L$14="Unverified"),G513,0)</f>
        <v>0</v>
      </c>
      <c r="I513" s="10" t="n">
        <f aca="false">IF(Nonlabor!$E$14="Core",0,G513)</f>
        <v>0</v>
      </c>
      <c r="J513" s="23" t="str">
        <f aca="false">Nonlabor!$B$14</f>
        <v>TOOLS</v>
      </c>
    </row>
    <row r="514" customFormat="false" ht="15" hidden="false" customHeight="false" outlineLevel="0" collapsed="false">
      <c r="A514" s="6" t="s">
        <v>72</v>
      </c>
      <c r="B514" s="6" t="s">
        <v>399</v>
      </c>
      <c r="C514" s="6" t="n">
        <v>29</v>
      </c>
      <c r="D514" s="25" t="n">
        <f aca="false">EDATE('Start Here'!$B$6,C514-1)</f>
        <v>47178</v>
      </c>
      <c r="E514" s="23" t="n">
        <f aca="false">IF(AND(OR(Nonlabor!$D$14="Both",Nonlabor!$D$14='Start Here'!$B$9),IF(Nonlabor!$E$14="Core",1,IF(Nonlabor!$E$14="AI",'Start Here'!$B$7,'Start Here'!$B$8))=1,C514&gt;=IF(Nonlabor!$E$14="Core",Nonlabor!$F$14,MAX(Nonlabor!$F$14,IF(Nonlabor!$E$14="AI",Assumptions!$C$24,Assumptions!$C$25))),C514&lt;=Nonlabor!$G$14,OR(Nonlabor!$H$14="Monthly",AND(Nonlabor!$H$14="Once",C514=IF(Nonlabor!$E$14="Core",Nonlabor!$F$14,MAX(Nonlabor!$F$14,IF(Nonlabor!$E$14="AI",Assumptions!$C$24,Assumptions!$C$25)))),AND(Nonlabor!$H$14="Annual",MOD(C514-IF(Nonlabor!$E$14="Core",Nonlabor!$F$14,MAX(Nonlabor!$F$14,IF(Nonlabor!$E$14="AI",Assumptions!$C$24,Assumptions!$C$25))),12)=0))),IF(Nonlabor!$I$14="Fixed",1,IF(Nonlabor!$I$14="Seats",ROUNDUP('Monthly Lean'!I34,0),IF(Nonlabor!$I$14="Customers",'Monthly Lean'!D34,IF(Nonlabor!$I$14="NewCustomers",'Monthly Lean'!C34,IF(Nonlabor!$I$14="StorageGB",'Monthly Lean'!G34,IF(Nonlabor!$I$14="LogGB",'Monthly Lean'!H34,IF(Nonlabor!$I$14="RequestsM",'Monthly Lean'!F34,IF(Nonlabor!$I$14="InputM",'Monthly Lean'!D34*Assumptions!$C$22/1000000,IF(Nonlabor!$I$14="OutputM",'Monthly Lean'!D34*Assumptions!$C$23/1000000,0))))))))),0)</f>
        <v>6</v>
      </c>
      <c r="F514" s="10" t="n">
        <f aca="false">Nonlabor!$J$14*(1+Assumptions!$C$9)^INT((C514-1)/12)</f>
        <v>47.7405</v>
      </c>
      <c r="G514" s="10" t="n">
        <f aca="false">E514*F514</f>
        <v>286.443</v>
      </c>
      <c r="H514" s="10" t="n">
        <f aca="false">IF(OR(Nonlabor!$L$14="Quote required",Nonlabor!$L$14="Unverified"),G514,0)</f>
        <v>0</v>
      </c>
      <c r="I514" s="10" t="n">
        <f aca="false">IF(Nonlabor!$E$14="Core",0,G514)</f>
        <v>0</v>
      </c>
      <c r="J514" s="23" t="str">
        <f aca="false">Nonlabor!$B$14</f>
        <v>TOOLS</v>
      </c>
    </row>
    <row r="515" customFormat="false" ht="15" hidden="false" customHeight="false" outlineLevel="0" collapsed="false">
      <c r="A515" s="6" t="s">
        <v>72</v>
      </c>
      <c r="B515" s="6" t="s">
        <v>399</v>
      </c>
      <c r="C515" s="6" t="n">
        <v>30</v>
      </c>
      <c r="D515" s="25" t="n">
        <f aca="false">EDATE('Start Here'!$B$6,C515-1)</f>
        <v>47209</v>
      </c>
      <c r="E515" s="23" t="n">
        <f aca="false">IF(AND(OR(Nonlabor!$D$14="Both",Nonlabor!$D$14='Start Here'!$B$9),IF(Nonlabor!$E$14="Core",1,IF(Nonlabor!$E$14="AI",'Start Here'!$B$7,'Start Here'!$B$8))=1,C515&gt;=IF(Nonlabor!$E$14="Core",Nonlabor!$F$14,MAX(Nonlabor!$F$14,IF(Nonlabor!$E$14="AI",Assumptions!$C$24,Assumptions!$C$25))),C515&lt;=Nonlabor!$G$14,OR(Nonlabor!$H$14="Monthly",AND(Nonlabor!$H$14="Once",C515=IF(Nonlabor!$E$14="Core",Nonlabor!$F$14,MAX(Nonlabor!$F$14,IF(Nonlabor!$E$14="AI",Assumptions!$C$24,Assumptions!$C$25)))),AND(Nonlabor!$H$14="Annual",MOD(C515-IF(Nonlabor!$E$14="Core",Nonlabor!$F$14,MAX(Nonlabor!$F$14,IF(Nonlabor!$E$14="AI",Assumptions!$C$24,Assumptions!$C$25))),12)=0))),IF(Nonlabor!$I$14="Fixed",1,IF(Nonlabor!$I$14="Seats",ROUNDUP('Monthly Lean'!I35,0),IF(Nonlabor!$I$14="Customers",'Monthly Lean'!D35,IF(Nonlabor!$I$14="NewCustomers",'Monthly Lean'!C35,IF(Nonlabor!$I$14="StorageGB",'Monthly Lean'!G35,IF(Nonlabor!$I$14="LogGB",'Monthly Lean'!H35,IF(Nonlabor!$I$14="RequestsM",'Monthly Lean'!F35,IF(Nonlabor!$I$14="InputM",'Monthly Lean'!D35*Assumptions!$C$22/1000000,IF(Nonlabor!$I$14="OutputM",'Monthly Lean'!D35*Assumptions!$C$23/1000000,0))))))))),0)</f>
        <v>6</v>
      </c>
      <c r="F515" s="10" t="n">
        <f aca="false">Nonlabor!$J$14*(1+Assumptions!$C$9)^INT((C515-1)/12)</f>
        <v>47.7405</v>
      </c>
      <c r="G515" s="10" t="n">
        <f aca="false">E515*F515</f>
        <v>286.443</v>
      </c>
      <c r="H515" s="10" t="n">
        <f aca="false">IF(OR(Nonlabor!$L$14="Quote required",Nonlabor!$L$14="Unverified"),G515,0)</f>
        <v>0</v>
      </c>
      <c r="I515" s="10" t="n">
        <f aca="false">IF(Nonlabor!$E$14="Core",0,G515)</f>
        <v>0</v>
      </c>
      <c r="J515" s="23" t="str">
        <f aca="false">Nonlabor!$B$14</f>
        <v>TOOLS</v>
      </c>
    </row>
    <row r="516" customFormat="false" ht="15" hidden="false" customHeight="false" outlineLevel="0" collapsed="false">
      <c r="A516" s="6" t="s">
        <v>72</v>
      </c>
      <c r="B516" s="6" t="s">
        <v>399</v>
      </c>
      <c r="C516" s="6" t="n">
        <v>31</v>
      </c>
      <c r="D516" s="25" t="n">
        <f aca="false">EDATE('Start Here'!$B$6,C516-1)</f>
        <v>47239</v>
      </c>
      <c r="E516" s="23" t="n">
        <f aca="false">IF(AND(OR(Nonlabor!$D$14="Both",Nonlabor!$D$14='Start Here'!$B$9),IF(Nonlabor!$E$14="Core",1,IF(Nonlabor!$E$14="AI",'Start Here'!$B$7,'Start Here'!$B$8))=1,C516&gt;=IF(Nonlabor!$E$14="Core",Nonlabor!$F$14,MAX(Nonlabor!$F$14,IF(Nonlabor!$E$14="AI",Assumptions!$C$24,Assumptions!$C$25))),C516&lt;=Nonlabor!$G$14,OR(Nonlabor!$H$14="Monthly",AND(Nonlabor!$H$14="Once",C516=IF(Nonlabor!$E$14="Core",Nonlabor!$F$14,MAX(Nonlabor!$F$14,IF(Nonlabor!$E$14="AI",Assumptions!$C$24,Assumptions!$C$25)))),AND(Nonlabor!$H$14="Annual",MOD(C516-IF(Nonlabor!$E$14="Core",Nonlabor!$F$14,MAX(Nonlabor!$F$14,IF(Nonlabor!$E$14="AI",Assumptions!$C$24,Assumptions!$C$25))),12)=0))),IF(Nonlabor!$I$14="Fixed",1,IF(Nonlabor!$I$14="Seats",ROUNDUP('Monthly Lean'!I36,0),IF(Nonlabor!$I$14="Customers",'Monthly Lean'!D36,IF(Nonlabor!$I$14="NewCustomers",'Monthly Lean'!C36,IF(Nonlabor!$I$14="StorageGB",'Monthly Lean'!G36,IF(Nonlabor!$I$14="LogGB",'Monthly Lean'!H36,IF(Nonlabor!$I$14="RequestsM",'Monthly Lean'!F36,IF(Nonlabor!$I$14="InputM",'Monthly Lean'!D36*Assumptions!$C$22/1000000,IF(Nonlabor!$I$14="OutputM",'Monthly Lean'!D36*Assumptions!$C$23/1000000,0))))))))),0)</f>
        <v>7</v>
      </c>
      <c r="F516" s="10" t="n">
        <f aca="false">Nonlabor!$J$14*(1+Assumptions!$C$9)^INT((C516-1)/12)</f>
        <v>47.7405</v>
      </c>
      <c r="G516" s="10" t="n">
        <f aca="false">E516*F516</f>
        <v>334.1835</v>
      </c>
      <c r="H516" s="10" t="n">
        <f aca="false">IF(OR(Nonlabor!$L$14="Quote required",Nonlabor!$L$14="Unverified"),G516,0)</f>
        <v>0</v>
      </c>
      <c r="I516" s="10" t="n">
        <f aca="false">IF(Nonlabor!$E$14="Core",0,G516)</f>
        <v>0</v>
      </c>
      <c r="J516" s="23" t="str">
        <f aca="false">Nonlabor!$B$14</f>
        <v>TOOLS</v>
      </c>
    </row>
    <row r="517" customFormat="false" ht="15" hidden="false" customHeight="false" outlineLevel="0" collapsed="false">
      <c r="A517" s="6" t="s">
        <v>72</v>
      </c>
      <c r="B517" s="6" t="s">
        <v>399</v>
      </c>
      <c r="C517" s="6" t="n">
        <v>32</v>
      </c>
      <c r="D517" s="25" t="n">
        <f aca="false">EDATE('Start Here'!$B$6,C517-1)</f>
        <v>47270</v>
      </c>
      <c r="E517" s="23" t="n">
        <f aca="false">IF(AND(OR(Nonlabor!$D$14="Both",Nonlabor!$D$14='Start Here'!$B$9),IF(Nonlabor!$E$14="Core",1,IF(Nonlabor!$E$14="AI",'Start Here'!$B$7,'Start Here'!$B$8))=1,C517&gt;=IF(Nonlabor!$E$14="Core",Nonlabor!$F$14,MAX(Nonlabor!$F$14,IF(Nonlabor!$E$14="AI",Assumptions!$C$24,Assumptions!$C$25))),C517&lt;=Nonlabor!$G$14,OR(Nonlabor!$H$14="Monthly",AND(Nonlabor!$H$14="Once",C517=IF(Nonlabor!$E$14="Core",Nonlabor!$F$14,MAX(Nonlabor!$F$14,IF(Nonlabor!$E$14="AI",Assumptions!$C$24,Assumptions!$C$25)))),AND(Nonlabor!$H$14="Annual",MOD(C517-IF(Nonlabor!$E$14="Core",Nonlabor!$F$14,MAX(Nonlabor!$F$14,IF(Nonlabor!$E$14="AI",Assumptions!$C$24,Assumptions!$C$25))),12)=0))),IF(Nonlabor!$I$14="Fixed",1,IF(Nonlabor!$I$14="Seats",ROUNDUP('Monthly Lean'!I37,0),IF(Nonlabor!$I$14="Customers",'Monthly Lean'!D37,IF(Nonlabor!$I$14="NewCustomers",'Monthly Lean'!C37,IF(Nonlabor!$I$14="StorageGB",'Monthly Lean'!G37,IF(Nonlabor!$I$14="LogGB",'Monthly Lean'!H37,IF(Nonlabor!$I$14="RequestsM",'Monthly Lean'!F37,IF(Nonlabor!$I$14="InputM",'Monthly Lean'!D37*Assumptions!$C$22/1000000,IF(Nonlabor!$I$14="OutputM",'Monthly Lean'!D37*Assumptions!$C$23/1000000,0))))))))),0)</f>
        <v>7</v>
      </c>
      <c r="F517" s="10" t="n">
        <f aca="false">Nonlabor!$J$14*(1+Assumptions!$C$9)^INT((C517-1)/12)</f>
        <v>47.7405</v>
      </c>
      <c r="G517" s="10" t="n">
        <f aca="false">E517*F517</f>
        <v>334.1835</v>
      </c>
      <c r="H517" s="10" t="n">
        <f aca="false">IF(OR(Nonlabor!$L$14="Quote required",Nonlabor!$L$14="Unverified"),G517,0)</f>
        <v>0</v>
      </c>
      <c r="I517" s="10" t="n">
        <f aca="false">IF(Nonlabor!$E$14="Core",0,G517)</f>
        <v>0</v>
      </c>
      <c r="J517" s="23" t="str">
        <f aca="false">Nonlabor!$B$14</f>
        <v>TOOLS</v>
      </c>
    </row>
    <row r="518" customFormat="false" ht="15" hidden="false" customHeight="false" outlineLevel="0" collapsed="false">
      <c r="A518" s="6" t="s">
        <v>72</v>
      </c>
      <c r="B518" s="6" t="s">
        <v>399</v>
      </c>
      <c r="C518" s="6" t="n">
        <v>33</v>
      </c>
      <c r="D518" s="25" t="n">
        <f aca="false">EDATE('Start Here'!$B$6,C518-1)</f>
        <v>47300</v>
      </c>
      <c r="E518" s="23" t="n">
        <f aca="false">IF(AND(OR(Nonlabor!$D$14="Both",Nonlabor!$D$14='Start Here'!$B$9),IF(Nonlabor!$E$14="Core",1,IF(Nonlabor!$E$14="AI",'Start Here'!$B$7,'Start Here'!$B$8))=1,C518&gt;=IF(Nonlabor!$E$14="Core",Nonlabor!$F$14,MAX(Nonlabor!$F$14,IF(Nonlabor!$E$14="AI",Assumptions!$C$24,Assumptions!$C$25))),C518&lt;=Nonlabor!$G$14,OR(Nonlabor!$H$14="Monthly",AND(Nonlabor!$H$14="Once",C518=IF(Nonlabor!$E$14="Core",Nonlabor!$F$14,MAX(Nonlabor!$F$14,IF(Nonlabor!$E$14="AI",Assumptions!$C$24,Assumptions!$C$25)))),AND(Nonlabor!$H$14="Annual",MOD(C518-IF(Nonlabor!$E$14="Core",Nonlabor!$F$14,MAX(Nonlabor!$F$14,IF(Nonlabor!$E$14="AI",Assumptions!$C$24,Assumptions!$C$25))),12)=0))),IF(Nonlabor!$I$14="Fixed",1,IF(Nonlabor!$I$14="Seats",ROUNDUP('Monthly Lean'!I38,0),IF(Nonlabor!$I$14="Customers",'Monthly Lean'!D38,IF(Nonlabor!$I$14="NewCustomers",'Monthly Lean'!C38,IF(Nonlabor!$I$14="StorageGB",'Monthly Lean'!G38,IF(Nonlabor!$I$14="LogGB",'Monthly Lean'!H38,IF(Nonlabor!$I$14="RequestsM",'Monthly Lean'!F38,IF(Nonlabor!$I$14="InputM",'Monthly Lean'!D38*Assumptions!$C$22/1000000,IF(Nonlabor!$I$14="OutputM",'Monthly Lean'!D38*Assumptions!$C$23/1000000,0))))))))),0)</f>
        <v>7</v>
      </c>
      <c r="F518" s="10" t="n">
        <f aca="false">Nonlabor!$J$14*(1+Assumptions!$C$9)^INT((C518-1)/12)</f>
        <v>47.7405</v>
      </c>
      <c r="G518" s="10" t="n">
        <f aca="false">E518*F518</f>
        <v>334.1835</v>
      </c>
      <c r="H518" s="10" t="n">
        <f aca="false">IF(OR(Nonlabor!$L$14="Quote required",Nonlabor!$L$14="Unverified"),G518,0)</f>
        <v>0</v>
      </c>
      <c r="I518" s="10" t="n">
        <f aca="false">IF(Nonlabor!$E$14="Core",0,G518)</f>
        <v>0</v>
      </c>
      <c r="J518" s="23" t="str">
        <f aca="false">Nonlabor!$B$14</f>
        <v>TOOLS</v>
      </c>
    </row>
    <row r="519" customFormat="false" ht="15" hidden="false" customHeight="false" outlineLevel="0" collapsed="false">
      <c r="A519" s="6" t="s">
        <v>72</v>
      </c>
      <c r="B519" s="6" t="s">
        <v>399</v>
      </c>
      <c r="C519" s="6" t="n">
        <v>34</v>
      </c>
      <c r="D519" s="25" t="n">
        <f aca="false">EDATE('Start Here'!$B$6,C519-1)</f>
        <v>47331</v>
      </c>
      <c r="E519" s="23" t="n">
        <f aca="false">IF(AND(OR(Nonlabor!$D$14="Both",Nonlabor!$D$14='Start Here'!$B$9),IF(Nonlabor!$E$14="Core",1,IF(Nonlabor!$E$14="AI",'Start Here'!$B$7,'Start Here'!$B$8))=1,C519&gt;=IF(Nonlabor!$E$14="Core",Nonlabor!$F$14,MAX(Nonlabor!$F$14,IF(Nonlabor!$E$14="AI",Assumptions!$C$24,Assumptions!$C$25))),C519&lt;=Nonlabor!$G$14,OR(Nonlabor!$H$14="Monthly",AND(Nonlabor!$H$14="Once",C519=IF(Nonlabor!$E$14="Core",Nonlabor!$F$14,MAX(Nonlabor!$F$14,IF(Nonlabor!$E$14="AI",Assumptions!$C$24,Assumptions!$C$25)))),AND(Nonlabor!$H$14="Annual",MOD(C519-IF(Nonlabor!$E$14="Core",Nonlabor!$F$14,MAX(Nonlabor!$F$14,IF(Nonlabor!$E$14="AI",Assumptions!$C$24,Assumptions!$C$25))),12)=0))),IF(Nonlabor!$I$14="Fixed",1,IF(Nonlabor!$I$14="Seats",ROUNDUP('Monthly Lean'!I39,0),IF(Nonlabor!$I$14="Customers",'Monthly Lean'!D39,IF(Nonlabor!$I$14="NewCustomers",'Monthly Lean'!C39,IF(Nonlabor!$I$14="StorageGB",'Monthly Lean'!G39,IF(Nonlabor!$I$14="LogGB",'Monthly Lean'!H39,IF(Nonlabor!$I$14="RequestsM",'Monthly Lean'!F39,IF(Nonlabor!$I$14="InputM",'Monthly Lean'!D39*Assumptions!$C$22/1000000,IF(Nonlabor!$I$14="OutputM",'Monthly Lean'!D39*Assumptions!$C$23/1000000,0))))))))),0)</f>
        <v>7</v>
      </c>
      <c r="F519" s="10" t="n">
        <f aca="false">Nonlabor!$J$14*(1+Assumptions!$C$9)^INT((C519-1)/12)</f>
        <v>47.7405</v>
      </c>
      <c r="G519" s="10" t="n">
        <f aca="false">E519*F519</f>
        <v>334.1835</v>
      </c>
      <c r="H519" s="10" t="n">
        <f aca="false">IF(OR(Nonlabor!$L$14="Quote required",Nonlabor!$L$14="Unverified"),G519,0)</f>
        <v>0</v>
      </c>
      <c r="I519" s="10" t="n">
        <f aca="false">IF(Nonlabor!$E$14="Core",0,G519)</f>
        <v>0</v>
      </c>
      <c r="J519" s="23" t="str">
        <f aca="false">Nonlabor!$B$14</f>
        <v>TOOLS</v>
      </c>
    </row>
    <row r="520" customFormat="false" ht="15" hidden="false" customHeight="false" outlineLevel="0" collapsed="false">
      <c r="A520" s="6" t="s">
        <v>72</v>
      </c>
      <c r="B520" s="6" t="s">
        <v>399</v>
      </c>
      <c r="C520" s="6" t="n">
        <v>35</v>
      </c>
      <c r="D520" s="25" t="n">
        <f aca="false">EDATE('Start Here'!$B$6,C520-1)</f>
        <v>47362</v>
      </c>
      <c r="E520" s="23" t="n">
        <f aca="false">IF(AND(OR(Nonlabor!$D$14="Both",Nonlabor!$D$14='Start Here'!$B$9),IF(Nonlabor!$E$14="Core",1,IF(Nonlabor!$E$14="AI",'Start Here'!$B$7,'Start Here'!$B$8))=1,C520&gt;=IF(Nonlabor!$E$14="Core",Nonlabor!$F$14,MAX(Nonlabor!$F$14,IF(Nonlabor!$E$14="AI",Assumptions!$C$24,Assumptions!$C$25))),C520&lt;=Nonlabor!$G$14,OR(Nonlabor!$H$14="Monthly",AND(Nonlabor!$H$14="Once",C520=IF(Nonlabor!$E$14="Core",Nonlabor!$F$14,MAX(Nonlabor!$F$14,IF(Nonlabor!$E$14="AI",Assumptions!$C$24,Assumptions!$C$25)))),AND(Nonlabor!$H$14="Annual",MOD(C520-IF(Nonlabor!$E$14="Core",Nonlabor!$F$14,MAX(Nonlabor!$F$14,IF(Nonlabor!$E$14="AI",Assumptions!$C$24,Assumptions!$C$25))),12)=0))),IF(Nonlabor!$I$14="Fixed",1,IF(Nonlabor!$I$14="Seats",ROUNDUP('Monthly Lean'!I40,0),IF(Nonlabor!$I$14="Customers",'Monthly Lean'!D40,IF(Nonlabor!$I$14="NewCustomers",'Monthly Lean'!C40,IF(Nonlabor!$I$14="StorageGB",'Monthly Lean'!G40,IF(Nonlabor!$I$14="LogGB",'Monthly Lean'!H40,IF(Nonlabor!$I$14="RequestsM",'Monthly Lean'!F40,IF(Nonlabor!$I$14="InputM",'Monthly Lean'!D40*Assumptions!$C$22/1000000,IF(Nonlabor!$I$14="OutputM",'Monthly Lean'!D40*Assumptions!$C$23/1000000,0))))))))),0)</f>
        <v>7</v>
      </c>
      <c r="F520" s="10" t="n">
        <f aca="false">Nonlabor!$J$14*(1+Assumptions!$C$9)^INT((C520-1)/12)</f>
        <v>47.7405</v>
      </c>
      <c r="G520" s="10" t="n">
        <f aca="false">E520*F520</f>
        <v>334.1835</v>
      </c>
      <c r="H520" s="10" t="n">
        <f aca="false">IF(OR(Nonlabor!$L$14="Quote required",Nonlabor!$L$14="Unverified"),G520,0)</f>
        <v>0</v>
      </c>
      <c r="I520" s="10" t="n">
        <f aca="false">IF(Nonlabor!$E$14="Core",0,G520)</f>
        <v>0</v>
      </c>
      <c r="J520" s="23" t="str">
        <f aca="false">Nonlabor!$B$14</f>
        <v>TOOLS</v>
      </c>
    </row>
    <row r="521" customFormat="false" ht="15" hidden="false" customHeight="false" outlineLevel="0" collapsed="false">
      <c r="A521" s="6" t="s">
        <v>72</v>
      </c>
      <c r="B521" s="6" t="s">
        <v>399</v>
      </c>
      <c r="C521" s="6" t="n">
        <v>36</v>
      </c>
      <c r="D521" s="25" t="n">
        <f aca="false">EDATE('Start Here'!$B$6,C521-1)</f>
        <v>47392</v>
      </c>
      <c r="E521" s="23" t="n">
        <f aca="false">IF(AND(OR(Nonlabor!$D$14="Both",Nonlabor!$D$14='Start Here'!$B$9),IF(Nonlabor!$E$14="Core",1,IF(Nonlabor!$E$14="AI",'Start Here'!$B$7,'Start Here'!$B$8))=1,C521&gt;=IF(Nonlabor!$E$14="Core",Nonlabor!$F$14,MAX(Nonlabor!$F$14,IF(Nonlabor!$E$14="AI",Assumptions!$C$24,Assumptions!$C$25))),C521&lt;=Nonlabor!$G$14,OR(Nonlabor!$H$14="Monthly",AND(Nonlabor!$H$14="Once",C521=IF(Nonlabor!$E$14="Core",Nonlabor!$F$14,MAX(Nonlabor!$F$14,IF(Nonlabor!$E$14="AI",Assumptions!$C$24,Assumptions!$C$25)))),AND(Nonlabor!$H$14="Annual",MOD(C521-IF(Nonlabor!$E$14="Core",Nonlabor!$F$14,MAX(Nonlabor!$F$14,IF(Nonlabor!$E$14="AI",Assumptions!$C$24,Assumptions!$C$25))),12)=0))),IF(Nonlabor!$I$14="Fixed",1,IF(Nonlabor!$I$14="Seats",ROUNDUP('Monthly Lean'!I41,0),IF(Nonlabor!$I$14="Customers",'Monthly Lean'!D41,IF(Nonlabor!$I$14="NewCustomers",'Monthly Lean'!C41,IF(Nonlabor!$I$14="StorageGB",'Monthly Lean'!G41,IF(Nonlabor!$I$14="LogGB",'Monthly Lean'!H41,IF(Nonlabor!$I$14="RequestsM",'Monthly Lean'!F41,IF(Nonlabor!$I$14="InputM",'Monthly Lean'!D41*Assumptions!$C$22/1000000,IF(Nonlabor!$I$14="OutputM",'Monthly Lean'!D41*Assumptions!$C$23/1000000,0))))))))),0)</f>
        <v>7</v>
      </c>
      <c r="F521" s="10" t="n">
        <f aca="false">Nonlabor!$J$14*(1+Assumptions!$C$9)^INT((C521-1)/12)</f>
        <v>47.7405</v>
      </c>
      <c r="G521" s="10" t="n">
        <f aca="false">E521*F521</f>
        <v>334.1835</v>
      </c>
      <c r="H521" s="10" t="n">
        <f aca="false">IF(OR(Nonlabor!$L$14="Quote required",Nonlabor!$L$14="Unverified"),G521,0)</f>
        <v>0</v>
      </c>
      <c r="I521" s="10" t="n">
        <f aca="false">IF(Nonlabor!$E$14="Core",0,G521)</f>
        <v>0</v>
      </c>
      <c r="J521" s="23" t="str">
        <f aca="false">Nonlabor!$B$14</f>
        <v>TOOLS</v>
      </c>
    </row>
    <row r="522" customFormat="false" ht="15" hidden="false" customHeight="false" outlineLevel="0" collapsed="false">
      <c r="A522" s="6" t="s">
        <v>72</v>
      </c>
      <c r="B522" s="6" t="s">
        <v>399</v>
      </c>
      <c r="C522" s="6" t="n">
        <v>37</v>
      </c>
      <c r="D522" s="25" t="n">
        <f aca="false">EDATE('Start Here'!$B$6,C522-1)</f>
        <v>47423</v>
      </c>
      <c r="E522" s="23" t="n">
        <f aca="false">IF(AND(OR(Nonlabor!$D$14="Both",Nonlabor!$D$14='Start Here'!$B$9),IF(Nonlabor!$E$14="Core",1,IF(Nonlabor!$E$14="AI",'Start Here'!$B$7,'Start Here'!$B$8))=1,C522&gt;=IF(Nonlabor!$E$14="Core",Nonlabor!$F$14,MAX(Nonlabor!$F$14,IF(Nonlabor!$E$14="AI",Assumptions!$C$24,Assumptions!$C$25))),C522&lt;=Nonlabor!$G$14,OR(Nonlabor!$H$14="Monthly",AND(Nonlabor!$H$14="Once",C522=IF(Nonlabor!$E$14="Core",Nonlabor!$F$14,MAX(Nonlabor!$F$14,IF(Nonlabor!$E$14="AI",Assumptions!$C$24,Assumptions!$C$25)))),AND(Nonlabor!$H$14="Annual",MOD(C522-IF(Nonlabor!$E$14="Core",Nonlabor!$F$14,MAX(Nonlabor!$F$14,IF(Nonlabor!$E$14="AI",Assumptions!$C$24,Assumptions!$C$25))),12)=0))),IF(Nonlabor!$I$14="Fixed",1,IF(Nonlabor!$I$14="Seats",ROUNDUP('Monthly Lean'!I42,0),IF(Nonlabor!$I$14="Customers",'Monthly Lean'!D42,IF(Nonlabor!$I$14="NewCustomers",'Monthly Lean'!C42,IF(Nonlabor!$I$14="StorageGB",'Monthly Lean'!G42,IF(Nonlabor!$I$14="LogGB",'Monthly Lean'!H42,IF(Nonlabor!$I$14="RequestsM",'Monthly Lean'!F42,IF(Nonlabor!$I$14="InputM",'Monthly Lean'!D42*Assumptions!$C$22/1000000,IF(Nonlabor!$I$14="OutputM",'Monthly Lean'!D42*Assumptions!$C$23/1000000,0))))))))),0)</f>
        <v>7</v>
      </c>
      <c r="F522" s="10" t="n">
        <f aca="false">Nonlabor!$J$14*(1+Assumptions!$C$9)^INT((C522-1)/12)</f>
        <v>49.172715</v>
      </c>
      <c r="G522" s="10" t="n">
        <f aca="false">E522*F522</f>
        <v>344.209005</v>
      </c>
      <c r="H522" s="10" t="n">
        <f aca="false">IF(OR(Nonlabor!$L$14="Quote required",Nonlabor!$L$14="Unverified"),G522,0)</f>
        <v>0</v>
      </c>
      <c r="I522" s="10" t="n">
        <f aca="false">IF(Nonlabor!$E$14="Core",0,G522)</f>
        <v>0</v>
      </c>
      <c r="J522" s="23" t="str">
        <f aca="false">Nonlabor!$B$14</f>
        <v>TOOLS</v>
      </c>
    </row>
    <row r="523" customFormat="false" ht="15" hidden="false" customHeight="false" outlineLevel="0" collapsed="false">
      <c r="A523" s="6" t="s">
        <v>72</v>
      </c>
      <c r="B523" s="6" t="s">
        <v>399</v>
      </c>
      <c r="C523" s="6" t="n">
        <v>38</v>
      </c>
      <c r="D523" s="25" t="n">
        <f aca="false">EDATE('Start Here'!$B$6,C523-1)</f>
        <v>47453</v>
      </c>
      <c r="E523" s="23" t="n">
        <f aca="false">IF(AND(OR(Nonlabor!$D$14="Both",Nonlabor!$D$14='Start Here'!$B$9),IF(Nonlabor!$E$14="Core",1,IF(Nonlabor!$E$14="AI",'Start Here'!$B$7,'Start Here'!$B$8))=1,C523&gt;=IF(Nonlabor!$E$14="Core",Nonlabor!$F$14,MAX(Nonlabor!$F$14,IF(Nonlabor!$E$14="AI",Assumptions!$C$24,Assumptions!$C$25))),C523&lt;=Nonlabor!$G$14,OR(Nonlabor!$H$14="Monthly",AND(Nonlabor!$H$14="Once",C523=IF(Nonlabor!$E$14="Core",Nonlabor!$F$14,MAX(Nonlabor!$F$14,IF(Nonlabor!$E$14="AI",Assumptions!$C$24,Assumptions!$C$25)))),AND(Nonlabor!$H$14="Annual",MOD(C523-IF(Nonlabor!$E$14="Core",Nonlabor!$F$14,MAX(Nonlabor!$F$14,IF(Nonlabor!$E$14="AI",Assumptions!$C$24,Assumptions!$C$25))),12)=0))),IF(Nonlabor!$I$14="Fixed",1,IF(Nonlabor!$I$14="Seats",ROUNDUP('Monthly Lean'!I43,0),IF(Nonlabor!$I$14="Customers",'Monthly Lean'!D43,IF(Nonlabor!$I$14="NewCustomers",'Monthly Lean'!C43,IF(Nonlabor!$I$14="StorageGB",'Monthly Lean'!G43,IF(Nonlabor!$I$14="LogGB",'Monthly Lean'!H43,IF(Nonlabor!$I$14="RequestsM",'Monthly Lean'!F43,IF(Nonlabor!$I$14="InputM",'Monthly Lean'!D43*Assumptions!$C$22/1000000,IF(Nonlabor!$I$14="OutputM",'Monthly Lean'!D43*Assumptions!$C$23/1000000,0))))))))),0)</f>
        <v>7</v>
      </c>
      <c r="F523" s="10" t="n">
        <f aca="false">Nonlabor!$J$14*(1+Assumptions!$C$9)^INT((C523-1)/12)</f>
        <v>49.172715</v>
      </c>
      <c r="G523" s="10" t="n">
        <f aca="false">E523*F523</f>
        <v>344.209005</v>
      </c>
      <c r="H523" s="10" t="n">
        <f aca="false">IF(OR(Nonlabor!$L$14="Quote required",Nonlabor!$L$14="Unverified"),G523,0)</f>
        <v>0</v>
      </c>
      <c r="I523" s="10" t="n">
        <f aca="false">IF(Nonlabor!$E$14="Core",0,G523)</f>
        <v>0</v>
      </c>
      <c r="J523" s="23" t="str">
        <f aca="false">Nonlabor!$B$14</f>
        <v>TOOLS</v>
      </c>
    </row>
    <row r="524" customFormat="false" ht="15" hidden="false" customHeight="false" outlineLevel="0" collapsed="false">
      <c r="A524" s="6" t="s">
        <v>72</v>
      </c>
      <c r="B524" s="6" t="s">
        <v>399</v>
      </c>
      <c r="C524" s="6" t="n">
        <v>39</v>
      </c>
      <c r="D524" s="25" t="n">
        <f aca="false">EDATE('Start Here'!$B$6,C524-1)</f>
        <v>47484</v>
      </c>
      <c r="E524" s="23" t="n">
        <f aca="false">IF(AND(OR(Nonlabor!$D$14="Both",Nonlabor!$D$14='Start Here'!$B$9),IF(Nonlabor!$E$14="Core",1,IF(Nonlabor!$E$14="AI",'Start Here'!$B$7,'Start Here'!$B$8))=1,C524&gt;=IF(Nonlabor!$E$14="Core",Nonlabor!$F$14,MAX(Nonlabor!$F$14,IF(Nonlabor!$E$14="AI",Assumptions!$C$24,Assumptions!$C$25))),C524&lt;=Nonlabor!$G$14,OR(Nonlabor!$H$14="Monthly",AND(Nonlabor!$H$14="Once",C524=IF(Nonlabor!$E$14="Core",Nonlabor!$F$14,MAX(Nonlabor!$F$14,IF(Nonlabor!$E$14="AI",Assumptions!$C$24,Assumptions!$C$25)))),AND(Nonlabor!$H$14="Annual",MOD(C524-IF(Nonlabor!$E$14="Core",Nonlabor!$F$14,MAX(Nonlabor!$F$14,IF(Nonlabor!$E$14="AI",Assumptions!$C$24,Assumptions!$C$25))),12)=0))),IF(Nonlabor!$I$14="Fixed",1,IF(Nonlabor!$I$14="Seats",ROUNDUP('Monthly Lean'!I44,0),IF(Nonlabor!$I$14="Customers",'Monthly Lean'!D44,IF(Nonlabor!$I$14="NewCustomers",'Monthly Lean'!C44,IF(Nonlabor!$I$14="StorageGB",'Monthly Lean'!G44,IF(Nonlabor!$I$14="LogGB",'Monthly Lean'!H44,IF(Nonlabor!$I$14="RequestsM",'Monthly Lean'!F44,IF(Nonlabor!$I$14="InputM",'Monthly Lean'!D44*Assumptions!$C$22/1000000,IF(Nonlabor!$I$14="OutputM",'Monthly Lean'!D44*Assumptions!$C$23/1000000,0))))))))),0)</f>
        <v>7</v>
      </c>
      <c r="F524" s="10" t="n">
        <f aca="false">Nonlabor!$J$14*(1+Assumptions!$C$9)^INT((C524-1)/12)</f>
        <v>49.172715</v>
      </c>
      <c r="G524" s="10" t="n">
        <f aca="false">E524*F524</f>
        <v>344.209005</v>
      </c>
      <c r="H524" s="10" t="n">
        <f aca="false">IF(OR(Nonlabor!$L$14="Quote required",Nonlabor!$L$14="Unverified"),G524,0)</f>
        <v>0</v>
      </c>
      <c r="I524" s="10" t="n">
        <f aca="false">IF(Nonlabor!$E$14="Core",0,G524)</f>
        <v>0</v>
      </c>
      <c r="J524" s="23" t="str">
        <f aca="false">Nonlabor!$B$14</f>
        <v>TOOLS</v>
      </c>
    </row>
    <row r="525" customFormat="false" ht="15" hidden="false" customHeight="false" outlineLevel="0" collapsed="false">
      <c r="A525" s="6" t="s">
        <v>72</v>
      </c>
      <c r="B525" s="6" t="s">
        <v>399</v>
      </c>
      <c r="C525" s="6" t="n">
        <v>40</v>
      </c>
      <c r="D525" s="25" t="n">
        <f aca="false">EDATE('Start Here'!$B$6,C525-1)</f>
        <v>47515</v>
      </c>
      <c r="E525" s="23" t="n">
        <f aca="false">IF(AND(OR(Nonlabor!$D$14="Both",Nonlabor!$D$14='Start Here'!$B$9),IF(Nonlabor!$E$14="Core",1,IF(Nonlabor!$E$14="AI",'Start Here'!$B$7,'Start Here'!$B$8))=1,C525&gt;=IF(Nonlabor!$E$14="Core",Nonlabor!$F$14,MAX(Nonlabor!$F$14,IF(Nonlabor!$E$14="AI",Assumptions!$C$24,Assumptions!$C$25))),C525&lt;=Nonlabor!$G$14,OR(Nonlabor!$H$14="Monthly",AND(Nonlabor!$H$14="Once",C525=IF(Nonlabor!$E$14="Core",Nonlabor!$F$14,MAX(Nonlabor!$F$14,IF(Nonlabor!$E$14="AI",Assumptions!$C$24,Assumptions!$C$25)))),AND(Nonlabor!$H$14="Annual",MOD(C525-IF(Nonlabor!$E$14="Core",Nonlabor!$F$14,MAX(Nonlabor!$F$14,IF(Nonlabor!$E$14="AI",Assumptions!$C$24,Assumptions!$C$25))),12)=0))),IF(Nonlabor!$I$14="Fixed",1,IF(Nonlabor!$I$14="Seats",ROUNDUP('Monthly Lean'!I45,0),IF(Nonlabor!$I$14="Customers",'Monthly Lean'!D45,IF(Nonlabor!$I$14="NewCustomers",'Monthly Lean'!C45,IF(Nonlabor!$I$14="StorageGB",'Monthly Lean'!G45,IF(Nonlabor!$I$14="LogGB",'Monthly Lean'!H45,IF(Nonlabor!$I$14="RequestsM",'Monthly Lean'!F45,IF(Nonlabor!$I$14="InputM",'Monthly Lean'!D45*Assumptions!$C$22/1000000,IF(Nonlabor!$I$14="OutputM",'Monthly Lean'!D45*Assumptions!$C$23/1000000,0))))))))),0)</f>
        <v>7</v>
      </c>
      <c r="F525" s="10" t="n">
        <f aca="false">Nonlabor!$J$14*(1+Assumptions!$C$9)^INT((C525-1)/12)</f>
        <v>49.172715</v>
      </c>
      <c r="G525" s="10" t="n">
        <f aca="false">E525*F525</f>
        <v>344.209005</v>
      </c>
      <c r="H525" s="10" t="n">
        <f aca="false">IF(OR(Nonlabor!$L$14="Quote required",Nonlabor!$L$14="Unverified"),G525,0)</f>
        <v>0</v>
      </c>
      <c r="I525" s="10" t="n">
        <f aca="false">IF(Nonlabor!$E$14="Core",0,G525)</f>
        <v>0</v>
      </c>
      <c r="J525" s="23" t="str">
        <f aca="false">Nonlabor!$B$14</f>
        <v>TOOLS</v>
      </c>
    </row>
    <row r="526" customFormat="false" ht="15" hidden="false" customHeight="false" outlineLevel="0" collapsed="false">
      <c r="A526" s="6" t="s">
        <v>72</v>
      </c>
      <c r="B526" s="6" t="s">
        <v>399</v>
      </c>
      <c r="C526" s="6" t="n">
        <v>41</v>
      </c>
      <c r="D526" s="25" t="n">
        <f aca="false">EDATE('Start Here'!$B$6,C526-1)</f>
        <v>47543</v>
      </c>
      <c r="E526" s="23" t="n">
        <f aca="false">IF(AND(OR(Nonlabor!$D$14="Both",Nonlabor!$D$14='Start Here'!$B$9),IF(Nonlabor!$E$14="Core",1,IF(Nonlabor!$E$14="AI",'Start Here'!$B$7,'Start Here'!$B$8))=1,C526&gt;=IF(Nonlabor!$E$14="Core",Nonlabor!$F$14,MAX(Nonlabor!$F$14,IF(Nonlabor!$E$14="AI",Assumptions!$C$24,Assumptions!$C$25))),C526&lt;=Nonlabor!$G$14,OR(Nonlabor!$H$14="Monthly",AND(Nonlabor!$H$14="Once",C526=IF(Nonlabor!$E$14="Core",Nonlabor!$F$14,MAX(Nonlabor!$F$14,IF(Nonlabor!$E$14="AI",Assumptions!$C$24,Assumptions!$C$25)))),AND(Nonlabor!$H$14="Annual",MOD(C526-IF(Nonlabor!$E$14="Core",Nonlabor!$F$14,MAX(Nonlabor!$F$14,IF(Nonlabor!$E$14="AI",Assumptions!$C$24,Assumptions!$C$25))),12)=0))),IF(Nonlabor!$I$14="Fixed",1,IF(Nonlabor!$I$14="Seats",ROUNDUP('Monthly Lean'!I46,0),IF(Nonlabor!$I$14="Customers",'Monthly Lean'!D46,IF(Nonlabor!$I$14="NewCustomers",'Monthly Lean'!C46,IF(Nonlabor!$I$14="StorageGB",'Monthly Lean'!G46,IF(Nonlabor!$I$14="LogGB",'Monthly Lean'!H46,IF(Nonlabor!$I$14="RequestsM",'Monthly Lean'!F46,IF(Nonlabor!$I$14="InputM",'Monthly Lean'!D46*Assumptions!$C$22/1000000,IF(Nonlabor!$I$14="OutputM",'Monthly Lean'!D46*Assumptions!$C$23/1000000,0))))))))),0)</f>
        <v>7</v>
      </c>
      <c r="F526" s="10" t="n">
        <f aca="false">Nonlabor!$J$14*(1+Assumptions!$C$9)^INT((C526-1)/12)</f>
        <v>49.172715</v>
      </c>
      <c r="G526" s="10" t="n">
        <f aca="false">E526*F526</f>
        <v>344.209005</v>
      </c>
      <c r="H526" s="10" t="n">
        <f aca="false">IF(OR(Nonlabor!$L$14="Quote required",Nonlabor!$L$14="Unverified"),G526,0)</f>
        <v>0</v>
      </c>
      <c r="I526" s="10" t="n">
        <f aca="false">IF(Nonlabor!$E$14="Core",0,G526)</f>
        <v>0</v>
      </c>
      <c r="J526" s="23" t="str">
        <f aca="false">Nonlabor!$B$14</f>
        <v>TOOLS</v>
      </c>
    </row>
    <row r="527" customFormat="false" ht="15" hidden="false" customHeight="false" outlineLevel="0" collapsed="false">
      <c r="A527" s="6" t="s">
        <v>72</v>
      </c>
      <c r="B527" s="6" t="s">
        <v>399</v>
      </c>
      <c r="C527" s="6" t="n">
        <v>42</v>
      </c>
      <c r="D527" s="25" t="n">
        <f aca="false">EDATE('Start Here'!$B$6,C527-1)</f>
        <v>47574</v>
      </c>
      <c r="E527" s="23" t="n">
        <f aca="false">IF(AND(OR(Nonlabor!$D$14="Both",Nonlabor!$D$14='Start Here'!$B$9),IF(Nonlabor!$E$14="Core",1,IF(Nonlabor!$E$14="AI",'Start Here'!$B$7,'Start Here'!$B$8))=1,C527&gt;=IF(Nonlabor!$E$14="Core",Nonlabor!$F$14,MAX(Nonlabor!$F$14,IF(Nonlabor!$E$14="AI",Assumptions!$C$24,Assumptions!$C$25))),C527&lt;=Nonlabor!$G$14,OR(Nonlabor!$H$14="Monthly",AND(Nonlabor!$H$14="Once",C527=IF(Nonlabor!$E$14="Core",Nonlabor!$F$14,MAX(Nonlabor!$F$14,IF(Nonlabor!$E$14="AI",Assumptions!$C$24,Assumptions!$C$25)))),AND(Nonlabor!$H$14="Annual",MOD(C527-IF(Nonlabor!$E$14="Core",Nonlabor!$F$14,MAX(Nonlabor!$F$14,IF(Nonlabor!$E$14="AI",Assumptions!$C$24,Assumptions!$C$25))),12)=0))),IF(Nonlabor!$I$14="Fixed",1,IF(Nonlabor!$I$14="Seats",ROUNDUP('Monthly Lean'!I47,0),IF(Nonlabor!$I$14="Customers",'Monthly Lean'!D47,IF(Nonlabor!$I$14="NewCustomers",'Monthly Lean'!C47,IF(Nonlabor!$I$14="StorageGB",'Monthly Lean'!G47,IF(Nonlabor!$I$14="LogGB",'Monthly Lean'!H47,IF(Nonlabor!$I$14="RequestsM",'Monthly Lean'!F47,IF(Nonlabor!$I$14="InputM",'Monthly Lean'!D47*Assumptions!$C$22/1000000,IF(Nonlabor!$I$14="OutputM",'Monthly Lean'!D47*Assumptions!$C$23/1000000,0))))))))),0)</f>
        <v>7</v>
      </c>
      <c r="F527" s="10" t="n">
        <f aca="false">Nonlabor!$J$14*(1+Assumptions!$C$9)^INT((C527-1)/12)</f>
        <v>49.172715</v>
      </c>
      <c r="G527" s="10" t="n">
        <f aca="false">E527*F527</f>
        <v>344.209005</v>
      </c>
      <c r="H527" s="10" t="n">
        <f aca="false">IF(OR(Nonlabor!$L$14="Quote required",Nonlabor!$L$14="Unverified"),G527,0)</f>
        <v>0</v>
      </c>
      <c r="I527" s="10" t="n">
        <f aca="false">IF(Nonlabor!$E$14="Core",0,G527)</f>
        <v>0</v>
      </c>
      <c r="J527" s="23" t="str">
        <f aca="false">Nonlabor!$B$14</f>
        <v>TOOLS</v>
      </c>
    </row>
    <row r="528" customFormat="false" ht="15" hidden="false" customHeight="false" outlineLevel="0" collapsed="false">
      <c r="A528" s="6" t="s">
        <v>72</v>
      </c>
      <c r="B528" s="6" t="s">
        <v>399</v>
      </c>
      <c r="C528" s="6" t="n">
        <v>43</v>
      </c>
      <c r="D528" s="25" t="n">
        <f aca="false">EDATE('Start Here'!$B$6,C528-1)</f>
        <v>47604</v>
      </c>
      <c r="E528" s="23" t="n">
        <f aca="false">IF(AND(OR(Nonlabor!$D$14="Both",Nonlabor!$D$14='Start Here'!$B$9),IF(Nonlabor!$E$14="Core",1,IF(Nonlabor!$E$14="AI",'Start Here'!$B$7,'Start Here'!$B$8))=1,C528&gt;=IF(Nonlabor!$E$14="Core",Nonlabor!$F$14,MAX(Nonlabor!$F$14,IF(Nonlabor!$E$14="AI",Assumptions!$C$24,Assumptions!$C$25))),C528&lt;=Nonlabor!$G$14,OR(Nonlabor!$H$14="Monthly",AND(Nonlabor!$H$14="Once",C528=IF(Nonlabor!$E$14="Core",Nonlabor!$F$14,MAX(Nonlabor!$F$14,IF(Nonlabor!$E$14="AI",Assumptions!$C$24,Assumptions!$C$25)))),AND(Nonlabor!$H$14="Annual",MOD(C528-IF(Nonlabor!$E$14="Core",Nonlabor!$F$14,MAX(Nonlabor!$F$14,IF(Nonlabor!$E$14="AI",Assumptions!$C$24,Assumptions!$C$25))),12)=0))),IF(Nonlabor!$I$14="Fixed",1,IF(Nonlabor!$I$14="Seats",ROUNDUP('Monthly Lean'!I48,0),IF(Nonlabor!$I$14="Customers",'Monthly Lean'!D48,IF(Nonlabor!$I$14="NewCustomers",'Monthly Lean'!C48,IF(Nonlabor!$I$14="StorageGB",'Monthly Lean'!G48,IF(Nonlabor!$I$14="LogGB",'Monthly Lean'!H48,IF(Nonlabor!$I$14="RequestsM",'Monthly Lean'!F48,IF(Nonlabor!$I$14="InputM",'Monthly Lean'!D48*Assumptions!$C$22/1000000,IF(Nonlabor!$I$14="OutputM",'Monthly Lean'!D48*Assumptions!$C$23/1000000,0))))))))),0)</f>
        <v>7</v>
      </c>
      <c r="F528" s="10" t="n">
        <f aca="false">Nonlabor!$J$14*(1+Assumptions!$C$9)^INT((C528-1)/12)</f>
        <v>49.172715</v>
      </c>
      <c r="G528" s="10" t="n">
        <f aca="false">E528*F528</f>
        <v>344.209005</v>
      </c>
      <c r="H528" s="10" t="n">
        <f aca="false">IF(OR(Nonlabor!$L$14="Quote required",Nonlabor!$L$14="Unverified"),G528,0)</f>
        <v>0</v>
      </c>
      <c r="I528" s="10" t="n">
        <f aca="false">IF(Nonlabor!$E$14="Core",0,G528)</f>
        <v>0</v>
      </c>
      <c r="J528" s="23" t="str">
        <f aca="false">Nonlabor!$B$14</f>
        <v>TOOLS</v>
      </c>
    </row>
    <row r="529" customFormat="false" ht="15" hidden="false" customHeight="false" outlineLevel="0" collapsed="false">
      <c r="A529" s="6" t="s">
        <v>72</v>
      </c>
      <c r="B529" s="6" t="s">
        <v>399</v>
      </c>
      <c r="C529" s="6" t="n">
        <v>44</v>
      </c>
      <c r="D529" s="25" t="n">
        <f aca="false">EDATE('Start Here'!$B$6,C529-1)</f>
        <v>47635</v>
      </c>
      <c r="E529" s="23" t="n">
        <f aca="false">IF(AND(OR(Nonlabor!$D$14="Both",Nonlabor!$D$14='Start Here'!$B$9),IF(Nonlabor!$E$14="Core",1,IF(Nonlabor!$E$14="AI",'Start Here'!$B$7,'Start Here'!$B$8))=1,C529&gt;=IF(Nonlabor!$E$14="Core",Nonlabor!$F$14,MAX(Nonlabor!$F$14,IF(Nonlabor!$E$14="AI",Assumptions!$C$24,Assumptions!$C$25))),C529&lt;=Nonlabor!$G$14,OR(Nonlabor!$H$14="Monthly",AND(Nonlabor!$H$14="Once",C529=IF(Nonlabor!$E$14="Core",Nonlabor!$F$14,MAX(Nonlabor!$F$14,IF(Nonlabor!$E$14="AI",Assumptions!$C$24,Assumptions!$C$25)))),AND(Nonlabor!$H$14="Annual",MOD(C529-IF(Nonlabor!$E$14="Core",Nonlabor!$F$14,MAX(Nonlabor!$F$14,IF(Nonlabor!$E$14="AI",Assumptions!$C$24,Assumptions!$C$25))),12)=0))),IF(Nonlabor!$I$14="Fixed",1,IF(Nonlabor!$I$14="Seats",ROUNDUP('Monthly Lean'!I49,0),IF(Nonlabor!$I$14="Customers",'Monthly Lean'!D49,IF(Nonlabor!$I$14="NewCustomers",'Monthly Lean'!C49,IF(Nonlabor!$I$14="StorageGB",'Monthly Lean'!G49,IF(Nonlabor!$I$14="LogGB",'Monthly Lean'!H49,IF(Nonlabor!$I$14="RequestsM",'Monthly Lean'!F49,IF(Nonlabor!$I$14="InputM",'Monthly Lean'!D49*Assumptions!$C$22/1000000,IF(Nonlabor!$I$14="OutputM",'Monthly Lean'!D49*Assumptions!$C$23/1000000,0))))))))),0)</f>
        <v>7</v>
      </c>
      <c r="F529" s="10" t="n">
        <f aca="false">Nonlabor!$J$14*(1+Assumptions!$C$9)^INT((C529-1)/12)</f>
        <v>49.172715</v>
      </c>
      <c r="G529" s="10" t="n">
        <f aca="false">E529*F529</f>
        <v>344.209005</v>
      </c>
      <c r="H529" s="10" t="n">
        <f aca="false">IF(OR(Nonlabor!$L$14="Quote required",Nonlabor!$L$14="Unverified"),G529,0)</f>
        <v>0</v>
      </c>
      <c r="I529" s="10" t="n">
        <f aca="false">IF(Nonlabor!$E$14="Core",0,G529)</f>
        <v>0</v>
      </c>
      <c r="J529" s="23" t="str">
        <f aca="false">Nonlabor!$B$14</f>
        <v>TOOLS</v>
      </c>
    </row>
    <row r="530" customFormat="false" ht="15" hidden="false" customHeight="false" outlineLevel="0" collapsed="false">
      <c r="A530" s="6" t="s">
        <v>72</v>
      </c>
      <c r="B530" s="6" t="s">
        <v>399</v>
      </c>
      <c r="C530" s="6" t="n">
        <v>45</v>
      </c>
      <c r="D530" s="25" t="n">
        <f aca="false">EDATE('Start Here'!$B$6,C530-1)</f>
        <v>47665</v>
      </c>
      <c r="E530" s="23" t="n">
        <f aca="false">IF(AND(OR(Nonlabor!$D$14="Both",Nonlabor!$D$14='Start Here'!$B$9),IF(Nonlabor!$E$14="Core",1,IF(Nonlabor!$E$14="AI",'Start Here'!$B$7,'Start Here'!$B$8))=1,C530&gt;=IF(Nonlabor!$E$14="Core",Nonlabor!$F$14,MAX(Nonlabor!$F$14,IF(Nonlabor!$E$14="AI",Assumptions!$C$24,Assumptions!$C$25))),C530&lt;=Nonlabor!$G$14,OR(Nonlabor!$H$14="Monthly",AND(Nonlabor!$H$14="Once",C530=IF(Nonlabor!$E$14="Core",Nonlabor!$F$14,MAX(Nonlabor!$F$14,IF(Nonlabor!$E$14="AI",Assumptions!$C$24,Assumptions!$C$25)))),AND(Nonlabor!$H$14="Annual",MOD(C530-IF(Nonlabor!$E$14="Core",Nonlabor!$F$14,MAX(Nonlabor!$F$14,IF(Nonlabor!$E$14="AI",Assumptions!$C$24,Assumptions!$C$25))),12)=0))),IF(Nonlabor!$I$14="Fixed",1,IF(Nonlabor!$I$14="Seats",ROUNDUP('Monthly Lean'!I50,0),IF(Nonlabor!$I$14="Customers",'Monthly Lean'!D50,IF(Nonlabor!$I$14="NewCustomers",'Monthly Lean'!C50,IF(Nonlabor!$I$14="StorageGB",'Monthly Lean'!G50,IF(Nonlabor!$I$14="LogGB",'Monthly Lean'!H50,IF(Nonlabor!$I$14="RequestsM",'Monthly Lean'!F50,IF(Nonlabor!$I$14="InputM",'Monthly Lean'!D50*Assumptions!$C$22/1000000,IF(Nonlabor!$I$14="OutputM",'Monthly Lean'!D50*Assumptions!$C$23/1000000,0))))))))),0)</f>
        <v>7</v>
      </c>
      <c r="F530" s="10" t="n">
        <f aca="false">Nonlabor!$J$14*(1+Assumptions!$C$9)^INT((C530-1)/12)</f>
        <v>49.172715</v>
      </c>
      <c r="G530" s="10" t="n">
        <f aca="false">E530*F530</f>
        <v>344.209005</v>
      </c>
      <c r="H530" s="10" t="n">
        <f aca="false">IF(OR(Nonlabor!$L$14="Quote required",Nonlabor!$L$14="Unverified"),G530,0)</f>
        <v>0</v>
      </c>
      <c r="I530" s="10" t="n">
        <f aca="false">IF(Nonlabor!$E$14="Core",0,G530)</f>
        <v>0</v>
      </c>
      <c r="J530" s="23" t="str">
        <f aca="false">Nonlabor!$B$14</f>
        <v>TOOLS</v>
      </c>
    </row>
    <row r="531" customFormat="false" ht="15" hidden="false" customHeight="false" outlineLevel="0" collapsed="false">
      <c r="A531" s="6" t="s">
        <v>72</v>
      </c>
      <c r="B531" s="6" t="s">
        <v>399</v>
      </c>
      <c r="C531" s="6" t="n">
        <v>46</v>
      </c>
      <c r="D531" s="25" t="n">
        <f aca="false">EDATE('Start Here'!$B$6,C531-1)</f>
        <v>47696</v>
      </c>
      <c r="E531" s="23" t="n">
        <f aca="false">IF(AND(OR(Nonlabor!$D$14="Both",Nonlabor!$D$14='Start Here'!$B$9),IF(Nonlabor!$E$14="Core",1,IF(Nonlabor!$E$14="AI",'Start Here'!$B$7,'Start Here'!$B$8))=1,C531&gt;=IF(Nonlabor!$E$14="Core",Nonlabor!$F$14,MAX(Nonlabor!$F$14,IF(Nonlabor!$E$14="AI",Assumptions!$C$24,Assumptions!$C$25))),C531&lt;=Nonlabor!$G$14,OR(Nonlabor!$H$14="Monthly",AND(Nonlabor!$H$14="Once",C531=IF(Nonlabor!$E$14="Core",Nonlabor!$F$14,MAX(Nonlabor!$F$14,IF(Nonlabor!$E$14="AI",Assumptions!$C$24,Assumptions!$C$25)))),AND(Nonlabor!$H$14="Annual",MOD(C531-IF(Nonlabor!$E$14="Core",Nonlabor!$F$14,MAX(Nonlabor!$F$14,IF(Nonlabor!$E$14="AI",Assumptions!$C$24,Assumptions!$C$25))),12)=0))),IF(Nonlabor!$I$14="Fixed",1,IF(Nonlabor!$I$14="Seats",ROUNDUP('Monthly Lean'!I51,0),IF(Nonlabor!$I$14="Customers",'Monthly Lean'!D51,IF(Nonlabor!$I$14="NewCustomers",'Monthly Lean'!C51,IF(Nonlabor!$I$14="StorageGB",'Monthly Lean'!G51,IF(Nonlabor!$I$14="LogGB",'Monthly Lean'!H51,IF(Nonlabor!$I$14="RequestsM",'Monthly Lean'!F51,IF(Nonlabor!$I$14="InputM",'Monthly Lean'!D51*Assumptions!$C$22/1000000,IF(Nonlabor!$I$14="OutputM",'Monthly Lean'!D51*Assumptions!$C$23/1000000,0))))))))),0)</f>
        <v>7</v>
      </c>
      <c r="F531" s="10" t="n">
        <f aca="false">Nonlabor!$J$14*(1+Assumptions!$C$9)^INT((C531-1)/12)</f>
        <v>49.172715</v>
      </c>
      <c r="G531" s="10" t="n">
        <f aca="false">E531*F531</f>
        <v>344.209005</v>
      </c>
      <c r="H531" s="10" t="n">
        <f aca="false">IF(OR(Nonlabor!$L$14="Quote required",Nonlabor!$L$14="Unverified"),G531,0)</f>
        <v>0</v>
      </c>
      <c r="I531" s="10" t="n">
        <f aca="false">IF(Nonlabor!$E$14="Core",0,G531)</f>
        <v>0</v>
      </c>
      <c r="J531" s="23" t="str">
        <f aca="false">Nonlabor!$B$14</f>
        <v>TOOLS</v>
      </c>
    </row>
    <row r="532" customFormat="false" ht="15" hidden="false" customHeight="false" outlineLevel="0" collapsed="false">
      <c r="A532" s="6" t="s">
        <v>72</v>
      </c>
      <c r="B532" s="6" t="s">
        <v>399</v>
      </c>
      <c r="C532" s="6" t="n">
        <v>47</v>
      </c>
      <c r="D532" s="25" t="n">
        <f aca="false">EDATE('Start Here'!$B$6,C532-1)</f>
        <v>47727</v>
      </c>
      <c r="E532" s="23" t="n">
        <f aca="false">IF(AND(OR(Nonlabor!$D$14="Both",Nonlabor!$D$14='Start Here'!$B$9),IF(Nonlabor!$E$14="Core",1,IF(Nonlabor!$E$14="AI",'Start Here'!$B$7,'Start Here'!$B$8))=1,C532&gt;=IF(Nonlabor!$E$14="Core",Nonlabor!$F$14,MAX(Nonlabor!$F$14,IF(Nonlabor!$E$14="AI",Assumptions!$C$24,Assumptions!$C$25))),C532&lt;=Nonlabor!$G$14,OR(Nonlabor!$H$14="Monthly",AND(Nonlabor!$H$14="Once",C532=IF(Nonlabor!$E$14="Core",Nonlabor!$F$14,MAX(Nonlabor!$F$14,IF(Nonlabor!$E$14="AI",Assumptions!$C$24,Assumptions!$C$25)))),AND(Nonlabor!$H$14="Annual",MOD(C532-IF(Nonlabor!$E$14="Core",Nonlabor!$F$14,MAX(Nonlabor!$F$14,IF(Nonlabor!$E$14="AI",Assumptions!$C$24,Assumptions!$C$25))),12)=0))),IF(Nonlabor!$I$14="Fixed",1,IF(Nonlabor!$I$14="Seats",ROUNDUP('Monthly Lean'!I52,0),IF(Nonlabor!$I$14="Customers",'Monthly Lean'!D52,IF(Nonlabor!$I$14="NewCustomers",'Monthly Lean'!C52,IF(Nonlabor!$I$14="StorageGB",'Monthly Lean'!G52,IF(Nonlabor!$I$14="LogGB",'Monthly Lean'!H52,IF(Nonlabor!$I$14="RequestsM",'Monthly Lean'!F52,IF(Nonlabor!$I$14="InputM",'Monthly Lean'!D52*Assumptions!$C$22/1000000,IF(Nonlabor!$I$14="OutputM",'Monthly Lean'!D52*Assumptions!$C$23/1000000,0))))))))),0)</f>
        <v>7</v>
      </c>
      <c r="F532" s="10" t="n">
        <f aca="false">Nonlabor!$J$14*(1+Assumptions!$C$9)^INT((C532-1)/12)</f>
        <v>49.172715</v>
      </c>
      <c r="G532" s="10" t="n">
        <f aca="false">E532*F532</f>
        <v>344.209005</v>
      </c>
      <c r="H532" s="10" t="n">
        <f aca="false">IF(OR(Nonlabor!$L$14="Quote required",Nonlabor!$L$14="Unverified"),G532,0)</f>
        <v>0</v>
      </c>
      <c r="I532" s="10" t="n">
        <f aca="false">IF(Nonlabor!$E$14="Core",0,G532)</f>
        <v>0</v>
      </c>
      <c r="J532" s="23" t="str">
        <f aca="false">Nonlabor!$B$14</f>
        <v>TOOLS</v>
      </c>
    </row>
    <row r="533" customFormat="false" ht="15" hidden="false" customHeight="false" outlineLevel="0" collapsed="false">
      <c r="A533" s="6" t="s">
        <v>72</v>
      </c>
      <c r="B533" s="6" t="s">
        <v>399</v>
      </c>
      <c r="C533" s="6" t="n">
        <v>48</v>
      </c>
      <c r="D533" s="25" t="n">
        <f aca="false">EDATE('Start Here'!$B$6,C533-1)</f>
        <v>47757</v>
      </c>
      <c r="E533" s="23" t="n">
        <f aca="false">IF(AND(OR(Nonlabor!$D$14="Both",Nonlabor!$D$14='Start Here'!$B$9),IF(Nonlabor!$E$14="Core",1,IF(Nonlabor!$E$14="AI",'Start Here'!$B$7,'Start Here'!$B$8))=1,C533&gt;=IF(Nonlabor!$E$14="Core",Nonlabor!$F$14,MAX(Nonlabor!$F$14,IF(Nonlabor!$E$14="AI",Assumptions!$C$24,Assumptions!$C$25))),C533&lt;=Nonlabor!$G$14,OR(Nonlabor!$H$14="Monthly",AND(Nonlabor!$H$14="Once",C533=IF(Nonlabor!$E$14="Core",Nonlabor!$F$14,MAX(Nonlabor!$F$14,IF(Nonlabor!$E$14="AI",Assumptions!$C$24,Assumptions!$C$25)))),AND(Nonlabor!$H$14="Annual",MOD(C533-IF(Nonlabor!$E$14="Core",Nonlabor!$F$14,MAX(Nonlabor!$F$14,IF(Nonlabor!$E$14="AI",Assumptions!$C$24,Assumptions!$C$25))),12)=0))),IF(Nonlabor!$I$14="Fixed",1,IF(Nonlabor!$I$14="Seats",ROUNDUP('Monthly Lean'!I53,0),IF(Nonlabor!$I$14="Customers",'Monthly Lean'!D53,IF(Nonlabor!$I$14="NewCustomers",'Monthly Lean'!C53,IF(Nonlabor!$I$14="StorageGB",'Monthly Lean'!G53,IF(Nonlabor!$I$14="LogGB",'Monthly Lean'!H53,IF(Nonlabor!$I$14="RequestsM",'Monthly Lean'!F53,IF(Nonlabor!$I$14="InputM",'Monthly Lean'!D53*Assumptions!$C$22/1000000,IF(Nonlabor!$I$14="OutputM",'Monthly Lean'!D53*Assumptions!$C$23/1000000,0))))))))),0)</f>
        <v>7</v>
      </c>
      <c r="F533" s="10" t="n">
        <f aca="false">Nonlabor!$J$14*(1+Assumptions!$C$9)^INT((C533-1)/12)</f>
        <v>49.172715</v>
      </c>
      <c r="G533" s="10" t="n">
        <f aca="false">E533*F533</f>
        <v>344.209005</v>
      </c>
      <c r="H533" s="10" t="n">
        <f aca="false">IF(OR(Nonlabor!$L$14="Quote required",Nonlabor!$L$14="Unverified"),G533,0)</f>
        <v>0</v>
      </c>
      <c r="I533" s="10" t="n">
        <f aca="false">IF(Nonlabor!$E$14="Core",0,G533)</f>
        <v>0</v>
      </c>
      <c r="J533" s="23" t="str">
        <f aca="false">Nonlabor!$B$14</f>
        <v>TOOLS</v>
      </c>
    </row>
    <row r="534" customFormat="false" ht="15" hidden="false" customHeight="false" outlineLevel="0" collapsed="false">
      <c r="A534" s="6" t="s">
        <v>72</v>
      </c>
      <c r="B534" s="6" t="s">
        <v>399</v>
      </c>
      <c r="C534" s="6" t="n">
        <v>49</v>
      </c>
      <c r="D534" s="25" t="n">
        <f aca="false">EDATE('Start Here'!$B$6,C534-1)</f>
        <v>47788</v>
      </c>
      <c r="E534" s="23" t="n">
        <f aca="false">IF(AND(OR(Nonlabor!$D$14="Both",Nonlabor!$D$14='Start Here'!$B$9),IF(Nonlabor!$E$14="Core",1,IF(Nonlabor!$E$14="AI",'Start Here'!$B$7,'Start Here'!$B$8))=1,C534&gt;=IF(Nonlabor!$E$14="Core",Nonlabor!$F$14,MAX(Nonlabor!$F$14,IF(Nonlabor!$E$14="AI",Assumptions!$C$24,Assumptions!$C$25))),C534&lt;=Nonlabor!$G$14,OR(Nonlabor!$H$14="Monthly",AND(Nonlabor!$H$14="Once",C534=IF(Nonlabor!$E$14="Core",Nonlabor!$F$14,MAX(Nonlabor!$F$14,IF(Nonlabor!$E$14="AI",Assumptions!$C$24,Assumptions!$C$25)))),AND(Nonlabor!$H$14="Annual",MOD(C534-IF(Nonlabor!$E$14="Core",Nonlabor!$F$14,MAX(Nonlabor!$F$14,IF(Nonlabor!$E$14="AI",Assumptions!$C$24,Assumptions!$C$25))),12)=0))),IF(Nonlabor!$I$14="Fixed",1,IF(Nonlabor!$I$14="Seats",ROUNDUP('Monthly Lean'!I54,0),IF(Nonlabor!$I$14="Customers",'Monthly Lean'!D54,IF(Nonlabor!$I$14="NewCustomers",'Monthly Lean'!C54,IF(Nonlabor!$I$14="StorageGB",'Monthly Lean'!G54,IF(Nonlabor!$I$14="LogGB",'Monthly Lean'!H54,IF(Nonlabor!$I$14="RequestsM",'Monthly Lean'!F54,IF(Nonlabor!$I$14="InputM",'Monthly Lean'!D54*Assumptions!$C$22/1000000,IF(Nonlabor!$I$14="OutputM",'Monthly Lean'!D54*Assumptions!$C$23/1000000,0))))))))),0)</f>
        <v>7</v>
      </c>
      <c r="F534" s="10" t="n">
        <f aca="false">Nonlabor!$J$14*(1+Assumptions!$C$9)^INT((C534-1)/12)</f>
        <v>50.64789645</v>
      </c>
      <c r="G534" s="10" t="n">
        <f aca="false">E534*F534</f>
        <v>354.53527515</v>
      </c>
      <c r="H534" s="10" t="n">
        <f aca="false">IF(OR(Nonlabor!$L$14="Quote required",Nonlabor!$L$14="Unverified"),G534,0)</f>
        <v>0</v>
      </c>
      <c r="I534" s="10" t="n">
        <f aca="false">IF(Nonlabor!$E$14="Core",0,G534)</f>
        <v>0</v>
      </c>
      <c r="J534" s="23" t="str">
        <f aca="false">Nonlabor!$B$14</f>
        <v>TOOLS</v>
      </c>
    </row>
    <row r="535" customFormat="false" ht="15" hidden="false" customHeight="false" outlineLevel="0" collapsed="false">
      <c r="A535" s="6" t="s">
        <v>72</v>
      </c>
      <c r="B535" s="6" t="s">
        <v>399</v>
      </c>
      <c r="C535" s="6" t="n">
        <v>50</v>
      </c>
      <c r="D535" s="25" t="n">
        <f aca="false">EDATE('Start Here'!$B$6,C535-1)</f>
        <v>47818</v>
      </c>
      <c r="E535" s="23" t="n">
        <f aca="false">IF(AND(OR(Nonlabor!$D$14="Both",Nonlabor!$D$14='Start Here'!$B$9),IF(Nonlabor!$E$14="Core",1,IF(Nonlabor!$E$14="AI",'Start Here'!$B$7,'Start Here'!$B$8))=1,C535&gt;=IF(Nonlabor!$E$14="Core",Nonlabor!$F$14,MAX(Nonlabor!$F$14,IF(Nonlabor!$E$14="AI",Assumptions!$C$24,Assumptions!$C$25))),C535&lt;=Nonlabor!$G$14,OR(Nonlabor!$H$14="Monthly",AND(Nonlabor!$H$14="Once",C535=IF(Nonlabor!$E$14="Core",Nonlabor!$F$14,MAX(Nonlabor!$F$14,IF(Nonlabor!$E$14="AI",Assumptions!$C$24,Assumptions!$C$25)))),AND(Nonlabor!$H$14="Annual",MOD(C535-IF(Nonlabor!$E$14="Core",Nonlabor!$F$14,MAX(Nonlabor!$F$14,IF(Nonlabor!$E$14="AI",Assumptions!$C$24,Assumptions!$C$25))),12)=0))),IF(Nonlabor!$I$14="Fixed",1,IF(Nonlabor!$I$14="Seats",ROUNDUP('Monthly Lean'!I55,0),IF(Nonlabor!$I$14="Customers",'Monthly Lean'!D55,IF(Nonlabor!$I$14="NewCustomers",'Monthly Lean'!C55,IF(Nonlabor!$I$14="StorageGB",'Monthly Lean'!G55,IF(Nonlabor!$I$14="LogGB",'Monthly Lean'!H55,IF(Nonlabor!$I$14="RequestsM",'Monthly Lean'!F55,IF(Nonlabor!$I$14="InputM",'Monthly Lean'!D55*Assumptions!$C$22/1000000,IF(Nonlabor!$I$14="OutputM",'Monthly Lean'!D55*Assumptions!$C$23/1000000,0))))))))),0)</f>
        <v>7</v>
      </c>
      <c r="F535" s="10" t="n">
        <f aca="false">Nonlabor!$J$14*(1+Assumptions!$C$9)^INT((C535-1)/12)</f>
        <v>50.64789645</v>
      </c>
      <c r="G535" s="10" t="n">
        <f aca="false">E535*F535</f>
        <v>354.53527515</v>
      </c>
      <c r="H535" s="10" t="n">
        <f aca="false">IF(OR(Nonlabor!$L$14="Quote required",Nonlabor!$L$14="Unverified"),G535,0)</f>
        <v>0</v>
      </c>
      <c r="I535" s="10" t="n">
        <f aca="false">IF(Nonlabor!$E$14="Core",0,G535)</f>
        <v>0</v>
      </c>
      <c r="J535" s="23" t="str">
        <f aca="false">Nonlabor!$B$14</f>
        <v>TOOLS</v>
      </c>
    </row>
    <row r="536" customFormat="false" ht="15" hidden="false" customHeight="false" outlineLevel="0" collapsed="false">
      <c r="A536" s="6" t="s">
        <v>72</v>
      </c>
      <c r="B536" s="6" t="s">
        <v>399</v>
      </c>
      <c r="C536" s="6" t="n">
        <v>51</v>
      </c>
      <c r="D536" s="25" t="n">
        <f aca="false">EDATE('Start Here'!$B$6,C536-1)</f>
        <v>47849</v>
      </c>
      <c r="E536" s="23" t="n">
        <f aca="false">IF(AND(OR(Nonlabor!$D$14="Both",Nonlabor!$D$14='Start Here'!$B$9),IF(Nonlabor!$E$14="Core",1,IF(Nonlabor!$E$14="AI",'Start Here'!$B$7,'Start Here'!$B$8))=1,C536&gt;=IF(Nonlabor!$E$14="Core",Nonlabor!$F$14,MAX(Nonlabor!$F$14,IF(Nonlabor!$E$14="AI",Assumptions!$C$24,Assumptions!$C$25))),C536&lt;=Nonlabor!$G$14,OR(Nonlabor!$H$14="Monthly",AND(Nonlabor!$H$14="Once",C536=IF(Nonlabor!$E$14="Core",Nonlabor!$F$14,MAX(Nonlabor!$F$14,IF(Nonlabor!$E$14="AI",Assumptions!$C$24,Assumptions!$C$25)))),AND(Nonlabor!$H$14="Annual",MOD(C536-IF(Nonlabor!$E$14="Core",Nonlabor!$F$14,MAX(Nonlabor!$F$14,IF(Nonlabor!$E$14="AI",Assumptions!$C$24,Assumptions!$C$25))),12)=0))),IF(Nonlabor!$I$14="Fixed",1,IF(Nonlabor!$I$14="Seats",ROUNDUP('Monthly Lean'!I56,0),IF(Nonlabor!$I$14="Customers",'Monthly Lean'!D56,IF(Nonlabor!$I$14="NewCustomers",'Monthly Lean'!C56,IF(Nonlabor!$I$14="StorageGB",'Monthly Lean'!G56,IF(Nonlabor!$I$14="LogGB",'Monthly Lean'!H56,IF(Nonlabor!$I$14="RequestsM",'Monthly Lean'!F56,IF(Nonlabor!$I$14="InputM",'Monthly Lean'!D56*Assumptions!$C$22/1000000,IF(Nonlabor!$I$14="OutputM",'Monthly Lean'!D56*Assumptions!$C$23/1000000,0))))))))),0)</f>
        <v>7</v>
      </c>
      <c r="F536" s="10" t="n">
        <f aca="false">Nonlabor!$J$14*(1+Assumptions!$C$9)^INT((C536-1)/12)</f>
        <v>50.64789645</v>
      </c>
      <c r="G536" s="10" t="n">
        <f aca="false">E536*F536</f>
        <v>354.53527515</v>
      </c>
      <c r="H536" s="10" t="n">
        <f aca="false">IF(OR(Nonlabor!$L$14="Quote required",Nonlabor!$L$14="Unverified"),G536,0)</f>
        <v>0</v>
      </c>
      <c r="I536" s="10" t="n">
        <f aca="false">IF(Nonlabor!$E$14="Core",0,G536)</f>
        <v>0</v>
      </c>
      <c r="J536" s="23" t="str">
        <f aca="false">Nonlabor!$B$14</f>
        <v>TOOLS</v>
      </c>
    </row>
    <row r="537" customFormat="false" ht="15" hidden="false" customHeight="false" outlineLevel="0" collapsed="false">
      <c r="A537" s="6" t="s">
        <v>72</v>
      </c>
      <c r="B537" s="6" t="s">
        <v>399</v>
      </c>
      <c r="C537" s="6" t="n">
        <v>52</v>
      </c>
      <c r="D537" s="25" t="n">
        <f aca="false">EDATE('Start Here'!$B$6,C537-1)</f>
        <v>47880</v>
      </c>
      <c r="E537" s="23" t="n">
        <f aca="false">IF(AND(OR(Nonlabor!$D$14="Both",Nonlabor!$D$14='Start Here'!$B$9),IF(Nonlabor!$E$14="Core",1,IF(Nonlabor!$E$14="AI",'Start Here'!$B$7,'Start Here'!$B$8))=1,C537&gt;=IF(Nonlabor!$E$14="Core",Nonlabor!$F$14,MAX(Nonlabor!$F$14,IF(Nonlabor!$E$14="AI",Assumptions!$C$24,Assumptions!$C$25))),C537&lt;=Nonlabor!$G$14,OR(Nonlabor!$H$14="Monthly",AND(Nonlabor!$H$14="Once",C537=IF(Nonlabor!$E$14="Core",Nonlabor!$F$14,MAX(Nonlabor!$F$14,IF(Nonlabor!$E$14="AI",Assumptions!$C$24,Assumptions!$C$25)))),AND(Nonlabor!$H$14="Annual",MOD(C537-IF(Nonlabor!$E$14="Core",Nonlabor!$F$14,MAX(Nonlabor!$F$14,IF(Nonlabor!$E$14="AI",Assumptions!$C$24,Assumptions!$C$25))),12)=0))),IF(Nonlabor!$I$14="Fixed",1,IF(Nonlabor!$I$14="Seats",ROUNDUP('Monthly Lean'!I57,0),IF(Nonlabor!$I$14="Customers",'Monthly Lean'!D57,IF(Nonlabor!$I$14="NewCustomers",'Monthly Lean'!C57,IF(Nonlabor!$I$14="StorageGB",'Monthly Lean'!G57,IF(Nonlabor!$I$14="LogGB",'Monthly Lean'!H57,IF(Nonlabor!$I$14="RequestsM",'Monthly Lean'!F57,IF(Nonlabor!$I$14="InputM",'Monthly Lean'!D57*Assumptions!$C$22/1000000,IF(Nonlabor!$I$14="OutputM",'Monthly Lean'!D57*Assumptions!$C$23/1000000,0))))))))),0)</f>
        <v>7</v>
      </c>
      <c r="F537" s="10" t="n">
        <f aca="false">Nonlabor!$J$14*(1+Assumptions!$C$9)^INT((C537-1)/12)</f>
        <v>50.64789645</v>
      </c>
      <c r="G537" s="10" t="n">
        <f aca="false">E537*F537</f>
        <v>354.53527515</v>
      </c>
      <c r="H537" s="10" t="n">
        <f aca="false">IF(OR(Nonlabor!$L$14="Quote required",Nonlabor!$L$14="Unverified"),G537,0)</f>
        <v>0</v>
      </c>
      <c r="I537" s="10" t="n">
        <f aca="false">IF(Nonlabor!$E$14="Core",0,G537)</f>
        <v>0</v>
      </c>
      <c r="J537" s="23" t="str">
        <f aca="false">Nonlabor!$B$14</f>
        <v>TOOLS</v>
      </c>
    </row>
    <row r="538" customFormat="false" ht="15" hidden="false" customHeight="false" outlineLevel="0" collapsed="false">
      <c r="A538" s="6" t="s">
        <v>72</v>
      </c>
      <c r="B538" s="6" t="s">
        <v>399</v>
      </c>
      <c r="C538" s="6" t="n">
        <v>53</v>
      </c>
      <c r="D538" s="25" t="n">
        <f aca="false">EDATE('Start Here'!$B$6,C538-1)</f>
        <v>47908</v>
      </c>
      <c r="E538" s="23" t="n">
        <f aca="false">IF(AND(OR(Nonlabor!$D$14="Both",Nonlabor!$D$14='Start Here'!$B$9),IF(Nonlabor!$E$14="Core",1,IF(Nonlabor!$E$14="AI",'Start Here'!$B$7,'Start Here'!$B$8))=1,C538&gt;=IF(Nonlabor!$E$14="Core",Nonlabor!$F$14,MAX(Nonlabor!$F$14,IF(Nonlabor!$E$14="AI",Assumptions!$C$24,Assumptions!$C$25))),C538&lt;=Nonlabor!$G$14,OR(Nonlabor!$H$14="Monthly",AND(Nonlabor!$H$14="Once",C538=IF(Nonlabor!$E$14="Core",Nonlabor!$F$14,MAX(Nonlabor!$F$14,IF(Nonlabor!$E$14="AI",Assumptions!$C$24,Assumptions!$C$25)))),AND(Nonlabor!$H$14="Annual",MOD(C538-IF(Nonlabor!$E$14="Core",Nonlabor!$F$14,MAX(Nonlabor!$F$14,IF(Nonlabor!$E$14="AI",Assumptions!$C$24,Assumptions!$C$25))),12)=0))),IF(Nonlabor!$I$14="Fixed",1,IF(Nonlabor!$I$14="Seats",ROUNDUP('Monthly Lean'!I58,0),IF(Nonlabor!$I$14="Customers",'Monthly Lean'!D58,IF(Nonlabor!$I$14="NewCustomers",'Monthly Lean'!C58,IF(Nonlabor!$I$14="StorageGB",'Monthly Lean'!G58,IF(Nonlabor!$I$14="LogGB",'Monthly Lean'!H58,IF(Nonlabor!$I$14="RequestsM",'Monthly Lean'!F58,IF(Nonlabor!$I$14="InputM",'Monthly Lean'!D58*Assumptions!$C$22/1000000,IF(Nonlabor!$I$14="OutputM",'Monthly Lean'!D58*Assumptions!$C$23/1000000,0))))))))),0)</f>
        <v>7</v>
      </c>
      <c r="F538" s="10" t="n">
        <f aca="false">Nonlabor!$J$14*(1+Assumptions!$C$9)^INT((C538-1)/12)</f>
        <v>50.64789645</v>
      </c>
      <c r="G538" s="10" t="n">
        <f aca="false">E538*F538</f>
        <v>354.53527515</v>
      </c>
      <c r="H538" s="10" t="n">
        <f aca="false">IF(OR(Nonlabor!$L$14="Quote required",Nonlabor!$L$14="Unverified"),G538,0)</f>
        <v>0</v>
      </c>
      <c r="I538" s="10" t="n">
        <f aca="false">IF(Nonlabor!$E$14="Core",0,G538)</f>
        <v>0</v>
      </c>
      <c r="J538" s="23" t="str">
        <f aca="false">Nonlabor!$B$14</f>
        <v>TOOLS</v>
      </c>
    </row>
    <row r="539" customFormat="false" ht="15" hidden="false" customHeight="false" outlineLevel="0" collapsed="false">
      <c r="A539" s="6" t="s">
        <v>72</v>
      </c>
      <c r="B539" s="6" t="s">
        <v>399</v>
      </c>
      <c r="C539" s="6" t="n">
        <v>54</v>
      </c>
      <c r="D539" s="25" t="n">
        <f aca="false">EDATE('Start Here'!$B$6,C539-1)</f>
        <v>47939</v>
      </c>
      <c r="E539" s="23" t="n">
        <f aca="false">IF(AND(OR(Nonlabor!$D$14="Both",Nonlabor!$D$14='Start Here'!$B$9),IF(Nonlabor!$E$14="Core",1,IF(Nonlabor!$E$14="AI",'Start Here'!$B$7,'Start Here'!$B$8))=1,C539&gt;=IF(Nonlabor!$E$14="Core",Nonlabor!$F$14,MAX(Nonlabor!$F$14,IF(Nonlabor!$E$14="AI",Assumptions!$C$24,Assumptions!$C$25))),C539&lt;=Nonlabor!$G$14,OR(Nonlabor!$H$14="Monthly",AND(Nonlabor!$H$14="Once",C539=IF(Nonlabor!$E$14="Core",Nonlabor!$F$14,MAX(Nonlabor!$F$14,IF(Nonlabor!$E$14="AI",Assumptions!$C$24,Assumptions!$C$25)))),AND(Nonlabor!$H$14="Annual",MOD(C539-IF(Nonlabor!$E$14="Core",Nonlabor!$F$14,MAX(Nonlabor!$F$14,IF(Nonlabor!$E$14="AI",Assumptions!$C$24,Assumptions!$C$25))),12)=0))),IF(Nonlabor!$I$14="Fixed",1,IF(Nonlabor!$I$14="Seats",ROUNDUP('Monthly Lean'!I59,0),IF(Nonlabor!$I$14="Customers",'Monthly Lean'!D59,IF(Nonlabor!$I$14="NewCustomers",'Monthly Lean'!C59,IF(Nonlabor!$I$14="StorageGB",'Monthly Lean'!G59,IF(Nonlabor!$I$14="LogGB",'Monthly Lean'!H59,IF(Nonlabor!$I$14="RequestsM",'Monthly Lean'!F59,IF(Nonlabor!$I$14="InputM",'Monthly Lean'!D59*Assumptions!$C$22/1000000,IF(Nonlabor!$I$14="OutputM",'Monthly Lean'!D59*Assumptions!$C$23/1000000,0))))))))),0)</f>
        <v>7</v>
      </c>
      <c r="F539" s="10" t="n">
        <f aca="false">Nonlabor!$J$14*(1+Assumptions!$C$9)^INT((C539-1)/12)</f>
        <v>50.64789645</v>
      </c>
      <c r="G539" s="10" t="n">
        <f aca="false">E539*F539</f>
        <v>354.53527515</v>
      </c>
      <c r="H539" s="10" t="n">
        <f aca="false">IF(OR(Nonlabor!$L$14="Quote required",Nonlabor!$L$14="Unverified"),G539,0)</f>
        <v>0</v>
      </c>
      <c r="I539" s="10" t="n">
        <f aca="false">IF(Nonlabor!$E$14="Core",0,G539)</f>
        <v>0</v>
      </c>
      <c r="J539" s="23" t="str">
        <f aca="false">Nonlabor!$B$14</f>
        <v>TOOLS</v>
      </c>
    </row>
    <row r="540" customFormat="false" ht="15" hidden="false" customHeight="false" outlineLevel="0" collapsed="false">
      <c r="A540" s="6" t="s">
        <v>72</v>
      </c>
      <c r="B540" s="6" t="s">
        <v>399</v>
      </c>
      <c r="C540" s="6" t="n">
        <v>55</v>
      </c>
      <c r="D540" s="25" t="n">
        <f aca="false">EDATE('Start Here'!$B$6,C540-1)</f>
        <v>47969</v>
      </c>
      <c r="E540" s="23" t="n">
        <f aca="false">IF(AND(OR(Nonlabor!$D$14="Both",Nonlabor!$D$14='Start Here'!$B$9),IF(Nonlabor!$E$14="Core",1,IF(Nonlabor!$E$14="AI",'Start Here'!$B$7,'Start Here'!$B$8))=1,C540&gt;=IF(Nonlabor!$E$14="Core",Nonlabor!$F$14,MAX(Nonlabor!$F$14,IF(Nonlabor!$E$14="AI",Assumptions!$C$24,Assumptions!$C$25))),C540&lt;=Nonlabor!$G$14,OR(Nonlabor!$H$14="Monthly",AND(Nonlabor!$H$14="Once",C540=IF(Nonlabor!$E$14="Core",Nonlabor!$F$14,MAX(Nonlabor!$F$14,IF(Nonlabor!$E$14="AI",Assumptions!$C$24,Assumptions!$C$25)))),AND(Nonlabor!$H$14="Annual",MOD(C540-IF(Nonlabor!$E$14="Core",Nonlabor!$F$14,MAX(Nonlabor!$F$14,IF(Nonlabor!$E$14="AI",Assumptions!$C$24,Assumptions!$C$25))),12)=0))),IF(Nonlabor!$I$14="Fixed",1,IF(Nonlabor!$I$14="Seats",ROUNDUP('Monthly Lean'!I60,0),IF(Nonlabor!$I$14="Customers",'Monthly Lean'!D60,IF(Nonlabor!$I$14="NewCustomers",'Monthly Lean'!C60,IF(Nonlabor!$I$14="StorageGB",'Monthly Lean'!G60,IF(Nonlabor!$I$14="LogGB",'Monthly Lean'!H60,IF(Nonlabor!$I$14="RequestsM",'Monthly Lean'!F60,IF(Nonlabor!$I$14="InputM",'Monthly Lean'!D60*Assumptions!$C$22/1000000,IF(Nonlabor!$I$14="OutputM",'Monthly Lean'!D60*Assumptions!$C$23/1000000,0))))))))),0)</f>
        <v>7</v>
      </c>
      <c r="F540" s="10" t="n">
        <f aca="false">Nonlabor!$J$14*(1+Assumptions!$C$9)^INT((C540-1)/12)</f>
        <v>50.64789645</v>
      </c>
      <c r="G540" s="10" t="n">
        <f aca="false">E540*F540</f>
        <v>354.53527515</v>
      </c>
      <c r="H540" s="10" t="n">
        <f aca="false">IF(OR(Nonlabor!$L$14="Quote required",Nonlabor!$L$14="Unverified"),G540,0)</f>
        <v>0</v>
      </c>
      <c r="I540" s="10" t="n">
        <f aca="false">IF(Nonlabor!$E$14="Core",0,G540)</f>
        <v>0</v>
      </c>
      <c r="J540" s="23" t="str">
        <f aca="false">Nonlabor!$B$14</f>
        <v>TOOLS</v>
      </c>
    </row>
    <row r="541" customFormat="false" ht="15" hidden="false" customHeight="false" outlineLevel="0" collapsed="false">
      <c r="A541" s="6" t="s">
        <v>72</v>
      </c>
      <c r="B541" s="6" t="s">
        <v>399</v>
      </c>
      <c r="C541" s="6" t="n">
        <v>56</v>
      </c>
      <c r="D541" s="25" t="n">
        <f aca="false">EDATE('Start Here'!$B$6,C541-1)</f>
        <v>48000</v>
      </c>
      <c r="E541" s="23" t="n">
        <f aca="false">IF(AND(OR(Nonlabor!$D$14="Both",Nonlabor!$D$14='Start Here'!$B$9),IF(Nonlabor!$E$14="Core",1,IF(Nonlabor!$E$14="AI",'Start Here'!$B$7,'Start Here'!$B$8))=1,C541&gt;=IF(Nonlabor!$E$14="Core",Nonlabor!$F$14,MAX(Nonlabor!$F$14,IF(Nonlabor!$E$14="AI",Assumptions!$C$24,Assumptions!$C$25))),C541&lt;=Nonlabor!$G$14,OR(Nonlabor!$H$14="Monthly",AND(Nonlabor!$H$14="Once",C541=IF(Nonlabor!$E$14="Core",Nonlabor!$F$14,MAX(Nonlabor!$F$14,IF(Nonlabor!$E$14="AI",Assumptions!$C$24,Assumptions!$C$25)))),AND(Nonlabor!$H$14="Annual",MOD(C541-IF(Nonlabor!$E$14="Core",Nonlabor!$F$14,MAX(Nonlabor!$F$14,IF(Nonlabor!$E$14="AI",Assumptions!$C$24,Assumptions!$C$25))),12)=0))),IF(Nonlabor!$I$14="Fixed",1,IF(Nonlabor!$I$14="Seats",ROUNDUP('Monthly Lean'!I61,0),IF(Nonlabor!$I$14="Customers",'Monthly Lean'!D61,IF(Nonlabor!$I$14="NewCustomers",'Monthly Lean'!C61,IF(Nonlabor!$I$14="StorageGB",'Monthly Lean'!G61,IF(Nonlabor!$I$14="LogGB",'Monthly Lean'!H61,IF(Nonlabor!$I$14="RequestsM",'Monthly Lean'!F61,IF(Nonlabor!$I$14="InputM",'Monthly Lean'!D61*Assumptions!$C$22/1000000,IF(Nonlabor!$I$14="OutputM",'Monthly Lean'!D61*Assumptions!$C$23/1000000,0))))))))),0)</f>
        <v>7</v>
      </c>
      <c r="F541" s="10" t="n">
        <f aca="false">Nonlabor!$J$14*(1+Assumptions!$C$9)^INT((C541-1)/12)</f>
        <v>50.64789645</v>
      </c>
      <c r="G541" s="10" t="n">
        <f aca="false">E541*F541</f>
        <v>354.53527515</v>
      </c>
      <c r="H541" s="10" t="n">
        <f aca="false">IF(OR(Nonlabor!$L$14="Quote required",Nonlabor!$L$14="Unverified"),G541,0)</f>
        <v>0</v>
      </c>
      <c r="I541" s="10" t="n">
        <f aca="false">IF(Nonlabor!$E$14="Core",0,G541)</f>
        <v>0</v>
      </c>
      <c r="J541" s="23" t="str">
        <f aca="false">Nonlabor!$B$14</f>
        <v>TOOLS</v>
      </c>
    </row>
    <row r="542" customFormat="false" ht="15" hidden="false" customHeight="false" outlineLevel="0" collapsed="false">
      <c r="A542" s="6" t="s">
        <v>72</v>
      </c>
      <c r="B542" s="6" t="s">
        <v>399</v>
      </c>
      <c r="C542" s="6" t="n">
        <v>57</v>
      </c>
      <c r="D542" s="25" t="n">
        <f aca="false">EDATE('Start Here'!$B$6,C542-1)</f>
        <v>48030</v>
      </c>
      <c r="E542" s="23" t="n">
        <f aca="false">IF(AND(OR(Nonlabor!$D$14="Both",Nonlabor!$D$14='Start Here'!$B$9),IF(Nonlabor!$E$14="Core",1,IF(Nonlabor!$E$14="AI",'Start Here'!$B$7,'Start Here'!$B$8))=1,C542&gt;=IF(Nonlabor!$E$14="Core",Nonlabor!$F$14,MAX(Nonlabor!$F$14,IF(Nonlabor!$E$14="AI",Assumptions!$C$24,Assumptions!$C$25))),C542&lt;=Nonlabor!$G$14,OR(Nonlabor!$H$14="Monthly",AND(Nonlabor!$H$14="Once",C542=IF(Nonlabor!$E$14="Core",Nonlabor!$F$14,MAX(Nonlabor!$F$14,IF(Nonlabor!$E$14="AI",Assumptions!$C$24,Assumptions!$C$25)))),AND(Nonlabor!$H$14="Annual",MOD(C542-IF(Nonlabor!$E$14="Core",Nonlabor!$F$14,MAX(Nonlabor!$F$14,IF(Nonlabor!$E$14="AI",Assumptions!$C$24,Assumptions!$C$25))),12)=0))),IF(Nonlabor!$I$14="Fixed",1,IF(Nonlabor!$I$14="Seats",ROUNDUP('Monthly Lean'!I62,0),IF(Nonlabor!$I$14="Customers",'Monthly Lean'!D62,IF(Nonlabor!$I$14="NewCustomers",'Monthly Lean'!C62,IF(Nonlabor!$I$14="StorageGB",'Monthly Lean'!G62,IF(Nonlabor!$I$14="LogGB",'Monthly Lean'!H62,IF(Nonlabor!$I$14="RequestsM",'Monthly Lean'!F62,IF(Nonlabor!$I$14="InputM",'Monthly Lean'!D62*Assumptions!$C$22/1000000,IF(Nonlabor!$I$14="OutputM",'Monthly Lean'!D62*Assumptions!$C$23/1000000,0))))))))),0)</f>
        <v>7</v>
      </c>
      <c r="F542" s="10" t="n">
        <f aca="false">Nonlabor!$J$14*(1+Assumptions!$C$9)^INT((C542-1)/12)</f>
        <v>50.64789645</v>
      </c>
      <c r="G542" s="10" t="n">
        <f aca="false">E542*F542</f>
        <v>354.53527515</v>
      </c>
      <c r="H542" s="10" t="n">
        <f aca="false">IF(OR(Nonlabor!$L$14="Quote required",Nonlabor!$L$14="Unverified"),G542,0)</f>
        <v>0</v>
      </c>
      <c r="I542" s="10" t="n">
        <f aca="false">IF(Nonlabor!$E$14="Core",0,G542)</f>
        <v>0</v>
      </c>
      <c r="J542" s="23" t="str">
        <f aca="false">Nonlabor!$B$14</f>
        <v>TOOLS</v>
      </c>
    </row>
    <row r="543" customFormat="false" ht="15" hidden="false" customHeight="false" outlineLevel="0" collapsed="false">
      <c r="A543" s="6" t="s">
        <v>72</v>
      </c>
      <c r="B543" s="6" t="s">
        <v>399</v>
      </c>
      <c r="C543" s="6" t="n">
        <v>58</v>
      </c>
      <c r="D543" s="25" t="n">
        <f aca="false">EDATE('Start Here'!$B$6,C543-1)</f>
        <v>48061</v>
      </c>
      <c r="E543" s="23" t="n">
        <f aca="false">IF(AND(OR(Nonlabor!$D$14="Both",Nonlabor!$D$14='Start Here'!$B$9),IF(Nonlabor!$E$14="Core",1,IF(Nonlabor!$E$14="AI",'Start Here'!$B$7,'Start Here'!$B$8))=1,C543&gt;=IF(Nonlabor!$E$14="Core",Nonlabor!$F$14,MAX(Nonlabor!$F$14,IF(Nonlabor!$E$14="AI",Assumptions!$C$24,Assumptions!$C$25))),C543&lt;=Nonlabor!$G$14,OR(Nonlabor!$H$14="Monthly",AND(Nonlabor!$H$14="Once",C543=IF(Nonlabor!$E$14="Core",Nonlabor!$F$14,MAX(Nonlabor!$F$14,IF(Nonlabor!$E$14="AI",Assumptions!$C$24,Assumptions!$C$25)))),AND(Nonlabor!$H$14="Annual",MOD(C543-IF(Nonlabor!$E$14="Core",Nonlabor!$F$14,MAX(Nonlabor!$F$14,IF(Nonlabor!$E$14="AI",Assumptions!$C$24,Assumptions!$C$25))),12)=0))),IF(Nonlabor!$I$14="Fixed",1,IF(Nonlabor!$I$14="Seats",ROUNDUP('Monthly Lean'!I63,0),IF(Nonlabor!$I$14="Customers",'Monthly Lean'!D63,IF(Nonlabor!$I$14="NewCustomers",'Monthly Lean'!C63,IF(Nonlabor!$I$14="StorageGB",'Monthly Lean'!G63,IF(Nonlabor!$I$14="LogGB",'Monthly Lean'!H63,IF(Nonlabor!$I$14="RequestsM",'Monthly Lean'!F63,IF(Nonlabor!$I$14="InputM",'Monthly Lean'!D63*Assumptions!$C$22/1000000,IF(Nonlabor!$I$14="OutputM",'Monthly Lean'!D63*Assumptions!$C$23/1000000,0))))))))),0)</f>
        <v>7</v>
      </c>
      <c r="F543" s="10" t="n">
        <f aca="false">Nonlabor!$J$14*(1+Assumptions!$C$9)^INT((C543-1)/12)</f>
        <v>50.64789645</v>
      </c>
      <c r="G543" s="10" t="n">
        <f aca="false">E543*F543</f>
        <v>354.53527515</v>
      </c>
      <c r="H543" s="10" t="n">
        <f aca="false">IF(OR(Nonlabor!$L$14="Quote required",Nonlabor!$L$14="Unverified"),G543,0)</f>
        <v>0</v>
      </c>
      <c r="I543" s="10" t="n">
        <f aca="false">IF(Nonlabor!$E$14="Core",0,G543)</f>
        <v>0</v>
      </c>
      <c r="J543" s="23" t="str">
        <f aca="false">Nonlabor!$B$14</f>
        <v>TOOLS</v>
      </c>
    </row>
    <row r="544" customFormat="false" ht="15" hidden="false" customHeight="false" outlineLevel="0" collapsed="false">
      <c r="A544" s="6" t="s">
        <v>72</v>
      </c>
      <c r="B544" s="6" t="s">
        <v>399</v>
      </c>
      <c r="C544" s="6" t="n">
        <v>59</v>
      </c>
      <c r="D544" s="25" t="n">
        <f aca="false">EDATE('Start Here'!$B$6,C544-1)</f>
        <v>48092</v>
      </c>
      <c r="E544" s="23" t="n">
        <f aca="false">IF(AND(OR(Nonlabor!$D$14="Both",Nonlabor!$D$14='Start Here'!$B$9),IF(Nonlabor!$E$14="Core",1,IF(Nonlabor!$E$14="AI",'Start Here'!$B$7,'Start Here'!$B$8))=1,C544&gt;=IF(Nonlabor!$E$14="Core",Nonlabor!$F$14,MAX(Nonlabor!$F$14,IF(Nonlabor!$E$14="AI",Assumptions!$C$24,Assumptions!$C$25))),C544&lt;=Nonlabor!$G$14,OR(Nonlabor!$H$14="Monthly",AND(Nonlabor!$H$14="Once",C544=IF(Nonlabor!$E$14="Core",Nonlabor!$F$14,MAX(Nonlabor!$F$14,IF(Nonlabor!$E$14="AI",Assumptions!$C$24,Assumptions!$C$25)))),AND(Nonlabor!$H$14="Annual",MOD(C544-IF(Nonlabor!$E$14="Core",Nonlabor!$F$14,MAX(Nonlabor!$F$14,IF(Nonlabor!$E$14="AI",Assumptions!$C$24,Assumptions!$C$25))),12)=0))),IF(Nonlabor!$I$14="Fixed",1,IF(Nonlabor!$I$14="Seats",ROUNDUP('Monthly Lean'!I64,0),IF(Nonlabor!$I$14="Customers",'Monthly Lean'!D64,IF(Nonlabor!$I$14="NewCustomers",'Monthly Lean'!C64,IF(Nonlabor!$I$14="StorageGB",'Monthly Lean'!G64,IF(Nonlabor!$I$14="LogGB",'Monthly Lean'!H64,IF(Nonlabor!$I$14="RequestsM",'Monthly Lean'!F64,IF(Nonlabor!$I$14="InputM",'Monthly Lean'!D64*Assumptions!$C$22/1000000,IF(Nonlabor!$I$14="OutputM",'Monthly Lean'!D64*Assumptions!$C$23/1000000,0))))))))),0)</f>
        <v>7</v>
      </c>
      <c r="F544" s="10" t="n">
        <f aca="false">Nonlabor!$J$14*(1+Assumptions!$C$9)^INT((C544-1)/12)</f>
        <v>50.64789645</v>
      </c>
      <c r="G544" s="10" t="n">
        <f aca="false">E544*F544</f>
        <v>354.53527515</v>
      </c>
      <c r="H544" s="10" t="n">
        <f aca="false">IF(OR(Nonlabor!$L$14="Quote required",Nonlabor!$L$14="Unverified"),G544,0)</f>
        <v>0</v>
      </c>
      <c r="I544" s="10" t="n">
        <f aca="false">IF(Nonlabor!$E$14="Core",0,G544)</f>
        <v>0</v>
      </c>
      <c r="J544" s="23" t="str">
        <f aca="false">Nonlabor!$B$14</f>
        <v>TOOLS</v>
      </c>
    </row>
    <row r="545" customFormat="false" ht="15" hidden="false" customHeight="false" outlineLevel="0" collapsed="false">
      <c r="A545" s="6" t="s">
        <v>72</v>
      </c>
      <c r="B545" s="6" t="s">
        <v>399</v>
      </c>
      <c r="C545" s="6" t="n">
        <v>60</v>
      </c>
      <c r="D545" s="25" t="n">
        <f aca="false">EDATE('Start Here'!$B$6,C545-1)</f>
        <v>48122</v>
      </c>
      <c r="E545" s="23" t="n">
        <f aca="false">IF(AND(OR(Nonlabor!$D$14="Both",Nonlabor!$D$14='Start Here'!$B$9),IF(Nonlabor!$E$14="Core",1,IF(Nonlabor!$E$14="AI",'Start Here'!$B$7,'Start Here'!$B$8))=1,C545&gt;=IF(Nonlabor!$E$14="Core",Nonlabor!$F$14,MAX(Nonlabor!$F$14,IF(Nonlabor!$E$14="AI",Assumptions!$C$24,Assumptions!$C$25))),C545&lt;=Nonlabor!$G$14,OR(Nonlabor!$H$14="Monthly",AND(Nonlabor!$H$14="Once",C545=IF(Nonlabor!$E$14="Core",Nonlabor!$F$14,MAX(Nonlabor!$F$14,IF(Nonlabor!$E$14="AI",Assumptions!$C$24,Assumptions!$C$25)))),AND(Nonlabor!$H$14="Annual",MOD(C545-IF(Nonlabor!$E$14="Core",Nonlabor!$F$14,MAX(Nonlabor!$F$14,IF(Nonlabor!$E$14="AI",Assumptions!$C$24,Assumptions!$C$25))),12)=0))),IF(Nonlabor!$I$14="Fixed",1,IF(Nonlabor!$I$14="Seats",ROUNDUP('Monthly Lean'!I65,0),IF(Nonlabor!$I$14="Customers",'Monthly Lean'!D65,IF(Nonlabor!$I$14="NewCustomers",'Monthly Lean'!C65,IF(Nonlabor!$I$14="StorageGB",'Monthly Lean'!G65,IF(Nonlabor!$I$14="LogGB",'Monthly Lean'!H65,IF(Nonlabor!$I$14="RequestsM",'Monthly Lean'!F65,IF(Nonlabor!$I$14="InputM",'Monthly Lean'!D65*Assumptions!$C$22/1000000,IF(Nonlabor!$I$14="OutputM",'Monthly Lean'!D65*Assumptions!$C$23/1000000,0))))))))),0)</f>
        <v>7</v>
      </c>
      <c r="F545" s="10" t="n">
        <f aca="false">Nonlabor!$J$14*(1+Assumptions!$C$9)^INT((C545-1)/12)</f>
        <v>50.64789645</v>
      </c>
      <c r="G545" s="10" t="n">
        <f aca="false">E545*F545</f>
        <v>354.53527515</v>
      </c>
      <c r="H545" s="10" t="n">
        <f aca="false">IF(OR(Nonlabor!$L$14="Quote required",Nonlabor!$L$14="Unverified"),G545,0)</f>
        <v>0</v>
      </c>
      <c r="I545" s="10" t="n">
        <f aca="false">IF(Nonlabor!$E$14="Core",0,G545)</f>
        <v>0</v>
      </c>
      <c r="J545" s="23" t="str">
        <f aca="false">Nonlabor!$B$14</f>
        <v>TOOLS</v>
      </c>
    </row>
    <row r="546" customFormat="false" ht="15" hidden="false" customHeight="false" outlineLevel="0" collapsed="false">
      <c r="A546" s="6" t="s">
        <v>72</v>
      </c>
      <c r="B546" s="6" t="s">
        <v>402</v>
      </c>
      <c r="C546" s="6" t="n">
        <v>1</v>
      </c>
      <c r="D546" s="25" t="n">
        <f aca="false">EDATE('Start Here'!$B$6,C546-1)</f>
        <v>46327</v>
      </c>
      <c r="E546" s="23" t="n">
        <f aca="false">IF(AND(OR(Nonlabor!$D$15="Both",Nonlabor!$D$15='Start Here'!$B$9),IF(Nonlabor!$E$15="Core",1,IF(Nonlabor!$E$15="AI",'Start Here'!$B$7,'Start Here'!$B$8))=1,C546&gt;=IF(Nonlabor!$E$15="Core",Nonlabor!$F$15,MAX(Nonlabor!$F$15,IF(Nonlabor!$E$15="AI",Assumptions!$C$24,Assumptions!$C$25))),C546&lt;=Nonlabor!$G$15,OR(Nonlabor!$H$15="Monthly",AND(Nonlabor!$H$15="Once",C546=IF(Nonlabor!$E$15="Core",Nonlabor!$F$15,MAX(Nonlabor!$F$15,IF(Nonlabor!$E$15="AI",Assumptions!$C$24,Assumptions!$C$25)))),AND(Nonlabor!$H$15="Annual",MOD(C546-IF(Nonlabor!$E$15="Core",Nonlabor!$F$15,MAX(Nonlabor!$F$15,IF(Nonlabor!$E$15="AI",Assumptions!$C$24,Assumptions!$C$25))),12)=0))),IF(Nonlabor!$I$15="Fixed",1,IF(Nonlabor!$I$15="Seats",ROUNDUP('Monthly Lean'!I6,0),IF(Nonlabor!$I$15="Customers",'Monthly Lean'!D6,IF(Nonlabor!$I$15="NewCustomers",'Monthly Lean'!C6,IF(Nonlabor!$I$15="StorageGB",'Monthly Lean'!G6,IF(Nonlabor!$I$15="LogGB",'Monthly Lean'!H6,IF(Nonlabor!$I$15="RequestsM",'Monthly Lean'!F6,IF(Nonlabor!$I$15="InputM",'Monthly Lean'!D6*Assumptions!$C$22/1000000,IF(Nonlabor!$I$15="OutputM",'Monthly Lean'!D6*Assumptions!$C$23/1000000,0))))))))),0)</f>
        <v>0</v>
      </c>
      <c r="F546" s="10" t="n">
        <f aca="false">Nonlabor!$J$15*(1+Assumptions!$C$9)^INT((C546-1)/12)</f>
        <v>20000</v>
      </c>
      <c r="G546" s="10" t="n">
        <f aca="false">E546*F546</f>
        <v>0</v>
      </c>
      <c r="H546" s="10" t="n">
        <f aca="false">IF(OR(Nonlabor!$L$15="Quote required",Nonlabor!$L$15="Unverified"),G546,0)</f>
        <v>0</v>
      </c>
      <c r="I546" s="10" t="n">
        <f aca="false">IF(Nonlabor!$E$15="Core",0,G546)</f>
        <v>0</v>
      </c>
      <c r="J546" s="23" t="str">
        <f aca="false">Nonlabor!$B$15</f>
        <v>LEGAL</v>
      </c>
    </row>
    <row r="547" customFormat="false" ht="15" hidden="false" customHeight="false" outlineLevel="0" collapsed="false">
      <c r="A547" s="6" t="s">
        <v>72</v>
      </c>
      <c r="B547" s="6" t="s">
        <v>402</v>
      </c>
      <c r="C547" s="6" t="n">
        <v>2</v>
      </c>
      <c r="D547" s="25" t="n">
        <f aca="false">EDATE('Start Here'!$B$6,C547-1)</f>
        <v>46357</v>
      </c>
      <c r="E547" s="23" t="n">
        <f aca="false">IF(AND(OR(Nonlabor!$D$15="Both",Nonlabor!$D$15='Start Here'!$B$9),IF(Nonlabor!$E$15="Core",1,IF(Nonlabor!$E$15="AI",'Start Here'!$B$7,'Start Here'!$B$8))=1,C547&gt;=IF(Nonlabor!$E$15="Core",Nonlabor!$F$15,MAX(Nonlabor!$F$15,IF(Nonlabor!$E$15="AI",Assumptions!$C$24,Assumptions!$C$25))),C547&lt;=Nonlabor!$G$15,OR(Nonlabor!$H$15="Monthly",AND(Nonlabor!$H$15="Once",C547=IF(Nonlabor!$E$15="Core",Nonlabor!$F$15,MAX(Nonlabor!$F$15,IF(Nonlabor!$E$15="AI",Assumptions!$C$24,Assumptions!$C$25)))),AND(Nonlabor!$H$15="Annual",MOD(C547-IF(Nonlabor!$E$15="Core",Nonlabor!$F$15,MAX(Nonlabor!$F$15,IF(Nonlabor!$E$15="AI",Assumptions!$C$24,Assumptions!$C$25))),12)=0))),IF(Nonlabor!$I$15="Fixed",1,IF(Nonlabor!$I$15="Seats",ROUNDUP('Monthly Lean'!I7,0),IF(Nonlabor!$I$15="Customers",'Monthly Lean'!D7,IF(Nonlabor!$I$15="NewCustomers",'Monthly Lean'!C7,IF(Nonlabor!$I$15="StorageGB",'Monthly Lean'!G7,IF(Nonlabor!$I$15="LogGB",'Monthly Lean'!H7,IF(Nonlabor!$I$15="RequestsM",'Monthly Lean'!F7,IF(Nonlabor!$I$15="InputM",'Monthly Lean'!D7*Assumptions!$C$22/1000000,IF(Nonlabor!$I$15="OutputM",'Monthly Lean'!D7*Assumptions!$C$23/1000000,0))))))))),0)</f>
        <v>1</v>
      </c>
      <c r="F547" s="10" t="n">
        <f aca="false">Nonlabor!$J$15*(1+Assumptions!$C$9)^INT((C547-1)/12)</f>
        <v>20000</v>
      </c>
      <c r="G547" s="10" t="n">
        <f aca="false">E547*F547</f>
        <v>20000</v>
      </c>
      <c r="H547" s="10" t="n">
        <f aca="false">IF(OR(Nonlabor!$L$15="Quote required",Nonlabor!$L$15="Unverified"),G547,0)</f>
        <v>20000</v>
      </c>
      <c r="I547" s="10" t="n">
        <f aca="false">IF(Nonlabor!$E$15="Core",0,G547)</f>
        <v>0</v>
      </c>
      <c r="J547" s="23" t="str">
        <f aca="false">Nonlabor!$B$15</f>
        <v>LEGAL</v>
      </c>
    </row>
    <row r="548" customFormat="false" ht="15" hidden="false" customHeight="false" outlineLevel="0" collapsed="false">
      <c r="A548" s="6" t="s">
        <v>72</v>
      </c>
      <c r="B548" s="6" t="s">
        <v>402</v>
      </c>
      <c r="C548" s="6" t="n">
        <v>3</v>
      </c>
      <c r="D548" s="25" t="n">
        <f aca="false">EDATE('Start Here'!$B$6,C548-1)</f>
        <v>46388</v>
      </c>
      <c r="E548" s="23" t="n">
        <f aca="false">IF(AND(OR(Nonlabor!$D$15="Both",Nonlabor!$D$15='Start Here'!$B$9),IF(Nonlabor!$E$15="Core",1,IF(Nonlabor!$E$15="AI",'Start Here'!$B$7,'Start Here'!$B$8))=1,C548&gt;=IF(Nonlabor!$E$15="Core",Nonlabor!$F$15,MAX(Nonlabor!$F$15,IF(Nonlabor!$E$15="AI",Assumptions!$C$24,Assumptions!$C$25))),C548&lt;=Nonlabor!$G$15,OR(Nonlabor!$H$15="Monthly",AND(Nonlabor!$H$15="Once",C548=IF(Nonlabor!$E$15="Core",Nonlabor!$F$15,MAX(Nonlabor!$F$15,IF(Nonlabor!$E$15="AI",Assumptions!$C$24,Assumptions!$C$25)))),AND(Nonlabor!$H$15="Annual",MOD(C548-IF(Nonlabor!$E$15="Core",Nonlabor!$F$15,MAX(Nonlabor!$F$15,IF(Nonlabor!$E$15="AI",Assumptions!$C$24,Assumptions!$C$25))),12)=0))),IF(Nonlabor!$I$15="Fixed",1,IF(Nonlabor!$I$15="Seats",ROUNDUP('Monthly Lean'!I8,0),IF(Nonlabor!$I$15="Customers",'Monthly Lean'!D8,IF(Nonlabor!$I$15="NewCustomers",'Monthly Lean'!C8,IF(Nonlabor!$I$15="StorageGB",'Monthly Lean'!G8,IF(Nonlabor!$I$15="LogGB",'Monthly Lean'!H8,IF(Nonlabor!$I$15="RequestsM",'Monthly Lean'!F8,IF(Nonlabor!$I$15="InputM",'Monthly Lean'!D8*Assumptions!$C$22/1000000,IF(Nonlabor!$I$15="OutputM",'Monthly Lean'!D8*Assumptions!$C$23/1000000,0))))))))),0)</f>
        <v>0</v>
      </c>
      <c r="F548" s="10" t="n">
        <f aca="false">Nonlabor!$J$15*(1+Assumptions!$C$9)^INT((C548-1)/12)</f>
        <v>20000</v>
      </c>
      <c r="G548" s="10" t="n">
        <f aca="false">E548*F548</f>
        <v>0</v>
      </c>
      <c r="H548" s="10" t="n">
        <f aca="false">IF(OR(Nonlabor!$L$15="Quote required",Nonlabor!$L$15="Unverified"),G548,0)</f>
        <v>0</v>
      </c>
      <c r="I548" s="10" t="n">
        <f aca="false">IF(Nonlabor!$E$15="Core",0,G548)</f>
        <v>0</v>
      </c>
      <c r="J548" s="23" t="str">
        <f aca="false">Nonlabor!$B$15</f>
        <v>LEGAL</v>
      </c>
    </row>
    <row r="549" customFormat="false" ht="15" hidden="false" customHeight="false" outlineLevel="0" collapsed="false">
      <c r="A549" s="6" t="s">
        <v>72</v>
      </c>
      <c r="B549" s="6" t="s">
        <v>402</v>
      </c>
      <c r="C549" s="6" t="n">
        <v>4</v>
      </c>
      <c r="D549" s="25" t="n">
        <f aca="false">EDATE('Start Here'!$B$6,C549-1)</f>
        <v>46419</v>
      </c>
      <c r="E549" s="23" t="n">
        <f aca="false">IF(AND(OR(Nonlabor!$D$15="Both",Nonlabor!$D$15='Start Here'!$B$9),IF(Nonlabor!$E$15="Core",1,IF(Nonlabor!$E$15="AI",'Start Here'!$B$7,'Start Here'!$B$8))=1,C549&gt;=IF(Nonlabor!$E$15="Core",Nonlabor!$F$15,MAX(Nonlabor!$F$15,IF(Nonlabor!$E$15="AI",Assumptions!$C$24,Assumptions!$C$25))),C549&lt;=Nonlabor!$G$15,OR(Nonlabor!$H$15="Monthly",AND(Nonlabor!$H$15="Once",C549=IF(Nonlabor!$E$15="Core",Nonlabor!$F$15,MAX(Nonlabor!$F$15,IF(Nonlabor!$E$15="AI",Assumptions!$C$24,Assumptions!$C$25)))),AND(Nonlabor!$H$15="Annual",MOD(C549-IF(Nonlabor!$E$15="Core",Nonlabor!$F$15,MAX(Nonlabor!$F$15,IF(Nonlabor!$E$15="AI",Assumptions!$C$24,Assumptions!$C$25))),12)=0))),IF(Nonlabor!$I$15="Fixed",1,IF(Nonlabor!$I$15="Seats",ROUNDUP('Monthly Lean'!I9,0),IF(Nonlabor!$I$15="Customers",'Monthly Lean'!D9,IF(Nonlabor!$I$15="NewCustomers",'Monthly Lean'!C9,IF(Nonlabor!$I$15="StorageGB",'Monthly Lean'!G9,IF(Nonlabor!$I$15="LogGB",'Monthly Lean'!H9,IF(Nonlabor!$I$15="RequestsM",'Monthly Lean'!F9,IF(Nonlabor!$I$15="InputM",'Monthly Lean'!D9*Assumptions!$C$22/1000000,IF(Nonlabor!$I$15="OutputM",'Monthly Lean'!D9*Assumptions!$C$23/1000000,0))))))))),0)</f>
        <v>0</v>
      </c>
      <c r="F549" s="10" t="n">
        <f aca="false">Nonlabor!$J$15*(1+Assumptions!$C$9)^INT((C549-1)/12)</f>
        <v>20000</v>
      </c>
      <c r="G549" s="10" t="n">
        <f aca="false">E549*F549</f>
        <v>0</v>
      </c>
      <c r="H549" s="10" t="n">
        <f aca="false">IF(OR(Nonlabor!$L$15="Quote required",Nonlabor!$L$15="Unverified"),G549,0)</f>
        <v>0</v>
      </c>
      <c r="I549" s="10" t="n">
        <f aca="false">IF(Nonlabor!$E$15="Core",0,G549)</f>
        <v>0</v>
      </c>
      <c r="J549" s="23" t="str">
        <f aca="false">Nonlabor!$B$15</f>
        <v>LEGAL</v>
      </c>
    </row>
    <row r="550" customFormat="false" ht="15" hidden="false" customHeight="false" outlineLevel="0" collapsed="false">
      <c r="A550" s="6" t="s">
        <v>72</v>
      </c>
      <c r="B550" s="6" t="s">
        <v>402</v>
      </c>
      <c r="C550" s="6" t="n">
        <v>5</v>
      </c>
      <c r="D550" s="25" t="n">
        <f aca="false">EDATE('Start Here'!$B$6,C550-1)</f>
        <v>46447</v>
      </c>
      <c r="E550" s="23" t="n">
        <f aca="false">IF(AND(OR(Nonlabor!$D$15="Both",Nonlabor!$D$15='Start Here'!$B$9),IF(Nonlabor!$E$15="Core",1,IF(Nonlabor!$E$15="AI",'Start Here'!$B$7,'Start Here'!$B$8))=1,C550&gt;=IF(Nonlabor!$E$15="Core",Nonlabor!$F$15,MAX(Nonlabor!$F$15,IF(Nonlabor!$E$15="AI",Assumptions!$C$24,Assumptions!$C$25))),C550&lt;=Nonlabor!$G$15,OR(Nonlabor!$H$15="Monthly",AND(Nonlabor!$H$15="Once",C550=IF(Nonlabor!$E$15="Core",Nonlabor!$F$15,MAX(Nonlabor!$F$15,IF(Nonlabor!$E$15="AI",Assumptions!$C$24,Assumptions!$C$25)))),AND(Nonlabor!$H$15="Annual",MOD(C550-IF(Nonlabor!$E$15="Core",Nonlabor!$F$15,MAX(Nonlabor!$F$15,IF(Nonlabor!$E$15="AI",Assumptions!$C$24,Assumptions!$C$25))),12)=0))),IF(Nonlabor!$I$15="Fixed",1,IF(Nonlabor!$I$15="Seats",ROUNDUP('Monthly Lean'!I10,0),IF(Nonlabor!$I$15="Customers",'Monthly Lean'!D10,IF(Nonlabor!$I$15="NewCustomers",'Monthly Lean'!C10,IF(Nonlabor!$I$15="StorageGB",'Monthly Lean'!G10,IF(Nonlabor!$I$15="LogGB",'Monthly Lean'!H10,IF(Nonlabor!$I$15="RequestsM",'Monthly Lean'!F10,IF(Nonlabor!$I$15="InputM",'Monthly Lean'!D10*Assumptions!$C$22/1000000,IF(Nonlabor!$I$15="OutputM",'Monthly Lean'!D10*Assumptions!$C$23/1000000,0))))))))),0)</f>
        <v>0</v>
      </c>
      <c r="F550" s="10" t="n">
        <f aca="false">Nonlabor!$J$15*(1+Assumptions!$C$9)^INT((C550-1)/12)</f>
        <v>20000</v>
      </c>
      <c r="G550" s="10" t="n">
        <f aca="false">E550*F550</f>
        <v>0</v>
      </c>
      <c r="H550" s="10" t="n">
        <f aca="false">IF(OR(Nonlabor!$L$15="Quote required",Nonlabor!$L$15="Unverified"),G550,0)</f>
        <v>0</v>
      </c>
      <c r="I550" s="10" t="n">
        <f aca="false">IF(Nonlabor!$E$15="Core",0,G550)</f>
        <v>0</v>
      </c>
      <c r="J550" s="23" t="str">
        <f aca="false">Nonlabor!$B$15</f>
        <v>LEGAL</v>
      </c>
    </row>
    <row r="551" customFormat="false" ht="15" hidden="false" customHeight="false" outlineLevel="0" collapsed="false">
      <c r="A551" s="6" t="s">
        <v>72</v>
      </c>
      <c r="B551" s="6" t="s">
        <v>402</v>
      </c>
      <c r="C551" s="6" t="n">
        <v>6</v>
      </c>
      <c r="D551" s="25" t="n">
        <f aca="false">EDATE('Start Here'!$B$6,C551-1)</f>
        <v>46478</v>
      </c>
      <c r="E551" s="23" t="n">
        <f aca="false">IF(AND(OR(Nonlabor!$D$15="Both",Nonlabor!$D$15='Start Here'!$B$9),IF(Nonlabor!$E$15="Core",1,IF(Nonlabor!$E$15="AI",'Start Here'!$B$7,'Start Here'!$B$8))=1,C551&gt;=IF(Nonlabor!$E$15="Core",Nonlabor!$F$15,MAX(Nonlabor!$F$15,IF(Nonlabor!$E$15="AI",Assumptions!$C$24,Assumptions!$C$25))),C551&lt;=Nonlabor!$G$15,OR(Nonlabor!$H$15="Monthly",AND(Nonlabor!$H$15="Once",C551=IF(Nonlabor!$E$15="Core",Nonlabor!$F$15,MAX(Nonlabor!$F$15,IF(Nonlabor!$E$15="AI",Assumptions!$C$24,Assumptions!$C$25)))),AND(Nonlabor!$H$15="Annual",MOD(C551-IF(Nonlabor!$E$15="Core",Nonlabor!$F$15,MAX(Nonlabor!$F$15,IF(Nonlabor!$E$15="AI",Assumptions!$C$24,Assumptions!$C$25))),12)=0))),IF(Nonlabor!$I$15="Fixed",1,IF(Nonlabor!$I$15="Seats",ROUNDUP('Monthly Lean'!I11,0),IF(Nonlabor!$I$15="Customers",'Monthly Lean'!D11,IF(Nonlabor!$I$15="NewCustomers",'Monthly Lean'!C11,IF(Nonlabor!$I$15="StorageGB",'Monthly Lean'!G11,IF(Nonlabor!$I$15="LogGB",'Monthly Lean'!H11,IF(Nonlabor!$I$15="RequestsM",'Monthly Lean'!F11,IF(Nonlabor!$I$15="InputM",'Monthly Lean'!D11*Assumptions!$C$22/1000000,IF(Nonlabor!$I$15="OutputM",'Monthly Lean'!D11*Assumptions!$C$23/1000000,0))))))))),0)</f>
        <v>0</v>
      </c>
      <c r="F551" s="10" t="n">
        <f aca="false">Nonlabor!$J$15*(1+Assumptions!$C$9)^INT((C551-1)/12)</f>
        <v>20000</v>
      </c>
      <c r="G551" s="10" t="n">
        <f aca="false">E551*F551</f>
        <v>0</v>
      </c>
      <c r="H551" s="10" t="n">
        <f aca="false">IF(OR(Nonlabor!$L$15="Quote required",Nonlabor!$L$15="Unverified"),G551,0)</f>
        <v>0</v>
      </c>
      <c r="I551" s="10" t="n">
        <f aca="false">IF(Nonlabor!$E$15="Core",0,G551)</f>
        <v>0</v>
      </c>
      <c r="J551" s="23" t="str">
        <f aca="false">Nonlabor!$B$15</f>
        <v>LEGAL</v>
      </c>
    </row>
    <row r="552" customFormat="false" ht="15" hidden="false" customHeight="false" outlineLevel="0" collapsed="false">
      <c r="A552" s="6" t="s">
        <v>72</v>
      </c>
      <c r="B552" s="6" t="s">
        <v>402</v>
      </c>
      <c r="C552" s="6" t="n">
        <v>7</v>
      </c>
      <c r="D552" s="25" t="n">
        <f aca="false">EDATE('Start Here'!$B$6,C552-1)</f>
        <v>46508</v>
      </c>
      <c r="E552" s="23" t="n">
        <f aca="false">IF(AND(OR(Nonlabor!$D$15="Both",Nonlabor!$D$15='Start Here'!$B$9),IF(Nonlabor!$E$15="Core",1,IF(Nonlabor!$E$15="AI",'Start Here'!$B$7,'Start Here'!$B$8))=1,C552&gt;=IF(Nonlabor!$E$15="Core",Nonlabor!$F$15,MAX(Nonlabor!$F$15,IF(Nonlabor!$E$15="AI",Assumptions!$C$24,Assumptions!$C$25))),C552&lt;=Nonlabor!$G$15,OR(Nonlabor!$H$15="Monthly",AND(Nonlabor!$H$15="Once",C552=IF(Nonlabor!$E$15="Core",Nonlabor!$F$15,MAX(Nonlabor!$F$15,IF(Nonlabor!$E$15="AI",Assumptions!$C$24,Assumptions!$C$25)))),AND(Nonlabor!$H$15="Annual",MOD(C552-IF(Nonlabor!$E$15="Core",Nonlabor!$F$15,MAX(Nonlabor!$F$15,IF(Nonlabor!$E$15="AI",Assumptions!$C$24,Assumptions!$C$25))),12)=0))),IF(Nonlabor!$I$15="Fixed",1,IF(Nonlabor!$I$15="Seats",ROUNDUP('Monthly Lean'!I12,0),IF(Nonlabor!$I$15="Customers",'Monthly Lean'!D12,IF(Nonlabor!$I$15="NewCustomers",'Monthly Lean'!C12,IF(Nonlabor!$I$15="StorageGB",'Monthly Lean'!G12,IF(Nonlabor!$I$15="LogGB",'Monthly Lean'!H12,IF(Nonlabor!$I$15="RequestsM",'Monthly Lean'!F12,IF(Nonlabor!$I$15="InputM",'Monthly Lean'!D12*Assumptions!$C$22/1000000,IF(Nonlabor!$I$15="OutputM",'Monthly Lean'!D12*Assumptions!$C$23/1000000,0))))))))),0)</f>
        <v>0</v>
      </c>
      <c r="F552" s="10" t="n">
        <f aca="false">Nonlabor!$J$15*(1+Assumptions!$C$9)^INT((C552-1)/12)</f>
        <v>20000</v>
      </c>
      <c r="G552" s="10" t="n">
        <f aca="false">E552*F552</f>
        <v>0</v>
      </c>
      <c r="H552" s="10" t="n">
        <f aca="false">IF(OR(Nonlabor!$L$15="Quote required",Nonlabor!$L$15="Unverified"),G552,0)</f>
        <v>0</v>
      </c>
      <c r="I552" s="10" t="n">
        <f aca="false">IF(Nonlabor!$E$15="Core",0,G552)</f>
        <v>0</v>
      </c>
      <c r="J552" s="23" t="str">
        <f aca="false">Nonlabor!$B$15</f>
        <v>LEGAL</v>
      </c>
    </row>
    <row r="553" customFormat="false" ht="15" hidden="false" customHeight="false" outlineLevel="0" collapsed="false">
      <c r="A553" s="6" t="s">
        <v>72</v>
      </c>
      <c r="B553" s="6" t="s">
        <v>402</v>
      </c>
      <c r="C553" s="6" t="n">
        <v>8</v>
      </c>
      <c r="D553" s="25" t="n">
        <f aca="false">EDATE('Start Here'!$B$6,C553-1)</f>
        <v>46539</v>
      </c>
      <c r="E553" s="23" t="n">
        <f aca="false">IF(AND(OR(Nonlabor!$D$15="Both",Nonlabor!$D$15='Start Here'!$B$9),IF(Nonlabor!$E$15="Core",1,IF(Nonlabor!$E$15="AI",'Start Here'!$B$7,'Start Here'!$B$8))=1,C553&gt;=IF(Nonlabor!$E$15="Core",Nonlabor!$F$15,MAX(Nonlabor!$F$15,IF(Nonlabor!$E$15="AI",Assumptions!$C$24,Assumptions!$C$25))),C553&lt;=Nonlabor!$G$15,OR(Nonlabor!$H$15="Monthly",AND(Nonlabor!$H$15="Once",C553=IF(Nonlabor!$E$15="Core",Nonlabor!$F$15,MAX(Nonlabor!$F$15,IF(Nonlabor!$E$15="AI",Assumptions!$C$24,Assumptions!$C$25)))),AND(Nonlabor!$H$15="Annual",MOD(C553-IF(Nonlabor!$E$15="Core",Nonlabor!$F$15,MAX(Nonlabor!$F$15,IF(Nonlabor!$E$15="AI",Assumptions!$C$24,Assumptions!$C$25))),12)=0))),IF(Nonlabor!$I$15="Fixed",1,IF(Nonlabor!$I$15="Seats",ROUNDUP('Monthly Lean'!I13,0),IF(Nonlabor!$I$15="Customers",'Monthly Lean'!D13,IF(Nonlabor!$I$15="NewCustomers",'Monthly Lean'!C13,IF(Nonlabor!$I$15="StorageGB",'Monthly Lean'!G13,IF(Nonlabor!$I$15="LogGB",'Monthly Lean'!H13,IF(Nonlabor!$I$15="RequestsM",'Monthly Lean'!F13,IF(Nonlabor!$I$15="InputM",'Monthly Lean'!D13*Assumptions!$C$22/1000000,IF(Nonlabor!$I$15="OutputM",'Monthly Lean'!D13*Assumptions!$C$23/1000000,0))))))))),0)</f>
        <v>0</v>
      </c>
      <c r="F553" s="10" t="n">
        <f aca="false">Nonlabor!$J$15*(1+Assumptions!$C$9)^INT((C553-1)/12)</f>
        <v>20000</v>
      </c>
      <c r="G553" s="10" t="n">
        <f aca="false">E553*F553</f>
        <v>0</v>
      </c>
      <c r="H553" s="10" t="n">
        <f aca="false">IF(OR(Nonlabor!$L$15="Quote required",Nonlabor!$L$15="Unverified"),G553,0)</f>
        <v>0</v>
      </c>
      <c r="I553" s="10" t="n">
        <f aca="false">IF(Nonlabor!$E$15="Core",0,G553)</f>
        <v>0</v>
      </c>
      <c r="J553" s="23" t="str">
        <f aca="false">Nonlabor!$B$15</f>
        <v>LEGAL</v>
      </c>
    </row>
    <row r="554" customFormat="false" ht="15" hidden="false" customHeight="false" outlineLevel="0" collapsed="false">
      <c r="A554" s="6" t="s">
        <v>72</v>
      </c>
      <c r="B554" s="6" t="s">
        <v>402</v>
      </c>
      <c r="C554" s="6" t="n">
        <v>9</v>
      </c>
      <c r="D554" s="25" t="n">
        <f aca="false">EDATE('Start Here'!$B$6,C554-1)</f>
        <v>46569</v>
      </c>
      <c r="E554" s="23" t="n">
        <f aca="false">IF(AND(OR(Nonlabor!$D$15="Both",Nonlabor!$D$15='Start Here'!$B$9),IF(Nonlabor!$E$15="Core",1,IF(Nonlabor!$E$15="AI",'Start Here'!$B$7,'Start Here'!$B$8))=1,C554&gt;=IF(Nonlabor!$E$15="Core",Nonlabor!$F$15,MAX(Nonlabor!$F$15,IF(Nonlabor!$E$15="AI",Assumptions!$C$24,Assumptions!$C$25))),C554&lt;=Nonlabor!$G$15,OR(Nonlabor!$H$15="Monthly",AND(Nonlabor!$H$15="Once",C554=IF(Nonlabor!$E$15="Core",Nonlabor!$F$15,MAX(Nonlabor!$F$15,IF(Nonlabor!$E$15="AI",Assumptions!$C$24,Assumptions!$C$25)))),AND(Nonlabor!$H$15="Annual",MOD(C554-IF(Nonlabor!$E$15="Core",Nonlabor!$F$15,MAX(Nonlabor!$F$15,IF(Nonlabor!$E$15="AI",Assumptions!$C$24,Assumptions!$C$25))),12)=0))),IF(Nonlabor!$I$15="Fixed",1,IF(Nonlabor!$I$15="Seats",ROUNDUP('Monthly Lean'!I14,0),IF(Nonlabor!$I$15="Customers",'Monthly Lean'!D14,IF(Nonlabor!$I$15="NewCustomers",'Monthly Lean'!C14,IF(Nonlabor!$I$15="StorageGB",'Monthly Lean'!G14,IF(Nonlabor!$I$15="LogGB",'Monthly Lean'!H14,IF(Nonlabor!$I$15="RequestsM",'Monthly Lean'!F14,IF(Nonlabor!$I$15="InputM",'Monthly Lean'!D14*Assumptions!$C$22/1000000,IF(Nonlabor!$I$15="OutputM",'Monthly Lean'!D14*Assumptions!$C$23/1000000,0))))))))),0)</f>
        <v>0</v>
      </c>
      <c r="F554" s="10" t="n">
        <f aca="false">Nonlabor!$J$15*(1+Assumptions!$C$9)^INT((C554-1)/12)</f>
        <v>20000</v>
      </c>
      <c r="G554" s="10" t="n">
        <f aca="false">E554*F554</f>
        <v>0</v>
      </c>
      <c r="H554" s="10" t="n">
        <f aca="false">IF(OR(Nonlabor!$L$15="Quote required",Nonlabor!$L$15="Unverified"),G554,0)</f>
        <v>0</v>
      </c>
      <c r="I554" s="10" t="n">
        <f aca="false">IF(Nonlabor!$E$15="Core",0,G554)</f>
        <v>0</v>
      </c>
      <c r="J554" s="23" t="str">
        <f aca="false">Nonlabor!$B$15</f>
        <v>LEGAL</v>
      </c>
    </row>
    <row r="555" customFormat="false" ht="15" hidden="false" customHeight="false" outlineLevel="0" collapsed="false">
      <c r="A555" s="6" t="s">
        <v>72</v>
      </c>
      <c r="B555" s="6" t="s">
        <v>402</v>
      </c>
      <c r="C555" s="6" t="n">
        <v>10</v>
      </c>
      <c r="D555" s="25" t="n">
        <f aca="false">EDATE('Start Here'!$B$6,C555-1)</f>
        <v>46600</v>
      </c>
      <c r="E555" s="23" t="n">
        <f aca="false">IF(AND(OR(Nonlabor!$D$15="Both",Nonlabor!$D$15='Start Here'!$B$9),IF(Nonlabor!$E$15="Core",1,IF(Nonlabor!$E$15="AI",'Start Here'!$B$7,'Start Here'!$B$8))=1,C555&gt;=IF(Nonlabor!$E$15="Core",Nonlabor!$F$15,MAX(Nonlabor!$F$15,IF(Nonlabor!$E$15="AI",Assumptions!$C$24,Assumptions!$C$25))),C555&lt;=Nonlabor!$G$15,OR(Nonlabor!$H$15="Monthly",AND(Nonlabor!$H$15="Once",C555=IF(Nonlabor!$E$15="Core",Nonlabor!$F$15,MAX(Nonlabor!$F$15,IF(Nonlabor!$E$15="AI",Assumptions!$C$24,Assumptions!$C$25)))),AND(Nonlabor!$H$15="Annual",MOD(C555-IF(Nonlabor!$E$15="Core",Nonlabor!$F$15,MAX(Nonlabor!$F$15,IF(Nonlabor!$E$15="AI",Assumptions!$C$24,Assumptions!$C$25))),12)=0))),IF(Nonlabor!$I$15="Fixed",1,IF(Nonlabor!$I$15="Seats",ROUNDUP('Monthly Lean'!I15,0),IF(Nonlabor!$I$15="Customers",'Monthly Lean'!D15,IF(Nonlabor!$I$15="NewCustomers",'Monthly Lean'!C15,IF(Nonlabor!$I$15="StorageGB",'Monthly Lean'!G15,IF(Nonlabor!$I$15="LogGB",'Monthly Lean'!H15,IF(Nonlabor!$I$15="RequestsM",'Monthly Lean'!F15,IF(Nonlabor!$I$15="InputM",'Monthly Lean'!D15*Assumptions!$C$22/1000000,IF(Nonlabor!$I$15="OutputM",'Monthly Lean'!D15*Assumptions!$C$23/1000000,0))))))))),0)</f>
        <v>0</v>
      </c>
      <c r="F555" s="10" t="n">
        <f aca="false">Nonlabor!$J$15*(1+Assumptions!$C$9)^INT((C555-1)/12)</f>
        <v>20000</v>
      </c>
      <c r="G555" s="10" t="n">
        <f aca="false">E555*F555</f>
        <v>0</v>
      </c>
      <c r="H555" s="10" t="n">
        <f aca="false">IF(OR(Nonlabor!$L$15="Quote required",Nonlabor!$L$15="Unverified"),G555,0)</f>
        <v>0</v>
      </c>
      <c r="I555" s="10" t="n">
        <f aca="false">IF(Nonlabor!$E$15="Core",0,G555)</f>
        <v>0</v>
      </c>
      <c r="J555" s="23" t="str">
        <f aca="false">Nonlabor!$B$15</f>
        <v>LEGAL</v>
      </c>
    </row>
    <row r="556" customFormat="false" ht="15" hidden="false" customHeight="false" outlineLevel="0" collapsed="false">
      <c r="A556" s="6" t="s">
        <v>72</v>
      </c>
      <c r="B556" s="6" t="s">
        <v>402</v>
      </c>
      <c r="C556" s="6" t="n">
        <v>11</v>
      </c>
      <c r="D556" s="25" t="n">
        <f aca="false">EDATE('Start Here'!$B$6,C556-1)</f>
        <v>46631</v>
      </c>
      <c r="E556" s="23" t="n">
        <f aca="false">IF(AND(OR(Nonlabor!$D$15="Both",Nonlabor!$D$15='Start Here'!$B$9),IF(Nonlabor!$E$15="Core",1,IF(Nonlabor!$E$15="AI",'Start Here'!$B$7,'Start Here'!$B$8))=1,C556&gt;=IF(Nonlabor!$E$15="Core",Nonlabor!$F$15,MAX(Nonlabor!$F$15,IF(Nonlabor!$E$15="AI",Assumptions!$C$24,Assumptions!$C$25))),C556&lt;=Nonlabor!$G$15,OR(Nonlabor!$H$15="Monthly",AND(Nonlabor!$H$15="Once",C556=IF(Nonlabor!$E$15="Core",Nonlabor!$F$15,MAX(Nonlabor!$F$15,IF(Nonlabor!$E$15="AI",Assumptions!$C$24,Assumptions!$C$25)))),AND(Nonlabor!$H$15="Annual",MOD(C556-IF(Nonlabor!$E$15="Core",Nonlabor!$F$15,MAX(Nonlabor!$F$15,IF(Nonlabor!$E$15="AI",Assumptions!$C$24,Assumptions!$C$25))),12)=0))),IF(Nonlabor!$I$15="Fixed",1,IF(Nonlabor!$I$15="Seats",ROUNDUP('Monthly Lean'!I16,0),IF(Nonlabor!$I$15="Customers",'Monthly Lean'!D16,IF(Nonlabor!$I$15="NewCustomers",'Monthly Lean'!C16,IF(Nonlabor!$I$15="StorageGB",'Monthly Lean'!G16,IF(Nonlabor!$I$15="LogGB",'Monthly Lean'!H16,IF(Nonlabor!$I$15="RequestsM",'Monthly Lean'!F16,IF(Nonlabor!$I$15="InputM",'Monthly Lean'!D16*Assumptions!$C$22/1000000,IF(Nonlabor!$I$15="OutputM",'Monthly Lean'!D16*Assumptions!$C$23/1000000,0))))))))),0)</f>
        <v>0</v>
      </c>
      <c r="F556" s="10" t="n">
        <f aca="false">Nonlabor!$J$15*(1+Assumptions!$C$9)^INT((C556-1)/12)</f>
        <v>20000</v>
      </c>
      <c r="G556" s="10" t="n">
        <f aca="false">E556*F556</f>
        <v>0</v>
      </c>
      <c r="H556" s="10" t="n">
        <f aca="false">IF(OR(Nonlabor!$L$15="Quote required",Nonlabor!$L$15="Unverified"),G556,0)</f>
        <v>0</v>
      </c>
      <c r="I556" s="10" t="n">
        <f aca="false">IF(Nonlabor!$E$15="Core",0,G556)</f>
        <v>0</v>
      </c>
      <c r="J556" s="23" t="str">
        <f aca="false">Nonlabor!$B$15</f>
        <v>LEGAL</v>
      </c>
    </row>
    <row r="557" customFormat="false" ht="15" hidden="false" customHeight="false" outlineLevel="0" collapsed="false">
      <c r="A557" s="6" t="s">
        <v>72</v>
      </c>
      <c r="B557" s="6" t="s">
        <v>402</v>
      </c>
      <c r="C557" s="6" t="n">
        <v>12</v>
      </c>
      <c r="D557" s="25" t="n">
        <f aca="false">EDATE('Start Here'!$B$6,C557-1)</f>
        <v>46661</v>
      </c>
      <c r="E557" s="23" t="n">
        <f aca="false">IF(AND(OR(Nonlabor!$D$15="Both",Nonlabor!$D$15='Start Here'!$B$9),IF(Nonlabor!$E$15="Core",1,IF(Nonlabor!$E$15="AI",'Start Here'!$B$7,'Start Here'!$B$8))=1,C557&gt;=IF(Nonlabor!$E$15="Core",Nonlabor!$F$15,MAX(Nonlabor!$F$15,IF(Nonlabor!$E$15="AI",Assumptions!$C$24,Assumptions!$C$25))),C557&lt;=Nonlabor!$G$15,OR(Nonlabor!$H$15="Monthly",AND(Nonlabor!$H$15="Once",C557=IF(Nonlabor!$E$15="Core",Nonlabor!$F$15,MAX(Nonlabor!$F$15,IF(Nonlabor!$E$15="AI",Assumptions!$C$24,Assumptions!$C$25)))),AND(Nonlabor!$H$15="Annual",MOD(C557-IF(Nonlabor!$E$15="Core",Nonlabor!$F$15,MAX(Nonlabor!$F$15,IF(Nonlabor!$E$15="AI",Assumptions!$C$24,Assumptions!$C$25))),12)=0))),IF(Nonlabor!$I$15="Fixed",1,IF(Nonlabor!$I$15="Seats",ROUNDUP('Monthly Lean'!I17,0),IF(Nonlabor!$I$15="Customers",'Monthly Lean'!D17,IF(Nonlabor!$I$15="NewCustomers",'Monthly Lean'!C17,IF(Nonlabor!$I$15="StorageGB",'Monthly Lean'!G17,IF(Nonlabor!$I$15="LogGB",'Monthly Lean'!H17,IF(Nonlabor!$I$15="RequestsM",'Monthly Lean'!F17,IF(Nonlabor!$I$15="InputM",'Monthly Lean'!D17*Assumptions!$C$22/1000000,IF(Nonlabor!$I$15="OutputM",'Monthly Lean'!D17*Assumptions!$C$23/1000000,0))))))))),0)</f>
        <v>0</v>
      </c>
      <c r="F557" s="10" t="n">
        <f aca="false">Nonlabor!$J$15*(1+Assumptions!$C$9)^INT((C557-1)/12)</f>
        <v>20000</v>
      </c>
      <c r="G557" s="10" t="n">
        <f aca="false">E557*F557</f>
        <v>0</v>
      </c>
      <c r="H557" s="10" t="n">
        <f aca="false">IF(OR(Nonlabor!$L$15="Quote required",Nonlabor!$L$15="Unverified"),G557,0)</f>
        <v>0</v>
      </c>
      <c r="I557" s="10" t="n">
        <f aca="false">IF(Nonlabor!$E$15="Core",0,G557)</f>
        <v>0</v>
      </c>
      <c r="J557" s="23" t="str">
        <f aca="false">Nonlabor!$B$15</f>
        <v>LEGAL</v>
      </c>
    </row>
    <row r="558" customFormat="false" ht="15" hidden="false" customHeight="false" outlineLevel="0" collapsed="false">
      <c r="A558" s="6" t="s">
        <v>72</v>
      </c>
      <c r="B558" s="6" t="s">
        <v>402</v>
      </c>
      <c r="C558" s="6" t="n">
        <v>13</v>
      </c>
      <c r="D558" s="25" t="n">
        <f aca="false">EDATE('Start Here'!$B$6,C558-1)</f>
        <v>46692</v>
      </c>
      <c r="E558" s="23" t="n">
        <f aca="false">IF(AND(OR(Nonlabor!$D$15="Both",Nonlabor!$D$15='Start Here'!$B$9),IF(Nonlabor!$E$15="Core",1,IF(Nonlabor!$E$15="AI",'Start Here'!$B$7,'Start Here'!$B$8))=1,C558&gt;=IF(Nonlabor!$E$15="Core",Nonlabor!$F$15,MAX(Nonlabor!$F$15,IF(Nonlabor!$E$15="AI",Assumptions!$C$24,Assumptions!$C$25))),C558&lt;=Nonlabor!$G$15,OR(Nonlabor!$H$15="Monthly",AND(Nonlabor!$H$15="Once",C558=IF(Nonlabor!$E$15="Core",Nonlabor!$F$15,MAX(Nonlabor!$F$15,IF(Nonlabor!$E$15="AI",Assumptions!$C$24,Assumptions!$C$25)))),AND(Nonlabor!$H$15="Annual",MOD(C558-IF(Nonlabor!$E$15="Core",Nonlabor!$F$15,MAX(Nonlabor!$F$15,IF(Nonlabor!$E$15="AI",Assumptions!$C$24,Assumptions!$C$25))),12)=0))),IF(Nonlabor!$I$15="Fixed",1,IF(Nonlabor!$I$15="Seats",ROUNDUP('Monthly Lean'!I18,0),IF(Nonlabor!$I$15="Customers",'Monthly Lean'!D18,IF(Nonlabor!$I$15="NewCustomers",'Monthly Lean'!C18,IF(Nonlabor!$I$15="StorageGB",'Monthly Lean'!G18,IF(Nonlabor!$I$15="LogGB",'Monthly Lean'!H18,IF(Nonlabor!$I$15="RequestsM",'Monthly Lean'!F18,IF(Nonlabor!$I$15="InputM",'Monthly Lean'!D18*Assumptions!$C$22/1000000,IF(Nonlabor!$I$15="OutputM",'Monthly Lean'!D18*Assumptions!$C$23/1000000,0))))))))),0)</f>
        <v>0</v>
      </c>
      <c r="F558" s="10" t="n">
        <f aca="false">Nonlabor!$J$15*(1+Assumptions!$C$9)^INT((C558-1)/12)</f>
        <v>20600</v>
      </c>
      <c r="G558" s="10" t="n">
        <f aca="false">E558*F558</f>
        <v>0</v>
      </c>
      <c r="H558" s="10" t="n">
        <f aca="false">IF(OR(Nonlabor!$L$15="Quote required",Nonlabor!$L$15="Unverified"),G558,0)</f>
        <v>0</v>
      </c>
      <c r="I558" s="10" t="n">
        <f aca="false">IF(Nonlabor!$E$15="Core",0,G558)</f>
        <v>0</v>
      </c>
      <c r="J558" s="23" t="str">
        <f aca="false">Nonlabor!$B$15</f>
        <v>LEGAL</v>
      </c>
    </row>
    <row r="559" customFormat="false" ht="15" hidden="false" customHeight="false" outlineLevel="0" collapsed="false">
      <c r="A559" s="6" t="s">
        <v>72</v>
      </c>
      <c r="B559" s="6" t="s">
        <v>402</v>
      </c>
      <c r="C559" s="6" t="n">
        <v>14</v>
      </c>
      <c r="D559" s="25" t="n">
        <f aca="false">EDATE('Start Here'!$B$6,C559-1)</f>
        <v>46722</v>
      </c>
      <c r="E559" s="23" t="n">
        <f aca="false">IF(AND(OR(Nonlabor!$D$15="Both",Nonlabor!$D$15='Start Here'!$B$9),IF(Nonlabor!$E$15="Core",1,IF(Nonlabor!$E$15="AI",'Start Here'!$B$7,'Start Here'!$B$8))=1,C559&gt;=IF(Nonlabor!$E$15="Core",Nonlabor!$F$15,MAX(Nonlabor!$F$15,IF(Nonlabor!$E$15="AI",Assumptions!$C$24,Assumptions!$C$25))),C559&lt;=Nonlabor!$G$15,OR(Nonlabor!$H$15="Monthly",AND(Nonlabor!$H$15="Once",C559=IF(Nonlabor!$E$15="Core",Nonlabor!$F$15,MAX(Nonlabor!$F$15,IF(Nonlabor!$E$15="AI",Assumptions!$C$24,Assumptions!$C$25)))),AND(Nonlabor!$H$15="Annual",MOD(C559-IF(Nonlabor!$E$15="Core",Nonlabor!$F$15,MAX(Nonlabor!$F$15,IF(Nonlabor!$E$15="AI",Assumptions!$C$24,Assumptions!$C$25))),12)=0))),IF(Nonlabor!$I$15="Fixed",1,IF(Nonlabor!$I$15="Seats",ROUNDUP('Monthly Lean'!I19,0),IF(Nonlabor!$I$15="Customers",'Monthly Lean'!D19,IF(Nonlabor!$I$15="NewCustomers",'Monthly Lean'!C19,IF(Nonlabor!$I$15="StorageGB",'Monthly Lean'!G19,IF(Nonlabor!$I$15="LogGB",'Monthly Lean'!H19,IF(Nonlabor!$I$15="RequestsM",'Monthly Lean'!F19,IF(Nonlabor!$I$15="InputM",'Monthly Lean'!D19*Assumptions!$C$22/1000000,IF(Nonlabor!$I$15="OutputM",'Monthly Lean'!D19*Assumptions!$C$23/1000000,0))))))))),0)</f>
        <v>0</v>
      </c>
      <c r="F559" s="10" t="n">
        <f aca="false">Nonlabor!$J$15*(1+Assumptions!$C$9)^INT((C559-1)/12)</f>
        <v>20600</v>
      </c>
      <c r="G559" s="10" t="n">
        <f aca="false">E559*F559</f>
        <v>0</v>
      </c>
      <c r="H559" s="10" t="n">
        <f aca="false">IF(OR(Nonlabor!$L$15="Quote required",Nonlabor!$L$15="Unverified"),G559,0)</f>
        <v>0</v>
      </c>
      <c r="I559" s="10" t="n">
        <f aca="false">IF(Nonlabor!$E$15="Core",0,G559)</f>
        <v>0</v>
      </c>
      <c r="J559" s="23" t="str">
        <f aca="false">Nonlabor!$B$15</f>
        <v>LEGAL</v>
      </c>
    </row>
    <row r="560" customFormat="false" ht="15" hidden="false" customHeight="false" outlineLevel="0" collapsed="false">
      <c r="A560" s="6" t="s">
        <v>72</v>
      </c>
      <c r="B560" s="6" t="s">
        <v>402</v>
      </c>
      <c r="C560" s="6" t="n">
        <v>15</v>
      </c>
      <c r="D560" s="25" t="n">
        <f aca="false">EDATE('Start Here'!$B$6,C560-1)</f>
        <v>46753</v>
      </c>
      <c r="E560" s="23" t="n">
        <f aca="false">IF(AND(OR(Nonlabor!$D$15="Both",Nonlabor!$D$15='Start Here'!$B$9),IF(Nonlabor!$E$15="Core",1,IF(Nonlabor!$E$15="AI",'Start Here'!$B$7,'Start Here'!$B$8))=1,C560&gt;=IF(Nonlabor!$E$15="Core",Nonlabor!$F$15,MAX(Nonlabor!$F$15,IF(Nonlabor!$E$15="AI",Assumptions!$C$24,Assumptions!$C$25))),C560&lt;=Nonlabor!$G$15,OR(Nonlabor!$H$15="Monthly",AND(Nonlabor!$H$15="Once",C560=IF(Nonlabor!$E$15="Core",Nonlabor!$F$15,MAX(Nonlabor!$F$15,IF(Nonlabor!$E$15="AI",Assumptions!$C$24,Assumptions!$C$25)))),AND(Nonlabor!$H$15="Annual",MOD(C560-IF(Nonlabor!$E$15="Core",Nonlabor!$F$15,MAX(Nonlabor!$F$15,IF(Nonlabor!$E$15="AI",Assumptions!$C$24,Assumptions!$C$25))),12)=0))),IF(Nonlabor!$I$15="Fixed",1,IF(Nonlabor!$I$15="Seats",ROUNDUP('Monthly Lean'!I20,0),IF(Nonlabor!$I$15="Customers",'Monthly Lean'!D20,IF(Nonlabor!$I$15="NewCustomers",'Monthly Lean'!C20,IF(Nonlabor!$I$15="StorageGB",'Monthly Lean'!G20,IF(Nonlabor!$I$15="LogGB",'Monthly Lean'!H20,IF(Nonlabor!$I$15="RequestsM",'Monthly Lean'!F20,IF(Nonlabor!$I$15="InputM",'Monthly Lean'!D20*Assumptions!$C$22/1000000,IF(Nonlabor!$I$15="OutputM",'Monthly Lean'!D20*Assumptions!$C$23/1000000,0))))))))),0)</f>
        <v>0</v>
      </c>
      <c r="F560" s="10" t="n">
        <f aca="false">Nonlabor!$J$15*(1+Assumptions!$C$9)^INT((C560-1)/12)</f>
        <v>20600</v>
      </c>
      <c r="G560" s="10" t="n">
        <f aca="false">E560*F560</f>
        <v>0</v>
      </c>
      <c r="H560" s="10" t="n">
        <f aca="false">IF(OR(Nonlabor!$L$15="Quote required",Nonlabor!$L$15="Unverified"),G560,0)</f>
        <v>0</v>
      </c>
      <c r="I560" s="10" t="n">
        <f aca="false">IF(Nonlabor!$E$15="Core",0,G560)</f>
        <v>0</v>
      </c>
      <c r="J560" s="23" t="str">
        <f aca="false">Nonlabor!$B$15</f>
        <v>LEGAL</v>
      </c>
    </row>
    <row r="561" customFormat="false" ht="15" hidden="false" customHeight="false" outlineLevel="0" collapsed="false">
      <c r="A561" s="6" t="s">
        <v>72</v>
      </c>
      <c r="B561" s="6" t="s">
        <v>402</v>
      </c>
      <c r="C561" s="6" t="n">
        <v>16</v>
      </c>
      <c r="D561" s="25" t="n">
        <f aca="false">EDATE('Start Here'!$B$6,C561-1)</f>
        <v>46784</v>
      </c>
      <c r="E561" s="23" t="n">
        <f aca="false">IF(AND(OR(Nonlabor!$D$15="Both",Nonlabor!$D$15='Start Here'!$B$9),IF(Nonlabor!$E$15="Core",1,IF(Nonlabor!$E$15="AI",'Start Here'!$B$7,'Start Here'!$B$8))=1,C561&gt;=IF(Nonlabor!$E$15="Core",Nonlabor!$F$15,MAX(Nonlabor!$F$15,IF(Nonlabor!$E$15="AI",Assumptions!$C$24,Assumptions!$C$25))),C561&lt;=Nonlabor!$G$15,OR(Nonlabor!$H$15="Monthly",AND(Nonlabor!$H$15="Once",C561=IF(Nonlabor!$E$15="Core",Nonlabor!$F$15,MAX(Nonlabor!$F$15,IF(Nonlabor!$E$15="AI",Assumptions!$C$24,Assumptions!$C$25)))),AND(Nonlabor!$H$15="Annual",MOD(C561-IF(Nonlabor!$E$15="Core",Nonlabor!$F$15,MAX(Nonlabor!$F$15,IF(Nonlabor!$E$15="AI",Assumptions!$C$24,Assumptions!$C$25))),12)=0))),IF(Nonlabor!$I$15="Fixed",1,IF(Nonlabor!$I$15="Seats",ROUNDUP('Monthly Lean'!I21,0),IF(Nonlabor!$I$15="Customers",'Monthly Lean'!D21,IF(Nonlabor!$I$15="NewCustomers",'Monthly Lean'!C21,IF(Nonlabor!$I$15="StorageGB",'Monthly Lean'!G21,IF(Nonlabor!$I$15="LogGB",'Monthly Lean'!H21,IF(Nonlabor!$I$15="RequestsM",'Monthly Lean'!F21,IF(Nonlabor!$I$15="InputM",'Monthly Lean'!D21*Assumptions!$C$22/1000000,IF(Nonlabor!$I$15="OutputM",'Monthly Lean'!D21*Assumptions!$C$23/1000000,0))))))))),0)</f>
        <v>0</v>
      </c>
      <c r="F561" s="10" t="n">
        <f aca="false">Nonlabor!$J$15*(1+Assumptions!$C$9)^INT((C561-1)/12)</f>
        <v>20600</v>
      </c>
      <c r="G561" s="10" t="n">
        <f aca="false">E561*F561</f>
        <v>0</v>
      </c>
      <c r="H561" s="10" t="n">
        <f aca="false">IF(OR(Nonlabor!$L$15="Quote required",Nonlabor!$L$15="Unverified"),G561,0)</f>
        <v>0</v>
      </c>
      <c r="I561" s="10" t="n">
        <f aca="false">IF(Nonlabor!$E$15="Core",0,G561)</f>
        <v>0</v>
      </c>
      <c r="J561" s="23" t="str">
        <f aca="false">Nonlabor!$B$15</f>
        <v>LEGAL</v>
      </c>
    </row>
    <row r="562" customFormat="false" ht="15" hidden="false" customHeight="false" outlineLevel="0" collapsed="false">
      <c r="A562" s="6" t="s">
        <v>72</v>
      </c>
      <c r="B562" s="6" t="s">
        <v>402</v>
      </c>
      <c r="C562" s="6" t="n">
        <v>17</v>
      </c>
      <c r="D562" s="25" t="n">
        <f aca="false">EDATE('Start Here'!$B$6,C562-1)</f>
        <v>46813</v>
      </c>
      <c r="E562" s="23" t="n">
        <f aca="false">IF(AND(OR(Nonlabor!$D$15="Both",Nonlabor!$D$15='Start Here'!$B$9),IF(Nonlabor!$E$15="Core",1,IF(Nonlabor!$E$15="AI",'Start Here'!$B$7,'Start Here'!$B$8))=1,C562&gt;=IF(Nonlabor!$E$15="Core",Nonlabor!$F$15,MAX(Nonlabor!$F$15,IF(Nonlabor!$E$15="AI",Assumptions!$C$24,Assumptions!$C$25))),C562&lt;=Nonlabor!$G$15,OR(Nonlabor!$H$15="Monthly",AND(Nonlabor!$H$15="Once",C562=IF(Nonlabor!$E$15="Core",Nonlabor!$F$15,MAX(Nonlabor!$F$15,IF(Nonlabor!$E$15="AI",Assumptions!$C$24,Assumptions!$C$25)))),AND(Nonlabor!$H$15="Annual",MOD(C562-IF(Nonlabor!$E$15="Core",Nonlabor!$F$15,MAX(Nonlabor!$F$15,IF(Nonlabor!$E$15="AI",Assumptions!$C$24,Assumptions!$C$25))),12)=0))),IF(Nonlabor!$I$15="Fixed",1,IF(Nonlabor!$I$15="Seats",ROUNDUP('Monthly Lean'!I22,0),IF(Nonlabor!$I$15="Customers",'Monthly Lean'!D22,IF(Nonlabor!$I$15="NewCustomers",'Monthly Lean'!C22,IF(Nonlabor!$I$15="StorageGB",'Monthly Lean'!G22,IF(Nonlabor!$I$15="LogGB",'Monthly Lean'!H22,IF(Nonlabor!$I$15="RequestsM",'Monthly Lean'!F22,IF(Nonlabor!$I$15="InputM",'Monthly Lean'!D22*Assumptions!$C$22/1000000,IF(Nonlabor!$I$15="OutputM",'Monthly Lean'!D22*Assumptions!$C$23/1000000,0))))))))),0)</f>
        <v>0</v>
      </c>
      <c r="F562" s="10" t="n">
        <f aca="false">Nonlabor!$J$15*(1+Assumptions!$C$9)^INT((C562-1)/12)</f>
        <v>20600</v>
      </c>
      <c r="G562" s="10" t="n">
        <f aca="false">E562*F562</f>
        <v>0</v>
      </c>
      <c r="H562" s="10" t="n">
        <f aca="false">IF(OR(Nonlabor!$L$15="Quote required",Nonlabor!$L$15="Unverified"),G562,0)</f>
        <v>0</v>
      </c>
      <c r="I562" s="10" t="n">
        <f aca="false">IF(Nonlabor!$E$15="Core",0,G562)</f>
        <v>0</v>
      </c>
      <c r="J562" s="23" t="str">
        <f aca="false">Nonlabor!$B$15</f>
        <v>LEGAL</v>
      </c>
    </row>
    <row r="563" customFormat="false" ht="15" hidden="false" customHeight="false" outlineLevel="0" collapsed="false">
      <c r="A563" s="6" t="s">
        <v>72</v>
      </c>
      <c r="B563" s="6" t="s">
        <v>402</v>
      </c>
      <c r="C563" s="6" t="n">
        <v>18</v>
      </c>
      <c r="D563" s="25" t="n">
        <f aca="false">EDATE('Start Here'!$B$6,C563-1)</f>
        <v>46844</v>
      </c>
      <c r="E563" s="23" t="n">
        <f aca="false">IF(AND(OR(Nonlabor!$D$15="Both",Nonlabor!$D$15='Start Here'!$B$9),IF(Nonlabor!$E$15="Core",1,IF(Nonlabor!$E$15="AI",'Start Here'!$B$7,'Start Here'!$B$8))=1,C563&gt;=IF(Nonlabor!$E$15="Core",Nonlabor!$F$15,MAX(Nonlabor!$F$15,IF(Nonlabor!$E$15="AI",Assumptions!$C$24,Assumptions!$C$25))),C563&lt;=Nonlabor!$G$15,OR(Nonlabor!$H$15="Monthly",AND(Nonlabor!$H$15="Once",C563=IF(Nonlabor!$E$15="Core",Nonlabor!$F$15,MAX(Nonlabor!$F$15,IF(Nonlabor!$E$15="AI",Assumptions!$C$24,Assumptions!$C$25)))),AND(Nonlabor!$H$15="Annual",MOD(C563-IF(Nonlabor!$E$15="Core",Nonlabor!$F$15,MAX(Nonlabor!$F$15,IF(Nonlabor!$E$15="AI",Assumptions!$C$24,Assumptions!$C$25))),12)=0))),IF(Nonlabor!$I$15="Fixed",1,IF(Nonlabor!$I$15="Seats",ROUNDUP('Monthly Lean'!I23,0),IF(Nonlabor!$I$15="Customers",'Monthly Lean'!D23,IF(Nonlabor!$I$15="NewCustomers",'Monthly Lean'!C23,IF(Nonlabor!$I$15="StorageGB",'Monthly Lean'!G23,IF(Nonlabor!$I$15="LogGB",'Monthly Lean'!H23,IF(Nonlabor!$I$15="RequestsM",'Monthly Lean'!F23,IF(Nonlabor!$I$15="InputM",'Monthly Lean'!D23*Assumptions!$C$22/1000000,IF(Nonlabor!$I$15="OutputM",'Monthly Lean'!D23*Assumptions!$C$23/1000000,0))))))))),0)</f>
        <v>0</v>
      </c>
      <c r="F563" s="10" t="n">
        <f aca="false">Nonlabor!$J$15*(1+Assumptions!$C$9)^INT((C563-1)/12)</f>
        <v>20600</v>
      </c>
      <c r="G563" s="10" t="n">
        <f aca="false">E563*F563</f>
        <v>0</v>
      </c>
      <c r="H563" s="10" t="n">
        <f aca="false">IF(OR(Nonlabor!$L$15="Quote required",Nonlabor!$L$15="Unverified"),G563,0)</f>
        <v>0</v>
      </c>
      <c r="I563" s="10" t="n">
        <f aca="false">IF(Nonlabor!$E$15="Core",0,G563)</f>
        <v>0</v>
      </c>
      <c r="J563" s="23" t="str">
        <f aca="false">Nonlabor!$B$15</f>
        <v>LEGAL</v>
      </c>
    </row>
    <row r="564" customFormat="false" ht="15" hidden="false" customHeight="false" outlineLevel="0" collapsed="false">
      <c r="A564" s="6" t="s">
        <v>72</v>
      </c>
      <c r="B564" s="6" t="s">
        <v>402</v>
      </c>
      <c r="C564" s="6" t="n">
        <v>19</v>
      </c>
      <c r="D564" s="25" t="n">
        <f aca="false">EDATE('Start Here'!$B$6,C564-1)</f>
        <v>46874</v>
      </c>
      <c r="E564" s="23" t="n">
        <f aca="false">IF(AND(OR(Nonlabor!$D$15="Both",Nonlabor!$D$15='Start Here'!$B$9),IF(Nonlabor!$E$15="Core",1,IF(Nonlabor!$E$15="AI",'Start Here'!$B$7,'Start Here'!$B$8))=1,C564&gt;=IF(Nonlabor!$E$15="Core",Nonlabor!$F$15,MAX(Nonlabor!$F$15,IF(Nonlabor!$E$15="AI",Assumptions!$C$24,Assumptions!$C$25))),C564&lt;=Nonlabor!$G$15,OR(Nonlabor!$H$15="Monthly",AND(Nonlabor!$H$15="Once",C564=IF(Nonlabor!$E$15="Core",Nonlabor!$F$15,MAX(Nonlabor!$F$15,IF(Nonlabor!$E$15="AI",Assumptions!$C$24,Assumptions!$C$25)))),AND(Nonlabor!$H$15="Annual",MOD(C564-IF(Nonlabor!$E$15="Core",Nonlabor!$F$15,MAX(Nonlabor!$F$15,IF(Nonlabor!$E$15="AI",Assumptions!$C$24,Assumptions!$C$25))),12)=0))),IF(Nonlabor!$I$15="Fixed",1,IF(Nonlabor!$I$15="Seats",ROUNDUP('Monthly Lean'!I24,0),IF(Nonlabor!$I$15="Customers",'Monthly Lean'!D24,IF(Nonlabor!$I$15="NewCustomers",'Monthly Lean'!C24,IF(Nonlabor!$I$15="StorageGB",'Monthly Lean'!G24,IF(Nonlabor!$I$15="LogGB",'Monthly Lean'!H24,IF(Nonlabor!$I$15="RequestsM",'Monthly Lean'!F24,IF(Nonlabor!$I$15="InputM",'Monthly Lean'!D24*Assumptions!$C$22/1000000,IF(Nonlabor!$I$15="OutputM",'Monthly Lean'!D24*Assumptions!$C$23/1000000,0))))))))),0)</f>
        <v>0</v>
      </c>
      <c r="F564" s="10" t="n">
        <f aca="false">Nonlabor!$J$15*(1+Assumptions!$C$9)^INT((C564-1)/12)</f>
        <v>20600</v>
      </c>
      <c r="G564" s="10" t="n">
        <f aca="false">E564*F564</f>
        <v>0</v>
      </c>
      <c r="H564" s="10" t="n">
        <f aca="false">IF(OR(Nonlabor!$L$15="Quote required",Nonlabor!$L$15="Unverified"),G564,0)</f>
        <v>0</v>
      </c>
      <c r="I564" s="10" t="n">
        <f aca="false">IF(Nonlabor!$E$15="Core",0,G564)</f>
        <v>0</v>
      </c>
      <c r="J564" s="23" t="str">
        <f aca="false">Nonlabor!$B$15</f>
        <v>LEGAL</v>
      </c>
    </row>
    <row r="565" customFormat="false" ht="15" hidden="false" customHeight="false" outlineLevel="0" collapsed="false">
      <c r="A565" s="6" t="s">
        <v>72</v>
      </c>
      <c r="B565" s="6" t="s">
        <v>402</v>
      </c>
      <c r="C565" s="6" t="n">
        <v>20</v>
      </c>
      <c r="D565" s="25" t="n">
        <f aca="false">EDATE('Start Here'!$B$6,C565-1)</f>
        <v>46905</v>
      </c>
      <c r="E565" s="23" t="n">
        <f aca="false">IF(AND(OR(Nonlabor!$D$15="Both",Nonlabor!$D$15='Start Here'!$B$9),IF(Nonlabor!$E$15="Core",1,IF(Nonlabor!$E$15="AI",'Start Here'!$B$7,'Start Here'!$B$8))=1,C565&gt;=IF(Nonlabor!$E$15="Core",Nonlabor!$F$15,MAX(Nonlabor!$F$15,IF(Nonlabor!$E$15="AI",Assumptions!$C$24,Assumptions!$C$25))),C565&lt;=Nonlabor!$G$15,OR(Nonlabor!$H$15="Monthly",AND(Nonlabor!$H$15="Once",C565=IF(Nonlabor!$E$15="Core",Nonlabor!$F$15,MAX(Nonlabor!$F$15,IF(Nonlabor!$E$15="AI",Assumptions!$C$24,Assumptions!$C$25)))),AND(Nonlabor!$H$15="Annual",MOD(C565-IF(Nonlabor!$E$15="Core",Nonlabor!$F$15,MAX(Nonlabor!$F$15,IF(Nonlabor!$E$15="AI",Assumptions!$C$24,Assumptions!$C$25))),12)=0))),IF(Nonlabor!$I$15="Fixed",1,IF(Nonlabor!$I$15="Seats",ROUNDUP('Monthly Lean'!I25,0),IF(Nonlabor!$I$15="Customers",'Monthly Lean'!D25,IF(Nonlabor!$I$15="NewCustomers",'Monthly Lean'!C25,IF(Nonlabor!$I$15="StorageGB",'Monthly Lean'!G25,IF(Nonlabor!$I$15="LogGB",'Monthly Lean'!H25,IF(Nonlabor!$I$15="RequestsM",'Monthly Lean'!F25,IF(Nonlabor!$I$15="InputM",'Monthly Lean'!D25*Assumptions!$C$22/1000000,IF(Nonlabor!$I$15="OutputM",'Monthly Lean'!D25*Assumptions!$C$23/1000000,0))))))))),0)</f>
        <v>0</v>
      </c>
      <c r="F565" s="10" t="n">
        <f aca="false">Nonlabor!$J$15*(1+Assumptions!$C$9)^INT((C565-1)/12)</f>
        <v>20600</v>
      </c>
      <c r="G565" s="10" t="n">
        <f aca="false">E565*F565</f>
        <v>0</v>
      </c>
      <c r="H565" s="10" t="n">
        <f aca="false">IF(OR(Nonlabor!$L$15="Quote required",Nonlabor!$L$15="Unverified"),G565,0)</f>
        <v>0</v>
      </c>
      <c r="I565" s="10" t="n">
        <f aca="false">IF(Nonlabor!$E$15="Core",0,G565)</f>
        <v>0</v>
      </c>
      <c r="J565" s="23" t="str">
        <f aca="false">Nonlabor!$B$15</f>
        <v>LEGAL</v>
      </c>
    </row>
    <row r="566" customFormat="false" ht="15" hidden="false" customHeight="false" outlineLevel="0" collapsed="false">
      <c r="A566" s="6" t="s">
        <v>72</v>
      </c>
      <c r="B566" s="6" t="s">
        <v>402</v>
      </c>
      <c r="C566" s="6" t="n">
        <v>21</v>
      </c>
      <c r="D566" s="25" t="n">
        <f aca="false">EDATE('Start Here'!$B$6,C566-1)</f>
        <v>46935</v>
      </c>
      <c r="E566" s="23" t="n">
        <f aca="false">IF(AND(OR(Nonlabor!$D$15="Both",Nonlabor!$D$15='Start Here'!$B$9),IF(Nonlabor!$E$15="Core",1,IF(Nonlabor!$E$15="AI",'Start Here'!$B$7,'Start Here'!$B$8))=1,C566&gt;=IF(Nonlabor!$E$15="Core",Nonlabor!$F$15,MAX(Nonlabor!$F$15,IF(Nonlabor!$E$15="AI",Assumptions!$C$24,Assumptions!$C$25))),C566&lt;=Nonlabor!$G$15,OR(Nonlabor!$H$15="Monthly",AND(Nonlabor!$H$15="Once",C566=IF(Nonlabor!$E$15="Core",Nonlabor!$F$15,MAX(Nonlabor!$F$15,IF(Nonlabor!$E$15="AI",Assumptions!$C$24,Assumptions!$C$25)))),AND(Nonlabor!$H$15="Annual",MOD(C566-IF(Nonlabor!$E$15="Core",Nonlabor!$F$15,MAX(Nonlabor!$F$15,IF(Nonlabor!$E$15="AI",Assumptions!$C$24,Assumptions!$C$25))),12)=0))),IF(Nonlabor!$I$15="Fixed",1,IF(Nonlabor!$I$15="Seats",ROUNDUP('Monthly Lean'!I26,0),IF(Nonlabor!$I$15="Customers",'Monthly Lean'!D26,IF(Nonlabor!$I$15="NewCustomers",'Monthly Lean'!C26,IF(Nonlabor!$I$15="StorageGB",'Monthly Lean'!G26,IF(Nonlabor!$I$15="LogGB",'Monthly Lean'!H26,IF(Nonlabor!$I$15="RequestsM",'Monthly Lean'!F26,IF(Nonlabor!$I$15="InputM",'Monthly Lean'!D26*Assumptions!$C$22/1000000,IF(Nonlabor!$I$15="OutputM",'Monthly Lean'!D26*Assumptions!$C$23/1000000,0))))))))),0)</f>
        <v>0</v>
      </c>
      <c r="F566" s="10" t="n">
        <f aca="false">Nonlabor!$J$15*(1+Assumptions!$C$9)^INT((C566-1)/12)</f>
        <v>20600</v>
      </c>
      <c r="G566" s="10" t="n">
        <f aca="false">E566*F566</f>
        <v>0</v>
      </c>
      <c r="H566" s="10" t="n">
        <f aca="false">IF(OR(Nonlabor!$L$15="Quote required",Nonlabor!$L$15="Unverified"),G566,0)</f>
        <v>0</v>
      </c>
      <c r="I566" s="10" t="n">
        <f aca="false">IF(Nonlabor!$E$15="Core",0,G566)</f>
        <v>0</v>
      </c>
      <c r="J566" s="23" t="str">
        <f aca="false">Nonlabor!$B$15</f>
        <v>LEGAL</v>
      </c>
    </row>
    <row r="567" customFormat="false" ht="15" hidden="false" customHeight="false" outlineLevel="0" collapsed="false">
      <c r="A567" s="6" t="s">
        <v>72</v>
      </c>
      <c r="B567" s="6" t="s">
        <v>402</v>
      </c>
      <c r="C567" s="6" t="n">
        <v>22</v>
      </c>
      <c r="D567" s="25" t="n">
        <f aca="false">EDATE('Start Here'!$B$6,C567-1)</f>
        <v>46966</v>
      </c>
      <c r="E567" s="23" t="n">
        <f aca="false">IF(AND(OR(Nonlabor!$D$15="Both",Nonlabor!$D$15='Start Here'!$B$9),IF(Nonlabor!$E$15="Core",1,IF(Nonlabor!$E$15="AI",'Start Here'!$B$7,'Start Here'!$B$8))=1,C567&gt;=IF(Nonlabor!$E$15="Core",Nonlabor!$F$15,MAX(Nonlabor!$F$15,IF(Nonlabor!$E$15="AI",Assumptions!$C$24,Assumptions!$C$25))),C567&lt;=Nonlabor!$G$15,OR(Nonlabor!$H$15="Monthly",AND(Nonlabor!$H$15="Once",C567=IF(Nonlabor!$E$15="Core",Nonlabor!$F$15,MAX(Nonlabor!$F$15,IF(Nonlabor!$E$15="AI",Assumptions!$C$24,Assumptions!$C$25)))),AND(Nonlabor!$H$15="Annual",MOD(C567-IF(Nonlabor!$E$15="Core",Nonlabor!$F$15,MAX(Nonlabor!$F$15,IF(Nonlabor!$E$15="AI",Assumptions!$C$24,Assumptions!$C$25))),12)=0))),IF(Nonlabor!$I$15="Fixed",1,IF(Nonlabor!$I$15="Seats",ROUNDUP('Monthly Lean'!I27,0),IF(Nonlabor!$I$15="Customers",'Monthly Lean'!D27,IF(Nonlabor!$I$15="NewCustomers",'Monthly Lean'!C27,IF(Nonlabor!$I$15="StorageGB",'Monthly Lean'!G27,IF(Nonlabor!$I$15="LogGB",'Monthly Lean'!H27,IF(Nonlabor!$I$15="RequestsM",'Monthly Lean'!F27,IF(Nonlabor!$I$15="InputM",'Monthly Lean'!D27*Assumptions!$C$22/1000000,IF(Nonlabor!$I$15="OutputM",'Monthly Lean'!D27*Assumptions!$C$23/1000000,0))))))))),0)</f>
        <v>0</v>
      </c>
      <c r="F567" s="10" t="n">
        <f aca="false">Nonlabor!$J$15*(1+Assumptions!$C$9)^INT((C567-1)/12)</f>
        <v>20600</v>
      </c>
      <c r="G567" s="10" t="n">
        <f aca="false">E567*F567</f>
        <v>0</v>
      </c>
      <c r="H567" s="10" t="n">
        <f aca="false">IF(OR(Nonlabor!$L$15="Quote required",Nonlabor!$L$15="Unverified"),G567,0)</f>
        <v>0</v>
      </c>
      <c r="I567" s="10" t="n">
        <f aca="false">IF(Nonlabor!$E$15="Core",0,G567)</f>
        <v>0</v>
      </c>
      <c r="J567" s="23" t="str">
        <f aca="false">Nonlabor!$B$15</f>
        <v>LEGAL</v>
      </c>
    </row>
    <row r="568" customFormat="false" ht="15" hidden="false" customHeight="false" outlineLevel="0" collapsed="false">
      <c r="A568" s="6" t="s">
        <v>72</v>
      </c>
      <c r="B568" s="6" t="s">
        <v>402</v>
      </c>
      <c r="C568" s="6" t="n">
        <v>23</v>
      </c>
      <c r="D568" s="25" t="n">
        <f aca="false">EDATE('Start Here'!$B$6,C568-1)</f>
        <v>46997</v>
      </c>
      <c r="E568" s="23" t="n">
        <f aca="false">IF(AND(OR(Nonlabor!$D$15="Both",Nonlabor!$D$15='Start Here'!$B$9),IF(Nonlabor!$E$15="Core",1,IF(Nonlabor!$E$15="AI",'Start Here'!$B$7,'Start Here'!$B$8))=1,C568&gt;=IF(Nonlabor!$E$15="Core",Nonlabor!$F$15,MAX(Nonlabor!$F$15,IF(Nonlabor!$E$15="AI",Assumptions!$C$24,Assumptions!$C$25))),C568&lt;=Nonlabor!$G$15,OR(Nonlabor!$H$15="Monthly",AND(Nonlabor!$H$15="Once",C568=IF(Nonlabor!$E$15="Core",Nonlabor!$F$15,MAX(Nonlabor!$F$15,IF(Nonlabor!$E$15="AI",Assumptions!$C$24,Assumptions!$C$25)))),AND(Nonlabor!$H$15="Annual",MOD(C568-IF(Nonlabor!$E$15="Core",Nonlabor!$F$15,MAX(Nonlabor!$F$15,IF(Nonlabor!$E$15="AI",Assumptions!$C$24,Assumptions!$C$25))),12)=0))),IF(Nonlabor!$I$15="Fixed",1,IF(Nonlabor!$I$15="Seats",ROUNDUP('Monthly Lean'!I28,0),IF(Nonlabor!$I$15="Customers",'Monthly Lean'!D28,IF(Nonlabor!$I$15="NewCustomers",'Monthly Lean'!C28,IF(Nonlabor!$I$15="StorageGB",'Monthly Lean'!G28,IF(Nonlabor!$I$15="LogGB",'Monthly Lean'!H28,IF(Nonlabor!$I$15="RequestsM",'Monthly Lean'!F28,IF(Nonlabor!$I$15="InputM",'Monthly Lean'!D28*Assumptions!$C$22/1000000,IF(Nonlabor!$I$15="OutputM",'Monthly Lean'!D28*Assumptions!$C$23/1000000,0))))))))),0)</f>
        <v>0</v>
      </c>
      <c r="F568" s="10" t="n">
        <f aca="false">Nonlabor!$J$15*(1+Assumptions!$C$9)^INT((C568-1)/12)</f>
        <v>20600</v>
      </c>
      <c r="G568" s="10" t="n">
        <f aca="false">E568*F568</f>
        <v>0</v>
      </c>
      <c r="H568" s="10" t="n">
        <f aca="false">IF(OR(Nonlabor!$L$15="Quote required",Nonlabor!$L$15="Unverified"),G568,0)</f>
        <v>0</v>
      </c>
      <c r="I568" s="10" t="n">
        <f aca="false">IF(Nonlabor!$E$15="Core",0,G568)</f>
        <v>0</v>
      </c>
      <c r="J568" s="23" t="str">
        <f aca="false">Nonlabor!$B$15</f>
        <v>LEGAL</v>
      </c>
    </row>
    <row r="569" customFormat="false" ht="15" hidden="false" customHeight="false" outlineLevel="0" collapsed="false">
      <c r="A569" s="6" t="s">
        <v>72</v>
      </c>
      <c r="B569" s="6" t="s">
        <v>402</v>
      </c>
      <c r="C569" s="6" t="n">
        <v>24</v>
      </c>
      <c r="D569" s="25" t="n">
        <f aca="false">EDATE('Start Here'!$B$6,C569-1)</f>
        <v>47027</v>
      </c>
      <c r="E569" s="23" t="n">
        <f aca="false">IF(AND(OR(Nonlabor!$D$15="Both",Nonlabor!$D$15='Start Here'!$B$9),IF(Nonlabor!$E$15="Core",1,IF(Nonlabor!$E$15="AI",'Start Here'!$B$7,'Start Here'!$B$8))=1,C569&gt;=IF(Nonlabor!$E$15="Core",Nonlabor!$F$15,MAX(Nonlabor!$F$15,IF(Nonlabor!$E$15="AI",Assumptions!$C$24,Assumptions!$C$25))),C569&lt;=Nonlabor!$G$15,OR(Nonlabor!$H$15="Monthly",AND(Nonlabor!$H$15="Once",C569=IF(Nonlabor!$E$15="Core",Nonlabor!$F$15,MAX(Nonlabor!$F$15,IF(Nonlabor!$E$15="AI",Assumptions!$C$24,Assumptions!$C$25)))),AND(Nonlabor!$H$15="Annual",MOD(C569-IF(Nonlabor!$E$15="Core",Nonlabor!$F$15,MAX(Nonlabor!$F$15,IF(Nonlabor!$E$15="AI",Assumptions!$C$24,Assumptions!$C$25))),12)=0))),IF(Nonlabor!$I$15="Fixed",1,IF(Nonlabor!$I$15="Seats",ROUNDUP('Monthly Lean'!I29,0),IF(Nonlabor!$I$15="Customers",'Monthly Lean'!D29,IF(Nonlabor!$I$15="NewCustomers",'Monthly Lean'!C29,IF(Nonlabor!$I$15="StorageGB",'Monthly Lean'!G29,IF(Nonlabor!$I$15="LogGB",'Monthly Lean'!H29,IF(Nonlabor!$I$15="RequestsM",'Monthly Lean'!F29,IF(Nonlabor!$I$15="InputM",'Monthly Lean'!D29*Assumptions!$C$22/1000000,IF(Nonlabor!$I$15="OutputM",'Monthly Lean'!D29*Assumptions!$C$23/1000000,0))))))))),0)</f>
        <v>0</v>
      </c>
      <c r="F569" s="10" t="n">
        <f aca="false">Nonlabor!$J$15*(1+Assumptions!$C$9)^INT((C569-1)/12)</f>
        <v>20600</v>
      </c>
      <c r="G569" s="10" t="n">
        <f aca="false">E569*F569</f>
        <v>0</v>
      </c>
      <c r="H569" s="10" t="n">
        <f aca="false">IF(OR(Nonlabor!$L$15="Quote required",Nonlabor!$L$15="Unverified"),G569,0)</f>
        <v>0</v>
      </c>
      <c r="I569" s="10" t="n">
        <f aca="false">IF(Nonlabor!$E$15="Core",0,G569)</f>
        <v>0</v>
      </c>
      <c r="J569" s="23" t="str">
        <f aca="false">Nonlabor!$B$15</f>
        <v>LEGAL</v>
      </c>
    </row>
    <row r="570" customFormat="false" ht="15" hidden="false" customHeight="false" outlineLevel="0" collapsed="false">
      <c r="A570" s="6" t="s">
        <v>72</v>
      </c>
      <c r="B570" s="6" t="s">
        <v>402</v>
      </c>
      <c r="C570" s="6" t="n">
        <v>25</v>
      </c>
      <c r="D570" s="25" t="n">
        <f aca="false">EDATE('Start Here'!$B$6,C570-1)</f>
        <v>47058</v>
      </c>
      <c r="E570" s="23" t="n">
        <f aca="false">IF(AND(OR(Nonlabor!$D$15="Both",Nonlabor!$D$15='Start Here'!$B$9),IF(Nonlabor!$E$15="Core",1,IF(Nonlabor!$E$15="AI",'Start Here'!$B$7,'Start Here'!$B$8))=1,C570&gt;=IF(Nonlabor!$E$15="Core",Nonlabor!$F$15,MAX(Nonlabor!$F$15,IF(Nonlabor!$E$15="AI",Assumptions!$C$24,Assumptions!$C$25))),C570&lt;=Nonlabor!$G$15,OR(Nonlabor!$H$15="Monthly",AND(Nonlabor!$H$15="Once",C570=IF(Nonlabor!$E$15="Core",Nonlabor!$F$15,MAX(Nonlabor!$F$15,IF(Nonlabor!$E$15="AI",Assumptions!$C$24,Assumptions!$C$25)))),AND(Nonlabor!$H$15="Annual",MOD(C570-IF(Nonlabor!$E$15="Core",Nonlabor!$F$15,MAX(Nonlabor!$F$15,IF(Nonlabor!$E$15="AI",Assumptions!$C$24,Assumptions!$C$25))),12)=0))),IF(Nonlabor!$I$15="Fixed",1,IF(Nonlabor!$I$15="Seats",ROUNDUP('Monthly Lean'!I30,0),IF(Nonlabor!$I$15="Customers",'Monthly Lean'!D30,IF(Nonlabor!$I$15="NewCustomers",'Monthly Lean'!C30,IF(Nonlabor!$I$15="StorageGB",'Monthly Lean'!G30,IF(Nonlabor!$I$15="LogGB",'Monthly Lean'!H30,IF(Nonlabor!$I$15="RequestsM",'Monthly Lean'!F30,IF(Nonlabor!$I$15="InputM",'Monthly Lean'!D30*Assumptions!$C$22/1000000,IF(Nonlabor!$I$15="OutputM",'Monthly Lean'!D30*Assumptions!$C$23/1000000,0))))))))),0)</f>
        <v>0</v>
      </c>
      <c r="F570" s="10" t="n">
        <f aca="false">Nonlabor!$J$15*(1+Assumptions!$C$9)^INT((C570-1)/12)</f>
        <v>21218</v>
      </c>
      <c r="G570" s="10" t="n">
        <f aca="false">E570*F570</f>
        <v>0</v>
      </c>
      <c r="H570" s="10" t="n">
        <f aca="false">IF(OR(Nonlabor!$L$15="Quote required",Nonlabor!$L$15="Unverified"),G570,0)</f>
        <v>0</v>
      </c>
      <c r="I570" s="10" t="n">
        <f aca="false">IF(Nonlabor!$E$15="Core",0,G570)</f>
        <v>0</v>
      </c>
      <c r="J570" s="23" t="str">
        <f aca="false">Nonlabor!$B$15</f>
        <v>LEGAL</v>
      </c>
    </row>
    <row r="571" customFormat="false" ht="15" hidden="false" customHeight="false" outlineLevel="0" collapsed="false">
      <c r="A571" s="6" t="s">
        <v>72</v>
      </c>
      <c r="B571" s="6" t="s">
        <v>402</v>
      </c>
      <c r="C571" s="6" t="n">
        <v>26</v>
      </c>
      <c r="D571" s="25" t="n">
        <f aca="false">EDATE('Start Here'!$B$6,C571-1)</f>
        <v>47088</v>
      </c>
      <c r="E571" s="23" t="n">
        <f aca="false">IF(AND(OR(Nonlabor!$D$15="Both",Nonlabor!$D$15='Start Here'!$B$9),IF(Nonlabor!$E$15="Core",1,IF(Nonlabor!$E$15="AI",'Start Here'!$B$7,'Start Here'!$B$8))=1,C571&gt;=IF(Nonlabor!$E$15="Core",Nonlabor!$F$15,MAX(Nonlabor!$F$15,IF(Nonlabor!$E$15="AI",Assumptions!$C$24,Assumptions!$C$25))),C571&lt;=Nonlabor!$G$15,OR(Nonlabor!$H$15="Monthly",AND(Nonlabor!$H$15="Once",C571=IF(Nonlabor!$E$15="Core",Nonlabor!$F$15,MAX(Nonlabor!$F$15,IF(Nonlabor!$E$15="AI",Assumptions!$C$24,Assumptions!$C$25)))),AND(Nonlabor!$H$15="Annual",MOD(C571-IF(Nonlabor!$E$15="Core",Nonlabor!$F$15,MAX(Nonlabor!$F$15,IF(Nonlabor!$E$15="AI",Assumptions!$C$24,Assumptions!$C$25))),12)=0))),IF(Nonlabor!$I$15="Fixed",1,IF(Nonlabor!$I$15="Seats",ROUNDUP('Monthly Lean'!I31,0),IF(Nonlabor!$I$15="Customers",'Monthly Lean'!D31,IF(Nonlabor!$I$15="NewCustomers",'Monthly Lean'!C31,IF(Nonlabor!$I$15="StorageGB",'Monthly Lean'!G31,IF(Nonlabor!$I$15="LogGB",'Monthly Lean'!H31,IF(Nonlabor!$I$15="RequestsM",'Monthly Lean'!F31,IF(Nonlabor!$I$15="InputM",'Monthly Lean'!D31*Assumptions!$C$22/1000000,IF(Nonlabor!$I$15="OutputM",'Monthly Lean'!D31*Assumptions!$C$23/1000000,0))))))))),0)</f>
        <v>0</v>
      </c>
      <c r="F571" s="10" t="n">
        <f aca="false">Nonlabor!$J$15*(1+Assumptions!$C$9)^INT((C571-1)/12)</f>
        <v>21218</v>
      </c>
      <c r="G571" s="10" t="n">
        <f aca="false">E571*F571</f>
        <v>0</v>
      </c>
      <c r="H571" s="10" t="n">
        <f aca="false">IF(OR(Nonlabor!$L$15="Quote required",Nonlabor!$L$15="Unverified"),G571,0)</f>
        <v>0</v>
      </c>
      <c r="I571" s="10" t="n">
        <f aca="false">IF(Nonlabor!$E$15="Core",0,G571)</f>
        <v>0</v>
      </c>
      <c r="J571" s="23" t="str">
        <f aca="false">Nonlabor!$B$15</f>
        <v>LEGAL</v>
      </c>
    </row>
    <row r="572" customFormat="false" ht="15" hidden="false" customHeight="false" outlineLevel="0" collapsed="false">
      <c r="A572" s="6" t="s">
        <v>72</v>
      </c>
      <c r="B572" s="6" t="s">
        <v>402</v>
      </c>
      <c r="C572" s="6" t="n">
        <v>27</v>
      </c>
      <c r="D572" s="25" t="n">
        <f aca="false">EDATE('Start Here'!$B$6,C572-1)</f>
        <v>47119</v>
      </c>
      <c r="E572" s="23" t="n">
        <f aca="false">IF(AND(OR(Nonlabor!$D$15="Both",Nonlabor!$D$15='Start Here'!$B$9),IF(Nonlabor!$E$15="Core",1,IF(Nonlabor!$E$15="AI",'Start Here'!$B$7,'Start Here'!$B$8))=1,C572&gt;=IF(Nonlabor!$E$15="Core",Nonlabor!$F$15,MAX(Nonlabor!$F$15,IF(Nonlabor!$E$15="AI",Assumptions!$C$24,Assumptions!$C$25))),C572&lt;=Nonlabor!$G$15,OR(Nonlabor!$H$15="Monthly",AND(Nonlabor!$H$15="Once",C572=IF(Nonlabor!$E$15="Core",Nonlabor!$F$15,MAX(Nonlabor!$F$15,IF(Nonlabor!$E$15="AI",Assumptions!$C$24,Assumptions!$C$25)))),AND(Nonlabor!$H$15="Annual",MOD(C572-IF(Nonlabor!$E$15="Core",Nonlabor!$F$15,MAX(Nonlabor!$F$15,IF(Nonlabor!$E$15="AI",Assumptions!$C$24,Assumptions!$C$25))),12)=0))),IF(Nonlabor!$I$15="Fixed",1,IF(Nonlabor!$I$15="Seats",ROUNDUP('Monthly Lean'!I32,0),IF(Nonlabor!$I$15="Customers",'Monthly Lean'!D32,IF(Nonlabor!$I$15="NewCustomers",'Monthly Lean'!C32,IF(Nonlabor!$I$15="StorageGB",'Monthly Lean'!G32,IF(Nonlabor!$I$15="LogGB",'Monthly Lean'!H32,IF(Nonlabor!$I$15="RequestsM",'Monthly Lean'!F32,IF(Nonlabor!$I$15="InputM",'Monthly Lean'!D32*Assumptions!$C$22/1000000,IF(Nonlabor!$I$15="OutputM",'Monthly Lean'!D32*Assumptions!$C$23/1000000,0))))))))),0)</f>
        <v>0</v>
      </c>
      <c r="F572" s="10" t="n">
        <f aca="false">Nonlabor!$J$15*(1+Assumptions!$C$9)^INT((C572-1)/12)</f>
        <v>21218</v>
      </c>
      <c r="G572" s="10" t="n">
        <f aca="false">E572*F572</f>
        <v>0</v>
      </c>
      <c r="H572" s="10" t="n">
        <f aca="false">IF(OR(Nonlabor!$L$15="Quote required",Nonlabor!$L$15="Unverified"),G572,0)</f>
        <v>0</v>
      </c>
      <c r="I572" s="10" t="n">
        <f aca="false">IF(Nonlabor!$E$15="Core",0,G572)</f>
        <v>0</v>
      </c>
      <c r="J572" s="23" t="str">
        <f aca="false">Nonlabor!$B$15</f>
        <v>LEGAL</v>
      </c>
    </row>
    <row r="573" customFormat="false" ht="15" hidden="false" customHeight="false" outlineLevel="0" collapsed="false">
      <c r="A573" s="6" t="s">
        <v>72</v>
      </c>
      <c r="B573" s="6" t="s">
        <v>402</v>
      </c>
      <c r="C573" s="6" t="n">
        <v>28</v>
      </c>
      <c r="D573" s="25" t="n">
        <f aca="false">EDATE('Start Here'!$B$6,C573-1)</f>
        <v>47150</v>
      </c>
      <c r="E573" s="23" t="n">
        <f aca="false">IF(AND(OR(Nonlabor!$D$15="Both",Nonlabor!$D$15='Start Here'!$B$9),IF(Nonlabor!$E$15="Core",1,IF(Nonlabor!$E$15="AI",'Start Here'!$B$7,'Start Here'!$B$8))=1,C573&gt;=IF(Nonlabor!$E$15="Core",Nonlabor!$F$15,MAX(Nonlabor!$F$15,IF(Nonlabor!$E$15="AI",Assumptions!$C$24,Assumptions!$C$25))),C573&lt;=Nonlabor!$G$15,OR(Nonlabor!$H$15="Monthly",AND(Nonlabor!$H$15="Once",C573=IF(Nonlabor!$E$15="Core",Nonlabor!$F$15,MAX(Nonlabor!$F$15,IF(Nonlabor!$E$15="AI",Assumptions!$C$24,Assumptions!$C$25)))),AND(Nonlabor!$H$15="Annual",MOD(C573-IF(Nonlabor!$E$15="Core",Nonlabor!$F$15,MAX(Nonlabor!$F$15,IF(Nonlabor!$E$15="AI",Assumptions!$C$24,Assumptions!$C$25))),12)=0))),IF(Nonlabor!$I$15="Fixed",1,IF(Nonlabor!$I$15="Seats",ROUNDUP('Monthly Lean'!I33,0),IF(Nonlabor!$I$15="Customers",'Monthly Lean'!D33,IF(Nonlabor!$I$15="NewCustomers",'Monthly Lean'!C33,IF(Nonlabor!$I$15="StorageGB",'Monthly Lean'!G33,IF(Nonlabor!$I$15="LogGB",'Monthly Lean'!H33,IF(Nonlabor!$I$15="RequestsM",'Monthly Lean'!F33,IF(Nonlabor!$I$15="InputM",'Monthly Lean'!D33*Assumptions!$C$22/1000000,IF(Nonlabor!$I$15="OutputM",'Monthly Lean'!D33*Assumptions!$C$23/1000000,0))))))))),0)</f>
        <v>0</v>
      </c>
      <c r="F573" s="10" t="n">
        <f aca="false">Nonlabor!$J$15*(1+Assumptions!$C$9)^INT((C573-1)/12)</f>
        <v>21218</v>
      </c>
      <c r="G573" s="10" t="n">
        <f aca="false">E573*F573</f>
        <v>0</v>
      </c>
      <c r="H573" s="10" t="n">
        <f aca="false">IF(OR(Nonlabor!$L$15="Quote required",Nonlabor!$L$15="Unverified"),G573,0)</f>
        <v>0</v>
      </c>
      <c r="I573" s="10" t="n">
        <f aca="false">IF(Nonlabor!$E$15="Core",0,G573)</f>
        <v>0</v>
      </c>
      <c r="J573" s="23" t="str">
        <f aca="false">Nonlabor!$B$15</f>
        <v>LEGAL</v>
      </c>
    </row>
    <row r="574" customFormat="false" ht="15" hidden="false" customHeight="false" outlineLevel="0" collapsed="false">
      <c r="A574" s="6" t="s">
        <v>72</v>
      </c>
      <c r="B574" s="6" t="s">
        <v>402</v>
      </c>
      <c r="C574" s="6" t="n">
        <v>29</v>
      </c>
      <c r="D574" s="25" t="n">
        <f aca="false">EDATE('Start Here'!$B$6,C574-1)</f>
        <v>47178</v>
      </c>
      <c r="E574" s="23" t="n">
        <f aca="false">IF(AND(OR(Nonlabor!$D$15="Both",Nonlabor!$D$15='Start Here'!$B$9),IF(Nonlabor!$E$15="Core",1,IF(Nonlabor!$E$15="AI",'Start Here'!$B$7,'Start Here'!$B$8))=1,C574&gt;=IF(Nonlabor!$E$15="Core",Nonlabor!$F$15,MAX(Nonlabor!$F$15,IF(Nonlabor!$E$15="AI",Assumptions!$C$24,Assumptions!$C$25))),C574&lt;=Nonlabor!$G$15,OR(Nonlabor!$H$15="Monthly",AND(Nonlabor!$H$15="Once",C574=IF(Nonlabor!$E$15="Core",Nonlabor!$F$15,MAX(Nonlabor!$F$15,IF(Nonlabor!$E$15="AI",Assumptions!$C$24,Assumptions!$C$25)))),AND(Nonlabor!$H$15="Annual",MOD(C574-IF(Nonlabor!$E$15="Core",Nonlabor!$F$15,MAX(Nonlabor!$F$15,IF(Nonlabor!$E$15="AI",Assumptions!$C$24,Assumptions!$C$25))),12)=0))),IF(Nonlabor!$I$15="Fixed",1,IF(Nonlabor!$I$15="Seats",ROUNDUP('Monthly Lean'!I34,0),IF(Nonlabor!$I$15="Customers",'Monthly Lean'!D34,IF(Nonlabor!$I$15="NewCustomers",'Monthly Lean'!C34,IF(Nonlabor!$I$15="StorageGB",'Monthly Lean'!G34,IF(Nonlabor!$I$15="LogGB",'Monthly Lean'!H34,IF(Nonlabor!$I$15="RequestsM",'Monthly Lean'!F34,IF(Nonlabor!$I$15="InputM",'Monthly Lean'!D34*Assumptions!$C$22/1000000,IF(Nonlabor!$I$15="OutputM",'Monthly Lean'!D34*Assumptions!$C$23/1000000,0))))))))),0)</f>
        <v>0</v>
      </c>
      <c r="F574" s="10" t="n">
        <f aca="false">Nonlabor!$J$15*(1+Assumptions!$C$9)^INT((C574-1)/12)</f>
        <v>21218</v>
      </c>
      <c r="G574" s="10" t="n">
        <f aca="false">E574*F574</f>
        <v>0</v>
      </c>
      <c r="H574" s="10" t="n">
        <f aca="false">IF(OR(Nonlabor!$L$15="Quote required",Nonlabor!$L$15="Unverified"),G574,0)</f>
        <v>0</v>
      </c>
      <c r="I574" s="10" t="n">
        <f aca="false">IF(Nonlabor!$E$15="Core",0,G574)</f>
        <v>0</v>
      </c>
      <c r="J574" s="23" t="str">
        <f aca="false">Nonlabor!$B$15</f>
        <v>LEGAL</v>
      </c>
    </row>
    <row r="575" customFormat="false" ht="15" hidden="false" customHeight="false" outlineLevel="0" collapsed="false">
      <c r="A575" s="6" t="s">
        <v>72</v>
      </c>
      <c r="B575" s="6" t="s">
        <v>402</v>
      </c>
      <c r="C575" s="6" t="n">
        <v>30</v>
      </c>
      <c r="D575" s="25" t="n">
        <f aca="false">EDATE('Start Here'!$B$6,C575-1)</f>
        <v>47209</v>
      </c>
      <c r="E575" s="23" t="n">
        <f aca="false">IF(AND(OR(Nonlabor!$D$15="Both",Nonlabor!$D$15='Start Here'!$B$9),IF(Nonlabor!$E$15="Core",1,IF(Nonlabor!$E$15="AI",'Start Here'!$B$7,'Start Here'!$B$8))=1,C575&gt;=IF(Nonlabor!$E$15="Core",Nonlabor!$F$15,MAX(Nonlabor!$F$15,IF(Nonlabor!$E$15="AI",Assumptions!$C$24,Assumptions!$C$25))),C575&lt;=Nonlabor!$G$15,OR(Nonlabor!$H$15="Monthly",AND(Nonlabor!$H$15="Once",C575=IF(Nonlabor!$E$15="Core",Nonlabor!$F$15,MAX(Nonlabor!$F$15,IF(Nonlabor!$E$15="AI",Assumptions!$C$24,Assumptions!$C$25)))),AND(Nonlabor!$H$15="Annual",MOD(C575-IF(Nonlabor!$E$15="Core",Nonlabor!$F$15,MAX(Nonlabor!$F$15,IF(Nonlabor!$E$15="AI",Assumptions!$C$24,Assumptions!$C$25))),12)=0))),IF(Nonlabor!$I$15="Fixed",1,IF(Nonlabor!$I$15="Seats",ROUNDUP('Monthly Lean'!I35,0),IF(Nonlabor!$I$15="Customers",'Monthly Lean'!D35,IF(Nonlabor!$I$15="NewCustomers",'Monthly Lean'!C35,IF(Nonlabor!$I$15="StorageGB",'Monthly Lean'!G35,IF(Nonlabor!$I$15="LogGB",'Monthly Lean'!H35,IF(Nonlabor!$I$15="RequestsM",'Monthly Lean'!F35,IF(Nonlabor!$I$15="InputM",'Monthly Lean'!D35*Assumptions!$C$22/1000000,IF(Nonlabor!$I$15="OutputM",'Monthly Lean'!D35*Assumptions!$C$23/1000000,0))))))))),0)</f>
        <v>0</v>
      </c>
      <c r="F575" s="10" t="n">
        <f aca="false">Nonlabor!$J$15*(1+Assumptions!$C$9)^INT((C575-1)/12)</f>
        <v>21218</v>
      </c>
      <c r="G575" s="10" t="n">
        <f aca="false">E575*F575</f>
        <v>0</v>
      </c>
      <c r="H575" s="10" t="n">
        <f aca="false">IF(OR(Nonlabor!$L$15="Quote required",Nonlabor!$L$15="Unverified"),G575,0)</f>
        <v>0</v>
      </c>
      <c r="I575" s="10" t="n">
        <f aca="false">IF(Nonlabor!$E$15="Core",0,G575)</f>
        <v>0</v>
      </c>
      <c r="J575" s="23" t="str">
        <f aca="false">Nonlabor!$B$15</f>
        <v>LEGAL</v>
      </c>
    </row>
    <row r="576" customFormat="false" ht="15" hidden="false" customHeight="false" outlineLevel="0" collapsed="false">
      <c r="A576" s="6" t="s">
        <v>72</v>
      </c>
      <c r="B576" s="6" t="s">
        <v>402</v>
      </c>
      <c r="C576" s="6" t="n">
        <v>31</v>
      </c>
      <c r="D576" s="25" t="n">
        <f aca="false">EDATE('Start Here'!$B$6,C576-1)</f>
        <v>47239</v>
      </c>
      <c r="E576" s="23" t="n">
        <f aca="false">IF(AND(OR(Nonlabor!$D$15="Both",Nonlabor!$D$15='Start Here'!$B$9),IF(Nonlabor!$E$15="Core",1,IF(Nonlabor!$E$15="AI",'Start Here'!$B$7,'Start Here'!$B$8))=1,C576&gt;=IF(Nonlabor!$E$15="Core",Nonlabor!$F$15,MAX(Nonlabor!$F$15,IF(Nonlabor!$E$15="AI",Assumptions!$C$24,Assumptions!$C$25))),C576&lt;=Nonlabor!$G$15,OR(Nonlabor!$H$15="Monthly",AND(Nonlabor!$H$15="Once",C576=IF(Nonlabor!$E$15="Core",Nonlabor!$F$15,MAX(Nonlabor!$F$15,IF(Nonlabor!$E$15="AI",Assumptions!$C$24,Assumptions!$C$25)))),AND(Nonlabor!$H$15="Annual",MOD(C576-IF(Nonlabor!$E$15="Core",Nonlabor!$F$15,MAX(Nonlabor!$F$15,IF(Nonlabor!$E$15="AI",Assumptions!$C$24,Assumptions!$C$25))),12)=0))),IF(Nonlabor!$I$15="Fixed",1,IF(Nonlabor!$I$15="Seats",ROUNDUP('Monthly Lean'!I36,0),IF(Nonlabor!$I$15="Customers",'Monthly Lean'!D36,IF(Nonlabor!$I$15="NewCustomers",'Monthly Lean'!C36,IF(Nonlabor!$I$15="StorageGB",'Monthly Lean'!G36,IF(Nonlabor!$I$15="LogGB",'Monthly Lean'!H36,IF(Nonlabor!$I$15="RequestsM",'Monthly Lean'!F36,IF(Nonlabor!$I$15="InputM",'Monthly Lean'!D36*Assumptions!$C$22/1000000,IF(Nonlabor!$I$15="OutputM",'Monthly Lean'!D36*Assumptions!$C$23/1000000,0))))))))),0)</f>
        <v>0</v>
      </c>
      <c r="F576" s="10" t="n">
        <f aca="false">Nonlabor!$J$15*(1+Assumptions!$C$9)^INT((C576-1)/12)</f>
        <v>21218</v>
      </c>
      <c r="G576" s="10" t="n">
        <f aca="false">E576*F576</f>
        <v>0</v>
      </c>
      <c r="H576" s="10" t="n">
        <f aca="false">IF(OR(Nonlabor!$L$15="Quote required",Nonlabor!$L$15="Unverified"),G576,0)</f>
        <v>0</v>
      </c>
      <c r="I576" s="10" t="n">
        <f aca="false">IF(Nonlabor!$E$15="Core",0,G576)</f>
        <v>0</v>
      </c>
      <c r="J576" s="23" t="str">
        <f aca="false">Nonlabor!$B$15</f>
        <v>LEGAL</v>
      </c>
    </row>
    <row r="577" customFormat="false" ht="15" hidden="false" customHeight="false" outlineLevel="0" collapsed="false">
      <c r="A577" s="6" t="s">
        <v>72</v>
      </c>
      <c r="B577" s="6" t="s">
        <v>402</v>
      </c>
      <c r="C577" s="6" t="n">
        <v>32</v>
      </c>
      <c r="D577" s="25" t="n">
        <f aca="false">EDATE('Start Here'!$B$6,C577-1)</f>
        <v>47270</v>
      </c>
      <c r="E577" s="23" t="n">
        <f aca="false">IF(AND(OR(Nonlabor!$D$15="Both",Nonlabor!$D$15='Start Here'!$B$9),IF(Nonlabor!$E$15="Core",1,IF(Nonlabor!$E$15="AI",'Start Here'!$B$7,'Start Here'!$B$8))=1,C577&gt;=IF(Nonlabor!$E$15="Core",Nonlabor!$F$15,MAX(Nonlabor!$F$15,IF(Nonlabor!$E$15="AI",Assumptions!$C$24,Assumptions!$C$25))),C577&lt;=Nonlabor!$G$15,OR(Nonlabor!$H$15="Monthly",AND(Nonlabor!$H$15="Once",C577=IF(Nonlabor!$E$15="Core",Nonlabor!$F$15,MAX(Nonlabor!$F$15,IF(Nonlabor!$E$15="AI",Assumptions!$C$24,Assumptions!$C$25)))),AND(Nonlabor!$H$15="Annual",MOD(C577-IF(Nonlabor!$E$15="Core",Nonlabor!$F$15,MAX(Nonlabor!$F$15,IF(Nonlabor!$E$15="AI",Assumptions!$C$24,Assumptions!$C$25))),12)=0))),IF(Nonlabor!$I$15="Fixed",1,IF(Nonlabor!$I$15="Seats",ROUNDUP('Monthly Lean'!I37,0),IF(Nonlabor!$I$15="Customers",'Monthly Lean'!D37,IF(Nonlabor!$I$15="NewCustomers",'Monthly Lean'!C37,IF(Nonlabor!$I$15="StorageGB",'Monthly Lean'!G37,IF(Nonlabor!$I$15="LogGB",'Monthly Lean'!H37,IF(Nonlabor!$I$15="RequestsM",'Monthly Lean'!F37,IF(Nonlabor!$I$15="InputM",'Monthly Lean'!D37*Assumptions!$C$22/1000000,IF(Nonlabor!$I$15="OutputM",'Monthly Lean'!D37*Assumptions!$C$23/1000000,0))))))))),0)</f>
        <v>0</v>
      </c>
      <c r="F577" s="10" t="n">
        <f aca="false">Nonlabor!$J$15*(1+Assumptions!$C$9)^INT((C577-1)/12)</f>
        <v>21218</v>
      </c>
      <c r="G577" s="10" t="n">
        <f aca="false">E577*F577</f>
        <v>0</v>
      </c>
      <c r="H577" s="10" t="n">
        <f aca="false">IF(OR(Nonlabor!$L$15="Quote required",Nonlabor!$L$15="Unverified"),G577,0)</f>
        <v>0</v>
      </c>
      <c r="I577" s="10" t="n">
        <f aca="false">IF(Nonlabor!$E$15="Core",0,G577)</f>
        <v>0</v>
      </c>
      <c r="J577" s="23" t="str">
        <f aca="false">Nonlabor!$B$15</f>
        <v>LEGAL</v>
      </c>
    </row>
    <row r="578" customFormat="false" ht="15" hidden="false" customHeight="false" outlineLevel="0" collapsed="false">
      <c r="A578" s="6" t="s">
        <v>72</v>
      </c>
      <c r="B578" s="6" t="s">
        <v>402</v>
      </c>
      <c r="C578" s="6" t="n">
        <v>33</v>
      </c>
      <c r="D578" s="25" t="n">
        <f aca="false">EDATE('Start Here'!$B$6,C578-1)</f>
        <v>47300</v>
      </c>
      <c r="E578" s="23" t="n">
        <f aca="false">IF(AND(OR(Nonlabor!$D$15="Both",Nonlabor!$D$15='Start Here'!$B$9),IF(Nonlabor!$E$15="Core",1,IF(Nonlabor!$E$15="AI",'Start Here'!$B$7,'Start Here'!$B$8))=1,C578&gt;=IF(Nonlabor!$E$15="Core",Nonlabor!$F$15,MAX(Nonlabor!$F$15,IF(Nonlabor!$E$15="AI",Assumptions!$C$24,Assumptions!$C$25))),C578&lt;=Nonlabor!$G$15,OR(Nonlabor!$H$15="Monthly",AND(Nonlabor!$H$15="Once",C578=IF(Nonlabor!$E$15="Core",Nonlabor!$F$15,MAX(Nonlabor!$F$15,IF(Nonlabor!$E$15="AI",Assumptions!$C$24,Assumptions!$C$25)))),AND(Nonlabor!$H$15="Annual",MOD(C578-IF(Nonlabor!$E$15="Core",Nonlabor!$F$15,MAX(Nonlabor!$F$15,IF(Nonlabor!$E$15="AI",Assumptions!$C$24,Assumptions!$C$25))),12)=0))),IF(Nonlabor!$I$15="Fixed",1,IF(Nonlabor!$I$15="Seats",ROUNDUP('Monthly Lean'!I38,0),IF(Nonlabor!$I$15="Customers",'Monthly Lean'!D38,IF(Nonlabor!$I$15="NewCustomers",'Monthly Lean'!C38,IF(Nonlabor!$I$15="StorageGB",'Monthly Lean'!G38,IF(Nonlabor!$I$15="LogGB",'Monthly Lean'!H38,IF(Nonlabor!$I$15="RequestsM",'Monthly Lean'!F38,IF(Nonlabor!$I$15="InputM",'Monthly Lean'!D38*Assumptions!$C$22/1000000,IF(Nonlabor!$I$15="OutputM",'Monthly Lean'!D38*Assumptions!$C$23/1000000,0))))))))),0)</f>
        <v>0</v>
      </c>
      <c r="F578" s="10" t="n">
        <f aca="false">Nonlabor!$J$15*(1+Assumptions!$C$9)^INT((C578-1)/12)</f>
        <v>21218</v>
      </c>
      <c r="G578" s="10" t="n">
        <f aca="false">E578*F578</f>
        <v>0</v>
      </c>
      <c r="H578" s="10" t="n">
        <f aca="false">IF(OR(Nonlabor!$L$15="Quote required",Nonlabor!$L$15="Unverified"),G578,0)</f>
        <v>0</v>
      </c>
      <c r="I578" s="10" t="n">
        <f aca="false">IF(Nonlabor!$E$15="Core",0,G578)</f>
        <v>0</v>
      </c>
      <c r="J578" s="23" t="str">
        <f aca="false">Nonlabor!$B$15</f>
        <v>LEGAL</v>
      </c>
    </row>
    <row r="579" customFormat="false" ht="15" hidden="false" customHeight="false" outlineLevel="0" collapsed="false">
      <c r="A579" s="6" t="s">
        <v>72</v>
      </c>
      <c r="B579" s="6" t="s">
        <v>402</v>
      </c>
      <c r="C579" s="6" t="n">
        <v>34</v>
      </c>
      <c r="D579" s="25" t="n">
        <f aca="false">EDATE('Start Here'!$B$6,C579-1)</f>
        <v>47331</v>
      </c>
      <c r="E579" s="23" t="n">
        <f aca="false">IF(AND(OR(Nonlabor!$D$15="Both",Nonlabor!$D$15='Start Here'!$B$9),IF(Nonlabor!$E$15="Core",1,IF(Nonlabor!$E$15="AI",'Start Here'!$B$7,'Start Here'!$B$8))=1,C579&gt;=IF(Nonlabor!$E$15="Core",Nonlabor!$F$15,MAX(Nonlabor!$F$15,IF(Nonlabor!$E$15="AI",Assumptions!$C$24,Assumptions!$C$25))),C579&lt;=Nonlabor!$G$15,OR(Nonlabor!$H$15="Monthly",AND(Nonlabor!$H$15="Once",C579=IF(Nonlabor!$E$15="Core",Nonlabor!$F$15,MAX(Nonlabor!$F$15,IF(Nonlabor!$E$15="AI",Assumptions!$C$24,Assumptions!$C$25)))),AND(Nonlabor!$H$15="Annual",MOD(C579-IF(Nonlabor!$E$15="Core",Nonlabor!$F$15,MAX(Nonlabor!$F$15,IF(Nonlabor!$E$15="AI",Assumptions!$C$24,Assumptions!$C$25))),12)=0))),IF(Nonlabor!$I$15="Fixed",1,IF(Nonlabor!$I$15="Seats",ROUNDUP('Monthly Lean'!I39,0),IF(Nonlabor!$I$15="Customers",'Monthly Lean'!D39,IF(Nonlabor!$I$15="NewCustomers",'Monthly Lean'!C39,IF(Nonlabor!$I$15="StorageGB",'Monthly Lean'!G39,IF(Nonlabor!$I$15="LogGB",'Monthly Lean'!H39,IF(Nonlabor!$I$15="RequestsM",'Monthly Lean'!F39,IF(Nonlabor!$I$15="InputM",'Monthly Lean'!D39*Assumptions!$C$22/1000000,IF(Nonlabor!$I$15="OutputM",'Monthly Lean'!D39*Assumptions!$C$23/1000000,0))))))))),0)</f>
        <v>0</v>
      </c>
      <c r="F579" s="10" t="n">
        <f aca="false">Nonlabor!$J$15*(1+Assumptions!$C$9)^INT((C579-1)/12)</f>
        <v>21218</v>
      </c>
      <c r="G579" s="10" t="n">
        <f aca="false">E579*F579</f>
        <v>0</v>
      </c>
      <c r="H579" s="10" t="n">
        <f aca="false">IF(OR(Nonlabor!$L$15="Quote required",Nonlabor!$L$15="Unverified"),G579,0)</f>
        <v>0</v>
      </c>
      <c r="I579" s="10" t="n">
        <f aca="false">IF(Nonlabor!$E$15="Core",0,G579)</f>
        <v>0</v>
      </c>
      <c r="J579" s="23" t="str">
        <f aca="false">Nonlabor!$B$15</f>
        <v>LEGAL</v>
      </c>
    </row>
    <row r="580" customFormat="false" ht="15" hidden="false" customHeight="false" outlineLevel="0" collapsed="false">
      <c r="A580" s="6" t="s">
        <v>72</v>
      </c>
      <c r="B580" s="6" t="s">
        <v>402</v>
      </c>
      <c r="C580" s="6" t="n">
        <v>35</v>
      </c>
      <c r="D580" s="25" t="n">
        <f aca="false">EDATE('Start Here'!$B$6,C580-1)</f>
        <v>47362</v>
      </c>
      <c r="E580" s="23" t="n">
        <f aca="false">IF(AND(OR(Nonlabor!$D$15="Both",Nonlabor!$D$15='Start Here'!$B$9),IF(Nonlabor!$E$15="Core",1,IF(Nonlabor!$E$15="AI",'Start Here'!$B$7,'Start Here'!$B$8))=1,C580&gt;=IF(Nonlabor!$E$15="Core",Nonlabor!$F$15,MAX(Nonlabor!$F$15,IF(Nonlabor!$E$15="AI",Assumptions!$C$24,Assumptions!$C$25))),C580&lt;=Nonlabor!$G$15,OR(Nonlabor!$H$15="Monthly",AND(Nonlabor!$H$15="Once",C580=IF(Nonlabor!$E$15="Core",Nonlabor!$F$15,MAX(Nonlabor!$F$15,IF(Nonlabor!$E$15="AI",Assumptions!$C$24,Assumptions!$C$25)))),AND(Nonlabor!$H$15="Annual",MOD(C580-IF(Nonlabor!$E$15="Core",Nonlabor!$F$15,MAX(Nonlabor!$F$15,IF(Nonlabor!$E$15="AI",Assumptions!$C$24,Assumptions!$C$25))),12)=0))),IF(Nonlabor!$I$15="Fixed",1,IF(Nonlabor!$I$15="Seats",ROUNDUP('Monthly Lean'!I40,0),IF(Nonlabor!$I$15="Customers",'Monthly Lean'!D40,IF(Nonlabor!$I$15="NewCustomers",'Monthly Lean'!C40,IF(Nonlabor!$I$15="StorageGB",'Monthly Lean'!G40,IF(Nonlabor!$I$15="LogGB",'Monthly Lean'!H40,IF(Nonlabor!$I$15="RequestsM",'Monthly Lean'!F40,IF(Nonlabor!$I$15="InputM",'Monthly Lean'!D40*Assumptions!$C$22/1000000,IF(Nonlabor!$I$15="OutputM",'Monthly Lean'!D40*Assumptions!$C$23/1000000,0))))))))),0)</f>
        <v>0</v>
      </c>
      <c r="F580" s="10" t="n">
        <f aca="false">Nonlabor!$J$15*(1+Assumptions!$C$9)^INT((C580-1)/12)</f>
        <v>21218</v>
      </c>
      <c r="G580" s="10" t="n">
        <f aca="false">E580*F580</f>
        <v>0</v>
      </c>
      <c r="H580" s="10" t="n">
        <f aca="false">IF(OR(Nonlabor!$L$15="Quote required",Nonlabor!$L$15="Unverified"),G580,0)</f>
        <v>0</v>
      </c>
      <c r="I580" s="10" t="n">
        <f aca="false">IF(Nonlabor!$E$15="Core",0,G580)</f>
        <v>0</v>
      </c>
      <c r="J580" s="23" t="str">
        <f aca="false">Nonlabor!$B$15</f>
        <v>LEGAL</v>
      </c>
    </row>
    <row r="581" customFormat="false" ht="15" hidden="false" customHeight="false" outlineLevel="0" collapsed="false">
      <c r="A581" s="6" t="s">
        <v>72</v>
      </c>
      <c r="B581" s="6" t="s">
        <v>402</v>
      </c>
      <c r="C581" s="6" t="n">
        <v>36</v>
      </c>
      <c r="D581" s="25" t="n">
        <f aca="false">EDATE('Start Here'!$B$6,C581-1)</f>
        <v>47392</v>
      </c>
      <c r="E581" s="23" t="n">
        <f aca="false">IF(AND(OR(Nonlabor!$D$15="Both",Nonlabor!$D$15='Start Here'!$B$9),IF(Nonlabor!$E$15="Core",1,IF(Nonlabor!$E$15="AI",'Start Here'!$B$7,'Start Here'!$B$8))=1,C581&gt;=IF(Nonlabor!$E$15="Core",Nonlabor!$F$15,MAX(Nonlabor!$F$15,IF(Nonlabor!$E$15="AI",Assumptions!$C$24,Assumptions!$C$25))),C581&lt;=Nonlabor!$G$15,OR(Nonlabor!$H$15="Monthly",AND(Nonlabor!$H$15="Once",C581=IF(Nonlabor!$E$15="Core",Nonlabor!$F$15,MAX(Nonlabor!$F$15,IF(Nonlabor!$E$15="AI",Assumptions!$C$24,Assumptions!$C$25)))),AND(Nonlabor!$H$15="Annual",MOD(C581-IF(Nonlabor!$E$15="Core",Nonlabor!$F$15,MAX(Nonlabor!$F$15,IF(Nonlabor!$E$15="AI",Assumptions!$C$24,Assumptions!$C$25))),12)=0))),IF(Nonlabor!$I$15="Fixed",1,IF(Nonlabor!$I$15="Seats",ROUNDUP('Monthly Lean'!I41,0),IF(Nonlabor!$I$15="Customers",'Monthly Lean'!D41,IF(Nonlabor!$I$15="NewCustomers",'Monthly Lean'!C41,IF(Nonlabor!$I$15="StorageGB",'Monthly Lean'!G41,IF(Nonlabor!$I$15="LogGB",'Monthly Lean'!H41,IF(Nonlabor!$I$15="RequestsM",'Monthly Lean'!F41,IF(Nonlabor!$I$15="InputM",'Monthly Lean'!D41*Assumptions!$C$22/1000000,IF(Nonlabor!$I$15="OutputM",'Monthly Lean'!D41*Assumptions!$C$23/1000000,0))))))))),0)</f>
        <v>0</v>
      </c>
      <c r="F581" s="10" t="n">
        <f aca="false">Nonlabor!$J$15*(1+Assumptions!$C$9)^INT((C581-1)/12)</f>
        <v>21218</v>
      </c>
      <c r="G581" s="10" t="n">
        <f aca="false">E581*F581</f>
        <v>0</v>
      </c>
      <c r="H581" s="10" t="n">
        <f aca="false">IF(OR(Nonlabor!$L$15="Quote required",Nonlabor!$L$15="Unverified"),G581,0)</f>
        <v>0</v>
      </c>
      <c r="I581" s="10" t="n">
        <f aca="false">IF(Nonlabor!$E$15="Core",0,G581)</f>
        <v>0</v>
      </c>
      <c r="J581" s="23" t="str">
        <f aca="false">Nonlabor!$B$15</f>
        <v>LEGAL</v>
      </c>
    </row>
    <row r="582" customFormat="false" ht="15" hidden="false" customHeight="false" outlineLevel="0" collapsed="false">
      <c r="A582" s="6" t="s">
        <v>72</v>
      </c>
      <c r="B582" s="6" t="s">
        <v>402</v>
      </c>
      <c r="C582" s="6" t="n">
        <v>37</v>
      </c>
      <c r="D582" s="25" t="n">
        <f aca="false">EDATE('Start Here'!$B$6,C582-1)</f>
        <v>47423</v>
      </c>
      <c r="E582" s="23" t="n">
        <f aca="false">IF(AND(OR(Nonlabor!$D$15="Both",Nonlabor!$D$15='Start Here'!$B$9),IF(Nonlabor!$E$15="Core",1,IF(Nonlabor!$E$15="AI",'Start Here'!$B$7,'Start Here'!$B$8))=1,C582&gt;=IF(Nonlabor!$E$15="Core",Nonlabor!$F$15,MAX(Nonlabor!$F$15,IF(Nonlabor!$E$15="AI",Assumptions!$C$24,Assumptions!$C$25))),C582&lt;=Nonlabor!$G$15,OR(Nonlabor!$H$15="Monthly",AND(Nonlabor!$H$15="Once",C582=IF(Nonlabor!$E$15="Core",Nonlabor!$F$15,MAX(Nonlabor!$F$15,IF(Nonlabor!$E$15="AI",Assumptions!$C$24,Assumptions!$C$25)))),AND(Nonlabor!$H$15="Annual",MOD(C582-IF(Nonlabor!$E$15="Core",Nonlabor!$F$15,MAX(Nonlabor!$F$15,IF(Nonlabor!$E$15="AI",Assumptions!$C$24,Assumptions!$C$25))),12)=0))),IF(Nonlabor!$I$15="Fixed",1,IF(Nonlabor!$I$15="Seats",ROUNDUP('Monthly Lean'!I42,0),IF(Nonlabor!$I$15="Customers",'Monthly Lean'!D42,IF(Nonlabor!$I$15="NewCustomers",'Monthly Lean'!C42,IF(Nonlabor!$I$15="StorageGB",'Monthly Lean'!G42,IF(Nonlabor!$I$15="LogGB",'Monthly Lean'!H42,IF(Nonlabor!$I$15="RequestsM",'Monthly Lean'!F42,IF(Nonlabor!$I$15="InputM",'Monthly Lean'!D42*Assumptions!$C$22/1000000,IF(Nonlabor!$I$15="OutputM",'Monthly Lean'!D42*Assumptions!$C$23/1000000,0))))))))),0)</f>
        <v>0</v>
      </c>
      <c r="F582" s="10" t="n">
        <f aca="false">Nonlabor!$J$15*(1+Assumptions!$C$9)^INT((C582-1)/12)</f>
        <v>21854.54</v>
      </c>
      <c r="G582" s="10" t="n">
        <f aca="false">E582*F582</f>
        <v>0</v>
      </c>
      <c r="H582" s="10" t="n">
        <f aca="false">IF(OR(Nonlabor!$L$15="Quote required",Nonlabor!$L$15="Unverified"),G582,0)</f>
        <v>0</v>
      </c>
      <c r="I582" s="10" t="n">
        <f aca="false">IF(Nonlabor!$E$15="Core",0,G582)</f>
        <v>0</v>
      </c>
      <c r="J582" s="23" t="str">
        <f aca="false">Nonlabor!$B$15</f>
        <v>LEGAL</v>
      </c>
    </row>
    <row r="583" customFormat="false" ht="15" hidden="false" customHeight="false" outlineLevel="0" collapsed="false">
      <c r="A583" s="6" t="s">
        <v>72</v>
      </c>
      <c r="B583" s="6" t="s">
        <v>402</v>
      </c>
      <c r="C583" s="6" t="n">
        <v>38</v>
      </c>
      <c r="D583" s="25" t="n">
        <f aca="false">EDATE('Start Here'!$B$6,C583-1)</f>
        <v>47453</v>
      </c>
      <c r="E583" s="23" t="n">
        <f aca="false">IF(AND(OR(Nonlabor!$D$15="Both",Nonlabor!$D$15='Start Here'!$B$9),IF(Nonlabor!$E$15="Core",1,IF(Nonlabor!$E$15="AI",'Start Here'!$B$7,'Start Here'!$B$8))=1,C583&gt;=IF(Nonlabor!$E$15="Core",Nonlabor!$F$15,MAX(Nonlabor!$F$15,IF(Nonlabor!$E$15="AI",Assumptions!$C$24,Assumptions!$C$25))),C583&lt;=Nonlabor!$G$15,OR(Nonlabor!$H$15="Monthly",AND(Nonlabor!$H$15="Once",C583=IF(Nonlabor!$E$15="Core",Nonlabor!$F$15,MAX(Nonlabor!$F$15,IF(Nonlabor!$E$15="AI",Assumptions!$C$24,Assumptions!$C$25)))),AND(Nonlabor!$H$15="Annual",MOD(C583-IF(Nonlabor!$E$15="Core",Nonlabor!$F$15,MAX(Nonlabor!$F$15,IF(Nonlabor!$E$15="AI",Assumptions!$C$24,Assumptions!$C$25))),12)=0))),IF(Nonlabor!$I$15="Fixed",1,IF(Nonlabor!$I$15="Seats",ROUNDUP('Monthly Lean'!I43,0),IF(Nonlabor!$I$15="Customers",'Monthly Lean'!D43,IF(Nonlabor!$I$15="NewCustomers",'Monthly Lean'!C43,IF(Nonlabor!$I$15="StorageGB",'Monthly Lean'!G43,IF(Nonlabor!$I$15="LogGB",'Monthly Lean'!H43,IF(Nonlabor!$I$15="RequestsM",'Monthly Lean'!F43,IF(Nonlabor!$I$15="InputM",'Monthly Lean'!D43*Assumptions!$C$22/1000000,IF(Nonlabor!$I$15="OutputM",'Monthly Lean'!D43*Assumptions!$C$23/1000000,0))))))))),0)</f>
        <v>0</v>
      </c>
      <c r="F583" s="10" t="n">
        <f aca="false">Nonlabor!$J$15*(1+Assumptions!$C$9)^INT((C583-1)/12)</f>
        <v>21854.54</v>
      </c>
      <c r="G583" s="10" t="n">
        <f aca="false">E583*F583</f>
        <v>0</v>
      </c>
      <c r="H583" s="10" t="n">
        <f aca="false">IF(OR(Nonlabor!$L$15="Quote required",Nonlabor!$L$15="Unverified"),G583,0)</f>
        <v>0</v>
      </c>
      <c r="I583" s="10" t="n">
        <f aca="false">IF(Nonlabor!$E$15="Core",0,G583)</f>
        <v>0</v>
      </c>
      <c r="J583" s="23" t="str">
        <f aca="false">Nonlabor!$B$15</f>
        <v>LEGAL</v>
      </c>
    </row>
    <row r="584" customFormat="false" ht="15" hidden="false" customHeight="false" outlineLevel="0" collapsed="false">
      <c r="A584" s="6" t="s">
        <v>72</v>
      </c>
      <c r="B584" s="6" t="s">
        <v>402</v>
      </c>
      <c r="C584" s="6" t="n">
        <v>39</v>
      </c>
      <c r="D584" s="25" t="n">
        <f aca="false">EDATE('Start Here'!$B$6,C584-1)</f>
        <v>47484</v>
      </c>
      <c r="E584" s="23" t="n">
        <f aca="false">IF(AND(OR(Nonlabor!$D$15="Both",Nonlabor!$D$15='Start Here'!$B$9),IF(Nonlabor!$E$15="Core",1,IF(Nonlabor!$E$15="AI",'Start Here'!$B$7,'Start Here'!$B$8))=1,C584&gt;=IF(Nonlabor!$E$15="Core",Nonlabor!$F$15,MAX(Nonlabor!$F$15,IF(Nonlabor!$E$15="AI",Assumptions!$C$24,Assumptions!$C$25))),C584&lt;=Nonlabor!$G$15,OR(Nonlabor!$H$15="Monthly",AND(Nonlabor!$H$15="Once",C584=IF(Nonlabor!$E$15="Core",Nonlabor!$F$15,MAX(Nonlabor!$F$15,IF(Nonlabor!$E$15="AI",Assumptions!$C$24,Assumptions!$C$25)))),AND(Nonlabor!$H$15="Annual",MOD(C584-IF(Nonlabor!$E$15="Core",Nonlabor!$F$15,MAX(Nonlabor!$F$15,IF(Nonlabor!$E$15="AI",Assumptions!$C$24,Assumptions!$C$25))),12)=0))),IF(Nonlabor!$I$15="Fixed",1,IF(Nonlabor!$I$15="Seats",ROUNDUP('Monthly Lean'!I44,0),IF(Nonlabor!$I$15="Customers",'Monthly Lean'!D44,IF(Nonlabor!$I$15="NewCustomers",'Monthly Lean'!C44,IF(Nonlabor!$I$15="StorageGB",'Monthly Lean'!G44,IF(Nonlabor!$I$15="LogGB",'Monthly Lean'!H44,IF(Nonlabor!$I$15="RequestsM",'Monthly Lean'!F44,IF(Nonlabor!$I$15="InputM",'Monthly Lean'!D44*Assumptions!$C$22/1000000,IF(Nonlabor!$I$15="OutputM",'Monthly Lean'!D44*Assumptions!$C$23/1000000,0))))))))),0)</f>
        <v>0</v>
      </c>
      <c r="F584" s="10" t="n">
        <f aca="false">Nonlabor!$J$15*(1+Assumptions!$C$9)^INT((C584-1)/12)</f>
        <v>21854.54</v>
      </c>
      <c r="G584" s="10" t="n">
        <f aca="false">E584*F584</f>
        <v>0</v>
      </c>
      <c r="H584" s="10" t="n">
        <f aca="false">IF(OR(Nonlabor!$L$15="Quote required",Nonlabor!$L$15="Unverified"),G584,0)</f>
        <v>0</v>
      </c>
      <c r="I584" s="10" t="n">
        <f aca="false">IF(Nonlabor!$E$15="Core",0,G584)</f>
        <v>0</v>
      </c>
      <c r="J584" s="23" t="str">
        <f aca="false">Nonlabor!$B$15</f>
        <v>LEGAL</v>
      </c>
    </row>
    <row r="585" customFormat="false" ht="15" hidden="false" customHeight="false" outlineLevel="0" collapsed="false">
      <c r="A585" s="6" t="s">
        <v>72</v>
      </c>
      <c r="B585" s="6" t="s">
        <v>402</v>
      </c>
      <c r="C585" s="6" t="n">
        <v>40</v>
      </c>
      <c r="D585" s="25" t="n">
        <f aca="false">EDATE('Start Here'!$B$6,C585-1)</f>
        <v>47515</v>
      </c>
      <c r="E585" s="23" t="n">
        <f aca="false">IF(AND(OR(Nonlabor!$D$15="Both",Nonlabor!$D$15='Start Here'!$B$9),IF(Nonlabor!$E$15="Core",1,IF(Nonlabor!$E$15="AI",'Start Here'!$B$7,'Start Here'!$B$8))=1,C585&gt;=IF(Nonlabor!$E$15="Core",Nonlabor!$F$15,MAX(Nonlabor!$F$15,IF(Nonlabor!$E$15="AI",Assumptions!$C$24,Assumptions!$C$25))),C585&lt;=Nonlabor!$G$15,OR(Nonlabor!$H$15="Monthly",AND(Nonlabor!$H$15="Once",C585=IF(Nonlabor!$E$15="Core",Nonlabor!$F$15,MAX(Nonlabor!$F$15,IF(Nonlabor!$E$15="AI",Assumptions!$C$24,Assumptions!$C$25)))),AND(Nonlabor!$H$15="Annual",MOD(C585-IF(Nonlabor!$E$15="Core",Nonlabor!$F$15,MAX(Nonlabor!$F$15,IF(Nonlabor!$E$15="AI",Assumptions!$C$24,Assumptions!$C$25))),12)=0))),IF(Nonlabor!$I$15="Fixed",1,IF(Nonlabor!$I$15="Seats",ROUNDUP('Monthly Lean'!I45,0),IF(Nonlabor!$I$15="Customers",'Monthly Lean'!D45,IF(Nonlabor!$I$15="NewCustomers",'Monthly Lean'!C45,IF(Nonlabor!$I$15="StorageGB",'Monthly Lean'!G45,IF(Nonlabor!$I$15="LogGB",'Monthly Lean'!H45,IF(Nonlabor!$I$15="RequestsM",'Monthly Lean'!F45,IF(Nonlabor!$I$15="InputM",'Monthly Lean'!D45*Assumptions!$C$22/1000000,IF(Nonlabor!$I$15="OutputM",'Monthly Lean'!D45*Assumptions!$C$23/1000000,0))))))))),0)</f>
        <v>0</v>
      </c>
      <c r="F585" s="10" t="n">
        <f aca="false">Nonlabor!$J$15*(1+Assumptions!$C$9)^INT((C585-1)/12)</f>
        <v>21854.54</v>
      </c>
      <c r="G585" s="10" t="n">
        <f aca="false">E585*F585</f>
        <v>0</v>
      </c>
      <c r="H585" s="10" t="n">
        <f aca="false">IF(OR(Nonlabor!$L$15="Quote required",Nonlabor!$L$15="Unverified"),G585,0)</f>
        <v>0</v>
      </c>
      <c r="I585" s="10" t="n">
        <f aca="false">IF(Nonlabor!$E$15="Core",0,G585)</f>
        <v>0</v>
      </c>
      <c r="J585" s="23" t="str">
        <f aca="false">Nonlabor!$B$15</f>
        <v>LEGAL</v>
      </c>
    </row>
    <row r="586" customFormat="false" ht="15" hidden="false" customHeight="false" outlineLevel="0" collapsed="false">
      <c r="A586" s="6" t="s">
        <v>72</v>
      </c>
      <c r="B586" s="6" t="s">
        <v>402</v>
      </c>
      <c r="C586" s="6" t="n">
        <v>41</v>
      </c>
      <c r="D586" s="25" t="n">
        <f aca="false">EDATE('Start Here'!$B$6,C586-1)</f>
        <v>47543</v>
      </c>
      <c r="E586" s="23" t="n">
        <f aca="false">IF(AND(OR(Nonlabor!$D$15="Both",Nonlabor!$D$15='Start Here'!$B$9),IF(Nonlabor!$E$15="Core",1,IF(Nonlabor!$E$15="AI",'Start Here'!$B$7,'Start Here'!$B$8))=1,C586&gt;=IF(Nonlabor!$E$15="Core",Nonlabor!$F$15,MAX(Nonlabor!$F$15,IF(Nonlabor!$E$15="AI",Assumptions!$C$24,Assumptions!$C$25))),C586&lt;=Nonlabor!$G$15,OR(Nonlabor!$H$15="Monthly",AND(Nonlabor!$H$15="Once",C586=IF(Nonlabor!$E$15="Core",Nonlabor!$F$15,MAX(Nonlabor!$F$15,IF(Nonlabor!$E$15="AI",Assumptions!$C$24,Assumptions!$C$25)))),AND(Nonlabor!$H$15="Annual",MOD(C586-IF(Nonlabor!$E$15="Core",Nonlabor!$F$15,MAX(Nonlabor!$F$15,IF(Nonlabor!$E$15="AI",Assumptions!$C$24,Assumptions!$C$25))),12)=0))),IF(Nonlabor!$I$15="Fixed",1,IF(Nonlabor!$I$15="Seats",ROUNDUP('Monthly Lean'!I46,0),IF(Nonlabor!$I$15="Customers",'Monthly Lean'!D46,IF(Nonlabor!$I$15="NewCustomers",'Monthly Lean'!C46,IF(Nonlabor!$I$15="StorageGB",'Monthly Lean'!G46,IF(Nonlabor!$I$15="LogGB",'Monthly Lean'!H46,IF(Nonlabor!$I$15="RequestsM",'Monthly Lean'!F46,IF(Nonlabor!$I$15="InputM",'Monthly Lean'!D46*Assumptions!$C$22/1000000,IF(Nonlabor!$I$15="OutputM",'Monthly Lean'!D46*Assumptions!$C$23/1000000,0))))))))),0)</f>
        <v>0</v>
      </c>
      <c r="F586" s="10" t="n">
        <f aca="false">Nonlabor!$J$15*(1+Assumptions!$C$9)^INT((C586-1)/12)</f>
        <v>21854.54</v>
      </c>
      <c r="G586" s="10" t="n">
        <f aca="false">E586*F586</f>
        <v>0</v>
      </c>
      <c r="H586" s="10" t="n">
        <f aca="false">IF(OR(Nonlabor!$L$15="Quote required",Nonlabor!$L$15="Unverified"),G586,0)</f>
        <v>0</v>
      </c>
      <c r="I586" s="10" t="n">
        <f aca="false">IF(Nonlabor!$E$15="Core",0,G586)</f>
        <v>0</v>
      </c>
      <c r="J586" s="23" t="str">
        <f aca="false">Nonlabor!$B$15</f>
        <v>LEGAL</v>
      </c>
    </row>
    <row r="587" customFormat="false" ht="15" hidden="false" customHeight="false" outlineLevel="0" collapsed="false">
      <c r="A587" s="6" t="s">
        <v>72</v>
      </c>
      <c r="B587" s="6" t="s">
        <v>402</v>
      </c>
      <c r="C587" s="6" t="n">
        <v>42</v>
      </c>
      <c r="D587" s="25" t="n">
        <f aca="false">EDATE('Start Here'!$B$6,C587-1)</f>
        <v>47574</v>
      </c>
      <c r="E587" s="23" t="n">
        <f aca="false">IF(AND(OR(Nonlabor!$D$15="Both",Nonlabor!$D$15='Start Here'!$B$9),IF(Nonlabor!$E$15="Core",1,IF(Nonlabor!$E$15="AI",'Start Here'!$B$7,'Start Here'!$B$8))=1,C587&gt;=IF(Nonlabor!$E$15="Core",Nonlabor!$F$15,MAX(Nonlabor!$F$15,IF(Nonlabor!$E$15="AI",Assumptions!$C$24,Assumptions!$C$25))),C587&lt;=Nonlabor!$G$15,OR(Nonlabor!$H$15="Monthly",AND(Nonlabor!$H$15="Once",C587=IF(Nonlabor!$E$15="Core",Nonlabor!$F$15,MAX(Nonlabor!$F$15,IF(Nonlabor!$E$15="AI",Assumptions!$C$24,Assumptions!$C$25)))),AND(Nonlabor!$H$15="Annual",MOD(C587-IF(Nonlabor!$E$15="Core",Nonlabor!$F$15,MAX(Nonlabor!$F$15,IF(Nonlabor!$E$15="AI",Assumptions!$C$24,Assumptions!$C$25))),12)=0))),IF(Nonlabor!$I$15="Fixed",1,IF(Nonlabor!$I$15="Seats",ROUNDUP('Monthly Lean'!I47,0),IF(Nonlabor!$I$15="Customers",'Monthly Lean'!D47,IF(Nonlabor!$I$15="NewCustomers",'Monthly Lean'!C47,IF(Nonlabor!$I$15="StorageGB",'Monthly Lean'!G47,IF(Nonlabor!$I$15="LogGB",'Monthly Lean'!H47,IF(Nonlabor!$I$15="RequestsM",'Monthly Lean'!F47,IF(Nonlabor!$I$15="InputM",'Monthly Lean'!D47*Assumptions!$C$22/1000000,IF(Nonlabor!$I$15="OutputM",'Monthly Lean'!D47*Assumptions!$C$23/1000000,0))))))))),0)</f>
        <v>0</v>
      </c>
      <c r="F587" s="10" t="n">
        <f aca="false">Nonlabor!$J$15*(1+Assumptions!$C$9)^INT((C587-1)/12)</f>
        <v>21854.54</v>
      </c>
      <c r="G587" s="10" t="n">
        <f aca="false">E587*F587</f>
        <v>0</v>
      </c>
      <c r="H587" s="10" t="n">
        <f aca="false">IF(OR(Nonlabor!$L$15="Quote required",Nonlabor!$L$15="Unverified"),G587,0)</f>
        <v>0</v>
      </c>
      <c r="I587" s="10" t="n">
        <f aca="false">IF(Nonlabor!$E$15="Core",0,G587)</f>
        <v>0</v>
      </c>
      <c r="J587" s="23" t="str">
        <f aca="false">Nonlabor!$B$15</f>
        <v>LEGAL</v>
      </c>
    </row>
    <row r="588" customFormat="false" ht="15" hidden="false" customHeight="false" outlineLevel="0" collapsed="false">
      <c r="A588" s="6" t="s">
        <v>72</v>
      </c>
      <c r="B588" s="6" t="s">
        <v>402</v>
      </c>
      <c r="C588" s="6" t="n">
        <v>43</v>
      </c>
      <c r="D588" s="25" t="n">
        <f aca="false">EDATE('Start Here'!$B$6,C588-1)</f>
        <v>47604</v>
      </c>
      <c r="E588" s="23" t="n">
        <f aca="false">IF(AND(OR(Nonlabor!$D$15="Both",Nonlabor!$D$15='Start Here'!$B$9),IF(Nonlabor!$E$15="Core",1,IF(Nonlabor!$E$15="AI",'Start Here'!$B$7,'Start Here'!$B$8))=1,C588&gt;=IF(Nonlabor!$E$15="Core",Nonlabor!$F$15,MAX(Nonlabor!$F$15,IF(Nonlabor!$E$15="AI",Assumptions!$C$24,Assumptions!$C$25))),C588&lt;=Nonlabor!$G$15,OR(Nonlabor!$H$15="Monthly",AND(Nonlabor!$H$15="Once",C588=IF(Nonlabor!$E$15="Core",Nonlabor!$F$15,MAX(Nonlabor!$F$15,IF(Nonlabor!$E$15="AI",Assumptions!$C$24,Assumptions!$C$25)))),AND(Nonlabor!$H$15="Annual",MOD(C588-IF(Nonlabor!$E$15="Core",Nonlabor!$F$15,MAX(Nonlabor!$F$15,IF(Nonlabor!$E$15="AI",Assumptions!$C$24,Assumptions!$C$25))),12)=0))),IF(Nonlabor!$I$15="Fixed",1,IF(Nonlabor!$I$15="Seats",ROUNDUP('Monthly Lean'!I48,0),IF(Nonlabor!$I$15="Customers",'Monthly Lean'!D48,IF(Nonlabor!$I$15="NewCustomers",'Monthly Lean'!C48,IF(Nonlabor!$I$15="StorageGB",'Monthly Lean'!G48,IF(Nonlabor!$I$15="LogGB",'Monthly Lean'!H48,IF(Nonlabor!$I$15="RequestsM",'Monthly Lean'!F48,IF(Nonlabor!$I$15="InputM",'Monthly Lean'!D48*Assumptions!$C$22/1000000,IF(Nonlabor!$I$15="OutputM",'Monthly Lean'!D48*Assumptions!$C$23/1000000,0))))))))),0)</f>
        <v>0</v>
      </c>
      <c r="F588" s="10" t="n">
        <f aca="false">Nonlabor!$J$15*(1+Assumptions!$C$9)^INT((C588-1)/12)</f>
        <v>21854.54</v>
      </c>
      <c r="G588" s="10" t="n">
        <f aca="false">E588*F588</f>
        <v>0</v>
      </c>
      <c r="H588" s="10" t="n">
        <f aca="false">IF(OR(Nonlabor!$L$15="Quote required",Nonlabor!$L$15="Unverified"),G588,0)</f>
        <v>0</v>
      </c>
      <c r="I588" s="10" t="n">
        <f aca="false">IF(Nonlabor!$E$15="Core",0,G588)</f>
        <v>0</v>
      </c>
      <c r="J588" s="23" t="str">
        <f aca="false">Nonlabor!$B$15</f>
        <v>LEGAL</v>
      </c>
    </row>
    <row r="589" customFormat="false" ht="15" hidden="false" customHeight="false" outlineLevel="0" collapsed="false">
      <c r="A589" s="6" t="s">
        <v>72</v>
      </c>
      <c r="B589" s="6" t="s">
        <v>402</v>
      </c>
      <c r="C589" s="6" t="n">
        <v>44</v>
      </c>
      <c r="D589" s="25" t="n">
        <f aca="false">EDATE('Start Here'!$B$6,C589-1)</f>
        <v>47635</v>
      </c>
      <c r="E589" s="23" t="n">
        <f aca="false">IF(AND(OR(Nonlabor!$D$15="Both",Nonlabor!$D$15='Start Here'!$B$9),IF(Nonlabor!$E$15="Core",1,IF(Nonlabor!$E$15="AI",'Start Here'!$B$7,'Start Here'!$B$8))=1,C589&gt;=IF(Nonlabor!$E$15="Core",Nonlabor!$F$15,MAX(Nonlabor!$F$15,IF(Nonlabor!$E$15="AI",Assumptions!$C$24,Assumptions!$C$25))),C589&lt;=Nonlabor!$G$15,OR(Nonlabor!$H$15="Monthly",AND(Nonlabor!$H$15="Once",C589=IF(Nonlabor!$E$15="Core",Nonlabor!$F$15,MAX(Nonlabor!$F$15,IF(Nonlabor!$E$15="AI",Assumptions!$C$24,Assumptions!$C$25)))),AND(Nonlabor!$H$15="Annual",MOD(C589-IF(Nonlabor!$E$15="Core",Nonlabor!$F$15,MAX(Nonlabor!$F$15,IF(Nonlabor!$E$15="AI",Assumptions!$C$24,Assumptions!$C$25))),12)=0))),IF(Nonlabor!$I$15="Fixed",1,IF(Nonlabor!$I$15="Seats",ROUNDUP('Monthly Lean'!I49,0),IF(Nonlabor!$I$15="Customers",'Monthly Lean'!D49,IF(Nonlabor!$I$15="NewCustomers",'Monthly Lean'!C49,IF(Nonlabor!$I$15="StorageGB",'Monthly Lean'!G49,IF(Nonlabor!$I$15="LogGB",'Monthly Lean'!H49,IF(Nonlabor!$I$15="RequestsM",'Monthly Lean'!F49,IF(Nonlabor!$I$15="InputM",'Monthly Lean'!D49*Assumptions!$C$22/1000000,IF(Nonlabor!$I$15="OutputM",'Monthly Lean'!D49*Assumptions!$C$23/1000000,0))))))))),0)</f>
        <v>0</v>
      </c>
      <c r="F589" s="10" t="n">
        <f aca="false">Nonlabor!$J$15*(1+Assumptions!$C$9)^INT((C589-1)/12)</f>
        <v>21854.54</v>
      </c>
      <c r="G589" s="10" t="n">
        <f aca="false">E589*F589</f>
        <v>0</v>
      </c>
      <c r="H589" s="10" t="n">
        <f aca="false">IF(OR(Nonlabor!$L$15="Quote required",Nonlabor!$L$15="Unverified"),G589,0)</f>
        <v>0</v>
      </c>
      <c r="I589" s="10" t="n">
        <f aca="false">IF(Nonlabor!$E$15="Core",0,G589)</f>
        <v>0</v>
      </c>
      <c r="J589" s="23" t="str">
        <f aca="false">Nonlabor!$B$15</f>
        <v>LEGAL</v>
      </c>
    </row>
    <row r="590" customFormat="false" ht="15" hidden="false" customHeight="false" outlineLevel="0" collapsed="false">
      <c r="A590" s="6" t="s">
        <v>72</v>
      </c>
      <c r="B590" s="6" t="s">
        <v>402</v>
      </c>
      <c r="C590" s="6" t="n">
        <v>45</v>
      </c>
      <c r="D590" s="25" t="n">
        <f aca="false">EDATE('Start Here'!$B$6,C590-1)</f>
        <v>47665</v>
      </c>
      <c r="E590" s="23" t="n">
        <f aca="false">IF(AND(OR(Nonlabor!$D$15="Both",Nonlabor!$D$15='Start Here'!$B$9),IF(Nonlabor!$E$15="Core",1,IF(Nonlabor!$E$15="AI",'Start Here'!$B$7,'Start Here'!$B$8))=1,C590&gt;=IF(Nonlabor!$E$15="Core",Nonlabor!$F$15,MAX(Nonlabor!$F$15,IF(Nonlabor!$E$15="AI",Assumptions!$C$24,Assumptions!$C$25))),C590&lt;=Nonlabor!$G$15,OR(Nonlabor!$H$15="Monthly",AND(Nonlabor!$H$15="Once",C590=IF(Nonlabor!$E$15="Core",Nonlabor!$F$15,MAX(Nonlabor!$F$15,IF(Nonlabor!$E$15="AI",Assumptions!$C$24,Assumptions!$C$25)))),AND(Nonlabor!$H$15="Annual",MOD(C590-IF(Nonlabor!$E$15="Core",Nonlabor!$F$15,MAX(Nonlabor!$F$15,IF(Nonlabor!$E$15="AI",Assumptions!$C$24,Assumptions!$C$25))),12)=0))),IF(Nonlabor!$I$15="Fixed",1,IF(Nonlabor!$I$15="Seats",ROUNDUP('Monthly Lean'!I50,0),IF(Nonlabor!$I$15="Customers",'Monthly Lean'!D50,IF(Nonlabor!$I$15="NewCustomers",'Monthly Lean'!C50,IF(Nonlabor!$I$15="StorageGB",'Monthly Lean'!G50,IF(Nonlabor!$I$15="LogGB",'Monthly Lean'!H50,IF(Nonlabor!$I$15="RequestsM",'Monthly Lean'!F50,IF(Nonlabor!$I$15="InputM",'Monthly Lean'!D50*Assumptions!$C$22/1000000,IF(Nonlabor!$I$15="OutputM",'Monthly Lean'!D50*Assumptions!$C$23/1000000,0))))))))),0)</f>
        <v>0</v>
      </c>
      <c r="F590" s="10" t="n">
        <f aca="false">Nonlabor!$J$15*(1+Assumptions!$C$9)^INT((C590-1)/12)</f>
        <v>21854.54</v>
      </c>
      <c r="G590" s="10" t="n">
        <f aca="false">E590*F590</f>
        <v>0</v>
      </c>
      <c r="H590" s="10" t="n">
        <f aca="false">IF(OR(Nonlabor!$L$15="Quote required",Nonlabor!$L$15="Unverified"),G590,0)</f>
        <v>0</v>
      </c>
      <c r="I590" s="10" t="n">
        <f aca="false">IF(Nonlabor!$E$15="Core",0,G590)</f>
        <v>0</v>
      </c>
      <c r="J590" s="23" t="str">
        <f aca="false">Nonlabor!$B$15</f>
        <v>LEGAL</v>
      </c>
    </row>
    <row r="591" customFormat="false" ht="15" hidden="false" customHeight="false" outlineLevel="0" collapsed="false">
      <c r="A591" s="6" t="s">
        <v>72</v>
      </c>
      <c r="B591" s="6" t="s">
        <v>402</v>
      </c>
      <c r="C591" s="6" t="n">
        <v>46</v>
      </c>
      <c r="D591" s="25" t="n">
        <f aca="false">EDATE('Start Here'!$B$6,C591-1)</f>
        <v>47696</v>
      </c>
      <c r="E591" s="23" t="n">
        <f aca="false">IF(AND(OR(Nonlabor!$D$15="Both",Nonlabor!$D$15='Start Here'!$B$9),IF(Nonlabor!$E$15="Core",1,IF(Nonlabor!$E$15="AI",'Start Here'!$B$7,'Start Here'!$B$8))=1,C591&gt;=IF(Nonlabor!$E$15="Core",Nonlabor!$F$15,MAX(Nonlabor!$F$15,IF(Nonlabor!$E$15="AI",Assumptions!$C$24,Assumptions!$C$25))),C591&lt;=Nonlabor!$G$15,OR(Nonlabor!$H$15="Monthly",AND(Nonlabor!$H$15="Once",C591=IF(Nonlabor!$E$15="Core",Nonlabor!$F$15,MAX(Nonlabor!$F$15,IF(Nonlabor!$E$15="AI",Assumptions!$C$24,Assumptions!$C$25)))),AND(Nonlabor!$H$15="Annual",MOD(C591-IF(Nonlabor!$E$15="Core",Nonlabor!$F$15,MAX(Nonlabor!$F$15,IF(Nonlabor!$E$15="AI",Assumptions!$C$24,Assumptions!$C$25))),12)=0))),IF(Nonlabor!$I$15="Fixed",1,IF(Nonlabor!$I$15="Seats",ROUNDUP('Monthly Lean'!I51,0),IF(Nonlabor!$I$15="Customers",'Monthly Lean'!D51,IF(Nonlabor!$I$15="NewCustomers",'Monthly Lean'!C51,IF(Nonlabor!$I$15="StorageGB",'Monthly Lean'!G51,IF(Nonlabor!$I$15="LogGB",'Monthly Lean'!H51,IF(Nonlabor!$I$15="RequestsM",'Monthly Lean'!F51,IF(Nonlabor!$I$15="InputM",'Monthly Lean'!D51*Assumptions!$C$22/1000000,IF(Nonlabor!$I$15="OutputM",'Monthly Lean'!D51*Assumptions!$C$23/1000000,0))))))))),0)</f>
        <v>0</v>
      </c>
      <c r="F591" s="10" t="n">
        <f aca="false">Nonlabor!$J$15*(1+Assumptions!$C$9)^INT((C591-1)/12)</f>
        <v>21854.54</v>
      </c>
      <c r="G591" s="10" t="n">
        <f aca="false">E591*F591</f>
        <v>0</v>
      </c>
      <c r="H591" s="10" t="n">
        <f aca="false">IF(OR(Nonlabor!$L$15="Quote required",Nonlabor!$L$15="Unverified"),G591,0)</f>
        <v>0</v>
      </c>
      <c r="I591" s="10" t="n">
        <f aca="false">IF(Nonlabor!$E$15="Core",0,G591)</f>
        <v>0</v>
      </c>
      <c r="J591" s="23" t="str">
        <f aca="false">Nonlabor!$B$15</f>
        <v>LEGAL</v>
      </c>
    </row>
    <row r="592" customFormat="false" ht="15" hidden="false" customHeight="false" outlineLevel="0" collapsed="false">
      <c r="A592" s="6" t="s">
        <v>72</v>
      </c>
      <c r="B592" s="6" t="s">
        <v>402</v>
      </c>
      <c r="C592" s="6" t="n">
        <v>47</v>
      </c>
      <c r="D592" s="25" t="n">
        <f aca="false">EDATE('Start Here'!$B$6,C592-1)</f>
        <v>47727</v>
      </c>
      <c r="E592" s="23" t="n">
        <f aca="false">IF(AND(OR(Nonlabor!$D$15="Both",Nonlabor!$D$15='Start Here'!$B$9),IF(Nonlabor!$E$15="Core",1,IF(Nonlabor!$E$15="AI",'Start Here'!$B$7,'Start Here'!$B$8))=1,C592&gt;=IF(Nonlabor!$E$15="Core",Nonlabor!$F$15,MAX(Nonlabor!$F$15,IF(Nonlabor!$E$15="AI",Assumptions!$C$24,Assumptions!$C$25))),C592&lt;=Nonlabor!$G$15,OR(Nonlabor!$H$15="Monthly",AND(Nonlabor!$H$15="Once",C592=IF(Nonlabor!$E$15="Core",Nonlabor!$F$15,MAX(Nonlabor!$F$15,IF(Nonlabor!$E$15="AI",Assumptions!$C$24,Assumptions!$C$25)))),AND(Nonlabor!$H$15="Annual",MOD(C592-IF(Nonlabor!$E$15="Core",Nonlabor!$F$15,MAX(Nonlabor!$F$15,IF(Nonlabor!$E$15="AI",Assumptions!$C$24,Assumptions!$C$25))),12)=0))),IF(Nonlabor!$I$15="Fixed",1,IF(Nonlabor!$I$15="Seats",ROUNDUP('Monthly Lean'!I52,0),IF(Nonlabor!$I$15="Customers",'Monthly Lean'!D52,IF(Nonlabor!$I$15="NewCustomers",'Monthly Lean'!C52,IF(Nonlabor!$I$15="StorageGB",'Monthly Lean'!G52,IF(Nonlabor!$I$15="LogGB",'Monthly Lean'!H52,IF(Nonlabor!$I$15="RequestsM",'Monthly Lean'!F52,IF(Nonlabor!$I$15="InputM",'Monthly Lean'!D52*Assumptions!$C$22/1000000,IF(Nonlabor!$I$15="OutputM",'Monthly Lean'!D52*Assumptions!$C$23/1000000,0))))))))),0)</f>
        <v>0</v>
      </c>
      <c r="F592" s="10" t="n">
        <f aca="false">Nonlabor!$J$15*(1+Assumptions!$C$9)^INT((C592-1)/12)</f>
        <v>21854.54</v>
      </c>
      <c r="G592" s="10" t="n">
        <f aca="false">E592*F592</f>
        <v>0</v>
      </c>
      <c r="H592" s="10" t="n">
        <f aca="false">IF(OR(Nonlabor!$L$15="Quote required",Nonlabor!$L$15="Unverified"),G592,0)</f>
        <v>0</v>
      </c>
      <c r="I592" s="10" t="n">
        <f aca="false">IF(Nonlabor!$E$15="Core",0,G592)</f>
        <v>0</v>
      </c>
      <c r="J592" s="23" t="str">
        <f aca="false">Nonlabor!$B$15</f>
        <v>LEGAL</v>
      </c>
    </row>
    <row r="593" customFormat="false" ht="15" hidden="false" customHeight="false" outlineLevel="0" collapsed="false">
      <c r="A593" s="6" t="s">
        <v>72</v>
      </c>
      <c r="B593" s="6" t="s">
        <v>402</v>
      </c>
      <c r="C593" s="6" t="n">
        <v>48</v>
      </c>
      <c r="D593" s="25" t="n">
        <f aca="false">EDATE('Start Here'!$B$6,C593-1)</f>
        <v>47757</v>
      </c>
      <c r="E593" s="23" t="n">
        <f aca="false">IF(AND(OR(Nonlabor!$D$15="Both",Nonlabor!$D$15='Start Here'!$B$9),IF(Nonlabor!$E$15="Core",1,IF(Nonlabor!$E$15="AI",'Start Here'!$B$7,'Start Here'!$B$8))=1,C593&gt;=IF(Nonlabor!$E$15="Core",Nonlabor!$F$15,MAX(Nonlabor!$F$15,IF(Nonlabor!$E$15="AI",Assumptions!$C$24,Assumptions!$C$25))),C593&lt;=Nonlabor!$G$15,OR(Nonlabor!$H$15="Monthly",AND(Nonlabor!$H$15="Once",C593=IF(Nonlabor!$E$15="Core",Nonlabor!$F$15,MAX(Nonlabor!$F$15,IF(Nonlabor!$E$15="AI",Assumptions!$C$24,Assumptions!$C$25)))),AND(Nonlabor!$H$15="Annual",MOD(C593-IF(Nonlabor!$E$15="Core",Nonlabor!$F$15,MAX(Nonlabor!$F$15,IF(Nonlabor!$E$15="AI",Assumptions!$C$24,Assumptions!$C$25))),12)=0))),IF(Nonlabor!$I$15="Fixed",1,IF(Nonlabor!$I$15="Seats",ROUNDUP('Monthly Lean'!I53,0),IF(Nonlabor!$I$15="Customers",'Monthly Lean'!D53,IF(Nonlabor!$I$15="NewCustomers",'Monthly Lean'!C53,IF(Nonlabor!$I$15="StorageGB",'Monthly Lean'!G53,IF(Nonlabor!$I$15="LogGB",'Monthly Lean'!H53,IF(Nonlabor!$I$15="RequestsM",'Monthly Lean'!F53,IF(Nonlabor!$I$15="InputM",'Monthly Lean'!D53*Assumptions!$C$22/1000000,IF(Nonlabor!$I$15="OutputM",'Monthly Lean'!D53*Assumptions!$C$23/1000000,0))))))))),0)</f>
        <v>0</v>
      </c>
      <c r="F593" s="10" t="n">
        <f aca="false">Nonlabor!$J$15*(1+Assumptions!$C$9)^INT((C593-1)/12)</f>
        <v>21854.54</v>
      </c>
      <c r="G593" s="10" t="n">
        <f aca="false">E593*F593</f>
        <v>0</v>
      </c>
      <c r="H593" s="10" t="n">
        <f aca="false">IF(OR(Nonlabor!$L$15="Quote required",Nonlabor!$L$15="Unverified"),G593,0)</f>
        <v>0</v>
      </c>
      <c r="I593" s="10" t="n">
        <f aca="false">IF(Nonlabor!$E$15="Core",0,G593)</f>
        <v>0</v>
      </c>
      <c r="J593" s="23" t="str">
        <f aca="false">Nonlabor!$B$15</f>
        <v>LEGAL</v>
      </c>
    </row>
    <row r="594" customFormat="false" ht="15" hidden="false" customHeight="false" outlineLevel="0" collapsed="false">
      <c r="A594" s="6" t="s">
        <v>72</v>
      </c>
      <c r="B594" s="6" t="s">
        <v>402</v>
      </c>
      <c r="C594" s="6" t="n">
        <v>49</v>
      </c>
      <c r="D594" s="25" t="n">
        <f aca="false">EDATE('Start Here'!$B$6,C594-1)</f>
        <v>47788</v>
      </c>
      <c r="E594" s="23" t="n">
        <f aca="false">IF(AND(OR(Nonlabor!$D$15="Both",Nonlabor!$D$15='Start Here'!$B$9),IF(Nonlabor!$E$15="Core",1,IF(Nonlabor!$E$15="AI",'Start Here'!$B$7,'Start Here'!$B$8))=1,C594&gt;=IF(Nonlabor!$E$15="Core",Nonlabor!$F$15,MAX(Nonlabor!$F$15,IF(Nonlabor!$E$15="AI",Assumptions!$C$24,Assumptions!$C$25))),C594&lt;=Nonlabor!$G$15,OR(Nonlabor!$H$15="Monthly",AND(Nonlabor!$H$15="Once",C594=IF(Nonlabor!$E$15="Core",Nonlabor!$F$15,MAX(Nonlabor!$F$15,IF(Nonlabor!$E$15="AI",Assumptions!$C$24,Assumptions!$C$25)))),AND(Nonlabor!$H$15="Annual",MOD(C594-IF(Nonlabor!$E$15="Core",Nonlabor!$F$15,MAX(Nonlabor!$F$15,IF(Nonlabor!$E$15="AI",Assumptions!$C$24,Assumptions!$C$25))),12)=0))),IF(Nonlabor!$I$15="Fixed",1,IF(Nonlabor!$I$15="Seats",ROUNDUP('Monthly Lean'!I54,0),IF(Nonlabor!$I$15="Customers",'Monthly Lean'!D54,IF(Nonlabor!$I$15="NewCustomers",'Monthly Lean'!C54,IF(Nonlabor!$I$15="StorageGB",'Monthly Lean'!G54,IF(Nonlabor!$I$15="LogGB",'Monthly Lean'!H54,IF(Nonlabor!$I$15="RequestsM",'Monthly Lean'!F54,IF(Nonlabor!$I$15="InputM",'Monthly Lean'!D54*Assumptions!$C$22/1000000,IF(Nonlabor!$I$15="OutputM",'Monthly Lean'!D54*Assumptions!$C$23/1000000,0))))))))),0)</f>
        <v>0</v>
      </c>
      <c r="F594" s="10" t="n">
        <f aca="false">Nonlabor!$J$15*(1+Assumptions!$C$9)^INT((C594-1)/12)</f>
        <v>22510.1762</v>
      </c>
      <c r="G594" s="10" t="n">
        <f aca="false">E594*F594</f>
        <v>0</v>
      </c>
      <c r="H594" s="10" t="n">
        <f aca="false">IF(OR(Nonlabor!$L$15="Quote required",Nonlabor!$L$15="Unverified"),G594,0)</f>
        <v>0</v>
      </c>
      <c r="I594" s="10" t="n">
        <f aca="false">IF(Nonlabor!$E$15="Core",0,G594)</f>
        <v>0</v>
      </c>
      <c r="J594" s="23" t="str">
        <f aca="false">Nonlabor!$B$15</f>
        <v>LEGAL</v>
      </c>
    </row>
    <row r="595" customFormat="false" ht="15" hidden="false" customHeight="false" outlineLevel="0" collapsed="false">
      <c r="A595" s="6" t="s">
        <v>72</v>
      </c>
      <c r="B595" s="6" t="s">
        <v>402</v>
      </c>
      <c r="C595" s="6" t="n">
        <v>50</v>
      </c>
      <c r="D595" s="25" t="n">
        <f aca="false">EDATE('Start Here'!$B$6,C595-1)</f>
        <v>47818</v>
      </c>
      <c r="E595" s="23" t="n">
        <f aca="false">IF(AND(OR(Nonlabor!$D$15="Both",Nonlabor!$D$15='Start Here'!$B$9),IF(Nonlabor!$E$15="Core",1,IF(Nonlabor!$E$15="AI",'Start Here'!$B$7,'Start Here'!$B$8))=1,C595&gt;=IF(Nonlabor!$E$15="Core",Nonlabor!$F$15,MAX(Nonlabor!$F$15,IF(Nonlabor!$E$15="AI",Assumptions!$C$24,Assumptions!$C$25))),C595&lt;=Nonlabor!$G$15,OR(Nonlabor!$H$15="Monthly",AND(Nonlabor!$H$15="Once",C595=IF(Nonlabor!$E$15="Core",Nonlabor!$F$15,MAX(Nonlabor!$F$15,IF(Nonlabor!$E$15="AI",Assumptions!$C$24,Assumptions!$C$25)))),AND(Nonlabor!$H$15="Annual",MOD(C595-IF(Nonlabor!$E$15="Core",Nonlabor!$F$15,MAX(Nonlabor!$F$15,IF(Nonlabor!$E$15="AI",Assumptions!$C$24,Assumptions!$C$25))),12)=0))),IF(Nonlabor!$I$15="Fixed",1,IF(Nonlabor!$I$15="Seats",ROUNDUP('Monthly Lean'!I55,0),IF(Nonlabor!$I$15="Customers",'Monthly Lean'!D55,IF(Nonlabor!$I$15="NewCustomers",'Monthly Lean'!C55,IF(Nonlabor!$I$15="StorageGB",'Monthly Lean'!G55,IF(Nonlabor!$I$15="LogGB",'Monthly Lean'!H55,IF(Nonlabor!$I$15="RequestsM",'Monthly Lean'!F55,IF(Nonlabor!$I$15="InputM",'Monthly Lean'!D55*Assumptions!$C$22/1000000,IF(Nonlabor!$I$15="OutputM",'Monthly Lean'!D55*Assumptions!$C$23/1000000,0))))))))),0)</f>
        <v>0</v>
      </c>
      <c r="F595" s="10" t="n">
        <f aca="false">Nonlabor!$J$15*(1+Assumptions!$C$9)^INT((C595-1)/12)</f>
        <v>22510.1762</v>
      </c>
      <c r="G595" s="10" t="n">
        <f aca="false">E595*F595</f>
        <v>0</v>
      </c>
      <c r="H595" s="10" t="n">
        <f aca="false">IF(OR(Nonlabor!$L$15="Quote required",Nonlabor!$L$15="Unverified"),G595,0)</f>
        <v>0</v>
      </c>
      <c r="I595" s="10" t="n">
        <f aca="false">IF(Nonlabor!$E$15="Core",0,G595)</f>
        <v>0</v>
      </c>
      <c r="J595" s="23" t="str">
        <f aca="false">Nonlabor!$B$15</f>
        <v>LEGAL</v>
      </c>
    </row>
    <row r="596" customFormat="false" ht="15" hidden="false" customHeight="false" outlineLevel="0" collapsed="false">
      <c r="A596" s="6" t="s">
        <v>72</v>
      </c>
      <c r="B596" s="6" t="s">
        <v>402</v>
      </c>
      <c r="C596" s="6" t="n">
        <v>51</v>
      </c>
      <c r="D596" s="25" t="n">
        <f aca="false">EDATE('Start Here'!$B$6,C596-1)</f>
        <v>47849</v>
      </c>
      <c r="E596" s="23" t="n">
        <f aca="false">IF(AND(OR(Nonlabor!$D$15="Both",Nonlabor!$D$15='Start Here'!$B$9),IF(Nonlabor!$E$15="Core",1,IF(Nonlabor!$E$15="AI",'Start Here'!$B$7,'Start Here'!$B$8))=1,C596&gt;=IF(Nonlabor!$E$15="Core",Nonlabor!$F$15,MAX(Nonlabor!$F$15,IF(Nonlabor!$E$15="AI",Assumptions!$C$24,Assumptions!$C$25))),C596&lt;=Nonlabor!$G$15,OR(Nonlabor!$H$15="Monthly",AND(Nonlabor!$H$15="Once",C596=IF(Nonlabor!$E$15="Core",Nonlabor!$F$15,MAX(Nonlabor!$F$15,IF(Nonlabor!$E$15="AI",Assumptions!$C$24,Assumptions!$C$25)))),AND(Nonlabor!$H$15="Annual",MOD(C596-IF(Nonlabor!$E$15="Core",Nonlabor!$F$15,MAX(Nonlabor!$F$15,IF(Nonlabor!$E$15="AI",Assumptions!$C$24,Assumptions!$C$25))),12)=0))),IF(Nonlabor!$I$15="Fixed",1,IF(Nonlabor!$I$15="Seats",ROUNDUP('Monthly Lean'!I56,0),IF(Nonlabor!$I$15="Customers",'Monthly Lean'!D56,IF(Nonlabor!$I$15="NewCustomers",'Monthly Lean'!C56,IF(Nonlabor!$I$15="StorageGB",'Monthly Lean'!G56,IF(Nonlabor!$I$15="LogGB",'Monthly Lean'!H56,IF(Nonlabor!$I$15="RequestsM",'Monthly Lean'!F56,IF(Nonlabor!$I$15="InputM",'Monthly Lean'!D56*Assumptions!$C$22/1000000,IF(Nonlabor!$I$15="OutputM",'Monthly Lean'!D56*Assumptions!$C$23/1000000,0))))))))),0)</f>
        <v>0</v>
      </c>
      <c r="F596" s="10" t="n">
        <f aca="false">Nonlabor!$J$15*(1+Assumptions!$C$9)^INT((C596-1)/12)</f>
        <v>22510.1762</v>
      </c>
      <c r="G596" s="10" t="n">
        <f aca="false">E596*F596</f>
        <v>0</v>
      </c>
      <c r="H596" s="10" t="n">
        <f aca="false">IF(OR(Nonlabor!$L$15="Quote required",Nonlabor!$L$15="Unverified"),G596,0)</f>
        <v>0</v>
      </c>
      <c r="I596" s="10" t="n">
        <f aca="false">IF(Nonlabor!$E$15="Core",0,G596)</f>
        <v>0</v>
      </c>
      <c r="J596" s="23" t="str">
        <f aca="false">Nonlabor!$B$15</f>
        <v>LEGAL</v>
      </c>
    </row>
    <row r="597" customFormat="false" ht="15" hidden="false" customHeight="false" outlineLevel="0" collapsed="false">
      <c r="A597" s="6" t="s">
        <v>72</v>
      </c>
      <c r="B597" s="6" t="s">
        <v>402</v>
      </c>
      <c r="C597" s="6" t="n">
        <v>52</v>
      </c>
      <c r="D597" s="25" t="n">
        <f aca="false">EDATE('Start Here'!$B$6,C597-1)</f>
        <v>47880</v>
      </c>
      <c r="E597" s="23" t="n">
        <f aca="false">IF(AND(OR(Nonlabor!$D$15="Both",Nonlabor!$D$15='Start Here'!$B$9),IF(Nonlabor!$E$15="Core",1,IF(Nonlabor!$E$15="AI",'Start Here'!$B$7,'Start Here'!$B$8))=1,C597&gt;=IF(Nonlabor!$E$15="Core",Nonlabor!$F$15,MAX(Nonlabor!$F$15,IF(Nonlabor!$E$15="AI",Assumptions!$C$24,Assumptions!$C$25))),C597&lt;=Nonlabor!$G$15,OR(Nonlabor!$H$15="Monthly",AND(Nonlabor!$H$15="Once",C597=IF(Nonlabor!$E$15="Core",Nonlabor!$F$15,MAX(Nonlabor!$F$15,IF(Nonlabor!$E$15="AI",Assumptions!$C$24,Assumptions!$C$25)))),AND(Nonlabor!$H$15="Annual",MOD(C597-IF(Nonlabor!$E$15="Core",Nonlabor!$F$15,MAX(Nonlabor!$F$15,IF(Nonlabor!$E$15="AI",Assumptions!$C$24,Assumptions!$C$25))),12)=0))),IF(Nonlabor!$I$15="Fixed",1,IF(Nonlabor!$I$15="Seats",ROUNDUP('Monthly Lean'!I57,0),IF(Nonlabor!$I$15="Customers",'Monthly Lean'!D57,IF(Nonlabor!$I$15="NewCustomers",'Monthly Lean'!C57,IF(Nonlabor!$I$15="StorageGB",'Monthly Lean'!G57,IF(Nonlabor!$I$15="LogGB",'Monthly Lean'!H57,IF(Nonlabor!$I$15="RequestsM",'Monthly Lean'!F57,IF(Nonlabor!$I$15="InputM",'Monthly Lean'!D57*Assumptions!$C$22/1000000,IF(Nonlabor!$I$15="OutputM",'Monthly Lean'!D57*Assumptions!$C$23/1000000,0))))))))),0)</f>
        <v>0</v>
      </c>
      <c r="F597" s="10" t="n">
        <f aca="false">Nonlabor!$J$15*(1+Assumptions!$C$9)^INT((C597-1)/12)</f>
        <v>22510.1762</v>
      </c>
      <c r="G597" s="10" t="n">
        <f aca="false">E597*F597</f>
        <v>0</v>
      </c>
      <c r="H597" s="10" t="n">
        <f aca="false">IF(OR(Nonlabor!$L$15="Quote required",Nonlabor!$L$15="Unverified"),G597,0)</f>
        <v>0</v>
      </c>
      <c r="I597" s="10" t="n">
        <f aca="false">IF(Nonlabor!$E$15="Core",0,G597)</f>
        <v>0</v>
      </c>
      <c r="J597" s="23" t="str">
        <f aca="false">Nonlabor!$B$15</f>
        <v>LEGAL</v>
      </c>
    </row>
    <row r="598" customFormat="false" ht="15" hidden="false" customHeight="false" outlineLevel="0" collapsed="false">
      <c r="A598" s="6" t="s">
        <v>72</v>
      </c>
      <c r="B598" s="6" t="s">
        <v>402</v>
      </c>
      <c r="C598" s="6" t="n">
        <v>53</v>
      </c>
      <c r="D598" s="25" t="n">
        <f aca="false">EDATE('Start Here'!$B$6,C598-1)</f>
        <v>47908</v>
      </c>
      <c r="E598" s="23" t="n">
        <f aca="false">IF(AND(OR(Nonlabor!$D$15="Both",Nonlabor!$D$15='Start Here'!$B$9),IF(Nonlabor!$E$15="Core",1,IF(Nonlabor!$E$15="AI",'Start Here'!$B$7,'Start Here'!$B$8))=1,C598&gt;=IF(Nonlabor!$E$15="Core",Nonlabor!$F$15,MAX(Nonlabor!$F$15,IF(Nonlabor!$E$15="AI",Assumptions!$C$24,Assumptions!$C$25))),C598&lt;=Nonlabor!$G$15,OR(Nonlabor!$H$15="Monthly",AND(Nonlabor!$H$15="Once",C598=IF(Nonlabor!$E$15="Core",Nonlabor!$F$15,MAX(Nonlabor!$F$15,IF(Nonlabor!$E$15="AI",Assumptions!$C$24,Assumptions!$C$25)))),AND(Nonlabor!$H$15="Annual",MOD(C598-IF(Nonlabor!$E$15="Core",Nonlabor!$F$15,MAX(Nonlabor!$F$15,IF(Nonlabor!$E$15="AI",Assumptions!$C$24,Assumptions!$C$25))),12)=0))),IF(Nonlabor!$I$15="Fixed",1,IF(Nonlabor!$I$15="Seats",ROUNDUP('Monthly Lean'!I58,0),IF(Nonlabor!$I$15="Customers",'Monthly Lean'!D58,IF(Nonlabor!$I$15="NewCustomers",'Monthly Lean'!C58,IF(Nonlabor!$I$15="StorageGB",'Monthly Lean'!G58,IF(Nonlabor!$I$15="LogGB",'Monthly Lean'!H58,IF(Nonlabor!$I$15="RequestsM",'Monthly Lean'!F58,IF(Nonlabor!$I$15="InputM",'Monthly Lean'!D58*Assumptions!$C$22/1000000,IF(Nonlabor!$I$15="OutputM",'Monthly Lean'!D58*Assumptions!$C$23/1000000,0))))))))),0)</f>
        <v>0</v>
      </c>
      <c r="F598" s="10" t="n">
        <f aca="false">Nonlabor!$J$15*(1+Assumptions!$C$9)^INT((C598-1)/12)</f>
        <v>22510.1762</v>
      </c>
      <c r="G598" s="10" t="n">
        <f aca="false">E598*F598</f>
        <v>0</v>
      </c>
      <c r="H598" s="10" t="n">
        <f aca="false">IF(OR(Nonlabor!$L$15="Quote required",Nonlabor!$L$15="Unverified"),G598,0)</f>
        <v>0</v>
      </c>
      <c r="I598" s="10" t="n">
        <f aca="false">IF(Nonlabor!$E$15="Core",0,G598)</f>
        <v>0</v>
      </c>
      <c r="J598" s="23" t="str">
        <f aca="false">Nonlabor!$B$15</f>
        <v>LEGAL</v>
      </c>
    </row>
    <row r="599" customFormat="false" ht="15" hidden="false" customHeight="false" outlineLevel="0" collapsed="false">
      <c r="A599" s="6" t="s">
        <v>72</v>
      </c>
      <c r="B599" s="6" t="s">
        <v>402</v>
      </c>
      <c r="C599" s="6" t="n">
        <v>54</v>
      </c>
      <c r="D599" s="25" t="n">
        <f aca="false">EDATE('Start Here'!$B$6,C599-1)</f>
        <v>47939</v>
      </c>
      <c r="E599" s="23" t="n">
        <f aca="false">IF(AND(OR(Nonlabor!$D$15="Both",Nonlabor!$D$15='Start Here'!$B$9),IF(Nonlabor!$E$15="Core",1,IF(Nonlabor!$E$15="AI",'Start Here'!$B$7,'Start Here'!$B$8))=1,C599&gt;=IF(Nonlabor!$E$15="Core",Nonlabor!$F$15,MAX(Nonlabor!$F$15,IF(Nonlabor!$E$15="AI",Assumptions!$C$24,Assumptions!$C$25))),C599&lt;=Nonlabor!$G$15,OR(Nonlabor!$H$15="Monthly",AND(Nonlabor!$H$15="Once",C599=IF(Nonlabor!$E$15="Core",Nonlabor!$F$15,MAX(Nonlabor!$F$15,IF(Nonlabor!$E$15="AI",Assumptions!$C$24,Assumptions!$C$25)))),AND(Nonlabor!$H$15="Annual",MOD(C599-IF(Nonlabor!$E$15="Core",Nonlabor!$F$15,MAX(Nonlabor!$F$15,IF(Nonlabor!$E$15="AI",Assumptions!$C$24,Assumptions!$C$25))),12)=0))),IF(Nonlabor!$I$15="Fixed",1,IF(Nonlabor!$I$15="Seats",ROUNDUP('Monthly Lean'!I59,0),IF(Nonlabor!$I$15="Customers",'Monthly Lean'!D59,IF(Nonlabor!$I$15="NewCustomers",'Monthly Lean'!C59,IF(Nonlabor!$I$15="StorageGB",'Monthly Lean'!G59,IF(Nonlabor!$I$15="LogGB",'Monthly Lean'!H59,IF(Nonlabor!$I$15="RequestsM",'Monthly Lean'!F59,IF(Nonlabor!$I$15="InputM",'Monthly Lean'!D59*Assumptions!$C$22/1000000,IF(Nonlabor!$I$15="OutputM",'Monthly Lean'!D59*Assumptions!$C$23/1000000,0))))))))),0)</f>
        <v>0</v>
      </c>
      <c r="F599" s="10" t="n">
        <f aca="false">Nonlabor!$J$15*(1+Assumptions!$C$9)^INT((C599-1)/12)</f>
        <v>22510.1762</v>
      </c>
      <c r="G599" s="10" t="n">
        <f aca="false">E599*F599</f>
        <v>0</v>
      </c>
      <c r="H599" s="10" t="n">
        <f aca="false">IF(OR(Nonlabor!$L$15="Quote required",Nonlabor!$L$15="Unverified"),G599,0)</f>
        <v>0</v>
      </c>
      <c r="I599" s="10" t="n">
        <f aca="false">IF(Nonlabor!$E$15="Core",0,G599)</f>
        <v>0</v>
      </c>
      <c r="J599" s="23" t="str">
        <f aca="false">Nonlabor!$B$15</f>
        <v>LEGAL</v>
      </c>
    </row>
    <row r="600" customFormat="false" ht="15" hidden="false" customHeight="false" outlineLevel="0" collapsed="false">
      <c r="A600" s="6" t="s">
        <v>72</v>
      </c>
      <c r="B600" s="6" t="s">
        <v>402</v>
      </c>
      <c r="C600" s="6" t="n">
        <v>55</v>
      </c>
      <c r="D600" s="25" t="n">
        <f aca="false">EDATE('Start Here'!$B$6,C600-1)</f>
        <v>47969</v>
      </c>
      <c r="E600" s="23" t="n">
        <f aca="false">IF(AND(OR(Nonlabor!$D$15="Both",Nonlabor!$D$15='Start Here'!$B$9),IF(Nonlabor!$E$15="Core",1,IF(Nonlabor!$E$15="AI",'Start Here'!$B$7,'Start Here'!$B$8))=1,C600&gt;=IF(Nonlabor!$E$15="Core",Nonlabor!$F$15,MAX(Nonlabor!$F$15,IF(Nonlabor!$E$15="AI",Assumptions!$C$24,Assumptions!$C$25))),C600&lt;=Nonlabor!$G$15,OR(Nonlabor!$H$15="Monthly",AND(Nonlabor!$H$15="Once",C600=IF(Nonlabor!$E$15="Core",Nonlabor!$F$15,MAX(Nonlabor!$F$15,IF(Nonlabor!$E$15="AI",Assumptions!$C$24,Assumptions!$C$25)))),AND(Nonlabor!$H$15="Annual",MOD(C600-IF(Nonlabor!$E$15="Core",Nonlabor!$F$15,MAX(Nonlabor!$F$15,IF(Nonlabor!$E$15="AI",Assumptions!$C$24,Assumptions!$C$25))),12)=0))),IF(Nonlabor!$I$15="Fixed",1,IF(Nonlabor!$I$15="Seats",ROUNDUP('Monthly Lean'!I60,0),IF(Nonlabor!$I$15="Customers",'Monthly Lean'!D60,IF(Nonlabor!$I$15="NewCustomers",'Monthly Lean'!C60,IF(Nonlabor!$I$15="StorageGB",'Monthly Lean'!G60,IF(Nonlabor!$I$15="LogGB",'Monthly Lean'!H60,IF(Nonlabor!$I$15="RequestsM",'Monthly Lean'!F60,IF(Nonlabor!$I$15="InputM",'Monthly Lean'!D60*Assumptions!$C$22/1000000,IF(Nonlabor!$I$15="OutputM",'Monthly Lean'!D60*Assumptions!$C$23/1000000,0))))))))),0)</f>
        <v>0</v>
      </c>
      <c r="F600" s="10" t="n">
        <f aca="false">Nonlabor!$J$15*(1+Assumptions!$C$9)^INT((C600-1)/12)</f>
        <v>22510.1762</v>
      </c>
      <c r="G600" s="10" t="n">
        <f aca="false">E600*F600</f>
        <v>0</v>
      </c>
      <c r="H600" s="10" t="n">
        <f aca="false">IF(OR(Nonlabor!$L$15="Quote required",Nonlabor!$L$15="Unverified"),G600,0)</f>
        <v>0</v>
      </c>
      <c r="I600" s="10" t="n">
        <f aca="false">IF(Nonlabor!$E$15="Core",0,G600)</f>
        <v>0</v>
      </c>
      <c r="J600" s="23" t="str">
        <f aca="false">Nonlabor!$B$15</f>
        <v>LEGAL</v>
      </c>
    </row>
    <row r="601" customFormat="false" ht="15" hidden="false" customHeight="false" outlineLevel="0" collapsed="false">
      <c r="A601" s="6" t="s">
        <v>72</v>
      </c>
      <c r="B601" s="6" t="s">
        <v>402</v>
      </c>
      <c r="C601" s="6" t="n">
        <v>56</v>
      </c>
      <c r="D601" s="25" t="n">
        <f aca="false">EDATE('Start Here'!$B$6,C601-1)</f>
        <v>48000</v>
      </c>
      <c r="E601" s="23" t="n">
        <f aca="false">IF(AND(OR(Nonlabor!$D$15="Both",Nonlabor!$D$15='Start Here'!$B$9),IF(Nonlabor!$E$15="Core",1,IF(Nonlabor!$E$15="AI",'Start Here'!$B$7,'Start Here'!$B$8))=1,C601&gt;=IF(Nonlabor!$E$15="Core",Nonlabor!$F$15,MAX(Nonlabor!$F$15,IF(Nonlabor!$E$15="AI",Assumptions!$C$24,Assumptions!$C$25))),C601&lt;=Nonlabor!$G$15,OR(Nonlabor!$H$15="Monthly",AND(Nonlabor!$H$15="Once",C601=IF(Nonlabor!$E$15="Core",Nonlabor!$F$15,MAX(Nonlabor!$F$15,IF(Nonlabor!$E$15="AI",Assumptions!$C$24,Assumptions!$C$25)))),AND(Nonlabor!$H$15="Annual",MOD(C601-IF(Nonlabor!$E$15="Core",Nonlabor!$F$15,MAX(Nonlabor!$F$15,IF(Nonlabor!$E$15="AI",Assumptions!$C$24,Assumptions!$C$25))),12)=0))),IF(Nonlabor!$I$15="Fixed",1,IF(Nonlabor!$I$15="Seats",ROUNDUP('Monthly Lean'!I61,0),IF(Nonlabor!$I$15="Customers",'Monthly Lean'!D61,IF(Nonlabor!$I$15="NewCustomers",'Monthly Lean'!C61,IF(Nonlabor!$I$15="StorageGB",'Monthly Lean'!G61,IF(Nonlabor!$I$15="LogGB",'Monthly Lean'!H61,IF(Nonlabor!$I$15="RequestsM",'Monthly Lean'!F61,IF(Nonlabor!$I$15="InputM",'Monthly Lean'!D61*Assumptions!$C$22/1000000,IF(Nonlabor!$I$15="OutputM",'Monthly Lean'!D61*Assumptions!$C$23/1000000,0))))))))),0)</f>
        <v>0</v>
      </c>
      <c r="F601" s="10" t="n">
        <f aca="false">Nonlabor!$J$15*(1+Assumptions!$C$9)^INT((C601-1)/12)</f>
        <v>22510.1762</v>
      </c>
      <c r="G601" s="10" t="n">
        <f aca="false">E601*F601</f>
        <v>0</v>
      </c>
      <c r="H601" s="10" t="n">
        <f aca="false">IF(OR(Nonlabor!$L$15="Quote required",Nonlabor!$L$15="Unverified"),G601,0)</f>
        <v>0</v>
      </c>
      <c r="I601" s="10" t="n">
        <f aca="false">IF(Nonlabor!$E$15="Core",0,G601)</f>
        <v>0</v>
      </c>
      <c r="J601" s="23" t="str">
        <f aca="false">Nonlabor!$B$15</f>
        <v>LEGAL</v>
      </c>
    </row>
    <row r="602" customFormat="false" ht="15" hidden="false" customHeight="false" outlineLevel="0" collapsed="false">
      <c r="A602" s="6" t="s">
        <v>72</v>
      </c>
      <c r="B602" s="6" t="s">
        <v>402</v>
      </c>
      <c r="C602" s="6" t="n">
        <v>57</v>
      </c>
      <c r="D602" s="25" t="n">
        <f aca="false">EDATE('Start Here'!$B$6,C602-1)</f>
        <v>48030</v>
      </c>
      <c r="E602" s="23" t="n">
        <f aca="false">IF(AND(OR(Nonlabor!$D$15="Both",Nonlabor!$D$15='Start Here'!$B$9),IF(Nonlabor!$E$15="Core",1,IF(Nonlabor!$E$15="AI",'Start Here'!$B$7,'Start Here'!$B$8))=1,C602&gt;=IF(Nonlabor!$E$15="Core",Nonlabor!$F$15,MAX(Nonlabor!$F$15,IF(Nonlabor!$E$15="AI",Assumptions!$C$24,Assumptions!$C$25))),C602&lt;=Nonlabor!$G$15,OR(Nonlabor!$H$15="Monthly",AND(Nonlabor!$H$15="Once",C602=IF(Nonlabor!$E$15="Core",Nonlabor!$F$15,MAX(Nonlabor!$F$15,IF(Nonlabor!$E$15="AI",Assumptions!$C$24,Assumptions!$C$25)))),AND(Nonlabor!$H$15="Annual",MOD(C602-IF(Nonlabor!$E$15="Core",Nonlabor!$F$15,MAX(Nonlabor!$F$15,IF(Nonlabor!$E$15="AI",Assumptions!$C$24,Assumptions!$C$25))),12)=0))),IF(Nonlabor!$I$15="Fixed",1,IF(Nonlabor!$I$15="Seats",ROUNDUP('Monthly Lean'!I62,0),IF(Nonlabor!$I$15="Customers",'Monthly Lean'!D62,IF(Nonlabor!$I$15="NewCustomers",'Monthly Lean'!C62,IF(Nonlabor!$I$15="StorageGB",'Monthly Lean'!G62,IF(Nonlabor!$I$15="LogGB",'Monthly Lean'!H62,IF(Nonlabor!$I$15="RequestsM",'Monthly Lean'!F62,IF(Nonlabor!$I$15="InputM",'Monthly Lean'!D62*Assumptions!$C$22/1000000,IF(Nonlabor!$I$15="OutputM",'Monthly Lean'!D62*Assumptions!$C$23/1000000,0))))))))),0)</f>
        <v>0</v>
      </c>
      <c r="F602" s="10" t="n">
        <f aca="false">Nonlabor!$J$15*(1+Assumptions!$C$9)^INT((C602-1)/12)</f>
        <v>22510.1762</v>
      </c>
      <c r="G602" s="10" t="n">
        <f aca="false">E602*F602</f>
        <v>0</v>
      </c>
      <c r="H602" s="10" t="n">
        <f aca="false">IF(OR(Nonlabor!$L$15="Quote required",Nonlabor!$L$15="Unverified"),G602,0)</f>
        <v>0</v>
      </c>
      <c r="I602" s="10" t="n">
        <f aca="false">IF(Nonlabor!$E$15="Core",0,G602)</f>
        <v>0</v>
      </c>
      <c r="J602" s="23" t="str">
        <f aca="false">Nonlabor!$B$15</f>
        <v>LEGAL</v>
      </c>
    </row>
    <row r="603" customFormat="false" ht="15" hidden="false" customHeight="false" outlineLevel="0" collapsed="false">
      <c r="A603" s="6" t="s">
        <v>72</v>
      </c>
      <c r="B603" s="6" t="s">
        <v>402</v>
      </c>
      <c r="C603" s="6" t="n">
        <v>58</v>
      </c>
      <c r="D603" s="25" t="n">
        <f aca="false">EDATE('Start Here'!$B$6,C603-1)</f>
        <v>48061</v>
      </c>
      <c r="E603" s="23" t="n">
        <f aca="false">IF(AND(OR(Nonlabor!$D$15="Both",Nonlabor!$D$15='Start Here'!$B$9),IF(Nonlabor!$E$15="Core",1,IF(Nonlabor!$E$15="AI",'Start Here'!$B$7,'Start Here'!$B$8))=1,C603&gt;=IF(Nonlabor!$E$15="Core",Nonlabor!$F$15,MAX(Nonlabor!$F$15,IF(Nonlabor!$E$15="AI",Assumptions!$C$24,Assumptions!$C$25))),C603&lt;=Nonlabor!$G$15,OR(Nonlabor!$H$15="Monthly",AND(Nonlabor!$H$15="Once",C603=IF(Nonlabor!$E$15="Core",Nonlabor!$F$15,MAX(Nonlabor!$F$15,IF(Nonlabor!$E$15="AI",Assumptions!$C$24,Assumptions!$C$25)))),AND(Nonlabor!$H$15="Annual",MOD(C603-IF(Nonlabor!$E$15="Core",Nonlabor!$F$15,MAX(Nonlabor!$F$15,IF(Nonlabor!$E$15="AI",Assumptions!$C$24,Assumptions!$C$25))),12)=0))),IF(Nonlabor!$I$15="Fixed",1,IF(Nonlabor!$I$15="Seats",ROUNDUP('Monthly Lean'!I63,0),IF(Nonlabor!$I$15="Customers",'Monthly Lean'!D63,IF(Nonlabor!$I$15="NewCustomers",'Monthly Lean'!C63,IF(Nonlabor!$I$15="StorageGB",'Monthly Lean'!G63,IF(Nonlabor!$I$15="LogGB",'Monthly Lean'!H63,IF(Nonlabor!$I$15="RequestsM",'Monthly Lean'!F63,IF(Nonlabor!$I$15="InputM",'Monthly Lean'!D63*Assumptions!$C$22/1000000,IF(Nonlabor!$I$15="OutputM",'Monthly Lean'!D63*Assumptions!$C$23/1000000,0))))))))),0)</f>
        <v>0</v>
      </c>
      <c r="F603" s="10" t="n">
        <f aca="false">Nonlabor!$J$15*(1+Assumptions!$C$9)^INT((C603-1)/12)</f>
        <v>22510.1762</v>
      </c>
      <c r="G603" s="10" t="n">
        <f aca="false">E603*F603</f>
        <v>0</v>
      </c>
      <c r="H603" s="10" t="n">
        <f aca="false">IF(OR(Nonlabor!$L$15="Quote required",Nonlabor!$L$15="Unverified"),G603,0)</f>
        <v>0</v>
      </c>
      <c r="I603" s="10" t="n">
        <f aca="false">IF(Nonlabor!$E$15="Core",0,G603)</f>
        <v>0</v>
      </c>
      <c r="J603" s="23" t="str">
        <f aca="false">Nonlabor!$B$15</f>
        <v>LEGAL</v>
      </c>
    </row>
    <row r="604" customFormat="false" ht="15" hidden="false" customHeight="false" outlineLevel="0" collapsed="false">
      <c r="A604" s="6" t="s">
        <v>72</v>
      </c>
      <c r="B604" s="6" t="s">
        <v>402</v>
      </c>
      <c r="C604" s="6" t="n">
        <v>59</v>
      </c>
      <c r="D604" s="25" t="n">
        <f aca="false">EDATE('Start Here'!$B$6,C604-1)</f>
        <v>48092</v>
      </c>
      <c r="E604" s="23" t="n">
        <f aca="false">IF(AND(OR(Nonlabor!$D$15="Both",Nonlabor!$D$15='Start Here'!$B$9),IF(Nonlabor!$E$15="Core",1,IF(Nonlabor!$E$15="AI",'Start Here'!$B$7,'Start Here'!$B$8))=1,C604&gt;=IF(Nonlabor!$E$15="Core",Nonlabor!$F$15,MAX(Nonlabor!$F$15,IF(Nonlabor!$E$15="AI",Assumptions!$C$24,Assumptions!$C$25))),C604&lt;=Nonlabor!$G$15,OR(Nonlabor!$H$15="Monthly",AND(Nonlabor!$H$15="Once",C604=IF(Nonlabor!$E$15="Core",Nonlabor!$F$15,MAX(Nonlabor!$F$15,IF(Nonlabor!$E$15="AI",Assumptions!$C$24,Assumptions!$C$25)))),AND(Nonlabor!$H$15="Annual",MOD(C604-IF(Nonlabor!$E$15="Core",Nonlabor!$F$15,MAX(Nonlabor!$F$15,IF(Nonlabor!$E$15="AI",Assumptions!$C$24,Assumptions!$C$25))),12)=0))),IF(Nonlabor!$I$15="Fixed",1,IF(Nonlabor!$I$15="Seats",ROUNDUP('Monthly Lean'!I64,0),IF(Nonlabor!$I$15="Customers",'Monthly Lean'!D64,IF(Nonlabor!$I$15="NewCustomers",'Monthly Lean'!C64,IF(Nonlabor!$I$15="StorageGB",'Monthly Lean'!G64,IF(Nonlabor!$I$15="LogGB",'Monthly Lean'!H64,IF(Nonlabor!$I$15="RequestsM",'Monthly Lean'!F64,IF(Nonlabor!$I$15="InputM",'Monthly Lean'!D64*Assumptions!$C$22/1000000,IF(Nonlabor!$I$15="OutputM",'Monthly Lean'!D64*Assumptions!$C$23/1000000,0))))))))),0)</f>
        <v>0</v>
      </c>
      <c r="F604" s="10" t="n">
        <f aca="false">Nonlabor!$J$15*(1+Assumptions!$C$9)^INT((C604-1)/12)</f>
        <v>22510.1762</v>
      </c>
      <c r="G604" s="10" t="n">
        <f aca="false">E604*F604</f>
        <v>0</v>
      </c>
      <c r="H604" s="10" t="n">
        <f aca="false">IF(OR(Nonlabor!$L$15="Quote required",Nonlabor!$L$15="Unverified"),G604,0)</f>
        <v>0</v>
      </c>
      <c r="I604" s="10" t="n">
        <f aca="false">IF(Nonlabor!$E$15="Core",0,G604)</f>
        <v>0</v>
      </c>
      <c r="J604" s="23" t="str">
        <f aca="false">Nonlabor!$B$15</f>
        <v>LEGAL</v>
      </c>
    </row>
    <row r="605" customFormat="false" ht="15" hidden="false" customHeight="false" outlineLevel="0" collapsed="false">
      <c r="A605" s="6" t="s">
        <v>72</v>
      </c>
      <c r="B605" s="6" t="s">
        <v>402</v>
      </c>
      <c r="C605" s="6" t="n">
        <v>60</v>
      </c>
      <c r="D605" s="25" t="n">
        <f aca="false">EDATE('Start Here'!$B$6,C605-1)</f>
        <v>48122</v>
      </c>
      <c r="E605" s="23" t="n">
        <f aca="false">IF(AND(OR(Nonlabor!$D$15="Both",Nonlabor!$D$15='Start Here'!$B$9),IF(Nonlabor!$E$15="Core",1,IF(Nonlabor!$E$15="AI",'Start Here'!$B$7,'Start Here'!$B$8))=1,C605&gt;=IF(Nonlabor!$E$15="Core",Nonlabor!$F$15,MAX(Nonlabor!$F$15,IF(Nonlabor!$E$15="AI",Assumptions!$C$24,Assumptions!$C$25))),C605&lt;=Nonlabor!$G$15,OR(Nonlabor!$H$15="Monthly",AND(Nonlabor!$H$15="Once",C605=IF(Nonlabor!$E$15="Core",Nonlabor!$F$15,MAX(Nonlabor!$F$15,IF(Nonlabor!$E$15="AI",Assumptions!$C$24,Assumptions!$C$25)))),AND(Nonlabor!$H$15="Annual",MOD(C605-IF(Nonlabor!$E$15="Core",Nonlabor!$F$15,MAX(Nonlabor!$F$15,IF(Nonlabor!$E$15="AI",Assumptions!$C$24,Assumptions!$C$25))),12)=0))),IF(Nonlabor!$I$15="Fixed",1,IF(Nonlabor!$I$15="Seats",ROUNDUP('Monthly Lean'!I65,0),IF(Nonlabor!$I$15="Customers",'Monthly Lean'!D65,IF(Nonlabor!$I$15="NewCustomers",'Monthly Lean'!C65,IF(Nonlabor!$I$15="StorageGB",'Monthly Lean'!G65,IF(Nonlabor!$I$15="LogGB",'Monthly Lean'!H65,IF(Nonlabor!$I$15="RequestsM",'Monthly Lean'!F65,IF(Nonlabor!$I$15="InputM",'Monthly Lean'!D65*Assumptions!$C$22/1000000,IF(Nonlabor!$I$15="OutputM",'Monthly Lean'!D65*Assumptions!$C$23/1000000,0))))))))),0)</f>
        <v>0</v>
      </c>
      <c r="F605" s="10" t="n">
        <f aca="false">Nonlabor!$J$15*(1+Assumptions!$C$9)^INT((C605-1)/12)</f>
        <v>22510.1762</v>
      </c>
      <c r="G605" s="10" t="n">
        <f aca="false">E605*F605</f>
        <v>0</v>
      </c>
      <c r="H605" s="10" t="n">
        <f aca="false">IF(OR(Nonlabor!$L$15="Quote required",Nonlabor!$L$15="Unverified"),G605,0)</f>
        <v>0</v>
      </c>
      <c r="I605" s="10" t="n">
        <f aca="false">IF(Nonlabor!$E$15="Core",0,G605)</f>
        <v>0</v>
      </c>
      <c r="J605" s="23" t="str">
        <f aca="false">Nonlabor!$B$15</f>
        <v>LEGAL</v>
      </c>
    </row>
    <row r="606" customFormat="false" ht="15" hidden="false" customHeight="false" outlineLevel="0" collapsed="false">
      <c r="A606" s="6" t="s">
        <v>72</v>
      </c>
      <c r="B606" s="6" t="s">
        <v>406</v>
      </c>
      <c r="C606" s="6" t="n">
        <v>1</v>
      </c>
      <c r="D606" s="25" t="n">
        <f aca="false">EDATE('Start Here'!$B$6,C606-1)</f>
        <v>46327</v>
      </c>
      <c r="E606" s="23" t="n">
        <f aca="false">IF(AND(OR(Nonlabor!$D$16="Both",Nonlabor!$D$16='Start Here'!$B$9),IF(Nonlabor!$E$16="Core",1,IF(Nonlabor!$E$16="AI",'Start Here'!$B$7,'Start Here'!$B$8))=1,C606&gt;=IF(Nonlabor!$E$16="Core",Nonlabor!$F$16,MAX(Nonlabor!$F$16,IF(Nonlabor!$E$16="AI",Assumptions!$C$24,Assumptions!$C$25))),C606&lt;=Nonlabor!$G$16,OR(Nonlabor!$H$16="Monthly",AND(Nonlabor!$H$16="Once",C606=IF(Nonlabor!$E$16="Core",Nonlabor!$F$16,MAX(Nonlabor!$F$16,IF(Nonlabor!$E$16="AI",Assumptions!$C$24,Assumptions!$C$25)))),AND(Nonlabor!$H$16="Annual",MOD(C606-IF(Nonlabor!$E$16="Core",Nonlabor!$F$16,MAX(Nonlabor!$F$16,IF(Nonlabor!$E$16="AI",Assumptions!$C$24,Assumptions!$C$25))),12)=0))),IF(Nonlabor!$I$16="Fixed",1,IF(Nonlabor!$I$16="Seats",ROUNDUP('Monthly Lean'!I6,0),IF(Nonlabor!$I$16="Customers",'Monthly Lean'!D6,IF(Nonlabor!$I$16="NewCustomers",'Monthly Lean'!C6,IF(Nonlabor!$I$16="StorageGB",'Monthly Lean'!G6,IF(Nonlabor!$I$16="LogGB",'Monthly Lean'!H6,IF(Nonlabor!$I$16="RequestsM",'Monthly Lean'!F6,IF(Nonlabor!$I$16="InputM",'Monthly Lean'!D6*Assumptions!$C$22/1000000,IF(Nonlabor!$I$16="OutputM",'Monthly Lean'!D6*Assumptions!$C$23/1000000,0))))))))),0)</f>
        <v>0</v>
      </c>
      <c r="F606" s="10" t="n">
        <f aca="false">Nonlabor!$J$16*(1+Assumptions!$C$9)^INT((C606-1)/12)</f>
        <v>12000</v>
      </c>
      <c r="G606" s="10" t="n">
        <f aca="false">E606*F606</f>
        <v>0</v>
      </c>
      <c r="H606" s="10" t="n">
        <f aca="false">IF(OR(Nonlabor!$L$16="Quote required",Nonlabor!$L$16="Unverified"),G606,0)</f>
        <v>0</v>
      </c>
      <c r="I606" s="10" t="n">
        <f aca="false">IF(Nonlabor!$E$16="Core",0,G606)</f>
        <v>0</v>
      </c>
      <c r="J606" s="23" t="str">
        <f aca="false">Nonlabor!$B$16</f>
        <v>LEGAL</v>
      </c>
    </row>
    <row r="607" customFormat="false" ht="15" hidden="false" customHeight="false" outlineLevel="0" collapsed="false">
      <c r="A607" s="6" t="s">
        <v>72</v>
      </c>
      <c r="B607" s="6" t="s">
        <v>406</v>
      </c>
      <c r="C607" s="6" t="n">
        <v>2</v>
      </c>
      <c r="D607" s="25" t="n">
        <f aca="false">EDATE('Start Here'!$B$6,C607-1)</f>
        <v>46357</v>
      </c>
      <c r="E607" s="23" t="n">
        <f aca="false">IF(AND(OR(Nonlabor!$D$16="Both",Nonlabor!$D$16='Start Here'!$B$9),IF(Nonlabor!$E$16="Core",1,IF(Nonlabor!$E$16="AI",'Start Here'!$B$7,'Start Here'!$B$8))=1,C607&gt;=IF(Nonlabor!$E$16="Core",Nonlabor!$F$16,MAX(Nonlabor!$F$16,IF(Nonlabor!$E$16="AI",Assumptions!$C$24,Assumptions!$C$25))),C607&lt;=Nonlabor!$G$16,OR(Nonlabor!$H$16="Monthly",AND(Nonlabor!$H$16="Once",C607=IF(Nonlabor!$E$16="Core",Nonlabor!$F$16,MAX(Nonlabor!$F$16,IF(Nonlabor!$E$16="AI",Assumptions!$C$24,Assumptions!$C$25)))),AND(Nonlabor!$H$16="Annual",MOD(C607-IF(Nonlabor!$E$16="Core",Nonlabor!$F$16,MAX(Nonlabor!$F$16,IF(Nonlabor!$E$16="AI",Assumptions!$C$24,Assumptions!$C$25))),12)=0))),IF(Nonlabor!$I$16="Fixed",1,IF(Nonlabor!$I$16="Seats",ROUNDUP('Monthly Lean'!I7,0),IF(Nonlabor!$I$16="Customers",'Monthly Lean'!D7,IF(Nonlabor!$I$16="NewCustomers",'Monthly Lean'!C7,IF(Nonlabor!$I$16="StorageGB",'Monthly Lean'!G7,IF(Nonlabor!$I$16="LogGB",'Monthly Lean'!H7,IF(Nonlabor!$I$16="RequestsM",'Monthly Lean'!F7,IF(Nonlabor!$I$16="InputM",'Monthly Lean'!D7*Assumptions!$C$22/1000000,IF(Nonlabor!$I$16="OutputM",'Monthly Lean'!D7*Assumptions!$C$23/1000000,0))))))))),0)</f>
        <v>0</v>
      </c>
      <c r="F607" s="10" t="n">
        <f aca="false">Nonlabor!$J$16*(1+Assumptions!$C$9)^INT((C607-1)/12)</f>
        <v>12000</v>
      </c>
      <c r="G607" s="10" t="n">
        <f aca="false">E607*F607</f>
        <v>0</v>
      </c>
      <c r="H607" s="10" t="n">
        <f aca="false">IF(OR(Nonlabor!$L$16="Quote required",Nonlabor!$L$16="Unverified"),G607,0)</f>
        <v>0</v>
      </c>
      <c r="I607" s="10" t="n">
        <f aca="false">IF(Nonlabor!$E$16="Core",0,G607)</f>
        <v>0</v>
      </c>
      <c r="J607" s="23" t="str">
        <f aca="false">Nonlabor!$B$16</f>
        <v>LEGAL</v>
      </c>
    </row>
    <row r="608" customFormat="false" ht="15" hidden="false" customHeight="false" outlineLevel="0" collapsed="false">
      <c r="A608" s="6" t="s">
        <v>72</v>
      </c>
      <c r="B608" s="6" t="s">
        <v>406</v>
      </c>
      <c r="C608" s="6" t="n">
        <v>3</v>
      </c>
      <c r="D608" s="25" t="n">
        <f aca="false">EDATE('Start Here'!$B$6,C608-1)</f>
        <v>46388</v>
      </c>
      <c r="E608" s="23" t="n">
        <f aca="false">IF(AND(OR(Nonlabor!$D$16="Both",Nonlabor!$D$16='Start Here'!$B$9),IF(Nonlabor!$E$16="Core",1,IF(Nonlabor!$E$16="AI",'Start Here'!$B$7,'Start Here'!$B$8))=1,C608&gt;=IF(Nonlabor!$E$16="Core",Nonlabor!$F$16,MAX(Nonlabor!$F$16,IF(Nonlabor!$E$16="AI",Assumptions!$C$24,Assumptions!$C$25))),C608&lt;=Nonlabor!$G$16,OR(Nonlabor!$H$16="Monthly",AND(Nonlabor!$H$16="Once",C608=IF(Nonlabor!$E$16="Core",Nonlabor!$F$16,MAX(Nonlabor!$F$16,IF(Nonlabor!$E$16="AI",Assumptions!$C$24,Assumptions!$C$25)))),AND(Nonlabor!$H$16="Annual",MOD(C608-IF(Nonlabor!$E$16="Core",Nonlabor!$F$16,MAX(Nonlabor!$F$16,IF(Nonlabor!$E$16="AI",Assumptions!$C$24,Assumptions!$C$25))),12)=0))),IF(Nonlabor!$I$16="Fixed",1,IF(Nonlabor!$I$16="Seats",ROUNDUP('Monthly Lean'!I8,0),IF(Nonlabor!$I$16="Customers",'Monthly Lean'!D8,IF(Nonlabor!$I$16="NewCustomers",'Monthly Lean'!C8,IF(Nonlabor!$I$16="StorageGB",'Monthly Lean'!G8,IF(Nonlabor!$I$16="LogGB",'Monthly Lean'!H8,IF(Nonlabor!$I$16="RequestsM",'Monthly Lean'!F8,IF(Nonlabor!$I$16="InputM",'Monthly Lean'!D8*Assumptions!$C$22/1000000,IF(Nonlabor!$I$16="OutputM",'Monthly Lean'!D8*Assumptions!$C$23/1000000,0))))))))),0)</f>
        <v>0</v>
      </c>
      <c r="F608" s="10" t="n">
        <f aca="false">Nonlabor!$J$16*(1+Assumptions!$C$9)^INT((C608-1)/12)</f>
        <v>12000</v>
      </c>
      <c r="G608" s="10" t="n">
        <f aca="false">E608*F608</f>
        <v>0</v>
      </c>
      <c r="H608" s="10" t="n">
        <f aca="false">IF(OR(Nonlabor!$L$16="Quote required",Nonlabor!$L$16="Unverified"),G608,0)</f>
        <v>0</v>
      </c>
      <c r="I608" s="10" t="n">
        <f aca="false">IF(Nonlabor!$E$16="Core",0,G608)</f>
        <v>0</v>
      </c>
      <c r="J608" s="23" t="str">
        <f aca="false">Nonlabor!$B$16</f>
        <v>LEGAL</v>
      </c>
    </row>
    <row r="609" customFormat="false" ht="15" hidden="false" customHeight="false" outlineLevel="0" collapsed="false">
      <c r="A609" s="6" t="s">
        <v>72</v>
      </c>
      <c r="B609" s="6" t="s">
        <v>406</v>
      </c>
      <c r="C609" s="6" t="n">
        <v>4</v>
      </c>
      <c r="D609" s="25" t="n">
        <f aca="false">EDATE('Start Here'!$B$6,C609-1)</f>
        <v>46419</v>
      </c>
      <c r="E609" s="23" t="n">
        <f aca="false">IF(AND(OR(Nonlabor!$D$16="Both",Nonlabor!$D$16='Start Here'!$B$9),IF(Nonlabor!$E$16="Core",1,IF(Nonlabor!$E$16="AI",'Start Here'!$B$7,'Start Here'!$B$8))=1,C609&gt;=IF(Nonlabor!$E$16="Core",Nonlabor!$F$16,MAX(Nonlabor!$F$16,IF(Nonlabor!$E$16="AI",Assumptions!$C$24,Assumptions!$C$25))),C609&lt;=Nonlabor!$G$16,OR(Nonlabor!$H$16="Monthly",AND(Nonlabor!$H$16="Once",C609=IF(Nonlabor!$E$16="Core",Nonlabor!$F$16,MAX(Nonlabor!$F$16,IF(Nonlabor!$E$16="AI",Assumptions!$C$24,Assumptions!$C$25)))),AND(Nonlabor!$H$16="Annual",MOD(C609-IF(Nonlabor!$E$16="Core",Nonlabor!$F$16,MAX(Nonlabor!$F$16,IF(Nonlabor!$E$16="AI",Assumptions!$C$24,Assumptions!$C$25))),12)=0))),IF(Nonlabor!$I$16="Fixed",1,IF(Nonlabor!$I$16="Seats",ROUNDUP('Monthly Lean'!I9,0),IF(Nonlabor!$I$16="Customers",'Monthly Lean'!D9,IF(Nonlabor!$I$16="NewCustomers",'Monthly Lean'!C9,IF(Nonlabor!$I$16="StorageGB",'Monthly Lean'!G9,IF(Nonlabor!$I$16="LogGB",'Monthly Lean'!H9,IF(Nonlabor!$I$16="RequestsM",'Monthly Lean'!F9,IF(Nonlabor!$I$16="InputM",'Monthly Lean'!D9*Assumptions!$C$22/1000000,IF(Nonlabor!$I$16="OutputM",'Monthly Lean'!D9*Assumptions!$C$23/1000000,0))))))))),0)</f>
        <v>0</v>
      </c>
      <c r="F609" s="10" t="n">
        <f aca="false">Nonlabor!$J$16*(1+Assumptions!$C$9)^INT((C609-1)/12)</f>
        <v>12000</v>
      </c>
      <c r="G609" s="10" t="n">
        <f aca="false">E609*F609</f>
        <v>0</v>
      </c>
      <c r="H609" s="10" t="n">
        <f aca="false">IF(OR(Nonlabor!$L$16="Quote required",Nonlabor!$L$16="Unverified"),G609,0)</f>
        <v>0</v>
      </c>
      <c r="I609" s="10" t="n">
        <f aca="false">IF(Nonlabor!$E$16="Core",0,G609)</f>
        <v>0</v>
      </c>
      <c r="J609" s="23" t="str">
        <f aca="false">Nonlabor!$B$16</f>
        <v>LEGAL</v>
      </c>
    </row>
    <row r="610" customFormat="false" ht="15" hidden="false" customHeight="false" outlineLevel="0" collapsed="false">
      <c r="A610" s="6" t="s">
        <v>72</v>
      </c>
      <c r="B610" s="6" t="s">
        <v>406</v>
      </c>
      <c r="C610" s="6" t="n">
        <v>5</v>
      </c>
      <c r="D610" s="25" t="n">
        <f aca="false">EDATE('Start Here'!$B$6,C610-1)</f>
        <v>46447</v>
      </c>
      <c r="E610" s="23" t="n">
        <f aca="false">IF(AND(OR(Nonlabor!$D$16="Both",Nonlabor!$D$16='Start Here'!$B$9),IF(Nonlabor!$E$16="Core",1,IF(Nonlabor!$E$16="AI",'Start Here'!$B$7,'Start Here'!$B$8))=1,C610&gt;=IF(Nonlabor!$E$16="Core",Nonlabor!$F$16,MAX(Nonlabor!$F$16,IF(Nonlabor!$E$16="AI",Assumptions!$C$24,Assumptions!$C$25))),C610&lt;=Nonlabor!$G$16,OR(Nonlabor!$H$16="Monthly",AND(Nonlabor!$H$16="Once",C610=IF(Nonlabor!$E$16="Core",Nonlabor!$F$16,MAX(Nonlabor!$F$16,IF(Nonlabor!$E$16="AI",Assumptions!$C$24,Assumptions!$C$25)))),AND(Nonlabor!$H$16="Annual",MOD(C610-IF(Nonlabor!$E$16="Core",Nonlabor!$F$16,MAX(Nonlabor!$F$16,IF(Nonlabor!$E$16="AI",Assumptions!$C$24,Assumptions!$C$25))),12)=0))),IF(Nonlabor!$I$16="Fixed",1,IF(Nonlabor!$I$16="Seats",ROUNDUP('Monthly Lean'!I10,0),IF(Nonlabor!$I$16="Customers",'Monthly Lean'!D10,IF(Nonlabor!$I$16="NewCustomers",'Monthly Lean'!C10,IF(Nonlabor!$I$16="StorageGB",'Monthly Lean'!G10,IF(Nonlabor!$I$16="LogGB",'Monthly Lean'!H10,IF(Nonlabor!$I$16="RequestsM",'Monthly Lean'!F10,IF(Nonlabor!$I$16="InputM",'Monthly Lean'!D10*Assumptions!$C$22/1000000,IF(Nonlabor!$I$16="OutputM",'Monthly Lean'!D10*Assumptions!$C$23/1000000,0))))))))),0)</f>
        <v>0</v>
      </c>
      <c r="F610" s="10" t="n">
        <f aca="false">Nonlabor!$J$16*(1+Assumptions!$C$9)^INT((C610-1)/12)</f>
        <v>12000</v>
      </c>
      <c r="G610" s="10" t="n">
        <f aca="false">E610*F610</f>
        <v>0</v>
      </c>
      <c r="H610" s="10" t="n">
        <f aca="false">IF(OR(Nonlabor!$L$16="Quote required",Nonlabor!$L$16="Unverified"),G610,0)</f>
        <v>0</v>
      </c>
      <c r="I610" s="10" t="n">
        <f aca="false">IF(Nonlabor!$E$16="Core",0,G610)</f>
        <v>0</v>
      </c>
      <c r="J610" s="23" t="str">
        <f aca="false">Nonlabor!$B$16</f>
        <v>LEGAL</v>
      </c>
    </row>
    <row r="611" customFormat="false" ht="15" hidden="false" customHeight="false" outlineLevel="0" collapsed="false">
      <c r="A611" s="6" t="s">
        <v>72</v>
      </c>
      <c r="B611" s="6" t="s">
        <v>406</v>
      </c>
      <c r="C611" s="6" t="n">
        <v>6</v>
      </c>
      <c r="D611" s="25" t="n">
        <f aca="false">EDATE('Start Here'!$B$6,C611-1)</f>
        <v>46478</v>
      </c>
      <c r="E611" s="23" t="n">
        <f aca="false">IF(AND(OR(Nonlabor!$D$16="Both",Nonlabor!$D$16='Start Here'!$B$9),IF(Nonlabor!$E$16="Core",1,IF(Nonlabor!$E$16="AI",'Start Here'!$B$7,'Start Here'!$B$8))=1,C611&gt;=IF(Nonlabor!$E$16="Core",Nonlabor!$F$16,MAX(Nonlabor!$F$16,IF(Nonlabor!$E$16="AI",Assumptions!$C$24,Assumptions!$C$25))),C611&lt;=Nonlabor!$G$16,OR(Nonlabor!$H$16="Monthly",AND(Nonlabor!$H$16="Once",C611=IF(Nonlabor!$E$16="Core",Nonlabor!$F$16,MAX(Nonlabor!$F$16,IF(Nonlabor!$E$16="AI",Assumptions!$C$24,Assumptions!$C$25)))),AND(Nonlabor!$H$16="Annual",MOD(C611-IF(Nonlabor!$E$16="Core",Nonlabor!$F$16,MAX(Nonlabor!$F$16,IF(Nonlabor!$E$16="AI",Assumptions!$C$24,Assumptions!$C$25))),12)=0))),IF(Nonlabor!$I$16="Fixed",1,IF(Nonlabor!$I$16="Seats",ROUNDUP('Monthly Lean'!I11,0),IF(Nonlabor!$I$16="Customers",'Monthly Lean'!D11,IF(Nonlabor!$I$16="NewCustomers",'Monthly Lean'!C11,IF(Nonlabor!$I$16="StorageGB",'Monthly Lean'!G11,IF(Nonlabor!$I$16="LogGB",'Monthly Lean'!H11,IF(Nonlabor!$I$16="RequestsM",'Monthly Lean'!F11,IF(Nonlabor!$I$16="InputM",'Monthly Lean'!D11*Assumptions!$C$22/1000000,IF(Nonlabor!$I$16="OutputM",'Monthly Lean'!D11*Assumptions!$C$23/1000000,0))))))))),0)</f>
        <v>0</v>
      </c>
      <c r="F611" s="10" t="n">
        <f aca="false">Nonlabor!$J$16*(1+Assumptions!$C$9)^INT((C611-1)/12)</f>
        <v>12000</v>
      </c>
      <c r="G611" s="10" t="n">
        <f aca="false">E611*F611</f>
        <v>0</v>
      </c>
      <c r="H611" s="10" t="n">
        <f aca="false">IF(OR(Nonlabor!$L$16="Quote required",Nonlabor!$L$16="Unverified"),G611,0)</f>
        <v>0</v>
      </c>
      <c r="I611" s="10" t="n">
        <f aca="false">IF(Nonlabor!$E$16="Core",0,G611)</f>
        <v>0</v>
      </c>
      <c r="J611" s="23" t="str">
        <f aca="false">Nonlabor!$B$16</f>
        <v>LEGAL</v>
      </c>
    </row>
    <row r="612" customFormat="false" ht="15" hidden="false" customHeight="false" outlineLevel="0" collapsed="false">
      <c r="A612" s="6" t="s">
        <v>72</v>
      </c>
      <c r="B612" s="6" t="s">
        <v>406</v>
      </c>
      <c r="C612" s="6" t="n">
        <v>7</v>
      </c>
      <c r="D612" s="25" t="n">
        <f aca="false">EDATE('Start Here'!$B$6,C612-1)</f>
        <v>46508</v>
      </c>
      <c r="E612" s="23" t="n">
        <f aca="false">IF(AND(OR(Nonlabor!$D$16="Both",Nonlabor!$D$16='Start Here'!$B$9),IF(Nonlabor!$E$16="Core",1,IF(Nonlabor!$E$16="AI",'Start Here'!$B$7,'Start Here'!$B$8))=1,C612&gt;=IF(Nonlabor!$E$16="Core",Nonlabor!$F$16,MAX(Nonlabor!$F$16,IF(Nonlabor!$E$16="AI",Assumptions!$C$24,Assumptions!$C$25))),C612&lt;=Nonlabor!$G$16,OR(Nonlabor!$H$16="Monthly",AND(Nonlabor!$H$16="Once",C612=IF(Nonlabor!$E$16="Core",Nonlabor!$F$16,MAX(Nonlabor!$F$16,IF(Nonlabor!$E$16="AI",Assumptions!$C$24,Assumptions!$C$25)))),AND(Nonlabor!$H$16="Annual",MOD(C612-IF(Nonlabor!$E$16="Core",Nonlabor!$F$16,MAX(Nonlabor!$F$16,IF(Nonlabor!$E$16="AI",Assumptions!$C$24,Assumptions!$C$25))),12)=0))),IF(Nonlabor!$I$16="Fixed",1,IF(Nonlabor!$I$16="Seats",ROUNDUP('Monthly Lean'!I12,0),IF(Nonlabor!$I$16="Customers",'Monthly Lean'!D12,IF(Nonlabor!$I$16="NewCustomers",'Monthly Lean'!C12,IF(Nonlabor!$I$16="StorageGB",'Monthly Lean'!G12,IF(Nonlabor!$I$16="LogGB",'Monthly Lean'!H12,IF(Nonlabor!$I$16="RequestsM",'Monthly Lean'!F12,IF(Nonlabor!$I$16="InputM",'Monthly Lean'!D12*Assumptions!$C$22/1000000,IF(Nonlabor!$I$16="OutputM",'Monthly Lean'!D12*Assumptions!$C$23/1000000,0))))))))),0)</f>
        <v>0</v>
      </c>
      <c r="F612" s="10" t="n">
        <f aca="false">Nonlabor!$J$16*(1+Assumptions!$C$9)^INT((C612-1)/12)</f>
        <v>12000</v>
      </c>
      <c r="G612" s="10" t="n">
        <f aca="false">E612*F612</f>
        <v>0</v>
      </c>
      <c r="H612" s="10" t="n">
        <f aca="false">IF(OR(Nonlabor!$L$16="Quote required",Nonlabor!$L$16="Unverified"),G612,0)</f>
        <v>0</v>
      </c>
      <c r="I612" s="10" t="n">
        <f aca="false">IF(Nonlabor!$E$16="Core",0,G612)</f>
        <v>0</v>
      </c>
      <c r="J612" s="23" t="str">
        <f aca="false">Nonlabor!$B$16</f>
        <v>LEGAL</v>
      </c>
    </row>
    <row r="613" customFormat="false" ht="15" hidden="false" customHeight="false" outlineLevel="0" collapsed="false">
      <c r="A613" s="6" t="s">
        <v>72</v>
      </c>
      <c r="B613" s="6" t="s">
        <v>406</v>
      </c>
      <c r="C613" s="6" t="n">
        <v>8</v>
      </c>
      <c r="D613" s="25" t="n">
        <f aca="false">EDATE('Start Here'!$B$6,C613-1)</f>
        <v>46539</v>
      </c>
      <c r="E613" s="23" t="n">
        <f aca="false">IF(AND(OR(Nonlabor!$D$16="Both",Nonlabor!$D$16='Start Here'!$B$9),IF(Nonlabor!$E$16="Core",1,IF(Nonlabor!$E$16="AI",'Start Here'!$B$7,'Start Here'!$B$8))=1,C613&gt;=IF(Nonlabor!$E$16="Core",Nonlabor!$F$16,MAX(Nonlabor!$F$16,IF(Nonlabor!$E$16="AI",Assumptions!$C$24,Assumptions!$C$25))),C613&lt;=Nonlabor!$G$16,OR(Nonlabor!$H$16="Monthly",AND(Nonlabor!$H$16="Once",C613=IF(Nonlabor!$E$16="Core",Nonlabor!$F$16,MAX(Nonlabor!$F$16,IF(Nonlabor!$E$16="AI",Assumptions!$C$24,Assumptions!$C$25)))),AND(Nonlabor!$H$16="Annual",MOD(C613-IF(Nonlabor!$E$16="Core",Nonlabor!$F$16,MAX(Nonlabor!$F$16,IF(Nonlabor!$E$16="AI",Assumptions!$C$24,Assumptions!$C$25))),12)=0))),IF(Nonlabor!$I$16="Fixed",1,IF(Nonlabor!$I$16="Seats",ROUNDUP('Monthly Lean'!I13,0),IF(Nonlabor!$I$16="Customers",'Monthly Lean'!D13,IF(Nonlabor!$I$16="NewCustomers",'Monthly Lean'!C13,IF(Nonlabor!$I$16="StorageGB",'Monthly Lean'!G13,IF(Nonlabor!$I$16="LogGB",'Monthly Lean'!H13,IF(Nonlabor!$I$16="RequestsM",'Monthly Lean'!F13,IF(Nonlabor!$I$16="InputM",'Monthly Lean'!D13*Assumptions!$C$22/1000000,IF(Nonlabor!$I$16="OutputM",'Monthly Lean'!D13*Assumptions!$C$23/1000000,0))))))))),0)</f>
        <v>0</v>
      </c>
      <c r="F613" s="10" t="n">
        <f aca="false">Nonlabor!$J$16*(1+Assumptions!$C$9)^INT((C613-1)/12)</f>
        <v>12000</v>
      </c>
      <c r="G613" s="10" t="n">
        <f aca="false">E613*F613</f>
        <v>0</v>
      </c>
      <c r="H613" s="10" t="n">
        <f aca="false">IF(OR(Nonlabor!$L$16="Quote required",Nonlabor!$L$16="Unverified"),G613,0)</f>
        <v>0</v>
      </c>
      <c r="I613" s="10" t="n">
        <f aca="false">IF(Nonlabor!$E$16="Core",0,G613)</f>
        <v>0</v>
      </c>
      <c r="J613" s="23" t="str">
        <f aca="false">Nonlabor!$B$16</f>
        <v>LEGAL</v>
      </c>
    </row>
    <row r="614" customFormat="false" ht="15" hidden="false" customHeight="false" outlineLevel="0" collapsed="false">
      <c r="A614" s="6" t="s">
        <v>72</v>
      </c>
      <c r="B614" s="6" t="s">
        <v>406</v>
      </c>
      <c r="C614" s="6" t="n">
        <v>9</v>
      </c>
      <c r="D614" s="25" t="n">
        <f aca="false">EDATE('Start Here'!$B$6,C614-1)</f>
        <v>46569</v>
      </c>
      <c r="E614" s="23" t="n">
        <f aca="false">IF(AND(OR(Nonlabor!$D$16="Both",Nonlabor!$D$16='Start Here'!$B$9),IF(Nonlabor!$E$16="Core",1,IF(Nonlabor!$E$16="AI",'Start Here'!$B$7,'Start Here'!$B$8))=1,C614&gt;=IF(Nonlabor!$E$16="Core",Nonlabor!$F$16,MAX(Nonlabor!$F$16,IF(Nonlabor!$E$16="AI",Assumptions!$C$24,Assumptions!$C$25))),C614&lt;=Nonlabor!$G$16,OR(Nonlabor!$H$16="Monthly",AND(Nonlabor!$H$16="Once",C614=IF(Nonlabor!$E$16="Core",Nonlabor!$F$16,MAX(Nonlabor!$F$16,IF(Nonlabor!$E$16="AI",Assumptions!$C$24,Assumptions!$C$25)))),AND(Nonlabor!$H$16="Annual",MOD(C614-IF(Nonlabor!$E$16="Core",Nonlabor!$F$16,MAX(Nonlabor!$F$16,IF(Nonlabor!$E$16="AI",Assumptions!$C$24,Assumptions!$C$25))),12)=0))),IF(Nonlabor!$I$16="Fixed",1,IF(Nonlabor!$I$16="Seats",ROUNDUP('Monthly Lean'!I14,0),IF(Nonlabor!$I$16="Customers",'Monthly Lean'!D14,IF(Nonlabor!$I$16="NewCustomers",'Monthly Lean'!C14,IF(Nonlabor!$I$16="StorageGB",'Monthly Lean'!G14,IF(Nonlabor!$I$16="LogGB",'Monthly Lean'!H14,IF(Nonlabor!$I$16="RequestsM",'Monthly Lean'!F14,IF(Nonlabor!$I$16="InputM",'Monthly Lean'!D14*Assumptions!$C$22/1000000,IF(Nonlabor!$I$16="OutputM",'Monthly Lean'!D14*Assumptions!$C$23/1000000,0))))))))),0)</f>
        <v>0</v>
      </c>
      <c r="F614" s="10" t="n">
        <f aca="false">Nonlabor!$J$16*(1+Assumptions!$C$9)^INT((C614-1)/12)</f>
        <v>12000</v>
      </c>
      <c r="G614" s="10" t="n">
        <f aca="false">E614*F614</f>
        <v>0</v>
      </c>
      <c r="H614" s="10" t="n">
        <f aca="false">IF(OR(Nonlabor!$L$16="Quote required",Nonlabor!$L$16="Unverified"),G614,0)</f>
        <v>0</v>
      </c>
      <c r="I614" s="10" t="n">
        <f aca="false">IF(Nonlabor!$E$16="Core",0,G614)</f>
        <v>0</v>
      </c>
      <c r="J614" s="23" t="str">
        <f aca="false">Nonlabor!$B$16</f>
        <v>LEGAL</v>
      </c>
    </row>
    <row r="615" customFormat="false" ht="15" hidden="false" customHeight="false" outlineLevel="0" collapsed="false">
      <c r="A615" s="6" t="s">
        <v>72</v>
      </c>
      <c r="B615" s="6" t="s">
        <v>406</v>
      </c>
      <c r="C615" s="6" t="n">
        <v>10</v>
      </c>
      <c r="D615" s="25" t="n">
        <f aca="false">EDATE('Start Here'!$B$6,C615-1)</f>
        <v>46600</v>
      </c>
      <c r="E615" s="23" t="n">
        <f aca="false">IF(AND(OR(Nonlabor!$D$16="Both",Nonlabor!$D$16='Start Here'!$B$9),IF(Nonlabor!$E$16="Core",1,IF(Nonlabor!$E$16="AI",'Start Here'!$B$7,'Start Here'!$B$8))=1,C615&gt;=IF(Nonlabor!$E$16="Core",Nonlabor!$F$16,MAX(Nonlabor!$F$16,IF(Nonlabor!$E$16="AI",Assumptions!$C$24,Assumptions!$C$25))),C615&lt;=Nonlabor!$G$16,OR(Nonlabor!$H$16="Monthly",AND(Nonlabor!$H$16="Once",C615=IF(Nonlabor!$E$16="Core",Nonlabor!$F$16,MAX(Nonlabor!$F$16,IF(Nonlabor!$E$16="AI",Assumptions!$C$24,Assumptions!$C$25)))),AND(Nonlabor!$H$16="Annual",MOD(C615-IF(Nonlabor!$E$16="Core",Nonlabor!$F$16,MAX(Nonlabor!$F$16,IF(Nonlabor!$E$16="AI",Assumptions!$C$24,Assumptions!$C$25))),12)=0))),IF(Nonlabor!$I$16="Fixed",1,IF(Nonlabor!$I$16="Seats",ROUNDUP('Monthly Lean'!I15,0),IF(Nonlabor!$I$16="Customers",'Monthly Lean'!D15,IF(Nonlabor!$I$16="NewCustomers",'Monthly Lean'!C15,IF(Nonlabor!$I$16="StorageGB",'Monthly Lean'!G15,IF(Nonlabor!$I$16="LogGB",'Monthly Lean'!H15,IF(Nonlabor!$I$16="RequestsM",'Monthly Lean'!F15,IF(Nonlabor!$I$16="InputM",'Monthly Lean'!D15*Assumptions!$C$22/1000000,IF(Nonlabor!$I$16="OutputM",'Monthly Lean'!D15*Assumptions!$C$23/1000000,0))))))))),0)</f>
        <v>0</v>
      </c>
      <c r="F615" s="10" t="n">
        <f aca="false">Nonlabor!$J$16*(1+Assumptions!$C$9)^INT((C615-1)/12)</f>
        <v>12000</v>
      </c>
      <c r="G615" s="10" t="n">
        <f aca="false">E615*F615</f>
        <v>0</v>
      </c>
      <c r="H615" s="10" t="n">
        <f aca="false">IF(OR(Nonlabor!$L$16="Quote required",Nonlabor!$L$16="Unverified"),G615,0)</f>
        <v>0</v>
      </c>
      <c r="I615" s="10" t="n">
        <f aca="false">IF(Nonlabor!$E$16="Core",0,G615)</f>
        <v>0</v>
      </c>
      <c r="J615" s="23" t="str">
        <f aca="false">Nonlabor!$B$16</f>
        <v>LEGAL</v>
      </c>
    </row>
    <row r="616" customFormat="false" ht="15" hidden="false" customHeight="false" outlineLevel="0" collapsed="false">
      <c r="A616" s="6" t="s">
        <v>72</v>
      </c>
      <c r="B616" s="6" t="s">
        <v>406</v>
      </c>
      <c r="C616" s="6" t="n">
        <v>11</v>
      </c>
      <c r="D616" s="25" t="n">
        <f aca="false">EDATE('Start Here'!$B$6,C616-1)</f>
        <v>46631</v>
      </c>
      <c r="E616" s="23" t="n">
        <f aca="false">IF(AND(OR(Nonlabor!$D$16="Both",Nonlabor!$D$16='Start Here'!$B$9),IF(Nonlabor!$E$16="Core",1,IF(Nonlabor!$E$16="AI",'Start Here'!$B$7,'Start Here'!$B$8))=1,C616&gt;=IF(Nonlabor!$E$16="Core",Nonlabor!$F$16,MAX(Nonlabor!$F$16,IF(Nonlabor!$E$16="AI",Assumptions!$C$24,Assumptions!$C$25))),C616&lt;=Nonlabor!$G$16,OR(Nonlabor!$H$16="Monthly",AND(Nonlabor!$H$16="Once",C616=IF(Nonlabor!$E$16="Core",Nonlabor!$F$16,MAX(Nonlabor!$F$16,IF(Nonlabor!$E$16="AI",Assumptions!$C$24,Assumptions!$C$25)))),AND(Nonlabor!$H$16="Annual",MOD(C616-IF(Nonlabor!$E$16="Core",Nonlabor!$F$16,MAX(Nonlabor!$F$16,IF(Nonlabor!$E$16="AI",Assumptions!$C$24,Assumptions!$C$25))),12)=0))),IF(Nonlabor!$I$16="Fixed",1,IF(Nonlabor!$I$16="Seats",ROUNDUP('Monthly Lean'!I16,0),IF(Nonlabor!$I$16="Customers",'Monthly Lean'!D16,IF(Nonlabor!$I$16="NewCustomers",'Monthly Lean'!C16,IF(Nonlabor!$I$16="StorageGB",'Monthly Lean'!G16,IF(Nonlabor!$I$16="LogGB",'Monthly Lean'!H16,IF(Nonlabor!$I$16="RequestsM",'Monthly Lean'!F16,IF(Nonlabor!$I$16="InputM",'Monthly Lean'!D16*Assumptions!$C$22/1000000,IF(Nonlabor!$I$16="OutputM",'Monthly Lean'!D16*Assumptions!$C$23/1000000,0))))))))),0)</f>
        <v>0</v>
      </c>
      <c r="F616" s="10" t="n">
        <f aca="false">Nonlabor!$J$16*(1+Assumptions!$C$9)^INT((C616-1)/12)</f>
        <v>12000</v>
      </c>
      <c r="G616" s="10" t="n">
        <f aca="false">E616*F616</f>
        <v>0</v>
      </c>
      <c r="H616" s="10" t="n">
        <f aca="false">IF(OR(Nonlabor!$L$16="Quote required",Nonlabor!$L$16="Unverified"),G616,0)</f>
        <v>0</v>
      </c>
      <c r="I616" s="10" t="n">
        <f aca="false">IF(Nonlabor!$E$16="Core",0,G616)</f>
        <v>0</v>
      </c>
      <c r="J616" s="23" t="str">
        <f aca="false">Nonlabor!$B$16</f>
        <v>LEGAL</v>
      </c>
    </row>
    <row r="617" customFormat="false" ht="15" hidden="false" customHeight="false" outlineLevel="0" collapsed="false">
      <c r="A617" s="6" t="s">
        <v>72</v>
      </c>
      <c r="B617" s="6" t="s">
        <v>406</v>
      </c>
      <c r="C617" s="6" t="n">
        <v>12</v>
      </c>
      <c r="D617" s="25" t="n">
        <f aca="false">EDATE('Start Here'!$B$6,C617-1)</f>
        <v>46661</v>
      </c>
      <c r="E617" s="23" t="n">
        <f aca="false">IF(AND(OR(Nonlabor!$D$16="Both",Nonlabor!$D$16='Start Here'!$B$9),IF(Nonlabor!$E$16="Core",1,IF(Nonlabor!$E$16="AI",'Start Here'!$B$7,'Start Here'!$B$8))=1,C617&gt;=IF(Nonlabor!$E$16="Core",Nonlabor!$F$16,MAX(Nonlabor!$F$16,IF(Nonlabor!$E$16="AI",Assumptions!$C$24,Assumptions!$C$25))),C617&lt;=Nonlabor!$G$16,OR(Nonlabor!$H$16="Monthly",AND(Nonlabor!$H$16="Once",C617=IF(Nonlabor!$E$16="Core",Nonlabor!$F$16,MAX(Nonlabor!$F$16,IF(Nonlabor!$E$16="AI",Assumptions!$C$24,Assumptions!$C$25)))),AND(Nonlabor!$H$16="Annual",MOD(C617-IF(Nonlabor!$E$16="Core",Nonlabor!$F$16,MAX(Nonlabor!$F$16,IF(Nonlabor!$E$16="AI",Assumptions!$C$24,Assumptions!$C$25))),12)=0))),IF(Nonlabor!$I$16="Fixed",1,IF(Nonlabor!$I$16="Seats",ROUNDUP('Monthly Lean'!I17,0),IF(Nonlabor!$I$16="Customers",'Monthly Lean'!D17,IF(Nonlabor!$I$16="NewCustomers",'Monthly Lean'!C17,IF(Nonlabor!$I$16="StorageGB",'Monthly Lean'!G17,IF(Nonlabor!$I$16="LogGB",'Monthly Lean'!H17,IF(Nonlabor!$I$16="RequestsM",'Monthly Lean'!F17,IF(Nonlabor!$I$16="InputM",'Monthly Lean'!D17*Assumptions!$C$22/1000000,IF(Nonlabor!$I$16="OutputM",'Monthly Lean'!D17*Assumptions!$C$23/1000000,0))))))))),0)</f>
        <v>0</v>
      </c>
      <c r="F617" s="10" t="n">
        <f aca="false">Nonlabor!$J$16*(1+Assumptions!$C$9)^INT((C617-1)/12)</f>
        <v>12000</v>
      </c>
      <c r="G617" s="10" t="n">
        <f aca="false">E617*F617</f>
        <v>0</v>
      </c>
      <c r="H617" s="10" t="n">
        <f aca="false">IF(OR(Nonlabor!$L$16="Quote required",Nonlabor!$L$16="Unverified"),G617,0)</f>
        <v>0</v>
      </c>
      <c r="I617" s="10" t="n">
        <f aca="false">IF(Nonlabor!$E$16="Core",0,G617)</f>
        <v>0</v>
      </c>
      <c r="J617" s="23" t="str">
        <f aca="false">Nonlabor!$B$16</f>
        <v>LEGAL</v>
      </c>
    </row>
    <row r="618" customFormat="false" ht="15" hidden="false" customHeight="false" outlineLevel="0" collapsed="false">
      <c r="A618" s="6" t="s">
        <v>72</v>
      </c>
      <c r="B618" s="6" t="s">
        <v>406</v>
      </c>
      <c r="C618" s="6" t="n">
        <v>13</v>
      </c>
      <c r="D618" s="25" t="n">
        <f aca="false">EDATE('Start Here'!$B$6,C618-1)</f>
        <v>46692</v>
      </c>
      <c r="E618" s="23" t="n">
        <f aca="false">IF(AND(OR(Nonlabor!$D$16="Both",Nonlabor!$D$16='Start Here'!$B$9),IF(Nonlabor!$E$16="Core",1,IF(Nonlabor!$E$16="AI",'Start Here'!$B$7,'Start Here'!$B$8))=1,C618&gt;=IF(Nonlabor!$E$16="Core",Nonlabor!$F$16,MAX(Nonlabor!$F$16,IF(Nonlabor!$E$16="AI",Assumptions!$C$24,Assumptions!$C$25))),C618&lt;=Nonlabor!$G$16,OR(Nonlabor!$H$16="Monthly",AND(Nonlabor!$H$16="Once",C618=IF(Nonlabor!$E$16="Core",Nonlabor!$F$16,MAX(Nonlabor!$F$16,IF(Nonlabor!$E$16="AI",Assumptions!$C$24,Assumptions!$C$25)))),AND(Nonlabor!$H$16="Annual",MOD(C618-IF(Nonlabor!$E$16="Core",Nonlabor!$F$16,MAX(Nonlabor!$F$16,IF(Nonlabor!$E$16="AI",Assumptions!$C$24,Assumptions!$C$25))),12)=0))),IF(Nonlabor!$I$16="Fixed",1,IF(Nonlabor!$I$16="Seats",ROUNDUP('Monthly Lean'!I18,0),IF(Nonlabor!$I$16="Customers",'Monthly Lean'!D18,IF(Nonlabor!$I$16="NewCustomers",'Monthly Lean'!C18,IF(Nonlabor!$I$16="StorageGB",'Monthly Lean'!G18,IF(Nonlabor!$I$16="LogGB",'Monthly Lean'!H18,IF(Nonlabor!$I$16="RequestsM",'Monthly Lean'!F18,IF(Nonlabor!$I$16="InputM",'Monthly Lean'!D18*Assumptions!$C$22/1000000,IF(Nonlabor!$I$16="OutputM",'Monthly Lean'!D18*Assumptions!$C$23/1000000,0))))))))),0)</f>
        <v>0</v>
      </c>
      <c r="F618" s="10" t="n">
        <f aca="false">Nonlabor!$J$16*(1+Assumptions!$C$9)^INT((C618-1)/12)</f>
        <v>12360</v>
      </c>
      <c r="G618" s="10" t="n">
        <f aca="false">E618*F618</f>
        <v>0</v>
      </c>
      <c r="H618" s="10" t="n">
        <f aca="false">IF(OR(Nonlabor!$L$16="Quote required",Nonlabor!$L$16="Unverified"),G618,0)</f>
        <v>0</v>
      </c>
      <c r="I618" s="10" t="n">
        <f aca="false">IF(Nonlabor!$E$16="Core",0,G618)</f>
        <v>0</v>
      </c>
      <c r="J618" s="23" t="str">
        <f aca="false">Nonlabor!$B$16</f>
        <v>LEGAL</v>
      </c>
    </row>
    <row r="619" customFormat="false" ht="15" hidden="false" customHeight="false" outlineLevel="0" collapsed="false">
      <c r="A619" s="6" t="s">
        <v>72</v>
      </c>
      <c r="B619" s="6" t="s">
        <v>406</v>
      </c>
      <c r="C619" s="6" t="n">
        <v>14</v>
      </c>
      <c r="D619" s="25" t="n">
        <f aca="false">EDATE('Start Here'!$B$6,C619-1)</f>
        <v>46722</v>
      </c>
      <c r="E619" s="23" t="n">
        <f aca="false">IF(AND(OR(Nonlabor!$D$16="Both",Nonlabor!$D$16='Start Here'!$B$9),IF(Nonlabor!$E$16="Core",1,IF(Nonlabor!$E$16="AI",'Start Here'!$B$7,'Start Here'!$B$8))=1,C619&gt;=IF(Nonlabor!$E$16="Core",Nonlabor!$F$16,MAX(Nonlabor!$F$16,IF(Nonlabor!$E$16="AI",Assumptions!$C$24,Assumptions!$C$25))),C619&lt;=Nonlabor!$G$16,OR(Nonlabor!$H$16="Monthly",AND(Nonlabor!$H$16="Once",C619=IF(Nonlabor!$E$16="Core",Nonlabor!$F$16,MAX(Nonlabor!$F$16,IF(Nonlabor!$E$16="AI",Assumptions!$C$24,Assumptions!$C$25)))),AND(Nonlabor!$H$16="Annual",MOD(C619-IF(Nonlabor!$E$16="Core",Nonlabor!$F$16,MAX(Nonlabor!$F$16,IF(Nonlabor!$E$16="AI",Assumptions!$C$24,Assumptions!$C$25))),12)=0))),IF(Nonlabor!$I$16="Fixed",1,IF(Nonlabor!$I$16="Seats",ROUNDUP('Monthly Lean'!I19,0),IF(Nonlabor!$I$16="Customers",'Monthly Lean'!D19,IF(Nonlabor!$I$16="NewCustomers",'Monthly Lean'!C19,IF(Nonlabor!$I$16="StorageGB",'Monthly Lean'!G19,IF(Nonlabor!$I$16="LogGB",'Monthly Lean'!H19,IF(Nonlabor!$I$16="RequestsM",'Monthly Lean'!F19,IF(Nonlabor!$I$16="InputM",'Monthly Lean'!D19*Assumptions!$C$22/1000000,IF(Nonlabor!$I$16="OutputM",'Monthly Lean'!D19*Assumptions!$C$23/1000000,0))))))))),0)</f>
        <v>1</v>
      </c>
      <c r="F619" s="10" t="n">
        <f aca="false">Nonlabor!$J$16*(1+Assumptions!$C$9)^INT((C619-1)/12)</f>
        <v>12360</v>
      </c>
      <c r="G619" s="10" t="n">
        <f aca="false">E619*F619</f>
        <v>12360</v>
      </c>
      <c r="H619" s="10" t="n">
        <f aca="false">IF(OR(Nonlabor!$L$16="Quote required",Nonlabor!$L$16="Unverified"),G619,0)</f>
        <v>12360</v>
      </c>
      <c r="I619" s="10" t="n">
        <f aca="false">IF(Nonlabor!$E$16="Core",0,G619)</f>
        <v>0</v>
      </c>
      <c r="J619" s="23" t="str">
        <f aca="false">Nonlabor!$B$16</f>
        <v>LEGAL</v>
      </c>
    </row>
    <row r="620" customFormat="false" ht="15" hidden="false" customHeight="false" outlineLevel="0" collapsed="false">
      <c r="A620" s="6" t="s">
        <v>72</v>
      </c>
      <c r="B620" s="6" t="s">
        <v>406</v>
      </c>
      <c r="C620" s="6" t="n">
        <v>15</v>
      </c>
      <c r="D620" s="25" t="n">
        <f aca="false">EDATE('Start Here'!$B$6,C620-1)</f>
        <v>46753</v>
      </c>
      <c r="E620" s="23" t="n">
        <f aca="false">IF(AND(OR(Nonlabor!$D$16="Both",Nonlabor!$D$16='Start Here'!$B$9),IF(Nonlabor!$E$16="Core",1,IF(Nonlabor!$E$16="AI",'Start Here'!$B$7,'Start Here'!$B$8))=1,C620&gt;=IF(Nonlabor!$E$16="Core",Nonlabor!$F$16,MAX(Nonlabor!$F$16,IF(Nonlabor!$E$16="AI",Assumptions!$C$24,Assumptions!$C$25))),C620&lt;=Nonlabor!$G$16,OR(Nonlabor!$H$16="Monthly",AND(Nonlabor!$H$16="Once",C620=IF(Nonlabor!$E$16="Core",Nonlabor!$F$16,MAX(Nonlabor!$F$16,IF(Nonlabor!$E$16="AI",Assumptions!$C$24,Assumptions!$C$25)))),AND(Nonlabor!$H$16="Annual",MOD(C620-IF(Nonlabor!$E$16="Core",Nonlabor!$F$16,MAX(Nonlabor!$F$16,IF(Nonlabor!$E$16="AI",Assumptions!$C$24,Assumptions!$C$25))),12)=0))),IF(Nonlabor!$I$16="Fixed",1,IF(Nonlabor!$I$16="Seats",ROUNDUP('Monthly Lean'!I20,0),IF(Nonlabor!$I$16="Customers",'Monthly Lean'!D20,IF(Nonlabor!$I$16="NewCustomers",'Monthly Lean'!C20,IF(Nonlabor!$I$16="StorageGB",'Monthly Lean'!G20,IF(Nonlabor!$I$16="LogGB",'Monthly Lean'!H20,IF(Nonlabor!$I$16="RequestsM",'Monthly Lean'!F20,IF(Nonlabor!$I$16="InputM",'Monthly Lean'!D20*Assumptions!$C$22/1000000,IF(Nonlabor!$I$16="OutputM",'Monthly Lean'!D20*Assumptions!$C$23/1000000,0))))))))),0)</f>
        <v>0</v>
      </c>
      <c r="F620" s="10" t="n">
        <f aca="false">Nonlabor!$J$16*(1+Assumptions!$C$9)^INT((C620-1)/12)</f>
        <v>12360</v>
      </c>
      <c r="G620" s="10" t="n">
        <f aca="false">E620*F620</f>
        <v>0</v>
      </c>
      <c r="H620" s="10" t="n">
        <f aca="false">IF(OR(Nonlabor!$L$16="Quote required",Nonlabor!$L$16="Unverified"),G620,0)</f>
        <v>0</v>
      </c>
      <c r="I620" s="10" t="n">
        <f aca="false">IF(Nonlabor!$E$16="Core",0,G620)</f>
        <v>0</v>
      </c>
      <c r="J620" s="23" t="str">
        <f aca="false">Nonlabor!$B$16</f>
        <v>LEGAL</v>
      </c>
    </row>
    <row r="621" customFormat="false" ht="15" hidden="false" customHeight="false" outlineLevel="0" collapsed="false">
      <c r="A621" s="6" t="s">
        <v>72</v>
      </c>
      <c r="B621" s="6" t="s">
        <v>406</v>
      </c>
      <c r="C621" s="6" t="n">
        <v>16</v>
      </c>
      <c r="D621" s="25" t="n">
        <f aca="false">EDATE('Start Here'!$B$6,C621-1)</f>
        <v>46784</v>
      </c>
      <c r="E621" s="23" t="n">
        <f aca="false">IF(AND(OR(Nonlabor!$D$16="Both",Nonlabor!$D$16='Start Here'!$B$9),IF(Nonlabor!$E$16="Core",1,IF(Nonlabor!$E$16="AI",'Start Here'!$B$7,'Start Here'!$B$8))=1,C621&gt;=IF(Nonlabor!$E$16="Core",Nonlabor!$F$16,MAX(Nonlabor!$F$16,IF(Nonlabor!$E$16="AI",Assumptions!$C$24,Assumptions!$C$25))),C621&lt;=Nonlabor!$G$16,OR(Nonlabor!$H$16="Monthly",AND(Nonlabor!$H$16="Once",C621=IF(Nonlabor!$E$16="Core",Nonlabor!$F$16,MAX(Nonlabor!$F$16,IF(Nonlabor!$E$16="AI",Assumptions!$C$24,Assumptions!$C$25)))),AND(Nonlabor!$H$16="Annual",MOD(C621-IF(Nonlabor!$E$16="Core",Nonlabor!$F$16,MAX(Nonlabor!$F$16,IF(Nonlabor!$E$16="AI",Assumptions!$C$24,Assumptions!$C$25))),12)=0))),IF(Nonlabor!$I$16="Fixed",1,IF(Nonlabor!$I$16="Seats",ROUNDUP('Monthly Lean'!I21,0),IF(Nonlabor!$I$16="Customers",'Monthly Lean'!D21,IF(Nonlabor!$I$16="NewCustomers",'Monthly Lean'!C21,IF(Nonlabor!$I$16="StorageGB",'Monthly Lean'!G21,IF(Nonlabor!$I$16="LogGB",'Monthly Lean'!H21,IF(Nonlabor!$I$16="RequestsM",'Monthly Lean'!F21,IF(Nonlabor!$I$16="InputM",'Monthly Lean'!D21*Assumptions!$C$22/1000000,IF(Nonlabor!$I$16="OutputM",'Monthly Lean'!D21*Assumptions!$C$23/1000000,0))))))))),0)</f>
        <v>0</v>
      </c>
      <c r="F621" s="10" t="n">
        <f aca="false">Nonlabor!$J$16*(1+Assumptions!$C$9)^INT((C621-1)/12)</f>
        <v>12360</v>
      </c>
      <c r="G621" s="10" t="n">
        <f aca="false">E621*F621</f>
        <v>0</v>
      </c>
      <c r="H621" s="10" t="n">
        <f aca="false">IF(OR(Nonlabor!$L$16="Quote required",Nonlabor!$L$16="Unverified"),G621,0)</f>
        <v>0</v>
      </c>
      <c r="I621" s="10" t="n">
        <f aca="false">IF(Nonlabor!$E$16="Core",0,G621)</f>
        <v>0</v>
      </c>
      <c r="J621" s="23" t="str">
        <f aca="false">Nonlabor!$B$16</f>
        <v>LEGAL</v>
      </c>
    </row>
    <row r="622" customFormat="false" ht="15" hidden="false" customHeight="false" outlineLevel="0" collapsed="false">
      <c r="A622" s="6" t="s">
        <v>72</v>
      </c>
      <c r="B622" s="6" t="s">
        <v>406</v>
      </c>
      <c r="C622" s="6" t="n">
        <v>17</v>
      </c>
      <c r="D622" s="25" t="n">
        <f aca="false">EDATE('Start Here'!$B$6,C622-1)</f>
        <v>46813</v>
      </c>
      <c r="E622" s="23" t="n">
        <f aca="false">IF(AND(OR(Nonlabor!$D$16="Both",Nonlabor!$D$16='Start Here'!$B$9),IF(Nonlabor!$E$16="Core",1,IF(Nonlabor!$E$16="AI",'Start Here'!$B$7,'Start Here'!$B$8))=1,C622&gt;=IF(Nonlabor!$E$16="Core",Nonlabor!$F$16,MAX(Nonlabor!$F$16,IF(Nonlabor!$E$16="AI",Assumptions!$C$24,Assumptions!$C$25))),C622&lt;=Nonlabor!$G$16,OR(Nonlabor!$H$16="Monthly",AND(Nonlabor!$H$16="Once",C622=IF(Nonlabor!$E$16="Core",Nonlabor!$F$16,MAX(Nonlabor!$F$16,IF(Nonlabor!$E$16="AI",Assumptions!$C$24,Assumptions!$C$25)))),AND(Nonlabor!$H$16="Annual",MOD(C622-IF(Nonlabor!$E$16="Core",Nonlabor!$F$16,MAX(Nonlabor!$F$16,IF(Nonlabor!$E$16="AI",Assumptions!$C$24,Assumptions!$C$25))),12)=0))),IF(Nonlabor!$I$16="Fixed",1,IF(Nonlabor!$I$16="Seats",ROUNDUP('Monthly Lean'!I22,0),IF(Nonlabor!$I$16="Customers",'Monthly Lean'!D22,IF(Nonlabor!$I$16="NewCustomers",'Monthly Lean'!C22,IF(Nonlabor!$I$16="StorageGB",'Monthly Lean'!G22,IF(Nonlabor!$I$16="LogGB",'Monthly Lean'!H22,IF(Nonlabor!$I$16="RequestsM",'Monthly Lean'!F22,IF(Nonlabor!$I$16="InputM",'Monthly Lean'!D22*Assumptions!$C$22/1000000,IF(Nonlabor!$I$16="OutputM",'Monthly Lean'!D22*Assumptions!$C$23/1000000,0))))))))),0)</f>
        <v>0</v>
      </c>
      <c r="F622" s="10" t="n">
        <f aca="false">Nonlabor!$J$16*(1+Assumptions!$C$9)^INT((C622-1)/12)</f>
        <v>12360</v>
      </c>
      <c r="G622" s="10" t="n">
        <f aca="false">E622*F622</f>
        <v>0</v>
      </c>
      <c r="H622" s="10" t="n">
        <f aca="false">IF(OR(Nonlabor!$L$16="Quote required",Nonlabor!$L$16="Unverified"),G622,0)</f>
        <v>0</v>
      </c>
      <c r="I622" s="10" t="n">
        <f aca="false">IF(Nonlabor!$E$16="Core",0,G622)</f>
        <v>0</v>
      </c>
      <c r="J622" s="23" t="str">
        <f aca="false">Nonlabor!$B$16</f>
        <v>LEGAL</v>
      </c>
    </row>
    <row r="623" customFormat="false" ht="15" hidden="false" customHeight="false" outlineLevel="0" collapsed="false">
      <c r="A623" s="6" t="s">
        <v>72</v>
      </c>
      <c r="B623" s="6" t="s">
        <v>406</v>
      </c>
      <c r="C623" s="6" t="n">
        <v>18</v>
      </c>
      <c r="D623" s="25" t="n">
        <f aca="false">EDATE('Start Here'!$B$6,C623-1)</f>
        <v>46844</v>
      </c>
      <c r="E623" s="23" t="n">
        <f aca="false">IF(AND(OR(Nonlabor!$D$16="Both",Nonlabor!$D$16='Start Here'!$B$9),IF(Nonlabor!$E$16="Core",1,IF(Nonlabor!$E$16="AI",'Start Here'!$B$7,'Start Here'!$B$8))=1,C623&gt;=IF(Nonlabor!$E$16="Core",Nonlabor!$F$16,MAX(Nonlabor!$F$16,IF(Nonlabor!$E$16="AI",Assumptions!$C$24,Assumptions!$C$25))),C623&lt;=Nonlabor!$G$16,OR(Nonlabor!$H$16="Monthly",AND(Nonlabor!$H$16="Once",C623=IF(Nonlabor!$E$16="Core",Nonlabor!$F$16,MAX(Nonlabor!$F$16,IF(Nonlabor!$E$16="AI",Assumptions!$C$24,Assumptions!$C$25)))),AND(Nonlabor!$H$16="Annual",MOD(C623-IF(Nonlabor!$E$16="Core",Nonlabor!$F$16,MAX(Nonlabor!$F$16,IF(Nonlabor!$E$16="AI",Assumptions!$C$24,Assumptions!$C$25))),12)=0))),IF(Nonlabor!$I$16="Fixed",1,IF(Nonlabor!$I$16="Seats",ROUNDUP('Monthly Lean'!I23,0),IF(Nonlabor!$I$16="Customers",'Monthly Lean'!D23,IF(Nonlabor!$I$16="NewCustomers",'Monthly Lean'!C23,IF(Nonlabor!$I$16="StorageGB",'Monthly Lean'!G23,IF(Nonlabor!$I$16="LogGB",'Monthly Lean'!H23,IF(Nonlabor!$I$16="RequestsM",'Monthly Lean'!F23,IF(Nonlabor!$I$16="InputM",'Monthly Lean'!D23*Assumptions!$C$22/1000000,IF(Nonlabor!$I$16="OutputM",'Monthly Lean'!D23*Assumptions!$C$23/1000000,0))))))))),0)</f>
        <v>0</v>
      </c>
      <c r="F623" s="10" t="n">
        <f aca="false">Nonlabor!$J$16*(1+Assumptions!$C$9)^INT((C623-1)/12)</f>
        <v>12360</v>
      </c>
      <c r="G623" s="10" t="n">
        <f aca="false">E623*F623</f>
        <v>0</v>
      </c>
      <c r="H623" s="10" t="n">
        <f aca="false">IF(OR(Nonlabor!$L$16="Quote required",Nonlabor!$L$16="Unverified"),G623,0)</f>
        <v>0</v>
      </c>
      <c r="I623" s="10" t="n">
        <f aca="false">IF(Nonlabor!$E$16="Core",0,G623)</f>
        <v>0</v>
      </c>
      <c r="J623" s="23" t="str">
        <f aca="false">Nonlabor!$B$16</f>
        <v>LEGAL</v>
      </c>
    </row>
    <row r="624" customFormat="false" ht="15" hidden="false" customHeight="false" outlineLevel="0" collapsed="false">
      <c r="A624" s="6" t="s">
        <v>72</v>
      </c>
      <c r="B624" s="6" t="s">
        <v>406</v>
      </c>
      <c r="C624" s="6" t="n">
        <v>19</v>
      </c>
      <c r="D624" s="25" t="n">
        <f aca="false">EDATE('Start Here'!$B$6,C624-1)</f>
        <v>46874</v>
      </c>
      <c r="E624" s="23" t="n">
        <f aca="false">IF(AND(OR(Nonlabor!$D$16="Both",Nonlabor!$D$16='Start Here'!$B$9),IF(Nonlabor!$E$16="Core",1,IF(Nonlabor!$E$16="AI",'Start Here'!$B$7,'Start Here'!$B$8))=1,C624&gt;=IF(Nonlabor!$E$16="Core",Nonlabor!$F$16,MAX(Nonlabor!$F$16,IF(Nonlabor!$E$16="AI",Assumptions!$C$24,Assumptions!$C$25))),C624&lt;=Nonlabor!$G$16,OR(Nonlabor!$H$16="Monthly",AND(Nonlabor!$H$16="Once",C624=IF(Nonlabor!$E$16="Core",Nonlabor!$F$16,MAX(Nonlabor!$F$16,IF(Nonlabor!$E$16="AI",Assumptions!$C$24,Assumptions!$C$25)))),AND(Nonlabor!$H$16="Annual",MOD(C624-IF(Nonlabor!$E$16="Core",Nonlabor!$F$16,MAX(Nonlabor!$F$16,IF(Nonlabor!$E$16="AI",Assumptions!$C$24,Assumptions!$C$25))),12)=0))),IF(Nonlabor!$I$16="Fixed",1,IF(Nonlabor!$I$16="Seats",ROUNDUP('Monthly Lean'!I24,0),IF(Nonlabor!$I$16="Customers",'Monthly Lean'!D24,IF(Nonlabor!$I$16="NewCustomers",'Monthly Lean'!C24,IF(Nonlabor!$I$16="StorageGB",'Monthly Lean'!G24,IF(Nonlabor!$I$16="LogGB",'Monthly Lean'!H24,IF(Nonlabor!$I$16="RequestsM",'Monthly Lean'!F24,IF(Nonlabor!$I$16="InputM",'Monthly Lean'!D24*Assumptions!$C$22/1000000,IF(Nonlabor!$I$16="OutputM",'Monthly Lean'!D24*Assumptions!$C$23/1000000,0))))))))),0)</f>
        <v>0</v>
      </c>
      <c r="F624" s="10" t="n">
        <f aca="false">Nonlabor!$J$16*(1+Assumptions!$C$9)^INT((C624-1)/12)</f>
        <v>12360</v>
      </c>
      <c r="G624" s="10" t="n">
        <f aca="false">E624*F624</f>
        <v>0</v>
      </c>
      <c r="H624" s="10" t="n">
        <f aca="false">IF(OR(Nonlabor!$L$16="Quote required",Nonlabor!$L$16="Unverified"),G624,0)</f>
        <v>0</v>
      </c>
      <c r="I624" s="10" t="n">
        <f aca="false">IF(Nonlabor!$E$16="Core",0,G624)</f>
        <v>0</v>
      </c>
      <c r="J624" s="23" t="str">
        <f aca="false">Nonlabor!$B$16</f>
        <v>LEGAL</v>
      </c>
    </row>
    <row r="625" customFormat="false" ht="15" hidden="false" customHeight="false" outlineLevel="0" collapsed="false">
      <c r="A625" s="6" t="s">
        <v>72</v>
      </c>
      <c r="B625" s="6" t="s">
        <v>406</v>
      </c>
      <c r="C625" s="6" t="n">
        <v>20</v>
      </c>
      <c r="D625" s="25" t="n">
        <f aca="false">EDATE('Start Here'!$B$6,C625-1)</f>
        <v>46905</v>
      </c>
      <c r="E625" s="23" t="n">
        <f aca="false">IF(AND(OR(Nonlabor!$D$16="Both",Nonlabor!$D$16='Start Here'!$B$9),IF(Nonlabor!$E$16="Core",1,IF(Nonlabor!$E$16="AI",'Start Here'!$B$7,'Start Here'!$B$8))=1,C625&gt;=IF(Nonlabor!$E$16="Core",Nonlabor!$F$16,MAX(Nonlabor!$F$16,IF(Nonlabor!$E$16="AI",Assumptions!$C$24,Assumptions!$C$25))),C625&lt;=Nonlabor!$G$16,OR(Nonlabor!$H$16="Monthly",AND(Nonlabor!$H$16="Once",C625=IF(Nonlabor!$E$16="Core",Nonlabor!$F$16,MAX(Nonlabor!$F$16,IF(Nonlabor!$E$16="AI",Assumptions!$C$24,Assumptions!$C$25)))),AND(Nonlabor!$H$16="Annual",MOD(C625-IF(Nonlabor!$E$16="Core",Nonlabor!$F$16,MAX(Nonlabor!$F$16,IF(Nonlabor!$E$16="AI",Assumptions!$C$24,Assumptions!$C$25))),12)=0))),IF(Nonlabor!$I$16="Fixed",1,IF(Nonlabor!$I$16="Seats",ROUNDUP('Monthly Lean'!I25,0),IF(Nonlabor!$I$16="Customers",'Monthly Lean'!D25,IF(Nonlabor!$I$16="NewCustomers",'Monthly Lean'!C25,IF(Nonlabor!$I$16="StorageGB",'Monthly Lean'!G25,IF(Nonlabor!$I$16="LogGB",'Monthly Lean'!H25,IF(Nonlabor!$I$16="RequestsM",'Monthly Lean'!F25,IF(Nonlabor!$I$16="InputM",'Monthly Lean'!D25*Assumptions!$C$22/1000000,IF(Nonlabor!$I$16="OutputM",'Monthly Lean'!D25*Assumptions!$C$23/1000000,0))))))))),0)</f>
        <v>0</v>
      </c>
      <c r="F625" s="10" t="n">
        <f aca="false">Nonlabor!$J$16*(1+Assumptions!$C$9)^INT((C625-1)/12)</f>
        <v>12360</v>
      </c>
      <c r="G625" s="10" t="n">
        <f aca="false">E625*F625</f>
        <v>0</v>
      </c>
      <c r="H625" s="10" t="n">
        <f aca="false">IF(OR(Nonlabor!$L$16="Quote required",Nonlabor!$L$16="Unverified"),G625,0)</f>
        <v>0</v>
      </c>
      <c r="I625" s="10" t="n">
        <f aca="false">IF(Nonlabor!$E$16="Core",0,G625)</f>
        <v>0</v>
      </c>
      <c r="J625" s="23" t="str">
        <f aca="false">Nonlabor!$B$16</f>
        <v>LEGAL</v>
      </c>
    </row>
    <row r="626" customFormat="false" ht="15" hidden="false" customHeight="false" outlineLevel="0" collapsed="false">
      <c r="A626" s="6" t="s">
        <v>72</v>
      </c>
      <c r="B626" s="6" t="s">
        <v>406</v>
      </c>
      <c r="C626" s="6" t="n">
        <v>21</v>
      </c>
      <c r="D626" s="25" t="n">
        <f aca="false">EDATE('Start Here'!$B$6,C626-1)</f>
        <v>46935</v>
      </c>
      <c r="E626" s="23" t="n">
        <f aca="false">IF(AND(OR(Nonlabor!$D$16="Both",Nonlabor!$D$16='Start Here'!$B$9),IF(Nonlabor!$E$16="Core",1,IF(Nonlabor!$E$16="AI",'Start Here'!$B$7,'Start Here'!$B$8))=1,C626&gt;=IF(Nonlabor!$E$16="Core",Nonlabor!$F$16,MAX(Nonlabor!$F$16,IF(Nonlabor!$E$16="AI",Assumptions!$C$24,Assumptions!$C$25))),C626&lt;=Nonlabor!$G$16,OR(Nonlabor!$H$16="Monthly",AND(Nonlabor!$H$16="Once",C626=IF(Nonlabor!$E$16="Core",Nonlabor!$F$16,MAX(Nonlabor!$F$16,IF(Nonlabor!$E$16="AI",Assumptions!$C$24,Assumptions!$C$25)))),AND(Nonlabor!$H$16="Annual",MOD(C626-IF(Nonlabor!$E$16="Core",Nonlabor!$F$16,MAX(Nonlabor!$F$16,IF(Nonlabor!$E$16="AI",Assumptions!$C$24,Assumptions!$C$25))),12)=0))),IF(Nonlabor!$I$16="Fixed",1,IF(Nonlabor!$I$16="Seats",ROUNDUP('Monthly Lean'!I26,0),IF(Nonlabor!$I$16="Customers",'Monthly Lean'!D26,IF(Nonlabor!$I$16="NewCustomers",'Monthly Lean'!C26,IF(Nonlabor!$I$16="StorageGB",'Monthly Lean'!G26,IF(Nonlabor!$I$16="LogGB",'Monthly Lean'!H26,IF(Nonlabor!$I$16="RequestsM",'Monthly Lean'!F26,IF(Nonlabor!$I$16="InputM",'Monthly Lean'!D26*Assumptions!$C$22/1000000,IF(Nonlabor!$I$16="OutputM",'Monthly Lean'!D26*Assumptions!$C$23/1000000,0))))))))),0)</f>
        <v>0</v>
      </c>
      <c r="F626" s="10" t="n">
        <f aca="false">Nonlabor!$J$16*(1+Assumptions!$C$9)^INT((C626-1)/12)</f>
        <v>12360</v>
      </c>
      <c r="G626" s="10" t="n">
        <f aca="false">E626*F626</f>
        <v>0</v>
      </c>
      <c r="H626" s="10" t="n">
        <f aca="false">IF(OR(Nonlabor!$L$16="Quote required",Nonlabor!$L$16="Unverified"),G626,0)</f>
        <v>0</v>
      </c>
      <c r="I626" s="10" t="n">
        <f aca="false">IF(Nonlabor!$E$16="Core",0,G626)</f>
        <v>0</v>
      </c>
      <c r="J626" s="23" t="str">
        <f aca="false">Nonlabor!$B$16</f>
        <v>LEGAL</v>
      </c>
    </row>
    <row r="627" customFormat="false" ht="15" hidden="false" customHeight="false" outlineLevel="0" collapsed="false">
      <c r="A627" s="6" t="s">
        <v>72</v>
      </c>
      <c r="B627" s="6" t="s">
        <v>406</v>
      </c>
      <c r="C627" s="6" t="n">
        <v>22</v>
      </c>
      <c r="D627" s="25" t="n">
        <f aca="false">EDATE('Start Here'!$B$6,C627-1)</f>
        <v>46966</v>
      </c>
      <c r="E627" s="23" t="n">
        <f aca="false">IF(AND(OR(Nonlabor!$D$16="Both",Nonlabor!$D$16='Start Here'!$B$9),IF(Nonlabor!$E$16="Core",1,IF(Nonlabor!$E$16="AI",'Start Here'!$B$7,'Start Here'!$B$8))=1,C627&gt;=IF(Nonlabor!$E$16="Core",Nonlabor!$F$16,MAX(Nonlabor!$F$16,IF(Nonlabor!$E$16="AI",Assumptions!$C$24,Assumptions!$C$25))),C627&lt;=Nonlabor!$G$16,OR(Nonlabor!$H$16="Monthly",AND(Nonlabor!$H$16="Once",C627=IF(Nonlabor!$E$16="Core",Nonlabor!$F$16,MAX(Nonlabor!$F$16,IF(Nonlabor!$E$16="AI",Assumptions!$C$24,Assumptions!$C$25)))),AND(Nonlabor!$H$16="Annual",MOD(C627-IF(Nonlabor!$E$16="Core",Nonlabor!$F$16,MAX(Nonlabor!$F$16,IF(Nonlabor!$E$16="AI",Assumptions!$C$24,Assumptions!$C$25))),12)=0))),IF(Nonlabor!$I$16="Fixed",1,IF(Nonlabor!$I$16="Seats",ROUNDUP('Monthly Lean'!I27,0),IF(Nonlabor!$I$16="Customers",'Monthly Lean'!D27,IF(Nonlabor!$I$16="NewCustomers",'Monthly Lean'!C27,IF(Nonlabor!$I$16="StorageGB",'Monthly Lean'!G27,IF(Nonlabor!$I$16="LogGB",'Monthly Lean'!H27,IF(Nonlabor!$I$16="RequestsM",'Monthly Lean'!F27,IF(Nonlabor!$I$16="InputM",'Monthly Lean'!D27*Assumptions!$C$22/1000000,IF(Nonlabor!$I$16="OutputM",'Monthly Lean'!D27*Assumptions!$C$23/1000000,0))))))))),0)</f>
        <v>0</v>
      </c>
      <c r="F627" s="10" t="n">
        <f aca="false">Nonlabor!$J$16*(1+Assumptions!$C$9)^INT((C627-1)/12)</f>
        <v>12360</v>
      </c>
      <c r="G627" s="10" t="n">
        <f aca="false">E627*F627</f>
        <v>0</v>
      </c>
      <c r="H627" s="10" t="n">
        <f aca="false">IF(OR(Nonlabor!$L$16="Quote required",Nonlabor!$L$16="Unverified"),G627,0)</f>
        <v>0</v>
      </c>
      <c r="I627" s="10" t="n">
        <f aca="false">IF(Nonlabor!$E$16="Core",0,G627)</f>
        <v>0</v>
      </c>
      <c r="J627" s="23" t="str">
        <f aca="false">Nonlabor!$B$16</f>
        <v>LEGAL</v>
      </c>
    </row>
    <row r="628" customFormat="false" ht="15" hidden="false" customHeight="false" outlineLevel="0" collapsed="false">
      <c r="A628" s="6" t="s">
        <v>72</v>
      </c>
      <c r="B628" s="6" t="s">
        <v>406</v>
      </c>
      <c r="C628" s="6" t="n">
        <v>23</v>
      </c>
      <c r="D628" s="25" t="n">
        <f aca="false">EDATE('Start Here'!$B$6,C628-1)</f>
        <v>46997</v>
      </c>
      <c r="E628" s="23" t="n">
        <f aca="false">IF(AND(OR(Nonlabor!$D$16="Both",Nonlabor!$D$16='Start Here'!$B$9),IF(Nonlabor!$E$16="Core",1,IF(Nonlabor!$E$16="AI",'Start Here'!$B$7,'Start Here'!$B$8))=1,C628&gt;=IF(Nonlabor!$E$16="Core",Nonlabor!$F$16,MAX(Nonlabor!$F$16,IF(Nonlabor!$E$16="AI",Assumptions!$C$24,Assumptions!$C$25))),C628&lt;=Nonlabor!$G$16,OR(Nonlabor!$H$16="Monthly",AND(Nonlabor!$H$16="Once",C628=IF(Nonlabor!$E$16="Core",Nonlabor!$F$16,MAX(Nonlabor!$F$16,IF(Nonlabor!$E$16="AI",Assumptions!$C$24,Assumptions!$C$25)))),AND(Nonlabor!$H$16="Annual",MOD(C628-IF(Nonlabor!$E$16="Core",Nonlabor!$F$16,MAX(Nonlabor!$F$16,IF(Nonlabor!$E$16="AI",Assumptions!$C$24,Assumptions!$C$25))),12)=0))),IF(Nonlabor!$I$16="Fixed",1,IF(Nonlabor!$I$16="Seats",ROUNDUP('Monthly Lean'!I28,0),IF(Nonlabor!$I$16="Customers",'Monthly Lean'!D28,IF(Nonlabor!$I$16="NewCustomers",'Monthly Lean'!C28,IF(Nonlabor!$I$16="StorageGB",'Monthly Lean'!G28,IF(Nonlabor!$I$16="LogGB",'Monthly Lean'!H28,IF(Nonlabor!$I$16="RequestsM",'Monthly Lean'!F28,IF(Nonlabor!$I$16="InputM",'Monthly Lean'!D28*Assumptions!$C$22/1000000,IF(Nonlabor!$I$16="OutputM",'Monthly Lean'!D28*Assumptions!$C$23/1000000,0))))))))),0)</f>
        <v>0</v>
      </c>
      <c r="F628" s="10" t="n">
        <f aca="false">Nonlabor!$J$16*(1+Assumptions!$C$9)^INT((C628-1)/12)</f>
        <v>12360</v>
      </c>
      <c r="G628" s="10" t="n">
        <f aca="false">E628*F628</f>
        <v>0</v>
      </c>
      <c r="H628" s="10" t="n">
        <f aca="false">IF(OR(Nonlabor!$L$16="Quote required",Nonlabor!$L$16="Unverified"),G628,0)</f>
        <v>0</v>
      </c>
      <c r="I628" s="10" t="n">
        <f aca="false">IF(Nonlabor!$E$16="Core",0,G628)</f>
        <v>0</v>
      </c>
      <c r="J628" s="23" t="str">
        <f aca="false">Nonlabor!$B$16</f>
        <v>LEGAL</v>
      </c>
    </row>
    <row r="629" customFormat="false" ht="15" hidden="false" customHeight="false" outlineLevel="0" collapsed="false">
      <c r="A629" s="6" t="s">
        <v>72</v>
      </c>
      <c r="B629" s="6" t="s">
        <v>406</v>
      </c>
      <c r="C629" s="6" t="n">
        <v>24</v>
      </c>
      <c r="D629" s="25" t="n">
        <f aca="false">EDATE('Start Here'!$B$6,C629-1)</f>
        <v>47027</v>
      </c>
      <c r="E629" s="23" t="n">
        <f aca="false">IF(AND(OR(Nonlabor!$D$16="Both",Nonlabor!$D$16='Start Here'!$B$9),IF(Nonlabor!$E$16="Core",1,IF(Nonlabor!$E$16="AI",'Start Here'!$B$7,'Start Here'!$B$8))=1,C629&gt;=IF(Nonlabor!$E$16="Core",Nonlabor!$F$16,MAX(Nonlabor!$F$16,IF(Nonlabor!$E$16="AI",Assumptions!$C$24,Assumptions!$C$25))),C629&lt;=Nonlabor!$G$16,OR(Nonlabor!$H$16="Monthly",AND(Nonlabor!$H$16="Once",C629=IF(Nonlabor!$E$16="Core",Nonlabor!$F$16,MAX(Nonlabor!$F$16,IF(Nonlabor!$E$16="AI",Assumptions!$C$24,Assumptions!$C$25)))),AND(Nonlabor!$H$16="Annual",MOD(C629-IF(Nonlabor!$E$16="Core",Nonlabor!$F$16,MAX(Nonlabor!$F$16,IF(Nonlabor!$E$16="AI",Assumptions!$C$24,Assumptions!$C$25))),12)=0))),IF(Nonlabor!$I$16="Fixed",1,IF(Nonlabor!$I$16="Seats",ROUNDUP('Monthly Lean'!I29,0),IF(Nonlabor!$I$16="Customers",'Monthly Lean'!D29,IF(Nonlabor!$I$16="NewCustomers",'Monthly Lean'!C29,IF(Nonlabor!$I$16="StorageGB",'Monthly Lean'!G29,IF(Nonlabor!$I$16="LogGB",'Monthly Lean'!H29,IF(Nonlabor!$I$16="RequestsM",'Monthly Lean'!F29,IF(Nonlabor!$I$16="InputM",'Monthly Lean'!D29*Assumptions!$C$22/1000000,IF(Nonlabor!$I$16="OutputM",'Monthly Lean'!D29*Assumptions!$C$23/1000000,0))))))))),0)</f>
        <v>0</v>
      </c>
      <c r="F629" s="10" t="n">
        <f aca="false">Nonlabor!$J$16*(1+Assumptions!$C$9)^INT((C629-1)/12)</f>
        <v>12360</v>
      </c>
      <c r="G629" s="10" t="n">
        <f aca="false">E629*F629</f>
        <v>0</v>
      </c>
      <c r="H629" s="10" t="n">
        <f aca="false">IF(OR(Nonlabor!$L$16="Quote required",Nonlabor!$L$16="Unverified"),G629,0)</f>
        <v>0</v>
      </c>
      <c r="I629" s="10" t="n">
        <f aca="false">IF(Nonlabor!$E$16="Core",0,G629)</f>
        <v>0</v>
      </c>
      <c r="J629" s="23" t="str">
        <f aca="false">Nonlabor!$B$16</f>
        <v>LEGAL</v>
      </c>
    </row>
    <row r="630" customFormat="false" ht="15" hidden="false" customHeight="false" outlineLevel="0" collapsed="false">
      <c r="A630" s="6" t="s">
        <v>72</v>
      </c>
      <c r="B630" s="6" t="s">
        <v>406</v>
      </c>
      <c r="C630" s="6" t="n">
        <v>25</v>
      </c>
      <c r="D630" s="25" t="n">
        <f aca="false">EDATE('Start Here'!$B$6,C630-1)</f>
        <v>47058</v>
      </c>
      <c r="E630" s="23" t="n">
        <f aca="false">IF(AND(OR(Nonlabor!$D$16="Both",Nonlabor!$D$16='Start Here'!$B$9),IF(Nonlabor!$E$16="Core",1,IF(Nonlabor!$E$16="AI",'Start Here'!$B$7,'Start Here'!$B$8))=1,C630&gt;=IF(Nonlabor!$E$16="Core",Nonlabor!$F$16,MAX(Nonlabor!$F$16,IF(Nonlabor!$E$16="AI",Assumptions!$C$24,Assumptions!$C$25))),C630&lt;=Nonlabor!$G$16,OR(Nonlabor!$H$16="Monthly",AND(Nonlabor!$H$16="Once",C630=IF(Nonlabor!$E$16="Core",Nonlabor!$F$16,MAX(Nonlabor!$F$16,IF(Nonlabor!$E$16="AI",Assumptions!$C$24,Assumptions!$C$25)))),AND(Nonlabor!$H$16="Annual",MOD(C630-IF(Nonlabor!$E$16="Core",Nonlabor!$F$16,MAX(Nonlabor!$F$16,IF(Nonlabor!$E$16="AI",Assumptions!$C$24,Assumptions!$C$25))),12)=0))),IF(Nonlabor!$I$16="Fixed",1,IF(Nonlabor!$I$16="Seats",ROUNDUP('Monthly Lean'!I30,0),IF(Nonlabor!$I$16="Customers",'Monthly Lean'!D30,IF(Nonlabor!$I$16="NewCustomers",'Monthly Lean'!C30,IF(Nonlabor!$I$16="StorageGB",'Monthly Lean'!G30,IF(Nonlabor!$I$16="LogGB",'Monthly Lean'!H30,IF(Nonlabor!$I$16="RequestsM",'Monthly Lean'!F30,IF(Nonlabor!$I$16="InputM",'Monthly Lean'!D30*Assumptions!$C$22/1000000,IF(Nonlabor!$I$16="OutputM",'Monthly Lean'!D30*Assumptions!$C$23/1000000,0))))))))),0)</f>
        <v>0</v>
      </c>
      <c r="F630" s="10" t="n">
        <f aca="false">Nonlabor!$J$16*(1+Assumptions!$C$9)^INT((C630-1)/12)</f>
        <v>12730.8</v>
      </c>
      <c r="G630" s="10" t="n">
        <f aca="false">E630*F630</f>
        <v>0</v>
      </c>
      <c r="H630" s="10" t="n">
        <f aca="false">IF(OR(Nonlabor!$L$16="Quote required",Nonlabor!$L$16="Unverified"),G630,0)</f>
        <v>0</v>
      </c>
      <c r="I630" s="10" t="n">
        <f aca="false">IF(Nonlabor!$E$16="Core",0,G630)</f>
        <v>0</v>
      </c>
      <c r="J630" s="23" t="str">
        <f aca="false">Nonlabor!$B$16</f>
        <v>LEGAL</v>
      </c>
    </row>
    <row r="631" customFormat="false" ht="15" hidden="false" customHeight="false" outlineLevel="0" collapsed="false">
      <c r="A631" s="6" t="s">
        <v>72</v>
      </c>
      <c r="B631" s="6" t="s">
        <v>406</v>
      </c>
      <c r="C631" s="6" t="n">
        <v>26</v>
      </c>
      <c r="D631" s="25" t="n">
        <f aca="false">EDATE('Start Here'!$B$6,C631-1)</f>
        <v>47088</v>
      </c>
      <c r="E631" s="23" t="n">
        <f aca="false">IF(AND(OR(Nonlabor!$D$16="Both",Nonlabor!$D$16='Start Here'!$B$9),IF(Nonlabor!$E$16="Core",1,IF(Nonlabor!$E$16="AI",'Start Here'!$B$7,'Start Here'!$B$8))=1,C631&gt;=IF(Nonlabor!$E$16="Core",Nonlabor!$F$16,MAX(Nonlabor!$F$16,IF(Nonlabor!$E$16="AI",Assumptions!$C$24,Assumptions!$C$25))),C631&lt;=Nonlabor!$G$16,OR(Nonlabor!$H$16="Monthly",AND(Nonlabor!$H$16="Once",C631=IF(Nonlabor!$E$16="Core",Nonlabor!$F$16,MAX(Nonlabor!$F$16,IF(Nonlabor!$E$16="AI",Assumptions!$C$24,Assumptions!$C$25)))),AND(Nonlabor!$H$16="Annual",MOD(C631-IF(Nonlabor!$E$16="Core",Nonlabor!$F$16,MAX(Nonlabor!$F$16,IF(Nonlabor!$E$16="AI",Assumptions!$C$24,Assumptions!$C$25))),12)=0))),IF(Nonlabor!$I$16="Fixed",1,IF(Nonlabor!$I$16="Seats",ROUNDUP('Monthly Lean'!I31,0),IF(Nonlabor!$I$16="Customers",'Monthly Lean'!D31,IF(Nonlabor!$I$16="NewCustomers",'Monthly Lean'!C31,IF(Nonlabor!$I$16="StorageGB",'Monthly Lean'!G31,IF(Nonlabor!$I$16="LogGB",'Monthly Lean'!H31,IF(Nonlabor!$I$16="RequestsM",'Monthly Lean'!F31,IF(Nonlabor!$I$16="InputM",'Monthly Lean'!D31*Assumptions!$C$22/1000000,IF(Nonlabor!$I$16="OutputM",'Monthly Lean'!D31*Assumptions!$C$23/1000000,0))))))))),0)</f>
        <v>1</v>
      </c>
      <c r="F631" s="10" t="n">
        <f aca="false">Nonlabor!$J$16*(1+Assumptions!$C$9)^INT((C631-1)/12)</f>
        <v>12730.8</v>
      </c>
      <c r="G631" s="10" t="n">
        <f aca="false">E631*F631</f>
        <v>12730.8</v>
      </c>
      <c r="H631" s="10" t="n">
        <f aca="false">IF(OR(Nonlabor!$L$16="Quote required",Nonlabor!$L$16="Unverified"),G631,0)</f>
        <v>12730.8</v>
      </c>
      <c r="I631" s="10" t="n">
        <f aca="false">IF(Nonlabor!$E$16="Core",0,G631)</f>
        <v>0</v>
      </c>
      <c r="J631" s="23" t="str">
        <f aca="false">Nonlabor!$B$16</f>
        <v>LEGAL</v>
      </c>
    </row>
    <row r="632" customFormat="false" ht="15" hidden="false" customHeight="false" outlineLevel="0" collapsed="false">
      <c r="A632" s="6" t="s">
        <v>72</v>
      </c>
      <c r="B632" s="6" t="s">
        <v>406</v>
      </c>
      <c r="C632" s="6" t="n">
        <v>27</v>
      </c>
      <c r="D632" s="25" t="n">
        <f aca="false">EDATE('Start Here'!$B$6,C632-1)</f>
        <v>47119</v>
      </c>
      <c r="E632" s="23" t="n">
        <f aca="false">IF(AND(OR(Nonlabor!$D$16="Both",Nonlabor!$D$16='Start Here'!$B$9),IF(Nonlabor!$E$16="Core",1,IF(Nonlabor!$E$16="AI",'Start Here'!$B$7,'Start Here'!$B$8))=1,C632&gt;=IF(Nonlabor!$E$16="Core",Nonlabor!$F$16,MAX(Nonlabor!$F$16,IF(Nonlabor!$E$16="AI",Assumptions!$C$24,Assumptions!$C$25))),C632&lt;=Nonlabor!$G$16,OR(Nonlabor!$H$16="Monthly",AND(Nonlabor!$H$16="Once",C632=IF(Nonlabor!$E$16="Core",Nonlabor!$F$16,MAX(Nonlabor!$F$16,IF(Nonlabor!$E$16="AI",Assumptions!$C$24,Assumptions!$C$25)))),AND(Nonlabor!$H$16="Annual",MOD(C632-IF(Nonlabor!$E$16="Core",Nonlabor!$F$16,MAX(Nonlabor!$F$16,IF(Nonlabor!$E$16="AI",Assumptions!$C$24,Assumptions!$C$25))),12)=0))),IF(Nonlabor!$I$16="Fixed",1,IF(Nonlabor!$I$16="Seats",ROUNDUP('Monthly Lean'!I32,0),IF(Nonlabor!$I$16="Customers",'Monthly Lean'!D32,IF(Nonlabor!$I$16="NewCustomers",'Monthly Lean'!C32,IF(Nonlabor!$I$16="StorageGB",'Monthly Lean'!G32,IF(Nonlabor!$I$16="LogGB",'Monthly Lean'!H32,IF(Nonlabor!$I$16="RequestsM",'Monthly Lean'!F32,IF(Nonlabor!$I$16="InputM",'Monthly Lean'!D32*Assumptions!$C$22/1000000,IF(Nonlabor!$I$16="OutputM",'Monthly Lean'!D32*Assumptions!$C$23/1000000,0))))))))),0)</f>
        <v>0</v>
      </c>
      <c r="F632" s="10" t="n">
        <f aca="false">Nonlabor!$J$16*(1+Assumptions!$C$9)^INT((C632-1)/12)</f>
        <v>12730.8</v>
      </c>
      <c r="G632" s="10" t="n">
        <f aca="false">E632*F632</f>
        <v>0</v>
      </c>
      <c r="H632" s="10" t="n">
        <f aca="false">IF(OR(Nonlabor!$L$16="Quote required",Nonlabor!$L$16="Unverified"),G632,0)</f>
        <v>0</v>
      </c>
      <c r="I632" s="10" t="n">
        <f aca="false">IF(Nonlabor!$E$16="Core",0,G632)</f>
        <v>0</v>
      </c>
      <c r="J632" s="23" t="str">
        <f aca="false">Nonlabor!$B$16</f>
        <v>LEGAL</v>
      </c>
    </row>
    <row r="633" customFormat="false" ht="15" hidden="false" customHeight="false" outlineLevel="0" collapsed="false">
      <c r="A633" s="6" t="s">
        <v>72</v>
      </c>
      <c r="B633" s="6" t="s">
        <v>406</v>
      </c>
      <c r="C633" s="6" t="n">
        <v>28</v>
      </c>
      <c r="D633" s="25" t="n">
        <f aca="false">EDATE('Start Here'!$B$6,C633-1)</f>
        <v>47150</v>
      </c>
      <c r="E633" s="23" t="n">
        <f aca="false">IF(AND(OR(Nonlabor!$D$16="Both",Nonlabor!$D$16='Start Here'!$B$9),IF(Nonlabor!$E$16="Core",1,IF(Nonlabor!$E$16="AI",'Start Here'!$B$7,'Start Here'!$B$8))=1,C633&gt;=IF(Nonlabor!$E$16="Core",Nonlabor!$F$16,MAX(Nonlabor!$F$16,IF(Nonlabor!$E$16="AI",Assumptions!$C$24,Assumptions!$C$25))),C633&lt;=Nonlabor!$G$16,OR(Nonlabor!$H$16="Monthly",AND(Nonlabor!$H$16="Once",C633=IF(Nonlabor!$E$16="Core",Nonlabor!$F$16,MAX(Nonlabor!$F$16,IF(Nonlabor!$E$16="AI",Assumptions!$C$24,Assumptions!$C$25)))),AND(Nonlabor!$H$16="Annual",MOD(C633-IF(Nonlabor!$E$16="Core",Nonlabor!$F$16,MAX(Nonlabor!$F$16,IF(Nonlabor!$E$16="AI",Assumptions!$C$24,Assumptions!$C$25))),12)=0))),IF(Nonlabor!$I$16="Fixed",1,IF(Nonlabor!$I$16="Seats",ROUNDUP('Monthly Lean'!I33,0),IF(Nonlabor!$I$16="Customers",'Monthly Lean'!D33,IF(Nonlabor!$I$16="NewCustomers",'Monthly Lean'!C33,IF(Nonlabor!$I$16="StorageGB",'Monthly Lean'!G33,IF(Nonlabor!$I$16="LogGB",'Monthly Lean'!H33,IF(Nonlabor!$I$16="RequestsM",'Monthly Lean'!F33,IF(Nonlabor!$I$16="InputM",'Monthly Lean'!D33*Assumptions!$C$22/1000000,IF(Nonlabor!$I$16="OutputM",'Monthly Lean'!D33*Assumptions!$C$23/1000000,0))))))))),0)</f>
        <v>0</v>
      </c>
      <c r="F633" s="10" t="n">
        <f aca="false">Nonlabor!$J$16*(1+Assumptions!$C$9)^INT((C633-1)/12)</f>
        <v>12730.8</v>
      </c>
      <c r="G633" s="10" t="n">
        <f aca="false">E633*F633</f>
        <v>0</v>
      </c>
      <c r="H633" s="10" t="n">
        <f aca="false">IF(OR(Nonlabor!$L$16="Quote required",Nonlabor!$L$16="Unverified"),G633,0)</f>
        <v>0</v>
      </c>
      <c r="I633" s="10" t="n">
        <f aca="false">IF(Nonlabor!$E$16="Core",0,G633)</f>
        <v>0</v>
      </c>
      <c r="J633" s="23" t="str">
        <f aca="false">Nonlabor!$B$16</f>
        <v>LEGAL</v>
      </c>
    </row>
    <row r="634" customFormat="false" ht="15" hidden="false" customHeight="false" outlineLevel="0" collapsed="false">
      <c r="A634" s="6" t="s">
        <v>72</v>
      </c>
      <c r="B634" s="6" t="s">
        <v>406</v>
      </c>
      <c r="C634" s="6" t="n">
        <v>29</v>
      </c>
      <c r="D634" s="25" t="n">
        <f aca="false">EDATE('Start Here'!$B$6,C634-1)</f>
        <v>47178</v>
      </c>
      <c r="E634" s="23" t="n">
        <f aca="false">IF(AND(OR(Nonlabor!$D$16="Both",Nonlabor!$D$16='Start Here'!$B$9),IF(Nonlabor!$E$16="Core",1,IF(Nonlabor!$E$16="AI",'Start Here'!$B$7,'Start Here'!$B$8))=1,C634&gt;=IF(Nonlabor!$E$16="Core",Nonlabor!$F$16,MAX(Nonlabor!$F$16,IF(Nonlabor!$E$16="AI",Assumptions!$C$24,Assumptions!$C$25))),C634&lt;=Nonlabor!$G$16,OR(Nonlabor!$H$16="Monthly",AND(Nonlabor!$H$16="Once",C634=IF(Nonlabor!$E$16="Core",Nonlabor!$F$16,MAX(Nonlabor!$F$16,IF(Nonlabor!$E$16="AI",Assumptions!$C$24,Assumptions!$C$25)))),AND(Nonlabor!$H$16="Annual",MOD(C634-IF(Nonlabor!$E$16="Core",Nonlabor!$F$16,MAX(Nonlabor!$F$16,IF(Nonlabor!$E$16="AI",Assumptions!$C$24,Assumptions!$C$25))),12)=0))),IF(Nonlabor!$I$16="Fixed",1,IF(Nonlabor!$I$16="Seats",ROUNDUP('Monthly Lean'!I34,0),IF(Nonlabor!$I$16="Customers",'Monthly Lean'!D34,IF(Nonlabor!$I$16="NewCustomers",'Monthly Lean'!C34,IF(Nonlabor!$I$16="StorageGB",'Monthly Lean'!G34,IF(Nonlabor!$I$16="LogGB",'Monthly Lean'!H34,IF(Nonlabor!$I$16="RequestsM",'Monthly Lean'!F34,IF(Nonlabor!$I$16="InputM",'Monthly Lean'!D34*Assumptions!$C$22/1000000,IF(Nonlabor!$I$16="OutputM",'Monthly Lean'!D34*Assumptions!$C$23/1000000,0))))))))),0)</f>
        <v>0</v>
      </c>
      <c r="F634" s="10" t="n">
        <f aca="false">Nonlabor!$J$16*(1+Assumptions!$C$9)^INT((C634-1)/12)</f>
        <v>12730.8</v>
      </c>
      <c r="G634" s="10" t="n">
        <f aca="false">E634*F634</f>
        <v>0</v>
      </c>
      <c r="H634" s="10" t="n">
        <f aca="false">IF(OR(Nonlabor!$L$16="Quote required",Nonlabor!$L$16="Unverified"),G634,0)</f>
        <v>0</v>
      </c>
      <c r="I634" s="10" t="n">
        <f aca="false">IF(Nonlabor!$E$16="Core",0,G634)</f>
        <v>0</v>
      </c>
      <c r="J634" s="23" t="str">
        <f aca="false">Nonlabor!$B$16</f>
        <v>LEGAL</v>
      </c>
    </row>
    <row r="635" customFormat="false" ht="15" hidden="false" customHeight="false" outlineLevel="0" collapsed="false">
      <c r="A635" s="6" t="s">
        <v>72</v>
      </c>
      <c r="B635" s="6" t="s">
        <v>406</v>
      </c>
      <c r="C635" s="6" t="n">
        <v>30</v>
      </c>
      <c r="D635" s="25" t="n">
        <f aca="false">EDATE('Start Here'!$B$6,C635-1)</f>
        <v>47209</v>
      </c>
      <c r="E635" s="23" t="n">
        <f aca="false">IF(AND(OR(Nonlabor!$D$16="Both",Nonlabor!$D$16='Start Here'!$B$9),IF(Nonlabor!$E$16="Core",1,IF(Nonlabor!$E$16="AI",'Start Here'!$B$7,'Start Here'!$B$8))=1,C635&gt;=IF(Nonlabor!$E$16="Core",Nonlabor!$F$16,MAX(Nonlabor!$F$16,IF(Nonlabor!$E$16="AI",Assumptions!$C$24,Assumptions!$C$25))),C635&lt;=Nonlabor!$G$16,OR(Nonlabor!$H$16="Monthly",AND(Nonlabor!$H$16="Once",C635=IF(Nonlabor!$E$16="Core",Nonlabor!$F$16,MAX(Nonlabor!$F$16,IF(Nonlabor!$E$16="AI",Assumptions!$C$24,Assumptions!$C$25)))),AND(Nonlabor!$H$16="Annual",MOD(C635-IF(Nonlabor!$E$16="Core",Nonlabor!$F$16,MAX(Nonlabor!$F$16,IF(Nonlabor!$E$16="AI",Assumptions!$C$24,Assumptions!$C$25))),12)=0))),IF(Nonlabor!$I$16="Fixed",1,IF(Nonlabor!$I$16="Seats",ROUNDUP('Monthly Lean'!I35,0),IF(Nonlabor!$I$16="Customers",'Monthly Lean'!D35,IF(Nonlabor!$I$16="NewCustomers",'Monthly Lean'!C35,IF(Nonlabor!$I$16="StorageGB",'Monthly Lean'!G35,IF(Nonlabor!$I$16="LogGB",'Monthly Lean'!H35,IF(Nonlabor!$I$16="RequestsM",'Monthly Lean'!F35,IF(Nonlabor!$I$16="InputM",'Monthly Lean'!D35*Assumptions!$C$22/1000000,IF(Nonlabor!$I$16="OutputM",'Monthly Lean'!D35*Assumptions!$C$23/1000000,0))))))))),0)</f>
        <v>0</v>
      </c>
      <c r="F635" s="10" t="n">
        <f aca="false">Nonlabor!$J$16*(1+Assumptions!$C$9)^INT((C635-1)/12)</f>
        <v>12730.8</v>
      </c>
      <c r="G635" s="10" t="n">
        <f aca="false">E635*F635</f>
        <v>0</v>
      </c>
      <c r="H635" s="10" t="n">
        <f aca="false">IF(OR(Nonlabor!$L$16="Quote required",Nonlabor!$L$16="Unverified"),G635,0)</f>
        <v>0</v>
      </c>
      <c r="I635" s="10" t="n">
        <f aca="false">IF(Nonlabor!$E$16="Core",0,G635)</f>
        <v>0</v>
      </c>
      <c r="J635" s="23" t="str">
        <f aca="false">Nonlabor!$B$16</f>
        <v>LEGAL</v>
      </c>
    </row>
    <row r="636" customFormat="false" ht="15" hidden="false" customHeight="false" outlineLevel="0" collapsed="false">
      <c r="A636" s="6" t="s">
        <v>72</v>
      </c>
      <c r="B636" s="6" t="s">
        <v>406</v>
      </c>
      <c r="C636" s="6" t="n">
        <v>31</v>
      </c>
      <c r="D636" s="25" t="n">
        <f aca="false">EDATE('Start Here'!$B$6,C636-1)</f>
        <v>47239</v>
      </c>
      <c r="E636" s="23" t="n">
        <f aca="false">IF(AND(OR(Nonlabor!$D$16="Both",Nonlabor!$D$16='Start Here'!$B$9),IF(Nonlabor!$E$16="Core",1,IF(Nonlabor!$E$16="AI",'Start Here'!$B$7,'Start Here'!$B$8))=1,C636&gt;=IF(Nonlabor!$E$16="Core",Nonlabor!$F$16,MAX(Nonlabor!$F$16,IF(Nonlabor!$E$16="AI",Assumptions!$C$24,Assumptions!$C$25))),C636&lt;=Nonlabor!$G$16,OR(Nonlabor!$H$16="Monthly",AND(Nonlabor!$H$16="Once",C636=IF(Nonlabor!$E$16="Core",Nonlabor!$F$16,MAX(Nonlabor!$F$16,IF(Nonlabor!$E$16="AI",Assumptions!$C$24,Assumptions!$C$25)))),AND(Nonlabor!$H$16="Annual",MOD(C636-IF(Nonlabor!$E$16="Core",Nonlabor!$F$16,MAX(Nonlabor!$F$16,IF(Nonlabor!$E$16="AI",Assumptions!$C$24,Assumptions!$C$25))),12)=0))),IF(Nonlabor!$I$16="Fixed",1,IF(Nonlabor!$I$16="Seats",ROUNDUP('Monthly Lean'!I36,0),IF(Nonlabor!$I$16="Customers",'Monthly Lean'!D36,IF(Nonlabor!$I$16="NewCustomers",'Monthly Lean'!C36,IF(Nonlabor!$I$16="StorageGB",'Monthly Lean'!G36,IF(Nonlabor!$I$16="LogGB",'Monthly Lean'!H36,IF(Nonlabor!$I$16="RequestsM",'Monthly Lean'!F36,IF(Nonlabor!$I$16="InputM",'Monthly Lean'!D36*Assumptions!$C$22/1000000,IF(Nonlabor!$I$16="OutputM",'Monthly Lean'!D36*Assumptions!$C$23/1000000,0))))))))),0)</f>
        <v>0</v>
      </c>
      <c r="F636" s="10" t="n">
        <f aca="false">Nonlabor!$J$16*(1+Assumptions!$C$9)^INT((C636-1)/12)</f>
        <v>12730.8</v>
      </c>
      <c r="G636" s="10" t="n">
        <f aca="false">E636*F636</f>
        <v>0</v>
      </c>
      <c r="H636" s="10" t="n">
        <f aca="false">IF(OR(Nonlabor!$L$16="Quote required",Nonlabor!$L$16="Unverified"),G636,0)</f>
        <v>0</v>
      </c>
      <c r="I636" s="10" t="n">
        <f aca="false">IF(Nonlabor!$E$16="Core",0,G636)</f>
        <v>0</v>
      </c>
      <c r="J636" s="23" t="str">
        <f aca="false">Nonlabor!$B$16</f>
        <v>LEGAL</v>
      </c>
    </row>
    <row r="637" customFormat="false" ht="15" hidden="false" customHeight="false" outlineLevel="0" collapsed="false">
      <c r="A637" s="6" t="s">
        <v>72</v>
      </c>
      <c r="B637" s="6" t="s">
        <v>406</v>
      </c>
      <c r="C637" s="6" t="n">
        <v>32</v>
      </c>
      <c r="D637" s="25" t="n">
        <f aca="false">EDATE('Start Here'!$B$6,C637-1)</f>
        <v>47270</v>
      </c>
      <c r="E637" s="23" t="n">
        <f aca="false">IF(AND(OR(Nonlabor!$D$16="Both",Nonlabor!$D$16='Start Here'!$B$9),IF(Nonlabor!$E$16="Core",1,IF(Nonlabor!$E$16="AI",'Start Here'!$B$7,'Start Here'!$B$8))=1,C637&gt;=IF(Nonlabor!$E$16="Core",Nonlabor!$F$16,MAX(Nonlabor!$F$16,IF(Nonlabor!$E$16="AI",Assumptions!$C$24,Assumptions!$C$25))),C637&lt;=Nonlabor!$G$16,OR(Nonlabor!$H$16="Monthly",AND(Nonlabor!$H$16="Once",C637=IF(Nonlabor!$E$16="Core",Nonlabor!$F$16,MAX(Nonlabor!$F$16,IF(Nonlabor!$E$16="AI",Assumptions!$C$24,Assumptions!$C$25)))),AND(Nonlabor!$H$16="Annual",MOD(C637-IF(Nonlabor!$E$16="Core",Nonlabor!$F$16,MAX(Nonlabor!$F$16,IF(Nonlabor!$E$16="AI",Assumptions!$C$24,Assumptions!$C$25))),12)=0))),IF(Nonlabor!$I$16="Fixed",1,IF(Nonlabor!$I$16="Seats",ROUNDUP('Monthly Lean'!I37,0),IF(Nonlabor!$I$16="Customers",'Monthly Lean'!D37,IF(Nonlabor!$I$16="NewCustomers",'Monthly Lean'!C37,IF(Nonlabor!$I$16="StorageGB",'Monthly Lean'!G37,IF(Nonlabor!$I$16="LogGB",'Monthly Lean'!H37,IF(Nonlabor!$I$16="RequestsM",'Monthly Lean'!F37,IF(Nonlabor!$I$16="InputM",'Monthly Lean'!D37*Assumptions!$C$22/1000000,IF(Nonlabor!$I$16="OutputM",'Monthly Lean'!D37*Assumptions!$C$23/1000000,0))))))))),0)</f>
        <v>0</v>
      </c>
      <c r="F637" s="10" t="n">
        <f aca="false">Nonlabor!$J$16*(1+Assumptions!$C$9)^INT((C637-1)/12)</f>
        <v>12730.8</v>
      </c>
      <c r="G637" s="10" t="n">
        <f aca="false">E637*F637</f>
        <v>0</v>
      </c>
      <c r="H637" s="10" t="n">
        <f aca="false">IF(OR(Nonlabor!$L$16="Quote required",Nonlabor!$L$16="Unverified"),G637,0)</f>
        <v>0</v>
      </c>
      <c r="I637" s="10" t="n">
        <f aca="false">IF(Nonlabor!$E$16="Core",0,G637)</f>
        <v>0</v>
      </c>
      <c r="J637" s="23" t="str">
        <f aca="false">Nonlabor!$B$16</f>
        <v>LEGAL</v>
      </c>
    </row>
    <row r="638" customFormat="false" ht="15" hidden="false" customHeight="false" outlineLevel="0" collapsed="false">
      <c r="A638" s="6" t="s">
        <v>72</v>
      </c>
      <c r="B638" s="6" t="s">
        <v>406</v>
      </c>
      <c r="C638" s="6" t="n">
        <v>33</v>
      </c>
      <c r="D638" s="25" t="n">
        <f aca="false">EDATE('Start Here'!$B$6,C638-1)</f>
        <v>47300</v>
      </c>
      <c r="E638" s="23" t="n">
        <f aca="false">IF(AND(OR(Nonlabor!$D$16="Both",Nonlabor!$D$16='Start Here'!$B$9),IF(Nonlabor!$E$16="Core",1,IF(Nonlabor!$E$16="AI",'Start Here'!$B$7,'Start Here'!$B$8))=1,C638&gt;=IF(Nonlabor!$E$16="Core",Nonlabor!$F$16,MAX(Nonlabor!$F$16,IF(Nonlabor!$E$16="AI",Assumptions!$C$24,Assumptions!$C$25))),C638&lt;=Nonlabor!$G$16,OR(Nonlabor!$H$16="Monthly",AND(Nonlabor!$H$16="Once",C638=IF(Nonlabor!$E$16="Core",Nonlabor!$F$16,MAX(Nonlabor!$F$16,IF(Nonlabor!$E$16="AI",Assumptions!$C$24,Assumptions!$C$25)))),AND(Nonlabor!$H$16="Annual",MOD(C638-IF(Nonlabor!$E$16="Core",Nonlabor!$F$16,MAX(Nonlabor!$F$16,IF(Nonlabor!$E$16="AI",Assumptions!$C$24,Assumptions!$C$25))),12)=0))),IF(Nonlabor!$I$16="Fixed",1,IF(Nonlabor!$I$16="Seats",ROUNDUP('Monthly Lean'!I38,0),IF(Nonlabor!$I$16="Customers",'Monthly Lean'!D38,IF(Nonlabor!$I$16="NewCustomers",'Monthly Lean'!C38,IF(Nonlabor!$I$16="StorageGB",'Monthly Lean'!G38,IF(Nonlabor!$I$16="LogGB",'Monthly Lean'!H38,IF(Nonlabor!$I$16="RequestsM",'Monthly Lean'!F38,IF(Nonlabor!$I$16="InputM",'Monthly Lean'!D38*Assumptions!$C$22/1000000,IF(Nonlabor!$I$16="OutputM",'Monthly Lean'!D38*Assumptions!$C$23/1000000,0))))))))),0)</f>
        <v>0</v>
      </c>
      <c r="F638" s="10" t="n">
        <f aca="false">Nonlabor!$J$16*(1+Assumptions!$C$9)^INT((C638-1)/12)</f>
        <v>12730.8</v>
      </c>
      <c r="G638" s="10" t="n">
        <f aca="false">E638*F638</f>
        <v>0</v>
      </c>
      <c r="H638" s="10" t="n">
        <f aca="false">IF(OR(Nonlabor!$L$16="Quote required",Nonlabor!$L$16="Unverified"),G638,0)</f>
        <v>0</v>
      </c>
      <c r="I638" s="10" t="n">
        <f aca="false">IF(Nonlabor!$E$16="Core",0,G638)</f>
        <v>0</v>
      </c>
      <c r="J638" s="23" t="str">
        <f aca="false">Nonlabor!$B$16</f>
        <v>LEGAL</v>
      </c>
    </row>
    <row r="639" customFormat="false" ht="15" hidden="false" customHeight="false" outlineLevel="0" collapsed="false">
      <c r="A639" s="6" t="s">
        <v>72</v>
      </c>
      <c r="B639" s="6" t="s">
        <v>406</v>
      </c>
      <c r="C639" s="6" t="n">
        <v>34</v>
      </c>
      <c r="D639" s="25" t="n">
        <f aca="false">EDATE('Start Here'!$B$6,C639-1)</f>
        <v>47331</v>
      </c>
      <c r="E639" s="23" t="n">
        <f aca="false">IF(AND(OR(Nonlabor!$D$16="Both",Nonlabor!$D$16='Start Here'!$B$9),IF(Nonlabor!$E$16="Core",1,IF(Nonlabor!$E$16="AI",'Start Here'!$B$7,'Start Here'!$B$8))=1,C639&gt;=IF(Nonlabor!$E$16="Core",Nonlabor!$F$16,MAX(Nonlabor!$F$16,IF(Nonlabor!$E$16="AI",Assumptions!$C$24,Assumptions!$C$25))),C639&lt;=Nonlabor!$G$16,OR(Nonlabor!$H$16="Monthly",AND(Nonlabor!$H$16="Once",C639=IF(Nonlabor!$E$16="Core",Nonlabor!$F$16,MAX(Nonlabor!$F$16,IF(Nonlabor!$E$16="AI",Assumptions!$C$24,Assumptions!$C$25)))),AND(Nonlabor!$H$16="Annual",MOD(C639-IF(Nonlabor!$E$16="Core",Nonlabor!$F$16,MAX(Nonlabor!$F$16,IF(Nonlabor!$E$16="AI",Assumptions!$C$24,Assumptions!$C$25))),12)=0))),IF(Nonlabor!$I$16="Fixed",1,IF(Nonlabor!$I$16="Seats",ROUNDUP('Monthly Lean'!I39,0),IF(Nonlabor!$I$16="Customers",'Monthly Lean'!D39,IF(Nonlabor!$I$16="NewCustomers",'Monthly Lean'!C39,IF(Nonlabor!$I$16="StorageGB",'Monthly Lean'!G39,IF(Nonlabor!$I$16="LogGB",'Monthly Lean'!H39,IF(Nonlabor!$I$16="RequestsM",'Monthly Lean'!F39,IF(Nonlabor!$I$16="InputM",'Monthly Lean'!D39*Assumptions!$C$22/1000000,IF(Nonlabor!$I$16="OutputM",'Monthly Lean'!D39*Assumptions!$C$23/1000000,0))))))))),0)</f>
        <v>0</v>
      </c>
      <c r="F639" s="10" t="n">
        <f aca="false">Nonlabor!$J$16*(1+Assumptions!$C$9)^INT((C639-1)/12)</f>
        <v>12730.8</v>
      </c>
      <c r="G639" s="10" t="n">
        <f aca="false">E639*F639</f>
        <v>0</v>
      </c>
      <c r="H639" s="10" t="n">
        <f aca="false">IF(OR(Nonlabor!$L$16="Quote required",Nonlabor!$L$16="Unverified"),G639,0)</f>
        <v>0</v>
      </c>
      <c r="I639" s="10" t="n">
        <f aca="false">IF(Nonlabor!$E$16="Core",0,G639)</f>
        <v>0</v>
      </c>
      <c r="J639" s="23" t="str">
        <f aca="false">Nonlabor!$B$16</f>
        <v>LEGAL</v>
      </c>
    </row>
    <row r="640" customFormat="false" ht="15" hidden="false" customHeight="false" outlineLevel="0" collapsed="false">
      <c r="A640" s="6" t="s">
        <v>72</v>
      </c>
      <c r="B640" s="6" t="s">
        <v>406</v>
      </c>
      <c r="C640" s="6" t="n">
        <v>35</v>
      </c>
      <c r="D640" s="25" t="n">
        <f aca="false">EDATE('Start Here'!$B$6,C640-1)</f>
        <v>47362</v>
      </c>
      <c r="E640" s="23" t="n">
        <f aca="false">IF(AND(OR(Nonlabor!$D$16="Both",Nonlabor!$D$16='Start Here'!$B$9),IF(Nonlabor!$E$16="Core",1,IF(Nonlabor!$E$16="AI",'Start Here'!$B$7,'Start Here'!$B$8))=1,C640&gt;=IF(Nonlabor!$E$16="Core",Nonlabor!$F$16,MAX(Nonlabor!$F$16,IF(Nonlabor!$E$16="AI",Assumptions!$C$24,Assumptions!$C$25))),C640&lt;=Nonlabor!$G$16,OR(Nonlabor!$H$16="Monthly",AND(Nonlabor!$H$16="Once",C640=IF(Nonlabor!$E$16="Core",Nonlabor!$F$16,MAX(Nonlabor!$F$16,IF(Nonlabor!$E$16="AI",Assumptions!$C$24,Assumptions!$C$25)))),AND(Nonlabor!$H$16="Annual",MOD(C640-IF(Nonlabor!$E$16="Core",Nonlabor!$F$16,MAX(Nonlabor!$F$16,IF(Nonlabor!$E$16="AI",Assumptions!$C$24,Assumptions!$C$25))),12)=0))),IF(Nonlabor!$I$16="Fixed",1,IF(Nonlabor!$I$16="Seats",ROUNDUP('Monthly Lean'!I40,0),IF(Nonlabor!$I$16="Customers",'Monthly Lean'!D40,IF(Nonlabor!$I$16="NewCustomers",'Monthly Lean'!C40,IF(Nonlabor!$I$16="StorageGB",'Monthly Lean'!G40,IF(Nonlabor!$I$16="LogGB",'Monthly Lean'!H40,IF(Nonlabor!$I$16="RequestsM",'Monthly Lean'!F40,IF(Nonlabor!$I$16="InputM",'Monthly Lean'!D40*Assumptions!$C$22/1000000,IF(Nonlabor!$I$16="OutputM",'Monthly Lean'!D40*Assumptions!$C$23/1000000,0))))))))),0)</f>
        <v>0</v>
      </c>
      <c r="F640" s="10" t="n">
        <f aca="false">Nonlabor!$J$16*(1+Assumptions!$C$9)^INT((C640-1)/12)</f>
        <v>12730.8</v>
      </c>
      <c r="G640" s="10" t="n">
        <f aca="false">E640*F640</f>
        <v>0</v>
      </c>
      <c r="H640" s="10" t="n">
        <f aca="false">IF(OR(Nonlabor!$L$16="Quote required",Nonlabor!$L$16="Unverified"),G640,0)</f>
        <v>0</v>
      </c>
      <c r="I640" s="10" t="n">
        <f aca="false">IF(Nonlabor!$E$16="Core",0,G640)</f>
        <v>0</v>
      </c>
      <c r="J640" s="23" t="str">
        <f aca="false">Nonlabor!$B$16</f>
        <v>LEGAL</v>
      </c>
    </row>
    <row r="641" customFormat="false" ht="15" hidden="false" customHeight="false" outlineLevel="0" collapsed="false">
      <c r="A641" s="6" t="s">
        <v>72</v>
      </c>
      <c r="B641" s="6" t="s">
        <v>406</v>
      </c>
      <c r="C641" s="6" t="n">
        <v>36</v>
      </c>
      <c r="D641" s="25" t="n">
        <f aca="false">EDATE('Start Here'!$B$6,C641-1)</f>
        <v>47392</v>
      </c>
      <c r="E641" s="23" t="n">
        <f aca="false">IF(AND(OR(Nonlabor!$D$16="Both",Nonlabor!$D$16='Start Here'!$B$9),IF(Nonlabor!$E$16="Core",1,IF(Nonlabor!$E$16="AI",'Start Here'!$B$7,'Start Here'!$B$8))=1,C641&gt;=IF(Nonlabor!$E$16="Core",Nonlabor!$F$16,MAX(Nonlabor!$F$16,IF(Nonlabor!$E$16="AI",Assumptions!$C$24,Assumptions!$C$25))),C641&lt;=Nonlabor!$G$16,OR(Nonlabor!$H$16="Monthly",AND(Nonlabor!$H$16="Once",C641=IF(Nonlabor!$E$16="Core",Nonlabor!$F$16,MAX(Nonlabor!$F$16,IF(Nonlabor!$E$16="AI",Assumptions!$C$24,Assumptions!$C$25)))),AND(Nonlabor!$H$16="Annual",MOD(C641-IF(Nonlabor!$E$16="Core",Nonlabor!$F$16,MAX(Nonlabor!$F$16,IF(Nonlabor!$E$16="AI",Assumptions!$C$24,Assumptions!$C$25))),12)=0))),IF(Nonlabor!$I$16="Fixed",1,IF(Nonlabor!$I$16="Seats",ROUNDUP('Monthly Lean'!I41,0),IF(Nonlabor!$I$16="Customers",'Monthly Lean'!D41,IF(Nonlabor!$I$16="NewCustomers",'Monthly Lean'!C41,IF(Nonlabor!$I$16="StorageGB",'Monthly Lean'!G41,IF(Nonlabor!$I$16="LogGB",'Monthly Lean'!H41,IF(Nonlabor!$I$16="RequestsM",'Monthly Lean'!F41,IF(Nonlabor!$I$16="InputM",'Monthly Lean'!D41*Assumptions!$C$22/1000000,IF(Nonlabor!$I$16="OutputM",'Monthly Lean'!D41*Assumptions!$C$23/1000000,0))))))))),0)</f>
        <v>0</v>
      </c>
      <c r="F641" s="10" t="n">
        <f aca="false">Nonlabor!$J$16*(1+Assumptions!$C$9)^INT((C641-1)/12)</f>
        <v>12730.8</v>
      </c>
      <c r="G641" s="10" t="n">
        <f aca="false">E641*F641</f>
        <v>0</v>
      </c>
      <c r="H641" s="10" t="n">
        <f aca="false">IF(OR(Nonlabor!$L$16="Quote required",Nonlabor!$L$16="Unverified"),G641,0)</f>
        <v>0</v>
      </c>
      <c r="I641" s="10" t="n">
        <f aca="false">IF(Nonlabor!$E$16="Core",0,G641)</f>
        <v>0</v>
      </c>
      <c r="J641" s="23" t="str">
        <f aca="false">Nonlabor!$B$16</f>
        <v>LEGAL</v>
      </c>
    </row>
    <row r="642" customFormat="false" ht="15" hidden="false" customHeight="false" outlineLevel="0" collapsed="false">
      <c r="A642" s="6" t="s">
        <v>72</v>
      </c>
      <c r="B642" s="6" t="s">
        <v>406</v>
      </c>
      <c r="C642" s="6" t="n">
        <v>37</v>
      </c>
      <c r="D642" s="25" t="n">
        <f aca="false">EDATE('Start Here'!$B$6,C642-1)</f>
        <v>47423</v>
      </c>
      <c r="E642" s="23" t="n">
        <f aca="false">IF(AND(OR(Nonlabor!$D$16="Both",Nonlabor!$D$16='Start Here'!$B$9),IF(Nonlabor!$E$16="Core",1,IF(Nonlabor!$E$16="AI",'Start Here'!$B$7,'Start Here'!$B$8))=1,C642&gt;=IF(Nonlabor!$E$16="Core",Nonlabor!$F$16,MAX(Nonlabor!$F$16,IF(Nonlabor!$E$16="AI",Assumptions!$C$24,Assumptions!$C$25))),C642&lt;=Nonlabor!$G$16,OR(Nonlabor!$H$16="Monthly",AND(Nonlabor!$H$16="Once",C642=IF(Nonlabor!$E$16="Core",Nonlabor!$F$16,MAX(Nonlabor!$F$16,IF(Nonlabor!$E$16="AI",Assumptions!$C$24,Assumptions!$C$25)))),AND(Nonlabor!$H$16="Annual",MOD(C642-IF(Nonlabor!$E$16="Core",Nonlabor!$F$16,MAX(Nonlabor!$F$16,IF(Nonlabor!$E$16="AI",Assumptions!$C$24,Assumptions!$C$25))),12)=0))),IF(Nonlabor!$I$16="Fixed",1,IF(Nonlabor!$I$16="Seats",ROUNDUP('Monthly Lean'!I42,0),IF(Nonlabor!$I$16="Customers",'Monthly Lean'!D42,IF(Nonlabor!$I$16="NewCustomers",'Monthly Lean'!C42,IF(Nonlabor!$I$16="StorageGB",'Monthly Lean'!G42,IF(Nonlabor!$I$16="LogGB",'Monthly Lean'!H42,IF(Nonlabor!$I$16="RequestsM",'Monthly Lean'!F42,IF(Nonlabor!$I$16="InputM",'Monthly Lean'!D42*Assumptions!$C$22/1000000,IF(Nonlabor!$I$16="OutputM",'Monthly Lean'!D42*Assumptions!$C$23/1000000,0))))))))),0)</f>
        <v>0</v>
      </c>
      <c r="F642" s="10" t="n">
        <f aca="false">Nonlabor!$J$16*(1+Assumptions!$C$9)^INT((C642-1)/12)</f>
        <v>13112.724</v>
      </c>
      <c r="G642" s="10" t="n">
        <f aca="false">E642*F642</f>
        <v>0</v>
      </c>
      <c r="H642" s="10" t="n">
        <f aca="false">IF(OR(Nonlabor!$L$16="Quote required",Nonlabor!$L$16="Unverified"),G642,0)</f>
        <v>0</v>
      </c>
      <c r="I642" s="10" t="n">
        <f aca="false">IF(Nonlabor!$E$16="Core",0,G642)</f>
        <v>0</v>
      </c>
      <c r="J642" s="23" t="str">
        <f aca="false">Nonlabor!$B$16</f>
        <v>LEGAL</v>
      </c>
    </row>
    <row r="643" customFormat="false" ht="15" hidden="false" customHeight="false" outlineLevel="0" collapsed="false">
      <c r="A643" s="6" t="s">
        <v>72</v>
      </c>
      <c r="B643" s="6" t="s">
        <v>406</v>
      </c>
      <c r="C643" s="6" t="n">
        <v>38</v>
      </c>
      <c r="D643" s="25" t="n">
        <f aca="false">EDATE('Start Here'!$B$6,C643-1)</f>
        <v>47453</v>
      </c>
      <c r="E643" s="23" t="n">
        <f aca="false">IF(AND(OR(Nonlabor!$D$16="Both",Nonlabor!$D$16='Start Here'!$B$9),IF(Nonlabor!$E$16="Core",1,IF(Nonlabor!$E$16="AI",'Start Here'!$B$7,'Start Here'!$B$8))=1,C643&gt;=IF(Nonlabor!$E$16="Core",Nonlabor!$F$16,MAX(Nonlabor!$F$16,IF(Nonlabor!$E$16="AI",Assumptions!$C$24,Assumptions!$C$25))),C643&lt;=Nonlabor!$G$16,OR(Nonlabor!$H$16="Monthly",AND(Nonlabor!$H$16="Once",C643=IF(Nonlabor!$E$16="Core",Nonlabor!$F$16,MAX(Nonlabor!$F$16,IF(Nonlabor!$E$16="AI",Assumptions!$C$24,Assumptions!$C$25)))),AND(Nonlabor!$H$16="Annual",MOD(C643-IF(Nonlabor!$E$16="Core",Nonlabor!$F$16,MAX(Nonlabor!$F$16,IF(Nonlabor!$E$16="AI",Assumptions!$C$24,Assumptions!$C$25))),12)=0))),IF(Nonlabor!$I$16="Fixed",1,IF(Nonlabor!$I$16="Seats",ROUNDUP('Monthly Lean'!I43,0),IF(Nonlabor!$I$16="Customers",'Monthly Lean'!D43,IF(Nonlabor!$I$16="NewCustomers",'Monthly Lean'!C43,IF(Nonlabor!$I$16="StorageGB",'Monthly Lean'!G43,IF(Nonlabor!$I$16="LogGB",'Monthly Lean'!H43,IF(Nonlabor!$I$16="RequestsM",'Monthly Lean'!F43,IF(Nonlabor!$I$16="InputM",'Monthly Lean'!D43*Assumptions!$C$22/1000000,IF(Nonlabor!$I$16="OutputM",'Monthly Lean'!D43*Assumptions!$C$23/1000000,0))))))))),0)</f>
        <v>1</v>
      </c>
      <c r="F643" s="10" t="n">
        <f aca="false">Nonlabor!$J$16*(1+Assumptions!$C$9)^INT((C643-1)/12)</f>
        <v>13112.724</v>
      </c>
      <c r="G643" s="10" t="n">
        <f aca="false">E643*F643</f>
        <v>13112.724</v>
      </c>
      <c r="H643" s="10" t="n">
        <f aca="false">IF(OR(Nonlabor!$L$16="Quote required",Nonlabor!$L$16="Unverified"),G643,0)</f>
        <v>13112.724</v>
      </c>
      <c r="I643" s="10" t="n">
        <f aca="false">IF(Nonlabor!$E$16="Core",0,G643)</f>
        <v>0</v>
      </c>
      <c r="J643" s="23" t="str">
        <f aca="false">Nonlabor!$B$16</f>
        <v>LEGAL</v>
      </c>
    </row>
    <row r="644" customFormat="false" ht="15" hidden="false" customHeight="false" outlineLevel="0" collapsed="false">
      <c r="A644" s="6" t="s">
        <v>72</v>
      </c>
      <c r="B644" s="6" t="s">
        <v>406</v>
      </c>
      <c r="C644" s="6" t="n">
        <v>39</v>
      </c>
      <c r="D644" s="25" t="n">
        <f aca="false">EDATE('Start Here'!$B$6,C644-1)</f>
        <v>47484</v>
      </c>
      <c r="E644" s="23" t="n">
        <f aca="false">IF(AND(OR(Nonlabor!$D$16="Both",Nonlabor!$D$16='Start Here'!$B$9),IF(Nonlabor!$E$16="Core",1,IF(Nonlabor!$E$16="AI",'Start Here'!$B$7,'Start Here'!$B$8))=1,C644&gt;=IF(Nonlabor!$E$16="Core",Nonlabor!$F$16,MAX(Nonlabor!$F$16,IF(Nonlabor!$E$16="AI",Assumptions!$C$24,Assumptions!$C$25))),C644&lt;=Nonlabor!$G$16,OR(Nonlabor!$H$16="Monthly",AND(Nonlabor!$H$16="Once",C644=IF(Nonlabor!$E$16="Core",Nonlabor!$F$16,MAX(Nonlabor!$F$16,IF(Nonlabor!$E$16="AI",Assumptions!$C$24,Assumptions!$C$25)))),AND(Nonlabor!$H$16="Annual",MOD(C644-IF(Nonlabor!$E$16="Core",Nonlabor!$F$16,MAX(Nonlabor!$F$16,IF(Nonlabor!$E$16="AI",Assumptions!$C$24,Assumptions!$C$25))),12)=0))),IF(Nonlabor!$I$16="Fixed",1,IF(Nonlabor!$I$16="Seats",ROUNDUP('Monthly Lean'!I44,0),IF(Nonlabor!$I$16="Customers",'Monthly Lean'!D44,IF(Nonlabor!$I$16="NewCustomers",'Monthly Lean'!C44,IF(Nonlabor!$I$16="StorageGB",'Monthly Lean'!G44,IF(Nonlabor!$I$16="LogGB",'Monthly Lean'!H44,IF(Nonlabor!$I$16="RequestsM",'Monthly Lean'!F44,IF(Nonlabor!$I$16="InputM",'Monthly Lean'!D44*Assumptions!$C$22/1000000,IF(Nonlabor!$I$16="OutputM",'Monthly Lean'!D44*Assumptions!$C$23/1000000,0))))))))),0)</f>
        <v>0</v>
      </c>
      <c r="F644" s="10" t="n">
        <f aca="false">Nonlabor!$J$16*(1+Assumptions!$C$9)^INT((C644-1)/12)</f>
        <v>13112.724</v>
      </c>
      <c r="G644" s="10" t="n">
        <f aca="false">E644*F644</f>
        <v>0</v>
      </c>
      <c r="H644" s="10" t="n">
        <f aca="false">IF(OR(Nonlabor!$L$16="Quote required",Nonlabor!$L$16="Unverified"),G644,0)</f>
        <v>0</v>
      </c>
      <c r="I644" s="10" t="n">
        <f aca="false">IF(Nonlabor!$E$16="Core",0,G644)</f>
        <v>0</v>
      </c>
      <c r="J644" s="23" t="str">
        <f aca="false">Nonlabor!$B$16</f>
        <v>LEGAL</v>
      </c>
    </row>
    <row r="645" customFormat="false" ht="15" hidden="false" customHeight="false" outlineLevel="0" collapsed="false">
      <c r="A645" s="6" t="s">
        <v>72</v>
      </c>
      <c r="B645" s="6" t="s">
        <v>406</v>
      </c>
      <c r="C645" s="6" t="n">
        <v>40</v>
      </c>
      <c r="D645" s="25" t="n">
        <f aca="false">EDATE('Start Here'!$B$6,C645-1)</f>
        <v>47515</v>
      </c>
      <c r="E645" s="23" t="n">
        <f aca="false">IF(AND(OR(Nonlabor!$D$16="Both",Nonlabor!$D$16='Start Here'!$B$9),IF(Nonlabor!$E$16="Core",1,IF(Nonlabor!$E$16="AI",'Start Here'!$B$7,'Start Here'!$B$8))=1,C645&gt;=IF(Nonlabor!$E$16="Core",Nonlabor!$F$16,MAX(Nonlabor!$F$16,IF(Nonlabor!$E$16="AI",Assumptions!$C$24,Assumptions!$C$25))),C645&lt;=Nonlabor!$G$16,OR(Nonlabor!$H$16="Monthly",AND(Nonlabor!$H$16="Once",C645=IF(Nonlabor!$E$16="Core",Nonlabor!$F$16,MAX(Nonlabor!$F$16,IF(Nonlabor!$E$16="AI",Assumptions!$C$24,Assumptions!$C$25)))),AND(Nonlabor!$H$16="Annual",MOD(C645-IF(Nonlabor!$E$16="Core",Nonlabor!$F$16,MAX(Nonlabor!$F$16,IF(Nonlabor!$E$16="AI",Assumptions!$C$24,Assumptions!$C$25))),12)=0))),IF(Nonlabor!$I$16="Fixed",1,IF(Nonlabor!$I$16="Seats",ROUNDUP('Monthly Lean'!I45,0),IF(Nonlabor!$I$16="Customers",'Monthly Lean'!D45,IF(Nonlabor!$I$16="NewCustomers",'Monthly Lean'!C45,IF(Nonlabor!$I$16="StorageGB",'Monthly Lean'!G45,IF(Nonlabor!$I$16="LogGB",'Monthly Lean'!H45,IF(Nonlabor!$I$16="RequestsM",'Monthly Lean'!F45,IF(Nonlabor!$I$16="InputM",'Monthly Lean'!D45*Assumptions!$C$22/1000000,IF(Nonlabor!$I$16="OutputM",'Monthly Lean'!D45*Assumptions!$C$23/1000000,0))))))))),0)</f>
        <v>0</v>
      </c>
      <c r="F645" s="10" t="n">
        <f aca="false">Nonlabor!$J$16*(1+Assumptions!$C$9)^INT((C645-1)/12)</f>
        <v>13112.724</v>
      </c>
      <c r="G645" s="10" t="n">
        <f aca="false">E645*F645</f>
        <v>0</v>
      </c>
      <c r="H645" s="10" t="n">
        <f aca="false">IF(OR(Nonlabor!$L$16="Quote required",Nonlabor!$L$16="Unverified"),G645,0)</f>
        <v>0</v>
      </c>
      <c r="I645" s="10" t="n">
        <f aca="false">IF(Nonlabor!$E$16="Core",0,G645)</f>
        <v>0</v>
      </c>
      <c r="J645" s="23" t="str">
        <f aca="false">Nonlabor!$B$16</f>
        <v>LEGAL</v>
      </c>
    </row>
    <row r="646" customFormat="false" ht="15" hidden="false" customHeight="false" outlineLevel="0" collapsed="false">
      <c r="A646" s="6" t="s">
        <v>72</v>
      </c>
      <c r="B646" s="6" t="s">
        <v>406</v>
      </c>
      <c r="C646" s="6" t="n">
        <v>41</v>
      </c>
      <c r="D646" s="25" t="n">
        <f aca="false">EDATE('Start Here'!$B$6,C646-1)</f>
        <v>47543</v>
      </c>
      <c r="E646" s="23" t="n">
        <f aca="false">IF(AND(OR(Nonlabor!$D$16="Both",Nonlabor!$D$16='Start Here'!$B$9),IF(Nonlabor!$E$16="Core",1,IF(Nonlabor!$E$16="AI",'Start Here'!$B$7,'Start Here'!$B$8))=1,C646&gt;=IF(Nonlabor!$E$16="Core",Nonlabor!$F$16,MAX(Nonlabor!$F$16,IF(Nonlabor!$E$16="AI",Assumptions!$C$24,Assumptions!$C$25))),C646&lt;=Nonlabor!$G$16,OR(Nonlabor!$H$16="Monthly",AND(Nonlabor!$H$16="Once",C646=IF(Nonlabor!$E$16="Core",Nonlabor!$F$16,MAX(Nonlabor!$F$16,IF(Nonlabor!$E$16="AI",Assumptions!$C$24,Assumptions!$C$25)))),AND(Nonlabor!$H$16="Annual",MOD(C646-IF(Nonlabor!$E$16="Core",Nonlabor!$F$16,MAX(Nonlabor!$F$16,IF(Nonlabor!$E$16="AI",Assumptions!$C$24,Assumptions!$C$25))),12)=0))),IF(Nonlabor!$I$16="Fixed",1,IF(Nonlabor!$I$16="Seats",ROUNDUP('Monthly Lean'!I46,0),IF(Nonlabor!$I$16="Customers",'Monthly Lean'!D46,IF(Nonlabor!$I$16="NewCustomers",'Monthly Lean'!C46,IF(Nonlabor!$I$16="StorageGB",'Monthly Lean'!G46,IF(Nonlabor!$I$16="LogGB",'Monthly Lean'!H46,IF(Nonlabor!$I$16="RequestsM",'Monthly Lean'!F46,IF(Nonlabor!$I$16="InputM",'Monthly Lean'!D46*Assumptions!$C$22/1000000,IF(Nonlabor!$I$16="OutputM",'Monthly Lean'!D46*Assumptions!$C$23/1000000,0))))))))),0)</f>
        <v>0</v>
      </c>
      <c r="F646" s="10" t="n">
        <f aca="false">Nonlabor!$J$16*(1+Assumptions!$C$9)^INT((C646-1)/12)</f>
        <v>13112.724</v>
      </c>
      <c r="G646" s="10" t="n">
        <f aca="false">E646*F646</f>
        <v>0</v>
      </c>
      <c r="H646" s="10" t="n">
        <f aca="false">IF(OR(Nonlabor!$L$16="Quote required",Nonlabor!$L$16="Unverified"),G646,0)</f>
        <v>0</v>
      </c>
      <c r="I646" s="10" t="n">
        <f aca="false">IF(Nonlabor!$E$16="Core",0,G646)</f>
        <v>0</v>
      </c>
      <c r="J646" s="23" t="str">
        <f aca="false">Nonlabor!$B$16</f>
        <v>LEGAL</v>
      </c>
    </row>
    <row r="647" customFormat="false" ht="15" hidden="false" customHeight="false" outlineLevel="0" collapsed="false">
      <c r="A647" s="6" t="s">
        <v>72</v>
      </c>
      <c r="B647" s="6" t="s">
        <v>406</v>
      </c>
      <c r="C647" s="6" t="n">
        <v>42</v>
      </c>
      <c r="D647" s="25" t="n">
        <f aca="false">EDATE('Start Here'!$B$6,C647-1)</f>
        <v>47574</v>
      </c>
      <c r="E647" s="23" t="n">
        <f aca="false">IF(AND(OR(Nonlabor!$D$16="Both",Nonlabor!$D$16='Start Here'!$B$9),IF(Nonlabor!$E$16="Core",1,IF(Nonlabor!$E$16="AI",'Start Here'!$B$7,'Start Here'!$B$8))=1,C647&gt;=IF(Nonlabor!$E$16="Core",Nonlabor!$F$16,MAX(Nonlabor!$F$16,IF(Nonlabor!$E$16="AI",Assumptions!$C$24,Assumptions!$C$25))),C647&lt;=Nonlabor!$G$16,OR(Nonlabor!$H$16="Monthly",AND(Nonlabor!$H$16="Once",C647=IF(Nonlabor!$E$16="Core",Nonlabor!$F$16,MAX(Nonlabor!$F$16,IF(Nonlabor!$E$16="AI",Assumptions!$C$24,Assumptions!$C$25)))),AND(Nonlabor!$H$16="Annual",MOD(C647-IF(Nonlabor!$E$16="Core",Nonlabor!$F$16,MAX(Nonlabor!$F$16,IF(Nonlabor!$E$16="AI",Assumptions!$C$24,Assumptions!$C$25))),12)=0))),IF(Nonlabor!$I$16="Fixed",1,IF(Nonlabor!$I$16="Seats",ROUNDUP('Monthly Lean'!I47,0),IF(Nonlabor!$I$16="Customers",'Monthly Lean'!D47,IF(Nonlabor!$I$16="NewCustomers",'Monthly Lean'!C47,IF(Nonlabor!$I$16="StorageGB",'Monthly Lean'!G47,IF(Nonlabor!$I$16="LogGB",'Monthly Lean'!H47,IF(Nonlabor!$I$16="RequestsM",'Monthly Lean'!F47,IF(Nonlabor!$I$16="InputM",'Monthly Lean'!D47*Assumptions!$C$22/1000000,IF(Nonlabor!$I$16="OutputM",'Monthly Lean'!D47*Assumptions!$C$23/1000000,0))))))))),0)</f>
        <v>0</v>
      </c>
      <c r="F647" s="10" t="n">
        <f aca="false">Nonlabor!$J$16*(1+Assumptions!$C$9)^INT((C647-1)/12)</f>
        <v>13112.724</v>
      </c>
      <c r="G647" s="10" t="n">
        <f aca="false">E647*F647</f>
        <v>0</v>
      </c>
      <c r="H647" s="10" t="n">
        <f aca="false">IF(OR(Nonlabor!$L$16="Quote required",Nonlabor!$L$16="Unverified"),G647,0)</f>
        <v>0</v>
      </c>
      <c r="I647" s="10" t="n">
        <f aca="false">IF(Nonlabor!$E$16="Core",0,G647)</f>
        <v>0</v>
      </c>
      <c r="J647" s="23" t="str">
        <f aca="false">Nonlabor!$B$16</f>
        <v>LEGAL</v>
      </c>
    </row>
    <row r="648" customFormat="false" ht="15" hidden="false" customHeight="false" outlineLevel="0" collapsed="false">
      <c r="A648" s="6" t="s">
        <v>72</v>
      </c>
      <c r="B648" s="6" t="s">
        <v>406</v>
      </c>
      <c r="C648" s="6" t="n">
        <v>43</v>
      </c>
      <c r="D648" s="25" t="n">
        <f aca="false">EDATE('Start Here'!$B$6,C648-1)</f>
        <v>47604</v>
      </c>
      <c r="E648" s="23" t="n">
        <f aca="false">IF(AND(OR(Nonlabor!$D$16="Both",Nonlabor!$D$16='Start Here'!$B$9),IF(Nonlabor!$E$16="Core",1,IF(Nonlabor!$E$16="AI",'Start Here'!$B$7,'Start Here'!$B$8))=1,C648&gt;=IF(Nonlabor!$E$16="Core",Nonlabor!$F$16,MAX(Nonlabor!$F$16,IF(Nonlabor!$E$16="AI",Assumptions!$C$24,Assumptions!$C$25))),C648&lt;=Nonlabor!$G$16,OR(Nonlabor!$H$16="Monthly",AND(Nonlabor!$H$16="Once",C648=IF(Nonlabor!$E$16="Core",Nonlabor!$F$16,MAX(Nonlabor!$F$16,IF(Nonlabor!$E$16="AI",Assumptions!$C$24,Assumptions!$C$25)))),AND(Nonlabor!$H$16="Annual",MOD(C648-IF(Nonlabor!$E$16="Core",Nonlabor!$F$16,MAX(Nonlabor!$F$16,IF(Nonlabor!$E$16="AI",Assumptions!$C$24,Assumptions!$C$25))),12)=0))),IF(Nonlabor!$I$16="Fixed",1,IF(Nonlabor!$I$16="Seats",ROUNDUP('Monthly Lean'!I48,0),IF(Nonlabor!$I$16="Customers",'Monthly Lean'!D48,IF(Nonlabor!$I$16="NewCustomers",'Monthly Lean'!C48,IF(Nonlabor!$I$16="StorageGB",'Monthly Lean'!G48,IF(Nonlabor!$I$16="LogGB",'Monthly Lean'!H48,IF(Nonlabor!$I$16="RequestsM",'Monthly Lean'!F48,IF(Nonlabor!$I$16="InputM",'Monthly Lean'!D48*Assumptions!$C$22/1000000,IF(Nonlabor!$I$16="OutputM",'Monthly Lean'!D48*Assumptions!$C$23/1000000,0))))))))),0)</f>
        <v>0</v>
      </c>
      <c r="F648" s="10" t="n">
        <f aca="false">Nonlabor!$J$16*(1+Assumptions!$C$9)^INT((C648-1)/12)</f>
        <v>13112.724</v>
      </c>
      <c r="G648" s="10" t="n">
        <f aca="false">E648*F648</f>
        <v>0</v>
      </c>
      <c r="H648" s="10" t="n">
        <f aca="false">IF(OR(Nonlabor!$L$16="Quote required",Nonlabor!$L$16="Unverified"),G648,0)</f>
        <v>0</v>
      </c>
      <c r="I648" s="10" t="n">
        <f aca="false">IF(Nonlabor!$E$16="Core",0,G648)</f>
        <v>0</v>
      </c>
      <c r="J648" s="23" t="str">
        <f aca="false">Nonlabor!$B$16</f>
        <v>LEGAL</v>
      </c>
    </row>
    <row r="649" customFormat="false" ht="15" hidden="false" customHeight="false" outlineLevel="0" collapsed="false">
      <c r="A649" s="6" t="s">
        <v>72</v>
      </c>
      <c r="B649" s="6" t="s">
        <v>406</v>
      </c>
      <c r="C649" s="6" t="n">
        <v>44</v>
      </c>
      <c r="D649" s="25" t="n">
        <f aca="false">EDATE('Start Here'!$B$6,C649-1)</f>
        <v>47635</v>
      </c>
      <c r="E649" s="23" t="n">
        <f aca="false">IF(AND(OR(Nonlabor!$D$16="Both",Nonlabor!$D$16='Start Here'!$B$9),IF(Nonlabor!$E$16="Core",1,IF(Nonlabor!$E$16="AI",'Start Here'!$B$7,'Start Here'!$B$8))=1,C649&gt;=IF(Nonlabor!$E$16="Core",Nonlabor!$F$16,MAX(Nonlabor!$F$16,IF(Nonlabor!$E$16="AI",Assumptions!$C$24,Assumptions!$C$25))),C649&lt;=Nonlabor!$G$16,OR(Nonlabor!$H$16="Monthly",AND(Nonlabor!$H$16="Once",C649=IF(Nonlabor!$E$16="Core",Nonlabor!$F$16,MAX(Nonlabor!$F$16,IF(Nonlabor!$E$16="AI",Assumptions!$C$24,Assumptions!$C$25)))),AND(Nonlabor!$H$16="Annual",MOD(C649-IF(Nonlabor!$E$16="Core",Nonlabor!$F$16,MAX(Nonlabor!$F$16,IF(Nonlabor!$E$16="AI",Assumptions!$C$24,Assumptions!$C$25))),12)=0))),IF(Nonlabor!$I$16="Fixed",1,IF(Nonlabor!$I$16="Seats",ROUNDUP('Monthly Lean'!I49,0),IF(Nonlabor!$I$16="Customers",'Monthly Lean'!D49,IF(Nonlabor!$I$16="NewCustomers",'Monthly Lean'!C49,IF(Nonlabor!$I$16="StorageGB",'Monthly Lean'!G49,IF(Nonlabor!$I$16="LogGB",'Monthly Lean'!H49,IF(Nonlabor!$I$16="RequestsM",'Monthly Lean'!F49,IF(Nonlabor!$I$16="InputM",'Monthly Lean'!D49*Assumptions!$C$22/1000000,IF(Nonlabor!$I$16="OutputM",'Monthly Lean'!D49*Assumptions!$C$23/1000000,0))))))))),0)</f>
        <v>0</v>
      </c>
      <c r="F649" s="10" t="n">
        <f aca="false">Nonlabor!$J$16*(1+Assumptions!$C$9)^INT((C649-1)/12)</f>
        <v>13112.724</v>
      </c>
      <c r="G649" s="10" t="n">
        <f aca="false">E649*F649</f>
        <v>0</v>
      </c>
      <c r="H649" s="10" t="n">
        <f aca="false">IF(OR(Nonlabor!$L$16="Quote required",Nonlabor!$L$16="Unverified"),G649,0)</f>
        <v>0</v>
      </c>
      <c r="I649" s="10" t="n">
        <f aca="false">IF(Nonlabor!$E$16="Core",0,G649)</f>
        <v>0</v>
      </c>
      <c r="J649" s="23" t="str">
        <f aca="false">Nonlabor!$B$16</f>
        <v>LEGAL</v>
      </c>
    </row>
    <row r="650" customFormat="false" ht="15" hidden="false" customHeight="false" outlineLevel="0" collapsed="false">
      <c r="A650" s="6" t="s">
        <v>72</v>
      </c>
      <c r="B650" s="6" t="s">
        <v>406</v>
      </c>
      <c r="C650" s="6" t="n">
        <v>45</v>
      </c>
      <c r="D650" s="25" t="n">
        <f aca="false">EDATE('Start Here'!$B$6,C650-1)</f>
        <v>47665</v>
      </c>
      <c r="E650" s="23" t="n">
        <f aca="false">IF(AND(OR(Nonlabor!$D$16="Both",Nonlabor!$D$16='Start Here'!$B$9),IF(Nonlabor!$E$16="Core",1,IF(Nonlabor!$E$16="AI",'Start Here'!$B$7,'Start Here'!$B$8))=1,C650&gt;=IF(Nonlabor!$E$16="Core",Nonlabor!$F$16,MAX(Nonlabor!$F$16,IF(Nonlabor!$E$16="AI",Assumptions!$C$24,Assumptions!$C$25))),C650&lt;=Nonlabor!$G$16,OR(Nonlabor!$H$16="Monthly",AND(Nonlabor!$H$16="Once",C650=IF(Nonlabor!$E$16="Core",Nonlabor!$F$16,MAX(Nonlabor!$F$16,IF(Nonlabor!$E$16="AI",Assumptions!$C$24,Assumptions!$C$25)))),AND(Nonlabor!$H$16="Annual",MOD(C650-IF(Nonlabor!$E$16="Core",Nonlabor!$F$16,MAX(Nonlabor!$F$16,IF(Nonlabor!$E$16="AI",Assumptions!$C$24,Assumptions!$C$25))),12)=0))),IF(Nonlabor!$I$16="Fixed",1,IF(Nonlabor!$I$16="Seats",ROUNDUP('Monthly Lean'!I50,0),IF(Nonlabor!$I$16="Customers",'Monthly Lean'!D50,IF(Nonlabor!$I$16="NewCustomers",'Monthly Lean'!C50,IF(Nonlabor!$I$16="StorageGB",'Monthly Lean'!G50,IF(Nonlabor!$I$16="LogGB",'Monthly Lean'!H50,IF(Nonlabor!$I$16="RequestsM",'Monthly Lean'!F50,IF(Nonlabor!$I$16="InputM",'Monthly Lean'!D50*Assumptions!$C$22/1000000,IF(Nonlabor!$I$16="OutputM",'Monthly Lean'!D50*Assumptions!$C$23/1000000,0))))))))),0)</f>
        <v>0</v>
      </c>
      <c r="F650" s="10" t="n">
        <f aca="false">Nonlabor!$J$16*(1+Assumptions!$C$9)^INT((C650-1)/12)</f>
        <v>13112.724</v>
      </c>
      <c r="G650" s="10" t="n">
        <f aca="false">E650*F650</f>
        <v>0</v>
      </c>
      <c r="H650" s="10" t="n">
        <f aca="false">IF(OR(Nonlabor!$L$16="Quote required",Nonlabor!$L$16="Unverified"),G650,0)</f>
        <v>0</v>
      </c>
      <c r="I650" s="10" t="n">
        <f aca="false">IF(Nonlabor!$E$16="Core",0,G650)</f>
        <v>0</v>
      </c>
      <c r="J650" s="23" t="str">
        <f aca="false">Nonlabor!$B$16</f>
        <v>LEGAL</v>
      </c>
    </row>
    <row r="651" customFormat="false" ht="15" hidden="false" customHeight="false" outlineLevel="0" collapsed="false">
      <c r="A651" s="6" t="s">
        <v>72</v>
      </c>
      <c r="B651" s="6" t="s">
        <v>406</v>
      </c>
      <c r="C651" s="6" t="n">
        <v>46</v>
      </c>
      <c r="D651" s="25" t="n">
        <f aca="false">EDATE('Start Here'!$B$6,C651-1)</f>
        <v>47696</v>
      </c>
      <c r="E651" s="23" t="n">
        <f aca="false">IF(AND(OR(Nonlabor!$D$16="Both",Nonlabor!$D$16='Start Here'!$B$9),IF(Nonlabor!$E$16="Core",1,IF(Nonlabor!$E$16="AI",'Start Here'!$B$7,'Start Here'!$B$8))=1,C651&gt;=IF(Nonlabor!$E$16="Core",Nonlabor!$F$16,MAX(Nonlabor!$F$16,IF(Nonlabor!$E$16="AI",Assumptions!$C$24,Assumptions!$C$25))),C651&lt;=Nonlabor!$G$16,OR(Nonlabor!$H$16="Monthly",AND(Nonlabor!$H$16="Once",C651=IF(Nonlabor!$E$16="Core",Nonlabor!$F$16,MAX(Nonlabor!$F$16,IF(Nonlabor!$E$16="AI",Assumptions!$C$24,Assumptions!$C$25)))),AND(Nonlabor!$H$16="Annual",MOD(C651-IF(Nonlabor!$E$16="Core",Nonlabor!$F$16,MAX(Nonlabor!$F$16,IF(Nonlabor!$E$16="AI",Assumptions!$C$24,Assumptions!$C$25))),12)=0))),IF(Nonlabor!$I$16="Fixed",1,IF(Nonlabor!$I$16="Seats",ROUNDUP('Monthly Lean'!I51,0),IF(Nonlabor!$I$16="Customers",'Monthly Lean'!D51,IF(Nonlabor!$I$16="NewCustomers",'Monthly Lean'!C51,IF(Nonlabor!$I$16="StorageGB",'Monthly Lean'!G51,IF(Nonlabor!$I$16="LogGB",'Monthly Lean'!H51,IF(Nonlabor!$I$16="RequestsM",'Monthly Lean'!F51,IF(Nonlabor!$I$16="InputM",'Monthly Lean'!D51*Assumptions!$C$22/1000000,IF(Nonlabor!$I$16="OutputM",'Monthly Lean'!D51*Assumptions!$C$23/1000000,0))))))))),0)</f>
        <v>0</v>
      </c>
      <c r="F651" s="10" t="n">
        <f aca="false">Nonlabor!$J$16*(1+Assumptions!$C$9)^INT((C651-1)/12)</f>
        <v>13112.724</v>
      </c>
      <c r="G651" s="10" t="n">
        <f aca="false">E651*F651</f>
        <v>0</v>
      </c>
      <c r="H651" s="10" t="n">
        <f aca="false">IF(OR(Nonlabor!$L$16="Quote required",Nonlabor!$L$16="Unverified"),G651,0)</f>
        <v>0</v>
      </c>
      <c r="I651" s="10" t="n">
        <f aca="false">IF(Nonlabor!$E$16="Core",0,G651)</f>
        <v>0</v>
      </c>
      <c r="J651" s="23" t="str">
        <f aca="false">Nonlabor!$B$16</f>
        <v>LEGAL</v>
      </c>
    </row>
    <row r="652" customFormat="false" ht="15" hidden="false" customHeight="false" outlineLevel="0" collapsed="false">
      <c r="A652" s="6" t="s">
        <v>72</v>
      </c>
      <c r="B652" s="6" t="s">
        <v>406</v>
      </c>
      <c r="C652" s="6" t="n">
        <v>47</v>
      </c>
      <c r="D652" s="25" t="n">
        <f aca="false">EDATE('Start Here'!$B$6,C652-1)</f>
        <v>47727</v>
      </c>
      <c r="E652" s="23" t="n">
        <f aca="false">IF(AND(OR(Nonlabor!$D$16="Both",Nonlabor!$D$16='Start Here'!$B$9),IF(Nonlabor!$E$16="Core",1,IF(Nonlabor!$E$16="AI",'Start Here'!$B$7,'Start Here'!$B$8))=1,C652&gt;=IF(Nonlabor!$E$16="Core",Nonlabor!$F$16,MAX(Nonlabor!$F$16,IF(Nonlabor!$E$16="AI",Assumptions!$C$24,Assumptions!$C$25))),C652&lt;=Nonlabor!$G$16,OR(Nonlabor!$H$16="Monthly",AND(Nonlabor!$H$16="Once",C652=IF(Nonlabor!$E$16="Core",Nonlabor!$F$16,MAX(Nonlabor!$F$16,IF(Nonlabor!$E$16="AI",Assumptions!$C$24,Assumptions!$C$25)))),AND(Nonlabor!$H$16="Annual",MOD(C652-IF(Nonlabor!$E$16="Core",Nonlabor!$F$16,MAX(Nonlabor!$F$16,IF(Nonlabor!$E$16="AI",Assumptions!$C$24,Assumptions!$C$25))),12)=0))),IF(Nonlabor!$I$16="Fixed",1,IF(Nonlabor!$I$16="Seats",ROUNDUP('Monthly Lean'!I52,0),IF(Nonlabor!$I$16="Customers",'Monthly Lean'!D52,IF(Nonlabor!$I$16="NewCustomers",'Monthly Lean'!C52,IF(Nonlabor!$I$16="StorageGB",'Monthly Lean'!G52,IF(Nonlabor!$I$16="LogGB",'Monthly Lean'!H52,IF(Nonlabor!$I$16="RequestsM",'Monthly Lean'!F52,IF(Nonlabor!$I$16="InputM",'Monthly Lean'!D52*Assumptions!$C$22/1000000,IF(Nonlabor!$I$16="OutputM",'Monthly Lean'!D52*Assumptions!$C$23/1000000,0))))))))),0)</f>
        <v>0</v>
      </c>
      <c r="F652" s="10" t="n">
        <f aca="false">Nonlabor!$J$16*(1+Assumptions!$C$9)^INT((C652-1)/12)</f>
        <v>13112.724</v>
      </c>
      <c r="G652" s="10" t="n">
        <f aca="false">E652*F652</f>
        <v>0</v>
      </c>
      <c r="H652" s="10" t="n">
        <f aca="false">IF(OR(Nonlabor!$L$16="Quote required",Nonlabor!$L$16="Unverified"),G652,0)</f>
        <v>0</v>
      </c>
      <c r="I652" s="10" t="n">
        <f aca="false">IF(Nonlabor!$E$16="Core",0,G652)</f>
        <v>0</v>
      </c>
      <c r="J652" s="23" t="str">
        <f aca="false">Nonlabor!$B$16</f>
        <v>LEGAL</v>
      </c>
    </row>
    <row r="653" customFormat="false" ht="15" hidden="false" customHeight="false" outlineLevel="0" collapsed="false">
      <c r="A653" s="6" t="s">
        <v>72</v>
      </c>
      <c r="B653" s="6" t="s">
        <v>406</v>
      </c>
      <c r="C653" s="6" t="n">
        <v>48</v>
      </c>
      <c r="D653" s="25" t="n">
        <f aca="false">EDATE('Start Here'!$B$6,C653-1)</f>
        <v>47757</v>
      </c>
      <c r="E653" s="23" t="n">
        <f aca="false">IF(AND(OR(Nonlabor!$D$16="Both",Nonlabor!$D$16='Start Here'!$B$9),IF(Nonlabor!$E$16="Core",1,IF(Nonlabor!$E$16="AI",'Start Here'!$B$7,'Start Here'!$B$8))=1,C653&gt;=IF(Nonlabor!$E$16="Core",Nonlabor!$F$16,MAX(Nonlabor!$F$16,IF(Nonlabor!$E$16="AI",Assumptions!$C$24,Assumptions!$C$25))),C653&lt;=Nonlabor!$G$16,OR(Nonlabor!$H$16="Monthly",AND(Nonlabor!$H$16="Once",C653=IF(Nonlabor!$E$16="Core",Nonlabor!$F$16,MAX(Nonlabor!$F$16,IF(Nonlabor!$E$16="AI",Assumptions!$C$24,Assumptions!$C$25)))),AND(Nonlabor!$H$16="Annual",MOD(C653-IF(Nonlabor!$E$16="Core",Nonlabor!$F$16,MAX(Nonlabor!$F$16,IF(Nonlabor!$E$16="AI",Assumptions!$C$24,Assumptions!$C$25))),12)=0))),IF(Nonlabor!$I$16="Fixed",1,IF(Nonlabor!$I$16="Seats",ROUNDUP('Monthly Lean'!I53,0),IF(Nonlabor!$I$16="Customers",'Monthly Lean'!D53,IF(Nonlabor!$I$16="NewCustomers",'Monthly Lean'!C53,IF(Nonlabor!$I$16="StorageGB",'Monthly Lean'!G53,IF(Nonlabor!$I$16="LogGB",'Monthly Lean'!H53,IF(Nonlabor!$I$16="RequestsM",'Monthly Lean'!F53,IF(Nonlabor!$I$16="InputM",'Monthly Lean'!D53*Assumptions!$C$22/1000000,IF(Nonlabor!$I$16="OutputM",'Monthly Lean'!D53*Assumptions!$C$23/1000000,0))))))))),0)</f>
        <v>0</v>
      </c>
      <c r="F653" s="10" t="n">
        <f aca="false">Nonlabor!$J$16*(1+Assumptions!$C$9)^INT((C653-1)/12)</f>
        <v>13112.724</v>
      </c>
      <c r="G653" s="10" t="n">
        <f aca="false">E653*F653</f>
        <v>0</v>
      </c>
      <c r="H653" s="10" t="n">
        <f aca="false">IF(OR(Nonlabor!$L$16="Quote required",Nonlabor!$L$16="Unverified"),G653,0)</f>
        <v>0</v>
      </c>
      <c r="I653" s="10" t="n">
        <f aca="false">IF(Nonlabor!$E$16="Core",0,G653)</f>
        <v>0</v>
      </c>
      <c r="J653" s="23" t="str">
        <f aca="false">Nonlabor!$B$16</f>
        <v>LEGAL</v>
      </c>
    </row>
    <row r="654" customFormat="false" ht="15" hidden="false" customHeight="false" outlineLevel="0" collapsed="false">
      <c r="A654" s="6" t="s">
        <v>72</v>
      </c>
      <c r="B654" s="6" t="s">
        <v>406</v>
      </c>
      <c r="C654" s="6" t="n">
        <v>49</v>
      </c>
      <c r="D654" s="25" t="n">
        <f aca="false">EDATE('Start Here'!$B$6,C654-1)</f>
        <v>47788</v>
      </c>
      <c r="E654" s="23" t="n">
        <f aca="false">IF(AND(OR(Nonlabor!$D$16="Both",Nonlabor!$D$16='Start Here'!$B$9),IF(Nonlabor!$E$16="Core",1,IF(Nonlabor!$E$16="AI",'Start Here'!$B$7,'Start Here'!$B$8))=1,C654&gt;=IF(Nonlabor!$E$16="Core",Nonlabor!$F$16,MAX(Nonlabor!$F$16,IF(Nonlabor!$E$16="AI",Assumptions!$C$24,Assumptions!$C$25))),C654&lt;=Nonlabor!$G$16,OR(Nonlabor!$H$16="Monthly",AND(Nonlabor!$H$16="Once",C654=IF(Nonlabor!$E$16="Core",Nonlabor!$F$16,MAX(Nonlabor!$F$16,IF(Nonlabor!$E$16="AI",Assumptions!$C$24,Assumptions!$C$25)))),AND(Nonlabor!$H$16="Annual",MOD(C654-IF(Nonlabor!$E$16="Core",Nonlabor!$F$16,MAX(Nonlabor!$F$16,IF(Nonlabor!$E$16="AI",Assumptions!$C$24,Assumptions!$C$25))),12)=0))),IF(Nonlabor!$I$16="Fixed",1,IF(Nonlabor!$I$16="Seats",ROUNDUP('Monthly Lean'!I54,0),IF(Nonlabor!$I$16="Customers",'Monthly Lean'!D54,IF(Nonlabor!$I$16="NewCustomers",'Monthly Lean'!C54,IF(Nonlabor!$I$16="StorageGB",'Monthly Lean'!G54,IF(Nonlabor!$I$16="LogGB",'Monthly Lean'!H54,IF(Nonlabor!$I$16="RequestsM",'Monthly Lean'!F54,IF(Nonlabor!$I$16="InputM",'Monthly Lean'!D54*Assumptions!$C$22/1000000,IF(Nonlabor!$I$16="OutputM",'Monthly Lean'!D54*Assumptions!$C$23/1000000,0))))))))),0)</f>
        <v>0</v>
      </c>
      <c r="F654" s="10" t="n">
        <f aca="false">Nonlabor!$J$16*(1+Assumptions!$C$9)^INT((C654-1)/12)</f>
        <v>13506.10572</v>
      </c>
      <c r="G654" s="10" t="n">
        <f aca="false">E654*F654</f>
        <v>0</v>
      </c>
      <c r="H654" s="10" t="n">
        <f aca="false">IF(OR(Nonlabor!$L$16="Quote required",Nonlabor!$L$16="Unverified"),G654,0)</f>
        <v>0</v>
      </c>
      <c r="I654" s="10" t="n">
        <f aca="false">IF(Nonlabor!$E$16="Core",0,G654)</f>
        <v>0</v>
      </c>
      <c r="J654" s="23" t="str">
        <f aca="false">Nonlabor!$B$16</f>
        <v>LEGAL</v>
      </c>
    </row>
    <row r="655" customFormat="false" ht="15" hidden="false" customHeight="false" outlineLevel="0" collapsed="false">
      <c r="A655" s="6" t="s">
        <v>72</v>
      </c>
      <c r="B655" s="6" t="s">
        <v>406</v>
      </c>
      <c r="C655" s="6" t="n">
        <v>50</v>
      </c>
      <c r="D655" s="25" t="n">
        <f aca="false">EDATE('Start Here'!$B$6,C655-1)</f>
        <v>47818</v>
      </c>
      <c r="E655" s="23" t="n">
        <f aca="false">IF(AND(OR(Nonlabor!$D$16="Both",Nonlabor!$D$16='Start Here'!$B$9),IF(Nonlabor!$E$16="Core",1,IF(Nonlabor!$E$16="AI",'Start Here'!$B$7,'Start Here'!$B$8))=1,C655&gt;=IF(Nonlabor!$E$16="Core",Nonlabor!$F$16,MAX(Nonlabor!$F$16,IF(Nonlabor!$E$16="AI",Assumptions!$C$24,Assumptions!$C$25))),C655&lt;=Nonlabor!$G$16,OR(Nonlabor!$H$16="Monthly",AND(Nonlabor!$H$16="Once",C655=IF(Nonlabor!$E$16="Core",Nonlabor!$F$16,MAX(Nonlabor!$F$16,IF(Nonlabor!$E$16="AI",Assumptions!$C$24,Assumptions!$C$25)))),AND(Nonlabor!$H$16="Annual",MOD(C655-IF(Nonlabor!$E$16="Core",Nonlabor!$F$16,MAX(Nonlabor!$F$16,IF(Nonlabor!$E$16="AI",Assumptions!$C$24,Assumptions!$C$25))),12)=0))),IF(Nonlabor!$I$16="Fixed",1,IF(Nonlabor!$I$16="Seats",ROUNDUP('Monthly Lean'!I55,0),IF(Nonlabor!$I$16="Customers",'Monthly Lean'!D55,IF(Nonlabor!$I$16="NewCustomers",'Monthly Lean'!C55,IF(Nonlabor!$I$16="StorageGB",'Monthly Lean'!G55,IF(Nonlabor!$I$16="LogGB",'Monthly Lean'!H55,IF(Nonlabor!$I$16="RequestsM",'Monthly Lean'!F55,IF(Nonlabor!$I$16="InputM",'Monthly Lean'!D55*Assumptions!$C$22/1000000,IF(Nonlabor!$I$16="OutputM",'Monthly Lean'!D55*Assumptions!$C$23/1000000,0))))))))),0)</f>
        <v>1</v>
      </c>
      <c r="F655" s="10" t="n">
        <f aca="false">Nonlabor!$J$16*(1+Assumptions!$C$9)^INT((C655-1)/12)</f>
        <v>13506.10572</v>
      </c>
      <c r="G655" s="10" t="n">
        <f aca="false">E655*F655</f>
        <v>13506.10572</v>
      </c>
      <c r="H655" s="10" t="n">
        <f aca="false">IF(OR(Nonlabor!$L$16="Quote required",Nonlabor!$L$16="Unverified"),G655,0)</f>
        <v>13506.10572</v>
      </c>
      <c r="I655" s="10" t="n">
        <f aca="false">IF(Nonlabor!$E$16="Core",0,G655)</f>
        <v>0</v>
      </c>
      <c r="J655" s="23" t="str">
        <f aca="false">Nonlabor!$B$16</f>
        <v>LEGAL</v>
      </c>
    </row>
    <row r="656" customFormat="false" ht="15" hidden="false" customHeight="false" outlineLevel="0" collapsed="false">
      <c r="A656" s="6" t="s">
        <v>72</v>
      </c>
      <c r="B656" s="6" t="s">
        <v>406</v>
      </c>
      <c r="C656" s="6" t="n">
        <v>51</v>
      </c>
      <c r="D656" s="25" t="n">
        <f aca="false">EDATE('Start Here'!$B$6,C656-1)</f>
        <v>47849</v>
      </c>
      <c r="E656" s="23" t="n">
        <f aca="false">IF(AND(OR(Nonlabor!$D$16="Both",Nonlabor!$D$16='Start Here'!$B$9),IF(Nonlabor!$E$16="Core",1,IF(Nonlabor!$E$16="AI",'Start Here'!$B$7,'Start Here'!$B$8))=1,C656&gt;=IF(Nonlabor!$E$16="Core",Nonlabor!$F$16,MAX(Nonlabor!$F$16,IF(Nonlabor!$E$16="AI",Assumptions!$C$24,Assumptions!$C$25))),C656&lt;=Nonlabor!$G$16,OR(Nonlabor!$H$16="Monthly",AND(Nonlabor!$H$16="Once",C656=IF(Nonlabor!$E$16="Core",Nonlabor!$F$16,MAX(Nonlabor!$F$16,IF(Nonlabor!$E$16="AI",Assumptions!$C$24,Assumptions!$C$25)))),AND(Nonlabor!$H$16="Annual",MOD(C656-IF(Nonlabor!$E$16="Core",Nonlabor!$F$16,MAX(Nonlabor!$F$16,IF(Nonlabor!$E$16="AI",Assumptions!$C$24,Assumptions!$C$25))),12)=0))),IF(Nonlabor!$I$16="Fixed",1,IF(Nonlabor!$I$16="Seats",ROUNDUP('Monthly Lean'!I56,0),IF(Nonlabor!$I$16="Customers",'Monthly Lean'!D56,IF(Nonlabor!$I$16="NewCustomers",'Monthly Lean'!C56,IF(Nonlabor!$I$16="StorageGB",'Monthly Lean'!G56,IF(Nonlabor!$I$16="LogGB",'Monthly Lean'!H56,IF(Nonlabor!$I$16="RequestsM",'Monthly Lean'!F56,IF(Nonlabor!$I$16="InputM",'Monthly Lean'!D56*Assumptions!$C$22/1000000,IF(Nonlabor!$I$16="OutputM",'Monthly Lean'!D56*Assumptions!$C$23/1000000,0))))))))),0)</f>
        <v>0</v>
      </c>
      <c r="F656" s="10" t="n">
        <f aca="false">Nonlabor!$J$16*(1+Assumptions!$C$9)^INT((C656-1)/12)</f>
        <v>13506.10572</v>
      </c>
      <c r="G656" s="10" t="n">
        <f aca="false">E656*F656</f>
        <v>0</v>
      </c>
      <c r="H656" s="10" t="n">
        <f aca="false">IF(OR(Nonlabor!$L$16="Quote required",Nonlabor!$L$16="Unverified"),G656,0)</f>
        <v>0</v>
      </c>
      <c r="I656" s="10" t="n">
        <f aca="false">IF(Nonlabor!$E$16="Core",0,G656)</f>
        <v>0</v>
      </c>
      <c r="J656" s="23" t="str">
        <f aca="false">Nonlabor!$B$16</f>
        <v>LEGAL</v>
      </c>
    </row>
    <row r="657" customFormat="false" ht="15" hidden="false" customHeight="false" outlineLevel="0" collapsed="false">
      <c r="A657" s="6" t="s">
        <v>72</v>
      </c>
      <c r="B657" s="6" t="s">
        <v>406</v>
      </c>
      <c r="C657" s="6" t="n">
        <v>52</v>
      </c>
      <c r="D657" s="25" t="n">
        <f aca="false">EDATE('Start Here'!$B$6,C657-1)</f>
        <v>47880</v>
      </c>
      <c r="E657" s="23" t="n">
        <f aca="false">IF(AND(OR(Nonlabor!$D$16="Both",Nonlabor!$D$16='Start Here'!$B$9),IF(Nonlabor!$E$16="Core",1,IF(Nonlabor!$E$16="AI",'Start Here'!$B$7,'Start Here'!$B$8))=1,C657&gt;=IF(Nonlabor!$E$16="Core",Nonlabor!$F$16,MAX(Nonlabor!$F$16,IF(Nonlabor!$E$16="AI",Assumptions!$C$24,Assumptions!$C$25))),C657&lt;=Nonlabor!$G$16,OR(Nonlabor!$H$16="Monthly",AND(Nonlabor!$H$16="Once",C657=IF(Nonlabor!$E$16="Core",Nonlabor!$F$16,MAX(Nonlabor!$F$16,IF(Nonlabor!$E$16="AI",Assumptions!$C$24,Assumptions!$C$25)))),AND(Nonlabor!$H$16="Annual",MOD(C657-IF(Nonlabor!$E$16="Core",Nonlabor!$F$16,MAX(Nonlabor!$F$16,IF(Nonlabor!$E$16="AI",Assumptions!$C$24,Assumptions!$C$25))),12)=0))),IF(Nonlabor!$I$16="Fixed",1,IF(Nonlabor!$I$16="Seats",ROUNDUP('Monthly Lean'!I57,0),IF(Nonlabor!$I$16="Customers",'Monthly Lean'!D57,IF(Nonlabor!$I$16="NewCustomers",'Monthly Lean'!C57,IF(Nonlabor!$I$16="StorageGB",'Monthly Lean'!G57,IF(Nonlabor!$I$16="LogGB",'Monthly Lean'!H57,IF(Nonlabor!$I$16="RequestsM",'Monthly Lean'!F57,IF(Nonlabor!$I$16="InputM",'Monthly Lean'!D57*Assumptions!$C$22/1000000,IF(Nonlabor!$I$16="OutputM",'Monthly Lean'!D57*Assumptions!$C$23/1000000,0))))))))),0)</f>
        <v>0</v>
      </c>
      <c r="F657" s="10" t="n">
        <f aca="false">Nonlabor!$J$16*(1+Assumptions!$C$9)^INT((C657-1)/12)</f>
        <v>13506.10572</v>
      </c>
      <c r="G657" s="10" t="n">
        <f aca="false">E657*F657</f>
        <v>0</v>
      </c>
      <c r="H657" s="10" t="n">
        <f aca="false">IF(OR(Nonlabor!$L$16="Quote required",Nonlabor!$L$16="Unverified"),G657,0)</f>
        <v>0</v>
      </c>
      <c r="I657" s="10" t="n">
        <f aca="false">IF(Nonlabor!$E$16="Core",0,G657)</f>
        <v>0</v>
      </c>
      <c r="J657" s="23" t="str">
        <f aca="false">Nonlabor!$B$16</f>
        <v>LEGAL</v>
      </c>
    </row>
    <row r="658" customFormat="false" ht="15" hidden="false" customHeight="false" outlineLevel="0" collapsed="false">
      <c r="A658" s="6" t="s">
        <v>72</v>
      </c>
      <c r="B658" s="6" t="s">
        <v>406</v>
      </c>
      <c r="C658" s="6" t="n">
        <v>53</v>
      </c>
      <c r="D658" s="25" t="n">
        <f aca="false">EDATE('Start Here'!$B$6,C658-1)</f>
        <v>47908</v>
      </c>
      <c r="E658" s="23" t="n">
        <f aca="false">IF(AND(OR(Nonlabor!$D$16="Both",Nonlabor!$D$16='Start Here'!$B$9),IF(Nonlabor!$E$16="Core",1,IF(Nonlabor!$E$16="AI",'Start Here'!$B$7,'Start Here'!$B$8))=1,C658&gt;=IF(Nonlabor!$E$16="Core",Nonlabor!$F$16,MAX(Nonlabor!$F$16,IF(Nonlabor!$E$16="AI",Assumptions!$C$24,Assumptions!$C$25))),C658&lt;=Nonlabor!$G$16,OR(Nonlabor!$H$16="Monthly",AND(Nonlabor!$H$16="Once",C658=IF(Nonlabor!$E$16="Core",Nonlabor!$F$16,MAX(Nonlabor!$F$16,IF(Nonlabor!$E$16="AI",Assumptions!$C$24,Assumptions!$C$25)))),AND(Nonlabor!$H$16="Annual",MOD(C658-IF(Nonlabor!$E$16="Core",Nonlabor!$F$16,MAX(Nonlabor!$F$16,IF(Nonlabor!$E$16="AI",Assumptions!$C$24,Assumptions!$C$25))),12)=0))),IF(Nonlabor!$I$16="Fixed",1,IF(Nonlabor!$I$16="Seats",ROUNDUP('Monthly Lean'!I58,0),IF(Nonlabor!$I$16="Customers",'Monthly Lean'!D58,IF(Nonlabor!$I$16="NewCustomers",'Monthly Lean'!C58,IF(Nonlabor!$I$16="StorageGB",'Monthly Lean'!G58,IF(Nonlabor!$I$16="LogGB",'Monthly Lean'!H58,IF(Nonlabor!$I$16="RequestsM",'Monthly Lean'!F58,IF(Nonlabor!$I$16="InputM",'Monthly Lean'!D58*Assumptions!$C$22/1000000,IF(Nonlabor!$I$16="OutputM",'Monthly Lean'!D58*Assumptions!$C$23/1000000,0))))))))),0)</f>
        <v>0</v>
      </c>
      <c r="F658" s="10" t="n">
        <f aca="false">Nonlabor!$J$16*(1+Assumptions!$C$9)^INT((C658-1)/12)</f>
        <v>13506.10572</v>
      </c>
      <c r="G658" s="10" t="n">
        <f aca="false">E658*F658</f>
        <v>0</v>
      </c>
      <c r="H658" s="10" t="n">
        <f aca="false">IF(OR(Nonlabor!$L$16="Quote required",Nonlabor!$L$16="Unverified"),G658,0)</f>
        <v>0</v>
      </c>
      <c r="I658" s="10" t="n">
        <f aca="false">IF(Nonlabor!$E$16="Core",0,G658)</f>
        <v>0</v>
      </c>
      <c r="J658" s="23" t="str">
        <f aca="false">Nonlabor!$B$16</f>
        <v>LEGAL</v>
      </c>
    </row>
    <row r="659" customFormat="false" ht="15" hidden="false" customHeight="false" outlineLevel="0" collapsed="false">
      <c r="A659" s="6" t="s">
        <v>72</v>
      </c>
      <c r="B659" s="6" t="s">
        <v>406</v>
      </c>
      <c r="C659" s="6" t="n">
        <v>54</v>
      </c>
      <c r="D659" s="25" t="n">
        <f aca="false">EDATE('Start Here'!$B$6,C659-1)</f>
        <v>47939</v>
      </c>
      <c r="E659" s="23" t="n">
        <f aca="false">IF(AND(OR(Nonlabor!$D$16="Both",Nonlabor!$D$16='Start Here'!$B$9),IF(Nonlabor!$E$16="Core",1,IF(Nonlabor!$E$16="AI",'Start Here'!$B$7,'Start Here'!$B$8))=1,C659&gt;=IF(Nonlabor!$E$16="Core",Nonlabor!$F$16,MAX(Nonlabor!$F$16,IF(Nonlabor!$E$16="AI",Assumptions!$C$24,Assumptions!$C$25))),C659&lt;=Nonlabor!$G$16,OR(Nonlabor!$H$16="Monthly",AND(Nonlabor!$H$16="Once",C659=IF(Nonlabor!$E$16="Core",Nonlabor!$F$16,MAX(Nonlabor!$F$16,IF(Nonlabor!$E$16="AI",Assumptions!$C$24,Assumptions!$C$25)))),AND(Nonlabor!$H$16="Annual",MOD(C659-IF(Nonlabor!$E$16="Core",Nonlabor!$F$16,MAX(Nonlabor!$F$16,IF(Nonlabor!$E$16="AI",Assumptions!$C$24,Assumptions!$C$25))),12)=0))),IF(Nonlabor!$I$16="Fixed",1,IF(Nonlabor!$I$16="Seats",ROUNDUP('Monthly Lean'!I59,0),IF(Nonlabor!$I$16="Customers",'Monthly Lean'!D59,IF(Nonlabor!$I$16="NewCustomers",'Monthly Lean'!C59,IF(Nonlabor!$I$16="StorageGB",'Monthly Lean'!G59,IF(Nonlabor!$I$16="LogGB",'Monthly Lean'!H59,IF(Nonlabor!$I$16="RequestsM",'Monthly Lean'!F59,IF(Nonlabor!$I$16="InputM",'Monthly Lean'!D59*Assumptions!$C$22/1000000,IF(Nonlabor!$I$16="OutputM",'Monthly Lean'!D59*Assumptions!$C$23/1000000,0))))))))),0)</f>
        <v>0</v>
      </c>
      <c r="F659" s="10" t="n">
        <f aca="false">Nonlabor!$J$16*(1+Assumptions!$C$9)^INT((C659-1)/12)</f>
        <v>13506.10572</v>
      </c>
      <c r="G659" s="10" t="n">
        <f aca="false">E659*F659</f>
        <v>0</v>
      </c>
      <c r="H659" s="10" t="n">
        <f aca="false">IF(OR(Nonlabor!$L$16="Quote required",Nonlabor!$L$16="Unverified"),G659,0)</f>
        <v>0</v>
      </c>
      <c r="I659" s="10" t="n">
        <f aca="false">IF(Nonlabor!$E$16="Core",0,G659)</f>
        <v>0</v>
      </c>
      <c r="J659" s="23" t="str">
        <f aca="false">Nonlabor!$B$16</f>
        <v>LEGAL</v>
      </c>
    </row>
    <row r="660" customFormat="false" ht="15" hidden="false" customHeight="false" outlineLevel="0" collapsed="false">
      <c r="A660" s="6" t="s">
        <v>72</v>
      </c>
      <c r="B660" s="6" t="s">
        <v>406</v>
      </c>
      <c r="C660" s="6" t="n">
        <v>55</v>
      </c>
      <c r="D660" s="25" t="n">
        <f aca="false">EDATE('Start Here'!$B$6,C660-1)</f>
        <v>47969</v>
      </c>
      <c r="E660" s="23" t="n">
        <f aca="false">IF(AND(OR(Nonlabor!$D$16="Both",Nonlabor!$D$16='Start Here'!$B$9),IF(Nonlabor!$E$16="Core",1,IF(Nonlabor!$E$16="AI",'Start Here'!$B$7,'Start Here'!$B$8))=1,C660&gt;=IF(Nonlabor!$E$16="Core",Nonlabor!$F$16,MAX(Nonlabor!$F$16,IF(Nonlabor!$E$16="AI",Assumptions!$C$24,Assumptions!$C$25))),C660&lt;=Nonlabor!$G$16,OR(Nonlabor!$H$16="Monthly",AND(Nonlabor!$H$16="Once",C660=IF(Nonlabor!$E$16="Core",Nonlabor!$F$16,MAX(Nonlabor!$F$16,IF(Nonlabor!$E$16="AI",Assumptions!$C$24,Assumptions!$C$25)))),AND(Nonlabor!$H$16="Annual",MOD(C660-IF(Nonlabor!$E$16="Core",Nonlabor!$F$16,MAX(Nonlabor!$F$16,IF(Nonlabor!$E$16="AI",Assumptions!$C$24,Assumptions!$C$25))),12)=0))),IF(Nonlabor!$I$16="Fixed",1,IF(Nonlabor!$I$16="Seats",ROUNDUP('Monthly Lean'!I60,0),IF(Nonlabor!$I$16="Customers",'Monthly Lean'!D60,IF(Nonlabor!$I$16="NewCustomers",'Monthly Lean'!C60,IF(Nonlabor!$I$16="StorageGB",'Monthly Lean'!G60,IF(Nonlabor!$I$16="LogGB",'Monthly Lean'!H60,IF(Nonlabor!$I$16="RequestsM",'Monthly Lean'!F60,IF(Nonlabor!$I$16="InputM",'Monthly Lean'!D60*Assumptions!$C$22/1000000,IF(Nonlabor!$I$16="OutputM",'Monthly Lean'!D60*Assumptions!$C$23/1000000,0))))))))),0)</f>
        <v>0</v>
      </c>
      <c r="F660" s="10" t="n">
        <f aca="false">Nonlabor!$J$16*(1+Assumptions!$C$9)^INT((C660-1)/12)</f>
        <v>13506.10572</v>
      </c>
      <c r="G660" s="10" t="n">
        <f aca="false">E660*F660</f>
        <v>0</v>
      </c>
      <c r="H660" s="10" t="n">
        <f aca="false">IF(OR(Nonlabor!$L$16="Quote required",Nonlabor!$L$16="Unverified"),G660,0)</f>
        <v>0</v>
      </c>
      <c r="I660" s="10" t="n">
        <f aca="false">IF(Nonlabor!$E$16="Core",0,G660)</f>
        <v>0</v>
      </c>
      <c r="J660" s="23" t="str">
        <f aca="false">Nonlabor!$B$16</f>
        <v>LEGAL</v>
      </c>
    </row>
    <row r="661" customFormat="false" ht="15" hidden="false" customHeight="false" outlineLevel="0" collapsed="false">
      <c r="A661" s="6" t="s">
        <v>72</v>
      </c>
      <c r="B661" s="6" t="s">
        <v>406</v>
      </c>
      <c r="C661" s="6" t="n">
        <v>56</v>
      </c>
      <c r="D661" s="25" t="n">
        <f aca="false">EDATE('Start Here'!$B$6,C661-1)</f>
        <v>48000</v>
      </c>
      <c r="E661" s="23" t="n">
        <f aca="false">IF(AND(OR(Nonlabor!$D$16="Both",Nonlabor!$D$16='Start Here'!$B$9),IF(Nonlabor!$E$16="Core",1,IF(Nonlabor!$E$16="AI",'Start Here'!$B$7,'Start Here'!$B$8))=1,C661&gt;=IF(Nonlabor!$E$16="Core",Nonlabor!$F$16,MAX(Nonlabor!$F$16,IF(Nonlabor!$E$16="AI",Assumptions!$C$24,Assumptions!$C$25))),C661&lt;=Nonlabor!$G$16,OR(Nonlabor!$H$16="Monthly",AND(Nonlabor!$H$16="Once",C661=IF(Nonlabor!$E$16="Core",Nonlabor!$F$16,MAX(Nonlabor!$F$16,IF(Nonlabor!$E$16="AI",Assumptions!$C$24,Assumptions!$C$25)))),AND(Nonlabor!$H$16="Annual",MOD(C661-IF(Nonlabor!$E$16="Core",Nonlabor!$F$16,MAX(Nonlabor!$F$16,IF(Nonlabor!$E$16="AI",Assumptions!$C$24,Assumptions!$C$25))),12)=0))),IF(Nonlabor!$I$16="Fixed",1,IF(Nonlabor!$I$16="Seats",ROUNDUP('Monthly Lean'!I61,0),IF(Nonlabor!$I$16="Customers",'Monthly Lean'!D61,IF(Nonlabor!$I$16="NewCustomers",'Monthly Lean'!C61,IF(Nonlabor!$I$16="StorageGB",'Monthly Lean'!G61,IF(Nonlabor!$I$16="LogGB",'Monthly Lean'!H61,IF(Nonlabor!$I$16="RequestsM",'Monthly Lean'!F61,IF(Nonlabor!$I$16="InputM",'Monthly Lean'!D61*Assumptions!$C$22/1000000,IF(Nonlabor!$I$16="OutputM",'Monthly Lean'!D61*Assumptions!$C$23/1000000,0))))))))),0)</f>
        <v>0</v>
      </c>
      <c r="F661" s="10" t="n">
        <f aca="false">Nonlabor!$J$16*(1+Assumptions!$C$9)^INT((C661-1)/12)</f>
        <v>13506.10572</v>
      </c>
      <c r="G661" s="10" t="n">
        <f aca="false">E661*F661</f>
        <v>0</v>
      </c>
      <c r="H661" s="10" t="n">
        <f aca="false">IF(OR(Nonlabor!$L$16="Quote required",Nonlabor!$L$16="Unverified"),G661,0)</f>
        <v>0</v>
      </c>
      <c r="I661" s="10" t="n">
        <f aca="false">IF(Nonlabor!$E$16="Core",0,G661)</f>
        <v>0</v>
      </c>
      <c r="J661" s="23" t="str">
        <f aca="false">Nonlabor!$B$16</f>
        <v>LEGAL</v>
      </c>
    </row>
    <row r="662" customFormat="false" ht="15" hidden="false" customHeight="false" outlineLevel="0" collapsed="false">
      <c r="A662" s="6" t="s">
        <v>72</v>
      </c>
      <c r="B662" s="6" t="s">
        <v>406</v>
      </c>
      <c r="C662" s="6" t="n">
        <v>57</v>
      </c>
      <c r="D662" s="25" t="n">
        <f aca="false">EDATE('Start Here'!$B$6,C662-1)</f>
        <v>48030</v>
      </c>
      <c r="E662" s="23" t="n">
        <f aca="false">IF(AND(OR(Nonlabor!$D$16="Both",Nonlabor!$D$16='Start Here'!$B$9),IF(Nonlabor!$E$16="Core",1,IF(Nonlabor!$E$16="AI",'Start Here'!$B$7,'Start Here'!$B$8))=1,C662&gt;=IF(Nonlabor!$E$16="Core",Nonlabor!$F$16,MAX(Nonlabor!$F$16,IF(Nonlabor!$E$16="AI",Assumptions!$C$24,Assumptions!$C$25))),C662&lt;=Nonlabor!$G$16,OR(Nonlabor!$H$16="Monthly",AND(Nonlabor!$H$16="Once",C662=IF(Nonlabor!$E$16="Core",Nonlabor!$F$16,MAX(Nonlabor!$F$16,IF(Nonlabor!$E$16="AI",Assumptions!$C$24,Assumptions!$C$25)))),AND(Nonlabor!$H$16="Annual",MOD(C662-IF(Nonlabor!$E$16="Core",Nonlabor!$F$16,MAX(Nonlabor!$F$16,IF(Nonlabor!$E$16="AI",Assumptions!$C$24,Assumptions!$C$25))),12)=0))),IF(Nonlabor!$I$16="Fixed",1,IF(Nonlabor!$I$16="Seats",ROUNDUP('Monthly Lean'!I62,0),IF(Nonlabor!$I$16="Customers",'Monthly Lean'!D62,IF(Nonlabor!$I$16="NewCustomers",'Monthly Lean'!C62,IF(Nonlabor!$I$16="StorageGB",'Monthly Lean'!G62,IF(Nonlabor!$I$16="LogGB",'Monthly Lean'!H62,IF(Nonlabor!$I$16="RequestsM",'Monthly Lean'!F62,IF(Nonlabor!$I$16="InputM",'Monthly Lean'!D62*Assumptions!$C$22/1000000,IF(Nonlabor!$I$16="OutputM",'Monthly Lean'!D62*Assumptions!$C$23/1000000,0))))))))),0)</f>
        <v>0</v>
      </c>
      <c r="F662" s="10" t="n">
        <f aca="false">Nonlabor!$J$16*(1+Assumptions!$C$9)^INT((C662-1)/12)</f>
        <v>13506.10572</v>
      </c>
      <c r="G662" s="10" t="n">
        <f aca="false">E662*F662</f>
        <v>0</v>
      </c>
      <c r="H662" s="10" t="n">
        <f aca="false">IF(OR(Nonlabor!$L$16="Quote required",Nonlabor!$L$16="Unverified"),G662,0)</f>
        <v>0</v>
      </c>
      <c r="I662" s="10" t="n">
        <f aca="false">IF(Nonlabor!$E$16="Core",0,G662)</f>
        <v>0</v>
      </c>
      <c r="J662" s="23" t="str">
        <f aca="false">Nonlabor!$B$16</f>
        <v>LEGAL</v>
      </c>
    </row>
    <row r="663" customFormat="false" ht="15" hidden="false" customHeight="false" outlineLevel="0" collapsed="false">
      <c r="A663" s="6" t="s">
        <v>72</v>
      </c>
      <c r="B663" s="6" t="s">
        <v>406</v>
      </c>
      <c r="C663" s="6" t="n">
        <v>58</v>
      </c>
      <c r="D663" s="25" t="n">
        <f aca="false">EDATE('Start Here'!$B$6,C663-1)</f>
        <v>48061</v>
      </c>
      <c r="E663" s="23" t="n">
        <f aca="false">IF(AND(OR(Nonlabor!$D$16="Both",Nonlabor!$D$16='Start Here'!$B$9),IF(Nonlabor!$E$16="Core",1,IF(Nonlabor!$E$16="AI",'Start Here'!$B$7,'Start Here'!$B$8))=1,C663&gt;=IF(Nonlabor!$E$16="Core",Nonlabor!$F$16,MAX(Nonlabor!$F$16,IF(Nonlabor!$E$16="AI",Assumptions!$C$24,Assumptions!$C$25))),C663&lt;=Nonlabor!$G$16,OR(Nonlabor!$H$16="Monthly",AND(Nonlabor!$H$16="Once",C663=IF(Nonlabor!$E$16="Core",Nonlabor!$F$16,MAX(Nonlabor!$F$16,IF(Nonlabor!$E$16="AI",Assumptions!$C$24,Assumptions!$C$25)))),AND(Nonlabor!$H$16="Annual",MOD(C663-IF(Nonlabor!$E$16="Core",Nonlabor!$F$16,MAX(Nonlabor!$F$16,IF(Nonlabor!$E$16="AI",Assumptions!$C$24,Assumptions!$C$25))),12)=0))),IF(Nonlabor!$I$16="Fixed",1,IF(Nonlabor!$I$16="Seats",ROUNDUP('Monthly Lean'!I63,0),IF(Nonlabor!$I$16="Customers",'Monthly Lean'!D63,IF(Nonlabor!$I$16="NewCustomers",'Monthly Lean'!C63,IF(Nonlabor!$I$16="StorageGB",'Monthly Lean'!G63,IF(Nonlabor!$I$16="LogGB",'Monthly Lean'!H63,IF(Nonlabor!$I$16="RequestsM",'Monthly Lean'!F63,IF(Nonlabor!$I$16="InputM",'Monthly Lean'!D63*Assumptions!$C$22/1000000,IF(Nonlabor!$I$16="OutputM",'Monthly Lean'!D63*Assumptions!$C$23/1000000,0))))))))),0)</f>
        <v>0</v>
      </c>
      <c r="F663" s="10" t="n">
        <f aca="false">Nonlabor!$J$16*(1+Assumptions!$C$9)^INT((C663-1)/12)</f>
        <v>13506.10572</v>
      </c>
      <c r="G663" s="10" t="n">
        <f aca="false">E663*F663</f>
        <v>0</v>
      </c>
      <c r="H663" s="10" t="n">
        <f aca="false">IF(OR(Nonlabor!$L$16="Quote required",Nonlabor!$L$16="Unverified"),G663,0)</f>
        <v>0</v>
      </c>
      <c r="I663" s="10" t="n">
        <f aca="false">IF(Nonlabor!$E$16="Core",0,G663)</f>
        <v>0</v>
      </c>
      <c r="J663" s="23" t="str">
        <f aca="false">Nonlabor!$B$16</f>
        <v>LEGAL</v>
      </c>
    </row>
    <row r="664" customFormat="false" ht="15" hidden="false" customHeight="false" outlineLevel="0" collapsed="false">
      <c r="A664" s="6" t="s">
        <v>72</v>
      </c>
      <c r="B664" s="6" t="s">
        <v>406</v>
      </c>
      <c r="C664" s="6" t="n">
        <v>59</v>
      </c>
      <c r="D664" s="25" t="n">
        <f aca="false">EDATE('Start Here'!$B$6,C664-1)</f>
        <v>48092</v>
      </c>
      <c r="E664" s="23" t="n">
        <f aca="false">IF(AND(OR(Nonlabor!$D$16="Both",Nonlabor!$D$16='Start Here'!$B$9),IF(Nonlabor!$E$16="Core",1,IF(Nonlabor!$E$16="AI",'Start Here'!$B$7,'Start Here'!$B$8))=1,C664&gt;=IF(Nonlabor!$E$16="Core",Nonlabor!$F$16,MAX(Nonlabor!$F$16,IF(Nonlabor!$E$16="AI",Assumptions!$C$24,Assumptions!$C$25))),C664&lt;=Nonlabor!$G$16,OR(Nonlabor!$H$16="Monthly",AND(Nonlabor!$H$16="Once",C664=IF(Nonlabor!$E$16="Core",Nonlabor!$F$16,MAX(Nonlabor!$F$16,IF(Nonlabor!$E$16="AI",Assumptions!$C$24,Assumptions!$C$25)))),AND(Nonlabor!$H$16="Annual",MOD(C664-IF(Nonlabor!$E$16="Core",Nonlabor!$F$16,MAX(Nonlabor!$F$16,IF(Nonlabor!$E$16="AI",Assumptions!$C$24,Assumptions!$C$25))),12)=0))),IF(Nonlabor!$I$16="Fixed",1,IF(Nonlabor!$I$16="Seats",ROUNDUP('Monthly Lean'!I64,0),IF(Nonlabor!$I$16="Customers",'Monthly Lean'!D64,IF(Nonlabor!$I$16="NewCustomers",'Monthly Lean'!C64,IF(Nonlabor!$I$16="StorageGB",'Monthly Lean'!G64,IF(Nonlabor!$I$16="LogGB",'Monthly Lean'!H64,IF(Nonlabor!$I$16="RequestsM",'Monthly Lean'!F64,IF(Nonlabor!$I$16="InputM",'Monthly Lean'!D64*Assumptions!$C$22/1000000,IF(Nonlabor!$I$16="OutputM",'Monthly Lean'!D64*Assumptions!$C$23/1000000,0))))))))),0)</f>
        <v>0</v>
      </c>
      <c r="F664" s="10" t="n">
        <f aca="false">Nonlabor!$J$16*(1+Assumptions!$C$9)^INT((C664-1)/12)</f>
        <v>13506.10572</v>
      </c>
      <c r="G664" s="10" t="n">
        <f aca="false">E664*F664</f>
        <v>0</v>
      </c>
      <c r="H664" s="10" t="n">
        <f aca="false">IF(OR(Nonlabor!$L$16="Quote required",Nonlabor!$L$16="Unverified"),G664,0)</f>
        <v>0</v>
      </c>
      <c r="I664" s="10" t="n">
        <f aca="false">IF(Nonlabor!$E$16="Core",0,G664)</f>
        <v>0</v>
      </c>
      <c r="J664" s="23" t="str">
        <f aca="false">Nonlabor!$B$16</f>
        <v>LEGAL</v>
      </c>
    </row>
    <row r="665" customFormat="false" ht="15" hidden="false" customHeight="false" outlineLevel="0" collapsed="false">
      <c r="A665" s="6" t="s">
        <v>72</v>
      </c>
      <c r="B665" s="6" t="s">
        <v>406</v>
      </c>
      <c r="C665" s="6" t="n">
        <v>60</v>
      </c>
      <c r="D665" s="25" t="n">
        <f aca="false">EDATE('Start Here'!$B$6,C665-1)</f>
        <v>48122</v>
      </c>
      <c r="E665" s="23" t="n">
        <f aca="false">IF(AND(OR(Nonlabor!$D$16="Both",Nonlabor!$D$16='Start Here'!$B$9),IF(Nonlabor!$E$16="Core",1,IF(Nonlabor!$E$16="AI",'Start Here'!$B$7,'Start Here'!$B$8))=1,C665&gt;=IF(Nonlabor!$E$16="Core",Nonlabor!$F$16,MAX(Nonlabor!$F$16,IF(Nonlabor!$E$16="AI",Assumptions!$C$24,Assumptions!$C$25))),C665&lt;=Nonlabor!$G$16,OR(Nonlabor!$H$16="Monthly",AND(Nonlabor!$H$16="Once",C665=IF(Nonlabor!$E$16="Core",Nonlabor!$F$16,MAX(Nonlabor!$F$16,IF(Nonlabor!$E$16="AI",Assumptions!$C$24,Assumptions!$C$25)))),AND(Nonlabor!$H$16="Annual",MOD(C665-IF(Nonlabor!$E$16="Core",Nonlabor!$F$16,MAX(Nonlabor!$F$16,IF(Nonlabor!$E$16="AI",Assumptions!$C$24,Assumptions!$C$25))),12)=0))),IF(Nonlabor!$I$16="Fixed",1,IF(Nonlabor!$I$16="Seats",ROUNDUP('Monthly Lean'!I65,0),IF(Nonlabor!$I$16="Customers",'Monthly Lean'!D65,IF(Nonlabor!$I$16="NewCustomers",'Monthly Lean'!C65,IF(Nonlabor!$I$16="StorageGB",'Monthly Lean'!G65,IF(Nonlabor!$I$16="LogGB",'Monthly Lean'!H65,IF(Nonlabor!$I$16="RequestsM",'Monthly Lean'!F65,IF(Nonlabor!$I$16="InputM",'Monthly Lean'!D65*Assumptions!$C$22/1000000,IF(Nonlabor!$I$16="OutputM",'Monthly Lean'!D65*Assumptions!$C$23/1000000,0))))))))),0)</f>
        <v>0</v>
      </c>
      <c r="F665" s="10" t="n">
        <f aca="false">Nonlabor!$J$16*(1+Assumptions!$C$9)^INT((C665-1)/12)</f>
        <v>13506.10572</v>
      </c>
      <c r="G665" s="10" t="n">
        <f aca="false">E665*F665</f>
        <v>0</v>
      </c>
      <c r="H665" s="10" t="n">
        <f aca="false">IF(OR(Nonlabor!$L$16="Quote required",Nonlabor!$L$16="Unverified"),G665,0)</f>
        <v>0</v>
      </c>
      <c r="I665" s="10" t="n">
        <f aca="false">IF(Nonlabor!$E$16="Core",0,G665)</f>
        <v>0</v>
      </c>
      <c r="J665" s="23" t="str">
        <f aca="false">Nonlabor!$B$16</f>
        <v>LEGAL</v>
      </c>
    </row>
    <row r="666" customFormat="false" ht="15" hidden="false" customHeight="false" outlineLevel="0" collapsed="false">
      <c r="A666" s="6" t="s">
        <v>72</v>
      </c>
      <c r="B666" s="6" t="s">
        <v>410</v>
      </c>
      <c r="C666" s="6" t="n">
        <v>1</v>
      </c>
      <c r="D666" s="25" t="n">
        <f aca="false">EDATE('Start Here'!$B$6,C666-1)</f>
        <v>46327</v>
      </c>
      <c r="E666" s="23" t="n">
        <f aca="false">IF(AND(OR(Nonlabor!$D$17="Both",Nonlabor!$D$17='Start Here'!$B$9),IF(Nonlabor!$E$17="Core",1,IF(Nonlabor!$E$17="AI",'Start Here'!$B$7,'Start Here'!$B$8))=1,C666&gt;=IF(Nonlabor!$E$17="Core",Nonlabor!$F$17,MAX(Nonlabor!$F$17,IF(Nonlabor!$E$17="AI",Assumptions!$C$24,Assumptions!$C$25))),C666&lt;=Nonlabor!$G$17,OR(Nonlabor!$H$17="Monthly",AND(Nonlabor!$H$17="Once",C666=IF(Nonlabor!$E$17="Core",Nonlabor!$F$17,MAX(Nonlabor!$F$17,IF(Nonlabor!$E$17="AI",Assumptions!$C$24,Assumptions!$C$25)))),AND(Nonlabor!$H$17="Annual",MOD(C666-IF(Nonlabor!$E$17="Core",Nonlabor!$F$17,MAX(Nonlabor!$F$17,IF(Nonlabor!$E$17="AI",Assumptions!$C$24,Assumptions!$C$25))),12)=0))),IF(Nonlabor!$I$17="Fixed",1,IF(Nonlabor!$I$17="Seats",ROUNDUP('Monthly Lean'!I6,0),IF(Nonlabor!$I$17="Customers",'Monthly Lean'!D6,IF(Nonlabor!$I$17="NewCustomers",'Monthly Lean'!C6,IF(Nonlabor!$I$17="StorageGB",'Monthly Lean'!G6,IF(Nonlabor!$I$17="LogGB",'Monthly Lean'!H6,IF(Nonlabor!$I$17="RequestsM",'Monthly Lean'!F6,IF(Nonlabor!$I$17="InputM",'Monthly Lean'!D6*Assumptions!$C$22/1000000,IF(Nonlabor!$I$17="OutputM",'Monthly Lean'!D6*Assumptions!$C$23/1000000,0))))))))),0)</f>
        <v>0</v>
      </c>
      <c r="F666" s="10" t="n">
        <f aca="false">Nonlabor!$J$17*(1+Assumptions!$C$9)^INT((C666-1)/12)</f>
        <v>18000</v>
      </c>
      <c r="G666" s="10" t="n">
        <f aca="false">E666*F666</f>
        <v>0</v>
      </c>
      <c r="H666" s="10" t="n">
        <f aca="false">IF(OR(Nonlabor!$L$17="Quote required",Nonlabor!$L$17="Unverified"),G666,0)</f>
        <v>0</v>
      </c>
      <c r="I666" s="10" t="n">
        <f aca="false">IF(Nonlabor!$E$17="Core",0,G666)</f>
        <v>0</v>
      </c>
      <c r="J666" s="23" t="str">
        <f aca="false">Nonlabor!$B$17</f>
        <v>SECURITY</v>
      </c>
    </row>
    <row r="667" customFormat="false" ht="15" hidden="false" customHeight="false" outlineLevel="0" collapsed="false">
      <c r="A667" s="6" t="s">
        <v>72</v>
      </c>
      <c r="B667" s="6" t="s">
        <v>410</v>
      </c>
      <c r="C667" s="6" t="n">
        <v>2</v>
      </c>
      <c r="D667" s="25" t="n">
        <f aca="false">EDATE('Start Here'!$B$6,C667-1)</f>
        <v>46357</v>
      </c>
      <c r="E667" s="23" t="n">
        <f aca="false">IF(AND(OR(Nonlabor!$D$17="Both",Nonlabor!$D$17='Start Here'!$B$9),IF(Nonlabor!$E$17="Core",1,IF(Nonlabor!$E$17="AI",'Start Here'!$B$7,'Start Here'!$B$8))=1,C667&gt;=IF(Nonlabor!$E$17="Core",Nonlabor!$F$17,MAX(Nonlabor!$F$17,IF(Nonlabor!$E$17="AI",Assumptions!$C$24,Assumptions!$C$25))),C667&lt;=Nonlabor!$G$17,OR(Nonlabor!$H$17="Monthly",AND(Nonlabor!$H$17="Once",C667=IF(Nonlabor!$E$17="Core",Nonlabor!$F$17,MAX(Nonlabor!$F$17,IF(Nonlabor!$E$17="AI",Assumptions!$C$24,Assumptions!$C$25)))),AND(Nonlabor!$H$17="Annual",MOD(C667-IF(Nonlabor!$E$17="Core",Nonlabor!$F$17,MAX(Nonlabor!$F$17,IF(Nonlabor!$E$17="AI",Assumptions!$C$24,Assumptions!$C$25))),12)=0))),IF(Nonlabor!$I$17="Fixed",1,IF(Nonlabor!$I$17="Seats",ROUNDUP('Monthly Lean'!I7,0),IF(Nonlabor!$I$17="Customers",'Monthly Lean'!D7,IF(Nonlabor!$I$17="NewCustomers",'Monthly Lean'!C7,IF(Nonlabor!$I$17="StorageGB",'Monthly Lean'!G7,IF(Nonlabor!$I$17="LogGB",'Monthly Lean'!H7,IF(Nonlabor!$I$17="RequestsM",'Monthly Lean'!F7,IF(Nonlabor!$I$17="InputM",'Monthly Lean'!D7*Assumptions!$C$22/1000000,IF(Nonlabor!$I$17="OutputM",'Monthly Lean'!D7*Assumptions!$C$23/1000000,0))))))))),0)</f>
        <v>0</v>
      </c>
      <c r="F667" s="10" t="n">
        <f aca="false">Nonlabor!$J$17*(1+Assumptions!$C$9)^INT((C667-1)/12)</f>
        <v>18000</v>
      </c>
      <c r="G667" s="10" t="n">
        <f aca="false">E667*F667</f>
        <v>0</v>
      </c>
      <c r="H667" s="10" t="n">
        <f aca="false">IF(OR(Nonlabor!$L$17="Quote required",Nonlabor!$L$17="Unverified"),G667,0)</f>
        <v>0</v>
      </c>
      <c r="I667" s="10" t="n">
        <f aca="false">IF(Nonlabor!$E$17="Core",0,G667)</f>
        <v>0</v>
      </c>
      <c r="J667" s="23" t="str">
        <f aca="false">Nonlabor!$B$17</f>
        <v>SECURITY</v>
      </c>
    </row>
    <row r="668" customFormat="false" ht="15" hidden="false" customHeight="false" outlineLevel="0" collapsed="false">
      <c r="A668" s="6" t="s">
        <v>72</v>
      </c>
      <c r="B668" s="6" t="s">
        <v>410</v>
      </c>
      <c r="C668" s="6" t="n">
        <v>3</v>
      </c>
      <c r="D668" s="25" t="n">
        <f aca="false">EDATE('Start Here'!$B$6,C668-1)</f>
        <v>46388</v>
      </c>
      <c r="E668" s="23" t="n">
        <f aca="false">IF(AND(OR(Nonlabor!$D$17="Both",Nonlabor!$D$17='Start Here'!$B$9),IF(Nonlabor!$E$17="Core",1,IF(Nonlabor!$E$17="AI",'Start Here'!$B$7,'Start Here'!$B$8))=1,C668&gt;=IF(Nonlabor!$E$17="Core",Nonlabor!$F$17,MAX(Nonlabor!$F$17,IF(Nonlabor!$E$17="AI",Assumptions!$C$24,Assumptions!$C$25))),C668&lt;=Nonlabor!$G$17,OR(Nonlabor!$H$17="Monthly",AND(Nonlabor!$H$17="Once",C668=IF(Nonlabor!$E$17="Core",Nonlabor!$F$17,MAX(Nonlabor!$F$17,IF(Nonlabor!$E$17="AI",Assumptions!$C$24,Assumptions!$C$25)))),AND(Nonlabor!$H$17="Annual",MOD(C668-IF(Nonlabor!$E$17="Core",Nonlabor!$F$17,MAX(Nonlabor!$F$17,IF(Nonlabor!$E$17="AI",Assumptions!$C$24,Assumptions!$C$25))),12)=0))),IF(Nonlabor!$I$17="Fixed",1,IF(Nonlabor!$I$17="Seats",ROUNDUP('Monthly Lean'!I8,0),IF(Nonlabor!$I$17="Customers",'Monthly Lean'!D8,IF(Nonlabor!$I$17="NewCustomers",'Monthly Lean'!C8,IF(Nonlabor!$I$17="StorageGB",'Monthly Lean'!G8,IF(Nonlabor!$I$17="LogGB",'Monthly Lean'!H8,IF(Nonlabor!$I$17="RequestsM",'Monthly Lean'!F8,IF(Nonlabor!$I$17="InputM",'Monthly Lean'!D8*Assumptions!$C$22/1000000,IF(Nonlabor!$I$17="OutputM",'Monthly Lean'!D8*Assumptions!$C$23/1000000,0))))))))),0)</f>
        <v>0</v>
      </c>
      <c r="F668" s="10" t="n">
        <f aca="false">Nonlabor!$J$17*(1+Assumptions!$C$9)^INT((C668-1)/12)</f>
        <v>18000</v>
      </c>
      <c r="G668" s="10" t="n">
        <f aca="false">E668*F668</f>
        <v>0</v>
      </c>
      <c r="H668" s="10" t="n">
        <f aca="false">IF(OR(Nonlabor!$L$17="Quote required",Nonlabor!$L$17="Unverified"),G668,0)</f>
        <v>0</v>
      </c>
      <c r="I668" s="10" t="n">
        <f aca="false">IF(Nonlabor!$E$17="Core",0,G668)</f>
        <v>0</v>
      </c>
      <c r="J668" s="23" t="str">
        <f aca="false">Nonlabor!$B$17</f>
        <v>SECURITY</v>
      </c>
    </row>
    <row r="669" customFormat="false" ht="15" hidden="false" customHeight="false" outlineLevel="0" collapsed="false">
      <c r="A669" s="6" t="s">
        <v>72</v>
      </c>
      <c r="B669" s="6" t="s">
        <v>410</v>
      </c>
      <c r="C669" s="6" t="n">
        <v>4</v>
      </c>
      <c r="D669" s="25" t="n">
        <f aca="false">EDATE('Start Here'!$B$6,C669-1)</f>
        <v>46419</v>
      </c>
      <c r="E669" s="23" t="n">
        <f aca="false">IF(AND(OR(Nonlabor!$D$17="Both",Nonlabor!$D$17='Start Here'!$B$9),IF(Nonlabor!$E$17="Core",1,IF(Nonlabor!$E$17="AI",'Start Here'!$B$7,'Start Here'!$B$8))=1,C669&gt;=IF(Nonlabor!$E$17="Core",Nonlabor!$F$17,MAX(Nonlabor!$F$17,IF(Nonlabor!$E$17="AI",Assumptions!$C$24,Assumptions!$C$25))),C669&lt;=Nonlabor!$G$17,OR(Nonlabor!$H$17="Monthly",AND(Nonlabor!$H$17="Once",C669=IF(Nonlabor!$E$17="Core",Nonlabor!$F$17,MAX(Nonlabor!$F$17,IF(Nonlabor!$E$17="AI",Assumptions!$C$24,Assumptions!$C$25)))),AND(Nonlabor!$H$17="Annual",MOD(C669-IF(Nonlabor!$E$17="Core",Nonlabor!$F$17,MAX(Nonlabor!$F$17,IF(Nonlabor!$E$17="AI",Assumptions!$C$24,Assumptions!$C$25))),12)=0))),IF(Nonlabor!$I$17="Fixed",1,IF(Nonlabor!$I$17="Seats",ROUNDUP('Monthly Lean'!I9,0),IF(Nonlabor!$I$17="Customers",'Monthly Lean'!D9,IF(Nonlabor!$I$17="NewCustomers",'Monthly Lean'!C9,IF(Nonlabor!$I$17="StorageGB",'Monthly Lean'!G9,IF(Nonlabor!$I$17="LogGB",'Monthly Lean'!H9,IF(Nonlabor!$I$17="RequestsM",'Monthly Lean'!F9,IF(Nonlabor!$I$17="InputM",'Monthly Lean'!D9*Assumptions!$C$22/1000000,IF(Nonlabor!$I$17="OutputM",'Monthly Lean'!D9*Assumptions!$C$23/1000000,0))))))))),0)</f>
        <v>0</v>
      </c>
      <c r="F669" s="10" t="n">
        <f aca="false">Nonlabor!$J$17*(1+Assumptions!$C$9)^INT((C669-1)/12)</f>
        <v>18000</v>
      </c>
      <c r="G669" s="10" t="n">
        <f aca="false">E669*F669</f>
        <v>0</v>
      </c>
      <c r="H669" s="10" t="n">
        <f aca="false">IF(OR(Nonlabor!$L$17="Quote required",Nonlabor!$L$17="Unverified"),G669,0)</f>
        <v>0</v>
      </c>
      <c r="I669" s="10" t="n">
        <f aca="false">IF(Nonlabor!$E$17="Core",0,G669)</f>
        <v>0</v>
      </c>
      <c r="J669" s="23" t="str">
        <f aca="false">Nonlabor!$B$17</f>
        <v>SECURITY</v>
      </c>
    </row>
    <row r="670" customFormat="false" ht="15" hidden="false" customHeight="false" outlineLevel="0" collapsed="false">
      <c r="A670" s="6" t="s">
        <v>72</v>
      </c>
      <c r="B670" s="6" t="s">
        <v>410</v>
      </c>
      <c r="C670" s="6" t="n">
        <v>5</v>
      </c>
      <c r="D670" s="25" t="n">
        <f aca="false">EDATE('Start Here'!$B$6,C670-1)</f>
        <v>46447</v>
      </c>
      <c r="E670" s="23" t="n">
        <f aca="false">IF(AND(OR(Nonlabor!$D$17="Both",Nonlabor!$D$17='Start Here'!$B$9),IF(Nonlabor!$E$17="Core",1,IF(Nonlabor!$E$17="AI",'Start Here'!$B$7,'Start Here'!$B$8))=1,C670&gt;=IF(Nonlabor!$E$17="Core",Nonlabor!$F$17,MAX(Nonlabor!$F$17,IF(Nonlabor!$E$17="AI",Assumptions!$C$24,Assumptions!$C$25))),C670&lt;=Nonlabor!$G$17,OR(Nonlabor!$H$17="Monthly",AND(Nonlabor!$H$17="Once",C670=IF(Nonlabor!$E$17="Core",Nonlabor!$F$17,MAX(Nonlabor!$F$17,IF(Nonlabor!$E$17="AI",Assumptions!$C$24,Assumptions!$C$25)))),AND(Nonlabor!$H$17="Annual",MOD(C670-IF(Nonlabor!$E$17="Core",Nonlabor!$F$17,MAX(Nonlabor!$F$17,IF(Nonlabor!$E$17="AI",Assumptions!$C$24,Assumptions!$C$25))),12)=0))),IF(Nonlabor!$I$17="Fixed",1,IF(Nonlabor!$I$17="Seats",ROUNDUP('Monthly Lean'!I10,0),IF(Nonlabor!$I$17="Customers",'Monthly Lean'!D10,IF(Nonlabor!$I$17="NewCustomers",'Monthly Lean'!C10,IF(Nonlabor!$I$17="StorageGB",'Monthly Lean'!G10,IF(Nonlabor!$I$17="LogGB",'Monthly Lean'!H10,IF(Nonlabor!$I$17="RequestsM",'Monthly Lean'!F10,IF(Nonlabor!$I$17="InputM",'Monthly Lean'!D10*Assumptions!$C$22/1000000,IF(Nonlabor!$I$17="OutputM",'Monthly Lean'!D10*Assumptions!$C$23/1000000,0))))))))),0)</f>
        <v>0</v>
      </c>
      <c r="F670" s="10" t="n">
        <f aca="false">Nonlabor!$J$17*(1+Assumptions!$C$9)^INT((C670-1)/12)</f>
        <v>18000</v>
      </c>
      <c r="G670" s="10" t="n">
        <f aca="false">E670*F670</f>
        <v>0</v>
      </c>
      <c r="H670" s="10" t="n">
        <f aca="false">IF(OR(Nonlabor!$L$17="Quote required",Nonlabor!$L$17="Unverified"),G670,0)</f>
        <v>0</v>
      </c>
      <c r="I670" s="10" t="n">
        <f aca="false">IF(Nonlabor!$E$17="Core",0,G670)</f>
        <v>0</v>
      </c>
      <c r="J670" s="23" t="str">
        <f aca="false">Nonlabor!$B$17</f>
        <v>SECURITY</v>
      </c>
    </row>
    <row r="671" customFormat="false" ht="15" hidden="false" customHeight="false" outlineLevel="0" collapsed="false">
      <c r="A671" s="6" t="s">
        <v>72</v>
      </c>
      <c r="B671" s="6" t="s">
        <v>410</v>
      </c>
      <c r="C671" s="6" t="n">
        <v>6</v>
      </c>
      <c r="D671" s="25" t="n">
        <f aca="false">EDATE('Start Here'!$B$6,C671-1)</f>
        <v>46478</v>
      </c>
      <c r="E671" s="23" t="n">
        <f aca="false">IF(AND(OR(Nonlabor!$D$17="Both",Nonlabor!$D$17='Start Here'!$B$9),IF(Nonlabor!$E$17="Core",1,IF(Nonlabor!$E$17="AI",'Start Here'!$B$7,'Start Here'!$B$8))=1,C671&gt;=IF(Nonlabor!$E$17="Core",Nonlabor!$F$17,MAX(Nonlabor!$F$17,IF(Nonlabor!$E$17="AI",Assumptions!$C$24,Assumptions!$C$25))),C671&lt;=Nonlabor!$G$17,OR(Nonlabor!$H$17="Monthly",AND(Nonlabor!$H$17="Once",C671=IF(Nonlabor!$E$17="Core",Nonlabor!$F$17,MAX(Nonlabor!$F$17,IF(Nonlabor!$E$17="AI",Assumptions!$C$24,Assumptions!$C$25)))),AND(Nonlabor!$H$17="Annual",MOD(C671-IF(Nonlabor!$E$17="Core",Nonlabor!$F$17,MAX(Nonlabor!$F$17,IF(Nonlabor!$E$17="AI",Assumptions!$C$24,Assumptions!$C$25))),12)=0))),IF(Nonlabor!$I$17="Fixed",1,IF(Nonlabor!$I$17="Seats",ROUNDUP('Monthly Lean'!I11,0),IF(Nonlabor!$I$17="Customers",'Monthly Lean'!D11,IF(Nonlabor!$I$17="NewCustomers",'Monthly Lean'!C11,IF(Nonlabor!$I$17="StorageGB",'Monthly Lean'!G11,IF(Nonlabor!$I$17="LogGB",'Monthly Lean'!H11,IF(Nonlabor!$I$17="RequestsM",'Monthly Lean'!F11,IF(Nonlabor!$I$17="InputM",'Monthly Lean'!D11*Assumptions!$C$22/1000000,IF(Nonlabor!$I$17="OutputM",'Monthly Lean'!D11*Assumptions!$C$23/1000000,0))))))))),0)</f>
        <v>0</v>
      </c>
      <c r="F671" s="10" t="n">
        <f aca="false">Nonlabor!$J$17*(1+Assumptions!$C$9)^INT((C671-1)/12)</f>
        <v>18000</v>
      </c>
      <c r="G671" s="10" t="n">
        <f aca="false">E671*F671</f>
        <v>0</v>
      </c>
      <c r="H671" s="10" t="n">
        <f aca="false">IF(OR(Nonlabor!$L$17="Quote required",Nonlabor!$L$17="Unverified"),G671,0)</f>
        <v>0</v>
      </c>
      <c r="I671" s="10" t="n">
        <f aca="false">IF(Nonlabor!$E$17="Core",0,G671)</f>
        <v>0</v>
      </c>
      <c r="J671" s="23" t="str">
        <f aca="false">Nonlabor!$B$17</f>
        <v>SECURITY</v>
      </c>
    </row>
    <row r="672" customFormat="false" ht="15" hidden="false" customHeight="false" outlineLevel="0" collapsed="false">
      <c r="A672" s="6" t="s">
        <v>72</v>
      </c>
      <c r="B672" s="6" t="s">
        <v>410</v>
      </c>
      <c r="C672" s="6" t="n">
        <v>7</v>
      </c>
      <c r="D672" s="25" t="n">
        <f aca="false">EDATE('Start Here'!$B$6,C672-1)</f>
        <v>46508</v>
      </c>
      <c r="E672" s="23" t="n">
        <f aca="false">IF(AND(OR(Nonlabor!$D$17="Both",Nonlabor!$D$17='Start Here'!$B$9),IF(Nonlabor!$E$17="Core",1,IF(Nonlabor!$E$17="AI",'Start Here'!$B$7,'Start Here'!$B$8))=1,C672&gt;=IF(Nonlabor!$E$17="Core",Nonlabor!$F$17,MAX(Nonlabor!$F$17,IF(Nonlabor!$E$17="AI",Assumptions!$C$24,Assumptions!$C$25))),C672&lt;=Nonlabor!$G$17,OR(Nonlabor!$H$17="Monthly",AND(Nonlabor!$H$17="Once",C672=IF(Nonlabor!$E$17="Core",Nonlabor!$F$17,MAX(Nonlabor!$F$17,IF(Nonlabor!$E$17="AI",Assumptions!$C$24,Assumptions!$C$25)))),AND(Nonlabor!$H$17="Annual",MOD(C672-IF(Nonlabor!$E$17="Core",Nonlabor!$F$17,MAX(Nonlabor!$F$17,IF(Nonlabor!$E$17="AI",Assumptions!$C$24,Assumptions!$C$25))),12)=0))),IF(Nonlabor!$I$17="Fixed",1,IF(Nonlabor!$I$17="Seats",ROUNDUP('Monthly Lean'!I12,0),IF(Nonlabor!$I$17="Customers",'Monthly Lean'!D12,IF(Nonlabor!$I$17="NewCustomers",'Monthly Lean'!C12,IF(Nonlabor!$I$17="StorageGB",'Monthly Lean'!G12,IF(Nonlabor!$I$17="LogGB",'Monthly Lean'!H12,IF(Nonlabor!$I$17="RequestsM",'Monthly Lean'!F12,IF(Nonlabor!$I$17="InputM",'Monthly Lean'!D12*Assumptions!$C$22/1000000,IF(Nonlabor!$I$17="OutputM",'Monthly Lean'!D12*Assumptions!$C$23/1000000,0))))))))),0)</f>
        <v>0</v>
      </c>
      <c r="F672" s="10" t="n">
        <f aca="false">Nonlabor!$J$17*(1+Assumptions!$C$9)^INT((C672-1)/12)</f>
        <v>18000</v>
      </c>
      <c r="G672" s="10" t="n">
        <f aca="false">E672*F672</f>
        <v>0</v>
      </c>
      <c r="H672" s="10" t="n">
        <f aca="false">IF(OR(Nonlabor!$L$17="Quote required",Nonlabor!$L$17="Unverified"),G672,0)</f>
        <v>0</v>
      </c>
      <c r="I672" s="10" t="n">
        <f aca="false">IF(Nonlabor!$E$17="Core",0,G672)</f>
        <v>0</v>
      </c>
      <c r="J672" s="23" t="str">
        <f aca="false">Nonlabor!$B$17</f>
        <v>SECURITY</v>
      </c>
    </row>
    <row r="673" customFormat="false" ht="15" hidden="false" customHeight="false" outlineLevel="0" collapsed="false">
      <c r="A673" s="6" t="s">
        <v>72</v>
      </c>
      <c r="B673" s="6" t="s">
        <v>410</v>
      </c>
      <c r="C673" s="6" t="n">
        <v>8</v>
      </c>
      <c r="D673" s="25" t="n">
        <f aca="false">EDATE('Start Here'!$B$6,C673-1)</f>
        <v>46539</v>
      </c>
      <c r="E673" s="23" t="n">
        <f aca="false">IF(AND(OR(Nonlabor!$D$17="Both",Nonlabor!$D$17='Start Here'!$B$9),IF(Nonlabor!$E$17="Core",1,IF(Nonlabor!$E$17="AI",'Start Here'!$B$7,'Start Here'!$B$8))=1,C673&gt;=IF(Nonlabor!$E$17="Core",Nonlabor!$F$17,MAX(Nonlabor!$F$17,IF(Nonlabor!$E$17="AI",Assumptions!$C$24,Assumptions!$C$25))),C673&lt;=Nonlabor!$G$17,OR(Nonlabor!$H$17="Monthly",AND(Nonlabor!$H$17="Once",C673=IF(Nonlabor!$E$17="Core",Nonlabor!$F$17,MAX(Nonlabor!$F$17,IF(Nonlabor!$E$17="AI",Assumptions!$C$24,Assumptions!$C$25)))),AND(Nonlabor!$H$17="Annual",MOD(C673-IF(Nonlabor!$E$17="Core",Nonlabor!$F$17,MAX(Nonlabor!$F$17,IF(Nonlabor!$E$17="AI",Assumptions!$C$24,Assumptions!$C$25))),12)=0))),IF(Nonlabor!$I$17="Fixed",1,IF(Nonlabor!$I$17="Seats",ROUNDUP('Monthly Lean'!I13,0),IF(Nonlabor!$I$17="Customers",'Monthly Lean'!D13,IF(Nonlabor!$I$17="NewCustomers",'Monthly Lean'!C13,IF(Nonlabor!$I$17="StorageGB",'Monthly Lean'!G13,IF(Nonlabor!$I$17="LogGB",'Monthly Lean'!H13,IF(Nonlabor!$I$17="RequestsM",'Monthly Lean'!F13,IF(Nonlabor!$I$17="InputM",'Monthly Lean'!D13*Assumptions!$C$22/1000000,IF(Nonlabor!$I$17="OutputM",'Monthly Lean'!D13*Assumptions!$C$23/1000000,0))))))))),0)</f>
        <v>0</v>
      </c>
      <c r="F673" s="10" t="n">
        <f aca="false">Nonlabor!$J$17*(1+Assumptions!$C$9)^INT((C673-1)/12)</f>
        <v>18000</v>
      </c>
      <c r="G673" s="10" t="n">
        <f aca="false">E673*F673</f>
        <v>0</v>
      </c>
      <c r="H673" s="10" t="n">
        <f aca="false">IF(OR(Nonlabor!$L$17="Quote required",Nonlabor!$L$17="Unverified"),G673,0)</f>
        <v>0</v>
      </c>
      <c r="I673" s="10" t="n">
        <f aca="false">IF(Nonlabor!$E$17="Core",0,G673)</f>
        <v>0</v>
      </c>
      <c r="J673" s="23" t="str">
        <f aca="false">Nonlabor!$B$17</f>
        <v>SECURITY</v>
      </c>
    </row>
    <row r="674" customFormat="false" ht="15" hidden="false" customHeight="false" outlineLevel="0" collapsed="false">
      <c r="A674" s="6" t="s">
        <v>72</v>
      </c>
      <c r="B674" s="6" t="s">
        <v>410</v>
      </c>
      <c r="C674" s="6" t="n">
        <v>9</v>
      </c>
      <c r="D674" s="25" t="n">
        <f aca="false">EDATE('Start Here'!$B$6,C674-1)</f>
        <v>46569</v>
      </c>
      <c r="E674" s="23" t="n">
        <f aca="false">IF(AND(OR(Nonlabor!$D$17="Both",Nonlabor!$D$17='Start Here'!$B$9),IF(Nonlabor!$E$17="Core",1,IF(Nonlabor!$E$17="AI",'Start Here'!$B$7,'Start Here'!$B$8))=1,C674&gt;=IF(Nonlabor!$E$17="Core",Nonlabor!$F$17,MAX(Nonlabor!$F$17,IF(Nonlabor!$E$17="AI",Assumptions!$C$24,Assumptions!$C$25))),C674&lt;=Nonlabor!$G$17,OR(Nonlabor!$H$17="Monthly",AND(Nonlabor!$H$17="Once",C674=IF(Nonlabor!$E$17="Core",Nonlabor!$F$17,MAX(Nonlabor!$F$17,IF(Nonlabor!$E$17="AI",Assumptions!$C$24,Assumptions!$C$25)))),AND(Nonlabor!$H$17="Annual",MOD(C674-IF(Nonlabor!$E$17="Core",Nonlabor!$F$17,MAX(Nonlabor!$F$17,IF(Nonlabor!$E$17="AI",Assumptions!$C$24,Assumptions!$C$25))),12)=0))),IF(Nonlabor!$I$17="Fixed",1,IF(Nonlabor!$I$17="Seats",ROUNDUP('Monthly Lean'!I14,0),IF(Nonlabor!$I$17="Customers",'Monthly Lean'!D14,IF(Nonlabor!$I$17="NewCustomers",'Monthly Lean'!C14,IF(Nonlabor!$I$17="StorageGB",'Monthly Lean'!G14,IF(Nonlabor!$I$17="LogGB",'Monthly Lean'!H14,IF(Nonlabor!$I$17="RequestsM",'Monthly Lean'!F14,IF(Nonlabor!$I$17="InputM",'Monthly Lean'!D14*Assumptions!$C$22/1000000,IF(Nonlabor!$I$17="OutputM",'Monthly Lean'!D14*Assumptions!$C$23/1000000,0))))))))),0)</f>
        <v>0</v>
      </c>
      <c r="F674" s="10" t="n">
        <f aca="false">Nonlabor!$J$17*(1+Assumptions!$C$9)^INT((C674-1)/12)</f>
        <v>18000</v>
      </c>
      <c r="G674" s="10" t="n">
        <f aca="false">E674*F674</f>
        <v>0</v>
      </c>
      <c r="H674" s="10" t="n">
        <f aca="false">IF(OR(Nonlabor!$L$17="Quote required",Nonlabor!$L$17="Unverified"),G674,0)</f>
        <v>0</v>
      </c>
      <c r="I674" s="10" t="n">
        <f aca="false">IF(Nonlabor!$E$17="Core",0,G674)</f>
        <v>0</v>
      </c>
      <c r="J674" s="23" t="str">
        <f aca="false">Nonlabor!$B$17</f>
        <v>SECURITY</v>
      </c>
    </row>
    <row r="675" customFormat="false" ht="15" hidden="false" customHeight="false" outlineLevel="0" collapsed="false">
      <c r="A675" s="6" t="s">
        <v>72</v>
      </c>
      <c r="B675" s="6" t="s">
        <v>410</v>
      </c>
      <c r="C675" s="6" t="n">
        <v>10</v>
      </c>
      <c r="D675" s="25" t="n">
        <f aca="false">EDATE('Start Here'!$B$6,C675-1)</f>
        <v>46600</v>
      </c>
      <c r="E675" s="23" t="n">
        <f aca="false">IF(AND(OR(Nonlabor!$D$17="Both",Nonlabor!$D$17='Start Here'!$B$9),IF(Nonlabor!$E$17="Core",1,IF(Nonlabor!$E$17="AI",'Start Here'!$B$7,'Start Here'!$B$8))=1,C675&gt;=IF(Nonlabor!$E$17="Core",Nonlabor!$F$17,MAX(Nonlabor!$F$17,IF(Nonlabor!$E$17="AI",Assumptions!$C$24,Assumptions!$C$25))),C675&lt;=Nonlabor!$G$17,OR(Nonlabor!$H$17="Monthly",AND(Nonlabor!$H$17="Once",C675=IF(Nonlabor!$E$17="Core",Nonlabor!$F$17,MAX(Nonlabor!$F$17,IF(Nonlabor!$E$17="AI",Assumptions!$C$24,Assumptions!$C$25)))),AND(Nonlabor!$H$17="Annual",MOD(C675-IF(Nonlabor!$E$17="Core",Nonlabor!$F$17,MAX(Nonlabor!$F$17,IF(Nonlabor!$E$17="AI",Assumptions!$C$24,Assumptions!$C$25))),12)=0))),IF(Nonlabor!$I$17="Fixed",1,IF(Nonlabor!$I$17="Seats",ROUNDUP('Monthly Lean'!I15,0),IF(Nonlabor!$I$17="Customers",'Monthly Lean'!D15,IF(Nonlabor!$I$17="NewCustomers",'Monthly Lean'!C15,IF(Nonlabor!$I$17="StorageGB",'Monthly Lean'!G15,IF(Nonlabor!$I$17="LogGB",'Monthly Lean'!H15,IF(Nonlabor!$I$17="RequestsM",'Monthly Lean'!F15,IF(Nonlabor!$I$17="InputM",'Monthly Lean'!D15*Assumptions!$C$22/1000000,IF(Nonlabor!$I$17="OutputM",'Monthly Lean'!D15*Assumptions!$C$23/1000000,0))))))))),0)</f>
        <v>1</v>
      </c>
      <c r="F675" s="10" t="n">
        <f aca="false">Nonlabor!$J$17*(1+Assumptions!$C$9)^INT((C675-1)/12)</f>
        <v>18000</v>
      </c>
      <c r="G675" s="10" t="n">
        <f aca="false">E675*F675</f>
        <v>18000</v>
      </c>
      <c r="H675" s="10" t="n">
        <f aca="false">IF(OR(Nonlabor!$L$17="Quote required",Nonlabor!$L$17="Unverified"),G675,0)</f>
        <v>18000</v>
      </c>
      <c r="I675" s="10" t="n">
        <f aca="false">IF(Nonlabor!$E$17="Core",0,G675)</f>
        <v>0</v>
      </c>
      <c r="J675" s="23" t="str">
        <f aca="false">Nonlabor!$B$17</f>
        <v>SECURITY</v>
      </c>
    </row>
    <row r="676" customFormat="false" ht="15" hidden="false" customHeight="false" outlineLevel="0" collapsed="false">
      <c r="A676" s="6" t="s">
        <v>72</v>
      </c>
      <c r="B676" s="6" t="s">
        <v>410</v>
      </c>
      <c r="C676" s="6" t="n">
        <v>11</v>
      </c>
      <c r="D676" s="25" t="n">
        <f aca="false">EDATE('Start Here'!$B$6,C676-1)</f>
        <v>46631</v>
      </c>
      <c r="E676" s="23" t="n">
        <f aca="false">IF(AND(OR(Nonlabor!$D$17="Both",Nonlabor!$D$17='Start Here'!$B$9),IF(Nonlabor!$E$17="Core",1,IF(Nonlabor!$E$17="AI",'Start Here'!$B$7,'Start Here'!$B$8))=1,C676&gt;=IF(Nonlabor!$E$17="Core",Nonlabor!$F$17,MAX(Nonlabor!$F$17,IF(Nonlabor!$E$17="AI",Assumptions!$C$24,Assumptions!$C$25))),C676&lt;=Nonlabor!$G$17,OR(Nonlabor!$H$17="Monthly",AND(Nonlabor!$H$17="Once",C676=IF(Nonlabor!$E$17="Core",Nonlabor!$F$17,MAX(Nonlabor!$F$17,IF(Nonlabor!$E$17="AI",Assumptions!$C$24,Assumptions!$C$25)))),AND(Nonlabor!$H$17="Annual",MOD(C676-IF(Nonlabor!$E$17="Core",Nonlabor!$F$17,MAX(Nonlabor!$F$17,IF(Nonlabor!$E$17="AI",Assumptions!$C$24,Assumptions!$C$25))),12)=0))),IF(Nonlabor!$I$17="Fixed",1,IF(Nonlabor!$I$17="Seats",ROUNDUP('Monthly Lean'!I16,0),IF(Nonlabor!$I$17="Customers",'Monthly Lean'!D16,IF(Nonlabor!$I$17="NewCustomers",'Monthly Lean'!C16,IF(Nonlabor!$I$17="StorageGB",'Monthly Lean'!G16,IF(Nonlabor!$I$17="LogGB",'Monthly Lean'!H16,IF(Nonlabor!$I$17="RequestsM",'Monthly Lean'!F16,IF(Nonlabor!$I$17="InputM",'Monthly Lean'!D16*Assumptions!$C$22/1000000,IF(Nonlabor!$I$17="OutputM",'Monthly Lean'!D16*Assumptions!$C$23/1000000,0))))))))),0)</f>
        <v>0</v>
      </c>
      <c r="F676" s="10" t="n">
        <f aca="false">Nonlabor!$J$17*(1+Assumptions!$C$9)^INT((C676-1)/12)</f>
        <v>18000</v>
      </c>
      <c r="G676" s="10" t="n">
        <f aca="false">E676*F676</f>
        <v>0</v>
      </c>
      <c r="H676" s="10" t="n">
        <f aca="false">IF(OR(Nonlabor!$L$17="Quote required",Nonlabor!$L$17="Unverified"),G676,0)</f>
        <v>0</v>
      </c>
      <c r="I676" s="10" t="n">
        <f aca="false">IF(Nonlabor!$E$17="Core",0,G676)</f>
        <v>0</v>
      </c>
      <c r="J676" s="23" t="str">
        <f aca="false">Nonlabor!$B$17</f>
        <v>SECURITY</v>
      </c>
    </row>
    <row r="677" customFormat="false" ht="15" hidden="false" customHeight="false" outlineLevel="0" collapsed="false">
      <c r="A677" s="6" t="s">
        <v>72</v>
      </c>
      <c r="B677" s="6" t="s">
        <v>410</v>
      </c>
      <c r="C677" s="6" t="n">
        <v>12</v>
      </c>
      <c r="D677" s="25" t="n">
        <f aca="false">EDATE('Start Here'!$B$6,C677-1)</f>
        <v>46661</v>
      </c>
      <c r="E677" s="23" t="n">
        <f aca="false">IF(AND(OR(Nonlabor!$D$17="Both",Nonlabor!$D$17='Start Here'!$B$9),IF(Nonlabor!$E$17="Core",1,IF(Nonlabor!$E$17="AI",'Start Here'!$B$7,'Start Here'!$B$8))=1,C677&gt;=IF(Nonlabor!$E$17="Core",Nonlabor!$F$17,MAX(Nonlabor!$F$17,IF(Nonlabor!$E$17="AI",Assumptions!$C$24,Assumptions!$C$25))),C677&lt;=Nonlabor!$G$17,OR(Nonlabor!$H$17="Monthly",AND(Nonlabor!$H$17="Once",C677=IF(Nonlabor!$E$17="Core",Nonlabor!$F$17,MAX(Nonlabor!$F$17,IF(Nonlabor!$E$17="AI",Assumptions!$C$24,Assumptions!$C$25)))),AND(Nonlabor!$H$17="Annual",MOD(C677-IF(Nonlabor!$E$17="Core",Nonlabor!$F$17,MAX(Nonlabor!$F$17,IF(Nonlabor!$E$17="AI",Assumptions!$C$24,Assumptions!$C$25))),12)=0))),IF(Nonlabor!$I$17="Fixed",1,IF(Nonlabor!$I$17="Seats",ROUNDUP('Monthly Lean'!I17,0),IF(Nonlabor!$I$17="Customers",'Monthly Lean'!D17,IF(Nonlabor!$I$17="NewCustomers",'Monthly Lean'!C17,IF(Nonlabor!$I$17="StorageGB",'Monthly Lean'!G17,IF(Nonlabor!$I$17="LogGB",'Monthly Lean'!H17,IF(Nonlabor!$I$17="RequestsM",'Monthly Lean'!F17,IF(Nonlabor!$I$17="InputM",'Monthly Lean'!D17*Assumptions!$C$22/1000000,IF(Nonlabor!$I$17="OutputM",'Monthly Lean'!D17*Assumptions!$C$23/1000000,0))))))))),0)</f>
        <v>0</v>
      </c>
      <c r="F677" s="10" t="n">
        <f aca="false">Nonlabor!$J$17*(1+Assumptions!$C$9)^INT((C677-1)/12)</f>
        <v>18000</v>
      </c>
      <c r="G677" s="10" t="n">
        <f aca="false">E677*F677</f>
        <v>0</v>
      </c>
      <c r="H677" s="10" t="n">
        <f aca="false">IF(OR(Nonlabor!$L$17="Quote required",Nonlabor!$L$17="Unverified"),G677,0)</f>
        <v>0</v>
      </c>
      <c r="I677" s="10" t="n">
        <f aca="false">IF(Nonlabor!$E$17="Core",0,G677)</f>
        <v>0</v>
      </c>
      <c r="J677" s="23" t="str">
        <f aca="false">Nonlabor!$B$17</f>
        <v>SECURITY</v>
      </c>
    </row>
    <row r="678" customFormat="false" ht="15" hidden="false" customHeight="false" outlineLevel="0" collapsed="false">
      <c r="A678" s="6" t="s">
        <v>72</v>
      </c>
      <c r="B678" s="6" t="s">
        <v>410</v>
      </c>
      <c r="C678" s="6" t="n">
        <v>13</v>
      </c>
      <c r="D678" s="25" t="n">
        <f aca="false">EDATE('Start Here'!$B$6,C678-1)</f>
        <v>46692</v>
      </c>
      <c r="E678" s="23" t="n">
        <f aca="false">IF(AND(OR(Nonlabor!$D$17="Both",Nonlabor!$D$17='Start Here'!$B$9),IF(Nonlabor!$E$17="Core",1,IF(Nonlabor!$E$17="AI",'Start Here'!$B$7,'Start Here'!$B$8))=1,C678&gt;=IF(Nonlabor!$E$17="Core",Nonlabor!$F$17,MAX(Nonlabor!$F$17,IF(Nonlabor!$E$17="AI",Assumptions!$C$24,Assumptions!$C$25))),C678&lt;=Nonlabor!$G$17,OR(Nonlabor!$H$17="Monthly",AND(Nonlabor!$H$17="Once",C678=IF(Nonlabor!$E$17="Core",Nonlabor!$F$17,MAX(Nonlabor!$F$17,IF(Nonlabor!$E$17="AI",Assumptions!$C$24,Assumptions!$C$25)))),AND(Nonlabor!$H$17="Annual",MOD(C678-IF(Nonlabor!$E$17="Core",Nonlabor!$F$17,MAX(Nonlabor!$F$17,IF(Nonlabor!$E$17="AI",Assumptions!$C$24,Assumptions!$C$25))),12)=0))),IF(Nonlabor!$I$17="Fixed",1,IF(Nonlabor!$I$17="Seats",ROUNDUP('Monthly Lean'!I18,0),IF(Nonlabor!$I$17="Customers",'Monthly Lean'!D18,IF(Nonlabor!$I$17="NewCustomers",'Monthly Lean'!C18,IF(Nonlabor!$I$17="StorageGB",'Monthly Lean'!G18,IF(Nonlabor!$I$17="LogGB",'Monthly Lean'!H18,IF(Nonlabor!$I$17="RequestsM",'Monthly Lean'!F18,IF(Nonlabor!$I$17="InputM",'Monthly Lean'!D18*Assumptions!$C$22/1000000,IF(Nonlabor!$I$17="OutputM",'Monthly Lean'!D18*Assumptions!$C$23/1000000,0))))))))),0)</f>
        <v>0</v>
      </c>
      <c r="F678" s="10" t="n">
        <f aca="false">Nonlabor!$J$17*(1+Assumptions!$C$9)^INT((C678-1)/12)</f>
        <v>18540</v>
      </c>
      <c r="G678" s="10" t="n">
        <f aca="false">E678*F678</f>
        <v>0</v>
      </c>
      <c r="H678" s="10" t="n">
        <f aca="false">IF(OR(Nonlabor!$L$17="Quote required",Nonlabor!$L$17="Unverified"),G678,0)</f>
        <v>0</v>
      </c>
      <c r="I678" s="10" t="n">
        <f aca="false">IF(Nonlabor!$E$17="Core",0,G678)</f>
        <v>0</v>
      </c>
      <c r="J678" s="23" t="str">
        <f aca="false">Nonlabor!$B$17</f>
        <v>SECURITY</v>
      </c>
    </row>
    <row r="679" customFormat="false" ht="15" hidden="false" customHeight="false" outlineLevel="0" collapsed="false">
      <c r="A679" s="6" t="s">
        <v>72</v>
      </c>
      <c r="B679" s="6" t="s">
        <v>410</v>
      </c>
      <c r="C679" s="6" t="n">
        <v>14</v>
      </c>
      <c r="D679" s="25" t="n">
        <f aca="false">EDATE('Start Here'!$B$6,C679-1)</f>
        <v>46722</v>
      </c>
      <c r="E679" s="23" t="n">
        <f aca="false">IF(AND(OR(Nonlabor!$D$17="Both",Nonlabor!$D$17='Start Here'!$B$9),IF(Nonlabor!$E$17="Core",1,IF(Nonlabor!$E$17="AI",'Start Here'!$B$7,'Start Here'!$B$8))=1,C679&gt;=IF(Nonlabor!$E$17="Core",Nonlabor!$F$17,MAX(Nonlabor!$F$17,IF(Nonlabor!$E$17="AI",Assumptions!$C$24,Assumptions!$C$25))),C679&lt;=Nonlabor!$G$17,OR(Nonlabor!$H$17="Monthly",AND(Nonlabor!$H$17="Once",C679=IF(Nonlabor!$E$17="Core",Nonlabor!$F$17,MAX(Nonlabor!$F$17,IF(Nonlabor!$E$17="AI",Assumptions!$C$24,Assumptions!$C$25)))),AND(Nonlabor!$H$17="Annual",MOD(C679-IF(Nonlabor!$E$17="Core",Nonlabor!$F$17,MAX(Nonlabor!$F$17,IF(Nonlabor!$E$17="AI",Assumptions!$C$24,Assumptions!$C$25))),12)=0))),IF(Nonlabor!$I$17="Fixed",1,IF(Nonlabor!$I$17="Seats",ROUNDUP('Monthly Lean'!I19,0),IF(Nonlabor!$I$17="Customers",'Monthly Lean'!D19,IF(Nonlabor!$I$17="NewCustomers",'Monthly Lean'!C19,IF(Nonlabor!$I$17="StorageGB",'Monthly Lean'!G19,IF(Nonlabor!$I$17="LogGB",'Monthly Lean'!H19,IF(Nonlabor!$I$17="RequestsM",'Monthly Lean'!F19,IF(Nonlabor!$I$17="InputM",'Monthly Lean'!D19*Assumptions!$C$22/1000000,IF(Nonlabor!$I$17="OutputM",'Monthly Lean'!D19*Assumptions!$C$23/1000000,0))))))))),0)</f>
        <v>0</v>
      </c>
      <c r="F679" s="10" t="n">
        <f aca="false">Nonlabor!$J$17*(1+Assumptions!$C$9)^INT((C679-1)/12)</f>
        <v>18540</v>
      </c>
      <c r="G679" s="10" t="n">
        <f aca="false">E679*F679</f>
        <v>0</v>
      </c>
      <c r="H679" s="10" t="n">
        <f aca="false">IF(OR(Nonlabor!$L$17="Quote required",Nonlabor!$L$17="Unverified"),G679,0)</f>
        <v>0</v>
      </c>
      <c r="I679" s="10" t="n">
        <f aca="false">IF(Nonlabor!$E$17="Core",0,G679)</f>
        <v>0</v>
      </c>
      <c r="J679" s="23" t="str">
        <f aca="false">Nonlabor!$B$17</f>
        <v>SECURITY</v>
      </c>
    </row>
    <row r="680" customFormat="false" ht="15" hidden="false" customHeight="false" outlineLevel="0" collapsed="false">
      <c r="A680" s="6" t="s">
        <v>72</v>
      </c>
      <c r="B680" s="6" t="s">
        <v>410</v>
      </c>
      <c r="C680" s="6" t="n">
        <v>15</v>
      </c>
      <c r="D680" s="25" t="n">
        <f aca="false">EDATE('Start Here'!$B$6,C680-1)</f>
        <v>46753</v>
      </c>
      <c r="E680" s="23" t="n">
        <f aca="false">IF(AND(OR(Nonlabor!$D$17="Both",Nonlabor!$D$17='Start Here'!$B$9),IF(Nonlabor!$E$17="Core",1,IF(Nonlabor!$E$17="AI",'Start Here'!$B$7,'Start Here'!$B$8))=1,C680&gt;=IF(Nonlabor!$E$17="Core",Nonlabor!$F$17,MAX(Nonlabor!$F$17,IF(Nonlabor!$E$17="AI",Assumptions!$C$24,Assumptions!$C$25))),C680&lt;=Nonlabor!$G$17,OR(Nonlabor!$H$17="Monthly",AND(Nonlabor!$H$17="Once",C680=IF(Nonlabor!$E$17="Core",Nonlabor!$F$17,MAX(Nonlabor!$F$17,IF(Nonlabor!$E$17="AI",Assumptions!$C$24,Assumptions!$C$25)))),AND(Nonlabor!$H$17="Annual",MOD(C680-IF(Nonlabor!$E$17="Core",Nonlabor!$F$17,MAX(Nonlabor!$F$17,IF(Nonlabor!$E$17="AI",Assumptions!$C$24,Assumptions!$C$25))),12)=0))),IF(Nonlabor!$I$17="Fixed",1,IF(Nonlabor!$I$17="Seats",ROUNDUP('Monthly Lean'!I20,0),IF(Nonlabor!$I$17="Customers",'Monthly Lean'!D20,IF(Nonlabor!$I$17="NewCustomers",'Monthly Lean'!C20,IF(Nonlabor!$I$17="StorageGB",'Monthly Lean'!G20,IF(Nonlabor!$I$17="LogGB",'Monthly Lean'!H20,IF(Nonlabor!$I$17="RequestsM",'Monthly Lean'!F20,IF(Nonlabor!$I$17="InputM",'Monthly Lean'!D20*Assumptions!$C$22/1000000,IF(Nonlabor!$I$17="OutputM",'Monthly Lean'!D20*Assumptions!$C$23/1000000,0))))))))),0)</f>
        <v>0</v>
      </c>
      <c r="F680" s="10" t="n">
        <f aca="false">Nonlabor!$J$17*(1+Assumptions!$C$9)^INT((C680-1)/12)</f>
        <v>18540</v>
      </c>
      <c r="G680" s="10" t="n">
        <f aca="false">E680*F680</f>
        <v>0</v>
      </c>
      <c r="H680" s="10" t="n">
        <f aca="false">IF(OR(Nonlabor!$L$17="Quote required",Nonlabor!$L$17="Unverified"),G680,0)</f>
        <v>0</v>
      </c>
      <c r="I680" s="10" t="n">
        <f aca="false">IF(Nonlabor!$E$17="Core",0,G680)</f>
        <v>0</v>
      </c>
      <c r="J680" s="23" t="str">
        <f aca="false">Nonlabor!$B$17</f>
        <v>SECURITY</v>
      </c>
    </row>
    <row r="681" customFormat="false" ht="15" hidden="false" customHeight="false" outlineLevel="0" collapsed="false">
      <c r="A681" s="6" t="s">
        <v>72</v>
      </c>
      <c r="B681" s="6" t="s">
        <v>410</v>
      </c>
      <c r="C681" s="6" t="n">
        <v>16</v>
      </c>
      <c r="D681" s="25" t="n">
        <f aca="false">EDATE('Start Here'!$B$6,C681-1)</f>
        <v>46784</v>
      </c>
      <c r="E681" s="23" t="n">
        <f aca="false">IF(AND(OR(Nonlabor!$D$17="Both",Nonlabor!$D$17='Start Here'!$B$9),IF(Nonlabor!$E$17="Core",1,IF(Nonlabor!$E$17="AI",'Start Here'!$B$7,'Start Here'!$B$8))=1,C681&gt;=IF(Nonlabor!$E$17="Core",Nonlabor!$F$17,MAX(Nonlabor!$F$17,IF(Nonlabor!$E$17="AI",Assumptions!$C$24,Assumptions!$C$25))),C681&lt;=Nonlabor!$G$17,OR(Nonlabor!$H$17="Monthly",AND(Nonlabor!$H$17="Once",C681=IF(Nonlabor!$E$17="Core",Nonlabor!$F$17,MAX(Nonlabor!$F$17,IF(Nonlabor!$E$17="AI",Assumptions!$C$24,Assumptions!$C$25)))),AND(Nonlabor!$H$17="Annual",MOD(C681-IF(Nonlabor!$E$17="Core",Nonlabor!$F$17,MAX(Nonlabor!$F$17,IF(Nonlabor!$E$17="AI",Assumptions!$C$24,Assumptions!$C$25))),12)=0))),IF(Nonlabor!$I$17="Fixed",1,IF(Nonlabor!$I$17="Seats",ROUNDUP('Monthly Lean'!I21,0),IF(Nonlabor!$I$17="Customers",'Monthly Lean'!D21,IF(Nonlabor!$I$17="NewCustomers",'Monthly Lean'!C21,IF(Nonlabor!$I$17="StorageGB",'Monthly Lean'!G21,IF(Nonlabor!$I$17="LogGB",'Monthly Lean'!H21,IF(Nonlabor!$I$17="RequestsM",'Monthly Lean'!F21,IF(Nonlabor!$I$17="InputM",'Monthly Lean'!D21*Assumptions!$C$22/1000000,IF(Nonlabor!$I$17="OutputM",'Monthly Lean'!D21*Assumptions!$C$23/1000000,0))))))))),0)</f>
        <v>0</v>
      </c>
      <c r="F681" s="10" t="n">
        <f aca="false">Nonlabor!$J$17*(1+Assumptions!$C$9)^INT((C681-1)/12)</f>
        <v>18540</v>
      </c>
      <c r="G681" s="10" t="n">
        <f aca="false">E681*F681</f>
        <v>0</v>
      </c>
      <c r="H681" s="10" t="n">
        <f aca="false">IF(OR(Nonlabor!$L$17="Quote required",Nonlabor!$L$17="Unverified"),G681,0)</f>
        <v>0</v>
      </c>
      <c r="I681" s="10" t="n">
        <f aca="false">IF(Nonlabor!$E$17="Core",0,G681)</f>
        <v>0</v>
      </c>
      <c r="J681" s="23" t="str">
        <f aca="false">Nonlabor!$B$17</f>
        <v>SECURITY</v>
      </c>
    </row>
    <row r="682" customFormat="false" ht="15" hidden="false" customHeight="false" outlineLevel="0" collapsed="false">
      <c r="A682" s="6" t="s">
        <v>72</v>
      </c>
      <c r="B682" s="6" t="s">
        <v>410</v>
      </c>
      <c r="C682" s="6" t="n">
        <v>17</v>
      </c>
      <c r="D682" s="25" t="n">
        <f aca="false">EDATE('Start Here'!$B$6,C682-1)</f>
        <v>46813</v>
      </c>
      <c r="E682" s="23" t="n">
        <f aca="false">IF(AND(OR(Nonlabor!$D$17="Both",Nonlabor!$D$17='Start Here'!$B$9),IF(Nonlabor!$E$17="Core",1,IF(Nonlabor!$E$17="AI",'Start Here'!$B$7,'Start Here'!$B$8))=1,C682&gt;=IF(Nonlabor!$E$17="Core",Nonlabor!$F$17,MAX(Nonlabor!$F$17,IF(Nonlabor!$E$17="AI",Assumptions!$C$24,Assumptions!$C$25))),C682&lt;=Nonlabor!$G$17,OR(Nonlabor!$H$17="Monthly",AND(Nonlabor!$H$17="Once",C682=IF(Nonlabor!$E$17="Core",Nonlabor!$F$17,MAX(Nonlabor!$F$17,IF(Nonlabor!$E$17="AI",Assumptions!$C$24,Assumptions!$C$25)))),AND(Nonlabor!$H$17="Annual",MOD(C682-IF(Nonlabor!$E$17="Core",Nonlabor!$F$17,MAX(Nonlabor!$F$17,IF(Nonlabor!$E$17="AI",Assumptions!$C$24,Assumptions!$C$25))),12)=0))),IF(Nonlabor!$I$17="Fixed",1,IF(Nonlabor!$I$17="Seats",ROUNDUP('Monthly Lean'!I22,0),IF(Nonlabor!$I$17="Customers",'Monthly Lean'!D22,IF(Nonlabor!$I$17="NewCustomers",'Monthly Lean'!C22,IF(Nonlabor!$I$17="StorageGB",'Monthly Lean'!G22,IF(Nonlabor!$I$17="LogGB",'Monthly Lean'!H22,IF(Nonlabor!$I$17="RequestsM",'Monthly Lean'!F22,IF(Nonlabor!$I$17="InputM",'Monthly Lean'!D22*Assumptions!$C$22/1000000,IF(Nonlabor!$I$17="OutputM",'Monthly Lean'!D22*Assumptions!$C$23/1000000,0))))))))),0)</f>
        <v>0</v>
      </c>
      <c r="F682" s="10" t="n">
        <f aca="false">Nonlabor!$J$17*(1+Assumptions!$C$9)^INT((C682-1)/12)</f>
        <v>18540</v>
      </c>
      <c r="G682" s="10" t="n">
        <f aca="false">E682*F682</f>
        <v>0</v>
      </c>
      <c r="H682" s="10" t="n">
        <f aca="false">IF(OR(Nonlabor!$L$17="Quote required",Nonlabor!$L$17="Unverified"),G682,0)</f>
        <v>0</v>
      </c>
      <c r="I682" s="10" t="n">
        <f aca="false">IF(Nonlabor!$E$17="Core",0,G682)</f>
        <v>0</v>
      </c>
      <c r="J682" s="23" t="str">
        <f aca="false">Nonlabor!$B$17</f>
        <v>SECURITY</v>
      </c>
    </row>
    <row r="683" customFormat="false" ht="15" hidden="false" customHeight="false" outlineLevel="0" collapsed="false">
      <c r="A683" s="6" t="s">
        <v>72</v>
      </c>
      <c r="B683" s="6" t="s">
        <v>410</v>
      </c>
      <c r="C683" s="6" t="n">
        <v>18</v>
      </c>
      <c r="D683" s="25" t="n">
        <f aca="false">EDATE('Start Here'!$B$6,C683-1)</f>
        <v>46844</v>
      </c>
      <c r="E683" s="23" t="n">
        <f aca="false">IF(AND(OR(Nonlabor!$D$17="Both",Nonlabor!$D$17='Start Here'!$B$9),IF(Nonlabor!$E$17="Core",1,IF(Nonlabor!$E$17="AI",'Start Here'!$B$7,'Start Here'!$B$8))=1,C683&gt;=IF(Nonlabor!$E$17="Core",Nonlabor!$F$17,MAX(Nonlabor!$F$17,IF(Nonlabor!$E$17="AI",Assumptions!$C$24,Assumptions!$C$25))),C683&lt;=Nonlabor!$G$17,OR(Nonlabor!$H$17="Monthly",AND(Nonlabor!$H$17="Once",C683=IF(Nonlabor!$E$17="Core",Nonlabor!$F$17,MAX(Nonlabor!$F$17,IF(Nonlabor!$E$17="AI",Assumptions!$C$24,Assumptions!$C$25)))),AND(Nonlabor!$H$17="Annual",MOD(C683-IF(Nonlabor!$E$17="Core",Nonlabor!$F$17,MAX(Nonlabor!$F$17,IF(Nonlabor!$E$17="AI",Assumptions!$C$24,Assumptions!$C$25))),12)=0))),IF(Nonlabor!$I$17="Fixed",1,IF(Nonlabor!$I$17="Seats",ROUNDUP('Monthly Lean'!I23,0),IF(Nonlabor!$I$17="Customers",'Monthly Lean'!D23,IF(Nonlabor!$I$17="NewCustomers",'Monthly Lean'!C23,IF(Nonlabor!$I$17="StorageGB",'Monthly Lean'!G23,IF(Nonlabor!$I$17="LogGB",'Monthly Lean'!H23,IF(Nonlabor!$I$17="RequestsM",'Monthly Lean'!F23,IF(Nonlabor!$I$17="InputM",'Monthly Lean'!D23*Assumptions!$C$22/1000000,IF(Nonlabor!$I$17="OutputM",'Monthly Lean'!D23*Assumptions!$C$23/1000000,0))))))))),0)</f>
        <v>0</v>
      </c>
      <c r="F683" s="10" t="n">
        <f aca="false">Nonlabor!$J$17*(1+Assumptions!$C$9)^INT((C683-1)/12)</f>
        <v>18540</v>
      </c>
      <c r="G683" s="10" t="n">
        <f aca="false">E683*F683</f>
        <v>0</v>
      </c>
      <c r="H683" s="10" t="n">
        <f aca="false">IF(OR(Nonlabor!$L$17="Quote required",Nonlabor!$L$17="Unverified"),G683,0)</f>
        <v>0</v>
      </c>
      <c r="I683" s="10" t="n">
        <f aca="false">IF(Nonlabor!$E$17="Core",0,G683)</f>
        <v>0</v>
      </c>
      <c r="J683" s="23" t="str">
        <f aca="false">Nonlabor!$B$17</f>
        <v>SECURITY</v>
      </c>
    </row>
    <row r="684" customFormat="false" ht="15" hidden="false" customHeight="false" outlineLevel="0" collapsed="false">
      <c r="A684" s="6" t="s">
        <v>72</v>
      </c>
      <c r="B684" s="6" t="s">
        <v>410</v>
      </c>
      <c r="C684" s="6" t="n">
        <v>19</v>
      </c>
      <c r="D684" s="25" t="n">
        <f aca="false">EDATE('Start Here'!$B$6,C684-1)</f>
        <v>46874</v>
      </c>
      <c r="E684" s="23" t="n">
        <f aca="false">IF(AND(OR(Nonlabor!$D$17="Both",Nonlabor!$D$17='Start Here'!$B$9),IF(Nonlabor!$E$17="Core",1,IF(Nonlabor!$E$17="AI",'Start Here'!$B$7,'Start Here'!$B$8))=1,C684&gt;=IF(Nonlabor!$E$17="Core",Nonlabor!$F$17,MAX(Nonlabor!$F$17,IF(Nonlabor!$E$17="AI",Assumptions!$C$24,Assumptions!$C$25))),C684&lt;=Nonlabor!$G$17,OR(Nonlabor!$H$17="Monthly",AND(Nonlabor!$H$17="Once",C684=IF(Nonlabor!$E$17="Core",Nonlabor!$F$17,MAX(Nonlabor!$F$17,IF(Nonlabor!$E$17="AI",Assumptions!$C$24,Assumptions!$C$25)))),AND(Nonlabor!$H$17="Annual",MOD(C684-IF(Nonlabor!$E$17="Core",Nonlabor!$F$17,MAX(Nonlabor!$F$17,IF(Nonlabor!$E$17="AI",Assumptions!$C$24,Assumptions!$C$25))),12)=0))),IF(Nonlabor!$I$17="Fixed",1,IF(Nonlabor!$I$17="Seats",ROUNDUP('Monthly Lean'!I24,0),IF(Nonlabor!$I$17="Customers",'Monthly Lean'!D24,IF(Nonlabor!$I$17="NewCustomers",'Monthly Lean'!C24,IF(Nonlabor!$I$17="StorageGB",'Monthly Lean'!G24,IF(Nonlabor!$I$17="LogGB",'Monthly Lean'!H24,IF(Nonlabor!$I$17="RequestsM",'Monthly Lean'!F24,IF(Nonlabor!$I$17="InputM",'Monthly Lean'!D24*Assumptions!$C$22/1000000,IF(Nonlabor!$I$17="OutputM",'Monthly Lean'!D24*Assumptions!$C$23/1000000,0))))))))),0)</f>
        <v>0</v>
      </c>
      <c r="F684" s="10" t="n">
        <f aca="false">Nonlabor!$J$17*(1+Assumptions!$C$9)^INT((C684-1)/12)</f>
        <v>18540</v>
      </c>
      <c r="G684" s="10" t="n">
        <f aca="false">E684*F684</f>
        <v>0</v>
      </c>
      <c r="H684" s="10" t="n">
        <f aca="false">IF(OR(Nonlabor!$L$17="Quote required",Nonlabor!$L$17="Unverified"),G684,0)</f>
        <v>0</v>
      </c>
      <c r="I684" s="10" t="n">
        <f aca="false">IF(Nonlabor!$E$17="Core",0,G684)</f>
        <v>0</v>
      </c>
      <c r="J684" s="23" t="str">
        <f aca="false">Nonlabor!$B$17</f>
        <v>SECURITY</v>
      </c>
    </row>
    <row r="685" customFormat="false" ht="15" hidden="false" customHeight="false" outlineLevel="0" collapsed="false">
      <c r="A685" s="6" t="s">
        <v>72</v>
      </c>
      <c r="B685" s="6" t="s">
        <v>410</v>
      </c>
      <c r="C685" s="6" t="n">
        <v>20</v>
      </c>
      <c r="D685" s="25" t="n">
        <f aca="false">EDATE('Start Here'!$B$6,C685-1)</f>
        <v>46905</v>
      </c>
      <c r="E685" s="23" t="n">
        <f aca="false">IF(AND(OR(Nonlabor!$D$17="Both",Nonlabor!$D$17='Start Here'!$B$9),IF(Nonlabor!$E$17="Core",1,IF(Nonlabor!$E$17="AI",'Start Here'!$B$7,'Start Here'!$B$8))=1,C685&gt;=IF(Nonlabor!$E$17="Core",Nonlabor!$F$17,MAX(Nonlabor!$F$17,IF(Nonlabor!$E$17="AI",Assumptions!$C$24,Assumptions!$C$25))),C685&lt;=Nonlabor!$G$17,OR(Nonlabor!$H$17="Monthly",AND(Nonlabor!$H$17="Once",C685=IF(Nonlabor!$E$17="Core",Nonlabor!$F$17,MAX(Nonlabor!$F$17,IF(Nonlabor!$E$17="AI",Assumptions!$C$24,Assumptions!$C$25)))),AND(Nonlabor!$H$17="Annual",MOD(C685-IF(Nonlabor!$E$17="Core",Nonlabor!$F$17,MAX(Nonlabor!$F$17,IF(Nonlabor!$E$17="AI",Assumptions!$C$24,Assumptions!$C$25))),12)=0))),IF(Nonlabor!$I$17="Fixed",1,IF(Nonlabor!$I$17="Seats",ROUNDUP('Monthly Lean'!I25,0),IF(Nonlabor!$I$17="Customers",'Monthly Lean'!D25,IF(Nonlabor!$I$17="NewCustomers",'Monthly Lean'!C25,IF(Nonlabor!$I$17="StorageGB",'Monthly Lean'!G25,IF(Nonlabor!$I$17="LogGB",'Monthly Lean'!H25,IF(Nonlabor!$I$17="RequestsM",'Monthly Lean'!F25,IF(Nonlabor!$I$17="InputM",'Monthly Lean'!D25*Assumptions!$C$22/1000000,IF(Nonlabor!$I$17="OutputM",'Monthly Lean'!D25*Assumptions!$C$23/1000000,0))))))))),0)</f>
        <v>0</v>
      </c>
      <c r="F685" s="10" t="n">
        <f aca="false">Nonlabor!$J$17*(1+Assumptions!$C$9)^INT((C685-1)/12)</f>
        <v>18540</v>
      </c>
      <c r="G685" s="10" t="n">
        <f aca="false">E685*F685</f>
        <v>0</v>
      </c>
      <c r="H685" s="10" t="n">
        <f aca="false">IF(OR(Nonlabor!$L$17="Quote required",Nonlabor!$L$17="Unverified"),G685,0)</f>
        <v>0</v>
      </c>
      <c r="I685" s="10" t="n">
        <f aca="false">IF(Nonlabor!$E$17="Core",0,G685)</f>
        <v>0</v>
      </c>
      <c r="J685" s="23" t="str">
        <f aca="false">Nonlabor!$B$17</f>
        <v>SECURITY</v>
      </c>
    </row>
    <row r="686" customFormat="false" ht="15" hidden="false" customHeight="false" outlineLevel="0" collapsed="false">
      <c r="A686" s="6" t="s">
        <v>72</v>
      </c>
      <c r="B686" s="6" t="s">
        <v>410</v>
      </c>
      <c r="C686" s="6" t="n">
        <v>21</v>
      </c>
      <c r="D686" s="25" t="n">
        <f aca="false">EDATE('Start Here'!$B$6,C686-1)</f>
        <v>46935</v>
      </c>
      <c r="E686" s="23" t="n">
        <f aca="false">IF(AND(OR(Nonlabor!$D$17="Both",Nonlabor!$D$17='Start Here'!$B$9),IF(Nonlabor!$E$17="Core",1,IF(Nonlabor!$E$17="AI",'Start Here'!$B$7,'Start Here'!$B$8))=1,C686&gt;=IF(Nonlabor!$E$17="Core",Nonlabor!$F$17,MAX(Nonlabor!$F$17,IF(Nonlabor!$E$17="AI",Assumptions!$C$24,Assumptions!$C$25))),C686&lt;=Nonlabor!$G$17,OR(Nonlabor!$H$17="Monthly",AND(Nonlabor!$H$17="Once",C686=IF(Nonlabor!$E$17="Core",Nonlabor!$F$17,MAX(Nonlabor!$F$17,IF(Nonlabor!$E$17="AI",Assumptions!$C$24,Assumptions!$C$25)))),AND(Nonlabor!$H$17="Annual",MOD(C686-IF(Nonlabor!$E$17="Core",Nonlabor!$F$17,MAX(Nonlabor!$F$17,IF(Nonlabor!$E$17="AI",Assumptions!$C$24,Assumptions!$C$25))),12)=0))),IF(Nonlabor!$I$17="Fixed",1,IF(Nonlabor!$I$17="Seats",ROUNDUP('Monthly Lean'!I26,0),IF(Nonlabor!$I$17="Customers",'Monthly Lean'!D26,IF(Nonlabor!$I$17="NewCustomers",'Monthly Lean'!C26,IF(Nonlabor!$I$17="StorageGB",'Monthly Lean'!G26,IF(Nonlabor!$I$17="LogGB",'Monthly Lean'!H26,IF(Nonlabor!$I$17="RequestsM",'Monthly Lean'!F26,IF(Nonlabor!$I$17="InputM",'Monthly Lean'!D26*Assumptions!$C$22/1000000,IF(Nonlabor!$I$17="OutputM",'Monthly Lean'!D26*Assumptions!$C$23/1000000,0))))))))),0)</f>
        <v>0</v>
      </c>
      <c r="F686" s="10" t="n">
        <f aca="false">Nonlabor!$J$17*(1+Assumptions!$C$9)^INT((C686-1)/12)</f>
        <v>18540</v>
      </c>
      <c r="G686" s="10" t="n">
        <f aca="false">E686*F686</f>
        <v>0</v>
      </c>
      <c r="H686" s="10" t="n">
        <f aca="false">IF(OR(Nonlabor!$L$17="Quote required",Nonlabor!$L$17="Unverified"),G686,0)</f>
        <v>0</v>
      </c>
      <c r="I686" s="10" t="n">
        <f aca="false">IF(Nonlabor!$E$17="Core",0,G686)</f>
        <v>0</v>
      </c>
      <c r="J686" s="23" t="str">
        <f aca="false">Nonlabor!$B$17</f>
        <v>SECURITY</v>
      </c>
    </row>
    <row r="687" customFormat="false" ht="15" hidden="false" customHeight="false" outlineLevel="0" collapsed="false">
      <c r="A687" s="6" t="s">
        <v>72</v>
      </c>
      <c r="B687" s="6" t="s">
        <v>410</v>
      </c>
      <c r="C687" s="6" t="n">
        <v>22</v>
      </c>
      <c r="D687" s="25" t="n">
        <f aca="false">EDATE('Start Here'!$B$6,C687-1)</f>
        <v>46966</v>
      </c>
      <c r="E687" s="23" t="n">
        <f aca="false">IF(AND(OR(Nonlabor!$D$17="Both",Nonlabor!$D$17='Start Here'!$B$9),IF(Nonlabor!$E$17="Core",1,IF(Nonlabor!$E$17="AI",'Start Here'!$B$7,'Start Here'!$B$8))=1,C687&gt;=IF(Nonlabor!$E$17="Core",Nonlabor!$F$17,MAX(Nonlabor!$F$17,IF(Nonlabor!$E$17="AI",Assumptions!$C$24,Assumptions!$C$25))),C687&lt;=Nonlabor!$G$17,OR(Nonlabor!$H$17="Monthly",AND(Nonlabor!$H$17="Once",C687=IF(Nonlabor!$E$17="Core",Nonlabor!$F$17,MAX(Nonlabor!$F$17,IF(Nonlabor!$E$17="AI",Assumptions!$C$24,Assumptions!$C$25)))),AND(Nonlabor!$H$17="Annual",MOD(C687-IF(Nonlabor!$E$17="Core",Nonlabor!$F$17,MAX(Nonlabor!$F$17,IF(Nonlabor!$E$17="AI",Assumptions!$C$24,Assumptions!$C$25))),12)=0))),IF(Nonlabor!$I$17="Fixed",1,IF(Nonlabor!$I$17="Seats",ROUNDUP('Monthly Lean'!I27,0),IF(Nonlabor!$I$17="Customers",'Monthly Lean'!D27,IF(Nonlabor!$I$17="NewCustomers",'Monthly Lean'!C27,IF(Nonlabor!$I$17="StorageGB",'Monthly Lean'!G27,IF(Nonlabor!$I$17="LogGB",'Monthly Lean'!H27,IF(Nonlabor!$I$17="RequestsM",'Monthly Lean'!F27,IF(Nonlabor!$I$17="InputM",'Monthly Lean'!D27*Assumptions!$C$22/1000000,IF(Nonlabor!$I$17="OutputM",'Monthly Lean'!D27*Assumptions!$C$23/1000000,0))))))))),0)</f>
        <v>1</v>
      </c>
      <c r="F687" s="10" t="n">
        <f aca="false">Nonlabor!$J$17*(1+Assumptions!$C$9)^INT((C687-1)/12)</f>
        <v>18540</v>
      </c>
      <c r="G687" s="10" t="n">
        <f aca="false">E687*F687</f>
        <v>18540</v>
      </c>
      <c r="H687" s="10" t="n">
        <f aca="false">IF(OR(Nonlabor!$L$17="Quote required",Nonlabor!$L$17="Unverified"),G687,0)</f>
        <v>18540</v>
      </c>
      <c r="I687" s="10" t="n">
        <f aca="false">IF(Nonlabor!$E$17="Core",0,G687)</f>
        <v>0</v>
      </c>
      <c r="J687" s="23" t="str">
        <f aca="false">Nonlabor!$B$17</f>
        <v>SECURITY</v>
      </c>
    </row>
    <row r="688" customFormat="false" ht="15" hidden="false" customHeight="false" outlineLevel="0" collapsed="false">
      <c r="A688" s="6" t="s">
        <v>72</v>
      </c>
      <c r="B688" s="6" t="s">
        <v>410</v>
      </c>
      <c r="C688" s="6" t="n">
        <v>23</v>
      </c>
      <c r="D688" s="25" t="n">
        <f aca="false">EDATE('Start Here'!$B$6,C688-1)</f>
        <v>46997</v>
      </c>
      <c r="E688" s="23" t="n">
        <f aca="false">IF(AND(OR(Nonlabor!$D$17="Both",Nonlabor!$D$17='Start Here'!$B$9),IF(Nonlabor!$E$17="Core",1,IF(Nonlabor!$E$17="AI",'Start Here'!$B$7,'Start Here'!$B$8))=1,C688&gt;=IF(Nonlabor!$E$17="Core",Nonlabor!$F$17,MAX(Nonlabor!$F$17,IF(Nonlabor!$E$17="AI",Assumptions!$C$24,Assumptions!$C$25))),C688&lt;=Nonlabor!$G$17,OR(Nonlabor!$H$17="Monthly",AND(Nonlabor!$H$17="Once",C688=IF(Nonlabor!$E$17="Core",Nonlabor!$F$17,MAX(Nonlabor!$F$17,IF(Nonlabor!$E$17="AI",Assumptions!$C$24,Assumptions!$C$25)))),AND(Nonlabor!$H$17="Annual",MOD(C688-IF(Nonlabor!$E$17="Core",Nonlabor!$F$17,MAX(Nonlabor!$F$17,IF(Nonlabor!$E$17="AI",Assumptions!$C$24,Assumptions!$C$25))),12)=0))),IF(Nonlabor!$I$17="Fixed",1,IF(Nonlabor!$I$17="Seats",ROUNDUP('Monthly Lean'!I28,0),IF(Nonlabor!$I$17="Customers",'Monthly Lean'!D28,IF(Nonlabor!$I$17="NewCustomers",'Monthly Lean'!C28,IF(Nonlabor!$I$17="StorageGB",'Monthly Lean'!G28,IF(Nonlabor!$I$17="LogGB",'Monthly Lean'!H28,IF(Nonlabor!$I$17="RequestsM",'Monthly Lean'!F28,IF(Nonlabor!$I$17="InputM",'Monthly Lean'!D28*Assumptions!$C$22/1000000,IF(Nonlabor!$I$17="OutputM",'Monthly Lean'!D28*Assumptions!$C$23/1000000,0))))))))),0)</f>
        <v>0</v>
      </c>
      <c r="F688" s="10" t="n">
        <f aca="false">Nonlabor!$J$17*(1+Assumptions!$C$9)^INT((C688-1)/12)</f>
        <v>18540</v>
      </c>
      <c r="G688" s="10" t="n">
        <f aca="false">E688*F688</f>
        <v>0</v>
      </c>
      <c r="H688" s="10" t="n">
        <f aca="false">IF(OR(Nonlabor!$L$17="Quote required",Nonlabor!$L$17="Unverified"),G688,0)</f>
        <v>0</v>
      </c>
      <c r="I688" s="10" t="n">
        <f aca="false">IF(Nonlabor!$E$17="Core",0,G688)</f>
        <v>0</v>
      </c>
      <c r="J688" s="23" t="str">
        <f aca="false">Nonlabor!$B$17</f>
        <v>SECURITY</v>
      </c>
    </row>
    <row r="689" customFormat="false" ht="15" hidden="false" customHeight="false" outlineLevel="0" collapsed="false">
      <c r="A689" s="6" t="s">
        <v>72</v>
      </c>
      <c r="B689" s="6" t="s">
        <v>410</v>
      </c>
      <c r="C689" s="6" t="n">
        <v>24</v>
      </c>
      <c r="D689" s="25" t="n">
        <f aca="false">EDATE('Start Here'!$B$6,C689-1)</f>
        <v>47027</v>
      </c>
      <c r="E689" s="23" t="n">
        <f aca="false">IF(AND(OR(Nonlabor!$D$17="Both",Nonlabor!$D$17='Start Here'!$B$9),IF(Nonlabor!$E$17="Core",1,IF(Nonlabor!$E$17="AI",'Start Here'!$B$7,'Start Here'!$B$8))=1,C689&gt;=IF(Nonlabor!$E$17="Core",Nonlabor!$F$17,MAX(Nonlabor!$F$17,IF(Nonlabor!$E$17="AI",Assumptions!$C$24,Assumptions!$C$25))),C689&lt;=Nonlabor!$G$17,OR(Nonlabor!$H$17="Monthly",AND(Nonlabor!$H$17="Once",C689=IF(Nonlabor!$E$17="Core",Nonlabor!$F$17,MAX(Nonlabor!$F$17,IF(Nonlabor!$E$17="AI",Assumptions!$C$24,Assumptions!$C$25)))),AND(Nonlabor!$H$17="Annual",MOD(C689-IF(Nonlabor!$E$17="Core",Nonlabor!$F$17,MAX(Nonlabor!$F$17,IF(Nonlabor!$E$17="AI",Assumptions!$C$24,Assumptions!$C$25))),12)=0))),IF(Nonlabor!$I$17="Fixed",1,IF(Nonlabor!$I$17="Seats",ROUNDUP('Monthly Lean'!I29,0),IF(Nonlabor!$I$17="Customers",'Monthly Lean'!D29,IF(Nonlabor!$I$17="NewCustomers",'Monthly Lean'!C29,IF(Nonlabor!$I$17="StorageGB",'Monthly Lean'!G29,IF(Nonlabor!$I$17="LogGB",'Monthly Lean'!H29,IF(Nonlabor!$I$17="RequestsM",'Monthly Lean'!F29,IF(Nonlabor!$I$17="InputM",'Monthly Lean'!D29*Assumptions!$C$22/1000000,IF(Nonlabor!$I$17="OutputM",'Monthly Lean'!D29*Assumptions!$C$23/1000000,0))))))))),0)</f>
        <v>0</v>
      </c>
      <c r="F689" s="10" t="n">
        <f aca="false">Nonlabor!$J$17*(1+Assumptions!$C$9)^INT((C689-1)/12)</f>
        <v>18540</v>
      </c>
      <c r="G689" s="10" t="n">
        <f aca="false">E689*F689</f>
        <v>0</v>
      </c>
      <c r="H689" s="10" t="n">
        <f aca="false">IF(OR(Nonlabor!$L$17="Quote required",Nonlabor!$L$17="Unverified"),G689,0)</f>
        <v>0</v>
      </c>
      <c r="I689" s="10" t="n">
        <f aca="false">IF(Nonlabor!$E$17="Core",0,G689)</f>
        <v>0</v>
      </c>
      <c r="J689" s="23" t="str">
        <f aca="false">Nonlabor!$B$17</f>
        <v>SECURITY</v>
      </c>
    </row>
    <row r="690" customFormat="false" ht="15" hidden="false" customHeight="false" outlineLevel="0" collapsed="false">
      <c r="A690" s="6" t="s">
        <v>72</v>
      </c>
      <c r="B690" s="6" t="s">
        <v>410</v>
      </c>
      <c r="C690" s="6" t="n">
        <v>25</v>
      </c>
      <c r="D690" s="25" t="n">
        <f aca="false">EDATE('Start Here'!$B$6,C690-1)</f>
        <v>47058</v>
      </c>
      <c r="E690" s="23" t="n">
        <f aca="false">IF(AND(OR(Nonlabor!$D$17="Both",Nonlabor!$D$17='Start Here'!$B$9),IF(Nonlabor!$E$17="Core",1,IF(Nonlabor!$E$17="AI",'Start Here'!$B$7,'Start Here'!$B$8))=1,C690&gt;=IF(Nonlabor!$E$17="Core",Nonlabor!$F$17,MAX(Nonlabor!$F$17,IF(Nonlabor!$E$17="AI",Assumptions!$C$24,Assumptions!$C$25))),C690&lt;=Nonlabor!$G$17,OR(Nonlabor!$H$17="Monthly",AND(Nonlabor!$H$17="Once",C690=IF(Nonlabor!$E$17="Core",Nonlabor!$F$17,MAX(Nonlabor!$F$17,IF(Nonlabor!$E$17="AI",Assumptions!$C$24,Assumptions!$C$25)))),AND(Nonlabor!$H$17="Annual",MOD(C690-IF(Nonlabor!$E$17="Core",Nonlabor!$F$17,MAX(Nonlabor!$F$17,IF(Nonlabor!$E$17="AI",Assumptions!$C$24,Assumptions!$C$25))),12)=0))),IF(Nonlabor!$I$17="Fixed",1,IF(Nonlabor!$I$17="Seats",ROUNDUP('Monthly Lean'!I30,0),IF(Nonlabor!$I$17="Customers",'Monthly Lean'!D30,IF(Nonlabor!$I$17="NewCustomers",'Monthly Lean'!C30,IF(Nonlabor!$I$17="StorageGB",'Monthly Lean'!G30,IF(Nonlabor!$I$17="LogGB",'Monthly Lean'!H30,IF(Nonlabor!$I$17="RequestsM",'Monthly Lean'!F30,IF(Nonlabor!$I$17="InputM",'Monthly Lean'!D30*Assumptions!$C$22/1000000,IF(Nonlabor!$I$17="OutputM",'Monthly Lean'!D30*Assumptions!$C$23/1000000,0))))))))),0)</f>
        <v>0</v>
      </c>
      <c r="F690" s="10" t="n">
        <f aca="false">Nonlabor!$J$17*(1+Assumptions!$C$9)^INT((C690-1)/12)</f>
        <v>19096.2</v>
      </c>
      <c r="G690" s="10" t="n">
        <f aca="false">E690*F690</f>
        <v>0</v>
      </c>
      <c r="H690" s="10" t="n">
        <f aca="false">IF(OR(Nonlabor!$L$17="Quote required",Nonlabor!$L$17="Unverified"),G690,0)</f>
        <v>0</v>
      </c>
      <c r="I690" s="10" t="n">
        <f aca="false">IF(Nonlabor!$E$17="Core",0,G690)</f>
        <v>0</v>
      </c>
      <c r="J690" s="23" t="str">
        <f aca="false">Nonlabor!$B$17</f>
        <v>SECURITY</v>
      </c>
    </row>
    <row r="691" customFormat="false" ht="15" hidden="false" customHeight="false" outlineLevel="0" collapsed="false">
      <c r="A691" s="6" t="s">
        <v>72</v>
      </c>
      <c r="B691" s="6" t="s">
        <v>410</v>
      </c>
      <c r="C691" s="6" t="n">
        <v>26</v>
      </c>
      <c r="D691" s="25" t="n">
        <f aca="false">EDATE('Start Here'!$B$6,C691-1)</f>
        <v>47088</v>
      </c>
      <c r="E691" s="23" t="n">
        <f aca="false">IF(AND(OR(Nonlabor!$D$17="Both",Nonlabor!$D$17='Start Here'!$B$9),IF(Nonlabor!$E$17="Core",1,IF(Nonlabor!$E$17="AI",'Start Here'!$B$7,'Start Here'!$B$8))=1,C691&gt;=IF(Nonlabor!$E$17="Core",Nonlabor!$F$17,MAX(Nonlabor!$F$17,IF(Nonlabor!$E$17="AI",Assumptions!$C$24,Assumptions!$C$25))),C691&lt;=Nonlabor!$G$17,OR(Nonlabor!$H$17="Monthly",AND(Nonlabor!$H$17="Once",C691=IF(Nonlabor!$E$17="Core",Nonlabor!$F$17,MAX(Nonlabor!$F$17,IF(Nonlabor!$E$17="AI",Assumptions!$C$24,Assumptions!$C$25)))),AND(Nonlabor!$H$17="Annual",MOD(C691-IF(Nonlabor!$E$17="Core",Nonlabor!$F$17,MAX(Nonlabor!$F$17,IF(Nonlabor!$E$17="AI",Assumptions!$C$24,Assumptions!$C$25))),12)=0))),IF(Nonlabor!$I$17="Fixed",1,IF(Nonlabor!$I$17="Seats",ROUNDUP('Monthly Lean'!I31,0),IF(Nonlabor!$I$17="Customers",'Monthly Lean'!D31,IF(Nonlabor!$I$17="NewCustomers",'Monthly Lean'!C31,IF(Nonlabor!$I$17="StorageGB",'Monthly Lean'!G31,IF(Nonlabor!$I$17="LogGB",'Monthly Lean'!H31,IF(Nonlabor!$I$17="RequestsM",'Monthly Lean'!F31,IF(Nonlabor!$I$17="InputM",'Monthly Lean'!D31*Assumptions!$C$22/1000000,IF(Nonlabor!$I$17="OutputM",'Monthly Lean'!D31*Assumptions!$C$23/1000000,0))))))))),0)</f>
        <v>0</v>
      </c>
      <c r="F691" s="10" t="n">
        <f aca="false">Nonlabor!$J$17*(1+Assumptions!$C$9)^INT((C691-1)/12)</f>
        <v>19096.2</v>
      </c>
      <c r="G691" s="10" t="n">
        <f aca="false">E691*F691</f>
        <v>0</v>
      </c>
      <c r="H691" s="10" t="n">
        <f aca="false">IF(OR(Nonlabor!$L$17="Quote required",Nonlabor!$L$17="Unverified"),G691,0)</f>
        <v>0</v>
      </c>
      <c r="I691" s="10" t="n">
        <f aca="false">IF(Nonlabor!$E$17="Core",0,G691)</f>
        <v>0</v>
      </c>
      <c r="J691" s="23" t="str">
        <f aca="false">Nonlabor!$B$17</f>
        <v>SECURITY</v>
      </c>
    </row>
    <row r="692" customFormat="false" ht="15" hidden="false" customHeight="false" outlineLevel="0" collapsed="false">
      <c r="A692" s="6" t="s">
        <v>72</v>
      </c>
      <c r="B692" s="6" t="s">
        <v>410</v>
      </c>
      <c r="C692" s="6" t="n">
        <v>27</v>
      </c>
      <c r="D692" s="25" t="n">
        <f aca="false">EDATE('Start Here'!$B$6,C692-1)</f>
        <v>47119</v>
      </c>
      <c r="E692" s="23" t="n">
        <f aca="false">IF(AND(OR(Nonlabor!$D$17="Both",Nonlabor!$D$17='Start Here'!$B$9),IF(Nonlabor!$E$17="Core",1,IF(Nonlabor!$E$17="AI",'Start Here'!$B$7,'Start Here'!$B$8))=1,C692&gt;=IF(Nonlabor!$E$17="Core",Nonlabor!$F$17,MAX(Nonlabor!$F$17,IF(Nonlabor!$E$17="AI",Assumptions!$C$24,Assumptions!$C$25))),C692&lt;=Nonlabor!$G$17,OR(Nonlabor!$H$17="Monthly",AND(Nonlabor!$H$17="Once",C692=IF(Nonlabor!$E$17="Core",Nonlabor!$F$17,MAX(Nonlabor!$F$17,IF(Nonlabor!$E$17="AI",Assumptions!$C$24,Assumptions!$C$25)))),AND(Nonlabor!$H$17="Annual",MOD(C692-IF(Nonlabor!$E$17="Core",Nonlabor!$F$17,MAX(Nonlabor!$F$17,IF(Nonlabor!$E$17="AI",Assumptions!$C$24,Assumptions!$C$25))),12)=0))),IF(Nonlabor!$I$17="Fixed",1,IF(Nonlabor!$I$17="Seats",ROUNDUP('Monthly Lean'!I32,0),IF(Nonlabor!$I$17="Customers",'Monthly Lean'!D32,IF(Nonlabor!$I$17="NewCustomers",'Monthly Lean'!C32,IF(Nonlabor!$I$17="StorageGB",'Monthly Lean'!G32,IF(Nonlabor!$I$17="LogGB",'Monthly Lean'!H32,IF(Nonlabor!$I$17="RequestsM",'Monthly Lean'!F32,IF(Nonlabor!$I$17="InputM",'Monthly Lean'!D32*Assumptions!$C$22/1000000,IF(Nonlabor!$I$17="OutputM",'Monthly Lean'!D32*Assumptions!$C$23/1000000,0))))))))),0)</f>
        <v>0</v>
      </c>
      <c r="F692" s="10" t="n">
        <f aca="false">Nonlabor!$J$17*(1+Assumptions!$C$9)^INT((C692-1)/12)</f>
        <v>19096.2</v>
      </c>
      <c r="G692" s="10" t="n">
        <f aca="false">E692*F692</f>
        <v>0</v>
      </c>
      <c r="H692" s="10" t="n">
        <f aca="false">IF(OR(Nonlabor!$L$17="Quote required",Nonlabor!$L$17="Unverified"),G692,0)</f>
        <v>0</v>
      </c>
      <c r="I692" s="10" t="n">
        <f aca="false">IF(Nonlabor!$E$17="Core",0,G692)</f>
        <v>0</v>
      </c>
      <c r="J692" s="23" t="str">
        <f aca="false">Nonlabor!$B$17</f>
        <v>SECURITY</v>
      </c>
    </row>
    <row r="693" customFormat="false" ht="15" hidden="false" customHeight="false" outlineLevel="0" collapsed="false">
      <c r="A693" s="6" t="s">
        <v>72</v>
      </c>
      <c r="B693" s="6" t="s">
        <v>410</v>
      </c>
      <c r="C693" s="6" t="n">
        <v>28</v>
      </c>
      <c r="D693" s="25" t="n">
        <f aca="false">EDATE('Start Here'!$B$6,C693-1)</f>
        <v>47150</v>
      </c>
      <c r="E693" s="23" t="n">
        <f aca="false">IF(AND(OR(Nonlabor!$D$17="Both",Nonlabor!$D$17='Start Here'!$B$9),IF(Nonlabor!$E$17="Core",1,IF(Nonlabor!$E$17="AI",'Start Here'!$B$7,'Start Here'!$B$8))=1,C693&gt;=IF(Nonlabor!$E$17="Core",Nonlabor!$F$17,MAX(Nonlabor!$F$17,IF(Nonlabor!$E$17="AI",Assumptions!$C$24,Assumptions!$C$25))),C693&lt;=Nonlabor!$G$17,OR(Nonlabor!$H$17="Monthly",AND(Nonlabor!$H$17="Once",C693=IF(Nonlabor!$E$17="Core",Nonlabor!$F$17,MAX(Nonlabor!$F$17,IF(Nonlabor!$E$17="AI",Assumptions!$C$24,Assumptions!$C$25)))),AND(Nonlabor!$H$17="Annual",MOD(C693-IF(Nonlabor!$E$17="Core",Nonlabor!$F$17,MAX(Nonlabor!$F$17,IF(Nonlabor!$E$17="AI",Assumptions!$C$24,Assumptions!$C$25))),12)=0))),IF(Nonlabor!$I$17="Fixed",1,IF(Nonlabor!$I$17="Seats",ROUNDUP('Monthly Lean'!I33,0),IF(Nonlabor!$I$17="Customers",'Monthly Lean'!D33,IF(Nonlabor!$I$17="NewCustomers",'Monthly Lean'!C33,IF(Nonlabor!$I$17="StorageGB",'Monthly Lean'!G33,IF(Nonlabor!$I$17="LogGB",'Monthly Lean'!H33,IF(Nonlabor!$I$17="RequestsM",'Monthly Lean'!F33,IF(Nonlabor!$I$17="InputM",'Monthly Lean'!D33*Assumptions!$C$22/1000000,IF(Nonlabor!$I$17="OutputM",'Monthly Lean'!D33*Assumptions!$C$23/1000000,0))))))))),0)</f>
        <v>0</v>
      </c>
      <c r="F693" s="10" t="n">
        <f aca="false">Nonlabor!$J$17*(1+Assumptions!$C$9)^INT((C693-1)/12)</f>
        <v>19096.2</v>
      </c>
      <c r="G693" s="10" t="n">
        <f aca="false">E693*F693</f>
        <v>0</v>
      </c>
      <c r="H693" s="10" t="n">
        <f aca="false">IF(OR(Nonlabor!$L$17="Quote required",Nonlabor!$L$17="Unverified"),G693,0)</f>
        <v>0</v>
      </c>
      <c r="I693" s="10" t="n">
        <f aca="false">IF(Nonlabor!$E$17="Core",0,G693)</f>
        <v>0</v>
      </c>
      <c r="J693" s="23" t="str">
        <f aca="false">Nonlabor!$B$17</f>
        <v>SECURITY</v>
      </c>
    </row>
    <row r="694" customFormat="false" ht="15" hidden="false" customHeight="false" outlineLevel="0" collapsed="false">
      <c r="A694" s="6" t="s">
        <v>72</v>
      </c>
      <c r="B694" s="6" t="s">
        <v>410</v>
      </c>
      <c r="C694" s="6" t="n">
        <v>29</v>
      </c>
      <c r="D694" s="25" t="n">
        <f aca="false">EDATE('Start Here'!$B$6,C694-1)</f>
        <v>47178</v>
      </c>
      <c r="E694" s="23" t="n">
        <f aca="false">IF(AND(OR(Nonlabor!$D$17="Both",Nonlabor!$D$17='Start Here'!$B$9),IF(Nonlabor!$E$17="Core",1,IF(Nonlabor!$E$17="AI",'Start Here'!$B$7,'Start Here'!$B$8))=1,C694&gt;=IF(Nonlabor!$E$17="Core",Nonlabor!$F$17,MAX(Nonlabor!$F$17,IF(Nonlabor!$E$17="AI",Assumptions!$C$24,Assumptions!$C$25))),C694&lt;=Nonlabor!$G$17,OR(Nonlabor!$H$17="Monthly",AND(Nonlabor!$H$17="Once",C694=IF(Nonlabor!$E$17="Core",Nonlabor!$F$17,MAX(Nonlabor!$F$17,IF(Nonlabor!$E$17="AI",Assumptions!$C$24,Assumptions!$C$25)))),AND(Nonlabor!$H$17="Annual",MOD(C694-IF(Nonlabor!$E$17="Core",Nonlabor!$F$17,MAX(Nonlabor!$F$17,IF(Nonlabor!$E$17="AI",Assumptions!$C$24,Assumptions!$C$25))),12)=0))),IF(Nonlabor!$I$17="Fixed",1,IF(Nonlabor!$I$17="Seats",ROUNDUP('Monthly Lean'!I34,0),IF(Nonlabor!$I$17="Customers",'Monthly Lean'!D34,IF(Nonlabor!$I$17="NewCustomers",'Monthly Lean'!C34,IF(Nonlabor!$I$17="StorageGB",'Monthly Lean'!G34,IF(Nonlabor!$I$17="LogGB",'Monthly Lean'!H34,IF(Nonlabor!$I$17="RequestsM",'Monthly Lean'!F34,IF(Nonlabor!$I$17="InputM",'Monthly Lean'!D34*Assumptions!$C$22/1000000,IF(Nonlabor!$I$17="OutputM",'Monthly Lean'!D34*Assumptions!$C$23/1000000,0))))))))),0)</f>
        <v>0</v>
      </c>
      <c r="F694" s="10" t="n">
        <f aca="false">Nonlabor!$J$17*(1+Assumptions!$C$9)^INT((C694-1)/12)</f>
        <v>19096.2</v>
      </c>
      <c r="G694" s="10" t="n">
        <f aca="false">E694*F694</f>
        <v>0</v>
      </c>
      <c r="H694" s="10" t="n">
        <f aca="false">IF(OR(Nonlabor!$L$17="Quote required",Nonlabor!$L$17="Unverified"),G694,0)</f>
        <v>0</v>
      </c>
      <c r="I694" s="10" t="n">
        <f aca="false">IF(Nonlabor!$E$17="Core",0,G694)</f>
        <v>0</v>
      </c>
      <c r="J694" s="23" t="str">
        <f aca="false">Nonlabor!$B$17</f>
        <v>SECURITY</v>
      </c>
    </row>
    <row r="695" customFormat="false" ht="15" hidden="false" customHeight="false" outlineLevel="0" collapsed="false">
      <c r="A695" s="6" t="s">
        <v>72</v>
      </c>
      <c r="B695" s="6" t="s">
        <v>410</v>
      </c>
      <c r="C695" s="6" t="n">
        <v>30</v>
      </c>
      <c r="D695" s="25" t="n">
        <f aca="false">EDATE('Start Here'!$B$6,C695-1)</f>
        <v>47209</v>
      </c>
      <c r="E695" s="23" t="n">
        <f aca="false">IF(AND(OR(Nonlabor!$D$17="Both",Nonlabor!$D$17='Start Here'!$B$9),IF(Nonlabor!$E$17="Core",1,IF(Nonlabor!$E$17="AI",'Start Here'!$B$7,'Start Here'!$B$8))=1,C695&gt;=IF(Nonlabor!$E$17="Core",Nonlabor!$F$17,MAX(Nonlabor!$F$17,IF(Nonlabor!$E$17="AI",Assumptions!$C$24,Assumptions!$C$25))),C695&lt;=Nonlabor!$G$17,OR(Nonlabor!$H$17="Monthly",AND(Nonlabor!$H$17="Once",C695=IF(Nonlabor!$E$17="Core",Nonlabor!$F$17,MAX(Nonlabor!$F$17,IF(Nonlabor!$E$17="AI",Assumptions!$C$24,Assumptions!$C$25)))),AND(Nonlabor!$H$17="Annual",MOD(C695-IF(Nonlabor!$E$17="Core",Nonlabor!$F$17,MAX(Nonlabor!$F$17,IF(Nonlabor!$E$17="AI",Assumptions!$C$24,Assumptions!$C$25))),12)=0))),IF(Nonlabor!$I$17="Fixed",1,IF(Nonlabor!$I$17="Seats",ROUNDUP('Monthly Lean'!I35,0),IF(Nonlabor!$I$17="Customers",'Monthly Lean'!D35,IF(Nonlabor!$I$17="NewCustomers",'Monthly Lean'!C35,IF(Nonlabor!$I$17="StorageGB",'Monthly Lean'!G35,IF(Nonlabor!$I$17="LogGB",'Monthly Lean'!H35,IF(Nonlabor!$I$17="RequestsM",'Monthly Lean'!F35,IF(Nonlabor!$I$17="InputM",'Monthly Lean'!D35*Assumptions!$C$22/1000000,IF(Nonlabor!$I$17="OutputM",'Monthly Lean'!D35*Assumptions!$C$23/1000000,0))))))))),0)</f>
        <v>0</v>
      </c>
      <c r="F695" s="10" t="n">
        <f aca="false">Nonlabor!$J$17*(1+Assumptions!$C$9)^INT((C695-1)/12)</f>
        <v>19096.2</v>
      </c>
      <c r="G695" s="10" t="n">
        <f aca="false">E695*F695</f>
        <v>0</v>
      </c>
      <c r="H695" s="10" t="n">
        <f aca="false">IF(OR(Nonlabor!$L$17="Quote required",Nonlabor!$L$17="Unverified"),G695,0)</f>
        <v>0</v>
      </c>
      <c r="I695" s="10" t="n">
        <f aca="false">IF(Nonlabor!$E$17="Core",0,G695)</f>
        <v>0</v>
      </c>
      <c r="J695" s="23" t="str">
        <f aca="false">Nonlabor!$B$17</f>
        <v>SECURITY</v>
      </c>
    </row>
    <row r="696" customFormat="false" ht="15" hidden="false" customHeight="false" outlineLevel="0" collapsed="false">
      <c r="A696" s="6" t="s">
        <v>72</v>
      </c>
      <c r="B696" s="6" t="s">
        <v>410</v>
      </c>
      <c r="C696" s="6" t="n">
        <v>31</v>
      </c>
      <c r="D696" s="25" t="n">
        <f aca="false">EDATE('Start Here'!$B$6,C696-1)</f>
        <v>47239</v>
      </c>
      <c r="E696" s="23" t="n">
        <f aca="false">IF(AND(OR(Nonlabor!$D$17="Both",Nonlabor!$D$17='Start Here'!$B$9),IF(Nonlabor!$E$17="Core",1,IF(Nonlabor!$E$17="AI",'Start Here'!$B$7,'Start Here'!$B$8))=1,C696&gt;=IF(Nonlabor!$E$17="Core",Nonlabor!$F$17,MAX(Nonlabor!$F$17,IF(Nonlabor!$E$17="AI",Assumptions!$C$24,Assumptions!$C$25))),C696&lt;=Nonlabor!$G$17,OR(Nonlabor!$H$17="Monthly",AND(Nonlabor!$H$17="Once",C696=IF(Nonlabor!$E$17="Core",Nonlabor!$F$17,MAX(Nonlabor!$F$17,IF(Nonlabor!$E$17="AI",Assumptions!$C$24,Assumptions!$C$25)))),AND(Nonlabor!$H$17="Annual",MOD(C696-IF(Nonlabor!$E$17="Core",Nonlabor!$F$17,MAX(Nonlabor!$F$17,IF(Nonlabor!$E$17="AI",Assumptions!$C$24,Assumptions!$C$25))),12)=0))),IF(Nonlabor!$I$17="Fixed",1,IF(Nonlabor!$I$17="Seats",ROUNDUP('Monthly Lean'!I36,0),IF(Nonlabor!$I$17="Customers",'Monthly Lean'!D36,IF(Nonlabor!$I$17="NewCustomers",'Monthly Lean'!C36,IF(Nonlabor!$I$17="StorageGB",'Monthly Lean'!G36,IF(Nonlabor!$I$17="LogGB",'Monthly Lean'!H36,IF(Nonlabor!$I$17="RequestsM",'Monthly Lean'!F36,IF(Nonlabor!$I$17="InputM",'Monthly Lean'!D36*Assumptions!$C$22/1000000,IF(Nonlabor!$I$17="OutputM",'Monthly Lean'!D36*Assumptions!$C$23/1000000,0))))))))),0)</f>
        <v>0</v>
      </c>
      <c r="F696" s="10" t="n">
        <f aca="false">Nonlabor!$J$17*(1+Assumptions!$C$9)^INT((C696-1)/12)</f>
        <v>19096.2</v>
      </c>
      <c r="G696" s="10" t="n">
        <f aca="false">E696*F696</f>
        <v>0</v>
      </c>
      <c r="H696" s="10" t="n">
        <f aca="false">IF(OR(Nonlabor!$L$17="Quote required",Nonlabor!$L$17="Unverified"),G696,0)</f>
        <v>0</v>
      </c>
      <c r="I696" s="10" t="n">
        <f aca="false">IF(Nonlabor!$E$17="Core",0,G696)</f>
        <v>0</v>
      </c>
      <c r="J696" s="23" t="str">
        <f aca="false">Nonlabor!$B$17</f>
        <v>SECURITY</v>
      </c>
    </row>
    <row r="697" customFormat="false" ht="15" hidden="false" customHeight="false" outlineLevel="0" collapsed="false">
      <c r="A697" s="6" t="s">
        <v>72</v>
      </c>
      <c r="B697" s="6" t="s">
        <v>410</v>
      </c>
      <c r="C697" s="6" t="n">
        <v>32</v>
      </c>
      <c r="D697" s="25" t="n">
        <f aca="false">EDATE('Start Here'!$B$6,C697-1)</f>
        <v>47270</v>
      </c>
      <c r="E697" s="23" t="n">
        <f aca="false">IF(AND(OR(Nonlabor!$D$17="Both",Nonlabor!$D$17='Start Here'!$B$9),IF(Nonlabor!$E$17="Core",1,IF(Nonlabor!$E$17="AI",'Start Here'!$B$7,'Start Here'!$B$8))=1,C697&gt;=IF(Nonlabor!$E$17="Core",Nonlabor!$F$17,MAX(Nonlabor!$F$17,IF(Nonlabor!$E$17="AI",Assumptions!$C$24,Assumptions!$C$25))),C697&lt;=Nonlabor!$G$17,OR(Nonlabor!$H$17="Monthly",AND(Nonlabor!$H$17="Once",C697=IF(Nonlabor!$E$17="Core",Nonlabor!$F$17,MAX(Nonlabor!$F$17,IF(Nonlabor!$E$17="AI",Assumptions!$C$24,Assumptions!$C$25)))),AND(Nonlabor!$H$17="Annual",MOD(C697-IF(Nonlabor!$E$17="Core",Nonlabor!$F$17,MAX(Nonlabor!$F$17,IF(Nonlabor!$E$17="AI",Assumptions!$C$24,Assumptions!$C$25))),12)=0))),IF(Nonlabor!$I$17="Fixed",1,IF(Nonlabor!$I$17="Seats",ROUNDUP('Monthly Lean'!I37,0),IF(Nonlabor!$I$17="Customers",'Monthly Lean'!D37,IF(Nonlabor!$I$17="NewCustomers",'Monthly Lean'!C37,IF(Nonlabor!$I$17="StorageGB",'Monthly Lean'!G37,IF(Nonlabor!$I$17="LogGB",'Monthly Lean'!H37,IF(Nonlabor!$I$17="RequestsM",'Monthly Lean'!F37,IF(Nonlabor!$I$17="InputM",'Monthly Lean'!D37*Assumptions!$C$22/1000000,IF(Nonlabor!$I$17="OutputM",'Monthly Lean'!D37*Assumptions!$C$23/1000000,0))))))))),0)</f>
        <v>0</v>
      </c>
      <c r="F697" s="10" t="n">
        <f aca="false">Nonlabor!$J$17*(1+Assumptions!$C$9)^INT((C697-1)/12)</f>
        <v>19096.2</v>
      </c>
      <c r="G697" s="10" t="n">
        <f aca="false">E697*F697</f>
        <v>0</v>
      </c>
      <c r="H697" s="10" t="n">
        <f aca="false">IF(OR(Nonlabor!$L$17="Quote required",Nonlabor!$L$17="Unverified"),G697,0)</f>
        <v>0</v>
      </c>
      <c r="I697" s="10" t="n">
        <f aca="false">IF(Nonlabor!$E$17="Core",0,G697)</f>
        <v>0</v>
      </c>
      <c r="J697" s="23" t="str">
        <f aca="false">Nonlabor!$B$17</f>
        <v>SECURITY</v>
      </c>
    </row>
    <row r="698" customFormat="false" ht="15" hidden="false" customHeight="false" outlineLevel="0" collapsed="false">
      <c r="A698" s="6" t="s">
        <v>72</v>
      </c>
      <c r="B698" s="6" t="s">
        <v>410</v>
      </c>
      <c r="C698" s="6" t="n">
        <v>33</v>
      </c>
      <c r="D698" s="25" t="n">
        <f aca="false">EDATE('Start Here'!$B$6,C698-1)</f>
        <v>47300</v>
      </c>
      <c r="E698" s="23" t="n">
        <f aca="false">IF(AND(OR(Nonlabor!$D$17="Both",Nonlabor!$D$17='Start Here'!$B$9),IF(Nonlabor!$E$17="Core",1,IF(Nonlabor!$E$17="AI",'Start Here'!$B$7,'Start Here'!$B$8))=1,C698&gt;=IF(Nonlabor!$E$17="Core",Nonlabor!$F$17,MAX(Nonlabor!$F$17,IF(Nonlabor!$E$17="AI",Assumptions!$C$24,Assumptions!$C$25))),C698&lt;=Nonlabor!$G$17,OR(Nonlabor!$H$17="Monthly",AND(Nonlabor!$H$17="Once",C698=IF(Nonlabor!$E$17="Core",Nonlabor!$F$17,MAX(Nonlabor!$F$17,IF(Nonlabor!$E$17="AI",Assumptions!$C$24,Assumptions!$C$25)))),AND(Nonlabor!$H$17="Annual",MOD(C698-IF(Nonlabor!$E$17="Core",Nonlabor!$F$17,MAX(Nonlabor!$F$17,IF(Nonlabor!$E$17="AI",Assumptions!$C$24,Assumptions!$C$25))),12)=0))),IF(Nonlabor!$I$17="Fixed",1,IF(Nonlabor!$I$17="Seats",ROUNDUP('Monthly Lean'!I38,0),IF(Nonlabor!$I$17="Customers",'Monthly Lean'!D38,IF(Nonlabor!$I$17="NewCustomers",'Monthly Lean'!C38,IF(Nonlabor!$I$17="StorageGB",'Monthly Lean'!G38,IF(Nonlabor!$I$17="LogGB",'Monthly Lean'!H38,IF(Nonlabor!$I$17="RequestsM",'Monthly Lean'!F38,IF(Nonlabor!$I$17="InputM",'Monthly Lean'!D38*Assumptions!$C$22/1000000,IF(Nonlabor!$I$17="OutputM",'Monthly Lean'!D38*Assumptions!$C$23/1000000,0))))))))),0)</f>
        <v>0</v>
      </c>
      <c r="F698" s="10" t="n">
        <f aca="false">Nonlabor!$J$17*(1+Assumptions!$C$9)^INT((C698-1)/12)</f>
        <v>19096.2</v>
      </c>
      <c r="G698" s="10" t="n">
        <f aca="false">E698*F698</f>
        <v>0</v>
      </c>
      <c r="H698" s="10" t="n">
        <f aca="false">IF(OR(Nonlabor!$L$17="Quote required",Nonlabor!$L$17="Unverified"),G698,0)</f>
        <v>0</v>
      </c>
      <c r="I698" s="10" t="n">
        <f aca="false">IF(Nonlabor!$E$17="Core",0,G698)</f>
        <v>0</v>
      </c>
      <c r="J698" s="23" t="str">
        <f aca="false">Nonlabor!$B$17</f>
        <v>SECURITY</v>
      </c>
    </row>
    <row r="699" customFormat="false" ht="15" hidden="false" customHeight="false" outlineLevel="0" collapsed="false">
      <c r="A699" s="6" t="s">
        <v>72</v>
      </c>
      <c r="B699" s="6" t="s">
        <v>410</v>
      </c>
      <c r="C699" s="6" t="n">
        <v>34</v>
      </c>
      <c r="D699" s="25" t="n">
        <f aca="false">EDATE('Start Here'!$B$6,C699-1)</f>
        <v>47331</v>
      </c>
      <c r="E699" s="23" t="n">
        <f aca="false">IF(AND(OR(Nonlabor!$D$17="Both",Nonlabor!$D$17='Start Here'!$B$9),IF(Nonlabor!$E$17="Core",1,IF(Nonlabor!$E$17="AI",'Start Here'!$B$7,'Start Here'!$B$8))=1,C699&gt;=IF(Nonlabor!$E$17="Core",Nonlabor!$F$17,MAX(Nonlabor!$F$17,IF(Nonlabor!$E$17="AI",Assumptions!$C$24,Assumptions!$C$25))),C699&lt;=Nonlabor!$G$17,OR(Nonlabor!$H$17="Monthly",AND(Nonlabor!$H$17="Once",C699=IF(Nonlabor!$E$17="Core",Nonlabor!$F$17,MAX(Nonlabor!$F$17,IF(Nonlabor!$E$17="AI",Assumptions!$C$24,Assumptions!$C$25)))),AND(Nonlabor!$H$17="Annual",MOD(C699-IF(Nonlabor!$E$17="Core",Nonlabor!$F$17,MAX(Nonlabor!$F$17,IF(Nonlabor!$E$17="AI",Assumptions!$C$24,Assumptions!$C$25))),12)=0))),IF(Nonlabor!$I$17="Fixed",1,IF(Nonlabor!$I$17="Seats",ROUNDUP('Monthly Lean'!I39,0),IF(Nonlabor!$I$17="Customers",'Monthly Lean'!D39,IF(Nonlabor!$I$17="NewCustomers",'Monthly Lean'!C39,IF(Nonlabor!$I$17="StorageGB",'Monthly Lean'!G39,IF(Nonlabor!$I$17="LogGB",'Monthly Lean'!H39,IF(Nonlabor!$I$17="RequestsM",'Monthly Lean'!F39,IF(Nonlabor!$I$17="InputM",'Monthly Lean'!D39*Assumptions!$C$22/1000000,IF(Nonlabor!$I$17="OutputM",'Monthly Lean'!D39*Assumptions!$C$23/1000000,0))))))))),0)</f>
        <v>1</v>
      </c>
      <c r="F699" s="10" t="n">
        <f aca="false">Nonlabor!$J$17*(1+Assumptions!$C$9)^INT((C699-1)/12)</f>
        <v>19096.2</v>
      </c>
      <c r="G699" s="10" t="n">
        <f aca="false">E699*F699</f>
        <v>19096.2</v>
      </c>
      <c r="H699" s="10" t="n">
        <f aca="false">IF(OR(Nonlabor!$L$17="Quote required",Nonlabor!$L$17="Unverified"),G699,0)</f>
        <v>19096.2</v>
      </c>
      <c r="I699" s="10" t="n">
        <f aca="false">IF(Nonlabor!$E$17="Core",0,G699)</f>
        <v>0</v>
      </c>
      <c r="J699" s="23" t="str">
        <f aca="false">Nonlabor!$B$17</f>
        <v>SECURITY</v>
      </c>
    </row>
    <row r="700" customFormat="false" ht="15" hidden="false" customHeight="false" outlineLevel="0" collapsed="false">
      <c r="A700" s="6" t="s">
        <v>72</v>
      </c>
      <c r="B700" s="6" t="s">
        <v>410</v>
      </c>
      <c r="C700" s="6" t="n">
        <v>35</v>
      </c>
      <c r="D700" s="25" t="n">
        <f aca="false">EDATE('Start Here'!$B$6,C700-1)</f>
        <v>47362</v>
      </c>
      <c r="E700" s="23" t="n">
        <f aca="false">IF(AND(OR(Nonlabor!$D$17="Both",Nonlabor!$D$17='Start Here'!$B$9),IF(Nonlabor!$E$17="Core",1,IF(Nonlabor!$E$17="AI",'Start Here'!$B$7,'Start Here'!$B$8))=1,C700&gt;=IF(Nonlabor!$E$17="Core",Nonlabor!$F$17,MAX(Nonlabor!$F$17,IF(Nonlabor!$E$17="AI",Assumptions!$C$24,Assumptions!$C$25))),C700&lt;=Nonlabor!$G$17,OR(Nonlabor!$H$17="Monthly",AND(Nonlabor!$H$17="Once",C700=IF(Nonlabor!$E$17="Core",Nonlabor!$F$17,MAX(Nonlabor!$F$17,IF(Nonlabor!$E$17="AI",Assumptions!$C$24,Assumptions!$C$25)))),AND(Nonlabor!$H$17="Annual",MOD(C700-IF(Nonlabor!$E$17="Core",Nonlabor!$F$17,MAX(Nonlabor!$F$17,IF(Nonlabor!$E$17="AI",Assumptions!$C$24,Assumptions!$C$25))),12)=0))),IF(Nonlabor!$I$17="Fixed",1,IF(Nonlabor!$I$17="Seats",ROUNDUP('Monthly Lean'!I40,0),IF(Nonlabor!$I$17="Customers",'Monthly Lean'!D40,IF(Nonlabor!$I$17="NewCustomers",'Monthly Lean'!C40,IF(Nonlabor!$I$17="StorageGB",'Monthly Lean'!G40,IF(Nonlabor!$I$17="LogGB",'Monthly Lean'!H40,IF(Nonlabor!$I$17="RequestsM",'Monthly Lean'!F40,IF(Nonlabor!$I$17="InputM",'Monthly Lean'!D40*Assumptions!$C$22/1000000,IF(Nonlabor!$I$17="OutputM",'Monthly Lean'!D40*Assumptions!$C$23/1000000,0))))))))),0)</f>
        <v>0</v>
      </c>
      <c r="F700" s="10" t="n">
        <f aca="false">Nonlabor!$J$17*(1+Assumptions!$C$9)^INT((C700-1)/12)</f>
        <v>19096.2</v>
      </c>
      <c r="G700" s="10" t="n">
        <f aca="false">E700*F700</f>
        <v>0</v>
      </c>
      <c r="H700" s="10" t="n">
        <f aca="false">IF(OR(Nonlabor!$L$17="Quote required",Nonlabor!$L$17="Unverified"),G700,0)</f>
        <v>0</v>
      </c>
      <c r="I700" s="10" t="n">
        <f aca="false">IF(Nonlabor!$E$17="Core",0,G700)</f>
        <v>0</v>
      </c>
      <c r="J700" s="23" t="str">
        <f aca="false">Nonlabor!$B$17</f>
        <v>SECURITY</v>
      </c>
    </row>
    <row r="701" customFormat="false" ht="15" hidden="false" customHeight="false" outlineLevel="0" collapsed="false">
      <c r="A701" s="6" t="s">
        <v>72</v>
      </c>
      <c r="B701" s="6" t="s">
        <v>410</v>
      </c>
      <c r="C701" s="6" t="n">
        <v>36</v>
      </c>
      <c r="D701" s="25" t="n">
        <f aca="false">EDATE('Start Here'!$B$6,C701-1)</f>
        <v>47392</v>
      </c>
      <c r="E701" s="23" t="n">
        <f aca="false">IF(AND(OR(Nonlabor!$D$17="Both",Nonlabor!$D$17='Start Here'!$B$9),IF(Nonlabor!$E$17="Core",1,IF(Nonlabor!$E$17="AI",'Start Here'!$B$7,'Start Here'!$B$8))=1,C701&gt;=IF(Nonlabor!$E$17="Core",Nonlabor!$F$17,MAX(Nonlabor!$F$17,IF(Nonlabor!$E$17="AI",Assumptions!$C$24,Assumptions!$C$25))),C701&lt;=Nonlabor!$G$17,OR(Nonlabor!$H$17="Monthly",AND(Nonlabor!$H$17="Once",C701=IF(Nonlabor!$E$17="Core",Nonlabor!$F$17,MAX(Nonlabor!$F$17,IF(Nonlabor!$E$17="AI",Assumptions!$C$24,Assumptions!$C$25)))),AND(Nonlabor!$H$17="Annual",MOD(C701-IF(Nonlabor!$E$17="Core",Nonlabor!$F$17,MAX(Nonlabor!$F$17,IF(Nonlabor!$E$17="AI",Assumptions!$C$24,Assumptions!$C$25))),12)=0))),IF(Nonlabor!$I$17="Fixed",1,IF(Nonlabor!$I$17="Seats",ROUNDUP('Monthly Lean'!I41,0),IF(Nonlabor!$I$17="Customers",'Monthly Lean'!D41,IF(Nonlabor!$I$17="NewCustomers",'Monthly Lean'!C41,IF(Nonlabor!$I$17="StorageGB",'Monthly Lean'!G41,IF(Nonlabor!$I$17="LogGB",'Monthly Lean'!H41,IF(Nonlabor!$I$17="RequestsM",'Monthly Lean'!F41,IF(Nonlabor!$I$17="InputM",'Monthly Lean'!D41*Assumptions!$C$22/1000000,IF(Nonlabor!$I$17="OutputM",'Monthly Lean'!D41*Assumptions!$C$23/1000000,0))))))))),0)</f>
        <v>0</v>
      </c>
      <c r="F701" s="10" t="n">
        <f aca="false">Nonlabor!$J$17*(1+Assumptions!$C$9)^INT((C701-1)/12)</f>
        <v>19096.2</v>
      </c>
      <c r="G701" s="10" t="n">
        <f aca="false">E701*F701</f>
        <v>0</v>
      </c>
      <c r="H701" s="10" t="n">
        <f aca="false">IF(OR(Nonlabor!$L$17="Quote required",Nonlabor!$L$17="Unverified"),G701,0)</f>
        <v>0</v>
      </c>
      <c r="I701" s="10" t="n">
        <f aca="false">IF(Nonlabor!$E$17="Core",0,G701)</f>
        <v>0</v>
      </c>
      <c r="J701" s="23" t="str">
        <f aca="false">Nonlabor!$B$17</f>
        <v>SECURITY</v>
      </c>
    </row>
    <row r="702" customFormat="false" ht="15" hidden="false" customHeight="false" outlineLevel="0" collapsed="false">
      <c r="A702" s="6" t="s">
        <v>72</v>
      </c>
      <c r="B702" s="6" t="s">
        <v>410</v>
      </c>
      <c r="C702" s="6" t="n">
        <v>37</v>
      </c>
      <c r="D702" s="25" t="n">
        <f aca="false">EDATE('Start Here'!$B$6,C702-1)</f>
        <v>47423</v>
      </c>
      <c r="E702" s="23" t="n">
        <f aca="false">IF(AND(OR(Nonlabor!$D$17="Both",Nonlabor!$D$17='Start Here'!$B$9),IF(Nonlabor!$E$17="Core",1,IF(Nonlabor!$E$17="AI",'Start Here'!$B$7,'Start Here'!$B$8))=1,C702&gt;=IF(Nonlabor!$E$17="Core",Nonlabor!$F$17,MAX(Nonlabor!$F$17,IF(Nonlabor!$E$17="AI",Assumptions!$C$24,Assumptions!$C$25))),C702&lt;=Nonlabor!$G$17,OR(Nonlabor!$H$17="Monthly",AND(Nonlabor!$H$17="Once",C702=IF(Nonlabor!$E$17="Core",Nonlabor!$F$17,MAX(Nonlabor!$F$17,IF(Nonlabor!$E$17="AI",Assumptions!$C$24,Assumptions!$C$25)))),AND(Nonlabor!$H$17="Annual",MOD(C702-IF(Nonlabor!$E$17="Core",Nonlabor!$F$17,MAX(Nonlabor!$F$17,IF(Nonlabor!$E$17="AI",Assumptions!$C$24,Assumptions!$C$25))),12)=0))),IF(Nonlabor!$I$17="Fixed",1,IF(Nonlabor!$I$17="Seats",ROUNDUP('Monthly Lean'!I42,0),IF(Nonlabor!$I$17="Customers",'Monthly Lean'!D42,IF(Nonlabor!$I$17="NewCustomers",'Monthly Lean'!C42,IF(Nonlabor!$I$17="StorageGB",'Monthly Lean'!G42,IF(Nonlabor!$I$17="LogGB",'Monthly Lean'!H42,IF(Nonlabor!$I$17="RequestsM",'Monthly Lean'!F42,IF(Nonlabor!$I$17="InputM",'Monthly Lean'!D42*Assumptions!$C$22/1000000,IF(Nonlabor!$I$17="OutputM",'Monthly Lean'!D42*Assumptions!$C$23/1000000,0))))))))),0)</f>
        <v>0</v>
      </c>
      <c r="F702" s="10" t="n">
        <f aca="false">Nonlabor!$J$17*(1+Assumptions!$C$9)^INT((C702-1)/12)</f>
        <v>19669.086</v>
      </c>
      <c r="G702" s="10" t="n">
        <f aca="false">E702*F702</f>
        <v>0</v>
      </c>
      <c r="H702" s="10" t="n">
        <f aca="false">IF(OR(Nonlabor!$L$17="Quote required",Nonlabor!$L$17="Unverified"),G702,0)</f>
        <v>0</v>
      </c>
      <c r="I702" s="10" t="n">
        <f aca="false">IF(Nonlabor!$E$17="Core",0,G702)</f>
        <v>0</v>
      </c>
      <c r="J702" s="23" t="str">
        <f aca="false">Nonlabor!$B$17</f>
        <v>SECURITY</v>
      </c>
    </row>
    <row r="703" customFormat="false" ht="15" hidden="false" customHeight="false" outlineLevel="0" collapsed="false">
      <c r="A703" s="6" t="s">
        <v>72</v>
      </c>
      <c r="B703" s="6" t="s">
        <v>410</v>
      </c>
      <c r="C703" s="6" t="n">
        <v>38</v>
      </c>
      <c r="D703" s="25" t="n">
        <f aca="false">EDATE('Start Here'!$B$6,C703-1)</f>
        <v>47453</v>
      </c>
      <c r="E703" s="23" t="n">
        <f aca="false">IF(AND(OR(Nonlabor!$D$17="Both",Nonlabor!$D$17='Start Here'!$B$9),IF(Nonlabor!$E$17="Core",1,IF(Nonlabor!$E$17="AI",'Start Here'!$B$7,'Start Here'!$B$8))=1,C703&gt;=IF(Nonlabor!$E$17="Core",Nonlabor!$F$17,MAX(Nonlabor!$F$17,IF(Nonlabor!$E$17="AI",Assumptions!$C$24,Assumptions!$C$25))),C703&lt;=Nonlabor!$G$17,OR(Nonlabor!$H$17="Monthly",AND(Nonlabor!$H$17="Once",C703=IF(Nonlabor!$E$17="Core",Nonlabor!$F$17,MAX(Nonlabor!$F$17,IF(Nonlabor!$E$17="AI",Assumptions!$C$24,Assumptions!$C$25)))),AND(Nonlabor!$H$17="Annual",MOD(C703-IF(Nonlabor!$E$17="Core",Nonlabor!$F$17,MAX(Nonlabor!$F$17,IF(Nonlabor!$E$17="AI",Assumptions!$C$24,Assumptions!$C$25))),12)=0))),IF(Nonlabor!$I$17="Fixed",1,IF(Nonlabor!$I$17="Seats",ROUNDUP('Monthly Lean'!I43,0),IF(Nonlabor!$I$17="Customers",'Monthly Lean'!D43,IF(Nonlabor!$I$17="NewCustomers",'Monthly Lean'!C43,IF(Nonlabor!$I$17="StorageGB",'Monthly Lean'!G43,IF(Nonlabor!$I$17="LogGB",'Monthly Lean'!H43,IF(Nonlabor!$I$17="RequestsM",'Monthly Lean'!F43,IF(Nonlabor!$I$17="InputM",'Monthly Lean'!D43*Assumptions!$C$22/1000000,IF(Nonlabor!$I$17="OutputM",'Monthly Lean'!D43*Assumptions!$C$23/1000000,0))))))))),0)</f>
        <v>0</v>
      </c>
      <c r="F703" s="10" t="n">
        <f aca="false">Nonlabor!$J$17*(1+Assumptions!$C$9)^INT((C703-1)/12)</f>
        <v>19669.086</v>
      </c>
      <c r="G703" s="10" t="n">
        <f aca="false">E703*F703</f>
        <v>0</v>
      </c>
      <c r="H703" s="10" t="n">
        <f aca="false">IF(OR(Nonlabor!$L$17="Quote required",Nonlabor!$L$17="Unverified"),G703,0)</f>
        <v>0</v>
      </c>
      <c r="I703" s="10" t="n">
        <f aca="false">IF(Nonlabor!$E$17="Core",0,G703)</f>
        <v>0</v>
      </c>
      <c r="J703" s="23" t="str">
        <f aca="false">Nonlabor!$B$17</f>
        <v>SECURITY</v>
      </c>
    </row>
    <row r="704" customFormat="false" ht="15" hidden="false" customHeight="false" outlineLevel="0" collapsed="false">
      <c r="A704" s="6" t="s">
        <v>72</v>
      </c>
      <c r="B704" s="6" t="s">
        <v>410</v>
      </c>
      <c r="C704" s="6" t="n">
        <v>39</v>
      </c>
      <c r="D704" s="25" t="n">
        <f aca="false">EDATE('Start Here'!$B$6,C704-1)</f>
        <v>47484</v>
      </c>
      <c r="E704" s="23" t="n">
        <f aca="false">IF(AND(OR(Nonlabor!$D$17="Both",Nonlabor!$D$17='Start Here'!$B$9),IF(Nonlabor!$E$17="Core",1,IF(Nonlabor!$E$17="AI",'Start Here'!$B$7,'Start Here'!$B$8))=1,C704&gt;=IF(Nonlabor!$E$17="Core",Nonlabor!$F$17,MAX(Nonlabor!$F$17,IF(Nonlabor!$E$17="AI",Assumptions!$C$24,Assumptions!$C$25))),C704&lt;=Nonlabor!$G$17,OR(Nonlabor!$H$17="Monthly",AND(Nonlabor!$H$17="Once",C704=IF(Nonlabor!$E$17="Core",Nonlabor!$F$17,MAX(Nonlabor!$F$17,IF(Nonlabor!$E$17="AI",Assumptions!$C$24,Assumptions!$C$25)))),AND(Nonlabor!$H$17="Annual",MOD(C704-IF(Nonlabor!$E$17="Core",Nonlabor!$F$17,MAX(Nonlabor!$F$17,IF(Nonlabor!$E$17="AI",Assumptions!$C$24,Assumptions!$C$25))),12)=0))),IF(Nonlabor!$I$17="Fixed",1,IF(Nonlabor!$I$17="Seats",ROUNDUP('Monthly Lean'!I44,0),IF(Nonlabor!$I$17="Customers",'Monthly Lean'!D44,IF(Nonlabor!$I$17="NewCustomers",'Monthly Lean'!C44,IF(Nonlabor!$I$17="StorageGB",'Monthly Lean'!G44,IF(Nonlabor!$I$17="LogGB",'Monthly Lean'!H44,IF(Nonlabor!$I$17="RequestsM",'Monthly Lean'!F44,IF(Nonlabor!$I$17="InputM",'Monthly Lean'!D44*Assumptions!$C$22/1000000,IF(Nonlabor!$I$17="OutputM",'Monthly Lean'!D44*Assumptions!$C$23/1000000,0))))))))),0)</f>
        <v>0</v>
      </c>
      <c r="F704" s="10" t="n">
        <f aca="false">Nonlabor!$J$17*(1+Assumptions!$C$9)^INT((C704-1)/12)</f>
        <v>19669.086</v>
      </c>
      <c r="G704" s="10" t="n">
        <f aca="false">E704*F704</f>
        <v>0</v>
      </c>
      <c r="H704" s="10" t="n">
        <f aca="false">IF(OR(Nonlabor!$L$17="Quote required",Nonlabor!$L$17="Unverified"),G704,0)</f>
        <v>0</v>
      </c>
      <c r="I704" s="10" t="n">
        <f aca="false">IF(Nonlabor!$E$17="Core",0,G704)</f>
        <v>0</v>
      </c>
      <c r="J704" s="23" t="str">
        <f aca="false">Nonlabor!$B$17</f>
        <v>SECURITY</v>
      </c>
    </row>
    <row r="705" customFormat="false" ht="15" hidden="false" customHeight="false" outlineLevel="0" collapsed="false">
      <c r="A705" s="6" t="s">
        <v>72</v>
      </c>
      <c r="B705" s="6" t="s">
        <v>410</v>
      </c>
      <c r="C705" s="6" t="n">
        <v>40</v>
      </c>
      <c r="D705" s="25" t="n">
        <f aca="false">EDATE('Start Here'!$B$6,C705-1)</f>
        <v>47515</v>
      </c>
      <c r="E705" s="23" t="n">
        <f aca="false">IF(AND(OR(Nonlabor!$D$17="Both",Nonlabor!$D$17='Start Here'!$B$9),IF(Nonlabor!$E$17="Core",1,IF(Nonlabor!$E$17="AI",'Start Here'!$B$7,'Start Here'!$B$8))=1,C705&gt;=IF(Nonlabor!$E$17="Core",Nonlabor!$F$17,MAX(Nonlabor!$F$17,IF(Nonlabor!$E$17="AI",Assumptions!$C$24,Assumptions!$C$25))),C705&lt;=Nonlabor!$G$17,OR(Nonlabor!$H$17="Monthly",AND(Nonlabor!$H$17="Once",C705=IF(Nonlabor!$E$17="Core",Nonlabor!$F$17,MAX(Nonlabor!$F$17,IF(Nonlabor!$E$17="AI",Assumptions!$C$24,Assumptions!$C$25)))),AND(Nonlabor!$H$17="Annual",MOD(C705-IF(Nonlabor!$E$17="Core",Nonlabor!$F$17,MAX(Nonlabor!$F$17,IF(Nonlabor!$E$17="AI",Assumptions!$C$24,Assumptions!$C$25))),12)=0))),IF(Nonlabor!$I$17="Fixed",1,IF(Nonlabor!$I$17="Seats",ROUNDUP('Monthly Lean'!I45,0),IF(Nonlabor!$I$17="Customers",'Monthly Lean'!D45,IF(Nonlabor!$I$17="NewCustomers",'Monthly Lean'!C45,IF(Nonlabor!$I$17="StorageGB",'Monthly Lean'!G45,IF(Nonlabor!$I$17="LogGB",'Monthly Lean'!H45,IF(Nonlabor!$I$17="RequestsM",'Monthly Lean'!F45,IF(Nonlabor!$I$17="InputM",'Monthly Lean'!D45*Assumptions!$C$22/1000000,IF(Nonlabor!$I$17="OutputM",'Monthly Lean'!D45*Assumptions!$C$23/1000000,0))))))))),0)</f>
        <v>0</v>
      </c>
      <c r="F705" s="10" t="n">
        <f aca="false">Nonlabor!$J$17*(1+Assumptions!$C$9)^INT((C705-1)/12)</f>
        <v>19669.086</v>
      </c>
      <c r="G705" s="10" t="n">
        <f aca="false">E705*F705</f>
        <v>0</v>
      </c>
      <c r="H705" s="10" t="n">
        <f aca="false">IF(OR(Nonlabor!$L$17="Quote required",Nonlabor!$L$17="Unverified"),G705,0)</f>
        <v>0</v>
      </c>
      <c r="I705" s="10" t="n">
        <f aca="false">IF(Nonlabor!$E$17="Core",0,G705)</f>
        <v>0</v>
      </c>
      <c r="J705" s="23" t="str">
        <f aca="false">Nonlabor!$B$17</f>
        <v>SECURITY</v>
      </c>
    </row>
    <row r="706" customFormat="false" ht="15" hidden="false" customHeight="false" outlineLevel="0" collapsed="false">
      <c r="A706" s="6" t="s">
        <v>72</v>
      </c>
      <c r="B706" s="6" t="s">
        <v>410</v>
      </c>
      <c r="C706" s="6" t="n">
        <v>41</v>
      </c>
      <c r="D706" s="25" t="n">
        <f aca="false">EDATE('Start Here'!$B$6,C706-1)</f>
        <v>47543</v>
      </c>
      <c r="E706" s="23" t="n">
        <f aca="false">IF(AND(OR(Nonlabor!$D$17="Both",Nonlabor!$D$17='Start Here'!$B$9),IF(Nonlabor!$E$17="Core",1,IF(Nonlabor!$E$17="AI",'Start Here'!$B$7,'Start Here'!$B$8))=1,C706&gt;=IF(Nonlabor!$E$17="Core",Nonlabor!$F$17,MAX(Nonlabor!$F$17,IF(Nonlabor!$E$17="AI",Assumptions!$C$24,Assumptions!$C$25))),C706&lt;=Nonlabor!$G$17,OR(Nonlabor!$H$17="Monthly",AND(Nonlabor!$H$17="Once",C706=IF(Nonlabor!$E$17="Core",Nonlabor!$F$17,MAX(Nonlabor!$F$17,IF(Nonlabor!$E$17="AI",Assumptions!$C$24,Assumptions!$C$25)))),AND(Nonlabor!$H$17="Annual",MOD(C706-IF(Nonlabor!$E$17="Core",Nonlabor!$F$17,MAX(Nonlabor!$F$17,IF(Nonlabor!$E$17="AI",Assumptions!$C$24,Assumptions!$C$25))),12)=0))),IF(Nonlabor!$I$17="Fixed",1,IF(Nonlabor!$I$17="Seats",ROUNDUP('Monthly Lean'!I46,0),IF(Nonlabor!$I$17="Customers",'Monthly Lean'!D46,IF(Nonlabor!$I$17="NewCustomers",'Monthly Lean'!C46,IF(Nonlabor!$I$17="StorageGB",'Monthly Lean'!G46,IF(Nonlabor!$I$17="LogGB",'Monthly Lean'!H46,IF(Nonlabor!$I$17="RequestsM",'Monthly Lean'!F46,IF(Nonlabor!$I$17="InputM",'Monthly Lean'!D46*Assumptions!$C$22/1000000,IF(Nonlabor!$I$17="OutputM",'Monthly Lean'!D46*Assumptions!$C$23/1000000,0))))))))),0)</f>
        <v>0</v>
      </c>
      <c r="F706" s="10" t="n">
        <f aca="false">Nonlabor!$J$17*(1+Assumptions!$C$9)^INT((C706-1)/12)</f>
        <v>19669.086</v>
      </c>
      <c r="G706" s="10" t="n">
        <f aca="false">E706*F706</f>
        <v>0</v>
      </c>
      <c r="H706" s="10" t="n">
        <f aca="false">IF(OR(Nonlabor!$L$17="Quote required",Nonlabor!$L$17="Unverified"),G706,0)</f>
        <v>0</v>
      </c>
      <c r="I706" s="10" t="n">
        <f aca="false">IF(Nonlabor!$E$17="Core",0,G706)</f>
        <v>0</v>
      </c>
      <c r="J706" s="23" t="str">
        <f aca="false">Nonlabor!$B$17</f>
        <v>SECURITY</v>
      </c>
    </row>
    <row r="707" customFormat="false" ht="15" hidden="false" customHeight="false" outlineLevel="0" collapsed="false">
      <c r="A707" s="6" t="s">
        <v>72</v>
      </c>
      <c r="B707" s="6" t="s">
        <v>410</v>
      </c>
      <c r="C707" s="6" t="n">
        <v>42</v>
      </c>
      <c r="D707" s="25" t="n">
        <f aca="false">EDATE('Start Here'!$B$6,C707-1)</f>
        <v>47574</v>
      </c>
      <c r="E707" s="23" t="n">
        <f aca="false">IF(AND(OR(Nonlabor!$D$17="Both",Nonlabor!$D$17='Start Here'!$B$9),IF(Nonlabor!$E$17="Core",1,IF(Nonlabor!$E$17="AI",'Start Here'!$B$7,'Start Here'!$B$8))=1,C707&gt;=IF(Nonlabor!$E$17="Core",Nonlabor!$F$17,MAX(Nonlabor!$F$17,IF(Nonlabor!$E$17="AI",Assumptions!$C$24,Assumptions!$C$25))),C707&lt;=Nonlabor!$G$17,OR(Nonlabor!$H$17="Monthly",AND(Nonlabor!$H$17="Once",C707=IF(Nonlabor!$E$17="Core",Nonlabor!$F$17,MAX(Nonlabor!$F$17,IF(Nonlabor!$E$17="AI",Assumptions!$C$24,Assumptions!$C$25)))),AND(Nonlabor!$H$17="Annual",MOD(C707-IF(Nonlabor!$E$17="Core",Nonlabor!$F$17,MAX(Nonlabor!$F$17,IF(Nonlabor!$E$17="AI",Assumptions!$C$24,Assumptions!$C$25))),12)=0))),IF(Nonlabor!$I$17="Fixed",1,IF(Nonlabor!$I$17="Seats",ROUNDUP('Monthly Lean'!I47,0),IF(Nonlabor!$I$17="Customers",'Monthly Lean'!D47,IF(Nonlabor!$I$17="NewCustomers",'Monthly Lean'!C47,IF(Nonlabor!$I$17="StorageGB",'Monthly Lean'!G47,IF(Nonlabor!$I$17="LogGB",'Monthly Lean'!H47,IF(Nonlabor!$I$17="RequestsM",'Monthly Lean'!F47,IF(Nonlabor!$I$17="InputM",'Monthly Lean'!D47*Assumptions!$C$22/1000000,IF(Nonlabor!$I$17="OutputM",'Monthly Lean'!D47*Assumptions!$C$23/1000000,0))))))))),0)</f>
        <v>0</v>
      </c>
      <c r="F707" s="10" t="n">
        <f aca="false">Nonlabor!$J$17*(1+Assumptions!$C$9)^INT((C707-1)/12)</f>
        <v>19669.086</v>
      </c>
      <c r="G707" s="10" t="n">
        <f aca="false">E707*F707</f>
        <v>0</v>
      </c>
      <c r="H707" s="10" t="n">
        <f aca="false">IF(OR(Nonlabor!$L$17="Quote required",Nonlabor!$L$17="Unverified"),G707,0)</f>
        <v>0</v>
      </c>
      <c r="I707" s="10" t="n">
        <f aca="false">IF(Nonlabor!$E$17="Core",0,G707)</f>
        <v>0</v>
      </c>
      <c r="J707" s="23" t="str">
        <f aca="false">Nonlabor!$B$17</f>
        <v>SECURITY</v>
      </c>
    </row>
    <row r="708" customFormat="false" ht="15" hidden="false" customHeight="false" outlineLevel="0" collapsed="false">
      <c r="A708" s="6" t="s">
        <v>72</v>
      </c>
      <c r="B708" s="6" t="s">
        <v>410</v>
      </c>
      <c r="C708" s="6" t="n">
        <v>43</v>
      </c>
      <c r="D708" s="25" t="n">
        <f aca="false">EDATE('Start Here'!$B$6,C708-1)</f>
        <v>47604</v>
      </c>
      <c r="E708" s="23" t="n">
        <f aca="false">IF(AND(OR(Nonlabor!$D$17="Both",Nonlabor!$D$17='Start Here'!$B$9),IF(Nonlabor!$E$17="Core",1,IF(Nonlabor!$E$17="AI",'Start Here'!$B$7,'Start Here'!$B$8))=1,C708&gt;=IF(Nonlabor!$E$17="Core",Nonlabor!$F$17,MAX(Nonlabor!$F$17,IF(Nonlabor!$E$17="AI",Assumptions!$C$24,Assumptions!$C$25))),C708&lt;=Nonlabor!$G$17,OR(Nonlabor!$H$17="Monthly",AND(Nonlabor!$H$17="Once",C708=IF(Nonlabor!$E$17="Core",Nonlabor!$F$17,MAX(Nonlabor!$F$17,IF(Nonlabor!$E$17="AI",Assumptions!$C$24,Assumptions!$C$25)))),AND(Nonlabor!$H$17="Annual",MOD(C708-IF(Nonlabor!$E$17="Core",Nonlabor!$F$17,MAX(Nonlabor!$F$17,IF(Nonlabor!$E$17="AI",Assumptions!$C$24,Assumptions!$C$25))),12)=0))),IF(Nonlabor!$I$17="Fixed",1,IF(Nonlabor!$I$17="Seats",ROUNDUP('Monthly Lean'!I48,0),IF(Nonlabor!$I$17="Customers",'Monthly Lean'!D48,IF(Nonlabor!$I$17="NewCustomers",'Monthly Lean'!C48,IF(Nonlabor!$I$17="StorageGB",'Monthly Lean'!G48,IF(Nonlabor!$I$17="LogGB",'Monthly Lean'!H48,IF(Nonlabor!$I$17="RequestsM",'Monthly Lean'!F48,IF(Nonlabor!$I$17="InputM",'Monthly Lean'!D48*Assumptions!$C$22/1000000,IF(Nonlabor!$I$17="OutputM",'Monthly Lean'!D48*Assumptions!$C$23/1000000,0))))))))),0)</f>
        <v>0</v>
      </c>
      <c r="F708" s="10" t="n">
        <f aca="false">Nonlabor!$J$17*(1+Assumptions!$C$9)^INT((C708-1)/12)</f>
        <v>19669.086</v>
      </c>
      <c r="G708" s="10" t="n">
        <f aca="false">E708*F708</f>
        <v>0</v>
      </c>
      <c r="H708" s="10" t="n">
        <f aca="false">IF(OR(Nonlabor!$L$17="Quote required",Nonlabor!$L$17="Unverified"),G708,0)</f>
        <v>0</v>
      </c>
      <c r="I708" s="10" t="n">
        <f aca="false">IF(Nonlabor!$E$17="Core",0,G708)</f>
        <v>0</v>
      </c>
      <c r="J708" s="23" t="str">
        <f aca="false">Nonlabor!$B$17</f>
        <v>SECURITY</v>
      </c>
    </row>
    <row r="709" customFormat="false" ht="15" hidden="false" customHeight="false" outlineLevel="0" collapsed="false">
      <c r="A709" s="6" t="s">
        <v>72</v>
      </c>
      <c r="B709" s="6" t="s">
        <v>410</v>
      </c>
      <c r="C709" s="6" t="n">
        <v>44</v>
      </c>
      <c r="D709" s="25" t="n">
        <f aca="false">EDATE('Start Here'!$B$6,C709-1)</f>
        <v>47635</v>
      </c>
      <c r="E709" s="23" t="n">
        <f aca="false">IF(AND(OR(Nonlabor!$D$17="Both",Nonlabor!$D$17='Start Here'!$B$9),IF(Nonlabor!$E$17="Core",1,IF(Nonlabor!$E$17="AI",'Start Here'!$B$7,'Start Here'!$B$8))=1,C709&gt;=IF(Nonlabor!$E$17="Core",Nonlabor!$F$17,MAX(Nonlabor!$F$17,IF(Nonlabor!$E$17="AI",Assumptions!$C$24,Assumptions!$C$25))),C709&lt;=Nonlabor!$G$17,OR(Nonlabor!$H$17="Monthly",AND(Nonlabor!$H$17="Once",C709=IF(Nonlabor!$E$17="Core",Nonlabor!$F$17,MAX(Nonlabor!$F$17,IF(Nonlabor!$E$17="AI",Assumptions!$C$24,Assumptions!$C$25)))),AND(Nonlabor!$H$17="Annual",MOD(C709-IF(Nonlabor!$E$17="Core",Nonlabor!$F$17,MAX(Nonlabor!$F$17,IF(Nonlabor!$E$17="AI",Assumptions!$C$24,Assumptions!$C$25))),12)=0))),IF(Nonlabor!$I$17="Fixed",1,IF(Nonlabor!$I$17="Seats",ROUNDUP('Monthly Lean'!I49,0),IF(Nonlabor!$I$17="Customers",'Monthly Lean'!D49,IF(Nonlabor!$I$17="NewCustomers",'Monthly Lean'!C49,IF(Nonlabor!$I$17="StorageGB",'Monthly Lean'!G49,IF(Nonlabor!$I$17="LogGB",'Monthly Lean'!H49,IF(Nonlabor!$I$17="RequestsM",'Monthly Lean'!F49,IF(Nonlabor!$I$17="InputM",'Monthly Lean'!D49*Assumptions!$C$22/1000000,IF(Nonlabor!$I$17="OutputM",'Monthly Lean'!D49*Assumptions!$C$23/1000000,0))))))))),0)</f>
        <v>0</v>
      </c>
      <c r="F709" s="10" t="n">
        <f aca="false">Nonlabor!$J$17*(1+Assumptions!$C$9)^INT((C709-1)/12)</f>
        <v>19669.086</v>
      </c>
      <c r="G709" s="10" t="n">
        <f aca="false">E709*F709</f>
        <v>0</v>
      </c>
      <c r="H709" s="10" t="n">
        <f aca="false">IF(OR(Nonlabor!$L$17="Quote required",Nonlabor!$L$17="Unverified"),G709,0)</f>
        <v>0</v>
      </c>
      <c r="I709" s="10" t="n">
        <f aca="false">IF(Nonlabor!$E$17="Core",0,G709)</f>
        <v>0</v>
      </c>
      <c r="J709" s="23" t="str">
        <f aca="false">Nonlabor!$B$17</f>
        <v>SECURITY</v>
      </c>
    </row>
    <row r="710" customFormat="false" ht="15" hidden="false" customHeight="false" outlineLevel="0" collapsed="false">
      <c r="A710" s="6" t="s">
        <v>72</v>
      </c>
      <c r="B710" s="6" t="s">
        <v>410</v>
      </c>
      <c r="C710" s="6" t="n">
        <v>45</v>
      </c>
      <c r="D710" s="25" t="n">
        <f aca="false">EDATE('Start Here'!$B$6,C710-1)</f>
        <v>47665</v>
      </c>
      <c r="E710" s="23" t="n">
        <f aca="false">IF(AND(OR(Nonlabor!$D$17="Both",Nonlabor!$D$17='Start Here'!$B$9),IF(Nonlabor!$E$17="Core",1,IF(Nonlabor!$E$17="AI",'Start Here'!$B$7,'Start Here'!$B$8))=1,C710&gt;=IF(Nonlabor!$E$17="Core",Nonlabor!$F$17,MAX(Nonlabor!$F$17,IF(Nonlabor!$E$17="AI",Assumptions!$C$24,Assumptions!$C$25))),C710&lt;=Nonlabor!$G$17,OR(Nonlabor!$H$17="Monthly",AND(Nonlabor!$H$17="Once",C710=IF(Nonlabor!$E$17="Core",Nonlabor!$F$17,MAX(Nonlabor!$F$17,IF(Nonlabor!$E$17="AI",Assumptions!$C$24,Assumptions!$C$25)))),AND(Nonlabor!$H$17="Annual",MOD(C710-IF(Nonlabor!$E$17="Core",Nonlabor!$F$17,MAX(Nonlabor!$F$17,IF(Nonlabor!$E$17="AI",Assumptions!$C$24,Assumptions!$C$25))),12)=0))),IF(Nonlabor!$I$17="Fixed",1,IF(Nonlabor!$I$17="Seats",ROUNDUP('Monthly Lean'!I50,0),IF(Nonlabor!$I$17="Customers",'Monthly Lean'!D50,IF(Nonlabor!$I$17="NewCustomers",'Monthly Lean'!C50,IF(Nonlabor!$I$17="StorageGB",'Monthly Lean'!G50,IF(Nonlabor!$I$17="LogGB",'Monthly Lean'!H50,IF(Nonlabor!$I$17="RequestsM",'Monthly Lean'!F50,IF(Nonlabor!$I$17="InputM",'Monthly Lean'!D50*Assumptions!$C$22/1000000,IF(Nonlabor!$I$17="OutputM",'Monthly Lean'!D50*Assumptions!$C$23/1000000,0))))))))),0)</f>
        <v>0</v>
      </c>
      <c r="F710" s="10" t="n">
        <f aca="false">Nonlabor!$J$17*(1+Assumptions!$C$9)^INT((C710-1)/12)</f>
        <v>19669.086</v>
      </c>
      <c r="G710" s="10" t="n">
        <f aca="false">E710*F710</f>
        <v>0</v>
      </c>
      <c r="H710" s="10" t="n">
        <f aca="false">IF(OR(Nonlabor!$L$17="Quote required",Nonlabor!$L$17="Unverified"),G710,0)</f>
        <v>0</v>
      </c>
      <c r="I710" s="10" t="n">
        <f aca="false">IF(Nonlabor!$E$17="Core",0,G710)</f>
        <v>0</v>
      </c>
      <c r="J710" s="23" t="str">
        <f aca="false">Nonlabor!$B$17</f>
        <v>SECURITY</v>
      </c>
    </row>
    <row r="711" customFormat="false" ht="15" hidden="false" customHeight="false" outlineLevel="0" collapsed="false">
      <c r="A711" s="6" t="s">
        <v>72</v>
      </c>
      <c r="B711" s="6" t="s">
        <v>410</v>
      </c>
      <c r="C711" s="6" t="n">
        <v>46</v>
      </c>
      <c r="D711" s="25" t="n">
        <f aca="false">EDATE('Start Here'!$B$6,C711-1)</f>
        <v>47696</v>
      </c>
      <c r="E711" s="23" t="n">
        <f aca="false">IF(AND(OR(Nonlabor!$D$17="Both",Nonlabor!$D$17='Start Here'!$B$9),IF(Nonlabor!$E$17="Core",1,IF(Nonlabor!$E$17="AI",'Start Here'!$B$7,'Start Here'!$B$8))=1,C711&gt;=IF(Nonlabor!$E$17="Core",Nonlabor!$F$17,MAX(Nonlabor!$F$17,IF(Nonlabor!$E$17="AI",Assumptions!$C$24,Assumptions!$C$25))),C711&lt;=Nonlabor!$G$17,OR(Nonlabor!$H$17="Monthly",AND(Nonlabor!$H$17="Once",C711=IF(Nonlabor!$E$17="Core",Nonlabor!$F$17,MAX(Nonlabor!$F$17,IF(Nonlabor!$E$17="AI",Assumptions!$C$24,Assumptions!$C$25)))),AND(Nonlabor!$H$17="Annual",MOD(C711-IF(Nonlabor!$E$17="Core",Nonlabor!$F$17,MAX(Nonlabor!$F$17,IF(Nonlabor!$E$17="AI",Assumptions!$C$24,Assumptions!$C$25))),12)=0))),IF(Nonlabor!$I$17="Fixed",1,IF(Nonlabor!$I$17="Seats",ROUNDUP('Monthly Lean'!I51,0),IF(Nonlabor!$I$17="Customers",'Monthly Lean'!D51,IF(Nonlabor!$I$17="NewCustomers",'Monthly Lean'!C51,IF(Nonlabor!$I$17="StorageGB",'Monthly Lean'!G51,IF(Nonlabor!$I$17="LogGB",'Monthly Lean'!H51,IF(Nonlabor!$I$17="RequestsM",'Monthly Lean'!F51,IF(Nonlabor!$I$17="InputM",'Monthly Lean'!D51*Assumptions!$C$22/1000000,IF(Nonlabor!$I$17="OutputM",'Monthly Lean'!D51*Assumptions!$C$23/1000000,0))))))))),0)</f>
        <v>1</v>
      </c>
      <c r="F711" s="10" t="n">
        <f aca="false">Nonlabor!$J$17*(1+Assumptions!$C$9)^INT((C711-1)/12)</f>
        <v>19669.086</v>
      </c>
      <c r="G711" s="10" t="n">
        <f aca="false">E711*F711</f>
        <v>19669.086</v>
      </c>
      <c r="H711" s="10" t="n">
        <f aca="false">IF(OR(Nonlabor!$L$17="Quote required",Nonlabor!$L$17="Unverified"),G711,0)</f>
        <v>19669.086</v>
      </c>
      <c r="I711" s="10" t="n">
        <f aca="false">IF(Nonlabor!$E$17="Core",0,G711)</f>
        <v>0</v>
      </c>
      <c r="J711" s="23" t="str">
        <f aca="false">Nonlabor!$B$17</f>
        <v>SECURITY</v>
      </c>
    </row>
    <row r="712" customFormat="false" ht="15" hidden="false" customHeight="false" outlineLevel="0" collapsed="false">
      <c r="A712" s="6" t="s">
        <v>72</v>
      </c>
      <c r="B712" s="6" t="s">
        <v>410</v>
      </c>
      <c r="C712" s="6" t="n">
        <v>47</v>
      </c>
      <c r="D712" s="25" t="n">
        <f aca="false">EDATE('Start Here'!$B$6,C712-1)</f>
        <v>47727</v>
      </c>
      <c r="E712" s="23" t="n">
        <f aca="false">IF(AND(OR(Nonlabor!$D$17="Both",Nonlabor!$D$17='Start Here'!$B$9),IF(Nonlabor!$E$17="Core",1,IF(Nonlabor!$E$17="AI",'Start Here'!$B$7,'Start Here'!$B$8))=1,C712&gt;=IF(Nonlabor!$E$17="Core",Nonlabor!$F$17,MAX(Nonlabor!$F$17,IF(Nonlabor!$E$17="AI",Assumptions!$C$24,Assumptions!$C$25))),C712&lt;=Nonlabor!$G$17,OR(Nonlabor!$H$17="Monthly",AND(Nonlabor!$H$17="Once",C712=IF(Nonlabor!$E$17="Core",Nonlabor!$F$17,MAX(Nonlabor!$F$17,IF(Nonlabor!$E$17="AI",Assumptions!$C$24,Assumptions!$C$25)))),AND(Nonlabor!$H$17="Annual",MOD(C712-IF(Nonlabor!$E$17="Core",Nonlabor!$F$17,MAX(Nonlabor!$F$17,IF(Nonlabor!$E$17="AI",Assumptions!$C$24,Assumptions!$C$25))),12)=0))),IF(Nonlabor!$I$17="Fixed",1,IF(Nonlabor!$I$17="Seats",ROUNDUP('Monthly Lean'!I52,0),IF(Nonlabor!$I$17="Customers",'Monthly Lean'!D52,IF(Nonlabor!$I$17="NewCustomers",'Monthly Lean'!C52,IF(Nonlabor!$I$17="StorageGB",'Monthly Lean'!G52,IF(Nonlabor!$I$17="LogGB",'Monthly Lean'!H52,IF(Nonlabor!$I$17="RequestsM",'Monthly Lean'!F52,IF(Nonlabor!$I$17="InputM",'Monthly Lean'!D52*Assumptions!$C$22/1000000,IF(Nonlabor!$I$17="OutputM",'Monthly Lean'!D52*Assumptions!$C$23/1000000,0))))))))),0)</f>
        <v>0</v>
      </c>
      <c r="F712" s="10" t="n">
        <f aca="false">Nonlabor!$J$17*(1+Assumptions!$C$9)^INT((C712-1)/12)</f>
        <v>19669.086</v>
      </c>
      <c r="G712" s="10" t="n">
        <f aca="false">E712*F712</f>
        <v>0</v>
      </c>
      <c r="H712" s="10" t="n">
        <f aca="false">IF(OR(Nonlabor!$L$17="Quote required",Nonlabor!$L$17="Unverified"),G712,0)</f>
        <v>0</v>
      </c>
      <c r="I712" s="10" t="n">
        <f aca="false">IF(Nonlabor!$E$17="Core",0,G712)</f>
        <v>0</v>
      </c>
      <c r="J712" s="23" t="str">
        <f aca="false">Nonlabor!$B$17</f>
        <v>SECURITY</v>
      </c>
    </row>
    <row r="713" customFormat="false" ht="15" hidden="false" customHeight="false" outlineLevel="0" collapsed="false">
      <c r="A713" s="6" t="s">
        <v>72</v>
      </c>
      <c r="B713" s="6" t="s">
        <v>410</v>
      </c>
      <c r="C713" s="6" t="n">
        <v>48</v>
      </c>
      <c r="D713" s="25" t="n">
        <f aca="false">EDATE('Start Here'!$B$6,C713-1)</f>
        <v>47757</v>
      </c>
      <c r="E713" s="23" t="n">
        <f aca="false">IF(AND(OR(Nonlabor!$D$17="Both",Nonlabor!$D$17='Start Here'!$B$9),IF(Nonlabor!$E$17="Core",1,IF(Nonlabor!$E$17="AI",'Start Here'!$B$7,'Start Here'!$B$8))=1,C713&gt;=IF(Nonlabor!$E$17="Core",Nonlabor!$F$17,MAX(Nonlabor!$F$17,IF(Nonlabor!$E$17="AI",Assumptions!$C$24,Assumptions!$C$25))),C713&lt;=Nonlabor!$G$17,OR(Nonlabor!$H$17="Monthly",AND(Nonlabor!$H$17="Once",C713=IF(Nonlabor!$E$17="Core",Nonlabor!$F$17,MAX(Nonlabor!$F$17,IF(Nonlabor!$E$17="AI",Assumptions!$C$24,Assumptions!$C$25)))),AND(Nonlabor!$H$17="Annual",MOD(C713-IF(Nonlabor!$E$17="Core",Nonlabor!$F$17,MAX(Nonlabor!$F$17,IF(Nonlabor!$E$17="AI",Assumptions!$C$24,Assumptions!$C$25))),12)=0))),IF(Nonlabor!$I$17="Fixed",1,IF(Nonlabor!$I$17="Seats",ROUNDUP('Monthly Lean'!I53,0),IF(Nonlabor!$I$17="Customers",'Monthly Lean'!D53,IF(Nonlabor!$I$17="NewCustomers",'Monthly Lean'!C53,IF(Nonlabor!$I$17="StorageGB",'Monthly Lean'!G53,IF(Nonlabor!$I$17="LogGB",'Monthly Lean'!H53,IF(Nonlabor!$I$17="RequestsM",'Monthly Lean'!F53,IF(Nonlabor!$I$17="InputM",'Monthly Lean'!D53*Assumptions!$C$22/1000000,IF(Nonlabor!$I$17="OutputM",'Monthly Lean'!D53*Assumptions!$C$23/1000000,0))))))))),0)</f>
        <v>0</v>
      </c>
      <c r="F713" s="10" t="n">
        <f aca="false">Nonlabor!$J$17*(1+Assumptions!$C$9)^INT((C713-1)/12)</f>
        <v>19669.086</v>
      </c>
      <c r="G713" s="10" t="n">
        <f aca="false">E713*F713</f>
        <v>0</v>
      </c>
      <c r="H713" s="10" t="n">
        <f aca="false">IF(OR(Nonlabor!$L$17="Quote required",Nonlabor!$L$17="Unverified"),G713,0)</f>
        <v>0</v>
      </c>
      <c r="I713" s="10" t="n">
        <f aca="false">IF(Nonlabor!$E$17="Core",0,G713)</f>
        <v>0</v>
      </c>
      <c r="J713" s="23" t="str">
        <f aca="false">Nonlabor!$B$17</f>
        <v>SECURITY</v>
      </c>
    </row>
    <row r="714" customFormat="false" ht="15" hidden="false" customHeight="false" outlineLevel="0" collapsed="false">
      <c r="A714" s="6" t="s">
        <v>72</v>
      </c>
      <c r="B714" s="6" t="s">
        <v>410</v>
      </c>
      <c r="C714" s="6" t="n">
        <v>49</v>
      </c>
      <c r="D714" s="25" t="n">
        <f aca="false">EDATE('Start Here'!$B$6,C714-1)</f>
        <v>47788</v>
      </c>
      <c r="E714" s="23" t="n">
        <f aca="false">IF(AND(OR(Nonlabor!$D$17="Both",Nonlabor!$D$17='Start Here'!$B$9),IF(Nonlabor!$E$17="Core",1,IF(Nonlabor!$E$17="AI",'Start Here'!$B$7,'Start Here'!$B$8))=1,C714&gt;=IF(Nonlabor!$E$17="Core",Nonlabor!$F$17,MAX(Nonlabor!$F$17,IF(Nonlabor!$E$17="AI",Assumptions!$C$24,Assumptions!$C$25))),C714&lt;=Nonlabor!$G$17,OR(Nonlabor!$H$17="Monthly",AND(Nonlabor!$H$17="Once",C714=IF(Nonlabor!$E$17="Core",Nonlabor!$F$17,MAX(Nonlabor!$F$17,IF(Nonlabor!$E$17="AI",Assumptions!$C$24,Assumptions!$C$25)))),AND(Nonlabor!$H$17="Annual",MOD(C714-IF(Nonlabor!$E$17="Core",Nonlabor!$F$17,MAX(Nonlabor!$F$17,IF(Nonlabor!$E$17="AI",Assumptions!$C$24,Assumptions!$C$25))),12)=0))),IF(Nonlabor!$I$17="Fixed",1,IF(Nonlabor!$I$17="Seats",ROUNDUP('Monthly Lean'!I54,0),IF(Nonlabor!$I$17="Customers",'Monthly Lean'!D54,IF(Nonlabor!$I$17="NewCustomers",'Monthly Lean'!C54,IF(Nonlabor!$I$17="StorageGB",'Monthly Lean'!G54,IF(Nonlabor!$I$17="LogGB",'Monthly Lean'!H54,IF(Nonlabor!$I$17="RequestsM",'Monthly Lean'!F54,IF(Nonlabor!$I$17="InputM",'Monthly Lean'!D54*Assumptions!$C$22/1000000,IF(Nonlabor!$I$17="OutputM",'Monthly Lean'!D54*Assumptions!$C$23/1000000,0))))))))),0)</f>
        <v>0</v>
      </c>
      <c r="F714" s="10" t="n">
        <f aca="false">Nonlabor!$J$17*(1+Assumptions!$C$9)^INT((C714-1)/12)</f>
        <v>20259.15858</v>
      </c>
      <c r="G714" s="10" t="n">
        <f aca="false">E714*F714</f>
        <v>0</v>
      </c>
      <c r="H714" s="10" t="n">
        <f aca="false">IF(OR(Nonlabor!$L$17="Quote required",Nonlabor!$L$17="Unverified"),G714,0)</f>
        <v>0</v>
      </c>
      <c r="I714" s="10" t="n">
        <f aca="false">IF(Nonlabor!$E$17="Core",0,G714)</f>
        <v>0</v>
      </c>
      <c r="J714" s="23" t="str">
        <f aca="false">Nonlabor!$B$17</f>
        <v>SECURITY</v>
      </c>
    </row>
    <row r="715" customFormat="false" ht="15" hidden="false" customHeight="false" outlineLevel="0" collapsed="false">
      <c r="A715" s="6" t="s">
        <v>72</v>
      </c>
      <c r="B715" s="6" t="s">
        <v>410</v>
      </c>
      <c r="C715" s="6" t="n">
        <v>50</v>
      </c>
      <c r="D715" s="25" t="n">
        <f aca="false">EDATE('Start Here'!$B$6,C715-1)</f>
        <v>47818</v>
      </c>
      <c r="E715" s="23" t="n">
        <f aca="false">IF(AND(OR(Nonlabor!$D$17="Both",Nonlabor!$D$17='Start Here'!$B$9),IF(Nonlabor!$E$17="Core",1,IF(Nonlabor!$E$17="AI",'Start Here'!$B$7,'Start Here'!$B$8))=1,C715&gt;=IF(Nonlabor!$E$17="Core",Nonlabor!$F$17,MAX(Nonlabor!$F$17,IF(Nonlabor!$E$17="AI",Assumptions!$C$24,Assumptions!$C$25))),C715&lt;=Nonlabor!$G$17,OR(Nonlabor!$H$17="Monthly",AND(Nonlabor!$H$17="Once",C715=IF(Nonlabor!$E$17="Core",Nonlabor!$F$17,MAX(Nonlabor!$F$17,IF(Nonlabor!$E$17="AI",Assumptions!$C$24,Assumptions!$C$25)))),AND(Nonlabor!$H$17="Annual",MOD(C715-IF(Nonlabor!$E$17="Core",Nonlabor!$F$17,MAX(Nonlabor!$F$17,IF(Nonlabor!$E$17="AI",Assumptions!$C$24,Assumptions!$C$25))),12)=0))),IF(Nonlabor!$I$17="Fixed",1,IF(Nonlabor!$I$17="Seats",ROUNDUP('Monthly Lean'!I55,0),IF(Nonlabor!$I$17="Customers",'Monthly Lean'!D55,IF(Nonlabor!$I$17="NewCustomers",'Monthly Lean'!C55,IF(Nonlabor!$I$17="StorageGB",'Monthly Lean'!G55,IF(Nonlabor!$I$17="LogGB",'Monthly Lean'!H55,IF(Nonlabor!$I$17="RequestsM",'Monthly Lean'!F55,IF(Nonlabor!$I$17="InputM",'Monthly Lean'!D55*Assumptions!$C$22/1000000,IF(Nonlabor!$I$17="OutputM",'Monthly Lean'!D55*Assumptions!$C$23/1000000,0))))))))),0)</f>
        <v>0</v>
      </c>
      <c r="F715" s="10" t="n">
        <f aca="false">Nonlabor!$J$17*(1+Assumptions!$C$9)^INT((C715-1)/12)</f>
        <v>20259.15858</v>
      </c>
      <c r="G715" s="10" t="n">
        <f aca="false">E715*F715</f>
        <v>0</v>
      </c>
      <c r="H715" s="10" t="n">
        <f aca="false">IF(OR(Nonlabor!$L$17="Quote required",Nonlabor!$L$17="Unverified"),G715,0)</f>
        <v>0</v>
      </c>
      <c r="I715" s="10" t="n">
        <f aca="false">IF(Nonlabor!$E$17="Core",0,G715)</f>
        <v>0</v>
      </c>
      <c r="J715" s="23" t="str">
        <f aca="false">Nonlabor!$B$17</f>
        <v>SECURITY</v>
      </c>
    </row>
    <row r="716" customFormat="false" ht="15" hidden="false" customHeight="false" outlineLevel="0" collapsed="false">
      <c r="A716" s="6" t="s">
        <v>72</v>
      </c>
      <c r="B716" s="6" t="s">
        <v>410</v>
      </c>
      <c r="C716" s="6" t="n">
        <v>51</v>
      </c>
      <c r="D716" s="25" t="n">
        <f aca="false">EDATE('Start Here'!$B$6,C716-1)</f>
        <v>47849</v>
      </c>
      <c r="E716" s="23" t="n">
        <f aca="false">IF(AND(OR(Nonlabor!$D$17="Both",Nonlabor!$D$17='Start Here'!$B$9),IF(Nonlabor!$E$17="Core",1,IF(Nonlabor!$E$17="AI",'Start Here'!$B$7,'Start Here'!$B$8))=1,C716&gt;=IF(Nonlabor!$E$17="Core",Nonlabor!$F$17,MAX(Nonlabor!$F$17,IF(Nonlabor!$E$17="AI",Assumptions!$C$24,Assumptions!$C$25))),C716&lt;=Nonlabor!$G$17,OR(Nonlabor!$H$17="Monthly",AND(Nonlabor!$H$17="Once",C716=IF(Nonlabor!$E$17="Core",Nonlabor!$F$17,MAX(Nonlabor!$F$17,IF(Nonlabor!$E$17="AI",Assumptions!$C$24,Assumptions!$C$25)))),AND(Nonlabor!$H$17="Annual",MOD(C716-IF(Nonlabor!$E$17="Core",Nonlabor!$F$17,MAX(Nonlabor!$F$17,IF(Nonlabor!$E$17="AI",Assumptions!$C$24,Assumptions!$C$25))),12)=0))),IF(Nonlabor!$I$17="Fixed",1,IF(Nonlabor!$I$17="Seats",ROUNDUP('Monthly Lean'!I56,0),IF(Nonlabor!$I$17="Customers",'Monthly Lean'!D56,IF(Nonlabor!$I$17="NewCustomers",'Monthly Lean'!C56,IF(Nonlabor!$I$17="StorageGB",'Monthly Lean'!G56,IF(Nonlabor!$I$17="LogGB",'Monthly Lean'!H56,IF(Nonlabor!$I$17="RequestsM",'Monthly Lean'!F56,IF(Nonlabor!$I$17="InputM",'Monthly Lean'!D56*Assumptions!$C$22/1000000,IF(Nonlabor!$I$17="OutputM",'Monthly Lean'!D56*Assumptions!$C$23/1000000,0))))))))),0)</f>
        <v>0</v>
      </c>
      <c r="F716" s="10" t="n">
        <f aca="false">Nonlabor!$J$17*(1+Assumptions!$C$9)^INT((C716-1)/12)</f>
        <v>20259.15858</v>
      </c>
      <c r="G716" s="10" t="n">
        <f aca="false">E716*F716</f>
        <v>0</v>
      </c>
      <c r="H716" s="10" t="n">
        <f aca="false">IF(OR(Nonlabor!$L$17="Quote required",Nonlabor!$L$17="Unverified"),G716,0)</f>
        <v>0</v>
      </c>
      <c r="I716" s="10" t="n">
        <f aca="false">IF(Nonlabor!$E$17="Core",0,G716)</f>
        <v>0</v>
      </c>
      <c r="J716" s="23" t="str">
        <f aca="false">Nonlabor!$B$17</f>
        <v>SECURITY</v>
      </c>
    </row>
    <row r="717" customFormat="false" ht="15" hidden="false" customHeight="false" outlineLevel="0" collapsed="false">
      <c r="A717" s="6" t="s">
        <v>72</v>
      </c>
      <c r="B717" s="6" t="s">
        <v>410</v>
      </c>
      <c r="C717" s="6" t="n">
        <v>52</v>
      </c>
      <c r="D717" s="25" t="n">
        <f aca="false">EDATE('Start Here'!$B$6,C717-1)</f>
        <v>47880</v>
      </c>
      <c r="E717" s="23" t="n">
        <f aca="false">IF(AND(OR(Nonlabor!$D$17="Both",Nonlabor!$D$17='Start Here'!$B$9),IF(Nonlabor!$E$17="Core",1,IF(Nonlabor!$E$17="AI",'Start Here'!$B$7,'Start Here'!$B$8))=1,C717&gt;=IF(Nonlabor!$E$17="Core",Nonlabor!$F$17,MAX(Nonlabor!$F$17,IF(Nonlabor!$E$17="AI",Assumptions!$C$24,Assumptions!$C$25))),C717&lt;=Nonlabor!$G$17,OR(Nonlabor!$H$17="Monthly",AND(Nonlabor!$H$17="Once",C717=IF(Nonlabor!$E$17="Core",Nonlabor!$F$17,MAX(Nonlabor!$F$17,IF(Nonlabor!$E$17="AI",Assumptions!$C$24,Assumptions!$C$25)))),AND(Nonlabor!$H$17="Annual",MOD(C717-IF(Nonlabor!$E$17="Core",Nonlabor!$F$17,MAX(Nonlabor!$F$17,IF(Nonlabor!$E$17="AI",Assumptions!$C$24,Assumptions!$C$25))),12)=0))),IF(Nonlabor!$I$17="Fixed",1,IF(Nonlabor!$I$17="Seats",ROUNDUP('Monthly Lean'!I57,0),IF(Nonlabor!$I$17="Customers",'Monthly Lean'!D57,IF(Nonlabor!$I$17="NewCustomers",'Monthly Lean'!C57,IF(Nonlabor!$I$17="StorageGB",'Monthly Lean'!G57,IF(Nonlabor!$I$17="LogGB",'Monthly Lean'!H57,IF(Nonlabor!$I$17="RequestsM",'Monthly Lean'!F57,IF(Nonlabor!$I$17="InputM",'Monthly Lean'!D57*Assumptions!$C$22/1000000,IF(Nonlabor!$I$17="OutputM",'Monthly Lean'!D57*Assumptions!$C$23/1000000,0))))))))),0)</f>
        <v>0</v>
      </c>
      <c r="F717" s="10" t="n">
        <f aca="false">Nonlabor!$J$17*(1+Assumptions!$C$9)^INT((C717-1)/12)</f>
        <v>20259.15858</v>
      </c>
      <c r="G717" s="10" t="n">
        <f aca="false">E717*F717</f>
        <v>0</v>
      </c>
      <c r="H717" s="10" t="n">
        <f aca="false">IF(OR(Nonlabor!$L$17="Quote required",Nonlabor!$L$17="Unverified"),G717,0)</f>
        <v>0</v>
      </c>
      <c r="I717" s="10" t="n">
        <f aca="false">IF(Nonlabor!$E$17="Core",0,G717)</f>
        <v>0</v>
      </c>
      <c r="J717" s="23" t="str">
        <f aca="false">Nonlabor!$B$17</f>
        <v>SECURITY</v>
      </c>
    </row>
    <row r="718" customFormat="false" ht="15" hidden="false" customHeight="false" outlineLevel="0" collapsed="false">
      <c r="A718" s="6" t="s">
        <v>72</v>
      </c>
      <c r="B718" s="6" t="s">
        <v>410</v>
      </c>
      <c r="C718" s="6" t="n">
        <v>53</v>
      </c>
      <c r="D718" s="25" t="n">
        <f aca="false">EDATE('Start Here'!$B$6,C718-1)</f>
        <v>47908</v>
      </c>
      <c r="E718" s="23" t="n">
        <f aca="false">IF(AND(OR(Nonlabor!$D$17="Both",Nonlabor!$D$17='Start Here'!$B$9),IF(Nonlabor!$E$17="Core",1,IF(Nonlabor!$E$17="AI",'Start Here'!$B$7,'Start Here'!$B$8))=1,C718&gt;=IF(Nonlabor!$E$17="Core",Nonlabor!$F$17,MAX(Nonlabor!$F$17,IF(Nonlabor!$E$17="AI",Assumptions!$C$24,Assumptions!$C$25))),C718&lt;=Nonlabor!$G$17,OR(Nonlabor!$H$17="Monthly",AND(Nonlabor!$H$17="Once",C718=IF(Nonlabor!$E$17="Core",Nonlabor!$F$17,MAX(Nonlabor!$F$17,IF(Nonlabor!$E$17="AI",Assumptions!$C$24,Assumptions!$C$25)))),AND(Nonlabor!$H$17="Annual",MOD(C718-IF(Nonlabor!$E$17="Core",Nonlabor!$F$17,MAX(Nonlabor!$F$17,IF(Nonlabor!$E$17="AI",Assumptions!$C$24,Assumptions!$C$25))),12)=0))),IF(Nonlabor!$I$17="Fixed",1,IF(Nonlabor!$I$17="Seats",ROUNDUP('Monthly Lean'!I58,0),IF(Nonlabor!$I$17="Customers",'Monthly Lean'!D58,IF(Nonlabor!$I$17="NewCustomers",'Monthly Lean'!C58,IF(Nonlabor!$I$17="StorageGB",'Monthly Lean'!G58,IF(Nonlabor!$I$17="LogGB",'Monthly Lean'!H58,IF(Nonlabor!$I$17="RequestsM",'Monthly Lean'!F58,IF(Nonlabor!$I$17="InputM",'Monthly Lean'!D58*Assumptions!$C$22/1000000,IF(Nonlabor!$I$17="OutputM",'Monthly Lean'!D58*Assumptions!$C$23/1000000,0))))))))),0)</f>
        <v>0</v>
      </c>
      <c r="F718" s="10" t="n">
        <f aca="false">Nonlabor!$J$17*(1+Assumptions!$C$9)^INT((C718-1)/12)</f>
        <v>20259.15858</v>
      </c>
      <c r="G718" s="10" t="n">
        <f aca="false">E718*F718</f>
        <v>0</v>
      </c>
      <c r="H718" s="10" t="n">
        <f aca="false">IF(OR(Nonlabor!$L$17="Quote required",Nonlabor!$L$17="Unverified"),G718,0)</f>
        <v>0</v>
      </c>
      <c r="I718" s="10" t="n">
        <f aca="false">IF(Nonlabor!$E$17="Core",0,G718)</f>
        <v>0</v>
      </c>
      <c r="J718" s="23" t="str">
        <f aca="false">Nonlabor!$B$17</f>
        <v>SECURITY</v>
      </c>
    </row>
    <row r="719" customFormat="false" ht="15" hidden="false" customHeight="false" outlineLevel="0" collapsed="false">
      <c r="A719" s="6" t="s">
        <v>72</v>
      </c>
      <c r="B719" s="6" t="s">
        <v>410</v>
      </c>
      <c r="C719" s="6" t="n">
        <v>54</v>
      </c>
      <c r="D719" s="25" t="n">
        <f aca="false">EDATE('Start Here'!$B$6,C719-1)</f>
        <v>47939</v>
      </c>
      <c r="E719" s="23" t="n">
        <f aca="false">IF(AND(OR(Nonlabor!$D$17="Both",Nonlabor!$D$17='Start Here'!$B$9),IF(Nonlabor!$E$17="Core",1,IF(Nonlabor!$E$17="AI",'Start Here'!$B$7,'Start Here'!$B$8))=1,C719&gt;=IF(Nonlabor!$E$17="Core",Nonlabor!$F$17,MAX(Nonlabor!$F$17,IF(Nonlabor!$E$17="AI",Assumptions!$C$24,Assumptions!$C$25))),C719&lt;=Nonlabor!$G$17,OR(Nonlabor!$H$17="Monthly",AND(Nonlabor!$H$17="Once",C719=IF(Nonlabor!$E$17="Core",Nonlabor!$F$17,MAX(Nonlabor!$F$17,IF(Nonlabor!$E$17="AI",Assumptions!$C$24,Assumptions!$C$25)))),AND(Nonlabor!$H$17="Annual",MOD(C719-IF(Nonlabor!$E$17="Core",Nonlabor!$F$17,MAX(Nonlabor!$F$17,IF(Nonlabor!$E$17="AI",Assumptions!$C$24,Assumptions!$C$25))),12)=0))),IF(Nonlabor!$I$17="Fixed",1,IF(Nonlabor!$I$17="Seats",ROUNDUP('Monthly Lean'!I59,0),IF(Nonlabor!$I$17="Customers",'Monthly Lean'!D59,IF(Nonlabor!$I$17="NewCustomers",'Monthly Lean'!C59,IF(Nonlabor!$I$17="StorageGB",'Monthly Lean'!G59,IF(Nonlabor!$I$17="LogGB",'Monthly Lean'!H59,IF(Nonlabor!$I$17="RequestsM",'Monthly Lean'!F59,IF(Nonlabor!$I$17="InputM",'Monthly Lean'!D59*Assumptions!$C$22/1000000,IF(Nonlabor!$I$17="OutputM",'Monthly Lean'!D59*Assumptions!$C$23/1000000,0))))))))),0)</f>
        <v>0</v>
      </c>
      <c r="F719" s="10" t="n">
        <f aca="false">Nonlabor!$J$17*(1+Assumptions!$C$9)^INT((C719-1)/12)</f>
        <v>20259.15858</v>
      </c>
      <c r="G719" s="10" t="n">
        <f aca="false">E719*F719</f>
        <v>0</v>
      </c>
      <c r="H719" s="10" t="n">
        <f aca="false">IF(OR(Nonlabor!$L$17="Quote required",Nonlabor!$L$17="Unverified"),G719,0)</f>
        <v>0</v>
      </c>
      <c r="I719" s="10" t="n">
        <f aca="false">IF(Nonlabor!$E$17="Core",0,G719)</f>
        <v>0</v>
      </c>
      <c r="J719" s="23" t="str">
        <f aca="false">Nonlabor!$B$17</f>
        <v>SECURITY</v>
      </c>
    </row>
    <row r="720" customFormat="false" ht="15" hidden="false" customHeight="false" outlineLevel="0" collapsed="false">
      <c r="A720" s="6" t="s">
        <v>72</v>
      </c>
      <c r="B720" s="6" t="s">
        <v>410</v>
      </c>
      <c r="C720" s="6" t="n">
        <v>55</v>
      </c>
      <c r="D720" s="25" t="n">
        <f aca="false">EDATE('Start Here'!$B$6,C720-1)</f>
        <v>47969</v>
      </c>
      <c r="E720" s="23" t="n">
        <f aca="false">IF(AND(OR(Nonlabor!$D$17="Both",Nonlabor!$D$17='Start Here'!$B$9),IF(Nonlabor!$E$17="Core",1,IF(Nonlabor!$E$17="AI",'Start Here'!$B$7,'Start Here'!$B$8))=1,C720&gt;=IF(Nonlabor!$E$17="Core",Nonlabor!$F$17,MAX(Nonlabor!$F$17,IF(Nonlabor!$E$17="AI",Assumptions!$C$24,Assumptions!$C$25))),C720&lt;=Nonlabor!$G$17,OR(Nonlabor!$H$17="Monthly",AND(Nonlabor!$H$17="Once",C720=IF(Nonlabor!$E$17="Core",Nonlabor!$F$17,MAX(Nonlabor!$F$17,IF(Nonlabor!$E$17="AI",Assumptions!$C$24,Assumptions!$C$25)))),AND(Nonlabor!$H$17="Annual",MOD(C720-IF(Nonlabor!$E$17="Core",Nonlabor!$F$17,MAX(Nonlabor!$F$17,IF(Nonlabor!$E$17="AI",Assumptions!$C$24,Assumptions!$C$25))),12)=0))),IF(Nonlabor!$I$17="Fixed",1,IF(Nonlabor!$I$17="Seats",ROUNDUP('Monthly Lean'!I60,0),IF(Nonlabor!$I$17="Customers",'Monthly Lean'!D60,IF(Nonlabor!$I$17="NewCustomers",'Monthly Lean'!C60,IF(Nonlabor!$I$17="StorageGB",'Monthly Lean'!G60,IF(Nonlabor!$I$17="LogGB",'Monthly Lean'!H60,IF(Nonlabor!$I$17="RequestsM",'Monthly Lean'!F60,IF(Nonlabor!$I$17="InputM",'Monthly Lean'!D60*Assumptions!$C$22/1000000,IF(Nonlabor!$I$17="OutputM",'Monthly Lean'!D60*Assumptions!$C$23/1000000,0))))))))),0)</f>
        <v>0</v>
      </c>
      <c r="F720" s="10" t="n">
        <f aca="false">Nonlabor!$J$17*(1+Assumptions!$C$9)^INT((C720-1)/12)</f>
        <v>20259.15858</v>
      </c>
      <c r="G720" s="10" t="n">
        <f aca="false">E720*F720</f>
        <v>0</v>
      </c>
      <c r="H720" s="10" t="n">
        <f aca="false">IF(OR(Nonlabor!$L$17="Quote required",Nonlabor!$L$17="Unverified"),G720,0)</f>
        <v>0</v>
      </c>
      <c r="I720" s="10" t="n">
        <f aca="false">IF(Nonlabor!$E$17="Core",0,G720)</f>
        <v>0</v>
      </c>
      <c r="J720" s="23" t="str">
        <f aca="false">Nonlabor!$B$17</f>
        <v>SECURITY</v>
      </c>
    </row>
    <row r="721" customFormat="false" ht="15" hidden="false" customHeight="false" outlineLevel="0" collapsed="false">
      <c r="A721" s="6" t="s">
        <v>72</v>
      </c>
      <c r="B721" s="6" t="s">
        <v>410</v>
      </c>
      <c r="C721" s="6" t="n">
        <v>56</v>
      </c>
      <c r="D721" s="25" t="n">
        <f aca="false">EDATE('Start Here'!$B$6,C721-1)</f>
        <v>48000</v>
      </c>
      <c r="E721" s="23" t="n">
        <f aca="false">IF(AND(OR(Nonlabor!$D$17="Both",Nonlabor!$D$17='Start Here'!$B$9),IF(Nonlabor!$E$17="Core",1,IF(Nonlabor!$E$17="AI",'Start Here'!$B$7,'Start Here'!$B$8))=1,C721&gt;=IF(Nonlabor!$E$17="Core",Nonlabor!$F$17,MAX(Nonlabor!$F$17,IF(Nonlabor!$E$17="AI",Assumptions!$C$24,Assumptions!$C$25))),C721&lt;=Nonlabor!$G$17,OR(Nonlabor!$H$17="Monthly",AND(Nonlabor!$H$17="Once",C721=IF(Nonlabor!$E$17="Core",Nonlabor!$F$17,MAX(Nonlabor!$F$17,IF(Nonlabor!$E$17="AI",Assumptions!$C$24,Assumptions!$C$25)))),AND(Nonlabor!$H$17="Annual",MOD(C721-IF(Nonlabor!$E$17="Core",Nonlabor!$F$17,MAX(Nonlabor!$F$17,IF(Nonlabor!$E$17="AI",Assumptions!$C$24,Assumptions!$C$25))),12)=0))),IF(Nonlabor!$I$17="Fixed",1,IF(Nonlabor!$I$17="Seats",ROUNDUP('Monthly Lean'!I61,0),IF(Nonlabor!$I$17="Customers",'Monthly Lean'!D61,IF(Nonlabor!$I$17="NewCustomers",'Monthly Lean'!C61,IF(Nonlabor!$I$17="StorageGB",'Monthly Lean'!G61,IF(Nonlabor!$I$17="LogGB",'Monthly Lean'!H61,IF(Nonlabor!$I$17="RequestsM",'Monthly Lean'!F61,IF(Nonlabor!$I$17="InputM",'Monthly Lean'!D61*Assumptions!$C$22/1000000,IF(Nonlabor!$I$17="OutputM",'Monthly Lean'!D61*Assumptions!$C$23/1000000,0))))))))),0)</f>
        <v>0</v>
      </c>
      <c r="F721" s="10" t="n">
        <f aca="false">Nonlabor!$J$17*(1+Assumptions!$C$9)^INT((C721-1)/12)</f>
        <v>20259.15858</v>
      </c>
      <c r="G721" s="10" t="n">
        <f aca="false">E721*F721</f>
        <v>0</v>
      </c>
      <c r="H721" s="10" t="n">
        <f aca="false">IF(OR(Nonlabor!$L$17="Quote required",Nonlabor!$L$17="Unverified"),G721,0)</f>
        <v>0</v>
      </c>
      <c r="I721" s="10" t="n">
        <f aca="false">IF(Nonlabor!$E$17="Core",0,G721)</f>
        <v>0</v>
      </c>
      <c r="J721" s="23" t="str">
        <f aca="false">Nonlabor!$B$17</f>
        <v>SECURITY</v>
      </c>
    </row>
    <row r="722" customFormat="false" ht="15" hidden="false" customHeight="false" outlineLevel="0" collapsed="false">
      <c r="A722" s="6" t="s">
        <v>72</v>
      </c>
      <c r="B722" s="6" t="s">
        <v>410</v>
      </c>
      <c r="C722" s="6" t="n">
        <v>57</v>
      </c>
      <c r="D722" s="25" t="n">
        <f aca="false">EDATE('Start Here'!$B$6,C722-1)</f>
        <v>48030</v>
      </c>
      <c r="E722" s="23" t="n">
        <f aca="false">IF(AND(OR(Nonlabor!$D$17="Both",Nonlabor!$D$17='Start Here'!$B$9),IF(Nonlabor!$E$17="Core",1,IF(Nonlabor!$E$17="AI",'Start Here'!$B$7,'Start Here'!$B$8))=1,C722&gt;=IF(Nonlabor!$E$17="Core",Nonlabor!$F$17,MAX(Nonlabor!$F$17,IF(Nonlabor!$E$17="AI",Assumptions!$C$24,Assumptions!$C$25))),C722&lt;=Nonlabor!$G$17,OR(Nonlabor!$H$17="Monthly",AND(Nonlabor!$H$17="Once",C722=IF(Nonlabor!$E$17="Core",Nonlabor!$F$17,MAX(Nonlabor!$F$17,IF(Nonlabor!$E$17="AI",Assumptions!$C$24,Assumptions!$C$25)))),AND(Nonlabor!$H$17="Annual",MOD(C722-IF(Nonlabor!$E$17="Core",Nonlabor!$F$17,MAX(Nonlabor!$F$17,IF(Nonlabor!$E$17="AI",Assumptions!$C$24,Assumptions!$C$25))),12)=0))),IF(Nonlabor!$I$17="Fixed",1,IF(Nonlabor!$I$17="Seats",ROUNDUP('Monthly Lean'!I62,0),IF(Nonlabor!$I$17="Customers",'Monthly Lean'!D62,IF(Nonlabor!$I$17="NewCustomers",'Monthly Lean'!C62,IF(Nonlabor!$I$17="StorageGB",'Monthly Lean'!G62,IF(Nonlabor!$I$17="LogGB",'Monthly Lean'!H62,IF(Nonlabor!$I$17="RequestsM",'Monthly Lean'!F62,IF(Nonlabor!$I$17="InputM",'Monthly Lean'!D62*Assumptions!$C$22/1000000,IF(Nonlabor!$I$17="OutputM",'Monthly Lean'!D62*Assumptions!$C$23/1000000,0))))))))),0)</f>
        <v>0</v>
      </c>
      <c r="F722" s="10" t="n">
        <f aca="false">Nonlabor!$J$17*(1+Assumptions!$C$9)^INT((C722-1)/12)</f>
        <v>20259.15858</v>
      </c>
      <c r="G722" s="10" t="n">
        <f aca="false">E722*F722</f>
        <v>0</v>
      </c>
      <c r="H722" s="10" t="n">
        <f aca="false">IF(OR(Nonlabor!$L$17="Quote required",Nonlabor!$L$17="Unverified"),G722,0)</f>
        <v>0</v>
      </c>
      <c r="I722" s="10" t="n">
        <f aca="false">IF(Nonlabor!$E$17="Core",0,G722)</f>
        <v>0</v>
      </c>
      <c r="J722" s="23" t="str">
        <f aca="false">Nonlabor!$B$17</f>
        <v>SECURITY</v>
      </c>
    </row>
    <row r="723" customFormat="false" ht="15" hidden="false" customHeight="false" outlineLevel="0" collapsed="false">
      <c r="A723" s="6" t="s">
        <v>72</v>
      </c>
      <c r="B723" s="6" t="s">
        <v>410</v>
      </c>
      <c r="C723" s="6" t="n">
        <v>58</v>
      </c>
      <c r="D723" s="25" t="n">
        <f aca="false">EDATE('Start Here'!$B$6,C723-1)</f>
        <v>48061</v>
      </c>
      <c r="E723" s="23" t="n">
        <f aca="false">IF(AND(OR(Nonlabor!$D$17="Both",Nonlabor!$D$17='Start Here'!$B$9),IF(Nonlabor!$E$17="Core",1,IF(Nonlabor!$E$17="AI",'Start Here'!$B$7,'Start Here'!$B$8))=1,C723&gt;=IF(Nonlabor!$E$17="Core",Nonlabor!$F$17,MAX(Nonlabor!$F$17,IF(Nonlabor!$E$17="AI",Assumptions!$C$24,Assumptions!$C$25))),C723&lt;=Nonlabor!$G$17,OR(Nonlabor!$H$17="Monthly",AND(Nonlabor!$H$17="Once",C723=IF(Nonlabor!$E$17="Core",Nonlabor!$F$17,MAX(Nonlabor!$F$17,IF(Nonlabor!$E$17="AI",Assumptions!$C$24,Assumptions!$C$25)))),AND(Nonlabor!$H$17="Annual",MOD(C723-IF(Nonlabor!$E$17="Core",Nonlabor!$F$17,MAX(Nonlabor!$F$17,IF(Nonlabor!$E$17="AI",Assumptions!$C$24,Assumptions!$C$25))),12)=0))),IF(Nonlabor!$I$17="Fixed",1,IF(Nonlabor!$I$17="Seats",ROUNDUP('Monthly Lean'!I63,0),IF(Nonlabor!$I$17="Customers",'Monthly Lean'!D63,IF(Nonlabor!$I$17="NewCustomers",'Monthly Lean'!C63,IF(Nonlabor!$I$17="StorageGB",'Monthly Lean'!G63,IF(Nonlabor!$I$17="LogGB",'Monthly Lean'!H63,IF(Nonlabor!$I$17="RequestsM",'Monthly Lean'!F63,IF(Nonlabor!$I$17="InputM",'Monthly Lean'!D63*Assumptions!$C$22/1000000,IF(Nonlabor!$I$17="OutputM",'Monthly Lean'!D63*Assumptions!$C$23/1000000,0))))))))),0)</f>
        <v>1</v>
      </c>
      <c r="F723" s="10" t="n">
        <f aca="false">Nonlabor!$J$17*(1+Assumptions!$C$9)^INT((C723-1)/12)</f>
        <v>20259.15858</v>
      </c>
      <c r="G723" s="10" t="n">
        <f aca="false">E723*F723</f>
        <v>20259.15858</v>
      </c>
      <c r="H723" s="10" t="n">
        <f aca="false">IF(OR(Nonlabor!$L$17="Quote required",Nonlabor!$L$17="Unverified"),G723,0)</f>
        <v>20259.15858</v>
      </c>
      <c r="I723" s="10" t="n">
        <f aca="false">IF(Nonlabor!$E$17="Core",0,G723)</f>
        <v>0</v>
      </c>
      <c r="J723" s="23" t="str">
        <f aca="false">Nonlabor!$B$17</f>
        <v>SECURITY</v>
      </c>
    </row>
    <row r="724" customFormat="false" ht="15" hidden="false" customHeight="false" outlineLevel="0" collapsed="false">
      <c r="A724" s="6" t="s">
        <v>72</v>
      </c>
      <c r="B724" s="6" t="s">
        <v>410</v>
      </c>
      <c r="C724" s="6" t="n">
        <v>59</v>
      </c>
      <c r="D724" s="25" t="n">
        <f aca="false">EDATE('Start Here'!$B$6,C724-1)</f>
        <v>48092</v>
      </c>
      <c r="E724" s="23" t="n">
        <f aca="false">IF(AND(OR(Nonlabor!$D$17="Both",Nonlabor!$D$17='Start Here'!$B$9),IF(Nonlabor!$E$17="Core",1,IF(Nonlabor!$E$17="AI",'Start Here'!$B$7,'Start Here'!$B$8))=1,C724&gt;=IF(Nonlabor!$E$17="Core",Nonlabor!$F$17,MAX(Nonlabor!$F$17,IF(Nonlabor!$E$17="AI",Assumptions!$C$24,Assumptions!$C$25))),C724&lt;=Nonlabor!$G$17,OR(Nonlabor!$H$17="Monthly",AND(Nonlabor!$H$17="Once",C724=IF(Nonlabor!$E$17="Core",Nonlabor!$F$17,MAX(Nonlabor!$F$17,IF(Nonlabor!$E$17="AI",Assumptions!$C$24,Assumptions!$C$25)))),AND(Nonlabor!$H$17="Annual",MOD(C724-IF(Nonlabor!$E$17="Core",Nonlabor!$F$17,MAX(Nonlabor!$F$17,IF(Nonlabor!$E$17="AI",Assumptions!$C$24,Assumptions!$C$25))),12)=0))),IF(Nonlabor!$I$17="Fixed",1,IF(Nonlabor!$I$17="Seats",ROUNDUP('Monthly Lean'!I64,0),IF(Nonlabor!$I$17="Customers",'Monthly Lean'!D64,IF(Nonlabor!$I$17="NewCustomers",'Monthly Lean'!C64,IF(Nonlabor!$I$17="StorageGB",'Monthly Lean'!G64,IF(Nonlabor!$I$17="LogGB",'Monthly Lean'!H64,IF(Nonlabor!$I$17="RequestsM",'Monthly Lean'!F64,IF(Nonlabor!$I$17="InputM",'Monthly Lean'!D64*Assumptions!$C$22/1000000,IF(Nonlabor!$I$17="OutputM",'Monthly Lean'!D64*Assumptions!$C$23/1000000,0))))))))),0)</f>
        <v>0</v>
      </c>
      <c r="F724" s="10" t="n">
        <f aca="false">Nonlabor!$J$17*(1+Assumptions!$C$9)^INT((C724-1)/12)</f>
        <v>20259.15858</v>
      </c>
      <c r="G724" s="10" t="n">
        <f aca="false">E724*F724</f>
        <v>0</v>
      </c>
      <c r="H724" s="10" t="n">
        <f aca="false">IF(OR(Nonlabor!$L$17="Quote required",Nonlabor!$L$17="Unverified"),G724,0)</f>
        <v>0</v>
      </c>
      <c r="I724" s="10" t="n">
        <f aca="false">IF(Nonlabor!$E$17="Core",0,G724)</f>
        <v>0</v>
      </c>
      <c r="J724" s="23" t="str">
        <f aca="false">Nonlabor!$B$17</f>
        <v>SECURITY</v>
      </c>
    </row>
    <row r="725" customFormat="false" ht="15" hidden="false" customHeight="false" outlineLevel="0" collapsed="false">
      <c r="A725" s="6" t="s">
        <v>72</v>
      </c>
      <c r="B725" s="6" t="s">
        <v>410</v>
      </c>
      <c r="C725" s="6" t="n">
        <v>60</v>
      </c>
      <c r="D725" s="25" t="n">
        <f aca="false">EDATE('Start Here'!$B$6,C725-1)</f>
        <v>48122</v>
      </c>
      <c r="E725" s="23" t="n">
        <f aca="false">IF(AND(OR(Nonlabor!$D$17="Both",Nonlabor!$D$17='Start Here'!$B$9),IF(Nonlabor!$E$17="Core",1,IF(Nonlabor!$E$17="AI",'Start Here'!$B$7,'Start Here'!$B$8))=1,C725&gt;=IF(Nonlabor!$E$17="Core",Nonlabor!$F$17,MAX(Nonlabor!$F$17,IF(Nonlabor!$E$17="AI",Assumptions!$C$24,Assumptions!$C$25))),C725&lt;=Nonlabor!$G$17,OR(Nonlabor!$H$17="Monthly",AND(Nonlabor!$H$17="Once",C725=IF(Nonlabor!$E$17="Core",Nonlabor!$F$17,MAX(Nonlabor!$F$17,IF(Nonlabor!$E$17="AI",Assumptions!$C$24,Assumptions!$C$25)))),AND(Nonlabor!$H$17="Annual",MOD(C725-IF(Nonlabor!$E$17="Core",Nonlabor!$F$17,MAX(Nonlabor!$F$17,IF(Nonlabor!$E$17="AI",Assumptions!$C$24,Assumptions!$C$25))),12)=0))),IF(Nonlabor!$I$17="Fixed",1,IF(Nonlabor!$I$17="Seats",ROUNDUP('Monthly Lean'!I65,0),IF(Nonlabor!$I$17="Customers",'Monthly Lean'!D65,IF(Nonlabor!$I$17="NewCustomers",'Monthly Lean'!C65,IF(Nonlabor!$I$17="StorageGB",'Monthly Lean'!G65,IF(Nonlabor!$I$17="LogGB",'Monthly Lean'!H65,IF(Nonlabor!$I$17="RequestsM",'Monthly Lean'!F65,IF(Nonlabor!$I$17="InputM",'Monthly Lean'!D65*Assumptions!$C$22/1000000,IF(Nonlabor!$I$17="OutputM",'Monthly Lean'!D65*Assumptions!$C$23/1000000,0))))))))),0)</f>
        <v>0</v>
      </c>
      <c r="F725" s="10" t="n">
        <f aca="false">Nonlabor!$J$17*(1+Assumptions!$C$9)^INT((C725-1)/12)</f>
        <v>20259.15858</v>
      </c>
      <c r="G725" s="10" t="n">
        <f aca="false">E725*F725</f>
        <v>0</v>
      </c>
      <c r="H725" s="10" t="n">
        <f aca="false">IF(OR(Nonlabor!$L$17="Quote required",Nonlabor!$L$17="Unverified"),G725,0)</f>
        <v>0</v>
      </c>
      <c r="I725" s="10" t="n">
        <f aca="false">IF(Nonlabor!$E$17="Core",0,G725)</f>
        <v>0</v>
      </c>
      <c r="J725" s="23" t="str">
        <f aca="false">Nonlabor!$B$17</f>
        <v>SECURITY</v>
      </c>
    </row>
    <row r="726" customFormat="false" ht="15" hidden="false" customHeight="false" outlineLevel="0" collapsed="false">
      <c r="A726" s="6" t="s">
        <v>72</v>
      </c>
      <c r="B726" s="6" t="s">
        <v>413</v>
      </c>
      <c r="C726" s="6" t="n">
        <v>1</v>
      </c>
      <c r="D726" s="25" t="n">
        <f aca="false">EDATE('Start Here'!$B$6,C726-1)</f>
        <v>46327</v>
      </c>
      <c r="E726" s="23" t="n">
        <f aca="false">IF(AND(OR(Nonlabor!$D$18="Both",Nonlabor!$D$18='Start Here'!$B$9),IF(Nonlabor!$E$18="Core",1,IF(Nonlabor!$E$18="AI",'Start Here'!$B$7,'Start Here'!$B$8))=1,C726&gt;=IF(Nonlabor!$E$18="Core",Nonlabor!$F$18,MAX(Nonlabor!$F$18,IF(Nonlabor!$E$18="AI",Assumptions!$C$24,Assumptions!$C$25))),C726&lt;=Nonlabor!$G$18,OR(Nonlabor!$H$18="Monthly",AND(Nonlabor!$H$18="Once",C726=IF(Nonlabor!$E$18="Core",Nonlabor!$F$18,MAX(Nonlabor!$F$18,IF(Nonlabor!$E$18="AI",Assumptions!$C$24,Assumptions!$C$25)))),AND(Nonlabor!$H$18="Annual",MOD(C726-IF(Nonlabor!$E$18="Core",Nonlabor!$F$18,MAX(Nonlabor!$F$18,IF(Nonlabor!$E$18="AI",Assumptions!$C$24,Assumptions!$C$25))),12)=0))),IF(Nonlabor!$I$18="Fixed",1,IF(Nonlabor!$I$18="Seats",ROUNDUP('Monthly Lean'!I6,0),IF(Nonlabor!$I$18="Customers",'Monthly Lean'!D6,IF(Nonlabor!$I$18="NewCustomers",'Monthly Lean'!C6,IF(Nonlabor!$I$18="StorageGB",'Monthly Lean'!G6,IF(Nonlabor!$I$18="LogGB",'Monthly Lean'!H6,IF(Nonlabor!$I$18="RequestsM",'Monthly Lean'!F6,IF(Nonlabor!$I$18="InputM",'Monthly Lean'!D6*Assumptions!$C$22/1000000,IF(Nonlabor!$I$18="OutputM",'Monthly Lean'!D6*Assumptions!$C$23/1000000,0))))))))),0)</f>
        <v>0</v>
      </c>
      <c r="F726" s="10" t="n">
        <f aca="false">Nonlabor!$J$18*(1+Assumptions!$C$9)^INT((C726-1)/12)</f>
        <v>15000</v>
      </c>
      <c r="G726" s="10" t="n">
        <f aca="false">E726*F726</f>
        <v>0</v>
      </c>
      <c r="H726" s="10" t="n">
        <f aca="false">IF(OR(Nonlabor!$L$18="Quote required",Nonlabor!$L$18="Unverified"),G726,0)</f>
        <v>0</v>
      </c>
      <c r="I726" s="10" t="n">
        <f aca="false">IF(Nonlabor!$E$18="Core",0,G726)</f>
        <v>0</v>
      </c>
      <c r="J726" s="23" t="str">
        <f aca="false">Nonlabor!$B$18</f>
        <v>COMPLIANCE</v>
      </c>
    </row>
    <row r="727" customFormat="false" ht="15" hidden="false" customHeight="false" outlineLevel="0" collapsed="false">
      <c r="A727" s="6" t="s">
        <v>72</v>
      </c>
      <c r="B727" s="6" t="s">
        <v>413</v>
      </c>
      <c r="C727" s="6" t="n">
        <v>2</v>
      </c>
      <c r="D727" s="25" t="n">
        <f aca="false">EDATE('Start Here'!$B$6,C727-1)</f>
        <v>46357</v>
      </c>
      <c r="E727" s="23" t="n">
        <f aca="false">IF(AND(OR(Nonlabor!$D$18="Both",Nonlabor!$D$18='Start Here'!$B$9),IF(Nonlabor!$E$18="Core",1,IF(Nonlabor!$E$18="AI",'Start Here'!$B$7,'Start Here'!$B$8))=1,C727&gt;=IF(Nonlabor!$E$18="Core",Nonlabor!$F$18,MAX(Nonlabor!$F$18,IF(Nonlabor!$E$18="AI",Assumptions!$C$24,Assumptions!$C$25))),C727&lt;=Nonlabor!$G$18,OR(Nonlabor!$H$18="Monthly",AND(Nonlabor!$H$18="Once",C727=IF(Nonlabor!$E$18="Core",Nonlabor!$F$18,MAX(Nonlabor!$F$18,IF(Nonlabor!$E$18="AI",Assumptions!$C$24,Assumptions!$C$25)))),AND(Nonlabor!$H$18="Annual",MOD(C727-IF(Nonlabor!$E$18="Core",Nonlabor!$F$18,MAX(Nonlabor!$F$18,IF(Nonlabor!$E$18="AI",Assumptions!$C$24,Assumptions!$C$25))),12)=0))),IF(Nonlabor!$I$18="Fixed",1,IF(Nonlabor!$I$18="Seats",ROUNDUP('Monthly Lean'!I7,0),IF(Nonlabor!$I$18="Customers",'Monthly Lean'!D7,IF(Nonlabor!$I$18="NewCustomers",'Monthly Lean'!C7,IF(Nonlabor!$I$18="StorageGB",'Monthly Lean'!G7,IF(Nonlabor!$I$18="LogGB",'Monthly Lean'!H7,IF(Nonlabor!$I$18="RequestsM",'Monthly Lean'!F7,IF(Nonlabor!$I$18="InputM",'Monthly Lean'!D7*Assumptions!$C$22/1000000,IF(Nonlabor!$I$18="OutputM",'Monthly Lean'!D7*Assumptions!$C$23/1000000,0))))))))),0)</f>
        <v>0</v>
      </c>
      <c r="F727" s="10" t="n">
        <f aca="false">Nonlabor!$J$18*(1+Assumptions!$C$9)^INT((C727-1)/12)</f>
        <v>15000</v>
      </c>
      <c r="G727" s="10" t="n">
        <f aca="false">E727*F727</f>
        <v>0</v>
      </c>
      <c r="H727" s="10" t="n">
        <f aca="false">IF(OR(Nonlabor!$L$18="Quote required",Nonlabor!$L$18="Unverified"),G727,0)</f>
        <v>0</v>
      </c>
      <c r="I727" s="10" t="n">
        <f aca="false">IF(Nonlabor!$E$18="Core",0,G727)</f>
        <v>0</v>
      </c>
      <c r="J727" s="23" t="str">
        <f aca="false">Nonlabor!$B$18</f>
        <v>COMPLIANCE</v>
      </c>
    </row>
    <row r="728" customFormat="false" ht="15" hidden="false" customHeight="false" outlineLevel="0" collapsed="false">
      <c r="A728" s="6" t="s">
        <v>72</v>
      </c>
      <c r="B728" s="6" t="s">
        <v>413</v>
      </c>
      <c r="C728" s="6" t="n">
        <v>3</v>
      </c>
      <c r="D728" s="25" t="n">
        <f aca="false">EDATE('Start Here'!$B$6,C728-1)</f>
        <v>46388</v>
      </c>
      <c r="E728" s="23" t="n">
        <f aca="false">IF(AND(OR(Nonlabor!$D$18="Both",Nonlabor!$D$18='Start Here'!$B$9),IF(Nonlabor!$E$18="Core",1,IF(Nonlabor!$E$18="AI",'Start Here'!$B$7,'Start Here'!$B$8))=1,C728&gt;=IF(Nonlabor!$E$18="Core",Nonlabor!$F$18,MAX(Nonlabor!$F$18,IF(Nonlabor!$E$18="AI",Assumptions!$C$24,Assumptions!$C$25))),C728&lt;=Nonlabor!$G$18,OR(Nonlabor!$H$18="Monthly",AND(Nonlabor!$H$18="Once",C728=IF(Nonlabor!$E$18="Core",Nonlabor!$F$18,MAX(Nonlabor!$F$18,IF(Nonlabor!$E$18="AI",Assumptions!$C$24,Assumptions!$C$25)))),AND(Nonlabor!$H$18="Annual",MOD(C728-IF(Nonlabor!$E$18="Core",Nonlabor!$F$18,MAX(Nonlabor!$F$18,IF(Nonlabor!$E$18="AI",Assumptions!$C$24,Assumptions!$C$25))),12)=0))),IF(Nonlabor!$I$18="Fixed",1,IF(Nonlabor!$I$18="Seats",ROUNDUP('Monthly Lean'!I8,0),IF(Nonlabor!$I$18="Customers",'Monthly Lean'!D8,IF(Nonlabor!$I$18="NewCustomers",'Monthly Lean'!C8,IF(Nonlabor!$I$18="StorageGB",'Monthly Lean'!G8,IF(Nonlabor!$I$18="LogGB",'Monthly Lean'!H8,IF(Nonlabor!$I$18="RequestsM",'Monthly Lean'!F8,IF(Nonlabor!$I$18="InputM",'Monthly Lean'!D8*Assumptions!$C$22/1000000,IF(Nonlabor!$I$18="OutputM",'Monthly Lean'!D8*Assumptions!$C$23/1000000,0))))))))),0)</f>
        <v>0</v>
      </c>
      <c r="F728" s="10" t="n">
        <f aca="false">Nonlabor!$J$18*(1+Assumptions!$C$9)^INT((C728-1)/12)</f>
        <v>15000</v>
      </c>
      <c r="G728" s="10" t="n">
        <f aca="false">E728*F728</f>
        <v>0</v>
      </c>
      <c r="H728" s="10" t="n">
        <f aca="false">IF(OR(Nonlabor!$L$18="Quote required",Nonlabor!$L$18="Unverified"),G728,0)</f>
        <v>0</v>
      </c>
      <c r="I728" s="10" t="n">
        <f aca="false">IF(Nonlabor!$E$18="Core",0,G728)</f>
        <v>0</v>
      </c>
      <c r="J728" s="23" t="str">
        <f aca="false">Nonlabor!$B$18</f>
        <v>COMPLIANCE</v>
      </c>
    </row>
    <row r="729" customFormat="false" ht="15" hidden="false" customHeight="false" outlineLevel="0" collapsed="false">
      <c r="A729" s="6" t="s">
        <v>72</v>
      </c>
      <c r="B729" s="6" t="s">
        <v>413</v>
      </c>
      <c r="C729" s="6" t="n">
        <v>4</v>
      </c>
      <c r="D729" s="25" t="n">
        <f aca="false">EDATE('Start Here'!$B$6,C729-1)</f>
        <v>46419</v>
      </c>
      <c r="E729" s="23" t="n">
        <f aca="false">IF(AND(OR(Nonlabor!$D$18="Both",Nonlabor!$D$18='Start Here'!$B$9),IF(Nonlabor!$E$18="Core",1,IF(Nonlabor!$E$18="AI",'Start Here'!$B$7,'Start Here'!$B$8))=1,C729&gt;=IF(Nonlabor!$E$18="Core",Nonlabor!$F$18,MAX(Nonlabor!$F$18,IF(Nonlabor!$E$18="AI",Assumptions!$C$24,Assumptions!$C$25))),C729&lt;=Nonlabor!$G$18,OR(Nonlabor!$H$18="Monthly",AND(Nonlabor!$H$18="Once",C729=IF(Nonlabor!$E$18="Core",Nonlabor!$F$18,MAX(Nonlabor!$F$18,IF(Nonlabor!$E$18="AI",Assumptions!$C$24,Assumptions!$C$25)))),AND(Nonlabor!$H$18="Annual",MOD(C729-IF(Nonlabor!$E$18="Core",Nonlabor!$F$18,MAX(Nonlabor!$F$18,IF(Nonlabor!$E$18="AI",Assumptions!$C$24,Assumptions!$C$25))),12)=0))),IF(Nonlabor!$I$18="Fixed",1,IF(Nonlabor!$I$18="Seats",ROUNDUP('Monthly Lean'!I9,0),IF(Nonlabor!$I$18="Customers",'Monthly Lean'!D9,IF(Nonlabor!$I$18="NewCustomers",'Monthly Lean'!C9,IF(Nonlabor!$I$18="StorageGB",'Monthly Lean'!G9,IF(Nonlabor!$I$18="LogGB",'Monthly Lean'!H9,IF(Nonlabor!$I$18="RequestsM",'Monthly Lean'!F9,IF(Nonlabor!$I$18="InputM",'Monthly Lean'!D9*Assumptions!$C$22/1000000,IF(Nonlabor!$I$18="OutputM",'Monthly Lean'!D9*Assumptions!$C$23/1000000,0))))))))),0)</f>
        <v>0</v>
      </c>
      <c r="F729" s="10" t="n">
        <f aca="false">Nonlabor!$J$18*(1+Assumptions!$C$9)^INT((C729-1)/12)</f>
        <v>15000</v>
      </c>
      <c r="G729" s="10" t="n">
        <f aca="false">E729*F729</f>
        <v>0</v>
      </c>
      <c r="H729" s="10" t="n">
        <f aca="false">IF(OR(Nonlabor!$L$18="Quote required",Nonlabor!$L$18="Unverified"),G729,0)</f>
        <v>0</v>
      </c>
      <c r="I729" s="10" t="n">
        <f aca="false">IF(Nonlabor!$E$18="Core",0,G729)</f>
        <v>0</v>
      </c>
      <c r="J729" s="23" t="str">
        <f aca="false">Nonlabor!$B$18</f>
        <v>COMPLIANCE</v>
      </c>
    </row>
    <row r="730" customFormat="false" ht="15" hidden="false" customHeight="false" outlineLevel="0" collapsed="false">
      <c r="A730" s="6" t="s">
        <v>72</v>
      </c>
      <c r="B730" s="6" t="s">
        <v>413</v>
      </c>
      <c r="C730" s="6" t="n">
        <v>5</v>
      </c>
      <c r="D730" s="25" t="n">
        <f aca="false">EDATE('Start Here'!$B$6,C730-1)</f>
        <v>46447</v>
      </c>
      <c r="E730" s="23" t="n">
        <f aca="false">IF(AND(OR(Nonlabor!$D$18="Both",Nonlabor!$D$18='Start Here'!$B$9),IF(Nonlabor!$E$18="Core",1,IF(Nonlabor!$E$18="AI",'Start Here'!$B$7,'Start Here'!$B$8))=1,C730&gt;=IF(Nonlabor!$E$18="Core",Nonlabor!$F$18,MAX(Nonlabor!$F$18,IF(Nonlabor!$E$18="AI",Assumptions!$C$24,Assumptions!$C$25))),C730&lt;=Nonlabor!$G$18,OR(Nonlabor!$H$18="Monthly",AND(Nonlabor!$H$18="Once",C730=IF(Nonlabor!$E$18="Core",Nonlabor!$F$18,MAX(Nonlabor!$F$18,IF(Nonlabor!$E$18="AI",Assumptions!$C$24,Assumptions!$C$25)))),AND(Nonlabor!$H$18="Annual",MOD(C730-IF(Nonlabor!$E$18="Core",Nonlabor!$F$18,MAX(Nonlabor!$F$18,IF(Nonlabor!$E$18="AI",Assumptions!$C$24,Assumptions!$C$25))),12)=0))),IF(Nonlabor!$I$18="Fixed",1,IF(Nonlabor!$I$18="Seats",ROUNDUP('Monthly Lean'!I10,0),IF(Nonlabor!$I$18="Customers",'Monthly Lean'!D10,IF(Nonlabor!$I$18="NewCustomers",'Monthly Lean'!C10,IF(Nonlabor!$I$18="StorageGB",'Monthly Lean'!G10,IF(Nonlabor!$I$18="LogGB",'Monthly Lean'!H10,IF(Nonlabor!$I$18="RequestsM",'Monthly Lean'!F10,IF(Nonlabor!$I$18="InputM",'Monthly Lean'!D10*Assumptions!$C$22/1000000,IF(Nonlabor!$I$18="OutputM",'Monthly Lean'!D10*Assumptions!$C$23/1000000,0))))))))),0)</f>
        <v>0</v>
      </c>
      <c r="F730" s="10" t="n">
        <f aca="false">Nonlabor!$J$18*(1+Assumptions!$C$9)^INT((C730-1)/12)</f>
        <v>15000</v>
      </c>
      <c r="G730" s="10" t="n">
        <f aca="false">E730*F730</f>
        <v>0</v>
      </c>
      <c r="H730" s="10" t="n">
        <f aca="false">IF(OR(Nonlabor!$L$18="Quote required",Nonlabor!$L$18="Unverified"),G730,0)</f>
        <v>0</v>
      </c>
      <c r="I730" s="10" t="n">
        <f aca="false">IF(Nonlabor!$E$18="Core",0,G730)</f>
        <v>0</v>
      </c>
      <c r="J730" s="23" t="str">
        <f aca="false">Nonlabor!$B$18</f>
        <v>COMPLIANCE</v>
      </c>
    </row>
    <row r="731" customFormat="false" ht="15" hidden="false" customHeight="false" outlineLevel="0" collapsed="false">
      <c r="A731" s="6" t="s">
        <v>72</v>
      </c>
      <c r="B731" s="6" t="s">
        <v>413</v>
      </c>
      <c r="C731" s="6" t="n">
        <v>6</v>
      </c>
      <c r="D731" s="25" t="n">
        <f aca="false">EDATE('Start Here'!$B$6,C731-1)</f>
        <v>46478</v>
      </c>
      <c r="E731" s="23" t="n">
        <f aca="false">IF(AND(OR(Nonlabor!$D$18="Both",Nonlabor!$D$18='Start Here'!$B$9),IF(Nonlabor!$E$18="Core",1,IF(Nonlabor!$E$18="AI",'Start Here'!$B$7,'Start Here'!$B$8))=1,C731&gt;=IF(Nonlabor!$E$18="Core",Nonlabor!$F$18,MAX(Nonlabor!$F$18,IF(Nonlabor!$E$18="AI",Assumptions!$C$24,Assumptions!$C$25))),C731&lt;=Nonlabor!$G$18,OR(Nonlabor!$H$18="Monthly",AND(Nonlabor!$H$18="Once",C731=IF(Nonlabor!$E$18="Core",Nonlabor!$F$18,MAX(Nonlabor!$F$18,IF(Nonlabor!$E$18="AI",Assumptions!$C$24,Assumptions!$C$25)))),AND(Nonlabor!$H$18="Annual",MOD(C731-IF(Nonlabor!$E$18="Core",Nonlabor!$F$18,MAX(Nonlabor!$F$18,IF(Nonlabor!$E$18="AI",Assumptions!$C$24,Assumptions!$C$25))),12)=0))),IF(Nonlabor!$I$18="Fixed",1,IF(Nonlabor!$I$18="Seats",ROUNDUP('Monthly Lean'!I11,0),IF(Nonlabor!$I$18="Customers",'Monthly Lean'!D11,IF(Nonlabor!$I$18="NewCustomers",'Monthly Lean'!C11,IF(Nonlabor!$I$18="StorageGB",'Monthly Lean'!G11,IF(Nonlabor!$I$18="LogGB",'Monthly Lean'!H11,IF(Nonlabor!$I$18="RequestsM",'Monthly Lean'!F11,IF(Nonlabor!$I$18="InputM",'Monthly Lean'!D11*Assumptions!$C$22/1000000,IF(Nonlabor!$I$18="OutputM",'Monthly Lean'!D11*Assumptions!$C$23/1000000,0))))))))),0)</f>
        <v>0</v>
      </c>
      <c r="F731" s="10" t="n">
        <f aca="false">Nonlabor!$J$18*(1+Assumptions!$C$9)^INT((C731-1)/12)</f>
        <v>15000</v>
      </c>
      <c r="G731" s="10" t="n">
        <f aca="false">E731*F731</f>
        <v>0</v>
      </c>
      <c r="H731" s="10" t="n">
        <f aca="false">IF(OR(Nonlabor!$L$18="Quote required",Nonlabor!$L$18="Unverified"),G731,0)</f>
        <v>0</v>
      </c>
      <c r="I731" s="10" t="n">
        <f aca="false">IF(Nonlabor!$E$18="Core",0,G731)</f>
        <v>0</v>
      </c>
      <c r="J731" s="23" t="str">
        <f aca="false">Nonlabor!$B$18</f>
        <v>COMPLIANCE</v>
      </c>
    </row>
    <row r="732" customFormat="false" ht="15" hidden="false" customHeight="false" outlineLevel="0" collapsed="false">
      <c r="A732" s="6" t="s">
        <v>72</v>
      </c>
      <c r="B732" s="6" t="s">
        <v>413</v>
      </c>
      <c r="C732" s="6" t="n">
        <v>7</v>
      </c>
      <c r="D732" s="25" t="n">
        <f aca="false">EDATE('Start Here'!$B$6,C732-1)</f>
        <v>46508</v>
      </c>
      <c r="E732" s="23" t="n">
        <f aca="false">IF(AND(OR(Nonlabor!$D$18="Both",Nonlabor!$D$18='Start Here'!$B$9),IF(Nonlabor!$E$18="Core",1,IF(Nonlabor!$E$18="AI",'Start Here'!$B$7,'Start Here'!$B$8))=1,C732&gt;=IF(Nonlabor!$E$18="Core",Nonlabor!$F$18,MAX(Nonlabor!$F$18,IF(Nonlabor!$E$18="AI",Assumptions!$C$24,Assumptions!$C$25))),C732&lt;=Nonlabor!$G$18,OR(Nonlabor!$H$18="Monthly",AND(Nonlabor!$H$18="Once",C732=IF(Nonlabor!$E$18="Core",Nonlabor!$F$18,MAX(Nonlabor!$F$18,IF(Nonlabor!$E$18="AI",Assumptions!$C$24,Assumptions!$C$25)))),AND(Nonlabor!$H$18="Annual",MOD(C732-IF(Nonlabor!$E$18="Core",Nonlabor!$F$18,MAX(Nonlabor!$F$18,IF(Nonlabor!$E$18="AI",Assumptions!$C$24,Assumptions!$C$25))),12)=0))),IF(Nonlabor!$I$18="Fixed",1,IF(Nonlabor!$I$18="Seats",ROUNDUP('Monthly Lean'!I12,0),IF(Nonlabor!$I$18="Customers",'Monthly Lean'!D12,IF(Nonlabor!$I$18="NewCustomers",'Monthly Lean'!C12,IF(Nonlabor!$I$18="StorageGB",'Monthly Lean'!G12,IF(Nonlabor!$I$18="LogGB",'Monthly Lean'!H12,IF(Nonlabor!$I$18="RequestsM",'Monthly Lean'!F12,IF(Nonlabor!$I$18="InputM",'Monthly Lean'!D12*Assumptions!$C$22/1000000,IF(Nonlabor!$I$18="OutputM",'Monthly Lean'!D12*Assumptions!$C$23/1000000,0))))))))),0)</f>
        <v>0</v>
      </c>
      <c r="F732" s="10" t="n">
        <f aca="false">Nonlabor!$J$18*(1+Assumptions!$C$9)^INT((C732-1)/12)</f>
        <v>15000</v>
      </c>
      <c r="G732" s="10" t="n">
        <f aca="false">E732*F732</f>
        <v>0</v>
      </c>
      <c r="H732" s="10" t="n">
        <f aca="false">IF(OR(Nonlabor!$L$18="Quote required",Nonlabor!$L$18="Unverified"),G732,0)</f>
        <v>0</v>
      </c>
      <c r="I732" s="10" t="n">
        <f aca="false">IF(Nonlabor!$E$18="Core",0,G732)</f>
        <v>0</v>
      </c>
      <c r="J732" s="23" t="str">
        <f aca="false">Nonlabor!$B$18</f>
        <v>COMPLIANCE</v>
      </c>
    </row>
    <row r="733" customFormat="false" ht="15" hidden="false" customHeight="false" outlineLevel="0" collapsed="false">
      <c r="A733" s="6" t="s">
        <v>72</v>
      </c>
      <c r="B733" s="6" t="s">
        <v>413</v>
      </c>
      <c r="C733" s="6" t="n">
        <v>8</v>
      </c>
      <c r="D733" s="25" t="n">
        <f aca="false">EDATE('Start Here'!$B$6,C733-1)</f>
        <v>46539</v>
      </c>
      <c r="E733" s="23" t="n">
        <f aca="false">IF(AND(OR(Nonlabor!$D$18="Both",Nonlabor!$D$18='Start Here'!$B$9),IF(Nonlabor!$E$18="Core",1,IF(Nonlabor!$E$18="AI",'Start Here'!$B$7,'Start Here'!$B$8))=1,C733&gt;=IF(Nonlabor!$E$18="Core",Nonlabor!$F$18,MAX(Nonlabor!$F$18,IF(Nonlabor!$E$18="AI",Assumptions!$C$24,Assumptions!$C$25))),C733&lt;=Nonlabor!$G$18,OR(Nonlabor!$H$18="Monthly",AND(Nonlabor!$H$18="Once",C733=IF(Nonlabor!$E$18="Core",Nonlabor!$F$18,MAX(Nonlabor!$F$18,IF(Nonlabor!$E$18="AI",Assumptions!$C$24,Assumptions!$C$25)))),AND(Nonlabor!$H$18="Annual",MOD(C733-IF(Nonlabor!$E$18="Core",Nonlabor!$F$18,MAX(Nonlabor!$F$18,IF(Nonlabor!$E$18="AI",Assumptions!$C$24,Assumptions!$C$25))),12)=0))),IF(Nonlabor!$I$18="Fixed",1,IF(Nonlabor!$I$18="Seats",ROUNDUP('Monthly Lean'!I13,0),IF(Nonlabor!$I$18="Customers",'Monthly Lean'!D13,IF(Nonlabor!$I$18="NewCustomers",'Monthly Lean'!C13,IF(Nonlabor!$I$18="StorageGB",'Monthly Lean'!G13,IF(Nonlabor!$I$18="LogGB",'Monthly Lean'!H13,IF(Nonlabor!$I$18="RequestsM",'Monthly Lean'!F13,IF(Nonlabor!$I$18="InputM",'Monthly Lean'!D13*Assumptions!$C$22/1000000,IF(Nonlabor!$I$18="OutputM",'Monthly Lean'!D13*Assumptions!$C$23/1000000,0))))))))),0)</f>
        <v>0</v>
      </c>
      <c r="F733" s="10" t="n">
        <f aca="false">Nonlabor!$J$18*(1+Assumptions!$C$9)^INT((C733-1)/12)</f>
        <v>15000</v>
      </c>
      <c r="G733" s="10" t="n">
        <f aca="false">E733*F733</f>
        <v>0</v>
      </c>
      <c r="H733" s="10" t="n">
        <f aca="false">IF(OR(Nonlabor!$L$18="Quote required",Nonlabor!$L$18="Unverified"),G733,0)</f>
        <v>0</v>
      </c>
      <c r="I733" s="10" t="n">
        <f aca="false">IF(Nonlabor!$E$18="Core",0,G733)</f>
        <v>0</v>
      </c>
      <c r="J733" s="23" t="str">
        <f aca="false">Nonlabor!$B$18</f>
        <v>COMPLIANCE</v>
      </c>
    </row>
    <row r="734" customFormat="false" ht="15" hidden="false" customHeight="false" outlineLevel="0" collapsed="false">
      <c r="A734" s="6" t="s">
        <v>72</v>
      </c>
      <c r="B734" s="6" t="s">
        <v>413</v>
      </c>
      <c r="C734" s="6" t="n">
        <v>9</v>
      </c>
      <c r="D734" s="25" t="n">
        <f aca="false">EDATE('Start Here'!$B$6,C734-1)</f>
        <v>46569</v>
      </c>
      <c r="E734" s="23" t="n">
        <f aca="false">IF(AND(OR(Nonlabor!$D$18="Both",Nonlabor!$D$18='Start Here'!$B$9),IF(Nonlabor!$E$18="Core",1,IF(Nonlabor!$E$18="AI",'Start Here'!$B$7,'Start Here'!$B$8))=1,C734&gt;=IF(Nonlabor!$E$18="Core",Nonlabor!$F$18,MAX(Nonlabor!$F$18,IF(Nonlabor!$E$18="AI",Assumptions!$C$24,Assumptions!$C$25))),C734&lt;=Nonlabor!$G$18,OR(Nonlabor!$H$18="Monthly",AND(Nonlabor!$H$18="Once",C734=IF(Nonlabor!$E$18="Core",Nonlabor!$F$18,MAX(Nonlabor!$F$18,IF(Nonlabor!$E$18="AI",Assumptions!$C$24,Assumptions!$C$25)))),AND(Nonlabor!$H$18="Annual",MOD(C734-IF(Nonlabor!$E$18="Core",Nonlabor!$F$18,MAX(Nonlabor!$F$18,IF(Nonlabor!$E$18="AI",Assumptions!$C$24,Assumptions!$C$25))),12)=0))),IF(Nonlabor!$I$18="Fixed",1,IF(Nonlabor!$I$18="Seats",ROUNDUP('Monthly Lean'!I14,0),IF(Nonlabor!$I$18="Customers",'Monthly Lean'!D14,IF(Nonlabor!$I$18="NewCustomers",'Monthly Lean'!C14,IF(Nonlabor!$I$18="StorageGB",'Monthly Lean'!G14,IF(Nonlabor!$I$18="LogGB",'Monthly Lean'!H14,IF(Nonlabor!$I$18="RequestsM",'Monthly Lean'!F14,IF(Nonlabor!$I$18="InputM",'Monthly Lean'!D14*Assumptions!$C$22/1000000,IF(Nonlabor!$I$18="OutputM",'Monthly Lean'!D14*Assumptions!$C$23/1000000,0))))))))),0)</f>
        <v>0</v>
      </c>
      <c r="F734" s="10" t="n">
        <f aca="false">Nonlabor!$J$18*(1+Assumptions!$C$9)^INT((C734-1)/12)</f>
        <v>15000</v>
      </c>
      <c r="G734" s="10" t="n">
        <f aca="false">E734*F734</f>
        <v>0</v>
      </c>
      <c r="H734" s="10" t="n">
        <f aca="false">IF(OR(Nonlabor!$L$18="Quote required",Nonlabor!$L$18="Unverified"),G734,0)</f>
        <v>0</v>
      </c>
      <c r="I734" s="10" t="n">
        <f aca="false">IF(Nonlabor!$E$18="Core",0,G734)</f>
        <v>0</v>
      </c>
      <c r="J734" s="23" t="str">
        <f aca="false">Nonlabor!$B$18</f>
        <v>COMPLIANCE</v>
      </c>
    </row>
    <row r="735" customFormat="false" ht="15" hidden="false" customHeight="false" outlineLevel="0" collapsed="false">
      <c r="A735" s="6" t="s">
        <v>72</v>
      </c>
      <c r="B735" s="6" t="s">
        <v>413</v>
      </c>
      <c r="C735" s="6" t="n">
        <v>10</v>
      </c>
      <c r="D735" s="25" t="n">
        <f aca="false">EDATE('Start Here'!$B$6,C735-1)</f>
        <v>46600</v>
      </c>
      <c r="E735" s="23" t="n">
        <f aca="false">IF(AND(OR(Nonlabor!$D$18="Both",Nonlabor!$D$18='Start Here'!$B$9),IF(Nonlabor!$E$18="Core",1,IF(Nonlabor!$E$18="AI",'Start Here'!$B$7,'Start Here'!$B$8))=1,C735&gt;=IF(Nonlabor!$E$18="Core",Nonlabor!$F$18,MAX(Nonlabor!$F$18,IF(Nonlabor!$E$18="AI",Assumptions!$C$24,Assumptions!$C$25))),C735&lt;=Nonlabor!$G$18,OR(Nonlabor!$H$18="Monthly",AND(Nonlabor!$H$18="Once",C735=IF(Nonlabor!$E$18="Core",Nonlabor!$F$18,MAX(Nonlabor!$F$18,IF(Nonlabor!$E$18="AI",Assumptions!$C$24,Assumptions!$C$25)))),AND(Nonlabor!$H$18="Annual",MOD(C735-IF(Nonlabor!$E$18="Core",Nonlabor!$F$18,MAX(Nonlabor!$F$18,IF(Nonlabor!$E$18="AI",Assumptions!$C$24,Assumptions!$C$25))),12)=0))),IF(Nonlabor!$I$18="Fixed",1,IF(Nonlabor!$I$18="Seats",ROUNDUP('Monthly Lean'!I15,0),IF(Nonlabor!$I$18="Customers",'Monthly Lean'!D15,IF(Nonlabor!$I$18="NewCustomers",'Monthly Lean'!C15,IF(Nonlabor!$I$18="StorageGB",'Monthly Lean'!G15,IF(Nonlabor!$I$18="LogGB",'Monthly Lean'!H15,IF(Nonlabor!$I$18="RequestsM",'Monthly Lean'!F15,IF(Nonlabor!$I$18="InputM",'Monthly Lean'!D15*Assumptions!$C$22/1000000,IF(Nonlabor!$I$18="OutputM",'Monthly Lean'!D15*Assumptions!$C$23/1000000,0))))))))),0)</f>
        <v>0</v>
      </c>
      <c r="F735" s="10" t="n">
        <f aca="false">Nonlabor!$J$18*(1+Assumptions!$C$9)^INT((C735-1)/12)</f>
        <v>15000</v>
      </c>
      <c r="G735" s="10" t="n">
        <f aca="false">E735*F735</f>
        <v>0</v>
      </c>
      <c r="H735" s="10" t="n">
        <f aca="false">IF(OR(Nonlabor!$L$18="Quote required",Nonlabor!$L$18="Unverified"),G735,0)</f>
        <v>0</v>
      </c>
      <c r="I735" s="10" t="n">
        <f aca="false">IF(Nonlabor!$E$18="Core",0,G735)</f>
        <v>0</v>
      </c>
      <c r="J735" s="23" t="str">
        <f aca="false">Nonlabor!$B$18</f>
        <v>COMPLIANCE</v>
      </c>
    </row>
    <row r="736" customFormat="false" ht="15" hidden="false" customHeight="false" outlineLevel="0" collapsed="false">
      <c r="A736" s="6" t="s">
        <v>72</v>
      </c>
      <c r="B736" s="6" t="s">
        <v>413</v>
      </c>
      <c r="C736" s="6" t="n">
        <v>11</v>
      </c>
      <c r="D736" s="25" t="n">
        <f aca="false">EDATE('Start Here'!$B$6,C736-1)</f>
        <v>46631</v>
      </c>
      <c r="E736" s="23" t="n">
        <f aca="false">IF(AND(OR(Nonlabor!$D$18="Both",Nonlabor!$D$18='Start Here'!$B$9),IF(Nonlabor!$E$18="Core",1,IF(Nonlabor!$E$18="AI",'Start Here'!$B$7,'Start Here'!$B$8))=1,C736&gt;=IF(Nonlabor!$E$18="Core",Nonlabor!$F$18,MAX(Nonlabor!$F$18,IF(Nonlabor!$E$18="AI",Assumptions!$C$24,Assumptions!$C$25))),C736&lt;=Nonlabor!$G$18,OR(Nonlabor!$H$18="Monthly",AND(Nonlabor!$H$18="Once",C736=IF(Nonlabor!$E$18="Core",Nonlabor!$F$18,MAX(Nonlabor!$F$18,IF(Nonlabor!$E$18="AI",Assumptions!$C$24,Assumptions!$C$25)))),AND(Nonlabor!$H$18="Annual",MOD(C736-IF(Nonlabor!$E$18="Core",Nonlabor!$F$18,MAX(Nonlabor!$F$18,IF(Nonlabor!$E$18="AI",Assumptions!$C$24,Assumptions!$C$25))),12)=0))),IF(Nonlabor!$I$18="Fixed",1,IF(Nonlabor!$I$18="Seats",ROUNDUP('Monthly Lean'!I16,0),IF(Nonlabor!$I$18="Customers",'Monthly Lean'!D16,IF(Nonlabor!$I$18="NewCustomers",'Monthly Lean'!C16,IF(Nonlabor!$I$18="StorageGB",'Monthly Lean'!G16,IF(Nonlabor!$I$18="LogGB",'Monthly Lean'!H16,IF(Nonlabor!$I$18="RequestsM",'Monthly Lean'!F16,IF(Nonlabor!$I$18="InputM",'Monthly Lean'!D16*Assumptions!$C$22/1000000,IF(Nonlabor!$I$18="OutputM",'Monthly Lean'!D16*Assumptions!$C$23/1000000,0))))))))),0)</f>
        <v>1</v>
      </c>
      <c r="F736" s="10" t="n">
        <f aca="false">Nonlabor!$J$18*(1+Assumptions!$C$9)^INT((C736-1)/12)</f>
        <v>15000</v>
      </c>
      <c r="G736" s="10" t="n">
        <f aca="false">E736*F736</f>
        <v>15000</v>
      </c>
      <c r="H736" s="10" t="n">
        <f aca="false">IF(OR(Nonlabor!$L$18="Quote required",Nonlabor!$L$18="Unverified"),G736,0)</f>
        <v>15000</v>
      </c>
      <c r="I736" s="10" t="n">
        <f aca="false">IF(Nonlabor!$E$18="Core",0,G736)</f>
        <v>0</v>
      </c>
      <c r="J736" s="23" t="str">
        <f aca="false">Nonlabor!$B$18</f>
        <v>COMPLIANCE</v>
      </c>
    </row>
    <row r="737" customFormat="false" ht="15" hidden="false" customHeight="false" outlineLevel="0" collapsed="false">
      <c r="A737" s="6" t="s">
        <v>72</v>
      </c>
      <c r="B737" s="6" t="s">
        <v>413</v>
      </c>
      <c r="C737" s="6" t="n">
        <v>12</v>
      </c>
      <c r="D737" s="25" t="n">
        <f aca="false">EDATE('Start Here'!$B$6,C737-1)</f>
        <v>46661</v>
      </c>
      <c r="E737" s="23" t="n">
        <f aca="false">IF(AND(OR(Nonlabor!$D$18="Both",Nonlabor!$D$18='Start Here'!$B$9),IF(Nonlabor!$E$18="Core",1,IF(Nonlabor!$E$18="AI",'Start Here'!$B$7,'Start Here'!$B$8))=1,C737&gt;=IF(Nonlabor!$E$18="Core",Nonlabor!$F$18,MAX(Nonlabor!$F$18,IF(Nonlabor!$E$18="AI",Assumptions!$C$24,Assumptions!$C$25))),C737&lt;=Nonlabor!$G$18,OR(Nonlabor!$H$18="Monthly",AND(Nonlabor!$H$18="Once",C737=IF(Nonlabor!$E$18="Core",Nonlabor!$F$18,MAX(Nonlabor!$F$18,IF(Nonlabor!$E$18="AI",Assumptions!$C$24,Assumptions!$C$25)))),AND(Nonlabor!$H$18="Annual",MOD(C737-IF(Nonlabor!$E$18="Core",Nonlabor!$F$18,MAX(Nonlabor!$F$18,IF(Nonlabor!$E$18="AI",Assumptions!$C$24,Assumptions!$C$25))),12)=0))),IF(Nonlabor!$I$18="Fixed",1,IF(Nonlabor!$I$18="Seats",ROUNDUP('Monthly Lean'!I17,0),IF(Nonlabor!$I$18="Customers",'Monthly Lean'!D17,IF(Nonlabor!$I$18="NewCustomers",'Monthly Lean'!C17,IF(Nonlabor!$I$18="StorageGB",'Monthly Lean'!G17,IF(Nonlabor!$I$18="LogGB",'Monthly Lean'!H17,IF(Nonlabor!$I$18="RequestsM",'Monthly Lean'!F17,IF(Nonlabor!$I$18="InputM",'Monthly Lean'!D17*Assumptions!$C$22/1000000,IF(Nonlabor!$I$18="OutputM",'Monthly Lean'!D17*Assumptions!$C$23/1000000,0))))))))),0)</f>
        <v>0</v>
      </c>
      <c r="F737" s="10" t="n">
        <f aca="false">Nonlabor!$J$18*(1+Assumptions!$C$9)^INT((C737-1)/12)</f>
        <v>15000</v>
      </c>
      <c r="G737" s="10" t="n">
        <f aca="false">E737*F737</f>
        <v>0</v>
      </c>
      <c r="H737" s="10" t="n">
        <f aca="false">IF(OR(Nonlabor!$L$18="Quote required",Nonlabor!$L$18="Unverified"),G737,0)</f>
        <v>0</v>
      </c>
      <c r="I737" s="10" t="n">
        <f aca="false">IF(Nonlabor!$E$18="Core",0,G737)</f>
        <v>0</v>
      </c>
      <c r="J737" s="23" t="str">
        <f aca="false">Nonlabor!$B$18</f>
        <v>COMPLIANCE</v>
      </c>
    </row>
    <row r="738" customFormat="false" ht="15" hidden="false" customHeight="false" outlineLevel="0" collapsed="false">
      <c r="A738" s="6" t="s">
        <v>72</v>
      </c>
      <c r="B738" s="6" t="s">
        <v>413</v>
      </c>
      <c r="C738" s="6" t="n">
        <v>13</v>
      </c>
      <c r="D738" s="25" t="n">
        <f aca="false">EDATE('Start Here'!$B$6,C738-1)</f>
        <v>46692</v>
      </c>
      <c r="E738" s="23" t="n">
        <f aca="false">IF(AND(OR(Nonlabor!$D$18="Both",Nonlabor!$D$18='Start Here'!$B$9),IF(Nonlabor!$E$18="Core",1,IF(Nonlabor!$E$18="AI",'Start Here'!$B$7,'Start Here'!$B$8))=1,C738&gt;=IF(Nonlabor!$E$18="Core",Nonlabor!$F$18,MAX(Nonlabor!$F$18,IF(Nonlabor!$E$18="AI",Assumptions!$C$24,Assumptions!$C$25))),C738&lt;=Nonlabor!$G$18,OR(Nonlabor!$H$18="Monthly",AND(Nonlabor!$H$18="Once",C738=IF(Nonlabor!$E$18="Core",Nonlabor!$F$18,MAX(Nonlabor!$F$18,IF(Nonlabor!$E$18="AI",Assumptions!$C$24,Assumptions!$C$25)))),AND(Nonlabor!$H$18="Annual",MOD(C738-IF(Nonlabor!$E$18="Core",Nonlabor!$F$18,MAX(Nonlabor!$F$18,IF(Nonlabor!$E$18="AI",Assumptions!$C$24,Assumptions!$C$25))),12)=0))),IF(Nonlabor!$I$18="Fixed",1,IF(Nonlabor!$I$18="Seats",ROUNDUP('Monthly Lean'!I18,0),IF(Nonlabor!$I$18="Customers",'Monthly Lean'!D18,IF(Nonlabor!$I$18="NewCustomers",'Monthly Lean'!C18,IF(Nonlabor!$I$18="StorageGB",'Monthly Lean'!G18,IF(Nonlabor!$I$18="LogGB",'Monthly Lean'!H18,IF(Nonlabor!$I$18="RequestsM",'Monthly Lean'!F18,IF(Nonlabor!$I$18="InputM",'Monthly Lean'!D18*Assumptions!$C$22/1000000,IF(Nonlabor!$I$18="OutputM",'Monthly Lean'!D18*Assumptions!$C$23/1000000,0))))))))),0)</f>
        <v>0</v>
      </c>
      <c r="F738" s="10" t="n">
        <f aca="false">Nonlabor!$J$18*(1+Assumptions!$C$9)^INT((C738-1)/12)</f>
        <v>15450</v>
      </c>
      <c r="G738" s="10" t="n">
        <f aca="false">E738*F738</f>
        <v>0</v>
      </c>
      <c r="H738" s="10" t="n">
        <f aca="false">IF(OR(Nonlabor!$L$18="Quote required",Nonlabor!$L$18="Unverified"),G738,0)</f>
        <v>0</v>
      </c>
      <c r="I738" s="10" t="n">
        <f aca="false">IF(Nonlabor!$E$18="Core",0,G738)</f>
        <v>0</v>
      </c>
      <c r="J738" s="23" t="str">
        <f aca="false">Nonlabor!$B$18</f>
        <v>COMPLIANCE</v>
      </c>
    </row>
    <row r="739" customFormat="false" ht="15" hidden="false" customHeight="false" outlineLevel="0" collapsed="false">
      <c r="A739" s="6" t="s">
        <v>72</v>
      </c>
      <c r="B739" s="6" t="s">
        <v>413</v>
      </c>
      <c r="C739" s="6" t="n">
        <v>14</v>
      </c>
      <c r="D739" s="25" t="n">
        <f aca="false">EDATE('Start Here'!$B$6,C739-1)</f>
        <v>46722</v>
      </c>
      <c r="E739" s="23" t="n">
        <f aca="false">IF(AND(OR(Nonlabor!$D$18="Both",Nonlabor!$D$18='Start Here'!$B$9),IF(Nonlabor!$E$18="Core",1,IF(Nonlabor!$E$18="AI",'Start Here'!$B$7,'Start Here'!$B$8))=1,C739&gt;=IF(Nonlabor!$E$18="Core",Nonlabor!$F$18,MAX(Nonlabor!$F$18,IF(Nonlabor!$E$18="AI",Assumptions!$C$24,Assumptions!$C$25))),C739&lt;=Nonlabor!$G$18,OR(Nonlabor!$H$18="Monthly",AND(Nonlabor!$H$18="Once",C739=IF(Nonlabor!$E$18="Core",Nonlabor!$F$18,MAX(Nonlabor!$F$18,IF(Nonlabor!$E$18="AI",Assumptions!$C$24,Assumptions!$C$25)))),AND(Nonlabor!$H$18="Annual",MOD(C739-IF(Nonlabor!$E$18="Core",Nonlabor!$F$18,MAX(Nonlabor!$F$18,IF(Nonlabor!$E$18="AI",Assumptions!$C$24,Assumptions!$C$25))),12)=0))),IF(Nonlabor!$I$18="Fixed",1,IF(Nonlabor!$I$18="Seats",ROUNDUP('Monthly Lean'!I19,0),IF(Nonlabor!$I$18="Customers",'Monthly Lean'!D19,IF(Nonlabor!$I$18="NewCustomers",'Monthly Lean'!C19,IF(Nonlabor!$I$18="StorageGB",'Monthly Lean'!G19,IF(Nonlabor!$I$18="LogGB",'Monthly Lean'!H19,IF(Nonlabor!$I$18="RequestsM",'Monthly Lean'!F19,IF(Nonlabor!$I$18="InputM",'Monthly Lean'!D19*Assumptions!$C$22/1000000,IF(Nonlabor!$I$18="OutputM",'Monthly Lean'!D19*Assumptions!$C$23/1000000,0))))))))),0)</f>
        <v>0</v>
      </c>
      <c r="F739" s="10" t="n">
        <f aca="false">Nonlabor!$J$18*(1+Assumptions!$C$9)^INT((C739-1)/12)</f>
        <v>15450</v>
      </c>
      <c r="G739" s="10" t="n">
        <f aca="false">E739*F739</f>
        <v>0</v>
      </c>
      <c r="H739" s="10" t="n">
        <f aca="false">IF(OR(Nonlabor!$L$18="Quote required",Nonlabor!$L$18="Unverified"),G739,0)</f>
        <v>0</v>
      </c>
      <c r="I739" s="10" t="n">
        <f aca="false">IF(Nonlabor!$E$18="Core",0,G739)</f>
        <v>0</v>
      </c>
      <c r="J739" s="23" t="str">
        <f aca="false">Nonlabor!$B$18</f>
        <v>COMPLIANCE</v>
      </c>
    </row>
    <row r="740" customFormat="false" ht="15" hidden="false" customHeight="false" outlineLevel="0" collapsed="false">
      <c r="A740" s="6" t="s">
        <v>72</v>
      </c>
      <c r="B740" s="6" t="s">
        <v>413</v>
      </c>
      <c r="C740" s="6" t="n">
        <v>15</v>
      </c>
      <c r="D740" s="25" t="n">
        <f aca="false">EDATE('Start Here'!$B$6,C740-1)</f>
        <v>46753</v>
      </c>
      <c r="E740" s="23" t="n">
        <f aca="false">IF(AND(OR(Nonlabor!$D$18="Both",Nonlabor!$D$18='Start Here'!$B$9),IF(Nonlabor!$E$18="Core",1,IF(Nonlabor!$E$18="AI",'Start Here'!$B$7,'Start Here'!$B$8))=1,C740&gt;=IF(Nonlabor!$E$18="Core",Nonlabor!$F$18,MAX(Nonlabor!$F$18,IF(Nonlabor!$E$18="AI",Assumptions!$C$24,Assumptions!$C$25))),C740&lt;=Nonlabor!$G$18,OR(Nonlabor!$H$18="Monthly",AND(Nonlabor!$H$18="Once",C740=IF(Nonlabor!$E$18="Core",Nonlabor!$F$18,MAX(Nonlabor!$F$18,IF(Nonlabor!$E$18="AI",Assumptions!$C$24,Assumptions!$C$25)))),AND(Nonlabor!$H$18="Annual",MOD(C740-IF(Nonlabor!$E$18="Core",Nonlabor!$F$18,MAX(Nonlabor!$F$18,IF(Nonlabor!$E$18="AI",Assumptions!$C$24,Assumptions!$C$25))),12)=0))),IF(Nonlabor!$I$18="Fixed",1,IF(Nonlabor!$I$18="Seats",ROUNDUP('Monthly Lean'!I20,0),IF(Nonlabor!$I$18="Customers",'Monthly Lean'!D20,IF(Nonlabor!$I$18="NewCustomers",'Monthly Lean'!C20,IF(Nonlabor!$I$18="StorageGB",'Monthly Lean'!G20,IF(Nonlabor!$I$18="LogGB",'Monthly Lean'!H20,IF(Nonlabor!$I$18="RequestsM",'Monthly Lean'!F20,IF(Nonlabor!$I$18="InputM",'Monthly Lean'!D20*Assumptions!$C$22/1000000,IF(Nonlabor!$I$18="OutputM",'Monthly Lean'!D20*Assumptions!$C$23/1000000,0))))))))),0)</f>
        <v>0</v>
      </c>
      <c r="F740" s="10" t="n">
        <f aca="false">Nonlabor!$J$18*(1+Assumptions!$C$9)^INT((C740-1)/12)</f>
        <v>15450</v>
      </c>
      <c r="G740" s="10" t="n">
        <f aca="false">E740*F740</f>
        <v>0</v>
      </c>
      <c r="H740" s="10" t="n">
        <f aca="false">IF(OR(Nonlabor!$L$18="Quote required",Nonlabor!$L$18="Unverified"),G740,0)</f>
        <v>0</v>
      </c>
      <c r="I740" s="10" t="n">
        <f aca="false">IF(Nonlabor!$E$18="Core",0,G740)</f>
        <v>0</v>
      </c>
      <c r="J740" s="23" t="str">
        <f aca="false">Nonlabor!$B$18</f>
        <v>COMPLIANCE</v>
      </c>
    </row>
    <row r="741" customFormat="false" ht="15" hidden="false" customHeight="false" outlineLevel="0" collapsed="false">
      <c r="A741" s="6" t="s">
        <v>72</v>
      </c>
      <c r="B741" s="6" t="s">
        <v>413</v>
      </c>
      <c r="C741" s="6" t="n">
        <v>16</v>
      </c>
      <c r="D741" s="25" t="n">
        <f aca="false">EDATE('Start Here'!$B$6,C741-1)</f>
        <v>46784</v>
      </c>
      <c r="E741" s="23" t="n">
        <f aca="false">IF(AND(OR(Nonlabor!$D$18="Both",Nonlabor!$D$18='Start Here'!$B$9),IF(Nonlabor!$E$18="Core",1,IF(Nonlabor!$E$18="AI",'Start Here'!$B$7,'Start Here'!$B$8))=1,C741&gt;=IF(Nonlabor!$E$18="Core",Nonlabor!$F$18,MAX(Nonlabor!$F$18,IF(Nonlabor!$E$18="AI",Assumptions!$C$24,Assumptions!$C$25))),C741&lt;=Nonlabor!$G$18,OR(Nonlabor!$H$18="Monthly",AND(Nonlabor!$H$18="Once",C741=IF(Nonlabor!$E$18="Core",Nonlabor!$F$18,MAX(Nonlabor!$F$18,IF(Nonlabor!$E$18="AI",Assumptions!$C$24,Assumptions!$C$25)))),AND(Nonlabor!$H$18="Annual",MOD(C741-IF(Nonlabor!$E$18="Core",Nonlabor!$F$18,MAX(Nonlabor!$F$18,IF(Nonlabor!$E$18="AI",Assumptions!$C$24,Assumptions!$C$25))),12)=0))),IF(Nonlabor!$I$18="Fixed",1,IF(Nonlabor!$I$18="Seats",ROUNDUP('Monthly Lean'!I21,0),IF(Nonlabor!$I$18="Customers",'Monthly Lean'!D21,IF(Nonlabor!$I$18="NewCustomers",'Monthly Lean'!C21,IF(Nonlabor!$I$18="StorageGB",'Monthly Lean'!G21,IF(Nonlabor!$I$18="LogGB",'Monthly Lean'!H21,IF(Nonlabor!$I$18="RequestsM",'Monthly Lean'!F21,IF(Nonlabor!$I$18="InputM",'Monthly Lean'!D21*Assumptions!$C$22/1000000,IF(Nonlabor!$I$18="OutputM",'Monthly Lean'!D21*Assumptions!$C$23/1000000,0))))))))),0)</f>
        <v>0</v>
      </c>
      <c r="F741" s="10" t="n">
        <f aca="false">Nonlabor!$J$18*(1+Assumptions!$C$9)^INT((C741-1)/12)</f>
        <v>15450</v>
      </c>
      <c r="G741" s="10" t="n">
        <f aca="false">E741*F741</f>
        <v>0</v>
      </c>
      <c r="H741" s="10" t="n">
        <f aca="false">IF(OR(Nonlabor!$L$18="Quote required",Nonlabor!$L$18="Unverified"),G741,0)</f>
        <v>0</v>
      </c>
      <c r="I741" s="10" t="n">
        <f aca="false">IF(Nonlabor!$E$18="Core",0,G741)</f>
        <v>0</v>
      </c>
      <c r="J741" s="23" t="str">
        <f aca="false">Nonlabor!$B$18</f>
        <v>COMPLIANCE</v>
      </c>
    </row>
    <row r="742" customFormat="false" ht="15" hidden="false" customHeight="false" outlineLevel="0" collapsed="false">
      <c r="A742" s="6" t="s">
        <v>72</v>
      </c>
      <c r="B742" s="6" t="s">
        <v>413</v>
      </c>
      <c r="C742" s="6" t="n">
        <v>17</v>
      </c>
      <c r="D742" s="25" t="n">
        <f aca="false">EDATE('Start Here'!$B$6,C742-1)</f>
        <v>46813</v>
      </c>
      <c r="E742" s="23" t="n">
        <f aca="false">IF(AND(OR(Nonlabor!$D$18="Both",Nonlabor!$D$18='Start Here'!$B$9),IF(Nonlabor!$E$18="Core",1,IF(Nonlabor!$E$18="AI",'Start Here'!$B$7,'Start Here'!$B$8))=1,C742&gt;=IF(Nonlabor!$E$18="Core",Nonlabor!$F$18,MAX(Nonlabor!$F$18,IF(Nonlabor!$E$18="AI",Assumptions!$C$24,Assumptions!$C$25))),C742&lt;=Nonlabor!$G$18,OR(Nonlabor!$H$18="Monthly",AND(Nonlabor!$H$18="Once",C742=IF(Nonlabor!$E$18="Core",Nonlabor!$F$18,MAX(Nonlabor!$F$18,IF(Nonlabor!$E$18="AI",Assumptions!$C$24,Assumptions!$C$25)))),AND(Nonlabor!$H$18="Annual",MOD(C742-IF(Nonlabor!$E$18="Core",Nonlabor!$F$18,MAX(Nonlabor!$F$18,IF(Nonlabor!$E$18="AI",Assumptions!$C$24,Assumptions!$C$25))),12)=0))),IF(Nonlabor!$I$18="Fixed",1,IF(Nonlabor!$I$18="Seats",ROUNDUP('Monthly Lean'!I22,0),IF(Nonlabor!$I$18="Customers",'Monthly Lean'!D22,IF(Nonlabor!$I$18="NewCustomers",'Monthly Lean'!C22,IF(Nonlabor!$I$18="StorageGB",'Monthly Lean'!G22,IF(Nonlabor!$I$18="LogGB",'Monthly Lean'!H22,IF(Nonlabor!$I$18="RequestsM",'Monthly Lean'!F22,IF(Nonlabor!$I$18="InputM",'Monthly Lean'!D22*Assumptions!$C$22/1000000,IF(Nonlabor!$I$18="OutputM",'Monthly Lean'!D22*Assumptions!$C$23/1000000,0))))))))),0)</f>
        <v>0</v>
      </c>
      <c r="F742" s="10" t="n">
        <f aca="false">Nonlabor!$J$18*(1+Assumptions!$C$9)^INT((C742-1)/12)</f>
        <v>15450</v>
      </c>
      <c r="G742" s="10" t="n">
        <f aca="false">E742*F742</f>
        <v>0</v>
      </c>
      <c r="H742" s="10" t="n">
        <f aca="false">IF(OR(Nonlabor!$L$18="Quote required",Nonlabor!$L$18="Unverified"),G742,0)</f>
        <v>0</v>
      </c>
      <c r="I742" s="10" t="n">
        <f aca="false">IF(Nonlabor!$E$18="Core",0,G742)</f>
        <v>0</v>
      </c>
      <c r="J742" s="23" t="str">
        <f aca="false">Nonlabor!$B$18</f>
        <v>COMPLIANCE</v>
      </c>
    </row>
    <row r="743" customFormat="false" ht="15" hidden="false" customHeight="false" outlineLevel="0" collapsed="false">
      <c r="A743" s="6" t="s">
        <v>72</v>
      </c>
      <c r="B743" s="6" t="s">
        <v>413</v>
      </c>
      <c r="C743" s="6" t="n">
        <v>18</v>
      </c>
      <c r="D743" s="25" t="n">
        <f aca="false">EDATE('Start Here'!$B$6,C743-1)</f>
        <v>46844</v>
      </c>
      <c r="E743" s="23" t="n">
        <f aca="false">IF(AND(OR(Nonlabor!$D$18="Both",Nonlabor!$D$18='Start Here'!$B$9),IF(Nonlabor!$E$18="Core",1,IF(Nonlabor!$E$18="AI",'Start Here'!$B$7,'Start Here'!$B$8))=1,C743&gt;=IF(Nonlabor!$E$18="Core",Nonlabor!$F$18,MAX(Nonlabor!$F$18,IF(Nonlabor!$E$18="AI",Assumptions!$C$24,Assumptions!$C$25))),C743&lt;=Nonlabor!$G$18,OR(Nonlabor!$H$18="Monthly",AND(Nonlabor!$H$18="Once",C743=IF(Nonlabor!$E$18="Core",Nonlabor!$F$18,MAX(Nonlabor!$F$18,IF(Nonlabor!$E$18="AI",Assumptions!$C$24,Assumptions!$C$25)))),AND(Nonlabor!$H$18="Annual",MOD(C743-IF(Nonlabor!$E$18="Core",Nonlabor!$F$18,MAX(Nonlabor!$F$18,IF(Nonlabor!$E$18="AI",Assumptions!$C$24,Assumptions!$C$25))),12)=0))),IF(Nonlabor!$I$18="Fixed",1,IF(Nonlabor!$I$18="Seats",ROUNDUP('Monthly Lean'!I23,0),IF(Nonlabor!$I$18="Customers",'Monthly Lean'!D23,IF(Nonlabor!$I$18="NewCustomers",'Monthly Lean'!C23,IF(Nonlabor!$I$18="StorageGB",'Monthly Lean'!G23,IF(Nonlabor!$I$18="LogGB",'Monthly Lean'!H23,IF(Nonlabor!$I$18="RequestsM",'Monthly Lean'!F23,IF(Nonlabor!$I$18="InputM",'Monthly Lean'!D23*Assumptions!$C$22/1000000,IF(Nonlabor!$I$18="OutputM",'Monthly Lean'!D23*Assumptions!$C$23/1000000,0))))))))),0)</f>
        <v>0</v>
      </c>
      <c r="F743" s="10" t="n">
        <f aca="false">Nonlabor!$J$18*(1+Assumptions!$C$9)^INT((C743-1)/12)</f>
        <v>15450</v>
      </c>
      <c r="G743" s="10" t="n">
        <f aca="false">E743*F743</f>
        <v>0</v>
      </c>
      <c r="H743" s="10" t="n">
        <f aca="false">IF(OR(Nonlabor!$L$18="Quote required",Nonlabor!$L$18="Unverified"),G743,0)</f>
        <v>0</v>
      </c>
      <c r="I743" s="10" t="n">
        <f aca="false">IF(Nonlabor!$E$18="Core",0,G743)</f>
        <v>0</v>
      </c>
      <c r="J743" s="23" t="str">
        <f aca="false">Nonlabor!$B$18</f>
        <v>COMPLIANCE</v>
      </c>
    </row>
    <row r="744" customFormat="false" ht="15" hidden="false" customHeight="false" outlineLevel="0" collapsed="false">
      <c r="A744" s="6" t="s">
        <v>72</v>
      </c>
      <c r="B744" s="6" t="s">
        <v>413</v>
      </c>
      <c r="C744" s="6" t="n">
        <v>19</v>
      </c>
      <c r="D744" s="25" t="n">
        <f aca="false">EDATE('Start Here'!$B$6,C744-1)</f>
        <v>46874</v>
      </c>
      <c r="E744" s="23" t="n">
        <f aca="false">IF(AND(OR(Nonlabor!$D$18="Both",Nonlabor!$D$18='Start Here'!$B$9),IF(Nonlabor!$E$18="Core",1,IF(Nonlabor!$E$18="AI",'Start Here'!$B$7,'Start Here'!$B$8))=1,C744&gt;=IF(Nonlabor!$E$18="Core",Nonlabor!$F$18,MAX(Nonlabor!$F$18,IF(Nonlabor!$E$18="AI",Assumptions!$C$24,Assumptions!$C$25))),C744&lt;=Nonlabor!$G$18,OR(Nonlabor!$H$18="Monthly",AND(Nonlabor!$H$18="Once",C744=IF(Nonlabor!$E$18="Core",Nonlabor!$F$18,MAX(Nonlabor!$F$18,IF(Nonlabor!$E$18="AI",Assumptions!$C$24,Assumptions!$C$25)))),AND(Nonlabor!$H$18="Annual",MOD(C744-IF(Nonlabor!$E$18="Core",Nonlabor!$F$18,MAX(Nonlabor!$F$18,IF(Nonlabor!$E$18="AI",Assumptions!$C$24,Assumptions!$C$25))),12)=0))),IF(Nonlabor!$I$18="Fixed",1,IF(Nonlabor!$I$18="Seats",ROUNDUP('Monthly Lean'!I24,0),IF(Nonlabor!$I$18="Customers",'Monthly Lean'!D24,IF(Nonlabor!$I$18="NewCustomers",'Monthly Lean'!C24,IF(Nonlabor!$I$18="StorageGB",'Monthly Lean'!G24,IF(Nonlabor!$I$18="LogGB",'Monthly Lean'!H24,IF(Nonlabor!$I$18="RequestsM",'Monthly Lean'!F24,IF(Nonlabor!$I$18="InputM",'Monthly Lean'!D24*Assumptions!$C$22/1000000,IF(Nonlabor!$I$18="OutputM",'Monthly Lean'!D24*Assumptions!$C$23/1000000,0))))))))),0)</f>
        <v>0</v>
      </c>
      <c r="F744" s="10" t="n">
        <f aca="false">Nonlabor!$J$18*(1+Assumptions!$C$9)^INT((C744-1)/12)</f>
        <v>15450</v>
      </c>
      <c r="G744" s="10" t="n">
        <f aca="false">E744*F744</f>
        <v>0</v>
      </c>
      <c r="H744" s="10" t="n">
        <f aca="false">IF(OR(Nonlabor!$L$18="Quote required",Nonlabor!$L$18="Unverified"),G744,0)</f>
        <v>0</v>
      </c>
      <c r="I744" s="10" t="n">
        <f aca="false">IF(Nonlabor!$E$18="Core",0,G744)</f>
        <v>0</v>
      </c>
      <c r="J744" s="23" t="str">
        <f aca="false">Nonlabor!$B$18</f>
        <v>COMPLIANCE</v>
      </c>
    </row>
    <row r="745" customFormat="false" ht="15" hidden="false" customHeight="false" outlineLevel="0" collapsed="false">
      <c r="A745" s="6" t="s">
        <v>72</v>
      </c>
      <c r="B745" s="6" t="s">
        <v>413</v>
      </c>
      <c r="C745" s="6" t="n">
        <v>20</v>
      </c>
      <c r="D745" s="25" t="n">
        <f aca="false">EDATE('Start Here'!$B$6,C745-1)</f>
        <v>46905</v>
      </c>
      <c r="E745" s="23" t="n">
        <f aca="false">IF(AND(OR(Nonlabor!$D$18="Both",Nonlabor!$D$18='Start Here'!$B$9),IF(Nonlabor!$E$18="Core",1,IF(Nonlabor!$E$18="AI",'Start Here'!$B$7,'Start Here'!$B$8))=1,C745&gt;=IF(Nonlabor!$E$18="Core",Nonlabor!$F$18,MAX(Nonlabor!$F$18,IF(Nonlabor!$E$18="AI",Assumptions!$C$24,Assumptions!$C$25))),C745&lt;=Nonlabor!$G$18,OR(Nonlabor!$H$18="Monthly",AND(Nonlabor!$H$18="Once",C745=IF(Nonlabor!$E$18="Core",Nonlabor!$F$18,MAX(Nonlabor!$F$18,IF(Nonlabor!$E$18="AI",Assumptions!$C$24,Assumptions!$C$25)))),AND(Nonlabor!$H$18="Annual",MOD(C745-IF(Nonlabor!$E$18="Core",Nonlabor!$F$18,MAX(Nonlabor!$F$18,IF(Nonlabor!$E$18="AI",Assumptions!$C$24,Assumptions!$C$25))),12)=0))),IF(Nonlabor!$I$18="Fixed",1,IF(Nonlabor!$I$18="Seats",ROUNDUP('Monthly Lean'!I25,0),IF(Nonlabor!$I$18="Customers",'Monthly Lean'!D25,IF(Nonlabor!$I$18="NewCustomers",'Monthly Lean'!C25,IF(Nonlabor!$I$18="StorageGB",'Monthly Lean'!G25,IF(Nonlabor!$I$18="LogGB",'Monthly Lean'!H25,IF(Nonlabor!$I$18="RequestsM",'Monthly Lean'!F25,IF(Nonlabor!$I$18="InputM",'Monthly Lean'!D25*Assumptions!$C$22/1000000,IF(Nonlabor!$I$18="OutputM",'Monthly Lean'!D25*Assumptions!$C$23/1000000,0))))))))),0)</f>
        <v>0</v>
      </c>
      <c r="F745" s="10" t="n">
        <f aca="false">Nonlabor!$J$18*(1+Assumptions!$C$9)^INT((C745-1)/12)</f>
        <v>15450</v>
      </c>
      <c r="G745" s="10" t="n">
        <f aca="false">E745*F745</f>
        <v>0</v>
      </c>
      <c r="H745" s="10" t="n">
        <f aca="false">IF(OR(Nonlabor!$L$18="Quote required",Nonlabor!$L$18="Unverified"),G745,0)</f>
        <v>0</v>
      </c>
      <c r="I745" s="10" t="n">
        <f aca="false">IF(Nonlabor!$E$18="Core",0,G745)</f>
        <v>0</v>
      </c>
      <c r="J745" s="23" t="str">
        <f aca="false">Nonlabor!$B$18</f>
        <v>COMPLIANCE</v>
      </c>
    </row>
    <row r="746" customFormat="false" ht="15" hidden="false" customHeight="false" outlineLevel="0" collapsed="false">
      <c r="A746" s="6" t="s">
        <v>72</v>
      </c>
      <c r="B746" s="6" t="s">
        <v>413</v>
      </c>
      <c r="C746" s="6" t="n">
        <v>21</v>
      </c>
      <c r="D746" s="25" t="n">
        <f aca="false">EDATE('Start Here'!$B$6,C746-1)</f>
        <v>46935</v>
      </c>
      <c r="E746" s="23" t="n">
        <f aca="false">IF(AND(OR(Nonlabor!$D$18="Both",Nonlabor!$D$18='Start Here'!$B$9),IF(Nonlabor!$E$18="Core",1,IF(Nonlabor!$E$18="AI",'Start Here'!$B$7,'Start Here'!$B$8))=1,C746&gt;=IF(Nonlabor!$E$18="Core",Nonlabor!$F$18,MAX(Nonlabor!$F$18,IF(Nonlabor!$E$18="AI",Assumptions!$C$24,Assumptions!$C$25))),C746&lt;=Nonlabor!$G$18,OR(Nonlabor!$H$18="Monthly",AND(Nonlabor!$H$18="Once",C746=IF(Nonlabor!$E$18="Core",Nonlabor!$F$18,MAX(Nonlabor!$F$18,IF(Nonlabor!$E$18="AI",Assumptions!$C$24,Assumptions!$C$25)))),AND(Nonlabor!$H$18="Annual",MOD(C746-IF(Nonlabor!$E$18="Core",Nonlabor!$F$18,MAX(Nonlabor!$F$18,IF(Nonlabor!$E$18="AI",Assumptions!$C$24,Assumptions!$C$25))),12)=0))),IF(Nonlabor!$I$18="Fixed",1,IF(Nonlabor!$I$18="Seats",ROUNDUP('Monthly Lean'!I26,0),IF(Nonlabor!$I$18="Customers",'Monthly Lean'!D26,IF(Nonlabor!$I$18="NewCustomers",'Monthly Lean'!C26,IF(Nonlabor!$I$18="StorageGB",'Monthly Lean'!G26,IF(Nonlabor!$I$18="LogGB",'Monthly Lean'!H26,IF(Nonlabor!$I$18="RequestsM",'Monthly Lean'!F26,IF(Nonlabor!$I$18="InputM",'Monthly Lean'!D26*Assumptions!$C$22/1000000,IF(Nonlabor!$I$18="OutputM",'Monthly Lean'!D26*Assumptions!$C$23/1000000,0))))))))),0)</f>
        <v>0</v>
      </c>
      <c r="F746" s="10" t="n">
        <f aca="false">Nonlabor!$J$18*(1+Assumptions!$C$9)^INT((C746-1)/12)</f>
        <v>15450</v>
      </c>
      <c r="G746" s="10" t="n">
        <f aca="false">E746*F746</f>
        <v>0</v>
      </c>
      <c r="H746" s="10" t="n">
        <f aca="false">IF(OR(Nonlabor!$L$18="Quote required",Nonlabor!$L$18="Unverified"),G746,0)</f>
        <v>0</v>
      </c>
      <c r="I746" s="10" t="n">
        <f aca="false">IF(Nonlabor!$E$18="Core",0,G746)</f>
        <v>0</v>
      </c>
      <c r="J746" s="23" t="str">
        <f aca="false">Nonlabor!$B$18</f>
        <v>COMPLIANCE</v>
      </c>
    </row>
    <row r="747" customFormat="false" ht="15" hidden="false" customHeight="false" outlineLevel="0" collapsed="false">
      <c r="A747" s="6" t="s">
        <v>72</v>
      </c>
      <c r="B747" s="6" t="s">
        <v>413</v>
      </c>
      <c r="C747" s="6" t="n">
        <v>22</v>
      </c>
      <c r="D747" s="25" t="n">
        <f aca="false">EDATE('Start Here'!$B$6,C747-1)</f>
        <v>46966</v>
      </c>
      <c r="E747" s="23" t="n">
        <f aca="false">IF(AND(OR(Nonlabor!$D$18="Both",Nonlabor!$D$18='Start Here'!$B$9),IF(Nonlabor!$E$18="Core",1,IF(Nonlabor!$E$18="AI",'Start Here'!$B$7,'Start Here'!$B$8))=1,C747&gt;=IF(Nonlabor!$E$18="Core",Nonlabor!$F$18,MAX(Nonlabor!$F$18,IF(Nonlabor!$E$18="AI",Assumptions!$C$24,Assumptions!$C$25))),C747&lt;=Nonlabor!$G$18,OR(Nonlabor!$H$18="Monthly",AND(Nonlabor!$H$18="Once",C747=IF(Nonlabor!$E$18="Core",Nonlabor!$F$18,MAX(Nonlabor!$F$18,IF(Nonlabor!$E$18="AI",Assumptions!$C$24,Assumptions!$C$25)))),AND(Nonlabor!$H$18="Annual",MOD(C747-IF(Nonlabor!$E$18="Core",Nonlabor!$F$18,MAX(Nonlabor!$F$18,IF(Nonlabor!$E$18="AI",Assumptions!$C$24,Assumptions!$C$25))),12)=0))),IF(Nonlabor!$I$18="Fixed",1,IF(Nonlabor!$I$18="Seats",ROUNDUP('Monthly Lean'!I27,0),IF(Nonlabor!$I$18="Customers",'Monthly Lean'!D27,IF(Nonlabor!$I$18="NewCustomers",'Monthly Lean'!C27,IF(Nonlabor!$I$18="StorageGB",'Monthly Lean'!G27,IF(Nonlabor!$I$18="LogGB",'Monthly Lean'!H27,IF(Nonlabor!$I$18="RequestsM",'Monthly Lean'!F27,IF(Nonlabor!$I$18="InputM",'Monthly Lean'!D27*Assumptions!$C$22/1000000,IF(Nonlabor!$I$18="OutputM",'Monthly Lean'!D27*Assumptions!$C$23/1000000,0))))))))),0)</f>
        <v>0</v>
      </c>
      <c r="F747" s="10" t="n">
        <f aca="false">Nonlabor!$J$18*(1+Assumptions!$C$9)^INT((C747-1)/12)</f>
        <v>15450</v>
      </c>
      <c r="G747" s="10" t="n">
        <f aca="false">E747*F747</f>
        <v>0</v>
      </c>
      <c r="H747" s="10" t="n">
        <f aca="false">IF(OR(Nonlabor!$L$18="Quote required",Nonlabor!$L$18="Unverified"),G747,0)</f>
        <v>0</v>
      </c>
      <c r="I747" s="10" t="n">
        <f aca="false">IF(Nonlabor!$E$18="Core",0,G747)</f>
        <v>0</v>
      </c>
      <c r="J747" s="23" t="str">
        <f aca="false">Nonlabor!$B$18</f>
        <v>COMPLIANCE</v>
      </c>
    </row>
    <row r="748" customFormat="false" ht="15" hidden="false" customHeight="false" outlineLevel="0" collapsed="false">
      <c r="A748" s="6" t="s">
        <v>72</v>
      </c>
      <c r="B748" s="6" t="s">
        <v>413</v>
      </c>
      <c r="C748" s="6" t="n">
        <v>23</v>
      </c>
      <c r="D748" s="25" t="n">
        <f aca="false">EDATE('Start Here'!$B$6,C748-1)</f>
        <v>46997</v>
      </c>
      <c r="E748" s="23" t="n">
        <f aca="false">IF(AND(OR(Nonlabor!$D$18="Both",Nonlabor!$D$18='Start Here'!$B$9),IF(Nonlabor!$E$18="Core",1,IF(Nonlabor!$E$18="AI",'Start Here'!$B$7,'Start Here'!$B$8))=1,C748&gt;=IF(Nonlabor!$E$18="Core",Nonlabor!$F$18,MAX(Nonlabor!$F$18,IF(Nonlabor!$E$18="AI",Assumptions!$C$24,Assumptions!$C$25))),C748&lt;=Nonlabor!$G$18,OR(Nonlabor!$H$18="Monthly",AND(Nonlabor!$H$18="Once",C748=IF(Nonlabor!$E$18="Core",Nonlabor!$F$18,MAX(Nonlabor!$F$18,IF(Nonlabor!$E$18="AI",Assumptions!$C$24,Assumptions!$C$25)))),AND(Nonlabor!$H$18="Annual",MOD(C748-IF(Nonlabor!$E$18="Core",Nonlabor!$F$18,MAX(Nonlabor!$F$18,IF(Nonlabor!$E$18="AI",Assumptions!$C$24,Assumptions!$C$25))),12)=0))),IF(Nonlabor!$I$18="Fixed",1,IF(Nonlabor!$I$18="Seats",ROUNDUP('Monthly Lean'!I28,0),IF(Nonlabor!$I$18="Customers",'Monthly Lean'!D28,IF(Nonlabor!$I$18="NewCustomers",'Monthly Lean'!C28,IF(Nonlabor!$I$18="StorageGB",'Monthly Lean'!G28,IF(Nonlabor!$I$18="LogGB",'Monthly Lean'!H28,IF(Nonlabor!$I$18="RequestsM",'Monthly Lean'!F28,IF(Nonlabor!$I$18="InputM",'Monthly Lean'!D28*Assumptions!$C$22/1000000,IF(Nonlabor!$I$18="OutputM",'Monthly Lean'!D28*Assumptions!$C$23/1000000,0))))))))),0)</f>
        <v>1</v>
      </c>
      <c r="F748" s="10" t="n">
        <f aca="false">Nonlabor!$J$18*(1+Assumptions!$C$9)^INT((C748-1)/12)</f>
        <v>15450</v>
      </c>
      <c r="G748" s="10" t="n">
        <f aca="false">E748*F748</f>
        <v>15450</v>
      </c>
      <c r="H748" s="10" t="n">
        <f aca="false">IF(OR(Nonlabor!$L$18="Quote required",Nonlabor!$L$18="Unverified"),G748,0)</f>
        <v>15450</v>
      </c>
      <c r="I748" s="10" t="n">
        <f aca="false">IF(Nonlabor!$E$18="Core",0,G748)</f>
        <v>0</v>
      </c>
      <c r="J748" s="23" t="str">
        <f aca="false">Nonlabor!$B$18</f>
        <v>COMPLIANCE</v>
      </c>
    </row>
    <row r="749" customFormat="false" ht="15" hidden="false" customHeight="false" outlineLevel="0" collapsed="false">
      <c r="A749" s="6" t="s">
        <v>72</v>
      </c>
      <c r="B749" s="6" t="s">
        <v>413</v>
      </c>
      <c r="C749" s="6" t="n">
        <v>24</v>
      </c>
      <c r="D749" s="25" t="n">
        <f aca="false">EDATE('Start Here'!$B$6,C749-1)</f>
        <v>47027</v>
      </c>
      <c r="E749" s="23" t="n">
        <f aca="false">IF(AND(OR(Nonlabor!$D$18="Both",Nonlabor!$D$18='Start Here'!$B$9),IF(Nonlabor!$E$18="Core",1,IF(Nonlabor!$E$18="AI",'Start Here'!$B$7,'Start Here'!$B$8))=1,C749&gt;=IF(Nonlabor!$E$18="Core",Nonlabor!$F$18,MAX(Nonlabor!$F$18,IF(Nonlabor!$E$18="AI",Assumptions!$C$24,Assumptions!$C$25))),C749&lt;=Nonlabor!$G$18,OR(Nonlabor!$H$18="Monthly",AND(Nonlabor!$H$18="Once",C749=IF(Nonlabor!$E$18="Core",Nonlabor!$F$18,MAX(Nonlabor!$F$18,IF(Nonlabor!$E$18="AI",Assumptions!$C$24,Assumptions!$C$25)))),AND(Nonlabor!$H$18="Annual",MOD(C749-IF(Nonlabor!$E$18="Core",Nonlabor!$F$18,MAX(Nonlabor!$F$18,IF(Nonlabor!$E$18="AI",Assumptions!$C$24,Assumptions!$C$25))),12)=0))),IF(Nonlabor!$I$18="Fixed",1,IF(Nonlabor!$I$18="Seats",ROUNDUP('Monthly Lean'!I29,0),IF(Nonlabor!$I$18="Customers",'Monthly Lean'!D29,IF(Nonlabor!$I$18="NewCustomers",'Monthly Lean'!C29,IF(Nonlabor!$I$18="StorageGB",'Monthly Lean'!G29,IF(Nonlabor!$I$18="LogGB",'Monthly Lean'!H29,IF(Nonlabor!$I$18="RequestsM",'Monthly Lean'!F29,IF(Nonlabor!$I$18="InputM",'Monthly Lean'!D29*Assumptions!$C$22/1000000,IF(Nonlabor!$I$18="OutputM",'Monthly Lean'!D29*Assumptions!$C$23/1000000,0))))))))),0)</f>
        <v>0</v>
      </c>
      <c r="F749" s="10" t="n">
        <f aca="false">Nonlabor!$J$18*(1+Assumptions!$C$9)^INT((C749-1)/12)</f>
        <v>15450</v>
      </c>
      <c r="G749" s="10" t="n">
        <f aca="false">E749*F749</f>
        <v>0</v>
      </c>
      <c r="H749" s="10" t="n">
        <f aca="false">IF(OR(Nonlabor!$L$18="Quote required",Nonlabor!$L$18="Unverified"),G749,0)</f>
        <v>0</v>
      </c>
      <c r="I749" s="10" t="n">
        <f aca="false">IF(Nonlabor!$E$18="Core",0,G749)</f>
        <v>0</v>
      </c>
      <c r="J749" s="23" t="str">
        <f aca="false">Nonlabor!$B$18</f>
        <v>COMPLIANCE</v>
      </c>
    </row>
    <row r="750" customFormat="false" ht="15" hidden="false" customHeight="false" outlineLevel="0" collapsed="false">
      <c r="A750" s="6" t="s">
        <v>72</v>
      </c>
      <c r="B750" s="6" t="s">
        <v>413</v>
      </c>
      <c r="C750" s="6" t="n">
        <v>25</v>
      </c>
      <c r="D750" s="25" t="n">
        <f aca="false">EDATE('Start Here'!$B$6,C750-1)</f>
        <v>47058</v>
      </c>
      <c r="E750" s="23" t="n">
        <f aca="false">IF(AND(OR(Nonlabor!$D$18="Both",Nonlabor!$D$18='Start Here'!$B$9),IF(Nonlabor!$E$18="Core",1,IF(Nonlabor!$E$18="AI",'Start Here'!$B$7,'Start Here'!$B$8))=1,C750&gt;=IF(Nonlabor!$E$18="Core",Nonlabor!$F$18,MAX(Nonlabor!$F$18,IF(Nonlabor!$E$18="AI",Assumptions!$C$24,Assumptions!$C$25))),C750&lt;=Nonlabor!$G$18,OR(Nonlabor!$H$18="Monthly",AND(Nonlabor!$H$18="Once",C750=IF(Nonlabor!$E$18="Core",Nonlabor!$F$18,MAX(Nonlabor!$F$18,IF(Nonlabor!$E$18="AI",Assumptions!$C$24,Assumptions!$C$25)))),AND(Nonlabor!$H$18="Annual",MOD(C750-IF(Nonlabor!$E$18="Core",Nonlabor!$F$18,MAX(Nonlabor!$F$18,IF(Nonlabor!$E$18="AI",Assumptions!$C$24,Assumptions!$C$25))),12)=0))),IF(Nonlabor!$I$18="Fixed",1,IF(Nonlabor!$I$18="Seats",ROUNDUP('Monthly Lean'!I30,0),IF(Nonlabor!$I$18="Customers",'Monthly Lean'!D30,IF(Nonlabor!$I$18="NewCustomers",'Monthly Lean'!C30,IF(Nonlabor!$I$18="StorageGB",'Monthly Lean'!G30,IF(Nonlabor!$I$18="LogGB",'Monthly Lean'!H30,IF(Nonlabor!$I$18="RequestsM",'Monthly Lean'!F30,IF(Nonlabor!$I$18="InputM",'Monthly Lean'!D30*Assumptions!$C$22/1000000,IF(Nonlabor!$I$18="OutputM",'Monthly Lean'!D30*Assumptions!$C$23/1000000,0))))))))),0)</f>
        <v>0</v>
      </c>
      <c r="F750" s="10" t="n">
        <f aca="false">Nonlabor!$J$18*(1+Assumptions!$C$9)^INT((C750-1)/12)</f>
        <v>15913.5</v>
      </c>
      <c r="G750" s="10" t="n">
        <f aca="false">E750*F750</f>
        <v>0</v>
      </c>
      <c r="H750" s="10" t="n">
        <f aca="false">IF(OR(Nonlabor!$L$18="Quote required",Nonlabor!$L$18="Unverified"),G750,0)</f>
        <v>0</v>
      </c>
      <c r="I750" s="10" t="n">
        <f aca="false">IF(Nonlabor!$E$18="Core",0,G750)</f>
        <v>0</v>
      </c>
      <c r="J750" s="23" t="str">
        <f aca="false">Nonlabor!$B$18</f>
        <v>COMPLIANCE</v>
      </c>
    </row>
    <row r="751" customFormat="false" ht="15" hidden="false" customHeight="false" outlineLevel="0" collapsed="false">
      <c r="A751" s="6" t="s">
        <v>72</v>
      </c>
      <c r="B751" s="6" t="s">
        <v>413</v>
      </c>
      <c r="C751" s="6" t="n">
        <v>26</v>
      </c>
      <c r="D751" s="25" t="n">
        <f aca="false">EDATE('Start Here'!$B$6,C751-1)</f>
        <v>47088</v>
      </c>
      <c r="E751" s="23" t="n">
        <f aca="false">IF(AND(OR(Nonlabor!$D$18="Both",Nonlabor!$D$18='Start Here'!$B$9),IF(Nonlabor!$E$18="Core",1,IF(Nonlabor!$E$18="AI",'Start Here'!$B$7,'Start Here'!$B$8))=1,C751&gt;=IF(Nonlabor!$E$18="Core",Nonlabor!$F$18,MAX(Nonlabor!$F$18,IF(Nonlabor!$E$18="AI",Assumptions!$C$24,Assumptions!$C$25))),C751&lt;=Nonlabor!$G$18,OR(Nonlabor!$H$18="Monthly",AND(Nonlabor!$H$18="Once",C751=IF(Nonlabor!$E$18="Core",Nonlabor!$F$18,MAX(Nonlabor!$F$18,IF(Nonlabor!$E$18="AI",Assumptions!$C$24,Assumptions!$C$25)))),AND(Nonlabor!$H$18="Annual",MOD(C751-IF(Nonlabor!$E$18="Core",Nonlabor!$F$18,MAX(Nonlabor!$F$18,IF(Nonlabor!$E$18="AI",Assumptions!$C$24,Assumptions!$C$25))),12)=0))),IF(Nonlabor!$I$18="Fixed",1,IF(Nonlabor!$I$18="Seats",ROUNDUP('Monthly Lean'!I31,0),IF(Nonlabor!$I$18="Customers",'Monthly Lean'!D31,IF(Nonlabor!$I$18="NewCustomers",'Monthly Lean'!C31,IF(Nonlabor!$I$18="StorageGB",'Monthly Lean'!G31,IF(Nonlabor!$I$18="LogGB",'Monthly Lean'!H31,IF(Nonlabor!$I$18="RequestsM",'Monthly Lean'!F31,IF(Nonlabor!$I$18="InputM",'Monthly Lean'!D31*Assumptions!$C$22/1000000,IF(Nonlabor!$I$18="OutputM",'Monthly Lean'!D31*Assumptions!$C$23/1000000,0))))))))),0)</f>
        <v>0</v>
      </c>
      <c r="F751" s="10" t="n">
        <f aca="false">Nonlabor!$J$18*(1+Assumptions!$C$9)^INT((C751-1)/12)</f>
        <v>15913.5</v>
      </c>
      <c r="G751" s="10" t="n">
        <f aca="false">E751*F751</f>
        <v>0</v>
      </c>
      <c r="H751" s="10" t="n">
        <f aca="false">IF(OR(Nonlabor!$L$18="Quote required",Nonlabor!$L$18="Unverified"),G751,0)</f>
        <v>0</v>
      </c>
      <c r="I751" s="10" t="n">
        <f aca="false">IF(Nonlabor!$E$18="Core",0,G751)</f>
        <v>0</v>
      </c>
      <c r="J751" s="23" t="str">
        <f aca="false">Nonlabor!$B$18</f>
        <v>COMPLIANCE</v>
      </c>
    </row>
    <row r="752" customFormat="false" ht="15" hidden="false" customHeight="false" outlineLevel="0" collapsed="false">
      <c r="A752" s="6" t="s">
        <v>72</v>
      </c>
      <c r="B752" s="6" t="s">
        <v>413</v>
      </c>
      <c r="C752" s="6" t="n">
        <v>27</v>
      </c>
      <c r="D752" s="25" t="n">
        <f aca="false">EDATE('Start Here'!$B$6,C752-1)</f>
        <v>47119</v>
      </c>
      <c r="E752" s="23" t="n">
        <f aca="false">IF(AND(OR(Nonlabor!$D$18="Both",Nonlabor!$D$18='Start Here'!$B$9),IF(Nonlabor!$E$18="Core",1,IF(Nonlabor!$E$18="AI",'Start Here'!$B$7,'Start Here'!$B$8))=1,C752&gt;=IF(Nonlabor!$E$18="Core",Nonlabor!$F$18,MAX(Nonlabor!$F$18,IF(Nonlabor!$E$18="AI",Assumptions!$C$24,Assumptions!$C$25))),C752&lt;=Nonlabor!$G$18,OR(Nonlabor!$H$18="Monthly",AND(Nonlabor!$H$18="Once",C752=IF(Nonlabor!$E$18="Core",Nonlabor!$F$18,MAX(Nonlabor!$F$18,IF(Nonlabor!$E$18="AI",Assumptions!$C$24,Assumptions!$C$25)))),AND(Nonlabor!$H$18="Annual",MOD(C752-IF(Nonlabor!$E$18="Core",Nonlabor!$F$18,MAX(Nonlabor!$F$18,IF(Nonlabor!$E$18="AI",Assumptions!$C$24,Assumptions!$C$25))),12)=0))),IF(Nonlabor!$I$18="Fixed",1,IF(Nonlabor!$I$18="Seats",ROUNDUP('Monthly Lean'!I32,0),IF(Nonlabor!$I$18="Customers",'Monthly Lean'!D32,IF(Nonlabor!$I$18="NewCustomers",'Monthly Lean'!C32,IF(Nonlabor!$I$18="StorageGB",'Monthly Lean'!G32,IF(Nonlabor!$I$18="LogGB",'Monthly Lean'!H32,IF(Nonlabor!$I$18="RequestsM",'Monthly Lean'!F32,IF(Nonlabor!$I$18="InputM",'Monthly Lean'!D32*Assumptions!$C$22/1000000,IF(Nonlabor!$I$18="OutputM",'Monthly Lean'!D32*Assumptions!$C$23/1000000,0))))))))),0)</f>
        <v>0</v>
      </c>
      <c r="F752" s="10" t="n">
        <f aca="false">Nonlabor!$J$18*(1+Assumptions!$C$9)^INT((C752-1)/12)</f>
        <v>15913.5</v>
      </c>
      <c r="G752" s="10" t="n">
        <f aca="false">E752*F752</f>
        <v>0</v>
      </c>
      <c r="H752" s="10" t="n">
        <f aca="false">IF(OR(Nonlabor!$L$18="Quote required",Nonlabor!$L$18="Unverified"),G752,0)</f>
        <v>0</v>
      </c>
      <c r="I752" s="10" t="n">
        <f aca="false">IF(Nonlabor!$E$18="Core",0,G752)</f>
        <v>0</v>
      </c>
      <c r="J752" s="23" t="str">
        <f aca="false">Nonlabor!$B$18</f>
        <v>COMPLIANCE</v>
      </c>
    </row>
    <row r="753" customFormat="false" ht="15" hidden="false" customHeight="false" outlineLevel="0" collapsed="false">
      <c r="A753" s="6" t="s">
        <v>72</v>
      </c>
      <c r="B753" s="6" t="s">
        <v>413</v>
      </c>
      <c r="C753" s="6" t="n">
        <v>28</v>
      </c>
      <c r="D753" s="25" t="n">
        <f aca="false">EDATE('Start Here'!$B$6,C753-1)</f>
        <v>47150</v>
      </c>
      <c r="E753" s="23" t="n">
        <f aca="false">IF(AND(OR(Nonlabor!$D$18="Both",Nonlabor!$D$18='Start Here'!$B$9),IF(Nonlabor!$E$18="Core",1,IF(Nonlabor!$E$18="AI",'Start Here'!$B$7,'Start Here'!$B$8))=1,C753&gt;=IF(Nonlabor!$E$18="Core",Nonlabor!$F$18,MAX(Nonlabor!$F$18,IF(Nonlabor!$E$18="AI",Assumptions!$C$24,Assumptions!$C$25))),C753&lt;=Nonlabor!$G$18,OR(Nonlabor!$H$18="Monthly",AND(Nonlabor!$H$18="Once",C753=IF(Nonlabor!$E$18="Core",Nonlabor!$F$18,MAX(Nonlabor!$F$18,IF(Nonlabor!$E$18="AI",Assumptions!$C$24,Assumptions!$C$25)))),AND(Nonlabor!$H$18="Annual",MOD(C753-IF(Nonlabor!$E$18="Core",Nonlabor!$F$18,MAX(Nonlabor!$F$18,IF(Nonlabor!$E$18="AI",Assumptions!$C$24,Assumptions!$C$25))),12)=0))),IF(Nonlabor!$I$18="Fixed",1,IF(Nonlabor!$I$18="Seats",ROUNDUP('Monthly Lean'!I33,0),IF(Nonlabor!$I$18="Customers",'Monthly Lean'!D33,IF(Nonlabor!$I$18="NewCustomers",'Monthly Lean'!C33,IF(Nonlabor!$I$18="StorageGB",'Monthly Lean'!G33,IF(Nonlabor!$I$18="LogGB",'Monthly Lean'!H33,IF(Nonlabor!$I$18="RequestsM",'Monthly Lean'!F33,IF(Nonlabor!$I$18="InputM",'Monthly Lean'!D33*Assumptions!$C$22/1000000,IF(Nonlabor!$I$18="OutputM",'Monthly Lean'!D33*Assumptions!$C$23/1000000,0))))))))),0)</f>
        <v>0</v>
      </c>
      <c r="F753" s="10" t="n">
        <f aca="false">Nonlabor!$J$18*(1+Assumptions!$C$9)^INT((C753-1)/12)</f>
        <v>15913.5</v>
      </c>
      <c r="G753" s="10" t="n">
        <f aca="false">E753*F753</f>
        <v>0</v>
      </c>
      <c r="H753" s="10" t="n">
        <f aca="false">IF(OR(Nonlabor!$L$18="Quote required",Nonlabor!$L$18="Unverified"),G753,0)</f>
        <v>0</v>
      </c>
      <c r="I753" s="10" t="n">
        <f aca="false">IF(Nonlabor!$E$18="Core",0,G753)</f>
        <v>0</v>
      </c>
      <c r="J753" s="23" t="str">
        <f aca="false">Nonlabor!$B$18</f>
        <v>COMPLIANCE</v>
      </c>
    </row>
    <row r="754" customFormat="false" ht="15" hidden="false" customHeight="false" outlineLevel="0" collapsed="false">
      <c r="A754" s="6" t="s">
        <v>72</v>
      </c>
      <c r="B754" s="6" t="s">
        <v>413</v>
      </c>
      <c r="C754" s="6" t="n">
        <v>29</v>
      </c>
      <c r="D754" s="25" t="n">
        <f aca="false">EDATE('Start Here'!$B$6,C754-1)</f>
        <v>47178</v>
      </c>
      <c r="E754" s="23" t="n">
        <f aca="false">IF(AND(OR(Nonlabor!$D$18="Both",Nonlabor!$D$18='Start Here'!$B$9),IF(Nonlabor!$E$18="Core",1,IF(Nonlabor!$E$18="AI",'Start Here'!$B$7,'Start Here'!$B$8))=1,C754&gt;=IF(Nonlabor!$E$18="Core",Nonlabor!$F$18,MAX(Nonlabor!$F$18,IF(Nonlabor!$E$18="AI",Assumptions!$C$24,Assumptions!$C$25))),C754&lt;=Nonlabor!$G$18,OR(Nonlabor!$H$18="Monthly",AND(Nonlabor!$H$18="Once",C754=IF(Nonlabor!$E$18="Core",Nonlabor!$F$18,MAX(Nonlabor!$F$18,IF(Nonlabor!$E$18="AI",Assumptions!$C$24,Assumptions!$C$25)))),AND(Nonlabor!$H$18="Annual",MOD(C754-IF(Nonlabor!$E$18="Core",Nonlabor!$F$18,MAX(Nonlabor!$F$18,IF(Nonlabor!$E$18="AI",Assumptions!$C$24,Assumptions!$C$25))),12)=0))),IF(Nonlabor!$I$18="Fixed",1,IF(Nonlabor!$I$18="Seats",ROUNDUP('Monthly Lean'!I34,0),IF(Nonlabor!$I$18="Customers",'Monthly Lean'!D34,IF(Nonlabor!$I$18="NewCustomers",'Monthly Lean'!C34,IF(Nonlabor!$I$18="StorageGB",'Monthly Lean'!G34,IF(Nonlabor!$I$18="LogGB",'Monthly Lean'!H34,IF(Nonlabor!$I$18="RequestsM",'Monthly Lean'!F34,IF(Nonlabor!$I$18="InputM",'Monthly Lean'!D34*Assumptions!$C$22/1000000,IF(Nonlabor!$I$18="OutputM",'Monthly Lean'!D34*Assumptions!$C$23/1000000,0))))))))),0)</f>
        <v>0</v>
      </c>
      <c r="F754" s="10" t="n">
        <f aca="false">Nonlabor!$J$18*(1+Assumptions!$C$9)^INT((C754-1)/12)</f>
        <v>15913.5</v>
      </c>
      <c r="G754" s="10" t="n">
        <f aca="false">E754*F754</f>
        <v>0</v>
      </c>
      <c r="H754" s="10" t="n">
        <f aca="false">IF(OR(Nonlabor!$L$18="Quote required",Nonlabor!$L$18="Unverified"),G754,0)</f>
        <v>0</v>
      </c>
      <c r="I754" s="10" t="n">
        <f aca="false">IF(Nonlabor!$E$18="Core",0,G754)</f>
        <v>0</v>
      </c>
      <c r="J754" s="23" t="str">
        <f aca="false">Nonlabor!$B$18</f>
        <v>COMPLIANCE</v>
      </c>
    </row>
    <row r="755" customFormat="false" ht="15" hidden="false" customHeight="false" outlineLevel="0" collapsed="false">
      <c r="A755" s="6" t="s">
        <v>72</v>
      </c>
      <c r="B755" s="6" t="s">
        <v>413</v>
      </c>
      <c r="C755" s="6" t="n">
        <v>30</v>
      </c>
      <c r="D755" s="25" t="n">
        <f aca="false">EDATE('Start Here'!$B$6,C755-1)</f>
        <v>47209</v>
      </c>
      <c r="E755" s="23" t="n">
        <f aca="false">IF(AND(OR(Nonlabor!$D$18="Both",Nonlabor!$D$18='Start Here'!$B$9),IF(Nonlabor!$E$18="Core",1,IF(Nonlabor!$E$18="AI",'Start Here'!$B$7,'Start Here'!$B$8))=1,C755&gt;=IF(Nonlabor!$E$18="Core",Nonlabor!$F$18,MAX(Nonlabor!$F$18,IF(Nonlabor!$E$18="AI",Assumptions!$C$24,Assumptions!$C$25))),C755&lt;=Nonlabor!$G$18,OR(Nonlabor!$H$18="Monthly",AND(Nonlabor!$H$18="Once",C755=IF(Nonlabor!$E$18="Core",Nonlabor!$F$18,MAX(Nonlabor!$F$18,IF(Nonlabor!$E$18="AI",Assumptions!$C$24,Assumptions!$C$25)))),AND(Nonlabor!$H$18="Annual",MOD(C755-IF(Nonlabor!$E$18="Core",Nonlabor!$F$18,MAX(Nonlabor!$F$18,IF(Nonlabor!$E$18="AI",Assumptions!$C$24,Assumptions!$C$25))),12)=0))),IF(Nonlabor!$I$18="Fixed",1,IF(Nonlabor!$I$18="Seats",ROUNDUP('Monthly Lean'!I35,0),IF(Nonlabor!$I$18="Customers",'Monthly Lean'!D35,IF(Nonlabor!$I$18="NewCustomers",'Monthly Lean'!C35,IF(Nonlabor!$I$18="StorageGB",'Monthly Lean'!G35,IF(Nonlabor!$I$18="LogGB",'Monthly Lean'!H35,IF(Nonlabor!$I$18="RequestsM",'Monthly Lean'!F35,IF(Nonlabor!$I$18="InputM",'Monthly Lean'!D35*Assumptions!$C$22/1000000,IF(Nonlabor!$I$18="OutputM",'Monthly Lean'!D35*Assumptions!$C$23/1000000,0))))))))),0)</f>
        <v>0</v>
      </c>
      <c r="F755" s="10" t="n">
        <f aca="false">Nonlabor!$J$18*(1+Assumptions!$C$9)^INT((C755-1)/12)</f>
        <v>15913.5</v>
      </c>
      <c r="G755" s="10" t="n">
        <f aca="false">E755*F755</f>
        <v>0</v>
      </c>
      <c r="H755" s="10" t="n">
        <f aca="false">IF(OR(Nonlabor!$L$18="Quote required",Nonlabor!$L$18="Unverified"),G755,0)</f>
        <v>0</v>
      </c>
      <c r="I755" s="10" t="n">
        <f aca="false">IF(Nonlabor!$E$18="Core",0,G755)</f>
        <v>0</v>
      </c>
      <c r="J755" s="23" t="str">
        <f aca="false">Nonlabor!$B$18</f>
        <v>COMPLIANCE</v>
      </c>
    </row>
    <row r="756" customFormat="false" ht="15" hidden="false" customHeight="false" outlineLevel="0" collapsed="false">
      <c r="A756" s="6" t="s">
        <v>72</v>
      </c>
      <c r="B756" s="6" t="s">
        <v>413</v>
      </c>
      <c r="C756" s="6" t="n">
        <v>31</v>
      </c>
      <c r="D756" s="25" t="n">
        <f aca="false">EDATE('Start Here'!$B$6,C756-1)</f>
        <v>47239</v>
      </c>
      <c r="E756" s="23" t="n">
        <f aca="false">IF(AND(OR(Nonlabor!$D$18="Both",Nonlabor!$D$18='Start Here'!$B$9),IF(Nonlabor!$E$18="Core",1,IF(Nonlabor!$E$18="AI",'Start Here'!$B$7,'Start Here'!$B$8))=1,C756&gt;=IF(Nonlabor!$E$18="Core",Nonlabor!$F$18,MAX(Nonlabor!$F$18,IF(Nonlabor!$E$18="AI",Assumptions!$C$24,Assumptions!$C$25))),C756&lt;=Nonlabor!$G$18,OR(Nonlabor!$H$18="Monthly",AND(Nonlabor!$H$18="Once",C756=IF(Nonlabor!$E$18="Core",Nonlabor!$F$18,MAX(Nonlabor!$F$18,IF(Nonlabor!$E$18="AI",Assumptions!$C$24,Assumptions!$C$25)))),AND(Nonlabor!$H$18="Annual",MOD(C756-IF(Nonlabor!$E$18="Core",Nonlabor!$F$18,MAX(Nonlabor!$F$18,IF(Nonlabor!$E$18="AI",Assumptions!$C$24,Assumptions!$C$25))),12)=0))),IF(Nonlabor!$I$18="Fixed",1,IF(Nonlabor!$I$18="Seats",ROUNDUP('Monthly Lean'!I36,0),IF(Nonlabor!$I$18="Customers",'Monthly Lean'!D36,IF(Nonlabor!$I$18="NewCustomers",'Monthly Lean'!C36,IF(Nonlabor!$I$18="StorageGB",'Monthly Lean'!G36,IF(Nonlabor!$I$18="LogGB",'Monthly Lean'!H36,IF(Nonlabor!$I$18="RequestsM",'Monthly Lean'!F36,IF(Nonlabor!$I$18="InputM",'Monthly Lean'!D36*Assumptions!$C$22/1000000,IF(Nonlabor!$I$18="OutputM",'Monthly Lean'!D36*Assumptions!$C$23/1000000,0))))))))),0)</f>
        <v>0</v>
      </c>
      <c r="F756" s="10" t="n">
        <f aca="false">Nonlabor!$J$18*(1+Assumptions!$C$9)^INT((C756-1)/12)</f>
        <v>15913.5</v>
      </c>
      <c r="G756" s="10" t="n">
        <f aca="false">E756*F756</f>
        <v>0</v>
      </c>
      <c r="H756" s="10" t="n">
        <f aca="false">IF(OR(Nonlabor!$L$18="Quote required",Nonlabor!$L$18="Unverified"),G756,0)</f>
        <v>0</v>
      </c>
      <c r="I756" s="10" t="n">
        <f aca="false">IF(Nonlabor!$E$18="Core",0,G756)</f>
        <v>0</v>
      </c>
      <c r="J756" s="23" t="str">
        <f aca="false">Nonlabor!$B$18</f>
        <v>COMPLIANCE</v>
      </c>
    </row>
    <row r="757" customFormat="false" ht="15" hidden="false" customHeight="false" outlineLevel="0" collapsed="false">
      <c r="A757" s="6" t="s">
        <v>72</v>
      </c>
      <c r="B757" s="6" t="s">
        <v>413</v>
      </c>
      <c r="C757" s="6" t="n">
        <v>32</v>
      </c>
      <c r="D757" s="25" t="n">
        <f aca="false">EDATE('Start Here'!$B$6,C757-1)</f>
        <v>47270</v>
      </c>
      <c r="E757" s="23" t="n">
        <f aca="false">IF(AND(OR(Nonlabor!$D$18="Both",Nonlabor!$D$18='Start Here'!$B$9),IF(Nonlabor!$E$18="Core",1,IF(Nonlabor!$E$18="AI",'Start Here'!$B$7,'Start Here'!$B$8))=1,C757&gt;=IF(Nonlabor!$E$18="Core",Nonlabor!$F$18,MAX(Nonlabor!$F$18,IF(Nonlabor!$E$18="AI",Assumptions!$C$24,Assumptions!$C$25))),C757&lt;=Nonlabor!$G$18,OR(Nonlabor!$H$18="Monthly",AND(Nonlabor!$H$18="Once",C757=IF(Nonlabor!$E$18="Core",Nonlabor!$F$18,MAX(Nonlabor!$F$18,IF(Nonlabor!$E$18="AI",Assumptions!$C$24,Assumptions!$C$25)))),AND(Nonlabor!$H$18="Annual",MOD(C757-IF(Nonlabor!$E$18="Core",Nonlabor!$F$18,MAX(Nonlabor!$F$18,IF(Nonlabor!$E$18="AI",Assumptions!$C$24,Assumptions!$C$25))),12)=0))),IF(Nonlabor!$I$18="Fixed",1,IF(Nonlabor!$I$18="Seats",ROUNDUP('Monthly Lean'!I37,0),IF(Nonlabor!$I$18="Customers",'Monthly Lean'!D37,IF(Nonlabor!$I$18="NewCustomers",'Monthly Lean'!C37,IF(Nonlabor!$I$18="StorageGB",'Monthly Lean'!G37,IF(Nonlabor!$I$18="LogGB",'Monthly Lean'!H37,IF(Nonlabor!$I$18="RequestsM",'Monthly Lean'!F37,IF(Nonlabor!$I$18="InputM",'Monthly Lean'!D37*Assumptions!$C$22/1000000,IF(Nonlabor!$I$18="OutputM",'Monthly Lean'!D37*Assumptions!$C$23/1000000,0))))))))),0)</f>
        <v>0</v>
      </c>
      <c r="F757" s="10" t="n">
        <f aca="false">Nonlabor!$J$18*(1+Assumptions!$C$9)^INT((C757-1)/12)</f>
        <v>15913.5</v>
      </c>
      <c r="G757" s="10" t="n">
        <f aca="false">E757*F757</f>
        <v>0</v>
      </c>
      <c r="H757" s="10" t="n">
        <f aca="false">IF(OR(Nonlabor!$L$18="Quote required",Nonlabor!$L$18="Unverified"),G757,0)</f>
        <v>0</v>
      </c>
      <c r="I757" s="10" t="n">
        <f aca="false">IF(Nonlabor!$E$18="Core",0,G757)</f>
        <v>0</v>
      </c>
      <c r="J757" s="23" t="str">
        <f aca="false">Nonlabor!$B$18</f>
        <v>COMPLIANCE</v>
      </c>
    </row>
    <row r="758" customFormat="false" ht="15" hidden="false" customHeight="false" outlineLevel="0" collapsed="false">
      <c r="A758" s="6" t="s">
        <v>72</v>
      </c>
      <c r="B758" s="6" t="s">
        <v>413</v>
      </c>
      <c r="C758" s="6" t="n">
        <v>33</v>
      </c>
      <c r="D758" s="25" t="n">
        <f aca="false">EDATE('Start Here'!$B$6,C758-1)</f>
        <v>47300</v>
      </c>
      <c r="E758" s="23" t="n">
        <f aca="false">IF(AND(OR(Nonlabor!$D$18="Both",Nonlabor!$D$18='Start Here'!$B$9),IF(Nonlabor!$E$18="Core",1,IF(Nonlabor!$E$18="AI",'Start Here'!$B$7,'Start Here'!$B$8))=1,C758&gt;=IF(Nonlabor!$E$18="Core",Nonlabor!$F$18,MAX(Nonlabor!$F$18,IF(Nonlabor!$E$18="AI",Assumptions!$C$24,Assumptions!$C$25))),C758&lt;=Nonlabor!$G$18,OR(Nonlabor!$H$18="Monthly",AND(Nonlabor!$H$18="Once",C758=IF(Nonlabor!$E$18="Core",Nonlabor!$F$18,MAX(Nonlabor!$F$18,IF(Nonlabor!$E$18="AI",Assumptions!$C$24,Assumptions!$C$25)))),AND(Nonlabor!$H$18="Annual",MOD(C758-IF(Nonlabor!$E$18="Core",Nonlabor!$F$18,MAX(Nonlabor!$F$18,IF(Nonlabor!$E$18="AI",Assumptions!$C$24,Assumptions!$C$25))),12)=0))),IF(Nonlabor!$I$18="Fixed",1,IF(Nonlabor!$I$18="Seats",ROUNDUP('Monthly Lean'!I38,0),IF(Nonlabor!$I$18="Customers",'Monthly Lean'!D38,IF(Nonlabor!$I$18="NewCustomers",'Monthly Lean'!C38,IF(Nonlabor!$I$18="StorageGB",'Monthly Lean'!G38,IF(Nonlabor!$I$18="LogGB",'Monthly Lean'!H38,IF(Nonlabor!$I$18="RequestsM",'Monthly Lean'!F38,IF(Nonlabor!$I$18="InputM",'Monthly Lean'!D38*Assumptions!$C$22/1000000,IF(Nonlabor!$I$18="OutputM",'Monthly Lean'!D38*Assumptions!$C$23/1000000,0))))))))),0)</f>
        <v>0</v>
      </c>
      <c r="F758" s="10" t="n">
        <f aca="false">Nonlabor!$J$18*(1+Assumptions!$C$9)^INT((C758-1)/12)</f>
        <v>15913.5</v>
      </c>
      <c r="G758" s="10" t="n">
        <f aca="false">E758*F758</f>
        <v>0</v>
      </c>
      <c r="H758" s="10" t="n">
        <f aca="false">IF(OR(Nonlabor!$L$18="Quote required",Nonlabor!$L$18="Unverified"),G758,0)</f>
        <v>0</v>
      </c>
      <c r="I758" s="10" t="n">
        <f aca="false">IF(Nonlabor!$E$18="Core",0,G758)</f>
        <v>0</v>
      </c>
      <c r="J758" s="23" t="str">
        <f aca="false">Nonlabor!$B$18</f>
        <v>COMPLIANCE</v>
      </c>
    </row>
    <row r="759" customFormat="false" ht="15" hidden="false" customHeight="false" outlineLevel="0" collapsed="false">
      <c r="A759" s="6" t="s">
        <v>72</v>
      </c>
      <c r="B759" s="6" t="s">
        <v>413</v>
      </c>
      <c r="C759" s="6" t="n">
        <v>34</v>
      </c>
      <c r="D759" s="25" t="n">
        <f aca="false">EDATE('Start Here'!$B$6,C759-1)</f>
        <v>47331</v>
      </c>
      <c r="E759" s="23" t="n">
        <f aca="false">IF(AND(OR(Nonlabor!$D$18="Both",Nonlabor!$D$18='Start Here'!$B$9),IF(Nonlabor!$E$18="Core",1,IF(Nonlabor!$E$18="AI",'Start Here'!$B$7,'Start Here'!$B$8))=1,C759&gt;=IF(Nonlabor!$E$18="Core",Nonlabor!$F$18,MAX(Nonlabor!$F$18,IF(Nonlabor!$E$18="AI",Assumptions!$C$24,Assumptions!$C$25))),C759&lt;=Nonlabor!$G$18,OR(Nonlabor!$H$18="Monthly",AND(Nonlabor!$H$18="Once",C759=IF(Nonlabor!$E$18="Core",Nonlabor!$F$18,MAX(Nonlabor!$F$18,IF(Nonlabor!$E$18="AI",Assumptions!$C$24,Assumptions!$C$25)))),AND(Nonlabor!$H$18="Annual",MOD(C759-IF(Nonlabor!$E$18="Core",Nonlabor!$F$18,MAX(Nonlabor!$F$18,IF(Nonlabor!$E$18="AI",Assumptions!$C$24,Assumptions!$C$25))),12)=0))),IF(Nonlabor!$I$18="Fixed",1,IF(Nonlabor!$I$18="Seats",ROUNDUP('Monthly Lean'!I39,0),IF(Nonlabor!$I$18="Customers",'Monthly Lean'!D39,IF(Nonlabor!$I$18="NewCustomers",'Monthly Lean'!C39,IF(Nonlabor!$I$18="StorageGB",'Monthly Lean'!G39,IF(Nonlabor!$I$18="LogGB",'Monthly Lean'!H39,IF(Nonlabor!$I$18="RequestsM",'Monthly Lean'!F39,IF(Nonlabor!$I$18="InputM",'Monthly Lean'!D39*Assumptions!$C$22/1000000,IF(Nonlabor!$I$18="OutputM",'Monthly Lean'!D39*Assumptions!$C$23/1000000,0))))))))),0)</f>
        <v>0</v>
      </c>
      <c r="F759" s="10" t="n">
        <f aca="false">Nonlabor!$J$18*(1+Assumptions!$C$9)^INT((C759-1)/12)</f>
        <v>15913.5</v>
      </c>
      <c r="G759" s="10" t="n">
        <f aca="false">E759*F759</f>
        <v>0</v>
      </c>
      <c r="H759" s="10" t="n">
        <f aca="false">IF(OR(Nonlabor!$L$18="Quote required",Nonlabor!$L$18="Unverified"),G759,0)</f>
        <v>0</v>
      </c>
      <c r="I759" s="10" t="n">
        <f aca="false">IF(Nonlabor!$E$18="Core",0,G759)</f>
        <v>0</v>
      </c>
      <c r="J759" s="23" t="str">
        <f aca="false">Nonlabor!$B$18</f>
        <v>COMPLIANCE</v>
      </c>
    </row>
    <row r="760" customFormat="false" ht="15" hidden="false" customHeight="false" outlineLevel="0" collapsed="false">
      <c r="A760" s="6" t="s">
        <v>72</v>
      </c>
      <c r="B760" s="6" t="s">
        <v>413</v>
      </c>
      <c r="C760" s="6" t="n">
        <v>35</v>
      </c>
      <c r="D760" s="25" t="n">
        <f aca="false">EDATE('Start Here'!$B$6,C760-1)</f>
        <v>47362</v>
      </c>
      <c r="E760" s="23" t="n">
        <f aca="false">IF(AND(OR(Nonlabor!$D$18="Both",Nonlabor!$D$18='Start Here'!$B$9),IF(Nonlabor!$E$18="Core",1,IF(Nonlabor!$E$18="AI",'Start Here'!$B$7,'Start Here'!$B$8))=1,C760&gt;=IF(Nonlabor!$E$18="Core",Nonlabor!$F$18,MAX(Nonlabor!$F$18,IF(Nonlabor!$E$18="AI",Assumptions!$C$24,Assumptions!$C$25))),C760&lt;=Nonlabor!$G$18,OR(Nonlabor!$H$18="Monthly",AND(Nonlabor!$H$18="Once",C760=IF(Nonlabor!$E$18="Core",Nonlabor!$F$18,MAX(Nonlabor!$F$18,IF(Nonlabor!$E$18="AI",Assumptions!$C$24,Assumptions!$C$25)))),AND(Nonlabor!$H$18="Annual",MOD(C760-IF(Nonlabor!$E$18="Core",Nonlabor!$F$18,MAX(Nonlabor!$F$18,IF(Nonlabor!$E$18="AI",Assumptions!$C$24,Assumptions!$C$25))),12)=0))),IF(Nonlabor!$I$18="Fixed",1,IF(Nonlabor!$I$18="Seats",ROUNDUP('Monthly Lean'!I40,0),IF(Nonlabor!$I$18="Customers",'Monthly Lean'!D40,IF(Nonlabor!$I$18="NewCustomers",'Monthly Lean'!C40,IF(Nonlabor!$I$18="StorageGB",'Monthly Lean'!G40,IF(Nonlabor!$I$18="LogGB",'Monthly Lean'!H40,IF(Nonlabor!$I$18="RequestsM",'Monthly Lean'!F40,IF(Nonlabor!$I$18="InputM",'Monthly Lean'!D40*Assumptions!$C$22/1000000,IF(Nonlabor!$I$18="OutputM",'Monthly Lean'!D40*Assumptions!$C$23/1000000,0))))))))),0)</f>
        <v>1</v>
      </c>
      <c r="F760" s="10" t="n">
        <f aca="false">Nonlabor!$J$18*(1+Assumptions!$C$9)^INT((C760-1)/12)</f>
        <v>15913.5</v>
      </c>
      <c r="G760" s="10" t="n">
        <f aca="false">E760*F760</f>
        <v>15913.5</v>
      </c>
      <c r="H760" s="10" t="n">
        <f aca="false">IF(OR(Nonlabor!$L$18="Quote required",Nonlabor!$L$18="Unverified"),G760,0)</f>
        <v>15913.5</v>
      </c>
      <c r="I760" s="10" t="n">
        <f aca="false">IF(Nonlabor!$E$18="Core",0,G760)</f>
        <v>0</v>
      </c>
      <c r="J760" s="23" t="str">
        <f aca="false">Nonlabor!$B$18</f>
        <v>COMPLIANCE</v>
      </c>
    </row>
    <row r="761" customFormat="false" ht="15" hidden="false" customHeight="false" outlineLevel="0" collapsed="false">
      <c r="A761" s="6" t="s">
        <v>72</v>
      </c>
      <c r="B761" s="6" t="s">
        <v>413</v>
      </c>
      <c r="C761" s="6" t="n">
        <v>36</v>
      </c>
      <c r="D761" s="25" t="n">
        <f aca="false">EDATE('Start Here'!$B$6,C761-1)</f>
        <v>47392</v>
      </c>
      <c r="E761" s="23" t="n">
        <f aca="false">IF(AND(OR(Nonlabor!$D$18="Both",Nonlabor!$D$18='Start Here'!$B$9),IF(Nonlabor!$E$18="Core",1,IF(Nonlabor!$E$18="AI",'Start Here'!$B$7,'Start Here'!$B$8))=1,C761&gt;=IF(Nonlabor!$E$18="Core",Nonlabor!$F$18,MAX(Nonlabor!$F$18,IF(Nonlabor!$E$18="AI",Assumptions!$C$24,Assumptions!$C$25))),C761&lt;=Nonlabor!$G$18,OR(Nonlabor!$H$18="Monthly",AND(Nonlabor!$H$18="Once",C761=IF(Nonlabor!$E$18="Core",Nonlabor!$F$18,MAX(Nonlabor!$F$18,IF(Nonlabor!$E$18="AI",Assumptions!$C$24,Assumptions!$C$25)))),AND(Nonlabor!$H$18="Annual",MOD(C761-IF(Nonlabor!$E$18="Core",Nonlabor!$F$18,MAX(Nonlabor!$F$18,IF(Nonlabor!$E$18="AI",Assumptions!$C$24,Assumptions!$C$25))),12)=0))),IF(Nonlabor!$I$18="Fixed",1,IF(Nonlabor!$I$18="Seats",ROUNDUP('Monthly Lean'!I41,0),IF(Nonlabor!$I$18="Customers",'Monthly Lean'!D41,IF(Nonlabor!$I$18="NewCustomers",'Monthly Lean'!C41,IF(Nonlabor!$I$18="StorageGB",'Monthly Lean'!G41,IF(Nonlabor!$I$18="LogGB",'Monthly Lean'!H41,IF(Nonlabor!$I$18="RequestsM",'Monthly Lean'!F41,IF(Nonlabor!$I$18="InputM",'Monthly Lean'!D41*Assumptions!$C$22/1000000,IF(Nonlabor!$I$18="OutputM",'Monthly Lean'!D41*Assumptions!$C$23/1000000,0))))))))),0)</f>
        <v>0</v>
      </c>
      <c r="F761" s="10" t="n">
        <f aca="false">Nonlabor!$J$18*(1+Assumptions!$C$9)^INT((C761-1)/12)</f>
        <v>15913.5</v>
      </c>
      <c r="G761" s="10" t="n">
        <f aca="false">E761*F761</f>
        <v>0</v>
      </c>
      <c r="H761" s="10" t="n">
        <f aca="false">IF(OR(Nonlabor!$L$18="Quote required",Nonlabor!$L$18="Unverified"),G761,0)</f>
        <v>0</v>
      </c>
      <c r="I761" s="10" t="n">
        <f aca="false">IF(Nonlabor!$E$18="Core",0,G761)</f>
        <v>0</v>
      </c>
      <c r="J761" s="23" t="str">
        <f aca="false">Nonlabor!$B$18</f>
        <v>COMPLIANCE</v>
      </c>
    </row>
    <row r="762" customFormat="false" ht="15" hidden="false" customHeight="false" outlineLevel="0" collapsed="false">
      <c r="A762" s="6" t="s">
        <v>72</v>
      </c>
      <c r="B762" s="6" t="s">
        <v>413</v>
      </c>
      <c r="C762" s="6" t="n">
        <v>37</v>
      </c>
      <c r="D762" s="25" t="n">
        <f aca="false">EDATE('Start Here'!$B$6,C762-1)</f>
        <v>47423</v>
      </c>
      <c r="E762" s="23" t="n">
        <f aca="false">IF(AND(OR(Nonlabor!$D$18="Both",Nonlabor!$D$18='Start Here'!$B$9),IF(Nonlabor!$E$18="Core",1,IF(Nonlabor!$E$18="AI",'Start Here'!$B$7,'Start Here'!$B$8))=1,C762&gt;=IF(Nonlabor!$E$18="Core",Nonlabor!$F$18,MAX(Nonlabor!$F$18,IF(Nonlabor!$E$18="AI",Assumptions!$C$24,Assumptions!$C$25))),C762&lt;=Nonlabor!$G$18,OR(Nonlabor!$H$18="Monthly",AND(Nonlabor!$H$18="Once",C762=IF(Nonlabor!$E$18="Core",Nonlabor!$F$18,MAX(Nonlabor!$F$18,IF(Nonlabor!$E$18="AI",Assumptions!$C$24,Assumptions!$C$25)))),AND(Nonlabor!$H$18="Annual",MOD(C762-IF(Nonlabor!$E$18="Core",Nonlabor!$F$18,MAX(Nonlabor!$F$18,IF(Nonlabor!$E$18="AI",Assumptions!$C$24,Assumptions!$C$25))),12)=0))),IF(Nonlabor!$I$18="Fixed",1,IF(Nonlabor!$I$18="Seats",ROUNDUP('Monthly Lean'!I42,0),IF(Nonlabor!$I$18="Customers",'Monthly Lean'!D42,IF(Nonlabor!$I$18="NewCustomers",'Monthly Lean'!C42,IF(Nonlabor!$I$18="StorageGB",'Monthly Lean'!G42,IF(Nonlabor!$I$18="LogGB",'Monthly Lean'!H42,IF(Nonlabor!$I$18="RequestsM",'Monthly Lean'!F42,IF(Nonlabor!$I$18="InputM",'Monthly Lean'!D42*Assumptions!$C$22/1000000,IF(Nonlabor!$I$18="OutputM",'Monthly Lean'!D42*Assumptions!$C$23/1000000,0))))))))),0)</f>
        <v>0</v>
      </c>
      <c r="F762" s="10" t="n">
        <f aca="false">Nonlabor!$J$18*(1+Assumptions!$C$9)^INT((C762-1)/12)</f>
        <v>16390.905</v>
      </c>
      <c r="G762" s="10" t="n">
        <f aca="false">E762*F762</f>
        <v>0</v>
      </c>
      <c r="H762" s="10" t="n">
        <f aca="false">IF(OR(Nonlabor!$L$18="Quote required",Nonlabor!$L$18="Unverified"),G762,0)</f>
        <v>0</v>
      </c>
      <c r="I762" s="10" t="n">
        <f aca="false">IF(Nonlabor!$E$18="Core",0,G762)</f>
        <v>0</v>
      </c>
      <c r="J762" s="23" t="str">
        <f aca="false">Nonlabor!$B$18</f>
        <v>COMPLIANCE</v>
      </c>
    </row>
    <row r="763" customFormat="false" ht="15" hidden="false" customHeight="false" outlineLevel="0" collapsed="false">
      <c r="A763" s="6" t="s">
        <v>72</v>
      </c>
      <c r="B763" s="6" t="s">
        <v>413</v>
      </c>
      <c r="C763" s="6" t="n">
        <v>38</v>
      </c>
      <c r="D763" s="25" t="n">
        <f aca="false">EDATE('Start Here'!$B$6,C763-1)</f>
        <v>47453</v>
      </c>
      <c r="E763" s="23" t="n">
        <f aca="false">IF(AND(OR(Nonlabor!$D$18="Both",Nonlabor!$D$18='Start Here'!$B$9),IF(Nonlabor!$E$18="Core",1,IF(Nonlabor!$E$18="AI",'Start Here'!$B$7,'Start Here'!$B$8))=1,C763&gt;=IF(Nonlabor!$E$18="Core",Nonlabor!$F$18,MAX(Nonlabor!$F$18,IF(Nonlabor!$E$18="AI",Assumptions!$C$24,Assumptions!$C$25))),C763&lt;=Nonlabor!$G$18,OR(Nonlabor!$H$18="Monthly",AND(Nonlabor!$H$18="Once",C763=IF(Nonlabor!$E$18="Core",Nonlabor!$F$18,MAX(Nonlabor!$F$18,IF(Nonlabor!$E$18="AI",Assumptions!$C$24,Assumptions!$C$25)))),AND(Nonlabor!$H$18="Annual",MOD(C763-IF(Nonlabor!$E$18="Core",Nonlabor!$F$18,MAX(Nonlabor!$F$18,IF(Nonlabor!$E$18="AI",Assumptions!$C$24,Assumptions!$C$25))),12)=0))),IF(Nonlabor!$I$18="Fixed",1,IF(Nonlabor!$I$18="Seats",ROUNDUP('Monthly Lean'!I43,0),IF(Nonlabor!$I$18="Customers",'Monthly Lean'!D43,IF(Nonlabor!$I$18="NewCustomers",'Monthly Lean'!C43,IF(Nonlabor!$I$18="StorageGB",'Monthly Lean'!G43,IF(Nonlabor!$I$18="LogGB",'Monthly Lean'!H43,IF(Nonlabor!$I$18="RequestsM",'Monthly Lean'!F43,IF(Nonlabor!$I$18="InputM",'Monthly Lean'!D43*Assumptions!$C$22/1000000,IF(Nonlabor!$I$18="OutputM",'Monthly Lean'!D43*Assumptions!$C$23/1000000,0))))))))),0)</f>
        <v>0</v>
      </c>
      <c r="F763" s="10" t="n">
        <f aca="false">Nonlabor!$J$18*(1+Assumptions!$C$9)^INT((C763-1)/12)</f>
        <v>16390.905</v>
      </c>
      <c r="G763" s="10" t="n">
        <f aca="false">E763*F763</f>
        <v>0</v>
      </c>
      <c r="H763" s="10" t="n">
        <f aca="false">IF(OR(Nonlabor!$L$18="Quote required",Nonlabor!$L$18="Unverified"),G763,0)</f>
        <v>0</v>
      </c>
      <c r="I763" s="10" t="n">
        <f aca="false">IF(Nonlabor!$E$18="Core",0,G763)</f>
        <v>0</v>
      </c>
      <c r="J763" s="23" t="str">
        <f aca="false">Nonlabor!$B$18</f>
        <v>COMPLIANCE</v>
      </c>
    </row>
    <row r="764" customFormat="false" ht="15" hidden="false" customHeight="false" outlineLevel="0" collapsed="false">
      <c r="A764" s="6" t="s">
        <v>72</v>
      </c>
      <c r="B764" s="6" t="s">
        <v>413</v>
      </c>
      <c r="C764" s="6" t="n">
        <v>39</v>
      </c>
      <c r="D764" s="25" t="n">
        <f aca="false">EDATE('Start Here'!$B$6,C764-1)</f>
        <v>47484</v>
      </c>
      <c r="E764" s="23" t="n">
        <f aca="false">IF(AND(OR(Nonlabor!$D$18="Both",Nonlabor!$D$18='Start Here'!$B$9),IF(Nonlabor!$E$18="Core",1,IF(Nonlabor!$E$18="AI",'Start Here'!$B$7,'Start Here'!$B$8))=1,C764&gt;=IF(Nonlabor!$E$18="Core",Nonlabor!$F$18,MAX(Nonlabor!$F$18,IF(Nonlabor!$E$18="AI",Assumptions!$C$24,Assumptions!$C$25))),C764&lt;=Nonlabor!$G$18,OR(Nonlabor!$H$18="Monthly",AND(Nonlabor!$H$18="Once",C764=IF(Nonlabor!$E$18="Core",Nonlabor!$F$18,MAX(Nonlabor!$F$18,IF(Nonlabor!$E$18="AI",Assumptions!$C$24,Assumptions!$C$25)))),AND(Nonlabor!$H$18="Annual",MOD(C764-IF(Nonlabor!$E$18="Core",Nonlabor!$F$18,MAX(Nonlabor!$F$18,IF(Nonlabor!$E$18="AI",Assumptions!$C$24,Assumptions!$C$25))),12)=0))),IF(Nonlabor!$I$18="Fixed",1,IF(Nonlabor!$I$18="Seats",ROUNDUP('Monthly Lean'!I44,0),IF(Nonlabor!$I$18="Customers",'Monthly Lean'!D44,IF(Nonlabor!$I$18="NewCustomers",'Monthly Lean'!C44,IF(Nonlabor!$I$18="StorageGB",'Monthly Lean'!G44,IF(Nonlabor!$I$18="LogGB",'Monthly Lean'!H44,IF(Nonlabor!$I$18="RequestsM",'Monthly Lean'!F44,IF(Nonlabor!$I$18="InputM",'Monthly Lean'!D44*Assumptions!$C$22/1000000,IF(Nonlabor!$I$18="OutputM",'Monthly Lean'!D44*Assumptions!$C$23/1000000,0))))))))),0)</f>
        <v>0</v>
      </c>
      <c r="F764" s="10" t="n">
        <f aca="false">Nonlabor!$J$18*(1+Assumptions!$C$9)^INT((C764-1)/12)</f>
        <v>16390.905</v>
      </c>
      <c r="G764" s="10" t="n">
        <f aca="false">E764*F764</f>
        <v>0</v>
      </c>
      <c r="H764" s="10" t="n">
        <f aca="false">IF(OR(Nonlabor!$L$18="Quote required",Nonlabor!$L$18="Unverified"),G764,0)</f>
        <v>0</v>
      </c>
      <c r="I764" s="10" t="n">
        <f aca="false">IF(Nonlabor!$E$18="Core",0,G764)</f>
        <v>0</v>
      </c>
      <c r="J764" s="23" t="str">
        <f aca="false">Nonlabor!$B$18</f>
        <v>COMPLIANCE</v>
      </c>
    </row>
    <row r="765" customFormat="false" ht="15" hidden="false" customHeight="false" outlineLevel="0" collapsed="false">
      <c r="A765" s="6" t="s">
        <v>72</v>
      </c>
      <c r="B765" s="6" t="s">
        <v>413</v>
      </c>
      <c r="C765" s="6" t="n">
        <v>40</v>
      </c>
      <c r="D765" s="25" t="n">
        <f aca="false">EDATE('Start Here'!$B$6,C765-1)</f>
        <v>47515</v>
      </c>
      <c r="E765" s="23" t="n">
        <f aca="false">IF(AND(OR(Nonlabor!$D$18="Both",Nonlabor!$D$18='Start Here'!$B$9),IF(Nonlabor!$E$18="Core",1,IF(Nonlabor!$E$18="AI",'Start Here'!$B$7,'Start Here'!$B$8))=1,C765&gt;=IF(Nonlabor!$E$18="Core",Nonlabor!$F$18,MAX(Nonlabor!$F$18,IF(Nonlabor!$E$18="AI",Assumptions!$C$24,Assumptions!$C$25))),C765&lt;=Nonlabor!$G$18,OR(Nonlabor!$H$18="Monthly",AND(Nonlabor!$H$18="Once",C765=IF(Nonlabor!$E$18="Core",Nonlabor!$F$18,MAX(Nonlabor!$F$18,IF(Nonlabor!$E$18="AI",Assumptions!$C$24,Assumptions!$C$25)))),AND(Nonlabor!$H$18="Annual",MOD(C765-IF(Nonlabor!$E$18="Core",Nonlabor!$F$18,MAX(Nonlabor!$F$18,IF(Nonlabor!$E$18="AI",Assumptions!$C$24,Assumptions!$C$25))),12)=0))),IF(Nonlabor!$I$18="Fixed",1,IF(Nonlabor!$I$18="Seats",ROUNDUP('Monthly Lean'!I45,0),IF(Nonlabor!$I$18="Customers",'Monthly Lean'!D45,IF(Nonlabor!$I$18="NewCustomers",'Monthly Lean'!C45,IF(Nonlabor!$I$18="StorageGB",'Monthly Lean'!G45,IF(Nonlabor!$I$18="LogGB",'Monthly Lean'!H45,IF(Nonlabor!$I$18="RequestsM",'Monthly Lean'!F45,IF(Nonlabor!$I$18="InputM",'Monthly Lean'!D45*Assumptions!$C$22/1000000,IF(Nonlabor!$I$18="OutputM",'Monthly Lean'!D45*Assumptions!$C$23/1000000,0))))))))),0)</f>
        <v>0</v>
      </c>
      <c r="F765" s="10" t="n">
        <f aca="false">Nonlabor!$J$18*(1+Assumptions!$C$9)^INT((C765-1)/12)</f>
        <v>16390.905</v>
      </c>
      <c r="G765" s="10" t="n">
        <f aca="false">E765*F765</f>
        <v>0</v>
      </c>
      <c r="H765" s="10" t="n">
        <f aca="false">IF(OR(Nonlabor!$L$18="Quote required",Nonlabor!$L$18="Unverified"),G765,0)</f>
        <v>0</v>
      </c>
      <c r="I765" s="10" t="n">
        <f aca="false">IF(Nonlabor!$E$18="Core",0,G765)</f>
        <v>0</v>
      </c>
      <c r="J765" s="23" t="str">
        <f aca="false">Nonlabor!$B$18</f>
        <v>COMPLIANCE</v>
      </c>
    </row>
    <row r="766" customFormat="false" ht="15" hidden="false" customHeight="false" outlineLevel="0" collapsed="false">
      <c r="A766" s="6" t="s">
        <v>72</v>
      </c>
      <c r="B766" s="6" t="s">
        <v>413</v>
      </c>
      <c r="C766" s="6" t="n">
        <v>41</v>
      </c>
      <c r="D766" s="25" t="n">
        <f aca="false">EDATE('Start Here'!$B$6,C766-1)</f>
        <v>47543</v>
      </c>
      <c r="E766" s="23" t="n">
        <f aca="false">IF(AND(OR(Nonlabor!$D$18="Both",Nonlabor!$D$18='Start Here'!$B$9),IF(Nonlabor!$E$18="Core",1,IF(Nonlabor!$E$18="AI",'Start Here'!$B$7,'Start Here'!$B$8))=1,C766&gt;=IF(Nonlabor!$E$18="Core",Nonlabor!$F$18,MAX(Nonlabor!$F$18,IF(Nonlabor!$E$18="AI",Assumptions!$C$24,Assumptions!$C$25))),C766&lt;=Nonlabor!$G$18,OR(Nonlabor!$H$18="Monthly",AND(Nonlabor!$H$18="Once",C766=IF(Nonlabor!$E$18="Core",Nonlabor!$F$18,MAX(Nonlabor!$F$18,IF(Nonlabor!$E$18="AI",Assumptions!$C$24,Assumptions!$C$25)))),AND(Nonlabor!$H$18="Annual",MOD(C766-IF(Nonlabor!$E$18="Core",Nonlabor!$F$18,MAX(Nonlabor!$F$18,IF(Nonlabor!$E$18="AI",Assumptions!$C$24,Assumptions!$C$25))),12)=0))),IF(Nonlabor!$I$18="Fixed",1,IF(Nonlabor!$I$18="Seats",ROUNDUP('Monthly Lean'!I46,0),IF(Nonlabor!$I$18="Customers",'Monthly Lean'!D46,IF(Nonlabor!$I$18="NewCustomers",'Monthly Lean'!C46,IF(Nonlabor!$I$18="StorageGB",'Monthly Lean'!G46,IF(Nonlabor!$I$18="LogGB",'Monthly Lean'!H46,IF(Nonlabor!$I$18="RequestsM",'Monthly Lean'!F46,IF(Nonlabor!$I$18="InputM",'Monthly Lean'!D46*Assumptions!$C$22/1000000,IF(Nonlabor!$I$18="OutputM",'Monthly Lean'!D46*Assumptions!$C$23/1000000,0))))))))),0)</f>
        <v>0</v>
      </c>
      <c r="F766" s="10" t="n">
        <f aca="false">Nonlabor!$J$18*(1+Assumptions!$C$9)^INT((C766-1)/12)</f>
        <v>16390.905</v>
      </c>
      <c r="G766" s="10" t="n">
        <f aca="false">E766*F766</f>
        <v>0</v>
      </c>
      <c r="H766" s="10" t="n">
        <f aca="false">IF(OR(Nonlabor!$L$18="Quote required",Nonlabor!$L$18="Unverified"),G766,0)</f>
        <v>0</v>
      </c>
      <c r="I766" s="10" t="n">
        <f aca="false">IF(Nonlabor!$E$18="Core",0,G766)</f>
        <v>0</v>
      </c>
      <c r="J766" s="23" t="str">
        <f aca="false">Nonlabor!$B$18</f>
        <v>COMPLIANCE</v>
      </c>
    </row>
    <row r="767" customFormat="false" ht="15" hidden="false" customHeight="false" outlineLevel="0" collapsed="false">
      <c r="A767" s="6" t="s">
        <v>72</v>
      </c>
      <c r="B767" s="6" t="s">
        <v>413</v>
      </c>
      <c r="C767" s="6" t="n">
        <v>42</v>
      </c>
      <c r="D767" s="25" t="n">
        <f aca="false">EDATE('Start Here'!$B$6,C767-1)</f>
        <v>47574</v>
      </c>
      <c r="E767" s="23" t="n">
        <f aca="false">IF(AND(OR(Nonlabor!$D$18="Both",Nonlabor!$D$18='Start Here'!$B$9),IF(Nonlabor!$E$18="Core",1,IF(Nonlabor!$E$18="AI",'Start Here'!$B$7,'Start Here'!$B$8))=1,C767&gt;=IF(Nonlabor!$E$18="Core",Nonlabor!$F$18,MAX(Nonlabor!$F$18,IF(Nonlabor!$E$18="AI",Assumptions!$C$24,Assumptions!$C$25))),C767&lt;=Nonlabor!$G$18,OR(Nonlabor!$H$18="Monthly",AND(Nonlabor!$H$18="Once",C767=IF(Nonlabor!$E$18="Core",Nonlabor!$F$18,MAX(Nonlabor!$F$18,IF(Nonlabor!$E$18="AI",Assumptions!$C$24,Assumptions!$C$25)))),AND(Nonlabor!$H$18="Annual",MOD(C767-IF(Nonlabor!$E$18="Core",Nonlabor!$F$18,MAX(Nonlabor!$F$18,IF(Nonlabor!$E$18="AI",Assumptions!$C$24,Assumptions!$C$25))),12)=0))),IF(Nonlabor!$I$18="Fixed",1,IF(Nonlabor!$I$18="Seats",ROUNDUP('Monthly Lean'!I47,0),IF(Nonlabor!$I$18="Customers",'Monthly Lean'!D47,IF(Nonlabor!$I$18="NewCustomers",'Monthly Lean'!C47,IF(Nonlabor!$I$18="StorageGB",'Monthly Lean'!G47,IF(Nonlabor!$I$18="LogGB",'Monthly Lean'!H47,IF(Nonlabor!$I$18="RequestsM",'Monthly Lean'!F47,IF(Nonlabor!$I$18="InputM",'Monthly Lean'!D47*Assumptions!$C$22/1000000,IF(Nonlabor!$I$18="OutputM",'Monthly Lean'!D47*Assumptions!$C$23/1000000,0))))))))),0)</f>
        <v>0</v>
      </c>
      <c r="F767" s="10" t="n">
        <f aca="false">Nonlabor!$J$18*(1+Assumptions!$C$9)^INT((C767-1)/12)</f>
        <v>16390.905</v>
      </c>
      <c r="G767" s="10" t="n">
        <f aca="false">E767*F767</f>
        <v>0</v>
      </c>
      <c r="H767" s="10" t="n">
        <f aca="false">IF(OR(Nonlabor!$L$18="Quote required",Nonlabor!$L$18="Unverified"),G767,0)</f>
        <v>0</v>
      </c>
      <c r="I767" s="10" t="n">
        <f aca="false">IF(Nonlabor!$E$18="Core",0,G767)</f>
        <v>0</v>
      </c>
      <c r="J767" s="23" t="str">
        <f aca="false">Nonlabor!$B$18</f>
        <v>COMPLIANCE</v>
      </c>
    </row>
    <row r="768" customFormat="false" ht="15" hidden="false" customHeight="false" outlineLevel="0" collapsed="false">
      <c r="A768" s="6" t="s">
        <v>72</v>
      </c>
      <c r="B768" s="6" t="s">
        <v>413</v>
      </c>
      <c r="C768" s="6" t="n">
        <v>43</v>
      </c>
      <c r="D768" s="25" t="n">
        <f aca="false">EDATE('Start Here'!$B$6,C768-1)</f>
        <v>47604</v>
      </c>
      <c r="E768" s="23" t="n">
        <f aca="false">IF(AND(OR(Nonlabor!$D$18="Both",Nonlabor!$D$18='Start Here'!$B$9),IF(Nonlabor!$E$18="Core",1,IF(Nonlabor!$E$18="AI",'Start Here'!$B$7,'Start Here'!$B$8))=1,C768&gt;=IF(Nonlabor!$E$18="Core",Nonlabor!$F$18,MAX(Nonlabor!$F$18,IF(Nonlabor!$E$18="AI",Assumptions!$C$24,Assumptions!$C$25))),C768&lt;=Nonlabor!$G$18,OR(Nonlabor!$H$18="Monthly",AND(Nonlabor!$H$18="Once",C768=IF(Nonlabor!$E$18="Core",Nonlabor!$F$18,MAX(Nonlabor!$F$18,IF(Nonlabor!$E$18="AI",Assumptions!$C$24,Assumptions!$C$25)))),AND(Nonlabor!$H$18="Annual",MOD(C768-IF(Nonlabor!$E$18="Core",Nonlabor!$F$18,MAX(Nonlabor!$F$18,IF(Nonlabor!$E$18="AI",Assumptions!$C$24,Assumptions!$C$25))),12)=0))),IF(Nonlabor!$I$18="Fixed",1,IF(Nonlabor!$I$18="Seats",ROUNDUP('Monthly Lean'!I48,0),IF(Nonlabor!$I$18="Customers",'Monthly Lean'!D48,IF(Nonlabor!$I$18="NewCustomers",'Monthly Lean'!C48,IF(Nonlabor!$I$18="StorageGB",'Monthly Lean'!G48,IF(Nonlabor!$I$18="LogGB",'Monthly Lean'!H48,IF(Nonlabor!$I$18="RequestsM",'Monthly Lean'!F48,IF(Nonlabor!$I$18="InputM",'Monthly Lean'!D48*Assumptions!$C$22/1000000,IF(Nonlabor!$I$18="OutputM",'Monthly Lean'!D48*Assumptions!$C$23/1000000,0))))))))),0)</f>
        <v>0</v>
      </c>
      <c r="F768" s="10" t="n">
        <f aca="false">Nonlabor!$J$18*(1+Assumptions!$C$9)^INT((C768-1)/12)</f>
        <v>16390.905</v>
      </c>
      <c r="G768" s="10" t="n">
        <f aca="false">E768*F768</f>
        <v>0</v>
      </c>
      <c r="H768" s="10" t="n">
        <f aca="false">IF(OR(Nonlabor!$L$18="Quote required",Nonlabor!$L$18="Unverified"),G768,0)</f>
        <v>0</v>
      </c>
      <c r="I768" s="10" t="n">
        <f aca="false">IF(Nonlabor!$E$18="Core",0,G768)</f>
        <v>0</v>
      </c>
      <c r="J768" s="23" t="str">
        <f aca="false">Nonlabor!$B$18</f>
        <v>COMPLIANCE</v>
      </c>
    </row>
    <row r="769" customFormat="false" ht="15" hidden="false" customHeight="false" outlineLevel="0" collapsed="false">
      <c r="A769" s="6" t="s">
        <v>72</v>
      </c>
      <c r="B769" s="6" t="s">
        <v>413</v>
      </c>
      <c r="C769" s="6" t="n">
        <v>44</v>
      </c>
      <c r="D769" s="25" t="n">
        <f aca="false">EDATE('Start Here'!$B$6,C769-1)</f>
        <v>47635</v>
      </c>
      <c r="E769" s="23" t="n">
        <f aca="false">IF(AND(OR(Nonlabor!$D$18="Both",Nonlabor!$D$18='Start Here'!$B$9),IF(Nonlabor!$E$18="Core",1,IF(Nonlabor!$E$18="AI",'Start Here'!$B$7,'Start Here'!$B$8))=1,C769&gt;=IF(Nonlabor!$E$18="Core",Nonlabor!$F$18,MAX(Nonlabor!$F$18,IF(Nonlabor!$E$18="AI",Assumptions!$C$24,Assumptions!$C$25))),C769&lt;=Nonlabor!$G$18,OR(Nonlabor!$H$18="Monthly",AND(Nonlabor!$H$18="Once",C769=IF(Nonlabor!$E$18="Core",Nonlabor!$F$18,MAX(Nonlabor!$F$18,IF(Nonlabor!$E$18="AI",Assumptions!$C$24,Assumptions!$C$25)))),AND(Nonlabor!$H$18="Annual",MOD(C769-IF(Nonlabor!$E$18="Core",Nonlabor!$F$18,MAX(Nonlabor!$F$18,IF(Nonlabor!$E$18="AI",Assumptions!$C$24,Assumptions!$C$25))),12)=0))),IF(Nonlabor!$I$18="Fixed",1,IF(Nonlabor!$I$18="Seats",ROUNDUP('Monthly Lean'!I49,0),IF(Nonlabor!$I$18="Customers",'Monthly Lean'!D49,IF(Nonlabor!$I$18="NewCustomers",'Monthly Lean'!C49,IF(Nonlabor!$I$18="StorageGB",'Monthly Lean'!G49,IF(Nonlabor!$I$18="LogGB",'Monthly Lean'!H49,IF(Nonlabor!$I$18="RequestsM",'Monthly Lean'!F49,IF(Nonlabor!$I$18="InputM",'Monthly Lean'!D49*Assumptions!$C$22/1000000,IF(Nonlabor!$I$18="OutputM",'Monthly Lean'!D49*Assumptions!$C$23/1000000,0))))))))),0)</f>
        <v>0</v>
      </c>
      <c r="F769" s="10" t="n">
        <f aca="false">Nonlabor!$J$18*(1+Assumptions!$C$9)^INT((C769-1)/12)</f>
        <v>16390.905</v>
      </c>
      <c r="G769" s="10" t="n">
        <f aca="false">E769*F769</f>
        <v>0</v>
      </c>
      <c r="H769" s="10" t="n">
        <f aca="false">IF(OR(Nonlabor!$L$18="Quote required",Nonlabor!$L$18="Unverified"),G769,0)</f>
        <v>0</v>
      </c>
      <c r="I769" s="10" t="n">
        <f aca="false">IF(Nonlabor!$E$18="Core",0,G769)</f>
        <v>0</v>
      </c>
      <c r="J769" s="23" t="str">
        <f aca="false">Nonlabor!$B$18</f>
        <v>COMPLIANCE</v>
      </c>
    </row>
    <row r="770" customFormat="false" ht="15" hidden="false" customHeight="false" outlineLevel="0" collapsed="false">
      <c r="A770" s="6" t="s">
        <v>72</v>
      </c>
      <c r="B770" s="6" t="s">
        <v>413</v>
      </c>
      <c r="C770" s="6" t="n">
        <v>45</v>
      </c>
      <c r="D770" s="25" t="n">
        <f aca="false">EDATE('Start Here'!$B$6,C770-1)</f>
        <v>47665</v>
      </c>
      <c r="E770" s="23" t="n">
        <f aca="false">IF(AND(OR(Nonlabor!$D$18="Both",Nonlabor!$D$18='Start Here'!$B$9),IF(Nonlabor!$E$18="Core",1,IF(Nonlabor!$E$18="AI",'Start Here'!$B$7,'Start Here'!$B$8))=1,C770&gt;=IF(Nonlabor!$E$18="Core",Nonlabor!$F$18,MAX(Nonlabor!$F$18,IF(Nonlabor!$E$18="AI",Assumptions!$C$24,Assumptions!$C$25))),C770&lt;=Nonlabor!$G$18,OR(Nonlabor!$H$18="Monthly",AND(Nonlabor!$H$18="Once",C770=IF(Nonlabor!$E$18="Core",Nonlabor!$F$18,MAX(Nonlabor!$F$18,IF(Nonlabor!$E$18="AI",Assumptions!$C$24,Assumptions!$C$25)))),AND(Nonlabor!$H$18="Annual",MOD(C770-IF(Nonlabor!$E$18="Core",Nonlabor!$F$18,MAX(Nonlabor!$F$18,IF(Nonlabor!$E$18="AI",Assumptions!$C$24,Assumptions!$C$25))),12)=0))),IF(Nonlabor!$I$18="Fixed",1,IF(Nonlabor!$I$18="Seats",ROUNDUP('Monthly Lean'!I50,0),IF(Nonlabor!$I$18="Customers",'Monthly Lean'!D50,IF(Nonlabor!$I$18="NewCustomers",'Monthly Lean'!C50,IF(Nonlabor!$I$18="StorageGB",'Monthly Lean'!G50,IF(Nonlabor!$I$18="LogGB",'Monthly Lean'!H50,IF(Nonlabor!$I$18="RequestsM",'Monthly Lean'!F50,IF(Nonlabor!$I$18="InputM",'Monthly Lean'!D50*Assumptions!$C$22/1000000,IF(Nonlabor!$I$18="OutputM",'Monthly Lean'!D50*Assumptions!$C$23/1000000,0))))))))),0)</f>
        <v>0</v>
      </c>
      <c r="F770" s="10" t="n">
        <f aca="false">Nonlabor!$J$18*(1+Assumptions!$C$9)^INT((C770-1)/12)</f>
        <v>16390.905</v>
      </c>
      <c r="G770" s="10" t="n">
        <f aca="false">E770*F770</f>
        <v>0</v>
      </c>
      <c r="H770" s="10" t="n">
        <f aca="false">IF(OR(Nonlabor!$L$18="Quote required",Nonlabor!$L$18="Unverified"),G770,0)</f>
        <v>0</v>
      </c>
      <c r="I770" s="10" t="n">
        <f aca="false">IF(Nonlabor!$E$18="Core",0,G770)</f>
        <v>0</v>
      </c>
      <c r="J770" s="23" t="str">
        <f aca="false">Nonlabor!$B$18</f>
        <v>COMPLIANCE</v>
      </c>
    </row>
    <row r="771" customFormat="false" ht="15" hidden="false" customHeight="false" outlineLevel="0" collapsed="false">
      <c r="A771" s="6" t="s">
        <v>72</v>
      </c>
      <c r="B771" s="6" t="s">
        <v>413</v>
      </c>
      <c r="C771" s="6" t="n">
        <v>46</v>
      </c>
      <c r="D771" s="25" t="n">
        <f aca="false">EDATE('Start Here'!$B$6,C771-1)</f>
        <v>47696</v>
      </c>
      <c r="E771" s="23" t="n">
        <f aca="false">IF(AND(OR(Nonlabor!$D$18="Both",Nonlabor!$D$18='Start Here'!$B$9),IF(Nonlabor!$E$18="Core",1,IF(Nonlabor!$E$18="AI",'Start Here'!$B$7,'Start Here'!$B$8))=1,C771&gt;=IF(Nonlabor!$E$18="Core",Nonlabor!$F$18,MAX(Nonlabor!$F$18,IF(Nonlabor!$E$18="AI",Assumptions!$C$24,Assumptions!$C$25))),C771&lt;=Nonlabor!$G$18,OR(Nonlabor!$H$18="Monthly",AND(Nonlabor!$H$18="Once",C771=IF(Nonlabor!$E$18="Core",Nonlabor!$F$18,MAX(Nonlabor!$F$18,IF(Nonlabor!$E$18="AI",Assumptions!$C$24,Assumptions!$C$25)))),AND(Nonlabor!$H$18="Annual",MOD(C771-IF(Nonlabor!$E$18="Core",Nonlabor!$F$18,MAX(Nonlabor!$F$18,IF(Nonlabor!$E$18="AI",Assumptions!$C$24,Assumptions!$C$25))),12)=0))),IF(Nonlabor!$I$18="Fixed",1,IF(Nonlabor!$I$18="Seats",ROUNDUP('Monthly Lean'!I51,0),IF(Nonlabor!$I$18="Customers",'Monthly Lean'!D51,IF(Nonlabor!$I$18="NewCustomers",'Monthly Lean'!C51,IF(Nonlabor!$I$18="StorageGB",'Monthly Lean'!G51,IF(Nonlabor!$I$18="LogGB",'Monthly Lean'!H51,IF(Nonlabor!$I$18="RequestsM",'Monthly Lean'!F51,IF(Nonlabor!$I$18="InputM",'Monthly Lean'!D51*Assumptions!$C$22/1000000,IF(Nonlabor!$I$18="OutputM",'Monthly Lean'!D51*Assumptions!$C$23/1000000,0))))))))),0)</f>
        <v>0</v>
      </c>
      <c r="F771" s="10" t="n">
        <f aca="false">Nonlabor!$J$18*(1+Assumptions!$C$9)^INT((C771-1)/12)</f>
        <v>16390.905</v>
      </c>
      <c r="G771" s="10" t="n">
        <f aca="false">E771*F771</f>
        <v>0</v>
      </c>
      <c r="H771" s="10" t="n">
        <f aca="false">IF(OR(Nonlabor!$L$18="Quote required",Nonlabor!$L$18="Unverified"),G771,0)</f>
        <v>0</v>
      </c>
      <c r="I771" s="10" t="n">
        <f aca="false">IF(Nonlabor!$E$18="Core",0,G771)</f>
        <v>0</v>
      </c>
      <c r="J771" s="23" t="str">
        <f aca="false">Nonlabor!$B$18</f>
        <v>COMPLIANCE</v>
      </c>
    </row>
    <row r="772" customFormat="false" ht="15" hidden="false" customHeight="false" outlineLevel="0" collapsed="false">
      <c r="A772" s="6" t="s">
        <v>72</v>
      </c>
      <c r="B772" s="6" t="s">
        <v>413</v>
      </c>
      <c r="C772" s="6" t="n">
        <v>47</v>
      </c>
      <c r="D772" s="25" t="n">
        <f aca="false">EDATE('Start Here'!$B$6,C772-1)</f>
        <v>47727</v>
      </c>
      <c r="E772" s="23" t="n">
        <f aca="false">IF(AND(OR(Nonlabor!$D$18="Both",Nonlabor!$D$18='Start Here'!$B$9),IF(Nonlabor!$E$18="Core",1,IF(Nonlabor!$E$18="AI",'Start Here'!$B$7,'Start Here'!$B$8))=1,C772&gt;=IF(Nonlabor!$E$18="Core",Nonlabor!$F$18,MAX(Nonlabor!$F$18,IF(Nonlabor!$E$18="AI",Assumptions!$C$24,Assumptions!$C$25))),C772&lt;=Nonlabor!$G$18,OR(Nonlabor!$H$18="Monthly",AND(Nonlabor!$H$18="Once",C772=IF(Nonlabor!$E$18="Core",Nonlabor!$F$18,MAX(Nonlabor!$F$18,IF(Nonlabor!$E$18="AI",Assumptions!$C$24,Assumptions!$C$25)))),AND(Nonlabor!$H$18="Annual",MOD(C772-IF(Nonlabor!$E$18="Core",Nonlabor!$F$18,MAX(Nonlabor!$F$18,IF(Nonlabor!$E$18="AI",Assumptions!$C$24,Assumptions!$C$25))),12)=0))),IF(Nonlabor!$I$18="Fixed",1,IF(Nonlabor!$I$18="Seats",ROUNDUP('Monthly Lean'!I52,0),IF(Nonlabor!$I$18="Customers",'Monthly Lean'!D52,IF(Nonlabor!$I$18="NewCustomers",'Monthly Lean'!C52,IF(Nonlabor!$I$18="StorageGB",'Monthly Lean'!G52,IF(Nonlabor!$I$18="LogGB",'Monthly Lean'!H52,IF(Nonlabor!$I$18="RequestsM",'Monthly Lean'!F52,IF(Nonlabor!$I$18="InputM",'Monthly Lean'!D52*Assumptions!$C$22/1000000,IF(Nonlabor!$I$18="OutputM",'Monthly Lean'!D52*Assumptions!$C$23/1000000,0))))))))),0)</f>
        <v>1</v>
      </c>
      <c r="F772" s="10" t="n">
        <f aca="false">Nonlabor!$J$18*(1+Assumptions!$C$9)^INT((C772-1)/12)</f>
        <v>16390.905</v>
      </c>
      <c r="G772" s="10" t="n">
        <f aca="false">E772*F772</f>
        <v>16390.905</v>
      </c>
      <c r="H772" s="10" t="n">
        <f aca="false">IF(OR(Nonlabor!$L$18="Quote required",Nonlabor!$L$18="Unverified"),G772,0)</f>
        <v>16390.905</v>
      </c>
      <c r="I772" s="10" t="n">
        <f aca="false">IF(Nonlabor!$E$18="Core",0,G772)</f>
        <v>0</v>
      </c>
      <c r="J772" s="23" t="str">
        <f aca="false">Nonlabor!$B$18</f>
        <v>COMPLIANCE</v>
      </c>
    </row>
    <row r="773" customFormat="false" ht="15" hidden="false" customHeight="false" outlineLevel="0" collapsed="false">
      <c r="A773" s="6" t="s">
        <v>72</v>
      </c>
      <c r="B773" s="6" t="s">
        <v>413</v>
      </c>
      <c r="C773" s="6" t="n">
        <v>48</v>
      </c>
      <c r="D773" s="25" t="n">
        <f aca="false">EDATE('Start Here'!$B$6,C773-1)</f>
        <v>47757</v>
      </c>
      <c r="E773" s="23" t="n">
        <f aca="false">IF(AND(OR(Nonlabor!$D$18="Both",Nonlabor!$D$18='Start Here'!$B$9),IF(Nonlabor!$E$18="Core",1,IF(Nonlabor!$E$18="AI",'Start Here'!$B$7,'Start Here'!$B$8))=1,C773&gt;=IF(Nonlabor!$E$18="Core",Nonlabor!$F$18,MAX(Nonlabor!$F$18,IF(Nonlabor!$E$18="AI",Assumptions!$C$24,Assumptions!$C$25))),C773&lt;=Nonlabor!$G$18,OR(Nonlabor!$H$18="Monthly",AND(Nonlabor!$H$18="Once",C773=IF(Nonlabor!$E$18="Core",Nonlabor!$F$18,MAX(Nonlabor!$F$18,IF(Nonlabor!$E$18="AI",Assumptions!$C$24,Assumptions!$C$25)))),AND(Nonlabor!$H$18="Annual",MOD(C773-IF(Nonlabor!$E$18="Core",Nonlabor!$F$18,MAX(Nonlabor!$F$18,IF(Nonlabor!$E$18="AI",Assumptions!$C$24,Assumptions!$C$25))),12)=0))),IF(Nonlabor!$I$18="Fixed",1,IF(Nonlabor!$I$18="Seats",ROUNDUP('Monthly Lean'!I53,0),IF(Nonlabor!$I$18="Customers",'Monthly Lean'!D53,IF(Nonlabor!$I$18="NewCustomers",'Monthly Lean'!C53,IF(Nonlabor!$I$18="StorageGB",'Monthly Lean'!G53,IF(Nonlabor!$I$18="LogGB",'Monthly Lean'!H53,IF(Nonlabor!$I$18="RequestsM",'Monthly Lean'!F53,IF(Nonlabor!$I$18="InputM",'Monthly Lean'!D53*Assumptions!$C$22/1000000,IF(Nonlabor!$I$18="OutputM",'Monthly Lean'!D53*Assumptions!$C$23/1000000,0))))))))),0)</f>
        <v>0</v>
      </c>
      <c r="F773" s="10" t="n">
        <f aca="false">Nonlabor!$J$18*(1+Assumptions!$C$9)^INT((C773-1)/12)</f>
        <v>16390.905</v>
      </c>
      <c r="G773" s="10" t="n">
        <f aca="false">E773*F773</f>
        <v>0</v>
      </c>
      <c r="H773" s="10" t="n">
        <f aca="false">IF(OR(Nonlabor!$L$18="Quote required",Nonlabor!$L$18="Unverified"),G773,0)</f>
        <v>0</v>
      </c>
      <c r="I773" s="10" t="n">
        <f aca="false">IF(Nonlabor!$E$18="Core",0,G773)</f>
        <v>0</v>
      </c>
      <c r="J773" s="23" t="str">
        <f aca="false">Nonlabor!$B$18</f>
        <v>COMPLIANCE</v>
      </c>
    </row>
    <row r="774" customFormat="false" ht="15" hidden="false" customHeight="false" outlineLevel="0" collapsed="false">
      <c r="A774" s="6" t="s">
        <v>72</v>
      </c>
      <c r="B774" s="6" t="s">
        <v>413</v>
      </c>
      <c r="C774" s="6" t="n">
        <v>49</v>
      </c>
      <c r="D774" s="25" t="n">
        <f aca="false">EDATE('Start Here'!$B$6,C774-1)</f>
        <v>47788</v>
      </c>
      <c r="E774" s="23" t="n">
        <f aca="false">IF(AND(OR(Nonlabor!$D$18="Both",Nonlabor!$D$18='Start Here'!$B$9),IF(Nonlabor!$E$18="Core",1,IF(Nonlabor!$E$18="AI",'Start Here'!$B$7,'Start Here'!$B$8))=1,C774&gt;=IF(Nonlabor!$E$18="Core",Nonlabor!$F$18,MAX(Nonlabor!$F$18,IF(Nonlabor!$E$18="AI",Assumptions!$C$24,Assumptions!$C$25))),C774&lt;=Nonlabor!$G$18,OR(Nonlabor!$H$18="Monthly",AND(Nonlabor!$H$18="Once",C774=IF(Nonlabor!$E$18="Core",Nonlabor!$F$18,MAX(Nonlabor!$F$18,IF(Nonlabor!$E$18="AI",Assumptions!$C$24,Assumptions!$C$25)))),AND(Nonlabor!$H$18="Annual",MOD(C774-IF(Nonlabor!$E$18="Core",Nonlabor!$F$18,MAX(Nonlabor!$F$18,IF(Nonlabor!$E$18="AI",Assumptions!$C$24,Assumptions!$C$25))),12)=0))),IF(Nonlabor!$I$18="Fixed",1,IF(Nonlabor!$I$18="Seats",ROUNDUP('Monthly Lean'!I54,0),IF(Nonlabor!$I$18="Customers",'Monthly Lean'!D54,IF(Nonlabor!$I$18="NewCustomers",'Monthly Lean'!C54,IF(Nonlabor!$I$18="StorageGB",'Monthly Lean'!G54,IF(Nonlabor!$I$18="LogGB",'Monthly Lean'!H54,IF(Nonlabor!$I$18="RequestsM",'Monthly Lean'!F54,IF(Nonlabor!$I$18="InputM",'Monthly Lean'!D54*Assumptions!$C$22/1000000,IF(Nonlabor!$I$18="OutputM",'Monthly Lean'!D54*Assumptions!$C$23/1000000,0))))))))),0)</f>
        <v>0</v>
      </c>
      <c r="F774" s="10" t="n">
        <f aca="false">Nonlabor!$J$18*(1+Assumptions!$C$9)^INT((C774-1)/12)</f>
        <v>16882.63215</v>
      </c>
      <c r="G774" s="10" t="n">
        <f aca="false">E774*F774</f>
        <v>0</v>
      </c>
      <c r="H774" s="10" t="n">
        <f aca="false">IF(OR(Nonlabor!$L$18="Quote required",Nonlabor!$L$18="Unverified"),G774,0)</f>
        <v>0</v>
      </c>
      <c r="I774" s="10" t="n">
        <f aca="false">IF(Nonlabor!$E$18="Core",0,G774)</f>
        <v>0</v>
      </c>
      <c r="J774" s="23" t="str">
        <f aca="false">Nonlabor!$B$18</f>
        <v>COMPLIANCE</v>
      </c>
    </row>
    <row r="775" customFormat="false" ht="15" hidden="false" customHeight="false" outlineLevel="0" collapsed="false">
      <c r="A775" s="6" t="s">
        <v>72</v>
      </c>
      <c r="B775" s="6" t="s">
        <v>413</v>
      </c>
      <c r="C775" s="6" t="n">
        <v>50</v>
      </c>
      <c r="D775" s="25" t="n">
        <f aca="false">EDATE('Start Here'!$B$6,C775-1)</f>
        <v>47818</v>
      </c>
      <c r="E775" s="23" t="n">
        <f aca="false">IF(AND(OR(Nonlabor!$D$18="Both",Nonlabor!$D$18='Start Here'!$B$9),IF(Nonlabor!$E$18="Core",1,IF(Nonlabor!$E$18="AI",'Start Here'!$B$7,'Start Here'!$B$8))=1,C775&gt;=IF(Nonlabor!$E$18="Core",Nonlabor!$F$18,MAX(Nonlabor!$F$18,IF(Nonlabor!$E$18="AI",Assumptions!$C$24,Assumptions!$C$25))),C775&lt;=Nonlabor!$G$18,OR(Nonlabor!$H$18="Monthly",AND(Nonlabor!$H$18="Once",C775=IF(Nonlabor!$E$18="Core",Nonlabor!$F$18,MAX(Nonlabor!$F$18,IF(Nonlabor!$E$18="AI",Assumptions!$C$24,Assumptions!$C$25)))),AND(Nonlabor!$H$18="Annual",MOD(C775-IF(Nonlabor!$E$18="Core",Nonlabor!$F$18,MAX(Nonlabor!$F$18,IF(Nonlabor!$E$18="AI",Assumptions!$C$24,Assumptions!$C$25))),12)=0))),IF(Nonlabor!$I$18="Fixed",1,IF(Nonlabor!$I$18="Seats",ROUNDUP('Monthly Lean'!I55,0),IF(Nonlabor!$I$18="Customers",'Monthly Lean'!D55,IF(Nonlabor!$I$18="NewCustomers",'Monthly Lean'!C55,IF(Nonlabor!$I$18="StorageGB",'Monthly Lean'!G55,IF(Nonlabor!$I$18="LogGB",'Monthly Lean'!H55,IF(Nonlabor!$I$18="RequestsM",'Monthly Lean'!F55,IF(Nonlabor!$I$18="InputM",'Monthly Lean'!D55*Assumptions!$C$22/1000000,IF(Nonlabor!$I$18="OutputM",'Monthly Lean'!D55*Assumptions!$C$23/1000000,0))))))))),0)</f>
        <v>0</v>
      </c>
      <c r="F775" s="10" t="n">
        <f aca="false">Nonlabor!$J$18*(1+Assumptions!$C$9)^INT((C775-1)/12)</f>
        <v>16882.63215</v>
      </c>
      <c r="G775" s="10" t="n">
        <f aca="false">E775*F775</f>
        <v>0</v>
      </c>
      <c r="H775" s="10" t="n">
        <f aca="false">IF(OR(Nonlabor!$L$18="Quote required",Nonlabor!$L$18="Unverified"),G775,0)</f>
        <v>0</v>
      </c>
      <c r="I775" s="10" t="n">
        <f aca="false">IF(Nonlabor!$E$18="Core",0,G775)</f>
        <v>0</v>
      </c>
      <c r="J775" s="23" t="str">
        <f aca="false">Nonlabor!$B$18</f>
        <v>COMPLIANCE</v>
      </c>
    </row>
    <row r="776" customFormat="false" ht="15" hidden="false" customHeight="false" outlineLevel="0" collapsed="false">
      <c r="A776" s="6" t="s">
        <v>72</v>
      </c>
      <c r="B776" s="6" t="s">
        <v>413</v>
      </c>
      <c r="C776" s="6" t="n">
        <v>51</v>
      </c>
      <c r="D776" s="25" t="n">
        <f aca="false">EDATE('Start Here'!$B$6,C776-1)</f>
        <v>47849</v>
      </c>
      <c r="E776" s="23" t="n">
        <f aca="false">IF(AND(OR(Nonlabor!$D$18="Both",Nonlabor!$D$18='Start Here'!$B$9),IF(Nonlabor!$E$18="Core",1,IF(Nonlabor!$E$18="AI",'Start Here'!$B$7,'Start Here'!$B$8))=1,C776&gt;=IF(Nonlabor!$E$18="Core",Nonlabor!$F$18,MAX(Nonlabor!$F$18,IF(Nonlabor!$E$18="AI",Assumptions!$C$24,Assumptions!$C$25))),C776&lt;=Nonlabor!$G$18,OR(Nonlabor!$H$18="Monthly",AND(Nonlabor!$H$18="Once",C776=IF(Nonlabor!$E$18="Core",Nonlabor!$F$18,MAX(Nonlabor!$F$18,IF(Nonlabor!$E$18="AI",Assumptions!$C$24,Assumptions!$C$25)))),AND(Nonlabor!$H$18="Annual",MOD(C776-IF(Nonlabor!$E$18="Core",Nonlabor!$F$18,MAX(Nonlabor!$F$18,IF(Nonlabor!$E$18="AI",Assumptions!$C$24,Assumptions!$C$25))),12)=0))),IF(Nonlabor!$I$18="Fixed",1,IF(Nonlabor!$I$18="Seats",ROUNDUP('Monthly Lean'!I56,0),IF(Nonlabor!$I$18="Customers",'Monthly Lean'!D56,IF(Nonlabor!$I$18="NewCustomers",'Monthly Lean'!C56,IF(Nonlabor!$I$18="StorageGB",'Monthly Lean'!G56,IF(Nonlabor!$I$18="LogGB",'Monthly Lean'!H56,IF(Nonlabor!$I$18="RequestsM",'Monthly Lean'!F56,IF(Nonlabor!$I$18="InputM",'Monthly Lean'!D56*Assumptions!$C$22/1000000,IF(Nonlabor!$I$18="OutputM",'Monthly Lean'!D56*Assumptions!$C$23/1000000,0))))))))),0)</f>
        <v>0</v>
      </c>
      <c r="F776" s="10" t="n">
        <f aca="false">Nonlabor!$J$18*(1+Assumptions!$C$9)^INT((C776-1)/12)</f>
        <v>16882.63215</v>
      </c>
      <c r="G776" s="10" t="n">
        <f aca="false">E776*F776</f>
        <v>0</v>
      </c>
      <c r="H776" s="10" t="n">
        <f aca="false">IF(OR(Nonlabor!$L$18="Quote required",Nonlabor!$L$18="Unverified"),G776,0)</f>
        <v>0</v>
      </c>
      <c r="I776" s="10" t="n">
        <f aca="false">IF(Nonlabor!$E$18="Core",0,G776)</f>
        <v>0</v>
      </c>
      <c r="J776" s="23" t="str">
        <f aca="false">Nonlabor!$B$18</f>
        <v>COMPLIANCE</v>
      </c>
    </row>
    <row r="777" customFormat="false" ht="15" hidden="false" customHeight="false" outlineLevel="0" collapsed="false">
      <c r="A777" s="6" t="s">
        <v>72</v>
      </c>
      <c r="B777" s="6" t="s">
        <v>413</v>
      </c>
      <c r="C777" s="6" t="n">
        <v>52</v>
      </c>
      <c r="D777" s="25" t="n">
        <f aca="false">EDATE('Start Here'!$B$6,C777-1)</f>
        <v>47880</v>
      </c>
      <c r="E777" s="23" t="n">
        <f aca="false">IF(AND(OR(Nonlabor!$D$18="Both",Nonlabor!$D$18='Start Here'!$B$9),IF(Nonlabor!$E$18="Core",1,IF(Nonlabor!$E$18="AI",'Start Here'!$B$7,'Start Here'!$B$8))=1,C777&gt;=IF(Nonlabor!$E$18="Core",Nonlabor!$F$18,MAX(Nonlabor!$F$18,IF(Nonlabor!$E$18="AI",Assumptions!$C$24,Assumptions!$C$25))),C777&lt;=Nonlabor!$G$18,OR(Nonlabor!$H$18="Monthly",AND(Nonlabor!$H$18="Once",C777=IF(Nonlabor!$E$18="Core",Nonlabor!$F$18,MAX(Nonlabor!$F$18,IF(Nonlabor!$E$18="AI",Assumptions!$C$24,Assumptions!$C$25)))),AND(Nonlabor!$H$18="Annual",MOD(C777-IF(Nonlabor!$E$18="Core",Nonlabor!$F$18,MAX(Nonlabor!$F$18,IF(Nonlabor!$E$18="AI",Assumptions!$C$24,Assumptions!$C$25))),12)=0))),IF(Nonlabor!$I$18="Fixed",1,IF(Nonlabor!$I$18="Seats",ROUNDUP('Monthly Lean'!I57,0),IF(Nonlabor!$I$18="Customers",'Monthly Lean'!D57,IF(Nonlabor!$I$18="NewCustomers",'Monthly Lean'!C57,IF(Nonlabor!$I$18="StorageGB",'Monthly Lean'!G57,IF(Nonlabor!$I$18="LogGB",'Monthly Lean'!H57,IF(Nonlabor!$I$18="RequestsM",'Monthly Lean'!F57,IF(Nonlabor!$I$18="InputM",'Monthly Lean'!D57*Assumptions!$C$22/1000000,IF(Nonlabor!$I$18="OutputM",'Monthly Lean'!D57*Assumptions!$C$23/1000000,0))))))))),0)</f>
        <v>0</v>
      </c>
      <c r="F777" s="10" t="n">
        <f aca="false">Nonlabor!$J$18*(1+Assumptions!$C$9)^INT((C777-1)/12)</f>
        <v>16882.63215</v>
      </c>
      <c r="G777" s="10" t="n">
        <f aca="false">E777*F777</f>
        <v>0</v>
      </c>
      <c r="H777" s="10" t="n">
        <f aca="false">IF(OR(Nonlabor!$L$18="Quote required",Nonlabor!$L$18="Unverified"),G777,0)</f>
        <v>0</v>
      </c>
      <c r="I777" s="10" t="n">
        <f aca="false">IF(Nonlabor!$E$18="Core",0,G777)</f>
        <v>0</v>
      </c>
      <c r="J777" s="23" t="str">
        <f aca="false">Nonlabor!$B$18</f>
        <v>COMPLIANCE</v>
      </c>
    </row>
    <row r="778" customFormat="false" ht="15" hidden="false" customHeight="false" outlineLevel="0" collapsed="false">
      <c r="A778" s="6" t="s">
        <v>72</v>
      </c>
      <c r="B778" s="6" t="s">
        <v>413</v>
      </c>
      <c r="C778" s="6" t="n">
        <v>53</v>
      </c>
      <c r="D778" s="25" t="n">
        <f aca="false">EDATE('Start Here'!$B$6,C778-1)</f>
        <v>47908</v>
      </c>
      <c r="E778" s="23" t="n">
        <f aca="false">IF(AND(OR(Nonlabor!$D$18="Both",Nonlabor!$D$18='Start Here'!$B$9),IF(Nonlabor!$E$18="Core",1,IF(Nonlabor!$E$18="AI",'Start Here'!$B$7,'Start Here'!$B$8))=1,C778&gt;=IF(Nonlabor!$E$18="Core",Nonlabor!$F$18,MAX(Nonlabor!$F$18,IF(Nonlabor!$E$18="AI",Assumptions!$C$24,Assumptions!$C$25))),C778&lt;=Nonlabor!$G$18,OR(Nonlabor!$H$18="Monthly",AND(Nonlabor!$H$18="Once",C778=IF(Nonlabor!$E$18="Core",Nonlabor!$F$18,MAX(Nonlabor!$F$18,IF(Nonlabor!$E$18="AI",Assumptions!$C$24,Assumptions!$C$25)))),AND(Nonlabor!$H$18="Annual",MOD(C778-IF(Nonlabor!$E$18="Core",Nonlabor!$F$18,MAX(Nonlabor!$F$18,IF(Nonlabor!$E$18="AI",Assumptions!$C$24,Assumptions!$C$25))),12)=0))),IF(Nonlabor!$I$18="Fixed",1,IF(Nonlabor!$I$18="Seats",ROUNDUP('Monthly Lean'!I58,0),IF(Nonlabor!$I$18="Customers",'Monthly Lean'!D58,IF(Nonlabor!$I$18="NewCustomers",'Monthly Lean'!C58,IF(Nonlabor!$I$18="StorageGB",'Monthly Lean'!G58,IF(Nonlabor!$I$18="LogGB",'Monthly Lean'!H58,IF(Nonlabor!$I$18="RequestsM",'Monthly Lean'!F58,IF(Nonlabor!$I$18="InputM",'Monthly Lean'!D58*Assumptions!$C$22/1000000,IF(Nonlabor!$I$18="OutputM",'Monthly Lean'!D58*Assumptions!$C$23/1000000,0))))))))),0)</f>
        <v>0</v>
      </c>
      <c r="F778" s="10" t="n">
        <f aca="false">Nonlabor!$J$18*(1+Assumptions!$C$9)^INT((C778-1)/12)</f>
        <v>16882.63215</v>
      </c>
      <c r="G778" s="10" t="n">
        <f aca="false">E778*F778</f>
        <v>0</v>
      </c>
      <c r="H778" s="10" t="n">
        <f aca="false">IF(OR(Nonlabor!$L$18="Quote required",Nonlabor!$L$18="Unverified"),G778,0)</f>
        <v>0</v>
      </c>
      <c r="I778" s="10" t="n">
        <f aca="false">IF(Nonlabor!$E$18="Core",0,G778)</f>
        <v>0</v>
      </c>
      <c r="J778" s="23" t="str">
        <f aca="false">Nonlabor!$B$18</f>
        <v>COMPLIANCE</v>
      </c>
    </row>
    <row r="779" customFormat="false" ht="15" hidden="false" customHeight="false" outlineLevel="0" collapsed="false">
      <c r="A779" s="6" t="s">
        <v>72</v>
      </c>
      <c r="B779" s="6" t="s">
        <v>413</v>
      </c>
      <c r="C779" s="6" t="n">
        <v>54</v>
      </c>
      <c r="D779" s="25" t="n">
        <f aca="false">EDATE('Start Here'!$B$6,C779-1)</f>
        <v>47939</v>
      </c>
      <c r="E779" s="23" t="n">
        <f aca="false">IF(AND(OR(Nonlabor!$D$18="Both",Nonlabor!$D$18='Start Here'!$B$9),IF(Nonlabor!$E$18="Core",1,IF(Nonlabor!$E$18="AI",'Start Here'!$B$7,'Start Here'!$B$8))=1,C779&gt;=IF(Nonlabor!$E$18="Core",Nonlabor!$F$18,MAX(Nonlabor!$F$18,IF(Nonlabor!$E$18="AI",Assumptions!$C$24,Assumptions!$C$25))),C779&lt;=Nonlabor!$G$18,OR(Nonlabor!$H$18="Monthly",AND(Nonlabor!$H$18="Once",C779=IF(Nonlabor!$E$18="Core",Nonlabor!$F$18,MAX(Nonlabor!$F$18,IF(Nonlabor!$E$18="AI",Assumptions!$C$24,Assumptions!$C$25)))),AND(Nonlabor!$H$18="Annual",MOD(C779-IF(Nonlabor!$E$18="Core",Nonlabor!$F$18,MAX(Nonlabor!$F$18,IF(Nonlabor!$E$18="AI",Assumptions!$C$24,Assumptions!$C$25))),12)=0))),IF(Nonlabor!$I$18="Fixed",1,IF(Nonlabor!$I$18="Seats",ROUNDUP('Monthly Lean'!I59,0),IF(Nonlabor!$I$18="Customers",'Monthly Lean'!D59,IF(Nonlabor!$I$18="NewCustomers",'Monthly Lean'!C59,IF(Nonlabor!$I$18="StorageGB",'Monthly Lean'!G59,IF(Nonlabor!$I$18="LogGB",'Monthly Lean'!H59,IF(Nonlabor!$I$18="RequestsM",'Monthly Lean'!F59,IF(Nonlabor!$I$18="InputM",'Monthly Lean'!D59*Assumptions!$C$22/1000000,IF(Nonlabor!$I$18="OutputM",'Monthly Lean'!D59*Assumptions!$C$23/1000000,0))))))))),0)</f>
        <v>0</v>
      </c>
      <c r="F779" s="10" t="n">
        <f aca="false">Nonlabor!$J$18*(1+Assumptions!$C$9)^INT((C779-1)/12)</f>
        <v>16882.63215</v>
      </c>
      <c r="G779" s="10" t="n">
        <f aca="false">E779*F779</f>
        <v>0</v>
      </c>
      <c r="H779" s="10" t="n">
        <f aca="false">IF(OR(Nonlabor!$L$18="Quote required",Nonlabor!$L$18="Unverified"),G779,0)</f>
        <v>0</v>
      </c>
      <c r="I779" s="10" t="n">
        <f aca="false">IF(Nonlabor!$E$18="Core",0,G779)</f>
        <v>0</v>
      </c>
      <c r="J779" s="23" t="str">
        <f aca="false">Nonlabor!$B$18</f>
        <v>COMPLIANCE</v>
      </c>
    </row>
    <row r="780" customFormat="false" ht="15" hidden="false" customHeight="false" outlineLevel="0" collapsed="false">
      <c r="A780" s="6" t="s">
        <v>72</v>
      </c>
      <c r="B780" s="6" t="s">
        <v>413</v>
      </c>
      <c r="C780" s="6" t="n">
        <v>55</v>
      </c>
      <c r="D780" s="25" t="n">
        <f aca="false">EDATE('Start Here'!$B$6,C780-1)</f>
        <v>47969</v>
      </c>
      <c r="E780" s="23" t="n">
        <f aca="false">IF(AND(OR(Nonlabor!$D$18="Both",Nonlabor!$D$18='Start Here'!$B$9),IF(Nonlabor!$E$18="Core",1,IF(Nonlabor!$E$18="AI",'Start Here'!$B$7,'Start Here'!$B$8))=1,C780&gt;=IF(Nonlabor!$E$18="Core",Nonlabor!$F$18,MAX(Nonlabor!$F$18,IF(Nonlabor!$E$18="AI",Assumptions!$C$24,Assumptions!$C$25))),C780&lt;=Nonlabor!$G$18,OR(Nonlabor!$H$18="Monthly",AND(Nonlabor!$H$18="Once",C780=IF(Nonlabor!$E$18="Core",Nonlabor!$F$18,MAX(Nonlabor!$F$18,IF(Nonlabor!$E$18="AI",Assumptions!$C$24,Assumptions!$C$25)))),AND(Nonlabor!$H$18="Annual",MOD(C780-IF(Nonlabor!$E$18="Core",Nonlabor!$F$18,MAX(Nonlabor!$F$18,IF(Nonlabor!$E$18="AI",Assumptions!$C$24,Assumptions!$C$25))),12)=0))),IF(Nonlabor!$I$18="Fixed",1,IF(Nonlabor!$I$18="Seats",ROUNDUP('Monthly Lean'!I60,0),IF(Nonlabor!$I$18="Customers",'Monthly Lean'!D60,IF(Nonlabor!$I$18="NewCustomers",'Monthly Lean'!C60,IF(Nonlabor!$I$18="StorageGB",'Monthly Lean'!G60,IF(Nonlabor!$I$18="LogGB",'Monthly Lean'!H60,IF(Nonlabor!$I$18="RequestsM",'Monthly Lean'!F60,IF(Nonlabor!$I$18="InputM",'Monthly Lean'!D60*Assumptions!$C$22/1000000,IF(Nonlabor!$I$18="OutputM",'Monthly Lean'!D60*Assumptions!$C$23/1000000,0))))))))),0)</f>
        <v>0</v>
      </c>
      <c r="F780" s="10" t="n">
        <f aca="false">Nonlabor!$J$18*(1+Assumptions!$C$9)^INT((C780-1)/12)</f>
        <v>16882.63215</v>
      </c>
      <c r="G780" s="10" t="n">
        <f aca="false">E780*F780</f>
        <v>0</v>
      </c>
      <c r="H780" s="10" t="n">
        <f aca="false">IF(OR(Nonlabor!$L$18="Quote required",Nonlabor!$L$18="Unverified"),G780,0)</f>
        <v>0</v>
      </c>
      <c r="I780" s="10" t="n">
        <f aca="false">IF(Nonlabor!$E$18="Core",0,G780)</f>
        <v>0</v>
      </c>
      <c r="J780" s="23" t="str">
        <f aca="false">Nonlabor!$B$18</f>
        <v>COMPLIANCE</v>
      </c>
    </row>
    <row r="781" customFormat="false" ht="15" hidden="false" customHeight="false" outlineLevel="0" collapsed="false">
      <c r="A781" s="6" t="s">
        <v>72</v>
      </c>
      <c r="B781" s="6" t="s">
        <v>413</v>
      </c>
      <c r="C781" s="6" t="n">
        <v>56</v>
      </c>
      <c r="D781" s="25" t="n">
        <f aca="false">EDATE('Start Here'!$B$6,C781-1)</f>
        <v>48000</v>
      </c>
      <c r="E781" s="23" t="n">
        <f aca="false">IF(AND(OR(Nonlabor!$D$18="Both",Nonlabor!$D$18='Start Here'!$B$9),IF(Nonlabor!$E$18="Core",1,IF(Nonlabor!$E$18="AI",'Start Here'!$B$7,'Start Here'!$B$8))=1,C781&gt;=IF(Nonlabor!$E$18="Core",Nonlabor!$F$18,MAX(Nonlabor!$F$18,IF(Nonlabor!$E$18="AI",Assumptions!$C$24,Assumptions!$C$25))),C781&lt;=Nonlabor!$G$18,OR(Nonlabor!$H$18="Monthly",AND(Nonlabor!$H$18="Once",C781=IF(Nonlabor!$E$18="Core",Nonlabor!$F$18,MAX(Nonlabor!$F$18,IF(Nonlabor!$E$18="AI",Assumptions!$C$24,Assumptions!$C$25)))),AND(Nonlabor!$H$18="Annual",MOD(C781-IF(Nonlabor!$E$18="Core",Nonlabor!$F$18,MAX(Nonlabor!$F$18,IF(Nonlabor!$E$18="AI",Assumptions!$C$24,Assumptions!$C$25))),12)=0))),IF(Nonlabor!$I$18="Fixed",1,IF(Nonlabor!$I$18="Seats",ROUNDUP('Monthly Lean'!I61,0),IF(Nonlabor!$I$18="Customers",'Monthly Lean'!D61,IF(Nonlabor!$I$18="NewCustomers",'Monthly Lean'!C61,IF(Nonlabor!$I$18="StorageGB",'Monthly Lean'!G61,IF(Nonlabor!$I$18="LogGB",'Monthly Lean'!H61,IF(Nonlabor!$I$18="RequestsM",'Monthly Lean'!F61,IF(Nonlabor!$I$18="InputM",'Monthly Lean'!D61*Assumptions!$C$22/1000000,IF(Nonlabor!$I$18="OutputM",'Monthly Lean'!D61*Assumptions!$C$23/1000000,0))))))))),0)</f>
        <v>0</v>
      </c>
      <c r="F781" s="10" t="n">
        <f aca="false">Nonlabor!$J$18*(1+Assumptions!$C$9)^INT((C781-1)/12)</f>
        <v>16882.63215</v>
      </c>
      <c r="G781" s="10" t="n">
        <f aca="false">E781*F781</f>
        <v>0</v>
      </c>
      <c r="H781" s="10" t="n">
        <f aca="false">IF(OR(Nonlabor!$L$18="Quote required",Nonlabor!$L$18="Unverified"),G781,0)</f>
        <v>0</v>
      </c>
      <c r="I781" s="10" t="n">
        <f aca="false">IF(Nonlabor!$E$18="Core",0,G781)</f>
        <v>0</v>
      </c>
      <c r="J781" s="23" t="str">
        <f aca="false">Nonlabor!$B$18</f>
        <v>COMPLIANCE</v>
      </c>
    </row>
    <row r="782" customFormat="false" ht="15" hidden="false" customHeight="false" outlineLevel="0" collapsed="false">
      <c r="A782" s="6" t="s">
        <v>72</v>
      </c>
      <c r="B782" s="6" t="s">
        <v>413</v>
      </c>
      <c r="C782" s="6" t="n">
        <v>57</v>
      </c>
      <c r="D782" s="25" t="n">
        <f aca="false">EDATE('Start Here'!$B$6,C782-1)</f>
        <v>48030</v>
      </c>
      <c r="E782" s="23" t="n">
        <f aca="false">IF(AND(OR(Nonlabor!$D$18="Both",Nonlabor!$D$18='Start Here'!$B$9),IF(Nonlabor!$E$18="Core",1,IF(Nonlabor!$E$18="AI",'Start Here'!$B$7,'Start Here'!$B$8))=1,C782&gt;=IF(Nonlabor!$E$18="Core",Nonlabor!$F$18,MAX(Nonlabor!$F$18,IF(Nonlabor!$E$18="AI",Assumptions!$C$24,Assumptions!$C$25))),C782&lt;=Nonlabor!$G$18,OR(Nonlabor!$H$18="Monthly",AND(Nonlabor!$H$18="Once",C782=IF(Nonlabor!$E$18="Core",Nonlabor!$F$18,MAX(Nonlabor!$F$18,IF(Nonlabor!$E$18="AI",Assumptions!$C$24,Assumptions!$C$25)))),AND(Nonlabor!$H$18="Annual",MOD(C782-IF(Nonlabor!$E$18="Core",Nonlabor!$F$18,MAX(Nonlabor!$F$18,IF(Nonlabor!$E$18="AI",Assumptions!$C$24,Assumptions!$C$25))),12)=0))),IF(Nonlabor!$I$18="Fixed",1,IF(Nonlabor!$I$18="Seats",ROUNDUP('Monthly Lean'!I62,0),IF(Nonlabor!$I$18="Customers",'Monthly Lean'!D62,IF(Nonlabor!$I$18="NewCustomers",'Monthly Lean'!C62,IF(Nonlabor!$I$18="StorageGB",'Monthly Lean'!G62,IF(Nonlabor!$I$18="LogGB",'Monthly Lean'!H62,IF(Nonlabor!$I$18="RequestsM",'Monthly Lean'!F62,IF(Nonlabor!$I$18="InputM",'Monthly Lean'!D62*Assumptions!$C$22/1000000,IF(Nonlabor!$I$18="OutputM",'Monthly Lean'!D62*Assumptions!$C$23/1000000,0))))))))),0)</f>
        <v>0</v>
      </c>
      <c r="F782" s="10" t="n">
        <f aca="false">Nonlabor!$J$18*(1+Assumptions!$C$9)^INT((C782-1)/12)</f>
        <v>16882.63215</v>
      </c>
      <c r="G782" s="10" t="n">
        <f aca="false">E782*F782</f>
        <v>0</v>
      </c>
      <c r="H782" s="10" t="n">
        <f aca="false">IF(OR(Nonlabor!$L$18="Quote required",Nonlabor!$L$18="Unverified"),G782,0)</f>
        <v>0</v>
      </c>
      <c r="I782" s="10" t="n">
        <f aca="false">IF(Nonlabor!$E$18="Core",0,G782)</f>
        <v>0</v>
      </c>
      <c r="J782" s="23" t="str">
        <f aca="false">Nonlabor!$B$18</f>
        <v>COMPLIANCE</v>
      </c>
    </row>
    <row r="783" customFormat="false" ht="15" hidden="false" customHeight="false" outlineLevel="0" collapsed="false">
      <c r="A783" s="6" t="s">
        <v>72</v>
      </c>
      <c r="B783" s="6" t="s">
        <v>413</v>
      </c>
      <c r="C783" s="6" t="n">
        <v>58</v>
      </c>
      <c r="D783" s="25" t="n">
        <f aca="false">EDATE('Start Here'!$B$6,C783-1)</f>
        <v>48061</v>
      </c>
      <c r="E783" s="23" t="n">
        <f aca="false">IF(AND(OR(Nonlabor!$D$18="Both",Nonlabor!$D$18='Start Here'!$B$9),IF(Nonlabor!$E$18="Core",1,IF(Nonlabor!$E$18="AI",'Start Here'!$B$7,'Start Here'!$B$8))=1,C783&gt;=IF(Nonlabor!$E$18="Core",Nonlabor!$F$18,MAX(Nonlabor!$F$18,IF(Nonlabor!$E$18="AI",Assumptions!$C$24,Assumptions!$C$25))),C783&lt;=Nonlabor!$G$18,OR(Nonlabor!$H$18="Monthly",AND(Nonlabor!$H$18="Once",C783=IF(Nonlabor!$E$18="Core",Nonlabor!$F$18,MAX(Nonlabor!$F$18,IF(Nonlabor!$E$18="AI",Assumptions!$C$24,Assumptions!$C$25)))),AND(Nonlabor!$H$18="Annual",MOD(C783-IF(Nonlabor!$E$18="Core",Nonlabor!$F$18,MAX(Nonlabor!$F$18,IF(Nonlabor!$E$18="AI",Assumptions!$C$24,Assumptions!$C$25))),12)=0))),IF(Nonlabor!$I$18="Fixed",1,IF(Nonlabor!$I$18="Seats",ROUNDUP('Monthly Lean'!I63,0),IF(Nonlabor!$I$18="Customers",'Monthly Lean'!D63,IF(Nonlabor!$I$18="NewCustomers",'Monthly Lean'!C63,IF(Nonlabor!$I$18="StorageGB",'Monthly Lean'!G63,IF(Nonlabor!$I$18="LogGB",'Monthly Lean'!H63,IF(Nonlabor!$I$18="RequestsM",'Monthly Lean'!F63,IF(Nonlabor!$I$18="InputM",'Monthly Lean'!D63*Assumptions!$C$22/1000000,IF(Nonlabor!$I$18="OutputM",'Monthly Lean'!D63*Assumptions!$C$23/1000000,0))))))))),0)</f>
        <v>0</v>
      </c>
      <c r="F783" s="10" t="n">
        <f aca="false">Nonlabor!$J$18*(1+Assumptions!$C$9)^INT((C783-1)/12)</f>
        <v>16882.63215</v>
      </c>
      <c r="G783" s="10" t="n">
        <f aca="false">E783*F783</f>
        <v>0</v>
      </c>
      <c r="H783" s="10" t="n">
        <f aca="false">IF(OR(Nonlabor!$L$18="Quote required",Nonlabor!$L$18="Unverified"),G783,0)</f>
        <v>0</v>
      </c>
      <c r="I783" s="10" t="n">
        <f aca="false">IF(Nonlabor!$E$18="Core",0,G783)</f>
        <v>0</v>
      </c>
      <c r="J783" s="23" t="str">
        <f aca="false">Nonlabor!$B$18</f>
        <v>COMPLIANCE</v>
      </c>
    </row>
    <row r="784" customFormat="false" ht="15" hidden="false" customHeight="false" outlineLevel="0" collapsed="false">
      <c r="A784" s="6" t="s">
        <v>72</v>
      </c>
      <c r="B784" s="6" t="s">
        <v>413</v>
      </c>
      <c r="C784" s="6" t="n">
        <v>59</v>
      </c>
      <c r="D784" s="25" t="n">
        <f aca="false">EDATE('Start Here'!$B$6,C784-1)</f>
        <v>48092</v>
      </c>
      <c r="E784" s="23" t="n">
        <f aca="false">IF(AND(OR(Nonlabor!$D$18="Both",Nonlabor!$D$18='Start Here'!$B$9),IF(Nonlabor!$E$18="Core",1,IF(Nonlabor!$E$18="AI",'Start Here'!$B$7,'Start Here'!$B$8))=1,C784&gt;=IF(Nonlabor!$E$18="Core",Nonlabor!$F$18,MAX(Nonlabor!$F$18,IF(Nonlabor!$E$18="AI",Assumptions!$C$24,Assumptions!$C$25))),C784&lt;=Nonlabor!$G$18,OR(Nonlabor!$H$18="Monthly",AND(Nonlabor!$H$18="Once",C784=IF(Nonlabor!$E$18="Core",Nonlabor!$F$18,MAX(Nonlabor!$F$18,IF(Nonlabor!$E$18="AI",Assumptions!$C$24,Assumptions!$C$25)))),AND(Nonlabor!$H$18="Annual",MOD(C784-IF(Nonlabor!$E$18="Core",Nonlabor!$F$18,MAX(Nonlabor!$F$18,IF(Nonlabor!$E$18="AI",Assumptions!$C$24,Assumptions!$C$25))),12)=0))),IF(Nonlabor!$I$18="Fixed",1,IF(Nonlabor!$I$18="Seats",ROUNDUP('Monthly Lean'!I64,0),IF(Nonlabor!$I$18="Customers",'Monthly Lean'!D64,IF(Nonlabor!$I$18="NewCustomers",'Monthly Lean'!C64,IF(Nonlabor!$I$18="StorageGB",'Monthly Lean'!G64,IF(Nonlabor!$I$18="LogGB",'Monthly Lean'!H64,IF(Nonlabor!$I$18="RequestsM",'Monthly Lean'!F64,IF(Nonlabor!$I$18="InputM",'Monthly Lean'!D64*Assumptions!$C$22/1000000,IF(Nonlabor!$I$18="OutputM",'Monthly Lean'!D64*Assumptions!$C$23/1000000,0))))))))),0)</f>
        <v>1</v>
      </c>
      <c r="F784" s="10" t="n">
        <f aca="false">Nonlabor!$J$18*(1+Assumptions!$C$9)^INT((C784-1)/12)</f>
        <v>16882.63215</v>
      </c>
      <c r="G784" s="10" t="n">
        <f aca="false">E784*F784</f>
        <v>16882.63215</v>
      </c>
      <c r="H784" s="10" t="n">
        <f aca="false">IF(OR(Nonlabor!$L$18="Quote required",Nonlabor!$L$18="Unverified"),G784,0)</f>
        <v>16882.63215</v>
      </c>
      <c r="I784" s="10" t="n">
        <f aca="false">IF(Nonlabor!$E$18="Core",0,G784)</f>
        <v>0</v>
      </c>
      <c r="J784" s="23" t="str">
        <f aca="false">Nonlabor!$B$18</f>
        <v>COMPLIANCE</v>
      </c>
    </row>
    <row r="785" customFormat="false" ht="15" hidden="false" customHeight="false" outlineLevel="0" collapsed="false">
      <c r="A785" s="6" t="s">
        <v>72</v>
      </c>
      <c r="B785" s="6" t="s">
        <v>413</v>
      </c>
      <c r="C785" s="6" t="n">
        <v>60</v>
      </c>
      <c r="D785" s="25" t="n">
        <f aca="false">EDATE('Start Here'!$B$6,C785-1)</f>
        <v>48122</v>
      </c>
      <c r="E785" s="23" t="n">
        <f aca="false">IF(AND(OR(Nonlabor!$D$18="Both",Nonlabor!$D$18='Start Here'!$B$9),IF(Nonlabor!$E$18="Core",1,IF(Nonlabor!$E$18="AI",'Start Here'!$B$7,'Start Here'!$B$8))=1,C785&gt;=IF(Nonlabor!$E$18="Core",Nonlabor!$F$18,MAX(Nonlabor!$F$18,IF(Nonlabor!$E$18="AI",Assumptions!$C$24,Assumptions!$C$25))),C785&lt;=Nonlabor!$G$18,OR(Nonlabor!$H$18="Monthly",AND(Nonlabor!$H$18="Once",C785=IF(Nonlabor!$E$18="Core",Nonlabor!$F$18,MAX(Nonlabor!$F$18,IF(Nonlabor!$E$18="AI",Assumptions!$C$24,Assumptions!$C$25)))),AND(Nonlabor!$H$18="Annual",MOD(C785-IF(Nonlabor!$E$18="Core",Nonlabor!$F$18,MAX(Nonlabor!$F$18,IF(Nonlabor!$E$18="AI",Assumptions!$C$24,Assumptions!$C$25))),12)=0))),IF(Nonlabor!$I$18="Fixed",1,IF(Nonlabor!$I$18="Seats",ROUNDUP('Monthly Lean'!I65,0),IF(Nonlabor!$I$18="Customers",'Monthly Lean'!D65,IF(Nonlabor!$I$18="NewCustomers",'Monthly Lean'!C65,IF(Nonlabor!$I$18="StorageGB",'Monthly Lean'!G65,IF(Nonlabor!$I$18="LogGB",'Monthly Lean'!H65,IF(Nonlabor!$I$18="RequestsM",'Monthly Lean'!F65,IF(Nonlabor!$I$18="InputM",'Monthly Lean'!D65*Assumptions!$C$22/1000000,IF(Nonlabor!$I$18="OutputM",'Monthly Lean'!D65*Assumptions!$C$23/1000000,0))))))))),0)</f>
        <v>0</v>
      </c>
      <c r="F785" s="10" t="n">
        <f aca="false">Nonlabor!$J$18*(1+Assumptions!$C$9)^INT((C785-1)/12)</f>
        <v>16882.63215</v>
      </c>
      <c r="G785" s="10" t="n">
        <f aca="false">E785*F785</f>
        <v>0</v>
      </c>
      <c r="H785" s="10" t="n">
        <f aca="false">IF(OR(Nonlabor!$L$18="Quote required",Nonlabor!$L$18="Unverified"),G785,0)</f>
        <v>0</v>
      </c>
      <c r="I785" s="10" t="n">
        <f aca="false">IF(Nonlabor!$E$18="Core",0,G785)</f>
        <v>0</v>
      </c>
      <c r="J785" s="23" t="str">
        <f aca="false">Nonlabor!$B$18</f>
        <v>COMPLIANCE</v>
      </c>
    </row>
    <row r="786" customFormat="false" ht="15" hidden="false" customHeight="false" outlineLevel="0" collapsed="false">
      <c r="A786" s="6" t="s">
        <v>72</v>
      </c>
      <c r="B786" s="6" t="s">
        <v>49</v>
      </c>
      <c r="C786" s="6" t="n">
        <v>1</v>
      </c>
      <c r="D786" s="25" t="n">
        <f aca="false">EDATE('Start Here'!$B$6,C786-1)</f>
        <v>46327</v>
      </c>
      <c r="E786" s="23" t="n">
        <f aca="false">IF(AND(OR(Nonlabor!$D$19="Both",Nonlabor!$D$19='Start Here'!$B$9),IF(Nonlabor!$E$19="Core",1,IF(Nonlabor!$E$19="AI",'Start Here'!$B$7,'Start Here'!$B$8))=1,C786&gt;=IF(Nonlabor!$E$19="Core",Nonlabor!$F$19,MAX(Nonlabor!$F$19,IF(Nonlabor!$E$19="AI",Assumptions!$C$24,Assumptions!$C$25))),C786&lt;=Nonlabor!$G$19,OR(Nonlabor!$H$19="Monthly",AND(Nonlabor!$H$19="Once",C786=IF(Nonlabor!$E$19="Core",Nonlabor!$F$19,MAX(Nonlabor!$F$19,IF(Nonlabor!$E$19="AI",Assumptions!$C$24,Assumptions!$C$25)))),AND(Nonlabor!$H$19="Annual",MOD(C786-IF(Nonlabor!$E$19="Core",Nonlabor!$F$19,MAX(Nonlabor!$F$19,IF(Nonlabor!$E$19="AI",Assumptions!$C$24,Assumptions!$C$25))),12)=0))),IF(Nonlabor!$I$19="Fixed",1,IF(Nonlabor!$I$19="Seats",ROUNDUP('Monthly Lean'!I6,0),IF(Nonlabor!$I$19="Customers",'Monthly Lean'!D6,IF(Nonlabor!$I$19="NewCustomers",'Monthly Lean'!C6,IF(Nonlabor!$I$19="StorageGB",'Monthly Lean'!G6,IF(Nonlabor!$I$19="LogGB",'Monthly Lean'!H6,IF(Nonlabor!$I$19="RequestsM",'Monthly Lean'!F6,IF(Nonlabor!$I$19="InputM",'Monthly Lean'!D6*Assumptions!$C$22/1000000,IF(Nonlabor!$I$19="OutputM",'Monthly Lean'!D6*Assumptions!$C$23/1000000,0))))))))),0)</f>
        <v>0</v>
      </c>
      <c r="F786" s="10" t="n">
        <f aca="false">Nonlabor!$J$19*(1+Assumptions!$C$9)^INT((C786-1)/12)</f>
        <v>12000</v>
      </c>
      <c r="G786" s="10" t="n">
        <f aca="false">E786*F786</f>
        <v>0</v>
      </c>
      <c r="H786" s="10" t="n">
        <f aca="false">IF(OR(Nonlabor!$L$19="Quote required",Nonlabor!$L$19="Unverified"),G786,0)</f>
        <v>0</v>
      </c>
      <c r="I786" s="10" t="n">
        <f aca="false">IF(Nonlabor!$E$19="Core",0,G786)</f>
        <v>0</v>
      </c>
      <c r="J786" s="23" t="str">
        <f aca="false">Nonlabor!$B$19</f>
        <v>INSURANCE</v>
      </c>
    </row>
    <row r="787" customFormat="false" ht="15" hidden="false" customHeight="false" outlineLevel="0" collapsed="false">
      <c r="A787" s="6" t="s">
        <v>72</v>
      </c>
      <c r="B787" s="6" t="s">
        <v>49</v>
      </c>
      <c r="C787" s="6" t="n">
        <v>2</v>
      </c>
      <c r="D787" s="25" t="n">
        <f aca="false">EDATE('Start Here'!$B$6,C787-1)</f>
        <v>46357</v>
      </c>
      <c r="E787" s="23" t="n">
        <f aca="false">IF(AND(OR(Nonlabor!$D$19="Both",Nonlabor!$D$19='Start Here'!$B$9),IF(Nonlabor!$E$19="Core",1,IF(Nonlabor!$E$19="AI",'Start Here'!$B$7,'Start Here'!$B$8))=1,C787&gt;=IF(Nonlabor!$E$19="Core",Nonlabor!$F$19,MAX(Nonlabor!$F$19,IF(Nonlabor!$E$19="AI",Assumptions!$C$24,Assumptions!$C$25))),C787&lt;=Nonlabor!$G$19,OR(Nonlabor!$H$19="Monthly",AND(Nonlabor!$H$19="Once",C787=IF(Nonlabor!$E$19="Core",Nonlabor!$F$19,MAX(Nonlabor!$F$19,IF(Nonlabor!$E$19="AI",Assumptions!$C$24,Assumptions!$C$25)))),AND(Nonlabor!$H$19="Annual",MOD(C787-IF(Nonlabor!$E$19="Core",Nonlabor!$F$19,MAX(Nonlabor!$F$19,IF(Nonlabor!$E$19="AI",Assumptions!$C$24,Assumptions!$C$25))),12)=0))),IF(Nonlabor!$I$19="Fixed",1,IF(Nonlabor!$I$19="Seats",ROUNDUP('Monthly Lean'!I7,0),IF(Nonlabor!$I$19="Customers",'Monthly Lean'!D7,IF(Nonlabor!$I$19="NewCustomers",'Monthly Lean'!C7,IF(Nonlabor!$I$19="StorageGB",'Monthly Lean'!G7,IF(Nonlabor!$I$19="LogGB",'Monthly Lean'!H7,IF(Nonlabor!$I$19="RequestsM",'Monthly Lean'!F7,IF(Nonlabor!$I$19="InputM",'Monthly Lean'!D7*Assumptions!$C$22/1000000,IF(Nonlabor!$I$19="OutputM",'Monthly Lean'!D7*Assumptions!$C$23/1000000,0))))))))),0)</f>
        <v>0</v>
      </c>
      <c r="F787" s="10" t="n">
        <f aca="false">Nonlabor!$J$19*(1+Assumptions!$C$9)^INT((C787-1)/12)</f>
        <v>12000</v>
      </c>
      <c r="G787" s="10" t="n">
        <f aca="false">E787*F787</f>
        <v>0</v>
      </c>
      <c r="H787" s="10" t="n">
        <f aca="false">IF(OR(Nonlabor!$L$19="Quote required",Nonlabor!$L$19="Unverified"),G787,0)</f>
        <v>0</v>
      </c>
      <c r="I787" s="10" t="n">
        <f aca="false">IF(Nonlabor!$E$19="Core",0,G787)</f>
        <v>0</v>
      </c>
      <c r="J787" s="23" t="str">
        <f aca="false">Nonlabor!$B$19</f>
        <v>INSURANCE</v>
      </c>
    </row>
    <row r="788" customFormat="false" ht="15" hidden="false" customHeight="false" outlineLevel="0" collapsed="false">
      <c r="A788" s="6" t="s">
        <v>72</v>
      </c>
      <c r="B788" s="6" t="s">
        <v>49</v>
      </c>
      <c r="C788" s="6" t="n">
        <v>3</v>
      </c>
      <c r="D788" s="25" t="n">
        <f aca="false">EDATE('Start Here'!$B$6,C788-1)</f>
        <v>46388</v>
      </c>
      <c r="E788" s="23" t="n">
        <f aca="false">IF(AND(OR(Nonlabor!$D$19="Both",Nonlabor!$D$19='Start Here'!$B$9),IF(Nonlabor!$E$19="Core",1,IF(Nonlabor!$E$19="AI",'Start Here'!$B$7,'Start Here'!$B$8))=1,C788&gt;=IF(Nonlabor!$E$19="Core",Nonlabor!$F$19,MAX(Nonlabor!$F$19,IF(Nonlabor!$E$19="AI",Assumptions!$C$24,Assumptions!$C$25))),C788&lt;=Nonlabor!$G$19,OR(Nonlabor!$H$19="Monthly",AND(Nonlabor!$H$19="Once",C788=IF(Nonlabor!$E$19="Core",Nonlabor!$F$19,MAX(Nonlabor!$F$19,IF(Nonlabor!$E$19="AI",Assumptions!$C$24,Assumptions!$C$25)))),AND(Nonlabor!$H$19="Annual",MOD(C788-IF(Nonlabor!$E$19="Core",Nonlabor!$F$19,MAX(Nonlabor!$F$19,IF(Nonlabor!$E$19="AI",Assumptions!$C$24,Assumptions!$C$25))),12)=0))),IF(Nonlabor!$I$19="Fixed",1,IF(Nonlabor!$I$19="Seats",ROUNDUP('Monthly Lean'!I8,0),IF(Nonlabor!$I$19="Customers",'Monthly Lean'!D8,IF(Nonlabor!$I$19="NewCustomers",'Monthly Lean'!C8,IF(Nonlabor!$I$19="StorageGB",'Monthly Lean'!G8,IF(Nonlabor!$I$19="LogGB",'Monthly Lean'!H8,IF(Nonlabor!$I$19="RequestsM",'Monthly Lean'!F8,IF(Nonlabor!$I$19="InputM",'Monthly Lean'!D8*Assumptions!$C$22/1000000,IF(Nonlabor!$I$19="OutputM",'Monthly Lean'!D8*Assumptions!$C$23/1000000,0))))))))),0)</f>
        <v>0</v>
      </c>
      <c r="F788" s="10" t="n">
        <f aca="false">Nonlabor!$J$19*(1+Assumptions!$C$9)^INT((C788-1)/12)</f>
        <v>12000</v>
      </c>
      <c r="G788" s="10" t="n">
        <f aca="false">E788*F788</f>
        <v>0</v>
      </c>
      <c r="H788" s="10" t="n">
        <f aca="false">IF(OR(Nonlabor!$L$19="Quote required",Nonlabor!$L$19="Unverified"),G788,0)</f>
        <v>0</v>
      </c>
      <c r="I788" s="10" t="n">
        <f aca="false">IF(Nonlabor!$E$19="Core",0,G788)</f>
        <v>0</v>
      </c>
      <c r="J788" s="23" t="str">
        <f aca="false">Nonlabor!$B$19</f>
        <v>INSURANCE</v>
      </c>
    </row>
    <row r="789" customFormat="false" ht="15" hidden="false" customHeight="false" outlineLevel="0" collapsed="false">
      <c r="A789" s="6" t="s">
        <v>72</v>
      </c>
      <c r="B789" s="6" t="s">
        <v>49</v>
      </c>
      <c r="C789" s="6" t="n">
        <v>4</v>
      </c>
      <c r="D789" s="25" t="n">
        <f aca="false">EDATE('Start Here'!$B$6,C789-1)</f>
        <v>46419</v>
      </c>
      <c r="E789" s="23" t="n">
        <f aca="false">IF(AND(OR(Nonlabor!$D$19="Both",Nonlabor!$D$19='Start Here'!$B$9),IF(Nonlabor!$E$19="Core",1,IF(Nonlabor!$E$19="AI",'Start Here'!$B$7,'Start Here'!$B$8))=1,C789&gt;=IF(Nonlabor!$E$19="Core",Nonlabor!$F$19,MAX(Nonlabor!$F$19,IF(Nonlabor!$E$19="AI",Assumptions!$C$24,Assumptions!$C$25))),C789&lt;=Nonlabor!$G$19,OR(Nonlabor!$H$19="Monthly",AND(Nonlabor!$H$19="Once",C789=IF(Nonlabor!$E$19="Core",Nonlabor!$F$19,MAX(Nonlabor!$F$19,IF(Nonlabor!$E$19="AI",Assumptions!$C$24,Assumptions!$C$25)))),AND(Nonlabor!$H$19="Annual",MOD(C789-IF(Nonlabor!$E$19="Core",Nonlabor!$F$19,MAX(Nonlabor!$F$19,IF(Nonlabor!$E$19="AI",Assumptions!$C$24,Assumptions!$C$25))),12)=0))),IF(Nonlabor!$I$19="Fixed",1,IF(Nonlabor!$I$19="Seats",ROUNDUP('Monthly Lean'!I9,0),IF(Nonlabor!$I$19="Customers",'Monthly Lean'!D9,IF(Nonlabor!$I$19="NewCustomers",'Monthly Lean'!C9,IF(Nonlabor!$I$19="StorageGB",'Monthly Lean'!G9,IF(Nonlabor!$I$19="LogGB",'Monthly Lean'!H9,IF(Nonlabor!$I$19="RequestsM",'Monthly Lean'!F9,IF(Nonlabor!$I$19="InputM",'Monthly Lean'!D9*Assumptions!$C$22/1000000,IF(Nonlabor!$I$19="OutputM",'Monthly Lean'!D9*Assumptions!$C$23/1000000,0))))))))),0)</f>
        <v>0</v>
      </c>
      <c r="F789" s="10" t="n">
        <f aca="false">Nonlabor!$J$19*(1+Assumptions!$C$9)^INT((C789-1)/12)</f>
        <v>12000</v>
      </c>
      <c r="G789" s="10" t="n">
        <f aca="false">E789*F789</f>
        <v>0</v>
      </c>
      <c r="H789" s="10" t="n">
        <f aca="false">IF(OR(Nonlabor!$L$19="Quote required",Nonlabor!$L$19="Unverified"),G789,0)</f>
        <v>0</v>
      </c>
      <c r="I789" s="10" t="n">
        <f aca="false">IF(Nonlabor!$E$19="Core",0,G789)</f>
        <v>0</v>
      </c>
      <c r="J789" s="23" t="str">
        <f aca="false">Nonlabor!$B$19</f>
        <v>INSURANCE</v>
      </c>
    </row>
    <row r="790" customFormat="false" ht="15" hidden="false" customHeight="false" outlineLevel="0" collapsed="false">
      <c r="A790" s="6" t="s">
        <v>72</v>
      </c>
      <c r="B790" s="6" t="s">
        <v>49</v>
      </c>
      <c r="C790" s="6" t="n">
        <v>5</v>
      </c>
      <c r="D790" s="25" t="n">
        <f aca="false">EDATE('Start Here'!$B$6,C790-1)</f>
        <v>46447</v>
      </c>
      <c r="E790" s="23" t="n">
        <f aca="false">IF(AND(OR(Nonlabor!$D$19="Both",Nonlabor!$D$19='Start Here'!$B$9),IF(Nonlabor!$E$19="Core",1,IF(Nonlabor!$E$19="AI",'Start Here'!$B$7,'Start Here'!$B$8))=1,C790&gt;=IF(Nonlabor!$E$19="Core",Nonlabor!$F$19,MAX(Nonlabor!$F$19,IF(Nonlabor!$E$19="AI",Assumptions!$C$24,Assumptions!$C$25))),C790&lt;=Nonlabor!$G$19,OR(Nonlabor!$H$19="Monthly",AND(Nonlabor!$H$19="Once",C790=IF(Nonlabor!$E$19="Core",Nonlabor!$F$19,MAX(Nonlabor!$F$19,IF(Nonlabor!$E$19="AI",Assumptions!$C$24,Assumptions!$C$25)))),AND(Nonlabor!$H$19="Annual",MOD(C790-IF(Nonlabor!$E$19="Core",Nonlabor!$F$19,MAX(Nonlabor!$F$19,IF(Nonlabor!$E$19="AI",Assumptions!$C$24,Assumptions!$C$25))),12)=0))),IF(Nonlabor!$I$19="Fixed",1,IF(Nonlabor!$I$19="Seats",ROUNDUP('Monthly Lean'!I10,0),IF(Nonlabor!$I$19="Customers",'Monthly Lean'!D10,IF(Nonlabor!$I$19="NewCustomers",'Monthly Lean'!C10,IF(Nonlabor!$I$19="StorageGB",'Monthly Lean'!G10,IF(Nonlabor!$I$19="LogGB",'Monthly Lean'!H10,IF(Nonlabor!$I$19="RequestsM",'Monthly Lean'!F10,IF(Nonlabor!$I$19="InputM",'Monthly Lean'!D10*Assumptions!$C$22/1000000,IF(Nonlabor!$I$19="OutputM",'Monthly Lean'!D10*Assumptions!$C$23/1000000,0))))))))),0)</f>
        <v>0</v>
      </c>
      <c r="F790" s="10" t="n">
        <f aca="false">Nonlabor!$J$19*(1+Assumptions!$C$9)^INT((C790-1)/12)</f>
        <v>12000</v>
      </c>
      <c r="G790" s="10" t="n">
        <f aca="false">E790*F790</f>
        <v>0</v>
      </c>
      <c r="H790" s="10" t="n">
        <f aca="false">IF(OR(Nonlabor!$L$19="Quote required",Nonlabor!$L$19="Unverified"),G790,0)</f>
        <v>0</v>
      </c>
      <c r="I790" s="10" t="n">
        <f aca="false">IF(Nonlabor!$E$19="Core",0,G790)</f>
        <v>0</v>
      </c>
      <c r="J790" s="23" t="str">
        <f aca="false">Nonlabor!$B$19</f>
        <v>INSURANCE</v>
      </c>
    </row>
    <row r="791" customFormat="false" ht="15" hidden="false" customHeight="false" outlineLevel="0" collapsed="false">
      <c r="A791" s="6" t="s">
        <v>72</v>
      </c>
      <c r="B791" s="6" t="s">
        <v>49</v>
      </c>
      <c r="C791" s="6" t="n">
        <v>6</v>
      </c>
      <c r="D791" s="25" t="n">
        <f aca="false">EDATE('Start Here'!$B$6,C791-1)</f>
        <v>46478</v>
      </c>
      <c r="E791" s="23" t="n">
        <f aca="false">IF(AND(OR(Nonlabor!$D$19="Both",Nonlabor!$D$19='Start Here'!$B$9),IF(Nonlabor!$E$19="Core",1,IF(Nonlabor!$E$19="AI",'Start Here'!$B$7,'Start Here'!$B$8))=1,C791&gt;=IF(Nonlabor!$E$19="Core",Nonlabor!$F$19,MAX(Nonlabor!$F$19,IF(Nonlabor!$E$19="AI",Assumptions!$C$24,Assumptions!$C$25))),C791&lt;=Nonlabor!$G$19,OR(Nonlabor!$H$19="Monthly",AND(Nonlabor!$H$19="Once",C791=IF(Nonlabor!$E$19="Core",Nonlabor!$F$19,MAX(Nonlabor!$F$19,IF(Nonlabor!$E$19="AI",Assumptions!$C$24,Assumptions!$C$25)))),AND(Nonlabor!$H$19="Annual",MOD(C791-IF(Nonlabor!$E$19="Core",Nonlabor!$F$19,MAX(Nonlabor!$F$19,IF(Nonlabor!$E$19="AI",Assumptions!$C$24,Assumptions!$C$25))),12)=0))),IF(Nonlabor!$I$19="Fixed",1,IF(Nonlabor!$I$19="Seats",ROUNDUP('Monthly Lean'!I11,0),IF(Nonlabor!$I$19="Customers",'Monthly Lean'!D11,IF(Nonlabor!$I$19="NewCustomers",'Monthly Lean'!C11,IF(Nonlabor!$I$19="StorageGB",'Monthly Lean'!G11,IF(Nonlabor!$I$19="LogGB",'Monthly Lean'!H11,IF(Nonlabor!$I$19="RequestsM",'Monthly Lean'!F11,IF(Nonlabor!$I$19="InputM",'Monthly Lean'!D11*Assumptions!$C$22/1000000,IF(Nonlabor!$I$19="OutputM",'Monthly Lean'!D11*Assumptions!$C$23/1000000,0))))))))),0)</f>
        <v>0</v>
      </c>
      <c r="F791" s="10" t="n">
        <f aca="false">Nonlabor!$J$19*(1+Assumptions!$C$9)^INT((C791-1)/12)</f>
        <v>12000</v>
      </c>
      <c r="G791" s="10" t="n">
        <f aca="false">E791*F791</f>
        <v>0</v>
      </c>
      <c r="H791" s="10" t="n">
        <f aca="false">IF(OR(Nonlabor!$L$19="Quote required",Nonlabor!$L$19="Unverified"),G791,0)</f>
        <v>0</v>
      </c>
      <c r="I791" s="10" t="n">
        <f aca="false">IF(Nonlabor!$E$19="Core",0,G791)</f>
        <v>0</v>
      </c>
      <c r="J791" s="23" t="str">
        <f aca="false">Nonlabor!$B$19</f>
        <v>INSURANCE</v>
      </c>
    </row>
    <row r="792" customFormat="false" ht="15" hidden="false" customHeight="false" outlineLevel="0" collapsed="false">
      <c r="A792" s="6" t="s">
        <v>72</v>
      </c>
      <c r="B792" s="6" t="s">
        <v>49</v>
      </c>
      <c r="C792" s="6" t="n">
        <v>7</v>
      </c>
      <c r="D792" s="25" t="n">
        <f aca="false">EDATE('Start Here'!$B$6,C792-1)</f>
        <v>46508</v>
      </c>
      <c r="E792" s="23" t="n">
        <f aca="false">IF(AND(OR(Nonlabor!$D$19="Both",Nonlabor!$D$19='Start Here'!$B$9),IF(Nonlabor!$E$19="Core",1,IF(Nonlabor!$E$19="AI",'Start Here'!$B$7,'Start Here'!$B$8))=1,C792&gt;=IF(Nonlabor!$E$19="Core",Nonlabor!$F$19,MAX(Nonlabor!$F$19,IF(Nonlabor!$E$19="AI",Assumptions!$C$24,Assumptions!$C$25))),C792&lt;=Nonlabor!$G$19,OR(Nonlabor!$H$19="Monthly",AND(Nonlabor!$H$19="Once",C792=IF(Nonlabor!$E$19="Core",Nonlabor!$F$19,MAX(Nonlabor!$F$19,IF(Nonlabor!$E$19="AI",Assumptions!$C$24,Assumptions!$C$25)))),AND(Nonlabor!$H$19="Annual",MOD(C792-IF(Nonlabor!$E$19="Core",Nonlabor!$F$19,MAX(Nonlabor!$F$19,IF(Nonlabor!$E$19="AI",Assumptions!$C$24,Assumptions!$C$25))),12)=0))),IF(Nonlabor!$I$19="Fixed",1,IF(Nonlabor!$I$19="Seats",ROUNDUP('Monthly Lean'!I12,0),IF(Nonlabor!$I$19="Customers",'Monthly Lean'!D12,IF(Nonlabor!$I$19="NewCustomers",'Monthly Lean'!C12,IF(Nonlabor!$I$19="StorageGB",'Monthly Lean'!G12,IF(Nonlabor!$I$19="LogGB",'Monthly Lean'!H12,IF(Nonlabor!$I$19="RequestsM",'Monthly Lean'!F12,IF(Nonlabor!$I$19="InputM",'Monthly Lean'!D12*Assumptions!$C$22/1000000,IF(Nonlabor!$I$19="OutputM",'Monthly Lean'!D12*Assumptions!$C$23/1000000,0))))))))),0)</f>
        <v>0</v>
      </c>
      <c r="F792" s="10" t="n">
        <f aca="false">Nonlabor!$J$19*(1+Assumptions!$C$9)^INT((C792-1)/12)</f>
        <v>12000</v>
      </c>
      <c r="G792" s="10" t="n">
        <f aca="false">E792*F792</f>
        <v>0</v>
      </c>
      <c r="H792" s="10" t="n">
        <f aca="false">IF(OR(Nonlabor!$L$19="Quote required",Nonlabor!$L$19="Unverified"),G792,0)</f>
        <v>0</v>
      </c>
      <c r="I792" s="10" t="n">
        <f aca="false">IF(Nonlabor!$E$19="Core",0,G792)</f>
        <v>0</v>
      </c>
      <c r="J792" s="23" t="str">
        <f aca="false">Nonlabor!$B$19</f>
        <v>INSURANCE</v>
      </c>
    </row>
    <row r="793" customFormat="false" ht="15" hidden="false" customHeight="false" outlineLevel="0" collapsed="false">
      <c r="A793" s="6" t="s">
        <v>72</v>
      </c>
      <c r="B793" s="6" t="s">
        <v>49</v>
      </c>
      <c r="C793" s="6" t="n">
        <v>8</v>
      </c>
      <c r="D793" s="25" t="n">
        <f aca="false">EDATE('Start Here'!$B$6,C793-1)</f>
        <v>46539</v>
      </c>
      <c r="E793" s="23" t="n">
        <f aca="false">IF(AND(OR(Nonlabor!$D$19="Both",Nonlabor!$D$19='Start Here'!$B$9),IF(Nonlabor!$E$19="Core",1,IF(Nonlabor!$E$19="AI",'Start Here'!$B$7,'Start Here'!$B$8))=1,C793&gt;=IF(Nonlabor!$E$19="Core",Nonlabor!$F$19,MAX(Nonlabor!$F$19,IF(Nonlabor!$E$19="AI",Assumptions!$C$24,Assumptions!$C$25))),C793&lt;=Nonlabor!$G$19,OR(Nonlabor!$H$19="Monthly",AND(Nonlabor!$H$19="Once",C793=IF(Nonlabor!$E$19="Core",Nonlabor!$F$19,MAX(Nonlabor!$F$19,IF(Nonlabor!$E$19="AI",Assumptions!$C$24,Assumptions!$C$25)))),AND(Nonlabor!$H$19="Annual",MOD(C793-IF(Nonlabor!$E$19="Core",Nonlabor!$F$19,MAX(Nonlabor!$F$19,IF(Nonlabor!$E$19="AI",Assumptions!$C$24,Assumptions!$C$25))),12)=0))),IF(Nonlabor!$I$19="Fixed",1,IF(Nonlabor!$I$19="Seats",ROUNDUP('Monthly Lean'!I13,0),IF(Nonlabor!$I$19="Customers",'Monthly Lean'!D13,IF(Nonlabor!$I$19="NewCustomers",'Monthly Lean'!C13,IF(Nonlabor!$I$19="StorageGB",'Monthly Lean'!G13,IF(Nonlabor!$I$19="LogGB",'Monthly Lean'!H13,IF(Nonlabor!$I$19="RequestsM",'Monthly Lean'!F13,IF(Nonlabor!$I$19="InputM",'Monthly Lean'!D13*Assumptions!$C$22/1000000,IF(Nonlabor!$I$19="OutputM",'Monthly Lean'!D13*Assumptions!$C$23/1000000,0))))))))),0)</f>
        <v>0</v>
      </c>
      <c r="F793" s="10" t="n">
        <f aca="false">Nonlabor!$J$19*(1+Assumptions!$C$9)^INT((C793-1)/12)</f>
        <v>12000</v>
      </c>
      <c r="G793" s="10" t="n">
        <f aca="false">E793*F793</f>
        <v>0</v>
      </c>
      <c r="H793" s="10" t="n">
        <f aca="false">IF(OR(Nonlabor!$L$19="Quote required",Nonlabor!$L$19="Unverified"),G793,0)</f>
        <v>0</v>
      </c>
      <c r="I793" s="10" t="n">
        <f aca="false">IF(Nonlabor!$E$19="Core",0,G793)</f>
        <v>0</v>
      </c>
      <c r="J793" s="23" t="str">
        <f aca="false">Nonlabor!$B$19</f>
        <v>INSURANCE</v>
      </c>
    </row>
    <row r="794" customFormat="false" ht="15" hidden="false" customHeight="false" outlineLevel="0" collapsed="false">
      <c r="A794" s="6" t="s">
        <v>72</v>
      </c>
      <c r="B794" s="6" t="s">
        <v>49</v>
      </c>
      <c r="C794" s="6" t="n">
        <v>9</v>
      </c>
      <c r="D794" s="25" t="n">
        <f aca="false">EDATE('Start Here'!$B$6,C794-1)</f>
        <v>46569</v>
      </c>
      <c r="E794" s="23" t="n">
        <f aca="false">IF(AND(OR(Nonlabor!$D$19="Both",Nonlabor!$D$19='Start Here'!$B$9),IF(Nonlabor!$E$19="Core",1,IF(Nonlabor!$E$19="AI",'Start Here'!$B$7,'Start Here'!$B$8))=1,C794&gt;=IF(Nonlabor!$E$19="Core",Nonlabor!$F$19,MAX(Nonlabor!$F$19,IF(Nonlabor!$E$19="AI",Assumptions!$C$24,Assumptions!$C$25))),C794&lt;=Nonlabor!$G$19,OR(Nonlabor!$H$19="Monthly",AND(Nonlabor!$H$19="Once",C794=IF(Nonlabor!$E$19="Core",Nonlabor!$F$19,MAX(Nonlabor!$F$19,IF(Nonlabor!$E$19="AI",Assumptions!$C$24,Assumptions!$C$25)))),AND(Nonlabor!$H$19="Annual",MOD(C794-IF(Nonlabor!$E$19="Core",Nonlabor!$F$19,MAX(Nonlabor!$F$19,IF(Nonlabor!$E$19="AI",Assumptions!$C$24,Assumptions!$C$25))),12)=0))),IF(Nonlabor!$I$19="Fixed",1,IF(Nonlabor!$I$19="Seats",ROUNDUP('Monthly Lean'!I14,0),IF(Nonlabor!$I$19="Customers",'Monthly Lean'!D14,IF(Nonlabor!$I$19="NewCustomers",'Monthly Lean'!C14,IF(Nonlabor!$I$19="StorageGB",'Monthly Lean'!G14,IF(Nonlabor!$I$19="LogGB",'Monthly Lean'!H14,IF(Nonlabor!$I$19="RequestsM",'Monthly Lean'!F14,IF(Nonlabor!$I$19="InputM",'Monthly Lean'!D14*Assumptions!$C$22/1000000,IF(Nonlabor!$I$19="OutputM",'Monthly Lean'!D14*Assumptions!$C$23/1000000,0))))))))),0)</f>
        <v>1</v>
      </c>
      <c r="F794" s="10" t="n">
        <f aca="false">Nonlabor!$J$19*(1+Assumptions!$C$9)^INT((C794-1)/12)</f>
        <v>12000</v>
      </c>
      <c r="G794" s="10" t="n">
        <f aca="false">E794*F794</f>
        <v>12000</v>
      </c>
      <c r="H794" s="10" t="n">
        <f aca="false">IF(OR(Nonlabor!$L$19="Quote required",Nonlabor!$L$19="Unverified"),G794,0)</f>
        <v>12000</v>
      </c>
      <c r="I794" s="10" t="n">
        <f aca="false">IF(Nonlabor!$E$19="Core",0,G794)</f>
        <v>0</v>
      </c>
      <c r="J794" s="23" t="str">
        <f aca="false">Nonlabor!$B$19</f>
        <v>INSURANCE</v>
      </c>
    </row>
    <row r="795" customFormat="false" ht="15" hidden="false" customHeight="false" outlineLevel="0" collapsed="false">
      <c r="A795" s="6" t="s">
        <v>72</v>
      </c>
      <c r="B795" s="6" t="s">
        <v>49</v>
      </c>
      <c r="C795" s="6" t="n">
        <v>10</v>
      </c>
      <c r="D795" s="25" t="n">
        <f aca="false">EDATE('Start Here'!$B$6,C795-1)</f>
        <v>46600</v>
      </c>
      <c r="E795" s="23" t="n">
        <f aca="false">IF(AND(OR(Nonlabor!$D$19="Both",Nonlabor!$D$19='Start Here'!$B$9),IF(Nonlabor!$E$19="Core",1,IF(Nonlabor!$E$19="AI",'Start Here'!$B$7,'Start Here'!$B$8))=1,C795&gt;=IF(Nonlabor!$E$19="Core",Nonlabor!$F$19,MAX(Nonlabor!$F$19,IF(Nonlabor!$E$19="AI",Assumptions!$C$24,Assumptions!$C$25))),C795&lt;=Nonlabor!$G$19,OR(Nonlabor!$H$19="Monthly",AND(Nonlabor!$H$19="Once",C795=IF(Nonlabor!$E$19="Core",Nonlabor!$F$19,MAX(Nonlabor!$F$19,IF(Nonlabor!$E$19="AI",Assumptions!$C$24,Assumptions!$C$25)))),AND(Nonlabor!$H$19="Annual",MOD(C795-IF(Nonlabor!$E$19="Core",Nonlabor!$F$19,MAX(Nonlabor!$F$19,IF(Nonlabor!$E$19="AI",Assumptions!$C$24,Assumptions!$C$25))),12)=0))),IF(Nonlabor!$I$19="Fixed",1,IF(Nonlabor!$I$19="Seats",ROUNDUP('Monthly Lean'!I15,0),IF(Nonlabor!$I$19="Customers",'Monthly Lean'!D15,IF(Nonlabor!$I$19="NewCustomers",'Monthly Lean'!C15,IF(Nonlabor!$I$19="StorageGB",'Monthly Lean'!G15,IF(Nonlabor!$I$19="LogGB",'Monthly Lean'!H15,IF(Nonlabor!$I$19="RequestsM",'Monthly Lean'!F15,IF(Nonlabor!$I$19="InputM",'Monthly Lean'!D15*Assumptions!$C$22/1000000,IF(Nonlabor!$I$19="OutputM",'Monthly Lean'!D15*Assumptions!$C$23/1000000,0))))))))),0)</f>
        <v>0</v>
      </c>
      <c r="F795" s="10" t="n">
        <f aca="false">Nonlabor!$J$19*(1+Assumptions!$C$9)^INT((C795-1)/12)</f>
        <v>12000</v>
      </c>
      <c r="G795" s="10" t="n">
        <f aca="false">E795*F795</f>
        <v>0</v>
      </c>
      <c r="H795" s="10" t="n">
        <f aca="false">IF(OR(Nonlabor!$L$19="Quote required",Nonlabor!$L$19="Unverified"),G795,0)</f>
        <v>0</v>
      </c>
      <c r="I795" s="10" t="n">
        <f aca="false">IF(Nonlabor!$E$19="Core",0,G795)</f>
        <v>0</v>
      </c>
      <c r="J795" s="23" t="str">
        <f aca="false">Nonlabor!$B$19</f>
        <v>INSURANCE</v>
      </c>
    </row>
    <row r="796" customFormat="false" ht="15" hidden="false" customHeight="false" outlineLevel="0" collapsed="false">
      <c r="A796" s="6" t="s">
        <v>72</v>
      </c>
      <c r="B796" s="6" t="s">
        <v>49</v>
      </c>
      <c r="C796" s="6" t="n">
        <v>11</v>
      </c>
      <c r="D796" s="25" t="n">
        <f aca="false">EDATE('Start Here'!$B$6,C796-1)</f>
        <v>46631</v>
      </c>
      <c r="E796" s="23" t="n">
        <f aca="false">IF(AND(OR(Nonlabor!$D$19="Both",Nonlabor!$D$19='Start Here'!$B$9),IF(Nonlabor!$E$19="Core",1,IF(Nonlabor!$E$19="AI",'Start Here'!$B$7,'Start Here'!$B$8))=1,C796&gt;=IF(Nonlabor!$E$19="Core",Nonlabor!$F$19,MAX(Nonlabor!$F$19,IF(Nonlabor!$E$19="AI",Assumptions!$C$24,Assumptions!$C$25))),C796&lt;=Nonlabor!$G$19,OR(Nonlabor!$H$19="Monthly",AND(Nonlabor!$H$19="Once",C796=IF(Nonlabor!$E$19="Core",Nonlabor!$F$19,MAX(Nonlabor!$F$19,IF(Nonlabor!$E$19="AI",Assumptions!$C$24,Assumptions!$C$25)))),AND(Nonlabor!$H$19="Annual",MOD(C796-IF(Nonlabor!$E$19="Core",Nonlabor!$F$19,MAX(Nonlabor!$F$19,IF(Nonlabor!$E$19="AI",Assumptions!$C$24,Assumptions!$C$25))),12)=0))),IF(Nonlabor!$I$19="Fixed",1,IF(Nonlabor!$I$19="Seats",ROUNDUP('Monthly Lean'!I16,0),IF(Nonlabor!$I$19="Customers",'Monthly Lean'!D16,IF(Nonlabor!$I$19="NewCustomers",'Monthly Lean'!C16,IF(Nonlabor!$I$19="StorageGB",'Monthly Lean'!G16,IF(Nonlabor!$I$19="LogGB",'Monthly Lean'!H16,IF(Nonlabor!$I$19="RequestsM",'Monthly Lean'!F16,IF(Nonlabor!$I$19="InputM",'Monthly Lean'!D16*Assumptions!$C$22/1000000,IF(Nonlabor!$I$19="OutputM",'Monthly Lean'!D16*Assumptions!$C$23/1000000,0))))))))),0)</f>
        <v>0</v>
      </c>
      <c r="F796" s="10" t="n">
        <f aca="false">Nonlabor!$J$19*(1+Assumptions!$C$9)^INT((C796-1)/12)</f>
        <v>12000</v>
      </c>
      <c r="G796" s="10" t="n">
        <f aca="false">E796*F796</f>
        <v>0</v>
      </c>
      <c r="H796" s="10" t="n">
        <f aca="false">IF(OR(Nonlabor!$L$19="Quote required",Nonlabor!$L$19="Unverified"),G796,0)</f>
        <v>0</v>
      </c>
      <c r="I796" s="10" t="n">
        <f aca="false">IF(Nonlabor!$E$19="Core",0,G796)</f>
        <v>0</v>
      </c>
      <c r="J796" s="23" t="str">
        <f aca="false">Nonlabor!$B$19</f>
        <v>INSURANCE</v>
      </c>
    </row>
    <row r="797" customFormat="false" ht="15" hidden="false" customHeight="false" outlineLevel="0" collapsed="false">
      <c r="A797" s="6" t="s">
        <v>72</v>
      </c>
      <c r="B797" s="6" t="s">
        <v>49</v>
      </c>
      <c r="C797" s="6" t="n">
        <v>12</v>
      </c>
      <c r="D797" s="25" t="n">
        <f aca="false">EDATE('Start Here'!$B$6,C797-1)</f>
        <v>46661</v>
      </c>
      <c r="E797" s="23" t="n">
        <f aca="false">IF(AND(OR(Nonlabor!$D$19="Both",Nonlabor!$D$19='Start Here'!$B$9),IF(Nonlabor!$E$19="Core",1,IF(Nonlabor!$E$19="AI",'Start Here'!$B$7,'Start Here'!$B$8))=1,C797&gt;=IF(Nonlabor!$E$19="Core",Nonlabor!$F$19,MAX(Nonlabor!$F$19,IF(Nonlabor!$E$19="AI",Assumptions!$C$24,Assumptions!$C$25))),C797&lt;=Nonlabor!$G$19,OR(Nonlabor!$H$19="Monthly",AND(Nonlabor!$H$19="Once",C797=IF(Nonlabor!$E$19="Core",Nonlabor!$F$19,MAX(Nonlabor!$F$19,IF(Nonlabor!$E$19="AI",Assumptions!$C$24,Assumptions!$C$25)))),AND(Nonlabor!$H$19="Annual",MOD(C797-IF(Nonlabor!$E$19="Core",Nonlabor!$F$19,MAX(Nonlabor!$F$19,IF(Nonlabor!$E$19="AI",Assumptions!$C$24,Assumptions!$C$25))),12)=0))),IF(Nonlabor!$I$19="Fixed",1,IF(Nonlabor!$I$19="Seats",ROUNDUP('Monthly Lean'!I17,0),IF(Nonlabor!$I$19="Customers",'Monthly Lean'!D17,IF(Nonlabor!$I$19="NewCustomers",'Monthly Lean'!C17,IF(Nonlabor!$I$19="StorageGB",'Monthly Lean'!G17,IF(Nonlabor!$I$19="LogGB",'Monthly Lean'!H17,IF(Nonlabor!$I$19="RequestsM",'Monthly Lean'!F17,IF(Nonlabor!$I$19="InputM",'Monthly Lean'!D17*Assumptions!$C$22/1000000,IF(Nonlabor!$I$19="OutputM",'Monthly Lean'!D17*Assumptions!$C$23/1000000,0))))))))),0)</f>
        <v>0</v>
      </c>
      <c r="F797" s="10" t="n">
        <f aca="false">Nonlabor!$J$19*(1+Assumptions!$C$9)^INT((C797-1)/12)</f>
        <v>12000</v>
      </c>
      <c r="G797" s="10" t="n">
        <f aca="false">E797*F797</f>
        <v>0</v>
      </c>
      <c r="H797" s="10" t="n">
        <f aca="false">IF(OR(Nonlabor!$L$19="Quote required",Nonlabor!$L$19="Unverified"),G797,0)</f>
        <v>0</v>
      </c>
      <c r="I797" s="10" t="n">
        <f aca="false">IF(Nonlabor!$E$19="Core",0,G797)</f>
        <v>0</v>
      </c>
      <c r="J797" s="23" t="str">
        <f aca="false">Nonlabor!$B$19</f>
        <v>INSURANCE</v>
      </c>
    </row>
    <row r="798" customFormat="false" ht="15" hidden="false" customHeight="false" outlineLevel="0" collapsed="false">
      <c r="A798" s="6" t="s">
        <v>72</v>
      </c>
      <c r="B798" s="6" t="s">
        <v>49</v>
      </c>
      <c r="C798" s="6" t="n">
        <v>13</v>
      </c>
      <c r="D798" s="25" t="n">
        <f aca="false">EDATE('Start Here'!$B$6,C798-1)</f>
        <v>46692</v>
      </c>
      <c r="E798" s="23" t="n">
        <f aca="false">IF(AND(OR(Nonlabor!$D$19="Both",Nonlabor!$D$19='Start Here'!$B$9),IF(Nonlabor!$E$19="Core",1,IF(Nonlabor!$E$19="AI",'Start Here'!$B$7,'Start Here'!$B$8))=1,C798&gt;=IF(Nonlabor!$E$19="Core",Nonlabor!$F$19,MAX(Nonlabor!$F$19,IF(Nonlabor!$E$19="AI",Assumptions!$C$24,Assumptions!$C$25))),C798&lt;=Nonlabor!$G$19,OR(Nonlabor!$H$19="Monthly",AND(Nonlabor!$H$19="Once",C798=IF(Nonlabor!$E$19="Core",Nonlabor!$F$19,MAX(Nonlabor!$F$19,IF(Nonlabor!$E$19="AI",Assumptions!$C$24,Assumptions!$C$25)))),AND(Nonlabor!$H$19="Annual",MOD(C798-IF(Nonlabor!$E$19="Core",Nonlabor!$F$19,MAX(Nonlabor!$F$19,IF(Nonlabor!$E$19="AI",Assumptions!$C$24,Assumptions!$C$25))),12)=0))),IF(Nonlabor!$I$19="Fixed",1,IF(Nonlabor!$I$19="Seats",ROUNDUP('Monthly Lean'!I18,0),IF(Nonlabor!$I$19="Customers",'Monthly Lean'!D18,IF(Nonlabor!$I$19="NewCustomers",'Monthly Lean'!C18,IF(Nonlabor!$I$19="StorageGB",'Monthly Lean'!G18,IF(Nonlabor!$I$19="LogGB",'Monthly Lean'!H18,IF(Nonlabor!$I$19="RequestsM",'Monthly Lean'!F18,IF(Nonlabor!$I$19="InputM",'Monthly Lean'!D18*Assumptions!$C$22/1000000,IF(Nonlabor!$I$19="OutputM",'Monthly Lean'!D18*Assumptions!$C$23/1000000,0))))))))),0)</f>
        <v>0</v>
      </c>
      <c r="F798" s="10" t="n">
        <f aca="false">Nonlabor!$J$19*(1+Assumptions!$C$9)^INT((C798-1)/12)</f>
        <v>12360</v>
      </c>
      <c r="G798" s="10" t="n">
        <f aca="false">E798*F798</f>
        <v>0</v>
      </c>
      <c r="H798" s="10" t="n">
        <f aca="false">IF(OR(Nonlabor!$L$19="Quote required",Nonlabor!$L$19="Unverified"),G798,0)</f>
        <v>0</v>
      </c>
      <c r="I798" s="10" t="n">
        <f aca="false">IF(Nonlabor!$E$19="Core",0,G798)</f>
        <v>0</v>
      </c>
      <c r="J798" s="23" t="str">
        <f aca="false">Nonlabor!$B$19</f>
        <v>INSURANCE</v>
      </c>
    </row>
    <row r="799" customFormat="false" ht="15" hidden="false" customHeight="false" outlineLevel="0" collapsed="false">
      <c r="A799" s="6" t="s">
        <v>72</v>
      </c>
      <c r="B799" s="6" t="s">
        <v>49</v>
      </c>
      <c r="C799" s="6" t="n">
        <v>14</v>
      </c>
      <c r="D799" s="25" t="n">
        <f aca="false">EDATE('Start Here'!$B$6,C799-1)</f>
        <v>46722</v>
      </c>
      <c r="E799" s="23" t="n">
        <f aca="false">IF(AND(OR(Nonlabor!$D$19="Both",Nonlabor!$D$19='Start Here'!$B$9),IF(Nonlabor!$E$19="Core",1,IF(Nonlabor!$E$19="AI",'Start Here'!$B$7,'Start Here'!$B$8))=1,C799&gt;=IF(Nonlabor!$E$19="Core",Nonlabor!$F$19,MAX(Nonlabor!$F$19,IF(Nonlabor!$E$19="AI",Assumptions!$C$24,Assumptions!$C$25))),C799&lt;=Nonlabor!$G$19,OR(Nonlabor!$H$19="Monthly",AND(Nonlabor!$H$19="Once",C799=IF(Nonlabor!$E$19="Core",Nonlabor!$F$19,MAX(Nonlabor!$F$19,IF(Nonlabor!$E$19="AI",Assumptions!$C$24,Assumptions!$C$25)))),AND(Nonlabor!$H$19="Annual",MOD(C799-IF(Nonlabor!$E$19="Core",Nonlabor!$F$19,MAX(Nonlabor!$F$19,IF(Nonlabor!$E$19="AI",Assumptions!$C$24,Assumptions!$C$25))),12)=0))),IF(Nonlabor!$I$19="Fixed",1,IF(Nonlabor!$I$19="Seats",ROUNDUP('Monthly Lean'!I19,0),IF(Nonlabor!$I$19="Customers",'Monthly Lean'!D19,IF(Nonlabor!$I$19="NewCustomers",'Monthly Lean'!C19,IF(Nonlabor!$I$19="StorageGB",'Monthly Lean'!G19,IF(Nonlabor!$I$19="LogGB",'Monthly Lean'!H19,IF(Nonlabor!$I$19="RequestsM",'Monthly Lean'!F19,IF(Nonlabor!$I$19="InputM",'Monthly Lean'!D19*Assumptions!$C$22/1000000,IF(Nonlabor!$I$19="OutputM",'Monthly Lean'!D19*Assumptions!$C$23/1000000,0))))))))),0)</f>
        <v>0</v>
      </c>
      <c r="F799" s="10" t="n">
        <f aca="false">Nonlabor!$J$19*(1+Assumptions!$C$9)^INT((C799-1)/12)</f>
        <v>12360</v>
      </c>
      <c r="G799" s="10" t="n">
        <f aca="false">E799*F799</f>
        <v>0</v>
      </c>
      <c r="H799" s="10" t="n">
        <f aca="false">IF(OR(Nonlabor!$L$19="Quote required",Nonlabor!$L$19="Unverified"),G799,0)</f>
        <v>0</v>
      </c>
      <c r="I799" s="10" t="n">
        <f aca="false">IF(Nonlabor!$E$19="Core",0,G799)</f>
        <v>0</v>
      </c>
      <c r="J799" s="23" t="str">
        <f aca="false">Nonlabor!$B$19</f>
        <v>INSURANCE</v>
      </c>
    </row>
    <row r="800" customFormat="false" ht="15" hidden="false" customHeight="false" outlineLevel="0" collapsed="false">
      <c r="A800" s="6" t="s">
        <v>72</v>
      </c>
      <c r="B800" s="6" t="s">
        <v>49</v>
      </c>
      <c r="C800" s="6" t="n">
        <v>15</v>
      </c>
      <c r="D800" s="25" t="n">
        <f aca="false">EDATE('Start Here'!$B$6,C800-1)</f>
        <v>46753</v>
      </c>
      <c r="E800" s="23" t="n">
        <f aca="false">IF(AND(OR(Nonlabor!$D$19="Both",Nonlabor!$D$19='Start Here'!$B$9),IF(Nonlabor!$E$19="Core",1,IF(Nonlabor!$E$19="AI",'Start Here'!$B$7,'Start Here'!$B$8))=1,C800&gt;=IF(Nonlabor!$E$19="Core",Nonlabor!$F$19,MAX(Nonlabor!$F$19,IF(Nonlabor!$E$19="AI",Assumptions!$C$24,Assumptions!$C$25))),C800&lt;=Nonlabor!$G$19,OR(Nonlabor!$H$19="Monthly",AND(Nonlabor!$H$19="Once",C800=IF(Nonlabor!$E$19="Core",Nonlabor!$F$19,MAX(Nonlabor!$F$19,IF(Nonlabor!$E$19="AI",Assumptions!$C$24,Assumptions!$C$25)))),AND(Nonlabor!$H$19="Annual",MOD(C800-IF(Nonlabor!$E$19="Core",Nonlabor!$F$19,MAX(Nonlabor!$F$19,IF(Nonlabor!$E$19="AI",Assumptions!$C$24,Assumptions!$C$25))),12)=0))),IF(Nonlabor!$I$19="Fixed",1,IF(Nonlabor!$I$19="Seats",ROUNDUP('Monthly Lean'!I20,0),IF(Nonlabor!$I$19="Customers",'Monthly Lean'!D20,IF(Nonlabor!$I$19="NewCustomers",'Monthly Lean'!C20,IF(Nonlabor!$I$19="StorageGB",'Monthly Lean'!G20,IF(Nonlabor!$I$19="LogGB",'Monthly Lean'!H20,IF(Nonlabor!$I$19="RequestsM",'Monthly Lean'!F20,IF(Nonlabor!$I$19="InputM",'Monthly Lean'!D20*Assumptions!$C$22/1000000,IF(Nonlabor!$I$19="OutputM",'Monthly Lean'!D20*Assumptions!$C$23/1000000,0))))))))),0)</f>
        <v>0</v>
      </c>
      <c r="F800" s="10" t="n">
        <f aca="false">Nonlabor!$J$19*(1+Assumptions!$C$9)^INT((C800-1)/12)</f>
        <v>12360</v>
      </c>
      <c r="G800" s="10" t="n">
        <f aca="false">E800*F800</f>
        <v>0</v>
      </c>
      <c r="H800" s="10" t="n">
        <f aca="false">IF(OR(Nonlabor!$L$19="Quote required",Nonlabor!$L$19="Unverified"),G800,0)</f>
        <v>0</v>
      </c>
      <c r="I800" s="10" t="n">
        <f aca="false">IF(Nonlabor!$E$19="Core",0,G800)</f>
        <v>0</v>
      </c>
      <c r="J800" s="23" t="str">
        <f aca="false">Nonlabor!$B$19</f>
        <v>INSURANCE</v>
      </c>
    </row>
    <row r="801" customFormat="false" ht="15" hidden="false" customHeight="false" outlineLevel="0" collapsed="false">
      <c r="A801" s="6" t="s">
        <v>72</v>
      </c>
      <c r="B801" s="6" t="s">
        <v>49</v>
      </c>
      <c r="C801" s="6" t="n">
        <v>16</v>
      </c>
      <c r="D801" s="25" t="n">
        <f aca="false">EDATE('Start Here'!$B$6,C801-1)</f>
        <v>46784</v>
      </c>
      <c r="E801" s="23" t="n">
        <f aca="false">IF(AND(OR(Nonlabor!$D$19="Both",Nonlabor!$D$19='Start Here'!$B$9),IF(Nonlabor!$E$19="Core",1,IF(Nonlabor!$E$19="AI",'Start Here'!$B$7,'Start Here'!$B$8))=1,C801&gt;=IF(Nonlabor!$E$19="Core",Nonlabor!$F$19,MAX(Nonlabor!$F$19,IF(Nonlabor!$E$19="AI",Assumptions!$C$24,Assumptions!$C$25))),C801&lt;=Nonlabor!$G$19,OR(Nonlabor!$H$19="Monthly",AND(Nonlabor!$H$19="Once",C801=IF(Nonlabor!$E$19="Core",Nonlabor!$F$19,MAX(Nonlabor!$F$19,IF(Nonlabor!$E$19="AI",Assumptions!$C$24,Assumptions!$C$25)))),AND(Nonlabor!$H$19="Annual",MOD(C801-IF(Nonlabor!$E$19="Core",Nonlabor!$F$19,MAX(Nonlabor!$F$19,IF(Nonlabor!$E$19="AI",Assumptions!$C$24,Assumptions!$C$25))),12)=0))),IF(Nonlabor!$I$19="Fixed",1,IF(Nonlabor!$I$19="Seats",ROUNDUP('Monthly Lean'!I21,0),IF(Nonlabor!$I$19="Customers",'Monthly Lean'!D21,IF(Nonlabor!$I$19="NewCustomers",'Monthly Lean'!C21,IF(Nonlabor!$I$19="StorageGB",'Monthly Lean'!G21,IF(Nonlabor!$I$19="LogGB",'Monthly Lean'!H21,IF(Nonlabor!$I$19="RequestsM",'Monthly Lean'!F21,IF(Nonlabor!$I$19="InputM",'Monthly Lean'!D21*Assumptions!$C$22/1000000,IF(Nonlabor!$I$19="OutputM",'Monthly Lean'!D21*Assumptions!$C$23/1000000,0))))))))),0)</f>
        <v>0</v>
      </c>
      <c r="F801" s="10" t="n">
        <f aca="false">Nonlabor!$J$19*(1+Assumptions!$C$9)^INT((C801-1)/12)</f>
        <v>12360</v>
      </c>
      <c r="G801" s="10" t="n">
        <f aca="false">E801*F801</f>
        <v>0</v>
      </c>
      <c r="H801" s="10" t="n">
        <f aca="false">IF(OR(Nonlabor!$L$19="Quote required",Nonlabor!$L$19="Unverified"),G801,0)</f>
        <v>0</v>
      </c>
      <c r="I801" s="10" t="n">
        <f aca="false">IF(Nonlabor!$E$19="Core",0,G801)</f>
        <v>0</v>
      </c>
      <c r="J801" s="23" t="str">
        <f aca="false">Nonlabor!$B$19</f>
        <v>INSURANCE</v>
      </c>
    </row>
    <row r="802" customFormat="false" ht="15" hidden="false" customHeight="false" outlineLevel="0" collapsed="false">
      <c r="A802" s="6" t="s">
        <v>72</v>
      </c>
      <c r="B802" s="6" t="s">
        <v>49</v>
      </c>
      <c r="C802" s="6" t="n">
        <v>17</v>
      </c>
      <c r="D802" s="25" t="n">
        <f aca="false">EDATE('Start Here'!$B$6,C802-1)</f>
        <v>46813</v>
      </c>
      <c r="E802" s="23" t="n">
        <f aca="false">IF(AND(OR(Nonlabor!$D$19="Both",Nonlabor!$D$19='Start Here'!$B$9),IF(Nonlabor!$E$19="Core",1,IF(Nonlabor!$E$19="AI",'Start Here'!$B$7,'Start Here'!$B$8))=1,C802&gt;=IF(Nonlabor!$E$19="Core",Nonlabor!$F$19,MAX(Nonlabor!$F$19,IF(Nonlabor!$E$19="AI",Assumptions!$C$24,Assumptions!$C$25))),C802&lt;=Nonlabor!$G$19,OR(Nonlabor!$H$19="Monthly",AND(Nonlabor!$H$19="Once",C802=IF(Nonlabor!$E$19="Core",Nonlabor!$F$19,MAX(Nonlabor!$F$19,IF(Nonlabor!$E$19="AI",Assumptions!$C$24,Assumptions!$C$25)))),AND(Nonlabor!$H$19="Annual",MOD(C802-IF(Nonlabor!$E$19="Core",Nonlabor!$F$19,MAX(Nonlabor!$F$19,IF(Nonlabor!$E$19="AI",Assumptions!$C$24,Assumptions!$C$25))),12)=0))),IF(Nonlabor!$I$19="Fixed",1,IF(Nonlabor!$I$19="Seats",ROUNDUP('Monthly Lean'!I22,0),IF(Nonlabor!$I$19="Customers",'Monthly Lean'!D22,IF(Nonlabor!$I$19="NewCustomers",'Monthly Lean'!C22,IF(Nonlabor!$I$19="StorageGB",'Monthly Lean'!G22,IF(Nonlabor!$I$19="LogGB",'Monthly Lean'!H22,IF(Nonlabor!$I$19="RequestsM",'Monthly Lean'!F22,IF(Nonlabor!$I$19="InputM",'Monthly Lean'!D22*Assumptions!$C$22/1000000,IF(Nonlabor!$I$19="OutputM",'Monthly Lean'!D22*Assumptions!$C$23/1000000,0))))))))),0)</f>
        <v>0</v>
      </c>
      <c r="F802" s="10" t="n">
        <f aca="false">Nonlabor!$J$19*(1+Assumptions!$C$9)^INT((C802-1)/12)</f>
        <v>12360</v>
      </c>
      <c r="G802" s="10" t="n">
        <f aca="false">E802*F802</f>
        <v>0</v>
      </c>
      <c r="H802" s="10" t="n">
        <f aca="false">IF(OR(Nonlabor!$L$19="Quote required",Nonlabor!$L$19="Unverified"),G802,0)</f>
        <v>0</v>
      </c>
      <c r="I802" s="10" t="n">
        <f aca="false">IF(Nonlabor!$E$19="Core",0,G802)</f>
        <v>0</v>
      </c>
      <c r="J802" s="23" t="str">
        <f aca="false">Nonlabor!$B$19</f>
        <v>INSURANCE</v>
      </c>
    </row>
    <row r="803" customFormat="false" ht="15" hidden="false" customHeight="false" outlineLevel="0" collapsed="false">
      <c r="A803" s="6" t="s">
        <v>72</v>
      </c>
      <c r="B803" s="6" t="s">
        <v>49</v>
      </c>
      <c r="C803" s="6" t="n">
        <v>18</v>
      </c>
      <c r="D803" s="25" t="n">
        <f aca="false">EDATE('Start Here'!$B$6,C803-1)</f>
        <v>46844</v>
      </c>
      <c r="E803" s="23" t="n">
        <f aca="false">IF(AND(OR(Nonlabor!$D$19="Both",Nonlabor!$D$19='Start Here'!$B$9),IF(Nonlabor!$E$19="Core",1,IF(Nonlabor!$E$19="AI",'Start Here'!$B$7,'Start Here'!$B$8))=1,C803&gt;=IF(Nonlabor!$E$19="Core",Nonlabor!$F$19,MAX(Nonlabor!$F$19,IF(Nonlabor!$E$19="AI",Assumptions!$C$24,Assumptions!$C$25))),C803&lt;=Nonlabor!$G$19,OR(Nonlabor!$H$19="Monthly",AND(Nonlabor!$H$19="Once",C803=IF(Nonlabor!$E$19="Core",Nonlabor!$F$19,MAX(Nonlabor!$F$19,IF(Nonlabor!$E$19="AI",Assumptions!$C$24,Assumptions!$C$25)))),AND(Nonlabor!$H$19="Annual",MOD(C803-IF(Nonlabor!$E$19="Core",Nonlabor!$F$19,MAX(Nonlabor!$F$19,IF(Nonlabor!$E$19="AI",Assumptions!$C$24,Assumptions!$C$25))),12)=0))),IF(Nonlabor!$I$19="Fixed",1,IF(Nonlabor!$I$19="Seats",ROUNDUP('Monthly Lean'!I23,0),IF(Nonlabor!$I$19="Customers",'Monthly Lean'!D23,IF(Nonlabor!$I$19="NewCustomers",'Monthly Lean'!C23,IF(Nonlabor!$I$19="StorageGB",'Monthly Lean'!G23,IF(Nonlabor!$I$19="LogGB",'Monthly Lean'!H23,IF(Nonlabor!$I$19="RequestsM",'Monthly Lean'!F23,IF(Nonlabor!$I$19="InputM",'Monthly Lean'!D23*Assumptions!$C$22/1000000,IF(Nonlabor!$I$19="OutputM",'Monthly Lean'!D23*Assumptions!$C$23/1000000,0))))))))),0)</f>
        <v>0</v>
      </c>
      <c r="F803" s="10" t="n">
        <f aca="false">Nonlabor!$J$19*(1+Assumptions!$C$9)^INT((C803-1)/12)</f>
        <v>12360</v>
      </c>
      <c r="G803" s="10" t="n">
        <f aca="false">E803*F803</f>
        <v>0</v>
      </c>
      <c r="H803" s="10" t="n">
        <f aca="false">IF(OR(Nonlabor!$L$19="Quote required",Nonlabor!$L$19="Unverified"),G803,0)</f>
        <v>0</v>
      </c>
      <c r="I803" s="10" t="n">
        <f aca="false">IF(Nonlabor!$E$19="Core",0,G803)</f>
        <v>0</v>
      </c>
      <c r="J803" s="23" t="str">
        <f aca="false">Nonlabor!$B$19</f>
        <v>INSURANCE</v>
      </c>
    </row>
    <row r="804" customFormat="false" ht="15" hidden="false" customHeight="false" outlineLevel="0" collapsed="false">
      <c r="A804" s="6" t="s">
        <v>72</v>
      </c>
      <c r="B804" s="6" t="s">
        <v>49</v>
      </c>
      <c r="C804" s="6" t="n">
        <v>19</v>
      </c>
      <c r="D804" s="25" t="n">
        <f aca="false">EDATE('Start Here'!$B$6,C804-1)</f>
        <v>46874</v>
      </c>
      <c r="E804" s="23" t="n">
        <f aca="false">IF(AND(OR(Nonlabor!$D$19="Both",Nonlabor!$D$19='Start Here'!$B$9),IF(Nonlabor!$E$19="Core",1,IF(Nonlabor!$E$19="AI",'Start Here'!$B$7,'Start Here'!$B$8))=1,C804&gt;=IF(Nonlabor!$E$19="Core",Nonlabor!$F$19,MAX(Nonlabor!$F$19,IF(Nonlabor!$E$19="AI",Assumptions!$C$24,Assumptions!$C$25))),C804&lt;=Nonlabor!$G$19,OR(Nonlabor!$H$19="Monthly",AND(Nonlabor!$H$19="Once",C804=IF(Nonlabor!$E$19="Core",Nonlabor!$F$19,MAX(Nonlabor!$F$19,IF(Nonlabor!$E$19="AI",Assumptions!$C$24,Assumptions!$C$25)))),AND(Nonlabor!$H$19="Annual",MOD(C804-IF(Nonlabor!$E$19="Core",Nonlabor!$F$19,MAX(Nonlabor!$F$19,IF(Nonlabor!$E$19="AI",Assumptions!$C$24,Assumptions!$C$25))),12)=0))),IF(Nonlabor!$I$19="Fixed",1,IF(Nonlabor!$I$19="Seats",ROUNDUP('Monthly Lean'!I24,0),IF(Nonlabor!$I$19="Customers",'Monthly Lean'!D24,IF(Nonlabor!$I$19="NewCustomers",'Monthly Lean'!C24,IF(Nonlabor!$I$19="StorageGB",'Monthly Lean'!G24,IF(Nonlabor!$I$19="LogGB",'Monthly Lean'!H24,IF(Nonlabor!$I$19="RequestsM",'Monthly Lean'!F24,IF(Nonlabor!$I$19="InputM",'Monthly Lean'!D24*Assumptions!$C$22/1000000,IF(Nonlabor!$I$19="OutputM",'Monthly Lean'!D24*Assumptions!$C$23/1000000,0))))))))),0)</f>
        <v>0</v>
      </c>
      <c r="F804" s="10" t="n">
        <f aca="false">Nonlabor!$J$19*(1+Assumptions!$C$9)^INT((C804-1)/12)</f>
        <v>12360</v>
      </c>
      <c r="G804" s="10" t="n">
        <f aca="false">E804*F804</f>
        <v>0</v>
      </c>
      <c r="H804" s="10" t="n">
        <f aca="false">IF(OR(Nonlabor!$L$19="Quote required",Nonlabor!$L$19="Unverified"),G804,0)</f>
        <v>0</v>
      </c>
      <c r="I804" s="10" t="n">
        <f aca="false">IF(Nonlabor!$E$19="Core",0,G804)</f>
        <v>0</v>
      </c>
      <c r="J804" s="23" t="str">
        <f aca="false">Nonlabor!$B$19</f>
        <v>INSURANCE</v>
      </c>
    </row>
    <row r="805" customFormat="false" ht="15" hidden="false" customHeight="false" outlineLevel="0" collapsed="false">
      <c r="A805" s="6" t="s">
        <v>72</v>
      </c>
      <c r="B805" s="6" t="s">
        <v>49</v>
      </c>
      <c r="C805" s="6" t="n">
        <v>20</v>
      </c>
      <c r="D805" s="25" t="n">
        <f aca="false">EDATE('Start Here'!$B$6,C805-1)</f>
        <v>46905</v>
      </c>
      <c r="E805" s="23" t="n">
        <f aca="false">IF(AND(OR(Nonlabor!$D$19="Both",Nonlabor!$D$19='Start Here'!$B$9),IF(Nonlabor!$E$19="Core",1,IF(Nonlabor!$E$19="AI",'Start Here'!$B$7,'Start Here'!$B$8))=1,C805&gt;=IF(Nonlabor!$E$19="Core",Nonlabor!$F$19,MAX(Nonlabor!$F$19,IF(Nonlabor!$E$19="AI",Assumptions!$C$24,Assumptions!$C$25))),C805&lt;=Nonlabor!$G$19,OR(Nonlabor!$H$19="Monthly",AND(Nonlabor!$H$19="Once",C805=IF(Nonlabor!$E$19="Core",Nonlabor!$F$19,MAX(Nonlabor!$F$19,IF(Nonlabor!$E$19="AI",Assumptions!$C$24,Assumptions!$C$25)))),AND(Nonlabor!$H$19="Annual",MOD(C805-IF(Nonlabor!$E$19="Core",Nonlabor!$F$19,MAX(Nonlabor!$F$19,IF(Nonlabor!$E$19="AI",Assumptions!$C$24,Assumptions!$C$25))),12)=0))),IF(Nonlabor!$I$19="Fixed",1,IF(Nonlabor!$I$19="Seats",ROUNDUP('Monthly Lean'!I25,0),IF(Nonlabor!$I$19="Customers",'Monthly Lean'!D25,IF(Nonlabor!$I$19="NewCustomers",'Monthly Lean'!C25,IF(Nonlabor!$I$19="StorageGB",'Monthly Lean'!G25,IF(Nonlabor!$I$19="LogGB",'Monthly Lean'!H25,IF(Nonlabor!$I$19="RequestsM",'Monthly Lean'!F25,IF(Nonlabor!$I$19="InputM",'Monthly Lean'!D25*Assumptions!$C$22/1000000,IF(Nonlabor!$I$19="OutputM",'Monthly Lean'!D25*Assumptions!$C$23/1000000,0))))))))),0)</f>
        <v>0</v>
      </c>
      <c r="F805" s="10" t="n">
        <f aca="false">Nonlabor!$J$19*(1+Assumptions!$C$9)^INT((C805-1)/12)</f>
        <v>12360</v>
      </c>
      <c r="G805" s="10" t="n">
        <f aca="false">E805*F805</f>
        <v>0</v>
      </c>
      <c r="H805" s="10" t="n">
        <f aca="false">IF(OR(Nonlabor!$L$19="Quote required",Nonlabor!$L$19="Unverified"),G805,0)</f>
        <v>0</v>
      </c>
      <c r="I805" s="10" t="n">
        <f aca="false">IF(Nonlabor!$E$19="Core",0,G805)</f>
        <v>0</v>
      </c>
      <c r="J805" s="23" t="str">
        <f aca="false">Nonlabor!$B$19</f>
        <v>INSURANCE</v>
      </c>
    </row>
    <row r="806" customFormat="false" ht="15" hidden="false" customHeight="false" outlineLevel="0" collapsed="false">
      <c r="A806" s="6" t="s">
        <v>72</v>
      </c>
      <c r="B806" s="6" t="s">
        <v>49</v>
      </c>
      <c r="C806" s="6" t="n">
        <v>21</v>
      </c>
      <c r="D806" s="25" t="n">
        <f aca="false">EDATE('Start Here'!$B$6,C806-1)</f>
        <v>46935</v>
      </c>
      <c r="E806" s="23" t="n">
        <f aca="false">IF(AND(OR(Nonlabor!$D$19="Both",Nonlabor!$D$19='Start Here'!$B$9),IF(Nonlabor!$E$19="Core",1,IF(Nonlabor!$E$19="AI",'Start Here'!$B$7,'Start Here'!$B$8))=1,C806&gt;=IF(Nonlabor!$E$19="Core",Nonlabor!$F$19,MAX(Nonlabor!$F$19,IF(Nonlabor!$E$19="AI",Assumptions!$C$24,Assumptions!$C$25))),C806&lt;=Nonlabor!$G$19,OR(Nonlabor!$H$19="Monthly",AND(Nonlabor!$H$19="Once",C806=IF(Nonlabor!$E$19="Core",Nonlabor!$F$19,MAX(Nonlabor!$F$19,IF(Nonlabor!$E$19="AI",Assumptions!$C$24,Assumptions!$C$25)))),AND(Nonlabor!$H$19="Annual",MOD(C806-IF(Nonlabor!$E$19="Core",Nonlabor!$F$19,MAX(Nonlabor!$F$19,IF(Nonlabor!$E$19="AI",Assumptions!$C$24,Assumptions!$C$25))),12)=0))),IF(Nonlabor!$I$19="Fixed",1,IF(Nonlabor!$I$19="Seats",ROUNDUP('Monthly Lean'!I26,0),IF(Nonlabor!$I$19="Customers",'Monthly Lean'!D26,IF(Nonlabor!$I$19="NewCustomers",'Monthly Lean'!C26,IF(Nonlabor!$I$19="StorageGB",'Monthly Lean'!G26,IF(Nonlabor!$I$19="LogGB",'Monthly Lean'!H26,IF(Nonlabor!$I$19="RequestsM",'Monthly Lean'!F26,IF(Nonlabor!$I$19="InputM",'Monthly Lean'!D26*Assumptions!$C$22/1000000,IF(Nonlabor!$I$19="OutputM",'Monthly Lean'!D26*Assumptions!$C$23/1000000,0))))))))),0)</f>
        <v>1</v>
      </c>
      <c r="F806" s="10" t="n">
        <f aca="false">Nonlabor!$J$19*(1+Assumptions!$C$9)^INT((C806-1)/12)</f>
        <v>12360</v>
      </c>
      <c r="G806" s="10" t="n">
        <f aca="false">E806*F806</f>
        <v>12360</v>
      </c>
      <c r="H806" s="10" t="n">
        <f aca="false">IF(OR(Nonlabor!$L$19="Quote required",Nonlabor!$L$19="Unverified"),G806,0)</f>
        <v>12360</v>
      </c>
      <c r="I806" s="10" t="n">
        <f aca="false">IF(Nonlabor!$E$19="Core",0,G806)</f>
        <v>0</v>
      </c>
      <c r="J806" s="23" t="str">
        <f aca="false">Nonlabor!$B$19</f>
        <v>INSURANCE</v>
      </c>
    </row>
    <row r="807" customFormat="false" ht="15" hidden="false" customHeight="false" outlineLevel="0" collapsed="false">
      <c r="A807" s="6" t="s">
        <v>72</v>
      </c>
      <c r="B807" s="6" t="s">
        <v>49</v>
      </c>
      <c r="C807" s="6" t="n">
        <v>22</v>
      </c>
      <c r="D807" s="25" t="n">
        <f aca="false">EDATE('Start Here'!$B$6,C807-1)</f>
        <v>46966</v>
      </c>
      <c r="E807" s="23" t="n">
        <f aca="false">IF(AND(OR(Nonlabor!$D$19="Both",Nonlabor!$D$19='Start Here'!$B$9),IF(Nonlabor!$E$19="Core",1,IF(Nonlabor!$E$19="AI",'Start Here'!$B$7,'Start Here'!$B$8))=1,C807&gt;=IF(Nonlabor!$E$19="Core",Nonlabor!$F$19,MAX(Nonlabor!$F$19,IF(Nonlabor!$E$19="AI",Assumptions!$C$24,Assumptions!$C$25))),C807&lt;=Nonlabor!$G$19,OR(Nonlabor!$H$19="Monthly",AND(Nonlabor!$H$19="Once",C807=IF(Nonlabor!$E$19="Core",Nonlabor!$F$19,MAX(Nonlabor!$F$19,IF(Nonlabor!$E$19="AI",Assumptions!$C$24,Assumptions!$C$25)))),AND(Nonlabor!$H$19="Annual",MOD(C807-IF(Nonlabor!$E$19="Core",Nonlabor!$F$19,MAX(Nonlabor!$F$19,IF(Nonlabor!$E$19="AI",Assumptions!$C$24,Assumptions!$C$25))),12)=0))),IF(Nonlabor!$I$19="Fixed",1,IF(Nonlabor!$I$19="Seats",ROUNDUP('Monthly Lean'!I27,0),IF(Nonlabor!$I$19="Customers",'Monthly Lean'!D27,IF(Nonlabor!$I$19="NewCustomers",'Monthly Lean'!C27,IF(Nonlabor!$I$19="StorageGB",'Monthly Lean'!G27,IF(Nonlabor!$I$19="LogGB",'Monthly Lean'!H27,IF(Nonlabor!$I$19="RequestsM",'Monthly Lean'!F27,IF(Nonlabor!$I$19="InputM",'Monthly Lean'!D27*Assumptions!$C$22/1000000,IF(Nonlabor!$I$19="OutputM",'Monthly Lean'!D27*Assumptions!$C$23/1000000,0))))))))),0)</f>
        <v>0</v>
      </c>
      <c r="F807" s="10" t="n">
        <f aca="false">Nonlabor!$J$19*(1+Assumptions!$C$9)^INT((C807-1)/12)</f>
        <v>12360</v>
      </c>
      <c r="G807" s="10" t="n">
        <f aca="false">E807*F807</f>
        <v>0</v>
      </c>
      <c r="H807" s="10" t="n">
        <f aca="false">IF(OR(Nonlabor!$L$19="Quote required",Nonlabor!$L$19="Unverified"),G807,0)</f>
        <v>0</v>
      </c>
      <c r="I807" s="10" t="n">
        <f aca="false">IF(Nonlabor!$E$19="Core",0,G807)</f>
        <v>0</v>
      </c>
      <c r="J807" s="23" t="str">
        <f aca="false">Nonlabor!$B$19</f>
        <v>INSURANCE</v>
      </c>
    </row>
    <row r="808" customFormat="false" ht="15" hidden="false" customHeight="false" outlineLevel="0" collapsed="false">
      <c r="A808" s="6" t="s">
        <v>72</v>
      </c>
      <c r="B808" s="6" t="s">
        <v>49</v>
      </c>
      <c r="C808" s="6" t="n">
        <v>23</v>
      </c>
      <c r="D808" s="25" t="n">
        <f aca="false">EDATE('Start Here'!$B$6,C808-1)</f>
        <v>46997</v>
      </c>
      <c r="E808" s="23" t="n">
        <f aca="false">IF(AND(OR(Nonlabor!$D$19="Both",Nonlabor!$D$19='Start Here'!$B$9),IF(Nonlabor!$E$19="Core",1,IF(Nonlabor!$E$19="AI",'Start Here'!$B$7,'Start Here'!$B$8))=1,C808&gt;=IF(Nonlabor!$E$19="Core",Nonlabor!$F$19,MAX(Nonlabor!$F$19,IF(Nonlabor!$E$19="AI",Assumptions!$C$24,Assumptions!$C$25))),C808&lt;=Nonlabor!$G$19,OR(Nonlabor!$H$19="Monthly",AND(Nonlabor!$H$19="Once",C808=IF(Nonlabor!$E$19="Core",Nonlabor!$F$19,MAX(Nonlabor!$F$19,IF(Nonlabor!$E$19="AI",Assumptions!$C$24,Assumptions!$C$25)))),AND(Nonlabor!$H$19="Annual",MOD(C808-IF(Nonlabor!$E$19="Core",Nonlabor!$F$19,MAX(Nonlabor!$F$19,IF(Nonlabor!$E$19="AI",Assumptions!$C$24,Assumptions!$C$25))),12)=0))),IF(Nonlabor!$I$19="Fixed",1,IF(Nonlabor!$I$19="Seats",ROUNDUP('Monthly Lean'!I28,0),IF(Nonlabor!$I$19="Customers",'Monthly Lean'!D28,IF(Nonlabor!$I$19="NewCustomers",'Monthly Lean'!C28,IF(Nonlabor!$I$19="StorageGB",'Monthly Lean'!G28,IF(Nonlabor!$I$19="LogGB",'Monthly Lean'!H28,IF(Nonlabor!$I$19="RequestsM",'Monthly Lean'!F28,IF(Nonlabor!$I$19="InputM",'Monthly Lean'!D28*Assumptions!$C$22/1000000,IF(Nonlabor!$I$19="OutputM",'Monthly Lean'!D28*Assumptions!$C$23/1000000,0))))))))),0)</f>
        <v>0</v>
      </c>
      <c r="F808" s="10" t="n">
        <f aca="false">Nonlabor!$J$19*(1+Assumptions!$C$9)^INT((C808-1)/12)</f>
        <v>12360</v>
      </c>
      <c r="G808" s="10" t="n">
        <f aca="false">E808*F808</f>
        <v>0</v>
      </c>
      <c r="H808" s="10" t="n">
        <f aca="false">IF(OR(Nonlabor!$L$19="Quote required",Nonlabor!$L$19="Unverified"),G808,0)</f>
        <v>0</v>
      </c>
      <c r="I808" s="10" t="n">
        <f aca="false">IF(Nonlabor!$E$19="Core",0,G808)</f>
        <v>0</v>
      </c>
      <c r="J808" s="23" t="str">
        <f aca="false">Nonlabor!$B$19</f>
        <v>INSURANCE</v>
      </c>
    </row>
    <row r="809" customFormat="false" ht="15" hidden="false" customHeight="false" outlineLevel="0" collapsed="false">
      <c r="A809" s="6" t="s">
        <v>72</v>
      </c>
      <c r="B809" s="6" t="s">
        <v>49</v>
      </c>
      <c r="C809" s="6" t="n">
        <v>24</v>
      </c>
      <c r="D809" s="25" t="n">
        <f aca="false">EDATE('Start Here'!$B$6,C809-1)</f>
        <v>47027</v>
      </c>
      <c r="E809" s="23" t="n">
        <f aca="false">IF(AND(OR(Nonlabor!$D$19="Both",Nonlabor!$D$19='Start Here'!$B$9),IF(Nonlabor!$E$19="Core",1,IF(Nonlabor!$E$19="AI",'Start Here'!$B$7,'Start Here'!$B$8))=1,C809&gt;=IF(Nonlabor!$E$19="Core",Nonlabor!$F$19,MAX(Nonlabor!$F$19,IF(Nonlabor!$E$19="AI",Assumptions!$C$24,Assumptions!$C$25))),C809&lt;=Nonlabor!$G$19,OR(Nonlabor!$H$19="Monthly",AND(Nonlabor!$H$19="Once",C809=IF(Nonlabor!$E$19="Core",Nonlabor!$F$19,MAX(Nonlabor!$F$19,IF(Nonlabor!$E$19="AI",Assumptions!$C$24,Assumptions!$C$25)))),AND(Nonlabor!$H$19="Annual",MOD(C809-IF(Nonlabor!$E$19="Core",Nonlabor!$F$19,MAX(Nonlabor!$F$19,IF(Nonlabor!$E$19="AI",Assumptions!$C$24,Assumptions!$C$25))),12)=0))),IF(Nonlabor!$I$19="Fixed",1,IF(Nonlabor!$I$19="Seats",ROUNDUP('Monthly Lean'!I29,0),IF(Nonlabor!$I$19="Customers",'Monthly Lean'!D29,IF(Nonlabor!$I$19="NewCustomers",'Monthly Lean'!C29,IF(Nonlabor!$I$19="StorageGB",'Monthly Lean'!G29,IF(Nonlabor!$I$19="LogGB",'Monthly Lean'!H29,IF(Nonlabor!$I$19="RequestsM",'Monthly Lean'!F29,IF(Nonlabor!$I$19="InputM",'Monthly Lean'!D29*Assumptions!$C$22/1000000,IF(Nonlabor!$I$19="OutputM",'Monthly Lean'!D29*Assumptions!$C$23/1000000,0))))))))),0)</f>
        <v>0</v>
      </c>
      <c r="F809" s="10" t="n">
        <f aca="false">Nonlabor!$J$19*(1+Assumptions!$C$9)^INT((C809-1)/12)</f>
        <v>12360</v>
      </c>
      <c r="G809" s="10" t="n">
        <f aca="false">E809*F809</f>
        <v>0</v>
      </c>
      <c r="H809" s="10" t="n">
        <f aca="false">IF(OR(Nonlabor!$L$19="Quote required",Nonlabor!$L$19="Unverified"),G809,0)</f>
        <v>0</v>
      </c>
      <c r="I809" s="10" t="n">
        <f aca="false">IF(Nonlabor!$E$19="Core",0,G809)</f>
        <v>0</v>
      </c>
      <c r="J809" s="23" t="str">
        <f aca="false">Nonlabor!$B$19</f>
        <v>INSURANCE</v>
      </c>
    </row>
    <row r="810" customFormat="false" ht="15" hidden="false" customHeight="false" outlineLevel="0" collapsed="false">
      <c r="A810" s="6" t="s">
        <v>72</v>
      </c>
      <c r="B810" s="6" t="s">
        <v>49</v>
      </c>
      <c r="C810" s="6" t="n">
        <v>25</v>
      </c>
      <c r="D810" s="25" t="n">
        <f aca="false">EDATE('Start Here'!$B$6,C810-1)</f>
        <v>47058</v>
      </c>
      <c r="E810" s="23" t="n">
        <f aca="false">IF(AND(OR(Nonlabor!$D$19="Both",Nonlabor!$D$19='Start Here'!$B$9),IF(Nonlabor!$E$19="Core",1,IF(Nonlabor!$E$19="AI",'Start Here'!$B$7,'Start Here'!$B$8))=1,C810&gt;=IF(Nonlabor!$E$19="Core",Nonlabor!$F$19,MAX(Nonlabor!$F$19,IF(Nonlabor!$E$19="AI",Assumptions!$C$24,Assumptions!$C$25))),C810&lt;=Nonlabor!$G$19,OR(Nonlabor!$H$19="Monthly",AND(Nonlabor!$H$19="Once",C810=IF(Nonlabor!$E$19="Core",Nonlabor!$F$19,MAX(Nonlabor!$F$19,IF(Nonlabor!$E$19="AI",Assumptions!$C$24,Assumptions!$C$25)))),AND(Nonlabor!$H$19="Annual",MOD(C810-IF(Nonlabor!$E$19="Core",Nonlabor!$F$19,MAX(Nonlabor!$F$19,IF(Nonlabor!$E$19="AI",Assumptions!$C$24,Assumptions!$C$25))),12)=0))),IF(Nonlabor!$I$19="Fixed",1,IF(Nonlabor!$I$19="Seats",ROUNDUP('Monthly Lean'!I30,0),IF(Nonlabor!$I$19="Customers",'Monthly Lean'!D30,IF(Nonlabor!$I$19="NewCustomers",'Monthly Lean'!C30,IF(Nonlabor!$I$19="StorageGB",'Monthly Lean'!G30,IF(Nonlabor!$I$19="LogGB",'Monthly Lean'!H30,IF(Nonlabor!$I$19="RequestsM",'Monthly Lean'!F30,IF(Nonlabor!$I$19="InputM",'Monthly Lean'!D30*Assumptions!$C$22/1000000,IF(Nonlabor!$I$19="OutputM",'Monthly Lean'!D30*Assumptions!$C$23/1000000,0))))))))),0)</f>
        <v>0</v>
      </c>
      <c r="F810" s="10" t="n">
        <f aca="false">Nonlabor!$J$19*(1+Assumptions!$C$9)^INT((C810-1)/12)</f>
        <v>12730.8</v>
      </c>
      <c r="G810" s="10" t="n">
        <f aca="false">E810*F810</f>
        <v>0</v>
      </c>
      <c r="H810" s="10" t="n">
        <f aca="false">IF(OR(Nonlabor!$L$19="Quote required",Nonlabor!$L$19="Unverified"),G810,0)</f>
        <v>0</v>
      </c>
      <c r="I810" s="10" t="n">
        <f aca="false">IF(Nonlabor!$E$19="Core",0,G810)</f>
        <v>0</v>
      </c>
      <c r="J810" s="23" t="str">
        <f aca="false">Nonlabor!$B$19</f>
        <v>INSURANCE</v>
      </c>
    </row>
    <row r="811" customFormat="false" ht="15" hidden="false" customHeight="false" outlineLevel="0" collapsed="false">
      <c r="A811" s="6" t="s">
        <v>72</v>
      </c>
      <c r="B811" s="6" t="s">
        <v>49</v>
      </c>
      <c r="C811" s="6" t="n">
        <v>26</v>
      </c>
      <c r="D811" s="25" t="n">
        <f aca="false">EDATE('Start Here'!$B$6,C811-1)</f>
        <v>47088</v>
      </c>
      <c r="E811" s="23" t="n">
        <f aca="false">IF(AND(OR(Nonlabor!$D$19="Both",Nonlabor!$D$19='Start Here'!$B$9),IF(Nonlabor!$E$19="Core",1,IF(Nonlabor!$E$19="AI",'Start Here'!$B$7,'Start Here'!$B$8))=1,C811&gt;=IF(Nonlabor!$E$19="Core",Nonlabor!$F$19,MAX(Nonlabor!$F$19,IF(Nonlabor!$E$19="AI",Assumptions!$C$24,Assumptions!$C$25))),C811&lt;=Nonlabor!$G$19,OR(Nonlabor!$H$19="Monthly",AND(Nonlabor!$H$19="Once",C811=IF(Nonlabor!$E$19="Core",Nonlabor!$F$19,MAX(Nonlabor!$F$19,IF(Nonlabor!$E$19="AI",Assumptions!$C$24,Assumptions!$C$25)))),AND(Nonlabor!$H$19="Annual",MOD(C811-IF(Nonlabor!$E$19="Core",Nonlabor!$F$19,MAX(Nonlabor!$F$19,IF(Nonlabor!$E$19="AI",Assumptions!$C$24,Assumptions!$C$25))),12)=0))),IF(Nonlabor!$I$19="Fixed",1,IF(Nonlabor!$I$19="Seats",ROUNDUP('Monthly Lean'!I31,0),IF(Nonlabor!$I$19="Customers",'Monthly Lean'!D31,IF(Nonlabor!$I$19="NewCustomers",'Monthly Lean'!C31,IF(Nonlabor!$I$19="StorageGB",'Monthly Lean'!G31,IF(Nonlabor!$I$19="LogGB",'Monthly Lean'!H31,IF(Nonlabor!$I$19="RequestsM",'Monthly Lean'!F31,IF(Nonlabor!$I$19="InputM",'Monthly Lean'!D31*Assumptions!$C$22/1000000,IF(Nonlabor!$I$19="OutputM",'Monthly Lean'!D31*Assumptions!$C$23/1000000,0))))))))),0)</f>
        <v>0</v>
      </c>
      <c r="F811" s="10" t="n">
        <f aca="false">Nonlabor!$J$19*(1+Assumptions!$C$9)^INT((C811-1)/12)</f>
        <v>12730.8</v>
      </c>
      <c r="G811" s="10" t="n">
        <f aca="false">E811*F811</f>
        <v>0</v>
      </c>
      <c r="H811" s="10" t="n">
        <f aca="false">IF(OR(Nonlabor!$L$19="Quote required",Nonlabor!$L$19="Unverified"),G811,0)</f>
        <v>0</v>
      </c>
      <c r="I811" s="10" t="n">
        <f aca="false">IF(Nonlabor!$E$19="Core",0,G811)</f>
        <v>0</v>
      </c>
      <c r="J811" s="23" t="str">
        <f aca="false">Nonlabor!$B$19</f>
        <v>INSURANCE</v>
      </c>
    </row>
    <row r="812" customFormat="false" ht="15" hidden="false" customHeight="false" outlineLevel="0" collapsed="false">
      <c r="A812" s="6" t="s">
        <v>72</v>
      </c>
      <c r="B812" s="6" t="s">
        <v>49</v>
      </c>
      <c r="C812" s="6" t="n">
        <v>27</v>
      </c>
      <c r="D812" s="25" t="n">
        <f aca="false">EDATE('Start Here'!$B$6,C812-1)</f>
        <v>47119</v>
      </c>
      <c r="E812" s="23" t="n">
        <f aca="false">IF(AND(OR(Nonlabor!$D$19="Both",Nonlabor!$D$19='Start Here'!$B$9),IF(Nonlabor!$E$19="Core",1,IF(Nonlabor!$E$19="AI",'Start Here'!$B$7,'Start Here'!$B$8))=1,C812&gt;=IF(Nonlabor!$E$19="Core",Nonlabor!$F$19,MAX(Nonlabor!$F$19,IF(Nonlabor!$E$19="AI",Assumptions!$C$24,Assumptions!$C$25))),C812&lt;=Nonlabor!$G$19,OR(Nonlabor!$H$19="Monthly",AND(Nonlabor!$H$19="Once",C812=IF(Nonlabor!$E$19="Core",Nonlabor!$F$19,MAX(Nonlabor!$F$19,IF(Nonlabor!$E$19="AI",Assumptions!$C$24,Assumptions!$C$25)))),AND(Nonlabor!$H$19="Annual",MOD(C812-IF(Nonlabor!$E$19="Core",Nonlabor!$F$19,MAX(Nonlabor!$F$19,IF(Nonlabor!$E$19="AI",Assumptions!$C$24,Assumptions!$C$25))),12)=0))),IF(Nonlabor!$I$19="Fixed",1,IF(Nonlabor!$I$19="Seats",ROUNDUP('Monthly Lean'!I32,0),IF(Nonlabor!$I$19="Customers",'Monthly Lean'!D32,IF(Nonlabor!$I$19="NewCustomers",'Monthly Lean'!C32,IF(Nonlabor!$I$19="StorageGB",'Monthly Lean'!G32,IF(Nonlabor!$I$19="LogGB",'Monthly Lean'!H32,IF(Nonlabor!$I$19="RequestsM",'Monthly Lean'!F32,IF(Nonlabor!$I$19="InputM",'Monthly Lean'!D32*Assumptions!$C$22/1000000,IF(Nonlabor!$I$19="OutputM",'Monthly Lean'!D32*Assumptions!$C$23/1000000,0))))))))),0)</f>
        <v>0</v>
      </c>
      <c r="F812" s="10" t="n">
        <f aca="false">Nonlabor!$J$19*(1+Assumptions!$C$9)^INT((C812-1)/12)</f>
        <v>12730.8</v>
      </c>
      <c r="G812" s="10" t="n">
        <f aca="false">E812*F812</f>
        <v>0</v>
      </c>
      <c r="H812" s="10" t="n">
        <f aca="false">IF(OR(Nonlabor!$L$19="Quote required",Nonlabor!$L$19="Unverified"),G812,0)</f>
        <v>0</v>
      </c>
      <c r="I812" s="10" t="n">
        <f aca="false">IF(Nonlabor!$E$19="Core",0,G812)</f>
        <v>0</v>
      </c>
      <c r="J812" s="23" t="str">
        <f aca="false">Nonlabor!$B$19</f>
        <v>INSURANCE</v>
      </c>
    </row>
    <row r="813" customFormat="false" ht="15" hidden="false" customHeight="false" outlineLevel="0" collapsed="false">
      <c r="A813" s="6" t="s">
        <v>72</v>
      </c>
      <c r="B813" s="6" t="s">
        <v>49</v>
      </c>
      <c r="C813" s="6" t="n">
        <v>28</v>
      </c>
      <c r="D813" s="25" t="n">
        <f aca="false">EDATE('Start Here'!$B$6,C813-1)</f>
        <v>47150</v>
      </c>
      <c r="E813" s="23" t="n">
        <f aca="false">IF(AND(OR(Nonlabor!$D$19="Both",Nonlabor!$D$19='Start Here'!$B$9),IF(Nonlabor!$E$19="Core",1,IF(Nonlabor!$E$19="AI",'Start Here'!$B$7,'Start Here'!$B$8))=1,C813&gt;=IF(Nonlabor!$E$19="Core",Nonlabor!$F$19,MAX(Nonlabor!$F$19,IF(Nonlabor!$E$19="AI",Assumptions!$C$24,Assumptions!$C$25))),C813&lt;=Nonlabor!$G$19,OR(Nonlabor!$H$19="Monthly",AND(Nonlabor!$H$19="Once",C813=IF(Nonlabor!$E$19="Core",Nonlabor!$F$19,MAX(Nonlabor!$F$19,IF(Nonlabor!$E$19="AI",Assumptions!$C$24,Assumptions!$C$25)))),AND(Nonlabor!$H$19="Annual",MOD(C813-IF(Nonlabor!$E$19="Core",Nonlabor!$F$19,MAX(Nonlabor!$F$19,IF(Nonlabor!$E$19="AI",Assumptions!$C$24,Assumptions!$C$25))),12)=0))),IF(Nonlabor!$I$19="Fixed",1,IF(Nonlabor!$I$19="Seats",ROUNDUP('Monthly Lean'!I33,0),IF(Nonlabor!$I$19="Customers",'Monthly Lean'!D33,IF(Nonlabor!$I$19="NewCustomers",'Monthly Lean'!C33,IF(Nonlabor!$I$19="StorageGB",'Monthly Lean'!G33,IF(Nonlabor!$I$19="LogGB",'Monthly Lean'!H33,IF(Nonlabor!$I$19="RequestsM",'Monthly Lean'!F33,IF(Nonlabor!$I$19="InputM",'Monthly Lean'!D33*Assumptions!$C$22/1000000,IF(Nonlabor!$I$19="OutputM",'Monthly Lean'!D33*Assumptions!$C$23/1000000,0))))))))),0)</f>
        <v>0</v>
      </c>
      <c r="F813" s="10" t="n">
        <f aca="false">Nonlabor!$J$19*(1+Assumptions!$C$9)^INT((C813-1)/12)</f>
        <v>12730.8</v>
      </c>
      <c r="G813" s="10" t="n">
        <f aca="false">E813*F813</f>
        <v>0</v>
      </c>
      <c r="H813" s="10" t="n">
        <f aca="false">IF(OR(Nonlabor!$L$19="Quote required",Nonlabor!$L$19="Unverified"),G813,0)</f>
        <v>0</v>
      </c>
      <c r="I813" s="10" t="n">
        <f aca="false">IF(Nonlabor!$E$19="Core",0,G813)</f>
        <v>0</v>
      </c>
      <c r="J813" s="23" t="str">
        <f aca="false">Nonlabor!$B$19</f>
        <v>INSURANCE</v>
      </c>
    </row>
    <row r="814" customFormat="false" ht="15" hidden="false" customHeight="false" outlineLevel="0" collapsed="false">
      <c r="A814" s="6" t="s">
        <v>72</v>
      </c>
      <c r="B814" s="6" t="s">
        <v>49</v>
      </c>
      <c r="C814" s="6" t="n">
        <v>29</v>
      </c>
      <c r="D814" s="25" t="n">
        <f aca="false">EDATE('Start Here'!$B$6,C814-1)</f>
        <v>47178</v>
      </c>
      <c r="E814" s="23" t="n">
        <f aca="false">IF(AND(OR(Nonlabor!$D$19="Both",Nonlabor!$D$19='Start Here'!$B$9),IF(Nonlabor!$E$19="Core",1,IF(Nonlabor!$E$19="AI",'Start Here'!$B$7,'Start Here'!$B$8))=1,C814&gt;=IF(Nonlabor!$E$19="Core",Nonlabor!$F$19,MAX(Nonlabor!$F$19,IF(Nonlabor!$E$19="AI",Assumptions!$C$24,Assumptions!$C$25))),C814&lt;=Nonlabor!$G$19,OR(Nonlabor!$H$19="Monthly",AND(Nonlabor!$H$19="Once",C814=IF(Nonlabor!$E$19="Core",Nonlabor!$F$19,MAX(Nonlabor!$F$19,IF(Nonlabor!$E$19="AI",Assumptions!$C$24,Assumptions!$C$25)))),AND(Nonlabor!$H$19="Annual",MOD(C814-IF(Nonlabor!$E$19="Core",Nonlabor!$F$19,MAX(Nonlabor!$F$19,IF(Nonlabor!$E$19="AI",Assumptions!$C$24,Assumptions!$C$25))),12)=0))),IF(Nonlabor!$I$19="Fixed",1,IF(Nonlabor!$I$19="Seats",ROUNDUP('Monthly Lean'!I34,0),IF(Nonlabor!$I$19="Customers",'Monthly Lean'!D34,IF(Nonlabor!$I$19="NewCustomers",'Monthly Lean'!C34,IF(Nonlabor!$I$19="StorageGB",'Monthly Lean'!G34,IF(Nonlabor!$I$19="LogGB",'Monthly Lean'!H34,IF(Nonlabor!$I$19="RequestsM",'Monthly Lean'!F34,IF(Nonlabor!$I$19="InputM",'Monthly Lean'!D34*Assumptions!$C$22/1000000,IF(Nonlabor!$I$19="OutputM",'Monthly Lean'!D34*Assumptions!$C$23/1000000,0))))))))),0)</f>
        <v>0</v>
      </c>
      <c r="F814" s="10" t="n">
        <f aca="false">Nonlabor!$J$19*(1+Assumptions!$C$9)^INT((C814-1)/12)</f>
        <v>12730.8</v>
      </c>
      <c r="G814" s="10" t="n">
        <f aca="false">E814*F814</f>
        <v>0</v>
      </c>
      <c r="H814" s="10" t="n">
        <f aca="false">IF(OR(Nonlabor!$L$19="Quote required",Nonlabor!$L$19="Unverified"),G814,0)</f>
        <v>0</v>
      </c>
      <c r="I814" s="10" t="n">
        <f aca="false">IF(Nonlabor!$E$19="Core",0,G814)</f>
        <v>0</v>
      </c>
      <c r="J814" s="23" t="str">
        <f aca="false">Nonlabor!$B$19</f>
        <v>INSURANCE</v>
      </c>
    </row>
    <row r="815" customFormat="false" ht="15" hidden="false" customHeight="false" outlineLevel="0" collapsed="false">
      <c r="A815" s="6" t="s">
        <v>72</v>
      </c>
      <c r="B815" s="6" t="s">
        <v>49</v>
      </c>
      <c r="C815" s="6" t="n">
        <v>30</v>
      </c>
      <c r="D815" s="25" t="n">
        <f aca="false">EDATE('Start Here'!$B$6,C815-1)</f>
        <v>47209</v>
      </c>
      <c r="E815" s="23" t="n">
        <f aca="false">IF(AND(OR(Nonlabor!$D$19="Both",Nonlabor!$D$19='Start Here'!$B$9),IF(Nonlabor!$E$19="Core",1,IF(Nonlabor!$E$19="AI",'Start Here'!$B$7,'Start Here'!$B$8))=1,C815&gt;=IF(Nonlabor!$E$19="Core",Nonlabor!$F$19,MAX(Nonlabor!$F$19,IF(Nonlabor!$E$19="AI",Assumptions!$C$24,Assumptions!$C$25))),C815&lt;=Nonlabor!$G$19,OR(Nonlabor!$H$19="Monthly",AND(Nonlabor!$H$19="Once",C815=IF(Nonlabor!$E$19="Core",Nonlabor!$F$19,MAX(Nonlabor!$F$19,IF(Nonlabor!$E$19="AI",Assumptions!$C$24,Assumptions!$C$25)))),AND(Nonlabor!$H$19="Annual",MOD(C815-IF(Nonlabor!$E$19="Core",Nonlabor!$F$19,MAX(Nonlabor!$F$19,IF(Nonlabor!$E$19="AI",Assumptions!$C$24,Assumptions!$C$25))),12)=0))),IF(Nonlabor!$I$19="Fixed",1,IF(Nonlabor!$I$19="Seats",ROUNDUP('Monthly Lean'!I35,0),IF(Nonlabor!$I$19="Customers",'Monthly Lean'!D35,IF(Nonlabor!$I$19="NewCustomers",'Monthly Lean'!C35,IF(Nonlabor!$I$19="StorageGB",'Monthly Lean'!G35,IF(Nonlabor!$I$19="LogGB",'Monthly Lean'!H35,IF(Nonlabor!$I$19="RequestsM",'Monthly Lean'!F35,IF(Nonlabor!$I$19="InputM",'Monthly Lean'!D35*Assumptions!$C$22/1000000,IF(Nonlabor!$I$19="OutputM",'Monthly Lean'!D35*Assumptions!$C$23/1000000,0))))))))),0)</f>
        <v>0</v>
      </c>
      <c r="F815" s="10" t="n">
        <f aca="false">Nonlabor!$J$19*(1+Assumptions!$C$9)^INT((C815-1)/12)</f>
        <v>12730.8</v>
      </c>
      <c r="G815" s="10" t="n">
        <f aca="false">E815*F815</f>
        <v>0</v>
      </c>
      <c r="H815" s="10" t="n">
        <f aca="false">IF(OR(Nonlabor!$L$19="Quote required",Nonlabor!$L$19="Unverified"),G815,0)</f>
        <v>0</v>
      </c>
      <c r="I815" s="10" t="n">
        <f aca="false">IF(Nonlabor!$E$19="Core",0,G815)</f>
        <v>0</v>
      </c>
      <c r="J815" s="23" t="str">
        <f aca="false">Nonlabor!$B$19</f>
        <v>INSURANCE</v>
      </c>
    </row>
    <row r="816" customFormat="false" ht="15" hidden="false" customHeight="false" outlineLevel="0" collapsed="false">
      <c r="A816" s="6" t="s">
        <v>72</v>
      </c>
      <c r="B816" s="6" t="s">
        <v>49</v>
      </c>
      <c r="C816" s="6" t="n">
        <v>31</v>
      </c>
      <c r="D816" s="25" t="n">
        <f aca="false">EDATE('Start Here'!$B$6,C816-1)</f>
        <v>47239</v>
      </c>
      <c r="E816" s="23" t="n">
        <f aca="false">IF(AND(OR(Nonlabor!$D$19="Both",Nonlabor!$D$19='Start Here'!$B$9),IF(Nonlabor!$E$19="Core",1,IF(Nonlabor!$E$19="AI",'Start Here'!$B$7,'Start Here'!$B$8))=1,C816&gt;=IF(Nonlabor!$E$19="Core",Nonlabor!$F$19,MAX(Nonlabor!$F$19,IF(Nonlabor!$E$19="AI",Assumptions!$C$24,Assumptions!$C$25))),C816&lt;=Nonlabor!$G$19,OR(Nonlabor!$H$19="Monthly",AND(Nonlabor!$H$19="Once",C816=IF(Nonlabor!$E$19="Core",Nonlabor!$F$19,MAX(Nonlabor!$F$19,IF(Nonlabor!$E$19="AI",Assumptions!$C$24,Assumptions!$C$25)))),AND(Nonlabor!$H$19="Annual",MOD(C816-IF(Nonlabor!$E$19="Core",Nonlabor!$F$19,MAX(Nonlabor!$F$19,IF(Nonlabor!$E$19="AI",Assumptions!$C$24,Assumptions!$C$25))),12)=0))),IF(Nonlabor!$I$19="Fixed",1,IF(Nonlabor!$I$19="Seats",ROUNDUP('Monthly Lean'!I36,0),IF(Nonlabor!$I$19="Customers",'Monthly Lean'!D36,IF(Nonlabor!$I$19="NewCustomers",'Monthly Lean'!C36,IF(Nonlabor!$I$19="StorageGB",'Monthly Lean'!G36,IF(Nonlabor!$I$19="LogGB",'Monthly Lean'!H36,IF(Nonlabor!$I$19="RequestsM",'Monthly Lean'!F36,IF(Nonlabor!$I$19="InputM",'Monthly Lean'!D36*Assumptions!$C$22/1000000,IF(Nonlabor!$I$19="OutputM",'Monthly Lean'!D36*Assumptions!$C$23/1000000,0))))))))),0)</f>
        <v>0</v>
      </c>
      <c r="F816" s="10" t="n">
        <f aca="false">Nonlabor!$J$19*(1+Assumptions!$C$9)^INT((C816-1)/12)</f>
        <v>12730.8</v>
      </c>
      <c r="G816" s="10" t="n">
        <f aca="false">E816*F816</f>
        <v>0</v>
      </c>
      <c r="H816" s="10" t="n">
        <f aca="false">IF(OR(Nonlabor!$L$19="Quote required",Nonlabor!$L$19="Unverified"),G816,0)</f>
        <v>0</v>
      </c>
      <c r="I816" s="10" t="n">
        <f aca="false">IF(Nonlabor!$E$19="Core",0,G816)</f>
        <v>0</v>
      </c>
      <c r="J816" s="23" t="str">
        <f aca="false">Nonlabor!$B$19</f>
        <v>INSURANCE</v>
      </c>
    </row>
    <row r="817" customFormat="false" ht="15" hidden="false" customHeight="false" outlineLevel="0" collapsed="false">
      <c r="A817" s="6" t="s">
        <v>72</v>
      </c>
      <c r="B817" s="6" t="s">
        <v>49</v>
      </c>
      <c r="C817" s="6" t="n">
        <v>32</v>
      </c>
      <c r="D817" s="25" t="n">
        <f aca="false">EDATE('Start Here'!$B$6,C817-1)</f>
        <v>47270</v>
      </c>
      <c r="E817" s="23" t="n">
        <f aca="false">IF(AND(OR(Nonlabor!$D$19="Both",Nonlabor!$D$19='Start Here'!$B$9),IF(Nonlabor!$E$19="Core",1,IF(Nonlabor!$E$19="AI",'Start Here'!$B$7,'Start Here'!$B$8))=1,C817&gt;=IF(Nonlabor!$E$19="Core",Nonlabor!$F$19,MAX(Nonlabor!$F$19,IF(Nonlabor!$E$19="AI",Assumptions!$C$24,Assumptions!$C$25))),C817&lt;=Nonlabor!$G$19,OR(Nonlabor!$H$19="Monthly",AND(Nonlabor!$H$19="Once",C817=IF(Nonlabor!$E$19="Core",Nonlabor!$F$19,MAX(Nonlabor!$F$19,IF(Nonlabor!$E$19="AI",Assumptions!$C$24,Assumptions!$C$25)))),AND(Nonlabor!$H$19="Annual",MOD(C817-IF(Nonlabor!$E$19="Core",Nonlabor!$F$19,MAX(Nonlabor!$F$19,IF(Nonlabor!$E$19="AI",Assumptions!$C$24,Assumptions!$C$25))),12)=0))),IF(Nonlabor!$I$19="Fixed",1,IF(Nonlabor!$I$19="Seats",ROUNDUP('Monthly Lean'!I37,0),IF(Nonlabor!$I$19="Customers",'Monthly Lean'!D37,IF(Nonlabor!$I$19="NewCustomers",'Monthly Lean'!C37,IF(Nonlabor!$I$19="StorageGB",'Monthly Lean'!G37,IF(Nonlabor!$I$19="LogGB",'Monthly Lean'!H37,IF(Nonlabor!$I$19="RequestsM",'Monthly Lean'!F37,IF(Nonlabor!$I$19="InputM",'Monthly Lean'!D37*Assumptions!$C$22/1000000,IF(Nonlabor!$I$19="OutputM",'Monthly Lean'!D37*Assumptions!$C$23/1000000,0))))))))),0)</f>
        <v>0</v>
      </c>
      <c r="F817" s="10" t="n">
        <f aca="false">Nonlabor!$J$19*(1+Assumptions!$C$9)^INT((C817-1)/12)</f>
        <v>12730.8</v>
      </c>
      <c r="G817" s="10" t="n">
        <f aca="false">E817*F817</f>
        <v>0</v>
      </c>
      <c r="H817" s="10" t="n">
        <f aca="false">IF(OR(Nonlabor!$L$19="Quote required",Nonlabor!$L$19="Unverified"),G817,0)</f>
        <v>0</v>
      </c>
      <c r="I817" s="10" t="n">
        <f aca="false">IF(Nonlabor!$E$19="Core",0,G817)</f>
        <v>0</v>
      </c>
      <c r="J817" s="23" t="str">
        <f aca="false">Nonlabor!$B$19</f>
        <v>INSURANCE</v>
      </c>
    </row>
    <row r="818" customFormat="false" ht="15" hidden="false" customHeight="false" outlineLevel="0" collapsed="false">
      <c r="A818" s="6" t="s">
        <v>72</v>
      </c>
      <c r="B818" s="6" t="s">
        <v>49</v>
      </c>
      <c r="C818" s="6" t="n">
        <v>33</v>
      </c>
      <c r="D818" s="25" t="n">
        <f aca="false">EDATE('Start Here'!$B$6,C818-1)</f>
        <v>47300</v>
      </c>
      <c r="E818" s="23" t="n">
        <f aca="false">IF(AND(OR(Nonlabor!$D$19="Both",Nonlabor!$D$19='Start Here'!$B$9),IF(Nonlabor!$E$19="Core",1,IF(Nonlabor!$E$19="AI",'Start Here'!$B$7,'Start Here'!$B$8))=1,C818&gt;=IF(Nonlabor!$E$19="Core",Nonlabor!$F$19,MAX(Nonlabor!$F$19,IF(Nonlabor!$E$19="AI",Assumptions!$C$24,Assumptions!$C$25))),C818&lt;=Nonlabor!$G$19,OR(Nonlabor!$H$19="Monthly",AND(Nonlabor!$H$19="Once",C818=IF(Nonlabor!$E$19="Core",Nonlabor!$F$19,MAX(Nonlabor!$F$19,IF(Nonlabor!$E$19="AI",Assumptions!$C$24,Assumptions!$C$25)))),AND(Nonlabor!$H$19="Annual",MOD(C818-IF(Nonlabor!$E$19="Core",Nonlabor!$F$19,MAX(Nonlabor!$F$19,IF(Nonlabor!$E$19="AI",Assumptions!$C$24,Assumptions!$C$25))),12)=0))),IF(Nonlabor!$I$19="Fixed",1,IF(Nonlabor!$I$19="Seats",ROUNDUP('Monthly Lean'!I38,0),IF(Nonlabor!$I$19="Customers",'Monthly Lean'!D38,IF(Nonlabor!$I$19="NewCustomers",'Monthly Lean'!C38,IF(Nonlabor!$I$19="StorageGB",'Monthly Lean'!G38,IF(Nonlabor!$I$19="LogGB",'Monthly Lean'!H38,IF(Nonlabor!$I$19="RequestsM",'Monthly Lean'!F38,IF(Nonlabor!$I$19="InputM",'Monthly Lean'!D38*Assumptions!$C$22/1000000,IF(Nonlabor!$I$19="OutputM",'Monthly Lean'!D38*Assumptions!$C$23/1000000,0))))))))),0)</f>
        <v>1</v>
      </c>
      <c r="F818" s="10" t="n">
        <f aca="false">Nonlabor!$J$19*(1+Assumptions!$C$9)^INT((C818-1)/12)</f>
        <v>12730.8</v>
      </c>
      <c r="G818" s="10" t="n">
        <f aca="false">E818*F818</f>
        <v>12730.8</v>
      </c>
      <c r="H818" s="10" t="n">
        <f aca="false">IF(OR(Nonlabor!$L$19="Quote required",Nonlabor!$L$19="Unverified"),G818,0)</f>
        <v>12730.8</v>
      </c>
      <c r="I818" s="10" t="n">
        <f aca="false">IF(Nonlabor!$E$19="Core",0,G818)</f>
        <v>0</v>
      </c>
      <c r="J818" s="23" t="str">
        <f aca="false">Nonlabor!$B$19</f>
        <v>INSURANCE</v>
      </c>
    </row>
    <row r="819" customFormat="false" ht="15" hidden="false" customHeight="false" outlineLevel="0" collapsed="false">
      <c r="A819" s="6" t="s">
        <v>72</v>
      </c>
      <c r="B819" s="6" t="s">
        <v>49</v>
      </c>
      <c r="C819" s="6" t="n">
        <v>34</v>
      </c>
      <c r="D819" s="25" t="n">
        <f aca="false">EDATE('Start Here'!$B$6,C819-1)</f>
        <v>47331</v>
      </c>
      <c r="E819" s="23" t="n">
        <f aca="false">IF(AND(OR(Nonlabor!$D$19="Both",Nonlabor!$D$19='Start Here'!$B$9),IF(Nonlabor!$E$19="Core",1,IF(Nonlabor!$E$19="AI",'Start Here'!$B$7,'Start Here'!$B$8))=1,C819&gt;=IF(Nonlabor!$E$19="Core",Nonlabor!$F$19,MAX(Nonlabor!$F$19,IF(Nonlabor!$E$19="AI",Assumptions!$C$24,Assumptions!$C$25))),C819&lt;=Nonlabor!$G$19,OR(Nonlabor!$H$19="Monthly",AND(Nonlabor!$H$19="Once",C819=IF(Nonlabor!$E$19="Core",Nonlabor!$F$19,MAX(Nonlabor!$F$19,IF(Nonlabor!$E$19="AI",Assumptions!$C$24,Assumptions!$C$25)))),AND(Nonlabor!$H$19="Annual",MOD(C819-IF(Nonlabor!$E$19="Core",Nonlabor!$F$19,MAX(Nonlabor!$F$19,IF(Nonlabor!$E$19="AI",Assumptions!$C$24,Assumptions!$C$25))),12)=0))),IF(Nonlabor!$I$19="Fixed",1,IF(Nonlabor!$I$19="Seats",ROUNDUP('Monthly Lean'!I39,0),IF(Nonlabor!$I$19="Customers",'Monthly Lean'!D39,IF(Nonlabor!$I$19="NewCustomers",'Monthly Lean'!C39,IF(Nonlabor!$I$19="StorageGB",'Monthly Lean'!G39,IF(Nonlabor!$I$19="LogGB",'Monthly Lean'!H39,IF(Nonlabor!$I$19="RequestsM",'Monthly Lean'!F39,IF(Nonlabor!$I$19="InputM",'Monthly Lean'!D39*Assumptions!$C$22/1000000,IF(Nonlabor!$I$19="OutputM",'Monthly Lean'!D39*Assumptions!$C$23/1000000,0))))))))),0)</f>
        <v>0</v>
      </c>
      <c r="F819" s="10" t="n">
        <f aca="false">Nonlabor!$J$19*(1+Assumptions!$C$9)^INT((C819-1)/12)</f>
        <v>12730.8</v>
      </c>
      <c r="G819" s="10" t="n">
        <f aca="false">E819*F819</f>
        <v>0</v>
      </c>
      <c r="H819" s="10" t="n">
        <f aca="false">IF(OR(Nonlabor!$L$19="Quote required",Nonlabor!$L$19="Unverified"),G819,0)</f>
        <v>0</v>
      </c>
      <c r="I819" s="10" t="n">
        <f aca="false">IF(Nonlabor!$E$19="Core",0,G819)</f>
        <v>0</v>
      </c>
      <c r="J819" s="23" t="str">
        <f aca="false">Nonlabor!$B$19</f>
        <v>INSURANCE</v>
      </c>
    </row>
    <row r="820" customFormat="false" ht="15" hidden="false" customHeight="false" outlineLevel="0" collapsed="false">
      <c r="A820" s="6" t="s">
        <v>72</v>
      </c>
      <c r="B820" s="6" t="s">
        <v>49</v>
      </c>
      <c r="C820" s="6" t="n">
        <v>35</v>
      </c>
      <c r="D820" s="25" t="n">
        <f aca="false">EDATE('Start Here'!$B$6,C820-1)</f>
        <v>47362</v>
      </c>
      <c r="E820" s="23" t="n">
        <f aca="false">IF(AND(OR(Nonlabor!$D$19="Both",Nonlabor!$D$19='Start Here'!$B$9),IF(Nonlabor!$E$19="Core",1,IF(Nonlabor!$E$19="AI",'Start Here'!$B$7,'Start Here'!$B$8))=1,C820&gt;=IF(Nonlabor!$E$19="Core",Nonlabor!$F$19,MAX(Nonlabor!$F$19,IF(Nonlabor!$E$19="AI",Assumptions!$C$24,Assumptions!$C$25))),C820&lt;=Nonlabor!$G$19,OR(Nonlabor!$H$19="Monthly",AND(Nonlabor!$H$19="Once",C820=IF(Nonlabor!$E$19="Core",Nonlabor!$F$19,MAX(Nonlabor!$F$19,IF(Nonlabor!$E$19="AI",Assumptions!$C$24,Assumptions!$C$25)))),AND(Nonlabor!$H$19="Annual",MOD(C820-IF(Nonlabor!$E$19="Core",Nonlabor!$F$19,MAX(Nonlabor!$F$19,IF(Nonlabor!$E$19="AI",Assumptions!$C$24,Assumptions!$C$25))),12)=0))),IF(Nonlabor!$I$19="Fixed",1,IF(Nonlabor!$I$19="Seats",ROUNDUP('Monthly Lean'!I40,0),IF(Nonlabor!$I$19="Customers",'Monthly Lean'!D40,IF(Nonlabor!$I$19="NewCustomers",'Monthly Lean'!C40,IF(Nonlabor!$I$19="StorageGB",'Monthly Lean'!G40,IF(Nonlabor!$I$19="LogGB",'Monthly Lean'!H40,IF(Nonlabor!$I$19="RequestsM",'Monthly Lean'!F40,IF(Nonlabor!$I$19="InputM",'Monthly Lean'!D40*Assumptions!$C$22/1000000,IF(Nonlabor!$I$19="OutputM",'Monthly Lean'!D40*Assumptions!$C$23/1000000,0))))))))),0)</f>
        <v>0</v>
      </c>
      <c r="F820" s="10" t="n">
        <f aca="false">Nonlabor!$J$19*(1+Assumptions!$C$9)^INT((C820-1)/12)</f>
        <v>12730.8</v>
      </c>
      <c r="G820" s="10" t="n">
        <f aca="false">E820*F820</f>
        <v>0</v>
      </c>
      <c r="H820" s="10" t="n">
        <f aca="false">IF(OR(Nonlabor!$L$19="Quote required",Nonlabor!$L$19="Unverified"),G820,0)</f>
        <v>0</v>
      </c>
      <c r="I820" s="10" t="n">
        <f aca="false">IF(Nonlabor!$E$19="Core",0,G820)</f>
        <v>0</v>
      </c>
      <c r="J820" s="23" t="str">
        <f aca="false">Nonlabor!$B$19</f>
        <v>INSURANCE</v>
      </c>
    </row>
    <row r="821" customFormat="false" ht="15" hidden="false" customHeight="false" outlineLevel="0" collapsed="false">
      <c r="A821" s="6" t="s">
        <v>72</v>
      </c>
      <c r="B821" s="6" t="s">
        <v>49</v>
      </c>
      <c r="C821" s="6" t="n">
        <v>36</v>
      </c>
      <c r="D821" s="25" t="n">
        <f aca="false">EDATE('Start Here'!$B$6,C821-1)</f>
        <v>47392</v>
      </c>
      <c r="E821" s="23" t="n">
        <f aca="false">IF(AND(OR(Nonlabor!$D$19="Both",Nonlabor!$D$19='Start Here'!$B$9),IF(Nonlabor!$E$19="Core",1,IF(Nonlabor!$E$19="AI",'Start Here'!$B$7,'Start Here'!$B$8))=1,C821&gt;=IF(Nonlabor!$E$19="Core",Nonlabor!$F$19,MAX(Nonlabor!$F$19,IF(Nonlabor!$E$19="AI",Assumptions!$C$24,Assumptions!$C$25))),C821&lt;=Nonlabor!$G$19,OR(Nonlabor!$H$19="Monthly",AND(Nonlabor!$H$19="Once",C821=IF(Nonlabor!$E$19="Core",Nonlabor!$F$19,MAX(Nonlabor!$F$19,IF(Nonlabor!$E$19="AI",Assumptions!$C$24,Assumptions!$C$25)))),AND(Nonlabor!$H$19="Annual",MOD(C821-IF(Nonlabor!$E$19="Core",Nonlabor!$F$19,MAX(Nonlabor!$F$19,IF(Nonlabor!$E$19="AI",Assumptions!$C$24,Assumptions!$C$25))),12)=0))),IF(Nonlabor!$I$19="Fixed",1,IF(Nonlabor!$I$19="Seats",ROUNDUP('Monthly Lean'!I41,0),IF(Nonlabor!$I$19="Customers",'Monthly Lean'!D41,IF(Nonlabor!$I$19="NewCustomers",'Monthly Lean'!C41,IF(Nonlabor!$I$19="StorageGB",'Monthly Lean'!G41,IF(Nonlabor!$I$19="LogGB",'Monthly Lean'!H41,IF(Nonlabor!$I$19="RequestsM",'Monthly Lean'!F41,IF(Nonlabor!$I$19="InputM",'Monthly Lean'!D41*Assumptions!$C$22/1000000,IF(Nonlabor!$I$19="OutputM",'Monthly Lean'!D41*Assumptions!$C$23/1000000,0))))))))),0)</f>
        <v>0</v>
      </c>
      <c r="F821" s="10" t="n">
        <f aca="false">Nonlabor!$J$19*(1+Assumptions!$C$9)^INT((C821-1)/12)</f>
        <v>12730.8</v>
      </c>
      <c r="G821" s="10" t="n">
        <f aca="false">E821*F821</f>
        <v>0</v>
      </c>
      <c r="H821" s="10" t="n">
        <f aca="false">IF(OR(Nonlabor!$L$19="Quote required",Nonlabor!$L$19="Unverified"),G821,0)</f>
        <v>0</v>
      </c>
      <c r="I821" s="10" t="n">
        <f aca="false">IF(Nonlabor!$E$19="Core",0,G821)</f>
        <v>0</v>
      </c>
      <c r="J821" s="23" t="str">
        <f aca="false">Nonlabor!$B$19</f>
        <v>INSURANCE</v>
      </c>
    </row>
    <row r="822" customFormat="false" ht="15" hidden="false" customHeight="false" outlineLevel="0" collapsed="false">
      <c r="A822" s="6" t="s">
        <v>72</v>
      </c>
      <c r="B822" s="6" t="s">
        <v>49</v>
      </c>
      <c r="C822" s="6" t="n">
        <v>37</v>
      </c>
      <c r="D822" s="25" t="n">
        <f aca="false">EDATE('Start Here'!$B$6,C822-1)</f>
        <v>47423</v>
      </c>
      <c r="E822" s="23" t="n">
        <f aca="false">IF(AND(OR(Nonlabor!$D$19="Both",Nonlabor!$D$19='Start Here'!$B$9),IF(Nonlabor!$E$19="Core",1,IF(Nonlabor!$E$19="AI",'Start Here'!$B$7,'Start Here'!$B$8))=1,C822&gt;=IF(Nonlabor!$E$19="Core",Nonlabor!$F$19,MAX(Nonlabor!$F$19,IF(Nonlabor!$E$19="AI",Assumptions!$C$24,Assumptions!$C$25))),C822&lt;=Nonlabor!$G$19,OR(Nonlabor!$H$19="Monthly",AND(Nonlabor!$H$19="Once",C822=IF(Nonlabor!$E$19="Core",Nonlabor!$F$19,MAX(Nonlabor!$F$19,IF(Nonlabor!$E$19="AI",Assumptions!$C$24,Assumptions!$C$25)))),AND(Nonlabor!$H$19="Annual",MOD(C822-IF(Nonlabor!$E$19="Core",Nonlabor!$F$19,MAX(Nonlabor!$F$19,IF(Nonlabor!$E$19="AI",Assumptions!$C$24,Assumptions!$C$25))),12)=0))),IF(Nonlabor!$I$19="Fixed",1,IF(Nonlabor!$I$19="Seats",ROUNDUP('Monthly Lean'!I42,0),IF(Nonlabor!$I$19="Customers",'Monthly Lean'!D42,IF(Nonlabor!$I$19="NewCustomers",'Monthly Lean'!C42,IF(Nonlabor!$I$19="StorageGB",'Monthly Lean'!G42,IF(Nonlabor!$I$19="LogGB",'Monthly Lean'!H42,IF(Nonlabor!$I$19="RequestsM",'Monthly Lean'!F42,IF(Nonlabor!$I$19="InputM",'Monthly Lean'!D42*Assumptions!$C$22/1000000,IF(Nonlabor!$I$19="OutputM",'Monthly Lean'!D42*Assumptions!$C$23/1000000,0))))))))),0)</f>
        <v>0</v>
      </c>
      <c r="F822" s="10" t="n">
        <f aca="false">Nonlabor!$J$19*(1+Assumptions!$C$9)^INT((C822-1)/12)</f>
        <v>13112.724</v>
      </c>
      <c r="G822" s="10" t="n">
        <f aca="false">E822*F822</f>
        <v>0</v>
      </c>
      <c r="H822" s="10" t="n">
        <f aca="false">IF(OR(Nonlabor!$L$19="Quote required",Nonlabor!$L$19="Unverified"),G822,0)</f>
        <v>0</v>
      </c>
      <c r="I822" s="10" t="n">
        <f aca="false">IF(Nonlabor!$E$19="Core",0,G822)</f>
        <v>0</v>
      </c>
      <c r="J822" s="23" t="str">
        <f aca="false">Nonlabor!$B$19</f>
        <v>INSURANCE</v>
      </c>
    </row>
    <row r="823" customFormat="false" ht="15" hidden="false" customHeight="false" outlineLevel="0" collapsed="false">
      <c r="A823" s="6" t="s">
        <v>72</v>
      </c>
      <c r="B823" s="6" t="s">
        <v>49</v>
      </c>
      <c r="C823" s="6" t="n">
        <v>38</v>
      </c>
      <c r="D823" s="25" t="n">
        <f aca="false">EDATE('Start Here'!$B$6,C823-1)</f>
        <v>47453</v>
      </c>
      <c r="E823" s="23" t="n">
        <f aca="false">IF(AND(OR(Nonlabor!$D$19="Both",Nonlabor!$D$19='Start Here'!$B$9),IF(Nonlabor!$E$19="Core",1,IF(Nonlabor!$E$19="AI",'Start Here'!$B$7,'Start Here'!$B$8))=1,C823&gt;=IF(Nonlabor!$E$19="Core",Nonlabor!$F$19,MAX(Nonlabor!$F$19,IF(Nonlabor!$E$19="AI",Assumptions!$C$24,Assumptions!$C$25))),C823&lt;=Nonlabor!$G$19,OR(Nonlabor!$H$19="Monthly",AND(Nonlabor!$H$19="Once",C823=IF(Nonlabor!$E$19="Core",Nonlabor!$F$19,MAX(Nonlabor!$F$19,IF(Nonlabor!$E$19="AI",Assumptions!$C$24,Assumptions!$C$25)))),AND(Nonlabor!$H$19="Annual",MOD(C823-IF(Nonlabor!$E$19="Core",Nonlabor!$F$19,MAX(Nonlabor!$F$19,IF(Nonlabor!$E$19="AI",Assumptions!$C$24,Assumptions!$C$25))),12)=0))),IF(Nonlabor!$I$19="Fixed",1,IF(Nonlabor!$I$19="Seats",ROUNDUP('Monthly Lean'!I43,0),IF(Nonlabor!$I$19="Customers",'Monthly Lean'!D43,IF(Nonlabor!$I$19="NewCustomers",'Monthly Lean'!C43,IF(Nonlabor!$I$19="StorageGB",'Monthly Lean'!G43,IF(Nonlabor!$I$19="LogGB",'Monthly Lean'!H43,IF(Nonlabor!$I$19="RequestsM",'Monthly Lean'!F43,IF(Nonlabor!$I$19="InputM",'Monthly Lean'!D43*Assumptions!$C$22/1000000,IF(Nonlabor!$I$19="OutputM",'Monthly Lean'!D43*Assumptions!$C$23/1000000,0))))))))),0)</f>
        <v>0</v>
      </c>
      <c r="F823" s="10" t="n">
        <f aca="false">Nonlabor!$J$19*(1+Assumptions!$C$9)^INT((C823-1)/12)</f>
        <v>13112.724</v>
      </c>
      <c r="G823" s="10" t="n">
        <f aca="false">E823*F823</f>
        <v>0</v>
      </c>
      <c r="H823" s="10" t="n">
        <f aca="false">IF(OR(Nonlabor!$L$19="Quote required",Nonlabor!$L$19="Unverified"),G823,0)</f>
        <v>0</v>
      </c>
      <c r="I823" s="10" t="n">
        <f aca="false">IF(Nonlabor!$E$19="Core",0,G823)</f>
        <v>0</v>
      </c>
      <c r="J823" s="23" t="str">
        <f aca="false">Nonlabor!$B$19</f>
        <v>INSURANCE</v>
      </c>
    </row>
    <row r="824" customFormat="false" ht="15" hidden="false" customHeight="false" outlineLevel="0" collapsed="false">
      <c r="A824" s="6" t="s">
        <v>72</v>
      </c>
      <c r="B824" s="6" t="s">
        <v>49</v>
      </c>
      <c r="C824" s="6" t="n">
        <v>39</v>
      </c>
      <c r="D824" s="25" t="n">
        <f aca="false">EDATE('Start Here'!$B$6,C824-1)</f>
        <v>47484</v>
      </c>
      <c r="E824" s="23" t="n">
        <f aca="false">IF(AND(OR(Nonlabor!$D$19="Both",Nonlabor!$D$19='Start Here'!$B$9),IF(Nonlabor!$E$19="Core",1,IF(Nonlabor!$E$19="AI",'Start Here'!$B$7,'Start Here'!$B$8))=1,C824&gt;=IF(Nonlabor!$E$19="Core",Nonlabor!$F$19,MAX(Nonlabor!$F$19,IF(Nonlabor!$E$19="AI",Assumptions!$C$24,Assumptions!$C$25))),C824&lt;=Nonlabor!$G$19,OR(Nonlabor!$H$19="Monthly",AND(Nonlabor!$H$19="Once",C824=IF(Nonlabor!$E$19="Core",Nonlabor!$F$19,MAX(Nonlabor!$F$19,IF(Nonlabor!$E$19="AI",Assumptions!$C$24,Assumptions!$C$25)))),AND(Nonlabor!$H$19="Annual",MOD(C824-IF(Nonlabor!$E$19="Core",Nonlabor!$F$19,MAX(Nonlabor!$F$19,IF(Nonlabor!$E$19="AI",Assumptions!$C$24,Assumptions!$C$25))),12)=0))),IF(Nonlabor!$I$19="Fixed",1,IF(Nonlabor!$I$19="Seats",ROUNDUP('Monthly Lean'!I44,0),IF(Nonlabor!$I$19="Customers",'Monthly Lean'!D44,IF(Nonlabor!$I$19="NewCustomers",'Monthly Lean'!C44,IF(Nonlabor!$I$19="StorageGB",'Monthly Lean'!G44,IF(Nonlabor!$I$19="LogGB",'Monthly Lean'!H44,IF(Nonlabor!$I$19="RequestsM",'Monthly Lean'!F44,IF(Nonlabor!$I$19="InputM",'Monthly Lean'!D44*Assumptions!$C$22/1000000,IF(Nonlabor!$I$19="OutputM",'Monthly Lean'!D44*Assumptions!$C$23/1000000,0))))))))),0)</f>
        <v>0</v>
      </c>
      <c r="F824" s="10" t="n">
        <f aca="false">Nonlabor!$J$19*(1+Assumptions!$C$9)^INT((C824-1)/12)</f>
        <v>13112.724</v>
      </c>
      <c r="G824" s="10" t="n">
        <f aca="false">E824*F824</f>
        <v>0</v>
      </c>
      <c r="H824" s="10" t="n">
        <f aca="false">IF(OR(Nonlabor!$L$19="Quote required",Nonlabor!$L$19="Unverified"),G824,0)</f>
        <v>0</v>
      </c>
      <c r="I824" s="10" t="n">
        <f aca="false">IF(Nonlabor!$E$19="Core",0,G824)</f>
        <v>0</v>
      </c>
      <c r="J824" s="23" t="str">
        <f aca="false">Nonlabor!$B$19</f>
        <v>INSURANCE</v>
      </c>
    </row>
    <row r="825" customFormat="false" ht="15" hidden="false" customHeight="false" outlineLevel="0" collapsed="false">
      <c r="A825" s="6" t="s">
        <v>72</v>
      </c>
      <c r="B825" s="6" t="s">
        <v>49</v>
      </c>
      <c r="C825" s="6" t="n">
        <v>40</v>
      </c>
      <c r="D825" s="25" t="n">
        <f aca="false">EDATE('Start Here'!$B$6,C825-1)</f>
        <v>47515</v>
      </c>
      <c r="E825" s="23" t="n">
        <f aca="false">IF(AND(OR(Nonlabor!$D$19="Both",Nonlabor!$D$19='Start Here'!$B$9),IF(Nonlabor!$E$19="Core",1,IF(Nonlabor!$E$19="AI",'Start Here'!$B$7,'Start Here'!$B$8))=1,C825&gt;=IF(Nonlabor!$E$19="Core",Nonlabor!$F$19,MAX(Nonlabor!$F$19,IF(Nonlabor!$E$19="AI",Assumptions!$C$24,Assumptions!$C$25))),C825&lt;=Nonlabor!$G$19,OR(Nonlabor!$H$19="Monthly",AND(Nonlabor!$H$19="Once",C825=IF(Nonlabor!$E$19="Core",Nonlabor!$F$19,MAX(Nonlabor!$F$19,IF(Nonlabor!$E$19="AI",Assumptions!$C$24,Assumptions!$C$25)))),AND(Nonlabor!$H$19="Annual",MOD(C825-IF(Nonlabor!$E$19="Core",Nonlabor!$F$19,MAX(Nonlabor!$F$19,IF(Nonlabor!$E$19="AI",Assumptions!$C$24,Assumptions!$C$25))),12)=0))),IF(Nonlabor!$I$19="Fixed",1,IF(Nonlabor!$I$19="Seats",ROUNDUP('Monthly Lean'!I45,0),IF(Nonlabor!$I$19="Customers",'Monthly Lean'!D45,IF(Nonlabor!$I$19="NewCustomers",'Monthly Lean'!C45,IF(Nonlabor!$I$19="StorageGB",'Monthly Lean'!G45,IF(Nonlabor!$I$19="LogGB",'Monthly Lean'!H45,IF(Nonlabor!$I$19="RequestsM",'Monthly Lean'!F45,IF(Nonlabor!$I$19="InputM",'Monthly Lean'!D45*Assumptions!$C$22/1000000,IF(Nonlabor!$I$19="OutputM",'Monthly Lean'!D45*Assumptions!$C$23/1000000,0))))))))),0)</f>
        <v>0</v>
      </c>
      <c r="F825" s="10" t="n">
        <f aca="false">Nonlabor!$J$19*(1+Assumptions!$C$9)^INT((C825-1)/12)</f>
        <v>13112.724</v>
      </c>
      <c r="G825" s="10" t="n">
        <f aca="false">E825*F825</f>
        <v>0</v>
      </c>
      <c r="H825" s="10" t="n">
        <f aca="false">IF(OR(Nonlabor!$L$19="Quote required",Nonlabor!$L$19="Unverified"),G825,0)</f>
        <v>0</v>
      </c>
      <c r="I825" s="10" t="n">
        <f aca="false">IF(Nonlabor!$E$19="Core",0,G825)</f>
        <v>0</v>
      </c>
      <c r="J825" s="23" t="str">
        <f aca="false">Nonlabor!$B$19</f>
        <v>INSURANCE</v>
      </c>
    </row>
    <row r="826" customFormat="false" ht="15" hidden="false" customHeight="false" outlineLevel="0" collapsed="false">
      <c r="A826" s="6" t="s">
        <v>72</v>
      </c>
      <c r="B826" s="6" t="s">
        <v>49</v>
      </c>
      <c r="C826" s="6" t="n">
        <v>41</v>
      </c>
      <c r="D826" s="25" t="n">
        <f aca="false">EDATE('Start Here'!$B$6,C826-1)</f>
        <v>47543</v>
      </c>
      <c r="E826" s="23" t="n">
        <f aca="false">IF(AND(OR(Nonlabor!$D$19="Both",Nonlabor!$D$19='Start Here'!$B$9),IF(Nonlabor!$E$19="Core",1,IF(Nonlabor!$E$19="AI",'Start Here'!$B$7,'Start Here'!$B$8))=1,C826&gt;=IF(Nonlabor!$E$19="Core",Nonlabor!$F$19,MAX(Nonlabor!$F$19,IF(Nonlabor!$E$19="AI",Assumptions!$C$24,Assumptions!$C$25))),C826&lt;=Nonlabor!$G$19,OR(Nonlabor!$H$19="Monthly",AND(Nonlabor!$H$19="Once",C826=IF(Nonlabor!$E$19="Core",Nonlabor!$F$19,MAX(Nonlabor!$F$19,IF(Nonlabor!$E$19="AI",Assumptions!$C$24,Assumptions!$C$25)))),AND(Nonlabor!$H$19="Annual",MOD(C826-IF(Nonlabor!$E$19="Core",Nonlabor!$F$19,MAX(Nonlabor!$F$19,IF(Nonlabor!$E$19="AI",Assumptions!$C$24,Assumptions!$C$25))),12)=0))),IF(Nonlabor!$I$19="Fixed",1,IF(Nonlabor!$I$19="Seats",ROUNDUP('Monthly Lean'!I46,0),IF(Nonlabor!$I$19="Customers",'Monthly Lean'!D46,IF(Nonlabor!$I$19="NewCustomers",'Monthly Lean'!C46,IF(Nonlabor!$I$19="StorageGB",'Monthly Lean'!G46,IF(Nonlabor!$I$19="LogGB",'Monthly Lean'!H46,IF(Nonlabor!$I$19="RequestsM",'Monthly Lean'!F46,IF(Nonlabor!$I$19="InputM",'Monthly Lean'!D46*Assumptions!$C$22/1000000,IF(Nonlabor!$I$19="OutputM",'Monthly Lean'!D46*Assumptions!$C$23/1000000,0))))))))),0)</f>
        <v>0</v>
      </c>
      <c r="F826" s="10" t="n">
        <f aca="false">Nonlabor!$J$19*(1+Assumptions!$C$9)^INT((C826-1)/12)</f>
        <v>13112.724</v>
      </c>
      <c r="G826" s="10" t="n">
        <f aca="false">E826*F826</f>
        <v>0</v>
      </c>
      <c r="H826" s="10" t="n">
        <f aca="false">IF(OR(Nonlabor!$L$19="Quote required",Nonlabor!$L$19="Unverified"),G826,0)</f>
        <v>0</v>
      </c>
      <c r="I826" s="10" t="n">
        <f aca="false">IF(Nonlabor!$E$19="Core",0,G826)</f>
        <v>0</v>
      </c>
      <c r="J826" s="23" t="str">
        <f aca="false">Nonlabor!$B$19</f>
        <v>INSURANCE</v>
      </c>
    </row>
    <row r="827" customFormat="false" ht="15" hidden="false" customHeight="false" outlineLevel="0" collapsed="false">
      <c r="A827" s="6" t="s">
        <v>72</v>
      </c>
      <c r="B827" s="6" t="s">
        <v>49</v>
      </c>
      <c r="C827" s="6" t="n">
        <v>42</v>
      </c>
      <c r="D827" s="25" t="n">
        <f aca="false">EDATE('Start Here'!$B$6,C827-1)</f>
        <v>47574</v>
      </c>
      <c r="E827" s="23" t="n">
        <f aca="false">IF(AND(OR(Nonlabor!$D$19="Both",Nonlabor!$D$19='Start Here'!$B$9),IF(Nonlabor!$E$19="Core",1,IF(Nonlabor!$E$19="AI",'Start Here'!$B$7,'Start Here'!$B$8))=1,C827&gt;=IF(Nonlabor!$E$19="Core",Nonlabor!$F$19,MAX(Nonlabor!$F$19,IF(Nonlabor!$E$19="AI",Assumptions!$C$24,Assumptions!$C$25))),C827&lt;=Nonlabor!$G$19,OR(Nonlabor!$H$19="Monthly",AND(Nonlabor!$H$19="Once",C827=IF(Nonlabor!$E$19="Core",Nonlabor!$F$19,MAX(Nonlabor!$F$19,IF(Nonlabor!$E$19="AI",Assumptions!$C$24,Assumptions!$C$25)))),AND(Nonlabor!$H$19="Annual",MOD(C827-IF(Nonlabor!$E$19="Core",Nonlabor!$F$19,MAX(Nonlabor!$F$19,IF(Nonlabor!$E$19="AI",Assumptions!$C$24,Assumptions!$C$25))),12)=0))),IF(Nonlabor!$I$19="Fixed",1,IF(Nonlabor!$I$19="Seats",ROUNDUP('Monthly Lean'!I47,0),IF(Nonlabor!$I$19="Customers",'Monthly Lean'!D47,IF(Nonlabor!$I$19="NewCustomers",'Monthly Lean'!C47,IF(Nonlabor!$I$19="StorageGB",'Monthly Lean'!G47,IF(Nonlabor!$I$19="LogGB",'Monthly Lean'!H47,IF(Nonlabor!$I$19="RequestsM",'Monthly Lean'!F47,IF(Nonlabor!$I$19="InputM",'Monthly Lean'!D47*Assumptions!$C$22/1000000,IF(Nonlabor!$I$19="OutputM",'Monthly Lean'!D47*Assumptions!$C$23/1000000,0))))))))),0)</f>
        <v>0</v>
      </c>
      <c r="F827" s="10" t="n">
        <f aca="false">Nonlabor!$J$19*(1+Assumptions!$C$9)^INT((C827-1)/12)</f>
        <v>13112.724</v>
      </c>
      <c r="G827" s="10" t="n">
        <f aca="false">E827*F827</f>
        <v>0</v>
      </c>
      <c r="H827" s="10" t="n">
        <f aca="false">IF(OR(Nonlabor!$L$19="Quote required",Nonlabor!$L$19="Unverified"),G827,0)</f>
        <v>0</v>
      </c>
      <c r="I827" s="10" t="n">
        <f aca="false">IF(Nonlabor!$E$19="Core",0,G827)</f>
        <v>0</v>
      </c>
      <c r="J827" s="23" t="str">
        <f aca="false">Nonlabor!$B$19</f>
        <v>INSURANCE</v>
      </c>
    </row>
    <row r="828" customFormat="false" ht="15" hidden="false" customHeight="false" outlineLevel="0" collapsed="false">
      <c r="A828" s="6" t="s">
        <v>72</v>
      </c>
      <c r="B828" s="6" t="s">
        <v>49</v>
      </c>
      <c r="C828" s="6" t="n">
        <v>43</v>
      </c>
      <c r="D828" s="25" t="n">
        <f aca="false">EDATE('Start Here'!$B$6,C828-1)</f>
        <v>47604</v>
      </c>
      <c r="E828" s="23" t="n">
        <f aca="false">IF(AND(OR(Nonlabor!$D$19="Both",Nonlabor!$D$19='Start Here'!$B$9),IF(Nonlabor!$E$19="Core",1,IF(Nonlabor!$E$19="AI",'Start Here'!$B$7,'Start Here'!$B$8))=1,C828&gt;=IF(Nonlabor!$E$19="Core",Nonlabor!$F$19,MAX(Nonlabor!$F$19,IF(Nonlabor!$E$19="AI",Assumptions!$C$24,Assumptions!$C$25))),C828&lt;=Nonlabor!$G$19,OR(Nonlabor!$H$19="Monthly",AND(Nonlabor!$H$19="Once",C828=IF(Nonlabor!$E$19="Core",Nonlabor!$F$19,MAX(Nonlabor!$F$19,IF(Nonlabor!$E$19="AI",Assumptions!$C$24,Assumptions!$C$25)))),AND(Nonlabor!$H$19="Annual",MOD(C828-IF(Nonlabor!$E$19="Core",Nonlabor!$F$19,MAX(Nonlabor!$F$19,IF(Nonlabor!$E$19="AI",Assumptions!$C$24,Assumptions!$C$25))),12)=0))),IF(Nonlabor!$I$19="Fixed",1,IF(Nonlabor!$I$19="Seats",ROUNDUP('Monthly Lean'!I48,0),IF(Nonlabor!$I$19="Customers",'Monthly Lean'!D48,IF(Nonlabor!$I$19="NewCustomers",'Monthly Lean'!C48,IF(Nonlabor!$I$19="StorageGB",'Monthly Lean'!G48,IF(Nonlabor!$I$19="LogGB",'Monthly Lean'!H48,IF(Nonlabor!$I$19="RequestsM",'Monthly Lean'!F48,IF(Nonlabor!$I$19="InputM",'Monthly Lean'!D48*Assumptions!$C$22/1000000,IF(Nonlabor!$I$19="OutputM",'Monthly Lean'!D48*Assumptions!$C$23/1000000,0))))))))),0)</f>
        <v>0</v>
      </c>
      <c r="F828" s="10" t="n">
        <f aca="false">Nonlabor!$J$19*(1+Assumptions!$C$9)^INT((C828-1)/12)</f>
        <v>13112.724</v>
      </c>
      <c r="G828" s="10" t="n">
        <f aca="false">E828*F828</f>
        <v>0</v>
      </c>
      <c r="H828" s="10" t="n">
        <f aca="false">IF(OR(Nonlabor!$L$19="Quote required",Nonlabor!$L$19="Unverified"),G828,0)</f>
        <v>0</v>
      </c>
      <c r="I828" s="10" t="n">
        <f aca="false">IF(Nonlabor!$E$19="Core",0,G828)</f>
        <v>0</v>
      </c>
      <c r="J828" s="23" t="str">
        <f aca="false">Nonlabor!$B$19</f>
        <v>INSURANCE</v>
      </c>
    </row>
    <row r="829" customFormat="false" ht="15" hidden="false" customHeight="false" outlineLevel="0" collapsed="false">
      <c r="A829" s="6" t="s">
        <v>72</v>
      </c>
      <c r="B829" s="6" t="s">
        <v>49</v>
      </c>
      <c r="C829" s="6" t="n">
        <v>44</v>
      </c>
      <c r="D829" s="25" t="n">
        <f aca="false">EDATE('Start Here'!$B$6,C829-1)</f>
        <v>47635</v>
      </c>
      <c r="E829" s="23" t="n">
        <f aca="false">IF(AND(OR(Nonlabor!$D$19="Both",Nonlabor!$D$19='Start Here'!$B$9),IF(Nonlabor!$E$19="Core",1,IF(Nonlabor!$E$19="AI",'Start Here'!$B$7,'Start Here'!$B$8))=1,C829&gt;=IF(Nonlabor!$E$19="Core",Nonlabor!$F$19,MAX(Nonlabor!$F$19,IF(Nonlabor!$E$19="AI",Assumptions!$C$24,Assumptions!$C$25))),C829&lt;=Nonlabor!$G$19,OR(Nonlabor!$H$19="Monthly",AND(Nonlabor!$H$19="Once",C829=IF(Nonlabor!$E$19="Core",Nonlabor!$F$19,MAX(Nonlabor!$F$19,IF(Nonlabor!$E$19="AI",Assumptions!$C$24,Assumptions!$C$25)))),AND(Nonlabor!$H$19="Annual",MOD(C829-IF(Nonlabor!$E$19="Core",Nonlabor!$F$19,MAX(Nonlabor!$F$19,IF(Nonlabor!$E$19="AI",Assumptions!$C$24,Assumptions!$C$25))),12)=0))),IF(Nonlabor!$I$19="Fixed",1,IF(Nonlabor!$I$19="Seats",ROUNDUP('Monthly Lean'!I49,0),IF(Nonlabor!$I$19="Customers",'Monthly Lean'!D49,IF(Nonlabor!$I$19="NewCustomers",'Monthly Lean'!C49,IF(Nonlabor!$I$19="StorageGB",'Monthly Lean'!G49,IF(Nonlabor!$I$19="LogGB",'Monthly Lean'!H49,IF(Nonlabor!$I$19="RequestsM",'Monthly Lean'!F49,IF(Nonlabor!$I$19="InputM",'Monthly Lean'!D49*Assumptions!$C$22/1000000,IF(Nonlabor!$I$19="OutputM",'Monthly Lean'!D49*Assumptions!$C$23/1000000,0))))))))),0)</f>
        <v>0</v>
      </c>
      <c r="F829" s="10" t="n">
        <f aca="false">Nonlabor!$J$19*(1+Assumptions!$C$9)^INT((C829-1)/12)</f>
        <v>13112.724</v>
      </c>
      <c r="G829" s="10" t="n">
        <f aca="false">E829*F829</f>
        <v>0</v>
      </c>
      <c r="H829" s="10" t="n">
        <f aca="false">IF(OR(Nonlabor!$L$19="Quote required",Nonlabor!$L$19="Unverified"),G829,0)</f>
        <v>0</v>
      </c>
      <c r="I829" s="10" t="n">
        <f aca="false">IF(Nonlabor!$E$19="Core",0,G829)</f>
        <v>0</v>
      </c>
      <c r="J829" s="23" t="str">
        <f aca="false">Nonlabor!$B$19</f>
        <v>INSURANCE</v>
      </c>
    </row>
    <row r="830" customFormat="false" ht="15" hidden="false" customHeight="false" outlineLevel="0" collapsed="false">
      <c r="A830" s="6" t="s">
        <v>72</v>
      </c>
      <c r="B830" s="6" t="s">
        <v>49</v>
      </c>
      <c r="C830" s="6" t="n">
        <v>45</v>
      </c>
      <c r="D830" s="25" t="n">
        <f aca="false">EDATE('Start Here'!$B$6,C830-1)</f>
        <v>47665</v>
      </c>
      <c r="E830" s="23" t="n">
        <f aca="false">IF(AND(OR(Nonlabor!$D$19="Both",Nonlabor!$D$19='Start Here'!$B$9),IF(Nonlabor!$E$19="Core",1,IF(Nonlabor!$E$19="AI",'Start Here'!$B$7,'Start Here'!$B$8))=1,C830&gt;=IF(Nonlabor!$E$19="Core",Nonlabor!$F$19,MAX(Nonlabor!$F$19,IF(Nonlabor!$E$19="AI",Assumptions!$C$24,Assumptions!$C$25))),C830&lt;=Nonlabor!$G$19,OR(Nonlabor!$H$19="Monthly",AND(Nonlabor!$H$19="Once",C830=IF(Nonlabor!$E$19="Core",Nonlabor!$F$19,MAX(Nonlabor!$F$19,IF(Nonlabor!$E$19="AI",Assumptions!$C$24,Assumptions!$C$25)))),AND(Nonlabor!$H$19="Annual",MOD(C830-IF(Nonlabor!$E$19="Core",Nonlabor!$F$19,MAX(Nonlabor!$F$19,IF(Nonlabor!$E$19="AI",Assumptions!$C$24,Assumptions!$C$25))),12)=0))),IF(Nonlabor!$I$19="Fixed",1,IF(Nonlabor!$I$19="Seats",ROUNDUP('Monthly Lean'!I50,0),IF(Nonlabor!$I$19="Customers",'Monthly Lean'!D50,IF(Nonlabor!$I$19="NewCustomers",'Monthly Lean'!C50,IF(Nonlabor!$I$19="StorageGB",'Monthly Lean'!G50,IF(Nonlabor!$I$19="LogGB",'Monthly Lean'!H50,IF(Nonlabor!$I$19="RequestsM",'Monthly Lean'!F50,IF(Nonlabor!$I$19="InputM",'Monthly Lean'!D50*Assumptions!$C$22/1000000,IF(Nonlabor!$I$19="OutputM",'Monthly Lean'!D50*Assumptions!$C$23/1000000,0))))))))),0)</f>
        <v>1</v>
      </c>
      <c r="F830" s="10" t="n">
        <f aca="false">Nonlabor!$J$19*(1+Assumptions!$C$9)^INT((C830-1)/12)</f>
        <v>13112.724</v>
      </c>
      <c r="G830" s="10" t="n">
        <f aca="false">E830*F830</f>
        <v>13112.724</v>
      </c>
      <c r="H830" s="10" t="n">
        <f aca="false">IF(OR(Nonlabor!$L$19="Quote required",Nonlabor!$L$19="Unverified"),G830,0)</f>
        <v>13112.724</v>
      </c>
      <c r="I830" s="10" t="n">
        <f aca="false">IF(Nonlabor!$E$19="Core",0,G830)</f>
        <v>0</v>
      </c>
      <c r="J830" s="23" t="str">
        <f aca="false">Nonlabor!$B$19</f>
        <v>INSURANCE</v>
      </c>
    </row>
    <row r="831" customFormat="false" ht="15" hidden="false" customHeight="false" outlineLevel="0" collapsed="false">
      <c r="A831" s="6" t="s">
        <v>72</v>
      </c>
      <c r="B831" s="6" t="s">
        <v>49</v>
      </c>
      <c r="C831" s="6" t="n">
        <v>46</v>
      </c>
      <c r="D831" s="25" t="n">
        <f aca="false">EDATE('Start Here'!$B$6,C831-1)</f>
        <v>47696</v>
      </c>
      <c r="E831" s="23" t="n">
        <f aca="false">IF(AND(OR(Nonlabor!$D$19="Both",Nonlabor!$D$19='Start Here'!$B$9),IF(Nonlabor!$E$19="Core",1,IF(Nonlabor!$E$19="AI",'Start Here'!$B$7,'Start Here'!$B$8))=1,C831&gt;=IF(Nonlabor!$E$19="Core",Nonlabor!$F$19,MAX(Nonlabor!$F$19,IF(Nonlabor!$E$19="AI",Assumptions!$C$24,Assumptions!$C$25))),C831&lt;=Nonlabor!$G$19,OR(Nonlabor!$H$19="Monthly",AND(Nonlabor!$H$19="Once",C831=IF(Nonlabor!$E$19="Core",Nonlabor!$F$19,MAX(Nonlabor!$F$19,IF(Nonlabor!$E$19="AI",Assumptions!$C$24,Assumptions!$C$25)))),AND(Nonlabor!$H$19="Annual",MOD(C831-IF(Nonlabor!$E$19="Core",Nonlabor!$F$19,MAX(Nonlabor!$F$19,IF(Nonlabor!$E$19="AI",Assumptions!$C$24,Assumptions!$C$25))),12)=0))),IF(Nonlabor!$I$19="Fixed",1,IF(Nonlabor!$I$19="Seats",ROUNDUP('Monthly Lean'!I51,0),IF(Nonlabor!$I$19="Customers",'Monthly Lean'!D51,IF(Nonlabor!$I$19="NewCustomers",'Monthly Lean'!C51,IF(Nonlabor!$I$19="StorageGB",'Monthly Lean'!G51,IF(Nonlabor!$I$19="LogGB",'Monthly Lean'!H51,IF(Nonlabor!$I$19="RequestsM",'Monthly Lean'!F51,IF(Nonlabor!$I$19="InputM",'Monthly Lean'!D51*Assumptions!$C$22/1000000,IF(Nonlabor!$I$19="OutputM",'Monthly Lean'!D51*Assumptions!$C$23/1000000,0))))))))),0)</f>
        <v>0</v>
      </c>
      <c r="F831" s="10" t="n">
        <f aca="false">Nonlabor!$J$19*(1+Assumptions!$C$9)^INT((C831-1)/12)</f>
        <v>13112.724</v>
      </c>
      <c r="G831" s="10" t="n">
        <f aca="false">E831*F831</f>
        <v>0</v>
      </c>
      <c r="H831" s="10" t="n">
        <f aca="false">IF(OR(Nonlabor!$L$19="Quote required",Nonlabor!$L$19="Unverified"),G831,0)</f>
        <v>0</v>
      </c>
      <c r="I831" s="10" t="n">
        <f aca="false">IF(Nonlabor!$E$19="Core",0,G831)</f>
        <v>0</v>
      </c>
      <c r="J831" s="23" t="str">
        <f aca="false">Nonlabor!$B$19</f>
        <v>INSURANCE</v>
      </c>
    </row>
    <row r="832" customFormat="false" ht="15" hidden="false" customHeight="false" outlineLevel="0" collapsed="false">
      <c r="A832" s="6" t="s">
        <v>72</v>
      </c>
      <c r="B832" s="6" t="s">
        <v>49</v>
      </c>
      <c r="C832" s="6" t="n">
        <v>47</v>
      </c>
      <c r="D832" s="25" t="n">
        <f aca="false">EDATE('Start Here'!$B$6,C832-1)</f>
        <v>47727</v>
      </c>
      <c r="E832" s="23" t="n">
        <f aca="false">IF(AND(OR(Nonlabor!$D$19="Both",Nonlabor!$D$19='Start Here'!$B$9),IF(Nonlabor!$E$19="Core",1,IF(Nonlabor!$E$19="AI",'Start Here'!$B$7,'Start Here'!$B$8))=1,C832&gt;=IF(Nonlabor!$E$19="Core",Nonlabor!$F$19,MAX(Nonlabor!$F$19,IF(Nonlabor!$E$19="AI",Assumptions!$C$24,Assumptions!$C$25))),C832&lt;=Nonlabor!$G$19,OR(Nonlabor!$H$19="Monthly",AND(Nonlabor!$H$19="Once",C832=IF(Nonlabor!$E$19="Core",Nonlabor!$F$19,MAX(Nonlabor!$F$19,IF(Nonlabor!$E$19="AI",Assumptions!$C$24,Assumptions!$C$25)))),AND(Nonlabor!$H$19="Annual",MOD(C832-IF(Nonlabor!$E$19="Core",Nonlabor!$F$19,MAX(Nonlabor!$F$19,IF(Nonlabor!$E$19="AI",Assumptions!$C$24,Assumptions!$C$25))),12)=0))),IF(Nonlabor!$I$19="Fixed",1,IF(Nonlabor!$I$19="Seats",ROUNDUP('Monthly Lean'!I52,0),IF(Nonlabor!$I$19="Customers",'Monthly Lean'!D52,IF(Nonlabor!$I$19="NewCustomers",'Monthly Lean'!C52,IF(Nonlabor!$I$19="StorageGB",'Monthly Lean'!G52,IF(Nonlabor!$I$19="LogGB",'Monthly Lean'!H52,IF(Nonlabor!$I$19="RequestsM",'Monthly Lean'!F52,IF(Nonlabor!$I$19="InputM",'Monthly Lean'!D52*Assumptions!$C$22/1000000,IF(Nonlabor!$I$19="OutputM",'Monthly Lean'!D52*Assumptions!$C$23/1000000,0))))))))),0)</f>
        <v>0</v>
      </c>
      <c r="F832" s="10" t="n">
        <f aca="false">Nonlabor!$J$19*(1+Assumptions!$C$9)^INT((C832-1)/12)</f>
        <v>13112.724</v>
      </c>
      <c r="G832" s="10" t="n">
        <f aca="false">E832*F832</f>
        <v>0</v>
      </c>
      <c r="H832" s="10" t="n">
        <f aca="false">IF(OR(Nonlabor!$L$19="Quote required",Nonlabor!$L$19="Unverified"),G832,0)</f>
        <v>0</v>
      </c>
      <c r="I832" s="10" t="n">
        <f aca="false">IF(Nonlabor!$E$19="Core",0,G832)</f>
        <v>0</v>
      </c>
      <c r="J832" s="23" t="str">
        <f aca="false">Nonlabor!$B$19</f>
        <v>INSURANCE</v>
      </c>
    </row>
    <row r="833" customFormat="false" ht="15" hidden="false" customHeight="false" outlineLevel="0" collapsed="false">
      <c r="A833" s="6" t="s">
        <v>72</v>
      </c>
      <c r="B833" s="6" t="s">
        <v>49</v>
      </c>
      <c r="C833" s="6" t="n">
        <v>48</v>
      </c>
      <c r="D833" s="25" t="n">
        <f aca="false">EDATE('Start Here'!$B$6,C833-1)</f>
        <v>47757</v>
      </c>
      <c r="E833" s="23" t="n">
        <f aca="false">IF(AND(OR(Nonlabor!$D$19="Both",Nonlabor!$D$19='Start Here'!$B$9),IF(Nonlabor!$E$19="Core",1,IF(Nonlabor!$E$19="AI",'Start Here'!$B$7,'Start Here'!$B$8))=1,C833&gt;=IF(Nonlabor!$E$19="Core",Nonlabor!$F$19,MAX(Nonlabor!$F$19,IF(Nonlabor!$E$19="AI",Assumptions!$C$24,Assumptions!$C$25))),C833&lt;=Nonlabor!$G$19,OR(Nonlabor!$H$19="Monthly",AND(Nonlabor!$H$19="Once",C833=IF(Nonlabor!$E$19="Core",Nonlabor!$F$19,MAX(Nonlabor!$F$19,IF(Nonlabor!$E$19="AI",Assumptions!$C$24,Assumptions!$C$25)))),AND(Nonlabor!$H$19="Annual",MOD(C833-IF(Nonlabor!$E$19="Core",Nonlabor!$F$19,MAX(Nonlabor!$F$19,IF(Nonlabor!$E$19="AI",Assumptions!$C$24,Assumptions!$C$25))),12)=0))),IF(Nonlabor!$I$19="Fixed",1,IF(Nonlabor!$I$19="Seats",ROUNDUP('Monthly Lean'!I53,0),IF(Nonlabor!$I$19="Customers",'Monthly Lean'!D53,IF(Nonlabor!$I$19="NewCustomers",'Monthly Lean'!C53,IF(Nonlabor!$I$19="StorageGB",'Monthly Lean'!G53,IF(Nonlabor!$I$19="LogGB",'Monthly Lean'!H53,IF(Nonlabor!$I$19="RequestsM",'Monthly Lean'!F53,IF(Nonlabor!$I$19="InputM",'Monthly Lean'!D53*Assumptions!$C$22/1000000,IF(Nonlabor!$I$19="OutputM",'Monthly Lean'!D53*Assumptions!$C$23/1000000,0))))))))),0)</f>
        <v>0</v>
      </c>
      <c r="F833" s="10" t="n">
        <f aca="false">Nonlabor!$J$19*(1+Assumptions!$C$9)^INT((C833-1)/12)</f>
        <v>13112.724</v>
      </c>
      <c r="G833" s="10" t="n">
        <f aca="false">E833*F833</f>
        <v>0</v>
      </c>
      <c r="H833" s="10" t="n">
        <f aca="false">IF(OR(Nonlabor!$L$19="Quote required",Nonlabor!$L$19="Unverified"),G833,0)</f>
        <v>0</v>
      </c>
      <c r="I833" s="10" t="n">
        <f aca="false">IF(Nonlabor!$E$19="Core",0,G833)</f>
        <v>0</v>
      </c>
      <c r="J833" s="23" t="str">
        <f aca="false">Nonlabor!$B$19</f>
        <v>INSURANCE</v>
      </c>
    </row>
    <row r="834" customFormat="false" ht="15" hidden="false" customHeight="false" outlineLevel="0" collapsed="false">
      <c r="A834" s="6" t="s">
        <v>72</v>
      </c>
      <c r="B834" s="6" t="s">
        <v>49</v>
      </c>
      <c r="C834" s="6" t="n">
        <v>49</v>
      </c>
      <c r="D834" s="25" t="n">
        <f aca="false">EDATE('Start Here'!$B$6,C834-1)</f>
        <v>47788</v>
      </c>
      <c r="E834" s="23" t="n">
        <f aca="false">IF(AND(OR(Nonlabor!$D$19="Both",Nonlabor!$D$19='Start Here'!$B$9),IF(Nonlabor!$E$19="Core",1,IF(Nonlabor!$E$19="AI",'Start Here'!$B$7,'Start Here'!$B$8))=1,C834&gt;=IF(Nonlabor!$E$19="Core",Nonlabor!$F$19,MAX(Nonlabor!$F$19,IF(Nonlabor!$E$19="AI",Assumptions!$C$24,Assumptions!$C$25))),C834&lt;=Nonlabor!$G$19,OR(Nonlabor!$H$19="Monthly",AND(Nonlabor!$H$19="Once",C834=IF(Nonlabor!$E$19="Core",Nonlabor!$F$19,MAX(Nonlabor!$F$19,IF(Nonlabor!$E$19="AI",Assumptions!$C$24,Assumptions!$C$25)))),AND(Nonlabor!$H$19="Annual",MOD(C834-IF(Nonlabor!$E$19="Core",Nonlabor!$F$19,MAX(Nonlabor!$F$19,IF(Nonlabor!$E$19="AI",Assumptions!$C$24,Assumptions!$C$25))),12)=0))),IF(Nonlabor!$I$19="Fixed",1,IF(Nonlabor!$I$19="Seats",ROUNDUP('Monthly Lean'!I54,0),IF(Nonlabor!$I$19="Customers",'Monthly Lean'!D54,IF(Nonlabor!$I$19="NewCustomers",'Monthly Lean'!C54,IF(Nonlabor!$I$19="StorageGB",'Monthly Lean'!G54,IF(Nonlabor!$I$19="LogGB",'Monthly Lean'!H54,IF(Nonlabor!$I$19="RequestsM",'Monthly Lean'!F54,IF(Nonlabor!$I$19="InputM",'Monthly Lean'!D54*Assumptions!$C$22/1000000,IF(Nonlabor!$I$19="OutputM",'Monthly Lean'!D54*Assumptions!$C$23/1000000,0))))))))),0)</f>
        <v>0</v>
      </c>
      <c r="F834" s="10" t="n">
        <f aca="false">Nonlabor!$J$19*(1+Assumptions!$C$9)^INT((C834-1)/12)</f>
        <v>13506.10572</v>
      </c>
      <c r="G834" s="10" t="n">
        <f aca="false">E834*F834</f>
        <v>0</v>
      </c>
      <c r="H834" s="10" t="n">
        <f aca="false">IF(OR(Nonlabor!$L$19="Quote required",Nonlabor!$L$19="Unverified"),G834,0)</f>
        <v>0</v>
      </c>
      <c r="I834" s="10" t="n">
        <f aca="false">IF(Nonlabor!$E$19="Core",0,G834)</f>
        <v>0</v>
      </c>
      <c r="J834" s="23" t="str">
        <f aca="false">Nonlabor!$B$19</f>
        <v>INSURANCE</v>
      </c>
    </row>
    <row r="835" customFormat="false" ht="15" hidden="false" customHeight="false" outlineLevel="0" collapsed="false">
      <c r="A835" s="6" t="s">
        <v>72</v>
      </c>
      <c r="B835" s="6" t="s">
        <v>49</v>
      </c>
      <c r="C835" s="6" t="n">
        <v>50</v>
      </c>
      <c r="D835" s="25" t="n">
        <f aca="false">EDATE('Start Here'!$B$6,C835-1)</f>
        <v>47818</v>
      </c>
      <c r="E835" s="23" t="n">
        <f aca="false">IF(AND(OR(Nonlabor!$D$19="Both",Nonlabor!$D$19='Start Here'!$B$9),IF(Nonlabor!$E$19="Core",1,IF(Nonlabor!$E$19="AI",'Start Here'!$B$7,'Start Here'!$B$8))=1,C835&gt;=IF(Nonlabor!$E$19="Core",Nonlabor!$F$19,MAX(Nonlabor!$F$19,IF(Nonlabor!$E$19="AI",Assumptions!$C$24,Assumptions!$C$25))),C835&lt;=Nonlabor!$G$19,OR(Nonlabor!$H$19="Monthly",AND(Nonlabor!$H$19="Once",C835=IF(Nonlabor!$E$19="Core",Nonlabor!$F$19,MAX(Nonlabor!$F$19,IF(Nonlabor!$E$19="AI",Assumptions!$C$24,Assumptions!$C$25)))),AND(Nonlabor!$H$19="Annual",MOD(C835-IF(Nonlabor!$E$19="Core",Nonlabor!$F$19,MAX(Nonlabor!$F$19,IF(Nonlabor!$E$19="AI",Assumptions!$C$24,Assumptions!$C$25))),12)=0))),IF(Nonlabor!$I$19="Fixed",1,IF(Nonlabor!$I$19="Seats",ROUNDUP('Monthly Lean'!I55,0),IF(Nonlabor!$I$19="Customers",'Monthly Lean'!D55,IF(Nonlabor!$I$19="NewCustomers",'Monthly Lean'!C55,IF(Nonlabor!$I$19="StorageGB",'Monthly Lean'!G55,IF(Nonlabor!$I$19="LogGB",'Monthly Lean'!H55,IF(Nonlabor!$I$19="RequestsM",'Monthly Lean'!F55,IF(Nonlabor!$I$19="InputM",'Monthly Lean'!D55*Assumptions!$C$22/1000000,IF(Nonlabor!$I$19="OutputM",'Monthly Lean'!D55*Assumptions!$C$23/1000000,0))))))))),0)</f>
        <v>0</v>
      </c>
      <c r="F835" s="10" t="n">
        <f aca="false">Nonlabor!$J$19*(1+Assumptions!$C$9)^INT((C835-1)/12)</f>
        <v>13506.10572</v>
      </c>
      <c r="G835" s="10" t="n">
        <f aca="false">E835*F835</f>
        <v>0</v>
      </c>
      <c r="H835" s="10" t="n">
        <f aca="false">IF(OR(Nonlabor!$L$19="Quote required",Nonlabor!$L$19="Unverified"),G835,0)</f>
        <v>0</v>
      </c>
      <c r="I835" s="10" t="n">
        <f aca="false">IF(Nonlabor!$E$19="Core",0,G835)</f>
        <v>0</v>
      </c>
      <c r="J835" s="23" t="str">
        <f aca="false">Nonlabor!$B$19</f>
        <v>INSURANCE</v>
      </c>
    </row>
    <row r="836" customFormat="false" ht="15" hidden="false" customHeight="false" outlineLevel="0" collapsed="false">
      <c r="A836" s="6" t="s">
        <v>72</v>
      </c>
      <c r="B836" s="6" t="s">
        <v>49</v>
      </c>
      <c r="C836" s="6" t="n">
        <v>51</v>
      </c>
      <c r="D836" s="25" t="n">
        <f aca="false">EDATE('Start Here'!$B$6,C836-1)</f>
        <v>47849</v>
      </c>
      <c r="E836" s="23" t="n">
        <f aca="false">IF(AND(OR(Nonlabor!$D$19="Both",Nonlabor!$D$19='Start Here'!$B$9),IF(Nonlabor!$E$19="Core",1,IF(Nonlabor!$E$19="AI",'Start Here'!$B$7,'Start Here'!$B$8))=1,C836&gt;=IF(Nonlabor!$E$19="Core",Nonlabor!$F$19,MAX(Nonlabor!$F$19,IF(Nonlabor!$E$19="AI",Assumptions!$C$24,Assumptions!$C$25))),C836&lt;=Nonlabor!$G$19,OR(Nonlabor!$H$19="Monthly",AND(Nonlabor!$H$19="Once",C836=IF(Nonlabor!$E$19="Core",Nonlabor!$F$19,MAX(Nonlabor!$F$19,IF(Nonlabor!$E$19="AI",Assumptions!$C$24,Assumptions!$C$25)))),AND(Nonlabor!$H$19="Annual",MOD(C836-IF(Nonlabor!$E$19="Core",Nonlabor!$F$19,MAX(Nonlabor!$F$19,IF(Nonlabor!$E$19="AI",Assumptions!$C$24,Assumptions!$C$25))),12)=0))),IF(Nonlabor!$I$19="Fixed",1,IF(Nonlabor!$I$19="Seats",ROUNDUP('Monthly Lean'!I56,0),IF(Nonlabor!$I$19="Customers",'Monthly Lean'!D56,IF(Nonlabor!$I$19="NewCustomers",'Monthly Lean'!C56,IF(Nonlabor!$I$19="StorageGB",'Monthly Lean'!G56,IF(Nonlabor!$I$19="LogGB",'Monthly Lean'!H56,IF(Nonlabor!$I$19="RequestsM",'Monthly Lean'!F56,IF(Nonlabor!$I$19="InputM",'Monthly Lean'!D56*Assumptions!$C$22/1000000,IF(Nonlabor!$I$19="OutputM",'Monthly Lean'!D56*Assumptions!$C$23/1000000,0))))))))),0)</f>
        <v>0</v>
      </c>
      <c r="F836" s="10" t="n">
        <f aca="false">Nonlabor!$J$19*(1+Assumptions!$C$9)^INT((C836-1)/12)</f>
        <v>13506.10572</v>
      </c>
      <c r="G836" s="10" t="n">
        <f aca="false">E836*F836</f>
        <v>0</v>
      </c>
      <c r="H836" s="10" t="n">
        <f aca="false">IF(OR(Nonlabor!$L$19="Quote required",Nonlabor!$L$19="Unverified"),G836,0)</f>
        <v>0</v>
      </c>
      <c r="I836" s="10" t="n">
        <f aca="false">IF(Nonlabor!$E$19="Core",0,G836)</f>
        <v>0</v>
      </c>
      <c r="J836" s="23" t="str">
        <f aca="false">Nonlabor!$B$19</f>
        <v>INSURANCE</v>
      </c>
    </row>
    <row r="837" customFormat="false" ht="15" hidden="false" customHeight="false" outlineLevel="0" collapsed="false">
      <c r="A837" s="6" t="s">
        <v>72</v>
      </c>
      <c r="B837" s="6" t="s">
        <v>49</v>
      </c>
      <c r="C837" s="6" t="n">
        <v>52</v>
      </c>
      <c r="D837" s="25" t="n">
        <f aca="false">EDATE('Start Here'!$B$6,C837-1)</f>
        <v>47880</v>
      </c>
      <c r="E837" s="23" t="n">
        <f aca="false">IF(AND(OR(Nonlabor!$D$19="Both",Nonlabor!$D$19='Start Here'!$B$9),IF(Nonlabor!$E$19="Core",1,IF(Nonlabor!$E$19="AI",'Start Here'!$B$7,'Start Here'!$B$8))=1,C837&gt;=IF(Nonlabor!$E$19="Core",Nonlabor!$F$19,MAX(Nonlabor!$F$19,IF(Nonlabor!$E$19="AI",Assumptions!$C$24,Assumptions!$C$25))),C837&lt;=Nonlabor!$G$19,OR(Nonlabor!$H$19="Monthly",AND(Nonlabor!$H$19="Once",C837=IF(Nonlabor!$E$19="Core",Nonlabor!$F$19,MAX(Nonlabor!$F$19,IF(Nonlabor!$E$19="AI",Assumptions!$C$24,Assumptions!$C$25)))),AND(Nonlabor!$H$19="Annual",MOD(C837-IF(Nonlabor!$E$19="Core",Nonlabor!$F$19,MAX(Nonlabor!$F$19,IF(Nonlabor!$E$19="AI",Assumptions!$C$24,Assumptions!$C$25))),12)=0))),IF(Nonlabor!$I$19="Fixed",1,IF(Nonlabor!$I$19="Seats",ROUNDUP('Monthly Lean'!I57,0),IF(Nonlabor!$I$19="Customers",'Monthly Lean'!D57,IF(Nonlabor!$I$19="NewCustomers",'Monthly Lean'!C57,IF(Nonlabor!$I$19="StorageGB",'Monthly Lean'!G57,IF(Nonlabor!$I$19="LogGB",'Monthly Lean'!H57,IF(Nonlabor!$I$19="RequestsM",'Monthly Lean'!F57,IF(Nonlabor!$I$19="InputM",'Monthly Lean'!D57*Assumptions!$C$22/1000000,IF(Nonlabor!$I$19="OutputM",'Monthly Lean'!D57*Assumptions!$C$23/1000000,0))))))))),0)</f>
        <v>0</v>
      </c>
      <c r="F837" s="10" t="n">
        <f aca="false">Nonlabor!$J$19*(1+Assumptions!$C$9)^INT((C837-1)/12)</f>
        <v>13506.10572</v>
      </c>
      <c r="G837" s="10" t="n">
        <f aca="false">E837*F837</f>
        <v>0</v>
      </c>
      <c r="H837" s="10" t="n">
        <f aca="false">IF(OR(Nonlabor!$L$19="Quote required",Nonlabor!$L$19="Unverified"),G837,0)</f>
        <v>0</v>
      </c>
      <c r="I837" s="10" t="n">
        <f aca="false">IF(Nonlabor!$E$19="Core",0,G837)</f>
        <v>0</v>
      </c>
      <c r="J837" s="23" t="str">
        <f aca="false">Nonlabor!$B$19</f>
        <v>INSURANCE</v>
      </c>
    </row>
    <row r="838" customFormat="false" ht="15" hidden="false" customHeight="false" outlineLevel="0" collapsed="false">
      <c r="A838" s="6" t="s">
        <v>72</v>
      </c>
      <c r="B838" s="6" t="s">
        <v>49</v>
      </c>
      <c r="C838" s="6" t="n">
        <v>53</v>
      </c>
      <c r="D838" s="25" t="n">
        <f aca="false">EDATE('Start Here'!$B$6,C838-1)</f>
        <v>47908</v>
      </c>
      <c r="E838" s="23" t="n">
        <f aca="false">IF(AND(OR(Nonlabor!$D$19="Both",Nonlabor!$D$19='Start Here'!$B$9),IF(Nonlabor!$E$19="Core",1,IF(Nonlabor!$E$19="AI",'Start Here'!$B$7,'Start Here'!$B$8))=1,C838&gt;=IF(Nonlabor!$E$19="Core",Nonlabor!$F$19,MAX(Nonlabor!$F$19,IF(Nonlabor!$E$19="AI",Assumptions!$C$24,Assumptions!$C$25))),C838&lt;=Nonlabor!$G$19,OR(Nonlabor!$H$19="Monthly",AND(Nonlabor!$H$19="Once",C838=IF(Nonlabor!$E$19="Core",Nonlabor!$F$19,MAX(Nonlabor!$F$19,IF(Nonlabor!$E$19="AI",Assumptions!$C$24,Assumptions!$C$25)))),AND(Nonlabor!$H$19="Annual",MOD(C838-IF(Nonlabor!$E$19="Core",Nonlabor!$F$19,MAX(Nonlabor!$F$19,IF(Nonlabor!$E$19="AI",Assumptions!$C$24,Assumptions!$C$25))),12)=0))),IF(Nonlabor!$I$19="Fixed",1,IF(Nonlabor!$I$19="Seats",ROUNDUP('Monthly Lean'!I58,0),IF(Nonlabor!$I$19="Customers",'Monthly Lean'!D58,IF(Nonlabor!$I$19="NewCustomers",'Monthly Lean'!C58,IF(Nonlabor!$I$19="StorageGB",'Monthly Lean'!G58,IF(Nonlabor!$I$19="LogGB",'Monthly Lean'!H58,IF(Nonlabor!$I$19="RequestsM",'Monthly Lean'!F58,IF(Nonlabor!$I$19="InputM",'Monthly Lean'!D58*Assumptions!$C$22/1000000,IF(Nonlabor!$I$19="OutputM",'Monthly Lean'!D58*Assumptions!$C$23/1000000,0))))))))),0)</f>
        <v>0</v>
      </c>
      <c r="F838" s="10" t="n">
        <f aca="false">Nonlabor!$J$19*(1+Assumptions!$C$9)^INT((C838-1)/12)</f>
        <v>13506.10572</v>
      </c>
      <c r="G838" s="10" t="n">
        <f aca="false">E838*F838</f>
        <v>0</v>
      </c>
      <c r="H838" s="10" t="n">
        <f aca="false">IF(OR(Nonlabor!$L$19="Quote required",Nonlabor!$L$19="Unverified"),G838,0)</f>
        <v>0</v>
      </c>
      <c r="I838" s="10" t="n">
        <f aca="false">IF(Nonlabor!$E$19="Core",0,G838)</f>
        <v>0</v>
      </c>
      <c r="J838" s="23" t="str">
        <f aca="false">Nonlabor!$B$19</f>
        <v>INSURANCE</v>
      </c>
    </row>
    <row r="839" customFormat="false" ht="15" hidden="false" customHeight="false" outlineLevel="0" collapsed="false">
      <c r="A839" s="6" t="s">
        <v>72</v>
      </c>
      <c r="B839" s="6" t="s">
        <v>49</v>
      </c>
      <c r="C839" s="6" t="n">
        <v>54</v>
      </c>
      <c r="D839" s="25" t="n">
        <f aca="false">EDATE('Start Here'!$B$6,C839-1)</f>
        <v>47939</v>
      </c>
      <c r="E839" s="23" t="n">
        <f aca="false">IF(AND(OR(Nonlabor!$D$19="Both",Nonlabor!$D$19='Start Here'!$B$9),IF(Nonlabor!$E$19="Core",1,IF(Nonlabor!$E$19="AI",'Start Here'!$B$7,'Start Here'!$B$8))=1,C839&gt;=IF(Nonlabor!$E$19="Core",Nonlabor!$F$19,MAX(Nonlabor!$F$19,IF(Nonlabor!$E$19="AI",Assumptions!$C$24,Assumptions!$C$25))),C839&lt;=Nonlabor!$G$19,OR(Nonlabor!$H$19="Monthly",AND(Nonlabor!$H$19="Once",C839=IF(Nonlabor!$E$19="Core",Nonlabor!$F$19,MAX(Nonlabor!$F$19,IF(Nonlabor!$E$19="AI",Assumptions!$C$24,Assumptions!$C$25)))),AND(Nonlabor!$H$19="Annual",MOD(C839-IF(Nonlabor!$E$19="Core",Nonlabor!$F$19,MAX(Nonlabor!$F$19,IF(Nonlabor!$E$19="AI",Assumptions!$C$24,Assumptions!$C$25))),12)=0))),IF(Nonlabor!$I$19="Fixed",1,IF(Nonlabor!$I$19="Seats",ROUNDUP('Monthly Lean'!I59,0),IF(Nonlabor!$I$19="Customers",'Monthly Lean'!D59,IF(Nonlabor!$I$19="NewCustomers",'Monthly Lean'!C59,IF(Nonlabor!$I$19="StorageGB",'Monthly Lean'!G59,IF(Nonlabor!$I$19="LogGB",'Monthly Lean'!H59,IF(Nonlabor!$I$19="RequestsM",'Monthly Lean'!F59,IF(Nonlabor!$I$19="InputM",'Monthly Lean'!D59*Assumptions!$C$22/1000000,IF(Nonlabor!$I$19="OutputM",'Monthly Lean'!D59*Assumptions!$C$23/1000000,0))))))))),0)</f>
        <v>0</v>
      </c>
      <c r="F839" s="10" t="n">
        <f aca="false">Nonlabor!$J$19*(1+Assumptions!$C$9)^INT((C839-1)/12)</f>
        <v>13506.10572</v>
      </c>
      <c r="G839" s="10" t="n">
        <f aca="false">E839*F839</f>
        <v>0</v>
      </c>
      <c r="H839" s="10" t="n">
        <f aca="false">IF(OR(Nonlabor!$L$19="Quote required",Nonlabor!$L$19="Unverified"),G839,0)</f>
        <v>0</v>
      </c>
      <c r="I839" s="10" t="n">
        <f aca="false">IF(Nonlabor!$E$19="Core",0,G839)</f>
        <v>0</v>
      </c>
      <c r="J839" s="23" t="str">
        <f aca="false">Nonlabor!$B$19</f>
        <v>INSURANCE</v>
      </c>
    </row>
    <row r="840" customFormat="false" ht="15" hidden="false" customHeight="false" outlineLevel="0" collapsed="false">
      <c r="A840" s="6" t="s">
        <v>72</v>
      </c>
      <c r="B840" s="6" t="s">
        <v>49</v>
      </c>
      <c r="C840" s="6" t="n">
        <v>55</v>
      </c>
      <c r="D840" s="25" t="n">
        <f aca="false">EDATE('Start Here'!$B$6,C840-1)</f>
        <v>47969</v>
      </c>
      <c r="E840" s="23" t="n">
        <f aca="false">IF(AND(OR(Nonlabor!$D$19="Both",Nonlabor!$D$19='Start Here'!$B$9),IF(Nonlabor!$E$19="Core",1,IF(Nonlabor!$E$19="AI",'Start Here'!$B$7,'Start Here'!$B$8))=1,C840&gt;=IF(Nonlabor!$E$19="Core",Nonlabor!$F$19,MAX(Nonlabor!$F$19,IF(Nonlabor!$E$19="AI",Assumptions!$C$24,Assumptions!$C$25))),C840&lt;=Nonlabor!$G$19,OR(Nonlabor!$H$19="Monthly",AND(Nonlabor!$H$19="Once",C840=IF(Nonlabor!$E$19="Core",Nonlabor!$F$19,MAX(Nonlabor!$F$19,IF(Nonlabor!$E$19="AI",Assumptions!$C$24,Assumptions!$C$25)))),AND(Nonlabor!$H$19="Annual",MOD(C840-IF(Nonlabor!$E$19="Core",Nonlabor!$F$19,MAX(Nonlabor!$F$19,IF(Nonlabor!$E$19="AI",Assumptions!$C$24,Assumptions!$C$25))),12)=0))),IF(Nonlabor!$I$19="Fixed",1,IF(Nonlabor!$I$19="Seats",ROUNDUP('Monthly Lean'!I60,0),IF(Nonlabor!$I$19="Customers",'Monthly Lean'!D60,IF(Nonlabor!$I$19="NewCustomers",'Monthly Lean'!C60,IF(Nonlabor!$I$19="StorageGB",'Monthly Lean'!G60,IF(Nonlabor!$I$19="LogGB",'Monthly Lean'!H60,IF(Nonlabor!$I$19="RequestsM",'Monthly Lean'!F60,IF(Nonlabor!$I$19="InputM",'Monthly Lean'!D60*Assumptions!$C$22/1000000,IF(Nonlabor!$I$19="OutputM",'Monthly Lean'!D60*Assumptions!$C$23/1000000,0))))))))),0)</f>
        <v>0</v>
      </c>
      <c r="F840" s="10" t="n">
        <f aca="false">Nonlabor!$J$19*(1+Assumptions!$C$9)^INT((C840-1)/12)</f>
        <v>13506.10572</v>
      </c>
      <c r="G840" s="10" t="n">
        <f aca="false">E840*F840</f>
        <v>0</v>
      </c>
      <c r="H840" s="10" t="n">
        <f aca="false">IF(OR(Nonlabor!$L$19="Quote required",Nonlabor!$L$19="Unverified"),G840,0)</f>
        <v>0</v>
      </c>
      <c r="I840" s="10" t="n">
        <f aca="false">IF(Nonlabor!$E$19="Core",0,G840)</f>
        <v>0</v>
      </c>
      <c r="J840" s="23" t="str">
        <f aca="false">Nonlabor!$B$19</f>
        <v>INSURANCE</v>
      </c>
    </row>
    <row r="841" customFormat="false" ht="15" hidden="false" customHeight="false" outlineLevel="0" collapsed="false">
      <c r="A841" s="6" t="s">
        <v>72</v>
      </c>
      <c r="B841" s="6" t="s">
        <v>49</v>
      </c>
      <c r="C841" s="6" t="n">
        <v>56</v>
      </c>
      <c r="D841" s="25" t="n">
        <f aca="false">EDATE('Start Here'!$B$6,C841-1)</f>
        <v>48000</v>
      </c>
      <c r="E841" s="23" t="n">
        <f aca="false">IF(AND(OR(Nonlabor!$D$19="Both",Nonlabor!$D$19='Start Here'!$B$9),IF(Nonlabor!$E$19="Core",1,IF(Nonlabor!$E$19="AI",'Start Here'!$B$7,'Start Here'!$B$8))=1,C841&gt;=IF(Nonlabor!$E$19="Core",Nonlabor!$F$19,MAX(Nonlabor!$F$19,IF(Nonlabor!$E$19="AI",Assumptions!$C$24,Assumptions!$C$25))),C841&lt;=Nonlabor!$G$19,OR(Nonlabor!$H$19="Monthly",AND(Nonlabor!$H$19="Once",C841=IF(Nonlabor!$E$19="Core",Nonlabor!$F$19,MAX(Nonlabor!$F$19,IF(Nonlabor!$E$19="AI",Assumptions!$C$24,Assumptions!$C$25)))),AND(Nonlabor!$H$19="Annual",MOD(C841-IF(Nonlabor!$E$19="Core",Nonlabor!$F$19,MAX(Nonlabor!$F$19,IF(Nonlabor!$E$19="AI",Assumptions!$C$24,Assumptions!$C$25))),12)=0))),IF(Nonlabor!$I$19="Fixed",1,IF(Nonlabor!$I$19="Seats",ROUNDUP('Monthly Lean'!I61,0),IF(Nonlabor!$I$19="Customers",'Monthly Lean'!D61,IF(Nonlabor!$I$19="NewCustomers",'Monthly Lean'!C61,IF(Nonlabor!$I$19="StorageGB",'Monthly Lean'!G61,IF(Nonlabor!$I$19="LogGB",'Monthly Lean'!H61,IF(Nonlabor!$I$19="RequestsM",'Monthly Lean'!F61,IF(Nonlabor!$I$19="InputM",'Monthly Lean'!D61*Assumptions!$C$22/1000000,IF(Nonlabor!$I$19="OutputM",'Monthly Lean'!D61*Assumptions!$C$23/1000000,0))))))))),0)</f>
        <v>0</v>
      </c>
      <c r="F841" s="10" t="n">
        <f aca="false">Nonlabor!$J$19*(1+Assumptions!$C$9)^INT((C841-1)/12)</f>
        <v>13506.10572</v>
      </c>
      <c r="G841" s="10" t="n">
        <f aca="false">E841*F841</f>
        <v>0</v>
      </c>
      <c r="H841" s="10" t="n">
        <f aca="false">IF(OR(Nonlabor!$L$19="Quote required",Nonlabor!$L$19="Unverified"),G841,0)</f>
        <v>0</v>
      </c>
      <c r="I841" s="10" t="n">
        <f aca="false">IF(Nonlabor!$E$19="Core",0,G841)</f>
        <v>0</v>
      </c>
      <c r="J841" s="23" t="str">
        <f aca="false">Nonlabor!$B$19</f>
        <v>INSURANCE</v>
      </c>
    </row>
    <row r="842" customFormat="false" ht="15" hidden="false" customHeight="false" outlineLevel="0" collapsed="false">
      <c r="A842" s="6" t="s">
        <v>72</v>
      </c>
      <c r="B842" s="6" t="s">
        <v>49</v>
      </c>
      <c r="C842" s="6" t="n">
        <v>57</v>
      </c>
      <c r="D842" s="25" t="n">
        <f aca="false">EDATE('Start Here'!$B$6,C842-1)</f>
        <v>48030</v>
      </c>
      <c r="E842" s="23" t="n">
        <f aca="false">IF(AND(OR(Nonlabor!$D$19="Both",Nonlabor!$D$19='Start Here'!$B$9),IF(Nonlabor!$E$19="Core",1,IF(Nonlabor!$E$19="AI",'Start Here'!$B$7,'Start Here'!$B$8))=1,C842&gt;=IF(Nonlabor!$E$19="Core",Nonlabor!$F$19,MAX(Nonlabor!$F$19,IF(Nonlabor!$E$19="AI",Assumptions!$C$24,Assumptions!$C$25))),C842&lt;=Nonlabor!$G$19,OR(Nonlabor!$H$19="Monthly",AND(Nonlabor!$H$19="Once",C842=IF(Nonlabor!$E$19="Core",Nonlabor!$F$19,MAX(Nonlabor!$F$19,IF(Nonlabor!$E$19="AI",Assumptions!$C$24,Assumptions!$C$25)))),AND(Nonlabor!$H$19="Annual",MOD(C842-IF(Nonlabor!$E$19="Core",Nonlabor!$F$19,MAX(Nonlabor!$F$19,IF(Nonlabor!$E$19="AI",Assumptions!$C$24,Assumptions!$C$25))),12)=0))),IF(Nonlabor!$I$19="Fixed",1,IF(Nonlabor!$I$19="Seats",ROUNDUP('Monthly Lean'!I62,0),IF(Nonlabor!$I$19="Customers",'Monthly Lean'!D62,IF(Nonlabor!$I$19="NewCustomers",'Monthly Lean'!C62,IF(Nonlabor!$I$19="StorageGB",'Monthly Lean'!G62,IF(Nonlabor!$I$19="LogGB",'Monthly Lean'!H62,IF(Nonlabor!$I$19="RequestsM",'Monthly Lean'!F62,IF(Nonlabor!$I$19="InputM",'Monthly Lean'!D62*Assumptions!$C$22/1000000,IF(Nonlabor!$I$19="OutputM",'Monthly Lean'!D62*Assumptions!$C$23/1000000,0))))))))),0)</f>
        <v>1</v>
      </c>
      <c r="F842" s="10" t="n">
        <f aca="false">Nonlabor!$J$19*(1+Assumptions!$C$9)^INT((C842-1)/12)</f>
        <v>13506.10572</v>
      </c>
      <c r="G842" s="10" t="n">
        <f aca="false">E842*F842</f>
        <v>13506.10572</v>
      </c>
      <c r="H842" s="10" t="n">
        <f aca="false">IF(OR(Nonlabor!$L$19="Quote required",Nonlabor!$L$19="Unverified"),G842,0)</f>
        <v>13506.10572</v>
      </c>
      <c r="I842" s="10" t="n">
        <f aca="false">IF(Nonlabor!$E$19="Core",0,G842)</f>
        <v>0</v>
      </c>
      <c r="J842" s="23" t="str">
        <f aca="false">Nonlabor!$B$19</f>
        <v>INSURANCE</v>
      </c>
    </row>
    <row r="843" customFormat="false" ht="15" hidden="false" customHeight="false" outlineLevel="0" collapsed="false">
      <c r="A843" s="6" t="s">
        <v>72</v>
      </c>
      <c r="B843" s="6" t="s">
        <v>49</v>
      </c>
      <c r="C843" s="6" t="n">
        <v>58</v>
      </c>
      <c r="D843" s="25" t="n">
        <f aca="false">EDATE('Start Here'!$B$6,C843-1)</f>
        <v>48061</v>
      </c>
      <c r="E843" s="23" t="n">
        <f aca="false">IF(AND(OR(Nonlabor!$D$19="Both",Nonlabor!$D$19='Start Here'!$B$9),IF(Nonlabor!$E$19="Core",1,IF(Nonlabor!$E$19="AI",'Start Here'!$B$7,'Start Here'!$B$8))=1,C843&gt;=IF(Nonlabor!$E$19="Core",Nonlabor!$F$19,MAX(Nonlabor!$F$19,IF(Nonlabor!$E$19="AI",Assumptions!$C$24,Assumptions!$C$25))),C843&lt;=Nonlabor!$G$19,OR(Nonlabor!$H$19="Monthly",AND(Nonlabor!$H$19="Once",C843=IF(Nonlabor!$E$19="Core",Nonlabor!$F$19,MAX(Nonlabor!$F$19,IF(Nonlabor!$E$19="AI",Assumptions!$C$24,Assumptions!$C$25)))),AND(Nonlabor!$H$19="Annual",MOD(C843-IF(Nonlabor!$E$19="Core",Nonlabor!$F$19,MAX(Nonlabor!$F$19,IF(Nonlabor!$E$19="AI",Assumptions!$C$24,Assumptions!$C$25))),12)=0))),IF(Nonlabor!$I$19="Fixed",1,IF(Nonlabor!$I$19="Seats",ROUNDUP('Monthly Lean'!I63,0),IF(Nonlabor!$I$19="Customers",'Monthly Lean'!D63,IF(Nonlabor!$I$19="NewCustomers",'Monthly Lean'!C63,IF(Nonlabor!$I$19="StorageGB",'Monthly Lean'!G63,IF(Nonlabor!$I$19="LogGB",'Monthly Lean'!H63,IF(Nonlabor!$I$19="RequestsM",'Monthly Lean'!F63,IF(Nonlabor!$I$19="InputM",'Monthly Lean'!D63*Assumptions!$C$22/1000000,IF(Nonlabor!$I$19="OutputM",'Monthly Lean'!D63*Assumptions!$C$23/1000000,0))))))))),0)</f>
        <v>0</v>
      </c>
      <c r="F843" s="10" t="n">
        <f aca="false">Nonlabor!$J$19*(1+Assumptions!$C$9)^INT((C843-1)/12)</f>
        <v>13506.10572</v>
      </c>
      <c r="G843" s="10" t="n">
        <f aca="false">E843*F843</f>
        <v>0</v>
      </c>
      <c r="H843" s="10" t="n">
        <f aca="false">IF(OR(Nonlabor!$L$19="Quote required",Nonlabor!$L$19="Unverified"),G843,0)</f>
        <v>0</v>
      </c>
      <c r="I843" s="10" t="n">
        <f aca="false">IF(Nonlabor!$E$19="Core",0,G843)</f>
        <v>0</v>
      </c>
      <c r="J843" s="23" t="str">
        <f aca="false">Nonlabor!$B$19</f>
        <v>INSURANCE</v>
      </c>
    </row>
    <row r="844" customFormat="false" ht="15" hidden="false" customHeight="false" outlineLevel="0" collapsed="false">
      <c r="A844" s="6" t="s">
        <v>72</v>
      </c>
      <c r="B844" s="6" t="s">
        <v>49</v>
      </c>
      <c r="C844" s="6" t="n">
        <v>59</v>
      </c>
      <c r="D844" s="25" t="n">
        <f aca="false">EDATE('Start Here'!$B$6,C844-1)</f>
        <v>48092</v>
      </c>
      <c r="E844" s="23" t="n">
        <f aca="false">IF(AND(OR(Nonlabor!$D$19="Both",Nonlabor!$D$19='Start Here'!$B$9),IF(Nonlabor!$E$19="Core",1,IF(Nonlabor!$E$19="AI",'Start Here'!$B$7,'Start Here'!$B$8))=1,C844&gt;=IF(Nonlabor!$E$19="Core",Nonlabor!$F$19,MAX(Nonlabor!$F$19,IF(Nonlabor!$E$19="AI",Assumptions!$C$24,Assumptions!$C$25))),C844&lt;=Nonlabor!$G$19,OR(Nonlabor!$H$19="Monthly",AND(Nonlabor!$H$19="Once",C844=IF(Nonlabor!$E$19="Core",Nonlabor!$F$19,MAX(Nonlabor!$F$19,IF(Nonlabor!$E$19="AI",Assumptions!$C$24,Assumptions!$C$25)))),AND(Nonlabor!$H$19="Annual",MOD(C844-IF(Nonlabor!$E$19="Core",Nonlabor!$F$19,MAX(Nonlabor!$F$19,IF(Nonlabor!$E$19="AI",Assumptions!$C$24,Assumptions!$C$25))),12)=0))),IF(Nonlabor!$I$19="Fixed",1,IF(Nonlabor!$I$19="Seats",ROUNDUP('Monthly Lean'!I64,0),IF(Nonlabor!$I$19="Customers",'Monthly Lean'!D64,IF(Nonlabor!$I$19="NewCustomers",'Monthly Lean'!C64,IF(Nonlabor!$I$19="StorageGB",'Monthly Lean'!G64,IF(Nonlabor!$I$19="LogGB",'Monthly Lean'!H64,IF(Nonlabor!$I$19="RequestsM",'Monthly Lean'!F64,IF(Nonlabor!$I$19="InputM",'Monthly Lean'!D64*Assumptions!$C$22/1000000,IF(Nonlabor!$I$19="OutputM",'Monthly Lean'!D64*Assumptions!$C$23/1000000,0))))))))),0)</f>
        <v>0</v>
      </c>
      <c r="F844" s="10" t="n">
        <f aca="false">Nonlabor!$J$19*(1+Assumptions!$C$9)^INT((C844-1)/12)</f>
        <v>13506.10572</v>
      </c>
      <c r="G844" s="10" t="n">
        <f aca="false">E844*F844</f>
        <v>0</v>
      </c>
      <c r="H844" s="10" t="n">
        <f aca="false">IF(OR(Nonlabor!$L$19="Quote required",Nonlabor!$L$19="Unverified"),G844,0)</f>
        <v>0</v>
      </c>
      <c r="I844" s="10" t="n">
        <f aca="false">IF(Nonlabor!$E$19="Core",0,G844)</f>
        <v>0</v>
      </c>
      <c r="J844" s="23" t="str">
        <f aca="false">Nonlabor!$B$19</f>
        <v>INSURANCE</v>
      </c>
    </row>
    <row r="845" customFormat="false" ht="15" hidden="false" customHeight="false" outlineLevel="0" collapsed="false">
      <c r="A845" s="6" t="s">
        <v>72</v>
      </c>
      <c r="B845" s="6" t="s">
        <v>49</v>
      </c>
      <c r="C845" s="6" t="n">
        <v>60</v>
      </c>
      <c r="D845" s="25" t="n">
        <f aca="false">EDATE('Start Here'!$B$6,C845-1)</f>
        <v>48122</v>
      </c>
      <c r="E845" s="23" t="n">
        <f aca="false">IF(AND(OR(Nonlabor!$D$19="Both",Nonlabor!$D$19='Start Here'!$B$9),IF(Nonlabor!$E$19="Core",1,IF(Nonlabor!$E$19="AI",'Start Here'!$B$7,'Start Here'!$B$8))=1,C845&gt;=IF(Nonlabor!$E$19="Core",Nonlabor!$F$19,MAX(Nonlabor!$F$19,IF(Nonlabor!$E$19="AI",Assumptions!$C$24,Assumptions!$C$25))),C845&lt;=Nonlabor!$G$19,OR(Nonlabor!$H$19="Monthly",AND(Nonlabor!$H$19="Once",C845=IF(Nonlabor!$E$19="Core",Nonlabor!$F$19,MAX(Nonlabor!$F$19,IF(Nonlabor!$E$19="AI",Assumptions!$C$24,Assumptions!$C$25)))),AND(Nonlabor!$H$19="Annual",MOD(C845-IF(Nonlabor!$E$19="Core",Nonlabor!$F$19,MAX(Nonlabor!$F$19,IF(Nonlabor!$E$19="AI",Assumptions!$C$24,Assumptions!$C$25))),12)=0))),IF(Nonlabor!$I$19="Fixed",1,IF(Nonlabor!$I$19="Seats",ROUNDUP('Monthly Lean'!I65,0),IF(Nonlabor!$I$19="Customers",'Monthly Lean'!D65,IF(Nonlabor!$I$19="NewCustomers",'Monthly Lean'!C65,IF(Nonlabor!$I$19="StorageGB",'Monthly Lean'!G65,IF(Nonlabor!$I$19="LogGB",'Monthly Lean'!H65,IF(Nonlabor!$I$19="RequestsM",'Monthly Lean'!F65,IF(Nonlabor!$I$19="InputM",'Monthly Lean'!D65*Assumptions!$C$22/1000000,IF(Nonlabor!$I$19="OutputM",'Monthly Lean'!D65*Assumptions!$C$23/1000000,0))))))))),0)</f>
        <v>0</v>
      </c>
      <c r="F845" s="10" t="n">
        <f aca="false">Nonlabor!$J$19*(1+Assumptions!$C$9)^INT((C845-1)/12)</f>
        <v>13506.10572</v>
      </c>
      <c r="G845" s="10" t="n">
        <f aca="false">E845*F845</f>
        <v>0</v>
      </c>
      <c r="H845" s="10" t="n">
        <f aca="false">IF(OR(Nonlabor!$L$19="Quote required",Nonlabor!$L$19="Unverified"),G845,0)</f>
        <v>0</v>
      </c>
      <c r="I845" s="10" t="n">
        <f aca="false">IF(Nonlabor!$E$19="Core",0,G845)</f>
        <v>0</v>
      </c>
      <c r="J845" s="23" t="str">
        <f aca="false">Nonlabor!$B$19</f>
        <v>INSURANCE</v>
      </c>
    </row>
    <row r="846" customFormat="false" ht="15" hidden="false" customHeight="false" outlineLevel="0" collapsed="false">
      <c r="A846" s="6" t="s">
        <v>72</v>
      </c>
      <c r="B846" s="6" t="s">
        <v>51</v>
      </c>
      <c r="C846" s="6" t="n">
        <v>1</v>
      </c>
      <c r="D846" s="25" t="n">
        <f aca="false">EDATE('Start Here'!$B$6,C846-1)</f>
        <v>46327</v>
      </c>
      <c r="E846" s="23" t="n">
        <f aca="false">IF(AND(OR(Nonlabor!$D$20="Both",Nonlabor!$D$20='Start Here'!$B$9),IF(Nonlabor!$E$20="Core",1,IF(Nonlabor!$E$20="AI",'Start Here'!$B$7,'Start Here'!$B$8))=1,C846&gt;=IF(Nonlabor!$E$20="Core",Nonlabor!$F$20,MAX(Nonlabor!$F$20,IF(Nonlabor!$E$20="AI",Assumptions!$C$24,Assumptions!$C$25))),C846&lt;=Nonlabor!$G$20,OR(Nonlabor!$H$20="Monthly",AND(Nonlabor!$H$20="Once",C846=IF(Nonlabor!$E$20="Core",Nonlabor!$F$20,MAX(Nonlabor!$F$20,IF(Nonlabor!$E$20="AI",Assumptions!$C$24,Assumptions!$C$25)))),AND(Nonlabor!$H$20="Annual",MOD(C846-IF(Nonlabor!$E$20="Core",Nonlabor!$F$20,MAX(Nonlabor!$F$20,IF(Nonlabor!$E$20="AI",Assumptions!$C$24,Assumptions!$C$25))),12)=0))),IF(Nonlabor!$I$20="Fixed",1,IF(Nonlabor!$I$20="Seats",ROUNDUP('Monthly Lean'!I6,0),IF(Nonlabor!$I$20="Customers",'Monthly Lean'!D6,IF(Nonlabor!$I$20="NewCustomers",'Monthly Lean'!C6,IF(Nonlabor!$I$20="StorageGB",'Monthly Lean'!G6,IF(Nonlabor!$I$20="LogGB",'Monthly Lean'!H6,IF(Nonlabor!$I$20="RequestsM",'Monthly Lean'!F6,IF(Nonlabor!$I$20="InputM",'Monthly Lean'!D6*Assumptions!$C$22/1000000,IF(Nonlabor!$I$20="OutputM",'Monthly Lean'!D6*Assumptions!$C$23/1000000,0))))))))),0)</f>
        <v>1</v>
      </c>
      <c r="F846" s="10" t="n">
        <f aca="false">Nonlabor!$J$20*(1+Assumptions!$C$9)^INT((C846-1)/12)</f>
        <v>600</v>
      </c>
      <c r="G846" s="10" t="n">
        <f aca="false">E846*F846</f>
        <v>600</v>
      </c>
      <c r="H846" s="10" t="n">
        <f aca="false">IF(OR(Nonlabor!$L$20="Quote required",Nonlabor!$L$20="Unverified"),G846,0)</f>
        <v>600</v>
      </c>
      <c r="I846" s="10" t="n">
        <f aca="false">IF(Nonlabor!$E$20="Core",0,G846)</f>
        <v>0</v>
      </c>
      <c r="J846" s="23" t="str">
        <f aca="false">Nonlabor!$B$20</f>
        <v>ACCOUNTING</v>
      </c>
    </row>
    <row r="847" customFormat="false" ht="15" hidden="false" customHeight="false" outlineLevel="0" collapsed="false">
      <c r="A847" s="6" t="s">
        <v>72</v>
      </c>
      <c r="B847" s="6" t="s">
        <v>51</v>
      </c>
      <c r="C847" s="6" t="n">
        <v>2</v>
      </c>
      <c r="D847" s="25" t="n">
        <f aca="false">EDATE('Start Here'!$B$6,C847-1)</f>
        <v>46357</v>
      </c>
      <c r="E847" s="23" t="n">
        <f aca="false">IF(AND(OR(Nonlabor!$D$20="Both",Nonlabor!$D$20='Start Here'!$B$9),IF(Nonlabor!$E$20="Core",1,IF(Nonlabor!$E$20="AI",'Start Here'!$B$7,'Start Here'!$B$8))=1,C847&gt;=IF(Nonlabor!$E$20="Core",Nonlabor!$F$20,MAX(Nonlabor!$F$20,IF(Nonlabor!$E$20="AI",Assumptions!$C$24,Assumptions!$C$25))),C847&lt;=Nonlabor!$G$20,OR(Nonlabor!$H$20="Monthly",AND(Nonlabor!$H$20="Once",C847=IF(Nonlabor!$E$20="Core",Nonlabor!$F$20,MAX(Nonlabor!$F$20,IF(Nonlabor!$E$20="AI",Assumptions!$C$24,Assumptions!$C$25)))),AND(Nonlabor!$H$20="Annual",MOD(C847-IF(Nonlabor!$E$20="Core",Nonlabor!$F$20,MAX(Nonlabor!$F$20,IF(Nonlabor!$E$20="AI",Assumptions!$C$24,Assumptions!$C$25))),12)=0))),IF(Nonlabor!$I$20="Fixed",1,IF(Nonlabor!$I$20="Seats",ROUNDUP('Monthly Lean'!I7,0),IF(Nonlabor!$I$20="Customers",'Monthly Lean'!D7,IF(Nonlabor!$I$20="NewCustomers",'Monthly Lean'!C7,IF(Nonlabor!$I$20="StorageGB",'Monthly Lean'!G7,IF(Nonlabor!$I$20="LogGB",'Monthly Lean'!H7,IF(Nonlabor!$I$20="RequestsM",'Monthly Lean'!F7,IF(Nonlabor!$I$20="InputM",'Monthly Lean'!D7*Assumptions!$C$22/1000000,IF(Nonlabor!$I$20="OutputM",'Monthly Lean'!D7*Assumptions!$C$23/1000000,0))))))))),0)</f>
        <v>1</v>
      </c>
      <c r="F847" s="10" t="n">
        <f aca="false">Nonlabor!$J$20*(1+Assumptions!$C$9)^INT((C847-1)/12)</f>
        <v>600</v>
      </c>
      <c r="G847" s="10" t="n">
        <f aca="false">E847*F847</f>
        <v>600</v>
      </c>
      <c r="H847" s="10" t="n">
        <f aca="false">IF(OR(Nonlabor!$L$20="Quote required",Nonlabor!$L$20="Unverified"),G847,0)</f>
        <v>600</v>
      </c>
      <c r="I847" s="10" t="n">
        <f aca="false">IF(Nonlabor!$E$20="Core",0,G847)</f>
        <v>0</v>
      </c>
      <c r="J847" s="23" t="str">
        <f aca="false">Nonlabor!$B$20</f>
        <v>ACCOUNTING</v>
      </c>
    </row>
    <row r="848" customFormat="false" ht="15" hidden="false" customHeight="false" outlineLevel="0" collapsed="false">
      <c r="A848" s="6" t="s">
        <v>72</v>
      </c>
      <c r="B848" s="6" t="s">
        <v>51</v>
      </c>
      <c r="C848" s="6" t="n">
        <v>3</v>
      </c>
      <c r="D848" s="25" t="n">
        <f aca="false">EDATE('Start Here'!$B$6,C848-1)</f>
        <v>46388</v>
      </c>
      <c r="E848" s="23" t="n">
        <f aca="false">IF(AND(OR(Nonlabor!$D$20="Both",Nonlabor!$D$20='Start Here'!$B$9),IF(Nonlabor!$E$20="Core",1,IF(Nonlabor!$E$20="AI",'Start Here'!$B$7,'Start Here'!$B$8))=1,C848&gt;=IF(Nonlabor!$E$20="Core",Nonlabor!$F$20,MAX(Nonlabor!$F$20,IF(Nonlabor!$E$20="AI",Assumptions!$C$24,Assumptions!$C$25))),C848&lt;=Nonlabor!$G$20,OR(Nonlabor!$H$20="Monthly",AND(Nonlabor!$H$20="Once",C848=IF(Nonlabor!$E$20="Core",Nonlabor!$F$20,MAX(Nonlabor!$F$20,IF(Nonlabor!$E$20="AI",Assumptions!$C$24,Assumptions!$C$25)))),AND(Nonlabor!$H$20="Annual",MOD(C848-IF(Nonlabor!$E$20="Core",Nonlabor!$F$20,MAX(Nonlabor!$F$20,IF(Nonlabor!$E$20="AI",Assumptions!$C$24,Assumptions!$C$25))),12)=0))),IF(Nonlabor!$I$20="Fixed",1,IF(Nonlabor!$I$20="Seats",ROUNDUP('Monthly Lean'!I8,0),IF(Nonlabor!$I$20="Customers",'Monthly Lean'!D8,IF(Nonlabor!$I$20="NewCustomers",'Monthly Lean'!C8,IF(Nonlabor!$I$20="StorageGB",'Monthly Lean'!G8,IF(Nonlabor!$I$20="LogGB",'Monthly Lean'!H8,IF(Nonlabor!$I$20="RequestsM",'Monthly Lean'!F8,IF(Nonlabor!$I$20="InputM",'Monthly Lean'!D8*Assumptions!$C$22/1000000,IF(Nonlabor!$I$20="OutputM",'Monthly Lean'!D8*Assumptions!$C$23/1000000,0))))))))),0)</f>
        <v>1</v>
      </c>
      <c r="F848" s="10" t="n">
        <f aca="false">Nonlabor!$J$20*(1+Assumptions!$C$9)^INT((C848-1)/12)</f>
        <v>600</v>
      </c>
      <c r="G848" s="10" t="n">
        <f aca="false">E848*F848</f>
        <v>600</v>
      </c>
      <c r="H848" s="10" t="n">
        <f aca="false">IF(OR(Nonlabor!$L$20="Quote required",Nonlabor!$L$20="Unverified"),G848,0)</f>
        <v>600</v>
      </c>
      <c r="I848" s="10" t="n">
        <f aca="false">IF(Nonlabor!$E$20="Core",0,G848)</f>
        <v>0</v>
      </c>
      <c r="J848" s="23" t="str">
        <f aca="false">Nonlabor!$B$20</f>
        <v>ACCOUNTING</v>
      </c>
    </row>
    <row r="849" customFormat="false" ht="15" hidden="false" customHeight="false" outlineLevel="0" collapsed="false">
      <c r="A849" s="6" t="s">
        <v>72</v>
      </c>
      <c r="B849" s="6" t="s">
        <v>51</v>
      </c>
      <c r="C849" s="6" t="n">
        <v>4</v>
      </c>
      <c r="D849" s="25" t="n">
        <f aca="false">EDATE('Start Here'!$B$6,C849-1)</f>
        <v>46419</v>
      </c>
      <c r="E849" s="23" t="n">
        <f aca="false">IF(AND(OR(Nonlabor!$D$20="Both",Nonlabor!$D$20='Start Here'!$B$9),IF(Nonlabor!$E$20="Core",1,IF(Nonlabor!$E$20="AI",'Start Here'!$B$7,'Start Here'!$B$8))=1,C849&gt;=IF(Nonlabor!$E$20="Core",Nonlabor!$F$20,MAX(Nonlabor!$F$20,IF(Nonlabor!$E$20="AI",Assumptions!$C$24,Assumptions!$C$25))),C849&lt;=Nonlabor!$G$20,OR(Nonlabor!$H$20="Monthly",AND(Nonlabor!$H$20="Once",C849=IF(Nonlabor!$E$20="Core",Nonlabor!$F$20,MAX(Nonlabor!$F$20,IF(Nonlabor!$E$20="AI",Assumptions!$C$24,Assumptions!$C$25)))),AND(Nonlabor!$H$20="Annual",MOD(C849-IF(Nonlabor!$E$20="Core",Nonlabor!$F$20,MAX(Nonlabor!$F$20,IF(Nonlabor!$E$20="AI",Assumptions!$C$24,Assumptions!$C$25))),12)=0))),IF(Nonlabor!$I$20="Fixed",1,IF(Nonlabor!$I$20="Seats",ROUNDUP('Monthly Lean'!I9,0),IF(Nonlabor!$I$20="Customers",'Monthly Lean'!D9,IF(Nonlabor!$I$20="NewCustomers",'Monthly Lean'!C9,IF(Nonlabor!$I$20="StorageGB",'Monthly Lean'!G9,IF(Nonlabor!$I$20="LogGB",'Monthly Lean'!H9,IF(Nonlabor!$I$20="RequestsM",'Monthly Lean'!F9,IF(Nonlabor!$I$20="InputM",'Monthly Lean'!D9*Assumptions!$C$22/1000000,IF(Nonlabor!$I$20="OutputM",'Monthly Lean'!D9*Assumptions!$C$23/1000000,0))))))))),0)</f>
        <v>1</v>
      </c>
      <c r="F849" s="10" t="n">
        <f aca="false">Nonlabor!$J$20*(1+Assumptions!$C$9)^INT((C849-1)/12)</f>
        <v>600</v>
      </c>
      <c r="G849" s="10" t="n">
        <f aca="false">E849*F849</f>
        <v>600</v>
      </c>
      <c r="H849" s="10" t="n">
        <f aca="false">IF(OR(Nonlabor!$L$20="Quote required",Nonlabor!$L$20="Unverified"),G849,0)</f>
        <v>600</v>
      </c>
      <c r="I849" s="10" t="n">
        <f aca="false">IF(Nonlabor!$E$20="Core",0,G849)</f>
        <v>0</v>
      </c>
      <c r="J849" s="23" t="str">
        <f aca="false">Nonlabor!$B$20</f>
        <v>ACCOUNTING</v>
      </c>
    </row>
    <row r="850" customFormat="false" ht="15" hidden="false" customHeight="false" outlineLevel="0" collapsed="false">
      <c r="A850" s="6" t="s">
        <v>72</v>
      </c>
      <c r="B850" s="6" t="s">
        <v>51</v>
      </c>
      <c r="C850" s="6" t="n">
        <v>5</v>
      </c>
      <c r="D850" s="25" t="n">
        <f aca="false">EDATE('Start Here'!$B$6,C850-1)</f>
        <v>46447</v>
      </c>
      <c r="E850" s="23" t="n">
        <f aca="false">IF(AND(OR(Nonlabor!$D$20="Both",Nonlabor!$D$20='Start Here'!$B$9),IF(Nonlabor!$E$20="Core",1,IF(Nonlabor!$E$20="AI",'Start Here'!$B$7,'Start Here'!$B$8))=1,C850&gt;=IF(Nonlabor!$E$20="Core",Nonlabor!$F$20,MAX(Nonlabor!$F$20,IF(Nonlabor!$E$20="AI",Assumptions!$C$24,Assumptions!$C$25))),C850&lt;=Nonlabor!$G$20,OR(Nonlabor!$H$20="Monthly",AND(Nonlabor!$H$20="Once",C850=IF(Nonlabor!$E$20="Core",Nonlabor!$F$20,MAX(Nonlabor!$F$20,IF(Nonlabor!$E$20="AI",Assumptions!$C$24,Assumptions!$C$25)))),AND(Nonlabor!$H$20="Annual",MOD(C850-IF(Nonlabor!$E$20="Core",Nonlabor!$F$20,MAX(Nonlabor!$F$20,IF(Nonlabor!$E$20="AI",Assumptions!$C$24,Assumptions!$C$25))),12)=0))),IF(Nonlabor!$I$20="Fixed",1,IF(Nonlabor!$I$20="Seats",ROUNDUP('Monthly Lean'!I10,0),IF(Nonlabor!$I$20="Customers",'Monthly Lean'!D10,IF(Nonlabor!$I$20="NewCustomers",'Monthly Lean'!C10,IF(Nonlabor!$I$20="StorageGB",'Monthly Lean'!G10,IF(Nonlabor!$I$20="LogGB",'Monthly Lean'!H10,IF(Nonlabor!$I$20="RequestsM",'Monthly Lean'!F10,IF(Nonlabor!$I$20="InputM",'Monthly Lean'!D10*Assumptions!$C$22/1000000,IF(Nonlabor!$I$20="OutputM",'Monthly Lean'!D10*Assumptions!$C$23/1000000,0))))))))),0)</f>
        <v>1</v>
      </c>
      <c r="F850" s="10" t="n">
        <f aca="false">Nonlabor!$J$20*(1+Assumptions!$C$9)^INT((C850-1)/12)</f>
        <v>600</v>
      </c>
      <c r="G850" s="10" t="n">
        <f aca="false">E850*F850</f>
        <v>600</v>
      </c>
      <c r="H850" s="10" t="n">
        <f aca="false">IF(OR(Nonlabor!$L$20="Quote required",Nonlabor!$L$20="Unverified"),G850,0)</f>
        <v>600</v>
      </c>
      <c r="I850" s="10" t="n">
        <f aca="false">IF(Nonlabor!$E$20="Core",0,G850)</f>
        <v>0</v>
      </c>
      <c r="J850" s="23" t="str">
        <f aca="false">Nonlabor!$B$20</f>
        <v>ACCOUNTING</v>
      </c>
    </row>
    <row r="851" customFormat="false" ht="15" hidden="false" customHeight="false" outlineLevel="0" collapsed="false">
      <c r="A851" s="6" t="s">
        <v>72</v>
      </c>
      <c r="B851" s="6" t="s">
        <v>51</v>
      </c>
      <c r="C851" s="6" t="n">
        <v>6</v>
      </c>
      <c r="D851" s="25" t="n">
        <f aca="false">EDATE('Start Here'!$B$6,C851-1)</f>
        <v>46478</v>
      </c>
      <c r="E851" s="23" t="n">
        <f aca="false">IF(AND(OR(Nonlabor!$D$20="Both",Nonlabor!$D$20='Start Here'!$B$9),IF(Nonlabor!$E$20="Core",1,IF(Nonlabor!$E$20="AI",'Start Here'!$B$7,'Start Here'!$B$8))=1,C851&gt;=IF(Nonlabor!$E$20="Core",Nonlabor!$F$20,MAX(Nonlabor!$F$20,IF(Nonlabor!$E$20="AI",Assumptions!$C$24,Assumptions!$C$25))),C851&lt;=Nonlabor!$G$20,OR(Nonlabor!$H$20="Monthly",AND(Nonlabor!$H$20="Once",C851=IF(Nonlabor!$E$20="Core",Nonlabor!$F$20,MAX(Nonlabor!$F$20,IF(Nonlabor!$E$20="AI",Assumptions!$C$24,Assumptions!$C$25)))),AND(Nonlabor!$H$20="Annual",MOD(C851-IF(Nonlabor!$E$20="Core",Nonlabor!$F$20,MAX(Nonlabor!$F$20,IF(Nonlabor!$E$20="AI",Assumptions!$C$24,Assumptions!$C$25))),12)=0))),IF(Nonlabor!$I$20="Fixed",1,IF(Nonlabor!$I$20="Seats",ROUNDUP('Monthly Lean'!I11,0),IF(Nonlabor!$I$20="Customers",'Monthly Lean'!D11,IF(Nonlabor!$I$20="NewCustomers",'Monthly Lean'!C11,IF(Nonlabor!$I$20="StorageGB",'Monthly Lean'!G11,IF(Nonlabor!$I$20="LogGB",'Monthly Lean'!H11,IF(Nonlabor!$I$20="RequestsM",'Monthly Lean'!F11,IF(Nonlabor!$I$20="InputM",'Monthly Lean'!D11*Assumptions!$C$22/1000000,IF(Nonlabor!$I$20="OutputM",'Monthly Lean'!D11*Assumptions!$C$23/1000000,0))))))))),0)</f>
        <v>1</v>
      </c>
      <c r="F851" s="10" t="n">
        <f aca="false">Nonlabor!$J$20*(1+Assumptions!$C$9)^INT((C851-1)/12)</f>
        <v>600</v>
      </c>
      <c r="G851" s="10" t="n">
        <f aca="false">E851*F851</f>
        <v>600</v>
      </c>
      <c r="H851" s="10" t="n">
        <f aca="false">IF(OR(Nonlabor!$L$20="Quote required",Nonlabor!$L$20="Unverified"),G851,0)</f>
        <v>600</v>
      </c>
      <c r="I851" s="10" t="n">
        <f aca="false">IF(Nonlabor!$E$20="Core",0,G851)</f>
        <v>0</v>
      </c>
      <c r="J851" s="23" t="str">
        <f aca="false">Nonlabor!$B$20</f>
        <v>ACCOUNTING</v>
      </c>
    </row>
    <row r="852" customFormat="false" ht="15" hidden="false" customHeight="false" outlineLevel="0" collapsed="false">
      <c r="A852" s="6" t="s">
        <v>72</v>
      </c>
      <c r="B852" s="6" t="s">
        <v>51</v>
      </c>
      <c r="C852" s="6" t="n">
        <v>7</v>
      </c>
      <c r="D852" s="25" t="n">
        <f aca="false">EDATE('Start Here'!$B$6,C852-1)</f>
        <v>46508</v>
      </c>
      <c r="E852" s="23" t="n">
        <f aca="false">IF(AND(OR(Nonlabor!$D$20="Both",Nonlabor!$D$20='Start Here'!$B$9),IF(Nonlabor!$E$20="Core",1,IF(Nonlabor!$E$20="AI",'Start Here'!$B$7,'Start Here'!$B$8))=1,C852&gt;=IF(Nonlabor!$E$20="Core",Nonlabor!$F$20,MAX(Nonlabor!$F$20,IF(Nonlabor!$E$20="AI",Assumptions!$C$24,Assumptions!$C$25))),C852&lt;=Nonlabor!$G$20,OR(Nonlabor!$H$20="Monthly",AND(Nonlabor!$H$20="Once",C852=IF(Nonlabor!$E$20="Core",Nonlabor!$F$20,MAX(Nonlabor!$F$20,IF(Nonlabor!$E$20="AI",Assumptions!$C$24,Assumptions!$C$25)))),AND(Nonlabor!$H$20="Annual",MOD(C852-IF(Nonlabor!$E$20="Core",Nonlabor!$F$20,MAX(Nonlabor!$F$20,IF(Nonlabor!$E$20="AI",Assumptions!$C$24,Assumptions!$C$25))),12)=0))),IF(Nonlabor!$I$20="Fixed",1,IF(Nonlabor!$I$20="Seats",ROUNDUP('Monthly Lean'!I12,0),IF(Nonlabor!$I$20="Customers",'Monthly Lean'!D12,IF(Nonlabor!$I$20="NewCustomers",'Monthly Lean'!C12,IF(Nonlabor!$I$20="StorageGB",'Monthly Lean'!G12,IF(Nonlabor!$I$20="LogGB",'Monthly Lean'!H12,IF(Nonlabor!$I$20="RequestsM",'Monthly Lean'!F12,IF(Nonlabor!$I$20="InputM",'Monthly Lean'!D12*Assumptions!$C$22/1000000,IF(Nonlabor!$I$20="OutputM",'Monthly Lean'!D12*Assumptions!$C$23/1000000,0))))))))),0)</f>
        <v>1</v>
      </c>
      <c r="F852" s="10" t="n">
        <f aca="false">Nonlabor!$J$20*(1+Assumptions!$C$9)^INT((C852-1)/12)</f>
        <v>600</v>
      </c>
      <c r="G852" s="10" t="n">
        <f aca="false">E852*F852</f>
        <v>600</v>
      </c>
      <c r="H852" s="10" t="n">
        <f aca="false">IF(OR(Nonlabor!$L$20="Quote required",Nonlabor!$L$20="Unverified"),G852,0)</f>
        <v>600</v>
      </c>
      <c r="I852" s="10" t="n">
        <f aca="false">IF(Nonlabor!$E$20="Core",0,G852)</f>
        <v>0</v>
      </c>
      <c r="J852" s="23" t="str">
        <f aca="false">Nonlabor!$B$20</f>
        <v>ACCOUNTING</v>
      </c>
    </row>
    <row r="853" customFormat="false" ht="15" hidden="false" customHeight="false" outlineLevel="0" collapsed="false">
      <c r="A853" s="6" t="s">
        <v>72</v>
      </c>
      <c r="B853" s="6" t="s">
        <v>51</v>
      </c>
      <c r="C853" s="6" t="n">
        <v>8</v>
      </c>
      <c r="D853" s="25" t="n">
        <f aca="false">EDATE('Start Here'!$B$6,C853-1)</f>
        <v>46539</v>
      </c>
      <c r="E853" s="23" t="n">
        <f aca="false">IF(AND(OR(Nonlabor!$D$20="Both",Nonlabor!$D$20='Start Here'!$B$9),IF(Nonlabor!$E$20="Core",1,IF(Nonlabor!$E$20="AI",'Start Here'!$B$7,'Start Here'!$B$8))=1,C853&gt;=IF(Nonlabor!$E$20="Core",Nonlabor!$F$20,MAX(Nonlabor!$F$20,IF(Nonlabor!$E$20="AI",Assumptions!$C$24,Assumptions!$C$25))),C853&lt;=Nonlabor!$G$20,OR(Nonlabor!$H$20="Monthly",AND(Nonlabor!$H$20="Once",C853=IF(Nonlabor!$E$20="Core",Nonlabor!$F$20,MAX(Nonlabor!$F$20,IF(Nonlabor!$E$20="AI",Assumptions!$C$24,Assumptions!$C$25)))),AND(Nonlabor!$H$20="Annual",MOD(C853-IF(Nonlabor!$E$20="Core",Nonlabor!$F$20,MAX(Nonlabor!$F$20,IF(Nonlabor!$E$20="AI",Assumptions!$C$24,Assumptions!$C$25))),12)=0))),IF(Nonlabor!$I$20="Fixed",1,IF(Nonlabor!$I$20="Seats",ROUNDUP('Monthly Lean'!I13,0),IF(Nonlabor!$I$20="Customers",'Monthly Lean'!D13,IF(Nonlabor!$I$20="NewCustomers",'Monthly Lean'!C13,IF(Nonlabor!$I$20="StorageGB",'Monthly Lean'!G13,IF(Nonlabor!$I$20="LogGB",'Monthly Lean'!H13,IF(Nonlabor!$I$20="RequestsM",'Monthly Lean'!F13,IF(Nonlabor!$I$20="InputM",'Monthly Lean'!D13*Assumptions!$C$22/1000000,IF(Nonlabor!$I$20="OutputM",'Monthly Lean'!D13*Assumptions!$C$23/1000000,0))))))))),0)</f>
        <v>1</v>
      </c>
      <c r="F853" s="10" t="n">
        <f aca="false">Nonlabor!$J$20*(1+Assumptions!$C$9)^INT((C853-1)/12)</f>
        <v>600</v>
      </c>
      <c r="G853" s="10" t="n">
        <f aca="false">E853*F853</f>
        <v>600</v>
      </c>
      <c r="H853" s="10" t="n">
        <f aca="false">IF(OR(Nonlabor!$L$20="Quote required",Nonlabor!$L$20="Unverified"),G853,0)</f>
        <v>600</v>
      </c>
      <c r="I853" s="10" t="n">
        <f aca="false">IF(Nonlabor!$E$20="Core",0,G853)</f>
        <v>0</v>
      </c>
      <c r="J853" s="23" t="str">
        <f aca="false">Nonlabor!$B$20</f>
        <v>ACCOUNTING</v>
      </c>
    </row>
    <row r="854" customFormat="false" ht="15" hidden="false" customHeight="false" outlineLevel="0" collapsed="false">
      <c r="A854" s="6" t="s">
        <v>72</v>
      </c>
      <c r="B854" s="6" t="s">
        <v>51</v>
      </c>
      <c r="C854" s="6" t="n">
        <v>9</v>
      </c>
      <c r="D854" s="25" t="n">
        <f aca="false">EDATE('Start Here'!$B$6,C854-1)</f>
        <v>46569</v>
      </c>
      <c r="E854" s="23" t="n">
        <f aca="false">IF(AND(OR(Nonlabor!$D$20="Both",Nonlabor!$D$20='Start Here'!$B$9),IF(Nonlabor!$E$20="Core",1,IF(Nonlabor!$E$20="AI",'Start Here'!$B$7,'Start Here'!$B$8))=1,C854&gt;=IF(Nonlabor!$E$20="Core",Nonlabor!$F$20,MAX(Nonlabor!$F$20,IF(Nonlabor!$E$20="AI",Assumptions!$C$24,Assumptions!$C$25))),C854&lt;=Nonlabor!$G$20,OR(Nonlabor!$H$20="Monthly",AND(Nonlabor!$H$20="Once",C854=IF(Nonlabor!$E$20="Core",Nonlabor!$F$20,MAX(Nonlabor!$F$20,IF(Nonlabor!$E$20="AI",Assumptions!$C$24,Assumptions!$C$25)))),AND(Nonlabor!$H$20="Annual",MOD(C854-IF(Nonlabor!$E$20="Core",Nonlabor!$F$20,MAX(Nonlabor!$F$20,IF(Nonlabor!$E$20="AI",Assumptions!$C$24,Assumptions!$C$25))),12)=0))),IF(Nonlabor!$I$20="Fixed",1,IF(Nonlabor!$I$20="Seats",ROUNDUP('Monthly Lean'!I14,0),IF(Nonlabor!$I$20="Customers",'Monthly Lean'!D14,IF(Nonlabor!$I$20="NewCustomers",'Monthly Lean'!C14,IF(Nonlabor!$I$20="StorageGB",'Monthly Lean'!G14,IF(Nonlabor!$I$20="LogGB",'Monthly Lean'!H14,IF(Nonlabor!$I$20="RequestsM",'Monthly Lean'!F14,IF(Nonlabor!$I$20="InputM",'Monthly Lean'!D14*Assumptions!$C$22/1000000,IF(Nonlabor!$I$20="OutputM",'Monthly Lean'!D14*Assumptions!$C$23/1000000,0))))))))),0)</f>
        <v>1</v>
      </c>
      <c r="F854" s="10" t="n">
        <f aca="false">Nonlabor!$J$20*(1+Assumptions!$C$9)^INT((C854-1)/12)</f>
        <v>600</v>
      </c>
      <c r="G854" s="10" t="n">
        <f aca="false">E854*F854</f>
        <v>600</v>
      </c>
      <c r="H854" s="10" t="n">
        <f aca="false">IF(OR(Nonlabor!$L$20="Quote required",Nonlabor!$L$20="Unverified"),G854,0)</f>
        <v>600</v>
      </c>
      <c r="I854" s="10" t="n">
        <f aca="false">IF(Nonlabor!$E$20="Core",0,G854)</f>
        <v>0</v>
      </c>
      <c r="J854" s="23" t="str">
        <f aca="false">Nonlabor!$B$20</f>
        <v>ACCOUNTING</v>
      </c>
    </row>
    <row r="855" customFormat="false" ht="15" hidden="false" customHeight="false" outlineLevel="0" collapsed="false">
      <c r="A855" s="6" t="s">
        <v>72</v>
      </c>
      <c r="B855" s="6" t="s">
        <v>51</v>
      </c>
      <c r="C855" s="6" t="n">
        <v>10</v>
      </c>
      <c r="D855" s="25" t="n">
        <f aca="false">EDATE('Start Here'!$B$6,C855-1)</f>
        <v>46600</v>
      </c>
      <c r="E855" s="23" t="n">
        <f aca="false">IF(AND(OR(Nonlabor!$D$20="Both",Nonlabor!$D$20='Start Here'!$B$9),IF(Nonlabor!$E$20="Core",1,IF(Nonlabor!$E$20="AI",'Start Here'!$B$7,'Start Here'!$B$8))=1,C855&gt;=IF(Nonlabor!$E$20="Core",Nonlabor!$F$20,MAX(Nonlabor!$F$20,IF(Nonlabor!$E$20="AI",Assumptions!$C$24,Assumptions!$C$25))),C855&lt;=Nonlabor!$G$20,OR(Nonlabor!$H$20="Monthly",AND(Nonlabor!$H$20="Once",C855=IF(Nonlabor!$E$20="Core",Nonlabor!$F$20,MAX(Nonlabor!$F$20,IF(Nonlabor!$E$20="AI",Assumptions!$C$24,Assumptions!$C$25)))),AND(Nonlabor!$H$20="Annual",MOD(C855-IF(Nonlabor!$E$20="Core",Nonlabor!$F$20,MAX(Nonlabor!$F$20,IF(Nonlabor!$E$20="AI",Assumptions!$C$24,Assumptions!$C$25))),12)=0))),IF(Nonlabor!$I$20="Fixed",1,IF(Nonlabor!$I$20="Seats",ROUNDUP('Monthly Lean'!I15,0),IF(Nonlabor!$I$20="Customers",'Monthly Lean'!D15,IF(Nonlabor!$I$20="NewCustomers",'Monthly Lean'!C15,IF(Nonlabor!$I$20="StorageGB",'Monthly Lean'!G15,IF(Nonlabor!$I$20="LogGB",'Monthly Lean'!H15,IF(Nonlabor!$I$20="RequestsM",'Monthly Lean'!F15,IF(Nonlabor!$I$20="InputM",'Monthly Lean'!D15*Assumptions!$C$22/1000000,IF(Nonlabor!$I$20="OutputM",'Monthly Lean'!D15*Assumptions!$C$23/1000000,0))))))))),0)</f>
        <v>1</v>
      </c>
      <c r="F855" s="10" t="n">
        <f aca="false">Nonlabor!$J$20*(1+Assumptions!$C$9)^INT((C855-1)/12)</f>
        <v>600</v>
      </c>
      <c r="G855" s="10" t="n">
        <f aca="false">E855*F855</f>
        <v>600</v>
      </c>
      <c r="H855" s="10" t="n">
        <f aca="false">IF(OR(Nonlabor!$L$20="Quote required",Nonlabor!$L$20="Unverified"),G855,0)</f>
        <v>600</v>
      </c>
      <c r="I855" s="10" t="n">
        <f aca="false">IF(Nonlabor!$E$20="Core",0,G855)</f>
        <v>0</v>
      </c>
      <c r="J855" s="23" t="str">
        <f aca="false">Nonlabor!$B$20</f>
        <v>ACCOUNTING</v>
      </c>
    </row>
    <row r="856" customFormat="false" ht="15" hidden="false" customHeight="false" outlineLevel="0" collapsed="false">
      <c r="A856" s="6" t="s">
        <v>72</v>
      </c>
      <c r="B856" s="6" t="s">
        <v>51</v>
      </c>
      <c r="C856" s="6" t="n">
        <v>11</v>
      </c>
      <c r="D856" s="25" t="n">
        <f aca="false">EDATE('Start Here'!$B$6,C856-1)</f>
        <v>46631</v>
      </c>
      <c r="E856" s="23" t="n">
        <f aca="false">IF(AND(OR(Nonlabor!$D$20="Both",Nonlabor!$D$20='Start Here'!$B$9),IF(Nonlabor!$E$20="Core",1,IF(Nonlabor!$E$20="AI",'Start Here'!$B$7,'Start Here'!$B$8))=1,C856&gt;=IF(Nonlabor!$E$20="Core",Nonlabor!$F$20,MAX(Nonlabor!$F$20,IF(Nonlabor!$E$20="AI",Assumptions!$C$24,Assumptions!$C$25))),C856&lt;=Nonlabor!$G$20,OR(Nonlabor!$H$20="Monthly",AND(Nonlabor!$H$20="Once",C856=IF(Nonlabor!$E$20="Core",Nonlabor!$F$20,MAX(Nonlabor!$F$20,IF(Nonlabor!$E$20="AI",Assumptions!$C$24,Assumptions!$C$25)))),AND(Nonlabor!$H$20="Annual",MOD(C856-IF(Nonlabor!$E$20="Core",Nonlabor!$F$20,MAX(Nonlabor!$F$20,IF(Nonlabor!$E$20="AI",Assumptions!$C$24,Assumptions!$C$25))),12)=0))),IF(Nonlabor!$I$20="Fixed",1,IF(Nonlabor!$I$20="Seats",ROUNDUP('Monthly Lean'!I16,0),IF(Nonlabor!$I$20="Customers",'Monthly Lean'!D16,IF(Nonlabor!$I$20="NewCustomers",'Monthly Lean'!C16,IF(Nonlabor!$I$20="StorageGB",'Monthly Lean'!G16,IF(Nonlabor!$I$20="LogGB",'Monthly Lean'!H16,IF(Nonlabor!$I$20="RequestsM",'Monthly Lean'!F16,IF(Nonlabor!$I$20="InputM",'Monthly Lean'!D16*Assumptions!$C$22/1000000,IF(Nonlabor!$I$20="OutputM",'Monthly Lean'!D16*Assumptions!$C$23/1000000,0))))))))),0)</f>
        <v>1</v>
      </c>
      <c r="F856" s="10" t="n">
        <f aca="false">Nonlabor!$J$20*(1+Assumptions!$C$9)^INT((C856-1)/12)</f>
        <v>600</v>
      </c>
      <c r="G856" s="10" t="n">
        <f aca="false">E856*F856</f>
        <v>600</v>
      </c>
      <c r="H856" s="10" t="n">
        <f aca="false">IF(OR(Nonlabor!$L$20="Quote required",Nonlabor!$L$20="Unverified"),G856,0)</f>
        <v>600</v>
      </c>
      <c r="I856" s="10" t="n">
        <f aca="false">IF(Nonlabor!$E$20="Core",0,G856)</f>
        <v>0</v>
      </c>
      <c r="J856" s="23" t="str">
        <f aca="false">Nonlabor!$B$20</f>
        <v>ACCOUNTING</v>
      </c>
    </row>
    <row r="857" customFormat="false" ht="15" hidden="false" customHeight="false" outlineLevel="0" collapsed="false">
      <c r="A857" s="6" t="s">
        <v>72</v>
      </c>
      <c r="B857" s="6" t="s">
        <v>51</v>
      </c>
      <c r="C857" s="6" t="n">
        <v>12</v>
      </c>
      <c r="D857" s="25" t="n">
        <f aca="false">EDATE('Start Here'!$B$6,C857-1)</f>
        <v>46661</v>
      </c>
      <c r="E857" s="23" t="n">
        <f aca="false">IF(AND(OR(Nonlabor!$D$20="Both",Nonlabor!$D$20='Start Here'!$B$9),IF(Nonlabor!$E$20="Core",1,IF(Nonlabor!$E$20="AI",'Start Here'!$B$7,'Start Here'!$B$8))=1,C857&gt;=IF(Nonlabor!$E$20="Core",Nonlabor!$F$20,MAX(Nonlabor!$F$20,IF(Nonlabor!$E$20="AI",Assumptions!$C$24,Assumptions!$C$25))),C857&lt;=Nonlabor!$G$20,OR(Nonlabor!$H$20="Monthly",AND(Nonlabor!$H$20="Once",C857=IF(Nonlabor!$E$20="Core",Nonlabor!$F$20,MAX(Nonlabor!$F$20,IF(Nonlabor!$E$20="AI",Assumptions!$C$24,Assumptions!$C$25)))),AND(Nonlabor!$H$20="Annual",MOD(C857-IF(Nonlabor!$E$20="Core",Nonlabor!$F$20,MAX(Nonlabor!$F$20,IF(Nonlabor!$E$20="AI",Assumptions!$C$24,Assumptions!$C$25))),12)=0))),IF(Nonlabor!$I$20="Fixed",1,IF(Nonlabor!$I$20="Seats",ROUNDUP('Monthly Lean'!I17,0),IF(Nonlabor!$I$20="Customers",'Monthly Lean'!D17,IF(Nonlabor!$I$20="NewCustomers",'Monthly Lean'!C17,IF(Nonlabor!$I$20="StorageGB",'Monthly Lean'!G17,IF(Nonlabor!$I$20="LogGB",'Monthly Lean'!H17,IF(Nonlabor!$I$20="RequestsM",'Monthly Lean'!F17,IF(Nonlabor!$I$20="InputM",'Monthly Lean'!D17*Assumptions!$C$22/1000000,IF(Nonlabor!$I$20="OutputM",'Monthly Lean'!D17*Assumptions!$C$23/1000000,0))))))))),0)</f>
        <v>1</v>
      </c>
      <c r="F857" s="10" t="n">
        <f aca="false">Nonlabor!$J$20*(1+Assumptions!$C$9)^INT((C857-1)/12)</f>
        <v>600</v>
      </c>
      <c r="G857" s="10" t="n">
        <f aca="false">E857*F857</f>
        <v>600</v>
      </c>
      <c r="H857" s="10" t="n">
        <f aca="false">IF(OR(Nonlabor!$L$20="Quote required",Nonlabor!$L$20="Unverified"),G857,0)</f>
        <v>600</v>
      </c>
      <c r="I857" s="10" t="n">
        <f aca="false">IF(Nonlabor!$E$20="Core",0,G857)</f>
        <v>0</v>
      </c>
      <c r="J857" s="23" t="str">
        <f aca="false">Nonlabor!$B$20</f>
        <v>ACCOUNTING</v>
      </c>
    </row>
    <row r="858" customFormat="false" ht="15" hidden="false" customHeight="false" outlineLevel="0" collapsed="false">
      <c r="A858" s="6" t="s">
        <v>72</v>
      </c>
      <c r="B858" s="6" t="s">
        <v>51</v>
      </c>
      <c r="C858" s="6" t="n">
        <v>13</v>
      </c>
      <c r="D858" s="25" t="n">
        <f aca="false">EDATE('Start Here'!$B$6,C858-1)</f>
        <v>46692</v>
      </c>
      <c r="E858" s="23" t="n">
        <f aca="false">IF(AND(OR(Nonlabor!$D$20="Both",Nonlabor!$D$20='Start Here'!$B$9),IF(Nonlabor!$E$20="Core",1,IF(Nonlabor!$E$20="AI",'Start Here'!$B$7,'Start Here'!$B$8))=1,C858&gt;=IF(Nonlabor!$E$20="Core",Nonlabor!$F$20,MAX(Nonlabor!$F$20,IF(Nonlabor!$E$20="AI",Assumptions!$C$24,Assumptions!$C$25))),C858&lt;=Nonlabor!$G$20,OR(Nonlabor!$H$20="Monthly",AND(Nonlabor!$H$20="Once",C858=IF(Nonlabor!$E$20="Core",Nonlabor!$F$20,MAX(Nonlabor!$F$20,IF(Nonlabor!$E$20="AI",Assumptions!$C$24,Assumptions!$C$25)))),AND(Nonlabor!$H$20="Annual",MOD(C858-IF(Nonlabor!$E$20="Core",Nonlabor!$F$20,MAX(Nonlabor!$F$20,IF(Nonlabor!$E$20="AI",Assumptions!$C$24,Assumptions!$C$25))),12)=0))),IF(Nonlabor!$I$20="Fixed",1,IF(Nonlabor!$I$20="Seats",ROUNDUP('Monthly Lean'!I18,0),IF(Nonlabor!$I$20="Customers",'Monthly Lean'!D18,IF(Nonlabor!$I$20="NewCustomers",'Monthly Lean'!C18,IF(Nonlabor!$I$20="StorageGB",'Monthly Lean'!G18,IF(Nonlabor!$I$20="LogGB",'Monthly Lean'!H18,IF(Nonlabor!$I$20="RequestsM",'Monthly Lean'!F18,IF(Nonlabor!$I$20="InputM",'Monthly Lean'!D18*Assumptions!$C$22/1000000,IF(Nonlabor!$I$20="OutputM",'Monthly Lean'!D18*Assumptions!$C$23/1000000,0))))))))),0)</f>
        <v>1</v>
      </c>
      <c r="F858" s="10" t="n">
        <f aca="false">Nonlabor!$J$20*(1+Assumptions!$C$9)^INT((C858-1)/12)</f>
        <v>618</v>
      </c>
      <c r="G858" s="10" t="n">
        <f aca="false">E858*F858</f>
        <v>618</v>
      </c>
      <c r="H858" s="10" t="n">
        <f aca="false">IF(OR(Nonlabor!$L$20="Quote required",Nonlabor!$L$20="Unverified"),G858,0)</f>
        <v>618</v>
      </c>
      <c r="I858" s="10" t="n">
        <f aca="false">IF(Nonlabor!$E$20="Core",0,G858)</f>
        <v>0</v>
      </c>
      <c r="J858" s="23" t="str">
        <f aca="false">Nonlabor!$B$20</f>
        <v>ACCOUNTING</v>
      </c>
    </row>
    <row r="859" customFormat="false" ht="15" hidden="false" customHeight="false" outlineLevel="0" collapsed="false">
      <c r="A859" s="6" t="s">
        <v>72</v>
      </c>
      <c r="B859" s="6" t="s">
        <v>51</v>
      </c>
      <c r="C859" s="6" t="n">
        <v>14</v>
      </c>
      <c r="D859" s="25" t="n">
        <f aca="false">EDATE('Start Here'!$B$6,C859-1)</f>
        <v>46722</v>
      </c>
      <c r="E859" s="23" t="n">
        <f aca="false">IF(AND(OR(Nonlabor!$D$20="Both",Nonlabor!$D$20='Start Here'!$B$9),IF(Nonlabor!$E$20="Core",1,IF(Nonlabor!$E$20="AI",'Start Here'!$B$7,'Start Here'!$B$8))=1,C859&gt;=IF(Nonlabor!$E$20="Core",Nonlabor!$F$20,MAX(Nonlabor!$F$20,IF(Nonlabor!$E$20="AI",Assumptions!$C$24,Assumptions!$C$25))),C859&lt;=Nonlabor!$G$20,OR(Nonlabor!$H$20="Monthly",AND(Nonlabor!$H$20="Once",C859=IF(Nonlabor!$E$20="Core",Nonlabor!$F$20,MAX(Nonlabor!$F$20,IF(Nonlabor!$E$20="AI",Assumptions!$C$24,Assumptions!$C$25)))),AND(Nonlabor!$H$20="Annual",MOD(C859-IF(Nonlabor!$E$20="Core",Nonlabor!$F$20,MAX(Nonlabor!$F$20,IF(Nonlabor!$E$20="AI",Assumptions!$C$24,Assumptions!$C$25))),12)=0))),IF(Nonlabor!$I$20="Fixed",1,IF(Nonlabor!$I$20="Seats",ROUNDUP('Monthly Lean'!I19,0),IF(Nonlabor!$I$20="Customers",'Monthly Lean'!D19,IF(Nonlabor!$I$20="NewCustomers",'Monthly Lean'!C19,IF(Nonlabor!$I$20="StorageGB",'Monthly Lean'!G19,IF(Nonlabor!$I$20="LogGB",'Monthly Lean'!H19,IF(Nonlabor!$I$20="RequestsM",'Monthly Lean'!F19,IF(Nonlabor!$I$20="InputM",'Monthly Lean'!D19*Assumptions!$C$22/1000000,IF(Nonlabor!$I$20="OutputM",'Monthly Lean'!D19*Assumptions!$C$23/1000000,0))))))))),0)</f>
        <v>1</v>
      </c>
      <c r="F859" s="10" t="n">
        <f aca="false">Nonlabor!$J$20*(1+Assumptions!$C$9)^INT((C859-1)/12)</f>
        <v>618</v>
      </c>
      <c r="G859" s="10" t="n">
        <f aca="false">E859*F859</f>
        <v>618</v>
      </c>
      <c r="H859" s="10" t="n">
        <f aca="false">IF(OR(Nonlabor!$L$20="Quote required",Nonlabor!$L$20="Unverified"),G859,0)</f>
        <v>618</v>
      </c>
      <c r="I859" s="10" t="n">
        <f aca="false">IF(Nonlabor!$E$20="Core",0,G859)</f>
        <v>0</v>
      </c>
      <c r="J859" s="23" t="str">
        <f aca="false">Nonlabor!$B$20</f>
        <v>ACCOUNTING</v>
      </c>
    </row>
    <row r="860" customFormat="false" ht="15" hidden="false" customHeight="false" outlineLevel="0" collapsed="false">
      <c r="A860" s="6" t="s">
        <v>72</v>
      </c>
      <c r="B860" s="6" t="s">
        <v>51</v>
      </c>
      <c r="C860" s="6" t="n">
        <v>15</v>
      </c>
      <c r="D860" s="25" t="n">
        <f aca="false">EDATE('Start Here'!$B$6,C860-1)</f>
        <v>46753</v>
      </c>
      <c r="E860" s="23" t="n">
        <f aca="false">IF(AND(OR(Nonlabor!$D$20="Both",Nonlabor!$D$20='Start Here'!$B$9),IF(Nonlabor!$E$20="Core",1,IF(Nonlabor!$E$20="AI",'Start Here'!$B$7,'Start Here'!$B$8))=1,C860&gt;=IF(Nonlabor!$E$20="Core",Nonlabor!$F$20,MAX(Nonlabor!$F$20,IF(Nonlabor!$E$20="AI",Assumptions!$C$24,Assumptions!$C$25))),C860&lt;=Nonlabor!$G$20,OR(Nonlabor!$H$20="Monthly",AND(Nonlabor!$H$20="Once",C860=IF(Nonlabor!$E$20="Core",Nonlabor!$F$20,MAX(Nonlabor!$F$20,IF(Nonlabor!$E$20="AI",Assumptions!$C$24,Assumptions!$C$25)))),AND(Nonlabor!$H$20="Annual",MOD(C860-IF(Nonlabor!$E$20="Core",Nonlabor!$F$20,MAX(Nonlabor!$F$20,IF(Nonlabor!$E$20="AI",Assumptions!$C$24,Assumptions!$C$25))),12)=0))),IF(Nonlabor!$I$20="Fixed",1,IF(Nonlabor!$I$20="Seats",ROUNDUP('Monthly Lean'!I20,0),IF(Nonlabor!$I$20="Customers",'Monthly Lean'!D20,IF(Nonlabor!$I$20="NewCustomers",'Monthly Lean'!C20,IF(Nonlabor!$I$20="StorageGB",'Monthly Lean'!G20,IF(Nonlabor!$I$20="LogGB",'Monthly Lean'!H20,IF(Nonlabor!$I$20="RequestsM",'Monthly Lean'!F20,IF(Nonlabor!$I$20="InputM",'Monthly Lean'!D20*Assumptions!$C$22/1000000,IF(Nonlabor!$I$20="OutputM",'Monthly Lean'!D20*Assumptions!$C$23/1000000,0))))))))),0)</f>
        <v>1</v>
      </c>
      <c r="F860" s="10" t="n">
        <f aca="false">Nonlabor!$J$20*(1+Assumptions!$C$9)^INT((C860-1)/12)</f>
        <v>618</v>
      </c>
      <c r="G860" s="10" t="n">
        <f aca="false">E860*F860</f>
        <v>618</v>
      </c>
      <c r="H860" s="10" t="n">
        <f aca="false">IF(OR(Nonlabor!$L$20="Quote required",Nonlabor!$L$20="Unverified"),G860,0)</f>
        <v>618</v>
      </c>
      <c r="I860" s="10" t="n">
        <f aca="false">IF(Nonlabor!$E$20="Core",0,G860)</f>
        <v>0</v>
      </c>
      <c r="J860" s="23" t="str">
        <f aca="false">Nonlabor!$B$20</f>
        <v>ACCOUNTING</v>
      </c>
    </row>
    <row r="861" customFormat="false" ht="15" hidden="false" customHeight="false" outlineLevel="0" collapsed="false">
      <c r="A861" s="6" t="s">
        <v>72</v>
      </c>
      <c r="B861" s="6" t="s">
        <v>51</v>
      </c>
      <c r="C861" s="6" t="n">
        <v>16</v>
      </c>
      <c r="D861" s="25" t="n">
        <f aca="false">EDATE('Start Here'!$B$6,C861-1)</f>
        <v>46784</v>
      </c>
      <c r="E861" s="23" t="n">
        <f aca="false">IF(AND(OR(Nonlabor!$D$20="Both",Nonlabor!$D$20='Start Here'!$B$9),IF(Nonlabor!$E$20="Core",1,IF(Nonlabor!$E$20="AI",'Start Here'!$B$7,'Start Here'!$B$8))=1,C861&gt;=IF(Nonlabor!$E$20="Core",Nonlabor!$F$20,MAX(Nonlabor!$F$20,IF(Nonlabor!$E$20="AI",Assumptions!$C$24,Assumptions!$C$25))),C861&lt;=Nonlabor!$G$20,OR(Nonlabor!$H$20="Monthly",AND(Nonlabor!$H$20="Once",C861=IF(Nonlabor!$E$20="Core",Nonlabor!$F$20,MAX(Nonlabor!$F$20,IF(Nonlabor!$E$20="AI",Assumptions!$C$24,Assumptions!$C$25)))),AND(Nonlabor!$H$20="Annual",MOD(C861-IF(Nonlabor!$E$20="Core",Nonlabor!$F$20,MAX(Nonlabor!$F$20,IF(Nonlabor!$E$20="AI",Assumptions!$C$24,Assumptions!$C$25))),12)=0))),IF(Nonlabor!$I$20="Fixed",1,IF(Nonlabor!$I$20="Seats",ROUNDUP('Monthly Lean'!I21,0),IF(Nonlabor!$I$20="Customers",'Monthly Lean'!D21,IF(Nonlabor!$I$20="NewCustomers",'Monthly Lean'!C21,IF(Nonlabor!$I$20="StorageGB",'Monthly Lean'!G21,IF(Nonlabor!$I$20="LogGB",'Monthly Lean'!H21,IF(Nonlabor!$I$20="RequestsM",'Monthly Lean'!F21,IF(Nonlabor!$I$20="InputM",'Monthly Lean'!D21*Assumptions!$C$22/1000000,IF(Nonlabor!$I$20="OutputM",'Monthly Lean'!D21*Assumptions!$C$23/1000000,0))))))))),0)</f>
        <v>1</v>
      </c>
      <c r="F861" s="10" t="n">
        <f aca="false">Nonlabor!$J$20*(1+Assumptions!$C$9)^INT((C861-1)/12)</f>
        <v>618</v>
      </c>
      <c r="G861" s="10" t="n">
        <f aca="false">E861*F861</f>
        <v>618</v>
      </c>
      <c r="H861" s="10" t="n">
        <f aca="false">IF(OR(Nonlabor!$L$20="Quote required",Nonlabor!$L$20="Unverified"),G861,0)</f>
        <v>618</v>
      </c>
      <c r="I861" s="10" t="n">
        <f aca="false">IF(Nonlabor!$E$20="Core",0,G861)</f>
        <v>0</v>
      </c>
      <c r="J861" s="23" t="str">
        <f aca="false">Nonlabor!$B$20</f>
        <v>ACCOUNTING</v>
      </c>
    </row>
    <row r="862" customFormat="false" ht="15" hidden="false" customHeight="false" outlineLevel="0" collapsed="false">
      <c r="A862" s="6" t="s">
        <v>72</v>
      </c>
      <c r="B862" s="6" t="s">
        <v>51</v>
      </c>
      <c r="C862" s="6" t="n">
        <v>17</v>
      </c>
      <c r="D862" s="25" t="n">
        <f aca="false">EDATE('Start Here'!$B$6,C862-1)</f>
        <v>46813</v>
      </c>
      <c r="E862" s="23" t="n">
        <f aca="false">IF(AND(OR(Nonlabor!$D$20="Both",Nonlabor!$D$20='Start Here'!$B$9),IF(Nonlabor!$E$20="Core",1,IF(Nonlabor!$E$20="AI",'Start Here'!$B$7,'Start Here'!$B$8))=1,C862&gt;=IF(Nonlabor!$E$20="Core",Nonlabor!$F$20,MAX(Nonlabor!$F$20,IF(Nonlabor!$E$20="AI",Assumptions!$C$24,Assumptions!$C$25))),C862&lt;=Nonlabor!$G$20,OR(Nonlabor!$H$20="Monthly",AND(Nonlabor!$H$20="Once",C862=IF(Nonlabor!$E$20="Core",Nonlabor!$F$20,MAX(Nonlabor!$F$20,IF(Nonlabor!$E$20="AI",Assumptions!$C$24,Assumptions!$C$25)))),AND(Nonlabor!$H$20="Annual",MOD(C862-IF(Nonlabor!$E$20="Core",Nonlabor!$F$20,MAX(Nonlabor!$F$20,IF(Nonlabor!$E$20="AI",Assumptions!$C$24,Assumptions!$C$25))),12)=0))),IF(Nonlabor!$I$20="Fixed",1,IF(Nonlabor!$I$20="Seats",ROUNDUP('Monthly Lean'!I22,0),IF(Nonlabor!$I$20="Customers",'Monthly Lean'!D22,IF(Nonlabor!$I$20="NewCustomers",'Monthly Lean'!C22,IF(Nonlabor!$I$20="StorageGB",'Monthly Lean'!G22,IF(Nonlabor!$I$20="LogGB",'Monthly Lean'!H22,IF(Nonlabor!$I$20="RequestsM",'Monthly Lean'!F22,IF(Nonlabor!$I$20="InputM",'Monthly Lean'!D22*Assumptions!$C$22/1000000,IF(Nonlabor!$I$20="OutputM",'Monthly Lean'!D22*Assumptions!$C$23/1000000,0))))))))),0)</f>
        <v>1</v>
      </c>
      <c r="F862" s="10" t="n">
        <f aca="false">Nonlabor!$J$20*(1+Assumptions!$C$9)^INT((C862-1)/12)</f>
        <v>618</v>
      </c>
      <c r="G862" s="10" t="n">
        <f aca="false">E862*F862</f>
        <v>618</v>
      </c>
      <c r="H862" s="10" t="n">
        <f aca="false">IF(OR(Nonlabor!$L$20="Quote required",Nonlabor!$L$20="Unverified"),G862,0)</f>
        <v>618</v>
      </c>
      <c r="I862" s="10" t="n">
        <f aca="false">IF(Nonlabor!$E$20="Core",0,G862)</f>
        <v>0</v>
      </c>
      <c r="J862" s="23" t="str">
        <f aca="false">Nonlabor!$B$20</f>
        <v>ACCOUNTING</v>
      </c>
    </row>
    <row r="863" customFormat="false" ht="15" hidden="false" customHeight="false" outlineLevel="0" collapsed="false">
      <c r="A863" s="6" t="s">
        <v>72</v>
      </c>
      <c r="B863" s="6" t="s">
        <v>51</v>
      </c>
      <c r="C863" s="6" t="n">
        <v>18</v>
      </c>
      <c r="D863" s="25" t="n">
        <f aca="false">EDATE('Start Here'!$B$6,C863-1)</f>
        <v>46844</v>
      </c>
      <c r="E863" s="23" t="n">
        <f aca="false">IF(AND(OR(Nonlabor!$D$20="Both",Nonlabor!$D$20='Start Here'!$B$9),IF(Nonlabor!$E$20="Core",1,IF(Nonlabor!$E$20="AI",'Start Here'!$B$7,'Start Here'!$B$8))=1,C863&gt;=IF(Nonlabor!$E$20="Core",Nonlabor!$F$20,MAX(Nonlabor!$F$20,IF(Nonlabor!$E$20="AI",Assumptions!$C$24,Assumptions!$C$25))),C863&lt;=Nonlabor!$G$20,OR(Nonlabor!$H$20="Monthly",AND(Nonlabor!$H$20="Once",C863=IF(Nonlabor!$E$20="Core",Nonlabor!$F$20,MAX(Nonlabor!$F$20,IF(Nonlabor!$E$20="AI",Assumptions!$C$24,Assumptions!$C$25)))),AND(Nonlabor!$H$20="Annual",MOD(C863-IF(Nonlabor!$E$20="Core",Nonlabor!$F$20,MAX(Nonlabor!$F$20,IF(Nonlabor!$E$20="AI",Assumptions!$C$24,Assumptions!$C$25))),12)=0))),IF(Nonlabor!$I$20="Fixed",1,IF(Nonlabor!$I$20="Seats",ROUNDUP('Monthly Lean'!I23,0),IF(Nonlabor!$I$20="Customers",'Monthly Lean'!D23,IF(Nonlabor!$I$20="NewCustomers",'Monthly Lean'!C23,IF(Nonlabor!$I$20="StorageGB",'Monthly Lean'!G23,IF(Nonlabor!$I$20="LogGB",'Monthly Lean'!H23,IF(Nonlabor!$I$20="RequestsM",'Monthly Lean'!F23,IF(Nonlabor!$I$20="InputM",'Monthly Lean'!D23*Assumptions!$C$22/1000000,IF(Nonlabor!$I$20="OutputM",'Monthly Lean'!D23*Assumptions!$C$23/1000000,0))))))))),0)</f>
        <v>1</v>
      </c>
      <c r="F863" s="10" t="n">
        <f aca="false">Nonlabor!$J$20*(1+Assumptions!$C$9)^INT((C863-1)/12)</f>
        <v>618</v>
      </c>
      <c r="G863" s="10" t="n">
        <f aca="false">E863*F863</f>
        <v>618</v>
      </c>
      <c r="H863" s="10" t="n">
        <f aca="false">IF(OR(Nonlabor!$L$20="Quote required",Nonlabor!$L$20="Unverified"),G863,0)</f>
        <v>618</v>
      </c>
      <c r="I863" s="10" t="n">
        <f aca="false">IF(Nonlabor!$E$20="Core",0,G863)</f>
        <v>0</v>
      </c>
      <c r="J863" s="23" t="str">
        <f aca="false">Nonlabor!$B$20</f>
        <v>ACCOUNTING</v>
      </c>
    </row>
    <row r="864" customFormat="false" ht="15" hidden="false" customHeight="false" outlineLevel="0" collapsed="false">
      <c r="A864" s="6" t="s">
        <v>72</v>
      </c>
      <c r="B864" s="6" t="s">
        <v>51</v>
      </c>
      <c r="C864" s="6" t="n">
        <v>19</v>
      </c>
      <c r="D864" s="25" t="n">
        <f aca="false">EDATE('Start Here'!$B$6,C864-1)</f>
        <v>46874</v>
      </c>
      <c r="E864" s="23" t="n">
        <f aca="false">IF(AND(OR(Nonlabor!$D$20="Both",Nonlabor!$D$20='Start Here'!$B$9),IF(Nonlabor!$E$20="Core",1,IF(Nonlabor!$E$20="AI",'Start Here'!$B$7,'Start Here'!$B$8))=1,C864&gt;=IF(Nonlabor!$E$20="Core",Nonlabor!$F$20,MAX(Nonlabor!$F$20,IF(Nonlabor!$E$20="AI",Assumptions!$C$24,Assumptions!$C$25))),C864&lt;=Nonlabor!$G$20,OR(Nonlabor!$H$20="Monthly",AND(Nonlabor!$H$20="Once",C864=IF(Nonlabor!$E$20="Core",Nonlabor!$F$20,MAX(Nonlabor!$F$20,IF(Nonlabor!$E$20="AI",Assumptions!$C$24,Assumptions!$C$25)))),AND(Nonlabor!$H$20="Annual",MOD(C864-IF(Nonlabor!$E$20="Core",Nonlabor!$F$20,MAX(Nonlabor!$F$20,IF(Nonlabor!$E$20="AI",Assumptions!$C$24,Assumptions!$C$25))),12)=0))),IF(Nonlabor!$I$20="Fixed",1,IF(Nonlabor!$I$20="Seats",ROUNDUP('Monthly Lean'!I24,0),IF(Nonlabor!$I$20="Customers",'Monthly Lean'!D24,IF(Nonlabor!$I$20="NewCustomers",'Monthly Lean'!C24,IF(Nonlabor!$I$20="StorageGB",'Monthly Lean'!G24,IF(Nonlabor!$I$20="LogGB",'Monthly Lean'!H24,IF(Nonlabor!$I$20="RequestsM",'Monthly Lean'!F24,IF(Nonlabor!$I$20="InputM",'Monthly Lean'!D24*Assumptions!$C$22/1000000,IF(Nonlabor!$I$20="OutputM",'Monthly Lean'!D24*Assumptions!$C$23/1000000,0))))))))),0)</f>
        <v>1</v>
      </c>
      <c r="F864" s="10" t="n">
        <f aca="false">Nonlabor!$J$20*(1+Assumptions!$C$9)^INT((C864-1)/12)</f>
        <v>618</v>
      </c>
      <c r="G864" s="10" t="n">
        <f aca="false">E864*F864</f>
        <v>618</v>
      </c>
      <c r="H864" s="10" t="n">
        <f aca="false">IF(OR(Nonlabor!$L$20="Quote required",Nonlabor!$L$20="Unverified"),G864,0)</f>
        <v>618</v>
      </c>
      <c r="I864" s="10" t="n">
        <f aca="false">IF(Nonlabor!$E$20="Core",0,G864)</f>
        <v>0</v>
      </c>
      <c r="J864" s="23" t="str">
        <f aca="false">Nonlabor!$B$20</f>
        <v>ACCOUNTING</v>
      </c>
    </row>
    <row r="865" customFormat="false" ht="15" hidden="false" customHeight="false" outlineLevel="0" collapsed="false">
      <c r="A865" s="6" t="s">
        <v>72</v>
      </c>
      <c r="B865" s="6" t="s">
        <v>51</v>
      </c>
      <c r="C865" s="6" t="n">
        <v>20</v>
      </c>
      <c r="D865" s="25" t="n">
        <f aca="false">EDATE('Start Here'!$B$6,C865-1)</f>
        <v>46905</v>
      </c>
      <c r="E865" s="23" t="n">
        <f aca="false">IF(AND(OR(Nonlabor!$D$20="Both",Nonlabor!$D$20='Start Here'!$B$9),IF(Nonlabor!$E$20="Core",1,IF(Nonlabor!$E$20="AI",'Start Here'!$B$7,'Start Here'!$B$8))=1,C865&gt;=IF(Nonlabor!$E$20="Core",Nonlabor!$F$20,MAX(Nonlabor!$F$20,IF(Nonlabor!$E$20="AI",Assumptions!$C$24,Assumptions!$C$25))),C865&lt;=Nonlabor!$G$20,OR(Nonlabor!$H$20="Monthly",AND(Nonlabor!$H$20="Once",C865=IF(Nonlabor!$E$20="Core",Nonlabor!$F$20,MAX(Nonlabor!$F$20,IF(Nonlabor!$E$20="AI",Assumptions!$C$24,Assumptions!$C$25)))),AND(Nonlabor!$H$20="Annual",MOD(C865-IF(Nonlabor!$E$20="Core",Nonlabor!$F$20,MAX(Nonlabor!$F$20,IF(Nonlabor!$E$20="AI",Assumptions!$C$24,Assumptions!$C$25))),12)=0))),IF(Nonlabor!$I$20="Fixed",1,IF(Nonlabor!$I$20="Seats",ROUNDUP('Monthly Lean'!I25,0),IF(Nonlabor!$I$20="Customers",'Monthly Lean'!D25,IF(Nonlabor!$I$20="NewCustomers",'Monthly Lean'!C25,IF(Nonlabor!$I$20="StorageGB",'Monthly Lean'!G25,IF(Nonlabor!$I$20="LogGB",'Monthly Lean'!H25,IF(Nonlabor!$I$20="RequestsM",'Monthly Lean'!F25,IF(Nonlabor!$I$20="InputM",'Monthly Lean'!D25*Assumptions!$C$22/1000000,IF(Nonlabor!$I$20="OutputM",'Monthly Lean'!D25*Assumptions!$C$23/1000000,0))))))))),0)</f>
        <v>1</v>
      </c>
      <c r="F865" s="10" t="n">
        <f aca="false">Nonlabor!$J$20*(1+Assumptions!$C$9)^INT((C865-1)/12)</f>
        <v>618</v>
      </c>
      <c r="G865" s="10" t="n">
        <f aca="false">E865*F865</f>
        <v>618</v>
      </c>
      <c r="H865" s="10" t="n">
        <f aca="false">IF(OR(Nonlabor!$L$20="Quote required",Nonlabor!$L$20="Unverified"),G865,0)</f>
        <v>618</v>
      </c>
      <c r="I865" s="10" t="n">
        <f aca="false">IF(Nonlabor!$E$20="Core",0,G865)</f>
        <v>0</v>
      </c>
      <c r="J865" s="23" t="str">
        <f aca="false">Nonlabor!$B$20</f>
        <v>ACCOUNTING</v>
      </c>
    </row>
    <row r="866" customFormat="false" ht="15" hidden="false" customHeight="false" outlineLevel="0" collapsed="false">
      <c r="A866" s="6" t="s">
        <v>72</v>
      </c>
      <c r="B866" s="6" t="s">
        <v>51</v>
      </c>
      <c r="C866" s="6" t="n">
        <v>21</v>
      </c>
      <c r="D866" s="25" t="n">
        <f aca="false">EDATE('Start Here'!$B$6,C866-1)</f>
        <v>46935</v>
      </c>
      <c r="E866" s="23" t="n">
        <f aca="false">IF(AND(OR(Nonlabor!$D$20="Both",Nonlabor!$D$20='Start Here'!$B$9),IF(Nonlabor!$E$20="Core",1,IF(Nonlabor!$E$20="AI",'Start Here'!$B$7,'Start Here'!$B$8))=1,C866&gt;=IF(Nonlabor!$E$20="Core",Nonlabor!$F$20,MAX(Nonlabor!$F$20,IF(Nonlabor!$E$20="AI",Assumptions!$C$24,Assumptions!$C$25))),C866&lt;=Nonlabor!$G$20,OR(Nonlabor!$H$20="Monthly",AND(Nonlabor!$H$20="Once",C866=IF(Nonlabor!$E$20="Core",Nonlabor!$F$20,MAX(Nonlabor!$F$20,IF(Nonlabor!$E$20="AI",Assumptions!$C$24,Assumptions!$C$25)))),AND(Nonlabor!$H$20="Annual",MOD(C866-IF(Nonlabor!$E$20="Core",Nonlabor!$F$20,MAX(Nonlabor!$F$20,IF(Nonlabor!$E$20="AI",Assumptions!$C$24,Assumptions!$C$25))),12)=0))),IF(Nonlabor!$I$20="Fixed",1,IF(Nonlabor!$I$20="Seats",ROUNDUP('Monthly Lean'!I26,0),IF(Nonlabor!$I$20="Customers",'Monthly Lean'!D26,IF(Nonlabor!$I$20="NewCustomers",'Monthly Lean'!C26,IF(Nonlabor!$I$20="StorageGB",'Monthly Lean'!G26,IF(Nonlabor!$I$20="LogGB",'Monthly Lean'!H26,IF(Nonlabor!$I$20="RequestsM",'Monthly Lean'!F26,IF(Nonlabor!$I$20="InputM",'Monthly Lean'!D26*Assumptions!$C$22/1000000,IF(Nonlabor!$I$20="OutputM",'Monthly Lean'!D26*Assumptions!$C$23/1000000,0))))))))),0)</f>
        <v>1</v>
      </c>
      <c r="F866" s="10" t="n">
        <f aca="false">Nonlabor!$J$20*(1+Assumptions!$C$9)^INT((C866-1)/12)</f>
        <v>618</v>
      </c>
      <c r="G866" s="10" t="n">
        <f aca="false">E866*F866</f>
        <v>618</v>
      </c>
      <c r="H866" s="10" t="n">
        <f aca="false">IF(OR(Nonlabor!$L$20="Quote required",Nonlabor!$L$20="Unverified"),G866,0)</f>
        <v>618</v>
      </c>
      <c r="I866" s="10" t="n">
        <f aca="false">IF(Nonlabor!$E$20="Core",0,G866)</f>
        <v>0</v>
      </c>
      <c r="J866" s="23" t="str">
        <f aca="false">Nonlabor!$B$20</f>
        <v>ACCOUNTING</v>
      </c>
    </row>
    <row r="867" customFormat="false" ht="15" hidden="false" customHeight="false" outlineLevel="0" collapsed="false">
      <c r="A867" s="6" t="s">
        <v>72</v>
      </c>
      <c r="B867" s="6" t="s">
        <v>51</v>
      </c>
      <c r="C867" s="6" t="n">
        <v>22</v>
      </c>
      <c r="D867" s="25" t="n">
        <f aca="false">EDATE('Start Here'!$B$6,C867-1)</f>
        <v>46966</v>
      </c>
      <c r="E867" s="23" t="n">
        <f aca="false">IF(AND(OR(Nonlabor!$D$20="Both",Nonlabor!$D$20='Start Here'!$B$9),IF(Nonlabor!$E$20="Core",1,IF(Nonlabor!$E$20="AI",'Start Here'!$B$7,'Start Here'!$B$8))=1,C867&gt;=IF(Nonlabor!$E$20="Core",Nonlabor!$F$20,MAX(Nonlabor!$F$20,IF(Nonlabor!$E$20="AI",Assumptions!$C$24,Assumptions!$C$25))),C867&lt;=Nonlabor!$G$20,OR(Nonlabor!$H$20="Monthly",AND(Nonlabor!$H$20="Once",C867=IF(Nonlabor!$E$20="Core",Nonlabor!$F$20,MAX(Nonlabor!$F$20,IF(Nonlabor!$E$20="AI",Assumptions!$C$24,Assumptions!$C$25)))),AND(Nonlabor!$H$20="Annual",MOD(C867-IF(Nonlabor!$E$20="Core",Nonlabor!$F$20,MAX(Nonlabor!$F$20,IF(Nonlabor!$E$20="AI",Assumptions!$C$24,Assumptions!$C$25))),12)=0))),IF(Nonlabor!$I$20="Fixed",1,IF(Nonlabor!$I$20="Seats",ROUNDUP('Monthly Lean'!I27,0),IF(Nonlabor!$I$20="Customers",'Monthly Lean'!D27,IF(Nonlabor!$I$20="NewCustomers",'Monthly Lean'!C27,IF(Nonlabor!$I$20="StorageGB",'Monthly Lean'!G27,IF(Nonlabor!$I$20="LogGB",'Monthly Lean'!H27,IF(Nonlabor!$I$20="RequestsM",'Monthly Lean'!F27,IF(Nonlabor!$I$20="InputM",'Monthly Lean'!D27*Assumptions!$C$22/1000000,IF(Nonlabor!$I$20="OutputM",'Monthly Lean'!D27*Assumptions!$C$23/1000000,0))))))))),0)</f>
        <v>1</v>
      </c>
      <c r="F867" s="10" t="n">
        <f aca="false">Nonlabor!$J$20*(1+Assumptions!$C$9)^INT((C867-1)/12)</f>
        <v>618</v>
      </c>
      <c r="G867" s="10" t="n">
        <f aca="false">E867*F867</f>
        <v>618</v>
      </c>
      <c r="H867" s="10" t="n">
        <f aca="false">IF(OR(Nonlabor!$L$20="Quote required",Nonlabor!$L$20="Unverified"),G867,0)</f>
        <v>618</v>
      </c>
      <c r="I867" s="10" t="n">
        <f aca="false">IF(Nonlabor!$E$20="Core",0,G867)</f>
        <v>0</v>
      </c>
      <c r="J867" s="23" t="str">
        <f aca="false">Nonlabor!$B$20</f>
        <v>ACCOUNTING</v>
      </c>
    </row>
    <row r="868" customFormat="false" ht="15" hidden="false" customHeight="false" outlineLevel="0" collapsed="false">
      <c r="A868" s="6" t="s">
        <v>72</v>
      </c>
      <c r="B868" s="6" t="s">
        <v>51</v>
      </c>
      <c r="C868" s="6" t="n">
        <v>23</v>
      </c>
      <c r="D868" s="25" t="n">
        <f aca="false">EDATE('Start Here'!$B$6,C868-1)</f>
        <v>46997</v>
      </c>
      <c r="E868" s="23" t="n">
        <f aca="false">IF(AND(OR(Nonlabor!$D$20="Both",Nonlabor!$D$20='Start Here'!$B$9),IF(Nonlabor!$E$20="Core",1,IF(Nonlabor!$E$20="AI",'Start Here'!$B$7,'Start Here'!$B$8))=1,C868&gt;=IF(Nonlabor!$E$20="Core",Nonlabor!$F$20,MAX(Nonlabor!$F$20,IF(Nonlabor!$E$20="AI",Assumptions!$C$24,Assumptions!$C$25))),C868&lt;=Nonlabor!$G$20,OR(Nonlabor!$H$20="Monthly",AND(Nonlabor!$H$20="Once",C868=IF(Nonlabor!$E$20="Core",Nonlabor!$F$20,MAX(Nonlabor!$F$20,IF(Nonlabor!$E$20="AI",Assumptions!$C$24,Assumptions!$C$25)))),AND(Nonlabor!$H$20="Annual",MOD(C868-IF(Nonlabor!$E$20="Core",Nonlabor!$F$20,MAX(Nonlabor!$F$20,IF(Nonlabor!$E$20="AI",Assumptions!$C$24,Assumptions!$C$25))),12)=0))),IF(Nonlabor!$I$20="Fixed",1,IF(Nonlabor!$I$20="Seats",ROUNDUP('Monthly Lean'!I28,0),IF(Nonlabor!$I$20="Customers",'Monthly Lean'!D28,IF(Nonlabor!$I$20="NewCustomers",'Monthly Lean'!C28,IF(Nonlabor!$I$20="StorageGB",'Monthly Lean'!G28,IF(Nonlabor!$I$20="LogGB",'Monthly Lean'!H28,IF(Nonlabor!$I$20="RequestsM",'Monthly Lean'!F28,IF(Nonlabor!$I$20="InputM",'Monthly Lean'!D28*Assumptions!$C$22/1000000,IF(Nonlabor!$I$20="OutputM",'Monthly Lean'!D28*Assumptions!$C$23/1000000,0))))))))),0)</f>
        <v>1</v>
      </c>
      <c r="F868" s="10" t="n">
        <f aca="false">Nonlabor!$J$20*(1+Assumptions!$C$9)^INT((C868-1)/12)</f>
        <v>618</v>
      </c>
      <c r="G868" s="10" t="n">
        <f aca="false">E868*F868</f>
        <v>618</v>
      </c>
      <c r="H868" s="10" t="n">
        <f aca="false">IF(OR(Nonlabor!$L$20="Quote required",Nonlabor!$L$20="Unverified"),G868,0)</f>
        <v>618</v>
      </c>
      <c r="I868" s="10" t="n">
        <f aca="false">IF(Nonlabor!$E$20="Core",0,G868)</f>
        <v>0</v>
      </c>
      <c r="J868" s="23" t="str">
        <f aca="false">Nonlabor!$B$20</f>
        <v>ACCOUNTING</v>
      </c>
    </row>
    <row r="869" customFormat="false" ht="15" hidden="false" customHeight="false" outlineLevel="0" collapsed="false">
      <c r="A869" s="6" t="s">
        <v>72</v>
      </c>
      <c r="B869" s="6" t="s">
        <v>51</v>
      </c>
      <c r="C869" s="6" t="n">
        <v>24</v>
      </c>
      <c r="D869" s="25" t="n">
        <f aca="false">EDATE('Start Here'!$B$6,C869-1)</f>
        <v>47027</v>
      </c>
      <c r="E869" s="23" t="n">
        <f aca="false">IF(AND(OR(Nonlabor!$D$20="Both",Nonlabor!$D$20='Start Here'!$B$9),IF(Nonlabor!$E$20="Core",1,IF(Nonlabor!$E$20="AI",'Start Here'!$B$7,'Start Here'!$B$8))=1,C869&gt;=IF(Nonlabor!$E$20="Core",Nonlabor!$F$20,MAX(Nonlabor!$F$20,IF(Nonlabor!$E$20="AI",Assumptions!$C$24,Assumptions!$C$25))),C869&lt;=Nonlabor!$G$20,OR(Nonlabor!$H$20="Monthly",AND(Nonlabor!$H$20="Once",C869=IF(Nonlabor!$E$20="Core",Nonlabor!$F$20,MAX(Nonlabor!$F$20,IF(Nonlabor!$E$20="AI",Assumptions!$C$24,Assumptions!$C$25)))),AND(Nonlabor!$H$20="Annual",MOD(C869-IF(Nonlabor!$E$20="Core",Nonlabor!$F$20,MAX(Nonlabor!$F$20,IF(Nonlabor!$E$20="AI",Assumptions!$C$24,Assumptions!$C$25))),12)=0))),IF(Nonlabor!$I$20="Fixed",1,IF(Nonlabor!$I$20="Seats",ROUNDUP('Monthly Lean'!I29,0),IF(Nonlabor!$I$20="Customers",'Monthly Lean'!D29,IF(Nonlabor!$I$20="NewCustomers",'Monthly Lean'!C29,IF(Nonlabor!$I$20="StorageGB",'Monthly Lean'!G29,IF(Nonlabor!$I$20="LogGB",'Monthly Lean'!H29,IF(Nonlabor!$I$20="RequestsM",'Monthly Lean'!F29,IF(Nonlabor!$I$20="InputM",'Monthly Lean'!D29*Assumptions!$C$22/1000000,IF(Nonlabor!$I$20="OutputM",'Monthly Lean'!D29*Assumptions!$C$23/1000000,0))))))))),0)</f>
        <v>1</v>
      </c>
      <c r="F869" s="10" t="n">
        <f aca="false">Nonlabor!$J$20*(1+Assumptions!$C$9)^INT((C869-1)/12)</f>
        <v>618</v>
      </c>
      <c r="G869" s="10" t="n">
        <f aca="false">E869*F869</f>
        <v>618</v>
      </c>
      <c r="H869" s="10" t="n">
        <f aca="false">IF(OR(Nonlabor!$L$20="Quote required",Nonlabor!$L$20="Unverified"),G869,0)</f>
        <v>618</v>
      </c>
      <c r="I869" s="10" t="n">
        <f aca="false">IF(Nonlabor!$E$20="Core",0,G869)</f>
        <v>0</v>
      </c>
      <c r="J869" s="23" t="str">
        <f aca="false">Nonlabor!$B$20</f>
        <v>ACCOUNTING</v>
      </c>
    </row>
    <row r="870" customFormat="false" ht="15" hidden="false" customHeight="false" outlineLevel="0" collapsed="false">
      <c r="A870" s="6" t="s">
        <v>72</v>
      </c>
      <c r="B870" s="6" t="s">
        <v>51</v>
      </c>
      <c r="C870" s="6" t="n">
        <v>25</v>
      </c>
      <c r="D870" s="25" t="n">
        <f aca="false">EDATE('Start Here'!$B$6,C870-1)</f>
        <v>47058</v>
      </c>
      <c r="E870" s="23" t="n">
        <f aca="false">IF(AND(OR(Nonlabor!$D$20="Both",Nonlabor!$D$20='Start Here'!$B$9),IF(Nonlabor!$E$20="Core",1,IF(Nonlabor!$E$20="AI",'Start Here'!$B$7,'Start Here'!$B$8))=1,C870&gt;=IF(Nonlabor!$E$20="Core",Nonlabor!$F$20,MAX(Nonlabor!$F$20,IF(Nonlabor!$E$20="AI",Assumptions!$C$24,Assumptions!$C$25))),C870&lt;=Nonlabor!$G$20,OR(Nonlabor!$H$20="Monthly",AND(Nonlabor!$H$20="Once",C870=IF(Nonlabor!$E$20="Core",Nonlabor!$F$20,MAX(Nonlabor!$F$20,IF(Nonlabor!$E$20="AI",Assumptions!$C$24,Assumptions!$C$25)))),AND(Nonlabor!$H$20="Annual",MOD(C870-IF(Nonlabor!$E$20="Core",Nonlabor!$F$20,MAX(Nonlabor!$F$20,IF(Nonlabor!$E$20="AI",Assumptions!$C$24,Assumptions!$C$25))),12)=0))),IF(Nonlabor!$I$20="Fixed",1,IF(Nonlabor!$I$20="Seats",ROUNDUP('Monthly Lean'!I30,0),IF(Nonlabor!$I$20="Customers",'Monthly Lean'!D30,IF(Nonlabor!$I$20="NewCustomers",'Monthly Lean'!C30,IF(Nonlabor!$I$20="StorageGB",'Monthly Lean'!G30,IF(Nonlabor!$I$20="LogGB",'Monthly Lean'!H30,IF(Nonlabor!$I$20="RequestsM",'Monthly Lean'!F30,IF(Nonlabor!$I$20="InputM",'Monthly Lean'!D30*Assumptions!$C$22/1000000,IF(Nonlabor!$I$20="OutputM",'Monthly Lean'!D30*Assumptions!$C$23/1000000,0))))))))),0)</f>
        <v>1</v>
      </c>
      <c r="F870" s="10" t="n">
        <f aca="false">Nonlabor!$J$20*(1+Assumptions!$C$9)^INT((C870-1)/12)</f>
        <v>636.54</v>
      </c>
      <c r="G870" s="10" t="n">
        <f aca="false">E870*F870</f>
        <v>636.54</v>
      </c>
      <c r="H870" s="10" t="n">
        <f aca="false">IF(OR(Nonlabor!$L$20="Quote required",Nonlabor!$L$20="Unverified"),G870,0)</f>
        <v>636.54</v>
      </c>
      <c r="I870" s="10" t="n">
        <f aca="false">IF(Nonlabor!$E$20="Core",0,G870)</f>
        <v>0</v>
      </c>
      <c r="J870" s="23" t="str">
        <f aca="false">Nonlabor!$B$20</f>
        <v>ACCOUNTING</v>
      </c>
    </row>
    <row r="871" customFormat="false" ht="15" hidden="false" customHeight="false" outlineLevel="0" collapsed="false">
      <c r="A871" s="6" t="s">
        <v>72</v>
      </c>
      <c r="B871" s="6" t="s">
        <v>51</v>
      </c>
      <c r="C871" s="6" t="n">
        <v>26</v>
      </c>
      <c r="D871" s="25" t="n">
        <f aca="false">EDATE('Start Here'!$B$6,C871-1)</f>
        <v>47088</v>
      </c>
      <c r="E871" s="23" t="n">
        <f aca="false">IF(AND(OR(Nonlabor!$D$20="Both",Nonlabor!$D$20='Start Here'!$B$9),IF(Nonlabor!$E$20="Core",1,IF(Nonlabor!$E$20="AI",'Start Here'!$B$7,'Start Here'!$B$8))=1,C871&gt;=IF(Nonlabor!$E$20="Core",Nonlabor!$F$20,MAX(Nonlabor!$F$20,IF(Nonlabor!$E$20="AI",Assumptions!$C$24,Assumptions!$C$25))),C871&lt;=Nonlabor!$G$20,OR(Nonlabor!$H$20="Monthly",AND(Nonlabor!$H$20="Once",C871=IF(Nonlabor!$E$20="Core",Nonlabor!$F$20,MAX(Nonlabor!$F$20,IF(Nonlabor!$E$20="AI",Assumptions!$C$24,Assumptions!$C$25)))),AND(Nonlabor!$H$20="Annual",MOD(C871-IF(Nonlabor!$E$20="Core",Nonlabor!$F$20,MAX(Nonlabor!$F$20,IF(Nonlabor!$E$20="AI",Assumptions!$C$24,Assumptions!$C$25))),12)=0))),IF(Nonlabor!$I$20="Fixed",1,IF(Nonlabor!$I$20="Seats",ROUNDUP('Monthly Lean'!I31,0),IF(Nonlabor!$I$20="Customers",'Monthly Lean'!D31,IF(Nonlabor!$I$20="NewCustomers",'Monthly Lean'!C31,IF(Nonlabor!$I$20="StorageGB",'Monthly Lean'!G31,IF(Nonlabor!$I$20="LogGB",'Monthly Lean'!H31,IF(Nonlabor!$I$20="RequestsM",'Monthly Lean'!F31,IF(Nonlabor!$I$20="InputM",'Monthly Lean'!D31*Assumptions!$C$22/1000000,IF(Nonlabor!$I$20="OutputM",'Monthly Lean'!D31*Assumptions!$C$23/1000000,0))))))))),0)</f>
        <v>1</v>
      </c>
      <c r="F871" s="10" t="n">
        <f aca="false">Nonlabor!$J$20*(1+Assumptions!$C$9)^INT((C871-1)/12)</f>
        <v>636.54</v>
      </c>
      <c r="G871" s="10" t="n">
        <f aca="false">E871*F871</f>
        <v>636.54</v>
      </c>
      <c r="H871" s="10" t="n">
        <f aca="false">IF(OR(Nonlabor!$L$20="Quote required",Nonlabor!$L$20="Unverified"),G871,0)</f>
        <v>636.54</v>
      </c>
      <c r="I871" s="10" t="n">
        <f aca="false">IF(Nonlabor!$E$20="Core",0,G871)</f>
        <v>0</v>
      </c>
      <c r="J871" s="23" t="str">
        <f aca="false">Nonlabor!$B$20</f>
        <v>ACCOUNTING</v>
      </c>
    </row>
    <row r="872" customFormat="false" ht="15" hidden="false" customHeight="false" outlineLevel="0" collapsed="false">
      <c r="A872" s="6" t="s">
        <v>72</v>
      </c>
      <c r="B872" s="6" t="s">
        <v>51</v>
      </c>
      <c r="C872" s="6" t="n">
        <v>27</v>
      </c>
      <c r="D872" s="25" t="n">
        <f aca="false">EDATE('Start Here'!$B$6,C872-1)</f>
        <v>47119</v>
      </c>
      <c r="E872" s="23" t="n">
        <f aca="false">IF(AND(OR(Nonlabor!$D$20="Both",Nonlabor!$D$20='Start Here'!$B$9),IF(Nonlabor!$E$20="Core",1,IF(Nonlabor!$E$20="AI",'Start Here'!$B$7,'Start Here'!$B$8))=1,C872&gt;=IF(Nonlabor!$E$20="Core",Nonlabor!$F$20,MAX(Nonlabor!$F$20,IF(Nonlabor!$E$20="AI",Assumptions!$C$24,Assumptions!$C$25))),C872&lt;=Nonlabor!$G$20,OR(Nonlabor!$H$20="Monthly",AND(Nonlabor!$H$20="Once",C872=IF(Nonlabor!$E$20="Core",Nonlabor!$F$20,MAX(Nonlabor!$F$20,IF(Nonlabor!$E$20="AI",Assumptions!$C$24,Assumptions!$C$25)))),AND(Nonlabor!$H$20="Annual",MOD(C872-IF(Nonlabor!$E$20="Core",Nonlabor!$F$20,MAX(Nonlabor!$F$20,IF(Nonlabor!$E$20="AI",Assumptions!$C$24,Assumptions!$C$25))),12)=0))),IF(Nonlabor!$I$20="Fixed",1,IF(Nonlabor!$I$20="Seats",ROUNDUP('Monthly Lean'!I32,0),IF(Nonlabor!$I$20="Customers",'Monthly Lean'!D32,IF(Nonlabor!$I$20="NewCustomers",'Monthly Lean'!C32,IF(Nonlabor!$I$20="StorageGB",'Monthly Lean'!G32,IF(Nonlabor!$I$20="LogGB",'Monthly Lean'!H32,IF(Nonlabor!$I$20="RequestsM",'Monthly Lean'!F32,IF(Nonlabor!$I$20="InputM",'Monthly Lean'!D32*Assumptions!$C$22/1000000,IF(Nonlabor!$I$20="OutputM",'Monthly Lean'!D32*Assumptions!$C$23/1000000,0))))))))),0)</f>
        <v>1</v>
      </c>
      <c r="F872" s="10" t="n">
        <f aca="false">Nonlabor!$J$20*(1+Assumptions!$C$9)^INT((C872-1)/12)</f>
        <v>636.54</v>
      </c>
      <c r="G872" s="10" t="n">
        <f aca="false">E872*F872</f>
        <v>636.54</v>
      </c>
      <c r="H872" s="10" t="n">
        <f aca="false">IF(OR(Nonlabor!$L$20="Quote required",Nonlabor!$L$20="Unverified"),G872,0)</f>
        <v>636.54</v>
      </c>
      <c r="I872" s="10" t="n">
        <f aca="false">IF(Nonlabor!$E$20="Core",0,G872)</f>
        <v>0</v>
      </c>
      <c r="J872" s="23" t="str">
        <f aca="false">Nonlabor!$B$20</f>
        <v>ACCOUNTING</v>
      </c>
    </row>
    <row r="873" customFormat="false" ht="15" hidden="false" customHeight="false" outlineLevel="0" collapsed="false">
      <c r="A873" s="6" t="s">
        <v>72</v>
      </c>
      <c r="B873" s="6" t="s">
        <v>51</v>
      </c>
      <c r="C873" s="6" t="n">
        <v>28</v>
      </c>
      <c r="D873" s="25" t="n">
        <f aca="false">EDATE('Start Here'!$B$6,C873-1)</f>
        <v>47150</v>
      </c>
      <c r="E873" s="23" t="n">
        <f aca="false">IF(AND(OR(Nonlabor!$D$20="Both",Nonlabor!$D$20='Start Here'!$B$9),IF(Nonlabor!$E$20="Core",1,IF(Nonlabor!$E$20="AI",'Start Here'!$B$7,'Start Here'!$B$8))=1,C873&gt;=IF(Nonlabor!$E$20="Core",Nonlabor!$F$20,MAX(Nonlabor!$F$20,IF(Nonlabor!$E$20="AI",Assumptions!$C$24,Assumptions!$C$25))),C873&lt;=Nonlabor!$G$20,OR(Nonlabor!$H$20="Monthly",AND(Nonlabor!$H$20="Once",C873=IF(Nonlabor!$E$20="Core",Nonlabor!$F$20,MAX(Nonlabor!$F$20,IF(Nonlabor!$E$20="AI",Assumptions!$C$24,Assumptions!$C$25)))),AND(Nonlabor!$H$20="Annual",MOD(C873-IF(Nonlabor!$E$20="Core",Nonlabor!$F$20,MAX(Nonlabor!$F$20,IF(Nonlabor!$E$20="AI",Assumptions!$C$24,Assumptions!$C$25))),12)=0))),IF(Nonlabor!$I$20="Fixed",1,IF(Nonlabor!$I$20="Seats",ROUNDUP('Monthly Lean'!I33,0),IF(Nonlabor!$I$20="Customers",'Monthly Lean'!D33,IF(Nonlabor!$I$20="NewCustomers",'Monthly Lean'!C33,IF(Nonlabor!$I$20="StorageGB",'Monthly Lean'!G33,IF(Nonlabor!$I$20="LogGB",'Monthly Lean'!H33,IF(Nonlabor!$I$20="RequestsM",'Monthly Lean'!F33,IF(Nonlabor!$I$20="InputM",'Monthly Lean'!D33*Assumptions!$C$22/1000000,IF(Nonlabor!$I$20="OutputM",'Monthly Lean'!D33*Assumptions!$C$23/1000000,0))))))))),0)</f>
        <v>1</v>
      </c>
      <c r="F873" s="10" t="n">
        <f aca="false">Nonlabor!$J$20*(1+Assumptions!$C$9)^INT((C873-1)/12)</f>
        <v>636.54</v>
      </c>
      <c r="G873" s="10" t="n">
        <f aca="false">E873*F873</f>
        <v>636.54</v>
      </c>
      <c r="H873" s="10" t="n">
        <f aca="false">IF(OR(Nonlabor!$L$20="Quote required",Nonlabor!$L$20="Unverified"),G873,0)</f>
        <v>636.54</v>
      </c>
      <c r="I873" s="10" t="n">
        <f aca="false">IF(Nonlabor!$E$20="Core",0,G873)</f>
        <v>0</v>
      </c>
      <c r="J873" s="23" t="str">
        <f aca="false">Nonlabor!$B$20</f>
        <v>ACCOUNTING</v>
      </c>
    </row>
    <row r="874" customFormat="false" ht="15" hidden="false" customHeight="false" outlineLevel="0" collapsed="false">
      <c r="A874" s="6" t="s">
        <v>72</v>
      </c>
      <c r="B874" s="6" t="s">
        <v>51</v>
      </c>
      <c r="C874" s="6" t="n">
        <v>29</v>
      </c>
      <c r="D874" s="25" t="n">
        <f aca="false">EDATE('Start Here'!$B$6,C874-1)</f>
        <v>47178</v>
      </c>
      <c r="E874" s="23" t="n">
        <f aca="false">IF(AND(OR(Nonlabor!$D$20="Both",Nonlabor!$D$20='Start Here'!$B$9),IF(Nonlabor!$E$20="Core",1,IF(Nonlabor!$E$20="AI",'Start Here'!$B$7,'Start Here'!$B$8))=1,C874&gt;=IF(Nonlabor!$E$20="Core",Nonlabor!$F$20,MAX(Nonlabor!$F$20,IF(Nonlabor!$E$20="AI",Assumptions!$C$24,Assumptions!$C$25))),C874&lt;=Nonlabor!$G$20,OR(Nonlabor!$H$20="Monthly",AND(Nonlabor!$H$20="Once",C874=IF(Nonlabor!$E$20="Core",Nonlabor!$F$20,MAX(Nonlabor!$F$20,IF(Nonlabor!$E$20="AI",Assumptions!$C$24,Assumptions!$C$25)))),AND(Nonlabor!$H$20="Annual",MOD(C874-IF(Nonlabor!$E$20="Core",Nonlabor!$F$20,MAX(Nonlabor!$F$20,IF(Nonlabor!$E$20="AI",Assumptions!$C$24,Assumptions!$C$25))),12)=0))),IF(Nonlabor!$I$20="Fixed",1,IF(Nonlabor!$I$20="Seats",ROUNDUP('Monthly Lean'!I34,0),IF(Nonlabor!$I$20="Customers",'Monthly Lean'!D34,IF(Nonlabor!$I$20="NewCustomers",'Monthly Lean'!C34,IF(Nonlabor!$I$20="StorageGB",'Monthly Lean'!G34,IF(Nonlabor!$I$20="LogGB",'Monthly Lean'!H34,IF(Nonlabor!$I$20="RequestsM",'Monthly Lean'!F34,IF(Nonlabor!$I$20="InputM",'Monthly Lean'!D34*Assumptions!$C$22/1000000,IF(Nonlabor!$I$20="OutputM",'Monthly Lean'!D34*Assumptions!$C$23/1000000,0))))))))),0)</f>
        <v>1</v>
      </c>
      <c r="F874" s="10" t="n">
        <f aca="false">Nonlabor!$J$20*(1+Assumptions!$C$9)^INT((C874-1)/12)</f>
        <v>636.54</v>
      </c>
      <c r="G874" s="10" t="n">
        <f aca="false">E874*F874</f>
        <v>636.54</v>
      </c>
      <c r="H874" s="10" t="n">
        <f aca="false">IF(OR(Nonlabor!$L$20="Quote required",Nonlabor!$L$20="Unverified"),G874,0)</f>
        <v>636.54</v>
      </c>
      <c r="I874" s="10" t="n">
        <f aca="false">IF(Nonlabor!$E$20="Core",0,G874)</f>
        <v>0</v>
      </c>
      <c r="J874" s="23" t="str">
        <f aca="false">Nonlabor!$B$20</f>
        <v>ACCOUNTING</v>
      </c>
    </row>
    <row r="875" customFormat="false" ht="15" hidden="false" customHeight="false" outlineLevel="0" collapsed="false">
      <c r="A875" s="6" t="s">
        <v>72</v>
      </c>
      <c r="B875" s="6" t="s">
        <v>51</v>
      </c>
      <c r="C875" s="6" t="n">
        <v>30</v>
      </c>
      <c r="D875" s="25" t="n">
        <f aca="false">EDATE('Start Here'!$B$6,C875-1)</f>
        <v>47209</v>
      </c>
      <c r="E875" s="23" t="n">
        <f aca="false">IF(AND(OR(Nonlabor!$D$20="Both",Nonlabor!$D$20='Start Here'!$B$9),IF(Nonlabor!$E$20="Core",1,IF(Nonlabor!$E$20="AI",'Start Here'!$B$7,'Start Here'!$B$8))=1,C875&gt;=IF(Nonlabor!$E$20="Core",Nonlabor!$F$20,MAX(Nonlabor!$F$20,IF(Nonlabor!$E$20="AI",Assumptions!$C$24,Assumptions!$C$25))),C875&lt;=Nonlabor!$G$20,OR(Nonlabor!$H$20="Monthly",AND(Nonlabor!$H$20="Once",C875=IF(Nonlabor!$E$20="Core",Nonlabor!$F$20,MAX(Nonlabor!$F$20,IF(Nonlabor!$E$20="AI",Assumptions!$C$24,Assumptions!$C$25)))),AND(Nonlabor!$H$20="Annual",MOD(C875-IF(Nonlabor!$E$20="Core",Nonlabor!$F$20,MAX(Nonlabor!$F$20,IF(Nonlabor!$E$20="AI",Assumptions!$C$24,Assumptions!$C$25))),12)=0))),IF(Nonlabor!$I$20="Fixed",1,IF(Nonlabor!$I$20="Seats",ROUNDUP('Monthly Lean'!I35,0),IF(Nonlabor!$I$20="Customers",'Monthly Lean'!D35,IF(Nonlabor!$I$20="NewCustomers",'Monthly Lean'!C35,IF(Nonlabor!$I$20="StorageGB",'Monthly Lean'!G35,IF(Nonlabor!$I$20="LogGB",'Monthly Lean'!H35,IF(Nonlabor!$I$20="RequestsM",'Monthly Lean'!F35,IF(Nonlabor!$I$20="InputM",'Monthly Lean'!D35*Assumptions!$C$22/1000000,IF(Nonlabor!$I$20="OutputM",'Monthly Lean'!D35*Assumptions!$C$23/1000000,0))))))))),0)</f>
        <v>1</v>
      </c>
      <c r="F875" s="10" t="n">
        <f aca="false">Nonlabor!$J$20*(1+Assumptions!$C$9)^INT((C875-1)/12)</f>
        <v>636.54</v>
      </c>
      <c r="G875" s="10" t="n">
        <f aca="false">E875*F875</f>
        <v>636.54</v>
      </c>
      <c r="H875" s="10" t="n">
        <f aca="false">IF(OR(Nonlabor!$L$20="Quote required",Nonlabor!$L$20="Unverified"),G875,0)</f>
        <v>636.54</v>
      </c>
      <c r="I875" s="10" t="n">
        <f aca="false">IF(Nonlabor!$E$20="Core",0,G875)</f>
        <v>0</v>
      </c>
      <c r="J875" s="23" t="str">
        <f aca="false">Nonlabor!$B$20</f>
        <v>ACCOUNTING</v>
      </c>
    </row>
    <row r="876" customFormat="false" ht="15" hidden="false" customHeight="false" outlineLevel="0" collapsed="false">
      <c r="A876" s="6" t="s">
        <v>72</v>
      </c>
      <c r="B876" s="6" t="s">
        <v>51</v>
      </c>
      <c r="C876" s="6" t="n">
        <v>31</v>
      </c>
      <c r="D876" s="25" t="n">
        <f aca="false">EDATE('Start Here'!$B$6,C876-1)</f>
        <v>47239</v>
      </c>
      <c r="E876" s="23" t="n">
        <f aca="false">IF(AND(OR(Nonlabor!$D$20="Both",Nonlabor!$D$20='Start Here'!$B$9),IF(Nonlabor!$E$20="Core",1,IF(Nonlabor!$E$20="AI",'Start Here'!$B$7,'Start Here'!$B$8))=1,C876&gt;=IF(Nonlabor!$E$20="Core",Nonlabor!$F$20,MAX(Nonlabor!$F$20,IF(Nonlabor!$E$20="AI",Assumptions!$C$24,Assumptions!$C$25))),C876&lt;=Nonlabor!$G$20,OR(Nonlabor!$H$20="Monthly",AND(Nonlabor!$H$20="Once",C876=IF(Nonlabor!$E$20="Core",Nonlabor!$F$20,MAX(Nonlabor!$F$20,IF(Nonlabor!$E$20="AI",Assumptions!$C$24,Assumptions!$C$25)))),AND(Nonlabor!$H$20="Annual",MOD(C876-IF(Nonlabor!$E$20="Core",Nonlabor!$F$20,MAX(Nonlabor!$F$20,IF(Nonlabor!$E$20="AI",Assumptions!$C$24,Assumptions!$C$25))),12)=0))),IF(Nonlabor!$I$20="Fixed",1,IF(Nonlabor!$I$20="Seats",ROUNDUP('Monthly Lean'!I36,0),IF(Nonlabor!$I$20="Customers",'Monthly Lean'!D36,IF(Nonlabor!$I$20="NewCustomers",'Monthly Lean'!C36,IF(Nonlabor!$I$20="StorageGB",'Monthly Lean'!G36,IF(Nonlabor!$I$20="LogGB",'Monthly Lean'!H36,IF(Nonlabor!$I$20="RequestsM",'Monthly Lean'!F36,IF(Nonlabor!$I$20="InputM",'Monthly Lean'!D36*Assumptions!$C$22/1000000,IF(Nonlabor!$I$20="OutputM",'Monthly Lean'!D36*Assumptions!$C$23/1000000,0))))))))),0)</f>
        <v>1</v>
      </c>
      <c r="F876" s="10" t="n">
        <f aca="false">Nonlabor!$J$20*(1+Assumptions!$C$9)^INT((C876-1)/12)</f>
        <v>636.54</v>
      </c>
      <c r="G876" s="10" t="n">
        <f aca="false">E876*F876</f>
        <v>636.54</v>
      </c>
      <c r="H876" s="10" t="n">
        <f aca="false">IF(OR(Nonlabor!$L$20="Quote required",Nonlabor!$L$20="Unverified"),G876,0)</f>
        <v>636.54</v>
      </c>
      <c r="I876" s="10" t="n">
        <f aca="false">IF(Nonlabor!$E$20="Core",0,G876)</f>
        <v>0</v>
      </c>
      <c r="J876" s="23" t="str">
        <f aca="false">Nonlabor!$B$20</f>
        <v>ACCOUNTING</v>
      </c>
    </row>
    <row r="877" customFormat="false" ht="15" hidden="false" customHeight="false" outlineLevel="0" collapsed="false">
      <c r="A877" s="6" t="s">
        <v>72</v>
      </c>
      <c r="B877" s="6" t="s">
        <v>51</v>
      </c>
      <c r="C877" s="6" t="n">
        <v>32</v>
      </c>
      <c r="D877" s="25" t="n">
        <f aca="false">EDATE('Start Here'!$B$6,C877-1)</f>
        <v>47270</v>
      </c>
      <c r="E877" s="23" t="n">
        <f aca="false">IF(AND(OR(Nonlabor!$D$20="Both",Nonlabor!$D$20='Start Here'!$B$9),IF(Nonlabor!$E$20="Core",1,IF(Nonlabor!$E$20="AI",'Start Here'!$B$7,'Start Here'!$B$8))=1,C877&gt;=IF(Nonlabor!$E$20="Core",Nonlabor!$F$20,MAX(Nonlabor!$F$20,IF(Nonlabor!$E$20="AI",Assumptions!$C$24,Assumptions!$C$25))),C877&lt;=Nonlabor!$G$20,OR(Nonlabor!$H$20="Monthly",AND(Nonlabor!$H$20="Once",C877=IF(Nonlabor!$E$20="Core",Nonlabor!$F$20,MAX(Nonlabor!$F$20,IF(Nonlabor!$E$20="AI",Assumptions!$C$24,Assumptions!$C$25)))),AND(Nonlabor!$H$20="Annual",MOD(C877-IF(Nonlabor!$E$20="Core",Nonlabor!$F$20,MAX(Nonlabor!$F$20,IF(Nonlabor!$E$20="AI",Assumptions!$C$24,Assumptions!$C$25))),12)=0))),IF(Nonlabor!$I$20="Fixed",1,IF(Nonlabor!$I$20="Seats",ROUNDUP('Monthly Lean'!I37,0),IF(Nonlabor!$I$20="Customers",'Monthly Lean'!D37,IF(Nonlabor!$I$20="NewCustomers",'Monthly Lean'!C37,IF(Nonlabor!$I$20="StorageGB",'Monthly Lean'!G37,IF(Nonlabor!$I$20="LogGB",'Monthly Lean'!H37,IF(Nonlabor!$I$20="RequestsM",'Monthly Lean'!F37,IF(Nonlabor!$I$20="InputM",'Monthly Lean'!D37*Assumptions!$C$22/1000000,IF(Nonlabor!$I$20="OutputM",'Monthly Lean'!D37*Assumptions!$C$23/1000000,0))))))))),0)</f>
        <v>1</v>
      </c>
      <c r="F877" s="10" t="n">
        <f aca="false">Nonlabor!$J$20*(1+Assumptions!$C$9)^INT((C877-1)/12)</f>
        <v>636.54</v>
      </c>
      <c r="G877" s="10" t="n">
        <f aca="false">E877*F877</f>
        <v>636.54</v>
      </c>
      <c r="H877" s="10" t="n">
        <f aca="false">IF(OR(Nonlabor!$L$20="Quote required",Nonlabor!$L$20="Unverified"),G877,0)</f>
        <v>636.54</v>
      </c>
      <c r="I877" s="10" t="n">
        <f aca="false">IF(Nonlabor!$E$20="Core",0,G877)</f>
        <v>0</v>
      </c>
      <c r="J877" s="23" t="str">
        <f aca="false">Nonlabor!$B$20</f>
        <v>ACCOUNTING</v>
      </c>
    </row>
    <row r="878" customFormat="false" ht="15" hidden="false" customHeight="false" outlineLevel="0" collapsed="false">
      <c r="A878" s="6" t="s">
        <v>72</v>
      </c>
      <c r="B878" s="6" t="s">
        <v>51</v>
      </c>
      <c r="C878" s="6" t="n">
        <v>33</v>
      </c>
      <c r="D878" s="25" t="n">
        <f aca="false">EDATE('Start Here'!$B$6,C878-1)</f>
        <v>47300</v>
      </c>
      <c r="E878" s="23" t="n">
        <f aca="false">IF(AND(OR(Nonlabor!$D$20="Both",Nonlabor!$D$20='Start Here'!$B$9),IF(Nonlabor!$E$20="Core",1,IF(Nonlabor!$E$20="AI",'Start Here'!$B$7,'Start Here'!$B$8))=1,C878&gt;=IF(Nonlabor!$E$20="Core",Nonlabor!$F$20,MAX(Nonlabor!$F$20,IF(Nonlabor!$E$20="AI",Assumptions!$C$24,Assumptions!$C$25))),C878&lt;=Nonlabor!$G$20,OR(Nonlabor!$H$20="Monthly",AND(Nonlabor!$H$20="Once",C878=IF(Nonlabor!$E$20="Core",Nonlabor!$F$20,MAX(Nonlabor!$F$20,IF(Nonlabor!$E$20="AI",Assumptions!$C$24,Assumptions!$C$25)))),AND(Nonlabor!$H$20="Annual",MOD(C878-IF(Nonlabor!$E$20="Core",Nonlabor!$F$20,MAX(Nonlabor!$F$20,IF(Nonlabor!$E$20="AI",Assumptions!$C$24,Assumptions!$C$25))),12)=0))),IF(Nonlabor!$I$20="Fixed",1,IF(Nonlabor!$I$20="Seats",ROUNDUP('Monthly Lean'!I38,0),IF(Nonlabor!$I$20="Customers",'Monthly Lean'!D38,IF(Nonlabor!$I$20="NewCustomers",'Monthly Lean'!C38,IF(Nonlabor!$I$20="StorageGB",'Monthly Lean'!G38,IF(Nonlabor!$I$20="LogGB",'Monthly Lean'!H38,IF(Nonlabor!$I$20="RequestsM",'Monthly Lean'!F38,IF(Nonlabor!$I$20="InputM",'Monthly Lean'!D38*Assumptions!$C$22/1000000,IF(Nonlabor!$I$20="OutputM",'Monthly Lean'!D38*Assumptions!$C$23/1000000,0))))))))),0)</f>
        <v>1</v>
      </c>
      <c r="F878" s="10" t="n">
        <f aca="false">Nonlabor!$J$20*(1+Assumptions!$C$9)^INT((C878-1)/12)</f>
        <v>636.54</v>
      </c>
      <c r="G878" s="10" t="n">
        <f aca="false">E878*F878</f>
        <v>636.54</v>
      </c>
      <c r="H878" s="10" t="n">
        <f aca="false">IF(OR(Nonlabor!$L$20="Quote required",Nonlabor!$L$20="Unverified"),G878,0)</f>
        <v>636.54</v>
      </c>
      <c r="I878" s="10" t="n">
        <f aca="false">IF(Nonlabor!$E$20="Core",0,G878)</f>
        <v>0</v>
      </c>
      <c r="J878" s="23" t="str">
        <f aca="false">Nonlabor!$B$20</f>
        <v>ACCOUNTING</v>
      </c>
    </row>
    <row r="879" customFormat="false" ht="15" hidden="false" customHeight="false" outlineLevel="0" collapsed="false">
      <c r="A879" s="6" t="s">
        <v>72</v>
      </c>
      <c r="B879" s="6" t="s">
        <v>51</v>
      </c>
      <c r="C879" s="6" t="n">
        <v>34</v>
      </c>
      <c r="D879" s="25" t="n">
        <f aca="false">EDATE('Start Here'!$B$6,C879-1)</f>
        <v>47331</v>
      </c>
      <c r="E879" s="23" t="n">
        <f aca="false">IF(AND(OR(Nonlabor!$D$20="Both",Nonlabor!$D$20='Start Here'!$B$9),IF(Nonlabor!$E$20="Core",1,IF(Nonlabor!$E$20="AI",'Start Here'!$B$7,'Start Here'!$B$8))=1,C879&gt;=IF(Nonlabor!$E$20="Core",Nonlabor!$F$20,MAX(Nonlabor!$F$20,IF(Nonlabor!$E$20="AI",Assumptions!$C$24,Assumptions!$C$25))),C879&lt;=Nonlabor!$G$20,OR(Nonlabor!$H$20="Monthly",AND(Nonlabor!$H$20="Once",C879=IF(Nonlabor!$E$20="Core",Nonlabor!$F$20,MAX(Nonlabor!$F$20,IF(Nonlabor!$E$20="AI",Assumptions!$C$24,Assumptions!$C$25)))),AND(Nonlabor!$H$20="Annual",MOD(C879-IF(Nonlabor!$E$20="Core",Nonlabor!$F$20,MAX(Nonlabor!$F$20,IF(Nonlabor!$E$20="AI",Assumptions!$C$24,Assumptions!$C$25))),12)=0))),IF(Nonlabor!$I$20="Fixed",1,IF(Nonlabor!$I$20="Seats",ROUNDUP('Monthly Lean'!I39,0),IF(Nonlabor!$I$20="Customers",'Monthly Lean'!D39,IF(Nonlabor!$I$20="NewCustomers",'Monthly Lean'!C39,IF(Nonlabor!$I$20="StorageGB",'Monthly Lean'!G39,IF(Nonlabor!$I$20="LogGB",'Monthly Lean'!H39,IF(Nonlabor!$I$20="RequestsM",'Monthly Lean'!F39,IF(Nonlabor!$I$20="InputM",'Monthly Lean'!D39*Assumptions!$C$22/1000000,IF(Nonlabor!$I$20="OutputM",'Monthly Lean'!D39*Assumptions!$C$23/1000000,0))))))))),0)</f>
        <v>1</v>
      </c>
      <c r="F879" s="10" t="n">
        <f aca="false">Nonlabor!$J$20*(1+Assumptions!$C$9)^INT((C879-1)/12)</f>
        <v>636.54</v>
      </c>
      <c r="G879" s="10" t="n">
        <f aca="false">E879*F879</f>
        <v>636.54</v>
      </c>
      <c r="H879" s="10" t="n">
        <f aca="false">IF(OR(Nonlabor!$L$20="Quote required",Nonlabor!$L$20="Unverified"),G879,0)</f>
        <v>636.54</v>
      </c>
      <c r="I879" s="10" t="n">
        <f aca="false">IF(Nonlabor!$E$20="Core",0,G879)</f>
        <v>0</v>
      </c>
      <c r="J879" s="23" t="str">
        <f aca="false">Nonlabor!$B$20</f>
        <v>ACCOUNTING</v>
      </c>
    </row>
    <row r="880" customFormat="false" ht="15" hidden="false" customHeight="false" outlineLevel="0" collapsed="false">
      <c r="A880" s="6" t="s">
        <v>72</v>
      </c>
      <c r="B880" s="6" t="s">
        <v>51</v>
      </c>
      <c r="C880" s="6" t="n">
        <v>35</v>
      </c>
      <c r="D880" s="25" t="n">
        <f aca="false">EDATE('Start Here'!$B$6,C880-1)</f>
        <v>47362</v>
      </c>
      <c r="E880" s="23" t="n">
        <f aca="false">IF(AND(OR(Nonlabor!$D$20="Both",Nonlabor!$D$20='Start Here'!$B$9),IF(Nonlabor!$E$20="Core",1,IF(Nonlabor!$E$20="AI",'Start Here'!$B$7,'Start Here'!$B$8))=1,C880&gt;=IF(Nonlabor!$E$20="Core",Nonlabor!$F$20,MAX(Nonlabor!$F$20,IF(Nonlabor!$E$20="AI",Assumptions!$C$24,Assumptions!$C$25))),C880&lt;=Nonlabor!$G$20,OR(Nonlabor!$H$20="Monthly",AND(Nonlabor!$H$20="Once",C880=IF(Nonlabor!$E$20="Core",Nonlabor!$F$20,MAX(Nonlabor!$F$20,IF(Nonlabor!$E$20="AI",Assumptions!$C$24,Assumptions!$C$25)))),AND(Nonlabor!$H$20="Annual",MOD(C880-IF(Nonlabor!$E$20="Core",Nonlabor!$F$20,MAX(Nonlabor!$F$20,IF(Nonlabor!$E$20="AI",Assumptions!$C$24,Assumptions!$C$25))),12)=0))),IF(Nonlabor!$I$20="Fixed",1,IF(Nonlabor!$I$20="Seats",ROUNDUP('Monthly Lean'!I40,0),IF(Nonlabor!$I$20="Customers",'Monthly Lean'!D40,IF(Nonlabor!$I$20="NewCustomers",'Monthly Lean'!C40,IF(Nonlabor!$I$20="StorageGB",'Monthly Lean'!G40,IF(Nonlabor!$I$20="LogGB",'Monthly Lean'!H40,IF(Nonlabor!$I$20="RequestsM",'Monthly Lean'!F40,IF(Nonlabor!$I$20="InputM",'Monthly Lean'!D40*Assumptions!$C$22/1000000,IF(Nonlabor!$I$20="OutputM",'Monthly Lean'!D40*Assumptions!$C$23/1000000,0))))))))),0)</f>
        <v>1</v>
      </c>
      <c r="F880" s="10" t="n">
        <f aca="false">Nonlabor!$J$20*(1+Assumptions!$C$9)^INT((C880-1)/12)</f>
        <v>636.54</v>
      </c>
      <c r="G880" s="10" t="n">
        <f aca="false">E880*F880</f>
        <v>636.54</v>
      </c>
      <c r="H880" s="10" t="n">
        <f aca="false">IF(OR(Nonlabor!$L$20="Quote required",Nonlabor!$L$20="Unverified"),G880,0)</f>
        <v>636.54</v>
      </c>
      <c r="I880" s="10" t="n">
        <f aca="false">IF(Nonlabor!$E$20="Core",0,G880)</f>
        <v>0</v>
      </c>
      <c r="J880" s="23" t="str">
        <f aca="false">Nonlabor!$B$20</f>
        <v>ACCOUNTING</v>
      </c>
    </row>
    <row r="881" customFormat="false" ht="15" hidden="false" customHeight="false" outlineLevel="0" collapsed="false">
      <c r="A881" s="6" t="s">
        <v>72</v>
      </c>
      <c r="B881" s="6" t="s">
        <v>51</v>
      </c>
      <c r="C881" s="6" t="n">
        <v>36</v>
      </c>
      <c r="D881" s="25" t="n">
        <f aca="false">EDATE('Start Here'!$B$6,C881-1)</f>
        <v>47392</v>
      </c>
      <c r="E881" s="23" t="n">
        <f aca="false">IF(AND(OR(Nonlabor!$D$20="Both",Nonlabor!$D$20='Start Here'!$B$9),IF(Nonlabor!$E$20="Core",1,IF(Nonlabor!$E$20="AI",'Start Here'!$B$7,'Start Here'!$B$8))=1,C881&gt;=IF(Nonlabor!$E$20="Core",Nonlabor!$F$20,MAX(Nonlabor!$F$20,IF(Nonlabor!$E$20="AI",Assumptions!$C$24,Assumptions!$C$25))),C881&lt;=Nonlabor!$G$20,OR(Nonlabor!$H$20="Monthly",AND(Nonlabor!$H$20="Once",C881=IF(Nonlabor!$E$20="Core",Nonlabor!$F$20,MAX(Nonlabor!$F$20,IF(Nonlabor!$E$20="AI",Assumptions!$C$24,Assumptions!$C$25)))),AND(Nonlabor!$H$20="Annual",MOD(C881-IF(Nonlabor!$E$20="Core",Nonlabor!$F$20,MAX(Nonlabor!$F$20,IF(Nonlabor!$E$20="AI",Assumptions!$C$24,Assumptions!$C$25))),12)=0))),IF(Nonlabor!$I$20="Fixed",1,IF(Nonlabor!$I$20="Seats",ROUNDUP('Monthly Lean'!I41,0),IF(Nonlabor!$I$20="Customers",'Monthly Lean'!D41,IF(Nonlabor!$I$20="NewCustomers",'Monthly Lean'!C41,IF(Nonlabor!$I$20="StorageGB",'Monthly Lean'!G41,IF(Nonlabor!$I$20="LogGB",'Monthly Lean'!H41,IF(Nonlabor!$I$20="RequestsM",'Monthly Lean'!F41,IF(Nonlabor!$I$20="InputM",'Monthly Lean'!D41*Assumptions!$C$22/1000000,IF(Nonlabor!$I$20="OutputM",'Monthly Lean'!D41*Assumptions!$C$23/1000000,0))))))))),0)</f>
        <v>1</v>
      </c>
      <c r="F881" s="10" t="n">
        <f aca="false">Nonlabor!$J$20*(1+Assumptions!$C$9)^INT((C881-1)/12)</f>
        <v>636.54</v>
      </c>
      <c r="G881" s="10" t="n">
        <f aca="false">E881*F881</f>
        <v>636.54</v>
      </c>
      <c r="H881" s="10" t="n">
        <f aca="false">IF(OR(Nonlabor!$L$20="Quote required",Nonlabor!$L$20="Unverified"),G881,0)</f>
        <v>636.54</v>
      </c>
      <c r="I881" s="10" t="n">
        <f aca="false">IF(Nonlabor!$E$20="Core",0,G881)</f>
        <v>0</v>
      </c>
      <c r="J881" s="23" t="str">
        <f aca="false">Nonlabor!$B$20</f>
        <v>ACCOUNTING</v>
      </c>
    </row>
    <row r="882" customFormat="false" ht="15" hidden="false" customHeight="false" outlineLevel="0" collapsed="false">
      <c r="A882" s="6" t="s">
        <v>72</v>
      </c>
      <c r="B882" s="6" t="s">
        <v>51</v>
      </c>
      <c r="C882" s="6" t="n">
        <v>37</v>
      </c>
      <c r="D882" s="25" t="n">
        <f aca="false">EDATE('Start Here'!$B$6,C882-1)</f>
        <v>47423</v>
      </c>
      <c r="E882" s="23" t="n">
        <f aca="false">IF(AND(OR(Nonlabor!$D$20="Both",Nonlabor!$D$20='Start Here'!$B$9),IF(Nonlabor!$E$20="Core",1,IF(Nonlabor!$E$20="AI",'Start Here'!$B$7,'Start Here'!$B$8))=1,C882&gt;=IF(Nonlabor!$E$20="Core",Nonlabor!$F$20,MAX(Nonlabor!$F$20,IF(Nonlabor!$E$20="AI",Assumptions!$C$24,Assumptions!$C$25))),C882&lt;=Nonlabor!$G$20,OR(Nonlabor!$H$20="Monthly",AND(Nonlabor!$H$20="Once",C882=IF(Nonlabor!$E$20="Core",Nonlabor!$F$20,MAX(Nonlabor!$F$20,IF(Nonlabor!$E$20="AI",Assumptions!$C$24,Assumptions!$C$25)))),AND(Nonlabor!$H$20="Annual",MOD(C882-IF(Nonlabor!$E$20="Core",Nonlabor!$F$20,MAX(Nonlabor!$F$20,IF(Nonlabor!$E$20="AI",Assumptions!$C$24,Assumptions!$C$25))),12)=0))),IF(Nonlabor!$I$20="Fixed",1,IF(Nonlabor!$I$20="Seats",ROUNDUP('Monthly Lean'!I42,0),IF(Nonlabor!$I$20="Customers",'Monthly Lean'!D42,IF(Nonlabor!$I$20="NewCustomers",'Monthly Lean'!C42,IF(Nonlabor!$I$20="StorageGB",'Monthly Lean'!G42,IF(Nonlabor!$I$20="LogGB",'Monthly Lean'!H42,IF(Nonlabor!$I$20="RequestsM",'Monthly Lean'!F42,IF(Nonlabor!$I$20="InputM",'Monthly Lean'!D42*Assumptions!$C$22/1000000,IF(Nonlabor!$I$20="OutputM",'Monthly Lean'!D42*Assumptions!$C$23/1000000,0))))))))),0)</f>
        <v>1</v>
      </c>
      <c r="F882" s="10" t="n">
        <f aca="false">Nonlabor!$J$20*(1+Assumptions!$C$9)^INT((C882-1)/12)</f>
        <v>655.6362</v>
      </c>
      <c r="G882" s="10" t="n">
        <f aca="false">E882*F882</f>
        <v>655.6362</v>
      </c>
      <c r="H882" s="10" t="n">
        <f aca="false">IF(OR(Nonlabor!$L$20="Quote required",Nonlabor!$L$20="Unverified"),G882,0)</f>
        <v>655.6362</v>
      </c>
      <c r="I882" s="10" t="n">
        <f aca="false">IF(Nonlabor!$E$20="Core",0,G882)</f>
        <v>0</v>
      </c>
      <c r="J882" s="23" t="str">
        <f aca="false">Nonlabor!$B$20</f>
        <v>ACCOUNTING</v>
      </c>
    </row>
    <row r="883" customFormat="false" ht="15" hidden="false" customHeight="false" outlineLevel="0" collapsed="false">
      <c r="A883" s="6" t="s">
        <v>72</v>
      </c>
      <c r="B883" s="6" t="s">
        <v>51</v>
      </c>
      <c r="C883" s="6" t="n">
        <v>38</v>
      </c>
      <c r="D883" s="25" t="n">
        <f aca="false">EDATE('Start Here'!$B$6,C883-1)</f>
        <v>47453</v>
      </c>
      <c r="E883" s="23" t="n">
        <f aca="false">IF(AND(OR(Nonlabor!$D$20="Both",Nonlabor!$D$20='Start Here'!$B$9),IF(Nonlabor!$E$20="Core",1,IF(Nonlabor!$E$20="AI",'Start Here'!$B$7,'Start Here'!$B$8))=1,C883&gt;=IF(Nonlabor!$E$20="Core",Nonlabor!$F$20,MAX(Nonlabor!$F$20,IF(Nonlabor!$E$20="AI",Assumptions!$C$24,Assumptions!$C$25))),C883&lt;=Nonlabor!$G$20,OR(Nonlabor!$H$20="Monthly",AND(Nonlabor!$H$20="Once",C883=IF(Nonlabor!$E$20="Core",Nonlabor!$F$20,MAX(Nonlabor!$F$20,IF(Nonlabor!$E$20="AI",Assumptions!$C$24,Assumptions!$C$25)))),AND(Nonlabor!$H$20="Annual",MOD(C883-IF(Nonlabor!$E$20="Core",Nonlabor!$F$20,MAX(Nonlabor!$F$20,IF(Nonlabor!$E$20="AI",Assumptions!$C$24,Assumptions!$C$25))),12)=0))),IF(Nonlabor!$I$20="Fixed",1,IF(Nonlabor!$I$20="Seats",ROUNDUP('Monthly Lean'!I43,0),IF(Nonlabor!$I$20="Customers",'Monthly Lean'!D43,IF(Nonlabor!$I$20="NewCustomers",'Monthly Lean'!C43,IF(Nonlabor!$I$20="StorageGB",'Monthly Lean'!G43,IF(Nonlabor!$I$20="LogGB",'Monthly Lean'!H43,IF(Nonlabor!$I$20="RequestsM",'Monthly Lean'!F43,IF(Nonlabor!$I$20="InputM",'Monthly Lean'!D43*Assumptions!$C$22/1000000,IF(Nonlabor!$I$20="OutputM",'Monthly Lean'!D43*Assumptions!$C$23/1000000,0))))))))),0)</f>
        <v>1</v>
      </c>
      <c r="F883" s="10" t="n">
        <f aca="false">Nonlabor!$J$20*(1+Assumptions!$C$9)^INT((C883-1)/12)</f>
        <v>655.6362</v>
      </c>
      <c r="G883" s="10" t="n">
        <f aca="false">E883*F883</f>
        <v>655.6362</v>
      </c>
      <c r="H883" s="10" t="n">
        <f aca="false">IF(OR(Nonlabor!$L$20="Quote required",Nonlabor!$L$20="Unverified"),G883,0)</f>
        <v>655.6362</v>
      </c>
      <c r="I883" s="10" t="n">
        <f aca="false">IF(Nonlabor!$E$20="Core",0,G883)</f>
        <v>0</v>
      </c>
      <c r="J883" s="23" t="str">
        <f aca="false">Nonlabor!$B$20</f>
        <v>ACCOUNTING</v>
      </c>
    </row>
    <row r="884" customFormat="false" ht="15" hidden="false" customHeight="false" outlineLevel="0" collapsed="false">
      <c r="A884" s="6" t="s">
        <v>72</v>
      </c>
      <c r="B884" s="6" t="s">
        <v>51</v>
      </c>
      <c r="C884" s="6" t="n">
        <v>39</v>
      </c>
      <c r="D884" s="25" t="n">
        <f aca="false">EDATE('Start Here'!$B$6,C884-1)</f>
        <v>47484</v>
      </c>
      <c r="E884" s="23" t="n">
        <f aca="false">IF(AND(OR(Nonlabor!$D$20="Both",Nonlabor!$D$20='Start Here'!$B$9),IF(Nonlabor!$E$20="Core",1,IF(Nonlabor!$E$20="AI",'Start Here'!$B$7,'Start Here'!$B$8))=1,C884&gt;=IF(Nonlabor!$E$20="Core",Nonlabor!$F$20,MAX(Nonlabor!$F$20,IF(Nonlabor!$E$20="AI",Assumptions!$C$24,Assumptions!$C$25))),C884&lt;=Nonlabor!$G$20,OR(Nonlabor!$H$20="Monthly",AND(Nonlabor!$H$20="Once",C884=IF(Nonlabor!$E$20="Core",Nonlabor!$F$20,MAX(Nonlabor!$F$20,IF(Nonlabor!$E$20="AI",Assumptions!$C$24,Assumptions!$C$25)))),AND(Nonlabor!$H$20="Annual",MOD(C884-IF(Nonlabor!$E$20="Core",Nonlabor!$F$20,MAX(Nonlabor!$F$20,IF(Nonlabor!$E$20="AI",Assumptions!$C$24,Assumptions!$C$25))),12)=0))),IF(Nonlabor!$I$20="Fixed",1,IF(Nonlabor!$I$20="Seats",ROUNDUP('Monthly Lean'!I44,0),IF(Nonlabor!$I$20="Customers",'Monthly Lean'!D44,IF(Nonlabor!$I$20="NewCustomers",'Monthly Lean'!C44,IF(Nonlabor!$I$20="StorageGB",'Monthly Lean'!G44,IF(Nonlabor!$I$20="LogGB",'Monthly Lean'!H44,IF(Nonlabor!$I$20="RequestsM",'Monthly Lean'!F44,IF(Nonlabor!$I$20="InputM",'Monthly Lean'!D44*Assumptions!$C$22/1000000,IF(Nonlabor!$I$20="OutputM",'Monthly Lean'!D44*Assumptions!$C$23/1000000,0))))))))),0)</f>
        <v>1</v>
      </c>
      <c r="F884" s="10" t="n">
        <f aca="false">Nonlabor!$J$20*(1+Assumptions!$C$9)^INT((C884-1)/12)</f>
        <v>655.6362</v>
      </c>
      <c r="G884" s="10" t="n">
        <f aca="false">E884*F884</f>
        <v>655.6362</v>
      </c>
      <c r="H884" s="10" t="n">
        <f aca="false">IF(OR(Nonlabor!$L$20="Quote required",Nonlabor!$L$20="Unverified"),G884,0)</f>
        <v>655.6362</v>
      </c>
      <c r="I884" s="10" t="n">
        <f aca="false">IF(Nonlabor!$E$20="Core",0,G884)</f>
        <v>0</v>
      </c>
      <c r="J884" s="23" t="str">
        <f aca="false">Nonlabor!$B$20</f>
        <v>ACCOUNTING</v>
      </c>
    </row>
    <row r="885" customFormat="false" ht="15" hidden="false" customHeight="false" outlineLevel="0" collapsed="false">
      <c r="A885" s="6" t="s">
        <v>72</v>
      </c>
      <c r="B885" s="6" t="s">
        <v>51</v>
      </c>
      <c r="C885" s="6" t="n">
        <v>40</v>
      </c>
      <c r="D885" s="25" t="n">
        <f aca="false">EDATE('Start Here'!$B$6,C885-1)</f>
        <v>47515</v>
      </c>
      <c r="E885" s="23" t="n">
        <f aca="false">IF(AND(OR(Nonlabor!$D$20="Both",Nonlabor!$D$20='Start Here'!$B$9),IF(Nonlabor!$E$20="Core",1,IF(Nonlabor!$E$20="AI",'Start Here'!$B$7,'Start Here'!$B$8))=1,C885&gt;=IF(Nonlabor!$E$20="Core",Nonlabor!$F$20,MAX(Nonlabor!$F$20,IF(Nonlabor!$E$20="AI",Assumptions!$C$24,Assumptions!$C$25))),C885&lt;=Nonlabor!$G$20,OR(Nonlabor!$H$20="Monthly",AND(Nonlabor!$H$20="Once",C885=IF(Nonlabor!$E$20="Core",Nonlabor!$F$20,MAX(Nonlabor!$F$20,IF(Nonlabor!$E$20="AI",Assumptions!$C$24,Assumptions!$C$25)))),AND(Nonlabor!$H$20="Annual",MOD(C885-IF(Nonlabor!$E$20="Core",Nonlabor!$F$20,MAX(Nonlabor!$F$20,IF(Nonlabor!$E$20="AI",Assumptions!$C$24,Assumptions!$C$25))),12)=0))),IF(Nonlabor!$I$20="Fixed",1,IF(Nonlabor!$I$20="Seats",ROUNDUP('Monthly Lean'!I45,0),IF(Nonlabor!$I$20="Customers",'Monthly Lean'!D45,IF(Nonlabor!$I$20="NewCustomers",'Monthly Lean'!C45,IF(Nonlabor!$I$20="StorageGB",'Monthly Lean'!G45,IF(Nonlabor!$I$20="LogGB",'Monthly Lean'!H45,IF(Nonlabor!$I$20="RequestsM",'Monthly Lean'!F45,IF(Nonlabor!$I$20="InputM",'Monthly Lean'!D45*Assumptions!$C$22/1000000,IF(Nonlabor!$I$20="OutputM",'Monthly Lean'!D45*Assumptions!$C$23/1000000,0))))))))),0)</f>
        <v>1</v>
      </c>
      <c r="F885" s="10" t="n">
        <f aca="false">Nonlabor!$J$20*(1+Assumptions!$C$9)^INT((C885-1)/12)</f>
        <v>655.6362</v>
      </c>
      <c r="G885" s="10" t="n">
        <f aca="false">E885*F885</f>
        <v>655.6362</v>
      </c>
      <c r="H885" s="10" t="n">
        <f aca="false">IF(OR(Nonlabor!$L$20="Quote required",Nonlabor!$L$20="Unverified"),G885,0)</f>
        <v>655.6362</v>
      </c>
      <c r="I885" s="10" t="n">
        <f aca="false">IF(Nonlabor!$E$20="Core",0,G885)</f>
        <v>0</v>
      </c>
      <c r="J885" s="23" t="str">
        <f aca="false">Nonlabor!$B$20</f>
        <v>ACCOUNTING</v>
      </c>
    </row>
    <row r="886" customFormat="false" ht="15" hidden="false" customHeight="false" outlineLevel="0" collapsed="false">
      <c r="A886" s="6" t="s">
        <v>72</v>
      </c>
      <c r="B886" s="6" t="s">
        <v>51</v>
      </c>
      <c r="C886" s="6" t="n">
        <v>41</v>
      </c>
      <c r="D886" s="25" t="n">
        <f aca="false">EDATE('Start Here'!$B$6,C886-1)</f>
        <v>47543</v>
      </c>
      <c r="E886" s="23" t="n">
        <f aca="false">IF(AND(OR(Nonlabor!$D$20="Both",Nonlabor!$D$20='Start Here'!$B$9),IF(Nonlabor!$E$20="Core",1,IF(Nonlabor!$E$20="AI",'Start Here'!$B$7,'Start Here'!$B$8))=1,C886&gt;=IF(Nonlabor!$E$20="Core",Nonlabor!$F$20,MAX(Nonlabor!$F$20,IF(Nonlabor!$E$20="AI",Assumptions!$C$24,Assumptions!$C$25))),C886&lt;=Nonlabor!$G$20,OR(Nonlabor!$H$20="Monthly",AND(Nonlabor!$H$20="Once",C886=IF(Nonlabor!$E$20="Core",Nonlabor!$F$20,MAX(Nonlabor!$F$20,IF(Nonlabor!$E$20="AI",Assumptions!$C$24,Assumptions!$C$25)))),AND(Nonlabor!$H$20="Annual",MOD(C886-IF(Nonlabor!$E$20="Core",Nonlabor!$F$20,MAX(Nonlabor!$F$20,IF(Nonlabor!$E$20="AI",Assumptions!$C$24,Assumptions!$C$25))),12)=0))),IF(Nonlabor!$I$20="Fixed",1,IF(Nonlabor!$I$20="Seats",ROUNDUP('Monthly Lean'!I46,0),IF(Nonlabor!$I$20="Customers",'Monthly Lean'!D46,IF(Nonlabor!$I$20="NewCustomers",'Monthly Lean'!C46,IF(Nonlabor!$I$20="StorageGB",'Monthly Lean'!G46,IF(Nonlabor!$I$20="LogGB",'Monthly Lean'!H46,IF(Nonlabor!$I$20="RequestsM",'Monthly Lean'!F46,IF(Nonlabor!$I$20="InputM",'Monthly Lean'!D46*Assumptions!$C$22/1000000,IF(Nonlabor!$I$20="OutputM",'Monthly Lean'!D46*Assumptions!$C$23/1000000,0))))))))),0)</f>
        <v>1</v>
      </c>
      <c r="F886" s="10" t="n">
        <f aca="false">Nonlabor!$J$20*(1+Assumptions!$C$9)^INT((C886-1)/12)</f>
        <v>655.6362</v>
      </c>
      <c r="G886" s="10" t="n">
        <f aca="false">E886*F886</f>
        <v>655.6362</v>
      </c>
      <c r="H886" s="10" t="n">
        <f aca="false">IF(OR(Nonlabor!$L$20="Quote required",Nonlabor!$L$20="Unverified"),G886,0)</f>
        <v>655.6362</v>
      </c>
      <c r="I886" s="10" t="n">
        <f aca="false">IF(Nonlabor!$E$20="Core",0,G886)</f>
        <v>0</v>
      </c>
      <c r="J886" s="23" t="str">
        <f aca="false">Nonlabor!$B$20</f>
        <v>ACCOUNTING</v>
      </c>
    </row>
    <row r="887" customFormat="false" ht="15" hidden="false" customHeight="false" outlineLevel="0" collapsed="false">
      <c r="A887" s="6" t="s">
        <v>72</v>
      </c>
      <c r="B887" s="6" t="s">
        <v>51</v>
      </c>
      <c r="C887" s="6" t="n">
        <v>42</v>
      </c>
      <c r="D887" s="25" t="n">
        <f aca="false">EDATE('Start Here'!$B$6,C887-1)</f>
        <v>47574</v>
      </c>
      <c r="E887" s="23" t="n">
        <f aca="false">IF(AND(OR(Nonlabor!$D$20="Both",Nonlabor!$D$20='Start Here'!$B$9),IF(Nonlabor!$E$20="Core",1,IF(Nonlabor!$E$20="AI",'Start Here'!$B$7,'Start Here'!$B$8))=1,C887&gt;=IF(Nonlabor!$E$20="Core",Nonlabor!$F$20,MAX(Nonlabor!$F$20,IF(Nonlabor!$E$20="AI",Assumptions!$C$24,Assumptions!$C$25))),C887&lt;=Nonlabor!$G$20,OR(Nonlabor!$H$20="Monthly",AND(Nonlabor!$H$20="Once",C887=IF(Nonlabor!$E$20="Core",Nonlabor!$F$20,MAX(Nonlabor!$F$20,IF(Nonlabor!$E$20="AI",Assumptions!$C$24,Assumptions!$C$25)))),AND(Nonlabor!$H$20="Annual",MOD(C887-IF(Nonlabor!$E$20="Core",Nonlabor!$F$20,MAX(Nonlabor!$F$20,IF(Nonlabor!$E$20="AI",Assumptions!$C$24,Assumptions!$C$25))),12)=0))),IF(Nonlabor!$I$20="Fixed",1,IF(Nonlabor!$I$20="Seats",ROUNDUP('Monthly Lean'!I47,0),IF(Nonlabor!$I$20="Customers",'Monthly Lean'!D47,IF(Nonlabor!$I$20="NewCustomers",'Monthly Lean'!C47,IF(Nonlabor!$I$20="StorageGB",'Monthly Lean'!G47,IF(Nonlabor!$I$20="LogGB",'Monthly Lean'!H47,IF(Nonlabor!$I$20="RequestsM",'Monthly Lean'!F47,IF(Nonlabor!$I$20="InputM",'Monthly Lean'!D47*Assumptions!$C$22/1000000,IF(Nonlabor!$I$20="OutputM",'Monthly Lean'!D47*Assumptions!$C$23/1000000,0))))))))),0)</f>
        <v>1</v>
      </c>
      <c r="F887" s="10" t="n">
        <f aca="false">Nonlabor!$J$20*(1+Assumptions!$C$9)^INT((C887-1)/12)</f>
        <v>655.6362</v>
      </c>
      <c r="G887" s="10" t="n">
        <f aca="false">E887*F887</f>
        <v>655.6362</v>
      </c>
      <c r="H887" s="10" t="n">
        <f aca="false">IF(OR(Nonlabor!$L$20="Quote required",Nonlabor!$L$20="Unverified"),G887,0)</f>
        <v>655.6362</v>
      </c>
      <c r="I887" s="10" t="n">
        <f aca="false">IF(Nonlabor!$E$20="Core",0,G887)</f>
        <v>0</v>
      </c>
      <c r="J887" s="23" t="str">
        <f aca="false">Nonlabor!$B$20</f>
        <v>ACCOUNTING</v>
      </c>
    </row>
    <row r="888" customFormat="false" ht="15" hidden="false" customHeight="false" outlineLevel="0" collapsed="false">
      <c r="A888" s="6" t="s">
        <v>72</v>
      </c>
      <c r="B888" s="6" t="s">
        <v>51</v>
      </c>
      <c r="C888" s="6" t="n">
        <v>43</v>
      </c>
      <c r="D888" s="25" t="n">
        <f aca="false">EDATE('Start Here'!$B$6,C888-1)</f>
        <v>47604</v>
      </c>
      <c r="E888" s="23" t="n">
        <f aca="false">IF(AND(OR(Nonlabor!$D$20="Both",Nonlabor!$D$20='Start Here'!$B$9),IF(Nonlabor!$E$20="Core",1,IF(Nonlabor!$E$20="AI",'Start Here'!$B$7,'Start Here'!$B$8))=1,C888&gt;=IF(Nonlabor!$E$20="Core",Nonlabor!$F$20,MAX(Nonlabor!$F$20,IF(Nonlabor!$E$20="AI",Assumptions!$C$24,Assumptions!$C$25))),C888&lt;=Nonlabor!$G$20,OR(Nonlabor!$H$20="Monthly",AND(Nonlabor!$H$20="Once",C888=IF(Nonlabor!$E$20="Core",Nonlabor!$F$20,MAX(Nonlabor!$F$20,IF(Nonlabor!$E$20="AI",Assumptions!$C$24,Assumptions!$C$25)))),AND(Nonlabor!$H$20="Annual",MOD(C888-IF(Nonlabor!$E$20="Core",Nonlabor!$F$20,MAX(Nonlabor!$F$20,IF(Nonlabor!$E$20="AI",Assumptions!$C$24,Assumptions!$C$25))),12)=0))),IF(Nonlabor!$I$20="Fixed",1,IF(Nonlabor!$I$20="Seats",ROUNDUP('Monthly Lean'!I48,0),IF(Nonlabor!$I$20="Customers",'Monthly Lean'!D48,IF(Nonlabor!$I$20="NewCustomers",'Monthly Lean'!C48,IF(Nonlabor!$I$20="StorageGB",'Monthly Lean'!G48,IF(Nonlabor!$I$20="LogGB",'Monthly Lean'!H48,IF(Nonlabor!$I$20="RequestsM",'Monthly Lean'!F48,IF(Nonlabor!$I$20="InputM",'Monthly Lean'!D48*Assumptions!$C$22/1000000,IF(Nonlabor!$I$20="OutputM",'Monthly Lean'!D48*Assumptions!$C$23/1000000,0))))))))),0)</f>
        <v>1</v>
      </c>
      <c r="F888" s="10" t="n">
        <f aca="false">Nonlabor!$J$20*(1+Assumptions!$C$9)^INT((C888-1)/12)</f>
        <v>655.6362</v>
      </c>
      <c r="G888" s="10" t="n">
        <f aca="false">E888*F888</f>
        <v>655.6362</v>
      </c>
      <c r="H888" s="10" t="n">
        <f aca="false">IF(OR(Nonlabor!$L$20="Quote required",Nonlabor!$L$20="Unverified"),G888,0)</f>
        <v>655.6362</v>
      </c>
      <c r="I888" s="10" t="n">
        <f aca="false">IF(Nonlabor!$E$20="Core",0,G888)</f>
        <v>0</v>
      </c>
      <c r="J888" s="23" t="str">
        <f aca="false">Nonlabor!$B$20</f>
        <v>ACCOUNTING</v>
      </c>
    </row>
    <row r="889" customFormat="false" ht="15" hidden="false" customHeight="false" outlineLevel="0" collapsed="false">
      <c r="A889" s="6" t="s">
        <v>72</v>
      </c>
      <c r="B889" s="6" t="s">
        <v>51</v>
      </c>
      <c r="C889" s="6" t="n">
        <v>44</v>
      </c>
      <c r="D889" s="25" t="n">
        <f aca="false">EDATE('Start Here'!$B$6,C889-1)</f>
        <v>47635</v>
      </c>
      <c r="E889" s="23" t="n">
        <f aca="false">IF(AND(OR(Nonlabor!$D$20="Both",Nonlabor!$D$20='Start Here'!$B$9),IF(Nonlabor!$E$20="Core",1,IF(Nonlabor!$E$20="AI",'Start Here'!$B$7,'Start Here'!$B$8))=1,C889&gt;=IF(Nonlabor!$E$20="Core",Nonlabor!$F$20,MAX(Nonlabor!$F$20,IF(Nonlabor!$E$20="AI",Assumptions!$C$24,Assumptions!$C$25))),C889&lt;=Nonlabor!$G$20,OR(Nonlabor!$H$20="Monthly",AND(Nonlabor!$H$20="Once",C889=IF(Nonlabor!$E$20="Core",Nonlabor!$F$20,MAX(Nonlabor!$F$20,IF(Nonlabor!$E$20="AI",Assumptions!$C$24,Assumptions!$C$25)))),AND(Nonlabor!$H$20="Annual",MOD(C889-IF(Nonlabor!$E$20="Core",Nonlabor!$F$20,MAX(Nonlabor!$F$20,IF(Nonlabor!$E$20="AI",Assumptions!$C$24,Assumptions!$C$25))),12)=0))),IF(Nonlabor!$I$20="Fixed",1,IF(Nonlabor!$I$20="Seats",ROUNDUP('Monthly Lean'!I49,0),IF(Nonlabor!$I$20="Customers",'Monthly Lean'!D49,IF(Nonlabor!$I$20="NewCustomers",'Monthly Lean'!C49,IF(Nonlabor!$I$20="StorageGB",'Monthly Lean'!G49,IF(Nonlabor!$I$20="LogGB",'Monthly Lean'!H49,IF(Nonlabor!$I$20="RequestsM",'Monthly Lean'!F49,IF(Nonlabor!$I$20="InputM",'Monthly Lean'!D49*Assumptions!$C$22/1000000,IF(Nonlabor!$I$20="OutputM",'Monthly Lean'!D49*Assumptions!$C$23/1000000,0))))))))),0)</f>
        <v>1</v>
      </c>
      <c r="F889" s="10" t="n">
        <f aca="false">Nonlabor!$J$20*(1+Assumptions!$C$9)^INT((C889-1)/12)</f>
        <v>655.6362</v>
      </c>
      <c r="G889" s="10" t="n">
        <f aca="false">E889*F889</f>
        <v>655.6362</v>
      </c>
      <c r="H889" s="10" t="n">
        <f aca="false">IF(OR(Nonlabor!$L$20="Quote required",Nonlabor!$L$20="Unverified"),G889,0)</f>
        <v>655.6362</v>
      </c>
      <c r="I889" s="10" t="n">
        <f aca="false">IF(Nonlabor!$E$20="Core",0,G889)</f>
        <v>0</v>
      </c>
      <c r="J889" s="23" t="str">
        <f aca="false">Nonlabor!$B$20</f>
        <v>ACCOUNTING</v>
      </c>
    </row>
    <row r="890" customFormat="false" ht="15" hidden="false" customHeight="false" outlineLevel="0" collapsed="false">
      <c r="A890" s="6" t="s">
        <v>72</v>
      </c>
      <c r="B890" s="6" t="s">
        <v>51</v>
      </c>
      <c r="C890" s="6" t="n">
        <v>45</v>
      </c>
      <c r="D890" s="25" t="n">
        <f aca="false">EDATE('Start Here'!$B$6,C890-1)</f>
        <v>47665</v>
      </c>
      <c r="E890" s="23" t="n">
        <f aca="false">IF(AND(OR(Nonlabor!$D$20="Both",Nonlabor!$D$20='Start Here'!$B$9),IF(Nonlabor!$E$20="Core",1,IF(Nonlabor!$E$20="AI",'Start Here'!$B$7,'Start Here'!$B$8))=1,C890&gt;=IF(Nonlabor!$E$20="Core",Nonlabor!$F$20,MAX(Nonlabor!$F$20,IF(Nonlabor!$E$20="AI",Assumptions!$C$24,Assumptions!$C$25))),C890&lt;=Nonlabor!$G$20,OR(Nonlabor!$H$20="Monthly",AND(Nonlabor!$H$20="Once",C890=IF(Nonlabor!$E$20="Core",Nonlabor!$F$20,MAX(Nonlabor!$F$20,IF(Nonlabor!$E$20="AI",Assumptions!$C$24,Assumptions!$C$25)))),AND(Nonlabor!$H$20="Annual",MOD(C890-IF(Nonlabor!$E$20="Core",Nonlabor!$F$20,MAX(Nonlabor!$F$20,IF(Nonlabor!$E$20="AI",Assumptions!$C$24,Assumptions!$C$25))),12)=0))),IF(Nonlabor!$I$20="Fixed",1,IF(Nonlabor!$I$20="Seats",ROUNDUP('Monthly Lean'!I50,0),IF(Nonlabor!$I$20="Customers",'Monthly Lean'!D50,IF(Nonlabor!$I$20="NewCustomers",'Monthly Lean'!C50,IF(Nonlabor!$I$20="StorageGB",'Monthly Lean'!G50,IF(Nonlabor!$I$20="LogGB",'Monthly Lean'!H50,IF(Nonlabor!$I$20="RequestsM",'Monthly Lean'!F50,IF(Nonlabor!$I$20="InputM",'Monthly Lean'!D50*Assumptions!$C$22/1000000,IF(Nonlabor!$I$20="OutputM",'Monthly Lean'!D50*Assumptions!$C$23/1000000,0))))))))),0)</f>
        <v>1</v>
      </c>
      <c r="F890" s="10" t="n">
        <f aca="false">Nonlabor!$J$20*(1+Assumptions!$C$9)^INT((C890-1)/12)</f>
        <v>655.6362</v>
      </c>
      <c r="G890" s="10" t="n">
        <f aca="false">E890*F890</f>
        <v>655.6362</v>
      </c>
      <c r="H890" s="10" t="n">
        <f aca="false">IF(OR(Nonlabor!$L$20="Quote required",Nonlabor!$L$20="Unverified"),G890,0)</f>
        <v>655.6362</v>
      </c>
      <c r="I890" s="10" t="n">
        <f aca="false">IF(Nonlabor!$E$20="Core",0,G890)</f>
        <v>0</v>
      </c>
      <c r="J890" s="23" t="str">
        <f aca="false">Nonlabor!$B$20</f>
        <v>ACCOUNTING</v>
      </c>
    </row>
    <row r="891" customFormat="false" ht="15" hidden="false" customHeight="false" outlineLevel="0" collapsed="false">
      <c r="A891" s="6" t="s">
        <v>72</v>
      </c>
      <c r="B891" s="6" t="s">
        <v>51</v>
      </c>
      <c r="C891" s="6" t="n">
        <v>46</v>
      </c>
      <c r="D891" s="25" t="n">
        <f aca="false">EDATE('Start Here'!$B$6,C891-1)</f>
        <v>47696</v>
      </c>
      <c r="E891" s="23" t="n">
        <f aca="false">IF(AND(OR(Nonlabor!$D$20="Both",Nonlabor!$D$20='Start Here'!$B$9),IF(Nonlabor!$E$20="Core",1,IF(Nonlabor!$E$20="AI",'Start Here'!$B$7,'Start Here'!$B$8))=1,C891&gt;=IF(Nonlabor!$E$20="Core",Nonlabor!$F$20,MAX(Nonlabor!$F$20,IF(Nonlabor!$E$20="AI",Assumptions!$C$24,Assumptions!$C$25))),C891&lt;=Nonlabor!$G$20,OR(Nonlabor!$H$20="Monthly",AND(Nonlabor!$H$20="Once",C891=IF(Nonlabor!$E$20="Core",Nonlabor!$F$20,MAX(Nonlabor!$F$20,IF(Nonlabor!$E$20="AI",Assumptions!$C$24,Assumptions!$C$25)))),AND(Nonlabor!$H$20="Annual",MOD(C891-IF(Nonlabor!$E$20="Core",Nonlabor!$F$20,MAX(Nonlabor!$F$20,IF(Nonlabor!$E$20="AI",Assumptions!$C$24,Assumptions!$C$25))),12)=0))),IF(Nonlabor!$I$20="Fixed",1,IF(Nonlabor!$I$20="Seats",ROUNDUP('Monthly Lean'!I51,0),IF(Nonlabor!$I$20="Customers",'Monthly Lean'!D51,IF(Nonlabor!$I$20="NewCustomers",'Monthly Lean'!C51,IF(Nonlabor!$I$20="StorageGB",'Monthly Lean'!G51,IF(Nonlabor!$I$20="LogGB",'Monthly Lean'!H51,IF(Nonlabor!$I$20="RequestsM",'Monthly Lean'!F51,IF(Nonlabor!$I$20="InputM",'Monthly Lean'!D51*Assumptions!$C$22/1000000,IF(Nonlabor!$I$20="OutputM",'Monthly Lean'!D51*Assumptions!$C$23/1000000,0))))))))),0)</f>
        <v>1</v>
      </c>
      <c r="F891" s="10" t="n">
        <f aca="false">Nonlabor!$J$20*(1+Assumptions!$C$9)^INT((C891-1)/12)</f>
        <v>655.6362</v>
      </c>
      <c r="G891" s="10" t="n">
        <f aca="false">E891*F891</f>
        <v>655.6362</v>
      </c>
      <c r="H891" s="10" t="n">
        <f aca="false">IF(OR(Nonlabor!$L$20="Quote required",Nonlabor!$L$20="Unverified"),G891,0)</f>
        <v>655.6362</v>
      </c>
      <c r="I891" s="10" t="n">
        <f aca="false">IF(Nonlabor!$E$20="Core",0,G891)</f>
        <v>0</v>
      </c>
      <c r="J891" s="23" t="str">
        <f aca="false">Nonlabor!$B$20</f>
        <v>ACCOUNTING</v>
      </c>
    </row>
    <row r="892" customFormat="false" ht="15" hidden="false" customHeight="false" outlineLevel="0" collapsed="false">
      <c r="A892" s="6" t="s">
        <v>72</v>
      </c>
      <c r="B892" s="6" t="s">
        <v>51</v>
      </c>
      <c r="C892" s="6" t="n">
        <v>47</v>
      </c>
      <c r="D892" s="25" t="n">
        <f aca="false">EDATE('Start Here'!$B$6,C892-1)</f>
        <v>47727</v>
      </c>
      <c r="E892" s="23" t="n">
        <f aca="false">IF(AND(OR(Nonlabor!$D$20="Both",Nonlabor!$D$20='Start Here'!$B$9),IF(Nonlabor!$E$20="Core",1,IF(Nonlabor!$E$20="AI",'Start Here'!$B$7,'Start Here'!$B$8))=1,C892&gt;=IF(Nonlabor!$E$20="Core",Nonlabor!$F$20,MAX(Nonlabor!$F$20,IF(Nonlabor!$E$20="AI",Assumptions!$C$24,Assumptions!$C$25))),C892&lt;=Nonlabor!$G$20,OR(Nonlabor!$H$20="Monthly",AND(Nonlabor!$H$20="Once",C892=IF(Nonlabor!$E$20="Core",Nonlabor!$F$20,MAX(Nonlabor!$F$20,IF(Nonlabor!$E$20="AI",Assumptions!$C$24,Assumptions!$C$25)))),AND(Nonlabor!$H$20="Annual",MOD(C892-IF(Nonlabor!$E$20="Core",Nonlabor!$F$20,MAX(Nonlabor!$F$20,IF(Nonlabor!$E$20="AI",Assumptions!$C$24,Assumptions!$C$25))),12)=0))),IF(Nonlabor!$I$20="Fixed",1,IF(Nonlabor!$I$20="Seats",ROUNDUP('Monthly Lean'!I52,0),IF(Nonlabor!$I$20="Customers",'Monthly Lean'!D52,IF(Nonlabor!$I$20="NewCustomers",'Monthly Lean'!C52,IF(Nonlabor!$I$20="StorageGB",'Monthly Lean'!G52,IF(Nonlabor!$I$20="LogGB",'Monthly Lean'!H52,IF(Nonlabor!$I$20="RequestsM",'Monthly Lean'!F52,IF(Nonlabor!$I$20="InputM",'Monthly Lean'!D52*Assumptions!$C$22/1000000,IF(Nonlabor!$I$20="OutputM",'Monthly Lean'!D52*Assumptions!$C$23/1000000,0))))))))),0)</f>
        <v>1</v>
      </c>
      <c r="F892" s="10" t="n">
        <f aca="false">Nonlabor!$J$20*(1+Assumptions!$C$9)^INT((C892-1)/12)</f>
        <v>655.6362</v>
      </c>
      <c r="G892" s="10" t="n">
        <f aca="false">E892*F892</f>
        <v>655.6362</v>
      </c>
      <c r="H892" s="10" t="n">
        <f aca="false">IF(OR(Nonlabor!$L$20="Quote required",Nonlabor!$L$20="Unverified"),G892,0)</f>
        <v>655.6362</v>
      </c>
      <c r="I892" s="10" t="n">
        <f aca="false">IF(Nonlabor!$E$20="Core",0,G892)</f>
        <v>0</v>
      </c>
      <c r="J892" s="23" t="str">
        <f aca="false">Nonlabor!$B$20</f>
        <v>ACCOUNTING</v>
      </c>
    </row>
    <row r="893" customFormat="false" ht="15" hidden="false" customHeight="false" outlineLevel="0" collapsed="false">
      <c r="A893" s="6" t="s">
        <v>72</v>
      </c>
      <c r="B893" s="6" t="s">
        <v>51</v>
      </c>
      <c r="C893" s="6" t="n">
        <v>48</v>
      </c>
      <c r="D893" s="25" t="n">
        <f aca="false">EDATE('Start Here'!$B$6,C893-1)</f>
        <v>47757</v>
      </c>
      <c r="E893" s="23" t="n">
        <f aca="false">IF(AND(OR(Nonlabor!$D$20="Both",Nonlabor!$D$20='Start Here'!$B$9),IF(Nonlabor!$E$20="Core",1,IF(Nonlabor!$E$20="AI",'Start Here'!$B$7,'Start Here'!$B$8))=1,C893&gt;=IF(Nonlabor!$E$20="Core",Nonlabor!$F$20,MAX(Nonlabor!$F$20,IF(Nonlabor!$E$20="AI",Assumptions!$C$24,Assumptions!$C$25))),C893&lt;=Nonlabor!$G$20,OR(Nonlabor!$H$20="Monthly",AND(Nonlabor!$H$20="Once",C893=IF(Nonlabor!$E$20="Core",Nonlabor!$F$20,MAX(Nonlabor!$F$20,IF(Nonlabor!$E$20="AI",Assumptions!$C$24,Assumptions!$C$25)))),AND(Nonlabor!$H$20="Annual",MOD(C893-IF(Nonlabor!$E$20="Core",Nonlabor!$F$20,MAX(Nonlabor!$F$20,IF(Nonlabor!$E$20="AI",Assumptions!$C$24,Assumptions!$C$25))),12)=0))),IF(Nonlabor!$I$20="Fixed",1,IF(Nonlabor!$I$20="Seats",ROUNDUP('Monthly Lean'!I53,0),IF(Nonlabor!$I$20="Customers",'Monthly Lean'!D53,IF(Nonlabor!$I$20="NewCustomers",'Monthly Lean'!C53,IF(Nonlabor!$I$20="StorageGB",'Monthly Lean'!G53,IF(Nonlabor!$I$20="LogGB",'Monthly Lean'!H53,IF(Nonlabor!$I$20="RequestsM",'Monthly Lean'!F53,IF(Nonlabor!$I$20="InputM",'Monthly Lean'!D53*Assumptions!$C$22/1000000,IF(Nonlabor!$I$20="OutputM",'Monthly Lean'!D53*Assumptions!$C$23/1000000,0))))))))),0)</f>
        <v>1</v>
      </c>
      <c r="F893" s="10" t="n">
        <f aca="false">Nonlabor!$J$20*(1+Assumptions!$C$9)^INT((C893-1)/12)</f>
        <v>655.6362</v>
      </c>
      <c r="G893" s="10" t="n">
        <f aca="false">E893*F893</f>
        <v>655.6362</v>
      </c>
      <c r="H893" s="10" t="n">
        <f aca="false">IF(OR(Nonlabor!$L$20="Quote required",Nonlabor!$L$20="Unverified"),G893,0)</f>
        <v>655.6362</v>
      </c>
      <c r="I893" s="10" t="n">
        <f aca="false">IF(Nonlabor!$E$20="Core",0,G893)</f>
        <v>0</v>
      </c>
      <c r="J893" s="23" t="str">
        <f aca="false">Nonlabor!$B$20</f>
        <v>ACCOUNTING</v>
      </c>
    </row>
    <row r="894" customFormat="false" ht="15" hidden="false" customHeight="false" outlineLevel="0" collapsed="false">
      <c r="A894" s="6" t="s">
        <v>72</v>
      </c>
      <c r="B894" s="6" t="s">
        <v>51</v>
      </c>
      <c r="C894" s="6" t="n">
        <v>49</v>
      </c>
      <c r="D894" s="25" t="n">
        <f aca="false">EDATE('Start Here'!$B$6,C894-1)</f>
        <v>47788</v>
      </c>
      <c r="E894" s="23" t="n">
        <f aca="false">IF(AND(OR(Nonlabor!$D$20="Both",Nonlabor!$D$20='Start Here'!$B$9),IF(Nonlabor!$E$20="Core",1,IF(Nonlabor!$E$20="AI",'Start Here'!$B$7,'Start Here'!$B$8))=1,C894&gt;=IF(Nonlabor!$E$20="Core",Nonlabor!$F$20,MAX(Nonlabor!$F$20,IF(Nonlabor!$E$20="AI",Assumptions!$C$24,Assumptions!$C$25))),C894&lt;=Nonlabor!$G$20,OR(Nonlabor!$H$20="Monthly",AND(Nonlabor!$H$20="Once",C894=IF(Nonlabor!$E$20="Core",Nonlabor!$F$20,MAX(Nonlabor!$F$20,IF(Nonlabor!$E$20="AI",Assumptions!$C$24,Assumptions!$C$25)))),AND(Nonlabor!$H$20="Annual",MOD(C894-IF(Nonlabor!$E$20="Core",Nonlabor!$F$20,MAX(Nonlabor!$F$20,IF(Nonlabor!$E$20="AI",Assumptions!$C$24,Assumptions!$C$25))),12)=0))),IF(Nonlabor!$I$20="Fixed",1,IF(Nonlabor!$I$20="Seats",ROUNDUP('Monthly Lean'!I54,0),IF(Nonlabor!$I$20="Customers",'Monthly Lean'!D54,IF(Nonlabor!$I$20="NewCustomers",'Monthly Lean'!C54,IF(Nonlabor!$I$20="StorageGB",'Monthly Lean'!G54,IF(Nonlabor!$I$20="LogGB",'Monthly Lean'!H54,IF(Nonlabor!$I$20="RequestsM",'Monthly Lean'!F54,IF(Nonlabor!$I$20="InputM",'Monthly Lean'!D54*Assumptions!$C$22/1000000,IF(Nonlabor!$I$20="OutputM",'Monthly Lean'!D54*Assumptions!$C$23/1000000,0))))))))),0)</f>
        <v>1</v>
      </c>
      <c r="F894" s="10" t="n">
        <f aca="false">Nonlabor!$J$20*(1+Assumptions!$C$9)^INT((C894-1)/12)</f>
        <v>675.305286</v>
      </c>
      <c r="G894" s="10" t="n">
        <f aca="false">E894*F894</f>
        <v>675.305286</v>
      </c>
      <c r="H894" s="10" t="n">
        <f aca="false">IF(OR(Nonlabor!$L$20="Quote required",Nonlabor!$L$20="Unverified"),G894,0)</f>
        <v>675.305286</v>
      </c>
      <c r="I894" s="10" t="n">
        <f aca="false">IF(Nonlabor!$E$20="Core",0,G894)</f>
        <v>0</v>
      </c>
      <c r="J894" s="23" t="str">
        <f aca="false">Nonlabor!$B$20</f>
        <v>ACCOUNTING</v>
      </c>
    </row>
    <row r="895" customFormat="false" ht="15" hidden="false" customHeight="false" outlineLevel="0" collapsed="false">
      <c r="A895" s="6" t="s">
        <v>72</v>
      </c>
      <c r="B895" s="6" t="s">
        <v>51</v>
      </c>
      <c r="C895" s="6" t="n">
        <v>50</v>
      </c>
      <c r="D895" s="25" t="n">
        <f aca="false">EDATE('Start Here'!$B$6,C895-1)</f>
        <v>47818</v>
      </c>
      <c r="E895" s="23" t="n">
        <f aca="false">IF(AND(OR(Nonlabor!$D$20="Both",Nonlabor!$D$20='Start Here'!$B$9),IF(Nonlabor!$E$20="Core",1,IF(Nonlabor!$E$20="AI",'Start Here'!$B$7,'Start Here'!$B$8))=1,C895&gt;=IF(Nonlabor!$E$20="Core",Nonlabor!$F$20,MAX(Nonlabor!$F$20,IF(Nonlabor!$E$20="AI",Assumptions!$C$24,Assumptions!$C$25))),C895&lt;=Nonlabor!$G$20,OR(Nonlabor!$H$20="Monthly",AND(Nonlabor!$H$20="Once",C895=IF(Nonlabor!$E$20="Core",Nonlabor!$F$20,MAX(Nonlabor!$F$20,IF(Nonlabor!$E$20="AI",Assumptions!$C$24,Assumptions!$C$25)))),AND(Nonlabor!$H$20="Annual",MOD(C895-IF(Nonlabor!$E$20="Core",Nonlabor!$F$20,MAX(Nonlabor!$F$20,IF(Nonlabor!$E$20="AI",Assumptions!$C$24,Assumptions!$C$25))),12)=0))),IF(Nonlabor!$I$20="Fixed",1,IF(Nonlabor!$I$20="Seats",ROUNDUP('Monthly Lean'!I55,0),IF(Nonlabor!$I$20="Customers",'Monthly Lean'!D55,IF(Nonlabor!$I$20="NewCustomers",'Monthly Lean'!C55,IF(Nonlabor!$I$20="StorageGB",'Monthly Lean'!G55,IF(Nonlabor!$I$20="LogGB",'Monthly Lean'!H55,IF(Nonlabor!$I$20="RequestsM",'Monthly Lean'!F55,IF(Nonlabor!$I$20="InputM",'Monthly Lean'!D55*Assumptions!$C$22/1000000,IF(Nonlabor!$I$20="OutputM",'Monthly Lean'!D55*Assumptions!$C$23/1000000,0))))))))),0)</f>
        <v>1</v>
      </c>
      <c r="F895" s="10" t="n">
        <f aca="false">Nonlabor!$J$20*(1+Assumptions!$C$9)^INT((C895-1)/12)</f>
        <v>675.305286</v>
      </c>
      <c r="G895" s="10" t="n">
        <f aca="false">E895*F895</f>
        <v>675.305286</v>
      </c>
      <c r="H895" s="10" t="n">
        <f aca="false">IF(OR(Nonlabor!$L$20="Quote required",Nonlabor!$L$20="Unverified"),G895,0)</f>
        <v>675.305286</v>
      </c>
      <c r="I895" s="10" t="n">
        <f aca="false">IF(Nonlabor!$E$20="Core",0,G895)</f>
        <v>0</v>
      </c>
      <c r="J895" s="23" t="str">
        <f aca="false">Nonlabor!$B$20</f>
        <v>ACCOUNTING</v>
      </c>
    </row>
    <row r="896" customFormat="false" ht="15" hidden="false" customHeight="false" outlineLevel="0" collapsed="false">
      <c r="A896" s="6" t="s">
        <v>72</v>
      </c>
      <c r="B896" s="6" t="s">
        <v>51</v>
      </c>
      <c r="C896" s="6" t="n">
        <v>51</v>
      </c>
      <c r="D896" s="25" t="n">
        <f aca="false">EDATE('Start Here'!$B$6,C896-1)</f>
        <v>47849</v>
      </c>
      <c r="E896" s="23" t="n">
        <f aca="false">IF(AND(OR(Nonlabor!$D$20="Both",Nonlabor!$D$20='Start Here'!$B$9),IF(Nonlabor!$E$20="Core",1,IF(Nonlabor!$E$20="AI",'Start Here'!$B$7,'Start Here'!$B$8))=1,C896&gt;=IF(Nonlabor!$E$20="Core",Nonlabor!$F$20,MAX(Nonlabor!$F$20,IF(Nonlabor!$E$20="AI",Assumptions!$C$24,Assumptions!$C$25))),C896&lt;=Nonlabor!$G$20,OR(Nonlabor!$H$20="Monthly",AND(Nonlabor!$H$20="Once",C896=IF(Nonlabor!$E$20="Core",Nonlabor!$F$20,MAX(Nonlabor!$F$20,IF(Nonlabor!$E$20="AI",Assumptions!$C$24,Assumptions!$C$25)))),AND(Nonlabor!$H$20="Annual",MOD(C896-IF(Nonlabor!$E$20="Core",Nonlabor!$F$20,MAX(Nonlabor!$F$20,IF(Nonlabor!$E$20="AI",Assumptions!$C$24,Assumptions!$C$25))),12)=0))),IF(Nonlabor!$I$20="Fixed",1,IF(Nonlabor!$I$20="Seats",ROUNDUP('Monthly Lean'!I56,0),IF(Nonlabor!$I$20="Customers",'Monthly Lean'!D56,IF(Nonlabor!$I$20="NewCustomers",'Monthly Lean'!C56,IF(Nonlabor!$I$20="StorageGB",'Monthly Lean'!G56,IF(Nonlabor!$I$20="LogGB",'Monthly Lean'!H56,IF(Nonlabor!$I$20="RequestsM",'Monthly Lean'!F56,IF(Nonlabor!$I$20="InputM",'Monthly Lean'!D56*Assumptions!$C$22/1000000,IF(Nonlabor!$I$20="OutputM",'Monthly Lean'!D56*Assumptions!$C$23/1000000,0))))))))),0)</f>
        <v>1</v>
      </c>
      <c r="F896" s="10" t="n">
        <f aca="false">Nonlabor!$J$20*(1+Assumptions!$C$9)^INT((C896-1)/12)</f>
        <v>675.305286</v>
      </c>
      <c r="G896" s="10" t="n">
        <f aca="false">E896*F896</f>
        <v>675.305286</v>
      </c>
      <c r="H896" s="10" t="n">
        <f aca="false">IF(OR(Nonlabor!$L$20="Quote required",Nonlabor!$L$20="Unverified"),G896,0)</f>
        <v>675.305286</v>
      </c>
      <c r="I896" s="10" t="n">
        <f aca="false">IF(Nonlabor!$E$20="Core",0,G896)</f>
        <v>0</v>
      </c>
      <c r="J896" s="23" t="str">
        <f aca="false">Nonlabor!$B$20</f>
        <v>ACCOUNTING</v>
      </c>
    </row>
    <row r="897" customFormat="false" ht="15" hidden="false" customHeight="false" outlineLevel="0" collapsed="false">
      <c r="A897" s="6" t="s">
        <v>72</v>
      </c>
      <c r="B897" s="6" t="s">
        <v>51</v>
      </c>
      <c r="C897" s="6" t="n">
        <v>52</v>
      </c>
      <c r="D897" s="25" t="n">
        <f aca="false">EDATE('Start Here'!$B$6,C897-1)</f>
        <v>47880</v>
      </c>
      <c r="E897" s="23" t="n">
        <f aca="false">IF(AND(OR(Nonlabor!$D$20="Both",Nonlabor!$D$20='Start Here'!$B$9),IF(Nonlabor!$E$20="Core",1,IF(Nonlabor!$E$20="AI",'Start Here'!$B$7,'Start Here'!$B$8))=1,C897&gt;=IF(Nonlabor!$E$20="Core",Nonlabor!$F$20,MAX(Nonlabor!$F$20,IF(Nonlabor!$E$20="AI",Assumptions!$C$24,Assumptions!$C$25))),C897&lt;=Nonlabor!$G$20,OR(Nonlabor!$H$20="Monthly",AND(Nonlabor!$H$20="Once",C897=IF(Nonlabor!$E$20="Core",Nonlabor!$F$20,MAX(Nonlabor!$F$20,IF(Nonlabor!$E$20="AI",Assumptions!$C$24,Assumptions!$C$25)))),AND(Nonlabor!$H$20="Annual",MOD(C897-IF(Nonlabor!$E$20="Core",Nonlabor!$F$20,MAX(Nonlabor!$F$20,IF(Nonlabor!$E$20="AI",Assumptions!$C$24,Assumptions!$C$25))),12)=0))),IF(Nonlabor!$I$20="Fixed",1,IF(Nonlabor!$I$20="Seats",ROUNDUP('Monthly Lean'!I57,0),IF(Nonlabor!$I$20="Customers",'Monthly Lean'!D57,IF(Nonlabor!$I$20="NewCustomers",'Monthly Lean'!C57,IF(Nonlabor!$I$20="StorageGB",'Monthly Lean'!G57,IF(Nonlabor!$I$20="LogGB",'Monthly Lean'!H57,IF(Nonlabor!$I$20="RequestsM",'Monthly Lean'!F57,IF(Nonlabor!$I$20="InputM",'Monthly Lean'!D57*Assumptions!$C$22/1000000,IF(Nonlabor!$I$20="OutputM",'Monthly Lean'!D57*Assumptions!$C$23/1000000,0))))))))),0)</f>
        <v>1</v>
      </c>
      <c r="F897" s="10" t="n">
        <f aca="false">Nonlabor!$J$20*(1+Assumptions!$C$9)^INT((C897-1)/12)</f>
        <v>675.305286</v>
      </c>
      <c r="G897" s="10" t="n">
        <f aca="false">E897*F897</f>
        <v>675.305286</v>
      </c>
      <c r="H897" s="10" t="n">
        <f aca="false">IF(OR(Nonlabor!$L$20="Quote required",Nonlabor!$L$20="Unverified"),G897,0)</f>
        <v>675.305286</v>
      </c>
      <c r="I897" s="10" t="n">
        <f aca="false">IF(Nonlabor!$E$20="Core",0,G897)</f>
        <v>0</v>
      </c>
      <c r="J897" s="23" t="str">
        <f aca="false">Nonlabor!$B$20</f>
        <v>ACCOUNTING</v>
      </c>
    </row>
    <row r="898" customFormat="false" ht="15" hidden="false" customHeight="false" outlineLevel="0" collapsed="false">
      <c r="A898" s="6" t="s">
        <v>72</v>
      </c>
      <c r="B898" s="6" t="s">
        <v>51</v>
      </c>
      <c r="C898" s="6" t="n">
        <v>53</v>
      </c>
      <c r="D898" s="25" t="n">
        <f aca="false">EDATE('Start Here'!$B$6,C898-1)</f>
        <v>47908</v>
      </c>
      <c r="E898" s="23" t="n">
        <f aca="false">IF(AND(OR(Nonlabor!$D$20="Both",Nonlabor!$D$20='Start Here'!$B$9),IF(Nonlabor!$E$20="Core",1,IF(Nonlabor!$E$20="AI",'Start Here'!$B$7,'Start Here'!$B$8))=1,C898&gt;=IF(Nonlabor!$E$20="Core",Nonlabor!$F$20,MAX(Nonlabor!$F$20,IF(Nonlabor!$E$20="AI",Assumptions!$C$24,Assumptions!$C$25))),C898&lt;=Nonlabor!$G$20,OR(Nonlabor!$H$20="Monthly",AND(Nonlabor!$H$20="Once",C898=IF(Nonlabor!$E$20="Core",Nonlabor!$F$20,MAX(Nonlabor!$F$20,IF(Nonlabor!$E$20="AI",Assumptions!$C$24,Assumptions!$C$25)))),AND(Nonlabor!$H$20="Annual",MOD(C898-IF(Nonlabor!$E$20="Core",Nonlabor!$F$20,MAX(Nonlabor!$F$20,IF(Nonlabor!$E$20="AI",Assumptions!$C$24,Assumptions!$C$25))),12)=0))),IF(Nonlabor!$I$20="Fixed",1,IF(Nonlabor!$I$20="Seats",ROUNDUP('Monthly Lean'!I58,0),IF(Nonlabor!$I$20="Customers",'Monthly Lean'!D58,IF(Nonlabor!$I$20="NewCustomers",'Monthly Lean'!C58,IF(Nonlabor!$I$20="StorageGB",'Monthly Lean'!G58,IF(Nonlabor!$I$20="LogGB",'Monthly Lean'!H58,IF(Nonlabor!$I$20="RequestsM",'Monthly Lean'!F58,IF(Nonlabor!$I$20="InputM",'Monthly Lean'!D58*Assumptions!$C$22/1000000,IF(Nonlabor!$I$20="OutputM",'Monthly Lean'!D58*Assumptions!$C$23/1000000,0))))))))),0)</f>
        <v>1</v>
      </c>
      <c r="F898" s="10" t="n">
        <f aca="false">Nonlabor!$J$20*(1+Assumptions!$C$9)^INT((C898-1)/12)</f>
        <v>675.305286</v>
      </c>
      <c r="G898" s="10" t="n">
        <f aca="false">E898*F898</f>
        <v>675.305286</v>
      </c>
      <c r="H898" s="10" t="n">
        <f aca="false">IF(OR(Nonlabor!$L$20="Quote required",Nonlabor!$L$20="Unverified"),G898,0)</f>
        <v>675.305286</v>
      </c>
      <c r="I898" s="10" t="n">
        <f aca="false">IF(Nonlabor!$E$20="Core",0,G898)</f>
        <v>0</v>
      </c>
      <c r="J898" s="23" t="str">
        <f aca="false">Nonlabor!$B$20</f>
        <v>ACCOUNTING</v>
      </c>
    </row>
    <row r="899" customFormat="false" ht="15" hidden="false" customHeight="false" outlineLevel="0" collapsed="false">
      <c r="A899" s="6" t="s">
        <v>72</v>
      </c>
      <c r="B899" s="6" t="s">
        <v>51</v>
      </c>
      <c r="C899" s="6" t="n">
        <v>54</v>
      </c>
      <c r="D899" s="25" t="n">
        <f aca="false">EDATE('Start Here'!$B$6,C899-1)</f>
        <v>47939</v>
      </c>
      <c r="E899" s="23" t="n">
        <f aca="false">IF(AND(OR(Nonlabor!$D$20="Both",Nonlabor!$D$20='Start Here'!$B$9),IF(Nonlabor!$E$20="Core",1,IF(Nonlabor!$E$20="AI",'Start Here'!$B$7,'Start Here'!$B$8))=1,C899&gt;=IF(Nonlabor!$E$20="Core",Nonlabor!$F$20,MAX(Nonlabor!$F$20,IF(Nonlabor!$E$20="AI",Assumptions!$C$24,Assumptions!$C$25))),C899&lt;=Nonlabor!$G$20,OR(Nonlabor!$H$20="Monthly",AND(Nonlabor!$H$20="Once",C899=IF(Nonlabor!$E$20="Core",Nonlabor!$F$20,MAX(Nonlabor!$F$20,IF(Nonlabor!$E$20="AI",Assumptions!$C$24,Assumptions!$C$25)))),AND(Nonlabor!$H$20="Annual",MOD(C899-IF(Nonlabor!$E$20="Core",Nonlabor!$F$20,MAX(Nonlabor!$F$20,IF(Nonlabor!$E$20="AI",Assumptions!$C$24,Assumptions!$C$25))),12)=0))),IF(Nonlabor!$I$20="Fixed",1,IF(Nonlabor!$I$20="Seats",ROUNDUP('Monthly Lean'!I59,0),IF(Nonlabor!$I$20="Customers",'Monthly Lean'!D59,IF(Nonlabor!$I$20="NewCustomers",'Monthly Lean'!C59,IF(Nonlabor!$I$20="StorageGB",'Monthly Lean'!G59,IF(Nonlabor!$I$20="LogGB",'Monthly Lean'!H59,IF(Nonlabor!$I$20="RequestsM",'Monthly Lean'!F59,IF(Nonlabor!$I$20="InputM",'Monthly Lean'!D59*Assumptions!$C$22/1000000,IF(Nonlabor!$I$20="OutputM",'Monthly Lean'!D59*Assumptions!$C$23/1000000,0))))))))),0)</f>
        <v>1</v>
      </c>
      <c r="F899" s="10" t="n">
        <f aca="false">Nonlabor!$J$20*(1+Assumptions!$C$9)^INT((C899-1)/12)</f>
        <v>675.305286</v>
      </c>
      <c r="G899" s="10" t="n">
        <f aca="false">E899*F899</f>
        <v>675.305286</v>
      </c>
      <c r="H899" s="10" t="n">
        <f aca="false">IF(OR(Nonlabor!$L$20="Quote required",Nonlabor!$L$20="Unverified"),G899,0)</f>
        <v>675.305286</v>
      </c>
      <c r="I899" s="10" t="n">
        <f aca="false">IF(Nonlabor!$E$20="Core",0,G899)</f>
        <v>0</v>
      </c>
      <c r="J899" s="23" t="str">
        <f aca="false">Nonlabor!$B$20</f>
        <v>ACCOUNTING</v>
      </c>
    </row>
    <row r="900" customFormat="false" ht="15" hidden="false" customHeight="false" outlineLevel="0" collapsed="false">
      <c r="A900" s="6" t="s">
        <v>72</v>
      </c>
      <c r="B900" s="6" t="s">
        <v>51</v>
      </c>
      <c r="C900" s="6" t="n">
        <v>55</v>
      </c>
      <c r="D900" s="25" t="n">
        <f aca="false">EDATE('Start Here'!$B$6,C900-1)</f>
        <v>47969</v>
      </c>
      <c r="E900" s="23" t="n">
        <f aca="false">IF(AND(OR(Nonlabor!$D$20="Both",Nonlabor!$D$20='Start Here'!$B$9),IF(Nonlabor!$E$20="Core",1,IF(Nonlabor!$E$20="AI",'Start Here'!$B$7,'Start Here'!$B$8))=1,C900&gt;=IF(Nonlabor!$E$20="Core",Nonlabor!$F$20,MAX(Nonlabor!$F$20,IF(Nonlabor!$E$20="AI",Assumptions!$C$24,Assumptions!$C$25))),C900&lt;=Nonlabor!$G$20,OR(Nonlabor!$H$20="Monthly",AND(Nonlabor!$H$20="Once",C900=IF(Nonlabor!$E$20="Core",Nonlabor!$F$20,MAX(Nonlabor!$F$20,IF(Nonlabor!$E$20="AI",Assumptions!$C$24,Assumptions!$C$25)))),AND(Nonlabor!$H$20="Annual",MOD(C900-IF(Nonlabor!$E$20="Core",Nonlabor!$F$20,MAX(Nonlabor!$F$20,IF(Nonlabor!$E$20="AI",Assumptions!$C$24,Assumptions!$C$25))),12)=0))),IF(Nonlabor!$I$20="Fixed",1,IF(Nonlabor!$I$20="Seats",ROUNDUP('Monthly Lean'!I60,0),IF(Nonlabor!$I$20="Customers",'Monthly Lean'!D60,IF(Nonlabor!$I$20="NewCustomers",'Monthly Lean'!C60,IF(Nonlabor!$I$20="StorageGB",'Monthly Lean'!G60,IF(Nonlabor!$I$20="LogGB",'Monthly Lean'!H60,IF(Nonlabor!$I$20="RequestsM",'Monthly Lean'!F60,IF(Nonlabor!$I$20="InputM",'Monthly Lean'!D60*Assumptions!$C$22/1000000,IF(Nonlabor!$I$20="OutputM",'Monthly Lean'!D60*Assumptions!$C$23/1000000,0))))))))),0)</f>
        <v>1</v>
      </c>
      <c r="F900" s="10" t="n">
        <f aca="false">Nonlabor!$J$20*(1+Assumptions!$C$9)^INT((C900-1)/12)</f>
        <v>675.305286</v>
      </c>
      <c r="G900" s="10" t="n">
        <f aca="false">E900*F900</f>
        <v>675.305286</v>
      </c>
      <c r="H900" s="10" t="n">
        <f aca="false">IF(OR(Nonlabor!$L$20="Quote required",Nonlabor!$L$20="Unverified"),G900,0)</f>
        <v>675.305286</v>
      </c>
      <c r="I900" s="10" t="n">
        <f aca="false">IF(Nonlabor!$E$20="Core",0,G900)</f>
        <v>0</v>
      </c>
      <c r="J900" s="23" t="str">
        <f aca="false">Nonlabor!$B$20</f>
        <v>ACCOUNTING</v>
      </c>
    </row>
    <row r="901" customFormat="false" ht="15" hidden="false" customHeight="false" outlineLevel="0" collapsed="false">
      <c r="A901" s="6" t="s">
        <v>72</v>
      </c>
      <c r="B901" s="6" t="s">
        <v>51</v>
      </c>
      <c r="C901" s="6" t="n">
        <v>56</v>
      </c>
      <c r="D901" s="25" t="n">
        <f aca="false">EDATE('Start Here'!$B$6,C901-1)</f>
        <v>48000</v>
      </c>
      <c r="E901" s="23" t="n">
        <f aca="false">IF(AND(OR(Nonlabor!$D$20="Both",Nonlabor!$D$20='Start Here'!$B$9),IF(Nonlabor!$E$20="Core",1,IF(Nonlabor!$E$20="AI",'Start Here'!$B$7,'Start Here'!$B$8))=1,C901&gt;=IF(Nonlabor!$E$20="Core",Nonlabor!$F$20,MAX(Nonlabor!$F$20,IF(Nonlabor!$E$20="AI",Assumptions!$C$24,Assumptions!$C$25))),C901&lt;=Nonlabor!$G$20,OR(Nonlabor!$H$20="Monthly",AND(Nonlabor!$H$20="Once",C901=IF(Nonlabor!$E$20="Core",Nonlabor!$F$20,MAX(Nonlabor!$F$20,IF(Nonlabor!$E$20="AI",Assumptions!$C$24,Assumptions!$C$25)))),AND(Nonlabor!$H$20="Annual",MOD(C901-IF(Nonlabor!$E$20="Core",Nonlabor!$F$20,MAX(Nonlabor!$F$20,IF(Nonlabor!$E$20="AI",Assumptions!$C$24,Assumptions!$C$25))),12)=0))),IF(Nonlabor!$I$20="Fixed",1,IF(Nonlabor!$I$20="Seats",ROUNDUP('Monthly Lean'!I61,0),IF(Nonlabor!$I$20="Customers",'Monthly Lean'!D61,IF(Nonlabor!$I$20="NewCustomers",'Monthly Lean'!C61,IF(Nonlabor!$I$20="StorageGB",'Monthly Lean'!G61,IF(Nonlabor!$I$20="LogGB",'Monthly Lean'!H61,IF(Nonlabor!$I$20="RequestsM",'Monthly Lean'!F61,IF(Nonlabor!$I$20="InputM",'Monthly Lean'!D61*Assumptions!$C$22/1000000,IF(Nonlabor!$I$20="OutputM",'Monthly Lean'!D61*Assumptions!$C$23/1000000,0))))))))),0)</f>
        <v>1</v>
      </c>
      <c r="F901" s="10" t="n">
        <f aca="false">Nonlabor!$J$20*(1+Assumptions!$C$9)^INT((C901-1)/12)</f>
        <v>675.305286</v>
      </c>
      <c r="G901" s="10" t="n">
        <f aca="false">E901*F901</f>
        <v>675.305286</v>
      </c>
      <c r="H901" s="10" t="n">
        <f aca="false">IF(OR(Nonlabor!$L$20="Quote required",Nonlabor!$L$20="Unverified"),G901,0)</f>
        <v>675.305286</v>
      </c>
      <c r="I901" s="10" t="n">
        <f aca="false">IF(Nonlabor!$E$20="Core",0,G901)</f>
        <v>0</v>
      </c>
      <c r="J901" s="23" t="str">
        <f aca="false">Nonlabor!$B$20</f>
        <v>ACCOUNTING</v>
      </c>
    </row>
    <row r="902" customFormat="false" ht="15" hidden="false" customHeight="false" outlineLevel="0" collapsed="false">
      <c r="A902" s="6" t="s">
        <v>72</v>
      </c>
      <c r="B902" s="6" t="s">
        <v>51</v>
      </c>
      <c r="C902" s="6" t="n">
        <v>57</v>
      </c>
      <c r="D902" s="25" t="n">
        <f aca="false">EDATE('Start Here'!$B$6,C902-1)</f>
        <v>48030</v>
      </c>
      <c r="E902" s="23" t="n">
        <f aca="false">IF(AND(OR(Nonlabor!$D$20="Both",Nonlabor!$D$20='Start Here'!$B$9),IF(Nonlabor!$E$20="Core",1,IF(Nonlabor!$E$20="AI",'Start Here'!$B$7,'Start Here'!$B$8))=1,C902&gt;=IF(Nonlabor!$E$20="Core",Nonlabor!$F$20,MAX(Nonlabor!$F$20,IF(Nonlabor!$E$20="AI",Assumptions!$C$24,Assumptions!$C$25))),C902&lt;=Nonlabor!$G$20,OR(Nonlabor!$H$20="Monthly",AND(Nonlabor!$H$20="Once",C902=IF(Nonlabor!$E$20="Core",Nonlabor!$F$20,MAX(Nonlabor!$F$20,IF(Nonlabor!$E$20="AI",Assumptions!$C$24,Assumptions!$C$25)))),AND(Nonlabor!$H$20="Annual",MOD(C902-IF(Nonlabor!$E$20="Core",Nonlabor!$F$20,MAX(Nonlabor!$F$20,IF(Nonlabor!$E$20="AI",Assumptions!$C$24,Assumptions!$C$25))),12)=0))),IF(Nonlabor!$I$20="Fixed",1,IF(Nonlabor!$I$20="Seats",ROUNDUP('Monthly Lean'!I62,0),IF(Nonlabor!$I$20="Customers",'Monthly Lean'!D62,IF(Nonlabor!$I$20="NewCustomers",'Monthly Lean'!C62,IF(Nonlabor!$I$20="StorageGB",'Monthly Lean'!G62,IF(Nonlabor!$I$20="LogGB",'Monthly Lean'!H62,IF(Nonlabor!$I$20="RequestsM",'Monthly Lean'!F62,IF(Nonlabor!$I$20="InputM",'Monthly Lean'!D62*Assumptions!$C$22/1000000,IF(Nonlabor!$I$20="OutputM",'Monthly Lean'!D62*Assumptions!$C$23/1000000,0))))))))),0)</f>
        <v>1</v>
      </c>
      <c r="F902" s="10" t="n">
        <f aca="false">Nonlabor!$J$20*(1+Assumptions!$C$9)^INT((C902-1)/12)</f>
        <v>675.305286</v>
      </c>
      <c r="G902" s="10" t="n">
        <f aca="false">E902*F902</f>
        <v>675.305286</v>
      </c>
      <c r="H902" s="10" t="n">
        <f aca="false">IF(OR(Nonlabor!$L$20="Quote required",Nonlabor!$L$20="Unverified"),G902,0)</f>
        <v>675.305286</v>
      </c>
      <c r="I902" s="10" t="n">
        <f aca="false">IF(Nonlabor!$E$20="Core",0,G902)</f>
        <v>0</v>
      </c>
      <c r="J902" s="23" t="str">
        <f aca="false">Nonlabor!$B$20</f>
        <v>ACCOUNTING</v>
      </c>
    </row>
    <row r="903" customFormat="false" ht="15" hidden="false" customHeight="false" outlineLevel="0" collapsed="false">
      <c r="A903" s="6" t="s">
        <v>72</v>
      </c>
      <c r="B903" s="6" t="s">
        <v>51</v>
      </c>
      <c r="C903" s="6" t="n">
        <v>58</v>
      </c>
      <c r="D903" s="25" t="n">
        <f aca="false">EDATE('Start Here'!$B$6,C903-1)</f>
        <v>48061</v>
      </c>
      <c r="E903" s="23" t="n">
        <f aca="false">IF(AND(OR(Nonlabor!$D$20="Both",Nonlabor!$D$20='Start Here'!$B$9),IF(Nonlabor!$E$20="Core",1,IF(Nonlabor!$E$20="AI",'Start Here'!$B$7,'Start Here'!$B$8))=1,C903&gt;=IF(Nonlabor!$E$20="Core",Nonlabor!$F$20,MAX(Nonlabor!$F$20,IF(Nonlabor!$E$20="AI",Assumptions!$C$24,Assumptions!$C$25))),C903&lt;=Nonlabor!$G$20,OR(Nonlabor!$H$20="Monthly",AND(Nonlabor!$H$20="Once",C903=IF(Nonlabor!$E$20="Core",Nonlabor!$F$20,MAX(Nonlabor!$F$20,IF(Nonlabor!$E$20="AI",Assumptions!$C$24,Assumptions!$C$25)))),AND(Nonlabor!$H$20="Annual",MOD(C903-IF(Nonlabor!$E$20="Core",Nonlabor!$F$20,MAX(Nonlabor!$F$20,IF(Nonlabor!$E$20="AI",Assumptions!$C$24,Assumptions!$C$25))),12)=0))),IF(Nonlabor!$I$20="Fixed",1,IF(Nonlabor!$I$20="Seats",ROUNDUP('Monthly Lean'!I63,0),IF(Nonlabor!$I$20="Customers",'Monthly Lean'!D63,IF(Nonlabor!$I$20="NewCustomers",'Monthly Lean'!C63,IF(Nonlabor!$I$20="StorageGB",'Monthly Lean'!G63,IF(Nonlabor!$I$20="LogGB",'Monthly Lean'!H63,IF(Nonlabor!$I$20="RequestsM",'Monthly Lean'!F63,IF(Nonlabor!$I$20="InputM",'Monthly Lean'!D63*Assumptions!$C$22/1000000,IF(Nonlabor!$I$20="OutputM",'Monthly Lean'!D63*Assumptions!$C$23/1000000,0))))))))),0)</f>
        <v>1</v>
      </c>
      <c r="F903" s="10" t="n">
        <f aca="false">Nonlabor!$J$20*(1+Assumptions!$C$9)^INT((C903-1)/12)</f>
        <v>675.305286</v>
      </c>
      <c r="G903" s="10" t="n">
        <f aca="false">E903*F903</f>
        <v>675.305286</v>
      </c>
      <c r="H903" s="10" t="n">
        <f aca="false">IF(OR(Nonlabor!$L$20="Quote required",Nonlabor!$L$20="Unverified"),G903,0)</f>
        <v>675.305286</v>
      </c>
      <c r="I903" s="10" t="n">
        <f aca="false">IF(Nonlabor!$E$20="Core",0,G903)</f>
        <v>0</v>
      </c>
      <c r="J903" s="23" t="str">
        <f aca="false">Nonlabor!$B$20</f>
        <v>ACCOUNTING</v>
      </c>
    </row>
    <row r="904" customFormat="false" ht="15" hidden="false" customHeight="false" outlineLevel="0" collapsed="false">
      <c r="A904" s="6" t="s">
        <v>72</v>
      </c>
      <c r="B904" s="6" t="s">
        <v>51</v>
      </c>
      <c r="C904" s="6" t="n">
        <v>59</v>
      </c>
      <c r="D904" s="25" t="n">
        <f aca="false">EDATE('Start Here'!$B$6,C904-1)</f>
        <v>48092</v>
      </c>
      <c r="E904" s="23" t="n">
        <f aca="false">IF(AND(OR(Nonlabor!$D$20="Both",Nonlabor!$D$20='Start Here'!$B$9),IF(Nonlabor!$E$20="Core",1,IF(Nonlabor!$E$20="AI",'Start Here'!$B$7,'Start Here'!$B$8))=1,C904&gt;=IF(Nonlabor!$E$20="Core",Nonlabor!$F$20,MAX(Nonlabor!$F$20,IF(Nonlabor!$E$20="AI",Assumptions!$C$24,Assumptions!$C$25))),C904&lt;=Nonlabor!$G$20,OR(Nonlabor!$H$20="Monthly",AND(Nonlabor!$H$20="Once",C904=IF(Nonlabor!$E$20="Core",Nonlabor!$F$20,MAX(Nonlabor!$F$20,IF(Nonlabor!$E$20="AI",Assumptions!$C$24,Assumptions!$C$25)))),AND(Nonlabor!$H$20="Annual",MOD(C904-IF(Nonlabor!$E$20="Core",Nonlabor!$F$20,MAX(Nonlabor!$F$20,IF(Nonlabor!$E$20="AI",Assumptions!$C$24,Assumptions!$C$25))),12)=0))),IF(Nonlabor!$I$20="Fixed",1,IF(Nonlabor!$I$20="Seats",ROUNDUP('Monthly Lean'!I64,0),IF(Nonlabor!$I$20="Customers",'Monthly Lean'!D64,IF(Nonlabor!$I$20="NewCustomers",'Monthly Lean'!C64,IF(Nonlabor!$I$20="StorageGB",'Monthly Lean'!G64,IF(Nonlabor!$I$20="LogGB",'Monthly Lean'!H64,IF(Nonlabor!$I$20="RequestsM",'Monthly Lean'!F64,IF(Nonlabor!$I$20="InputM",'Monthly Lean'!D64*Assumptions!$C$22/1000000,IF(Nonlabor!$I$20="OutputM",'Monthly Lean'!D64*Assumptions!$C$23/1000000,0))))))))),0)</f>
        <v>1</v>
      </c>
      <c r="F904" s="10" t="n">
        <f aca="false">Nonlabor!$J$20*(1+Assumptions!$C$9)^INT((C904-1)/12)</f>
        <v>675.305286</v>
      </c>
      <c r="G904" s="10" t="n">
        <f aca="false">E904*F904</f>
        <v>675.305286</v>
      </c>
      <c r="H904" s="10" t="n">
        <f aca="false">IF(OR(Nonlabor!$L$20="Quote required",Nonlabor!$L$20="Unverified"),G904,0)</f>
        <v>675.305286</v>
      </c>
      <c r="I904" s="10" t="n">
        <f aca="false">IF(Nonlabor!$E$20="Core",0,G904)</f>
        <v>0</v>
      </c>
      <c r="J904" s="23" t="str">
        <f aca="false">Nonlabor!$B$20</f>
        <v>ACCOUNTING</v>
      </c>
    </row>
    <row r="905" customFormat="false" ht="15" hidden="false" customHeight="false" outlineLevel="0" collapsed="false">
      <c r="A905" s="6" t="s">
        <v>72</v>
      </c>
      <c r="B905" s="6" t="s">
        <v>51</v>
      </c>
      <c r="C905" s="6" t="n">
        <v>60</v>
      </c>
      <c r="D905" s="25" t="n">
        <f aca="false">EDATE('Start Here'!$B$6,C905-1)</f>
        <v>48122</v>
      </c>
      <c r="E905" s="23" t="n">
        <f aca="false">IF(AND(OR(Nonlabor!$D$20="Both",Nonlabor!$D$20='Start Here'!$B$9),IF(Nonlabor!$E$20="Core",1,IF(Nonlabor!$E$20="AI",'Start Here'!$B$7,'Start Here'!$B$8))=1,C905&gt;=IF(Nonlabor!$E$20="Core",Nonlabor!$F$20,MAX(Nonlabor!$F$20,IF(Nonlabor!$E$20="AI",Assumptions!$C$24,Assumptions!$C$25))),C905&lt;=Nonlabor!$G$20,OR(Nonlabor!$H$20="Monthly",AND(Nonlabor!$H$20="Once",C905=IF(Nonlabor!$E$20="Core",Nonlabor!$F$20,MAX(Nonlabor!$F$20,IF(Nonlabor!$E$20="AI",Assumptions!$C$24,Assumptions!$C$25)))),AND(Nonlabor!$H$20="Annual",MOD(C905-IF(Nonlabor!$E$20="Core",Nonlabor!$F$20,MAX(Nonlabor!$F$20,IF(Nonlabor!$E$20="AI",Assumptions!$C$24,Assumptions!$C$25))),12)=0))),IF(Nonlabor!$I$20="Fixed",1,IF(Nonlabor!$I$20="Seats",ROUNDUP('Monthly Lean'!I65,0),IF(Nonlabor!$I$20="Customers",'Monthly Lean'!D65,IF(Nonlabor!$I$20="NewCustomers",'Monthly Lean'!C65,IF(Nonlabor!$I$20="StorageGB",'Monthly Lean'!G65,IF(Nonlabor!$I$20="LogGB",'Monthly Lean'!H65,IF(Nonlabor!$I$20="RequestsM",'Monthly Lean'!F65,IF(Nonlabor!$I$20="InputM",'Monthly Lean'!D65*Assumptions!$C$22/1000000,IF(Nonlabor!$I$20="OutputM",'Monthly Lean'!D65*Assumptions!$C$23/1000000,0))))))))),0)</f>
        <v>1</v>
      </c>
      <c r="F905" s="10" t="n">
        <f aca="false">Nonlabor!$J$20*(1+Assumptions!$C$9)^INT((C905-1)/12)</f>
        <v>675.305286</v>
      </c>
      <c r="G905" s="10" t="n">
        <f aca="false">E905*F905</f>
        <v>675.305286</v>
      </c>
      <c r="H905" s="10" t="n">
        <f aca="false">IF(OR(Nonlabor!$L$20="Quote required",Nonlabor!$L$20="Unverified"),G905,0)</f>
        <v>675.305286</v>
      </c>
      <c r="I905" s="10" t="n">
        <f aca="false">IF(Nonlabor!$E$20="Core",0,G905)</f>
        <v>0</v>
      </c>
      <c r="J905" s="23" t="str">
        <f aca="false">Nonlabor!$B$20</f>
        <v>ACCOUNTING</v>
      </c>
    </row>
    <row r="906" customFormat="false" ht="15" hidden="false" customHeight="false" outlineLevel="0" collapsed="false">
      <c r="A906" s="6" t="s">
        <v>72</v>
      </c>
      <c r="B906" s="6" t="s">
        <v>53</v>
      </c>
      <c r="C906" s="6" t="n">
        <v>1</v>
      </c>
      <c r="D906" s="25" t="n">
        <f aca="false">EDATE('Start Here'!$B$6,C906-1)</f>
        <v>46327</v>
      </c>
      <c r="E906" s="23" t="n">
        <f aca="false">IF(AND(OR(Nonlabor!$D$21="Both",Nonlabor!$D$21='Start Here'!$B$9),IF(Nonlabor!$E$21="Core",1,IF(Nonlabor!$E$21="AI",'Start Here'!$B$7,'Start Here'!$B$8))=1,C906&gt;=IF(Nonlabor!$E$21="Core",Nonlabor!$F$21,MAX(Nonlabor!$F$21,IF(Nonlabor!$E$21="AI",Assumptions!$C$24,Assumptions!$C$25))),C906&lt;=Nonlabor!$G$21,OR(Nonlabor!$H$21="Monthly",AND(Nonlabor!$H$21="Once",C906=IF(Nonlabor!$E$21="Core",Nonlabor!$F$21,MAX(Nonlabor!$F$21,IF(Nonlabor!$E$21="AI",Assumptions!$C$24,Assumptions!$C$25)))),AND(Nonlabor!$H$21="Annual",MOD(C906-IF(Nonlabor!$E$21="Core",Nonlabor!$F$21,MAX(Nonlabor!$F$21,IF(Nonlabor!$E$21="AI",Assumptions!$C$24,Assumptions!$C$25))),12)=0))),IF(Nonlabor!$I$21="Fixed",1,IF(Nonlabor!$I$21="Seats",ROUNDUP('Monthly Lean'!I6,0),IF(Nonlabor!$I$21="Customers",'Monthly Lean'!D6,IF(Nonlabor!$I$21="NewCustomers",'Monthly Lean'!C6,IF(Nonlabor!$I$21="StorageGB",'Monthly Lean'!G6,IF(Nonlabor!$I$21="LogGB",'Monthly Lean'!H6,IF(Nonlabor!$I$21="RequestsM",'Monthly Lean'!F6,IF(Nonlabor!$I$21="InputM",'Monthly Lean'!D6*Assumptions!$C$22/1000000,IF(Nonlabor!$I$21="OutputM",'Monthly Lean'!D6*Assumptions!$C$23/1000000,0))))))))),0)</f>
        <v>0</v>
      </c>
      <c r="F906" s="10" t="n">
        <f aca="false">Nonlabor!$J$21*(1+Assumptions!$C$9)^INT((C906-1)/12)</f>
        <v>100</v>
      </c>
      <c r="G906" s="10" t="n">
        <f aca="false">E906*F906</f>
        <v>0</v>
      </c>
      <c r="H906" s="10" t="n">
        <f aca="false">IF(OR(Nonlabor!$L$21="Quote required",Nonlabor!$L$21="Unverified"),G906,0)</f>
        <v>0</v>
      </c>
      <c r="I906" s="10" t="n">
        <f aca="false">IF(Nonlabor!$E$21="Core",0,G906)</f>
        <v>0</v>
      </c>
      <c r="J906" s="23" t="str">
        <f aca="false">Nonlabor!$B$21</f>
        <v>SUPPORT</v>
      </c>
    </row>
    <row r="907" customFormat="false" ht="15" hidden="false" customHeight="false" outlineLevel="0" collapsed="false">
      <c r="A907" s="6" t="s">
        <v>72</v>
      </c>
      <c r="B907" s="6" t="s">
        <v>53</v>
      </c>
      <c r="C907" s="6" t="n">
        <v>2</v>
      </c>
      <c r="D907" s="25" t="n">
        <f aca="false">EDATE('Start Here'!$B$6,C907-1)</f>
        <v>46357</v>
      </c>
      <c r="E907" s="23" t="n">
        <f aca="false">IF(AND(OR(Nonlabor!$D$21="Both",Nonlabor!$D$21='Start Here'!$B$9),IF(Nonlabor!$E$21="Core",1,IF(Nonlabor!$E$21="AI",'Start Here'!$B$7,'Start Here'!$B$8))=1,C907&gt;=IF(Nonlabor!$E$21="Core",Nonlabor!$F$21,MAX(Nonlabor!$F$21,IF(Nonlabor!$E$21="AI",Assumptions!$C$24,Assumptions!$C$25))),C907&lt;=Nonlabor!$G$21,OR(Nonlabor!$H$21="Monthly",AND(Nonlabor!$H$21="Once",C907=IF(Nonlabor!$E$21="Core",Nonlabor!$F$21,MAX(Nonlabor!$F$21,IF(Nonlabor!$E$21="AI",Assumptions!$C$24,Assumptions!$C$25)))),AND(Nonlabor!$H$21="Annual",MOD(C907-IF(Nonlabor!$E$21="Core",Nonlabor!$F$21,MAX(Nonlabor!$F$21,IF(Nonlabor!$E$21="AI",Assumptions!$C$24,Assumptions!$C$25))),12)=0))),IF(Nonlabor!$I$21="Fixed",1,IF(Nonlabor!$I$21="Seats",ROUNDUP('Monthly Lean'!I7,0),IF(Nonlabor!$I$21="Customers",'Monthly Lean'!D7,IF(Nonlabor!$I$21="NewCustomers",'Monthly Lean'!C7,IF(Nonlabor!$I$21="StorageGB",'Monthly Lean'!G7,IF(Nonlabor!$I$21="LogGB",'Monthly Lean'!H7,IF(Nonlabor!$I$21="RequestsM",'Monthly Lean'!F7,IF(Nonlabor!$I$21="InputM",'Monthly Lean'!D7*Assumptions!$C$22/1000000,IF(Nonlabor!$I$21="OutputM",'Monthly Lean'!D7*Assumptions!$C$23/1000000,0))))))))),0)</f>
        <v>0</v>
      </c>
      <c r="F907" s="10" t="n">
        <f aca="false">Nonlabor!$J$21*(1+Assumptions!$C$9)^INT((C907-1)/12)</f>
        <v>100</v>
      </c>
      <c r="G907" s="10" t="n">
        <f aca="false">E907*F907</f>
        <v>0</v>
      </c>
      <c r="H907" s="10" t="n">
        <f aca="false">IF(OR(Nonlabor!$L$21="Quote required",Nonlabor!$L$21="Unverified"),G907,0)</f>
        <v>0</v>
      </c>
      <c r="I907" s="10" t="n">
        <f aca="false">IF(Nonlabor!$E$21="Core",0,G907)</f>
        <v>0</v>
      </c>
      <c r="J907" s="23" t="str">
        <f aca="false">Nonlabor!$B$21</f>
        <v>SUPPORT</v>
      </c>
    </row>
    <row r="908" customFormat="false" ht="15" hidden="false" customHeight="false" outlineLevel="0" collapsed="false">
      <c r="A908" s="6" t="s">
        <v>72</v>
      </c>
      <c r="B908" s="6" t="s">
        <v>53</v>
      </c>
      <c r="C908" s="6" t="n">
        <v>3</v>
      </c>
      <c r="D908" s="25" t="n">
        <f aca="false">EDATE('Start Here'!$B$6,C908-1)</f>
        <v>46388</v>
      </c>
      <c r="E908" s="23" t="n">
        <f aca="false">IF(AND(OR(Nonlabor!$D$21="Both",Nonlabor!$D$21='Start Here'!$B$9),IF(Nonlabor!$E$21="Core",1,IF(Nonlabor!$E$21="AI",'Start Here'!$B$7,'Start Here'!$B$8))=1,C908&gt;=IF(Nonlabor!$E$21="Core",Nonlabor!$F$21,MAX(Nonlabor!$F$21,IF(Nonlabor!$E$21="AI",Assumptions!$C$24,Assumptions!$C$25))),C908&lt;=Nonlabor!$G$21,OR(Nonlabor!$H$21="Monthly",AND(Nonlabor!$H$21="Once",C908=IF(Nonlabor!$E$21="Core",Nonlabor!$F$21,MAX(Nonlabor!$F$21,IF(Nonlabor!$E$21="AI",Assumptions!$C$24,Assumptions!$C$25)))),AND(Nonlabor!$H$21="Annual",MOD(C908-IF(Nonlabor!$E$21="Core",Nonlabor!$F$21,MAX(Nonlabor!$F$21,IF(Nonlabor!$E$21="AI",Assumptions!$C$24,Assumptions!$C$25))),12)=0))),IF(Nonlabor!$I$21="Fixed",1,IF(Nonlabor!$I$21="Seats",ROUNDUP('Monthly Lean'!I8,0),IF(Nonlabor!$I$21="Customers",'Monthly Lean'!D8,IF(Nonlabor!$I$21="NewCustomers",'Monthly Lean'!C8,IF(Nonlabor!$I$21="StorageGB",'Monthly Lean'!G8,IF(Nonlabor!$I$21="LogGB",'Monthly Lean'!H8,IF(Nonlabor!$I$21="RequestsM",'Monthly Lean'!F8,IF(Nonlabor!$I$21="InputM",'Monthly Lean'!D8*Assumptions!$C$22/1000000,IF(Nonlabor!$I$21="OutputM",'Monthly Lean'!D8*Assumptions!$C$23/1000000,0))))))))),0)</f>
        <v>0</v>
      </c>
      <c r="F908" s="10" t="n">
        <f aca="false">Nonlabor!$J$21*(1+Assumptions!$C$9)^INT((C908-1)/12)</f>
        <v>100</v>
      </c>
      <c r="G908" s="10" t="n">
        <f aca="false">E908*F908</f>
        <v>0</v>
      </c>
      <c r="H908" s="10" t="n">
        <f aca="false">IF(OR(Nonlabor!$L$21="Quote required",Nonlabor!$L$21="Unverified"),G908,0)</f>
        <v>0</v>
      </c>
      <c r="I908" s="10" t="n">
        <f aca="false">IF(Nonlabor!$E$21="Core",0,G908)</f>
        <v>0</v>
      </c>
      <c r="J908" s="23" t="str">
        <f aca="false">Nonlabor!$B$21</f>
        <v>SUPPORT</v>
      </c>
    </row>
    <row r="909" customFormat="false" ht="15" hidden="false" customHeight="false" outlineLevel="0" collapsed="false">
      <c r="A909" s="6" t="s">
        <v>72</v>
      </c>
      <c r="B909" s="6" t="s">
        <v>53</v>
      </c>
      <c r="C909" s="6" t="n">
        <v>4</v>
      </c>
      <c r="D909" s="25" t="n">
        <f aca="false">EDATE('Start Here'!$B$6,C909-1)</f>
        <v>46419</v>
      </c>
      <c r="E909" s="23" t="n">
        <f aca="false">IF(AND(OR(Nonlabor!$D$21="Both",Nonlabor!$D$21='Start Here'!$B$9),IF(Nonlabor!$E$21="Core",1,IF(Nonlabor!$E$21="AI",'Start Here'!$B$7,'Start Here'!$B$8))=1,C909&gt;=IF(Nonlabor!$E$21="Core",Nonlabor!$F$21,MAX(Nonlabor!$F$21,IF(Nonlabor!$E$21="AI",Assumptions!$C$24,Assumptions!$C$25))),C909&lt;=Nonlabor!$G$21,OR(Nonlabor!$H$21="Monthly",AND(Nonlabor!$H$21="Once",C909=IF(Nonlabor!$E$21="Core",Nonlabor!$F$21,MAX(Nonlabor!$F$21,IF(Nonlabor!$E$21="AI",Assumptions!$C$24,Assumptions!$C$25)))),AND(Nonlabor!$H$21="Annual",MOD(C909-IF(Nonlabor!$E$21="Core",Nonlabor!$F$21,MAX(Nonlabor!$F$21,IF(Nonlabor!$E$21="AI",Assumptions!$C$24,Assumptions!$C$25))),12)=0))),IF(Nonlabor!$I$21="Fixed",1,IF(Nonlabor!$I$21="Seats",ROUNDUP('Monthly Lean'!I9,0),IF(Nonlabor!$I$21="Customers",'Monthly Lean'!D9,IF(Nonlabor!$I$21="NewCustomers",'Monthly Lean'!C9,IF(Nonlabor!$I$21="StorageGB",'Monthly Lean'!G9,IF(Nonlabor!$I$21="LogGB",'Monthly Lean'!H9,IF(Nonlabor!$I$21="RequestsM",'Monthly Lean'!F9,IF(Nonlabor!$I$21="InputM",'Monthly Lean'!D9*Assumptions!$C$22/1000000,IF(Nonlabor!$I$21="OutputM",'Monthly Lean'!D9*Assumptions!$C$23/1000000,0))))))))),0)</f>
        <v>0</v>
      </c>
      <c r="F909" s="10" t="n">
        <f aca="false">Nonlabor!$J$21*(1+Assumptions!$C$9)^INT((C909-1)/12)</f>
        <v>100</v>
      </c>
      <c r="G909" s="10" t="n">
        <f aca="false">E909*F909</f>
        <v>0</v>
      </c>
      <c r="H909" s="10" t="n">
        <f aca="false">IF(OR(Nonlabor!$L$21="Quote required",Nonlabor!$L$21="Unverified"),G909,0)</f>
        <v>0</v>
      </c>
      <c r="I909" s="10" t="n">
        <f aca="false">IF(Nonlabor!$E$21="Core",0,G909)</f>
        <v>0</v>
      </c>
      <c r="J909" s="23" t="str">
        <f aca="false">Nonlabor!$B$21</f>
        <v>SUPPORT</v>
      </c>
    </row>
    <row r="910" customFormat="false" ht="15" hidden="false" customHeight="false" outlineLevel="0" collapsed="false">
      <c r="A910" s="6" t="s">
        <v>72</v>
      </c>
      <c r="B910" s="6" t="s">
        <v>53</v>
      </c>
      <c r="C910" s="6" t="n">
        <v>5</v>
      </c>
      <c r="D910" s="25" t="n">
        <f aca="false">EDATE('Start Here'!$B$6,C910-1)</f>
        <v>46447</v>
      </c>
      <c r="E910" s="23" t="n">
        <f aca="false">IF(AND(OR(Nonlabor!$D$21="Both",Nonlabor!$D$21='Start Here'!$B$9),IF(Nonlabor!$E$21="Core",1,IF(Nonlabor!$E$21="AI",'Start Here'!$B$7,'Start Here'!$B$8))=1,C910&gt;=IF(Nonlabor!$E$21="Core",Nonlabor!$F$21,MAX(Nonlabor!$F$21,IF(Nonlabor!$E$21="AI",Assumptions!$C$24,Assumptions!$C$25))),C910&lt;=Nonlabor!$G$21,OR(Nonlabor!$H$21="Monthly",AND(Nonlabor!$H$21="Once",C910=IF(Nonlabor!$E$21="Core",Nonlabor!$F$21,MAX(Nonlabor!$F$21,IF(Nonlabor!$E$21="AI",Assumptions!$C$24,Assumptions!$C$25)))),AND(Nonlabor!$H$21="Annual",MOD(C910-IF(Nonlabor!$E$21="Core",Nonlabor!$F$21,MAX(Nonlabor!$F$21,IF(Nonlabor!$E$21="AI",Assumptions!$C$24,Assumptions!$C$25))),12)=0))),IF(Nonlabor!$I$21="Fixed",1,IF(Nonlabor!$I$21="Seats",ROUNDUP('Monthly Lean'!I10,0),IF(Nonlabor!$I$21="Customers",'Monthly Lean'!D10,IF(Nonlabor!$I$21="NewCustomers",'Monthly Lean'!C10,IF(Nonlabor!$I$21="StorageGB",'Monthly Lean'!G10,IF(Nonlabor!$I$21="LogGB",'Monthly Lean'!H10,IF(Nonlabor!$I$21="RequestsM",'Monthly Lean'!F10,IF(Nonlabor!$I$21="InputM",'Monthly Lean'!D10*Assumptions!$C$22/1000000,IF(Nonlabor!$I$21="OutputM",'Monthly Lean'!D10*Assumptions!$C$23/1000000,0))))))))),0)</f>
        <v>0</v>
      </c>
      <c r="F910" s="10" t="n">
        <f aca="false">Nonlabor!$J$21*(1+Assumptions!$C$9)^INT((C910-1)/12)</f>
        <v>100</v>
      </c>
      <c r="G910" s="10" t="n">
        <f aca="false">E910*F910</f>
        <v>0</v>
      </c>
      <c r="H910" s="10" t="n">
        <f aca="false">IF(OR(Nonlabor!$L$21="Quote required",Nonlabor!$L$21="Unverified"),G910,0)</f>
        <v>0</v>
      </c>
      <c r="I910" s="10" t="n">
        <f aca="false">IF(Nonlabor!$E$21="Core",0,G910)</f>
        <v>0</v>
      </c>
      <c r="J910" s="23" t="str">
        <f aca="false">Nonlabor!$B$21</f>
        <v>SUPPORT</v>
      </c>
    </row>
    <row r="911" customFormat="false" ht="15" hidden="false" customHeight="false" outlineLevel="0" collapsed="false">
      <c r="A911" s="6" t="s">
        <v>72</v>
      </c>
      <c r="B911" s="6" t="s">
        <v>53</v>
      </c>
      <c r="C911" s="6" t="n">
        <v>6</v>
      </c>
      <c r="D911" s="25" t="n">
        <f aca="false">EDATE('Start Here'!$B$6,C911-1)</f>
        <v>46478</v>
      </c>
      <c r="E911" s="23" t="n">
        <f aca="false">IF(AND(OR(Nonlabor!$D$21="Both",Nonlabor!$D$21='Start Here'!$B$9),IF(Nonlabor!$E$21="Core",1,IF(Nonlabor!$E$21="AI",'Start Here'!$B$7,'Start Here'!$B$8))=1,C911&gt;=IF(Nonlabor!$E$21="Core",Nonlabor!$F$21,MAX(Nonlabor!$F$21,IF(Nonlabor!$E$21="AI",Assumptions!$C$24,Assumptions!$C$25))),C911&lt;=Nonlabor!$G$21,OR(Nonlabor!$H$21="Monthly",AND(Nonlabor!$H$21="Once",C911=IF(Nonlabor!$E$21="Core",Nonlabor!$F$21,MAX(Nonlabor!$F$21,IF(Nonlabor!$E$21="AI",Assumptions!$C$24,Assumptions!$C$25)))),AND(Nonlabor!$H$21="Annual",MOD(C911-IF(Nonlabor!$E$21="Core",Nonlabor!$F$21,MAX(Nonlabor!$F$21,IF(Nonlabor!$E$21="AI",Assumptions!$C$24,Assumptions!$C$25))),12)=0))),IF(Nonlabor!$I$21="Fixed",1,IF(Nonlabor!$I$21="Seats",ROUNDUP('Monthly Lean'!I11,0),IF(Nonlabor!$I$21="Customers",'Monthly Lean'!D11,IF(Nonlabor!$I$21="NewCustomers",'Monthly Lean'!C11,IF(Nonlabor!$I$21="StorageGB",'Monthly Lean'!G11,IF(Nonlabor!$I$21="LogGB",'Monthly Lean'!H11,IF(Nonlabor!$I$21="RequestsM",'Monthly Lean'!F11,IF(Nonlabor!$I$21="InputM",'Monthly Lean'!D11*Assumptions!$C$22/1000000,IF(Nonlabor!$I$21="OutputM",'Monthly Lean'!D11*Assumptions!$C$23/1000000,0))))))))),0)</f>
        <v>0</v>
      </c>
      <c r="F911" s="10" t="n">
        <f aca="false">Nonlabor!$J$21*(1+Assumptions!$C$9)^INT((C911-1)/12)</f>
        <v>100</v>
      </c>
      <c r="G911" s="10" t="n">
        <f aca="false">E911*F911</f>
        <v>0</v>
      </c>
      <c r="H911" s="10" t="n">
        <f aca="false">IF(OR(Nonlabor!$L$21="Quote required",Nonlabor!$L$21="Unverified"),G911,0)</f>
        <v>0</v>
      </c>
      <c r="I911" s="10" t="n">
        <f aca="false">IF(Nonlabor!$E$21="Core",0,G911)</f>
        <v>0</v>
      </c>
      <c r="J911" s="23" t="str">
        <f aca="false">Nonlabor!$B$21</f>
        <v>SUPPORT</v>
      </c>
    </row>
    <row r="912" customFormat="false" ht="15" hidden="false" customHeight="false" outlineLevel="0" collapsed="false">
      <c r="A912" s="6" t="s">
        <v>72</v>
      </c>
      <c r="B912" s="6" t="s">
        <v>53</v>
      </c>
      <c r="C912" s="6" t="n">
        <v>7</v>
      </c>
      <c r="D912" s="25" t="n">
        <f aca="false">EDATE('Start Here'!$B$6,C912-1)</f>
        <v>46508</v>
      </c>
      <c r="E912" s="23" t="n">
        <f aca="false">IF(AND(OR(Nonlabor!$D$21="Both",Nonlabor!$D$21='Start Here'!$B$9),IF(Nonlabor!$E$21="Core",1,IF(Nonlabor!$E$21="AI",'Start Here'!$B$7,'Start Here'!$B$8))=1,C912&gt;=IF(Nonlabor!$E$21="Core",Nonlabor!$F$21,MAX(Nonlabor!$F$21,IF(Nonlabor!$E$21="AI",Assumptions!$C$24,Assumptions!$C$25))),C912&lt;=Nonlabor!$G$21,OR(Nonlabor!$H$21="Monthly",AND(Nonlabor!$H$21="Once",C912=IF(Nonlabor!$E$21="Core",Nonlabor!$F$21,MAX(Nonlabor!$F$21,IF(Nonlabor!$E$21="AI",Assumptions!$C$24,Assumptions!$C$25)))),AND(Nonlabor!$H$21="Annual",MOD(C912-IF(Nonlabor!$E$21="Core",Nonlabor!$F$21,MAX(Nonlabor!$F$21,IF(Nonlabor!$E$21="AI",Assumptions!$C$24,Assumptions!$C$25))),12)=0))),IF(Nonlabor!$I$21="Fixed",1,IF(Nonlabor!$I$21="Seats",ROUNDUP('Monthly Lean'!I12,0),IF(Nonlabor!$I$21="Customers",'Monthly Lean'!D12,IF(Nonlabor!$I$21="NewCustomers",'Monthly Lean'!C12,IF(Nonlabor!$I$21="StorageGB",'Monthly Lean'!G12,IF(Nonlabor!$I$21="LogGB",'Monthly Lean'!H12,IF(Nonlabor!$I$21="RequestsM",'Monthly Lean'!F12,IF(Nonlabor!$I$21="InputM",'Monthly Lean'!D12*Assumptions!$C$22/1000000,IF(Nonlabor!$I$21="OutputM",'Monthly Lean'!D12*Assumptions!$C$23/1000000,0))))))))),0)</f>
        <v>0</v>
      </c>
      <c r="F912" s="10" t="n">
        <f aca="false">Nonlabor!$J$21*(1+Assumptions!$C$9)^INT((C912-1)/12)</f>
        <v>100</v>
      </c>
      <c r="G912" s="10" t="n">
        <f aca="false">E912*F912</f>
        <v>0</v>
      </c>
      <c r="H912" s="10" t="n">
        <f aca="false">IF(OR(Nonlabor!$L$21="Quote required",Nonlabor!$L$21="Unverified"),G912,0)</f>
        <v>0</v>
      </c>
      <c r="I912" s="10" t="n">
        <f aca="false">IF(Nonlabor!$E$21="Core",0,G912)</f>
        <v>0</v>
      </c>
      <c r="J912" s="23" t="str">
        <f aca="false">Nonlabor!$B$21</f>
        <v>SUPPORT</v>
      </c>
    </row>
    <row r="913" customFormat="false" ht="15" hidden="false" customHeight="false" outlineLevel="0" collapsed="false">
      <c r="A913" s="6" t="s">
        <v>72</v>
      </c>
      <c r="B913" s="6" t="s">
        <v>53</v>
      </c>
      <c r="C913" s="6" t="n">
        <v>8</v>
      </c>
      <c r="D913" s="25" t="n">
        <f aca="false">EDATE('Start Here'!$B$6,C913-1)</f>
        <v>46539</v>
      </c>
      <c r="E913" s="23" t="n">
        <f aca="false">IF(AND(OR(Nonlabor!$D$21="Both",Nonlabor!$D$21='Start Here'!$B$9),IF(Nonlabor!$E$21="Core",1,IF(Nonlabor!$E$21="AI",'Start Here'!$B$7,'Start Here'!$B$8))=1,C913&gt;=IF(Nonlabor!$E$21="Core",Nonlabor!$F$21,MAX(Nonlabor!$F$21,IF(Nonlabor!$E$21="AI",Assumptions!$C$24,Assumptions!$C$25))),C913&lt;=Nonlabor!$G$21,OR(Nonlabor!$H$21="Monthly",AND(Nonlabor!$H$21="Once",C913=IF(Nonlabor!$E$21="Core",Nonlabor!$F$21,MAX(Nonlabor!$F$21,IF(Nonlabor!$E$21="AI",Assumptions!$C$24,Assumptions!$C$25)))),AND(Nonlabor!$H$21="Annual",MOD(C913-IF(Nonlabor!$E$21="Core",Nonlabor!$F$21,MAX(Nonlabor!$F$21,IF(Nonlabor!$E$21="AI",Assumptions!$C$24,Assumptions!$C$25))),12)=0))),IF(Nonlabor!$I$21="Fixed",1,IF(Nonlabor!$I$21="Seats",ROUNDUP('Monthly Lean'!I13,0),IF(Nonlabor!$I$21="Customers",'Monthly Lean'!D13,IF(Nonlabor!$I$21="NewCustomers",'Monthly Lean'!C13,IF(Nonlabor!$I$21="StorageGB",'Monthly Lean'!G13,IF(Nonlabor!$I$21="LogGB",'Monthly Lean'!H13,IF(Nonlabor!$I$21="RequestsM",'Monthly Lean'!F13,IF(Nonlabor!$I$21="InputM",'Monthly Lean'!D13*Assumptions!$C$22/1000000,IF(Nonlabor!$I$21="OutputM",'Monthly Lean'!D13*Assumptions!$C$23/1000000,0))))))))),0)</f>
        <v>0</v>
      </c>
      <c r="F913" s="10" t="n">
        <f aca="false">Nonlabor!$J$21*(1+Assumptions!$C$9)^INT((C913-1)/12)</f>
        <v>100</v>
      </c>
      <c r="G913" s="10" t="n">
        <f aca="false">E913*F913</f>
        <v>0</v>
      </c>
      <c r="H913" s="10" t="n">
        <f aca="false">IF(OR(Nonlabor!$L$21="Quote required",Nonlabor!$L$21="Unverified"),G913,0)</f>
        <v>0</v>
      </c>
      <c r="I913" s="10" t="n">
        <f aca="false">IF(Nonlabor!$E$21="Core",0,G913)</f>
        <v>0</v>
      </c>
      <c r="J913" s="23" t="str">
        <f aca="false">Nonlabor!$B$21</f>
        <v>SUPPORT</v>
      </c>
    </row>
    <row r="914" customFormat="false" ht="15" hidden="false" customHeight="false" outlineLevel="0" collapsed="false">
      <c r="A914" s="6" t="s">
        <v>72</v>
      </c>
      <c r="B914" s="6" t="s">
        <v>53</v>
      </c>
      <c r="C914" s="6" t="n">
        <v>9</v>
      </c>
      <c r="D914" s="25" t="n">
        <f aca="false">EDATE('Start Here'!$B$6,C914-1)</f>
        <v>46569</v>
      </c>
      <c r="E914" s="23" t="n">
        <f aca="false">IF(AND(OR(Nonlabor!$D$21="Both",Nonlabor!$D$21='Start Here'!$B$9),IF(Nonlabor!$E$21="Core",1,IF(Nonlabor!$E$21="AI",'Start Here'!$B$7,'Start Here'!$B$8))=1,C914&gt;=IF(Nonlabor!$E$21="Core",Nonlabor!$F$21,MAX(Nonlabor!$F$21,IF(Nonlabor!$E$21="AI",Assumptions!$C$24,Assumptions!$C$25))),C914&lt;=Nonlabor!$G$21,OR(Nonlabor!$H$21="Monthly",AND(Nonlabor!$H$21="Once",C914=IF(Nonlabor!$E$21="Core",Nonlabor!$F$21,MAX(Nonlabor!$F$21,IF(Nonlabor!$E$21="AI",Assumptions!$C$24,Assumptions!$C$25)))),AND(Nonlabor!$H$21="Annual",MOD(C914-IF(Nonlabor!$E$21="Core",Nonlabor!$F$21,MAX(Nonlabor!$F$21,IF(Nonlabor!$E$21="AI",Assumptions!$C$24,Assumptions!$C$25))),12)=0))),IF(Nonlabor!$I$21="Fixed",1,IF(Nonlabor!$I$21="Seats",ROUNDUP('Monthly Lean'!I14,0),IF(Nonlabor!$I$21="Customers",'Monthly Lean'!D14,IF(Nonlabor!$I$21="NewCustomers",'Monthly Lean'!C14,IF(Nonlabor!$I$21="StorageGB",'Monthly Lean'!G14,IF(Nonlabor!$I$21="LogGB",'Monthly Lean'!H14,IF(Nonlabor!$I$21="RequestsM",'Monthly Lean'!F14,IF(Nonlabor!$I$21="InputM",'Monthly Lean'!D14*Assumptions!$C$22/1000000,IF(Nonlabor!$I$21="OutputM",'Monthly Lean'!D14*Assumptions!$C$23/1000000,0))))))))),0)</f>
        <v>1</v>
      </c>
      <c r="F914" s="10" t="n">
        <f aca="false">Nonlabor!$J$21*(1+Assumptions!$C$9)^INT((C914-1)/12)</f>
        <v>100</v>
      </c>
      <c r="G914" s="10" t="n">
        <f aca="false">E914*F914</f>
        <v>100</v>
      </c>
      <c r="H914" s="10" t="n">
        <f aca="false">IF(OR(Nonlabor!$L$21="Quote required",Nonlabor!$L$21="Unverified"),G914,0)</f>
        <v>0</v>
      </c>
      <c r="I914" s="10" t="n">
        <f aca="false">IF(Nonlabor!$E$21="Core",0,G914)</f>
        <v>0</v>
      </c>
      <c r="J914" s="23" t="str">
        <f aca="false">Nonlabor!$B$21</f>
        <v>SUPPORT</v>
      </c>
    </row>
    <row r="915" customFormat="false" ht="15" hidden="false" customHeight="false" outlineLevel="0" collapsed="false">
      <c r="A915" s="6" t="s">
        <v>72</v>
      </c>
      <c r="B915" s="6" t="s">
        <v>53</v>
      </c>
      <c r="C915" s="6" t="n">
        <v>10</v>
      </c>
      <c r="D915" s="25" t="n">
        <f aca="false">EDATE('Start Here'!$B$6,C915-1)</f>
        <v>46600</v>
      </c>
      <c r="E915" s="23" t="n">
        <f aca="false">IF(AND(OR(Nonlabor!$D$21="Both",Nonlabor!$D$21='Start Here'!$B$9),IF(Nonlabor!$E$21="Core",1,IF(Nonlabor!$E$21="AI",'Start Here'!$B$7,'Start Here'!$B$8))=1,C915&gt;=IF(Nonlabor!$E$21="Core",Nonlabor!$F$21,MAX(Nonlabor!$F$21,IF(Nonlabor!$E$21="AI",Assumptions!$C$24,Assumptions!$C$25))),C915&lt;=Nonlabor!$G$21,OR(Nonlabor!$H$21="Monthly",AND(Nonlabor!$H$21="Once",C915=IF(Nonlabor!$E$21="Core",Nonlabor!$F$21,MAX(Nonlabor!$F$21,IF(Nonlabor!$E$21="AI",Assumptions!$C$24,Assumptions!$C$25)))),AND(Nonlabor!$H$21="Annual",MOD(C915-IF(Nonlabor!$E$21="Core",Nonlabor!$F$21,MAX(Nonlabor!$F$21,IF(Nonlabor!$E$21="AI",Assumptions!$C$24,Assumptions!$C$25))),12)=0))),IF(Nonlabor!$I$21="Fixed",1,IF(Nonlabor!$I$21="Seats",ROUNDUP('Monthly Lean'!I15,0),IF(Nonlabor!$I$21="Customers",'Monthly Lean'!D15,IF(Nonlabor!$I$21="NewCustomers",'Monthly Lean'!C15,IF(Nonlabor!$I$21="StorageGB",'Monthly Lean'!G15,IF(Nonlabor!$I$21="LogGB",'Monthly Lean'!H15,IF(Nonlabor!$I$21="RequestsM",'Monthly Lean'!F15,IF(Nonlabor!$I$21="InputM",'Monthly Lean'!D15*Assumptions!$C$22/1000000,IF(Nonlabor!$I$21="OutputM",'Monthly Lean'!D15*Assumptions!$C$23/1000000,0))))))))),0)</f>
        <v>1</v>
      </c>
      <c r="F915" s="10" t="n">
        <f aca="false">Nonlabor!$J$21*(1+Assumptions!$C$9)^INT((C915-1)/12)</f>
        <v>100</v>
      </c>
      <c r="G915" s="10" t="n">
        <f aca="false">E915*F915</f>
        <v>100</v>
      </c>
      <c r="H915" s="10" t="n">
        <f aca="false">IF(OR(Nonlabor!$L$21="Quote required",Nonlabor!$L$21="Unverified"),G915,0)</f>
        <v>0</v>
      </c>
      <c r="I915" s="10" t="n">
        <f aca="false">IF(Nonlabor!$E$21="Core",0,G915)</f>
        <v>0</v>
      </c>
      <c r="J915" s="23" t="str">
        <f aca="false">Nonlabor!$B$21</f>
        <v>SUPPORT</v>
      </c>
    </row>
    <row r="916" customFormat="false" ht="15" hidden="false" customHeight="false" outlineLevel="0" collapsed="false">
      <c r="A916" s="6" t="s">
        <v>72</v>
      </c>
      <c r="B916" s="6" t="s">
        <v>53</v>
      </c>
      <c r="C916" s="6" t="n">
        <v>11</v>
      </c>
      <c r="D916" s="25" t="n">
        <f aca="false">EDATE('Start Here'!$B$6,C916-1)</f>
        <v>46631</v>
      </c>
      <c r="E916" s="23" t="n">
        <f aca="false">IF(AND(OR(Nonlabor!$D$21="Both",Nonlabor!$D$21='Start Here'!$B$9),IF(Nonlabor!$E$21="Core",1,IF(Nonlabor!$E$21="AI",'Start Here'!$B$7,'Start Here'!$B$8))=1,C916&gt;=IF(Nonlabor!$E$21="Core",Nonlabor!$F$21,MAX(Nonlabor!$F$21,IF(Nonlabor!$E$21="AI",Assumptions!$C$24,Assumptions!$C$25))),C916&lt;=Nonlabor!$G$21,OR(Nonlabor!$H$21="Monthly",AND(Nonlabor!$H$21="Once",C916=IF(Nonlabor!$E$21="Core",Nonlabor!$F$21,MAX(Nonlabor!$F$21,IF(Nonlabor!$E$21="AI",Assumptions!$C$24,Assumptions!$C$25)))),AND(Nonlabor!$H$21="Annual",MOD(C916-IF(Nonlabor!$E$21="Core",Nonlabor!$F$21,MAX(Nonlabor!$F$21,IF(Nonlabor!$E$21="AI",Assumptions!$C$24,Assumptions!$C$25))),12)=0))),IF(Nonlabor!$I$21="Fixed",1,IF(Nonlabor!$I$21="Seats",ROUNDUP('Monthly Lean'!I16,0),IF(Nonlabor!$I$21="Customers",'Monthly Lean'!D16,IF(Nonlabor!$I$21="NewCustomers",'Monthly Lean'!C16,IF(Nonlabor!$I$21="StorageGB",'Monthly Lean'!G16,IF(Nonlabor!$I$21="LogGB",'Monthly Lean'!H16,IF(Nonlabor!$I$21="RequestsM",'Monthly Lean'!F16,IF(Nonlabor!$I$21="InputM",'Monthly Lean'!D16*Assumptions!$C$22/1000000,IF(Nonlabor!$I$21="OutputM",'Monthly Lean'!D16*Assumptions!$C$23/1000000,0))))))))),0)</f>
        <v>1</v>
      </c>
      <c r="F916" s="10" t="n">
        <f aca="false">Nonlabor!$J$21*(1+Assumptions!$C$9)^INT((C916-1)/12)</f>
        <v>100</v>
      </c>
      <c r="G916" s="10" t="n">
        <f aca="false">E916*F916</f>
        <v>100</v>
      </c>
      <c r="H916" s="10" t="n">
        <f aca="false">IF(OR(Nonlabor!$L$21="Quote required",Nonlabor!$L$21="Unverified"),G916,0)</f>
        <v>0</v>
      </c>
      <c r="I916" s="10" t="n">
        <f aca="false">IF(Nonlabor!$E$21="Core",0,G916)</f>
        <v>0</v>
      </c>
      <c r="J916" s="23" t="str">
        <f aca="false">Nonlabor!$B$21</f>
        <v>SUPPORT</v>
      </c>
    </row>
    <row r="917" customFormat="false" ht="15" hidden="false" customHeight="false" outlineLevel="0" collapsed="false">
      <c r="A917" s="6" t="s">
        <v>72</v>
      </c>
      <c r="B917" s="6" t="s">
        <v>53</v>
      </c>
      <c r="C917" s="6" t="n">
        <v>12</v>
      </c>
      <c r="D917" s="25" t="n">
        <f aca="false">EDATE('Start Here'!$B$6,C917-1)</f>
        <v>46661</v>
      </c>
      <c r="E917" s="23" t="n">
        <f aca="false">IF(AND(OR(Nonlabor!$D$21="Both",Nonlabor!$D$21='Start Here'!$B$9),IF(Nonlabor!$E$21="Core",1,IF(Nonlabor!$E$21="AI",'Start Here'!$B$7,'Start Here'!$B$8))=1,C917&gt;=IF(Nonlabor!$E$21="Core",Nonlabor!$F$21,MAX(Nonlabor!$F$21,IF(Nonlabor!$E$21="AI",Assumptions!$C$24,Assumptions!$C$25))),C917&lt;=Nonlabor!$G$21,OR(Nonlabor!$H$21="Monthly",AND(Nonlabor!$H$21="Once",C917=IF(Nonlabor!$E$21="Core",Nonlabor!$F$21,MAX(Nonlabor!$F$21,IF(Nonlabor!$E$21="AI",Assumptions!$C$24,Assumptions!$C$25)))),AND(Nonlabor!$H$21="Annual",MOD(C917-IF(Nonlabor!$E$21="Core",Nonlabor!$F$21,MAX(Nonlabor!$F$21,IF(Nonlabor!$E$21="AI",Assumptions!$C$24,Assumptions!$C$25))),12)=0))),IF(Nonlabor!$I$21="Fixed",1,IF(Nonlabor!$I$21="Seats",ROUNDUP('Monthly Lean'!I17,0),IF(Nonlabor!$I$21="Customers",'Monthly Lean'!D17,IF(Nonlabor!$I$21="NewCustomers",'Monthly Lean'!C17,IF(Nonlabor!$I$21="StorageGB",'Monthly Lean'!G17,IF(Nonlabor!$I$21="LogGB",'Monthly Lean'!H17,IF(Nonlabor!$I$21="RequestsM",'Monthly Lean'!F17,IF(Nonlabor!$I$21="InputM",'Monthly Lean'!D17*Assumptions!$C$22/1000000,IF(Nonlabor!$I$21="OutputM",'Monthly Lean'!D17*Assumptions!$C$23/1000000,0))))))))),0)</f>
        <v>1</v>
      </c>
      <c r="F917" s="10" t="n">
        <f aca="false">Nonlabor!$J$21*(1+Assumptions!$C$9)^INT((C917-1)/12)</f>
        <v>100</v>
      </c>
      <c r="G917" s="10" t="n">
        <f aca="false">E917*F917</f>
        <v>100</v>
      </c>
      <c r="H917" s="10" t="n">
        <f aca="false">IF(OR(Nonlabor!$L$21="Quote required",Nonlabor!$L$21="Unverified"),G917,0)</f>
        <v>0</v>
      </c>
      <c r="I917" s="10" t="n">
        <f aca="false">IF(Nonlabor!$E$21="Core",0,G917)</f>
        <v>0</v>
      </c>
      <c r="J917" s="23" t="str">
        <f aca="false">Nonlabor!$B$21</f>
        <v>SUPPORT</v>
      </c>
    </row>
    <row r="918" customFormat="false" ht="15" hidden="false" customHeight="false" outlineLevel="0" collapsed="false">
      <c r="A918" s="6" t="s">
        <v>72</v>
      </c>
      <c r="B918" s="6" t="s">
        <v>53</v>
      </c>
      <c r="C918" s="6" t="n">
        <v>13</v>
      </c>
      <c r="D918" s="25" t="n">
        <f aca="false">EDATE('Start Here'!$B$6,C918-1)</f>
        <v>46692</v>
      </c>
      <c r="E918" s="23" t="n">
        <f aca="false">IF(AND(OR(Nonlabor!$D$21="Both",Nonlabor!$D$21='Start Here'!$B$9),IF(Nonlabor!$E$21="Core",1,IF(Nonlabor!$E$21="AI",'Start Here'!$B$7,'Start Here'!$B$8))=1,C918&gt;=IF(Nonlabor!$E$21="Core",Nonlabor!$F$21,MAX(Nonlabor!$F$21,IF(Nonlabor!$E$21="AI",Assumptions!$C$24,Assumptions!$C$25))),C918&lt;=Nonlabor!$G$21,OR(Nonlabor!$H$21="Monthly",AND(Nonlabor!$H$21="Once",C918=IF(Nonlabor!$E$21="Core",Nonlabor!$F$21,MAX(Nonlabor!$F$21,IF(Nonlabor!$E$21="AI",Assumptions!$C$24,Assumptions!$C$25)))),AND(Nonlabor!$H$21="Annual",MOD(C918-IF(Nonlabor!$E$21="Core",Nonlabor!$F$21,MAX(Nonlabor!$F$21,IF(Nonlabor!$E$21="AI",Assumptions!$C$24,Assumptions!$C$25))),12)=0))),IF(Nonlabor!$I$21="Fixed",1,IF(Nonlabor!$I$21="Seats",ROUNDUP('Monthly Lean'!I18,0),IF(Nonlabor!$I$21="Customers",'Monthly Lean'!D18,IF(Nonlabor!$I$21="NewCustomers",'Monthly Lean'!C18,IF(Nonlabor!$I$21="StorageGB",'Monthly Lean'!G18,IF(Nonlabor!$I$21="LogGB",'Monthly Lean'!H18,IF(Nonlabor!$I$21="RequestsM",'Monthly Lean'!F18,IF(Nonlabor!$I$21="InputM",'Monthly Lean'!D18*Assumptions!$C$22/1000000,IF(Nonlabor!$I$21="OutputM",'Monthly Lean'!D18*Assumptions!$C$23/1000000,0))))))))),0)</f>
        <v>1</v>
      </c>
      <c r="F918" s="10" t="n">
        <f aca="false">Nonlabor!$J$21*(1+Assumptions!$C$9)^INT((C918-1)/12)</f>
        <v>103</v>
      </c>
      <c r="G918" s="10" t="n">
        <f aca="false">E918*F918</f>
        <v>103</v>
      </c>
      <c r="H918" s="10" t="n">
        <f aca="false">IF(OR(Nonlabor!$L$21="Quote required",Nonlabor!$L$21="Unverified"),G918,0)</f>
        <v>0</v>
      </c>
      <c r="I918" s="10" t="n">
        <f aca="false">IF(Nonlabor!$E$21="Core",0,G918)</f>
        <v>0</v>
      </c>
      <c r="J918" s="23" t="str">
        <f aca="false">Nonlabor!$B$21</f>
        <v>SUPPORT</v>
      </c>
    </row>
    <row r="919" customFormat="false" ht="15" hidden="false" customHeight="false" outlineLevel="0" collapsed="false">
      <c r="A919" s="6" t="s">
        <v>72</v>
      </c>
      <c r="B919" s="6" t="s">
        <v>53</v>
      </c>
      <c r="C919" s="6" t="n">
        <v>14</v>
      </c>
      <c r="D919" s="25" t="n">
        <f aca="false">EDATE('Start Here'!$B$6,C919-1)</f>
        <v>46722</v>
      </c>
      <c r="E919" s="23" t="n">
        <f aca="false">IF(AND(OR(Nonlabor!$D$21="Both",Nonlabor!$D$21='Start Here'!$B$9),IF(Nonlabor!$E$21="Core",1,IF(Nonlabor!$E$21="AI",'Start Here'!$B$7,'Start Here'!$B$8))=1,C919&gt;=IF(Nonlabor!$E$21="Core",Nonlabor!$F$21,MAX(Nonlabor!$F$21,IF(Nonlabor!$E$21="AI",Assumptions!$C$24,Assumptions!$C$25))),C919&lt;=Nonlabor!$G$21,OR(Nonlabor!$H$21="Monthly",AND(Nonlabor!$H$21="Once",C919=IF(Nonlabor!$E$21="Core",Nonlabor!$F$21,MAX(Nonlabor!$F$21,IF(Nonlabor!$E$21="AI",Assumptions!$C$24,Assumptions!$C$25)))),AND(Nonlabor!$H$21="Annual",MOD(C919-IF(Nonlabor!$E$21="Core",Nonlabor!$F$21,MAX(Nonlabor!$F$21,IF(Nonlabor!$E$21="AI",Assumptions!$C$24,Assumptions!$C$25))),12)=0))),IF(Nonlabor!$I$21="Fixed",1,IF(Nonlabor!$I$21="Seats",ROUNDUP('Monthly Lean'!I19,0),IF(Nonlabor!$I$21="Customers",'Monthly Lean'!D19,IF(Nonlabor!$I$21="NewCustomers",'Monthly Lean'!C19,IF(Nonlabor!$I$21="StorageGB",'Monthly Lean'!G19,IF(Nonlabor!$I$21="LogGB",'Monthly Lean'!H19,IF(Nonlabor!$I$21="RequestsM",'Monthly Lean'!F19,IF(Nonlabor!$I$21="InputM",'Monthly Lean'!D19*Assumptions!$C$22/1000000,IF(Nonlabor!$I$21="OutputM",'Monthly Lean'!D19*Assumptions!$C$23/1000000,0))))))))),0)</f>
        <v>1</v>
      </c>
      <c r="F919" s="10" t="n">
        <f aca="false">Nonlabor!$J$21*(1+Assumptions!$C$9)^INT((C919-1)/12)</f>
        <v>103</v>
      </c>
      <c r="G919" s="10" t="n">
        <f aca="false">E919*F919</f>
        <v>103</v>
      </c>
      <c r="H919" s="10" t="n">
        <f aca="false">IF(OR(Nonlabor!$L$21="Quote required",Nonlabor!$L$21="Unverified"),G919,0)</f>
        <v>0</v>
      </c>
      <c r="I919" s="10" t="n">
        <f aca="false">IF(Nonlabor!$E$21="Core",0,G919)</f>
        <v>0</v>
      </c>
      <c r="J919" s="23" t="str">
        <f aca="false">Nonlabor!$B$21</f>
        <v>SUPPORT</v>
      </c>
    </row>
    <row r="920" customFormat="false" ht="15" hidden="false" customHeight="false" outlineLevel="0" collapsed="false">
      <c r="A920" s="6" t="s">
        <v>72</v>
      </c>
      <c r="B920" s="6" t="s">
        <v>53</v>
      </c>
      <c r="C920" s="6" t="n">
        <v>15</v>
      </c>
      <c r="D920" s="25" t="n">
        <f aca="false">EDATE('Start Here'!$B$6,C920-1)</f>
        <v>46753</v>
      </c>
      <c r="E920" s="23" t="n">
        <f aca="false">IF(AND(OR(Nonlabor!$D$21="Both",Nonlabor!$D$21='Start Here'!$B$9),IF(Nonlabor!$E$21="Core",1,IF(Nonlabor!$E$21="AI",'Start Here'!$B$7,'Start Here'!$B$8))=1,C920&gt;=IF(Nonlabor!$E$21="Core",Nonlabor!$F$21,MAX(Nonlabor!$F$21,IF(Nonlabor!$E$21="AI",Assumptions!$C$24,Assumptions!$C$25))),C920&lt;=Nonlabor!$G$21,OR(Nonlabor!$H$21="Monthly",AND(Nonlabor!$H$21="Once",C920=IF(Nonlabor!$E$21="Core",Nonlabor!$F$21,MAX(Nonlabor!$F$21,IF(Nonlabor!$E$21="AI",Assumptions!$C$24,Assumptions!$C$25)))),AND(Nonlabor!$H$21="Annual",MOD(C920-IF(Nonlabor!$E$21="Core",Nonlabor!$F$21,MAX(Nonlabor!$F$21,IF(Nonlabor!$E$21="AI",Assumptions!$C$24,Assumptions!$C$25))),12)=0))),IF(Nonlabor!$I$21="Fixed",1,IF(Nonlabor!$I$21="Seats",ROUNDUP('Monthly Lean'!I20,0),IF(Nonlabor!$I$21="Customers",'Monthly Lean'!D20,IF(Nonlabor!$I$21="NewCustomers",'Monthly Lean'!C20,IF(Nonlabor!$I$21="StorageGB",'Monthly Lean'!G20,IF(Nonlabor!$I$21="LogGB",'Monthly Lean'!H20,IF(Nonlabor!$I$21="RequestsM",'Monthly Lean'!F20,IF(Nonlabor!$I$21="InputM",'Monthly Lean'!D20*Assumptions!$C$22/1000000,IF(Nonlabor!$I$21="OutputM",'Monthly Lean'!D20*Assumptions!$C$23/1000000,0))))))))),0)</f>
        <v>1</v>
      </c>
      <c r="F920" s="10" t="n">
        <f aca="false">Nonlabor!$J$21*(1+Assumptions!$C$9)^INT((C920-1)/12)</f>
        <v>103</v>
      </c>
      <c r="G920" s="10" t="n">
        <f aca="false">E920*F920</f>
        <v>103</v>
      </c>
      <c r="H920" s="10" t="n">
        <f aca="false">IF(OR(Nonlabor!$L$21="Quote required",Nonlabor!$L$21="Unverified"),G920,0)</f>
        <v>0</v>
      </c>
      <c r="I920" s="10" t="n">
        <f aca="false">IF(Nonlabor!$E$21="Core",0,G920)</f>
        <v>0</v>
      </c>
      <c r="J920" s="23" t="str">
        <f aca="false">Nonlabor!$B$21</f>
        <v>SUPPORT</v>
      </c>
    </row>
    <row r="921" customFormat="false" ht="15" hidden="false" customHeight="false" outlineLevel="0" collapsed="false">
      <c r="A921" s="6" t="s">
        <v>72</v>
      </c>
      <c r="B921" s="6" t="s">
        <v>53</v>
      </c>
      <c r="C921" s="6" t="n">
        <v>16</v>
      </c>
      <c r="D921" s="25" t="n">
        <f aca="false">EDATE('Start Here'!$B$6,C921-1)</f>
        <v>46784</v>
      </c>
      <c r="E921" s="23" t="n">
        <f aca="false">IF(AND(OR(Nonlabor!$D$21="Both",Nonlabor!$D$21='Start Here'!$B$9),IF(Nonlabor!$E$21="Core",1,IF(Nonlabor!$E$21="AI",'Start Here'!$B$7,'Start Here'!$B$8))=1,C921&gt;=IF(Nonlabor!$E$21="Core",Nonlabor!$F$21,MAX(Nonlabor!$F$21,IF(Nonlabor!$E$21="AI",Assumptions!$C$24,Assumptions!$C$25))),C921&lt;=Nonlabor!$G$21,OR(Nonlabor!$H$21="Monthly",AND(Nonlabor!$H$21="Once",C921=IF(Nonlabor!$E$21="Core",Nonlabor!$F$21,MAX(Nonlabor!$F$21,IF(Nonlabor!$E$21="AI",Assumptions!$C$24,Assumptions!$C$25)))),AND(Nonlabor!$H$21="Annual",MOD(C921-IF(Nonlabor!$E$21="Core",Nonlabor!$F$21,MAX(Nonlabor!$F$21,IF(Nonlabor!$E$21="AI",Assumptions!$C$24,Assumptions!$C$25))),12)=0))),IF(Nonlabor!$I$21="Fixed",1,IF(Nonlabor!$I$21="Seats",ROUNDUP('Monthly Lean'!I21,0),IF(Nonlabor!$I$21="Customers",'Monthly Lean'!D21,IF(Nonlabor!$I$21="NewCustomers",'Monthly Lean'!C21,IF(Nonlabor!$I$21="StorageGB",'Monthly Lean'!G21,IF(Nonlabor!$I$21="LogGB",'Monthly Lean'!H21,IF(Nonlabor!$I$21="RequestsM",'Monthly Lean'!F21,IF(Nonlabor!$I$21="InputM",'Monthly Lean'!D21*Assumptions!$C$22/1000000,IF(Nonlabor!$I$21="OutputM",'Monthly Lean'!D21*Assumptions!$C$23/1000000,0))))))))),0)</f>
        <v>1</v>
      </c>
      <c r="F921" s="10" t="n">
        <f aca="false">Nonlabor!$J$21*(1+Assumptions!$C$9)^INT((C921-1)/12)</f>
        <v>103</v>
      </c>
      <c r="G921" s="10" t="n">
        <f aca="false">E921*F921</f>
        <v>103</v>
      </c>
      <c r="H921" s="10" t="n">
        <f aca="false">IF(OR(Nonlabor!$L$21="Quote required",Nonlabor!$L$21="Unverified"),G921,0)</f>
        <v>0</v>
      </c>
      <c r="I921" s="10" t="n">
        <f aca="false">IF(Nonlabor!$E$21="Core",0,G921)</f>
        <v>0</v>
      </c>
      <c r="J921" s="23" t="str">
        <f aca="false">Nonlabor!$B$21</f>
        <v>SUPPORT</v>
      </c>
    </row>
    <row r="922" customFormat="false" ht="15" hidden="false" customHeight="false" outlineLevel="0" collapsed="false">
      <c r="A922" s="6" t="s">
        <v>72</v>
      </c>
      <c r="B922" s="6" t="s">
        <v>53</v>
      </c>
      <c r="C922" s="6" t="n">
        <v>17</v>
      </c>
      <c r="D922" s="25" t="n">
        <f aca="false">EDATE('Start Here'!$B$6,C922-1)</f>
        <v>46813</v>
      </c>
      <c r="E922" s="23" t="n">
        <f aca="false">IF(AND(OR(Nonlabor!$D$21="Both",Nonlabor!$D$21='Start Here'!$B$9),IF(Nonlabor!$E$21="Core",1,IF(Nonlabor!$E$21="AI",'Start Here'!$B$7,'Start Here'!$B$8))=1,C922&gt;=IF(Nonlabor!$E$21="Core",Nonlabor!$F$21,MAX(Nonlabor!$F$21,IF(Nonlabor!$E$21="AI",Assumptions!$C$24,Assumptions!$C$25))),C922&lt;=Nonlabor!$G$21,OR(Nonlabor!$H$21="Monthly",AND(Nonlabor!$H$21="Once",C922=IF(Nonlabor!$E$21="Core",Nonlabor!$F$21,MAX(Nonlabor!$F$21,IF(Nonlabor!$E$21="AI",Assumptions!$C$24,Assumptions!$C$25)))),AND(Nonlabor!$H$21="Annual",MOD(C922-IF(Nonlabor!$E$21="Core",Nonlabor!$F$21,MAX(Nonlabor!$F$21,IF(Nonlabor!$E$21="AI",Assumptions!$C$24,Assumptions!$C$25))),12)=0))),IF(Nonlabor!$I$21="Fixed",1,IF(Nonlabor!$I$21="Seats",ROUNDUP('Monthly Lean'!I22,0),IF(Nonlabor!$I$21="Customers",'Monthly Lean'!D22,IF(Nonlabor!$I$21="NewCustomers",'Monthly Lean'!C22,IF(Nonlabor!$I$21="StorageGB",'Monthly Lean'!G22,IF(Nonlabor!$I$21="LogGB",'Monthly Lean'!H22,IF(Nonlabor!$I$21="RequestsM",'Monthly Lean'!F22,IF(Nonlabor!$I$21="InputM",'Monthly Lean'!D22*Assumptions!$C$22/1000000,IF(Nonlabor!$I$21="OutputM",'Monthly Lean'!D22*Assumptions!$C$23/1000000,0))))))))),0)</f>
        <v>1</v>
      </c>
      <c r="F922" s="10" t="n">
        <f aca="false">Nonlabor!$J$21*(1+Assumptions!$C$9)^INT((C922-1)/12)</f>
        <v>103</v>
      </c>
      <c r="G922" s="10" t="n">
        <f aca="false">E922*F922</f>
        <v>103</v>
      </c>
      <c r="H922" s="10" t="n">
        <f aca="false">IF(OR(Nonlabor!$L$21="Quote required",Nonlabor!$L$21="Unverified"),G922,0)</f>
        <v>0</v>
      </c>
      <c r="I922" s="10" t="n">
        <f aca="false">IF(Nonlabor!$E$21="Core",0,G922)</f>
        <v>0</v>
      </c>
      <c r="J922" s="23" t="str">
        <f aca="false">Nonlabor!$B$21</f>
        <v>SUPPORT</v>
      </c>
    </row>
    <row r="923" customFormat="false" ht="15" hidden="false" customHeight="false" outlineLevel="0" collapsed="false">
      <c r="A923" s="6" t="s">
        <v>72</v>
      </c>
      <c r="B923" s="6" t="s">
        <v>53</v>
      </c>
      <c r="C923" s="6" t="n">
        <v>18</v>
      </c>
      <c r="D923" s="25" t="n">
        <f aca="false">EDATE('Start Here'!$B$6,C923-1)</f>
        <v>46844</v>
      </c>
      <c r="E923" s="23" t="n">
        <f aca="false">IF(AND(OR(Nonlabor!$D$21="Both",Nonlabor!$D$21='Start Here'!$B$9),IF(Nonlabor!$E$21="Core",1,IF(Nonlabor!$E$21="AI",'Start Here'!$B$7,'Start Here'!$B$8))=1,C923&gt;=IF(Nonlabor!$E$21="Core",Nonlabor!$F$21,MAX(Nonlabor!$F$21,IF(Nonlabor!$E$21="AI",Assumptions!$C$24,Assumptions!$C$25))),C923&lt;=Nonlabor!$G$21,OR(Nonlabor!$H$21="Monthly",AND(Nonlabor!$H$21="Once",C923=IF(Nonlabor!$E$21="Core",Nonlabor!$F$21,MAX(Nonlabor!$F$21,IF(Nonlabor!$E$21="AI",Assumptions!$C$24,Assumptions!$C$25)))),AND(Nonlabor!$H$21="Annual",MOD(C923-IF(Nonlabor!$E$21="Core",Nonlabor!$F$21,MAX(Nonlabor!$F$21,IF(Nonlabor!$E$21="AI",Assumptions!$C$24,Assumptions!$C$25))),12)=0))),IF(Nonlabor!$I$21="Fixed",1,IF(Nonlabor!$I$21="Seats",ROUNDUP('Monthly Lean'!I23,0),IF(Nonlabor!$I$21="Customers",'Monthly Lean'!D23,IF(Nonlabor!$I$21="NewCustomers",'Monthly Lean'!C23,IF(Nonlabor!$I$21="StorageGB",'Monthly Lean'!G23,IF(Nonlabor!$I$21="LogGB",'Monthly Lean'!H23,IF(Nonlabor!$I$21="RequestsM",'Monthly Lean'!F23,IF(Nonlabor!$I$21="InputM",'Monthly Lean'!D23*Assumptions!$C$22/1000000,IF(Nonlabor!$I$21="OutputM",'Monthly Lean'!D23*Assumptions!$C$23/1000000,0))))))))),0)</f>
        <v>1</v>
      </c>
      <c r="F923" s="10" t="n">
        <f aca="false">Nonlabor!$J$21*(1+Assumptions!$C$9)^INT((C923-1)/12)</f>
        <v>103</v>
      </c>
      <c r="G923" s="10" t="n">
        <f aca="false">E923*F923</f>
        <v>103</v>
      </c>
      <c r="H923" s="10" t="n">
        <f aca="false">IF(OR(Nonlabor!$L$21="Quote required",Nonlabor!$L$21="Unverified"),G923,0)</f>
        <v>0</v>
      </c>
      <c r="I923" s="10" t="n">
        <f aca="false">IF(Nonlabor!$E$21="Core",0,G923)</f>
        <v>0</v>
      </c>
      <c r="J923" s="23" t="str">
        <f aca="false">Nonlabor!$B$21</f>
        <v>SUPPORT</v>
      </c>
    </row>
    <row r="924" customFormat="false" ht="15" hidden="false" customHeight="false" outlineLevel="0" collapsed="false">
      <c r="A924" s="6" t="s">
        <v>72</v>
      </c>
      <c r="B924" s="6" t="s">
        <v>53</v>
      </c>
      <c r="C924" s="6" t="n">
        <v>19</v>
      </c>
      <c r="D924" s="25" t="n">
        <f aca="false">EDATE('Start Here'!$B$6,C924-1)</f>
        <v>46874</v>
      </c>
      <c r="E924" s="23" t="n">
        <f aca="false">IF(AND(OR(Nonlabor!$D$21="Both",Nonlabor!$D$21='Start Here'!$B$9),IF(Nonlabor!$E$21="Core",1,IF(Nonlabor!$E$21="AI",'Start Here'!$B$7,'Start Here'!$B$8))=1,C924&gt;=IF(Nonlabor!$E$21="Core",Nonlabor!$F$21,MAX(Nonlabor!$F$21,IF(Nonlabor!$E$21="AI",Assumptions!$C$24,Assumptions!$C$25))),C924&lt;=Nonlabor!$G$21,OR(Nonlabor!$H$21="Monthly",AND(Nonlabor!$H$21="Once",C924=IF(Nonlabor!$E$21="Core",Nonlabor!$F$21,MAX(Nonlabor!$F$21,IF(Nonlabor!$E$21="AI",Assumptions!$C$24,Assumptions!$C$25)))),AND(Nonlabor!$H$21="Annual",MOD(C924-IF(Nonlabor!$E$21="Core",Nonlabor!$F$21,MAX(Nonlabor!$F$21,IF(Nonlabor!$E$21="AI",Assumptions!$C$24,Assumptions!$C$25))),12)=0))),IF(Nonlabor!$I$21="Fixed",1,IF(Nonlabor!$I$21="Seats",ROUNDUP('Monthly Lean'!I24,0),IF(Nonlabor!$I$21="Customers",'Monthly Lean'!D24,IF(Nonlabor!$I$21="NewCustomers",'Monthly Lean'!C24,IF(Nonlabor!$I$21="StorageGB",'Monthly Lean'!G24,IF(Nonlabor!$I$21="LogGB",'Monthly Lean'!H24,IF(Nonlabor!$I$21="RequestsM",'Monthly Lean'!F24,IF(Nonlabor!$I$21="InputM",'Monthly Lean'!D24*Assumptions!$C$22/1000000,IF(Nonlabor!$I$21="OutputM",'Monthly Lean'!D24*Assumptions!$C$23/1000000,0))))))))),0)</f>
        <v>1</v>
      </c>
      <c r="F924" s="10" t="n">
        <f aca="false">Nonlabor!$J$21*(1+Assumptions!$C$9)^INT((C924-1)/12)</f>
        <v>103</v>
      </c>
      <c r="G924" s="10" t="n">
        <f aca="false">E924*F924</f>
        <v>103</v>
      </c>
      <c r="H924" s="10" t="n">
        <f aca="false">IF(OR(Nonlabor!$L$21="Quote required",Nonlabor!$L$21="Unverified"),G924,0)</f>
        <v>0</v>
      </c>
      <c r="I924" s="10" t="n">
        <f aca="false">IF(Nonlabor!$E$21="Core",0,G924)</f>
        <v>0</v>
      </c>
      <c r="J924" s="23" t="str">
        <f aca="false">Nonlabor!$B$21</f>
        <v>SUPPORT</v>
      </c>
    </row>
    <row r="925" customFormat="false" ht="15" hidden="false" customHeight="false" outlineLevel="0" collapsed="false">
      <c r="A925" s="6" t="s">
        <v>72</v>
      </c>
      <c r="B925" s="6" t="s">
        <v>53</v>
      </c>
      <c r="C925" s="6" t="n">
        <v>20</v>
      </c>
      <c r="D925" s="25" t="n">
        <f aca="false">EDATE('Start Here'!$B$6,C925-1)</f>
        <v>46905</v>
      </c>
      <c r="E925" s="23" t="n">
        <f aca="false">IF(AND(OR(Nonlabor!$D$21="Both",Nonlabor!$D$21='Start Here'!$B$9),IF(Nonlabor!$E$21="Core",1,IF(Nonlabor!$E$21="AI",'Start Here'!$B$7,'Start Here'!$B$8))=1,C925&gt;=IF(Nonlabor!$E$21="Core",Nonlabor!$F$21,MAX(Nonlabor!$F$21,IF(Nonlabor!$E$21="AI",Assumptions!$C$24,Assumptions!$C$25))),C925&lt;=Nonlabor!$G$21,OR(Nonlabor!$H$21="Monthly",AND(Nonlabor!$H$21="Once",C925=IF(Nonlabor!$E$21="Core",Nonlabor!$F$21,MAX(Nonlabor!$F$21,IF(Nonlabor!$E$21="AI",Assumptions!$C$24,Assumptions!$C$25)))),AND(Nonlabor!$H$21="Annual",MOD(C925-IF(Nonlabor!$E$21="Core",Nonlabor!$F$21,MAX(Nonlabor!$F$21,IF(Nonlabor!$E$21="AI",Assumptions!$C$24,Assumptions!$C$25))),12)=0))),IF(Nonlabor!$I$21="Fixed",1,IF(Nonlabor!$I$21="Seats",ROUNDUP('Monthly Lean'!I25,0),IF(Nonlabor!$I$21="Customers",'Monthly Lean'!D25,IF(Nonlabor!$I$21="NewCustomers",'Monthly Lean'!C25,IF(Nonlabor!$I$21="StorageGB",'Monthly Lean'!G25,IF(Nonlabor!$I$21="LogGB",'Monthly Lean'!H25,IF(Nonlabor!$I$21="RequestsM",'Monthly Lean'!F25,IF(Nonlabor!$I$21="InputM",'Monthly Lean'!D25*Assumptions!$C$22/1000000,IF(Nonlabor!$I$21="OutputM",'Monthly Lean'!D25*Assumptions!$C$23/1000000,0))))))))),0)</f>
        <v>1</v>
      </c>
      <c r="F925" s="10" t="n">
        <f aca="false">Nonlabor!$J$21*(1+Assumptions!$C$9)^INT((C925-1)/12)</f>
        <v>103</v>
      </c>
      <c r="G925" s="10" t="n">
        <f aca="false">E925*F925</f>
        <v>103</v>
      </c>
      <c r="H925" s="10" t="n">
        <f aca="false">IF(OR(Nonlabor!$L$21="Quote required",Nonlabor!$L$21="Unverified"),G925,0)</f>
        <v>0</v>
      </c>
      <c r="I925" s="10" t="n">
        <f aca="false">IF(Nonlabor!$E$21="Core",0,G925)</f>
        <v>0</v>
      </c>
      <c r="J925" s="23" t="str">
        <f aca="false">Nonlabor!$B$21</f>
        <v>SUPPORT</v>
      </c>
    </row>
    <row r="926" customFormat="false" ht="15" hidden="false" customHeight="false" outlineLevel="0" collapsed="false">
      <c r="A926" s="6" t="s">
        <v>72</v>
      </c>
      <c r="B926" s="6" t="s">
        <v>53</v>
      </c>
      <c r="C926" s="6" t="n">
        <v>21</v>
      </c>
      <c r="D926" s="25" t="n">
        <f aca="false">EDATE('Start Here'!$B$6,C926-1)</f>
        <v>46935</v>
      </c>
      <c r="E926" s="23" t="n">
        <f aca="false">IF(AND(OR(Nonlabor!$D$21="Both",Nonlabor!$D$21='Start Here'!$B$9),IF(Nonlabor!$E$21="Core",1,IF(Nonlabor!$E$21="AI",'Start Here'!$B$7,'Start Here'!$B$8))=1,C926&gt;=IF(Nonlabor!$E$21="Core",Nonlabor!$F$21,MAX(Nonlabor!$F$21,IF(Nonlabor!$E$21="AI",Assumptions!$C$24,Assumptions!$C$25))),C926&lt;=Nonlabor!$G$21,OR(Nonlabor!$H$21="Monthly",AND(Nonlabor!$H$21="Once",C926=IF(Nonlabor!$E$21="Core",Nonlabor!$F$21,MAX(Nonlabor!$F$21,IF(Nonlabor!$E$21="AI",Assumptions!$C$24,Assumptions!$C$25)))),AND(Nonlabor!$H$21="Annual",MOD(C926-IF(Nonlabor!$E$21="Core",Nonlabor!$F$21,MAX(Nonlabor!$F$21,IF(Nonlabor!$E$21="AI",Assumptions!$C$24,Assumptions!$C$25))),12)=0))),IF(Nonlabor!$I$21="Fixed",1,IF(Nonlabor!$I$21="Seats",ROUNDUP('Monthly Lean'!I26,0),IF(Nonlabor!$I$21="Customers",'Monthly Lean'!D26,IF(Nonlabor!$I$21="NewCustomers",'Monthly Lean'!C26,IF(Nonlabor!$I$21="StorageGB",'Monthly Lean'!G26,IF(Nonlabor!$I$21="LogGB",'Monthly Lean'!H26,IF(Nonlabor!$I$21="RequestsM",'Monthly Lean'!F26,IF(Nonlabor!$I$21="InputM",'Monthly Lean'!D26*Assumptions!$C$22/1000000,IF(Nonlabor!$I$21="OutputM",'Monthly Lean'!D26*Assumptions!$C$23/1000000,0))))))))),0)</f>
        <v>1</v>
      </c>
      <c r="F926" s="10" t="n">
        <f aca="false">Nonlabor!$J$21*(1+Assumptions!$C$9)^INT((C926-1)/12)</f>
        <v>103</v>
      </c>
      <c r="G926" s="10" t="n">
        <f aca="false">E926*F926</f>
        <v>103</v>
      </c>
      <c r="H926" s="10" t="n">
        <f aca="false">IF(OR(Nonlabor!$L$21="Quote required",Nonlabor!$L$21="Unverified"),G926,0)</f>
        <v>0</v>
      </c>
      <c r="I926" s="10" t="n">
        <f aca="false">IF(Nonlabor!$E$21="Core",0,G926)</f>
        <v>0</v>
      </c>
      <c r="J926" s="23" t="str">
        <f aca="false">Nonlabor!$B$21</f>
        <v>SUPPORT</v>
      </c>
    </row>
    <row r="927" customFormat="false" ht="15" hidden="false" customHeight="false" outlineLevel="0" collapsed="false">
      <c r="A927" s="6" t="s">
        <v>72</v>
      </c>
      <c r="B927" s="6" t="s">
        <v>53</v>
      </c>
      <c r="C927" s="6" t="n">
        <v>22</v>
      </c>
      <c r="D927" s="25" t="n">
        <f aca="false">EDATE('Start Here'!$B$6,C927-1)</f>
        <v>46966</v>
      </c>
      <c r="E927" s="23" t="n">
        <f aca="false">IF(AND(OR(Nonlabor!$D$21="Both",Nonlabor!$D$21='Start Here'!$B$9),IF(Nonlabor!$E$21="Core",1,IF(Nonlabor!$E$21="AI",'Start Here'!$B$7,'Start Here'!$B$8))=1,C927&gt;=IF(Nonlabor!$E$21="Core",Nonlabor!$F$21,MAX(Nonlabor!$F$21,IF(Nonlabor!$E$21="AI",Assumptions!$C$24,Assumptions!$C$25))),C927&lt;=Nonlabor!$G$21,OR(Nonlabor!$H$21="Monthly",AND(Nonlabor!$H$21="Once",C927=IF(Nonlabor!$E$21="Core",Nonlabor!$F$21,MAX(Nonlabor!$F$21,IF(Nonlabor!$E$21="AI",Assumptions!$C$24,Assumptions!$C$25)))),AND(Nonlabor!$H$21="Annual",MOD(C927-IF(Nonlabor!$E$21="Core",Nonlabor!$F$21,MAX(Nonlabor!$F$21,IF(Nonlabor!$E$21="AI",Assumptions!$C$24,Assumptions!$C$25))),12)=0))),IF(Nonlabor!$I$21="Fixed",1,IF(Nonlabor!$I$21="Seats",ROUNDUP('Monthly Lean'!I27,0),IF(Nonlabor!$I$21="Customers",'Monthly Lean'!D27,IF(Nonlabor!$I$21="NewCustomers",'Monthly Lean'!C27,IF(Nonlabor!$I$21="StorageGB",'Monthly Lean'!G27,IF(Nonlabor!$I$21="LogGB",'Monthly Lean'!H27,IF(Nonlabor!$I$21="RequestsM",'Monthly Lean'!F27,IF(Nonlabor!$I$21="InputM",'Monthly Lean'!D27*Assumptions!$C$22/1000000,IF(Nonlabor!$I$21="OutputM",'Monthly Lean'!D27*Assumptions!$C$23/1000000,0))))))))),0)</f>
        <v>1</v>
      </c>
      <c r="F927" s="10" t="n">
        <f aca="false">Nonlabor!$J$21*(1+Assumptions!$C$9)^INT((C927-1)/12)</f>
        <v>103</v>
      </c>
      <c r="G927" s="10" t="n">
        <f aca="false">E927*F927</f>
        <v>103</v>
      </c>
      <c r="H927" s="10" t="n">
        <f aca="false">IF(OR(Nonlabor!$L$21="Quote required",Nonlabor!$L$21="Unverified"),G927,0)</f>
        <v>0</v>
      </c>
      <c r="I927" s="10" t="n">
        <f aca="false">IF(Nonlabor!$E$21="Core",0,G927)</f>
        <v>0</v>
      </c>
      <c r="J927" s="23" t="str">
        <f aca="false">Nonlabor!$B$21</f>
        <v>SUPPORT</v>
      </c>
    </row>
    <row r="928" customFormat="false" ht="15" hidden="false" customHeight="false" outlineLevel="0" collapsed="false">
      <c r="A928" s="6" t="s">
        <v>72</v>
      </c>
      <c r="B928" s="6" t="s">
        <v>53</v>
      </c>
      <c r="C928" s="6" t="n">
        <v>23</v>
      </c>
      <c r="D928" s="25" t="n">
        <f aca="false">EDATE('Start Here'!$B$6,C928-1)</f>
        <v>46997</v>
      </c>
      <c r="E928" s="23" t="n">
        <f aca="false">IF(AND(OR(Nonlabor!$D$21="Both",Nonlabor!$D$21='Start Here'!$B$9),IF(Nonlabor!$E$21="Core",1,IF(Nonlabor!$E$21="AI",'Start Here'!$B$7,'Start Here'!$B$8))=1,C928&gt;=IF(Nonlabor!$E$21="Core",Nonlabor!$F$21,MAX(Nonlabor!$F$21,IF(Nonlabor!$E$21="AI",Assumptions!$C$24,Assumptions!$C$25))),C928&lt;=Nonlabor!$G$21,OR(Nonlabor!$H$21="Monthly",AND(Nonlabor!$H$21="Once",C928=IF(Nonlabor!$E$21="Core",Nonlabor!$F$21,MAX(Nonlabor!$F$21,IF(Nonlabor!$E$21="AI",Assumptions!$C$24,Assumptions!$C$25)))),AND(Nonlabor!$H$21="Annual",MOD(C928-IF(Nonlabor!$E$21="Core",Nonlabor!$F$21,MAX(Nonlabor!$F$21,IF(Nonlabor!$E$21="AI",Assumptions!$C$24,Assumptions!$C$25))),12)=0))),IF(Nonlabor!$I$21="Fixed",1,IF(Nonlabor!$I$21="Seats",ROUNDUP('Monthly Lean'!I28,0),IF(Nonlabor!$I$21="Customers",'Monthly Lean'!D28,IF(Nonlabor!$I$21="NewCustomers",'Monthly Lean'!C28,IF(Nonlabor!$I$21="StorageGB",'Monthly Lean'!G28,IF(Nonlabor!$I$21="LogGB",'Monthly Lean'!H28,IF(Nonlabor!$I$21="RequestsM",'Monthly Lean'!F28,IF(Nonlabor!$I$21="InputM",'Monthly Lean'!D28*Assumptions!$C$22/1000000,IF(Nonlabor!$I$21="OutputM",'Monthly Lean'!D28*Assumptions!$C$23/1000000,0))))))))),0)</f>
        <v>1</v>
      </c>
      <c r="F928" s="10" t="n">
        <f aca="false">Nonlabor!$J$21*(1+Assumptions!$C$9)^INT((C928-1)/12)</f>
        <v>103</v>
      </c>
      <c r="G928" s="10" t="n">
        <f aca="false">E928*F928</f>
        <v>103</v>
      </c>
      <c r="H928" s="10" t="n">
        <f aca="false">IF(OR(Nonlabor!$L$21="Quote required",Nonlabor!$L$21="Unverified"),G928,0)</f>
        <v>0</v>
      </c>
      <c r="I928" s="10" t="n">
        <f aca="false">IF(Nonlabor!$E$21="Core",0,G928)</f>
        <v>0</v>
      </c>
      <c r="J928" s="23" t="str">
        <f aca="false">Nonlabor!$B$21</f>
        <v>SUPPORT</v>
      </c>
    </row>
    <row r="929" customFormat="false" ht="15" hidden="false" customHeight="false" outlineLevel="0" collapsed="false">
      <c r="A929" s="6" t="s">
        <v>72</v>
      </c>
      <c r="B929" s="6" t="s">
        <v>53</v>
      </c>
      <c r="C929" s="6" t="n">
        <v>24</v>
      </c>
      <c r="D929" s="25" t="n">
        <f aca="false">EDATE('Start Here'!$B$6,C929-1)</f>
        <v>47027</v>
      </c>
      <c r="E929" s="23" t="n">
        <f aca="false">IF(AND(OR(Nonlabor!$D$21="Both",Nonlabor!$D$21='Start Here'!$B$9),IF(Nonlabor!$E$21="Core",1,IF(Nonlabor!$E$21="AI",'Start Here'!$B$7,'Start Here'!$B$8))=1,C929&gt;=IF(Nonlabor!$E$21="Core",Nonlabor!$F$21,MAX(Nonlabor!$F$21,IF(Nonlabor!$E$21="AI",Assumptions!$C$24,Assumptions!$C$25))),C929&lt;=Nonlabor!$G$21,OR(Nonlabor!$H$21="Monthly",AND(Nonlabor!$H$21="Once",C929=IF(Nonlabor!$E$21="Core",Nonlabor!$F$21,MAX(Nonlabor!$F$21,IF(Nonlabor!$E$21="AI",Assumptions!$C$24,Assumptions!$C$25)))),AND(Nonlabor!$H$21="Annual",MOD(C929-IF(Nonlabor!$E$21="Core",Nonlabor!$F$21,MAX(Nonlabor!$F$21,IF(Nonlabor!$E$21="AI",Assumptions!$C$24,Assumptions!$C$25))),12)=0))),IF(Nonlabor!$I$21="Fixed",1,IF(Nonlabor!$I$21="Seats",ROUNDUP('Monthly Lean'!I29,0),IF(Nonlabor!$I$21="Customers",'Monthly Lean'!D29,IF(Nonlabor!$I$21="NewCustomers",'Monthly Lean'!C29,IF(Nonlabor!$I$21="StorageGB",'Monthly Lean'!G29,IF(Nonlabor!$I$21="LogGB",'Monthly Lean'!H29,IF(Nonlabor!$I$21="RequestsM",'Monthly Lean'!F29,IF(Nonlabor!$I$21="InputM",'Monthly Lean'!D29*Assumptions!$C$22/1000000,IF(Nonlabor!$I$21="OutputM",'Monthly Lean'!D29*Assumptions!$C$23/1000000,0))))))))),0)</f>
        <v>1</v>
      </c>
      <c r="F929" s="10" t="n">
        <f aca="false">Nonlabor!$J$21*(1+Assumptions!$C$9)^INT((C929-1)/12)</f>
        <v>103</v>
      </c>
      <c r="G929" s="10" t="n">
        <f aca="false">E929*F929</f>
        <v>103</v>
      </c>
      <c r="H929" s="10" t="n">
        <f aca="false">IF(OR(Nonlabor!$L$21="Quote required",Nonlabor!$L$21="Unverified"),G929,0)</f>
        <v>0</v>
      </c>
      <c r="I929" s="10" t="n">
        <f aca="false">IF(Nonlabor!$E$21="Core",0,G929)</f>
        <v>0</v>
      </c>
      <c r="J929" s="23" t="str">
        <f aca="false">Nonlabor!$B$21</f>
        <v>SUPPORT</v>
      </c>
    </row>
    <row r="930" customFormat="false" ht="15" hidden="false" customHeight="false" outlineLevel="0" collapsed="false">
      <c r="A930" s="6" t="s">
        <v>72</v>
      </c>
      <c r="B930" s="6" t="s">
        <v>53</v>
      </c>
      <c r="C930" s="6" t="n">
        <v>25</v>
      </c>
      <c r="D930" s="25" t="n">
        <f aca="false">EDATE('Start Here'!$B$6,C930-1)</f>
        <v>47058</v>
      </c>
      <c r="E930" s="23" t="n">
        <f aca="false">IF(AND(OR(Nonlabor!$D$21="Both",Nonlabor!$D$21='Start Here'!$B$9),IF(Nonlabor!$E$21="Core",1,IF(Nonlabor!$E$21="AI",'Start Here'!$B$7,'Start Here'!$B$8))=1,C930&gt;=IF(Nonlabor!$E$21="Core",Nonlabor!$F$21,MAX(Nonlabor!$F$21,IF(Nonlabor!$E$21="AI",Assumptions!$C$24,Assumptions!$C$25))),C930&lt;=Nonlabor!$G$21,OR(Nonlabor!$H$21="Monthly",AND(Nonlabor!$H$21="Once",C930=IF(Nonlabor!$E$21="Core",Nonlabor!$F$21,MAX(Nonlabor!$F$21,IF(Nonlabor!$E$21="AI",Assumptions!$C$24,Assumptions!$C$25)))),AND(Nonlabor!$H$21="Annual",MOD(C930-IF(Nonlabor!$E$21="Core",Nonlabor!$F$21,MAX(Nonlabor!$F$21,IF(Nonlabor!$E$21="AI",Assumptions!$C$24,Assumptions!$C$25))),12)=0))),IF(Nonlabor!$I$21="Fixed",1,IF(Nonlabor!$I$21="Seats",ROUNDUP('Monthly Lean'!I30,0),IF(Nonlabor!$I$21="Customers",'Monthly Lean'!D30,IF(Nonlabor!$I$21="NewCustomers",'Monthly Lean'!C30,IF(Nonlabor!$I$21="StorageGB",'Monthly Lean'!G30,IF(Nonlabor!$I$21="LogGB",'Monthly Lean'!H30,IF(Nonlabor!$I$21="RequestsM",'Monthly Lean'!F30,IF(Nonlabor!$I$21="InputM",'Monthly Lean'!D30*Assumptions!$C$22/1000000,IF(Nonlabor!$I$21="OutputM",'Monthly Lean'!D30*Assumptions!$C$23/1000000,0))))))))),0)</f>
        <v>1</v>
      </c>
      <c r="F930" s="10" t="n">
        <f aca="false">Nonlabor!$J$21*(1+Assumptions!$C$9)^INT((C930-1)/12)</f>
        <v>106.09</v>
      </c>
      <c r="G930" s="10" t="n">
        <f aca="false">E930*F930</f>
        <v>106.09</v>
      </c>
      <c r="H930" s="10" t="n">
        <f aca="false">IF(OR(Nonlabor!$L$21="Quote required",Nonlabor!$L$21="Unverified"),G930,0)</f>
        <v>0</v>
      </c>
      <c r="I930" s="10" t="n">
        <f aca="false">IF(Nonlabor!$E$21="Core",0,G930)</f>
        <v>0</v>
      </c>
      <c r="J930" s="23" t="str">
        <f aca="false">Nonlabor!$B$21</f>
        <v>SUPPORT</v>
      </c>
    </row>
    <row r="931" customFormat="false" ht="15" hidden="false" customHeight="false" outlineLevel="0" collapsed="false">
      <c r="A931" s="6" t="s">
        <v>72</v>
      </c>
      <c r="B931" s="6" t="s">
        <v>53</v>
      </c>
      <c r="C931" s="6" t="n">
        <v>26</v>
      </c>
      <c r="D931" s="25" t="n">
        <f aca="false">EDATE('Start Here'!$B$6,C931-1)</f>
        <v>47088</v>
      </c>
      <c r="E931" s="23" t="n">
        <f aca="false">IF(AND(OR(Nonlabor!$D$21="Both",Nonlabor!$D$21='Start Here'!$B$9),IF(Nonlabor!$E$21="Core",1,IF(Nonlabor!$E$21="AI",'Start Here'!$B$7,'Start Here'!$B$8))=1,C931&gt;=IF(Nonlabor!$E$21="Core",Nonlabor!$F$21,MAX(Nonlabor!$F$21,IF(Nonlabor!$E$21="AI",Assumptions!$C$24,Assumptions!$C$25))),C931&lt;=Nonlabor!$G$21,OR(Nonlabor!$H$21="Monthly",AND(Nonlabor!$H$21="Once",C931=IF(Nonlabor!$E$21="Core",Nonlabor!$F$21,MAX(Nonlabor!$F$21,IF(Nonlabor!$E$21="AI",Assumptions!$C$24,Assumptions!$C$25)))),AND(Nonlabor!$H$21="Annual",MOD(C931-IF(Nonlabor!$E$21="Core",Nonlabor!$F$21,MAX(Nonlabor!$F$21,IF(Nonlabor!$E$21="AI",Assumptions!$C$24,Assumptions!$C$25))),12)=0))),IF(Nonlabor!$I$21="Fixed",1,IF(Nonlabor!$I$21="Seats",ROUNDUP('Monthly Lean'!I31,0),IF(Nonlabor!$I$21="Customers",'Monthly Lean'!D31,IF(Nonlabor!$I$21="NewCustomers",'Monthly Lean'!C31,IF(Nonlabor!$I$21="StorageGB",'Monthly Lean'!G31,IF(Nonlabor!$I$21="LogGB",'Monthly Lean'!H31,IF(Nonlabor!$I$21="RequestsM",'Monthly Lean'!F31,IF(Nonlabor!$I$21="InputM",'Monthly Lean'!D31*Assumptions!$C$22/1000000,IF(Nonlabor!$I$21="OutputM",'Monthly Lean'!D31*Assumptions!$C$23/1000000,0))))))))),0)</f>
        <v>1</v>
      </c>
      <c r="F931" s="10" t="n">
        <f aca="false">Nonlabor!$J$21*(1+Assumptions!$C$9)^INT((C931-1)/12)</f>
        <v>106.09</v>
      </c>
      <c r="G931" s="10" t="n">
        <f aca="false">E931*F931</f>
        <v>106.09</v>
      </c>
      <c r="H931" s="10" t="n">
        <f aca="false">IF(OR(Nonlabor!$L$21="Quote required",Nonlabor!$L$21="Unverified"),G931,0)</f>
        <v>0</v>
      </c>
      <c r="I931" s="10" t="n">
        <f aca="false">IF(Nonlabor!$E$21="Core",0,G931)</f>
        <v>0</v>
      </c>
      <c r="J931" s="23" t="str">
        <f aca="false">Nonlabor!$B$21</f>
        <v>SUPPORT</v>
      </c>
    </row>
    <row r="932" customFormat="false" ht="15" hidden="false" customHeight="false" outlineLevel="0" collapsed="false">
      <c r="A932" s="6" t="s">
        <v>72</v>
      </c>
      <c r="B932" s="6" t="s">
        <v>53</v>
      </c>
      <c r="C932" s="6" t="n">
        <v>27</v>
      </c>
      <c r="D932" s="25" t="n">
        <f aca="false">EDATE('Start Here'!$B$6,C932-1)</f>
        <v>47119</v>
      </c>
      <c r="E932" s="23" t="n">
        <f aca="false">IF(AND(OR(Nonlabor!$D$21="Both",Nonlabor!$D$21='Start Here'!$B$9),IF(Nonlabor!$E$21="Core",1,IF(Nonlabor!$E$21="AI",'Start Here'!$B$7,'Start Here'!$B$8))=1,C932&gt;=IF(Nonlabor!$E$21="Core",Nonlabor!$F$21,MAX(Nonlabor!$F$21,IF(Nonlabor!$E$21="AI",Assumptions!$C$24,Assumptions!$C$25))),C932&lt;=Nonlabor!$G$21,OR(Nonlabor!$H$21="Monthly",AND(Nonlabor!$H$21="Once",C932=IF(Nonlabor!$E$21="Core",Nonlabor!$F$21,MAX(Nonlabor!$F$21,IF(Nonlabor!$E$21="AI",Assumptions!$C$24,Assumptions!$C$25)))),AND(Nonlabor!$H$21="Annual",MOD(C932-IF(Nonlabor!$E$21="Core",Nonlabor!$F$21,MAX(Nonlabor!$F$21,IF(Nonlabor!$E$21="AI",Assumptions!$C$24,Assumptions!$C$25))),12)=0))),IF(Nonlabor!$I$21="Fixed",1,IF(Nonlabor!$I$21="Seats",ROUNDUP('Monthly Lean'!I32,0),IF(Nonlabor!$I$21="Customers",'Monthly Lean'!D32,IF(Nonlabor!$I$21="NewCustomers",'Monthly Lean'!C32,IF(Nonlabor!$I$21="StorageGB",'Monthly Lean'!G32,IF(Nonlabor!$I$21="LogGB",'Monthly Lean'!H32,IF(Nonlabor!$I$21="RequestsM",'Monthly Lean'!F32,IF(Nonlabor!$I$21="InputM",'Monthly Lean'!D32*Assumptions!$C$22/1000000,IF(Nonlabor!$I$21="OutputM",'Monthly Lean'!D32*Assumptions!$C$23/1000000,0))))))))),0)</f>
        <v>1</v>
      </c>
      <c r="F932" s="10" t="n">
        <f aca="false">Nonlabor!$J$21*(1+Assumptions!$C$9)^INT((C932-1)/12)</f>
        <v>106.09</v>
      </c>
      <c r="G932" s="10" t="n">
        <f aca="false">E932*F932</f>
        <v>106.09</v>
      </c>
      <c r="H932" s="10" t="n">
        <f aca="false">IF(OR(Nonlabor!$L$21="Quote required",Nonlabor!$L$21="Unverified"),G932,0)</f>
        <v>0</v>
      </c>
      <c r="I932" s="10" t="n">
        <f aca="false">IF(Nonlabor!$E$21="Core",0,G932)</f>
        <v>0</v>
      </c>
      <c r="J932" s="23" t="str">
        <f aca="false">Nonlabor!$B$21</f>
        <v>SUPPORT</v>
      </c>
    </row>
    <row r="933" customFormat="false" ht="15" hidden="false" customHeight="false" outlineLevel="0" collapsed="false">
      <c r="A933" s="6" t="s">
        <v>72</v>
      </c>
      <c r="B933" s="6" t="s">
        <v>53</v>
      </c>
      <c r="C933" s="6" t="n">
        <v>28</v>
      </c>
      <c r="D933" s="25" t="n">
        <f aca="false">EDATE('Start Here'!$B$6,C933-1)</f>
        <v>47150</v>
      </c>
      <c r="E933" s="23" t="n">
        <f aca="false">IF(AND(OR(Nonlabor!$D$21="Both",Nonlabor!$D$21='Start Here'!$B$9),IF(Nonlabor!$E$21="Core",1,IF(Nonlabor!$E$21="AI",'Start Here'!$B$7,'Start Here'!$B$8))=1,C933&gt;=IF(Nonlabor!$E$21="Core",Nonlabor!$F$21,MAX(Nonlabor!$F$21,IF(Nonlabor!$E$21="AI",Assumptions!$C$24,Assumptions!$C$25))),C933&lt;=Nonlabor!$G$21,OR(Nonlabor!$H$21="Monthly",AND(Nonlabor!$H$21="Once",C933=IF(Nonlabor!$E$21="Core",Nonlabor!$F$21,MAX(Nonlabor!$F$21,IF(Nonlabor!$E$21="AI",Assumptions!$C$24,Assumptions!$C$25)))),AND(Nonlabor!$H$21="Annual",MOD(C933-IF(Nonlabor!$E$21="Core",Nonlabor!$F$21,MAX(Nonlabor!$F$21,IF(Nonlabor!$E$21="AI",Assumptions!$C$24,Assumptions!$C$25))),12)=0))),IF(Nonlabor!$I$21="Fixed",1,IF(Nonlabor!$I$21="Seats",ROUNDUP('Monthly Lean'!I33,0),IF(Nonlabor!$I$21="Customers",'Monthly Lean'!D33,IF(Nonlabor!$I$21="NewCustomers",'Monthly Lean'!C33,IF(Nonlabor!$I$21="StorageGB",'Monthly Lean'!G33,IF(Nonlabor!$I$21="LogGB",'Monthly Lean'!H33,IF(Nonlabor!$I$21="RequestsM",'Monthly Lean'!F33,IF(Nonlabor!$I$21="InputM",'Monthly Lean'!D33*Assumptions!$C$22/1000000,IF(Nonlabor!$I$21="OutputM",'Monthly Lean'!D33*Assumptions!$C$23/1000000,0))))))))),0)</f>
        <v>1</v>
      </c>
      <c r="F933" s="10" t="n">
        <f aca="false">Nonlabor!$J$21*(1+Assumptions!$C$9)^INT((C933-1)/12)</f>
        <v>106.09</v>
      </c>
      <c r="G933" s="10" t="n">
        <f aca="false">E933*F933</f>
        <v>106.09</v>
      </c>
      <c r="H933" s="10" t="n">
        <f aca="false">IF(OR(Nonlabor!$L$21="Quote required",Nonlabor!$L$21="Unverified"),G933,0)</f>
        <v>0</v>
      </c>
      <c r="I933" s="10" t="n">
        <f aca="false">IF(Nonlabor!$E$21="Core",0,G933)</f>
        <v>0</v>
      </c>
      <c r="J933" s="23" t="str">
        <f aca="false">Nonlabor!$B$21</f>
        <v>SUPPORT</v>
      </c>
    </row>
    <row r="934" customFormat="false" ht="15" hidden="false" customHeight="false" outlineLevel="0" collapsed="false">
      <c r="A934" s="6" t="s">
        <v>72</v>
      </c>
      <c r="B934" s="6" t="s">
        <v>53</v>
      </c>
      <c r="C934" s="6" t="n">
        <v>29</v>
      </c>
      <c r="D934" s="25" t="n">
        <f aca="false">EDATE('Start Here'!$B$6,C934-1)</f>
        <v>47178</v>
      </c>
      <c r="E934" s="23" t="n">
        <f aca="false">IF(AND(OR(Nonlabor!$D$21="Both",Nonlabor!$D$21='Start Here'!$B$9),IF(Nonlabor!$E$21="Core",1,IF(Nonlabor!$E$21="AI",'Start Here'!$B$7,'Start Here'!$B$8))=1,C934&gt;=IF(Nonlabor!$E$21="Core",Nonlabor!$F$21,MAX(Nonlabor!$F$21,IF(Nonlabor!$E$21="AI",Assumptions!$C$24,Assumptions!$C$25))),C934&lt;=Nonlabor!$G$21,OR(Nonlabor!$H$21="Monthly",AND(Nonlabor!$H$21="Once",C934=IF(Nonlabor!$E$21="Core",Nonlabor!$F$21,MAX(Nonlabor!$F$21,IF(Nonlabor!$E$21="AI",Assumptions!$C$24,Assumptions!$C$25)))),AND(Nonlabor!$H$21="Annual",MOD(C934-IF(Nonlabor!$E$21="Core",Nonlabor!$F$21,MAX(Nonlabor!$F$21,IF(Nonlabor!$E$21="AI",Assumptions!$C$24,Assumptions!$C$25))),12)=0))),IF(Nonlabor!$I$21="Fixed",1,IF(Nonlabor!$I$21="Seats",ROUNDUP('Monthly Lean'!I34,0),IF(Nonlabor!$I$21="Customers",'Monthly Lean'!D34,IF(Nonlabor!$I$21="NewCustomers",'Monthly Lean'!C34,IF(Nonlabor!$I$21="StorageGB",'Monthly Lean'!G34,IF(Nonlabor!$I$21="LogGB",'Monthly Lean'!H34,IF(Nonlabor!$I$21="RequestsM",'Monthly Lean'!F34,IF(Nonlabor!$I$21="InputM",'Monthly Lean'!D34*Assumptions!$C$22/1000000,IF(Nonlabor!$I$21="OutputM",'Monthly Lean'!D34*Assumptions!$C$23/1000000,0))))))))),0)</f>
        <v>1</v>
      </c>
      <c r="F934" s="10" t="n">
        <f aca="false">Nonlabor!$J$21*(1+Assumptions!$C$9)^INT((C934-1)/12)</f>
        <v>106.09</v>
      </c>
      <c r="G934" s="10" t="n">
        <f aca="false">E934*F934</f>
        <v>106.09</v>
      </c>
      <c r="H934" s="10" t="n">
        <f aca="false">IF(OR(Nonlabor!$L$21="Quote required",Nonlabor!$L$21="Unverified"),G934,0)</f>
        <v>0</v>
      </c>
      <c r="I934" s="10" t="n">
        <f aca="false">IF(Nonlabor!$E$21="Core",0,G934)</f>
        <v>0</v>
      </c>
      <c r="J934" s="23" t="str">
        <f aca="false">Nonlabor!$B$21</f>
        <v>SUPPORT</v>
      </c>
    </row>
    <row r="935" customFormat="false" ht="15" hidden="false" customHeight="false" outlineLevel="0" collapsed="false">
      <c r="A935" s="6" t="s">
        <v>72</v>
      </c>
      <c r="B935" s="6" t="s">
        <v>53</v>
      </c>
      <c r="C935" s="6" t="n">
        <v>30</v>
      </c>
      <c r="D935" s="25" t="n">
        <f aca="false">EDATE('Start Here'!$B$6,C935-1)</f>
        <v>47209</v>
      </c>
      <c r="E935" s="23" t="n">
        <f aca="false">IF(AND(OR(Nonlabor!$D$21="Both",Nonlabor!$D$21='Start Here'!$B$9),IF(Nonlabor!$E$21="Core",1,IF(Nonlabor!$E$21="AI",'Start Here'!$B$7,'Start Here'!$B$8))=1,C935&gt;=IF(Nonlabor!$E$21="Core",Nonlabor!$F$21,MAX(Nonlabor!$F$21,IF(Nonlabor!$E$21="AI",Assumptions!$C$24,Assumptions!$C$25))),C935&lt;=Nonlabor!$G$21,OR(Nonlabor!$H$21="Monthly",AND(Nonlabor!$H$21="Once",C935=IF(Nonlabor!$E$21="Core",Nonlabor!$F$21,MAX(Nonlabor!$F$21,IF(Nonlabor!$E$21="AI",Assumptions!$C$24,Assumptions!$C$25)))),AND(Nonlabor!$H$21="Annual",MOD(C935-IF(Nonlabor!$E$21="Core",Nonlabor!$F$21,MAX(Nonlabor!$F$21,IF(Nonlabor!$E$21="AI",Assumptions!$C$24,Assumptions!$C$25))),12)=0))),IF(Nonlabor!$I$21="Fixed",1,IF(Nonlabor!$I$21="Seats",ROUNDUP('Monthly Lean'!I35,0),IF(Nonlabor!$I$21="Customers",'Monthly Lean'!D35,IF(Nonlabor!$I$21="NewCustomers",'Monthly Lean'!C35,IF(Nonlabor!$I$21="StorageGB",'Monthly Lean'!G35,IF(Nonlabor!$I$21="LogGB",'Monthly Lean'!H35,IF(Nonlabor!$I$21="RequestsM",'Monthly Lean'!F35,IF(Nonlabor!$I$21="InputM",'Monthly Lean'!D35*Assumptions!$C$22/1000000,IF(Nonlabor!$I$21="OutputM",'Monthly Lean'!D35*Assumptions!$C$23/1000000,0))))))))),0)</f>
        <v>1</v>
      </c>
      <c r="F935" s="10" t="n">
        <f aca="false">Nonlabor!$J$21*(1+Assumptions!$C$9)^INT((C935-1)/12)</f>
        <v>106.09</v>
      </c>
      <c r="G935" s="10" t="n">
        <f aca="false">E935*F935</f>
        <v>106.09</v>
      </c>
      <c r="H935" s="10" t="n">
        <f aca="false">IF(OR(Nonlabor!$L$21="Quote required",Nonlabor!$L$21="Unverified"),G935,0)</f>
        <v>0</v>
      </c>
      <c r="I935" s="10" t="n">
        <f aca="false">IF(Nonlabor!$E$21="Core",0,G935)</f>
        <v>0</v>
      </c>
      <c r="J935" s="23" t="str">
        <f aca="false">Nonlabor!$B$21</f>
        <v>SUPPORT</v>
      </c>
    </row>
    <row r="936" customFormat="false" ht="15" hidden="false" customHeight="false" outlineLevel="0" collapsed="false">
      <c r="A936" s="6" t="s">
        <v>72</v>
      </c>
      <c r="B936" s="6" t="s">
        <v>53</v>
      </c>
      <c r="C936" s="6" t="n">
        <v>31</v>
      </c>
      <c r="D936" s="25" t="n">
        <f aca="false">EDATE('Start Here'!$B$6,C936-1)</f>
        <v>47239</v>
      </c>
      <c r="E936" s="23" t="n">
        <f aca="false">IF(AND(OR(Nonlabor!$D$21="Both",Nonlabor!$D$21='Start Here'!$B$9),IF(Nonlabor!$E$21="Core",1,IF(Nonlabor!$E$21="AI",'Start Here'!$B$7,'Start Here'!$B$8))=1,C936&gt;=IF(Nonlabor!$E$21="Core",Nonlabor!$F$21,MAX(Nonlabor!$F$21,IF(Nonlabor!$E$21="AI",Assumptions!$C$24,Assumptions!$C$25))),C936&lt;=Nonlabor!$G$21,OR(Nonlabor!$H$21="Monthly",AND(Nonlabor!$H$21="Once",C936=IF(Nonlabor!$E$21="Core",Nonlabor!$F$21,MAX(Nonlabor!$F$21,IF(Nonlabor!$E$21="AI",Assumptions!$C$24,Assumptions!$C$25)))),AND(Nonlabor!$H$21="Annual",MOD(C936-IF(Nonlabor!$E$21="Core",Nonlabor!$F$21,MAX(Nonlabor!$F$21,IF(Nonlabor!$E$21="AI",Assumptions!$C$24,Assumptions!$C$25))),12)=0))),IF(Nonlabor!$I$21="Fixed",1,IF(Nonlabor!$I$21="Seats",ROUNDUP('Monthly Lean'!I36,0),IF(Nonlabor!$I$21="Customers",'Monthly Lean'!D36,IF(Nonlabor!$I$21="NewCustomers",'Monthly Lean'!C36,IF(Nonlabor!$I$21="StorageGB",'Monthly Lean'!G36,IF(Nonlabor!$I$21="LogGB",'Monthly Lean'!H36,IF(Nonlabor!$I$21="RequestsM",'Monthly Lean'!F36,IF(Nonlabor!$I$21="InputM",'Monthly Lean'!D36*Assumptions!$C$22/1000000,IF(Nonlabor!$I$21="OutputM",'Monthly Lean'!D36*Assumptions!$C$23/1000000,0))))))))),0)</f>
        <v>1</v>
      </c>
      <c r="F936" s="10" t="n">
        <f aca="false">Nonlabor!$J$21*(1+Assumptions!$C$9)^INT((C936-1)/12)</f>
        <v>106.09</v>
      </c>
      <c r="G936" s="10" t="n">
        <f aca="false">E936*F936</f>
        <v>106.09</v>
      </c>
      <c r="H936" s="10" t="n">
        <f aca="false">IF(OR(Nonlabor!$L$21="Quote required",Nonlabor!$L$21="Unverified"),G936,0)</f>
        <v>0</v>
      </c>
      <c r="I936" s="10" t="n">
        <f aca="false">IF(Nonlabor!$E$21="Core",0,G936)</f>
        <v>0</v>
      </c>
      <c r="J936" s="23" t="str">
        <f aca="false">Nonlabor!$B$21</f>
        <v>SUPPORT</v>
      </c>
    </row>
    <row r="937" customFormat="false" ht="15" hidden="false" customHeight="false" outlineLevel="0" collapsed="false">
      <c r="A937" s="6" t="s">
        <v>72</v>
      </c>
      <c r="B937" s="6" t="s">
        <v>53</v>
      </c>
      <c r="C937" s="6" t="n">
        <v>32</v>
      </c>
      <c r="D937" s="25" t="n">
        <f aca="false">EDATE('Start Here'!$B$6,C937-1)</f>
        <v>47270</v>
      </c>
      <c r="E937" s="23" t="n">
        <f aca="false">IF(AND(OR(Nonlabor!$D$21="Both",Nonlabor!$D$21='Start Here'!$B$9),IF(Nonlabor!$E$21="Core",1,IF(Nonlabor!$E$21="AI",'Start Here'!$B$7,'Start Here'!$B$8))=1,C937&gt;=IF(Nonlabor!$E$21="Core",Nonlabor!$F$21,MAX(Nonlabor!$F$21,IF(Nonlabor!$E$21="AI",Assumptions!$C$24,Assumptions!$C$25))),C937&lt;=Nonlabor!$G$21,OR(Nonlabor!$H$21="Monthly",AND(Nonlabor!$H$21="Once",C937=IF(Nonlabor!$E$21="Core",Nonlabor!$F$21,MAX(Nonlabor!$F$21,IF(Nonlabor!$E$21="AI",Assumptions!$C$24,Assumptions!$C$25)))),AND(Nonlabor!$H$21="Annual",MOD(C937-IF(Nonlabor!$E$21="Core",Nonlabor!$F$21,MAX(Nonlabor!$F$21,IF(Nonlabor!$E$21="AI",Assumptions!$C$24,Assumptions!$C$25))),12)=0))),IF(Nonlabor!$I$21="Fixed",1,IF(Nonlabor!$I$21="Seats",ROUNDUP('Monthly Lean'!I37,0),IF(Nonlabor!$I$21="Customers",'Monthly Lean'!D37,IF(Nonlabor!$I$21="NewCustomers",'Monthly Lean'!C37,IF(Nonlabor!$I$21="StorageGB",'Monthly Lean'!G37,IF(Nonlabor!$I$21="LogGB",'Monthly Lean'!H37,IF(Nonlabor!$I$21="RequestsM",'Monthly Lean'!F37,IF(Nonlabor!$I$21="InputM",'Monthly Lean'!D37*Assumptions!$C$22/1000000,IF(Nonlabor!$I$21="OutputM",'Monthly Lean'!D37*Assumptions!$C$23/1000000,0))))))))),0)</f>
        <v>1</v>
      </c>
      <c r="F937" s="10" t="n">
        <f aca="false">Nonlabor!$J$21*(1+Assumptions!$C$9)^INT((C937-1)/12)</f>
        <v>106.09</v>
      </c>
      <c r="G937" s="10" t="n">
        <f aca="false">E937*F937</f>
        <v>106.09</v>
      </c>
      <c r="H937" s="10" t="n">
        <f aca="false">IF(OR(Nonlabor!$L$21="Quote required",Nonlabor!$L$21="Unverified"),G937,0)</f>
        <v>0</v>
      </c>
      <c r="I937" s="10" t="n">
        <f aca="false">IF(Nonlabor!$E$21="Core",0,G937)</f>
        <v>0</v>
      </c>
      <c r="J937" s="23" t="str">
        <f aca="false">Nonlabor!$B$21</f>
        <v>SUPPORT</v>
      </c>
    </row>
    <row r="938" customFormat="false" ht="15" hidden="false" customHeight="false" outlineLevel="0" collapsed="false">
      <c r="A938" s="6" t="s">
        <v>72</v>
      </c>
      <c r="B938" s="6" t="s">
        <v>53</v>
      </c>
      <c r="C938" s="6" t="n">
        <v>33</v>
      </c>
      <c r="D938" s="25" t="n">
        <f aca="false">EDATE('Start Here'!$B$6,C938-1)</f>
        <v>47300</v>
      </c>
      <c r="E938" s="23" t="n">
        <f aca="false">IF(AND(OR(Nonlabor!$D$21="Both",Nonlabor!$D$21='Start Here'!$B$9),IF(Nonlabor!$E$21="Core",1,IF(Nonlabor!$E$21="AI",'Start Here'!$B$7,'Start Here'!$B$8))=1,C938&gt;=IF(Nonlabor!$E$21="Core",Nonlabor!$F$21,MAX(Nonlabor!$F$21,IF(Nonlabor!$E$21="AI",Assumptions!$C$24,Assumptions!$C$25))),C938&lt;=Nonlabor!$G$21,OR(Nonlabor!$H$21="Monthly",AND(Nonlabor!$H$21="Once",C938=IF(Nonlabor!$E$21="Core",Nonlabor!$F$21,MAX(Nonlabor!$F$21,IF(Nonlabor!$E$21="AI",Assumptions!$C$24,Assumptions!$C$25)))),AND(Nonlabor!$H$21="Annual",MOD(C938-IF(Nonlabor!$E$21="Core",Nonlabor!$F$21,MAX(Nonlabor!$F$21,IF(Nonlabor!$E$21="AI",Assumptions!$C$24,Assumptions!$C$25))),12)=0))),IF(Nonlabor!$I$21="Fixed",1,IF(Nonlabor!$I$21="Seats",ROUNDUP('Monthly Lean'!I38,0),IF(Nonlabor!$I$21="Customers",'Monthly Lean'!D38,IF(Nonlabor!$I$21="NewCustomers",'Monthly Lean'!C38,IF(Nonlabor!$I$21="StorageGB",'Monthly Lean'!G38,IF(Nonlabor!$I$21="LogGB",'Monthly Lean'!H38,IF(Nonlabor!$I$21="RequestsM",'Monthly Lean'!F38,IF(Nonlabor!$I$21="InputM",'Monthly Lean'!D38*Assumptions!$C$22/1000000,IF(Nonlabor!$I$21="OutputM",'Monthly Lean'!D38*Assumptions!$C$23/1000000,0))))))))),0)</f>
        <v>1</v>
      </c>
      <c r="F938" s="10" t="n">
        <f aca="false">Nonlabor!$J$21*(1+Assumptions!$C$9)^INT((C938-1)/12)</f>
        <v>106.09</v>
      </c>
      <c r="G938" s="10" t="n">
        <f aca="false">E938*F938</f>
        <v>106.09</v>
      </c>
      <c r="H938" s="10" t="n">
        <f aca="false">IF(OR(Nonlabor!$L$21="Quote required",Nonlabor!$L$21="Unverified"),G938,0)</f>
        <v>0</v>
      </c>
      <c r="I938" s="10" t="n">
        <f aca="false">IF(Nonlabor!$E$21="Core",0,G938)</f>
        <v>0</v>
      </c>
      <c r="J938" s="23" t="str">
        <f aca="false">Nonlabor!$B$21</f>
        <v>SUPPORT</v>
      </c>
    </row>
    <row r="939" customFormat="false" ht="15" hidden="false" customHeight="false" outlineLevel="0" collapsed="false">
      <c r="A939" s="6" t="s">
        <v>72</v>
      </c>
      <c r="B939" s="6" t="s">
        <v>53</v>
      </c>
      <c r="C939" s="6" t="n">
        <v>34</v>
      </c>
      <c r="D939" s="25" t="n">
        <f aca="false">EDATE('Start Here'!$B$6,C939-1)</f>
        <v>47331</v>
      </c>
      <c r="E939" s="23" t="n">
        <f aca="false">IF(AND(OR(Nonlabor!$D$21="Both",Nonlabor!$D$21='Start Here'!$B$9),IF(Nonlabor!$E$21="Core",1,IF(Nonlabor!$E$21="AI",'Start Here'!$B$7,'Start Here'!$B$8))=1,C939&gt;=IF(Nonlabor!$E$21="Core",Nonlabor!$F$21,MAX(Nonlabor!$F$21,IF(Nonlabor!$E$21="AI",Assumptions!$C$24,Assumptions!$C$25))),C939&lt;=Nonlabor!$G$21,OR(Nonlabor!$H$21="Monthly",AND(Nonlabor!$H$21="Once",C939=IF(Nonlabor!$E$21="Core",Nonlabor!$F$21,MAX(Nonlabor!$F$21,IF(Nonlabor!$E$21="AI",Assumptions!$C$24,Assumptions!$C$25)))),AND(Nonlabor!$H$21="Annual",MOD(C939-IF(Nonlabor!$E$21="Core",Nonlabor!$F$21,MAX(Nonlabor!$F$21,IF(Nonlabor!$E$21="AI",Assumptions!$C$24,Assumptions!$C$25))),12)=0))),IF(Nonlabor!$I$21="Fixed",1,IF(Nonlabor!$I$21="Seats",ROUNDUP('Monthly Lean'!I39,0),IF(Nonlabor!$I$21="Customers",'Monthly Lean'!D39,IF(Nonlabor!$I$21="NewCustomers",'Monthly Lean'!C39,IF(Nonlabor!$I$21="StorageGB",'Monthly Lean'!G39,IF(Nonlabor!$I$21="LogGB",'Monthly Lean'!H39,IF(Nonlabor!$I$21="RequestsM",'Monthly Lean'!F39,IF(Nonlabor!$I$21="InputM",'Monthly Lean'!D39*Assumptions!$C$22/1000000,IF(Nonlabor!$I$21="OutputM",'Monthly Lean'!D39*Assumptions!$C$23/1000000,0))))))))),0)</f>
        <v>1</v>
      </c>
      <c r="F939" s="10" t="n">
        <f aca="false">Nonlabor!$J$21*(1+Assumptions!$C$9)^INT((C939-1)/12)</f>
        <v>106.09</v>
      </c>
      <c r="G939" s="10" t="n">
        <f aca="false">E939*F939</f>
        <v>106.09</v>
      </c>
      <c r="H939" s="10" t="n">
        <f aca="false">IF(OR(Nonlabor!$L$21="Quote required",Nonlabor!$L$21="Unverified"),G939,0)</f>
        <v>0</v>
      </c>
      <c r="I939" s="10" t="n">
        <f aca="false">IF(Nonlabor!$E$21="Core",0,G939)</f>
        <v>0</v>
      </c>
      <c r="J939" s="23" t="str">
        <f aca="false">Nonlabor!$B$21</f>
        <v>SUPPORT</v>
      </c>
    </row>
    <row r="940" customFormat="false" ht="15" hidden="false" customHeight="false" outlineLevel="0" collapsed="false">
      <c r="A940" s="6" t="s">
        <v>72</v>
      </c>
      <c r="B940" s="6" t="s">
        <v>53</v>
      </c>
      <c r="C940" s="6" t="n">
        <v>35</v>
      </c>
      <c r="D940" s="25" t="n">
        <f aca="false">EDATE('Start Here'!$B$6,C940-1)</f>
        <v>47362</v>
      </c>
      <c r="E940" s="23" t="n">
        <f aca="false">IF(AND(OR(Nonlabor!$D$21="Both",Nonlabor!$D$21='Start Here'!$B$9),IF(Nonlabor!$E$21="Core",1,IF(Nonlabor!$E$21="AI",'Start Here'!$B$7,'Start Here'!$B$8))=1,C940&gt;=IF(Nonlabor!$E$21="Core",Nonlabor!$F$21,MAX(Nonlabor!$F$21,IF(Nonlabor!$E$21="AI",Assumptions!$C$24,Assumptions!$C$25))),C940&lt;=Nonlabor!$G$21,OR(Nonlabor!$H$21="Monthly",AND(Nonlabor!$H$21="Once",C940=IF(Nonlabor!$E$21="Core",Nonlabor!$F$21,MAX(Nonlabor!$F$21,IF(Nonlabor!$E$21="AI",Assumptions!$C$24,Assumptions!$C$25)))),AND(Nonlabor!$H$21="Annual",MOD(C940-IF(Nonlabor!$E$21="Core",Nonlabor!$F$21,MAX(Nonlabor!$F$21,IF(Nonlabor!$E$21="AI",Assumptions!$C$24,Assumptions!$C$25))),12)=0))),IF(Nonlabor!$I$21="Fixed",1,IF(Nonlabor!$I$21="Seats",ROUNDUP('Monthly Lean'!I40,0),IF(Nonlabor!$I$21="Customers",'Monthly Lean'!D40,IF(Nonlabor!$I$21="NewCustomers",'Monthly Lean'!C40,IF(Nonlabor!$I$21="StorageGB",'Monthly Lean'!G40,IF(Nonlabor!$I$21="LogGB",'Monthly Lean'!H40,IF(Nonlabor!$I$21="RequestsM",'Monthly Lean'!F40,IF(Nonlabor!$I$21="InputM",'Monthly Lean'!D40*Assumptions!$C$22/1000000,IF(Nonlabor!$I$21="OutputM",'Monthly Lean'!D40*Assumptions!$C$23/1000000,0))))))))),0)</f>
        <v>1</v>
      </c>
      <c r="F940" s="10" t="n">
        <f aca="false">Nonlabor!$J$21*(1+Assumptions!$C$9)^INT((C940-1)/12)</f>
        <v>106.09</v>
      </c>
      <c r="G940" s="10" t="n">
        <f aca="false">E940*F940</f>
        <v>106.09</v>
      </c>
      <c r="H940" s="10" t="n">
        <f aca="false">IF(OR(Nonlabor!$L$21="Quote required",Nonlabor!$L$21="Unverified"),G940,0)</f>
        <v>0</v>
      </c>
      <c r="I940" s="10" t="n">
        <f aca="false">IF(Nonlabor!$E$21="Core",0,G940)</f>
        <v>0</v>
      </c>
      <c r="J940" s="23" t="str">
        <f aca="false">Nonlabor!$B$21</f>
        <v>SUPPORT</v>
      </c>
    </row>
    <row r="941" customFormat="false" ht="15" hidden="false" customHeight="false" outlineLevel="0" collapsed="false">
      <c r="A941" s="6" t="s">
        <v>72</v>
      </c>
      <c r="B941" s="6" t="s">
        <v>53</v>
      </c>
      <c r="C941" s="6" t="n">
        <v>36</v>
      </c>
      <c r="D941" s="25" t="n">
        <f aca="false">EDATE('Start Here'!$B$6,C941-1)</f>
        <v>47392</v>
      </c>
      <c r="E941" s="23" t="n">
        <f aca="false">IF(AND(OR(Nonlabor!$D$21="Both",Nonlabor!$D$21='Start Here'!$B$9),IF(Nonlabor!$E$21="Core",1,IF(Nonlabor!$E$21="AI",'Start Here'!$B$7,'Start Here'!$B$8))=1,C941&gt;=IF(Nonlabor!$E$21="Core",Nonlabor!$F$21,MAX(Nonlabor!$F$21,IF(Nonlabor!$E$21="AI",Assumptions!$C$24,Assumptions!$C$25))),C941&lt;=Nonlabor!$G$21,OR(Nonlabor!$H$21="Monthly",AND(Nonlabor!$H$21="Once",C941=IF(Nonlabor!$E$21="Core",Nonlabor!$F$21,MAX(Nonlabor!$F$21,IF(Nonlabor!$E$21="AI",Assumptions!$C$24,Assumptions!$C$25)))),AND(Nonlabor!$H$21="Annual",MOD(C941-IF(Nonlabor!$E$21="Core",Nonlabor!$F$21,MAX(Nonlabor!$F$21,IF(Nonlabor!$E$21="AI",Assumptions!$C$24,Assumptions!$C$25))),12)=0))),IF(Nonlabor!$I$21="Fixed",1,IF(Nonlabor!$I$21="Seats",ROUNDUP('Monthly Lean'!I41,0),IF(Nonlabor!$I$21="Customers",'Monthly Lean'!D41,IF(Nonlabor!$I$21="NewCustomers",'Monthly Lean'!C41,IF(Nonlabor!$I$21="StorageGB",'Monthly Lean'!G41,IF(Nonlabor!$I$21="LogGB",'Monthly Lean'!H41,IF(Nonlabor!$I$21="RequestsM",'Monthly Lean'!F41,IF(Nonlabor!$I$21="InputM",'Monthly Lean'!D41*Assumptions!$C$22/1000000,IF(Nonlabor!$I$21="OutputM",'Monthly Lean'!D41*Assumptions!$C$23/1000000,0))))))))),0)</f>
        <v>1</v>
      </c>
      <c r="F941" s="10" t="n">
        <f aca="false">Nonlabor!$J$21*(1+Assumptions!$C$9)^INT((C941-1)/12)</f>
        <v>106.09</v>
      </c>
      <c r="G941" s="10" t="n">
        <f aca="false">E941*F941</f>
        <v>106.09</v>
      </c>
      <c r="H941" s="10" t="n">
        <f aca="false">IF(OR(Nonlabor!$L$21="Quote required",Nonlabor!$L$21="Unverified"),G941,0)</f>
        <v>0</v>
      </c>
      <c r="I941" s="10" t="n">
        <f aca="false">IF(Nonlabor!$E$21="Core",0,G941)</f>
        <v>0</v>
      </c>
      <c r="J941" s="23" t="str">
        <f aca="false">Nonlabor!$B$21</f>
        <v>SUPPORT</v>
      </c>
    </row>
    <row r="942" customFormat="false" ht="15" hidden="false" customHeight="false" outlineLevel="0" collapsed="false">
      <c r="A942" s="6" t="s">
        <v>72</v>
      </c>
      <c r="B942" s="6" t="s">
        <v>53</v>
      </c>
      <c r="C942" s="6" t="n">
        <v>37</v>
      </c>
      <c r="D942" s="25" t="n">
        <f aca="false">EDATE('Start Here'!$B$6,C942-1)</f>
        <v>47423</v>
      </c>
      <c r="E942" s="23" t="n">
        <f aca="false">IF(AND(OR(Nonlabor!$D$21="Both",Nonlabor!$D$21='Start Here'!$B$9),IF(Nonlabor!$E$21="Core",1,IF(Nonlabor!$E$21="AI",'Start Here'!$B$7,'Start Here'!$B$8))=1,C942&gt;=IF(Nonlabor!$E$21="Core",Nonlabor!$F$21,MAX(Nonlabor!$F$21,IF(Nonlabor!$E$21="AI",Assumptions!$C$24,Assumptions!$C$25))),C942&lt;=Nonlabor!$G$21,OR(Nonlabor!$H$21="Monthly",AND(Nonlabor!$H$21="Once",C942=IF(Nonlabor!$E$21="Core",Nonlabor!$F$21,MAX(Nonlabor!$F$21,IF(Nonlabor!$E$21="AI",Assumptions!$C$24,Assumptions!$C$25)))),AND(Nonlabor!$H$21="Annual",MOD(C942-IF(Nonlabor!$E$21="Core",Nonlabor!$F$21,MAX(Nonlabor!$F$21,IF(Nonlabor!$E$21="AI",Assumptions!$C$24,Assumptions!$C$25))),12)=0))),IF(Nonlabor!$I$21="Fixed",1,IF(Nonlabor!$I$21="Seats",ROUNDUP('Monthly Lean'!I42,0),IF(Nonlabor!$I$21="Customers",'Monthly Lean'!D42,IF(Nonlabor!$I$21="NewCustomers",'Monthly Lean'!C42,IF(Nonlabor!$I$21="StorageGB",'Monthly Lean'!G42,IF(Nonlabor!$I$21="LogGB",'Monthly Lean'!H42,IF(Nonlabor!$I$21="RequestsM",'Monthly Lean'!F42,IF(Nonlabor!$I$21="InputM",'Monthly Lean'!D42*Assumptions!$C$22/1000000,IF(Nonlabor!$I$21="OutputM",'Monthly Lean'!D42*Assumptions!$C$23/1000000,0))))))))),0)</f>
        <v>1</v>
      </c>
      <c r="F942" s="10" t="n">
        <f aca="false">Nonlabor!$J$21*(1+Assumptions!$C$9)^INT((C942-1)/12)</f>
        <v>109.2727</v>
      </c>
      <c r="G942" s="10" t="n">
        <f aca="false">E942*F942</f>
        <v>109.2727</v>
      </c>
      <c r="H942" s="10" t="n">
        <f aca="false">IF(OR(Nonlabor!$L$21="Quote required",Nonlabor!$L$21="Unverified"),G942,0)</f>
        <v>0</v>
      </c>
      <c r="I942" s="10" t="n">
        <f aca="false">IF(Nonlabor!$E$21="Core",0,G942)</f>
        <v>0</v>
      </c>
      <c r="J942" s="23" t="str">
        <f aca="false">Nonlabor!$B$21</f>
        <v>SUPPORT</v>
      </c>
    </row>
    <row r="943" customFormat="false" ht="15" hidden="false" customHeight="false" outlineLevel="0" collapsed="false">
      <c r="A943" s="6" t="s">
        <v>72</v>
      </c>
      <c r="B943" s="6" t="s">
        <v>53</v>
      </c>
      <c r="C943" s="6" t="n">
        <v>38</v>
      </c>
      <c r="D943" s="25" t="n">
        <f aca="false">EDATE('Start Here'!$B$6,C943-1)</f>
        <v>47453</v>
      </c>
      <c r="E943" s="23" t="n">
        <f aca="false">IF(AND(OR(Nonlabor!$D$21="Both",Nonlabor!$D$21='Start Here'!$B$9),IF(Nonlabor!$E$21="Core",1,IF(Nonlabor!$E$21="AI",'Start Here'!$B$7,'Start Here'!$B$8))=1,C943&gt;=IF(Nonlabor!$E$21="Core",Nonlabor!$F$21,MAX(Nonlabor!$F$21,IF(Nonlabor!$E$21="AI",Assumptions!$C$24,Assumptions!$C$25))),C943&lt;=Nonlabor!$G$21,OR(Nonlabor!$H$21="Monthly",AND(Nonlabor!$H$21="Once",C943=IF(Nonlabor!$E$21="Core",Nonlabor!$F$21,MAX(Nonlabor!$F$21,IF(Nonlabor!$E$21="AI",Assumptions!$C$24,Assumptions!$C$25)))),AND(Nonlabor!$H$21="Annual",MOD(C943-IF(Nonlabor!$E$21="Core",Nonlabor!$F$21,MAX(Nonlabor!$F$21,IF(Nonlabor!$E$21="AI",Assumptions!$C$24,Assumptions!$C$25))),12)=0))),IF(Nonlabor!$I$21="Fixed",1,IF(Nonlabor!$I$21="Seats",ROUNDUP('Monthly Lean'!I43,0),IF(Nonlabor!$I$21="Customers",'Monthly Lean'!D43,IF(Nonlabor!$I$21="NewCustomers",'Monthly Lean'!C43,IF(Nonlabor!$I$21="StorageGB",'Monthly Lean'!G43,IF(Nonlabor!$I$21="LogGB",'Monthly Lean'!H43,IF(Nonlabor!$I$21="RequestsM",'Monthly Lean'!F43,IF(Nonlabor!$I$21="InputM",'Monthly Lean'!D43*Assumptions!$C$22/1000000,IF(Nonlabor!$I$21="OutputM",'Monthly Lean'!D43*Assumptions!$C$23/1000000,0))))))))),0)</f>
        <v>1</v>
      </c>
      <c r="F943" s="10" t="n">
        <f aca="false">Nonlabor!$J$21*(1+Assumptions!$C$9)^INT((C943-1)/12)</f>
        <v>109.2727</v>
      </c>
      <c r="G943" s="10" t="n">
        <f aca="false">E943*F943</f>
        <v>109.2727</v>
      </c>
      <c r="H943" s="10" t="n">
        <f aca="false">IF(OR(Nonlabor!$L$21="Quote required",Nonlabor!$L$21="Unverified"),G943,0)</f>
        <v>0</v>
      </c>
      <c r="I943" s="10" t="n">
        <f aca="false">IF(Nonlabor!$E$21="Core",0,G943)</f>
        <v>0</v>
      </c>
      <c r="J943" s="23" t="str">
        <f aca="false">Nonlabor!$B$21</f>
        <v>SUPPORT</v>
      </c>
    </row>
    <row r="944" customFormat="false" ht="15" hidden="false" customHeight="false" outlineLevel="0" collapsed="false">
      <c r="A944" s="6" t="s">
        <v>72</v>
      </c>
      <c r="B944" s="6" t="s">
        <v>53</v>
      </c>
      <c r="C944" s="6" t="n">
        <v>39</v>
      </c>
      <c r="D944" s="25" t="n">
        <f aca="false">EDATE('Start Here'!$B$6,C944-1)</f>
        <v>47484</v>
      </c>
      <c r="E944" s="23" t="n">
        <f aca="false">IF(AND(OR(Nonlabor!$D$21="Both",Nonlabor!$D$21='Start Here'!$B$9),IF(Nonlabor!$E$21="Core",1,IF(Nonlabor!$E$21="AI",'Start Here'!$B$7,'Start Here'!$B$8))=1,C944&gt;=IF(Nonlabor!$E$21="Core",Nonlabor!$F$21,MAX(Nonlabor!$F$21,IF(Nonlabor!$E$21="AI",Assumptions!$C$24,Assumptions!$C$25))),C944&lt;=Nonlabor!$G$21,OR(Nonlabor!$H$21="Monthly",AND(Nonlabor!$H$21="Once",C944=IF(Nonlabor!$E$21="Core",Nonlabor!$F$21,MAX(Nonlabor!$F$21,IF(Nonlabor!$E$21="AI",Assumptions!$C$24,Assumptions!$C$25)))),AND(Nonlabor!$H$21="Annual",MOD(C944-IF(Nonlabor!$E$21="Core",Nonlabor!$F$21,MAX(Nonlabor!$F$21,IF(Nonlabor!$E$21="AI",Assumptions!$C$24,Assumptions!$C$25))),12)=0))),IF(Nonlabor!$I$21="Fixed",1,IF(Nonlabor!$I$21="Seats",ROUNDUP('Monthly Lean'!I44,0),IF(Nonlabor!$I$21="Customers",'Monthly Lean'!D44,IF(Nonlabor!$I$21="NewCustomers",'Monthly Lean'!C44,IF(Nonlabor!$I$21="StorageGB",'Monthly Lean'!G44,IF(Nonlabor!$I$21="LogGB",'Monthly Lean'!H44,IF(Nonlabor!$I$21="RequestsM",'Monthly Lean'!F44,IF(Nonlabor!$I$21="InputM",'Monthly Lean'!D44*Assumptions!$C$22/1000000,IF(Nonlabor!$I$21="OutputM",'Monthly Lean'!D44*Assumptions!$C$23/1000000,0))))))))),0)</f>
        <v>1</v>
      </c>
      <c r="F944" s="10" t="n">
        <f aca="false">Nonlabor!$J$21*(1+Assumptions!$C$9)^INT((C944-1)/12)</f>
        <v>109.2727</v>
      </c>
      <c r="G944" s="10" t="n">
        <f aca="false">E944*F944</f>
        <v>109.2727</v>
      </c>
      <c r="H944" s="10" t="n">
        <f aca="false">IF(OR(Nonlabor!$L$21="Quote required",Nonlabor!$L$21="Unverified"),G944,0)</f>
        <v>0</v>
      </c>
      <c r="I944" s="10" t="n">
        <f aca="false">IF(Nonlabor!$E$21="Core",0,G944)</f>
        <v>0</v>
      </c>
      <c r="J944" s="23" t="str">
        <f aca="false">Nonlabor!$B$21</f>
        <v>SUPPORT</v>
      </c>
    </row>
    <row r="945" customFormat="false" ht="15" hidden="false" customHeight="false" outlineLevel="0" collapsed="false">
      <c r="A945" s="6" t="s">
        <v>72</v>
      </c>
      <c r="B945" s="6" t="s">
        <v>53</v>
      </c>
      <c r="C945" s="6" t="n">
        <v>40</v>
      </c>
      <c r="D945" s="25" t="n">
        <f aca="false">EDATE('Start Here'!$B$6,C945-1)</f>
        <v>47515</v>
      </c>
      <c r="E945" s="23" t="n">
        <f aca="false">IF(AND(OR(Nonlabor!$D$21="Both",Nonlabor!$D$21='Start Here'!$B$9),IF(Nonlabor!$E$21="Core",1,IF(Nonlabor!$E$21="AI",'Start Here'!$B$7,'Start Here'!$B$8))=1,C945&gt;=IF(Nonlabor!$E$21="Core",Nonlabor!$F$21,MAX(Nonlabor!$F$21,IF(Nonlabor!$E$21="AI",Assumptions!$C$24,Assumptions!$C$25))),C945&lt;=Nonlabor!$G$21,OR(Nonlabor!$H$21="Monthly",AND(Nonlabor!$H$21="Once",C945=IF(Nonlabor!$E$21="Core",Nonlabor!$F$21,MAX(Nonlabor!$F$21,IF(Nonlabor!$E$21="AI",Assumptions!$C$24,Assumptions!$C$25)))),AND(Nonlabor!$H$21="Annual",MOD(C945-IF(Nonlabor!$E$21="Core",Nonlabor!$F$21,MAX(Nonlabor!$F$21,IF(Nonlabor!$E$21="AI",Assumptions!$C$24,Assumptions!$C$25))),12)=0))),IF(Nonlabor!$I$21="Fixed",1,IF(Nonlabor!$I$21="Seats",ROUNDUP('Monthly Lean'!I45,0),IF(Nonlabor!$I$21="Customers",'Monthly Lean'!D45,IF(Nonlabor!$I$21="NewCustomers",'Monthly Lean'!C45,IF(Nonlabor!$I$21="StorageGB",'Monthly Lean'!G45,IF(Nonlabor!$I$21="LogGB",'Monthly Lean'!H45,IF(Nonlabor!$I$21="RequestsM",'Monthly Lean'!F45,IF(Nonlabor!$I$21="InputM",'Monthly Lean'!D45*Assumptions!$C$22/1000000,IF(Nonlabor!$I$21="OutputM",'Monthly Lean'!D45*Assumptions!$C$23/1000000,0))))))))),0)</f>
        <v>1</v>
      </c>
      <c r="F945" s="10" t="n">
        <f aca="false">Nonlabor!$J$21*(1+Assumptions!$C$9)^INT((C945-1)/12)</f>
        <v>109.2727</v>
      </c>
      <c r="G945" s="10" t="n">
        <f aca="false">E945*F945</f>
        <v>109.2727</v>
      </c>
      <c r="H945" s="10" t="n">
        <f aca="false">IF(OR(Nonlabor!$L$21="Quote required",Nonlabor!$L$21="Unverified"),G945,0)</f>
        <v>0</v>
      </c>
      <c r="I945" s="10" t="n">
        <f aca="false">IF(Nonlabor!$E$21="Core",0,G945)</f>
        <v>0</v>
      </c>
      <c r="J945" s="23" t="str">
        <f aca="false">Nonlabor!$B$21</f>
        <v>SUPPORT</v>
      </c>
    </row>
    <row r="946" customFormat="false" ht="15" hidden="false" customHeight="false" outlineLevel="0" collapsed="false">
      <c r="A946" s="6" t="s">
        <v>72</v>
      </c>
      <c r="B946" s="6" t="s">
        <v>53</v>
      </c>
      <c r="C946" s="6" t="n">
        <v>41</v>
      </c>
      <c r="D946" s="25" t="n">
        <f aca="false">EDATE('Start Here'!$B$6,C946-1)</f>
        <v>47543</v>
      </c>
      <c r="E946" s="23" t="n">
        <f aca="false">IF(AND(OR(Nonlabor!$D$21="Both",Nonlabor!$D$21='Start Here'!$B$9),IF(Nonlabor!$E$21="Core",1,IF(Nonlabor!$E$21="AI",'Start Here'!$B$7,'Start Here'!$B$8))=1,C946&gt;=IF(Nonlabor!$E$21="Core",Nonlabor!$F$21,MAX(Nonlabor!$F$21,IF(Nonlabor!$E$21="AI",Assumptions!$C$24,Assumptions!$C$25))),C946&lt;=Nonlabor!$G$21,OR(Nonlabor!$H$21="Monthly",AND(Nonlabor!$H$21="Once",C946=IF(Nonlabor!$E$21="Core",Nonlabor!$F$21,MAX(Nonlabor!$F$21,IF(Nonlabor!$E$21="AI",Assumptions!$C$24,Assumptions!$C$25)))),AND(Nonlabor!$H$21="Annual",MOD(C946-IF(Nonlabor!$E$21="Core",Nonlabor!$F$21,MAX(Nonlabor!$F$21,IF(Nonlabor!$E$21="AI",Assumptions!$C$24,Assumptions!$C$25))),12)=0))),IF(Nonlabor!$I$21="Fixed",1,IF(Nonlabor!$I$21="Seats",ROUNDUP('Monthly Lean'!I46,0),IF(Nonlabor!$I$21="Customers",'Monthly Lean'!D46,IF(Nonlabor!$I$21="NewCustomers",'Monthly Lean'!C46,IF(Nonlabor!$I$21="StorageGB",'Monthly Lean'!G46,IF(Nonlabor!$I$21="LogGB",'Monthly Lean'!H46,IF(Nonlabor!$I$21="RequestsM",'Monthly Lean'!F46,IF(Nonlabor!$I$21="InputM",'Monthly Lean'!D46*Assumptions!$C$22/1000000,IF(Nonlabor!$I$21="OutputM",'Monthly Lean'!D46*Assumptions!$C$23/1000000,0))))))))),0)</f>
        <v>1</v>
      </c>
      <c r="F946" s="10" t="n">
        <f aca="false">Nonlabor!$J$21*(1+Assumptions!$C$9)^INT((C946-1)/12)</f>
        <v>109.2727</v>
      </c>
      <c r="G946" s="10" t="n">
        <f aca="false">E946*F946</f>
        <v>109.2727</v>
      </c>
      <c r="H946" s="10" t="n">
        <f aca="false">IF(OR(Nonlabor!$L$21="Quote required",Nonlabor!$L$21="Unverified"),G946,0)</f>
        <v>0</v>
      </c>
      <c r="I946" s="10" t="n">
        <f aca="false">IF(Nonlabor!$E$21="Core",0,G946)</f>
        <v>0</v>
      </c>
      <c r="J946" s="23" t="str">
        <f aca="false">Nonlabor!$B$21</f>
        <v>SUPPORT</v>
      </c>
    </row>
    <row r="947" customFormat="false" ht="15" hidden="false" customHeight="false" outlineLevel="0" collapsed="false">
      <c r="A947" s="6" t="s">
        <v>72</v>
      </c>
      <c r="B947" s="6" t="s">
        <v>53</v>
      </c>
      <c r="C947" s="6" t="n">
        <v>42</v>
      </c>
      <c r="D947" s="25" t="n">
        <f aca="false">EDATE('Start Here'!$B$6,C947-1)</f>
        <v>47574</v>
      </c>
      <c r="E947" s="23" t="n">
        <f aca="false">IF(AND(OR(Nonlabor!$D$21="Both",Nonlabor!$D$21='Start Here'!$B$9),IF(Nonlabor!$E$21="Core",1,IF(Nonlabor!$E$21="AI",'Start Here'!$B$7,'Start Here'!$B$8))=1,C947&gt;=IF(Nonlabor!$E$21="Core",Nonlabor!$F$21,MAX(Nonlabor!$F$21,IF(Nonlabor!$E$21="AI",Assumptions!$C$24,Assumptions!$C$25))),C947&lt;=Nonlabor!$G$21,OR(Nonlabor!$H$21="Monthly",AND(Nonlabor!$H$21="Once",C947=IF(Nonlabor!$E$21="Core",Nonlabor!$F$21,MAX(Nonlabor!$F$21,IF(Nonlabor!$E$21="AI",Assumptions!$C$24,Assumptions!$C$25)))),AND(Nonlabor!$H$21="Annual",MOD(C947-IF(Nonlabor!$E$21="Core",Nonlabor!$F$21,MAX(Nonlabor!$F$21,IF(Nonlabor!$E$21="AI",Assumptions!$C$24,Assumptions!$C$25))),12)=0))),IF(Nonlabor!$I$21="Fixed",1,IF(Nonlabor!$I$21="Seats",ROUNDUP('Monthly Lean'!I47,0),IF(Nonlabor!$I$21="Customers",'Monthly Lean'!D47,IF(Nonlabor!$I$21="NewCustomers",'Monthly Lean'!C47,IF(Nonlabor!$I$21="StorageGB",'Monthly Lean'!G47,IF(Nonlabor!$I$21="LogGB",'Monthly Lean'!H47,IF(Nonlabor!$I$21="RequestsM",'Monthly Lean'!F47,IF(Nonlabor!$I$21="InputM",'Monthly Lean'!D47*Assumptions!$C$22/1000000,IF(Nonlabor!$I$21="OutputM",'Monthly Lean'!D47*Assumptions!$C$23/1000000,0))))))))),0)</f>
        <v>1</v>
      </c>
      <c r="F947" s="10" t="n">
        <f aca="false">Nonlabor!$J$21*(1+Assumptions!$C$9)^INT((C947-1)/12)</f>
        <v>109.2727</v>
      </c>
      <c r="G947" s="10" t="n">
        <f aca="false">E947*F947</f>
        <v>109.2727</v>
      </c>
      <c r="H947" s="10" t="n">
        <f aca="false">IF(OR(Nonlabor!$L$21="Quote required",Nonlabor!$L$21="Unverified"),G947,0)</f>
        <v>0</v>
      </c>
      <c r="I947" s="10" t="n">
        <f aca="false">IF(Nonlabor!$E$21="Core",0,G947)</f>
        <v>0</v>
      </c>
      <c r="J947" s="23" t="str">
        <f aca="false">Nonlabor!$B$21</f>
        <v>SUPPORT</v>
      </c>
    </row>
    <row r="948" customFormat="false" ht="15" hidden="false" customHeight="false" outlineLevel="0" collapsed="false">
      <c r="A948" s="6" t="s">
        <v>72</v>
      </c>
      <c r="B948" s="6" t="s">
        <v>53</v>
      </c>
      <c r="C948" s="6" t="n">
        <v>43</v>
      </c>
      <c r="D948" s="25" t="n">
        <f aca="false">EDATE('Start Here'!$B$6,C948-1)</f>
        <v>47604</v>
      </c>
      <c r="E948" s="23" t="n">
        <f aca="false">IF(AND(OR(Nonlabor!$D$21="Both",Nonlabor!$D$21='Start Here'!$B$9),IF(Nonlabor!$E$21="Core",1,IF(Nonlabor!$E$21="AI",'Start Here'!$B$7,'Start Here'!$B$8))=1,C948&gt;=IF(Nonlabor!$E$21="Core",Nonlabor!$F$21,MAX(Nonlabor!$F$21,IF(Nonlabor!$E$21="AI",Assumptions!$C$24,Assumptions!$C$25))),C948&lt;=Nonlabor!$G$21,OR(Nonlabor!$H$21="Monthly",AND(Nonlabor!$H$21="Once",C948=IF(Nonlabor!$E$21="Core",Nonlabor!$F$21,MAX(Nonlabor!$F$21,IF(Nonlabor!$E$21="AI",Assumptions!$C$24,Assumptions!$C$25)))),AND(Nonlabor!$H$21="Annual",MOD(C948-IF(Nonlabor!$E$21="Core",Nonlabor!$F$21,MAX(Nonlabor!$F$21,IF(Nonlabor!$E$21="AI",Assumptions!$C$24,Assumptions!$C$25))),12)=0))),IF(Nonlabor!$I$21="Fixed",1,IF(Nonlabor!$I$21="Seats",ROUNDUP('Monthly Lean'!I48,0),IF(Nonlabor!$I$21="Customers",'Monthly Lean'!D48,IF(Nonlabor!$I$21="NewCustomers",'Monthly Lean'!C48,IF(Nonlabor!$I$21="StorageGB",'Monthly Lean'!G48,IF(Nonlabor!$I$21="LogGB",'Monthly Lean'!H48,IF(Nonlabor!$I$21="RequestsM",'Monthly Lean'!F48,IF(Nonlabor!$I$21="InputM",'Monthly Lean'!D48*Assumptions!$C$22/1000000,IF(Nonlabor!$I$21="OutputM",'Monthly Lean'!D48*Assumptions!$C$23/1000000,0))))))))),0)</f>
        <v>1</v>
      </c>
      <c r="F948" s="10" t="n">
        <f aca="false">Nonlabor!$J$21*(1+Assumptions!$C$9)^INT((C948-1)/12)</f>
        <v>109.2727</v>
      </c>
      <c r="G948" s="10" t="n">
        <f aca="false">E948*F948</f>
        <v>109.2727</v>
      </c>
      <c r="H948" s="10" t="n">
        <f aca="false">IF(OR(Nonlabor!$L$21="Quote required",Nonlabor!$L$21="Unverified"),G948,0)</f>
        <v>0</v>
      </c>
      <c r="I948" s="10" t="n">
        <f aca="false">IF(Nonlabor!$E$21="Core",0,G948)</f>
        <v>0</v>
      </c>
      <c r="J948" s="23" t="str">
        <f aca="false">Nonlabor!$B$21</f>
        <v>SUPPORT</v>
      </c>
    </row>
    <row r="949" customFormat="false" ht="15" hidden="false" customHeight="false" outlineLevel="0" collapsed="false">
      <c r="A949" s="6" t="s">
        <v>72</v>
      </c>
      <c r="B949" s="6" t="s">
        <v>53</v>
      </c>
      <c r="C949" s="6" t="n">
        <v>44</v>
      </c>
      <c r="D949" s="25" t="n">
        <f aca="false">EDATE('Start Here'!$B$6,C949-1)</f>
        <v>47635</v>
      </c>
      <c r="E949" s="23" t="n">
        <f aca="false">IF(AND(OR(Nonlabor!$D$21="Both",Nonlabor!$D$21='Start Here'!$B$9),IF(Nonlabor!$E$21="Core",1,IF(Nonlabor!$E$21="AI",'Start Here'!$B$7,'Start Here'!$B$8))=1,C949&gt;=IF(Nonlabor!$E$21="Core",Nonlabor!$F$21,MAX(Nonlabor!$F$21,IF(Nonlabor!$E$21="AI",Assumptions!$C$24,Assumptions!$C$25))),C949&lt;=Nonlabor!$G$21,OR(Nonlabor!$H$21="Monthly",AND(Nonlabor!$H$21="Once",C949=IF(Nonlabor!$E$21="Core",Nonlabor!$F$21,MAX(Nonlabor!$F$21,IF(Nonlabor!$E$21="AI",Assumptions!$C$24,Assumptions!$C$25)))),AND(Nonlabor!$H$21="Annual",MOD(C949-IF(Nonlabor!$E$21="Core",Nonlabor!$F$21,MAX(Nonlabor!$F$21,IF(Nonlabor!$E$21="AI",Assumptions!$C$24,Assumptions!$C$25))),12)=0))),IF(Nonlabor!$I$21="Fixed",1,IF(Nonlabor!$I$21="Seats",ROUNDUP('Monthly Lean'!I49,0),IF(Nonlabor!$I$21="Customers",'Monthly Lean'!D49,IF(Nonlabor!$I$21="NewCustomers",'Monthly Lean'!C49,IF(Nonlabor!$I$21="StorageGB",'Monthly Lean'!G49,IF(Nonlabor!$I$21="LogGB",'Monthly Lean'!H49,IF(Nonlabor!$I$21="RequestsM",'Monthly Lean'!F49,IF(Nonlabor!$I$21="InputM",'Monthly Lean'!D49*Assumptions!$C$22/1000000,IF(Nonlabor!$I$21="OutputM",'Monthly Lean'!D49*Assumptions!$C$23/1000000,0))))))))),0)</f>
        <v>1</v>
      </c>
      <c r="F949" s="10" t="n">
        <f aca="false">Nonlabor!$J$21*(1+Assumptions!$C$9)^INT((C949-1)/12)</f>
        <v>109.2727</v>
      </c>
      <c r="G949" s="10" t="n">
        <f aca="false">E949*F949</f>
        <v>109.2727</v>
      </c>
      <c r="H949" s="10" t="n">
        <f aca="false">IF(OR(Nonlabor!$L$21="Quote required",Nonlabor!$L$21="Unverified"),G949,0)</f>
        <v>0</v>
      </c>
      <c r="I949" s="10" t="n">
        <f aca="false">IF(Nonlabor!$E$21="Core",0,G949)</f>
        <v>0</v>
      </c>
      <c r="J949" s="23" t="str">
        <f aca="false">Nonlabor!$B$21</f>
        <v>SUPPORT</v>
      </c>
    </row>
    <row r="950" customFormat="false" ht="15" hidden="false" customHeight="false" outlineLevel="0" collapsed="false">
      <c r="A950" s="6" t="s">
        <v>72</v>
      </c>
      <c r="B950" s="6" t="s">
        <v>53</v>
      </c>
      <c r="C950" s="6" t="n">
        <v>45</v>
      </c>
      <c r="D950" s="25" t="n">
        <f aca="false">EDATE('Start Here'!$B$6,C950-1)</f>
        <v>47665</v>
      </c>
      <c r="E950" s="23" t="n">
        <f aca="false">IF(AND(OR(Nonlabor!$D$21="Both",Nonlabor!$D$21='Start Here'!$B$9),IF(Nonlabor!$E$21="Core",1,IF(Nonlabor!$E$21="AI",'Start Here'!$B$7,'Start Here'!$B$8))=1,C950&gt;=IF(Nonlabor!$E$21="Core",Nonlabor!$F$21,MAX(Nonlabor!$F$21,IF(Nonlabor!$E$21="AI",Assumptions!$C$24,Assumptions!$C$25))),C950&lt;=Nonlabor!$G$21,OR(Nonlabor!$H$21="Monthly",AND(Nonlabor!$H$21="Once",C950=IF(Nonlabor!$E$21="Core",Nonlabor!$F$21,MAX(Nonlabor!$F$21,IF(Nonlabor!$E$21="AI",Assumptions!$C$24,Assumptions!$C$25)))),AND(Nonlabor!$H$21="Annual",MOD(C950-IF(Nonlabor!$E$21="Core",Nonlabor!$F$21,MAX(Nonlabor!$F$21,IF(Nonlabor!$E$21="AI",Assumptions!$C$24,Assumptions!$C$25))),12)=0))),IF(Nonlabor!$I$21="Fixed",1,IF(Nonlabor!$I$21="Seats",ROUNDUP('Monthly Lean'!I50,0),IF(Nonlabor!$I$21="Customers",'Monthly Lean'!D50,IF(Nonlabor!$I$21="NewCustomers",'Monthly Lean'!C50,IF(Nonlabor!$I$21="StorageGB",'Monthly Lean'!G50,IF(Nonlabor!$I$21="LogGB",'Monthly Lean'!H50,IF(Nonlabor!$I$21="RequestsM",'Monthly Lean'!F50,IF(Nonlabor!$I$21="InputM",'Monthly Lean'!D50*Assumptions!$C$22/1000000,IF(Nonlabor!$I$21="OutputM",'Monthly Lean'!D50*Assumptions!$C$23/1000000,0))))))))),0)</f>
        <v>1</v>
      </c>
      <c r="F950" s="10" t="n">
        <f aca="false">Nonlabor!$J$21*(1+Assumptions!$C$9)^INT((C950-1)/12)</f>
        <v>109.2727</v>
      </c>
      <c r="G950" s="10" t="n">
        <f aca="false">E950*F950</f>
        <v>109.2727</v>
      </c>
      <c r="H950" s="10" t="n">
        <f aca="false">IF(OR(Nonlabor!$L$21="Quote required",Nonlabor!$L$21="Unverified"),G950,0)</f>
        <v>0</v>
      </c>
      <c r="I950" s="10" t="n">
        <f aca="false">IF(Nonlabor!$E$21="Core",0,G950)</f>
        <v>0</v>
      </c>
      <c r="J950" s="23" t="str">
        <f aca="false">Nonlabor!$B$21</f>
        <v>SUPPORT</v>
      </c>
    </row>
    <row r="951" customFormat="false" ht="15" hidden="false" customHeight="false" outlineLevel="0" collapsed="false">
      <c r="A951" s="6" t="s">
        <v>72</v>
      </c>
      <c r="B951" s="6" t="s">
        <v>53</v>
      </c>
      <c r="C951" s="6" t="n">
        <v>46</v>
      </c>
      <c r="D951" s="25" t="n">
        <f aca="false">EDATE('Start Here'!$B$6,C951-1)</f>
        <v>47696</v>
      </c>
      <c r="E951" s="23" t="n">
        <f aca="false">IF(AND(OR(Nonlabor!$D$21="Both",Nonlabor!$D$21='Start Here'!$B$9),IF(Nonlabor!$E$21="Core",1,IF(Nonlabor!$E$21="AI",'Start Here'!$B$7,'Start Here'!$B$8))=1,C951&gt;=IF(Nonlabor!$E$21="Core",Nonlabor!$F$21,MAX(Nonlabor!$F$21,IF(Nonlabor!$E$21="AI",Assumptions!$C$24,Assumptions!$C$25))),C951&lt;=Nonlabor!$G$21,OR(Nonlabor!$H$21="Monthly",AND(Nonlabor!$H$21="Once",C951=IF(Nonlabor!$E$21="Core",Nonlabor!$F$21,MAX(Nonlabor!$F$21,IF(Nonlabor!$E$21="AI",Assumptions!$C$24,Assumptions!$C$25)))),AND(Nonlabor!$H$21="Annual",MOD(C951-IF(Nonlabor!$E$21="Core",Nonlabor!$F$21,MAX(Nonlabor!$F$21,IF(Nonlabor!$E$21="AI",Assumptions!$C$24,Assumptions!$C$25))),12)=0))),IF(Nonlabor!$I$21="Fixed",1,IF(Nonlabor!$I$21="Seats",ROUNDUP('Monthly Lean'!I51,0),IF(Nonlabor!$I$21="Customers",'Monthly Lean'!D51,IF(Nonlabor!$I$21="NewCustomers",'Monthly Lean'!C51,IF(Nonlabor!$I$21="StorageGB",'Monthly Lean'!G51,IF(Nonlabor!$I$21="LogGB",'Monthly Lean'!H51,IF(Nonlabor!$I$21="RequestsM",'Monthly Lean'!F51,IF(Nonlabor!$I$21="InputM",'Monthly Lean'!D51*Assumptions!$C$22/1000000,IF(Nonlabor!$I$21="OutputM",'Monthly Lean'!D51*Assumptions!$C$23/1000000,0))))))))),0)</f>
        <v>1</v>
      </c>
      <c r="F951" s="10" t="n">
        <f aca="false">Nonlabor!$J$21*(1+Assumptions!$C$9)^INT((C951-1)/12)</f>
        <v>109.2727</v>
      </c>
      <c r="G951" s="10" t="n">
        <f aca="false">E951*F951</f>
        <v>109.2727</v>
      </c>
      <c r="H951" s="10" t="n">
        <f aca="false">IF(OR(Nonlabor!$L$21="Quote required",Nonlabor!$L$21="Unverified"),G951,0)</f>
        <v>0</v>
      </c>
      <c r="I951" s="10" t="n">
        <f aca="false">IF(Nonlabor!$E$21="Core",0,G951)</f>
        <v>0</v>
      </c>
      <c r="J951" s="23" t="str">
        <f aca="false">Nonlabor!$B$21</f>
        <v>SUPPORT</v>
      </c>
    </row>
    <row r="952" customFormat="false" ht="15" hidden="false" customHeight="false" outlineLevel="0" collapsed="false">
      <c r="A952" s="6" t="s">
        <v>72</v>
      </c>
      <c r="B952" s="6" t="s">
        <v>53</v>
      </c>
      <c r="C952" s="6" t="n">
        <v>47</v>
      </c>
      <c r="D952" s="25" t="n">
        <f aca="false">EDATE('Start Here'!$B$6,C952-1)</f>
        <v>47727</v>
      </c>
      <c r="E952" s="23" t="n">
        <f aca="false">IF(AND(OR(Nonlabor!$D$21="Both",Nonlabor!$D$21='Start Here'!$B$9),IF(Nonlabor!$E$21="Core",1,IF(Nonlabor!$E$21="AI",'Start Here'!$B$7,'Start Here'!$B$8))=1,C952&gt;=IF(Nonlabor!$E$21="Core",Nonlabor!$F$21,MAX(Nonlabor!$F$21,IF(Nonlabor!$E$21="AI",Assumptions!$C$24,Assumptions!$C$25))),C952&lt;=Nonlabor!$G$21,OR(Nonlabor!$H$21="Monthly",AND(Nonlabor!$H$21="Once",C952=IF(Nonlabor!$E$21="Core",Nonlabor!$F$21,MAX(Nonlabor!$F$21,IF(Nonlabor!$E$21="AI",Assumptions!$C$24,Assumptions!$C$25)))),AND(Nonlabor!$H$21="Annual",MOD(C952-IF(Nonlabor!$E$21="Core",Nonlabor!$F$21,MAX(Nonlabor!$F$21,IF(Nonlabor!$E$21="AI",Assumptions!$C$24,Assumptions!$C$25))),12)=0))),IF(Nonlabor!$I$21="Fixed",1,IF(Nonlabor!$I$21="Seats",ROUNDUP('Monthly Lean'!I52,0),IF(Nonlabor!$I$21="Customers",'Monthly Lean'!D52,IF(Nonlabor!$I$21="NewCustomers",'Monthly Lean'!C52,IF(Nonlabor!$I$21="StorageGB",'Monthly Lean'!G52,IF(Nonlabor!$I$21="LogGB",'Monthly Lean'!H52,IF(Nonlabor!$I$21="RequestsM",'Monthly Lean'!F52,IF(Nonlabor!$I$21="InputM",'Monthly Lean'!D52*Assumptions!$C$22/1000000,IF(Nonlabor!$I$21="OutputM",'Monthly Lean'!D52*Assumptions!$C$23/1000000,0))))))))),0)</f>
        <v>1</v>
      </c>
      <c r="F952" s="10" t="n">
        <f aca="false">Nonlabor!$J$21*(1+Assumptions!$C$9)^INT((C952-1)/12)</f>
        <v>109.2727</v>
      </c>
      <c r="G952" s="10" t="n">
        <f aca="false">E952*F952</f>
        <v>109.2727</v>
      </c>
      <c r="H952" s="10" t="n">
        <f aca="false">IF(OR(Nonlabor!$L$21="Quote required",Nonlabor!$L$21="Unverified"),G952,0)</f>
        <v>0</v>
      </c>
      <c r="I952" s="10" t="n">
        <f aca="false">IF(Nonlabor!$E$21="Core",0,G952)</f>
        <v>0</v>
      </c>
      <c r="J952" s="23" t="str">
        <f aca="false">Nonlabor!$B$21</f>
        <v>SUPPORT</v>
      </c>
    </row>
    <row r="953" customFormat="false" ht="15" hidden="false" customHeight="false" outlineLevel="0" collapsed="false">
      <c r="A953" s="6" t="s">
        <v>72</v>
      </c>
      <c r="B953" s="6" t="s">
        <v>53</v>
      </c>
      <c r="C953" s="6" t="n">
        <v>48</v>
      </c>
      <c r="D953" s="25" t="n">
        <f aca="false">EDATE('Start Here'!$B$6,C953-1)</f>
        <v>47757</v>
      </c>
      <c r="E953" s="23" t="n">
        <f aca="false">IF(AND(OR(Nonlabor!$D$21="Both",Nonlabor!$D$21='Start Here'!$B$9),IF(Nonlabor!$E$21="Core",1,IF(Nonlabor!$E$21="AI",'Start Here'!$B$7,'Start Here'!$B$8))=1,C953&gt;=IF(Nonlabor!$E$21="Core",Nonlabor!$F$21,MAX(Nonlabor!$F$21,IF(Nonlabor!$E$21="AI",Assumptions!$C$24,Assumptions!$C$25))),C953&lt;=Nonlabor!$G$21,OR(Nonlabor!$H$21="Monthly",AND(Nonlabor!$H$21="Once",C953=IF(Nonlabor!$E$21="Core",Nonlabor!$F$21,MAX(Nonlabor!$F$21,IF(Nonlabor!$E$21="AI",Assumptions!$C$24,Assumptions!$C$25)))),AND(Nonlabor!$H$21="Annual",MOD(C953-IF(Nonlabor!$E$21="Core",Nonlabor!$F$21,MAX(Nonlabor!$F$21,IF(Nonlabor!$E$21="AI",Assumptions!$C$24,Assumptions!$C$25))),12)=0))),IF(Nonlabor!$I$21="Fixed",1,IF(Nonlabor!$I$21="Seats",ROUNDUP('Monthly Lean'!I53,0),IF(Nonlabor!$I$21="Customers",'Monthly Lean'!D53,IF(Nonlabor!$I$21="NewCustomers",'Monthly Lean'!C53,IF(Nonlabor!$I$21="StorageGB",'Monthly Lean'!G53,IF(Nonlabor!$I$21="LogGB",'Monthly Lean'!H53,IF(Nonlabor!$I$21="RequestsM",'Monthly Lean'!F53,IF(Nonlabor!$I$21="InputM",'Monthly Lean'!D53*Assumptions!$C$22/1000000,IF(Nonlabor!$I$21="OutputM",'Monthly Lean'!D53*Assumptions!$C$23/1000000,0))))))))),0)</f>
        <v>1</v>
      </c>
      <c r="F953" s="10" t="n">
        <f aca="false">Nonlabor!$J$21*(1+Assumptions!$C$9)^INT((C953-1)/12)</f>
        <v>109.2727</v>
      </c>
      <c r="G953" s="10" t="n">
        <f aca="false">E953*F953</f>
        <v>109.2727</v>
      </c>
      <c r="H953" s="10" t="n">
        <f aca="false">IF(OR(Nonlabor!$L$21="Quote required",Nonlabor!$L$21="Unverified"),G953,0)</f>
        <v>0</v>
      </c>
      <c r="I953" s="10" t="n">
        <f aca="false">IF(Nonlabor!$E$21="Core",0,G953)</f>
        <v>0</v>
      </c>
      <c r="J953" s="23" t="str">
        <f aca="false">Nonlabor!$B$21</f>
        <v>SUPPORT</v>
      </c>
    </row>
    <row r="954" customFormat="false" ht="15" hidden="false" customHeight="false" outlineLevel="0" collapsed="false">
      <c r="A954" s="6" t="s">
        <v>72</v>
      </c>
      <c r="B954" s="6" t="s">
        <v>53</v>
      </c>
      <c r="C954" s="6" t="n">
        <v>49</v>
      </c>
      <c r="D954" s="25" t="n">
        <f aca="false">EDATE('Start Here'!$B$6,C954-1)</f>
        <v>47788</v>
      </c>
      <c r="E954" s="23" t="n">
        <f aca="false">IF(AND(OR(Nonlabor!$D$21="Both",Nonlabor!$D$21='Start Here'!$B$9),IF(Nonlabor!$E$21="Core",1,IF(Nonlabor!$E$21="AI",'Start Here'!$B$7,'Start Here'!$B$8))=1,C954&gt;=IF(Nonlabor!$E$21="Core",Nonlabor!$F$21,MAX(Nonlabor!$F$21,IF(Nonlabor!$E$21="AI",Assumptions!$C$24,Assumptions!$C$25))),C954&lt;=Nonlabor!$G$21,OR(Nonlabor!$H$21="Monthly",AND(Nonlabor!$H$21="Once",C954=IF(Nonlabor!$E$21="Core",Nonlabor!$F$21,MAX(Nonlabor!$F$21,IF(Nonlabor!$E$21="AI",Assumptions!$C$24,Assumptions!$C$25)))),AND(Nonlabor!$H$21="Annual",MOD(C954-IF(Nonlabor!$E$21="Core",Nonlabor!$F$21,MAX(Nonlabor!$F$21,IF(Nonlabor!$E$21="AI",Assumptions!$C$24,Assumptions!$C$25))),12)=0))),IF(Nonlabor!$I$21="Fixed",1,IF(Nonlabor!$I$21="Seats",ROUNDUP('Monthly Lean'!I54,0),IF(Nonlabor!$I$21="Customers",'Monthly Lean'!D54,IF(Nonlabor!$I$21="NewCustomers",'Monthly Lean'!C54,IF(Nonlabor!$I$21="StorageGB",'Monthly Lean'!G54,IF(Nonlabor!$I$21="LogGB",'Monthly Lean'!H54,IF(Nonlabor!$I$21="RequestsM",'Monthly Lean'!F54,IF(Nonlabor!$I$21="InputM",'Monthly Lean'!D54*Assumptions!$C$22/1000000,IF(Nonlabor!$I$21="OutputM",'Monthly Lean'!D54*Assumptions!$C$23/1000000,0))))))))),0)</f>
        <v>1</v>
      </c>
      <c r="F954" s="10" t="n">
        <f aca="false">Nonlabor!$J$21*(1+Assumptions!$C$9)^INT((C954-1)/12)</f>
        <v>112.550881</v>
      </c>
      <c r="G954" s="10" t="n">
        <f aca="false">E954*F954</f>
        <v>112.550881</v>
      </c>
      <c r="H954" s="10" t="n">
        <f aca="false">IF(OR(Nonlabor!$L$21="Quote required",Nonlabor!$L$21="Unverified"),G954,0)</f>
        <v>0</v>
      </c>
      <c r="I954" s="10" t="n">
        <f aca="false">IF(Nonlabor!$E$21="Core",0,G954)</f>
        <v>0</v>
      </c>
      <c r="J954" s="23" t="str">
        <f aca="false">Nonlabor!$B$21</f>
        <v>SUPPORT</v>
      </c>
    </row>
    <row r="955" customFormat="false" ht="15" hidden="false" customHeight="false" outlineLevel="0" collapsed="false">
      <c r="A955" s="6" t="s">
        <v>72</v>
      </c>
      <c r="B955" s="6" t="s">
        <v>53</v>
      </c>
      <c r="C955" s="6" t="n">
        <v>50</v>
      </c>
      <c r="D955" s="25" t="n">
        <f aca="false">EDATE('Start Here'!$B$6,C955-1)</f>
        <v>47818</v>
      </c>
      <c r="E955" s="23" t="n">
        <f aca="false">IF(AND(OR(Nonlabor!$D$21="Both",Nonlabor!$D$21='Start Here'!$B$9),IF(Nonlabor!$E$21="Core",1,IF(Nonlabor!$E$21="AI",'Start Here'!$B$7,'Start Here'!$B$8))=1,C955&gt;=IF(Nonlabor!$E$21="Core",Nonlabor!$F$21,MAX(Nonlabor!$F$21,IF(Nonlabor!$E$21="AI",Assumptions!$C$24,Assumptions!$C$25))),C955&lt;=Nonlabor!$G$21,OR(Nonlabor!$H$21="Monthly",AND(Nonlabor!$H$21="Once",C955=IF(Nonlabor!$E$21="Core",Nonlabor!$F$21,MAX(Nonlabor!$F$21,IF(Nonlabor!$E$21="AI",Assumptions!$C$24,Assumptions!$C$25)))),AND(Nonlabor!$H$21="Annual",MOD(C955-IF(Nonlabor!$E$21="Core",Nonlabor!$F$21,MAX(Nonlabor!$F$21,IF(Nonlabor!$E$21="AI",Assumptions!$C$24,Assumptions!$C$25))),12)=0))),IF(Nonlabor!$I$21="Fixed",1,IF(Nonlabor!$I$21="Seats",ROUNDUP('Monthly Lean'!I55,0),IF(Nonlabor!$I$21="Customers",'Monthly Lean'!D55,IF(Nonlabor!$I$21="NewCustomers",'Monthly Lean'!C55,IF(Nonlabor!$I$21="StorageGB",'Monthly Lean'!G55,IF(Nonlabor!$I$21="LogGB",'Monthly Lean'!H55,IF(Nonlabor!$I$21="RequestsM",'Monthly Lean'!F55,IF(Nonlabor!$I$21="InputM",'Monthly Lean'!D55*Assumptions!$C$22/1000000,IF(Nonlabor!$I$21="OutputM",'Monthly Lean'!D55*Assumptions!$C$23/1000000,0))))))))),0)</f>
        <v>1</v>
      </c>
      <c r="F955" s="10" t="n">
        <f aca="false">Nonlabor!$J$21*(1+Assumptions!$C$9)^INT((C955-1)/12)</f>
        <v>112.550881</v>
      </c>
      <c r="G955" s="10" t="n">
        <f aca="false">E955*F955</f>
        <v>112.550881</v>
      </c>
      <c r="H955" s="10" t="n">
        <f aca="false">IF(OR(Nonlabor!$L$21="Quote required",Nonlabor!$L$21="Unverified"),G955,0)</f>
        <v>0</v>
      </c>
      <c r="I955" s="10" t="n">
        <f aca="false">IF(Nonlabor!$E$21="Core",0,G955)</f>
        <v>0</v>
      </c>
      <c r="J955" s="23" t="str">
        <f aca="false">Nonlabor!$B$21</f>
        <v>SUPPORT</v>
      </c>
    </row>
    <row r="956" customFormat="false" ht="15" hidden="false" customHeight="false" outlineLevel="0" collapsed="false">
      <c r="A956" s="6" t="s">
        <v>72</v>
      </c>
      <c r="B956" s="6" t="s">
        <v>53</v>
      </c>
      <c r="C956" s="6" t="n">
        <v>51</v>
      </c>
      <c r="D956" s="25" t="n">
        <f aca="false">EDATE('Start Here'!$B$6,C956-1)</f>
        <v>47849</v>
      </c>
      <c r="E956" s="23" t="n">
        <f aca="false">IF(AND(OR(Nonlabor!$D$21="Both",Nonlabor!$D$21='Start Here'!$B$9),IF(Nonlabor!$E$21="Core",1,IF(Nonlabor!$E$21="AI",'Start Here'!$B$7,'Start Here'!$B$8))=1,C956&gt;=IF(Nonlabor!$E$21="Core",Nonlabor!$F$21,MAX(Nonlabor!$F$21,IF(Nonlabor!$E$21="AI",Assumptions!$C$24,Assumptions!$C$25))),C956&lt;=Nonlabor!$G$21,OR(Nonlabor!$H$21="Monthly",AND(Nonlabor!$H$21="Once",C956=IF(Nonlabor!$E$21="Core",Nonlabor!$F$21,MAX(Nonlabor!$F$21,IF(Nonlabor!$E$21="AI",Assumptions!$C$24,Assumptions!$C$25)))),AND(Nonlabor!$H$21="Annual",MOD(C956-IF(Nonlabor!$E$21="Core",Nonlabor!$F$21,MAX(Nonlabor!$F$21,IF(Nonlabor!$E$21="AI",Assumptions!$C$24,Assumptions!$C$25))),12)=0))),IF(Nonlabor!$I$21="Fixed",1,IF(Nonlabor!$I$21="Seats",ROUNDUP('Monthly Lean'!I56,0),IF(Nonlabor!$I$21="Customers",'Monthly Lean'!D56,IF(Nonlabor!$I$21="NewCustomers",'Monthly Lean'!C56,IF(Nonlabor!$I$21="StorageGB",'Monthly Lean'!G56,IF(Nonlabor!$I$21="LogGB",'Monthly Lean'!H56,IF(Nonlabor!$I$21="RequestsM",'Monthly Lean'!F56,IF(Nonlabor!$I$21="InputM",'Monthly Lean'!D56*Assumptions!$C$22/1000000,IF(Nonlabor!$I$21="OutputM",'Monthly Lean'!D56*Assumptions!$C$23/1000000,0))))))))),0)</f>
        <v>1</v>
      </c>
      <c r="F956" s="10" t="n">
        <f aca="false">Nonlabor!$J$21*(1+Assumptions!$C$9)^INT((C956-1)/12)</f>
        <v>112.550881</v>
      </c>
      <c r="G956" s="10" t="n">
        <f aca="false">E956*F956</f>
        <v>112.550881</v>
      </c>
      <c r="H956" s="10" t="n">
        <f aca="false">IF(OR(Nonlabor!$L$21="Quote required",Nonlabor!$L$21="Unverified"),G956,0)</f>
        <v>0</v>
      </c>
      <c r="I956" s="10" t="n">
        <f aca="false">IF(Nonlabor!$E$21="Core",0,G956)</f>
        <v>0</v>
      </c>
      <c r="J956" s="23" t="str">
        <f aca="false">Nonlabor!$B$21</f>
        <v>SUPPORT</v>
      </c>
    </row>
    <row r="957" customFormat="false" ht="15" hidden="false" customHeight="false" outlineLevel="0" collapsed="false">
      <c r="A957" s="6" t="s">
        <v>72</v>
      </c>
      <c r="B957" s="6" t="s">
        <v>53</v>
      </c>
      <c r="C957" s="6" t="n">
        <v>52</v>
      </c>
      <c r="D957" s="25" t="n">
        <f aca="false">EDATE('Start Here'!$B$6,C957-1)</f>
        <v>47880</v>
      </c>
      <c r="E957" s="23" t="n">
        <f aca="false">IF(AND(OR(Nonlabor!$D$21="Both",Nonlabor!$D$21='Start Here'!$B$9),IF(Nonlabor!$E$21="Core",1,IF(Nonlabor!$E$21="AI",'Start Here'!$B$7,'Start Here'!$B$8))=1,C957&gt;=IF(Nonlabor!$E$21="Core",Nonlabor!$F$21,MAX(Nonlabor!$F$21,IF(Nonlabor!$E$21="AI",Assumptions!$C$24,Assumptions!$C$25))),C957&lt;=Nonlabor!$G$21,OR(Nonlabor!$H$21="Monthly",AND(Nonlabor!$H$21="Once",C957=IF(Nonlabor!$E$21="Core",Nonlabor!$F$21,MAX(Nonlabor!$F$21,IF(Nonlabor!$E$21="AI",Assumptions!$C$24,Assumptions!$C$25)))),AND(Nonlabor!$H$21="Annual",MOD(C957-IF(Nonlabor!$E$21="Core",Nonlabor!$F$21,MAX(Nonlabor!$F$21,IF(Nonlabor!$E$21="AI",Assumptions!$C$24,Assumptions!$C$25))),12)=0))),IF(Nonlabor!$I$21="Fixed",1,IF(Nonlabor!$I$21="Seats",ROUNDUP('Monthly Lean'!I57,0),IF(Nonlabor!$I$21="Customers",'Monthly Lean'!D57,IF(Nonlabor!$I$21="NewCustomers",'Monthly Lean'!C57,IF(Nonlabor!$I$21="StorageGB",'Monthly Lean'!G57,IF(Nonlabor!$I$21="LogGB",'Monthly Lean'!H57,IF(Nonlabor!$I$21="RequestsM",'Monthly Lean'!F57,IF(Nonlabor!$I$21="InputM",'Monthly Lean'!D57*Assumptions!$C$22/1000000,IF(Nonlabor!$I$21="OutputM",'Monthly Lean'!D57*Assumptions!$C$23/1000000,0))))))))),0)</f>
        <v>1</v>
      </c>
      <c r="F957" s="10" t="n">
        <f aca="false">Nonlabor!$J$21*(1+Assumptions!$C$9)^INT((C957-1)/12)</f>
        <v>112.550881</v>
      </c>
      <c r="G957" s="10" t="n">
        <f aca="false">E957*F957</f>
        <v>112.550881</v>
      </c>
      <c r="H957" s="10" t="n">
        <f aca="false">IF(OR(Nonlabor!$L$21="Quote required",Nonlabor!$L$21="Unverified"),G957,0)</f>
        <v>0</v>
      </c>
      <c r="I957" s="10" t="n">
        <f aca="false">IF(Nonlabor!$E$21="Core",0,G957)</f>
        <v>0</v>
      </c>
      <c r="J957" s="23" t="str">
        <f aca="false">Nonlabor!$B$21</f>
        <v>SUPPORT</v>
      </c>
    </row>
    <row r="958" customFormat="false" ht="15" hidden="false" customHeight="false" outlineLevel="0" collapsed="false">
      <c r="A958" s="6" t="s">
        <v>72</v>
      </c>
      <c r="B958" s="6" t="s">
        <v>53</v>
      </c>
      <c r="C958" s="6" t="n">
        <v>53</v>
      </c>
      <c r="D958" s="25" t="n">
        <f aca="false">EDATE('Start Here'!$B$6,C958-1)</f>
        <v>47908</v>
      </c>
      <c r="E958" s="23" t="n">
        <f aca="false">IF(AND(OR(Nonlabor!$D$21="Both",Nonlabor!$D$21='Start Here'!$B$9),IF(Nonlabor!$E$21="Core",1,IF(Nonlabor!$E$21="AI",'Start Here'!$B$7,'Start Here'!$B$8))=1,C958&gt;=IF(Nonlabor!$E$21="Core",Nonlabor!$F$21,MAX(Nonlabor!$F$21,IF(Nonlabor!$E$21="AI",Assumptions!$C$24,Assumptions!$C$25))),C958&lt;=Nonlabor!$G$21,OR(Nonlabor!$H$21="Monthly",AND(Nonlabor!$H$21="Once",C958=IF(Nonlabor!$E$21="Core",Nonlabor!$F$21,MAX(Nonlabor!$F$21,IF(Nonlabor!$E$21="AI",Assumptions!$C$24,Assumptions!$C$25)))),AND(Nonlabor!$H$21="Annual",MOD(C958-IF(Nonlabor!$E$21="Core",Nonlabor!$F$21,MAX(Nonlabor!$F$21,IF(Nonlabor!$E$21="AI",Assumptions!$C$24,Assumptions!$C$25))),12)=0))),IF(Nonlabor!$I$21="Fixed",1,IF(Nonlabor!$I$21="Seats",ROUNDUP('Monthly Lean'!I58,0),IF(Nonlabor!$I$21="Customers",'Monthly Lean'!D58,IF(Nonlabor!$I$21="NewCustomers",'Monthly Lean'!C58,IF(Nonlabor!$I$21="StorageGB",'Monthly Lean'!G58,IF(Nonlabor!$I$21="LogGB",'Monthly Lean'!H58,IF(Nonlabor!$I$21="RequestsM",'Monthly Lean'!F58,IF(Nonlabor!$I$21="InputM",'Monthly Lean'!D58*Assumptions!$C$22/1000000,IF(Nonlabor!$I$21="OutputM",'Monthly Lean'!D58*Assumptions!$C$23/1000000,0))))))))),0)</f>
        <v>1</v>
      </c>
      <c r="F958" s="10" t="n">
        <f aca="false">Nonlabor!$J$21*(1+Assumptions!$C$9)^INT((C958-1)/12)</f>
        <v>112.550881</v>
      </c>
      <c r="G958" s="10" t="n">
        <f aca="false">E958*F958</f>
        <v>112.550881</v>
      </c>
      <c r="H958" s="10" t="n">
        <f aca="false">IF(OR(Nonlabor!$L$21="Quote required",Nonlabor!$L$21="Unverified"),G958,0)</f>
        <v>0</v>
      </c>
      <c r="I958" s="10" t="n">
        <f aca="false">IF(Nonlabor!$E$21="Core",0,G958)</f>
        <v>0</v>
      </c>
      <c r="J958" s="23" t="str">
        <f aca="false">Nonlabor!$B$21</f>
        <v>SUPPORT</v>
      </c>
    </row>
    <row r="959" customFormat="false" ht="15" hidden="false" customHeight="false" outlineLevel="0" collapsed="false">
      <c r="A959" s="6" t="s">
        <v>72</v>
      </c>
      <c r="B959" s="6" t="s">
        <v>53</v>
      </c>
      <c r="C959" s="6" t="n">
        <v>54</v>
      </c>
      <c r="D959" s="25" t="n">
        <f aca="false">EDATE('Start Here'!$B$6,C959-1)</f>
        <v>47939</v>
      </c>
      <c r="E959" s="23" t="n">
        <f aca="false">IF(AND(OR(Nonlabor!$D$21="Both",Nonlabor!$D$21='Start Here'!$B$9),IF(Nonlabor!$E$21="Core",1,IF(Nonlabor!$E$21="AI",'Start Here'!$B$7,'Start Here'!$B$8))=1,C959&gt;=IF(Nonlabor!$E$21="Core",Nonlabor!$F$21,MAX(Nonlabor!$F$21,IF(Nonlabor!$E$21="AI",Assumptions!$C$24,Assumptions!$C$25))),C959&lt;=Nonlabor!$G$21,OR(Nonlabor!$H$21="Monthly",AND(Nonlabor!$H$21="Once",C959=IF(Nonlabor!$E$21="Core",Nonlabor!$F$21,MAX(Nonlabor!$F$21,IF(Nonlabor!$E$21="AI",Assumptions!$C$24,Assumptions!$C$25)))),AND(Nonlabor!$H$21="Annual",MOD(C959-IF(Nonlabor!$E$21="Core",Nonlabor!$F$21,MAX(Nonlabor!$F$21,IF(Nonlabor!$E$21="AI",Assumptions!$C$24,Assumptions!$C$25))),12)=0))),IF(Nonlabor!$I$21="Fixed",1,IF(Nonlabor!$I$21="Seats",ROUNDUP('Monthly Lean'!I59,0),IF(Nonlabor!$I$21="Customers",'Monthly Lean'!D59,IF(Nonlabor!$I$21="NewCustomers",'Monthly Lean'!C59,IF(Nonlabor!$I$21="StorageGB",'Monthly Lean'!G59,IF(Nonlabor!$I$21="LogGB",'Monthly Lean'!H59,IF(Nonlabor!$I$21="RequestsM",'Monthly Lean'!F59,IF(Nonlabor!$I$21="InputM",'Monthly Lean'!D59*Assumptions!$C$22/1000000,IF(Nonlabor!$I$21="OutputM",'Monthly Lean'!D59*Assumptions!$C$23/1000000,0))))))))),0)</f>
        <v>1</v>
      </c>
      <c r="F959" s="10" t="n">
        <f aca="false">Nonlabor!$J$21*(1+Assumptions!$C$9)^INT((C959-1)/12)</f>
        <v>112.550881</v>
      </c>
      <c r="G959" s="10" t="n">
        <f aca="false">E959*F959</f>
        <v>112.550881</v>
      </c>
      <c r="H959" s="10" t="n">
        <f aca="false">IF(OR(Nonlabor!$L$21="Quote required",Nonlabor!$L$21="Unverified"),G959,0)</f>
        <v>0</v>
      </c>
      <c r="I959" s="10" t="n">
        <f aca="false">IF(Nonlabor!$E$21="Core",0,G959)</f>
        <v>0</v>
      </c>
      <c r="J959" s="23" t="str">
        <f aca="false">Nonlabor!$B$21</f>
        <v>SUPPORT</v>
      </c>
    </row>
    <row r="960" customFormat="false" ht="15" hidden="false" customHeight="false" outlineLevel="0" collapsed="false">
      <c r="A960" s="6" t="s">
        <v>72</v>
      </c>
      <c r="B960" s="6" t="s">
        <v>53</v>
      </c>
      <c r="C960" s="6" t="n">
        <v>55</v>
      </c>
      <c r="D960" s="25" t="n">
        <f aca="false">EDATE('Start Here'!$B$6,C960-1)</f>
        <v>47969</v>
      </c>
      <c r="E960" s="23" t="n">
        <f aca="false">IF(AND(OR(Nonlabor!$D$21="Both",Nonlabor!$D$21='Start Here'!$B$9),IF(Nonlabor!$E$21="Core",1,IF(Nonlabor!$E$21="AI",'Start Here'!$B$7,'Start Here'!$B$8))=1,C960&gt;=IF(Nonlabor!$E$21="Core",Nonlabor!$F$21,MAX(Nonlabor!$F$21,IF(Nonlabor!$E$21="AI",Assumptions!$C$24,Assumptions!$C$25))),C960&lt;=Nonlabor!$G$21,OR(Nonlabor!$H$21="Monthly",AND(Nonlabor!$H$21="Once",C960=IF(Nonlabor!$E$21="Core",Nonlabor!$F$21,MAX(Nonlabor!$F$21,IF(Nonlabor!$E$21="AI",Assumptions!$C$24,Assumptions!$C$25)))),AND(Nonlabor!$H$21="Annual",MOD(C960-IF(Nonlabor!$E$21="Core",Nonlabor!$F$21,MAX(Nonlabor!$F$21,IF(Nonlabor!$E$21="AI",Assumptions!$C$24,Assumptions!$C$25))),12)=0))),IF(Nonlabor!$I$21="Fixed",1,IF(Nonlabor!$I$21="Seats",ROUNDUP('Monthly Lean'!I60,0),IF(Nonlabor!$I$21="Customers",'Monthly Lean'!D60,IF(Nonlabor!$I$21="NewCustomers",'Monthly Lean'!C60,IF(Nonlabor!$I$21="StorageGB",'Monthly Lean'!G60,IF(Nonlabor!$I$21="LogGB",'Monthly Lean'!H60,IF(Nonlabor!$I$21="RequestsM",'Monthly Lean'!F60,IF(Nonlabor!$I$21="InputM",'Monthly Lean'!D60*Assumptions!$C$22/1000000,IF(Nonlabor!$I$21="OutputM",'Monthly Lean'!D60*Assumptions!$C$23/1000000,0))))))))),0)</f>
        <v>1</v>
      </c>
      <c r="F960" s="10" t="n">
        <f aca="false">Nonlabor!$J$21*(1+Assumptions!$C$9)^INT((C960-1)/12)</f>
        <v>112.550881</v>
      </c>
      <c r="G960" s="10" t="n">
        <f aca="false">E960*F960</f>
        <v>112.550881</v>
      </c>
      <c r="H960" s="10" t="n">
        <f aca="false">IF(OR(Nonlabor!$L$21="Quote required",Nonlabor!$L$21="Unverified"),G960,0)</f>
        <v>0</v>
      </c>
      <c r="I960" s="10" t="n">
        <f aca="false">IF(Nonlabor!$E$21="Core",0,G960)</f>
        <v>0</v>
      </c>
      <c r="J960" s="23" t="str">
        <f aca="false">Nonlabor!$B$21</f>
        <v>SUPPORT</v>
      </c>
    </row>
    <row r="961" customFormat="false" ht="15" hidden="false" customHeight="false" outlineLevel="0" collapsed="false">
      <c r="A961" s="6" t="s">
        <v>72</v>
      </c>
      <c r="B961" s="6" t="s">
        <v>53</v>
      </c>
      <c r="C961" s="6" t="n">
        <v>56</v>
      </c>
      <c r="D961" s="25" t="n">
        <f aca="false">EDATE('Start Here'!$B$6,C961-1)</f>
        <v>48000</v>
      </c>
      <c r="E961" s="23" t="n">
        <f aca="false">IF(AND(OR(Nonlabor!$D$21="Both",Nonlabor!$D$21='Start Here'!$B$9),IF(Nonlabor!$E$21="Core",1,IF(Nonlabor!$E$21="AI",'Start Here'!$B$7,'Start Here'!$B$8))=1,C961&gt;=IF(Nonlabor!$E$21="Core",Nonlabor!$F$21,MAX(Nonlabor!$F$21,IF(Nonlabor!$E$21="AI",Assumptions!$C$24,Assumptions!$C$25))),C961&lt;=Nonlabor!$G$21,OR(Nonlabor!$H$21="Monthly",AND(Nonlabor!$H$21="Once",C961=IF(Nonlabor!$E$21="Core",Nonlabor!$F$21,MAX(Nonlabor!$F$21,IF(Nonlabor!$E$21="AI",Assumptions!$C$24,Assumptions!$C$25)))),AND(Nonlabor!$H$21="Annual",MOD(C961-IF(Nonlabor!$E$21="Core",Nonlabor!$F$21,MAX(Nonlabor!$F$21,IF(Nonlabor!$E$21="AI",Assumptions!$C$24,Assumptions!$C$25))),12)=0))),IF(Nonlabor!$I$21="Fixed",1,IF(Nonlabor!$I$21="Seats",ROUNDUP('Monthly Lean'!I61,0),IF(Nonlabor!$I$21="Customers",'Monthly Lean'!D61,IF(Nonlabor!$I$21="NewCustomers",'Monthly Lean'!C61,IF(Nonlabor!$I$21="StorageGB",'Monthly Lean'!G61,IF(Nonlabor!$I$21="LogGB",'Monthly Lean'!H61,IF(Nonlabor!$I$21="RequestsM",'Monthly Lean'!F61,IF(Nonlabor!$I$21="InputM",'Monthly Lean'!D61*Assumptions!$C$22/1000000,IF(Nonlabor!$I$21="OutputM",'Monthly Lean'!D61*Assumptions!$C$23/1000000,0))))))))),0)</f>
        <v>1</v>
      </c>
      <c r="F961" s="10" t="n">
        <f aca="false">Nonlabor!$J$21*(1+Assumptions!$C$9)^INT((C961-1)/12)</f>
        <v>112.550881</v>
      </c>
      <c r="G961" s="10" t="n">
        <f aca="false">E961*F961</f>
        <v>112.550881</v>
      </c>
      <c r="H961" s="10" t="n">
        <f aca="false">IF(OR(Nonlabor!$L$21="Quote required",Nonlabor!$L$21="Unverified"),G961,0)</f>
        <v>0</v>
      </c>
      <c r="I961" s="10" t="n">
        <f aca="false">IF(Nonlabor!$E$21="Core",0,G961)</f>
        <v>0</v>
      </c>
      <c r="J961" s="23" t="str">
        <f aca="false">Nonlabor!$B$21</f>
        <v>SUPPORT</v>
      </c>
    </row>
    <row r="962" customFormat="false" ht="15" hidden="false" customHeight="false" outlineLevel="0" collapsed="false">
      <c r="A962" s="6" t="s">
        <v>72</v>
      </c>
      <c r="B962" s="6" t="s">
        <v>53</v>
      </c>
      <c r="C962" s="6" t="n">
        <v>57</v>
      </c>
      <c r="D962" s="25" t="n">
        <f aca="false">EDATE('Start Here'!$B$6,C962-1)</f>
        <v>48030</v>
      </c>
      <c r="E962" s="23" t="n">
        <f aca="false">IF(AND(OR(Nonlabor!$D$21="Both",Nonlabor!$D$21='Start Here'!$B$9),IF(Nonlabor!$E$21="Core",1,IF(Nonlabor!$E$21="AI",'Start Here'!$B$7,'Start Here'!$B$8))=1,C962&gt;=IF(Nonlabor!$E$21="Core",Nonlabor!$F$21,MAX(Nonlabor!$F$21,IF(Nonlabor!$E$21="AI",Assumptions!$C$24,Assumptions!$C$25))),C962&lt;=Nonlabor!$G$21,OR(Nonlabor!$H$21="Monthly",AND(Nonlabor!$H$21="Once",C962=IF(Nonlabor!$E$21="Core",Nonlabor!$F$21,MAX(Nonlabor!$F$21,IF(Nonlabor!$E$21="AI",Assumptions!$C$24,Assumptions!$C$25)))),AND(Nonlabor!$H$21="Annual",MOD(C962-IF(Nonlabor!$E$21="Core",Nonlabor!$F$21,MAX(Nonlabor!$F$21,IF(Nonlabor!$E$21="AI",Assumptions!$C$24,Assumptions!$C$25))),12)=0))),IF(Nonlabor!$I$21="Fixed",1,IF(Nonlabor!$I$21="Seats",ROUNDUP('Monthly Lean'!I62,0),IF(Nonlabor!$I$21="Customers",'Monthly Lean'!D62,IF(Nonlabor!$I$21="NewCustomers",'Monthly Lean'!C62,IF(Nonlabor!$I$21="StorageGB",'Monthly Lean'!G62,IF(Nonlabor!$I$21="LogGB",'Monthly Lean'!H62,IF(Nonlabor!$I$21="RequestsM",'Monthly Lean'!F62,IF(Nonlabor!$I$21="InputM",'Monthly Lean'!D62*Assumptions!$C$22/1000000,IF(Nonlabor!$I$21="OutputM",'Monthly Lean'!D62*Assumptions!$C$23/1000000,0))))))))),0)</f>
        <v>1</v>
      </c>
      <c r="F962" s="10" t="n">
        <f aca="false">Nonlabor!$J$21*(1+Assumptions!$C$9)^INT((C962-1)/12)</f>
        <v>112.550881</v>
      </c>
      <c r="G962" s="10" t="n">
        <f aca="false">E962*F962</f>
        <v>112.550881</v>
      </c>
      <c r="H962" s="10" t="n">
        <f aca="false">IF(OR(Nonlabor!$L$21="Quote required",Nonlabor!$L$21="Unverified"),G962,0)</f>
        <v>0</v>
      </c>
      <c r="I962" s="10" t="n">
        <f aca="false">IF(Nonlabor!$E$21="Core",0,G962)</f>
        <v>0</v>
      </c>
      <c r="J962" s="23" t="str">
        <f aca="false">Nonlabor!$B$21</f>
        <v>SUPPORT</v>
      </c>
    </row>
    <row r="963" customFormat="false" ht="15" hidden="false" customHeight="false" outlineLevel="0" collapsed="false">
      <c r="A963" s="6" t="s">
        <v>72</v>
      </c>
      <c r="B963" s="6" t="s">
        <v>53</v>
      </c>
      <c r="C963" s="6" t="n">
        <v>58</v>
      </c>
      <c r="D963" s="25" t="n">
        <f aca="false">EDATE('Start Here'!$B$6,C963-1)</f>
        <v>48061</v>
      </c>
      <c r="E963" s="23" t="n">
        <f aca="false">IF(AND(OR(Nonlabor!$D$21="Both",Nonlabor!$D$21='Start Here'!$B$9),IF(Nonlabor!$E$21="Core",1,IF(Nonlabor!$E$21="AI",'Start Here'!$B$7,'Start Here'!$B$8))=1,C963&gt;=IF(Nonlabor!$E$21="Core",Nonlabor!$F$21,MAX(Nonlabor!$F$21,IF(Nonlabor!$E$21="AI",Assumptions!$C$24,Assumptions!$C$25))),C963&lt;=Nonlabor!$G$21,OR(Nonlabor!$H$21="Monthly",AND(Nonlabor!$H$21="Once",C963=IF(Nonlabor!$E$21="Core",Nonlabor!$F$21,MAX(Nonlabor!$F$21,IF(Nonlabor!$E$21="AI",Assumptions!$C$24,Assumptions!$C$25)))),AND(Nonlabor!$H$21="Annual",MOD(C963-IF(Nonlabor!$E$21="Core",Nonlabor!$F$21,MAX(Nonlabor!$F$21,IF(Nonlabor!$E$21="AI",Assumptions!$C$24,Assumptions!$C$25))),12)=0))),IF(Nonlabor!$I$21="Fixed",1,IF(Nonlabor!$I$21="Seats",ROUNDUP('Monthly Lean'!I63,0),IF(Nonlabor!$I$21="Customers",'Monthly Lean'!D63,IF(Nonlabor!$I$21="NewCustomers",'Monthly Lean'!C63,IF(Nonlabor!$I$21="StorageGB",'Monthly Lean'!G63,IF(Nonlabor!$I$21="LogGB",'Monthly Lean'!H63,IF(Nonlabor!$I$21="RequestsM",'Monthly Lean'!F63,IF(Nonlabor!$I$21="InputM",'Monthly Lean'!D63*Assumptions!$C$22/1000000,IF(Nonlabor!$I$21="OutputM",'Monthly Lean'!D63*Assumptions!$C$23/1000000,0))))))))),0)</f>
        <v>1</v>
      </c>
      <c r="F963" s="10" t="n">
        <f aca="false">Nonlabor!$J$21*(1+Assumptions!$C$9)^INT((C963-1)/12)</f>
        <v>112.550881</v>
      </c>
      <c r="G963" s="10" t="n">
        <f aca="false">E963*F963</f>
        <v>112.550881</v>
      </c>
      <c r="H963" s="10" t="n">
        <f aca="false">IF(OR(Nonlabor!$L$21="Quote required",Nonlabor!$L$21="Unverified"),G963,0)</f>
        <v>0</v>
      </c>
      <c r="I963" s="10" t="n">
        <f aca="false">IF(Nonlabor!$E$21="Core",0,G963)</f>
        <v>0</v>
      </c>
      <c r="J963" s="23" t="str">
        <f aca="false">Nonlabor!$B$21</f>
        <v>SUPPORT</v>
      </c>
    </row>
    <row r="964" customFormat="false" ht="15" hidden="false" customHeight="false" outlineLevel="0" collapsed="false">
      <c r="A964" s="6" t="s">
        <v>72</v>
      </c>
      <c r="B964" s="6" t="s">
        <v>53</v>
      </c>
      <c r="C964" s="6" t="n">
        <v>59</v>
      </c>
      <c r="D964" s="25" t="n">
        <f aca="false">EDATE('Start Here'!$B$6,C964-1)</f>
        <v>48092</v>
      </c>
      <c r="E964" s="23" t="n">
        <f aca="false">IF(AND(OR(Nonlabor!$D$21="Both",Nonlabor!$D$21='Start Here'!$B$9),IF(Nonlabor!$E$21="Core",1,IF(Nonlabor!$E$21="AI",'Start Here'!$B$7,'Start Here'!$B$8))=1,C964&gt;=IF(Nonlabor!$E$21="Core",Nonlabor!$F$21,MAX(Nonlabor!$F$21,IF(Nonlabor!$E$21="AI",Assumptions!$C$24,Assumptions!$C$25))),C964&lt;=Nonlabor!$G$21,OR(Nonlabor!$H$21="Monthly",AND(Nonlabor!$H$21="Once",C964=IF(Nonlabor!$E$21="Core",Nonlabor!$F$21,MAX(Nonlabor!$F$21,IF(Nonlabor!$E$21="AI",Assumptions!$C$24,Assumptions!$C$25)))),AND(Nonlabor!$H$21="Annual",MOD(C964-IF(Nonlabor!$E$21="Core",Nonlabor!$F$21,MAX(Nonlabor!$F$21,IF(Nonlabor!$E$21="AI",Assumptions!$C$24,Assumptions!$C$25))),12)=0))),IF(Nonlabor!$I$21="Fixed",1,IF(Nonlabor!$I$21="Seats",ROUNDUP('Monthly Lean'!I64,0),IF(Nonlabor!$I$21="Customers",'Monthly Lean'!D64,IF(Nonlabor!$I$21="NewCustomers",'Monthly Lean'!C64,IF(Nonlabor!$I$21="StorageGB",'Monthly Lean'!G64,IF(Nonlabor!$I$21="LogGB",'Monthly Lean'!H64,IF(Nonlabor!$I$21="RequestsM",'Monthly Lean'!F64,IF(Nonlabor!$I$21="InputM",'Monthly Lean'!D64*Assumptions!$C$22/1000000,IF(Nonlabor!$I$21="OutputM",'Monthly Lean'!D64*Assumptions!$C$23/1000000,0))))))))),0)</f>
        <v>1</v>
      </c>
      <c r="F964" s="10" t="n">
        <f aca="false">Nonlabor!$J$21*(1+Assumptions!$C$9)^INT((C964-1)/12)</f>
        <v>112.550881</v>
      </c>
      <c r="G964" s="10" t="n">
        <f aca="false">E964*F964</f>
        <v>112.550881</v>
      </c>
      <c r="H964" s="10" t="n">
        <f aca="false">IF(OR(Nonlabor!$L$21="Quote required",Nonlabor!$L$21="Unverified"),G964,0)</f>
        <v>0</v>
      </c>
      <c r="I964" s="10" t="n">
        <f aca="false">IF(Nonlabor!$E$21="Core",0,G964)</f>
        <v>0</v>
      </c>
      <c r="J964" s="23" t="str">
        <f aca="false">Nonlabor!$B$21</f>
        <v>SUPPORT</v>
      </c>
    </row>
    <row r="965" customFormat="false" ht="15" hidden="false" customHeight="false" outlineLevel="0" collapsed="false">
      <c r="A965" s="6" t="s">
        <v>72</v>
      </c>
      <c r="B965" s="6" t="s">
        <v>53</v>
      </c>
      <c r="C965" s="6" t="n">
        <v>60</v>
      </c>
      <c r="D965" s="25" t="n">
        <f aca="false">EDATE('Start Here'!$B$6,C965-1)</f>
        <v>48122</v>
      </c>
      <c r="E965" s="23" t="n">
        <f aca="false">IF(AND(OR(Nonlabor!$D$21="Both",Nonlabor!$D$21='Start Here'!$B$9),IF(Nonlabor!$E$21="Core",1,IF(Nonlabor!$E$21="AI",'Start Here'!$B$7,'Start Here'!$B$8))=1,C965&gt;=IF(Nonlabor!$E$21="Core",Nonlabor!$F$21,MAX(Nonlabor!$F$21,IF(Nonlabor!$E$21="AI",Assumptions!$C$24,Assumptions!$C$25))),C965&lt;=Nonlabor!$G$21,OR(Nonlabor!$H$21="Monthly",AND(Nonlabor!$H$21="Once",C965=IF(Nonlabor!$E$21="Core",Nonlabor!$F$21,MAX(Nonlabor!$F$21,IF(Nonlabor!$E$21="AI",Assumptions!$C$24,Assumptions!$C$25)))),AND(Nonlabor!$H$21="Annual",MOD(C965-IF(Nonlabor!$E$21="Core",Nonlabor!$F$21,MAX(Nonlabor!$F$21,IF(Nonlabor!$E$21="AI",Assumptions!$C$24,Assumptions!$C$25))),12)=0))),IF(Nonlabor!$I$21="Fixed",1,IF(Nonlabor!$I$21="Seats",ROUNDUP('Monthly Lean'!I65,0),IF(Nonlabor!$I$21="Customers",'Monthly Lean'!D65,IF(Nonlabor!$I$21="NewCustomers",'Monthly Lean'!C65,IF(Nonlabor!$I$21="StorageGB",'Monthly Lean'!G65,IF(Nonlabor!$I$21="LogGB",'Monthly Lean'!H65,IF(Nonlabor!$I$21="RequestsM",'Monthly Lean'!F65,IF(Nonlabor!$I$21="InputM",'Monthly Lean'!D65*Assumptions!$C$22/1000000,IF(Nonlabor!$I$21="OutputM",'Monthly Lean'!D65*Assumptions!$C$23/1000000,0))))))))),0)</f>
        <v>1</v>
      </c>
      <c r="F965" s="10" t="n">
        <f aca="false">Nonlabor!$J$21*(1+Assumptions!$C$9)^INT((C965-1)/12)</f>
        <v>112.550881</v>
      </c>
      <c r="G965" s="10" t="n">
        <f aca="false">E965*F965</f>
        <v>112.550881</v>
      </c>
      <c r="H965" s="10" t="n">
        <f aca="false">IF(OR(Nonlabor!$L$21="Quote required",Nonlabor!$L$21="Unverified"),G965,0)</f>
        <v>0</v>
      </c>
      <c r="I965" s="10" t="n">
        <f aca="false">IF(Nonlabor!$E$21="Core",0,G965)</f>
        <v>0</v>
      </c>
      <c r="J965" s="23" t="str">
        <f aca="false">Nonlabor!$B$21</f>
        <v>SUPPORT</v>
      </c>
    </row>
    <row r="966" customFormat="false" ht="15" hidden="false" customHeight="false" outlineLevel="0" collapsed="false">
      <c r="A966" s="6" t="s">
        <v>72</v>
      </c>
      <c r="B966" s="6" t="s">
        <v>55</v>
      </c>
      <c r="C966" s="6" t="n">
        <v>1</v>
      </c>
      <c r="D966" s="25" t="n">
        <f aca="false">EDATE('Start Here'!$B$6,C966-1)</f>
        <v>46327</v>
      </c>
      <c r="E966" s="23" t="n">
        <f aca="false">IF(AND(OR(Nonlabor!$D$22="Both",Nonlabor!$D$22='Start Here'!$B$9),IF(Nonlabor!$E$22="Core",1,IF(Nonlabor!$E$22="AI",'Start Here'!$B$7,'Start Here'!$B$8))=1,C966&gt;=IF(Nonlabor!$E$22="Core",Nonlabor!$F$22,MAX(Nonlabor!$F$22,IF(Nonlabor!$E$22="AI",Assumptions!$C$24,Assumptions!$C$25))),C966&lt;=Nonlabor!$G$22,OR(Nonlabor!$H$22="Monthly",AND(Nonlabor!$H$22="Once",C966=IF(Nonlabor!$E$22="Core",Nonlabor!$F$22,MAX(Nonlabor!$F$22,IF(Nonlabor!$E$22="AI",Assumptions!$C$24,Assumptions!$C$25)))),AND(Nonlabor!$H$22="Annual",MOD(C966-IF(Nonlabor!$E$22="Core",Nonlabor!$F$22,MAX(Nonlabor!$F$22,IF(Nonlabor!$E$22="AI",Assumptions!$C$24,Assumptions!$C$25))),12)=0))),IF(Nonlabor!$I$22="Fixed",1,IF(Nonlabor!$I$22="Seats",ROUNDUP('Monthly Lean'!I6,0),IF(Nonlabor!$I$22="Customers",'Monthly Lean'!D6,IF(Nonlabor!$I$22="NewCustomers",'Monthly Lean'!C6,IF(Nonlabor!$I$22="StorageGB",'Monthly Lean'!G6,IF(Nonlabor!$I$22="LogGB",'Monthly Lean'!H6,IF(Nonlabor!$I$22="RequestsM",'Monthly Lean'!F6,IF(Nonlabor!$I$22="InputM",'Monthly Lean'!D6*Assumptions!$C$22/1000000,IF(Nonlabor!$I$22="OutputM",'Monthly Lean'!D6*Assumptions!$C$23/1000000,0))))))))),0)</f>
        <v>0</v>
      </c>
      <c r="F966" s="10" t="n">
        <f aca="false">Nonlabor!$J$22*(1+Assumptions!$C$9)^INT((C966-1)/12)</f>
        <v>75</v>
      </c>
      <c r="G966" s="10" t="n">
        <f aca="false">E966*F966</f>
        <v>0</v>
      </c>
      <c r="H966" s="10" t="n">
        <f aca="false">IF(OR(Nonlabor!$L$22="Quote required",Nonlabor!$L$22="Unverified"),G966,0)</f>
        <v>0</v>
      </c>
      <c r="I966" s="10" t="n">
        <f aca="false">IF(Nonlabor!$E$22="Core",0,G966)</f>
        <v>0</v>
      </c>
      <c r="J966" s="23" t="str">
        <f aca="false">Nonlabor!$B$22</f>
        <v>MARKETING</v>
      </c>
    </row>
    <row r="967" customFormat="false" ht="15" hidden="false" customHeight="false" outlineLevel="0" collapsed="false">
      <c r="A967" s="6" t="s">
        <v>72</v>
      </c>
      <c r="B967" s="6" t="s">
        <v>55</v>
      </c>
      <c r="C967" s="6" t="n">
        <v>2</v>
      </c>
      <c r="D967" s="25" t="n">
        <f aca="false">EDATE('Start Here'!$B$6,C967-1)</f>
        <v>46357</v>
      </c>
      <c r="E967" s="23" t="n">
        <f aca="false">IF(AND(OR(Nonlabor!$D$22="Both",Nonlabor!$D$22='Start Here'!$B$9),IF(Nonlabor!$E$22="Core",1,IF(Nonlabor!$E$22="AI",'Start Here'!$B$7,'Start Here'!$B$8))=1,C967&gt;=IF(Nonlabor!$E$22="Core",Nonlabor!$F$22,MAX(Nonlabor!$F$22,IF(Nonlabor!$E$22="AI",Assumptions!$C$24,Assumptions!$C$25))),C967&lt;=Nonlabor!$G$22,OR(Nonlabor!$H$22="Monthly",AND(Nonlabor!$H$22="Once",C967=IF(Nonlabor!$E$22="Core",Nonlabor!$F$22,MAX(Nonlabor!$F$22,IF(Nonlabor!$E$22="AI",Assumptions!$C$24,Assumptions!$C$25)))),AND(Nonlabor!$H$22="Annual",MOD(C967-IF(Nonlabor!$E$22="Core",Nonlabor!$F$22,MAX(Nonlabor!$F$22,IF(Nonlabor!$E$22="AI",Assumptions!$C$24,Assumptions!$C$25))),12)=0))),IF(Nonlabor!$I$22="Fixed",1,IF(Nonlabor!$I$22="Seats",ROUNDUP('Monthly Lean'!I7,0),IF(Nonlabor!$I$22="Customers",'Monthly Lean'!D7,IF(Nonlabor!$I$22="NewCustomers",'Monthly Lean'!C7,IF(Nonlabor!$I$22="StorageGB",'Monthly Lean'!G7,IF(Nonlabor!$I$22="LogGB",'Monthly Lean'!H7,IF(Nonlabor!$I$22="RequestsM",'Monthly Lean'!F7,IF(Nonlabor!$I$22="InputM",'Monthly Lean'!D7*Assumptions!$C$22/1000000,IF(Nonlabor!$I$22="OutputM",'Monthly Lean'!D7*Assumptions!$C$23/1000000,0))))))))),0)</f>
        <v>0</v>
      </c>
      <c r="F967" s="10" t="n">
        <f aca="false">Nonlabor!$J$22*(1+Assumptions!$C$9)^INT((C967-1)/12)</f>
        <v>75</v>
      </c>
      <c r="G967" s="10" t="n">
        <f aca="false">E967*F967</f>
        <v>0</v>
      </c>
      <c r="H967" s="10" t="n">
        <f aca="false">IF(OR(Nonlabor!$L$22="Quote required",Nonlabor!$L$22="Unverified"),G967,0)</f>
        <v>0</v>
      </c>
      <c r="I967" s="10" t="n">
        <f aca="false">IF(Nonlabor!$E$22="Core",0,G967)</f>
        <v>0</v>
      </c>
      <c r="J967" s="23" t="str">
        <f aca="false">Nonlabor!$B$22</f>
        <v>MARKETING</v>
      </c>
    </row>
    <row r="968" customFormat="false" ht="15" hidden="false" customHeight="false" outlineLevel="0" collapsed="false">
      <c r="A968" s="6" t="s">
        <v>72</v>
      </c>
      <c r="B968" s="6" t="s">
        <v>55</v>
      </c>
      <c r="C968" s="6" t="n">
        <v>3</v>
      </c>
      <c r="D968" s="25" t="n">
        <f aca="false">EDATE('Start Here'!$B$6,C968-1)</f>
        <v>46388</v>
      </c>
      <c r="E968" s="23" t="n">
        <f aca="false">IF(AND(OR(Nonlabor!$D$22="Both",Nonlabor!$D$22='Start Here'!$B$9),IF(Nonlabor!$E$22="Core",1,IF(Nonlabor!$E$22="AI",'Start Here'!$B$7,'Start Here'!$B$8))=1,C968&gt;=IF(Nonlabor!$E$22="Core",Nonlabor!$F$22,MAX(Nonlabor!$F$22,IF(Nonlabor!$E$22="AI",Assumptions!$C$24,Assumptions!$C$25))),C968&lt;=Nonlabor!$G$22,OR(Nonlabor!$H$22="Monthly",AND(Nonlabor!$H$22="Once",C968=IF(Nonlabor!$E$22="Core",Nonlabor!$F$22,MAX(Nonlabor!$F$22,IF(Nonlabor!$E$22="AI",Assumptions!$C$24,Assumptions!$C$25)))),AND(Nonlabor!$H$22="Annual",MOD(C968-IF(Nonlabor!$E$22="Core",Nonlabor!$F$22,MAX(Nonlabor!$F$22,IF(Nonlabor!$E$22="AI",Assumptions!$C$24,Assumptions!$C$25))),12)=0))),IF(Nonlabor!$I$22="Fixed",1,IF(Nonlabor!$I$22="Seats",ROUNDUP('Monthly Lean'!I8,0),IF(Nonlabor!$I$22="Customers",'Monthly Lean'!D8,IF(Nonlabor!$I$22="NewCustomers",'Monthly Lean'!C8,IF(Nonlabor!$I$22="StorageGB",'Monthly Lean'!G8,IF(Nonlabor!$I$22="LogGB",'Monthly Lean'!H8,IF(Nonlabor!$I$22="RequestsM",'Monthly Lean'!F8,IF(Nonlabor!$I$22="InputM",'Monthly Lean'!D8*Assumptions!$C$22/1000000,IF(Nonlabor!$I$22="OutputM",'Monthly Lean'!D8*Assumptions!$C$23/1000000,0))))))))),0)</f>
        <v>0</v>
      </c>
      <c r="F968" s="10" t="n">
        <f aca="false">Nonlabor!$J$22*(1+Assumptions!$C$9)^INT((C968-1)/12)</f>
        <v>75</v>
      </c>
      <c r="G968" s="10" t="n">
        <f aca="false">E968*F968</f>
        <v>0</v>
      </c>
      <c r="H968" s="10" t="n">
        <f aca="false">IF(OR(Nonlabor!$L$22="Quote required",Nonlabor!$L$22="Unverified"),G968,0)</f>
        <v>0</v>
      </c>
      <c r="I968" s="10" t="n">
        <f aca="false">IF(Nonlabor!$E$22="Core",0,G968)</f>
        <v>0</v>
      </c>
      <c r="J968" s="23" t="str">
        <f aca="false">Nonlabor!$B$22</f>
        <v>MARKETING</v>
      </c>
    </row>
    <row r="969" customFormat="false" ht="15" hidden="false" customHeight="false" outlineLevel="0" collapsed="false">
      <c r="A969" s="6" t="s">
        <v>72</v>
      </c>
      <c r="B969" s="6" t="s">
        <v>55</v>
      </c>
      <c r="C969" s="6" t="n">
        <v>4</v>
      </c>
      <c r="D969" s="25" t="n">
        <f aca="false">EDATE('Start Here'!$B$6,C969-1)</f>
        <v>46419</v>
      </c>
      <c r="E969" s="23" t="n">
        <f aca="false">IF(AND(OR(Nonlabor!$D$22="Both",Nonlabor!$D$22='Start Here'!$B$9),IF(Nonlabor!$E$22="Core",1,IF(Nonlabor!$E$22="AI",'Start Here'!$B$7,'Start Here'!$B$8))=1,C969&gt;=IF(Nonlabor!$E$22="Core",Nonlabor!$F$22,MAX(Nonlabor!$F$22,IF(Nonlabor!$E$22="AI",Assumptions!$C$24,Assumptions!$C$25))),C969&lt;=Nonlabor!$G$22,OR(Nonlabor!$H$22="Monthly",AND(Nonlabor!$H$22="Once",C969=IF(Nonlabor!$E$22="Core",Nonlabor!$F$22,MAX(Nonlabor!$F$22,IF(Nonlabor!$E$22="AI",Assumptions!$C$24,Assumptions!$C$25)))),AND(Nonlabor!$H$22="Annual",MOD(C969-IF(Nonlabor!$E$22="Core",Nonlabor!$F$22,MAX(Nonlabor!$F$22,IF(Nonlabor!$E$22="AI",Assumptions!$C$24,Assumptions!$C$25))),12)=0))),IF(Nonlabor!$I$22="Fixed",1,IF(Nonlabor!$I$22="Seats",ROUNDUP('Monthly Lean'!I9,0),IF(Nonlabor!$I$22="Customers",'Monthly Lean'!D9,IF(Nonlabor!$I$22="NewCustomers",'Monthly Lean'!C9,IF(Nonlabor!$I$22="StorageGB",'Monthly Lean'!G9,IF(Nonlabor!$I$22="LogGB",'Monthly Lean'!H9,IF(Nonlabor!$I$22="RequestsM",'Monthly Lean'!F9,IF(Nonlabor!$I$22="InputM",'Monthly Lean'!D9*Assumptions!$C$22/1000000,IF(Nonlabor!$I$22="OutputM",'Monthly Lean'!D9*Assumptions!$C$23/1000000,0))))))))),0)</f>
        <v>0</v>
      </c>
      <c r="F969" s="10" t="n">
        <f aca="false">Nonlabor!$J$22*(1+Assumptions!$C$9)^INT((C969-1)/12)</f>
        <v>75</v>
      </c>
      <c r="G969" s="10" t="n">
        <f aca="false">E969*F969</f>
        <v>0</v>
      </c>
      <c r="H969" s="10" t="n">
        <f aca="false">IF(OR(Nonlabor!$L$22="Quote required",Nonlabor!$L$22="Unverified"),G969,0)</f>
        <v>0</v>
      </c>
      <c r="I969" s="10" t="n">
        <f aca="false">IF(Nonlabor!$E$22="Core",0,G969)</f>
        <v>0</v>
      </c>
      <c r="J969" s="23" t="str">
        <f aca="false">Nonlabor!$B$22</f>
        <v>MARKETING</v>
      </c>
    </row>
    <row r="970" customFormat="false" ht="15" hidden="false" customHeight="false" outlineLevel="0" collapsed="false">
      <c r="A970" s="6" t="s">
        <v>72</v>
      </c>
      <c r="B970" s="6" t="s">
        <v>55</v>
      </c>
      <c r="C970" s="6" t="n">
        <v>5</v>
      </c>
      <c r="D970" s="25" t="n">
        <f aca="false">EDATE('Start Here'!$B$6,C970-1)</f>
        <v>46447</v>
      </c>
      <c r="E970" s="23" t="n">
        <f aca="false">IF(AND(OR(Nonlabor!$D$22="Both",Nonlabor!$D$22='Start Here'!$B$9),IF(Nonlabor!$E$22="Core",1,IF(Nonlabor!$E$22="AI",'Start Here'!$B$7,'Start Here'!$B$8))=1,C970&gt;=IF(Nonlabor!$E$22="Core",Nonlabor!$F$22,MAX(Nonlabor!$F$22,IF(Nonlabor!$E$22="AI",Assumptions!$C$24,Assumptions!$C$25))),C970&lt;=Nonlabor!$G$22,OR(Nonlabor!$H$22="Monthly",AND(Nonlabor!$H$22="Once",C970=IF(Nonlabor!$E$22="Core",Nonlabor!$F$22,MAX(Nonlabor!$F$22,IF(Nonlabor!$E$22="AI",Assumptions!$C$24,Assumptions!$C$25)))),AND(Nonlabor!$H$22="Annual",MOD(C970-IF(Nonlabor!$E$22="Core",Nonlabor!$F$22,MAX(Nonlabor!$F$22,IF(Nonlabor!$E$22="AI",Assumptions!$C$24,Assumptions!$C$25))),12)=0))),IF(Nonlabor!$I$22="Fixed",1,IF(Nonlabor!$I$22="Seats",ROUNDUP('Monthly Lean'!I10,0),IF(Nonlabor!$I$22="Customers",'Monthly Lean'!D10,IF(Nonlabor!$I$22="NewCustomers",'Monthly Lean'!C10,IF(Nonlabor!$I$22="StorageGB",'Monthly Lean'!G10,IF(Nonlabor!$I$22="LogGB",'Monthly Lean'!H10,IF(Nonlabor!$I$22="RequestsM",'Monthly Lean'!F10,IF(Nonlabor!$I$22="InputM",'Monthly Lean'!D10*Assumptions!$C$22/1000000,IF(Nonlabor!$I$22="OutputM",'Monthly Lean'!D10*Assumptions!$C$23/1000000,0))))))))),0)</f>
        <v>0</v>
      </c>
      <c r="F970" s="10" t="n">
        <f aca="false">Nonlabor!$J$22*(1+Assumptions!$C$9)^INT((C970-1)/12)</f>
        <v>75</v>
      </c>
      <c r="G970" s="10" t="n">
        <f aca="false">E970*F970</f>
        <v>0</v>
      </c>
      <c r="H970" s="10" t="n">
        <f aca="false">IF(OR(Nonlabor!$L$22="Quote required",Nonlabor!$L$22="Unverified"),G970,0)</f>
        <v>0</v>
      </c>
      <c r="I970" s="10" t="n">
        <f aca="false">IF(Nonlabor!$E$22="Core",0,G970)</f>
        <v>0</v>
      </c>
      <c r="J970" s="23" t="str">
        <f aca="false">Nonlabor!$B$22</f>
        <v>MARKETING</v>
      </c>
    </row>
    <row r="971" customFormat="false" ht="15" hidden="false" customHeight="false" outlineLevel="0" collapsed="false">
      <c r="A971" s="6" t="s">
        <v>72</v>
      </c>
      <c r="B971" s="6" t="s">
        <v>55</v>
      </c>
      <c r="C971" s="6" t="n">
        <v>6</v>
      </c>
      <c r="D971" s="25" t="n">
        <f aca="false">EDATE('Start Here'!$B$6,C971-1)</f>
        <v>46478</v>
      </c>
      <c r="E971" s="23" t="n">
        <f aca="false">IF(AND(OR(Nonlabor!$D$22="Both",Nonlabor!$D$22='Start Here'!$B$9),IF(Nonlabor!$E$22="Core",1,IF(Nonlabor!$E$22="AI",'Start Here'!$B$7,'Start Here'!$B$8))=1,C971&gt;=IF(Nonlabor!$E$22="Core",Nonlabor!$F$22,MAX(Nonlabor!$F$22,IF(Nonlabor!$E$22="AI",Assumptions!$C$24,Assumptions!$C$25))),C971&lt;=Nonlabor!$G$22,OR(Nonlabor!$H$22="Monthly",AND(Nonlabor!$H$22="Once",C971=IF(Nonlabor!$E$22="Core",Nonlabor!$F$22,MAX(Nonlabor!$F$22,IF(Nonlabor!$E$22="AI",Assumptions!$C$24,Assumptions!$C$25)))),AND(Nonlabor!$H$22="Annual",MOD(C971-IF(Nonlabor!$E$22="Core",Nonlabor!$F$22,MAX(Nonlabor!$F$22,IF(Nonlabor!$E$22="AI",Assumptions!$C$24,Assumptions!$C$25))),12)=0))),IF(Nonlabor!$I$22="Fixed",1,IF(Nonlabor!$I$22="Seats",ROUNDUP('Monthly Lean'!I11,0),IF(Nonlabor!$I$22="Customers",'Monthly Lean'!D11,IF(Nonlabor!$I$22="NewCustomers",'Monthly Lean'!C11,IF(Nonlabor!$I$22="StorageGB",'Monthly Lean'!G11,IF(Nonlabor!$I$22="LogGB",'Monthly Lean'!H11,IF(Nonlabor!$I$22="RequestsM",'Monthly Lean'!F11,IF(Nonlabor!$I$22="InputM",'Monthly Lean'!D11*Assumptions!$C$22/1000000,IF(Nonlabor!$I$22="OutputM",'Monthly Lean'!D11*Assumptions!$C$23/1000000,0))))))))),0)</f>
        <v>0</v>
      </c>
      <c r="F971" s="10" t="n">
        <f aca="false">Nonlabor!$J$22*(1+Assumptions!$C$9)^INT((C971-1)/12)</f>
        <v>75</v>
      </c>
      <c r="G971" s="10" t="n">
        <f aca="false">E971*F971</f>
        <v>0</v>
      </c>
      <c r="H971" s="10" t="n">
        <f aca="false">IF(OR(Nonlabor!$L$22="Quote required",Nonlabor!$L$22="Unverified"),G971,0)</f>
        <v>0</v>
      </c>
      <c r="I971" s="10" t="n">
        <f aca="false">IF(Nonlabor!$E$22="Core",0,G971)</f>
        <v>0</v>
      </c>
      <c r="J971" s="23" t="str">
        <f aca="false">Nonlabor!$B$22</f>
        <v>MARKETING</v>
      </c>
    </row>
    <row r="972" customFormat="false" ht="15" hidden="false" customHeight="false" outlineLevel="0" collapsed="false">
      <c r="A972" s="6" t="s">
        <v>72</v>
      </c>
      <c r="B972" s="6" t="s">
        <v>55</v>
      </c>
      <c r="C972" s="6" t="n">
        <v>7</v>
      </c>
      <c r="D972" s="25" t="n">
        <f aca="false">EDATE('Start Here'!$B$6,C972-1)</f>
        <v>46508</v>
      </c>
      <c r="E972" s="23" t="n">
        <f aca="false">IF(AND(OR(Nonlabor!$D$22="Both",Nonlabor!$D$22='Start Here'!$B$9),IF(Nonlabor!$E$22="Core",1,IF(Nonlabor!$E$22="AI",'Start Here'!$B$7,'Start Here'!$B$8))=1,C972&gt;=IF(Nonlabor!$E$22="Core",Nonlabor!$F$22,MAX(Nonlabor!$F$22,IF(Nonlabor!$E$22="AI",Assumptions!$C$24,Assumptions!$C$25))),C972&lt;=Nonlabor!$G$22,OR(Nonlabor!$H$22="Monthly",AND(Nonlabor!$H$22="Once",C972=IF(Nonlabor!$E$22="Core",Nonlabor!$F$22,MAX(Nonlabor!$F$22,IF(Nonlabor!$E$22="AI",Assumptions!$C$24,Assumptions!$C$25)))),AND(Nonlabor!$H$22="Annual",MOD(C972-IF(Nonlabor!$E$22="Core",Nonlabor!$F$22,MAX(Nonlabor!$F$22,IF(Nonlabor!$E$22="AI",Assumptions!$C$24,Assumptions!$C$25))),12)=0))),IF(Nonlabor!$I$22="Fixed",1,IF(Nonlabor!$I$22="Seats",ROUNDUP('Monthly Lean'!I12,0),IF(Nonlabor!$I$22="Customers",'Monthly Lean'!D12,IF(Nonlabor!$I$22="NewCustomers",'Monthly Lean'!C12,IF(Nonlabor!$I$22="StorageGB",'Monthly Lean'!G12,IF(Nonlabor!$I$22="LogGB",'Monthly Lean'!H12,IF(Nonlabor!$I$22="RequestsM",'Monthly Lean'!F12,IF(Nonlabor!$I$22="InputM",'Monthly Lean'!D12*Assumptions!$C$22/1000000,IF(Nonlabor!$I$22="OutputM",'Monthly Lean'!D12*Assumptions!$C$23/1000000,0))))))))),0)</f>
        <v>0</v>
      </c>
      <c r="F972" s="10" t="n">
        <f aca="false">Nonlabor!$J$22*(1+Assumptions!$C$9)^INT((C972-1)/12)</f>
        <v>75</v>
      </c>
      <c r="G972" s="10" t="n">
        <f aca="false">E972*F972</f>
        <v>0</v>
      </c>
      <c r="H972" s="10" t="n">
        <f aca="false">IF(OR(Nonlabor!$L$22="Quote required",Nonlabor!$L$22="Unverified"),G972,0)</f>
        <v>0</v>
      </c>
      <c r="I972" s="10" t="n">
        <f aca="false">IF(Nonlabor!$E$22="Core",0,G972)</f>
        <v>0</v>
      </c>
      <c r="J972" s="23" t="str">
        <f aca="false">Nonlabor!$B$22</f>
        <v>MARKETING</v>
      </c>
    </row>
    <row r="973" customFormat="false" ht="15" hidden="false" customHeight="false" outlineLevel="0" collapsed="false">
      <c r="A973" s="6" t="s">
        <v>72</v>
      </c>
      <c r="B973" s="6" t="s">
        <v>55</v>
      </c>
      <c r="C973" s="6" t="n">
        <v>8</v>
      </c>
      <c r="D973" s="25" t="n">
        <f aca="false">EDATE('Start Here'!$B$6,C973-1)</f>
        <v>46539</v>
      </c>
      <c r="E973" s="23" t="n">
        <f aca="false">IF(AND(OR(Nonlabor!$D$22="Both",Nonlabor!$D$22='Start Here'!$B$9),IF(Nonlabor!$E$22="Core",1,IF(Nonlabor!$E$22="AI",'Start Here'!$B$7,'Start Here'!$B$8))=1,C973&gt;=IF(Nonlabor!$E$22="Core",Nonlabor!$F$22,MAX(Nonlabor!$F$22,IF(Nonlabor!$E$22="AI",Assumptions!$C$24,Assumptions!$C$25))),C973&lt;=Nonlabor!$G$22,OR(Nonlabor!$H$22="Monthly",AND(Nonlabor!$H$22="Once",C973=IF(Nonlabor!$E$22="Core",Nonlabor!$F$22,MAX(Nonlabor!$F$22,IF(Nonlabor!$E$22="AI",Assumptions!$C$24,Assumptions!$C$25)))),AND(Nonlabor!$H$22="Annual",MOD(C973-IF(Nonlabor!$E$22="Core",Nonlabor!$F$22,MAX(Nonlabor!$F$22,IF(Nonlabor!$E$22="AI",Assumptions!$C$24,Assumptions!$C$25))),12)=0))),IF(Nonlabor!$I$22="Fixed",1,IF(Nonlabor!$I$22="Seats",ROUNDUP('Monthly Lean'!I13,0),IF(Nonlabor!$I$22="Customers",'Monthly Lean'!D13,IF(Nonlabor!$I$22="NewCustomers",'Monthly Lean'!C13,IF(Nonlabor!$I$22="StorageGB",'Monthly Lean'!G13,IF(Nonlabor!$I$22="LogGB",'Monthly Lean'!H13,IF(Nonlabor!$I$22="RequestsM",'Monthly Lean'!F13,IF(Nonlabor!$I$22="InputM",'Monthly Lean'!D13*Assumptions!$C$22/1000000,IF(Nonlabor!$I$22="OutputM",'Monthly Lean'!D13*Assumptions!$C$23/1000000,0))))))))),0)</f>
        <v>0</v>
      </c>
      <c r="F973" s="10" t="n">
        <f aca="false">Nonlabor!$J$22*(1+Assumptions!$C$9)^INT((C973-1)/12)</f>
        <v>75</v>
      </c>
      <c r="G973" s="10" t="n">
        <f aca="false">E973*F973</f>
        <v>0</v>
      </c>
      <c r="H973" s="10" t="n">
        <f aca="false">IF(OR(Nonlabor!$L$22="Quote required",Nonlabor!$L$22="Unverified"),G973,0)</f>
        <v>0</v>
      </c>
      <c r="I973" s="10" t="n">
        <f aca="false">IF(Nonlabor!$E$22="Core",0,G973)</f>
        <v>0</v>
      </c>
      <c r="J973" s="23" t="str">
        <f aca="false">Nonlabor!$B$22</f>
        <v>MARKETING</v>
      </c>
    </row>
    <row r="974" customFormat="false" ht="15" hidden="false" customHeight="false" outlineLevel="0" collapsed="false">
      <c r="A974" s="6" t="s">
        <v>72</v>
      </c>
      <c r="B974" s="6" t="s">
        <v>55</v>
      </c>
      <c r="C974" s="6" t="n">
        <v>9</v>
      </c>
      <c r="D974" s="25" t="n">
        <f aca="false">EDATE('Start Here'!$B$6,C974-1)</f>
        <v>46569</v>
      </c>
      <c r="E974" s="23" t="n">
        <f aca="false">IF(AND(OR(Nonlabor!$D$22="Both",Nonlabor!$D$22='Start Here'!$B$9),IF(Nonlabor!$E$22="Core",1,IF(Nonlabor!$E$22="AI",'Start Here'!$B$7,'Start Here'!$B$8))=1,C974&gt;=IF(Nonlabor!$E$22="Core",Nonlabor!$F$22,MAX(Nonlabor!$F$22,IF(Nonlabor!$E$22="AI",Assumptions!$C$24,Assumptions!$C$25))),C974&lt;=Nonlabor!$G$22,OR(Nonlabor!$H$22="Monthly",AND(Nonlabor!$H$22="Once",C974=IF(Nonlabor!$E$22="Core",Nonlabor!$F$22,MAX(Nonlabor!$F$22,IF(Nonlabor!$E$22="AI",Assumptions!$C$24,Assumptions!$C$25)))),AND(Nonlabor!$H$22="Annual",MOD(C974-IF(Nonlabor!$E$22="Core",Nonlabor!$F$22,MAX(Nonlabor!$F$22,IF(Nonlabor!$E$22="AI",Assumptions!$C$24,Assumptions!$C$25))),12)=0))),IF(Nonlabor!$I$22="Fixed",1,IF(Nonlabor!$I$22="Seats",ROUNDUP('Monthly Lean'!I14,0),IF(Nonlabor!$I$22="Customers",'Monthly Lean'!D14,IF(Nonlabor!$I$22="NewCustomers",'Monthly Lean'!C14,IF(Nonlabor!$I$22="StorageGB",'Monthly Lean'!G14,IF(Nonlabor!$I$22="LogGB",'Monthly Lean'!H14,IF(Nonlabor!$I$22="RequestsM",'Monthly Lean'!F14,IF(Nonlabor!$I$22="InputM",'Monthly Lean'!D14*Assumptions!$C$22/1000000,IF(Nonlabor!$I$22="OutputM",'Monthly Lean'!D14*Assumptions!$C$23/1000000,0))))))))),0)</f>
        <v>0</v>
      </c>
      <c r="F974" s="10" t="n">
        <f aca="false">Nonlabor!$J$22*(1+Assumptions!$C$9)^INT((C974-1)/12)</f>
        <v>75</v>
      </c>
      <c r="G974" s="10" t="n">
        <f aca="false">E974*F974</f>
        <v>0</v>
      </c>
      <c r="H974" s="10" t="n">
        <f aca="false">IF(OR(Nonlabor!$L$22="Quote required",Nonlabor!$L$22="Unverified"),G974,0)</f>
        <v>0</v>
      </c>
      <c r="I974" s="10" t="n">
        <f aca="false">IF(Nonlabor!$E$22="Core",0,G974)</f>
        <v>0</v>
      </c>
      <c r="J974" s="23" t="str">
        <f aca="false">Nonlabor!$B$22</f>
        <v>MARKETING</v>
      </c>
    </row>
    <row r="975" customFormat="false" ht="15" hidden="false" customHeight="false" outlineLevel="0" collapsed="false">
      <c r="A975" s="6" t="s">
        <v>72</v>
      </c>
      <c r="B975" s="6" t="s">
        <v>55</v>
      </c>
      <c r="C975" s="6" t="n">
        <v>10</v>
      </c>
      <c r="D975" s="25" t="n">
        <f aca="false">EDATE('Start Here'!$B$6,C975-1)</f>
        <v>46600</v>
      </c>
      <c r="E975" s="11" t="n">
        <f aca="false">IF(AND(OR(Nonlabor!$D$22="Both",Nonlabor!$D$22='Start Here'!$B$9),IF(Nonlabor!$E$22="Core",1,IF(Nonlabor!$E$22="AI",'Start Here'!$B$7,'Start Here'!$B$8))=1,C975&gt;=IF(Nonlabor!$E$22="Core",Nonlabor!$F$22,MAX(Nonlabor!$F$22,IF(Nonlabor!$E$22="AI",Assumptions!$C$24,Assumptions!$C$25))),C975&lt;=Nonlabor!$G$22,OR(Nonlabor!$H$22="Monthly",AND(Nonlabor!$H$22="Once",C975=IF(Nonlabor!$E$22="Core",Nonlabor!$F$22,MAX(Nonlabor!$F$22,IF(Nonlabor!$E$22="AI",Assumptions!$C$24,Assumptions!$C$25)))),AND(Nonlabor!$H$22="Annual",MOD(C975-IF(Nonlabor!$E$22="Core",Nonlabor!$F$22,MAX(Nonlabor!$F$22,IF(Nonlabor!$E$22="AI",Assumptions!$C$24,Assumptions!$C$25))),12)=0))),IF(Nonlabor!$I$22="Fixed",1,IF(Nonlabor!$I$22="Seats",ROUNDUP('Monthly Lean'!I15,0),IF(Nonlabor!$I$22="Customers",'Monthly Lean'!D15,IF(Nonlabor!$I$22="NewCustomers",'Monthly Lean'!C15,IF(Nonlabor!$I$22="StorageGB",'Monthly Lean'!G15,IF(Nonlabor!$I$22="LogGB",'Monthly Lean'!H15,IF(Nonlabor!$I$22="RequestsM",'Monthly Lean'!F15,IF(Nonlabor!$I$22="InputM",'Monthly Lean'!D15*Assumptions!$C$22/1000000,IF(Nonlabor!$I$22="OutputM",'Monthly Lean'!D15*Assumptions!$C$23/1000000,0))))))))),0)</f>
        <v>0</v>
      </c>
      <c r="F975" s="10" t="n">
        <f aca="false">Nonlabor!$J$22*(1+Assumptions!$C$9)^INT((C975-1)/12)</f>
        <v>75</v>
      </c>
      <c r="G975" s="10" t="n">
        <f aca="false">E975*F975</f>
        <v>0</v>
      </c>
      <c r="H975" s="10" t="n">
        <f aca="false">IF(OR(Nonlabor!$L$22="Quote required",Nonlabor!$L$22="Unverified"),G975,0)</f>
        <v>0</v>
      </c>
      <c r="I975" s="10" t="n">
        <f aca="false">IF(Nonlabor!$E$22="Core",0,G975)</f>
        <v>0</v>
      </c>
      <c r="J975" s="23" t="str">
        <f aca="false">Nonlabor!$B$22</f>
        <v>MARKETING</v>
      </c>
    </row>
    <row r="976" customFormat="false" ht="15" hidden="false" customHeight="false" outlineLevel="0" collapsed="false">
      <c r="A976" s="6" t="s">
        <v>72</v>
      </c>
      <c r="B976" s="6" t="s">
        <v>55</v>
      </c>
      <c r="C976" s="6" t="n">
        <v>11</v>
      </c>
      <c r="D976" s="25" t="n">
        <f aca="false">EDATE('Start Here'!$B$6,C976-1)</f>
        <v>46631</v>
      </c>
      <c r="E976" s="11" t="n">
        <f aca="false">IF(AND(OR(Nonlabor!$D$22="Both",Nonlabor!$D$22='Start Here'!$B$9),IF(Nonlabor!$E$22="Core",1,IF(Nonlabor!$E$22="AI",'Start Here'!$B$7,'Start Here'!$B$8))=1,C976&gt;=IF(Nonlabor!$E$22="Core",Nonlabor!$F$22,MAX(Nonlabor!$F$22,IF(Nonlabor!$E$22="AI",Assumptions!$C$24,Assumptions!$C$25))),C976&lt;=Nonlabor!$G$22,OR(Nonlabor!$H$22="Monthly",AND(Nonlabor!$H$22="Once",C976=IF(Nonlabor!$E$22="Core",Nonlabor!$F$22,MAX(Nonlabor!$F$22,IF(Nonlabor!$E$22="AI",Assumptions!$C$24,Assumptions!$C$25)))),AND(Nonlabor!$H$22="Annual",MOD(C976-IF(Nonlabor!$E$22="Core",Nonlabor!$F$22,MAX(Nonlabor!$F$22,IF(Nonlabor!$E$22="AI",Assumptions!$C$24,Assumptions!$C$25))),12)=0))),IF(Nonlabor!$I$22="Fixed",1,IF(Nonlabor!$I$22="Seats",ROUNDUP('Monthly Lean'!I16,0),IF(Nonlabor!$I$22="Customers",'Monthly Lean'!D16,IF(Nonlabor!$I$22="NewCustomers",'Monthly Lean'!C16,IF(Nonlabor!$I$22="StorageGB",'Monthly Lean'!G16,IF(Nonlabor!$I$22="LogGB",'Monthly Lean'!H16,IF(Nonlabor!$I$22="RequestsM",'Monthly Lean'!F16,IF(Nonlabor!$I$22="InputM",'Monthly Lean'!D16*Assumptions!$C$22/1000000,IF(Nonlabor!$I$22="OutputM",'Monthly Lean'!D16*Assumptions!$C$23/1000000,0))))))))),0)</f>
        <v>0</v>
      </c>
      <c r="F976" s="10" t="n">
        <f aca="false">Nonlabor!$J$22*(1+Assumptions!$C$9)^INT((C976-1)/12)</f>
        <v>75</v>
      </c>
      <c r="G976" s="10" t="n">
        <f aca="false">E976*F976</f>
        <v>0</v>
      </c>
      <c r="H976" s="10" t="n">
        <f aca="false">IF(OR(Nonlabor!$L$22="Quote required",Nonlabor!$L$22="Unverified"),G976,0)</f>
        <v>0</v>
      </c>
      <c r="I976" s="10" t="n">
        <f aca="false">IF(Nonlabor!$E$22="Core",0,G976)</f>
        <v>0</v>
      </c>
      <c r="J976" s="23" t="str">
        <f aca="false">Nonlabor!$B$22</f>
        <v>MARKETING</v>
      </c>
    </row>
    <row r="977" customFormat="false" ht="15" hidden="false" customHeight="false" outlineLevel="0" collapsed="false">
      <c r="A977" s="6" t="s">
        <v>72</v>
      </c>
      <c r="B977" s="6" t="s">
        <v>55</v>
      </c>
      <c r="C977" s="6" t="n">
        <v>12</v>
      </c>
      <c r="D977" s="25" t="n">
        <f aca="false">EDATE('Start Here'!$B$6,C977-1)</f>
        <v>46661</v>
      </c>
      <c r="E977" s="11" t="n">
        <f aca="false">IF(AND(OR(Nonlabor!$D$22="Both",Nonlabor!$D$22='Start Here'!$B$9),IF(Nonlabor!$E$22="Core",1,IF(Nonlabor!$E$22="AI",'Start Here'!$B$7,'Start Here'!$B$8))=1,C977&gt;=IF(Nonlabor!$E$22="Core",Nonlabor!$F$22,MAX(Nonlabor!$F$22,IF(Nonlabor!$E$22="AI",Assumptions!$C$24,Assumptions!$C$25))),C977&lt;=Nonlabor!$G$22,OR(Nonlabor!$H$22="Monthly",AND(Nonlabor!$H$22="Once",C977=IF(Nonlabor!$E$22="Core",Nonlabor!$F$22,MAX(Nonlabor!$F$22,IF(Nonlabor!$E$22="AI",Assumptions!$C$24,Assumptions!$C$25)))),AND(Nonlabor!$H$22="Annual",MOD(C977-IF(Nonlabor!$E$22="Core",Nonlabor!$F$22,MAX(Nonlabor!$F$22,IF(Nonlabor!$E$22="AI",Assumptions!$C$24,Assumptions!$C$25))),12)=0))),IF(Nonlabor!$I$22="Fixed",1,IF(Nonlabor!$I$22="Seats",ROUNDUP('Monthly Lean'!I17,0),IF(Nonlabor!$I$22="Customers",'Monthly Lean'!D17,IF(Nonlabor!$I$22="NewCustomers",'Monthly Lean'!C17,IF(Nonlabor!$I$22="StorageGB",'Monthly Lean'!G17,IF(Nonlabor!$I$22="LogGB",'Monthly Lean'!H17,IF(Nonlabor!$I$22="RequestsM",'Monthly Lean'!F17,IF(Nonlabor!$I$22="InputM",'Monthly Lean'!D17*Assumptions!$C$22/1000000,IF(Nonlabor!$I$22="OutputM",'Monthly Lean'!D17*Assumptions!$C$23/1000000,0))))))))),0)</f>
        <v>0</v>
      </c>
      <c r="F977" s="10" t="n">
        <f aca="false">Nonlabor!$J$22*(1+Assumptions!$C$9)^INT((C977-1)/12)</f>
        <v>75</v>
      </c>
      <c r="G977" s="10" t="n">
        <f aca="false">E977*F977</f>
        <v>0</v>
      </c>
      <c r="H977" s="10" t="n">
        <f aca="false">IF(OR(Nonlabor!$L$22="Quote required",Nonlabor!$L$22="Unverified"),G977,0)</f>
        <v>0</v>
      </c>
      <c r="I977" s="10" t="n">
        <f aca="false">IF(Nonlabor!$E$22="Core",0,G977)</f>
        <v>0</v>
      </c>
      <c r="J977" s="23" t="str">
        <f aca="false">Nonlabor!$B$22</f>
        <v>MARKETING</v>
      </c>
    </row>
    <row r="978" customFormat="false" ht="15" hidden="false" customHeight="false" outlineLevel="0" collapsed="false">
      <c r="A978" s="6" t="s">
        <v>72</v>
      </c>
      <c r="B978" s="6" t="s">
        <v>55</v>
      </c>
      <c r="C978" s="6" t="n">
        <v>13</v>
      </c>
      <c r="D978" s="25" t="n">
        <f aca="false">EDATE('Start Here'!$B$6,C978-1)</f>
        <v>46692</v>
      </c>
      <c r="E978" s="11" t="n">
        <f aca="false">IF(AND(OR(Nonlabor!$D$22="Both",Nonlabor!$D$22='Start Here'!$B$9),IF(Nonlabor!$E$22="Core",1,IF(Nonlabor!$E$22="AI",'Start Here'!$B$7,'Start Here'!$B$8))=1,C978&gt;=IF(Nonlabor!$E$22="Core",Nonlabor!$F$22,MAX(Nonlabor!$F$22,IF(Nonlabor!$E$22="AI",Assumptions!$C$24,Assumptions!$C$25))),C978&lt;=Nonlabor!$G$22,OR(Nonlabor!$H$22="Monthly",AND(Nonlabor!$H$22="Once",C978=IF(Nonlabor!$E$22="Core",Nonlabor!$F$22,MAX(Nonlabor!$F$22,IF(Nonlabor!$E$22="AI",Assumptions!$C$24,Assumptions!$C$25)))),AND(Nonlabor!$H$22="Annual",MOD(C978-IF(Nonlabor!$E$22="Core",Nonlabor!$F$22,MAX(Nonlabor!$F$22,IF(Nonlabor!$E$22="AI",Assumptions!$C$24,Assumptions!$C$25))),12)=0))),IF(Nonlabor!$I$22="Fixed",1,IF(Nonlabor!$I$22="Seats",ROUNDUP('Monthly Lean'!I18,0),IF(Nonlabor!$I$22="Customers",'Monthly Lean'!D18,IF(Nonlabor!$I$22="NewCustomers",'Monthly Lean'!C18,IF(Nonlabor!$I$22="StorageGB",'Monthly Lean'!G18,IF(Nonlabor!$I$22="LogGB",'Monthly Lean'!H18,IF(Nonlabor!$I$22="RequestsM",'Monthly Lean'!F18,IF(Nonlabor!$I$22="InputM",'Monthly Lean'!D18*Assumptions!$C$22/1000000,IF(Nonlabor!$I$22="OutputM",'Monthly Lean'!D18*Assumptions!$C$23/1000000,0))))))))),0)</f>
        <v>0</v>
      </c>
      <c r="F978" s="10" t="n">
        <f aca="false">Nonlabor!$J$22*(1+Assumptions!$C$9)^INT((C978-1)/12)</f>
        <v>77.25</v>
      </c>
      <c r="G978" s="10" t="n">
        <f aca="false">E978*F978</f>
        <v>0</v>
      </c>
      <c r="H978" s="10" t="n">
        <f aca="false">IF(OR(Nonlabor!$L$22="Quote required",Nonlabor!$L$22="Unverified"),G978,0)</f>
        <v>0</v>
      </c>
      <c r="I978" s="10" t="n">
        <f aca="false">IF(Nonlabor!$E$22="Core",0,G978)</f>
        <v>0</v>
      </c>
      <c r="J978" s="23" t="str">
        <f aca="false">Nonlabor!$B$22</f>
        <v>MARKETING</v>
      </c>
    </row>
    <row r="979" customFormat="false" ht="15" hidden="false" customHeight="false" outlineLevel="0" collapsed="false">
      <c r="A979" s="6" t="s">
        <v>72</v>
      </c>
      <c r="B979" s="6" t="s">
        <v>55</v>
      </c>
      <c r="C979" s="6" t="n">
        <v>14</v>
      </c>
      <c r="D979" s="25" t="n">
        <f aca="false">EDATE('Start Here'!$B$6,C979-1)</f>
        <v>46722</v>
      </c>
      <c r="E979" s="11" t="n">
        <f aca="false">IF(AND(OR(Nonlabor!$D$22="Both",Nonlabor!$D$22='Start Here'!$B$9),IF(Nonlabor!$E$22="Core",1,IF(Nonlabor!$E$22="AI",'Start Here'!$B$7,'Start Here'!$B$8))=1,C979&gt;=IF(Nonlabor!$E$22="Core",Nonlabor!$F$22,MAX(Nonlabor!$F$22,IF(Nonlabor!$E$22="AI",Assumptions!$C$24,Assumptions!$C$25))),C979&lt;=Nonlabor!$G$22,OR(Nonlabor!$H$22="Monthly",AND(Nonlabor!$H$22="Once",C979=IF(Nonlabor!$E$22="Core",Nonlabor!$F$22,MAX(Nonlabor!$F$22,IF(Nonlabor!$E$22="AI",Assumptions!$C$24,Assumptions!$C$25)))),AND(Nonlabor!$H$22="Annual",MOD(C979-IF(Nonlabor!$E$22="Core",Nonlabor!$F$22,MAX(Nonlabor!$F$22,IF(Nonlabor!$E$22="AI",Assumptions!$C$24,Assumptions!$C$25))),12)=0))),IF(Nonlabor!$I$22="Fixed",1,IF(Nonlabor!$I$22="Seats",ROUNDUP('Monthly Lean'!I19,0),IF(Nonlabor!$I$22="Customers",'Monthly Lean'!D19,IF(Nonlabor!$I$22="NewCustomers",'Monthly Lean'!C19,IF(Nonlabor!$I$22="StorageGB",'Monthly Lean'!G19,IF(Nonlabor!$I$22="LogGB",'Monthly Lean'!H19,IF(Nonlabor!$I$22="RequestsM",'Monthly Lean'!F19,IF(Nonlabor!$I$22="InputM",'Monthly Lean'!D19*Assumptions!$C$22/1000000,IF(Nonlabor!$I$22="OutputM",'Monthly Lean'!D19*Assumptions!$C$23/1000000,0))))))))),0)</f>
        <v>0</v>
      </c>
      <c r="F979" s="10" t="n">
        <f aca="false">Nonlabor!$J$22*(1+Assumptions!$C$9)^INT((C979-1)/12)</f>
        <v>77.25</v>
      </c>
      <c r="G979" s="10" t="n">
        <f aca="false">E979*F979</f>
        <v>0</v>
      </c>
      <c r="H979" s="10" t="n">
        <f aca="false">IF(OR(Nonlabor!$L$22="Quote required",Nonlabor!$L$22="Unverified"),G979,0)</f>
        <v>0</v>
      </c>
      <c r="I979" s="10" t="n">
        <f aca="false">IF(Nonlabor!$E$22="Core",0,G979)</f>
        <v>0</v>
      </c>
      <c r="J979" s="23" t="str">
        <f aca="false">Nonlabor!$B$22</f>
        <v>MARKETING</v>
      </c>
    </row>
    <row r="980" customFormat="false" ht="15" hidden="false" customHeight="false" outlineLevel="0" collapsed="false">
      <c r="A980" s="6" t="s">
        <v>72</v>
      </c>
      <c r="B980" s="6" t="s">
        <v>55</v>
      </c>
      <c r="C980" s="6" t="n">
        <v>15</v>
      </c>
      <c r="D980" s="25" t="n">
        <f aca="false">EDATE('Start Here'!$B$6,C980-1)</f>
        <v>46753</v>
      </c>
      <c r="E980" s="11" t="n">
        <f aca="false">IF(AND(OR(Nonlabor!$D$22="Both",Nonlabor!$D$22='Start Here'!$B$9),IF(Nonlabor!$E$22="Core",1,IF(Nonlabor!$E$22="AI",'Start Here'!$B$7,'Start Here'!$B$8))=1,C980&gt;=IF(Nonlabor!$E$22="Core",Nonlabor!$F$22,MAX(Nonlabor!$F$22,IF(Nonlabor!$E$22="AI",Assumptions!$C$24,Assumptions!$C$25))),C980&lt;=Nonlabor!$G$22,OR(Nonlabor!$H$22="Monthly",AND(Nonlabor!$H$22="Once",C980=IF(Nonlabor!$E$22="Core",Nonlabor!$F$22,MAX(Nonlabor!$F$22,IF(Nonlabor!$E$22="AI",Assumptions!$C$24,Assumptions!$C$25)))),AND(Nonlabor!$H$22="Annual",MOD(C980-IF(Nonlabor!$E$22="Core",Nonlabor!$F$22,MAX(Nonlabor!$F$22,IF(Nonlabor!$E$22="AI",Assumptions!$C$24,Assumptions!$C$25))),12)=0))),IF(Nonlabor!$I$22="Fixed",1,IF(Nonlabor!$I$22="Seats",ROUNDUP('Monthly Lean'!I20,0),IF(Nonlabor!$I$22="Customers",'Monthly Lean'!D20,IF(Nonlabor!$I$22="NewCustomers",'Monthly Lean'!C20,IF(Nonlabor!$I$22="StorageGB",'Monthly Lean'!G20,IF(Nonlabor!$I$22="LogGB",'Monthly Lean'!H20,IF(Nonlabor!$I$22="RequestsM",'Monthly Lean'!F20,IF(Nonlabor!$I$22="InputM",'Monthly Lean'!D20*Assumptions!$C$22/1000000,IF(Nonlabor!$I$22="OutputM",'Monthly Lean'!D20*Assumptions!$C$23/1000000,0))))))))),0)</f>
        <v>0</v>
      </c>
      <c r="F980" s="10" t="n">
        <f aca="false">Nonlabor!$J$22*(1+Assumptions!$C$9)^INT((C980-1)/12)</f>
        <v>77.25</v>
      </c>
      <c r="G980" s="10" t="n">
        <f aca="false">E980*F980</f>
        <v>0</v>
      </c>
      <c r="H980" s="10" t="n">
        <f aca="false">IF(OR(Nonlabor!$L$22="Quote required",Nonlabor!$L$22="Unverified"),G980,0)</f>
        <v>0</v>
      </c>
      <c r="I980" s="10" t="n">
        <f aca="false">IF(Nonlabor!$E$22="Core",0,G980)</f>
        <v>0</v>
      </c>
      <c r="J980" s="23" t="str">
        <f aca="false">Nonlabor!$B$22</f>
        <v>MARKETING</v>
      </c>
    </row>
    <row r="981" customFormat="false" ht="15" hidden="false" customHeight="false" outlineLevel="0" collapsed="false">
      <c r="A981" s="6" t="s">
        <v>72</v>
      </c>
      <c r="B981" s="6" t="s">
        <v>55</v>
      </c>
      <c r="C981" s="6" t="n">
        <v>16</v>
      </c>
      <c r="D981" s="25" t="n">
        <f aca="false">EDATE('Start Here'!$B$6,C981-1)</f>
        <v>46784</v>
      </c>
      <c r="E981" s="11" t="n">
        <f aca="false">IF(AND(OR(Nonlabor!$D$22="Both",Nonlabor!$D$22='Start Here'!$B$9),IF(Nonlabor!$E$22="Core",1,IF(Nonlabor!$E$22="AI",'Start Here'!$B$7,'Start Here'!$B$8))=1,C981&gt;=IF(Nonlabor!$E$22="Core",Nonlabor!$F$22,MAX(Nonlabor!$F$22,IF(Nonlabor!$E$22="AI",Assumptions!$C$24,Assumptions!$C$25))),C981&lt;=Nonlabor!$G$22,OR(Nonlabor!$H$22="Monthly",AND(Nonlabor!$H$22="Once",C981=IF(Nonlabor!$E$22="Core",Nonlabor!$F$22,MAX(Nonlabor!$F$22,IF(Nonlabor!$E$22="AI",Assumptions!$C$24,Assumptions!$C$25)))),AND(Nonlabor!$H$22="Annual",MOD(C981-IF(Nonlabor!$E$22="Core",Nonlabor!$F$22,MAX(Nonlabor!$F$22,IF(Nonlabor!$E$22="AI",Assumptions!$C$24,Assumptions!$C$25))),12)=0))),IF(Nonlabor!$I$22="Fixed",1,IF(Nonlabor!$I$22="Seats",ROUNDUP('Monthly Lean'!I21,0),IF(Nonlabor!$I$22="Customers",'Monthly Lean'!D21,IF(Nonlabor!$I$22="NewCustomers",'Monthly Lean'!C21,IF(Nonlabor!$I$22="StorageGB",'Monthly Lean'!G21,IF(Nonlabor!$I$22="LogGB",'Monthly Lean'!H21,IF(Nonlabor!$I$22="RequestsM",'Monthly Lean'!F21,IF(Nonlabor!$I$22="InputM",'Monthly Lean'!D21*Assumptions!$C$22/1000000,IF(Nonlabor!$I$22="OutputM",'Monthly Lean'!D21*Assumptions!$C$23/1000000,0))))))))),0)</f>
        <v>0.5</v>
      </c>
      <c r="F981" s="10" t="n">
        <f aca="false">Nonlabor!$J$22*(1+Assumptions!$C$9)^INT((C981-1)/12)</f>
        <v>77.25</v>
      </c>
      <c r="G981" s="10" t="n">
        <f aca="false">E981*F981</f>
        <v>38.625</v>
      </c>
      <c r="H981" s="10" t="n">
        <f aca="false">IF(OR(Nonlabor!$L$22="Quote required",Nonlabor!$L$22="Unverified"),G981,0)</f>
        <v>0</v>
      </c>
      <c r="I981" s="10" t="n">
        <f aca="false">IF(Nonlabor!$E$22="Core",0,G981)</f>
        <v>0</v>
      </c>
      <c r="J981" s="23" t="str">
        <f aca="false">Nonlabor!$B$22</f>
        <v>MARKETING</v>
      </c>
    </row>
    <row r="982" customFormat="false" ht="15" hidden="false" customHeight="false" outlineLevel="0" collapsed="false">
      <c r="A982" s="6" t="s">
        <v>72</v>
      </c>
      <c r="B982" s="6" t="s">
        <v>55</v>
      </c>
      <c r="C982" s="6" t="n">
        <v>17</v>
      </c>
      <c r="D982" s="25" t="n">
        <f aca="false">EDATE('Start Here'!$B$6,C982-1)</f>
        <v>46813</v>
      </c>
      <c r="E982" s="11" t="n">
        <f aca="false">IF(AND(OR(Nonlabor!$D$22="Both",Nonlabor!$D$22='Start Here'!$B$9),IF(Nonlabor!$E$22="Core",1,IF(Nonlabor!$E$22="AI",'Start Here'!$B$7,'Start Here'!$B$8))=1,C982&gt;=IF(Nonlabor!$E$22="Core",Nonlabor!$F$22,MAX(Nonlabor!$F$22,IF(Nonlabor!$E$22="AI",Assumptions!$C$24,Assumptions!$C$25))),C982&lt;=Nonlabor!$G$22,OR(Nonlabor!$H$22="Monthly",AND(Nonlabor!$H$22="Once",C982=IF(Nonlabor!$E$22="Core",Nonlabor!$F$22,MAX(Nonlabor!$F$22,IF(Nonlabor!$E$22="AI",Assumptions!$C$24,Assumptions!$C$25)))),AND(Nonlabor!$H$22="Annual",MOD(C982-IF(Nonlabor!$E$22="Core",Nonlabor!$F$22,MAX(Nonlabor!$F$22,IF(Nonlabor!$E$22="AI",Assumptions!$C$24,Assumptions!$C$25))),12)=0))),IF(Nonlabor!$I$22="Fixed",1,IF(Nonlabor!$I$22="Seats",ROUNDUP('Monthly Lean'!I22,0),IF(Nonlabor!$I$22="Customers",'Monthly Lean'!D22,IF(Nonlabor!$I$22="NewCustomers",'Monthly Lean'!C22,IF(Nonlabor!$I$22="StorageGB",'Monthly Lean'!G22,IF(Nonlabor!$I$22="LogGB",'Monthly Lean'!H22,IF(Nonlabor!$I$22="RequestsM",'Monthly Lean'!F22,IF(Nonlabor!$I$22="InputM",'Monthly Lean'!D22*Assumptions!$C$22/1000000,IF(Nonlabor!$I$22="OutputM",'Monthly Lean'!D22*Assumptions!$C$23/1000000,0))))))))),0)</f>
        <v>0.9925</v>
      </c>
      <c r="F982" s="10" t="n">
        <f aca="false">Nonlabor!$J$22*(1+Assumptions!$C$9)^INT((C982-1)/12)</f>
        <v>77.25</v>
      </c>
      <c r="G982" s="10" t="n">
        <f aca="false">E982*F982</f>
        <v>76.670625</v>
      </c>
      <c r="H982" s="10" t="n">
        <f aca="false">IF(OR(Nonlabor!$L$22="Quote required",Nonlabor!$L$22="Unverified"),G982,0)</f>
        <v>0</v>
      </c>
      <c r="I982" s="10" t="n">
        <f aca="false">IF(Nonlabor!$E$22="Core",0,G982)</f>
        <v>0</v>
      </c>
      <c r="J982" s="23" t="str">
        <f aca="false">Nonlabor!$B$22</f>
        <v>MARKETING</v>
      </c>
    </row>
    <row r="983" customFormat="false" ht="15" hidden="false" customHeight="false" outlineLevel="0" collapsed="false">
      <c r="A983" s="6" t="s">
        <v>72</v>
      </c>
      <c r="B983" s="6" t="s">
        <v>55</v>
      </c>
      <c r="C983" s="6" t="n">
        <v>18</v>
      </c>
      <c r="D983" s="25" t="n">
        <f aca="false">EDATE('Start Here'!$B$6,C983-1)</f>
        <v>46844</v>
      </c>
      <c r="E983" s="11" t="n">
        <f aca="false">IF(AND(OR(Nonlabor!$D$22="Both",Nonlabor!$D$22='Start Here'!$B$9),IF(Nonlabor!$E$22="Core",1,IF(Nonlabor!$E$22="AI",'Start Here'!$B$7,'Start Here'!$B$8))=1,C983&gt;=IF(Nonlabor!$E$22="Core",Nonlabor!$F$22,MAX(Nonlabor!$F$22,IF(Nonlabor!$E$22="AI",Assumptions!$C$24,Assumptions!$C$25))),C983&lt;=Nonlabor!$G$22,OR(Nonlabor!$H$22="Monthly",AND(Nonlabor!$H$22="Once",C983=IF(Nonlabor!$E$22="Core",Nonlabor!$F$22,MAX(Nonlabor!$F$22,IF(Nonlabor!$E$22="AI",Assumptions!$C$24,Assumptions!$C$25)))),AND(Nonlabor!$H$22="Annual",MOD(C983-IF(Nonlabor!$E$22="Core",Nonlabor!$F$22,MAX(Nonlabor!$F$22,IF(Nonlabor!$E$22="AI",Assumptions!$C$24,Assumptions!$C$25))),12)=0))),IF(Nonlabor!$I$22="Fixed",1,IF(Nonlabor!$I$22="Seats",ROUNDUP('Monthly Lean'!I23,0),IF(Nonlabor!$I$22="Customers",'Monthly Lean'!D23,IF(Nonlabor!$I$22="NewCustomers",'Monthly Lean'!C23,IF(Nonlabor!$I$22="StorageGB",'Monthly Lean'!G23,IF(Nonlabor!$I$22="LogGB",'Monthly Lean'!H23,IF(Nonlabor!$I$22="RequestsM",'Monthly Lean'!F23,IF(Nonlabor!$I$22="InputM",'Monthly Lean'!D23*Assumptions!$C$22/1000000,IF(Nonlabor!$I$22="OutputM",'Monthly Lean'!D23*Assumptions!$C$23/1000000,0))))))))),0)</f>
        <v>1.4776125</v>
      </c>
      <c r="F983" s="10" t="n">
        <f aca="false">Nonlabor!$J$22*(1+Assumptions!$C$9)^INT((C983-1)/12)</f>
        <v>77.25</v>
      </c>
      <c r="G983" s="10" t="n">
        <f aca="false">E983*F983</f>
        <v>114.145565625</v>
      </c>
      <c r="H983" s="10" t="n">
        <f aca="false">IF(OR(Nonlabor!$L$22="Quote required",Nonlabor!$L$22="Unverified"),G983,0)</f>
        <v>0</v>
      </c>
      <c r="I983" s="10" t="n">
        <f aca="false">IF(Nonlabor!$E$22="Core",0,G983)</f>
        <v>0</v>
      </c>
      <c r="J983" s="23" t="str">
        <f aca="false">Nonlabor!$B$22</f>
        <v>MARKETING</v>
      </c>
    </row>
    <row r="984" customFormat="false" ht="15" hidden="false" customHeight="false" outlineLevel="0" collapsed="false">
      <c r="A984" s="6" t="s">
        <v>72</v>
      </c>
      <c r="B984" s="6" t="s">
        <v>55</v>
      </c>
      <c r="C984" s="6" t="n">
        <v>19</v>
      </c>
      <c r="D984" s="25" t="n">
        <f aca="false">EDATE('Start Here'!$B$6,C984-1)</f>
        <v>46874</v>
      </c>
      <c r="E984" s="11" t="n">
        <f aca="false">IF(AND(OR(Nonlabor!$D$22="Both",Nonlabor!$D$22='Start Here'!$B$9),IF(Nonlabor!$E$22="Core",1,IF(Nonlabor!$E$22="AI",'Start Here'!$B$7,'Start Here'!$B$8))=1,C984&gt;=IF(Nonlabor!$E$22="Core",Nonlabor!$F$22,MAX(Nonlabor!$F$22,IF(Nonlabor!$E$22="AI",Assumptions!$C$24,Assumptions!$C$25))),C984&lt;=Nonlabor!$G$22,OR(Nonlabor!$H$22="Monthly",AND(Nonlabor!$H$22="Once",C984=IF(Nonlabor!$E$22="Core",Nonlabor!$F$22,MAX(Nonlabor!$F$22,IF(Nonlabor!$E$22="AI",Assumptions!$C$24,Assumptions!$C$25)))),AND(Nonlabor!$H$22="Annual",MOD(C984-IF(Nonlabor!$E$22="Core",Nonlabor!$F$22,MAX(Nonlabor!$F$22,IF(Nonlabor!$E$22="AI",Assumptions!$C$24,Assumptions!$C$25))),12)=0))),IF(Nonlabor!$I$22="Fixed",1,IF(Nonlabor!$I$22="Seats",ROUNDUP('Monthly Lean'!I24,0),IF(Nonlabor!$I$22="Customers",'Monthly Lean'!D24,IF(Nonlabor!$I$22="NewCustomers",'Monthly Lean'!C24,IF(Nonlabor!$I$22="StorageGB",'Monthly Lean'!G24,IF(Nonlabor!$I$22="LogGB",'Monthly Lean'!H24,IF(Nonlabor!$I$22="RequestsM",'Monthly Lean'!F24,IF(Nonlabor!$I$22="InputM",'Monthly Lean'!D24*Assumptions!$C$22/1000000,IF(Nonlabor!$I$22="OutputM",'Monthly Lean'!D24*Assumptions!$C$23/1000000,0))))))))),0)</f>
        <v>1.9554483125</v>
      </c>
      <c r="F984" s="10" t="n">
        <f aca="false">Nonlabor!$J$22*(1+Assumptions!$C$9)^INT((C984-1)/12)</f>
        <v>77.25</v>
      </c>
      <c r="G984" s="10" t="n">
        <f aca="false">E984*F984</f>
        <v>151.058382140625</v>
      </c>
      <c r="H984" s="10" t="n">
        <f aca="false">IF(OR(Nonlabor!$L$22="Quote required",Nonlabor!$L$22="Unverified"),G984,0)</f>
        <v>0</v>
      </c>
      <c r="I984" s="10" t="n">
        <f aca="false">IF(Nonlabor!$E$22="Core",0,G984)</f>
        <v>0</v>
      </c>
      <c r="J984" s="23" t="str">
        <f aca="false">Nonlabor!$B$22</f>
        <v>MARKETING</v>
      </c>
    </row>
    <row r="985" customFormat="false" ht="15" hidden="false" customHeight="false" outlineLevel="0" collapsed="false">
      <c r="A985" s="6" t="s">
        <v>72</v>
      </c>
      <c r="B985" s="6" t="s">
        <v>55</v>
      </c>
      <c r="C985" s="6" t="n">
        <v>20</v>
      </c>
      <c r="D985" s="25" t="n">
        <f aca="false">EDATE('Start Here'!$B$6,C985-1)</f>
        <v>46905</v>
      </c>
      <c r="E985" s="11" t="n">
        <f aca="false">IF(AND(OR(Nonlabor!$D$22="Both",Nonlabor!$D$22='Start Here'!$B$9),IF(Nonlabor!$E$22="Core",1,IF(Nonlabor!$E$22="AI",'Start Here'!$B$7,'Start Here'!$B$8))=1,C985&gt;=IF(Nonlabor!$E$22="Core",Nonlabor!$F$22,MAX(Nonlabor!$F$22,IF(Nonlabor!$E$22="AI",Assumptions!$C$24,Assumptions!$C$25))),C985&lt;=Nonlabor!$G$22,OR(Nonlabor!$H$22="Monthly",AND(Nonlabor!$H$22="Once",C985=IF(Nonlabor!$E$22="Core",Nonlabor!$F$22,MAX(Nonlabor!$F$22,IF(Nonlabor!$E$22="AI",Assumptions!$C$24,Assumptions!$C$25)))),AND(Nonlabor!$H$22="Annual",MOD(C985-IF(Nonlabor!$E$22="Core",Nonlabor!$F$22,MAX(Nonlabor!$F$22,IF(Nonlabor!$E$22="AI",Assumptions!$C$24,Assumptions!$C$25))),12)=0))),IF(Nonlabor!$I$22="Fixed",1,IF(Nonlabor!$I$22="Seats",ROUNDUP('Monthly Lean'!I25,0),IF(Nonlabor!$I$22="Customers",'Monthly Lean'!D25,IF(Nonlabor!$I$22="NewCustomers",'Monthly Lean'!C25,IF(Nonlabor!$I$22="StorageGB",'Monthly Lean'!G25,IF(Nonlabor!$I$22="LogGB",'Monthly Lean'!H25,IF(Nonlabor!$I$22="RequestsM",'Monthly Lean'!F25,IF(Nonlabor!$I$22="InputM",'Monthly Lean'!D25*Assumptions!$C$22/1000000,IF(Nonlabor!$I$22="OutputM",'Monthly Lean'!D25*Assumptions!$C$23/1000000,0))))))))),0)</f>
        <v>2.4261165878125</v>
      </c>
      <c r="F985" s="10" t="n">
        <f aca="false">Nonlabor!$J$22*(1+Assumptions!$C$9)^INT((C985-1)/12)</f>
        <v>77.25</v>
      </c>
      <c r="G985" s="10" t="n">
        <f aca="false">E985*F985</f>
        <v>187.417506408516</v>
      </c>
      <c r="H985" s="10" t="n">
        <f aca="false">IF(OR(Nonlabor!$L$22="Quote required",Nonlabor!$L$22="Unverified"),G985,0)</f>
        <v>0</v>
      </c>
      <c r="I985" s="10" t="n">
        <f aca="false">IF(Nonlabor!$E$22="Core",0,G985)</f>
        <v>0</v>
      </c>
      <c r="J985" s="23" t="str">
        <f aca="false">Nonlabor!$B$22</f>
        <v>MARKETING</v>
      </c>
    </row>
    <row r="986" customFormat="false" ht="15" hidden="false" customHeight="false" outlineLevel="0" collapsed="false">
      <c r="A986" s="6" t="s">
        <v>72</v>
      </c>
      <c r="B986" s="6" t="s">
        <v>55</v>
      </c>
      <c r="C986" s="6" t="n">
        <v>21</v>
      </c>
      <c r="D986" s="25" t="n">
        <f aca="false">EDATE('Start Here'!$B$6,C986-1)</f>
        <v>46935</v>
      </c>
      <c r="E986" s="11" t="n">
        <f aca="false">IF(AND(OR(Nonlabor!$D$22="Both",Nonlabor!$D$22='Start Here'!$B$9),IF(Nonlabor!$E$22="Core",1,IF(Nonlabor!$E$22="AI",'Start Here'!$B$7,'Start Here'!$B$8))=1,C986&gt;=IF(Nonlabor!$E$22="Core",Nonlabor!$F$22,MAX(Nonlabor!$F$22,IF(Nonlabor!$E$22="AI",Assumptions!$C$24,Assumptions!$C$25))),C986&lt;=Nonlabor!$G$22,OR(Nonlabor!$H$22="Monthly",AND(Nonlabor!$H$22="Once",C986=IF(Nonlabor!$E$22="Core",Nonlabor!$F$22,MAX(Nonlabor!$F$22,IF(Nonlabor!$E$22="AI",Assumptions!$C$24,Assumptions!$C$25)))),AND(Nonlabor!$H$22="Annual",MOD(C986-IF(Nonlabor!$E$22="Core",Nonlabor!$F$22,MAX(Nonlabor!$F$22,IF(Nonlabor!$E$22="AI",Assumptions!$C$24,Assumptions!$C$25))),12)=0))),IF(Nonlabor!$I$22="Fixed",1,IF(Nonlabor!$I$22="Seats",ROUNDUP('Monthly Lean'!I26,0),IF(Nonlabor!$I$22="Customers",'Monthly Lean'!D26,IF(Nonlabor!$I$22="NewCustomers",'Monthly Lean'!C26,IF(Nonlabor!$I$22="StorageGB",'Monthly Lean'!G26,IF(Nonlabor!$I$22="LogGB",'Monthly Lean'!H26,IF(Nonlabor!$I$22="RequestsM",'Monthly Lean'!F26,IF(Nonlabor!$I$22="InputM",'Monthly Lean'!D26*Assumptions!$C$22/1000000,IF(Nonlabor!$I$22="OutputM",'Monthly Lean'!D26*Assumptions!$C$23/1000000,0))))))))),0)</f>
        <v>2.88972483899531</v>
      </c>
      <c r="F986" s="10" t="n">
        <f aca="false">Nonlabor!$J$22*(1+Assumptions!$C$9)^INT((C986-1)/12)</f>
        <v>77.25</v>
      </c>
      <c r="G986" s="10" t="n">
        <f aca="false">E986*F986</f>
        <v>223.231243812388</v>
      </c>
      <c r="H986" s="10" t="n">
        <f aca="false">IF(OR(Nonlabor!$L$22="Quote required",Nonlabor!$L$22="Unverified"),G986,0)</f>
        <v>0</v>
      </c>
      <c r="I986" s="10" t="n">
        <f aca="false">IF(Nonlabor!$E$22="Core",0,G986)</f>
        <v>0</v>
      </c>
      <c r="J986" s="23" t="str">
        <f aca="false">Nonlabor!$B$22</f>
        <v>MARKETING</v>
      </c>
    </row>
    <row r="987" customFormat="false" ht="15" hidden="false" customHeight="false" outlineLevel="0" collapsed="false">
      <c r="A987" s="6" t="s">
        <v>72</v>
      </c>
      <c r="B987" s="6" t="s">
        <v>55</v>
      </c>
      <c r="C987" s="6" t="n">
        <v>22</v>
      </c>
      <c r="D987" s="25" t="n">
        <f aca="false">EDATE('Start Here'!$B$6,C987-1)</f>
        <v>46966</v>
      </c>
      <c r="E987" s="11" t="n">
        <f aca="false">IF(AND(OR(Nonlabor!$D$22="Both",Nonlabor!$D$22='Start Here'!$B$9),IF(Nonlabor!$E$22="Core",1,IF(Nonlabor!$E$22="AI",'Start Here'!$B$7,'Start Here'!$B$8))=1,C987&gt;=IF(Nonlabor!$E$22="Core",Nonlabor!$F$22,MAX(Nonlabor!$F$22,IF(Nonlabor!$E$22="AI",Assumptions!$C$24,Assumptions!$C$25))),C987&lt;=Nonlabor!$G$22,OR(Nonlabor!$H$22="Monthly",AND(Nonlabor!$H$22="Once",C987=IF(Nonlabor!$E$22="Core",Nonlabor!$F$22,MAX(Nonlabor!$F$22,IF(Nonlabor!$E$22="AI",Assumptions!$C$24,Assumptions!$C$25)))),AND(Nonlabor!$H$22="Annual",MOD(C987-IF(Nonlabor!$E$22="Core",Nonlabor!$F$22,MAX(Nonlabor!$F$22,IF(Nonlabor!$E$22="AI",Assumptions!$C$24,Assumptions!$C$25))),12)=0))),IF(Nonlabor!$I$22="Fixed",1,IF(Nonlabor!$I$22="Seats",ROUNDUP('Monthly Lean'!I27,0),IF(Nonlabor!$I$22="Customers",'Monthly Lean'!D27,IF(Nonlabor!$I$22="NewCustomers",'Monthly Lean'!C27,IF(Nonlabor!$I$22="StorageGB",'Monthly Lean'!G27,IF(Nonlabor!$I$22="LogGB",'Monthly Lean'!H27,IF(Nonlabor!$I$22="RequestsM",'Monthly Lean'!F27,IF(Nonlabor!$I$22="InputM",'Monthly Lean'!D27*Assumptions!$C$22/1000000,IF(Nonlabor!$I$22="OutputM",'Monthly Lean'!D27*Assumptions!$C$23/1000000,0))))))))),0)</f>
        <v>3.34637896641038</v>
      </c>
      <c r="F987" s="10" t="n">
        <f aca="false">Nonlabor!$J$22*(1+Assumptions!$C$9)^INT((C987-1)/12)</f>
        <v>77.25</v>
      </c>
      <c r="G987" s="10" t="n">
        <f aca="false">E987*F987</f>
        <v>258.507775155202</v>
      </c>
      <c r="H987" s="10" t="n">
        <f aca="false">IF(OR(Nonlabor!$L$22="Quote required",Nonlabor!$L$22="Unverified"),G987,0)</f>
        <v>0</v>
      </c>
      <c r="I987" s="10" t="n">
        <f aca="false">IF(Nonlabor!$E$22="Core",0,G987)</f>
        <v>0</v>
      </c>
      <c r="J987" s="23" t="str">
        <f aca="false">Nonlabor!$B$22</f>
        <v>MARKETING</v>
      </c>
    </row>
    <row r="988" customFormat="false" ht="15" hidden="false" customHeight="false" outlineLevel="0" collapsed="false">
      <c r="A988" s="6" t="s">
        <v>72</v>
      </c>
      <c r="B988" s="6" t="s">
        <v>55</v>
      </c>
      <c r="C988" s="6" t="n">
        <v>23</v>
      </c>
      <c r="D988" s="25" t="n">
        <f aca="false">EDATE('Start Here'!$B$6,C988-1)</f>
        <v>46997</v>
      </c>
      <c r="E988" s="11" t="n">
        <f aca="false">IF(AND(OR(Nonlabor!$D$22="Both",Nonlabor!$D$22='Start Here'!$B$9),IF(Nonlabor!$E$22="Core",1,IF(Nonlabor!$E$22="AI",'Start Here'!$B$7,'Start Here'!$B$8))=1,C988&gt;=IF(Nonlabor!$E$22="Core",Nonlabor!$F$22,MAX(Nonlabor!$F$22,IF(Nonlabor!$E$22="AI",Assumptions!$C$24,Assumptions!$C$25))),C988&lt;=Nonlabor!$G$22,OR(Nonlabor!$H$22="Monthly",AND(Nonlabor!$H$22="Once",C988=IF(Nonlabor!$E$22="Core",Nonlabor!$F$22,MAX(Nonlabor!$F$22,IF(Nonlabor!$E$22="AI",Assumptions!$C$24,Assumptions!$C$25)))),AND(Nonlabor!$H$22="Annual",MOD(C988-IF(Nonlabor!$E$22="Core",Nonlabor!$F$22,MAX(Nonlabor!$F$22,IF(Nonlabor!$E$22="AI",Assumptions!$C$24,Assumptions!$C$25))),12)=0))),IF(Nonlabor!$I$22="Fixed",1,IF(Nonlabor!$I$22="Seats",ROUNDUP('Monthly Lean'!I28,0),IF(Nonlabor!$I$22="Customers",'Monthly Lean'!D28,IF(Nonlabor!$I$22="NewCustomers",'Monthly Lean'!C28,IF(Nonlabor!$I$22="StorageGB",'Monthly Lean'!G28,IF(Nonlabor!$I$22="LogGB",'Monthly Lean'!H28,IF(Nonlabor!$I$22="RequestsM",'Monthly Lean'!F28,IF(Nonlabor!$I$22="InputM",'Monthly Lean'!D28*Assumptions!$C$22/1000000,IF(Nonlabor!$I$22="OutputM",'Monthly Lean'!D28*Assumptions!$C$23/1000000,0))))))))),0)</f>
        <v>3.79618328191423</v>
      </c>
      <c r="F988" s="10" t="n">
        <f aca="false">Nonlabor!$J$22*(1+Assumptions!$C$9)^INT((C988-1)/12)</f>
        <v>77.25</v>
      </c>
      <c r="G988" s="10" t="n">
        <f aca="false">E988*F988</f>
        <v>293.255158527874</v>
      </c>
      <c r="H988" s="10" t="n">
        <f aca="false">IF(OR(Nonlabor!$L$22="Quote required",Nonlabor!$L$22="Unverified"),G988,0)</f>
        <v>0</v>
      </c>
      <c r="I988" s="10" t="n">
        <f aca="false">IF(Nonlabor!$E$22="Core",0,G988)</f>
        <v>0</v>
      </c>
      <c r="J988" s="23" t="str">
        <f aca="false">Nonlabor!$B$22</f>
        <v>MARKETING</v>
      </c>
    </row>
    <row r="989" customFormat="false" ht="15" hidden="false" customHeight="false" outlineLevel="0" collapsed="false">
      <c r="A989" s="6" t="s">
        <v>72</v>
      </c>
      <c r="B989" s="6" t="s">
        <v>55</v>
      </c>
      <c r="C989" s="6" t="n">
        <v>24</v>
      </c>
      <c r="D989" s="25" t="n">
        <f aca="false">EDATE('Start Here'!$B$6,C989-1)</f>
        <v>47027</v>
      </c>
      <c r="E989" s="11" t="n">
        <f aca="false">IF(AND(OR(Nonlabor!$D$22="Both",Nonlabor!$D$22='Start Here'!$B$9),IF(Nonlabor!$E$22="Core",1,IF(Nonlabor!$E$22="AI",'Start Here'!$B$7,'Start Here'!$B$8))=1,C989&gt;=IF(Nonlabor!$E$22="Core",Nonlabor!$F$22,MAX(Nonlabor!$F$22,IF(Nonlabor!$E$22="AI",Assumptions!$C$24,Assumptions!$C$25))),C989&lt;=Nonlabor!$G$22,OR(Nonlabor!$H$22="Monthly",AND(Nonlabor!$H$22="Once",C989=IF(Nonlabor!$E$22="Core",Nonlabor!$F$22,MAX(Nonlabor!$F$22,IF(Nonlabor!$E$22="AI",Assumptions!$C$24,Assumptions!$C$25)))),AND(Nonlabor!$H$22="Annual",MOD(C989-IF(Nonlabor!$E$22="Core",Nonlabor!$F$22,MAX(Nonlabor!$F$22,IF(Nonlabor!$E$22="AI",Assumptions!$C$24,Assumptions!$C$25))),12)=0))),IF(Nonlabor!$I$22="Fixed",1,IF(Nonlabor!$I$22="Seats",ROUNDUP('Monthly Lean'!I29,0),IF(Nonlabor!$I$22="Customers",'Monthly Lean'!D29,IF(Nonlabor!$I$22="NewCustomers",'Monthly Lean'!C29,IF(Nonlabor!$I$22="StorageGB",'Monthly Lean'!G29,IF(Nonlabor!$I$22="LogGB",'Monthly Lean'!H29,IF(Nonlabor!$I$22="RequestsM",'Monthly Lean'!F29,IF(Nonlabor!$I$22="InputM",'Monthly Lean'!D29*Assumptions!$C$22/1000000,IF(Nonlabor!$I$22="OutputM",'Monthly Lean'!D29*Assumptions!$C$23/1000000,0))))))))),0)</f>
        <v>4.23924053268551</v>
      </c>
      <c r="F989" s="10" t="n">
        <f aca="false">Nonlabor!$J$22*(1+Assumptions!$C$9)^INT((C989-1)/12)</f>
        <v>77.25</v>
      </c>
      <c r="G989" s="10" t="n">
        <f aca="false">E989*F989</f>
        <v>327.481331149956</v>
      </c>
      <c r="H989" s="10" t="n">
        <f aca="false">IF(OR(Nonlabor!$L$22="Quote required",Nonlabor!$L$22="Unverified"),G989,0)</f>
        <v>0</v>
      </c>
      <c r="I989" s="10" t="n">
        <f aca="false">IF(Nonlabor!$E$22="Core",0,G989)</f>
        <v>0</v>
      </c>
      <c r="J989" s="23" t="str">
        <f aca="false">Nonlabor!$B$22</f>
        <v>MARKETING</v>
      </c>
    </row>
    <row r="990" customFormat="false" ht="15" hidden="false" customHeight="false" outlineLevel="0" collapsed="false">
      <c r="A990" s="6" t="s">
        <v>72</v>
      </c>
      <c r="B990" s="6" t="s">
        <v>55</v>
      </c>
      <c r="C990" s="6" t="n">
        <v>25</v>
      </c>
      <c r="D990" s="25" t="n">
        <f aca="false">EDATE('Start Here'!$B$6,C990-1)</f>
        <v>47058</v>
      </c>
      <c r="E990" s="11" t="n">
        <f aca="false">IF(AND(OR(Nonlabor!$D$22="Both",Nonlabor!$D$22='Start Here'!$B$9),IF(Nonlabor!$E$22="Core",1,IF(Nonlabor!$E$22="AI",'Start Here'!$B$7,'Start Here'!$B$8))=1,C990&gt;=IF(Nonlabor!$E$22="Core",Nonlabor!$F$22,MAX(Nonlabor!$F$22,IF(Nonlabor!$E$22="AI",Assumptions!$C$24,Assumptions!$C$25))),C990&lt;=Nonlabor!$G$22,OR(Nonlabor!$H$22="Monthly",AND(Nonlabor!$H$22="Once",C990=IF(Nonlabor!$E$22="Core",Nonlabor!$F$22,MAX(Nonlabor!$F$22,IF(Nonlabor!$E$22="AI",Assumptions!$C$24,Assumptions!$C$25)))),AND(Nonlabor!$H$22="Annual",MOD(C990-IF(Nonlabor!$E$22="Core",Nonlabor!$F$22,MAX(Nonlabor!$F$22,IF(Nonlabor!$E$22="AI",Assumptions!$C$24,Assumptions!$C$25))),12)=0))),IF(Nonlabor!$I$22="Fixed",1,IF(Nonlabor!$I$22="Seats",ROUNDUP('Monthly Lean'!I30,0),IF(Nonlabor!$I$22="Customers",'Monthly Lean'!D30,IF(Nonlabor!$I$22="NewCustomers",'Monthly Lean'!C30,IF(Nonlabor!$I$22="StorageGB",'Monthly Lean'!G30,IF(Nonlabor!$I$22="LogGB",'Monthly Lean'!H30,IF(Nonlabor!$I$22="RequestsM",'Monthly Lean'!F30,IF(Nonlabor!$I$22="InputM",'Monthly Lean'!D30*Assumptions!$C$22/1000000,IF(Nonlabor!$I$22="OutputM",'Monthly Lean'!D30*Assumptions!$C$23/1000000,0))))))))),0)</f>
        <v>4.67565192469523</v>
      </c>
      <c r="F990" s="10" t="n">
        <f aca="false">Nonlabor!$J$22*(1+Assumptions!$C$9)^INT((C990-1)/12)</f>
        <v>79.5675</v>
      </c>
      <c r="G990" s="10" t="n">
        <f aca="false">E990*F990</f>
        <v>372.029934518188</v>
      </c>
      <c r="H990" s="10" t="n">
        <f aca="false">IF(OR(Nonlabor!$L$22="Quote required",Nonlabor!$L$22="Unverified"),G990,0)</f>
        <v>0</v>
      </c>
      <c r="I990" s="10" t="n">
        <f aca="false">IF(Nonlabor!$E$22="Core",0,G990)</f>
        <v>0</v>
      </c>
      <c r="J990" s="23" t="str">
        <f aca="false">Nonlabor!$B$22</f>
        <v>MARKETING</v>
      </c>
    </row>
    <row r="991" customFormat="false" ht="15" hidden="false" customHeight="false" outlineLevel="0" collapsed="false">
      <c r="A991" s="6" t="s">
        <v>72</v>
      </c>
      <c r="B991" s="6" t="s">
        <v>55</v>
      </c>
      <c r="C991" s="6" t="n">
        <v>26</v>
      </c>
      <c r="D991" s="25" t="n">
        <f aca="false">EDATE('Start Here'!$B$6,C991-1)</f>
        <v>47088</v>
      </c>
      <c r="E991" s="11" t="n">
        <f aca="false">IF(AND(OR(Nonlabor!$D$22="Both",Nonlabor!$D$22='Start Here'!$B$9),IF(Nonlabor!$E$22="Core",1,IF(Nonlabor!$E$22="AI",'Start Here'!$B$7,'Start Here'!$B$8))=1,C991&gt;=IF(Nonlabor!$E$22="Core",Nonlabor!$F$22,MAX(Nonlabor!$F$22,IF(Nonlabor!$E$22="AI",Assumptions!$C$24,Assumptions!$C$25))),C991&lt;=Nonlabor!$G$22,OR(Nonlabor!$H$22="Monthly",AND(Nonlabor!$H$22="Once",C991=IF(Nonlabor!$E$22="Core",Nonlabor!$F$22,MAX(Nonlabor!$F$22,IF(Nonlabor!$E$22="AI",Assumptions!$C$24,Assumptions!$C$25)))),AND(Nonlabor!$H$22="Annual",MOD(C991-IF(Nonlabor!$E$22="Core",Nonlabor!$F$22,MAX(Nonlabor!$F$22,IF(Nonlabor!$E$22="AI",Assumptions!$C$24,Assumptions!$C$25))),12)=0))),IF(Nonlabor!$I$22="Fixed",1,IF(Nonlabor!$I$22="Seats",ROUNDUP('Monthly Lean'!I31,0),IF(Nonlabor!$I$22="Customers",'Monthly Lean'!D31,IF(Nonlabor!$I$22="NewCustomers",'Monthly Lean'!C31,IF(Nonlabor!$I$22="StorageGB",'Monthly Lean'!G31,IF(Nonlabor!$I$22="LogGB",'Monthly Lean'!H31,IF(Nonlabor!$I$22="RequestsM",'Monthly Lean'!F31,IF(Nonlabor!$I$22="InputM",'Monthly Lean'!D31*Assumptions!$C$22/1000000,IF(Nonlabor!$I$22="OutputM",'Monthly Lean'!D31*Assumptions!$C$23/1000000,0))))))))),0)</f>
        <v>5.1055171458248</v>
      </c>
      <c r="F991" s="10" t="n">
        <f aca="false">Nonlabor!$J$22*(1+Assumptions!$C$9)^INT((C991-1)/12)</f>
        <v>79.5675</v>
      </c>
      <c r="G991" s="10" t="n">
        <f aca="false">E991*F991</f>
        <v>406.233235500415</v>
      </c>
      <c r="H991" s="10" t="n">
        <f aca="false">IF(OR(Nonlabor!$L$22="Quote required",Nonlabor!$L$22="Unverified"),G991,0)</f>
        <v>0</v>
      </c>
      <c r="I991" s="10" t="n">
        <f aca="false">IF(Nonlabor!$E$22="Core",0,G991)</f>
        <v>0</v>
      </c>
      <c r="J991" s="23" t="str">
        <f aca="false">Nonlabor!$B$22</f>
        <v>MARKETING</v>
      </c>
    </row>
    <row r="992" customFormat="false" ht="15" hidden="false" customHeight="false" outlineLevel="0" collapsed="false">
      <c r="A992" s="6" t="s">
        <v>72</v>
      </c>
      <c r="B992" s="6" t="s">
        <v>55</v>
      </c>
      <c r="C992" s="6" t="n">
        <v>27</v>
      </c>
      <c r="D992" s="25" t="n">
        <f aca="false">EDATE('Start Here'!$B$6,C992-1)</f>
        <v>47119</v>
      </c>
      <c r="E992" s="11" t="n">
        <f aca="false">IF(AND(OR(Nonlabor!$D$22="Both",Nonlabor!$D$22='Start Here'!$B$9),IF(Nonlabor!$E$22="Core",1,IF(Nonlabor!$E$22="AI",'Start Here'!$B$7,'Start Here'!$B$8))=1,C992&gt;=IF(Nonlabor!$E$22="Core",Nonlabor!$F$22,MAX(Nonlabor!$F$22,IF(Nonlabor!$E$22="AI",Assumptions!$C$24,Assumptions!$C$25))),C992&lt;=Nonlabor!$G$22,OR(Nonlabor!$H$22="Monthly",AND(Nonlabor!$H$22="Once",C992=IF(Nonlabor!$E$22="Core",Nonlabor!$F$22,MAX(Nonlabor!$F$22,IF(Nonlabor!$E$22="AI",Assumptions!$C$24,Assumptions!$C$25)))),AND(Nonlabor!$H$22="Annual",MOD(C992-IF(Nonlabor!$E$22="Core",Nonlabor!$F$22,MAX(Nonlabor!$F$22,IF(Nonlabor!$E$22="AI",Assumptions!$C$24,Assumptions!$C$25))),12)=0))),IF(Nonlabor!$I$22="Fixed",1,IF(Nonlabor!$I$22="Seats",ROUNDUP('Monthly Lean'!I32,0),IF(Nonlabor!$I$22="Customers",'Monthly Lean'!D32,IF(Nonlabor!$I$22="NewCustomers",'Monthly Lean'!C32,IF(Nonlabor!$I$22="StorageGB",'Monthly Lean'!G32,IF(Nonlabor!$I$22="LogGB",'Monthly Lean'!H32,IF(Nonlabor!$I$22="RequestsM",'Monthly Lean'!F32,IF(Nonlabor!$I$22="InputM",'Monthly Lean'!D32*Assumptions!$C$22/1000000,IF(Nonlabor!$I$22="OutputM",'Monthly Lean'!D32*Assumptions!$C$23/1000000,0))))))))),0)</f>
        <v>5.52893438863743</v>
      </c>
      <c r="F992" s="10" t="n">
        <f aca="false">Nonlabor!$J$22*(1+Assumptions!$C$9)^INT((C992-1)/12)</f>
        <v>79.5675</v>
      </c>
      <c r="G992" s="10" t="n">
        <f aca="false">E992*F992</f>
        <v>439.923486967909</v>
      </c>
      <c r="H992" s="10" t="n">
        <f aca="false">IF(OR(Nonlabor!$L$22="Quote required",Nonlabor!$L$22="Unverified"),G992,0)</f>
        <v>0</v>
      </c>
      <c r="I992" s="10" t="n">
        <f aca="false">IF(Nonlabor!$E$22="Core",0,G992)</f>
        <v>0</v>
      </c>
      <c r="J992" s="23" t="str">
        <f aca="false">Nonlabor!$B$22</f>
        <v>MARKETING</v>
      </c>
    </row>
    <row r="993" customFormat="false" ht="15" hidden="false" customHeight="false" outlineLevel="0" collapsed="false">
      <c r="A993" s="6" t="s">
        <v>72</v>
      </c>
      <c r="B993" s="6" t="s">
        <v>55</v>
      </c>
      <c r="C993" s="6" t="n">
        <v>28</v>
      </c>
      <c r="D993" s="25" t="n">
        <f aca="false">EDATE('Start Here'!$B$6,C993-1)</f>
        <v>47150</v>
      </c>
      <c r="E993" s="11" t="n">
        <f aca="false">IF(AND(OR(Nonlabor!$D$22="Both",Nonlabor!$D$22='Start Here'!$B$9),IF(Nonlabor!$E$22="Core",1,IF(Nonlabor!$E$22="AI",'Start Here'!$B$7,'Start Here'!$B$8))=1,C993&gt;=IF(Nonlabor!$E$22="Core",Nonlabor!$F$22,MAX(Nonlabor!$F$22,IF(Nonlabor!$E$22="AI",Assumptions!$C$24,Assumptions!$C$25))),C993&lt;=Nonlabor!$G$22,OR(Nonlabor!$H$22="Monthly",AND(Nonlabor!$H$22="Once",C993=IF(Nonlabor!$E$22="Core",Nonlabor!$F$22,MAX(Nonlabor!$F$22,IF(Nonlabor!$E$22="AI",Assumptions!$C$24,Assumptions!$C$25)))),AND(Nonlabor!$H$22="Annual",MOD(C993-IF(Nonlabor!$E$22="Core",Nonlabor!$F$22,MAX(Nonlabor!$F$22,IF(Nonlabor!$E$22="AI",Assumptions!$C$24,Assumptions!$C$25))),12)=0))),IF(Nonlabor!$I$22="Fixed",1,IF(Nonlabor!$I$22="Seats",ROUNDUP('Monthly Lean'!I33,0),IF(Nonlabor!$I$22="Customers",'Monthly Lean'!D33,IF(Nonlabor!$I$22="NewCustomers",'Monthly Lean'!C33,IF(Nonlabor!$I$22="StorageGB",'Monthly Lean'!G33,IF(Nonlabor!$I$22="LogGB",'Monthly Lean'!H33,IF(Nonlabor!$I$22="RequestsM",'Monthly Lean'!F33,IF(Nonlabor!$I$22="InputM",'Monthly Lean'!D33*Assumptions!$C$22/1000000,IF(Nonlabor!$I$22="OutputM",'Monthly Lean'!D33*Assumptions!$C$23/1000000,0))))))))),0)</f>
        <v>6.07100037280787</v>
      </c>
      <c r="F993" s="10" t="n">
        <f aca="false">Nonlabor!$J$22*(1+Assumptions!$C$9)^INT((C993-1)/12)</f>
        <v>79.5675</v>
      </c>
      <c r="G993" s="10" t="n">
        <f aca="false">E993*F993</f>
        <v>483.05432216339</v>
      </c>
      <c r="H993" s="10" t="n">
        <f aca="false">IF(OR(Nonlabor!$L$22="Quote required",Nonlabor!$L$22="Unverified"),G993,0)</f>
        <v>0</v>
      </c>
      <c r="I993" s="10" t="n">
        <f aca="false">IF(Nonlabor!$E$22="Core",0,G993)</f>
        <v>0</v>
      </c>
      <c r="J993" s="23" t="str">
        <f aca="false">Nonlabor!$B$22</f>
        <v>MARKETING</v>
      </c>
    </row>
    <row r="994" customFormat="false" ht="15" hidden="false" customHeight="false" outlineLevel="0" collapsed="false">
      <c r="A994" s="6" t="s">
        <v>72</v>
      </c>
      <c r="B994" s="6" t="s">
        <v>55</v>
      </c>
      <c r="C994" s="6" t="n">
        <v>29</v>
      </c>
      <c r="D994" s="25" t="n">
        <f aca="false">EDATE('Start Here'!$B$6,C994-1)</f>
        <v>47178</v>
      </c>
      <c r="E994" s="11" t="n">
        <f aca="false">IF(AND(OR(Nonlabor!$D$22="Both",Nonlabor!$D$22='Start Here'!$B$9),IF(Nonlabor!$E$22="Core",1,IF(Nonlabor!$E$22="AI",'Start Here'!$B$7,'Start Here'!$B$8))=1,C994&gt;=IF(Nonlabor!$E$22="Core",Nonlabor!$F$22,MAX(Nonlabor!$F$22,IF(Nonlabor!$E$22="AI",Assumptions!$C$24,Assumptions!$C$25))),C994&lt;=Nonlabor!$G$22,OR(Nonlabor!$H$22="Monthly",AND(Nonlabor!$H$22="Once",C994=IF(Nonlabor!$E$22="Core",Nonlabor!$F$22,MAX(Nonlabor!$F$22,IF(Nonlabor!$E$22="AI",Assumptions!$C$24,Assumptions!$C$25)))),AND(Nonlabor!$H$22="Annual",MOD(C994-IF(Nonlabor!$E$22="Core",Nonlabor!$F$22,MAX(Nonlabor!$F$22,IF(Nonlabor!$E$22="AI",Assumptions!$C$24,Assumptions!$C$25))),12)=0))),IF(Nonlabor!$I$22="Fixed",1,IF(Nonlabor!$I$22="Seats",ROUNDUP('Monthly Lean'!I34,0),IF(Nonlabor!$I$22="Customers",'Monthly Lean'!D34,IF(Nonlabor!$I$22="NewCustomers",'Monthly Lean'!C34,IF(Nonlabor!$I$22="StorageGB",'Monthly Lean'!G34,IF(Nonlabor!$I$22="LogGB",'Monthly Lean'!H34,IF(Nonlabor!$I$22="RequestsM",'Monthly Lean'!F34,IF(Nonlabor!$I$22="InputM",'Monthly Lean'!D34*Assumptions!$C$22/1000000,IF(Nonlabor!$I$22="OutputM",'Monthly Lean'!D34*Assumptions!$C$23/1000000,0))))))))),0)</f>
        <v>6.60493536721575</v>
      </c>
      <c r="F994" s="10" t="n">
        <f aca="false">Nonlabor!$J$22*(1+Assumptions!$C$9)^INT((C994-1)/12)</f>
        <v>79.5675</v>
      </c>
      <c r="G994" s="10" t="n">
        <f aca="false">E994*F994</f>
        <v>525.538194830939</v>
      </c>
      <c r="H994" s="10" t="n">
        <f aca="false">IF(OR(Nonlabor!$L$22="Quote required",Nonlabor!$L$22="Unverified"),G994,0)</f>
        <v>0</v>
      </c>
      <c r="I994" s="10" t="n">
        <f aca="false">IF(Nonlabor!$E$22="Core",0,G994)</f>
        <v>0</v>
      </c>
      <c r="J994" s="23" t="str">
        <f aca="false">Nonlabor!$B$22</f>
        <v>MARKETING</v>
      </c>
    </row>
    <row r="995" customFormat="false" ht="15" hidden="false" customHeight="false" outlineLevel="0" collapsed="false">
      <c r="A995" s="6" t="s">
        <v>72</v>
      </c>
      <c r="B995" s="6" t="s">
        <v>55</v>
      </c>
      <c r="C995" s="6" t="n">
        <v>30</v>
      </c>
      <c r="D995" s="25" t="n">
        <f aca="false">EDATE('Start Here'!$B$6,C995-1)</f>
        <v>47209</v>
      </c>
      <c r="E995" s="11" t="n">
        <f aca="false">IF(AND(OR(Nonlabor!$D$22="Both",Nonlabor!$D$22='Start Here'!$B$9),IF(Nonlabor!$E$22="Core",1,IF(Nonlabor!$E$22="AI",'Start Here'!$B$7,'Start Here'!$B$8))=1,C995&gt;=IF(Nonlabor!$E$22="Core",Nonlabor!$F$22,MAX(Nonlabor!$F$22,IF(Nonlabor!$E$22="AI",Assumptions!$C$24,Assumptions!$C$25))),C995&lt;=Nonlabor!$G$22,OR(Nonlabor!$H$22="Monthly",AND(Nonlabor!$H$22="Once",C995=IF(Nonlabor!$E$22="Core",Nonlabor!$F$22,MAX(Nonlabor!$F$22,IF(Nonlabor!$E$22="AI",Assumptions!$C$24,Assumptions!$C$25)))),AND(Nonlabor!$H$22="Annual",MOD(C995-IF(Nonlabor!$E$22="Core",Nonlabor!$F$22,MAX(Nonlabor!$F$22,IF(Nonlabor!$E$22="AI",Assumptions!$C$24,Assumptions!$C$25))),12)=0))),IF(Nonlabor!$I$22="Fixed",1,IF(Nonlabor!$I$22="Seats",ROUNDUP('Monthly Lean'!I35,0),IF(Nonlabor!$I$22="Customers",'Monthly Lean'!D35,IF(Nonlabor!$I$22="NewCustomers",'Monthly Lean'!C35,IF(Nonlabor!$I$22="StorageGB",'Monthly Lean'!G35,IF(Nonlabor!$I$22="LogGB",'Monthly Lean'!H35,IF(Nonlabor!$I$22="RequestsM",'Monthly Lean'!F35,IF(Nonlabor!$I$22="InputM",'Monthly Lean'!D35*Assumptions!$C$22/1000000,IF(Nonlabor!$I$22="OutputM",'Monthly Lean'!D35*Assumptions!$C$23/1000000,0))))))))),0)</f>
        <v>7.13086133670751</v>
      </c>
      <c r="F995" s="10" t="n">
        <f aca="false">Nonlabor!$J$22*(1+Assumptions!$C$9)^INT((C995-1)/12)</f>
        <v>79.5675</v>
      </c>
      <c r="G995" s="10" t="n">
        <f aca="false">E995*F995</f>
        <v>567.384809408475</v>
      </c>
      <c r="H995" s="10" t="n">
        <f aca="false">IF(OR(Nonlabor!$L$22="Quote required",Nonlabor!$L$22="Unverified"),G995,0)</f>
        <v>0</v>
      </c>
      <c r="I995" s="10" t="n">
        <f aca="false">IF(Nonlabor!$E$22="Core",0,G995)</f>
        <v>0</v>
      </c>
      <c r="J995" s="23" t="str">
        <f aca="false">Nonlabor!$B$22</f>
        <v>MARKETING</v>
      </c>
    </row>
    <row r="996" customFormat="false" ht="15" hidden="false" customHeight="false" outlineLevel="0" collapsed="false">
      <c r="A996" s="6" t="s">
        <v>72</v>
      </c>
      <c r="B996" s="6" t="s">
        <v>55</v>
      </c>
      <c r="C996" s="6" t="n">
        <v>31</v>
      </c>
      <c r="D996" s="25" t="n">
        <f aca="false">EDATE('Start Here'!$B$6,C996-1)</f>
        <v>47239</v>
      </c>
      <c r="E996" s="11" t="n">
        <f aca="false">IF(AND(OR(Nonlabor!$D$22="Both",Nonlabor!$D$22='Start Here'!$B$9),IF(Nonlabor!$E$22="Core",1,IF(Nonlabor!$E$22="AI",'Start Here'!$B$7,'Start Here'!$B$8))=1,C996&gt;=IF(Nonlabor!$E$22="Core",Nonlabor!$F$22,MAX(Nonlabor!$F$22,IF(Nonlabor!$E$22="AI",Assumptions!$C$24,Assumptions!$C$25))),C996&lt;=Nonlabor!$G$22,OR(Nonlabor!$H$22="Monthly",AND(Nonlabor!$H$22="Once",C996=IF(Nonlabor!$E$22="Core",Nonlabor!$F$22,MAX(Nonlabor!$F$22,IF(Nonlabor!$E$22="AI",Assumptions!$C$24,Assumptions!$C$25)))),AND(Nonlabor!$H$22="Annual",MOD(C996-IF(Nonlabor!$E$22="Core",Nonlabor!$F$22,MAX(Nonlabor!$F$22,IF(Nonlabor!$E$22="AI",Assumptions!$C$24,Assumptions!$C$25))),12)=0))),IF(Nonlabor!$I$22="Fixed",1,IF(Nonlabor!$I$22="Seats",ROUNDUP('Monthly Lean'!I36,0),IF(Nonlabor!$I$22="Customers",'Monthly Lean'!D36,IF(Nonlabor!$I$22="NewCustomers",'Monthly Lean'!C36,IF(Nonlabor!$I$22="StorageGB",'Monthly Lean'!G36,IF(Nonlabor!$I$22="LogGB",'Monthly Lean'!H36,IF(Nonlabor!$I$22="RequestsM",'Monthly Lean'!F36,IF(Nonlabor!$I$22="InputM",'Monthly Lean'!D36*Assumptions!$C$22/1000000,IF(Nonlabor!$I$22="OutputM",'Monthly Lean'!D36*Assumptions!$C$23/1000000,0))))))))),0)</f>
        <v>7.6488984166569</v>
      </c>
      <c r="F996" s="10" t="n">
        <f aca="false">Nonlabor!$J$22*(1+Assumptions!$C$9)^INT((C996-1)/12)</f>
        <v>79.5675</v>
      </c>
      <c r="G996" s="10" t="n">
        <f aca="false">E996*F996</f>
        <v>608.603724767348</v>
      </c>
      <c r="H996" s="10" t="n">
        <f aca="false">IF(OR(Nonlabor!$L$22="Quote required",Nonlabor!$L$22="Unverified"),G996,0)</f>
        <v>0</v>
      </c>
      <c r="I996" s="10" t="n">
        <f aca="false">IF(Nonlabor!$E$22="Core",0,G996)</f>
        <v>0</v>
      </c>
      <c r="J996" s="23" t="str">
        <f aca="false">Nonlabor!$B$22</f>
        <v>MARKETING</v>
      </c>
    </row>
    <row r="997" customFormat="false" ht="15" hidden="false" customHeight="false" outlineLevel="0" collapsed="false">
      <c r="A997" s="6" t="s">
        <v>72</v>
      </c>
      <c r="B997" s="6" t="s">
        <v>55</v>
      </c>
      <c r="C997" s="6" t="n">
        <v>32</v>
      </c>
      <c r="D997" s="25" t="n">
        <f aca="false">EDATE('Start Here'!$B$6,C997-1)</f>
        <v>47270</v>
      </c>
      <c r="E997" s="11" t="n">
        <f aca="false">IF(AND(OR(Nonlabor!$D$22="Both",Nonlabor!$D$22='Start Here'!$B$9),IF(Nonlabor!$E$22="Core",1,IF(Nonlabor!$E$22="AI",'Start Here'!$B$7,'Start Here'!$B$8))=1,C997&gt;=IF(Nonlabor!$E$22="Core",Nonlabor!$F$22,MAX(Nonlabor!$F$22,IF(Nonlabor!$E$22="AI",Assumptions!$C$24,Assumptions!$C$25))),C997&lt;=Nonlabor!$G$22,OR(Nonlabor!$H$22="Monthly",AND(Nonlabor!$H$22="Once",C997=IF(Nonlabor!$E$22="Core",Nonlabor!$F$22,MAX(Nonlabor!$F$22,IF(Nonlabor!$E$22="AI",Assumptions!$C$24,Assumptions!$C$25)))),AND(Nonlabor!$H$22="Annual",MOD(C997-IF(Nonlabor!$E$22="Core",Nonlabor!$F$22,MAX(Nonlabor!$F$22,IF(Nonlabor!$E$22="AI",Assumptions!$C$24,Assumptions!$C$25))),12)=0))),IF(Nonlabor!$I$22="Fixed",1,IF(Nonlabor!$I$22="Seats",ROUNDUP('Monthly Lean'!I37,0),IF(Nonlabor!$I$22="Customers",'Monthly Lean'!D37,IF(Nonlabor!$I$22="NewCustomers",'Monthly Lean'!C37,IF(Nonlabor!$I$22="StorageGB",'Monthly Lean'!G37,IF(Nonlabor!$I$22="LogGB",'Monthly Lean'!H37,IF(Nonlabor!$I$22="RequestsM",'Monthly Lean'!F37,IF(Nonlabor!$I$22="InputM",'Monthly Lean'!D37*Assumptions!$C$22/1000000,IF(Nonlabor!$I$22="OutputM",'Monthly Lean'!D37*Assumptions!$C$23/1000000,0))))))))),0)</f>
        <v>8.15916494040705</v>
      </c>
      <c r="F997" s="10" t="n">
        <f aca="false">Nonlabor!$J$22*(1+Assumptions!$C$9)^INT((C997-1)/12)</f>
        <v>79.5675</v>
      </c>
      <c r="G997" s="10" t="n">
        <f aca="false">E997*F997</f>
        <v>649.204356395838</v>
      </c>
      <c r="H997" s="10" t="n">
        <f aca="false">IF(OR(Nonlabor!$L$22="Quote required",Nonlabor!$L$22="Unverified"),G997,0)</f>
        <v>0</v>
      </c>
      <c r="I997" s="10" t="n">
        <f aca="false">IF(Nonlabor!$E$22="Core",0,G997)</f>
        <v>0</v>
      </c>
      <c r="J997" s="23" t="str">
        <f aca="false">Nonlabor!$B$22</f>
        <v>MARKETING</v>
      </c>
    </row>
    <row r="998" customFormat="false" ht="15" hidden="false" customHeight="false" outlineLevel="0" collapsed="false">
      <c r="A998" s="6" t="s">
        <v>72</v>
      </c>
      <c r="B998" s="6" t="s">
        <v>55</v>
      </c>
      <c r="C998" s="6" t="n">
        <v>33</v>
      </c>
      <c r="D998" s="25" t="n">
        <f aca="false">EDATE('Start Here'!$B$6,C998-1)</f>
        <v>47300</v>
      </c>
      <c r="E998" s="11" t="n">
        <f aca="false">IF(AND(OR(Nonlabor!$D$22="Both",Nonlabor!$D$22='Start Here'!$B$9),IF(Nonlabor!$E$22="Core",1,IF(Nonlabor!$E$22="AI",'Start Here'!$B$7,'Start Here'!$B$8))=1,C998&gt;=IF(Nonlabor!$E$22="Core",Nonlabor!$F$22,MAX(Nonlabor!$F$22,IF(Nonlabor!$E$22="AI",Assumptions!$C$24,Assumptions!$C$25))),C998&lt;=Nonlabor!$G$22,OR(Nonlabor!$H$22="Monthly",AND(Nonlabor!$H$22="Once",C998=IF(Nonlabor!$E$22="Core",Nonlabor!$F$22,MAX(Nonlabor!$F$22,IF(Nonlabor!$E$22="AI",Assumptions!$C$24,Assumptions!$C$25)))),AND(Nonlabor!$H$22="Annual",MOD(C998-IF(Nonlabor!$E$22="Core",Nonlabor!$F$22,MAX(Nonlabor!$F$22,IF(Nonlabor!$E$22="AI",Assumptions!$C$24,Assumptions!$C$25))),12)=0))),IF(Nonlabor!$I$22="Fixed",1,IF(Nonlabor!$I$22="Seats",ROUNDUP('Monthly Lean'!I38,0),IF(Nonlabor!$I$22="Customers",'Monthly Lean'!D38,IF(Nonlabor!$I$22="NewCustomers",'Monthly Lean'!C38,IF(Nonlabor!$I$22="StorageGB",'Monthly Lean'!G38,IF(Nonlabor!$I$22="LogGB",'Monthly Lean'!H38,IF(Nonlabor!$I$22="RequestsM",'Monthly Lean'!F38,IF(Nonlabor!$I$22="InputM",'Monthly Lean'!D38*Assumptions!$C$22/1000000,IF(Nonlabor!$I$22="OutputM",'Monthly Lean'!D38*Assumptions!$C$23/1000000,0))))))))),0)</f>
        <v>8.66177746630094</v>
      </c>
      <c r="F998" s="10" t="n">
        <f aca="false">Nonlabor!$J$22*(1+Assumptions!$C$9)^INT((C998-1)/12)</f>
        <v>79.5675</v>
      </c>
      <c r="G998" s="10" t="n">
        <f aca="false">E998*F998</f>
        <v>689.1959785499</v>
      </c>
      <c r="H998" s="10" t="n">
        <f aca="false">IF(OR(Nonlabor!$L$22="Quote required",Nonlabor!$L$22="Unverified"),G998,0)</f>
        <v>0</v>
      </c>
      <c r="I998" s="10" t="n">
        <f aca="false">IF(Nonlabor!$E$22="Core",0,G998)</f>
        <v>0</v>
      </c>
      <c r="J998" s="23" t="str">
        <f aca="false">Nonlabor!$B$22</f>
        <v>MARKETING</v>
      </c>
    </row>
    <row r="999" customFormat="false" ht="15" hidden="false" customHeight="false" outlineLevel="0" collapsed="false">
      <c r="A999" s="6" t="s">
        <v>72</v>
      </c>
      <c r="B999" s="6" t="s">
        <v>55</v>
      </c>
      <c r="C999" s="6" t="n">
        <v>34</v>
      </c>
      <c r="D999" s="25" t="n">
        <f aca="false">EDATE('Start Here'!$B$6,C999-1)</f>
        <v>47331</v>
      </c>
      <c r="E999" s="11" t="n">
        <f aca="false">IF(AND(OR(Nonlabor!$D$22="Both",Nonlabor!$D$22='Start Here'!$B$9),IF(Nonlabor!$E$22="Core",1,IF(Nonlabor!$E$22="AI",'Start Here'!$B$7,'Start Here'!$B$8))=1,C999&gt;=IF(Nonlabor!$E$22="Core",Nonlabor!$F$22,MAX(Nonlabor!$F$22,IF(Nonlabor!$E$22="AI",Assumptions!$C$24,Assumptions!$C$25))),C999&lt;=Nonlabor!$G$22,OR(Nonlabor!$H$22="Monthly",AND(Nonlabor!$H$22="Once",C999=IF(Nonlabor!$E$22="Core",Nonlabor!$F$22,MAX(Nonlabor!$F$22,IF(Nonlabor!$E$22="AI",Assumptions!$C$24,Assumptions!$C$25)))),AND(Nonlabor!$H$22="Annual",MOD(C999-IF(Nonlabor!$E$22="Core",Nonlabor!$F$22,MAX(Nonlabor!$F$22,IF(Nonlabor!$E$22="AI",Assumptions!$C$24,Assumptions!$C$25))),12)=0))),IF(Nonlabor!$I$22="Fixed",1,IF(Nonlabor!$I$22="Seats",ROUNDUP('Monthly Lean'!I39,0),IF(Nonlabor!$I$22="Customers",'Monthly Lean'!D39,IF(Nonlabor!$I$22="NewCustomers",'Monthly Lean'!C39,IF(Nonlabor!$I$22="StorageGB",'Monthly Lean'!G39,IF(Nonlabor!$I$22="LogGB",'Monthly Lean'!H39,IF(Nonlabor!$I$22="RequestsM",'Monthly Lean'!F39,IF(Nonlabor!$I$22="InputM",'Monthly Lean'!D39*Assumptions!$C$22/1000000,IF(Nonlabor!$I$22="OutputM",'Monthly Lean'!D39*Assumptions!$C$23/1000000,0))))))))),0)</f>
        <v>9.15685080430643</v>
      </c>
      <c r="F999" s="10" t="n">
        <f aca="false">Nonlabor!$J$22*(1+Assumptions!$C$9)^INT((C999-1)/12)</f>
        <v>79.5675</v>
      </c>
      <c r="G999" s="10" t="n">
        <f aca="false">E999*F999</f>
        <v>728.587726371652</v>
      </c>
      <c r="H999" s="10" t="n">
        <f aca="false">IF(OR(Nonlabor!$L$22="Quote required",Nonlabor!$L$22="Unverified"),G999,0)</f>
        <v>0</v>
      </c>
      <c r="I999" s="10" t="n">
        <f aca="false">IF(Nonlabor!$E$22="Core",0,G999)</f>
        <v>0</v>
      </c>
      <c r="J999" s="23" t="str">
        <f aca="false">Nonlabor!$B$22</f>
        <v>MARKETING</v>
      </c>
    </row>
    <row r="1000" customFormat="false" ht="15" hidden="false" customHeight="false" outlineLevel="0" collapsed="false">
      <c r="A1000" s="6" t="s">
        <v>72</v>
      </c>
      <c r="B1000" s="6" t="s">
        <v>55</v>
      </c>
      <c r="C1000" s="6" t="n">
        <v>35</v>
      </c>
      <c r="D1000" s="25" t="n">
        <f aca="false">EDATE('Start Here'!$B$6,C1000-1)</f>
        <v>47362</v>
      </c>
      <c r="E1000" s="11" t="n">
        <f aca="false">IF(AND(OR(Nonlabor!$D$22="Both",Nonlabor!$D$22='Start Here'!$B$9),IF(Nonlabor!$E$22="Core",1,IF(Nonlabor!$E$22="AI",'Start Here'!$B$7,'Start Here'!$B$8))=1,C1000&gt;=IF(Nonlabor!$E$22="Core",Nonlabor!$F$22,MAX(Nonlabor!$F$22,IF(Nonlabor!$E$22="AI",Assumptions!$C$24,Assumptions!$C$25))),C1000&lt;=Nonlabor!$G$22,OR(Nonlabor!$H$22="Monthly",AND(Nonlabor!$H$22="Once",C1000=IF(Nonlabor!$E$22="Core",Nonlabor!$F$22,MAX(Nonlabor!$F$22,IF(Nonlabor!$E$22="AI",Assumptions!$C$24,Assumptions!$C$25)))),AND(Nonlabor!$H$22="Annual",MOD(C1000-IF(Nonlabor!$E$22="Core",Nonlabor!$F$22,MAX(Nonlabor!$F$22,IF(Nonlabor!$E$22="AI",Assumptions!$C$24,Assumptions!$C$25))),12)=0))),IF(Nonlabor!$I$22="Fixed",1,IF(Nonlabor!$I$22="Seats",ROUNDUP('Monthly Lean'!I40,0),IF(Nonlabor!$I$22="Customers",'Monthly Lean'!D40,IF(Nonlabor!$I$22="NewCustomers",'Monthly Lean'!C40,IF(Nonlabor!$I$22="StorageGB",'Monthly Lean'!G40,IF(Nonlabor!$I$22="LogGB",'Monthly Lean'!H40,IF(Nonlabor!$I$22="RequestsM",'Monthly Lean'!F40,IF(Nonlabor!$I$22="InputM",'Monthly Lean'!D40*Assumptions!$C$22/1000000,IF(Nonlabor!$I$22="OutputM",'Monthly Lean'!D40*Assumptions!$C$23/1000000,0))))))))),0)</f>
        <v>9.64449804224183</v>
      </c>
      <c r="F1000" s="10" t="n">
        <f aca="false">Nonlabor!$J$22*(1+Assumptions!$C$9)^INT((C1000-1)/12)</f>
        <v>79.5675</v>
      </c>
      <c r="G1000" s="10" t="n">
        <f aca="false">E1000*F1000</f>
        <v>767.388597976077</v>
      </c>
      <c r="H1000" s="10" t="n">
        <f aca="false">IF(OR(Nonlabor!$L$22="Quote required",Nonlabor!$L$22="Unverified"),G1000,0)</f>
        <v>0</v>
      </c>
      <c r="I1000" s="10" t="n">
        <f aca="false">IF(Nonlabor!$E$22="Core",0,G1000)</f>
        <v>0</v>
      </c>
      <c r="J1000" s="23" t="str">
        <f aca="false">Nonlabor!$B$22</f>
        <v>MARKETING</v>
      </c>
    </row>
    <row r="1001" customFormat="false" ht="15" hidden="false" customHeight="false" outlineLevel="0" collapsed="false">
      <c r="A1001" s="6" t="s">
        <v>72</v>
      </c>
      <c r="B1001" s="6" t="s">
        <v>55</v>
      </c>
      <c r="C1001" s="6" t="n">
        <v>36</v>
      </c>
      <c r="D1001" s="25" t="n">
        <f aca="false">EDATE('Start Here'!$B$6,C1001-1)</f>
        <v>47392</v>
      </c>
      <c r="E1001" s="11" t="n">
        <f aca="false">IF(AND(OR(Nonlabor!$D$22="Both",Nonlabor!$D$22='Start Here'!$B$9),IF(Nonlabor!$E$22="Core",1,IF(Nonlabor!$E$22="AI",'Start Here'!$B$7,'Start Here'!$B$8))=1,C1001&gt;=IF(Nonlabor!$E$22="Core",Nonlabor!$F$22,MAX(Nonlabor!$F$22,IF(Nonlabor!$E$22="AI",Assumptions!$C$24,Assumptions!$C$25))),C1001&lt;=Nonlabor!$G$22,OR(Nonlabor!$H$22="Monthly",AND(Nonlabor!$H$22="Once",C1001=IF(Nonlabor!$E$22="Core",Nonlabor!$F$22,MAX(Nonlabor!$F$22,IF(Nonlabor!$E$22="AI",Assumptions!$C$24,Assumptions!$C$25)))),AND(Nonlabor!$H$22="Annual",MOD(C1001-IF(Nonlabor!$E$22="Core",Nonlabor!$F$22,MAX(Nonlabor!$F$22,IF(Nonlabor!$E$22="AI",Assumptions!$C$24,Assumptions!$C$25))),12)=0))),IF(Nonlabor!$I$22="Fixed",1,IF(Nonlabor!$I$22="Seats",ROUNDUP('Monthly Lean'!I41,0),IF(Nonlabor!$I$22="Customers",'Monthly Lean'!D41,IF(Nonlabor!$I$22="NewCustomers",'Monthly Lean'!C41,IF(Nonlabor!$I$22="StorageGB",'Monthly Lean'!G41,IF(Nonlabor!$I$22="LogGB",'Monthly Lean'!H41,IF(Nonlabor!$I$22="RequestsM",'Monthly Lean'!F41,IF(Nonlabor!$I$22="InputM",'Monthly Lean'!D41*Assumptions!$C$22/1000000,IF(Nonlabor!$I$22="OutputM",'Monthly Lean'!D41*Assumptions!$C$23/1000000,0))))))))),0)</f>
        <v>10.1248305716082</v>
      </c>
      <c r="F1001" s="10" t="n">
        <f aca="false">Nonlabor!$J$22*(1+Assumptions!$C$9)^INT((C1001-1)/12)</f>
        <v>79.5675</v>
      </c>
      <c r="G1001" s="10" t="n">
        <f aca="false">E1001*F1001</f>
        <v>805.607456506436</v>
      </c>
      <c r="H1001" s="10" t="n">
        <f aca="false">IF(OR(Nonlabor!$L$22="Quote required",Nonlabor!$L$22="Unverified"),G1001,0)</f>
        <v>0</v>
      </c>
      <c r="I1001" s="10" t="n">
        <f aca="false">IF(Nonlabor!$E$22="Core",0,G1001)</f>
        <v>0</v>
      </c>
      <c r="J1001" s="23" t="str">
        <f aca="false">Nonlabor!$B$22</f>
        <v>MARKETING</v>
      </c>
    </row>
    <row r="1002" customFormat="false" ht="15" hidden="false" customHeight="false" outlineLevel="0" collapsed="false">
      <c r="A1002" s="6" t="s">
        <v>72</v>
      </c>
      <c r="B1002" s="6" t="s">
        <v>55</v>
      </c>
      <c r="C1002" s="6" t="n">
        <v>37</v>
      </c>
      <c r="D1002" s="25" t="n">
        <f aca="false">EDATE('Start Here'!$B$6,C1002-1)</f>
        <v>47423</v>
      </c>
      <c r="E1002" s="11" t="n">
        <f aca="false">IF(AND(OR(Nonlabor!$D$22="Both",Nonlabor!$D$22='Start Here'!$B$9),IF(Nonlabor!$E$22="Core",1,IF(Nonlabor!$E$22="AI",'Start Here'!$B$7,'Start Here'!$B$8))=1,C1002&gt;=IF(Nonlabor!$E$22="Core",Nonlabor!$F$22,MAX(Nonlabor!$F$22,IF(Nonlabor!$E$22="AI",Assumptions!$C$24,Assumptions!$C$25))),C1002&lt;=Nonlabor!$G$22,OR(Nonlabor!$H$22="Monthly",AND(Nonlabor!$H$22="Once",C1002=IF(Nonlabor!$E$22="Core",Nonlabor!$F$22,MAX(Nonlabor!$F$22,IF(Nonlabor!$E$22="AI",Assumptions!$C$24,Assumptions!$C$25)))),AND(Nonlabor!$H$22="Annual",MOD(C1002-IF(Nonlabor!$E$22="Core",Nonlabor!$F$22,MAX(Nonlabor!$F$22,IF(Nonlabor!$E$22="AI",Assumptions!$C$24,Assumptions!$C$25))),12)=0))),IF(Nonlabor!$I$22="Fixed",1,IF(Nonlabor!$I$22="Seats",ROUNDUP('Monthly Lean'!I42,0),IF(Nonlabor!$I$22="Customers",'Monthly Lean'!D42,IF(Nonlabor!$I$22="NewCustomers",'Monthly Lean'!C42,IF(Nonlabor!$I$22="StorageGB",'Monthly Lean'!G42,IF(Nonlabor!$I$22="LogGB",'Monthly Lean'!H42,IF(Nonlabor!$I$22="RequestsM",'Monthly Lean'!F42,IF(Nonlabor!$I$22="InputM",'Monthly Lean'!D42*Assumptions!$C$22/1000000,IF(Nonlabor!$I$22="OutputM",'Monthly Lean'!D42*Assumptions!$C$23/1000000,0))))))))),0)</f>
        <v>10.5979581130341</v>
      </c>
      <c r="F1002" s="10" t="n">
        <f aca="false">Nonlabor!$J$22*(1+Assumptions!$C$9)^INT((C1002-1)/12)</f>
        <v>81.954525</v>
      </c>
      <c r="G1002" s="10" t="n">
        <f aca="false">E1002*F1002</f>
        <v>868.550623123604</v>
      </c>
      <c r="H1002" s="10" t="n">
        <f aca="false">IF(OR(Nonlabor!$L$22="Quote required",Nonlabor!$L$22="Unverified"),G1002,0)</f>
        <v>0</v>
      </c>
      <c r="I1002" s="10" t="n">
        <f aca="false">IF(Nonlabor!$E$22="Core",0,G1002)</f>
        <v>0</v>
      </c>
      <c r="J1002" s="23" t="str">
        <f aca="false">Nonlabor!$B$22</f>
        <v>MARKETING</v>
      </c>
    </row>
    <row r="1003" customFormat="false" ht="15" hidden="false" customHeight="false" outlineLevel="0" collapsed="false">
      <c r="A1003" s="6" t="s">
        <v>72</v>
      </c>
      <c r="B1003" s="6" t="s">
        <v>55</v>
      </c>
      <c r="C1003" s="6" t="n">
        <v>38</v>
      </c>
      <c r="D1003" s="25" t="n">
        <f aca="false">EDATE('Start Here'!$B$6,C1003-1)</f>
        <v>47453</v>
      </c>
      <c r="E1003" s="11" t="n">
        <f aca="false">IF(AND(OR(Nonlabor!$D$22="Both",Nonlabor!$D$22='Start Here'!$B$9),IF(Nonlabor!$E$22="Core",1,IF(Nonlabor!$E$22="AI",'Start Here'!$B$7,'Start Here'!$B$8))=1,C1003&gt;=IF(Nonlabor!$E$22="Core",Nonlabor!$F$22,MAX(Nonlabor!$F$22,IF(Nonlabor!$E$22="AI",Assumptions!$C$24,Assumptions!$C$25))),C1003&lt;=Nonlabor!$G$22,OR(Nonlabor!$H$22="Monthly",AND(Nonlabor!$H$22="Once",C1003=IF(Nonlabor!$E$22="Core",Nonlabor!$F$22,MAX(Nonlabor!$F$22,IF(Nonlabor!$E$22="AI",Assumptions!$C$24,Assumptions!$C$25)))),AND(Nonlabor!$H$22="Annual",MOD(C1003-IF(Nonlabor!$E$22="Core",Nonlabor!$F$22,MAX(Nonlabor!$F$22,IF(Nonlabor!$E$22="AI",Assumptions!$C$24,Assumptions!$C$25))),12)=0))),IF(Nonlabor!$I$22="Fixed",1,IF(Nonlabor!$I$22="Seats",ROUNDUP('Monthly Lean'!I43,0),IF(Nonlabor!$I$22="Customers",'Monthly Lean'!D43,IF(Nonlabor!$I$22="NewCustomers",'Monthly Lean'!C43,IF(Nonlabor!$I$22="StorageGB",'Monthly Lean'!G43,IF(Nonlabor!$I$22="LogGB",'Monthly Lean'!H43,IF(Nonlabor!$I$22="RequestsM",'Monthly Lean'!F43,IF(Nonlabor!$I$22="InputM",'Monthly Lean'!D43*Assumptions!$C$22/1000000,IF(Nonlabor!$I$22="OutputM",'Monthly Lean'!D43*Assumptions!$C$23/1000000,0))))))))),0)</f>
        <v>11.0639887413386</v>
      </c>
      <c r="F1003" s="10" t="n">
        <f aca="false">Nonlabor!$J$22*(1+Assumptions!$C$9)^INT((C1003-1)/12)</f>
        <v>81.954525</v>
      </c>
      <c r="G1003" s="10" t="n">
        <f aca="false">E1003*F1003</f>
        <v>906.74394190175</v>
      </c>
      <c r="H1003" s="10" t="n">
        <f aca="false">IF(OR(Nonlabor!$L$22="Quote required",Nonlabor!$L$22="Unverified"),G1003,0)</f>
        <v>0</v>
      </c>
      <c r="I1003" s="10" t="n">
        <f aca="false">IF(Nonlabor!$E$22="Core",0,G1003)</f>
        <v>0</v>
      </c>
      <c r="J1003" s="23" t="str">
        <f aca="false">Nonlabor!$B$22</f>
        <v>MARKETING</v>
      </c>
    </row>
    <row r="1004" customFormat="false" ht="15" hidden="false" customHeight="false" outlineLevel="0" collapsed="false">
      <c r="A1004" s="6" t="s">
        <v>72</v>
      </c>
      <c r="B1004" s="6" t="s">
        <v>55</v>
      </c>
      <c r="C1004" s="6" t="n">
        <v>39</v>
      </c>
      <c r="D1004" s="25" t="n">
        <f aca="false">EDATE('Start Here'!$B$6,C1004-1)</f>
        <v>47484</v>
      </c>
      <c r="E1004" s="11" t="n">
        <f aca="false">IF(AND(OR(Nonlabor!$D$22="Both",Nonlabor!$D$22='Start Here'!$B$9),IF(Nonlabor!$E$22="Core",1,IF(Nonlabor!$E$22="AI",'Start Here'!$B$7,'Start Here'!$B$8))=1,C1004&gt;=IF(Nonlabor!$E$22="Core",Nonlabor!$F$22,MAX(Nonlabor!$F$22,IF(Nonlabor!$E$22="AI",Assumptions!$C$24,Assumptions!$C$25))),C1004&lt;=Nonlabor!$G$22,OR(Nonlabor!$H$22="Monthly",AND(Nonlabor!$H$22="Once",C1004=IF(Nonlabor!$E$22="Core",Nonlabor!$F$22,MAX(Nonlabor!$F$22,IF(Nonlabor!$E$22="AI",Assumptions!$C$24,Assumptions!$C$25)))),AND(Nonlabor!$H$22="Annual",MOD(C1004-IF(Nonlabor!$E$22="Core",Nonlabor!$F$22,MAX(Nonlabor!$F$22,IF(Nonlabor!$E$22="AI",Assumptions!$C$24,Assumptions!$C$25))),12)=0))),IF(Nonlabor!$I$22="Fixed",1,IF(Nonlabor!$I$22="Seats",ROUNDUP('Monthly Lean'!I44,0),IF(Nonlabor!$I$22="Customers",'Monthly Lean'!D44,IF(Nonlabor!$I$22="NewCustomers",'Monthly Lean'!C44,IF(Nonlabor!$I$22="StorageGB",'Monthly Lean'!G44,IF(Nonlabor!$I$22="LogGB",'Monthly Lean'!H44,IF(Nonlabor!$I$22="RequestsM",'Monthly Lean'!F44,IF(Nonlabor!$I$22="InputM",'Monthly Lean'!D44*Assumptions!$C$22/1000000,IF(Nonlabor!$I$22="OutputM",'Monthly Lean'!D44*Assumptions!$C$23/1000000,0))))))))),0)</f>
        <v>11.5230289102185</v>
      </c>
      <c r="F1004" s="10" t="n">
        <f aca="false">Nonlabor!$J$22*(1+Assumptions!$C$9)^INT((C1004-1)/12)</f>
        <v>81.954525</v>
      </c>
      <c r="G1004" s="10" t="n">
        <f aca="false">E1004*F1004</f>
        <v>944.364360898224</v>
      </c>
      <c r="H1004" s="10" t="n">
        <f aca="false">IF(OR(Nonlabor!$L$22="Quote required",Nonlabor!$L$22="Unverified"),G1004,0)</f>
        <v>0</v>
      </c>
      <c r="I1004" s="10" t="n">
        <f aca="false">IF(Nonlabor!$E$22="Core",0,G1004)</f>
        <v>0</v>
      </c>
      <c r="J1004" s="23" t="str">
        <f aca="false">Nonlabor!$B$22</f>
        <v>MARKETING</v>
      </c>
    </row>
    <row r="1005" customFormat="false" ht="15" hidden="false" customHeight="false" outlineLevel="0" collapsed="false">
      <c r="A1005" s="6" t="s">
        <v>72</v>
      </c>
      <c r="B1005" s="6" t="s">
        <v>55</v>
      </c>
      <c r="C1005" s="6" t="n">
        <v>40</v>
      </c>
      <c r="D1005" s="25" t="n">
        <f aca="false">EDATE('Start Here'!$B$6,C1005-1)</f>
        <v>47515</v>
      </c>
      <c r="E1005" s="11" t="n">
        <f aca="false">IF(AND(OR(Nonlabor!$D$22="Both",Nonlabor!$D$22='Start Here'!$B$9),IF(Nonlabor!$E$22="Core",1,IF(Nonlabor!$E$22="AI",'Start Here'!$B$7,'Start Here'!$B$8))=1,C1005&gt;=IF(Nonlabor!$E$22="Core",Nonlabor!$F$22,MAX(Nonlabor!$F$22,IF(Nonlabor!$E$22="AI",Assumptions!$C$24,Assumptions!$C$25))),C1005&lt;=Nonlabor!$G$22,OR(Nonlabor!$H$22="Monthly",AND(Nonlabor!$H$22="Once",C1005=IF(Nonlabor!$E$22="Core",Nonlabor!$F$22,MAX(Nonlabor!$F$22,IF(Nonlabor!$E$22="AI",Assumptions!$C$24,Assumptions!$C$25)))),AND(Nonlabor!$H$22="Annual",MOD(C1005-IF(Nonlabor!$E$22="Core",Nonlabor!$F$22,MAX(Nonlabor!$F$22,IF(Nonlabor!$E$22="AI",Assumptions!$C$24,Assumptions!$C$25))),12)=0))),IF(Nonlabor!$I$22="Fixed",1,IF(Nonlabor!$I$22="Seats",ROUNDUP('Monthly Lean'!I45,0),IF(Nonlabor!$I$22="Customers",'Monthly Lean'!D45,IF(Nonlabor!$I$22="NewCustomers",'Monthly Lean'!C45,IF(Nonlabor!$I$22="StorageGB",'Monthly Lean'!G45,IF(Nonlabor!$I$22="LogGB",'Monthly Lean'!H45,IF(Nonlabor!$I$22="RequestsM",'Monthly Lean'!F45,IF(Nonlabor!$I$22="InputM",'Monthly Lean'!D45*Assumptions!$C$22/1000000,IF(Nonlabor!$I$22="OutputM",'Monthly Lean'!D45*Assumptions!$C$23/1000000,0))))))))),0)</f>
        <v>12.1314334765652</v>
      </c>
      <c r="F1005" s="10" t="n">
        <f aca="false">Nonlabor!$J$22*(1+Assumptions!$C$9)^INT((C1005-1)/12)</f>
        <v>81.954525</v>
      </c>
      <c r="G1005" s="10" t="n">
        <f aca="false">E1005*F1005</f>
        <v>994.225868141001</v>
      </c>
      <c r="H1005" s="10" t="n">
        <f aca="false">IF(OR(Nonlabor!$L$22="Quote required",Nonlabor!$L$22="Unverified"),G1005,0)</f>
        <v>0</v>
      </c>
      <c r="I1005" s="10" t="n">
        <f aca="false">IF(Nonlabor!$E$22="Core",0,G1005)</f>
        <v>0</v>
      </c>
      <c r="J1005" s="23" t="str">
        <f aca="false">Nonlabor!$B$22</f>
        <v>MARKETING</v>
      </c>
    </row>
    <row r="1006" customFormat="false" ht="15" hidden="false" customHeight="false" outlineLevel="0" collapsed="false">
      <c r="A1006" s="6" t="s">
        <v>72</v>
      </c>
      <c r="B1006" s="6" t="s">
        <v>55</v>
      </c>
      <c r="C1006" s="6" t="n">
        <v>41</v>
      </c>
      <c r="D1006" s="25" t="n">
        <f aca="false">EDATE('Start Here'!$B$6,C1006-1)</f>
        <v>47543</v>
      </c>
      <c r="E1006" s="11" t="n">
        <f aca="false">IF(AND(OR(Nonlabor!$D$22="Both",Nonlabor!$D$22='Start Here'!$B$9),IF(Nonlabor!$E$22="Core",1,IF(Nonlabor!$E$22="AI",'Start Here'!$B$7,'Start Here'!$B$8))=1,C1006&gt;=IF(Nonlabor!$E$22="Core",Nonlabor!$F$22,MAX(Nonlabor!$F$22,IF(Nonlabor!$E$22="AI",Assumptions!$C$24,Assumptions!$C$25))),C1006&lt;=Nonlabor!$G$22,OR(Nonlabor!$H$22="Monthly",AND(Nonlabor!$H$22="Once",C1006=IF(Nonlabor!$E$22="Core",Nonlabor!$F$22,MAX(Nonlabor!$F$22,IF(Nonlabor!$E$22="AI",Assumptions!$C$24,Assumptions!$C$25)))),AND(Nonlabor!$H$22="Annual",MOD(C1006-IF(Nonlabor!$E$22="Core",Nonlabor!$F$22,MAX(Nonlabor!$F$22,IF(Nonlabor!$E$22="AI",Assumptions!$C$24,Assumptions!$C$25))),12)=0))),IF(Nonlabor!$I$22="Fixed",1,IF(Nonlabor!$I$22="Seats",ROUNDUP('Monthly Lean'!I46,0),IF(Nonlabor!$I$22="Customers",'Monthly Lean'!D46,IF(Nonlabor!$I$22="NewCustomers",'Monthly Lean'!C46,IF(Nonlabor!$I$22="StorageGB",'Monthly Lean'!G46,IF(Nonlabor!$I$22="LogGB",'Monthly Lean'!H46,IF(Nonlabor!$I$22="RequestsM",'Monthly Lean'!F46,IF(Nonlabor!$I$22="InputM",'Monthly Lean'!D46*Assumptions!$C$22/1000000,IF(Nonlabor!$I$22="OutputM",'Monthly Lean'!D46*Assumptions!$C$23/1000000,0))))))))),0)</f>
        <v>12.7307119744167</v>
      </c>
      <c r="F1006" s="10" t="n">
        <f aca="false">Nonlabor!$J$22*(1+Assumptions!$C$9)^INT((C1006-1)/12)</f>
        <v>81.954525</v>
      </c>
      <c r="G1006" s="10" t="n">
        <f aca="false">E1006*F1006</f>
        <v>1043.33945277514</v>
      </c>
      <c r="H1006" s="10" t="n">
        <f aca="false">IF(OR(Nonlabor!$L$22="Quote required",Nonlabor!$L$22="Unverified"),G1006,0)</f>
        <v>0</v>
      </c>
      <c r="I1006" s="10" t="n">
        <f aca="false">IF(Nonlabor!$E$22="Core",0,G1006)</f>
        <v>0</v>
      </c>
      <c r="J1006" s="23" t="str">
        <f aca="false">Nonlabor!$B$22</f>
        <v>MARKETING</v>
      </c>
    </row>
    <row r="1007" customFormat="false" ht="15" hidden="false" customHeight="false" outlineLevel="0" collapsed="false">
      <c r="A1007" s="6" t="s">
        <v>72</v>
      </c>
      <c r="B1007" s="6" t="s">
        <v>55</v>
      </c>
      <c r="C1007" s="6" t="n">
        <v>42</v>
      </c>
      <c r="D1007" s="25" t="n">
        <f aca="false">EDATE('Start Here'!$B$6,C1007-1)</f>
        <v>47574</v>
      </c>
      <c r="E1007" s="11" t="n">
        <f aca="false">IF(AND(OR(Nonlabor!$D$22="Both",Nonlabor!$D$22='Start Here'!$B$9),IF(Nonlabor!$E$22="Core",1,IF(Nonlabor!$E$22="AI",'Start Here'!$B$7,'Start Here'!$B$8))=1,C1007&gt;=IF(Nonlabor!$E$22="Core",Nonlabor!$F$22,MAX(Nonlabor!$F$22,IF(Nonlabor!$E$22="AI",Assumptions!$C$24,Assumptions!$C$25))),C1007&lt;=Nonlabor!$G$22,OR(Nonlabor!$H$22="Monthly",AND(Nonlabor!$H$22="Once",C1007=IF(Nonlabor!$E$22="Core",Nonlabor!$F$22,MAX(Nonlabor!$F$22,IF(Nonlabor!$E$22="AI",Assumptions!$C$24,Assumptions!$C$25)))),AND(Nonlabor!$H$22="Annual",MOD(C1007-IF(Nonlabor!$E$22="Core",Nonlabor!$F$22,MAX(Nonlabor!$F$22,IF(Nonlabor!$E$22="AI",Assumptions!$C$24,Assumptions!$C$25))),12)=0))),IF(Nonlabor!$I$22="Fixed",1,IF(Nonlabor!$I$22="Seats",ROUNDUP('Monthly Lean'!I47,0),IF(Nonlabor!$I$22="Customers",'Monthly Lean'!D47,IF(Nonlabor!$I$22="NewCustomers",'Monthly Lean'!C47,IF(Nonlabor!$I$22="StorageGB",'Monthly Lean'!G47,IF(Nonlabor!$I$22="LogGB",'Monthly Lean'!H47,IF(Nonlabor!$I$22="RequestsM",'Monthly Lean'!F47,IF(Nonlabor!$I$22="InputM",'Monthly Lean'!D47*Assumptions!$C$22/1000000,IF(Nonlabor!$I$22="OutputM",'Monthly Lean'!D47*Assumptions!$C$23/1000000,0))))))))),0)</f>
        <v>13.3210012948005</v>
      </c>
      <c r="F1007" s="10" t="n">
        <f aca="false">Nonlabor!$J$22*(1+Assumptions!$C$9)^INT((C1007-1)/12)</f>
        <v>81.954525</v>
      </c>
      <c r="G1007" s="10" t="n">
        <f aca="false">E1007*F1007</f>
        <v>1091.71633363976</v>
      </c>
      <c r="H1007" s="10" t="n">
        <f aca="false">IF(OR(Nonlabor!$L$22="Quote required",Nonlabor!$L$22="Unverified"),G1007,0)</f>
        <v>0</v>
      </c>
      <c r="I1007" s="10" t="n">
        <f aca="false">IF(Nonlabor!$E$22="Core",0,G1007)</f>
        <v>0</v>
      </c>
      <c r="J1007" s="23" t="str">
        <f aca="false">Nonlabor!$B$22</f>
        <v>MARKETING</v>
      </c>
    </row>
    <row r="1008" customFormat="false" ht="15" hidden="false" customHeight="false" outlineLevel="0" collapsed="false">
      <c r="A1008" s="6" t="s">
        <v>72</v>
      </c>
      <c r="B1008" s="6" t="s">
        <v>55</v>
      </c>
      <c r="C1008" s="6" t="n">
        <v>43</v>
      </c>
      <c r="D1008" s="25" t="n">
        <f aca="false">EDATE('Start Here'!$B$6,C1008-1)</f>
        <v>47604</v>
      </c>
      <c r="E1008" s="11" t="n">
        <f aca="false">IF(AND(OR(Nonlabor!$D$22="Both",Nonlabor!$D$22='Start Here'!$B$9),IF(Nonlabor!$E$22="Core",1,IF(Nonlabor!$E$22="AI",'Start Here'!$B$7,'Start Here'!$B$8))=1,C1008&gt;=IF(Nonlabor!$E$22="Core",Nonlabor!$F$22,MAX(Nonlabor!$F$22,IF(Nonlabor!$E$22="AI",Assumptions!$C$24,Assumptions!$C$25))),C1008&lt;=Nonlabor!$G$22,OR(Nonlabor!$H$22="Monthly",AND(Nonlabor!$H$22="Once",C1008=IF(Nonlabor!$E$22="Core",Nonlabor!$F$22,MAX(Nonlabor!$F$22,IF(Nonlabor!$E$22="AI",Assumptions!$C$24,Assumptions!$C$25)))),AND(Nonlabor!$H$22="Annual",MOD(C1008-IF(Nonlabor!$E$22="Core",Nonlabor!$F$22,MAX(Nonlabor!$F$22,IF(Nonlabor!$E$22="AI",Assumptions!$C$24,Assumptions!$C$25))),12)=0))),IF(Nonlabor!$I$22="Fixed",1,IF(Nonlabor!$I$22="Seats",ROUNDUP('Monthly Lean'!I48,0),IF(Nonlabor!$I$22="Customers",'Monthly Lean'!D48,IF(Nonlabor!$I$22="NewCustomers",'Monthly Lean'!C48,IF(Nonlabor!$I$22="StorageGB",'Monthly Lean'!G48,IF(Nonlabor!$I$22="LogGB",'Monthly Lean'!H48,IF(Nonlabor!$I$22="RequestsM",'Monthly Lean'!F48,IF(Nonlabor!$I$22="InputM",'Monthly Lean'!D48*Assumptions!$C$22/1000000,IF(Nonlabor!$I$22="OutputM",'Monthly Lean'!D48*Assumptions!$C$23/1000000,0))))))))),0)</f>
        <v>13.9024362753785</v>
      </c>
      <c r="F1008" s="10" t="n">
        <f aca="false">Nonlabor!$J$22*(1+Assumptions!$C$9)^INT((C1008-1)/12)</f>
        <v>81.954525</v>
      </c>
      <c r="G1008" s="10" t="n">
        <f aca="false">E1008*F1008</f>
        <v>1139.36756129141</v>
      </c>
      <c r="H1008" s="10" t="n">
        <f aca="false">IF(OR(Nonlabor!$L$22="Quote required",Nonlabor!$L$22="Unverified"),G1008,0)</f>
        <v>0</v>
      </c>
      <c r="I1008" s="10" t="n">
        <f aca="false">IF(Nonlabor!$E$22="Core",0,G1008)</f>
        <v>0</v>
      </c>
      <c r="J1008" s="23" t="str">
        <f aca="false">Nonlabor!$B$22</f>
        <v>MARKETING</v>
      </c>
    </row>
    <row r="1009" customFormat="false" ht="15" hidden="false" customHeight="false" outlineLevel="0" collapsed="false">
      <c r="A1009" s="6" t="s">
        <v>72</v>
      </c>
      <c r="B1009" s="6" t="s">
        <v>55</v>
      </c>
      <c r="C1009" s="6" t="n">
        <v>44</v>
      </c>
      <c r="D1009" s="25" t="n">
        <f aca="false">EDATE('Start Here'!$B$6,C1009-1)</f>
        <v>47635</v>
      </c>
      <c r="E1009" s="11" t="n">
        <f aca="false">IF(AND(OR(Nonlabor!$D$22="Both",Nonlabor!$D$22='Start Here'!$B$9),IF(Nonlabor!$E$22="Core",1,IF(Nonlabor!$E$22="AI",'Start Here'!$B$7,'Start Here'!$B$8))=1,C1009&gt;=IF(Nonlabor!$E$22="Core",Nonlabor!$F$22,MAX(Nonlabor!$F$22,IF(Nonlabor!$E$22="AI",Assumptions!$C$24,Assumptions!$C$25))),C1009&lt;=Nonlabor!$G$22,OR(Nonlabor!$H$22="Monthly",AND(Nonlabor!$H$22="Once",C1009=IF(Nonlabor!$E$22="Core",Nonlabor!$F$22,MAX(Nonlabor!$F$22,IF(Nonlabor!$E$22="AI",Assumptions!$C$24,Assumptions!$C$25)))),AND(Nonlabor!$H$22="Annual",MOD(C1009-IF(Nonlabor!$E$22="Core",Nonlabor!$F$22,MAX(Nonlabor!$F$22,IF(Nonlabor!$E$22="AI",Assumptions!$C$24,Assumptions!$C$25))),12)=0))),IF(Nonlabor!$I$22="Fixed",1,IF(Nonlabor!$I$22="Seats",ROUNDUP('Monthly Lean'!I49,0),IF(Nonlabor!$I$22="Customers",'Monthly Lean'!D49,IF(Nonlabor!$I$22="NewCustomers",'Monthly Lean'!C49,IF(Nonlabor!$I$22="StorageGB",'Monthly Lean'!G49,IF(Nonlabor!$I$22="LogGB",'Monthly Lean'!H49,IF(Nonlabor!$I$22="RequestsM",'Monthly Lean'!F49,IF(Nonlabor!$I$22="InputM",'Monthly Lean'!D49*Assumptions!$C$22/1000000,IF(Nonlabor!$I$22="OutputM",'Monthly Lean'!D49*Assumptions!$C$23/1000000,0))))))))),0)</f>
        <v>14.4751497312478</v>
      </c>
      <c r="F1009" s="10" t="n">
        <f aca="false">Nonlabor!$J$22*(1+Assumptions!$C$9)^INT((C1009-1)/12)</f>
        <v>81.954525</v>
      </c>
      <c r="G1009" s="10" t="n">
        <f aca="false">E1009*F1009</f>
        <v>1186.30402052829</v>
      </c>
      <c r="H1009" s="10" t="n">
        <f aca="false">IF(OR(Nonlabor!$L$22="Quote required",Nonlabor!$L$22="Unverified"),G1009,0)</f>
        <v>0</v>
      </c>
      <c r="I1009" s="10" t="n">
        <f aca="false">IF(Nonlabor!$E$22="Core",0,G1009)</f>
        <v>0</v>
      </c>
      <c r="J1009" s="23" t="str">
        <f aca="false">Nonlabor!$B$22</f>
        <v>MARKETING</v>
      </c>
    </row>
    <row r="1010" customFormat="false" ht="15" hidden="false" customHeight="false" outlineLevel="0" collapsed="false">
      <c r="A1010" s="6" t="s">
        <v>72</v>
      </c>
      <c r="B1010" s="6" t="s">
        <v>55</v>
      </c>
      <c r="C1010" s="6" t="n">
        <v>45</v>
      </c>
      <c r="D1010" s="25" t="n">
        <f aca="false">EDATE('Start Here'!$B$6,C1010-1)</f>
        <v>47665</v>
      </c>
      <c r="E1010" s="11" t="n">
        <f aca="false">IF(AND(OR(Nonlabor!$D$22="Both",Nonlabor!$D$22='Start Here'!$B$9),IF(Nonlabor!$E$22="Core",1,IF(Nonlabor!$E$22="AI",'Start Here'!$B$7,'Start Here'!$B$8))=1,C1010&gt;=IF(Nonlabor!$E$22="Core",Nonlabor!$F$22,MAX(Nonlabor!$F$22,IF(Nonlabor!$E$22="AI",Assumptions!$C$24,Assumptions!$C$25))),C1010&lt;=Nonlabor!$G$22,OR(Nonlabor!$H$22="Monthly",AND(Nonlabor!$H$22="Once",C1010=IF(Nonlabor!$E$22="Core",Nonlabor!$F$22,MAX(Nonlabor!$F$22,IF(Nonlabor!$E$22="AI",Assumptions!$C$24,Assumptions!$C$25)))),AND(Nonlabor!$H$22="Annual",MOD(C1010-IF(Nonlabor!$E$22="Core",Nonlabor!$F$22,MAX(Nonlabor!$F$22,IF(Nonlabor!$E$22="AI",Assumptions!$C$24,Assumptions!$C$25))),12)=0))),IF(Nonlabor!$I$22="Fixed",1,IF(Nonlabor!$I$22="Seats",ROUNDUP('Monthly Lean'!I50,0),IF(Nonlabor!$I$22="Customers",'Monthly Lean'!D50,IF(Nonlabor!$I$22="NewCustomers",'Monthly Lean'!C50,IF(Nonlabor!$I$22="StorageGB",'Monthly Lean'!G50,IF(Nonlabor!$I$22="LogGB",'Monthly Lean'!H50,IF(Nonlabor!$I$22="RequestsM",'Monthly Lean'!F50,IF(Nonlabor!$I$22="InputM",'Monthly Lean'!D50*Assumptions!$C$22/1000000,IF(Nonlabor!$I$22="OutputM",'Monthly Lean'!D50*Assumptions!$C$23/1000000,0))))))))),0)</f>
        <v>15.0392724852791</v>
      </c>
      <c r="F1010" s="10" t="n">
        <f aca="false">Nonlabor!$J$22*(1+Assumptions!$C$9)^INT((C1010-1)/12)</f>
        <v>81.954525</v>
      </c>
      <c r="G1010" s="10" t="n">
        <f aca="false">E1010*F1010</f>
        <v>1232.53643287662</v>
      </c>
      <c r="H1010" s="10" t="n">
        <f aca="false">IF(OR(Nonlabor!$L$22="Quote required",Nonlabor!$L$22="Unverified"),G1010,0)</f>
        <v>0</v>
      </c>
      <c r="I1010" s="10" t="n">
        <f aca="false">IF(Nonlabor!$E$22="Core",0,G1010)</f>
        <v>0</v>
      </c>
      <c r="J1010" s="23" t="str">
        <f aca="false">Nonlabor!$B$22</f>
        <v>MARKETING</v>
      </c>
    </row>
    <row r="1011" customFormat="false" ht="15" hidden="false" customHeight="false" outlineLevel="0" collapsed="false">
      <c r="A1011" s="6" t="s">
        <v>72</v>
      </c>
      <c r="B1011" s="6" t="s">
        <v>55</v>
      </c>
      <c r="C1011" s="6" t="n">
        <v>46</v>
      </c>
      <c r="D1011" s="25" t="n">
        <f aca="false">EDATE('Start Here'!$B$6,C1011-1)</f>
        <v>47696</v>
      </c>
      <c r="E1011" s="11" t="n">
        <f aca="false">IF(AND(OR(Nonlabor!$D$22="Both",Nonlabor!$D$22='Start Here'!$B$9),IF(Nonlabor!$E$22="Core",1,IF(Nonlabor!$E$22="AI",'Start Here'!$B$7,'Start Here'!$B$8))=1,C1011&gt;=IF(Nonlabor!$E$22="Core",Nonlabor!$F$22,MAX(Nonlabor!$F$22,IF(Nonlabor!$E$22="AI",Assumptions!$C$24,Assumptions!$C$25))),C1011&lt;=Nonlabor!$G$22,OR(Nonlabor!$H$22="Monthly",AND(Nonlabor!$H$22="Once",C1011=IF(Nonlabor!$E$22="Core",Nonlabor!$F$22,MAX(Nonlabor!$F$22,IF(Nonlabor!$E$22="AI",Assumptions!$C$24,Assumptions!$C$25)))),AND(Nonlabor!$H$22="Annual",MOD(C1011-IF(Nonlabor!$E$22="Core",Nonlabor!$F$22,MAX(Nonlabor!$F$22,IF(Nonlabor!$E$22="AI",Assumptions!$C$24,Assumptions!$C$25))),12)=0))),IF(Nonlabor!$I$22="Fixed",1,IF(Nonlabor!$I$22="Seats",ROUNDUP('Monthly Lean'!I51,0),IF(Nonlabor!$I$22="Customers",'Monthly Lean'!D51,IF(Nonlabor!$I$22="NewCustomers",'Monthly Lean'!C51,IF(Nonlabor!$I$22="StorageGB",'Monthly Lean'!G51,IF(Nonlabor!$I$22="LogGB",'Monthly Lean'!H51,IF(Nonlabor!$I$22="RequestsM",'Monthly Lean'!F51,IF(Nonlabor!$I$22="InputM",'Monthly Lean'!D51*Assumptions!$C$22/1000000,IF(Nonlabor!$I$22="OutputM",'Monthly Lean'!D51*Assumptions!$C$23/1000000,0))))))))),0)</f>
        <v>15.5949333979999</v>
      </c>
      <c r="F1011" s="10" t="n">
        <f aca="false">Nonlabor!$J$22*(1+Assumptions!$C$9)^INT((C1011-1)/12)</f>
        <v>81.954525</v>
      </c>
      <c r="G1011" s="10" t="n">
        <f aca="false">E1011*F1011</f>
        <v>1278.07535903972</v>
      </c>
      <c r="H1011" s="10" t="n">
        <f aca="false">IF(OR(Nonlabor!$L$22="Quote required",Nonlabor!$L$22="Unverified"),G1011,0)</f>
        <v>0</v>
      </c>
      <c r="I1011" s="10" t="n">
        <f aca="false">IF(Nonlabor!$E$22="Core",0,G1011)</f>
        <v>0</v>
      </c>
      <c r="J1011" s="23" t="str">
        <f aca="false">Nonlabor!$B$22</f>
        <v>MARKETING</v>
      </c>
    </row>
    <row r="1012" customFormat="false" ht="15" hidden="false" customHeight="false" outlineLevel="0" collapsed="false">
      <c r="A1012" s="6" t="s">
        <v>72</v>
      </c>
      <c r="B1012" s="6" t="s">
        <v>55</v>
      </c>
      <c r="C1012" s="6" t="n">
        <v>47</v>
      </c>
      <c r="D1012" s="25" t="n">
        <f aca="false">EDATE('Start Here'!$B$6,C1012-1)</f>
        <v>47727</v>
      </c>
      <c r="E1012" s="11" t="n">
        <f aca="false">IF(AND(OR(Nonlabor!$D$22="Both",Nonlabor!$D$22='Start Here'!$B$9),IF(Nonlabor!$E$22="Core",1,IF(Nonlabor!$E$22="AI",'Start Here'!$B$7,'Start Here'!$B$8))=1,C1012&gt;=IF(Nonlabor!$E$22="Core",Nonlabor!$F$22,MAX(Nonlabor!$F$22,IF(Nonlabor!$E$22="AI",Assumptions!$C$24,Assumptions!$C$25))),C1012&lt;=Nonlabor!$G$22,OR(Nonlabor!$H$22="Monthly",AND(Nonlabor!$H$22="Once",C1012=IF(Nonlabor!$E$22="Core",Nonlabor!$F$22,MAX(Nonlabor!$F$22,IF(Nonlabor!$E$22="AI",Assumptions!$C$24,Assumptions!$C$25)))),AND(Nonlabor!$H$22="Annual",MOD(C1012-IF(Nonlabor!$E$22="Core",Nonlabor!$F$22,MAX(Nonlabor!$F$22,IF(Nonlabor!$E$22="AI",Assumptions!$C$24,Assumptions!$C$25))),12)=0))),IF(Nonlabor!$I$22="Fixed",1,IF(Nonlabor!$I$22="Seats",ROUNDUP('Monthly Lean'!I52,0),IF(Nonlabor!$I$22="Customers",'Monthly Lean'!D52,IF(Nonlabor!$I$22="NewCustomers",'Monthly Lean'!C52,IF(Nonlabor!$I$22="StorageGB",'Monthly Lean'!G52,IF(Nonlabor!$I$22="LogGB",'Monthly Lean'!H52,IF(Nonlabor!$I$22="RequestsM",'Monthly Lean'!F52,IF(Nonlabor!$I$22="InputM",'Monthly Lean'!D52*Assumptions!$C$22/1000000,IF(Nonlabor!$I$22="OutputM",'Monthly Lean'!D52*Assumptions!$C$23/1000000,0))))))))),0)</f>
        <v>16.1422593970299</v>
      </c>
      <c r="F1012" s="10" t="n">
        <f aca="false">Nonlabor!$J$22*(1+Assumptions!$C$9)^INT((C1012-1)/12)</f>
        <v>81.954525</v>
      </c>
      <c r="G1012" s="10" t="n">
        <f aca="false">E1012*F1012</f>
        <v>1322.93120131037</v>
      </c>
      <c r="H1012" s="10" t="n">
        <f aca="false">IF(OR(Nonlabor!$L$22="Quote required",Nonlabor!$L$22="Unverified"),G1012,0)</f>
        <v>0</v>
      </c>
      <c r="I1012" s="10" t="n">
        <f aca="false">IF(Nonlabor!$E$22="Core",0,G1012)</f>
        <v>0</v>
      </c>
      <c r="J1012" s="23" t="str">
        <f aca="false">Nonlabor!$B$22</f>
        <v>MARKETING</v>
      </c>
    </row>
    <row r="1013" customFormat="false" ht="15" hidden="false" customHeight="false" outlineLevel="0" collapsed="false">
      <c r="A1013" s="6" t="s">
        <v>72</v>
      </c>
      <c r="B1013" s="6" t="s">
        <v>55</v>
      </c>
      <c r="C1013" s="6" t="n">
        <v>48</v>
      </c>
      <c r="D1013" s="25" t="n">
        <f aca="false">EDATE('Start Here'!$B$6,C1013-1)</f>
        <v>47757</v>
      </c>
      <c r="E1013" s="11" t="n">
        <f aca="false">IF(AND(OR(Nonlabor!$D$22="Both",Nonlabor!$D$22='Start Here'!$B$9),IF(Nonlabor!$E$22="Core",1,IF(Nonlabor!$E$22="AI",'Start Here'!$B$7,'Start Here'!$B$8))=1,C1013&gt;=IF(Nonlabor!$E$22="Core",Nonlabor!$F$22,MAX(Nonlabor!$F$22,IF(Nonlabor!$E$22="AI",Assumptions!$C$24,Assumptions!$C$25))),C1013&lt;=Nonlabor!$G$22,OR(Nonlabor!$H$22="Monthly",AND(Nonlabor!$H$22="Once",C1013=IF(Nonlabor!$E$22="Core",Nonlabor!$F$22,MAX(Nonlabor!$F$22,IF(Nonlabor!$E$22="AI",Assumptions!$C$24,Assumptions!$C$25)))),AND(Nonlabor!$H$22="Annual",MOD(C1013-IF(Nonlabor!$E$22="Core",Nonlabor!$F$22,MAX(Nonlabor!$F$22,IF(Nonlabor!$E$22="AI",Assumptions!$C$24,Assumptions!$C$25))),12)=0))),IF(Nonlabor!$I$22="Fixed",1,IF(Nonlabor!$I$22="Seats",ROUNDUP('Monthly Lean'!I53,0),IF(Nonlabor!$I$22="Customers",'Monthly Lean'!D53,IF(Nonlabor!$I$22="NewCustomers",'Monthly Lean'!C53,IF(Nonlabor!$I$22="StorageGB",'Monthly Lean'!G53,IF(Nonlabor!$I$22="LogGB",'Monthly Lean'!H53,IF(Nonlabor!$I$22="RequestsM",'Monthly Lean'!F53,IF(Nonlabor!$I$22="InputM",'Monthly Lean'!D53*Assumptions!$C$22/1000000,IF(Nonlabor!$I$22="OutputM",'Monthly Lean'!D53*Assumptions!$C$23/1000000,0))))))))),0)</f>
        <v>16.6813755060744</v>
      </c>
      <c r="F1013" s="10" t="n">
        <f aca="false">Nonlabor!$J$22*(1+Assumptions!$C$9)^INT((C1013-1)/12)</f>
        <v>81.954525</v>
      </c>
      <c r="G1013" s="10" t="n">
        <f aca="false">E1013*F1013</f>
        <v>1367.11420594697</v>
      </c>
      <c r="H1013" s="10" t="n">
        <f aca="false">IF(OR(Nonlabor!$L$22="Quote required",Nonlabor!$L$22="Unverified"),G1013,0)</f>
        <v>0</v>
      </c>
      <c r="I1013" s="10" t="n">
        <f aca="false">IF(Nonlabor!$E$22="Core",0,G1013)</f>
        <v>0</v>
      </c>
      <c r="J1013" s="23" t="str">
        <f aca="false">Nonlabor!$B$22</f>
        <v>MARKETING</v>
      </c>
    </row>
    <row r="1014" customFormat="false" ht="15" hidden="false" customHeight="false" outlineLevel="0" collapsed="false">
      <c r="A1014" s="6" t="s">
        <v>72</v>
      </c>
      <c r="B1014" s="6" t="s">
        <v>55</v>
      </c>
      <c r="C1014" s="6" t="n">
        <v>49</v>
      </c>
      <c r="D1014" s="25" t="n">
        <f aca="false">EDATE('Start Here'!$B$6,C1014-1)</f>
        <v>47788</v>
      </c>
      <c r="E1014" s="11" t="n">
        <f aca="false">IF(AND(OR(Nonlabor!$D$22="Both",Nonlabor!$D$22='Start Here'!$B$9),IF(Nonlabor!$E$22="Core",1,IF(Nonlabor!$E$22="AI",'Start Here'!$B$7,'Start Here'!$B$8))=1,C1014&gt;=IF(Nonlabor!$E$22="Core",Nonlabor!$F$22,MAX(Nonlabor!$F$22,IF(Nonlabor!$E$22="AI",Assumptions!$C$24,Assumptions!$C$25))),C1014&lt;=Nonlabor!$G$22,OR(Nonlabor!$H$22="Monthly",AND(Nonlabor!$H$22="Once",C1014=IF(Nonlabor!$E$22="Core",Nonlabor!$F$22,MAX(Nonlabor!$F$22,IF(Nonlabor!$E$22="AI",Assumptions!$C$24,Assumptions!$C$25)))),AND(Nonlabor!$H$22="Annual",MOD(C1014-IF(Nonlabor!$E$22="Core",Nonlabor!$F$22,MAX(Nonlabor!$F$22,IF(Nonlabor!$E$22="AI",Assumptions!$C$24,Assumptions!$C$25))),12)=0))),IF(Nonlabor!$I$22="Fixed",1,IF(Nonlabor!$I$22="Seats",ROUNDUP('Monthly Lean'!I54,0),IF(Nonlabor!$I$22="Customers",'Monthly Lean'!D54,IF(Nonlabor!$I$22="NewCustomers",'Monthly Lean'!C54,IF(Nonlabor!$I$22="StorageGB",'Monthly Lean'!G54,IF(Nonlabor!$I$22="LogGB",'Monthly Lean'!H54,IF(Nonlabor!$I$22="RequestsM",'Monthly Lean'!F54,IF(Nonlabor!$I$22="InputM",'Monthly Lean'!D54*Assumptions!$C$22/1000000,IF(Nonlabor!$I$22="OutputM",'Monthly Lean'!D54*Assumptions!$C$23/1000000,0))))))))),0)</f>
        <v>17.2124048734833</v>
      </c>
      <c r="F1014" s="10" t="n">
        <f aca="false">Nonlabor!$J$22*(1+Assumptions!$C$9)^INT((C1014-1)/12)</f>
        <v>84.41316075</v>
      </c>
      <c r="G1014" s="10" t="n">
        <f aca="false">E1014*F1014</f>
        <v>1452.95349947943</v>
      </c>
      <c r="H1014" s="10" t="n">
        <f aca="false">IF(OR(Nonlabor!$L$22="Quote required",Nonlabor!$L$22="Unverified"),G1014,0)</f>
        <v>0</v>
      </c>
      <c r="I1014" s="10" t="n">
        <f aca="false">IF(Nonlabor!$E$22="Core",0,G1014)</f>
        <v>0</v>
      </c>
      <c r="J1014" s="23" t="str">
        <f aca="false">Nonlabor!$B$22</f>
        <v>MARKETING</v>
      </c>
    </row>
    <row r="1015" customFormat="false" ht="15" hidden="false" customHeight="false" outlineLevel="0" collapsed="false">
      <c r="A1015" s="6" t="s">
        <v>72</v>
      </c>
      <c r="B1015" s="6" t="s">
        <v>55</v>
      </c>
      <c r="C1015" s="6" t="n">
        <v>50</v>
      </c>
      <c r="D1015" s="25" t="n">
        <f aca="false">EDATE('Start Here'!$B$6,C1015-1)</f>
        <v>47818</v>
      </c>
      <c r="E1015" s="11" t="n">
        <f aca="false">IF(AND(OR(Nonlabor!$D$22="Both",Nonlabor!$D$22='Start Here'!$B$9),IF(Nonlabor!$E$22="Core",1,IF(Nonlabor!$E$22="AI",'Start Here'!$B$7,'Start Here'!$B$8))=1,C1015&gt;=IF(Nonlabor!$E$22="Core",Nonlabor!$F$22,MAX(Nonlabor!$F$22,IF(Nonlabor!$E$22="AI",Assumptions!$C$24,Assumptions!$C$25))),C1015&lt;=Nonlabor!$G$22,OR(Nonlabor!$H$22="Monthly",AND(Nonlabor!$H$22="Once",C1015=IF(Nonlabor!$E$22="Core",Nonlabor!$F$22,MAX(Nonlabor!$F$22,IF(Nonlabor!$E$22="AI",Assumptions!$C$24,Assumptions!$C$25)))),AND(Nonlabor!$H$22="Annual",MOD(C1015-IF(Nonlabor!$E$22="Core",Nonlabor!$F$22,MAX(Nonlabor!$F$22,IF(Nonlabor!$E$22="AI",Assumptions!$C$24,Assumptions!$C$25))),12)=0))),IF(Nonlabor!$I$22="Fixed",1,IF(Nonlabor!$I$22="Seats",ROUNDUP('Monthly Lean'!I55,0),IF(Nonlabor!$I$22="Customers",'Monthly Lean'!D55,IF(Nonlabor!$I$22="NewCustomers",'Monthly Lean'!C55,IF(Nonlabor!$I$22="StorageGB",'Monthly Lean'!G55,IF(Nonlabor!$I$22="LogGB",'Monthly Lean'!H55,IF(Nonlabor!$I$22="RequestsM",'Monthly Lean'!F55,IF(Nonlabor!$I$22="InputM",'Monthly Lean'!D55*Assumptions!$C$22/1000000,IF(Nonlabor!$I$22="OutputM",'Monthly Lean'!D55*Assumptions!$C$23/1000000,0))))))))),0)</f>
        <v>17.7354688003811</v>
      </c>
      <c r="F1015" s="10" t="n">
        <f aca="false">Nonlabor!$J$22*(1+Assumptions!$C$9)^INT((C1015-1)/12)</f>
        <v>84.41316075</v>
      </c>
      <c r="G1015" s="10" t="n">
        <f aca="false">E1015*F1015</f>
        <v>1497.10697882318</v>
      </c>
      <c r="H1015" s="10" t="n">
        <f aca="false">IF(OR(Nonlabor!$L$22="Quote required",Nonlabor!$L$22="Unverified"),G1015,0)</f>
        <v>0</v>
      </c>
      <c r="I1015" s="10" t="n">
        <f aca="false">IF(Nonlabor!$E$22="Core",0,G1015)</f>
        <v>0</v>
      </c>
      <c r="J1015" s="23" t="str">
        <f aca="false">Nonlabor!$B$22</f>
        <v>MARKETING</v>
      </c>
    </row>
    <row r="1016" customFormat="false" ht="15" hidden="false" customHeight="false" outlineLevel="0" collapsed="false">
      <c r="A1016" s="6" t="s">
        <v>72</v>
      </c>
      <c r="B1016" s="6" t="s">
        <v>55</v>
      </c>
      <c r="C1016" s="6" t="n">
        <v>51</v>
      </c>
      <c r="D1016" s="25" t="n">
        <f aca="false">EDATE('Start Here'!$B$6,C1016-1)</f>
        <v>47849</v>
      </c>
      <c r="E1016" s="11" t="n">
        <f aca="false">IF(AND(OR(Nonlabor!$D$22="Both",Nonlabor!$D$22='Start Here'!$B$9),IF(Nonlabor!$E$22="Core",1,IF(Nonlabor!$E$22="AI",'Start Here'!$B$7,'Start Here'!$B$8))=1,C1016&gt;=IF(Nonlabor!$E$22="Core",Nonlabor!$F$22,MAX(Nonlabor!$F$22,IF(Nonlabor!$E$22="AI",Assumptions!$C$24,Assumptions!$C$25))),C1016&lt;=Nonlabor!$G$22,OR(Nonlabor!$H$22="Monthly",AND(Nonlabor!$H$22="Once",C1016=IF(Nonlabor!$E$22="Core",Nonlabor!$F$22,MAX(Nonlabor!$F$22,IF(Nonlabor!$E$22="AI",Assumptions!$C$24,Assumptions!$C$25)))),AND(Nonlabor!$H$22="Annual",MOD(C1016-IF(Nonlabor!$E$22="Core",Nonlabor!$F$22,MAX(Nonlabor!$F$22,IF(Nonlabor!$E$22="AI",Assumptions!$C$24,Assumptions!$C$25))),12)=0))),IF(Nonlabor!$I$22="Fixed",1,IF(Nonlabor!$I$22="Seats",ROUNDUP('Monthly Lean'!I56,0),IF(Nonlabor!$I$22="Customers",'Monthly Lean'!D56,IF(Nonlabor!$I$22="NewCustomers",'Monthly Lean'!C56,IF(Nonlabor!$I$22="StorageGB",'Monthly Lean'!G56,IF(Nonlabor!$I$22="LogGB",'Monthly Lean'!H56,IF(Nonlabor!$I$22="RequestsM",'Monthly Lean'!F56,IF(Nonlabor!$I$22="InputM",'Monthly Lean'!D56*Assumptions!$C$22/1000000,IF(Nonlabor!$I$22="OutputM",'Monthly Lean'!D56*Assumptions!$C$23/1000000,0))))))))),0)</f>
        <v>18.2506867683754</v>
      </c>
      <c r="F1016" s="10" t="n">
        <f aca="false">Nonlabor!$J$22*(1+Assumptions!$C$9)^INT((C1016-1)/12)</f>
        <v>84.41316075</v>
      </c>
      <c r="G1016" s="10" t="n">
        <f aca="false">E1016*F1016</f>
        <v>1540.59815597677</v>
      </c>
      <c r="H1016" s="10" t="n">
        <f aca="false">IF(OR(Nonlabor!$L$22="Quote required",Nonlabor!$L$22="Unverified"),G1016,0)</f>
        <v>0</v>
      </c>
      <c r="I1016" s="10" t="n">
        <f aca="false">IF(Nonlabor!$E$22="Core",0,G1016)</f>
        <v>0</v>
      </c>
      <c r="J1016" s="23" t="str">
        <f aca="false">Nonlabor!$B$22</f>
        <v>MARKETING</v>
      </c>
    </row>
    <row r="1017" customFormat="false" ht="15" hidden="false" customHeight="false" outlineLevel="0" collapsed="false">
      <c r="A1017" s="6" t="s">
        <v>72</v>
      </c>
      <c r="B1017" s="6" t="s">
        <v>55</v>
      </c>
      <c r="C1017" s="6" t="n">
        <v>52</v>
      </c>
      <c r="D1017" s="25" t="n">
        <f aca="false">EDATE('Start Here'!$B$6,C1017-1)</f>
        <v>47880</v>
      </c>
      <c r="E1017" s="11" t="n">
        <f aca="false">IF(AND(OR(Nonlabor!$D$22="Both",Nonlabor!$D$22='Start Here'!$B$9),IF(Nonlabor!$E$22="Core",1,IF(Nonlabor!$E$22="AI",'Start Here'!$B$7,'Start Here'!$B$8))=1,C1017&gt;=IF(Nonlabor!$E$22="Core",Nonlabor!$F$22,MAX(Nonlabor!$F$22,IF(Nonlabor!$E$22="AI",Assumptions!$C$24,Assumptions!$C$25))),C1017&lt;=Nonlabor!$G$22,OR(Nonlabor!$H$22="Monthly",AND(Nonlabor!$H$22="Once",C1017=IF(Nonlabor!$E$22="Core",Nonlabor!$F$22,MAX(Nonlabor!$F$22,IF(Nonlabor!$E$22="AI",Assumptions!$C$24,Assumptions!$C$25)))),AND(Nonlabor!$H$22="Annual",MOD(C1017-IF(Nonlabor!$E$22="Core",Nonlabor!$F$22,MAX(Nonlabor!$F$22,IF(Nonlabor!$E$22="AI",Assumptions!$C$24,Assumptions!$C$25))),12)=0))),IF(Nonlabor!$I$22="Fixed",1,IF(Nonlabor!$I$22="Seats",ROUNDUP('Monthly Lean'!I57,0),IF(Nonlabor!$I$22="Customers",'Monthly Lean'!D57,IF(Nonlabor!$I$22="NewCustomers",'Monthly Lean'!C57,IF(Nonlabor!$I$22="StorageGB",'Monthly Lean'!G57,IF(Nonlabor!$I$22="LogGB",'Monthly Lean'!H57,IF(Nonlabor!$I$22="RequestsM",'Monthly Lean'!F57,IF(Nonlabor!$I$22="InputM",'Monthly Lean'!D57*Assumptions!$C$22/1000000,IF(Nonlabor!$I$22="OutputM",'Monthly Lean'!D57*Assumptions!$C$23/1000000,0))))))))),0)</f>
        <v>18.9534889668497</v>
      </c>
      <c r="F1017" s="10" t="n">
        <f aca="false">Nonlabor!$J$22*(1+Assumptions!$C$9)^INT((C1017-1)/12)</f>
        <v>84.41316075</v>
      </c>
      <c r="G1017" s="10" t="n">
        <f aca="false">E1017*F1017</f>
        <v>1599.92391093204</v>
      </c>
      <c r="H1017" s="10" t="n">
        <f aca="false">IF(OR(Nonlabor!$L$22="Quote required",Nonlabor!$L$22="Unverified"),G1017,0)</f>
        <v>0</v>
      </c>
      <c r="I1017" s="10" t="n">
        <f aca="false">IF(Nonlabor!$E$22="Core",0,G1017)</f>
        <v>0</v>
      </c>
      <c r="J1017" s="23" t="str">
        <f aca="false">Nonlabor!$B$22</f>
        <v>MARKETING</v>
      </c>
    </row>
    <row r="1018" customFormat="false" ht="15" hidden="false" customHeight="false" outlineLevel="0" collapsed="false">
      <c r="A1018" s="6" t="s">
        <v>72</v>
      </c>
      <c r="B1018" s="6" t="s">
        <v>55</v>
      </c>
      <c r="C1018" s="6" t="n">
        <v>53</v>
      </c>
      <c r="D1018" s="25" t="n">
        <f aca="false">EDATE('Start Here'!$B$6,C1018-1)</f>
        <v>47908</v>
      </c>
      <c r="E1018" s="11" t="n">
        <f aca="false">IF(AND(OR(Nonlabor!$D$22="Both",Nonlabor!$D$22='Start Here'!$B$9),IF(Nonlabor!$E$22="Core",1,IF(Nonlabor!$E$22="AI",'Start Here'!$B$7,'Start Here'!$B$8))=1,C1018&gt;=IF(Nonlabor!$E$22="Core",Nonlabor!$F$22,MAX(Nonlabor!$F$22,IF(Nonlabor!$E$22="AI",Assumptions!$C$24,Assumptions!$C$25))),C1018&lt;=Nonlabor!$G$22,OR(Nonlabor!$H$22="Monthly",AND(Nonlabor!$H$22="Once",C1018=IF(Nonlabor!$E$22="Core",Nonlabor!$F$22,MAX(Nonlabor!$F$22,IF(Nonlabor!$E$22="AI",Assumptions!$C$24,Assumptions!$C$25)))),AND(Nonlabor!$H$22="Annual",MOD(C1018-IF(Nonlabor!$E$22="Core",Nonlabor!$F$22,MAX(Nonlabor!$F$22,IF(Nonlabor!$E$22="AI",Assumptions!$C$24,Assumptions!$C$25))),12)=0))),IF(Nonlabor!$I$22="Fixed",1,IF(Nonlabor!$I$22="Seats",ROUNDUP('Monthly Lean'!I58,0),IF(Nonlabor!$I$22="Customers",'Monthly Lean'!D58,IF(Nonlabor!$I$22="NewCustomers",'Monthly Lean'!C58,IF(Nonlabor!$I$22="StorageGB",'Monthly Lean'!G58,IF(Nonlabor!$I$22="LogGB",'Monthly Lean'!H58,IF(Nonlabor!$I$22="RequestsM",'Monthly Lean'!F58,IF(Nonlabor!$I$22="InputM",'Monthly Lean'!D58*Assumptions!$C$22/1000000,IF(Nonlabor!$I$22="OutputM",'Monthly Lean'!D58*Assumptions!$C$23/1000000,0))))))))),0)</f>
        <v>19.645749132347</v>
      </c>
      <c r="F1018" s="10" t="n">
        <f aca="false">Nonlabor!$J$22*(1+Assumptions!$C$9)^INT((C1018-1)/12)</f>
        <v>84.41316075</v>
      </c>
      <c r="G1018" s="10" t="n">
        <f aca="false">E1018*F1018</f>
        <v>1658.35977956298</v>
      </c>
      <c r="H1018" s="10" t="n">
        <f aca="false">IF(OR(Nonlabor!$L$22="Quote required",Nonlabor!$L$22="Unverified"),G1018,0)</f>
        <v>0</v>
      </c>
      <c r="I1018" s="10" t="n">
        <f aca="false">IF(Nonlabor!$E$22="Core",0,G1018)</f>
        <v>0</v>
      </c>
      <c r="J1018" s="23" t="str">
        <f aca="false">Nonlabor!$B$22</f>
        <v>MARKETING</v>
      </c>
    </row>
    <row r="1019" customFormat="false" ht="15" hidden="false" customHeight="false" outlineLevel="0" collapsed="false">
      <c r="A1019" s="6" t="s">
        <v>72</v>
      </c>
      <c r="B1019" s="6" t="s">
        <v>55</v>
      </c>
      <c r="C1019" s="6" t="n">
        <v>54</v>
      </c>
      <c r="D1019" s="25" t="n">
        <f aca="false">EDATE('Start Here'!$B$6,C1019-1)</f>
        <v>47939</v>
      </c>
      <c r="E1019" s="11" t="n">
        <f aca="false">IF(AND(OR(Nonlabor!$D$22="Both",Nonlabor!$D$22='Start Here'!$B$9),IF(Nonlabor!$E$22="Core",1,IF(Nonlabor!$E$22="AI",'Start Here'!$B$7,'Start Here'!$B$8))=1,C1019&gt;=IF(Nonlabor!$E$22="Core",Nonlabor!$F$22,MAX(Nonlabor!$F$22,IF(Nonlabor!$E$22="AI",Assumptions!$C$24,Assumptions!$C$25))),C1019&lt;=Nonlabor!$G$22,OR(Nonlabor!$H$22="Monthly",AND(Nonlabor!$H$22="Once",C1019=IF(Nonlabor!$E$22="Core",Nonlabor!$F$22,MAX(Nonlabor!$F$22,IF(Nonlabor!$E$22="AI",Assumptions!$C$24,Assumptions!$C$25)))),AND(Nonlabor!$H$22="Annual",MOD(C1019-IF(Nonlabor!$E$22="Core",Nonlabor!$F$22,MAX(Nonlabor!$F$22,IF(Nonlabor!$E$22="AI",Assumptions!$C$24,Assumptions!$C$25))),12)=0))),IF(Nonlabor!$I$22="Fixed",1,IF(Nonlabor!$I$22="Seats",ROUNDUP('Monthly Lean'!I59,0),IF(Nonlabor!$I$22="Customers",'Monthly Lean'!D59,IF(Nonlabor!$I$22="NewCustomers",'Monthly Lean'!C59,IF(Nonlabor!$I$22="StorageGB",'Monthly Lean'!G59,IF(Nonlabor!$I$22="LogGB",'Monthly Lean'!H59,IF(Nonlabor!$I$22="RequestsM",'Monthly Lean'!F59,IF(Nonlabor!$I$22="InputM",'Monthly Lean'!D59*Assumptions!$C$22/1000000,IF(Nonlabor!$I$22="OutputM",'Monthly Lean'!D59*Assumptions!$C$23/1000000,0))))))))),0)</f>
        <v>20.3276253953618</v>
      </c>
      <c r="F1019" s="10" t="n">
        <f aca="false">Nonlabor!$J$22*(1+Assumptions!$C$9)^INT((C1019-1)/12)</f>
        <v>84.41316075</v>
      </c>
      <c r="G1019" s="10" t="n">
        <f aca="false">E1019*F1019</f>
        <v>1715.91911016446</v>
      </c>
      <c r="H1019" s="10" t="n">
        <f aca="false">IF(OR(Nonlabor!$L$22="Quote required",Nonlabor!$L$22="Unverified"),G1019,0)</f>
        <v>0</v>
      </c>
      <c r="I1019" s="10" t="n">
        <f aca="false">IF(Nonlabor!$E$22="Core",0,G1019)</f>
        <v>0</v>
      </c>
      <c r="J1019" s="23" t="str">
        <f aca="false">Nonlabor!$B$22</f>
        <v>MARKETING</v>
      </c>
    </row>
    <row r="1020" customFormat="false" ht="15" hidden="false" customHeight="false" outlineLevel="0" collapsed="false">
      <c r="A1020" s="6" t="s">
        <v>72</v>
      </c>
      <c r="B1020" s="6" t="s">
        <v>55</v>
      </c>
      <c r="C1020" s="6" t="n">
        <v>55</v>
      </c>
      <c r="D1020" s="25" t="n">
        <f aca="false">EDATE('Start Here'!$B$6,C1020-1)</f>
        <v>47969</v>
      </c>
      <c r="E1020" s="11" t="n">
        <f aca="false">IF(AND(OR(Nonlabor!$D$22="Both",Nonlabor!$D$22='Start Here'!$B$9),IF(Nonlabor!$E$22="Core",1,IF(Nonlabor!$E$22="AI",'Start Here'!$B$7,'Start Here'!$B$8))=1,C1020&gt;=IF(Nonlabor!$E$22="Core",Nonlabor!$F$22,MAX(Nonlabor!$F$22,IF(Nonlabor!$E$22="AI",Assumptions!$C$24,Assumptions!$C$25))),C1020&lt;=Nonlabor!$G$22,OR(Nonlabor!$H$22="Monthly",AND(Nonlabor!$H$22="Once",C1020=IF(Nonlabor!$E$22="Core",Nonlabor!$F$22,MAX(Nonlabor!$F$22,IF(Nonlabor!$E$22="AI",Assumptions!$C$24,Assumptions!$C$25)))),AND(Nonlabor!$H$22="Annual",MOD(C1020-IF(Nonlabor!$E$22="Core",Nonlabor!$F$22,MAX(Nonlabor!$F$22,IF(Nonlabor!$E$22="AI",Assumptions!$C$24,Assumptions!$C$25))),12)=0))),IF(Nonlabor!$I$22="Fixed",1,IF(Nonlabor!$I$22="Seats",ROUNDUP('Monthly Lean'!I60,0),IF(Nonlabor!$I$22="Customers",'Monthly Lean'!D60,IF(Nonlabor!$I$22="NewCustomers",'Monthly Lean'!C60,IF(Nonlabor!$I$22="StorageGB",'Monthly Lean'!G60,IF(Nonlabor!$I$22="LogGB",'Monthly Lean'!H60,IF(Nonlabor!$I$22="RequestsM",'Monthly Lean'!F60,IF(Nonlabor!$I$22="InputM",'Monthly Lean'!D60*Assumptions!$C$22/1000000,IF(Nonlabor!$I$22="OutputM",'Monthly Lean'!D60*Assumptions!$C$23/1000000,0))))))))),0)</f>
        <v>20.9992735144314</v>
      </c>
      <c r="F1020" s="10" t="n">
        <f aca="false">Nonlabor!$J$22*(1+Assumptions!$C$9)^INT((C1020-1)/12)</f>
        <v>84.41316075</v>
      </c>
      <c r="G1020" s="10" t="n">
        <f aca="false">E1020*F1020</f>
        <v>1772.61505080691</v>
      </c>
      <c r="H1020" s="10" t="n">
        <f aca="false">IF(OR(Nonlabor!$L$22="Quote required",Nonlabor!$L$22="Unverified"),G1020,0)</f>
        <v>0</v>
      </c>
      <c r="I1020" s="10" t="n">
        <f aca="false">IF(Nonlabor!$E$22="Core",0,G1020)</f>
        <v>0</v>
      </c>
      <c r="J1020" s="23" t="str">
        <f aca="false">Nonlabor!$B$22</f>
        <v>MARKETING</v>
      </c>
    </row>
    <row r="1021" customFormat="false" ht="15" hidden="false" customHeight="false" outlineLevel="0" collapsed="false">
      <c r="A1021" s="6" t="s">
        <v>72</v>
      </c>
      <c r="B1021" s="6" t="s">
        <v>55</v>
      </c>
      <c r="C1021" s="6" t="n">
        <v>56</v>
      </c>
      <c r="D1021" s="25" t="n">
        <f aca="false">EDATE('Start Here'!$B$6,C1021-1)</f>
        <v>48000</v>
      </c>
      <c r="E1021" s="11" t="n">
        <f aca="false">IF(AND(OR(Nonlabor!$D$22="Both",Nonlabor!$D$22='Start Here'!$B$9),IF(Nonlabor!$E$22="Core",1,IF(Nonlabor!$E$22="AI",'Start Here'!$B$7,'Start Here'!$B$8))=1,C1021&gt;=IF(Nonlabor!$E$22="Core",Nonlabor!$F$22,MAX(Nonlabor!$F$22,IF(Nonlabor!$E$22="AI",Assumptions!$C$24,Assumptions!$C$25))),C1021&lt;=Nonlabor!$G$22,OR(Nonlabor!$H$22="Monthly",AND(Nonlabor!$H$22="Once",C1021=IF(Nonlabor!$E$22="Core",Nonlabor!$F$22,MAX(Nonlabor!$F$22,IF(Nonlabor!$E$22="AI",Assumptions!$C$24,Assumptions!$C$25)))),AND(Nonlabor!$H$22="Annual",MOD(C1021-IF(Nonlabor!$E$22="Core",Nonlabor!$F$22,MAX(Nonlabor!$F$22,IF(Nonlabor!$E$22="AI",Assumptions!$C$24,Assumptions!$C$25))),12)=0))),IF(Nonlabor!$I$22="Fixed",1,IF(Nonlabor!$I$22="Seats",ROUNDUP('Monthly Lean'!I61,0),IF(Nonlabor!$I$22="Customers",'Monthly Lean'!D61,IF(Nonlabor!$I$22="NewCustomers",'Monthly Lean'!C61,IF(Nonlabor!$I$22="StorageGB",'Monthly Lean'!G61,IF(Nonlabor!$I$22="LogGB",'Monthly Lean'!H61,IF(Nonlabor!$I$22="RequestsM",'Monthly Lean'!F61,IF(Nonlabor!$I$22="InputM",'Monthly Lean'!D61*Assumptions!$C$22/1000000,IF(Nonlabor!$I$22="OutputM",'Monthly Lean'!D61*Assumptions!$C$23/1000000,0))))))))),0)</f>
        <v>21.6608469117149</v>
      </c>
      <c r="F1021" s="10" t="n">
        <f aca="false">Nonlabor!$J$22*(1+Assumptions!$C$9)^INT((C1021-1)/12)</f>
        <v>84.41316075</v>
      </c>
      <c r="G1021" s="10" t="n">
        <f aca="false">E1021*F1021</f>
        <v>1828.46055233973</v>
      </c>
      <c r="H1021" s="10" t="n">
        <f aca="false">IF(OR(Nonlabor!$L$22="Quote required",Nonlabor!$L$22="Unverified"),G1021,0)</f>
        <v>0</v>
      </c>
      <c r="I1021" s="10" t="n">
        <f aca="false">IF(Nonlabor!$E$22="Core",0,G1021)</f>
        <v>0</v>
      </c>
      <c r="J1021" s="23" t="str">
        <f aca="false">Nonlabor!$B$22</f>
        <v>MARKETING</v>
      </c>
    </row>
    <row r="1022" customFormat="false" ht="15" hidden="false" customHeight="false" outlineLevel="0" collapsed="false">
      <c r="A1022" s="6" t="s">
        <v>72</v>
      </c>
      <c r="B1022" s="6" t="s">
        <v>55</v>
      </c>
      <c r="C1022" s="6" t="n">
        <v>57</v>
      </c>
      <c r="D1022" s="25" t="n">
        <f aca="false">EDATE('Start Here'!$B$6,C1022-1)</f>
        <v>48030</v>
      </c>
      <c r="E1022" s="11" t="n">
        <f aca="false">IF(AND(OR(Nonlabor!$D$22="Both",Nonlabor!$D$22='Start Here'!$B$9),IF(Nonlabor!$E$22="Core",1,IF(Nonlabor!$E$22="AI",'Start Here'!$B$7,'Start Here'!$B$8))=1,C1022&gt;=IF(Nonlabor!$E$22="Core",Nonlabor!$F$22,MAX(Nonlabor!$F$22,IF(Nonlabor!$E$22="AI",Assumptions!$C$24,Assumptions!$C$25))),C1022&lt;=Nonlabor!$G$22,OR(Nonlabor!$H$22="Monthly",AND(Nonlabor!$H$22="Once",C1022=IF(Nonlabor!$E$22="Core",Nonlabor!$F$22,MAX(Nonlabor!$F$22,IF(Nonlabor!$E$22="AI",Assumptions!$C$24,Assumptions!$C$25)))),AND(Nonlabor!$H$22="Annual",MOD(C1022-IF(Nonlabor!$E$22="Core",Nonlabor!$F$22,MAX(Nonlabor!$F$22,IF(Nonlabor!$E$22="AI",Assumptions!$C$24,Assumptions!$C$25))),12)=0))),IF(Nonlabor!$I$22="Fixed",1,IF(Nonlabor!$I$22="Seats",ROUNDUP('Monthly Lean'!I62,0),IF(Nonlabor!$I$22="Customers",'Monthly Lean'!D62,IF(Nonlabor!$I$22="NewCustomers",'Monthly Lean'!C62,IF(Nonlabor!$I$22="StorageGB",'Monthly Lean'!G62,IF(Nonlabor!$I$22="LogGB",'Monthly Lean'!H62,IF(Nonlabor!$I$22="RequestsM",'Monthly Lean'!F62,IF(Nonlabor!$I$22="InputM",'Monthly Lean'!D62*Assumptions!$C$22/1000000,IF(Nonlabor!$I$22="OutputM",'Monthly Lean'!D62*Assumptions!$C$23/1000000,0))))))))),0)</f>
        <v>22.3124967080392</v>
      </c>
      <c r="F1022" s="10" t="n">
        <f aca="false">Nonlabor!$J$22*(1+Assumptions!$C$9)^INT((C1022-1)/12)</f>
        <v>84.41316075</v>
      </c>
      <c r="G1022" s="10" t="n">
        <f aca="false">E1022*F1022</f>
        <v>1883.46837134956</v>
      </c>
      <c r="H1022" s="10" t="n">
        <f aca="false">IF(OR(Nonlabor!$L$22="Quote required",Nonlabor!$L$22="Unverified"),G1022,0)</f>
        <v>0</v>
      </c>
      <c r="I1022" s="10" t="n">
        <f aca="false">IF(Nonlabor!$E$22="Core",0,G1022)</f>
        <v>0</v>
      </c>
      <c r="J1022" s="23" t="str">
        <f aca="false">Nonlabor!$B$22</f>
        <v>MARKETING</v>
      </c>
    </row>
    <row r="1023" customFormat="false" ht="15" hidden="false" customHeight="false" outlineLevel="0" collapsed="false">
      <c r="A1023" s="6" t="s">
        <v>72</v>
      </c>
      <c r="B1023" s="6" t="s">
        <v>55</v>
      </c>
      <c r="C1023" s="6" t="n">
        <v>58</v>
      </c>
      <c r="D1023" s="25" t="n">
        <f aca="false">EDATE('Start Here'!$B$6,C1023-1)</f>
        <v>48061</v>
      </c>
      <c r="E1023" s="11" t="n">
        <f aca="false">IF(AND(OR(Nonlabor!$D$22="Both",Nonlabor!$D$22='Start Here'!$B$9),IF(Nonlabor!$E$22="Core",1,IF(Nonlabor!$E$22="AI",'Start Here'!$B$7,'Start Here'!$B$8))=1,C1023&gt;=IF(Nonlabor!$E$22="Core",Nonlabor!$F$22,MAX(Nonlabor!$F$22,IF(Nonlabor!$E$22="AI",Assumptions!$C$24,Assumptions!$C$25))),C1023&lt;=Nonlabor!$G$22,OR(Nonlabor!$H$22="Monthly",AND(Nonlabor!$H$22="Once",C1023=IF(Nonlabor!$E$22="Core",Nonlabor!$F$22,MAX(Nonlabor!$F$22,IF(Nonlabor!$E$22="AI",Assumptions!$C$24,Assumptions!$C$25)))),AND(Nonlabor!$H$22="Annual",MOD(C1023-IF(Nonlabor!$E$22="Core",Nonlabor!$F$22,MAX(Nonlabor!$F$22,IF(Nonlabor!$E$22="AI",Assumptions!$C$24,Assumptions!$C$25))),12)=0))),IF(Nonlabor!$I$22="Fixed",1,IF(Nonlabor!$I$22="Seats",ROUNDUP('Monthly Lean'!I63,0),IF(Nonlabor!$I$22="Customers",'Monthly Lean'!D63,IF(Nonlabor!$I$22="NewCustomers",'Monthly Lean'!C63,IF(Nonlabor!$I$22="StorageGB",'Monthly Lean'!G63,IF(Nonlabor!$I$22="LogGB",'Monthly Lean'!H63,IF(Nonlabor!$I$22="RequestsM",'Monthly Lean'!F63,IF(Nonlabor!$I$22="InputM",'Monthly Lean'!D63*Assumptions!$C$22/1000000,IF(Nonlabor!$I$22="OutputM",'Monthly Lean'!D63*Assumptions!$C$23/1000000,0))))))))),0)</f>
        <v>22.9543717574186</v>
      </c>
      <c r="F1023" s="10" t="n">
        <f aca="false">Nonlabor!$J$22*(1+Assumptions!$C$9)^INT((C1023-1)/12)</f>
        <v>84.41316075</v>
      </c>
      <c r="G1023" s="10" t="n">
        <f aca="false">E1023*F1023</f>
        <v>1937.65107307423</v>
      </c>
      <c r="H1023" s="10" t="n">
        <f aca="false">IF(OR(Nonlabor!$L$22="Quote required",Nonlabor!$L$22="Unverified"),G1023,0)</f>
        <v>0</v>
      </c>
      <c r="I1023" s="10" t="n">
        <f aca="false">IF(Nonlabor!$E$22="Core",0,G1023)</f>
        <v>0</v>
      </c>
      <c r="J1023" s="23" t="str">
        <f aca="false">Nonlabor!$B$22</f>
        <v>MARKETING</v>
      </c>
    </row>
    <row r="1024" customFormat="false" ht="15" hidden="false" customHeight="false" outlineLevel="0" collapsed="false">
      <c r="A1024" s="6" t="s">
        <v>72</v>
      </c>
      <c r="B1024" s="6" t="s">
        <v>55</v>
      </c>
      <c r="C1024" s="6" t="n">
        <v>59</v>
      </c>
      <c r="D1024" s="25" t="n">
        <f aca="false">EDATE('Start Here'!$B$6,C1024-1)</f>
        <v>48092</v>
      </c>
      <c r="E1024" s="11" t="n">
        <f aca="false">IF(AND(OR(Nonlabor!$D$22="Both",Nonlabor!$D$22='Start Here'!$B$9),IF(Nonlabor!$E$22="Core",1,IF(Nonlabor!$E$22="AI",'Start Here'!$B$7,'Start Here'!$B$8))=1,C1024&gt;=IF(Nonlabor!$E$22="Core",Nonlabor!$F$22,MAX(Nonlabor!$F$22,IF(Nonlabor!$E$22="AI",Assumptions!$C$24,Assumptions!$C$25))),C1024&lt;=Nonlabor!$G$22,OR(Nonlabor!$H$22="Monthly",AND(Nonlabor!$H$22="Once",C1024=IF(Nonlabor!$E$22="Core",Nonlabor!$F$22,MAX(Nonlabor!$F$22,IF(Nonlabor!$E$22="AI",Assumptions!$C$24,Assumptions!$C$25)))),AND(Nonlabor!$H$22="Annual",MOD(C1024-IF(Nonlabor!$E$22="Core",Nonlabor!$F$22,MAX(Nonlabor!$F$22,IF(Nonlabor!$E$22="AI",Assumptions!$C$24,Assumptions!$C$25))),12)=0))),IF(Nonlabor!$I$22="Fixed",1,IF(Nonlabor!$I$22="Seats",ROUNDUP('Monthly Lean'!I64,0),IF(Nonlabor!$I$22="Customers",'Monthly Lean'!D64,IF(Nonlabor!$I$22="NewCustomers",'Monthly Lean'!C64,IF(Nonlabor!$I$22="StorageGB",'Monthly Lean'!G64,IF(Nonlabor!$I$22="LogGB",'Monthly Lean'!H64,IF(Nonlabor!$I$22="RequestsM",'Monthly Lean'!F64,IF(Nonlabor!$I$22="InputM",'Monthly Lean'!D64*Assumptions!$C$22/1000000,IF(Nonlabor!$I$22="OutputM",'Monthly Lean'!D64*Assumptions!$C$23/1000000,0))))))))),0)</f>
        <v>23.5866186810573</v>
      </c>
      <c r="F1024" s="10" t="n">
        <f aca="false">Nonlabor!$J$22*(1+Assumptions!$C$9)^INT((C1024-1)/12)</f>
        <v>84.41316075</v>
      </c>
      <c r="G1024" s="10" t="n">
        <f aca="false">E1024*F1024</f>
        <v>1991.02103427304</v>
      </c>
      <c r="H1024" s="10" t="n">
        <f aca="false">IF(OR(Nonlabor!$L$22="Quote required",Nonlabor!$L$22="Unverified"),G1024,0)</f>
        <v>0</v>
      </c>
      <c r="I1024" s="10" t="n">
        <f aca="false">IF(Nonlabor!$E$22="Core",0,G1024)</f>
        <v>0</v>
      </c>
      <c r="J1024" s="23" t="str">
        <f aca="false">Nonlabor!$B$22</f>
        <v>MARKETING</v>
      </c>
    </row>
    <row r="1025" customFormat="false" ht="15" hidden="false" customHeight="false" outlineLevel="0" collapsed="false">
      <c r="A1025" s="6" t="s">
        <v>72</v>
      </c>
      <c r="B1025" s="6" t="s">
        <v>55</v>
      </c>
      <c r="C1025" s="6" t="n">
        <v>60</v>
      </c>
      <c r="D1025" s="25" t="n">
        <f aca="false">EDATE('Start Here'!$B$6,C1025-1)</f>
        <v>48122</v>
      </c>
      <c r="E1025" s="11" t="n">
        <f aca="false">IF(AND(OR(Nonlabor!$D$22="Both",Nonlabor!$D$22='Start Here'!$B$9),IF(Nonlabor!$E$22="Core",1,IF(Nonlabor!$E$22="AI",'Start Here'!$B$7,'Start Here'!$B$8))=1,C1025&gt;=IF(Nonlabor!$E$22="Core",Nonlabor!$F$22,MAX(Nonlabor!$F$22,IF(Nonlabor!$E$22="AI",Assumptions!$C$24,Assumptions!$C$25))),C1025&lt;=Nonlabor!$G$22,OR(Nonlabor!$H$22="Monthly",AND(Nonlabor!$H$22="Once",C1025=IF(Nonlabor!$E$22="Core",Nonlabor!$F$22,MAX(Nonlabor!$F$22,IF(Nonlabor!$E$22="AI",Assumptions!$C$24,Assumptions!$C$25)))),AND(Nonlabor!$H$22="Annual",MOD(C1025-IF(Nonlabor!$E$22="Core",Nonlabor!$F$22,MAX(Nonlabor!$F$22,IF(Nonlabor!$E$22="AI",Assumptions!$C$24,Assumptions!$C$25))),12)=0))),IF(Nonlabor!$I$22="Fixed",1,IF(Nonlabor!$I$22="Seats",ROUNDUP('Monthly Lean'!I65,0),IF(Nonlabor!$I$22="Customers",'Monthly Lean'!D65,IF(Nonlabor!$I$22="NewCustomers",'Monthly Lean'!C65,IF(Nonlabor!$I$22="StorageGB",'Monthly Lean'!G65,IF(Nonlabor!$I$22="LogGB",'Monthly Lean'!H65,IF(Nonlabor!$I$22="RequestsM",'Monthly Lean'!F65,IF(Nonlabor!$I$22="InputM",'Monthly Lean'!D65*Assumptions!$C$22/1000000,IF(Nonlabor!$I$22="OutputM",'Monthly Lean'!D65*Assumptions!$C$23/1000000,0))))))))),0)</f>
        <v>24.2093819008414</v>
      </c>
      <c r="F1025" s="10" t="n">
        <f aca="false">Nonlabor!$J$22*(1+Assumptions!$C$9)^INT((C1025-1)/12)</f>
        <v>84.41316075</v>
      </c>
      <c r="G1025" s="10" t="n">
        <f aca="false">E1025*F1025</f>
        <v>2043.59044605387</v>
      </c>
      <c r="H1025" s="10" t="n">
        <f aca="false">IF(OR(Nonlabor!$L$22="Quote required",Nonlabor!$L$22="Unverified"),G1025,0)</f>
        <v>0</v>
      </c>
      <c r="I1025" s="10" t="n">
        <f aca="false">IF(Nonlabor!$E$22="Core",0,G1025)</f>
        <v>0</v>
      </c>
      <c r="J1025" s="23" t="str">
        <f aca="false">Nonlabor!$B$22</f>
        <v>MARKETING</v>
      </c>
    </row>
    <row r="1026" customFormat="false" ht="15" hidden="false" customHeight="false" outlineLevel="0" collapsed="false">
      <c r="A1026" s="6" t="s">
        <v>72</v>
      </c>
      <c r="B1026" s="6" t="s">
        <v>57</v>
      </c>
      <c r="C1026" s="6" t="n">
        <v>1</v>
      </c>
      <c r="D1026" s="25" t="n">
        <f aca="false">EDATE('Start Here'!$B$6,C1026-1)</f>
        <v>46327</v>
      </c>
      <c r="E1026" s="23" t="n">
        <f aca="false">IF(AND(OR(Nonlabor!$D$23="Both",Nonlabor!$D$23='Start Here'!$B$9),IF(Nonlabor!$E$23="Core",1,IF(Nonlabor!$E$23="AI",'Start Here'!$B$7,'Start Here'!$B$8))=1,C1026&gt;=IF(Nonlabor!$E$23="Core",Nonlabor!$F$23,MAX(Nonlabor!$F$23,IF(Nonlabor!$E$23="AI",Assumptions!$C$24,Assumptions!$C$25))),C1026&lt;=Nonlabor!$G$23,OR(Nonlabor!$H$23="Monthly",AND(Nonlabor!$H$23="Once",C1026=IF(Nonlabor!$E$23="Core",Nonlabor!$F$23,MAX(Nonlabor!$F$23,IF(Nonlabor!$E$23="AI",Assumptions!$C$24,Assumptions!$C$25)))),AND(Nonlabor!$H$23="Annual",MOD(C1026-IF(Nonlabor!$E$23="Core",Nonlabor!$F$23,MAX(Nonlabor!$F$23,IF(Nonlabor!$E$23="AI",Assumptions!$C$24,Assumptions!$C$25))),12)=0))),IF(Nonlabor!$I$23="Fixed",1,IF(Nonlabor!$I$23="Seats",ROUNDUP('Monthly Lean'!I6,0),IF(Nonlabor!$I$23="Customers",'Monthly Lean'!D6,IF(Nonlabor!$I$23="NewCustomers",'Monthly Lean'!C6,IF(Nonlabor!$I$23="StorageGB",'Monthly Lean'!G6,IF(Nonlabor!$I$23="LogGB",'Monthly Lean'!H6,IF(Nonlabor!$I$23="RequestsM",'Monthly Lean'!F6,IF(Nonlabor!$I$23="InputM",'Monthly Lean'!D6*Assumptions!$C$22/1000000,IF(Nonlabor!$I$23="OutputM",'Monthly Lean'!D6*Assumptions!$C$23/1000000,0))))))))),0)</f>
        <v>0</v>
      </c>
      <c r="F1026" s="10" t="n">
        <f aca="false">Nonlabor!$J$23*(1+Assumptions!$C$9)^INT((C1026-1)/12)</f>
        <v>300</v>
      </c>
      <c r="G1026" s="10" t="n">
        <f aca="false">E1026*F1026</f>
        <v>0</v>
      </c>
      <c r="H1026" s="10" t="n">
        <f aca="false">IF(OR(Nonlabor!$L$23="Quote required",Nonlabor!$L$23="Unverified"),G1026,0)</f>
        <v>0</v>
      </c>
      <c r="I1026" s="10" t="n">
        <f aca="false">IF(Nonlabor!$E$23="Core",0,G1026)</f>
        <v>0</v>
      </c>
      <c r="J1026" s="23" t="str">
        <f aca="false">Nonlabor!$B$23</f>
        <v>ONBOARD</v>
      </c>
    </row>
    <row r="1027" customFormat="false" ht="15" hidden="false" customHeight="false" outlineLevel="0" collapsed="false">
      <c r="A1027" s="6" t="s">
        <v>72</v>
      </c>
      <c r="B1027" s="6" t="s">
        <v>57</v>
      </c>
      <c r="C1027" s="6" t="n">
        <v>2</v>
      </c>
      <c r="D1027" s="25" t="n">
        <f aca="false">EDATE('Start Here'!$B$6,C1027-1)</f>
        <v>46357</v>
      </c>
      <c r="E1027" s="23" t="n">
        <f aca="false">IF(AND(OR(Nonlabor!$D$23="Both",Nonlabor!$D$23='Start Here'!$B$9),IF(Nonlabor!$E$23="Core",1,IF(Nonlabor!$E$23="AI",'Start Here'!$B$7,'Start Here'!$B$8))=1,C1027&gt;=IF(Nonlabor!$E$23="Core",Nonlabor!$F$23,MAX(Nonlabor!$F$23,IF(Nonlabor!$E$23="AI",Assumptions!$C$24,Assumptions!$C$25))),C1027&lt;=Nonlabor!$G$23,OR(Nonlabor!$H$23="Monthly",AND(Nonlabor!$H$23="Once",C1027=IF(Nonlabor!$E$23="Core",Nonlabor!$F$23,MAX(Nonlabor!$F$23,IF(Nonlabor!$E$23="AI",Assumptions!$C$24,Assumptions!$C$25)))),AND(Nonlabor!$H$23="Annual",MOD(C1027-IF(Nonlabor!$E$23="Core",Nonlabor!$F$23,MAX(Nonlabor!$F$23,IF(Nonlabor!$E$23="AI",Assumptions!$C$24,Assumptions!$C$25))),12)=0))),IF(Nonlabor!$I$23="Fixed",1,IF(Nonlabor!$I$23="Seats",ROUNDUP('Monthly Lean'!I7,0),IF(Nonlabor!$I$23="Customers",'Monthly Lean'!D7,IF(Nonlabor!$I$23="NewCustomers",'Monthly Lean'!C7,IF(Nonlabor!$I$23="StorageGB",'Monthly Lean'!G7,IF(Nonlabor!$I$23="LogGB",'Monthly Lean'!H7,IF(Nonlabor!$I$23="RequestsM",'Monthly Lean'!F7,IF(Nonlabor!$I$23="InputM",'Monthly Lean'!D7*Assumptions!$C$22/1000000,IF(Nonlabor!$I$23="OutputM",'Monthly Lean'!D7*Assumptions!$C$23/1000000,0))))))))),0)</f>
        <v>0</v>
      </c>
      <c r="F1027" s="10" t="n">
        <f aca="false">Nonlabor!$J$23*(1+Assumptions!$C$9)^INT((C1027-1)/12)</f>
        <v>300</v>
      </c>
      <c r="G1027" s="10" t="n">
        <f aca="false">E1027*F1027</f>
        <v>0</v>
      </c>
      <c r="H1027" s="10" t="n">
        <f aca="false">IF(OR(Nonlabor!$L$23="Quote required",Nonlabor!$L$23="Unverified"),G1027,0)</f>
        <v>0</v>
      </c>
      <c r="I1027" s="10" t="n">
        <f aca="false">IF(Nonlabor!$E$23="Core",0,G1027)</f>
        <v>0</v>
      </c>
      <c r="J1027" s="23" t="str">
        <f aca="false">Nonlabor!$B$23</f>
        <v>ONBOARD</v>
      </c>
    </row>
    <row r="1028" customFormat="false" ht="15" hidden="false" customHeight="false" outlineLevel="0" collapsed="false">
      <c r="A1028" s="6" t="s">
        <v>72</v>
      </c>
      <c r="B1028" s="6" t="s">
        <v>57</v>
      </c>
      <c r="C1028" s="6" t="n">
        <v>3</v>
      </c>
      <c r="D1028" s="25" t="n">
        <f aca="false">EDATE('Start Here'!$B$6,C1028-1)</f>
        <v>46388</v>
      </c>
      <c r="E1028" s="23" t="n">
        <f aca="false">IF(AND(OR(Nonlabor!$D$23="Both",Nonlabor!$D$23='Start Here'!$B$9),IF(Nonlabor!$E$23="Core",1,IF(Nonlabor!$E$23="AI",'Start Here'!$B$7,'Start Here'!$B$8))=1,C1028&gt;=IF(Nonlabor!$E$23="Core",Nonlabor!$F$23,MAX(Nonlabor!$F$23,IF(Nonlabor!$E$23="AI",Assumptions!$C$24,Assumptions!$C$25))),C1028&lt;=Nonlabor!$G$23,OR(Nonlabor!$H$23="Monthly",AND(Nonlabor!$H$23="Once",C1028=IF(Nonlabor!$E$23="Core",Nonlabor!$F$23,MAX(Nonlabor!$F$23,IF(Nonlabor!$E$23="AI",Assumptions!$C$24,Assumptions!$C$25)))),AND(Nonlabor!$H$23="Annual",MOD(C1028-IF(Nonlabor!$E$23="Core",Nonlabor!$F$23,MAX(Nonlabor!$F$23,IF(Nonlabor!$E$23="AI",Assumptions!$C$24,Assumptions!$C$25))),12)=0))),IF(Nonlabor!$I$23="Fixed",1,IF(Nonlabor!$I$23="Seats",ROUNDUP('Monthly Lean'!I8,0),IF(Nonlabor!$I$23="Customers",'Monthly Lean'!D8,IF(Nonlabor!$I$23="NewCustomers",'Monthly Lean'!C8,IF(Nonlabor!$I$23="StorageGB",'Monthly Lean'!G8,IF(Nonlabor!$I$23="LogGB",'Monthly Lean'!H8,IF(Nonlabor!$I$23="RequestsM",'Monthly Lean'!F8,IF(Nonlabor!$I$23="InputM",'Monthly Lean'!D8*Assumptions!$C$22/1000000,IF(Nonlabor!$I$23="OutputM",'Monthly Lean'!D8*Assumptions!$C$23/1000000,0))))))))),0)</f>
        <v>0</v>
      </c>
      <c r="F1028" s="10" t="n">
        <f aca="false">Nonlabor!$J$23*(1+Assumptions!$C$9)^INT((C1028-1)/12)</f>
        <v>300</v>
      </c>
      <c r="G1028" s="10" t="n">
        <f aca="false">E1028*F1028</f>
        <v>0</v>
      </c>
      <c r="H1028" s="10" t="n">
        <f aca="false">IF(OR(Nonlabor!$L$23="Quote required",Nonlabor!$L$23="Unverified"),G1028,0)</f>
        <v>0</v>
      </c>
      <c r="I1028" s="10" t="n">
        <f aca="false">IF(Nonlabor!$E$23="Core",0,G1028)</f>
        <v>0</v>
      </c>
      <c r="J1028" s="23" t="str">
        <f aca="false">Nonlabor!$B$23</f>
        <v>ONBOARD</v>
      </c>
    </row>
    <row r="1029" customFormat="false" ht="15" hidden="false" customHeight="false" outlineLevel="0" collapsed="false">
      <c r="A1029" s="6" t="s">
        <v>72</v>
      </c>
      <c r="B1029" s="6" t="s">
        <v>57</v>
      </c>
      <c r="C1029" s="6" t="n">
        <v>4</v>
      </c>
      <c r="D1029" s="25" t="n">
        <f aca="false">EDATE('Start Here'!$B$6,C1029-1)</f>
        <v>46419</v>
      </c>
      <c r="E1029" s="23" t="n">
        <f aca="false">IF(AND(OR(Nonlabor!$D$23="Both",Nonlabor!$D$23='Start Here'!$B$9),IF(Nonlabor!$E$23="Core",1,IF(Nonlabor!$E$23="AI",'Start Here'!$B$7,'Start Here'!$B$8))=1,C1029&gt;=IF(Nonlabor!$E$23="Core",Nonlabor!$F$23,MAX(Nonlabor!$F$23,IF(Nonlabor!$E$23="AI",Assumptions!$C$24,Assumptions!$C$25))),C1029&lt;=Nonlabor!$G$23,OR(Nonlabor!$H$23="Monthly",AND(Nonlabor!$H$23="Once",C1029=IF(Nonlabor!$E$23="Core",Nonlabor!$F$23,MAX(Nonlabor!$F$23,IF(Nonlabor!$E$23="AI",Assumptions!$C$24,Assumptions!$C$25)))),AND(Nonlabor!$H$23="Annual",MOD(C1029-IF(Nonlabor!$E$23="Core",Nonlabor!$F$23,MAX(Nonlabor!$F$23,IF(Nonlabor!$E$23="AI",Assumptions!$C$24,Assumptions!$C$25))),12)=0))),IF(Nonlabor!$I$23="Fixed",1,IF(Nonlabor!$I$23="Seats",ROUNDUP('Monthly Lean'!I9,0),IF(Nonlabor!$I$23="Customers",'Monthly Lean'!D9,IF(Nonlabor!$I$23="NewCustomers",'Monthly Lean'!C9,IF(Nonlabor!$I$23="StorageGB",'Monthly Lean'!G9,IF(Nonlabor!$I$23="LogGB",'Monthly Lean'!H9,IF(Nonlabor!$I$23="RequestsM",'Monthly Lean'!F9,IF(Nonlabor!$I$23="InputM",'Monthly Lean'!D9*Assumptions!$C$22/1000000,IF(Nonlabor!$I$23="OutputM",'Monthly Lean'!D9*Assumptions!$C$23/1000000,0))))))))),0)</f>
        <v>0</v>
      </c>
      <c r="F1029" s="10" t="n">
        <f aca="false">Nonlabor!$J$23*(1+Assumptions!$C$9)^INT((C1029-1)/12)</f>
        <v>300</v>
      </c>
      <c r="G1029" s="10" t="n">
        <f aca="false">E1029*F1029</f>
        <v>0</v>
      </c>
      <c r="H1029" s="10" t="n">
        <f aca="false">IF(OR(Nonlabor!$L$23="Quote required",Nonlabor!$L$23="Unverified"),G1029,0)</f>
        <v>0</v>
      </c>
      <c r="I1029" s="10" t="n">
        <f aca="false">IF(Nonlabor!$E$23="Core",0,G1029)</f>
        <v>0</v>
      </c>
      <c r="J1029" s="23" t="str">
        <f aca="false">Nonlabor!$B$23</f>
        <v>ONBOARD</v>
      </c>
    </row>
    <row r="1030" customFormat="false" ht="15" hidden="false" customHeight="false" outlineLevel="0" collapsed="false">
      <c r="A1030" s="6" t="s">
        <v>72</v>
      </c>
      <c r="B1030" s="6" t="s">
        <v>57</v>
      </c>
      <c r="C1030" s="6" t="n">
        <v>5</v>
      </c>
      <c r="D1030" s="25" t="n">
        <f aca="false">EDATE('Start Here'!$B$6,C1030-1)</f>
        <v>46447</v>
      </c>
      <c r="E1030" s="23" t="n">
        <f aca="false">IF(AND(OR(Nonlabor!$D$23="Both",Nonlabor!$D$23='Start Here'!$B$9),IF(Nonlabor!$E$23="Core",1,IF(Nonlabor!$E$23="AI",'Start Here'!$B$7,'Start Here'!$B$8))=1,C1030&gt;=IF(Nonlabor!$E$23="Core",Nonlabor!$F$23,MAX(Nonlabor!$F$23,IF(Nonlabor!$E$23="AI",Assumptions!$C$24,Assumptions!$C$25))),C1030&lt;=Nonlabor!$G$23,OR(Nonlabor!$H$23="Monthly",AND(Nonlabor!$H$23="Once",C1030=IF(Nonlabor!$E$23="Core",Nonlabor!$F$23,MAX(Nonlabor!$F$23,IF(Nonlabor!$E$23="AI",Assumptions!$C$24,Assumptions!$C$25)))),AND(Nonlabor!$H$23="Annual",MOD(C1030-IF(Nonlabor!$E$23="Core",Nonlabor!$F$23,MAX(Nonlabor!$F$23,IF(Nonlabor!$E$23="AI",Assumptions!$C$24,Assumptions!$C$25))),12)=0))),IF(Nonlabor!$I$23="Fixed",1,IF(Nonlabor!$I$23="Seats",ROUNDUP('Monthly Lean'!I10,0),IF(Nonlabor!$I$23="Customers",'Monthly Lean'!D10,IF(Nonlabor!$I$23="NewCustomers",'Monthly Lean'!C10,IF(Nonlabor!$I$23="StorageGB",'Monthly Lean'!G10,IF(Nonlabor!$I$23="LogGB",'Monthly Lean'!H10,IF(Nonlabor!$I$23="RequestsM",'Monthly Lean'!F10,IF(Nonlabor!$I$23="InputM",'Monthly Lean'!D10*Assumptions!$C$22/1000000,IF(Nonlabor!$I$23="OutputM",'Monthly Lean'!D10*Assumptions!$C$23/1000000,0))))))))),0)</f>
        <v>0</v>
      </c>
      <c r="F1030" s="10" t="n">
        <f aca="false">Nonlabor!$J$23*(1+Assumptions!$C$9)^INT((C1030-1)/12)</f>
        <v>300</v>
      </c>
      <c r="G1030" s="10" t="n">
        <f aca="false">E1030*F1030</f>
        <v>0</v>
      </c>
      <c r="H1030" s="10" t="n">
        <f aca="false">IF(OR(Nonlabor!$L$23="Quote required",Nonlabor!$L$23="Unverified"),G1030,0)</f>
        <v>0</v>
      </c>
      <c r="I1030" s="10" t="n">
        <f aca="false">IF(Nonlabor!$E$23="Core",0,G1030)</f>
        <v>0</v>
      </c>
      <c r="J1030" s="23" t="str">
        <f aca="false">Nonlabor!$B$23</f>
        <v>ONBOARD</v>
      </c>
    </row>
    <row r="1031" customFormat="false" ht="15" hidden="false" customHeight="false" outlineLevel="0" collapsed="false">
      <c r="A1031" s="6" t="s">
        <v>72</v>
      </c>
      <c r="B1031" s="6" t="s">
        <v>57</v>
      </c>
      <c r="C1031" s="6" t="n">
        <v>6</v>
      </c>
      <c r="D1031" s="25" t="n">
        <f aca="false">EDATE('Start Here'!$B$6,C1031-1)</f>
        <v>46478</v>
      </c>
      <c r="E1031" s="23" t="n">
        <f aca="false">IF(AND(OR(Nonlabor!$D$23="Both",Nonlabor!$D$23='Start Here'!$B$9),IF(Nonlabor!$E$23="Core",1,IF(Nonlabor!$E$23="AI",'Start Here'!$B$7,'Start Here'!$B$8))=1,C1031&gt;=IF(Nonlabor!$E$23="Core",Nonlabor!$F$23,MAX(Nonlabor!$F$23,IF(Nonlabor!$E$23="AI",Assumptions!$C$24,Assumptions!$C$25))),C1031&lt;=Nonlabor!$G$23,OR(Nonlabor!$H$23="Monthly",AND(Nonlabor!$H$23="Once",C1031=IF(Nonlabor!$E$23="Core",Nonlabor!$F$23,MAX(Nonlabor!$F$23,IF(Nonlabor!$E$23="AI",Assumptions!$C$24,Assumptions!$C$25)))),AND(Nonlabor!$H$23="Annual",MOD(C1031-IF(Nonlabor!$E$23="Core",Nonlabor!$F$23,MAX(Nonlabor!$F$23,IF(Nonlabor!$E$23="AI",Assumptions!$C$24,Assumptions!$C$25))),12)=0))),IF(Nonlabor!$I$23="Fixed",1,IF(Nonlabor!$I$23="Seats",ROUNDUP('Monthly Lean'!I11,0),IF(Nonlabor!$I$23="Customers",'Monthly Lean'!D11,IF(Nonlabor!$I$23="NewCustomers",'Monthly Lean'!C11,IF(Nonlabor!$I$23="StorageGB",'Monthly Lean'!G11,IF(Nonlabor!$I$23="LogGB",'Monthly Lean'!H11,IF(Nonlabor!$I$23="RequestsM",'Monthly Lean'!F11,IF(Nonlabor!$I$23="InputM",'Monthly Lean'!D11*Assumptions!$C$22/1000000,IF(Nonlabor!$I$23="OutputM",'Monthly Lean'!D11*Assumptions!$C$23/1000000,0))))))))),0)</f>
        <v>0</v>
      </c>
      <c r="F1031" s="10" t="n">
        <f aca="false">Nonlabor!$J$23*(1+Assumptions!$C$9)^INT((C1031-1)/12)</f>
        <v>300</v>
      </c>
      <c r="G1031" s="10" t="n">
        <f aca="false">E1031*F1031</f>
        <v>0</v>
      </c>
      <c r="H1031" s="10" t="n">
        <f aca="false">IF(OR(Nonlabor!$L$23="Quote required",Nonlabor!$L$23="Unverified"),G1031,0)</f>
        <v>0</v>
      </c>
      <c r="I1031" s="10" t="n">
        <f aca="false">IF(Nonlabor!$E$23="Core",0,G1031)</f>
        <v>0</v>
      </c>
      <c r="J1031" s="23" t="str">
        <f aca="false">Nonlabor!$B$23</f>
        <v>ONBOARD</v>
      </c>
    </row>
    <row r="1032" customFormat="false" ht="15" hidden="false" customHeight="false" outlineLevel="0" collapsed="false">
      <c r="A1032" s="6" t="s">
        <v>72</v>
      </c>
      <c r="B1032" s="6" t="s">
        <v>57</v>
      </c>
      <c r="C1032" s="6" t="n">
        <v>7</v>
      </c>
      <c r="D1032" s="25" t="n">
        <f aca="false">EDATE('Start Here'!$B$6,C1032-1)</f>
        <v>46508</v>
      </c>
      <c r="E1032" s="23" t="n">
        <f aca="false">IF(AND(OR(Nonlabor!$D$23="Both",Nonlabor!$D$23='Start Here'!$B$9),IF(Nonlabor!$E$23="Core",1,IF(Nonlabor!$E$23="AI",'Start Here'!$B$7,'Start Here'!$B$8))=1,C1032&gt;=IF(Nonlabor!$E$23="Core",Nonlabor!$F$23,MAX(Nonlabor!$F$23,IF(Nonlabor!$E$23="AI",Assumptions!$C$24,Assumptions!$C$25))),C1032&lt;=Nonlabor!$G$23,OR(Nonlabor!$H$23="Monthly",AND(Nonlabor!$H$23="Once",C1032=IF(Nonlabor!$E$23="Core",Nonlabor!$F$23,MAX(Nonlabor!$F$23,IF(Nonlabor!$E$23="AI",Assumptions!$C$24,Assumptions!$C$25)))),AND(Nonlabor!$H$23="Annual",MOD(C1032-IF(Nonlabor!$E$23="Core",Nonlabor!$F$23,MAX(Nonlabor!$F$23,IF(Nonlabor!$E$23="AI",Assumptions!$C$24,Assumptions!$C$25))),12)=0))),IF(Nonlabor!$I$23="Fixed",1,IF(Nonlabor!$I$23="Seats",ROUNDUP('Monthly Lean'!I12,0),IF(Nonlabor!$I$23="Customers",'Monthly Lean'!D12,IF(Nonlabor!$I$23="NewCustomers",'Monthly Lean'!C12,IF(Nonlabor!$I$23="StorageGB",'Monthly Lean'!G12,IF(Nonlabor!$I$23="LogGB",'Monthly Lean'!H12,IF(Nonlabor!$I$23="RequestsM",'Monthly Lean'!F12,IF(Nonlabor!$I$23="InputM",'Monthly Lean'!D12*Assumptions!$C$22/1000000,IF(Nonlabor!$I$23="OutputM",'Monthly Lean'!D12*Assumptions!$C$23/1000000,0))))))))),0)</f>
        <v>0</v>
      </c>
      <c r="F1032" s="10" t="n">
        <f aca="false">Nonlabor!$J$23*(1+Assumptions!$C$9)^INT((C1032-1)/12)</f>
        <v>300</v>
      </c>
      <c r="G1032" s="10" t="n">
        <f aca="false">E1032*F1032</f>
        <v>0</v>
      </c>
      <c r="H1032" s="10" t="n">
        <f aca="false">IF(OR(Nonlabor!$L$23="Quote required",Nonlabor!$L$23="Unverified"),G1032,0)</f>
        <v>0</v>
      </c>
      <c r="I1032" s="10" t="n">
        <f aca="false">IF(Nonlabor!$E$23="Core",0,G1032)</f>
        <v>0</v>
      </c>
      <c r="J1032" s="23" t="str">
        <f aca="false">Nonlabor!$B$23</f>
        <v>ONBOARD</v>
      </c>
    </row>
    <row r="1033" customFormat="false" ht="15" hidden="false" customHeight="false" outlineLevel="0" collapsed="false">
      <c r="A1033" s="6" t="s">
        <v>72</v>
      </c>
      <c r="B1033" s="6" t="s">
        <v>57</v>
      </c>
      <c r="C1033" s="6" t="n">
        <v>8</v>
      </c>
      <c r="D1033" s="25" t="n">
        <f aca="false">EDATE('Start Here'!$B$6,C1033-1)</f>
        <v>46539</v>
      </c>
      <c r="E1033" s="23" t="n">
        <f aca="false">IF(AND(OR(Nonlabor!$D$23="Both",Nonlabor!$D$23='Start Here'!$B$9),IF(Nonlabor!$E$23="Core",1,IF(Nonlabor!$E$23="AI",'Start Here'!$B$7,'Start Here'!$B$8))=1,C1033&gt;=IF(Nonlabor!$E$23="Core",Nonlabor!$F$23,MAX(Nonlabor!$F$23,IF(Nonlabor!$E$23="AI",Assumptions!$C$24,Assumptions!$C$25))),C1033&lt;=Nonlabor!$G$23,OR(Nonlabor!$H$23="Monthly",AND(Nonlabor!$H$23="Once",C1033=IF(Nonlabor!$E$23="Core",Nonlabor!$F$23,MAX(Nonlabor!$F$23,IF(Nonlabor!$E$23="AI",Assumptions!$C$24,Assumptions!$C$25)))),AND(Nonlabor!$H$23="Annual",MOD(C1033-IF(Nonlabor!$E$23="Core",Nonlabor!$F$23,MAX(Nonlabor!$F$23,IF(Nonlabor!$E$23="AI",Assumptions!$C$24,Assumptions!$C$25))),12)=0))),IF(Nonlabor!$I$23="Fixed",1,IF(Nonlabor!$I$23="Seats",ROUNDUP('Monthly Lean'!I13,0),IF(Nonlabor!$I$23="Customers",'Monthly Lean'!D13,IF(Nonlabor!$I$23="NewCustomers",'Monthly Lean'!C13,IF(Nonlabor!$I$23="StorageGB",'Monthly Lean'!G13,IF(Nonlabor!$I$23="LogGB",'Monthly Lean'!H13,IF(Nonlabor!$I$23="RequestsM",'Monthly Lean'!F13,IF(Nonlabor!$I$23="InputM",'Monthly Lean'!D13*Assumptions!$C$22/1000000,IF(Nonlabor!$I$23="OutputM",'Monthly Lean'!D13*Assumptions!$C$23/1000000,0))))))))),0)</f>
        <v>0</v>
      </c>
      <c r="F1033" s="10" t="n">
        <f aca="false">Nonlabor!$J$23*(1+Assumptions!$C$9)^INT((C1033-1)/12)</f>
        <v>300</v>
      </c>
      <c r="G1033" s="10" t="n">
        <f aca="false">E1033*F1033</f>
        <v>0</v>
      </c>
      <c r="H1033" s="10" t="n">
        <f aca="false">IF(OR(Nonlabor!$L$23="Quote required",Nonlabor!$L$23="Unverified"),G1033,0)</f>
        <v>0</v>
      </c>
      <c r="I1033" s="10" t="n">
        <f aca="false">IF(Nonlabor!$E$23="Core",0,G1033)</f>
        <v>0</v>
      </c>
      <c r="J1033" s="23" t="str">
        <f aca="false">Nonlabor!$B$23</f>
        <v>ONBOARD</v>
      </c>
    </row>
    <row r="1034" customFormat="false" ht="15" hidden="false" customHeight="false" outlineLevel="0" collapsed="false">
      <c r="A1034" s="6" t="s">
        <v>72</v>
      </c>
      <c r="B1034" s="6" t="s">
        <v>57</v>
      </c>
      <c r="C1034" s="6" t="n">
        <v>9</v>
      </c>
      <c r="D1034" s="25" t="n">
        <f aca="false">EDATE('Start Here'!$B$6,C1034-1)</f>
        <v>46569</v>
      </c>
      <c r="E1034" s="23" t="n">
        <f aca="false">IF(AND(OR(Nonlabor!$D$23="Both",Nonlabor!$D$23='Start Here'!$B$9),IF(Nonlabor!$E$23="Core",1,IF(Nonlabor!$E$23="AI",'Start Here'!$B$7,'Start Here'!$B$8))=1,C1034&gt;=IF(Nonlabor!$E$23="Core",Nonlabor!$F$23,MAX(Nonlabor!$F$23,IF(Nonlabor!$E$23="AI",Assumptions!$C$24,Assumptions!$C$25))),C1034&lt;=Nonlabor!$G$23,OR(Nonlabor!$H$23="Monthly",AND(Nonlabor!$H$23="Once",C1034=IF(Nonlabor!$E$23="Core",Nonlabor!$F$23,MAX(Nonlabor!$F$23,IF(Nonlabor!$E$23="AI",Assumptions!$C$24,Assumptions!$C$25)))),AND(Nonlabor!$H$23="Annual",MOD(C1034-IF(Nonlabor!$E$23="Core",Nonlabor!$F$23,MAX(Nonlabor!$F$23,IF(Nonlabor!$E$23="AI",Assumptions!$C$24,Assumptions!$C$25))),12)=0))),IF(Nonlabor!$I$23="Fixed",1,IF(Nonlabor!$I$23="Seats",ROUNDUP('Monthly Lean'!I14,0),IF(Nonlabor!$I$23="Customers",'Monthly Lean'!D14,IF(Nonlabor!$I$23="NewCustomers",'Monthly Lean'!C14,IF(Nonlabor!$I$23="StorageGB",'Monthly Lean'!G14,IF(Nonlabor!$I$23="LogGB",'Monthly Lean'!H14,IF(Nonlabor!$I$23="RequestsM",'Monthly Lean'!F14,IF(Nonlabor!$I$23="InputM",'Monthly Lean'!D14*Assumptions!$C$22/1000000,IF(Nonlabor!$I$23="OutputM",'Monthly Lean'!D14*Assumptions!$C$23/1000000,0))))))))),0)</f>
        <v>0</v>
      </c>
      <c r="F1034" s="10" t="n">
        <f aca="false">Nonlabor!$J$23*(1+Assumptions!$C$9)^INT((C1034-1)/12)</f>
        <v>300</v>
      </c>
      <c r="G1034" s="10" t="n">
        <f aca="false">E1034*F1034</f>
        <v>0</v>
      </c>
      <c r="H1034" s="10" t="n">
        <f aca="false">IF(OR(Nonlabor!$L$23="Quote required",Nonlabor!$L$23="Unverified"),G1034,0)</f>
        <v>0</v>
      </c>
      <c r="I1034" s="10" t="n">
        <f aca="false">IF(Nonlabor!$E$23="Core",0,G1034)</f>
        <v>0</v>
      </c>
      <c r="J1034" s="23" t="str">
        <f aca="false">Nonlabor!$B$23</f>
        <v>ONBOARD</v>
      </c>
    </row>
    <row r="1035" customFormat="false" ht="15" hidden="false" customHeight="false" outlineLevel="0" collapsed="false">
      <c r="A1035" s="6" t="s">
        <v>72</v>
      </c>
      <c r="B1035" s="6" t="s">
        <v>57</v>
      </c>
      <c r="C1035" s="6" t="n">
        <v>10</v>
      </c>
      <c r="D1035" s="25" t="n">
        <f aca="false">EDATE('Start Here'!$B$6,C1035-1)</f>
        <v>46600</v>
      </c>
      <c r="E1035" s="11" t="n">
        <f aca="false">IF(AND(OR(Nonlabor!$D$23="Both",Nonlabor!$D$23='Start Here'!$B$9),IF(Nonlabor!$E$23="Core",1,IF(Nonlabor!$E$23="AI",'Start Here'!$B$7,'Start Here'!$B$8))=1,C1035&gt;=IF(Nonlabor!$E$23="Core",Nonlabor!$F$23,MAX(Nonlabor!$F$23,IF(Nonlabor!$E$23="AI",Assumptions!$C$24,Assumptions!$C$25))),C1035&lt;=Nonlabor!$G$23,OR(Nonlabor!$H$23="Monthly",AND(Nonlabor!$H$23="Once",C1035=IF(Nonlabor!$E$23="Core",Nonlabor!$F$23,MAX(Nonlabor!$F$23,IF(Nonlabor!$E$23="AI",Assumptions!$C$24,Assumptions!$C$25)))),AND(Nonlabor!$H$23="Annual",MOD(C1035-IF(Nonlabor!$E$23="Core",Nonlabor!$F$23,MAX(Nonlabor!$F$23,IF(Nonlabor!$E$23="AI",Assumptions!$C$24,Assumptions!$C$25))),12)=0))),IF(Nonlabor!$I$23="Fixed",1,IF(Nonlabor!$I$23="Seats",ROUNDUP('Monthly Lean'!I15,0),IF(Nonlabor!$I$23="Customers",'Monthly Lean'!D15,IF(Nonlabor!$I$23="NewCustomers",'Monthly Lean'!C15,IF(Nonlabor!$I$23="StorageGB",'Monthly Lean'!G15,IF(Nonlabor!$I$23="LogGB",'Monthly Lean'!H15,IF(Nonlabor!$I$23="RequestsM",'Monthly Lean'!F15,IF(Nonlabor!$I$23="InputM",'Monthly Lean'!D15*Assumptions!$C$22/1000000,IF(Nonlabor!$I$23="OutputM",'Monthly Lean'!D15*Assumptions!$C$23/1000000,0))))))))),0)</f>
        <v>0</v>
      </c>
      <c r="F1035" s="10" t="n">
        <f aca="false">Nonlabor!$J$23*(1+Assumptions!$C$9)^INT((C1035-1)/12)</f>
        <v>300</v>
      </c>
      <c r="G1035" s="10" t="n">
        <f aca="false">E1035*F1035</f>
        <v>0</v>
      </c>
      <c r="H1035" s="10" t="n">
        <f aca="false">IF(OR(Nonlabor!$L$23="Quote required",Nonlabor!$L$23="Unverified"),G1035,0)</f>
        <v>0</v>
      </c>
      <c r="I1035" s="10" t="n">
        <f aca="false">IF(Nonlabor!$E$23="Core",0,G1035)</f>
        <v>0</v>
      </c>
      <c r="J1035" s="23" t="str">
        <f aca="false">Nonlabor!$B$23</f>
        <v>ONBOARD</v>
      </c>
    </row>
    <row r="1036" customFormat="false" ht="15" hidden="false" customHeight="false" outlineLevel="0" collapsed="false">
      <c r="A1036" s="6" t="s">
        <v>72</v>
      </c>
      <c r="B1036" s="6" t="s">
        <v>57</v>
      </c>
      <c r="C1036" s="6" t="n">
        <v>11</v>
      </c>
      <c r="D1036" s="25" t="n">
        <f aca="false">EDATE('Start Here'!$B$6,C1036-1)</f>
        <v>46631</v>
      </c>
      <c r="E1036" s="11" t="n">
        <f aca="false">IF(AND(OR(Nonlabor!$D$23="Both",Nonlabor!$D$23='Start Here'!$B$9),IF(Nonlabor!$E$23="Core",1,IF(Nonlabor!$E$23="AI",'Start Here'!$B$7,'Start Here'!$B$8))=1,C1036&gt;=IF(Nonlabor!$E$23="Core",Nonlabor!$F$23,MAX(Nonlabor!$F$23,IF(Nonlabor!$E$23="AI",Assumptions!$C$24,Assumptions!$C$25))),C1036&lt;=Nonlabor!$G$23,OR(Nonlabor!$H$23="Monthly",AND(Nonlabor!$H$23="Once",C1036=IF(Nonlabor!$E$23="Core",Nonlabor!$F$23,MAX(Nonlabor!$F$23,IF(Nonlabor!$E$23="AI",Assumptions!$C$24,Assumptions!$C$25)))),AND(Nonlabor!$H$23="Annual",MOD(C1036-IF(Nonlabor!$E$23="Core",Nonlabor!$F$23,MAX(Nonlabor!$F$23,IF(Nonlabor!$E$23="AI",Assumptions!$C$24,Assumptions!$C$25))),12)=0))),IF(Nonlabor!$I$23="Fixed",1,IF(Nonlabor!$I$23="Seats",ROUNDUP('Monthly Lean'!I16,0),IF(Nonlabor!$I$23="Customers",'Monthly Lean'!D16,IF(Nonlabor!$I$23="NewCustomers",'Monthly Lean'!C16,IF(Nonlabor!$I$23="StorageGB",'Monthly Lean'!G16,IF(Nonlabor!$I$23="LogGB",'Monthly Lean'!H16,IF(Nonlabor!$I$23="RequestsM",'Monthly Lean'!F16,IF(Nonlabor!$I$23="InputM",'Monthly Lean'!D16*Assumptions!$C$22/1000000,IF(Nonlabor!$I$23="OutputM",'Monthly Lean'!D16*Assumptions!$C$23/1000000,0))))))))),0)</f>
        <v>0</v>
      </c>
      <c r="F1036" s="10" t="n">
        <f aca="false">Nonlabor!$J$23*(1+Assumptions!$C$9)^INT((C1036-1)/12)</f>
        <v>300</v>
      </c>
      <c r="G1036" s="10" t="n">
        <f aca="false">E1036*F1036</f>
        <v>0</v>
      </c>
      <c r="H1036" s="10" t="n">
        <f aca="false">IF(OR(Nonlabor!$L$23="Quote required",Nonlabor!$L$23="Unverified"),G1036,0)</f>
        <v>0</v>
      </c>
      <c r="I1036" s="10" t="n">
        <f aca="false">IF(Nonlabor!$E$23="Core",0,G1036)</f>
        <v>0</v>
      </c>
      <c r="J1036" s="23" t="str">
        <f aca="false">Nonlabor!$B$23</f>
        <v>ONBOARD</v>
      </c>
    </row>
    <row r="1037" customFormat="false" ht="15" hidden="false" customHeight="false" outlineLevel="0" collapsed="false">
      <c r="A1037" s="6" t="s">
        <v>72</v>
      </c>
      <c r="B1037" s="6" t="s">
        <v>57</v>
      </c>
      <c r="C1037" s="6" t="n">
        <v>12</v>
      </c>
      <c r="D1037" s="25" t="n">
        <f aca="false">EDATE('Start Here'!$B$6,C1037-1)</f>
        <v>46661</v>
      </c>
      <c r="E1037" s="11" t="n">
        <f aca="false">IF(AND(OR(Nonlabor!$D$23="Both",Nonlabor!$D$23='Start Here'!$B$9),IF(Nonlabor!$E$23="Core",1,IF(Nonlabor!$E$23="AI",'Start Here'!$B$7,'Start Here'!$B$8))=1,C1037&gt;=IF(Nonlabor!$E$23="Core",Nonlabor!$F$23,MAX(Nonlabor!$F$23,IF(Nonlabor!$E$23="AI",Assumptions!$C$24,Assumptions!$C$25))),C1037&lt;=Nonlabor!$G$23,OR(Nonlabor!$H$23="Monthly",AND(Nonlabor!$H$23="Once",C1037=IF(Nonlabor!$E$23="Core",Nonlabor!$F$23,MAX(Nonlabor!$F$23,IF(Nonlabor!$E$23="AI",Assumptions!$C$24,Assumptions!$C$25)))),AND(Nonlabor!$H$23="Annual",MOD(C1037-IF(Nonlabor!$E$23="Core",Nonlabor!$F$23,MAX(Nonlabor!$F$23,IF(Nonlabor!$E$23="AI",Assumptions!$C$24,Assumptions!$C$25))),12)=0))),IF(Nonlabor!$I$23="Fixed",1,IF(Nonlabor!$I$23="Seats",ROUNDUP('Monthly Lean'!I17,0),IF(Nonlabor!$I$23="Customers",'Monthly Lean'!D17,IF(Nonlabor!$I$23="NewCustomers",'Monthly Lean'!C17,IF(Nonlabor!$I$23="StorageGB",'Monthly Lean'!G17,IF(Nonlabor!$I$23="LogGB",'Monthly Lean'!H17,IF(Nonlabor!$I$23="RequestsM",'Monthly Lean'!F17,IF(Nonlabor!$I$23="InputM",'Monthly Lean'!D17*Assumptions!$C$22/1000000,IF(Nonlabor!$I$23="OutputM",'Monthly Lean'!D17*Assumptions!$C$23/1000000,0))))))))),0)</f>
        <v>0</v>
      </c>
      <c r="F1037" s="10" t="n">
        <f aca="false">Nonlabor!$J$23*(1+Assumptions!$C$9)^INT((C1037-1)/12)</f>
        <v>300</v>
      </c>
      <c r="G1037" s="10" t="n">
        <f aca="false">E1037*F1037</f>
        <v>0</v>
      </c>
      <c r="H1037" s="10" t="n">
        <f aca="false">IF(OR(Nonlabor!$L$23="Quote required",Nonlabor!$L$23="Unverified"),G1037,0)</f>
        <v>0</v>
      </c>
      <c r="I1037" s="10" t="n">
        <f aca="false">IF(Nonlabor!$E$23="Core",0,G1037)</f>
        <v>0</v>
      </c>
      <c r="J1037" s="23" t="str">
        <f aca="false">Nonlabor!$B$23</f>
        <v>ONBOARD</v>
      </c>
    </row>
    <row r="1038" customFormat="false" ht="15" hidden="false" customHeight="false" outlineLevel="0" collapsed="false">
      <c r="A1038" s="6" t="s">
        <v>72</v>
      </c>
      <c r="B1038" s="6" t="s">
        <v>57</v>
      </c>
      <c r="C1038" s="6" t="n">
        <v>13</v>
      </c>
      <c r="D1038" s="25" t="n">
        <f aca="false">EDATE('Start Here'!$B$6,C1038-1)</f>
        <v>46692</v>
      </c>
      <c r="E1038" s="11" t="n">
        <f aca="false">IF(AND(OR(Nonlabor!$D$23="Both",Nonlabor!$D$23='Start Here'!$B$9),IF(Nonlabor!$E$23="Core",1,IF(Nonlabor!$E$23="AI",'Start Here'!$B$7,'Start Here'!$B$8))=1,C1038&gt;=IF(Nonlabor!$E$23="Core",Nonlabor!$F$23,MAX(Nonlabor!$F$23,IF(Nonlabor!$E$23="AI",Assumptions!$C$24,Assumptions!$C$25))),C1038&lt;=Nonlabor!$G$23,OR(Nonlabor!$H$23="Monthly",AND(Nonlabor!$H$23="Once",C1038=IF(Nonlabor!$E$23="Core",Nonlabor!$F$23,MAX(Nonlabor!$F$23,IF(Nonlabor!$E$23="AI",Assumptions!$C$24,Assumptions!$C$25)))),AND(Nonlabor!$H$23="Annual",MOD(C1038-IF(Nonlabor!$E$23="Core",Nonlabor!$F$23,MAX(Nonlabor!$F$23,IF(Nonlabor!$E$23="AI",Assumptions!$C$24,Assumptions!$C$25))),12)=0))),IF(Nonlabor!$I$23="Fixed",1,IF(Nonlabor!$I$23="Seats",ROUNDUP('Monthly Lean'!I18,0),IF(Nonlabor!$I$23="Customers",'Monthly Lean'!D18,IF(Nonlabor!$I$23="NewCustomers",'Monthly Lean'!C18,IF(Nonlabor!$I$23="StorageGB",'Monthly Lean'!G18,IF(Nonlabor!$I$23="LogGB",'Monthly Lean'!H18,IF(Nonlabor!$I$23="RequestsM",'Monthly Lean'!F18,IF(Nonlabor!$I$23="InputM",'Monthly Lean'!D18*Assumptions!$C$22/1000000,IF(Nonlabor!$I$23="OutputM",'Monthly Lean'!D18*Assumptions!$C$23/1000000,0))))))))),0)</f>
        <v>0</v>
      </c>
      <c r="F1038" s="10" t="n">
        <f aca="false">Nonlabor!$J$23*(1+Assumptions!$C$9)^INT((C1038-1)/12)</f>
        <v>309</v>
      </c>
      <c r="G1038" s="10" t="n">
        <f aca="false">E1038*F1038</f>
        <v>0</v>
      </c>
      <c r="H1038" s="10" t="n">
        <f aca="false">IF(OR(Nonlabor!$L$23="Quote required",Nonlabor!$L$23="Unverified"),G1038,0)</f>
        <v>0</v>
      </c>
      <c r="I1038" s="10" t="n">
        <f aca="false">IF(Nonlabor!$E$23="Core",0,G1038)</f>
        <v>0</v>
      </c>
      <c r="J1038" s="23" t="str">
        <f aca="false">Nonlabor!$B$23</f>
        <v>ONBOARD</v>
      </c>
    </row>
    <row r="1039" customFormat="false" ht="15" hidden="false" customHeight="false" outlineLevel="0" collapsed="false">
      <c r="A1039" s="6" t="s">
        <v>72</v>
      </c>
      <c r="B1039" s="6" t="s">
        <v>57</v>
      </c>
      <c r="C1039" s="6" t="n">
        <v>14</v>
      </c>
      <c r="D1039" s="25" t="n">
        <f aca="false">EDATE('Start Here'!$B$6,C1039-1)</f>
        <v>46722</v>
      </c>
      <c r="E1039" s="11" t="n">
        <f aca="false">IF(AND(OR(Nonlabor!$D$23="Both",Nonlabor!$D$23='Start Here'!$B$9),IF(Nonlabor!$E$23="Core",1,IF(Nonlabor!$E$23="AI",'Start Here'!$B$7,'Start Here'!$B$8))=1,C1039&gt;=IF(Nonlabor!$E$23="Core",Nonlabor!$F$23,MAX(Nonlabor!$F$23,IF(Nonlabor!$E$23="AI",Assumptions!$C$24,Assumptions!$C$25))),C1039&lt;=Nonlabor!$G$23,OR(Nonlabor!$H$23="Monthly",AND(Nonlabor!$H$23="Once",C1039=IF(Nonlabor!$E$23="Core",Nonlabor!$F$23,MAX(Nonlabor!$F$23,IF(Nonlabor!$E$23="AI",Assumptions!$C$24,Assumptions!$C$25)))),AND(Nonlabor!$H$23="Annual",MOD(C1039-IF(Nonlabor!$E$23="Core",Nonlabor!$F$23,MAX(Nonlabor!$F$23,IF(Nonlabor!$E$23="AI",Assumptions!$C$24,Assumptions!$C$25))),12)=0))),IF(Nonlabor!$I$23="Fixed",1,IF(Nonlabor!$I$23="Seats",ROUNDUP('Monthly Lean'!I19,0),IF(Nonlabor!$I$23="Customers",'Monthly Lean'!D19,IF(Nonlabor!$I$23="NewCustomers",'Monthly Lean'!C19,IF(Nonlabor!$I$23="StorageGB",'Monthly Lean'!G19,IF(Nonlabor!$I$23="LogGB",'Monthly Lean'!H19,IF(Nonlabor!$I$23="RequestsM",'Monthly Lean'!F19,IF(Nonlabor!$I$23="InputM",'Monthly Lean'!D19*Assumptions!$C$22/1000000,IF(Nonlabor!$I$23="OutputM",'Monthly Lean'!D19*Assumptions!$C$23/1000000,0))))))))),0)</f>
        <v>0</v>
      </c>
      <c r="F1039" s="10" t="n">
        <f aca="false">Nonlabor!$J$23*(1+Assumptions!$C$9)^INT((C1039-1)/12)</f>
        <v>309</v>
      </c>
      <c r="G1039" s="10" t="n">
        <f aca="false">E1039*F1039</f>
        <v>0</v>
      </c>
      <c r="H1039" s="10" t="n">
        <f aca="false">IF(OR(Nonlabor!$L$23="Quote required",Nonlabor!$L$23="Unverified"),G1039,0)</f>
        <v>0</v>
      </c>
      <c r="I1039" s="10" t="n">
        <f aca="false">IF(Nonlabor!$E$23="Core",0,G1039)</f>
        <v>0</v>
      </c>
      <c r="J1039" s="23" t="str">
        <f aca="false">Nonlabor!$B$23</f>
        <v>ONBOARD</v>
      </c>
    </row>
    <row r="1040" customFormat="false" ht="15" hidden="false" customHeight="false" outlineLevel="0" collapsed="false">
      <c r="A1040" s="6" t="s">
        <v>72</v>
      </c>
      <c r="B1040" s="6" t="s">
        <v>57</v>
      </c>
      <c r="C1040" s="6" t="n">
        <v>15</v>
      </c>
      <c r="D1040" s="25" t="n">
        <f aca="false">EDATE('Start Here'!$B$6,C1040-1)</f>
        <v>46753</v>
      </c>
      <c r="E1040" s="11" t="n">
        <f aca="false">IF(AND(OR(Nonlabor!$D$23="Both",Nonlabor!$D$23='Start Here'!$B$9),IF(Nonlabor!$E$23="Core",1,IF(Nonlabor!$E$23="AI",'Start Here'!$B$7,'Start Here'!$B$8))=1,C1040&gt;=IF(Nonlabor!$E$23="Core",Nonlabor!$F$23,MAX(Nonlabor!$F$23,IF(Nonlabor!$E$23="AI",Assumptions!$C$24,Assumptions!$C$25))),C1040&lt;=Nonlabor!$G$23,OR(Nonlabor!$H$23="Monthly",AND(Nonlabor!$H$23="Once",C1040=IF(Nonlabor!$E$23="Core",Nonlabor!$F$23,MAX(Nonlabor!$F$23,IF(Nonlabor!$E$23="AI",Assumptions!$C$24,Assumptions!$C$25)))),AND(Nonlabor!$H$23="Annual",MOD(C1040-IF(Nonlabor!$E$23="Core",Nonlabor!$F$23,MAX(Nonlabor!$F$23,IF(Nonlabor!$E$23="AI",Assumptions!$C$24,Assumptions!$C$25))),12)=0))),IF(Nonlabor!$I$23="Fixed",1,IF(Nonlabor!$I$23="Seats",ROUNDUP('Monthly Lean'!I20,0),IF(Nonlabor!$I$23="Customers",'Monthly Lean'!D20,IF(Nonlabor!$I$23="NewCustomers",'Monthly Lean'!C20,IF(Nonlabor!$I$23="StorageGB",'Monthly Lean'!G20,IF(Nonlabor!$I$23="LogGB",'Monthly Lean'!H20,IF(Nonlabor!$I$23="RequestsM",'Monthly Lean'!F20,IF(Nonlabor!$I$23="InputM",'Monthly Lean'!D20*Assumptions!$C$22/1000000,IF(Nonlabor!$I$23="OutputM",'Monthly Lean'!D20*Assumptions!$C$23/1000000,0))))))))),0)</f>
        <v>0</v>
      </c>
      <c r="F1040" s="10" t="n">
        <f aca="false">Nonlabor!$J$23*(1+Assumptions!$C$9)^INT((C1040-1)/12)</f>
        <v>309</v>
      </c>
      <c r="G1040" s="10" t="n">
        <f aca="false">E1040*F1040</f>
        <v>0</v>
      </c>
      <c r="H1040" s="10" t="n">
        <f aca="false">IF(OR(Nonlabor!$L$23="Quote required",Nonlabor!$L$23="Unverified"),G1040,0)</f>
        <v>0</v>
      </c>
      <c r="I1040" s="10" t="n">
        <f aca="false">IF(Nonlabor!$E$23="Core",0,G1040)</f>
        <v>0</v>
      </c>
      <c r="J1040" s="23" t="str">
        <f aca="false">Nonlabor!$B$23</f>
        <v>ONBOARD</v>
      </c>
    </row>
    <row r="1041" customFormat="false" ht="15" hidden="false" customHeight="false" outlineLevel="0" collapsed="false">
      <c r="A1041" s="6" t="s">
        <v>72</v>
      </c>
      <c r="B1041" s="6" t="s">
        <v>57</v>
      </c>
      <c r="C1041" s="6" t="n">
        <v>16</v>
      </c>
      <c r="D1041" s="25" t="n">
        <f aca="false">EDATE('Start Here'!$B$6,C1041-1)</f>
        <v>46784</v>
      </c>
      <c r="E1041" s="11" t="n">
        <f aca="false">IF(AND(OR(Nonlabor!$D$23="Both",Nonlabor!$D$23='Start Here'!$B$9),IF(Nonlabor!$E$23="Core",1,IF(Nonlabor!$E$23="AI",'Start Here'!$B$7,'Start Here'!$B$8))=1,C1041&gt;=IF(Nonlabor!$E$23="Core",Nonlabor!$F$23,MAX(Nonlabor!$F$23,IF(Nonlabor!$E$23="AI",Assumptions!$C$24,Assumptions!$C$25))),C1041&lt;=Nonlabor!$G$23,OR(Nonlabor!$H$23="Monthly",AND(Nonlabor!$H$23="Once",C1041=IF(Nonlabor!$E$23="Core",Nonlabor!$F$23,MAX(Nonlabor!$F$23,IF(Nonlabor!$E$23="AI",Assumptions!$C$24,Assumptions!$C$25)))),AND(Nonlabor!$H$23="Annual",MOD(C1041-IF(Nonlabor!$E$23="Core",Nonlabor!$F$23,MAX(Nonlabor!$F$23,IF(Nonlabor!$E$23="AI",Assumptions!$C$24,Assumptions!$C$25))),12)=0))),IF(Nonlabor!$I$23="Fixed",1,IF(Nonlabor!$I$23="Seats",ROUNDUP('Monthly Lean'!I21,0),IF(Nonlabor!$I$23="Customers",'Monthly Lean'!D21,IF(Nonlabor!$I$23="NewCustomers",'Monthly Lean'!C21,IF(Nonlabor!$I$23="StorageGB",'Monthly Lean'!G21,IF(Nonlabor!$I$23="LogGB",'Monthly Lean'!H21,IF(Nonlabor!$I$23="RequestsM",'Monthly Lean'!F21,IF(Nonlabor!$I$23="InputM",'Monthly Lean'!D21*Assumptions!$C$22/1000000,IF(Nonlabor!$I$23="OutputM",'Monthly Lean'!D21*Assumptions!$C$23/1000000,0))))))))),0)</f>
        <v>0.5</v>
      </c>
      <c r="F1041" s="10" t="n">
        <f aca="false">Nonlabor!$J$23*(1+Assumptions!$C$9)^INT((C1041-1)/12)</f>
        <v>309</v>
      </c>
      <c r="G1041" s="10" t="n">
        <f aca="false">E1041*F1041</f>
        <v>154.5</v>
      </c>
      <c r="H1041" s="10" t="n">
        <f aca="false">IF(OR(Nonlabor!$L$23="Quote required",Nonlabor!$L$23="Unverified"),G1041,0)</f>
        <v>0</v>
      </c>
      <c r="I1041" s="10" t="n">
        <f aca="false">IF(Nonlabor!$E$23="Core",0,G1041)</f>
        <v>0</v>
      </c>
      <c r="J1041" s="23" t="str">
        <f aca="false">Nonlabor!$B$23</f>
        <v>ONBOARD</v>
      </c>
    </row>
    <row r="1042" customFormat="false" ht="15" hidden="false" customHeight="false" outlineLevel="0" collapsed="false">
      <c r="A1042" s="6" t="s">
        <v>72</v>
      </c>
      <c r="B1042" s="6" t="s">
        <v>57</v>
      </c>
      <c r="C1042" s="6" t="n">
        <v>17</v>
      </c>
      <c r="D1042" s="25" t="n">
        <f aca="false">EDATE('Start Here'!$B$6,C1042-1)</f>
        <v>46813</v>
      </c>
      <c r="E1042" s="11" t="n">
        <f aca="false">IF(AND(OR(Nonlabor!$D$23="Both",Nonlabor!$D$23='Start Here'!$B$9),IF(Nonlabor!$E$23="Core",1,IF(Nonlabor!$E$23="AI",'Start Here'!$B$7,'Start Here'!$B$8))=1,C1042&gt;=IF(Nonlabor!$E$23="Core",Nonlabor!$F$23,MAX(Nonlabor!$F$23,IF(Nonlabor!$E$23="AI",Assumptions!$C$24,Assumptions!$C$25))),C1042&lt;=Nonlabor!$G$23,OR(Nonlabor!$H$23="Monthly",AND(Nonlabor!$H$23="Once",C1042=IF(Nonlabor!$E$23="Core",Nonlabor!$F$23,MAX(Nonlabor!$F$23,IF(Nonlabor!$E$23="AI",Assumptions!$C$24,Assumptions!$C$25)))),AND(Nonlabor!$H$23="Annual",MOD(C1042-IF(Nonlabor!$E$23="Core",Nonlabor!$F$23,MAX(Nonlabor!$F$23,IF(Nonlabor!$E$23="AI",Assumptions!$C$24,Assumptions!$C$25))),12)=0))),IF(Nonlabor!$I$23="Fixed",1,IF(Nonlabor!$I$23="Seats",ROUNDUP('Monthly Lean'!I22,0),IF(Nonlabor!$I$23="Customers",'Monthly Lean'!D22,IF(Nonlabor!$I$23="NewCustomers",'Monthly Lean'!C22,IF(Nonlabor!$I$23="StorageGB",'Monthly Lean'!G22,IF(Nonlabor!$I$23="LogGB",'Monthly Lean'!H22,IF(Nonlabor!$I$23="RequestsM",'Monthly Lean'!F22,IF(Nonlabor!$I$23="InputM",'Monthly Lean'!D22*Assumptions!$C$22/1000000,IF(Nonlabor!$I$23="OutputM",'Monthly Lean'!D22*Assumptions!$C$23/1000000,0))))))))),0)</f>
        <v>0.5</v>
      </c>
      <c r="F1042" s="10" t="n">
        <f aca="false">Nonlabor!$J$23*(1+Assumptions!$C$9)^INT((C1042-1)/12)</f>
        <v>309</v>
      </c>
      <c r="G1042" s="10" t="n">
        <f aca="false">E1042*F1042</f>
        <v>154.5</v>
      </c>
      <c r="H1042" s="10" t="n">
        <f aca="false">IF(OR(Nonlabor!$L$23="Quote required",Nonlabor!$L$23="Unverified"),G1042,0)</f>
        <v>0</v>
      </c>
      <c r="I1042" s="10" t="n">
        <f aca="false">IF(Nonlabor!$E$23="Core",0,G1042)</f>
        <v>0</v>
      </c>
      <c r="J1042" s="23" t="str">
        <f aca="false">Nonlabor!$B$23</f>
        <v>ONBOARD</v>
      </c>
    </row>
    <row r="1043" customFormat="false" ht="15" hidden="false" customHeight="false" outlineLevel="0" collapsed="false">
      <c r="A1043" s="6" t="s">
        <v>72</v>
      </c>
      <c r="B1043" s="6" t="s">
        <v>57</v>
      </c>
      <c r="C1043" s="6" t="n">
        <v>18</v>
      </c>
      <c r="D1043" s="25" t="n">
        <f aca="false">EDATE('Start Here'!$B$6,C1043-1)</f>
        <v>46844</v>
      </c>
      <c r="E1043" s="11" t="n">
        <f aca="false">IF(AND(OR(Nonlabor!$D$23="Both",Nonlabor!$D$23='Start Here'!$B$9),IF(Nonlabor!$E$23="Core",1,IF(Nonlabor!$E$23="AI",'Start Here'!$B$7,'Start Here'!$B$8))=1,C1043&gt;=IF(Nonlabor!$E$23="Core",Nonlabor!$F$23,MAX(Nonlabor!$F$23,IF(Nonlabor!$E$23="AI",Assumptions!$C$24,Assumptions!$C$25))),C1043&lt;=Nonlabor!$G$23,OR(Nonlabor!$H$23="Monthly",AND(Nonlabor!$H$23="Once",C1043=IF(Nonlabor!$E$23="Core",Nonlabor!$F$23,MAX(Nonlabor!$F$23,IF(Nonlabor!$E$23="AI",Assumptions!$C$24,Assumptions!$C$25)))),AND(Nonlabor!$H$23="Annual",MOD(C1043-IF(Nonlabor!$E$23="Core",Nonlabor!$F$23,MAX(Nonlabor!$F$23,IF(Nonlabor!$E$23="AI",Assumptions!$C$24,Assumptions!$C$25))),12)=0))),IF(Nonlabor!$I$23="Fixed",1,IF(Nonlabor!$I$23="Seats",ROUNDUP('Monthly Lean'!I23,0),IF(Nonlabor!$I$23="Customers",'Monthly Lean'!D23,IF(Nonlabor!$I$23="NewCustomers",'Monthly Lean'!C23,IF(Nonlabor!$I$23="StorageGB",'Monthly Lean'!G23,IF(Nonlabor!$I$23="LogGB",'Monthly Lean'!H23,IF(Nonlabor!$I$23="RequestsM",'Monthly Lean'!F23,IF(Nonlabor!$I$23="InputM",'Monthly Lean'!D23*Assumptions!$C$22/1000000,IF(Nonlabor!$I$23="OutputM",'Monthly Lean'!D23*Assumptions!$C$23/1000000,0))))))))),0)</f>
        <v>0.5</v>
      </c>
      <c r="F1043" s="10" t="n">
        <f aca="false">Nonlabor!$J$23*(1+Assumptions!$C$9)^INT((C1043-1)/12)</f>
        <v>309</v>
      </c>
      <c r="G1043" s="10" t="n">
        <f aca="false">E1043*F1043</f>
        <v>154.5</v>
      </c>
      <c r="H1043" s="10" t="n">
        <f aca="false">IF(OR(Nonlabor!$L$23="Quote required",Nonlabor!$L$23="Unverified"),G1043,0)</f>
        <v>0</v>
      </c>
      <c r="I1043" s="10" t="n">
        <f aca="false">IF(Nonlabor!$E$23="Core",0,G1043)</f>
        <v>0</v>
      </c>
      <c r="J1043" s="23" t="str">
        <f aca="false">Nonlabor!$B$23</f>
        <v>ONBOARD</v>
      </c>
    </row>
    <row r="1044" customFormat="false" ht="15" hidden="false" customHeight="false" outlineLevel="0" collapsed="false">
      <c r="A1044" s="6" t="s">
        <v>72</v>
      </c>
      <c r="B1044" s="6" t="s">
        <v>57</v>
      </c>
      <c r="C1044" s="6" t="n">
        <v>19</v>
      </c>
      <c r="D1044" s="25" t="n">
        <f aca="false">EDATE('Start Here'!$B$6,C1044-1)</f>
        <v>46874</v>
      </c>
      <c r="E1044" s="11" t="n">
        <f aca="false">IF(AND(OR(Nonlabor!$D$23="Both",Nonlabor!$D$23='Start Here'!$B$9),IF(Nonlabor!$E$23="Core",1,IF(Nonlabor!$E$23="AI",'Start Here'!$B$7,'Start Here'!$B$8))=1,C1044&gt;=IF(Nonlabor!$E$23="Core",Nonlabor!$F$23,MAX(Nonlabor!$F$23,IF(Nonlabor!$E$23="AI",Assumptions!$C$24,Assumptions!$C$25))),C1044&lt;=Nonlabor!$G$23,OR(Nonlabor!$H$23="Monthly",AND(Nonlabor!$H$23="Once",C1044=IF(Nonlabor!$E$23="Core",Nonlabor!$F$23,MAX(Nonlabor!$F$23,IF(Nonlabor!$E$23="AI",Assumptions!$C$24,Assumptions!$C$25)))),AND(Nonlabor!$H$23="Annual",MOD(C1044-IF(Nonlabor!$E$23="Core",Nonlabor!$F$23,MAX(Nonlabor!$F$23,IF(Nonlabor!$E$23="AI",Assumptions!$C$24,Assumptions!$C$25))),12)=0))),IF(Nonlabor!$I$23="Fixed",1,IF(Nonlabor!$I$23="Seats",ROUNDUP('Monthly Lean'!I24,0),IF(Nonlabor!$I$23="Customers",'Monthly Lean'!D24,IF(Nonlabor!$I$23="NewCustomers",'Monthly Lean'!C24,IF(Nonlabor!$I$23="StorageGB",'Monthly Lean'!G24,IF(Nonlabor!$I$23="LogGB",'Monthly Lean'!H24,IF(Nonlabor!$I$23="RequestsM",'Monthly Lean'!F24,IF(Nonlabor!$I$23="InputM",'Monthly Lean'!D24*Assumptions!$C$22/1000000,IF(Nonlabor!$I$23="OutputM",'Monthly Lean'!D24*Assumptions!$C$23/1000000,0))))))))),0)</f>
        <v>0.5</v>
      </c>
      <c r="F1044" s="10" t="n">
        <f aca="false">Nonlabor!$J$23*(1+Assumptions!$C$9)^INT((C1044-1)/12)</f>
        <v>309</v>
      </c>
      <c r="G1044" s="10" t="n">
        <f aca="false">E1044*F1044</f>
        <v>154.5</v>
      </c>
      <c r="H1044" s="10" t="n">
        <f aca="false">IF(OR(Nonlabor!$L$23="Quote required",Nonlabor!$L$23="Unverified"),G1044,0)</f>
        <v>0</v>
      </c>
      <c r="I1044" s="10" t="n">
        <f aca="false">IF(Nonlabor!$E$23="Core",0,G1044)</f>
        <v>0</v>
      </c>
      <c r="J1044" s="23" t="str">
        <f aca="false">Nonlabor!$B$23</f>
        <v>ONBOARD</v>
      </c>
    </row>
    <row r="1045" customFormat="false" ht="15" hidden="false" customHeight="false" outlineLevel="0" collapsed="false">
      <c r="A1045" s="6" t="s">
        <v>72</v>
      </c>
      <c r="B1045" s="6" t="s">
        <v>57</v>
      </c>
      <c r="C1045" s="6" t="n">
        <v>20</v>
      </c>
      <c r="D1045" s="25" t="n">
        <f aca="false">EDATE('Start Here'!$B$6,C1045-1)</f>
        <v>46905</v>
      </c>
      <c r="E1045" s="11" t="n">
        <f aca="false">IF(AND(OR(Nonlabor!$D$23="Both",Nonlabor!$D$23='Start Here'!$B$9),IF(Nonlabor!$E$23="Core",1,IF(Nonlabor!$E$23="AI",'Start Here'!$B$7,'Start Here'!$B$8))=1,C1045&gt;=IF(Nonlabor!$E$23="Core",Nonlabor!$F$23,MAX(Nonlabor!$F$23,IF(Nonlabor!$E$23="AI",Assumptions!$C$24,Assumptions!$C$25))),C1045&lt;=Nonlabor!$G$23,OR(Nonlabor!$H$23="Monthly",AND(Nonlabor!$H$23="Once",C1045=IF(Nonlabor!$E$23="Core",Nonlabor!$F$23,MAX(Nonlabor!$F$23,IF(Nonlabor!$E$23="AI",Assumptions!$C$24,Assumptions!$C$25)))),AND(Nonlabor!$H$23="Annual",MOD(C1045-IF(Nonlabor!$E$23="Core",Nonlabor!$F$23,MAX(Nonlabor!$F$23,IF(Nonlabor!$E$23="AI",Assumptions!$C$24,Assumptions!$C$25))),12)=0))),IF(Nonlabor!$I$23="Fixed",1,IF(Nonlabor!$I$23="Seats",ROUNDUP('Monthly Lean'!I25,0),IF(Nonlabor!$I$23="Customers",'Monthly Lean'!D25,IF(Nonlabor!$I$23="NewCustomers",'Monthly Lean'!C25,IF(Nonlabor!$I$23="StorageGB",'Monthly Lean'!G25,IF(Nonlabor!$I$23="LogGB",'Monthly Lean'!H25,IF(Nonlabor!$I$23="RequestsM",'Monthly Lean'!F25,IF(Nonlabor!$I$23="InputM",'Monthly Lean'!D25*Assumptions!$C$22/1000000,IF(Nonlabor!$I$23="OutputM",'Monthly Lean'!D25*Assumptions!$C$23/1000000,0))))))))),0)</f>
        <v>0.5</v>
      </c>
      <c r="F1045" s="10" t="n">
        <f aca="false">Nonlabor!$J$23*(1+Assumptions!$C$9)^INT((C1045-1)/12)</f>
        <v>309</v>
      </c>
      <c r="G1045" s="10" t="n">
        <f aca="false">E1045*F1045</f>
        <v>154.5</v>
      </c>
      <c r="H1045" s="10" t="n">
        <f aca="false">IF(OR(Nonlabor!$L$23="Quote required",Nonlabor!$L$23="Unverified"),G1045,0)</f>
        <v>0</v>
      </c>
      <c r="I1045" s="10" t="n">
        <f aca="false">IF(Nonlabor!$E$23="Core",0,G1045)</f>
        <v>0</v>
      </c>
      <c r="J1045" s="23" t="str">
        <f aca="false">Nonlabor!$B$23</f>
        <v>ONBOARD</v>
      </c>
    </row>
    <row r="1046" customFormat="false" ht="15" hidden="false" customHeight="false" outlineLevel="0" collapsed="false">
      <c r="A1046" s="6" t="s">
        <v>72</v>
      </c>
      <c r="B1046" s="6" t="s">
        <v>57</v>
      </c>
      <c r="C1046" s="6" t="n">
        <v>21</v>
      </c>
      <c r="D1046" s="25" t="n">
        <f aca="false">EDATE('Start Here'!$B$6,C1046-1)</f>
        <v>46935</v>
      </c>
      <c r="E1046" s="11" t="n">
        <f aca="false">IF(AND(OR(Nonlabor!$D$23="Both",Nonlabor!$D$23='Start Here'!$B$9),IF(Nonlabor!$E$23="Core",1,IF(Nonlabor!$E$23="AI",'Start Here'!$B$7,'Start Here'!$B$8))=1,C1046&gt;=IF(Nonlabor!$E$23="Core",Nonlabor!$F$23,MAX(Nonlabor!$F$23,IF(Nonlabor!$E$23="AI",Assumptions!$C$24,Assumptions!$C$25))),C1046&lt;=Nonlabor!$G$23,OR(Nonlabor!$H$23="Monthly",AND(Nonlabor!$H$23="Once",C1046=IF(Nonlabor!$E$23="Core",Nonlabor!$F$23,MAX(Nonlabor!$F$23,IF(Nonlabor!$E$23="AI",Assumptions!$C$24,Assumptions!$C$25)))),AND(Nonlabor!$H$23="Annual",MOD(C1046-IF(Nonlabor!$E$23="Core",Nonlabor!$F$23,MAX(Nonlabor!$F$23,IF(Nonlabor!$E$23="AI",Assumptions!$C$24,Assumptions!$C$25))),12)=0))),IF(Nonlabor!$I$23="Fixed",1,IF(Nonlabor!$I$23="Seats",ROUNDUP('Monthly Lean'!I26,0),IF(Nonlabor!$I$23="Customers",'Monthly Lean'!D26,IF(Nonlabor!$I$23="NewCustomers",'Monthly Lean'!C26,IF(Nonlabor!$I$23="StorageGB",'Monthly Lean'!G26,IF(Nonlabor!$I$23="LogGB",'Monthly Lean'!H26,IF(Nonlabor!$I$23="RequestsM",'Monthly Lean'!F26,IF(Nonlabor!$I$23="InputM",'Monthly Lean'!D26*Assumptions!$C$22/1000000,IF(Nonlabor!$I$23="OutputM",'Monthly Lean'!D26*Assumptions!$C$23/1000000,0))))))))),0)</f>
        <v>0.5</v>
      </c>
      <c r="F1046" s="10" t="n">
        <f aca="false">Nonlabor!$J$23*(1+Assumptions!$C$9)^INT((C1046-1)/12)</f>
        <v>309</v>
      </c>
      <c r="G1046" s="10" t="n">
        <f aca="false">E1046*F1046</f>
        <v>154.5</v>
      </c>
      <c r="H1046" s="10" t="n">
        <f aca="false">IF(OR(Nonlabor!$L$23="Quote required",Nonlabor!$L$23="Unverified"),G1046,0)</f>
        <v>0</v>
      </c>
      <c r="I1046" s="10" t="n">
        <f aca="false">IF(Nonlabor!$E$23="Core",0,G1046)</f>
        <v>0</v>
      </c>
      <c r="J1046" s="23" t="str">
        <f aca="false">Nonlabor!$B$23</f>
        <v>ONBOARD</v>
      </c>
    </row>
    <row r="1047" customFormat="false" ht="15" hidden="false" customHeight="false" outlineLevel="0" collapsed="false">
      <c r="A1047" s="6" t="s">
        <v>72</v>
      </c>
      <c r="B1047" s="6" t="s">
        <v>57</v>
      </c>
      <c r="C1047" s="6" t="n">
        <v>22</v>
      </c>
      <c r="D1047" s="25" t="n">
        <f aca="false">EDATE('Start Here'!$B$6,C1047-1)</f>
        <v>46966</v>
      </c>
      <c r="E1047" s="11" t="n">
        <f aca="false">IF(AND(OR(Nonlabor!$D$23="Both",Nonlabor!$D$23='Start Here'!$B$9),IF(Nonlabor!$E$23="Core",1,IF(Nonlabor!$E$23="AI",'Start Here'!$B$7,'Start Here'!$B$8))=1,C1047&gt;=IF(Nonlabor!$E$23="Core",Nonlabor!$F$23,MAX(Nonlabor!$F$23,IF(Nonlabor!$E$23="AI",Assumptions!$C$24,Assumptions!$C$25))),C1047&lt;=Nonlabor!$G$23,OR(Nonlabor!$H$23="Monthly",AND(Nonlabor!$H$23="Once",C1047=IF(Nonlabor!$E$23="Core",Nonlabor!$F$23,MAX(Nonlabor!$F$23,IF(Nonlabor!$E$23="AI",Assumptions!$C$24,Assumptions!$C$25)))),AND(Nonlabor!$H$23="Annual",MOD(C1047-IF(Nonlabor!$E$23="Core",Nonlabor!$F$23,MAX(Nonlabor!$F$23,IF(Nonlabor!$E$23="AI",Assumptions!$C$24,Assumptions!$C$25))),12)=0))),IF(Nonlabor!$I$23="Fixed",1,IF(Nonlabor!$I$23="Seats",ROUNDUP('Monthly Lean'!I27,0),IF(Nonlabor!$I$23="Customers",'Monthly Lean'!D27,IF(Nonlabor!$I$23="NewCustomers",'Monthly Lean'!C27,IF(Nonlabor!$I$23="StorageGB",'Monthly Lean'!G27,IF(Nonlabor!$I$23="LogGB",'Monthly Lean'!H27,IF(Nonlabor!$I$23="RequestsM",'Monthly Lean'!F27,IF(Nonlabor!$I$23="InputM",'Monthly Lean'!D27*Assumptions!$C$22/1000000,IF(Nonlabor!$I$23="OutputM",'Monthly Lean'!D27*Assumptions!$C$23/1000000,0))))))))),0)</f>
        <v>0.5</v>
      </c>
      <c r="F1047" s="10" t="n">
        <f aca="false">Nonlabor!$J$23*(1+Assumptions!$C$9)^INT((C1047-1)/12)</f>
        <v>309</v>
      </c>
      <c r="G1047" s="10" t="n">
        <f aca="false">E1047*F1047</f>
        <v>154.5</v>
      </c>
      <c r="H1047" s="10" t="n">
        <f aca="false">IF(OR(Nonlabor!$L$23="Quote required",Nonlabor!$L$23="Unverified"),G1047,0)</f>
        <v>0</v>
      </c>
      <c r="I1047" s="10" t="n">
        <f aca="false">IF(Nonlabor!$E$23="Core",0,G1047)</f>
        <v>0</v>
      </c>
      <c r="J1047" s="23" t="str">
        <f aca="false">Nonlabor!$B$23</f>
        <v>ONBOARD</v>
      </c>
    </row>
    <row r="1048" customFormat="false" ht="15" hidden="false" customHeight="false" outlineLevel="0" collapsed="false">
      <c r="A1048" s="6" t="s">
        <v>72</v>
      </c>
      <c r="B1048" s="6" t="s">
        <v>57</v>
      </c>
      <c r="C1048" s="6" t="n">
        <v>23</v>
      </c>
      <c r="D1048" s="25" t="n">
        <f aca="false">EDATE('Start Here'!$B$6,C1048-1)</f>
        <v>46997</v>
      </c>
      <c r="E1048" s="11" t="n">
        <f aca="false">IF(AND(OR(Nonlabor!$D$23="Both",Nonlabor!$D$23='Start Here'!$B$9),IF(Nonlabor!$E$23="Core",1,IF(Nonlabor!$E$23="AI",'Start Here'!$B$7,'Start Here'!$B$8))=1,C1048&gt;=IF(Nonlabor!$E$23="Core",Nonlabor!$F$23,MAX(Nonlabor!$F$23,IF(Nonlabor!$E$23="AI",Assumptions!$C$24,Assumptions!$C$25))),C1048&lt;=Nonlabor!$G$23,OR(Nonlabor!$H$23="Monthly",AND(Nonlabor!$H$23="Once",C1048=IF(Nonlabor!$E$23="Core",Nonlabor!$F$23,MAX(Nonlabor!$F$23,IF(Nonlabor!$E$23="AI",Assumptions!$C$24,Assumptions!$C$25)))),AND(Nonlabor!$H$23="Annual",MOD(C1048-IF(Nonlabor!$E$23="Core",Nonlabor!$F$23,MAX(Nonlabor!$F$23,IF(Nonlabor!$E$23="AI",Assumptions!$C$24,Assumptions!$C$25))),12)=0))),IF(Nonlabor!$I$23="Fixed",1,IF(Nonlabor!$I$23="Seats",ROUNDUP('Monthly Lean'!I28,0),IF(Nonlabor!$I$23="Customers",'Monthly Lean'!D28,IF(Nonlabor!$I$23="NewCustomers",'Monthly Lean'!C28,IF(Nonlabor!$I$23="StorageGB",'Monthly Lean'!G28,IF(Nonlabor!$I$23="LogGB",'Monthly Lean'!H28,IF(Nonlabor!$I$23="RequestsM",'Monthly Lean'!F28,IF(Nonlabor!$I$23="InputM",'Monthly Lean'!D28*Assumptions!$C$22/1000000,IF(Nonlabor!$I$23="OutputM",'Monthly Lean'!D28*Assumptions!$C$23/1000000,0))))))))),0)</f>
        <v>0.5</v>
      </c>
      <c r="F1048" s="10" t="n">
        <f aca="false">Nonlabor!$J$23*(1+Assumptions!$C$9)^INT((C1048-1)/12)</f>
        <v>309</v>
      </c>
      <c r="G1048" s="10" t="n">
        <f aca="false">E1048*F1048</f>
        <v>154.5</v>
      </c>
      <c r="H1048" s="10" t="n">
        <f aca="false">IF(OR(Nonlabor!$L$23="Quote required",Nonlabor!$L$23="Unverified"),G1048,0)</f>
        <v>0</v>
      </c>
      <c r="I1048" s="10" t="n">
        <f aca="false">IF(Nonlabor!$E$23="Core",0,G1048)</f>
        <v>0</v>
      </c>
      <c r="J1048" s="23" t="str">
        <f aca="false">Nonlabor!$B$23</f>
        <v>ONBOARD</v>
      </c>
    </row>
    <row r="1049" customFormat="false" ht="15" hidden="false" customHeight="false" outlineLevel="0" collapsed="false">
      <c r="A1049" s="6" t="s">
        <v>72</v>
      </c>
      <c r="B1049" s="6" t="s">
        <v>57</v>
      </c>
      <c r="C1049" s="6" t="n">
        <v>24</v>
      </c>
      <c r="D1049" s="25" t="n">
        <f aca="false">EDATE('Start Here'!$B$6,C1049-1)</f>
        <v>47027</v>
      </c>
      <c r="E1049" s="11" t="n">
        <f aca="false">IF(AND(OR(Nonlabor!$D$23="Both",Nonlabor!$D$23='Start Here'!$B$9),IF(Nonlabor!$E$23="Core",1,IF(Nonlabor!$E$23="AI",'Start Here'!$B$7,'Start Here'!$B$8))=1,C1049&gt;=IF(Nonlabor!$E$23="Core",Nonlabor!$F$23,MAX(Nonlabor!$F$23,IF(Nonlabor!$E$23="AI",Assumptions!$C$24,Assumptions!$C$25))),C1049&lt;=Nonlabor!$G$23,OR(Nonlabor!$H$23="Monthly",AND(Nonlabor!$H$23="Once",C1049=IF(Nonlabor!$E$23="Core",Nonlabor!$F$23,MAX(Nonlabor!$F$23,IF(Nonlabor!$E$23="AI",Assumptions!$C$24,Assumptions!$C$25)))),AND(Nonlabor!$H$23="Annual",MOD(C1049-IF(Nonlabor!$E$23="Core",Nonlabor!$F$23,MAX(Nonlabor!$F$23,IF(Nonlabor!$E$23="AI",Assumptions!$C$24,Assumptions!$C$25))),12)=0))),IF(Nonlabor!$I$23="Fixed",1,IF(Nonlabor!$I$23="Seats",ROUNDUP('Monthly Lean'!I29,0),IF(Nonlabor!$I$23="Customers",'Monthly Lean'!D29,IF(Nonlabor!$I$23="NewCustomers",'Monthly Lean'!C29,IF(Nonlabor!$I$23="StorageGB",'Monthly Lean'!G29,IF(Nonlabor!$I$23="LogGB",'Monthly Lean'!H29,IF(Nonlabor!$I$23="RequestsM",'Monthly Lean'!F29,IF(Nonlabor!$I$23="InputM",'Monthly Lean'!D29*Assumptions!$C$22/1000000,IF(Nonlabor!$I$23="OutputM",'Monthly Lean'!D29*Assumptions!$C$23/1000000,0))))))))),0)</f>
        <v>0.5</v>
      </c>
      <c r="F1049" s="10" t="n">
        <f aca="false">Nonlabor!$J$23*(1+Assumptions!$C$9)^INT((C1049-1)/12)</f>
        <v>309</v>
      </c>
      <c r="G1049" s="10" t="n">
        <f aca="false">E1049*F1049</f>
        <v>154.5</v>
      </c>
      <c r="H1049" s="10" t="n">
        <f aca="false">IF(OR(Nonlabor!$L$23="Quote required",Nonlabor!$L$23="Unverified"),G1049,0)</f>
        <v>0</v>
      </c>
      <c r="I1049" s="10" t="n">
        <f aca="false">IF(Nonlabor!$E$23="Core",0,G1049)</f>
        <v>0</v>
      </c>
      <c r="J1049" s="23" t="str">
        <f aca="false">Nonlabor!$B$23</f>
        <v>ONBOARD</v>
      </c>
    </row>
    <row r="1050" customFormat="false" ht="15" hidden="false" customHeight="false" outlineLevel="0" collapsed="false">
      <c r="A1050" s="6" t="s">
        <v>72</v>
      </c>
      <c r="B1050" s="6" t="s">
        <v>57</v>
      </c>
      <c r="C1050" s="6" t="n">
        <v>25</v>
      </c>
      <c r="D1050" s="25" t="n">
        <f aca="false">EDATE('Start Here'!$B$6,C1050-1)</f>
        <v>47058</v>
      </c>
      <c r="E1050" s="11" t="n">
        <f aca="false">IF(AND(OR(Nonlabor!$D$23="Both",Nonlabor!$D$23='Start Here'!$B$9),IF(Nonlabor!$E$23="Core",1,IF(Nonlabor!$E$23="AI",'Start Here'!$B$7,'Start Here'!$B$8))=1,C1050&gt;=IF(Nonlabor!$E$23="Core",Nonlabor!$F$23,MAX(Nonlabor!$F$23,IF(Nonlabor!$E$23="AI",Assumptions!$C$24,Assumptions!$C$25))),C1050&lt;=Nonlabor!$G$23,OR(Nonlabor!$H$23="Monthly",AND(Nonlabor!$H$23="Once",C1050=IF(Nonlabor!$E$23="Core",Nonlabor!$F$23,MAX(Nonlabor!$F$23,IF(Nonlabor!$E$23="AI",Assumptions!$C$24,Assumptions!$C$25)))),AND(Nonlabor!$H$23="Annual",MOD(C1050-IF(Nonlabor!$E$23="Core",Nonlabor!$F$23,MAX(Nonlabor!$F$23,IF(Nonlabor!$E$23="AI",Assumptions!$C$24,Assumptions!$C$25))),12)=0))),IF(Nonlabor!$I$23="Fixed",1,IF(Nonlabor!$I$23="Seats",ROUNDUP('Monthly Lean'!I30,0),IF(Nonlabor!$I$23="Customers",'Monthly Lean'!D30,IF(Nonlabor!$I$23="NewCustomers",'Monthly Lean'!C30,IF(Nonlabor!$I$23="StorageGB",'Monthly Lean'!G30,IF(Nonlabor!$I$23="LogGB",'Monthly Lean'!H30,IF(Nonlabor!$I$23="RequestsM",'Monthly Lean'!F30,IF(Nonlabor!$I$23="InputM",'Monthly Lean'!D30*Assumptions!$C$22/1000000,IF(Nonlabor!$I$23="OutputM",'Monthly Lean'!D30*Assumptions!$C$23/1000000,0))))))))),0)</f>
        <v>0.5</v>
      </c>
      <c r="F1050" s="10" t="n">
        <f aca="false">Nonlabor!$J$23*(1+Assumptions!$C$9)^INT((C1050-1)/12)</f>
        <v>318.27</v>
      </c>
      <c r="G1050" s="10" t="n">
        <f aca="false">E1050*F1050</f>
        <v>159.135</v>
      </c>
      <c r="H1050" s="10" t="n">
        <f aca="false">IF(OR(Nonlabor!$L$23="Quote required",Nonlabor!$L$23="Unverified"),G1050,0)</f>
        <v>0</v>
      </c>
      <c r="I1050" s="10" t="n">
        <f aca="false">IF(Nonlabor!$E$23="Core",0,G1050)</f>
        <v>0</v>
      </c>
      <c r="J1050" s="23" t="str">
        <f aca="false">Nonlabor!$B$23</f>
        <v>ONBOARD</v>
      </c>
    </row>
    <row r="1051" customFormat="false" ht="15" hidden="false" customHeight="false" outlineLevel="0" collapsed="false">
      <c r="A1051" s="6" t="s">
        <v>72</v>
      </c>
      <c r="B1051" s="6" t="s">
        <v>57</v>
      </c>
      <c r="C1051" s="6" t="n">
        <v>26</v>
      </c>
      <c r="D1051" s="25" t="n">
        <f aca="false">EDATE('Start Here'!$B$6,C1051-1)</f>
        <v>47088</v>
      </c>
      <c r="E1051" s="11" t="n">
        <f aca="false">IF(AND(OR(Nonlabor!$D$23="Both",Nonlabor!$D$23='Start Here'!$B$9),IF(Nonlabor!$E$23="Core",1,IF(Nonlabor!$E$23="AI",'Start Here'!$B$7,'Start Here'!$B$8))=1,C1051&gt;=IF(Nonlabor!$E$23="Core",Nonlabor!$F$23,MAX(Nonlabor!$F$23,IF(Nonlabor!$E$23="AI",Assumptions!$C$24,Assumptions!$C$25))),C1051&lt;=Nonlabor!$G$23,OR(Nonlabor!$H$23="Monthly",AND(Nonlabor!$H$23="Once",C1051=IF(Nonlabor!$E$23="Core",Nonlabor!$F$23,MAX(Nonlabor!$F$23,IF(Nonlabor!$E$23="AI",Assumptions!$C$24,Assumptions!$C$25)))),AND(Nonlabor!$H$23="Annual",MOD(C1051-IF(Nonlabor!$E$23="Core",Nonlabor!$F$23,MAX(Nonlabor!$F$23,IF(Nonlabor!$E$23="AI",Assumptions!$C$24,Assumptions!$C$25))),12)=0))),IF(Nonlabor!$I$23="Fixed",1,IF(Nonlabor!$I$23="Seats",ROUNDUP('Monthly Lean'!I31,0),IF(Nonlabor!$I$23="Customers",'Monthly Lean'!D31,IF(Nonlabor!$I$23="NewCustomers",'Monthly Lean'!C31,IF(Nonlabor!$I$23="StorageGB",'Monthly Lean'!G31,IF(Nonlabor!$I$23="LogGB",'Monthly Lean'!H31,IF(Nonlabor!$I$23="RequestsM",'Monthly Lean'!F31,IF(Nonlabor!$I$23="InputM",'Monthly Lean'!D31*Assumptions!$C$22/1000000,IF(Nonlabor!$I$23="OutputM",'Monthly Lean'!D31*Assumptions!$C$23/1000000,0))))))))),0)</f>
        <v>0.5</v>
      </c>
      <c r="F1051" s="10" t="n">
        <f aca="false">Nonlabor!$J$23*(1+Assumptions!$C$9)^INT((C1051-1)/12)</f>
        <v>318.27</v>
      </c>
      <c r="G1051" s="10" t="n">
        <f aca="false">E1051*F1051</f>
        <v>159.135</v>
      </c>
      <c r="H1051" s="10" t="n">
        <f aca="false">IF(OR(Nonlabor!$L$23="Quote required",Nonlabor!$L$23="Unverified"),G1051,0)</f>
        <v>0</v>
      </c>
      <c r="I1051" s="10" t="n">
        <f aca="false">IF(Nonlabor!$E$23="Core",0,G1051)</f>
        <v>0</v>
      </c>
      <c r="J1051" s="23" t="str">
        <f aca="false">Nonlabor!$B$23</f>
        <v>ONBOARD</v>
      </c>
    </row>
    <row r="1052" customFormat="false" ht="15" hidden="false" customHeight="false" outlineLevel="0" collapsed="false">
      <c r="A1052" s="6" t="s">
        <v>72</v>
      </c>
      <c r="B1052" s="6" t="s">
        <v>57</v>
      </c>
      <c r="C1052" s="6" t="n">
        <v>27</v>
      </c>
      <c r="D1052" s="25" t="n">
        <f aca="false">EDATE('Start Here'!$B$6,C1052-1)</f>
        <v>47119</v>
      </c>
      <c r="E1052" s="11" t="n">
        <f aca="false">IF(AND(OR(Nonlabor!$D$23="Both",Nonlabor!$D$23='Start Here'!$B$9),IF(Nonlabor!$E$23="Core",1,IF(Nonlabor!$E$23="AI",'Start Here'!$B$7,'Start Here'!$B$8))=1,C1052&gt;=IF(Nonlabor!$E$23="Core",Nonlabor!$F$23,MAX(Nonlabor!$F$23,IF(Nonlabor!$E$23="AI",Assumptions!$C$24,Assumptions!$C$25))),C1052&lt;=Nonlabor!$G$23,OR(Nonlabor!$H$23="Monthly",AND(Nonlabor!$H$23="Once",C1052=IF(Nonlabor!$E$23="Core",Nonlabor!$F$23,MAX(Nonlabor!$F$23,IF(Nonlabor!$E$23="AI",Assumptions!$C$24,Assumptions!$C$25)))),AND(Nonlabor!$H$23="Annual",MOD(C1052-IF(Nonlabor!$E$23="Core",Nonlabor!$F$23,MAX(Nonlabor!$F$23,IF(Nonlabor!$E$23="AI",Assumptions!$C$24,Assumptions!$C$25))),12)=0))),IF(Nonlabor!$I$23="Fixed",1,IF(Nonlabor!$I$23="Seats",ROUNDUP('Monthly Lean'!I32,0),IF(Nonlabor!$I$23="Customers",'Monthly Lean'!D32,IF(Nonlabor!$I$23="NewCustomers",'Monthly Lean'!C32,IF(Nonlabor!$I$23="StorageGB",'Monthly Lean'!G32,IF(Nonlabor!$I$23="LogGB",'Monthly Lean'!H32,IF(Nonlabor!$I$23="RequestsM",'Monthly Lean'!F32,IF(Nonlabor!$I$23="InputM",'Monthly Lean'!D32*Assumptions!$C$22/1000000,IF(Nonlabor!$I$23="OutputM",'Monthly Lean'!D32*Assumptions!$C$23/1000000,0))))))))),0)</f>
        <v>0.5</v>
      </c>
      <c r="F1052" s="10" t="n">
        <f aca="false">Nonlabor!$J$23*(1+Assumptions!$C$9)^INT((C1052-1)/12)</f>
        <v>318.27</v>
      </c>
      <c r="G1052" s="10" t="n">
        <f aca="false">E1052*F1052</f>
        <v>159.135</v>
      </c>
      <c r="H1052" s="10" t="n">
        <f aca="false">IF(OR(Nonlabor!$L$23="Quote required",Nonlabor!$L$23="Unverified"),G1052,0)</f>
        <v>0</v>
      </c>
      <c r="I1052" s="10" t="n">
        <f aca="false">IF(Nonlabor!$E$23="Core",0,G1052)</f>
        <v>0</v>
      </c>
      <c r="J1052" s="23" t="str">
        <f aca="false">Nonlabor!$B$23</f>
        <v>ONBOARD</v>
      </c>
    </row>
    <row r="1053" customFormat="false" ht="15" hidden="false" customHeight="false" outlineLevel="0" collapsed="false">
      <c r="A1053" s="6" t="s">
        <v>72</v>
      </c>
      <c r="B1053" s="6" t="s">
        <v>57</v>
      </c>
      <c r="C1053" s="6" t="n">
        <v>28</v>
      </c>
      <c r="D1053" s="25" t="n">
        <f aca="false">EDATE('Start Here'!$B$6,C1053-1)</f>
        <v>47150</v>
      </c>
      <c r="E1053" s="11" t="n">
        <f aca="false">IF(AND(OR(Nonlabor!$D$23="Both",Nonlabor!$D$23='Start Here'!$B$9),IF(Nonlabor!$E$23="Core",1,IF(Nonlabor!$E$23="AI",'Start Here'!$B$7,'Start Here'!$B$8))=1,C1053&gt;=IF(Nonlabor!$E$23="Core",Nonlabor!$F$23,MAX(Nonlabor!$F$23,IF(Nonlabor!$E$23="AI",Assumptions!$C$24,Assumptions!$C$25))),C1053&lt;=Nonlabor!$G$23,OR(Nonlabor!$H$23="Monthly",AND(Nonlabor!$H$23="Once",C1053=IF(Nonlabor!$E$23="Core",Nonlabor!$F$23,MAX(Nonlabor!$F$23,IF(Nonlabor!$E$23="AI",Assumptions!$C$24,Assumptions!$C$25)))),AND(Nonlabor!$H$23="Annual",MOD(C1053-IF(Nonlabor!$E$23="Core",Nonlabor!$F$23,MAX(Nonlabor!$F$23,IF(Nonlabor!$E$23="AI",Assumptions!$C$24,Assumptions!$C$25))),12)=0))),IF(Nonlabor!$I$23="Fixed",1,IF(Nonlabor!$I$23="Seats",ROUNDUP('Monthly Lean'!I33,0),IF(Nonlabor!$I$23="Customers",'Monthly Lean'!D33,IF(Nonlabor!$I$23="NewCustomers",'Monthly Lean'!C33,IF(Nonlabor!$I$23="StorageGB",'Monthly Lean'!G33,IF(Nonlabor!$I$23="LogGB",'Monthly Lean'!H33,IF(Nonlabor!$I$23="RequestsM",'Monthly Lean'!F33,IF(Nonlabor!$I$23="InputM",'Monthly Lean'!D33*Assumptions!$C$22/1000000,IF(Nonlabor!$I$23="OutputM",'Monthly Lean'!D33*Assumptions!$C$23/1000000,0))))))))),0)</f>
        <v>0.625</v>
      </c>
      <c r="F1053" s="10" t="n">
        <f aca="false">Nonlabor!$J$23*(1+Assumptions!$C$9)^INT((C1053-1)/12)</f>
        <v>318.27</v>
      </c>
      <c r="G1053" s="10" t="n">
        <f aca="false">E1053*F1053</f>
        <v>198.91875</v>
      </c>
      <c r="H1053" s="10" t="n">
        <f aca="false">IF(OR(Nonlabor!$L$23="Quote required",Nonlabor!$L$23="Unverified"),G1053,0)</f>
        <v>0</v>
      </c>
      <c r="I1053" s="10" t="n">
        <f aca="false">IF(Nonlabor!$E$23="Core",0,G1053)</f>
        <v>0</v>
      </c>
      <c r="J1053" s="23" t="str">
        <f aca="false">Nonlabor!$B$23</f>
        <v>ONBOARD</v>
      </c>
    </row>
    <row r="1054" customFormat="false" ht="15" hidden="false" customHeight="false" outlineLevel="0" collapsed="false">
      <c r="A1054" s="6" t="s">
        <v>72</v>
      </c>
      <c r="B1054" s="6" t="s">
        <v>57</v>
      </c>
      <c r="C1054" s="6" t="n">
        <v>29</v>
      </c>
      <c r="D1054" s="25" t="n">
        <f aca="false">EDATE('Start Here'!$B$6,C1054-1)</f>
        <v>47178</v>
      </c>
      <c r="E1054" s="11" t="n">
        <f aca="false">IF(AND(OR(Nonlabor!$D$23="Both",Nonlabor!$D$23='Start Here'!$B$9),IF(Nonlabor!$E$23="Core",1,IF(Nonlabor!$E$23="AI",'Start Here'!$B$7,'Start Here'!$B$8))=1,C1054&gt;=IF(Nonlabor!$E$23="Core",Nonlabor!$F$23,MAX(Nonlabor!$F$23,IF(Nonlabor!$E$23="AI",Assumptions!$C$24,Assumptions!$C$25))),C1054&lt;=Nonlabor!$G$23,OR(Nonlabor!$H$23="Monthly",AND(Nonlabor!$H$23="Once",C1054=IF(Nonlabor!$E$23="Core",Nonlabor!$F$23,MAX(Nonlabor!$F$23,IF(Nonlabor!$E$23="AI",Assumptions!$C$24,Assumptions!$C$25)))),AND(Nonlabor!$H$23="Annual",MOD(C1054-IF(Nonlabor!$E$23="Core",Nonlabor!$F$23,MAX(Nonlabor!$F$23,IF(Nonlabor!$E$23="AI",Assumptions!$C$24,Assumptions!$C$25))),12)=0))),IF(Nonlabor!$I$23="Fixed",1,IF(Nonlabor!$I$23="Seats",ROUNDUP('Monthly Lean'!I34,0),IF(Nonlabor!$I$23="Customers",'Monthly Lean'!D34,IF(Nonlabor!$I$23="NewCustomers",'Monthly Lean'!C34,IF(Nonlabor!$I$23="StorageGB",'Monthly Lean'!G34,IF(Nonlabor!$I$23="LogGB",'Monthly Lean'!H34,IF(Nonlabor!$I$23="RequestsM",'Monthly Lean'!F34,IF(Nonlabor!$I$23="InputM",'Monthly Lean'!D34*Assumptions!$C$22/1000000,IF(Nonlabor!$I$23="OutputM",'Monthly Lean'!D34*Assumptions!$C$23/1000000,0))))))))),0)</f>
        <v>0.625</v>
      </c>
      <c r="F1054" s="10" t="n">
        <f aca="false">Nonlabor!$J$23*(1+Assumptions!$C$9)^INT((C1054-1)/12)</f>
        <v>318.27</v>
      </c>
      <c r="G1054" s="10" t="n">
        <f aca="false">E1054*F1054</f>
        <v>198.91875</v>
      </c>
      <c r="H1054" s="10" t="n">
        <f aca="false">IF(OR(Nonlabor!$L$23="Quote required",Nonlabor!$L$23="Unverified"),G1054,0)</f>
        <v>0</v>
      </c>
      <c r="I1054" s="10" t="n">
        <f aca="false">IF(Nonlabor!$E$23="Core",0,G1054)</f>
        <v>0</v>
      </c>
      <c r="J1054" s="23" t="str">
        <f aca="false">Nonlabor!$B$23</f>
        <v>ONBOARD</v>
      </c>
    </row>
    <row r="1055" customFormat="false" ht="15" hidden="false" customHeight="false" outlineLevel="0" collapsed="false">
      <c r="A1055" s="6" t="s">
        <v>72</v>
      </c>
      <c r="B1055" s="6" t="s">
        <v>57</v>
      </c>
      <c r="C1055" s="6" t="n">
        <v>30</v>
      </c>
      <c r="D1055" s="25" t="n">
        <f aca="false">EDATE('Start Here'!$B$6,C1055-1)</f>
        <v>47209</v>
      </c>
      <c r="E1055" s="11" t="n">
        <f aca="false">IF(AND(OR(Nonlabor!$D$23="Both",Nonlabor!$D$23='Start Here'!$B$9),IF(Nonlabor!$E$23="Core",1,IF(Nonlabor!$E$23="AI",'Start Here'!$B$7,'Start Here'!$B$8))=1,C1055&gt;=IF(Nonlabor!$E$23="Core",Nonlabor!$F$23,MAX(Nonlabor!$F$23,IF(Nonlabor!$E$23="AI",Assumptions!$C$24,Assumptions!$C$25))),C1055&lt;=Nonlabor!$G$23,OR(Nonlabor!$H$23="Monthly",AND(Nonlabor!$H$23="Once",C1055=IF(Nonlabor!$E$23="Core",Nonlabor!$F$23,MAX(Nonlabor!$F$23,IF(Nonlabor!$E$23="AI",Assumptions!$C$24,Assumptions!$C$25)))),AND(Nonlabor!$H$23="Annual",MOD(C1055-IF(Nonlabor!$E$23="Core",Nonlabor!$F$23,MAX(Nonlabor!$F$23,IF(Nonlabor!$E$23="AI",Assumptions!$C$24,Assumptions!$C$25))),12)=0))),IF(Nonlabor!$I$23="Fixed",1,IF(Nonlabor!$I$23="Seats",ROUNDUP('Monthly Lean'!I35,0),IF(Nonlabor!$I$23="Customers",'Monthly Lean'!D35,IF(Nonlabor!$I$23="NewCustomers",'Monthly Lean'!C35,IF(Nonlabor!$I$23="StorageGB",'Monthly Lean'!G35,IF(Nonlabor!$I$23="LogGB",'Monthly Lean'!H35,IF(Nonlabor!$I$23="RequestsM",'Monthly Lean'!F35,IF(Nonlabor!$I$23="InputM",'Monthly Lean'!D35*Assumptions!$C$22/1000000,IF(Nonlabor!$I$23="OutputM",'Monthly Lean'!D35*Assumptions!$C$23/1000000,0))))))))),0)</f>
        <v>0.625</v>
      </c>
      <c r="F1055" s="10" t="n">
        <f aca="false">Nonlabor!$J$23*(1+Assumptions!$C$9)^INT((C1055-1)/12)</f>
        <v>318.27</v>
      </c>
      <c r="G1055" s="10" t="n">
        <f aca="false">E1055*F1055</f>
        <v>198.91875</v>
      </c>
      <c r="H1055" s="10" t="n">
        <f aca="false">IF(OR(Nonlabor!$L$23="Quote required",Nonlabor!$L$23="Unverified"),G1055,0)</f>
        <v>0</v>
      </c>
      <c r="I1055" s="10" t="n">
        <f aca="false">IF(Nonlabor!$E$23="Core",0,G1055)</f>
        <v>0</v>
      </c>
      <c r="J1055" s="23" t="str">
        <f aca="false">Nonlabor!$B$23</f>
        <v>ONBOARD</v>
      </c>
    </row>
    <row r="1056" customFormat="false" ht="15" hidden="false" customHeight="false" outlineLevel="0" collapsed="false">
      <c r="A1056" s="6" t="s">
        <v>72</v>
      </c>
      <c r="B1056" s="6" t="s">
        <v>57</v>
      </c>
      <c r="C1056" s="6" t="n">
        <v>31</v>
      </c>
      <c r="D1056" s="25" t="n">
        <f aca="false">EDATE('Start Here'!$B$6,C1056-1)</f>
        <v>47239</v>
      </c>
      <c r="E1056" s="11" t="n">
        <f aca="false">IF(AND(OR(Nonlabor!$D$23="Both",Nonlabor!$D$23='Start Here'!$B$9),IF(Nonlabor!$E$23="Core",1,IF(Nonlabor!$E$23="AI",'Start Here'!$B$7,'Start Here'!$B$8))=1,C1056&gt;=IF(Nonlabor!$E$23="Core",Nonlabor!$F$23,MAX(Nonlabor!$F$23,IF(Nonlabor!$E$23="AI",Assumptions!$C$24,Assumptions!$C$25))),C1056&lt;=Nonlabor!$G$23,OR(Nonlabor!$H$23="Monthly",AND(Nonlabor!$H$23="Once",C1056=IF(Nonlabor!$E$23="Core",Nonlabor!$F$23,MAX(Nonlabor!$F$23,IF(Nonlabor!$E$23="AI",Assumptions!$C$24,Assumptions!$C$25)))),AND(Nonlabor!$H$23="Annual",MOD(C1056-IF(Nonlabor!$E$23="Core",Nonlabor!$F$23,MAX(Nonlabor!$F$23,IF(Nonlabor!$E$23="AI",Assumptions!$C$24,Assumptions!$C$25))),12)=0))),IF(Nonlabor!$I$23="Fixed",1,IF(Nonlabor!$I$23="Seats",ROUNDUP('Monthly Lean'!I36,0),IF(Nonlabor!$I$23="Customers",'Monthly Lean'!D36,IF(Nonlabor!$I$23="NewCustomers",'Monthly Lean'!C36,IF(Nonlabor!$I$23="StorageGB",'Monthly Lean'!G36,IF(Nonlabor!$I$23="LogGB",'Monthly Lean'!H36,IF(Nonlabor!$I$23="RequestsM",'Monthly Lean'!F36,IF(Nonlabor!$I$23="InputM",'Monthly Lean'!D36*Assumptions!$C$22/1000000,IF(Nonlabor!$I$23="OutputM",'Monthly Lean'!D36*Assumptions!$C$23/1000000,0))))))))),0)</f>
        <v>0.625</v>
      </c>
      <c r="F1056" s="10" t="n">
        <f aca="false">Nonlabor!$J$23*(1+Assumptions!$C$9)^INT((C1056-1)/12)</f>
        <v>318.27</v>
      </c>
      <c r="G1056" s="10" t="n">
        <f aca="false">E1056*F1056</f>
        <v>198.91875</v>
      </c>
      <c r="H1056" s="10" t="n">
        <f aca="false">IF(OR(Nonlabor!$L$23="Quote required",Nonlabor!$L$23="Unverified"),G1056,0)</f>
        <v>0</v>
      </c>
      <c r="I1056" s="10" t="n">
        <f aca="false">IF(Nonlabor!$E$23="Core",0,G1056)</f>
        <v>0</v>
      </c>
      <c r="J1056" s="23" t="str">
        <f aca="false">Nonlabor!$B$23</f>
        <v>ONBOARD</v>
      </c>
    </row>
    <row r="1057" customFormat="false" ht="15" hidden="false" customHeight="false" outlineLevel="0" collapsed="false">
      <c r="A1057" s="6" t="s">
        <v>72</v>
      </c>
      <c r="B1057" s="6" t="s">
        <v>57</v>
      </c>
      <c r="C1057" s="6" t="n">
        <v>32</v>
      </c>
      <c r="D1057" s="25" t="n">
        <f aca="false">EDATE('Start Here'!$B$6,C1057-1)</f>
        <v>47270</v>
      </c>
      <c r="E1057" s="11" t="n">
        <f aca="false">IF(AND(OR(Nonlabor!$D$23="Both",Nonlabor!$D$23='Start Here'!$B$9),IF(Nonlabor!$E$23="Core",1,IF(Nonlabor!$E$23="AI",'Start Here'!$B$7,'Start Here'!$B$8))=1,C1057&gt;=IF(Nonlabor!$E$23="Core",Nonlabor!$F$23,MAX(Nonlabor!$F$23,IF(Nonlabor!$E$23="AI",Assumptions!$C$24,Assumptions!$C$25))),C1057&lt;=Nonlabor!$G$23,OR(Nonlabor!$H$23="Monthly",AND(Nonlabor!$H$23="Once",C1057=IF(Nonlabor!$E$23="Core",Nonlabor!$F$23,MAX(Nonlabor!$F$23,IF(Nonlabor!$E$23="AI",Assumptions!$C$24,Assumptions!$C$25)))),AND(Nonlabor!$H$23="Annual",MOD(C1057-IF(Nonlabor!$E$23="Core",Nonlabor!$F$23,MAX(Nonlabor!$F$23,IF(Nonlabor!$E$23="AI",Assumptions!$C$24,Assumptions!$C$25))),12)=0))),IF(Nonlabor!$I$23="Fixed",1,IF(Nonlabor!$I$23="Seats",ROUNDUP('Monthly Lean'!I37,0),IF(Nonlabor!$I$23="Customers",'Monthly Lean'!D37,IF(Nonlabor!$I$23="NewCustomers",'Monthly Lean'!C37,IF(Nonlabor!$I$23="StorageGB",'Monthly Lean'!G37,IF(Nonlabor!$I$23="LogGB",'Monthly Lean'!H37,IF(Nonlabor!$I$23="RequestsM",'Monthly Lean'!F37,IF(Nonlabor!$I$23="InputM",'Monthly Lean'!D37*Assumptions!$C$22/1000000,IF(Nonlabor!$I$23="OutputM",'Monthly Lean'!D37*Assumptions!$C$23/1000000,0))))))))),0)</f>
        <v>0.625</v>
      </c>
      <c r="F1057" s="10" t="n">
        <f aca="false">Nonlabor!$J$23*(1+Assumptions!$C$9)^INT((C1057-1)/12)</f>
        <v>318.27</v>
      </c>
      <c r="G1057" s="10" t="n">
        <f aca="false">E1057*F1057</f>
        <v>198.91875</v>
      </c>
      <c r="H1057" s="10" t="n">
        <f aca="false">IF(OR(Nonlabor!$L$23="Quote required",Nonlabor!$L$23="Unverified"),G1057,0)</f>
        <v>0</v>
      </c>
      <c r="I1057" s="10" t="n">
        <f aca="false">IF(Nonlabor!$E$23="Core",0,G1057)</f>
        <v>0</v>
      </c>
      <c r="J1057" s="23" t="str">
        <f aca="false">Nonlabor!$B$23</f>
        <v>ONBOARD</v>
      </c>
    </row>
    <row r="1058" customFormat="false" ht="15" hidden="false" customHeight="false" outlineLevel="0" collapsed="false">
      <c r="A1058" s="6" t="s">
        <v>72</v>
      </c>
      <c r="B1058" s="6" t="s">
        <v>57</v>
      </c>
      <c r="C1058" s="6" t="n">
        <v>33</v>
      </c>
      <c r="D1058" s="25" t="n">
        <f aca="false">EDATE('Start Here'!$B$6,C1058-1)</f>
        <v>47300</v>
      </c>
      <c r="E1058" s="11" t="n">
        <f aca="false">IF(AND(OR(Nonlabor!$D$23="Both",Nonlabor!$D$23='Start Here'!$B$9),IF(Nonlabor!$E$23="Core",1,IF(Nonlabor!$E$23="AI",'Start Here'!$B$7,'Start Here'!$B$8))=1,C1058&gt;=IF(Nonlabor!$E$23="Core",Nonlabor!$F$23,MAX(Nonlabor!$F$23,IF(Nonlabor!$E$23="AI",Assumptions!$C$24,Assumptions!$C$25))),C1058&lt;=Nonlabor!$G$23,OR(Nonlabor!$H$23="Monthly",AND(Nonlabor!$H$23="Once",C1058=IF(Nonlabor!$E$23="Core",Nonlabor!$F$23,MAX(Nonlabor!$F$23,IF(Nonlabor!$E$23="AI",Assumptions!$C$24,Assumptions!$C$25)))),AND(Nonlabor!$H$23="Annual",MOD(C1058-IF(Nonlabor!$E$23="Core",Nonlabor!$F$23,MAX(Nonlabor!$F$23,IF(Nonlabor!$E$23="AI",Assumptions!$C$24,Assumptions!$C$25))),12)=0))),IF(Nonlabor!$I$23="Fixed",1,IF(Nonlabor!$I$23="Seats",ROUNDUP('Monthly Lean'!I38,0),IF(Nonlabor!$I$23="Customers",'Monthly Lean'!D38,IF(Nonlabor!$I$23="NewCustomers",'Monthly Lean'!C38,IF(Nonlabor!$I$23="StorageGB",'Monthly Lean'!G38,IF(Nonlabor!$I$23="LogGB",'Monthly Lean'!H38,IF(Nonlabor!$I$23="RequestsM",'Monthly Lean'!F38,IF(Nonlabor!$I$23="InputM",'Monthly Lean'!D38*Assumptions!$C$22/1000000,IF(Nonlabor!$I$23="OutputM",'Monthly Lean'!D38*Assumptions!$C$23/1000000,0))))))))),0)</f>
        <v>0.625</v>
      </c>
      <c r="F1058" s="10" t="n">
        <f aca="false">Nonlabor!$J$23*(1+Assumptions!$C$9)^INT((C1058-1)/12)</f>
        <v>318.27</v>
      </c>
      <c r="G1058" s="10" t="n">
        <f aca="false">E1058*F1058</f>
        <v>198.91875</v>
      </c>
      <c r="H1058" s="10" t="n">
        <f aca="false">IF(OR(Nonlabor!$L$23="Quote required",Nonlabor!$L$23="Unverified"),G1058,0)</f>
        <v>0</v>
      </c>
      <c r="I1058" s="10" t="n">
        <f aca="false">IF(Nonlabor!$E$23="Core",0,G1058)</f>
        <v>0</v>
      </c>
      <c r="J1058" s="23" t="str">
        <f aca="false">Nonlabor!$B$23</f>
        <v>ONBOARD</v>
      </c>
    </row>
    <row r="1059" customFormat="false" ht="15" hidden="false" customHeight="false" outlineLevel="0" collapsed="false">
      <c r="A1059" s="6" t="s">
        <v>72</v>
      </c>
      <c r="B1059" s="6" t="s">
        <v>57</v>
      </c>
      <c r="C1059" s="6" t="n">
        <v>34</v>
      </c>
      <c r="D1059" s="25" t="n">
        <f aca="false">EDATE('Start Here'!$B$6,C1059-1)</f>
        <v>47331</v>
      </c>
      <c r="E1059" s="11" t="n">
        <f aca="false">IF(AND(OR(Nonlabor!$D$23="Both",Nonlabor!$D$23='Start Here'!$B$9),IF(Nonlabor!$E$23="Core",1,IF(Nonlabor!$E$23="AI",'Start Here'!$B$7,'Start Here'!$B$8))=1,C1059&gt;=IF(Nonlabor!$E$23="Core",Nonlabor!$F$23,MAX(Nonlabor!$F$23,IF(Nonlabor!$E$23="AI",Assumptions!$C$24,Assumptions!$C$25))),C1059&lt;=Nonlabor!$G$23,OR(Nonlabor!$H$23="Monthly",AND(Nonlabor!$H$23="Once",C1059=IF(Nonlabor!$E$23="Core",Nonlabor!$F$23,MAX(Nonlabor!$F$23,IF(Nonlabor!$E$23="AI",Assumptions!$C$24,Assumptions!$C$25)))),AND(Nonlabor!$H$23="Annual",MOD(C1059-IF(Nonlabor!$E$23="Core",Nonlabor!$F$23,MAX(Nonlabor!$F$23,IF(Nonlabor!$E$23="AI",Assumptions!$C$24,Assumptions!$C$25))),12)=0))),IF(Nonlabor!$I$23="Fixed",1,IF(Nonlabor!$I$23="Seats",ROUNDUP('Monthly Lean'!I39,0),IF(Nonlabor!$I$23="Customers",'Monthly Lean'!D39,IF(Nonlabor!$I$23="NewCustomers",'Monthly Lean'!C39,IF(Nonlabor!$I$23="StorageGB",'Monthly Lean'!G39,IF(Nonlabor!$I$23="LogGB",'Monthly Lean'!H39,IF(Nonlabor!$I$23="RequestsM",'Monthly Lean'!F39,IF(Nonlabor!$I$23="InputM",'Monthly Lean'!D39*Assumptions!$C$22/1000000,IF(Nonlabor!$I$23="OutputM",'Monthly Lean'!D39*Assumptions!$C$23/1000000,0))))))))),0)</f>
        <v>0.625</v>
      </c>
      <c r="F1059" s="10" t="n">
        <f aca="false">Nonlabor!$J$23*(1+Assumptions!$C$9)^INT((C1059-1)/12)</f>
        <v>318.27</v>
      </c>
      <c r="G1059" s="10" t="n">
        <f aca="false">E1059*F1059</f>
        <v>198.91875</v>
      </c>
      <c r="H1059" s="10" t="n">
        <f aca="false">IF(OR(Nonlabor!$L$23="Quote required",Nonlabor!$L$23="Unverified"),G1059,0)</f>
        <v>0</v>
      </c>
      <c r="I1059" s="10" t="n">
        <f aca="false">IF(Nonlabor!$E$23="Core",0,G1059)</f>
        <v>0</v>
      </c>
      <c r="J1059" s="23" t="str">
        <f aca="false">Nonlabor!$B$23</f>
        <v>ONBOARD</v>
      </c>
    </row>
    <row r="1060" customFormat="false" ht="15" hidden="false" customHeight="false" outlineLevel="0" collapsed="false">
      <c r="A1060" s="6" t="s">
        <v>72</v>
      </c>
      <c r="B1060" s="6" t="s">
        <v>57</v>
      </c>
      <c r="C1060" s="6" t="n">
        <v>35</v>
      </c>
      <c r="D1060" s="25" t="n">
        <f aca="false">EDATE('Start Here'!$B$6,C1060-1)</f>
        <v>47362</v>
      </c>
      <c r="E1060" s="11" t="n">
        <f aca="false">IF(AND(OR(Nonlabor!$D$23="Both",Nonlabor!$D$23='Start Here'!$B$9),IF(Nonlabor!$E$23="Core",1,IF(Nonlabor!$E$23="AI",'Start Here'!$B$7,'Start Here'!$B$8))=1,C1060&gt;=IF(Nonlabor!$E$23="Core",Nonlabor!$F$23,MAX(Nonlabor!$F$23,IF(Nonlabor!$E$23="AI",Assumptions!$C$24,Assumptions!$C$25))),C1060&lt;=Nonlabor!$G$23,OR(Nonlabor!$H$23="Monthly",AND(Nonlabor!$H$23="Once",C1060=IF(Nonlabor!$E$23="Core",Nonlabor!$F$23,MAX(Nonlabor!$F$23,IF(Nonlabor!$E$23="AI",Assumptions!$C$24,Assumptions!$C$25)))),AND(Nonlabor!$H$23="Annual",MOD(C1060-IF(Nonlabor!$E$23="Core",Nonlabor!$F$23,MAX(Nonlabor!$F$23,IF(Nonlabor!$E$23="AI",Assumptions!$C$24,Assumptions!$C$25))),12)=0))),IF(Nonlabor!$I$23="Fixed",1,IF(Nonlabor!$I$23="Seats",ROUNDUP('Monthly Lean'!I40,0),IF(Nonlabor!$I$23="Customers",'Monthly Lean'!D40,IF(Nonlabor!$I$23="NewCustomers",'Monthly Lean'!C40,IF(Nonlabor!$I$23="StorageGB",'Monthly Lean'!G40,IF(Nonlabor!$I$23="LogGB",'Monthly Lean'!H40,IF(Nonlabor!$I$23="RequestsM",'Monthly Lean'!F40,IF(Nonlabor!$I$23="InputM",'Monthly Lean'!D40*Assumptions!$C$22/1000000,IF(Nonlabor!$I$23="OutputM",'Monthly Lean'!D40*Assumptions!$C$23/1000000,0))))))))),0)</f>
        <v>0.625</v>
      </c>
      <c r="F1060" s="10" t="n">
        <f aca="false">Nonlabor!$J$23*(1+Assumptions!$C$9)^INT((C1060-1)/12)</f>
        <v>318.27</v>
      </c>
      <c r="G1060" s="10" t="n">
        <f aca="false">E1060*F1060</f>
        <v>198.91875</v>
      </c>
      <c r="H1060" s="10" t="n">
        <f aca="false">IF(OR(Nonlabor!$L$23="Quote required",Nonlabor!$L$23="Unverified"),G1060,0)</f>
        <v>0</v>
      </c>
      <c r="I1060" s="10" t="n">
        <f aca="false">IF(Nonlabor!$E$23="Core",0,G1060)</f>
        <v>0</v>
      </c>
      <c r="J1060" s="23" t="str">
        <f aca="false">Nonlabor!$B$23</f>
        <v>ONBOARD</v>
      </c>
    </row>
    <row r="1061" customFormat="false" ht="15" hidden="false" customHeight="false" outlineLevel="0" collapsed="false">
      <c r="A1061" s="6" t="s">
        <v>72</v>
      </c>
      <c r="B1061" s="6" t="s">
        <v>57</v>
      </c>
      <c r="C1061" s="6" t="n">
        <v>36</v>
      </c>
      <c r="D1061" s="25" t="n">
        <f aca="false">EDATE('Start Here'!$B$6,C1061-1)</f>
        <v>47392</v>
      </c>
      <c r="E1061" s="11" t="n">
        <f aca="false">IF(AND(OR(Nonlabor!$D$23="Both",Nonlabor!$D$23='Start Here'!$B$9),IF(Nonlabor!$E$23="Core",1,IF(Nonlabor!$E$23="AI",'Start Here'!$B$7,'Start Here'!$B$8))=1,C1061&gt;=IF(Nonlabor!$E$23="Core",Nonlabor!$F$23,MAX(Nonlabor!$F$23,IF(Nonlabor!$E$23="AI",Assumptions!$C$24,Assumptions!$C$25))),C1061&lt;=Nonlabor!$G$23,OR(Nonlabor!$H$23="Monthly",AND(Nonlabor!$H$23="Once",C1061=IF(Nonlabor!$E$23="Core",Nonlabor!$F$23,MAX(Nonlabor!$F$23,IF(Nonlabor!$E$23="AI",Assumptions!$C$24,Assumptions!$C$25)))),AND(Nonlabor!$H$23="Annual",MOD(C1061-IF(Nonlabor!$E$23="Core",Nonlabor!$F$23,MAX(Nonlabor!$F$23,IF(Nonlabor!$E$23="AI",Assumptions!$C$24,Assumptions!$C$25))),12)=0))),IF(Nonlabor!$I$23="Fixed",1,IF(Nonlabor!$I$23="Seats",ROUNDUP('Monthly Lean'!I41,0),IF(Nonlabor!$I$23="Customers",'Monthly Lean'!D41,IF(Nonlabor!$I$23="NewCustomers",'Monthly Lean'!C41,IF(Nonlabor!$I$23="StorageGB",'Monthly Lean'!G41,IF(Nonlabor!$I$23="LogGB",'Monthly Lean'!H41,IF(Nonlabor!$I$23="RequestsM",'Monthly Lean'!F41,IF(Nonlabor!$I$23="InputM",'Monthly Lean'!D41*Assumptions!$C$22/1000000,IF(Nonlabor!$I$23="OutputM",'Monthly Lean'!D41*Assumptions!$C$23/1000000,0))))))))),0)</f>
        <v>0.625</v>
      </c>
      <c r="F1061" s="10" t="n">
        <f aca="false">Nonlabor!$J$23*(1+Assumptions!$C$9)^INT((C1061-1)/12)</f>
        <v>318.27</v>
      </c>
      <c r="G1061" s="10" t="n">
        <f aca="false">E1061*F1061</f>
        <v>198.91875</v>
      </c>
      <c r="H1061" s="10" t="n">
        <f aca="false">IF(OR(Nonlabor!$L$23="Quote required",Nonlabor!$L$23="Unverified"),G1061,0)</f>
        <v>0</v>
      </c>
      <c r="I1061" s="10" t="n">
        <f aca="false">IF(Nonlabor!$E$23="Core",0,G1061)</f>
        <v>0</v>
      </c>
      <c r="J1061" s="23" t="str">
        <f aca="false">Nonlabor!$B$23</f>
        <v>ONBOARD</v>
      </c>
    </row>
    <row r="1062" customFormat="false" ht="15" hidden="false" customHeight="false" outlineLevel="0" collapsed="false">
      <c r="A1062" s="6" t="s">
        <v>72</v>
      </c>
      <c r="B1062" s="6" t="s">
        <v>57</v>
      </c>
      <c r="C1062" s="6" t="n">
        <v>37</v>
      </c>
      <c r="D1062" s="25" t="n">
        <f aca="false">EDATE('Start Here'!$B$6,C1062-1)</f>
        <v>47423</v>
      </c>
      <c r="E1062" s="11" t="n">
        <f aca="false">IF(AND(OR(Nonlabor!$D$23="Both",Nonlabor!$D$23='Start Here'!$B$9),IF(Nonlabor!$E$23="Core",1,IF(Nonlabor!$E$23="AI",'Start Here'!$B$7,'Start Here'!$B$8))=1,C1062&gt;=IF(Nonlabor!$E$23="Core",Nonlabor!$F$23,MAX(Nonlabor!$F$23,IF(Nonlabor!$E$23="AI",Assumptions!$C$24,Assumptions!$C$25))),C1062&lt;=Nonlabor!$G$23,OR(Nonlabor!$H$23="Monthly",AND(Nonlabor!$H$23="Once",C1062=IF(Nonlabor!$E$23="Core",Nonlabor!$F$23,MAX(Nonlabor!$F$23,IF(Nonlabor!$E$23="AI",Assumptions!$C$24,Assumptions!$C$25)))),AND(Nonlabor!$H$23="Annual",MOD(C1062-IF(Nonlabor!$E$23="Core",Nonlabor!$F$23,MAX(Nonlabor!$F$23,IF(Nonlabor!$E$23="AI",Assumptions!$C$24,Assumptions!$C$25))),12)=0))),IF(Nonlabor!$I$23="Fixed",1,IF(Nonlabor!$I$23="Seats",ROUNDUP('Monthly Lean'!I42,0),IF(Nonlabor!$I$23="Customers",'Monthly Lean'!D42,IF(Nonlabor!$I$23="NewCustomers",'Monthly Lean'!C42,IF(Nonlabor!$I$23="StorageGB",'Monthly Lean'!G42,IF(Nonlabor!$I$23="LogGB",'Monthly Lean'!H42,IF(Nonlabor!$I$23="RequestsM",'Monthly Lean'!F42,IF(Nonlabor!$I$23="InputM",'Monthly Lean'!D42*Assumptions!$C$22/1000000,IF(Nonlabor!$I$23="OutputM",'Monthly Lean'!D42*Assumptions!$C$23/1000000,0))))))))),0)</f>
        <v>0.625</v>
      </c>
      <c r="F1062" s="10" t="n">
        <f aca="false">Nonlabor!$J$23*(1+Assumptions!$C$9)^INT((C1062-1)/12)</f>
        <v>327.8181</v>
      </c>
      <c r="G1062" s="10" t="n">
        <f aca="false">E1062*F1062</f>
        <v>204.8863125</v>
      </c>
      <c r="H1062" s="10" t="n">
        <f aca="false">IF(OR(Nonlabor!$L$23="Quote required",Nonlabor!$L$23="Unverified"),G1062,0)</f>
        <v>0</v>
      </c>
      <c r="I1062" s="10" t="n">
        <f aca="false">IF(Nonlabor!$E$23="Core",0,G1062)</f>
        <v>0</v>
      </c>
      <c r="J1062" s="23" t="str">
        <f aca="false">Nonlabor!$B$23</f>
        <v>ONBOARD</v>
      </c>
    </row>
    <row r="1063" customFormat="false" ht="15" hidden="false" customHeight="false" outlineLevel="0" collapsed="false">
      <c r="A1063" s="6" t="s">
        <v>72</v>
      </c>
      <c r="B1063" s="6" t="s">
        <v>57</v>
      </c>
      <c r="C1063" s="6" t="n">
        <v>38</v>
      </c>
      <c r="D1063" s="25" t="n">
        <f aca="false">EDATE('Start Here'!$B$6,C1063-1)</f>
        <v>47453</v>
      </c>
      <c r="E1063" s="11" t="n">
        <f aca="false">IF(AND(OR(Nonlabor!$D$23="Both",Nonlabor!$D$23='Start Here'!$B$9),IF(Nonlabor!$E$23="Core",1,IF(Nonlabor!$E$23="AI",'Start Here'!$B$7,'Start Here'!$B$8))=1,C1063&gt;=IF(Nonlabor!$E$23="Core",Nonlabor!$F$23,MAX(Nonlabor!$F$23,IF(Nonlabor!$E$23="AI",Assumptions!$C$24,Assumptions!$C$25))),C1063&lt;=Nonlabor!$G$23,OR(Nonlabor!$H$23="Monthly",AND(Nonlabor!$H$23="Once",C1063=IF(Nonlabor!$E$23="Core",Nonlabor!$F$23,MAX(Nonlabor!$F$23,IF(Nonlabor!$E$23="AI",Assumptions!$C$24,Assumptions!$C$25)))),AND(Nonlabor!$H$23="Annual",MOD(C1063-IF(Nonlabor!$E$23="Core",Nonlabor!$F$23,MAX(Nonlabor!$F$23,IF(Nonlabor!$E$23="AI",Assumptions!$C$24,Assumptions!$C$25))),12)=0))),IF(Nonlabor!$I$23="Fixed",1,IF(Nonlabor!$I$23="Seats",ROUNDUP('Monthly Lean'!I43,0),IF(Nonlabor!$I$23="Customers",'Monthly Lean'!D43,IF(Nonlabor!$I$23="NewCustomers",'Monthly Lean'!C43,IF(Nonlabor!$I$23="StorageGB",'Monthly Lean'!G43,IF(Nonlabor!$I$23="LogGB",'Monthly Lean'!H43,IF(Nonlabor!$I$23="RequestsM",'Monthly Lean'!F43,IF(Nonlabor!$I$23="InputM",'Monthly Lean'!D43*Assumptions!$C$22/1000000,IF(Nonlabor!$I$23="OutputM",'Monthly Lean'!D43*Assumptions!$C$23/1000000,0))))))))),0)</f>
        <v>0.625</v>
      </c>
      <c r="F1063" s="10" t="n">
        <f aca="false">Nonlabor!$J$23*(1+Assumptions!$C$9)^INT((C1063-1)/12)</f>
        <v>327.8181</v>
      </c>
      <c r="G1063" s="10" t="n">
        <f aca="false">E1063*F1063</f>
        <v>204.8863125</v>
      </c>
      <c r="H1063" s="10" t="n">
        <f aca="false">IF(OR(Nonlabor!$L$23="Quote required",Nonlabor!$L$23="Unverified"),G1063,0)</f>
        <v>0</v>
      </c>
      <c r="I1063" s="10" t="n">
        <f aca="false">IF(Nonlabor!$E$23="Core",0,G1063)</f>
        <v>0</v>
      </c>
      <c r="J1063" s="23" t="str">
        <f aca="false">Nonlabor!$B$23</f>
        <v>ONBOARD</v>
      </c>
    </row>
    <row r="1064" customFormat="false" ht="15" hidden="false" customHeight="false" outlineLevel="0" collapsed="false">
      <c r="A1064" s="6" t="s">
        <v>72</v>
      </c>
      <c r="B1064" s="6" t="s">
        <v>57</v>
      </c>
      <c r="C1064" s="6" t="n">
        <v>39</v>
      </c>
      <c r="D1064" s="25" t="n">
        <f aca="false">EDATE('Start Here'!$B$6,C1064-1)</f>
        <v>47484</v>
      </c>
      <c r="E1064" s="11" t="n">
        <f aca="false">IF(AND(OR(Nonlabor!$D$23="Both",Nonlabor!$D$23='Start Here'!$B$9),IF(Nonlabor!$E$23="Core",1,IF(Nonlabor!$E$23="AI",'Start Here'!$B$7,'Start Here'!$B$8))=1,C1064&gt;=IF(Nonlabor!$E$23="Core",Nonlabor!$F$23,MAX(Nonlabor!$F$23,IF(Nonlabor!$E$23="AI",Assumptions!$C$24,Assumptions!$C$25))),C1064&lt;=Nonlabor!$G$23,OR(Nonlabor!$H$23="Monthly",AND(Nonlabor!$H$23="Once",C1064=IF(Nonlabor!$E$23="Core",Nonlabor!$F$23,MAX(Nonlabor!$F$23,IF(Nonlabor!$E$23="AI",Assumptions!$C$24,Assumptions!$C$25)))),AND(Nonlabor!$H$23="Annual",MOD(C1064-IF(Nonlabor!$E$23="Core",Nonlabor!$F$23,MAX(Nonlabor!$F$23,IF(Nonlabor!$E$23="AI",Assumptions!$C$24,Assumptions!$C$25))),12)=0))),IF(Nonlabor!$I$23="Fixed",1,IF(Nonlabor!$I$23="Seats",ROUNDUP('Monthly Lean'!I44,0),IF(Nonlabor!$I$23="Customers",'Monthly Lean'!D44,IF(Nonlabor!$I$23="NewCustomers",'Monthly Lean'!C44,IF(Nonlabor!$I$23="StorageGB",'Monthly Lean'!G44,IF(Nonlabor!$I$23="LogGB",'Monthly Lean'!H44,IF(Nonlabor!$I$23="RequestsM",'Monthly Lean'!F44,IF(Nonlabor!$I$23="InputM",'Monthly Lean'!D44*Assumptions!$C$22/1000000,IF(Nonlabor!$I$23="OutputM",'Monthly Lean'!D44*Assumptions!$C$23/1000000,0))))))))),0)</f>
        <v>0.625</v>
      </c>
      <c r="F1064" s="10" t="n">
        <f aca="false">Nonlabor!$J$23*(1+Assumptions!$C$9)^INT((C1064-1)/12)</f>
        <v>327.8181</v>
      </c>
      <c r="G1064" s="10" t="n">
        <f aca="false">E1064*F1064</f>
        <v>204.8863125</v>
      </c>
      <c r="H1064" s="10" t="n">
        <f aca="false">IF(OR(Nonlabor!$L$23="Quote required",Nonlabor!$L$23="Unverified"),G1064,0)</f>
        <v>0</v>
      </c>
      <c r="I1064" s="10" t="n">
        <f aca="false">IF(Nonlabor!$E$23="Core",0,G1064)</f>
        <v>0</v>
      </c>
      <c r="J1064" s="23" t="str">
        <f aca="false">Nonlabor!$B$23</f>
        <v>ONBOARD</v>
      </c>
    </row>
    <row r="1065" customFormat="false" ht="15" hidden="false" customHeight="false" outlineLevel="0" collapsed="false">
      <c r="A1065" s="6" t="s">
        <v>72</v>
      </c>
      <c r="B1065" s="6" t="s">
        <v>57</v>
      </c>
      <c r="C1065" s="6" t="n">
        <v>40</v>
      </c>
      <c r="D1065" s="25" t="n">
        <f aca="false">EDATE('Start Here'!$B$6,C1065-1)</f>
        <v>47515</v>
      </c>
      <c r="E1065" s="11" t="n">
        <f aca="false">IF(AND(OR(Nonlabor!$D$23="Both",Nonlabor!$D$23='Start Here'!$B$9),IF(Nonlabor!$E$23="Core",1,IF(Nonlabor!$E$23="AI",'Start Here'!$B$7,'Start Here'!$B$8))=1,C1065&gt;=IF(Nonlabor!$E$23="Core",Nonlabor!$F$23,MAX(Nonlabor!$F$23,IF(Nonlabor!$E$23="AI",Assumptions!$C$24,Assumptions!$C$25))),C1065&lt;=Nonlabor!$G$23,OR(Nonlabor!$H$23="Monthly",AND(Nonlabor!$H$23="Once",C1065=IF(Nonlabor!$E$23="Core",Nonlabor!$F$23,MAX(Nonlabor!$F$23,IF(Nonlabor!$E$23="AI",Assumptions!$C$24,Assumptions!$C$25)))),AND(Nonlabor!$H$23="Annual",MOD(C1065-IF(Nonlabor!$E$23="Core",Nonlabor!$F$23,MAX(Nonlabor!$F$23,IF(Nonlabor!$E$23="AI",Assumptions!$C$24,Assumptions!$C$25))),12)=0))),IF(Nonlabor!$I$23="Fixed",1,IF(Nonlabor!$I$23="Seats",ROUNDUP('Monthly Lean'!I45,0),IF(Nonlabor!$I$23="Customers",'Monthly Lean'!D45,IF(Nonlabor!$I$23="NewCustomers",'Monthly Lean'!C45,IF(Nonlabor!$I$23="StorageGB",'Monthly Lean'!G45,IF(Nonlabor!$I$23="LogGB",'Monthly Lean'!H45,IF(Nonlabor!$I$23="RequestsM",'Monthly Lean'!F45,IF(Nonlabor!$I$23="InputM",'Monthly Lean'!D45*Assumptions!$C$22/1000000,IF(Nonlabor!$I$23="OutputM",'Monthly Lean'!D45*Assumptions!$C$23/1000000,0))))))))),0)</f>
        <v>0.78125</v>
      </c>
      <c r="F1065" s="10" t="n">
        <f aca="false">Nonlabor!$J$23*(1+Assumptions!$C$9)^INT((C1065-1)/12)</f>
        <v>327.8181</v>
      </c>
      <c r="G1065" s="10" t="n">
        <f aca="false">E1065*F1065</f>
        <v>256.107890625</v>
      </c>
      <c r="H1065" s="10" t="n">
        <f aca="false">IF(OR(Nonlabor!$L$23="Quote required",Nonlabor!$L$23="Unverified"),G1065,0)</f>
        <v>0</v>
      </c>
      <c r="I1065" s="10" t="n">
        <f aca="false">IF(Nonlabor!$E$23="Core",0,G1065)</f>
        <v>0</v>
      </c>
      <c r="J1065" s="23" t="str">
        <f aca="false">Nonlabor!$B$23</f>
        <v>ONBOARD</v>
      </c>
    </row>
    <row r="1066" customFormat="false" ht="15" hidden="false" customHeight="false" outlineLevel="0" collapsed="false">
      <c r="A1066" s="6" t="s">
        <v>72</v>
      </c>
      <c r="B1066" s="6" t="s">
        <v>57</v>
      </c>
      <c r="C1066" s="6" t="n">
        <v>41</v>
      </c>
      <c r="D1066" s="25" t="n">
        <f aca="false">EDATE('Start Here'!$B$6,C1066-1)</f>
        <v>47543</v>
      </c>
      <c r="E1066" s="11" t="n">
        <f aca="false">IF(AND(OR(Nonlabor!$D$23="Both",Nonlabor!$D$23='Start Here'!$B$9),IF(Nonlabor!$E$23="Core",1,IF(Nonlabor!$E$23="AI",'Start Here'!$B$7,'Start Here'!$B$8))=1,C1066&gt;=IF(Nonlabor!$E$23="Core",Nonlabor!$F$23,MAX(Nonlabor!$F$23,IF(Nonlabor!$E$23="AI",Assumptions!$C$24,Assumptions!$C$25))),C1066&lt;=Nonlabor!$G$23,OR(Nonlabor!$H$23="Monthly",AND(Nonlabor!$H$23="Once",C1066=IF(Nonlabor!$E$23="Core",Nonlabor!$F$23,MAX(Nonlabor!$F$23,IF(Nonlabor!$E$23="AI",Assumptions!$C$24,Assumptions!$C$25)))),AND(Nonlabor!$H$23="Annual",MOD(C1066-IF(Nonlabor!$E$23="Core",Nonlabor!$F$23,MAX(Nonlabor!$F$23,IF(Nonlabor!$E$23="AI",Assumptions!$C$24,Assumptions!$C$25))),12)=0))),IF(Nonlabor!$I$23="Fixed",1,IF(Nonlabor!$I$23="Seats",ROUNDUP('Monthly Lean'!I46,0),IF(Nonlabor!$I$23="Customers",'Monthly Lean'!D46,IF(Nonlabor!$I$23="NewCustomers",'Monthly Lean'!C46,IF(Nonlabor!$I$23="StorageGB",'Monthly Lean'!G46,IF(Nonlabor!$I$23="LogGB",'Monthly Lean'!H46,IF(Nonlabor!$I$23="RequestsM",'Monthly Lean'!F46,IF(Nonlabor!$I$23="InputM",'Monthly Lean'!D46*Assumptions!$C$22/1000000,IF(Nonlabor!$I$23="OutputM",'Monthly Lean'!D46*Assumptions!$C$23/1000000,0))))))))),0)</f>
        <v>0.78125</v>
      </c>
      <c r="F1066" s="10" t="n">
        <f aca="false">Nonlabor!$J$23*(1+Assumptions!$C$9)^INT((C1066-1)/12)</f>
        <v>327.8181</v>
      </c>
      <c r="G1066" s="10" t="n">
        <f aca="false">E1066*F1066</f>
        <v>256.107890625</v>
      </c>
      <c r="H1066" s="10" t="n">
        <f aca="false">IF(OR(Nonlabor!$L$23="Quote required",Nonlabor!$L$23="Unverified"),G1066,0)</f>
        <v>0</v>
      </c>
      <c r="I1066" s="10" t="n">
        <f aca="false">IF(Nonlabor!$E$23="Core",0,G1066)</f>
        <v>0</v>
      </c>
      <c r="J1066" s="23" t="str">
        <f aca="false">Nonlabor!$B$23</f>
        <v>ONBOARD</v>
      </c>
    </row>
    <row r="1067" customFormat="false" ht="15" hidden="false" customHeight="false" outlineLevel="0" collapsed="false">
      <c r="A1067" s="6" t="s">
        <v>72</v>
      </c>
      <c r="B1067" s="6" t="s">
        <v>57</v>
      </c>
      <c r="C1067" s="6" t="n">
        <v>42</v>
      </c>
      <c r="D1067" s="25" t="n">
        <f aca="false">EDATE('Start Here'!$B$6,C1067-1)</f>
        <v>47574</v>
      </c>
      <c r="E1067" s="11" t="n">
        <f aca="false">IF(AND(OR(Nonlabor!$D$23="Both",Nonlabor!$D$23='Start Here'!$B$9),IF(Nonlabor!$E$23="Core",1,IF(Nonlabor!$E$23="AI",'Start Here'!$B$7,'Start Here'!$B$8))=1,C1067&gt;=IF(Nonlabor!$E$23="Core",Nonlabor!$F$23,MAX(Nonlabor!$F$23,IF(Nonlabor!$E$23="AI",Assumptions!$C$24,Assumptions!$C$25))),C1067&lt;=Nonlabor!$G$23,OR(Nonlabor!$H$23="Monthly",AND(Nonlabor!$H$23="Once",C1067=IF(Nonlabor!$E$23="Core",Nonlabor!$F$23,MAX(Nonlabor!$F$23,IF(Nonlabor!$E$23="AI",Assumptions!$C$24,Assumptions!$C$25)))),AND(Nonlabor!$H$23="Annual",MOD(C1067-IF(Nonlabor!$E$23="Core",Nonlabor!$F$23,MAX(Nonlabor!$F$23,IF(Nonlabor!$E$23="AI",Assumptions!$C$24,Assumptions!$C$25))),12)=0))),IF(Nonlabor!$I$23="Fixed",1,IF(Nonlabor!$I$23="Seats",ROUNDUP('Monthly Lean'!I47,0),IF(Nonlabor!$I$23="Customers",'Monthly Lean'!D47,IF(Nonlabor!$I$23="NewCustomers",'Monthly Lean'!C47,IF(Nonlabor!$I$23="StorageGB",'Monthly Lean'!G47,IF(Nonlabor!$I$23="LogGB",'Monthly Lean'!H47,IF(Nonlabor!$I$23="RequestsM",'Monthly Lean'!F47,IF(Nonlabor!$I$23="InputM",'Monthly Lean'!D47*Assumptions!$C$22/1000000,IF(Nonlabor!$I$23="OutputM",'Monthly Lean'!D47*Assumptions!$C$23/1000000,0))))))))),0)</f>
        <v>0.78125</v>
      </c>
      <c r="F1067" s="10" t="n">
        <f aca="false">Nonlabor!$J$23*(1+Assumptions!$C$9)^INT((C1067-1)/12)</f>
        <v>327.8181</v>
      </c>
      <c r="G1067" s="10" t="n">
        <f aca="false">E1067*F1067</f>
        <v>256.107890625</v>
      </c>
      <c r="H1067" s="10" t="n">
        <f aca="false">IF(OR(Nonlabor!$L$23="Quote required",Nonlabor!$L$23="Unverified"),G1067,0)</f>
        <v>0</v>
      </c>
      <c r="I1067" s="10" t="n">
        <f aca="false">IF(Nonlabor!$E$23="Core",0,G1067)</f>
        <v>0</v>
      </c>
      <c r="J1067" s="23" t="str">
        <f aca="false">Nonlabor!$B$23</f>
        <v>ONBOARD</v>
      </c>
    </row>
    <row r="1068" customFormat="false" ht="15" hidden="false" customHeight="false" outlineLevel="0" collapsed="false">
      <c r="A1068" s="6" t="s">
        <v>72</v>
      </c>
      <c r="B1068" s="6" t="s">
        <v>57</v>
      </c>
      <c r="C1068" s="6" t="n">
        <v>43</v>
      </c>
      <c r="D1068" s="25" t="n">
        <f aca="false">EDATE('Start Here'!$B$6,C1068-1)</f>
        <v>47604</v>
      </c>
      <c r="E1068" s="11" t="n">
        <f aca="false">IF(AND(OR(Nonlabor!$D$23="Both",Nonlabor!$D$23='Start Here'!$B$9),IF(Nonlabor!$E$23="Core",1,IF(Nonlabor!$E$23="AI",'Start Here'!$B$7,'Start Here'!$B$8))=1,C1068&gt;=IF(Nonlabor!$E$23="Core",Nonlabor!$F$23,MAX(Nonlabor!$F$23,IF(Nonlabor!$E$23="AI",Assumptions!$C$24,Assumptions!$C$25))),C1068&lt;=Nonlabor!$G$23,OR(Nonlabor!$H$23="Monthly",AND(Nonlabor!$H$23="Once",C1068=IF(Nonlabor!$E$23="Core",Nonlabor!$F$23,MAX(Nonlabor!$F$23,IF(Nonlabor!$E$23="AI",Assumptions!$C$24,Assumptions!$C$25)))),AND(Nonlabor!$H$23="Annual",MOD(C1068-IF(Nonlabor!$E$23="Core",Nonlabor!$F$23,MAX(Nonlabor!$F$23,IF(Nonlabor!$E$23="AI",Assumptions!$C$24,Assumptions!$C$25))),12)=0))),IF(Nonlabor!$I$23="Fixed",1,IF(Nonlabor!$I$23="Seats",ROUNDUP('Monthly Lean'!I48,0),IF(Nonlabor!$I$23="Customers",'Monthly Lean'!D48,IF(Nonlabor!$I$23="NewCustomers",'Monthly Lean'!C48,IF(Nonlabor!$I$23="StorageGB",'Monthly Lean'!G48,IF(Nonlabor!$I$23="LogGB",'Monthly Lean'!H48,IF(Nonlabor!$I$23="RequestsM",'Monthly Lean'!F48,IF(Nonlabor!$I$23="InputM",'Monthly Lean'!D48*Assumptions!$C$22/1000000,IF(Nonlabor!$I$23="OutputM",'Monthly Lean'!D48*Assumptions!$C$23/1000000,0))))))))),0)</f>
        <v>0.78125</v>
      </c>
      <c r="F1068" s="10" t="n">
        <f aca="false">Nonlabor!$J$23*(1+Assumptions!$C$9)^INT((C1068-1)/12)</f>
        <v>327.8181</v>
      </c>
      <c r="G1068" s="10" t="n">
        <f aca="false">E1068*F1068</f>
        <v>256.107890625</v>
      </c>
      <c r="H1068" s="10" t="n">
        <f aca="false">IF(OR(Nonlabor!$L$23="Quote required",Nonlabor!$L$23="Unverified"),G1068,0)</f>
        <v>0</v>
      </c>
      <c r="I1068" s="10" t="n">
        <f aca="false">IF(Nonlabor!$E$23="Core",0,G1068)</f>
        <v>0</v>
      </c>
      <c r="J1068" s="23" t="str">
        <f aca="false">Nonlabor!$B$23</f>
        <v>ONBOARD</v>
      </c>
    </row>
    <row r="1069" customFormat="false" ht="15" hidden="false" customHeight="false" outlineLevel="0" collapsed="false">
      <c r="A1069" s="6" t="s">
        <v>72</v>
      </c>
      <c r="B1069" s="6" t="s">
        <v>57</v>
      </c>
      <c r="C1069" s="6" t="n">
        <v>44</v>
      </c>
      <c r="D1069" s="25" t="n">
        <f aca="false">EDATE('Start Here'!$B$6,C1069-1)</f>
        <v>47635</v>
      </c>
      <c r="E1069" s="11" t="n">
        <f aca="false">IF(AND(OR(Nonlabor!$D$23="Both",Nonlabor!$D$23='Start Here'!$B$9),IF(Nonlabor!$E$23="Core",1,IF(Nonlabor!$E$23="AI",'Start Here'!$B$7,'Start Here'!$B$8))=1,C1069&gt;=IF(Nonlabor!$E$23="Core",Nonlabor!$F$23,MAX(Nonlabor!$F$23,IF(Nonlabor!$E$23="AI",Assumptions!$C$24,Assumptions!$C$25))),C1069&lt;=Nonlabor!$G$23,OR(Nonlabor!$H$23="Monthly",AND(Nonlabor!$H$23="Once",C1069=IF(Nonlabor!$E$23="Core",Nonlabor!$F$23,MAX(Nonlabor!$F$23,IF(Nonlabor!$E$23="AI",Assumptions!$C$24,Assumptions!$C$25)))),AND(Nonlabor!$H$23="Annual",MOD(C1069-IF(Nonlabor!$E$23="Core",Nonlabor!$F$23,MAX(Nonlabor!$F$23,IF(Nonlabor!$E$23="AI",Assumptions!$C$24,Assumptions!$C$25))),12)=0))),IF(Nonlabor!$I$23="Fixed",1,IF(Nonlabor!$I$23="Seats",ROUNDUP('Monthly Lean'!I49,0),IF(Nonlabor!$I$23="Customers",'Monthly Lean'!D49,IF(Nonlabor!$I$23="NewCustomers",'Monthly Lean'!C49,IF(Nonlabor!$I$23="StorageGB",'Monthly Lean'!G49,IF(Nonlabor!$I$23="LogGB",'Monthly Lean'!H49,IF(Nonlabor!$I$23="RequestsM",'Monthly Lean'!F49,IF(Nonlabor!$I$23="InputM",'Monthly Lean'!D49*Assumptions!$C$22/1000000,IF(Nonlabor!$I$23="OutputM",'Monthly Lean'!D49*Assumptions!$C$23/1000000,0))))))))),0)</f>
        <v>0.78125</v>
      </c>
      <c r="F1069" s="10" t="n">
        <f aca="false">Nonlabor!$J$23*(1+Assumptions!$C$9)^INT((C1069-1)/12)</f>
        <v>327.8181</v>
      </c>
      <c r="G1069" s="10" t="n">
        <f aca="false">E1069*F1069</f>
        <v>256.107890625</v>
      </c>
      <c r="H1069" s="10" t="n">
        <f aca="false">IF(OR(Nonlabor!$L$23="Quote required",Nonlabor!$L$23="Unverified"),G1069,0)</f>
        <v>0</v>
      </c>
      <c r="I1069" s="10" t="n">
        <f aca="false">IF(Nonlabor!$E$23="Core",0,G1069)</f>
        <v>0</v>
      </c>
      <c r="J1069" s="23" t="str">
        <f aca="false">Nonlabor!$B$23</f>
        <v>ONBOARD</v>
      </c>
    </row>
    <row r="1070" customFormat="false" ht="15" hidden="false" customHeight="false" outlineLevel="0" collapsed="false">
      <c r="A1070" s="6" t="s">
        <v>72</v>
      </c>
      <c r="B1070" s="6" t="s">
        <v>57</v>
      </c>
      <c r="C1070" s="6" t="n">
        <v>45</v>
      </c>
      <c r="D1070" s="25" t="n">
        <f aca="false">EDATE('Start Here'!$B$6,C1070-1)</f>
        <v>47665</v>
      </c>
      <c r="E1070" s="11" t="n">
        <f aca="false">IF(AND(OR(Nonlabor!$D$23="Both",Nonlabor!$D$23='Start Here'!$B$9),IF(Nonlabor!$E$23="Core",1,IF(Nonlabor!$E$23="AI",'Start Here'!$B$7,'Start Here'!$B$8))=1,C1070&gt;=IF(Nonlabor!$E$23="Core",Nonlabor!$F$23,MAX(Nonlabor!$F$23,IF(Nonlabor!$E$23="AI",Assumptions!$C$24,Assumptions!$C$25))),C1070&lt;=Nonlabor!$G$23,OR(Nonlabor!$H$23="Monthly",AND(Nonlabor!$H$23="Once",C1070=IF(Nonlabor!$E$23="Core",Nonlabor!$F$23,MAX(Nonlabor!$F$23,IF(Nonlabor!$E$23="AI",Assumptions!$C$24,Assumptions!$C$25)))),AND(Nonlabor!$H$23="Annual",MOD(C1070-IF(Nonlabor!$E$23="Core",Nonlabor!$F$23,MAX(Nonlabor!$F$23,IF(Nonlabor!$E$23="AI",Assumptions!$C$24,Assumptions!$C$25))),12)=0))),IF(Nonlabor!$I$23="Fixed",1,IF(Nonlabor!$I$23="Seats",ROUNDUP('Monthly Lean'!I50,0),IF(Nonlabor!$I$23="Customers",'Monthly Lean'!D50,IF(Nonlabor!$I$23="NewCustomers",'Monthly Lean'!C50,IF(Nonlabor!$I$23="StorageGB",'Monthly Lean'!G50,IF(Nonlabor!$I$23="LogGB",'Monthly Lean'!H50,IF(Nonlabor!$I$23="RequestsM",'Monthly Lean'!F50,IF(Nonlabor!$I$23="InputM",'Monthly Lean'!D50*Assumptions!$C$22/1000000,IF(Nonlabor!$I$23="OutputM",'Monthly Lean'!D50*Assumptions!$C$23/1000000,0))))))))),0)</f>
        <v>0.78125</v>
      </c>
      <c r="F1070" s="10" t="n">
        <f aca="false">Nonlabor!$J$23*(1+Assumptions!$C$9)^INT((C1070-1)/12)</f>
        <v>327.8181</v>
      </c>
      <c r="G1070" s="10" t="n">
        <f aca="false">E1070*F1070</f>
        <v>256.107890625</v>
      </c>
      <c r="H1070" s="10" t="n">
        <f aca="false">IF(OR(Nonlabor!$L$23="Quote required",Nonlabor!$L$23="Unverified"),G1070,0)</f>
        <v>0</v>
      </c>
      <c r="I1070" s="10" t="n">
        <f aca="false">IF(Nonlabor!$E$23="Core",0,G1070)</f>
        <v>0</v>
      </c>
      <c r="J1070" s="23" t="str">
        <f aca="false">Nonlabor!$B$23</f>
        <v>ONBOARD</v>
      </c>
    </row>
    <row r="1071" customFormat="false" ht="15" hidden="false" customHeight="false" outlineLevel="0" collapsed="false">
      <c r="A1071" s="6" t="s">
        <v>72</v>
      </c>
      <c r="B1071" s="6" t="s">
        <v>57</v>
      </c>
      <c r="C1071" s="6" t="n">
        <v>46</v>
      </c>
      <c r="D1071" s="25" t="n">
        <f aca="false">EDATE('Start Here'!$B$6,C1071-1)</f>
        <v>47696</v>
      </c>
      <c r="E1071" s="11" t="n">
        <f aca="false">IF(AND(OR(Nonlabor!$D$23="Both",Nonlabor!$D$23='Start Here'!$B$9),IF(Nonlabor!$E$23="Core",1,IF(Nonlabor!$E$23="AI",'Start Here'!$B$7,'Start Here'!$B$8))=1,C1071&gt;=IF(Nonlabor!$E$23="Core",Nonlabor!$F$23,MAX(Nonlabor!$F$23,IF(Nonlabor!$E$23="AI",Assumptions!$C$24,Assumptions!$C$25))),C1071&lt;=Nonlabor!$G$23,OR(Nonlabor!$H$23="Monthly",AND(Nonlabor!$H$23="Once",C1071=IF(Nonlabor!$E$23="Core",Nonlabor!$F$23,MAX(Nonlabor!$F$23,IF(Nonlabor!$E$23="AI",Assumptions!$C$24,Assumptions!$C$25)))),AND(Nonlabor!$H$23="Annual",MOD(C1071-IF(Nonlabor!$E$23="Core",Nonlabor!$F$23,MAX(Nonlabor!$F$23,IF(Nonlabor!$E$23="AI",Assumptions!$C$24,Assumptions!$C$25))),12)=0))),IF(Nonlabor!$I$23="Fixed",1,IF(Nonlabor!$I$23="Seats",ROUNDUP('Monthly Lean'!I51,0),IF(Nonlabor!$I$23="Customers",'Monthly Lean'!D51,IF(Nonlabor!$I$23="NewCustomers",'Monthly Lean'!C51,IF(Nonlabor!$I$23="StorageGB",'Monthly Lean'!G51,IF(Nonlabor!$I$23="LogGB",'Monthly Lean'!H51,IF(Nonlabor!$I$23="RequestsM",'Monthly Lean'!F51,IF(Nonlabor!$I$23="InputM",'Monthly Lean'!D51*Assumptions!$C$22/1000000,IF(Nonlabor!$I$23="OutputM",'Monthly Lean'!D51*Assumptions!$C$23/1000000,0))))))))),0)</f>
        <v>0.78125</v>
      </c>
      <c r="F1071" s="10" t="n">
        <f aca="false">Nonlabor!$J$23*(1+Assumptions!$C$9)^INT((C1071-1)/12)</f>
        <v>327.8181</v>
      </c>
      <c r="G1071" s="10" t="n">
        <f aca="false">E1071*F1071</f>
        <v>256.107890625</v>
      </c>
      <c r="H1071" s="10" t="n">
        <f aca="false">IF(OR(Nonlabor!$L$23="Quote required",Nonlabor!$L$23="Unverified"),G1071,0)</f>
        <v>0</v>
      </c>
      <c r="I1071" s="10" t="n">
        <f aca="false">IF(Nonlabor!$E$23="Core",0,G1071)</f>
        <v>0</v>
      </c>
      <c r="J1071" s="23" t="str">
        <f aca="false">Nonlabor!$B$23</f>
        <v>ONBOARD</v>
      </c>
    </row>
    <row r="1072" customFormat="false" ht="15" hidden="false" customHeight="false" outlineLevel="0" collapsed="false">
      <c r="A1072" s="6" t="s">
        <v>72</v>
      </c>
      <c r="B1072" s="6" t="s">
        <v>57</v>
      </c>
      <c r="C1072" s="6" t="n">
        <v>47</v>
      </c>
      <c r="D1072" s="25" t="n">
        <f aca="false">EDATE('Start Here'!$B$6,C1072-1)</f>
        <v>47727</v>
      </c>
      <c r="E1072" s="11" t="n">
        <f aca="false">IF(AND(OR(Nonlabor!$D$23="Both",Nonlabor!$D$23='Start Here'!$B$9),IF(Nonlabor!$E$23="Core",1,IF(Nonlabor!$E$23="AI",'Start Here'!$B$7,'Start Here'!$B$8))=1,C1072&gt;=IF(Nonlabor!$E$23="Core",Nonlabor!$F$23,MAX(Nonlabor!$F$23,IF(Nonlabor!$E$23="AI",Assumptions!$C$24,Assumptions!$C$25))),C1072&lt;=Nonlabor!$G$23,OR(Nonlabor!$H$23="Monthly",AND(Nonlabor!$H$23="Once",C1072=IF(Nonlabor!$E$23="Core",Nonlabor!$F$23,MAX(Nonlabor!$F$23,IF(Nonlabor!$E$23="AI",Assumptions!$C$24,Assumptions!$C$25)))),AND(Nonlabor!$H$23="Annual",MOD(C1072-IF(Nonlabor!$E$23="Core",Nonlabor!$F$23,MAX(Nonlabor!$F$23,IF(Nonlabor!$E$23="AI",Assumptions!$C$24,Assumptions!$C$25))),12)=0))),IF(Nonlabor!$I$23="Fixed",1,IF(Nonlabor!$I$23="Seats",ROUNDUP('Monthly Lean'!I52,0),IF(Nonlabor!$I$23="Customers",'Monthly Lean'!D52,IF(Nonlabor!$I$23="NewCustomers",'Monthly Lean'!C52,IF(Nonlabor!$I$23="StorageGB",'Monthly Lean'!G52,IF(Nonlabor!$I$23="LogGB",'Monthly Lean'!H52,IF(Nonlabor!$I$23="RequestsM",'Monthly Lean'!F52,IF(Nonlabor!$I$23="InputM",'Monthly Lean'!D52*Assumptions!$C$22/1000000,IF(Nonlabor!$I$23="OutputM",'Monthly Lean'!D52*Assumptions!$C$23/1000000,0))))))))),0)</f>
        <v>0.78125</v>
      </c>
      <c r="F1072" s="10" t="n">
        <f aca="false">Nonlabor!$J$23*(1+Assumptions!$C$9)^INT((C1072-1)/12)</f>
        <v>327.8181</v>
      </c>
      <c r="G1072" s="10" t="n">
        <f aca="false">E1072*F1072</f>
        <v>256.107890625</v>
      </c>
      <c r="H1072" s="10" t="n">
        <f aca="false">IF(OR(Nonlabor!$L$23="Quote required",Nonlabor!$L$23="Unverified"),G1072,0)</f>
        <v>0</v>
      </c>
      <c r="I1072" s="10" t="n">
        <f aca="false">IF(Nonlabor!$E$23="Core",0,G1072)</f>
        <v>0</v>
      </c>
      <c r="J1072" s="23" t="str">
        <f aca="false">Nonlabor!$B$23</f>
        <v>ONBOARD</v>
      </c>
    </row>
    <row r="1073" customFormat="false" ht="15" hidden="false" customHeight="false" outlineLevel="0" collapsed="false">
      <c r="A1073" s="6" t="s">
        <v>72</v>
      </c>
      <c r="B1073" s="6" t="s">
        <v>57</v>
      </c>
      <c r="C1073" s="6" t="n">
        <v>48</v>
      </c>
      <c r="D1073" s="25" t="n">
        <f aca="false">EDATE('Start Here'!$B$6,C1073-1)</f>
        <v>47757</v>
      </c>
      <c r="E1073" s="11" t="n">
        <f aca="false">IF(AND(OR(Nonlabor!$D$23="Both",Nonlabor!$D$23='Start Here'!$B$9),IF(Nonlabor!$E$23="Core",1,IF(Nonlabor!$E$23="AI",'Start Here'!$B$7,'Start Here'!$B$8))=1,C1073&gt;=IF(Nonlabor!$E$23="Core",Nonlabor!$F$23,MAX(Nonlabor!$F$23,IF(Nonlabor!$E$23="AI",Assumptions!$C$24,Assumptions!$C$25))),C1073&lt;=Nonlabor!$G$23,OR(Nonlabor!$H$23="Monthly",AND(Nonlabor!$H$23="Once",C1073=IF(Nonlabor!$E$23="Core",Nonlabor!$F$23,MAX(Nonlabor!$F$23,IF(Nonlabor!$E$23="AI",Assumptions!$C$24,Assumptions!$C$25)))),AND(Nonlabor!$H$23="Annual",MOD(C1073-IF(Nonlabor!$E$23="Core",Nonlabor!$F$23,MAX(Nonlabor!$F$23,IF(Nonlabor!$E$23="AI",Assumptions!$C$24,Assumptions!$C$25))),12)=0))),IF(Nonlabor!$I$23="Fixed",1,IF(Nonlabor!$I$23="Seats",ROUNDUP('Monthly Lean'!I53,0),IF(Nonlabor!$I$23="Customers",'Monthly Lean'!D53,IF(Nonlabor!$I$23="NewCustomers",'Monthly Lean'!C53,IF(Nonlabor!$I$23="StorageGB",'Monthly Lean'!G53,IF(Nonlabor!$I$23="LogGB",'Monthly Lean'!H53,IF(Nonlabor!$I$23="RequestsM",'Monthly Lean'!F53,IF(Nonlabor!$I$23="InputM",'Monthly Lean'!D53*Assumptions!$C$22/1000000,IF(Nonlabor!$I$23="OutputM",'Monthly Lean'!D53*Assumptions!$C$23/1000000,0))))))))),0)</f>
        <v>0.78125</v>
      </c>
      <c r="F1073" s="10" t="n">
        <f aca="false">Nonlabor!$J$23*(1+Assumptions!$C$9)^INT((C1073-1)/12)</f>
        <v>327.8181</v>
      </c>
      <c r="G1073" s="10" t="n">
        <f aca="false">E1073*F1073</f>
        <v>256.107890625</v>
      </c>
      <c r="H1073" s="10" t="n">
        <f aca="false">IF(OR(Nonlabor!$L$23="Quote required",Nonlabor!$L$23="Unverified"),G1073,0)</f>
        <v>0</v>
      </c>
      <c r="I1073" s="10" t="n">
        <f aca="false">IF(Nonlabor!$E$23="Core",0,G1073)</f>
        <v>0</v>
      </c>
      <c r="J1073" s="23" t="str">
        <f aca="false">Nonlabor!$B$23</f>
        <v>ONBOARD</v>
      </c>
    </row>
    <row r="1074" customFormat="false" ht="15" hidden="false" customHeight="false" outlineLevel="0" collapsed="false">
      <c r="A1074" s="6" t="s">
        <v>72</v>
      </c>
      <c r="B1074" s="6" t="s">
        <v>57</v>
      </c>
      <c r="C1074" s="6" t="n">
        <v>49</v>
      </c>
      <c r="D1074" s="25" t="n">
        <f aca="false">EDATE('Start Here'!$B$6,C1074-1)</f>
        <v>47788</v>
      </c>
      <c r="E1074" s="11" t="n">
        <f aca="false">IF(AND(OR(Nonlabor!$D$23="Both",Nonlabor!$D$23='Start Here'!$B$9),IF(Nonlabor!$E$23="Core",1,IF(Nonlabor!$E$23="AI",'Start Here'!$B$7,'Start Here'!$B$8))=1,C1074&gt;=IF(Nonlabor!$E$23="Core",Nonlabor!$F$23,MAX(Nonlabor!$F$23,IF(Nonlabor!$E$23="AI",Assumptions!$C$24,Assumptions!$C$25))),C1074&lt;=Nonlabor!$G$23,OR(Nonlabor!$H$23="Monthly",AND(Nonlabor!$H$23="Once",C1074=IF(Nonlabor!$E$23="Core",Nonlabor!$F$23,MAX(Nonlabor!$F$23,IF(Nonlabor!$E$23="AI",Assumptions!$C$24,Assumptions!$C$25)))),AND(Nonlabor!$H$23="Annual",MOD(C1074-IF(Nonlabor!$E$23="Core",Nonlabor!$F$23,MAX(Nonlabor!$F$23,IF(Nonlabor!$E$23="AI",Assumptions!$C$24,Assumptions!$C$25))),12)=0))),IF(Nonlabor!$I$23="Fixed",1,IF(Nonlabor!$I$23="Seats",ROUNDUP('Monthly Lean'!I54,0),IF(Nonlabor!$I$23="Customers",'Monthly Lean'!D54,IF(Nonlabor!$I$23="NewCustomers",'Monthly Lean'!C54,IF(Nonlabor!$I$23="StorageGB",'Monthly Lean'!G54,IF(Nonlabor!$I$23="LogGB",'Monthly Lean'!H54,IF(Nonlabor!$I$23="RequestsM",'Monthly Lean'!F54,IF(Nonlabor!$I$23="InputM",'Monthly Lean'!D54*Assumptions!$C$22/1000000,IF(Nonlabor!$I$23="OutputM",'Monthly Lean'!D54*Assumptions!$C$23/1000000,0))))))))),0)</f>
        <v>0.78125</v>
      </c>
      <c r="F1074" s="10" t="n">
        <f aca="false">Nonlabor!$J$23*(1+Assumptions!$C$9)^INT((C1074-1)/12)</f>
        <v>337.652643</v>
      </c>
      <c r="G1074" s="10" t="n">
        <f aca="false">E1074*F1074</f>
        <v>263.79112734375</v>
      </c>
      <c r="H1074" s="10" t="n">
        <f aca="false">IF(OR(Nonlabor!$L$23="Quote required",Nonlabor!$L$23="Unverified"),G1074,0)</f>
        <v>0</v>
      </c>
      <c r="I1074" s="10" t="n">
        <f aca="false">IF(Nonlabor!$E$23="Core",0,G1074)</f>
        <v>0</v>
      </c>
      <c r="J1074" s="23" t="str">
        <f aca="false">Nonlabor!$B$23</f>
        <v>ONBOARD</v>
      </c>
    </row>
    <row r="1075" customFormat="false" ht="15" hidden="false" customHeight="false" outlineLevel="0" collapsed="false">
      <c r="A1075" s="6" t="s">
        <v>72</v>
      </c>
      <c r="B1075" s="6" t="s">
        <v>57</v>
      </c>
      <c r="C1075" s="6" t="n">
        <v>50</v>
      </c>
      <c r="D1075" s="25" t="n">
        <f aca="false">EDATE('Start Here'!$B$6,C1075-1)</f>
        <v>47818</v>
      </c>
      <c r="E1075" s="11" t="n">
        <f aca="false">IF(AND(OR(Nonlabor!$D$23="Both",Nonlabor!$D$23='Start Here'!$B$9),IF(Nonlabor!$E$23="Core",1,IF(Nonlabor!$E$23="AI",'Start Here'!$B$7,'Start Here'!$B$8))=1,C1075&gt;=IF(Nonlabor!$E$23="Core",Nonlabor!$F$23,MAX(Nonlabor!$F$23,IF(Nonlabor!$E$23="AI",Assumptions!$C$24,Assumptions!$C$25))),C1075&lt;=Nonlabor!$G$23,OR(Nonlabor!$H$23="Monthly",AND(Nonlabor!$H$23="Once",C1075=IF(Nonlabor!$E$23="Core",Nonlabor!$F$23,MAX(Nonlabor!$F$23,IF(Nonlabor!$E$23="AI",Assumptions!$C$24,Assumptions!$C$25)))),AND(Nonlabor!$H$23="Annual",MOD(C1075-IF(Nonlabor!$E$23="Core",Nonlabor!$F$23,MAX(Nonlabor!$F$23,IF(Nonlabor!$E$23="AI",Assumptions!$C$24,Assumptions!$C$25))),12)=0))),IF(Nonlabor!$I$23="Fixed",1,IF(Nonlabor!$I$23="Seats",ROUNDUP('Monthly Lean'!I55,0),IF(Nonlabor!$I$23="Customers",'Monthly Lean'!D55,IF(Nonlabor!$I$23="NewCustomers",'Monthly Lean'!C55,IF(Nonlabor!$I$23="StorageGB",'Monthly Lean'!G55,IF(Nonlabor!$I$23="LogGB",'Monthly Lean'!H55,IF(Nonlabor!$I$23="RequestsM",'Monthly Lean'!F55,IF(Nonlabor!$I$23="InputM",'Monthly Lean'!D55*Assumptions!$C$22/1000000,IF(Nonlabor!$I$23="OutputM",'Monthly Lean'!D55*Assumptions!$C$23/1000000,0))))))))),0)</f>
        <v>0.78125</v>
      </c>
      <c r="F1075" s="10" t="n">
        <f aca="false">Nonlabor!$J$23*(1+Assumptions!$C$9)^INT((C1075-1)/12)</f>
        <v>337.652643</v>
      </c>
      <c r="G1075" s="10" t="n">
        <f aca="false">E1075*F1075</f>
        <v>263.79112734375</v>
      </c>
      <c r="H1075" s="10" t="n">
        <f aca="false">IF(OR(Nonlabor!$L$23="Quote required",Nonlabor!$L$23="Unverified"),G1075,0)</f>
        <v>0</v>
      </c>
      <c r="I1075" s="10" t="n">
        <f aca="false">IF(Nonlabor!$E$23="Core",0,G1075)</f>
        <v>0</v>
      </c>
      <c r="J1075" s="23" t="str">
        <f aca="false">Nonlabor!$B$23</f>
        <v>ONBOARD</v>
      </c>
    </row>
    <row r="1076" customFormat="false" ht="15" hidden="false" customHeight="false" outlineLevel="0" collapsed="false">
      <c r="A1076" s="6" t="s">
        <v>72</v>
      </c>
      <c r="B1076" s="6" t="s">
        <v>57</v>
      </c>
      <c r="C1076" s="6" t="n">
        <v>51</v>
      </c>
      <c r="D1076" s="25" t="n">
        <f aca="false">EDATE('Start Here'!$B$6,C1076-1)</f>
        <v>47849</v>
      </c>
      <c r="E1076" s="11" t="n">
        <f aca="false">IF(AND(OR(Nonlabor!$D$23="Both",Nonlabor!$D$23='Start Here'!$B$9),IF(Nonlabor!$E$23="Core",1,IF(Nonlabor!$E$23="AI",'Start Here'!$B$7,'Start Here'!$B$8))=1,C1076&gt;=IF(Nonlabor!$E$23="Core",Nonlabor!$F$23,MAX(Nonlabor!$F$23,IF(Nonlabor!$E$23="AI",Assumptions!$C$24,Assumptions!$C$25))),C1076&lt;=Nonlabor!$G$23,OR(Nonlabor!$H$23="Monthly",AND(Nonlabor!$H$23="Once",C1076=IF(Nonlabor!$E$23="Core",Nonlabor!$F$23,MAX(Nonlabor!$F$23,IF(Nonlabor!$E$23="AI",Assumptions!$C$24,Assumptions!$C$25)))),AND(Nonlabor!$H$23="Annual",MOD(C1076-IF(Nonlabor!$E$23="Core",Nonlabor!$F$23,MAX(Nonlabor!$F$23,IF(Nonlabor!$E$23="AI",Assumptions!$C$24,Assumptions!$C$25))),12)=0))),IF(Nonlabor!$I$23="Fixed",1,IF(Nonlabor!$I$23="Seats",ROUNDUP('Monthly Lean'!I56,0),IF(Nonlabor!$I$23="Customers",'Monthly Lean'!D56,IF(Nonlabor!$I$23="NewCustomers",'Monthly Lean'!C56,IF(Nonlabor!$I$23="StorageGB",'Monthly Lean'!G56,IF(Nonlabor!$I$23="LogGB",'Monthly Lean'!H56,IF(Nonlabor!$I$23="RequestsM",'Monthly Lean'!F56,IF(Nonlabor!$I$23="InputM",'Monthly Lean'!D56*Assumptions!$C$22/1000000,IF(Nonlabor!$I$23="OutputM",'Monthly Lean'!D56*Assumptions!$C$23/1000000,0))))))))),0)</f>
        <v>0.78125</v>
      </c>
      <c r="F1076" s="10" t="n">
        <f aca="false">Nonlabor!$J$23*(1+Assumptions!$C$9)^INT((C1076-1)/12)</f>
        <v>337.652643</v>
      </c>
      <c r="G1076" s="10" t="n">
        <f aca="false">E1076*F1076</f>
        <v>263.79112734375</v>
      </c>
      <c r="H1076" s="10" t="n">
        <f aca="false">IF(OR(Nonlabor!$L$23="Quote required",Nonlabor!$L$23="Unverified"),G1076,0)</f>
        <v>0</v>
      </c>
      <c r="I1076" s="10" t="n">
        <f aca="false">IF(Nonlabor!$E$23="Core",0,G1076)</f>
        <v>0</v>
      </c>
      <c r="J1076" s="23" t="str">
        <f aca="false">Nonlabor!$B$23</f>
        <v>ONBOARD</v>
      </c>
    </row>
    <row r="1077" customFormat="false" ht="15" hidden="false" customHeight="false" outlineLevel="0" collapsed="false">
      <c r="A1077" s="6" t="s">
        <v>72</v>
      </c>
      <c r="B1077" s="6" t="s">
        <v>57</v>
      </c>
      <c r="C1077" s="6" t="n">
        <v>52</v>
      </c>
      <c r="D1077" s="25" t="n">
        <f aca="false">EDATE('Start Here'!$B$6,C1077-1)</f>
        <v>47880</v>
      </c>
      <c r="E1077" s="11" t="n">
        <f aca="false">IF(AND(OR(Nonlabor!$D$23="Both",Nonlabor!$D$23='Start Here'!$B$9),IF(Nonlabor!$E$23="Core",1,IF(Nonlabor!$E$23="AI",'Start Here'!$B$7,'Start Here'!$B$8))=1,C1077&gt;=IF(Nonlabor!$E$23="Core",Nonlabor!$F$23,MAX(Nonlabor!$F$23,IF(Nonlabor!$E$23="AI",Assumptions!$C$24,Assumptions!$C$25))),C1077&lt;=Nonlabor!$G$23,OR(Nonlabor!$H$23="Monthly",AND(Nonlabor!$H$23="Once",C1077=IF(Nonlabor!$E$23="Core",Nonlabor!$F$23,MAX(Nonlabor!$F$23,IF(Nonlabor!$E$23="AI",Assumptions!$C$24,Assumptions!$C$25)))),AND(Nonlabor!$H$23="Annual",MOD(C1077-IF(Nonlabor!$E$23="Core",Nonlabor!$F$23,MAX(Nonlabor!$F$23,IF(Nonlabor!$E$23="AI",Assumptions!$C$24,Assumptions!$C$25))),12)=0))),IF(Nonlabor!$I$23="Fixed",1,IF(Nonlabor!$I$23="Seats",ROUNDUP('Monthly Lean'!I57,0),IF(Nonlabor!$I$23="Customers",'Monthly Lean'!D57,IF(Nonlabor!$I$23="NewCustomers",'Monthly Lean'!C57,IF(Nonlabor!$I$23="StorageGB",'Monthly Lean'!G57,IF(Nonlabor!$I$23="LogGB",'Monthly Lean'!H57,IF(Nonlabor!$I$23="RequestsM",'Monthly Lean'!F57,IF(Nonlabor!$I$23="InputM",'Monthly Lean'!D57*Assumptions!$C$22/1000000,IF(Nonlabor!$I$23="OutputM",'Monthly Lean'!D57*Assumptions!$C$23/1000000,0))))))))),0)</f>
        <v>0.9765625</v>
      </c>
      <c r="F1077" s="10" t="n">
        <f aca="false">Nonlabor!$J$23*(1+Assumptions!$C$9)^INT((C1077-1)/12)</f>
        <v>337.652643</v>
      </c>
      <c r="G1077" s="10" t="n">
        <f aca="false">E1077*F1077</f>
        <v>329.738909179688</v>
      </c>
      <c r="H1077" s="10" t="n">
        <f aca="false">IF(OR(Nonlabor!$L$23="Quote required",Nonlabor!$L$23="Unverified"),G1077,0)</f>
        <v>0</v>
      </c>
      <c r="I1077" s="10" t="n">
        <f aca="false">IF(Nonlabor!$E$23="Core",0,G1077)</f>
        <v>0</v>
      </c>
      <c r="J1077" s="23" t="str">
        <f aca="false">Nonlabor!$B$23</f>
        <v>ONBOARD</v>
      </c>
    </row>
    <row r="1078" customFormat="false" ht="15" hidden="false" customHeight="false" outlineLevel="0" collapsed="false">
      <c r="A1078" s="6" t="s">
        <v>72</v>
      </c>
      <c r="B1078" s="6" t="s">
        <v>57</v>
      </c>
      <c r="C1078" s="6" t="n">
        <v>53</v>
      </c>
      <c r="D1078" s="25" t="n">
        <f aca="false">EDATE('Start Here'!$B$6,C1078-1)</f>
        <v>47908</v>
      </c>
      <c r="E1078" s="11" t="n">
        <f aca="false">IF(AND(OR(Nonlabor!$D$23="Both",Nonlabor!$D$23='Start Here'!$B$9),IF(Nonlabor!$E$23="Core",1,IF(Nonlabor!$E$23="AI",'Start Here'!$B$7,'Start Here'!$B$8))=1,C1078&gt;=IF(Nonlabor!$E$23="Core",Nonlabor!$F$23,MAX(Nonlabor!$F$23,IF(Nonlabor!$E$23="AI",Assumptions!$C$24,Assumptions!$C$25))),C1078&lt;=Nonlabor!$G$23,OR(Nonlabor!$H$23="Monthly",AND(Nonlabor!$H$23="Once",C1078=IF(Nonlabor!$E$23="Core",Nonlabor!$F$23,MAX(Nonlabor!$F$23,IF(Nonlabor!$E$23="AI",Assumptions!$C$24,Assumptions!$C$25)))),AND(Nonlabor!$H$23="Annual",MOD(C1078-IF(Nonlabor!$E$23="Core",Nonlabor!$F$23,MAX(Nonlabor!$F$23,IF(Nonlabor!$E$23="AI",Assumptions!$C$24,Assumptions!$C$25))),12)=0))),IF(Nonlabor!$I$23="Fixed",1,IF(Nonlabor!$I$23="Seats",ROUNDUP('Monthly Lean'!I58,0),IF(Nonlabor!$I$23="Customers",'Monthly Lean'!D58,IF(Nonlabor!$I$23="NewCustomers",'Monthly Lean'!C58,IF(Nonlabor!$I$23="StorageGB",'Monthly Lean'!G58,IF(Nonlabor!$I$23="LogGB",'Monthly Lean'!H58,IF(Nonlabor!$I$23="RequestsM",'Monthly Lean'!F58,IF(Nonlabor!$I$23="InputM",'Monthly Lean'!D58*Assumptions!$C$22/1000000,IF(Nonlabor!$I$23="OutputM",'Monthly Lean'!D58*Assumptions!$C$23/1000000,0))))))))),0)</f>
        <v>0.9765625</v>
      </c>
      <c r="F1078" s="10" t="n">
        <f aca="false">Nonlabor!$J$23*(1+Assumptions!$C$9)^INT((C1078-1)/12)</f>
        <v>337.652643</v>
      </c>
      <c r="G1078" s="10" t="n">
        <f aca="false">E1078*F1078</f>
        <v>329.738909179688</v>
      </c>
      <c r="H1078" s="10" t="n">
        <f aca="false">IF(OR(Nonlabor!$L$23="Quote required",Nonlabor!$L$23="Unverified"),G1078,0)</f>
        <v>0</v>
      </c>
      <c r="I1078" s="10" t="n">
        <f aca="false">IF(Nonlabor!$E$23="Core",0,G1078)</f>
        <v>0</v>
      </c>
      <c r="J1078" s="23" t="str">
        <f aca="false">Nonlabor!$B$23</f>
        <v>ONBOARD</v>
      </c>
    </row>
    <row r="1079" customFormat="false" ht="15" hidden="false" customHeight="false" outlineLevel="0" collapsed="false">
      <c r="A1079" s="6" t="s">
        <v>72</v>
      </c>
      <c r="B1079" s="6" t="s">
        <v>57</v>
      </c>
      <c r="C1079" s="6" t="n">
        <v>54</v>
      </c>
      <c r="D1079" s="25" t="n">
        <f aca="false">EDATE('Start Here'!$B$6,C1079-1)</f>
        <v>47939</v>
      </c>
      <c r="E1079" s="11" t="n">
        <f aca="false">IF(AND(OR(Nonlabor!$D$23="Both",Nonlabor!$D$23='Start Here'!$B$9),IF(Nonlabor!$E$23="Core",1,IF(Nonlabor!$E$23="AI",'Start Here'!$B$7,'Start Here'!$B$8))=1,C1079&gt;=IF(Nonlabor!$E$23="Core",Nonlabor!$F$23,MAX(Nonlabor!$F$23,IF(Nonlabor!$E$23="AI",Assumptions!$C$24,Assumptions!$C$25))),C1079&lt;=Nonlabor!$G$23,OR(Nonlabor!$H$23="Monthly",AND(Nonlabor!$H$23="Once",C1079=IF(Nonlabor!$E$23="Core",Nonlabor!$F$23,MAX(Nonlabor!$F$23,IF(Nonlabor!$E$23="AI",Assumptions!$C$24,Assumptions!$C$25)))),AND(Nonlabor!$H$23="Annual",MOD(C1079-IF(Nonlabor!$E$23="Core",Nonlabor!$F$23,MAX(Nonlabor!$F$23,IF(Nonlabor!$E$23="AI",Assumptions!$C$24,Assumptions!$C$25))),12)=0))),IF(Nonlabor!$I$23="Fixed",1,IF(Nonlabor!$I$23="Seats",ROUNDUP('Monthly Lean'!I59,0),IF(Nonlabor!$I$23="Customers",'Monthly Lean'!D59,IF(Nonlabor!$I$23="NewCustomers",'Monthly Lean'!C59,IF(Nonlabor!$I$23="StorageGB",'Monthly Lean'!G59,IF(Nonlabor!$I$23="LogGB",'Monthly Lean'!H59,IF(Nonlabor!$I$23="RequestsM",'Monthly Lean'!F59,IF(Nonlabor!$I$23="InputM",'Monthly Lean'!D59*Assumptions!$C$22/1000000,IF(Nonlabor!$I$23="OutputM",'Monthly Lean'!D59*Assumptions!$C$23/1000000,0))))))))),0)</f>
        <v>0.9765625</v>
      </c>
      <c r="F1079" s="10" t="n">
        <f aca="false">Nonlabor!$J$23*(1+Assumptions!$C$9)^INT((C1079-1)/12)</f>
        <v>337.652643</v>
      </c>
      <c r="G1079" s="10" t="n">
        <f aca="false">E1079*F1079</f>
        <v>329.738909179688</v>
      </c>
      <c r="H1079" s="10" t="n">
        <f aca="false">IF(OR(Nonlabor!$L$23="Quote required",Nonlabor!$L$23="Unverified"),G1079,0)</f>
        <v>0</v>
      </c>
      <c r="I1079" s="10" t="n">
        <f aca="false">IF(Nonlabor!$E$23="Core",0,G1079)</f>
        <v>0</v>
      </c>
      <c r="J1079" s="23" t="str">
        <f aca="false">Nonlabor!$B$23</f>
        <v>ONBOARD</v>
      </c>
    </row>
    <row r="1080" customFormat="false" ht="15" hidden="false" customHeight="false" outlineLevel="0" collapsed="false">
      <c r="A1080" s="6" t="s">
        <v>72</v>
      </c>
      <c r="B1080" s="6" t="s">
        <v>57</v>
      </c>
      <c r="C1080" s="6" t="n">
        <v>55</v>
      </c>
      <c r="D1080" s="25" t="n">
        <f aca="false">EDATE('Start Here'!$B$6,C1080-1)</f>
        <v>47969</v>
      </c>
      <c r="E1080" s="11" t="n">
        <f aca="false">IF(AND(OR(Nonlabor!$D$23="Both",Nonlabor!$D$23='Start Here'!$B$9),IF(Nonlabor!$E$23="Core",1,IF(Nonlabor!$E$23="AI",'Start Here'!$B$7,'Start Here'!$B$8))=1,C1080&gt;=IF(Nonlabor!$E$23="Core",Nonlabor!$F$23,MAX(Nonlabor!$F$23,IF(Nonlabor!$E$23="AI",Assumptions!$C$24,Assumptions!$C$25))),C1080&lt;=Nonlabor!$G$23,OR(Nonlabor!$H$23="Monthly",AND(Nonlabor!$H$23="Once",C1080=IF(Nonlabor!$E$23="Core",Nonlabor!$F$23,MAX(Nonlabor!$F$23,IF(Nonlabor!$E$23="AI",Assumptions!$C$24,Assumptions!$C$25)))),AND(Nonlabor!$H$23="Annual",MOD(C1080-IF(Nonlabor!$E$23="Core",Nonlabor!$F$23,MAX(Nonlabor!$F$23,IF(Nonlabor!$E$23="AI",Assumptions!$C$24,Assumptions!$C$25))),12)=0))),IF(Nonlabor!$I$23="Fixed",1,IF(Nonlabor!$I$23="Seats",ROUNDUP('Monthly Lean'!I60,0),IF(Nonlabor!$I$23="Customers",'Monthly Lean'!D60,IF(Nonlabor!$I$23="NewCustomers",'Monthly Lean'!C60,IF(Nonlabor!$I$23="StorageGB",'Monthly Lean'!G60,IF(Nonlabor!$I$23="LogGB",'Monthly Lean'!H60,IF(Nonlabor!$I$23="RequestsM",'Monthly Lean'!F60,IF(Nonlabor!$I$23="InputM",'Monthly Lean'!D60*Assumptions!$C$22/1000000,IF(Nonlabor!$I$23="OutputM",'Monthly Lean'!D60*Assumptions!$C$23/1000000,0))))))))),0)</f>
        <v>0.9765625</v>
      </c>
      <c r="F1080" s="10" t="n">
        <f aca="false">Nonlabor!$J$23*(1+Assumptions!$C$9)^INT((C1080-1)/12)</f>
        <v>337.652643</v>
      </c>
      <c r="G1080" s="10" t="n">
        <f aca="false">E1080*F1080</f>
        <v>329.738909179688</v>
      </c>
      <c r="H1080" s="10" t="n">
        <f aca="false">IF(OR(Nonlabor!$L$23="Quote required",Nonlabor!$L$23="Unverified"),G1080,0)</f>
        <v>0</v>
      </c>
      <c r="I1080" s="10" t="n">
        <f aca="false">IF(Nonlabor!$E$23="Core",0,G1080)</f>
        <v>0</v>
      </c>
      <c r="J1080" s="23" t="str">
        <f aca="false">Nonlabor!$B$23</f>
        <v>ONBOARD</v>
      </c>
    </row>
    <row r="1081" customFormat="false" ht="15" hidden="false" customHeight="false" outlineLevel="0" collapsed="false">
      <c r="A1081" s="6" t="s">
        <v>72</v>
      </c>
      <c r="B1081" s="6" t="s">
        <v>57</v>
      </c>
      <c r="C1081" s="6" t="n">
        <v>56</v>
      </c>
      <c r="D1081" s="25" t="n">
        <f aca="false">EDATE('Start Here'!$B$6,C1081-1)</f>
        <v>48000</v>
      </c>
      <c r="E1081" s="11" t="n">
        <f aca="false">IF(AND(OR(Nonlabor!$D$23="Both",Nonlabor!$D$23='Start Here'!$B$9),IF(Nonlabor!$E$23="Core",1,IF(Nonlabor!$E$23="AI",'Start Here'!$B$7,'Start Here'!$B$8))=1,C1081&gt;=IF(Nonlabor!$E$23="Core",Nonlabor!$F$23,MAX(Nonlabor!$F$23,IF(Nonlabor!$E$23="AI",Assumptions!$C$24,Assumptions!$C$25))),C1081&lt;=Nonlabor!$G$23,OR(Nonlabor!$H$23="Monthly",AND(Nonlabor!$H$23="Once",C1081=IF(Nonlabor!$E$23="Core",Nonlabor!$F$23,MAX(Nonlabor!$F$23,IF(Nonlabor!$E$23="AI",Assumptions!$C$24,Assumptions!$C$25)))),AND(Nonlabor!$H$23="Annual",MOD(C1081-IF(Nonlabor!$E$23="Core",Nonlabor!$F$23,MAX(Nonlabor!$F$23,IF(Nonlabor!$E$23="AI",Assumptions!$C$24,Assumptions!$C$25))),12)=0))),IF(Nonlabor!$I$23="Fixed",1,IF(Nonlabor!$I$23="Seats",ROUNDUP('Monthly Lean'!I61,0),IF(Nonlabor!$I$23="Customers",'Monthly Lean'!D61,IF(Nonlabor!$I$23="NewCustomers",'Monthly Lean'!C61,IF(Nonlabor!$I$23="StorageGB",'Monthly Lean'!G61,IF(Nonlabor!$I$23="LogGB",'Monthly Lean'!H61,IF(Nonlabor!$I$23="RequestsM",'Monthly Lean'!F61,IF(Nonlabor!$I$23="InputM",'Monthly Lean'!D61*Assumptions!$C$22/1000000,IF(Nonlabor!$I$23="OutputM",'Monthly Lean'!D61*Assumptions!$C$23/1000000,0))))))))),0)</f>
        <v>0.9765625</v>
      </c>
      <c r="F1081" s="10" t="n">
        <f aca="false">Nonlabor!$J$23*(1+Assumptions!$C$9)^INT((C1081-1)/12)</f>
        <v>337.652643</v>
      </c>
      <c r="G1081" s="10" t="n">
        <f aca="false">E1081*F1081</f>
        <v>329.738909179688</v>
      </c>
      <c r="H1081" s="10" t="n">
        <f aca="false">IF(OR(Nonlabor!$L$23="Quote required",Nonlabor!$L$23="Unverified"),G1081,0)</f>
        <v>0</v>
      </c>
      <c r="I1081" s="10" t="n">
        <f aca="false">IF(Nonlabor!$E$23="Core",0,G1081)</f>
        <v>0</v>
      </c>
      <c r="J1081" s="23" t="str">
        <f aca="false">Nonlabor!$B$23</f>
        <v>ONBOARD</v>
      </c>
    </row>
    <row r="1082" customFormat="false" ht="15" hidden="false" customHeight="false" outlineLevel="0" collapsed="false">
      <c r="A1082" s="6" t="s">
        <v>72</v>
      </c>
      <c r="B1082" s="6" t="s">
        <v>57</v>
      </c>
      <c r="C1082" s="6" t="n">
        <v>57</v>
      </c>
      <c r="D1082" s="25" t="n">
        <f aca="false">EDATE('Start Here'!$B$6,C1082-1)</f>
        <v>48030</v>
      </c>
      <c r="E1082" s="11" t="n">
        <f aca="false">IF(AND(OR(Nonlabor!$D$23="Both",Nonlabor!$D$23='Start Here'!$B$9),IF(Nonlabor!$E$23="Core",1,IF(Nonlabor!$E$23="AI",'Start Here'!$B$7,'Start Here'!$B$8))=1,C1082&gt;=IF(Nonlabor!$E$23="Core",Nonlabor!$F$23,MAX(Nonlabor!$F$23,IF(Nonlabor!$E$23="AI",Assumptions!$C$24,Assumptions!$C$25))),C1082&lt;=Nonlabor!$G$23,OR(Nonlabor!$H$23="Monthly",AND(Nonlabor!$H$23="Once",C1082=IF(Nonlabor!$E$23="Core",Nonlabor!$F$23,MAX(Nonlabor!$F$23,IF(Nonlabor!$E$23="AI",Assumptions!$C$24,Assumptions!$C$25)))),AND(Nonlabor!$H$23="Annual",MOD(C1082-IF(Nonlabor!$E$23="Core",Nonlabor!$F$23,MAX(Nonlabor!$F$23,IF(Nonlabor!$E$23="AI",Assumptions!$C$24,Assumptions!$C$25))),12)=0))),IF(Nonlabor!$I$23="Fixed",1,IF(Nonlabor!$I$23="Seats",ROUNDUP('Monthly Lean'!I62,0),IF(Nonlabor!$I$23="Customers",'Monthly Lean'!D62,IF(Nonlabor!$I$23="NewCustomers",'Monthly Lean'!C62,IF(Nonlabor!$I$23="StorageGB",'Monthly Lean'!G62,IF(Nonlabor!$I$23="LogGB",'Monthly Lean'!H62,IF(Nonlabor!$I$23="RequestsM",'Monthly Lean'!F62,IF(Nonlabor!$I$23="InputM",'Monthly Lean'!D62*Assumptions!$C$22/1000000,IF(Nonlabor!$I$23="OutputM",'Monthly Lean'!D62*Assumptions!$C$23/1000000,0))))))))),0)</f>
        <v>0.9765625</v>
      </c>
      <c r="F1082" s="10" t="n">
        <f aca="false">Nonlabor!$J$23*(1+Assumptions!$C$9)^INT((C1082-1)/12)</f>
        <v>337.652643</v>
      </c>
      <c r="G1082" s="10" t="n">
        <f aca="false">E1082*F1082</f>
        <v>329.738909179688</v>
      </c>
      <c r="H1082" s="10" t="n">
        <f aca="false">IF(OR(Nonlabor!$L$23="Quote required",Nonlabor!$L$23="Unverified"),G1082,0)</f>
        <v>0</v>
      </c>
      <c r="I1082" s="10" t="n">
        <f aca="false">IF(Nonlabor!$E$23="Core",0,G1082)</f>
        <v>0</v>
      </c>
      <c r="J1082" s="23" t="str">
        <f aca="false">Nonlabor!$B$23</f>
        <v>ONBOARD</v>
      </c>
    </row>
    <row r="1083" customFormat="false" ht="15" hidden="false" customHeight="false" outlineLevel="0" collapsed="false">
      <c r="A1083" s="6" t="s">
        <v>72</v>
      </c>
      <c r="B1083" s="6" t="s">
        <v>57</v>
      </c>
      <c r="C1083" s="6" t="n">
        <v>58</v>
      </c>
      <c r="D1083" s="25" t="n">
        <f aca="false">EDATE('Start Here'!$B$6,C1083-1)</f>
        <v>48061</v>
      </c>
      <c r="E1083" s="11" t="n">
        <f aca="false">IF(AND(OR(Nonlabor!$D$23="Both",Nonlabor!$D$23='Start Here'!$B$9),IF(Nonlabor!$E$23="Core",1,IF(Nonlabor!$E$23="AI",'Start Here'!$B$7,'Start Here'!$B$8))=1,C1083&gt;=IF(Nonlabor!$E$23="Core",Nonlabor!$F$23,MAX(Nonlabor!$F$23,IF(Nonlabor!$E$23="AI",Assumptions!$C$24,Assumptions!$C$25))),C1083&lt;=Nonlabor!$G$23,OR(Nonlabor!$H$23="Monthly",AND(Nonlabor!$H$23="Once",C1083=IF(Nonlabor!$E$23="Core",Nonlabor!$F$23,MAX(Nonlabor!$F$23,IF(Nonlabor!$E$23="AI",Assumptions!$C$24,Assumptions!$C$25)))),AND(Nonlabor!$H$23="Annual",MOD(C1083-IF(Nonlabor!$E$23="Core",Nonlabor!$F$23,MAX(Nonlabor!$F$23,IF(Nonlabor!$E$23="AI",Assumptions!$C$24,Assumptions!$C$25))),12)=0))),IF(Nonlabor!$I$23="Fixed",1,IF(Nonlabor!$I$23="Seats",ROUNDUP('Monthly Lean'!I63,0),IF(Nonlabor!$I$23="Customers",'Monthly Lean'!D63,IF(Nonlabor!$I$23="NewCustomers",'Monthly Lean'!C63,IF(Nonlabor!$I$23="StorageGB",'Monthly Lean'!G63,IF(Nonlabor!$I$23="LogGB",'Monthly Lean'!H63,IF(Nonlabor!$I$23="RequestsM",'Monthly Lean'!F63,IF(Nonlabor!$I$23="InputM",'Monthly Lean'!D63*Assumptions!$C$22/1000000,IF(Nonlabor!$I$23="OutputM",'Monthly Lean'!D63*Assumptions!$C$23/1000000,0))))))))),0)</f>
        <v>0.9765625</v>
      </c>
      <c r="F1083" s="10" t="n">
        <f aca="false">Nonlabor!$J$23*(1+Assumptions!$C$9)^INT((C1083-1)/12)</f>
        <v>337.652643</v>
      </c>
      <c r="G1083" s="10" t="n">
        <f aca="false">E1083*F1083</f>
        <v>329.738909179688</v>
      </c>
      <c r="H1083" s="10" t="n">
        <f aca="false">IF(OR(Nonlabor!$L$23="Quote required",Nonlabor!$L$23="Unverified"),G1083,0)</f>
        <v>0</v>
      </c>
      <c r="I1083" s="10" t="n">
        <f aca="false">IF(Nonlabor!$E$23="Core",0,G1083)</f>
        <v>0</v>
      </c>
      <c r="J1083" s="23" t="str">
        <f aca="false">Nonlabor!$B$23</f>
        <v>ONBOARD</v>
      </c>
    </row>
    <row r="1084" customFormat="false" ht="15" hidden="false" customHeight="false" outlineLevel="0" collapsed="false">
      <c r="A1084" s="6" t="s">
        <v>72</v>
      </c>
      <c r="B1084" s="6" t="s">
        <v>57</v>
      </c>
      <c r="C1084" s="6" t="n">
        <v>59</v>
      </c>
      <c r="D1084" s="25" t="n">
        <f aca="false">EDATE('Start Here'!$B$6,C1084-1)</f>
        <v>48092</v>
      </c>
      <c r="E1084" s="11" t="n">
        <f aca="false">IF(AND(OR(Nonlabor!$D$23="Both",Nonlabor!$D$23='Start Here'!$B$9),IF(Nonlabor!$E$23="Core",1,IF(Nonlabor!$E$23="AI",'Start Here'!$B$7,'Start Here'!$B$8))=1,C1084&gt;=IF(Nonlabor!$E$23="Core",Nonlabor!$F$23,MAX(Nonlabor!$F$23,IF(Nonlabor!$E$23="AI",Assumptions!$C$24,Assumptions!$C$25))),C1084&lt;=Nonlabor!$G$23,OR(Nonlabor!$H$23="Monthly",AND(Nonlabor!$H$23="Once",C1084=IF(Nonlabor!$E$23="Core",Nonlabor!$F$23,MAX(Nonlabor!$F$23,IF(Nonlabor!$E$23="AI",Assumptions!$C$24,Assumptions!$C$25)))),AND(Nonlabor!$H$23="Annual",MOD(C1084-IF(Nonlabor!$E$23="Core",Nonlabor!$F$23,MAX(Nonlabor!$F$23,IF(Nonlabor!$E$23="AI",Assumptions!$C$24,Assumptions!$C$25))),12)=0))),IF(Nonlabor!$I$23="Fixed",1,IF(Nonlabor!$I$23="Seats",ROUNDUP('Monthly Lean'!I64,0),IF(Nonlabor!$I$23="Customers",'Monthly Lean'!D64,IF(Nonlabor!$I$23="NewCustomers",'Monthly Lean'!C64,IF(Nonlabor!$I$23="StorageGB",'Monthly Lean'!G64,IF(Nonlabor!$I$23="LogGB",'Monthly Lean'!H64,IF(Nonlabor!$I$23="RequestsM",'Monthly Lean'!F64,IF(Nonlabor!$I$23="InputM",'Monthly Lean'!D64*Assumptions!$C$22/1000000,IF(Nonlabor!$I$23="OutputM",'Monthly Lean'!D64*Assumptions!$C$23/1000000,0))))))))),0)</f>
        <v>0.9765625</v>
      </c>
      <c r="F1084" s="10" t="n">
        <f aca="false">Nonlabor!$J$23*(1+Assumptions!$C$9)^INT((C1084-1)/12)</f>
        <v>337.652643</v>
      </c>
      <c r="G1084" s="10" t="n">
        <f aca="false">E1084*F1084</f>
        <v>329.738909179688</v>
      </c>
      <c r="H1084" s="10" t="n">
        <f aca="false">IF(OR(Nonlabor!$L$23="Quote required",Nonlabor!$L$23="Unverified"),G1084,0)</f>
        <v>0</v>
      </c>
      <c r="I1084" s="10" t="n">
        <f aca="false">IF(Nonlabor!$E$23="Core",0,G1084)</f>
        <v>0</v>
      </c>
      <c r="J1084" s="23" t="str">
        <f aca="false">Nonlabor!$B$23</f>
        <v>ONBOARD</v>
      </c>
    </row>
    <row r="1085" customFormat="false" ht="15" hidden="false" customHeight="false" outlineLevel="0" collapsed="false">
      <c r="A1085" s="6" t="s">
        <v>72</v>
      </c>
      <c r="B1085" s="6" t="s">
        <v>57</v>
      </c>
      <c r="C1085" s="6" t="n">
        <v>60</v>
      </c>
      <c r="D1085" s="25" t="n">
        <f aca="false">EDATE('Start Here'!$B$6,C1085-1)</f>
        <v>48122</v>
      </c>
      <c r="E1085" s="11" t="n">
        <f aca="false">IF(AND(OR(Nonlabor!$D$23="Both",Nonlabor!$D$23='Start Here'!$B$9),IF(Nonlabor!$E$23="Core",1,IF(Nonlabor!$E$23="AI",'Start Here'!$B$7,'Start Here'!$B$8))=1,C1085&gt;=IF(Nonlabor!$E$23="Core",Nonlabor!$F$23,MAX(Nonlabor!$F$23,IF(Nonlabor!$E$23="AI",Assumptions!$C$24,Assumptions!$C$25))),C1085&lt;=Nonlabor!$G$23,OR(Nonlabor!$H$23="Monthly",AND(Nonlabor!$H$23="Once",C1085=IF(Nonlabor!$E$23="Core",Nonlabor!$F$23,MAX(Nonlabor!$F$23,IF(Nonlabor!$E$23="AI",Assumptions!$C$24,Assumptions!$C$25)))),AND(Nonlabor!$H$23="Annual",MOD(C1085-IF(Nonlabor!$E$23="Core",Nonlabor!$F$23,MAX(Nonlabor!$F$23,IF(Nonlabor!$E$23="AI",Assumptions!$C$24,Assumptions!$C$25))),12)=0))),IF(Nonlabor!$I$23="Fixed",1,IF(Nonlabor!$I$23="Seats",ROUNDUP('Monthly Lean'!I65,0),IF(Nonlabor!$I$23="Customers",'Monthly Lean'!D65,IF(Nonlabor!$I$23="NewCustomers",'Monthly Lean'!C65,IF(Nonlabor!$I$23="StorageGB",'Monthly Lean'!G65,IF(Nonlabor!$I$23="LogGB",'Monthly Lean'!H65,IF(Nonlabor!$I$23="RequestsM",'Monthly Lean'!F65,IF(Nonlabor!$I$23="InputM",'Monthly Lean'!D65*Assumptions!$C$22/1000000,IF(Nonlabor!$I$23="OutputM",'Monthly Lean'!D65*Assumptions!$C$23/1000000,0))))))))),0)</f>
        <v>0.9765625</v>
      </c>
      <c r="F1085" s="10" t="n">
        <f aca="false">Nonlabor!$J$23*(1+Assumptions!$C$9)^INT((C1085-1)/12)</f>
        <v>337.652643</v>
      </c>
      <c r="G1085" s="10" t="n">
        <f aca="false">E1085*F1085</f>
        <v>329.738909179688</v>
      </c>
      <c r="H1085" s="10" t="n">
        <f aca="false">IF(OR(Nonlabor!$L$23="Quote required",Nonlabor!$L$23="Unverified"),G1085,0)</f>
        <v>0</v>
      </c>
      <c r="I1085" s="10" t="n">
        <f aca="false">IF(Nonlabor!$E$23="Core",0,G1085)</f>
        <v>0</v>
      </c>
      <c r="J1085" s="23" t="str">
        <f aca="false">Nonlabor!$B$23</f>
        <v>ONBOARD</v>
      </c>
    </row>
    <row r="1086" customFormat="false" ht="15" hidden="false" customHeight="false" outlineLevel="0" collapsed="false">
      <c r="A1086" s="6" t="s">
        <v>72</v>
      </c>
      <c r="B1086" s="6" t="s">
        <v>428</v>
      </c>
      <c r="C1086" s="6" t="n">
        <v>1</v>
      </c>
      <c r="D1086" s="25" t="n">
        <f aca="false">EDATE('Start Here'!$B$6,C1086-1)</f>
        <v>46327</v>
      </c>
      <c r="E1086" s="23" t="n">
        <f aca="false">IF(AND(OR(Nonlabor!$D$24="Both",Nonlabor!$D$24='Start Here'!$B$9),IF(Nonlabor!$E$24="Core",1,IF(Nonlabor!$E$24="AI",'Start Here'!$B$7,'Start Here'!$B$8))=1,C1086&gt;=IF(Nonlabor!$E$24="Core",Nonlabor!$F$24,MAX(Nonlabor!$F$24,IF(Nonlabor!$E$24="AI",Assumptions!$C$24,Assumptions!$C$25))),C1086&lt;=Nonlabor!$G$24,OR(Nonlabor!$H$24="Monthly",AND(Nonlabor!$H$24="Once",C1086=IF(Nonlabor!$E$24="Core",Nonlabor!$F$24,MAX(Nonlabor!$F$24,IF(Nonlabor!$E$24="AI",Assumptions!$C$24,Assumptions!$C$25)))),AND(Nonlabor!$H$24="Annual",MOD(C1086-IF(Nonlabor!$E$24="Core",Nonlabor!$F$24,MAX(Nonlabor!$F$24,IF(Nonlabor!$E$24="AI",Assumptions!$C$24,Assumptions!$C$25))),12)=0))),IF(Nonlabor!$I$24="Fixed",1,IF(Nonlabor!$I$24="Seats",ROUNDUP('Monthly Lean'!I6,0),IF(Nonlabor!$I$24="Customers",'Monthly Lean'!D6,IF(Nonlabor!$I$24="NewCustomers",'Monthly Lean'!C6,IF(Nonlabor!$I$24="StorageGB",'Monthly Lean'!G6,IF(Nonlabor!$I$24="LogGB",'Monthly Lean'!H6,IF(Nonlabor!$I$24="RequestsM",'Monthly Lean'!F6,IF(Nonlabor!$I$24="InputM",'Monthly Lean'!D6*Assumptions!$C$22/1000000,IF(Nonlabor!$I$24="OutputM",'Monthly Lean'!D6*Assumptions!$C$23/1000000,0))))))))),0)</f>
        <v>0</v>
      </c>
      <c r="F1086" s="10" t="n">
        <f aca="false">Nonlabor!$J$24*(1+Assumptions!$C$9)^INT((C1086-1)/12)</f>
        <v>0.4</v>
      </c>
      <c r="G1086" s="10" t="n">
        <f aca="false">E1086*F1086</f>
        <v>0</v>
      </c>
      <c r="H1086" s="10" t="n">
        <f aca="false">IF(OR(Nonlabor!$L$24="Quote required",Nonlabor!$L$24="Unverified"),G1086,0)</f>
        <v>0</v>
      </c>
      <c r="I1086" s="10" t="n">
        <f aca="false">IF(Nonlabor!$E$24="Core",0,G1086)</f>
        <v>0</v>
      </c>
      <c r="J1086" s="23" t="str">
        <f aca="false">Nonlabor!$B$24</f>
        <v>AI</v>
      </c>
    </row>
    <row r="1087" customFormat="false" ht="15" hidden="false" customHeight="false" outlineLevel="0" collapsed="false">
      <c r="A1087" s="6" t="s">
        <v>72</v>
      </c>
      <c r="B1087" s="6" t="s">
        <v>428</v>
      </c>
      <c r="C1087" s="6" t="n">
        <v>2</v>
      </c>
      <c r="D1087" s="25" t="n">
        <f aca="false">EDATE('Start Here'!$B$6,C1087-1)</f>
        <v>46357</v>
      </c>
      <c r="E1087" s="23" t="n">
        <f aca="false">IF(AND(OR(Nonlabor!$D$24="Both",Nonlabor!$D$24='Start Here'!$B$9),IF(Nonlabor!$E$24="Core",1,IF(Nonlabor!$E$24="AI",'Start Here'!$B$7,'Start Here'!$B$8))=1,C1087&gt;=IF(Nonlabor!$E$24="Core",Nonlabor!$F$24,MAX(Nonlabor!$F$24,IF(Nonlabor!$E$24="AI",Assumptions!$C$24,Assumptions!$C$25))),C1087&lt;=Nonlabor!$G$24,OR(Nonlabor!$H$24="Monthly",AND(Nonlabor!$H$24="Once",C1087=IF(Nonlabor!$E$24="Core",Nonlabor!$F$24,MAX(Nonlabor!$F$24,IF(Nonlabor!$E$24="AI",Assumptions!$C$24,Assumptions!$C$25)))),AND(Nonlabor!$H$24="Annual",MOD(C1087-IF(Nonlabor!$E$24="Core",Nonlabor!$F$24,MAX(Nonlabor!$F$24,IF(Nonlabor!$E$24="AI",Assumptions!$C$24,Assumptions!$C$25))),12)=0))),IF(Nonlabor!$I$24="Fixed",1,IF(Nonlabor!$I$24="Seats",ROUNDUP('Monthly Lean'!I7,0),IF(Nonlabor!$I$24="Customers",'Monthly Lean'!D7,IF(Nonlabor!$I$24="NewCustomers",'Monthly Lean'!C7,IF(Nonlabor!$I$24="StorageGB",'Monthly Lean'!G7,IF(Nonlabor!$I$24="LogGB",'Monthly Lean'!H7,IF(Nonlabor!$I$24="RequestsM",'Monthly Lean'!F7,IF(Nonlabor!$I$24="InputM",'Monthly Lean'!D7*Assumptions!$C$22/1000000,IF(Nonlabor!$I$24="OutputM",'Monthly Lean'!D7*Assumptions!$C$23/1000000,0))))))))),0)</f>
        <v>0</v>
      </c>
      <c r="F1087" s="10" t="n">
        <f aca="false">Nonlabor!$J$24*(1+Assumptions!$C$9)^INT((C1087-1)/12)</f>
        <v>0.4</v>
      </c>
      <c r="G1087" s="10" t="n">
        <f aca="false">E1087*F1087</f>
        <v>0</v>
      </c>
      <c r="H1087" s="10" t="n">
        <f aca="false">IF(OR(Nonlabor!$L$24="Quote required",Nonlabor!$L$24="Unverified"),G1087,0)</f>
        <v>0</v>
      </c>
      <c r="I1087" s="10" t="n">
        <f aca="false">IF(Nonlabor!$E$24="Core",0,G1087)</f>
        <v>0</v>
      </c>
      <c r="J1087" s="23" t="str">
        <f aca="false">Nonlabor!$B$24</f>
        <v>AI</v>
      </c>
    </row>
    <row r="1088" customFormat="false" ht="15" hidden="false" customHeight="false" outlineLevel="0" collapsed="false">
      <c r="A1088" s="6" t="s">
        <v>72</v>
      </c>
      <c r="B1088" s="6" t="s">
        <v>428</v>
      </c>
      <c r="C1088" s="6" t="n">
        <v>3</v>
      </c>
      <c r="D1088" s="25" t="n">
        <f aca="false">EDATE('Start Here'!$B$6,C1088-1)</f>
        <v>46388</v>
      </c>
      <c r="E1088" s="23" t="n">
        <f aca="false">IF(AND(OR(Nonlabor!$D$24="Both",Nonlabor!$D$24='Start Here'!$B$9),IF(Nonlabor!$E$24="Core",1,IF(Nonlabor!$E$24="AI",'Start Here'!$B$7,'Start Here'!$B$8))=1,C1088&gt;=IF(Nonlabor!$E$24="Core",Nonlabor!$F$24,MAX(Nonlabor!$F$24,IF(Nonlabor!$E$24="AI",Assumptions!$C$24,Assumptions!$C$25))),C1088&lt;=Nonlabor!$G$24,OR(Nonlabor!$H$24="Monthly",AND(Nonlabor!$H$24="Once",C1088=IF(Nonlabor!$E$24="Core",Nonlabor!$F$24,MAX(Nonlabor!$F$24,IF(Nonlabor!$E$24="AI",Assumptions!$C$24,Assumptions!$C$25)))),AND(Nonlabor!$H$24="Annual",MOD(C1088-IF(Nonlabor!$E$24="Core",Nonlabor!$F$24,MAX(Nonlabor!$F$24,IF(Nonlabor!$E$24="AI",Assumptions!$C$24,Assumptions!$C$25))),12)=0))),IF(Nonlabor!$I$24="Fixed",1,IF(Nonlabor!$I$24="Seats",ROUNDUP('Monthly Lean'!I8,0),IF(Nonlabor!$I$24="Customers",'Monthly Lean'!D8,IF(Nonlabor!$I$24="NewCustomers",'Monthly Lean'!C8,IF(Nonlabor!$I$24="StorageGB",'Monthly Lean'!G8,IF(Nonlabor!$I$24="LogGB",'Monthly Lean'!H8,IF(Nonlabor!$I$24="RequestsM",'Monthly Lean'!F8,IF(Nonlabor!$I$24="InputM",'Monthly Lean'!D8*Assumptions!$C$22/1000000,IF(Nonlabor!$I$24="OutputM",'Monthly Lean'!D8*Assumptions!$C$23/1000000,0))))))))),0)</f>
        <v>0</v>
      </c>
      <c r="F1088" s="10" t="n">
        <f aca="false">Nonlabor!$J$24*(1+Assumptions!$C$9)^INT((C1088-1)/12)</f>
        <v>0.4</v>
      </c>
      <c r="G1088" s="10" t="n">
        <f aca="false">E1088*F1088</f>
        <v>0</v>
      </c>
      <c r="H1088" s="10" t="n">
        <f aca="false">IF(OR(Nonlabor!$L$24="Quote required",Nonlabor!$L$24="Unverified"),G1088,0)</f>
        <v>0</v>
      </c>
      <c r="I1088" s="10" t="n">
        <f aca="false">IF(Nonlabor!$E$24="Core",0,G1088)</f>
        <v>0</v>
      </c>
      <c r="J1088" s="23" t="str">
        <f aca="false">Nonlabor!$B$24</f>
        <v>AI</v>
      </c>
    </row>
    <row r="1089" customFormat="false" ht="15" hidden="false" customHeight="false" outlineLevel="0" collapsed="false">
      <c r="A1089" s="6" t="s">
        <v>72</v>
      </c>
      <c r="B1089" s="6" t="s">
        <v>428</v>
      </c>
      <c r="C1089" s="6" t="n">
        <v>4</v>
      </c>
      <c r="D1089" s="25" t="n">
        <f aca="false">EDATE('Start Here'!$B$6,C1089-1)</f>
        <v>46419</v>
      </c>
      <c r="E1089" s="23" t="n">
        <f aca="false">IF(AND(OR(Nonlabor!$D$24="Both",Nonlabor!$D$24='Start Here'!$B$9),IF(Nonlabor!$E$24="Core",1,IF(Nonlabor!$E$24="AI",'Start Here'!$B$7,'Start Here'!$B$8))=1,C1089&gt;=IF(Nonlabor!$E$24="Core",Nonlabor!$F$24,MAX(Nonlabor!$F$24,IF(Nonlabor!$E$24="AI",Assumptions!$C$24,Assumptions!$C$25))),C1089&lt;=Nonlabor!$G$24,OR(Nonlabor!$H$24="Monthly",AND(Nonlabor!$H$24="Once",C1089=IF(Nonlabor!$E$24="Core",Nonlabor!$F$24,MAX(Nonlabor!$F$24,IF(Nonlabor!$E$24="AI",Assumptions!$C$24,Assumptions!$C$25)))),AND(Nonlabor!$H$24="Annual",MOD(C1089-IF(Nonlabor!$E$24="Core",Nonlabor!$F$24,MAX(Nonlabor!$F$24,IF(Nonlabor!$E$24="AI",Assumptions!$C$24,Assumptions!$C$25))),12)=0))),IF(Nonlabor!$I$24="Fixed",1,IF(Nonlabor!$I$24="Seats",ROUNDUP('Monthly Lean'!I9,0),IF(Nonlabor!$I$24="Customers",'Monthly Lean'!D9,IF(Nonlabor!$I$24="NewCustomers",'Monthly Lean'!C9,IF(Nonlabor!$I$24="StorageGB",'Monthly Lean'!G9,IF(Nonlabor!$I$24="LogGB",'Monthly Lean'!H9,IF(Nonlabor!$I$24="RequestsM",'Monthly Lean'!F9,IF(Nonlabor!$I$24="InputM",'Monthly Lean'!D9*Assumptions!$C$22/1000000,IF(Nonlabor!$I$24="OutputM",'Monthly Lean'!D9*Assumptions!$C$23/1000000,0))))))))),0)</f>
        <v>0</v>
      </c>
      <c r="F1089" s="10" t="n">
        <f aca="false">Nonlabor!$J$24*(1+Assumptions!$C$9)^INT((C1089-1)/12)</f>
        <v>0.4</v>
      </c>
      <c r="G1089" s="10" t="n">
        <f aca="false">E1089*F1089</f>
        <v>0</v>
      </c>
      <c r="H1089" s="10" t="n">
        <f aca="false">IF(OR(Nonlabor!$L$24="Quote required",Nonlabor!$L$24="Unverified"),G1089,0)</f>
        <v>0</v>
      </c>
      <c r="I1089" s="10" t="n">
        <f aca="false">IF(Nonlabor!$E$24="Core",0,G1089)</f>
        <v>0</v>
      </c>
      <c r="J1089" s="23" t="str">
        <f aca="false">Nonlabor!$B$24</f>
        <v>AI</v>
      </c>
    </row>
    <row r="1090" customFormat="false" ht="15" hidden="false" customHeight="false" outlineLevel="0" collapsed="false">
      <c r="A1090" s="6" t="s">
        <v>72</v>
      </c>
      <c r="B1090" s="6" t="s">
        <v>428</v>
      </c>
      <c r="C1090" s="6" t="n">
        <v>5</v>
      </c>
      <c r="D1090" s="25" t="n">
        <f aca="false">EDATE('Start Here'!$B$6,C1090-1)</f>
        <v>46447</v>
      </c>
      <c r="E1090" s="23" t="n">
        <f aca="false">IF(AND(OR(Nonlabor!$D$24="Both",Nonlabor!$D$24='Start Here'!$B$9),IF(Nonlabor!$E$24="Core",1,IF(Nonlabor!$E$24="AI",'Start Here'!$B$7,'Start Here'!$B$8))=1,C1090&gt;=IF(Nonlabor!$E$24="Core",Nonlabor!$F$24,MAX(Nonlabor!$F$24,IF(Nonlabor!$E$24="AI",Assumptions!$C$24,Assumptions!$C$25))),C1090&lt;=Nonlabor!$G$24,OR(Nonlabor!$H$24="Monthly",AND(Nonlabor!$H$24="Once",C1090=IF(Nonlabor!$E$24="Core",Nonlabor!$F$24,MAX(Nonlabor!$F$24,IF(Nonlabor!$E$24="AI",Assumptions!$C$24,Assumptions!$C$25)))),AND(Nonlabor!$H$24="Annual",MOD(C1090-IF(Nonlabor!$E$24="Core",Nonlabor!$F$24,MAX(Nonlabor!$F$24,IF(Nonlabor!$E$24="AI",Assumptions!$C$24,Assumptions!$C$25))),12)=0))),IF(Nonlabor!$I$24="Fixed",1,IF(Nonlabor!$I$24="Seats",ROUNDUP('Monthly Lean'!I10,0),IF(Nonlabor!$I$24="Customers",'Monthly Lean'!D10,IF(Nonlabor!$I$24="NewCustomers",'Monthly Lean'!C10,IF(Nonlabor!$I$24="StorageGB",'Monthly Lean'!G10,IF(Nonlabor!$I$24="LogGB",'Monthly Lean'!H10,IF(Nonlabor!$I$24="RequestsM",'Monthly Lean'!F10,IF(Nonlabor!$I$24="InputM",'Monthly Lean'!D10*Assumptions!$C$22/1000000,IF(Nonlabor!$I$24="OutputM",'Monthly Lean'!D10*Assumptions!$C$23/1000000,0))))))))),0)</f>
        <v>0</v>
      </c>
      <c r="F1090" s="10" t="n">
        <f aca="false">Nonlabor!$J$24*(1+Assumptions!$C$9)^INT((C1090-1)/12)</f>
        <v>0.4</v>
      </c>
      <c r="G1090" s="10" t="n">
        <f aca="false">E1090*F1090</f>
        <v>0</v>
      </c>
      <c r="H1090" s="10" t="n">
        <f aca="false">IF(OR(Nonlabor!$L$24="Quote required",Nonlabor!$L$24="Unverified"),G1090,0)</f>
        <v>0</v>
      </c>
      <c r="I1090" s="10" t="n">
        <f aca="false">IF(Nonlabor!$E$24="Core",0,G1090)</f>
        <v>0</v>
      </c>
      <c r="J1090" s="23" t="str">
        <f aca="false">Nonlabor!$B$24</f>
        <v>AI</v>
      </c>
    </row>
    <row r="1091" customFormat="false" ht="15" hidden="false" customHeight="false" outlineLevel="0" collapsed="false">
      <c r="A1091" s="6" t="s">
        <v>72</v>
      </c>
      <c r="B1091" s="6" t="s">
        <v>428</v>
      </c>
      <c r="C1091" s="6" t="n">
        <v>6</v>
      </c>
      <c r="D1091" s="25" t="n">
        <f aca="false">EDATE('Start Here'!$B$6,C1091-1)</f>
        <v>46478</v>
      </c>
      <c r="E1091" s="23" t="n">
        <f aca="false">IF(AND(OR(Nonlabor!$D$24="Both",Nonlabor!$D$24='Start Here'!$B$9),IF(Nonlabor!$E$24="Core",1,IF(Nonlabor!$E$24="AI",'Start Here'!$B$7,'Start Here'!$B$8))=1,C1091&gt;=IF(Nonlabor!$E$24="Core",Nonlabor!$F$24,MAX(Nonlabor!$F$24,IF(Nonlabor!$E$24="AI",Assumptions!$C$24,Assumptions!$C$25))),C1091&lt;=Nonlabor!$G$24,OR(Nonlabor!$H$24="Monthly",AND(Nonlabor!$H$24="Once",C1091=IF(Nonlabor!$E$24="Core",Nonlabor!$F$24,MAX(Nonlabor!$F$24,IF(Nonlabor!$E$24="AI",Assumptions!$C$24,Assumptions!$C$25)))),AND(Nonlabor!$H$24="Annual",MOD(C1091-IF(Nonlabor!$E$24="Core",Nonlabor!$F$24,MAX(Nonlabor!$F$24,IF(Nonlabor!$E$24="AI",Assumptions!$C$24,Assumptions!$C$25))),12)=0))),IF(Nonlabor!$I$24="Fixed",1,IF(Nonlabor!$I$24="Seats",ROUNDUP('Monthly Lean'!I11,0),IF(Nonlabor!$I$24="Customers",'Monthly Lean'!D11,IF(Nonlabor!$I$24="NewCustomers",'Monthly Lean'!C11,IF(Nonlabor!$I$24="StorageGB",'Monthly Lean'!G11,IF(Nonlabor!$I$24="LogGB",'Monthly Lean'!H11,IF(Nonlabor!$I$24="RequestsM",'Monthly Lean'!F11,IF(Nonlabor!$I$24="InputM",'Monthly Lean'!D11*Assumptions!$C$22/1000000,IF(Nonlabor!$I$24="OutputM",'Monthly Lean'!D11*Assumptions!$C$23/1000000,0))))))))),0)</f>
        <v>0</v>
      </c>
      <c r="F1091" s="10" t="n">
        <f aca="false">Nonlabor!$J$24*(1+Assumptions!$C$9)^INT((C1091-1)/12)</f>
        <v>0.4</v>
      </c>
      <c r="G1091" s="10" t="n">
        <f aca="false">E1091*F1091</f>
        <v>0</v>
      </c>
      <c r="H1091" s="10" t="n">
        <f aca="false">IF(OR(Nonlabor!$L$24="Quote required",Nonlabor!$L$24="Unverified"),G1091,0)</f>
        <v>0</v>
      </c>
      <c r="I1091" s="10" t="n">
        <f aca="false">IF(Nonlabor!$E$24="Core",0,G1091)</f>
        <v>0</v>
      </c>
      <c r="J1091" s="23" t="str">
        <f aca="false">Nonlabor!$B$24</f>
        <v>AI</v>
      </c>
    </row>
    <row r="1092" customFormat="false" ht="15" hidden="false" customHeight="false" outlineLevel="0" collapsed="false">
      <c r="A1092" s="6" t="s">
        <v>72</v>
      </c>
      <c r="B1092" s="6" t="s">
        <v>428</v>
      </c>
      <c r="C1092" s="6" t="n">
        <v>7</v>
      </c>
      <c r="D1092" s="25" t="n">
        <f aca="false">EDATE('Start Here'!$B$6,C1092-1)</f>
        <v>46508</v>
      </c>
      <c r="E1092" s="23" t="n">
        <f aca="false">IF(AND(OR(Nonlabor!$D$24="Both",Nonlabor!$D$24='Start Here'!$B$9),IF(Nonlabor!$E$24="Core",1,IF(Nonlabor!$E$24="AI",'Start Here'!$B$7,'Start Here'!$B$8))=1,C1092&gt;=IF(Nonlabor!$E$24="Core",Nonlabor!$F$24,MAX(Nonlabor!$F$24,IF(Nonlabor!$E$24="AI",Assumptions!$C$24,Assumptions!$C$25))),C1092&lt;=Nonlabor!$G$24,OR(Nonlabor!$H$24="Monthly",AND(Nonlabor!$H$24="Once",C1092=IF(Nonlabor!$E$24="Core",Nonlabor!$F$24,MAX(Nonlabor!$F$24,IF(Nonlabor!$E$24="AI",Assumptions!$C$24,Assumptions!$C$25)))),AND(Nonlabor!$H$24="Annual",MOD(C1092-IF(Nonlabor!$E$24="Core",Nonlabor!$F$24,MAX(Nonlabor!$F$24,IF(Nonlabor!$E$24="AI",Assumptions!$C$24,Assumptions!$C$25))),12)=0))),IF(Nonlabor!$I$24="Fixed",1,IF(Nonlabor!$I$24="Seats",ROUNDUP('Monthly Lean'!I12,0),IF(Nonlabor!$I$24="Customers",'Monthly Lean'!D12,IF(Nonlabor!$I$24="NewCustomers",'Monthly Lean'!C12,IF(Nonlabor!$I$24="StorageGB",'Monthly Lean'!G12,IF(Nonlabor!$I$24="LogGB",'Monthly Lean'!H12,IF(Nonlabor!$I$24="RequestsM",'Monthly Lean'!F12,IF(Nonlabor!$I$24="InputM",'Monthly Lean'!D12*Assumptions!$C$22/1000000,IF(Nonlabor!$I$24="OutputM",'Monthly Lean'!D12*Assumptions!$C$23/1000000,0))))))))),0)</f>
        <v>0</v>
      </c>
      <c r="F1092" s="10" t="n">
        <f aca="false">Nonlabor!$J$24*(1+Assumptions!$C$9)^INT((C1092-1)/12)</f>
        <v>0.4</v>
      </c>
      <c r="G1092" s="10" t="n">
        <f aca="false">E1092*F1092</f>
        <v>0</v>
      </c>
      <c r="H1092" s="10" t="n">
        <f aca="false">IF(OR(Nonlabor!$L$24="Quote required",Nonlabor!$L$24="Unverified"),G1092,0)</f>
        <v>0</v>
      </c>
      <c r="I1092" s="10" t="n">
        <f aca="false">IF(Nonlabor!$E$24="Core",0,G1092)</f>
        <v>0</v>
      </c>
      <c r="J1092" s="23" t="str">
        <f aca="false">Nonlabor!$B$24</f>
        <v>AI</v>
      </c>
    </row>
    <row r="1093" customFormat="false" ht="15" hidden="false" customHeight="false" outlineLevel="0" collapsed="false">
      <c r="A1093" s="6" t="s">
        <v>72</v>
      </c>
      <c r="B1093" s="6" t="s">
        <v>428</v>
      </c>
      <c r="C1093" s="6" t="n">
        <v>8</v>
      </c>
      <c r="D1093" s="25" t="n">
        <f aca="false">EDATE('Start Here'!$B$6,C1093-1)</f>
        <v>46539</v>
      </c>
      <c r="E1093" s="23" t="n">
        <f aca="false">IF(AND(OR(Nonlabor!$D$24="Both",Nonlabor!$D$24='Start Here'!$B$9),IF(Nonlabor!$E$24="Core",1,IF(Nonlabor!$E$24="AI",'Start Here'!$B$7,'Start Here'!$B$8))=1,C1093&gt;=IF(Nonlabor!$E$24="Core",Nonlabor!$F$24,MAX(Nonlabor!$F$24,IF(Nonlabor!$E$24="AI",Assumptions!$C$24,Assumptions!$C$25))),C1093&lt;=Nonlabor!$G$24,OR(Nonlabor!$H$24="Monthly",AND(Nonlabor!$H$24="Once",C1093=IF(Nonlabor!$E$24="Core",Nonlabor!$F$24,MAX(Nonlabor!$F$24,IF(Nonlabor!$E$24="AI",Assumptions!$C$24,Assumptions!$C$25)))),AND(Nonlabor!$H$24="Annual",MOD(C1093-IF(Nonlabor!$E$24="Core",Nonlabor!$F$24,MAX(Nonlabor!$F$24,IF(Nonlabor!$E$24="AI",Assumptions!$C$24,Assumptions!$C$25))),12)=0))),IF(Nonlabor!$I$24="Fixed",1,IF(Nonlabor!$I$24="Seats",ROUNDUP('Monthly Lean'!I13,0),IF(Nonlabor!$I$24="Customers",'Monthly Lean'!D13,IF(Nonlabor!$I$24="NewCustomers",'Monthly Lean'!C13,IF(Nonlabor!$I$24="StorageGB",'Monthly Lean'!G13,IF(Nonlabor!$I$24="LogGB",'Monthly Lean'!H13,IF(Nonlabor!$I$24="RequestsM",'Monthly Lean'!F13,IF(Nonlabor!$I$24="InputM",'Monthly Lean'!D13*Assumptions!$C$22/1000000,IF(Nonlabor!$I$24="OutputM",'Monthly Lean'!D13*Assumptions!$C$23/1000000,0))))))))),0)</f>
        <v>0</v>
      </c>
      <c r="F1093" s="10" t="n">
        <f aca="false">Nonlabor!$J$24*(1+Assumptions!$C$9)^INT((C1093-1)/12)</f>
        <v>0.4</v>
      </c>
      <c r="G1093" s="10" t="n">
        <f aca="false">E1093*F1093</f>
        <v>0</v>
      </c>
      <c r="H1093" s="10" t="n">
        <f aca="false">IF(OR(Nonlabor!$L$24="Quote required",Nonlabor!$L$24="Unverified"),G1093,0)</f>
        <v>0</v>
      </c>
      <c r="I1093" s="10" t="n">
        <f aca="false">IF(Nonlabor!$E$24="Core",0,G1093)</f>
        <v>0</v>
      </c>
      <c r="J1093" s="23" t="str">
        <f aca="false">Nonlabor!$B$24</f>
        <v>AI</v>
      </c>
    </row>
    <row r="1094" customFormat="false" ht="15" hidden="false" customHeight="false" outlineLevel="0" collapsed="false">
      <c r="A1094" s="6" t="s">
        <v>72</v>
      </c>
      <c r="B1094" s="6" t="s">
        <v>428</v>
      </c>
      <c r="C1094" s="6" t="n">
        <v>9</v>
      </c>
      <c r="D1094" s="25" t="n">
        <f aca="false">EDATE('Start Here'!$B$6,C1094-1)</f>
        <v>46569</v>
      </c>
      <c r="E1094" s="23" t="n">
        <f aca="false">IF(AND(OR(Nonlabor!$D$24="Both",Nonlabor!$D$24='Start Here'!$B$9),IF(Nonlabor!$E$24="Core",1,IF(Nonlabor!$E$24="AI",'Start Here'!$B$7,'Start Here'!$B$8))=1,C1094&gt;=IF(Nonlabor!$E$24="Core",Nonlabor!$F$24,MAX(Nonlabor!$F$24,IF(Nonlabor!$E$24="AI",Assumptions!$C$24,Assumptions!$C$25))),C1094&lt;=Nonlabor!$G$24,OR(Nonlabor!$H$24="Monthly",AND(Nonlabor!$H$24="Once",C1094=IF(Nonlabor!$E$24="Core",Nonlabor!$F$24,MAX(Nonlabor!$F$24,IF(Nonlabor!$E$24="AI",Assumptions!$C$24,Assumptions!$C$25)))),AND(Nonlabor!$H$24="Annual",MOD(C1094-IF(Nonlabor!$E$24="Core",Nonlabor!$F$24,MAX(Nonlabor!$F$24,IF(Nonlabor!$E$24="AI",Assumptions!$C$24,Assumptions!$C$25))),12)=0))),IF(Nonlabor!$I$24="Fixed",1,IF(Nonlabor!$I$24="Seats",ROUNDUP('Monthly Lean'!I14,0),IF(Nonlabor!$I$24="Customers",'Monthly Lean'!D14,IF(Nonlabor!$I$24="NewCustomers",'Monthly Lean'!C14,IF(Nonlabor!$I$24="StorageGB",'Monthly Lean'!G14,IF(Nonlabor!$I$24="LogGB",'Monthly Lean'!H14,IF(Nonlabor!$I$24="RequestsM",'Monthly Lean'!F14,IF(Nonlabor!$I$24="InputM",'Monthly Lean'!D14*Assumptions!$C$22/1000000,IF(Nonlabor!$I$24="OutputM",'Monthly Lean'!D14*Assumptions!$C$23/1000000,0))))))))),0)</f>
        <v>0</v>
      </c>
      <c r="F1094" s="10" t="n">
        <f aca="false">Nonlabor!$J$24*(1+Assumptions!$C$9)^INT((C1094-1)/12)</f>
        <v>0.4</v>
      </c>
      <c r="G1094" s="10" t="n">
        <f aca="false">E1094*F1094</f>
        <v>0</v>
      </c>
      <c r="H1094" s="10" t="n">
        <f aca="false">IF(OR(Nonlabor!$L$24="Quote required",Nonlabor!$L$24="Unverified"),G1094,0)</f>
        <v>0</v>
      </c>
      <c r="I1094" s="10" t="n">
        <f aca="false">IF(Nonlabor!$E$24="Core",0,G1094)</f>
        <v>0</v>
      </c>
      <c r="J1094" s="23" t="str">
        <f aca="false">Nonlabor!$B$24</f>
        <v>AI</v>
      </c>
    </row>
    <row r="1095" customFormat="false" ht="15" hidden="false" customHeight="false" outlineLevel="0" collapsed="false">
      <c r="A1095" s="6" t="s">
        <v>72</v>
      </c>
      <c r="B1095" s="6" t="s">
        <v>428</v>
      </c>
      <c r="C1095" s="6" t="n">
        <v>10</v>
      </c>
      <c r="D1095" s="25" t="n">
        <f aca="false">EDATE('Start Here'!$B$6,C1095-1)</f>
        <v>46600</v>
      </c>
      <c r="E1095" s="23" t="n">
        <f aca="false">IF(AND(OR(Nonlabor!$D$24="Both",Nonlabor!$D$24='Start Here'!$B$9),IF(Nonlabor!$E$24="Core",1,IF(Nonlabor!$E$24="AI",'Start Here'!$B$7,'Start Here'!$B$8))=1,C1095&gt;=IF(Nonlabor!$E$24="Core",Nonlabor!$F$24,MAX(Nonlabor!$F$24,IF(Nonlabor!$E$24="AI",Assumptions!$C$24,Assumptions!$C$25))),C1095&lt;=Nonlabor!$G$24,OR(Nonlabor!$H$24="Monthly",AND(Nonlabor!$H$24="Once",C1095=IF(Nonlabor!$E$24="Core",Nonlabor!$F$24,MAX(Nonlabor!$F$24,IF(Nonlabor!$E$24="AI",Assumptions!$C$24,Assumptions!$C$25)))),AND(Nonlabor!$H$24="Annual",MOD(C1095-IF(Nonlabor!$E$24="Core",Nonlabor!$F$24,MAX(Nonlabor!$F$24,IF(Nonlabor!$E$24="AI",Assumptions!$C$24,Assumptions!$C$25))),12)=0))),IF(Nonlabor!$I$24="Fixed",1,IF(Nonlabor!$I$24="Seats",ROUNDUP('Monthly Lean'!I15,0),IF(Nonlabor!$I$24="Customers",'Monthly Lean'!D15,IF(Nonlabor!$I$24="NewCustomers",'Monthly Lean'!C15,IF(Nonlabor!$I$24="StorageGB",'Monthly Lean'!G15,IF(Nonlabor!$I$24="LogGB",'Monthly Lean'!H15,IF(Nonlabor!$I$24="RequestsM",'Monthly Lean'!F15,IF(Nonlabor!$I$24="InputM",'Monthly Lean'!D15*Assumptions!$C$22/1000000,IF(Nonlabor!$I$24="OutputM",'Monthly Lean'!D15*Assumptions!$C$23/1000000,0))))))))),0)</f>
        <v>0</v>
      </c>
      <c r="F1095" s="10" t="n">
        <f aca="false">Nonlabor!$J$24*(1+Assumptions!$C$9)^INT((C1095-1)/12)</f>
        <v>0.4</v>
      </c>
      <c r="G1095" s="10" t="n">
        <f aca="false">E1095*F1095</f>
        <v>0</v>
      </c>
      <c r="H1095" s="10" t="n">
        <f aca="false">IF(OR(Nonlabor!$L$24="Quote required",Nonlabor!$L$24="Unverified"),G1095,0)</f>
        <v>0</v>
      </c>
      <c r="I1095" s="10" t="n">
        <f aca="false">IF(Nonlabor!$E$24="Core",0,G1095)</f>
        <v>0</v>
      </c>
      <c r="J1095" s="23" t="str">
        <f aca="false">Nonlabor!$B$24</f>
        <v>AI</v>
      </c>
    </row>
    <row r="1096" customFormat="false" ht="15" hidden="false" customHeight="false" outlineLevel="0" collapsed="false">
      <c r="A1096" s="6" t="s">
        <v>72</v>
      </c>
      <c r="B1096" s="6" t="s">
        <v>428</v>
      </c>
      <c r="C1096" s="6" t="n">
        <v>11</v>
      </c>
      <c r="D1096" s="25" t="n">
        <f aca="false">EDATE('Start Here'!$B$6,C1096-1)</f>
        <v>46631</v>
      </c>
      <c r="E1096" s="23" t="n">
        <f aca="false">IF(AND(OR(Nonlabor!$D$24="Both",Nonlabor!$D$24='Start Here'!$B$9),IF(Nonlabor!$E$24="Core",1,IF(Nonlabor!$E$24="AI",'Start Here'!$B$7,'Start Here'!$B$8))=1,C1096&gt;=IF(Nonlabor!$E$24="Core",Nonlabor!$F$24,MAX(Nonlabor!$F$24,IF(Nonlabor!$E$24="AI",Assumptions!$C$24,Assumptions!$C$25))),C1096&lt;=Nonlabor!$G$24,OR(Nonlabor!$H$24="Monthly",AND(Nonlabor!$H$24="Once",C1096=IF(Nonlabor!$E$24="Core",Nonlabor!$F$24,MAX(Nonlabor!$F$24,IF(Nonlabor!$E$24="AI",Assumptions!$C$24,Assumptions!$C$25)))),AND(Nonlabor!$H$24="Annual",MOD(C1096-IF(Nonlabor!$E$24="Core",Nonlabor!$F$24,MAX(Nonlabor!$F$24,IF(Nonlabor!$E$24="AI",Assumptions!$C$24,Assumptions!$C$25))),12)=0))),IF(Nonlabor!$I$24="Fixed",1,IF(Nonlabor!$I$24="Seats",ROUNDUP('Monthly Lean'!I16,0),IF(Nonlabor!$I$24="Customers",'Monthly Lean'!D16,IF(Nonlabor!$I$24="NewCustomers",'Monthly Lean'!C16,IF(Nonlabor!$I$24="StorageGB",'Monthly Lean'!G16,IF(Nonlabor!$I$24="LogGB",'Monthly Lean'!H16,IF(Nonlabor!$I$24="RequestsM",'Monthly Lean'!F16,IF(Nonlabor!$I$24="InputM",'Monthly Lean'!D16*Assumptions!$C$22/1000000,IF(Nonlabor!$I$24="OutputM",'Monthly Lean'!D16*Assumptions!$C$23/1000000,0))))))))),0)</f>
        <v>0</v>
      </c>
      <c r="F1096" s="10" t="n">
        <f aca="false">Nonlabor!$J$24*(1+Assumptions!$C$9)^INT((C1096-1)/12)</f>
        <v>0.4</v>
      </c>
      <c r="G1096" s="10" t="n">
        <f aca="false">E1096*F1096</f>
        <v>0</v>
      </c>
      <c r="H1096" s="10" t="n">
        <f aca="false">IF(OR(Nonlabor!$L$24="Quote required",Nonlabor!$L$24="Unverified"),G1096,0)</f>
        <v>0</v>
      </c>
      <c r="I1096" s="10" t="n">
        <f aca="false">IF(Nonlabor!$E$24="Core",0,G1096)</f>
        <v>0</v>
      </c>
      <c r="J1096" s="23" t="str">
        <f aca="false">Nonlabor!$B$24</f>
        <v>AI</v>
      </c>
    </row>
    <row r="1097" customFormat="false" ht="15" hidden="false" customHeight="false" outlineLevel="0" collapsed="false">
      <c r="A1097" s="6" t="s">
        <v>72</v>
      </c>
      <c r="B1097" s="6" t="s">
        <v>428</v>
      </c>
      <c r="C1097" s="6" t="n">
        <v>12</v>
      </c>
      <c r="D1097" s="25" t="n">
        <f aca="false">EDATE('Start Here'!$B$6,C1097-1)</f>
        <v>46661</v>
      </c>
      <c r="E1097" s="23" t="n">
        <f aca="false">IF(AND(OR(Nonlabor!$D$24="Both",Nonlabor!$D$24='Start Here'!$B$9),IF(Nonlabor!$E$24="Core",1,IF(Nonlabor!$E$24="AI",'Start Here'!$B$7,'Start Here'!$B$8))=1,C1097&gt;=IF(Nonlabor!$E$24="Core",Nonlabor!$F$24,MAX(Nonlabor!$F$24,IF(Nonlabor!$E$24="AI",Assumptions!$C$24,Assumptions!$C$25))),C1097&lt;=Nonlabor!$G$24,OR(Nonlabor!$H$24="Monthly",AND(Nonlabor!$H$24="Once",C1097=IF(Nonlabor!$E$24="Core",Nonlabor!$F$24,MAX(Nonlabor!$F$24,IF(Nonlabor!$E$24="AI",Assumptions!$C$24,Assumptions!$C$25)))),AND(Nonlabor!$H$24="Annual",MOD(C1097-IF(Nonlabor!$E$24="Core",Nonlabor!$F$24,MAX(Nonlabor!$F$24,IF(Nonlabor!$E$24="AI",Assumptions!$C$24,Assumptions!$C$25))),12)=0))),IF(Nonlabor!$I$24="Fixed",1,IF(Nonlabor!$I$24="Seats",ROUNDUP('Monthly Lean'!I17,0),IF(Nonlabor!$I$24="Customers",'Monthly Lean'!D17,IF(Nonlabor!$I$24="NewCustomers",'Monthly Lean'!C17,IF(Nonlabor!$I$24="StorageGB",'Monthly Lean'!G17,IF(Nonlabor!$I$24="LogGB",'Monthly Lean'!H17,IF(Nonlabor!$I$24="RequestsM",'Monthly Lean'!F17,IF(Nonlabor!$I$24="InputM",'Monthly Lean'!D17*Assumptions!$C$22/1000000,IF(Nonlabor!$I$24="OutputM",'Monthly Lean'!D17*Assumptions!$C$23/1000000,0))))))))),0)</f>
        <v>0</v>
      </c>
      <c r="F1097" s="10" t="n">
        <f aca="false">Nonlabor!$J$24*(1+Assumptions!$C$9)^INT((C1097-1)/12)</f>
        <v>0.4</v>
      </c>
      <c r="G1097" s="10" t="n">
        <f aca="false">E1097*F1097</f>
        <v>0</v>
      </c>
      <c r="H1097" s="10" t="n">
        <f aca="false">IF(OR(Nonlabor!$L$24="Quote required",Nonlabor!$L$24="Unverified"),G1097,0)</f>
        <v>0</v>
      </c>
      <c r="I1097" s="10" t="n">
        <f aca="false">IF(Nonlabor!$E$24="Core",0,G1097)</f>
        <v>0</v>
      </c>
      <c r="J1097" s="23" t="str">
        <f aca="false">Nonlabor!$B$24</f>
        <v>AI</v>
      </c>
    </row>
    <row r="1098" customFormat="false" ht="15" hidden="false" customHeight="false" outlineLevel="0" collapsed="false">
      <c r="A1098" s="6" t="s">
        <v>72</v>
      </c>
      <c r="B1098" s="6" t="s">
        <v>428</v>
      </c>
      <c r="C1098" s="6" t="n">
        <v>13</v>
      </c>
      <c r="D1098" s="25" t="n">
        <f aca="false">EDATE('Start Here'!$B$6,C1098-1)</f>
        <v>46692</v>
      </c>
      <c r="E1098" s="23" t="n">
        <f aca="false">IF(AND(OR(Nonlabor!$D$24="Both",Nonlabor!$D$24='Start Here'!$B$9),IF(Nonlabor!$E$24="Core",1,IF(Nonlabor!$E$24="AI",'Start Here'!$B$7,'Start Here'!$B$8))=1,C1098&gt;=IF(Nonlabor!$E$24="Core",Nonlabor!$F$24,MAX(Nonlabor!$F$24,IF(Nonlabor!$E$24="AI",Assumptions!$C$24,Assumptions!$C$25))),C1098&lt;=Nonlabor!$G$24,OR(Nonlabor!$H$24="Monthly",AND(Nonlabor!$H$24="Once",C1098=IF(Nonlabor!$E$24="Core",Nonlabor!$F$24,MAX(Nonlabor!$F$24,IF(Nonlabor!$E$24="AI",Assumptions!$C$24,Assumptions!$C$25)))),AND(Nonlabor!$H$24="Annual",MOD(C1098-IF(Nonlabor!$E$24="Core",Nonlabor!$F$24,MAX(Nonlabor!$F$24,IF(Nonlabor!$E$24="AI",Assumptions!$C$24,Assumptions!$C$25))),12)=0))),IF(Nonlabor!$I$24="Fixed",1,IF(Nonlabor!$I$24="Seats",ROUNDUP('Monthly Lean'!I18,0),IF(Nonlabor!$I$24="Customers",'Monthly Lean'!D18,IF(Nonlabor!$I$24="NewCustomers",'Monthly Lean'!C18,IF(Nonlabor!$I$24="StorageGB",'Monthly Lean'!G18,IF(Nonlabor!$I$24="LogGB",'Monthly Lean'!H18,IF(Nonlabor!$I$24="RequestsM",'Monthly Lean'!F18,IF(Nonlabor!$I$24="InputM",'Monthly Lean'!D18*Assumptions!$C$22/1000000,IF(Nonlabor!$I$24="OutputM",'Monthly Lean'!D18*Assumptions!$C$23/1000000,0))))))))),0)</f>
        <v>0</v>
      </c>
      <c r="F1098" s="10" t="n">
        <f aca="false">Nonlabor!$J$24*(1+Assumptions!$C$9)^INT((C1098-1)/12)</f>
        <v>0.412</v>
      </c>
      <c r="G1098" s="10" t="n">
        <f aca="false">E1098*F1098</f>
        <v>0</v>
      </c>
      <c r="H1098" s="10" t="n">
        <f aca="false">IF(OR(Nonlabor!$L$24="Quote required",Nonlabor!$L$24="Unverified"),G1098,0)</f>
        <v>0</v>
      </c>
      <c r="I1098" s="10" t="n">
        <f aca="false">IF(Nonlabor!$E$24="Core",0,G1098)</f>
        <v>0</v>
      </c>
      <c r="J1098" s="23" t="str">
        <f aca="false">Nonlabor!$B$24</f>
        <v>AI</v>
      </c>
    </row>
    <row r="1099" customFormat="false" ht="15" hidden="false" customHeight="false" outlineLevel="0" collapsed="false">
      <c r="A1099" s="6" t="s">
        <v>72</v>
      </c>
      <c r="B1099" s="6" t="s">
        <v>428</v>
      </c>
      <c r="C1099" s="6" t="n">
        <v>14</v>
      </c>
      <c r="D1099" s="25" t="n">
        <f aca="false">EDATE('Start Here'!$B$6,C1099-1)</f>
        <v>46722</v>
      </c>
      <c r="E1099" s="23" t="n">
        <f aca="false">IF(AND(OR(Nonlabor!$D$24="Both",Nonlabor!$D$24='Start Here'!$B$9),IF(Nonlabor!$E$24="Core",1,IF(Nonlabor!$E$24="AI",'Start Here'!$B$7,'Start Here'!$B$8))=1,C1099&gt;=IF(Nonlabor!$E$24="Core",Nonlabor!$F$24,MAX(Nonlabor!$F$24,IF(Nonlabor!$E$24="AI",Assumptions!$C$24,Assumptions!$C$25))),C1099&lt;=Nonlabor!$G$24,OR(Nonlabor!$H$24="Monthly",AND(Nonlabor!$H$24="Once",C1099=IF(Nonlabor!$E$24="Core",Nonlabor!$F$24,MAX(Nonlabor!$F$24,IF(Nonlabor!$E$24="AI",Assumptions!$C$24,Assumptions!$C$25)))),AND(Nonlabor!$H$24="Annual",MOD(C1099-IF(Nonlabor!$E$24="Core",Nonlabor!$F$24,MAX(Nonlabor!$F$24,IF(Nonlabor!$E$24="AI",Assumptions!$C$24,Assumptions!$C$25))),12)=0))),IF(Nonlabor!$I$24="Fixed",1,IF(Nonlabor!$I$24="Seats",ROUNDUP('Monthly Lean'!I19,0),IF(Nonlabor!$I$24="Customers",'Monthly Lean'!D19,IF(Nonlabor!$I$24="NewCustomers",'Monthly Lean'!C19,IF(Nonlabor!$I$24="StorageGB",'Monthly Lean'!G19,IF(Nonlabor!$I$24="LogGB",'Monthly Lean'!H19,IF(Nonlabor!$I$24="RequestsM",'Monthly Lean'!F19,IF(Nonlabor!$I$24="InputM",'Monthly Lean'!D19*Assumptions!$C$22/1000000,IF(Nonlabor!$I$24="OutputM",'Monthly Lean'!D19*Assumptions!$C$23/1000000,0))))))))),0)</f>
        <v>0</v>
      </c>
      <c r="F1099" s="10" t="n">
        <f aca="false">Nonlabor!$J$24*(1+Assumptions!$C$9)^INT((C1099-1)/12)</f>
        <v>0.412</v>
      </c>
      <c r="G1099" s="10" t="n">
        <f aca="false">E1099*F1099</f>
        <v>0</v>
      </c>
      <c r="H1099" s="10" t="n">
        <f aca="false">IF(OR(Nonlabor!$L$24="Quote required",Nonlabor!$L$24="Unverified"),G1099,0)</f>
        <v>0</v>
      </c>
      <c r="I1099" s="10" t="n">
        <f aca="false">IF(Nonlabor!$E$24="Core",0,G1099)</f>
        <v>0</v>
      </c>
      <c r="J1099" s="23" t="str">
        <f aca="false">Nonlabor!$B$24</f>
        <v>AI</v>
      </c>
    </row>
    <row r="1100" customFormat="false" ht="15" hidden="false" customHeight="false" outlineLevel="0" collapsed="false">
      <c r="A1100" s="6" t="s">
        <v>72</v>
      </c>
      <c r="B1100" s="6" t="s">
        <v>428</v>
      </c>
      <c r="C1100" s="6" t="n">
        <v>15</v>
      </c>
      <c r="D1100" s="25" t="n">
        <f aca="false">EDATE('Start Here'!$B$6,C1100-1)</f>
        <v>46753</v>
      </c>
      <c r="E1100" s="23" t="n">
        <f aca="false">IF(AND(OR(Nonlabor!$D$24="Both",Nonlabor!$D$24='Start Here'!$B$9),IF(Nonlabor!$E$24="Core",1,IF(Nonlabor!$E$24="AI",'Start Here'!$B$7,'Start Here'!$B$8))=1,C1100&gt;=IF(Nonlabor!$E$24="Core",Nonlabor!$F$24,MAX(Nonlabor!$F$24,IF(Nonlabor!$E$24="AI",Assumptions!$C$24,Assumptions!$C$25))),C1100&lt;=Nonlabor!$G$24,OR(Nonlabor!$H$24="Monthly",AND(Nonlabor!$H$24="Once",C1100=IF(Nonlabor!$E$24="Core",Nonlabor!$F$24,MAX(Nonlabor!$F$24,IF(Nonlabor!$E$24="AI",Assumptions!$C$24,Assumptions!$C$25)))),AND(Nonlabor!$H$24="Annual",MOD(C1100-IF(Nonlabor!$E$24="Core",Nonlabor!$F$24,MAX(Nonlabor!$F$24,IF(Nonlabor!$E$24="AI",Assumptions!$C$24,Assumptions!$C$25))),12)=0))),IF(Nonlabor!$I$24="Fixed",1,IF(Nonlabor!$I$24="Seats",ROUNDUP('Monthly Lean'!I20,0),IF(Nonlabor!$I$24="Customers",'Monthly Lean'!D20,IF(Nonlabor!$I$24="NewCustomers",'Monthly Lean'!C20,IF(Nonlabor!$I$24="StorageGB",'Monthly Lean'!G20,IF(Nonlabor!$I$24="LogGB",'Monthly Lean'!H20,IF(Nonlabor!$I$24="RequestsM",'Monthly Lean'!F20,IF(Nonlabor!$I$24="InputM",'Monthly Lean'!D20*Assumptions!$C$22/1000000,IF(Nonlabor!$I$24="OutputM",'Monthly Lean'!D20*Assumptions!$C$23/1000000,0))))))))),0)</f>
        <v>0</v>
      </c>
      <c r="F1100" s="10" t="n">
        <f aca="false">Nonlabor!$J$24*(1+Assumptions!$C$9)^INT((C1100-1)/12)</f>
        <v>0.412</v>
      </c>
      <c r="G1100" s="10" t="n">
        <f aca="false">E1100*F1100</f>
        <v>0</v>
      </c>
      <c r="H1100" s="10" t="n">
        <f aca="false">IF(OR(Nonlabor!$L$24="Quote required",Nonlabor!$L$24="Unverified"),G1100,0)</f>
        <v>0</v>
      </c>
      <c r="I1100" s="10" t="n">
        <f aca="false">IF(Nonlabor!$E$24="Core",0,G1100)</f>
        <v>0</v>
      </c>
      <c r="J1100" s="23" t="str">
        <f aca="false">Nonlabor!$B$24</f>
        <v>AI</v>
      </c>
    </row>
    <row r="1101" customFormat="false" ht="15" hidden="false" customHeight="false" outlineLevel="0" collapsed="false">
      <c r="A1101" s="6" t="s">
        <v>72</v>
      </c>
      <c r="B1101" s="6" t="s">
        <v>428</v>
      </c>
      <c r="C1101" s="6" t="n">
        <v>16</v>
      </c>
      <c r="D1101" s="25" t="n">
        <f aca="false">EDATE('Start Here'!$B$6,C1101-1)</f>
        <v>46784</v>
      </c>
      <c r="E1101" s="23" t="n">
        <f aca="false">IF(AND(OR(Nonlabor!$D$24="Both",Nonlabor!$D$24='Start Here'!$B$9),IF(Nonlabor!$E$24="Core",1,IF(Nonlabor!$E$24="AI",'Start Here'!$B$7,'Start Here'!$B$8))=1,C1101&gt;=IF(Nonlabor!$E$24="Core",Nonlabor!$F$24,MAX(Nonlabor!$F$24,IF(Nonlabor!$E$24="AI",Assumptions!$C$24,Assumptions!$C$25))),C1101&lt;=Nonlabor!$G$24,OR(Nonlabor!$H$24="Monthly",AND(Nonlabor!$H$24="Once",C1101=IF(Nonlabor!$E$24="Core",Nonlabor!$F$24,MAX(Nonlabor!$F$24,IF(Nonlabor!$E$24="AI",Assumptions!$C$24,Assumptions!$C$25)))),AND(Nonlabor!$H$24="Annual",MOD(C1101-IF(Nonlabor!$E$24="Core",Nonlabor!$F$24,MAX(Nonlabor!$F$24,IF(Nonlabor!$E$24="AI",Assumptions!$C$24,Assumptions!$C$25))),12)=0))),IF(Nonlabor!$I$24="Fixed",1,IF(Nonlabor!$I$24="Seats",ROUNDUP('Monthly Lean'!I21,0),IF(Nonlabor!$I$24="Customers",'Monthly Lean'!D21,IF(Nonlabor!$I$24="NewCustomers",'Monthly Lean'!C21,IF(Nonlabor!$I$24="StorageGB",'Monthly Lean'!G21,IF(Nonlabor!$I$24="LogGB",'Monthly Lean'!H21,IF(Nonlabor!$I$24="RequestsM",'Monthly Lean'!F21,IF(Nonlabor!$I$24="InputM",'Monthly Lean'!D21*Assumptions!$C$22/1000000,IF(Nonlabor!$I$24="OutputM",'Monthly Lean'!D21*Assumptions!$C$23/1000000,0))))))))),0)</f>
        <v>0</v>
      </c>
      <c r="F1101" s="10" t="n">
        <f aca="false">Nonlabor!$J$24*(1+Assumptions!$C$9)^INT((C1101-1)/12)</f>
        <v>0.412</v>
      </c>
      <c r="G1101" s="10" t="n">
        <f aca="false">E1101*F1101</f>
        <v>0</v>
      </c>
      <c r="H1101" s="10" t="n">
        <f aca="false">IF(OR(Nonlabor!$L$24="Quote required",Nonlabor!$L$24="Unverified"),G1101,0)</f>
        <v>0</v>
      </c>
      <c r="I1101" s="10" t="n">
        <f aca="false">IF(Nonlabor!$E$24="Core",0,G1101)</f>
        <v>0</v>
      </c>
      <c r="J1101" s="23" t="str">
        <f aca="false">Nonlabor!$B$24</f>
        <v>AI</v>
      </c>
    </row>
    <row r="1102" customFormat="false" ht="15" hidden="false" customHeight="false" outlineLevel="0" collapsed="false">
      <c r="A1102" s="6" t="s">
        <v>72</v>
      </c>
      <c r="B1102" s="6" t="s">
        <v>428</v>
      </c>
      <c r="C1102" s="6" t="n">
        <v>17</v>
      </c>
      <c r="D1102" s="25" t="n">
        <f aca="false">EDATE('Start Here'!$B$6,C1102-1)</f>
        <v>46813</v>
      </c>
      <c r="E1102" s="23" t="n">
        <f aca="false">IF(AND(OR(Nonlabor!$D$24="Both",Nonlabor!$D$24='Start Here'!$B$9),IF(Nonlabor!$E$24="Core",1,IF(Nonlabor!$E$24="AI",'Start Here'!$B$7,'Start Here'!$B$8))=1,C1102&gt;=IF(Nonlabor!$E$24="Core",Nonlabor!$F$24,MAX(Nonlabor!$F$24,IF(Nonlabor!$E$24="AI",Assumptions!$C$24,Assumptions!$C$25))),C1102&lt;=Nonlabor!$G$24,OR(Nonlabor!$H$24="Monthly",AND(Nonlabor!$H$24="Once",C1102=IF(Nonlabor!$E$24="Core",Nonlabor!$F$24,MAX(Nonlabor!$F$24,IF(Nonlabor!$E$24="AI",Assumptions!$C$24,Assumptions!$C$25)))),AND(Nonlabor!$H$24="Annual",MOD(C1102-IF(Nonlabor!$E$24="Core",Nonlabor!$F$24,MAX(Nonlabor!$F$24,IF(Nonlabor!$E$24="AI",Assumptions!$C$24,Assumptions!$C$25))),12)=0))),IF(Nonlabor!$I$24="Fixed",1,IF(Nonlabor!$I$24="Seats",ROUNDUP('Monthly Lean'!I22,0),IF(Nonlabor!$I$24="Customers",'Monthly Lean'!D22,IF(Nonlabor!$I$24="NewCustomers",'Monthly Lean'!C22,IF(Nonlabor!$I$24="StorageGB",'Monthly Lean'!G22,IF(Nonlabor!$I$24="LogGB",'Monthly Lean'!H22,IF(Nonlabor!$I$24="RequestsM",'Monthly Lean'!F22,IF(Nonlabor!$I$24="InputM",'Monthly Lean'!D22*Assumptions!$C$22/1000000,IF(Nonlabor!$I$24="OutputM",'Monthly Lean'!D22*Assumptions!$C$23/1000000,0))))))))),0)</f>
        <v>0</v>
      </c>
      <c r="F1102" s="10" t="n">
        <f aca="false">Nonlabor!$J$24*(1+Assumptions!$C$9)^INT((C1102-1)/12)</f>
        <v>0.412</v>
      </c>
      <c r="G1102" s="10" t="n">
        <f aca="false">E1102*F1102</f>
        <v>0</v>
      </c>
      <c r="H1102" s="10" t="n">
        <f aca="false">IF(OR(Nonlabor!$L$24="Quote required",Nonlabor!$L$24="Unverified"),G1102,0)</f>
        <v>0</v>
      </c>
      <c r="I1102" s="10" t="n">
        <f aca="false">IF(Nonlabor!$E$24="Core",0,G1102)</f>
        <v>0</v>
      </c>
      <c r="J1102" s="23" t="str">
        <f aca="false">Nonlabor!$B$24</f>
        <v>AI</v>
      </c>
    </row>
    <row r="1103" customFormat="false" ht="15" hidden="false" customHeight="false" outlineLevel="0" collapsed="false">
      <c r="A1103" s="6" t="s">
        <v>72</v>
      </c>
      <c r="B1103" s="6" t="s">
        <v>428</v>
      </c>
      <c r="C1103" s="6" t="n">
        <v>18</v>
      </c>
      <c r="D1103" s="25" t="n">
        <f aca="false">EDATE('Start Here'!$B$6,C1103-1)</f>
        <v>46844</v>
      </c>
      <c r="E1103" s="23" t="n">
        <f aca="false">IF(AND(OR(Nonlabor!$D$24="Both",Nonlabor!$D$24='Start Here'!$B$9),IF(Nonlabor!$E$24="Core",1,IF(Nonlabor!$E$24="AI",'Start Here'!$B$7,'Start Here'!$B$8))=1,C1103&gt;=IF(Nonlabor!$E$24="Core",Nonlabor!$F$24,MAX(Nonlabor!$F$24,IF(Nonlabor!$E$24="AI",Assumptions!$C$24,Assumptions!$C$25))),C1103&lt;=Nonlabor!$G$24,OR(Nonlabor!$H$24="Monthly",AND(Nonlabor!$H$24="Once",C1103=IF(Nonlabor!$E$24="Core",Nonlabor!$F$24,MAX(Nonlabor!$F$24,IF(Nonlabor!$E$24="AI",Assumptions!$C$24,Assumptions!$C$25)))),AND(Nonlabor!$H$24="Annual",MOD(C1103-IF(Nonlabor!$E$24="Core",Nonlabor!$F$24,MAX(Nonlabor!$F$24,IF(Nonlabor!$E$24="AI",Assumptions!$C$24,Assumptions!$C$25))),12)=0))),IF(Nonlabor!$I$24="Fixed",1,IF(Nonlabor!$I$24="Seats",ROUNDUP('Monthly Lean'!I23,0),IF(Nonlabor!$I$24="Customers",'Monthly Lean'!D23,IF(Nonlabor!$I$24="NewCustomers",'Monthly Lean'!C23,IF(Nonlabor!$I$24="StorageGB",'Monthly Lean'!G23,IF(Nonlabor!$I$24="LogGB",'Monthly Lean'!H23,IF(Nonlabor!$I$24="RequestsM",'Monthly Lean'!F23,IF(Nonlabor!$I$24="InputM",'Monthly Lean'!D23*Assumptions!$C$22/1000000,IF(Nonlabor!$I$24="OutputM",'Monthly Lean'!D23*Assumptions!$C$23/1000000,0))))))))),0)</f>
        <v>0</v>
      </c>
      <c r="F1103" s="10" t="n">
        <f aca="false">Nonlabor!$J$24*(1+Assumptions!$C$9)^INT((C1103-1)/12)</f>
        <v>0.412</v>
      </c>
      <c r="G1103" s="10" t="n">
        <f aca="false">E1103*F1103</f>
        <v>0</v>
      </c>
      <c r="H1103" s="10" t="n">
        <f aca="false">IF(OR(Nonlabor!$L$24="Quote required",Nonlabor!$L$24="Unverified"),G1103,0)</f>
        <v>0</v>
      </c>
      <c r="I1103" s="10" t="n">
        <f aca="false">IF(Nonlabor!$E$24="Core",0,G1103)</f>
        <v>0</v>
      </c>
      <c r="J1103" s="23" t="str">
        <f aca="false">Nonlabor!$B$24</f>
        <v>AI</v>
      </c>
    </row>
    <row r="1104" customFormat="false" ht="15" hidden="false" customHeight="false" outlineLevel="0" collapsed="false">
      <c r="A1104" s="6" t="s">
        <v>72</v>
      </c>
      <c r="B1104" s="6" t="s">
        <v>428</v>
      </c>
      <c r="C1104" s="6" t="n">
        <v>19</v>
      </c>
      <c r="D1104" s="25" t="n">
        <f aca="false">EDATE('Start Here'!$B$6,C1104-1)</f>
        <v>46874</v>
      </c>
      <c r="E1104" s="23" t="n">
        <f aca="false">IF(AND(OR(Nonlabor!$D$24="Both",Nonlabor!$D$24='Start Here'!$B$9),IF(Nonlabor!$E$24="Core",1,IF(Nonlabor!$E$24="AI",'Start Here'!$B$7,'Start Here'!$B$8))=1,C1104&gt;=IF(Nonlabor!$E$24="Core",Nonlabor!$F$24,MAX(Nonlabor!$F$24,IF(Nonlabor!$E$24="AI",Assumptions!$C$24,Assumptions!$C$25))),C1104&lt;=Nonlabor!$G$24,OR(Nonlabor!$H$24="Monthly",AND(Nonlabor!$H$24="Once",C1104=IF(Nonlabor!$E$24="Core",Nonlabor!$F$24,MAX(Nonlabor!$F$24,IF(Nonlabor!$E$24="AI",Assumptions!$C$24,Assumptions!$C$25)))),AND(Nonlabor!$H$24="Annual",MOD(C1104-IF(Nonlabor!$E$24="Core",Nonlabor!$F$24,MAX(Nonlabor!$F$24,IF(Nonlabor!$E$24="AI",Assumptions!$C$24,Assumptions!$C$25))),12)=0))),IF(Nonlabor!$I$24="Fixed",1,IF(Nonlabor!$I$24="Seats",ROUNDUP('Monthly Lean'!I24,0),IF(Nonlabor!$I$24="Customers",'Monthly Lean'!D24,IF(Nonlabor!$I$24="NewCustomers",'Monthly Lean'!C24,IF(Nonlabor!$I$24="StorageGB",'Monthly Lean'!G24,IF(Nonlabor!$I$24="LogGB",'Monthly Lean'!H24,IF(Nonlabor!$I$24="RequestsM",'Monthly Lean'!F24,IF(Nonlabor!$I$24="InputM",'Monthly Lean'!D24*Assumptions!$C$22/1000000,IF(Nonlabor!$I$24="OutputM",'Monthly Lean'!D24*Assumptions!$C$23/1000000,0))))))))),0)</f>
        <v>0</v>
      </c>
      <c r="F1104" s="10" t="n">
        <f aca="false">Nonlabor!$J$24*(1+Assumptions!$C$9)^INT((C1104-1)/12)</f>
        <v>0.412</v>
      </c>
      <c r="G1104" s="10" t="n">
        <f aca="false">E1104*F1104</f>
        <v>0</v>
      </c>
      <c r="H1104" s="10" t="n">
        <f aca="false">IF(OR(Nonlabor!$L$24="Quote required",Nonlabor!$L$24="Unverified"),G1104,0)</f>
        <v>0</v>
      </c>
      <c r="I1104" s="10" t="n">
        <f aca="false">IF(Nonlabor!$E$24="Core",0,G1104)</f>
        <v>0</v>
      </c>
      <c r="J1104" s="23" t="str">
        <f aca="false">Nonlabor!$B$24</f>
        <v>AI</v>
      </c>
    </row>
    <row r="1105" customFormat="false" ht="15" hidden="false" customHeight="false" outlineLevel="0" collapsed="false">
      <c r="A1105" s="6" t="s">
        <v>72</v>
      </c>
      <c r="B1105" s="6" t="s">
        <v>428</v>
      </c>
      <c r="C1105" s="6" t="n">
        <v>20</v>
      </c>
      <c r="D1105" s="25" t="n">
        <f aca="false">EDATE('Start Here'!$B$6,C1105-1)</f>
        <v>46905</v>
      </c>
      <c r="E1105" s="23" t="n">
        <f aca="false">IF(AND(OR(Nonlabor!$D$24="Both",Nonlabor!$D$24='Start Here'!$B$9),IF(Nonlabor!$E$24="Core",1,IF(Nonlabor!$E$24="AI",'Start Here'!$B$7,'Start Here'!$B$8))=1,C1105&gt;=IF(Nonlabor!$E$24="Core",Nonlabor!$F$24,MAX(Nonlabor!$F$24,IF(Nonlabor!$E$24="AI",Assumptions!$C$24,Assumptions!$C$25))),C1105&lt;=Nonlabor!$G$24,OR(Nonlabor!$H$24="Monthly",AND(Nonlabor!$H$24="Once",C1105=IF(Nonlabor!$E$24="Core",Nonlabor!$F$24,MAX(Nonlabor!$F$24,IF(Nonlabor!$E$24="AI",Assumptions!$C$24,Assumptions!$C$25)))),AND(Nonlabor!$H$24="Annual",MOD(C1105-IF(Nonlabor!$E$24="Core",Nonlabor!$F$24,MAX(Nonlabor!$F$24,IF(Nonlabor!$E$24="AI",Assumptions!$C$24,Assumptions!$C$25))),12)=0))),IF(Nonlabor!$I$24="Fixed",1,IF(Nonlabor!$I$24="Seats",ROUNDUP('Monthly Lean'!I25,0),IF(Nonlabor!$I$24="Customers",'Monthly Lean'!D25,IF(Nonlabor!$I$24="NewCustomers",'Monthly Lean'!C25,IF(Nonlabor!$I$24="StorageGB",'Monthly Lean'!G25,IF(Nonlabor!$I$24="LogGB",'Monthly Lean'!H25,IF(Nonlabor!$I$24="RequestsM",'Monthly Lean'!F25,IF(Nonlabor!$I$24="InputM",'Monthly Lean'!D25*Assumptions!$C$22/1000000,IF(Nonlabor!$I$24="OutputM",'Monthly Lean'!D25*Assumptions!$C$23/1000000,0))))))))),0)</f>
        <v>0</v>
      </c>
      <c r="F1105" s="10" t="n">
        <f aca="false">Nonlabor!$J$24*(1+Assumptions!$C$9)^INT((C1105-1)/12)</f>
        <v>0.412</v>
      </c>
      <c r="G1105" s="10" t="n">
        <f aca="false">E1105*F1105</f>
        <v>0</v>
      </c>
      <c r="H1105" s="10" t="n">
        <f aca="false">IF(OR(Nonlabor!$L$24="Quote required",Nonlabor!$L$24="Unverified"),G1105,0)</f>
        <v>0</v>
      </c>
      <c r="I1105" s="10" t="n">
        <f aca="false">IF(Nonlabor!$E$24="Core",0,G1105)</f>
        <v>0</v>
      </c>
      <c r="J1105" s="23" t="str">
        <f aca="false">Nonlabor!$B$24</f>
        <v>AI</v>
      </c>
    </row>
    <row r="1106" customFormat="false" ht="15" hidden="false" customHeight="false" outlineLevel="0" collapsed="false">
      <c r="A1106" s="6" t="s">
        <v>72</v>
      </c>
      <c r="B1106" s="6" t="s">
        <v>428</v>
      </c>
      <c r="C1106" s="6" t="n">
        <v>21</v>
      </c>
      <c r="D1106" s="25" t="n">
        <f aca="false">EDATE('Start Here'!$B$6,C1106-1)</f>
        <v>46935</v>
      </c>
      <c r="E1106" s="23" t="n">
        <f aca="false">IF(AND(OR(Nonlabor!$D$24="Both",Nonlabor!$D$24='Start Here'!$B$9),IF(Nonlabor!$E$24="Core",1,IF(Nonlabor!$E$24="AI",'Start Here'!$B$7,'Start Here'!$B$8))=1,C1106&gt;=IF(Nonlabor!$E$24="Core",Nonlabor!$F$24,MAX(Nonlabor!$F$24,IF(Nonlabor!$E$24="AI",Assumptions!$C$24,Assumptions!$C$25))),C1106&lt;=Nonlabor!$G$24,OR(Nonlabor!$H$24="Monthly",AND(Nonlabor!$H$24="Once",C1106=IF(Nonlabor!$E$24="Core",Nonlabor!$F$24,MAX(Nonlabor!$F$24,IF(Nonlabor!$E$24="AI",Assumptions!$C$24,Assumptions!$C$25)))),AND(Nonlabor!$H$24="Annual",MOD(C1106-IF(Nonlabor!$E$24="Core",Nonlabor!$F$24,MAX(Nonlabor!$F$24,IF(Nonlabor!$E$24="AI",Assumptions!$C$24,Assumptions!$C$25))),12)=0))),IF(Nonlabor!$I$24="Fixed",1,IF(Nonlabor!$I$24="Seats",ROUNDUP('Monthly Lean'!I26,0),IF(Nonlabor!$I$24="Customers",'Monthly Lean'!D26,IF(Nonlabor!$I$24="NewCustomers",'Monthly Lean'!C26,IF(Nonlabor!$I$24="StorageGB",'Monthly Lean'!G26,IF(Nonlabor!$I$24="LogGB",'Monthly Lean'!H26,IF(Nonlabor!$I$24="RequestsM",'Monthly Lean'!F26,IF(Nonlabor!$I$24="InputM",'Monthly Lean'!D26*Assumptions!$C$22/1000000,IF(Nonlabor!$I$24="OutputM",'Monthly Lean'!D26*Assumptions!$C$23/1000000,0))))))))),0)</f>
        <v>0</v>
      </c>
      <c r="F1106" s="10" t="n">
        <f aca="false">Nonlabor!$J$24*(1+Assumptions!$C$9)^INT((C1106-1)/12)</f>
        <v>0.412</v>
      </c>
      <c r="G1106" s="10" t="n">
        <f aca="false">E1106*F1106</f>
        <v>0</v>
      </c>
      <c r="H1106" s="10" t="n">
        <f aca="false">IF(OR(Nonlabor!$L$24="Quote required",Nonlabor!$L$24="Unverified"),G1106,0)</f>
        <v>0</v>
      </c>
      <c r="I1106" s="10" t="n">
        <f aca="false">IF(Nonlabor!$E$24="Core",0,G1106)</f>
        <v>0</v>
      </c>
      <c r="J1106" s="23" t="str">
        <f aca="false">Nonlabor!$B$24</f>
        <v>AI</v>
      </c>
    </row>
    <row r="1107" customFormat="false" ht="15" hidden="false" customHeight="false" outlineLevel="0" collapsed="false">
      <c r="A1107" s="6" t="s">
        <v>72</v>
      </c>
      <c r="B1107" s="6" t="s">
        <v>428</v>
      </c>
      <c r="C1107" s="6" t="n">
        <v>22</v>
      </c>
      <c r="D1107" s="25" t="n">
        <f aca="false">EDATE('Start Here'!$B$6,C1107-1)</f>
        <v>46966</v>
      </c>
      <c r="E1107" s="23" t="n">
        <f aca="false">IF(AND(OR(Nonlabor!$D$24="Both",Nonlabor!$D$24='Start Here'!$B$9),IF(Nonlabor!$E$24="Core",1,IF(Nonlabor!$E$24="AI",'Start Here'!$B$7,'Start Here'!$B$8))=1,C1107&gt;=IF(Nonlabor!$E$24="Core",Nonlabor!$F$24,MAX(Nonlabor!$F$24,IF(Nonlabor!$E$24="AI",Assumptions!$C$24,Assumptions!$C$25))),C1107&lt;=Nonlabor!$G$24,OR(Nonlabor!$H$24="Monthly",AND(Nonlabor!$H$24="Once",C1107=IF(Nonlabor!$E$24="Core",Nonlabor!$F$24,MAX(Nonlabor!$F$24,IF(Nonlabor!$E$24="AI",Assumptions!$C$24,Assumptions!$C$25)))),AND(Nonlabor!$H$24="Annual",MOD(C1107-IF(Nonlabor!$E$24="Core",Nonlabor!$F$24,MAX(Nonlabor!$F$24,IF(Nonlabor!$E$24="AI",Assumptions!$C$24,Assumptions!$C$25))),12)=0))),IF(Nonlabor!$I$24="Fixed",1,IF(Nonlabor!$I$24="Seats",ROUNDUP('Monthly Lean'!I27,0),IF(Nonlabor!$I$24="Customers",'Monthly Lean'!D27,IF(Nonlabor!$I$24="NewCustomers",'Monthly Lean'!C27,IF(Nonlabor!$I$24="StorageGB",'Monthly Lean'!G27,IF(Nonlabor!$I$24="LogGB",'Monthly Lean'!H27,IF(Nonlabor!$I$24="RequestsM",'Monthly Lean'!F27,IF(Nonlabor!$I$24="InputM",'Monthly Lean'!D27*Assumptions!$C$22/1000000,IF(Nonlabor!$I$24="OutputM",'Monthly Lean'!D27*Assumptions!$C$23/1000000,0))))))))),0)</f>
        <v>0</v>
      </c>
      <c r="F1107" s="10" t="n">
        <f aca="false">Nonlabor!$J$24*(1+Assumptions!$C$9)^INT((C1107-1)/12)</f>
        <v>0.412</v>
      </c>
      <c r="G1107" s="10" t="n">
        <f aca="false">E1107*F1107</f>
        <v>0</v>
      </c>
      <c r="H1107" s="10" t="n">
        <f aca="false">IF(OR(Nonlabor!$L$24="Quote required",Nonlabor!$L$24="Unverified"),G1107,0)</f>
        <v>0</v>
      </c>
      <c r="I1107" s="10" t="n">
        <f aca="false">IF(Nonlabor!$E$24="Core",0,G1107)</f>
        <v>0</v>
      </c>
      <c r="J1107" s="23" t="str">
        <f aca="false">Nonlabor!$B$24</f>
        <v>AI</v>
      </c>
    </row>
    <row r="1108" customFormat="false" ht="15" hidden="false" customHeight="false" outlineLevel="0" collapsed="false">
      <c r="A1108" s="6" t="s">
        <v>72</v>
      </c>
      <c r="B1108" s="6" t="s">
        <v>428</v>
      </c>
      <c r="C1108" s="6" t="n">
        <v>23</v>
      </c>
      <c r="D1108" s="25" t="n">
        <f aca="false">EDATE('Start Here'!$B$6,C1108-1)</f>
        <v>46997</v>
      </c>
      <c r="E1108" s="23" t="n">
        <f aca="false">IF(AND(OR(Nonlabor!$D$24="Both",Nonlabor!$D$24='Start Here'!$B$9),IF(Nonlabor!$E$24="Core",1,IF(Nonlabor!$E$24="AI",'Start Here'!$B$7,'Start Here'!$B$8))=1,C1108&gt;=IF(Nonlabor!$E$24="Core",Nonlabor!$F$24,MAX(Nonlabor!$F$24,IF(Nonlabor!$E$24="AI",Assumptions!$C$24,Assumptions!$C$25))),C1108&lt;=Nonlabor!$G$24,OR(Nonlabor!$H$24="Monthly",AND(Nonlabor!$H$24="Once",C1108=IF(Nonlabor!$E$24="Core",Nonlabor!$F$24,MAX(Nonlabor!$F$24,IF(Nonlabor!$E$24="AI",Assumptions!$C$24,Assumptions!$C$25)))),AND(Nonlabor!$H$24="Annual",MOD(C1108-IF(Nonlabor!$E$24="Core",Nonlabor!$F$24,MAX(Nonlabor!$F$24,IF(Nonlabor!$E$24="AI",Assumptions!$C$24,Assumptions!$C$25))),12)=0))),IF(Nonlabor!$I$24="Fixed",1,IF(Nonlabor!$I$24="Seats",ROUNDUP('Monthly Lean'!I28,0),IF(Nonlabor!$I$24="Customers",'Monthly Lean'!D28,IF(Nonlabor!$I$24="NewCustomers",'Monthly Lean'!C28,IF(Nonlabor!$I$24="StorageGB",'Monthly Lean'!G28,IF(Nonlabor!$I$24="LogGB",'Monthly Lean'!H28,IF(Nonlabor!$I$24="RequestsM",'Monthly Lean'!F28,IF(Nonlabor!$I$24="InputM",'Monthly Lean'!D28*Assumptions!$C$22/1000000,IF(Nonlabor!$I$24="OutputM",'Monthly Lean'!D28*Assumptions!$C$23/1000000,0))))))))),0)</f>
        <v>0</v>
      </c>
      <c r="F1108" s="10" t="n">
        <f aca="false">Nonlabor!$J$24*(1+Assumptions!$C$9)^INT((C1108-1)/12)</f>
        <v>0.412</v>
      </c>
      <c r="G1108" s="10" t="n">
        <f aca="false">E1108*F1108</f>
        <v>0</v>
      </c>
      <c r="H1108" s="10" t="n">
        <f aca="false">IF(OR(Nonlabor!$L$24="Quote required",Nonlabor!$L$24="Unverified"),G1108,0)</f>
        <v>0</v>
      </c>
      <c r="I1108" s="10" t="n">
        <f aca="false">IF(Nonlabor!$E$24="Core",0,G1108)</f>
        <v>0</v>
      </c>
      <c r="J1108" s="23" t="str">
        <f aca="false">Nonlabor!$B$24</f>
        <v>AI</v>
      </c>
    </row>
    <row r="1109" customFormat="false" ht="15" hidden="false" customHeight="false" outlineLevel="0" collapsed="false">
      <c r="A1109" s="6" t="s">
        <v>72</v>
      </c>
      <c r="B1109" s="6" t="s">
        <v>428</v>
      </c>
      <c r="C1109" s="6" t="n">
        <v>24</v>
      </c>
      <c r="D1109" s="25" t="n">
        <f aca="false">EDATE('Start Here'!$B$6,C1109-1)</f>
        <v>47027</v>
      </c>
      <c r="E1109" s="23" t="n">
        <f aca="false">IF(AND(OR(Nonlabor!$D$24="Both",Nonlabor!$D$24='Start Here'!$B$9),IF(Nonlabor!$E$24="Core",1,IF(Nonlabor!$E$24="AI",'Start Here'!$B$7,'Start Here'!$B$8))=1,C1109&gt;=IF(Nonlabor!$E$24="Core",Nonlabor!$F$24,MAX(Nonlabor!$F$24,IF(Nonlabor!$E$24="AI",Assumptions!$C$24,Assumptions!$C$25))),C1109&lt;=Nonlabor!$G$24,OR(Nonlabor!$H$24="Monthly",AND(Nonlabor!$H$24="Once",C1109=IF(Nonlabor!$E$24="Core",Nonlabor!$F$24,MAX(Nonlabor!$F$24,IF(Nonlabor!$E$24="AI",Assumptions!$C$24,Assumptions!$C$25)))),AND(Nonlabor!$H$24="Annual",MOD(C1109-IF(Nonlabor!$E$24="Core",Nonlabor!$F$24,MAX(Nonlabor!$F$24,IF(Nonlabor!$E$24="AI",Assumptions!$C$24,Assumptions!$C$25))),12)=0))),IF(Nonlabor!$I$24="Fixed",1,IF(Nonlabor!$I$24="Seats",ROUNDUP('Monthly Lean'!I29,0),IF(Nonlabor!$I$24="Customers",'Monthly Lean'!D29,IF(Nonlabor!$I$24="NewCustomers",'Monthly Lean'!C29,IF(Nonlabor!$I$24="StorageGB",'Monthly Lean'!G29,IF(Nonlabor!$I$24="LogGB",'Monthly Lean'!H29,IF(Nonlabor!$I$24="RequestsM",'Monthly Lean'!F29,IF(Nonlabor!$I$24="InputM",'Monthly Lean'!D29*Assumptions!$C$22/1000000,IF(Nonlabor!$I$24="OutputM",'Monthly Lean'!D29*Assumptions!$C$23/1000000,0))))))))),0)</f>
        <v>0</v>
      </c>
      <c r="F1109" s="10" t="n">
        <f aca="false">Nonlabor!$J$24*(1+Assumptions!$C$9)^INT((C1109-1)/12)</f>
        <v>0.412</v>
      </c>
      <c r="G1109" s="10" t="n">
        <f aca="false">E1109*F1109</f>
        <v>0</v>
      </c>
      <c r="H1109" s="10" t="n">
        <f aca="false">IF(OR(Nonlabor!$L$24="Quote required",Nonlabor!$L$24="Unverified"),G1109,0)</f>
        <v>0</v>
      </c>
      <c r="I1109" s="10" t="n">
        <f aca="false">IF(Nonlabor!$E$24="Core",0,G1109)</f>
        <v>0</v>
      </c>
      <c r="J1109" s="23" t="str">
        <f aca="false">Nonlabor!$B$24</f>
        <v>AI</v>
      </c>
    </row>
    <row r="1110" customFormat="false" ht="15" hidden="false" customHeight="false" outlineLevel="0" collapsed="false">
      <c r="A1110" s="6" t="s">
        <v>72</v>
      </c>
      <c r="B1110" s="6" t="s">
        <v>428</v>
      </c>
      <c r="C1110" s="6" t="n">
        <v>25</v>
      </c>
      <c r="D1110" s="25" t="n">
        <f aca="false">EDATE('Start Here'!$B$6,C1110-1)</f>
        <v>47058</v>
      </c>
      <c r="E1110" s="23" t="n">
        <f aca="false">IF(AND(OR(Nonlabor!$D$24="Both",Nonlabor!$D$24='Start Here'!$B$9),IF(Nonlabor!$E$24="Core",1,IF(Nonlabor!$E$24="AI",'Start Here'!$B$7,'Start Here'!$B$8))=1,C1110&gt;=IF(Nonlabor!$E$24="Core",Nonlabor!$F$24,MAX(Nonlabor!$F$24,IF(Nonlabor!$E$24="AI",Assumptions!$C$24,Assumptions!$C$25))),C1110&lt;=Nonlabor!$G$24,OR(Nonlabor!$H$24="Monthly",AND(Nonlabor!$H$24="Once",C1110=IF(Nonlabor!$E$24="Core",Nonlabor!$F$24,MAX(Nonlabor!$F$24,IF(Nonlabor!$E$24="AI",Assumptions!$C$24,Assumptions!$C$25)))),AND(Nonlabor!$H$24="Annual",MOD(C1110-IF(Nonlabor!$E$24="Core",Nonlabor!$F$24,MAX(Nonlabor!$F$24,IF(Nonlabor!$E$24="AI",Assumptions!$C$24,Assumptions!$C$25))),12)=0))),IF(Nonlabor!$I$24="Fixed",1,IF(Nonlabor!$I$24="Seats",ROUNDUP('Monthly Lean'!I30,0),IF(Nonlabor!$I$24="Customers",'Monthly Lean'!D30,IF(Nonlabor!$I$24="NewCustomers",'Monthly Lean'!C30,IF(Nonlabor!$I$24="StorageGB",'Monthly Lean'!G30,IF(Nonlabor!$I$24="LogGB",'Monthly Lean'!H30,IF(Nonlabor!$I$24="RequestsM",'Monthly Lean'!F30,IF(Nonlabor!$I$24="InputM",'Monthly Lean'!D30*Assumptions!$C$22/1000000,IF(Nonlabor!$I$24="OutputM",'Monthly Lean'!D30*Assumptions!$C$23/1000000,0))))))))),0)</f>
        <v>0</v>
      </c>
      <c r="F1110" s="10" t="n">
        <f aca="false">Nonlabor!$J$24*(1+Assumptions!$C$9)^INT((C1110-1)/12)</f>
        <v>0.42436</v>
      </c>
      <c r="G1110" s="10" t="n">
        <f aca="false">E1110*F1110</f>
        <v>0</v>
      </c>
      <c r="H1110" s="10" t="n">
        <f aca="false">IF(OR(Nonlabor!$L$24="Quote required",Nonlabor!$L$24="Unverified"),G1110,0)</f>
        <v>0</v>
      </c>
      <c r="I1110" s="10" t="n">
        <f aca="false">IF(Nonlabor!$E$24="Core",0,G1110)</f>
        <v>0</v>
      </c>
      <c r="J1110" s="23" t="str">
        <f aca="false">Nonlabor!$B$24</f>
        <v>AI</v>
      </c>
    </row>
    <row r="1111" customFormat="false" ht="15" hidden="false" customHeight="false" outlineLevel="0" collapsed="false">
      <c r="A1111" s="6" t="s">
        <v>72</v>
      </c>
      <c r="B1111" s="6" t="s">
        <v>428</v>
      </c>
      <c r="C1111" s="6" t="n">
        <v>26</v>
      </c>
      <c r="D1111" s="25" t="n">
        <f aca="false">EDATE('Start Here'!$B$6,C1111-1)</f>
        <v>47088</v>
      </c>
      <c r="E1111" s="23" t="n">
        <f aca="false">IF(AND(OR(Nonlabor!$D$24="Both",Nonlabor!$D$24='Start Here'!$B$9),IF(Nonlabor!$E$24="Core",1,IF(Nonlabor!$E$24="AI",'Start Here'!$B$7,'Start Here'!$B$8))=1,C1111&gt;=IF(Nonlabor!$E$24="Core",Nonlabor!$F$24,MAX(Nonlabor!$F$24,IF(Nonlabor!$E$24="AI",Assumptions!$C$24,Assumptions!$C$25))),C1111&lt;=Nonlabor!$G$24,OR(Nonlabor!$H$24="Monthly",AND(Nonlabor!$H$24="Once",C1111=IF(Nonlabor!$E$24="Core",Nonlabor!$F$24,MAX(Nonlabor!$F$24,IF(Nonlabor!$E$24="AI",Assumptions!$C$24,Assumptions!$C$25)))),AND(Nonlabor!$H$24="Annual",MOD(C1111-IF(Nonlabor!$E$24="Core",Nonlabor!$F$24,MAX(Nonlabor!$F$24,IF(Nonlabor!$E$24="AI",Assumptions!$C$24,Assumptions!$C$25))),12)=0))),IF(Nonlabor!$I$24="Fixed",1,IF(Nonlabor!$I$24="Seats",ROUNDUP('Monthly Lean'!I31,0),IF(Nonlabor!$I$24="Customers",'Monthly Lean'!D31,IF(Nonlabor!$I$24="NewCustomers",'Monthly Lean'!C31,IF(Nonlabor!$I$24="StorageGB",'Monthly Lean'!G31,IF(Nonlabor!$I$24="LogGB",'Monthly Lean'!H31,IF(Nonlabor!$I$24="RequestsM",'Monthly Lean'!F31,IF(Nonlabor!$I$24="InputM",'Monthly Lean'!D31*Assumptions!$C$22/1000000,IF(Nonlabor!$I$24="OutputM",'Monthly Lean'!D31*Assumptions!$C$23/1000000,0))))))))),0)</f>
        <v>0</v>
      </c>
      <c r="F1111" s="10" t="n">
        <f aca="false">Nonlabor!$J$24*(1+Assumptions!$C$9)^INT((C1111-1)/12)</f>
        <v>0.42436</v>
      </c>
      <c r="G1111" s="10" t="n">
        <f aca="false">E1111*F1111</f>
        <v>0</v>
      </c>
      <c r="H1111" s="10" t="n">
        <f aca="false">IF(OR(Nonlabor!$L$24="Quote required",Nonlabor!$L$24="Unverified"),G1111,0)</f>
        <v>0</v>
      </c>
      <c r="I1111" s="10" t="n">
        <f aca="false">IF(Nonlabor!$E$24="Core",0,G1111)</f>
        <v>0</v>
      </c>
      <c r="J1111" s="23" t="str">
        <f aca="false">Nonlabor!$B$24</f>
        <v>AI</v>
      </c>
    </row>
    <row r="1112" customFormat="false" ht="15" hidden="false" customHeight="false" outlineLevel="0" collapsed="false">
      <c r="A1112" s="6" t="s">
        <v>72</v>
      </c>
      <c r="B1112" s="6" t="s">
        <v>428</v>
      </c>
      <c r="C1112" s="6" t="n">
        <v>27</v>
      </c>
      <c r="D1112" s="25" t="n">
        <f aca="false">EDATE('Start Here'!$B$6,C1112-1)</f>
        <v>47119</v>
      </c>
      <c r="E1112" s="23" t="n">
        <f aca="false">IF(AND(OR(Nonlabor!$D$24="Both",Nonlabor!$D$24='Start Here'!$B$9),IF(Nonlabor!$E$24="Core",1,IF(Nonlabor!$E$24="AI",'Start Here'!$B$7,'Start Here'!$B$8))=1,C1112&gt;=IF(Nonlabor!$E$24="Core",Nonlabor!$F$24,MAX(Nonlabor!$F$24,IF(Nonlabor!$E$24="AI",Assumptions!$C$24,Assumptions!$C$25))),C1112&lt;=Nonlabor!$G$24,OR(Nonlabor!$H$24="Monthly",AND(Nonlabor!$H$24="Once",C1112=IF(Nonlabor!$E$24="Core",Nonlabor!$F$24,MAX(Nonlabor!$F$24,IF(Nonlabor!$E$24="AI",Assumptions!$C$24,Assumptions!$C$25)))),AND(Nonlabor!$H$24="Annual",MOD(C1112-IF(Nonlabor!$E$24="Core",Nonlabor!$F$24,MAX(Nonlabor!$F$24,IF(Nonlabor!$E$24="AI",Assumptions!$C$24,Assumptions!$C$25))),12)=0))),IF(Nonlabor!$I$24="Fixed",1,IF(Nonlabor!$I$24="Seats",ROUNDUP('Monthly Lean'!I32,0),IF(Nonlabor!$I$24="Customers",'Monthly Lean'!D32,IF(Nonlabor!$I$24="NewCustomers",'Monthly Lean'!C32,IF(Nonlabor!$I$24="StorageGB",'Monthly Lean'!G32,IF(Nonlabor!$I$24="LogGB",'Monthly Lean'!H32,IF(Nonlabor!$I$24="RequestsM",'Monthly Lean'!F32,IF(Nonlabor!$I$24="InputM",'Monthly Lean'!D32*Assumptions!$C$22/1000000,IF(Nonlabor!$I$24="OutputM",'Monthly Lean'!D32*Assumptions!$C$23/1000000,0))))))))),0)</f>
        <v>0</v>
      </c>
      <c r="F1112" s="10" t="n">
        <f aca="false">Nonlabor!$J$24*(1+Assumptions!$C$9)^INT((C1112-1)/12)</f>
        <v>0.42436</v>
      </c>
      <c r="G1112" s="10" t="n">
        <f aca="false">E1112*F1112</f>
        <v>0</v>
      </c>
      <c r="H1112" s="10" t="n">
        <f aca="false">IF(OR(Nonlabor!$L$24="Quote required",Nonlabor!$L$24="Unverified"),G1112,0)</f>
        <v>0</v>
      </c>
      <c r="I1112" s="10" t="n">
        <f aca="false">IF(Nonlabor!$E$24="Core",0,G1112)</f>
        <v>0</v>
      </c>
      <c r="J1112" s="23" t="str">
        <f aca="false">Nonlabor!$B$24</f>
        <v>AI</v>
      </c>
    </row>
    <row r="1113" customFormat="false" ht="15" hidden="false" customHeight="false" outlineLevel="0" collapsed="false">
      <c r="A1113" s="6" t="s">
        <v>72</v>
      </c>
      <c r="B1113" s="6" t="s">
        <v>428</v>
      </c>
      <c r="C1113" s="6" t="n">
        <v>28</v>
      </c>
      <c r="D1113" s="25" t="n">
        <f aca="false">EDATE('Start Here'!$B$6,C1113-1)</f>
        <v>47150</v>
      </c>
      <c r="E1113" s="23" t="n">
        <f aca="false">IF(AND(OR(Nonlabor!$D$24="Both",Nonlabor!$D$24='Start Here'!$B$9),IF(Nonlabor!$E$24="Core",1,IF(Nonlabor!$E$24="AI",'Start Here'!$B$7,'Start Here'!$B$8))=1,C1113&gt;=IF(Nonlabor!$E$24="Core",Nonlabor!$F$24,MAX(Nonlabor!$F$24,IF(Nonlabor!$E$24="AI",Assumptions!$C$24,Assumptions!$C$25))),C1113&lt;=Nonlabor!$G$24,OR(Nonlabor!$H$24="Monthly",AND(Nonlabor!$H$24="Once",C1113=IF(Nonlabor!$E$24="Core",Nonlabor!$F$24,MAX(Nonlabor!$F$24,IF(Nonlabor!$E$24="AI",Assumptions!$C$24,Assumptions!$C$25)))),AND(Nonlabor!$H$24="Annual",MOD(C1113-IF(Nonlabor!$E$24="Core",Nonlabor!$F$24,MAX(Nonlabor!$F$24,IF(Nonlabor!$E$24="AI",Assumptions!$C$24,Assumptions!$C$25))),12)=0))),IF(Nonlabor!$I$24="Fixed",1,IF(Nonlabor!$I$24="Seats",ROUNDUP('Monthly Lean'!I33,0),IF(Nonlabor!$I$24="Customers",'Monthly Lean'!D33,IF(Nonlabor!$I$24="NewCustomers",'Monthly Lean'!C33,IF(Nonlabor!$I$24="StorageGB",'Monthly Lean'!G33,IF(Nonlabor!$I$24="LogGB",'Monthly Lean'!H33,IF(Nonlabor!$I$24="RequestsM",'Monthly Lean'!F33,IF(Nonlabor!$I$24="InputM",'Monthly Lean'!D33*Assumptions!$C$22/1000000,IF(Nonlabor!$I$24="OutputM",'Monthly Lean'!D33*Assumptions!$C$23/1000000,0))))))))),0)</f>
        <v>0</v>
      </c>
      <c r="F1113" s="10" t="n">
        <f aca="false">Nonlabor!$J$24*(1+Assumptions!$C$9)^INT((C1113-1)/12)</f>
        <v>0.42436</v>
      </c>
      <c r="G1113" s="10" t="n">
        <f aca="false">E1113*F1113</f>
        <v>0</v>
      </c>
      <c r="H1113" s="10" t="n">
        <f aca="false">IF(OR(Nonlabor!$L$24="Quote required",Nonlabor!$L$24="Unverified"),G1113,0)</f>
        <v>0</v>
      </c>
      <c r="I1113" s="10" t="n">
        <f aca="false">IF(Nonlabor!$E$24="Core",0,G1113)</f>
        <v>0</v>
      </c>
      <c r="J1113" s="23" t="str">
        <f aca="false">Nonlabor!$B$24</f>
        <v>AI</v>
      </c>
    </row>
    <row r="1114" customFormat="false" ht="15" hidden="false" customHeight="false" outlineLevel="0" collapsed="false">
      <c r="A1114" s="6" t="s">
        <v>72</v>
      </c>
      <c r="B1114" s="6" t="s">
        <v>428</v>
      </c>
      <c r="C1114" s="6" t="n">
        <v>29</v>
      </c>
      <c r="D1114" s="25" t="n">
        <f aca="false">EDATE('Start Here'!$B$6,C1114-1)</f>
        <v>47178</v>
      </c>
      <c r="E1114" s="23" t="n">
        <f aca="false">IF(AND(OR(Nonlabor!$D$24="Both",Nonlabor!$D$24='Start Here'!$B$9),IF(Nonlabor!$E$24="Core",1,IF(Nonlabor!$E$24="AI",'Start Here'!$B$7,'Start Here'!$B$8))=1,C1114&gt;=IF(Nonlabor!$E$24="Core",Nonlabor!$F$24,MAX(Nonlabor!$F$24,IF(Nonlabor!$E$24="AI",Assumptions!$C$24,Assumptions!$C$25))),C1114&lt;=Nonlabor!$G$24,OR(Nonlabor!$H$24="Monthly",AND(Nonlabor!$H$24="Once",C1114=IF(Nonlabor!$E$24="Core",Nonlabor!$F$24,MAX(Nonlabor!$F$24,IF(Nonlabor!$E$24="AI",Assumptions!$C$24,Assumptions!$C$25)))),AND(Nonlabor!$H$24="Annual",MOD(C1114-IF(Nonlabor!$E$24="Core",Nonlabor!$F$24,MAX(Nonlabor!$F$24,IF(Nonlabor!$E$24="AI",Assumptions!$C$24,Assumptions!$C$25))),12)=0))),IF(Nonlabor!$I$24="Fixed",1,IF(Nonlabor!$I$24="Seats",ROUNDUP('Monthly Lean'!I34,0),IF(Nonlabor!$I$24="Customers",'Monthly Lean'!D34,IF(Nonlabor!$I$24="NewCustomers",'Monthly Lean'!C34,IF(Nonlabor!$I$24="StorageGB",'Monthly Lean'!G34,IF(Nonlabor!$I$24="LogGB",'Monthly Lean'!H34,IF(Nonlabor!$I$24="RequestsM",'Monthly Lean'!F34,IF(Nonlabor!$I$24="InputM",'Monthly Lean'!D34*Assumptions!$C$22/1000000,IF(Nonlabor!$I$24="OutputM",'Monthly Lean'!D34*Assumptions!$C$23/1000000,0))))))))),0)</f>
        <v>0</v>
      </c>
      <c r="F1114" s="10" t="n">
        <f aca="false">Nonlabor!$J$24*(1+Assumptions!$C$9)^INT((C1114-1)/12)</f>
        <v>0.42436</v>
      </c>
      <c r="G1114" s="10" t="n">
        <f aca="false">E1114*F1114</f>
        <v>0</v>
      </c>
      <c r="H1114" s="10" t="n">
        <f aca="false">IF(OR(Nonlabor!$L$24="Quote required",Nonlabor!$L$24="Unverified"),G1114,0)</f>
        <v>0</v>
      </c>
      <c r="I1114" s="10" t="n">
        <f aca="false">IF(Nonlabor!$E$24="Core",0,G1114)</f>
        <v>0</v>
      </c>
      <c r="J1114" s="23" t="str">
        <f aca="false">Nonlabor!$B$24</f>
        <v>AI</v>
      </c>
    </row>
    <row r="1115" customFormat="false" ht="15" hidden="false" customHeight="false" outlineLevel="0" collapsed="false">
      <c r="A1115" s="6" t="s">
        <v>72</v>
      </c>
      <c r="B1115" s="6" t="s">
        <v>428</v>
      </c>
      <c r="C1115" s="6" t="n">
        <v>30</v>
      </c>
      <c r="D1115" s="25" t="n">
        <f aca="false">EDATE('Start Here'!$B$6,C1115-1)</f>
        <v>47209</v>
      </c>
      <c r="E1115" s="23" t="n">
        <f aca="false">IF(AND(OR(Nonlabor!$D$24="Both",Nonlabor!$D$24='Start Here'!$B$9),IF(Nonlabor!$E$24="Core",1,IF(Nonlabor!$E$24="AI",'Start Here'!$B$7,'Start Here'!$B$8))=1,C1115&gt;=IF(Nonlabor!$E$24="Core",Nonlabor!$F$24,MAX(Nonlabor!$F$24,IF(Nonlabor!$E$24="AI",Assumptions!$C$24,Assumptions!$C$25))),C1115&lt;=Nonlabor!$G$24,OR(Nonlabor!$H$24="Monthly",AND(Nonlabor!$H$24="Once",C1115=IF(Nonlabor!$E$24="Core",Nonlabor!$F$24,MAX(Nonlabor!$F$24,IF(Nonlabor!$E$24="AI",Assumptions!$C$24,Assumptions!$C$25)))),AND(Nonlabor!$H$24="Annual",MOD(C1115-IF(Nonlabor!$E$24="Core",Nonlabor!$F$24,MAX(Nonlabor!$F$24,IF(Nonlabor!$E$24="AI",Assumptions!$C$24,Assumptions!$C$25))),12)=0))),IF(Nonlabor!$I$24="Fixed",1,IF(Nonlabor!$I$24="Seats",ROUNDUP('Monthly Lean'!I35,0),IF(Nonlabor!$I$24="Customers",'Monthly Lean'!D35,IF(Nonlabor!$I$24="NewCustomers",'Monthly Lean'!C35,IF(Nonlabor!$I$24="StorageGB",'Monthly Lean'!G35,IF(Nonlabor!$I$24="LogGB",'Monthly Lean'!H35,IF(Nonlabor!$I$24="RequestsM",'Monthly Lean'!F35,IF(Nonlabor!$I$24="InputM",'Monthly Lean'!D35*Assumptions!$C$22/1000000,IF(Nonlabor!$I$24="OutputM",'Monthly Lean'!D35*Assumptions!$C$23/1000000,0))))))))),0)</f>
        <v>0</v>
      </c>
      <c r="F1115" s="10" t="n">
        <f aca="false">Nonlabor!$J$24*(1+Assumptions!$C$9)^INT((C1115-1)/12)</f>
        <v>0.42436</v>
      </c>
      <c r="G1115" s="10" t="n">
        <f aca="false">E1115*F1115</f>
        <v>0</v>
      </c>
      <c r="H1115" s="10" t="n">
        <f aca="false">IF(OR(Nonlabor!$L$24="Quote required",Nonlabor!$L$24="Unverified"),G1115,0)</f>
        <v>0</v>
      </c>
      <c r="I1115" s="10" t="n">
        <f aca="false">IF(Nonlabor!$E$24="Core",0,G1115)</f>
        <v>0</v>
      </c>
      <c r="J1115" s="23" t="str">
        <f aca="false">Nonlabor!$B$24</f>
        <v>AI</v>
      </c>
    </row>
    <row r="1116" customFormat="false" ht="15" hidden="false" customHeight="false" outlineLevel="0" collapsed="false">
      <c r="A1116" s="6" t="s">
        <v>72</v>
      </c>
      <c r="B1116" s="6" t="s">
        <v>428</v>
      </c>
      <c r="C1116" s="6" t="n">
        <v>31</v>
      </c>
      <c r="D1116" s="25" t="n">
        <f aca="false">EDATE('Start Here'!$B$6,C1116-1)</f>
        <v>47239</v>
      </c>
      <c r="E1116" s="23" t="n">
        <f aca="false">IF(AND(OR(Nonlabor!$D$24="Both",Nonlabor!$D$24='Start Here'!$B$9),IF(Nonlabor!$E$24="Core",1,IF(Nonlabor!$E$24="AI",'Start Here'!$B$7,'Start Here'!$B$8))=1,C1116&gt;=IF(Nonlabor!$E$24="Core",Nonlabor!$F$24,MAX(Nonlabor!$F$24,IF(Nonlabor!$E$24="AI",Assumptions!$C$24,Assumptions!$C$25))),C1116&lt;=Nonlabor!$G$24,OR(Nonlabor!$H$24="Monthly",AND(Nonlabor!$H$24="Once",C1116=IF(Nonlabor!$E$24="Core",Nonlabor!$F$24,MAX(Nonlabor!$F$24,IF(Nonlabor!$E$24="AI",Assumptions!$C$24,Assumptions!$C$25)))),AND(Nonlabor!$H$24="Annual",MOD(C1116-IF(Nonlabor!$E$24="Core",Nonlabor!$F$24,MAX(Nonlabor!$F$24,IF(Nonlabor!$E$24="AI",Assumptions!$C$24,Assumptions!$C$25))),12)=0))),IF(Nonlabor!$I$24="Fixed",1,IF(Nonlabor!$I$24="Seats",ROUNDUP('Monthly Lean'!I36,0),IF(Nonlabor!$I$24="Customers",'Monthly Lean'!D36,IF(Nonlabor!$I$24="NewCustomers",'Monthly Lean'!C36,IF(Nonlabor!$I$24="StorageGB",'Monthly Lean'!G36,IF(Nonlabor!$I$24="LogGB",'Monthly Lean'!H36,IF(Nonlabor!$I$24="RequestsM",'Monthly Lean'!F36,IF(Nonlabor!$I$24="InputM",'Monthly Lean'!D36*Assumptions!$C$22/1000000,IF(Nonlabor!$I$24="OutputM",'Monthly Lean'!D36*Assumptions!$C$23/1000000,0))))))))),0)</f>
        <v>0</v>
      </c>
      <c r="F1116" s="10" t="n">
        <f aca="false">Nonlabor!$J$24*(1+Assumptions!$C$9)^INT((C1116-1)/12)</f>
        <v>0.42436</v>
      </c>
      <c r="G1116" s="10" t="n">
        <f aca="false">E1116*F1116</f>
        <v>0</v>
      </c>
      <c r="H1116" s="10" t="n">
        <f aca="false">IF(OR(Nonlabor!$L$24="Quote required",Nonlabor!$L$24="Unverified"),G1116,0)</f>
        <v>0</v>
      </c>
      <c r="I1116" s="10" t="n">
        <f aca="false">IF(Nonlabor!$E$24="Core",0,G1116)</f>
        <v>0</v>
      </c>
      <c r="J1116" s="23" t="str">
        <f aca="false">Nonlabor!$B$24</f>
        <v>AI</v>
      </c>
    </row>
    <row r="1117" customFormat="false" ht="15" hidden="false" customHeight="false" outlineLevel="0" collapsed="false">
      <c r="A1117" s="6" t="s">
        <v>72</v>
      </c>
      <c r="B1117" s="6" t="s">
        <v>428</v>
      </c>
      <c r="C1117" s="6" t="n">
        <v>32</v>
      </c>
      <c r="D1117" s="25" t="n">
        <f aca="false">EDATE('Start Here'!$B$6,C1117-1)</f>
        <v>47270</v>
      </c>
      <c r="E1117" s="23" t="n">
        <f aca="false">IF(AND(OR(Nonlabor!$D$24="Both",Nonlabor!$D$24='Start Here'!$B$9),IF(Nonlabor!$E$24="Core",1,IF(Nonlabor!$E$24="AI",'Start Here'!$B$7,'Start Here'!$B$8))=1,C1117&gt;=IF(Nonlabor!$E$24="Core",Nonlabor!$F$24,MAX(Nonlabor!$F$24,IF(Nonlabor!$E$24="AI",Assumptions!$C$24,Assumptions!$C$25))),C1117&lt;=Nonlabor!$G$24,OR(Nonlabor!$H$24="Monthly",AND(Nonlabor!$H$24="Once",C1117=IF(Nonlabor!$E$24="Core",Nonlabor!$F$24,MAX(Nonlabor!$F$24,IF(Nonlabor!$E$24="AI",Assumptions!$C$24,Assumptions!$C$25)))),AND(Nonlabor!$H$24="Annual",MOD(C1117-IF(Nonlabor!$E$24="Core",Nonlabor!$F$24,MAX(Nonlabor!$F$24,IF(Nonlabor!$E$24="AI",Assumptions!$C$24,Assumptions!$C$25))),12)=0))),IF(Nonlabor!$I$24="Fixed",1,IF(Nonlabor!$I$24="Seats",ROUNDUP('Monthly Lean'!I37,0),IF(Nonlabor!$I$24="Customers",'Monthly Lean'!D37,IF(Nonlabor!$I$24="NewCustomers",'Monthly Lean'!C37,IF(Nonlabor!$I$24="StorageGB",'Monthly Lean'!G37,IF(Nonlabor!$I$24="LogGB",'Monthly Lean'!H37,IF(Nonlabor!$I$24="RequestsM",'Monthly Lean'!F37,IF(Nonlabor!$I$24="InputM",'Monthly Lean'!D37*Assumptions!$C$22/1000000,IF(Nonlabor!$I$24="OutputM",'Monthly Lean'!D37*Assumptions!$C$23/1000000,0))))))))),0)</f>
        <v>0</v>
      </c>
      <c r="F1117" s="10" t="n">
        <f aca="false">Nonlabor!$J$24*(1+Assumptions!$C$9)^INT((C1117-1)/12)</f>
        <v>0.42436</v>
      </c>
      <c r="G1117" s="10" t="n">
        <f aca="false">E1117*F1117</f>
        <v>0</v>
      </c>
      <c r="H1117" s="10" t="n">
        <f aca="false">IF(OR(Nonlabor!$L$24="Quote required",Nonlabor!$L$24="Unverified"),G1117,0)</f>
        <v>0</v>
      </c>
      <c r="I1117" s="10" t="n">
        <f aca="false">IF(Nonlabor!$E$24="Core",0,G1117)</f>
        <v>0</v>
      </c>
      <c r="J1117" s="23" t="str">
        <f aca="false">Nonlabor!$B$24</f>
        <v>AI</v>
      </c>
    </row>
    <row r="1118" customFormat="false" ht="15" hidden="false" customHeight="false" outlineLevel="0" collapsed="false">
      <c r="A1118" s="6" t="s">
        <v>72</v>
      </c>
      <c r="B1118" s="6" t="s">
        <v>428</v>
      </c>
      <c r="C1118" s="6" t="n">
        <v>33</v>
      </c>
      <c r="D1118" s="25" t="n">
        <f aca="false">EDATE('Start Here'!$B$6,C1118-1)</f>
        <v>47300</v>
      </c>
      <c r="E1118" s="23" t="n">
        <f aca="false">IF(AND(OR(Nonlabor!$D$24="Both",Nonlabor!$D$24='Start Here'!$B$9),IF(Nonlabor!$E$24="Core",1,IF(Nonlabor!$E$24="AI",'Start Here'!$B$7,'Start Here'!$B$8))=1,C1118&gt;=IF(Nonlabor!$E$24="Core",Nonlabor!$F$24,MAX(Nonlabor!$F$24,IF(Nonlabor!$E$24="AI",Assumptions!$C$24,Assumptions!$C$25))),C1118&lt;=Nonlabor!$G$24,OR(Nonlabor!$H$24="Monthly",AND(Nonlabor!$H$24="Once",C1118=IF(Nonlabor!$E$24="Core",Nonlabor!$F$24,MAX(Nonlabor!$F$24,IF(Nonlabor!$E$24="AI",Assumptions!$C$24,Assumptions!$C$25)))),AND(Nonlabor!$H$24="Annual",MOD(C1118-IF(Nonlabor!$E$24="Core",Nonlabor!$F$24,MAX(Nonlabor!$F$24,IF(Nonlabor!$E$24="AI",Assumptions!$C$24,Assumptions!$C$25))),12)=0))),IF(Nonlabor!$I$24="Fixed",1,IF(Nonlabor!$I$24="Seats",ROUNDUP('Monthly Lean'!I38,0),IF(Nonlabor!$I$24="Customers",'Monthly Lean'!D38,IF(Nonlabor!$I$24="NewCustomers",'Monthly Lean'!C38,IF(Nonlabor!$I$24="StorageGB",'Monthly Lean'!G38,IF(Nonlabor!$I$24="LogGB",'Monthly Lean'!H38,IF(Nonlabor!$I$24="RequestsM",'Monthly Lean'!F38,IF(Nonlabor!$I$24="InputM",'Monthly Lean'!D38*Assumptions!$C$22/1000000,IF(Nonlabor!$I$24="OutputM",'Monthly Lean'!D38*Assumptions!$C$23/1000000,0))))))))),0)</f>
        <v>0</v>
      </c>
      <c r="F1118" s="10" t="n">
        <f aca="false">Nonlabor!$J$24*(1+Assumptions!$C$9)^INT((C1118-1)/12)</f>
        <v>0.42436</v>
      </c>
      <c r="G1118" s="10" t="n">
        <f aca="false">E1118*F1118</f>
        <v>0</v>
      </c>
      <c r="H1118" s="10" t="n">
        <f aca="false">IF(OR(Nonlabor!$L$24="Quote required",Nonlabor!$L$24="Unverified"),G1118,0)</f>
        <v>0</v>
      </c>
      <c r="I1118" s="10" t="n">
        <f aca="false">IF(Nonlabor!$E$24="Core",0,G1118)</f>
        <v>0</v>
      </c>
      <c r="J1118" s="23" t="str">
        <f aca="false">Nonlabor!$B$24</f>
        <v>AI</v>
      </c>
    </row>
    <row r="1119" customFormat="false" ht="15" hidden="false" customHeight="false" outlineLevel="0" collapsed="false">
      <c r="A1119" s="6" t="s">
        <v>72</v>
      </c>
      <c r="B1119" s="6" t="s">
        <v>428</v>
      </c>
      <c r="C1119" s="6" t="n">
        <v>34</v>
      </c>
      <c r="D1119" s="25" t="n">
        <f aca="false">EDATE('Start Here'!$B$6,C1119-1)</f>
        <v>47331</v>
      </c>
      <c r="E1119" s="23" t="n">
        <f aca="false">IF(AND(OR(Nonlabor!$D$24="Both",Nonlabor!$D$24='Start Here'!$B$9),IF(Nonlabor!$E$24="Core",1,IF(Nonlabor!$E$24="AI",'Start Here'!$B$7,'Start Here'!$B$8))=1,C1119&gt;=IF(Nonlabor!$E$24="Core",Nonlabor!$F$24,MAX(Nonlabor!$F$24,IF(Nonlabor!$E$24="AI",Assumptions!$C$24,Assumptions!$C$25))),C1119&lt;=Nonlabor!$G$24,OR(Nonlabor!$H$24="Monthly",AND(Nonlabor!$H$24="Once",C1119=IF(Nonlabor!$E$24="Core",Nonlabor!$F$24,MAX(Nonlabor!$F$24,IF(Nonlabor!$E$24="AI",Assumptions!$C$24,Assumptions!$C$25)))),AND(Nonlabor!$H$24="Annual",MOD(C1119-IF(Nonlabor!$E$24="Core",Nonlabor!$F$24,MAX(Nonlabor!$F$24,IF(Nonlabor!$E$24="AI",Assumptions!$C$24,Assumptions!$C$25))),12)=0))),IF(Nonlabor!$I$24="Fixed",1,IF(Nonlabor!$I$24="Seats",ROUNDUP('Monthly Lean'!I39,0),IF(Nonlabor!$I$24="Customers",'Monthly Lean'!D39,IF(Nonlabor!$I$24="NewCustomers",'Monthly Lean'!C39,IF(Nonlabor!$I$24="StorageGB",'Monthly Lean'!G39,IF(Nonlabor!$I$24="LogGB",'Monthly Lean'!H39,IF(Nonlabor!$I$24="RequestsM",'Monthly Lean'!F39,IF(Nonlabor!$I$24="InputM",'Monthly Lean'!D39*Assumptions!$C$22/1000000,IF(Nonlabor!$I$24="OutputM",'Monthly Lean'!D39*Assumptions!$C$23/1000000,0))))))))),0)</f>
        <v>0</v>
      </c>
      <c r="F1119" s="10" t="n">
        <f aca="false">Nonlabor!$J$24*(1+Assumptions!$C$9)^INT((C1119-1)/12)</f>
        <v>0.42436</v>
      </c>
      <c r="G1119" s="10" t="n">
        <f aca="false">E1119*F1119</f>
        <v>0</v>
      </c>
      <c r="H1119" s="10" t="n">
        <f aca="false">IF(OR(Nonlabor!$L$24="Quote required",Nonlabor!$L$24="Unverified"),G1119,0)</f>
        <v>0</v>
      </c>
      <c r="I1119" s="10" t="n">
        <f aca="false">IF(Nonlabor!$E$24="Core",0,G1119)</f>
        <v>0</v>
      </c>
      <c r="J1119" s="23" t="str">
        <f aca="false">Nonlabor!$B$24</f>
        <v>AI</v>
      </c>
    </row>
    <row r="1120" customFormat="false" ht="15" hidden="false" customHeight="false" outlineLevel="0" collapsed="false">
      <c r="A1120" s="6" t="s">
        <v>72</v>
      </c>
      <c r="B1120" s="6" t="s">
        <v>428</v>
      </c>
      <c r="C1120" s="6" t="n">
        <v>35</v>
      </c>
      <c r="D1120" s="25" t="n">
        <f aca="false">EDATE('Start Here'!$B$6,C1120-1)</f>
        <v>47362</v>
      </c>
      <c r="E1120" s="23" t="n">
        <f aca="false">IF(AND(OR(Nonlabor!$D$24="Both",Nonlabor!$D$24='Start Here'!$B$9),IF(Nonlabor!$E$24="Core",1,IF(Nonlabor!$E$24="AI",'Start Here'!$B$7,'Start Here'!$B$8))=1,C1120&gt;=IF(Nonlabor!$E$24="Core",Nonlabor!$F$24,MAX(Nonlabor!$F$24,IF(Nonlabor!$E$24="AI",Assumptions!$C$24,Assumptions!$C$25))),C1120&lt;=Nonlabor!$G$24,OR(Nonlabor!$H$24="Monthly",AND(Nonlabor!$H$24="Once",C1120=IF(Nonlabor!$E$24="Core",Nonlabor!$F$24,MAX(Nonlabor!$F$24,IF(Nonlabor!$E$24="AI",Assumptions!$C$24,Assumptions!$C$25)))),AND(Nonlabor!$H$24="Annual",MOD(C1120-IF(Nonlabor!$E$24="Core",Nonlabor!$F$24,MAX(Nonlabor!$F$24,IF(Nonlabor!$E$24="AI",Assumptions!$C$24,Assumptions!$C$25))),12)=0))),IF(Nonlabor!$I$24="Fixed",1,IF(Nonlabor!$I$24="Seats",ROUNDUP('Monthly Lean'!I40,0),IF(Nonlabor!$I$24="Customers",'Monthly Lean'!D40,IF(Nonlabor!$I$24="NewCustomers",'Monthly Lean'!C40,IF(Nonlabor!$I$24="StorageGB",'Monthly Lean'!G40,IF(Nonlabor!$I$24="LogGB",'Monthly Lean'!H40,IF(Nonlabor!$I$24="RequestsM",'Monthly Lean'!F40,IF(Nonlabor!$I$24="InputM",'Monthly Lean'!D40*Assumptions!$C$22/1000000,IF(Nonlabor!$I$24="OutputM",'Monthly Lean'!D40*Assumptions!$C$23/1000000,0))))))))),0)</f>
        <v>0</v>
      </c>
      <c r="F1120" s="10" t="n">
        <f aca="false">Nonlabor!$J$24*(1+Assumptions!$C$9)^INT((C1120-1)/12)</f>
        <v>0.42436</v>
      </c>
      <c r="G1120" s="10" t="n">
        <f aca="false">E1120*F1120</f>
        <v>0</v>
      </c>
      <c r="H1120" s="10" t="n">
        <f aca="false">IF(OR(Nonlabor!$L$24="Quote required",Nonlabor!$L$24="Unverified"),G1120,0)</f>
        <v>0</v>
      </c>
      <c r="I1120" s="10" t="n">
        <f aca="false">IF(Nonlabor!$E$24="Core",0,G1120)</f>
        <v>0</v>
      </c>
      <c r="J1120" s="23" t="str">
        <f aca="false">Nonlabor!$B$24</f>
        <v>AI</v>
      </c>
    </row>
    <row r="1121" customFormat="false" ht="15" hidden="false" customHeight="false" outlineLevel="0" collapsed="false">
      <c r="A1121" s="6" t="s">
        <v>72</v>
      </c>
      <c r="B1121" s="6" t="s">
        <v>428</v>
      </c>
      <c r="C1121" s="6" t="n">
        <v>36</v>
      </c>
      <c r="D1121" s="25" t="n">
        <f aca="false">EDATE('Start Here'!$B$6,C1121-1)</f>
        <v>47392</v>
      </c>
      <c r="E1121" s="23" t="n">
        <f aca="false">IF(AND(OR(Nonlabor!$D$24="Both",Nonlabor!$D$24='Start Here'!$B$9),IF(Nonlabor!$E$24="Core",1,IF(Nonlabor!$E$24="AI",'Start Here'!$B$7,'Start Here'!$B$8))=1,C1121&gt;=IF(Nonlabor!$E$24="Core",Nonlabor!$F$24,MAX(Nonlabor!$F$24,IF(Nonlabor!$E$24="AI",Assumptions!$C$24,Assumptions!$C$25))),C1121&lt;=Nonlabor!$G$24,OR(Nonlabor!$H$24="Monthly",AND(Nonlabor!$H$24="Once",C1121=IF(Nonlabor!$E$24="Core",Nonlabor!$F$24,MAX(Nonlabor!$F$24,IF(Nonlabor!$E$24="AI",Assumptions!$C$24,Assumptions!$C$25)))),AND(Nonlabor!$H$24="Annual",MOD(C1121-IF(Nonlabor!$E$24="Core",Nonlabor!$F$24,MAX(Nonlabor!$F$24,IF(Nonlabor!$E$24="AI",Assumptions!$C$24,Assumptions!$C$25))),12)=0))),IF(Nonlabor!$I$24="Fixed",1,IF(Nonlabor!$I$24="Seats",ROUNDUP('Monthly Lean'!I41,0),IF(Nonlabor!$I$24="Customers",'Monthly Lean'!D41,IF(Nonlabor!$I$24="NewCustomers",'Monthly Lean'!C41,IF(Nonlabor!$I$24="StorageGB",'Monthly Lean'!G41,IF(Nonlabor!$I$24="LogGB",'Monthly Lean'!H41,IF(Nonlabor!$I$24="RequestsM",'Monthly Lean'!F41,IF(Nonlabor!$I$24="InputM",'Monthly Lean'!D41*Assumptions!$C$22/1000000,IF(Nonlabor!$I$24="OutputM",'Monthly Lean'!D41*Assumptions!$C$23/1000000,0))))))))),0)</f>
        <v>0</v>
      </c>
      <c r="F1121" s="10" t="n">
        <f aca="false">Nonlabor!$J$24*(1+Assumptions!$C$9)^INT((C1121-1)/12)</f>
        <v>0.42436</v>
      </c>
      <c r="G1121" s="10" t="n">
        <f aca="false">E1121*F1121</f>
        <v>0</v>
      </c>
      <c r="H1121" s="10" t="n">
        <f aca="false">IF(OR(Nonlabor!$L$24="Quote required",Nonlabor!$L$24="Unverified"),G1121,0)</f>
        <v>0</v>
      </c>
      <c r="I1121" s="10" t="n">
        <f aca="false">IF(Nonlabor!$E$24="Core",0,G1121)</f>
        <v>0</v>
      </c>
      <c r="J1121" s="23" t="str">
        <f aca="false">Nonlabor!$B$24</f>
        <v>AI</v>
      </c>
    </row>
    <row r="1122" customFormat="false" ht="15" hidden="false" customHeight="false" outlineLevel="0" collapsed="false">
      <c r="A1122" s="6" t="s">
        <v>72</v>
      </c>
      <c r="B1122" s="6" t="s">
        <v>428</v>
      </c>
      <c r="C1122" s="6" t="n">
        <v>37</v>
      </c>
      <c r="D1122" s="25" t="n">
        <f aca="false">EDATE('Start Here'!$B$6,C1122-1)</f>
        <v>47423</v>
      </c>
      <c r="E1122" s="23" t="n">
        <f aca="false">IF(AND(OR(Nonlabor!$D$24="Both",Nonlabor!$D$24='Start Here'!$B$9),IF(Nonlabor!$E$24="Core",1,IF(Nonlabor!$E$24="AI",'Start Here'!$B$7,'Start Here'!$B$8))=1,C1122&gt;=IF(Nonlabor!$E$24="Core",Nonlabor!$F$24,MAX(Nonlabor!$F$24,IF(Nonlabor!$E$24="AI",Assumptions!$C$24,Assumptions!$C$25))),C1122&lt;=Nonlabor!$G$24,OR(Nonlabor!$H$24="Monthly",AND(Nonlabor!$H$24="Once",C1122=IF(Nonlabor!$E$24="Core",Nonlabor!$F$24,MAX(Nonlabor!$F$24,IF(Nonlabor!$E$24="AI",Assumptions!$C$24,Assumptions!$C$25)))),AND(Nonlabor!$H$24="Annual",MOD(C1122-IF(Nonlabor!$E$24="Core",Nonlabor!$F$24,MAX(Nonlabor!$F$24,IF(Nonlabor!$E$24="AI",Assumptions!$C$24,Assumptions!$C$25))),12)=0))),IF(Nonlabor!$I$24="Fixed",1,IF(Nonlabor!$I$24="Seats",ROUNDUP('Monthly Lean'!I42,0),IF(Nonlabor!$I$24="Customers",'Monthly Lean'!D42,IF(Nonlabor!$I$24="NewCustomers",'Monthly Lean'!C42,IF(Nonlabor!$I$24="StorageGB",'Monthly Lean'!G42,IF(Nonlabor!$I$24="LogGB",'Monthly Lean'!H42,IF(Nonlabor!$I$24="RequestsM",'Monthly Lean'!F42,IF(Nonlabor!$I$24="InputM",'Monthly Lean'!D42*Assumptions!$C$22/1000000,IF(Nonlabor!$I$24="OutputM",'Monthly Lean'!D42*Assumptions!$C$23/1000000,0))))))))),0)</f>
        <v>0</v>
      </c>
      <c r="F1122" s="10" t="n">
        <f aca="false">Nonlabor!$J$24*(1+Assumptions!$C$9)^INT((C1122-1)/12)</f>
        <v>0.4370908</v>
      </c>
      <c r="G1122" s="10" t="n">
        <f aca="false">E1122*F1122</f>
        <v>0</v>
      </c>
      <c r="H1122" s="10" t="n">
        <f aca="false">IF(OR(Nonlabor!$L$24="Quote required",Nonlabor!$L$24="Unverified"),G1122,0)</f>
        <v>0</v>
      </c>
      <c r="I1122" s="10" t="n">
        <f aca="false">IF(Nonlabor!$E$24="Core",0,G1122)</f>
        <v>0</v>
      </c>
      <c r="J1122" s="23" t="str">
        <f aca="false">Nonlabor!$B$24</f>
        <v>AI</v>
      </c>
    </row>
    <row r="1123" customFormat="false" ht="15" hidden="false" customHeight="false" outlineLevel="0" collapsed="false">
      <c r="A1123" s="6" t="s">
        <v>72</v>
      </c>
      <c r="B1123" s="6" t="s">
        <v>428</v>
      </c>
      <c r="C1123" s="6" t="n">
        <v>38</v>
      </c>
      <c r="D1123" s="25" t="n">
        <f aca="false">EDATE('Start Here'!$B$6,C1123-1)</f>
        <v>47453</v>
      </c>
      <c r="E1123" s="23" t="n">
        <f aca="false">IF(AND(OR(Nonlabor!$D$24="Both",Nonlabor!$D$24='Start Here'!$B$9),IF(Nonlabor!$E$24="Core",1,IF(Nonlabor!$E$24="AI",'Start Here'!$B$7,'Start Here'!$B$8))=1,C1123&gt;=IF(Nonlabor!$E$24="Core",Nonlabor!$F$24,MAX(Nonlabor!$F$24,IF(Nonlabor!$E$24="AI",Assumptions!$C$24,Assumptions!$C$25))),C1123&lt;=Nonlabor!$G$24,OR(Nonlabor!$H$24="Monthly",AND(Nonlabor!$H$24="Once",C1123=IF(Nonlabor!$E$24="Core",Nonlabor!$F$24,MAX(Nonlabor!$F$24,IF(Nonlabor!$E$24="AI",Assumptions!$C$24,Assumptions!$C$25)))),AND(Nonlabor!$H$24="Annual",MOD(C1123-IF(Nonlabor!$E$24="Core",Nonlabor!$F$24,MAX(Nonlabor!$F$24,IF(Nonlabor!$E$24="AI",Assumptions!$C$24,Assumptions!$C$25))),12)=0))),IF(Nonlabor!$I$24="Fixed",1,IF(Nonlabor!$I$24="Seats",ROUNDUP('Monthly Lean'!I43,0),IF(Nonlabor!$I$24="Customers",'Monthly Lean'!D43,IF(Nonlabor!$I$24="NewCustomers",'Monthly Lean'!C43,IF(Nonlabor!$I$24="StorageGB",'Monthly Lean'!G43,IF(Nonlabor!$I$24="LogGB",'Monthly Lean'!H43,IF(Nonlabor!$I$24="RequestsM",'Monthly Lean'!F43,IF(Nonlabor!$I$24="InputM",'Monthly Lean'!D43*Assumptions!$C$22/1000000,IF(Nonlabor!$I$24="OutputM",'Monthly Lean'!D43*Assumptions!$C$23/1000000,0))))))))),0)</f>
        <v>0</v>
      </c>
      <c r="F1123" s="10" t="n">
        <f aca="false">Nonlabor!$J$24*(1+Assumptions!$C$9)^INT((C1123-1)/12)</f>
        <v>0.4370908</v>
      </c>
      <c r="G1123" s="10" t="n">
        <f aca="false">E1123*F1123</f>
        <v>0</v>
      </c>
      <c r="H1123" s="10" t="n">
        <f aca="false">IF(OR(Nonlabor!$L$24="Quote required",Nonlabor!$L$24="Unverified"),G1123,0)</f>
        <v>0</v>
      </c>
      <c r="I1123" s="10" t="n">
        <f aca="false">IF(Nonlabor!$E$24="Core",0,G1123)</f>
        <v>0</v>
      </c>
      <c r="J1123" s="23" t="str">
        <f aca="false">Nonlabor!$B$24</f>
        <v>AI</v>
      </c>
    </row>
    <row r="1124" customFormat="false" ht="15" hidden="false" customHeight="false" outlineLevel="0" collapsed="false">
      <c r="A1124" s="6" t="s">
        <v>72</v>
      </c>
      <c r="B1124" s="6" t="s">
        <v>428</v>
      </c>
      <c r="C1124" s="6" t="n">
        <v>39</v>
      </c>
      <c r="D1124" s="25" t="n">
        <f aca="false">EDATE('Start Here'!$B$6,C1124-1)</f>
        <v>47484</v>
      </c>
      <c r="E1124" s="23" t="n">
        <f aca="false">IF(AND(OR(Nonlabor!$D$24="Both",Nonlabor!$D$24='Start Here'!$B$9),IF(Nonlabor!$E$24="Core",1,IF(Nonlabor!$E$24="AI",'Start Here'!$B$7,'Start Here'!$B$8))=1,C1124&gt;=IF(Nonlabor!$E$24="Core",Nonlabor!$F$24,MAX(Nonlabor!$F$24,IF(Nonlabor!$E$24="AI",Assumptions!$C$24,Assumptions!$C$25))),C1124&lt;=Nonlabor!$G$24,OR(Nonlabor!$H$24="Monthly",AND(Nonlabor!$H$24="Once",C1124=IF(Nonlabor!$E$24="Core",Nonlabor!$F$24,MAX(Nonlabor!$F$24,IF(Nonlabor!$E$24="AI",Assumptions!$C$24,Assumptions!$C$25)))),AND(Nonlabor!$H$24="Annual",MOD(C1124-IF(Nonlabor!$E$24="Core",Nonlabor!$F$24,MAX(Nonlabor!$F$24,IF(Nonlabor!$E$24="AI",Assumptions!$C$24,Assumptions!$C$25))),12)=0))),IF(Nonlabor!$I$24="Fixed",1,IF(Nonlabor!$I$24="Seats",ROUNDUP('Monthly Lean'!I44,0),IF(Nonlabor!$I$24="Customers",'Monthly Lean'!D44,IF(Nonlabor!$I$24="NewCustomers",'Monthly Lean'!C44,IF(Nonlabor!$I$24="StorageGB",'Monthly Lean'!G44,IF(Nonlabor!$I$24="LogGB",'Monthly Lean'!H44,IF(Nonlabor!$I$24="RequestsM",'Monthly Lean'!F44,IF(Nonlabor!$I$24="InputM",'Monthly Lean'!D44*Assumptions!$C$22/1000000,IF(Nonlabor!$I$24="OutputM",'Monthly Lean'!D44*Assumptions!$C$23/1000000,0))))))))),0)</f>
        <v>0</v>
      </c>
      <c r="F1124" s="10" t="n">
        <f aca="false">Nonlabor!$J$24*(1+Assumptions!$C$9)^INT((C1124-1)/12)</f>
        <v>0.4370908</v>
      </c>
      <c r="G1124" s="10" t="n">
        <f aca="false">E1124*F1124</f>
        <v>0</v>
      </c>
      <c r="H1124" s="10" t="n">
        <f aca="false">IF(OR(Nonlabor!$L$24="Quote required",Nonlabor!$L$24="Unverified"),G1124,0)</f>
        <v>0</v>
      </c>
      <c r="I1124" s="10" t="n">
        <f aca="false">IF(Nonlabor!$E$24="Core",0,G1124)</f>
        <v>0</v>
      </c>
      <c r="J1124" s="23" t="str">
        <f aca="false">Nonlabor!$B$24</f>
        <v>AI</v>
      </c>
    </row>
    <row r="1125" customFormat="false" ht="15" hidden="false" customHeight="false" outlineLevel="0" collapsed="false">
      <c r="A1125" s="6" t="s">
        <v>72</v>
      </c>
      <c r="B1125" s="6" t="s">
        <v>428</v>
      </c>
      <c r="C1125" s="6" t="n">
        <v>40</v>
      </c>
      <c r="D1125" s="25" t="n">
        <f aca="false">EDATE('Start Here'!$B$6,C1125-1)</f>
        <v>47515</v>
      </c>
      <c r="E1125" s="23" t="n">
        <f aca="false">IF(AND(OR(Nonlabor!$D$24="Both",Nonlabor!$D$24='Start Here'!$B$9),IF(Nonlabor!$E$24="Core",1,IF(Nonlabor!$E$24="AI",'Start Here'!$B$7,'Start Here'!$B$8))=1,C1125&gt;=IF(Nonlabor!$E$24="Core",Nonlabor!$F$24,MAX(Nonlabor!$F$24,IF(Nonlabor!$E$24="AI",Assumptions!$C$24,Assumptions!$C$25))),C1125&lt;=Nonlabor!$G$24,OR(Nonlabor!$H$24="Monthly",AND(Nonlabor!$H$24="Once",C1125=IF(Nonlabor!$E$24="Core",Nonlabor!$F$24,MAX(Nonlabor!$F$24,IF(Nonlabor!$E$24="AI",Assumptions!$C$24,Assumptions!$C$25)))),AND(Nonlabor!$H$24="Annual",MOD(C1125-IF(Nonlabor!$E$24="Core",Nonlabor!$F$24,MAX(Nonlabor!$F$24,IF(Nonlabor!$E$24="AI",Assumptions!$C$24,Assumptions!$C$25))),12)=0))),IF(Nonlabor!$I$24="Fixed",1,IF(Nonlabor!$I$24="Seats",ROUNDUP('Monthly Lean'!I45,0),IF(Nonlabor!$I$24="Customers",'Monthly Lean'!D45,IF(Nonlabor!$I$24="NewCustomers",'Monthly Lean'!C45,IF(Nonlabor!$I$24="StorageGB",'Monthly Lean'!G45,IF(Nonlabor!$I$24="LogGB",'Monthly Lean'!H45,IF(Nonlabor!$I$24="RequestsM",'Monthly Lean'!F45,IF(Nonlabor!$I$24="InputM",'Monthly Lean'!D45*Assumptions!$C$22/1000000,IF(Nonlabor!$I$24="OutputM",'Monthly Lean'!D45*Assumptions!$C$23/1000000,0))))))))),0)</f>
        <v>0</v>
      </c>
      <c r="F1125" s="10" t="n">
        <f aca="false">Nonlabor!$J$24*(1+Assumptions!$C$9)^INT((C1125-1)/12)</f>
        <v>0.4370908</v>
      </c>
      <c r="G1125" s="10" t="n">
        <f aca="false">E1125*F1125</f>
        <v>0</v>
      </c>
      <c r="H1125" s="10" t="n">
        <f aca="false">IF(OR(Nonlabor!$L$24="Quote required",Nonlabor!$L$24="Unverified"),G1125,0)</f>
        <v>0</v>
      </c>
      <c r="I1125" s="10" t="n">
        <f aca="false">IF(Nonlabor!$E$24="Core",0,G1125)</f>
        <v>0</v>
      </c>
      <c r="J1125" s="23" t="str">
        <f aca="false">Nonlabor!$B$24</f>
        <v>AI</v>
      </c>
    </row>
    <row r="1126" customFormat="false" ht="15" hidden="false" customHeight="false" outlineLevel="0" collapsed="false">
      <c r="A1126" s="6" t="s">
        <v>72</v>
      </c>
      <c r="B1126" s="6" t="s">
        <v>428</v>
      </c>
      <c r="C1126" s="6" t="n">
        <v>41</v>
      </c>
      <c r="D1126" s="25" t="n">
        <f aca="false">EDATE('Start Here'!$B$6,C1126-1)</f>
        <v>47543</v>
      </c>
      <c r="E1126" s="23" t="n">
        <f aca="false">IF(AND(OR(Nonlabor!$D$24="Both",Nonlabor!$D$24='Start Here'!$B$9),IF(Nonlabor!$E$24="Core",1,IF(Nonlabor!$E$24="AI",'Start Here'!$B$7,'Start Here'!$B$8))=1,C1126&gt;=IF(Nonlabor!$E$24="Core",Nonlabor!$F$24,MAX(Nonlabor!$F$24,IF(Nonlabor!$E$24="AI",Assumptions!$C$24,Assumptions!$C$25))),C1126&lt;=Nonlabor!$G$24,OR(Nonlabor!$H$24="Monthly",AND(Nonlabor!$H$24="Once",C1126=IF(Nonlabor!$E$24="Core",Nonlabor!$F$24,MAX(Nonlabor!$F$24,IF(Nonlabor!$E$24="AI",Assumptions!$C$24,Assumptions!$C$25)))),AND(Nonlabor!$H$24="Annual",MOD(C1126-IF(Nonlabor!$E$24="Core",Nonlabor!$F$24,MAX(Nonlabor!$F$24,IF(Nonlabor!$E$24="AI",Assumptions!$C$24,Assumptions!$C$25))),12)=0))),IF(Nonlabor!$I$24="Fixed",1,IF(Nonlabor!$I$24="Seats",ROUNDUP('Monthly Lean'!I46,0),IF(Nonlabor!$I$24="Customers",'Monthly Lean'!D46,IF(Nonlabor!$I$24="NewCustomers",'Monthly Lean'!C46,IF(Nonlabor!$I$24="StorageGB",'Monthly Lean'!G46,IF(Nonlabor!$I$24="LogGB",'Monthly Lean'!H46,IF(Nonlabor!$I$24="RequestsM",'Monthly Lean'!F46,IF(Nonlabor!$I$24="InputM",'Monthly Lean'!D46*Assumptions!$C$22/1000000,IF(Nonlabor!$I$24="OutputM",'Monthly Lean'!D46*Assumptions!$C$23/1000000,0))))))))),0)</f>
        <v>0</v>
      </c>
      <c r="F1126" s="10" t="n">
        <f aca="false">Nonlabor!$J$24*(1+Assumptions!$C$9)^INT((C1126-1)/12)</f>
        <v>0.4370908</v>
      </c>
      <c r="G1126" s="10" t="n">
        <f aca="false">E1126*F1126</f>
        <v>0</v>
      </c>
      <c r="H1126" s="10" t="n">
        <f aca="false">IF(OR(Nonlabor!$L$24="Quote required",Nonlabor!$L$24="Unverified"),G1126,0)</f>
        <v>0</v>
      </c>
      <c r="I1126" s="10" t="n">
        <f aca="false">IF(Nonlabor!$E$24="Core",0,G1126)</f>
        <v>0</v>
      </c>
      <c r="J1126" s="23" t="str">
        <f aca="false">Nonlabor!$B$24</f>
        <v>AI</v>
      </c>
    </row>
    <row r="1127" customFormat="false" ht="15" hidden="false" customHeight="false" outlineLevel="0" collapsed="false">
      <c r="A1127" s="6" t="s">
        <v>72</v>
      </c>
      <c r="B1127" s="6" t="s">
        <v>428</v>
      </c>
      <c r="C1127" s="6" t="n">
        <v>42</v>
      </c>
      <c r="D1127" s="25" t="n">
        <f aca="false">EDATE('Start Here'!$B$6,C1127-1)</f>
        <v>47574</v>
      </c>
      <c r="E1127" s="23" t="n">
        <f aca="false">IF(AND(OR(Nonlabor!$D$24="Both",Nonlabor!$D$24='Start Here'!$B$9),IF(Nonlabor!$E$24="Core",1,IF(Nonlabor!$E$24="AI",'Start Here'!$B$7,'Start Here'!$B$8))=1,C1127&gt;=IF(Nonlabor!$E$24="Core",Nonlabor!$F$24,MAX(Nonlabor!$F$24,IF(Nonlabor!$E$24="AI",Assumptions!$C$24,Assumptions!$C$25))),C1127&lt;=Nonlabor!$G$24,OR(Nonlabor!$H$24="Monthly",AND(Nonlabor!$H$24="Once",C1127=IF(Nonlabor!$E$24="Core",Nonlabor!$F$24,MAX(Nonlabor!$F$24,IF(Nonlabor!$E$24="AI",Assumptions!$C$24,Assumptions!$C$25)))),AND(Nonlabor!$H$24="Annual",MOD(C1127-IF(Nonlabor!$E$24="Core",Nonlabor!$F$24,MAX(Nonlabor!$F$24,IF(Nonlabor!$E$24="AI",Assumptions!$C$24,Assumptions!$C$25))),12)=0))),IF(Nonlabor!$I$24="Fixed",1,IF(Nonlabor!$I$24="Seats",ROUNDUP('Monthly Lean'!I47,0),IF(Nonlabor!$I$24="Customers",'Monthly Lean'!D47,IF(Nonlabor!$I$24="NewCustomers",'Monthly Lean'!C47,IF(Nonlabor!$I$24="StorageGB",'Monthly Lean'!G47,IF(Nonlabor!$I$24="LogGB",'Monthly Lean'!H47,IF(Nonlabor!$I$24="RequestsM",'Monthly Lean'!F47,IF(Nonlabor!$I$24="InputM",'Monthly Lean'!D47*Assumptions!$C$22/1000000,IF(Nonlabor!$I$24="OutputM",'Monthly Lean'!D47*Assumptions!$C$23/1000000,0))))))))),0)</f>
        <v>0</v>
      </c>
      <c r="F1127" s="10" t="n">
        <f aca="false">Nonlabor!$J$24*(1+Assumptions!$C$9)^INT((C1127-1)/12)</f>
        <v>0.4370908</v>
      </c>
      <c r="G1127" s="10" t="n">
        <f aca="false">E1127*F1127</f>
        <v>0</v>
      </c>
      <c r="H1127" s="10" t="n">
        <f aca="false">IF(OR(Nonlabor!$L$24="Quote required",Nonlabor!$L$24="Unverified"),G1127,0)</f>
        <v>0</v>
      </c>
      <c r="I1127" s="10" t="n">
        <f aca="false">IF(Nonlabor!$E$24="Core",0,G1127)</f>
        <v>0</v>
      </c>
      <c r="J1127" s="23" t="str">
        <f aca="false">Nonlabor!$B$24</f>
        <v>AI</v>
      </c>
    </row>
    <row r="1128" customFormat="false" ht="15" hidden="false" customHeight="false" outlineLevel="0" collapsed="false">
      <c r="A1128" s="6" t="s">
        <v>72</v>
      </c>
      <c r="B1128" s="6" t="s">
        <v>428</v>
      </c>
      <c r="C1128" s="6" t="n">
        <v>43</v>
      </c>
      <c r="D1128" s="25" t="n">
        <f aca="false">EDATE('Start Here'!$B$6,C1128-1)</f>
        <v>47604</v>
      </c>
      <c r="E1128" s="23" t="n">
        <f aca="false">IF(AND(OR(Nonlabor!$D$24="Both",Nonlabor!$D$24='Start Here'!$B$9),IF(Nonlabor!$E$24="Core",1,IF(Nonlabor!$E$24="AI",'Start Here'!$B$7,'Start Here'!$B$8))=1,C1128&gt;=IF(Nonlabor!$E$24="Core",Nonlabor!$F$24,MAX(Nonlabor!$F$24,IF(Nonlabor!$E$24="AI",Assumptions!$C$24,Assumptions!$C$25))),C1128&lt;=Nonlabor!$G$24,OR(Nonlabor!$H$24="Monthly",AND(Nonlabor!$H$24="Once",C1128=IF(Nonlabor!$E$24="Core",Nonlabor!$F$24,MAX(Nonlabor!$F$24,IF(Nonlabor!$E$24="AI",Assumptions!$C$24,Assumptions!$C$25)))),AND(Nonlabor!$H$24="Annual",MOD(C1128-IF(Nonlabor!$E$24="Core",Nonlabor!$F$24,MAX(Nonlabor!$F$24,IF(Nonlabor!$E$24="AI",Assumptions!$C$24,Assumptions!$C$25))),12)=0))),IF(Nonlabor!$I$24="Fixed",1,IF(Nonlabor!$I$24="Seats",ROUNDUP('Monthly Lean'!I48,0),IF(Nonlabor!$I$24="Customers",'Monthly Lean'!D48,IF(Nonlabor!$I$24="NewCustomers",'Monthly Lean'!C48,IF(Nonlabor!$I$24="StorageGB",'Monthly Lean'!G48,IF(Nonlabor!$I$24="LogGB",'Monthly Lean'!H48,IF(Nonlabor!$I$24="RequestsM",'Monthly Lean'!F48,IF(Nonlabor!$I$24="InputM",'Monthly Lean'!D48*Assumptions!$C$22/1000000,IF(Nonlabor!$I$24="OutputM",'Monthly Lean'!D48*Assumptions!$C$23/1000000,0))))))))),0)</f>
        <v>0</v>
      </c>
      <c r="F1128" s="10" t="n">
        <f aca="false">Nonlabor!$J$24*(1+Assumptions!$C$9)^INT((C1128-1)/12)</f>
        <v>0.4370908</v>
      </c>
      <c r="G1128" s="10" t="n">
        <f aca="false">E1128*F1128</f>
        <v>0</v>
      </c>
      <c r="H1128" s="10" t="n">
        <f aca="false">IF(OR(Nonlabor!$L$24="Quote required",Nonlabor!$L$24="Unverified"),G1128,0)</f>
        <v>0</v>
      </c>
      <c r="I1128" s="10" t="n">
        <f aca="false">IF(Nonlabor!$E$24="Core",0,G1128)</f>
        <v>0</v>
      </c>
      <c r="J1128" s="23" t="str">
        <f aca="false">Nonlabor!$B$24</f>
        <v>AI</v>
      </c>
    </row>
    <row r="1129" customFormat="false" ht="15" hidden="false" customHeight="false" outlineLevel="0" collapsed="false">
      <c r="A1129" s="6" t="s">
        <v>72</v>
      </c>
      <c r="B1129" s="6" t="s">
        <v>428</v>
      </c>
      <c r="C1129" s="6" t="n">
        <v>44</v>
      </c>
      <c r="D1129" s="25" t="n">
        <f aca="false">EDATE('Start Here'!$B$6,C1129-1)</f>
        <v>47635</v>
      </c>
      <c r="E1129" s="23" t="n">
        <f aca="false">IF(AND(OR(Nonlabor!$D$24="Both",Nonlabor!$D$24='Start Here'!$B$9),IF(Nonlabor!$E$24="Core",1,IF(Nonlabor!$E$24="AI",'Start Here'!$B$7,'Start Here'!$B$8))=1,C1129&gt;=IF(Nonlabor!$E$24="Core",Nonlabor!$F$24,MAX(Nonlabor!$F$24,IF(Nonlabor!$E$24="AI",Assumptions!$C$24,Assumptions!$C$25))),C1129&lt;=Nonlabor!$G$24,OR(Nonlabor!$H$24="Monthly",AND(Nonlabor!$H$24="Once",C1129=IF(Nonlabor!$E$24="Core",Nonlabor!$F$24,MAX(Nonlabor!$F$24,IF(Nonlabor!$E$24="AI",Assumptions!$C$24,Assumptions!$C$25)))),AND(Nonlabor!$H$24="Annual",MOD(C1129-IF(Nonlabor!$E$24="Core",Nonlabor!$F$24,MAX(Nonlabor!$F$24,IF(Nonlabor!$E$24="AI",Assumptions!$C$24,Assumptions!$C$25))),12)=0))),IF(Nonlabor!$I$24="Fixed",1,IF(Nonlabor!$I$24="Seats",ROUNDUP('Monthly Lean'!I49,0),IF(Nonlabor!$I$24="Customers",'Monthly Lean'!D49,IF(Nonlabor!$I$24="NewCustomers",'Monthly Lean'!C49,IF(Nonlabor!$I$24="StorageGB",'Monthly Lean'!G49,IF(Nonlabor!$I$24="LogGB",'Monthly Lean'!H49,IF(Nonlabor!$I$24="RequestsM",'Monthly Lean'!F49,IF(Nonlabor!$I$24="InputM",'Monthly Lean'!D49*Assumptions!$C$22/1000000,IF(Nonlabor!$I$24="OutputM",'Monthly Lean'!D49*Assumptions!$C$23/1000000,0))))))))),0)</f>
        <v>0</v>
      </c>
      <c r="F1129" s="10" t="n">
        <f aca="false">Nonlabor!$J$24*(1+Assumptions!$C$9)^INT((C1129-1)/12)</f>
        <v>0.4370908</v>
      </c>
      <c r="G1129" s="10" t="n">
        <f aca="false">E1129*F1129</f>
        <v>0</v>
      </c>
      <c r="H1129" s="10" t="n">
        <f aca="false">IF(OR(Nonlabor!$L$24="Quote required",Nonlabor!$L$24="Unverified"),G1129,0)</f>
        <v>0</v>
      </c>
      <c r="I1129" s="10" t="n">
        <f aca="false">IF(Nonlabor!$E$24="Core",0,G1129)</f>
        <v>0</v>
      </c>
      <c r="J1129" s="23" t="str">
        <f aca="false">Nonlabor!$B$24</f>
        <v>AI</v>
      </c>
    </row>
    <row r="1130" customFormat="false" ht="15" hidden="false" customHeight="false" outlineLevel="0" collapsed="false">
      <c r="A1130" s="6" t="s">
        <v>72</v>
      </c>
      <c r="B1130" s="6" t="s">
        <v>428</v>
      </c>
      <c r="C1130" s="6" t="n">
        <v>45</v>
      </c>
      <c r="D1130" s="25" t="n">
        <f aca="false">EDATE('Start Here'!$B$6,C1130-1)</f>
        <v>47665</v>
      </c>
      <c r="E1130" s="23" t="n">
        <f aca="false">IF(AND(OR(Nonlabor!$D$24="Both",Nonlabor!$D$24='Start Here'!$B$9),IF(Nonlabor!$E$24="Core",1,IF(Nonlabor!$E$24="AI",'Start Here'!$B$7,'Start Here'!$B$8))=1,C1130&gt;=IF(Nonlabor!$E$24="Core",Nonlabor!$F$24,MAX(Nonlabor!$F$24,IF(Nonlabor!$E$24="AI",Assumptions!$C$24,Assumptions!$C$25))),C1130&lt;=Nonlabor!$G$24,OR(Nonlabor!$H$24="Monthly",AND(Nonlabor!$H$24="Once",C1130=IF(Nonlabor!$E$24="Core",Nonlabor!$F$24,MAX(Nonlabor!$F$24,IF(Nonlabor!$E$24="AI",Assumptions!$C$24,Assumptions!$C$25)))),AND(Nonlabor!$H$24="Annual",MOD(C1130-IF(Nonlabor!$E$24="Core",Nonlabor!$F$24,MAX(Nonlabor!$F$24,IF(Nonlabor!$E$24="AI",Assumptions!$C$24,Assumptions!$C$25))),12)=0))),IF(Nonlabor!$I$24="Fixed",1,IF(Nonlabor!$I$24="Seats",ROUNDUP('Monthly Lean'!I50,0),IF(Nonlabor!$I$24="Customers",'Monthly Lean'!D50,IF(Nonlabor!$I$24="NewCustomers",'Monthly Lean'!C50,IF(Nonlabor!$I$24="StorageGB",'Monthly Lean'!G50,IF(Nonlabor!$I$24="LogGB",'Monthly Lean'!H50,IF(Nonlabor!$I$24="RequestsM",'Monthly Lean'!F50,IF(Nonlabor!$I$24="InputM",'Monthly Lean'!D50*Assumptions!$C$22/1000000,IF(Nonlabor!$I$24="OutputM",'Monthly Lean'!D50*Assumptions!$C$23/1000000,0))))))))),0)</f>
        <v>0</v>
      </c>
      <c r="F1130" s="10" t="n">
        <f aca="false">Nonlabor!$J$24*(1+Assumptions!$C$9)^INT((C1130-1)/12)</f>
        <v>0.4370908</v>
      </c>
      <c r="G1130" s="10" t="n">
        <f aca="false">E1130*F1130</f>
        <v>0</v>
      </c>
      <c r="H1130" s="10" t="n">
        <f aca="false">IF(OR(Nonlabor!$L$24="Quote required",Nonlabor!$L$24="Unverified"),G1130,0)</f>
        <v>0</v>
      </c>
      <c r="I1130" s="10" t="n">
        <f aca="false">IF(Nonlabor!$E$24="Core",0,G1130)</f>
        <v>0</v>
      </c>
      <c r="J1130" s="23" t="str">
        <f aca="false">Nonlabor!$B$24</f>
        <v>AI</v>
      </c>
    </row>
    <row r="1131" customFormat="false" ht="15" hidden="false" customHeight="false" outlineLevel="0" collapsed="false">
      <c r="A1131" s="6" t="s">
        <v>72</v>
      </c>
      <c r="B1131" s="6" t="s">
        <v>428</v>
      </c>
      <c r="C1131" s="6" t="n">
        <v>46</v>
      </c>
      <c r="D1131" s="25" t="n">
        <f aca="false">EDATE('Start Here'!$B$6,C1131-1)</f>
        <v>47696</v>
      </c>
      <c r="E1131" s="23" t="n">
        <f aca="false">IF(AND(OR(Nonlabor!$D$24="Both",Nonlabor!$D$24='Start Here'!$B$9),IF(Nonlabor!$E$24="Core",1,IF(Nonlabor!$E$24="AI",'Start Here'!$B$7,'Start Here'!$B$8))=1,C1131&gt;=IF(Nonlabor!$E$24="Core",Nonlabor!$F$24,MAX(Nonlabor!$F$24,IF(Nonlabor!$E$24="AI",Assumptions!$C$24,Assumptions!$C$25))),C1131&lt;=Nonlabor!$G$24,OR(Nonlabor!$H$24="Monthly",AND(Nonlabor!$H$24="Once",C1131=IF(Nonlabor!$E$24="Core",Nonlabor!$F$24,MAX(Nonlabor!$F$24,IF(Nonlabor!$E$24="AI",Assumptions!$C$24,Assumptions!$C$25)))),AND(Nonlabor!$H$24="Annual",MOD(C1131-IF(Nonlabor!$E$24="Core",Nonlabor!$F$24,MAX(Nonlabor!$F$24,IF(Nonlabor!$E$24="AI",Assumptions!$C$24,Assumptions!$C$25))),12)=0))),IF(Nonlabor!$I$24="Fixed",1,IF(Nonlabor!$I$24="Seats",ROUNDUP('Monthly Lean'!I51,0),IF(Nonlabor!$I$24="Customers",'Monthly Lean'!D51,IF(Nonlabor!$I$24="NewCustomers",'Monthly Lean'!C51,IF(Nonlabor!$I$24="StorageGB",'Monthly Lean'!G51,IF(Nonlabor!$I$24="LogGB",'Monthly Lean'!H51,IF(Nonlabor!$I$24="RequestsM",'Monthly Lean'!F51,IF(Nonlabor!$I$24="InputM",'Monthly Lean'!D51*Assumptions!$C$22/1000000,IF(Nonlabor!$I$24="OutputM",'Monthly Lean'!D51*Assumptions!$C$23/1000000,0))))))))),0)</f>
        <v>0</v>
      </c>
      <c r="F1131" s="10" t="n">
        <f aca="false">Nonlabor!$J$24*(1+Assumptions!$C$9)^INT((C1131-1)/12)</f>
        <v>0.4370908</v>
      </c>
      <c r="G1131" s="10" t="n">
        <f aca="false">E1131*F1131</f>
        <v>0</v>
      </c>
      <c r="H1131" s="10" t="n">
        <f aca="false">IF(OR(Nonlabor!$L$24="Quote required",Nonlabor!$L$24="Unverified"),G1131,0)</f>
        <v>0</v>
      </c>
      <c r="I1131" s="10" t="n">
        <f aca="false">IF(Nonlabor!$E$24="Core",0,G1131)</f>
        <v>0</v>
      </c>
      <c r="J1131" s="23" t="str">
        <f aca="false">Nonlabor!$B$24</f>
        <v>AI</v>
      </c>
    </row>
    <row r="1132" customFormat="false" ht="15" hidden="false" customHeight="false" outlineLevel="0" collapsed="false">
      <c r="A1132" s="6" t="s">
        <v>72</v>
      </c>
      <c r="B1132" s="6" t="s">
        <v>428</v>
      </c>
      <c r="C1132" s="6" t="n">
        <v>47</v>
      </c>
      <c r="D1132" s="25" t="n">
        <f aca="false">EDATE('Start Here'!$B$6,C1132-1)</f>
        <v>47727</v>
      </c>
      <c r="E1132" s="23" t="n">
        <f aca="false">IF(AND(OR(Nonlabor!$D$24="Both",Nonlabor!$D$24='Start Here'!$B$9),IF(Nonlabor!$E$24="Core",1,IF(Nonlabor!$E$24="AI",'Start Here'!$B$7,'Start Here'!$B$8))=1,C1132&gt;=IF(Nonlabor!$E$24="Core",Nonlabor!$F$24,MAX(Nonlabor!$F$24,IF(Nonlabor!$E$24="AI",Assumptions!$C$24,Assumptions!$C$25))),C1132&lt;=Nonlabor!$G$24,OR(Nonlabor!$H$24="Monthly",AND(Nonlabor!$H$24="Once",C1132=IF(Nonlabor!$E$24="Core",Nonlabor!$F$24,MAX(Nonlabor!$F$24,IF(Nonlabor!$E$24="AI",Assumptions!$C$24,Assumptions!$C$25)))),AND(Nonlabor!$H$24="Annual",MOD(C1132-IF(Nonlabor!$E$24="Core",Nonlabor!$F$24,MAX(Nonlabor!$F$24,IF(Nonlabor!$E$24="AI",Assumptions!$C$24,Assumptions!$C$25))),12)=0))),IF(Nonlabor!$I$24="Fixed",1,IF(Nonlabor!$I$24="Seats",ROUNDUP('Monthly Lean'!I52,0),IF(Nonlabor!$I$24="Customers",'Monthly Lean'!D52,IF(Nonlabor!$I$24="NewCustomers",'Monthly Lean'!C52,IF(Nonlabor!$I$24="StorageGB",'Monthly Lean'!G52,IF(Nonlabor!$I$24="LogGB",'Monthly Lean'!H52,IF(Nonlabor!$I$24="RequestsM",'Monthly Lean'!F52,IF(Nonlabor!$I$24="InputM",'Monthly Lean'!D52*Assumptions!$C$22/1000000,IF(Nonlabor!$I$24="OutputM",'Monthly Lean'!D52*Assumptions!$C$23/1000000,0))))))))),0)</f>
        <v>0</v>
      </c>
      <c r="F1132" s="10" t="n">
        <f aca="false">Nonlabor!$J$24*(1+Assumptions!$C$9)^INT((C1132-1)/12)</f>
        <v>0.4370908</v>
      </c>
      <c r="G1132" s="10" t="n">
        <f aca="false">E1132*F1132</f>
        <v>0</v>
      </c>
      <c r="H1132" s="10" t="n">
        <f aca="false">IF(OR(Nonlabor!$L$24="Quote required",Nonlabor!$L$24="Unverified"),G1132,0)</f>
        <v>0</v>
      </c>
      <c r="I1132" s="10" t="n">
        <f aca="false">IF(Nonlabor!$E$24="Core",0,G1132)</f>
        <v>0</v>
      </c>
      <c r="J1132" s="23" t="str">
        <f aca="false">Nonlabor!$B$24</f>
        <v>AI</v>
      </c>
    </row>
    <row r="1133" customFormat="false" ht="15" hidden="false" customHeight="false" outlineLevel="0" collapsed="false">
      <c r="A1133" s="6" t="s">
        <v>72</v>
      </c>
      <c r="B1133" s="6" t="s">
        <v>428</v>
      </c>
      <c r="C1133" s="6" t="n">
        <v>48</v>
      </c>
      <c r="D1133" s="25" t="n">
        <f aca="false">EDATE('Start Here'!$B$6,C1133-1)</f>
        <v>47757</v>
      </c>
      <c r="E1133" s="23" t="n">
        <f aca="false">IF(AND(OR(Nonlabor!$D$24="Both",Nonlabor!$D$24='Start Here'!$B$9),IF(Nonlabor!$E$24="Core",1,IF(Nonlabor!$E$24="AI",'Start Here'!$B$7,'Start Here'!$B$8))=1,C1133&gt;=IF(Nonlabor!$E$24="Core",Nonlabor!$F$24,MAX(Nonlabor!$F$24,IF(Nonlabor!$E$24="AI",Assumptions!$C$24,Assumptions!$C$25))),C1133&lt;=Nonlabor!$G$24,OR(Nonlabor!$H$24="Monthly",AND(Nonlabor!$H$24="Once",C1133=IF(Nonlabor!$E$24="Core",Nonlabor!$F$24,MAX(Nonlabor!$F$24,IF(Nonlabor!$E$24="AI",Assumptions!$C$24,Assumptions!$C$25)))),AND(Nonlabor!$H$24="Annual",MOD(C1133-IF(Nonlabor!$E$24="Core",Nonlabor!$F$24,MAX(Nonlabor!$F$24,IF(Nonlabor!$E$24="AI",Assumptions!$C$24,Assumptions!$C$25))),12)=0))),IF(Nonlabor!$I$24="Fixed",1,IF(Nonlabor!$I$24="Seats",ROUNDUP('Monthly Lean'!I53,0),IF(Nonlabor!$I$24="Customers",'Monthly Lean'!D53,IF(Nonlabor!$I$24="NewCustomers",'Monthly Lean'!C53,IF(Nonlabor!$I$24="StorageGB",'Monthly Lean'!G53,IF(Nonlabor!$I$24="LogGB",'Monthly Lean'!H53,IF(Nonlabor!$I$24="RequestsM",'Monthly Lean'!F53,IF(Nonlabor!$I$24="InputM",'Monthly Lean'!D53*Assumptions!$C$22/1000000,IF(Nonlabor!$I$24="OutputM",'Monthly Lean'!D53*Assumptions!$C$23/1000000,0))))))))),0)</f>
        <v>0</v>
      </c>
      <c r="F1133" s="10" t="n">
        <f aca="false">Nonlabor!$J$24*(1+Assumptions!$C$9)^INT((C1133-1)/12)</f>
        <v>0.4370908</v>
      </c>
      <c r="G1133" s="10" t="n">
        <f aca="false">E1133*F1133</f>
        <v>0</v>
      </c>
      <c r="H1133" s="10" t="n">
        <f aca="false">IF(OR(Nonlabor!$L$24="Quote required",Nonlabor!$L$24="Unverified"),G1133,0)</f>
        <v>0</v>
      </c>
      <c r="I1133" s="10" t="n">
        <f aca="false">IF(Nonlabor!$E$24="Core",0,G1133)</f>
        <v>0</v>
      </c>
      <c r="J1133" s="23" t="str">
        <f aca="false">Nonlabor!$B$24</f>
        <v>AI</v>
      </c>
    </row>
    <row r="1134" customFormat="false" ht="15" hidden="false" customHeight="false" outlineLevel="0" collapsed="false">
      <c r="A1134" s="6" t="s">
        <v>72</v>
      </c>
      <c r="B1134" s="6" t="s">
        <v>428</v>
      </c>
      <c r="C1134" s="6" t="n">
        <v>49</v>
      </c>
      <c r="D1134" s="25" t="n">
        <f aca="false">EDATE('Start Here'!$B$6,C1134-1)</f>
        <v>47788</v>
      </c>
      <c r="E1134" s="23" t="n">
        <f aca="false">IF(AND(OR(Nonlabor!$D$24="Both",Nonlabor!$D$24='Start Here'!$B$9),IF(Nonlabor!$E$24="Core",1,IF(Nonlabor!$E$24="AI",'Start Here'!$B$7,'Start Here'!$B$8))=1,C1134&gt;=IF(Nonlabor!$E$24="Core",Nonlabor!$F$24,MAX(Nonlabor!$F$24,IF(Nonlabor!$E$24="AI",Assumptions!$C$24,Assumptions!$C$25))),C1134&lt;=Nonlabor!$G$24,OR(Nonlabor!$H$24="Monthly",AND(Nonlabor!$H$24="Once",C1134=IF(Nonlabor!$E$24="Core",Nonlabor!$F$24,MAX(Nonlabor!$F$24,IF(Nonlabor!$E$24="AI",Assumptions!$C$24,Assumptions!$C$25)))),AND(Nonlabor!$H$24="Annual",MOD(C1134-IF(Nonlabor!$E$24="Core",Nonlabor!$F$24,MAX(Nonlabor!$F$24,IF(Nonlabor!$E$24="AI",Assumptions!$C$24,Assumptions!$C$25))),12)=0))),IF(Nonlabor!$I$24="Fixed",1,IF(Nonlabor!$I$24="Seats",ROUNDUP('Monthly Lean'!I54,0),IF(Nonlabor!$I$24="Customers",'Monthly Lean'!D54,IF(Nonlabor!$I$24="NewCustomers",'Monthly Lean'!C54,IF(Nonlabor!$I$24="StorageGB",'Monthly Lean'!G54,IF(Nonlabor!$I$24="LogGB",'Monthly Lean'!H54,IF(Nonlabor!$I$24="RequestsM",'Monthly Lean'!F54,IF(Nonlabor!$I$24="InputM",'Monthly Lean'!D54*Assumptions!$C$22/1000000,IF(Nonlabor!$I$24="OutputM",'Monthly Lean'!D54*Assumptions!$C$23/1000000,0))))))))),0)</f>
        <v>0</v>
      </c>
      <c r="F1134" s="10" t="n">
        <f aca="false">Nonlabor!$J$24*(1+Assumptions!$C$9)^INT((C1134-1)/12)</f>
        <v>0.450203524</v>
      </c>
      <c r="G1134" s="10" t="n">
        <f aca="false">E1134*F1134</f>
        <v>0</v>
      </c>
      <c r="H1134" s="10" t="n">
        <f aca="false">IF(OR(Nonlabor!$L$24="Quote required",Nonlabor!$L$24="Unverified"),G1134,0)</f>
        <v>0</v>
      </c>
      <c r="I1134" s="10" t="n">
        <f aca="false">IF(Nonlabor!$E$24="Core",0,G1134)</f>
        <v>0</v>
      </c>
      <c r="J1134" s="23" t="str">
        <f aca="false">Nonlabor!$B$24</f>
        <v>AI</v>
      </c>
    </row>
    <row r="1135" customFormat="false" ht="15" hidden="false" customHeight="false" outlineLevel="0" collapsed="false">
      <c r="A1135" s="6" t="s">
        <v>72</v>
      </c>
      <c r="B1135" s="6" t="s">
        <v>428</v>
      </c>
      <c r="C1135" s="6" t="n">
        <v>50</v>
      </c>
      <c r="D1135" s="25" t="n">
        <f aca="false">EDATE('Start Here'!$B$6,C1135-1)</f>
        <v>47818</v>
      </c>
      <c r="E1135" s="23" t="n">
        <f aca="false">IF(AND(OR(Nonlabor!$D$24="Both",Nonlabor!$D$24='Start Here'!$B$9),IF(Nonlabor!$E$24="Core",1,IF(Nonlabor!$E$24="AI",'Start Here'!$B$7,'Start Here'!$B$8))=1,C1135&gt;=IF(Nonlabor!$E$24="Core",Nonlabor!$F$24,MAX(Nonlabor!$F$24,IF(Nonlabor!$E$24="AI",Assumptions!$C$24,Assumptions!$C$25))),C1135&lt;=Nonlabor!$G$24,OR(Nonlabor!$H$24="Monthly",AND(Nonlabor!$H$24="Once",C1135=IF(Nonlabor!$E$24="Core",Nonlabor!$F$24,MAX(Nonlabor!$F$24,IF(Nonlabor!$E$24="AI",Assumptions!$C$24,Assumptions!$C$25)))),AND(Nonlabor!$H$24="Annual",MOD(C1135-IF(Nonlabor!$E$24="Core",Nonlabor!$F$24,MAX(Nonlabor!$F$24,IF(Nonlabor!$E$24="AI",Assumptions!$C$24,Assumptions!$C$25))),12)=0))),IF(Nonlabor!$I$24="Fixed",1,IF(Nonlabor!$I$24="Seats",ROUNDUP('Monthly Lean'!I55,0),IF(Nonlabor!$I$24="Customers",'Monthly Lean'!D55,IF(Nonlabor!$I$24="NewCustomers",'Monthly Lean'!C55,IF(Nonlabor!$I$24="StorageGB",'Monthly Lean'!G55,IF(Nonlabor!$I$24="LogGB",'Monthly Lean'!H55,IF(Nonlabor!$I$24="RequestsM",'Monthly Lean'!F55,IF(Nonlabor!$I$24="InputM",'Monthly Lean'!D55*Assumptions!$C$22/1000000,IF(Nonlabor!$I$24="OutputM",'Monthly Lean'!D55*Assumptions!$C$23/1000000,0))))))))),0)</f>
        <v>0</v>
      </c>
      <c r="F1135" s="10" t="n">
        <f aca="false">Nonlabor!$J$24*(1+Assumptions!$C$9)^INT((C1135-1)/12)</f>
        <v>0.450203524</v>
      </c>
      <c r="G1135" s="10" t="n">
        <f aca="false">E1135*F1135</f>
        <v>0</v>
      </c>
      <c r="H1135" s="10" t="n">
        <f aca="false">IF(OR(Nonlabor!$L$24="Quote required",Nonlabor!$L$24="Unverified"),G1135,0)</f>
        <v>0</v>
      </c>
      <c r="I1135" s="10" t="n">
        <f aca="false">IF(Nonlabor!$E$24="Core",0,G1135)</f>
        <v>0</v>
      </c>
      <c r="J1135" s="23" t="str">
        <f aca="false">Nonlabor!$B$24</f>
        <v>AI</v>
      </c>
    </row>
    <row r="1136" customFormat="false" ht="15" hidden="false" customHeight="false" outlineLevel="0" collapsed="false">
      <c r="A1136" s="6" t="s">
        <v>72</v>
      </c>
      <c r="B1136" s="6" t="s">
        <v>428</v>
      </c>
      <c r="C1136" s="6" t="n">
        <v>51</v>
      </c>
      <c r="D1136" s="25" t="n">
        <f aca="false">EDATE('Start Here'!$B$6,C1136-1)</f>
        <v>47849</v>
      </c>
      <c r="E1136" s="23" t="n">
        <f aca="false">IF(AND(OR(Nonlabor!$D$24="Both",Nonlabor!$D$24='Start Here'!$B$9),IF(Nonlabor!$E$24="Core",1,IF(Nonlabor!$E$24="AI",'Start Here'!$B$7,'Start Here'!$B$8))=1,C1136&gt;=IF(Nonlabor!$E$24="Core",Nonlabor!$F$24,MAX(Nonlabor!$F$24,IF(Nonlabor!$E$24="AI",Assumptions!$C$24,Assumptions!$C$25))),C1136&lt;=Nonlabor!$G$24,OR(Nonlabor!$H$24="Monthly",AND(Nonlabor!$H$24="Once",C1136=IF(Nonlabor!$E$24="Core",Nonlabor!$F$24,MAX(Nonlabor!$F$24,IF(Nonlabor!$E$24="AI",Assumptions!$C$24,Assumptions!$C$25)))),AND(Nonlabor!$H$24="Annual",MOD(C1136-IF(Nonlabor!$E$24="Core",Nonlabor!$F$24,MAX(Nonlabor!$F$24,IF(Nonlabor!$E$24="AI",Assumptions!$C$24,Assumptions!$C$25))),12)=0))),IF(Nonlabor!$I$24="Fixed",1,IF(Nonlabor!$I$24="Seats",ROUNDUP('Monthly Lean'!I56,0),IF(Nonlabor!$I$24="Customers",'Monthly Lean'!D56,IF(Nonlabor!$I$24="NewCustomers",'Monthly Lean'!C56,IF(Nonlabor!$I$24="StorageGB",'Monthly Lean'!G56,IF(Nonlabor!$I$24="LogGB",'Monthly Lean'!H56,IF(Nonlabor!$I$24="RequestsM",'Monthly Lean'!F56,IF(Nonlabor!$I$24="InputM",'Monthly Lean'!D56*Assumptions!$C$22/1000000,IF(Nonlabor!$I$24="OutputM",'Monthly Lean'!D56*Assumptions!$C$23/1000000,0))))))))),0)</f>
        <v>0</v>
      </c>
      <c r="F1136" s="10" t="n">
        <f aca="false">Nonlabor!$J$24*(1+Assumptions!$C$9)^INT((C1136-1)/12)</f>
        <v>0.450203524</v>
      </c>
      <c r="G1136" s="10" t="n">
        <f aca="false">E1136*F1136</f>
        <v>0</v>
      </c>
      <c r="H1136" s="10" t="n">
        <f aca="false">IF(OR(Nonlabor!$L$24="Quote required",Nonlabor!$L$24="Unverified"),G1136,0)</f>
        <v>0</v>
      </c>
      <c r="I1136" s="10" t="n">
        <f aca="false">IF(Nonlabor!$E$24="Core",0,G1136)</f>
        <v>0</v>
      </c>
      <c r="J1136" s="23" t="str">
        <f aca="false">Nonlabor!$B$24</f>
        <v>AI</v>
      </c>
    </row>
    <row r="1137" customFormat="false" ht="15" hidden="false" customHeight="false" outlineLevel="0" collapsed="false">
      <c r="A1137" s="6" t="s">
        <v>72</v>
      </c>
      <c r="B1137" s="6" t="s">
        <v>428</v>
      </c>
      <c r="C1137" s="6" t="n">
        <v>52</v>
      </c>
      <c r="D1137" s="25" t="n">
        <f aca="false">EDATE('Start Here'!$B$6,C1137-1)</f>
        <v>47880</v>
      </c>
      <c r="E1137" s="23" t="n">
        <f aca="false">IF(AND(OR(Nonlabor!$D$24="Both",Nonlabor!$D$24='Start Here'!$B$9),IF(Nonlabor!$E$24="Core",1,IF(Nonlabor!$E$24="AI",'Start Here'!$B$7,'Start Here'!$B$8))=1,C1137&gt;=IF(Nonlabor!$E$24="Core",Nonlabor!$F$24,MAX(Nonlabor!$F$24,IF(Nonlabor!$E$24="AI",Assumptions!$C$24,Assumptions!$C$25))),C1137&lt;=Nonlabor!$G$24,OR(Nonlabor!$H$24="Monthly",AND(Nonlabor!$H$24="Once",C1137=IF(Nonlabor!$E$24="Core",Nonlabor!$F$24,MAX(Nonlabor!$F$24,IF(Nonlabor!$E$24="AI",Assumptions!$C$24,Assumptions!$C$25)))),AND(Nonlabor!$H$24="Annual",MOD(C1137-IF(Nonlabor!$E$24="Core",Nonlabor!$F$24,MAX(Nonlabor!$F$24,IF(Nonlabor!$E$24="AI",Assumptions!$C$24,Assumptions!$C$25))),12)=0))),IF(Nonlabor!$I$24="Fixed",1,IF(Nonlabor!$I$24="Seats",ROUNDUP('Monthly Lean'!I57,0),IF(Nonlabor!$I$24="Customers",'Monthly Lean'!D57,IF(Nonlabor!$I$24="NewCustomers",'Monthly Lean'!C57,IF(Nonlabor!$I$24="StorageGB",'Monthly Lean'!G57,IF(Nonlabor!$I$24="LogGB",'Monthly Lean'!H57,IF(Nonlabor!$I$24="RequestsM",'Monthly Lean'!F57,IF(Nonlabor!$I$24="InputM",'Monthly Lean'!D57*Assumptions!$C$22/1000000,IF(Nonlabor!$I$24="OutputM",'Monthly Lean'!D57*Assumptions!$C$23/1000000,0))))))))),0)</f>
        <v>0</v>
      </c>
      <c r="F1137" s="10" t="n">
        <f aca="false">Nonlabor!$J$24*(1+Assumptions!$C$9)^INT((C1137-1)/12)</f>
        <v>0.450203524</v>
      </c>
      <c r="G1137" s="10" t="n">
        <f aca="false">E1137*F1137</f>
        <v>0</v>
      </c>
      <c r="H1137" s="10" t="n">
        <f aca="false">IF(OR(Nonlabor!$L$24="Quote required",Nonlabor!$L$24="Unverified"),G1137,0)</f>
        <v>0</v>
      </c>
      <c r="I1137" s="10" t="n">
        <f aca="false">IF(Nonlabor!$E$24="Core",0,G1137)</f>
        <v>0</v>
      </c>
      <c r="J1137" s="23" t="str">
        <f aca="false">Nonlabor!$B$24</f>
        <v>AI</v>
      </c>
    </row>
    <row r="1138" customFormat="false" ht="15" hidden="false" customHeight="false" outlineLevel="0" collapsed="false">
      <c r="A1138" s="6" t="s">
        <v>72</v>
      </c>
      <c r="B1138" s="6" t="s">
        <v>428</v>
      </c>
      <c r="C1138" s="6" t="n">
        <v>53</v>
      </c>
      <c r="D1138" s="25" t="n">
        <f aca="false">EDATE('Start Here'!$B$6,C1138-1)</f>
        <v>47908</v>
      </c>
      <c r="E1138" s="23" t="n">
        <f aca="false">IF(AND(OR(Nonlabor!$D$24="Both",Nonlabor!$D$24='Start Here'!$B$9),IF(Nonlabor!$E$24="Core",1,IF(Nonlabor!$E$24="AI",'Start Here'!$B$7,'Start Here'!$B$8))=1,C1138&gt;=IF(Nonlabor!$E$24="Core",Nonlabor!$F$24,MAX(Nonlabor!$F$24,IF(Nonlabor!$E$24="AI",Assumptions!$C$24,Assumptions!$C$25))),C1138&lt;=Nonlabor!$G$24,OR(Nonlabor!$H$24="Monthly",AND(Nonlabor!$H$24="Once",C1138=IF(Nonlabor!$E$24="Core",Nonlabor!$F$24,MAX(Nonlabor!$F$24,IF(Nonlabor!$E$24="AI",Assumptions!$C$24,Assumptions!$C$25)))),AND(Nonlabor!$H$24="Annual",MOD(C1138-IF(Nonlabor!$E$24="Core",Nonlabor!$F$24,MAX(Nonlabor!$F$24,IF(Nonlabor!$E$24="AI",Assumptions!$C$24,Assumptions!$C$25))),12)=0))),IF(Nonlabor!$I$24="Fixed",1,IF(Nonlabor!$I$24="Seats",ROUNDUP('Monthly Lean'!I58,0),IF(Nonlabor!$I$24="Customers",'Monthly Lean'!D58,IF(Nonlabor!$I$24="NewCustomers",'Monthly Lean'!C58,IF(Nonlabor!$I$24="StorageGB",'Monthly Lean'!G58,IF(Nonlabor!$I$24="LogGB",'Monthly Lean'!H58,IF(Nonlabor!$I$24="RequestsM",'Monthly Lean'!F58,IF(Nonlabor!$I$24="InputM",'Monthly Lean'!D58*Assumptions!$C$22/1000000,IF(Nonlabor!$I$24="OutputM",'Monthly Lean'!D58*Assumptions!$C$23/1000000,0))))))))),0)</f>
        <v>0</v>
      </c>
      <c r="F1138" s="10" t="n">
        <f aca="false">Nonlabor!$J$24*(1+Assumptions!$C$9)^INT((C1138-1)/12)</f>
        <v>0.450203524</v>
      </c>
      <c r="G1138" s="10" t="n">
        <f aca="false">E1138*F1138</f>
        <v>0</v>
      </c>
      <c r="H1138" s="10" t="n">
        <f aca="false">IF(OR(Nonlabor!$L$24="Quote required",Nonlabor!$L$24="Unverified"),G1138,0)</f>
        <v>0</v>
      </c>
      <c r="I1138" s="10" t="n">
        <f aca="false">IF(Nonlabor!$E$24="Core",0,G1138)</f>
        <v>0</v>
      </c>
      <c r="J1138" s="23" t="str">
        <f aca="false">Nonlabor!$B$24</f>
        <v>AI</v>
      </c>
    </row>
    <row r="1139" customFormat="false" ht="15" hidden="false" customHeight="false" outlineLevel="0" collapsed="false">
      <c r="A1139" s="6" t="s">
        <v>72</v>
      </c>
      <c r="B1139" s="6" t="s">
        <v>428</v>
      </c>
      <c r="C1139" s="6" t="n">
        <v>54</v>
      </c>
      <c r="D1139" s="25" t="n">
        <f aca="false">EDATE('Start Here'!$B$6,C1139-1)</f>
        <v>47939</v>
      </c>
      <c r="E1139" s="23" t="n">
        <f aca="false">IF(AND(OR(Nonlabor!$D$24="Both",Nonlabor!$D$24='Start Here'!$B$9),IF(Nonlabor!$E$24="Core",1,IF(Nonlabor!$E$24="AI",'Start Here'!$B$7,'Start Here'!$B$8))=1,C1139&gt;=IF(Nonlabor!$E$24="Core",Nonlabor!$F$24,MAX(Nonlabor!$F$24,IF(Nonlabor!$E$24="AI",Assumptions!$C$24,Assumptions!$C$25))),C1139&lt;=Nonlabor!$G$24,OR(Nonlabor!$H$24="Monthly",AND(Nonlabor!$H$24="Once",C1139=IF(Nonlabor!$E$24="Core",Nonlabor!$F$24,MAX(Nonlabor!$F$24,IF(Nonlabor!$E$24="AI",Assumptions!$C$24,Assumptions!$C$25)))),AND(Nonlabor!$H$24="Annual",MOD(C1139-IF(Nonlabor!$E$24="Core",Nonlabor!$F$24,MAX(Nonlabor!$F$24,IF(Nonlabor!$E$24="AI",Assumptions!$C$24,Assumptions!$C$25))),12)=0))),IF(Nonlabor!$I$24="Fixed",1,IF(Nonlabor!$I$24="Seats",ROUNDUP('Monthly Lean'!I59,0),IF(Nonlabor!$I$24="Customers",'Monthly Lean'!D59,IF(Nonlabor!$I$24="NewCustomers",'Monthly Lean'!C59,IF(Nonlabor!$I$24="StorageGB",'Monthly Lean'!G59,IF(Nonlabor!$I$24="LogGB",'Monthly Lean'!H59,IF(Nonlabor!$I$24="RequestsM",'Monthly Lean'!F59,IF(Nonlabor!$I$24="InputM",'Monthly Lean'!D59*Assumptions!$C$22/1000000,IF(Nonlabor!$I$24="OutputM",'Monthly Lean'!D59*Assumptions!$C$23/1000000,0))))))))),0)</f>
        <v>0</v>
      </c>
      <c r="F1139" s="10" t="n">
        <f aca="false">Nonlabor!$J$24*(1+Assumptions!$C$9)^INT((C1139-1)/12)</f>
        <v>0.450203524</v>
      </c>
      <c r="G1139" s="10" t="n">
        <f aca="false">E1139*F1139</f>
        <v>0</v>
      </c>
      <c r="H1139" s="10" t="n">
        <f aca="false">IF(OR(Nonlabor!$L$24="Quote required",Nonlabor!$L$24="Unverified"),G1139,0)</f>
        <v>0</v>
      </c>
      <c r="I1139" s="10" t="n">
        <f aca="false">IF(Nonlabor!$E$24="Core",0,G1139)</f>
        <v>0</v>
      </c>
      <c r="J1139" s="23" t="str">
        <f aca="false">Nonlabor!$B$24</f>
        <v>AI</v>
      </c>
    </row>
    <row r="1140" customFormat="false" ht="15" hidden="false" customHeight="false" outlineLevel="0" collapsed="false">
      <c r="A1140" s="6" t="s">
        <v>72</v>
      </c>
      <c r="B1140" s="6" t="s">
        <v>428</v>
      </c>
      <c r="C1140" s="6" t="n">
        <v>55</v>
      </c>
      <c r="D1140" s="25" t="n">
        <f aca="false">EDATE('Start Here'!$B$6,C1140-1)</f>
        <v>47969</v>
      </c>
      <c r="E1140" s="23" t="n">
        <f aca="false">IF(AND(OR(Nonlabor!$D$24="Both",Nonlabor!$D$24='Start Here'!$B$9),IF(Nonlabor!$E$24="Core",1,IF(Nonlabor!$E$24="AI",'Start Here'!$B$7,'Start Here'!$B$8))=1,C1140&gt;=IF(Nonlabor!$E$24="Core",Nonlabor!$F$24,MAX(Nonlabor!$F$24,IF(Nonlabor!$E$24="AI",Assumptions!$C$24,Assumptions!$C$25))),C1140&lt;=Nonlabor!$G$24,OR(Nonlabor!$H$24="Monthly",AND(Nonlabor!$H$24="Once",C1140=IF(Nonlabor!$E$24="Core",Nonlabor!$F$24,MAX(Nonlabor!$F$24,IF(Nonlabor!$E$24="AI",Assumptions!$C$24,Assumptions!$C$25)))),AND(Nonlabor!$H$24="Annual",MOD(C1140-IF(Nonlabor!$E$24="Core",Nonlabor!$F$24,MAX(Nonlabor!$F$24,IF(Nonlabor!$E$24="AI",Assumptions!$C$24,Assumptions!$C$25))),12)=0))),IF(Nonlabor!$I$24="Fixed",1,IF(Nonlabor!$I$24="Seats",ROUNDUP('Monthly Lean'!I60,0),IF(Nonlabor!$I$24="Customers",'Monthly Lean'!D60,IF(Nonlabor!$I$24="NewCustomers",'Monthly Lean'!C60,IF(Nonlabor!$I$24="StorageGB",'Monthly Lean'!G60,IF(Nonlabor!$I$24="LogGB",'Monthly Lean'!H60,IF(Nonlabor!$I$24="RequestsM",'Monthly Lean'!F60,IF(Nonlabor!$I$24="InputM",'Monthly Lean'!D60*Assumptions!$C$22/1000000,IF(Nonlabor!$I$24="OutputM",'Monthly Lean'!D60*Assumptions!$C$23/1000000,0))))))))),0)</f>
        <v>0</v>
      </c>
      <c r="F1140" s="10" t="n">
        <f aca="false">Nonlabor!$J$24*(1+Assumptions!$C$9)^INT((C1140-1)/12)</f>
        <v>0.450203524</v>
      </c>
      <c r="G1140" s="10" t="n">
        <f aca="false">E1140*F1140</f>
        <v>0</v>
      </c>
      <c r="H1140" s="10" t="n">
        <f aca="false">IF(OR(Nonlabor!$L$24="Quote required",Nonlabor!$L$24="Unverified"),G1140,0)</f>
        <v>0</v>
      </c>
      <c r="I1140" s="10" t="n">
        <f aca="false">IF(Nonlabor!$E$24="Core",0,G1140)</f>
        <v>0</v>
      </c>
      <c r="J1140" s="23" t="str">
        <f aca="false">Nonlabor!$B$24</f>
        <v>AI</v>
      </c>
    </row>
    <row r="1141" customFormat="false" ht="15" hidden="false" customHeight="false" outlineLevel="0" collapsed="false">
      <c r="A1141" s="6" t="s">
        <v>72</v>
      </c>
      <c r="B1141" s="6" t="s">
        <v>428</v>
      </c>
      <c r="C1141" s="6" t="n">
        <v>56</v>
      </c>
      <c r="D1141" s="25" t="n">
        <f aca="false">EDATE('Start Here'!$B$6,C1141-1)</f>
        <v>48000</v>
      </c>
      <c r="E1141" s="23" t="n">
        <f aca="false">IF(AND(OR(Nonlabor!$D$24="Both",Nonlabor!$D$24='Start Here'!$B$9),IF(Nonlabor!$E$24="Core",1,IF(Nonlabor!$E$24="AI",'Start Here'!$B$7,'Start Here'!$B$8))=1,C1141&gt;=IF(Nonlabor!$E$24="Core",Nonlabor!$F$24,MAX(Nonlabor!$F$24,IF(Nonlabor!$E$24="AI",Assumptions!$C$24,Assumptions!$C$25))),C1141&lt;=Nonlabor!$G$24,OR(Nonlabor!$H$24="Monthly",AND(Nonlabor!$H$24="Once",C1141=IF(Nonlabor!$E$24="Core",Nonlabor!$F$24,MAX(Nonlabor!$F$24,IF(Nonlabor!$E$24="AI",Assumptions!$C$24,Assumptions!$C$25)))),AND(Nonlabor!$H$24="Annual",MOD(C1141-IF(Nonlabor!$E$24="Core",Nonlabor!$F$24,MAX(Nonlabor!$F$24,IF(Nonlabor!$E$24="AI",Assumptions!$C$24,Assumptions!$C$25))),12)=0))),IF(Nonlabor!$I$24="Fixed",1,IF(Nonlabor!$I$24="Seats",ROUNDUP('Monthly Lean'!I61,0),IF(Nonlabor!$I$24="Customers",'Monthly Lean'!D61,IF(Nonlabor!$I$24="NewCustomers",'Monthly Lean'!C61,IF(Nonlabor!$I$24="StorageGB",'Monthly Lean'!G61,IF(Nonlabor!$I$24="LogGB",'Monthly Lean'!H61,IF(Nonlabor!$I$24="RequestsM",'Monthly Lean'!F61,IF(Nonlabor!$I$24="InputM",'Monthly Lean'!D61*Assumptions!$C$22/1000000,IF(Nonlabor!$I$24="OutputM",'Monthly Lean'!D61*Assumptions!$C$23/1000000,0))))))))),0)</f>
        <v>0</v>
      </c>
      <c r="F1141" s="10" t="n">
        <f aca="false">Nonlabor!$J$24*(1+Assumptions!$C$9)^INT((C1141-1)/12)</f>
        <v>0.450203524</v>
      </c>
      <c r="G1141" s="10" t="n">
        <f aca="false">E1141*F1141</f>
        <v>0</v>
      </c>
      <c r="H1141" s="10" t="n">
        <f aca="false">IF(OR(Nonlabor!$L$24="Quote required",Nonlabor!$L$24="Unverified"),G1141,0)</f>
        <v>0</v>
      </c>
      <c r="I1141" s="10" t="n">
        <f aca="false">IF(Nonlabor!$E$24="Core",0,G1141)</f>
        <v>0</v>
      </c>
      <c r="J1141" s="23" t="str">
        <f aca="false">Nonlabor!$B$24</f>
        <v>AI</v>
      </c>
    </row>
    <row r="1142" customFormat="false" ht="15" hidden="false" customHeight="false" outlineLevel="0" collapsed="false">
      <c r="A1142" s="6" t="s">
        <v>72</v>
      </c>
      <c r="B1142" s="6" t="s">
        <v>428</v>
      </c>
      <c r="C1142" s="6" t="n">
        <v>57</v>
      </c>
      <c r="D1142" s="25" t="n">
        <f aca="false">EDATE('Start Here'!$B$6,C1142-1)</f>
        <v>48030</v>
      </c>
      <c r="E1142" s="23" t="n">
        <f aca="false">IF(AND(OR(Nonlabor!$D$24="Both",Nonlabor!$D$24='Start Here'!$B$9),IF(Nonlabor!$E$24="Core",1,IF(Nonlabor!$E$24="AI",'Start Here'!$B$7,'Start Here'!$B$8))=1,C1142&gt;=IF(Nonlabor!$E$24="Core",Nonlabor!$F$24,MAX(Nonlabor!$F$24,IF(Nonlabor!$E$24="AI",Assumptions!$C$24,Assumptions!$C$25))),C1142&lt;=Nonlabor!$G$24,OR(Nonlabor!$H$24="Monthly",AND(Nonlabor!$H$24="Once",C1142=IF(Nonlabor!$E$24="Core",Nonlabor!$F$24,MAX(Nonlabor!$F$24,IF(Nonlabor!$E$24="AI",Assumptions!$C$24,Assumptions!$C$25)))),AND(Nonlabor!$H$24="Annual",MOD(C1142-IF(Nonlabor!$E$24="Core",Nonlabor!$F$24,MAX(Nonlabor!$F$24,IF(Nonlabor!$E$24="AI",Assumptions!$C$24,Assumptions!$C$25))),12)=0))),IF(Nonlabor!$I$24="Fixed",1,IF(Nonlabor!$I$24="Seats",ROUNDUP('Monthly Lean'!I62,0),IF(Nonlabor!$I$24="Customers",'Monthly Lean'!D62,IF(Nonlabor!$I$24="NewCustomers",'Monthly Lean'!C62,IF(Nonlabor!$I$24="StorageGB",'Monthly Lean'!G62,IF(Nonlabor!$I$24="LogGB",'Monthly Lean'!H62,IF(Nonlabor!$I$24="RequestsM",'Monthly Lean'!F62,IF(Nonlabor!$I$24="InputM",'Monthly Lean'!D62*Assumptions!$C$22/1000000,IF(Nonlabor!$I$24="OutputM",'Monthly Lean'!D62*Assumptions!$C$23/1000000,0))))))))),0)</f>
        <v>0</v>
      </c>
      <c r="F1142" s="10" t="n">
        <f aca="false">Nonlabor!$J$24*(1+Assumptions!$C$9)^INT((C1142-1)/12)</f>
        <v>0.450203524</v>
      </c>
      <c r="G1142" s="10" t="n">
        <f aca="false">E1142*F1142</f>
        <v>0</v>
      </c>
      <c r="H1142" s="10" t="n">
        <f aca="false">IF(OR(Nonlabor!$L$24="Quote required",Nonlabor!$L$24="Unverified"),G1142,0)</f>
        <v>0</v>
      </c>
      <c r="I1142" s="10" t="n">
        <f aca="false">IF(Nonlabor!$E$24="Core",0,G1142)</f>
        <v>0</v>
      </c>
      <c r="J1142" s="23" t="str">
        <f aca="false">Nonlabor!$B$24</f>
        <v>AI</v>
      </c>
    </row>
    <row r="1143" customFormat="false" ht="15" hidden="false" customHeight="false" outlineLevel="0" collapsed="false">
      <c r="A1143" s="6" t="s">
        <v>72</v>
      </c>
      <c r="B1143" s="6" t="s">
        <v>428</v>
      </c>
      <c r="C1143" s="6" t="n">
        <v>58</v>
      </c>
      <c r="D1143" s="25" t="n">
        <f aca="false">EDATE('Start Here'!$B$6,C1143-1)</f>
        <v>48061</v>
      </c>
      <c r="E1143" s="23" t="n">
        <f aca="false">IF(AND(OR(Nonlabor!$D$24="Both",Nonlabor!$D$24='Start Here'!$B$9),IF(Nonlabor!$E$24="Core",1,IF(Nonlabor!$E$24="AI",'Start Here'!$B$7,'Start Here'!$B$8))=1,C1143&gt;=IF(Nonlabor!$E$24="Core",Nonlabor!$F$24,MAX(Nonlabor!$F$24,IF(Nonlabor!$E$24="AI",Assumptions!$C$24,Assumptions!$C$25))),C1143&lt;=Nonlabor!$G$24,OR(Nonlabor!$H$24="Monthly",AND(Nonlabor!$H$24="Once",C1143=IF(Nonlabor!$E$24="Core",Nonlabor!$F$24,MAX(Nonlabor!$F$24,IF(Nonlabor!$E$24="AI",Assumptions!$C$24,Assumptions!$C$25)))),AND(Nonlabor!$H$24="Annual",MOD(C1143-IF(Nonlabor!$E$24="Core",Nonlabor!$F$24,MAX(Nonlabor!$F$24,IF(Nonlabor!$E$24="AI",Assumptions!$C$24,Assumptions!$C$25))),12)=0))),IF(Nonlabor!$I$24="Fixed",1,IF(Nonlabor!$I$24="Seats",ROUNDUP('Monthly Lean'!I63,0),IF(Nonlabor!$I$24="Customers",'Monthly Lean'!D63,IF(Nonlabor!$I$24="NewCustomers",'Monthly Lean'!C63,IF(Nonlabor!$I$24="StorageGB",'Monthly Lean'!G63,IF(Nonlabor!$I$24="LogGB",'Monthly Lean'!H63,IF(Nonlabor!$I$24="RequestsM",'Monthly Lean'!F63,IF(Nonlabor!$I$24="InputM",'Monthly Lean'!D63*Assumptions!$C$22/1000000,IF(Nonlabor!$I$24="OutputM",'Monthly Lean'!D63*Assumptions!$C$23/1000000,0))))))))),0)</f>
        <v>0</v>
      </c>
      <c r="F1143" s="10" t="n">
        <f aca="false">Nonlabor!$J$24*(1+Assumptions!$C$9)^INT((C1143-1)/12)</f>
        <v>0.450203524</v>
      </c>
      <c r="G1143" s="10" t="n">
        <f aca="false">E1143*F1143</f>
        <v>0</v>
      </c>
      <c r="H1143" s="10" t="n">
        <f aca="false">IF(OR(Nonlabor!$L$24="Quote required",Nonlabor!$L$24="Unverified"),G1143,0)</f>
        <v>0</v>
      </c>
      <c r="I1143" s="10" t="n">
        <f aca="false">IF(Nonlabor!$E$24="Core",0,G1143)</f>
        <v>0</v>
      </c>
      <c r="J1143" s="23" t="str">
        <f aca="false">Nonlabor!$B$24</f>
        <v>AI</v>
      </c>
    </row>
    <row r="1144" customFormat="false" ht="15" hidden="false" customHeight="false" outlineLevel="0" collapsed="false">
      <c r="A1144" s="6" t="s">
        <v>72</v>
      </c>
      <c r="B1144" s="6" t="s">
        <v>428</v>
      </c>
      <c r="C1144" s="6" t="n">
        <v>59</v>
      </c>
      <c r="D1144" s="25" t="n">
        <f aca="false">EDATE('Start Here'!$B$6,C1144-1)</f>
        <v>48092</v>
      </c>
      <c r="E1144" s="23" t="n">
        <f aca="false">IF(AND(OR(Nonlabor!$D$24="Both",Nonlabor!$D$24='Start Here'!$B$9),IF(Nonlabor!$E$24="Core",1,IF(Nonlabor!$E$24="AI",'Start Here'!$B$7,'Start Here'!$B$8))=1,C1144&gt;=IF(Nonlabor!$E$24="Core",Nonlabor!$F$24,MAX(Nonlabor!$F$24,IF(Nonlabor!$E$24="AI",Assumptions!$C$24,Assumptions!$C$25))),C1144&lt;=Nonlabor!$G$24,OR(Nonlabor!$H$24="Monthly",AND(Nonlabor!$H$24="Once",C1144=IF(Nonlabor!$E$24="Core",Nonlabor!$F$24,MAX(Nonlabor!$F$24,IF(Nonlabor!$E$24="AI",Assumptions!$C$24,Assumptions!$C$25)))),AND(Nonlabor!$H$24="Annual",MOD(C1144-IF(Nonlabor!$E$24="Core",Nonlabor!$F$24,MAX(Nonlabor!$F$24,IF(Nonlabor!$E$24="AI",Assumptions!$C$24,Assumptions!$C$25))),12)=0))),IF(Nonlabor!$I$24="Fixed",1,IF(Nonlabor!$I$24="Seats",ROUNDUP('Monthly Lean'!I64,0),IF(Nonlabor!$I$24="Customers",'Monthly Lean'!D64,IF(Nonlabor!$I$24="NewCustomers",'Monthly Lean'!C64,IF(Nonlabor!$I$24="StorageGB",'Monthly Lean'!G64,IF(Nonlabor!$I$24="LogGB",'Monthly Lean'!H64,IF(Nonlabor!$I$24="RequestsM",'Monthly Lean'!F64,IF(Nonlabor!$I$24="InputM",'Monthly Lean'!D64*Assumptions!$C$22/1000000,IF(Nonlabor!$I$24="OutputM",'Monthly Lean'!D64*Assumptions!$C$23/1000000,0))))))))),0)</f>
        <v>0</v>
      </c>
      <c r="F1144" s="10" t="n">
        <f aca="false">Nonlabor!$J$24*(1+Assumptions!$C$9)^INT((C1144-1)/12)</f>
        <v>0.450203524</v>
      </c>
      <c r="G1144" s="10" t="n">
        <f aca="false">E1144*F1144</f>
        <v>0</v>
      </c>
      <c r="H1144" s="10" t="n">
        <f aca="false">IF(OR(Nonlabor!$L$24="Quote required",Nonlabor!$L$24="Unverified"),G1144,0)</f>
        <v>0</v>
      </c>
      <c r="I1144" s="10" t="n">
        <f aca="false">IF(Nonlabor!$E$24="Core",0,G1144)</f>
        <v>0</v>
      </c>
      <c r="J1144" s="23" t="str">
        <f aca="false">Nonlabor!$B$24</f>
        <v>AI</v>
      </c>
    </row>
    <row r="1145" customFormat="false" ht="15" hidden="false" customHeight="false" outlineLevel="0" collapsed="false">
      <c r="A1145" s="6" t="s">
        <v>72</v>
      </c>
      <c r="B1145" s="6" t="s">
        <v>428</v>
      </c>
      <c r="C1145" s="6" t="n">
        <v>60</v>
      </c>
      <c r="D1145" s="25" t="n">
        <f aca="false">EDATE('Start Here'!$B$6,C1145-1)</f>
        <v>48122</v>
      </c>
      <c r="E1145" s="23" t="n">
        <f aca="false">IF(AND(OR(Nonlabor!$D$24="Both",Nonlabor!$D$24='Start Here'!$B$9),IF(Nonlabor!$E$24="Core",1,IF(Nonlabor!$E$24="AI",'Start Here'!$B$7,'Start Here'!$B$8))=1,C1145&gt;=IF(Nonlabor!$E$24="Core",Nonlabor!$F$24,MAX(Nonlabor!$F$24,IF(Nonlabor!$E$24="AI",Assumptions!$C$24,Assumptions!$C$25))),C1145&lt;=Nonlabor!$G$24,OR(Nonlabor!$H$24="Monthly",AND(Nonlabor!$H$24="Once",C1145=IF(Nonlabor!$E$24="Core",Nonlabor!$F$24,MAX(Nonlabor!$F$24,IF(Nonlabor!$E$24="AI",Assumptions!$C$24,Assumptions!$C$25)))),AND(Nonlabor!$H$24="Annual",MOD(C1145-IF(Nonlabor!$E$24="Core",Nonlabor!$F$24,MAX(Nonlabor!$F$24,IF(Nonlabor!$E$24="AI",Assumptions!$C$24,Assumptions!$C$25))),12)=0))),IF(Nonlabor!$I$24="Fixed",1,IF(Nonlabor!$I$24="Seats",ROUNDUP('Monthly Lean'!I65,0),IF(Nonlabor!$I$24="Customers",'Monthly Lean'!D65,IF(Nonlabor!$I$24="NewCustomers",'Monthly Lean'!C65,IF(Nonlabor!$I$24="StorageGB",'Monthly Lean'!G65,IF(Nonlabor!$I$24="LogGB",'Monthly Lean'!H65,IF(Nonlabor!$I$24="RequestsM",'Monthly Lean'!F65,IF(Nonlabor!$I$24="InputM",'Monthly Lean'!D65*Assumptions!$C$22/1000000,IF(Nonlabor!$I$24="OutputM",'Monthly Lean'!D65*Assumptions!$C$23/1000000,0))))))))),0)</f>
        <v>0</v>
      </c>
      <c r="F1145" s="10" t="n">
        <f aca="false">Nonlabor!$J$24*(1+Assumptions!$C$9)^INT((C1145-1)/12)</f>
        <v>0.450203524</v>
      </c>
      <c r="G1145" s="10" t="n">
        <f aca="false">E1145*F1145</f>
        <v>0</v>
      </c>
      <c r="H1145" s="10" t="n">
        <f aca="false">IF(OR(Nonlabor!$L$24="Quote required",Nonlabor!$L$24="Unverified"),G1145,0)</f>
        <v>0</v>
      </c>
      <c r="I1145" s="10" t="n">
        <f aca="false">IF(Nonlabor!$E$24="Core",0,G1145)</f>
        <v>0</v>
      </c>
      <c r="J1145" s="23" t="str">
        <f aca="false">Nonlabor!$B$24</f>
        <v>AI</v>
      </c>
    </row>
    <row r="1146" customFormat="false" ht="15" hidden="false" customHeight="false" outlineLevel="0" collapsed="false">
      <c r="A1146" s="6" t="s">
        <v>72</v>
      </c>
      <c r="B1146" s="6" t="s">
        <v>432</v>
      </c>
      <c r="C1146" s="6" t="n">
        <v>1</v>
      </c>
      <c r="D1146" s="25" t="n">
        <f aca="false">EDATE('Start Here'!$B$6,C1146-1)</f>
        <v>46327</v>
      </c>
      <c r="E1146" s="23" t="n">
        <f aca="false">IF(AND(OR(Nonlabor!$D$25="Both",Nonlabor!$D$25='Start Here'!$B$9),IF(Nonlabor!$E$25="Core",1,IF(Nonlabor!$E$25="AI",'Start Here'!$B$7,'Start Here'!$B$8))=1,C1146&gt;=IF(Nonlabor!$E$25="Core",Nonlabor!$F$25,MAX(Nonlabor!$F$25,IF(Nonlabor!$E$25="AI",Assumptions!$C$24,Assumptions!$C$25))),C1146&lt;=Nonlabor!$G$25,OR(Nonlabor!$H$25="Monthly",AND(Nonlabor!$H$25="Once",C1146=IF(Nonlabor!$E$25="Core",Nonlabor!$F$25,MAX(Nonlabor!$F$25,IF(Nonlabor!$E$25="AI",Assumptions!$C$24,Assumptions!$C$25)))),AND(Nonlabor!$H$25="Annual",MOD(C1146-IF(Nonlabor!$E$25="Core",Nonlabor!$F$25,MAX(Nonlabor!$F$25,IF(Nonlabor!$E$25="AI",Assumptions!$C$24,Assumptions!$C$25))),12)=0))),IF(Nonlabor!$I$25="Fixed",1,IF(Nonlabor!$I$25="Seats",ROUNDUP('Monthly Lean'!I6,0),IF(Nonlabor!$I$25="Customers",'Monthly Lean'!D6,IF(Nonlabor!$I$25="NewCustomers",'Monthly Lean'!C6,IF(Nonlabor!$I$25="StorageGB",'Monthly Lean'!G6,IF(Nonlabor!$I$25="LogGB",'Monthly Lean'!H6,IF(Nonlabor!$I$25="RequestsM",'Monthly Lean'!F6,IF(Nonlabor!$I$25="InputM",'Monthly Lean'!D6*Assumptions!$C$22/1000000,IF(Nonlabor!$I$25="OutputM",'Monthly Lean'!D6*Assumptions!$C$23/1000000,0))))))))),0)</f>
        <v>0</v>
      </c>
      <c r="F1146" s="10" t="n">
        <f aca="false">Nonlabor!$J$25*(1+Assumptions!$C$9)^INT((C1146-1)/12)</f>
        <v>1.6</v>
      </c>
      <c r="G1146" s="10" t="n">
        <f aca="false">E1146*F1146</f>
        <v>0</v>
      </c>
      <c r="H1146" s="10" t="n">
        <f aca="false">IF(OR(Nonlabor!$L$25="Quote required",Nonlabor!$L$25="Unverified"),G1146,0)</f>
        <v>0</v>
      </c>
      <c r="I1146" s="10" t="n">
        <f aca="false">IF(Nonlabor!$E$25="Core",0,G1146)</f>
        <v>0</v>
      </c>
      <c r="J1146" s="23" t="str">
        <f aca="false">Nonlabor!$B$25</f>
        <v>AI</v>
      </c>
    </row>
    <row r="1147" customFormat="false" ht="15" hidden="false" customHeight="false" outlineLevel="0" collapsed="false">
      <c r="A1147" s="6" t="s">
        <v>72</v>
      </c>
      <c r="B1147" s="6" t="s">
        <v>432</v>
      </c>
      <c r="C1147" s="6" t="n">
        <v>2</v>
      </c>
      <c r="D1147" s="25" t="n">
        <f aca="false">EDATE('Start Here'!$B$6,C1147-1)</f>
        <v>46357</v>
      </c>
      <c r="E1147" s="23" t="n">
        <f aca="false">IF(AND(OR(Nonlabor!$D$25="Both",Nonlabor!$D$25='Start Here'!$B$9),IF(Nonlabor!$E$25="Core",1,IF(Nonlabor!$E$25="AI",'Start Here'!$B$7,'Start Here'!$B$8))=1,C1147&gt;=IF(Nonlabor!$E$25="Core",Nonlabor!$F$25,MAX(Nonlabor!$F$25,IF(Nonlabor!$E$25="AI",Assumptions!$C$24,Assumptions!$C$25))),C1147&lt;=Nonlabor!$G$25,OR(Nonlabor!$H$25="Monthly",AND(Nonlabor!$H$25="Once",C1147=IF(Nonlabor!$E$25="Core",Nonlabor!$F$25,MAX(Nonlabor!$F$25,IF(Nonlabor!$E$25="AI",Assumptions!$C$24,Assumptions!$C$25)))),AND(Nonlabor!$H$25="Annual",MOD(C1147-IF(Nonlabor!$E$25="Core",Nonlabor!$F$25,MAX(Nonlabor!$F$25,IF(Nonlabor!$E$25="AI",Assumptions!$C$24,Assumptions!$C$25))),12)=0))),IF(Nonlabor!$I$25="Fixed",1,IF(Nonlabor!$I$25="Seats",ROUNDUP('Monthly Lean'!I7,0),IF(Nonlabor!$I$25="Customers",'Monthly Lean'!D7,IF(Nonlabor!$I$25="NewCustomers",'Monthly Lean'!C7,IF(Nonlabor!$I$25="StorageGB",'Monthly Lean'!G7,IF(Nonlabor!$I$25="LogGB",'Monthly Lean'!H7,IF(Nonlabor!$I$25="RequestsM",'Monthly Lean'!F7,IF(Nonlabor!$I$25="InputM",'Monthly Lean'!D7*Assumptions!$C$22/1000000,IF(Nonlabor!$I$25="OutputM",'Monthly Lean'!D7*Assumptions!$C$23/1000000,0))))))))),0)</f>
        <v>0</v>
      </c>
      <c r="F1147" s="10" t="n">
        <f aca="false">Nonlabor!$J$25*(1+Assumptions!$C$9)^INT((C1147-1)/12)</f>
        <v>1.6</v>
      </c>
      <c r="G1147" s="10" t="n">
        <f aca="false">E1147*F1147</f>
        <v>0</v>
      </c>
      <c r="H1147" s="10" t="n">
        <f aca="false">IF(OR(Nonlabor!$L$25="Quote required",Nonlabor!$L$25="Unverified"),G1147,0)</f>
        <v>0</v>
      </c>
      <c r="I1147" s="10" t="n">
        <f aca="false">IF(Nonlabor!$E$25="Core",0,G1147)</f>
        <v>0</v>
      </c>
      <c r="J1147" s="23" t="str">
        <f aca="false">Nonlabor!$B$25</f>
        <v>AI</v>
      </c>
    </row>
    <row r="1148" customFormat="false" ht="15" hidden="false" customHeight="false" outlineLevel="0" collapsed="false">
      <c r="A1148" s="6" t="s">
        <v>72</v>
      </c>
      <c r="B1148" s="6" t="s">
        <v>432</v>
      </c>
      <c r="C1148" s="6" t="n">
        <v>3</v>
      </c>
      <c r="D1148" s="25" t="n">
        <f aca="false">EDATE('Start Here'!$B$6,C1148-1)</f>
        <v>46388</v>
      </c>
      <c r="E1148" s="23" t="n">
        <f aca="false">IF(AND(OR(Nonlabor!$D$25="Both",Nonlabor!$D$25='Start Here'!$B$9),IF(Nonlabor!$E$25="Core",1,IF(Nonlabor!$E$25="AI",'Start Here'!$B$7,'Start Here'!$B$8))=1,C1148&gt;=IF(Nonlabor!$E$25="Core",Nonlabor!$F$25,MAX(Nonlabor!$F$25,IF(Nonlabor!$E$25="AI",Assumptions!$C$24,Assumptions!$C$25))),C1148&lt;=Nonlabor!$G$25,OR(Nonlabor!$H$25="Monthly",AND(Nonlabor!$H$25="Once",C1148=IF(Nonlabor!$E$25="Core",Nonlabor!$F$25,MAX(Nonlabor!$F$25,IF(Nonlabor!$E$25="AI",Assumptions!$C$24,Assumptions!$C$25)))),AND(Nonlabor!$H$25="Annual",MOD(C1148-IF(Nonlabor!$E$25="Core",Nonlabor!$F$25,MAX(Nonlabor!$F$25,IF(Nonlabor!$E$25="AI",Assumptions!$C$24,Assumptions!$C$25))),12)=0))),IF(Nonlabor!$I$25="Fixed",1,IF(Nonlabor!$I$25="Seats",ROUNDUP('Monthly Lean'!I8,0),IF(Nonlabor!$I$25="Customers",'Monthly Lean'!D8,IF(Nonlabor!$I$25="NewCustomers",'Monthly Lean'!C8,IF(Nonlabor!$I$25="StorageGB",'Monthly Lean'!G8,IF(Nonlabor!$I$25="LogGB",'Monthly Lean'!H8,IF(Nonlabor!$I$25="RequestsM",'Monthly Lean'!F8,IF(Nonlabor!$I$25="InputM",'Monthly Lean'!D8*Assumptions!$C$22/1000000,IF(Nonlabor!$I$25="OutputM",'Monthly Lean'!D8*Assumptions!$C$23/1000000,0))))))))),0)</f>
        <v>0</v>
      </c>
      <c r="F1148" s="10" t="n">
        <f aca="false">Nonlabor!$J$25*(1+Assumptions!$C$9)^INT((C1148-1)/12)</f>
        <v>1.6</v>
      </c>
      <c r="G1148" s="10" t="n">
        <f aca="false">E1148*F1148</f>
        <v>0</v>
      </c>
      <c r="H1148" s="10" t="n">
        <f aca="false">IF(OR(Nonlabor!$L$25="Quote required",Nonlabor!$L$25="Unverified"),G1148,0)</f>
        <v>0</v>
      </c>
      <c r="I1148" s="10" t="n">
        <f aca="false">IF(Nonlabor!$E$25="Core",0,G1148)</f>
        <v>0</v>
      </c>
      <c r="J1148" s="23" t="str">
        <f aca="false">Nonlabor!$B$25</f>
        <v>AI</v>
      </c>
    </row>
    <row r="1149" customFormat="false" ht="15" hidden="false" customHeight="false" outlineLevel="0" collapsed="false">
      <c r="A1149" s="6" t="s">
        <v>72</v>
      </c>
      <c r="B1149" s="6" t="s">
        <v>432</v>
      </c>
      <c r="C1149" s="6" t="n">
        <v>4</v>
      </c>
      <c r="D1149" s="25" t="n">
        <f aca="false">EDATE('Start Here'!$B$6,C1149-1)</f>
        <v>46419</v>
      </c>
      <c r="E1149" s="23" t="n">
        <f aca="false">IF(AND(OR(Nonlabor!$D$25="Both",Nonlabor!$D$25='Start Here'!$B$9),IF(Nonlabor!$E$25="Core",1,IF(Nonlabor!$E$25="AI",'Start Here'!$B$7,'Start Here'!$B$8))=1,C1149&gt;=IF(Nonlabor!$E$25="Core",Nonlabor!$F$25,MAX(Nonlabor!$F$25,IF(Nonlabor!$E$25="AI",Assumptions!$C$24,Assumptions!$C$25))),C1149&lt;=Nonlabor!$G$25,OR(Nonlabor!$H$25="Monthly",AND(Nonlabor!$H$25="Once",C1149=IF(Nonlabor!$E$25="Core",Nonlabor!$F$25,MAX(Nonlabor!$F$25,IF(Nonlabor!$E$25="AI",Assumptions!$C$24,Assumptions!$C$25)))),AND(Nonlabor!$H$25="Annual",MOD(C1149-IF(Nonlabor!$E$25="Core",Nonlabor!$F$25,MAX(Nonlabor!$F$25,IF(Nonlabor!$E$25="AI",Assumptions!$C$24,Assumptions!$C$25))),12)=0))),IF(Nonlabor!$I$25="Fixed",1,IF(Nonlabor!$I$25="Seats",ROUNDUP('Monthly Lean'!I9,0),IF(Nonlabor!$I$25="Customers",'Monthly Lean'!D9,IF(Nonlabor!$I$25="NewCustomers",'Monthly Lean'!C9,IF(Nonlabor!$I$25="StorageGB",'Monthly Lean'!G9,IF(Nonlabor!$I$25="LogGB",'Monthly Lean'!H9,IF(Nonlabor!$I$25="RequestsM",'Monthly Lean'!F9,IF(Nonlabor!$I$25="InputM",'Monthly Lean'!D9*Assumptions!$C$22/1000000,IF(Nonlabor!$I$25="OutputM",'Monthly Lean'!D9*Assumptions!$C$23/1000000,0))))))))),0)</f>
        <v>0</v>
      </c>
      <c r="F1149" s="10" t="n">
        <f aca="false">Nonlabor!$J$25*(1+Assumptions!$C$9)^INT((C1149-1)/12)</f>
        <v>1.6</v>
      </c>
      <c r="G1149" s="10" t="n">
        <f aca="false">E1149*F1149</f>
        <v>0</v>
      </c>
      <c r="H1149" s="10" t="n">
        <f aca="false">IF(OR(Nonlabor!$L$25="Quote required",Nonlabor!$L$25="Unverified"),G1149,0)</f>
        <v>0</v>
      </c>
      <c r="I1149" s="10" t="n">
        <f aca="false">IF(Nonlabor!$E$25="Core",0,G1149)</f>
        <v>0</v>
      </c>
      <c r="J1149" s="23" t="str">
        <f aca="false">Nonlabor!$B$25</f>
        <v>AI</v>
      </c>
    </row>
    <row r="1150" customFormat="false" ht="15" hidden="false" customHeight="false" outlineLevel="0" collapsed="false">
      <c r="A1150" s="6" t="s">
        <v>72</v>
      </c>
      <c r="B1150" s="6" t="s">
        <v>432</v>
      </c>
      <c r="C1150" s="6" t="n">
        <v>5</v>
      </c>
      <c r="D1150" s="25" t="n">
        <f aca="false">EDATE('Start Here'!$B$6,C1150-1)</f>
        <v>46447</v>
      </c>
      <c r="E1150" s="23" t="n">
        <f aca="false">IF(AND(OR(Nonlabor!$D$25="Both",Nonlabor!$D$25='Start Here'!$B$9),IF(Nonlabor!$E$25="Core",1,IF(Nonlabor!$E$25="AI",'Start Here'!$B$7,'Start Here'!$B$8))=1,C1150&gt;=IF(Nonlabor!$E$25="Core",Nonlabor!$F$25,MAX(Nonlabor!$F$25,IF(Nonlabor!$E$25="AI",Assumptions!$C$24,Assumptions!$C$25))),C1150&lt;=Nonlabor!$G$25,OR(Nonlabor!$H$25="Monthly",AND(Nonlabor!$H$25="Once",C1150=IF(Nonlabor!$E$25="Core",Nonlabor!$F$25,MAX(Nonlabor!$F$25,IF(Nonlabor!$E$25="AI",Assumptions!$C$24,Assumptions!$C$25)))),AND(Nonlabor!$H$25="Annual",MOD(C1150-IF(Nonlabor!$E$25="Core",Nonlabor!$F$25,MAX(Nonlabor!$F$25,IF(Nonlabor!$E$25="AI",Assumptions!$C$24,Assumptions!$C$25))),12)=0))),IF(Nonlabor!$I$25="Fixed",1,IF(Nonlabor!$I$25="Seats",ROUNDUP('Monthly Lean'!I10,0),IF(Nonlabor!$I$25="Customers",'Monthly Lean'!D10,IF(Nonlabor!$I$25="NewCustomers",'Monthly Lean'!C10,IF(Nonlabor!$I$25="StorageGB",'Monthly Lean'!G10,IF(Nonlabor!$I$25="LogGB",'Monthly Lean'!H10,IF(Nonlabor!$I$25="RequestsM",'Monthly Lean'!F10,IF(Nonlabor!$I$25="InputM",'Monthly Lean'!D10*Assumptions!$C$22/1000000,IF(Nonlabor!$I$25="OutputM",'Monthly Lean'!D10*Assumptions!$C$23/1000000,0))))))))),0)</f>
        <v>0</v>
      </c>
      <c r="F1150" s="10" t="n">
        <f aca="false">Nonlabor!$J$25*(1+Assumptions!$C$9)^INT((C1150-1)/12)</f>
        <v>1.6</v>
      </c>
      <c r="G1150" s="10" t="n">
        <f aca="false">E1150*F1150</f>
        <v>0</v>
      </c>
      <c r="H1150" s="10" t="n">
        <f aca="false">IF(OR(Nonlabor!$L$25="Quote required",Nonlabor!$L$25="Unverified"),G1150,0)</f>
        <v>0</v>
      </c>
      <c r="I1150" s="10" t="n">
        <f aca="false">IF(Nonlabor!$E$25="Core",0,G1150)</f>
        <v>0</v>
      </c>
      <c r="J1150" s="23" t="str">
        <f aca="false">Nonlabor!$B$25</f>
        <v>AI</v>
      </c>
    </row>
    <row r="1151" customFormat="false" ht="15" hidden="false" customHeight="false" outlineLevel="0" collapsed="false">
      <c r="A1151" s="6" t="s">
        <v>72</v>
      </c>
      <c r="B1151" s="6" t="s">
        <v>432</v>
      </c>
      <c r="C1151" s="6" t="n">
        <v>6</v>
      </c>
      <c r="D1151" s="25" t="n">
        <f aca="false">EDATE('Start Here'!$B$6,C1151-1)</f>
        <v>46478</v>
      </c>
      <c r="E1151" s="23" t="n">
        <f aca="false">IF(AND(OR(Nonlabor!$D$25="Both",Nonlabor!$D$25='Start Here'!$B$9),IF(Nonlabor!$E$25="Core",1,IF(Nonlabor!$E$25="AI",'Start Here'!$B$7,'Start Here'!$B$8))=1,C1151&gt;=IF(Nonlabor!$E$25="Core",Nonlabor!$F$25,MAX(Nonlabor!$F$25,IF(Nonlabor!$E$25="AI",Assumptions!$C$24,Assumptions!$C$25))),C1151&lt;=Nonlabor!$G$25,OR(Nonlabor!$H$25="Monthly",AND(Nonlabor!$H$25="Once",C1151=IF(Nonlabor!$E$25="Core",Nonlabor!$F$25,MAX(Nonlabor!$F$25,IF(Nonlabor!$E$25="AI",Assumptions!$C$24,Assumptions!$C$25)))),AND(Nonlabor!$H$25="Annual",MOD(C1151-IF(Nonlabor!$E$25="Core",Nonlabor!$F$25,MAX(Nonlabor!$F$25,IF(Nonlabor!$E$25="AI",Assumptions!$C$24,Assumptions!$C$25))),12)=0))),IF(Nonlabor!$I$25="Fixed",1,IF(Nonlabor!$I$25="Seats",ROUNDUP('Monthly Lean'!I11,0),IF(Nonlabor!$I$25="Customers",'Monthly Lean'!D11,IF(Nonlabor!$I$25="NewCustomers",'Monthly Lean'!C11,IF(Nonlabor!$I$25="StorageGB",'Monthly Lean'!G11,IF(Nonlabor!$I$25="LogGB",'Monthly Lean'!H11,IF(Nonlabor!$I$25="RequestsM",'Monthly Lean'!F11,IF(Nonlabor!$I$25="InputM",'Monthly Lean'!D11*Assumptions!$C$22/1000000,IF(Nonlabor!$I$25="OutputM",'Monthly Lean'!D11*Assumptions!$C$23/1000000,0))))))))),0)</f>
        <v>0</v>
      </c>
      <c r="F1151" s="10" t="n">
        <f aca="false">Nonlabor!$J$25*(1+Assumptions!$C$9)^INT((C1151-1)/12)</f>
        <v>1.6</v>
      </c>
      <c r="G1151" s="10" t="n">
        <f aca="false">E1151*F1151</f>
        <v>0</v>
      </c>
      <c r="H1151" s="10" t="n">
        <f aca="false">IF(OR(Nonlabor!$L$25="Quote required",Nonlabor!$L$25="Unverified"),G1151,0)</f>
        <v>0</v>
      </c>
      <c r="I1151" s="10" t="n">
        <f aca="false">IF(Nonlabor!$E$25="Core",0,G1151)</f>
        <v>0</v>
      </c>
      <c r="J1151" s="23" t="str">
        <f aca="false">Nonlabor!$B$25</f>
        <v>AI</v>
      </c>
    </row>
    <row r="1152" customFormat="false" ht="15" hidden="false" customHeight="false" outlineLevel="0" collapsed="false">
      <c r="A1152" s="6" t="s">
        <v>72</v>
      </c>
      <c r="B1152" s="6" t="s">
        <v>432</v>
      </c>
      <c r="C1152" s="6" t="n">
        <v>7</v>
      </c>
      <c r="D1152" s="25" t="n">
        <f aca="false">EDATE('Start Here'!$B$6,C1152-1)</f>
        <v>46508</v>
      </c>
      <c r="E1152" s="23" t="n">
        <f aca="false">IF(AND(OR(Nonlabor!$D$25="Both",Nonlabor!$D$25='Start Here'!$B$9),IF(Nonlabor!$E$25="Core",1,IF(Nonlabor!$E$25="AI",'Start Here'!$B$7,'Start Here'!$B$8))=1,C1152&gt;=IF(Nonlabor!$E$25="Core",Nonlabor!$F$25,MAX(Nonlabor!$F$25,IF(Nonlabor!$E$25="AI",Assumptions!$C$24,Assumptions!$C$25))),C1152&lt;=Nonlabor!$G$25,OR(Nonlabor!$H$25="Monthly",AND(Nonlabor!$H$25="Once",C1152=IF(Nonlabor!$E$25="Core",Nonlabor!$F$25,MAX(Nonlabor!$F$25,IF(Nonlabor!$E$25="AI",Assumptions!$C$24,Assumptions!$C$25)))),AND(Nonlabor!$H$25="Annual",MOD(C1152-IF(Nonlabor!$E$25="Core",Nonlabor!$F$25,MAX(Nonlabor!$F$25,IF(Nonlabor!$E$25="AI",Assumptions!$C$24,Assumptions!$C$25))),12)=0))),IF(Nonlabor!$I$25="Fixed",1,IF(Nonlabor!$I$25="Seats",ROUNDUP('Monthly Lean'!I12,0),IF(Nonlabor!$I$25="Customers",'Monthly Lean'!D12,IF(Nonlabor!$I$25="NewCustomers",'Monthly Lean'!C12,IF(Nonlabor!$I$25="StorageGB",'Monthly Lean'!G12,IF(Nonlabor!$I$25="LogGB",'Monthly Lean'!H12,IF(Nonlabor!$I$25="RequestsM",'Monthly Lean'!F12,IF(Nonlabor!$I$25="InputM",'Monthly Lean'!D12*Assumptions!$C$22/1000000,IF(Nonlabor!$I$25="OutputM",'Monthly Lean'!D12*Assumptions!$C$23/1000000,0))))))))),0)</f>
        <v>0</v>
      </c>
      <c r="F1152" s="10" t="n">
        <f aca="false">Nonlabor!$J$25*(1+Assumptions!$C$9)^INT((C1152-1)/12)</f>
        <v>1.6</v>
      </c>
      <c r="G1152" s="10" t="n">
        <f aca="false">E1152*F1152</f>
        <v>0</v>
      </c>
      <c r="H1152" s="10" t="n">
        <f aca="false">IF(OR(Nonlabor!$L$25="Quote required",Nonlabor!$L$25="Unverified"),G1152,0)</f>
        <v>0</v>
      </c>
      <c r="I1152" s="10" t="n">
        <f aca="false">IF(Nonlabor!$E$25="Core",0,G1152)</f>
        <v>0</v>
      </c>
      <c r="J1152" s="23" t="str">
        <f aca="false">Nonlabor!$B$25</f>
        <v>AI</v>
      </c>
    </row>
    <row r="1153" customFormat="false" ht="15" hidden="false" customHeight="false" outlineLevel="0" collapsed="false">
      <c r="A1153" s="6" t="s">
        <v>72</v>
      </c>
      <c r="B1153" s="6" t="s">
        <v>432</v>
      </c>
      <c r="C1153" s="6" t="n">
        <v>8</v>
      </c>
      <c r="D1153" s="25" t="n">
        <f aca="false">EDATE('Start Here'!$B$6,C1153-1)</f>
        <v>46539</v>
      </c>
      <c r="E1153" s="23" t="n">
        <f aca="false">IF(AND(OR(Nonlabor!$D$25="Both",Nonlabor!$D$25='Start Here'!$B$9),IF(Nonlabor!$E$25="Core",1,IF(Nonlabor!$E$25="AI",'Start Here'!$B$7,'Start Here'!$B$8))=1,C1153&gt;=IF(Nonlabor!$E$25="Core",Nonlabor!$F$25,MAX(Nonlabor!$F$25,IF(Nonlabor!$E$25="AI",Assumptions!$C$24,Assumptions!$C$25))),C1153&lt;=Nonlabor!$G$25,OR(Nonlabor!$H$25="Monthly",AND(Nonlabor!$H$25="Once",C1153=IF(Nonlabor!$E$25="Core",Nonlabor!$F$25,MAX(Nonlabor!$F$25,IF(Nonlabor!$E$25="AI",Assumptions!$C$24,Assumptions!$C$25)))),AND(Nonlabor!$H$25="Annual",MOD(C1153-IF(Nonlabor!$E$25="Core",Nonlabor!$F$25,MAX(Nonlabor!$F$25,IF(Nonlabor!$E$25="AI",Assumptions!$C$24,Assumptions!$C$25))),12)=0))),IF(Nonlabor!$I$25="Fixed",1,IF(Nonlabor!$I$25="Seats",ROUNDUP('Monthly Lean'!I13,0),IF(Nonlabor!$I$25="Customers",'Monthly Lean'!D13,IF(Nonlabor!$I$25="NewCustomers",'Monthly Lean'!C13,IF(Nonlabor!$I$25="StorageGB",'Monthly Lean'!G13,IF(Nonlabor!$I$25="LogGB",'Monthly Lean'!H13,IF(Nonlabor!$I$25="RequestsM",'Monthly Lean'!F13,IF(Nonlabor!$I$25="InputM",'Monthly Lean'!D13*Assumptions!$C$22/1000000,IF(Nonlabor!$I$25="OutputM",'Monthly Lean'!D13*Assumptions!$C$23/1000000,0))))))))),0)</f>
        <v>0</v>
      </c>
      <c r="F1153" s="10" t="n">
        <f aca="false">Nonlabor!$J$25*(1+Assumptions!$C$9)^INT((C1153-1)/12)</f>
        <v>1.6</v>
      </c>
      <c r="G1153" s="10" t="n">
        <f aca="false">E1153*F1153</f>
        <v>0</v>
      </c>
      <c r="H1153" s="10" t="n">
        <f aca="false">IF(OR(Nonlabor!$L$25="Quote required",Nonlabor!$L$25="Unverified"),G1153,0)</f>
        <v>0</v>
      </c>
      <c r="I1153" s="10" t="n">
        <f aca="false">IF(Nonlabor!$E$25="Core",0,G1153)</f>
        <v>0</v>
      </c>
      <c r="J1153" s="23" t="str">
        <f aca="false">Nonlabor!$B$25</f>
        <v>AI</v>
      </c>
    </row>
    <row r="1154" customFormat="false" ht="15" hidden="false" customHeight="false" outlineLevel="0" collapsed="false">
      <c r="A1154" s="6" t="s">
        <v>72</v>
      </c>
      <c r="B1154" s="6" t="s">
        <v>432</v>
      </c>
      <c r="C1154" s="6" t="n">
        <v>9</v>
      </c>
      <c r="D1154" s="25" t="n">
        <f aca="false">EDATE('Start Here'!$B$6,C1154-1)</f>
        <v>46569</v>
      </c>
      <c r="E1154" s="23" t="n">
        <f aca="false">IF(AND(OR(Nonlabor!$D$25="Both",Nonlabor!$D$25='Start Here'!$B$9),IF(Nonlabor!$E$25="Core",1,IF(Nonlabor!$E$25="AI",'Start Here'!$B$7,'Start Here'!$B$8))=1,C1154&gt;=IF(Nonlabor!$E$25="Core",Nonlabor!$F$25,MAX(Nonlabor!$F$25,IF(Nonlabor!$E$25="AI",Assumptions!$C$24,Assumptions!$C$25))),C1154&lt;=Nonlabor!$G$25,OR(Nonlabor!$H$25="Monthly",AND(Nonlabor!$H$25="Once",C1154=IF(Nonlabor!$E$25="Core",Nonlabor!$F$25,MAX(Nonlabor!$F$25,IF(Nonlabor!$E$25="AI",Assumptions!$C$24,Assumptions!$C$25)))),AND(Nonlabor!$H$25="Annual",MOD(C1154-IF(Nonlabor!$E$25="Core",Nonlabor!$F$25,MAX(Nonlabor!$F$25,IF(Nonlabor!$E$25="AI",Assumptions!$C$24,Assumptions!$C$25))),12)=0))),IF(Nonlabor!$I$25="Fixed",1,IF(Nonlabor!$I$25="Seats",ROUNDUP('Monthly Lean'!I14,0),IF(Nonlabor!$I$25="Customers",'Monthly Lean'!D14,IF(Nonlabor!$I$25="NewCustomers",'Monthly Lean'!C14,IF(Nonlabor!$I$25="StorageGB",'Monthly Lean'!G14,IF(Nonlabor!$I$25="LogGB",'Monthly Lean'!H14,IF(Nonlabor!$I$25="RequestsM",'Monthly Lean'!F14,IF(Nonlabor!$I$25="InputM",'Monthly Lean'!D14*Assumptions!$C$22/1000000,IF(Nonlabor!$I$25="OutputM",'Monthly Lean'!D14*Assumptions!$C$23/1000000,0))))))))),0)</f>
        <v>0</v>
      </c>
      <c r="F1154" s="10" t="n">
        <f aca="false">Nonlabor!$J$25*(1+Assumptions!$C$9)^INT((C1154-1)/12)</f>
        <v>1.6</v>
      </c>
      <c r="G1154" s="10" t="n">
        <f aca="false">E1154*F1154</f>
        <v>0</v>
      </c>
      <c r="H1154" s="10" t="n">
        <f aca="false">IF(OR(Nonlabor!$L$25="Quote required",Nonlabor!$L$25="Unverified"),G1154,0)</f>
        <v>0</v>
      </c>
      <c r="I1154" s="10" t="n">
        <f aca="false">IF(Nonlabor!$E$25="Core",0,G1154)</f>
        <v>0</v>
      </c>
      <c r="J1154" s="23" t="str">
        <f aca="false">Nonlabor!$B$25</f>
        <v>AI</v>
      </c>
    </row>
    <row r="1155" customFormat="false" ht="15" hidden="false" customHeight="false" outlineLevel="0" collapsed="false">
      <c r="A1155" s="6" t="s">
        <v>72</v>
      </c>
      <c r="B1155" s="6" t="s">
        <v>432</v>
      </c>
      <c r="C1155" s="6" t="n">
        <v>10</v>
      </c>
      <c r="D1155" s="25" t="n">
        <f aca="false">EDATE('Start Here'!$B$6,C1155-1)</f>
        <v>46600</v>
      </c>
      <c r="E1155" s="23" t="n">
        <f aca="false">IF(AND(OR(Nonlabor!$D$25="Both",Nonlabor!$D$25='Start Here'!$B$9),IF(Nonlabor!$E$25="Core",1,IF(Nonlabor!$E$25="AI",'Start Here'!$B$7,'Start Here'!$B$8))=1,C1155&gt;=IF(Nonlabor!$E$25="Core",Nonlabor!$F$25,MAX(Nonlabor!$F$25,IF(Nonlabor!$E$25="AI",Assumptions!$C$24,Assumptions!$C$25))),C1155&lt;=Nonlabor!$G$25,OR(Nonlabor!$H$25="Monthly",AND(Nonlabor!$H$25="Once",C1155=IF(Nonlabor!$E$25="Core",Nonlabor!$F$25,MAX(Nonlabor!$F$25,IF(Nonlabor!$E$25="AI",Assumptions!$C$24,Assumptions!$C$25)))),AND(Nonlabor!$H$25="Annual",MOD(C1155-IF(Nonlabor!$E$25="Core",Nonlabor!$F$25,MAX(Nonlabor!$F$25,IF(Nonlabor!$E$25="AI",Assumptions!$C$24,Assumptions!$C$25))),12)=0))),IF(Nonlabor!$I$25="Fixed",1,IF(Nonlabor!$I$25="Seats",ROUNDUP('Monthly Lean'!I15,0),IF(Nonlabor!$I$25="Customers",'Monthly Lean'!D15,IF(Nonlabor!$I$25="NewCustomers",'Monthly Lean'!C15,IF(Nonlabor!$I$25="StorageGB",'Monthly Lean'!G15,IF(Nonlabor!$I$25="LogGB",'Monthly Lean'!H15,IF(Nonlabor!$I$25="RequestsM",'Monthly Lean'!F15,IF(Nonlabor!$I$25="InputM",'Monthly Lean'!D15*Assumptions!$C$22/1000000,IF(Nonlabor!$I$25="OutputM",'Monthly Lean'!D15*Assumptions!$C$23/1000000,0))))))))),0)</f>
        <v>0</v>
      </c>
      <c r="F1155" s="10" t="n">
        <f aca="false">Nonlabor!$J$25*(1+Assumptions!$C$9)^INT((C1155-1)/12)</f>
        <v>1.6</v>
      </c>
      <c r="G1155" s="10" t="n">
        <f aca="false">E1155*F1155</f>
        <v>0</v>
      </c>
      <c r="H1155" s="10" t="n">
        <f aca="false">IF(OR(Nonlabor!$L$25="Quote required",Nonlabor!$L$25="Unverified"),G1155,0)</f>
        <v>0</v>
      </c>
      <c r="I1155" s="10" t="n">
        <f aca="false">IF(Nonlabor!$E$25="Core",0,G1155)</f>
        <v>0</v>
      </c>
      <c r="J1155" s="23" t="str">
        <f aca="false">Nonlabor!$B$25</f>
        <v>AI</v>
      </c>
    </row>
    <row r="1156" customFormat="false" ht="15" hidden="false" customHeight="false" outlineLevel="0" collapsed="false">
      <c r="A1156" s="6" t="s">
        <v>72</v>
      </c>
      <c r="B1156" s="6" t="s">
        <v>432</v>
      </c>
      <c r="C1156" s="6" t="n">
        <v>11</v>
      </c>
      <c r="D1156" s="25" t="n">
        <f aca="false">EDATE('Start Here'!$B$6,C1156-1)</f>
        <v>46631</v>
      </c>
      <c r="E1156" s="23" t="n">
        <f aca="false">IF(AND(OR(Nonlabor!$D$25="Both",Nonlabor!$D$25='Start Here'!$B$9),IF(Nonlabor!$E$25="Core",1,IF(Nonlabor!$E$25="AI",'Start Here'!$B$7,'Start Here'!$B$8))=1,C1156&gt;=IF(Nonlabor!$E$25="Core",Nonlabor!$F$25,MAX(Nonlabor!$F$25,IF(Nonlabor!$E$25="AI",Assumptions!$C$24,Assumptions!$C$25))),C1156&lt;=Nonlabor!$G$25,OR(Nonlabor!$H$25="Monthly",AND(Nonlabor!$H$25="Once",C1156=IF(Nonlabor!$E$25="Core",Nonlabor!$F$25,MAX(Nonlabor!$F$25,IF(Nonlabor!$E$25="AI",Assumptions!$C$24,Assumptions!$C$25)))),AND(Nonlabor!$H$25="Annual",MOD(C1156-IF(Nonlabor!$E$25="Core",Nonlabor!$F$25,MAX(Nonlabor!$F$25,IF(Nonlabor!$E$25="AI",Assumptions!$C$24,Assumptions!$C$25))),12)=0))),IF(Nonlabor!$I$25="Fixed",1,IF(Nonlabor!$I$25="Seats",ROUNDUP('Monthly Lean'!I16,0),IF(Nonlabor!$I$25="Customers",'Monthly Lean'!D16,IF(Nonlabor!$I$25="NewCustomers",'Monthly Lean'!C16,IF(Nonlabor!$I$25="StorageGB",'Monthly Lean'!G16,IF(Nonlabor!$I$25="LogGB",'Monthly Lean'!H16,IF(Nonlabor!$I$25="RequestsM",'Monthly Lean'!F16,IF(Nonlabor!$I$25="InputM",'Monthly Lean'!D16*Assumptions!$C$22/1000000,IF(Nonlabor!$I$25="OutputM",'Monthly Lean'!D16*Assumptions!$C$23/1000000,0))))))))),0)</f>
        <v>0</v>
      </c>
      <c r="F1156" s="10" t="n">
        <f aca="false">Nonlabor!$J$25*(1+Assumptions!$C$9)^INT((C1156-1)/12)</f>
        <v>1.6</v>
      </c>
      <c r="G1156" s="10" t="n">
        <f aca="false">E1156*F1156</f>
        <v>0</v>
      </c>
      <c r="H1156" s="10" t="n">
        <f aca="false">IF(OR(Nonlabor!$L$25="Quote required",Nonlabor!$L$25="Unverified"),G1156,0)</f>
        <v>0</v>
      </c>
      <c r="I1156" s="10" t="n">
        <f aca="false">IF(Nonlabor!$E$25="Core",0,G1156)</f>
        <v>0</v>
      </c>
      <c r="J1156" s="23" t="str">
        <f aca="false">Nonlabor!$B$25</f>
        <v>AI</v>
      </c>
    </row>
    <row r="1157" customFormat="false" ht="15" hidden="false" customHeight="false" outlineLevel="0" collapsed="false">
      <c r="A1157" s="6" t="s">
        <v>72</v>
      </c>
      <c r="B1157" s="6" t="s">
        <v>432</v>
      </c>
      <c r="C1157" s="6" t="n">
        <v>12</v>
      </c>
      <c r="D1157" s="25" t="n">
        <f aca="false">EDATE('Start Here'!$B$6,C1157-1)</f>
        <v>46661</v>
      </c>
      <c r="E1157" s="23" t="n">
        <f aca="false">IF(AND(OR(Nonlabor!$D$25="Both",Nonlabor!$D$25='Start Here'!$B$9),IF(Nonlabor!$E$25="Core",1,IF(Nonlabor!$E$25="AI",'Start Here'!$B$7,'Start Here'!$B$8))=1,C1157&gt;=IF(Nonlabor!$E$25="Core",Nonlabor!$F$25,MAX(Nonlabor!$F$25,IF(Nonlabor!$E$25="AI",Assumptions!$C$24,Assumptions!$C$25))),C1157&lt;=Nonlabor!$G$25,OR(Nonlabor!$H$25="Monthly",AND(Nonlabor!$H$25="Once",C1157=IF(Nonlabor!$E$25="Core",Nonlabor!$F$25,MAX(Nonlabor!$F$25,IF(Nonlabor!$E$25="AI",Assumptions!$C$24,Assumptions!$C$25)))),AND(Nonlabor!$H$25="Annual",MOD(C1157-IF(Nonlabor!$E$25="Core",Nonlabor!$F$25,MAX(Nonlabor!$F$25,IF(Nonlabor!$E$25="AI",Assumptions!$C$24,Assumptions!$C$25))),12)=0))),IF(Nonlabor!$I$25="Fixed",1,IF(Nonlabor!$I$25="Seats",ROUNDUP('Monthly Lean'!I17,0),IF(Nonlabor!$I$25="Customers",'Monthly Lean'!D17,IF(Nonlabor!$I$25="NewCustomers",'Monthly Lean'!C17,IF(Nonlabor!$I$25="StorageGB",'Monthly Lean'!G17,IF(Nonlabor!$I$25="LogGB",'Monthly Lean'!H17,IF(Nonlabor!$I$25="RequestsM",'Monthly Lean'!F17,IF(Nonlabor!$I$25="InputM",'Monthly Lean'!D17*Assumptions!$C$22/1000000,IF(Nonlabor!$I$25="OutputM",'Monthly Lean'!D17*Assumptions!$C$23/1000000,0))))))))),0)</f>
        <v>0</v>
      </c>
      <c r="F1157" s="10" t="n">
        <f aca="false">Nonlabor!$J$25*(1+Assumptions!$C$9)^INT((C1157-1)/12)</f>
        <v>1.6</v>
      </c>
      <c r="G1157" s="10" t="n">
        <f aca="false">E1157*F1157</f>
        <v>0</v>
      </c>
      <c r="H1157" s="10" t="n">
        <f aca="false">IF(OR(Nonlabor!$L$25="Quote required",Nonlabor!$L$25="Unverified"),G1157,0)</f>
        <v>0</v>
      </c>
      <c r="I1157" s="10" t="n">
        <f aca="false">IF(Nonlabor!$E$25="Core",0,G1157)</f>
        <v>0</v>
      </c>
      <c r="J1157" s="23" t="str">
        <f aca="false">Nonlabor!$B$25</f>
        <v>AI</v>
      </c>
    </row>
    <row r="1158" customFormat="false" ht="15" hidden="false" customHeight="false" outlineLevel="0" collapsed="false">
      <c r="A1158" s="6" t="s">
        <v>72</v>
      </c>
      <c r="B1158" s="6" t="s">
        <v>432</v>
      </c>
      <c r="C1158" s="6" t="n">
        <v>13</v>
      </c>
      <c r="D1158" s="25" t="n">
        <f aca="false">EDATE('Start Here'!$B$6,C1158-1)</f>
        <v>46692</v>
      </c>
      <c r="E1158" s="23" t="n">
        <f aca="false">IF(AND(OR(Nonlabor!$D$25="Both",Nonlabor!$D$25='Start Here'!$B$9),IF(Nonlabor!$E$25="Core",1,IF(Nonlabor!$E$25="AI",'Start Here'!$B$7,'Start Here'!$B$8))=1,C1158&gt;=IF(Nonlabor!$E$25="Core",Nonlabor!$F$25,MAX(Nonlabor!$F$25,IF(Nonlabor!$E$25="AI",Assumptions!$C$24,Assumptions!$C$25))),C1158&lt;=Nonlabor!$G$25,OR(Nonlabor!$H$25="Monthly",AND(Nonlabor!$H$25="Once",C1158=IF(Nonlabor!$E$25="Core",Nonlabor!$F$25,MAX(Nonlabor!$F$25,IF(Nonlabor!$E$25="AI",Assumptions!$C$24,Assumptions!$C$25)))),AND(Nonlabor!$H$25="Annual",MOD(C1158-IF(Nonlabor!$E$25="Core",Nonlabor!$F$25,MAX(Nonlabor!$F$25,IF(Nonlabor!$E$25="AI",Assumptions!$C$24,Assumptions!$C$25))),12)=0))),IF(Nonlabor!$I$25="Fixed",1,IF(Nonlabor!$I$25="Seats",ROUNDUP('Monthly Lean'!I18,0),IF(Nonlabor!$I$25="Customers",'Monthly Lean'!D18,IF(Nonlabor!$I$25="NewCustomers",'Monthly Lean'!C18,IF(Nonlabor!$I$25="StorageGB",'Monthly Lean'!G18,IF(Nonlabor!$I$25="LogGB",'Monthly Lean'!H18,IF(Nonlabor!$I$25="RequestsM",'Monthly Lean'!F18,IF(Nonlabor!$I$25="InputM",'Monthly Lean'!D18*Assumptions!$C$22/1000000,IF(Nonlabor!$I$25="OutputM",'Monthly Lean'!D18*Assumptions!$C$23/1000000,0))))))))),0)</f>
        <v>0</v>
      </c>
      <c r="F1158" s="10" t="n">
        <f aca="false">Nonlabor!$J$25*(1+Assumptions!$C$9)^INT((C1158-1)/12)</f>
        <v>1.648</v>
      </c>
      <c r="G1158" s="10" t="n">
        <f aca="false">E1158*F1158</f>
        <v>0</v>
      </c>
      <c r="H1158" s="10" t="n">
        <f aca="false">IF(OR(Nonlabor!$L$25="Quote required",Nonlabor!$L$25="Unverified"),G1158,0)</f>
        <v>0</v>
      </c>
      <c r="I1158" s="10" t="n">
        <f aca="false">IF(Nonlabor!$E$25="Core",0,G1158)</f>
        <v>0</v>
      </c>
      <c r="J1158" s="23" t="str">
        <f aca="false">Nonlabor!$B$25</f>
        <v>AI</v>
      </c>
    </row>
    <row r="1159" customFormat="false" ht="15" hidden="false" customHeight="false" outlineLevel="0" collapsed="false">
      <c r="A1159" s="6" t="s">
        <v>72</v>
      </c>
      <c r="B1159" s="6" t="s">
        <v>432</v>
      </c>
      <c r="C1159" s="6" t="n">
        <v>14</v>
      </c>
      <c r="D1159" s="25" t="n">
        <f aca="false">EDATE('Start Here'!$B$6,C1159-1)</f>
        <v>46722</v>
      </c>
      <c r="E1159" s="23" t="n">
        <f aca="false">IF(AND(OR(Nonlabor!$D$25="Both",Nonlabor!$D$25='Start Here'!$B$9),IF(Nonlabor!$E$25="Core",1,IF(Nonlabor!$E$25="AI",'Start Here'!$B$7,'Start Here'!$B$8))=1,C1159&gt;=IF(Nonlabor!$E$25="Core",Nonlabor!$F$25,MAX(Nonlabor!$F$25,IF(Nonlabor!$E$25="AI",Assumptions!$C$24,Assumptions!$C$25))),C1159&lt;=Nonlabor!$G$25,OR(Nonlabor!$H$25="Monthly",AND(Nonlabor!$H$25="Once",C1159=IF(Nonlabor!$E$25="Core",Nonlabor!$F$25,MAX(Nonlabor!$F$25,IF(Nonlabor!$E$25="AI",Assumptions!$C$24,Assumptions!$C$25)))),AND(Nonlabor!$H$25="Annual",MOD(C1159-IF(Nonlabor!$E$25="Core",Nonlabor!$F$25,MAX(Nonlabor!$F$25,IF(Nonlabor!$E$25="AI",Assumptions!$C$24,Assumptions!$C$25))),12)=0))),IF(Nonlabor!$I$25="Fixed",1,IF(Nonlabor!$I$25="Seats",ROUNDUP('Monthly Lean'!I19,0),IF(Nonlabor!$I$25="Customers",'Monthly Lean'!D19,IF(Nonlabor!$I$25="NewCustomers",'Monthly Lean'!C19,IF(Nonlabor!$I$25="StorageGB",'Monthly Lean'!G19,IF(Nonlabor!$I$25="LogGB",'Monthly Lean'!H19,IF(Nonlabor!$I$25="RequestsM",'Monthly Lean'!F19,IF(Nonlabor!$I$25="InputM",'Monthly Lean'!D19*Assumptions!$C$22/1000000,IF(Nonlabor!$I$25="OutputM",'Monthly Lean'!D19*Assumptions!$C$23/1000000,0))))))))),0)</f>
        <v>0</v>
      </c>
      <c r="F1159" s="10" t="n">
        <f aca="false">Nonlabor!$J$25*(1+Assumptions!$C$9)^INT((C1159-1)/12)</f>
        <v>1.648</v>
      </c>
      <c r="G1159" s="10" t="n">
        <f aca="false">E1159*F1159</f>
        <v>0</v>
      </c>
      <c r="H1159" s="10" t="n">
        <f aca="false">IF(OR(Nonlabor!$L$25="Quote required",Nonlabor!$L$25="Unverified"),G1159,0)</f>
        <v>0</v>
      </c>
      <c r="I1159" s="10" t="n">
        <f aca="false">IF(Nonlabor!$E$25="Core",0,G1159)</f>
        <v>0</v>
      </c>
      <c r="J1159" s="23" t="str">
        <f aca="false">Nonlabor!$B$25</f>
        <v>AI</v>
      </c>
    </row>
    <row r="1160" customFormat="false" ht="15" hidden="false" customHeight="false" outlineLevel="0" collapsed="false">
      <c r="A1160" s="6" t="s">
        <v>72</v>
      </c>
      <c r="B1160" s="6" t="s">
        <v>432</v>
      </c>
      <c r="C1160" s="6" t="n">
        <v>15</v>
      </c>
      <c r="D1160" s="25" t="n">
        <f aca="false">EDATE('Start Here'!$B$6,C1160-1)</f>
        <v>46753</v>
      </c>
      <c r="E1160" s="23" t="n">
        <f aca="false">IF(AND(OR(Nonlabor!$D$25="Both",Nonlabor!$D$25='Start Here'!$B$9),IF(Nonlabor!$E$25="Core",1,IF(Nonlabor!$E$25="AI",'Start Here'!$B$7,'Start Here'!$B$8))=1,C1160&gt;=IF(Nonlabor!$E$25="Core",Nonlabor!$F$25,MAX(Nonlabor!$F$25,IF(Nonlabor!$E$25="AI",Assumptions!$C$24,Assumptions!$C$25))),C1160&lt;=Nonlabor!$G$25,OR(Nonlabor!$H$25="Monthly",AND(Nonlabor!$H$25="Once",C1160=IF(Nonlabor!$E$25="Core",Nonlabor!$F$25,MAX(Nonlabor!$F$25,IF(Nonlabor!$E$25="AI",Assumptions!$C$24,Assumptions!$C$25)))),AND(Nonlabor!$H$25="Annual",MOD(C1160-IF(Nonlabor!$E$25="Core",Nonlabor!$F$25,MAX(Nonlabor!$F$25,IF(Nonlabor!$E$25="AI",Assumptions!$C$24,Assumptions!$C$25))),12)=0))),IF(Nonlabor!$I$25="Fixed",1,IF(Nonlabor!$I$25="Seats",ROUNDUP('Monthly Lean'!I20,0),IF(Nonlabor!$I$25="Customers",'Monthly Lean'!D20,IF(Nonlabor!$I$25="NewCustomers",'Monthly Lean'!C20,IF(Nonlabor!$I$25="StorageGB",'Monthly Lean'!G20,IF(Nonlabor!$I$25="LogGB",'Monthly Lean'!H20,IF(Nonlabor!$I$25="RequestsM",'Monthly Lean'!F20,IF(Nonlabor!$I$25="InputM",'Monthly Lean'!D20*Assumptions!$C$22/1000000,IF(Nonlabor!$I$25="OutputM",'Monthly Lean'!D20*Assumptions!$C$23/1000000,0))))))))),0)</f>
        <v>0</v>
      </c>
      <c r="F1160" s="10" t="n">
        <f aca="false">Nonlabor!$J$25*(1+Assumptions!$C$9)^INT((C1160-1)/12)</f>
        <v>1.648</v>
      </c>
      <c r="G1160" s="10" t="n">
        <f aca="false">E1160*F1160</f>
        <v>0</v>
      </c>
      <c r="H1160" s="10" t="n">
        <f aca="false">IF(OR(Nonlabor!$L$25="Quote required",Nonlabor!$L$25="Unverified"),G1160,0)</f>
        <v>0</v>
      </c>
      <c r="I1160" s="10" t="n">
        <f aca="false">IF(Nonlabor!$E$25="Core",0,G1160)</f>
        <v>0</v>
      </c>
      <c r="J1160" s="23" t="str">
        <f aca="false">Nonlabor!$B$25</f>
        <v>AI</v>
      </c>
    </row>
    <row r="1161" customFormat="false" ht="15" hidden="false" customHeight="false" outlineLevel="0" collapsed="false">
      <c r="A1161" s="6" t="s">
        <v>72</v>
      </c>
      <c r="B1161" s="6" t="s">
        <v>432</v>
      </c>
      <c r="C1161" s="6" t="n">
        <v>16</v>
      </c>
      <c r="D1161" s="25" t="n">
        <f aca="false">EDATE('Start Here'!$B$6,C1161-1)</f>
        <v>46784</v>
      </c>
      <c r="E1161" s="23" t="n">
        <f aca="false">IF(AND(OR(Nonlabor!$D$25="Both",Nonlabor!$D$25='Start Here'!$B$9),IF(Nonlabor!$E$25="Core",1,IF(Nonlabor!$E$25="AI",'Start Here'!$B$7,'Start Here'!$B$8))=1,C1161&gt;=IF(Nonlabor!$E$25="Core",Nonlabor!$F$25,MAX(Nonlabor!$F$25,IF(Nonlabor!$E$25="AI",Assumptions!$C$24,Assumptions!$C$25))),C1161&lt;=Nonlabor!$G$25,OR(Nonlabor!$H$25="Monthly",AND(Nonlabor!$H$25="Once",C1161=IF(Nonlabor!$E$25="Core",Nonlabor!$F$25,MAX(Nonlabor!$F$25,IF(Nonlabor!$E$25="AI",Assumptions!$C$24,Assumptions!$C$25)))),AND(Nonlabor!$H$25="Annual",MOD(C1161-IF(Nonlabor!$E$25="Core",Nonlabor!$F$25,MAX(Nonlabor!$F$25,IF(Nonlabor!$E$25="AI",Assumptions!$C$24,Assumptions!$C$25))),12)=0))),IF(Nonlabor!$I$25="Fixed",1,IF(Nonlabor!$I$25="Seats",ROUNDUP('Monthly Lean'!I21,0),IF(Nonlabor!$I$25="Customers",'Monthly Lean'!D21,IF(Nonlabor!$I$25="NewCustomers",'Monthly Lean'!C21,IF(Nonlabor!$I$25="StorageGB",'Monthly Lean'!G21,IF(Nonlabor!$I$25="LogGB",'Monthly Lean'!H21,IF(Nonlabor!$I$25="RequestsM",'Monthly Lean'!F21,IF(Nonlabor!$I$25="InputM",'Monthly Lean'!D21*Assumptions!$C$22/1000000,IF(Nonlabor!$I$25="OutputM",'Monthly Lean'!D21*Assumptions!$C$23/1000000,0))))))))),0)</f>
        <v>0</v>
      </c>
      <c r="F1161" s="10" t="n">
        <f aca="false">Nonlabor!$J$25*(1+Assumptions!$C$9)^INT((C1161-1)/12)</f>
        <v>1.648</v>
      </c>
      <c r="G1161" s="10" t="n">
        <f aca="false">E1161*F1161</f>
        <v>0</v>
      </c>
      <c r="H1161" s="10" t="n">
        <f aca="false">IF(OR(Nonlabor!$L$25="Quote required",Nonlabor!$L$25="Unverified"),G1161,0)</f>
        <v>0</v>
      </c>
      <c r="I1161" s="10" t="n">
        <f aca="false">IF(Nonlabor!$E$25="Core",0,G1161)</f>
        <v>0</v>
      </c>
      <c r="J1161" s="23" t="str">
        <f aca="false">Nonlabor!$B$25</f>
        <v>AI</v>
      </c>
    </row>
    <row r="1162" customFormat="false" ht="15" hidden="false" customHeight="false" outlineLevel="0" collapsed="false">
      <c r="A1162" s="6" t="s">
        <v>72</v>
      </c>
      <c r="B1162" s="6" t="s">
        <v>432</v>
      </c>
      <c r="C1162" s="6" t="n">
        <v>17</v>
      </c>
      <c r="D1162" s="25" t="n">
        <f aca="false">EDATE('Start Here'!$B$6,C1162-1)</f>
        <v>46813</v>
      </c>
      <c r="E1162" s="23" t="n">
        <f aca="false">IF(AND(OR(Nonlabor!$D$25="Both",Nonlabor!$D$25='Start Here'!$B$9),IF(Nonlabor!$E$25="Core",1,IF(Nonlabor!$E$25="AI",'Start Here'!$B$7,'Start Here'!$B$8))=1,C1162&gt;=IF(Nonlabor!$E$25="Core",Nonlabor!$F$25,MAX(Nonlabor!$F$25,IF(Nonlabor!$E$25="AI",Assumptions!$C$24,Assumptions!$C$25))),C1162&lt;=Nonlabor!$G$25,OR(Nonlabor!$H$25="Monthly",AND(Nonlabor!$H$25="Once",C1162=IF(Nonlabor!$E$25="Core",Nonlabor!$F$25,MAX(Nonlabor!$F$25,IF(Nonlabor!$E$25="AI",Assumptions!$C$24,Assumptions!$C$25)))),AND(Nonlabor!$H$25="Annual",MOD(C1162-IF(Nonlabor!$E$25="Core",Nonlabor!$F$25,MAX(Nonlabor!$F$25,IF(Nonlabor!$E$25="AI",Assumptions!$C$24,Assumptions!$C$25))),12)=0))),IF(Nonlabor!$I$25="Fixed",1,IF(Nonlabor!$I$25="Seats",ROUNDUP('Monthly Lean'!I22,0),IF(Nonlabor!$I$25="Customers",'Monthly Lean'!D22,IF(Nonlabor!$I$25="NewCustomers",'Monthly Lean'!C22,IF(Nonlabor!$I$25="StorageGB",'Monthly Lean'!G22,IF(Nonlabor!$I$25="LogGB",'Monthly Lean'!H22,IF(Nonlabor!$I$25="RequestsM",'Monthly Lean'!F22,IF(Nonlabor!$I$25="InputM",'Monthly Lean'!D22*Assumptions!$C$22/1000000,IF(Nonlabor!$I$25="OutputM",'Monthly Lean'!D22*Assumptions!$C$23/1000000,0))))))))),0)</f>
        <v>0</v>
      </c>
      <c r="F1162" s="10" t="n">
        <f aca="false">Nonlabor!$J$25*(1+Assumptions!$C$9)^INT((C1162-1)/12)</f>
        <v>1.648</v>
      </c>
      <c r="G1162" s="10" t="n">
        <f aca="false">E1162*F1162</f>
        <v>0</v>
      </c>
      <c r="H1162" s="10" t="n">
        <f aca="false">IF(OR(Nonlabor!$L$25="Quote required",Nonlabor!$L$25="Unverified"),G1162,0)</f>
        <v>0</v>
      </c>
      <c r="I1162" s="10" t="n">
        <f aca="false">IF(Nonlabor!$E$25="Core",0,G1162)</f>
        <v>0</v>
      </c>
      <c r="J1162" s="23" t="str">
        <f aca="false">Nonlabor!$B$25</f>
        <v>AI</v>
      </c>
    </row>
    <row r="1163" customFormat="false" ht="15" hidden="false" customHeight="false" outlineLevel="0" collapsed="false">
      <c r="A1163" s="6" t="s">
        <v>72</v>
      </c>
      <c r="B1163" s="6" t="s">
        <v>432</v>
      </c>
      <c r="C1163" s="6" t="n">
        <v>18</v>
      </c>
      <c r="D1163" s="25" t="n">
        <f aca="false">EDATE('Start Here'!$B$6,C1163-1)</f>
        <v>46844</v>
      </c>
      <c r="E1163" s="23" t="n">
        <f aca="false">IF(AND(OR(Nonlabor!$D$25="Both",Nonlabor!$D$25='Start Here'!$B$9),IF(Nonlabor!$E$25="Core",1,IF(Nonlabor!$E$25="AI",'Start Here'!$B$7,'Start Here'!$B$8))=1,C1163&gt;=IF(Nonlabor!$E$25="Core",Nonlabor!$F$25,MAX(Nonlabor!$F$25,IF(Nonlabor!$E$25="AI",Assumptions!$C$24,Assumptions!$C$25))),C1163&lt;=Nonlabor!$G$25,OR(Nonlabor!$H$25="Monthly",AND(Nonlabor!$H$25="Once",C1163=IF(Nonlabor!$E$25="Core",Nonlabor!$F$25,MAX(Nonlabor!$F$25,IF(Nonlabor!$E$25="AI",Assumptions!$C$24,Assumptions!$C$25)))),AND(Nonlabor!$H$25="Annual",MOD(C1163-IF(Nonlabor!$E$25="Core",Nonlabor!$F$25,MAX(Nonlabor!$F$25,IF(Nonlabor!$E$25="AI",Assumptions!$C$24,Assumptions!$C$25))),12)=0))),IF(Nonlabor!$I$25="Fixed",1,IF(Nonlabor!$I$25="Seats",ROUNDUP('Monthly Lean'!I23,0),IF(Nonlabor!$I$25="Customers",'Monthly Lean'!D23,IF(Nonlabor!$I$25="NewCustomers",'Monthly Lean'!C23,IF(Nonlabor!$I$25="StorageGB",'Monthly Lean'!G23,IF(Nonlabor!$I$25="LogGB",'Monthly Lean'!H23,IF(Nonlabor!$I$25="RequestsM",'Monthly Lean'!F23,IF(Nonlabor!$I$25="InputM",'Monthly Lean'!D23*Assumptions!$C$22/1000000,IF(Nonlabor!$I$25="OutputM",'Monthly Lean'!D23*Assumptions!$C$23/1000000,0))))))))),0)</f>
        <v>0</v>
      </c>
      <c r="F1163" s="10" t="n">
        <f aca="false">Nonlabor!$J$25*(1+Assumptions!$C$9)^INT((C1163-1)/12)</f>
        <v>1.648</v>
      </c>
      <c r="G1163" s="10" t="n">
        <f aca="false">E1163*F1163</f>
        <v>0</v>
      </c>
      <c r="H1163" s="10" t="n">
        <f aca="false">IF(OR(Nonlabor!$L$25="Quote required",Nonlabor!$L$25="Unverified"),G1163,0)</f>
        <v>0</v>
      </c>
      <c r="I1163" s="10" t="n">
        <f aca="false">IF(Nonlabor!$E$25="Core",0,G1163)</f>
        <v>0</v>
      </c>
      <c r="J1163" s="23" t="str">
        <f aca="false">Nonlabor!$B$25</f>
        <v>AI</v>
      </c>
    </row>
    <row r="1164" customFormat="false" ht="15" hidden="false" customHeight="false" outlineLevel="0" collapsed="false">
      <c r="A1164" s="6" t="s">
        <v>72</v>
      </c>
      <c r="B1164" s="6" t="s">
        <v>432</v>
      </c>
      <c r="C1164" s="6" t="n">
        <v>19</v>
      </c>
      <c r="D1164" s="25" t="n">
        <f aca="false">EDATE('Start Here'!$B$6,C1164-1)</f>
        <v>46874</v>
      </c>
      <c r="E1164" s="23" t="n">
        <f aca="false">IF(AND(OR(Nonlabor!$D$25="Both",Nonlabor!$D$25='Start Here'!$B$9),IF(Nonlabor!$E$25="Core",1,IF(Nonlabor!$E$25="AI",'Start Here'!$B$7,'Start Here'!$B$8))=1,C1164&gt;=IF(Nonlabor!$E$25="Core",Nonlabor!$F$25,MAX(Nonlabor!$F$25,IF(Nonlabor!$E$25="AI",Assumptions!$C$24,Assumptions!$C$25))),C1164&lt;=Nonlabor!$G$25,OR(Nonlabor!$H$25="Monthly",AND(Nonlabor!$H$25="Once",C1164=IF(Nonlabor!$E$25="Core",Nonlabor!$F$25,MAX(Nonlabor!$F$25,IF(Nonlabor!$E$25="AI",Assumptions!$C$24,Assumptions!$C$25)))),AND(Nonlabor!$H$25="Annual",MOD(C1164-IF(Nonlabor!$E$25="Core",Nonlabor!$F$25,MAX(Nonlabor!$F$25,IF(Nonlabor!$E$25="AI",Assumptions!$C$24,Assumptions!$C$25))),12)=0))),IF(Nonlabor!$I$25="Fixed",1,IF(Nonlabor!$I$25="Seats",ROUNDUP('Monthly Lean'!I24,0),IF(Nonlabor!$I$25="Customers",'Monthly Lean'!D24,IF(Nonlabor!$I$25="NewCustomers",'Monthly Lean'!C24,IF(Nonlabor!$I$25="StorageGB",'Monthly Lean'!G24,IF(Nonlabor!$I$25="LogGB",'Monthly Lean'!H24,IF(Nonlabor!$I$25="RequestsM",'Monthly Lean'!F24,IF(Nonlabor!$I$25="InputM",'Monthly Lean'!D24*Assumptions!$C$22/1000000,IF(Nonlabor!$I$25="OutputM",'Monthly Lean'!D24*Assumptions!$C$23/1000000,0))))))))),0)</f>
        <v>0</v>
      </c>
      <c r="F1164" s="10" t="n">
        <f aca="false">Nonlabor!$J$25*(1+Assumptions!$C$9)^INT((C1164-1)/12)</f>
        <v>1.648</v>
      </c>
      <c r="G1164" s="10" t="n">
        <f aca="false">E1164*F1164</f>
        <v>0</v>
      </c>
      <c r="H1164" s="10" t="n">
        <f aca="false">IF(OR(Nonlabor!$L$25="Quote required",Nonlabor!$L$25="Unverified"),G1164,0)</f>
        <v>0</v>
      </c>
      <c r="I1164" s="10" t="n">
        <f aca="false">IF(Nonlabor!$E$25="Core",0,G1164)</f>
        <v>0</v>
      </c>
      <c r="J1164" s="23" t="str">
        <f aca="false">Nonlabor!$B$25</f>
        <v>AI</v>
      </c>
    </row>
    <row r="1165" customFormat="false" ht="15" hidden="false" customHeight="false" outlineLevel="0" collapsed="false">
      <c r="A1165" s="6" t="s">
        <v>72</v>
      </c>
      <c r="B1165" s="6" t="s">
        <v>432</v>
      </c>
      <c r="C1165" s="6" t="n">
        <v>20</v>
      </c>
      <c r="D1165" s="25" t="n">
        <f aca="false">EDATE('Start Here'!$B$6,C1165-1)</f>
        <v>46905</v>
      </c>
      <c r="E1165" s="23" t="n">
        <f aca="false">IF(AND(OR(Nonlabor!$D$25="Both",Nonlabor!$D$25='Start Here'!$B$9),IF(Nonlabor!$E$25="Core",1,IF(Nonlabor!$E$25="AI",'Start Here'!$B$7,'Start Here'!$B$8))=1,C1165&gt;=IF(Nonlabor!$E$25="Core",Nonlabor!$F$25,MAX(Nonlabor!$F$25,IF(Nonlabor!$E$25="AI",Assumptions!$C$24,Assumptions!$C$25))),C1165&lt;=Nonlabor!$G$25,OR(Nonlabor!$H$25="Monthly",AND(Nonlabor!$H$25="Once",C1165=IF(Nonlabor!$E$25="Core",Nonlabor!$F$25,MAX(Nonlabor!$F$25,IF(Nonlabor!$E$25="AI",Assumptions!$C$24,Assumptions!$C$25)))),AND(Nonlabor!$H$25="Annual",MOD(C1165-IF(Nonlabor!$E$25="Core",Nonlabor!$F$25,MAX(Nonlabor!$F$25,IF(Nonlabor!$E$25="AI",Assumptions!$C$24,Assumptions!$C$25))),12)=0))),IF(Nonlabor!$I$25="Fixed",1,IF(Nonlabor!$I$25="Seats",ROUNDUP('Monthly Lean'!I25,0),IF(Nonlabor!$I$25="Customers",'Monthly Lean'!D25,IF(Nonlabor!$I$25="NewCustomers",'Monthly Lean'!C25,IF(Nonlabor!$I$25="StorageGB",'Monthly Lean'!G25,IF(Nonlabor!$I$25="LogGB",'Monthly Lean'!H25,IF(Nonlabor!$I$25="RequestsM",'Monthly Lean'!F25,IF(Nonlabor!$I$25="InputM",'Monthly Lean'!D25*Assumptions!$C$22/1000000,IF(Nonlabor!$I$25="OutputM",'Monthly Lean'!D25*Assumptions!$C$23/1000000,0))))))))),0)</f>
        <v>0</v>
      </c>
      <c r="F1165" s="10" t="n">
        <f aca="false">Nonlabor!$J$25*(1+Assumptions!$C$9)^INT((C1165-1)/12)</f>
        <v>1.648</v>
      </c>
      <c r="G1165" s="10" t="n">
        <f aca="false">E1165*F1165</f>
        <v>0</v>
      </c>
      <c r="H1165" s="10" t="n">
        <f aca="false">IF(OR(Nonlabor!$L$25="Quote required",Nonlabor!$L$25="Unverified"),G1165,0)</f>
        <v>0</v>
      </c>
      <c r="I1165" s="10" t="n">
        <f aca="false">IF(Nonlabor!$E$25="Core",0,G1165)</f>
        <v>0</v>
      </c>
      <c r="J1165" s="23" t="str">
        <f aca="false">Nonlabor!$B$25</f>
        <v>AI</v>
      </c>
    </row>
    <row r="1166" customFormat="false" ht="15" hidden="false" customHeight="false" outlineLevel="0" collapsed="false">
      <c r="A1166" s="6" t="s">
        <v>72</v>
      </c>
      <c r="B1166" s="6" t="s">
        <v>432</v>
      </c>
      <c r="C1166" s="6" t="n">
        <v>21</v>
      </c>
      <c r="D1166" s="25" t="n">
        <f aca="false">EDATE('Start Here'!$B$6,C1166-1)</f>
        <v>46935</v>
      </c>
      <c r="E1166" s="23" t="n">
        <f aca="false">IF(AND(OR(Nonlabor!$D$25="Both",Nonlabor!$D$25='Start Here'!$B$9),IF(Nonlabor!$E$25="Core",1,IF(Nonlabor!$E$25="AI",'Start Here'!$B$7,'Start Here'!$B$8))=1,C1166&gt;=IF(Nonlabor!$E$25="Core",Nonlabor!$F$25,MAX(Nonlabor!$F$25,IF(Nonlabor!$E$25="AI",Assumptions!$C$24,Assumptions!$C$25))),C1166&lt;=Nonlabor!$G$25,OR(Nonlabor!$H$25="Monthly",AND(Nonlabor!$H$25="Once",C1166=IF(Nonlabor!$E$25="Core",Nonlabor!$F$25,MAX(Nonlabor!$F$25,IF(Nonlabor!$E$25="AI",Assumptions!$C$24,Assumptions!$C$25)))),AND(Nonlabor!$H$25="Annual",MOD(C1166-IF(Nonlabor!$E$25="Core",Nonlabor!$F$25,MAX(Nonlabor!$F$25,IF(Nonlabor!$E$25="AI",Assumptions!$C$24,Assumptions!$C$25))),12)=0))),IF(Nonlabor!$I$25="Fixed",1,IF(Nonlabor!$I$25="Seats",ROUNDUP('Monthly Lean'!I26,0),IF(Nonlabor!$I$25="Customers",'Monthly Lean'!D26,IF(Nonlabor!$I$25="NewCustomers",'Monthly Lean'!C26,IF(Nonlabor!$I$25="StorageGB",'Monthly Lean'!G26,IF(Nonlabor!$I$25="LogGB",'Monthly Lean'!H26,IF(Nonlabor!$I$25="RequestsM",'Monthly Lean'!F26,IF(Nonlabor!$I$25="InputM",'Monthly Lean'!D26*Assumptions!$C$22/1000000,IF(Nonlabor!$I$25="OutputM",'Monthly Lean'!D26*Assumptions!$C$23/1000000,0))))))))),0)</f>
        <v>0</v>
      </c>
      <c r="F1166" s="10" t="n">
        <f aca="false">Nonlabor!$J$25*(1+Assumptions!$C$9)^INT((C1166-1)/12)</f>
        <v>1.648</v>
      </c>
      <c r="G1166" s="10" t="n">
        <f aca="false">E1166*F1166</f>
        <v>0</v>
      </c>
      <c r="H1166" s="10" t="n">
        <f aca="false">IF(OR(Nonlabor!$L$25="Quote required",Nonlabor!$L$25="Unverified"),G1166,0)</f>
        <v>0</v>
      </c>
      <c r="I1166" s="10" t="n">
        <f aca="false">IF(Nonlabor!$E$25="Core",0,G1166)</f>
        <v>0</v>
      </c>
      <c r="J1166" s="23" t="str">
        <f aca="false">Nonlabor!$B$25</f>
        <v>AI</v>
      </c>
    </row>
    <row r="1167" customFormat="false" ht="15" hidden="false" customHeight="false" outlineLevel="0" collapsed="false">
      <c r="A1167" s="6" t="s">
        <v>72</v>
      </c>
      <c r="B1167" s="6" t="s">
        <v>432</v>
      </c>
      <c r="C1167" s="6" t="n">
        <v>22</v>
      </c>
      <c r="D1167" s="25" t="n">
        <f aca="false">EDATE('Start Here'!$B$6,C1167-1)</f>
        <v>46966</v>
      </c>
      <c r="E1167" s="23" t="n">
        <f aca="false">IF(AND(OR(Nonlabor!$D$25="Both",Nonlabor!$D$25='Start Here'!$B$9),IF(Nonlabor!$E$25="Core",1,IF(Nonlabor!$E$25="AI",'Start Here'!$B$7,'Start Here'!$B$8))=1,C1167&gt;=IF(Nonlabor!$E$25="Core",Nonlabor!$F$25,MAX(Nonlabor!$F$25,IF(Nonlabor!$E$25="AI",Assumptions!$C$24,Assumptions!$C$25))),C1167&lt;=Nonlabor!$G$25,OR(Nonlabor!$H$25="Monthly",AND(Nonlabor!$H$25="Once",C1167=IF(Nonlabor!$E$25="Core",Nonlabor!$F$25,MAX(Nonlabor!$F$25,IF(Nonlabor!$E$25="AI",Assumptions!$C$24,Assumptions!$C$25)))),AND(Nonlabor!$H$25="Annual",MOD(C1167-IF(Nonlabor!$E$25="Core",Nonlabor!$F$25,MAX(Nonlabor!$F$25,IF(Nonlabor!$E$25="AI",Assumptions!$C$24,Assumptions!$C$25))),12)=0))),IF(Nonlabor!$I$25="Fixed",1,IF(Nonlabor!$I$25="Seats",ROUNDUP('Monthly Lean'!I27,0),IF(Nonlabor!$I$25="Customers",'Monthly Lean'!D27,IF(Nonlabor!$I$25="NewCustomers",'Monthly Lean'!C27,IF(Nonlabor!$I$25="StorageGB",'Monthly Lean'!G27,IF(Nonlabor!$I$25="LogGB",'Monthly Lean'!H27,IF(Nonlabor!$I$25="RequestsM",'Monthly Lean'!F27,IF(Nonlabor!$I$25="InputM",'Monthly Lean'!D27*Assumptions!$C$22/1000000,IF(Nonlabor!$I$25="OutputM",'Monthly Lean'!D27*Assumptions!$C$23/1000000,0))))))))),0)</f>
        <v>0</v>
      </c>
      <c r="F1167" s="10" t="n">
        <f aca="false">Nonlabor!$J$25*(1+Assumptions!$C$9)^INT((C1167-1)/12)</f>
        <v>1.648</v>
      </c>
      <c r="G1167" s="10" t="n">
        <f aca="false">E1167*F1167</f>
        <v>0</v>
      </c>
      <c r="H1167" s="10" t="n">
        <f aca="false">IF(OR(Nonlabor!$L$25="Quote required",Nonlabor!$L$25="Unverified"),G1167,0)</f>
        <v>0</v>
      </c>
      <c r="I1167" s="10" t="n">
        <f aca="false">IF(Nonlabor!$E$25="Core",0,G1167)</f>
        <v>0</v>
      </c>
      <c r="J1167" s="23" t="str">
        <f aca="false">Nonlabor!$B$25</f>
        <v>AI</v>
      </c>
    </row>
    <row r="1168" customFormat="false" ht="15" hidden="false" customHeight="false" outlineLevel="0" collapsed="false">
      <c r="A1168" s="6" t="s">
        <v>72</v>
      </c>
      <c r="B1168" s="6" t="s">
        <v>432</v>
      </c>
      <c r="C1168" s="6" t="n">
        <v>23</v>
      </c>
      <c r="D1168" s="25" t="n">
        <f aca="false">EDATE('Start Here'!$B$6,C1168-1)</f>
        <v>46997</v>
      </c>
      <c r="E1168" s="23" t="n">
        <f aca="false">IF(AND(OR(Nonlabor!$D$25="Both",Nonlabor!$D$25='Start Here'!$B$9),IF(Nonlabor!$E$25="Core",1,IF(Nonlabor!$E$25="AI",'Start Here'!$B$7,'Start Here'!$B$8))=1,C1168&gt;=IF(Nonlabor!$E$25="Core",Nonlabor!$F$25,MAX(Nonlabor!$F$25,IF(Nonlabor!$E$25="AI",Assumptions!$C$24,Assumptions!$C$25))),C1168&lt;=Nonlabor!$G$25,OR(Nonlabor!$H$25="Monthly",AND(Nonlabor!$H$25="Once",C1168=IF(Nonlabor!$E$25="Core",Nonlabor!$F$25,MAX(Nonlabor!$F$25,IF(Nonlabor!$E$25="AI",Assumptions!$C$24,Assumptions!$C$25)))),AND(Nonlabor!$H$25="Annual",MOD(C1168-IF(Nonlabor!$E$25="Core",Nonlabor!$F$25,MAX(Nonlabor!$F$25,IF(Nonlabor!$E$25="AI",Assumptions!$C$24,Assumptions!$C$25))),12)=0))),IF(Nonlabor!$I$25="Fixed",1,IF(Nonlabor!$I$25="Seats",ROUNDUP('Monthly Lean'!I28,0),IF(Nonlabor!$I$25="Customers",'Monthly Lean'!D28,IF(Nonlabor!$I$25="NewCustomers",'Monthly Lean'!C28,IF(Nonlabor!$I$25="StorageGB",'Monthly Lean'!G28,IF(Nonlabor!$I$25="LogGB",'Monthly Lean'!H28,IF(Nonlabor!$I$25="RequestsM",'Monthly Lean'!F28,IF(Nonlabor!$I$25="InputM",'Monthly Lean'!D28*Assumptions!$C$22/1000000,IF(Nonlabor!$I$25="OutputM",'Monthly Lean'!D28*Assumptions!$C$23/1000000,0))))))))),0)</f>
        <v>0</v>
      </c>
      <c r="F1168" s="10" t="n">
        <f aca="false">Nonlabor!$J$25*(1+Assumptions!$C$9)^INT((C1168-1)/12)</f>
        <v>1.648</v>
      </c>
      <c r="G1168" s="10" t="n">
        <f aca="false">E1168*F1168</f>
        <v>0</v>
      </c>
      <c r="H1168" s="10" t="n">
        <f aca="false">IF(OR(Nonlabor!$L$25="Quote required",Nonlabor!$L$25="Unverified"),G1168,0)</f>
        <v>0</v>
      </c>
      <c r="I1168" s="10" t="n">
        <f aca="false">IF(Nonlabor!$E$25="Core",0,G1168)</f>
        <v>0</v>
      </c>
      <c r="J1168" s="23" t="str">
        <f aca="false">Nonlabor!$B$25</f>
        <v>AI</v>
      </c>
    </row>
    <row r="1169" customFormat="false" ht="15" hidden="false" customHeight="false" outlineLevel="0" collapsed="false">
      <c r="A1169" s="6" t="s">
        <v>72</v>
      </c>
      <c r="B1169" s="6" t="s">
        <v>432</v>
      </c>
      <c r="C1169" s="6" t="n">
        <v>24</v>
      </c>
      <c r="D1169" s="25" t="n">
        <f aca="false">EDATE('Start Here'!$B$6,C1169-1)</f>
        <v>47027</v>
      </c>
      <c r="E1169" s="23" t="n">
        <f aca="false">IF(AND(OR(Nonlabor!$D$25="Both",Nonlabor!$D$25='Start Here'!$B$9),IF(Nonlabor!$E$25="Core",1,IF(Nonlabor!$E$25="AI",'Start Here'!$B$7,'Start Here'!$B$8))=1,C1169&gt;=IF(Nonlabor!$E$25="Core",Nonlabor!$F$25,MAX(Nonlabor!$F$25,IF(Nonlabor!$E$25="AI",Assumptions!$C$24,Assumptions!$C$25))),C1169&lt;=Nonlabor!$G$25,OR(Nonlabor!$H$25="Monthly",AND(Nonlabor!$H$25="Once",C1169=IF(Nonlabor!$E$25="Core",Nonlabor!$F$25,MAX(Nonlabor!$F$25,IF(Nonlabor!$E$25="AI",Assumptions!$C$24,Assumptions!$C$25)))),AND(Nonlabor!$H$25="Annual",MOD(C1169-IF(Nonlabor!$E$25="Core",Nonlabor!$F$25,MAX(Nonlabor!$F$25,IF(Nonlabor!$E$25="AI",Assumptions!$C$24,Assumptions!$C$25))),12)=0))),IF(Nonlabor!$I$25="Fixed",1,IF(Nonlabor!$I$25="Seats",ROUNDUP('Monthly Lean'!I29,0),IF(Nonlabor!$I$25="Customers",'Monthly Lean'!D29,IF(Nonlabor!$I$25="NewCustomers",'Monthly Lean'!C29,IF(Nonlabor!$I$25="StorageGB",'Monthly Lean'!G29,IF(Nonlabor!$I$25="LogGB",'Monthly Lean'!H29,IF(Nonlabor!$I$25="RequestsM",'Monthly Lean'!F29,IF(Nonlabor!$I$25="InputM",'Monthly Lean'!D29*Assumptions!$C$22/1000000,IF(Nonlabor!$I$25="OutputM",'Monthly Lean'!D29*Assumptions!$C$23/1000000,0))))))))),0)</f>
        <v>0</v>
      </c>
      <c r="F1169" s="10" t="n">
        <f aca="false">Nonlabor!$J$25*(1+Assumptions!$C$9)^INT((C1169-1)/12)</f>
        <v>1.648</v>
      </c>
      <c r="G1169" s="10" t="n">
        <f aca="false">E1169*F1169</f>
        <v>0</v>
      </c>
      <c r="H1169" s="10" t="n">
        <f aca="false">IF(OR(Nonlabor!$L$25="Quote required",Nonlabor!$L$25="Unverified"),G1169,0)</f>
        <v>0</v>
      </c>
      <c r="I1169" s="10" t="n">
        <f aca="false">IF(Nonlabor!$E$25="Core",0,G1169)</f>
        <v>0</v>
      </c>
      <c r="J1169" s="23" t="str">
        <f aca="false">Nonlabor!$B$25</f>
        <v>AI</v>
      </c>
    </row>
    <row r="1170" customFormat="false" ht="15" hidden="false" customHeight="false" outlineLevel="0" collapsed="false">
      <c r="A1170" s="6" t="s">
        <v>72</v>
      </c>
      <c r="B1170" s="6" t="s">
        <v>432</v>
      </c>
      <c r="C1170" s="6" t="n">
        <v>25</v>
      </c>
      <c r="D1170" s="25" t="n">
        <f aca="false">EDATE('Start Here'!$B$6,C1170-1)</f>
        <v>47058</v>
      </c>
      <c r="E1170" s="23" t="n">
        <f aca="false">IF(AND(OR(Nonlabor!$D$25="Both",Nonlabor!$D$25='Start Here'!$B$9),IF(Nonlabor!$E$25="Core",1,IF(Nonlabor!$E$25="AI",'Start Here'!$B$7,'Start Here'!$B$8))=1,C1170&gt;=IF(Nonlabor!$E$25="Core",Nonlabor!$F$25,MAX(Nonlabor!$F$25,IF(Nonlabor!$E$25="AI",Assumptions!$C$24,Assumptions!$C$25))),C1170&lt;=Nonlabor!$G$25,OR(Nonlabor!$H$25="Monthly",AND(Nonlabor!$H$25="Once",C1170=IF(Nonlabor!$E$25="Core",Nonlabor!$F$25,MAX(Nonlabor!$F$25,IF(Nonlabor!$E$25="AI",Assumptions!$C$24,Assumptions!$C$25)))),AND(Nonlabor!$H$25="Annual",MOD(C1170-IF(Nonlabor!$E$25="Core",Nonlabor!$F$25,MAX(Nonlabor!$F$25,IF(Nonlabor!$E$25="AI",Assumptions!$C$24,Assumptions!$C$25))),12)=0))),IF(Nonlabor!$I$25="Fixed",1,IF(Nonlabor!$I$25="Seats",ROUNDUP('Monthly Lean'!I30,0),IF(Nonlabor!$I$25="Customers",'Monthly Lean'!D30,IF(Nonlabor!$I$25="NewCustomers",'Monthly Lean'!C30,IF(Nonlabor!$I$25="StorageGB",'Monthly Lean'!G30,IF(Nonlabor!$I$25="LogGB",'Monthly Lean'!H30,IF(Nonlabor!$I$25="RequestsM",'Monthly Lean'!F30,IF(Nonlabor!$I$25="InputM",'Monthly Lean'!D30*Assumptions!$C$22/1000000,IF(Nonlabor!$I$25="OutputM",'Monthly Lean'!D30*Assumptions!$C$23/1000000,0))))))))),0)</f>
        <v>0</v>
      </c>
      <c r="F1170" s="10" t="n">
        <f aca="false">Nonlabor!$J$25*(1+Assumptions!$C$9)^INT((C1170-1)/12)</f>
        <v>1.69744</v>
      </c>
      <c r="G1170" s="10" t="n">
        <f aca="false">E1170*F1170</f>
        <v>0</v>
      </c>
      <c r="H1170" s="10" t="n">
        <f aca="false">IF(OR(Nonlabor!$L$25="Quote required",Nonlabor!$L$25="Unverified"),G1170,0)</f>
        <v>0</v>
      </c>
      <c r="I1170" s="10" t="n">
        <f aca="false">IF(Nonlabor!$E$25="Core",0,G1170)</f>
        <v>0</v>
      </c>
      <c r="J1170" s="23" t="str">
        <f aca="false">Nonlabor!$B$25</f>
        <v>AI</v>
      </c>
    </row>
    <row r="1171" customFormat="false" ht="15" hidden="false" customHeight="false" outlineLevel="0" collapsed="false">
      <c r="A1171" s="6" t="s">
        <v>72</v>
      </c>
      <c r="B1171" s="6" t="s">
        <v>432</v>
      </c>
      <c r="C1171" s="6" t="n">
        <v>26</v>
      </c>
      <c r="D1171" s="25" t="n">
        <f aca="false">EDATE('Start Here'!$B$6,C1171-1)</f>
        <v>47088</v>
      </c>
      <c r="E1171" s="23" t="n">
        <f aca="false">IF(AND(OR(Nonlabor!$D$25="Both",Nonlabor!$D$25='Start Here'!$B$9),IF(Nonlabor!$E$25="Core",1,IF(Nonlabor!$E$25="AI",'Start Here'!$B$7,'Start Here'!$B$8))=1,C1171&gt;=IF(Nonlabor!$E$25="Core",Nonlabor!$F$25,MAX(Nonlabor!$F$25,IF(Nonlabor!$E$25="AI",Assumptions!$C$24,Assumptions!$C$25))),C1171&lt;=Nonlabor!$G$25,OR(Nonlabor!$H$25="Monthly",AND(Nonlabor!$H$25="Once",C1171=IF(Nonlabor!$E$25="Core",Nonlabor!$F$25,MAX(Nonlabor!$F$25,IF(Nonlabor!$E$25="AI",Assumptions!$C$24,Assumptions!$C$25)))),AND(Nonlabor!$H$25="Annual",MOD(C1171-IF(Nonlabor!$E$25="Core",Nonlabor!$F$25,MAX(Nonlabor!$F$25,IF(Nonlabor!$E$25="AI",Assumptions!$C$24,Assumptions!$C$25))),12)=0))),IF(Nonlabor!$I$25="Fixed",1,IF(Nonlabor!$I$25="Seats",ROUNDUP('Monthly Lean'!I31,0),IF(Nonlabor!$I$25="Customers",'Monthly Lean'!D31,IF(Nonlabor!$I$25="NewCustomers",'Monthly Lean'!C31,IF(Nonlabor!$I$25="StorageGB",'Monthly Lean'!G31,IF(Nonlabor!$I$25="LogGB",'Monthly Lean'!H31,IF(Nonlabor!$I$25="RequestsM",'Monthly Lean'!F31,IF(Nonlabor!$I$25="InputM",'Monthly Lean'!D31*Assumptions!$C$22/1000000,IF(Nonlabor!$I$25="OutputM",'Monthly Lean'!D31*Assumptions!$C$23/1000000,0))))))))),0)</f>
        <v>0</v>
      </c>
      <c r="F1171" s="10" t="n">
        <f aca="false">Nonlabor!$J$25*(1+Assumptions!$C$9)^INT((C1171-1)/12)</f>
        <v>1.69744</v>
      </c>
      <c r="G1171" s="10" t="n">
        <f aca="false">E1171*F1171</f>
        <v>0</v>
      </c>
      <c r="H1171" s="10" t="n">
        <f aca="false">IF(OR(Nonlabor!$L$25="Quote required",Nonlabor!$L$25="Unverified"),G1171,0)</f>
        <v>0</v>
      </c>
      <c r="I1171" s="10" t="n">
        <f aca="false">IF(Nonlabor!$E$25="Core",0,G1171)</f>
        <v>0</v>
      </c>
      <c r="J1171" s="23" t="str">
        <f aca="false">Nonlabor!$B$25</f>
        <v>AI</v>
      </c>
    </row>
    <row r="1172" customFormat="false" ht="15" hidden="false" customHeight="false" outlineLevel="0" collapsed="false">
      <c r="A1172" s="6" t="s">
        <v>72</v>
      </c>
      <c r="B1172" s="6" t="s">
        <v>432</v>
      </c>
      <c r="C1172" s="6" t="n">
        <v>27</v>
      </c>
      <c r="D1172" s="25" t="n">
        <f aca="false">EDATE('Start Here'!$B$6,C1172-1)</f>
        <v>47119</v>
      </c>
      <c r="E1172" s="23" t="n">
        <f aca="false">IF(AND(OR(Nonlabor!$D$25="Both",Nonlabor!$D$25='Start Here'!$B$9),IF(Nonlabor!$E$25="Core",1,IF(Nonlabor!$E$25="AI",'Start Here'!$B$7,'Start Here'!$B$8))=1,C1172&gt;=IF(Nonlabor!$E$25="Core",Nonlabor!$F$25,MAX(Nonlabor!$F$25,IF(Nonlabor!$E$25="AI",Assumptions!$C$24,Assumptions!$C$25))),C1172&lt;=Nonlabor!$G$25,OR(Nonlabor!$H$25="Monthly",AND(Nonlabor!$H$25="Once",C1172=IF(Nonlabor!$E$25="Core",Nonlabor!$F$25,MAX(Nonlabor!$F$25,IF(Nonlabor!$E$25="AI",Assumptions!$C$24,Assumptions!$C$25)))),AND(Nonlabor!$H$25="Annual",MOD(C1172-IF(Nonlabor!$E$25="Core",Nonlabor!$F$25,MAX(Nonlabor!$F$25,IF(Nonlabor!$E$25="AI",Assumptions!$C$24,Assumptions!$C$25))),12)=0))),IF(Nonlabor!$I$25="Fixed",1,IF(Nonlabor!$I$25="Seats",ROUNDUP('Monthly Lean'!I32,0),IF(Nonlabor!$I$25="Customers",'Monthly Lean'!D32,IF(Nonlabor!$I$25="NewCustomers",'Monthly Lean'!C32,IF(Nonlabor!$I$25="StorageGB",'Monthly Lean'!G32,IF(Nonlabor!$I$25="LogGB",'Monthly Lean'!H32,IF(Nonlabor!$I$25="RequestsM",'Monthly Lean'!F32,IF(Nonlabor!$I$25="InputM",'Monthly Lean'!D32*Assumptions!$C$22/1000000,IF(Nonlabor!$I$25="OutputM",'Monthly Lean'!D32*Assumptions!$C$23/1000000,0))))))))),0)</f>
        <v>0</v>
      </c>
      <c r="F1172" s="10" t="n">
        <f aca="false">Nonlabor!$J$25*(1+Assumptions!$C$9)^INT((C1172-1)/12)</f>
        <v>1.69744</v>
      </c>
      <c r="G1172" s="10" t="n">
        <f aca="false">E1172*F1172</f>
        <v>0</v>
      </c>
      <c r="H1172" s="10" t="n">
        <f aca="false">IF(OR(Nonlabor!$L$25="Quote required",Nonlabor!$L$25="Unverified"),G1172,0)</f>
        <v>0</v>
      </c>
      <c r="I1172" s="10" t="n">
        <f aca="false">IF(Nonlabor!$E$25="Core",0,G1172)</f>
        <v>0</v>
      </c>
      <c r="J1172" s="23" t="str">
        <f aca="false">Nonlabor!$B$25</f>
        <v>AI</v>
      </c>
    </row>
    <row r="1173" customFormat="false" ht="15" hidden="false" customHeight="false" outlineLevel="0" collapsed="false">
      <c r="A1173" s="6" t="s">
        <v>72</v>
      </c>
      <c r="B1173" s="6" t="s">
        <v>432</v>
      </c>
      <c r="C1173" s="6" t="n">
        <v>28</v>
      </c>
      <c r="D1173" s="25" t="n">
        <f aca="false">EDATE('Start Here'!$B$6,C1173-1)</f>
        <v>47150</v>
      </c>
      <c r="E1173" s="23" t="n">
        <f aca="false">IF(AND(OR(Nonlabor!$D$25="Both",Nonlabor!$D$25='Start Here'!$B$9),IF(Nonlabor!$E$25="Core",1,IF(Nonlabor!$E$25="AI",'Start Here'!$B$7,'Start Here'!$B$8))=1,C1173&gt;=IF(Nonlabor!$E$25="Core",Nonlabor!$F$25,MAX(Nonlabor!$F$25,IF(Nonlabor!$E$25="AI",Assumptions!$C$24,Assumptions!$C$25))),C1173&lt;=Nonlabor!$G$25,OR(Nonlabor!$H$25="Monthly",AND(Nonlabor!$H$25="Once",C1173=IF(Nonlabor!$E$25="Core",Nonlabor!$F$25,MAX(Nonlabor!$F$25,IF(Nonlabor!$E$25="AI",Assumptions!$C$24,Assumptions!$C$25)))),AND(Nonlabor!$H$25="Annual",MOD(C1173-IF(Nonlabor!$E$25="Core",Nonlabor!$F$25,MAX(Nonlabor!$F$25,IF(Nonlabor!$E$25="AI",Assumptions!$C$24,Assumptions!$C$25))),12)=0))),IF(Nonlabor!$I$25="Fixed",1,IF(Nonlabor!$I$25="Seats",ROUNDUP('Monthly Lean'!I33,0),IF(Nonlabor!$I$25="Customers",'Monthly Lean'!D33,IF(Nonlabor!$I$25="NewCustomers",'Monthly Lean'!C33,IF(Nonlabor!$I$25="StorageGB",'Monthly Lean'!G33,IF(Nonlabor!$I$25="LogGB",'Monthly Lean'!H33,IF(Nonlabor!$I$25="RequestsM",'Monthly Lean'!F33,IF(Nonlabor!$I$25="InputM",'Monthly Lean'!D33*Assumptions!$C$22/1000000,IF(Nonlabor!$I$25="OutputM",'Monthly Lean'!D33*Assumptions!$C$23/1000000,0))))))))),0)</f>
        <v>0</v>
      </c>
      <c r="F1173" s="10" t="n">
        <f aca="false">Nonlabor!$J$25*(1+Assumptions!$C$9)^INT((C1173-1)/12)</f>
        <v>1.69744</v>
      </c>
      <c r="G1173" s="10" t="n">
        <f aca="false">E1173*F1173</f>
        <v>0</v>
      </c>
      <c r="H1173" s="10" t="n">
        <f aca="false">IF(OR(Nonlabor!$L$25="Quote required",Nonlabor!$L$25="Unverified"),G1173,0)</f>
        <v>0</v>
      </c>
      <c r="I1173" s="10" t="n">
        <f aca="false">IF(Nonlabor!$E$25="Core",0,G1173)</f>
        <v>0</v>
      </c>
      <c r="J1173" s="23" t="str">
        <f aca="false">Nonlabor!$B$25</f>
        <v>AI</v>
      </c>
    </row>
    <row r="1174" customFormat="false" ht="15" hidden="false" customHeight="false" outlineLevel="0" collapsed="false">
      <c r="A1174" s="6" t="s">
        <v>72</v>
      </c>
      <c r="B1174" s="6" t="s">
        <v>432</v>
      </c>
      <c r="C1174" s="6" t="n">
        <v>29</v>
      </c>
      <c r="D1174" s="25" t="n">
        <f aca="false">EDATE('Start Here'!$B$6,C1174-1)</f>
        <v>47178</v>
      </c>
      <c r="E1174" s="23" t="n">
        <f aca="false">IF(AND(OR(Nonlabor!$D$25="Both",Nonlabor!$D$25='Start Here'!$B$9),IF(Nonlabor!$E$25="Core",1,IF(Nonlabor!$E$25="AI",'Start Here'!$B$7,'Start Here'!$B$8))=1,C1174&gt;=IF(Nonlabor!$E$25="Core",Nonlabor!$F$25,MAX(Nonlabor!$F$25,IF(Nonlabor!$E$25="AI",Assumptions!$C$24,Assumptions!$C$25))),C1174&lt;=Nonlabor!$G$25,OR(Nonlabor!$H$25="Monthly",AND(Nonlabor!$H$25="Once",C1174=IF(Nonlabor!$E$25="Core",Nonlabor!$F$25,MAX(Nonlabor!$F$25,IF(Nonlabor!$E$25="AI",Assumptions!$C$24,Assumptions!$C$25)))),AND(Nonlabor!$H$25="Annual",MOD(C1174-IF(Nonlabor!$E$25="Core",Nonlabor!$F$25,MAX(Nonlabor!$F$25,IF(Nonlabor!$E$25="AI",Assumptions!$C$24,Assumptions!$C$25))),12)=0))),IF(Nonlabor!$I$25="Fixed",1,IF(Nonlabor!$I$25="Seats",ROUNDUP('Monthly Lean'!I34,0),IF(Nonlabor!$I$25="Customers",'Monthly Lean'!D34,IF(Nonlabor!$I$25="NewCustomers",'Monthly Lean'!C34,IF(Nonlabor!$I$25="StorageGB",'Monthly Lean'!G34,IF(Nonlabor!$I$25="LogGB",'Monthly Lean'!H34,IF(Nonlabor!$I$25="RequestsM",'Monthly Lean'!F34,IF(Nonlabor!$I$25="InputM",'Monthly Lean'!D34*Assumptions!$C$22/1000000,IF(Nonlabor!$I$25="OutputM",'Monthly Lean'!D34*Assumptions!$C$23/1000000,0))))))))),0)</f>
        <v>0</v>
      </c>
      <c r="F1174" s="10" t="n">
        <f aca="false">Nonlabor!$J$25*(1+Assumptions!$C$9)^INT((C1174-1)/12)</f>
        <v>1.69744</v>
      </c>
      <c r="G1174" s="10" t="n">
        <f aca="false">E1174*F1174</f>
        <v>0</v>
      </c>
      <c r="H1174" s="10" t="n">
        <f aca="false">IF(OR(Nonlabor!$L$25="Quote required",Nonlabor!$L$25="Unverified"),G1174,0)</f>
        <v>0</v>
      </c>
      <c r="I1174" s="10" t="n">
        <f aca="false">IF(Nonlabor!$E$25="Core",0,G1174)</f>
        <v>0</v>
      </c>
      <c r="J1174" s="23" t="str">
        <f aca="false">Nonlabor!$B$25</f>
        <v>AI</v>
      </c>
    </row>
    <row r="1175" customFormat="false" ht="15" hidden="false" customHeight="false" outlineLevel="0" collapsed="false">
      <c r="A1175" s="6" t="s">
        <v>72</v>
      </c>
      <c r="B1175" s="6" t="s">
        <v>432</v>
      </c>
      <c r="C1175" s="6" t="n">
        <v>30</v>
      </c>
      <c r="D1175" s="25" t="n">
        <f aca="false">EDATE('Start Here'!$B$6,C1175-1)</f>
        <v>47209</v>
      </c>
      <c r="E1175" s="23" t="n">
        <f aca="false">IF(AND(OR(Nonlabor!$D$25="Both",Nonlabor!$D$25='Start Here'!$B$9),IF(Nonlabor!$E$25="Core",1,IF(Nonlabor!$E$25="AI",'Start Here'!$B$7,'Start Here'!$B$8))=1,C1175&gt;=IF(Nonlabor!$E$25="Core",Nonlabor!$F$25,MAX(Nonlabor!$F$25,IF(Nonlabor!$E$25="AI",Assumptions!$C$24,Assumptions!$C$25))),C1175&lt;=Nonlabor!$G$25,OR(Nonlabor!$H$25="Monthly",AND(Nonlabor!$H$25="Once",C1175=IF(Nonlabor!$E$25="Core",Nonlabor!$F$25,MAX(Nonlabor!$F$25,IF(Nonlabor!$E$25="AI",Assumptions!$C$24,Assumptions!$C$25)))),AND(Nonlabor!$H$25="Annual",MOD(C1175-IF(Nonlabor!$E$25="Core",Nonlabor!$F$25,MAX(Nonlabor!$F$25,IF(Nonlabor!$E$25="AI",Assumptions!$C$24,Assumptions!$C$25))),12)=0))),IF(Nonlabor!$I$25="Fixed",1,IF(Nonlabor!$I$25="Seats",ROUNDUP('Monthly Lean'!I35,0),IF(Nonlabor!$I$25="Customers",'Monthly Lean'!D35,IF(Nonlabor!$I$25="NewCustomers",'Monthly Lean'!C35,IF(Nonlabor!$I$25="StorageGB",'Monthly Lean'!G35,IF(Nonlabor!$I$25="LogGB",'Monthly Lean'!H35,IF(Nonlabor!$I$25="RequestsM",'Monthly Lean'!F35,IF(Nonlabor!$I$25="InputM",'Monthly Lean'!D35*Assumptions!$C$22/1000000,IF(Nonlabor!$I$25="OutputM",'Monthly Lean'!D35*Assumptions!$C$23/1000000,0))))))))),0)</f>
        <v>0</v>
      </c>
      <c r="F1175" s="10" t="n">
        <f aca="false">Nonlabor!$J$25*(1+Assumptions!$C$9)^INT((C1175-1)/12)</f>
        <v>1.69744</v>
      </c>
      <c r="G1175" s="10" t="n">
        <f aca="false">E1175*F1175</f>
        <v>0</v>
      </c>
      <c r="H1175" s="10" t="n">
        <f aca="false">IF(OR(Nonlabor!$L$25="Quote required",Nonlabor!$L$25="Unverified"),G1175,0)</f>
        <v>0</v>
      </c>
      <c r="I1175" s="10" t="n">
        <f aca="false">IF(Nonlabor!$E$25="Core",0,G1175)</f>
        <v>0</v>
      </c>
      <c r="J1175" s="23" t="str">
        <f aca="false">Nonlabor!$B$25</f>
        <v>AI</v>
      </c>
    </row>
    <row r="1176" customFormat="false" ht="15" hidden="false" customHeight="false" outlineLevel="0" collapsed="false">
      <c r="A1176" s="6" t="s">
        <v>72</v>
      </c>
      <c r="B1176" s="6" t="s">
        <v>432</v>
      </c>
      <c r="C1176" s="6" t="n">
        <v>31</v>
      </c>
      <c r="D1176" s="25" t="n">
        <f aca="false">EDATE('Start Here'!$B$6,C1176-1)</f>
        <v>47239</v>
      </c>
      <c r="E1176" s="23" t="n">
        <f aca="false">IF(AND(OR(Nonlabor!$D$25="Both",Nonlabor!$D$25='Start Here'!$B$9),IF(Nonlabor!$E$25="Core",1,IF(Nonlabor!$E$25="AI",'Start Here'!$B$7,'Start Here'!$B$8))=1,C1176&gt;=IF(Nonlabor!$E$25="Core",Nonlabor!$F$25,MAX(Nonlabor!$F$25,IF(Nonlabor!$E$25="AI",Assumptions!$C$24,Assumptions!$C$25))),C1176&lt;=Nonlabor!$G$25,OR(Nonlabor!$H$25="Monthly",AND(Nonlabor!$H$25="Once",C1176=IF(Nonlabor!$E$25="Core",Nonlabor!$F$25,MAX(Nonlabor!$F$25,IF(Nonlabor!$E$25="AI",Assumptions!$C$24,Assumptions!$C$25)))),AND(Nonlabor!$H$25="Annual",MOD(C1176-IF(Nonlabor!$E$25="Core",Nonlabor!$F$25,MAX(Nonlabor!$F$25,IF(Nonlabor!$E$25="AI",Assumptions!$C$24,Assumptions!$C$25))),12)=0))),IF(Nonlabor!$I$25="Fixed",1,IF(Nonlabor!$I$25="Seats",ROUNDUP('Monthly Lean'!I36,0),IF(Nonlabor!$I$25="Customers",'Monthly Lean'!D36,IF(Nonlabor!$I$25="NewCustomers",'Monthly Lean'!C36,IF(Nonlabor!$I$25="StorageGB",'Monthly Lean'!G36,IF(Nonlabor!$I$25="LogGB",'Monthly Lean'!H36,IF(Nonlabor!$I$25="RequestsM",'Monthly Lean'!F36,IF(Nonlabor!$I$25="InputM",'Monthly Lean'!D36*Assumptions!$C$22/1000000,IF(Nonlabor!$I$25="OutputM",'Monthly Lean'!D36*Assumptions!$C$23/1000000,0))))))))),0)</f>
        <v>0</v>
      </c>
      <c r="F1176" s="10" t="n">
        <f aca="false">Nonlabor!$J$25*(1+Assumptions!$C$9)^INT((C1176-1)/12)</f>
        <v>1.69744</v>
      </c>
      <c r="G1176" s="10" t="n">
        <f aca="false">E1176*F1176</f>
        <v>0</v>
      </c>
      <c r="H1176" s="10" t="n">
        <f aca="false">IF(OR(Nonlabor!$L$25="Quote required",Nonlabor!$L$25="Unverified"),G1176,0)</f>
        <v>0</v>
      </c>
      <c r="I1176" s="10" t="n">
        <f aca="false">IF(Nonlabor!$E$25="Core",0,G1176)</f>
        <v>0</v>
      </c>
      <c r="J1176" s="23" t="str">
        <f aca="false">Nonlabor!$B$25</f>
        <v>AI</v>
      </c>
    </row>
    <row r="1177" customFormat="false" ht="15" hidden="false" customHeight="false" outlineLevel="0" collapsed="false">
      <c r="A1177" s="6" t="s">
        <v>72</v>
      </c>
      <c r="B1177" s="6" t="s">
        <v>432</v>
      </c>
      <c r="C1177" s="6" t="n">
        <v>32</v>
      </c>
      <c r="D1177" s="25" t="n">
        <f aca="false">EDATE('Start Here'!$B$6,C1177-1)</f>
        <v>47270</v>
      </c>
      <c r="E1177" s="23" t="n">
        <f aca="false">IF(AND(OR(Nonlabor!$D$25="Both",Nonlabor!$D$25='Start Here'!$B$9),IF(Nonlabor!$E$25="Core",1,IF(Nonlabor!$E$25="AI",'Start Here'!$B$7,'Start Here'!$B$8))=1,C1177&gt;=IF(Nonlabor!$E$25="Core",Nonlabor!$F$25,MAX(Nonlabor!$F$25,IF(Nonlabor!$E$25="AI",Assumptions!$C$24,Assumptions!$C$25))),C1177&lt;=Nonlabor!$G$25,OR(Nonlabor!$H$25="Monthly",AND(Nonlabor!$H$25="Once",C1177=IF(Nonlabor!$E$25="Core",Nonlabor!$F$25,MAX(Nonlabor!$F$25,IF(Nonlabor!$E$25="AI",Assumptions!$C$24,Assumptions!$C$25)))),AND(Nonlabor!$H$25="Annual",MOD(C1177-IF(Nonlabor!$E$25="Core",Nonlabor!$F$25,MAX(Nonlabor!$F$25,IF(Nonlabor!$E$25="AI",Assumptions!$C$24,Assumptions!$C$25))),12)=0))),IF(Nonlabor!$I$25="Fixed",1,IF(Nonlabor!$I$25="Seats",ROUNDUP('Monthly Lean'!I37,0),IF(Nonlabor!$I$25="Customers",'Monthly Lean'!D37,IF(Nonlabor!$I$25="NewCustomers",'Monthly Lean'!C37,IF(Nonlabor!$I$25="StorageGB",'Monthly Lean'!G37,IF(Nonlabor!$I$25="LogGB",'Monthly Lean'!H37,IF(Nonlabor!$I$25="RequestsM",'Monthly Lean'!F37,IF(Nonlabor!$I$25="InputM",'Monthly Lean'!D37*Assumptions!$C$22/1000000,IF(Nonlabor!$I$25="OutputM",'Monthly Lean'!D37*Assumptions!$C$23/1000000,0))))))))),0)</f>
        <v>0</v>
      </c>
      <c r="F1177" s="10" t="n">
        <f aca="false">Nonlabor!$J$25*(1+Assumptions!$C$9)^INT((C1177-1)/12)</f>
        <v>1.69744</v>
      </c>
      <c r="G1177" s="10" t="n">
        <f aca="false">E1177*F1177</f>
        <v>0</v>
      </c>
      <c r="H1177" s="10" t="n">
        <f aca="false">IF(OR(Nonlabor!$L$25="Quote required",Nonlabor!$L$25="Unverified"),G1177,0)</f>
        <v>0</v>
      </c>
      <c r="I1177" s="10" t="n">
        <f aca="false">IF(Nonlabor!$E$25="Core",0,G1177)</f>
        <v>0</v>
      </c>
      <c r="J1177" s="23" t="str">
        <f aca="false">Nonlabor!$B$25</f>
        <v>AI</v>
      </c>
    </row>
    <row r="1178" customFormat="false" ht="15" hidden="false" customHeight="false" outlineLevel="0" collapsed="false">
      <c r="A1178" s="6" t="s">
        <v>72</v>
      </c>
      <c r="B1178" s="6" t="s">
        <v>432</v>
      </c>
      <c r="C1178" s="6" t="n">
        <v>33</v>
      </c>
      <c r="D1178" s="25" t="n">
        <f aca="false">EDATE('Start Here'!$B$6,C1178-1)</f>
        <v>47300</v>
      </c>
      <c r="E1178" s="23" t="n">
        <f aca="false">IF(AND(OR(Nonlabor!$D$25="Both",Nonlabor!$D$25='Start Here'!$B$9),IF(Nonlabor!$E$25="Core",1,IF(Nonlabor!$E$25="AI",'Start Here'!$B$7,'Start Here'!$B$8))=1,C1178&gt;=IF(Nonlabor!$E$25="Core",Nonlabor!$F$25,MAX(Nonlabor!$F$25,IF(Nonlabor!$E$25="AI",Assumptions!$C$24,Assumptions!$C$25))),C1178&lt;=Nonlabor!$G$25,OR(Nonlabor!$H$25="Monthly",AND(Nonlabor!$H$25="Once",C1178=IF(Nonlabor!$E$25="Core",Nonlabor!$F$25,MAX(Nonlabor!$F$25,IF(Nonlabor!$E$25="AI",Assumptions!$C$24,Assumptions!$C$25)))),AND(Nonlabor!$H$25="Annual",MOD(C1178-IF(Nonlabor!$E$25="Core",Nonlabor!$F$25,MAX(Nonlabor!$F$25,IF(Nonlabor!$E$25="AI",Assumptions!$C$24,Assumptions!$C$25))),12)=0))),IF(Nonlabor!$I$25="Fixed",1,IF(Nonlabor!$I$25="Seats",ROUNDUP('Monthly Lean'!I38,0),IF(Nonlabor!$I$25="Customers",'Monthly Lean'!D38,IF(Nonlabor!$I$25="NewCustomers",'Monthly Lean'!C38,IF(Nonlabor!$I$25="StorageGB",'Monthly Lean'!G38,IF(Nonlabor!$I$25="LogGB",'Monthly Lean'!H38,IF(Nonlabor!$I$25="RequestsM",'Monthly Lean'!F38,IF(Nonlabor!$I$25="InputM",'Monthly Lean'!D38*Assumptions!$C$22/1000000,IF(Nonlabor!$I$25="OutputM",'Monthly Lean'!D38*Assumptions!$C$23/1000000,0))))))))),0)</f>
        <v>0</v>
      </c>
      <c r="F1178" s="10" t="n">
        <f aca="false">Nonlabor!$J$25*(1+Assumptions!$C$9)^INT((C1178-1)/12)</f>
        <v>1.69744</v>
      </c>
      <c r="G1178" s="10" t="n">
        <f aca="false">E1178*F1178</f>
        <v>0</v>
      </c>
      <c r="H1178" s="10" t="n">
        <f aca="false">IF(OR(Nonlabor!$L$25="Quote required",Nonlabor!$L$25="Unverified"),G1178,0)</f>
        <v>0</v>
      </c>
      <c r="I1178" s="10" t="n">
        <f aca="false">IF(Nonlabor!$E$25="Core",0,G1178)</f>
        <v>0</v>
      </c>
      <c r="J1178" s="23" t="str">
        <f aca="false">Nonlabor!$B$25</f>
        <v>AI</v>
      </c>
    </row>
    <row r="1179" customFormat="false" ht="15" hidden="false" customHeight="false" outlineLevel="0" collapsed="false">
      <c r="A1179" s="6" t="s">
        <v>72</v>
      </c>
      <c r="B1179" s="6" t="s">
        <v>432</v>
      </c>
      <c r="C1179" s="6" t="n">
        <v>34</v>
      </c>
      <c r="D1179" s="25" t="n">
        <f aca="false">EDATE('Start Here'!$B$6,C1179-1)</f>
        <v>47331</v>
      </c>
      <c r="E1179" s="23" t="n">
        <f aca="false">IF(AND(OR(Nonlabor!$D$25="Both",Nonlabor!$D$25='Start Here'!$B$9),IF(Nonlabor!$E$25="Core",1,IF(Nonlabor!$E$25="AI",'Start Here'!$B$7,'Start Here'!$B$8))=1,C1179&gt;=IF(Nonlabor!$E$25="Core",Nonlabor!$F$25,MAX(Nonlabor!$F$25,IF(Nonlabor!$E$25="AI",Assumptions!$C$24,Assumptions!$C$25))),C1179&lt;=Nonlabor!$G$25,OR(Nonlabor!$H$25="Monthly",AND(Nonlabor!$H$25="Once",C1179=IF(Nonlabor!$E$25="Core",Nonlabor!$F$25,MAX(Nonlabor!$F$25,IF(Nonlabor!$E$25="AI",Assumptions!$C$24,Assumptions!$C$25)))),AND(Nonlabor!$H$25="Annual",MOD(C1179-IF(Nonlabor!$E$25="Core",Nonlabor!$F$25,MAX(Nonlabor!$F$25,IF(Nonlabor!$E$25="AI",Assumptions!$C$24,Assumptions!$C$25))),12)=0))),IF(Nonlabor!$I$25="Fixed",1,IF(Nonlabor!$I$25="Seats",ROUNDUP('Monthly Lean'!I39,0),IF(Nonlabor!$I$25="Customers",'Monthly Lean'!D39,IF(Nonlabor!$I$25="NewCustomers",'Monthly Lean'!C39,IF(Nonlabor!$I$25="StorageGB",'Monthly Lean'!G39,IF(Nonlabor!$I$25="LogGB",'Monthly Lean'!H39,IF(Nonlabor!$I$25="RequestsM",'Monthly Lean'!F39,IF(Nonlabor!$I$25="InputM",'Monthly Lean'!D39*Assumptions!$C$22/1000000,IF(Nonlabor!$I$25="OutputM",'Monthly Lean'!D39*Assumptions!$C$23/1000000,0))))))))),0)</f>
        <v>0</v>
      </c>
      <c r="F1179" s="10" t="n">
        <f aca="false">Nonlabor!$J$25*(1+Assumptions!$C$9)^INT((C1179-1)/12)</f>
        <v>1.69744</v>
      </c>
      <c r="G1179" s="10" t="n">
        <f aca="false">E1179*F1179</f>
        <v>0</v>
      </c>
      <c r="H1179" s="10" t="n">
        <f aca="false">IF(OR(Nonlabor!$L$25="Quote required",Nonlabor!$L$25="Unverified"),G1179,0)</f>
        <v>0</v>
      </c>
      <c r="I1179" s="10" t="n">
        <f aca="false">IF(Nonlabor!$E$25="Core",0,G1179)</f>
        <v>0</v>
      </c>
      <c r="J1179" s="23" t="str">
        <f aca="false">Nonlabor!$B$25</f>
        <v>AI</v>
      </c>
    </row>
    <row r="1180" customFormat="false" ht="15" hidden="false" customHeight="false" outlineLevel="0" collapsed="false">
      <c r="A1180" s="6" t="s">
        <v>72</v>
      </c>
      <c r="B1180" s="6" t="s">
        <v>432</v>
      </c>
      <c r="C1180" s="6" t="n">
        <v>35</v>
      </c>
      <c r="D1180" s="25" t="n">
        <f aca="false">EDATE('Start Here'!$B$6,C1180-1)</f>
        <v>47362</v>
      </c>
      <c r="E1180" s="23" t="n">
        <f aca="false">IF(AND(OR(Nonlabor!$D$25="Both",Nonlabor!$D$25='Start Here'!$B$9),IF(Nonlabor!$E$25="Core",1,IF(Nonlabor!$E$25="AI",'Start Here'!$B$7,'Start Here'!$B$8))=1,C1180&gt;=IF(Nonlabor!$E$25="Core",Nonlabor!$F$25,MAX(Nonlabor!$F$25,IF(Nonlabor!$E$25="AI",Assumptions!$C$24,Assumptions!$C$25))),C1180&lt;=Nonlabor!$G$25,OR(Nonlabor!$H$25="Monthly",AND(Nonlabor!$H$25="Once",C1180=IF(Nonlabor!$E$25="Core",Nonlabor!$F$25,MAX(Nonlabor!$F$25,IF(Nonlabor!$E$25="AI",Assumptions!$C$24,Assumptions!$C$25)))),AND(Nonlabor!$H$25="Annual",MOD(C1180-IF(Nonlabor!$E$25="Core",Nonlabor!$F$25,MAX(Nonlabor!$F$25,IF(Nonlabor!$E$25="AI",Assumptions!$C$24,Assumptions!$C$25))),12)=0))),IF(Nonlabor!$I$25="Fixed",1,IF(Nonlabor!$I$25="Seats",ROUNDUP('Monthly Lean'!I40,0),IF(Nonlabor!$I$25="Customers",'Monthly Lean'!D40,IF(Nonlabor!$I$25="NewCustomers",'Monthly Lean'!C40,IF(Nonlabor!$I$25="StorageGB",'Monthly Lean'!G40,IF(Nonlabor!$I$25="LogGB",'Monthly Lean'!H40,IF(Nonlabor!$I$25="RequestsM",'Monthly Lean'!F40,IF(Nonlabor!$I$25="InputM",'Monthly Lean'!D40*Assumptions!$C$22/1000000,IF(Nonlabor!$I$25="OutputM",'Monthly Lean'!D40*Assumptions!$C$23/1000000,0))))))))),0)</f>
        <v>0</v>
      </c>
      <c r="F1180" s="10" t="n">
        <f aca="false">Nonlabor!$J$25*(1+Assumptions!$C$9)^INT((C1180-1)/12)</f>
        <v>1.69744</v>
      </c>
      <c r="G1180" s="10" t="n">
        <f aca="false">E1180*F1180</f>
        <v>0</v>
      </c>
      <c r="H1180" s="10" t="n">
        <f aca="false">IF(OR(Nonlabor!$L$25="Quote required",Nonlabor!$L$25="Unverified"),G1180,0)</f>
        <v>0</v>
      </c>
      <c r="I1180" s="10" t="n">
        <f aca="false">IF(Nonlabor!$E$25="Core",0,G1180)</f>
        <v>0</v>
      </c>
      <c r="J1180" s="23" t="str">
        <f aca="false">Nonlabor!$B$25</f>
        <v>AI</v>
      </c>
    </row>
    <row r="1181" customFormat="false" ht="15" hidden="false" customHeight="false" outlineLevel="0" collapsed="false">
      <c r="A1181" s="6" t="s">
        <v>72</v>
      </c>
      <c r="B1181" s="6" t="s">
        <v>432</v>
      </c>
      <c r="C1181" s="6" t="n">
        <v>36</v>
      </c>
      <c r="D1181" s="25" t="n">
        <f aca="false">EDATE('Start Here'!$B$6,C1181-1)</f>
        <v>47392</v>
      </c>
      <c r="E1181" s="23" t="n">
        <f aca="false">IF(AND(OR(Nonlabor!$D$25="Both",Nonlabor!$D$25='Start Here'!$B$9),IF(Nonlabor!$E$25="Core",1,IF(Nonlabor!$E$25="AI",'Start Here'!$B$7,'Start Here'!$B$8))=1,C1181&gt;=IF(Nonlabor!$E$25="Core",Nonlabor!$F$25,MAX(Nonlabor!$F$25,IF(Nonlabor!$E$25="AI",Assumptions!$C$24,Assumptions!$C$25))),C1181&lt;=Nonlabor!$G$25,OR(Nonlabor!$H$25="Monthly",AND(Nonlabor!$H$25="Once",C1181=IF(Nonlabor!$E$25="Core",Nonlabor!$F$25,MAX(Nonlabor!$F$25,IF(Nonlabor!$E$25="AI",Assumptions!$C$24,Assumptions!$C$25)))),AND(Nonlabor!$H$25="Annual",MOD(C1181-IF(Nonlabor!$E$25="Core",Nonlabor!$F$25,MAX(Nonlabor!$F$25,IF(Nonlabor!$E$25="AI",Assumptions!$C$24,Assumptions!$C$25))),12)=0))),IF(Nonlabor!$I$25="Fixed",1,IF(Nonlabor!$I$25="Seats",ROUNDUP('Monthly Lean'!I41,0),IF(Nonlabor!$I$25="Customers",'Monthly Lean'!D41,IF(Nonlabor!$I$25="NewCustomers",'Monthly Lean'!C41,IF(Nonlabor!$I$25="StorageGB",'Monthly Lean'!G41,IF(Nonlabor!$I$25="LogGB",'Monthly Lean'!H41,IF(Nonlabor!$I$25="RequestsM",'Monthly Lean'!F41,IF(Nonlabor!$I$25="InputM",'Monthly Lean'!D41*Assumptions!$C$22/1000000,IF(Nonlabor!$I$25="OutputM",'Monthly Lean'!D41*Assumptions!$C$23/1000000,0))))))))),0)</f>
        <v>0</v>
      </c>
      <c r="F1181" s="10" t="n">
        <f aca="false">Nonlabor!$J$25*(1+Assumptions!$C$9)^INT((C1181-1)/12)</f>
        <v>1.69744</v>
      </c>
      <c r="G1181" s="10" t="n">
        <f aca="false">E1181*F1181</f>
        <v>0</v>
      </c>
      <c r="H1181" s="10" t="n">
        <f aca="false">IF(OR(Nonlabor!$L$25="Quote required",Nonlabor!$L$25="Unverified"),G1181,0)</f>
        <v>0</v>
      </c>
      <c r="I1181" s="10" t="n">
        <f aca="false">IF(Nonlabor!$E$25="Core",0,G1181)</f>
        <v>0</v>
      </c>
      <c r="J1181" s="23" t="str">
        <f aca="false">Nonlabor!$B$25</f>
        <v>AI</v>
      </c>
    </row>
    <row r="1182" customFormat="false" ht="15" hidden="false" customHeight="false" outlineLevel="0" collapsed="false">
      <c r="A1182" s="6" t="s">
        <v>72</v>
      </c>
      <c r="B1182" s="6" t="s">
        <v>432</v>
      </c>
      <c r="C1182" s="6" t="n">
        <v>37</v>
      </c>
      <c r="D1182" s="25" t="n">
        <f aca="false">EDATE('Start Here'!$B$6,C1182-1)</f>
        <v>47423</v>
      </c>
      <c r="E1182" s="23" t="n">
        <f aca="false">IF(AND(OR(Nonlabor!$D$25="Both",Nonlabor!$D$25='Start Here'!$B$9),IF(Nonlabor!$E$25="Core",1,IF(Nonlabor!$E$25="AI",'Start Here'!$B$7,'Start Here'!$B$8))=1,C1182&gt;=IF(Nonlabor!$E$25="Core",Nonlabor!$F$25,MAX(Nonlabor!$F$25,IF(Nonlabor!$E$25="AI",Assumptions!$C$24,Assumptions!$C$25))),C1182&lt;=Nonlabor!$G$25,OR(Nonlabor!$H$25="Monthly",AND(Nonlabor!$H$25="Once",C1182=IF(Nonlabor!$E$25="Core",Nonlabor!$F$25,MAX(Nonlabor!$F$25,IF(Nonlabor!$E$25="AI",Assumptions!$C$24,Assumptions!$C$25)))),AND(Nonlabor!$H$25="Annual",MOD(C1182-IF(Nonlabor!$E$25="Core",Nonlabor!$F$25,MAX(Nonlabor!$F$25,IF(Nonlabor!$E$25="AI",Assumptions!$C$24,Assumptions!$C$25))),12)=0))),IF(Nonlabor!$I$25="Fixed",1,IF(Nonlabor!$I$25="Seats",ROUNDUP('Monthly Lean'!I42,0),IF(Nonlabor!$I$25="Customers",'Monthly Lean'!D42,IF(Nonlabor!$I$25="NewCustomers",'Monthly Lean'!C42,IF(Nonlabor!$I$25="StorageGB",'Monthly Lean'!G42,IF(Nonlabor!$I$25="LogGB",'Monthly Lean'!H42,IF(Nonlabor!$I$25="RequestsM",'Monthly Lean'!F42,IF(Nonlabor!$I$25="InputM",'Monthly Lean'!D42*Assumptions!$C$22/1000000,IF(Nonlabor!$I$25="OutputM",'Monthly Lean'!D42*Assumptions!$C$23/1000000,0))))))))),0)</f>
        <v>0</v>
      </c>
      <c r="F1182" s="10" t="n">
        <f aca="false">Nonlabor!$J$25*(1+Assumptions!$C$9)^INT((C1182-1)/12)</f>
        <v>1.7483632</v>
      </c>
      <c r="G1182" s="10" t="n">
        <f aca="false">E1182*F1182</f>
        <v>0</v>
      </c>
      <c r="H1182" s="10" t="n">
        <f aca="false">IF(OR(Nonlabor!$L$25="Quote required",Nonlabor!$L$25="Unverified"),G1182,0)</f>
        <v>0</v>
      </c>
      <c r="I1182" s="10" t="n">
        <f aca="false">IF(Nonlabor!$E$25="Core",0,G1182)</f>
        <v>0</v>
      </c>
      <c r="J1182" s="23" t="str">
        <f aca="false">Nonlabor!$B$25</f>
        <v>AI</v>
      </c>
    </row>
    <row r="1183" customFormat="false" ht="15" hidden="false" customHeight="false" outlineLevel="0" collapsed="false">
      <c r="A1183" s="6" t="s">
        <v>72</v>
      </c>
      <c r="B1183" s="6" t="s">
        <v>432</v>
      </c>
      <c r="C1183" s="6" t="n">
        <v>38</v>
      </c>
      <c r="D1183" s="25" t="n">
        <f aca="false">EDATE('Start Here'!$B$6,C1183-1)</f>
        <v>47453</v>
      </c>
      <c r="E1183" s="23" t="n">
        <f aca="false">IF(AND(OR(Nonlabor!$D$25="Both",Nonlabor!$D$25='Start Here'!$B$9),IF(Nonlabor!$E$25="Core",1,IF(Nonlabor!$E$25="AI",'Start Here'!$B$7,'Start Here'!$B$8))=1,C1183&gt;=IF(Nonlabor!$E$25="Core",Nonlabor!$F$25,MAX(Nonlabor!$F$25,IF(Nonlabor!$E$25="AI",Assumptions!$C$24,Assumptions!$C$25))),C1183&lt;=Nonlabor!$G$25,OR(Nonlabor!$H$25="Monthly",AND(Nonlabor!$H$25="Once",C1183=IF(Nonlabor!$E$25="Core",Nonlabor!$F$25,MAX(Nonlabor!$F$25,IF(Nonlabor!$E$25="AI",Assumptions!$C$24,Assumptions!$C$25)))),AND(Nonlabor!$H$25="Annual",MOD(C1183-IF(Nonlabor!$E$25="Core",Nonlabor!$F$25,MAX(Nonlabor!$F$25,IF(Nonlabor!$E$25="AI",Assumptions!$C$24,Assumptions!$C$25))),12)=0))),IF(Nonlabor!$I$25="Fixed",1,IF(Nonlabor!$I$25="Seats",ROUNDUP('Monthly Lean'!I43,0),IF(Nonlabor!$I$25="Customers",'Monthly Lean'!D43,IF(Nonlabor!$I$25="NewCustomers",'Monthly Lean'!C43,IF(Nonlabor!$I$25="StorageGB",'Monthly Lean'!G43,IF(Nonlabor!$I$25="LogGB",'Monthly Lean'!H43,IF(Nonlabor!$I$25="RequestsM",'Monthly Lean'!F43,IF(Nonlabor!$I$25="InputM",'Monthly Lean'!D43*Assumptions!$C$22/1000000,IF(Nonlabor!$I$25="OutputM",'Monthly Lean'!D43*Assumptions!$C$23/1000000,0))))))))),0)</f>
        <v>0</v>
      </c>
      <c r="F1183" s="10" t="n">
        <f aca="false">Nonlabor!$J$25*(1+Assumptions!$C$9)^INT((C1183-1)/12)</f>
        <v>1.7483632</v>
      </c>
      <c r="G1183" s="10" t="n">
        <f aca="false">E1183*F1183</f>
        <v>0</v>
      </c>
      <c r="H1183" s="10" t="n">
        <f aca="false">IF(OR(Nonlabor!$L$25="Quote required",Nonlabor!$L$25="Unverified"),G1183,0)</f>
        <v>0</v>
      </c>
      <c r="I1183" s="10" t="n">
        <f aca="false">IF(Nonlabor!$E$25="Core",0,G1183)</f>
        <v>0</v>
      </c>
      <c r="J1183" s="23" t="str">
        <f aca="false">Nonlabor!$B$25</f>
        <v>AI</v>
      </c>
    </row>
    <row r="1184" customFormat="false" ht="15" hidden="false" customHeight="false" outlineLevel="0" collapsed="false">
      <c r="A1184" s="6" t="s">
        <v>72</v>
      </c>
      <c r="B1184" s="6" t="s">
        <v>432</v>
      </c>
      <c r="C1184" s="6" t="n">
        <v>39</v>
      </c>
      <c r="D1184" s="25" t="n">
        <f aca="false">EDATE('Start Here'!$B$6,C1184-1)</f>
        <v>47484</v>
      </c>
      <c r="E1184" s="23" t="n">
        <f aca="false">IF(AND(OR(Nonlabor!$D$25="Both",Nonlabor!$D$25='Start Here'!$B$9),IF(Nonlabor!$E$25="Core",1,IF(Nonlabor!$E$25="AI",'Start Here'!$B$7,'Start Here'!$B$8))=1,C1184&gt;=IF(Nonlabor!$E$25="Core",Nonlabor!$F$25,MAX(Nonlabor!$F$25,IF(Nonlabor!$E$25="AI",Assumptions!$C$24,Assumptions!$C$25))),C1184&lt;=Nonlabor!$G$25,OR(Nonlabor!$H$25="Monthly",AND(Nonlabor!$H$25="Once",C1184=IF(Nonlabor!$E$25="Core",Nonlabor!$F$25,MAX(Nonlabor!$F$25,IF(Nonlabor!$E$25="AI",Assumptions!$C$24,Assumptions!$C$25)))),AND(Nonlabor!$H$25="Annual",MOD(C1184-IF(Nonlabor!$E$25="Core",Nonlabor!$F$25,MAX(Nonlabor!$F$25,IF(Nonlabor!$E$25="AI",Assumptions!$C$24,Assumptions!$C$25))),12)=0))),IF(Nonlabor!$I$25="Fixed",1,IF(Nonlabor!$I$25="Seats",ROUNDUP('Monthly Lean'!I44,0),IF(Nonlabor!$I$25="Customers",'Monthly Lean'!D44,IF(Nonlabor!$I$25="NewCustomers",'Monthly Lean'!C44,IF(Nonlabor!$I$25="StorageGB",'Monthly Lean'!G44,IF(Nonlabor!$I$25="LogGB",'Monthly Lean'!H44,IF(Nonlabor!$I$25="RequestsM",'Monthly Lean'!F44,IF(Nonlabor!$I$25="InputM",'Monthly Lean'!D44*Assumptions!$C$22/1000000,IF(Nonlabor!$I$25="OutputM",'Monthly Lean'!D44*Assumptions!$C$23/1000000,0))))))))),0)</f>
        <v>0</v>
      </c>
      <c r="F1184" s="10" t="n">
        <f aca="false">Nonlabor!$J$25*(1+Assumptions!$C$9)^INT((C1184-1)/12)</f>
        <v>1.7483632</v>
      </c>
      <c r="G1184" s="10" t="n">
        <f aca="false">E1184*F1184</f>
        <v>0</v>
      </c>
      <c r="H1184" s="10" t="n">
        <f aca="false">IF(OR(Nonlabor!$L$25="Quote required",Nonlabor!$L$25="Unverified"),G1184,0)</f>
        <v>0</v>
      </c>
      <c r="I1184" s="10" t="n">
        <f aca="false">IF(Nonlabor!$E$25="Core",0,G1184)</f>
        <v>0</v>
      </c>
      <c r="J1184" s="23" t="str">
        <f aca="false">Nonlabor!$B$25</f>
        <v>AI</v>
      </c>
    </row>
    <row r="1185" customFormat="false" ht="15" hidden="false" customHeight="false" outlineLevel="0" collapsed="false">
      <c r="A1185" s="6" t="s">
        <v>72</v>
      </c>
      <c r="B1185" s="6" t="s">
        <v>432</v>
      </c>
      <c r="C1185" s="6" t="n">
        <v>40</v>
      </c>
      <c r="D1185" s="25" t="n">
        <f aca="false">EDATE('Start Here'!$B$6,C1185-1)</f>
        <v>47515</v>
      </c>
      <c r="E1185" s="23" t="n">
        <f aca="false">IF(AND(OR(Nonlabor!$D$25="Both",Nonlabor!$D$25='Start Here'!$B$9),IF(Nonlabor!$E$25="Core",1,IF(Nonlabor!$E$25="AI",'Start Here'!$B$7,'Start Here'!$B$8))=1,C1185&gt;=IF(Nonlabor!$E$25="Core",Nonlabor!$F$25,MAX(Nonlabor!$F$25,IF(Nonlabor!$E$25="AI",Assumptions!$C$24,Assumptions!$C$25))),C1185&lt;=Nonlabor!$G$25,OR(Nonlabor!$H$25="Monthly",AND(Nonlabor!$H$25="Once",C1185=IF(Nonlabor!$E$25="Core",Nonlabor!$F$25,MAX(Nonlabor!$F$25,IF(Nonlabor!$E$25="AI",Assumptions!$C$24,Assumptions!$C$25)))),AND(Nonlabor!$H$25="Annual",MOD(C1185-IF(Nonlabor!$E$25="Core",Nonlabor!$F$25,MAX(Nonlabor!$F$25,IF(Nonlabor!$E$25="AI",Assumptions!$C$24,Assumptions!$C$25))),12)=0))),IF(Nonlabor!$I$25="Fixed",1,IF(Nonlabor!$I$25="Seats",ROUNDUP('Monthly Lean'!I45,0),IF(Nonlabor!$I$25="Customers",'Monthly Lean'!D45,IF(Nonlabor!$I$25="NewCustomers",'Monthly Lean'!C45,IF(Nonlabor!$I$25="StorageGB",'Monthly Lean'!G45,IF(Nonlabor!$I$25="LogGB",'Monthly Lean'!H45,IF(Nonlabor!$I$25="RequestsM",'Monthly Lean'!F45,IF(Nonlabor!$I$25="InputM",'Monthly Lean'!D45*Assumptions!$C$22/1000000,IF(Nonlabor!$I$25="OutputM",'Monthly Lean'!D45*Assumptions!$C$23/1000000,0))))))))),0)</f>
        <v>0</v>
      </c>
      <c r="F1185" s="10" t="n">
        <f aca="false">Nonlabor!$J$25*(1+Assumptions!$C$9)^INT((C1185-1)/12)</f>
        <v>1.7483632</v>
      </c>
      <c r="G1185" s="10" t="n">
        <f aca="false">E1185*F1185</f>
        <v>0</v>
      </c>
      <c r="H1185" s="10" t="n">
        <f aca="false">IF(OR(Nonlabor!$L$25="Quote required",Nonlabor!$L$25="Unverified"),G1185,0)</f>
        <v>0</v>
      </c>
      <c r="I1185" s="10" t="n">
        <f aca="false">IF(Nonlabor!$E$25="Core",0,G1185)</f>
        <v>0</v>
      </c>
      <c r="J1185" s="23" t="str">
        <f aca="false">Nonlabor!$B$25</f>
        <v>AI</v>
      </c>
    </row>
    <row r="1186" customFormat="false" ht="15" hidden="false" customHeight="false" outlineLevel="0" collapsed="false">
      <c r="A1186" s="6" t="s">
        <v>72</v>
      </c>
      <c r="B1186" s="6" t="s">
        <v>432</v>
      </c>
      <c r="C1186" s="6" t="n">
        <v>41</v>
      </c>
      <c r="D1186" s="25" t="n">
        <f aca="false">EDATE('Start Here'!$B$6,C1186-1)</f>
        <v>47543</v>
      </c>
      <c r="E1186" s="23" t="n">
        <f aca="false">IF(AND(OR(Nonlabor!$D$25="Both",Nonlabor!$D$25='Start Here'!$B$9),IF(Nonlabor!$E$25="Core",1,IF(Nonlabor!$E$25="AI",'Start Here'!$B$7,'Start Here'!$B$8))=1,C1186&gt;=IF(Nonlabor!$E$25="Core",Nonlabor!$F$25,MAX(Nonlabor!$F$25,IF(Nonlabor!$E$25="AI",Assumptions!$C$24,Assumptions!$C$25))),C1186&lt;=Nonlabor!$G$25,OR(Nonlabor!$H$25="Monthly",AND(Nonlabor!$H$25="Once",C1186=IF(Nonlabor!$E$25="Core",Nonlabor!$F$25,MAX(Nonlabor!$F$25,IF(Nonlabor!$E$25="AI",Assumptions!$C$24,Assumptions!$C$25)))),AND(Nonlabor!$H$25="Annual",MOD(C1186-IF(Nonlabor!$E$25="Core",Nonlabor!$F$25,MAX(Nonlabor!$F$25,IF(Nonlabor!$E$25="AI",Assumptions!$C$24,Assumptions!$C$25))),12)=0))),IF(Nonlabor!$I$25="Fixed",1,IF(Nonlabor!$I$25="Seats",ROUNDUP('Monthly Lean'!I46,0),IF(Nonlabor!$I$25="Customers",'Monthly Lean'!D46,IF(Nonlabor!$I$25="NewCustomers",'Monthly Lean'!C46,IF(Nonlabor!$I$25="StorageGB",'Monthly Lean'!G46,IF(Nonlabor!$I$25="LogGB",'Monthly Lean'!H46,IF(Nonlabor!$I$25="RequestsM",'Monthly Lean'!F46,IF(Nonlabor!$I$25="InputM",'Monthly Lean'!D46*Assumptions!$C$22/1000000,IF(Nonlabor!$I$25="OutputM",'Monthly Lean'!D46*Assumptions!$C$23/1000000,0))))))))),0)</f>
        <v>0</v>
      </c>
      <c r="F1186" s="10" t="n">
        <f aca="false">Nonlabor!$J$25*(1+Assumptions!$C$9)^INT((C1186-1)/12)</f>
        <v>1.7483632</v>
      </c>
      <c r="G1186" s="10" t="n">
        <f aca="false">E1186*F1186</f>
        <v>0</v>
      </c>
      <c r="H1186" s="10" t="n">
        <f aca="false">IF(OR(Nonlabor!$L$25="Quote required",Nonlabor!$L$25="Unverified"),G1186,0)</f>
        <v>0</v>
      </c>
      <c r="I1186" s="10" t="n">
        <f aca="false">IF(Nonlabor!$E$25="Core",0,G1186)</f>
        <v>0</v>
      </c>
      <c r="J1186" s="23" t="str">
        <f aca="false">Nonlabor!$B$25</f>
        <v>AI</v>
      </c>
    </row>
    <row r="1187" customFormat="false" ht="15" hidden="false" customHeight="false" outlineLevel="0" collapsed="false">
      <c r="A1187" s="6" t="s">
        <v>72</v>
      </c>
      <c r="B1187" s="6" t="s">
        <v>432</v>
      </c>
      <c r="C1187" s="6" t="n">
        <v>42</v>
      </c>
      <c r="D1187" s="25" t="n">
        <f aca="false">EDATE('Start Here'!$B$6,C1187-1)</f>
        <v>47574</v>
      </c>
      <c r="E1187" s="23" t="n">
        <f aca="false">IF(AND(OR(Nonlabor!$D$25="Both",Nonlabor!$D$25='Start Here'!$B$9),IF(Nonlabor!$E$25="Core",1,IF(Nonlabor!$E$25="AI",'Start Here'!$B$7,'Start Here'!$B$8))=1,C1187&gt;=IF(Nonlabor!$E$25="Core",Nonlabor!$F$25,MAX(Nonlabor!$F$25,IF(Nonlabor!$E$25="AI",Assumptions!$C$24,Assumptions!$C$25))),C1187&lt;=Nonlabor!$G$25,OR(Nonlabor!$H$25="Monthly",AND(Nonlabor!$H$25="Once",C1187=IF(Nonlabor!$E$25="Core",Nonlabor!$F$25,MAX(Nonlabor!$F$25,IF(Nonlabor!$E$25="AI",Assumptions!$C$24,Assumptions!$C$25)))),AND(Nonlabor!$H$25="Annual",MOD(C1187-IF(Nonlabor!$E$25="Core",Nonlabor!$F$25,MAX(Nonlabor!$F$25,IF(Nonlabor!$E$25="AI",Assumptions!$C$24,Assumptions!$C$25))),12)=0))),IF(Nonlabor!$I$25="Fixed",1,IF(Nonlabor!$I$25="Seats",ROUNDUP('Monthly Lean'!I47,0),IF(Nonlabor!$I$25="Customers",'Monthly Lean'!D47,IF(Nonlabor!$I$25="NewCustomers",'Monthly Lean'!C47,IF(Nonlabor!$I$25="StorageGB",'Monthly Lean'!G47,IF(Nonlabor!$I$25="LogGB",'Monthly Lean'!H47,IF(Nonlabor!$I$25="RequestsM",'Monthly Lean'!F47,IF(Nonlabor!$I$25="InputM",'Monthly Lean'!D47*Assumptions!$C$22/1000000,IF(Nonlabor!$I$25="OutputM",'Monthly Lean'!D47*Assumptions!$C$23/1000000,0))))))))),0)</f>
        <v>0</v>
      </c>
      <c r="F1187" s="10" t="n">
        <f aca="false">Nonlabor!$J$25*(1+Assumptions!$C$9)^INT((C1187-1)/12)</f>
        <v>1.7483632</v>
      </c>
      <c r="G1187" s="10" t="n">
        <f aca="false">E1187*F1187</f>
        <v>0</v>
      </c>
      <c r="H1187" s="10" t="n">
        <f aca="false">IF(OR(Nonlabor!$L$25="Quote required",Nonlabor!$L$25="Unverified"),G1187,0)</f>
        <v>0</v>
      </c>
      <c r="I1187" s="10" t="n">
        <f aca="false">IF(Nonlabor!$E$25="Core",0,G1187)</f>
        <v>0</v>
      </c>
      <c r="J1187" s="23" t="str">
        <f aca="false">Nonlabor!$B$25</f>
        <v>AI</v>
      </c>
    </row>
    <row r="1188" customFormat="false" ht="15" hidden="false" customHeight="false" outlineLevel="0" collapsed="false">
      <c r="A1188" s="6" t="s">
        <v>72</v>
      </c>
      <c r="B1188" s="6" t="s">
        <v>432</v>
      </c>
      <c r="C1188" s="6" t="n">
        <v>43</v>
      </c>
      <c r="D1188" s="25" t="n">
        <f aca="false">EDATE('Start Here'!$B$6,C1188-1)</f>
        <v>47604</v>
      </c>
      <c r="E1188" s="23" t="n">
        <f aca="false">IF(AND(OR(Nonlabor!$D$25="Both",Nonlabor!$D$25='Start Here'!$B$9),IF(Nonlabor!$E$25="Core",1,IF(Nonlabor!$E$25="AI",'Start Here'!$B$7,'Start Here'!$B$8))=1,C1188&gt;=IF(Nonlabor!$E$25="Core",Nonlabor!$F$25,MAX(Nonlabor!$F$25,IF(Nonlabor!$E$25="AI",Assumptions!$C$24,Assumptions!$C$25))),C1188&lt;=Nonlabor!$G$25,OR(Nonlabor!$H$25="Monthly",AND(Nonlabor!$H$25="Once",C1188=IF(Nonlabor!$E$25="Core",Nonlabor!$F$25,MAX(Nonlabor!$F$25,IF(Nonlabor!$E$25="AI",Assumptions!$C$24,Assumptions!$C$25)))),AND(Nonlabor!$H$25="Annual",MOD(C1188-IF(Nonlabor!$E$25="Core",Nonlabor!$F$25,MAX(Nonlabor!$F$25,IF(Nonlabor!$E$25="AI",Assumptions!$C$24,Assumptions!$C$25))),12)=0))),IF(Nonlabor!$I$25="Fixed",1,IF(Nonlabor!$I$25="Seats",ROUNDUP('Monthly Lean'!I48,0),IF(Nonlabor!$I$25="Customers",'Monthly Lean'!D48,IF(Nonlabor!$I$25="NewCustomers",'Monthly Lean'!C48,IF(Nonlabor!$I$25="StorageGB",'Monthly Lean'!G48,IF(Nonlabor!$I$25="LogGB",'Monthly Lean'!H48,IF(Nonlabor!$I$25="RequestsM",'Monthly Lean'!F48,IF(Nonlabor!$I$25="InputM",'Monthly Lean'!D48*Assumptions!$C$22/1000000,IF(Nonlabor!$I$25="OutputM",'Monthly Lean'!D48*Assumptions!$C$23/1000000,0))))))))),0)</f>
        <v>0</v>
      </c>
      <c r="F1188" s="10" t="n">
        <f aca="false">Nonlabor!$J$25*(1+Assumptions!$C$9)^INT((C1188-1)/12)</f>
        <v>1.7483632</v>
      </c>
      <c r="G1188" s="10" t="n">
        <f aca="false">E1188*F1188</f>
        <v>0</v>
      </c>
      <c r="H1188" s="10" t="n">
        <f aca="false">IF(OR(Nonlabor!$L$25="Quote required",Nonlabor!$L$25="Unverified"),G1188,0)</f>
        <v>0</v>
      </c>
      <c r="I1188" s="10" t="n">
        <f aca="false">IF(Nonlabor!$E$25="Core",0,G1188)</f>
        <v>0</v>
      </c>
      <c r="J1188" s="23" t="str">
        <f aca="false">Nonlabor!$B$25</f>
        <v>AI</v>
      </c>
    </row>
    <row r="1189" customFormat="false" ht="15" hidden="false" customHeight="false" outlineLevel="0" collapsed="false">
      <c r="A1189" s="6" t="s">
        <v>72</v>
      </c>
      <c r="B1189" s="6" t="s">
        <v>432</v>
      </c>
      <c r="C1189" s="6" t="n">
        <v>44</v>
      </c>
      <c r="D1189" s="25" t="n">
        <f aca="false">EDATE('Start Here'!$B$6,C1189-1)</f>
        <v>47635</v>
      </c>
      <c r="E1189" s="23" t="n">
        <f aca="false">IF(AND(OR(Nonlabor!$D$25="Both",Nonlabor!$D$25='Start Here'!$B$9),IF(Nonlabor!$E$25="Core",1,IF(Nonlabor!$E$25="AI",'Start Here'!$B$7,'Start Here'!$B$8))=1,C1189&gt;=IF(Nonlabor!$E$25="Core",Nonlabor!$F$25,MAX(Nonlabor!$F$25,IF(Nonlabor!$E$25="AI",Assumptions!$C$24,Assumptions!$C$25))),C1189&lt;=Nonlabor!$G$25,OR(Nonlabor!$H$25="Monthly",AND(Nonlabor!$H$25="Once",C1189=IF(Nonlabor!$E$25="Core",Nonlabor!$F$25,MAX(Nonlabor!$F$25,IF(Nonlabor!$E$25="AI",Assumptions!$C$24,Assumptions!$C$25)))),AND(Nonlabor!$H$25="Annual",MOD(C1189-IF(Nonlabor!$E$25="Core",Nonlabor!$F$25,MAX(Nonlabor!$F$25,IF(Nonlabor!$E$25="AI",Assumptions!$C$24,Assumptions!$C$25))),12)=0))),IF(Nonlabor!$I$25="Fixed",1,IF(Nonlabor!$I$25="Seats",ROUNDUP('Monthly Lean'!I49,0),IF(Nonlabor!$I$25="Customers",'Monthly Lean'!D49,IF(Nonlabor!$I$25="NewCustomers",'Monthly Lean'!C49,IF(Nonlabor!$I$25="StorageGB",'Monthly Lean'!G49,IF(Nonlabor!$I$25="LogGB",'Monthly Lean'!H49,IF(Nonlabor!$I$25="RequestsM",'Monthly Lean'!F49,IF(Nonlabor!$I$25="InputM",'Monthly Lean'!D49*Assumptions!$C$22/1000000,IF(Nonlabor!$I$25="OutputM",'Monthly Lean'!D49*Assumptions!$C$23/1000000,0))))))))),0)</f>
        <v>0</v>
      </c>
      <c r="F1189" s="10" t="n">
        <f aca="false">Nonlabor!$J$25*(1+Assumptions!$C$9)^INT((C1189-1)/12)</f>
        <v>1.7483632</v>
      </c>
      <c r="G1189" s="10" t="n">
        <f aca="false">E1189*F1189</f>
        <v>0</v>
      </c>
      <c r="H1189" s="10" t="n">
        <f aca="false">IF(OR(Nonlabor!$L$25="Quote required",Nonlabor!$L$25="Unverified"),G1189,0)</f>
        <v>0</v>
      </c>
      <c r="I1189" s="10" t="n">
        <f aca="false">IF(Nonlabor!$E$25="Core",0,G1189)</f>
        <v>0</v>
      </c>
      <c r="J1189" s="23" t="str">
        <f aca="false">Nonlabor!$B$25</f>
        <v>AI</v>
      </c>
    </row>
    <row r="1190" customFormat="false" ht="15" hidden="false" customHeight="false" outlineLevel="0" collapsed="false">
      <c r="A1190" s="6" t="s">
        <v>72</v>
      </c>
      <c r="B1190" s="6" t="s">
        <v>432</v>
      </c>
      <c r="C1190" s="6" t="n">
        <v>45</v>
      </c>
      <c r="D1190" s="25" t="n">
        <f aca="false">EDATE('Start Here'!$B$6,C1190-1)</f>
        <v>47665</v>
      </c>
      <c r="E1190" s="23" t="n">
        <f aca="false">IF(AND(OR(Nonlabor!$D$25="Both",Nonlabor!$D$25='Start Here'!$B$9),IF(Nonlabor!$E$25="Core",1,IF(Nonlabor!$E$25="AI",'Start Here'!$B$7,'Start Here'!$B$8))=1,C1190&gt;=IF(Nonlabor!$E$25="Core",Nonlabor!$F$25,MAX(Nonlabor!$F$25,IF(Nonlabor!$E$25="AI",Assumptions!$C$24,Assumptions!$C$25))),C1190&lt;=Nonlabor!$G$25,OR(Nonlabor!$H$25="Monthly",AND(Nonlabor!$H$25="Once",C1190=IF(Nonlabor!$E$25="Core",Nonlabor!$F$25,MAX(Nonlabor!$F$25,IF(Nonlabor!$E$25="AI",Assumptions!$C$24,Assumptions!$C$25)))),AND(Nonlabor!$H$25="Annual",MOD(C1190-IF(Nonlabor!$E$25="Core",Nonlabor!$F$25,MAX(Nonlabor!$F$25,IF(Nonlabor!$E$25="AI",Assumptions!$C$24,Assumptions!$C$25))),12)=0))),IF(Nonlabor!$I$25="Fixed",1,IF(Nonlabor!$I$25="Seats",ROUNDUP('Monthly Lean'!I50,0),IF(Nonlabor!$I$25="Customers",'Monthly Lean'!D50,IF(Nonlabor!$I$25="NewCustomers",'Monthly Lean'!C50,IF(Nonlabor!$I$25="StorageGB",'Monthly Lean'!G50,IF(Nonlabor!$I$25="LogGB",'Monthly Lean'!H50,IF(Nonlabor!$I$25="RequestsM",'Monthly Lean'!F50,IF(Nonlabor!$I$25="InputM",'Monthly Lean'!D50*Assumptions!$C$22/1000000,IF(Nonlabor!$I$25="OutputM",'Monthly Lean'!D50*Assumptions!$C$23/1000000,0))))))))),0)</f>
        <v>0</v>
      </c>
      <c r="F1190" s="10" t="n">
        <f aca="false">Nonlabor!$J$25*(1+Assumptions!$C$9)^INT((C1190-1)/12)</f>
        <v>1.7483632</v>
      </c>
      <c r="G1190" s="10" t="n">
        <f aca="false">E1190*F1190</f>
        <v>0</v>
      </c>
      <c r="H1190" s="10" t="n">
        <f aca="false">IF(OR(Nonlabor!$L$25="Quote required",Nonlabor!$L$25="Unverified"),G1190,0)</f>
        <v>0</v>
      </c>
      <c r="I1190" s="10" t="n">
        <f aca="false">IF(Nonlabor!$E$25="Core",0,G1190)</f>
        <v>0</v>
      </c>
      <c r="J1190" s="23" t="str">
        <f aca="false">Nonlabor!$B$25</f>
        <v>AI</v>
      </c>
    </row>
    <row r="1191" customFormat="false" ht="15" hidden="false" customHeight="false" outlineLevel="0" collapsed="false">
      <c r="A1191" s="6" t="s">
        <v>72</v>
      </c>
      <c r="B1191" s="6" t="s">
        <v>432</v>
      </c>
      <c r="C1191" s="6" t="n">
        <v>46</v>
      </c>
      <c r="D1191" s="25" t="n">
        <f aca="false">EDATE('Start Here'!$B$6,C1191-1)</f>
        <v>47696</v>
      </c>
      <c r="E1191" s="23" t="n">
        <f aca="false">IF(AND(OR(Nonlabor!$D$25="Both",Nonlabor!$D$25='Start Here'!$B$9),IF(Nonlabor!$E$25="Core",1,IF(Nonlabor!$E$25="AI",'Start Here'!$B$7,'Start Here'!$B$8))=1,C1191&gt;=IF(Nonlabor!$E$25="Core",Nonlabor!$F$25,MAX(Nonlabor!$F$25,IF(Nonlabor!$E$25="AI",Assumptions!$C$24,Assumptions!$C$25))),C1191&lt;=Nonlabor!$G$25,OR(Nonlabor!$H$25="Monthly",AND(Nonlabor!$H$25="Once",C1191=IF(Nonlabor!$E$25="Core",Nonlabor!$F$25,MAX(Nonlabor!$F$25,IF(Nonlabor!$E$25="AI",Assumptions!$C$24,Assumptions!$C$25)))),AND(Nonlabor!$H$25="Annual",MOD(C1191-IF(Nonlabor!$E$25="Core",Nonlabor!$F$25,MAX(Nonlabor!$F$25,IF(Nonlabor!$E$25="AI",Assumptions!$C$24,Assumptions!$C$25))),12)=0))),IF(Nonlabor!$I$25="Fixed",1,IF(Nonlabor!$I$25="Seats",ROUNDUP('Monthly Lean'!I51,0),IF(Nonlabor!$I$25="Customers",'Monthly Lean'!D51,IF(Nonlabor!$I$25="NewCustomers",'Monthly Lean'!C51,IF(Nonlabor!$I$25="StorageGB",'Monthly Lean'!G51,IF(Nonlabor!$I$25="LogGB",'Monthly Lean'!H51,IF(Nonlabor!$I$25="RequestsM",'Monthly Lean'!F51,IF(Nonlabor!$I$25="InputM",'Monthly Lean'!D51*Assumptions!$C$22/1000000,IF(Nonlabor!$I$25="OutputM",'Monthly Lean'!D51*Assumptions!$C$23/1000000,0))))))))),0)</f>
        <v>0</v>
      </c>
      <c r="F1191" s="10" t="n">
        <f aca="false">Nonlabor!$J$25*(1+Assumptions!$C$9)^INT((C1191-1)/12)</f>
        <v>1.7483632</v>
      </c>
      <c r="G1191" s="10" t="n">
        <f aca="false">E1191*F1191</f>
        <v>0</v>
      </c>
      <c r="H1191" s="10" t="n">
        <f aca="false">IF(OR(Nonlabor!$L$25="Quote required",Nonlabor!$L$25="Unverified"),G1191,0)</f>
        <v>0</v>
      </c>
      <c r="I1191" s="10" t="n">
        <f aca="false">IF(Nonlabor!$E$25="Core",0,G1191)</f>
        <v>0</v>
      </c>
      <c r="J1191" s="23" t="str">
        <f aca="false">Nonlabor!$B$25</f>
        <v>AI</v>
      </c>
    </row>
    <row r="1192" customFormat="false" ht="15" hidden="false" customHeight="false" outlineLevel="0" collapsed="false">
      <c r="A1192" s="6" t="s">
        <v>72</v>
      </c>
      <c r="B1192" s="6" t="s">
        <v>432</v>
      </c>
      <c r="C1192" s="6" t="n">
        <v>47</v>
      </c>
      <c r="D1192" s="25" t="n">
        <f aca="false">EDATE('Start Here'!$B$6,C1192-1)</f>
        <v>47727</v>
      </c>
      <c r="E1192" s="23" t="n">
        <f aca="false">IF(AND(OR(Nonlabor!$D$25="Both",Nonlabor!$D$25='Start Here'!$B$9),IF(Nonlabor!$E$25="Core",1,IF(Nonlabor!$E$25="AI",'Start Here'!$B$7,'Start Here'!$B$8))=1,C1192&gt;=IF(Nonlabor!$E$25="Core",Nonlabor!$F$25,MAX(Nonlabor!$F$25,IF(Nonlabor!$E$25="AI",Assumptions!$C$24,Assumptions!$C$25))),C1192&lt;=Nonlabor!$G$25,OR(Nonlabor!$H$25="Monthly",AND(Nonlabor!$H$25="Once",C1192=IF(Nonlabor!$E$25="Core",Nonlabor!$F$25,MAX(Nonlabor!$F$25,IF(Nonlabor!$E$25="AI",Assumptions!$C$24,Assumptions!$C$25)))),AND(Nonlabor!$H$25="Annual",MOD(C1192-IF(Nonlabor!$E$25="Core",Nonlabor!$F$25,MAX(Nonlabor!$F$25,IF(Nonlabor!$E$25="AI",Assumptions!$C$24,Assumptions!$C$25))),12)=0))),IF(Nonlabor!$I$25="Fixed",1,IF(Nonlabor!$I$25="Seats",ROUNDUP('Monthly Lean'!I52,0),IF(Nonlabor!$I$25="Customers",'Monthly Lean'!D52,IF(Nonlabor!$I$25="NewCustomers",'Monthly Lean'!C52,IF(Nonlabor!$I$25="StorageGB",'Monthly Lean'!G52,IF(Nonlabor!$I$25="LogGB",'Monthly Lean'!H52,IF(Nonlabor!$I$25="RequestsM",'Monthly Lean'!F52,IF(Nonlabor!$I$25="InputM",'Monthly Lean'!D52*Assumptions!$C$22/1000000,IF(Nonlabor!$I$25="OutputM",'Monthly Lean'!D52*Assumptions!$C$23/1000000,0))))))))),0)</f>
        <v>0</v>
      </c>
      <c r="F1192" s="10" t="n">
        <f aca="false">Nonlabor!$J$25*(1+Assumptions!$C$9)^INT((C1192-1)/12)</f>
        <v>1.7483632</v>
      </c>
      <c r="G1192" s="10" t="n">
        <f aca="false">E1192*F1192</f>
        <v>0</v>
      </c>
      <c r="H1192" s="10" t="n">
        <f aca="false">IF(OR(Nonlabor!$L$25="Quote required",Nonlabor!$L$25="Unverified"),G1192,0)</f>
        <v>0</v>
      </c>
      <c r="I1192" s="10" t="n">
        <f aca="false">IF(Nonlabor!$E$25="Core",0,G1192)</f>
        <v>0</v>
      </c>
      <c r="J1192" s="23" t="str">
        <f aca="false">Nonlabor!$B$25</f>
        <v>AI</v>
      </c>
    </row>
    <row r="1193" customFormat="false" ht="15" hidden="false" customHeight="false" outlineLevel="0" collapsed="false">
      <c r="A1193" s="6" t="s">
        <v>72</v>
      </c>
      <c r="B1193" s="6" t="s">
        <v>432</v>
      </c>
      <c r="C1193" s="6" t="n">
        <v>48</v>
      </c>
      <c r="D1193" s="25" t="n">
        <f aca="false">EDATE('Start Here'!$B$6,C1193-1)</f>
        <v>47757</v>
      </c>
      <c r="E1193" s="23" t="n">
        <f aca="false">IF(AND(OR(Nonlabor!$D$25="Both",Nonlabor!$D$25='Start Here'!$B$9),IF(Nonlabor!$E$25="Core",1,IF(Nonlabor!$E$25="AI",'Start Here'!$B$7,'Start Here'!$B$8))=1,C1193&gt;=IF(Nonlabor!$E$25="Core",Nonlabor!$F$25,MAX(Nonlabor!$F$25,IF(Nonlabor!$E$25="AI",Assumptions!$C$24,Assumptions!$C$25))),C1193&lt;=Nonlabor!$G$25,OR(Nonlabor!$H$25="Monthly",AND(Nonlabor!$H$25="Once",C1193=IF(Nonlabor!$E$25="Core",Nonlabor!$F$25,MAX(Nonlabor!$F$25,IF(Nonlabor!$E$25="AI",Assumptions!$C$24,Assumptions!$C$25)))),AND(Nonlabor!$H$25="Annual",MOD(C1193-IF(Nonlabor!$E$25="Core",Nonlabor!$F$25,MAX(Nonlabor!$F$25,IF(Nonlabor!$E$25="AI",Assumptions!$C$24,Assumptions!$C$25))),12)=0))),IF(Nonlabor!$I$25="Fixed",1,IF(Nonlabor!$I$25="Seats",ROUNDUP('Monthly Lean'!I53,0),IF(Nonlabor!$I$25="Customers",'Monthly Lean'!D53,IF(Nonlabor!$I$25="NewCustomers",'Monthly Lean'!C53,IF(Nonlabor!$I$25="StorageGB",'Monthly Lean'!G53,IF(Nonlabor!$I$25="LogGB",'Monthly Lean'!H53,IF(Nonlabor!$I$25="RequestsM",'Monthly Lean'!F53,IF(Nonlabor!$I$25="InputM",'Monthly Lean'!D53*Assumptions!$C$22/1000000,IF(Nonlabor!$I$25="OutputM",'Monthly Lean'!D53*Assumptions!$C$23/1000000,0))))))))),0)</f>
        <v>0</v>
      </c>
      <c r="F1193" s="10" t="n">
        <f aca="false">Nonlabor!$J$25*(1+Assumptions!$C$9)^INT((C1193-1)/12)</f>
        <v>1.7483632</v>
      </c>
      <c r="G1193" s="10" t="n">
        <f aca="false">E1193*F1193</f>
        <v>0</v>
      </c>
      <c r="H1193" s="10" t="n">
        <f aca="false">IF(OR(Nonlabor!$L$25="Quote required",Nonlabor!$L$25="Unverified"),G1193,0)</f>
        <v>0</v>
      </c>
      <c r="I1193" s="10" t="n">
        <f aca="false">IF(Nonlabor!$E$25="Core",0,G1193)</f>
        <v>0</v>
      </c>
      <c r="J1193" s="23" t="str">
        <f aca="false">Nonlabor!$B$25</f>
        <v>AI</v>
      </c>
    </row>
    <row r="1194" customFormat="false" ht="15" hidden="false" customHeight="false" outlineLevel="0" collapsed="false">
      <c r="A1194" s="6" t="s">
        <v>72</v>
      </c>
      <c r="B1194" s="6" t="s">
        <v>432</v>
      </c>
      <c r="C1194" s="6" t="n">
        <v>49</v>
      </c>
      <c r="D1194" s="25" t="n">
        <f aca="false">EDATE('Start Here'!$B$6,C1194-1)</f>
        <v>47788</v>
      </c>
      <c r="E1194" s="23" t="n">
        <f aca="false">IF(AND(OR(Nonlabor!$D$25="Both",Nonlabor!$D$25='Start Here'!$B$9),IF(Nonlabor!$E$25="Core",1,IF(Nonlabor!$E$25="AI",'Start Here'!$B$7,'Start Here'!$B$8))=1,C1194&gt;=IF(Nonlabor!$E$25="Core",Nonlabor!$F$25,MAX(Nonlabor!$F$25,IF(Nonlabor!$E$25="AI",Assumptions!$C$24,Assumptions!$C$25))),C1194&lt;=Nonlabor!$G$25,OR(Nonlabor!$H$25="Monthly",AND(Nonlabor!$H$25="Once",C1194=IF(Nonlabor!$E$25="Core",Nonlabor!$F$25,MAX(Nonlabor!$F$25,IF(Nonlabor!$E$25="AI",Assumptions!$C$24,Assumptions!$C$25)))),AND(Nonlabor!$H$25="Annual",MOD(C1194-IF(Nonlabor!$E$25="Core",Nonlabor!$F$25,MAX(Nonlabor!$F$25,IF(Nonlabor!$E$25="AI",Assumptions!$C$24,Assumptions!$C$25))),12)=0))),IF(Nonlabor!$I$25="Fixed",1,IF(Nonlabor!$I$25="Seats",ROUNDUP('Monthly Lean'!I54,0),IF(Nonlabor!$I$25="Customers",'Monthly Lean'!D54,IF(Nonlabor!$I$25="NewCustomers",'Monthly Lean'!C54,IF(Nonlabor!$I$25="StorageGB",'Monthly Lean'!G54,IF(Nonlabor!$I$25="LogGB",'Monthly Lean'!H54,IF(Nonlabor!$I$25="RequestsM",'Monthly Lean'!F54,IF(Nonlabor!$I$25="InputM",'Monthly Lean'!D54*Assumptions!$C$22/1000000,IF(Nonlabor!$I$25="OutputM",'Monthly Lean'!D54*Assumptions!$C$23/1000000,0))))))))),0)</f>
        <v>0</v>
      </c>
      <c r="F1194" s="10" t="n">
        <f aca="false">Nonlabor!$J$25*(1+Assumptions!$C$9)^INT((C1194-1)/12)</f>
        <v>1.800814096</v>
      </c>
      <c r="G1194" s="10" t="n">
        <f aca="false">E1194*F1194</f>
        <v>0</v>
      </c>
      <c r="H1194" s="10" t="n">
        <f aca="false">IF(OR(Nonlabor!$L$25="Quote required",Nonlabor!$L$25="Unverified"),G1194,0)</f>
        <v>0</v>
      </c>
      <c r="I1194" s="10" t="n">
        <f aca="false">IF(Nonlabor!$E$25="Core",0,G1194)</f>
        <v>0</v>
      </c>
      <c r="J1194" s="23" t="str">
        <f aca="false">Nonlabor!$B$25</f>
        <v>AI</v>
      </c>
    </row>
    <row r="1195" customFormat="false" ht="15" hidden="false" customHeight="false" outlineLevel="0" collapsed="false">
      <c r="A1195" s="6" t="s">
        <v>72</v>
      </c>
      <c r="B1195" s="6" t="s">
        <v>432</v>
      </c>
      <c r="C1195" s="6" t="n">
        <v>50</v>
      </c>
      <c r="D1195" s="25" t="n">
        <f aca="false">EDATE('Start Here'!$B$6,C1195-1)</f>
        <v>47818</v>
      </c>
      <c r="E1195" s="23" t="n">
        <f aca="false">IF(AND(OR(Nonlabor!$D$25="Both",Nonlabor!$D$25='Start Here'!$B$9),IF(Nonlabor!$E$25="Core",1,IF(Nonlabor!$E$25="AI",'Start Here'!$B$7,'Start Here'!$B$8))=1,C1195&gt;=IF(Nonlabor!$E$25="Core",Nonlabor!$F$25,MAX(Nonlabor!$F$25,IF(Nonlabor!$E$25="AI",Assumptions!$C$24,Assumptions!$C$25))),C1195&lt;=Nonlabor!$G$25,OR(Nonlabor!$H$25="Monthly",AND(Nonlabor!$H$25="Once",C1195=IF(Nonlabor!$E$25="Core",Nonlabor!$F$25,MAX(Nonlabor!$F$25,IF(Nonlabor!$E$25="AI",Assumptions!$C$24,Assumptions!$C$25)))),AND(Nonlabor!$H$25="Annual",MOD(C1195-IF(Nonlabor!$E$25="Core",Nonlabor!$F$25,MAX(Nonlabor!$F$25,IF(Nonlabor!$E$25="AI",Assumptions!$C$24,Assumptions!$C$25))),12)=0))),IF(Nonlabor!$I$25="Fixed",1,IF(Nonlabor!$I$25="Seats",ROUNDUP('Monthly Lean'!I55,0),IF(Nonlabor!$I$25="Customers",'Monthly Lean'!D55,IF(Nonlabor!$I$25="NewCustomers",'Monthly Lean'!C55,IF(Nonlabor!$I$25="StorageGB",'Monthly Lean'!G55,IF(Nonlabor!$I$25="LogGB",'Monthly Lean'!H55,IF(Nonlabor!$I$25="RequestsM",'Monthly Lean'!F55,IF(Nonlabor!$I$25="InputM",'Monthly Lean'!D55*Assumptions!$C$22/1000000,IF(Nonlabor!$I$25="OutputM",'Monthly Lean'!D55*Assumptions!$C$23/1000000,0))))))))),0)</f>
        <v>0</v>
      </c>
      <c r="F1195" s="10" t="n">
        <f aca="false">Nonlabor!$J$25*(1+Assumptions!$C$9)^INT((C1195-1)/12)</f>
        <v>1.800814096</v>
      </c>
      <c r="G1195" s="10" t="n">
        <f aca="false">E1195*F1195</f>
        <v>0</v>
      </c>
      <c r="H1195" s="10" t="n">
        <f aca="false">IF(OR(Nonlabor!$L$25="Quote required",Nonlabor!$L$25="Unverified"),G1195,0)</f>
        <v>0</v>
      </c>
      <c r="I1195" s="10" t="n">
        <f aca="false">IF(Nonlabor!$E$25="Core",0,G1195)</f>
        <v>0</v>
      </c>
      <c r="J1195" s="23" t="str">
        <f aca="false">Nonlabor!$B$25</f>
        <v>AI</v>
      </c>
    </row>
    <row r="1196" customFormat="false" ht="15" hidden="false" customHeight="false" outlineLevel="0" collapsed="false">
      <c r="A1196" s="6" t="s">
        <v>72</v>
      </c>
      <c r="B1196" s="6" t="s">
        <v>432</v>
      </c>
      <c r="C1196" s="6" t="n">
        <v>51</v>
      </c>
      <c r="D1196" s="25" t="n">
        <f aca="false">EDATE('Start Here'!$B$6,C1196-1)</f>
        <v>47849</v>
      </c>
      <c r="E1196" s="23" t="n">
        <f aca="false">IF(AND(OR(Nonlabor!$D$25="Both",Nonlabor!$D$25='Start Here'!$B$9),IF(Nonlabor!$E$25="Core",1,IF(Nonlabor!$E$25="AI",'Start Here'!$B$7,'Start Here'!$B$8))=1,C1196&gt;=IF(Nonlabor!$E$25="Core",Nonlabor!$F$25,MAX(Nonlabor!$F$25,IF(Nonlabor!$E$25="AI",Assumptions!$C$24,Assumptions!$C$25))),C1196&lt;=Nonlabor!$G$25,OR(Nonlabor!$H$25="Monthly",AND(Nonlabor!$H$25="Once",C1196=IF(Nonlabor!$E$25="Core",Nonlabor!$F$25,MAX(Nonlabor!$F$25,IF(Nonlabor!$E$25="AI",Assumptions!$C$24,Assumptions!$C$25)))),AND(Nonlabor!$H$25="Annual",MOD(C1196-IF(Nonlabor!$E$25="Core",Nonlabor!$F$25,MAX(Nonlabor!$F$25,IF(Nonlabor!$E$25="AI",Assumptions!$C$24,Assumptions!$C$25))),12)=0))),IF(Nonlabor!$I$25="Fixed",1,IF(Nonlabor!$I$25="Seats",ROUNDUP('Monthly Lean'!I56,0),IF(Nonlabor!$I$25="Customers",'Monthly Lean'!D56,IF(Nonlabor!$I$25="NewCustomers",'Monthly Lean'!C56,IF(Nonlabor!$I$25="StorageGB",'Monthly Lean'!G56,IF(Nonlabor!$I$25="LogGB",'Monthly Lean'!H56,IF(Nonlabor!$I$25="RequestsM",'Monthly Lean'!F56,IF(Nonlabor!$I$25="InputM",'Monthly Lean'!D56*Assumptions!$C$22/1000000,IF(Nonlabor!$I$25="OutputM",'Monthly Lean'!D56*Assumptions!$C$23/1000000,0))))))))),0)</f>
        <v>0</v>
      </c>
      <c r="F1196" s="10" t="n">
        <f aca="false">Nonlabor!$J$25*(1+Assumptions!$C$9)^INT((C1196-1)/12)</f>
        <v>1.800814096</v>
      </c>
      <c r="G1196" s="10" t="n">
        <f aca="false">E1196*F1196</f>
        <v>0</v>
      </c>
      <c r="H1196" s="10" t="n">
        <f aca="false">IF(OR(Nonlabor!$L$25="Quote required",Nonlabor!$L$25="Unverified"),G1196,0)</f>
        <v>0</v>
      </c>
      <c r="I1196" s="10" t="n">
        <f aca="false">IF(Nonlabor!$E$25="Core",0,G1196)</f>
        <v>0</v>
      </c>
      <c r="J1196" s="23" t="str">
        <f aca="false">Nonlabor!$B$25</f>
        <v>AI</v>
      </c>
    </row>
    <row r="1197" customFormat="false" ht="15" hidden="false" customHeight="false" outlineLevel="0" collapsed="false">
      <c r="A1197" s="6" t="s">
        <v>72</v>
      </c>
      <c r="B1197" s="6" t="s">
        <v>432</v>
      </c>
      <c r="C1197" s="6" t="n">
        <v>52</v>
      </c>
      <c r="D1197" s="25" t="n">
        <f aca="false">EDATE('Start Here'!$B$6,C1197-1)</f>
        <v>47880</v>
      </c>
      <c r="E1197" s="23" t="n">
        <f aca="false">IF(AND(OR(Nonlabor!$D$25="Both",Nonlabor!$D$25='Start Here'!$B$9),IF(Nonlabor!$E$25="Core",1,IF(Nonlabor!$E$25="AI",'Start Here'!$B$7,'Start Here'!$B$8))=1,C1197&gt;=IF(Nonlabor!$E$25="Core",Nonlabor!$F$25,MAX(Nonlabor!$F$25,IF(Nonlabor!$E$25="AI",Assumptions!$C$24,Assumptions!$C$25))),C1197&lt;=Nonlabor!$G$25,OR(Nonlabor!$H$25="Monthly",AND(Nonlabor!$H$25="Once",C1197=IF(Nonlabor!$E$25="Core",Nonlabor!$F$25,MAX(Nonlabor!$F$25,IF(Nonlabor!$E$25="AI",Assumptions!$C$24,Assumptions!$C$25)))),AND(Nonlabor!$H$25="Annual",MOD(C1197-IF(Nonlabor!$E$25="Core",Nonlabor!$F$25,MAX(Nonlabor!$F$25,IF(Nonlabor!$E$25="AI",Assumptions!$C$24,Assumptions!$C$25))),12)=0))),IF(Nonlabor!$I$25="Fixed",1,IF(Nonlabor!$I$25="Seats",ROUNDUP('Monthly Lean'!I57,0),IF(Nonlabor!$I$25="Customers",'Monthly Lean'!D57,IF(Nonlabor!$I$25="NewCustomers",'Monthly Lean'!C57,IF(Nonlabor!$I$25="StorageGB",'Monthly Lean'!G57,IF(Nonlabor!$I$25="LogGB",'Monthly Lean'!H57,IF(Nonlabor!$I$25="RequestsM",'Monthly Lean'!F57,IF(Nonlabor!$I$25="InputM",'Monthly Lean'!D57*Assumptions!$C$22/1000000,IF(Nonlabor!$I$25="OutputM",'Monthly Lean'!D57*Assumptions!$C$23/1000000,0))))))))),0)</f>
        <v>0</v>
      </c>
      <c r="F1197" s="10" t="n">
        <f aca="false">Nonlabor!$J$25*(1+Assumptions!$C$9)^INT((C1197-1)/12)</f>
        <v>1.800814096</v>
      </c>
      <c r="G1197" s="10" t="n">
        <f aca="false">E1197*F1197</f>
        <v>0</v>
      </c>
      <c r="H1197" s="10" t="n">
        <f aca="false">IF(OR(Nonlabor!$L$25="Quote required",Nonlabor!$L$25="Unverified"),G1197,0)</f>
        <v>0</v>
      </c>
      <c r="I1197" s="10" t="n">
        <f aca="false">IF(Nonlabor!$E$25="Core",0,G1197)</f>
        <v>0</v>
      </c>
      <c r="J1197" s="23" t="str">
        <f aca="false">Nonlabor!$B$25</f>
        <v>AI</v>
      </c>
    </row>
    <row r="1198" customFormat="false" ht="15" hidden="false" customHeight="false" outlineLevel="0" collapsed="false">
      <c r="A1198" s="6" t="s">
        <v>72</v>
      </c>
      <c r="B1198" s="6" t="s">
        <v>432</v>
      </c>
      <c r="C1198" s="6" t="n">
        <v>53</v>
      </c>
      <c r="D1198" s="25" t="n">
        <f aca="false">EDATE('Start Here'!$B$6,C1198-1)</f>
        <v>47908</v>
      </c>
      <c r="E1198" s="23" t="n">
        <f aca="false">IF(AND(OR(Nonlabor!$D$25="Both",Nonlabor!$D$25='Start Here'!$B$9),IF(Nonlabor!$E$25="Core",1,IF(Nonlabor!$E$25="AI",'Start Here'!$B$7,'Start Here'!$B$8))=1,C1198&gt;=IF(Nonlabor!$E$25="Core",Nonlabor!$F$25,MAX(Nonlabor!$F$25,IF(Nonlabor!$E$25="AI",Assumptions!$C$24,Assumptions!$C$25))),C1198&lt;=Nonlabor!$G$25,OR(Nonlabor!$H$25="Monthly",AND(Nonlabor!$H$25="Once",C1198=IF(Nonlabor!$E$25="Core",Nonlabor!$F$25,MAX(Nonlabor!$F$25,IF(Nonlabor!$E$25="AI",Assumptions!$C$24,Assumptions!$C$25)))),AND(Nonlabor!$H$25="Annual",MOD(C1198-IF(Nonlabor!$E$25="Core",Nonlabor!$F$25,MAX(Nonlabor!$F$25,IF(Nonlabor!$E$25="AI",Assumptions!$C$24,Assumptions!$C$25))),12)=0))),IF(Nonlabor!$I$25="Fixed",1,IF(Nonlabor!$I$25="Seats",ROUNDUP('Monthly Lean'!I58,0),IF(Nonlabor!$I$25="Customers",'Monthly Lean'!D58,IF(Nonlabor!$I$25="NewCustomers",'Monthly Lean'!C58,IF(Nonlabor!$I$25="StorageGB",'Monthly Lean'!G58,IF(Nonlabor!$I$25="LogGB",'Monthly Lean'!H58,IF(Nonlabor!$I$25="RequestsM",'Monthly Lean'!F58,IF(Nonlabor!$I$25="InputM",'Monthly Lean'!D58*Assumptions!$C$22/1000000,IF(Nonlabor!$I$25="OutputM",'Monthly Lean'!D58*Assumptions!$C$23/1000000,0))))))))),0)</f>
        <v>0</v>
      </c>
      <c r="F1198" s="10" t="n">
        <f aca="false">Nonlabor!$J$25*(1+Assumptions!$C$9)^INT((C1198-1)/12)</f>
        <v>1.800814096</v>
      </c>
      <c r="G1198" s="10" t="n">
        <f aca="false">E1198*F1198</f>
        <v>0</v>
      </c>
      <c r="H1198" s="10" t="n">
        <f aca="false">IF(OR(Nonlabor!$L$25="Quote required",Nonlabor!$L$25="Unverified"),G1198,0)</f>
        <v>0</v>
      </c>
      <c r="I1198" s="10" t="n">
        <f aca="false">IF(Nonlabor!$E$25="Core",0,G1198)</f>
        <v>0</v>
      </c>
      <c r="J1198" s="23" t="str">
        <f aca="false">Nonlabor!$B$25</f>
        <v>AI</v>
      </c>
    </row>
    <row r="1199" customFormat="false" ht="15" hidden="false" customHeight="false" outlineLevel="0" collapsed="false">
      <c r="A1199" s="6" t="s">
        <v>72</v>
      </c>
      <c r="B1199" s="6" t="s">
        <v>432</v>
      </c>
      <c r="C1199" s="6" t="n">
        <v>54</v>
      </c>
      <c r="D1199" s="25" t="n">
        <f aca="false">EDATE('Start Here'!$B$6,C1199-1)</f>
        <v>47939</v>
      </c>
      <c r="E1199" s="23" t="n">
        <f aca="false">IF(AND(OR(Nonlabor!$D$25="Both",Nonlabor!$D$25='Start Here'!$B$9),IF(Nonlabor!$E$25="Core",1,IF(Nonlabor!$E$25="AI",'Start Here'!$B$7,'Start Here'!$B$8))=1,C1199&gt;=IF(Nonlabor!$E$25="Core",Nonlabor!$F$25,MAX(Nonlabor!$F$25,IF(Nonlabor!$E$25="AI",Assumptions!$C$24,Assumptions!$C$25))),C1199&lt;=Nonlabor!$G$25,OR(Nonlabor!$H$25="Monthly",AND(Nonlabor!$H$25="Once",C1199=IF(Nonlabor!$E$25="Core",Nonlabor!$F$25,MAX(Nonlabor!$F$25,IF(Nonlabor!$E$25="AI",Assumptions!$C$24,Assumptions!$C$25)))),AND(Nonlabor!$H$25="Annual",MOD(C1199-IF(Nonlabor!$E$25="Core",Nonlabor!$F$25,MAX(Nonlabor!$F$25,IF(Nonlabor!$E$25="AI",Assumptions!$C$24,Assumptions!$C$25))),12)=0))),IF(Nonlabor!$I$25="Fixed",1,IF(Nonlabor!$I$25="Seats",ROUNDUP('Monthly Lean'!I59,0),IF(Nonlabor!$I$25="Customers",'Monthly Lean'!D59,IF(Nonlabor!$I$25="NewCustomers",'Monthly Lean'!C59,IF(Nonlabor!$I$25="StorageGB",'Monthly Lean'!G59,IF(Nonlabor!$I$25="LogGB",'Monthly Lean'!H59,IF(Nonlabor!$I$25="RequestsM",'Monthly Lean'!F59,IF(Nonlabor!$I$25="InputM",'Monthly Lean'!D59*Assumptions!$C$22/1000000,IF(Nonlabor!$I$25="OutputM",'Monthly Lean'!D59*Assumptions!$C$23/1000000,0))))))))),0)</f>
        <v>0</v>
      </c>
      <c r="F1199" s="10" t="n">
        <f aca="false">Nonlabor!$J$25*(1+Assumptions!$C$9)^INT((C1199-1)/12)</f>
        <v>1.800814096</v>
      </c>
      <c r="G1199" s="10" t="n">
        <f aca="false">E1199*F1199</f>
        <v>0</v>
      </c>
      <c r="H1199" s="10" t="n">
        <f aca="false">IF(OR(Nonlabor!$L$25="Quote required",Nonlabor!$L$25="Unverified"),G1199,0)</f>
        <v>0</v>
      </c>
      <c r="I1199" s="10" t="n">
        <f aca="false">IF(Nonlabor!$E$25="Core",0,G1199)</f>
        <v>0</v>
      </c>
      <c r="J1199" s="23" t="str">
        <f aca="false">Nonlabor!$B$25</f>
        <v>AI</v>
      </c>
    </row>
    <row r="1200" customFormat="false" ht="15" hidden="false" customHeight="false" outlineLevel="0" collapsed="false">
      <c r="A1200" s="6" t="s">
        <v>72</v>
      </c>
      <c r="B1200" s="6" t="s">
        <v>432</v>
      </c>
      <c r="C1200" s="6" t="n">
        <v>55</v>
      </c>
      <c r="D1200" s="25" t="n">
        <f aca="false">EDATE('Start Here'!$B$6,C1200-1)</f>
        <v>47969</v>
      </c>
      <c r="E1200" s="23" t="n">
        <f aca="false">IF(AND(OR(Nonlabor!$D$25="Both",Nonlabor!$D$25='Start Here'!$B$9),IF(Nonlabor!$E$25="Core",1,IF(Nonlabor!$E$25="AI",'Start Here'!$B$7,'Start Here'!$B$8))=1,C1200&gt;=IF(Nonlabor!$E$25="Core",Nonlabor!$F$25,MAX(Nonlabor!$F$25,IF(Nonlabor!$E$25="AI",Assumptions!$C$24,Assumptions!$C$25))),C1200&lt;=Nonlabor!$G$25,OR(Nonlabor!$H$25="Monthly",AND(Nonlabor!$H$25="Once",C1200=IF(Nonlabor!$E$25="Core",Nonlabor!$F$25,MAX(Nonlabor!$F$25,IF(Nonlabor!$E$25="AI",Assumptions!$C$24,Assumptions!$C$25)))),AND(Nonlabor!$H$25="Annual",MOD(C1200-IF(Nonlabor!$E$25="Core",Nonlabor!$F$25,MAX(Nonlabor!$F$25,IF(Nonlabor!$E$25="AI",Assumptions!$C$24,Assumptions!$C$25))),12)=0))),IF(Nonlabor!$I$25="Fixed",1,IF(Nonlabor!$I$25="Seats",ROUNDUP('Monthly Lean'!I60,0),IF(Nonlabor!$I$25="Customers",'Monthly Lean'!D60,IF(Nonlabor!$I$25="NewCustomers",'Monthly Lean'!C60,IF(Nonlabor!$I$25="StorageGB",'Monthly Lean'!G60,IF(Nonlabor!$I$25="LogGB",'Monthly Lean'!H60,IF(Nonlabor!$I$25="RequestsM",'Monthly Lean'!F60,IF(Nonlabor!$I$25="InputM",'Monthly Lean'!D60*Assumptions!$C$22/1000000,IF(Nonlabor!$I$25="OutputM",'Monthly Lean'!D60*Assumptions!$C$23/1000000,0))))))))),0)</f>
        <v>0</v>
      </c>
      <c r="F1200" s="10" t="n">
        <f aca="false">Nonlabor!$J$25*(1+Assumptions!$C$9)^INT((C1200-1)/12)</f>
        <v>1.800814096</v>
      </c>
      <c r="G1200" s="10" t="n">
        <f aca="false">E1200*F1200</f>
        <v>0</v>
      </c>
      <c r="H1200" s="10" t="n">
        <f aca="false">IF(OR(Nonlabor!$L$25="Quote required",Nonlabor!$L$25="Unverified"),G1200,0)</f>
        <v>0</v>
      </c>
      <c r="I1200" s="10" t="n">
        <f aca="false">IF(Nonlabor!$E$25="Core",0,G1200)</f>
        <v>0</v>
      </c>
      <c r="J1200" s="23" t="str">
        <f aca="false">Nonlabor!$B$25</f>
        <v>AI</v>
      </c>
    </row>
    <row r="1201" customFormat="false" ht="15" hidden="false" customHeight="false" outlineLevel="0" collapsed="false">
      <c r="A1201" s="6" t="s">
        <v>72</v>
      </c>
      <c r="B1201" s="6" t="s">
        <v>432</v>
      </c>
      <c r="C1201" s="6" t="n">
        <v>56</v>
      </c>
      <c r="D1201" s="25" t="n">
        <f aca="false">EDATE('Start Here'!$B$6,C1201-1)</f>
        <v>48000</v>
      </c>
      <c r="E1201" s="23" t="n">
        <f aca="false">IF(AND(OR(Nonlabor!$D$25="Both",Nonlabor!$D$25='Start Here'!$B$9),IF(Nonlabor!$E$25="Core",1,IF(Nonlabor!$E$25="AI",'Start Here'!$B$7,'Start Here'!$B$8))=1,C1201&gt;=IF(Nonlabor!$E$25="Core",Nonlabor!$F$25,MAX(Nonlabor!$F$25,IF(Nonlabor!$E$25="AI",Assumptions!$C$24,Assumptions!$C$25))),C1201&lt;=Nonlabor!$G$25,OR(Nonlabor!$H$25="Monthly",AND(Nonlabor!$H$25="Once",C1201=IF(Nonlabor!$E$25="Core",Nonlabor!$F$25,MAX(Nonlabor!$F$25,IF(Nonlabor!$E$25="AI",Assumptions!$C$24,Assumptions!$C$25)))),AND(Nonlabor!$H$25="Annual",MOD(C1201-IF(Nonlabor!$E$25="Core",Nonlabor!$F$25,MAX(Nonlabor!$F$25,IF(Nonlabor!$E$25="AI",Assumptions!$C$24,Assumptions!$C$25))),12)=0))),IF(Nonlabor!$I$25="Fixed",1,IF(Nonlabor!$I$25="Seats",ROUNDUP('Monthly Lean'!I61,0),IF(Nonlabor!$I$25="Customers",'Monthly Lean'!D61,IF(Nonlabor!$I$25="NewCustomers",'Monthly Lean'!C61,IF(Nonlabor!$I$25="StorageGB",'Monthly Lean'!G61,IF(Nonlabor!$I$25="LogGB",'Monthly Lean'!H61,IF(Nonlabor!$I$25="RequestsM",'Monthly Lean'!F61,IF(Nonlabor!$I$25="InputM",'Monthly Lean'!D61*Assumptions!$C$22/1000000,IF(Nonlabor!$I$25="OutputM",'Monthly Lean'!D61*Assumptions!$C$23/1000000,0))))))))),0)</f>
        <v>0</v>
      </c>
      <c r="F1201" s="10" t="n">
        <f aca="false">Nonlabor!$J$25*(1+Assumptions!$C$9)^INT((C1201-1)/12)</f>
        <v>1.800814096</v>
      </c>
      <c r="G1201" s="10" t="n">
        <f aca="false">E1201*F1201</f>
        <v>0</v>
      </c>
      <c r="H1201" s="10" t="n">
        <f aca="false">IF(OR(Nonlabor!$L$25="Quote required",Nonlabor!$L$25="Unverified"),G1201,0)</f>
        <v>0</v>
      </c>
      <c r="I1201" s="10" t="n">
        <f aca="false">IF(Nonlabor!$E$25="Core",0,G1201)</f>
        <v>0</v>
      </c>
      <c r="J1201" s="23" t="str">
        <f aca="false">Nonlabor!$B$25</f>
        <v>AI</v>
      </c>
    </row>
    <row r="1202" customFormat="false" ht="15" hidden="false" customHeight="false" outlineLevel="0" collapsed="false">
      <c r="A1202" s="6" t="s">
        <v>72</v>
      </c>
      <c r="B1202" s="6" t="s">
        <v>432</v>
      </c>
      <c r="C1202" s="6" t="n">
        <v>57</v>
      </c>
      <c r="D1202" s="25" t="n">
        <f aca="false">EDATE('Start Here'!$B$6,C1202-1)</f>
        <v>48030</v>
      </c>
      <c r="E1202" s="23" t="n">
        <f aca="false">IF(AND(OR(Nonlabor!$D$25="Both",Nonlabor!$D$25='Start Here'!$B$9),IF(Nonlabor!$E$25="Core",1,IF(Nonlabor!$E$25="AI",'Start Here'!$B$7,'Start Here'!$B$8))=1,C1202&gt;=IF(Nonlabor!$E$25="Core",Nonlabor!$F$25,MAX(Nonlabor!$F$25,IF(Nonlabor!$E$25="AI",Assumptions!$C$24,Assumptions!$C$25))),C1202&lt;=Nonlabor!$G$25,OR(Nonlabor!$H$25="Monthly",AND(Nonlabor!$H$25="Once",C1202=IF(Nonlabor!$E$25="Core",Nonlabor!$F$25,MAX(Nonlabor!$F$25,IF(Nonlabor!$E$25="AI",Assumptions!$C$24,Assumptions!$C$25)))),AND(Nonlabor!$H$25="Annual",MOD(C1202-IF(Nonlabor!$E$25="Core",Nonlabor!$F$25,MAX(Nonlabor!$F$25,IF(Nonlabor!$E$25="AI",Assumptions!$C$24,Assumptions!$C$25))),12)=0))),IF(Nonlabor!$I$25="Fixed",1,IF(Nonlabor!$I$25="Seats",ROUNDUP('Monthly Lean'!I62,0),IF(Nonlabor!$I$25="Customers",'Monthly Lean'!D62,IF(Nonlabor!$I$25="NewCustomers",'Monthly Lean'!C62,IF(Nonlabor!$I$25="StorageGB",'Monthly Lean'!G62,IF(Nonlabor!$I$25="LogGB",'Monthly Lean'!H62,IF(Nonlabor!$I$25="RequestsM",'Monthly Lean'!F62,IF(Nonlabor!$I$25="InputM",'Monthly Lean'!D62*Assumptions!$C$22/1000000,IF(Nonlabor!$I$25="OutputM",'Monthly Lean'!D62*Assumptions!$C$23/1000000,0))))))))),0)</f>
        <v>0</v>
      </c>
      <c r="F1202" s="10" t="n">
        <f aca="false">Nonlabor!$J$25*(1+Assumptions!$C$9)^INT((C1202-1)/12)</f>
        <v>1.800814096</v>
      </c>
      <c r="G1202" s="10" t="n">
        <f aca="false">E1202*F1202</f>
        <v>0</v>
      </c>
      <c r="H1202" s="10" t="n">
        <f aca="false">IF(OR(Nonlabor!$L$25="Quote required",Nonlabor!$L$25="Unverified"),G1202,0)</f>
        <v>0</v>
      </c>
      <c r="I1202" s="10" t="n">
        <f aca="false">IF(Nonlabor!$E$25="Core",0,G1202)</f>
        <v>0</v>
      </c>
      <c r="J1202" s="23" t="str">
        <f aca="false">Nonlabor!$B$25</f>
        <v>AI</v>
      </c>
    </row>
    <row r="1203" customFormat="false" ht="15" hidden="false" customHeight="false" outlineLevel="0" collapsed="false">
      <c r="A1203" s="6" t="s">
        <v>72</v>
      </c>
      <c r="B1203" s="6" t="s">
        <v>432</v>
      </c>
      <c r="C1203" s="6" t="n">
        <v>58</v>
      </c>
      <c r="D1203" s="25" t="n">
        <f aca="false">EDATE('Start Here'!$B$6,C1203-1)</f>
        <v>48061</v>
      </c>
      <c r="E1203" s="23" t="n">
        <f aca="false">IF(AND(OR(Nonlabor!$D$25="Both",Nonlabor!$D$25='Start Here'!$B$9),IF(Nonlabor!$E$25="Core",1,IF(Nonlabor!$E$25="AI",'Start Here'!$B$7,'Start Here'!$B$8))=1,C1203&gt;=IF(Nonlabor!$E$25="Core",Nonlabor!$F$25,MAX(Nonlabor!$F$25,IF(Nonlabor!$E$25="AI",Assumptions!$C$24,Assumptions!$C$25))),C1203&lt;=Nonlabor!$G$25,OR(Nonlabor!$H$25="Monthly",AND(Nonlabor!$H$25="Once",C1203=IF(Nonlabor!$E$25="Core",Nonlabor!$F$25,MAX(Nonlabor!$F$25,IF(Nonlabor!$E$25="AI",Assumptions!$C$24,Assumptions!$C$25)))),AND(Nonlabor!$H$25="Annual",MOD(C1203-IF(Nonlabor!$E$25="Core",Nonlabor!$F$25,MAX(Nonlabor!$F$25,IF(Nonlabor!$E$25="AI",Assumptions!$C$24,Assumptions!$C$25))),12)=0))),IF(Nonlabor!$I$25="Fixed",1,IF(Nonlabor!$I$25="Seats",ROUNDUP('Monthly Lean'!I63,0),IF(Nonlabor!$I$25="Customers",'Monthly Lean'!D63,IF(Nonlabor!$I$25="NewCustomers",'Monthly Lean'!C63,IF(Nonlabor!$I$25="StorageGB",'Monthly Lean'!G63,IF(Nonlabor!$I$25="LogGB",'Monthly Lean'!H63,IF(Nonlabor!$I$25="RequestsM",'Monthly Lean'!F63,IF(Nonlabor!$I$25="InputM",'Monthly Lean'!D63*Assumptions!$C$22/1000000,IF(Nonlabor!$I$25="OutputM",'Monthly Lean'!D63*Assumptions!$C$23/1000000,0))))))))),0)</f>
        <v>0</v>
      </c>
      <c r="F1203" s="10" t="n">
        <f aca="false">Nonlabor!$J$25*(1+Assumptions!$C$9)^INT((C1203-1)/12)</f>
        <v>1.800814096</v>
      </c>
      <c r="G1203" s="10" t="n">
        <f aca="false">E1203*F1203</f>
        <v>0</v>
      </c>
      <c r="H1203" s="10" t="n">
        <f aca="false">IF(OR(Nonlabor!$L$25="Quote required",Nonlabor!$L$25="Unverified"),G1203,0)</f>
        <v>0</v>
      </c>
      <c r="I1203" s="10" t="n">
        <f aca="false">IF(Nonlabor!$E$25="Core",0,G1203)</f>
        <v>0</v>
      </c>
      <c r="J1203" s="23" t="str">
        <f aca="false">Nonlabor!$B$25</f>
        <v>AI</v>
      </c>
    </row>
    <row r="1204" customFormat="false" ht="15" hidden="false" customHeight="false" outlineLevel="0" collapsed="false">
      <c r="A1204" s="6" t="s">
        <v>72</v>
      </c>
      <c r="B1204" s="6" t="s">
        <v>432</v>
      </c>
      <c r="C1204" s="6" t="n">
        <v>59</v>
      </c>
      <c r="D1204" s="25" t="n">
        <f aca="false">EDATE('Start Here'!$B$6,C1204-1)</f>
        <v>48092</v>
      </c>
      <c r="E1204" s="23" t="n">
        <f aca="false">IF(AND(OR(Nonlabor!$D$25="Both",Nonlabor!$D$25='Start Here'!$B$9),IF(Nonlabor!$E$25="Core",1,IF(Nonlabor!$E$25="AI",'Start Here'!$B$7,'Start Here'!$B$8))=1,C1204&gt;=IF(Nonlabor!$E$25="Core",Nonlabor!$F$25,MAX(Nonlabor!$F$25,IF(Nonlabor!$E$25="AI",Assumptions!$C$24,Assumptions!$C$25))),C1204&lt;=Nonlabor!$G$25,OR(Nonlabor!$H$25="Monthly",AND(Nonlabor!$H$25="Once",C1204=IF(Nonlabor!$E$25="Core",Nonlabor!$F$25,MAX(Nonlabor!$F$25,IF(Nonlabor!$E$25="AI",Assumptions!$C$24,Assumptions!$C$25)))),AND(Nonlabor!$H$25="Annual",MOD(C1204-IF(Nonlabor!$E$25="Core",Nonlabor!$F$25,MAX(Nonlabor!$F$25,IF(Nonlabor!$E$25="AI",Assumptions!$C$24,Assumptions!$C$25))),12)=0))),IF(Nonlabor!$I$25="Fixed",1,IF(Nonlabor!$I$25="Seats",ROUNDUP('Monthly Lean'!I64,0),IF(Nonlabor!$I$25="Customers",'Monthly Lean'!D64,IF(Nonlabor!$I$25="NewCustomers",'Monthly Lean'!C64,IF(Nonlabor!$I$25="StorageGB",'Monthly Lean'!G64,IF(Nonlabor!$I$25="LogGB",'Monthly Lean'!H64,IF(Nonlabor!$I$25="RequestsM",'Monthly Lean'!F64,IF(Nonlabor!$I$25="InputM",'Monthly Lean'!D64*Assumptions!$C$22/1000000,IF(Nonlabor!$I$25="OutputM",'Monthly Lean'!D64*Assumptions!$C$23/1000000,0))))))))),0)</f>
        <v>0</v>
      </c>
      <c r="F1204" s="10" t="n">
        <f aca="false">Nonlabor!$J$25*(1+Assumptions!$C$9)^INT((C1204-1)/12)</f>
        <v>1.800814096</v>
      </c>
      <c r="G1204" s="10" t="n">
        <f aca="false">E1204*F1204</f>
        <v>0</v>
      </c>
      <c r="H1204" s="10" t="n">
        <f aca="false">IF(OR(Nonlabor!$L$25="Quote required",Nonlabor!$L$25="Unverified"),G1204,0)</f>
        <v>0</v>
      </c>
      <c r="I1204" s="10" t="n">
        <f aca="false">IF(Nonlabor!$E$25="Core",0,G1204)</f>
        <v>0</v>
      </c>
      <c r="J1204" s="23" t="str">
        <f aca="false">Nonlabor!$B$25</f>
        <v>AI</v>
      </c>
    </row>
    <row r="1205" customFormat="false" ht="15" hidden="false" customHeight="false" outlineLevel="0" collapsed="false">
      <c r="A1205" s="6" t="s">
        <v>72</v>
      </c>
      <c r="B1205" s="6" t="s">
        <v>432</v>
      </c>
      <c r="C1205" s="6" t="n">
        <v>60</v>
      </c>
      <c r="D1205" s="25" t="n">
        <f aca="false">EDATE('Start Here'!$B$6,C1205-1)</f>
        <v>48122</v>
      </c>
      <c r="E1205" s="23" t="n">
        <f aca="false">IF(AND(OR(Nonlabor!$D$25="Both",Nonlabor!$D$25='Start Here'!$B$9),IF(Nonlabor!$E$25="Core",1,IF(Nonlabor!$E$25="AI",'Start Here'!$B$7,'Start Here'!$B$8))=1,C1205&gt;=IF(Nonlabor!$E$25="Core",Nonlabor!$F$25,MAX(Nonlabor!$F$25,IF(Nonlabor!$E$25="AI",Assumptions!$C$24,Assumptions!$C$25))),C1205&lt;=Nonlabor!$G$25,OR(Nonlabor!$H$25="Monthly",AND(Nonlabor!$H$25="Once",C1205=IF(Nonlabor!$E$25="Core",Nonlabor!$F$25,MAX(Nonlabor!$F$25,IF(Nonlabor!$E$25="AI",Assumptions!$C$24,Assumptions!$C$25)))),AND(Nonlabor!$H$25="Annual",MOD(C1205-IF(Nonlabor!$E$25="Core",Nonlabor!$F$25,MAX(Nonlabor!$F$25,IF(Nonlabor!$E$25="AI",Assumptions!$C$24,Assumptions!$C$25))),12)=0))),IF(Nonlabor!$I$25="Fixed",1,IF(Nonlabor!$I$25="Seats",ROUNDUP('Monthly Lean'!I65,0),IF(Nonlabor!$I$25="Customers",'Monthly Lean'!D65,IF(Nonlabor!$I$25="NewCustomers",'Monthly Lean'!C65,IF(Nonlabor!$I$25="StorageGB",'Monthly Lean'!G65,IF(Nonlabor!$I$25="LogGB",'Monthly Lean'!H65,IF(Nonlabor!$I$25="RequestsM",'Monthly Lean'!F65,IF(Nonlabor!$I$25="InputM",'Monthly Lean'!D65*Assumptions!$C$22/1000000,IF(Nonlabor!$I$25="OutputM",'Monthly Lean'!D65*Assumptions!$C$23/1000000,0))))))))),0)</f>
        <v>0</v>
      </c>
      <c r="F1205" s="10" t="n">
        <f aca="false">Nonlabor!$J$25*(1+Assumptions!$C$9)^INT((C1205-1)/12)</f>
        <v>1.800814096</v>
      </c>
      <c r="G1205" s="10" t="n">
        <f aca="false">E1205*F1205</f>
        <v>0</v>
      </c>
      <c r="H1205" s="10" t="n">
        <f aca="false">IF(OR(Nonlabor!$L$25="Quote required",Nonlabor!$L$25="Unverified"),G1205,0)</f>
        <v>0</v>
      </c>
      <c r="I1205" s="10" t="n">
        <f aca="false">IF(Nonlabor!$E$25="Core",0,G1205)</f>
        <v>0</v>
      </c>
      <c r="J1205" s="23" t="str">
        <f aca="false">Nonlabor!$B$25</f>
        <v>AI</v>
      </c>
    </row>
    <row r="1206" customFormat="false" ht="15" hidden="false" customHeight="false" outlineLevel="0" collapsed="false">
      <c r="A1206" s="6" t="s">
        <v>72</v>
      </c>
      <c r="B1206" s="6" t="s">
        <v>436</v>
      </c>
      <c r="C1206" s="6" t="n">
        <v>1</v>
      </c>
      <c r="D1206" s="25" t="n">
        <f aca="false">EDATE('Start Here'!$B$6,C1206-1)</f>
        <v>46327</v>
      </c>
      <c r="E1206" s="23" t="n">
        <f aca="false">IF(AND(OR(Nonlabor!$D$26="Both",Nonlabor!$D$26='Start Here'!$B$9),IF(Nonlabor!$E$26="Core",1,IF(Nonlabor!$E$26="AI",'Start Here'!$B$7,'Start Here'!$B$8))=1,C1206&gt;=IF(Nonlabor!$E$26="Core",Nonlabor!$F$26,MAX(Nonlabor!$F$26,IF(Nonlabor!$E$26="AI",Assumptions!$C$24,Assumptions!$C$25))),C1206&lt;=Nonlabor!$G$26,OR(Nonlabor!$H$26="Monthly",AND(Nonlabor!$H$26="Once",C1206=IF(Nonlabor!$E$26="Core",Nonlabor!$F$26,MAX(Nonlabor!$F$26,IF(Nonlabor!$E$26="AI",Assumptions!$C$24,Assumptions!$C$25)))),AND(Nonlabor!$H$26="Annual",MOD(C1206-IF(Nonlabor!$E$26="Core",Nonlabor!$F$26,MAX(Nonlabor!$F$26,IF(Nonlabor!$E$26="AI",Assumptions!$C$24,Assumptions!$C$25))),12)=0))),IF(Nonlabor!$I$26="Fixed",1,IF(Nonlabor!$I$26="Seats",ROUNDUP('Monthly Lean'!I6,0),IF(Nonlabor!$I$26="Customers",'Monthly Lean'!D6,IF(Nonlabor!$I$26="NewCustomers",'Monthly Lean'!C6,IF(Nonlabor!$I$26="StorageGB",'Monthly Lean'!G6,IF(Nonlabor!$I$26="LogGB",'Monthly Lean'!H6,IF(Nonlabor!$I$26="RequestsM",'Monthly Lean'!F6,IF(Nonlabor!$I$26="InputM",'Monthly Lean'!D6*Assumptions!$C$22/1000000,IF(Nonlabor!$I$26="OutputM",'Monthly Lean'!D6*Assumptions!$C$23/1000000,0))))))))),0)</f>
        <v>0</v>
      </c>
      <c r="F1206" s="10" t="n">
        <f aca="false">Nonlabor!$J$26*(1+Assumptions!$C$9)^INT((C1206-1)/12)</f>
        <v>15000</v>
      </c>
      <c r="G1206" s="10" t="n">
        <f aca="false">E1206*F1206</f>
        <v>0</v>
      </c>
      <c r="H1206" s="10" t="n">
        <f aca="false">IF(OR(Nonlabor!$L$26="Quote required",Nonlabor!$L$26="Unverified"),G1206,0)</f>
        <v>0</v>
      </c>
      <c r="I1206" s="10" t="n">
        <f aca="false">IF(Nonlabor!$E$26="Core",0,G1206)</f>
        <v>0</v>
      </c>
      <c r="J1206" s="23" t="str">
        <f aca="false">Nonlabor!$B$26</f>
        <v>AI</v>
      </c>
    </row>
    <row r="1207" customFormat="false" ht="15" hidden="false" customHeight="false" outlineLevel="0" collapsed="false">
      <c r="A1207" s="6" t="s">
        <v>72</v>
      </c>
      <c r="B1207" s="6" t="s">
        <v>436</v>
      </c>
      <c r="C1207" s="6" t="n">
        <v>2</v>
      </c>
      <c r="D1207" s="25" t="n">
        <f aca="false">EDATE('Start Here'!$B$6,C1207-1)</f>
        <v>46357</v>
      </c>
      <c r="E1207" s="23" t="n">
        <f aca="false">IF(AND(OR(Nonlabor!$D$26="Both",Nonlabor!$D$26='Start Here'!$B$9),IF(Nonlabor!$E$26="Core",1,IF(Nonlabor!$E$26="AI",'Start Here'!$B$7,'Start Here'!$B$8))=1,C1207&gt;=IF(Nonlabor!$E$26="Core",Nonlabor!$F$26,MAX(Nonlabor!$F$26,IF(Nonlabor!$E$26="AI",Assumptions!$C$24,Assumptions!$C$25))),C1207&lt;=Nonlabor!$G$26,OR(Nonlabor!$H$26="Monthly",AND(Nonlabor!$H$26="Once",C1207=IF(Nonlabor!$E$26="Core",Nonlabor!$F$26,MAX(Nonlabor!$F$26,IF(Nonlabor!$E$26="AI",Assumptions!$C$24,Assumptions!$C$25)))),AND(Nonlabor!$H$26="Annual",MOD(C1207-IF(Nonlabor!$E$26="Core",Nonlabor!$F$26,MAX(Nonlabor!$F$26,IF(Nonlabor!$E$26="AI",Assumptions!$C$24,Assumptions!$C$25))),12)=0))),IF(Nonlabor!$I$26="Fixed",1,IF(Nonlabor!$I$26="Seats",ROUNDUP('Monthly Lean'!I7,0),IF(Nonlabor!$I$26="Customers",'Monthly Lean'!D7,IF(Nonlabor!$I$26="NewCustomers",'Monthly Lean'!C7,IF(Nonlabor!$I$26="StorageGB",'Monthly Lean'!G7,IF(Nonlabor!$I$26="LogGB",'Monthly Lean'!H7,IF(Nonlabor!$I$26="RequestsM",'Monthly Lean'!F7,IF(Nonlabor!$I$26="InputM",'Monthly Lean'!D7*Assumptions!$C$22/1000000,IF(Nonlabor!$I$26="OutputM",'Monthly Lean'!D7*Assumptions!$C$23/1000000,0))))))))),0)</f>
        <v>0</v>
      </c>
      <c r="F1207" s="10" t="n">
        <f aca="false">Nonlabor!$J$26*(1+Assumptions!$C$9)^INT((C1207-1)/12)</f>
        <v>15000</v>
      </c>
      <c r="G1207" s="10" t="n">
        <f aca="false">E1207*F1207</f>
        <v>0</v>
      </c>
      <c r="H1207" s="10" t="n">
        <f aca="false">IF(OR(Nonlabor!$L$26="Quote required",Nonlabor!$L$26="Unverified"),G1207,0)</f>
        <v>0</v>
      </c>
      <c r="I1207" s="10" t="n">
        <f aca="false">IF(Nonlabor!$E$26="Core",0,G1207)</f>
        <v>0</v>
      </c>
      <c r="J1207" s="23" t="str">
        <f aca="false">Nonlabor!$B$26</f>
        <v>AI</v>
      </c>
    </row>
    <row r="1208" customFormat="false" ht="15" hidden="false" customHeight="false" outlineLevel="0" collapsed="false">
      <c r="A1208" s="6" t="s">
        <v>72</v>
      </c>
      <c r="B1208" s="6" t="s">
        <v>436</v>
      </c>
      <c r="C1208" s="6" t="n">
        <v>3</v>
      </c>
      <c r="D1208" s="25" t="n">
        <f aca="false">EDATE('Start Here'!$B$6,C1208-1)</f>
        <v>46388</v>
      </c>
      <c r="E1208" s="23" t="n">
        <f aca="false">IF(AND(OR(Nonlabor!$D$26="Both",Nonlabor!$D$26='Start Here'!$B$9),IF(Nonlabor!$E$26="Core",1,IF(Nonlabor!$E$26="AI",'Start Here'!$B$7,'Start Here'!$B$8))=1,C1208&gt;=IF(Nonlabor!$E$26="Core",Nonlabor!$F$26,MAX(Nonlabor!$F$26,IF(Nonlabor!$E$26="AI",Assumptions!$C$24,Assumptions!$C$25))),C1208&lt;=Nonlabor!$G$26,OR(Nonlabor!$H$26="Monthly",AND(Nonlabor!$H$26="Once",C1208=IF(Nonlabor!$E$26="Core",Nonlabor!$F$26,MAX(Nonlabor!$F$26,IF(Nonlabor!$E$26="AI",Assumptions!$C$24,Assumptions!$C$25)))),AND(Nonlabor!$H$26="Annual",MOD(C1208-IF(Nonlabor!$E$26="Core",Nonlabor!$F$26,MAX(Nonlabor!$F$26,IF(Nonlabor!$E$26="AI",Assumptions!$C$24,Assumptions!$C$25))),12)=0))),IF(Nonlabor!$I$26="Fixed",1,IF(Nonlabor!$I$26="Seats",ROUNDUP('Monthly Lean'!I8,0),IF(Nonlabor!$I$26="Customers",'Monthly Lean'!D8,IF(Nonlabor!$I$26="NewCustomers",'Monthly Lean'!C8,IF(Nonlabor!$I$26="StorageGB",'Monthly Lean'!G8,IF(Nonlabor!$I$26="LogGB",'Monthly Lean'!H8,IF(Nonlabor!$I$26="RequestsM",'Monthly Lean'!F8,IF(Nonlabor!$I$26="InputM",'Monthly Lean'!D8*Assumptions!$C$22/1000000,IF(Nonlabor!$I$26="OutputM",'Monthly Lean'!D8*Assumptions!$C$23/1000000,0))))))))),0)</f>
        <v>0</v>
      </c>
      <c r="F1208" s="10" t="n">
        <f aca="false">Nonlabor!$J$26*(1+Assumptions!$C$9)^INT((C1208-1)/12)</f>
        <v>15000</v>
      </c>
      <c r="G1208" s="10" t="n">
        <f aca="false">E1208*F1208</f>
        <v>0</v>
      </c>
      <c r="H1208" s="10" t="n">
        <f aca="false">IF(OR(Nonlabor!$L$26="Quote required",Nonlabor!$L$26="Unverified"),G1208,0)</f>
        <v>0</v>
      </c>
      <c r="I1208" s="10" t="n">
        <f aca="false">IF(Nonlabor!$E$26="Core",0,G1208)</f>
        <v>0</v>
      </c>
      <c r="J1208" s="23" t="str">
        <f aca="false">Nonlabor!$B$26</f>
        <v>AI</v>
      </c>
    </row>
    <row r="1209" customFormat="false" ht="15" hidden="false" customHeight="false" outlineLevel="0" collapsed="false">
      <c r="A1209" s="6" t="s">
        <v>72</v>
      </c>
      <c r="B1209" s="6" t="s">
        <v>436</v>
      </c>
      <c r="C1209" s="6" t="n">
        <v>4</v>
      </c>
      <c r="D1209" s="25" t="n">
        <f aca="false">EDATE('Start Here'!$B$6,C1209-1)</f>
        <v>46419</v>
      </c>
      <c r="E1209" s="23" t="n">
        <f aca="false">IF(AND(OR(Nonlabor!$D$26="Both",Nonlabor!$D$26='Start Here'!$B$9),IF(Nonlabor!$E$26="Core",1,IF(Nonlabor!$E$26="AI",'Start Here'!$B$7,'Start Here'!$B$8))=1,C1209&gt;=IF(Nonlabor!$E$26="Core",Nonlabor!$F$26,MAX(Nonlabor!$F$26,IF(Nonlabor!$E$26="AI",Assumptions!$C$24,Assumptions!$C$25))),C1209&lt;=Nonlabor!$G$26,OR(Nonlabor!$H$26="Monthly",AND(Nonlabor!$H$26="Once",C1209=IF(Nonlabor!$E$26="Core",Nonlabor!$F$26,MAX(Nonlabor!$F$26,IF(Nonlabor!$E$26="AI",Assumptions!$C$24,Assumptions!$C$25)))),AND(Nonlabor!$H$26="Annual",MOD(C1209-IF(Nonlabor!$E$26="Core",Nonlabor!$F$26,MAX(Nonlabor!$F$26,IF(Nonlabor!$E$26="AI",Assumptions!$C$24,Assumptions!$C$25))),12)=0))),IF(Nonlabor!$I$26="Fixed",1,IF(Nonlabor!$I$26="Seats",ROUNDUP('Monthly Lean'!I9,0),IF(Nonlabor!$I$26="Customers",'Monthly Lean'!D9,IF(Nonlabor!$I$26="NewCustomers",'Monthly Lean'!C9,IF(Nonlabor!$I$26="StorageGB",'Monthly Lean'!G9,IF(Nonlabor!$I$26="LogGB",'Monthly Lean'!H9,IF(Nonlabor!$I$26="RequestsM",'Monthly Lean'!F9,IF(Nonlabor!$I$26="InputM",'Monthly Lean'!D9*Assumptions!$C$22/1000000,IF(Nonlabor!$I$26="OutputM",'Monthly Lean'!D9*Assumptions!$C$23/1000000,0))))))))),0)</f>
        <v>0</v>
      </c>
      <c r="F1209" s="10" t="n">
        <f aca="false">Nonlabor!$J$26*(1+Assumptions!$C$9)^INT((C1209-1)/12)</f>
        <v>15000</v>
      </c>
      <c r="G1209" s="10" t="n">
        <f aca="false">E1209*F1209</f>
        <v>0</v>
      </c>
      <c r="H1209" s="10" t="n">
        <f aca="false">IF(OR(Nonlabor!$L$26="Quote required",Nonlabor!$L$26="Unverified"),G1209,0)</f>
        <v>0</v>
      </c>
      <c r="I1209" s="10" t="n">
        <f aca="false">IF(Nonlabor!$E$26="Core",0,G1209)</f>
        <v>0</v>
      </c>
      <c r="J1209" s="23" t="str">
        <f aca="false">Nonlabor!$B$26</f>
        <v>AI</v>
      </c>
    </row>
    <row r="1210" customFormat="false" ht="15" hidden="false" customHeight="false" outlineLevel="0" collapsed="false">
      <c r="A1210" s="6" t="s">
        <v>72</v>
      </c>
      <c r="B1210" s="6" t="s">
        <v>436</v>
      </c>
      <c r="C1210" s="6" t="n">
        <v>5</v>
      </c>
      <c r="D1210" s="25" t="n">
        <f aca="false">EDATE('Start Here'!$B$6,C1210-1)</f>
        <v>46447</v>
      </c>
      <c r="E1210" s="23" t="n">
        <f aca="false">IF(AND(OR(Nonlabor!$D$26="Both",Nonlabor!$D$26='Start Here'!$B$9),IF(Nonlabor!$E$26="Core",1,IF(Nonlabor!$E$26="AI",'Start Here'!$B$7,'Start Here'!$B$8))=1,C1210&gt;=IF(Nonlabor!$E$26="Core",Nonlabor!$F$26,MAX(Nonlabor!$F$26,IF(Nonlabor!$E$26="AI",Assumptions!$C$24,Assumptions!$C$25))),C1210&lt;=Nonlabor!$G$26,OR(Nonlabor!$H$26="Monthly",AND(Nonlabor!$H$26="Once",C1210=IF(Nonlabor!$E$26="Core",Nonlabor!$F$26,MAX(Nonlabor!$F$26,IF(Nonlabor!$E$26="AI",Assumptions!$C$24,Assumptions!$C$25)))),AND(Nonlabor!$H$26="Annual",MOD(C1210-IF(Nonlabor!$E$26="Core",Nonlabor!$F$26,MAX(Nonlabor!$F$26,IF(Nonlabor!$E$26="AI",Assumptions!$C$24,Assumptions!$C$25))),12)=0))),IF(Nonlabor!$I$26="Fixed",1,IF(Nonlabor!$I$26="Seats",ROUNDUP('Monthly Lean'!I10,0),IF(Nonlabor!$I$26="Customers",'Monthly Lean'!D10,IF(Nonlabor!$I$26="NewCustomers",'Monthly Lean'!C10,IF(Nonlabor!$I$26="StorageGB",'Monthly Lean'!G10,IF(Nonlabor!$I$26="LogGB",'Monthly Lean'!H10,IF(Nonlabor!$I$26="RequestsM",'Monthly Lean'!F10,IF(Nonlabor!$I$26="InputM",'Monthly Lean'!D10*Assumptions!$C$22/1000000,IF(Nonlabor!$I$26="OutputM",'Monthly Lean'!D10*Assumptions!$C$23/1000000,0))))))))),0)</f>
        <v>0</v>
      </c>
      <c r="F1210" s="10" t="n">
        <f aca="false">Nonlabor!$J$26*(1+Assumptions!$C$9)^INT((C1210-1)/12)</f>
        <v>15000</v>
      </c>
      <c r="G1210" s="10" t="n">
        <f aca="false">E1210*F1210</f>
        <v>0</v>
      </c>
      <c r="H1210" s="10" t="n">
        <f aca="false">IF(OR(Nonlabor!$L$26="Quote required",Nonlabor!$L$26="Unverified"),G1210,0)</f>
        <v>0</v>
      </c>
      <c r="I1210" s="10" t="n">
        <f aca="false">IF(Nonlabor!$E$26="Core",0,G1210)</f>
        <v>0</v>
      </c>
      <c r="J1210" s="23" t="str">
        <f aca="false">Nonlabor!$B$26</f>
        <v>AI</v>
      </c>
    </row>
    <row r="1211" customFormat="false" ht="15" hidden="false" customHeight="false" outlineLevel="0" collapsed="false">
      <c r="A1211" s="6" t="s">
        <v>72</v>
      </c>
      <c r="B1211" s="6" t="s">
        <v>436</v>
      </c>
      <c r="C1211" s="6" t="n">
        <v>6</v>
      </c>
      <c r="D1211" s="25" t="n">
        <f aca="false">EDATE('Start Here'!$B$6,C1211-1)</f>
        <v>46478</v>
      </c>
      <c r="E1211" s="23" t="n">
        <f aca="false">IF(AND(OR(Nonlabor!$D$26="Both",Nonlabor!$D$26='Start Here'!$B$9),IF(Nonlabor!$E$26="Core",1,IF(Nonlabor!$E$26="AI",'Start Here'!$B$7,'Start Here'!$B$8))=1,C1211&gt;=IF(Nonlabor!$E$26="Core",Nonlabor!$F$26,MAX(Nonlabor!$F$26,IF(Nonlabor!$E$26="AI",Assumptions!$C$24,Assumptions!$C$25))),C1211&lt;=Nonlabor!$G$26,OR(Nonlabor!$H$26="Monthly",AND(Nonlabor!$H$26="Once",C1211=IF(Nonlabor!$E$26="Core",Nonlabor!$F$26,MAX(Nonlabor!$F$26,IF(Nonlabor!$E$26="AI",Assumptions!$C$24,Assumptions!$C$25)))),AND(Nonlabor!$H$26="Annual",MOD(C1211-IF(Nonlabor!$E$26="Core",Nonlabor!$F$26,MAX(Nonlabor!$F$26,IF(Nonlabor!$E$26="AI",Assumptions!$C$24,Assumptions!$C$25))),12)=0))),IF(Nonlabor!$I$26="Fixed",1,IF(Nonlabor!$I$26="Seats",ROUNDUP('Monthly Lean'!I11,0),IF(Nonlabor!$I$26="Customers",'Monthly Lean'!D11,IF(Nonlabor!$I$26="NewCustomers",'Monthly Lean'!C11,IF(Nonlabor!$I$26="StorageGB",'Monthly Lean'!G11,IF(Nonlabor!$I$26="LogGB",'Monthly Lean'!H11,IF(Nonlabor!$I$26="RequestsM",'Monthly Lean'!F11,IF(Nonlabor!$I$26="InputM",'Monthly Lean'!D11*Assumptions!$C$22/1000000,IF(Nonlabor!$I$26="OutputM",'Monthly Lean'!D11*Assumptions!$C$23/1000000,0))))))))),0)</f>
        <v>0</v>
      </c>
      <c r="F1211" s="10" t="n">
        <f aca="false">Nonlabor!$J$26*(1+Assumptions!$C$9)^INT((C1211-1)/12)</f>
        <v>15000</v>
      </c>
      <c r="G1211" s="10" t="n">
        <f aca="false">E1211*F1211</f>
        <v>0</v>
      </c>
      <c r="H1211" s="10" t="n">
        <f aca="false">IF(OR(Nonlabor!$L$26="Quote required",Nonlabor!$L$26="Unverified"),G1211,0)</f>
        <v>0</v>
      </c>
      <c r="I1211" s="10" t="n">
        <f aca="false">IF(Nonlabor!$E$26="Core",0,G1211)</f>
        <v>0</v>
      </c>
      <c r="J1211" s="23" t="str">
        <f aca="false">Nonlabor!$B$26</f>
        <v>AI</v>
      </c>
    </row>
    <row r="1212" customFormat="false" ht="15" hidden="false" customHeight="false" outlineLevel="0" collapsed="false">
      <c r="A1212" s="6" t="s">
        <v>72</v>
      </c>
      <c r="B1212" s="6" t="s">
        <v>436</v>
      </c>
      <c r="C1212" s="6" t="n">
        <v>7</v>
      </c>
      <c r="D1212" s="25" t="n">
        <f aca="false">EDATE('Start Here'!$B$6,C1212-1)</f>
        <v>46508</v>
      </c>
      <c r="E1212" s="23" t="n">
        <f aca="false">IF(AND(OR(Nonlabor!$D$26="Both",Nonlabor!$D$26='Start Here'!$B$9),IF(Nonlabor!$E$26="Core",1,IF(Nonlabor!$E$26="AI",'Start Here'!$B$7,'Start Here'!$B$8))=1,C1212&gt;=IF(Nonlabor!$E$26="Core",Nonlabor!$F$26,MAX(Nonlabor!$F$26,IF(Nonlabor!$E$26="AI",Assumptions!$C$24,Assumptions!$C$25))),C1212&lt;=Nonlabor!$G$26,OR(Nonlabor!$H$26="Monthly",AND(Nonlabor!$H$26="Once",C1212=IF(Nonlabor!$E$26="Core",Nonlabor!$F$26,MAX(Nonlabor!$F$26,IF(Nonlabor!$E$26="AI",Assumptions!$C$24,Assumptions!$C$25)))),AND(Nonlabor!$H$26="Annual",MOD(C1212-IF(Nonlabor!$E$26="Core",Nonlabor!$F$26,MAX(Nonlabor!$F$26,IF(Nonlabor!$E$26="AI",Assumptions!$C$24,Assumptions!$C$25))),12)=0))),IF(Nonlabor!$I$26="Fixed",1,IF(Nonlabor!$I$26="Seats",ROUNDUP('Monthly Lean'!I12,0),IF(Nonlabor!$I$26="Customers",'Monthly Lean'!D12,IF(Nonlabor!$I$26="NewCustomers",'Monthly Lean'!C12,IF(Nonlabor!$I$26="StorageGB",'Monthly Lean'!G12,IF(Nonlabor!$I$26="LogGB",'Monthly Lean'!H12,IF(Nonlabor!$I$26="RequestsM",'Monthly Lean'!F12,IF(Nonlabor!$I$26="InputM",'Monthly Lean'!D12*Assumptions!$C$22/1000000,IF(Nonlabor!$I$26="OutputM",'Monthly Lean'!D12*Assumptions!$C$23/1000000,0))))))))),0)</f>
        <v>0</v>
      </c>
      <c r="F1212" s="10" t="n">
        <f aca="false">Nonlabor!$J$26*(1+Assumptions!$C$9)^INT((C1212-1)/12)</f>
        <v>15000</v>
      </c>
      <c r="G1212" s="10" t="n">
        <f aca="false">E1212*F1212</f>
        <v>0</v>
      </c>
      <c r="H1212" s="10" t="n">
        <f aca="false">IF(OR(Nonlabor!$L$26="Quote required",Nonlabor!$L$26="Unverified"),G1212,0)</f>
        <v>0</v>
      </c>
      <c r="I1212" s="10" t="n">
        <f aca="false">IF(Nonlabor!$E$26="Core",0,G1212)</f>
        <v>0</v>
      </c>
      <c r="J1212" s="23" t="str">
        <f aca="false">Nonlabor!$B$26</f>
        <v>AI</v>
      </c>
    </row>
    <row r="1213" customFormat="false" ht="15" hidden="false" customHeight="false" outlineLevel="0" collapsed="false">
      <c r="A1213" s="6" t="s">
        <v>72</v>
      </c>
      <c r="B1213" s="6" t="s">
        <v>436</v>
      </c>
      <c r="C1213" s="6" t="n">
        <v>8</v>
      </c>
      <c r="D1213" s="25" t="n">
        <f aca="false">EDATE('Start Here'!$B$6,C1213-1)</f>
        <v>46539</v>
      </c>
      <c r="E1213" s="23" t="n">
        <f aca="false">IF(AND(OR(Nonlabor!$D$26="Both",Nonlabor!$D$26='Start Here'!$B$9),IF(Nonlabor!$E$26="Core",1,IF(Nonlabor!$E$26="AI",'Start Here'!$B$7,'Start Here'!$B$8))=1,C1213&gt;=IF(Nonlabor!$E$26="Core",Nonlabor!$F$26,MAX(Nonlabor!$F$26,IF(Nonlabor!$E$26="AI",Assumptions!$C$24,Assumptions!$C$25))),C1213&lt;=Nonlabor!$G$26,OR(Nonlabor!$H$26="Monthly",AND(Nonlabor!$H$26="Once",C1213=IF(Nonlabor!$E$26="Core",Nonlabor!$F$26,MAX(Nonlabor!$F$26,IF(Nonlabor!$E$26="AI",Assumptions!$C$24,Assumptions!$C$25)))),AND(Nonlabor!$H$26="Annual",MOD(C1213-IF(Nonlabor!$E$26="Core",Nonlabor!$F$26,MAX(Nonlabor!$F$26,IF(Nonlabor!$E$26="AI",Assumptions!$C$24,Assumptions!$C$25))),12)=0))),IF(Nonlabor!$I$26="Fixed",1,IF(Nonlabor!$I$26="Seats",ROUNDUP('Monthly Lean'!I13,0),IF(Nonlabor!$I$26="Customers",'Monthly Lean'!D13,IF(Nonlabor!$I$26="NewCustomers",'Monthly Lean'!C13,IF(Nonlabor!$I$26="StorageGB",'Monthly Lean'!G13,IF(Nonlabor!$I$26="LogGB",'Monthly Lean'!H13,IF(Nonlabor!$I$26="RequestsM",'Monthly Lean'!F13,IF(Nonlabor!$I$26="InputM",'Monthly Lean'!D13*Assumptions!$C$22/1000000,IF(Nonlabor!$I$26="OutputM",'Monthly Lean'!D13*Assumptions!$C$23/1000000,0))))))))),0)</f>
        <v>0</v>
      </c>
      <c r="F1213" s="10" t="n">
        <f aca="false">Nonlabor!$J$26*(1+Assumptions!$C$9)^INT((C1213-1)/12)</f>
        <v>15000</v>
      </c>
      <c r="G1213" s="10" t="n">
        <f aca="false">E1213*F1213</f>
        <v>0</v>
      </c>
      <c r="H1213" s="10" t="n">
        <f aca="false">IF(OR(Nonlabor!$L$26="Quote required",Nonlabor!$L$26="Unverified"),G1213,0)</f>
        <v>0</v>
      </c>
      <c r="I1213" s="10" t="n">
        <f aca="false">IF(Nonlabor!$E$26="Core",0,G1213)</f>
        <v>0</v>
      </c>
      <c r="J1213" s="23" t="str">
        <f aca="false">Nonlabor!$B$26</f>
        <v>AI</v>
      </c>
    </row>
    <row r="1214" customFormat="false" ht="15" hidden="false" customHeight="false" outlineLevel="0" collapsed="false">
      <c r="A1214" s="6" t="s">
        <v>72</v>
      </c>
      <c r="B1214" s="6" t="s">
        <v>436</v>
      </c>
      <c r="C1214" s="6" t="n">
        <v>9</v>
      </c>
      <c r="D1214" s="25" t="n">
        <f aca="false">EDATE('Start Here'!$B$6,C1214-1)</f>
        <v>46569</v>
      </c>
      <c r="E1214" s="23" t="n">
        <f aca="false">IF(AND(OR(Nonlabor!$D$26="Both",Nonlabor!$D$26='Start Here'!$B$9),IF(Nonlabor!$E$26="Core",1,IF(Nonlabor!$E$26="AI",'Start Here'!$B$7,'Start Here'!$B$8))=1,C1214&gt;=IF(Nonlabor!$E$26="Core",Nonlabor!$F$26,MAX(Nonlabor!$F$26,IF(Nonlabor!$E$26="AI",Assumptions!$C$24,Assumptions!$C$25))),C1214&lt;=Nonlabor!$G$26,OR(Nonlabor!$H$26="Monthly",AND(Nonlabor!$H$26="Once",C1214=IF(Nonlabor!$E$26="Core",Nonlabor!$F$26,MAX(Nonlabor!$F$26,IF(Nonlabor!$E$26="AI",Assumptions!$C$24,Assumptions!$C$25)))),AND(Nonlabor!$H$26="Annual",MOD(C1214-IF(Nonlabor!$E$26="Core",Nonlabor!$F$26,MAX(Nonlabor!$F$26,IF(Nonlabor!$E$26="AI",Assumptions!$C$24,Assumptions!$C$25))),12)=0))),IF(Nonlabor!$I$26="Fixed",1,IF(Nonlabor!$I$26="Seats",ROUNDUP('Monthly Lean'!I14,0),IF(Nonlabor!$I$26="Customers",'Monthly Lean'!D14,IF(Nonlabor!$I$26="NewCustomers",'Monthly Lean'!C14,IF(Nonlabor!$I$26="StorageGB",'Monthly Lean'!G14,IF(Nonlabor!$I$26="LogGB",'Monthly Lean'!H14,IF(Nonlabor!$I$26="RequestsM",'Monthly Lean'!F14,IF(Nonlabor!$I$26="InputM",'Monthly Lean'!D14*Assumptions!$C$22/1000000,IF(Nonlabor!$I$26="OutputM",'Monthly Lean'!D14*Assumptions!$C$23/1000000,0))))))))),0)</f>
        <v>0</v>
      </c>
      <c r="F1214" s="10" t="n">
        <f aca="false">Nonlabor!$J$26*(1+Assumptions!$C$9)^INT((C1214-1)/12)</f>
        <v>15000</v>
      </c>
      <c r="G1214" s="10" t="n">
        <f aca="false">E1214*F1214</f>
        <v>0</v>
      </c>
      <c r="H1214" s="10" t="n">
        <f aca="false">IF(OR(Nonlabor!$L$26="Quote required",Nonlabor!$L$26="Unverified"),G1214,0)</f>
        <v>0</v>
      </c>
      <c r="I1214" s="10" t="n">
        <f aca="false">IF(Nonlabor!$E$26="Core",0,G1214)</f>
        <v>0</v>
      </c>
      <c r="J1214" s="23" t="str">
        <f aca="false">Nonlabor!$B$26</f>
        <v>AI</v>
      </c>
    </row>
    <row r="1215" customFormat="false" ht="15" hidden="false" customHeight="false" outlineLevel="0" collapsed="false">
      <c r="A1215" s="6" t="s">
        <v>72</v>
      </c>
      <c r="B1215" s="6" t="s">
        <v>436</v>
      </c>
      <c r="C1215" s="6" t="n">
        <v>10</v>
      </c>
      <c r="D1215" s="25" t="n">
        <f aca="false">EDATE('Start Here'!$B$6,C1215-1)</f>
        <v>46600</v>
      </c>
      <c r="E1215" s="23" t="n">
        <f aca="false">IF(AND(OR(Nonlabor!$D$26="Both",Nonlabor!$D$26='Start Here'!$B$9),IF(Nonlabor!$E$26="Core",1,IF(Nonlabor!$E$26="AI",'Start Here'!$B$7,'Start Here'!$B$8))=1,C1215&gt;=IF(Nonlabor!$E$26="Core",Nonlabor!$F$26,MAX(Nonlabor!$F$26,IF(Nonlabor!$E$26="AI",Assumptions!$C$24,Assumptions!$C$25))),C1215&lt;=Nonlabor!$G$26,OR(Nonlabor!$H$26="Monthly",AND(Nonlabor!$H$26="Once",C1215=IF(Nonlabor!$E$26="Core",Nonlabor!$F$26,MAX(Nonlabor!$F$26,IF(Nonlabor!$E$26="AI",Assumptions!$C$24,Assumptions!$C$25)))),AND(Nonlabor!$H$26="Annual",MOD(C1215-IF(Nonlabor!$E$26="Core",Nonlabor!$F$26,MAX(Nonlabor!$F$26,IF(Nonlabor!$E$26="AI",Assumptions!$C$24,Assumptions!$C$25))),12)=0))),IF(Nonlabor!$I$26="Fixed",1,IF(Nonlabor!$I$26="Seats",ROUNDUP('Monthly Lean'!I15,0),IF(Nonlabor!$I$26="Customers",'Monthly Lean'!D15,IF(Nonlabor!$I$26="NewCustomers",'Monthly Lean'!C15,IF(Nonlabor!$I$26="StorageGB",'Monthly Lean'!G15,IF(Nonlabor!$I$26="LogGB",'Monthly Lean'!H15,IF(Nonlabor!$I$26="RequestsM",'Monthly Lean'!F15,IF(Nonlabor!$I$26="InputM",'Monthly Lean'!D15*Assumptions!$C$22/1000000,IF(Nonlabor!$I$26="OutputM",'Monthly Lean'!D15*Assumptions!$C$23/1000000,0))))))))),0)</f>
        <v>0</v>
      </c>
      <c r="F1215" s="10" t="n">
        <f aca="false">Nonlabor!$J$26*(1+Assumptions!$C$9)^INT((C1215-1)/12)</f>
        <v>15000</v>
      </c>
      <c r="G1215" s="10" t="n">
        <f aca="false">E1215*F1215</f>
        <v>0</v>
      </c>
      <c r="H1215" s="10" t="n">
        <f aca="false">IF(OR(Nonlabor!$L$26="Quote required",Nonlabor!$L$26="Unverified"),G1215,0)</f>
        <v>0</v>
      </c>
      <c r="I1215" s="10" t="n">
        <f aca="false">IF(Nonlabor!$E$26="Core",0,G1215)</f>
        <v>0</v>
      </c>
      <c r="J1215" s="23" t="str">
        <f aca="false">Nonlabor!$B$26</f>
        <v>AI</v>
      </c>
    </row>
    <row r="1216" customFormat="false" ht="15" hidden="false" customHeight="false" outlineLevel="0" collapsed="false">
      <c r="A1216" s="6" t="s">
        <v>72</v>
      </c>
      <c r="B1216" s="6" t="s">
        <v>436</v>
      </c>
      <c r="C1216" s="6" t="n">
        <v>11</v>
      </c>
      <c r="D1216" s="25" t="n">
        <f aca="false">EDATE('Start Here'!$B$6,C1216-1)</f>
        <v>46631</v>
      </c>
      <c r="E1216" s="23" t="n">
        <f aca="false">IF(AND(OR(Nonlabor!$D$26="Both",Nonlabor!$D$26='Start Here'!$B$9),IF(Nonlabor!$E$26="Core",1,IF(Nonlabor!$E$26="AI",'Start Here'!$B$7,'Start Here'!$B$8))=1,C1216&gt;=IF(Nonlabor!$E$26="Core",Nonlabor!$F$26,MAX(Nonlabor!$F$26,IF(Nonlabor!$E$26="AI",Assumptions!$C$24,Assumptions!$C$25))),C1216&lt;=Nonlabor!$G$26,OR(Nonlabor!$H$26="Monthly",AND(Nonlabor!$H$26="Once",C1216=IF(Nonlabor!$E$26="Core",Nonlabor!$F$26,MAX(Nonlabor!$F$26,IF(Nonlabor!$E$26="AI",Assumptions!$C$24,Assumptions!$C$25)))),AND(Nonlabor!$H$26="Annual",MOD(C1216-IF(Nonlabor!$E$26="Core",Nonlabor!$F$26,MAX(Nonlabor!$F$26,IF(Nonlabor!$E$26="AI",Assumptions!$C$24,Assumptions!$C$25))),12)=0))),IF(Nonlabor!$I$26="Fixed",1,IF(Nonlabor!$I$26="Seats",ROUNDUP('Monthly Lean'!I16,0),IF(Nonlabor!$I$26="Customers",'Monthly Lean'!D16,IF(Nonlabor!$I$26="NewCustomers",'Monthly Lean'!C16,IF(Nonlabor!$I$26="StorageGB",'Monthly Lean'!G16,IF(Nonlabor!$I$26="LogGB",'Monthly Lean'!H16,IF(Nonlabor!$I$26="RequestsM",'Monthly Lean'!F16,IF(Nonlabor!$I$26="InputM",'Monthly Lean'!D16*Assumptions!$C$22/1000000,IF(Nonlabor!$I$26="OutputM",'Monthly Lean'!D16*Assumptions!$C$23/1000000,0))))))))),0)</f>
        <v>0</v>
      </c>
      <c r="F1216" s="10" t="n">
        <f aca="false">Nonlabor!$J$26*(1+Assumptions!$C$9)^INT((C1216-1)/12)</f>
        <v>15000</v>
      </c>
      <c r="G1216" s="10" t="n">
        <f aca="false">E1216*F1216</f>
        <v>0</v>
      </c>
      <c r="H1216" s="10" t="n">
        <f aca="false">IF(OR(Nonlabor!$L$26="Quote required",Nonlabor!$L$26="Unverified"),G1216,0)</f>
        <v>0</v>
      </c>
      <c r="I1216" s="10" t="n">
        <f aca="false">IF(Nonlabor!$E$26="Core",0,G1216)</f>
        <v>0</v>
      </c>
      <c r="J1216" s="23" t="str">
        <f aca="false">Nonlabor!$B$26</f>
        <v>AI</v>
      </c>
    </row>
    <row r="1217" customFormat="false" ht="15" hidden="false" customHeight="false" outlineLevel="0" collapsed="false">
      <c r="A1217" s="6" t="s">
        <v>72</v>
      </c>
      <c r="B1217" s="6" t="s">
        <v>436</v>
      </c>
      <c r="C1217" s="6" t="n">
        <v>12</v>
      </c>
      <c r="D1217" s="25" t="n">
        <f aca="false">EDATE('Start Here'!$B$6,C1217-1)</f>
        <v>46661</v>
      </c>
      <c r="E1217" s="23" t="n">
        <f aca="false">IF(AND(OR(Nonlabor!$D$26="Both",Nonlabor!$D$26='Start Here'!$B$9),IF(Nonlabor!$E$26="Core",1,IF(Nonlabor!$E$26="AI",'Start Here'!$B$7,'Start Here'!$B$8))=1,C1217&gt;=IF(Nonlabor!$E$26="Core",Nonlabor!$F$26,MAX(Nonlabor!$F$26,IF(Nonlabor!$E$26="AI",Assumptions!$C$24,Assumptions!$C$25))),C1217&lt;=Nonlabor!$G$26,OR(Nonlabor!$H$26="Monthly",AND(Nonlabor!$H$26="Once",C1217=IF(Nonlabor!$E$26="Core",Nonlabor!$F$26,MAX(Nonlabor!$F$26,IF(Nonlabor!$E$26="AI",Assumptions!$C$24,Assumptions!$C$25)))),AND(Nonlabor!$H$26="Annual",MOD(C1217-IF(Nonlabor!$E$26="Core",Nonlabor!$F$26,MAX(Nonlabor!$F$26,IF(Nonlabor!$E$26="AI",Assumptions!$C$24,Assumptions!$C$25))),12)=0))),IF(Nonlabor!$I$26="Fixed",1,IF(Nonlabor!$I$26="Seats",ROUNDUP('Monthly Lean'!I17,0),IF(Nonlabor!$I$26="Customers",'Monthly Lean'!D17,IF(Nonlabor!$I$26="NewCustomers",'Monthly Lean'!C17,IF(Nonlabor!$I$26="StorageGB",'Monthly Lean'!G17,IF(Nonlabor!$I$26="LogGB",'Monthly Lean'!H17,IF(Nonlabor!$I$26="RequestsM",'Monthly Lean'!F17,IF(Nonlabor!$I$26="InputM",'Monthly Lean'!D17*Assumptions!$C$22/1000000,IF(Nonlabor!$I$26="OutputM",'Monthly Lean'!D17*Assumptions!$C$23/1000000,0))))))))),0)</f>
        <v>0</v>
      </c>
      <c r="F1217" s="10" t="n">
        <f aca="false">Nonlabor!$J$26*(1+Assumptions!$C$9)^INT((C1217-1)/12)</f>
        <v>15000</v>
      </c>
      <c r="G1217" s="10" t="n">
        <f aca="false">E1217*F1217</f>
        <v>0</v>
      </c>
      <c r="H1217" s="10" t="n">
        <f aca="false">IF(OR(Nonlabor!$L$26="Quote required",Nonlabor!$L$26="Unverified"),G1217,0)</f>
        <v>0</v>
      </c>
      <c r="I1217" s="10" t="n">
        <f aca="false">IF(Nonlabor!$E$26="Core",0,G1217)</f>
        <v>0</v>
      </c>
      <c r="J1217" s="23" t="str">
        <f aca="false">Nonlabor!$B$26</f>
        <v>AI</v>
      </c>
    </row>
    <row r="1218" customFormat="false" ht="15" hidden="false" customHeight="false" outlineLevel="0" collapsed="false">
      <c r="A1218" s="6" t="s">
        <v>72</v>
      </c>
      <c r="B1218" s="6" t="s">
        <v>436</v>
      </c>
      <c r="C1218" s="6" t="n">
        <v>13</v>
      </c>
      <c r="D1218" s="25" t="n">
        <f aca="false">EDATE('Start Here'!$B$6,C1218-1)</f>
        <v>46692</v>
      </c>
      <c r="E1218" s="23" t="n">
        <f aca="false">IF(AND(OR(Nonlabor!$D$26="Both",Nonlabor!$D$26='Start Here'!$B$9),IF(Nonlabor!$E$26="Core",1,IF(Nonlabor!$E$26="AI",'Start Here'!$B$7,'Start Here'!$B$8))=1,C1218&gt;=IF(Nonlabor!$E$26="Core",Nonlabor!$F$26,MAX(Nonlabor!$F$26,IF(Nonlabor!$E$26="AI",Assumptions!$C$24,Assumptions!$C$25))),C1218&lt;=Nonlabor!$G$26,OR(Nonlabor!$H$26="Monthly",AND(Nonlabor!$H$26="Once",C1218=IF(Nonlabor!$E$26="Core",Nonlabor!$F$26,MAX(Nonlabor!$F$26,IF(Nonlabor!$E$26="AI",Assumptions!$C$24,Assumptions!$C$25)))),AND(Nonlabor!$H$26="Annual",MOD(C1218-IF(Nonlabor!$E$26="Core",Nonlabor!$F$26,MAX(Nonlabor!$F$26,IF(Nonlabor!$E$26="AI",Assumptions!$C$24,Assumptions!$C$25))),12)=0))),IF(Nonlabor!$I$26="Fixed",1,IF(Nonlabor!$I$26="Seats",ROUNDUP('Monthly Lean'!I18,0),IF(Nonlabor!$I$26="Customers",'Monthly Lean'!D18,IF(Nonlabor!$I$26="NewCustomers",'Monthly Lean'!C18,IF(Nonlabor!$I$26="StorageGB",'Monthly Lean'!G18,IF(Nonlabor!$I$26="LogGB",'Monthly Lean'!H18,IF(Nonlabor!$I$26="RequestsM",'Monthly Lean'!F18,IF(Nonlabor!$I$26="InputM",'Monthly Lean'!D18*Assumptions!$C$22/1000000,IF(Nonlabor!$I$26="OutputM",'Monthly Lean'!D18*Assumptions!$C$23/1000000,0))))))))),0)</f>
        <v>0</v>
      </c>
      <c r="F1218" s="10" t="n">
        <f aca="false">Nonlabor!$J$26*(1+Assumptions!$C$9)^INT((C1218-1)/12)</f>
        <v>15450</v>
      </c>
      <c r="G1218" s="10" t="n">
        <f aca="false">E1218*F1218</f>
        <v>0</v>
      </c>
      <c r="H1218" s="10" t="n">
        <f aca="false">IF(OR(Nonlabor!$L$26="Quote required",Nonlabor!$L$26="Unverified"),G1218,0)</f>
        <v>0</v>
      </c>
      <c r="I1218" s="10" t="n">
        <f aca="false">IF(Nonlabor!$E$26="Core",0,G1218)</f>
        <v>0</v>
      </c>
      <c r="J1218" s="23" t="str">
        <f aca="false">Nonlabor!$B$26</f>
        <v>AI</v>
      </c>
    </row>
    <row r="1219" customFormat="false" ht="15" hidden="false" customHeight="false" outlineLevel="0" collapsed="false">
      <c r="A1219" s="6" t="s">
        <v>72</v>
      </c>
      <c r="B1219" s="6" t="s">
        <v>436</v>
      </c>
      <c r="C1219" s="6" t="n">
        <v>14</v>
      </c>
      <c r="D1219" s="25" t="n">
        <f aca="false">EDATE('Start Here'!$B$6,C1219-1)</f>
        <v>46722</v>
      </c>
      <c r="E1219" s="23" t="n">
        <f aca="false">IF(AND(OR(Nonlabor!$D$26="Both",Nonlabor!$D$26='Start Here'!$B$9),IF(Nonlabor!$E$26="Core",1,IF(Nonlabor!$E$26="AI",'Start Here'!$B$7,'Start Here'!$B$8))=1,C1219&gt;=IF(Nonlabor!$E$26="Core",Nonlabor!$F$26,MAX(Nonlabor!$F$26,IF(Nonlabor!$E$26="AI",Assumptions!$C$24,Assumptions!$C$25))),C1219&lt;=Nonlabor!$G$26,OR(Nonlabor!$H$26="Monthly",AND(Nonlabor!$H$26="Once",C1219=IF(Nonlabor!$E$26="Core",Nonlabor!$F$26,MAX(Nonlabor!$F$26,IF(Nonlabor!$E$26="AI",Assumptions!$C$24,Assumptions!$C$25)))),AND(Nonlabor!$H$26="Annual",MOD(C1219-IF(Nonlabor!$E$26="Core",Nonlabor!$F$26,MAX(Nonlabor!$F$26,IF(Nonlabor!$E$26="AI",Assumptions!$C$24,Assumptions!$C$25))),12)=0))),IF(Nonlabor!$I$26="Fixed",1,IF(Nonlabor!$I$26="Seats",ROUNDUP('Monthly Lean'!I19,0),IF(Nonlabor!$I$26="Customers",'Monthly Lean'!D19,IF(Nonlabor!$I$26="NewCustomers",'Monthly Lean'!C19,IF(Nonlabor!$I$26="StorageGB",'Monthly Lean'!G19,IF(Nonlabor!$I$26="LogGB",'Monthly Lean'!H19,IF(Nonlabor!$I$26="RequestsM",'Monthly Lean'!F19,IF(Nonlabor!$I$26="InputM",'Monthly Lean'!D19*Assumptions!$C$22/1000000,IF(Nonlabor!$I$26="OutputM",'Monthly Lean'!D19*Assumptions!$C$23/1000000,0))))))))),0)</f>
        <v>0</v>
      </c>
      <c r="F1219" s="10" t="n">
        <f aca="false">Nonlabor!$J$26*(1+Assumptions!$C$9)^INT((C1219-1)/12)</f>
        <v>15450</v>
      </c>
      <c r="G1219" s="10" t="n">
        <f aca="false">E1219*F1219</f>
        <v>0</v>
      </c>
      <c r="H1219" s="10" t="n">
        <f aca="false">IF(OR(Nonlabor!$L$26="Quote required",Nonlabor!$L$26="Unverified"),G1219,0)</f>
        <v>0</v>
      </c>
      <c r="I1219" s="10" t="n">
        <f aca="false">IF(Nonlabor!$E$26="Core",0,G1219)</f>
        <v>0</v>
      </c>
      <c r="J1219" s="23" t="str">
        <f aca="false">Nonlabor!$B$26</f>
        <v>AI</v>
      </c>
    </row>
    <row r="1220" customFormat="false" ht="15" hidden="false" customHeight="false" outlineLevel="0" collapsed="false">
      <c r="A1220" s="6" t="s">
        <v>72</v>
      </c>
      <c r="B1220" s="6" t="s">
        <v>436</v>
      </c>
      <c r="C1220" s="6" t="n">
        <v>15</v>
      </c>
      <c r="D1220" s="25" t="n">
        <f aca="false">EDATE('Start Here'!$B$6,C1220-1)</f>
        <v>46753</v>
      </c>
      <c r="E1220" s="23" t="n">
        <f aca="false">IF(AND(OR(Nonlabor!$D$26="Both",Nonlabor!$D$26='Start Here'!$B$9),IF(Nonlabor!$E$26="Core",1,IF(Nonlabor!$E$26="AI",'Start Here'!$B$7,'Start Here'!$B$8))=1,C1220&gt;=IF(Nonlabor!$E$26="Core",Nonlabor!$F$26,MAX(Nonlabor!$F$26,IF(Nonlabor!$E$26="AI",Assumptions!$C$24,Assumptions!$C$25))),C1220&lt;=Nonlabor!$G$26,OR(Nonlabor!$H$26="Monthly",AND(Nonlabor!$H$26="Once",C1220=IF(Nonlabor!$E$26="Core",Nonlabor!$F$26,MAX(Nonlabor!$F$26,IF(Nonlabor!$E$26="AI",Assumptions!$C$24,Assumptions!$C$25)))),AND(Nonlabor!$H$26="Annual",MOD(C1220-IF(Nonlabor!$E$26="Core",Nonlabor!$F$26,MAX(Nonlabor!$F$26,IF(Nonlabor!$E$26="AI",Assumptions!$C$24,Assumptions!$C$25))),12)=0))),IF(Nonlabor!$I$26="Fixed",1,IF(Nonlabor!$I$26="Seats",ROUNDUP('Monthly Lean'!I20,0),IF(Nonlabor!$I$26="Customers",'Monthly Lean'!D20,IF(Nonlabor!$I$26="NewCustomers",'Monthly Lean'!C20,IF(Nonlabor!$I$26="StorageGB",'Monthly Lean'!G20,IF(Nonlabor!$I$26="LogGB",'Monthly Lean'!H20,IF(Nonlabor!$I$26="RequestsM",'Monthly Lean'!F20,IF(Nonlabor!$I$26="InputM",'Monthly Lean'!D20*Assumptions!$C$22/1000000,IF(Nonlabor!$I$26="OutputM",'Monthly Lean'!D20*Assumptions!$C$23/1000000,0))))))))),0)</f>
        <v>0</v>
      </c>
      <c r="F1220" s="10" t="n">
        <f aca="false">Nonlabor!$J$26*(1+Assumptions!$C$9)^INT((C1220-1)/12)</f>
        <v>15450</v>
      </c>
      <c r="G1220" s="10" t="n">
        <f aca="false">E1220*F1220</f>
        <v>0</v>
      </c>
      <c r="H1220" s="10" t="n">
        <f aca="false">IF(OR(Nonlabor!$L$26="Quote required",Nonlabor!$L$26="Unverified"),G1220,0)</f>
        <v>0</v>
      </c>
      <c r="I1220" s="10" t="n">
        <f aca="false">IF(Nonlabor!$E$26="Core",0,G1220)</f>
        <v>0</v>
      </c>
      <c r="J1220" s="23" t="str">
        <f aca="false">Nonlabor!$B$26</f>
        <v>AI</v>
      </c>
    </row>
    <row r="1221" customFormat="false" ht="15" hidden="false" customHeight="false" outlineLevel="0" collapsed="false">
      <c r="A1221" s="6" t="s">
        <v>72</v>
      </c>
      <c r="B1221" s="6" t="s">
        <v>436</v>
      </c>
      <c r="C1221" s="6" t="n">
        <v>16</v>
      </c>
      <c r="D1221" s="25" t="n">
        <f aca="false">EDATE('Start Here'!$B$6,C1221-1)</f>
        <v>46784</v>
      </c>
      <c r="E1221" s="23" t="n">
        <f aca="false">IF(AND(OR(Nonlabor!$D$26="Both",Nonlabor!$D$26='Start Here'!$B$9),IF(Nonlabor!$E$26="Core",1,IF(Nonlabor!$E$26="AI",'Start Here'!$B$7,'Start Here'!$B$8))=1,C1221&gt;=IF(Nonlabor!$E$26="Core",Nonlabor!$F$26,MAX(Nonlabor!$F$26,IF(Nonlabor!$E$26="AI",Assumptions!$C$24,Assumptions!$C$25))),C1221&lt;=Nonlabor!$G$26,OR(Nonlabor!$H$26="Monthly",AND(Nonlabor!$H$26="Once",C1221=IF(Nonlabor!$E$26="Core",Nonlabor!$F$26,MAX(Nonlabor!$F$26,IF(Nonlabor!$E$26="AI",Assumptions!$C$24,Assumptions!$C$25)))),AND(Nonlabor!$H$26="Annual",MOD(C1221-IF(Nonlabor!$E$26="Core",Nonlabor!$F$26,MAX(Nonlabor!$F$26,IF(Nonlabor!$E$26="AI",Assumptions!$C$24,Assumptions!$C$25))),12)=0))),IF(Nonlabor!$I$26="Fixed",1,IF(Nonlabor!$I$26="Seats",ROUNDUP('Monthly Lean'!I21,0),IF(Nonlabor!$I$26="Customers",'Monthly Lean'!D21,IF(Nonlabor!$I$26="NewCustomers",'Monthly Lean'!C21,IF(Nonlabor!$I$26="StorageGB",'Monthly Lean'!G21,IF(Nonlabor!$I$26="LogGB",'Monthly Lean'!H21,IF(Nonlabor!$I$26="RequestsM",'Monthly Lean'!F21,IF(Nonlabor!$I$26="InputM",'Monthly Lean'!D21*Assumptions!$C$22/1000000,IF(Nonlabor!$I$26="OutputM",'Monthly Lean'!D21*Assumptions!$C$23/1000000,0))))))))),0)</f>
        <v>0</v>
      </c>
      <c r="F1221" s="10" t="n">
        <f aca="false">Nonlabor!$J$26*(1+Assumptions!$C$9)^INT((C1221-1)/12)</f>
        <v>15450</v>
      </c>
      <c r="G1221" s="10" t="n">
        <f aca="false">E1221*F1221</f>
        <v>0</v>
      </c>
      <c r="H1221" s="10" t="n">
        <f aca="false">IF(OR(Nonlabor!$L$26="Quote required",Nonlabor!$L$26="Unverified"),G1221,0)</f>
        <v>0</v>
      </c>
      <c r="I1221" s="10" t="n">
        <f aca="false">IF(Nonlabor!$E$26="Core",0,G1221)</f>
        <v>0</v>
      </c>
      <c r="J1221" s="23" t="str">
        <f aca="false">Nonlabor!$B$26</f>
        <v>AI</v>
      </c>
    </row>
    <row r="1222" customFormat="false" ht="15" hidden="false" customHeight="false" outlineLevel="0" collapsed="false">
      <c r="A1222" s="6" t="s">
        <v>72</v>
      </c>
      <c r="B1222" s="6" t="s">
        <v>436</v>
      </c>
      <c r="C1222" s="6" t="n">
        <v>17</v>
      </c>
      <c r="D1222" s="25" t="n">
        <f aca="false">EDATE('Start Here'!$B$6,C1222-1)</f>
        <v>46813</v>
      </c>
      <c r="E1222" s="23" t="n">
        <f aca="false">IF(AND(OR(Nonlabor!$D$26="Both",Nonlabor!$D$26='Start Here'!$B$9),IF(Nonlabor!$E$26="Core",1,IF(Nonlabor!$E$26="AI",'Start Here'!$B$7,'Start Here'!$B$8))=1,C1222&gt;=IF(Nonlabor!$E$26="Core",Nonlabor!$F$26,MAX(Nonlabor!$F$26,IF(Nonlabor!$E$26="AI",Assumptions!$C$24,Assumptions!$C$25))),C1222&lt;=Nonlabor!$G$26,OR(Nonlabor!$H$26="Monthly",AND(Nonlabor!$H$26="Once",C1222=IF(Nonlabor!$E$26="Core",Nonlabor!$F$26,MAX(Nonlabor!$F$26,IF(Nonlabor!$E$26="AI",Assumptions!$C$24,Assumptions!$C$25)))),AND(Nonlabor!$H$26="Annual",MOD(C1222-IF(Nonlabor!$E$26="Core",Nonlabor!$F$26,MAX(Nonlabor!$F$26,IF(Nonlabor!$E$26="AI",Assumptions!$C$24,Assumptions!$C$25))),12)=0))),IF(Nonlabor!$I$26="Fixed",1,IF(Nonlabor!$I$26="Seats",ROUNDUP('Monthly Lean'!I22,0),IF(Nonlabor!$I$26="Customers",'Monthly Lean'!D22,IF(Nonlabor!$I$26="NewCustomers",'Monthly Lean'!C22,IF(Nonlabor!$I$26="StorageGB",'Monthly Lean'!G22,IF(Nonlabor!$I$26="LogGB",'Monthly Lean'!H22,IF(Nonlabor!$I$26="RequestsM",'Monthly Lean'!F22,IF(Nonlabor!$I$26="InputM",'Monthly Lean'!D22*Assumptions!$C$22/1000000,IF(Nonlabor!$I$26="OutputM",'Monthly Lean'!D22*Assumptions!$C$23/1000000,0))))))))),0)</f>
        <v>0</v>
      </c>
      <c r="F1222" s="10" t="n">
        <f aca="false">Nonlabor!$J$26*(1+Assumptions!$C$9)^INT((C1222-1)/12)</f>
        <v>15450</v>
      </c>
      <c r="G1222" s="10" t="n">
        <f aca="false">E1222*F1222</f>
        <v>0</v>
      </c>
      <c r="H1222" s="10" t="n">
        <f aca="false">IF(OR(Nonlabor!$L$26="Quote required",Nonlabor!$L$26="Unverified"),G1222,0)</f>
        <v>0</v>
      </c>
      <c r="I1222" s="10" t="n">
        <f aca="false">IF(Nonlabor!$E$26="Core",0,G1222)</f>
        <v>0</v>
      </c>
      <c r="J1222" s="23" t="str">
        <f aca="false">Nonlabor!$B$26</f>
        <v>AI</v>
      </c>
    </row>
    <row r="1223" customFormat="false" ht="15" hidden="false" customHeight="false" outlineLevel="0" collapsed="false">
      <c r="A1223" s="6" t="s">
        <v>72</v>
      </c>
      <c r="B1223" s="6" t="s">
        <v>436</v>
      </c>
      <c r="C1223" s="6" t="n">
        <v>18</v>
      </c>
      <c r="D1223" s="25" t="n">
        <f aca="false">EDATE('Start Here'!$B$6,C1223-1)</f>
        <v>46844</v>
      </c>
      <c r="E1223" s="23" t="n">
        <f aca="false">IF(AND(OR(Nonlabor!$D$26="Both",Nonlabor!$D$26='Start Here'!$B$9),IF(Nonlabor!$E$26="Core",1,IF(Nonlabor!$E$26="AI",'Start Here'!$B$7,'Start Here'!$B$8))=1,C1223&gt;=IF(Nonlabor!$E$26="Core",Nonlabor!$F$26,MAX(Nonlabor!$F$26,IF(Nonlabor!$E$26="AI",Assumptions!$C$24,Assumptions!$C$25))),C1223&lt;=Nonlabor!$G$26,OR(Nonlabor!$H$26="Monthly",AND(Nonlabor!$H$26="Once",C1223=IF(Nonlabor!$E$26="Core",Nonlabor!$F$26,MAX(Nonlabor!$F$26,IF(Nonlabor!$E$26="AI",Assumptions!$C$24,Assumptions!$C$25)))),AND(Nonlabor!$H$26="Annual",MOD(C1223-IF(Nonlabor!$E$26="Core",Nonlabor!$F$26,MAX(Nonlabor!$F$26,IF(Nonlabor!$E$26="AI",Assumptions!$C$24,Assumptions!$C$25))),12)=0))),IF(Nonlabor!$I$26="Fixed",1,IF(Nonlabor!$I$26="Seats",ROUNDUP('Monthly Lean'!I23,0),IF(Nonlabor!$I$26="Customers",'Monthly Lean'!D23,IF(Nonlabor!$I$26="NewCustomers",'Monthly Lean'!C23,IF(Nonlabor!$I$26="StorageGB",'Monthly Lean'!G23,IF(Nonlabor!$I$26="LogGB",'Monthly Lean'!H23,IF(Nonlabor!$I$26="RequestsM",'Monthly Lean'!F23,IF(Nonlabor!$I$26="InputM",'Monthly Lean'!D23*Assumptions!$C$22/1000000,IF(Nonlabor!$I$26="OutputM",'Monthly Lean'!D23*Assumptions!$C$23/1000000,0))))))))),0)</f>
        <v>0</v>
      </c>
      <c r="F1223" s="10" t="n">
        <f aca="false">Nonlabor!$J$26*(1+Assumptions!$C$9)^INT((C1223-1)/12)</f>
        <v>15450</v>
      </c>
      <c r="G1223" s="10" t="n">
        <f aca="false">E1223*F1223</f>
        <v>0</v>
      </c>
      <c r="H1223" s="10" t="n">
        <f aca="false">IF(OR(Nonlabor!$L$26="Quote required",Nonlabor!$L$26="Unverified"),G1223,0)</f>
        <v>0</v>
      </c>
      <c r="I1223" s="10" t="n">
        <f aca="false">IF(Nonlabor!$E$26="Core",0,G1223)</f>
        <v>0</v>
      </c>
      <c r="J1223" s="23" t="str">
        <f aca="false">Nonlabor!$B$26</f>
        <v>AI</v>
      </c>
    </row>
    <row r="1224" customFormat="false" ht="15" hidden="false" customHeight="false" outlineLevel="0" collapsed="false">
      <c r="A1224" s="6" t="s">
        <v>72</v>
      </c>
      <c r="B1224" s="6" t="s">
        <v>436</v>
      </c>
      <c r="C1224" s="6" t="n">
        <v>19</v>
      </c>
      <c r="D1224" s="25" t="n">
        <f aca="false">EDATE('Start Here'!$B$6,C1224-1)</f>
        <v>46874</v>
      </c>
      <c r="E1224" s="23" t="n">
        <f aca="false">IF(AND(OR(Nonlabor!$D$26="Both",Nonlabor!$D$26='Start Here'!$B$9),IF(Nonlabor!$E$26="Core",1,IF(Nonlabor!$E$26="AI",'Start Here'!$B$7,'Start Here'!$B$8))=1,C1224&gt;=IF(Nonlabor!$E$26="Core",Nonlabor!$F$26,MAX(Nonlabor!$F$26,IF(Nonlabor!$E$26="AI",Assumptions!$C$24,Assumptions!$C$25))),C1224&lt;=Nonlabor!$G$26,OR(Nonlabor!$H$26="Monthly",AND(Nonlabor!$H$26="Once",C1224=IF(Nonlabor!$E$26="Core",Nonlabor!$F$26,MAX(Nonlabor!$F$26,IF(Nonlabor!$E$26="AI",Assumptions!$C$24,Assumptions!$C$25)))),AND(Nonlabor!$H$26="Annual",MOD(C1224-IF(Nonlabor!$E$26="Core",Nonlabor!$F$26,MAX(Nonlabor!$F$26,IF(Nonlabor!$E$26="AI",Assumptions!$C$24,Assumptions!$C$25))),12)=0))),IF(Nonlabor!$I$26="Fixed",1,IF(Nonlabor!$I$26="Seats",ROUNDUP('Monthly Lean'!I24,0),IF(Nonlabor!$I$26="Customers",'Monthly Lean'!D24,IF(Nonlabor!$I$26="NewCustomers",'Monthly Lean'!C24,IF(Nonlabor!$I$26="StorageGB",'Monthly Lean'!G24,IF(Nonlabor!$I$26="LogGB",'Monthly Lean'!H24,IF(Nonlabor!$I$26="RequestsM",'Monthly Lean'!F24,IF(Nonlabor!$I$26="InputM",'Monthly Lean'!D24*Assumptions!$C$22/1000000,IF(Nonlabor!$I$26="OutputM",'Monthly Lean'!D24*Assumptions!$C$23/1000000,0))))))))),0)</f>
        <v>0</v>
      </c>
      <c r="F1224" s="10" t="n">
        <f aca="false">Nonlabor!$J$26*(1+Assumptions!$C$9)^INT((C1224-1)/12)</f>
        <v>15450</v>
      </c>
      <c r="G1224" s="10" t="n">
        <f aca="false">E1224*F1224</f>
        <v>0</v>
      </c>
      <c r="H1224" s="10" t="n">
        <f aca="false">IF(OR(Nonlabor!$L$26="Quote required",Nonlabor!$L$26="Unverified"),G1224,0)</f>
        <v>0</v>
      </c>
      <c r="I1224" s="10" t="n">
        <f aca="false">IF(Nonlabor!$E$26="Core",0,G1224)</f>
        <v>0</v>
      </c>
      <c r="J1224" s="23" t="str">
        <f aca="false">Nonlabor!$B$26</f>
        <v>AI</v>
      </c>
    </row>
    <row r="1225" customFormat="false" ht="15" hidden="false" customHeight="false" outlineLevel="0" collapsed="false">
      <c r="A1225" s="6" t="s">
        <v>72</v>
      </c>
      <c r="B1225" s="6" t="s">
        <v>436</v>
      </c>
      <c r="C1225" s="6" t="n">
        <v>20</v>
      </c>
      <c r="D1225" s="25" t="n">
        <f aca="false">EDATE('Start Here'!$B$6,C1225-1)</f>
        <v>46905</v>
      </c>
      <c r="E1225" s="23" t="n">
        <f aca="false">IF(AND(OR(Nonlabor!$D$26="Both",Nonlabor!$D$26='Start Here'!$B$9),IF(Nonlabor!$E$26="Core",1,IF(Nonlabor!$E$26="AI",'Start Here'!$B$7,'Start Here'!$B$8))=1,C1225&gt;=IF(Nonlabor!$E$26="Core",Nonlabor!$F$26,MAX(Nonlabor!$F$26,IF(Nonlabor!$E$26="AI",Assumptions!$C$24,Assumptions!$C$25))),C1225&lt;=Nonlabor!$G$26,OR(Nonlabor!$H$26="Monthly",AND(Nonlabor!$H$26="Once",C1225=IF(Nonlabor!$E$26="Core",Nonlabor!$F$26,MAX(Nonlabor!$F$26,IF(Nonlabor!$E$26="AI",Assumptions!$C$24,Assumptions!$C$25)))),AND(Nonlabor!$H$26="Annual",MOD(C1225-IF(Nonlabor!$E$26="Core",Nonlabor!$F$26,MAX(Nonlabor!$F$26,IF(Nonlabor!$E$26="AI",Assumptions!$C$24,Assumptions!$C$25))),12)=0))),IF(Nonlabor!$I$26="Fixed",1,IF(Nonlabor!$I$26="Seats",ROUNDUP('Monthly Lean'!I25,0),IF(Nonlabor!$I$26="Customers",'Monthly Lean'!D25,IF(Nonlabor!$I$26="NewCustomers",'Monthly Lean'!C25,IF(Nonlabor!$I$26="StorageGB",'Monthly Lean'!G25,IF(Nonlabor!$I$26="LogGB",'Monthly Lean'!H25,IF(Nonlabor!$I$26="RequestsM",'Monthly Lean'!F25,IF(Nonlabor!$I$26="InputM",'Monthly Lean'!D25*Assumptions!$C$22/1000000,IF(Nonlabor!$I$26="OutputM",'Monthly Lean'!D25*Assumptions!$C$23/1000000,0))))))))),0)</f>
        <v>0</v>
      </c>
      <c r="F1225" s="10" t="n">
        <f aca="false">Nonlabor!$J$26*(1+Assumptions!$C$9)^INT((C1225-1)/12)</f>
        <v>15450</v>
      </c>
      <c r="G1225" s="10" t="n">
        <f aca="false">E1225*F1225</f>
        <v>0</v>
      </c>
      <c r="H1225" s="10" t="n">
        <f aca="false">IF(OR(Nonlabor!$L$26="Quote required",Nonlabor!$L$26="Unverified"),G1225,0)</f>
        <v>0</v>
      </c>
      <c r="I1225" s="10" t="n">
        <f aca="false">IF(Nonlabor!$E$26="Core",0,G1225)</f>
        <v>0</v>
      </c>
      <c r="J1225" s="23" t="str">
        <f aca="false">Nonlabor!$B$26</f>
        <v>AI</v>
      </c>
    </row>
    <row r="1226" customFormat="false" ht="15" hidden="false" customHeight="false" outlineLevel="0" collapsed="false">
      <c r="A1226" s="6" t="s">
        <v>72</v>
      </c>
      <c r="B1226" s="6" t="s">
        <v>436</v>
      </c>
      <c r="C1226" s="6" t="n">
        <v>21</v>
      </c>
      <c r="D1226" s="25" t="n">
        <f aca="false">EDATE('Start Here'!$B$6,C1226-1)</f>
        <v>46935</v>
      </c>
      <c r="E1226" s="23" t="n">
        <f aca="false">IF(AND(OR(Nonlabor!$D$26="Both",Nonlabor!$D$26='Start Here'!$B$9),IF(Nonlabor!$E$26="Core",1,IF(Nonlabor!$E$26="AI",'Start Here'!$B$7,'Start Here'!$B$8))=1,C1226&gt;=IF(Nonlabor!$E$26="Core",Nonlabor!$F$26,MAX(Nonlabor!$F$26,IF(Nonlabor!$E$26="AI",Assumptions!$C$24,Assumptions!$C$25))),C1226&lt;=Nonlabor!$G$26,OR(Nonlabor!$H$26="Monthly",AND(Nonlabor!$H$26="Once",C1226=IF(Nonlabor!$E$26="Core",Nonlabor!$F$26,MAX(Nonlabor!$F$26,IF(Nonlabor!$E$26="AI",Assumptions!$C$24,Assumptions!$C$25)))),AND(Nonlabor!$H$26="Annual",MOD(C1226-IF(Nonlabor!$E$26="Core",Nonlabor!$F$26,MAX(Nonlabor!$F$26,IF(Nonlabor!$E$26="AI",Assumptions!$C$24,Assumptions!$C$25))),12)=0))),IF(Nonlabor!$I$26="Fixed",1,IF(Nonlabor!$I$26="Seats",ROUNDUP('Monthly Lean'!I26,0),IF(Nonlabor!$I$26="Customers",'Monthly Lean'!D26,IF(Nonlabor!$I$26="NewCustomers",'Monthly Lean'!C26,IF(Nonlabor!$I$26="StorageGB",'Monthly Lean'!G26,IF(Nonlabor!$I$26="LogGB",'Monthly Lean'!H26,IF(Nonlabor!$I$26="RequestsM",'Monthly Lean'!F26,IF(Nonlabor!$I$26="InputM",'Monthly Lean'!D26*Assumptions!$C$22/1000000,IF(Nonlabor!$I$26="OutputM",'Monthly Lean'!D26*Assumptions!$C$23/1000000,0))))))))),0)</f>
        <v>0</v>
      </c>
      <c r="F1226" s="10" t="n">
        <f aca="false">Nonlabor!$J$26*(1+Assumptions!$C$9)^INT((C1226-1)/12)</f>
        <v>15450</v>
      </c>
      <c r="G1226" s="10" t="n">
        <f aca="false">E1226*F1226</f>
        <v>0</v>
      </c>
      <c r="H1226" s="10" t="n">
        <f aca="false">IF(OR(Nonlabor!$L$26="Quote required",Nonlabor!$L$26="Unverified"),G1226,0)</f>
        <v>0</v>
      </c>
      <c r="I1226" s="10" t="n">
        <f aca="false">IF(Nonlabor!$E$26="Core",0,G1226)</f>
        <v>0</v>
      </c>
      <c r="J1226" s="23" t="str">
        <f aca="false">Nonlabor!$B$26</f>
        <v>AI</v>
      </c>
    </row>
    <row r="1227" customFormat="false" ht="15" hidden="false" customHeight="false" outlineLevel="0" collapsed="false">
      <c r="A1227" s="6" t="s">
        <v>72</v>
      </c>
      <c r="B1227" s="6" t="s">
        <v>436</v>
      </c>
      <c r="C1227" s="6" t="n">
        <v>22</v>
      </c>
      <c r="D1227" s="25" t="n">
        <f aca="false">EDATE('Start Here'!$B$6,C1227-1)</f>
        <v>46966</v>
      </c>
      <c r="E1227" s="23" t="n">
        <f aca="false">IF(AND(OR(Nonlabor!$D$26="Both",Nonlabor!$D$26='Start Here'!$B$9),IF(Nonlabor!$E$26="Core",1,IF(Nonlabor!$E$26="AI",'Start Here'!$B$7,'Start Here'!$B$8))=1,C1227&gt;=IF(Nonlabor!$E$26="Core",Nonlabor!$F$26,MAX(Nonlabor!$F$26,IF(Nonlabor!$E$26="AI",Assumptions!$C$24,Assumptions!$C$25))),C1227&lt;=Nonlabor!$G$26,OR(Nonlabor!$H$26="Monthly",AND(Nonlabor!$H$26="Once",C1227=IF(Nonlabor!$E$26="Core",Nonlabor!$F$26,MAX(Nonlabor!$F$26,IF(Nonlabor!$E$26="AI",Assumptions!$C$24,Assumptions!$C$25)))),AND(Nonlabor!$H$26="Annual",MOD(C1227-IF(Nonlabor!$E$26="Core",Nonlabor!$F$26,MAX(Nonlabor!$F$26,IF(Nonlabor!$E$26="AI",Assumptions!$C$24,Assumptions!$C$25))),12)=0))),IF(Nonlabor!$I$26="Fixed",1,IF(Nonlabor!$I$26="Seats",ROUNDUP('Monthly Lean'!I27,0),IF(Nonlabor!$I$26="Customers",'Monthly Lean'!D27,IF(Nonlabor!$I$26="NewCustomers",'Monthly Lean'!C27,IF(Nonlabor!$I$26="StorageGB",'Monthly Lean'!G27,IF(Nonlabor!$I$26="LogGB",'Monthly Lean'!H27,IF(Nonlabor!$I$26="RequestsM",'Monthly Lean'!F27,IF(Nonlabor!$I$26="InputM",'Monthly Lean'!D27*Assumptions!$C$22/1000000,IF(Nonlabor!$I$26="OutputM",'Monthly Lean'!D27*Assumptions!$C$23/1000000,0))))))))),0)</f>
        <v>0</v>
      </c>
      <c r="F1227" s="10" t="n">
        <f aca="false">Nonlabor!$J$26*(1+Assumptions!$C$9)^INT((C1227-1)/12)</f>
        <v>15450</v>
      </c>
      <c r="G1227" s="10" t="n">
        <f aca="false">E1227*F1227</f>
        <v>0</v>
      </c>
      <c r="H1227" s="10" t="n">
        <f aca="false">IF(OR(Nonlabor!$L$26="Quote required",Nonlabor!$L$26="Unverified"),G1227,0)</f>
        <v>0</v>
      </c>
      <c r="I1227" s="10" t="n">
        <f aca="false">IF(Nonlabor!$E$26="Core",0,G1227)</f>
        <v>0</v>
      </c>
      <c r="J1227" s="23" t="str">
        <f aca="false">Nonlabor!$B$26</f>
        <v>AI</v>
      </c>
    </row>
    <row r="1228" customFormat="false" ht="15" hidden="false" customHeight="false" outlineLevel="0" collapsed="false">
      <c r="A1228" s="6" t="s">
        <v>72</v>
      </c>
      <c r="B1228" s="6" t="s">
        <v>436</v>
      </c>
      <c r="C1228" s="6" t="n">
        <v>23</v>
      </c>
      <c r="D1228" s="25" t="n">
        <f aca="false">EDATE('Start Here'!$B$6,C1228-1)</f>
        <v>46997</v>
      </c>
      <c r="E1228" s="23" t="n">
        <f aca="false">IF(AND(OR(Nonlabor!$D$26="Both",Nonlabor!$D$26='Start Here'!$B$9),IF(Nonlabor!$E$26="Core",1,IF(Nonlabor!$E$26="AI",'Start Here'!$B$7,'Start Here'!$B$8))=1,C1228&gt;=IF(Nonlabor!$E$26="Core",Nonlabor!$F$26,MAX(Nonlabor!$F$26,IF(Nonlabor!$E$26="AI",Assumptions!$C$24,Assumptions!$C$25))),C1228&lt;=Nonlabor!$G$26,OR(Nonlabor!$H$26="Monthly",AND(Nonlabor!$H$26="Once",C1228=IF(Nonlabor!$E$26="Core",Nonlabor!$F$26,MAX(Nonlabor!$F$26,IF(Nonlabor!$E$26="AI",Assumptions!$C$24,Assumptions!$C$25)))),AND(Nonlabor!$H$26="Annual",MOD(C1228-IF(Nonlabor!$E$26="Core",Nonlabor!$F$26,MAX(Nonlabor!$F$26,IF(Nonlabor!$E$26="AI",Assumptions!$C$24,Assumptions!$C$25))),12)=0))),IF(Nonlabor!$I$26="Fixed",1,IF(Nonlabor!$I$26="Seats",ROUNDUP('Monthly Lean'!I28,0),IF(Nonlabor!$I$26="Customers",'Monthly Lean'!D28,IF(Nonlabor!$I$26="NewCustomers",'Monthly Lean'!C28,IF(Nonlabor!$I$26="StorageGB",'Monthly Lean'!G28,IF(Nonlabor!$I$26="LogGB",'Monthly Lean'!H28,IF(Nonlabor!$I$26="RequestsM",'Monthly Lean'!F28,IF(Nonlabor!$I$26="InputM",'Monthly Lean'!D28*Assumptions!$C$22/1000000,IF(Nonlabor!$I$26="OutputM",'Monthly Lean'!D28*Assumptions!$C$23/1000000,0))))))))),0)</f>
        <v>0</v>
      </c>
      <c r="F1228" s="10" t="n">
        <f aca="false">Nonlabor!$J$26*(1+Assumptions!$C$9)^INT((C1228-1)/12)</f>
        <v>15450</v>
      </c>
      <c r="G1228" s="10" t="n">
        <f aca="false">E1228*F1228</f>
        <v>0</v>
      </c>
      <c r="H1228" s="10" t="n">
        <f aca="false">IF(OR(Nonlabor!$L$26="Quote required",Nonlabor!$L$26="Unverified"),G1228,0)</f>
        <v>0</v>
      </c>
      <c r="I1228" s="10" t="n">
        <f aca="false">IF(Nonlabor!$E$26="Core",0,G1228)</f>
        <v>0</v>
      </c>
      <c r="J1228" s="23" t="str">
        <f aca="false">Nonlabor!$B$26</f>
        <v>AI</v>
      </c>
    </row>
    <row r="1229" customFormat="false" ht="15" hidden="false" customHeight="false" outlineLevel="0" collapsed="false">
      <c r="A1229" s="6" t="s">
        <v>72</v>
      </c>
      <c r="B1229" s="6" t="s">
        <v>436</v>
      </c>
      <c r="C1229" s="6" t="n">
        <v>24</v>
      </c>
      <c r="D1229" s="25" t="n">
        <f aca="false">EDATE('Start Here'!$B$6,C1229-1)</f>
        <v>47027</v>
      </c>
      <c r="E1229" s="23" t="n">
        <f aca="false">IF(AND(OR(Nonlabor!$D$26="Both",Nonlabor!$D$26='Start Here'!$B$9),IF(Nonlabor!$E$26="Core",1,IF(Nonlabor!$E$26="AI",'Start Here'!$B$7,'Start Here'!$B$8))=1,C1229&gt;=IF(Nonlabor!$E$26="Core",Nonlabor!$F$26,MAX(Nonlabor!$F$26,IF(Nonlabor!$E$26="AI",Assumptions!$C$24,Assumptions!$C$25))),C1229&lt;=Nonlabor!$G$26,OR(Nonlabor!$H$26="Monthly",AND(Nonlabor!$H$26="Once",C1229=IF(Nonlabor!$E$26="Core",Nonlabor!$F$26,MAX(Nonlabor!$F$26,IF(Nonlabor!$E$26="AI",Assumptions!$C$24,Assumptions!$C$25)))),AND(Nonlabor!$H$26="Annual",MOD(C1229-IF(Nonlabor!$E$26="Core",Nonlabor!$F$26,MAX(Nonlabor!$F$26,IF(Nonlabor!$E$26="AI",Assumptions!$C$24,Assumptions!$C$25))),12)=0))),IF(Nonlabor!$I$26="Fixed",1,IF(Nonlabor!$I$26="Seats",ROUNDUP('Monthly Lean'!I29,0),IF(Nonlabor!$I$26="Customers",'Monthly Lean'!D29,IF(Nonlabor!$I$26="NewCustomers",'Monthly Lean'!C29,IF(Nonlabor!$I$26="StorageGB",'Monthly Lean'!G29,IF(Nonlabor!$I$26="LogGB",'Monthly Lean'!H29,IF(Nonlabor!$I$26="RequestsM",'Monthly Lean'!F29,IF(Nonlabor!$I$26="InputM",'Monthly Lean'!D29*Assumptions!$C$22/1000000,IF(Nonlabor!$I$26="OutputM",'Monthly Lean'!D29*Assumptions!$C$23/1000000,0))))))))),0)</f>
        <v>0</v>
      </c>
      <c r="F1229" s="10" t="n">
        <f aca="false">Nonlabor!$J$26*(1+Assumptions!$C$9)^INT((C1229-1)/12)</f>
        <v>15450</v>
      </c>
      <c r="G1229" s="10" t="n">
        <f aca="false">E1229*F1229</f>
        <v>0</v>
      </c>
      <c r="H1229" s="10" t="n">
        <f aca="false">IF(OR(Nonlabor!$L$26="Quote required",Nonlabor!$L$26="Unverified"),G1229,0)</f>
        <v>0</v>
      </c>
      <c r="I1229" s="10" t="n">
        <f aca="false">IF(Nonlabor!$E$26="Core",0,G1229)</f>
        <v>0</v>
      </c>
      <c r="J1229" s="23" t="str">
        <f aca="false">Nonlabor!$B$26</f>
        <v>AI</v>
      </c>
    </row>
    <row r="1230" customFormat="false" ht="15" hidden="false" customHeight="false" outlineLevel="0" collapsed="false">
      <c r="A1230" s="6" t="s">
        <v>72</v>
      </c>
      <c r="B1230" s="6" t="s">
        <v>436</v>
      </c>
      <c r="C1230" s="6" t="n">
        <v>25</v>
      </c>
      <c r="D1230" s="25" t="n">
        <f aca="false">EDATE('Start Here'!$B$6,C1230-1)</f>
        <v>47058</v>
      </c>
      <c r="E1230" s="23" t="n">
        <f aca="false">IF(AND(OR(Nonlabor!$D$26="Both",Nonlabor!$D$26='Start Here'!$B$9),IF(Nonlabor!$E$26="Core",1,IF(Nonlabor!$E$26="AI",'Start Here'!$B$7,'Start Here'!$B$8))=1,C1230&gt;=IF(Nonlabor!$E$26="Core",Nonlabor!$F$26,MAX(Nonlabor!$F$26,IF(Nonlabor!$E$26="AI",Assumptions!$C$24,Assumptions!$C$25))),C1230&lt;=Nonlabor!$G$26,OR(Nonlabor!$H$26="Monthly",AND(Nonlabor!$H$26="Once",C1230=IF(Nonlabor!$E$26="Core",Nonlabor!$F$26,MAX(Nonlabor!$F$26,IF(Nonlabor!$E$26="AI",Assumptions!$C$24,Assumptions!$C$25)))),AND(Nonlabor!$H$26="Annual",MOD(C1230-IF(Nonlabor!$E$26="Core",Nonlabor!$F$26,MAX(Nonlabor!$F$26,IF(Nonlabor!$E$26="AI",Assumptions!$C$24,Assumptions!$C$25))),12)=0))),IF(Nonlabor!$I$26="Fixed",1,IF(Nonlabor!$I$26="Seats",ROUNDUP('Monthly Lean'!I30,0),IF(Nonlabor!$I$26="Customers",'Monthly Lean'!D30,IF(Nonlabor!$I$26="NewCustomers",'Monthly Lean'!C30,IF(Nonlabor!$I$26="StorageGB",'Monthly Lean'!G30,IF(Nonlabor!$I$26="LogGB",'Monthly Lean'!H30,IF(Nonlabor!$I$26="RequestsM",'Monthly Lean'!F30,IF(Nonlabor!$I$26="InputM",'Monthly Lean'!D30*Assumptions!$C$22/1000000,IF(Nonlabor!$I$26="OutputM",'Monthly Lean'!D30*Assumptions!$C$23/1000000,0))))))))),0)</f>
        <v>0</v>
      </c>
      <c r="F1230" s="10" t="n">
        <f aca="false">Nonlabor!$J$26*(1+Assumptions!$C$9)^INT((C1230-1)/12)</f>
        <v>15913.5</v>
      </c>
      <c r="G1230" s="10" t="n">
        <f aca="false">E1230*F1230</f>
        <v>0</v>
      </c>
      <c r="H1230" s="10" t="n">
        <f aca="false">IF(OR(Nonlabor!$L$26="Quote required",Nonlabor!$L$26="Unverified"),G1230,0)</f>
        <v>0</v>
      </c>
      <c r="I1230" s="10" t="n">
        <f aca="false">IF(Nonlabor!$E$26="Core",0,G1230)</f>
        <v>0</v>
      </c>
      <c r="J1230" s="23" t="str">
        <f aca="false">Nonlabor!$B$26</f>
        <v>AI</v>
      </c>
    </row>
    <row r="1231" customFormat="false" ht="15" hidden="false" customHeight="false" outlineLevel="0" collapsed="false">
      <c r="A1231" s="6" t="s">
        <v>72</v>
      </c>
      <c r="B1231" s="6" t="s">
        <v>436</v>
      </c>
      <c r="C1231" s="6" t="n">
        <v>26</v>
      </c>
      <c r="D1231" s="25" t="n">
        <f aca="false">EDATE('Start Here'!$B$6,C1231-1)</f>
        <v>47088</v>
      </c>
      <c r="E1231" s="23" t="n">
        <f aca="false">IF(AND(OR(Nonlabor!$D$26="Both",Nonlabor!$D$26='Start Here'!$B$9),IF(Nonlabor!$E$26="Core",1,IF(Nonlabor!$E$26="AI",'Start Here'!$B$7,'Start Here'!$B$8))=1,C1231&gt;=IF(Nonlabor!$E$26="Core",Nonlabor!$F$26,MAX(Nonlabor!$F$26,IF(Nonlabor!$E$26="AI",Assumptions!$C$24,Assumptions!$C$25))),C1231&lt;=Nonlabor!$G$26,OR(Nonlabor!$H$26="Monthly",AND(Nonlabor!$H$26="Once",C1231=IF(Nonlabor!$E$26="Core",Nonlabor!$F$26,MAX(Nonlabor!$F$26,IF(Nonlabor!$E$26="AI",Assumptions!$C$24,Assumptions!$C$25)))),AND(Nonlabor!$H$26="Annual",MOD(C1231-IF(Nonlabor!$E$26="Core",Nonlabor!$F$26,MAX(Nonlabor!$F$26,IF(Nonlabor!$E$26="AI",Assumptions!$C$24,Assumptions!$C$25))),12)=0))),IF(Nonlabor!$I$26="Fixed",1,IF(Nonlabor!$I$26="Seats",ROUNDUP('Monthly Lean'!I31,0),IF(Nonlabor!$I$26="Customers",'Monthly Lean'!D31,IF(Nonlabor!$I$26="NewCustomers",'Monthly Lean'!C31,IF(Nonlabor!$I$26="StorageGB",'Monthly Lean'!G31,IF(Nonlabor!$I$26="LogGB",'Monthly Lean'!H31,IF(Nonlabor!$I$26="RequestsM",'Monthly Lean'!F31,IF(Nonlabor!$I$26="InputM",'Monthly Lean'!D31*Assumptions!$C$22/1000000,IF(Nonlabor!$I$26="OutputM",'Monthly Lean'!D31*Assumptions!$C$23/1000000,0))))))))),0)</f>
        <v>0</v>
      </c>
      <c r="F1231" s="10" t="n">
        <f aca="false">Nonlabor!$J$26*(1+Assumptions!$C$9)^INT((C1231-1)/12)</f>
        <v>15913.5</v>
      </c>
      <c r="G1231" s="10" t="n">
        <f aca="false">E1231*F1231</f>
        <v>0</v>
      </c>
      <c r="H1231" s="10" t="n">
        <f aca="false">IF(OR(Nonlabor!$L$26="Quote required",Nonlabor!$L$26="Unverified"),G1231,0)</f>
        <v>0</v>
      </c>
      <c r="I1231" s="10" t="n">
        <f aca="false">IF(Nonlabor!$E$26="Core",0,G1231)</f>
        <v>0</v>
      </c>
      <c r="J1231" s="23" t="str">
        <f aca="false">Nonlabor!$B$26</f>
        <v>AI</v>
      </c>
    </row>
    <row r="1232" customFormat="false" ht="15" hidden="false" customHeight="false" outlineLevel="0" collapsed="false">
      <c r="A1232" s="6" t="s">
        <v>72</v>
      </c>
      <c r="B1232" s="6" t="s">
        <v>436</v>
      </c>
      <c r="C1232" s="6" t="n">
        <v>27</v>
      </c>
      <c r="D1232" s="25" t="n">
        <f aca="false">EDATE('Start Here'!$B$6,C1232-1)</f>
        <v>47119</v>
      </c>
      <c r="E1232" s="23" t="n">
        <f aca="false">IF(AND(OR(Nonlabor!$D$26="Both",Nonlabor!$D$26='Start Here'!$B$9),IF(Nonlabor!$E$26="Core",1,IF(Nonlabor!$E$26="AI",'Start Here'!$B$7,'Start Here'!$B$8))=1,C1232&gt;=IF(Nonlabor!$E$26="Core",Nonlabor!$F$26,MAX(Nonlabor!$F$26,IF(Nonlabor!$E$26="AI",Assumptions!$C$24,Assumptions!$C$25))),C1232&lt;=Nonlabor!$G$26,OR(Nonlabor!$H$26="Monthly",AND(Nonlabor!$H$26="Once",C1232=IF(Nonlabor!$E$26="Core",Nonlabor!$F$26,MAX(Nonlabor!$F$26,IF(Nonlabor!$E$26="AI",Assumptions!$C$24,Assumptions!$C$25)))),AND(Nonlabor!$H$26="Annual",MOD(C1232-IF(Nonlabor!$E$26="Core",Nonlabor!$F$26,MAX(Nonlabor!$F$26,IF(Nonlabor!$E$26="AI",Assumptions!$C$24,Assumptions!$C$25))),12)=0))),IF(Nonlabor!$I$26="Fixed",1,IF(Nonlabor!$I$26="Seats",ROUNDUP('Monthly Lean'!I32,0),IF(Nonlabor!$I$26="Customers",'Monthly Lean'!D32,IF(Nonlabor!$I$26="NewCustomers",'Monthly Lean'!C32,IF(Nonlabor!$I$26="StorageGB",'Monthly Lean'!G32,IF(Nonlabor!$I$26="LogGB",'Monthly Lean'!H32,IF(Nonlabor!$I$26="RequestsM",'Monthly Lean'!F32,IF(Nonlabor!$I$26="InputM",'Monthly Lean'!D32*Assumptions!$C$22/1000000,IF(Nonlabor!$I$26="OutputM",'Monthly Lean'!D32*Assumptions!$C$23/1000000,0))))))))),0)</f>
        <v>0</v>
      </c>
      <c r="F1232" s="10" t="n">
        <f aca="false">Nonlabor!$J$26*(1+Assumptions!$C$9)^INT((C1232-1)/12)</f>
        <v>15913.5</v>
      </c>
      <c r="G1232" s="10" t="n">
        <f aca="false">E1232*F1232</f>
        <v>0</v>
      </c>
      <c r="H1232" s="10" t="n">
        <f aca="false">IF(OR(Nonlabor!$L$26="Quote required",Nonlabor!$L$26="Unverified"),G1232,0)</f>
        <v>0</v>
      </c>
      <c r="I1232" s="10" t="n">
        <f aca="false">IF(Nonlabor!$E$26="Core",0,G1232)</f>
        <v>0</v>
      </c>
      <c r="J1232" s="23" t="str">
        <f aca="false">Nonlabor!$B$26</f>
        <v>AI</v>
      </c>
    </row>
    <row r="1233" customFormat="false" ht="15" hidden="false" customHeight="false" outlineLevel="0" collapsed="false">
      <c r="A1233" s="6" t="s">
        <v>72</v>
      </c>
      <c r="B1233" s="6" t="s">
        <v>436</v>
      </c>
      <c r="C1233" s="6" t="n">
        <v>28</v>
      </c>
      <c r="D1233" s="25" t="n">
        <f aca="false">EDATE('Start Here'!$B$6,C1233-1)</f>
        <v>47150</v>
      </c>
      <c r="E1233" s="23" t="n">
        <f aca="false">IF(AND(OR(Nonlabor!$D$26="Both",Nonlabor!$D$26='Start Here'!$B$9),IF(Nonlabor!$E$26="Core",1,IF(Nonlabor!$E$26="AI",'Start Here'!$B$7,'Start Here'!$B$8))=1,C1233&gt;=IF(Nonlabor!$E$26="Core",Nonlabor!$F$26,MAX(Nonlabor!$F$26,IF(Nonlabor!$E$26="AI",Assumptions!$C$24,Assumptions!$C$25))),C1233&lt;=Nonlabor!$G$26,OR(Nonlabor!$H$26="Monthly",AND(Nonlabor!$H$26="Once",C1233=IF(Nonlabor!$E$26="Core",Nonlabor!$F$26,MAX(Nonlabor!$F$26,IF(Nonlabor!$E$26="AI",Assumptions!$C$24,Assumptions!$C$25)))),AND(Nonlabor!$H$26="Annual",MOD(C1233-IF(Nonlabor!$E$26="Core",Nonlabor!$F$26,MAX(Nonlabor!$F$26,IF(Nonlabor!$E$26="AI",Assumptions!$C$24,Assumptions!$C$25))),12)=0))),IF(Nonlabor!$I$26="Fixed",1,IF(Nonlabor!$I$26="Seats",ROUNDUP('Monthly Lean'!I33,0),IF(Nonlabor!$I$26="Customers",'Monthly Lean'!D33,IF(Nonlabor!$I$26="NewCustomers",'Monthly Lean'!C33,IF(Nonlabor!$I$26="StorageGB",'Monthly Lean'!G33,IF(Nonlabor!$I$26="LogGB",'Monthly Lean'!H33,IF(Nonlabor!$I$26="RequestsM",'Monthly Lean'!F33,IF(Nonlabor!$I$26="InputM",'Monthly Lean'!D33*Assumptions!$C$22/1000000,IF(Nonlabor!$I$26="OutputM",'Monthly Lean'!D33*Assumptions!$C$23/1000000,0))))))))),0)</f>
        <v>0</v>
      </c>
      <c r="F1233" s="10" t="n">
        <f aca="false">Nonlabor!$J$26*(1+Assumptions!$C$9)^INT((C1233-1)/12)</f>
        <v>15913.5</v>
      </c>
      <c r="G1233" s="10" t="n">
        <f aca="false">E1233*F1233</f>
        <v>0</v>
      </c>
      <c r="H1233" s="10" t="n">
        <f aca="false">IF(OR(Nonlabor!$L$26="Quote required",Nonlabor!$L$26="Unverified"),G1233,0)</f>
        <v>0</v>
      </c>
      <c r="I1233" s="10" t="n">
        <f aca="false">IF(Nonlabor!$E$26="Core",0,G1233)</f>
        <v>0</v>
      </c>
      <c r="J1233" s="23" t="str">
        <f aca="false">Nonlabor!$B$26</f>
        <v>AI</v>
      </c>
    </row>
    <row r="1234" customFormat="false" ht="15" hidden="false" customHeight="false" outlineLevel="0" collapsed="false">
      <c r="A1234" s="6" t="s">
        <v>72</v>
      </c>
      <c r="B1234" s="6" t="s">
        <v>436</v>
      </c>
      <c r="C1234" s="6" t="n">
        <v>29</v>
      </c>
      <c r="D1234" s="25" t="n">
        <f aca="false">EDATE('Start Here'!$B$6,C1234-1)</f>
        <v>47178</v>
      </c>
      <c r="E1234" s="23" t="n">
        <f aca="false">IF(AND(OR(Nonlabor!$D$26="Both",Nonlabor!$D$26='Start Here'!$B$9),IF(Nonlabor!$E$26="Core",1,IF(Nonlabor!$E$26="AI",'Start Here'!$B$7,'Start Here'!$B$8))=1,C1234&gt;=IF(Nonlabor!$E$26="Core",Nonlabor!$F$26,MAX(Nonlabor!$F$26,IF(Nonlabor!$E$26="AI",Assumptions!$C$24,Assumptions!$C$25))),C1234&lt;=Nonlabor!$G$26,OR(Nonlabor!$H$26="Monthly",AND(Nonlabor!$H$26="Once",C1234=IF(Nonlabor!$E$26="Core",Nonlabor!$F$26,MAX(Nonlabor!$F$26,IF(Nonlabor!$E$26="AI",Assumptions!$C$24,Assumptions!$C$25)))),AND(Nonlabor!$H$26="Annual",MOD(C1234-IF(Nonlabor!$E$26="Core",Nonlabor!$F$26,MAX(Nonlabor!$F$26,IF(Nonlabor!$E$26="AI",Assumptions!$C$24,Assumptions!$C$25))),12)=0))),IF(Nonlabor!$I$26="Fixed",1,IF(Nonlabor!$I$26="Seats",ROUNDUP('Monthly Lean'!I34,0),IF(Nonlabor!$I$26="Customers",'Monthly Lean'!D34,IF(Nonlabor!$I$26="NewCustomers",'Monthly Lean'!C34,IF(Nonlabor!$I$26="StorageGB",'Monthly Lean'!G34,IF(Nonlabor!$I$26="LogGB",'Monthly Lean'!H34,IF(Nonlabor!$I$26="RequestsM",'Monthly Lean'!F34,IF(Nonlabor!$I$26="InputM",'Monthly Lean'!D34*Assumptions!$C$22/1000000,IF(Nonlabor!$I$26="OutputM",'Monthly Lean'!D34*Assumptions!$C$23/1000000,0))))))))),0)</f>
        <v>0</v>
      </c>
      <c r="F1234" s="10" t="n">
        <f aca="false">Nonlabor!$J$26*(1+Assumptions!$C$9)^INT((C1234-1)/12)</f>
        <v>15913.5</v>
      </c>
      <c r="G1234" s="10" t="n">
        <f aca="false">E1234*F1234</f>
        <v>0</v>
      </c>
      <c r="H1234" s="10" t="n">
        <f aca="false">IF(OR(Nonlabor!$L$26="Quote required",Nonlabor!$L$26="Unverified"),G1234,0)</f>
        <v>0</v>
      </c>
      <c r="I1234" s="10" t="n">
        <f aca="false">IF(Nonlabor!$E$26="Core",0,G1234)</f>
        <v>0</v>
      </c>
      <c r="J1234" s="23" t="str">
        <f aca="false">Nonlabor!$B$26</f>
        <v>AI</v>
      </c>
    </row>
    <row r="1235" customFormat="false" ht="15" hidden="false" customHeight="false" outlineLevel="0" collapsed="false">
      <c r="A1235" s="6" t="s">
        <v>72</v>
      </c>
      <c r="B1235" s="6" t="s">
        <v>436</v>
      </c>
      <c r="C1235" s="6" t="n">
        <v>30</v>
      </c>
      <c r="D1235" s="25" t="n">
        <f aca="false">EDATE('Start Here'!$B$6,C1235-1)</f>
        <v>47209</v>
      </c>
      <c r="E1235" s="23" t="n">
        <f aca="false">IF(AND(OR(Nonlabor!$D$26="Both",Nonlabor!$D$26='Start Here'!$B$9),IF(Nonlabor!$E$26="Core",1,IF(Nonlabor!$E$26="AI",'Start Here'!$B$7,'Start Here'!$B$8))=1,C1235&gt;=IF(Nonlabor!$E$26="Core",Nonlabor!$F$26,MAX(Nonlabor!$F$26,IF(Nonlabor!$E$26="AI",Assumptions!$C$24,Assumptions!$C$25))),C1235&lt;=Nonlabor!$G$26,OR(Nonlabor!$H$26="Monthly",AND(Nonlabor!$H$26="Once",C1235=IF(Nonlabor!$E$26="Core",Nonlabor!$F$26,MAX(Nonlabor!$F$26,IF(Nonlabor!$E$26="AI",Assumptions!$C$24,Assumptions!$C$25)))),AND(Nonlabor!$H$26="Annual",MOD(C1235-IF(Nonlabor!$E$26="Core",Nonlabor!$F$26,MAX(Nonlabor!$F$26,IF(Nonlabor!$E$26="AI",Assumptions!$C$24,Assumptions!$C$25))),12)=0))),IF(Nonlabor!$I$26="Fixed",1,IF(Nonlabor!$I$26="Seats",ROUNDUP('Monthly Lean'!I35,0),IF(Nonlabor!$I$26="Customers",'Monthly Lean'!D35,IF(Nonlabor!$I$26="NewCustomers",'Monthly Lean'!C35,IF(Nonlabor!$I$26="StorageGB",'Monthly Lean'!G35,IF(Nonlabor!$I$26="LogGB",'Monthly Lean'!H35,IF(Nonlabor!$I$26="RequestsM",'Monthly Lean'!F35,IF(Nonlabor!$I$26="InputM",'Monthly Lean'!D35*Assumptions!$C$22/1000000,IF(Nonlabor!$I$26="OutputM",'Monthly Lean'!D35*Assumptions!$C$23/1000000,0))))))))),0)</f>
        <v>0</v>
      </c>
      <c r="F1235" s="10" t="n">
        <f aca="false">Nonlabor!$J$26*(1+Assumptions!$C$9)^INT((C1235-1)/12)</f>
        <v>15913.5</v>
      </c>
      <c r="G1235" s="10" t="n">
        <f aca="false">E1235*F1235</f>
        <v>0</v>
      </c>
      <c r="H1235" s="10" t="n">
        <f aca="false">IF(OR(Nonlabor!$L$26="Quote required",Nonlabor!$L$26="Unverified"),G1235,0)</f>
        <v>0</v>
      </c>
      <c r="I1235" s="10" t="n">
        <f aca="false">IF(Nonlabor!$E$26="Core",0,G1235)</f>
        <v>0</v>
      </c>
      <c r="J1235" s="23" t="str">
        <f aca="false">Nonlabor!$B$26</f>
        <v>AI</v>
      </c>
    </row>
    <row r="1236" customFormat="false" ht="15" hidden="false" customHeight="false" outlineLevel="0" collapsed="false">
      <c r="A1236" s="6" t="s">
        <v>72</v>
      </c>
      <c r="B1236" s="6" t="s">
        <v>436</v>
      </c>
      <c r="C1236" s="6" t="n">
        <v>31</v>
      </c>
      <c r="D1236" s="25" t="n">
        <f aca="false">EDATE('Start Here'!$B$6,C1236-1)</f>
        <v>47239</v>
      </c>
      <c r="E1236" s="23" t="n">
        <f aca="false">IF(AND(OR(Nonlabor!$D$26="Both",Nonlabor!$D$26='Start Here'!$B$9),IF(Nonlabor!$E$26="Core",1,IF(Nonlabor!$E$26="AI",'Start Here'!$B$7,'Start Here'!$B$8))=1,C1236&gt;=IF(Nonlabor!$E$26="Core",Nonlabor!$F$26,MAX(Nonlabor!$F$26,IF(Nonlabor!$E$26="AI",Assumptions!$C$24,Assumptions!$C$25))),C1236&lt;=Nonlabor!$G$26,OR(Nonlabor!$H$26="Monthly",AND(Nonlabor!$H$26="Once",C1236=IF(Nonlabor!$E$26="Core",Nonlabor!$F$26,MAX(Nonlabor!$F$26,IF(Nonlabor!$E$26="AI",Assumptions!$C$24,Assumptions!$C$25)))),AND(Nonlabor!$H$26="Annual",MOD(C1236-IF(Nonlabor!$E$26="Core",Nonlabor!$F$26,MAX(Nonlabor!$F$26,IF(Nonlabor!$E$26="AI",Assumptions!$C$24,Assumptions!$C$25))),12)=0))),IF(Nonlabor!$I$26="Fixed",1,IF(Nonlabor!$I$26="Seats",ROUNDUP('Monthly Lean'!I36,0),IF(Nonlabor!$I$26="Customers",'Monthly Lean'!D36,IF(Nonlabor!$I$26="NewCustomers",'Monthly Lean'!C36,IF(Nonlabor!$I$26="StorageGB",'Monthly Lean'!G36,IF(Nonlabor!$I$26="LogGB",'Monthly Lean'!H36,IF(Nonlabor!$I$26="RequestsM",'Monthly Lean'!F36,IF(Nonlabor!$I$26="InputM",'Monthly Lean'!D36*Assumptions!$C$22/1000000,IF(Nonlabor!$I$26="OutputM",'Monthly Lean'!D36*Assumptions!$C$23/1000000,0))))))))),0)</f>
        <v>0</v>
      </c>
      <c r="F1236" s="10" t="n">
        <f aca="false">Nonlabor!$J$26*(1+Assumptions!$C$9)^INT((C1236-1)/12)</f>
        <v>15913.5</v>
      </c>
      <c r="G1236" s="10" t="n">
        <f aca="false">E1236*F1236</f>
        <v>0</v>
      </c>
      <c r="H1236" s="10" t="n">
        <f aca="false">IF(OR(Nonlabor!$L$26="Quote required",Nonlabor!$L$26="Unverified"),G1236,0)</f>
        <v>0</v>
      </c>
      <c r="I1236" s="10" t="n">
        <f aca="false">IF(Nonlabor!$E$26="Core",0,G1236)</f>
        <v>0</v>
      </c>
      <c r="J1236" s="23" t="str">
        <f aca="false">Nonlabor!$B$26</f>
        <v>AI</v>
      </c>
    </row>
    <row r="1237" customFormat="false" ht="15" hidden="false" customHeight="false" outlineLevel="0" collapsed="false">
      <c r="A1237" s="6" t="s">
        <v>72</v>
      </c>
      <c r="B1237" s="6" t="s">
        <v>436</v>
      </c>
      <c r="C1237" s="6" t="n">
        <v>32</v>
      </c>
      <c r="D1237" s="25" t="n">
        <f aca="false">EDATE('Start Here'!$B$6,C1237-1)</f>
        <v>47270</v>
      </c>
      <c r="E1237" s="23" t="n">
        <f aca="false">IF(AND(OR(Nonlabor!$D$26="Both",Nonlabor!$D$26='Start Here'!$B$9),IF(Nonlabor!$E$26="Core",1,IF(Nonlabor!$E$26="AI",'Start Here'!$B$7,'Start Here'!$B$8))=1,C1237&gt;=IF(Nonlabor!$E$26="Core",Nonlabor!$F$26,MAX(Nonlabor!$F$26,IF(Nonlabor!$E$26="AI",Assumptions!$C$24,Assumptions!$C$25))),C1237&lt;=Nonlabor!$G$26,OR(Nonlabor!$H$26="Monthly",AND(Nonlabor!$H$26="Once",C1237=IF(Nonlabor!$E$26="Core",Nonlabor!$F$26,MAX(Nonlabor!$F$26,IF(Nonlabor!$E$26="AI",Assumptions!$C$24,Assumptions!$C$25)))),AND(Nonlabor!$H$26="Annual",MOD(C1237-IF(Nonlabor!$E$26="Core",Nonlabor!$F$26,MAX(Nonlabor!$F$26,IF(Nonlabor!$E$26="AI",Assumptions!$C$24,Assumptions!$C$25))),12)=0))),IF(Nonlabor!$I$26="Fixed",1,IF(Nonlabor!$I$26="Seats",ROUNDUP('Monthly Lean'!I37,0),IF(Nonlabor!$I$26="Customers",'Monthly Lean'!D37,IF(Nonlabor!$I$26="NewCustomers",'Monthly Lean'!C37,IF(Nonlabor!$I$26="StorageGB",'Monthly Lean'!G37,IF(Nonlabor!$I$26="LogGB",'Monthly Lean'!H37,IF(Nonlabor!$I$26="RequestsM",'Monthly Lean'!F37,IF(Nonlabor!$I$26="InputM",'Monthly Lean'!D37*Assumptions!$C$22/1000000,IF(Nonlabor!$I$26="OutputM",'Monthly Lean'!D37*Assumptions!$C$23/1000000,0))))))))),0)</f>
        <v>0</v>
      </c>
      <c r="F1237" s="10" t="n">
        <f aca="false">Nonlabor!$J$26*(1+Assumptions!$C$9)^INT((C1237-1)/12)</f>
        <v>15913.5</v>
      </c>
      <c r="G1237" s="10" t="n">
        <f aca="false">E1237*F1237</f>
        <v>0</v>
      </c>
      <c r="H1237" s="10" t="n">
        <f aca="false">IF(OR(Nonlabor!$L$26="Quote required",Nonlabor!$L$26="Unverified"),G1237,0)</f>
        <v>0</v>
      </c>
      <c r="I1237" s="10" t="n">
        <f aca="false">IF(Nonlabor!$E$26="Core",0,G1237)</f>
        <v>0</v>
      </c>
      <c r="J1237" s="23" t="str">
        <f aca="false">Nonlabor!$B$26</f>
        <v>AI</v>
      </c>
    </row>
    <row r="1238" customFormat="false" ht="15" hidden="false" customHeight="false" outlineLevel="0" collapsed="false">
      <c r="A1238" s="6" t="s">
        <v>72</v>
      </c>
      <c r="B1238" s="6" t="s">
        <v>436</v>
      </c>
      <c r="C1238" s="6" t="n">
        <v>33</v>
      </c>
      <c r="D1238" s="25" t="n">
        <f aca="false">EDATE('Start Here'!$B$6,C1238-1)</f>
        <v>47300</v>
      </c>
      <c r="E1238" s="23" t="n">
        <f aca="false">IF(AND(OR(Nonlabor!$D$26="Both",Nonlabor!$D$26='Start Here'!$B$9),IF(Nonlabor!$E$26="Core",1,IF(Nonlabor!$E$26="AI",'Start Here'!$B$7,'Start Here'!$B$8))=1,C1238&gt;=IF(Nonlabor!$E$26="Core",Nonlabor!$F$26,MAX(Nonlabor!$F$26,IF(Nonlabor!$E$26="AI",Assumptions!$C$24,Assumptions!$C$25))),C1238&lt;=Nonlabor!$G$26,OR(Nonlabor!$H$26="Monthly",AND(Nonlabor!$H$26="Once",C1238=IF(Nonlabor!$E$26="Core",Nonlabor!$F$26,MAX(Nonlabor!$F$26,IF(Nonlabor!$E$26="AI",Assumptions!$C$24,Assumptions!$C$25)))),AND(Nonlabor!$H$26="Annual",MOD(C1238-IF(Nonlabor!$E$26="Core",Nonlabor!$F$26,MAX(Nonlabor!$F$26,IF(Nonlabor!$E$26="AI",Assumptions!$C$24,Assumptions!$C$25))),12)=0))),IF(Nonlabor!$I$26="Fixed",1,IF(Nonlabor!$I$26="Seats",ROUNDUP('Monthly Lean'!I38,0),IF(Nonlabor!$I$26="Customers",'Monthly Lean'!D38,IF(Nonlabor!$I$26="NewCustomers",'Monthly Lean'!C38,IF(Nonlabor!$I$26="StorageGB",'Monthly Lean'!G38,IF(Nonlabor!$I$26="LogGB",'Monthly Lean'!H38,IF(Nonlabor!$I$26="RequestsM",'Monthly Lean'!F38,IF(Nonlabor!$I$26="InputM",'Monthly Lean'!D38*Assumptions!$C$22/1000000,IF(Nonlabor!$I$26="OutputM",'Monthly Lean'!D38*Assumptions!$C$23/1000000,0))))))))),0)</f>
        <v>0</v>
      </c>
      <c r="F1238" s="10" t="n">
        <f aca="false">Nonlabor!$J$26*(1+Assumptions!$C$9)^INT((C1238-1)/12)</f>
        <v>15913.5</v>
      </c>
      <c r="G1238" s="10" t="n">
        <f aca="false">E1238*F1238</f>
        <v>0</v>
      </c>
      <c r="H1238" s="10" t="n">
        <f aca="false">IF(OR(Nonlabor!$L$26="Quote required",Nonlabor!$L$26="Unverified"),G1238,0)</f>
        <v>0</v>
      </c>
      <c r="I1238" s="10" t="n">
        <f aca="false">IF(Nonlabor!$E$26="Core",0,G1238)</f>
        <v>0</v>
      </c>
      <c r="J1238" s="23" t="str">
        <f aca="false">Nonlabor!$B$26</f>
        <v>AI</v>
      </c>
    </row>
    <row r="1239" customFormat="false" ht="15" hidden="false" customHeight="false" outlineLevel="0" collapsed="false">
      <c r="A1239" s="6" t="s">
        <v>72</v>
      </c>
      <c r="B1239" s="6" t="s">
        <v>436</v>
      </c>
      <c r="C1239" s="6" t="n">
        <v>34</v>
      </c>
      <c r="D1239" s="25" t="n">
        <f aca="false">EDATE('Start Here'!$B$6,C1239-1)</f>
        <v>47331</v>
      </c>
      <c r="E1239" s="23" t="n">
        <f aca="false">IF(AND(OR(Nonlabor!$D$26="Both",Nonlabor!$D$26='Start Here'!$B$9),IF(Nonlabor!$E$26="Core",1,IF(Nonlabor!$E$26="AI",'Start Here'!$B$7,'Start Here'!$B$8))=1,C1239&gt;=IF(Nonlabor!$E$26="Core",Nonlabor!$F$26,MAX(Nonlabor!$F$26,IF(Nonlabor!$E$26="AI",Assumptions!$C$24,Assumptions!$C$25))),C1239&lt;=Nonlabor!$G$26,OR(Nonlabor!$H$26="Monthly",AND(Nonlabor!$H$26="Once",C1239=IF(Nonlabor!$E$26="Core",Nonlabor!$F$26,MAX(Nonlabor!$F$26,IF(Nonlabor!$E$26="AI",Assumptions!$C$24,Assumptions!$C$25)))),AND(Nonlabor!$H$26="Annual",MOD(C1239-IF(Nonlabor!$E$26="Core",Nonlabor!$F$26,MAX(Nonlabor!$F$26,IF(Nonlabor!$E$26="AI",Assumptions!$C$24,Assumptions!$C$25))),12)=0))),IF(Nonlabor!$I$26="Fixed",1,IF(Nonlabor!$I$26="Seats",ROUNDUP('Monthly Lean'!I39,0),IF(Nonlabor!$I$26="Customers",'Monthly Lean'!D39,IF(Nonlabor!$I$26="NewCustomers",'Monthly Lean'!C39,IF(Nonlabor!$I$26="StorageGB",'Monthly Lean'!G39,IF(Nonlabor!$I$26="LogGB",'Monthly Lean'!H39,IF(Nonlabor!$I$26="RequestsM",'Monthly Lean'!F39,IF(Nonlabor!$I$26="InputM",'Monthly Lean'!D39*Assumptions!$C$22/1000000,IF(Nonlabor!$I$26="OutputM",'Monthly Lean'!D39*Assumptions!$C$23/1000000,0))))))))),0)</f>
        <v>0</v>
      </c>
      <c r="F1239" s="10" t="n">
        <f aca="false">Nonlabor!$J$26*(1+Assumptions!$C$9)^INT((C1239-1)/12)</f>
        <v>15913.5</v>
      </c>
      <c r="G1239" s="10" t="n">
        <f aca="false">E1239*F1239</f>
        <v>0</v>
      </c>
      <c r="H1239" s="10" t="n">
        <f aca="false">IF(OR(Nonlabor!$L$26="Quote required",Nonlabor!$L$26="Unverified"),G1239,0)</f>
        <v>0</v>
      </c>
      <c r="I1239" s="10" t="n">
        <f aca="false">IF(Nonlabor!$E$26="Core",0,G1239)</f>
        <v>0</v>
      </c>
      <c r="J1239" s="23" t="str">
        <f aca="false">Nonlabor!$B$26</f>
        <v>AI</v>
      </c>
    </row>
    <row r="1240" customFormat="false" ht="15" hidden="false" customHeight="false" outlineLevel="0" collapsed="false">
      <c r="A1240" s="6" t="s">
        <v>72</v>
      </c>
      <c r="B1240" s="6" t="s">
        <v>436</v>
      </c>
      <c r="C1240" s="6" t="n">
        <v>35</v>
      </c>
      <c r="D1240" s="25" t="n">
        <f aca="false">EDATE('Start Here'!$B$6,C1240-1)</f>
        <v>47362</v>
      </c>
      <c r="E1240" s="23" t="n">
        <f aca="false">IF(AND(OR(Nonlabor!$D$26="Both",Nonlabor!$D$26='Start Here'!$B$9),IF(Nonlabor!$E$26="Core",1,IF(Nonlabor!$E$26="AI",'Start Here'!$B$7,'Start Here'!$B$8))=1,C1240&gt;=IF(Nonlabor!$E$26="Core",Nonlabor!$F$26,MAX(Nonlabor!$F$26,IF(Nonlabor!$E$26="AI",Assumptions!$C$24,Assumptions!$C$25))),C1240&lt;=Nonlabor!$G$26,OR(Nonlabor!$H$26="Monthly",AND(Nonlabor!$H$26="Once",C1240=IF(Nonlabor!$E$26="Core",Nonlabor!$F$26,MAX(Nonlabor!$F$26,IF(Nonlabor!$E$26="AI",Assumptions!$C$24,Assumptions!$C$25)))),AND(Nonlabor!$H$26="Annual",MOD(C1240-IF(Nonlabor!$E$26="Core",Nonlabor!$F$26,MAX(Nonlabor!$F$26,IF(Nonlabor!$E$26="AI",Assumptions!$C$24,Assumptions!$C$25))),12)=0))),IF(Nonlabor!$I$26="Fixed",1,IF(Nonlabor!$I$26="Seats",ROUNDUP('Monthly Lean'!I40,0),IF(Nonlabor!$I$26="Customers",'Monthly Lean'!D40,IF(Nonlabor!$I$26="NewCustomers",'Monthly Lean'!C40,IF(Nonlabor!$I$26="StorageGB",'Monthly Lean'!G40,IF(Nonlabor!$I$26="LogGB",'Monthly Lean'!H40,IF(Nonlabor!$I$26="RequestsM",'Monthly Lean'!F40,IF(Nonlabor!$I$26="InputM",'Monthly Lean'!D40*Assumptions!$C$22/1000000,IF(Nonlabor!$I$26="OutputM",'Monthly Lean'!D40*Assumptions!$C$23/1000000,0))))))))),0)</f>
        <v>0</v>
      </c>
      <c r="F1240" s="10" t="n">
        <f aca="false">Nonlabor!$J$26*(1+Assumptions!$C$9)^INT((C1240-1)/12)</f>
        <v>15913.5</v>
      </c>
      <c r="G1240" s="10" t="n">
        <f aca="false">E1240*F1240</f>
        <v>0</v>
      </c>
      <c r="H1240" s="10" t="n">
        <f aca="false">IF(OR(Nonlabor!$L$26="Quote required",Nonlabor!$L$26="Unverified"),G1240,0)</f>
        <v>0</v>
      </c>
      <c r="I1240" s="10" t="n">
        <f aca="false">IF(Nonlabor!$E$26="Core",0,G1240)</f>
        <v>0</v>
      </c>
      <c r="J1240" s="23" t="str">
        <f aca="false">Nonlabor!$B$26</f>
        <v>AI</v>
      </c>
    </row>
    <row r="1241" customFormat="false" ht="15" hidden="false" customHeight="false" outlineLevel="0" collapsed="false">
      <c r="A1241" s="6" t="s">
        <v>72</v>
      </c>
      <c r="B1241" s="6" t="s">
        <v>436</v>
      </c>
      <c r="C1241" s="6" t="n">
        <v>36</v>
      </c>
      <c r="D1241" s="25" t="n">
        <f aca="false">EDATE('Start Here'!$B$6,C1241-1)</f>
        <v>47392</v>
      </c>
      <c r="E1241" s="23" t="n">
        <f aca="false">IF(AND(OR(Nonlabor!$D$26="Both",Nonlabor!$D$26='Start Here'!$B$9),IF(Nonlabor!$E$26="Core",1,IF(Nonlabor!$E$26="AI",'Start Here'!$B$7,'Start Here'!$B$8))=1,C1241&gt;=IF(Nonlabor!$E$26="Core",Nonlabor!$F$26,MAX(Nonlabor!$F$26,IF(Nonlabor!$E$26="AI",Assumptions!$C$24,Assumptions!$C$25))),C1241&lt;=Nonlabor!$G$26,OR(Nonlabor!$H$26="Monthly",AND(Nonlabor!$H$26="Once",C1241=IF(Nonlabor!$E$26="Core",Nonlabor!$F$26,MAX(Nonlabor!$F$26,IF(Nonlabor!$E$26="AI",Assumptions!$C$24,Assumptions!$C$25)))),AND(Nonlabor!$H$26="Annual",MOD(C1241-IF(Nonlabor!$E$26="Core",Nonlabor!$F$26,MAX(Nonlabor!$F$26,IF(Nonlabor!$E$26="AI",Assumptions!$C$24,Assumptions!$C$25))),12)=0))),IF(Nonlabor!$I$26="Fixed",1,IF(Nonlabor!$I$26="Seats",ROUNDUP('Monthly Lean'!I41,0),IF(Nonlabor!$I$26="Customers",'Monthly Lean'!D41,IF(Nonlabor!$I$26="NewCustomers",'Monthly Lean'!C41,IF(Nonlabor!$I$26="StorageGB",'Monthly Lean'!G41,IF(Nonlabor!$I$26="LogGB",'Monthly Lean'!H41,IF(Nonlabor!$I$26="RequestsM",'Monthly Lean'!F41,IF(Nonlabor!$I$26="InputM",'Monthly Lean'!D41*Assumptions!$C$22/1000000,IF(Nonlabor!$I$26="OutputM",'Monthly Lean'!D41*Assumptions!$C$23/1000000,0))))))))),0)</f>
        <v>0</v>
      </c>
      <c r="F1241" s="10" t="n">
        <f aca="false">Nonlabor!$J$26*(1+Assumptions!$C$9)^INT((C1241-1)/12)</f>
        <v>15913.5</v>
      </c>
      <c r="G1241" s="10" t="n">
        <f aca="false">E1241*F1241</f>
        <v>0</v>
      </c>
      <c r="H1241" s="10" t="n">
        <f aca="false">IF(OR(Nonlabor!$L$26="Quote required",Nonlabor!$L$26="Unverified"),G1241,0)</f>
        <v>0</v>
      </c>
      <c r="I1241" s="10" t="n">
        <f aca="false">IF(Nonlabor!$E$26="Core",0,G1241)</f>
        <v>0</v>
      </c>
      <c r="J1241" s="23" t="str">
        <f aca="false">Nonlabor!$B$26</f>
        <v>AI</v>
      </c>
    </row>
    <row r="1242" customFormat="false" ht="15" hidden="false" customHeight="false" outlineLevel="0" collapsed="false">
      <c r="A1242" s="6" t="s">
        <v>72</v>
      </c>
      <c r="B1242" s="6" t="s">
        <v>436</v>
      </c>
      <c r="C1242" s="6" t="n">
        <v>37</v>
      </c>
      <c r="D1242" s="25" t="n">
        <f aca="false">EDATE('Start Here'!$B$6,C1242-1)</f>
        <v>47423</v>
      </c>
      <c r="E1242" s="23" t="n">
        <f aca="false">IF(AND(OR(Nonlabor!$D$26="Both",Nonlabor!$D$26='Start Here'!$B$9),IF(Nonlabor!$E$26="Core",1,IF(Nonlabor!$E$26="AI",'Start Here'!$B$7,'Start Here'!$B$8))=1,C1242&gt;=IF(Nonlabor!$E$26="Core",Nonlabor!$F$26,MAX(Nonlabor!$F$26,IF(Nonlabor!$E$26="AI",Assumptions!$C$24,Assumptions!$C$25))),C1242&lt;=Nonlabor!$G$26,OR(Nonlabor!$H$26="Monthly",AND(Nonlabor!$H$26="Once",C1242=IF(Nonlabor!$E$26="Core",Nonlabor!$F$26,MAX(Nonlabor!$F$26,IF(Nonlabor!$E$26="AI",Assumptions!$C$24,Assumptions!$C$25)))),AND(Nonlabor!$H$26="Annual",MOD(C1242-IF(Nonlabor!$E$26="Core",Nonlabor!$F$26,MAX(Nonlabor!$F$26,IF(Nonlabor!$E$26="AI",Assumptions!$C$24,Assumptions!$C$25))),12)=0))),IF(Nonlabor!$I$26="Fixed",1,IF(Nonlabor!$I$26="Seats",ROUNDUP('Monthly Lean'!I42,0),IF(Nonlabor!$I$26="Customers",'Monthly Lean'!D42,IF(Nonlabor!$I$26="NewCustomers",'Monthly Lean'!C42,IF(Nonlabor!$I$26="StorageGB",'Monthly Lean'!G42,IF(Nonlabor!$I$26="LogGB",'Monthly Lean'!H42,IF(Nonlabor!$I$26="RequestsM",'Monthly Lean'!F42,IF(Nonlabor!$I$26="InputM",'Monthly Lean'!D42*Assumptions!$C$22/1000000,IF(Nonlabor!$I$26="OutputM",'Monthly Lean'!D42*Assumptions!$C$23/1000000,0))))))))),0)</f>
        <v>0</v>
      </c>
      <c r="F1242" s="10" t="n">
        <f aca="false">Nonlabor!$J$26*(1+Assumptions!$C$9)^INT((C1242-1)/12)</f>
        <v>16390.905</v>
      </c>
      <c r="G1242" s="10" t="n">
        <f aca="false">E1242*F1242</f>
        <v>0</v>
      </c>
      <c r="H1242" s="10" t="n">
        <f aca="false">IF(OR(Nonlabor!$L$26="Quote required",Nonlabor!$L$26="Unverified"),G1242,0)</f>
        <v>0</v>
      </c>
      <c r="I1242" s="10" t="n">
        <f aca="false">IF(Nonlabor!$E$26="Core",0,G1242)</f>
        <v>0</v>
      </c>
      <c r="J1242" s="23" t="str">
        <f aca="false">Nonlabor!$B$26</f>
        <v>AI</v>
      </c>
    </row>
    <row r="1243" customFormat="false" ht="15" hidden="false" customHeight="false" outlineLevel="0" collapsed="false">
      <c r="A1243" s="6" t="s">
        <v>72</v>
      </c>
      <c r="B1243" s="6" t="s">
        <v>436</v>
      </c>
      <c r="C1243" s="6" t="n">
        <v>38</v>
      </c>
      <c r="D1243" s="25" t="n">
        <f aca="false">EDATE('Start Here'!$B$6,C1243-1)</f>
        <v>47453</v>
      </c>
      <c r="E1243" s="23" t="n">
        <f aca="false">IF(AND(OR(Nonlabor!$D$26="Both",Nonlabor!$D$26='Start Here'!$B$9),IF(Nonlabor!$E$26="Core",1,IF(Nonlabor!$E$26="AI",'Start Here'!$B$7,'Start Here'!$B$8))=1,C1243&gt;=IF(Nonlabor!$E$26="Core",Nonlabor!$F$26,MAX(Nonlabor!$F$26,IF(Nonlabor!$E$26="AI",Assumptions!$C$24,Assumptions!$C$25))),C1243&lt;=Nonlabor!$G$26,OR(Nonlabor!$H$26="Monthly",AND(Nonlabor!$H$26="Once",C1243=IF(Nonlabor!$E$26="Core",Nonlabor!$F$26,MAX(Nonlabor!$F$26,IF(Nonlabor!$E$26="AI",Assumptions!$C$24,Assumptions!$C$25)))),AND(Nonlabor!$H$26="Annual",MOD(C1243-IF(Nonlabor!$E$26="Core",Nonlabor!$F$26,MAX(Nonlabor!$F$26,IF(Nonlabor!$E$26="AI",Assumptions!$C$24,Assumptions!$C$25))),12)=0))),IF(Nonlabor!$I$26="Fixed",1,IF(Nonlabor!$I$26="Seats",ROUNDUP('Monthly Lean'!I43,0),IF(Nonlabor!$I$26="Customers",'Monthly Lean'!D43,IF(Nonlabor!$I$26="NewCustomers",'Monthly Lean'!C43,IF(Nonlabor!$I$26="StorageGB",'Monthly Lean'!G43,IF(Nonlabor!$I$26="LogGB",'Monthly Lean'!H43,IF(Nonlabor!$I$26="RequestsM",'Monthly Lean'!F43,IF(Nonlabor!$I$26="InputM",'Monthly Lean'!D43*Assumptions!$C$22/1000000,IF(Nonlabor!$I$26="OutputM",'Monthly Lean'!D43*Assumptions!$C$23/1000000,0))))))))),0)</f>
        <v>0</v>
      </c>
      <c r="F1243" s="10" t="n">
        <f aca="false">Nonlabor!$J$26*(1+Assumptions!$C$9)^INT((C1243-1)/12)</f>
        <v>16390.905</v>
      </c>
      <c r="G1243" s="10" t="n">
        <f aca="false">E1243*F1243</f>
        <v>0</v>
      </c>
      <c r="H1243" s="10" t="n">
        <f aca="false">IF(OR(Nonlabor!$L$26="Quote required",Nonlabor!$L$26="Unverified"),G1243,0)</f>
        <v>0</v>
      </c>
      <c r="I1243" s="10" t="n">
        <f aca="false">IF(Nonlabor!$E$26="Core",0,G1243)</f>
        <v>0</v>
      </c>
      <c r="J1243" s="23" t="str">
        <f aca="false">Nonlabor!$B$26</f>
        <v>AI</v>
      </c>
    </row>
    <row r="1244" customFormat="false" ht="15" hidden="false" customHeight="false" outlineLevel="0" collapsed="false">
      <c r="A1244" s="6" t="s">
        <v>72</v>
      </c>
      <c r="B1244" s="6" t="s">
        <v>436</v>
      </c>
      <c r="C1244" s="6" t="n">
        <v>39</v>
      </c>
      <c r="D1244" s="25" t="n">
        <f aca="false">EDATE('Start Here'!$B$6,C1244-1)</f>
        <v>47484</v>
      </c>
      <c r="E1244" s="23" t="n">
        <f aca="false">IF(AND(OR(Nonlabor!$D$26="Both",Nonlabor!$D$26='Start Here'!$B$9),IF(Nonlabor!$E$26="Core",1,IF(Nonlabor!$E$26="AI",'Start Here'!$B$7,'Start Here'!$B$8))=1,C1244&gt;=IF(Nonlabor!$E$26="Core",Nonlabor!$F$26,MAX(Nonlabor!$F$26,IF(Nonlabor!$E$26="AI",Assumptions!$C$24,Assumptions!$C$25))),C1244&lt;=Nonlabor!$G$26,OR(Nonlabor!$H$26="Monthly",AND(Nonlabor!$H$26="Once",C1244=IF(Nonlabor!$E$26="Core",Nonlabor!$F$26,MAX(Nonlabor!$F$26,IF(Nonlabor!$E$26="AI",Assumptions!$C$24,Assumptions!$C$25)))),AND(Nonlabor!$H$26="Annual",MOD(C1244-IF(Nonlabor!$E$26="Core",Nonlabor!$F$26,MAX(Nonlabor!$F$26,IF(Nonlabor!$E$26="AI",Assumptions!$C$24,Assumptions!$C$25))),12)=0))),IF(Nonlabor!$I$26="Fixed",1,IF(Nonlabor!$I$26="Seats",ROUNDUP('Monthly Lean'!I44,0),IF(Nonlabor!$I$26="Customers",'Monthly Lean'!D44,IF(Nonlabor!$I$26="NewCustomers",'Monthly Lean'!C44,IF(Nonlabor!$I$26="StorageGB",'Monthly Lean'!G44,IF(Nonlabor!$I$26="LogGB",'Monthly Lean'!H44,IF(Nonlabor!$I$26="RequestsM",'Monthly Lean'!F44,IF(Nonlabor!$I$26="InputM",'Monthly Lean'!D44*Assumptions!$C$22/1000000,IF(Nonlabor!$I$26="OutputM",'Monthly Lean'!D44*Assumptions!$C$23/1000000,0))))))))),0)</f>
        <v>0</v>
      </c>
      <c r="F1244" s="10" t="n">
        <f aca="false">Nonlabor!$J$26*(1+Assumptions!$C$9)^INT((C1244-1)/12)</f>
        <v>16390.905</v>
      </c>
      <c r="G1244" s="10" t="n">
        <f aca="false">E1244*F1244</f>
        <v>0</v>
      </c>
      <c r="H1244" s="10" t="n">
        <f aca="false">IF(OR(Nonlabor!$L$26="Quote required",Nonlabor!$L$26="Unverified"),G1244,0)</f>
        <v>0</v>
      </c>
      <c r="I1244" s="10" t="n">
        <f aca="false">IF(Nonlabor!$E$26="Core",0,G1244)</f>
        <v>0</v>
      </c>
      <c r="J1244" s="23" t="str">
        <f aca="false">Nonlabor!$B$26</f>
        <v>AI</v>
      </c>
    </row>
    <row r="1245" customFormat="false" ht="15" hidden="false" customHeight="false" outlineLevel="0" collapsed="false">
      <c r="A1245" s="6" t="s">
        <v>72</v>
      </c>
      <c r="B1245" s="6" t="s">
        <v>436</v>
      </c>
      <c r="C1245" s="6" t="n">
        <v>40</v>
      </c>
      <c r="D1245" s="25" t="n">
        <f aca="false">EDATE('Start Here'!$B$6,C1245-1)</f>
        <v>47515</v>
      </c>
      <c r="E1245" s="23" t="n">
        <f aca="false">IF(AND(OR(Nonlabor!$D$26="Both",Nonlabor!$D$26='Start Here'!$B$9),IF(Nonlabor!$E$26="Core",1,IF(Nonlabor!$E$26="AI",'Start Here'!$B$7,'Start Here'!$B$8))=1,C1245&gt;=IF(Nonlabor!$E$26="Core",Nonlabor!$F$26,MAX(Nonlabor!$F$26,IF(Nonlabor!$E$26="AI",Assumptions!$C$24,Assumptions!$C$25))),C1245&lt;=Nonlabor!$G$26,OR(Nonlabor!$H$26="Monthly",AND(Nonlabor!$H$26="Once",C1245=IF(Nonlabor!$E$26="Core",Nonlabor!$F$26,MAX(Nonlabor!$F$26,IF(Nonlabor!$E$26="AI",Assumptions!$C$24,Assumptions!$C$25)))),AND(Nonlabor!$H$26="Annual",MOD(C1245-IF(Nonlabor!$E$26="Core",Nonlabor!$F$26,MAX(Nonlabor!$F$26,IF(Nonlabor!$E$26="AI",Assumptions!$C$24,Assumptions!$C$25))),12)=0))),IF(Nonlabor!$I$26="Fixed",1,IF(Nonlabor!$I$26="Seats",ROUNDUP('Monthly Lean'!I45,0),IF(Nonlabor!$I$26="Customers",'Monthly Lean'!D45,IF(Nonlabor!$I$26="NewCustomers",'Monthly Lean'!C45,IF(Nonlabor!$I$26="StorageGB",'Monthly Lean'!G45,IF(Nonlabor!$I$26="LogGB",'Monthly Lean'!H45,IF(Nonlabor!$I$26="RequestsM",'Monthly Lean'!F45,IF(Nonlabor!$I$26="InputM",'Monthly Lean'!D45*Assumptions!$C$22/1000000,IF(Nonlabor!$I$26="OutputM",'Monthly Lean'!D45*Assumptions!$C$23/1000000,0))))))))),0)</f>
        <v>0</v>
      </c>
      <c r="F1245" s="10" t="n">
        <f aca="false">Nonlabor!$J$26*(1+Assumptions!$C$9)^INT((C1245-1)/12)</f>
        <v>16390.905</v>
      </c>
      <c r="G1245" s="10" t="n">
        <f aca="false">E1245*F1245</f>
        <v>0</v>
      </c>
      <c r="H1245" s="10" t="n">
        <f aca="false">IF(OR(Nonlabor!$L$26="Quote required",Nonlabor!$L$26="Unverified"),G1245,0)</f>
        <v>0</v>
      </c>
      <c r="I1245" s="10" t="n">
        <f aca="false">IF(Nonlabor!$E$26="Core",0,G1245)</f>
        <v>0</v>
      </c>
      <c r="J1245" s="23" t="str">
        <f aca="false">Nonlabor!$B$26</f>
        <v>AI</v>
      </c>
    </row>
    <row r="1246" customFormat="false" ht="15" hidden="false" customHeight="false" outlineLevel="0" collapsed="false">
      <c r="A1246" s="6" t="s">
        <v>72</v>
      </c>
      <c r="B1246" s="6" t="s">
        <v>436</v>
      </c>
      <c r="C1246" s="6" t="n">
        <v>41</v>
      </c>
      <c r="D1246" s="25" t="n">
        <f aca="false">EDATE('Start Here'!$B$6,C1246-1)</f>
        <v>47543</v>
      </c>
      <c r="E1246" s="23" t="n">
        <f aca="false">IF(AND(OR(Nonlabor!$D$26="Both",Nonlabor!$D$26='Start Here'!$B$9),IF(Nonlabor!$E$26="Core",1,IF(Nonlabor!$E$26="AI",'Start Here'!$B$7,'Start Here'!$B$8))=1,C1246&gt;=IF(Nonlabor!$E$26="Core",Nonlabor!$F$26,MAX(Nonlabor!$F$26,IF(Nonlabor!$E$26="AI",Assumptions!$C$24,Assumptions!$C$25))),C1246&lt;=Nonlabor!$G$26,OR(Nonlabor!$H$26="Monthly",AND(Nonlabor!$H$26="Once",C1246=IF(Nonlabor!$E$26="Core",Nonlabor!$F$26,MAX(Nonlabor!$F$26,IF(Nonlabor!$E$26="AI",Assumptions!$C$24,Assumptions!$C$25)))),AND(Nonlabor!$H$26="Annual",MOD(C1246-IF(Nonlabor!$E$26="Core",Nonlabor!$F$26,MAX(Nonlabor!$F$26,IF(Nonlabor!$E$26="AI",Assumptions!$C$24,Assumptions!$C$25))),12)=0))),IF(Nonlabor!$I$26="Fixed",1,IF(Nonlabor!$I$26="Seats",ROUNDUP('Monthly Lean'!I46,0),IF(Nonlabor!$I$26="Customers",'Monthly Lean'!D46,IF(Nonlabor!$I$26="NewCustomers",'Monthly Lean'!C46,IF(Nonlabor!$I$26="StorageGB",'Monthly Lean'!G46,IF(Nonlabor!$I$26="LogGB",'Monthly Lean'!H46,IF(Nonlabor!$I$26="RequestsM",'Monthly Lean'!F46,IF(Nonlabor!$I$26="InputM",'Monthly Lean'!D46*Assumptions!$C$22/1000000,IF(Nonlabor!$I$26="OutputM",'Monthly Lean'!D46*Assumptions!$C$23/1000000,0))))))))),0)</f>
        <v>0</v>
      </c>
      <c r="F1246" s="10" t="n">
        <f aca="false">Nonlabor!$J$26*(1+Assumptions!$C$9)^INT((C1246-1)/12)</f>
        <v>16390.905</v>
      </c>
      <c r="G1246" s="10" t="n">
        <f aca="false">E1246*F1246</f>
        <v>0</v>
      </c>
      <c r="H1246" s="10" t="n">
        <f aca="false">IF(OR(Nonlabor!$L$26="Quote required",Nonlabor!$L$26="Unverified"),G1246,0)</f>
        <v>0</v>
      </c>
      <c r="I1246" s="10" t="n">
        <f aca="false">IF(Nonlabor!$E$26="Core",0,G1246)</f>
        <v>0</v>
      </c>
      <c r="J1246" s="23" t="str">
        <f aca="false">Nonlabor!$B$26</f>
        <v>AI</v>
      </c>
    </row>
    <row r="1247" customFormat="false" ht="15" hidden="false" customHeight="false" outlineLevel="0" collapsed="false">
      <c r="A1247" s="6" t="s">
        <v>72</v>
      </c>
      <c r="B1247" s="6" t="s">
        <v>436</v>
      </c>
      <c r="C1247" s="6" t="n">
        <v>42</v>
      </c>
      <c r="D1247" s="25" t="n">
        <f aca="false">EDATE('Start Here'!$B$6,C1247-1)</f>
        <v>47574</v>
      </c>
      <c r="E1247" s="23" t="n">
        <f aca="false">IF(AND(OR(Nonlabor!$D$26="Both",Nonlabor!$D$26='Start Here'!$B$9),IF(Nonlabor!$E$26="Core",1,IF(Nonlabor!$E$26="AI",'Start Here'!$B$7,'Start Here'!$B$8))=1,C1247&gt;=IF(Nonlabor!$E$26="Core",Nonlabor!$F$26,MAX(Nonlabor!$F$26,IF(Nonlabor!$E$26="AI",Assumptions!$C$24,Assumptions!$C$25))),C1247&lt;=Nonlabor!$G$26,OR(Nonlabor!$H$26="Monthly",AND(Nonlabor!$H$26="Once",C1247=IF(Nonlabor!$E$26="Core",Nonlabor!$F$26,MAX(Nonlabor!$F$26,IF(Nonlabor!$E$26="AI",Assumptions!$C$24,Assumptions!$C$25)))),AND(Nonlabor!$H$26="Annual",MOD(C1247-IF(Nonlabor!$E$26="Core",Nonlabor!$F$26,MAX(Nonlabor!$F$26,IF(Nonlabor!$E$26="AI",Assumptions!$C$24,Assumptions!$C$25))),12)=0))),IF(Nonlabor!$I$26="Fixed",1,IF(Nonlabor!$I$26="Seats",ROUNDUP('Monthly Lean'!I47,0),IF(Nonlabor!$I$26="Customers",'Monthly Lean'!D47,IF(Nonlabor!$I$26="NewCustomers",'Monthly Lean'!C47,IF(Nonlabor!$I$26="StorageGB",'Monthly Lean'!G47,IF(Nonlabor!$I$26="LogGB",'Monthly Lean'!H47,IF(Nonlabor!$I$26="RequestsM",'Monthly Lean'!F47,IF(Nonlabor!$I$26="InputM",'Monthly Lean'!D47*Assumptions!$C$22/1000000,IF(Nonlabor!$I$26="OutputM",'Monthly Lean'!D47*Assumptions!$C$23/1000000,0))))))))),0)</f>
        <v>0</v>
      </c>
      <c r="F1247" s="10" t="n">
        <f aca="false">Nonlabor!$J$26*(1+Assumptions!$C$9)^INT((C1247-1)/12)</f>
        <v>16390.905</v>
      </c>
      <c r="G1247" s="10" t="n">
        <f aca="false">E1247*F1247</f>
        <v>0</v>
      </c>
      <c r="H1247" s="10" t="n">
        <f aca="false">IF(OR(Nonlabor!$L$26="Quote required",Nonlabor!$L$26="Unverified"),G1247,0)</f>
        <v>0</v>
      </c>
      <c r="I1247" s="10" t="n">
        <f aca="false">IF(Nonlabor!$E$26="Core",0,G1247)</f>
        <v>0</v>
      </c>
      <c r="J1247" s="23" t="str">
        <f aca="false">Nonlabor!$B$26</f>
        <v>AI</v>
      </c>
    </row>
    <row r="1248" customFormat="false" ht="15" hidden="false" customHeight="false" outlineLevel="0" collapsed="false">
      <c r="A1248" s="6" t="s">
        <v>72</v>
      </c>
      <c r="B1248" s="6" t="s">
        <v>436</v>
      </c>
      <c r="C1248" s="6" t="n">
        <v>43</v>
      </c>
      <c r="D1248" s="25" t="n">
        <f aca="false">EDATE('Start Here'!$B$6,C1248-1)</f>
        <v>47604</v>
      </c>
      <c r="E1248" s="23" t="n">
        <f aca="false">IF(AND(OR(Nonlabor!$D$26="Both",Nonlabor!$D$26='Start Here'!$B$9),IF(Nonlabor!$E$26="Core",1,IF(Nonlabor!$E$26="AI",'Start Here'!$B$7,'Start Here'!$B$8))=1,C1248&gt;=IF(Nonlabor!$E$26="Core",Nonlabor!$F$26,MAX(Nonlabor!$F$26,IF(Nonlabor!$E$26="AI",Assumptions!$C$24,Assumptions!$C$25))),C1248&lt;=Nonlabor!$G$26,OR(Nonlabor!$H$26="Monthly",AND(Nonlabor!$H$26="Once",C1248=IF(Nonlabor!$E$26="Core",Nonlabor!$F$26,MAX(Nonlabor!$F$26,IF(Nonlabor!$E$26="AI",Assumptions!$C$24,Assumptions!$C$25)))),AND(Nonlabor!$H$26="Annual",MOD(C1248-IF(Nonlabor!$E$26="Core",Nonlabor!$F$26,MAX(Nonlabor!$F$26,IF(Nonlabor!$E$26="AI",Assumptions!$C$24,Assumptions!$C$25))),12)=0))),IF(Nonlabor!$I$26="Fixed",1,IF(Nonlabor!$I$26="Seats",ROUNDUP('Monthly Lean'!I48,0),IF(Nonlabor!$I$26="Customers",'Monthly Lean'!D48,IF(Nonlabor!$I$26="NewCustomers",'Monthly Lean'!C48,IF(Nonlabor!$I$26="StorageGB",'Monthly Lean'!G48,IF(Nonlabor!$I$26="LogGB",'Monthly Lean'!H48,IF(Nonlabor!$I$26="RequestsM",'Monthly Lean'!F48,IF(Nonlabor!$I$26="InputM",'Monthly Lean'!D48*Assumptions!$C$22/1000000,IF(Nonlabor!$I$26="OutputM",'Monthly Lean'!D48*Assumptions!$C$23/1000000,0))))))))),0)</f>
        <v>0</v>
      </c>
      <c r="F1248" s="10" t="n">
        <f aca="false">Nonlabor!$J$26*(1+Assumptions!$C$9)^INT((C1248-1)/12)</f>
        <v>16390.905</v>
      </c>
      <c r="G1248" s="10" t="n">
        <f aca="false">E1248*F1248</f>
        <v>0</v>
      </c>
      <c r="H1248" s="10" t="n">
        <f aca="false">IF(OR(Nonlabor!$L$26="Quote required",Nonlabor!$L$26="Unverified"),G1248,0)</f>
        <v>0</v>
      </c>
      <c r="I1248" s="10" t="n">
        <f aca="false">IF(Nonlabor!$E$26="Core",0,G1248)</f>
        <v>0</v>
      </c>
      <c r="J1248" s="23" t="str">
        <f aca="false">Nonlabor!$B$26</f>
        <v>AI</v>
      </c>
    </row>
    <row r="1249" customFormat="false" ht="15" hidden="false" customHeight="false" outlineLevel="0" collapsed="false">
      <c r="A1249" s="6" t="s">
        <v>72</v>
      </c>
      <c r="B1249" s="6" t="s">
        <v>436</v>
      </c>
      <c r="C1249" s="6" t="n">
        <v>44</v>
      </c>
      <c r="D1249" s="25" t="n">
        <f aca="false">EDATE('Start Here'!$B$6,C1249-1)</f>
        <v>47635</v>
      </c>
      <c r="E1249" s="23" t="n">
        <f aca="false">IF(AND(OR(Nonlabor!$D$26="Both",Nonlabor!$D$26='Start Here'!$B$9),IF(Nonlabor!$E$26="Core",1,IF(Nonlabor!$E$26="AI",'Start Here'!$B$7,'Start Here'!$B$8))=1,C1249&gt;=IF(Nonlabor!$E$26="Core",Nonlabor!$F$26,MAX(Nonlabor!$F$26,IF(Nonlabor!$E$26="AI",Assumptions!$C$24,Assumptions!$C$25))),C1249&lt;=Nonlabor!$G$26,OR(Nonlabor!$H$26="Monthly",AND(Nonlabor!$H$26="Once",C1249=IF(Nonlabor!$E$26="Core",Nonlabor!$F$26,MAX(Nonlabor!$F$26,IF(Nonlabor!$E$26="AI",Assumptions!$C$24,Assumptions!$C$25)))),AND(Nonlabor!$H$26="Annual",MOD(C1249-IF(Nonlabor!$E$26="Core",Nonlabor!$F$26,MAX(Nonlabor!$F$26,IF(Nonlabor!$E$26="AI",Assumptions!$C$24,Assumptions!$C$25))),12)=0))),IF(Nonlabor!$I$26="Fixed",1,IF(Nonlabor!$I$26="Seats",ROUNDUP('Monthly Lean'!I49,0),IF(Nonlabor!$I$26="Customers",'Monthly Lean'!D49,IF(Nonlabor!$I$26="NewCustomers",'Monthly Lean'!C49,IF(Nonlabor!$I$26="StorageGB",'Monthly Lean'!G49,IF(Nonlabor!$I$26="LogGB",'Monthly Lean'!H49,IF(Nonlabor!$I$26="RequestsM",'Monthly Lean'!F49,IF(Nonlabor!$I$26="InputM",'Monthly Lean'!D49*Assumptions!$C$22/1000000,IF(Nonlabor!$I$26="OutputM",'Monthly Lean'!D49*Assumptions!$C$23/1000000,0))))))))),0)</f>
        <v>0</v>
      </c>
      <c r="F1249" s="10" t="n">
        <f aca="false">Nonlabor!$J$26*(1+Assumptions!$C$9)^INT((C1249-1)/12)</f>
        <v>16390.905</v>
      </c>
      <c r="G1249" s="10" t="n">
        <f aca="false">E1249*F1249</f>
        <v>0</v>
      </c>
      <c r="H1249" s="10" t="n">
        <f aca="false">IF(OR(Nonlabor!$L$26="Quote required",Nonlabor!$L$26="Unverified"),G1249,0)</f>
        <v>0</v>
      </c>
      <c r="I1249" s="10" t="n">
        <f aca="false">IF(Nonlabor!$E$26="Core",0,G1249)</f>
        <v>0</v>
      </c>
      <c r="J1249" s="23" t="str">
        <f aca="false">Nonlabor!$B$26</f>
        <v>AI</v>
      </c>
    </row>
    <row r="1250" customFormat="false" ht="15" hidden="false" customHeight="false" outlineLevel="0" collapsed="false">
      <c r="A1250" s="6" t="s">
        <v>72</v>
      </c>
      <c r="B1250" s="6" t="s">
        <v>436</v>
      </c>
      <c r="C1250" s="6" t="n">
        <v>45</v>
      </c>
      <c r="D1250" s="25" t="n">
        <f aca="false">EDATE('Start Here'!$B$6,C1250-1)</f>
        <v>47665</v>
      </c>
      <c r="E1250" s="23" t="n">
        <f aca="false">IF(AND(OR(Nonlabor!$D$26="Both",Nonlabor!$D$26='Start Here'!$B$9),IF(Nonlabor!$E$26="Core",1,IF(Nonlabor!$E$26="AI",'Start Here'!$B$7,'Start Here'!$B$8))=1,C1250&gt;=IF(Nonlabor!$E$26="Core",Nonlabor!$F$26,MAX(Nonlabor!$F$26,IF(Nonlabor!$E$26="AI",Assumptions!$C$24,Assumptions!$C$25))),C1250&lt;=Nonlabor!$G$26,OR(Nonlabor!$H$26="Monthly",AND(Nonlabor!$H$26="Once",C1250=IF(Nonlabor!$E$26="Core",Nonlabor!$F$26,MAX(Nonlabor!$F$26,IF(Nonlabor!$E$26="AI",Assumptions!$C$24,Assumptions!$C$25)))),AND(Nonlabor!$H$26="Annual",MOD(C1250-IF(Nonlabor!$E$26="Core",Nonlabor!$F$26,MAX(Nonlabor!$F$26,IF(Nonlabor!$E$26="AI",Assumptions!$C$24,Assumptions!$C$25))),12)=0))),IF(Nonlabor!$I$26="Fixed",1,IF(Nonlabor!$I$26="Seats",ROUNDUP('Monthly Lean'!I50,0),IF(Nonlabor!$I$26="Customers",'Monthly Lean'!D50,IF(Nonlabor!$I$26="NewCustomers",'Monthly Lean'!C50,IF(Nonlabor!$I$26="StorageGB",'Monthly Lean'!G50,IF(Nonlabor!$I$26="LogGB",'Monthly Lean'!H50,IF(Nonlabor!$I$26="RequestsM",'Monthly Lean'!F50,IF(Nonlabor!$I$26="InputM",'Monthly Lean'!D50*Assumptions!$C$22/1000000,IF(Nonlabor!$I$26="OutputM",'Monthly Lean'!D50*Assumptions!$C$23/1000000,0))))))))),0)</f>
        <v>0</v>
      </c>
      <c r="F1250" s="10" t="n">
        <f aca="false">Nonlabor!$J$26*(1+Assumptions!$C$9)^INT((C1250-1)/12)</f>
        <v>16390.905</v>
      </c>
      <c r="G1250" s="10" t="n">
        <f aca="false">E1250*F1250</f>
        <v>0</v>
      </c>
      <c r="H1250" s="10" t="n">
        <f aca="false">IF(OR(Nonlabor!$L$26="Quote required",Nonlabor!$L$26="Unverified"),G1250,0)</f>
        <v>0</v>
      </c>
      <c r="I1250" s="10" t="n">
        <f aca="false">IF(Nonlabor!$E$26="Core",0,G1250)</f>
        <v>0</v>
      </c>
      <c r="J1250" s="23" t="str">
        <f aca="false">Nonlabor!$B$26</f>
        <v>AI</v>
      </c>
    </row>
    <row r="1251" customFormat="false" ht="15" hidden="false" customHeight="false" outlineLevel="0" collapsed="false">
      <c r="A1251" s="6" t="s">
        <v>72</v>
      </c>
      <c r="B1251" s="6" t="s">
        <v>436</v>
      </c>
      <c r="C1251" s="6" t="n">
        <v>46</v>
      </c>
      <c r="D1251" s="25" t="n">
        <f aca="false">EDATE('Start Here'!$B$6,C1251-1)</f>
        <v>47696</v>
      </c>
      <c r="E1251" s="23" t="n">
        <f aca="false">IF(AND(OR(Nonlabor!$D$26="Both",Nonlabor!$D$26='Start Here'!$B$9),IF(Nonlabor!$E$26="Core",1,IF(Nonlabor!$E$26="AI",'Start Here'!$B$7,'Start Here'!$B$8))=1,C1251&gt;=IF(Nonlabor!$E$26="Core",Nonlabor!$F$26,MAX(Nonlabor!$F$26,IF(Nonlabor!$E$26="AI",Assumptions!$C$24,Assumptions!$C$25))),C1251&lt;=Nonlabor!$G$26,OR(Nonlabor!$H$26="Monthly",AND(Nonlabor!$H$26="Once",C1251=IF(Nonlabor!$E$26="Core",Nonlabor!$F$26,MAX(Nonlabor!$F$26,IF(Nonlabor!$E$26="AI",Assumptions!$C$24,Assumptions!$C$25)))),AND(Nonlabor!$H$26="Annual",MOD(C1251-IF(Nonlabor!$E$26="Core",Nonlabor!$F$26,MAX(Nonlabor!$F$26,IF(Nonlabor!$E$26="AI",Assumptions!$C$24,Assumptions!$C$25))),12)=0))),IF(Nonlabor!$I$26="Fixed",1,IF(Nonlabor!$I$26="Seats",ROUNDUP('Monthly Lean'!I51,0),IF(Nonlabor!$I$26="Customers",'Monthly Lean'!D51,IF(Nonlabor!$I$26="NewCustomers",'Monthly Lean'!C51,IF(Nonlabor!$I$26="StorageGB",'Monthly Lean'!G51,IF(Nonlabor!$I$26="LogGB",'Monthly Lean'!H51,IF(Nonlabor!$I$26="RequestsM",'Monthly Lean'!F51,IF(Nonlabor!$I$26="InputM",'Monthly Lean'!D51*Assumptions!$C$22/1000000,IF(Nonlabor!$I$26="OutputM",'Monthly Lean'!D51*Assumptions!$C$23/1000000,0))))))))),0)</f>
        <v>0</v>
      </c>
      <c r="F1251" s="10" t="n">
        <f aca="false">Nonlabor!$J$26*(1+Assumptions!$C$9)^INT((C1251-1)/12)</f>
        <v>16390.905</v>
      </c>
      <c r="G1251" s="10" t="n">
        <f aca="false">E1251*F1251</f>
        <v>0</v>
      </c>
      <c r="H1251" s="10" t="n">
        <f aca="false">IF(OR(Nonlabor!$L$26="Quote required",Nonlabor!$L$26="Unverified"),G1251,0)</f>
        <v>0</v>
      </c>
      <c r="I1251" s="10" t="n">
        <f aca="false">IF(Nonlabor!$E$26="Core",0,G1251)</f>
        <v>0</v>
      </c>
      <c r="J1251" s="23" t="str">
        <f aca="false">Nonlabor!$B$26</f>
        <v>AI</v>
      </c>
    </row>
    <row r="1252" customFormat="false" ht="15" hidden="false" customHeight="false" outlineLevel="0" collapsed="false">
      <c r="A1252" s="6" t="s">
        <v>72</v>
      </c>
      <c r="B1252" s="6" t="s">
        <v>436</v>
      </c>
      <c r="C1252" s="6" t="n">
        <v>47</v>
      </c>
      <c r="D1252" s="25" t="n">
        <f aca="false">EDATE('Start Here'!$B$6,C1252-1)</f>
        <v>47727</v>
      </c>
      <c r="E1252" s="23" t="n">
        <f aca="false">IF(AND(OR(Nonlabor!$D$26="Both",Nonlabor!$D$26='Start Here'!$B$9),IF(Nonlabor!$E$26="Core",1,IF(Nonlabor!$E$26="AI",'Start Here'!$B$7,'Start Here'!$B$8))=1,C1252&gt;=IF(Nonlabor!$E$26="Core",Nonlabor!$F$26,MAX(Nonlabor!$F$26,IF(Nonlabor!$E$26="AI",Assumptions!$C$24,Assumptions!$C$25))),C1252&lt;=Nonlabor!$G$26,OR(Nonlabor!$H$26="Monthly",AND(Nonlabor!$H$26="Once",C1252=IF(Nonlabor!$E$26="Core",Nonlabor!$F$26,MAX(Nonlabor!$F$26,IF(Nonlabor!$E$26="AI",Assumptions!$C$24,Assumptions!$C$25)))),AND(Nonlabor!$H$26="Annual",MOD(C1252-IF(Nonlabor!$E$26="Core",Nonlabor!$F$26,MAX(Nonlabor!$F$26,IF(Nonlabor!$E$26="AI",Assumptions!$C$24,Assumptions!$C$25))),12)=0))),IF(Nonlabor!$I$26="Fixed",1,IF(Nonlabor!$I$26="Seats",ROUNDUP('Monthly Lean'!I52,0),IF(Nonlabor!$I$26="Customers",'Monthly Lean'!D52,IF(Nonlabor!$I$26="NewCustomers",'Monthly Lean'!C52,IF(Nonlabor!$I$26="StorageGB",'Monthly Lean'!G52,IF(Nonlabor!$I$26="LogGB",'Monthly Lean'!H52,IF(Nonlabor!$I$26="RequestsM",'Monthly Lean'!F52,IF(Nonlabor!$I$26="InputM",'Monthly Lean'!D52*Assumptions!$C$22/1000000,IF(Nonlabor!$I$26="OutputM",'Monthly Lean'!D52*Assumptions!$C$23/1000000,0))))))))),0)</f>
        <v>0</v>
      </c>
      <c r="F1252" s="10" t="n">
        <f aca="false">Nonlabor!$J$26*(1+Assumptions!$C$9)^INT((C1252-1)/12)</f>
        <v>16390.905</v>
      </c>
      <c r="G1252" s="10" t="n">
        <f aca="false">E1252*F1252</f>
        <v>0</v>
      </c>
      <c r="H1252" s="10" t="n">
        <f aca="false">IF(OR(Nonlabor!$L$26="Quote required",Nonlabor!$L$26="Unverified"),G1252,0)</f>
        <v>0</v>
      </c>
      <c r="I1252" s="10" t="n">
        <f aca="false">IF(Nonlabor!$E$26="Core",0,G1252)</f>
        <v>0</v>
      </c>
      <c r="J1252" s="23" t="str">
        <f aca="false">Nonlabor!$B$26</f>
        <v>AI</v>
      </c>
    </row>
    <row r="1253" customFormat="false" ht="15" hidden="false" customHeight="false" outlineLevel="0" collapsed="false">
      <c r="A1253" s="6" t="s">
        <v>72</v>
      </c>
      <c r="B1253" s="6" t="s">
        <v>436</v>
      </c>
      <c r="C1253" s="6" t="n">
        <v>48</v>
      </c>
      <c r="D1253" s="25" t="n">
        <f aca="false">EDATE('Start Here'!$B$6,C1253-1)</f>
        <v>47757</v>
      </c>
      <c r="E1253" s="23" t="n">
        <f aca="false">IF(AND(OR(Nonlabor!$D$26="Both",Nonlabor!$D$26='Start Here'!$B$9),IF(Nonlabor!$E$26="Core",1,IF(Nonlabor!$E$26="AI",'Start Here'!$B$7,'Start Here'!$B$8))=1,C1253&gt;=IF(Nonlabor!$E$26="Core",Nonlabor!$F$26,MAX(Nonlabor!$F$26,IF(Nonlabor!$E$26="AI",Assumptions!$C$24,Assumptions!$C$25))),C1253&lt;=Nonlabor!$G$26,OR(Nonlabor!$H$26="Monthly",AND(Nonlabor!$H$26="Once",C1253=IF(Nonlabor!$E$26="Core",Nonlabor!$F$26,MAX(Nonlabor!$F$26,IF(Nonlabor!$E$26="AI",Assumptions!$C$24,Assumptions!$C$25)))),AND(Nonlabor!$H$26="Annual",MOD(C1253-IF(Nonlabor!$E$26="Core",Nonlabor!$F$26,MAX(Nonlabor!$F$26,IF(Nonlabor!$E$26="AI",Assumptions!$C$24,Assumptions!$C$25))),12)=0))),IF(Nonlabor!$I$26="Fixed",1,IF(Nonlabor!$I$26="Seats",ROUNDUP('Monthly Lean'!I53,0),IF(Nonlabor!$I$26="Customers",'Monthly Lean'!D53,IF(Nonlabor!$I$26="NewCustomers",'Monthly Lean'!C53,IF(Nonlabor!$I$26="StorageGB",'Monthly Lean'!G53,IF(Nonlabor!$I$26="LogGB",'Monthly Lean'!H53,IF(Nonlabor!$I$26="RequestsM",'Monthly Lean'!F53,IF(Nonlabor!$I$26="InputM",'Monthly Lean'!D53*Assumptions!$C$22/1000000,IF(Nonlabor!$I$26="OutputM",'Monthly Lean'!D53*Assumptions!$C$23/1000000,0))))))))),0)</f>
        <v>0</v>
      </c>
      <c r="F1253" s="10" t="n">
        <f aca="false">Nonlabor!$J$26*(1+Assumptions!$C$9)^INT((C1253-1)/12)</f>
        <v>16390.905</v>
      </c>
      <c r="G1253" s="10" t="n">
        <f aca="false">E1253*F1253</f>
        <v>0</v>
      </c>
      <c r="H1253" s="10" t="n">
        <f aca="false">IF(OR(Nonlabor!$L$26="Quote required",Nonlabor!$L$26="Unverified"),G1253,0)</f>
        <v>0</v>
      </c>
      <c r="I1253" s="10" t="n">
        <f aca="false">IF(Nonlabor!$E$26="Core",0,G1253)</f>
        <v>0</v>
      </c>
      <c r="J1253" s="23" t="str">
        <f aca="false">Nonlabor!$B$26</f>
        <v>AI</v>
      </c>
    </row>
    <row r="1254" customFormat="false" ht="15" hidden="false" customHeight="false" outlineLevel="0" collapsed="false">
      <c r="A1254" s="6" t="s">
        <v>72</v>
      </c>
      <c r="B1254" s="6" t="s">
        <v>436</v>
      </c>
      <c r="C1254" s="6" t="n">
        <v>49</v>
      </c>
      <c r="D1254" s="25" t="n">
        <f aca="false">EDATE('Start Here'!$B$6,C1254-1)</f>
        <v>47788</v>
      </c>
      <c r="E1254" s="23" t="n">
        <f aca="false">IF(AND(OR(Nonlabor!$D$26="Both",Nonlabor!$D$26='Start Here'!$B$9),IF(Nonlabor!$E$26="Core",1,IF(Nonlabor!$E$26="AI",'Start Here'!$B$7,'Start Here'!$B$8))=1,C1254&gt;=IF(Nonlabor!$E$26="Core",Nonlabor!$F$26,MAX(Nonlabor!$F$26,IF(Nonlabor!$E$26="AI",Assumptions!$C$24,Assumptions!$C$25))),C1254&lt;=Nonlabor!$G$26,OR(Nonlabor!$H$26="Monthly",AND(Nonlabor!$H$26="Once",C1254=IF(Nonlabor!$E$26="Core",Nonlabor!$F$26,MAX(Nonlabor!$F$26,IF(Nonlabor!$E$26="AI",Assumptions!$C$24,Assumptions!$C$25)))),AND(Nonlabor!$H$26="Annual",MOD(C1254-IF(Nonlabor!$E$26="Core",Nonlabor!$F$26,MAX(Nonlabor!$F$26,IF(Nonlabor!$E$26="AI",Assumptions!$C$24,Assumptions!$C$25))),12)=0))),IF(Nonlabor!$I$26="Fixed",1,IF(Nonlabor!$I$26="Seats",ROUNDUP('Monthly Lean'!I54,0),IF(Nonlabor!$I$26="Customers",'Monthly Lean'!D54,IF(Nonlabor!$I$26="NewCustomers",'Monthly Lean'!C54,IF(Nonlabor!$I$26="StorageGB",'Monthly Lean'!G54,IF(Nonlabor!$I$26="LogGB",'Monthly Lean'!H54,IF(Nonlabor!$I$26="RequestsM",'Monthly Lean'!F54,IF(Nonlabor!$I$26="InputM",'Monthly Lean'!D54*Assumptions!$C$22/1000000,IF(Nonlabor!$I$26="OutputM",'Monthly Lean'!D54*Assumptions!$C$23/1000000,0))))))))),0)</f>
        <v>0</v>
      </c>
      <c r="F1254" s="10" t="n">
        <f aca="false">Nonlabor!$J$26*(1+Assumptions!$C$9)^INT((C1254-1)/12)</f>
        <v>16882.63215</v>
      </c>
      <c r="G1254" s="10" t="n">
        <f aca="false">E1254*F1254</f>
        <v>0</v>
      </c>
      <c r="H1254" s="10" t="n">
        <f aca="false">IF(OR(Nonlabor!$L$26="Quote required",Nonlabor!$L$26="Unverified"),G1254,0)</f>
        <v>0</v>
      </c>
      <c r="I1254" s="10" t="n">
        <f aca="false">IF(Nonlabor!$E$26="Core",0,G1254)</f>
        <v>0</v>
      </c>
      <c r="J1254" s="23" t="str">
        <f aca="false">Nonlabor!$B$26</f>
        <v>AI</v>
      </c>
    </row>
    <row r="1255" customFormat="false" ht="15" hidden="false" customHeight="false" outlineLevel="0" collapsed="false">
      <c r="A1255" s="6" t="s">
        <v>72</v>
      </c>
      <c r="B1255" s="6" t="s">
        <v>436</v>
      </c>
      <c r="C1255" s="6" t="n">
        <v>50</v>
      </c>
      <c r="D1255" s="25" t="n">
        <f aca="false">EDATE('Start Here'!$B$6,C1255-1)</f>
        <v>47818</v>
      </c>
      <c r="E1255" s="23" t="n">
        <f aca="false">IF(AND(OR(Nonlabor!$D$26="Both",Nonlabor!$D$26='Start Here'!$B$9),IF(Nonlabor!$E$26="Core",1,IF(Nonlabor!$E$26="AI",'Start Here'!$B$7,'Start Here'!$B$8))=1,C1255&gt;=IF(Nonlabor!$E$26="Core",Nonlabor!$F$26,MAX(Nonlabor!$F$26,IF(Nonlabor!$E$26="AI",Assumptions!$C$24,Assumptions!$C$25))),C1255&lt;=Nonlabor!$G$26,OR(Nonlabor!$H$26="Monthly",AND(Nonlabor!$H$26="Once",C1255=IF(Nonlabor!$E$26="Core",Nonlabor!$F$26,MAX(Nonlabor!$F$26,IF(Nonlabor!$E$26="AI",Assumptions!$C$24,Assumptions!$C$25)))),AND(Nonlabor!$H$26="Annual",MOD(C1255-IF(Nonlabor!$E$26="Core",Nonlabor!$F$26,MAX(Nonlabor!$F$26,IF(Nonlabor!$E$26="AI",Assumptions!$C$24,Assumptions!$C$25))),12)=0))),IF(Nonlabor!$I$26="Fixed",1,IF(Nonlabor!$I$26="Seats",ROUNDUP('Monthly Lean'!I55,0),IF(Nonlabor!$I$26="Customers",'Monthly Lean'!D55,IF(Nonlabor!$I$26="NewCustomers",'Monthly Lean'!C55,IF(Nonlabor!$I$26="StorageGB",'Monthly Lean'!G55,IF(Nonlabor!$I$26="LogGB",'Monthly Lean'!H55,IF(Nonlabor!$I$26="RequestsM",'Monthly Lean'!F55,IF(Nonlabor!$I$26="InputM",'Monthly Lean'!D55*Assumptions!$C$22/1000000,IF(Nonlabor!$I$26="OutputM",'Monthly Lean'!D55*Assumptions!$C$23/1000000,0))))))))),0)</f>
        <v>0</v>
      </c>
      <c r="F1255" s="10" t="n">
        <f aca="false">Nonlabor!$J$26*(1+Assumptions!$C$9)^INT((C1255-1)/12)</f>
        <v>16882.63215</v>
      </c>
      <c r="G1255" s="10" t="n">
        <f aca="false">E1255*F1255</f>
        <v>0</v>
      </c>
      <c r="H1255" s="10" t="n">
        <f aca="false">IF(OR(Nonlabor!$L$26="Quote required",Nonlabor!$L$26="Unverified"),G1255,0)</f>
        <v>0</v>
      </c>
      <c r="I1255" s="10" t="n">
        <f aca="false">IF(Nonlabor!$E$26="Core",0,G1255)</f>
        <v>0</v>
      </c>
      <c r="J1255" s="23" t="str">
        <f aca="false">Nonlabor!$B$26</f>
        <v>AI</v>
      </c>
    </row>
    <row r="1256" customFormat="false" ht="15" hidden="false" customHeight="false" outlineLevel="0" collapsed="false">
      <c r="A1256" s="6" t="s">
        <v>72</v>
      </c>
      <c r="B1256" s="6" t="s">
        <v>436</v>
      </c>
      <c r="C1256" s="6" t="n">
        <v>51</v>
      </c>
      <c r="D1256" s="25" t="n">
        <f aca="false">EDATE('Start Here'!$B$6,C1256-1)</f>
        <v>47849</v>
      </c>
      <c r="E1256" s="23" t="n">
        <f aca="false">IF(AND(OR(Nonlabor!$D$26="Both",Nonlabor!$D$26='Start Here'!$B$9),IF(Nonlabor!$E$26="Core",1,IF(Nonlabor!$E$26="AI",'Start Here'!$B$7,'Start Here'!$B$8))=1,C1256&gt;=IF(Nonlabor!$E$26="Core",Nonlabor!$F$26,MAX(Nonlabor!$F$26,IF(Nonlabor!$E$26="AI",Assumptions!$C$24,Assumptions!$C$25))),C1256&lt;=Nonlabor!$G$26,OR(Nonlabor!$H$26="Monthly",AND(Nonlabor!$H$26="Once",C1256=IF(Nonlabor!$E$26="Core",Nonlabor!$F$26,MAX(Nonlabor!$F$26,IF(Nonlabor!$E$26="AI",Assumptions!$C$24,Assumptions!$C$25)))),AND(Nonlabor!$H$26="Annual",MOD(C1256-IF(Nonlabor!$E$26="Core",Nonlabor!$F$26,MAX(Nonlabor!$F$26,IF(Nonlabor!$E$26="AI",Assumptions!$C$24,Assumptions!$C$25))),12)=0))),IF(Nonlabor!$I$26="Fixed",1,IF(Nonlabor!$I$26="Seats",ROUNDUP('Monthly Lean'!I56,0),IF(Nonlabor!$I$26="Customers",'Monthly Lean'!D56,IF(Nonlabor!$I$26="NewCustomers",'Monthly Lean'!C56,IF(Nonlabor!$I$26="StorageGB",'Monthly Lean'!G56,IF(Nonlabor!$I$26="LogGB",'Monthly Lean'!H56,IF(Nonlabor!$I$26="RequestsM",'Monthly Lean'!F56,IF(Nonlabor!$I$26="InputM",'Monthly Lean'!D56*Assumptions!$C$22/1000000,IF(Nonlabor!$I$26="OutputM",'Monthly Lean'!D56*Assumptions!$C$23/1000000,0))))))))),0)</f>
        <v>0</v>
      </c>
      <c r="F1256" s="10" t="n">
        <f aca="false">Nonlabor!$J$26*(1+Assumptions!$C$9)^INT((C1256-1)/12)</f>
        <v>16882.63215</v>
      </c>
      <c r="G1256" s="10" t="n">
        <f aca="false">E1256*F1256</f>
        <v>0</v>
      </c>
      <c r="H1256" s="10" t="n">
        <f aca="false">IF(OR(Nonlabor!$L$26="Quote required",Nonlabor!$L$26="Unverified"),G1256,0)</f>
        <v>0</v>
      </c>
      <c r="I1256" s="10" t="n">
        <f aca="false">IF(Nonlabor!$E$26="Core",0,G1256)</f>
        <v>0</v>
      </c>
      <c r="J1256" s="23" t="str">
        <f aca="false">Nonlabor!$B$26</f>
        <v>AI</v>
      </c>
    </row>
    <row r="1257" customFormat="false" ht="15" hidden="false" customHeight="false" outlineLevel="0" collapsed="false">
      <c r="A1257" s="6" t="s">
        <v>72</v>
      </c>
      <c r="B1257" s="6" t="s">
        <v>436</v>
      </c>
      <c r="C1257" s="6" t="n">
        <v>52</v>
      </c>
      <c r="D1257" s="25" t="n">
        <f aca="false">EDATE('Start Here'!$B$6,C1257-1)</f>
        <v>47880</v>
      </c>
      <c r="E1257" s="23" t="n">
        <f aca="false">IF(AND(OR(Nonlabor!$D$26="Both",Nonlabor!$D$26='Start Here'!$B$9),IF(Nonlabor!$E$26="Core",1,IF(Nonlabor!$E$26="AI",'Start Here'!$B$7,'Start Here'!$B$8))=1,C1257&gt;=IF(Nonlabor!$E$26="Core",Nonlabor!$F$26,MAX(Nonlabor!$F$26,IF(Nonlabor!$E$26="AI",Assumptions!$C$24,Assumptions!$C$25))),C1257&lt;=Nonlabor!$G$26,OR(Nonlabor!$H$26="Monthly",AND(Nonlabor!$H$26="Once",C1257=IF(Nonlabor!$E$26="Core",Nonlabor!$F$26,MAX(Nonlabor!$F$26,IF(Nonlabor!$E$26="AI",Assumptions!$C$24,Assumptions!$C$25)))),AND(Nonlabor!$H$26="Annual",MOD(C1257-IF(Nonlabor!$E$26="Core",Nonlabor!$F$26,MAX(Nonlabor!$F$26,IF(Nonlabor!$E$26="AI",Assumptions!$C$24,Assumptions!$C$25))),12)=0))),IF(Nonlabor!$I$26="Fixed",1,IF(Nonlabor!$I$26="Seats",ROUNDUP('Monthly Lean'!I57,0),IF(Nonlabor!$I$26="Customers",'Monthly Lean'!D57,IF(Nonlabor!$I$26="NewCustomers",'Monthly Lean'!C57,IF(Nonlabor!$I$26="StorageGB",'Monthly Lean'!G57,IF(Nonlabor!$I$26="LogGB",'Monthly Lean'!H57,IF(Nonlabor!$I$26="RequestsM",'Monthly Lean'!F57,IF(Nonlabor!$I$26="InputM",'Monthly Lean'!D57*Assumptions!$C$22/1000000,IF(Nonlabor!$I$26="OutputM",'Monthly Lean'!D57*Assumptions!$C$23/1000000,0))))))))),0)</f>
        <v>0</v>
      </c>
      <c r="F1257" s="10" t="n">
        <f aca="false">Nonlabor!$J$26*(1+Assumptions!$C$9)^INT((C1257-1)/12)</f>
        <v>16882.63215</v>
      </c>
      <c r="G1257" s="10" t="n">
        <f aca="false">E1257*F1257</f>
        <v>0</v>
      </c>
      <c r="H1257" s="10" t="n">
        <f aca="false">IF(OR(Nonlabor!$L$26="Quote required",Nonlabor!$L$26="Unverified"),G1257,0)</f>
        <v>0</v>
      </c>
      <c r="I1257" s="10" t="n">
        <f aca="false">IF(Nonlabor!$E$26="Core",0,G1257)</f>
        <v>0</v>
      </c>
      <c r="J1257" s="23" t="str">
        <f aca="false">Nonlabor!$B$26</f>
        <v>AI</v>
      </c>
    </row>
    <row r="1258" customFormat="false" ht="15" hidden="false" customHeight="false" outlineLevel="0" collapsed="false">
      <c r="A1258" s="6" t="s">
        <v>72</v>
      </c>
      <c r="B1258" s="6" t="s">
        <v>436</v>
      </c>
      <c r="C1258" s="6" t="n">
        <v>53</v>
      </c>
      <c r="D1258" s="25" t="n">
        <f aca="false">EDATE('Start Here'!$B$6,C1258-1)</f>
        <v>47908</v>
      </c>
      <c r="E1258" s="23" t="n">
        <f aca="false">IF(AND(OR(Nonlabor!$D$26="Both",Nonlabor!$D$26='Start Here'!$B$9),IF(Nonlabor!$E$26="Core",1,IF(Nonlabor!$E$26="AI",'Start Here'!$B$7,'Start Here'!$B$8))=1,C1258&gt;=IF(Nonlabor!$E$26="Core",Nonlabor!$F$26,MAX(Nonlabor!$F$26,IF(Nonlabor!$E$26="AI",Assumptions!$C$24,Assumptions!$C$25))),C1258&lt;=Nonlabor!$G$26,OR(Nonlabor!$H$26="Monthly",AND(Nonlabor!$H$26="Once",C1258=IF(Nonlabor!$E$26="Core",Nonlabor!$F$26,MAX(Nonlabor!$F$26,IF(Nonlabor!$E$26="AI",Assumptions!$C$24,Assumptions!$C$25)))),AND(Nonlabor!$H$26="Annual",MOD(C1258-IF(Nonlabor!$E$26="Core",Nonlabor!$F$26,MAX(Nonlabor!$F$26,IF(Nonlabor!$E$26="AI",Assumptions!$C$24,Assumptions!$C$25))),12)=0))),IF(Nonlabor!$I$26="Fixed",1,IF(Nonlabor!$I$26="Seats",ROUNDUP('Monthly Lean'!I58,0),IF(Nonlabor!$I$26="Customers",'Monthly Lean'!D58,IF(Nonlabor!$I$26="NewCustomers",'Monthly Lean'!C58,IF(Nonlabor!$I$26="StorageGB",'Monthly Lean'!G58,IF(Nonlabor!$I$26="LogGB",'Monthly Lean'!H58,IF(Nonlabor!$I$26="RequestsM",'Monthly Lean'!F58,IF(Nonlabor!$I$26="InputM",'Monthly Lean'!D58*Assumptions!$C$22/1000000,IF(Nonlabor!$I$26="OutputM",'Monthly Lean'!D58*Assumptions!$C$23/1000000,0))))))))),0)</f>
        <v>0</v>
      </c>
      <c r="F1258" s="10" t="n">
        <f aca="false">Nonlabor!$J$26*(1+Assumptions!$C$9)^INT((C1258-1)/12)</f>
        <v>16882.63215</v>
      </c>
      <c r="G1258" s="10" t="n">
        <f aca="false">E1258*F1258</f>
        <v>0</v>
      </c>
      <c r="H1258" s="10" t="n">
        <f aca="false">IF(OR(Nonlabor!$L$26="Quote required",Nonlabor!$L$26="Unverified"),G1258,0)</f>
        <v>0</v>
      </c>
      <c r="I1258" s="10" t="n">
        <f aca="false">IF(Nonlabor!$E$26="Core",0,G1258)</f>
        <v>0</v>
      </c>
      <c r="J1258" s="23" t="str">
        <f aca="false">Nonlabor!$B$26</f>
        <v>AI</v>
      </c>
    </row>
    <row r="1259" customFormat="false" ht="15" hidden="false" customHeight="false" outlineLevel="0" collapsed="false">
      <c r="A1259" s="6" t="s">
        <v>72</v>
      </c>
      <c r="B1259" s="6" t="s">
        <v>436</v>
      </c>
      <c r="C1259" s="6" t="n">
        <v>54</v>
      </c>
      <c r="D1259" s="25" t="n">
        <f aca="false">EDATE('Start Here'!$B$6,C1259-1)</f>
        <v>47939</v>
      </c>
      <c r="E1259" s="23" t="n">
        <f aca="false">IF(AND(OR(Nonlabor!$D$26="Both",Nonlabor!$D$26='Start Here'!$B$9),IF(Nonlabor!$E$26="Core",1,IF(Nonlabor!$E$26="AI",'Start Here'!$B$7,'Start Here'!$B$8))=1,C1259&gt;=IF(Nonlabor!$E$26="Core",Nonlabor!$F$26,MAX(Nonlabor!$F$26,IF(Nonlabor!$E$26="AI",Assumptions!$C$24,Assumptions!$C$25))),C1259&lt;=Nonlabor!$G$26,OR(Nonlabor!$H$26="Monthly",AND(Nonlabor!$H$26="Once",C1259=IF(Nonlabor!$E$26="Core",Nonlabor!$F$26,MAX(Nonlabor!$F$26,IF(Nonlabor!$E$26="AI",Assumptions!$C$24,Assumptions!$C$25)))),AND(Nonlabor!$H$26="Annual",MOD(C1259-IF(Nonlabor!$E$26="Core",Nonlabor!$F$26,MAX(Nonlabor!$F$26,IF(Nonlabor!$E$26="AI",Assumptions!$C$24,Assumptions!$C$25))),12)=0))),IF(Nonlabor!$I$26="Fixed",1,IF(Nonlabor!$I$26="Seats",ROUNDUP('Monthly Lean'!I59,0),IF(Nonlabor!$I$26="Customers",'Monthly Lean'!D59,IF(Nonlabor!$I$26="NewCustomers",'Monthly Lean'!C59,IF(Nonlabor!$I$26="StorageGB",'Monthly Lean'!G59,IF(Nonlabor!$I$26="LogGB",'Monthly Lean'!H59,IF(Nonlabor!$I$26="RequestsM",'Monthly Lean'!F59,IF(Nonlabor!$I$26="InputM",'Monthly Lean'!D59*Assumptions!$C$22/1000000,IF(Nonlabor!$I$26="OutputM",'Monthly Lean'!D59*Assumptions!$C$23/1000000,0))))))))),0)</f>
        <v>0</v>
      </c>
      <c r="F1259" s="10" t="n">
        <f aca="false">Nonlabor!$J$26*(1+Assumptions!$C$9)^INT((C1259-1)/12)</f>
        <v>16882.63215</v>
      </c>
      <c r="G1259" s="10" t="n">
        <f aca="false">E1259*F1259</f>
        <v>0</v>
      </c>
      <c r="H1259" s="10" t="n">
        <f aca="false">IF(OR(Nonlabor!$L$26="Quote required",Nonlabor!$L$26="Unverified"),G1259,0)</f>
        <v>0</v>
      </c>
      <c r="I1259" s="10" t="n">
        <f aca="false">IF(Nonlabor!$E$26="Core",0,G1259)</f>
        <v>0</v>
      </c>
      <c r="J1259" s="23" t="str">
        <f aca="false">Nonlabor!$B$26</f>
        <v>AI</v>
      </c>
    </row>
    <row r="1260" customFormat="false" ht="15" hidden="false" customHeight="false" outlineLevel="0" collapsed="false">
      <c r="A1260" s="6" t="s">
        <v>72</v>
      </c>
      <c r="B1260" s="6" t="s">
        <v>436</v>
      </c>
      <c r="C1260" s="6" t="n">
        <v>55</v>
      </c>
      <c r="D1260" s="25" t="n">
        <f aca="false">EDATE('Start Here'!$B$6,C1260-1)</f>
        <v>47969</v>
      </c>
      <c r="E1260" s="23" t="n">
        <f aca="false">IF(AND(OR(Nonlabor!$D$26="Both",Nonlabor!$D$26='Start Here'!$B$9),IF(Nonlabor!$E$26="Core",1,IF(Nonlabor!$E$26="AI",'Start Here'!$B$7,'Start Here'!$B$8))=1,C1260&gt;=IF(Nonlabor!$E$26="Core",Nonlabor!$F$26,MAX(Nonlabor!$F$26,IF(Nonlabor!$E$26="AI",Assumptions!$C$24,Assumptions!$C$25))),C1260&lt;=Nonlabor!$G$26,OR(Nonlabor!$H$26="Monthly",AND(Nonlabor!$H$26="Once",C1260=IF(Nonlabor!$E$26="Core",Nonlabor!$F$26,MAX(Nonlabor!$F$26,IF(Nonlabor!$E$26="AI",Assumptions!$C$24,Assumptions!$C$25)))),AND(Nonlabor!$H$26="Annual",MOD(C1260-IF(Nonlabor!$E$26="Core",Nonlabor!$F$26,MAX(Nonlabor!$F$26,IF(Nonlabor!$E$26="AI",Assumptions!$C$24,Assumptions!$C$25))),12)=0))),IF(Nonlabor!$I$26="Fixed",1,IF(Nonlabor!$I$26="Seats",ROUNDUP('Monthly Lean'!I60,0),IF(Nonlabor!$I$26="Customers",'Monthly Lean'!D60,IF(Nonlabor!$I$26="NewCustomers",'Monthly Lean'!C60,IF(Nonlabor!$I$26="StorageGB",'Monthly Lean'!G60,IF(Nonlabor!$I$26="LogGB",'Monthly Lean'!H60,IF(Nonlabor!$I$26="RequestsM",'Monthly Lean'!F60,IF(Nonlabor!$I$26="InputM",'Monthly Lean'!D60*Assumptions!$C$22/1000000,IF(Nonlabor!$I$26="OutputM",'Monthly Lean'!D60*Assumptions!$C$23/1000000,0))))))))),0)</f>
        <v>0</v>
      </c>
      <c r="F1260" s="10" t="n">
        <f aca="false">Nonlabor!$J$26*(1+Assumptions!$C$9)^INT((C1260-1)/12)</f>
        <v>16882.63215</v>
      </c>
      <c r="G1260" s="10" t="n">
        <f aca="false">E1260*F1260</f>
        <v>0</v>
      </c>
      <c r="H1260" s="10" t="n">
        <f aca="false">IF(OR(Nonlabor!$L$26="Quote required",Nonlabor!$L$26="Unverified"),G1260,0)</f>
        <v>0</v>
      </c>
      <c r="I1260" s="10" t="n">
        <f aca="false">IF(Nonlabor!$E$26="Core",0,G1260)</f>
        <v>0</v>
      </c>
      <c r="J1260" s="23" t="str">
        <f aca="false">Nonlabor!$B$26</f>
        <v>AI</v>
      </c>
    </row>
    <row r="1261" customFormat="false" ht="15" hidden="false" customHeight="false" outlineLevel="0" collapsed="false">
      <c r="A1261" s="6" t="s">
        <v>72</v>
      </c>
      <c r="B1261" s="6" t="s">
        <v>436</v>
      </c>
      <c r="C1261" s="6" t="n">
        <v>56</v>
      </c>
      <c r="D1261" s="25" t="n">
        <f aca="false">EDATE('Start Here'!$B$6,C1261-1)</f>
        <v>48000</v>
      </c>
      <c r="E1261" s="23" t="n">
        <f aca="false">IF(AND(OR(Nonlabor!$D$26="Both",Nonlabor!$D$26='Start Here'!$B$9),IF(Nonlabor!$E$26="Core",1,IF(Nonlabor!$E$26="AI",'Start Here'!$B$7,'Start Here'!$B$8))=1,C1261&gt;=IF(Nonlabor!$E$26="Core",Nonlabor!$F$26,MAX(Nonlabor!$F$26,IF(Nonlabor!$E$26="AI",Assumptions!$C$24,Assumptions!$C$25))),C1261&lt;=Nonlabor!$G$26,OR(Nonlabor!$H$26="Monthly",AND(Nonlabor!$H$26="Once",C1261=IF(Nonlabor!$E$26="Core",Nonlabor!$F$26,MAX(Nonlabor!$F$26,IF(Nonlabor!$E$26="AI",Assumptions!$C$24,Assumptions!$C$25)))),AND(Nonlabor!$H$26="Annual",MOD(C1261-IF(Nonlabor!$E$26="Core",Nonlabor!$F$26,MAX(Nonlabor!$F$26,IF(Nonlabor!$E$26="AI",Assumptions!$C$24,Assumptions!$C$25))),12)=0))),IF(Nonlabor!$I$26="Fixed",1,IF(Nonlabor!$I$26="Seats",ROUNDUP('Monthly Lean'!I61,0),IF(Nonlabor!$I$26="Customers",'Monthly Lean'!D61,IF(Nonlabor!$I$26="NewCustomers",'Monthly Lean'!C61,IF(Nonlabor!$I$26="StorageGB",'Monthly Lean'!G61,IF(Nonlabor!$I$26="LogGB",'Monthly Lean'!H61,IF(Nonlabor!$I$26="RequestsM",'Monthly Lean'!F61,IF(Nonlabor!$I$26="InputM",'Monthly Lean'!D61*Assumptions!$C$22/1000000,IF(Nonlabor!$I$26="OutputM",'Monthly Lean'!D61*Assumptions!$C$23/1000000,0))))))))),0)</f>
        <v>0</v>
      </c>
      <c r="F1261" s="10" t="n">
        <f aca="false">Nonlabor!$J$26*(1+Assumptions!$C$9)^INT((C1261-1)/12)</f>
        <v>16882.63215</v>
      </c>
      <c r="G1261" s="10" t="n">
        <f aca="false">E1261*F1261</f>
        <v>0</v>
      </c>
      <c r="H1261" s="10" t="n">
        <f aca="false">IF(OR(Nonlabor!$L$26="Quote required",Nonlabor!$L$26="Unverified"),G1261,0)</f>
        <v>0</v>
      </c>
      <c r="I1261" s="10" t="n">
        <f aca="false">IF(Nonlabor!$E$26="Core",0,G1261)</f>
        <v>0</v>
      </c>
      <c r="J1261" s="23" t="str">
        <f aca="false">Nonlabor!$B$26</f>
        <v>AI</v>
      </c>
    </row>
    <row r="1262" customFormat="false" ht="15" hidden="false" customHeight="false" outlineLevel="0" collapsed="false">
      <c r="A1262" s="6" t="s">
        <v>72</v>
      </c>
      <c r="B1262" s="6" t="s">
        <v>436</v>
      </c>
      <c r="C1262" s="6" t="n">
        <v>57</v>
      </c>
      <c r="D1262" s="25" t="n">
        <f aca="false">EDATE('Start Here'!$B$6,C1262-1)</f>
        <v>48030</v>
      </c>
      <c r="E1262" s="23" t="n">
        <f aca="false">IF(AND(OR(Nonlabor!$D$26="Both",Nonlabor!$D$26='Start Here'!$B$9),IF(Nonlabor!$E$26="Core",1,IF(Nonlabor!$E$26="AI",'Start Here'!$B$7,'Start Here'!$B$8))=1,C1262&gt;=IF(Nonlabor!$E$26="Core",Nonlabor!$F$26,MAX(Nonlabor!$F$26,IF(Nonlabor!$E$26="AI",Assumptions!$C$24,Assumptions!$C$25))),C1262&lt;=Nonlabor!$G$26,OR(Nonlabor!$H$26="Monthly",AND(Nonlabor!$H$26="Once",C1262=IF(Nonlabor!$E$26="Core",Nonlabor!$F$26,MAX(Nonlabor!$F$26,IF(Nonlabor!$E$26="AI",Assumptions!$C$24,Assumptions!$C$25)))),AND(Nonlabor!$H$26="Annual",MOD(C1262-IF(Nonlabor!$E$26="Core",Nonlabor!$F$26,MAX(Nonlabor!$F$26,IF(Nonlabor!$E$26="AI",Assumptions!$C$24,Assumptions!$C$25))),12)=0))),IF(Nonlabor!$I$26="Fixed",1,IF(Nonlabor!$I$26="Seats",ROUNDUP('Monthly Lean'!I62,0),IF(Nonlabor!$I$26="Customers",'Monthly Lean'!D62,IF(Nonlabor!$I$26="NewCustomers",'Monthly Lean'!C62,IF(Nonlabor!$I$26="StorageGB",'Monthly Lean'!G62,IF(Nonlabor!$I$26="LogGB",'Monthly Lean'!H62,IF(Nonlabor!$I$26="RequestsM",'Monthly Lean'!F62,IF(Nonlabor!$I$26="InputM",'Monthly Lean'!D62*Assumptions!$C$22/1000000,IF(Nonlabor!$I$26="OutputM",'Monthly Lean'!D62*Assumptions!$C$23/1000000,0))))))))),0)</f>
        <v>0</v>
      </c>
      <c r="F1262" s="10" t="n">
        <f aca="false">Nonlabor!$J$26*(1+Assumptions!$C$9)^INT((C1262-1)/12)</f>
        <v>16882.63215</v>
      </c>
      <c r="G1262" s="10" t="n">
        <f aca="false">E1262*F1262</f>
        <v>0</v>
      </c>
      <c r="H1262" s="10" t="n">
        <f aca="false">IF(OR(Nonlabor!$L$26="Quote required",Nonlabor!$L$26="Unverified"),G1262,0)</f>
        <v>0</v>
      </c>
      <c r="I1262" s="10" t="n">
        <f aca="false">IF(Nonlabor!$E$26="Core",0,G1262)</f>
        <v>0</v>
      </c>
      <c r="J1262" s="23" t="str">
        <f aca="false">Nonlabor!$B$26</f>
        <v>AI</v>
      </c>
    </row>
    <row r="1263" customFormat="false" ht="15" hidden="false" customHeight="false" outlineLevel="0" collapsed="false">
      <c r="A1263" s="6" t="s">
        <v>72</v>
      </c>
      <c r="B1263" s="6" t="s">
        <v>436</v>
      </c>
      <c r="C1263" s="6" t="n">
        <v>58</v>
      </c>
      <c r="D1263" s="25" t="n">
        <f aca="false">EDATE('Start Here'!$B$6,C1263-1)</f>
        <v>48061</v>
      </c>
      <c r="E1263" s="23" t="n">
        <f aca="false">IF(AND(OR(Nonlabor!$D$26="Both",Nonlabor!$D$26='Start Here'!$B$9),IF(Nonlabor!$E$26="Core",1,IF(Nonlabor!$E$26="AI",'Start Here'!$B$7,'Start Here'!$B$8))=1,C1263&gt;=IF(Nonlabor!$E$26="Core",Nonlabor!$F$26,MAX(Nonlabor!$F$26,IF(Nonlabor!$E$26="AI",Assumptions!$C$24,Assumptions!$C$25))),C1263&lt;=Nonlabor!$G$26,OR(Nonlabor!$H$26="Monthly",AND(Nonlabor!$H$26="Once",C1263=IF(Nonlabor!$E$26="Core",Nonlabor!$F$26,MAX(Nonlabor!$F$26,IF(Nonlabor!$E$26="AI",Assumptions!$C$24,Assumptions!$C$25)))),AND(Nonlabor!$H$26="Annual",MOD(C1263-IF(Nonlabor!$E$26="Core",Nonlabor!$F$26,MAX(Nonlabor!$F$26,IF(Nonlabor!$E$26="AI",Assumptions!$C$24,Assumptions!$C$25))),12)=0))),IF(Nonlabor!$I$26="Fixed",1,IF(Nonlabor!$I$26="Seats",ROUNDUP('Monthly Lean'!I63,0),IF(Nonlabor!$I$26="Customers",'Monthly Lean'!D63,IF(Nonlabor!$I$26="NewCustomers",'Monthly Lean'!C63,IF(Nonlabor!$I$26="StorageGB",'Monthly Lean'!G63,IF(Nonlabor!$I$26="LogGB",'Monthly Lean'!H63,IF(Nonlabor!$I$26="RequestsM",'Monthly Lean'!F63,IF(Nonlabor!$I$26="InputM",'Monthly Lean'!D63*Assumptions!$C$22/1000000,IF(Nonlabor!$I$26="OutputM",'Monthly Lean'!D63*Assumptions!$C$23/1000000,0))))))))),0)</f>
        <v>0</v>
      </c>
      <c r="F1263" s="10" t="n">
        <f aca="false">Nonlabor!$J$26*(1+Assumptions!$C$9)^INT((C1263-1)/12)</f>
        <v>16882.63215</v>
      </c>
      <c r="G1263" s="10" t="n">
        <f aca="false">E1263*F1263</f>
        <v>0</v>
      </c>
      <c r="H1263" s="10" t="n">
        <f aca="false">IF(OR(Nonlabor!$L$26="Quote required",Nonlabor!$L$26="Unverified"),G1263,0)</f>
        <v>0</v>
      </c>
      <c r="I1263" s="10" t="n">
        <f aca="false">IF(Nonlabor!$E$26="Core",0,G1263)</f>
        <v>0</v>
      </c>
      <c r="J1263" s="23" t="str">
        <f aca="false">Nonlabor!$B$26</f>
        <v>AI</v>
      </c>
    </row>
    <row r="1264" customFormat="false" ht="15" hidden="false" customHeight="false" outlineLevel="0" collapsed="false">
      <c r="A1264" s="6" t="s">
        <v>72</v>
      </c>
      <c r="B1264" s="6" t="s">
        <v>436</v>
      </c>
      <c r="C1264" s="6" t="n">
        <v>59</v>
      </c>
      <c r="D1264" s="25" t="n">
        <f aca="false">EDATE('Start Here'!$B$6,C1264-1)</f>
        <v>48092</v>
      </c>
      <c r="E1264" s="23" t="n">
        <f aca="false">IF(AND(OR(Nonlabor!$D$26="Both",Nonlabor!$D$26='Start Here'!$B$9),IF(Nonlabor!$E$26="Core",1,IF(Nonlabor!$E$26="AI",'Start Here'!$B$7,'Start Here'!$B$8))=1,C1264&gt;=IF(Nonlabor!$E$26="Core",Nonlabor!$F$26,MAX(Nonlabor!$F$26,IF(Nonlabor!$E$26="AI",Assumptions!$C$24,Assumptions!$C$25))),C1264&lt;=Nonlabor!$G$26,OR(Nonlabor!$H$26="Monthly",AND(Nonlabor!$H$26="Once",C1264=IF(Nonlabor!$E$26="Core",Nonlabor!$F$26,MAX(Nonlabor!$F$26,IF(Nonlabor!$E$26="AI",Assumptions!$C$24,Assumptions!$C$25)))),AND(Nonlabor!$H$26="Annual",MOD(C1264-IF(Nonlabor!$E$26="Core",Nonlabor!$F$26,MAX(Nonlabor!$F$26,IF(Nonlabor!$E$26="AI",Assumptions!$C$24,Assumptions!$C$25))),12)=0))),IF(Nonlabor!$I$26="Fixed",1,IF(Nonlabor!$I$26="Seats",ROUNDUP('Monthly Lean'!I64,0),IF(Nonlabor!$I$26="Customers",'Monthly Lean'!D64,IF(Nonlabor!$I$26="NewCustomers",'Monthly Lean'!C64,IF(Nonlabor!$I$26="StorageGB",'Monthly Lean'!G64,IF(Nonlabor!$I$26="LogGB",'Monthly Lean'!H64,IF(Nonlabor!$I$26="RequestsM",'Monthly Lean'!F64,IF(Nonlabor!$I$26="InputM",'Monthly Lean'!D64*Assumptions!$C$22/1000000,IF(Nonlabor!$I$26="OutputM",'Monthly Lean'!D64*Assumptions!$C$23/1000000,0))))))))),0)</f>
        <v>0</v>
      </c>
      <c r="F1264" s="10" t="n">
        <f aca="false">Nonlabor!$J$26*(1+Assumptions!$C$9)^INT((C1264-1)/12)</f>
        <v>16882.63215</v>
      </c>
      <c r="G1264" s="10" t="n">
        <f aca="false">E1264*F1264</f>
        <v>0</v>
      </c>
      <c r="H1264" s="10" t="n">
        <f aca="false">IF(OR(Nonlabor!$L$26="Quote required",Nonlabor!$L$26="Unverified"),G1264,0)</f>
        <v>0</v>
      </c>
      <c r="I1264" s="10" t="n">
        <f aca="false">IF(Nonlabor!$E$26="Core",0,G1264)</f>
        <v>0</v>
      </c>
      <c r="J1264" s="23" t="str">
        <f aca="false">Nonlabor!$B$26</f>
        <v>AI</v>
      </c>
    </row>
    <row r="1265" customFormat="false" ht="15" hidden="false" customHeight="false" outlineLevel="0" collapsed="false">
      <c r="A1265" s="6" t="s">
        <v>72</v>
      </c>
      <c r="B1265" s="6" t="s">
        <v>436</v>
      </c>
      <c r="C1265" s="6" t="n">
        <v>60</v>
      </c>
      <c r="D1265" s="25" t="n">
        <f aca="false">EDATE('Start Here'!$B$6,C1265-1)</f>
        <v>48122</v>
      </c>
      <c r="E1265" s="23" t="n">
        <f aca="false">IF(AND(OR(Nonlabor!$D$26="Both",Nonlabor!$D$26='Start Here'!$B$9),IF(Nonlabor!$E$26="Core",1,IF(Nonlabor!$E$26="AI",'Start Here'!$B$7,'Start Here'!$B$8))=1,C1265&gt;=IF(Nonlabor!$E$26="Core",Nonlabor!$F$26,MAX(Nonlabor!$F$26,IF(Nonlabor!$E$26="AI",Assumptions!$C$24,Assumptions!$C$25))),C1265&lt;=Nonlabor!$G$26,OR(Nonlabor!$H$26="Monthly",AND(Nonlabor!$H$26="Once",C1265=IF(Nonlabor!$E$26="Core",Nonlabor!$F$26,MAX(Nonlabor!$F$26,IF(Nonlabor!$E$26="AI",Assumptions!$C$24,Assumptions!$C$25)))),AND(Nonlabor!$H$26="Annual",MOD(C1265-IF(Nonlabor!$E$26="Core",Nonlabor!$F$26,MAX(Nonlabor!$F$26,IF(Nonlabor!$E$26="AI",Assumptions!$C$24,Assumptions!$C$25))),12)=0))),IF(Nonlabor!$I$26="Fixed",1,IF(Nonlabor!$I$26="Seats",ROUNDUP('Monthly Lean'!I65,0),IF(Nonlabor!$I$26="Customers",'Monthly Lean'!D65,IF(Nonlabor!$I$26="NewCustomers",'Monthly Lean'!C65,IF(Nonlabor!$I$26="StorageGB",'Monthly Lean'!G65,IF(Nonlabor!$I$26="LogGB",'Monthly Lean'!H65,IF(Nonlabor!$I$26="RequestsM",'Monthly Lean'!F65,IF(Nonlabor!$I$26="InputM",'Monthly Lean'!D65*Assumptions!$C$22/1000000,IF(Nonlabor!$I$26="OutputM",'Monthly Lean'!D65*Assumptions!$C$23/1000000,0))))))))),0)</f>
        <v>0</v>
      </c>
      <c r="F1265" s="10" t="n">
        <f aca="false">Nonlabor!$J$26*(1+Assumptions!$C$9)^INT((C1265-1)/12)</f>
        <v>16882.63215</v>
      </c>
      <c r="G1265" s="10" t="n">
        <f aca="false">E1265*F1265</f>
        <v>0</v>
      </c>
      <c r="H1265" s="10" t="n">
        <f aca="false">IF(OR(Nonlabor!$L$26="Quote required",Nonlabor!$L$26="Unverified"),G1265,0)</f>
        <v>0</v>
      </c>
      <c r="I1265" s="10" t="n">
        <f aca="false">IF(Nonlabor!$E$26="Core",0,G1265)</f>
        <v>0</v>
      </c>
      <c r="J1265" s="23" t="str">
        <f aca="false">Nonlabor!$B$26</f>
        <v>AI</v>
      </c>
    </row>
    <row r="1266" customFormat="false" ht="15" hidden="false" customHeight="false" outlineLevel="0" collapsed="false">
      <c r="A1266" s="6" t="s">
        <v>72</v>
      </c>
      <c r="B1266" s="6" t="s">
        <v>439</v>
      </c>
      <c r="C1266" s="6" t="n">
        <v>1</v>
      </c>
      <c r="D1266" s="25" t="n">
        <f aca="false">EDATE('Start Here'!$B$6,C1266-1)</f>
        <v>46327</v>
      </c>
      <c r="E1266" s="23" t="n">
        <f aca="false">IF(AND(OR(Nonlabor!$D$27="Both",Nonlabor!$D$27='Start Here'!$B$9),IF(Nonlabor!$E$27="Core",1,IF(Nonlabor!$E$27="AI",'Start Here'!$B$7,'Start Here'!$B$8))=1,C1266&gt;=IF(Nonlabor!$E$27="Core",Nonlabor!$F$27,MAX(Nonlabor!$F$27,IF(Nonlabor!$E$27="AI",Assumptions!$C$24,Assumptions!$C$25))),C1266&lt;=Nonlabor!$G$27,OR(Nonlabor!$H$27="Monthly",AND(Nonlabor!$H$27="Once",C1266=IF(Nonlabor!$E$27="Core",Nonlabor!$F$27,MAX(Nonlabor!$F$27,IF(Nonlabor!$E$27="AI",Assumptions!$C$24,Assumptions!$C$25)))),AND(Nonlabor!$H$27="Annual",MOD(C1266-IF(Nonlabor!$E$27="Core",Nonlabor!$F$27,MAX(Nonlabor!$F$27,IF(Nonlabor!$E$27="AI",Assumptions!$C$24,Assumptions!$C$25))),12)=0))),IF(Nonlabor!$I$27="Fixed",1,IF(Nonlabor!$I$27="Seats",ROUNDUP('Monthly Lean'!I6,0),IF(Nonlabor!$I$27="Customers",'Monthly Lean'!D6,IF(Nonlabor!$I$27="NewCustomers",'Monthly Lean'!C6,IF(Nonlabor!$I$27="StorageGB",'Monthly Lean'!G6,IF(Nonlabor!$I$27="LogGB",'Monthly Lean'!H6,IF(Nonlabor!$I$27="RequestsM",'Monthly Lean'!F6,IF(Nonlabor!$I$27="InputM",'Monthly Lean'!D6*Assumptions!$C$22/1000000,IF(Nonlabor!$I$27="OutputM",'Monthly Lean'!D6*Assumptions!$C$23/1000000,0))))))))),0)</f>
        <v>0</v>
      </c>
      <c r="F1266" s="10" t="n">
        <f aca="false">Nonlabor!$J$27*(1+Assumptions!$C$9)^INT((C1266-1)/12)</f>
        <v>40000</v>
      </c>
      <c r="G1266" s="10" t="n">
        <f aca="false">E1266*F1266</f>
        <v>0</v>
      </c>
      <c r="H1266" s="10" t="n">
        <f aca="false">IF(OR(Nonlabor!$L$27="Quote required",Nonlabor!$L$27="Unverified"),G1266,0)</f>
        <v>0</v>
      </c>
      <c r="I1266" s="10" t="n">
        <f aca="false">IF(Nonlabor!$E$27="Core",0,G1266)</f>
        <v>0</v>
      </c>
      <c r="J1266" s="23" t="str">
        <f aca="false">Nonlabor!$B$27</f>
        <v>CTMS</v>
      </c>
    </row>
    <row r="1267" customFormat="false" ht="15" hidden="false" customHeight="false" outlineLevel="0" collapsed="false">
      <c r="A1267" s="6" t="s">
        <v>72</v>
      </c>
      <c r="B1267" s="6" t="s">
        <v>439</v>
      </c>
      <c r="C1267" s="6" t="n">
        <v>2</v>
      </c>
      <c r="D1267" s="25" t="n">
        <f aca="false">EDATE('Start Here'!$B$6,C1267-1)</f>
        <v>46357</v>
      </c>
      <c r="E1267" s="23" t="n">
        <f aca="false">IF(AND(OR(Nonlabor!$D$27="Both",Nonlabor!$D$27='Start Here'!$B$9),IF(Nonlabor!$E$27="Core",1,IF(Nonlabor!$E$27="AI",'Start Here'!$B$7,'Start Here'!$B$8))=1,C1267&gt;=IF(Nonlabor!$E$27="Core",Nonlabor!$F$27,MAX(Nonlabor!$F$27,IF(Nonlabor!$E$27="AI",Assumptions!$C$24,Assumptions!$C$25))),C1267&lt;=Nonlabor!$G$27,OR(Nonlabor!$H$27="Monthly",AND(Nonlabor!$H$27="Once",C1267=IF(Nonlabor!$E$27="Core",Nonlabor!$F$27,MAX(Nonlabor!$F$27,IF(Nonlabor!$E$27="AI",Assumptions!$C$24,Assumptions!$C$25)))),AND(Nonlabor!$H$27="Annual",MOD(C1267-IF(Nonlabor!$E$27="Core",Nonlabor!$F$27,MAX(Nonlabor!$F$27,IF(Nonlabor!$E$27="AI",Assumptions!$C$24,Assumptions!$C$25))),12)=0))),IF(Nonlabor!$I$27="Fixed",1,IF(Nonlabor!$I$27="Seats",ROUNDUP('Monthly Lean'!I7,0),IF(Nonlabor!$I$27="Customers",'Monthly Lean'!D7,IF(Nonlabor!$I$27="NewCustomers",'Monthly Lean'!C7,IF(Nonlabor!$I$27="StorageGB",'Monthly Lean'!G7,IF(Nonlabor!$I$27="LogGB",'Monthly Lean'!H7,IF(Nonlabor!$I$27="RequestsM",'Monthly Lean'!F7,IF(Nonlabor!$I$27="InputM",'Monthly Lean'!D7*Assumptions!$C$22/1000000,IF(Nonlabor!$I$27="OutputM",'Monthly Lean'!D7*Assumptions!$C$23/1000000,0))))))))),0)</f>
        <v>0</v>
      </c>
      <c r="F1267" s="10" t="n">
        <f aca="false">Nonlabor!$J$27*(1+Assumptions!$C$9)^INT((C1267-1)/12)</f>
        <v>40000</v>
      </c>
      <c r="G1267" s="10" t="n">
        <f aca="false">E1267*F1267</f>
        <v>0</v>
      </c>
      <c r="H1267" s="10" t="n">
        <f aca="false">IF(OR(Nonlabor!$L$27="Quote required",Nonlabor!$L$27="Unverified"),G1267,0)</f>
        <v>0</v>
      </c>
      <c r="I1267" s="10" t="n">
        <f aca="false">IF(Nonlabor!$E$27="Core",0,G1267)</f>
        <v>0</v>
      </c>
      <c r="J1267" s="23" t="str">
        <f aca="false">Nonlabor!$B$27</f>
        <v>CTMS</v>
      </c>
    </row>
    <row r="1268" customFormat="false" ht="15" hidden="false" customHeight="false" outlineLevel="0" collapsed="false">
      <c r="A1268" s="6" t="s">
        <v>72</v>
      </c>
      <c r="B1268" s="6" t="s">
        <v>439</v>
      </c>
      <c r="C1268" s="6" t="n">
        <v>3</v>
      </c>
      <c r="D1268" s="25" t="n">
        <f aca="false">EDATE('Start Here'!$B$6,C1268-1)</f>
        <v>46388</v>
      </c>
      <c r="E1268" s="23" t="n">
        <f aca="false">IF(AND(OR(Nonlabor!$D$27="Both",Nonlabor!$D$27='Start Here'!$B$9),IF(Nonlabor!$E$27="Core",1,IF(Nonlabor!$E$27="AI",'Start Here'!$B$7,'Start Here'!$B$8))=1,C1268&gt;=IF(Nonlabor!$E$27="Core",Nonlabor!$F$27,MAX(Nonlabor!$F$27,IF(Nonlabor!$E$27="AI",Assumptions!$C$24,Assumptions!$C$25))),C1268&lt;=Nonlabor!$G$27,OR(Nonlabor!$H$27="Monthly",AND(Nonlabor!$H$27="Once",C1268=IF(Nonlabor!$E$27="Core",Nonlabor!$F$27,MAX(Nonlabor!$F$27,IF(Nonlabor!$E$27="AI",Assumptions!$C$24,Assumptions!$C$25)))),AND(Nonlabor!$H$27="Annual",MOD(C1268-IF(Nonlabor!$E$27="Core",Nonlabor!$F$27,MAX(Nonlabor!$F$27,IF(Nonlabor!$E$27="AI",Assumptions!$C$24,Assumptions!$C$25))),12)=0))),IF(Nonlabor!$I$27="Fixed",1,IF(Nonlabor!$I$27="Seats",ROUNDUP('Monthly Lean'!I8,0),IF(Nonlabor!$I$27="Customers",'Monthly Lean'!D8,IF(Nonlabor!$I$27="NewCustomers",'Monthly Lean'!C8,IF(Nonlabor!$I$27="StorageGB",'Monthly Lean'!G8,IF(Nonlabor!$I$27="LogGB",'Monthly Lean'!H8,IF(Nonlabor!$I$27="RequestsM",'Monthly Lean'!F8,IF(Nonlabor!$I$27="InputM",'Monthly Lean'!D8*Assumptions!$C$22/1000000,IF(Nonlabor!$I$27="OutputM",'Monthly Lean'!D8*Assumptions!$C$23/1000000,0))))))))),0)</f>
        <v>0</v>
      </c>
      <c r="F1268" s="10" t="n">
        <f aca="false">Nonlabor!$J$27*(1+Assumptions!$C$9)^INT((C1268-1)/12)</f>
        <v>40000</v>
      </c>
      <c r="G1268" s="10" t="n">
        <f aca="false">E1268*F1268</f>
        <v>0</v>
      </c>
      <c r="H1268" s="10" t="n">
        <f aca="false">IF(OR(Nonlabor!$L$27="Quote required",Nonlabor!$L$27="Unverified"),G1268,0)</f>
        <v>0</v>
      </c>
      <c r="I1268" s="10" t="n">
        <f aca="false">IF(Nonlabor!$E$27="Core",0,G1268)</f>
        <v>0</v>
      </c>
      <c r="J1268" s="23" t="str">
        <f aca="false">Nonlabor!$B$27</f>
        <v>CTMS</v>
      </c>
    </row>
    <row r="1269" customFormat="false" ht="15" hidden="false" customHeight="false" outlineLevel="0" collapsed="false">
      <c r="A1269" s="6" t="s">
        <v>72</v>
      </c>
      <c r="B1269" s="6" t="s">
        <v>439</v>
      </c>
      <c r="C1269" s="6" t="n">
        <v>4</v>
      </c>
      <c r="D1269" s="25" t="n">
        <f aca="false">EDATE('Start Here'!$B$6,C1269-1)</f>
        <v>46419</v>
      </c>
      <c r="E1269" s="23" t="n">
        <f aca="false">IF(AND(OR(Nonlabor!$D$27="Both",Nonlabor!$D$27='Start Here'!$B$9),IF(Nonlabor!$E$27="Core",1,IF(Nonlabor!$E$27="AI",'Start Here'!$B$7,'Start Here'!$B$8))=1,C1269&gt;=IF(Nonlabor!$E$27="Core",Nonlabor!$F$27,MAX(Nonlabor!$F$27,IF(Nonlabor!$E$27="AI",Assumptions!$C$24,Assumptions!$C$25))),C1269&lt;=Nonlabor!$G$27,OR(Nonlabor!$H$27="Monthly",AND(Nonlabor!$H$27="Once",C1269=IF(Nonlabor!$E$27="Core",Nonlabor!$F$27,MAX(Nonlabor!$F$27,IF(Nonlabor!$E$27="AI",Assumptions!$C$24,Assumptions!$C$25)))),AND(Nonlabor!$H$27="Annual",MOD(C1269-IF(Nonlabor!$E$27="Core",Nonlabor!$F$27,MAX(Nonlabor!$F$27,IF(Nonlabor!$E$27="AI",Assumptions!$C$24,Assumptions!$C$25))),12)=0))),IF(Nonlabor!$I$27="Fixed",1,IF(Nonlabor!$I$27="Seats",ROUNDUP('Monthly Lean'!I9,0),IF(Nonlabor!$I$27="Customers",'Monthly Lean'!D9,IF(Nonlabor!$I$27="NewCustomers",'Monthly Lean'!C9,IF(Nonlabor!$I$27="StorageGB",'Monthly Lean'!G9,IF(Nonlabor!$I$27="LogGB",'Monthly Lean'!H9,IF(Nonlabor!$I$27="RequestsM",'Monthly Lean'!F9,IF(Nonlabor!$I$27="InputM",'Monthly Lean'!D9*Assumptions!$C$22/1000000,IF(Nonlabor!$I$27="OutputM",'Monthly Lean'!D9*Assumptions!$C$23/1000000,0))))))))),0)</f>
        <v>0</v>
      </c>
      <c r="F1269" s="10" t="n">
        <f aca="false">Nonlabor!$J$27*(1+Assumptions!$C$9)^INT((C1269-1)/12)</f>
        <v>40000</v>
      </c>
      <c r="G1269" s="10" t="n">
        <f aca="false">E1269*F1269</f>
        <v>0</v>
      </c>
      <c r="H1269" s="10" t="n">
        <f aca="false">IF(OR(Nonlabor!$L$27="Quote required",Nonlabor!$L$27="Unverified"),G1269,0)</f>
        <v>0</v>
      </c>
      <c r="I1269" s="10" t="n">
        <f aca="false">IF(Nonlabor!$E$27="Core",0,G1269)</f>
        <v>0</v>
      </c>
      <c r="J1269" s="23" t="str">
        <f aca="false">Nonlabor!$B$27</f>
        <v>CTMS</v>
      </c>
    </row>
    <row r="1270" customFormat="false" ht="15" hidden="false" customHeight="false" outlineLevel="0" collapsed="false">
      <c r="A1270" s="6" t="s">
        <v>72</v>
      </c>
      <c r="B1270" s="6" t="s">
        <v>439</v>
      </c>
      <c r="C1270" s="6" t="n">
        <v>5</v>
      </c>
      <c r="D1270" s="25" t="n">
        <f aca="false">EDATE('Start Here'!$B$6,C1270-1)</f>
        <v>46447</v>
      </c>
      <c r="E1270" s="23" t="n">
        <f aca="false">IF(AND(OR(Nonlabor!$D$27="Both",Nonlabor!$D$27='Start Here'!$B$9),IF(Nonlabor!$E$27="Core",1,IF(Nonlabor!$E$27="AI",'Start Here'!$B$7,'Start Here'!$B$8))=1,C1270&gt;=IF(Nonlabor!$E$27="Core",Nonlabor!$F$27,MAX(Nonlabor!$F$27,IF(Nonlabor!$E$27="AI",Assumptions!$C$24,Assumptions!$C$25))),C1270&lt;=Nonlabor!$G$27,OR(Nonlabor!$H$27="Monthly",AND(Nonlabor!$H$27="Once",C1270=IF(Nonlabor!$E$27="Core",Nonlabor!$F$27,MAX(Nonlabor!$F$27,IF(Nonlabor!$E$27="AI",Assumptions!$C$24,Assumptions!$C$25)))),AND(Nonlabor!$H$27="Annual",MOD(C1270-IF(Nonlabor!$E$27="Core",Nonlabor!$F$27,MAX(Nonlabor!$F$27,IF(Nonlabor!$E$27="AI",Assumptions!$C$24,Assumptions!$C$25))),12)=0))),IF(Nonlabor!$I$27="Fixed",1,IF(Nonlabor!$I$27="Seats",ROUNDUP('Monthly Lean'!I10,0),IF(Nonlabor!$I$27="Customers",'Monthly Lean'!D10,IF(Nonlabor!$I$27="NewCustomers",'Monthly Lean'!C10,IF(Nonlabor!$I$27="StorageGB",'Monthly Lean'!G10,IF(Nonlabor!$I$27="LogGB",'Monthly Lean'!H10,IF(Nonlabor!$I$27="RequestsM",'Monthly Lean'!F10,IF(Nonlabor!$I$27="InputM",'Monthly Lean'!D10*Assumptions!$C$22/1000000,IF(Nonlabor!$I$27="OutputM",'Monthly Lean'!D10*Assumptions!$C$23/1000000,0))))))))),0)</f>
        <v>0</v>
      </c>
      <c r="F1270" s="10" t="n">
        <f aca="false">Nonlabor!$J$27*(1+Assumptions!$C$9)^INT((C1270-1)/12)</f>
        <v>40000</v>
      </c>
      <c r="G1270" s="10" t="n">
        <f aca="false">E1270*F1270</f>
        <v>0</v>
      </c>
      <c r="H1270" s="10" t="n">
        <f aca="false">IF(OR(Nonlabor!$L$27="Quote required",Nonlabor!$L$27="Unverified"),G1270,0)</f>
        <v>0</v>
      </c>
      <c r="I1270" s="10" t="n">
        <f aca="false">IF(Nonlabor!$E$27="Core",0,G1270)</f>
        <v>0</v>
      </c>
      <c r="J1270" s="23" t="str">
        <f aca="false">Nonlabor!$B$27</f>
        <v>CTMS</v>
      </c>
    </row>
    <row r="1271" customFormat="false" ht="15" hidden="false" customHeight="false" outlineLevel="0" collapsed="false">
      <c r="A1271" s="6" t="s">
        <v>72</v>
      </c>
      <c r="B1271" s="6" t="s">
        <v>439</v>
      </c>
      <c r="C1271" s="6" t="n">
        <v>6</v>
      </c>
      <c r="D1271" s="25" t="n">
        <f aca="false">EDATE('Start Here'!$B$6,C1271-1)</f>
        <v>46478</v>
      </c>
      <c r="E1271" s="23" t="n">
        <f aca="false">IF(AND(OR(Nonlabor!$D$27="Both",Nonlabor!$D$27='Start Here'!$B$9),IF(Nonlabor!$E$27="Core",1,IF(Nonlabor!$E$27="AI",'Start Here'!$B$7,'Start Here'!$B$8))=1,C1271&gt;=IF(Nonlabor!$E$27="Core",Nonlabor!$F$27,MAX(Nonlabor!$F$27,IF(Nonlabor!$E$27="AI",Assumptions!$C$24,Assumptions!$C$25))),C1271&lt;=Nonlabor!$G$27,OR(Nonlabor!$H$27="Monthly",AND(Nonlabor!$H$27="Once",C1271=IF(Nonlabor!$E$27="Core",Nonlabor!$F$27,MAX(Nonlabor!$F$27,IF(Nonlabor!$E$27="AI",Assumptions!$C$24,Assumptions!$C$25)))),AND(Nonlabor!$H$27="Annual",MOD(C1271-IF(Nonlabor!$E$27="Core",Nonlabor!$F$27,MAX(Nonlabor!$F$27,IF(Nonlabor!$E$27="AI",Assumptions!$C$24,Assumptions!$C$25))),12)=0))),IF(Nonlabor!$I$27="Fixed",1,IF(Nonlabor!$I$27="Seats",ROUNDUP('Monthly Lean'!I11,0),IF(Nonlabor!$I$27="Customers",'Monthly Lean'!D11,IF(Nonlabor!$I$27="NewCustomers",'Monthly Lean'!C11,IF(Nonlabor!$I$27="StorageGB",'Monthly Lean'!G11,IF(Nonlabor!$I$27="LogGB",'Monthly Lean'!H11,IF(Nonlabor!$I$27="RequestsM",'Monthly Lean'!F11,IF(Nonlabor!$I$27="InputM",'Monthly Lean'!D11*Assumptions!$C$22/1000000,IF(Nonlabor!$I$27="OutputM",'Monthly Lean'!D11*Assumptions!$C$23/1000000,0))))))))),0)</f>
        <v>0</v>
      </c>
      <c r="F1271" s="10" t="n">
        <f aca="false">Nonlabor!$J$27*(1+Assumptions!$C$9)^INT((C1271-1)/12)</f>
        <v>40000</v>
      </c>
      <c r="G1271" s="10" t="n">
        <f aca="false">E1271*F1271</f>
        <v>0</v>
      </c>
      <c r="H1271" s="10" t="n">
        <f aca="false">IF(OR(Nonlabor!$L$27="Quote required",Nonlabor!$L$27="Unverified"),G1271,0)</f>
        <v>0</v>
      </c>
      <c r="I1271" s="10" t="n">
        <f aca="false">IF(Nonlabor!$E$27="Core",0,G1271)</f>
        <v>0</v>
      </c>
      <c r="J1271" s="23" t="str">
        <f aca="false">Nonlabor!$B$27</f>
        <v>CTMS</v>
      </c>
    </row>
    <row r="1272" customFormat="false" ht="15" hidden="false" customHeight="false" outlineLevel="0" collapsed="false">
      <c r="A1272" s="6" t="s">
        <v>72</v>
      </c>
      <c r="B1272" s="6" t="s">
        <v>439</v>
      </c>
      <c r="C1272" s="6" t="n">
        <v>7</v>
      </c>
      <c r="D1272" s="25" t="n">
        <f aca="false">EDATE('Start Here'!$B$6,C1272-1)</f>
        <v>46508</v>
      </c>
      <c r="E1272" s="23" t="n">
        <f aca="false">IF(AND(OR(Nonlabor!$D$27="Both",Nonlabor!$D$27='Start Here'!$B$9),IF(Nonlabor!$E$27="Core",1,IF(Nonlabor!$E$27="AI",'Start Here'!$B$7,'Start Here'!$B$8))=1,C1272&gt;=IF(Nonlabor!$E$27="Core",Nonlabor!$F$27,MAX(Nonlabor!$F$27,IF(Nonlabor!$E$27="AI",Assumptions!$C$24,Assumptions!$C$25))),C1272&lt;=Nonlabor!$G$27,OR(Nonlabor!$H$27="Monthly",AND(Nonlabor!$H$27="Once",C1272=IF(Nonlabor!$E$27="Core",Nonlabor!$F$27,MAX(Nonlabor!$F$27,IF(Nonlabor!$E$27="AI",Assumptions!$C$24,Assumptions!$C$25)))),AND(Nonlabor!$H$27="Annual",MOD(C1272-IF(Nonlabor!$E$27="Core",Nonlabor!$F$27,MAX(Nonlabor!$F$27,IF(Nonlabor!$E$27="AI",Assumptions!$C$24,Assumptions!$C$25))),12)=0))),IF(Nonlabor!$I$27="Fixed",1,IF(Nonlabor!$I$27="Seats",ROUNDUP('Monthly Lean'!I12,0),IF(Nonlabor!$I$27="Customers",'Monthly Lean'!D12,IF(Nonlabor!$I$27="NewCustomers",'Monthly Lean'!C12,IF(Nonlabor!$I$27="StorageGB",'Monthly Lean'!G12,IF(Nonlabor!$I$27="LogGB",'Monthly Lean'!H12,IF(Nonlabor!$I$27="RequestsM",'Monthly Lean'!F12,IF(Nonlabor!$I$27="InputM",'Monthly Lean'!D12*Assumptions!$C$22/1000000,IF(Nonlabor!$I$27="OutputM",'Monthly Lean'!D12*Assumptions!$C$23/1000000,0))))))))),0)</f>
        <v>0</v>
      </c>
      <c r="F1272" s="10" t="n">
        <f aca="false">Nonlabor!$J$27*(1+Assumptions!$C$9)^INT((C1272-1)/12)</f>
        <v>40000</v>
      </c>
      <c r="G1272" s="10" t="n">
        <f aca="false">E1272*F1272</f>
        <v>0</v>
      </c>
      <c r="H1272" s="10" t="n">
        <f aca="false">IF(OR(Nonlabor!$L$27="Quote required",Nonlabor!$L$27="Unverified"),G1272,0)</f>
        <v>0</v>
      </c>
      <c r="I1272" s="10" t="n">
        <f aca="false">IF(Nonlabor!$E$27="Core",0,G1272)</f>
        <v>0</v>
      </c>
      <c r="J1272" s="23" t="str">
        <f aca="false">Nonlabor!$B$27</f>
        <v>CTMS</v>
      </c>
    </row>
    <row r="1273" customFormat="false" ht="15" hidden="false" customHeight="false" outlineLevel="0" collapsed="false">
      <c r="A1273" s="6" t="s">
        <v>72</v>
      </c>
      <c r="B1273" s="6" t="s">
        <v>439</v>
      </c>
      <c r="C1273" s="6" t="n">
        <v>8</v>
      </c>
      <c r="D1273" s="25" t="n">
        <f aca="false">EDATE('Start Here'!$B$6,C1273-1)</f>
        <v>46539</v>
      </c>
      <c r="E1273" s="23" t="n">
        <f aca="false">IF(AND(OR(Nonlabor!$D$27="Both",Nonlabor!$D$27='Start Here'!$B$9),IF(Nonlabor!$E$27="Core",1,IF(Nonlabor!$E$27="AI",'Start Here'!$B$7,'Start Here'!$B$8))=1,C1273&gt;=IF(Nonlabor!$E$27="Core",Nonlabor!$F$27,MAX(Nonlabor!$F$27,IF(Nonlabor!$E$27="AI",Assumptions!$C$24,Assumptions!$C$25))),C1273&lt;=Nonlabor!$G$27,OR(Nonlabor!$H$27="Monthly",AND(Nonlabor!$H$27="Once",C1273=IF(Nonlabor!$E$27="Core",Nonlabor!$F$27,MAX(Nonlabor!$F$27,IF(Nonlabor!$E$27="AI",Assumptions!$C$24,Assumptions!$C$25)))),AND(Nonlabor!$H$27="Annual",MOD(C1273-IF(Nonlabor!$E$27="Core",Nonlabor!$F$27,MAX(Nonlabor!$F$27,IF(Nonlabor!$E$27="AI",Assumptions!$C$24,Assumptions!$C$25))),12)=0))),IF(Nonlabor!$I$27="Fixed",1,IF(Nonlabor!$I$27="Seats",ROUNDUP('Monthly Lean'!I13,0),IF(Nonlabor!$I$27="Customers",'Monthly Lean'!D13,IF(Nonlabor!$I$27="NewCustomers",'Monthly Lean'!C13,IF(Nonlabor!$I$27="StorageGB",'Monthly Lean'!G13,IF(Nonlabor!$I$27="LogGB",'Monthly Lean'!H13,IF(Nonlabor!$I$27="RequestsM",'Monthly Lean'!F13,IF(Nonlabor!$I$27="InputM",'Monthly Lean'!D13*Assumptions!$C$22/1000000,IF(Nonlabor!$I$27="OutputM",'Monthly Lean'!D13*Assumptions!$C$23/1000000,0))))))))),0)</f>
        <v>0</v>
      </c>
      <c r="F1273" s="10" t="n">
        <f aca="false">Nonlabor!$J$27*(1+Assumptions!$C$9)^INT((C1273-1)/12)</f>
        <v>40000</v>
      </c>
      <c r="G1273" s="10" t="n">
        <f aca="false">E1273*F1273</f>
        <v>0</v>
      </c>
      <c r="H1273" s="10" t="n">
        <f aca="false">IF(OR(Nonlabor!$L$27="Quote required",Nonlabor!$L$27="Unverified"),G1273,0)</f>
        <v>0</v>
      </c>
      <c r="I1273" s="10" t="n">
        <f aca="false">IF(Nonlabor!$E$27="Core",0,G1273)</f>
        <v>0</v>
      </c>
      <c r="J1273" s="23" t="str">
        <f aca="false">Nonlabor!$B$27</f>
        <v>CTMS</v>
      </c>
    </row>
    <row r="1274" customFormat="false" ht="15" hidden="false" customHeight="false" outlineLevel="0" collapsed="false">
      <c r="A1274" s="6" t="s">
        <v>72</v>
      </c>
      <c r="B1274" s="6" t="s">
        <v>439</v>
      </c>
      <c r="C1274" s="6" t="n">
        <v>9</v>
      </c>
      <c r="D1274" s="25" t="n">
        <f aca="false">EDATE('Start Here'!$B$6,C1274-1)</f>
        <v>46569</v>
      </c>
      <c r="E1274" s="23" t="n">
        <f aca="false">IF(AND(OR(Nonlabor!$D$27="Both",Nonlabor!$D$27='Start Here'!$B$9),IF(Nonlabor!$E$27="Core",1,IF(Nonlabor!$E$27="AI",'Start Here'!$B$7,'Start Here'!$B$8))=1,C1274&gt;=IF(Nonlabor!$E$27="Core",Nonlabor!$F$27,MAX(Nonlabor!$F$27,IF(Nonlabor!$E$27="AI",Assumptions!$C$24,Assumptions!$C$25))),C1274&lt;=Nonlabor!$G$27,OR(Nonlabor!$H$27="Monthly",AND(Nonlabor!$H$27="Once",C1274=IF(Nonlabor!$E$27="Core",Nonlabor!$F$27,MAX(Nonlabor!$F$27,IF(Nonlabor!$E$27="AI",Assumptions!$C$24,Assumptions!$C$25)))),AND(Nonlabor!$H$27="Annual",MOD(C1274-IF(Nonlabor!$E$27="Core",Nonlabor!$F$27,MAX(Nonlabor!$F$27,IF(Nonlabor!$E$27="AI",Assumptions!$C$24,Assumptions!$C$25))),12)=0))),IF(Nonlabor!$I$27="Fixed",1,IF(Nonlabor!$I$27="Seats",ROUNDUP('Monthly Lean'!I14,0),IF(Nonlabor!$I$27="Customers",'Monthly Lean'!D14,IF(Nonlabor!$I$27="NewCustomers",'Monthly Lean'!C14,IF(Nonlabor!$I$27="StorageGB",'Monthly Lean'!G14,IF(Nonlabor!$I$27="LogGB",'Monthly Lean'!H14,IF(Nonlabor!$I$27="RequestsM",'Monthly Lean'!F14,IF(Nonlabor!$I$27="InputM",'Monthly Lean'!D14*Assumptions!$C$22/1000000,IF(Nonlabor!$I$27="OutputM",'Monthly Lean'!D14*Assumptions!$C$23/1000000,0))))))))),0)</f>
        <v>0</v>
      </c>
      <c r="F1274" s="10" t="n">
        <f aca="false">Nonlabor!$J$27*(1+Assumptions!$C$9)^INT((C1274-1)/12)</f>
        <v>40000</v>
      </c>
      <c r="G1274" s="10" t="n">
        <f aca="false">E1274*F1274</f>
        <v>0</v>
      </c>
      <c r="H1274" s="10" t="n">
        <f aca="false">IF(OR(Nonlabor!$L$27="Quote required",Nonlabor!$L$27="Unverified"),G1274,0)</f>
        <v>0</v>
      </c>
      <c r="I1274" s="10" t="n">
        <f aca="false">IF(Nonlabor!$E$27="Core",0,G1274)</f>
        <v>0</v>
      </c>
      <c r="J1274" s="23" t="str">
        <f aca="false">Nonlabor!$B$27</f>
        <v>CTMS</v>
      </c>
    </row>
    <row r="1275" customFormat="false" ht="15" hidden="false" customHeight="false" outlineLevel="0" collapsed="false">
      <c r="A1275" s="6" t="s">
        <v>72</v>
      </c>
      <c r="B1275" s="6" t="s">
        <v>439</v>
      </c>
      <c r="C1275" s="6" t="n">
        <v>10</v>
      </c>
      <c r="D1275" s="25" t="n">
        <f aca="false">EDATE('Start Here'!$B$6,C1275-1)</f>
        <v>46600</v>
      </c>
      <c r="E1275" s="23" t="n">
        <f aca="false">IF(AND(OR(Nonlabor!$D$27="Both",Nonlabor!$D$27='Start Here'!$B$9),IF(Nonlabor!$E$27="Core",1,IF(Nonlabor!$E$27="AI",'Start Here'!$B$7,'Start Here'!$B$8))=1,C1275&gt;=IF(Nonlabor!$E$27="Core",Nonlabor!$F$27,MAX(Nonlabor!$F$27,IF(Nonlabor!$E$27="AI",Assumptions!$C$24,Assumptions!$C$25))),C1275&lt;=Nonlabor!$G$27,OR(Nonlabor!$H$27="Monthly",AND(Nonlabor!$H$27="Once",C1275=IF(Nonlabor!$E$27="Core",Nonlabor!$F$27,MAX(Nonlabor!$F$27,IF(Nonlabor!$E$27="AI",Assumptions!$C$24,Assumptions!$C$25)))),AND(Nonlabor!$H$27="Annual",MOD(C1275-IF(Nonlabor!$E$27="Core",Nonlabor!$F$27,MAX(Nonlabor!$F$27,IF(Nonlabor!$E$27="AI",Assumptions!$C$24,Assumptions!$C$25))),12)=0))),IF(Nonlabor!$I$27="Fixed",1,IF(Nonlabor!$I$27="Seats",ROUNDUP('Monthly Lean'!I15,0),IF(Nonlabor!$I$27="Customers",'Monthly Lean'!D15,IF(Nonlabor!$I$27="NewCustomers",'Monthly Lean'!C15,IF(Nonlabor!$I$27="StorageGB",'Monthly Lean'!G15,IF(Nonlabor!$I$27="LogGB",'Monthly Lean'!H15,IF(Nonlabor!$I$27="RequestsM",'Monthly Lean'!F15,IF(Nonlabor!$I$27="InputM",'Monthly Lean'!D15*Assumptions!$C$22/1000000,IF(Nonlabor!$I$27="OutputM",'Monthly Lean'!D15*Assumptions!$C$23/1000000,0))))))))),0)</f>
        <v>0</v>
      </c>
      <c r="F1275" s="10" t="n">
        <f aca="false">Nonlabor!$J$27*(1+Assumptions!$C$9)^INT((C1275-1)/12)</f>
        <v>40000</v>
      </c>
      <c r="G1275" s="10" t="n">
        <f aca="false">E1275*F1275</f>
        <v>0</v>
      </c>
      <c r="H1275" s="10" t="n">
        <f aca="false">IF(OR(Nonlabor!$L$27="Quote required",Nonlabor!$L$27="Unverified"),G1275,0)</f>
        <v>0</v>
      </c>
      <c r="I1275" s="10" t="n">
        <f aca="false">IF(Nonlabor!$E$27="Core",0,G1275)</f>
        <v>0</v>
      </c>
      <c r="J1275" s="23" t="str">
        <f aca="false">Nonlabor!$B$27</f>
        <v>CTMS</v>
      </c>
    </row>
    <row r="1276" customFormat="false" ht="15" hidden="false" customHeight="false" outlineLevel="0" collapsed="false">
      <c r="A1276" s="6" t="s">
        <v>72</v>
      </c>
      <c r="B1276" s="6" t="s">
        <v>439</v>
      </c>
      <c r="C1276" s="6" t="n">
        <v>11</v>
      </c>
      <c r="D1276" s="25" t="n">
        <f aca="false">EDATE('Start Here'!$B$6,C1276-1)</f>
        <v>46631</v>
      </c>
      <c r="E1276" s="23" t="n">
        <f aca="false">IF(AND(OR(Nonlabor!$D$27="Both",Nonlabor!$D$27='Start Here'!$B$9),IF(Nonlabor!$E$27="Core",1,IF(Nonlabor!$E$27="AI",'Start Here'!$B$7,'Start Here'!$B$8))=1,C1276&gt;=IF(Nonlabor!$E$27="Core",Nonlabor!$F$27,MAX(Nonlabor!$F$27,IF(Nonlabor!$E$27="AI",Assumptions!$C$24,Assumptions!$C$25))),C1276&lt;=Nonlabor!$G$27,OR(Nonlabor!$H$27="Monthly",AND(Nonlabor!$H$27="Once",C1276=IF(Nonlabor!$E$27="Core",Nonlabor!$F$27,MAX(Nonlabor!$F$27,IF(Nonlabor!$E$27="AI",Assumptions!$C$24,Assumptions!$C$25)))),AND(Nonlabor!$H$27="Annual",MOD(C1276-IF(Nonlabor!$E$27="Core",Nonlabor!$F$27,MAX(Nonlabor!$F$27,IF(Nonlabor!$E$27="AI",Assumptions!$C$24,Assumptions!$C$25))),12)=0))),IF(Nonlabor!$I$27="Fixed",1,IF(Nonlabor!$I$27="Seats",ROUNDUP('Monthly Lean'!I16,0),IF(Nonlabor!$I$27="Customers",'Monthly Lean'!D16,IF(Nonlabor!$I$27="NewCustomers",'Monthly Lean'!C16,IF(Nonlabor!$I$27="StorageGB",'Monthly Lean'!G16,IF(Nonlabor!$I$27="LogGB",'Monthly Lean'!H16,IF(Nonlabor!$I$27="RequestsM",'Monthly Lean'!F16,IF(Nonlabor!$I$27="InputM",'Monthly Lean'!D16*Assumptions!$C$22/1000000,IF(Nonlabor!$I$27="OutputM",'Monthly Lean'!D16*Assumptions!$C$23/1000000,0))))))))),0)</f>
        <v>0</v>
      </c>
      <c r="F1276" s="10" t="n">
        <f aca="false">Nonlabor!$J$27*(1+Assumptions!$C$9)^INT((C1276-1)/12)</f>
        <v>40000</v>
      </c>
      <c r="G1276" s="10" t="n">
        <f aca="false">E1276*F1276</f>
        <v>0</v>
      </c>
      <c r="H1276" s="10" t="n">
        <f aca="false">IF(OR(Nonlabor!$L$27="Quote required",Nonlabor!$L$27="Unverified"),G1276,0)</f>
        <v>0</v>
      </c>
      <c r="I1276" s="10" t="n">
        <f aca="false">IF(Nonlabor!$E$27="Core",0,G1276)</f>
        <v>0</v>
      </c>
      <c r="J1276" s="23" t="str">
        <f aca="false">Nonlabor!$B$27</f>
        <v>CTMS</v>
      </c>
    </row>
    <row r="1277" customFormat="false" ht="15" hidden="false" customHeight="false" outlineLevel="0" collapsed="false">
      <c r="A1277" s="6" t="s">
        <v>72</v>
      </c>
      <c r="B1277" s="6" t="s">
        <v>439</v>
      </c>
      <c r="C1277" s="6" t="n">
        <v>12</v>
      </c>
      <c r="D1277" s="25" t="n">
        <f aca="false">EDATE('Start Here'!$B$6,C1277-1)</f>
        <v>46661</v>
      </c>
      <c r="E1277" s="23" t="n">
        <f aca="false">IF(AND(OR(Nonlabor!$D$27="Both",Nonlabor!$D$27='Start Here'!$B$9),IF(Nonlabor!$E$27="Core",1,IF(Nonlabor!$E$27="AI",'Start Here'!$B$7,'Start Here'!$B$8))=1,C1277&gt;=IF(Nonlabor!$E$27="Core",Nonlabor!$F$27,MAX(Nonlabor!$F$27,IF(Nonlabor!$E$27="AI",Assumptions!$C$24,Assumptions!$C$25))),C1277&lt;=Nonlabor!$G$27,OR(Nonlabor!$H$27="Monthly",AND(Nonlabor!$H$27="Once",C1277=IF(Nonlabor!$E$27="Core",Nonlabor!$F$27,MAX(Nonlabor!$F$27,IF(Nonlabor!$E$27="AI",Assumptions!$C$24,Assumptions!$C$25)))),AND(Nonlabor!$H$27="Annual",MOD(C1277-IF(Nonlabor!$E$27="Core",Nonlabor!$F$27,MAX(Nonlabor!$F$27,IF(Nonlabor!$E$27="AI",Assumptions!$C$24,Assumptions!$C$25))),12)=0))),IF(Nonlabor!$I$27="Fixed",1,IF(Nonlabor!$I$27="Seats",ROUNDUP('Monthly Lean'!I17,0),IF(Nonlabor!$I$27="Customers",'Monthly Lean'!D17,IF(Nonlabor!$I$27="NewCustomers",'Monthly Lean'!C17,IF(Nonlabor!$I$27="StorageGB",'Monthly Lean'!G17,IF(Nonlabor!$I$27="LogGB",'Monthly Lean'!H17,IF(Nonlabor!$I$27="RequestsM",'Monthly Lean'!F17,IF(Nonlabor!$I$27="InputM",'Monthly Lean'!D17*Assumptions!$C$22/1000000,IF(Nonlabor!$I$27="OutputM",'Monthly Lean'!D17*Assumptions!$C$23/1000000,0))))))))),0)</f>
        <v>0</v>
      </c>
      <c r="F1277" s="10" t="n">
        <f aca="false">Nonlabor!$J$27*(1+Assumptions!$C$9)^INT((C1277-1)/12)</f>
        <v>40000</v>
      </c>
      <c r="G1277" s="10" t="n">
        <f aca="false">E1277*F1277</f>
        <v>0</v>
      </c>
      <c r="H1277" s="10" t="n">
        <f aca="false">IF(OR(Nonlabor!$L$27="Quote required",Nonlabor!$L$27="Unverified"),G1277,0)</f>
        <v>0</v>
      </c>
      <c r="I1277" s="10" t="n">
        <f aca="false">IF(Nonlabor!$E$27="Core",0,G1277)</f>
        <v>0</v>
      </c>
      <c r="J1277" s="23" t="str">
        <f aca="false">Nonlabor!$B$27</f>
        <v>CTMS</v>
      </c>
    </row>
    <row r="1278" customFormat="false" ht="15" hidden="false" customHeight="false" outlineLevel="0" collapsed="false">
      <c r="A1278" s="6" t="s">
        <v>72</v>
      </c>
      <c r="B1278" s="6" t="s">
        <v>439</v>
      </c>
      <c r="C1278" s="6" t="n">
        <v>13</v>
      </c>
      <c r="D1278" s="25" t="n">
        <f aca="false">EDATE('Start Here'!$B$6,C1278-1)</f>
        <v>46692</v>
      </c>
      <c r="E1278" s="23" t="n">
        <f aca="false">IF(AND(OR(Nonlabor!$D$27="Both",Nonlabor!$D$27='Start Here'!$B$9),IF(Nonlabor!$E$27="Core",1,IF(Nonlabor!$E$27="AI",'Start Here'!$B$7,'Start Here'!$B$8))=1,C1278&gt;=IF(Nonlabor!$E$27="Core",Nonlabor!$F$27,MAX(Nonlabor!$F$27,IF(Nonlabor!$E$27="AI",Assumptions!$C$24,Assumptions!$C$25))),C1278&lt;=Nonlabor!$G$27,OR(Nonlabor!$H$27="Monthly",AND(Nonlabor!$H$27="Once",C1278=IF(Nonlabor!$E$27="Core",Nonlabor!$F$27,MAX(Nonlabor!$F$27,IF(Nonlabor!$E$27="AI",Assumptions!$C$24,Assumptions!$C$25)))),AND(Nonlabor!$H$27="Annual",MOD(C1278-IF(Nonlabor!$E$27="Core",Nonlabor!$F$27,MAX(Nonlabor!$F$27,IF(Nonlabor!$E$27="AI",Assumptions!$C$24,Assumptions!$C$25))),12)=0))),IF(Nonlabor!$I$27="Fixed",1,IF(Nonlabor!$I$27="Seats",ROUNDUP('Monthly Lean'!I18,0),IF(Nonlabor!$I$27="Customers",'Monthly Lean'!D18,IF(Nonlabor!$I$27="NewCustomers",'Monthly Lean'!C18,IF(Nonlabor!$I$27="StorageGB",'Monthly Lean'!G18,IF(Nonlabor!$I$27="LogGB",'Monthly Lean'!H18,IF(Nonlabor!$I$27="RequestsM",'Monthly Lean'!F18,IF(Nonlabor!$I$27="InputM",'Monthly Lean'!D18*Assumptions!$C$22/1000000,IF(Nonlabor!$I$27="OutputM",'Monthly Lean'!D18*Assumptions!$C$23/1000000,0))))))))),0)</f>
        <v>0</v>
      </c>
      <c r="F1278" s="10" t="n">
        <f aca="false">Nonlabor!$J$27*(1+Assumptions!$C$9)^INT((C1278-1)/12)</f>
        <v>41200</v>
      </c>
      <c r="G1278" s="10" t="n">
        <f aca="false">E1278*F1278</f>
        <v>0</v>
      </c>
      <c r="H1278" s="10" t="n">
        <f aca="false">IF(OR(Nonlabor!$L$27="Quote required",Nonlabor!$L$27="Unverified"),G1278,0)</f>
        <v>0</v>
      </c>
      <c r="I1278" s="10" t="n">
        <f aca="false">IF(Nonlabor!$E$27="Core",0,G1278)</f>
        <v>0</v>
      </c>
      <c r="J1278" s="23" t="str">
        <f aca="false">Nonlabor!$B$27</f>
        <v>CTMS</v>
      </c>
    </row>
    <row r="1279" customFormat="false" ht="15" hidden="false" customHeight="false" outlineLevel="0" collapsed="false">
      <c r="A1279" s="6" t="s">
        <v>72</v>
      </c>
      <c r="B1279" s="6" t="s">
        <v>439</v>
      </c>
      <c r="C1279" s="6" t="n">
        <v>14</v>
      </c>
      <c r="D1279" s="25" t="n">
        <f aca="false">EDATE('Start Here'!$B$6,C1279-1)</f>
        <v>46722</v>
      </c>
      <c r="E1279" s="23" t="n">
        <f aca="false">IF(AND(OR(Nonlabor!$D$27="Both",Nonlabor!$D$27='Start Here'!$B$9),IF(Nonlabor!$E$27="Core",1,IF(Nonlabor!$E$27="AI",'Start Here'!$B$7,'Start Here'!$B$8))=1,C1279&gt;=IF(Nonlabor!$E$27="Core",Nonlabor!$F$27,MAX(Nonlabor!$F$27,IF(Nonlabor!$E$27="AI",Assumptions!$C$24,Assumptions!$C$25))),C1279&lt;=Nonlabor!$G$27,OR(Nonlabor!$H$27="Monthly",AND(Nonlabor!$H$27="Once",C1279=IF(Nonlabor!$E$27="Core",Nonlabor!$F$27,MAX(Nonlabor!$F$27,IF(Nonlabor!$E$27="AI",Assumptions!$C$24,Assumptions!$C$25)))),AND(Nonlabor!$H$27="Annual",MOD(C1279-IF(Nonlabor!$E$27="Core",Nonlabor!$F$27,MAX(Nonlabor!$F$27,IF(Nonlabor!$E$27="AI",Assumptions!$C$24,Assumptions!$C$25))),12)=0))),IF(Nonlabor!$I$27="Fixed",1,IF(Nonlabor!$I$27="Seats",ROUNDUP('Monthly Lean'!I19,0),IF(Nonlabor!$I$27="Customers",'Monthly Lean'!D19,IF(Nonlabor!$I$27="NewCustomers",'Monthly Lean'!C19,IF(Nonlabor!$I$27="StorageGB",'Monthly Lean'!G19,IF(Nonlabor!$I$27="LogGB",'Monthly Lean'!H19,IF(Nonlabor!$I$27="RequestsM",'Monthly Lean'!F19,IF(Nonlabor!$I$27="InputM",'Monthly Lean'!D19*Assumptions!$C$22/1000000,IF(Nonlabor!$I$27="OutputM",'Monthly Lean'!D19*Assumptions!$C$23/1000000,0))))))))),0)</f>
        <v>0</v>
      </c>
      <c r="F1279" s="10" t="n">
        <f aca="false">Nonlabor!$J$27*(1+Assumptions!$C$9)^INT((C1279-1)/12)</f>
        <v>41200</v>
      </c>
      <c r="G1279" s="10" t="n">
        <f aca="false">E1279*F1279</f>
        <v>0</v>
      </c>
      <c r="H1279" s="10" t="n">
        <f aca="false">IF(OR(Nonlabor!$L$27="Quote required",Nonlabor!$L$27="Unverified"),G1279,0)</f>
        <v>0</v>
      </c>
      <c r="I1279" s="10" t="n">
        <f aca="false">IF(Nonlabor!$E$27="Core",0,G1279)</f>
        <v>0</v>
      </c>
      <c r="J1279" s="23" t="str">
        <f aca="false">Nonlabor!$B$27</f>
        <v>CTMS</v>
      </c>
    </row>
    <row r="1280" customFormat="false" ht="15" hidden="false" customHeight="false" outlineLevel="0" collapsed="false">
      <c r="A1280" s="6" t="s">
        <v>72</v>
      </c>
      <c r="B1280" s="6" t="s">
        <v>439</v>
      </c>
      <c r="C1280" s="6" t="n">
        <v>15</v>
      </c>
      <c r="D1280" s="25" t="n">
        <f aca="false">EDATE('Start Here'!$B$6,C1280-1)</f>
        <v>46753</v>
      </c>
      <c r="E1280" s="23" t="n">
        <f aca="false">IF(AND(OR(Nonlabor!$D$27="Both",Nonlabor!$D$27='Start Here'!$B$9),IF(Nonlabor!$E$27="Core",1,IF(Nonlabor!$E$27="AI",'Start Here'!$B$7,'Start Here'!$B$8))=1,C1280&gt;=IF(Nonlabor!$E$27="Core",Nonlabor!$F$27,MAX(Nonlabor!$F$27,IF(Nonlabor!$E$27="AI",Assumptions!$C$24,Assumptions!$C$25))),C1280&lt;=Nonlabor!$G$27,OR(Nonlabor!$H$27="Monthly",AND(Nonlabor!$H$27="Once",C1280=IF(Nonlabor!$E$27="Core",Nonlabor!$F$27,MAX(Nonlabor!$F$27,IF(Nonlabor!$E$27="AI",Assumptions!$C$24,Assumptions!$C$25)))),AND(Nonlabor!$H$27="Annual",MOD(C1280-IF(Nonlabor!$E$27="Core",Nonlabor!$F$27,MAX(Nonlabor!$F$27,IF(Nonlabor!$E$27="AI",Assumptions!$C$24,Assumptions!$C$25))),12)=0))),IF(Nonlabor!$I$27="Fixed",1,IF(Nonlabor!$I$27="Seats",ROUNDUP('Monthly Lean'!I20,0),IF(Nonlabor!$I$27="Customers",'Monthly Lean'!D20,IF(Nonlabor!$I$27="NewCustomers",'Monthly Lean'!C20,IF(Nonlabor!$I$27="StorageGB",'Monthly Lean'!G20,IF(Nonlabor!$I$27="LogGB",'Monthly Lean'!H20,IF(Nonlabor!$I$27="RequestsM",'Monthly Lean'!F20,IF(Nonlabor!$I$27="InputM",'Monthly Lean'!D20*Assumptions!$C$22/1000000,IF(Nonlabor!$I$27="OutputM",'Monthly Lean'!D20*Assumptions!$C$23/1000000,0))))))))),0)</f>
        <v>0</v>
      </c>
      <c r="F1280" s="10" t="n">
        <f aca="false">Nonlabor!$J$27*(1+Assumptions!$C$9)^INT((C1280-1)/12)</f>
        <v>41200</v>
      </c>
      <c r="G1280" s="10" t="n">
        <f aca="false">E1280*F1280</f>
        <v>0</v>
      </c>
      <c r="H1280" s="10" t="n">
        <f aca="false">IF(OR(Nonlabor!$L$27="Quote required",Nonlabor!$L$27="Unverified"),G1280,0)</f>
        <v>0</v>
      </c>
      <c r="I1280" s="10" t="n">
        <f aca="false">IF(Nonlabor!$E$27="Core",0,G1280)</f>
        <v>0</v>
      </c>
      <c r="J1280" s="23" t="str">
        <f aca="false">Nonlabor!$B$27</f>
        <v>CTMS</v>
      </c>
    </row>
    <row r="1281" customFormat="false" ht="15" hidden="false" customHeight="false" outlineLevel="0" collapsed="false">
      <c r="A1281" s="6" t="s">
        <v>72</v>
      </c>
      <c r="B1281" s="6" t="s">
        <v>439</v>
      </c>
      <c r="C1281" s="6" t="n">
        <v>16</v>
      </c>
      <c r="D1281" s="25" t="n">
        <f aca="false">EDATE('Start Here'!$B$6,C1281-1)</f>
        <v>46784</v>
      </c>
      <c r="E1281" s="23" t="n">
        <f aca="false">IF(AND(OR(Nonlabor!$D$27="Both",Nonlabor!$D$27='Start Here'!$B$9),IF(Nonlabor!$E$27="Core",1,IF(Nonlabor!$E$27="AI",'Start Here'!$B$7,'Start Here'!$B$8))=1,C1281&gt;=IF(Nonlabor!$E$27="Core",Nonlabor!$F$27,MAX(Nonlabor!$F$27,IF(Nonlabor!$E$27="AI",Assumptions!$C$24,Assumptions!$C$25))),C1281&lt;=Nonlabor!$G$27,OR(Nonlabor!$H$27="Monthly",AND(Nonlabor!$H$27="Once",C1281=IF(Nonlabor!$E$27="Core",Nonlabor!$F$27,MAX(Nonlabor!$F$27,IF(Nonlabor!$E$27="AI",Assumptions!$C$24,Assumptions!$C$25)))),AND(Nonlabor!$H$27="Annual",MOD(C1281-IF(Nonlabor!$E$27="Core",Nonlabor!$F$27,MAX(Nonlabor!$F$27,IF(Nonlabor!$E$27="AI",Assumptions!$C$24,Assumptions!$C$25))),12)=0))),IF(Nonlabor!$I$27="Fixed",1,IF(Nonlabor!$I$27="Seats",ROUNDUP('Monthly Lean'!I21,0),IF(Nonlabor!$I$27="Customers",'Monthly Lean'!D21,IF(Nonlabor!$I$27="NewCustomers",'Monthly Lean'!C21,IF(Nonlabor!$I$27="StorageGB",'Monthly Lean'!G21,IF(Nonlabor!$I$27="LogGB",'Monthly Lean'!H21,IF(Nonlabor!$I$27="RequestsM",'Monthly Lean'!F21,IF(Nonlabor!$I$27="InputM",'Monthly Lean'!D21*Assumptions!$C$22/1000000,IF(Nonlabor!$I$27="OutputM",'Monthly Lean'!D21*Assumptions!$C$23/1000000,0))))))))),0)</f>
        <v>0</v>
      </c>
      <c r="F1281" s="10" t="n">
        <f aca="false">Nonlabor!$J$27*(1+Assumptions!$C$9)^INT((C1281-1)/12)</f>
        <v>41200</v>
      </c>
      <c r="G1281" s="10" t="n">
        <f aca="false">E1281*F1281</f>
        <v>0</v>
      </c>
      <c r="H1281" s="10" t="n">
        <f aca="false">IF(OR(Nonlabor!$L$27="Quote required",Nonlabor!$L$27="Unverified"),G1281,0)</f>
        <v>0</v>
      </c>
      <c r="I1281" s="10" t="n">
        <f aca="false">IF(Nonlabor!$E$27="Core",0,G1281)</f>
        <v>0</v>
      </c>
      <c r="J1281" s="23" t="str">
        <f aca="false">Nonlabor!$B$27</f>
        <v>CTMS</v>
      </c>
    </row>
    <row r="1282" customFormat="false" ht="15" hidden="false" customHeight="false" outlineLevel="0" collapsed="false">
      <c r="A1282" s="6" t="s">
        <v>72</v>
      </c>
      <c r="B1282" s="6" t="s">
        <v>439</v>
      </c>
      <c r="C1282" s="6" t="n">
        <v>17</v>
      </c>
      <c r="D1282" s="25" t="n">
        <f aca="false">EDATE('Start Here'!$B$6,C1282-1)</f>
        <v>46813</v>
      </c>
      <c r="E1282" s="23" t="n">
        <f aca="false">IF(AND(OR(Nonlabor!$D$27="Both",Nonlabor!$D$27='Start Here'!$B$9),IF(Nonlabor!$E$27="Core",1,IF(Nonlabor!$E$27="AI",'Start Here'!$B$7,'Start Here'!$B$8))=1,C1282&gt;=IF(Nonlabor!$E$27="Core",Nonlabor!$F$27,MAX(Nonlabor!$F$27,IF(Nonlabor!$E$27="AI",Assumptions!$C$24,Assumptions!$C$25))),C1282&lt;=Nonlabor!$G$27,OR(Nonlabor!$H$27="Monthly",AND(Nonlabor!$H$27="Once",C1282=IF(Nonlabor!$E$27="Core",Nonlabor!$F$27,MAX(Nonlabor!$F$27,IF(Nonlabor!$E$27="AI",Assumptions!$C$24,Assumptions!$C$25)))),AND(Nonlabor!$H$27="Annual",MOD(C1282-IF(Nonlabor!$E$27="Core",Nonlabor!$F$27,MAX(Nonlabor!$F$27,IF(Nonlabor!$E$27="AI",Assumptions!$C$24,Assumptions!$C$25))),12)=0))),IF(Nonlabor!$I$27="Fixed",1,IF(Nonlabor!$I$27="Seats",ROUNDUP('Monthly Lean'!I22,0),IF(Nonlabor!$I$27="Customers",'Monthly Lean'!D22,IF(Nonlabor!$I$27="NewCustomers",'Monthly Lean'!C22,IF(Nonlabor!$I$27="StorageGB",'Monthly Lean'!G22,IF(Nonlabor!$I$27="LogGB",'Monthly Lean'!H22,IF(Nonlabor!$I$27="RequestsM",'Monthly Lean'!F22,IF(Nonlabor!$I$27="InputM",'Monthly Lean'!D22*Assumptions!$C$22/1000000,IF(Nonlabor!$I$27="OutputM",'Monthly Lean'!D22*Assumptions!$C$23/1000000,0))))))))),0)</f>
        <v>0</v>
      </c>
      <c r="F1282" s="10" t="n">
        <f aca="false">Nonlabor!$J$27*(1+Assumptions!$C$9)^INT((C1282-1)/12)</f>
        <v>41200</v>
      </c>
      <c r="G1282" s="10" t="n">
        <f aca="false">E1282*F1282</f>
        <v>0</v>
      </c>
      <c r="H1282" s="10" t="n">
        <f aca="false">IF(OR(Nonlabor!$L$27="Quote required",Nonlabor!$L$27="Unverified"),G1282,0)</f>
        <v>0</v>
      </c>
      <c r="I1282" s="10" t="n">
        <f aca="false">IF(Nonlabor!$E$27="Core",0,G1282)</f>
        <v>0</v>
      </c>
      <c r="J1282" s="23" t="str">
        <f aca="false">Nonlabor!$B$27</f>
        <v>CTMS</v>
      </c>
    </row>
    <row r="1283" customFormat="false" ht="15" hidden="false" customHeight="false" outlineLevel="0" collapsed="false">
      <c r="A1283" s="6" t="s">
        <v>72</v>
      </c>
      <c r="B1283" s="6" t="s">
        <v>439</v>
      </c>
      <c r="C1283" s="6" t="n">
        <v>18</v>
      </c>
      <c r="D1283" s="25" t="n">
        <f aca="false">EDATE('Start Here'!$B$6,C1283-1)</f>
        <v>46844</v>
      </c>
      <c r="E1283" s="23" t="n">
        <f aca="false">IF(AND(OR(Nonlabor!$D$27="Both",Nonlabor!$D$27='Start Here'!$B$9),IF(Nonlabor!$E$27="Core",1,IF(Nonlabor!$E$27="AI",'Start Here'!$B$7,'Start Here'!$B$8))=1,C1283&gt;=IF(Nonlabor!$E$27="Core",Nonlabor!$F$27,MAX(Nonlabor!$F$27,IF(Nonlabor!$E$27="AI",Assumptions!$C$24,Assumptions!$C$25))),C1283&lt;=Nonlabor!$G$27,OR(Nonlabor!$H$27="Monthly",AND(Nonlabor!$H$27="Once",C1283=IF(Nonlabor!$E$27="Core",Nonlabor!$F$27,MAX(Nonlabor!$F$27,IF(Nonlabor!$E$27="AI",Assumptions!$C$24,Assumptions!$C$25)))),AND(Nonlabor!$H$27="Annual",MOD(C1283-IF(Nonlabor!$E$27="Core",Nonlabor!$F$27,MAX(Nonlabor!$F$27,IF(Nonlabor!$E$27="AI",Assumptions!$C$24,Assumptions!$C$25))),12)=0))),IF(Nonlabor!$I$27="Fixed",1,IF(Nonlabor!$I$27="Seats",ROUNDUP('Monthly Lean'!I23,0),IF(Nonlabor!$I$27="Customers",'Monthly Lean'!D23,IF(Nonlabor!$I$27="NewCustomers",'Monthly Lean'!C23,IF(Nonlabor!$I$27="StorageGB",'Monthly Lean'!G23,IF(Nonlabor!$I$27="LogGB",'Monthly Lean'!H23,IF(Nonlabor!$I$27="RequestsM",'Monthly Lean'!F23,IF(Nonlabor!$I$27="InputM",'Monthly Lean'!D23*Assumptions!$C$22/1000000,IF(Nonlabor!$I$27="OutputM",'Monthly Lean'!D23*Assumptions!$C$23/1000000,0))))))))),0)</f>
        <v>0</v>
      </c>
      <c r="F1283" s="10" t="n">
        <f aca="false">Nonlabor!$J$27*(1+Assumptions!$C$9)^INT((C1283-1)/12)</f>
        <v>41200</v>
      </c>
      <c r="G1283" s="10" t="n">
        <f aca="false">E1283*F1283</f>
        <v>0</v>
      </c>
      <c r="H1283" s="10" t="n">
        <f aca="false">IF(OR(Nonlabor!$L$27="Quote required",Nonlabor!$L$27="Unverified"),G1283,0)</f>
        <v>0</v>
      </c>
      <c r="I1283" s="10" t="n">
        <f aca="false">IF(Nonlabor!$E$27="Core",0,G1283)</f>
        <v>0</v>
      </c>
      <c r="J1283" s="23" t="str">
        <f aca="false">Nonlabor!$B$27</f>
        <v>CTMS</v>
      </c>
    </row>
    <row r="1284" customFormat="false" ht="15" hidden="false" customHeight="false" outlineLevel="0" collapsed="false">
      <c r="A1284" s="6" t="s">
        <v>72</v>
      </c>
      <c r="B1284" s="6" t="s">
        <v>439</v>
      </c>
      <c r="C1284" s="6" t="n">
        <v>19</v>
      </c>
      <c r="D1284" s="25" t="n">
        <f aca="false">EDATE('Start Here'!$B$6,C1284-1)</f>
        <v>46874</v>
      </c>
      <c r="E1284" s="23" t="n">
        <f aca="false">IF(AND(OR(Nonlabor!$D$27="Both",Nonlabor!$D$27='Start Here'!$B$9),IF(Nonlabor!$E$27="Core",1,IF(Nonlabor!$E$27="AI",'Start Here'!$B$7,'Start Here'!$B$8))=1,C1284&gt;=IF(Nonlabor!$E$27="Core",Nonlabor!$F$27,MAX(Nonlabor!$F$27,IF(Nonlabor!$E$27="AI",Assumptions!$C$24,Assumptions!$C$25))),C1284&lt;=Nonlabor!$G$27,OR(Nonlabor!$H$27="Monthly",AND(Nonlabor!$H$27="Once",C1284=IF(Nonlabor!$E$27="Core",Nonlabor!$F$27,MAX(Nonlabor!$F$27,IF(Nonlabor!$E$27="AI",Assumptions!$C$24,Assumptions!$C$25)))),AND(Nonlabor!$H$27="Annual",MOD(C1284-IF(Nonlabor!$E$27="Core",Nonlabor!$F$27,MAX(Nonlabor!$F$27,IF(Nonlabor!$E$27="AI",Assumptions!$C$24,Assumptions!$C$25))),12)=0))),IF(Nonlabor!$I$27="Fixed",1,IF(Nonlabor!$I$27="Seats",ROUNDUP('Monthly Lean'!I24,0),IF(Nonlabor!$I$27="Customers",'Monthly Lean'!D24,IF(Nonlabor!$I$27="NewCustomers",'Monthly Lean'!C24,IF(Nonlabor!$I$27="StorageGB",'Monthly Lean'!G24,IF(Nonlabor!$I$27="LogGB",'Monthly Lean'!H24,IF(Nonlabor!$I$27="RequestsM",'Monthly Lean'!F24,IF(Nonlabor!$I$27="InputM",'Monthly Lean'!D24*Assumptions!$C$22/1000000,IF(Nonlabor!$I$27="OutputM",'Monthly Lean'!D24*Assumptions!$C$23/1000000,0))))))))),0)</f>
        <v>0</v>
      </c>
      <c r="F1284" s="10" t="n">
        <f aca="false">Nonlabor!$J$27*(1+Assumptions!$C$9)^INT((C1284-1)/12)</f>
        <v>41200</v>
      </c>
      <c r="G1284" s="10" t="n">
        <f aca="false">E1284*F1284</f>
        <v>0</v>
      </c>
      <c r="H1284" s="10" t="n">
        <f aca="false">IF(OR(Nonlabor!$L$27="Quote required",Nonlabor!$L$27="Unverified"),G1284,0)</f>
        <v>0</v>
      </c>
      <c r="I1284" s="10" t="n">
        <f aca="false">IF(Nonlabor!$E$27="Core",0,G1284)</f>
        <v>0</v>
      </c>
      <c r="J1284" s="23" t="str">
        <f aca="false">Nonlabor!$B$27</f>
        <v>CTMS</v>
      </c>
    </row>
    <row r="1285" customFormat="false" ht="15" hidden="false" customHeight="false" outlineLevel="0" collapsed="false">
      <c r="A1285" s="6" t="s">
        <v>72</v>
      </c>
      <c r="B1285" s="6" t="s">
        <v>439</v>
      </c>
      <c r="C1285" s="6" t="n">
        <v>20</v>
      </c>
      <c r="D1285" s="25" t="n">
        <f aca="false">EDATE('Start Here'!$B$6,C1285-1)</f>
        <v>46905</v>
      </c>
      <c r="E1285" s="23" t="n">
        <f aca="false">IF(AND(OR(Nonlabor!$D$27="Both",Nonlabor!$D$27='Start Here'!$B$9),IF(Nonlabor!$E$27="Core",1,IF(Nonlabor!$E$27="AI",'Start Here'!$B$7,'Start Here'!$B$8))=1,C1285&gt;=IF(Nonlabor!$E$27="Core",Nonlabor!$F$27,MAX(Nonlabor!$F$27,IF(Nonlabor!$E$27="AI",Assumptions!$C$24,Assumptions!$C$25))),C1285&lt;=Nonlabor!$G$27,OR(Nonlabor!$H$27="Monthly",AND(Nonlabor!$H$27="Once",C1285=IF(Nonlabor!$E$27="Core",Nonlabor!$F$27,MAX(Nonlabor!$F$27,IF(Nonlabor!$E$27="AI",Assumptions!$C$24,Assumptions!$C$25)))),AND(Nonlabor!$H$27="Annual",MOD(C1285-IF(Nonlabor!$E$27="Core",Nonlabor!$F$27,MAX(Nonlabor!$F$27,IF(Nonlabor!$E$27="AI",Assumptions!$C$24,Assumptions!$C$25))),12)=0))),IF(Nonlabor!$I$27="Fixed",1,IF(Nonlabor!$I$27="Seats",ROUNDUP('Monthly Lean'!I25,0),IF(Nonlabor!$I$27="Customers",'Monthly Lean'!D25,IF(Nonlabor!$I$27="NewCustomers",'Monthly Lean'!C25,IF(Nonlabor!$I$27="StorageGB",'Monthly Lean'!G25,IF(Nonlabor!$I$27="LogGB",'Monthly Lean'!H25,IF(Nonlabor!$I$27="RequestsM",'Monthly Lean'!F25,IF(Nonlabor!$I$27="InputM",'Monthly Lean'!D25*Assumptions!$C$22/1000000,IF(Nonlabor!$I$27="OutputM",'Monthly Lean'!D25*Assumptions!$C$23/1000000,0))))))))),0)</f>
        <v>0</v>
      </c>
      <c r="F1285" s="10" t="n">
        <f aca="false">Nonlabor!$J$27*(1+Assumptions!$C$9)^INT((C1285-1)/12)</f>
        <v>41200</v>
      </c>
      <c r="G1285" s="10" t="n">
        <f aca="false">E1285*F1285</f>
        <v>0</v>
      </c>
      <c r="H1285" s="10" t="n">
        <f aca="false">IF(OR(Nonlabor!$L$27="Quote required",Nonlabor!$L$27="Unverified"),G1285,0)</f>
        <v>0</v>
      </c>
      <c r="I1285" s="10" t="n">
        <f aca="false">IF(Nonlabor!$E$27="Core",0,G1285)</f>
        <v>0</v>
      </c>
      <c r="J1285" s="23" t="str">
        <f aca="false">Nonlabor!$B$27</f>
        <v>CTMS</v>
      </c>
    </row>
    <row r="1286" customFormat="false" ht="15" hidden="false" customHeight="false" outlineLevel="0" collapsed="false">
      <c r="A1286" s="6" t="s">
        <v>72</v>
      </c>
      <c r="B1286" s="6" t="s">
        <v>439</v>
      </c>
      <c r="C1286" s="6" t="n">
        <v>21</v>
      </c>
      <c r="D1286" s="25" t="n">
        <f aca="false">EDATE('Start Here'!$B$6,C1286-1)</f>
        <v>46935</v>
      </c>
      <c r="E1286" s="23" t="n">
        <f aca="false">IF(AND(OR(Nonlabor!$D$27="Both",Nonlabor!$D$27='Start Here'!$B$9),IF(Nonlabor!$E$27="Core",1,IF(Nonlabor!$E$27="AI",'Start Here'!$B$7,'Start Here'!$B$8))=1,C1286&gt;=IF(Nonlabor!$E$27="Core",Nonlabor!$F$27,MAX(Nonlabor!$F$27,IF(Nonlabor!$E$27="AI",Assumptions!$C$24,Assumptions!$C$25))),C1286&lt;=Nonlabor!$G$27,OR(Nonlabor!$H$27="Monthly",AND(Nonlabor!$H$27="Once",C1286=IF(Nonlabor!$E$27="Core",Nonlabor!$F$27,MAX(Nonlabor!$F$27,IF(Nonlabor!$E$27="AI",Assumptions!$C$24,Assumptions!$C$25)))),AND(Nonlabor!$H$27="Annual",MOD(C1286-IF(Nonlabor!$E$27="Core",Nonlabor!$F$27,MAX(Nonlabor!$F$27,IF(Nonlabor!$E$27="AI",Assumptions!$C$24,Assumptions!$C$25))),12)=0))),IF(Nonlabor!$I$27="Fixed",1,IF(Nonlabor!$I$27="Seats",ROUNDUP('Monthly Lean'!I26,0),IF(Nonlabor!$I$27="Customers",'Monthly Lean'!D26,IF(Nonlabor!$I$27="NewCustomers",'Monthly Lean'!C26,IF(Nonlabor!$I$27="StorageGB",'Monthly Lean'!G26,IF(Nonlabor!$I$27="LogGB",'Monthly Lean'!H26,IF(Nonlabor!$I$27="RequestsM",'Monthly Lean'!F26,IF(Nonlabor!$I$27="InputM",'Monthly Lean'!D26*Assumptions!$C$22/1000000,IF(Nonlabor!$I$27="OutputM",'Monthly Lean'!D26*Assumptions!$C$23/1000000,0))))))))),0)</f>
        <v>0</v>
      </c>
      <c r="F1286" s="10" t="n">
        <f aca="false">Nonlabor!$J$27*(1+Assumptions!$C$9)^INT((C1286-1)/12)</f>
        <v>41200</v>
      </c>
      <c r="G1286" s="10" t="n">
        <f aca="false">E1286*F1286</f>
        <v>0</v>
      </c>
      <c r="H1286" s="10" t="n">
        <f aca="false">IF(OR(Nonlabor!$L$27="Quote required",Nonlabor!$L$27="Unverified"),G1286,0)</f>
        <v>0</v>
      </c>
      <c r="I1286" s="10" t="n">
        <f aca="false">IF(Nonlabor!$E$27="Core",0,G1286)</f>
        <v>0</v>
      </c>
      <c r="J1286" s="23" t="str">
        <f aca="false">Nonlabor!$B$27</f>
        <v>CTMS</v>
      </c>
    </row>
    <row r="1287" customFormat="false" ht="15" hidden="false" customHeight="false" outlineLevel="0" collapsed="false">
      <c r="A1287" s="6" t="s">
        <v>72</v>
      </c>
      <c r="B1287" s="6" t="s">
        <v>439</v>
      </c>
      <c r="C1287" s="6" t="n">
        <v>22</v>
      </c>
      <c r="D1287" s="25" t="n">
        <f aca="false">EDATE('Start Here'!$B$6,C1287-1)</f>
        <v>46966</v>
      </c>
      <c r="E1287" s="23" t="n">
        <f aca="false">IF(AND(OR(Nonlabor!$D$27="Both",Nonlabor!$D$27='Start Here'!$B$9),IF(Nonlabor!$E$27="Core",1,IF(Nonlabor!$E$27="AI",'Start Here'!$B$7,'Start Here'!$B$8))=1,C1287&gt;=IF(Nonlabor!$E$27="Core",Nonlabor!$F$27,MAX(Nonlabor!$F$27,IF(Nonlabor!$E$27="AI",Assumptions!$C$24,Assumptions!$C$25))),C1287&lt;=Nonlabor!$G$27,OR(Nonlabor!$H$27="Monthly",AND(Nonlabor!$H$27="Once",C1287=IF(Nonlabor!$E$27="Core",Nonlabor!$F$27,MAX(Nonlabor!$F$27,IF(Nonlabor!$E$27="AI",Assumptions!$C$24,Assumptions!$C$25)))),AND(Nonlabor!$H$27="Annual",MOD(C1287-IF(Nonlabor!$E$27="Core",Nonlabor!$F$27,MAX(Nonlabor!$F$27,IF(Nonlabor!$E$27="AI",Assumptions!$C$24,Assumptions!$C$25))),12)=0))),IF(Nonlabor!$I$27="Fixed",1,IF(Nonlabor!$I$27="Seats",ROUNDUP('Monthly Lean'!I27,0),IF(Nonlabor!$I$27="Customers",'Monthly Lean'!D27,IF(Nonlabor!$I$27="NewCustomers",'Monthly Lean'!C27,IF(Nonlabor!$I$27="StorageGB",'Monthly Lean'!G27,IF(Nonlabor!$I$27="LogGB",'Monthly Lean'!H27,IF(Nonlabor!$I$27="RequestsM",'Monthly Lean'!F27,IF(Nonlabor!$I$27="InputM",'Monthly Lean'!D27*Assumptions!$C$22/1000000,IF(Nonlabor!$I$27="OutputM",'Monthly Lean'!D27*Assumptions!$C$23/1000000,0))))))))),0)</f>
        <v>0</v>
      </c>
      <c r="F1287" s="10" t="n">
        <f aca="false">Nonlabor!$J$27*(1+Assumptions!$C$9)^INT((C1287-1)/12)</f>
        <v>41200</v>
      </c>
      <c r="G1287" s="10" t="n">
        <f aca="false">E1287*F1287</f>
        <v>0</v>
      </c>
      <c r="H1287" s="10" t="n">
        <f aca="false">IF(OR(Nonlabor!$L$27="Quote required",Nonlabor!$L$27="Unverified"),G1287,0)</f>
        <v>0</v>
      </c>
      <c r="I1287" s="10" t="n">
        <f aca="false">IF(Nonlabor!$E$27="Core",0,G1287)</f>
        <v>0</v>
      </c>
      <c r="J1287" s="23" t="str">
        <f aca="false">Nonlabor!$B$27</f>
        <v>CTMS</v>
      </c>
    </row>
    <row r="1288" customFormat="false" ht="15" hidden="false" customHeight="false" outlineLevel="0" collapsed="false">
      <c r="A1288" s="6" t="s">
        <v>72</v>
      </c>
      <c r="B1288" s="6" t="s">
        <v>439</v>
      </c>
      <c r="C1288" s="6" t="n">
        <v>23</v>
      </c>
      <c r="D1288" s="25" t="n">
        <f aca="false">EDATE('Start Here'!$B$6,C1288-1)</f>
        <v>46997</v>
      </c>
      <c r="E1288" s="23" t="n">
        <f aca="false">IF(AND(OR(Nonlabor!$D$27="Both",Nonlabor!$D$27='Start Here'!$B$9),IF(Nonlabor!$E$27="Core",1,IF(Nonlabor!$E$27="AI",'Start Here'!$B$7,'Start Here'!$B$8))=1,C1288&gt;=IF(Nonlabor!$E$27="Core",Nonlabor!$F$27,MAX(Nonlabor!$F$27,IF(Nonlabor!$E$27="AI",Assumptions!$C$24,Assumptions!$C$25))),C1288&lt;=Nonlabor!$G$27,OR(Nonlabor!$H$27="Monthly",AND(Nonlabor!$H$27="Once",C1288=IF(Nonlabor!$E$27="Core",Nonlabor!$F$27,MAX(Nonlabor!$F$27,IF(Nonlabor!$E$27="AI",Assumptions!$C$24,Assumptions!$C$25)))),AND(Nonlabor!$H$27="Annual",MOD(C1288-IF(Nonlabor!$E$27="Core",Nonlabor!$F$27,MAX(Nonlabor!$F$27,IF(Nonlabor!$E$27="AI",Assumptions!$C$24,Assumptions!$C$25))),12)=0))),IF(Nonlabor!$I$27="Fixed",1,IF(Nonlabor!$I$27="Seats",ROUNDUP('Monthly Lean'!I28,0),IF(Nonlabor!$I$27="Customers",'Monthly Lean'!D28,IF(Nonlabor!$I$27="NewCustomers",'Monthly Lean'!C28,IF(Nonlabor!$I$27="StorageGB",'Monthly Lean'!G28,IF(Nonlabor!$I$27="LogGB",'Monthly Lean'!H28,IF(Nonlabor!$I$27="RequestsM",'Monthly Lean'!F28,IF(Nonlabor!$I$27="InputM",'Monthly Lean'!D28*Assumptions!$C$22/1000000,IF(Nonlabor!$I$27="OutputM",'Monthly Lean'!D28*Assumptions!$C$23/1000000,0))))))))),0)</f>
        <v>0</v>
      </c>
      <c r="F1288" s="10" t="n">
        <f aca="false">Nonlabor!$J$27*(1+Assumptions!$C$9)^INT((C1288-1)/12)</f>
        <v>41200</v>
      </c>
      <c r="G1288" s="10" t="n">
        <f aca="false">E1288*F1288</f>
        <v>0</v>
      </c>
      <c r="H1288" s="10" t="n">
        <f aca="false">IF(OR(Nonlabor!$L$27="Quote required",Nonlabor!$L$27="Unverified"),G1288,0)</f>
        <v>0</v>
      </c>
      <c r="I1288" s="10" t="n">
        <f aca="false">IF(Nonlabor!$E$27="Core",0,G1288)</f>
        <v>0</v>
      </c>
      <c r="J1288" s="23" t="str">
        <f aca="false">Nonlabor!$B$27</f>
        <v>CTMS</v>
      </c>
    </row>
    <row r="1289" customFormat="false" ht="15" hidden="false" customHeight="false" outlineLevel="0" collapsed="false">
      <c r="A1289" s="6" t="s">
        <v>72</v>
      </c>
      <c r="B1289" s="6" t="s">
        <v>439</v>
      </c>
      <c r="C1289" s="6" t="n">
        <v>24</v>
      </c>
      <c r="D1289" s="25" t="n">
        <f aca="false">EDATE('Start Here'!$B$6,C1289-1)</f>
        <v>47027</v>
      </c>
      <c r="E1289" s="23" t="n">
        <f aca="false">IF(AND(OR(Nonlabor!$D$27="Both",Nonlabor!$D$27='Start Here'!$B$9),IF(Nonlabor!$E$27="Core",1,IF(Nonlabor!$E$27="AI",'Start Here'!$B$7,'Start Here'!$B$8))=1,C1289&gt;=IF(Nonlabor!$E$27="Core",Nonlabor!$F$27,MAX(Nonlabor!$F$27,IF(Nonlabor!$E$27="AI",Assumptions!$C$24,Assumptions!$C$25))),C1289&lt;=Nonlabor!$G$27,OR(Nonlabor!$H$27="Monthly",AND(Nonlabor!$H$27="Once",C1289=IF(Nonlabor!$E$27="Core",Nonlabor!$F$27,MAX(Nonlabor!$F$27,IF(Nonlabor!$E$27="AI",Assumptions!$C$24,Assumptions!$C$25)))),AND(Nonlabor!$H$27="Annual",MOD(C1289-IF(Nonlabor!$E$27="Core",Nonlabor!$F$27,MAX(Nonlabor!$F$27,IF(Nonlabor!$E$27="AI",Assumptions!$C$24,Assumptions!$C$25))),12)=0))),IF(Nonlabor!$I$27="Fixed",1,IF(Nonlabor!$I$27="Seats",ROUNDUP('Monthly Lean'!I29,0),IF(Nonlabor!$I$27="Customers",'Monthly Lean'!D29,IF(Nonlabor!$I$27="NewCustomers",'Monthly Lean'!C29,IF(Nonlabor!$I$27="StorageGB",'Monthly Lean'!G29,IF(Nonlabor!$I$27="LogGB",'Monthly Lean'!H29,IF(Nonlabor!$I$27="RequestsM",'Monthly Lean'!F29,IF(Nonlabor!$I$27="InputM",'Monthly Lean'!D29*Assumptions!$C$22/1000000,IF(Nonlabor!$I$27="OutputM",'Monthly Lean'!D29*Assumptions!$C$23/1000000,0))))))))),0)</f>
        <v>0</v>
      </c>
      <c r="F1289" s="10" t="n">
        <f aca="false">Nonlabor!$J$27*(1+Assumptions!$C$9)^INT((C1289-1)/12)</f>
        <v>41200</v>
      </c>
      <c r="G1289" s="10" t="n">
        <f aca="false">E1289*F1289</f>
        <v>0</v>
      </c>
      <c r="H1289" s="10" t="n">
        <f aca="false">IF(OR(Nonlabor!$L$27="Quote required",Nonlabor!$L$27="Unverified"),G1289,0)</f>
        <v>0</v>
      </c>
      <c r="I1289" s="10" t="n">
        <f aca="false">IF(Nonlabor!$E$27="Core",0,G1289)</f>
        <v>0</v>
      </c>
      <c r="J1289" s="23" t="str">
        <f aca="false">Nonlabor!$B$27</f>
        <v>CTMS</v>
      </c>
    </row>
    <row r="1290" customFormat="false" ht="15" hidden="false" customHeight="false" outlineLevel="0" collapsed="false">
      <c r="A1290" s="6" t="s">
        <v>72</v>
      </c>
      <c r="B1290" s="6" t="s">
        <v>439</v>
      </c>
      <c r="C1290" s="6" t="n">
        <v>25</v>
      </c>
      <c r="D1290" s="25" t="n">
        <f aca="false">EDATE('Start Here'!$B$6,C1290-1)</f>
        <v>47058</v>
      </c>
      <c r="E1290" s="23" t="n">
        <f aca="false">IF(AND(OR(Nonlabor!$D$27="Both",Nonlabor!$D$27='Start Here'!$B$9),IF(Nonlabor!$E$27="Core",1,IF(Nonlabor!$E$27="AI",'Start Here'!$B$7,'Start Here'!$B$8))=1,C1290&gt;=IF(Nonlabor!$E$27="Core",Nonlabor!$F$27,MAX(Nonlabor!$F$27,IF(Nonlabor!$E$27="AI",Assumptions!$C$24,Assumptions!$C$25))),C1290&lt;=Nonlabor!$G$27,OR(Nonlabor!$H$27="Monthly",AND(Nonlabor!$H$27="Once",C1290=IF(Nonlabor!$E$27="Core",Nonlabor!$F$27,MAX(Nonlabor!$F$27,IF(Nonlabor!$E$27="AI",Assumptions!$C$24,Assumptions!$C$25)))),AND(Nonlabor!$H$27="Annual",MOD(C1290-IF(Nonlabor!$E$27="Core",Nonlabor!$F$27,MAX(Nonlabor!$F$27,IF(Nonlabor!$E$27="AI",Assumptions!$C$24,Assumptions!$C$25))),12)=0))),IF(Nonlabor!$I$27="Fixed",1,IF(Nonlabor!$I$27="Seats",ROUNDUP('Monthly Lean'!I30,0),IF(Nonlabor!$I$27="Customers",'Monthly Lean'!D30,IF(Nonlabor!$I$27="NewCustomers",'Monthly Lean'!C30,IF(Nonlabor!$I$27="StorageGB",'Monthly Lean'!G30,IF(Nonlabor!$I$27="LogGB",'Monthly Lean'!H30,IF(Nonlabor!$I$27="RequestsM",'Monthly Lean'!F30,IF(Nonlabor!$I$27="InputM",'Monthly Lean'!D30*Assumptions!$C$22/1000000,IF(Nonlabor!$I$27="OutputM",'Monthly Lean'!D30*Assumptions!$C$23/1000000,0))))))))),0)</f>
        <v>0</v>
      </c>
      <c r="F1290" s="10" t="n">
        <f aca="false">Nonlabor!$J$27*(1+Assumptions!$C$9)^INT((C1290-1)/12)</f>
        <v>42436</v>
      </c>
      <c r="G1290" s="10" t="n">
        <f aca="false">E1290*F1290</f>
        <v>0</v>
      </c>
      <c r="H1290" s="10" t="n">
        <f aca="false">IF(OR(Nonlabor!$L$27="Quote required",Nonlabor!$L$27="Unverified"),G1290,0)</f>
        <v>0</v>
      </c>
      <c r="I1290" s="10" t="n">
        <f aca="false">IF(Nonlabor!$E$27="Core",0,G1290)</f>
        <v>0</v>
      </c>
      <c r="J1290" s="23" t="str">
        <f aca="false">Nonlabor!$B$27</f>
        <v>CTMS</v>
      </c>
    </row>
    <row r="1291" customFormat="false" ht="15" hidden="false" customHeight="false" outlineLevel="0" collapsed="false">
      <c r="A1291" s="6" t="s">
        <v>72</v>
      </c>
      <c r="B1291" s="6" t="s">
        <v>439</v>
      </c>
      <c r="C1291" s="6" t="n">
        <v>26</v>
      </c>
      <c r="D1291" s="25" t="n">
        <f aca="false">EDATE('Start Here'!$B$6,C1291-1)</f>
        <v>47088</v>
      </c>
      <c r="E1291" s="23" t="n">
        <f aca="false">IF(AND(OR(Nonlabor!$D$27="Both",Nonlabor!$D$27='Start Here'!$B$9),IF(Nonlabor!$E$27="Core",1,IF(Nonlabor!$E$27="AI",'Start Here'!$B$7,'Start Here'!$B$8))=1,C1291&gt;=IF(Nonlabor!$E$27="Core",Nonlabor!$F$27,MAX(Nonlabor!$F$27,IF(Nonlabor!$E$27="AI",Assumptions!$C$24,Assumptions!$C$25))),C1291&lt;=Nonlabor!$G$27,OR(Nonlabor!$H$27="Monthly",AND(Nonlabor!$H$27="Once",C1291=IF(Nonlabor!$E$27="Core",Nonlabor!$F$27,MAX(Nonlabor!$F$27,IF(Nonlabor!$E$27="AI",Assumptions!$C$24,Assumptions!$C$25)))),AND(Nonlabor!$H$27="Annual",MOD(C1291-IF(Nonlabor!$E$27="Core",Nonlabor!$F$27,MAX(Nonlabor!$F$27,IF(Nonlabor!$E$27="AI",Assumptions!$C$24,Assumptions!$C$25))),12)=0))),IF(Nonlabor!$I$27="Fixed",1,IF(Nonlabor!$I$27="Seats",ROUNDUP('Monthly Lean'!I31,0),IF(Nonlabor!$I$27="Customers",'Monthly Lean'!D31,IF(Nonlabor!$I$27="NewCustomers",'Monthly Lean'!C31,IF(Nonlabor!$I$27="StorageGB",'Monthly Lean'!G31,IF(Nonlabor!$I$27="LogGB",'Monthly Lean'!H31,IF(Nonlabor!$I$27="RequestsM",'Monthly Lean'!F31,IF(Nonlabor!$I$27="InputM",'Monthly Lean'!D31*Assumptions!$C$22/1000000,IF(Nonlabor!$I$27="OutputM",'Monthly Lean'!D31*Assumptions!$C$23/1000000,0))))))))),0)</f>
        <v>0</v>
      </c>
      <c r="F1291" s="10" t="n">
        <f aca="false">Nonlabor!$J$27*(1+Assumptions!$C$9)^INT((C1291-1)/12)</f>
        <v>42436</v>
      </c>
      <c r="G1291" s="10" t="n">
        <f aca="false">E1291*F1291</f>
        <v>0</v>
      </c>
      <c r="H1291" s="10" t="n">
        <f aca="false">IF(OR(Nonlabor!$L$27="Quote required",Nonlabor!$L$27="Unverified"),G1291,0)</f>
        <v>0</v>
      </c>
      <c r="I1291" s="10" t="n">
        <f aca="false">IF(Nonlabor!$E$27="Core",0,G1291)</f>
        <v>0</v>
      </c>
      <c r="J1291" s="23" t="str">
        <f aca="false">Nonlabor!$B$27</f>
        <v>CTMS</v>
      </c>
    </row>
    <row r="1292" customFormat="false" ht="15" hidden="false" customHeight="false" outlineLevel="0" collapsed="false">
      <c r="A1292" s="6" t="s">
        <v>72</v>
      </c>
      <c r="B1292" s="6" t="s">
        <v>439</v>
      </c>
      <c r="C1292" s="6" t="n">
        <v>27</v>
      </c>
      <c r="D1292" s="25" t="n">
        <f aca="false">EDATE('Start Here'!$B$6,C1292-1)</f>
        <v>47119</v>
      </c>
      <c r="E1292" s="23" t="n">
        <f aca="false">IF(AND(OR(Nonlabor!$D$27="Both",Nonlabor!$D$27='Start Here'!$B$9),IF(Nonlabor!$E$27="Core",1,IF(Nonlabor!$E$27="AI",'Start Here'!$B$7,'Start Here'!$B$8))=1,C1292&gt;=IF(Nonlabor!$E$27="Core",Nonlabor!$F$27,MAX(Nonlabor!$F$27,IF(Nonlabor!$E$27="AI",Assumptions!$C$24,Assumptions!$C$25))),C1292&lt;=Nonlabor!$G$27,OR(Nonlabor!$H$27="Monthly",AND(Nonlabor!$H$27="Once",C1292=IF(Nonlabor!$E$27="Core",Nonlabor!$F$27,MAX(Nonlabor!$F$27,IF(Nonlabor!$E$27="AI",Assumptions!$C$24,Assumptions!$C$25)))),AND(Nonlabor!$H$27="Annual",MOD(C1292-IF(Nonlabor!$E$27="Core",Nonlabor!$F$27,MAX(Nonlabor!$F$27,IF(Nonlabor!$E$27="AI",Assumptions!$C$24,Assumptions!$C$25))),12)=0))),IF(Nonlabor!$I$27="Fixed",1,IF(Nonlabor!$I$27="Seats",ROUNDUP('Monthly Lean'!I32,0),IF(Nonlabor!$I$27="Customers",'Monthly Lean'!D32,IF(Nonlabor!$I$27="NewCustomers",'Monthly Lean'!C32,IF(Nonlabor!$I$27="StorageGB",'Monthly Lean'!G32,IF(Nonlabor!$I$27="LogGB",'Monthly Lean'!H32,IF(Nonlabor!$I$27="RequestsM",'Monthly Lean'!F32,IF(Nonlabor!$I$27="InputM",'Monthly Lean'!D32*Assumptions!$C$22/1000000,IF(Nonlabor!$I$27="OutputM",'Monthly Lean'!D32*Assumptions!$C$23/1000000,0))))))))),0)</f>
        <v>0</v>
      </c>
      <c r="F1292" s="10" t="n">
        <f aca="false">Nonlabor!$J$27*(1+Assumptions!$C$9)^INT((C1292-1)/12)</f>
        <v>42436</v>
      </c>
      <c r="G1292" s="10" t="n">
        <f aca="false">E1292*F1292</f>
        <v>0</v>
      </c>
      <c r="H1292" s="10" t="n">
        <f aca="false">IF(OR(Nonlabor!$L$27="Quote required",Nonlabor!$L$27="Unverified"),G1292,0)</f>
        <v>0</v>
      </c>
      <c r="I1292" s="10" t="n">
        <f aca="false">IF(Nonlabor!$E$27="Core",0,G1292)</f>
        <v>0</v>
      </c>
      <c r="J1292" s="23" t="str">
        <f aca="false">Nonlabor!$B$27</f>
        <v>CTMS</v>
      </c>
    </row>
    <row r="1293" customFormat="false" ht="15" hidden="false" customHeight="false" outlineLevel="0" collapsed="false">
      <c r="A1293" s="6" t="s">
        <v>72</v>
      </c>
      <c r="B1293" s="6" t="s">
        <v>439</v>
      </c>
      <c r="C1293" s="6" t="n">
        <v>28</v>
      </c>
      <c r="D1293" s="25" t="n">
        <f aca="false">EDATE('Start Here'!$B$6,C1293-1)</f>
        <v>47150</v>
      </c>
      <c r="E1293" s="23" t="n">
        <f aca="false">IF(AND(OR(Nonlabor!$D$27="Both",Nonlabor!$D$27='Start Here'!$B$9),IF(Nonlabor!$E$27="Core",1,IF(Nonlabor!$E$27="AI",'Start Here'!$B$7,'Start Here'!$B$8))=1,C1293&gt;=IF(Nonlabor!$E$27="Core",Nonlabor!$F$27,MAX(Nonlabor!$F$27,IF(Nonlabor!$E$27="AI",Assumptions!$C$24,Assumptions!$C$25))),C1293&lt;=Nonlabor!$G$27,OR(Nonlabor!$H$27="Monthly",AND(Nonlabor!$H$27="Once",C1293=IF(Nonlabor!$E$27="Core",Nonlabor!$F$27,MAX(Nonlabor!$F$27,IF(Nonlabor!$E$27="AI",Assumptions!$C$24,Assumptions!$C$25)))),AND(Nonlabor!$H$27="Annual",MOD(C1293-IF(Nonlabor!$E$27="Core",Nonlabor!$F$27,MAX(Nonlabor!$F$27,IF(Nonlabor!$E$27="AI",Assumptions!$C$24,Assumptions!$C$25))),12)=0))),IF(Nonlabor!$I$27="Fixed",1,IF(Nonlabor!$I$27="Seats",ROUNDUP('Monthly Lean'!I33,0),IF(Nonlabor!$I$27="Customers",'Monthly Lean'!D33,IF(Nonlabor!$I$27="NewCustomers",'Monthly Lean'!C33,IF(Nonlabor!$I$27="StorageGB",'Monthly Lean'!G33,IF(Nonlabor!$I$27="LogGB",'Monthly Lean'!H33,IF(Nonlabor!$I$27="RequestsM",'Monthly Lean'!F33,IF(Nonlabor!$I$27="InputM",'Monthly Lean'!D33*Assumptions!$C$22/1000000,IF(Nonlabor!$I$27="OutputM",'Monthly Lean'!D33*Assumptions!$C$23/1000000,0))))))))),0)</f>
        <v>0</v>
      </c>
      <c r="F1293" s="10" t="n">
        <f aca="false">Nonlabor!$J$27*(1+Assumptions!$C$9)^INT((C1293-1)/12)</f>
        <v>42436</v>
      </c>
      <c r="G1293" s="10" t="n">
        <f aca="false">E1293*F1293</f>
        <v>0</v>
      </c>
      <c r="H1293" s="10" t="n">
        <f aca="false">IF(OR(Nonlabor!$L$27="Quote required",Nonlabor!$L$27="Unverified"),G1293,0)</f>
        <v>0</v>
      </c>
      <c r="I1293" s="10" t="n">
        <f aca="false">IF(Nonlabor!$E$27="Core",0,G1293)</f>
        <v>0</v>
      </c>
      <c r="J1293" s="23" t="str">
        <f aca="false">Nonlabor!$B$27</f>
        <v>CTMS</v>
      </c>
    </row>
    <row r="1294" customFormat="false" ht="15" hidden="false" customHeight="false" outlineLevel="0" collapsed="false">
      <c r="A1294" s="6" t="s">
        <v>72</v>
      </c>
      <c r="B1294" s="6" t="s">
        <v>439</v>
      </c>
      <c r="C1294" s="6" t="n">
        <v>29</v>
      </c>
      <c r="D1294" s="25" t="n">
        <f aca="false">EDATE('Start Here'!$B$6,C1294-1)</f>
        <v>47178</v>
      </c>
      <c r="E1294" s="23" t="n">
        <f aca="false">IF(AND(OR(Nonlabor!$D$27="Both",Nonlabor!$D$27='Start Here'!$B$9),IF(Nonlabor!$E$27="Core",1,IF(Nonlabor!$E$27="AI",'Start Here'!$B$7,'Start Here'!$B$8))=1,C1294&gt;=IF(Nonlabor!$E$27="Core",Nonlabor!$F$27,MAX(Nonlabor!$F$27,IF(Nonlabor!$E$27="AI",Assumptions!$C$24,Assumptions!$C$25))),C1294&lt;=Nonlabor!$G$27,OR(Nonlabor!$H$27="Monthly",AND(Nonlabor!$H$27="Once",C1294=IF(Nonlabor!$E$27="Core",Nonlabor!$F$27,MAX(Nonlabor!$F$27,IF(Nonlabor!$E$27="AI",Assumptions!$C$24,Assumptions!$C$25)))),AND(Nonlabor!$H$27="Annual",MOD(C1294-IF(Nonlabor!$E$27="Core",Nonlabor!$F$27,MAX(Nonlabor!$F$27,IF(Nonlabor!$E$27="AI",Assumptions!$C$24,Assumptions!$C$25))),12)=0))),IF(Nonlabor!$I$27="Fixed",1,IF(Nonlabor!$I$27="Seats",ROUNDUP('Monthly Lean'!I34,0),IF(Nonlabor!$I$27="Customers",'Monthly Lean'!D34,IF(Nonlabor!$I$27="NewCustomers",'Monthly Lean'!C34,IF(Nonlabor!$I$27="StorageGB",'Monthly Lean'!G34,IF(Nonlabor!$I$27="LogGB",'Monthly Lean'!H34,IF(Nonlabor!$I$27="RequestsM",'Monthly Lean'!F34,IF(Nonlabor!$I$27="InputM",'Monthly Lean'!D34*Assumptions!$C$22/1000000,IF(Nonlabor!$I$27="OutputM",'Monthly Lean'!D34*Assumptions!$C$23/1000000,0))))))))),0)</f>
        <v>0</v>
      </c>
      <c r="F1294" s="10" t="n">
        <f aca="false">Nonlabor!$J$27*(1+Assumptions!$C$9)^INT((C1294-1)/12)</f>
        <v>42436</v>
      </c>
      <c r="G1294" s="10" t="n">
        <f aca="false">E1294*F1294</f>
        <v>0</v>
      </c>
      <c r="H1294" s="10" t="n">
        <f aca="false">IF(OR(Nonlabor!$L$27="Quote required",Nonlabor!$L$27="Unverified"),G1294,0)</f>
        <v>0</v>
      </c>
      <c r="I1294" s="10" t="n">
        <f aca="false">IF(Nonlabor!$E$27="Core",0,G1294)</f>
        <v>0</v>
      </c>
      <c r="J1294" s="23" t="str">
        <f aca="false">Nonlabor!$B$27</f>
        <v>CTMS</v>
      </c>
    </row>
    <row r="1295" customFormat="false" ht="15" hidden="false" customHeight="false" outlineLevel="0" collapsed="false">
      <c r="A1295" s="6" t="s">
        <v>72</v>
      </c>
      <c r="B1295" s="6" t="s">
        <v>439</v>
      </c>
      <c r="C1295" s="6" t="n">
        <v>30</v>
      </c>
      <c r="D1295" s="25" t="n">
        <f aca="false">EDATE('Start Here'!$B$6,C1295-1)</f>
        <v>47209</v>
      </c>
      <c r="E1295" s="23" t="n">
        <f aca="false">IF(AND(OR(Nonlabor!$D$27="Both",Nonlabor!$D$27='Start Here'!$B$9),IF(Nonlabor!$E$27="Core",1,IF(Nonlabor!$E$27="AI",'Start Here'!$B$7,'Start Here'!$B$8))=1,C1295&gt;=IF(Nonlabor!$E$27="Core",Nonlabor!$F$27,MAX(Nonlabor!$F$27,IF(Nonlabor!$E$27="AI",Assumptions!$C$24,Assumptions!$C$25))),C1295&lt;=Nonlabor!$G$27,OR(Nonlabor!$H$27="Monthly",AND(Nonlabor!$H$27="Once",C1295=IF(Nonlabor!$E$27="Core",Nonlabor!$F$27,MAX(Nonlabor!$F$27,IF(Nonlabor!$E$27="AI",Assumptions!$C$24,Assumptions!$C$25)))),AND(Nonlabor!$H$27="Annual",MOD(C1295-IF(Nonlabor!$E$27="Core",Nonlabor!$F$27,MAX(Nonlabor!$F$27,IF(Nonlabor!$E$27="AI",Assumptions!$C$24,Assumptions!$C$25))),12)=0))),IF(Nonlabor!$I$27="Fixed",1,IF(Nonlabor!$I$27="Seats",ROUNDUP('Monthly Lean'!I35,0),IF(Nonlabor!$I$27="Customers",'Monthly Lean'!D35,IF(Nonlabor!$I$27="NewCustomers",'Monthly Lean'!C35,IF(Nonlabor!$I$27="StorageGB",'Monthly Lean'!G35,IF(Nonlabor!$I$27="LogGB",'Monthly Lean'!H35,IF(Nonlabor!$I$27="RequestsM",'Monthly Lean'!F35,IF(Nonlabor!$I$27="InputM",'Monthly Lean'!D35*Assumptions!$C$22/1000000,IF(Nonlabor!$I$27="OutputM",'Monthly Lean'!D35*Assumptions!$C$23/1000000,0))))))))),0)</f>
        <v>0</v>
      </c>
      <c r="F1295" s="10" t="n">
        <f aca="false">Nonlabor!$J$27*(1+Assumptions!$C$9)^INT((C1295-1)/12)</f>
        <v>42436</v>
      </c>
      <c r="G1295" s="10" t="n">
        <f aca="false">E1295*F1295</f>
        <v>0</v>
      </c>
      <c r="H1295" s="10" t="n">
        <f aca="false">IF(OR(Nonlabor!$L$27="Quote required",Nonlabor!$L$27="Unverified"),G1295,0)</f>
        <v>0</v>
      </c>
      <c r="I1295" s="10" t="n">
        <f aca="false">IF(Nonlabor!$E$27="Core",0,G1295)</f>
        <v>0</v>
      </c>
      <c r="J1295" s="23" t="str">
        <f aca="false">Nonlabor!$B$27</f>
        <v>CTMS</v>
      </c>
    </row>
    <row r="1296" customFormat="false" ht="15" hidden="false" customHeight="false" outlineLevel="0" collapsed="false">
      <c r="A1296" s="6" t="s">
        <v>72</v>
      </c>
      <c r="B1296" s="6" t="s">
        <v>439</v>
      </c>
      <c r="C1296" s="6" t="n">
        <v>31</v>
      </c>
      <c r="D1296" s="25" t="n">
        <f aca="false">EDATE('Start Here'!$B$6,C1296-1)</f>
        <v>47239</v>
      </c>
      <c r="E1296" s="23" t="n">
        <f aca="false">IF(AND(OR(Nonlabor!$D$27="Both",Nonlabor!$D$27='Start Here'!$B$9),IF(Nonlabor!$E$27="Core",1,IF(Nonlabor!$E$27="AI",'Start Here'!$B$7,'Start Here'!$B$8))=1,C1296&gt;=IF(Nonlabor!$E$27="Core",Nonlabor!$F$27,MAX(Nonlabor!$F$27,IF(Nonlabor!$E$27="AI",Assumptions!$C$24,Assumptions!$C$25))),C1296&lt;=Nonlabor!$G$27,OR(Nonlabor!$H$27="Monthly",AND(Nonlabor!$H$27="Once",C1296=IF(Nonlabor!$E$27="Core",Nonlabor!$F$27,MAX(Nonlabor!$F$27,IF(Nonlabor!$E$27="AI",Assumptions!$C$24,Assumptions!$C$25)))),AND(Nonlabor!$H$27="Annual",MOD(C1296-IF(Nonlabor!$E$27="Core",Nonlabor!$F$27,MAX(Nonlabor!$F$27,IF(Nonlabor!$E$27="AI",Assumptions!$C$24,Assumptions!$C$25))),12)=0))),IF(Nonlabor!$I$27="Fixed",1,IF(Nonlabor!$I$27="Seats",ROUNDUP('Monthly Lean'!I36,0),IF(Nonlabor!$I$27="Customers",'Monthly Lean'!D36,IF(Nonlabor!$I$27="NewCustomers",'Monthly Lean'!C36,IF(Nonlabor!$I$27="StorageGB",'Monthly Lean'!G36,IF(Nonlabor!$I$27="LogGB",'Monthly Lean'!H36,IF(Nonlabor!$I$27="RequestsM",'Monthly Lean'!F36,IF(Nonlabor!$I$27="InputM",'Monthly Lean'!D36*Assumptions!$C$22/1000000,IF(Nonlabor!$I$27="OutputM",'Monthly Lean'!D36*Assumptions!$C$23/1000000,0))))))))),0)</f>
        <v>0</v>
      </c>
      <c r="F1296" s="10" t="n">
        <f aca="false">Nonlabor!$J$27*(1+Assumptions!$C$9)^INT((C1296-1)/12)</f>
        <v>42436</v>
      </c>
      <c r="G1296" s="10" t="n">
        <f aca="false">E1296*F1296</f>
        <v>0</v>
      </c>
      <c r="H1296" s="10" t="n">
        <f aca="false">IF(OR(Nonlabor!$L$27="Quote required",Nonlabor!$L$27="Unverified"),G1296,0)</f>
        <v>0</v>
      </c>
      <c r="I1296" s="10" t="n">
        <f aca="false">IF(Nonlabor!$E$27="Core",0,G1296)</f>
        <v>0</v>
      </c>
      <c r="J1296" s="23" t="str">
        <f aca="false">Nonlabor!$B$27</f>
        <v>CTMS</v>
      </c>
    </row>
    <row r="1297" customFormat="false" ht="15" hidden="false" customHeight="false" outlineLevel="0" collapsed="false">
      <c r="A1297" s="6" t="s">
        <v>72</v>
      </c>
      <c r="B1297" s="6" t="s">
        <v>439</v>
      </c>
      <c r="C1297" s="6" t="n">
        <v>32</v>
      </c>
      <c r="D1297" s="25" t="n">
        <f aca="false">EDATE('Start Here'!$B$6,C1297-1)</f>
        <v>47270</v>
      </c>
      <c r="E1297" s="23" t="n">
        <f aca="false">IF(AND(OR(Nonlabor!$D$27="Both",Nonlabor!$D$27='Start Here'!$B$9),IF(Nonlabor!$E$27="Core",1,IF(Nonlabor!$E$27="AI",'Start Here'!$B$7,'Start Here'!$B$8))=1,C1297&gt;=IF(Nonlabor!$E$27="Core",Nonlabor!$F$27,MAX(Nonlabor!$F$27,IF(Nonlabor!$E$27="AI",Assumptions!$C$24,Assumptions!$C$25))),C1297&lt;=Nonlabor!$G$27,OR(Nonlabor!$H$27="Monthly",AND(Nonlabor!$H$27="Once",C1297=IF(Nonlabor!$E$27="Core",Nonlabor!$F$27,MAX(Nonlabor!$F$27,IF(Nonlabor!$E$27="AI",Assumptions!$C$24,Assumptions!$C$25)))),AND(Nonlabor!$H$27="Annual",MOD(C1297-IF(Nonlabor!$E$27="Core",Nonlabor!$F$27,MAX(Nonlabor!$F$27,IF(Nonlabor!$E$27="AI",Assumptions!$C$24,Assumptions!$C$25))),12)=0))),IF(Nonlabor!$I$27="Fixed",1,IF(Nonlabor!$I$27="Seats",ROUNDUP('Monthly Lean'!I37,0),IF(Nonlabor!$I$27="Customers",'Monthly Lean'!D37,IF(Nonlabor!$I$27="NewCustomers",'Monthly Lean'!C37,IF(Nonlabor!$I$27="StorageGB",'Monthly Lean'!G37,IF(Nonlabor!$I$27="LogGB",'Monthly Lean'!H37,IF(Nonlabor!$I$27="RequestsM",'Monthly Lean'!F37,IF(Nonlabor!$I$27="InputM",'Monthly Lean'!D37*Assumptions!$C$22/1000000,IF(Nonlabor!$I$27="OutputM",'Monthly Lean'!D37*Assumptions!$C$23/1000000,0))))))))),0)</f>
        <v>0</v>
      </c>
      <c r="F1297" s="10" t="n">
        <f aca="false">Nonlabor!$J$27*(1+Assumptions!$C$9)^INT((C1297-1)/12)</f>
        <v>42436</v>
      </c>
      <c r="G1297" s="10" t="n">
        <f aca="false">E1297*F1297</f>
        <v>0</v>
      </c>
      <c r="H1297" s="10" t="n">
        <f aca="false">IF(OR(Nonlabor!$L$27="Quote required",Nonlabor!$L$27="Unverified"),G1297,0)</f>
        <v>0</v>
      </c>
      <c r="I1297" s="10" t="n">
        <f aca="false">IF(Nonlabor!$E$27="Core",0,G1297)</f>
        <v>0</v>
      </c>
      <c r="J1297" s="23" t="str">
        <f aca="false">Nonlabor!$B$27</f>
        <v>CTMS</v>
      </c>
    </row>
    <row r="1298" customFormat="false" ht="15" hidden="false" customHeight="false" outlineLevel="0" collapsed="false">
      <c r="A1298" s="6" t="s">
        <v>72</v>
      </c>
      <c r="B1298" s="6" t="s">
        <v>439</v>
      </c>
      <c r="C1298" s="6" t="n">
        <v>33</v>
      </c>
      <c r="D1298" s="25" t="n">
        <f aca="false">EDATE('Start Here'!$B$6,C1298-1)</f>
        <v>47300</v>
      </c>
      <c r="E1298" s="23" t="n">
        <f aca="false">IF(AND(OR(Nonlabor!$D$27="Both",Nonlabor!$D$27='Start Here'!$B$9),IF(Nonlabor!$E$27="Core",1,IF(Nonlabor!$E$27="AI",'Start Here'!$B$7,'Start Here'!$B$8))=1,C1298&gt;=IF(Nonlabor!$E$27="Core",Nonlabor!$F$27,MAX(Nonlabor!$F$27,IF(Nonlabor!$E$27="AI",Assumptions!$C$24,Assumptions!$C$25))),C1298&lt;=Nonlabor!$G$27,OR(Nonlabor!$H$27="Monthly",AND(Nonlabor!$H$27="Once",C1298=IF(Nonlabor!$E$27="Core",Nonlabor!$F$27,MAX(Nonlabor!$F$27,IF(Nonlabor!$E$27="AI",Assumptions!$C$24,Assumptions!$C$25)))),AND(Nonlabor!$H$27="Annual",MOD(C1298-IF(Nonlabor!$E$27="Core",Nonlabor!$F$27,MAX(Nonlabor!$F$27,IF(Nonlabor!$E$27="AI",Assumptions!$C$24,Assumptions!$C$25))),12)=0))),IF(Nonlabor!$I$27="Fixed",1,IF(Nonlabor!$I$27="Seats",ROUNDUP('Monthly Lean'!I38,0),IF(Nonlabor!$I$27="Customers",'Monthly Lean'!D38,IF(Nonlabor!$I$27="NewCustomers",'Monthly Lean'!C38,IF(Nonlabor!$I$27="StorageGB",'Monthly Lean'!G38,IF(Nonlabor!$I$27="LogGB",'Monthly Lean'!H38,IF(Nonlabor!$I$27="RequestsM",'Monthly Lean'!F38,IF(Nonlabor!$I$27="InputM",'Monthly Lean'!D38*Assumptions!$C$22/1000000,IF(Nonlabor!$I$27="OutputM",'Monthly Lean'!D38*Assumptions!$C$23/1000000,0))))))))),0)</f>
        <v>0</v>
      </c>
      <c r="F1298" s="10" t="n">
        <f aca="false">Nonlabor!$J$27*(1+Assumptions!$C$9)^INT((C1298-1)/12)</f>
        <v>42436</v>
      </c>
      <c r="G1298" s="10" t="n">
        <f aca="false">E1298*F1298</f>
        <v>0</v>
      </c>
      <c r="H1298" s="10" t="n">
        <f aca="false">IF(OR(Nonlabor!$L$27="Quote required",Nonlabor!$L$27="Unverified"),G1298,0)</f>
        <v>0</v>
      </c>
      <c r="I1298" s="10" t="n">
        <f aca="false">IF(Nonlabor!$E$27="Core",0,G1298)</f>
        <v>0</v>
      </c>
      <c r="J1298" s="23" t="str">
        <f aca="false">Nonlabor!$B$27</f>
        <v>CTMS</v>
      </c>
    </row>
    <row r="1299" customFormat="false" ht="15" hidden="false" customHeight="false" outlineLevel="0" collapsed="false">
      <c r="A1299" s="6" t="s">
        <v>72</v>
      </c>
      <c r="B1299" s="6" t="s">
        <v>439</v>
      </c>
      <c r="C1299" s="6" t="n">
        <v>34</v>
      </c>
      <c r="D1299" s="25" t="n">
        <f aca="false">EDATE('Start Here'!$B$6,C1299-1)</f>
        <v>47331</v>
      </c>
      <c r="E1299" s="23" t="n">
        <f aca="false">IF(AND(OR(Nonlabor!$D$27="Both",Nonlabor!$D$27='Start Here'!$B$9),IF(Nonlabor!$E$27="Core",1,IF(Nonlabor!$E$27="AI",'Start Here'!$B$7,'Start Here'!$B$8))=1,C1299&gt;=IF(Nonlabor!$E$27="Core",Nonlabor!$F$27,MAX(Nonlabor!$F$27,IF(Nonlabor!$E$27="AI",Assumptions!$C$24,Assumptions!$C$25))),C1299&lt;=Nonlabor!$G$27,OR(Nonlabor!$H$27="Monthly",AND(Nonlabor!$H$27="Once",C1299=IF(Nonlabor!$E$27="Core",Nonlabor!$F$27,MAX(Nonlabor!$F$27,IF(Nonlabor!$E$27="AI",Assumptions!$C$24,Assumptions!$C$25)))),AND(Nonlabor!$H$27="Annual",MOD(C1299-IF(Nonlabor!$E$27="Core",Nonlabor!$F$27,MAX(Nonlabor!$F$27,IF(Nonlabor!$E$27="AI",Assumptions!$C$24,Assumptions!$C$25))),12)=0))),IF(Nonlabor!$I$27="Fixed",1,IF(Nonlabor!$I$27="Seats",ROUNDUP('Monthly Lean'!I39,0),IF(Nonlabor!$I$27="Customers",'Monthly Lean'!D39,IF(Nonlabor!$I$27="NewCustomers",'Monthly Lean'!C39,IF(Nonlabor!$I$27="StorageGB",'Monthly Lean'!G39,IF(Nonlabor!$I$27="LogGB",'Monthly Lean'!H39,IF(Nonlabor!$I$27="RequestsM",'Monthly Lean'!F39,IF(Nonlabor!$I$27="InputM",'Monthly Lean'!D39*Assumptions!$C$22/1000000,IF(Nonlabor!$I$27="OutputM",'Monthly Lean'!D39*Assumptions!$C$23/1000000,0))))))))),0)</f>
        <v>0</v>
      </c>
      <c r="F1299" s="10" t="n">
        <f aca="false">Nonlabor!$J$27*(1+Assumptions!$C$9)^INT((C1299-1)/12)</f>
        <v>42436</v>
      </c>
      <c r="G1299" s="10" t="n">
        <f aca="false">E1299*F1299</f>
        <v>0</v>
      </c>
      <c r="H1299" s="10" t="n">
        <f aca="false">IF(OR(Nonlabor!$L$27="Quote required",Nonlabor!$L$27="Unverified"),G1299,0)</f>
        <v>0</v>
      </c>
      <c r="I1299" s="10" t="n">
        <f aca="false">IF(Nonlabor!$E$27="Core",0,G1299)</f>
        <v>0</v>
      </c>
      <c r="J1299" s="23" t="str">
        <f aca="false">Nonlabor!$B$27</f>
        <v>CTMS</v>
      </c>
    </row>
    <row r="1300" customFormat="false" ht="15" hidden="false" customHeight="false" outlineLevel="0" collapsed="false">
      <c r="A1300" s="6" t="s">
        <v>72</v>
      </c>
      <c r="B1300" s="6" t="s">
        <v>439</v>
      </c>
      <c r="C1300" s="6" t="n">
        <v>35</v>
      </c>
      <c r="D1300" s="25" t="n">
        <f aca="false">EDATE('Start Here'!$B$6,C1300-1)</f>
        <v>47362</v>
      </c>
      <c r="E1300" s="23" t="n">
        <f aca="false">IF(AND(OR(Nonlabor!$D$27="Both",Nonlabor!$D$27='Start Here'!$B$9),IF(Nonlabor!$E$27="Core",1,IF(Nonlabor!$E$27="AI",'Start Here'!$B$7,'Start Here'!$B$8))=1,C1300&gt;=IF(Nonlabor!$E$27="Core",Nonlabor!$F$27,MAX(Nonlabor!$F$27,IF(Nonlabor!$E$27="AI",Assumptions!$C$24,Assumptions!$C$25))),C1300&lt;=Nonlabor!$G$27,OR(Nonlabor!$H$27="Monthly",AND(Nonlabor!$H$27="Once",C1300=IF(Nonlabor!$E$27="Core",Nonlabor!$F$27,MAX(Nonlabor!$F$27,IF(Nonlabor!$E$27="AI",Assumptions!$C$24,Assumptions!$C$25)))),AND(Nonlabor!$H$27="Annual",MOD(C1300-IF(Nonlabor!$E$27="Core",Nonlabor!$F$27,MAX(Nonlabor!$F$27,IF(Nonlabor!$E$27="AI",Assumptions!$C$24,Assumptions!$C$25))),12)=0))),IF(Nonlabor!$I$27="Fixed",1,IF(Nonlabor!$I$27="Seats",ROUNDUP('Monthly Lean'!I40,0),IF(Nonlabor!$I$27="Customers",'Monthly Lean'!D40,IF(Nonlabor!$I$27="NewCustomers",'Monthly Lean'!C40,IF(Nonlabor!$I$27="StorageGB",'Monthly Lean'!G40,IF(Nonlabor!$I$27="LogGB",'Monthly Lean'!H40,IF(Nonlabor!$I$27="RequestsM",'Monthly Lean'!F40,IF(Nonlabor!$I$27="InputM",'Monthly Lean'!D40*Assumptions!$C$22/1000000,IF(Nonlabor!$I$27="OutputM",'Monthly Lean'!D40*Assumptions!$C$23/1000000,0))))))))),0)</f>
        <v>0</v>
      </c>
      <c r="F1300" s="10" t="n">
        <f aca="false">Nonlabor!$J$27*(1+Assumptions!$C$9)^INT((C1300-1)/12)</f>
        <v>42436</v>
      </c>
      <c r="G1300" s="10" t="n">
        <f aca="false">E1300*F1300</f>
        <v>0</v>
      </c>
      <c r="H1300" s="10" t="n">
        <f aca="false">IF(OR(Nonlabor!$L$27="Quote required",Nonlabor!$L$27="Unverified"),G1300,0)</f>
        <v>0</v>
      </c>
      <c r="I1300" s="10" t="n">
        <f aca="false">IF(Nonlabor!$E$27="Core",0,G1300)</f>
        <v>0</v>
      </c>
      <c r="J1300" s="23" t="str">
        <f aca="false">Nonlabor!$B$27</f>
        <v>CTMS</v>
      </c>
    </row>
    <row r="1301" customFormat="false" ht="15" hidden="false" customHeight="false" outlineLevel="0" collapsed="false">
      <c r="A1301" s="6" t="s">
        <v>72</v>
      </c>
      <c r="B1301" s="6" t="s">
        <v>439</v>
      </c>
      <c r="C1301" s="6" t="n">
        <v>36</v>
      </c>
      <c r="D1301" s="25" t="n">
        <f aca="false">EDATE('Start Here'!$B$6,C1301-1)</f>
        <v>47392</v>
      </c>
      <c r="E1301" s="23" t="n">
        <f aca="false">IF(AND(OR(Nonlabor!$D$27="Both",Nonlabor!$D$27='Start Here'!$B$9),IF(Nonlabor!$E$27="Core",1,IF(Nonlabor!$E$27="AI",'Start Here'!$B$7,'Start Here'!$B$8))=1,C1301&gt;=IF(Nonlabor!$E$27="Core",Nonlabor!$F$27,MAX(Nonlabor!$F$27,IF(Nonlabor!$E$27="AI",Assumptions!$C$24,Assumptions!$C$25))),C1301&lt;=Nonlabor!$G$27,OR(Nonlabor!$H$27="Monthly",AND(Nonlabor!$H$27="Once",C1301=IF(Nonlabor!$E$27="Core",Nonlabor!$F$27,MAX(Nonlabor!$F$27,IF(Nonlabor!$E$27="AI",Assumptions!$C$24,Assumptions!$C$25)))),AND(Nonlabor!$H$27="Annual",MOD(C1301-IF(Nonlabor!$E$27="Core",Nonlabor!$F$27,MAX(Nonlabor!$F$27,IF(Nonlabor!$E$27="AI",Assumptions!$C$24,Assumptions!$C$25))),12)=0))),IF(Nonlabor!$I$27="Fixed",1,IF(Nonlabor!$I$27="Seats",ROUNDUP('Monthly Lean'!I41,0),IF(Nonlabor!$I$27="Customers",'Monthly Lean'!D41,IF(Nonlabor!$I$27="NewCustomers",'Monthly Lean'!C41,IF(Nonlabor!$I$27="StorageGB",'Monthly Lean'!G41,IF(Nonlabor!$I$27="LogGB",'Monthly Lean'!H41,IF(Nonlabor!$I$27="RequestsM",'Monthly Lean'!F41,IF(Nonlabor!$I$27="InputM",'Monthly Lean'!D41*Assumptions!$C$22/1000000,IF(Nonlabor!$I$27="OutputM",'Monthly Lean'!D41*Assumptions!$C$23/1000000,0))))))))),0)</f>
        <v>0</v>
      </c>
      <c r="F1301" s="10" t="n">
        <f aca="false">Nonlabor!$J$27*(1+Assumptions!$C$9)^INT((C1301-1)/12)</f>
        <v>42436</v>
      </c>
      <c r="G1301" s="10" t="n">
        <f aca="false">E1301*F1301</f>
        <v>0</v>
      </c>
      <c r="H1301" s="10" t="n">
        <f aca="false">IF(OR(Nonlabor!$L$27="Quote required",Nonlabor!$L$27="Unverified"),G1301,0)</f>
        <v>0</v>
      </c>
      <c r="I1301" s="10" t="n">
        <f aca="false">IF(Nonlabor!$E$27="Core",0,G1301)</f>
        <v>0</v>
      </c>
      <c r="J1301" s="23" t="str">
        <f aca="false">Nonlabor!$B$27</f>
        <v>CTMS</v>
      </c>
    </row>
    <row r="1302" customFormat="false" ht="15" hidden="false" customHeight="false" outlineLevel="0" collapsed="false">
      <c r="A1302" s="6" t="s">
        <v>72</v>
      </c>
      <c r="B1302" s="6" t="s">
        <v>439</v>
      </c>
      <c r="C1302" s="6" t="n">
        <v>37</v>
      </c>
      <c r="D1302" s="25" t="n">
        <f aca="false">EDATE('Start Here'!$B$6,C1302-1)</f>
        <v>47423</v>
      </c>
      <c r="E1302" s="23" t="n">
        <f aca="false">IF(AND(OR(Nonlabor!$D$27="Both",Nonlabor!$D$27='Start Here'!$B$9),IF(Nonlabor!$E$27="Core",1,IF(Nonlabor!$E$27="AI",'Start Here'!$B$7,'Start Here'!$B$8))=1,C1302&gt;=IF(Nonlabor!$E$27="Core",Nonlabor!$F$27,MAX(Nonlabor!$F$27,IF(Nonlabor!$E$27="AI",Assumptions!$C$24,Assumptions!$C$25))),C1302&lt;=Nonlabor!$G$27,OR(Nonlabor!$H$27="Monthly",AND(Nonlabor!$H$27="Once",C1302=IF(Nonlabor!$E$27="Core",Nonlabor!$F$27,MAX(Nonlabor!$F$27,IF(Nonlabor!$E$27="AI",Assumptions!$C$24,Assumptions!$C$25)))),AND(Nonlabor!$H$27="Annual",MOD(C1302-IF(Nonlabor!$E$27="Core",Nonlabor!$F$27,MAX(Nonlabor!$F$27,IF(Nonlabor!$E$27="AI",Assumptions!$C$24,Assumptions!$C$25))),12)=0))),IF(Nonlabor!$I$27="Fixed",1,IF(Nonlabor!$I$27="Seats",ROUNDUP('Monthly Lean'!I42,0),IF(Nonlabor!$I$27="Customers",'Monthly Lean'!D42,IF(Nonlabor!$I$27="NewCustomers",'Monthly Lean'!C42,IF(Nonlabor!$I$27="StorageGB",'Monthly Lean'!G42,IF(Nonlabor!$I$27="LogGB",'Monthly Lean'!H42,IF(Nonlabor!$I$27="RequestsM",'Monthly Lean'!F42,IF(Nonlabor!$I$27="InputM",'Monthly Lean'!D42*Assumptions!$C$22/1000000,IF(Nonlabor!$I$27="OutputM",'Monthly Lean'!D42*Assumptions!$C$23/1000000,0))))))))),0)</f>
        <v>0</v>
      </c>
      <c r="F1302" s="10" t="n">
        <f aca="false">Nonlabor!$J$27*(1+Assumptions!$C$9)^INT((C1302-1)/12)</f>
        <v>43709.08</v>
      </c>
      <c r="G1302" s="10" t="n">
        <f aca="false">E1302*F1302</f>
        <v>0</v>
      </c>
      <c r="H1302" s="10" t="n">
        <f aca="false">IF(OR(Nonlabor!$L$27="Quote required",Nonlabor!$L$27="Unverified"),G1302,0)</f>
        <v>0</v>
      </c>
      <c r="I1302" s="10" t="n">
        <f aca="false">IF(Nonlabor!$E$27="Core",0,G1302)</f>
        <v>0</v>
      </c>
      <c r="J1302" s="23" t="str">
        <f aca="false">Nonlabor!$B$27</f>
        <v>CTMS</v>
      </c>
    </row>
    <row r="1303" customFormat="false" ht="15" hidden="false" customHeight="false" outlineLevel="0" collapsed="false">
      <c r="A1303" s="6" t="s">
        <v>72</v>
      </c>
      <c r="B1303" s="6" t="s">
        <v>439</v>
      </c>
      <c r="C1303" s="6" t="n">
        <v>38</v>
      </c>
      <c r="D1303" s="25" t="n">
        <f aca="false">EDATE('Start Here'!$B$6,C1303-1)</f>
        <v>47453</v>
      </c>
      <c r="E1303" s="23" t="n">
        <f aca="false">IF(AND(OR(Nonlabor!$D$27="Both",Nonlabor!$D$27='Start Here'!$B$9),IF(Nonlabor!$E$27="Core",1,IF(Nonlabor!$E$27="AI",'Start Here'!$B$7,'Start Here'!$B$8))=1,C1303&gt;=IF(Nonlabor!$E$27="Core",Nonlabor!$F$27,MAX(Nonlabor!$F$27,IF(Nonlabor!$E$27="AI",Assumptions!$C$24,Assumptions!$C$25))),C1303&lt;=Nonlabor!$G$27,OR(Nonlabor!$H$27="Monthly",AND(Nonlabor!$H$27="Once",C1303=IF(Nonlabor!$E$27="Core",Nonlabor!$F$27,MAX(Nonlabor!$F$27,IF(Nonlabor!$E$27="AI",Assumptions!$C$24,Assumptions!$C$25)))),AND(Nonlabor!$H$27="Annual",MOD(C1303-IF(Nonlabor!$E$27="Core",Nonlabor!$F$27,MAX(Nonlabor!$F$27,IF(Nonlabor!$E$27="AI",Assumptions!$C$24,Assumptions!$C$25))),12)=0))),IF(Nonlabor!$I$27="Fixed",1,IF(Nonlabor!$I$27="Seats",ROUNDUP('Monthly Lean'!I43,0),IF(Nonlabor!$I$27="Customers",'Monthly Lean'!D43,IF(Nonlabor!$I$27="NewCustomers",'Monthly Lean'!C43,IF(Nonlabor!$I$27="StorageGB",'Monthly Lean'!G43,IF(Nonlabor!$I$27="LogGB",'Monthly Lean'!H43,IF(Nonlabor!$I$27="RequestsM",'Monthly Lean'!F43,IF(Nonlabor!$I$27="InputM",'Monthly Lean'!D43*Assumptions!$C$22/1000000,IF(Nonlabor!$I$27="OutputM",'Monthly Lean'!D43*Assumptions!$C$23/1000000,0))))))))),0)</f>
        <v>0</v>
      </c>
      <c r="F1303" s="10" t="n">
        <f aca="false">Nonlabor!$J$27*(1+Assumptions!$C$9)^INT((C1303-1)/12)</f>
        <v>43709.08</v>
      </c>
      <c r="G1303" s="10" t="n">
        <f aca="false">E1303*F1303</f>
        <v>0</v>
      </c>
      <c r="H1303" s="10" t="n">
        <f aca="false">IF(OR(Nonlabor!$L$27="Quote required",Nonlabor!$L$27="Unverified"),G1303,0)</f>
        <v>0</v>
      </c>
      <c r="I1303" s="10" t="n">
        <f aca="false">IF(Nonlabor!$E$27="Core",0,G1303)</f>
        <v>0</v>
      </c>
      <c r="J1303" s="23" t="str">
        <f aca="false">Nonlabor!$B$27</f>
        <v>CTMS</v>
      </c>
    </row>
    <row r="1304" customFormat="false" ht="15" hidden="false" customHeight="false" outlineLevel="0" collapsed="false">
      <c r="A1304" s="6" t="s">
        <v>72</v>
      </c>
      <c r="B1304" s="6" t="s">
        <v>439</v>
      </c>
      <c r="C1304" s="6" t="n">
        <v>39</v>
      </c>
      <c r="D1304" s="25" t="n">
        <f aca="false">EDATE('Start Here'!$B$6,C1304-1)</f>
        <v>47484</v>
      </c>
      <c r="E1304" s="23" t="n">
        <f aca="false">IF(AND(OR(Nonlabor!$D$27="Both",Nonlabor!$D$27='Start Here'!$B$9),IF(Nonlabor!$E$27="Core",1,IF(Nonlabor!$E$27="AI",'Start Here'!$B$7,'Start Here'!$B$8))=1,C1304&gt;=IF(Nonlabor!$E$27="Core",Nonlabor!$F$27,MAX(Nonlabor!$F$27,IF(Nonlabor!$E$27="AI",Assumptions!$C$24,Assumptions!$C$25))),C1304&lt;=Nonlabor!$G$27,OR(Nonlabor!$H$27="Monthly",AND(Nonlabor!$H$27="Once",C1304=IF(Nonlabor!$E$27="Core",Nonlabor!$F$27,MAX(Nonlabor!$F$27,IF(Nonlabor!$E$27="AI",Assumptions!$C$24,Assumptions!$C$25)))),AND(Nonlabor!$H$27="Annual",MOD(C1304-IF(Nonlabor!$E$27="Core",Nonlabor!$F$27,MAX(Nonlabor!$F$27,IF(Nonlabor!$E$27="AI",Assumptions!$C$24,Assumptions!$C$25))),12)=0))),IF(Nonlabor!$I$27="Fixed",1,IF(Nonlabor!$I$27="Seats",ROUNDUP('Monthly Lean'!I44,0),IF(Nonlabor!$I$27="Customers",'Monthly Lean'!D44,IF(Nonlabor!$I$27="NewCustomers",'Monthly Lean'!C44,IF(Nonlabor!$I$27="StorageGB",'Monthly Lean'!G44,IF(Nonlabor!$I$27="LogGB",'Monthly Lean'!H44,IF(Nonlabor!$I$27="RequestsM",'Monthly Lean'!F44,IF(Nonlabor!$I$27="InputM",'Monthly Lean'!D44*Assumptions!$C$22/1000000,IF(Nonlabor!$I$27="OutputM",'Monthly Lean'!D44*Assumptions!$C$23/1000000,0))))))))),0)</f>
        <v>0</v>
      </c>
      <c r="F1304" s="10" t="n">
        <f aca="false">Nonlabor!$J$27*(1+Assumptions!$C$9)^INT((C1304-1)/12)</f>
        <v>43709.08</v>
      </c>
      <c r="G1304" s="10" t="n">
        <f aca="false">E1304*F1304</f>
        <v>0</v>
      </c>
      <c r="H1304" s="10" t="n">
        <f aca="false">IF(OR(Nonlabor!$L$27="Quote required",Nonlabor!$L$27="Unverified"),G1304,0)</f>
        <v>0</v>
      </c>
      <c r="I1304" s="10" t="n">
        <f aca="false">IF(Nonlabor!$E$27="Core",0,G1304)</f>
        <v>0</v>
      </c>
      <c r="J1304" s="23" t="str">
        <f aca="false">Nonlabor!$B$27</f>
        <v>CTMS</v>
      </c>
    </row>
    <row r="1305" customFormat="false" ht="15" hidden="false" customHeight="false" outlineLevel="0" collapsed="false">
      <c r="A1305" s="6" t="s">
        <v>72</v>
      </c>
      <c r="B1305" s="6" t="s">
        <v>439</v>
      </c>
      <c r="C1305" s="6" t="n">
        <v>40</v>
      </c>
      <c r="D1305" s="25" t="n">
        <f aca="false">EDATE('Start Here'!$B$6,C1305-1)</f>
        <v>47515</v>
      </c>
      <c r="E1305" s="23" t="n">
        <f aca="false">IF(AND(OR(Nonlabor!$D$27="Both",Nonlabor!$D$27='Start Here'!$B$9),IF(Nonlabor!$E$27="Core",1,IF(Nonlabor!$E$27="AI",'Start Here'!$B$7,'Start Here'!$B$8))=1,C1305&gt;=IF(Nonlabor!$E$27="Core",Nonlabor!$F$27,MAX(Nonlabor!$F$27,IF(Nonlabor!$E$27="AI",Assumptions!$C$24,Assumptions!$C$25))),C1305&lt;=Nonlabor!$G$27,OR(Nonlabor!$H$27="Monthly",AND(Nonlabor!$H$27="Once",C1305=IF(Nonlabor!$E$27="Core",Nonlabor!$F$27,MAX(Nonlabor!$F$27,IF(Nonlabor!$E$27="AI",Assumptions!$C$24,Assumptions!$C$25)))),AND(Nonlabor!$H$27="Annual",MOD(C1305-IF(Nonlabor!$E$27="Core",Nonlabor!$F$27,MAX(Nonlabor!$F$27,IF(Nonlabor!$E$27="AI",Assumptions!$C$24,Assumptions!$C$25))),12)=0))),IF(Nonlabor!$I$27="Fixed",1,IF(Nonlabor!$I$27="Seats",ROUNDUP('Monthly Lean'!I45,0),IF(Nonlabor!$I$27="Customers",'Monthly Lean'!D45,IF(Nonlabor!$I$27="NewCustomers",'Monthly Lean'!C45,IF(Nonlabor!$I$27="StorageGB",'Monthly Lean'!G45,IF(Nonlabor!$I$27="LogGB",'Monthly Lean'!H45,IF(Nonlabor!$I$27="RequestsM",'Monthly Lean'!F45,IF(Nonlabor!$I$27="InputM",'Monthly Lean'!D45*Assumptions!$C$22/1000000,IF(Nonlabor!$I$27="OutputM",'Monthly Lean'!D45*Assumptions!$C$23/1000000,0))))))))),0)</f>
        <v>0</v>
      </c>
      <c r="F1305" s="10" t="n">
        <f aca="false">Nonlabor!$J$27*(1+Assumptions!$C$9)^INT((C1305-1)/12)</f>
        <v>43709.08</v>
      </c>
      <c r="G1305" s="10" t="n">
        <f aca="false">E1305*F1305</f>
        <v>0</v>
      </c>
      <c r="H1305" s="10" t="n">
        <f aca="false">IF(OR(Nonlabor!$L$27="Quote required",Nonlabor!$L$27="Unverified"),G1305,0)</f>
        <v>0</v>
      </c>
      <c r="I1305" s="10" t="n">
        <f aca="false">IF(Nonlabor!$E$27="Core",0,G1305)</f>
        <v>0</v>
      </c>
      <c r="J1305" s="23" t="str">
        <f aca="false">Nonlabor!$B$27</f>
        <v>CTMS</v>
      </c>
    </row>
    <row r="1306" customFormat="false" ht="15" hidden="false" customHeight="false" outlineLevel="0" collapsed="false">
      <c r="A1306" s="6" t="s">
        <v>72</v>
      </c>
      <c r="B1306" s="6" t="s">
        <v>439</v>
      </c>
      <c r="C1306" s="6" t="n">
        <v>41</v>
      </c>
      <c r="D1306" s="25" t="n">
        <f aca="false">EDATE('Start Here'!$B$6,C1306-1)</f>
        <v>47543</v>
      </c>
      <c r="E1306" s="23" t="n">
        <f aca="false">IF(AND(OR(Nonlabor!$D$27="Both",Nonlabor!$D$27='Start Here'!$B$9),IF(Nonlabor!$E$27="Core",1,IF(Nonlabor!$E$27="AI",'Start Here'!$B$7,'Start Here'!$B$8))=1,C1306&gt;=IF(Nonlabor!$E$27="Core",Nonlabor!$F$27,MAX(Nonlabor!$F$27,IF(Nonlabor!$E$27="AI",Assumptions!$C$24,Assumptions!$C$25))),C1306&lt;=Nonlabor!$G$27,OR(Nonlabor!$H$27="Monthly",AND(Nonlabor!$H$27="Once",C1306=IF(Nonlabor!$E$27="Core",Nonlabor!$F$27,MAX(Nonlabor!$F$27,IF(Nonlabor!$E$27="AI",Assumptions!$C$24,Assumptions!$C$25)))),AND(Nonlabor!$H$27="Annual",MOD(C1306-IF(Nonlabor!$E$27="Core",Nonlabor!$F$27,MAX(Nonlabor!$F$27,IF(Nonlabor!$E$27="AI",Assumptions!$C$24,Assumptions!$C$25))),12)=0))),IF(Nonlabor!$I$27="Fixed",1,IF(Nonlabor!$I$27="Seats",ROUNDUP('Monthly Lean'!I46,0),IF(Nonlabor!$I$27="Customers",'Monthly Lean'!D46,IF(Nonlabor!$I$27="NewCustomers",'Monthly Lean'!C46,IF(Nonlabor!$I$27="StorageGB",'Monthly Lean'!G46,IF(Nonlabor!$I$27="LogGB",'Monthly Lean'!H46,IF(Nonlabor!$I$27="RequestsM",'Monthly Lean'!F46,IF(Nonlabor!$I$27="InputM",'Monthly Lean'!D46*Assumptions!$C$22/1000000,IF(Nonlabor!$I$27="OutputM",'Monthly Lean'!D46*Assumptions!$C$23/1000000,0))))))))),0)</f>
        <v>0</v>
      </c>
      <c r="F1306" s="10" t="n">
        <f aca="false">Nonlabor!$J$27*(1+Assumptions!$C$9)^INT((C1306-1)/12)</f>
        <v>43709.08</v>
      </c>
      <c r="G1306" s="10" t="n">
        <f aca="false">E1306*F1306</f>
        <v>0</v>
      </c>
      <c r="H1306" s="10" t="n">
        <f aca="false">IF(OR(Nonlabor!$L$27="Quote required",Nonlabor!$L$27="Unverified"),G1306,0)</f>
        <v>0</v>
      </c>
      <c r="I1306" s="10" t="n">
        <f aca="false">IF(Nonlabor!$E$27="Core",0,G1306)</f>
        <v>0</v>
      </c>
      <c r="J1306" s="23" t="str">
        <f aca="false">Nonlabor!$B$27</f>
        <v>CTMS</v>
      </c>
    </row>
    <row r="1307" customFormat="false" ht="15" hidden="false" customHeight="false" outlineLevel="0" collapsed="false">
      <c r="A1307" s="6" t="s">
        <v>72</v>
      </c>
      <c r="B1307" s="6" t="s">
        <v>439</v>
      </c>
      <c r="C1307" s="6" t="n">
        <v>42</v>
      </c>
      <c r="D1307" s="25" t="n">
        <f aca="false">EDATE('Start Here'!$B$6,C1307-1)</f>
        <v>47574</v>
      </c>
      <c r="E1307" s="23" t="n">
        <f aca="false">IF(AND(OR(Nonlabor!$D$27="Both",Nonlabor!$D$27='Start Here'!$B$9),IF(Nonlabor!$E$27="Core",1,IF(Nonlabor!$E$27="AI",'Start Here'!$B$7,'Start Here'!$B$8))=1,C1307&gt;=IF(Nonlabor!$E$27="Core",Nonlabor!$F$27,MAX(Nonlabor!$F$27,IF(Nonlabor!$E$27="AI",Assumptions!$C$24,Assumptions!$C$25))),C1307&lt;=Nonlabor!$G$27,OR(Nonlabor!$H$27="Monthly",AND(Nonlabor!$H$27="Once",C1307=IF(Nonlabor!$E$27="Core",Nonlabor!$F$27,MAX(Nonlabor!$F$27,IF(Nonlabor!$E$27="AI",Assumptions!$C$24,Assumptions!$C$25)))),AND(Nonlabor!$H$27="Annual",MOD(C1307-IF(Nonlabor!$E$27="Core",Nonlabor!$F$27,MAX(Nonlabor!$F$27,IF(Nonlabor!$E$27="AI",Assumptions!$C$24,Assumptions!$C$25))),12)=0))),IF(Nonlabor!$I$27="Fixed",1,IF(Nonlabor!$I$27="Seats",ROUNDUP('Monthly Lean'!I47,0),IF(Nonlabor!$I$27="Customers",'Monthly Lean'!D47,IF(Nonlabor!$I$27="NewCustomers",'Monthly Lean'!C47,IF(Nonlabor!$I$27="StorageGB",'Monthly Lean'!G47,IF(Nonlabor!$I$27="LogGB",'Monthly Lean'!H47,IF(Nonlabor!$I$27="RequestsM",'Monthly Lean'!F47,IF(Nonlabor!$I$27="InputM",'Monthly Lean'!D47*Assumptions!$C$22/1000000,IF(Nonlabor!$I$27="OutputM",'Monthly Lean'!D47*Assumptions!$C$23/1000000,0))))))))),0)</f>
        <v>0</v>
      </c>
      <c r="F1307" s="10" t="n">
        <f aca="false">Nonlabor!$J$27*(1+Assumptions!$C$9)^INT((C1307-1)/12)</f>
        <v>43709.08</v>
      </c>
      <c r="G1307" s="10" t="n">
        <f aca="false">E1307*F1307</f>
        <v>0</v>
      </c>
      <c r="H1307" s="10" t="n">
        <f aca="false">IF(OR(Nonlabor!$L$27="Quote required",Nonlabor!$L$27="Unverified"),G1307,0)</f>
        <v>0</v>
      </c>
      <c r="I1307" s="10" t="n">
        <f aca="false">IF(Nonlabor!$E$27="Core",0,G1307)</f>
        <v>0</v>
      </c>
      <c r="J1307" s="23" t="str">
        <f aca="false">Nonlabor!$B$27</f>
        <v>CTMS</v>
      </c>
    </row>
    <row r="1308" customFormat="false" ht="15" hidden="false" customHeight="false" outlineLevel="0" collapsed="false">
      <c r="A1308" s="6" t="s">
        <v>72</v>
      </c>
      <c r="B1308" s="6" t="s">
        <v>439</v>
      </c>
      <c r="C1308" s="6" t="n">
        <v>43</v>
      </c>
      <c r="D1308" s="25" t="n">
        <f aca="false">EDATE('Start Here'!$B$6,C1308-1)</f>
        <v>47604</v>
      </c>
      <c r="E1308" s="23" t="n">
        <f aca="false">IF(AND(OR(Nonlabor!$D$27="Both",Nonlabor!$D$27='Start Here'!$B$9),IF(Nonlabor!$E$27="Core",1,IF(Nonlabor!$E$27="AI",'Start Here'!$B$7,'Start Here'!$B$8))=1,C1308&gt;=IF(Nonlabor!$E$27="Core",Nonlabor!$F$27,MAX(Nonlabor!$F$27,IF(Nonlabor!$E$27="AI",Assumptions!$C$24,Assumptions!$C$25))),C1308&lt;=Nonlabor!$G$27,OR(Nonlabor!$H$27="Monthly",AND(Nonlabor!$H$27="Once",C1308=IF(Nonlabor!$E$27="Core",Nonlabor!$F$27,MAX(Nonlabor!$F$27,IF(Nonlabor!$E$27="AI",Assumptions!$C$24,Assumptions!$C$25)))),AND(Nonlabor!$H$27="Annual",MOD(C1308-IF(Nonlabor!$E$27="Core",Nonlabor!$F$27,MAX(Nonlabor!$F$27,IF(Nonlabor!$E$27="AI",Assumptions!$C$24,Assumptions!$C$25))),12)=0))),IF(Nonlabor!$I$27="Fixed",1,IF(Nonlabor!$I$27="Seats",ROUNDUP('Monthly Lean'!I48,0),IF(Nonlabor!$I$27="Customers",'Monthly Lean'!D48,IF(Nonlabor!$I$27="NewCustomers",'Monthly Lean'!C48,IF(Nonlabor!$I$27="StorageGB",'Monthly Lean'!G48,IF(Nonlabor!$I$27="LogGB",'Monthly Lean'!H48,IF(Nonlabor!$I$27="RequestsM",'Monthly Lean'!F48,IF(Nonlabor!$I$27="InputM",'Monthly Lean'!D48*Assumptions!$C$22/1000000,IF(Nonlabor!$I$27="OutputM",'Monthly Lean'!D48*Assumptions!$C$23/1000000,0))))))))),0)</f>
        <v>0</v>
      </c>
      <c r="F1308" s="10" t="n">
        <f aca="false">Nonlabor!$J$27*(1+Assumptions!$C$9)^INT((C1308-1)/12)</f>
        <v>43709.08</v>
      </c>
      <c r="G1308" s="10" t="n">
        <f aca="false">E1308*F1308</f>
        <v>0</v>
      </c>
      <c r="H1308" s="10" t="n">
        <f aca="false">IF(OR(Nonlabor!$L$27="Quote required",Nonlabor!$L$27="Unverified"),G1308,0)</f>
        <v>0</v>
      </c>
      <c r="I1308" s="10" t="n">
        <f aca="false">IF(Nonlabor!$E$27="Core",0,G1308)</f>
        <v>0</v>
      </c>
      <c r="J1308" s="23" t="str">
        <f aca="false">Nonlabor!$B$27</f>
        <v>CTMS</v>
      </c>
    </row>
    <row r="1309" customFormat="false" ht="15" hidden="false" customHeight="false" outlineLevel="0" collapsed="false">
      <c r="A1309" s="6" t="s">
        <v>72</v>
      </c>
      <c r="B1309" s="6" t="s">
        <v>439</v>
      </c>
      <c r="C1309" s="6" t="n">
        <v>44</v>
      </c>
      <c r="D1309" s="25" t="n">
        <f aca="false">EDATE('Start Here'!$B$6,C1309-1)</f>
        <v>47635</v>
      </c>
      <c r="E1309" s="23" t="n">
        <f aca="false">IF(AND(OR(Nonlabor!$D$27="Both",Nonlabor!$D$27='Start Here'!$B$9),IF(Nonlabor!$E$27="Core",1,IF(Nonlabor!$E$27="AI",'Start Here'!$B$7,'Start Here'!$B$8))=1,C1309&gt;=IF(Nonlabor!$E$27="Core",Nonlabor!$F$27,MAX(Nonlabor!$F$27,IF(Nonlabor!$E$27="AI",Assumptions!$C$24,Assumptions!$C$25))),C1309&lt;=Nonlabor!$G$27,OR(Nonlabor!$H$27="Monthly",AND(Nonlabor!$H$27="Once",C1309=IF(Nonlabor!$E$27="Core",Nonlabor!$F$27,MAX(Nonlabor!$F$27,IF(Nonlabor!$E$27="AI",Assumptions!$C$24,Assumptions!$C$25)))),AND(Nonlabor!$H$27="Annual",MOD(C1309-IF(Nonlabor!$E$27="Core",Nonlabor!$F$27,MAX(Nonlabor!$F$27,IF(Nonlabor!$E$27="AI",Assumptions!$C$24,Assumptions!$C$25))),12)=0))),IF(Nonlabor!$I$27="Fixed",1,IF(Nonlabor!$I$27="Seats",ROUNDUP('Monthly Lean'!I49,0),IF(Nonlabor!$I$27="Customers",'Monthly Lean'!D49,IF(Nonlabor!$I$27="NewCustomers",'Monthly Lean'!C49,IF(Nonlabor!$I$27="StorageGB",'Monthly Lean'!G49,IF(Nonlabor!$I$27="LogGB",'Monthly Lean'!H49,IF(Nonlabor!$I$27="RequestsM",'Monthly Lean'!F49,IF(Nonlabor!$I$27="InputM",'Monthly Lean'!D49*Assumptions!$C$22/1000000,IF(Nonlabor!$I$27="OutputM",'Monthly Lean'!D49*Assumptions!$C$23/1000000,0))))))))),0)</f>
        <v>0</v>
      </c>
      <c r="F1309" s="10" t="n">
        <f aca="false">Nonlabor!$J$27*(1+Assumptions!$C$9)^INT((C1309-1)/12)</f>
        <v>43709.08</v>
      </c>
      <c r="G1309" s="10" t="n">
        <f aca="false">E1309*F1309</f>
        <v>0</v>
      </c>
      <c r="H1309" s="10" t="n">
        <f aca="false">IF(OR(Nonlabor!$L$27="Quote required",Nonlabor!$L$27="Unverified"),G1309,0)</f>
        <v>0</v>
      </c>
      <c r="I1309" s="10" t="n">
        <f aca="false">IF(Nonlabor!$E$27="Core",0,G1309)</f>
        <v>0</v>
      </c>
      <c r="J1309" s="23" t="str">
        <f aca="false">Nonlabor!$B$27</f>
        <v>CTMS</v>
      </c>
    </row>
    <row r="1310" customFormat="false" ht="15" hidden="false" customHeight="false" outlineLevel="0" collapsed="false">
      <c r="A1310" s="6" t="s">
        <v>72</v>
      </c>
      <c r="B1310" s="6" t="s">
        <v>439</v>
      </c>
      <c r="C1310" s="6" t="n">
        <v>45</v>
      </c>
      <c r="D1310" s="25" t="n">
        <f aca="false">EDATE('Start Here'!$B$6,C1310-1)</f>
        <v>47665</v>
      </c>
      <c r="E1310" s="23" t="n">
        <f aca="false">IF(AND(OR(Nonlabor!$D$27="Both",Nonlabor!$D$27='Start Here'!$B$9),IF(Nonlabor!$E$27="Core",1,IF(Nonlabor!$E$27="AI",'Start Here'!$B$7,'Start Here'!$B$8))=1,C1310&gt;=IF(Nonlabor!$E$27="Core",Nonlabor!$F$27,MAX(Nonlabor!$F$27,IF(Nonlabor!$E$27="AI",Assumptions!$C$24,Assumptions!$C$25))),C1310&lt;=Nonlabor!$G$27,OR(Nonlabor!$H$27="Monthly",AND(Nonlabor!$H$27="Once",C1310=IF(Nonlabor!$E$27="Core",Nonlabor!$F$27,MAX(Nonlabor!$F$27,IF(Nonlabor!$E$27="AI",Assumptions!$C$24,Assumptions!$C$25)))),AND(Nonlabor!$H$27="Annual",MOD(C1310-IF(Nonlabor!$E$27="Core",Nonlabor!$F$27,MAX(Nonlabor!$F$27,IF(Nonlabor!$E$27="AI",Assumptions!$C$24,Assumptions!$C$25))),12)=0))),IF(Nonlabor!$I$27="Fixed",1,IF(Nonlabor!$I$27="Seats",ROUNDUP('Monthly Lean'!I50,0),IF(Nonlabor!$I$27="Customers",'Monthly Lean'!D50,IF(Nonlabor!$I$27="NewCustomers",'Monthly Lean'!C50,IF(Nonlabor!$I$27="StorageGB",'Monthly Lean'!G50,IF(Nonlabor!$I$27="LogGB",'Monthly Lean'!H50,IF(Nonlabor!$I$27="RequestsM",'Monthly Lean'!F50,IF(Nonlabor!$I$27="InputM",'Monthly Lean'!D50*Assumptions!$C$22/1000000,IF(Nonlabor!$I$27="OutputM",'Monthly Lean'!D50*Assumptions!$C$23/1000000,0))))))))),0)</f>
        <v>0</v>
      </c>
      <c r="F1310" s="10" t="n">
        <f aca="false">Nonlabor!$J$27*(1+Assumptions!$C$9)^INT((C1310-1)/12)</f>
        <v>43709.08</v>
      </c>
      <c r="G1310" s="10" t="n">
        <f aca="false">E1310*F1310</f>
        <v>0</v>
      </c>
      <c r="H1310" s="10" t="n">
        <f aca="false">IF(OR(Nonlabor!$L$27="Quote required",Nonlabor!$L$27="Unverified"),G1310,0)</f>
        <v>0</v>
      </c>
      <c r="I1310" s="10" t="n">
        <f aca="false">IF(Nonlabor!$E$27="Core",0,G1310)</f>
        <v>0</v>
      </c>
      <c r="J1310" s="23" t="str">
        <f aca="false">Nonlabor!$B$27</f>
        <v>CTMS</v>
      </c>
    </row>
    <row r="1311" customFormat="false" ht="15" hidden="false" customHeight="false" outlineLevel="0" collapsed="false">
      <c r="A1311" s="6" t="s">
        <v>72</v>
      </c>
      <c r="B1311" s="6" t="s">
        <v>439</v>
      </c>
      <c r="C1311" s="6" t="n">
        <v>46</v>
      </c>
      <c r="D1311" s="25" t="n">
        <f aca="false">EDATE('Start Here'!$B$6,C1311-1)</f>
        <v>47696</v>
      </c>
      <c r="E1311" s="23" t="n">
        <f aca="false">IF(AND(OR(Nonlabor!$D$27="Both",Nonlabor!$D$27='Start Here'!$B$9),IF(Nonlabor!$E$27="Core",1,IF(Nonlabor!$E$27="AI",'Start Here'!$B$7,'Start Here'!$B$8))=1,C1311&gt;=IF(Nonlabor!$E$27="Core",Nonlabor!$F$27,MAX(Nonlabor!$F$27,IF(Nonlabor!$E$27="AI",Assumptions!$C$24,Assumptions!$C$25))),C1311&lt;=Nonlabor!$G$27,OR(Nonlabor!$H$27="Monthly",AND(Nonlabor!$H$27="Once",C1311=IF(Nonlabor!$E$27="Core",Nonlabor!$F$27,MAX(Nonlabor!$F$27,IF(Nonlabor!$E$27="AI",Assumptions!$C$24,Assumptions!$C$25)))),AND(Nonlabor!$H$27="Annual",MOD(C1311-IF(Nonlabor!$E$27="Core",Nonlabor!$F$27,MAX(Nonlabor!$F$27,IF(Nonlabor!$E$27="AI",Assumptions!$C$24,Assumptions!$C$25))),12)=0))),IF(Nonlabor!$I$27="Fixed",1,IF(Nonlabor!$I$27="Seats",ROUNDUP('Monthly Lean'!I51,0),IF(Nonlabor!$I$27="Customers",'Monthly Lean'!D51,IF(Nonlabor!$I$27="NewCustomers",'Monthly Lean'!C51,IF(Nonlabor!$I$27="StorageGB",'Monthly Lean'!G51,IF(Nonlabor!$I$27="LogGB",'Monthly Lean'!H51,IF(Nonlabor!$I$27="RequestsM",'Monthly Lean'!F51,IF(Nonlabor!$I$27="InputM",'Monthly Lean'!D51*Assumptions!$C$22/1000000,IF(Nonlabor!$I$27="OutputM",'Monthly Lean'!D51*Assumptions!$C$23/1000000,0))))))))),0)</f>
        <v>0</v>
      </c>
      <c r="F1311" s="10" t="n">
        <f aca="false">Nonlabor!$J$27*(1+Assumptions!$C$9)^INT((C1311-1)/12)</f>
        <v>43709.08</v>
      </c>
      <c r="G1311" s="10" t="n">
        <f aca="false">E1311*F1311</f>
        <v>0</v>
      </c>
      <c r="H1311" s="10" t="n">
        <f aca="false">IF(OR(Nonlabor!$L$27="Quote required",Nonlabor!$L$27="Unverified"),G1311,0)</f>
        <v>0</v>
      </c>
      <c r="I1311" s="10" t="n">
        <f aca="false">IF(Nonlabor!$E$27="Core",0,G1311)</f>
        <v>0</v>
      </c>
      <c r="J1311" s="23" t="str">
        <f aca="false">Nonlabor!$B$27</f>
        <v>CTMS</v>
      </c>
    </row>
    <row r="1312" customFormat="false" ht="15" hidden="false" customHeight="false" outlineLevel="0" collapsed="false">
      <c r="A1312" s="6" t="s">
        <v>72</v>
      </c>
      <c r="B1312" s="6" t="s">
        <v>439</v>
      </c>
      <c r="C1312" s="6" t="n">
        <v>47</v>
      </c>
      <c r="D1312" s="25" t="n">
        <f aca="false">EDATE('Start Here'!$B$6,C1312-1)</f>
        <v>47727</v>
      </c>
      <c r="E1312" s="23" t="n">
        <f aca="false">IF(AND(OR(Nonlabor!$D$27="Both",Nonlabor!$D$27='Start Here'!$B$9),IF(Nonlabor!$E$27="Core",1,IF(Nonlabor!$E$27="AI",'Start Here'!$B$7,'Start Here'!$B$8))=1,C1312&gt;=IF(Nonlabor!$E$27="Core",Nonlabor!$F$27,MAX(Nonlabor!$F$27,IF(Nonlabor!$E$27="AI",Assumptions!$C$24,Assumptions!$C$25))),C1312&lt;=Nonlabor!$G$27,OR(Nonlabor!$H$27="Monthly",AND(Nonlabor!$H$27="Once",C1312=IF(Nonlabor!$E$27="Core",Nonlabor!$F$27,MAX(Nonlabor!$F$27,IF(Nonlabor!$E$27="AI",Assumptions!$C$24,Assumptions!$C$25)))),AND(Nonlabor!$H$27="Annual",MOD(C1312-IF(Nonlabor!$E$27="Core",Nonlabor!$F$27,MAX(Nonlabor!$F$27,IF(Nonlabor!$E$27="AI",Assumptions!$C$24,Assumptions!$C$25))),12)=0))),IF(Nonlabor!$I$27="Fixed",1,IF(Nonlabor!$I$27="Seats",ROUNDUP('Monthly Lean'!I52,0),IF(Nonlabor!$I$27="Customers",'Monthly Lean'!D52,IF(Nonlabor!$I$27="NewCustomers",'Monthly Lean'!C52,IF(Nonlabor!$I$27="StorageGB",'Monthly Lean'!G52,IF(Nonlabor!$I$27="LogGB",'Monthly Lean'!H52,IF(Nonlabor!$I$27="RequestsM",'Monthly Lean'!F52,IF(Nonlabor!$I$27="InputM",'Monthly Lean'!D52*Assumptions!$C$22/1000000,IF(Nonlabor!$I$27="OutputM",'Monthly Lean'!D52*Assumptions!$C$23/1000000,0))))))))),0)</f>
        <v>0</v>
      </c>
      <c r="F1312" s="10" t="n">
        <f aca="false">Nonlabor!$J$27*(1+Assumptions!$C$9)^INT((C1312-1)/12)</f>
        <v>43709.08</v>
      </c>
      <c r="G1312" s="10" t="n">
        <f aca="false">E1312*F1312</f>
        <v>0</v>
      </c>
      <c r="H1312" s="10" t="n">
        <f aca="false">IF(OR(Nonlabor!$L$27="Quote required",Nonlabor!$L$27="Unverified"),G1312,0)</f>
        <v>0</v>
      </c>
      <c r="I1312" s="10" t="n">
        <f aca="false">IF(Nonlabor!$E$27="Core",0,G1312)</f>
        <v>0</v>
      </c>
      <c r="J1312" s="23" t="str">
        <f aca="false">Nonlabor!$B$27</f>
        <v>CTMS</v>
      </c>
    </row>
    <row r="1313" customFormat="false" ht="15" hidden="false" customHeight="false" outlineLevel="0" collapsed="false">
      <c r="A1313" s="6" t="s">
        <v>72</v>
      </c>
      <c r="B1313" s="6" t="s">
        <v>439</v>
      </c>
      <c r="C1313" s="6" t="n">
        <v>48</v>
      </c>
      <c r="D1313" s="25" t="n">
        <f aca="false">EDATE('Start Here'!$B$6,C1313-1)</f>
        <v>47757</v>
      </c>
      <c r="E1313" s="23" t="n">
        <f aca="false">IF(AND(OR(Nonlabor!$D$27="Both",Nonlabor!$D$27='Start Here'!$B$9),IF(Nonlabor!$E$27="Core",1,IF(Nonlabor!$E$27="AI",'Start Here'!$B$7,'Start Here'!$B$8))=1,C1313&gt;=IF(Nonlabor!$E$27="Core",Nonlabor!$F$27,MAX(Nonlabor!$F$27,IF(Nonlabor!$E$27="AI",Assumptions!$C$24,Assumptions!$C$25))),C1313&lt;=Nonlabor!$G$27,OR(Nonlabor!$H$27="Monthly",AND(Nonlabor!$H$27="Once",C1313=IF(Nonlabor!$E$27="Core",Nonlabor!$F$27,MAX(Nonlabor!$F$27,IF(Nonlabor!$E$27="AI",Assumptions!$C$24,Assumptions!$C$25)))),AND(Nonlabor!$H$27="Annual",MOD(C1313-IF(Nonlabor!$E$27="Core",Nonlabor!$F$27,MAX(Nonlabor!$F$27,IF(Nonlabor!$E$27="AI",Assumptions!$C$24,Assumptions!$C$25))),12)=0))),IF(Nonlabor!$I$27="Fixed",1,IF(Nonlabor!$I$27="Seats",ROUNDUP('Monthly Lean'!I53,0),IF(Nonlabor!$I$27="Customers",'Monthly Lean'!D53,IF(Nonlabor!$I$27="NewCustomers",'Monthly Lean'!C53,IF(Nonlabor!$I$27="StorageGB",'Monthly Lean'!G53,IF(Nonlabor!$I$27="LogGB",'Monthly Lean'!H53,IF(Nonlabor!$I$27="RequestsM",'Monthly Lean'!F53,IF(Nonlabor!$I$27="InputM",'Monthly Lean'!D53*Assumptions!$C$22/1000000,IF(Nonlabor!$I$27="OutputM",'Monthly Lean'!D53*Assumptions!$C$23/1000000,0))))))))),0)</f>
        <v>0</v>
      </c>
      <c r="F1313" s="10" t="n">
        <f aca="false">Nonlabor!$J$27*(1+Assumptions!$C$9)^INT((C1313-1)/12)</f>
        <v>43709.08</v>
      </c>
      <c r="G1313" s="10" t="n">
        <f aca="false">E1313*F1313</f>
        <v>0</v>
      </c>
      <c r="H1313" s="10" t="n">
        <f aca="false">IF(OR(Nonlabor!$L$27="Quote required",Nonlabor!$L$27="Unverified"),G1313,0)</f>
        <v>0</v>
      </c>
      <c r="I1313" s="10" t="n">
        <f aca="false">IF(Nonlabor!$E$27="Core",0,G1313)</f>
        <v>0</v>
      </c>
      <c r="J1313" s="23" t="str">
        <f aca="false">Nonlabor!$B$27</f>
        <v>CTMS</v>
      </c>
    </row>
    <row r="1314" customFormat="false" ht="15" hidden="false" customHeight="false" outlineLevel="0" collapsed="false">
      <c r="A1314" s="6" t="s">
        <v>72</v>
      </c>
      <c r="B1314" s="6" t="s">
        <v>439</v>
      </c>
      <c r="C1314" s="6" t="n">
        <v>49</v>
      </c>
      <c r="D1314" s="25" t="n">
        <f aca="false">EDATE('Start Here'!$B$6,C1314-1)</f>
        <v>47788</v>
      </c>
      <c r="E1314" s="23" t="n">
        <f aca="false">IF(AND(OR(Nonlabor!$D$27="Both",Nonlabor!$D$27='Start Here'!$B$9),IF(Nonlabor!$E$27="Core",1,IF(Nonlabor!$E$27="AI",'Start Here'!$B$7,'Start Here'!$B$8))=1,C1314&gt;=IF(Nonlabor!$E$27="Core",Nonlabor!$F$27,MAX(Nonlabor!$F$27,IF(Nonlabor!$E$27="AI",Assumptions!$C$24,Assumptions!$C$25))),C1314&lt;=Nonlabor!$G$27,OR(Nonlabor!$H$27="Monthly",AND(Nonlabor!$H$27="Once",C1314=IF(Nonlabor!$E$27="Core",Nonlabor!$F$27,MAX(Nonlabor!$F$27,IF(Nonlabor!$E$27="AI",Assumptions!$C$24,Assumptions!$C$25)))),AND(Nonlabor!$H$27="Annual",MOD(C1314-IF(Nonlabor!$E$27="Core",Nonlabor!$F$27,MAX(Nonlabor!$F$27,IF(Nonlabor!$E$27="AI",Assumptions!$C$24,Assumptions!$C$25))),12)=0))),IF(Nonlabor!$I$27="Fixed",1,IF(Nonlabor!$I$27="Seats",ROUNDUP('Monthly Lean'!I54,0),IF(Nonlabor!$I$27="Customers",'Monthly Lean'!D54,IF(Nonlabor!$I$27="NewCustomers",'Monthly Lean'!C54,IF(Nonlabor!$I$27="StorageGB",'Monthly Lean'!G54,IF(Nonlabor!$I$27="LogGB",'Monthly Lean'!H54,IF(Nonlabor!$I$27="RequestsM",'Monthly Lean'!F54,IF(Nonlabor!$I$27="InputM",'Monthly Lean'!D54*Assumptions!$C$22/1000000,IF(Nonlabor!$I$27="OutputM",'Monthly Lean'!D54*Assumptions!$C$23/1000000,0))))))))),0)</f>
        <v>0</v>
      </c>
      <c r="F1314" s="10" t="n">
        <f aca="false">Nonlabor!$J$27*(1+Assumptions!$C$9)^INT((C1314-1)/12)</f>
        <v>45020.3524</v>
      </c>
      <c r="G1314" s="10" t="n">
        <f aca="false">E1314*F1314</f>
        <v>0</v>
      </c>
      <c r="H1314" s="10" t="n">
        <f aca="false">IF(OR(Nonlabor!$L$27="Quote required",Nonlabor!$L$27="Unverified"),G1314,0)</f>
        <v>0</v>
      </c>
      <c r="I1314" s="10" t="n">
        <f aca="false">IF(Nonlabor!$E$27="Core",0,G1314)</f>
        <v>0</v>
      </c>
      <c r="J1314" s="23" t="str">
        <f aca="false">Nonlabor!$B$27</f>
        <v>CTMS</v>
      </c>
    </row>
    <row r="1315" customFormat="false" ht="15" hidden="false" customHeight="false" outlineLevel="0" collapsed="false">
      <c r="A1315" s="6" t="s">
        <v>72</v>
      </c>
      <c r="B1315" s="6" t="s">
        <v>439</v>
      </c>
      <c r="C1315" s="6" t="n">
        <v>50</v>
      </c>
      <c r="D1315" s="25" t="n">
        <f aca="false">EDATE('Start Here'!$B$6,C1315-1)</f>
        <v>47818</v>
      </c>
      <c r="E1315" s="23" t="n">
        <f aca="false">IF(AND(OR(Nonlabor!$D$27="Both",Nonlabor!$D$27='Start Here'!$B$9),IF(Nonlabor!$E$27="Core",1,IF(Nonlabor!$E$27="AI",'Start Here'!$B$7,'Start Here'!$B$8))=1,C1315&gt;=IF(Nonlabor!$E$27="Core",Nonlabor!$F$27,MAX(Nonlabor!$F$27,IF(Nonlabor!$E$27="AI",Assumptions!$C$24,Assumptions!$C$25))),C1315&lt;=Nonlabor!$G$27,OR(Nonlabor!$H$27="Monthly",AND(Nonlabor!$H$27="Once",C1315=IF(Nonlabor!$E$27="Core",Nonlabor!$F$27,MAX(Nonlabor!$F$27,IF(Nonlabor!$E$27="AI",Assumptions!$C$24,Assumptions!$C$25)))),AND(Nonlabor!$H$27="Annual",MOD(C1315-IF(Nonlabor!$E$27="Core",Nonlabor!$F$27,MAX(Nonlabor!$F$27,IF(Nonlabor!$E$27="AI",Assumptions!$C$24,Assumptions!$C$25))),12)=0))),IF(Nonlabor!$I$27="Fixed",1,IF(Nonlabor!$I$27="Seats",ROUNDUP('Monthly Lean'!I55,0),IF(Nonlabor!$I$27="Customers",'Monthly Lean'!D55,IF(Nonlabor!$I$27="NewCustomers",'Monthly Lean'!C55,IF(Nonlabor!$I$27="StorageGB",'Monthly Lean'!G55,IF(Nonlabor!$I$27="LogGB",'Monthly Lean'!H55,IF(Nonlabor!$I$27="RequestsM",'Monthly Lean'!F55,IF(Nonlabor!$I$27="InputM",'Monthly Lean'!D55*Assumptions!$C$22/1000000,IF(Nonlabor!$I$27="OutputM",'Monthly Lean'!D55*Assumptions!$C$23/1000000,0))))))))),0)</f>
        <v>0</v>
      </c>
      <c r="F1315" s="10" t="n">
        <f aca="false">Nonlabor!$J$27*(1+Assumptions!$C$9)^INT((C1315-1)/12)</f>
        <v>45020.3524</v>
      </c>
      <c r="G1315" s="10" t="n">
        <f aca="false">E1315*F1315</f>
        <v>0</v>
      </c>
      <c r="H1315" s="10" t="n">
        <f aca="false">IF(OR(Nonlabor!$L$27="Quote required",Nonlabor!$L$27="Unverified"),G1315,0)</f>
        <v>0</v>
      </c>
      <c r="I1315" s="10" t="n">
        <f aca="false">IF(Nonlabor!$E$27="Core",0,G1315)</f>
        <v>0</v>
      </c>
      <c r="J1315" s="23" t="str">
        <f aca="false">Nonlabor!$B$27</f>
        <v>CTMS</v>
      </c>
    </row>
    <row r="1316" customFormat="false" ht="15" hidden="false" customHeight="false" outlineLevel="0" collapsed="false">
      <c r="A1316" s="6" t="s">
        <v>72</v>
      </c>
      <c r="B1316" s="6" t="s">
        <v>439</v>
      </c>
      <c r="C1316" s="6" t="n">
        <v>51</v>
      </c>
      <c r="D1316" s="25" t="n">
        <f aca="false">EDATE('Start Here'!$B$6,C1316-1)</f>
        <v>47849</v>
      </c>
      <c r="E1316" s="23" t="n">
        <f aca="false">IF(AND(OR(Nonlabor!$D$27="Both",Nonlabor!$D$27='Start Here'!$B$9),IF(Nonlabor!$E$27="Core",1,IF(Nonlabor!$E$27="AI",'Start Here'!$B$7,'Start Here'!$B$8))=1,C1316&gt;=IF(Nonlabor!$E$27="Core",Nonlabor!$F$27,MAX(Nonlabor!$F$27,IF(Nonlabor!$E$27="AI",Assumptions!$C$24,Assumptions!$C$25))),C1316&lt;=Nonlabor!$G$27,OR(Nonlabor!$H$27="Monthly",AND(Nonlabor!$H$27="Once",C1316=IF(Nonlabor!$E$27="Core",Nonlabor!$F$27,MAX(Nonlabor!$F$27,IF(Nonlabor!$E$27="AI",Assumptions!$C$24,Assumptions!$C$25)))),AND(Nonlabor!$H$27="Annual",MOD(C1316-IF(Nonlabor!$E$27="Core",Nonlabor!$F$27,MAX(Nonlabor!$F$27,IF(Nonlabor!$E$27="AI",Assumptions!$C$24,Assumptions!$C$25))),12)=0))),IF(Nonlabor!$I$27="Fixed",1,IF(Nonlabor!$I$27="Seats",ROUNDUP('Monthly Lean'!I56,0),IF(Nonlabor!$I$27="Customers",'Monthly Lean'!D56,IF(Nonlabor!$I$27="NewCustomers",'Monthly Lean'!C56,IF(Nonlabor!$I$27="StorageGB",'Monthly Lean'!G56,IF(Nonlabor!$I$27="LogGB",'Monthly Lean'!H56,IF(Nonlabor!$I$27="RequestsM",'Monthly Lean'!F56,IF(Nonlabor!$I$27="InputM",'Monthly Lean'!D56*Assumptions!$C$22/1000000,IF(Nonlabor!$I$27="OutputM",'Monthly Lean'!D56*Assumptions!$C$23/1000000,0))))))))),0)</f>
        <v>0</v>
      </c>
      <c r="F1316" s="10" t="n">
        <f aca="false">Nonlabor!$J$27*(1+Assumptions!$C$9)^INT((C1316-1)/12)</f>
        <v>45020.3524</v>
      </c>
      <c r="G1316" s="10" t="n">
        <f aca="false">E1316*F1316</f>
        <v>0</v>
      </c>
      <c r="H1316" s="10" t="n">
        <f aca="false">IF(OR(Nonlabor!$L$27="Quote required",Nonlabor!$L$27="Unverified"),G1316,0)</f>
        <v>0</v>
      </c>
      <c r="I1316" s="10" t="n">
        <f aca="false">IF(Nonlabor!$E$27="Core",0,G1316)</f>
        <v>0</v>
      </c>
      <c r="J1316" s="23" t="str">
        <f aca="false">Nonlabor!$B$27</f>
        <v>CTMS</v>
      </c>
    </row>
    <row r="1317" customFormat="false" ht="15" hidden="false" customHeight="false" outlineLevel="0" collapsed="false">
      <c r="A1317" s="6" t="s">
        <v>72</v>
      </c>
      <c r="B1317" s="6" t="s">
        <v>439</v>
      </c>
      <c r="C1317" s="6" t="n">
        <v>52</v>
      </c>
      <c r="D1317" s="25" t="n">
        <f aca="false">EDATE('Start Here'!$B$6,C1317-1)</f>
        <v>47880</v>
      </c>
      <c r="E1317" s="23" t="n">
        <f aca="false">IF(AND(OR(Nonlabor!$D$27="Both",Nonlabor!$D$27='Start Here'!$B$9),IF(Nonlabor!$E$27="Core",1,IF(Nonlabor!$E$27="AI",'Start Here'!$B$7,'Start Here'!$B$8))=1,C1317&gt;=IF(Nonlabor!$E$27="Core",Nonlabor!$F$27,MAX(Nonlabor!$F$27,IF(Nonlabor!$E$27="AI",Assumptions!$C$24,Assumptions!$C$25))),C1317&lt;=Nonlabor!$G$27,OR(Nonlabor!$H$27="Monthly",AND(Nonlabor!$H$27="Once",C1317=IF(Nonlabor!$E$27="Core",Nonlabor!$F$27,MAX(Nonlabor!$F$27,IF(Nonlabor!$E$27="AI",Assumptions!$C$24,Assumptions!$C$25)))),AND(Nonlabor!$H$27="Annual",MOD(C1317-IF(Nonlabor!$E$27="Core",Nonlabor!$F$27,MAX(Nonlabor!$F$27,IF(Nonlabor!$E$27="AI",Assumptions!$C$24,Assumptions!$C$25))),12)=0))),IF(Nonlabor!$I$27="Fixed",1,IF(Nonlabor!$I$27="Seats",ROUNDUP('Monthly Lean'!I57,0),IF(Nonlabor!$I$27="Customers",'Monthly Lean'!D57,IF(Nonlabor!$I$27="NewCustomers",'Monthly Lean'!C57,IF(Nonlabor!$I$27="StorageGB",'Monthly Lean'!G57,IF(Nonlabor!$I$27="LogGB",'Monthly Lean'!H57,IF(Nonlabor!$I$27="RequestsM",'Monthly Lean'!F57,IF(Nonlabor!$I$27="InputM",'Monthly Lean'!D57*Assumptions!$C$22/1000000,IF(Nonlabor!$I$27="OutputM",'Monthly Lean'!D57*Assumptions!$C$23/1000000,0))))))))),0)</f>
        <v>0</v>
      </c>
      <c r="F1317" s="10" t="n">
        <f aca="false">Nonlabor!$J$27*(1+Assumptions!$C$9)^INT((C1317-1)/12)</f>
        <v>45020.3524</v>
      </c>
      <c r="G1317" s="10" t="n">
        <f aca="false">E1317*F1317</f>
        <v>0</v>
      </c>
      <c r="H1317" s="10" t="n">
        <f aca="false">IF(OR(Nonlabor!$L$27="Quote required",Nonlabor!$L$27="Unverified"),G1317,0)</f>
        <v>0</v>
      </c>
      <c r="I1317" s="10" t="n">
        <f aca="false">IF(Nonlabor!$E$27="Core",0,G1317)</f>
        <v>0</v>
      </c>
      <c r="J1317" s="23" t="str">
        <f aca="false">Nonlabor!$B$27</f>
        <v>CTMS</v>
      </c>
    </row>
    <row r="1318" customFormat="false" ht="15" hidden="false" customHeight="false" outlineLevel="0" collapsed="false">
      <c r="A1318" s="6" t="s">
        <v>72</v>
      </c>
      <c r="B1318" s="6" t="s">
        <v>439</v>
      </c>
      <c r="C1318" s="6" t="n">
        <v>53</v>
      </c>
      <c r="D1318" s="25" t="n">
        <f aca="false">EDATE('Start Here'!$B$6,C1318-1)</f>
        <v>47908</v>
      </c>
      <c r="E1318" s="23" t="n">
        <f aca="false">IF(AND(OR(Nonlabor!$D$27="Both",Nonlabor!$D$27='Start Here'!$B$9),IF(Nonlabor!$E$27="Core",1,IF(Nonlabor!$E$27="AI",'Start Here'!$B$7,'Start Here'!$B$8))=1,C1318&gt;=IF(Nonlabor!$E$27="Core",Nonlabor!$F$27,MAX(Nonlabor!$F$27,IF(Nonlabor!$E$27="AI",Assumptions!$C$24,Assumptions!$C$25))),C1318&lt;=Nonlabor!$G$27,OR(Nonlabor!$H$27="Monthly",AND(Nonlabor!$H$27="Once",C1318=IF(Nonlabor!$E$27="Core",Nonlabor!$F$27,MAX(Nonlabor!$F$27,IF(Nonlabor!$E$27="AI",Assumptions!$C$24,Assumptions!$C$25)))),AND(Nonlabor!$H$27="Annual",MOD(C1318-IF(Nonlabor!$E$27="Core",Nonlabor!$F$27,MAX(Nonlabor!$F$27,IF(Nonlabor!$E$27="AI",Assumptions!$C$24,Assumptions!$C$25))),12)=0))),IF(Nonlabor!$I$27="Fixed",1,IF(Nonlabor!$I$27="Seats",ROUNDUP('Monthly Lean'!I58,0),IF(Nonlabor!$I$27="Customers",'Monthly Lean'!D58,IF(Nonlabor!$I$27="NewCustomers",'Monthly Lean'!C58,IF(Nonlabor!$I$27="StorageGB",'Monthly Lean'!G58,IF(Nonlabor!$I$27="LogGB",'Monthly Lean'!H58,IF(Nonlabor!$I$27="RequestsM",'Monthly Lean'!F58,IF(Nonlabor!$I$27="InputM",'Monthly Lean'!D58*Assumptions!$C$22/1000000,IF(Nonlabor!$I$27="OutputM",'Monthly Lean'!D58*Assumptions!$C$23/1000000,0))))))))),0)</f>
        <v>0</v>
      </c>
      <c r="F1318" s="10" t="n">
        <f aca="false">Nonlabor!$J$27*(1+Assumptions!$C$9)^INT((C1318-1)/12)</f>
        <v>45020.3524</v>
      </c>
      <c r="G1318" s="10" t="n">
        <f aca="false">E1318*F1318</f>
        <v>0</v>
      </c>
      <c r="H1318" s="10" t="n">
        <f aca="false">IF(OR(Nonlabor!$L$27="Quote required",Nonlabor!$L$27="Unverified"),G1318,0)</f>
        <v>0</v>
      </c>
      <c r="I1318" s="10" t="n">
        <f aca="false">IF(Nonlabor!$E$27="Core",0,G1318)</f>
        <v>0</v>
      </c>
      <c r="J1318" s="23" t="str">
        <f aca="false">Nonlabor!$B$27</f>
        <v>CTMS</v>
      </c>
    </row>
    <row r="1319" customFormat="false" ht="15" hidden="false" customHeight="false" outlineLevel="0" collapsed="false">
      <c r="A1319" s="6" t="s">
        <v>72</v>
      </c>
      <c r="B1319" s="6" t="s">
        <v>439</v>
      </c>
      <c r="C1319" s="6" t="n">
        <v>54</v>
      </c>
      <c r="D1319" s="25" t="n">
        <f aca="false">EDATE('Start Here'!$B$6,C1319-1)</f>
        <v>47939</v>
      </c>
      <c r="E1319" s="23" t="n">
        <f aca="false">IF(AND(OR(Nonlabor!$D$27="Both",Nonlabor!$D$27='Start Here'!$B$9),IF(Nonlabor!$E$27="Core",1,IF(Nonlabor!$E$27="AI",'Start Here'!$B$7,'Start Here'!$B$8))=1,C1319&gt;=IF(Nonlabor!$E$27="Core",Nonlabor!$F$27,MAX(Nonlabor!$F$27,IF(Nonlabor!$E$27="AI",Assumptions!$C$24,Assumptions!$C$25))),C1319&lt;=Nonlabor!$G$27,OR(Nonlabor!$H$27="Monthly",AND(Nonlabor!$H$27="Once",C1319=IF(Nonlabor!$E$27="Core",Nonlabor!$F$27,MAX(Nonlabor!$F$27,IF(Nonlabor!$E$27="AI",Assumptions!$C$24,Assumptions!$C$25)))),AND(Nonlabor!$H$27="Annual",MOD(C1319-IF(Nonlabor!$E$27="Core",Nonlabor!$F$27,MAX(Nonlabor!$F$27,IF(Nonlabor!$E$27="AI",Assumptions!$C$24,Assumptions!$C$25))),12)=0))),IF(Nonlabor!$I$27="Fixed",1,IF(Nonlabor!$I$27="Seats",ROUNDUP('Monthly Lean'!I59,0),IF(Nonlabor!$I$27="Customers",'Monthly Lean'!D59,IF(Nonlabor!$I$27="NewCustomers",'Monthly Lean'!C59,IF(Nonlabor!$I$27="StorageGB",'Monthly Lean'!G59,IF(Nonlabor!$I$27="LogGB",'Monthly Lean'!H59,IF(Nonlabor!$I$27="RequestsM",'Monthly Lean'!F59,IF(Nonlabor!$I$27="InputM",'Monthly Lean'!D59*Assumptions!$C$22/1000000,IF(Nonlabor!$I$27="OutputM",'Monthly Lean'!D59*Assumptions!$C$23/1000000,0))))))))),0)</f>
        <v>0</v>
      </c>
      <c r="F1319" s="10" t="n">
        <f aca="false">Nonlabor!$J$27*(1+Assumptions!$C$9)^INT((C1319-1)/12)</f>
        <v>45020.3524</v>
      </c>
      <c r="G1319" s="10" t="n">
        <f aca="false">E1319*F1319</f>
        <v>0</v>
      </c>
      <c r="H1319" s="10" t="n">
        <f aca="false">IF(OR(Nonlabor!$L$27="Quote required",Nonlabor!$L$27="Unverified"),G1319,0)</f>
        <v>0</v>
      </c>
      <c r="I1319" s="10" t="n">
        <f aca="false">IF(Nonlabor!$E$27="Core",0,G1319)</f>
        <v>0</v>
      </c>
      <c r="J1319" s="23" t="str">
        <f aca="false">Nonlabor!$B$27</f>
        <v>CTMS</v>
      </c>
    </row>
    <row r="1320" customFormat="false" ht="15" hidden="false" customHeight="false" outlineLevel="0" collapsed="false">
      <c r="A1320" s="6" t="s">
        <v>72</v>
      </c>
      <c r="B1320" s="6" t="s">
        <v>439</v>
      </c>
      <c r="C1320" s="6" t="n">
        <v>55</v>
      </c>
      <c r="D1320" s="25" t="n">
        <f aca="false">EDATE('Start Here'!$B$6,C1320-1)</f>
        <v>47969</v>
      </c>
      <c r="E1320" s="23" t="n">
        <f aca="false">IF(AND(OR(Nonlabor!$D$27="Both",Nonlabor!$D$27='Start Here'!$B$9),IF(Nonlabor!$E$27="Core",1,IF(Nonlabor!$E$27="AI",'Start Here'!$B$7,'Start Here'!$B$8))=1,C1320&gt;=IF(Nonlabor!$E$27="Core",Nonlabor!$F$27,MAX(Nonlabor!$F$27,IF(Nonlabor!$E$27="AI",Assumptions!$C$24,Assumptions!$C$25))),C1320&lt;=Nonlabor!$G$27,OR(Nonlabor!$H$27="Monthly",AND(Nonlabor!$H$27="Once",C1320=IF(Nonlabor!$E$27="Core",Nonlabor!$F$27,MAX(Nonlabor!$F$27,IF(Nonlabor!$E$27="AI",Assumptions!$C$24,Assumptions!$C$25)))),AND(Nonlabor!$H$27="Annual",MOD(C1320-IF(Nonlabor!$E$27="Core",Nonlabor!$F$27,MAX(Nonlabor!$F$27,IF(Nonlabor!$E$27="AI",Assumptions!$C$24,Assumptions!$C$25))),12)=0))),IF(Nonlabor!$I$27="Fixed",1,IF(Nonlabor!$I$27="Seats",ROUNDUP('Monthly Lean'!I60,0),IF(Nonlabor!$I$27="Customers",'Monthly Lean'!D60,IF(Nonlabor!$I$27="NewCustomers",'Monthly Lean'!C60,IF(Nonlabor!$I$27="StorageGB",'Monthly Lean'!G60,IF(Nonlabor!$I$27="LogGB",'Monthly Lean'!H60,IF(Nonlabor!$I$27="RequestsM",'Monthly Lean'!F60,IF(Nonlabor!$I$27="InputM",'Monthly Lean'!D60*Assumptions!$C$22/1000000,IF(Nonlabor!$I$27="OutputM",'Monthly Lean'!D60*Assumptions!$C$23/1000000,0))))))))),0)</f>
        <v>0</v>
      </c>
      <c r="F1320" s="10" t="n">
        <f aca="false">Nonlabor!$J$27*(1+Assumptions!$C$9)^INT((C1320-1)/12)</f>
        <v>45020.3524</v>
      </c>
      <c r="G1320" s="10" t="n">
        <f aca="false">E1320*F1320</f>
        <v>0</v>
      </c>
      <c r="H1320" s="10" t="n">
        <f aca="false">IF(OR(Nonlabor!$L$27="Quote required",Nonlabor!$L$27="Unverified"),G1320,0)</f>
        <v>0</v>
      </c>
      <c r="I1320" s="10" t="n">
        <f aca="false">IF(Nonlabor!$E$27="Core",0,G1320)</f>
        <v>0</v>
      </c>
      <c r="J1320" s="23" t="str">
        <f aca="false">Nonlabor!$B$27</f>
        <v>CTMS</v>
      </c>
    </row>
    <row r="1321" customFormat="false" ht="15" hidden="false" customHeight="false" outlineLevel="0" collapsed="false">
      <c r="A1321" s="6" t="s">
        <v>72</v>
      </c>
      <c r="B1321" s="6" t="s">
        <v>439</v>
      </c>
      <c r="C1321" s="6" t="n">
        <v>56</v>
      </c>
      <c r="D1321" s="25" t="n">
        <f aca="false">EDATE('Start Here'!$B$6,C1321-1)</f>
        <v>48000</v>
      </c>
      <c r="E1321" s="23" t="n">
        <f aca="false">IF(AND(OR(Nonlabor!$D$27="Both",Nonlabor!$D$27='Start Here'!$B$9),IF(Nonlabor!$E$27="Core",1,IF(Nonlabor!$E$27="AI",'Start Here'!$B$7,'Start Here'!$B$8))=1,C1321&gt;=IF(Nonlabor!$E$27="Core",Nonlabor!$F$27,MAX(Nonlabor!$F$27,IF(Nonlabor!$E$27="AI",Assumptions!$C$24,Assumptions!$C$25))),C1321&lt;=Nonlabor!$G$27,OR(Nonlabor!$H$27="Monthly",AND(Nonlabor!$H$27="Once",C1321=IF(Nonlabor!$E$27="Core",Nonlabor!$F$27,MAX(Nonlabor!$F$27,IF(Nonlabor!$E$27="AI",Assumptions!$C$24,Assumptions!$C$25)))),AND(Nonlabor!$H$27="Annual",MOD(C1321-IF(Nonlabor!$E$27="Core",Nonlabor!$F$27,MAX(Nonlabor!$F$27,IF(Nonlabor!$E$27="AI",Assumptions!$C$24,Assumptions!$C$25))),12)=0))),IF(Nonlabor!$I$27="Fixed",1,IF(Nonlabor!$I$27="Seats",ROUNDUP('Monthly Lean'!I61,0),IF(Nonlabor!$I$27="Customers",'Monthly Lean'!D61,IF(Nonlabor!$I$27="NewCustomers",'Monthly Lean'!C61,IF(Nonlabor!$I$27="StorageGB",'Monthly Lean'!G61,IF(Nonlabor!$I$27="LogGB",'Monthly Lean'!H61,IF(Nonlabor!$I$27="RequestsM",'Monthly Lean'!F61,IF(Nonlabor!$I$27="InputM",'Monthly Lean'!D61*Assumptions!$C$22/1000000,IF(Nonlabor!$I$27="OutputM",'Monthly Lean'!D61*Assumptions!$C$23/1000000,0))))))))),0)</f>
        <v>0</v>
      </c>
      <c r="F1321" s="10" t="n">
        <f aca="false">Nonlabor!$J$27*(1+Assumptions!$C$9)^INT((C1321-1)/12)</f>
        <v>45020.3524</v>
      </c>
      <c r="G1321" s="10" t="n">
        <f aca="false">E1321*F1321</f>
        <v>0</v>
      </c>
      <c r="H1321" s="10" t="n">
        <f aca="false">IF(OR(Nonlabor!$L$27="Quote required",Nonlabor!$L$27="Unverified"),G1321,0)</f>
        <v>0</v>
      </c>
      <c r="I1321" s="10" t="n">
        <f aca="false">IF(Nonlabor!$E$27="Core",0,G1321)</f>
        <v>0</v>
      </c>
      <c r="J1321" s="23" t="str">
        <f aca="false">Nonlabor!$B$27</f>
        <v>CTMS</v>
      </c>
    </row>
    <row r="1322" customFormat="false" ht="15" hidden="false" customHeight="false" outlineLevel="0" collapsed="false">
      <c r="A1322" s="6" t="s">
        <v>72</v>
      </c>
      <c r="B1322" s="6" t="s">
        <v>439</v>
      </c>
      <c r="C1322" s="6" t="n">
        <v>57</v>
      </c>
      <c r="D1322" s="25" t="n">
        <f aca="false">EDATE('Start Here'!$B$6,C1322-1)</f>
        <v>48030</v>
      </c>
      <c r="E1322" s="23" t="n">
        <f aca="false">IF(AND(OR(Nonlabor!$D$27="Both",Nonlabor!$D$27='Start Here'!$B$9),IF(Nonlabor!$E$27="Core",1,IF(Nonlabor!$E$27="AI",'Start Here'!$B$7,'Start Here'!$B$8))=1,C1322&gt;=IF(Nonlabor!$E$27="Core",Nonlabor!$F$27,MAX(Nonlabor!$F$27,IF(Nonlabor!$E$27="AI",Assumptions!$C$24,Assumptions!$C$25))),C1322&lt;=Nonlabor!$G$27,OR(Nonlabor!$H$27="Monthly",AND(Nonlabor!$H$27="Once",C1322=IF(Nonlabor!$E$27="Core",Nonlabor!$F$27,MAX(Nonlabor!$F$27,IF(Nonlabor!$E$27="AI",Assumptions!$C$24,Assumptions!$C$25)))),AND(Nonlabor!$H$27="Annual",MOD(C1322-IF(Nonlabor!$E$27="Core",Nonlabor!$F$27,MAX(Nonlabor!$F$27,IF(Nonlabor!$E$27="AI",Assumptions!$C$24,Assumptions!$C$25))),12)=0))),IF(Nonlabor!$I$27="Fixed",1,IF(Nonlabor!$I$27="Seats",ROUNDUP('Monthly Lean'!I62,0),IF(Nonlabor!$I$27="Customers",'Monthly Lean'!D62,IF(Nonlabor!$I$27="NewCustomers",'Monthly Lean'!C62,IF(Nonlabor!$I$27="StorageGB",'Monthly Lean'!G62,IF(Nonlabor!$I$27="LogGB",'Monthly Lean'!H62,IF(Nonlabor!$I$27="RequestsM",'Monthly Lean'!F62,IF(Nonlabor!$I$27="InputM",'Monthly Lean'!D62*Assumptions!$C$22/1000000,IF(Nonlabor!$I$27="OutputM",'Monthly Lean'!D62*Assumptions!$C$23/1000000,0))))))))),0)</f>
        <v>0</v>
      </c>
      <c r="F1322" s="10" t="n">
        <f aca="false">Nonlabor!$J$27*(1+Assumptions!$C$9)^INT((C1322-1)/12)</f>
        <v>45020.3524</v>
      </c>
      <c r="G1322" s="10" t="n">
        <f aca="false">E1322*F1322</f>
        <v>0</v>
      </c>
      <c r="H1322" s="10" t="n">
        <f aca="false">IF(OR(Nonlabor!$L$27="Quote required",Nonlabor!$L$27="Unverified"),G1322,0)</f>
        <v>0</v>
      </c>
      <c r="I1322" s="10" t="n">
        <f aca="false">IF(Nonlabor!$E$27="Core",0,G1322)</f>
        <v>0</v>
      </c>
      <c r="J1322" s="23" t="str">
        <f aca="false">Nonlabor!$B$27</f>
        <v>CTMS</v>
      </c>
    </row>
    <row r="1323" customFormat="false" ht="15" hidden="false" customHeight="false" outlineLevel="0" collapsed="false">
      <c r="A1323" s="6" t="s">
        <v>72</v>
      </c>
      <c r="B1323" s="6" t="s">
        <v>439</v>
      </c>
      <c r="C1323" s="6" t="n">
        <v>58</v>
      </c>
      <c r="D1323" s="25" t="n">
        <f aca="false">EDATE('Start Here'!$B$6,C1323-1)</f>
        <v>48061</v>
      </c>
      <c r="E1323" s="23" t="n">
        <f aca="false">IF(AND(OR(Nonlabor!$D$27="Both",Nonlabor!$D$27='Start Here'!$B$9),IF(Nonlabor!$E$27="Core",1,IF(Nonlabor!$E$27="AI",'Start Here'!$B$7,'Start Here'!$B$8))=1,C1323&gt;=IF(Nonlabor!$E$27="Core",Nonlabor!$F$27,MAX(Nonlabor!$F$27,IF(Nonlabor!$E$27="AI",Assumptions!$C$24,Assumptions!$C$25))),C1323&lt;=Nonlabor!$G$27,OR(Nonlabor!$H$27="Monthly",AND(Nonlabor!$H$27="Once",C1323=IF(Nonlabor!$E$27="Core",Nonlabor!$F$27,MAX(Nonlabor!$F$27,IF(Nonlabor!$E$27="AI",Assumptions!$C$24,Assumptions!$C$25)))),AND(Nonlabor!$H$27="Annual",MOD(C1323-IF(Nonlabor!$E$27="Core",Nonlabor!$F$27,MAX(Nonlabor!$F$27,IF(Nonlabor!$E$27="AI",Assumptions!$C$24,Assumptions!$C$25))),12)=0))),IF(Nonlabor!$I$27="Fixed",1,IF(Nonlabor!$I$27="Seats",ROUNDUP('Monthly Lean'!I63,0),IF(Nonlabor!$I$27="Customers",'Monthly Lean'!D63,IF(Nonlabor!$I$27="NewCustomers",'Monthly Lean'!C63,IF(Nonlabor!$I$27="StorageGB",'Monthly Lean'!G63,IF(Nonlabor!$I$27="LogGB",'Monthly Lean'!H63,IF(Nonlabor!$I$27="RequestsM",'Monthly Lean'!F63,IF(Nonlabor!$I$27="InputM",'Monthly Lean'!D63*Assumptions!$C$22/1000000,IF(Nonlabor!$I$27="OutputM",'Monthly Lean'!D63*Assumptions!$C$23/1000000,0))))))))),0)</f>
        <v>0</v>
      </c>
      <c r="F1323" s="10" t="n">
        <f aca="false">Nonlabor!$J$27*(1+Assumptions!$C$9)^INT((C1323-1)/12)</f>
        <v>45020.3524</v>
      </c>
      <c r="G1323" s="10" t="n">
        <f aca="false">E1323*F1323</f>
        <v>0</v>
      </c>
      <c r="H1323" s="10" t="n">
        <f aca="false">IF(OR(Nonlabor!$L$27="Quote required",Nonlabor!$L$27="Unverified"),G1323,0)</f>
        <v>0</v>
      </c>
      <c r="I1323" s="10" t="n">
        <f aca="false">IF(Nonlabor!$E$27="Core",0,G1323)</f>
        <v>0</v>
      </c>
      <c r="J1323" s="23" t="str">
        <f aca="false">Nonlabor!$B$27</f>
        <v>CTMS</v>
      </c>
    </row>
    <row r="1324" customFormat="false" ht="15" hidden="false" customHeight="false" outlineLevel="0" collapsed="false">
      <c r="A1324" s="6" t="s">
        <v>72</v>
      </c>
      <c r="B1324" s="6" t="s">
        <v>439</v>
      </c>
      <c r="C1324" s="6" t="n">
        <v>59</v>
      </c>
      <c r="D1324" s="25" t="n">
        <f aca="false">EDATE('Start Here'!$B$6,C1324-1)</f>
        <v>48092</v>
      </c>
      <c r="E1324" s="23" t="n">
        <f aca="false">IF(AND(OR(Nonlabor!$D$27="Both",Nonlabor!$D$27='Start Here'!$B$9),IF(Nonlabor!$E$27="Core",1,IF(Nonlabor!$E$27="AI",'Start Here'!$B$7,'Start Here'!$B$8))=1,C1324&gt;=IF(Nonlabor!$E$27="Core",Nonlabor!$F$27,MAX(Nonlabor!$F$27,IF(Nonlabor!$E$27="AI",Assumptions!$C$24,Assumptions!$C$25))),C1324&lt;=Nonlabor!$G$27,OR(Nonlabor!$H$27="Monthly",AND(Nonlabor!$H$27="Once",C1324=IF(Nonlabor!$E$27="Core",Nonlabor!$F$27,MAX(Nonlabor!$F$27,IF(Nonlabor!$E$27="AI",Assumptions!$C$24,Assumptions!$C$25)))),AND(Nonlabor!$H$27="Annual",MOD(C1324-IF(Nonlabor!$E$27="Core",Nonlabor!$F$27,MAX(Nonlabor!$F$27,IF(Nonlabor!$E$27="AI",Assumptions!$C$24,Assumptions!$C$25))),12)=0))),IF(Nonlabor!$I$27="Fixed",1,IF(Nonlabor!$I$27="Seats",ROUNDUP('Monthly Lean'!I64,0),IF(Nonlabor!$I$27="Customers",'Monthly Lean'!D64,IF(Nonlabor!$I$27="NewCustomers",'Monthly Lean'!C64,IF(Nonlabor!$I$27="StorageGB",'Monthly Lean'!G64,IF(Nonlabor!$I$27="LogGB",'Monthly Lean'!H64,IF(Nonlabor!$I$27="RequestsM",'Monthly Lean'!F64,IF(Nonlabor!$I$27="InputM",'Monthly Lean'!D64*Assumptions!$C$22/1000000,IF(Nonlabor!$I$27="OutputM",'Monthly Lean'!D64*Assumptions!$C$23/1000000,0))))))))),0)</f>
        <v>0</v>
      </c>
      <c r="F1324" s="10" t="n">
        <f aca="false">Nonlabor!$J$27*(1+Assumptions!$C$9)^INT((C1324-1)/12)</f>
        <v>45020.3524</v>
      </c>
      <c r="G1324" s="10" t="n">
        <f aca="false">E1324*F1324</f>
        <v>0</v>
      </c>
      <c r="H1324" s="10" t="n">
        <f aca="false">IF(OR(Nonlabor!$L$27="Quote required",Nonlabor!$L$27="Unverified"),G1324,0)</f>
        <v>0</v>
      </c>
      <c r="I1324" s="10" t="n">
        <f aca="false">IF(Nonlabor!$E$27="Core",0,G1324)</f>
        <v>0</v>
      </c>
      <c r="J1324" s="23" t="str">
        <f aca="false">Nonlabor!$B$27</f>
        <v>CTMS</v>
      </c>
    </row>
    <row r="1325" customFormat="false" ht="15" hidden="false" customHeight="false" outlineLevel="0" collapsed="false">
      <c r="A1325" s="6" t="s">
        <v>72</v>
      </c>
      <c r="B1325" s="6" t="s">
        <v>439</v>
      </c>
      <c r="C1325" s="6" t="n">
        <v>60</v>
      </c>
      <c r="D1325" s="25" t="n">
        <f aca="false">EDATE('Start Here'!$B$6,C1325-1)</f>
        <v>48122</v>
      </c>
      <c r="E1325" s="23" t="n">
        <f aca="false">IF(AND(OR(Nonlabor!$D$27="Both",Nonlabor!$D$27='Start Here'!$B$9),IF(Nonlabor!$E$27="Core",1,IF(Nonlabor!$E$27="AI",'Start Here'!$B$7,'Start Here'!$B$8))=1,C1325&gt;=IF(Nonlabor!$E$27="Core",Nonlabor!$F$27,MAX(Nonlabor!$F$27,IF(Nonlabor!$E$27="AI",Assumptions!$C$24,Assumptions!$C$25))),C1325&lt;=Nonlabor!$G$27,OR(Nonlabor!$H$27="Monthly",AND(Nonlabor!$H$27="Once",C1325=IF(Nonlabor!$E$27="Core",Nonlabor!$F$27,MAX(Nonlabor!$F$27,IF(Nonlabor!$E$27="AI",Assumptions!$C$24,Assumptions!$C$25)))),AND(Nonlabor!$H$27="Annual",MOD(C1325-IF(Nonlabor!$E$27="Core",Nonlabor!$F$27,MAX(Nonlabor!$F$27,IF(Nonlabor!$E$27="AI",Assumptions!$C$24,Assumptions!$C$25))),12)=0))),IF(Nonlabor!$I$27="Fixed",1,IF(Nonlabor!$I$27="Seats",ROUNDUP('Monthly Lean'!I65,0),IF(Nonlabor!$I$27="Customers",'Monthly Lean'!D65,IF(Nonlabor!$I$27="NewCustomers",'Monthly Lean'!C65,IF(Nonlabor!$I$27="StorageGB",'Monthly Lean'!G65,IF(Nonlabor!$I$27="LogGB",'Monthly Lean'!H65,IF(Nonlabor!$I$27="RequestsM",'Monthly Lean'!F65,IF(Nonlabor!$I$27="InputM",'Monthly Lean'!D65*Assumptions!$C$22/1000000,IF(Nonlabor!$I$27="OutputM",'Monthly Lean'!D65*Assumptions!$C$23/1000000,0))))))))),0)</f>
        <v>0</v>
      </c>
      <c r="F1325" s="10" t="n">
        <f aca="false">Nonlabor!$J$27*(1+Assumptions!$C$9)^INT((C1325-1)/12)</f>
        <v>45020.3524</v>
      </c>
      <c r="G1325" s="10" t="n">
        <f aca="false">E1325*F1325</f>
        <v>0</v>
      </c>
      <c r="H1325" s="10" t="n">
        <f aca="false">IF(OR(Nonlabor!$L$27="Quote required",Nonlabor!$L$27="Unverified"),G1325,0)</f>
        <v>0</v>
      </c>
      <c r="I1325" s="10" t="n">
        <f aca="false">IF(Nonlabor!$E$27="Core",0,G1325)</f>
        <v>0</v>
      </c>
      <c r="J1325" s="23" t="str">
        <f aca="false">Nonlabor!$B$27</f>
        <v>CTMS</v>
      </c>
    </row>
    <row r="1326" customFormat="false" ht="15" hidden="false" customHeight="false" outlineLevel="0" collapsed="false">
      <c r="A1326" s="6" t="s">
        <v>4</v>
      </c>
      <c r="B1326" s="6" t="s">
        <v>368</v>
      </c>
      <c r="C1326" s="6" t="n">
        <v>1</v>
      </c>
      <c r="D1326" s="25" t="n">
        <f aca="false">EDATE('Start Here'!$B$6,C1326-1)</f>
        <v>46327</v>
      </c>
      <c r="E1326" s="23" t="n">
        <f aca="false">IF(AND(OR(Nonlabor!$D$6="Both",Nonlabor!$D$6='Start Here'!$B$9),IF(Nonlabor!$E$6="Core",1,IF(Nonlabor!$E$6="AI",'Start Here'!$B$7,'Start Here'!$B$8))=1,C1326&gt;=IF(Nonlabor!$E$6="Core",Nonlabor!$F$6,MAX(Nonlabor!$F$6,IF(Nonlabor!$E$6="AI",Assumptions!$D$24,Assumptions!$D$25))),C1326&lt;=Nonlabor!$G$6,OR(Nonlabor!$H$6="Monthly",AND(Nonlabor!$H$6="Once",C1326=IF(Nonlabor!$E$6="Core",Nonlabor!$F$6,MAX(Nonlabor!$F$6,IF(Nonlabor!$E$6="AI",Assumptions!$D$24,Assumptions!$D$25)))),AND(Nonlabor!$H$6="Annual",MOD(C1326-IF(Nonlabor!$E$6="Core",Nonlabor!$F$6,MAX(Nonlabor!$F$6,IF(Nonlabor!$E$6="AI",Assumptions!$D$24,Assumptions!$D$25))),12)=0))),IF(Nonlabor!$I$6="Fixed",1,IF(Nonlabor!$I$6="Seats",ROUNDUP('Monthly Base'!I6,0),IF(Nonlabor!$I$6="Customers",'Monthly Base'!D6,IF(Nonlabor!$I$6="NewCustomers",'Monthly Base'!C6,IF(Nonlabor!$I$6="StorageGB",'Monthly Base'!G6,IF(Nonlabor!$I$6="LogGB",'Monthly Base'!H6,IF(Nonlabor!$I$6="RequestsM",'Monthly Base'!F6,IF(Nonlabor!$I$6="InputM",'Monthly Base'!D6*Assumptions!$D$22/1000000,IF(Nonlabor!$I$6="OutputM",'Monthly Base'!D6*Assumptions!$D$23/1000000,0))))))))),0)</f>
        <v>1</v>
      </c>
      <c r="F1326" s="10" t="n">
        <f aca="false">Nonlabor!$J$6*(1+Assumptions!$D$9)^INT((C1326-1)/12)</f>
        <v>400</v>
      </c>
      <c r="G1326" s="10" t="n">
        <f aca="false">E1326*F1326</f>
        <v>400</v>
      </c>
      <c r="H1326" s="10" t="n">
        <f aca="false">IF(OR(Nonlabor!$L$6="Quote required",Nonlabor!$L$6="Unverified"),G1326,0)</f>
        <v>400</v>
      </c>
      <c r="I1326" s="10" t="n">
        <f aca="false">IF(Nonlabor!$E$6="Core",0,G1326)</f>
        <v>0</v>
      </c>
      <c r="J1326" s="23" t="str">
        <f aca="false">Nonlabor!$B$6</f>
        <v>INFRA</v>
      </c>
    </row>
    <row r="1327" customFormat="false" ht="15" hidden="false" customHeight="false" outlineLevel="0" collapsed="false">
      <c r="A1327" s="6" t="s">
        <v>4</v>
      </c>
      <c r="B1327" s="6" t="s">
        <v>368</v>
      </c>
      <c r="C1327" s="6" t="n">
        <v>2</v>
      </c>
      <c r="D1327" s="25" t="n">
        <f aca="false">EDATE('Start Here'!$B$6,C1327-1)</f>
        <v>46357</v>
      </c>
      <c r="E1327" s="23" t="n">
        <f aca="false">IF(AND(OR(Nonlabor!$D$6="Both",Nonlabor!$D$6='Start Here'!$B$9),IF(Nonlabor!$E$6="Core",1,IF(Nonlabor!$E$6="AI",'Start Here'!$B$7,'Start Here'!$B$8))=1,C1327&gt;=IF(Nonlabor!$E$6="Core",Nonlabor!$F$6,MAX(Nonlabor!$F$6,IF(Nonlabor!$E$6="AI",Assumptions!$D$24,Assumptions!$D$25))),C1327&lt;=Nonlabor!$G$6,OR(Nonlabor!$H$6="Monthly",AND(Nonlabor!$H$6="Once",C1327=IF(Nonlabor!$E$6="Core",Nonlabor!$F$6,MAX(Nonlabor!$F$6,IF(Nonlabor!$E$6="AI",Assumptions!$D$24,Assumptions!$D$25)))),AND(Nonlabor!$H$6="Annual",MOD(C1327-IF(Nonlabor!$E$6="Core",Nonlabor!$F$6,MAX(Nonlabor!$F$6,IF(Nonlabor!$E$6="AI",Assumptions!$D$24,Assumptions!$D$25))),12)=0))),IF(Nonlabor!$I$6="Fixed",1,IF(Nonlabor!$I$6="Seats",ROUNDUP('Monthly Base'!I7,0),IF(Nonlabor!$I$6="Customers",'Monthly Base'!D7,IF(Nonlabor!$I$6="NewCustomers",'Monthly Base'!C7,IF(Nonlabor!$I$6="StorageGB",'Monthly Base'!G7,IF(Nonlabor!$I$6="LogGB",'Monthly Base'!H7,IF(Nonlabor!$I$6="RequestsM",'Monthly Base'!F7,IF(Nonlabor!$I$6="InputM",'Monthly Base'!D7*Assumptions!$D$22/1000000,IF(Nonlabor!$I$6="OutputM",'Monthly Base'!D7*Assumptions!$D$23/1000000,0))))))))),0)</f>
        <v>1</v>
      </c>
      <c r="F1327" s="10" t="n">
        <f aca="false">Nonlabor!$J$6*(1+Assumptions!$D$9)^INT((C1327-1)/12)</f>
        <v>400</v>
      </c>
      <c r="G1327" s="10" t="n">
        <f aca="false">E1327*F1327</f>
        <v>400</v>
      </c>
      <c r="H1327" s="10" t="n">
        <f aca="false">IF(OR(Nonlabor!$L$6="Quote required",Nonlabor!$L$6="Unverified"),G1327,0)</f>
        <v>400</v>
      </c>
      <c r="I1327" s="10" t="n">
        <f aca="false">IF(Nonlabor!$E$6="Core",0,G1327)</f>
        <v>0</v>
      </c>
      <c r="J1327" s="23" t="str">
        <f aca="false">Nonlabor!$B$6</f>
        <v>INFRA</v>
      </c>
    </row>
    <row r="1328" customFormat="false" ht="15" hidden="false" customHeight="false" outlineLevel="0" collapsed="false">
      <c r="A1328" s="6" t="s">
        <v>4</v>
      </c>
      <c r="B1328" s="6" t="s">
        <v>368</v>
      </c>
      <c r="C1328" s="6" t="n">
        <v>3</v>
      </c>
      <c r="D1328" s="25" t="n">
        <f aca="false">EDATE('Start Here'!$B$6,C1328-1)</f>
        <v>46388</v>
      </c>
      <c r="E1328" s="23" t="n">
        <f aca="false">IF(AND(OR(Nonlabor!$D$6="Both",Nonlabor!$D$6='Start Here'!$B$9),IF(Nonlabor!$E$6="Core",1,IF(Nonlabor!$E$6="AI",'Start Here'!$B$7,'Start Here'!$B$8))=1,C1328&gt;=IF(Nonlabor!$E$6="Core",Nonlabor!$F$6,MAX(Nonlabor!$F$6,IF(Nonlabor!$E$6="AI",Assumptions!$D$24,Assumptions!$D$25))),C1328&lt;=Nonlabor!$G$6,OR(Nonlabor!$H$6="Monthly",AND(Nonlabor!$H$6="Once",C1328=IF(Nonlabor!$E$6="Core",Nonlabor!$F$6,MAX(Nonlabor!$F$6,IF(Nonlabor!$E$6="AI",Assumptions!$D$24,Assumptions!$D$25)))),AND(Nonlabor!$H$6="Annual",MOD(C1328-IF(Nonlabor!$E$6="Core",Nonlabor!$F$6,MAX(Nonlabor!$F$6,IF(Nonlabor!$E$6="AI",Assumptions!$D$24,Assumptions!$D$25))),12)=0))),IF(Nonlabor!$I$6="Fixed",1,IF(Nonlabor!$I$6="Seats",ROUNDUP('Monthly Base'!I8,0),IF(Nonlabor!$I$6="Customers",'Monthly Base'!D8,IF(Nonlabor!$I$6="NewCustomers",'Monthly Base'!C8,IF(Nonlabor!$I$6="StorageGB",'Monthly Base'!G8,IF(Nonlabor!$I$6="LogGB",'Monthly Base'!H8,IF(Nonlabor!$I$6="RequestsM",'Monthly Base'!F8,IF(Nonlabor!$I$6="InputM",'Monthly Base'!D8*Assumptions!$D$22/1000000,IF(Nonlabor!$I$6="OutputM",'Monthly Base'!D8*Assumptions!$D$23/1000000,0))))))))),0)</f>
        <v>1</v>
      </c>
      <c r="F1328" s="10" t="n">
        <f aca="false">Nonlabor!$J$6*(1+Assumptions!$D$9)^INT((C1328-1)/12)</f>
        <v>400</v>
      </c>
      <c r="G1328" s="10" t="n">
        <f aca="false">E1328*F1328</f>
        <v>400</v>
      </c>
      <c r="H1328" s="10" t="n">
        <f aca="false">IF(OR(Nonlabor!$L$6="Quote required",Nonlabor!$L$6="Unverified"),G1328,0)</f>
        <v>400</v>
      </c>
      <c r="I1328" s="10" t="n">
        <f aca="false">IF(Nonlabor!$E$6="Core",0,G1328)</f>
        <v>0</v>
      </c>
      <c r="J1328" s="23" t="str">
        <f aca="false">Nonlabor!$B$6</f>
        <v>INFRA</v>
      </c>
    </row>
    <row r="1329" customFormat="false" ht="15" hidden="false" customHeight="false" outlineLevel="0" collapsed="false">
      <c r="A1329" s="6" t="s">
        <v>4</v>
      </c>
      <c r="B1329" s="6" t="s">
        <v>368</v>
      </c>
      <c r="C1329" s="6" t="n">
        <v>4</v>
      </c>
      <c r="D1329" s="25" t="n">
        <f aca="false">EDATE('Start Here'!$B$6,C1329-1)</f>
        <v>46419</v>
      </c>
      <c r="E1329" s="23" t="n">
        <f aca="false">IF(AND(OR(Nonlabor!$D$6="Both",Nonlabor!$D$6='Start Here'!$B$9),IF(Nonlabor!$E$6="Core",1,IF(Nonlabor!$E$6="AI",'Start Here'!$B$7,'Start Here'!$B$8))=1,C1329&gt;=IF(Nonlabor!$E$6="Core",Nonlabor!$F$6,MAX(Nonlabor!$F$6,IF(Nonlabor!$E$6="AI",Assumptions!$D$24,Assumptions!$D$25))),C1329&lt;=Nonlabor!$G$6,OR(Nonlabor!$H$6="Monthly",AND(Nonlabor!$H$6="Once",C1329=IF(Nonlabor!$E$6="Core",Nonlabor!$F$6,MAX(Nonlabor!$F$6,IF(Nonlabor!$E$6="AI",Assumptions!$D$24,Assumptions!$D$25)))),AND(Nonlabor!$H$6="Annual",MOD(C1329-IF(Nonlabor!$E$6="Core",Nonlabor!$F$6,MAX(Nonlabor!$F$6,IF(Nonlabor!$E$6="AI",Assumptions!$D$24,Assumptions!$D$25))),12)=0))),IF(Nonlabor!$I$6="Fixed",1,IF(Nonlabor!$I$6="Seats",ROUNDUP('Monthly Base'!I9,0),IF(Nonlabor!$I$6="Customers",'Monthly Base'!D9,IF(Nonlabor!$I$6="NewCustomers",'Monthly Base'!C9,IF(Nonlabor!$I$6="StorageGB",'Monthly Base'!G9,IF(Nonlabor!$I$6="LogGB",'Monthly Base'!H9,IF(Nonlabor!$I$6="RequestsM",'Monthly Base'!F9,IF(Nonlabor!$I$6="InputM",'Monthly Base'!D9*Assumptions!$D$22/1000000,IF(Nonlabor!$I$6="OutputM",'Monthly Base'!D9*Assumptions!$D$23/1000000,0))))))))),0)</f>
        <v>1</v>
      </c>
      <c r="F1329" s="10" t="n">
        <f aca="false">Nonlabor!$J$6*(1+Assumptions!$D$9)^INT((C1329-1)/12)</f>
        <v>400</v>
      </c>
      <c r="G1329" s="10" t="n">
        <f aca="false">E1329*F1329</f>
        <v>400</v>
      </c>
      <c r="H1329" s="10" t="n">
        <f aca="false">IF(OR(Nonlabor!$L$6="Quote required",Nonlabor!$L$6="Unverified"),G1329,0)</f>
        <v>400</v>
      </c>
      <c r="I1329" s="10" t="n">
        <f aca="false">IF(Nonlabor!$E$6="Core",0,G1329)</f>
        <v>0</v>
      </c>
      <c r="J1329" s="23" t="str">
        <f aca="false">Nonlabor!$B$6</f>
        <v>INFRA</v>
      </c>
    </row>
    <row r="1330" customFormat="false" ht="15" hidden="false" customHeight="false" outlineLevel="0" collapsed="false">
      <c r="A1330" s="6" t="s">
        <v>4</v>
      </c>
      <c r="B1330" s="6" t="s">
        <v>368</v>
      </c>
      <c r="C1330" s="6" t="n">
        <v>5</v>
      </c>
      <c r="D1330" s="25" t="n">
        <f aca="false">EDATE('Start Here'!$B$6,C1330-1)</f>
        <v>46447</v>
      </c>
      <c r="E1330" s="23" t="n">
        <f aca="false">IF(AND(OR(Nonlabor!$D$6="Both",Nonlabor!$D$6='Start Here'!$B$9),IF(Nonlabor!$E$6="Core",1,IF(Nonlabor!$E$6="AI",'Start Here'!$B$7,'Start Here'!$B$8))=1,C1330&gt;=IF(Nonlabor!$E$6="Core",Nonlabor!$F$6,MAX(Nonlabor!$F$6,IF(Nonlabor!$E$6="AI",Assumptions!$D$24,Assumptions!$D$25))),C1330&lt;=Nonlabor!$G$6,OR(Nonlabor!$H$6="Monthly",AND(Nonlabor!$H$6="Once",C1330=IF(Nonlabor!$E$6="Core",Nonlabor!$F$6,MAX(Nonlabor!$F$6,IF(Nonlabor!$E$6="AI",Assumptions!$D$24,Assumptions!$D$25)))),AND(Nonlabor!$H$6="Annual",MOD(C1330-IF(Nonlabor!$E$6="Core",Nonlabor!$F$6,MAX(Nonlabor!$F$6,IF(Nonlabor!$E$6="AI",Assumptions!$D$24,Assumptions!$D$25))),12)=0))),IF(Nonlabor!$I$6="Fixed",1,IF(Nonlabor!$I$6="Seats",ROUNDUP('Monthly Base'!I10,0),IF(Nonlabor!$I$6="Customers",'Monthly Base'!D10,IF(Nonlabor!$I$6="NewCustomers",'Monthly Base'!C10,IF(Nonlabor!$I$6="StorageGB",'Monthly Base'!G10,IF(Nonlabor!$I$6="LogGB",'Monthly Base'!H10,IF(Nonlabor!$I$6="RequestsM",'Monthly Base'!F10,IF(Nonlabor!$I$6="InputM",'Monthly Base'!D10*Assumptions!$D$22/1000000,IF(Nonlabor!$I$6="OutputM",'Monthly Base'!D10*Assumptions!$D$23/1000000,0))))))))),0)</f>
        <v>1</v>
      </c>
      <c r="F1330" s="10" t="n">
        <f aca="false">Nonlabor!$J$6*(1+Assumptions!$D$9)^INT((C1330-1)/12)</f>
        <v>400</v>
      </c>
      <c r="G1330" s="10" t="n">
        <f aca="false">E1330*F1330</f>
        <v>400</v>
      </c>
      <c r="H1330" s="10" t="n">
        <f aca="false">IF(OR(Nonlabor!$L$6="Quote required",Nonlabor!$L$6="Unverified"),G1330,0)</f>
        <v>400</v>
      </c>
      <c r="I1330" s="10" t="n">
        <f aca="false">IF(Nonlabor!$E$6="Core",0,G1330)</f>
        <v>0</v>
      </c>
      <c r="J1330" s="23" t="str">
        <f aca="false">Nonlabor!$B$6</f>
        <v>INFRA</v>
      </c>
    </row>
    <row r="1331" customFormat="false" ht="15" hidden="false" customHeight="false" outlineLevel="0" collapsed="false">
      <c r="A1331" s="6" t="s">
        <v>4</v>
      </c>
      <c r="B1331" s="6" t="s">
        <v>368</v>
      </c>
      <c r="C1331" s="6" t="n">
        <v>6</v>
      </c>
      <c r="D1331" s="25" t="n">
        <f aca="false">EDATE('Start Here'!$B$6,C1331-1)</f>
        <v>46478</v>
      </c>
      <c r="E1331" s="23" t="n">
        <f aca="false">IF(AND(OR(Nonlabor!$D$6="Both",Nonlabor!$D$6='Start Here'!$B$9),IF(Nonlabor!$E$6="Core",1,IF(Nonlabor!$E$6="AI",'Start Here'!$B$7,'Start Here'!$B$8))=1,C1331&gt;=IF(Nonlabor!$E$6="Core",Nonlabor!$F$6,MAX(Nonlabor!$F$6,IF(Nonlabor!$E$6="AI",Assumptions!$D$24,Assumptions!$D$25))),C1331&lt;=Nonlabor!$G$6,OR(Nonlabor!$H$6="Monthly",AND(Nonlabor!$H$6="Once",C1331=IF(Nonlabor!$E$6="Core",Nonlabor!$F$6,MAX(Nonlabor!$F$6,IF(Nonlabor!$E$6="AI",Assumptions!$D$24,Assumptions!$D$25)))),AND(Nonlabor!$H$6="Annual",MOD(C1331-IF(Nonlabor!$E$6="Core",Nonlabor!$F$6,MAX(Nonlabor!$F$6,IF(Nonlabor!$E$6="AI",Assumptions!$D$24,Assumptions!$D$25))),12)=0))),IF(Nonlabor!$I$6="Fixed",1,IF(Nonlabor!$I$6="Seats",ROUNDUP('Monthly Base'!I11,0),IF(Nonlabor!$I$6="Customers",'Monthly Base'!D11,IF(Nonlabor!$I$6="NewCustomers",'Monthly Base'!C11,IF(Nonlabor!$I$6="StorageGB",'Monthly Base'!G11,IF(Nonlabor!$I$6="LogGB",'Monthly Base'!H11,IF(Nonlabor!$I$6="RequestsM",'Monthly Base'!F11,IF(Nonlabor!$I$6="InputM",'Monthly Base'!D11*Assumptions!$D$22/1000000,IF(Nonlabor!$I$6="OutputM",'Monthly Base'!D11*Assumptions!$D$23/1000000,0))))))))),0)</f>
        <v>1</v>
      </c>
      <c r="F1331" s="10" t="n">
        <f aca="false">Nonlabor!$J$6*(1+Assumptions!$D$9)^INT((C1331-1)/12)</f>
        <v>400</v>
      </c>
      <c r="G1331" s="10" t="n">
        <f aca="false">E1331*F1331</f>
        <v>400</v>
      </c>
      <c r="H1331" s="10" t="n">
        <f aca="false">IF(OR(Nonlabor!$L$6="Quote required",Nonlabor!$L$6="Unverified"),G1331,0)</f>
        <v>400</v>
      </c>
      <c r="I1331" s="10" t="n">
        <f aca="false">IF(Nonlabor!$E$6="Core",0,G1331)</f>
        <v>0</v>
      </c>
      <c r="J1331" s="23" t="str">
        <f aca="false">Nonlabor!$B$6</f>
        <v>INFRA</v>
      </c>
    </row>
    <row r="1332" customFormat="false" ht="15" hidden="false" customHeight="false" outlineLevel="0" collapsed="false">
      <c r="A1332" s="6" t="s">
        <v>4</v>
      </c>
      <c r="B1332" s="6" t="s">
        <v>368</v>
      </c>
      <c r="C1332" s="6" t="n">
        <v>7</v>
      </c>
      <c r="D1332" s="25" t="n">
        <f aca="false">EDATE('Start Here'!$B$6,C1332-1)</f>
        <v>46508</v>
      </c>
      <c r="E1332" s="23" t="n">
        <f aca="false">IF(AND(OR(Nonlabor!$D$6="Both",Nonlabor!$D$6='Start Here'!$B$9),IF(Nonlabor!$E$6="Core",1,IF(Nonlabor!$E$6="AI",'Start Here'!$B$7,'Start Here'!$B$8))=1,C1332&gt;=IF(Nonlabor!$E$6="Core",Nonlabor!$F$6,MAX(Nonlabor!$F$6,IF(Nonlabor!$E$6="AI",Assumptions!$D$24,Assumptions!$D$25))),C1332&lt;=Nonlabor!$G$6,OR(Nonlabor!$H$6="Monthly",AND(Nonlabor!$H$6="Once",C1332=IF(Nonlabor!$E$6="Core",Nonlabor!$F$6,MAX(Nonlabor!$F$6,IF(Nonlabor!$E$6="AI",Assumptions!$D$24,Assumptions!$D$25)))),AND(Nonlabor!$H$6="Annual",MOD(C1332-IF(Nonlabor!$E$6="Core",Nonlabor!$F$6,MAX(Nonlabor!$F$6,IF(Nonlabor!$E$6="AI",Assumptions!$D$24,Assumptions!$D$25))),12)=0))),IF(Nonlabor!$I$6="Fixed",1,IF(Nonlabor!$I$6="Seats",ROUNDUP('Monthly Base'!I12,0),IF(Nonlabor!$I$6="Customers",'Monthly Base'!D12,IF(Nonlabor!$I$6="NewCustomers",'Monthly Base'!C12,IF(Nonlabor!$I$6="StorageGB",'Monthly Base'!G12,IF(Nonlabor!$I$6="LogGB",'Monthly Base'!H12,IF(Nonlabor!$I$6="RequestsM",'Monthly Base'!F12,IF(Nonlabor!$I$6="InputM",'Monthly Base'!D12*Assumptions!$D$22/1000000,IF(Nonlabor!$I$6="OutputM",'Monthly Base'!D12*Assumptions!$D$23/1000000,0))))))))),0)</f>
        <v>1</v>
      </c>
      <c r="F1332" s="10" t="n">
        <f aca="false">Nonlabor!$J$6*(1+Assumptions!$D$9)^INT((C1332-1)/12)</f>
        <v>400</v>
      </c>
      <c r="G1332" s="10" t="n">
        <f aca="false">E1332*F1332</f>
        <v>400</v>
      </c>
      <c r="H1332" s="10" t="n">
        <f aca="false">IF(OR(Nonlabor!$L$6="Quote required",Nonlabor!$L$6="Unverified"),G1332,0)</f>
        <v>400</v>
      </c>
      <c r="I1332" s="10" t="n">
        <f aca="false">IF(Nonlabor!$E$6="Core",0,G1332)</f>
        <v>0</v>
      </c>
      <c r="J1332" s="23" t="str">
        <f aca="false">Nonlabor!$B$6</f>
        <v>INFRA</v>
      </c>
    </row>
    <row r="1333" customFormat="false" ht="15" hidden="false" customHeight="false" outlineLevel="0" collapsed="false">
      <c r="A1333" s="6" t="s">
        <v>4</v>
      </c>
      <c r="B1333" s="6" t="s">
        <v>368</v>
      </c>
      <c r="C1333" s="6" t="n">
        <v>8</v>
      </c>
      <c r="D1333" s="25" t="n">
        <f aca="false">EDATE('Start Here'!$B$6,C1333-1)</f>
        <v>46539</v>
      </c>
      <c r="E1333" s="23" t="n">
        <f aca="false">IF(AND(OR(Nonlabor!$D$6="Both",Nonlabor!$D$6='Start Here'!$B$9),IF(Nonlabor!$E$6="Core",1,IF(Nonlabor!$E$6="AI",'Start Here'!$B$7,'Start Here'!$B$8))=1,C1333&gt;=IF(Nonlabor!$E$6="Core",Nonlabor!$F$6,MAX(Nonlabor!$F$6,IF(Nonlabor!$E$6="AI",Assumptions!$D$24,Assumptions!$D$25))),C1333&lt;=Nonlabor!$G$6,OR(Nonlabor!$H$6="Monthly",AND(Nonlabor!$H$6="Once",C1333=IF(Nonlabor!$E$6="Core",Nonlabor!$F$6,MAX(Nonlabor!$F$6,IF(Nonlabor!$E$6="AI",Assumptions!$D$24,Assumptions!$D$25)))),AND(Nonlabor!$H$6="Annual",MOD(C1333-IF(Nonlabor!$E$6="Core",Nonlabor!$F$6,MAX(Nonlabor!$F$6,IF(Nonlabor!$E$6="AI",Assumptions!$D$24,Assumptions!$D$25))),12)=0))),IF(Nonlabor!$I$6="Fixed",1,IF(Nonlabor!$I$6="Seats",ROUNDUP('Monthly Base'!I13,0),IF(Nonlabor!$I$6="Customers",'Monthly Base'!D13,IF(Nonlabor!$I$6="NewCustomers",'Monthly Base'!C13,IF(Nonlabor!$I$6="StorageGB",'Monthly Base'!G13,IF(Nonlabor!$I$6="LogGB",'Monthly Base'!H13,IF(Nonlabor!$I$6="RequestsM",'Monthly Base'!F13,IF(Nonlabor!$I$6="InputM",'Monthly Base'!D13*Assumptions!$D$22/1000000,IF(Nonlabor!$I$6="OutputM",'Monthly Base'!D13*Assumptions!$D$23/1000000,0))))))))),0)</f>
        <v>1</v>
      </c>
      <c r="F1333" s="10" t="n">
        <f aca="false">Nonlabor!$J$6*(1+Assumptions!$D$9)^INT((C1333-1)/12)</f>
        <v>400</v>
      </c>
      <c r="G1333" s="10" t="n">
        <f aca="false">E1333*F1333</f>
        <v>400</v>
      </c>
      <c r="H1333" s="10" t="n">
        <f aca="false">IF(OR(Nonlabor!$L$6="Quote required",Nonlabor!$L$6="Unverified"),G1333,0)</f>
        <v>400</v>
      </c>
      <c r="I1333" s="10" t="n">
        <f aca="false">IF(Nonlabor!$E$6="Core",0,G1333)</f>
        <v>0</v>
      </c>
      <c r="J1333" s="23" t="str">
        <f aca="false">Nonlabor!$B$6</f>
        <v>INFRA</v>
      </c>
    </row>
    <row r="1334" customFormat="false" ht="15" hidden="false" customHeight="false" outlineLevel="0" collapsed="false">
      <c r="A1334" s="6" t="s">
        <v>4</v>
      </c>
      <c r="B1334" s="6" t="s">
        <v>368</v>
      </c>
      <c r="C1334" s="6" t="n">
        <v>9</v>
      </c>
      <c r="D1334" s="25" t="n">
        <f aca="false">EDATE('Start Here'!$B$6,C1334-1)</f>
        <v>46569</v>
      </c>
      <c r="E1334" s="23" t="n">
        <f aca="false">IF(AND(OR(Nonlabor!$D$6="Both",Nonlabor!$D$6='Start Here'!$B$9),IF(Nonlabor!$E$6="Core",1,IF(Nonlabor!$E$6="AI",'Start Here'!$B$7,'Start Here'!$B$8))=1,C1334&gt;=IF(Nonlabor!$E$6="Core",Nonlabor!$F$6,MAX(Nonlabor!$F$6,IF(Nonlabor!$E$6="AI",Assumptions!$D$24,Assumptions!$D$25))),C1334&lt;=Nonlabor!$G$6,OR(Nonlabor!$H$6="Monthly",AND(Nonlabor!$H$6="Once",C1334=IF(Nonlabor!$E$6="Core",Nonlabor!$F$6,MAX(Nonlabor!$F$6,IF(Nonlabor!$E$6="AI",Assumptions!$D$24,Assumptions!$D$25)))),AND(Nonlabor!$H$6="Annual",MOD(C1334-IF(Nonlabor!$E$6="Core",Nonlabor!$F$6,MAX(Nonlabor!$F$6,IF(Nonlabor!$E$6="AI",Assumptions!$D$24,Assumptions!$D$25))),12)=0))),IF(Nonlabor!$I$6="Fixed",1,IF(Nonlabor!$I$6="Seats",ROUNDUP('Monthly Base'!I14,0),IF(Nonlabor!$I$6="Customers",'Monthly Base'!D14,IF(Nonlabor!$I$6="NewCustomers",'Monthly Base'!C14,IF(Nonlabor!$I$6="StorageGB",'Monthly Base'!G14,IF(Nonlabor!$I$6="LogGB",'Monthly Base'!H14,IF(Nonlabor!$I$6="RequestsM",'Monthly Base'!F14,IF(Nonlabor!$I$6="InputM",'Monthly Base'!D14*Assumptions!$D$22/1000000,IF(Nonlabor!$I$6="OutputM",'Monthly Base'!D14*Assumptions!$D$23/1000000,0))))))))),0)</f>
        <v>1</v>
      </c>
      <c r="F1334" s="10" t="n">
        <f aca="false">Nonlabor!$J$6*(1+Assumptions!$D$9)^INT((C1334-1)/12)</f>
        <v>400</v>
      </c>
      <c r="G1334" s="10" t="n">
        <f aca="false">E1334*F1334</f>
        <v>400</v>
      </c>
      <c r="H1334" s="10" t="n">
        <f aca="false">IF(OR(Nonlabor!$L$6="Quote required",Nonlabor!$L$6="Unverified"),G1334,0)</f>
        <v>400</v>
      </c>
      <c r="I1334" s="10" t="n">
        <f aca="false">IF(Nonlabor!$E$6="Core",0,G1334)</f>
        <v>0</v>
      </c>
      <c r="J1334" s="23" t="str">
        <f aca="false">Nonlabor!$B$6</f>
        <v>INFRA</v>
      </c>
    </row>
    <row r="1335" customFormat="false" ht="15" hidden="false" customHeight="false" outlineLevel="0" collapsed="false">
      <c r="A1335" s="6" t="s">
        <v>4</v>
      </c>
      <c r="B1335" s="6" t="s">
        <v>368</v>
      </c>
      <c r="C1335" s="6" t="n">
        <v>10</v>
      </c>
      <c r="D1335" s="25" t="n">
        <f aca="false">EDATE('Start Here'!$B$6,C1335-1)</f>
        <v>46600</v>
      </c>
      <c r="E1335" s="23" t="n">
        <f aca="false">IF(AND(OR(Nonlabor!$D$6="Both",Nonlabor!$D$6='Start Here'!$B$9),IF(Nonlabor!$E$6="Core",1,IF(Nonlabor!$E$6="AI",'Start Here'!$B$7,'Start Here'!$B$8))=1,C1335&gt;=IF(Nonlabor!$E$6="Core",Nonlabor!$F$6,MAX(Nonlabor!$F$6,IF(Nonlabor!$E$6="AI",Assumptions!$D$24,Assumptions!$D$25))),C1335&lt;=Nonlabor!$G$6,OR(Nonlabor!$H$6="Monthly",AND(Nonlabor!$H$6="Once",C1335=IF(Nonlabor!$E$6="Core",Nonlabor!$F$6,MAX(Nonlabor!$F$6,IF(Nonlabor!$E$6="AI",Assumptions!$D$24,Assumptions!$D$25)))),AND(Nonlabor!$H$6="Annual",MOD(C1335-IF(Nonlabor!$E$6="Core",Nonlabor!$F$6,MAX(Nonlabor!$F$6,IF(Nonlabor!$E$6="AI",Assumptions!$D$24,Assumptions!$D$25))),12)=0))),IF(Nonlabor!$I$6="Fixed",1,IF(Nonlabor!$I$6="Seats",ROUNDUP('Monthly Base'!I15,0),IF(Nonlabor!$I$6="Customers",'Monthly Base'!D15,IF(Nonlabor!$I$6="NewCustomers",'Monthly Base'!C15,IF(Nonlabor!$I$6="StorageGB",'Monthly Base'!G15,IF(Nonlabor!$I$6="LogGB",'Monthly Base'!H15,IF(Nonlabor!$I$6="RequestsM",'Monthly Base'!F15,IF(Nonlabor!$I$6="InputM",'Monthly Base'!D15*Assumptions!$D$22/1000000,IF(Nonlabor!$I$6="OutputM",'Monthly Base'!D15*Assumptions!$D$23/1000000,0))))))))),0)</f>
        <v>1</v>
      </c>
      <c r="F1335" s="10" t="n">
        <f aca="false">Nonlabor!$J$6*(1+Assumptions!$D$9)^INT((C1335-1)/12)</f>
        <v>400</v>
      </c>
      <c r="G1335" s="10" t="n">
        <f aca="false">E1335*F1335</f>
        <v>400</v>
      </c>
      <c r="H1335" s="10" t="n">
        <f aca="false">IF(OR(Nonlabor!$L$6="Quote required",Nonlabor!$L$6="Unverified"),G1335,0)</f>
        <v>400</v>
      </c>
      <c r="I1335" s="10" t="n">
        <f aca="false">IF(Nonlabor!$E$6="Core",0,G1335)</f>
        <v>0</v>
      </c>
      <c r="J1335" s="23" t="str">
        <f aca="false">Nonlabor!$B$6</f>
        <v>INFRA</v>
      </c>
    </row>
    <row r="1336" customFormat="false" ht="15" hidden="false" customHeight="false" outlineLevel="0" collapsed="false">
      <c r="A1336" s="6" t="s">
        <v>4</v>
      </c>
      <c r="B1336" s="6" t="s">
        <v>368</v>
      </c>
      <c r="C1336" s="6" t="n">
        <v>11</v>
      </c>
      <c r="D1336" s="25" t="n">
        <f aca="false">EDATE('Start Here'!$B$6,C1336-1)</f>
        <v>46631</v>
      </c>
      <c r="E1336" s="23" t="n">
        <f aca="false">IF(AND(OR(Nonlabor!$D$6="Both",Nonlabor!$D$6='Start Here'!$B$9),IF(Nonlabor!$E$6="Core",1,IF(Nonlabor!$E$6="AI",'Start Here'!$B$7,'Start Here'!$B$8))=1,C1336&gt;=IF(Nonlabor!$E$6="Core",Nonlabor!$F$6,MAX(Nonlabor!$F$6,IF(Nonlabor!$E$6="AI",Assumptions!$D$24,Assumptions!$D$25))),C1336&lt;=Nonlabor!$G$6,OR(Nonlabor!$H$6="Monthly",AND(Nonlabor!$H$6="Once",C1336=IF(Nonlabor!$E$6="Core",Nonlabor!$F$6,MAX(Nonlabor!$F$6,IF(Nonlabor!$E$6="AI",Assumptions!$D$24,Assumptions!$D$25)))),AND(Nonlabor!$H$6="Annual",MOD(C1336-IF(Nonlabor!$E$6="Core",Nonlabor!$F$6,MAX(Nonlabor!$F$6,IF(Nonlabor!$E$6="AI",Assumptions!$D$24,Assumptions!$D$25))),12)=0))),IF(Nonlabor!$I$6="Fixed",1,IF(Nonlabor!$I$6="Seats",ROUNDUP('Monthly Base'!I16,0),IF(Nonlabor!$I$6="Customers",'Monthly Base'!D16,IF(Nonlabor!$I$6="NewCustomers",'Monthly Base'!C16,IF(Nonlabor!$I$6="StorageGB",'Monthly Base'!G16,IF(Nonlabor!$I$6="LogGB",'Monthly Base'!H16,IF(Nonlabor!$I$6="RequestsM",'Monthly Base'!F16,IF(Nonlabor!$I$6="InputM",'Monthly Base'!D16*Assumptions!$D$22/1000000,IF(Nonlabor!$I$6="OutputM",'Monthly Base'!D16*Assumptions!$D$23/1000000,0))))))))),0)</f>
        <v>1</v>
      </c>
      <c r="F1336" s="10" t="n">
        <f aca="false">Nonlabor!$J$6*(1+Assumptions!$D$9)^INT((C1336-1)/12)</f>
        <v>400</v>
      </c>
      <c r="G1336" s="10" t="n">
        <f aca="false">E1336*F1336</f>
        <v>400</v>
      </c>
      <c r="H1336" s="10" t="n">
        <f aca="false">IF(OR(Nonlabor!$L$6="Quote required",Nonlabor!$L$6="Unverified"),G1336,0)</f>
        <v>400</v>
      </c>
      <c r="I1336" s="10" t="n">
        <f aca="false">IF(Nonlabor!$E$6="Core",0,G1336)</f>
        <v>0</v>
      </c>
      <c r="J1336" s="23" t="str">
        <f aca="false">Nonlabor!$B$6</f>
        <v>INFRA</v>
      </c>
    </row>
    <row r="1337" customFormat="false" ht="15" hidden="false" customHeight="false" outlineLevel="0" collapsed="false">
      <c r="A1337" s="6" t="s">
        <v>4</v>
      </c>
      <c r="B1337" s="6" t="s">
        <v>368</v>
      </c>
      <c r="C1337" s="6" t="n">
        <v>12</v>
      </c>
      <c r="D1337" s="25" t="n">
        <f aca="false">EDATE('Start Here'!$B$6,C1337-1)</f>
        <v>46661</v>
      </c>
      <c r="E1337" s="23" t="n">
        <f aca="false">IF(AND(OR(Nonlabor!$D$6="Both",Nonlabor!$D$6='Start Here'!$B$9),IF(Nonlabor!$E$6="Core",1,IF(Nonlabor!$E$6="AI",'Start Here'!$B$7,'Start Here'!$B$8))=1,C1337&gt;=IF(Nonlabor!$E$6="Core",Nonlabor!$F$6,MAX(Nonlabor!$F$6,IF(Nonlabor!$E$6="AI",Assumptions!$D$24,Assumptions!$D$25))),C1337&lt;=Nonlabor!$G$6,OR(Nonlabor!$H$6="Monthly",AND(Nonlabor!$H$6="Once",C1337=IF(Nonlabor!$E$6="Core",Nonlabor!$F$6,MAX(Nonlabor!$F$6,IF(Nonlabor!$E$6="AI",Assumptions!$D$24,Assumptions!$D$25)))),AND(Nonlabor!$H$6="Annual",MOD(C1337-IF(Nonlabor!$E$6="Core",Nonlabor!$F$6,MAX(Nonlabor!$F$6,IF(Nonlabor!$E$6="AI",Assumptions!$D$24,Assumptions!$D$25))),12)=0))),IF(Nonlabor!$I$6="Fixed",1,IF(Nonlabor!$I$6="Seats",ROUNDUP('Monthly Base'!I17,0),IF(Nonlabor!$I$6="Customers",'Monthly Base'!D17,IF(Nonlabor!$I$6="NewCustomers",'Monthly Base'!C17,IF(Nonlabor!$I$6="StorageGB",'Monthly Base'!G17,IF(Nonlabor!$I$6="LogGB",'Monthly Base'!H17,IF(Nonlabor!$I$6="RequestsM",'Monthly Base'!F17,IF(Nonlabor!$I$6="InputM",'Monthly Base'!D17*Assumptions!$D$22/1000000,IF(Nonlabor!$I$6="OutputM",'Monthly Base'!D17*Assumptions!$D$23/1000000,0))))))))),0)</f>
        <v>1</v>
      </c>
      <c r="F1337" s="10" t="n">
        <f aca="false">Nonlabor!$J$6*(1+Assumptions!$D$9)^INT((C1337-1)/12)</f>
        <v>400</v>
      </c>
      <c r="G1337" s="10" t="n">
        <f aca="false">E1337*F1337</f>
        <v>400</v>
      </c>
      <c r="H1337" s="10" t="n">
        <f aca="false">IF(OR(Nonlabor!$L$6="Quote required",Nonlabor!$L$6="Unverified"),G1337,0)</f>
        <v>400</v>
      </c>
      <c r="I1337" s="10" t="n">
        <f aca="false">IF(Nonlabor!$E$6="Core",0,G1337)</f>
        <v>0</v>
      </c>
      <c r="J1337" s="23" t="str">
        <f aca="false">Nonlabor!$B$6</f>
        <v>INFRA</v>
      </c>
    </row>
    <row r="1338" customFormat="false" ht="15" hidden="false" customHeight="false" outlineLevel="0" collapsed="false">
      <c r="A1338" s="6" t="s">
        <v>4</v>
      </c>
      <c r="B1338" s="6" t="s">
        <v>368</v>
      </c>
      <c r="C1338" s="6" t="n">
        <v>13</v>
      </c>
      <c r="D1338" s="25" t="n">
        <f aca="false">EDATE('Start Here'!$B$6,C1338-1)</f>
        <v>46692</v>
      </c>
      <c r="E1338" s="23" t="n">
        <f aca="false">IF(AND(OR(Nonlabor!$D$6="Both",Nonlabor!$D$6='Start Here'!$B$9),IF(Nonlabor!$E$6="Core",1,IF(Nonlabor!$E$6="AI",'Start Here'!$B$7,'Start Here'!$B$8))=1,C1338&gt;=IF(Nonlabor!$E$6="Core",Nonlabor!$F$6,MAX(Nonlabor!$F$6,IF(Nonlabor!$E$6="AI",Assumptions!$D$24,Assumptions!$D$25))),C1338&lt;=Nonlabor!$G$6,OR(Nonlabor!$H$6="Monthly",AND(Nonlabor!$H$6="Once",C1338=IF(Nonlabor!$E$6="Core",Nonlabor!$F$6,MAX(Nonlabor!$F$6,IF(Nonlabor!$E$6="AI",Assumptions!$D$24,Assumptions!$D$25)))),AND(Nonlabor!$H$6="Annual",MOD(C1338-IF(Nonlabor!$E$6="Core",Nonlabor!$F$6,MAX(Nonlabor!$F$6,IF(Nonlabor!$E$6="AI",Assumptions!$D$24,Assumptions!$D$25))),12)=0))),IF(Nonlabor!$I$6="Fixed",1,IF(Nonlabor!$I$6="Seats",ROUNDUP('Monthly Base'!I18,0),IF(Nonlabor!$I$6="Customers",'Monthly Base'!D18,IF(Nonlabor!$I$6="NewCustomers",'Monthly Base'!C18,IF(Nonlabor!$I$6="StorageGB",'Monthly Base'!G18,IF(Nonlabor!$I$6="LogGB",'Monthly Base'!H18,IF(Nonlabor!$I$6="RequestsM",'Monthly Base'!F18,IF(Nonlabor!$I$6="InputM",'Monthly Base'!D18*Assumptions!$D$22/1000000,IF(Nonlabor!$I$6="OutputM",'Monthly Base'!D18*Assumptions!$D$23/1000000,0))))))))),0)</f>
        <v>1</v>
      </c>
      <c r="F1338" s="10" t="n">
        <f aca="false">Nonlabor!$J$6*(1+Assumptions!$D$9)^INT((C1338-1)/12)</f>
        <v>412</v>
      </c>
      <c r="G1338" s="10" t="n">
        <f aca="false">E1338*F1338</f>
        <v>412</v>
      </c>
      <c r="H1338" s="10" t="n">
        <f aca="false">IF(OR(Nonlabor!$L$6="Quote required",Nonlabor!$L$6="Unverified"),G1338,0)</f>
        <v>412</v>
      </c>
      <c r="I1338" s="10" t="n">
        <f aca="false">IF(Nonlabor!$E$6="Core",0,G1338)</f>
        <v>0</v>
      </c>
      <c r="J1338" s="23" t="str">
        <f aca="false">Nonlabor!$B$6</f>
        <v>INFRA</v>
      </c>
    </row>
    <row r="1339" customFormat="false" ht="15" hidden="false" customHeight="false" outlineLevel="0" collapsed="false">
      <c r="A1339" s="6" t="s">
        <v>4</v>
      </c>
      <c r="B1339" s="6" t="s">
        <v>368</v>
      </c>
      <c r="C1339" s="6" t="n">
        <v>14</v>
      </c>
      <c r="D1339" s="25" t="n">
        <f aca="false">EDATE('Start Here'!$B$6,C1339-1)</f>
        <v>46722</v>
      </c>
      <c r="E1339" s="23" t="n">
        <f aca="false">IF(AND(OR(Nonlabor!$D$6="Both",Nonlabor!$D$6='Start Here'!$B$9),IF(Nonlabor!$E$6="Core",1,IF(Nonlabor!$E$6="AI",'Start Here'!$B$7,'Start Here'!$B$8))=1,C1339&gt;=IF(Nonlabor!$E$6="Core",Nonlabor!$F$6,MAX(Nonlabor!$F$6,IF(Nonlabor!$E$6="AI",Assumptions!$D$24,Assumptions!$D$25))),C1339&lt;=Nonlabor!$G$6,OR(Nonlabor!$H$6="Monthly",AND(Nonlabor!$H$6="Once",C1339=IF(Nonlabor!$E$6="Core",Nonlabor!$F$6,MAX(Nonlabor!$F$6,IF(Nonlabor!$E$6="AI",Assumptions!$D$24,Assumptions!$D$25)))),AND(Nonlabor!$H$6="Annual",MOD(C1339-IF(Nonlabor!$E$6="Core",Nonlabor!$F$6,MAX(Nonlabor!$F$6,IF(Nonlabor!$E$6="AI",Assumptions!$D$24,Assumptions!$D$25))),12)=0))),IF(Nonlabor!$I$6="Fixed",1,IF(Nonlabor!$I$6="Seats",ROUNDUP('Monthly Base'!I19,0),IF(Nonlabor!$I$6="Customers",'Monthly Base'!D19,IF(Nonlabor!$I$6="NewCustomers",'Monthly Base'!C19,IF(Nonlabor!$I$6="StorageGB",'Monthly Base'!G19,IF(Nonlabor!$I$6="LogGB",'Monthly Base'!H19,IF(Nonlabor!$I$6="RequestsM",'Monthly Base'!F19,IF(Nonlabor!$I$6="InputM",'Monthly Base'!D19*Assumptions!$D$22/1000000,IF(Nonlabor!$I$6="OutputM",'Monthly Base'!D19*Assumptions!$D$23/1000000,0))))))))),0)</f>
        <v>1</v>
      </c>
      <c r="F1339" s="10" t="n">
        <f aca="false">Nonlabor!$J$6*(1+Assumptions!$D$9)^INT((C1339-1)/12)</f>
        <v>412</v>
      </c>
      <c r="G1339" s="10" t="n">
        <f aca="false">E1339*F1339</f>
        <v>412</v>
      </c>
      <c r="H1339" s="10" t="n">
        <f aca="false">IF(OR(Nonlabor!$L$6="Quote required",Nonlabor!$L$6="Unverified"),G1339,0)</f>
        <v>412</v>
      </c>
      <c r="I1339" s="10" t="n">
        <f aca="false">IF(Nonlabor!$E$6="Core",0,G1339)</f>
        <v>0</v>
      </c>
      <c r="J1339" s="23" t="str">
        <f aca="false">Nonlabor!$B$6</f>
        <v>INFRA</v>
      </c>
    </row>
    <row r="1340" customFormat="false" ht="15" hidden="false" customHeight="false" outlineLevel="0" collapsed="false">
      <c r="A1340" s="6" t="s">
        <v>4</v>
      </c>
      <c r="B1340" s="6" t="s">
        <v>368</v>
      </c>
      <c r="C1340" s="6" t="n">
        <v>15</v>
      </c>
      <c r="D1340" s="25" t="n">
        <f aca="false">EDATE('Start Here'!$B$6,C1340-1)</f>
        <v>46753</v>
      </c>
      <c r="E1340" s="23" t="n">
        <f aca="false">IF(AND(OR(Nonlabor!$D$6="Both",Nonlabor!$D$6='Start Here'!$B$9),IF(Nonlabor!$E$6="Core",1,IF(Nonlabor!$E$6="AI",'Start Here'!$B$7,'Start Here'!$B$8))=1,C1340&gt;=IF(Nonlabor!$E$6="Core",Nonlabor!$F$6,MAX(Nonlabor!$F$6,IF(Nonlabor!$E$6="AI",Assumptions!$D$24,Assumptions!$D$25))),C1340&lt;=Nonlabor!$G$6,OR(Nonlabor!$H$6="Monthly",AND(Nonlabor!$H$6="Once",C1340=IF(Nonlabor!$E$6="Core",Nonlabor!$F$6,MAX(Nonlabor!$F$6,IF(Nonlabor!$E$6="AI",Assumptions!$D$24,Assumptions!$D$25)))),AND(Nonlabor!$H$6="Annual",MOD(C1340-IF(Nonlabor!$E$6="Core",Nonlabor!$F$6,MAX(Nonlabor!$F$6,IF(Nonlabor!$E$6="AI",Assumptions!$D$24,Assumptions!$D$25))),12)=0))),IF(Nonlabor!$I$6="Fixed",1,IF(Nonlabor!$I$6="Seats",ROUNDUP('Monthly Base'!I20,0),IF(Nonlabor!$I$6="Customers",'Monthly Base'!D20,IF(Nonlabor!$I$6="NewCustomers",'Monthly Base'!C20,IF(Nonlabor!$I$6="StorageGB",'Monthly Base'!G20,IF(Nonlabor!$I$6="LogGB",'Monthly Base'!H20,IF(Nonlabor!$I$6="RequestsM",'Monthly Base'!F20,IF(Nonlabor!$I$6="InputM",'Monthly Base'!D20*Assumptions!$D$22/1000000,IF(Nonlabor!$I$6="OutputM",'Monthly Base'!D20*Assumptions!$D$23/1000000,0))))))))),0)</f>
        <v>1</v>
      </c>
      <c r="F1340" s="10" t="n">
        <f aca="false">Nonlabor!$J$6*(1+Assumptions!$D$9)^INT((C1340-1)/12)</f>
        <v>412</v>
      </c>
      <c r="G1340" s="10" t="n">
        <f aca="false">E1340*F1340</f>
        <v>412</v>
      </c>
      <c r="H1340" s="10" t="n">
        <f aca="false">IF(OR(Nonlabor!$L$6="Quote required",Nonlabor!$L$6="Unverified"),G1340,0)</f>
        <v>412</v>
      </c>
      <c r="I1340" s="10" t="n">
        <f aca="false">IF(Nonlabor!$E$6="Core",0,G1340)</f>
        <v>0</v>
      </c>
      <c r="J1340" s="23" t="str">
        <f aca="false">Nonlabor!$B$6</f>
        <v>INFRA</v>
      </c>
    </row>
    <row r="1341" customFormat="false" ht="15" hidden="false" customHeight="false" outlineLevel="0" collapsed="false">
      <c r="A1341" s="6" t="s">
        <v>4</v>
      </c>
      <c r="B1341" s="6" t="s">
        <v>368</v>
      </c>
      <c r="C1341" s="6" t="n">
        <v>16</v>
      </c>
      <c r="D1341" s="25" t="n">
        <f aca="false">EDATE('Start Here'!$B$6,C1341-1)</f>
        <v>46784</v>
      </c>
      <c r="E1341" s="23" t="n">
        <f aca="false">IF(AND(OR(Nonlabor!$D$6="Both",Nonlabor!$D$6='Start Here'!$B$9),IF(Nonlabor!$E$6="Core",1,IF(Nonlabor!$E$6="AI",'Start Here'!$B$7,'Start Here'!$B$8))=1,C1341&gt;=IF(Nonlabor!$E$6="Core",Nonlabor!$F$6,MAX(Nonlabor!$F$6,IF(Nonlabor!$E$6="AI",Assumptions!$D$24,Assumptions!$D$25))),C1341&lt;=Nonlabor!$G$6,OR(Nonlabor!$H$6="Monthly",AND(Nonlabor!$H$6="Once",C1341=IF(Nonlabor!$E$6="Core",Nonlabor!$F$6,MAX(Nonlabor!$F$6,IF(Nonlabor!$E$6="AI",Assumptions!$D$24,Assumptions!$D$25)))),AND(Nonlabor!$H$6="Annual",MOD(C1341-IF(Nonlabor!$E$6="Core",Nonlabor!$F$6,MAX(Nonlabor!$F$6,IF(Nonlabor!$E$6="AI",Assumptions!$D$24,Assumptions!$D$25))),12)=0))),IF(Nonlabor!$I$6="Fixed",1,IF(Nonlabor!$I$6="Seats",ROUNDUP('Monthly Base'!I21,0),IF(Nonlabor!$I$6="Customers",'Monthly Base'!D21,IF(Nonlabor!$I$6="NewCustomers",'Monthly Base'!C21,IF(Nonlabor!$I$6="StorageGB",'Monthly Base'!G21,IF(Nonlabor!$I$6="LogGB",'Monthly Base'!H21,IF(Nonlabor!$I$6="RequestsM",'Monthly Base'!F21,IF(Nonlabor!$I$6="InputM",'Monthly Base'!D21*Assumptions!$D$22/1000000,IF(Nonlabor!$I$6="OutputM",'Monthly Base'!D21*Assumptions!$D$23/1000000,0))))))))),0)</f>
        <v>1</v>
      </c>
      <c r="F1341" s="10" t="n">
        <f aca="false">Nonlabor!$J$6*(1+Assumptions!$D$9)^INT((C1341-1)/12)</f>
        <v>412</v>
      </c>
      <c r="G1341" s="10" t="n">
        <f aca="false">E1341*F1341</f>
        <v>412</v>
      </c>
      <c r="H1341" s="10" t="n">
        <f aca="false">IF(OR(Nonlabor!$L$6="Quote required",Nonlabor!$L$6="Unverified"),G1341,0)</f>
        <v>412</v>
      </c>
      <c r="I1341" s="10" t="n">
        <f aca="false">IF(Nonlabor!$E$6="Core",0,G1341)</f>
        <v>0</v>
      </c>
      <c r="J1341" s="23" t="str">
        <f aca="false">Nonlabor!$B$6</f>
        <v>INFRA</v>
      </c>
    </row>
    <row r="1342" customFormat="false" ht="15" hidden="false" customHeight="false" outlineLevel="0" collapsed="false">
      <c r="A1342" s="6" t="s">
        <v>4</v>
      </c>
      <c r="B1342" s="6" t="s">
        <v>368</v>
      </c>
      <c r="C1342" s="6" t="n">
        <v>17</v>
      </c>
      <c r="D1342" s="25" t="n">
        <f aca="false">EDATE('Start Here'!$B$6,C1342-1)</f>
        <v>46813</v>
      </c>
      <c r="E1342" s="23" t="n">
        <f aca="false">IF(AND(OR(Nonlabor!$D$6="Both",Nonlabor!$D$6='Start Here'!$B$9),IF(Nonlabor!$E$6="Core",1,IF(Nonlabor!$E$6="AI",'Start Here'!$B$7,'Start Here'!$B$8))=1,C1342&gt;=IF(Nonlabor!$E$6="Core",Nonlabor!$F$6,MAX(Nonlabor!$F$6,IF(Nonlabor!$E$6="AI",Assumptions!$D$24,Assumptions!$D$25))),C1342&lt;=Nonlabor!$G$6,OR(Nonlabor!$H$6="Monthly",AND(Nonlabor!$H$6="Once",C1342=IF(Nonlabor!$E$6="Core",Nonlabor!$F$6,MAX(Nonlabor!$F$6,IF(Nonlabor!$E$6="AI",Assumptions!$D$24,Assumptions!$D$25)))),AND(Nonlabor!$H$6="Annual",MOD(C1342-IF(Nonlabor!$E$6="Core",Nonlabor!$F$6,MAX(Nonlabor!$F$6,IF(Nonlabor!$E$6="AI",Assumptions!$D$24,Assumptions!$D$25))),12)=0))),IF(Nonlabor!$I$6="Fixed",1,IF(Nonlabor!$I$6="Seats",ROUNDUP('Monthly Base'!I22,0),IF(Nonlabor!$I$6="Customers",'Monthly Base'!D22,IF(Nonlabor!$I$6="NewCustomers",'Monthly Base'!C22,IF(Nonlabor!$I$6="StorageGB",'Monthly Base'!G22,IF(Nonlabor!$I$6="LogGB",'Monthly Base'!H22,IF(Nonlabor!$I$6="RequestsM",'Monthly Base'!F22,IF(Nonlabor!$I$6="InputM",'Monthly Base'!D22*Assumptions!$D$22/1000000,IF(Nonlabor!$I$6="OutputM",'Monthly Base'!D22*Assumptions!$D$23/1000000,0))))))))),0)</f>
        <v>1</v>
      </c>
      <c r="F1342" s="10" t="n">
        <f aca="false">Nonlabor!$J$6*(1+Assumptions!$D$9)^INT((C1342-1)/12)</f>
        <v>412</v>
      </c>
      <c r="G1342" s="10" t="n">
        <f aca="false">E1342*F1342</f>
        <v>412</v>
      </c>
      <c r="H1342" s="10" t="n">
        <f aca="false">IF(OR(Nonlabor!$L$6="Quote required",Nonlabor!$L$6="Unverified"),G1342,0)</f>
        <v>412</v>
      </c>
      <c r="I1342" s="10" t="n">
        <f aca="false">IF(Nonlabor!$E$6="Core",0,G1342)</f>
        <v>0</v>
      </c>
      <c r="J1342" s="23" t="str">
        <f aca="false">Nonlabor!$B$6</f>
        <v>INFRA</v>
      </c>
    </row>
    <row r="1343" customFormat="false" ht="15" hidden="false" customHeight="false" outlineLevel="0" collapsed="false">
      <c r="A1343" s="6" t="s">
        <v>4</v>
      </c>
      <c r="B1343" s="6" t="s">
        <v>368</v>
      </c>
      <c r="C1343" s="6" t="n">
        <v>18</v>
      </c>
      <c r="D1343" s="25" t="n">
        <f aca="false">EDATE('Start Here'!$B$6,C1343-1)</f>
        <v>46844</v>
      </c>
      <c r="E1343" s="23" t="n">
        <f aca="false">IF(AND(OR(Nonlabor!$D$6="Both",Nonlabor!$D$6='Start Here'!$B$9),IF(Nonlabor!$E$6="Core",1,IF(Nonlabor!$E$6="AI",'Start Here'!$B$7,'Start Here'!$B$8))=1,C1343&gt;=IF(Nonlabor!$E$6="Core",Nonlabor!$F$6,MAX(Nonlabor!$F$6,IF(Nonlabor!$E$6="AI",Assumptions!$D$24,Assumptions!$D$25))),C1343&lt;=Nonlabor!$G$6,OR(Nonlabor!$H$6="Monthly",AND(Nonlabor!$H$6="Once",C1343=IF(Nonlabor!$E$6="Core",Nonlabor!$F$6,MAX(Nonlabor!$F$6,IF(Nonlabor!$E$6="AI",Assumptions!$D$24,Assumptions!$D$25)))),AND(Nonlabor!$H$6="Annual",MOD(C1343-IF(Nonlabor!$E$6="Core",Nonlabor!$F$6,MAX(Nonlabor!$F$6,IF(Nonlabor!$E$6="AI",Assumptions!$D$24,Assumptions!$D$25))),12)=0))),IF(Nonlabor!$I$6="Fixed",1,IF(Nonlabor!$I$6="Seats",ROUNDUP('Monthly Base'!I23,0),IF(Nonlabor!$I$6="Customers",'Monthly Base'!D23,IF(Nonlabor!$I$6="NewCustomers",'Monthly Base'!C23,IF(Nonlabor!$I$6="StorageGB",'Monthly Base'!G23,IF(Nonlabor!$I$6="LogGB",'Monthly Base'!H23,IF(Nonlabor!$I$6="RequestsM",'Monthly Base'!F23,IF(Nonlabor!$I$6="InputM",'Monthly Base'!D23*Assumptions!$D$22/1000000,IF(Nonlabor!$I$6="OutputM",'Monthly Base'!D23*Assumptions!$D$23/1000000,0))))))))),0)</f>
        <v>1</v>
      </c>
      <c r="F1343" s="10" t="n">
        <f aca="false">Nonlabor!$J$6*(1+Assumptions!$D$9)^INT((C1343-1)/12)</f>
        <v>412</v>
      </c>
      <c r="G1343" s="10" t="n">
        <f aca="false">E1343*F1343</f>
        <v>412</v>
      </c>
      <c r="H1343" s="10" t="n">
        <f aca="false">IF(OR(Nonlabor!$L$6="Quote required",Nonlabor!$L$6="Unverified"),G1343,0)</f>
        <v>412</v>
      </c>
      <c r="I1343" s="10" t="n">
        <f aca="false">IF(Nonlabor!$E$6="Core",0,G1343)</f>
        <v>0</v>
      </c>
      <c r="J1343" s="23" t="str">
        <f aca="false">Nonlabor!$B$6</f>
        <v>INFRA</v>
      </c>
    </row>
    <row r="1344" customFormat="false" ht="15" hidden="false" customHeight="false" outlineLevel="0" collapsed="false">
      <c r="A1344" s="6" t="s">
        <v>4</v>
      </c>
      <c r="B1344" s="6" t="s">
        <v>368</v>
      </c>
      <c r="C1344" s="6" t="n">
        <v>19</v>
      </c>
      <c r="D1344" s="25" t="n">
        <f aca="false">EDATE('Start Here'!$B$6,C1344-1)</f>
        <v>46874</v>
      </c>
      <c r="E1344" s="23" t="n">
        <f aca="false">IF(AND(OR(Nonlabor!$D$6="Both",Nonlabor!$D$6='Start Here'!$B$9),IF(Nonlabor!$E$6="Core",1,IF(Nonlabor!$E$6="AI",'Start Here'!$B$7,'Start Here'!$B$8))=1,C1344&gt;=IF(Nonlabor!$E$6="Core",Nonlabor!$F$6,MAX(Nonlabor!$F$6,IF(Nonlabor!$E$6="AI",Assumptions!$D$24,Assumptions!$D$25))),C1344&lt;=Nonlabor!$G$6,OR(Nonlabor!$H$6="Monthly",AND(Nonlabor!$H$6="Once",C1344=IF(Nonlabor!$E$6="Core",Nonlabor!$F$6,MAX(Nonlabor!$F$6,IF(Nonlabor!$E$6="AI",Assumptions!$D$24,Assumptions!$D$25)))),AND(Nonlabor!$H$6="Annual",MOD(C1344-IF(Nonlabor!$E$6="Core",Nonlabor!$F$6,MAX(Nonlabor!$F$6,IF(Nonlabor!$E$6="AI",Assumptions!$D$24,Assumptions!$D$25))),12)=0))),IF(Nonlabor!$I$6="Fixed",1,IF(Nonlabor!$I$6="Seats",ROUNDUP('Monthly Base'!I24,0),IF(Nonlabor!$I$6="Customers",'Monthly Base'!D24,IF(Nonlabor!$I$6="NewCustomers",'Monthly Base'!C24,IF(Nonlabor!$I$6="StorageGB",'Monthly Base'!G24,IF(Nonlabor!$I$6="LogGB",'Monthly Base'!H24,IF(Nonlabor!$I$6="RequestsM",'Monthly Base'!F24,IF(Nonlabor!$I$6="InputM",'Monthly Base'!D24*Assumptions!$D$22/1000000,IF(Nonlabor!$I$6="OutputM",'Monthly Base'!D24*Assumptions!$D$23/1000000,0))))))))),0)</f>
        <v>1</v>
      </c>
      <c r="F1344" s="10" t="n">
        <f aca="false">Nonlabor!$J$6*(1+Assumptions!$D$9)^INT((C1344-1)/12)</f>
        <v>412</v>
      </c>
      <c r="G1344" s="10" t="n">
        <f aca="false">E1344*F1344</f>
        <v>412</v>
      </c>
      <c r="H1344" s="10" t="n">
        <f aca="false">IF(OR(Nonlabor!$L$6="Quote required",Nonlabor!$L$6="Unverified"),G1344,0)</f>
        <v>412</v>
      </c>
      <c r="I1344" s="10" t="n">
        <f aca="false">IF(Nonlabor!$E$6="Core",0,G1344)</f>
        <v>0</v>
      </c>
      <c r="J1344" s="23" t="str">
        <f aca="false">Nonlabor!$B$6</f>
        <v>INFRA</v>
      </c>
    </row>
    <row r="1345" customFormat="false" ht="15" hidden="false" customHeight="false" outlineLevel="0" collapsed="false">
      <c r="A1345" s="6" t="s">
        <v>4</v>
      </c>
      <c r="B1345" s="6" t="s">
        <v>368</v>
      </c>
      <c r="C1345" s="6" t="n">
        <v>20</v>
      </c>
      <c r="D1345" s="25" t="n">
        <f aca="false">EDATE('Start Here'!$B$6,C1345-1)</f>
        <v>46905</v>
      </c>
      <c r="E1345" s="23" t="n">
        <f aca="false">IF(AND(OR(Nonlabor!$D$6="Both",Nonlabor!$D$6='Start Here'!$B$9),IF(Nonlabor!$E$6="Core",1,IF(Nonlabor!$E$6="AI",'Start Here'!$B$7,'Start Here'!$B$8))=1,C1345&gt;=IF(Nonlabor!$E$6="Core",Nonlabor!$F$6,MAX(Nonlabor!$F$6,IF(Nonlabor!$E$6="AI",Assumptions!$D$24,Assumptions!$D$25))),C1345&lt;=Nonlabor!$G$6,OR(Nonlabor!$H$6="Monthly",AND(Nonlabor!$H$6="Once",C1345=IF(Nonlabor!$E$6="Core",Nonlabor!$F$6,MAX(Nonlabor!$F$6,IF(Nonlabor!$E$6="AI",Assumptions!$D$24,Assumptions!$D$25)))),AND(Nonlabor!$H$6="Annual",MOD(C1345-IF(Nonlabor!$E$6="Core",Nonlabor!$F$6,MAX(Nonlabor!$F$6,IF(Nonlabor!$E$6="AI",Assumptions!$D$24,Assumptions!$D$25))),12)=0))),IF(Nonlabor!$I$6="Fixed",1,IF(Nonlabor!$I$6="Seats",ROUNDUP('Monthly Base'!I25,0),IF(Nonlabor!$I$6="Customers",'Monthly Base'!D25,IF(Nonlabor!$I$6="NewCustomers",'Monthly Base'!C25,IF(Nonlabor!$I$6="StorageGB",'Monthly Base'!G25,IF(Nonlabor!$I$6="LogGB",'Monthly Base'!H25,IF(Nonlabor!$I$6="RequestsM",'Monthly Base'!F25,IF(Nonlabor!$I$6="InputM",'Monthly Base'!D25*Assumptions!$D$22/1000000,IF(Nonlabor!$I$6="OutputM",'Monthly Base'!D25*Assumptions!$D$23/1000000,0))))))))),0)</f>
        <v>1</v>
      </c>
      <c r="F1345" s="10" t="n">
        <f aca="false">Nonlabor!$J$6*(1+Assumptions!$D$9)^INT((C1345-1)/12)</f>
        <v>412</v>
      </c>
      <c r="G1345" s="10" t="n">
        <f aca="false">E1345*F1345</f>
        <v>412</v>
      </c>
      <c r="H1345" s="10" t="n">
        <f aca="false">IF(OR(Nonlabor!$L$6="Quote required",Nonlabor!$L$6="Unverified"),G1345,0)</f>
        <v>412</v>
      </c>
      <c r="I1345" s="10" t="n">
        <f aca="false">IF(Nonlabor!$E$6="Core",0,G1345)</f>
        <v>0</v>
      </c>
      <c r="J1345" s="23" t="str">
        <f aca="false">Nonlabor!$B$6</f>
        <v>INFRA</v>
      </c>
    </row>
    <row r="1346" customFormat="false" ht="15" hidden="false" customHeight="false" outlineLevel="0" collapsed="false">
      <c r="A1346" s="6" t="s">
        <v>4</v>
      </c>
      <c r="B1346" s="6" t="s">
        <v>368</v>
      </c>
      <c r="C1346" s="6" t="n">
        <v>21</v>
      </c>
      <c r="D1346" s="25" t="n">
        <f aca="false">EDATE('Start Here'!$B$6,C1346-1)</f>
        <v>46935</v>
      </c>
      <c r="E1346" s="23" t="n">
        <f aca="false">IF(AND(OR(Nonlabor!$D$6="Both",Nonlabor!$D$6='Start Here'!$B$9),IF(Nonlabor!$E$6="Core",1,IF(Nonlabor!$E$6="AI",'Start Here'!$B$7,'Start Here'!$B$8))=1,C1346&gt;=IF(Nonlabor!$E$6="Core",Nonlabor!$F$6,MAX(Nonlabor!$F$6,IF(Nonlabor!$E$6="AI",Assumptions!$D$24,Assumptions!$D$25))),C1346&lt;=Nonlabor!$G$6,OR(Nonlabor!$H$6="Monthly",AND(Nonlabor!$H$6="Once",C1346=IF(Nonlabor!$E$6="Core",Nonlabor!$F$6,MAX(Nonlabor!$F$6,IF(Nonlabor!$E$6="AI",Assumptions!$D$24,Assumptions!$D$25)))),AND(Nonlabor!$H$6="Annual",MOD(C1346-IF(Nonlabor!$E$6="Core",Nonlabor!$F$6,MAX(Nonlabor!$F$6,IF(Nonlabor!$E$6="AI",Assumptions!$D$24,Assumptions!$D$25))),12)=0))),IF(Nonlabor!$I$6="Fixed",1,IF(Nonlabor!$I$6="Seats",ROUNDUP('Monthly Base'!I26,0),IF(Nonlabor!$I$6="Customers",'Monthly Base'!D26,IF(Nonlabor!$I$6="NewCustomers",'Monthly Base'!C26,IF(Nonlabor!$I$6="StorageGB",'Monthly Base'!G26,IF(Nonlabor!$I$6="LogGB",'Monthly Base'!H26,IF(Nonlabor!$I$6="RequestsM",'Monthly Base'!F26,IF(Nonlabor!$I$6="InputM",'Monthly Base'!D26*Assumptions!$D$22/1000000,IF(Nonlabor!$I$6="OutputM",'Monthly Base'!D26*Assumptions!$D$23/1000000,0))))))))),0)</f>
        <v>1</v>
      </c>
      <c r="F1346" s="10" t="n">
        <f aca="false">Nonlabor!$J$6*(1+Assumptions!$D$9)^INT((C1346-1)/12)</f>
        <v>412</v>
      </c>
      <c r="G1346" s="10" t="n">
        <f aca="false">E1346*F1346</f>
        <v>412</v>
      </c>
      <c r="H1346" s="10" t="n">
        <f aca="false">IF(OR(Nonlabor!$L$6="Quote required",Nonlabor!$L$6="Unverified"),G1346,0)</f>
        <v>412</v>
      </c>
      <c r="I1346" s="10" t="n">
        <f aca="false">IF(Nonlabor!$E$6="Core",0,G1346)</f>
        <v>0</v>
      </c>
      <c r="J1346" s="23" t="str">
        <f aca="false">Nonlabor!$B$6</f>
        <v>INFRA</v>
      </c>
    </row>
    <row r="1347" customFormat="false" ht="15" hidden="false" customHeight="false" outlineLevel="0" collapsed="false">
      <c r="A1347" s="6" t="s">
        <v>4</v>
      </c>
      <c r="B1347" s="6" t="s">
        <v>368</v>
      </c>
      <c r="C1347" s="6" t="n">
        <v>22</v>
      </c>
      <c r="D1347" s="25" t="n">
        <f aca="false">EDATE('Start Here'!$B$6,C1347-1)</f>
        <v>46966</v>
      </c>
      <c r="E1347" s="23" t="n">
        <f aca="false">IF(AND(OR(Nonlabor!$D$6="Both",Nonlabor!$D$6='Start Here'!$B$9),IF(Nonlabor!$E$6="Core",1,IF(Nonlabor!$E$6="AI",'Start Here'!$B$7,'Start Here'!$B$8))=1,C1347&gt;=IF(Nonlabor!$E$6="Core",Nonlabor!$F$6,MAX(Nonlabor!$F$6,IF(Nonlabor!$E$6="AI",Assumptions!$D$24,Assumptions!$D$25))),C1347&lt;=Nonlabor!$G$6,OR(Nonlabor!$H$6="Monthly",AND(Nonlabor!$H$6="Once",C1347=IF(Nonlabor!$E$6="Core",Nonlabor!$F$6,MAX(Nonlabor!$F$6,IF(Nonlabor!$E$6="AI",Assumptions!$D$24,Assumptions!$D$25)))),AND(Nonlabor!$H$6="Annual",MOD(C1347-IF(Nonlabor!$E$6="Core",Nonlabor!$F$6,MAX(Nonlabor!$F$6,IF(Nonlabor!$E$6="AI",Assumptions!$D$24,Assumptions!$D$25))),12)=0))),IF(Nonlabor!$I$6="Fixed",1,IF(Nonlabor!$I$6="Seats",ROUNDUP('Monthly Base'!I27,0),IF(Nonlabor!$I$6="Customers",'Monthly Base'!D27,IF(Nonlabor!$I$6="NewCustomers",'Monthly Base'!C27,IF(Nonlabor!$I$6="StorageGB",'Monthly Base'!G27,IF(Nonlabor!$I$6="LogGB",'Monthly Base'!H27,IF(Nonlabor!$I$6="RequestsM",'Monthly Base'!F27,IF(Nonlabor!$I$6="InputM",'Monthly Base'!D27*Assumptions!$D$22/1000000,IF(Nonlabor!$I$6="OutputM",'Monthly Base'!D27*Assumptions!$D$23/1000000,0))))))))),0)</f>
        <v>1</v>
      </c>
      <c r="F1347" s="10" t="n">
        <f aca="false">Nonlabor!$J$6*(1+Assumptions!$D$9)^INT((C1347-1)/12)</f>
        <v>412</v>
      </c>
      <c r="G1347" s="10" t="n">
        <f aca="false">E1347*F1347</f>
        <v>412</v>
      </c>
      <c r="H1347" s="10" t="n">
        <f aca="false">IF(OR(Nonlabor!$L$6="Quote required",Nonlabor!$L$6="Unverified"),G1347,0)</f>
        <v>412</v>
      </c>
      <c r="I1347" s="10" t="n">
        <f aca="false">IF(Nonlabor!$E$6="Core",0,G1347)</f>
        <v>0</v>
      </c>
      <c r="J1347" s="23" t="str">
        <f aca="false">Nonlabor!$B$6</f>
        <v>INFRA</v>
      </c>
    </row>
    <row r="1348" customFormat="false" ht="15" hidden="false" customHeight="false" outlineLevel="0" collapsed="false">
      <c r="A1348" s="6" t="s">
        <v>4</v>
      </c>
      <c r="B1348" s="6" t="s">
        <v>368</v>
      </c>
      <c r="C1348" s="6" t="n">
        <v>23</v>
      </c>
      <c r="D1348" s="25" t="n">
        <f aca="false">EDATE('Start Here'!$B$6,C1348-1)</f>
        <v>46997</v>
      </c>
      <c r="E1348" s="23" t="n">
        <f aca="false">IF(AND(OR(Nonlabor!$D$6="Both",Nonlabor!$D$6='Start Here'!$B$9),IF(Nonlabor!$E$6="Core",1,IF(Nonlabor!$E$6="AI",'Start Here'!$B$7,'Start Here'!$B$8))=1,C1348&gt;=IF(Nonlabor!$E$6="Core",Nonlabor!$F$6,MAX(Nonlabor!$F$6,IF(Nonlabor!$E$6="AI",Assumptions!$D$24,Assumptions!$D$25))),C1348&lt;=Nonlabor!$G$6,OR(Nonlabor!$H$6="Monthly",AND(Nonlabor!$H$6="Once",C1348=IF(Nonlabor!$E$6="Core",Nonlabor!$F$6,MAX(Nonlabor!$F$6,IF(Nonlabor!$E$6="AI",Assumptions!$D$24,Assumptions!$D$25)))),AND(Nonlabor!$H$6="Annual",MOD(C1348-IF(Nonlabor!$E$6="Core",Nonlabor!$F$6,MAX(Nonlabor!$F$6,IF(Nonlabor!$E$6="AI",Assumptions!$D$24,Assumptions!$D$25))),12)=0))),IF(Nonlabor!$I$6="Fixed",1,IF(Nonlabor!$I$6="Seats",ROUNDUP('Monthly Base'!I28,0),IF(Nonlabor!$I$6="Customers",'Monthly Base'!D28,IF(Nonlabor!$I$6="NewCustomers",'Monthly Base'!C28,IF(Nonlabor!$I$6="StorageGB",'Monthly Base'!G28,IF(Nonlabor!$I$6="LogGB",'Monthly Base'!H28,IF(Nonlabor!$I$6="RequestsM",'Monthly Base'!F28,IF(Nonlabor!$I$6="InputM",'Monthly Base'!D28*Assumptions!$D$22/1000000,IF(Nonlabor!$I$6="OutputM",'Monthly Base'!D28*Assumptions!$D$23/1000000,0))))))))),0)</f>
        <v>1</v>
      </c>
      <c r="F1348" s="10" t="n">
        <f aca="false">Nonlabor!$J$6*(1+Assumptions!$D$9)^INT((C1348-1)/12)</f>
        <v>412</v>
      </c>
      <c r="G1348" s="10" t="n">
        <f aca="false">E1348*F1348</f>
        <v>412</v>
      </c>
      <c r="H1348" s="10" t="n">
        <f aca="false">IF(OR(Nonlabor!$L$6="Quote required",Nonlabor!$L$6="Unverified"),G1348,0)</f>
        <v>412</v>
      </c>
      <c r="I1348" s="10" t="n">
        <f aca="false">IF(Nonlabor!$E$6="Core",0,G1348)</f>
        <v>0</v>
      </c>
      <c r="J1348" s="23" t="str">
        <f aca="false">Nonlabor!$B$6</f>
        <v>INFRA</v>
      </c>
    </row>
    <row r="1349" customFormat="false" ht="15" hidden="false" customHeight="false" outlineLevel="0" collapsed="false">
      <c r="A1349" s="6" t="s">
        <v>4</v>
      </c>
      <c r="B1349" s="6" t="s">
        <v>368</v>
      </c>
      <c r="C1349" s="6" t="n">
        <v>24</v>
      </c>
      <c r="D1349" s="25" t="n">
        <f aca="false">EDATE('Start Here'!$B$6,C1349-1)</f>
        <v>47027</v>
      </c>
      <c r="E1349" s="23" t="n">
        <f aca="false">IF(AND(OR(Nonlabor!$D$6="Both",Nonlabor!$D$6='Start Here'!$B$9),IF(Nonlabor!$E$6="Core",1,IF(Nonlabor!$E$6="AI",'Start Here'!$B$7,'Start Here'!$B$8))=1,C1349&gt;=IF(Nonlabor!$E$6="Core",Nonlabor!$F$6,MAX(Nonlabor!$F$6,IF(Nonlabor!$E$6="AI",Assumptions!$D$24,Assumptions!$D$25))),C1349&lt;=Nonlabor!$G$6,OR(Nonlabor!$H$6="Monthly",AND(Nonlabor!$H$6="Once",C1349=IF(Nonlabor!$E$6="Core",Nonlabor!$F$6,MAX(Nonlabor!$F$6,IF(Nonlabor!$E$6="AI",Assumptions!$D$24,Assumptions!$D$25)))),AND(Nonlabor!$H$6="Annual",MOD(C1349-IF(Nonlabor!$E$6="Core",Nonlabor!$F$6,MAX(Nonlabor!$F$6,IF(Nonlabor!$E$6="AI",Assumptions!$D$24,Assumptions!$D$25))),12)=0))),IF(Nonlabor!$I$6="Fixed",1,IF(Nonlabor!$I$6="Seats",ROUNDUP('Monthly Base'!I29,0),IF(Nonlabor!$I$6="Customers",'Monthly Base'!D29,IF(Nonlabor!$I$6="NewCustomers",'Monthly Base'!C29,IF(Nonlabor!$I$6="StorageGB",'Monthly Base'!G29,IF(Nonlabor!$I$6="LogGB",'Monthly Base'!H29,IF(Nonlabor!$I$6="RequestsM",'Monthly Base'!F29,IF(Nonlabor!$I$6="InputM",'Monthly Base'!D29*Assumptions!$D$22/1000000,IF(Nonlabor!$I$6="OutputM",'Monthly Base'!D29*Assumptions!$D$23/1000000,0))))))))),0)</f>
        <v>1</v>
      </c>
      <c r="F1349" s="10" t="n">
        <f aca="false">Nonlabor!$J$6*(1+Assumptions!$D$9)^INT((C1349-1)/12)</f>
        <v>412</v>
      </c>
      <c r="G1349" s="10" t="n">
        <f aca="false">E1349*F1349</f>
        <v>412</v>
      </c>
      <c r="H1349" s="10" t="n">
        <f aca="false">IF(OR(Nonlabor!$L$6="Quote required",Nonlabor!$L$6="Unverified"),G1349,0)</f>
        <v>412</v>
      </c>
      <c r="I1349" s="10" t="n">
        <f aca="false">IF(Nonlabor!$E$6="Core",0,G1349)</f>
        <v>0</v>
      </c>
      <c r="J1349" s="23" t="str">
        <f aca="false">Nonlabor!$B$6</f>
        <v>INFRA</v>
      </c>
    </row>
    <row r="1350" customFormat="false" ht="15" hidden="false" customHeight="false" outlineLevel="0" collapsed="false">
      <c r="A1350" s="6" t="s">
        <v>4</v>
      </c>
      <c r="B1350" s="6" t="s">
        <v>368</v>
      </c>
      <c r="C1350" s="6" t="n">
        <v>25</v>
      </c>
      <c r="D1350" s="25" t="n">
        <f aca="false">EDATE('Start Here'!$B$6,C1350-1)</f>
        <v>47058</v>
      </c>
      <c r="E1350" s="23" t="n">
        <f aca="false">IF(AND(OR(Nonlabor!$D$6="Both",Nonlabor!$D$6='Start Here'!$B$9),IF(Nonlabor!$E$6="Core",1,IF(Nonlabor!$E$6="AI",'Start Here'!$B$7,'Start Here'!$B$8))=1,C1350&gt;=IF(Nonlabor!$E$6="Core",Nonlabor!$F$6,MAX(Nonlabor!$F$6,IF(Nonlabor!$E$6="AI",Assumptions!$D$24,Assumptions!$D$25))),C1350&lt;=Nonlabor!$G$6,OR(Nonlabor!$H$6="Monthly",AND(Nonlabor!$H$6="Once",C1350=IF(Nonlabor!$E$6="Core",Nonlabor!$F$6,MAX(Nonlabor!$F$6,IF(Nonlabor!$E$6="AI",Assumptions!$D$24,Assumptions!$D$25)))),AND(Nonlabor!$H$6="Annual",MOD(C1350-IF(Nonlabor!$E$6="Core",Nonlabor!$F$6,MAX(Nonlabor!$F$6,IF(Nonlabor!$E$6="AI",Assumptions!$D$24,Assumptions!$D$25))),12)=0))),IF(Nonlabor!$I$6="Fixed",1,IF(Nonlabor!$I$6="Seats",ROUNDUP('Monthly Base'!I30,0),IF(Nonlabor!$I$6="Customers",'Monthly Base'!D30,IF(Nonlabor!$I$6="NewCustomers",'Monthly Base'!C30,IF(Nonlabor!$I$6="StorageGB",'Monthly Base'!G30,IF(Nonlabor!$I$6="LogGB",'Monthly Base'!H30,IF(Nonlabor!$I$6="RequestsM",'Monthly Base'!F30,IF(Nonlabor!$I$6="InputM",'Monthly Base'!D30*Assumptions!$D$22/1000000,IF(Nonlabor!$I$6="OutputM",'Monthly Base'!D30*Assumptions!$D$23/1000000,0))))))))),0)</f>
        <v>1</v>
      </c>
      <c r="F1350" s="10" t="n">
        <f aca="false">Nonlabor!$J$6*(1+Assumptions!$D$9)^INT((C1350-1)/12)</f>
        <v>424.36</v>
      </c>
      <c r="G1350" s="10" t="n">
        <f aca="false">E1350*F1350</f>
        <v>424.36</v>
      </c>
      <c r="H1350" s="10" t="n">
        <f aca="false">IF(OR(Nonlabor!$L$6="Quote required",Nonlabor!$L$6="Unverified"),G1350,0)</f>
        <v>424.36</v>
      </c>
      <c r="I1350" s="10" t="n">
        <f aca="false">IF(Nonlabor!$E$6="Core",0,G1350)</f>
        <v>0</v>
      </c>
      <c r="J1350" s="23" t="str">
        <f aca="false">Nonlabor!$B$6</f>
        <v>INFRA</v>
      </c>
    </row>
    <row r="1351" customFormat="false" ht="15" hidden="false" customHeight="false" outlineLevel="0" collapsed="false">
      <c r="A1351" s="6" t="s">
        <v>4</v>
      </c>
      <c r="B1351" s="6" t="s">
        <v>368</v>
      </c>
      <c r="C1351" s="6" t="n">
        <v>26</v>
      </c>
      <c r="D1351" s="25" t="n">
        <f aca="false">EDATE('Start Here'!$B$6,C1351-1)</f>
        <v>47088</v>
      </c>
      <c r="E1351" s="23" t="n">
        <f aca="false">IF(AND(OR(Nonlabor!$D$6="Both",Nonlabor!$D$6='Start Here'!$B$9),IF(Nonlabor!$E$6="Core",1,IF(Nonlabor!$E$6="AI",'Start Here'!$B$7,'Start Here'!$B$8))=1,C1351&gt;=IF(Nonlabor!$E$6="Core",Nonlabor!$F$6,MAX(Nonlabor!$F$6,IF(Nonlabor!$E$6="AI",Assumptions!$D$24,Assumptions!$D$25))),C1351&lt;=Nonlabor!$G$6,OR(Nonlabor!$H$6="Monthly",AND(Nonlabor!$H$6="Once",C1351=IF(Nonlabor!$E$6="Core",Nonlabor!$F$6,MAX(Nonlabor!$F$6,IF(Nonlabor!$E$6="AI",Assumptions!$D$24,Assumptions!$D$25)))),AND(Nonlabor!$H$6="Annual",MOD(C1351-IF(Nonlabor!$E$6="Core",Nonlabor!$F$6,MAX(Nonlabor!$F$6,IF(Nonlabor!$E$6="AI",Assumptions!$D$24,Assumptions!$D$25))),12)=0))),IF(Nonlabor!$I$6="Fixed",1,IF(Nonlabor!$I$6="Seats",ROUNDUP('Monthly Base'!I31,0),IF(Nonlabor!$I$6="Customers",'Monthly Base'!D31,IF(Nonlabor!$I$6="NewCustomers",'Monthly Base'!C31,IF(Nonlabor!$I$6="StorageGB",'Monthly Base'!G31,IF(Nonlabor!$I$6="LogGB",'Monthly Base'!H31,IF(Nonlabor!$I$6="RequestsM",'Monthly Base'!F31,IF(Nonlabor!$I$6="InputM",'Monthly Base'!D31*Assumptions!$D$22/1000000,IF(Nonlabor!$I$6="OutputM",'Monthly Base'!D31*Assumptions!$D$23/1000000,0))))))))),0)</f>
        <v>1</v>
      </c>
      <c r="F1351" s="10" t="n">
        <f aca="false">Nonlabor!$J$6*(1+Assumptions!$D$9)^INT((C1351-1)/12)</f>
        <v>424.36</v>
      </c>
      <c r="G1351" s="10" t="n">
        <f aca="false">E1351*F1351</f>
        <v>424.36</v>
      </c>
      <c r="H1351" s="10" t="n">
        <f aca="false">IF(OR(Nonlabor!$L$6="Quote required",Nonlabor!$L$6="Unverified"),G1351,0)</f>
        <v>424.36</v>
      </c>
      <c r="I1351" s="10" t="n">
        <f aca="false">IF(Nonlabor!$E$6="Core",0,G1351)</f>
        <v>0</v>
      </c>
      <c r="J1351" s="23" t="str">
        <f aca="false">Nonlabor!$B$6</f>
        <v>INFRA</v>
      </c>
    </row>
    <row r="1352" customFormat="false" ht="15" hidden="false" customHeight="false" outlineLevel="0" collapsed="false">
      <c r="A1352" s="6" t="s">
        <v>4</v>
      </c>
      <c r="B1352" s="6" t="s">
        <v>368</v>
      </c>
      <c r="C1352" s="6" t="n">
        <v>27</v>
      </c>
      <c r="D1352" s="25" t="n">
        <f aca="false">EDATE('Start Here'!$B$6,C1352-1)</f>
        <v>47119</v>
      </c>
      <c r="E1352" s="23" t="n">
        <f aca="false">IF(AND(OR(Nonlabor!$D$6="Both",Nonlabor!$D$6='Start Here'!$B$9),IF(Nonlabor!$E$6="Core",1,IF(Nonlabor!$E$6="AI",'Start Here'!$B$7,'Start Here'!$B$8))=1,C1352&gt;=IF(Nonlabor!$E$6="Core",Nonlabor!$F$6,MAX(Nonlabor!$F$6,IF(Nonlabor!$E$6="AI",Assumptions!$D$24,Assumptions!$D$25))),C1352&lt;=Nonlabor!$G$6,OR(Nonlabor!$H$6="Monthly",AND(Nonlabor!$H$6="Once",C1352=IF(Nonlabor!$E$6="Core",Nonlabor!$F$6,MAX(Nonlabor!$F$6,IF(Nonlabor!$E$6="AI",Assumptions!$D$24,Assumptions!$D$25)))),AND(Nonlabor!$H$6="Annual",MOD(C1352-IF(Nonlabor!$E$6="Core",Nonlabor!$F$6,MAX(Nonlabor!$F$6,IF(Nonlabor!$E$6="AI",Assumptions!$D$24,Assumptions!$D$25))),12)=0))),IF(Nonlabor!$I$6="Fixed",1,IF(Nonlabor!$I$6="Seats",ROUNDUP('Monthly Base'!I32,0),IF(Nonlabor!$I$6="Customers",'Monthly Base'!D32,IF(Nonlabor!$I$6="NewCustomers",'Monthly Base'!C32,IF(Nonlabor!$I$6="StorageGB",'Monthly Base'!G32,IF(Nonlabor!$I$6="LogGB",'Monthly Base'!H32,IF(Nonlabor!$I$6="RequestsM",'Monthly Base'!F32,IF(Nonlabor!$I$6="InputM",'Monthly Base'!D32*Assumptions!$D$22/1000000,IF(Nonlabor!$I$6="OutputM",'Monthly Base'!D32*Assumptions!$D$23/1000000,0))))))))),0)</f>
        <v>1</v>
      </c>
      <c r="F1352" s="10" t="n">
        <f aca="false">Nonlabor!$J$6*(1+Assumptions!$D$9)^INT((C1352-1)/12)</f>
        <v>424.36</v>
      </c>
      <c r="G1352" s="10" t="n">
        <f aca="false">E1352*F1352</f>
        <v>424.36</v>
      </c>
      <c r="H1352" s="10" t="n">
        <f aca="false">IF(OR(Nonlabor!$L$6="Quote required",Nonlabor!$L$6="Unverified"),G1352,0)</f>
        <v>424.36</v>
      </c>
      <c r="I1352" s="10" t="n">
        <f aca="false">IF(Nonlabor!$E$6="Core",0,G1352)</f>
        <v>0</v>
      </c>
      <c r="J1352" s="23" t="str">
        <f aca="false">Nonlabor!$B$6</f>
        <v>INFRA</v>
      </c>
    </row>
    <row r="1353" customFormat="false" ht="15" hidden="false" customHeight="false" outlineLevel="0" collapsed="false">
      <c r="A1353" s="6" t="s">
        <v>4</v>
      </c>
      <c r="B1353" s="6" t="s">
        <v>368</v>
      </c>
      <c r="C1353" s="6" t="n">
        <v>28</v>
      </c>
      <c r="D1353" s="25" t="n">
        <f aca="false">EDATE('Start Here'!$B$6,C1353-1)</f>
        <v>47150</v>
      </c>
      <c r="E1353" s="23" t="n">
        <f aca="false">IF(AND(OR(Nonlabor!$D$6="Both",Nonlabor!$D$6='Start Here'!$B$9),IF(Nonlabor!$E$6="Core",1,IF(Nonlabor!$E$6="AI",'Start Here'!$B$7,'Start Here'!$B$8))=1,C1353&gt;=IF(Nonlabor!$E$6="Core",Nonlabor!$F$6,MAX(Nonlabor!$F$6,IF(Nonlabor!$E$6="AI",Assumptions!$D$24,Assumptions!$D$25))),C1353&lt;=Nonlabor!$G$6,OR(Nonlabor!$H$6="Monthly",AND(Nonlabor!$H$6="Once",C1353=IF(Nonlabor!$E$6="Core",Nonlabor!$F$6,MAX(Nonlabor!$F$6,IF(Nonlabor!$E$6="AI",Assumptions!$D$24,Assumptions!$D$25)))),AND(Nonlabor!$H$6="Annual",MOD(C1353-IF(Nonlabor!$E$6="Core",Nonlabor!$F$6,MAX(Nonlabor!$F$6,IF(Nonlabor!$E$6="AI",Assumptions!$D$24,Assumptions!$D$25))),12)=0))),IF(Nonlabor!$I$6="Fixed",1,IF(Nonlabor!$I$6="Seats",ROUNDUP('Monthly Base'!I33,0),IF(Nonlabor!$I$6="Customers",'Monthly Base'!D33,IF(Nonlabor!$I$6="NewCustomers",'Monthly Base'!C33,IF(Nonlabor!$I$6="StorageGB",'Monthly Base'!G33,IF(Nonlabor!$I$6="LogGB",'Monthly Base'!H33,IF(Nonlabor!$I$6="RequestsM",'Monthly Base'!F33,IF(Nonlabor!$I$6="InputM",'Monthly Base'!D33*Assumptions!$D$22/1000000,IF(Nonlabor!$I$6="OutputM",'Monthly Base'!D33*Assumptions!$D$23/1000000,0))))))))),0)</f>
        <v>1</v>
      </c>
      <c r="F1353" s="10" t="n">
        <f aca="false">Nonlabor!$J$6*(1+Assumptions!$D$9)^INT((C1353-1)/12)</f>
        <v>424.36</v>
      </c>
      <c r="G1353" s="10" t="n">
        <f aca="false">E1353*F1353</f>
        <v>424.36</v>
      </c>
      <c r="H1353" s="10" t="n">
        <f aca="false">IF(OR(Nonlabor!$L$6="Quote required",Nonlabor!$L$6="Unverified"),G1353,0)</f>
        <v>424.36</v>
      </c>
      <c r="I1353" s="10" t="n">
        <f aca="false">IF(Nonlabor!$E$6="Core",0,G1353)</f>
        <v>0</v>
      </c>
      <c r="J1353" s="23" t="str">
        <f aca="false">Nonlabor!$B$6</f>
        <v>INFRA</v>
      </c>
    </row>
    <row r="1354" customFormat="false" ht="15" hidden="false" customHeight="false" outlineLevel="0" collapsed="false">
      <c r="A1354" s="6" t="s">
        <v>4</v>
      </c>
      <c r="B1354" s="6" t="s">
        <v>368</v>
      </c>
      <c r="C1354" s="6" t="n">
        <v>29</v>
      </c>
      <c r="D1354" s="25" t="n">
        <f aca="false">EDATE('Start Here'!$B$6,C1354-1)</f>
        <v>47178</v>
      </c>
      <c r="E1354" s="23" t="n">
        <f aca="false">IF(AND(OR(Nonlabor!$D$6="Both",Nonlabor!$D$6='Start Here'!$B$9),IF(Nonlabor!$E$6="Core",1,IF(Nonlabor!$E$6="AI",'Start Here'!$B$7,'Start Here'!$B$8))=1,C1354&gt;=IF(Nonlabor!$E$6="Core",Nonlabor!$F$6,MAX(Nonlabor!$F$6,IF(Nonlabor!$E$6="AI",Assumptions!$D$24,Assumptions!$D$25))),C1354&lt;=Nonlabor!$G$6,OR(Nonlabor!$H$6="Monthly",AND(Nonlabor!$H$6="Once",C1354=IF(Nonlabor!$E$6="Core",Nonlabor!$F$6,MAX(Nonlabor!$F$6,IF(Nonlabor!$E$6="AI",Assumptions!$D$24,Assumptions!$D$25)))),AND(Nonlabor!$H$6="Annual",MOD(C1354-IF(Nonlabor!$E$6="Core",Nonlabor!$F$6,MAX(Nonlabor!$F$6,IF(Nonlabor!$E$6="AI",Assumptions!$D$24,Assumptions!$D$25))),12)=0))),IF(Nonlabor!$I$6="Fixed",1,IF(Nonlabor!$I$6="Seats",ROUNDUP('Monthly Base'!I34,0),IF(Nonlabor!$I$6="Customers",'Monthly Base'!D34,IF(Nonlabor!$I$6="NewCustomers",'Monthly Base'!C34,IF(Nonlabor!$I$6="StorageGB",'Monthly Base'!G34,IF(Nonlabor!$I$6="LogGB",'Monthly Base'!H34,IF(Nonlabor!$I$6="RequestsM",'Monthly Base'!F34,IF(Nonlabor!$I$6="InputM",'Monthly Base'!D34*Assumptions!$D$22/1000000,IF(Nonlabor!$I$6="OutputM",'Monthly Base'!D34*Assumptions!$D$23/1000000,0))))))))),0)</f>
        <v>1</v>
      </c>
      <c r="F1354" s="10" t="n">
        <f aca="false">Nonlabor!$J$6*(1+Assumptions!$D$9)^INT((C1354-1)/12)</f>
        <v>424.36</v>
      </c>
      <c r="G1354" s="10" t="n">
        <f aca="false">E1354*F1354</f>
        <v>424.36</v>
      </c>
      <c r="H1354" s="10" t="n">
        <f aca="false">IF(OR(Nonlabor!$L$6="Quote required",Nonlabor!$L$6="Unverified"),G1354,0)</f>
        <v>424.36</v>
      </c>
      <c r="I1354" s="10" t="n">
        <f aca="false">IF(Nonlabor!$E$6="Core",0,G1354)</f>
        <v>0</v>
      </c>
      <c r="J1354" s="23" t="str">
        <f aca="false">Nonlabor!$B$6</f>
        <v>INFRA</v>
      </c>
    </row>
    <row r="1355" customFormat="false" ht="15" hidden="false" customHeight="false" outlineLevel="0" collapsed="false">
      <c r="A1355" s="6" t="s">
        <v>4</v>
      </c>
      <c r="B1355" s="6" t="s">
        <v>368</v>
      </c>
      <c r="C1355" s="6" t="n">
        <v>30</v>
      </c>
      <c r="D1355" s="25" t="n">
        <f aca="false">EDATE('Start Here'!$B$6,C1355-1)</f>
        <v>47209</v>
      </c>
      <c r="E1355" s="23" t="n">
        <f aca="false">IF(AND(OR(Nonlabor!$D$6="Both",Nonlabor!$D$6='Start Here'!$B$9),IF(Nonlabor!$E$6="Core",1,IF(Nonlabor!$E$6="AI",'Start Here'!$B$7,'Start Here'!$B$8))=1,C1355&gt;=IF(Nonlabor!$E$6="Core",Nonlabor!$F$6,MAX(Nonlabor!$F$6,IF(Nonlabor!$E$6="AI",Assumptions!$D$24,Assumptions!$D$25))),C1355&lt;=Nonlabor!$G$6,OR(Nonlabor!$H$6="Monthly",AND(Nonlabor!$H$6="Once",C1355=IF(Nonlabor!$E$6="Core",Nonlabor!$F$6,MAX(Nonlabor!$F$6,IF(Nonlabor!$E$6="AI",Assumptions!$D$24,Assumptions!$D$25)))),AND(Nonlabor!$H$6="Annual",MOD(C1355-IF(Nonlabor!$E$6="Core",Nonlabor!$F$6,MAX(Nonlabor!$F$6,IF(Nonlabor!$E$6="AI",Assumptions!$D$24,Assumptions!$D$25))),12)=0))),IF(Nonlabor!$I$6="Fixed",1,IF(Nonlabor!$I$6="Seats",ROUNDUP('Monthly Base'!I35,0),IF(Nonlabor!$I$6="Customers",'Monthly Base'!D35,IF(Nonlabor!$I$6="NewCustomers",'Monthly Base'!C35,IF(Nonlabor!$I$6="StorageGB",'Monthly Base'!G35,IF(Nonlabor!$I$6="LogGB",'Monthly Base'!H35,IF(Nonlabor!$I$6="RequestsM",'Monthly Base'!F35,IF(Nonlabor!$I$6="InputM",'Monthly Base'!D35*Assumptions!$D$22/1000000,IF(Nonlabor!$I$6="OutputM",'Monthly Base'!D35*Assumptions!$D$23/1000000,0))))))))),0)</f>
        <v>1</v>
      </c>
      <c r="F1355" s="10" t="n">
        <f aca="false">Nonlabor!$J$6*(1+Assumptions!$D$9)^INT((C1355-1)/12)</f>
        <v>424.36</v>
      </c>
      <c r="G1355" s="10" t="n">
        <f aca="false">E1355*F1355</f>
        <v>424.36</v>
      </c>
      <c r="H1355" s="10" t="n">
        <f aca="false">IF(OR(Nonlabor!$L$6="Quote required",Nonlabor!$L$6="Unverified"),G1355,0)</f>
        <v>424.36</v>
      </c>
      <c r="I1355" s="10" t="n">
        <f aca="false">IF(Nonlabor!$E$6="Core",0,G1355)</f>
        <v>0</v>
      </c>
      <c r="J1355" s="23" t="str">
        <f aca="false">Nonlabor!$B$6</f>
        <v>INFRA</v>
      </c>
    </row>
    <row r="1356" customFormat="false" ht="15" hidden="false" customHeight="false" outlineLevel="0" collapsed="false">
      <c r="A1356" s="6" t="s">
        <v>4</v>
      </c>
      <c r="B1356" s="6" t="s">
        <v>368</v>
      </c>
      <c r="C1356" s="6" t="n">
        <v>31</v>
      </c>
      <c r="D1356" s="25" t="n">
        <f aca="false">EDATE('Start Here'!$B$6,C1356-1)</f>
        <v>47239</v>
      </c>
      <c r="E1356" s="23" t="n">
        <f aca="false">IF(AND(OR(Nonlabor!$D$6="Both",Nonlabor!$D$6='Start Here'!$B$9),IF(Nonlabor!$E$6="Core",1,IF(Nonlabor!$E$6="AI",'Start Here'!$B$7,'Start Here'!$B$8))=1,C1356&gt;=IF(Nonlabor!$E$6="Core",Nonlabor!$F$6,MAX(Nonlabor!$F$6,IF(Nonlabor!$E$6="AI",Assumptions!$D$24,Assumptions!$D$25))),C1356&lt;=Nonlabor!$G$6,OR(Nonlabor!$H$6="Monthly",AND(Nonlabor!$H$6="Once",C1356=IF(Nonlabor!$E$6="Core",Nonlabor!$F$6,MAX(Nonlabor!$F$6,IF(Nonlabor!$E$6="AI",Assumptions!$D$24,Assumptions!$D$25)))),AND(Nonlabor!$H$6="Annual",MOD(C1356-IF(Nonlabor!$E$6="Core",Nonlabor!$F$6,MAX(Nonlabor!$F$6,IF(Nonlabor!$E$6="AI",Assumptions!$D$24,Assumptions!$D$25))),12)=0))),IF(Nonlabor!$I$6="Fixed",1,IF(Nonlabor!$I$6="Seats",ROUNDUP('Monthly Base'!I36,0),IF(Nonlabor!$I$6="Customers",'Monthly Base'!D36,IF(Nonlabor!$I$6="NewCustomers",'Monthly Base'!C36,IF(Nonlabor!$I$6="StorageGB",'Monthly Base'!G36,IF(Nonlabor!$I$6="LogGB",'Monthly Base'!H36,IF(Nonlabor!$I$6="RequestsM",'Monthly Base'!F36,IF(Nonlabor!$I$6="InputM",'Monthly Base'!D36*Assumptions!$D$22/1000000,IF(Nonlabor!$I$6="OutputM",'Monthly Base'!D36*Assumptions!$D$23/1000000,0))))))))),0)</f>
        <v>1</v>
      </c>
      <c r="F1356" s="10" t="n">
        <f aca="false">Nonlabor!$J$6*(1+Assumptions!$D$9)^INT((C1356-1)/12)</f>
        <v>424.36</v>
      </c>
      <c r="G1356" s="10" t="n">
        <f aca="false">E1356*F1356</f>
        <v>424.36</v>
      </c>
      <c r="H1356" s="10" t="n">
        <f aca="false">IF(OR(Nonlabor!$L$6="Quote required",Nonlabor!$L$6="Unverified"),G1356,0)</f>
        <v>424.36</v>
      </c>
      <c r="I1356" s="10" t="n">
        <f aca="false">IF(Nonlabor!$E$6="Core",0,G1356)</f>
        <v>0</v>
      </c>
      <c r="J1356" s="23" t="str">
        <f aca="false">Nonlabor!$B$6</f>
        <v>INFRA</v>
      </c>
    </row>
    <row r="1357" customFormat="false" ht="15" hidden="false" customHeight="false" outlineLevel="0" collapsed="false">
      <c r="A1357" s="6" t="s">
        <v>4</v>
      </c>
      <c r="B1357" s="6" t="s">
        <v>368</v>
      </c>
      <c r="C1357" s="6" t="n">
        <v>32</v>
      </c>
      <c r="D1357" s="25" t="n">
        <f aca="false">EDATE('Start Here'!$B$6,C1357-1)</f>
        <v>47270</v>
      </c>
      <c r="E1357" s="23" t="n">
        <f aca="false">IF(AND(OR(Nonlabor!$D$6="Both",Nonlabor!$D$6='Start Here'!$B$9),IF(Nonlabor!$E$6="Core",1,IF(Nonlabor!$E$6="AI",'Start Here'!$B$7,'Start Here'!$B$8))=1,C1357&gt;=IF(Nonlabor!$E$6="Core",Nonlabor!$F$6,MAX(Nonlabor!$F$6,IF(Nonlabor!$E$6="AI",Assumptions!$D$24,Assumptions!$D$25))),C1357&lt;=Nonlabor!$G$6,OR(Nonlabor!$H$6="Monthly",AND(Nonlabor!$H$6="Once",C1357=IF(Nonlabor!$E$6="Core",Nonlabor!$F$6,MAX(Nonlabor!$F$6,IF(Nonlabor!$E$6="AI",Assumptions!$D$24,Assumptions!$D$25)))),AND(Nonlabor!$H$6="Annual",MOD(C1357-IF(Nonlabor!$E$6="Core",Nonlabor!$F$6,MAX(Nonlabor!$F$6,IF(Nonlabor!$E$6="AI",Assumptions!$D$24,Assumptions!$D$25))),12)=0))),IF(Nonlabor!$I$6="Fixed",1,IF(Nonlabor!$I$6="Seats",ROUNDUP('Monthly Base'!I37,0),IF(Nonlabor!$I$6="Customers",'Monthly Base'!D37,IF(Nonlabor!$I$6="NewCustomers",'Monthly Base'!C37,IF(Nonlabor!$I$6="StorageGB",'Monthly Base'!G37,IF(Nonlabor!$I$6="LogGB",'Monthly Base'!H37,IF(Nonlabor!$I$6="RequestsM",'Monthly Base'!F37,IF(Nonlabor!$I$6="InputM",'Monthly Base'!D37*Assumptions!$D$22/1000000,IF(Nonlabor!$I$6="OutputM",'Monthly Base'!D37*Assumptions!$D$23/1000000,0))))))))),0)</f>
        <v>1</v>
      </c>
      <c r="F1357" s="10" t="n">
        <f aca="false">Nonlabor!$J$6*(1+Assumptions!$D$9)^INT((C1357-1)/12)</f>
        <v>424.36</v>
      </c>
      <c r="G1357" s="10" t="n">
        <f aca="false">E1357*F1357</f>
        <v>424.36</v>
      </c>
      <c r="H1357" s="10" t="n">
        <f aca="false">IF(OR(Nonlabor!$L$6="Quote required",Nonlabor!$L$6="Unverified"),G1357,0)</f>
        <v>424.36</v>
      </c>
      <c r="I1357" s="10" t="n">
        <f aca="false">IF(Nonlabor!$E$6="Core",0,G1357)</f>
        <v>0</v>
      </c>
      <c r="J1357" s="23" t="str">
        <f aca="false">Nonlabor!$B$6</f>
        <v>INFRA</v>
      </c>
    </row>
    <row r="1358" customFormat="false" ht="15" hidden="false" customHeight="false" outlineLevel="0" collapsed="false">
      <c r="A1358" s="6" t="s">
        <v>4</v>
      </c>
      <c r="B1358" s="6" t="s">
        <v>368</v>
      </c>
      <c r="C1358" s="6" t="n">
        <v>33</v>
      </c>
      <c r="D1358" s="25" t="n">
        <f aca="false">EDATE('Start Here'!$B$6,C1358-1)</f>
        <v>47300</v>
      </c>
      <c r="E1358" s="23" t="n">
        <f aca="false">IF(AND(OR(Nonlabor!$D$6="Both",Nonlabor!$D$6='Start Here'!$B$9),IF(Nonlabor!$E$6="Core",1,IF(Nonlabor!$E$6="AI",'Start Here'!$B$7,'Start Here'!$B$8))=1,C1358&gt;=IF(Nonlabor!$E$6="Core",Nonlabor!$F$6,MAX(Nonlabor!$F$6,IF(Nonlabor!$E$6="AI",Assumptions!$D$24,Assumptions!$D$25))),C1358&lt;=Nonlabor!$G$6,OR(Nonlabor!$H$6="Monthly",AND(Nonlabor!$H$6="Once",C1358=IF(Nonlabor!$E$6="Core",Nonlabor!$F$6,MAX(Nonlabor!$F$6,IF(Nonlabor!$E$6="AI",Assumptions!$D$24,Assumptions!$D$25)))),AND(Nonlabor!$H$6="Annual",MOD(C1358-IF(Nonlabor!$E$6="Core",Nonlabor!$F$6,MAX(Nonlabor!$F$6,IF(Nonlabor!$E$6="AI",Assumptions!$D$24,Assumptions!$D$25))),12)=0))),IF(Nonlabor!$I$6="Fixed",1,IF(Nonlabor!$I$6="Seats",ROUNDUP('Monthly Base'!I38,0),IF(Nonlabor!$I$6="Customers",'Monthly Base'!D38,IF(Nonlabor!$I$6="NewCustomers",'Monthly Base'!C38,IF(Nonlabor!$I$6="StorageGB",'Monthly Base'!G38,IF(Nonlabor!$I$6="LogGB",'Monthly Base'!H38,IF(Nonlabor!$I$6="RequestsM",'Monthly Base'!F38,IF(Nonlabor!$I$6="InputM",'Monthly Base'!D38*Assumptions!$D$22/1000000,IF(Nonlabor!$I$6="OutputM",'Monthly Base'!D38*Assumptions!$D$23/1000000,0))))))))),0)</f>
        <v>1</v>
      </c>
      <c r="F1358" s="10" t="n">
        <f aca="false">Nonlabor!$J$6*(1+Assumptions!$D$9)^INT((C1358-1)/12)</f>
        <v>424.36</v>
      </c>
      <c r="G1358" s="10" t="n">
        <f aca="false">E1358*F1358</f>
        <v>424.36</v>
      </c>
      <c r="H1358" s="10" t="n">
        <f aca="false">IF(OR(Nonlabor!$L$6="Quote required",Nonlabor!$L$6="Unverified"),G1358,0)</f>
        <v>424.36</v>
      </c>
      <c r="I1358" s="10" t="n">
        <f aca="false">IF(Nonlabor!$E$6="Core",0,G1358)</f>
        <v>0</v>
      </c>
      <c r="J1358" s="23" t="str">
        <f aca="false">Nonlabor!$B$6</f>
        <v>INFRA</v>
      </c>
    </row>
    <row r="1359" customFormat="false" ht="15" hidden="false" customHeight="false" outlineLevel="0" collapsed="false">
      <c r="A1359" s="6" t="s">
        <v>4</v>
      </c>
      <c r="B1359" s="6" t="s">
        <v>368</v>
      </c>
      <c r="C1359" s="6" t="n">
        <v>34</v>
      </c>
      <c r="D1359" s="25" t="n">
        <f aca="false">EDATE('Start Here'!$B$6,C1359-1)</f>
        <v>47331</v>
      </c>
      <c r="E1359" s="23" t="n">
        <f aca="false">IF(AND(OR(Nonlabor!$D$6="Both",Nonlabor!$D$6='Start Here'!$B$9),IF(Nonlabor!$E$6="Core",1,IF(Nonlabor!$E$6="AI",'Start Here'!$B$7,'Start Here'!$B$8))=1,C1359&gt;=IF(Nonlabor!$E$6="Core",Nonlabor!$F$6,MAX(Nonlabor!$F$6,IF(Nonlabor!$E$6="AI",Assumptions!$D$24,Assumptions!$D$25))),C1359&lt;=Nonlabor!$G$6,OR(Nonlabor!$H$6="Monthly",AND(Nonlabor!$H$6="Once",C1359=IF(Nonlabor!$E$6="Core",Nonlabor!$F$6,MAX(Nonlabor!$F$6,IF(Nonlabor!$E$6="AI",Assumptions!$D$24,Assumptions!$D$25)))),AND(Nonlabor!$H$6="Annual",MOD(C1359-IF(Nonlabor!$E$6="Core",Nonlabor!$F$6,MAX(Nonlabor!$F$6,IF(Nonlabor!$E$6="AI",Assumptions!$D$24,Assumptions!$D$25))),12)=0))),IF(Nonlabor!$I$6="Fixed",1,IF(Nonlabor!$I$6="Seats",ROUNDUP('Monthly Base'!I39,0),IF(Nonlabor!$I$6="Customers",'Monthly Base'!D39,IF(Nonlabor!$I$6="NewCustomers",'Monthly Base'!C39,IF(Nonlabor!$I$6="StorageGB",'Monthly Base'!G39,IF(Nonlabor!$I$6="LogGB",'Monthly Base'!H39,IF(Nonlabor!$I$6="RequestsM",'Monthly Base'!F39,IF(Nonlabor!$I$6="InputM",'Monthly Base'!D39*Assumptions!$D$22/1000000,IF(Nonlabor!$I$6="OutputM",'Monthly Base'!D39*Assumptions!$D$23/1000000,0))))))))),0)</f>
        <v>1</v>
      </c>
      <c r="F1359" s="10" t="n">
        <f aca="false">Nonlabor!$J$6*(1+Assumptions!$D$9)^INT((C1359-1)/12)</f>
        <v>424.36</v>
      </c>
      <c r="G1359" s="10" t="n">
        <f aca="false">E1359*F1359</f>
        <v>424.36</v>
      </c>
      <c r="H1359" s="10" t="n">
        <f aca="false">IF(OR(Nonlabor!$L$6="Quote required",Nonlabor!$L$6="Unverified"),G1359,0)</f>
        <v>424.36</v>
      </c>
      <c r="I1359" s="10" t="n">
        <f aca="false">IF(Nonlabor!$E$6="Core",0,G1359)</f>
        <v>0</v>
      </c>
      <c r="J1359" s="23" t="str">
        <f aca="false">Nonlabor!$B$6</f>
        <v>INFRA</v>
      </c>
    </row>
    <row r="1360" customFormat="false" ht="15" hidden="false" customHeight="false" outlineLevel="0" collapsed="false">
      <c r="A1360" s="6" t="s">
        <v>4</v>
      </c>
      <c r="B1360" s="6" t="s">
        <v>368</v>
      </c>
      <c r="C1360" s="6" t="n">
        <v>35</v>
      </c>
      <c r="D1360" s="25" t="n">
        <f aca="false">EDATE('Start Here'!$B$6,C1360-1)</f>
        <v>47362</v>
      </c>
      <c r="E1360" s="23" t="n">
        <f aca="false">IF(AND(OR(Nonlabor!$D$6="Both",Nonlabor!$D$6='Start Here'!$B$9),IF(Nonlabor!$E$6="Core",1,IF(Nonlabor!$E$6="AI",'Start Here'!$B$7,'Start Here'!$B$8))=1,C1360&gt;=IF(Nonlabor!$E$6="Core",Nonlabor!$F$6,MAX(Nonlabor!$F$6,IF(Nonlabor!$E$6="AI",Assumptions!$D$24,Assumptions!$D$25))),C1360&lt;=Nonlabor!$G$6,OR(Nonlabor!$H$6="Monthly",AND(Nonlabor!$H$6="Once",C1360=IF(Nonlabor!$E$6="Core",Nonlabor!$F$6,MAX(Nonlabor!$F$6,IF(Nonlabor!$E$6="AI",Assumptions!$D$24,Assumptions!$D$25)))),AND(Nonlabor!$H$6="Annual",MOD(C1360-IF(Nonlabor!$E$6="Core",Nonlabor!$F$6,MAX(Nonlabor!$F$6,IF(Nonlabor!$E$6="AI",Assumptions!$D$24,Assumptions!$D$25))),12)=0))),IF(Nonlabor!$I$6="Fixed",1,IF(Nonlabor!$I$6="Seats",ROUNDUP('Monthly Base'!I40,0),IF(Nonlabor!$I$6="Customers",'Monthly Base'!D40,IF(Nonlabor!$I$6="NewCustomers",'Monthly Base'!C40,IF(Nonlabor!$I$6="StorageGB",'Monthly Base'!G40,IF(Nonlabor!$I$6="LogGB",'Monthly Base'!H40,IF(Nonlabor!$I$6="RequestsM",'Monthly Base'!F40,IF(Nonlabor!$I$6="InputM",'Monthly Base'!D40*Assumptions!$D$22/1000000,IF(Nonlabor!$I$6="OutputM",'Monthly Base'!D40*Assumptions!$D$23/1000000,0))))))))),0)</f>
        <v>1</v>
      </c>
      <c r="F1360" s="10" t="n">
        <f aca="false">Nonlabor!$J$6*(1+Assumptions!$D$9)^INT((C1360-1)/12)</f>
        <v>424.36</v>
      </c>
      <c r="G1360" s="10" t="n">
        <f aca="false">E1360*F1360</f>
        <v>424.36</v>
      </c>
      <c r="H1360" s="10" t="n">
        <f aca="false">IF(OR(Nonlabor!$L$6="Quote required",Nonlabor!$L$6="Unverified"),G1360,0)</f>
        <v>424.36</v>
      </c>
      <c r="I1360" s="10" t="n">
        <f aca="false">IF(Nonlabor!$E$6="Core",0,G1360)</f>
        <v>0</v>
      </c>
      <c r="J1360" s="23" t="str">
        <f aca="false">Nonlabor!$B$6</f>
        <v>INFRA</v>
      </c>
    </row>
    <row r="1361" customFormat="false" ht="15" hidden="false" customHeight="false" outlineLevel="0" collapsed="false">
      <c r="A1361" s="6" t="s">
        <v>4</v>
      </c>
      <c r="B1361" s="6" t="s">
        <v>368</v>
      </c>
      <c r="C1361" s="6" t="n">
        <v>36</v>
      </c>
      <c r="D1361" s="25" t="n">
        <f aca="false">EDATE('Start Here'!$B$6,C1361-1)</f>
        <v>47392</v>
      </c>
      <c r="E1361" s="23" t="n">
        <f aca="false">IF(AND(OR(Nonlabor!$D$6="Both",Nonlabor!$D$6='Start Here'!$B$9),IF(Nonlabor!$E$6="Core",1,IF(Nonlabor!$E$6="AI",'Start Here'!$B$7,'Start Here'!$B$8))=1,C1361&gt;=IF(Nonlabor!$E$6="Core",Nonlabor!$F$6,MAX(Nonlabor!$F$6,IF(Nonlabor!$E$6="AI",Assumptions!$D$24,Assumptions!$D$25))),C1361&lt;=Nonlabor!$G$6,OR(Nonlabor!$H$6="Monthly",AND(Nonlabor!$H$6="Once",C1361=IF(Nonlabor!$E$6="Core",Nonlabor!$F$6,MAX(Nonlabor!$F$6,IF(Nonlabor!$E$6="AI",Assumptions!$D$24,Assumptions!$D$25)))),AND(Nonlabor!$H$6="Annual",MOD(C1361-IF(Nonlabor!$E$6="Core",Nonlabor!$F$6,MAX(Nonlabor!$F$6,IF(Nonlabor!$E$6="AI",Assumptions!$D$24,Assumptions!$D$25))),12)=0))),IF(Nonlabor!$I$6="Fixed",1,IF(Nonlabor!$I$6="Seats",ROUNDUP('Monthly Base'!I41,0),IF(Nonlabor!$I$6="Customers",'Monthly Base'!D41,IF(Nonlabor!$I$6="NewCustomers",'Monthly Base'!C41,IF(Nonlabor!$I$6="StorageGB",'Monthly Base'!G41,IF(Nonlabor!$I$6="LogGB",'Monthly Base'!H41,IF(Nonlabor!$I$6="RequestsM",'Monthly Base'!F41,IF(Nonlabor!$I$6="InputM",'Monthly Base'!D41*Assumptions!$D$22/1000000,IF(Nonlabor!$I$6="OutputM",'Monthly Base'!D41*Assumptions!$D$23/1000000,0))))))))),0)</f>
        <v>1</v>
      </c>
      <c r="F1361" s="10" t="n">
        <f aca="false">Nonlabor!$J$6*(1+Assumptions!$D$9)^INT((C1361-1)/12)</f>
        <v>424.36</v>
      </c>
      <c r="G1361" s="10" t="n">
        <f aca="false">E1361*F1361</f>
        <v>424.36</v>
      </c>
      <c r="H1361" s="10" t="n">
        <f aca="false">IF(OR(Nonlabor!$L$6="Quote required",Nonlabor!$L$6="Unverified"),G1361,0)</f>
        <v>424.36</v>
      </c>
      <c r="I1361" s="10" t="n">
        <f aca="false">IF(Nonlabor!$E$6="Core",0,G1361)</f>
        <v>0</v>
      </c>
      <c r="J1361" s="23" t="str">
        <f aca="false">Nonlabor!$B$6</f>
        <v>INFRA</v>
      </c>
    </row>
    <row r="1362" customFormat="false" ht="15" hidden="false" customHeight="false" outlineLevel="0" collapsed="false">
      <c r="A1362" s="6" t="s">
        <v>4</v>
      </c>
      <c r="B1362" s="6" t="s">
        <v>368</v>
      </c>
      <c r="C1362" s="6" t="n">
        <v>37</v>
      </c>
      <c r="D1362" s="25" t="n">
        <f aca="false">EDATE('Start Here'!$B$6,C1362-1)</f>
        <v>47423</v>
      </c>
      <c r="E1362" s="23" t="n">
        <f aca="false">IF(AND(OR(Nonlabor!$D$6="Both",Nonlabor!$D$6='Start Here'!$B$9),IF(Nonlabor!$E$6="Core",1,IF(Nonlabor!$E$6="AI",'Start Here'!$B$7,'Start Here'!$B$8))=1,C1362&gt;=IF(Nonlabor!$E$6="Core",Nonlabor!$F$6,MAX(Nonlabor!$F$6,IF(Nonlabor!$E$6="AI",Assumptions!$D$24,Assumptions!$D$25))),C1362&lt;=Nonlabor!$G$6,OR(Nonlabor!$H$6="Monthly",AND(Nonlabor!$H$6="Once",C1362=IF(Nonlabor!$E$6="Core",Nonlabor!$F$6,MAX(Nonlabor!$F$6,IF(Nonlabor!$E$6="AI",Assumptions!$D$24,Assumptions!$D$25)))),AND(Nonlabor!$H$6="Annual",MOD(C1362-IF(Nonlabor!$E$6="Core",Nonlabor!$F$6,MAX(Nonlabor!$F$6,IF(Nonlabor!$E$6="AI",Assumptions!$D$24,Assumptions!$D$25))),12)=0))),IF(Nonlabor!$I$6="Fixed",1,IF(Nonlabor!$I$6="Seats",ROUNDUP('Monthly Base'!I42,0),IF(Nonlabor!$I$6="Customers",'Monthly Base'!D42,IF(Nonlabor!$I$6="NewCustomers",'Monthly Base'!C42,IF(Nonlabor!$I$6="StorageGB",'Monthly Base'!G42,IF(Nonlabor!$I$6="LogGB",'Monthly Base'!H42,IF(Nonlabor!$I$6="RequestsM",'Monthly Base'!F42,IF(Nonlabor!$I$6="InputM",'Monthly Base'!D42*Assumptions!$D$22/1000000,IF(Nonlabor!$I$6="OutputM",'Monthly Base'!D42*Assumptions!$D$23/1000000,0))))))))),0)</f>
        <v>1</v>
      </c>
      <c r="F1362" s="10" t="n">
        <f aca="false">Nonlabor!$J$6*(1+Assumptions!$D$9)^INT((C1362-1)/12)</f>
        <v>437.0908</v>
      </c>
      <c r="G1362" s="10" t="n">
        <f aca="false">E1362*F1362</f>
        <v>437.0908</v>
      </c>
      <c r="H1362" s="10" t="n">
        <f aca="false">IF(OR(Nonlabor!$L$6="Quote required",Nonlabor!$L$6="Unverified"),G1362,0)</f>
        <v>437.0908</v>
      </c>
      <c r="I1362" s="10" t="n">
        <f aca="false">IF(Nonlabor!$E$6="Core",0,G1362)</f>
        <v>0</v>
      </c>
      <c r="J1362" s="23" t="str">
        <f aca="false">Nonlabor!$B$6</f>
        <v>INFRA</v>
      </c>
    </row>
    <row r="1363" customFormat="false" ht="15" hidden="false" customHeight="false" outlineLevel="0" collapsed="false">
      <c r="A1363" s="6" t="s">
        <v>4</v>
      </c>
      <c r="B1363" s="6" t="s">
        <v>368</v>
      </c>
      <c r="C1363" s="6" t="n">
        <v>38</v>
      </c>
      <c r="D1363" s="25" t="n">
        <f aca="false">EDATE('Start Here'!$B$6,C1363-1)</f>
        <v>47453</v>
      </c>
      <c r="E1363" s="23" t="n">
        <f aca="false">IF(AND(OR(Nonlabor!$D$6="Both",Nonlabor!$D$6='Start Here'!$B$9),IF(Nonlabor!$E$6="Core",1,IF(Nonlabor!$E$6="AI",'Start Here'!$B$7,'Start Here'!$B$8))=1,C1363&gt;=IF(Nonlabor!$E$6="Core",Nonlabor!$F$6,MAX(Nonlabor!$F$6,IF(Nonlabor!$E$6="AI",Assumptions!$D$24,Assumptions!$D$25))),C1363&lt;=Nonlabor!$G$6,OR(Nonlabor!$H$6="Monthly",AND(Nonlabor!$H$6="Once",C1363=IF(Nonlabor!$E$6="Core",Nonlabor!$F$6,MAX(Nonlabor!$F$6,IF(Nonlabor!$E$6="AI",Assumptions!$D$24,Assumptions!$D$25)))),AND(Nonlabor!$H$6="Annual",MOD(C1363-IF(Nonlabor!$E$6="Core",Nonlabor!$F$6,MAX(Nonlabor!$F$6,IF(Nonlabor!$E$6="AI",Assumptions!$D$24,Assumptions!$D$25))),12)=0))),IF(Nonlabor!$I$6="Fixed",1,IF(Nonlabor!$I$6="Seats",ROUNDUP('Monthly Base'!I43,0),IF(Nonlabor!$I$6="Customers",'Monthly Base'!D43,IF(Nonlabor!$I$6="NewCustomers",'Monthly Base'!C43,IF(Nonlabor!$I$6="StorageGB",'Monthly Base'!G43,IF(Nonlabor!$I$6="LogGB",'Monthly Base'!H43,IF(Nonlabor!$I$6="RequestsM",'Monthly Base'!F43,IF(Nonlabor!$I$6="InputM",'Monthly Base'!D43*Assumptions!$D$22/1000000,IF(Nonlabor!$I$6="OutputM",'Monthly Base'!D43*Assumptions!$D$23/1000000,0))))))))),0)</f>
        <v>1</v>
      </c>
      <c r="F1363" s="10" t="n">
        <f aca="false">Nonlabor!$J$6*(1+Assumptions!$D$9)^INT((C1363-1)/12)</f>
        <v>437.0908</v>
      </c>
      <c r="G1363" s="10" t="n">
        <f aca="false">E1363*F1363</f>
        <v>437.0908</v>
      </c>
      <c r="H1363" s="10" t="n">
        <f aca="false">IF(OR(Nonlabor!$L$6="Quote required",Nonlabor!$L$6="Unverified"),G1363,0)</f>
        <v>437.0908</v>
      </c>
      <c r="I1363" s="10" t="n">
        <f aca="false">IF(Nonlabor!$E$6="Core",0,G1363)</f>
        <v>0</v>
      </c>
      <c r="J1363" s="23" t="str">
        <f aca="false">Nonlabor!$B$6</f>
        <v>INFRA</v>
      </c>
    </row>
    <row r="1364" customFormat="false" ht="15" hidden="false" customHeight="false" outlineLevel="0" collapsed="false">
      <c r="A1364" s="6" t="s">
        <v>4</v>
      </c>
      <c r="B1364" s="6" t="s">
        <v>368</v>
      </c>
      <c r="C1364" s="6" t="n">
        <v>39</v>
      </c>
      <c r="D1364" s="25" t="n">
        <f aca="false">EDATE('Start Here'!$B$6,C1364-1)</f>
        <v>47484</v>
      </c>
      <c r="E1364" s="23" t="n">
        <f aca="false">IF(AND(OR(Nonlabor!$D$6="Both",Nonlabor!$D$6='Start Here'!$B$9),IF(Nonlabor!$E$6="Core",1,IF(Nonlabor!$E$6="AI",'Start Here'!$B$7,'Start Here'!$B$8))=1,C1364&gt;=IF(Nonlabor!$E$6="Core",Nonlabor!$F$6,MAX(Nonlabor!$F$6,IF(Nonlabor!$E$6="AI",Assumptions!$D$24,Assumptions!$D$25))),C1364&lt;=Nonlabor!$G$6,OR(Nonlabor!$H$6="Monthly",AND(Nonlabor!$H$6="Once",C1364=IF(Nonlabor!$E$6="Core",Nonlabor!$F$6,MAX(Nonlabor!$F$6,IF(Nonlabor!$E$6="AI",Assumptions!$D$24,Assumptions!$D$25)))),AND(Nonlabor!$H$6="Annual",MOD(C1364-IF(Nonlabor!$E$6="Core",Nonlabor!$F$6,MAX(Nonlabor!$F$6,IF(Nonlabor!$E$6="AI",Assumptions!$D$24,Assumptions!$D$25))),12)=0))),IF(Nonlabor!$I$6="Fixed",1,IF(Nonlabor!$I$6="Seats",ROUNDUP('Monthly Base'!I44,0),IF(Nonlabor!$I$6="Customers",'Monthly Base'!D44,IF(Nonlabor!$I$6="NewCustomers",'Monthly Base'!C44,IF(Nonlabor!$I$6="StorageGB",'Monthly Base'!G44,IF(Nonlabor!$I$6="LogGB",'Monthly Base'!H44,IF(Nonlabor!$I$6="RequestsM",'Monthly Base'!F44,IF(Nonlabor!$I$6="InputM",'Monthly Base'!D44*Assumptions!$D$22/1000000,IF(Nonlabor!$I$6="OutputM",'Monthly Base'!D44*Assumptions!$D$23/1000000,0))))))))),0)</f>
        <v>1</v>
      </c>
      <c r="F1364" s="10" t="n">
        <f aca="false">Nonlabor!$J$6*(1+Assumptions!$D$9)^INT((C1364-1)/12)</f>
        <v>437.0908</v>
      </c>
      <c r="G1364" s="10" t="n">
        <f aca="false">E1364*F1364</f>
        <v>437.0908</v>
      </c>
      <c r="H1364" s="10" t="n">
        <f aca="false">IF(OR(Nonlabor!$L$6="Quote required",Nonlabor!$L$6="Unverified"),G1364,0)</f>
        <v>437.0908</v>
      </c>
      <c r="I1364" s="10" t="n">
        <f aca="false">IF(Nonlabor!$E$6="Core",0,G1364)</f>
        <v>0</v>
      </c>
      <c r="J1364" s="23" t="str">
        <f aca="false">Nonlabor!$B$6</f>
        <v>INFRA</v>
      </c>
    </row>
    <row r="1365" customFormat="false" ht="15" hidden="false" customHeight="false" outlineLevel="0" collapsed="false">
      <c r="A1365" s="6" t="s">
        <v>4</v>
      </c>
      <c r="B1365" s="6" t="s">
        <v>368</v>
      </c>
      <c r="C1365" s="6" t="n">
        <v>40</v>
      </c>
      <c r="D1365" s="25" t="n">
        <f aca="false">EDATE('Start Here'!$B$6,C1365-1)</f>
        <v>47515</v>
      </c>
      <c r="E1365" s="23" t="n">
        <f aca="false">IF(AND(OR(Nonlabor!$D$6="Both",Nonlabor!$D$6='Start Here'!$B$9),IF(Nonlabor!$E$6="Core",1,IF(Nonlabor!$E$6="AI",'Start Here'!$B$7,'Start Here'!$B$8))=1,C1365&gt;=IF(Nonlabor!$E$6="Core",Nonlabor!$F$6,MAX(Nonlabor!$F$6,IF(Nonlabor!$E$6="AI",Assumptions!$D$24,Assumptions!$D$25))),C1365&lt;=Nonlabor!$G$6,OR(Nonlabor!$H$6="Monthly",AND(Nonlabor!$H$6="Once",C1365=IF(Nonlabor!$E$6="Core",Nonlabor!$F$6,MAX(Nonlabor!$F$6,IF(Nonlabor!$E$6="AI",Assumptions!$D$24,Assumptions!$D$25)))),AND(Nonlabor!$H$6="Annual",MOD(C1365-IF(Nonlabor!$E$6="Core",Nonlabor!$F$6,MAX(Nonlabor!$F$6,IF(Nonlabor!$E$6="AI",Assumptions!$D$24,Assumptions!$D$25))),12)=0))),IF(Nonlabor!$I$6="Fixed",1,IF(Nonlabor!$I$6="Seats",ROUNDUP('Monthly Base'!I45,0),IF(Nonlabor!$I$6="Customers",'Monthly Base'!D45,IF(Nonlabor!$I$6="NewCustomers",'Monthly Base'!C45,IF(Nonlabor!$I$6="StorageGB",'Monthly Base'!G45,IF(Nonlabor!$I$6="LogGB",'Monthly Base'!H45,IF(Nonlabor!$I$6="RequestsM",'Monthly Base'!F45,IF(Nonlabor!$I$6="InputM",'Monthly Base'!D45*Assumptions!$D$22/1000000,IF(Nonlabor!$I$6="OutputM",'Monthly Base'!D45*Assumptions!$D$23/1000000,0))))))))),0)</f>
        <v>1</v>
      </c>
      <c r="F1365" s="10" t="n">
        <f aca="false">Nonlabor!$J$6*(1+Assumptions!$D$9)^INT((C1365-1)/12)</f>
        <v>437.0908</v>
      </c>
      <c r="G1365" s="10" t="n">
        <f aca="false">E1365*F1365</f>
        <v>437.0908</v>
      </c>
      <c r="H1365" s="10" t="n">
        <f aca="false">IF(OR(Nonlabor!$L$6="Quote required",Nonlabor!$L$6="Unverified"),G1365,0)</f>
        <v>437.0908</v>
      </c>
      <c r="I1365" s="10" t="n">
        <f aca="false">IF(Nonlabor!$E$6="Core",0,G1365)</f>
        <v>0</v>
      </c>
      <c r="J1365" s="23" t="str">
        <f aca="false">Nonlabor!$B$6</f>
        <v>INFRA</v>
      </c>
    </row>
    <row r="1366" customFormat="false" ht="15" hidden="false" customHeight="false" outlineLevel="0" collapsed="false">
      <c r="A1366" s="6" t="s">
        <v>4</v>
      </c>
      <c r="B1366" s="6" t="s">
        <v>368</v>
      </c>
      <c r="C1366" s="6" t="n">
        <v>41</v>
      </c>
      <c r="D1366" s="25" t="n">
        <f aca="false">EDATE('Start Here'!$B$6,C1366-1)</f>
        <v>47543</v>
      </c>
      <c r="E1366" s="23" t="n">
        <f aca="false">IF(AND(OR(Nonlabor!$D$6="Both",Nonlabor!$D$6='Start Here'!$B$9),IF(Nonlabor!$E$6="Core",1,IF(Nonlabor!$E$6="AI",'Start Here'!$B$7,'Start Here'!$B$8))=1,C1366&gt;=IF(Nonlabor!$E$6="Core",Nonlabor!$F$6,MAX(Nonlabor!$F$6,IF(Nonlabor!$E$6="AI",Assumptions!$D$24,Assumptions!$D$25))),C1366&lt;=Nonlabor!$G$6,OR(Nonlabor!$H$6="Monthly",AND(Nonlabor!$H$6="Once",C1366=IF(Nonlabor!$E$6="Core",Nonlabor!$F$6,MAX(Nonlabor!$F$6,IF(Nonlabor!$E$6="AI",Assumptions!$D$24,Assumptions!$D$25)))),AND(Nonlabor!$H$6="Annual",MOD(C1366-IF(Nonlabor!$E$6="Core",Nonlabor!$F$6,MAX(Nonlabor!$F$6,IF(Nonlabor!$E$6="AI",Assumptions!$D$24,Assumptions!$D$25))),12)=0))),IF(Nonlabor!$I$6="Fixed",1,IF(Nonlabor!$I$6="Seats",ROUNDUP('Monthly Base'!I46,0),IF(Nonlabor!$I$6="Customers",'Monthly Base'!D46,IF(Nonlabor!$I$6="NewCustomers",'Monthly Base'!C46,IF(Nonlabor!$I$6="StorageGB",'Monthly Base'!G46,IF(Nonlabor!$I$6="LogGB",'Monthly Base'!H46,IF(Nonlabor!$I$6="RequestsM",'Monthly Base'!F46,IF(Nonlabor!$I$6="InputM",'Monthly Base'!D46*Assumptions!$D$22/1000000,IF(Nonlabor!$I$6="OutputM",'Monthly Base'!D46*Assumptions!$D$23/1000000,0))))))))),0)</f>
        <v>1</v>
      </c>
      <c r="F1366" s="10" t="n">
        <f aca="false">Nonlabor!$J$6*(1+Assumptions!$D$9)^INT((C1366-1)/12)</f>
        <v>437.0908</v>
      </c>
      <c r="G1366" s="10" t="n">
        <f aca="false">E1366*F1366</f>
        <v>437.0908</v>
      </c>
      <c r="H1366" s="10" t="n">
        <f aca="false">IF(OR(Nonlabor!$L$6="Quote required",Nonlabor!$L$6="Unverified"),G1366,0)</f>
        <v>437.0908</v>
      </c>
      <c r="I1366" s="10" t="n">
        <f aca="false">IF(Nonlabor!$E$6="Core",0,G1366)</f>
        <v>0</v>
      </c>
      <c r="J1366" s="23" t="str">
        <f aca="false">Nonlabor!$B$6</f>
        <v>INFRA</v>
      </c>
    </row>
    <row r="1367" customFormat="false" ht="15" hidden="false" customHeight="false" outlineLevel="0" collapsed="false">
      <c r="A1367" s="6" t="s">
        <v>4</v>
      </c>
      <c r="B1367" s="6" t="s">
        <v>368</v>
      </c>
      <c r="C1367" s="6" t="n">
        <v>42</v>
      </c>
      <c r="D1367" s="25" t="n">
        <f aca="false">EDATE('Start Here'!$B$6,C1367-1)</f>
        <v>47574</v>
      </c>
      <c r="E1367" s="23" t="n">
        <f aca="false">IF(AND(OR(Nonlabor!$D$6="Both",Nonlabor!$D$6='Start Here'!$B$9),IF(Nonlabor!$E$6="Core",1,IF(Nonlabor!$E$6="AI",'Start Here'!$B$7,'Start Here'!$B$8))=1,C1367&gt;=IF(Nonlabor!$E$6="Core",Nonlabor!$F$6,MAX(Nonlabor!$F$6,IF(Nonlabor!$E$6="AI",Assumptions!$D$24,Assumptions!$D$25))),C1367&lt;=Nonlabor!$G$6,OR(Nonlabor!$H$6="Monthly",AND(Nonlabor!$H$6="Once",C1367=IF(Nonlabor!$E$6="Core",Nonlabor!$F$6,MAX(Nonlabor!$F$6,IF(Nonlabor!$E$6="AI",Assumptions!$D$24,Assumptions!$D$25)))),AND(Nonlabor!$H$6="Annual",MOD(C1367-IF(Nonlabor!$E$6="Core",Nonlabor!$F$6,MAX(Nonlabor!$F$6,IF(Nonlabor!$E$6="AI",Assumptions!$D$24,Assumptions!$D$25))),12)=0))),IF(Nonlabor!$I$6="Fixed",1,IF(Nonlabor!$I$6="Seats",ROUNDUP('Monthly Base'!I47,0),IF(Nonlabor!$I$6="Customers",'Monthly Base'!D47,IF(Nonlabor!$I$6="NewCustomers",'Monthly Base'!C47,IF(Nonlabor!$I$6="StorageGB",'Monthly Base'!G47,IF(Nonlabor!$I$6="LogGB",'Monthly Base'!H47,IF(Nonlabor!$I$6="RequestsM",'Monthly Base'!F47,IF(Nonlabor!$I$6="InputM",'Monthly Base'!D47*Assumptions!$D$22/1000000,IF(Nonlabor!$I$6="OutputM",'Monthly Base'!D47*Assumptions!$D$23/1000000,0))))))))),0)</f>
        <v>1</v>
      </c>
      <c r="F1367" s="10" t="n">
        <f aca="false">Nonlabor!$J$6*(1+Assumptions!$D$9)^INT((C1367-1)/12)</f>
        <v>437.0908</v>
      </c>
      <c r="G1367" s="10" t="n">
        <f aca="false">E1367*F1367</f>
        <v>437.0908</v>
      </c>
      <c r="H1367" s="10" t="n">
        <f aca="false">IF(OR(Nonlabor!$L$6="Quote required",Nonlabor!$L$6="Unverified"),G1367,0)</f>
        <v>437.0908</v>
      </c>
      <c r="I1367" s="10" t="n">
        <f aca="false">IF(Nonlabor!$E$6="Core",0,G1367)</f>
        <v>0</v>
      </c>
      <c r="J1367" s="23" t="str">
        <f aca="false">Nonlabor!$B$6</f>
        <v>INFRA</v>
      </c>
    </row>
    <row r="1368" customFormat="false" ht="15" hidden="false" customHeight="false" outlineLevel="0" collapsed="false">
      <c r="A1368" s="6" t="s">
        <v>4</v>
      </c>
      <c r="B1368" s="6" t="s">
        <v>368</v>
      </c>
      <c r="C1368" s="6" t="n">
        <v>43</v>
      </c>
      <c r="D1368" s="25" t="n">
        <f aca="false">EDATE('Start Here'!$B$6,C1368-1)</f>
        <v>47604</v>
      </c>
      <c r="E1368" s="23" t="n">
        <f aca="false">IF(AND(OR(Nonlabor!$D$6="Both",Nonlabor!$D$6='Start Here'!$B$9),IF(Nonlabor!$E$6="Core",1,IF(Nonlabor!$E$6="AI",'Start Here'!$B$7,'Start Here'!$B$8))=1,C1368&gt;=IF(Nonlabor!$E$6="Core",Nonlabor!$F$6,MAX(Nonlabor!$F$6,IF(Nonlabor!$E$6="AI",Assumptions!$D$24,Assumptions!$D$25))),C1368&lt;=Nonlabor!$G$6,OR(Nonlabor!$H$6="Monthly",AND(Nonlabor!$H$6="Once",C1368=IF(Nonlabor!$E$6="Core",Nonlabor!$F$6,MAX(Nonlabor!$F$6,IF(Nonlabor!$E$6="AI",Assumptions!$D$24,Assumptions!$D$25)))),AND(Nonlabor!$H$6="Annual",MOD(C1368-IF(Nonlabor!$E$6="Core",Nonlabor!$F$6,MAX(Nonlabor!$F$6,IF(Nonlabor!$E$6="AI",Assumptions!$D$24,Assumptions!$D$25))),12)=0))),IF(Nonlabor!$I$6="Fixed",1,IF(Nonlabor!$I$6="Seats",ROUNDUP('Monthly Base'!I48,0),IF(Nonlabor!$I$6="Customers",'Monthly Base'!D48,IF(Nonlabor!$I$6="NewCustomers",'Monthly Base'!C48,IF(Nonlabor!$I$6="StorageGB",'Monthly Base'!G48,IF(Nonlabor!$I$6="LogGB",'Monthly Base'!H48,IF(Nonlabor!$I$6="RequestsM",'Monthly Base'!F48,IF(Nonlabor!$I$6="InputM",'Monthly Base'!D48*Assumptions!$D$22/1000000,IF(Nonlabor!$I$6="OutputM",'Monthly Base'!D48*Assumptions!$D$23/1000000,0))))))))),0)</f>
        <v>1</v>
      </c>
      <c r="F1368" s="10" t="n">
        <f aca="false">Nonlabor!$J$6*(1+Assumptions!$D$9)^INT((C1368-1)/12)</f>
        <v>437.0908</v>
      </c>
      <c r="G1368" s="10" t="n">
        <f aca="false">E1368*F1368</f>
        <v>437.0908</v>
      </c>
      <c r="H1368" s="10" t="n">
        <f aca="false">IF(OR(Nonlabor!$L$6="Quote required",Nonlabor!$L$6="Unverified"),G1368,0)</f>
        <v>437.0908</v>
      </c>
      <c r="I1368" s="10" t="n">
        <f aca="false">IF(Nonlabor!$E$6="Core",0,G1368)</f>
        <v>0</v>
      </c>
      <c r="J1368" s="23" t="str">
        <f aca="false">Nonlabor!$B$6</f>
        <v>INFRA</v>
      </c>
    </row>
    <row r="1369" customFormat="false" ht="15" hidden="false" customHeight="false" outlineLevel="0" collapsed="false">
      <c r="A1369" s="6" t="s">
        <v>4</v>
      </c>
      <c r="B1369" s="6" t="s">
        <v>368</v>
      </c>
      <c r="C1369" s="6" t="n">
        <v>44</v>
      </c>
      <c r="D1369" s="25" t="n">
        <f aca="false">EDATE('Start Here'!$B$6,C1369-1)</f>
        <v>47635</v>
      </c>
      <c r="E1369" s="23" t="n">
        <f aca="false">IF(AND(OR(Nonlabor!$D$6="Both",Nonlabor!$D$6='Start Here'!$B$9),IF(Nonlabor!$E$6="Core",1,IF(Nonlabor!$E$6="AI",'Start Here'!$B$7,'Start Here'!$B$8))=1,C1369&gt;=IF(Nonlabor!$E$6="Core",Nonlabor!$F$6,MAX(Nonlabor!$F$6,IF(Nonlabor!$E$6="AI",Assumptions!$D$24,Assumptions!$D$25))),C1369&lt;=Nonlabor!$G$6,OR(Nonlabor!$H$6="Monthly",AND(Nonlabor!$H$6="Once",C1369=IF(Nonlabor!$E$6="Core",Nonlabor!$F$6,MAX(Nonlabor!$F$6,IF(Nonlabor!$E$6="AI",Assumptions!$D$24,Assumptions!$D$25)))),AND(Nonlabor!$H$6="Annual",MOD(C1369-IF(Nonlabor!$E$6="Core",Nonlabor!$F$6,MAX(Nonlabor!$F$6,IF(Nonlabor!$E$6="AI",Assumptions!$D$24,Assumptions!$D$25))),12)=0))),IF(Nonlabor!$I$6="Fixed",1,IF(Nonlabor!$I$6="Seats",ROUNDUP('Monthly Base'!I49,0),IF(Nonlabor!$I$6="Customers",'Monthly Base'!D49,IF(Nonlabor!$I$6="NewCustomers",'Monthly Base'!C49,IF(Nonlabor!$I$6="StorageGB",'Monthly Base'!G49,IF(Nonlabor!$I$6="LogGB",'Monthly Base'!H49,IF(Nonlabor!$I$6="RequestsM",'Monthly Base'!F49,IF(Nonlabor!$I$6="InputM",'Monthly Base'!D49*Assumptions!$D$22/1000000,IF(Nonlabor!$I$6="OutputM",'Monthly Base'!D49*Assumptions!$D$23/1000000,0))))))))),0)</f>
        <v>1</v>
      </c>
      <c r="F1369" s="10" t="n">
        <f aca="false">Nonlabor!$J$6*(1+Assumptions!$D$9)^INT((C1369-1)/12)</f>
        <v>437.0908</v>
      </c>
      <c r="G1369" s="10" t="n">
        <f aca="false">E1369*F1369</f>
        <v>437.0908</v>
      </c>
      <c r="H1369" s="10" t="n">
        <f aca="false">IF(OR(Nonlabor!$L$6="Quote required",Nonlabor!$L$6="Unverified"),G1369,0)</f>
        <v>437.0908</v>
      </c>
      <c r="I1369" s="10" t="n">
        <f aca="false">IF(Nonlabor!$E$6="Core",0,G1369)</f>
        <v>0</v>
      </c>
      <c r="J1369" s="23" t="str">
        <f aca="false">Nonlabor!$B$6</f>
        <v>INFRA</v>
      </c>
    </row>
    <row r="1370" customFormat="false" ht="15" hidden="false" customHeight="false" outlineLevel="0" collapsed="false">
      <c r="A1370" s="6" t="s">
        <v>4</v>
      </c>
      <c r="B1370" s="6" t="s">
        <v>368</v>
      </c>
      <c r="C1370" s="6" t="n">
        <v>45</v>
      </c>
      <c r="D1370" s="25" t="n">
        <f aca="false">EDATE('Start Here'!$B$6,C1370-1)</f>
        <v>47665</v>
      </c>
      <c r="E1370" s="23" t="n">
        <f aca="false">IF(AND(OR(Nonlabor!$D$6="Both",Nonlabor!$D$6='Start Here'!$B$9),IF(Nonlabor!$E$6="Core",1,IF(Nonlabor!$E$6="AI",'Start Here'!$B$7,'Start Here'!$B$8))=1,C1370&gt;=IF(Nonlabor!$E$6="Core",Nonlabor!$F$6,MAX(Nonlabor!$F$6,IF(Nonlabor!$E$6="AI",Assumptions!$D$24,Assumptions!$D$25))),C1370&lt;=Nonlabor!$G$6,OR(Nonlabor!$H$6="Monthly",AND(Nonlabor!$H$6="Once",C1370=IF(Nonlabor!$E$6="Core",Nonlabor!$F$6,MAX(Nonlabor!$F$6,IF(Nonlabor!$E$6="AI",Assumptions!$D$24,Assumptions!$D$25)))),AND(Nonlabor!$H$6="Annual",MOD(C1370-IF(Nonlabor!$E$6="Core",Nonlabor!$F$6,MAX(Nonlabor!$F$6,IF(Nonlabor!$E$6="AI",Assumptions!$D$24,Assumptions!$D$25))),12)=0))),IF(Nonlabor!$I$6="Fixed",1,IF(Nonlabor!$I$6="Seats",ROUNDUP('Monthly Base'!I50,0),IF(Nonlabor!$I$6="Customers",'Monthly Base'!D50,IF(Nonlabor!$I$6="NewCustomers",'Monthly Base'!C50,IF(Nonlabor!$I$6="StorageGB",'Monthly Base'!G50,IF(Nonlabor!$I$6="LogGB",'Monthly Base'!H50,IF(Nonlabor!$I$6="RequestsM",'Monthly Base'!F50,IF(Nonlabor!$I$6="InputM",'Monthly Base'!D50*Assumptions!$D$22/1000000,IF(Nonlabor!$I$6="OutputM",'Monthly Base'!D50*Assumptions!$D$23/1000000,0))))))))),0)</f>
        <v>1</v>
      </c>
      <c r="F1370" s="10" t="n">
        <f aca="false">Nonlabor!$J$6*(1+Assumptions!$D$9)^INT((C1370-1)/12)</f>
        <v>437.0908</v>
      </c>
      <c r="G1370" s="10" t="n">
        <f aca="false">E1370*F1370</f>
        <v>437.0908</v>
      </c>
      <c r="H1370" s="10" t="n">
        <f aca="false">IF(OR(Nonlabor!$L$6="Quote required",Nonlabor!$L$6="Unverified"),G1370,0)</f>
        <v>437.0908</v>
      </c>
      <c r="I1370" s="10" t="n">
        <f aca="false">IF(Nonlabor!$E$6="Core",0,G1370)</f>
        <v>0</v>
      </c>
      <c r="J1370" s="23" t="str">
        <f aca="false">Nonlabor!$B$6</f>
        <v>INFRA</v>
      </c>
    </row>
    <row r="1371" customFormat="false" ht="15" hidden="false" customHeight="false" outlineLevel="0" collapsed="false">
      <c r="A1371" s="6" t="s">
        <v>4</v>
      </c>
      <c r="B1371" s="6" t="s">
        <v>368</v>
      </c>
      <c r="C1371" s="6" t="n">
        <v>46</v>
      </c>
      <c r="D1371" s="25" t="n">
        <f aca="false">EDATE('Start Here'!$B$6,C1371-1)</f>
        <v>47696</v>
      </c>
      <c r="E1371" s="23" t="n">
        <f aca="false">IF(AND(OR(Nonlabor!$D$6="Both",Nonlabor!$D$6='Start Here'!$B$9),IF(Nonlabor!$E$6="Core",1,IF(Nonlabor!$E$6="AI",'Start Here'!$B$7,'Start Here'!$B$8))=1,C1371&gt;=IF(Nonlabor!$E$6="Core",Nonlabor!$F$6,MAX(Nonlabor!$F$6,IF(Nonlabor!$E$6="AI",Assumptions!$D$24,Assumptions!$D$25))),C1371&lt;=Nonlabor!$G$6,OR(Nonlabor!$H$6="Monthly",AND(Nonlabor!$H$6="Once",C1371=IF(Nonlabor!$E$6="Core",Nonlabor!$F$6,MAX(Nonlabor!$F$6,IF(Nonlabor!$E$6="AI",Assumptions!$D$24,Assumptions!$D$25)))),AND(Nonlabor!$H$6="Annual",MOD(C1371-IF(Nonlabor!$E$6="Core",Nonlabor!$F$6,MAX(Nonlabor!$F$6,IF(Nonlabor!$E$6="AI",Assumptions!$D$24,Assumptions!$D$25))),12)=0))),IF(Nonlabor!$I$6="Fixed",1,IF(Nonlabor!$I$6="Seats",ROUNDUP('Monthly Base'!I51,0),IF(Nonlabor!$I$6="Customers",'Monthly Base'!D51,IF(Nonlabor!$I$6="NewCustomers",'Monthly Base'!C51,IF(Nonlabor!$I$6="StorageGB",'Monthly Base'!G51,IF(Nonlabor!$I$6="LogGB",'Monthly Base'!H51,IF(Nonlabor!$I$6="RequestsM",'Monthly Base'!F51,IF(Nonlabor!$I$6="InputM",'Monthly Base'!D51*Assumptions!$D$22/1000000,IF(Nonlabor!$I$6="OutputM",'Monthly Base'!D51*Assumptions!$D$23/1000000,0))))))))),0)</f>
        <v>1</v>
      </c>
      <c r="F1371" s="10" t="n">
        <f aca="false">Nonlabor!$J$6*(1+Assumptions!$D$9)^INT((C1371-1)/12)</f>
        <v>437.0908</v>
      </c>
      <c r="G1371" s="10" t="n">
        <f aca="false">E1371*F1371</f>
        <v>437.0908</v>
      </c>
      <c r="H1371" s="10" t="n">
        <f aca="false">IF(OR(Nonlabor!$L$6="Quote required",Nonlabor!$L$6="Unverified"),G1371,0)</f>
        <v>437.0908</v>
      </c>
      <c r="I1371" s="10" t="n">
        <f aca="false">IF(Nonlabor!$E$6="Core",0,G1371)</f>
        <v>0</v>
      </c>
      <c r="J1371" s="23" t="str">
        <f aca="false">Nonlabor!$B$6</f>
        <v>INFRA</v>
      </c>
    </row>
    <row r="1372" customFormat="false" ht="15" hidden="false" customHeight="false" outlineLevel="0" collapsed="false">
      <c r="A1372" s="6" t="s">
        <v>4</v>
      </c>
      <c r="B1372" s="6" t="s">
        <v>368</v>
      </c>
      <c r="C1372" s="6" t="n">
        <v>47</v>
      </c>
      <c r="D1372" s="25" t="n">
        <f aca="false">EDATE('Start Here'!$B$6,C1372-1)</f>
        <v>47727</v>
      </c>
      <c r="E1372" s="23" t="n">
        <f aca="false">IF(AND(OR(Nonlabor!$D$6="Both",Nonlabor!$D$6='Start Here'!$B$9),IF(Nonlabor!$E$6="Core",1,IF(Nonlabor!$E$6="AI",'Start Here'!$B$7,'Start Here'!$B$8))=1,C1372&gt;=IF(Nonlabor!$E$6="Core",Nonlabor!$F$6,MAX(Nonlabor!$F$6,IF(Nonlabor!$E$6="AI",Assumptions!$D$24,Assumptions!$D$25))),C1372&lt;=Nonlabor!$G$6,OR(Nonlabor!$H$6="Monthly",AND(Nonlabor!$H$6="Once",C1372=IF(Nonlabor!$E$6="Core",Nonlabor!$F$6,MAX(Nonlabor!$F$6,IF(Nonlabor!$E$6="AI",Assumptions!$D$24,Assumptions!$D$25)))),AND(Nonlabor!$H$6="Annual",MOD(C1372-IF(Nonlabor!$E$6="Core",Nonlabor!$F$6,MAX(Nonlabor!$F$6,IF(Nonlabor!$E$6="AI",Assumptions!$D$24,Assumptions!$D$25))),12)=0))),IF(Nonlabor!$I$6="Fixed",1,IF(Nonlabor!$I$6="Seats",ROUNDUP('Monthly Base'!I52,0),IF(Nonlabor!$I$6="Customers",'Monthly Base'!D52,IF(Nonlabor!$I$6="NewCustomers",'Monthly Base'!C52,IF(Nonlabor!$I$6="StorageGB",'Monthly Base'!G52,IF(Nonlabor!$I$6="LogGB",'Monthly Base'!H52,IF(Nonlabor!$I$6="RequestsM",'Monthly Base'!F52,IF(Nonlabor!$I$6="InputM",'Monthly Base'!D52*Assumptions!$D$22/1000000,IF(Nonlabor!$I$6="OutputM",'Monthly Base'!D52*Assumptions!$D$23/1000000,0))))))))),0)</f>
        <v>1</v>
      </c>
      <c r="F1372" s="10" t="n">
        <f aca="false">Nonlabor!$J$6*(1+Assumptions!$D$9)^INT((C1372-1)/12)</f>
        <v>437.0908</v>
      </c>
      <c r="G1372" s="10" t="n">
        <f aca="false">E1372*F1372</f>
        <v>437.0908</v>
      </c>
      <c r="H1372" s="10" t="n">
        <f aca="false">IF(OR(Nonlabor!$L$6="Quote required",Nonlabor!$L$6="Unverified"),G1372,0)</f>
        <v>437.0908</v>
      </c>
      <c r="I1372" s="10" t="n">
        <f aca="false">IF(Nonlabor!$E$6="Core",0,G1372)</f>
        <v>0</v>
      </c>
      <c r="J1372" s="23" t="str">
        <f aca="false">Nonlabor!$B$6</f>
        <v>INFRA</v>
      </c>
    </row>
    <row r="1373" customFormat="false" ht="15" hidden="false" customHeight="false" outlineLevel="0" collapsed="false">
      <c r="A1373" s="6" t="s">
        <v>4</v>
      </c>
      <c r="B1373" s="6" t="s">
        <v>368</v>
      </c>
      <c r="C1373" s="6" t="n">
        <v>48</v>
      </c>
      <c r="D1373" s="25" t="n">
        <f aca="false">EDATE('Start Here'!$B$6,C1373-1)</f>
        <v>47757</v>
      </c>
      <c r="E1373" s="23" t="n">
        <f aca="false">IF(AND(OR(Nonlabor!$D$6="Both",Nonlabor!$D$6='Start Here'!$B$9),IF(Nonlabor!$E$6="Core",1,IF(Nonlabor!$E$6="AI",'Start Here'!$B$7,'Start Here'!$B$8))=1,C1373&gt;=IF(Nonlabor!$E$6="Core",Nonlabor!$F$6,MAX(Nonlabor!$F$6,IF(Nonlabor!$E$6="AI",Assumptions!$D$24,Assumptions!$D$25))),C1373&lt;=Nonlabor!$G$6,OR(Nonlabor!$H$6="Monthly",AND(Nonlabor!$H$6="Once",C1373=IF(Nonlabor!$E$6="Core",Nonlabor!$F$6,MAX(Nonlabor!$F$6,IF(Nonlabor!$E$6="AI",Assumptions!$D$24,Assumptions!$D$25)))),AND(Nonlabor!$H$6="Annual",MOD(C1373-IF(Nonlabor!$E$6="Core",Nonlabor!$F$6,MAX(Nonlabor!$F$6,IF(Nonlabor!$E$6="AI",Assumptions!$D$24,Assumptions!$D$25))),12)=0))),IF(Nonlabor!$I$6="Fixed",1,IF(Nonlabor!$I$6="Seats",ROUNDUP('Monthly Base'!I53,0),IF(Nonlabor!$I$6="Customers",'Monthly Base'!D53,IF(Nonlabor!$I$6="NewCustomers",'Monthly Base'!C53,IF(Nonlabor!$I$6="StorageGB",'Monthly Base'!G53,IF(Nonlabor!$I$6="LogGB",'Monthly Base'!H53,IF(Nonlabor!$I$6="RequestsM",'Monthly Base'!F53,IF(Nonlabor!$I$6="InputM",'Monthly Base'!D53*Assumptions!$D$22/1000000,IF(Nonlabor!$I$6="OutputM",'Monthly Base'!D53*Assumptions!$D$23/1000000,0))))))))),0)</f>
        <v>1</v>
      </c>
      <c r="F1373" s="10" t="n">
        <f aca="false">Nonlabor!$J$6*(1+Assumptions!$D$9)^INT((C1373-1)/12)</f>
        <v>437.0908</v>
      </c>
      <c r="G1373" s="10" t="n">
        <f aca="false">E1373*F1373</f>
        <v>437.0908</v>
      </c>
      <c r="H1373" s="10" t="n">
        <f aca="false">IF(OR(Nonlabor!$L$6="Quote required",Nonlabor!$L$6="Unverified"),G1373,0)</f>
        <v>437.0908</v>
      </c>
      <c r="I1373" s="10" t="n">
        <f aca="false">IF(Nonlabor!$E$6="Core",0,G1373)</f>
        <v>0</v>
      </c>
      <c r="J1373" s="23" t="str">
        <f aca="false">Nonlabor!$B$6</f>
        <v>INFRA</v>
      </c>
    </row>
    <row r="1374" customFormat="false" ht="15" hidden="false" customHeight="false" outlineLevel="0" collapsed="false">
      <c r="A1374" s="6" t="s">
        <v>4</v>
      </c>
      <c r="B1374" s="6" t="s">
        <v>368</v>
      </c>
      <c r="C1374" s="6" t="n">
        <v>49</v>
      </c>
      <c r="D1374" s="25" t="n">
        <f aca="false">EDATE('Start Here'!$B$6,C1374-1)</f>
        <v>47788</v>
      </c>
      <c r="E1374" s="23" t="n">
        <f aca="false">IF(AND(OR(Nonlabor!$D$6="Both",Nonlabor!$D$6='Start Here'!$B$9),IF(Nonlabor!$E$6="Core",1,IF(Nonlabor!$E$6="AI",'Start Here'!$B$7,'Start Here'!$B$8))=1,C1374&gt;=IF(Nonlabor!$E$6="Core",Nonlabor!$F$6,MAX(Nonlabor!$F$6,IF(Nonlabor!$E$6="AI",Assumptions!$D$24,Assumptions!$D$25))),C1374&lt;=Nonlabor!$G$6,OR(Nonlabor!$H$6="Monthly",AND(Nonlabor!$H$6="Once",C1374=IF(Nonlabor!$E$6="Core",Nonlabor!$F$6,MAX(Nonlabor!$F$6,IF(Nonlabor!$E$6="AI",Assumptions!$D$24,Assumptions!$D$25)))),AND(Nonlabor!$H$6="Annual",MOD(C1374-IF(Nonlabor!$E$6="Core",Nonlabor!$F$6,MAX(Nonlabor!$F$6,IF(Nonlabor!$E$6="AI",Assumptions!$D$24,Assumptions!$D$25))),12)=0))),IF(Nonlabor!$I$6="Fixed",1,IF(Nonlabor!$I$6="Seats",ROUNDUP('Monthly Base'!I54,0),IF(Nonlabor!$I$6="Customers",'Monthly Base'!D54,IF(Nonlabor!$I$6="NewCustomers",'Monthly Base'!C54,IF(Nonlabor!$I$6="StorageGB",'Monthly Base'!G54,IF(Nonlabor!$I$6="LogGB",'Monthly Base'!H54,IF(Nonlabor!$I$6="RequestsM",'Monthly Base'!F54,IF(Nonlabor!$I$6="InputM",'Monthly Base'!D54*Assumptions!$D$22/1000000,IF(Nonlabor!$I$6="OutputM",'Monthly Base'!D54*Assumptions!$D$23/1000000,0))))))))),0)</f>
        <v>1</v>
      </c>
      <c r="F1374" s="10" t="n">
        <f aca="false">Nonlabor!$J$6*(1+Assumptions!$D$9)^INT((C1374-1)/12)</f>
        <v>450.203524</v>
      </c>
      <c r="G1374" s="10" t="n">
        <f aca="false">E1374*F1374</f>
        <v>450.203524</v>
      </c>
      <c r="H1374" s="10" t="n">
        <f aca="false">IF(OR(Nonlabor!$L$6="Quote required",Nonlabor!$L$6="Unverified"),G1374,0)</f>
        <v>450.203524</v>
      </c>
      <c r="I1374" s="10" t="n">
        <f aca="false">IF(Nonlabor!$E$6="Core",0,G1374)</f>
        <v>0</v>
      </c>
      <c r="J1374" s="23" t="str">
        <f aca="false">Nonlabor!$B$6</f>
        <v>INFRA</v>
      </c>
    </row>
    <row r="1375" customFormat="false" ht="15" hidden="false" customHeight="false" outlineLevel="0" collapsed="false">
      <c r="A1375" s="6" t="s">
        <v>4</v>
      </c>
      <c r="B1375" s="6" t="s">
        <v>368</v>
      </c>
      <c r="C1375" s="6" t="n">
        <v>50</v>
      </c>
      <c r="D1375" s="25" t="n">
        <f aca="false">EDATE('Start Here'!$B$6,C1375-1)</f>
        <v>47818</v>
      </c>
      <c r="E1375" s="23" t="n">
        <f aca="false">IF(AND(OR(Nonlabor!$D$6="Both",Nonlabor!$D$6='Start Here'!$B$9),IF(Nonlabor!$E$6="Core",1,IF(Nonlabor!$E$6="AI",'Start Here'!$B$7,'Start Here'!$B$8))=1,C1375&gt;=IF(Nonlabor!$E$6="Core",Nonlabor!$F$6,MAX(Nonlabor!$F$6,IF(Nonlabor!$E$6="AI",Assumptions!$D$24,Assumptions!$D$25))),C1375&lt;=Nonlabor!$G$6,OR(Nonlabor!$H$6="Monthly",AND(Nonlabor!$H$6="Once",C1375=IF(Nonlabor!$E$6="Core",Nonlabor!$F$6,MAX(Nonlabor!$F$6,IF(Nonlabor!$E$6="AI",Assumptions!$D$24,Assumptions!$D$25)))),AND(Nonlabor!$H$6="Annual",MOD(C1375-IF(Nonlabor!$E$6="Core",Nonlabor!$F$6,MAX(Nonlabor!$F$6,IF(Nonlabor!$E$6="AI",Assumptions!$D$24,Assumptions!$D$25))),12)=0))),IF(Nonlabor!$I$6="Fixed",1,IF(Nonlabor!$I$6="Seats",ROUNDUP('Monthly Base'!I55,0),IF(Nonlabor!$I$6="Customers",'Monthly Base'!D55,IF(Nonlabor!$I$6="NewCustomers",'Monthly Base'!C55,IF(Nonlabor!$I$6="StorageGB",'Monthly Base'!G55,IF(Nonlabor!$I$6="LogGB",'Monthly Base'!H55,IF(Nonlabor!$I$6="RequestsM",'Monthly Base'!F55,IF(Nonlabor!$I$6="InputM",'Monthly Base'!D55*Assumptions!$D$22/1000000,IF(Nonlabor!$I$6="OutputM",'Monthly Base'!D55*Assumptions!$D$23/1000000,0))))))))),0)</f>
        <v>1</v>
      </c>
      <c r="F1375" s="10" t="n">
        <f aca="false">Nonlabor!$J$6*(1+Assumptions!$D$9)^INT((C1375-1)/12)</f>
        <v>450.203524</v>
      </c>
      <c r="G1375" s="10" t="n">
        <f aca="false">E1375*F1375</f>
        <v>450.203524</v>
      </c>
      <c r="H1375" s="10" t="n">
        <f aca="false">IF(OR(Nonlabor!$L$6="Quote required",Nonlabor!$L$6="Unverified"),G1375,0)</f>
        <v>450.203524</v>
      </c>
      <c r="I1375" s="10" t="n">
        <f aca="false">IF(Nonlabor!$E$6="Core",0,G1375)</f>
        <v>0</v>
      </c>
      <c r="J1375" s="23" t="str">
        <f aca="false">Nonlabor!$B$6</f>
        <v>INFRA</v>
      </c>
    </row>
    <row r="1376" customFormat="false" ht="15" hidden="false" customHeight="false" outlineLevel="0" collapsed="false">
      <c r="A1376" s="6" t="s">
        <v>4</v>
      </c>
      <c r="B1376" s="6" t="s">
        <v>368</v>
      </c>
      <c r="C1376" s="6" t="n">
        <v>51</v>
      </c>
      <c r="D1376" s="25" t="n">
        <f aca="false">EDATE('Start Here'!$B$6,C1376-1)</f>
        <v>47849</v>
      </c>
      <c r="E1376" s="23" t="n">
        <f aca="false">IF(AND(OR(Nonlabor!$D$6="Both",Nonlabor!$D$6='Start Here'!$B$9),IF(Nonlabor!$E$6="Core",1,IF(Nonlabor!$E$6="AI",'Start Here'!$B$7,'Start Here'!$B$8))=1,C1376&gt;=IF(Nonlabor!$E$6="Core",Nonlabor!$F$6,MAX(Nonlabor!$F$6,IF(Nonlabor!$E$6="AI",Assumptions!$D$24,Assumptions!$D$25))),C1376&lt;=Nonlabor!$G$6,OR(Nonlabor!$H$6="Monthly",AND(Nonlabor!$H$6="Once",C1376=IF(Nonlabor!$E$6="Core",Nonlabor!$F$6,MAX(Nonlabor!$F$6,IF(Nonlabor!$E$6="AI",Assumptions!$D$24,Assumptions!$D$25)))),AND(Nonlabor!$H$6="Annual",MOD(C1376-IF(Nonlabor!$E$6="Core",Nonlabor!$F$6,MAX(Nonlabor!$F$6,IF(Nonlabor!$E$6="AI",Assumptions!$D$24,Assumptions!$D$25))),12)=0))),IF(Nonlabor!$I$6="Fixed",1,IF(Nonlabor!$I$6="Seats",ROUNDUP('Monthly Base'!I56,0),IF(Nonlabor!$I$6="Customers",'Monthly Base'!D56,IF(Nonlabor!$I$6="NewCustomers",'Monthly Base'!C56,IF(Nonlabor!$I$6="StorageGB",'Monthly Base'!G56,IF(Nonlabor!$I$6="LogGB",'Monthly Base'!H56,IF(Nonlabor!$I$6="RequestsM",'Monthly Base'!F56,IF(Nonlabor!$I$6="InputM",'Monthly Base'!D56*Assumptions!$D$22/1000000,IF(Nonlabor!$I$6="OutputM",'Monthly Base'!D56*Assumptions!$D$23/1000000,0))))))))),0)</f>
        <v>1</v>
      </c>
      <c r="F1376" s="10" t="n">
        <f aca="false">Nonlabor!$J$6*(1+Assumptions!$D$9)^INT((C1376-1)/12)</f>
        <v>450.203524</v>
      </c>
      <c r="G1376" s="10" t="n">
        <f aca="false">E1376*F1376</f>
        <v>450.203524</v>
      </c>
      <c r="H1376" s="10" t="n">
        <f aca="false">IF(OR(Nonlabor!$L$6="Quote required",Nonlabor!$L$6="Unverified"),G1376,0)</f>
        <v>450.203524</v>
      </c>
      <c r="I1376" s="10" t="n">
        <f aca="false">IF(Nonlabor!$E$6="Core",0,G1376)</f>
        <v>0</v>
      </c>
      <c r="J1376" s="23" t="str">
        <f aca="false">Nonlabor!$B$6</f>
        <v>INFRA</v>
      </c>
    </row>
    <row r="1377" customFormat="false" ht="15" hidden="false" customHeight="false" outlineLevel="0" collapsed="false">
      <c r="A1377" s="6" t="s">
        <v>4</v>
      </c>
      <c r="B1377" s="6" t="s">
        <v>368</v>
      </c>
      <c r="C1377" s="6" t="n">
        <v>52</v>
      </c>
      <c r="D1377" s="25" t="n">
        <f aca="false">EDATE('Start Here'!$B$6,C1377-1)</f>
        <v>47880</v>
      </c>
      <c r="E1377" s="23" t="n">
        <f aca="false">IF(AND(OR(Nonlabor!$D$6="Both",Nonlabor!$D$6='Start Here'!$B$9),IF(Nonlabor!$E$6="Core",1,IF(Nonlabor!$E$6="AI",'Start Here'!$B$7,'Start Here'!$B$8))=1,C1377&gt;=IF(Nonlabor!$E$6="Core",Nonlabor!$F$6,MAX(Nonlabor!$F$6,IF(Nonlabor!$E$6="AI",Assumptions!$D$24,Assumptions!$D$25))),C1377&lt;=Nonlabor!$G$6,OR(Nonlabor!$H$6="Monthly",AND(Nonlabor!$H$6="Once",C1377=IF(Nonlabor!$E$6="Core",Nonlabor!$F$6,MAX(Nonlabor!$F$6,IF(Nonlabor!$E$6="AI",Assumptions!$D$24,Assumptions!$D$25)))),AND(Nonlabor!$H$6="Annual",MOD(C1377-IF(Nonlabor!$E$6="Core",Nonlabor!$F$6,MAX(Nonlabor!$F$6,IF(Nonlabor!$E$6="AI",Assumptions!$D$24,Assumptions!$D$25))),12)=0))),IF(Nonlabor!$I$6="Fixed",1,IF(Nonlabor!$I$6="Seats",ROUNDUP('Monthly Base'!I57,0),IF(Nonlabor!$I$6="Customers",'Monthly Base'!D57,IF(Nonlabor!$I$6="NewCustomers",'Monthly Base'!C57,IF(Nonlabor!$I$6="StorageGB",'Monthly Base'!G57,IF(Nonlabor!$I$6="LogGB",'Monthly Base'!H57,IF(Nonlabor!$I$6="RequestsM",'Monthly Base'!F57,IF(Nonlabor!$I$6="InputM",'Monthly Base'!D57*Assumptions!$D$22/1000000,IF(Nonlabor!$I$6="OutputM",'Monthly Base'!D57*Assumptions!$D$23/1000000,0))))))))),0)</f>
        <v>1</v>
      </c>
      <c r="F1377" s="10" t="n">
        <f aca="false">Nonlabor!$J$6*(1+Assumptions!$D$9)^INT((C1377-1)/12)</f>
        <v>450.203524</v>
      </c>
      <c r="G1377" s="10" t="n">
        <f aca="false">E1377*F1377</f>
        <v>450.203524</v>
      </c>
      <c r="H1377" s="10" t="n">
        <f aca="false">IF(OR(Nonlabor!$L$6="Quote required",Nonlabor!$L$6="Unverified"),G1377,0)</f>
        <v>450.203524</v>
      </c>
      <c r="I1377" s="10" t="n">
        <f aca="false">IF(Nonlabor!$E$6="Core",0,G1377)</f>
        <v>0</v>
      </c>
      <c r="J1377" s="23" t="str">
        <f aca="false">Nonlabor!$B$6</f>
        <v>INFRA</v>
      </c>
    </row>
    <row r="1378" customFormat="false" ht="15" hidden="false" customHeight="false" outlineLevel="0" collapsed="false">
      <c r="A1378" s="6" t="s">
        <v>4</v>
      </c>
      <c r="B1378" s="6" t="s">
        <v>368</v>
      </c>
      <c r="C1378" s="6" t="n">
        <v>53</v>
      </c>
      <c r="D1378" s="25" t="n">
        <f aca="false">EDATE('Start Here'!$B$6,C1378-1)</f>
        <v>47908</v>
      </c>
      <c r="E1378" s="23" t="n">
        <f aca="false">IF(AND(OR(Nonlabor!$D$6="Both",Nonlabor!$D$6='Start Here'!$B$9),IF(Nonlabor!$E$6="Core",1,IF(Nonlabor!$E$6="AI",'Start Here'!$B$7,'Start Here'!$B$8))=1,C1378&gt;=IF(Nonlabor!$E$6="Core",Nonlabor!$F$6,MAX(Nonlabor!$F$6,IF(Nonlabor!$E$6="AI",Assumptions!$D$24,Assumptions!$D$25))),C1378&lt;=Nonlabor!$G$6,OR(Nonlabor!$H$6="Monthly",AND(Nonlabor!$H$6="Once",C1378=IF(Nonlabor!$E$6="Core",Nonlabor!$F$6,MAX(Nonlabor!$F$6,IF(Nonlabor!$E$6="AI",Assumptions!$D$24,Assumptions!$D$25)))),AND(Nonlabor!$H$6="Annual",MOD(C1378-IF(Nonlabor!$E$6="Core",Nonlabor!$F$6,MAX(Nonlabor!$F$6,IF(Nonlabor!$E$6="AI",Assumptions!$D$24,Assumptions!$D$25))),12)=0))),IF(Nonlabor!$I$6="Fixed",1,IF(Nonlabor!$I$6="Seats",ROUNDUP('Monthly Base'!I58,0),IF(Nonlabor!$I$6="Customers",'Monthly Base'!D58,IF(Nonlabor!$I$6="NewCustomers",'Monthly Base'!C58,IF(Nonlabor!$I$6="StorageGB",'Monthly Base'!G58,IF(Nonlabor!$I$6="LogGB",'Monthly Base'!H58,IF(Nonlabor!$I$6="RequestsM",'Monthly Base'!F58,IF(Nonlabor!$I$6="InputM",'Monthly Base'!D58*Assumptions!$D$22/1000000,IF(Nonlabor!$I$6="OutputM",'Monthly Base'!D58*Assumptions!$D$23/1000000,0))))))))),0)</f>
        <v>1</v>
      </c>
      <c r="F1378" s="10" t="n">
        <f aca="false">Nonlabor!$J$6*(1+Assumptions!$D$9)^INT((C1378-1)/12)</f>
        <v>450.203524</v>
      </c>
      <c r="G1378" s="10" t="n">
        <f aca="false">E1378*F1378</f>
        <v>450.203524</v>
      </c>
      <c r="H1378" s="10" t="n">
        <f aca="false">IF(OR(Nonlabor!$L$6="Quote required",Nonlabor!$L$6="Unverified"),G1378,0)</f>
        <v>450.203524</v>
      </c>
      <c r="I1378" s="10" t="n">
        <f aca="false">IF(Nonlabor!$E$6="Core",0,G1378)</f>
        <v>0</v>
      </c>
      <c r="J1378" s="23" t="str">
        <f aca="false">Nonlabor!$B$6</f>
        <v>INFRA</v>
      </c>
    </row>
    <row r="1379" customFormat="false" ht="15" hidden="false" customHeight="false" outlineLevel="0" collapsed="false">
      <c r="A1379" s="6" t="s">
        <v>4</v>
      </c>
      <c r="B1379" s="6" t="s">
        <v>368</v>
      </c>
      <c r="C1379" s="6" t="n">
        <v>54</v>
      </c>
      <c r="D1379" s="25" t="n">
        <f aca="false">EDATE('Start Here'!$B$6,C1379-1)</f>
        <v>47939</v>
      </c>
      <c r="E1379" s="23" t="n">
        <f aca="false">IF(AND(OR(Nonlabor!$D$6="Both",Nonlabor!$D$6='Start Here'!$B$9),IF(Nonlabor!$E$6="Core",1,IF(Nonlabor!$E$6="AI",'Start Here'!$B$7,'Start Here'!$B$8))=1,C1379&gt;=IF(Nonlabor!$E$6="Core",Nonlabor!$F$6,MAX(Nonlabor!$F$6,IF(Nonlabor!$E$6="AI",Assumptions!$D$24,Assumptions!$D$25))),C1379&lt;=Nonlabor!$G$6,OR(Nonlabor!$H$6="Monthly",AND(Nonlabor!$H$6="Once",C1379=IF(Nonlabor!$E$6="Core",Nonlabor!$F$6,MAX(Nonlabor!$F$6,IF(Nonlabor!$E$6="AI",Assumptions!$D$24,Assumptions!$D$25)))),AND(Nonlabor!$H$6="Annual",MOD(C1379-IF(Nonlabor!$E$6="Core",Nonlabor!$F$6,MAX(Nonlabor!$F$6,IF(Nonlabor!$E$6="AI",Assumptions!$D$24,Assumptions!$D$25))),12)=0))),IF(Nonlabor!$I$6="Fixed",1,IF(Nonlabor!$I$6="Seats",ROUNDUP('Monthly Base'!I59,0),IF(Nonlabor!$I$6="Customers",'Monthly Base'!D59,IF(Nonlabor!$I$6="NewCustomers",'Monthly Base'!C59,IF(Nonlabor!$I$6="StorageGB",'Monthly Base'!G59,IF(Nonlabor!$I$6="LogGB",'Monthly Base'!H59,IF(Nonlabor!$I$6="RequestsM",'Monthly Base'!F59,IF(Nonlabor!$I$6="InputM",'Monthly Base'!D59*Assumptions!$D$22/1000000,IF(Nonlabor!$I$6="OutputM",'Monthly Base'!D59*Assumptions!$D$23/1000000,0))))))))),0)</f>
        <v>1</v>
      </c>
      <c r="F1379" s="10" t="n">
        <f aca="false">Nonlabor!$J$6*(1+Assumptions!$D$9)^INT((C1379-1)/12)</f>
        <v>450.203524</v>
      </c>
      <c r="G1379" s="10" t="n">
        <f aca="false">E1379*F1379</f>
        <v>450.203524</v>
      </c>
      <c r="H1379" s="10" t="n">
        <f aca="false">IF(OR(Nonlabor!$L$6="Quote required",Nonlabor!$L$6="Unverified"),G1379,0)</f>
        <v>450.203524</v>
      </c>
      <c r="I1379" s="10" t="n">
        <f aca="false">IF(Nonlabor!$E$6="Core",0,G1379)</f>
        <v>0</v>
      </c>
      <c r="J1379" s="23" t="str">
        <f aca="false">Nonlabor!$B$6</f>
        <v>INFRA</v>
      </c>
    </row>
    <row r="1380" customFormat="false" ht="15" hidden="false" customHeight="false" outlineLevel="0" collapsed="false">
      <c r="A1380" s="6" t="s">
        <v>4</v>
      </c>
      <c r="B1380" s="6" t="s">
        <v>368</v>
      </c>
      <c r="C1380" s="6" t="n">
        <v>55</v>
      </c>
      <c r="D1380" s="25" t="n">
        <f aca="false">EDATE('Start Here'!$B$6,C1380-1)</f>
        <v>47969</v>
      </c>
      <c r="E1380" s="23" t="n">
        <f aca="false">IF(AND(OR(Nonlabor!$D$6="Both",Nonlabor!$D$6='Start Here'!$B$9),IF(Nonlabor!$E$6="Core",1,IF(Nonlabor!$E$6="AI",'Start Here'!$B$7,'Start Here'!$B$8))=1,C1380&gt;=IF(Nonlabor!$E$6="Core",Nonlabor!$F$6,MAX(Nonlabor!$F$6,IF(Nonlabor!$E$6="AI",Assumptions!$D$24,Assumptions!$D$25))),C1380&lt;=Nonlabor!$G$6,OR(Nonlabor!$H$6="Monthly",AND(Nonlabor!$H$6="Once",C1380=IF(Nonlabor!$E$6="Core",Nonlabor!$F$6,MAX(Nonlabor!$F$6,IF(Nonlabor!$E$6="AI",Assumptions!$D$24,Assumptions!$D$25)))),AND(Nonlabor!$H$6="Annual",MOD(C1380-IF(Nonlabor!$E$6="Core",Nonlabor!$F$6,MAX(Nonlabor!$F$6,IF(Nonlabor!$E$6="AI",Assumptions!$D$24,Assumptions!$D$25))),12)=0))),IF(Nonlabor!$I$6="Fixed",1,IF(Nonlabor!$I$6="Seats",ROUNDUP('Monthly Base'!I60,0),IF(Nonlabor!$I$6="Customers",'Monthly Base'!D60,IF(Nonlabor!$I$6="NewCustomers",'Monthly Base'!C60,IF(Nonlabor!$I$6="StorageGB",'Monthly Base'!G60,IF(Nonlabor!$I$6="LogGB",'Monthly Base'!H60,IF(Nonlabor!$I$6="RequestsM",'Monthly Base'!F60,IF(Nonlabor!$I$6="InputM",'Monthly Base'!D60*Assumptions!$D$22/1000000,IF(Nonlabor!$I$6="OutputM",'Monthly Base'!D60*Assumptions!$D$23/1000000,0))))))))),0)</f>
        <v>1</v>
      </c>
      <c r="F1380" s="10" t="n">
        <f aca="false">Nonlabor!$J$6*(1+Assumptions!$D$9)^INT((C1380-1)/12)</f>
        <v>450.203524</v>
      </c>
      <c r="G1380" s="10" t="n">
        <f aca="false">E1380*F1380</f>
        <v>450.203524</v>
      </c>
      <c r="H1380" s="10" t="n">
        <f aca="false">IF(OR(Nonlabor!$L$6="Quote required",Nonlabor!$L$6="Unverified"),G1380,0)</f>
        <v>450.203524</v>
      </c>
      <c r="I1380" s="10" t="n">
        <f aca="false">IF(Nonlabor!$E$6="Core",0,G1380)</f>
        <v>0</v>
      </c>
      <c r="J1380" s="23" t="str">
        <f aca="false">Nonlabor!$B$6</f>
        <v>INFRA</v>
      </c>
    </row>
    <row r="1381" customFormat="false" ht="15" hidden="false" customHeight="false" outlineLevel="0" collapsed="false">
      <c r="A1381" s="6" t="s">
        <v>4</v>
      </c>
      <c r="B1381" s="6" t="s">
        <v>368</v>
      </c>
      <c r="C1381" s="6" t="n">
        <v>56</v>
      </c>
      <c r="D1381" s="25" t="n">
        <f aca="false">EDATE('Start Here'!$B$6,C1381-1)</f>
        <v>48000</v>
      </c>
      <c r="E1381" s="23" t="n">
        <f aca="false">IF(AND(OR(Nonlabor!$D$6="Both",Nonlabor!$D$6='Start Here'!$B$9),IF(Nonlabor!$E$6="Core",1,IF(Nonlabor!$E$6="AI",'Start Here'!$B$7,'Start Here'!$B$8))=1,C1381&gt;=IF(Nonlabor!$E$6="Core",Nonlabor!$F$6,MAX(Nonlabor!$F$6,IF(Nonlabor!$E$6="AI",Assumptions!$D$24,Assumptions!$D$25))),C1381&lt;=Nonlabor!$G$6,OR(Nonlabor!$H$6="Monthly",AND(Nonlabor!$H$6="Once",C1381=IF(Nonlabor!$E$6="Core",Nonlabor!$F$6,MAX(Nonlabor!$F$6,IF(Nonlabor!$E$6="AI",Assumptions!$D$24,Assumptions!$D$25)))),AND(Nonlabor!$H$6="Annual",MOD(C1381-IF(Nonlabor!$E$6="Core",Nonlabor!$F$6,MAX(Nonlabor!$F$6,IF(Nonlabor!$E$6="AI",Assumptions!$D$24,Assumptions!$D$25))),12)=0))),IF(Nonlabor!$I$6="Fixed",1,IF(Nonlabor!$I$6="Seats",ROUNDUP('Monthly Base'!I61,0),IF(Nonlabor!$I$6="Customers",'Monthly Base'!D61,IF(Nonlabor!$I$6="NewCustomers",'Monthly Base'!C61,IF(Nonlabor!$I$6="StorageGB",'Monthly Base'!G61,IF(Nonlabor!$I$6="LogGB",'Monthly Base'!H61,IF(Nonlabor!$I$6="RequestsM",'Monthly Base'!F61,IF(Nonlabor!$I$6="InputM",'Monthly Base'!D61*Assumptions!$D$22/1000000,IF(Nonlabor!$I$6="OutputM",'Monthly Base'!D61*Assumptions!$D$23/1000000,0))))))))),0)</f>
        <v>1</v>
      </c>
      <c r="F1381" s="10" t="n">
        <f aca="false">Nonlabor!$J$6*(1+Assumptions!$D$9)^INT((C1381-1)/12)</f>
        <v>450.203524</v>
      </c>
      <c r="G1381" s="10" t="n">
        <f aca="false">E1381*F1381</f>
        <v>450.203524</v>
      </c>
      <c r="H1381" s="10" t="n">
        <f aca="false">IF(OR(Nonlabor!$L$6="Quote required",Nonlabor!$L$6="Unverified"),G1381,0)</f>
        <v>450.203524</v>
      </c>
      <c r="I1381" s="10" t="n">
        <f aca="false">IF(Nonlabor!$E$6="Core",0,G1381)</f>
        <v>0</v>
      </c>
      <c r="J1381" s="23" t="str">
        <f aca="false">Nonlabor!$B$6</f>
        <v>INFRA</v>
      </c>
    </row>
    <row r="1382" customFormat="false" ht="15" hidden="false" customHeight="false" outlineLevel="0" collapsed="false">
      <c r="A1382" s="6" t="s">
        <v>4</v>
      </c>
      <c r="B1382" s="6" t="s">
        <v>368</v>
      </c>
      <c r="C1382" s="6" t="n">
        <v>57</v>
      </c>
      <c r="D1382" s="25" t="n">
        <f aca="false">EDATE('Start Here'!$B$6,C1382-1)</f>
        <v>48030</v>
      </c>
      <c r="E1382" s="23" t="n">
        <f aca="false">IF(AND(OR(Nonlabor!$D$6="Both",Nonlabor!$D$6='Start Here'!$B$9),IF(Nonlabor!$E$6="Core",1,IF(Nonlabor!$E$6="AI",'Start Here'!$B$7,'Start Here'!$B$8))=1,C1382&gt;=IF(Nonlabor!$E$6="Core",Nonlabor!$F$6,MAX(Nonlabor!$F$6,IF(Nonlabor!$E$6="AI",Assumptions!$D$24,Assumptions!$D$25))),C1382&lt;=Nonlabor!$G$6,OR(Nonlabor!$H$6="Monthly",AND(Nonlabor!$H$6="Once",C1382=IF(Nonlabor!$E$6="Core",Nonlabor!$F$6,MAX(Nonlabor!$F$6,IF(Nonlabor!$E$6="AI",Assumptions!$D$24,Assumptions!$D$25)))),AND(Nonlabor!$H$6="Annual",MOD(C1382-IF(Nonlabor!$E$6="Core",Nonlabor!$F$6,MAX(Nonlabor!$F$6,IF(Nonlabor!$E$6="AI",Assumptions!$D$24,Assumptions!$D$25))),12)=0))),IF(Nonlabor!$I$6="Fixed",1,IF(Nonlabor!$I$6="Seats",ROUNDUP('Monthly Base'!I62,0),IF(Nonlabor!$I$6="Customers",'Monthly Base'!D62,IF(Nonlabor!$I$6="NewCustomers",'Monthly Base'!C62,IF(Nonlabor!$I$6="StorageGB",'Monthly Base'!G62,IF(Nonlabor!$I$6="LogGB",'Monthly Base'!H62,IF(Nonlabor!$I$6="RequestsM",'Monthly Base'!F62,IF(Nonlabor!$I$6="InputM",'Monthly Base'!D62*Assumptions!$D$22/1000000,IF(Nonlabor!$I$6="OutputM",'Monthly Base'!D62*Assumptions!$D$23/1000000,0))))))))),0)</f>
        <v>1</v>
      </c>
      <c r="F1382" s="10" t="n">
        <f aca="false">Nonlabor!$J$6*(1+Assumptions!$D$9)^INT((C1382-1)/12)</f>
        <v>450.203524</v>
      </c>
      <c r="G1382" s="10" t="n">
        <f aca="false">E1382*F1382</f>
        <v>450.203524</v>
      </c>
      <c r="H1382" s="10" t="n">
        <f aca="false">IF(OR(Nonlabor!$L$6="Quote required",Nonlabor!$L$6="Unverified"),G1382,0)</f>
        <v>450.203524</v>
      </c>
      <c r="I1382" s="10" t="n">
        <f aca="false">IF(Nonlabor!$E$6="Core",0,G1382)</f>
        <v>0</v>
      </c>
      <c r="J1382" s="23" t="str">
        <f aca="false">Nonlabor!$B$6</f>
        <v>INFRA</v>
      </c>
    </row>
    <row r="1383" customFormat="false" ht="15" hidden="false" customHeight="false" outlineLevel="0" collapsed="false">
      <c r="A1383" s="6" t="s">
        <v>4</v>
      </c>
      <c r="B1383" s="6" t="s">
        <v>368</v>
      </c>
      <c r="C1383" s="6" t="n">
        <v>58</v>
      </c>
      <c r="D1383" s="25" t="n">
        <f aca="false">EDATE('Start Here'!$B$6,C1383-1)</f>
        <v>48061</v>
      </c>
      <c r="E1383" s="23" t="n">
        <f aca="false">IF(AND(OR(Nonlabor!$D$6="Both",Nonlabor!$D$6='Start Here'!$B$9),IF(Nonlabor!$E$6="Core",1,IF(Nonlabor!$E$6="AI",'Start Here'!$B$7,'Start Here'!$B$8))=1,C1383&gt;=IF(Nonlabor!$E$6="Core",Nonlabor!$F$6,MAX(Nonlabor!$F$6,IF(Nonlabor!$E$6="AI",Assumptions!$D$24,Assumptions!$D$25))),C1383&lt;=Nonlabor!$G$6,OR(Nonlabor!$H$6="Monthly",AND(Nonlabor!$H$6="Once",C1383=IF(Nonlabor!$E$6="Core",Nonlabor!$F$6,MAX(Nonlabor!$F$6,IF(Nonlabor!$E$6="AI",Assumptions!$D$24,Assumptions!$D$25)))),AND(Nonlabor!$H$6="Annual",MOD(C1383-IF(Nonlabor!$E$6="Core",Nonlabor!$F$6,MAX(Nonlabor!$F$6,IF(Nonlabor!$E$6="AI",Assumptions!$D$24,Assumptions!$D$25))),12)=0))),IF(Nonlabor!$I$6="Fixed",1,IF(Nonlabor!$I$6="Seats",ROUNDUP('Monthly Base'!I63,0),IF(Nonlabor!$I$6="Customers",'Monthly Base'!D63,IF(Nonlabor!$I$6="NewCustomers",'Monthly Base'!C63,IF(Nonlabor!$I$6="StorageGB",'Monthly Base'!G63,IF(Nonlabor!$I$6="LogGB",'Monthly Base'!H63,IF(Nonlabor!$I$6="RequestsM",'Monthly Base'!F63,IF(Nonlabor!$I$6="InputM",'Monthly Base'!D63*Assumptions!$D$22/1000000,IF(Nonlabor!$I$6="OutputM",'Monthly Base'!D63*Assumptions!$D$23/1000000,0))))))))),0)</f>
        <v>1</v>
      </c>
      <c r="F1383" s="10" t="n">
        <f aca="false">Nonlabor!$J$6*(1+Assumptions!$D$9)^INT((C1383-1)/12)</f>
        <v>450.203524</v>
      </c>
      <c r="G1383" s="10" t="n">
        <f aca="false">E1383*F1383</f>
        <v>450.203524</v>
      </c>
      <c r="H1383" s="10" t="n">
        <f aca="false">IF(OR(Nonlabor!$L$6="Quote required",Nonlabor!$L$6="Unverified"),G1383,0)</f>
        <v>450.203524</v>
      </c>
      <c r="I1383" s="10" t="n">
        <f aca="false">IF(Nonlabor!$E$6="Core",0,G1383)</f>
        <v>0</v>
      </c>
      <c r="J1383" s="23" t="str">
        <f aca="false">Nonlabor!$B$6</f>
        <v>INFRA</v>
      </c>
    </row>
    <row r="1384" customFormat="false" ht="15" hidden="false" customHeight="false" outlineLevel="0" collapsed="false">
      <c r="A1384" s="6" t="s">
        <v>4</v>
      </c>
      <c r="B1384" s="6" t="s">
        <v>368</v>
      </c>
      <c r="C1384" s="6" t="n">
        <v>59</v>
      </c>
      <c r="D1384" s="25" t="n">
        <f aca="false">EDATE('Start Here'!$B$6,C1384-1)</f>
        <v>48092</v>
      </c>
      <c r="E1384" s="23" t="n">
        <f aca="false">IF(AND(OR(Nonlabor!$D$6="Both",Nonlabor!$D$6='Start Here'!$B$9),IF(Nonlabor!$E$6="Core",1,IF(Nonlabor!$E$6="AI",'Start Here'!$B$7,'Start Here'!$B$8))=1,C1384&gt;=IF(Nonlabor!$E$6="Core",Nonlabor!$F$6,MAX(Nonlabor!$F$6,IF(Nonlabor!$E$6="AI",Assumptions!$D$24,Assumptions!$D$25))),C1384&lt;=Nonlabor!$G$6,OR(Nonlabor!$H$6="Monthly",AND(Nonlabor!$H$6="Once",C1384=IF(Nonlabor!$E$6="Core",Nonlabor!$F$6,MAX(Nonlabor!$F$6,IF(Nonlabor!$E$6="AI",Assumptions!$D$24,Assumptions!$D$25)))),AND(Nonlabor!$H$6="Annual",MOD(C1384-IF(Nonlabor!$E$6="Core",Nonlabor!$F$6,MAX(Nonlabor!$F$6,IF(Nonlabor!$E$6="AI",Assumptions!$D$24,Assumptions!$D$25))),12)=0))),IF(Nonlabor!$I$6="Fixed",1,IF(Nonlabor!$I$6="Seats",ROUNDUP('Monthly Base'!I64,0),IF(Nonlabor!$I$6="Customers",'Monthly Base'!D64,IF(Nonlabor!$I$6="NewCustomers",'Monthly Base'!C64,IF(Nonlabor!$I$6="StorageGB",'Monthly Base'!G64,IF(Nonlabor!$I$6="LogGB",'Monthly Base'!H64,IF(Nonlabor!$I$6="RequestsM",'Monthly Base'!F64,IF(Nonlabor!$I$6="InputM",'Monthly Base'!D64*Assumptions!$D$22/1000000,IF(Nonlabor!$I$6="OutputM",'Monthly Base'!D64*Assumptions!$D$23/1000000,0))))))))),0)</f>
        <v>1</v>
      </c>
      <c r="F1384" s="10" t="n">
        <f aca="false">Nonlabor!$J$6*(1+Assumptions!$D$9)^INT((C1384-1)/12)</f>
        <v>450.203524</v>
      </c>
      <c r="G1384" s="10" t="n">
        <f aca="false">E1384*F1384</f>
        <v>450.203524</v>
      </c>
      <c r="H1384" s="10" t="n">
        <f aca="false">IF(OR(Nonlabor!$L$6="Quote required",Nonlabor!$L$6="Unverified"),G1384,0)</f>
        <v>450.203524</v>
      </c>
      <c r="I1384" s="10" t="n">
        <f aca="false">IF(Nonlabor!$E$6="Core",0,G1384)</f>
        <v>0</v>
      </c>
      <c r="J1384" s="23" t="str">
        <f aca="false">Nonlabor!$B$6</f>
        <v>INFRA</v>
      </c>
    </row>
    <row r="1385" customFormat="false" ht="15" hidden="false" customHeight="false" outlineLevel="0" collapsed="false">
      <c r="A1385" s="6" t="s">
        <v>4</v>
      </c>
      <c r="B1385" s="6" t="s">
        <v>368</v>
      </c>
      <c r="C1385" s="6" t="n">
        <v>60</v>
      </c>
      <c r="D1385" s="25" t="n">
        <f aca="false">EDATE('Start Here'!$B$6,C1385-1)</f>
        <v>48122</v>
      </c>
      <c r="E1385" s="23" t="n">
        <f aca="false">IF(AND(OR(Nonlabor!$D$6="Both",Nonlabor!$D$6='Start Here'!$B$9),IF(Nonlabor!$E$6="Core",1,IF(Nonlabor!$E$6="AI",'Start Here'!$B$7,'Start Here'!$B$8))=1,C1385&gt;=IF(Nonlabor!$E$6="Core",Nonlabor!$F$6,MAX(Nonlabor!$F$6,IF(Nonlabor!$E$6="AI",Assumptions!$D$24,Assumptions!$D$25))),C1385&lt;=Nonlabor!$G$6,OR(Nonlabor!$H$6="Monthly",AND(Nonlabor!$H$6="Once",C1385=IF(Nonlabor!$E$6="Core",Nonlabor!$F$6,MAX(Nonlabor!$F$6,IF(Nonlabor!$E$6="AI",Assumptions!$D$24,Assumptions!$D$25)))),AND(Nonlabor!$H$6="Annual",MOD(C1385-IF(Nonlabor!$E$6="Core",Nonlabor!$F$6,MAX(Nonlabor!$F$6,IF(Nonlabor!$E$6="AI",Assumptions!$D$24,Assumptions!$D$25))),12)=0))),IF(Nonlabor!$I$6="Fixed",1,IF(Nonlabor!$I$6="Seats",ROUNDUP('Monthly Base'!I65,0),IF(Nonlabor!$I$6="Customers",'Monthly Base'!D65,IF(Nonlabor!$I$6="NewCustomers",'Monthly Base'!C65,IF(Nonlabor!$I$6="StorageGB",'Monthly Base'!G65,IF(Nonlabor!$I$6="LogGB",'Monthly Base'!H65,IF(Nonlabor!$I$6="RequestsM",'Monthly Base'!F65,IF(Nonlabor!$I$6="InputM",'Monthly Base'!D65*Assumptions!$D$22/1000000,IF(Nonlabor!$I$6="OutputM",'Monthly Base'!D65*Assumptions!$D$23/1000000,0))))))))),0)</f>
        <v>1</v>
      </c>
      <c r="F1385" s="10" t="n">
        <f aca="false">Nonlabor!$J$6*(1+Assumptions!$D$9)^INT((C1385-1)/12)</f>
        <v>450.203524</v>
      </c>
      <c r="G1385" s="10" t="n">
        <f aca="false">E1385*F1385</f>
        <v>450.203524</v>
      </c>
      <c r="H1385" s="10" t="n">
        <f aca="false">IF(OR(Nonlabor!$L$6="Quote required",Nonlabor!$L$6="Unverified"),G1385,0)</f>
        <v>450.203524</v>
      </c>
      <c r="I1385" s="10" t="n">
        <f aca="false">IF(Nonlabor!$E$6="Core",0,G1385)</f>
        <v>0</v>
      </c>
      <c r="J1385" s="23" t="str">
        <f aca="false">Nonlabor!$B$6</f>
        <v>INFRA</v>
      </c>
    </row>
    <row r="1386" customFormat="false" ht="15" hidden="false" customHeight="false" outlineLevel="0" collapsed="false">
      <c r="A1386" s="6" t="s">
        <v>4</v>
      </c>
      <c r="B1386" s="6" t="s">
        <v>373</v>
      </c>
      <c r="C1386" s="6" t="n">
        <v>1</v>
      </c>
      <c r="D1386" s="25" t="n">
        <f aca="false">EDATE('Start Here'!$B$6,C1386-1)</f>
        <v>46327</v>
      </c>
      <c r="E1386" s="23" t="n">
        <f aca="false">IF(AND(OR(Nonlabor!$D$7="Both",Nonlabor!$D$7='Start Here'!$B$9),IF(Nonlabor!$E$7="Core",1,IF(Nonlabor!$E$7="AI",'Start Here'!$B$7,'Start Here'!$B$8))=1,C1386&gt;=IF(Nonlabor!$E$7="Core",Nonlabor!$F$7,MAX(Nonlabor!$F$7,IF(Nonlabor!$E$7="AI",Assumptions!$D$24,Assumptions!$D$25))),C1386&lt;=Nonlabor!$G$7,OR(Nonlabor!$H$7="Monthly",AND(Nonlabor!$H$7="Once",C1386=IF(Nonlabor!$E$7="Core",Nonlabor!$F$7,MAX(Nonlabor!$F$7,IF(Nonlabor!$E$7="AI",Assumptions!$D$24,Assumptions!$D$25)))),AND(Nonlabor!$H$7="Annual",MOD(C1386-IF(Nonlabor!$E$7="Core",Nonlabor!$F$7,MAX(Nonlabor!$F$7,IF(Nonlabor!$E$7="AI",Assumptions!$D$24,Assumptions!$D$25))),12)=0))),IF(Nonlabor!$I$7="Fixed",1,IF(Nonlabor!$I$7="Seats",ROUNDUP('Monthly Base'!I6,0),IF(Nonlabor!$I$7="Customers",'Monthly Base'!D6,IF(Nonlabor!$I$7="NewCustomers",'Monthly Base'!C6,IF(Nonlabor!$I$7="StorageGB",'Monthly Base'!G6,IF(Nonlabor!$I$7="LogGB",'Monthly Base'!H6,IF(Nonlabor!$I$7="RequestsM",'Monthly Base'!F6,IF(Nonlabor!$I$7="InputM",'Monthly Base'!D6*Assumptions!$D$22/1000000,IF(Nonlabor!$I$7="OutputM",'Monthly Base'!D6*Assumptions!$D$23/1000000,0))))))))),0)</f>
        <v>1</v>
      </c>
      <c r="F1386" s="10" t="n">
        <f aca="false">Nonlabor!$J$7*(1+Assumptions!$D$9)^INT((C1386-1)/12)</f>
        <v>600</v>
      </c>
      <c r="G1386" s="10" t="n">
        <f aca="false">E1386*F1386</f>
        <v>600</v>
      </c>
      <c r="H1386" s="10" t="n">
        <f aca="false">IF(OR(Nonlabor!$L$7="Quote required",Nonlabor!$L$7="Unverified"),G1386,0)</f>
        <v>600</v>
      </c>
      <c r="I1386" s="10" t="n">
        <f aca="false">IF(Nonlabor!$E$7="Core",0,G1386)</f>
        <v>0</v>
      </c>
      <c r="J1386" s="23" t="str">
        <f aca="false">Nonlabor!$B$7</f>
        <v>INFRA</v>
      </c>
    </row>
    <row r="1387" customFormat="false" ht="15" hidden="false" customHeight="false" outlineLevel="0" collapsed="false">
      <c r="A1387" s="6" t="s">
        <v>4</v>
      </c>
      <c r="B1387" s="6" t="s">
        <v>373</v>
      </c>
      <c r="C1387" s="6" t="n">
        <v>2</v>
      </c>
      <c r="D1387" s="25" t="n">
        <f aca="false">EDATE('Start Here'!$B$6,C1387-1)</f>
        <v>46357</v>
      </c>
      <c r="E1387" s="23" t="n">
        <f aca="false">IF(AND(OR(Nonlabor!$D$7="Both",Nonlabor!$D$7='Start Here'!$B$9),IF(Nonlabor!$E$7="Core",1,IF(Nonlabor!$E$7="AI",'Start Here'!$B$7,'Start Here'!$B$8))=1,C1387&gt;=IF(Nonlabor!$E$7="Core",Nonlabor!$F$7,MAX(Nonlabor!$F$7,IF(Nonlabor!$E$7="AI",Assumptions!$D$24,Assumptions!$D$25))),C1387&lt;=Nonlabor!$G$7,OR(Nonlabor!$H$7="Monthly",AND(Nonlabor!$H$7="Once",C1387=IF(Nonlabor!$E$7="Core",Nonlabor!$F$7,MAX(Nonlabor!$F$7,IF(Nonlabor!$E$7="AI",Assumptions!$D$24,Assumptions!$D$25)))),AND(Nonlabor!$H$7="Annual",MOD(C1387-IF(Nonlabor!$E$7="Core",Nonlabor!$F$7,MAX(Nonlabor!$F$7,IF(Nonlabor!$E$7="AI",Assumptions!$D$24,Assumptions!$D$25))),12)=0))),IF(Nonlabor!$I$7="Fixed",1,IF(Nonlabor!$I$7="Seats",ROUNDUP('Monthly Base'!I7,0),IF(Nonlabor!$I$7="Customers",'Monthly Base'!D7,IF(Nonlabor!$I$7="NewCustomers",'Monthly Base'!C7,IF(Nonlabor!$I$7="StorageGB",'Monthly Base'!G7,IF(Nonlabor!$I$7="LogGB",'Monthly Base'!H7,IF(Nonlabor!$I$7="RequestsM",'Monthly Base'!F7,IF(Nonlabor!$I$7="InputM",'Monthly Base'!D7*Assumptions!$D$22/1000000,IF(Nonlabor!$I$7="OutputM",'Monthly Base'!D7*Assumptions!$D$23/1000000,0))))))))),0)</f>
        <v>1</v>
      </c>
      <c r="F1387" s="10" t="n">
        <f aca="false">Nonlabor!$J$7*(1+Assumptions!$D$9)^INT((C1387-1)/12)</f>
        <v>600</v>
      </c>
      <c r="G1387" s="10" t="n">
        <f aca="false">E1387*F1387</f>
        <v>600</v>
      </c>
      <c r="H1387" s="10" t="n">
        <f aca="false">IF(OR(Nonlabor!$L$7="Quote required",Nonlabor!$L$7="Unverified"),G1387,0)</f>
        <v>600</v>
      </c>
      <c r="I1387" s="10" t="n">
        <f aca="false">IF(Nonlabor!$E$7="Core",0,G1387)</f>
        <v>0</v>
      </c>
      <c r="J1387" s="23" t="str">
        <f aca="false">Nonlabor!$B$7</f>
        <v>INFRA</v>
      </c>
    </row>
    <row r="1388" customFormat="false" ht="15" hidden="false" customHeight="false" outlineLevel="0" collapsed="false">
      <c r="A1388" s="6" t="s">
        <v>4</v>
      </c>
      <c r="B1388" s="6" t="s">
        <v>373</v>
      </c>
      <c r="C1388" s="6" t="n">
        <v>3</v>
      </c>
      <c r="D1388" s="25" t="n">
        <f aca="false">EDATE('Start Here'!$B$6,C1388-1)</f>
        <v>46388</v>
      </c>
      <c r="E1388" s="23" t="n">
        <f aca="false">IF(AND(OR(Nonlabor!$D$7="Both",Nonlabor!$D$7='Start Here'!$B$9),IF(Nonlabor!$E$7="Core",1,IF(Nonlabor!$E$7="AI",'Start Here'!$B$7,'Start Here'!$B$8))=1,C1388&gt;=IF(Nonlabor!$E$7="Core",Nonlabor!$F$7,MAX(Nonlabor!$F$7,IF(Nonlabor!$E$7="AI",Assumptions!$D$24,Assumptions!$D$25))),C1388&lt;=Nonlabor!$G$7,OR(Nonlabor!$H$7="Monthly",AND(Nonlabor!$H$7="Once",C1388=IF(Nonlabor!$E$7="Core",Nonlabor!$F$7,MAX(Nonlabor!$F$7,IF(Nonlabor!$E$7="AI",Assumptions!$D$24,Assumptions!$D$25)))),AND(Nonlabor!$H$7="Annual",MOD(C1388-IF(Nonlabor!$E$7="Core",Nonlabor!$F$7,MAX(Nonlabor!$F$7,IF(Nonlabor!$E$7="AI",Assumptions!$D$24,Assumptions!$D$25))),12)=0))),IF(Nonlabor!$I$7="Fixed",1,IF(Nonlabor!$I$7="Seats",ROUNDUP('Monthly Base'!I8,0),IF(Nonlabor!$I$7="Customers",'Monthly Base'!D8,IF(Nonlabor!$I$7="NewCustomers",'Monthly Base'!C8,IF(Nonlabor!$I$7="StorageGB",'Monthly Base'!G8,IF(Nonlabor!$I$7="LogGB",'Monthly Base'!H8,IF(Nonlabor!$I$7="RequestsM",'Monthly Base'!F8,IF(Nonlabor!$I$7="InputM",'Monthly Base'!D8*Assumptions!$D$22/1000000,IF(Nonlabor!$I$7="OutputM",'Monthly Base'!D8*Assumptions!$D$23/1000000,0))))))))),0)</f>
        <v>1</v>
      </c>
      <c r="F1388" s="10" t="n">
        <f aca="false">Nonlabor!$J$7*(1+Assumptions!$D$9)^INT((C1388-1)/12)</f>
        <v>600</v>
      </c>
      <c r="G1388" s="10" t="n">
        <f aca="false">E1388*F1388</f>
        <v>600</v>
      </c>
      <c r="H1388" s="10" t="n">
        <f aca="false">IF(OR(Nonlabor!$L$7="Quote required",Nonlabor!$L$7="Unverified"),G1388,0)</f>
        <v>600</v>
      </c>
      <c r="I1388" s="10" t="n">
        <f aca="false">IF(Nonlabor!$E$7="Core",0,G1388)</f>
        <v>0</v>
      </c>
      <c r="J1388" s="23" t="str">
        <f aca="false">Nonlabor!$B$7</f>
        <v>INFRA</v>
      </c>
    </row>
    <row r="1389" customFormat="false" ht="15" hidden="false" customHeight="false" outlineLevel="0" collapsed="false">
      <c r="A1389" s="6" t="s">
        <v>4</v>
      </c>
      <c r="B1389" s="6" t="s">
        <v>373</v>
      </c>
      <c r="C1389" s="6" t="n">
        <v>4</v>
      </c>
      <c r="D1389" s="25" t="n">
        <f aca="false">EDATE('Start Here'!$B$6,C1389-1)</f>
        <v>46419</v>
      </c>
      <c r="E1389" s="23" t="n">
        <f aca="false">IF(AND(OR(Nonlabor!$D$7="Both",Nonlabor!$D$7='Start Here'!$B$9),IF(Nonlabor!$E$7="Core",1,IF(Nonlabor!$E$7="AI",'Start Here'!$B$7,'Start Here'!$B$8))=1,C1389&gt;=IF(Nonlabor!$E$7="Core",Nonlabor!$F$7,MAX(Nonlabor!$F$7,IF(Nonlabor!$E$7="AI",Assumptions!$D$24,Assumptions!$D$25))),C1389&lt;=Nonlabor!$G$7,OR(Nonlabor!$H$7="Monthly",AND(Nonlabor!$H$7="Once",C1389=IF(Nonlabor!$E$7="Core",Nonlabor!$F$7,MAX(Nonlabor!$F$7,IF(Nonlabor!$E$7="AI",Assumptions!$D$24,Assumptions!$D$25)))),AND(Nonlabor!$H$7="Annual",MOD(C1389-IF(Nonlabor!$E$7="Core",Nonlabor!$F$7,MAX(Nonlabor!$F$7,IF(Nonlabor!$E$7="AI",Assumptions!$D$24,Assumptions!$D$25))),12)=0))),IF(Nonlabor!$I$7="Fixed",1,IF(Nonlabor!$I$7="Seats",ROUNDUP('Monthly Base'!I9,0),IF(Nonlabor!$I$7="Customers",'Monthly Base'!D9,IF(Nonlabor!$I$7="NewCustomers",'Monthly Base'!C9,IF(Nonlabor!$I$7="StorageGB",'Monthly Base'!G9,IF(Nonlabor!$I$7="LogGB",'Monthly Base'!H9,IF(Nonlabor!$I$7="RequestsM",'Monthly Base'!F9,IF(Nonlabor!$I$7="InputM",'Monthly Base'!D9*Assumptions!$D$22/1000000,IF(Nonlabor!$I$7="OutputM",'Monthly Base'!D9*Assumptions!$D$23/1000000,0))))))))),0)</f>
        <v>1</v>
      </c>
      <c r="F1389" s="10" t="n">
        <f aca="false">Nonlabor!$J$7*(1+Assumptions!$D$9)^INT((C1389-1)/12)</f>
        <v>600</v>
      </c>
      <c r="G1389" s="10" t="n">
        <f aca="false">E1389*F1389</f>
        <v>600</v>
      </c>
      <c r="H1389" s="10" t="n">
        <f aca="false">IF(OR(Nonlabor!$L$7="Quote required",Nonlabor!$L$7="Unverified"),G1389,0)</f>
        <v>600</v>
      </c>
      <c r="I1389" s="10" t="n">
        <f aca="false">IF(Nonlabor!$E$7="Core",0,G1389)</f>
        <v>0</v>
      </c>
      <c r="J1389" s="23" t="str">
        <f aca="false">Nonlabor!$B$7</f>
        <v>INFRA</v>
      </c>
    </row>
    <row r="1390" customFormat="false" ht="15" hidden="false" customHeight="false" outlineLevel="0" collapsed="false">
      <c r="A1390" s="6" t="s">
        <v>4</v>
      </c>
      <c r="B1390" s="6" t="s">
        <v>373</v>
      </c>
      <c r="C1390" s="6" t="n">
        <v>5</v>
      </c>
      <c r="D1390" s="25" t="n">
        <f aca="false">EDATE('Start Here'!$B$6,C1390-1)</f>
        <v>46447</v>
      </c>
      <c r="E1390" s="23" t="n">
        <f aca="false">IF(AND(OR(Nonlabor!$D$7="Both",Nonlabor!$D$7='Start Here'!$B$9),IF(Nonlabor!$E$7="Core",1,IF(Nonlabor!$E$7="AI",'Start Here'!$B$7,'Start Here'!$B$8))=1,C1390&gt;=IF(Nonlabor!$E$7="Core",Nonlabor!$F$7,MAX(Nonlabor!$F$7,IF(Nonlabor!$E$7="AI",Assumptions!$D$24,Assumptions!$D$25))),C1390&lt;=Nonlabor!$G$7,OR(Nonlabor!$H$7="Monthly",AND(Nonlabor!$H$7="Once",C1390=IF(Nonlabor!$E$7="Core",Nonlabor!$F$7,MAX(Nonlabor!$F$7,IF(Nonlabor!$E$7="AI",Assumptions!$D$24,Assumptions!$D$25)))),AND(Nonlabor!$H$7="Annual",MOD(C1390-IF(Nonlabor!$E$7="Core",Nonlabor!$F$7,MAX(Nonlabor!$F$7,IF(Nonlabor!$E$7="AI",Assumptions!$D$24,Assumptions!$D$25))),12)=0))),IF(Nonlabor!$I$7="Fixed",1,IF(Nonlabor!$I$7="Seats",ROUNDUP('Monthly Base'!I10,0),IF(Nonlabor!$I$7="Customers",'Monthly Base'!D10,IF(Nonlabor!$I$7="NewCustomers",'Monthly Base'!C10,IF(Nonlabor!$I$7="StorageGB",'Monthly Base'!G10,IF(Nonlabor!$I$7="LogGB",'Monthly Base'!H10,IF(Nonlabor!$I$7="RequestsM",'Monthly Base'!F10,IF(Nonlabor!$I$7="InputM",'Monthly Base'!D10*Assumptions!$D$22/1000000,IF(Nonlabor!$I$7="OutputM",'Monthly Base'!D10*Assumptions!$D$23/1000000,0))))))))),0)</f>
        <v>1</v>
      </c>
      <c r="F1390" s="10" t="n">
        <f aca="false">Nonlabor!$J$7*(1+Assumptions!$D$9)^INT((C1390-1)/12)</f>
        <v>600</v>
      </c>
      <c r="G1390" s="10" t="n">
        <f aca="false">E1390*F1390</f>
        <v>600</v>
      </c>
      <c r="H1390" s="10" t="n">
        <f aca="false">IF(OR(Nonlabor!$L$7="Quote required",Nonlabor!$L$7="Unverified"),G1390,0)</f>
        <v>600</v>
      </c>
      <c r="I1390" s="10" t="n">
        <f aca="false">IF(Nonlabor!$E$7="Core",0,G1390)</f>
        <v>0</v>
      </c>
      <c r="J1390" s="23" t="str">
        <f aca="false">Nonlabor!$B$7</f>
        <v>INFRA</v>
      </c>
    </row>
    <row r="1391" customFormat="false" ht="15" hidden="false" customHeight="false" outlineLevel="0" collapsed="false">
      <c r="A1391" s="6" t="s">
        <v>4</v>
      </c>
      <c r="B1391" s="6" t="s">
        <v>373</v>
      </c>
      <c r="C1391" s="6" t="n">
        <v>6</v>
      </c>
      <c r="D1391" s="25" t="n">
        <f aca="false">EDATE('Start Here'!$B$6,C1391-1)</f>
        <v>46478</v>
      </c>
      <c r="E1391" s="23" t="n">
        <f aca="false">IF(AND(OR(Nonlabor!$D$7="Both",Nonlabor!$D$7='Start Here'!$B$9),IF(Nonlabor!$E$7="Core",1,IF(Nonlabor!$E$7="AI",'Start Here'!$B$7,'Start Here'!$B$8))=1,C1391&gt;=IF(Nonlabor!$E$7="Core",Nonlabor!$F$7,MAX(Nonlabor!$F$7,IF(Nonlabor!$E$7="AI",Assumptions!$D$24,Assumptions!$D$25))),C1391&lt;=Nonlabor!$G$7,OR(Nonlabor!$H$7="Monthly",AND(Nonlabor!$H$7="Once",C1391=IF(Nonlabor!$E$7="Core",Nonlabor!$F$7,MAX(Nonlabor!$F$7,IF(Nonlabor!$E$7="AI",Assumptions!$D$24,Assumptions!$D$25)))),AND(Nonlabor!$H$7="Annual",MOD(C1391-IF(Nonlabor!$E$7="Core",Nonlabor!$F$7,MAX(Nonlabor!$F$7,IF(Nonlabor!$E$7="AI",Assumptions!$D$24,Assumptions!$D$25))),12)=0))),IF(Nonlabor!$I$7="Fixed",1,IF(Nonlabor!$I$7="Seats",ROUNDUP('Monthly Base'!I11,0),IF(Nonlabor!$I$7="Customers",'Monthly Base'!D11,IF(Nonlabor!$I$7="NewCustomers",'Monthly Base'!C11,IF(Nonlabor!$I$7="StorageGB",'Monthly Base'!G11,IF(Nonlabor!$I$7="LogGB",'Monthly Base'!H11,IF(Nonlabor!$I$7="RequestsM",'Monthly Base'!F11,IF(Nonlabor!$I$7="InputM",'Monthly Base'!D11*Assumptions!$D$22/1000000,IF(Nonlabor!$I$7="OutputM",'Monthly Base'!D11*Assumptions!$D$23/1000000,0))))))))),0)</f>
        <v>1</v>
      </c>
      <c r="F1391" s="10" t="n">
        <f aca="false">Nonlabor!$J$7*(1+Assumptions!$D$9)^INT((C1391-1)/12)</f>
        <v>600</v>
      </c>
      <c r="G1391" s="10" t="n">
        <f aca="false">E1391*F1391</f>
        <v>600</v>
      </c>
      <c r="H1391" s="10" t="n">
        <f aca="false">IF(OR(Nonlabor!$L$7="Quote required",Nonlabor!$L$7="Unverified"),G1391,0)</f>
        <v>600</v>
      </c>
      <c r="I1391" s="10" t="n">
        <f aca="false">IF(Nonlabor!$E$7="Core",0,G1391)</f>
        <v>0</v>
      </c>
      <c r="J1391" s="23" t="str">
        <f aca="false">Nonlabor!$B$7</f>
        <v>INFRA</v>
      </c>
    </row>
    <row r="1392" customFormat="false" ht="15" hidden="false" customHeight="false" outlineLevel="0" collapsed="false">
      <c r="A1392" s="6" t="s">
        <v>4</v>
      </c>
      <c r="B1392" s="6" t="s">
        <v>373</v>
      </c>
      <c r="C1392" s="6" t="n">
        <v>7</v>
      </c>
      <c r="D1392" s="25" t="n">
        <f aca="false">EDATE('Start Here'!$B$6,C1392-1)</f>
        <v>46508</v>
      </c>
      <c r="E1392" s="23" t="n">
        <f aca="false">IF(AND(OR(Nonlabor!$D$7="Both",Nonlabor!$D$7='Start Here'!$B$9),IF(Nonlabor!$E$7="Core",1,IF(Nonlabor!$E$7="AI",'Start Here'!$B$7,'Start Here'!$B$8))=1,C1392&gt;=IF(Nonlabor!$E$7="Core",Nonlabor!$F$7,MAX(Nonlabor!$F$7,IF(Nonlabor!$E$7="AI",Assumptions!$D$24,Assumptions!$D$25))),C1392&lt;=Nonlabor!$G$7,OR(Nonlabor!$H$7="Monthly",AND(Nonlabor!$H$7="Once",C1392=IF(Nonlabor!$E$7="Core",Nonlabor!$F$7,MAX(Nonlabor!$F$7,IF(Nonlabor!$E$7="AI",Assumptions!$D$24,Assumptions!$D$25)))),AND(Nonlabor!$H$7="Annual",MOD(C1392-IF(Nonlabor!$E$7="Core",Nonlabor!$F$7,MAX(Nonlabor!$F$7,IF(Nonlabor!$E$7="AI",Assumptions!$D$24,Assumptions!$D$25))),12)=0))),IF(Nonlabor!$I$7="Fixed",1,IF(Nonlabor!$I$7="Seats",ROUNDUP('Monthly Base'!I12,0),IF(Nonlabor!$I$7="Customers",'Monthly Base'!D12,IF(Nonlabor!$I$7="NewCustomers",'Monthly Base'!C12,IF(Nonlabor!$I$7="StorageGB",'Monthly Base'!G12,IF(Nonlabor!$I$7="LogGB",'Monthly Base'!H12,IF(Nonlabor!$I$7="RequestsM",'Monthly Base'!F12,IF(Nonlabor!$I$7="InputM",'Monthly Base'!D12*Assumptions!$D$22/1000000,IF(Nonlabor!$I$7="OutputM",'Monthly Base'!D12*Assumptions!$D$23/1000000,0))))))))),0)</f>
        <v>1</v>
      </c>
      <c r="F1392" s="10" t="n">
        <f aca="false">Nonlabor!$J$7*(1+Assumptions!$D$9)^INT((C1392-1)/12)</f>
        <v>600</v>
      </c>
      <c r="G1392" s="10" t="n">
        <f aca="false">E1392*F1392</f>
        <v>600</v>
      </c>
      <c r="H1392" s="10" t="n">
        <f aca="false">IF(OR(Nonlabor!$L$7="Quote required",Nonlabor!$L$7="Unverified"),G1392,0)</f>
        <v>600</v>
      </c>
      <c r="I1392" s="10" t="n">
        <f aca="false">IF(Nonlabor!$E$7="Core",0,G1392)</f>
        <v>0</v>
      </c>
      <c r="J1392" s="23" t="str">
        <f aca="false">Nonlabor!$B$7</f>
        <v>INFRA</v>
      </c>
    </row>
    <row r="1393" customFormat="false" ht="15" hidden="false" customHeight="false" outlineLevel="0" collapsed="false">
      <c r="A1393" s="6" t="s">
        <v>4</v>
      </c>
      <c r="B1393" s="6" t="s">
        <v>373</v>
      </c>
      <c r="C1393" s="6" t="n">
        <v>8</v>
      </c>
      <c r="D1393" s="25" t="n">
        <f aca="false">EDATE('Start Here'!$B$6,C1393-1)</f>
        <v>46539</v>
      </c>
      <c r="E1393" s="23" t="n">
        <f aca="false">IF(AND(OR(Nonlabor!$D$7="Both",Nonlabor!$D$7='Start Here'!$B$9),IF(Nonlabor!$E$7="Core",1,IF(Nonlabor!$E$7="AI",'Start Here'!$B$7,'Start Here'!$B$8))=1,C1393&gt;=IF(Nonlabor!$E$7="Core",Nonlabor!$F$7,MAX(Nonlabor!$F$7,IF(Nonlabor!$E$7="AI",Assumptions!$D$24,Assumptions!$D$25))),C1393&lt;=Nonlabor!$G$7,OR(Nonlabor!$H$7="Monthly",AND(Nonlabor!$H$7="Once",C1393=IF(Nonlabor!$E$7="Core",Nonlabor!$F$7,MAX(Nonlabor!$F$7,IF(Nonlabor!$E$7="AI",Assumptions!$D$24,Assumptions!$D$25)))),AND(Nonlabor!$H$7="Annual",MOD(C1393-IF(Nonlabor!$E$7="Core",Nonlabor!$F$7,MAX(Nonlabor!$F$7,IF(Nonlabor!$E$7="AI",Assumptions!$D$24,Assumptions!$D$25))),12)=0))),IF(Nonlabor!$I$7="Fixed",1,IF(Nonlabor!$I$7="Seats",ROUNDUP('Monthly Base'!I13,0),IF(Nonlabor!$I$7="Customers",'Monthly Base'!D13,IF(Nonlabor!$I$7="NewCustomers",'Monthly Base'!C13,IF(Nonlabor!$I$7="StorageGB",'Monthly Base'!G13,IF(Nonlabor!$I$7="LogGB",'Monthly Base'!H13,IF(Nonlabor!$I$7="RequestsM",'Monthly Base'!F13,IF(Nonlabor!$I$7="InputM",'Monthly Base'!D13*Assumptions!$D$22/1000000,IF(Nonlabor!$I$7="OutputM",'Monthly Base'!D13*Assumptions!$D$23/1000000,0))))))))),0)</f>
        <v>1</v>
      </c>
      <c r="F1393" s="10" t="n">
        <f aca="false">Nonlabor!$J$7*(1+Assumptions!$D$9)^INT((C1393-1)/12)</f>
        <v>600</v>
      </c>
      <c r="G1393" s="10" t="n">
        <f aca="false">E1393*F1393</f>
        <v>600</v>
      </c>
      <c r="H1393" s="10" t="n">
        <f aca="false">IF(OR(Nonlabor!$L$7="Quote required",Nonlabor!$L$7="Unverified"),G1393,0)</f>
        <v>600</v>
      </c>
      <c r="I1393" s="10" t="n">
        <f aca="false">IF(Nonlabor!$E$7="Core",0,G1393)</f>
        <v>0</v>
      </c>
      <c r="J1393" s="23" t="str">
        <f aca="false">Nonlabor!$B$7</f>
        <v>INFRA</v>
      </c>
    </row>
    <row r="1394" customFormat="false" ht="15" hidden="false" customHeight="false" outlineLevel="0" collapsed="false">
      <c r="A1394" s="6" t="s">
        <v>4</v>
      </c>
      <c r="B1394" s="6" t="s">
        <v>373</v>
      </c>
      <c r="C1394" s="6" t="n">
        <v>9</v>
      </c>
      <c r="D1394" s="25" t="n">
        <f aca="false">EDATE('Start Here'!$B$6,C1394-1)</f>
        <v>46569</v>
      </c>
      <c r="E1394" s="23" t="n">
        <f aca="false">IF(AND(OR(Nonlabor!$D$7="Both",Nonlabor!$D$7='Start Here'!$B$9),IF(Nonlabor!$E$7="Core",1,IF(Nonlabor!$E$7="AI",'Start Here'!$B$7,'Start Here'!$B$8))=1,C1394&gt;=IF(Nonlabor!$E$7="Core",Nonlabor!$F$7,MAX(Nonlabor!$F$7,IF(Nonlabor!$E$7="AI",Assumptions!$D$24,Assumptions!$D$25))),C1394&lt;=Nonlabor!$G$7,OR(Nonlabor!$H$7="Monthly",AND(Nonlabor!$H$7="Once",C1394=IF(Nonlabor!$E$7="Core",Nonlabor!$F$7,MAX(Nonlabor!$F$7,IF(Nonlabor!$E$7="AI",Assumptions!$D$24,Assumptions!$D$25)))),AND(Nonlabor!$H$7="Annual",MOD(C1394-IF(Nonlabor!$E$7="Core",Nonlabor!$F$7,MAX(Nonlabor!$F$7,IF(Nonlabor!$E$7="AI",Assumptions!$D$24,Assumptions!$D$25))),12)=0))),IF(Nonlabor!$I$7="Fixed",1,IF(Nonlabor!$I$7="Seats",ROUNDUP('Monthly Base'!I14,0),IF(Nonlabor!$I$7="Customers",'Monthly Base'!D14,IF(Nonlabor!$I$7="NewCustomers",'Monthly Base'!C14,IF(Nonlabor!$I$7="StorageGB",'Monthly Base'!G14,IF(Nonlabor!$I$7="LogGB",'Monthly Base'!H14,IF(Nonlabor!$I$7="RequestsM",'Monthly Base'!F14,IF(Nonlabor!$I$7="InputM",'Monthly Base'!D14*Assumptions!$D$22/1000000,IF(Nonlabor!$I$7="OutputM",'Monthly Base'!D14*Assumptions!$D$23/1000000,0))))))))),0)</f>
        <v>1</v>
      </c>
      <c r="F1394" s="10" t="n">
        <f aca="false">Nonlabor!$J$7*(1+Assumptions!$D$9)^INT((C1394-1)/12)</f>
        <v>600</v>
      </c>
      <c r="G1394" s="10" t="n">
        <f aca="false">E1394*F1394</f>
        <v>600</v>
      </c>
      <c r="H1394" s="10" t="n">
        <f aca="false">IF(OR(Nonlabor!$L$7="Quote required",Nonlabor!$L$7="Unverified"),G1394,0)</f>
        <v>600</v>
      </c>
      <c r="I1394" s="10" t="n">
        <f aca="false">IF(Nonlabor!$E$7="Core",0,G1394)</f>
        <v>0</v>
      </c>
      <c r="J1394" s="23" t="str">
        <f aca="false">Nonlabor!$B$7</f>
        <v>INFRA</v>
      </c>
    </row>
    <row r="1395" customFormat="false" ht="15" hidden="false" customHeight="false" outlineLevel="0" collapsed="false">
      <c r="A1395" s="6" t="s">
        <v>4</v>
      </c>
      <c r="B1395" s="6" t="s">
        <v>373</v>
      </c>
      <c r="C1395" s="6" t="n">
        <v>10</v>
      </c>
      <c r="D1395" s="25" t="n">
        <f aca="false">EDATE('Start Here'!$B$6,C1395-1)</f>
        <v>46600</v>
      </c>
      <c r="E1395" s="23" t="n">
        <f aca="false">IF(AND(OR(Nonlabor!$D$7="Both",Nonlabor!$D$7='Start Here'!$B$9),IF(Nonlabor!$E$7="Core",1,IF(Nonlabor!$E$7="AI",'Start Here'!$B$7,'Start Here'!$B$8))=1,C1395&gt;=IF(Nonlabor!$E$7="Core",Nonlabor!$F$7,MAX(Nonlabor!$F$7,IF(Nonlabor!$E$7="AI",Assumptions!$D$24,Assumptions!$D$25))),C1395&lt;=Nonlabor!$G$7,OR(Nonlabor!$H$7="Monthly",AND(Nonlabor!$H$7="Once",C1395=IF(Nonlabor!$E$7="Core",Nonlabor!$F$7,MAX(Nonlabor!$F$7,IF(Nonlabor!$E$7="AI",Assumptions!$D$24,Assumptions!$D$25)))),AND(Nonlabor!$H$7="Annual",MOD(C1395-IF(Nonlabor!$E$7="Core",Nonlabor!$F$7,MAX(Nonlabor!$F$7,IF(Nonlabor!$E$7="AI",Assumptions!$D$24,Assumptions!$D$25))),12)=0))),IF(Nonlabor!$I$7="Fixed",1,IF(Nonlabor!$I$7="Seats",ROUNDUP('Monthly Base'!I15,0),IF(Nonlabor!$I$7="Customers",'Monthly Base'!D15,IF(Nonlabor!$I$7="NewCustomers",'Monthly Base'!C15,IF(Nonlabor!$I$7="StorageGB",'Monthly Base'!G15,IF(Nonlabor!$I$7="LogGB",'Monthly Base'!H15,IF(Nonlabor!$I$7="RequestsM",'Monthly Base'!F15,IF(Nonlabor!$I$7="InputM",'Monthly Base'!D15*Assumptions!$D$22/1000000,IF(Nonlabor!$I$7="OutputM",'Monthly Base'!D15*Assumptions!$D$23/1000000,0))))))))),0)</f>
        <v>1</v>
      </c>
      <c r="F1395" s="10" t="n">
        <f aca="false">Nonlabor!$J$7*(1+Assumptions!$D$9)^INT((C1395-1)/12)</f>
        <v>600</v>
      </c>
      <c r="G1395" s="10" t="n">
        <f aca="false">E1395*F1395</f>
        <v>600</v>
      </c>
      <c r="H1395" s="10" t="n">
        <f aca="false">IF(OR(Nonlabor!$L$7="Quote required",Nonlabor!$L$7="Unverified"),G1395,0)</f>
        <v>600</v>
      </c>
      <c r="I1395" s="10" t="n">
        <f aca="false">IF(Nonlabor!$E$7="Core",0,G1395)</f>
        <v>0</v>
      </c>
      <c r="J1395" s="23" t="str">
        <f aca="false">Nonlabor!$B$7</f>
        <v>INFRA</v>
      </c>
    </row>
    <row r="1396" customFormat="false" ht="15" hidden="false" customHeight="false" outlineLevel="0" collapsed="false">
      <c r="A1396" s="6" t="s">
        <v>4</v>
      </c>
      <c r="B1396" s="6" t="s">
        <v>373</v>
      </c>
      <c r="C1396" s="6" t="n">
        <v>11</v>
      </c>
      <c r="D1396" s="25" t="n">
        <f aca="false">EDATE('Start Here'!$B$6,C1396-1)</f>
        <v>46631</v>
      </c>
      <c r="E1396" s="23" t="n">
        <f aca="false">IF(AND(OR(Nonlabor!$D$7="Both",Nonlabor!$D$7='Start Here'!$B$9),IF(Nonlabor!$E$7="Core",1,IF(Nonlabor!$E$7="AI",'Start Here'!$B$7,'Start Here'!$B$8))=1,C1396&gt;=IF(Nonlabor!$E$7="Core",Nonlabor!$F$7,MAX(Nonlabor!$F$7,IF(Nonlabor!$E$7="AI",Assumptions!$D$24,Assumptions!$D$25))),C1396&lt;=Nonlabor!$G$7,OR(Nonlabor!$H$7="Monthly",AND(Nonlabor!$H$7="Once",C1396=IF(Nonlabor!$E$7="Core",Nonlabor!$F$7,MAX(Nonlabor!$F$7,IF(Nonlabor!$E$7="AI",Assumptions!$D$24,Assumptions!$D$25)))),AND(Nonlabor!$H$7="Annual",MOD(C1396-IF(Nonlabor!$E$7="Core",Nonlabor!$F$7,MAX(Nonlabor!$F$7,IF(Nonlabor!$E$7="AI",Assumptions!$D$24,Assumptions!$D$25))),12)=0))),IF(Nonlabor!$I$7="Fixed",1,IF(Nonlabor!$I$7="Seats",ROUNDUP('Monthly Base'!I16,0),IF(Nonlabor!$I$7="Customers",'Monthly Base'!D16,IF(Nonlabor!$I$7="NewCustomers",'Monthly Base'!C16,IF(Nonlabor!$I$7="StorageGB",'Monthly Base'!G16,IF(Nonlabor!$I$7="LogGB",'Monthly Base'!H16,IF(Nonlabor!$I$7="RequestsM",'Monthly Base'!F16,IF(Nonlabor!$I$7="InputM",'Monthly Base'!D16*Assumptions!$D$22/1000000,IF(Nonlabor!$I$7="OutputM",'Monthly Base'!D16*Assumptions!$D$23/1000000,0))))))))),0)</f>
        <v>1</v>
      </c>
      <c r="F1396" s="10" t="n">
        <f aca="false">Nonlabor!$J$7*(1+Assumptions!$D$9)^INT((C1396-1)/12)</f>
        <v>600</v>
      </c>
      <c r="G1396" s="10" t="n">
        <f aca="false">E1396*F1396</f>
        <v>600</v>
      </c>
      <c r="H1396" s="10" t="n">
        <f aca="false">IF(OR(Nonlabor!$L$7="Quote required",Nonlabor!$L$7="Unverified"),G1396,0)</f>
        <v>600</v>
      </c>
      <c r="I1396" s="10" t="n">
        <f aca="false">IF(Nonlabor!$E$7="Core",0,G1396)</f>
        <v>0</v>
      </c>
      <c r="J1396" s="23" t="str">
        <f aca="false">Nonlabor!$B$7</f>
        <v>INFRA</v>
      </c>
    </row>
    <row r="1397" customFormat="false" ht="15" hidden="false" customHeight="false" outlineLevel="0" collapsed="false">
      <c r="A1397" s="6" t="s">
        <v>4</v>
      </c>
      <c r="B1397" s="6" t="s">
        <v>373</v>
      </c>
      <c r="C1397" s="6" t="n">
        <v>12</v>
      </c>
      <c r="D1397" s="25" t="n">
        <f aca="false">EDATE('Start Here'!$B$6,C1397-1)</f>
        <v>46661</v>
      </c>
      <c r="E1397" s="23" t="n">
        <f aca="false">IF(AND(OR(Nonlabor!$D$7="Both",Nonlabor!$D$7='Start Here'!$B$9),IF(Nonlabor!$E$7="Core",1,IF(Nonlabor!$E$7="AI",'Start Here'!$B$7,'Start Here'!$B$8))=1,C1397&gt;=IF(Nonlabor!$E$7="Core",Nonlabor!$F$7,MAX(Nonlabor!$F$7,IF(Nonlabor!$E$7="AI",Assumptions!$D$24,Assumptions!$D$25))),C1397&lt;=Nonlabor!$G$7,OR(Nonlabor!$H$7="Monthly",AND(Nonlabor!$H$7="Once",C1397=IF(Nonlabor!$E$7="Core",Nonlabor!$F$7,MAX(Nonlabor!$F$7,IF(Nonlabor!$E$7="AI",Assumptions!$D$24,Assumptions!$D$25)))),AND(Nonlabor!$H$7="Annual",MOD(C1397-IF(Nonlabor!$E$7="Core",Nonlabor!$F$7,MAX(Nonlabor!$F$7,IF(Nonlabor!$E$7="AI",Assumptions!$D$24,Assumptions!$D$25))),12)=0))),IF(Nonlabor!$I$7="Fixed",1,IF(Nonlabor!$I$7="Seats",ROUNDUP('Monthly Base'!I17,0),IF(Nonlabor!$I$7="Customers",'Monthly Base'!D17,IF(Nonlabor!$I$7="NewCustomers",'Monthly Base'!C17,IF(Nonlabor!$I$7="StorageGB",'Monthly Base'!G17,IF(Nonlabor!$I$7="LogGB",'Monthly Base'!H17,IF(Nonlabor!$I$7="RequestsM",'Monthly Base'!F17,IF(Nonlabor!$I$7="InputM",'Monthly Base'!D17*Assumptions!$D$22/1000000,IF(Nonlabor!$I$7="OutputM",'Monthly Base'!D17*Assumptions!$D$23/1000000,0))))))))),0)</f>
        <v>1</v>
      </c>
      <c r="F1397" s="10" t="n">
        <f aca="false">Nonlabor!$J$7*(1+Assumptions!$D$9)^INT((C1397-1)/12)</f>
        <v>600</v>
      </c>
      <c r="G1397" s="10" t="n">
        <f aca="false">E1397*F1397</f>
        <v>600</v>
      </c>
      <c r="H1397" s="10" t="n">
        <f aca="false">IF(OR(Nonlabor!$L$7="Quote required",Nonlabor!$L$7="Unverified"),G1397,0)</f>
        <v>600</v>
      </c>
      <c r="I1397" s="10" t="n">
        <f aca="false">IF(Nonlabor!$E$7="Core",0,G1397)</f>
        <v>0</v>
      </c>
      <c r="J1397" s="23" t="str">
        <f aca="false">Nonlabor!$B$7</f>
        <v>INFRA</v>
      </c>
    </row>
    <row r="1398" customFormat="false" ht="15" hidden="false" customHeight="false" outlineLevel="0" collapsed="false">
      <c r="A1398" s="6" t="s">
        <v>4</v>
      </c>
      <c r="B1398" s="6" t="s">
        <v>373</v>
      </c>
      <c r="C1398" s="6" t="n">
        <v>13</v>
      </c>
      <c r="D1398" s="25" t="n">
        <f aca="false">EDATE('Start Here'!$B$6,C1398-1)</f>
        <v>46692</v>
      </c>
      <c r="E1398" s="23" t="n">
        <f aca="false">IF(AND(OR(Nonlabor!$D$7="Both",Nonlabor!$D$7='Start Here'!$B$9),IF(Nonlabor!$E$7="Core",1,IF(Nonlabor!$E$7="AI",'Start Here'!$B$7,'Start Here'!$B$8))=1,C1398&gt;=IF(Nonlabor!$E$7="Core",Nonlabor!$F$7,MAX(Nonlabor!$F$7,IF(Nonlabor!$E$7="AI",Assumptions!$D$24,Assumptions!$D$25))),C1398&lt;=Nonlabor!$G$7,OR(Nonlabor!$H$7="Monthly",AND(Nonlabor!$H$7="Once",C1398=IF(Nonlabor!$E$7="Core",Nonlabor!$F$7,MAX(Nonlabor!$F$7,IF(Nonlabor!$E$7="AI",Assumptions!$D$24,Assumptions!$D$25)))),AND(Nonlabor!$H$7="Annual",MOD(C1398-IF(Nonlabor!$E$7="Core",Nonlabor!$F$7,MAX(Nonlabor!$F$7,IF(Nonlabor!$E$7="AI",Assumptions!$D$24,Assumptions!$D$25))),12)=0))),IF(Nonlabor!$I$7="Fixed",1,IF(Nonlabor!$I$7="Seats",ROUNDUP('Monthly Base'!I18,0),IF(Nonlabor!$I$7="Customers",'Monthly Base'!D18,IF(Nonlabor!$I$7="NewCustomers",'Monthly Base'!C18,IF(Nonlabor!$I$7="StorageGB",'Monthly Base'!G18,IF(Nonlabor!$I$7="LogGB",'Monthly Base'!H18,IF(Nonlabor!$I$7="RequestsM",'Monthly Base'!F18,IF(Nonlabor!$I$7="InputM",'Monthly Base'!D18*Assumptions!$D$22/1000000,IF(Nonlabor!$I$7="OutputM",'Monthly Base'!D18*Assumptions!$D$23/1000000,0))))))))),0)</f>
        <v>1</v>
      </c>
      <c r="F1398" s="10" t="n">
        <f aca="false">Nonlabor!$J$7*(1+Assumptions!$D$9)^INT((C1398-1)/12)</f>
        <v>618</v>
      </c>
      <c r="G1398" s="10" t="n">
        <f aca="false">E1398*F1398</f>
        <v>618</v>
      </c>
      <c r="H1398" s="10" t="n">
        <f aca="false">IF(OR(Nonlabor!$L$7="Quote required",Nonlabor!$L$7="Unverified"),G1398,0)</f>
        <v>618</v>
      </c>
      <c r="I1398" s="10" t="n">
        <f aca="false">IF(Nonlabor!$E$7="Core",0,G1398)</f>
        <v>0</v>
      </c>
      <c r="J1398" s="23" t="str">
        <f aca="false">Nonlabor!$B$7</f>
        <v>INFRA</v>
      </c>
    </row>
    <row r="1399" customFormat="false" ht="15" hidden="false" customHeight="false" outlineLevel="0" collapsed="false">
      <c r="A1399" s="6" t="s">
        <v>4</v>
      </c>
      <c r="B1399" s="6" t="s">
        <v>373</v>
      </c>
      <c r="C1399" s="6" t="n">
        <v>14</v>
      </c>
      <c r="D1399" s="25" t="n">
        <f aca="false">EDATE('Start Here'!$B$6,C1399-1)</f>
        <v>46722</v>
      </c>
      <c r="E1399" s="23" t="n">
        <f aca="false">IF(AND(OR(Nonlabor!$D$7="Both",Nonlabor!$D$7='Start Here'!$B$9),IF(Nonlabor!$E$7="Core",1,IF(Nonlabor!$E$7="AI",'Start Here'!$B$7,'Start Here'!$B$8))=1,C1399&gt;=IF(Nonlabor!$E$7="Core",Nonlabor!$F$7,MAX(Nonlabor!$F$7,IF(Nonlabor!$E$7="AI",Assumptions!$D$24,Assumptions!$D$25))),C1399&lt;=Nonlabor!$G$7,OR(Nonlabor!$H$7="Monthly",AND(Nonlabor!$H$7="Once",C1399=IF(Nonlabor!$E$7="Core",Nonlabor!$F$7,MAX(Nonlabor!$F$7,IF(Nonlabor!$E$7="AI",Assumptions!$D$24,Assumptions!$D$25)))),AND(Nonlabor!$H$7="Annual",MOD(C1399-IF(Nonlabor!$E$7="Core",Nonlabor!$F$7,MAX(Nonlabor!$F$7,IF(Nonlabor!$E$7="AI",Assumptions!$D$24,Assumptions!$D$25))),12)=0))),IF(Nonlabor!$I$7="Fixed",1,IF(Nonlabor!$I$7="Seats",ROUNDUP('Monthly Base'!I19,0),IF(Nonlabor!$I$7="Customers",'Monthly Base'!D19,IF(Nonlabor!$I$7="NewCustomers",'Monthly Base'!C19,IF(Nonlabor!$I$7="StorageGB",'Monthly Base'!G19,IF(Nonlabor!$I$7="LogGB",'Monthly Base'!H19,IF(Nonlabor!$I$7="RequestsM",'Monthly Base'!F19,IF(Nonlabor!$I$7="InputM",'Monthly Base'!D19*Assumptions!$D$22/1000000,IF(Nonlabor!$I$7="OutputM",'Monthly Base'!D19*Assumptions!$D$23/1000000,0))))))))),0)</f>
        <v>1</v>
      </c>
      <c r="F1399" s="10" t="n">
        <f aca="false">Nonlabor!$J$7*(1+Assumptions!$D$9)^INT((C1399-1)/12)</f>
        <v>618</v>
      </c>
      <c r="G1399" s="10" t="n">
        <f aca="false">E1399*F1399</f>
        <v>618</v>
      </c>
      <c r="H1399" s="10" t="n">
        <f aca="false">IF(OR(Nonlabor!$L$7="Quote required",Nonlabor!$L$7="Unverified"),G1399,0)</f>
        <v>618</v>
      </c>
      <c r="I1399" s="10" t="n">
        <f aca="false">IF(Nonlabor!$E$7="Core",0,G1399)</f>
        <v>0</v>
      </c>
      <c r="J1399" s="23" t="str">
        <f aca="false">Nonlabor!$B$7</f>
        <v>INFRA</v>
      </c>
    </row>
    <row r="1400" customFormat="false" ht="15" hidden="false" customHeight="false" outlineLevel="0" collapsed="false">
      <c r="A1400" s="6" t="s">
        <v>4</v>
      </c>
      <c r="B1400" s="6" t="s">
        <v>373</v>
      </c>
      <c r="C1400" s="6" t="n">
        <v>15</v>
      </c>
      <c r="D1400" s="25" t="n">
        <f aca="false">EDATE('Start Here'!$B$6,C1400-1)</f>
        <v>46753</v>
      </c>
      <c r="E1400" s="23" t="n">
        <f aca="false">IF(AND(OR(Nonlabor!$D$7="Both",Nonlabor!$D$7='Start Here'!$B$9),IF(Nonlabor!$E$7="Core",1,IF(Nonlabor!$E$7="AI",'Start Here'!$B$7,'Start Here'!$B$8))=1,C1400&gt;=IF(Nonlabor!$E$7="Core",Nonlabor!$F$7,MAX(Nonlabor!$F$7,IF(Nonlabor!$E$7="AI",Assumptions!$D$24,Assumptions!$D$25))),C1400&lt;=Nonlabor!$G$7,OR(Nonlabor!$H$7="Monthly",AND(Nonlabor!$H$7="Once",C1400=IF(Nonlabor!$E$7="Core",Nonlabor!$F$7,MAX(Nonlabor!$F$7,IF(Nonlabor!$E$7="AI",Assumptions!$D$24,Assumptions!$D$25)))),AND(Nonlabor!$H$7="Annual",MOD(C1400-IF(Nonlabor!$E$7="Core",Nonlabor!$F$7,MAX(Nonlabor!$F$7,IF(Nonlabor!$E$7="AI",Assumptions!$D$24,Assumptions!$D$25))),12)=0))),IF(Nonlabor!$I$7="Fixed",1,IF(Nonlabor!$I$7="Seats",ROUNDUP('Monthly Base'!I20,0),IF(Nonlabor!$I$7="Customers",'Monthly Base'!D20,IF(Nonlabor!$I$7="NewCustomers",'Monthly Base'!C20,IF(Nonlabor!$I$7="StorageGB",'Monthly Base'!G20,IF(Nonlabor!$I$7="LogGB",'Monthly Base'!H20,IF(Nonlabor!$I$7="RequestsM",'Monthly Base'!F20,IF(Nonlabor!$I$7="InputM",'Monthly Base'!D20*Assumptions!$D$22/1000000,IF(Nonlabor!$I$7="OutputM",'Monthly Base'!D20*Assumptions!$D$23/1000000,0))))))))),0)</f>
        <v>1</v>
      </c>
      <c r="F1400" s="10" t="n">
        <f aca="false">Nonlabor!$J$7*(1+Assumptions!$D$9)^INT((C1400-1)/12)</f>
        <v>618</v>
      </c>
      <c r="G1400" s="10" t="n">
        <f aca="false">E1400*F1400</f>
        <v>618</v>
      </c>
      <c r="H1400" s="10" t="n">
        <f aca="false">IF(OR(Nonlabor!$L$7="Quote required",Nonlabor!$L$7="Unverified"),G1400,0)</f>
        <v>618</v>
      </c>
      <c r="I1400" s="10" t="n">
        <f aca="false">IF(Nonlabor!$E$7="Core",0,G1400)</f>
        <v>0</v>
      </c>
      <c r="J1400" s="23" t="str">
        <f aca="false">Nonlabor!$B$7</f>
        <v>INFRA</v>
      </c>
    </row>
    <row r="1401" customFormat="false" ht="15" hidden="false" customHeight="false" outlineLevel="0" collapsed="false">
      <c r="A1401" s="6" t="s">
        <v>4</v>
      </c>
      <c r="B1401" s="6" t="s">
        <v>373</v>
      </c>
      <c r="C1401" s="6" t="n">
        <v>16</v>
      </c>
      <c r="D1401" s="25" t="n">
        <f aca="false">EDATE('Start Here'!$B$6,C1401-1)</f>
        <v>46784</v>
      </c>
      <c r="E1401" s="23" t="n">
        <f aca="false">IF(AND(OR(Nonlabor!$D$7="Both",Nonlabor!$D$7='Start Here'!$B$9),IF(Nonlabor!$E$7="Core",1,IF(Nonlabor!$E$7="AI",'Start Here'!$B$7,'Start Here'!$B$8))=1,C1401&gt;=IF(Nonlabor!$E$7="Core",Nonlabor!$F$7,MAX(Nonlabor!$F$7,IF(Nonlabor!$E$7="AI",Assumptions!$D$24,Assumptions!$D$25))),C1401&lt;=Nonlabor!$G$7,OR(Nonlabor!$H$7="Monthly",AND(Nonlabor!$H$7="Once",C1401=IF(Nonlabor!$E$7="Core",Nonlabor!$F$7,MAX(Nonlabor!$F$7,IF(Nonlabor!$E$7="AI",Assumptions!$D$24,Assumptions!$D$25)))),AND(Nonlabor!$H$7="Annual",MOD(C1401-IF(Nonlabor!$E$7="Core",Nonlabor!$F$7,MAX(Nonlabor!$F$7,IF(Nonlabor!$E$7="AI",Assumptions!$D$24,Assumptions!$D$25))),12)=0))),IF(Nonlabor!$I$7="Fixed",1,IF(Nonlabor!$I$7="Seats",ROUNDUP('Monthly Base'!I21,0),IF(Nonlabor!$I$7="Customers",'Monthly Base'!D21,IF(Nonlabor!$I$7="NewCustomers",'Monthly Base'!C21,IF(Nonlabor!$I$7="StorageGB",'Monthly Base'!G21,IF(Nonlabor!$I$7="LogGB",'Monthly Base'!H21,IF(Nonlabor!$I$7="RequestsM",'Monthly Base'!F21,IF(Nonlabor!$I$7="InputM",'Monthly Base'!D21*Assumptions!$D$22/1000000,IF(Nonlabor!$I$7="OutputM",'Monthly Base'!D21*Assumptions!$D$23/1000000,0))))))))),0)</f>
        <v>1</v>
      </c>
      <c r="F1401" s="10" t="n">
        <f aca="false">Nonlabor!$J$7*(1+Assumptions!$D$9)^INT((C1401-1)/12)</f>
        <v>618</v>
      </c>
      <c r="G1401" s="10" t="n">
        <f aca="false">E1401*F1401</f>
        <v>618</v>
      </c>
      <c r="H1401" s="10" t="n">
        <f aca="false">IF(OR(Nonlabor!$L$7="Quote required",Nonlabor!$L$7="Unverified"),G1401,0)</f>
        <v>618</v>
      </c>
      <c r="I1401" s="10" t="n">
        <f aca="false">IF(Nonlabor!$E$7="Core",0,G1401)</f>
        <v>0</v>
      </c>
      <c r="J1401" s="23" t="str">
        <f aca="false">Nonlabor!$B$7</f>
        <v>INFRA</v>
      </c>
    </row>
    <row r="1402" customFormat="false" ht="15" hidden="false" customHeight="false" outlineLevel="0" collapsed="false">
      <c r="A1402" s="6" t="s">
        <v>4</v>
      </c>
      <c r="B1402" s="6" t="s">
        <v>373</v>
      </c>
      <c r="C1402" s="6" t="n">
        <v>17</v>
      </c>
      <c r="D1402" s="25" t="n">
        <f aca="false">EDATE('Start Here'!$B$6,C1402-1)</f>
        <v>46813</v>
      </c>
      <c r="E1402" s="23" t="n">
        <f aca="false">IF(AND(OR(Nonlabor!$D$7="Both",Nonlabor!$D$7='Start Here'!$B$9),IF(Nonlabor!$E$7="Core",1,IF(Nonlabor!$E$7="AI",'Start Here'!$B$7,'Start Here'!$B$8))=1,C1402&gt;=IF(Nonlabor!$E$7="Core",Nonlabor!$F$7,MAX(Nonlabor!$F$7,IF(Nonlabor!$E$7="AI",Assumptions!$D$24,Assumptions!$D$25))),C1402&lt;=Nonlabor!$G$7,OR(Nonlabor!$H$7="Monthly",AND(Nonlabor!$H$7="Once",C1402=IF(Nonlabor!$E$7="Core",Nonlabor!$F$7,MAX(Nonlabor!$F$7,IF(Nonlabor!$E$7="AI",Assumptions!$D$24,Assumptions!$D$25)))),AND(Nonlabor!$H$7="Annual",MOD(C1402-IF(Nonlabor!$E$7="Core",Nonlabor!$F$7,MAX(Nonlabor!$F$7,IF(Nonlabor!$E$7="AI",Assumptions!$D$24,Assumptions!$D$25))),12)=0))),IF(Nonlabor!$I$7="Fixed",1,IF(Nonlabor!$I$7="Seats",ROUNDUP('Monthly Base'!I22,0),IF(Nonlabor!$I$7="Customers",'Monthly Base'!D22,IF(Nonlabor!$I$7="NewCustomers",'Monthly Base'!C22,IF(Nonlabor!$I$7="StorageGB",'Monthly Base'!G22,IF(Nonlabor!$I$7="LogGB",'Monthly Base'!H22,IF(Nonlabor!$I$7="RequestsM",'Monthly Base'!F22,IF(Nonlabor!$I$7="InputM",'Monthly Base'!D22*Assumptions!$D$22/1000000,IF(Nonlabor!$I$7="OutputM",'Monthly Base'!D22*Assumptions!$D$23/1000000,0))))))))),0)</f>
        <v>1</v>
      </c>
      <c r="F1402" s="10" t="n">
        <f aca="false">Nonlabor!$J$7*(1+Assumptions!$D$9)^INT((C1402-1)/12)</f>
        <v>618</v>
      </c>
      <c r="G1402" s="10" t="n">
        <f aca="false">E1402*F1402</f>
        <v>618</v>
      </c>
      <c r="H1402" s="10" t="n">
        <f aca="false">IF(OR(Nonlabor!$L$7="Quote required",Nonlabor!$L$7="Unverified"),G1402,0)</f>
        <v>618</v>
      </c>
      <c r="I1402" s="10" t="n">
        <f aca="false">IF(Nonlabor!$E$7="Core",0,G1402)</f>
        <v>0</v>
      </c>
      <c r="J1402" s="23" t="str">
        <f aca="false">Nonlabor!$B$7</f>
        <v>INFRA</v>
      </c>
    </row>
    <row r="1403" customFormat="false" ht="15" hidden="false" customHeight="false" outlineLevel="0" collapsed="false">
      <c r="A1403" s="6" t="s">
        <v>4</v>
      </c>
      <c r="B1403" s="6" t="s">
        <v>373</v>
      </c>
      <c r="C1403" s="6" t="n">
        <v>18</v>
      </c>
      <c r="D1403" s="25" t="n">
        <f aca="false">EDATE('Start Here'!$B$6,C1403-1)</f>
        <v>46844</v>
      </c>
      <c r="E1403" s="23" t="n">
        <f aca="false">IF(AND(OR(Nonlabor!$D$7="Both",Nonlabor!$D$7='Start Here'!$B$9),IF(Nonlabor!$E$7="Core",1,IF(Nonlabor!$E$7="AI",'Start Here'!$B$7,'Start Here'!$B$8))=1,C1403&gt;=IF(Nonlabor!$E$7="Core",Nonlabor!$F$7,MAX(Nonlabor!$F$7,IF(Nonlabor!$E$7="AI",Assumptions!$D$24,Assumptions!$D$25))),C1403&lt;=Nonlabor!$G$7,OR(Nonlabor!$H$7="Monthly",AND(Nonlabor!$H$7="Once",C1403=IF(Nonlabor!$E$7="Core",Nonlabor!$F$7,MAX(Nonlabor!$F$7,IF(Nonlabor!$E$7="AI",Assumptions!$D$24,Assumptions!$D$25)))),AND(Nonlabor!$H$7="Annual",MOD(C1403-IF(Nonlabor!$E$7="Core",Nonlabor!$F$7,MAX(Nonlabor!$F$7,IF(Nonlabor!$E$7="AI",Assumptions!$D$24,Assumptions!$D$25))),12)=0))),IF(Nonlabor!$I$7="Fixed",1,IF(Nonlabor!$I$7="Seats",ROUNDUP('Monthly Base'!I23,0),IF(Nonlabor!$I$7="Customers",'Monthly Base'!D23,IF(Nonlabor!$I$7="NewCustomers",'Monthly Base'!C23,IF(Nonlabor!$I$7="StorageGB",'Monthly Base'!G23,IF(Nonlabor!$I$7="LogGB",'Monthly Base'!H23,IF(Nonlabor!$I$7="RequestsM",'Monthly Base'!F23,IF(Nonlabor!$I$7="InputM",'Monthly Base'!D23*Assumptions!$D$22/1000000,IF(Nonlabor!$I$7="OutputM",'Monthly Base'!D23*Assumptions!$D$23/1000000,0))))))))),0)</f>
        <v>1</v>
      </c>
      <c r="F1403" s="10" t="n">
        <f aca="false">Nonlabor!$J$7*(1+Assumptions!$D$9)^INT((C1403-1)/12)</f>
        <v>618</v>
      </c>
      <c r="G1403" s="10" t="n">
        <f aca="false">E1403*F1403</f>
        <v>618</v>
      </c>
      <c r="H1403" s="10" t="n">
        <f aca="false">IF(OR(Nonlabor!$L$7="Quote required",Nonlabor!$L$7="Unverified"),G1403,0)</f>
        <v>618</v>
      </c>
      <c r="I1403" s="10" t="n">
        <f aca="false">IF(Nonlabor!$E$7="Core",0,G1403)</f>
        <v>0</v>
      </c>
      <c r="J1403" s="23" t="str">
        <f aca="false">Nonlabor!$B$7</f>
        <v>INFRA</v>
      </c>
    </row>
    <row r="1404" customFormat="false" ht="15" hidden="false" customHeight="false" outlineLevel="0" collapsed="false">
      <c r="A1404" s="6" t="s">
        <v>4</v>
      </c>
      <c r="B1404" s="6" t="s">
        <v>373</v>
      </c>
      <c r="C1404" s="6" t="n">
        <v>19</v>
      </c>
      <c r="D1404" s="25" t="n">
        <f aca="false">EDATE('Start Here'!$B$6,C1404-1)</f>
        <v>46874</v>
      </c>
      <c r="E1404" s="23" t="n">
        <f aca="false">IF(AND(OR(Nonlabor!$D$7="Both",Nonlabor!$D$7='Start Here'!$B$9),IF(Nonlabor!$E$7="Core",1,IF(Nonlabor!$E$7="AI",'Start Here'!$B$7,'Start Here'!$B$8))=1,C1404&gt;=IF(Nonlabor!$E$7="Core",Nonlabor!$F$7,MAX(Nonlabor!$F$7,IF(Nonlabor!$E$7="AI",Assumptions!$D$24,Assumptions!$D$25))),C1404&lt;=Nonlabor!$G$7,OR(Nonlabor!$H$7="Monthly",AND(Nonlabor!$H$7="Once",C1404=IF(Nonlabor!$E$7="Core",Nonlabor!$F$7,MAX(Nonlabor!$F$7,IF(Nonlabor!$E$7="AI",Assumptions!$D$24,Assumptions!$D$25)))),AND(Nonlabor!$H$7="Annual",MOD(C1404-IF(Nonlabor!$E$7="Core",Nonlabor!$F$7,MAX(Nonlabor!$F$7,IF(Nonlabor!$E$7="AI",Assumptions!$D$24,Assumptions!$D$25))),12)=0))),IF(Nonlabor!$I$7="Fixed",1,IF(Nonlabor!$I$7="Seats",ROUNDUP('Monthly Base'!I24,0),IF(Nonlabor!$I$7="Customers",'Monthly Base'!D24,IF(Nonlabor!$I$7="NewCustomers",'Monthly Base'!C24,IF(Nonlabor!$I$7="StorageGB",'Monthly Base'!G24,IF(Nonlabor!$I$7="LogGB",'Monthly Base'!H24,IF(Nonlabor!$I$7="RequestsM",'Monthly Base'!F24,IF(Nonlabor!$I$7="InputM",'Monthly Base'!D24*Assumptions!$D$22/1000000,IF(Nonlabor!$I$7="OutputM",'Monthly Base'!D24*Assumptions!$D$23/1000000,0))))))))),0)</f>
        <v>1</v>
      </c>
      <c r="F1404" s="10" t="n">
        <f aca="false">Nonlabor!$J$7*(1+Assumptions!$D$9)^INT((C1404-1)/12)</f>
        <v>618</v>
      </c>
      <c r="G1404" s="10" t="n">
        <f aca="false">E1404*F1404</f>
        <v>618</v>
      </c>
      <c r="H1404" s="10" t="n">
        <f aca="false">IF(OR(Nonlabor!$L$7="Quote required",Nonlabor!$L$7="Unverified"),G1404,0)</f>
        <v>618</v>
      </c>
      <c r="I1404" s="10" t="n">
        <f aca="false">IF(Nonlabor!$E$7="Core",0,G1404)</f>
        <v>0</v>
      </c>
      <c r="J1404" s="23" t="str">
        <f aca="false">Nonlabor!$B$7</f>
        <v>INFRA</v>
      </c>
    </row>
    <row r="1405" customFormat="false" ht="15" hidden="false" customHeight="false" outlineLevel="0" collapsed="false">
      <c r="A1405" s="6" t="s">
        <v>4</v>
      </c>
      <c r="B1405" s="6" t="s">
        <v>373</v>
      </c>
      <c r="C1405" s="6" t="n">
        <v>20</v>
      </c>
      <c r="D1405" s="25" t="n">
        <f aca="false">EDATE('Start Here'!$B$6,C1405-1)</f>
        <v>46905</v>
      </c>
      <c r="E1405" s="23" t="n">
        <f aca="false">IF(AND(OR(Nonlabor!$D$7="Both",Nonlabor!$D$7='Start Here'!$B$9),IF(Nonlabor!$E$7="Core",1,IF(Nonlabor!$E$7="AI",'Start Here'!$B$7,'Start Here'!$B$8))=1,C1405&gt;=IF(Nonlabor!$E$7="Core",Nonlabor!$F$7,MAX(Nonlabor!$F$7,IF(Nonlabor!$E$7="AI",Assumptions!$D$24,Assumptions!$D$25))),C1405&lt;=Nonlabor!$G$7,OR(Nonlabor!$H$7="Monthly",AND(Nonlabor!$H$7="Once",C1405=IF(Nonlabor!$E$7="Core",Nonlabor!$F$7,MAX(Nonlabor!$F$7,IF(Nonlabor!$E$7="AI",Assumptions!$D$24,Assumptions!$D$25)))),AND(Nonlabor!$H$7="Annual",MOD(C1405-IF(Nonlabor!$E$7="Core",Nonlabor!$F$7,MAX(Nonlabor!$F$7,IF(Nonlabor!$E$7="AI",Assumptions!$D$24,Assumptions!$D$25))),12)=0))),IF(Nonlabor!$I$7="Fixed",1,IF(Nonlabor!$I$7="Seats",ROUNDUP('Monthly Base'!I25,0),IF(Nonlabor!$I$7="Customers",'Monthly Base'!D25,IF(Nonlabor!$I$7="NewCustomers",'Monthly Base'!C25,IF(Nonlabor!$I$7="StorageGB",'Monthly Base'!G25,IF(Nonlabor!$I$7="LogGB",'Monthly Base'!H25,IF(Nonlabor!$I$7="RequestsM",'Monthly Base'!F25,IF(Nonlabor!$I$7="InputM",'Monthly Base'!D25*Assumptions!$D$22/1000000,IF(Nonlabor!$I$7="OutputM",'Monthly Base'!D25*Assumptions!$D$23/1000000,0))))))))),0)</f>
        <v>1</v>
      </c>
      <c r="F1405" s="10" t="n">
        <f aca="false">Nonlabor!$J$7*(1+Assumptions!$D$9)^INT((C1405-1)/12)</f>
        <v>618</v>
      </c>
      <c r="G1405" s="10" t="n">
        <f aca="false">E1405*F1405</f>
        <v>618</v>
      </c>
      <c r="H1405" s="10" t="n">
        <f aca="false">IF(OR(Nonlabor!$L$7="Quote required",Nonlabor!$L$7="Unverified"),G1405,0)</f>
        <v>618</v>
      </c>
      <c r="I1405" s="10" t="n">
        <f aca="false">IF(Nonlabor!$E$7="Core",0,G1405)</f>
        <v>0</v>
      </c>
      <c r="J1405" s="23" t="str">
        <f aca="false">Nonlabor!$B$7</f>
        <v>INFRA</v>
      </c>
    </row>
    <row r="1406" customFormat="false" ht="15" hidden="false" customHeight="false" outlineLevel="0" collapsed="false">
      <c r="A1406" s="6" t="s">
        <v>4</v>
      </c>
      <c r="B1406" s="6" t="s">
        <v>373</v>
      </c>
      <c r="C1406" s="6" t="n">
        <v>21</v>
      </c>
      <c r="D1406" s="25" t="n">
        <f aca="false">EDATE('Start Here'!$B$6,C1406-1)</f>
        <v>46935</v>
      </c>
      <c r="E1406" s="23" t="n">
        <f aca="false">IF(AND(OR(Nonlabor!$D$7="Both",Nonlabor!$D$7='Start Here'!$B$9),IF(Nonlabor!$E$7="Core",1,IF(Nonlabor!$E$7="AI",'Start Here'!$B$7,'Start Here'!$B$8))=1,C1406&gt;=IF(Nonlabor!$E$7="Core",Nonlabor!$F$7,MAX(Nonlabor!$F$7,IF(Nonlabor!$E$7="AI",Assumptions!$D$24,Assumptions!$D$25))),C1406&lt;=Nonlabor!$G$7,OR(Nonlabor!$H$7="Monthly",AND(Nonlabor!$H$7="Once",C1406=IF(Nonlabor!$E$7="Core",Nonlabor!$F$7,MAX(Nonlabor!$F$7,IF(Nonlabor!$E$7="AI",Assumptions!$D$24,Assumptions!$D$25)))),AND(Nonlabor!$H$7="Annual",MOD(C1406-IF(Nonlabor!$E$7="Core",Nonlabor!$F$7,MAX(Nonlabor!$F$7,IF(Nonlabor!$E$7="AI",Assumptions!$D$24,Assumptions!$D$25))),12)=0))),IF(Nonlabor!$I$7="Fixed",1,IF(Nonlabor!$I$7="Seats",ROUNDUP('Monthly Base'!I26,0),IF(Nonlabor!$I$7="Customers",'Monthly Base'!D26,IF(Nonlabor!$I$7="NewCustomers",'Monthly Base'!C26,IF(Nonlabor!$I$7="StorageGB",'Monthly Base'!G26,IF(Nonlabor!$I$7="LogGB",'Monthly Base'!H26,IF(Nonlabor!$I$7="RequestsM",'Monthly Base'!F26,IF(Nonlabor!$I$7="InputM",'Monthly Base'!D26*Assumptions!$D$22/1000000,IF(Nonlabor!$I$7="OutputM",'Monthly Base'!D26*Assumptions!$D$23/1000000,0))))))))),0)</f>
        <v>1</v>
      </c>
      <c r="F1406" s="10" t="n">
        <f aca="false">Nonlabor!$J$7*(1+Assumptions!$D$9)^INT((C1406-1)/12)</f>
        <v>618</v>
      </c>
      <c r="G1406" s="10" t="n">
        <f aca="false">E1406*F1406</f>
        <v>618</v>
      </c>
      <c r="H1406" s="10" t="n">
        <f aca="false">IF(OR(Nonlabor!$L$7="Quote required",Nonlabor!$L$7="Unverified"),G1406,0)</f>
        <v>618</v>
      </c>
      <c r="I1406" s="10" t="n">
        <f aca="false">IF(Nonlabor!$E$7="Core",0,G1406)</f>
        <v>0</v>
      </c>
      <c r="J1406" s="23" t="str">
        <f aca="false">Nonlabor!$B$7</f>
        <v>INFRA</v>
      </c>
    </row>
    <row r="1407" customFormat="false" ht="15" hidden="false" customHeight="false" outlineLevel="0" collapsed="false">
      <c r="A1407" s="6" t="s">
        <v>4</v>
      </c>
      <c r="B1407" s="6" t="s">
        <v>373</v>
      </c>
      <c r="C1407" s="6" t="n">
        <v>22</v>
      </c>
      <c r="D1407" s="25" t="n">
        <f aca="false">EDATE('Start Here'!$B$6,C1407-1)</f>
        <v>46966</v>
      </c>
      <c r="E1407" s="23" t="n">
        <f aca="false">IF(AND(OR(Nonlabor!$D$7="Both",Nonlabor!$D$7='Start Here'!$B$9),IF(Nonlabor!$E$7="Core",1,IF(Nonlabor!$E$7="AI",'Start Here'!$B$7,'Start Here'!$B$8))=1,C1407&gt;=IF(Nonlabor!$E$7="Core",Nonlabor!$F$7,MAX(Nonlabor!$F$7,IF(Nonlabor!$E$7="AI",Assumptions!$D$24,Assumptions!$D$25))),C1407&lt;=Nonlabor!$G$7,OR(Nonlabor!$H$7="Monthly",AND(Nonlabor!$H$7="Once",C1407=IF(Nonlabor!$E$7="Core",Nonlabor!$F$7,MAX(Nonlabor!$F$7,IF(Nonlabor!$E$7="AI",Assumptions!$D$24,Assumptions!$D$25)))),AND(Nonlabor!$H$7="Annual",MOD(C1407-IF(Nonlabor!$E$7="Core",Nonlabor!$F$7,MAX(Nonlabor!$F$7,IF(Nonlabor!$E$7="AI",Assumptions!$D$24,Assumptions!$D$25))),12)=0))),IF(Nonlabor!$I$7="Fixed",1,IF(Nonlabor!$I$7="Seats",ROUNDUP('Monthly Base'!I27,0),IF(Nonlabor!$I$7="Customers",'Monthly Base'!D27,IF(Nonlabor!$I$7="NewCustomers",'Monthly Base'!C27,IF(Nonlabor!$I$7="StorageGB",'Monthly Base'!G27,IF(Nonlabor!$I$7="LogGB",'Monthly Base'!H27,IF(Nonlabor!$I$7="RequestsM",'Monthly Base'!F27,IF(Nonlabor!$I$7="InputM",'Monthly Base'!D27*Assumptions!$D$22/1000000,IF(Nonlabor!$I$7="OutputM",'Monthly Base'!D27*Assumptions!$D$23/1000000,0))))))))),0)</f>
        <v>1</v>
      </c>
      <c r="F1407" s="10" t="n">
        <f aca="false">Nonlabor!$J$7*(1+Assumptions!$D$9)^INT((C1407-1)/12)</f>
        <v>618</v>
      </c>
      <c r="G1407" s="10" t="n">
        <f aca="false">E1407*F1407</f>
        <v>618</v>
      </c>
      <c r="H1407" s="10" t="n">
        <f aca="false">IF(OR(Nonlabor!$L$7="Quote required",Nonlabor!$L$7="Unverified"),G1407,0)</f>
        <v>618</v>
      </c>
      <c r="I1407" s="10" t="n">
        <f aca="false">IF(Nonlabor!$E$7="Core",0,G1407)</f>
        <v>0</v>
      </c>
      <c r="J1407" s="23" t="str">
        <f aca="false">Nonlabor!$B$7</f>
        <v>INFRA</v>
      </c>
    </row>
    <row r="1408" customFormat="false" ht="15" hidden="false" customHeight="false" outlineLevel="0" collapsed="false">
      <c r="A1408" s="6" t="s">
        <v>4</v>
      </c>
      <c r="B1408" s="6" t="s">
        <v>373</v>
      </c>
      <c r="C1408" s="6" t="n">
        <v>23</v>
      </c>
      <c r="D1408" s="25" t="n">
        <f aca="false">EDATE('Start Here'!$B$6,C1408-1)</f>
        <v>46997</v>
      </c>
      <c r="E1408" s="23" t="n">
        <f aca="false">IF(AND(OR(Nonlabor!$D$7="Both",Nonlabor!$D$7='Start Here'!$B$9),IF(Nonlabor!$E$7="Core",1,IF(Nonlabor!$E$7="AI",'Start Here'!$B$7,'Start Here'!$B$8))=1,C1408&gt;=IF(Nonlabor!$E$7="Core",Nonlabor!$F$7,MAX(Nonlabor!$F$7,IF(Nonlabor!$E$7="AI",Assumptions!$D$24,Assumptions!$D$25))),C1408&lt;=Nonlabor!$G$7,OR(Nonlabor!$H$7="Monthly",AND(Nonlabor!$H$7="Once",C1408=IF(Nonlabor!$E$7="Core",Nonlabor!$F$7,MAX(Nonlabor!$F$7,IF(Nonlabor!$E$7="AI",Assumptions!$D$24,Assumptions!$D$25)))),AND(Nonlabor!$H$7="Annual",MOD(C1408-IF(Nonlabor!$E$7="Core",Nonlabor!$F$7,MAX(Nonlabor!$F$7,IF(Nonlabor!$E$7="AI",Assumptions!$D$24,Assumptions!$D$25))),12)=0))),IF(Nonlabor!$I$7="Fixed",1,IF(Nonlabor!$I$7="Seats",ROUNDUP('Monthly Base'!I28,0),IF(Nonlabor!$I$7="Customers",'Monthly Base'!D28,IF(Nonlabor!$I$7="NewCustomers",'Monthly Base'!C28,IF(Nonlabor!$I$7="StorageGB",'Monthly Base'!G28,IF(Nonlabor!$I$7="LogGB",'Monthly Base'!H28,IF(Nonlabor!$I$7="RequestsM",'Monthly Base'!F28,IF(Nonlabor!$I$7="InputM",'Monthly Base'!D28*Assumptions!$D$22/1000000,IF(Nonlabor!$I$7="OutputM",'Monthly Base'!D28*Assumptions!$D$23/1000000,0))))))))),0)</f>
        <v>1</v>
      </c>
      <c r="F1408" s="10" t="n">
        <f aca="false">Nonlabor!$J$7*(1+Assumptions!$D$9)^INT((C1408-1)/12)</f>
        <v>618</v>
      </c>
      <c r="G1408" s="10" t="n">
        <f aca="false">E1408*F1408</f>
        <v>618</v>
      </c>
      <c r="H1408" s="10" t="n">
        <f aca="false">IF(OR(Nonlabor!$L$7="Quote required",Nonlabor!$L$7="Unverified"),G1408,0)</f>
        <v>618</v>
      </c>
      <c r="I1408" s="10" t="n">
        <f aca="false">IF(Nonlabor!$E$7="Core",0,G1408)</f>
        <v>0</v>
      </c>
      <c r="J1408" s="23" t="str">
        <f aca="false">Nonlabor!$B$7</f>
        <v>INFRA</v>
      </c>
    </row>
    <row r="1409" customFormat="false" ht="15" hidden="false" customHeight="false" outlineLevel="0" collapsed="false">
      <c r="A1409" s="6" t="s">
        <v>4</v>
      </c>
      <c r="B1409" s="6" t="s">
        <v>373</v>
      </c>
      <c r="C1409" s="6" t="n">
        <v>24</v>
      </c>
      <c r="D1409" s="25" t="n">
        <f aca="false">EDATE('Start Here'!$B$6,C1409-1)</f>
        <v>47027</v>
      </c>
      <c r="E1409" s="23" t="n">
        <f aca="false">IF(AND(OR(Nonlabor!$D$7="Both",Nonlabor!$D$7='Start Here'!$B$9),IF(Nonlabor!$E$7="Core",1,IF(Nonlabor!$E$7="AI",'Start Here'!$B$7,'Start Here'!$B$8))=1,C1409&gt;=IF(Nonlabor!$E$7="Core",Nonlabor!$F$7,MAX(Nonlabor!$F$7,IF(Nonlabor!$E$7="AI",Assumptions!$D$24,Assumptions!$D$25))),C1409&lt;=Nonlabor!$G$7,OR(Nonlabor!$H$7="Monthly",AND(Nonlabor!$H$7="Once",C1409=IF(Nonlabor!$E$7="Core",Nonlabor!$F$7,MAX(Nonlabor!$F$7,IF(Nonlabor!$E$7="AI",Assumptions!$D$24,Assumptions!$D$25)))),AND(Nonlabor!$H$7="Annual",MOD(C1409-IF(Nonlabor!$E$7="Core",Nonlabor!$F$7,MAX(Nonlabor!$F$7,IF(Nonlabor!$E$7="AI",Assumptions!$D$24,Assumptions!$D$25))),12)=0))),IF(Nonlabor!$I$7="Fixed",1,IF(Nonlabor!$I$7="Seats",ROUNDUP('Monthly Base'!I29,0),IF(Nonlabor!$I$7="Customers",'Monthly Base'!D29,IF(Nonlabor!$I$7="NewCustomers",'Monthly Base'!C29,IF(Nonlabor!$I$7="StorageGB",'Monthly Base'!G29,IF(Nonlabor!$I$7="LogGB",'Monthly Base'!H29,IF(Nonlabor!$I$7="RequestsM",'Monthly Base'!F29,IF(Nonlabor!$I$7="InputM",'Monthly Base'!D29*Assumptions!$D$22/1000000,IF(Nonlabor!$I$7="OutputM",'Monthly Base'!D29*Assumptions!$D$23/1000000,0))))))))),0)</f>
        <v>1</v>
      </c>
      <c r="F1409" s="10" t="n">
        <f aca="false">Nonlabor!$J$7*(1+Assumptions!$D$9)^INT((C1409-1)/12)</f>
        <v>618</v>
      </c>
      <c r="G1409" s="10" t="n">
        <f aca="false">E1409*F1409</f>
        <v>618</v>
      </c>
      <c r="H1409" s="10" t="n">
        <f aca="false">IF(OR(Nonlabor!$L$7="Quote required",Nonlabor!$L$7="Unverified"),G1409,0)</f>
        <v>618</v>
      </c>
      <c r="I1409" s="10" t="n">
        <f aca="false">IF(Nonlabor!$E$7="Core",0,G1409)</f>
        <v>0</v>
      </c>
      <c r="J1409" s="23" t="str">
        <f aca="false">Nonlabor!$B$7</f>
        <v>INFRA</v>
      </c>
    </row>
    <row r="1410" customFormat="false" ht="15" hidden="false" customHeight="false" outlineLevel="0" collapsed="false">
      <c r="A1410" s="6" t="s">
        <v>4</v>
      </c>
      <c r="B1410" s="6" t="s">
        <v>373</v>
      </c>
      <c r="C1410" s="6" t="n">
        <v>25</v>
      </c>
      <c r="D1410" s="25" t="n">
        <f aca="false">EDATE('Start Here'!$B$6,C1410-1)</f>
        <v>47058</v>
      </c>
      <c r="E1410" s="23" t="n">
        <f aca="false">IF(AND(OR(Nonlabor!$D$7="Both",Nonlabor!$D$7='Start Here'!$B$9),IF(Nonlabor!$E$7="Core",1,IF(Nonlabor!$E$7="AI",'Start Here'!$B$7,'Start Here'!$B$8))=1,C1410&gt;=IF(Nonlabor!$E$7="Core",Nonlabor!$F$7,MAX(Nonlabor!$F$7,IF(Nonlabor!$E$7="AI",Assumptions!$D$24,Assumptions!$D$25))),C1410&lt;=Nonlabor!$G$7,OR(Nonlabor!$H$7="Monthly",AND(Nonlabor!$H$7="Once",C1410=IF(Nonlabor!$E$7="Core",Nonlabor!$F$7,MAX(Nonlabor!$F$7,IF(Nonlabor!$E$7="AI",Assumptions!$D$24,Assumptions!$D$25)))),AND(Nonlabor!$H$7="Annual",MOD(C1410-IF(Nonlabor!$E$7="Core",Nonlabor!$F$7,MAX(Nonlabor!$F$7,IF(Nonlabor!$E$7="AI",Assumptions!$D$24,Assumptions!$D$25))),12)=0))),IF(Nonlabor!$I$7="Fixed",1,IF(Nonlabor!$I$7="Seats",ROUNDUP('Monthly Base'!I30,0),IF(Nonlabor!$I$7="Customers",'Monthly Base'!D30,IF(Nonlabor!$I$7="NewCustomers",'Monthly Base'!C30,IF(Nonlabor!$I$7="StorageGB",'Monthly Base'!G30,IF(Nonlabor!$I$7="LogGB",'Monthly Base'!H30,IF(Nonlabor!$I$7="RequestsM",'Monthly Base'!F30,IF(Nonlabor!$I$7="InputM",'Monthly Base'!D30*Assumptions!$D$22/1000000,IF(Nonlabor!$I$7="OutputM",'Monthly Base'!D30*Assumptions!$D$23/1000000,0))))))))),0)</f>
        <v>1</v>
      </c>
      <c r="F1410" s="10" t="n">
        <f aca="false">Nonlabor!$J$7*(1+Assumptions!$D$9)^INT((C1410-1)/12)</f>
        <v>636.54</v>
      </c>
      <c r="G1410" s="10" t="n">
        <f aca="false">E1410*F1410</f>
        <v>636.54</v>
      </c>
      <c r="H1410" s="10" t="n">
        <f aca="false">IF(OR(Nonlabor!$L$7="Quote required",Nonlabor!$L$7="Unverified"),G1410,0)</f>
        <v>636.54</v>
      </c>
      <c r="I1410" s="10" t="n">
        <f aca="false">IF(Nonlabor!$E$7="Core",0,G1410)</f>
        <v>0</v>
      </c>
      <c r="J1410" s="23" t="str">
        <f aca="false">Nonlabor!$B$7</f>
        <v>INFRA</v>
      </c>
    </row>
    <row r="1411" customFormat="false" ht="15" hidden="false" customHeight="false" outlineLevel="0" collapsed="false">
      <c r="A1411" s="6" t="s">
        <v>4</v>
      </c>
      <c r="B1411" s="6" t="s">
        <v>373</v>
      </c>
      <c r="C1411" s="6" t="n">
        <v>26</v>
      </c>
      <c r="D1411" s="25" t="n">
        <f aca="false">EDATE('Start Here'!$B$6,C1411-1)</f>
        <v>47088</v>
      </c>
      <c r="E1411" s="23" t="n">
        <f aca="false">IF(AND(OR(Nonlabor!$D$7="Both",Nonlabor!$D$7='Start Here'!$B$9),IF(Nonlabor!$E$7="Core",1,IF(Nonlabor!$E$7="AI",'Start Here'!$B$7,'Start Here'!$B$8))=1,C1411&gt;=IF(Nonlabor!$E$7="Core",Nonlabor!$F$7,MAX(Nonlabor!$F$7,IF(Nonlabor!$E$7="AI",Assumptions!$D$24,Assumptions!$D$25))),C1411&lt;=Nonlabor!$G$7,OR(Nonlabor!$H$7="Monthly",AND(Nonlabor!$H$7="Once",C1411=IF(Nonlabor!$E$7="Core",Nonlabor!$F$7,MAX(Nonlabor!$F$7,IF(Nonlabor!$E$7="AI",Assumptions!$D$24,Assumptions!$D$25)))),AND(Nonlabor!$H$7="Annual",MOD(C1411-IF(Nonlabor!$E$7="Core",Nonlabor!$F$7,MAX(Nonlabor!$F$7,IF(Nonlabor!$E$7="AI",Assumptions!$D$24,Assumptions!$D$25))),12)=0))),IF(Nonlabor!$I$7="Fixed",1,IF(Nonlabor!$I$7="Seats",ROUNDUP('Monthly Base'!I31,0),IF(Nonlabor!$I$7="Customers",'Monthly Base'!D31,IF(Nonlabor!$I$7="NewCustomers",'Monthly Base'!C31,IF(Nonlabor!$I$7="StorageGB",'Monthly Base'!G31,IF(Nonlabor!$I$7="LogGB",'Monthly Base'!H31,IF(Nonlabor!$I$7="RequestsM",'Monthly Base'!F31,IF(Nonlabor!$I$7="InputM",'Monthly Base'!D31*Assumptions!$D$22/1000000,IF(Nonlabor!$I$7="OutputM",'Monthly Base'!D31*Assumptions!$D$23/1000000,0))))))))),0)</f>
        <v>1</v>
      </c>
      <c r="F1411" s="10" t="n">
        <f aca="false">Nonlabor!$J$7*(1+Assumptions!$D$9)^INT((C1411-1)/12)</f>
        <v>636.54</v>
      </c>
      <c r="G1411" s="10" t="n">
        <f aca="false">E1411*F1411</f>
        <v>636.54</v>
      </c>
      <c r="H1411" s="10" t="n">
        <f aca="false">IF(OR(Nonlabor!$L$7="Quote required",Nonlabor!$L$7="Unverified"),G1411,0)</f>
        <v>636.54</v>
      </c>
      <c r="I1411" s="10" t="n">
        <f aca="false">IF(Nonlabor!$E$7="Core",0,G1411)</f>
        <v>0</v>
      </c>
      <c r="J1411" s="23" t="str">
        <f aca="false">Nonlabor!$B$7</f>
        <v>INFRA</v>
      </c>
    </row>
    <row r="1412" customFormat="false" ht="15" hidden="false" customHeight="false" outlineLevel="0" collapsed="false">
      <c r="A1412" s="6" t="s">
        <v>4</v>
      </c>
      <c r="B1412" s="6" t="s">
        <v>373</v>
      </c>
      <c r="C1412" s="6" t="n">
        <v>27</v>
      </c>
      <c r="D1412" s="25" t="n">
        <f aca="false">EDATE('Start Here'!$B$6,C1412-1)</f>
        <v>47119</v>
      </c>
      <c r="E1412" s="23" t="n">
        <f aca="false">IF(AND(OR(Nonlabor!$D$7="Both",Nonlabor!$D$7='Start Here'!$B$9),IF(Nonlabor!$E$7="Core",1,IF(Nonlabor!$E$7="AI",'Start Here'!$B$7,'Start Here'!$B$8))=1,C1412&gt;=IF(Nonlabor!$E$7="Core",Nonlabor!$F$7,MAX(Nonlabor!$F$7,IF(Nonlabor!$E$7="AI",Assumptions!$D$24,Assumptions!$D$25))),C1412&lt;=Nonlabor!$G$7,OR(Nonlabor!$H$7="Monthly",AND(Nonlabor!$H$7="Once",C1412=IF(Nonlabor!$E$7="Core",Nonlabor!$F$7,MAX(Nonlabor!$F$7,IF(Nonlabor!$E$7="AI",Assumptions!$D$24,Assumptions!$D$25)))),AND(Nonlabor!$H$7="Annual",MOD(C1412-IF(Nonlabor!$E$7="Core",Nonlabor!$F$7,MAX(Nonlabor!$F$7,IF(Nonlabor!$E$7="AI",Assumptions!$D$24,Assumptions!$D$25))),12)=0))),IF(Nonlabor!$I$7="Fixed",1,IF(Nonlabor!$I$7="Seats",ROUNDUP('Monthly Base'!I32,0),IF(Nonlabor!$I$7="Customers",'Monthly Base'!D32,IF(Nonlabor!$I$7="NewCustomers",'Monthly Base'!C32,IF(Nonlabor!$I$7="StorageGB",'Monthly Base'!G32,IF(Nonlabor!$I$7="LogGB",'Monthly Base'!H32,IF(Nonlabor!$I$7="RequestsM",'Monthly Base'!F32,IF(Nonlabor!$I$7="InputM",'Monthly Base'!D32*Assumptions!$D$22/1000000,IF(Nonlabor!$I$7="OutputM",'Monthly Base'!D32*Assumptions!$D$23/1000000,0))))))))),0)</f>
        <v>1</v>
      </c>
      <c r="F1412" s="10" t="n">
        <f aca="false">Nonlabor!$J$7*(1+Assumptions!$D$9)^INT((C1412-1)/12)</f>
        <v>636.54</v>
      </c>
      <c r="G1412" s="10" t="n">
        <f aca="false">E1412*F1412</f>
        <v>636.54</v>
      </c>
      <c r="H1412" s="10" t="n">
        <f aca="false">IF(OR(Nonlabor!$L$7="Quote required",Nonlabor!$L$7="Unverified"),G1412,0)</f>
        <v>636.54</v>
      </c>
      <c r="I1412" s="10" t="n">
        <f aca="false">IF(Nonlabor!$E$7="Core",0,G1412)</f>
        <v>0</v>
      </c>
      <c r="J1412" s="23" t="str">
        <f aca="false">Nonlabor!$B$7</f>
        <v>INFRA</v>
      </c>
    </row>
    <row r="1413" customFormat="false" ht="15" hidden="false" customHeight="false" outlineLevel="0" collapsed="false">
      <c r="A1413" s="6" t="s">
        <v>4</v>
      </c>
      <c r="B1413" s="6" t="s">
        <v>373</v>
      </c>
      <c r="C1413" s="6" t="n">
        <v>28</v>
      </c>
      <c r="D1413" s="25" t="n">
        <f aca="false">EDATE('Start Here'!$B$6,C1413-1)</f>
        <v>47150</v>
      </c>
      <c r="E1413" s="23" t="n">
        <f aca="false">IF(AND(OR(Nonlabor!$D$7="Both",Nonlabor!$D$7='Start Here'!$B$9),IF(Nonlabor!$E$7="Core",1,IF(Nonlabor!$E$7="AI",'Start Here'!$B$7,'Start Here'!$B$8))=1,C1413&gt;=IF(Nonlabor!$E$7="Core",Nonlabor!$F$7,MAX(Nonlabor!$F$7,IF(Nonlabor!$E$7="AI",Assumptions!$D$24,Assumptions!$D$25))),C1413&lt;=Nonlabor!$G$7,OR(Nonlabor!$H$7="Monthly",AND(Nonlabor!$H$7="Once",C1413=IF(Nonlabor!$E$7="Core",Nonlabor!$F$7,MAX(Nonlabor!$F$7,IF(Nonlabor!$E$7="AI",Assumptions!$D$24,Assumptions!$D$25)))),AND(Nonlabor!$H$7="Annual",MOD(C1413-IF(Nonlabor!$E$7="Core",Nonlabor!$F$7,MAX(Nonlabor!$F$7,IF(Nonlabor!$E$7="AI",Assumptions!$D$24,Assumptions!$D$25))),12)=0))),IF(Nonlabor!$I$7="Fixed",1,IF(Nonlabor!$I$7="Seats",ROUNDUP('Monthly Base'!I33,0),IF(Nonlabor!$I$7="Customers",'Monthly Base'!D33,IF(Nonlabor!$I$7="NewCustomers",'Monthly Base'!C33,IF(Nonlabor!$I$7="StorageGB",'Monthly Base'!G33,IF(Nonlabor!$I$7="LogGB",'Monthly Base'!H33,IF(Nonlabor!$I$7="RequestsM",'Monthly Base'!F33,IF(Nonlabor!$I$7="InputM",'Monthly Base'!D33*Assumptions!$D$22/1000000,IF(Nonlabor!$I$7="OutputM",'Monthly Base'!D33*Assumptions!$D$23/1000000,0))))))))),0)</f>
        <v>1</v>
      </c>
      <c r="F1413" s="10" t="n">
        <f aca="false">Nonlabor!$J$7*(1+Assumptions!$D$9)^INT((C1413-1)/12)</f>
        <v>636.54</v>
      </c>
      <c r="G1413" s="10" t="n">
        <f aca="false">E1413*F1413</f>
        <v>636.54</v>
      </c>
      <c r="H1413" s="10" t="n">
        <f aca="false">IF(OR(Nonlabor!$L$7="Quote required",Nonlabor!$L$7="Unverified"),G1413,0)</f>
        <v>636.54</v>
      </c>
      <c r="I1413" s="10" t="n">
        <f aca="false">IF(Nonlabor!$E$7="Core",0,G1413)</f>
        <v>0</v>
      </c>
      <c r="J1413" s="23" t="str">
        <f aca="false">Nonlabor!$B$7</f>
        <v>INFRA</v>
      </c>
    </row>
    <row r="1414" customFormat="false" ht="15" hidden="false" customHeight="false" outlineLevel="0" collapsed="false">
      <c r="A1414" s="6" t="s">
        <v>4</v>
      </c>
      <c r="B1414" s="6" t="s">
        <v>373</v>
      </c>
      <c r="C1414" s="6" t="n">
        <v>29</v>
      </c>
      <c r="D1414" s="25" t="n">
        <f aca="false">EDATE('Start Here'!$B$6,C1414-1)</f>
        <v>47178</v>
      </c>
      <c r="E1414" s="23" t="n">
        <f aca="false">IF(AND(OR(Nonlabor!$D$7="Both",Nonlabor!$D$7='Start Here'!$B$9),IF(Nonlabor!$E$7="Core",1,IF(Nonlabor!$E$7="AI",'Start Here'!$B$7,'Start Here'!$B$8))=1,C1414&gt;=IF(Nonlabor!$E$7="Core",Nonlabor!$F$7,MAX(Nonlabor!$F$7,IF(Nonlabor!$E$7="AI",Assumptions!$D$24,Assumptions!$D$25))),C1414&lt;=Nonlabor!$G$7,OR(Nonlabor!$H$7="Monthly",AND(Nonlabor!$H$7="Once",C1414=IF(Nonlabor!$E$7="Core",Nonlabor!$F$7,MAX(Nonlabor!$F$7,IF(Nonlabor!$E$7="AI",Assumptions!$D$24,Assumptions!$D$25)))),AND(Nonlabor!$H$7="Annual",MOD(C1414-IF(Nonlabor!$E$7="Core",Nonlabor!$F$7,MAX(Nonlabor!$F$7,IF(Nonlabor!$E$7="AI",Assumptions!$D$24,Assumptions!$D$25))),12)=0))),IF(Nonlabor!$I$7="Fixed",1,IF(Nonlabor!$I$7="Seats",ROUNDUP('Monthly Base'!I34,0),IF(Nonlabor!$I$7="Customers",'Monthly Base'!D34,IF(Nonlabor!$I$7="NewCustomers",'Monthly Base'!C34,IF(Nonlabor!$I$7="StorageGB",'Monthly Base'!G34,IF(Nonlabor!$I$7="LogGB",'Monthly Base'!H34,IF(Nonlabor!$I$7="RequestsM",'Monthly Base'!F34,IF(Nonlabor!$I$7="InputM",'Monthly Base'!D34*Assumptions!$D$22/1000000,IF(Nonlabor!$I$7="OutputM",'Monthly Base'!D34*Assumptions!$D$23/1000000,0))))))))),0)</f>
        <v>1</v>
      </c>
      <c r="F1414" s="10" t="n">
        <f aca="false">Nonlabor!$J$7*(1+Assumptions!$D$9)^INT((C1414-1)/12)</f>
        <v>636.54</v>
      </c>
      <c r="G1414" s="10" t="n">
        <f aca="false">E1414*F1414</f>
        <v>636.54</v>
      </c>
      <c r="H1414" s="10" t="n">
        <f aca="false">IF(OR(Nonlabor!$L$7="Quote required",Nonlabor!$L$7="Unverified"),G1414,0)</f>
        <v>636.54</v>
      </c>
      <c r="I1414" s="10" t="n">
        <f aca="false">IF(Nonlabor!$E$7="Core",0,G1414)</f>
        <v>0</v>
      </c>
      <c r="J1414" s="23" t="str">
        <f aca="false">Nonlabor!$B$7</f>
        <v>INFRA</v>
      </c>
    </row>
    <row r="1415" customFormat="false" ht="15" hidden="false" customHeight="false" outlineLevel="0" collapsed="false">
      <c r="A1415" s="6" t="s">
        <v>4</v>
      </c>
      <c r="B1415" s="6" t="s">
        <v>373</v>
      </c>
      <c r="C1415" s="6" t="n">
        <v>30</v>
      </c>
      <c r="D1415" s="25" t="n">
        <f aca="false">EDATE('Start Here'!$B$6,C1415-1)</f>
        <v>47209</v>
      </c>
      <c r="E1415" s="23" t="n">
        <f aca="false">IF(AND(OR(Nonlabor!$D$7="Both",Nonlabor!$D$7='Start Here'!$B$9),IF(Nonlabor!$E$7="Core",1,IF(Nonlabor!$E$7="AI",'Start Here'!$B$7,'Start Here'!$B$8))=1,C1415&gt;=IF(Nonlabor!$E$7="Core",Nonlabor!$F$7,MAX(Nonlabor!$F$7,IF(Nonlabor!$E$7="AI",Assumptions!$D$24,Assumptions!$D$25))),C1415&lt;=Nonlabor!$G$7,OR(Nonlabor!$H$7="Monthly",AND(Nonlabor!$H$7="Once",C1415=IF(Nonlabor!$E$7="Core",Nonlabor!$F$7,MAX(Nonlabor!$F$7,IF(Nonlabor!$E$7="AI",Assumptions!$D$24,Assumptions!$D$25)))),AND(Nonlabor!$H$7="Annual",MOD(C1415-IF(Nonlabor!$E$7="Core",Nonlabor!$F$7,MAX(Nonlabor!$F$7,IF(Nonlabor!$E$7="AI",Assumptions!$D$24,Assumptions!$D$25))),12)=0))),IF(Nonlabor!$I$7="Fixed",1,IF(Nonlabor!$I$7="Seats",ROUNDUP('Monthly Base'!I35,0),IF(Nonlabor!$I$7="Customers",'Monthly Base'!D35,IF(Nonlabor!$I$7="NewCustomers",'Monthly Base'!C35,IF(Nonlabor!$I$7="StorageGB",'Monthly Base'!G35,IF(Nonlabor!$I$7="LogGB",'Monthly Base'!H35,IF(Nonlabor!$I$7="RequestsM",'Monthly Base'!F35,IF(Nonlabor!$I$7="InputM",'Monthly Base'!D35*Assumptions!$D$22/1000000,IF(Nonlabor!$I$7="OutputM",'Monthly Base'!D35*Assumptions!$D$23/1000000,0))))))))),0)</f>
        <v>1</v>
      </c>
      <c r="F1415" s="10" t="n">
        <f aca="false">Nonlabor!$J$7*(1+Assumptions!$D$9)^INT((C1415-1)/12)</f>
        <v>636.54</v>
      </c>
      <c r="G1415" s="10" t="n">
        <f aca="false">E1415*F1415</f>
        <v>636.54</v>
      </c>
      <c r="H1415" s="10" t="n">
        <f aca="false">IF(OR(Nonlabor!$L$7="Quote required",Nonlabor!$L$7="Unverified"),G1415,0)</f>
        <v>636.54</v>
      </c>
      <c r="I1415" s="10" t="n">
        <f aca="false">IF(Nonlabor!$E$7="Core",0,G1415)</f>
        <v>0</v>
      </c>
      <c r="J1415" s="23" t="str">
        <f aca="false">Nonlabor!$B$7</f>
        <v>INFRA</v>
      </c>
    </row>
    <row r="1416" customFormat="false" ht="15" hidden="false" customHeight="false" outlineLevel="0" collapsed="false">
      <c r="A1416" s="6" t="s">
        <v>4</v>
      </c>
      <c r="B1416" s="6" t="s">
        <v>373</v>
      </c>
      <c r="C1416" s="6" t="n">
        <v>31</v>
      </c>
      <c r="D1416" s="25" t="n">
        <f aca="false">EDATE('Start Here'!$B$6,C1416-1)</f>
        <v>47239</v>
      </c>
      <c r="E1416" s="23" t="n">
        <f aca="false">IF(AND(OR(Nonlabor!$D$7="Both",Nonlabor!$D$7='Start Here'!$B$9),IF(Nonlabor!$E$7="Core",1,IF(Nonlabor!$E$7="AI",'Start Here'!$B$7,'Start Here'!$B$8))=1,C1416&gt;=IF(Nonlabor!$E$7="Core",Nonlabor!$F$7,MAX(Nonlabor!$F$7,IF(Nonlabor!$E$7="AI",Assumptions!$D$24,Assumptions!$D$25))),C1416&lt;=Nonlabor!$G$7,OR(Nonlabor!$H$7="Monthly",AND(Nonlabor!$H$7="Once",C1416=IF(Nonlabor!$E$7="Core",Nonlabor!$F$7,MAX(Nonlabor!$F$7,IF(Nonlabor!$E$7="AI",Assumptions!$D$24,Assumptions!$D$25)))),AND(Nonlabor!$H$7="Annual",MOD(C1416-IF(Nonlabor!$E$7="Core",Nonlabor!$F$7,MAX(Nonlabor!$F$7,IF(Nonlabor!$E$7="AI",Assumptions!$D$24,Assumptions!$D$25))),12)=0))),IF(Nonlabor!$I$7="Fixed",1,IF(Nonlabor!$I$7="Seats",ROUNDUP('Monthly Base'!I36,0),IF(Nonlabor!$I$7="Customers",'Monthly Base'!D36,IF(Nonlabor!$I$7="NewCustomers",'Monthly Base'!C36,IF(Nonlabor!$I$7="StorageGB",'Monthly Base'!G36,IF(Nonlabor!$I$7="LogGB",'Monthly Base'!H36,IF(Nonlabor!$I$7="RequestsM",'Monthly Base'!F36,IF(Nonlabor!$I$7="InputM",'Monthly Base'!D36*Assumptions!$D$22/1000000,IF(Nonlabor!$I$7="OutputM",'Monthly Base'!D36*Assumptions!$D$23/1000000,0))))))))),0)</f>
        <v>1</v>
      </c>
      <c r="F1416" s="10" t="n">
        <f aca="false">Nonlabor!$J$7*(1+Assumptions!$D$9)^INT((C1416-1)/12)</f>
        <v>636.54</v>
      </c>
      <c r="G1416" s="10" t="n">
        <f aca="false">E1416*F1416</f>
        <v>636.54</v>
      </c>
      <c r="H1416" s="10" t="n">
        <f aca="false">IF(OR(Nonlabor!$L$7="Quote required",Nonlabor!$L$7="Unverified"),G1416,0)</f>
        <v>636.54</v>
      </c>
      <c r="I1416" s="10" t="n">
        <f aca="false">IF(Nonlabor!$E$7="Core",0,G1416)</f>
        <v>0</v>
      </c>
      <c r="J1416" s="23" t="str">
        <f aca="false">Nonlabor!$B$7</f>
        <v>INFRA</v>
      </c>
    </row>
    <row r="1417" customFormat="false" ht="15" hidden="false" customHeight="false" outlineLevel="0" collapsed="false">
      <c r="A1417" s="6" t="s">
        <v>4</v>
      </c>
      <c r="B1417" s="6" t="s">
        <v>373</v>
      </c>
      <c r="C1417" s="6" t="n">
        <v>32</v>
      </c>
      <c r="D1417" s="25" t="n">
        <f aca="false">EDATE('Start Here'!$B$6,C1417-1)</f>
        <v>47270</v>
      </c>
      <c r="E1417" s="23" t="n">
        <f aca="false">IF(AND(OR(Nonlabor!$D$7="Both",Nonlabor!$D$7='Start Here'!$B$9),IF(Nonlabor!$E$7="Core",1,IF(Nonlabor!$E$7="AI",'Start Here'!$B$7,'Start Here'!$B$8))=1,C1417&gt;=IF(Nonlabor!$E$7="Core",Nonlabor!$F$7,MAX(Nonlabor!$F$7,IF(Nonlabor!$E$7="AI",Assumptions!$D$24,Assumptions!$D$25))),C1417&lt;=Nonlabor!$G$7,OR(Nonlabor!$H$7="Monthly",AND(Nonlabor!$H$7="Once",C1417=IF(Nonlabor!$E$7="Core",Nonlabor!$F$7,MAX(Nonlabor!$F$7,IF(Nonlabor!$E$7="AI",Assumptions!$D$24,Assumptions!$D$25)))),AND(Nonlabor!$H$7="Annual",MOD(C1417-IF(Nonlabor!$E$7="Core",Nonlabor!$F$7,MAX(Nonlabor!$F$7,IF(Nonlabor!$E$7="AI",Assumptions!$D$24,Assumptions!$D$25))),12)=0))),IF(Nonlabor!$I$7="Fixed",1,IF(Nonlabor!$I$7="Seats",ROUNDUP('Monthly Base'!I37,0),IF(Nonlabor!$I$7="Customers",'Monthly Base'!D37,IF(Nonlabor!$I$7="NewCustomers",'Monthly Base'!C37,IF(Nonlabor!$I$7="StorageGB",'Monthly Base'!G37,IF(Nonlabor!$I$7="LogGB",'Monthly Base'!H37,IF(Nonlabor!$I$7="RequestsM",'Monthly Base'!F37,IF(Nonlabor!$I$7="InputM",'Monthly Base'!D37*Assumptions!$D$22/1000000,IF(Nonlabor!$I$7="OutputM",'Monthly Base'!D37*Assumptions!$D$23/1000000,0))))))))),0)</f>
        <v>1</v>
      </c>
      <c r="F1417" s="10" t="n">
        <f aca="false">Nonlabor!$J$7*(1+Assumptions!$D$9)^INT((C1417-1)/12)</f>
        <v>636.54</v>
      </c>
      <c r="G1417" s="10" t="n">
        <f aca="false">E1417*F1417</f>
        <v>636.54</v>
      </c>
      <c r="H1417" s="10" t="n">
        <f aca="false">IF(OR(Nonlabor!$L$7="Quote required",Nonlabor!$L$7="Unverified"),G1417,0)</f>
        <v>636.54</v>
      </c>
      <c r="I1417" s="10" t="n">
        <f aca="false">IF(Nonlabor!$E$7="Core",0,G1417)</f>
        <v>0</v>
      </c>
      <c r="J1417" s="23" t="str">
        <f aca="false">Nonlabor!$B$7</f>
        <v>INFRA</v>
      </c>
    </row>
    <row r="1418" customFormat="false" ht="15" hidden="false" customHeight="false" outlineLevel="0" collapsed="false">
      <c r="A1418" s="6" t="s">
        <v>4</v>
      </c>
      <c r="B1418" s="6" t="s">
        <v>373</v>
      </c>
      <c r="C1418" s="6" t="n">
        <v>33</v>
      </c>
      <c r="D1418" s="25" t="n">
        <f aca="false">EDATE('Start Here'!$B$6,C1418-1)</f>
        <v>47300</v>
      </c>
      <c r="E1418" s="23" t="n">
        <f aca="false">IF(AND(OR(Nonlabor!$D$7="Both",Nonlabor!$D$7='Start Here'!$B$9),IF(Nonlabor!$E$7="Core",1,IF(Nonlabor!$E$7="AI",'Start Here'!$B$7,'Start Here'!$B$8))=1,C1418&gt;=IF(Nonlabor!$E$7="Core",Nonlabor!$F$7,MAX(Nonlabor!$F$7,IF(Nonlabor!$E$7="AI",Assumptions!$D$24,Assumptions!$D$25))),C1418&lt;=Nonlabor!$G$7,OR(Nonlabor!$H$7="Monthly",AND(Nonlabor!$H$7="Once",C1418=IF(Nonlabor!$E$7="Core",Nonlabor!$F$7,MAX(Nonlabor!$F$7,IF(Nonlabor!$E$7="AI",Assumptions!$D$24,Assumptions!$D$25)))),AND(Nonlabor!$H$7="Annual",MOD(C1418-IF(Nonlabor!$E$7="Core",Nonlabor!$F$7,MAX(Nonlabor!$F$7,IF(Nonlabor!$E$7="AI",Assumptions!$D$24,Assumptions!$D$25))),12)=0))),IF(Nonlabor!$I$7="Fixed",1,IF(Nonlabor!$I$7="Seats",ROUNDUP('Monthly Base'!I38,0),IF(Nonlabor!$I$7="Customers",'Monthly Base'!D38,IF(Nonlabor!$I$7="NewCustomers",'Monthly Base'!C38,IF(Nonlabor!$I$7="StorageGB",'Monthly Base'!G38,IF(Nonlabor!$I$7="LogGB",'Monthly Base'!H38,IF(Nonlabor!$I$7="RequestsM",'Monthly Base'!F38,IF(Nonlabor!$I$7="InputM",'Monthly Base'!D38*Assumptions!$D$22/1000000,IF(Nonlabor!$I$7="OutputM",'Monthly Base'!D38*Assumptions!$D$23/1000000,0))))))))),0)</f>
        <v>1</v>
      </c>
      <c r="F1418" s="10" t="n">
        <f aca="false">Nonlabor!$J$7*(1+Assumptions!$D$9)^INT((C1418-1)/12)</f>
        <v>636.54</v>
      </c>
      <c r="G1418" s="10" t="n">
        <f aca="false">E1418*F1418</f>
        <v>636.54</v>
      </c>
      <c r="H1418" s="10" t="n">
        <f aca="false">IF(OR(Nonlabor!$L$7="Quote required",Nonlabor!$L$7="Unverified"),G1418,0)</f>
        <v>636.54</v>
      </c>
      <c r="I1418" s="10" t="n">
        <f aca="false">IF(Nonlabor!$E$7="Core",0,G1418)</f>
        <v>0</v>
      </c>
      <c r="J1418" s="23" t="str">
        <f aca="false">Nonlabor!$B$7</f>
        <v>INFRA</v>
      </c>
    </row>
    <row r="1419" customFormat="false" ht="15" hidden="false" customHeight="false" outlineLevel="0" collapsed="false">
      <c r="A1419" s="6" t="s">
        <v>4</v>
      </c>
      <c r="B1419" s="6" t="s">
        <v>373</v>
      </c>
      <c r="C1419" s="6" t="n">
        <v>34</v>
      </c>
      <c r="D1419" s="25" t="n">
        <f aca="false">EDATE('Start Here'!$B$6,C1419-1)</f>
        <v>47331</v>
      </c>
      <c r="E1419" s="23" t="n">
        <f aca="false">IF(AND(OR(Nonlabor!$D$7="Both",Nonlabor!$D$7='Start Here'!$B$9),IF(Nonlabor!$E$7="Core",1,IF(Nonlabor!$E$7="AI",'Start Here'!$B$7,'Start Here'!$B$8))=1,C1419&gt;=IF(Nonlabor!$E$7="Core",Nonlabor!$F$7,MAX(Nonlabor!$F$7,IF(Nonlabor!$E$7="AI",Assumptions!$D$24,Assumptions!$D$25))),C1419&lt;=Nonlabor!$G$7,OR(Nonlabor!$H$7="Monthly",AND(Nonlabor!$H$7="Once",C1419=IF(Nonlabor!$E$7="Core",Nonlabor!$F$7,MAX(Nonlabor!$F$7,IF(Nonlabor!$E$7="AI",Assumptions!$D$24,Assumptions!$D$25)))),AND(Nonlabor!$H$7="Annual",MOD(C1419-IF(Nonlabor!$E$7="Core",Nonlabor!$F$7,MAX(Nonlabor!$F$7,IF(Nonlabor!$E$7="AI",Assumptions!$D$24,Assumptions!$D$25))),12)=0))),IF(Nonlabor!$I$7="Fixed",1,IF(Nonlabor!$I$7="Seats",ROUNDUP('Monthly Base'!I39,0),IF(Nonlabor!$I$7="Customers",'Monthly Base'!D39,IF(Nonlabor!$I$7="NewCustomers",'Monthly Base'!C39,IF(Nonlabor!$I$7="StorageGB",'Monthly Base'!G39,IF(Nonlabor!$I$7="LogGB",'Monthly Base'!H39,IF(Nonlabor!$I$7="RequestsM",'Monthly Base'!F39,IF(Nonlabor!$I$7="InputM",'Monthly Base'!D39*Assumptions!$D$22/1000000,IF(Nonlabor!$I$7="OutputM",'Monthly Base'!D39*Assumptions!$D$23/1000000,0))))))))),0)</f>
        <v>1</v>
      </c>
      <c r="F1419" s="10" t="n">
        <f aca="false">Nonlabor!$J$7*(1+Assumptions!$D$9)^INT((C1419-1)/12)</f>
        <v>636.54</v>
      </c>
      <c r="G1419" s="10" t="n">
        <f aca="false">E1419*F1419</f>
        <v>636.54</v>
      </c>
      <c r="H1419" s="10" t="n">
        <f aca="false">IF(OR(Nonlabor!$L$7="Quote required",Nonlabor!$L$7="Unverified"),G1419,0)</f>
        <v>636.54</v>
      </c>
      <c r="I1419" s="10" t="n">
        <f aca="false">IF(Nonlabor!$E$7="Core",0,G1419)</f>
        <v>0</v>
      </c>
      <c r="J1419" s="23" t="str">
        <f aca="false">Nonlabor!$B$7</f>
        <v>INFRA</v>
      </c>
    </row>
    <row r="1420" customFormat="false" ht="15" hidden="false" customHeight="false" outlineLevel="0" collapsed="false">
      <c r="A1420" s="6" t="s">
        <v>4</v>
      </c>
      <c r="B1420" s="6" t="s">
        <v>373</v>
      </c>
      <c r="C1420" s="6" t="n">
        <v>35</v>
      </c>
      <c r="D1420" s="25" t="n">
        <f aca="false">EDATE('Start Here'!$B$6,C1420-1)</f>
        <v>47362</v>
      </c>
      <c r="E1420" s="23" t="n">
        <f aca="false">IF(AND(OR(Nonlabor!$D$7="Both",Nonlabor!$D$7='Start Here'!$B$9),IF(Nonlabor!$E$7="Core",1,IF(Nonlabor!$E$7="AI",'Start Here'!$B$7,'Start Here'!$B$8))=1,C1420&gt;=IF(Nonlabor!$E$7="Core",Nonlabor!$F$7,MAX(Nonlabor!$F$7,IF(Nonlabor!$E$7="AI",Assumptions!$D$24,Assumptions!$D$25))),C1420&lt;=Nonlabor!$G$7,OR(Nonlabor!$H$7="Monthly",AND(Nonlabor!$H$7="Once",C1420=IF(Nonlabor!$E$7="Core",Nonlabor!$F$7,MAX(Nonlabor!$F$7,IF(Nonlabor!$E$7="AI",Assumptions!$D$24,Assumptions!$D$25)))),AND(Nonlabor!$H$7="Annual",MOD(C1420-IF(Nonlabor!$E$7="Core",Nonlabor!$F$7,MAX(Nonlabor!$F$7,IF(Nonlabor!$E$7="AI",Assumptions!$D$24,Assumptions!$D$25))),12)=0))),IF(Nonlabor!$I$7="Fixed",1,IF(Nonlabor!$I$7="Seats",ROUNDUP('Monthly Base'!I40,0),IF(Nonlabor!$I$7="Customers",'Monthly Base'!D40,IF(Nonlabor!$I$7="NewCustomers",'Monthly Base'!C40,IF(Nonlabor!$I$7="StorageGB",'Monthly Base'!G40,IF(Nonlabor!$I$7="LogGB",'Monthly Base'!H40,IF(Nonlabor!$I$7="RequestsM",'Monthly Base'!F40,IF(Nonlabor!$I$7="InputM",'Monthly Base'!D40*Assumptions!$D$22/1000000,IF(Nonlabor!$I$7="OutputM",'Monthly Base'!D40*Assumptions!$D$23/1000000,0))))))))),0)</f>
        <v>1</v>
      </c>
      <c r="F1420" s="10" t="n">
        <f aca="false">Nonlabor!$J$7*(1+Assumptions!$D$9)^INT((C1420-1)/12)</f>
        <v>636.54</v>
      </c>
      <c r="G1420" s="10" t="n">
        <f aca="false">E1420*F1420</f>
        <v>636.54</v>
      </c>
      <c r="H1420" s="10" t="n">
        <f aca="false">IF(OR(Nonlabor!$L$7="Quote required",Nonlabor!$L$7="Unverified"),G1420,0)</f>
        <v>636.54</v>
      </c>
      <c r="I1420" s="10" t="n">
        <f aca="false">IF(Nonlabor!$E$7="Core",0,G1420)</f>
        <v>0</v>
      </c>
      <c r="J1420" s="23" t="str">
        <f aca="false">Nonlabor!$B$7</f>
        <v>INFRA</v>
      </c>
    </row>
    <row r="1421" customFormat="false" ht="15" hidden="false" customHeight="false" outlineLevel="0" collapsed="false">
      <c r="A1421" s="6" t="s">
        <v>4</v>
      </c>
      <c r="B1421" s="6" t="s">
        <v>373</v>
      </c>
      <c r="C1421" s="6" t="n">
        <v>36</v>
      </c>
      <c r="D1421" s="25" t="n">
        <f aca="false">EDATE('Start Here'!$B$6,C1421-1)</f>
        <v>47392</v>
      </c>
      <c r="E1421" s="23" t="n">
        <f aca="false">IF(AND(OR(Nonlabor!$D$7="Both",Nonlabor!$D$7='Start Here'!$B$9),IF(Nonlabor!$E$7="Core",1,IF(Nonlabor!$E$7="AI",'Start Here'!$B$7,'Start Here'!$B$8))=1,C1421&gt;=IF(Nonlabor!$E$7="Core",Nonlabor!$F$7,MAX(Nonlabor!$F$7,IF(Nonlabor!$E$7="AI",Assumptions!$D$24,Assumptions!$D$25))),C1421&lt;=Nonlabor!$G$7,OR(Nonlabor!$H$7="Monthly",AND(Nonlabor!$H$7="Once",C1421=IF(Nonlabor!$E$7="Core",Nonlabor!$F$7,MAX(Nonlabor!$F$7,IF(Nonlabor!$E$7="AI",Assumptions!$D$24,Assumptions!$D$25)))),AND(Nonlabor!$H$7="Annual",MOD(C1421-IF(Nonlabor!$E$7="Core",Nonlabor!$F$7,MAX(Nonlabor!$F$7,IF(Nonlabor!$E$7="AI",Assumptions!$D$24,Assumptions!$D$25))),12)=0))),IF(Nonlabor!$I$7="Fixed",1,IF(Nonlabor!$I$7="Seats",ROUNDUP('Monthly Base'!I41,0),IF(Nonlabor!$I$7="Customers",'Monthly Base'!D41,IF(Nonlabor!$I$7="NewCustomers",'Monthly Base'!C41,IF(Nonlabor!$I$7="StorageGB",'Monthly Base'!G41,IF(Nonlabor!$I$7="LogGB",'Monthly Base'!H41,IF(Nonlabor!$I$7="RequestsM",'Monthly Base'!F41,IF(Nonlabor!$I$7="InputM",'Monthly Base'!D41*Assumptions!$D$22/1000000,IF(Nonlabor!$I$7="OutputM",'Monthly Base'!D41*Assumptions!$D$23/1000000,0))))))))),0)</f>
        <v>1</v>
      </c>
      <c r="F1421" s="10" t="n">
        <f aca="false">Nonlabor!$J$7*(1+Assumptions!$D$9)^INT((C1421-1)/12)</f>
        <v>636.54</v>
      </c>
      <c r="G1421" s="10" t="n">
        <f aca="false">E1421*F1421</f>
        <v>636.54</v>
      </c>
      <c r="H1421" s="10" t="n">
        <f aca="false">IF(OR(Nonlabor!$L$7="Quote required",Nonlabor!$L$7="Unverified"),G1421,0)</f>
        <v>636.54</v>
      </c>
      <c r="I1421" s="10" t="n">
        <f aca="false">IF(Nonlabor!$E$7="Core",0,G1421)</f>
        <v>0</v>
      </c>
      <c r="J1421" s="23" t="str">
        <f aca="false">Nonlabor!$B$7</f>
        <v>INFRA</v>
      </c>
    </row>
    <row r="1422" customFormat="false" ht="15" hidden="false" customHeight="false" outlineLevel="0" collapsed="false">
      <c r="A1422" s="6" t="s">
        <v>4</v>
      </c>
      <c r="B1422" s="6" t="s">
        <v>373</v>
      </c>
      <c r="C1422" s="6" t="n">
        <v>37</v>
      </c>
      <c r="D1422" s="25" t="n">
        <f aca="false">EDATE('Start Here'!$B$6,C1422-1)</f>
        <v>47423</v>
      </c>
      <c r="E1422" s="23" t="n">
        <f aca="false">IF(AND(OR(Nonlabor!$D$7="Both",Nonlabor!$D$7='Start Here'!$B$9),IF(Nonlabor!$E$7="Core",1,IF(Nonlabor!$E$7="AI",'Start Here'!$B$7,'Start Here'!$B$8))=1,C1422&gt;=IF(Nonlabor!$E$7="Core",Nonlabor!$F$7,MAX(Nonlabor!$F$7,IF(Nonlabor!$E$7="AI",Assumptions!$D$24,Assumptions!$D$25))),C1422&lt;=Nonlabor!$G$7,OR(Nonlabor!$H$7="Monthly",AND(Nonlabor!$H$7="Once",C1422=IF(Nonlabor!$E$7="Core",Nonlabor!$F$7,MAX(Nonlabor!$F$7,IF(Nonlabor!$E$7="AI",Assumptions!$D$24,Assumptions!$D$25)))),AND(Nonlabor!$H$7="Annual",MOD(C1422-IF(Nonlabor!$E$7="Core",Nonlabor!$F$7,MAX(Nonlabor!$F$7,IF(Nonlabor!$E$7="AI",Assumptions!$D$24,Assumptions!$D$25))),12)=0))),IF(Nonlabor!$I$7="Fixed",1,IF(Nonlabor!$I$7="Seats",ROUNDUP('Monthly Base'!I42,0),IF(Nonlabor!$I$7="Customers",'Monthly Base'!D42,IF(Nonlabor!$I$7="NewCustomers",'Monthly Base'!C42,IF(Nonlabor!$I$7="StorageGB",'Monthly Base'!G42,IF(Nonlabor!$I$7="LogGB",'Monthly Base'!H42,IF(Nonlabor!$I$7="RequestsM",'Monthly Base'!F42,IF(Nonlabor!$I$7="InputM",'Monthly Base'!D42*Assumptions!$D$22/1000000,IF(Nonlabor!$I$7="OutputM",'Monthly Base'!D42*Assumptions!$D$23/1000000,0))))))))),0)</f>
        <v>1</v>
      </c>
      <c r="F1422" s="10" t="n">
        <f aca="false">Nonlabor!$J$7*(1+Assumptions!$D$9)^INT((C1422-1)/12)</f>
        <v>655.6362</v>
      </c>
      <c r="G1422" s="10" t="n">
        <f aca="false">E1422*F1422</f>
        <v>655.6362</v>
      </c>
      <c r="H1422" s="10" t="n">
        <f aca="false">IF(OR(Nonlabor!$L$7="Quote required",Nonlabor!$L$7="Unverified"),G1422,0)</f>
        <v>655.6362</v>
      </c>
      <c r="I1422" s="10" t="n">
        <f aca="false">IF(Nonlabor!$E$7="Core",0,G1422)</f>
        <v>0</v>
      </c>
      <c r="J1422" s="23" t="str">
        <f aca="false">Nonlabor!$B$7</f>
        <v>INFRA</v>
      </c>
    </row>
    <row r="1423" customFormat="false" ht="15" hidden="false" customHeight="false" outlineLevel="0" collapsed="false">
      <c r="A1423" s="6" t="s">
        <v>4</v>
      </c>
      <c r="B1423" s="6" t="s">
        <v>373</v>
      </c>
      <c r="C1423" s="6" t="n">
        <v>38</v>
      </c>
      <c r="D1423" s="25" t="n">
        <f aca="false">EDATE('Start Here'!$B$6,C1423-1)</f>
        <v>47453</v>
      </c>
      <c r="E1423" s="23" t="n">
        <f aca="false">IF(AND(OR(Nonlabor!$D$7="Both",Nonlabor!$D$7='Start Here'!$B$9),IF(Nonlabor!$E$7="Core",1,IF(Nonlabor!$E$7="AI",'Start Here'!$B$7,'Start Here'!$B$8))=1,C1423&gt;=IF(Nonlabor!$E$7="Core",Nonlabor!$F$7,MAX(Nonlabor!$F$7,IF(Nonlabor!$E$7="AI",Assumptions!$D$24,Assumptions!$D$25))),C1423&lt;=Nonlabor!$G$7,OR(Nonlabor!$H$7="Monthly",AND(Nonlabor!$H$7="Once",C1423=IF(Nonlabor!$E$7="Core",Nonlabor!$F$7,MAX(Nonlabor!$F$7,IF(Nonlabor!$E$7="AI",Assumptions!$D$24,Assumptions!$D$25)))),AND(Nonlabor!$H$7="Annual",MOD(C1423-IF(Nonlabor!$E$7="Core",Nonlabor!$F$7,MAX(Nonlabor!$F$7,IF(Nonlabor!$E$7="AI",Assumptions!$D$24,Assumptions!$D$25))),12)=0))),IF(Nonlabor!$I$7="Fixed",1,IF(Nonlabor!$I$7="Seats",ROUNDUP('Monthly Base'!I43,0),IF(Nonlabor!$I$7="Customers",'Monthly Base'!D43,IF(Nonlabor!$I$7="NewCustomers",'Monthly Base'!C43,IF(Nonlabor!$I$7="StorageGB",'Monthly Base'!G43,IF(Nonlabor!$I$7="LogGB",'Monthly Base'!H43,IF(Nonlabor!$I$7="RequestsM",'Monthly Base'!F43,IF(Nonlabor!$I$7="InputM",'Monthly Base'!D43*Assumptions!$D$22/1000000,IF(Nonlabor!$I$7="OutputM",'Monthly Base'!D43*Assumptions!$D$23/1000000,0))))))))),0)</f>
        <v>1</v>
      </c>
      <c r="F1423" s="10" t="n">
        <f aca="false">Nonlabor!$J$7*(1+Assumptions!$D$9)^INT((C1423-1)/12)</f>
        <v>655.6362</v>
      </c>
      <c r="G1423" s="10" t="n">
        <f aca="false">E1423*F1423</f>
        <v>655.6362</v>
      </c>
      <c r="H1423" s="10" t="n">
        <f aca="false">IF(OR(Nonlabor!$L$7="Quote required",Nonlabor!$L$7="Unverified"),G1423,0)</f>
        <v>655.6362</v>
      </c>
      <c r="I1423" s="10" t="n">
        <f aca="false">IF(Nonlabor!$E$7="Core",0,G1423)</f>
        <v>0</v>
      </c>
      <c r="J1423" s="23" t="str">
        <f aca="false">Nonlabor!$B$7</f>
        <v>INFRA</v>
      </c>
    </row>
    <row r="1424" customFormat="false" ht="15" hidden="false" customHeight="false" outlineLevel="0" collapsed="false">
      <c r="A1424" s="6" t="s">
        <v>4</v>
      </c>
      <c r="B1424" s="6" t="s">
        <v>373</v>
      </c>
      <c r="C1424" s="6" t="n">
        <v>39</v>
      </c>
      <c r="D1424" s="25" t="n">
        <f aca="false">EDATE('Start Here'!$B$6,C1424-1)</f>
        <v>47484</v>
      </c>
      <c r="E1424" s="23" t="n">
        <f aca="false">IF(AND(OR(Nonlabor!$D$7="Both",Nonlabor!$D$7='Start Here'!$B$9),IF(Nonlabor!$E$7="Core",1,IF(Nonlabor!$E$7="AI",'Start Here'!$B$7,'Start Here'!$B$8))=1,C1424&gt;=IF(Nonlabor!$E$7="Core",Nonlabor!$F$7,MAX(Nonlabor!$F$7,IF(Nonlabor!$E$7="AI",Assumptions!$D$24,Assumptions!$D$25))),C1424&lt;=Nonlabor!$G$7,OR(Nonlabor!$H$7="Monthly",AND(Nonlabor!$H$7="Once",C1424=IF(Nonlabor!$E$7="Core",Nonlabor!$F$7,MAX(Nonlabor!$F$7,IF(Nonlabor!$E$7="AI",Assumptions!$D$24,Assumptions!$D$25)))),AND(Nonlabor!$H$7="Annual",MOD(C1424-IF(Nonlabor!$E$7="Core",Nonlabor!$F$7,MAX(Nonlabor!$F$7,IF(Nonlabor!$E$7="AI",Assumptions!$D$24,Assumptions!$D$25))),12)=0))),IF(Nonlabor!$I$7="Fixed",1,IF(Nonlabor!$I$7="Seats",ROUNDUP('Monthly Base'!I44,0),IF(Nonlabor!$I$7="Customers",'Monthly Base'!D44,IF(Nonlabor!$I$7="NewCustomers",'Monthly Base'!C44,IF(Nonlabor!$I$7="StorageGB",'Monthly Base'!G44,IF(Nonlabor!$I$7="LogGB",'Monthly Base'!H44,IF(Nonlabor!$I$7="RequestsM",'Monthly Base'!F44,IF(Nonlabor!$I$7="InputM",'Monthly Base'!D44*Assumptions!$D$22/1000000,IF(Nonlabor!$I$7="OutputM",'Monthly Base'!D44*Assumptions!$D$23/1000000,0))))))))),0)</f>
        <v>1</v>
      </c>
      <c r="F1424" s="10" t="n">
        <f aca="false">Nonlabor!$J$7*(1+Assumptions!$D$9)^INT((C1424-1)/12)</f>
        <v>655.6362</v>
      </c>
      <c r="G1424" s="10" t="n">
        <f aca="false">E1424*F1424</f>
        <v>655.6362</v>
      </c>
      <c r="H1424" s="10" t="n">
        <f aca="false">IF(OR(Nonlabor!$L$7="Quote required",Nonlabor!$L$7="Unverified"),G1424,0)</f>
        <v>655.6362</v>
      </c>
      <c r="I1424" s="10" t="n">
        <f aca="false">IF(Nonlabor!$E$7="Core",0,G1424)</f>
        <v>0</v>
      </c>
      <c r="J1424" s="23" t="str">
        <f aca="false">Nonlabor!$B$7</f>
        <v>INFRA</v>
      </c>
    </row>
    <row r="1425" customFormat="false" ht="15" hidden="false" customHeight="false" outlineLevel="0" collapsed="false">
      <c r="A1425" s="6" t="s">
        <v>4</v>
      </c>
      <c r="B1425" s="6" t="s">
        <v>373</v>
      </c>
      <c r="C1425" s="6" t="n">
        <v>40</v>
      </c>
      <c r="D1425" s="25" t="n">
        <f aca="false">EDATE('Start Here'!$B$6,C1425-1)</f>
        <v>47515</v>
      </c>
      <c r="E1425" s="23" t="n">
        <f aca="false">IF(AND(OR(Nonlabor!$D$7="Both",Nonlabor!$D$7='Start Here'!$B$9),IF(Nonlabor!$E$7="Core",1,IF(Nonlabor!$E$7="AI",'Start Here'!$B$7,'Start Here'!$B$8))=1,C1425&gt;=IF(Nonlabor!$E$7="Core",Nonlabor!$F$7,MAX(Nonlabor!$F$7,IF(Nonlabor!$E$7="AI",Assumptions!$D$24,Assumptions!$D$25))),C1425&lt;=Nonlabor!$G$7,OR(Nonlabor!$H$7="Monthly",AND(Nonlabor!$H$7="Once",C1425=IF(Nonlabor!$E$7="Core",Nonlabor!$F$7,MAX(Nonlabor!$F$7,IF(Nonlabor!$E$7="AI",Assumptions!$D$24,Assumptions!$D$25)))),AND(Nonlabor!$H$7="Annual",MOD(C1425-IF(Nonlabor!$E$7="Core",Nonlabor!$F$7,MAX(Nonlabor!$F$7,IF(Nonlabor!$E$7="AI",Assumptions!$D$24,Assumptions!$D$25))),12)=0))),IF(Nonlabor!$I$7="Fixed",1,IF(Nonlabor!$I$7="Seats",ROUNDUP('Monthly Base'!I45,0),IF(Nonlabor!$I$7="Customers",'Monthly Base'!D45,IF(Nonlabor!$I$7="NewCustomers",'Monthly Base'!C45,IF(Nonlabor!$I$7="StorageGB",'Monthly Base'!G45,IF(Nonlabor!$I$7="LogGB",'Monthly Base'!H45,IF(Nonlabor!$I$7="RequestsM",'Monthly Base'!F45,IF(Nonlabor!$I$7="InputM",'Monthly Base'!D45*Assumptions!$D$22/1000000,IF(Nonlabor!$I$7="OutputM",'Monthly Base'!D45*Assumptions!$D$23/1000000,0))))))))),0)</f>
        <v>1</v>
      </c>
      <c r="F1425" s="10" t="n">
        <f aca="false">Nonlabor!$J$7*(1+Assumptions!$D$9)^INT((C1425-1)/12)</f>
        <v>655.6362</v>
      </c>
      <c r="G1425" s="10" t="n">
        <f aca="false">E1425*F1425</f>
        <v>655.6362</v>
      </c>
      <c r="H1425" s="10" t="n">
        <f aca="false">IF(OR(Nonlabor!$L$7="Quote required",Nonlabor!$L$7="Unverified"),G1425,0)</f>
        <v>655.6362</v>
      </c>
      <c r="I1425" s="10" t="n">
        <f aca="false">IF(Nonlabor!$E$7="Core",0,G1425)</f>
        <v>0</v>
      </c>
      <c r="J1425" s="23" t="str">
        <f aca="false">Nonlabor!$B$7</f>
        <v>INFRA</v>
      </c>
    </row>
    <row r="1426" customFormat="false" ht="15" hidden="false" customHeight="false" outlineLevel="0" collapsed="false">
      <c r="A1426" s="6" t="s">
        <v>4</v>
      </c>
      <c r="B1426" s="6" t="s">
        <v>373</v>
      </c>
      <c r="C1426" s="6" t="n">
        <v>41</v>
      </c>
      <c r="D1426" s="25" t="n">
        <f aca="false">EDATE('Start Here'!$B$6,C1426-1)</f>
        <v>47543</v>
      </c>
      <c r="E1426" s="23" t="n">
        <f aca="false">IF(AND(OR(Nonlabor!$D$7="Both",Nonlabor!$D$7='Start Here'!$B$9),IF(Nonlabor!$E$7="Core",1,IF(Nonlabor!$E$7="AI",'Start Here'!$B$7,'Start Here'!$B$8))=1,C1426&gt;=IF(Nonlabor!$E$7="Core",Nonlabor!$F$7,MAX(Nonlabor!$F$7,IF(Nonlabor!$E$7="AI",Assumptions!$D$24,Assumptions!$D$25))),C1426&lt;=Nonlabor!$G$7,OR(Nonlabor!$H$7="Monthly",AND(Nonlabor!$H$7="Once",C1426=IF(Nonlabor!$E$7="Core",Nonlabor!$F$7,MAX(Nonlabor!$F$7,IF(Nonlabor!$E$7="AI",Assumptions!$D$24,Assumptions!$D$25)))),AND(Nonlabor!$H$7="Annual",MOD(C1426-IF(Nonlabor!$E$7="Core",Nonlabor!$F$7,MAX(Nonlabor!$F$7,IF(Nonlabor!$E$7="AI",Assumptions!$D$24,Assumptions!$D$25))),12)=0))),IF(Nonlabor!$I$7="Fixed",1,IF(Nonlabor!$I$7="Seats",ROUNDUP('Monthly Base'!I46,0),IF(Nonlabor!$I$7="Customers",'Monthly Base'!D46,IF(Nonlabor!$I$7="NewCustomers",'Monthly Base'!C46,IF(Nonlabor!$I$7="StorageGB",'Monthly Base'!G46,IF(Nonlabor!$I$7="LogGB",'Monthly Base'!H46,IF(Nonlabor!$I$7="RequestsM",'Monthly Base'!F46,IF(Nonlabor!$I$7="InputM",'Monthly Base'!D46*Assumptions!$D$22/1000000,IF(Nonlabor!$I$7="OutputM",'Monthly Base'!D46*Assumptions!$D$23/1000000,0))))))))),0)</f>
        <v>1</v>
      </c>
      <c r="F1426" s="10" t="n">
        <f aca="false">Nonlabor!$J$7*(1+Assumptions!$D$9)^INT((C1426-1)/12)</f>
        <v>655.6362</v>
      </c>
      <c r="G1426" s="10" t="n">
        <f aca="false">E1426*F1426</f>
        <v>655.6362</v>
      </c>
      <c r="H1426" s="10" t="n">
        <f aca="false">IF(OR(Nonlabor!$L$7="Quote required",Nonlabor!$L$7="Unverified"),G1426,0)</f>
        <v>655.6362</v>
      </c>
      <c r="I1426" s="10" t="n">
        <f aca="false">IF(Nonlabor!$E$7="Core",0,G1426)</f>
        <v>0</v>
      </c>
      <c r="J1426" s="23" t="str">
        <f aca="false">Nonlabor!$B$7</f>
        <v>INFRA</v>
      </c>
    </row>
    <row r="1427" customFormat="false" ht="15" hidden="false" customHeight="false" outlineLevel="0" collapsed="false">
      <c r="A1427" s="6" t="s">
        <v>4</v>
      </c>
      <c r="B1427" s="6" t="s">
        <v>373</v>
      </c>
      <c r="C1427" s="6" t="n">
        <v>42</v>
      </c>
      <c r="D1427" s="25" t="n">
        <f aca="false">EDATE('Start Here'!$B$6,C1427-1)</f>
        <v>47574</v>
      </c>
      <c r="E1427" s="23" t="n">
        <f aca="false">IF(AND(OR(Nonlabor!$D$7="Both",Nonlabor!$D$7='Start Here'!$B$9),IF(Nonlabor!$E$7="Core",1,IF(Nonlabor!$E$7="AI",'Start Here'!$B$7,'Start Here'!$B$8))=1,C1427&gt;=IF(Nonlabor!$E$7="Core",Nonlabor!$F$7,MAX(Nonlabor!$F$7,IF(Nonlabor!$E$7="AI",Assumptions!$D$24,Assumptions!$D$25))),C1427&lt;=Nonlabor!$G$7,OR(Nonlabor!$H$7="Monthly",AND(Nonlabor!$H$7="Once",C1427=IF(Nonlabor!$E$7="Core",Nonlabor!$F$7,MAX(Nonlabor!$F$7,IF(Nonlabor!$E$7="AI",Assumptions!$D$24,Assumptions!$D$25)))),AND(Nonlabor!$H$7="Annual",MOD(C1427-IF(Nonlabor!$E$7="Core",Nonlabor!$F$7,MAX(Nonlabor!$F$7,IF(Nonlabor!$E$7="AI",Assumptions!$D$24,Assumptions!$D$25))),12)=0))),IF(Nonlabor!$I$7="Fixed",1,IF(Nonlabor!$I$7="Seats",ROUNDUP('Monthly Base'!I47,0),IF(Nonlabor!$I$7="Customers",'Monthly Base'!D47,IF(Nonlabor!$I$7="NewCustomers",'Monthly Base'!C47,IF(Nonlabor!$I$7="StorageGB",'Monthly Base'!G47,IF(Nonlabor!$I$7="LogGB",'Monthly Base'!H47,IF(Nonlabor!$I$7="RequestsM",'Monthly Base'!F47,IF(Nonlabor!$I$7="InputM",'Monthly Base'!D47*Assumptions!$D$22/1000000,IF(Nonlabor!$I$7="OutputM",'Monthly Base'!D47*Assumptions!$D$23/1000000,0))))))))),0)</f>
        <v>1</v>
      </c>
      <c r="F1427" s="10" t="n">
        <f aca="false">Nonlabor!$J$7*(1+Assumptions!$D$9)^INT((C1427-1)/12)</f>
        <v>655.6362</v>
      </c>
      <c r="G1427" s="10" t="n">
        <f aca="false">E1427*F1427</f>
        <v>655.6362</v>
      </c>
      <c r="H1427" s="10" t="n">
        <f aca="false">IF(OR(Nonlabor!$L$7="Quote required",Nonlabor!$L$7="Unverified"),G1427,0)</f>
        <v>655.6362</v>
      </c>
      <c r="I1427" s="10" t="n">
        <f aca="false">IF(Nonlabor!$E$7="Core",0,G1427)</f>
        <v>0</v>
      </c>
      <c r="J1427" s="23" t="str">
        <f aca="false">Nonlabor!$B$7</f>
        <v>INFRA</v>
      </c>
    </row>
    <row r="1428" customFormat="false" ht="15" hidden="false" customHeight="false" outlineLevel="0" collapsed="false">
      <c r="A1428" s="6" t="s">
        <v>4</v>
      </c>
      <c r="B1428" s="6" t="s">
        <v>373</v>
      </c>
      <c r="C1428" s="6" t="n">
        <v>43</v>
      </c>
      <c r="D1428" s="25" t="n">
        <f aca="false">EDATE('Start Here'!$B$6,C1428-1)</f>
        <v>47604</v>
      </c>
      <c r="E1428" s="23" t="n">
        <f aca="false">IF(AND(OR(Nonlabor!$D$7="Both",Nonlabor!$D$7='Start Here'!$B$9),IF(Nonlabor!$E$7="Core",1,IF(Nonlabor!$E$7="AI",'Start Here'!$B$7,'Start Here'!$B$8))=1,C1428&gt;=IF(Nonlabor!$E$7="Core",Nonlabor!$F$7,MAX(Nonlabor!$F$7,IF(Nonlabor!$E$7="AI",Assumptions!$D$24,Assumptions!$D$25))),C1428&lt;=Nonlabor!$G$7,OR(Nonlabor!$H$7="Monthly",AND(Nonlabor!$H$7="Once",C1428=IF(Nonlabor!$E$7="Core",Nonlabor!$F$7,MAX(Nonlabor!$F$7,IF(Nonlabor!$E$7="AI",Assumptions!$D$24,Assumptions!$D$25)))),AND(Nonlabor!$H$7="Annual",MOD(C1428-IF(Nonlabor!$E$7="Core",Nonlabor!$F$7,MAX(Nonlabor!$F$7,IF(Nonlabor!$E$7="AI",Assumptions!$D$24,Assumptions!$D$25))),12)=0))),IF(Nonlabor!$I$7="Fixed",1,IF(Nonlabor!$I$7="Seats",ROUNDUP('Monthly Base'!I48,0),IF(Nonlabor!$I$7="Customers",'Monthly Base'!D48,IF(Nonlabor!$I$7="NewCustomers",'Monthly Base'!C48,IF(Nonlabor!$I$7="StorageGB",'Monthly Base'!G48,IF(Nonlabor!$I$7="LogGB",'Monthly Base'!H48,IF(Nonlabor!$I$7="RequestsM",'Monthly Base'!F48,IF(Nonlabor!$I$7="InputM",'Monthly Base'!D48*Assumptions!$D$22/1000000,IF(Nonlabor!$I$7="OutputM",'Monthly Base'!D48*Assumptions!$D$23/1000000,0))))))))),0)</f>
        <v>1</v>
      </c>
      <c r="F1428" s="10" t="n">
        <f aca="false">Nonlabor!$J$7*(1+Assumptions!$D$9)^INT((C1428-1)/12)</f>
        <v>655.6362</v>
      </c>
      <c r="G1428" s="10" t="n">
        <f aca="false">E1428*F1428</f>
        <v>655.6362</v>
      </c>
      <c r="H1428" s="10" t="n">
        <f aca="false">IF(OR(Nonlabor!$L$7="Quote required",Nonlabor!$L$7="Unverified"),G1428,0)</f>
        <v>655.6362</v>
      </c>
      <c r="I1428" s="10" t="n">
        <f aca="false">IF(Nonlabor!$E$7="Core",0,G1428)</f>
        <v>0</v>
      </c>
      <c r="J1428" s="23" t="str">
        <f aca="false">Nonlabor!$B$7</f>
        <v>INFRA</v>
      </c>
    </row>
    <row r="1429" customFormat="false" ht="15" hidden="false" customHeight="false" outlineLevel="0" collapsed="false">
      <c r="A1429" s="6" t="s">
        <v>4</v>
      </c>
      <c r="B1429" s="6" t="s">
        <v>373</v>
      </c>
      <c r="C1429" s="6" t="n">
        <v>44</v>
      </c>
      <c r="D1429" s="25" t="n">
        <f aca="false">EDATE('Start Here'!$B$6,C1429-1)</f>
        <v>47635</v>
      </c>
      <c r="E1429" s="23" t="n">
        <f aca="false">IF(AND(OR(Nonlabor!$D$7="Both",Nonlabor!$D$7='Start Here'!$B$9),IF(Nonlabor!$E$7="Core",1,IF(Nonlabor!$E$7="AI",'Start Here'!$B$7,'Start Here'!$B$8))=1,C1429&gt;=IF(Nonlabor!$E$7="Core",Nonlabor!$F$7,MAX(Nonlabor!$F$7,IF(Nonlabor!$E$7="AI",Assumptions!$D$24,Assumptions!$D$25))),C1429&lt;=Nonlabor!$G$7,OR(Nonlabor!$H$7="Monthly",AND(Nonlabor!$H$7="Once",C1429=IF(Nonlabor!$E$7="Core",Nonlabor!$F$7,MAX(Nonlabor!$F$7,IF(Nonlabor!$E$7="AI",Assumptions!$D$24,Assumptions!$D$25)))),AND(Nonlabor!$H$7="Annual",MOD(C1429-IF(Nonlabor!$E$7="Core",Nonlabor!$F$7,MAX(Nonlabor!$F$7,IF(Nonlabor!$E$7="AI",Assumptions!$D$24,Assumptions!$D$25))),12)=0))),IF(Nonlabor!$I$7="Fixed",1,IF(Nonlabor!$I$7="Seats",ROUNDUP('Monthly Base'!I49,0),IF(Nonlabor!$I$7="Customers",'Monthly Base'!D49,IF(Nonlabor!$I$7="NewCustomers",'Monthly Base'!C49,IF(Nonlabor!$I$7="StorageGB",'Monthly Base'!G49,IF(Nonlabor!$I$7="LogGB",'Monthly Base'!H49,IF(Nonlabor!$I$7="RequestsM",'Monthly Base'!F49,IF(Nonlabor!$I$7="InputM",'Monthly Base'!D49*Assumptions!$D$22/1000000,IF(Nonlabor!$I$7="OutputM",'Monthly Base'!D49*Assumptions!$D$23/1000000,0))))))))),0)</f>
        <v>1</v>
      </c>
      <c r="F1429" s="10" t="n">
        <f aca="false">Nonlabor!$J$7*(1+Assumptions!$D$9)^INT((C1429-1)/12)</f>
        <v>655.6362</v>
      </c>
      <c r="G1429" s="10" t="n">
        <f aca="false">E1429*F1429</f>
        <v>655.6362</v>
      </c>
      <c r="H1429" s="10" t="n">
        <f aca="false">IF(OR(Nonlabor!$L$7="Quote required",Nonlabor!$L$7="Unverified"),G1429,0)</f>
        <v>655.6362</v>
      </c>
      <c r="I1429" s="10" t="n">
        <f aca="false">IF(Nonlabor!$E$7="Core",0,G1429)</f>
        <v>0</v>
      </c>
      <c r="J1429" s="23" t="str">
        <f aca="false">Nonlabor!$B$7</f>
        <v>INFRA</v>
      </c>
    </row>
    <row r="1430" customFormat="false" ht="15" hidden="false" customHeight="false" outlineLevel="0" collapsed="false">
      <c r="A1430" s="6" t="s">
        <v>4</v>
      </c>
      <c r="B1430" s="6" t="s">
        <v>373</v>
      </c>
      <c r="C1430" s="6" t="n">
        <v>45</v>
      </c>
      <c r="D1430" s="25" t="n">
        <f aca="false">EDATE('Start Here'!$B$6,C1430-1)</f>
        <v>47665</v>
      </c>
      <c r="E1430" s="23" t="n">
        <f aca="false">IF(AND(OR(Nonlabor!$D$7="Both",Nonlabor!$D$7='Start Here'!$B$9),IF(Nonlabor!$E$7="Core",1,IF(Nonlabor!$E$7="AI",'Start Here'!$B$7,'Start Here'!$B$8))=1,C1430&gt;=IF(Nonlabor!$E$7="Core",Nonlabor!$F$7,MAX(Nonlabor!$F$7,IF(Nonlabor!$E$7="AI",Assumptions!$D$24,Assumptions!$D$25))),C1430&lt;=Nonlabor!$G$7,OR(Nonlabor!$H$7="Monthly",AND(Nonlabor!$H$7="Once",C1430=IF(Nonlabor!$E$7="Core",Nonlabor!$F$7,MAX(Nonlabor!$F$7,IF(Nonlabor!$E$7="AI",Assumptions!$D$24,Assumptions!$D$25)))),AND(Nonlabor!$H$7="Annual",MOD(C1430-IF(Nonlabor!$E$7="Core",Nonlabor!$F$7,MAX(Nonlabor!$F$7,IF(Nonlabor!$E$7="AI",Assumptions!$D$24,Assumptions!$D$25))),12)=0))),IF(Nonlabor!$I$7="Fixed",1,IF(Nonlabor!$I$7="Seats",ROUNDUP('Monthly Base'!I50,0),IF(Nonlabor!$I$7="Customers",'Monthly Base'!D50,IF(Nonlabor!$I$7="NewCustomers",'Monthly Base'!C50,IF(Nonlabor!$I$7="StorageGB",'Monthly Base'!G50,IF(Nonlabor!$I$7="LogGB",'Monthly Base'!H50,IF(Nonlabor!$I$7="RequestsM",'Monthly Base'!F50,IF(Nonlabor!$I$7="InputM",'Monthly Base'!D50*Assumptions!$D$22/1000000,IF(Nonlabor!$I$7="OutputM",'Monthly Base'!D50*Assumptions!$D$23/1000000,0))))))))),0)</f>
        <v>1</v>
      </c>
      <c r="F1430" s="10" t="n">
        <f aca="false">Nonlabor!$J$7*(1+Assumptions!$D$9)^INT((C1430-1)/12)</f>
        <v>655.6362</v>
      </c>
      <c r="G1430" s="10" t="n">
        <f aca="false">E1430*F1430</f>
        <v>655.6362</v>
      </c>
      <c r="H1430" s="10" t="n">
        <f aca="false">IF(OR(Nonlabor!$L$7="Quote required",Nonlabor!$L$7="Unverified"),G1430,0)</f>
        <v>655.6362</v>
      </c>
      <c r="I1430" s="10" t="n">
        <f aca="false">IF(Nonlabor!$E$7="Core",0,G1430)</f>
        <v>0</v>
      </c>
      <c r="J1430" s="23" t="str">
        <f aca="false">Nonlabor!$B$7</f>
        <v>INFRA</v>
      </c>
    </row>
    <row r="1431" customFormat="false" ht="15" hidden="false" customHeight="false" outlineLevel="0" collapsed="false">
      <c r="A1431" s="6" t="s">
        <v>4</v>
      </c>
      <c r="B1431" s="6" t="s">
        <v>373</v>
      </c>
      <c r="C1431" s="6" t="n">
        <v>46</v>
      </c>
      <c r="D1431" s="25" t="n">
        <f aca="false">EDATE('Start Here'!$B$6,C1431-1)</f>
        <v>47696</v>
      </c>
      <c r="E1431" s="23" t="n">
        <f aca="false">IF(AND(OR(Nonlabor!$D$7="Both",Nonlabor!$D$7='Start Here'!$B$9),IF(Nonlabor!$E$7="Core",1,IF(Nonlabor!$E$7="AI",'Start Here'!$B$7,'Start Here'!$B$8))=1,C1431&gt;=IF(Nonlabor!$E$7="Core",Nonlabor!$F$7,MAX(Nonlabor!$F$7,IF(Nonlabor!$E$7="AI",Assumptions!$D$24,Assumptions!$D$25))),C1431&lt;=Nonlabor!$G$7,OR(Nonlabor!$H$7="Monthly",AND(Nonlabor!$H$7="Once",C1431=IF(Nonlabor!$E$7="Core",Nonlabor!$F$7,MAX(Nonlabor!$F$7,IF(Nonlabor!$E$7="AI",Assumptions!$D$24,Assumptions!$D$25)))),AND(Nonlabor!$H$7="Annual",MOD(C1431-IF(Nonlabor!$E$7="Core",Nonlabor!$F$7,MAX(Nonlabor!$F$7,IF(Nonlabor!$E$7="AI",Assumptions!$D$24,Assumptions!$D$25))),12)=0))),IF(Nonlabor!$I$7="Fixed",1,IF(Nonlabor!$I$7="Seats",ROUNDUP('Monthly Base'!I51,0),IF(Nonlabor!$I$7="Customers",'Monthly Base'!D51,IF(Nonlabor!$I$7="NewCustomers",'Monthly Base'!C51,IF(Nonlabor!$I$7="StorageGB",'Monthly Base'!G51,IF(Nonlabor!$I$7="LogGB",'Monthly Base'!H51,IF(Nonlabor!$I$7="RequestsM",'Monthly Base'!F51,IF(Nonlabor!$I$7="InputM",'Monthly Base'!D51*Assumptions!$D$22/1000000,IF(Nonlabor!$I$7="OutputM",'Monthly Base'!D51*Assumptions!$D$23/1000000,0))))))))),0)</f>
        <v>1</v>
      </c>
      <c r="F1431" s="10" t="n">
        <f aca="false">Nonlabor!$J$7*(1+Assumptions!$D$9)^INT((C1431-1)/12)</f>
        <v>655.6362</v>
      </c>
      <c r="G1431" s="10" t="n">
        <f aca="false">E1431*F1431</f>
        <v>655.6362</v>
      </c>
      <c r="H1431" s="10" t="n">
        <f aca="false">IF(OR(Nonlabor!$L$7="Quote required",Nonlabor!$L$7="Unverified"),G1431,0)</f>
        <v>655.6362</v>
      </c>
      <c r="I1431" s="10" t="n">
        <f aca="false">IF(Nonlabor!$E$7="Core",0,G1431)</f>
        <v>0</v>
      </c>
      <c r="J1431" s="23" t="str">
        <f aca="false">Nonlabor!$B$7</f>
        <v>INFRA</v>
      </c>
    </row>
    <row r="1432" customFormat="false" ht="15" hidden="false" customHeight="false" outlineLevel="0" collapsed="false">
      <c r="A1432" s="6" t="s">
        <v>4</v>
      </c>
      <c r="B1432" s="6" t="s">
        <v>373</v>
      </c>
      <c r="C1432" s="6" t="n">
        <v>47</v>
      </c>
      <c r="D1432" s="25" t="n">
        <f aca="false">EDATE('Start Here'!$B$6,C1432-1)</f>
        <v>47727</v>
      </c>
      <c r="E1432" s="23" t="n">
        <f aca="false">IF(AND(OR(Nonlabor!$D$7="Both",Nonlabor!$D$7='Start Here'!$B$9),IF(Nonlabor!$E$7="Core",1,IF(Nonlabor!$E$7="AI",'Start Here'!$B$7,'Start Here'!$B$8))=1,C1432&gt;=IF(Nonlabor!$E$7="Core",Nonlabor!$F$7,MAX(Nonlabor!$F$7,IF(Nonlabor!$E$7="AI",Assumptions!$D$24,Assumptions!$D$25))),C1432&lt;=Nonlabor!$G$7,OR(Nonlabor!$H$7="Monthly",AND(Nonlabor!$H$7="Once",C1432=IF(Nonlabor!$E$7="Core",Nonlabor!$F$7,MAX(Nonlabor!$F$7,IF(Nonlabor!$E$7="AI",Assumptions!$D$24,Assumptions!$D$25)))),AND(Nonlabor!$H$7="Annual",MOD(C1432-IF(Nonlabor!$E$7="Core",Nonlabor!$F$7,MAX(Nonlabor!$F$7,IF(Nonlabor!$E$7="AI",Assumptions!$D$24,Assumptions!$D$25))),12)=0))),IF(Nonlabor!$I$7="Fixed",1,IF(Nonlabor!$I$7="Seats",ROUNDUP('Monthly Base'!I52,0),IF(Nonlabor!$I$7="Customers",'Monthly Base'!D52,IF(Nonlabor!$I$7="NewCustomers",'Monthly Base'!C52,IF(Nonlabor!$I$7="StorageGB",'Monthly Base'!G52,IF(Nonlabor!$I$7="LogGB",'Monthly Base'!H52,IF(Nonlabor!$I$7="RequestsM",'Monthly Base'!F52,IF(Nonlabor!$I$7="InputM",'Monthly Base'!D52*Assumptions!$D$22/1000000,IF(Nonlabor!$I$7="OutputM",'Monthly Base'!D52*Assumptions!$D$23/1000000,0))))))))),0)</f>
        <v>1</v>
      </c>
      <c r="F1432" s="10" t="n">
        <f aca="false">Nonlabor!$J$7*(1+Assumptions!$D$9)^INT((C1432-1)/12)</f>
        <v>655.6362</v>
      </c>
      <c r="G1432" s="10" t="n">
        <f aca="false">E1432*F1432</f>
        <v>655.6362</v>
      </c>
      <c r="H1432" s="10" t="n">
        <f aca="false">IF(OR(Nonlabor!$L$7="Quote required",Nonlabor!$L$7="Unverified"),G1432,0)</f>
        <v>655.6362</v>
      </c>
      <c r="I1432" s="10" t="n">
        <f aca="false">IF(Nonlabor!$E$7="Core",0,G1432)</f>
        <v>0</v>
      </c>
      <c r="J1432" s="23" t="str">
        <f aca="false">Nonlabor!$B$7</f>
        <v>INFRA</v>
      </c>
    </row>
    <row r="1433" customFormat="false" ht="15" hidden="false" customHeight="false" outlineLevel="0" collapsed="false">
      <c r="A1433" s="6" t="s">
        <v>4</v>
      </c>
      <c r="B1433" s="6" t="s">
        <v>373</v>
      </c>
      <c r="C1433" s="6" t="n">
        <v>48</v>
      </c>
      <c r="D1433" s="25" t="n">
        <f aca="false">EDATE('Start Here'!$B$6,C1433-1)</f>
        <v>47757</v>
      </c>
      <c r="E1433" s="23" t="n">
        <f aca="false">IF(AND(OR(Nonlabor!$D$7="Both",Nonlabor!$D$7='Start Here'!$B$9),IF(Nonlabor!$E$7="Core",1,IF(Nonlabor!$E$7="AI",'Start Here'!$B$7,'Start Here'!$B$8))=1,C1433&gt;=IF(Nonlabor!$E$7="Core",Nonlabor!$F$7,MAX(Nonlabor!$F$7,IF(Nonlabor!$E$7="AI",Assumptions!$D$24,Assumptions!$D$25))),C1433&lt;=Nonlabor!$G$7,OR(Nonlabor!$H$7="Monthly",AND(Nonlabor!$H$7="Once",C1433=IF(Nonlabor!$E$7="Core",Nonlabor!$F$7,MAX(Nonlabor!$F$7,IF(Nonlabor!$E$7="AI",Assumptions!$D$24,Assumptions!$D$25)))),AND(Nonlabor!$H$7="Annual",MOD(C1433-IF(Nonlabor!$E$7="Core",Nonlabor!$F$7,MAX(Nonlabor!$F$7,IF(Nonlabor!$E$7="AI",Assumptions!$D$24,Assumptions!$D$25))),12)=0))),IF(Nonlabor!$I$7="Fixed",1,IF(Nonlabor!$I$7="Seats",ROUNDUP('Monthly Base'!I53,0),IF(Nonlabor!$I$7="Customers",'Monthly Base'!D53,IF(Nonlabor!$I$7="NewCustomers",'Monthly Base'!C53,IF(Nonlabor!$I$7="StorageGB",'Monthly Base'!G53,IF(Nonlabor!$I$7="LogGB",'Monthly Base'!H53,IF(Nonlabor!$I$7="RequestsM",'Monthly Base'!F53,IF(Nonlabor!$I$7="InputM",'Monthly Base'!D53*Assumptions!$D$22/1000000,IF(Nonlabor!$I$7="OutputM",'Monthly Base'!D53*Assumptions!$D$23/1000000,0))))))))),0)</f>
        <v>1</v>
      </c>
      <c r="F1433" s="10" t="n">
        <f aca="false">Nonlabor!$J$7*(1+Assumptions!$D$9)^INT((C1433-1)/12)</f>
        <v>655.6362</v>
      </c>
      <c r="G1433" s="10" t="n">
        <f aca="false">E1433*F1433</f>
        <v>655.6362</v>
      </c>
      <c r="H1433" s="10" t="n">
        <f aca="false">IF(OR(Nonlabor!$L$7="Quote required",Nonlabor!$L$7="Unverified"),G1433,0)</f>
        <v>655.6362</v>
      </c>
      <c r="I1433" s="10" t="n">
        <f aca="false">IF(Nonlabor!$E$7="Core",0,G1433)</f>
        <v>0</v>
      </c>
      <c r="J1433" s="23" t="str">
        <f aca="false">Nonlabor!$B$7</f>
        <v>INFRA</v>
      </c>
    </row>
    <row r="1434" customFormat="false" ht="15" hidden="false" customHeight="false" outlineLevel="0" collapsed="false">
      <c r="A1434" s="6" t="s">
        <v>4</v>
      </c>
      <c r="B1434" s="6" t="s">
        <v>373</v>
      </c>
      <c r="C1434" s="6" t="n">
        <v>49</v>
      </c>
      <c r="D1434" s="25" t="n">
        <f aca="false">EDATE('Start Here'!$B$6,C1434-1)</f>
        <v>47788</v>
      </c>
      <c r="E1434" s="23" t="n">
        <f aca="false">IF(AND(OR(Nonlabor!$D$7="Both",Nonlabor!$D$7='Start Here'!$B$9),IF(Nonlabor!$E$7="Core",1,IF(Nonlabor!$E$7="AI",'Start Here'!$B$7,'Start Here'!$B$8))=1,C1434&gt;=IF(Nonlabor!$E$7="Core",Nonlabor!$F$7,MAX(Nonlabor!$F$7,IF(Nonlabor!$E$7="AI",Assumptions!$D$24,Assumptions!$D$25))),C1434&lt;=Nonlabor!$G$7,OR(Nonlabor!$H$7="Monthly",AND(Nonlabor!$H$7="Once",C1434=IF(Nonlabor!$E$7="Core",Nonlabor!$F$7,MAX(Nonlabor!$F$7,IF(Nonlabor!$E$7="AI",Assumptions!$D$24,Assumptions!$D$25)))),AND(Nonlabor!$H$7="Annual",MOD(C1434-IF(Nonlabor!$E$7="Core",Nonlabor!$F$7,MAX(Nonlabor!$F$7,IF(Nonlabor!$E$7="AI",Assumptions!$D$24,Assumptions!$D$25))),12)=0))),IF(Nonlabor!$I$7="Fixed",1,IF(Nonlabor!$I$7="Seats",ROUNDUP('Monthly Base'!I54,0),IF(Nonlabor!$I$7="Customers",'Monthly Base'!D54,IF(Nonlabor!$I$7="NewCustomers",'Monthly Base'!C54,IF(Nonlabor!$I$7="StorageGB",'Monthly Base'!G54,IF(Nonlabor!$I$7="LogGB",'Monthly Base'!H54,IF(Nonlabor!$I$7="RequestsM",'Monthly Base'!F54,IF(Nonlabor!$I$7="InputM",'Monthly Base'!D54*Assumptions!$D$22/1000000,IF(Nonlabor!$I$7="OutputM",'Monthly Base'!D54*Assumptions!$D$23/1000000,0))))))))),0)</f>
        <v>1</v>
      </c>
      <c r="F1434" s="10" t="n">
        <f aca="false">Nonlabor!$J$7*(1+Assumptions!$D$9)^INT((C1434-1)/12)</f>
        <v>675.305286</v>
      </c>
      <c r="G1434" s="10" t="n">
        <f aca="false">E1434*F1434</f>
        <v>675.305286</v>
      </c>
      <c r="H1434" s="10" t="n">
        <f aca="false">IF(OR(Nonlabor!$L$7="Quote required",Nonlabor!$L$7="Unverified"),G1434,0)</f>
        <v>675.305286</v>
      </c>
      <c r="I1434" s="10" t="n">
        <f aca="false">IF(Nonlabor!$E$7="Core",0,G1434)</f>
        <v>0</v>
      </c>
      <c r="J1434" s="23" t="str">
        <f aca="false">Nonlabor!$B$7</f>
        <v>INFRA</v>
      </c>
    </row>
    <row r="1435" customFormat="false" ht="15" hidden="false" customHeight="false" outlineLevel="0" collapsed="false">
      <c r="A1435" s="6" t="s">
        <v>4</v>
      </c>
      <c r="B1435" s="6" t="s">
        <v>373</v>
      </c>
      <c r="C1435" s="6" t="n">
        <v>50</v>
      </c>
      <c r="D1435" s="25" t="n">
        <f aca="false">EDATE('Start Here'!$B$6,C1435-1)</f>
        <v>47818</v>
      </c>
      <c r="E1435" s="23" t="n">
        <f aca="false">IF(AND(OR(Nonlabor!$D$7="Both",Nonlabor!$D$7='Start Here'!$B$9),IF(Nonlabor!$E$7="Core",1,IF(Nonlabor!$E$7="AI",'Start Here'!$B$7,'Start Here'!$B$8))=1,C1435&gt;=IF(Nonlabor!$E$7="Core",Nonlabor!$F$7,MAX(Nonlabor!$F$7,IF(Nonlabor!$E$7="AI",Assumptions!$D$24,Assumptions!$D$25))),C1435&lt;=Nonlabor!$G$7,OR(Nonlabor!$H$7="Monthly",AND(Nonlabor!$H$7="Once",C1435=IF(Nonlabor!$E$7="Core",Nonlabor!$F$7,MAX(Nonlabor!$F$7,IF(Nonlabor!$E$7="AI",Assumptions!$D$24,Assumptions!$D$25)))),AND(Nonlabor!$H$7="Annual",MOD(C1435-IF(Nonlabor!$E$7="Core",Nonlabor!$F$7,MAX(Nonlabor!$F$7,IF(Nonlabor!$E$7="AI",Assumptions!$D$24,Assumptions!$D$25))),12)=0))),IF(Nonlabor!$I$7="Fixed",1,IF(Nonlabor!$I$7="Seats",ROUNDUP('Monthly Base'!I55,0),IF(Nonlabor!$I$7="Customers",'Monthly Base'!D55,IF(Nonlabor!$I$7="NewCustomers",'Monthly Base'!C55,IF(Nonlabor!$I$7="StorageGB",'Monthly Base'!G55,IF(Nonlabor!$I$7="LogGB",'Monthly Base'!H55,IF(Nonlabor!$I$7="RequestsM",'Monthly Base'!F55,IF(Nonlabor!$I$7="InputM",'Monthly Base'!D55*Assumptions!$D$22/1000000,IF(Nonlabor!$I$7="OutputM",'Monthly Base'!D55*Assumptions!$D$23/1000000,0))))))))),0)</f>
        <v>1</v>
      </c>
      <c r="F1435" s="10" t="n">
        <f aca="false">Nonlabor!$J$7*(1+Assumptions!$D$9)^INT((C1435-1)/12)</f>
        <v>675.305286</v>
      </c>
      <c r="G1435" s="10" t="n">
        <f aca="false">E1435*F1435</f>
        <v>675.305286</v>
      </c>
      <c r="H1435" s="10" t="n">
        <f aca="false">IF(OR(Nonlabor!$L$7="Quote required",Nonlabor!$L$7="Unverified"),G1435,0)</f>
        <v>675.305286</v>
      </c>
      <c r="I1435" s="10" t="n">
        <f aca="false">IF(Nonlabor!$E$7="Core",0,G1435)</f>
        <v>0</v>
      </c>
      <c r="J1435" s="23" t="str">
        <f aca="false">Nonlabor!$B$7</f>
        <v>INFRA</v>
      </c>
    </row>
    <row r="1436" customFormat="false" ht="15" hidden="false" customHeight="false" outlineLevel="0" collapsed="false">
      <c r="A1436" s="6" t="s">
        <v>4</v>
      </c>
      <c r="B1436" s="6" t="s">
        <v>373</v>
      </c>
      <c r="C1436" s="6" t="n">
        <v>51</v>
      </c>
      <c r="D1436" s="25" t="n">
        <f aca="false">EDATE('Start Here'!$B$6,C1436-1)</f>
        <v>47849</v>
      </c>
      <c r="E1436" s="23" t="n">
        <f aca="false">IF(AND(OR(Nonlabor!$D$7="Both",Nonlabor!$D$7='Start Here'!$B$9),IF(Nonlabor!$E$7="Core",1,IF(Nonlabor!$E$7="AI",'Start Here'!$B$7,'Start Here'!$B$8))=1,C1436&gt;=IF(Nonlabor!$E$7="Core",Nonlabor!$F$7,MAX(Nonlabor!$F$7,IF(Nonlabor!$E$7="AI",Assumptions!$D$24,Assumptions!$D$25))),C1436&lt;=Nonlabor!$G$7,OR(Nonlabor!$H$7="Monthly",AND(Nonlabor!$H$7="Once",C1436=IF(Nonlabor!$E$7="Core",Nonlabor!$F$7,MAX(Nonlabor!$F$7,IF(Nonlabor!$E$7="AI",Assumptions!$D$24,Assumptions!$D$25)))),AND(Nonlabor!$H$7="Annual",MOD(C1436-IF(Nonlabor!$E$7="Core",Nonlabor!$F$7,MAX(Nonlabor!$F$7,IF(Nonlabor!$E$7="AI",Assumptions!$D$24,Assumptions!$D$25))),12)=0))),IF(Nonlabor!$I$7="Fixed",1,IF(Nonlabor!$I$7="Seats",ROUNDUP('Monthly Base'!I56,0),IF(Nonlabor!$I$7="Customers",'Monthly Base'!D56,IF(Nonlabor!$I$7="NewCustomers",'Monthly Base'!C56,IF(Nonlabor!$I$7="StorageGB",'Monthly Base'!G56,IF(Nonlabor!$I$7="LogGB",'Monthly Base'!H56,IF(Nonlabor!$I$7="RequestsM",'Monthly Base'!F56,IF(Nonlabor!$I$7="InputM",'Monthly Base'!D56*Assumptions!$D$22/1000000,IF(Nonlabor!$I$7="OutputM",'Monthly Base'!D56*Assumptions!$D$23/1000000,0))))))))),0)</f>
        <v>1</v>
      </c>
      <c r="F1436" s="10" t="n">
        <f aca="false">Nonlabor!$J$7*(1+Assumptions!$D$9)^INT((C1436-1)/12)</f>
        <v>675.305286</v>
      </c>
      <c r="G1436" s="10" t="n">
        <f aca="false">E1436*F1436</f>
        <v>675.305286</v>
      </c>
      <c r="H1436" s="10" t="n">
        <f aca="false">IF(OR(Nonlabor!$L$7="Quote required",Nonlabor!$L$7="Unverified"),G1436,0)</f>
        <v>675.305286</v>
      </c>
      <c r="I1436" s="10" t="n">
        <f aca="false">IF(Nonlabor!$E$7="Core",0,G1436)</f>
        <v>0</v>
      </c>
      <c r="J1436" s="23" t="str">
        <f aca="false">Nonlabor!$B$7</f>
        <v>INFRA</v>
      </c>
    </row>
    <row r="1437" customFormat="false" ht="15" hidden="false" customHeight="false" outlineLevel="0" collapsed="false">
      <c r="A1437" s="6" t="s">
        <v>4</v>
      </c>
      <c r="B1437" s="6" t="s">
        <v>373</v>
      </c>
      <c r="C1437" s="6" t="n">
        <v>52</v>
      </c>
      <c r="D1437" s="25" t="n">
        <f aca="false">EDATE('Start Here'!$B$6,C1437-1)</f>
        <v>47880</v>
      </c>
      <c r="E1437" s="23" t="n">
        <f aca="false">IF(AND(OR(Nonlabor!$D$7="Both",Nonlabor!$D$7='Start Here'!$B$9),IF(Nonlabor!$E$7="Core",1,IF(Nonlabor!$E$7="AI",'Start Here'!$B$7,'Start Here'!$B$8))=1,C1437&gt;=IF(Nonlabor!$E$7="Core",Nonlabor!$F$7,MAX(Nonlabor!$F$7,IF(Nonlabor!$E$7="AI",Assumptions!$D$24,Assumptions!$D$25))),C1437&lt;=Nonlabor!$G$7,OR(Nonlabor!$H$7="Monthly",AND(Nonlabor!$H$7="Once",C1437=IF(Nonlabor!$E$7="Core",Nonlabor!$F$7,MAX(Nonlabor!$F$7,IF(Nonlabor!$E$7="AI",Assumptions!$D$24,Assumptions!$D$25)))),AND(Nonlabor!$H$7="Annual",MOD(C1437-IF(Nonlabor!$E$7="Core",Nonlabor!$F$7,MAX(Nonlabor!$F$7,IF(Nonlabor!$E$7="AI",Assumptions!$D$24,Assumptions!$D$25))),12)=0))),IF(Nonlabor!$I$7="Fixed",1,IF(Nonlabor!$I$7="Seats",ROUNDUP('Monthly Base'!I57,0),IF(Nonlabor!$I$7="Customers",'Monthly Base'!D57,IF(Nonlabor!$I$7="NewCustomers",'Monthly Base'!C57,IF(Nonlabor!$I$7="StorageGB",'Monthly Base'!G57,IF(Nonlabor!$I$7="LogGB",'Monthly Base'!H57,IF(Nonlabor!$I$7="RequestsM",'Monthly Base'!F57,IF(Nonlabor!$I$7="InputM",'Monthly Base'!D57*Assumptions!$D$22/1000000,IF(Nonlabor!$I$7="OutputM",'Monthly Base'!D57*Assumptions!$D$23/1000000,0))))))))),0)</f>
        <v>1</v>
      </c>
      <c r="F1437" s="10" t="n">
        <f aca="false">Nonlabor!$J$7*(1+Assumptions!$D$9)^INT((C1437-1)/12)</f>
        <v>675.305286</v>
      </c>
      <c r="G1437" s="10" t="n">
        <f aca="false">E1437*F1437</f>
        <v>675.305286</v>
      </c>
      <c r="H1437" s="10" t="n">
        <f aca="false">IF(OR(Nonlabor!$L$7="Quote required",Nonlabor!$L$7="Unverified"),G1437,0)</f>
        <v>675.305286</v>
      </c>
      <c r="I1437" s="10" t="n">
        <f aca="false">IF(Nonlabor!$E$7="Core",0,G1437)</f>
        <v>0</v>
      </c>
      <c r="J1437" s="23" t="str">
        <f aca="false">Nonlabor!$B$7</f>
        <v>INFRA</v>
      </c>
    </row>
    <row r="1438" customFormat="false" ht="15" hidden="false" customHeight="false" outlineLevel="0" collapsed="false">
      <c r="A1438" s="6" t="s">
        <v>4</v>
      </c>
      <c r="B1438" s="6" t="s">
        <v>373</v>
      </c>
      <c r="C1438" s="6" t="n">
        <v>53</v>
      </c>
      <c r="D1438" s="25" t="n">
        <f aca="false">EDATE('Start Here'!$B$6,C1438-1)</f>
        <v>47908</v>
      </c>
      <c r="E1438" s="23" t="n">
        <f aca="false">IF(AND(OR(Nonlabor!$D$7="Both",Nonlabor!$D$7='Start Here'!$B$9),IF(Nonlabor!$E$7="Core",1,IF(Nonlabor!$E$7="AI",'Start Here'!$B$7,'Start Here'!$B$8))=1,C1438&gt;=IF(Nonlabor!$E$7="Core",Nonlabor!$F$7,MAX(Nonlabor!$F$7,IF(Nonlabor!$E$7="AI",Assumptions!$D$24,Assumptions!$D$25))),C1438&lt;=Nonlabor!$G$7,OR(Nonlabor!$H$7="Monthly",AND(Nonlabor!$H$7="Once",C1438=IF(Nonlabor!$E$7="Core",Nonlabor!$F$7,MAX(Nonlabor!$F$7,IF(Nonlabor!$E$7="AI",Assumptions!$D$24,Assumptions!$D$25)))),AND(Nonlabor!$H$7="Annual",MOD(C1438-IF(Nonlabor!$E$7="Core",Nonlabor!$F$7,MAX(Nonlabor!$F$7,IF(Nonlabor!$E$7="AI",Assumptions!$D$24,Assumptions!$D$25))),12)=0))),IF(Nonlabor!$I$7="Fixed",1,IF(Nonlabor!$I$7="Seats",ROUNDUP('Monthly Base'!I58,0),IF(Nonlabor!$I$7="Customers",'Monthly Base'!D58,IF(Nonlabor!$I$7="NewCustomers",'Monthly Base'!C58,IF(Nonlabor!$I$7="StorageGB",'Monthly Base'!G58,IF(Nonlabor!$I$7="LogGB",'Monthly Base'!H58,IF(Nonlabor!$I$7="RequestsM",'Monthly Base'!F58,IF(Nonlabor!$I$7="InputM",'Monthly Base'!D58*Assumptions!$D$22/1000000,IF(Nonlabor!$I$7="OutputM",'Monthly Base'!D58*Assumptions!$D$23/1000000,0))))))))),0)</f>
        <v>1</v>
      </c>
      <c r="F1438" s="10" t="n">
        <f aca="false">Nonlabor!$J$7*(1+Assumptions!$D$9)^INT((C1438-1)/12)</f>
        <v>675.305286</v>
      </c>
      <c r="G1438" s="10" t="n">
        <f aca="false">E1438*F1438</f>
        <v>675.305286</v>
      </c>
      <c r="H1438" s="10" t="n">
        <f aca="false">IF(OR(Nonlabor!$L$7="Quote required",Nonlabor!$L$7="Unverified"),G1438,0)</f>
        <v>675.305286</v>
      </c>
      <c r="I1438" s="10" t="n">
        <f aca="false">IF(Nonlabor!$E$7="Core",0,G1438)</f>
        <v>0</v>
      </c>
      <c r="J1438" s="23" t="str">
        <f aca="false">Nonlabor!$B$7</f>
        <v>INFRA</v>
      </c>
    </row>
    <row r="1439" customFormat="false" ht="15" hidden="false" customHeight="false" outlineLevel="0" collapsed="false">
      <c r="A1439" s="6" t="s">
        <v>4</v>
      </c>
      <c r="B1439" s="6" t="s">
        <v>373</v>
      </c>
      <c r="C1439" s="6" t="n">
        <v>54</v>
      </c>
      <c r="D1439" s="25" t="n">
        <f aca="false">EDATE('Start Here'!$B$6,C1439-1)</f>
        <v>47939</v>
      </c>
      <c r="E1439" s="23" t="n">
        <f aca="false">IF(AND(OR(Nonlabor!$D$7="Both",Nonlabor!$D$7='Start Here'!$B$9),IF(Nonlabor!$E$7="Core",1,IF(Nonlabor!$E$7="AI",'Start Here'!$B$7,'Start Here'!$B$8))=1,C1439&gt;=IF(Nonlabor!$E$7="Core",Nonlabor!$F$7,MAX(Nonlabor!$F$7,IF(Nonlabor!$E$7="AI",Assumptions!$D$24,Assumptions!$D$25))),C1439&lt;=Nonlabor!$G$7,OR(Nonlabor!$H$7="Monthly",AND(Nonlabor!$H$7="Once",C1439=IF(Nonlabor!$E$7="Core",Nonlabor!$F$7,MAX(Nonlabor!$F$7,IF(Nonlabor!$E$7="AI",Assumptions!$D$24,Assumptions!$D$25)))),AND(Nonlabor!$H$7="Annual",MOD(C1439-IF(Nonlabor!$E$7="Core",Nonlabor!$F$7,MAX(Nonlabor!$F$7,IF(Nonlabor!$E$7="AI",Assumptions!$D$24,Assumptions!$D$25))),12)=0))),IF(Nonlabor!$I$7="Fixed",1,IF(Nonlabor!$I$7="Seats",ROUNDUP('Monthly Base'!I59,0),IF(Nonlabor!$I$7="Customers",'Monthly Base'!D59,IF(Nonlabor!$I$7="NewCustomers",'Monthly Base'!C59,IF(Nonlabor!$I$7="StorageGB",'Monthly Base'!G59,IF(Nonlabor!$I$7="LogGB",'Monthly Base'!H59,IF(Nonlabor!$I$7="RequestsM",'Monthly Base'!F59,IF(Nonlabor!$I$7="InputM",'Monthly Base'!D59*Assumptions!$D$22/1000000,IF(Nonlabor!$I$7="OutputM",'Monthly Base'!D59*Assumptions!$D$23/1000000,0))))))))),0)</f>
        <v>1</v>
      </c>
      <c r="F1439" s="10" t="n">
        <f aca="false">Nonlabor!$J$7*(1+Assumptions!$D$9)^INT((C1439-1)/12)</f>
        <v>675.305286</v>
      </c>
      <c r="G1439" s="10" t="n">
        <f aca="false">E1439*F1439</f>
        <v>675.305286</v>
      </c>
      <c r="H1439" s="10" t="n">
        <f aca="false">IF(OR(Nonlabor!$L$7="Quote required",Nonlabor!$L$7="Unverified"),G1439,0)</f>
        <v>675.305286</v>
      </c>
      <c r="I1439" s="10" t="n">
        <f aca="false">IF(Nonlabor!$E$7="Core",0,G1439)</f>
        <v>0</v>
      </c>
      <c r="J1439" s="23" t="str">
        <f aca="false">Nonlabor!$B$7</f>
        <v>INFRA</v>
      </c>
    </row>
    <row r="1440" customFormat="false" ht="15" hidden="false" customHeight="false" outlineLevel="0" collapsed="false">
      <c r="A1440" s="6" t="s">
        <v>4</v>
      </c>
      <c r="B1440" s="6" t="s">
        <v>373</v>
      </c>
      <c r="C1440" s="6" t="n">
        <v>55</v>
      </c>
      <c r="D1440" s="25" t="n">
        <f aca="false">EDATE('Start Here'!$B$6,C1440-1)</f>
        <v>47969</v>
      </c>
      <c r="E1440" s="23" t="n">
        <f aca="false">IF(AND(OR(Nonlabor!$D$7="Both",Nonlabor!$D$7='Start Here'!$B$9),IF(Nonlabor!$E$7="Core",1,IF(Nonlabor!$E$7="AI",'Start Here'!$B$7,'Start Here'!$B$8))=1,C1440&gt;=IF(Nonlabor!$E$7="Core",Nonlabor!$F$7,MAX(Nonlabor!$F$7,IF(Nonlabor!$E$7="AI",Assumptions!$D$24,Assumptions!$D$25))),C1440&lt;=Nonlabor!$G$7,OR(Nonlabor!$H$7="Monthly",AND(Nonlabor!$H$7="Once",C1440=IF(Nonlabor!$E$7="Core",Nonlabor!$F$7,MAX(Nonlabor!$F$7,IF(Nonlabor!$E$7="AI",Assumptions!$D$24,Assumptions!$D$25)))),AND(Nonlabor!$H$7="Annual",MOD(C1440-IF(Nonlabor!$E$7="Core",Nonlabor!$F$7,MAX(Nonlabor!$F$7,IF(Nonlabor!$E$7="AI",Assumptions!$D$24,Assumptions!$D$25))),12)=0))),IF(Nonlabor!$I$7="Fixed",1,IF(Nonlabor!$I$7="Seats",ROUNDUP('Monthly Base'!I60,0),IF(Nonlabor!$I$7="Customers",'Monthly Base'!D60,IF(Nonlabor!$I$7="NewCustomers",'Monthly Base'!C60,IF(Nonlabor!$I$7="StorageGB",'Monthly Base'!G60,IF(Nonlabor!$I$7="LogGB",'Monthly Base'!H60,IF(Nonlabor!$I$7="RequestsM",'Monthly Base'!F60,IF(Nonlabor!$I$7="InputM",'Monthly Base'!D60*Assumptions!$D$22/1000000,IF(Nonlabor!$I$7="OutputM",'Monthly Base'!D60*Assumptions!$D$23/1000000,0))))))))),0)</f>
        <v>1</v>
      </c>
      <c r="F1440" s="10" t="n">
        <f aca="false">Nonlabor!$J$7*(1+Assumptions!$D$9)^INT((C1440-1)/12)</f>
        <v>675.305286</v>
      </c>
      <c r="G1440" s="10" t="n">
        <f aca="false">E1440*F1440</f>
        <v>675.305286</v>
      </c>
      <c r="H1440" s="10" t="n">
        <f aca="false">IF(OR(Nonlabor!$L$7="Quote required",Nonlabor!$L$7="Unverified"),G1440,0)</f>
        <v>675.305286</v>
      </c>
      <c r="I1440" s="10" t="n">
        <f aca="false">IF(Nonlabor!$E$7="Core",0,G1440)</f>
        <v>0</v>
      </c>
      <c r="J1440" s="23" t="str">
        <f aca="false">Nonlabor!$B$7</f>
        <v>INFRA</v>
      </c>
    </row>
    <row r="1441" customFormat="false" ht="15" hidden="false" customHeight="false" outlineLevel="0" collapsed="false">
      <c r="A1441" s="6" t="s">
        <v>4</v>
      </c>
      <c r="B1441" s="6" t="s">
        <v>373</v>
      </c>
      <c r="C1441" s="6" t="n">
        <v>56</v>
      </c>
      <c r="D1441" s="25" t="n">
        <f aca="false">EDATE('Start Here'!$B$6,C1441-1)</f>
        <v>48000</v>
      </c>
      <c r="E1441" s="23" t="n">
        <f aca="false">IF(AND(OR(Nonlabor!$D$7="Both",Nonlabor!$D$7='Start Here'!$B$9),IF(Nonlabor!$E$7="Core",1,IF(Nonlabor!$E$7="AI",'Start Here'!$B$7,'Start Here'!$B$8))=1,C1441&gt;=IF(Nonlabor!$E$7="Core",Nonlabor!$F$7,MAX(Nonlabor!$F$7,IF(Nonlabor!$E$7="AI",Assumptions!$D$24,Assumptions!$D$25))),C1441&lt;=Nonlabor!$G$7,OR(Nonlabor!$H$7="Monthly",AND(Nonlabor!$H$7="Once",C1441=IF(Nonlabor!$E$7="Core",Nonlabor!$F$7,MAX(Nonlabor!$F$7,IF(Nonlabor!$E$7="AI",Assumptions!$D$24,Assumptions!$D$25)))),AND(Nonlabor!$H$7="Annual",MOD(C1441-IF(Nonlabor!$E$7="Core",Nonlabor!$F$7,MAX(Nonlabor!$F$7,IF(Nonlabor!$E$7="AI",Assumptions!$D$24,Assumptions!$D$25))),12)=0))),IF(Nonlabor!$I$7="Fixed",1,IF(Nonlabor!$I$7="Seats",ROUNDUP('Monthly Base'!I61,0),IF(Nonlabor!$I$7="Customers",'Monthly Base'!D61,IF(Nonlabor!$I$7="NewCustomers",'Monthly Base'!C61,IF(Nonlabor!$I$7="StorageGB",'Monthly Base'!G61,IF(Nonlabor!$I$7="LogGB",'Monthly Base'!H61,IF(Nonlabor!$I$7="RequestsM",'Monthly Base'!F61,IF(Nonlabor!$I$7="InputM",'Monthly Base'!D61*Assumptions!$D$22/1000000,IF(Nonlabor!$I$7="OutputM",'Monthly Base'!D61*Assumptions!$D$23/1000000,0))))))))),0)</f>
        <v>1</v>
      </c>
      <c r="F1441" s="10" t="n">
        <f aca="false">Nonlabor!$J$7*(1+Assumptions!$D$9)^INT((C1441-1)/12)</f>
        <v>675.305286</v>
      </c>
      <c r="G1441" s="10" t="n">
        <f aca="false">E1441*F1441</f>
        <v>675.305286</v>
      </c>
      <c r="H1441" s="10" t="n">
        <f aca="false">IF(OR(Nonlabor!$L$7="Quote required",Nonlabor!$L$7="Unverified"),G1441,0)</f>
        <v>675.305286</v>
      </c>
      <c r="I1441" s="10" t="n">
        <f aca="false">IF(Nonlabor!$E$7="Core",0,G1441)</f>
        <v>0</v>
      </c>
      <c r="J1441" s="23" t="str">
        <f aca="false">Nonlabor!$B$7</f>
        <v>INFRA</v>
      </c>
    </row>
    <row r="1442" customFormat="false" ht="15" hidden="false" customHeight="false" outlineLevel="0" collapsed="false">
      <c r="A1442" s="6" t="s">
        <v>4</v>
      </c>
      <c r="B1442" s="6" t="s">
        <v>373</v>
      </c>
      <c r="C1442" s="6" t="n">
        <v>57</v>
      </c>
      <c r="D1442" s="25" t="n">
        <f aca="false">EDATE('Start Here'!$B$6,C1442-1)</f>
        <v>48030</v>
      </c>
      <c r="E1442" s="23" t="n">
        <f aca="false">IF(AND(OR(Nonlabor!$D$7="Both",Nonlabor!$D$7='Start Here'!$B$9),IF(Nonlabor!$E$7="Core",1,IF(Nonlabor!$E$7="AI",'Start Here'!$B$7,'Start Here'!$B$8))=1,C1442&gt;=IF(Nonlabor!$E$7="Core",Nonlabor!$F$7,MAX(Nonlabor!$F$7,IF(Nonlabor!$E$7="AI",Assumptions!$D$24,Assumptions!$D$25))),C1442&lt;=Nonlabor!$G$7,OR(Nonlabor!$H$7="Monthly",AND(Nonlabor!$H$7="Once",C1442=IF(Nonlabor!$E$7="Core",Nonlabor!$F$7,MAX(Nonlabor!$F$7,IF(Nonlabor!$E$7="AI",Assumptions!$D$24,Assumptions!$D$25)))),AND(Nonlabor!$H$7="Annual",MOD(C1442-IF(Nonlabor!$E$7="Core",Nonlabor!$F$7,MAX(Nonlabor!$F$7,IF(Nonlabor!$E$7="AI",Assumptions!$D$24,Assumptions!$D$25))),12)=0))),IF(Nonlabor!$I$7="Fixed",1,IF(Nonlabor!$I$7="Seats",ROUNDUP('Monthly Base'!I62,0),IF(Nonlabor!$I$7="Customers",'Monthly Base'!D62,IF(Nonlabor!$I$7="NewCustomers",'Monthly Base'!C62,IF(Nonlabor!$I$7="StorageGB",'Monthly Base'!G62,IF(Nonlabor!$I$7="LogGB",'Monthly Base'!H62,IF(Nonlabor!$I$7="RequestsM",'Monthly Base'!F62,IF(Nonlabor!$I$7="InputM",'Monthly Base'!D62*Assumptions!$D$22/1000000,IF(Nonlabor!$I$7="OutputM",'Monthly Base'!D62*Assumptions!$D$23/1000000,0))))))))),0)</f>
        <v>1</v>
      </c>
      <c r="F1442" s="10" t="n">
        <f aca="false">Nonlabor!$J$7*(1+Assumptions!$D$9)^INT((C1442-1)/12)</f>
        <v>675.305286</v>
      </c>
      <c r="G1442" s="10" t="n">
        <f aca="false">E1442*F1442</f>
        <v>675.305286</v>
      </c>
      <c r="H1442" s="10" t="n">
        <f aca="false">IF(OR(Nonlabor!$L$7="Quote required",Nonlabor!$L$7="Unverified"),G1442,0)</f>
        <v>675.305286</v>
      </c>
      <c r="I1442" s="10" t="n">
        <f aca="false">IF(Nonlabor!$E$7="Core",0,G1442)</f>
        <v>0</v>
      </c>
      <c r="J1442" s="23" t="str">
        <f aca="false">Nonlabor!$B$7</f>
        <v>INFRA</v>
      </c>
    </row>
    <row r="1443" customFormat="false" ht="15" hidden="false" customHeight="false" outlineLevel="0" collapsed="false">
      <c r="A1443" s="6" t="s">
        <v>4</v>
      </c>
      <c r="B1443" s="6" t="s">
        <v>373</v>
      </c>
      <c r="C1443" s="6" t="n">
        <v>58</v>
      </c>
      <c r="D1443" s="25" t="n">
        <f aca="false">EDATE('Start Here'!$B$6,C1443-1)</f>
        <v>48061</v>
      </c>
      <c r="E1443" s="23" t="n">
        <f aca="false">IF(AND(OR(Nonlabor!$D$7="Both",Nonlabor!$D$7='Start Here'!$B$9),IF(Nonlabor!$E$7="Core",1,IF(Nonlabor!$E$7="AI",'Start Here'!$B$7,'Start Here'!$B$8))=1,C1443&gt;=IF(Nonlabor!$E$7="Core",Nonlabor!$F$7,MAX(Nonlabor!$F$7,IF(Nonlabor!$E$7="AI",Assumptions!$D$24,Assumptions!$D$25))),C1443&lt;=Nonlabor!$G$7,OR(Nonlabor!$H$7="Monthly",AND(Nonlabor!$H$7="Once",C1443=IF(Nonlabor!$E$7="Core",Nonlabor!$F$7,MAX(Nonlabor!$F$7,IF(Nonlabor!$E$7="AI",Assumptions!$D$24,Assumptions!$D$25)))),AND(Nonlabor!$H$7="Annual",MOD(C1443-IF(Nonlabor!$E$7="Core",Nonlabor!$F$7,MAX(Nonlabor!$F$7,IF(Nonlabor!$E$7="AI",Assumptions!$D$24,Assumptions!$D$25))),12)=0))),IF(Nonlabor!$I$7="Fixed",1,IF(Nonlabor!$I$7="Seats",ROUNDUP('Monthly Base'!I63,0),IF(Nonlabor!$I$7="Customers",'Monthly Base'!D63,IF(Nonlabor!$I$7="NewCustomers",'Monthly Base'!C63,IF(Nonlabor!$I$7="StorageGB",'Monthly Base'!G63,IF(Nonlabor!$I$7="LogGB",'Monthly Base'!H63,IF(Nonlabor!$I$7="RequestsM",'Monthly Base'!F63,IF(Nonlabor!$I$7="InputM",'Monthly Base'!D63*Assumptions!$D$22/1000000,IF(Nonlabor!$I$7="OutputM",'Monthly Base'!D63*Assumptions!$D$23/1000000,0))))))))),0)</f>
        <v>1</v>
      </c>
      <c r="F1443" s="10" t="n">
        <f aca="false">Nonlabor!$J$7*(1+Assumptions!$D$9)^INT((C1443-1)/12)</f>
        <v>675.305286</v>
      </c>
      <c r="G1443" s="10" t="n">
        <f aca="false">E1443*F1443</f>
        <v>675.305286</v>
      </c>
      <c r="H1443" s="10" t="n">
        <f aca="false">IF(OR(Nonlabor!$L$7="Quote required",Nonlabor!$L$7="Unverified"),G1443,0)</f>
        <v>675.305286</v>
      </c>
      <c r="I1443" s="10" t="n">
        <f aca="false">IF(Nonlabor!$E$7="Core",0,G1443)</f>
        <v>0</v>
      </c>
      <c r="J1443" s="23" t="str">
        <f aca="false">Nonlabor!$B$7</f>
        <v>INFRA</v>
      </c>
    </row>
    <row r="1444" customFormat="false" ht="15" hidden="false" customHeight="false" outlineLevel="0" collapsed="false">
      <c r="A1444" s="6" t="s">
        <v>4</v>
      </c>
      <c r="B1444" s="6" t="s">
        <v>373</v>
      </c>
      <c r="C1444" s="6" t="n">
        <v>59</v>
      </c>
      <c r="D1444" s="25" t="n">
        <f aca="false">EDATE('Start Here'!$B$6,C1444-1)</f>
        <v>48092</v>
      </c>
      <c r="E1444" s="23" t="n">
        <f aca="false">IF(AND(OR(Nonlabor!$D$7="Both",Nonlabor!$D$7='Start Here'!$B$9),IF(Nonlabor!$E$7="Core",1,IF(Nonlabor!$E$7="AI",'Start Here'!$B$7,'Start Here'!$B$8))=1,C1444&gt;=IF(Nonlabor!$E$7="Core",Nonlabor!$F$7,MAX(Nonlabor!$F$7,IF(Nonlabor!$E$7="AI",Assumptions!$D$24,Assumptions!$D$25))),C1444&lt;=Nonlabor!$G$7,OR(Nonlabor!$H$7="Monthly",AND(Nonlabor!$H$7="Once",C1444=IF(Nonlabor!$E$7="Core",Nonlabor!$F$7,MAX(Nonlabor!$F$7,IF(Nonlabor!$E$7="AI",Assumptions!$D$24,Assumptions!$D$25)))),AND(Nonlabor!$H$7="Annual",MOD(C1444-IF(Nonlabor!$E$7="Core",Nonlabor!$F$7,MAX(Nonlabor!$F$7,IF(Nonlabor!$E$7="AI",Assumptions!$D$24,Assumptions!$D$25))),12)=0))),IF(Nonlabor!$I$7="Fixed",1,IF(Nonlabor!$I$7="Seats",ROUNDUP('Monthly Base'!I64,0),IF(Nonlabor!$I$7="Customers",'Monthly Base'!D64,IF(Nonlabor!$I$7="NewCustomers",'Monthly Base'!C64,IF(Nonlabor!$I$7="StorageGB",'Monthly Base'!G64,IF(Nonlabor!$I$7="LogGB",'Monthly Base'!H64,IF(Nonlabor!$I$7="RequestsM",'Monthly Base'!F64,IF(Nonlabor!$I$7="InputM",'Monthly Base'!D64*Assumptions!$D$22/1000000,IF(Nonlabor!$I$7="OutputM",'Monthly Base'!D64*Assumptions!$D$23/1000000,0))))))))),0)</f>
        <v>1</v>
      </c>
      <c r="F1444" s="10" t="n">
        <f aca="false">Nonlabor!$J$7*(1+Assumptions!$D$9)^INT((C1444-1)/12)</f>
        <v>675.305286</v>
      </c>
      <c r="G1444" s="10" t="n">
        <f aca="false">E1444*F1444</f>
        <v>675.305286</v>
      </c>
      <c r="H1444" s="10" t="n">
        <f aca="false">IF(OR(Nonlabor!$L$7="Quote required",Nonlabor!$L$7="Unverified"),G1444,0)</f>
        <v>675.305286</v>
      </c>
      <c r="I1444" s="10" t="n">
        <f aca="false">IF(Nonlabor!$E$7="Core",0,G1444)</f>
        <v>0</v>
      </c>
      <c r="J1444" s="23" t="str">
        <f aca="false">Nonlabor!$B$7</f>
        <v>INFRA</v>
      </c>
    </row>
    <row r="1445" customFormat="false" ht="15" hidden="false" customHeight="false" outlineLevel="0" collapsed="false">
      <c r="A1445" s="6" t="s">
        <v>4</v>
      </c>
      <c r="B1445" s="6" t="s">
        <v>373</v>
      </c>
      <c r="C1445" s="6" t="n">
        <v>60</v>
      </c>
      <c r="D1445" s="25" t="n">
        <f aca="false">EDATE('Start Here'!$B$6,C1445-1)</f>
        <v>48122</v>
      </c>
      <c r="E1445" s="23" t="n">
        <f aca="false">IF(AND(OR(Nonlabor!$D$7="Both",Nonlabor!$D$7='Start Here'!$B$9),IF(Nonlabor!$E$7="Core",1,IF(Nonlabor!$E$7="AI",'Start Here'!$B$7,'Start Here'!$B$8))=1,C1445&gt;=IF(Nonlabor!$E$7="Core",Nonlabor!$F$7,MAX(Nonlabor!$F$7,IF(Nonlabor!$E$7="AI",Assumptions!$D$24,Assumptions!$D$25))),C1445&lt;=Nonlabor!$G$7,OR(Nonlabor!$H$7="Monthly",AND(Nonlabor!$H$7="Once",C1445=IF(Nonlabor!$E$7="Core",Nonlabor!$F$7,MAX(Nonlabor!$F$7,IF(Nonlabor!$E$7="AI",Assumptions!$D$24,Assumptions!$D$25)))),AND(Nonlabor!$H$7="Annual",MOD(C1445-IF(Nonlabor!$E$7="Core",Nonlabor!$F$7,MAX(Nonlabor!$F$7,IF(Nonlabor!$E$7="AI",Assumptions!$D$24,Assumptions!$D$25))),12)=0))),IF(Nonlabor!$I$7="Fixed",1,IF(Nonlabor!$I$7="Seats",ROUNDUP('Monthly Base'!I65,0),IF(Nonlabor!$I$7="Customers",'Monthly Base'!D65,IF(Nonlabor!$I$7="NewCustomers",'Monthly Base'!C65,IF(Nonlabor!$I$7="StorageGB",'Monthly Base'!G65,IF(Nonlabor!$I$7="LogGB",'Monthly Base'!H65,IF(Nonlabor!$I$7="RequestsM",'Monthly Base'!F65,IF(Nonlabor!$I$7="InputM",'Monthly Base'!D65*Assumptions!$D$22/1000000,IF(Nonlabor!$I$7="OutputM",'Monthly Base'!D65*Assumptions!$D$23/1000000,0))))))))),0)</f>
        <v>1</v>
      </c>
      <c r="F1445" s="10" t="n">
        <f aca="false">Nonlabor!$J$7*(1+Assumptions!$D$9)^INT((C1445-1)/12)</f>
        <v>675.305286</v>
      </c>
      <c r="G1445" s="10" t="n">
        <f aca="false">E1445*F1445</f>
        <v>675.305286</v>
      </c>
      <c r="H1445" s="10" t="n">
        <f aca="false">IF(OR(Nonlabor!$L$7="Quote required",Nonlabor!$L$7="Unverified"),G1445,0)</f>
        <v>675.305286</v>
      </c>
      <c r="I1445" s="10" t="n">
        <f aca="false">IF(Nonlabor!$E$7="Core",0,G1445)</f>
        <v>0</v>
      </c>
      <c r="J1445" s="23" t="str">
        <f aca="false">Nonlabor!$B$7</f>
        <v>INFRA</v>
      </c>
    </row>
    <row r="1446" customFormat="false" ht="15" hidden="false" customHeight="false" outlineLevel="0" collapsed="false">
      <c r="A1446" s="6" t="s">
        <v>4</v>
      </c>
      <c r="B1446" s="6" t="s">
        <v>376</v>
      </c>
      <c r="C1446" s="6" t="n">
        <v>1</v>
      </c>
      <c r="D1446" s="25" t="n">
        <f aca="false">EDATE('Start Here'!$B$6,C1446-1)</f>
        <v>46327</v>
      </c>
      <c r="E1446" s="23" t="n">
        <f aca="false">IF(AND(OR(Nonlabor!$D$8="Both",Nonlabor!$D$8='Start Here'!$B$9),IF(Nonlabor!$E$8="Core",1,IF(Nonlabor!$E$8="AI",'Start Here'!$B$7,'Start Here'!$B$8))=1,C1446&gt;=IF(Nonlabor!$E$8="Core",Nonlabor!$F$8,MAX(Nonlabor!$F$8,IF(Nonlabor!$E$8="AI",Assumptions!$D$24,Assumptions!$D$25))),C1446&lt;=Nonlabor!$G$8,OR(Nonlabor!$H$8="Monthly",AND(Nonlabor!$H$8="Once",C1446=IF(Nonlabor!$E$8="Core",Nonlabor!$F$8,MAX(Nonlabor!$F$8,IF(Nonlabor!$E$8="AI",Assumptions!$D$24,Assumptions!$D$25)))),AND(Nonlabor!$H$8="Annual",MOD(C1446-IF(Nonlabor!$E$8="Core",Nonlabor!$F$8,MAX(Nonlabor!$F$8,IF(Nonlabor!$E$8="AI",Assumptions!$D$24,Assumptions!$D$25))),12)=0))),IF(Nonlabor!$I$8="Fixed",1,IF(Nonlabor!$I$8="Seats",ROUNDUP('Monthly Base'!I6,0),IF(Nonlabor!$I$8="Customers",'Monthly Base'!D6,IF(Nonlabor!$I$8="NewCustomers",'Monthly Base'!C6,IF(Nonlabor!$I$8="StorageGB",'Monthly Base'!G6,IF(Nonlabor!$I$8="LogGB",'Monthly Base'!H6,IF(Nonlabor!$I$8="RequestsM",'Monthly Base'!F6,IF(Nonlabor!$I$8="InputM",'Monthly Base'!D6*Assumptions!$D$22/1000000,IF(Nonlabor!$I$8="OutputM",'Monthly Base'!D6*Assumptions!$D$23/1000000,0))))))))),0)</f>
        <v>0</v>
      </c>
      <c r="F1446" s="10" t="n">
        <f aca="false">Nonlabor!$J$8*(1+Assumptions!$D$9)^INT((C1446-1)/12)</f>
        <v>1100</v>
      </c>
      <c r="G1446" s="10" t="n">
        <f aca="false">E1446*F1446</f>
        <v>0</v>
      </c>
      <c r="H1446" s="10" t="n">
        <f aca="false">IF(OR(Nonlabor!$L$8="Quote required",Nonlabor!$L$8="Unverified"),G1446,0)</f>
        <v>0</v>
      </c>
      <c r="I1446" s="10" t="n">
        <f aca="false">IF(Nonlabor!$E$8="Core",0,G1446)</f>
        <v>0</v>
      </c>
      <c r="J1446" s="23" t="str">
        <f aca="false">Nonlabor!$B$8</f>
        <v>INFRA</v>
      </c>
    </row>
    <row r="1447" customFormat="false" ht="15" hidden="false" customHeight="false" outlineLevel="0" collapsed="false">
      <c r="A1447" s="6" t="s">
        <v>4</v>
      </c>
      <c r="B1447" s="6" t="s">
        <v>376</v>
      </c>
      <c r="C1447" s="6" t="n">
        <v>2</v>
      </c>
      <c r="D1447" s="25" t="n">
        <f aca="false">EDATE('Start Here'!$B$6,C1447-1)</f>
        <v>46357</v>
      </c>
      <c r="E1447" s="23" t="n">
        <f aca="false">IF(AND(OR(Nonlabor!$D$8="Both",Nonlabor!$D$8='Start Here'!$B$9),IF(Nonlabor!$E$8="Core",1,IF(Nonlabor!$E$8="AI",'Start Here'!$B$7,'Start Here'!$B$8))=1,C1447&gt;=IF(Nonlabor!$E$8="Core",Nonlabor!$F$8,MAX(Nonlabor!$F$8,IF(Nonlabor!$E$8="AI",Assumptions!$D$24,Assumptions!$D$25))),C1447&lt;=Nonlabor!$G$8,OR(Nonlabor!$H$8="Monthly",AND(Nonlabor!$H$8="Once",C1447=IF(Nonlabor!$E$8="Core",Nonlabor!$F$8,MAX(Nonlabor!$F$8,IF(Nonlabor!$E$8="AI",Assumptions!$D$24,Assumptions!$D$25)))),AND(Nonlabor!$H$8="Annual",MOD(C1447-IF(Nonlabor!$E$8="Core",Nonlabor!$F$8,MAX(Nonlabor!$F$8,IF(Nonlabor!$E$8="AI",Assumptions!$D$24,Assumptions!$D$25))),12)=0))),IF(Nonlabor!$I$8="Fixed",1,IF(Nonlabor!$I$8="Seats",ROUNDUP('Monthly Base'!I7,0),IF(Nonlabor!$I$8="Customers",'Monthly Base'!D7,IF(Nonlabor!$I$8="NewCustomers",'Monthly Base'!C7,IF(Nonlabor!$I$8="StorageGB",'Monthly Base'!G7,IF(Nonlabor!$I$8="LogGB",'Monthly Base'!H7,IF(Nonlabor!$I$8="RequestsM",'Monthly Base'!F7,IF(Nonlabor!$I$8="InputM",'Monthly Base'!D7*Assumptions!$D$22/1000000,IF(Nonlabor!$I$8="OutputM",'Monthly Base'!D7*Assumptions!$D$23/1000000,0))))))))),0)</f>
        <v>0</v>
      </c>
      <c r="F1447" s="10" t="n">
        <f aca="false">Nonlabor!$J$8*(1+Assumptions!$D$9)^INT((C1447-1)/12)</f>
        <v>1100</v>
      </c>
      <c r="G1447" s="10" t="n">
        <f aca="false">E1447*F1447</f>
        <v>0</v>
      </c>
      <c r="H1447" s="10" t="n">
        <f aca="false">IF(OR(Nonlabor!$L$8="Quote required",Nonlabor!$L$8="Unverified"),G1447,0)</f>
        <v>0</v>
      </c>
      <c r="I1447" s="10" t="n">
        <f aca="false">IF(Nonlabor!$E$8="Core",0,G1447)</f>
        <v>0</v>
      </c>
      <c r="J1447" s="23" t="str">
        <f aca="false">Nonlabor!$B$8</f>
        <v>INFRA</v>
      </c>
    </row>
    <row r="1448" customFormat="false" ht="15" hidden="false" customHeight="false" outlineLevel="0" collapsed="false">
      <c r="A1448" s="6" t="s">
        <v>4</v>
      </c>
      <c r="B1448" s="6" t="s">
        <v>376</v>
      </c>
      <c r="C1448" s="6" t="n">
        <v>3</v>
      </c>
      <c r="D1448" s="25" t="n">
        <f aca="false">EDATE('Start Here'!$B$6,C1448-1)</f>
        <v>46388</v>
      </c>
      <c r="E1448" s="23" t="n">
        <f aca="false">IF(AND(OR(Nonlabor!$D$8="Both",Nonlabor!$D$8='Start Here'!$B$9),IF(Nonlabor!$E$8="Core",1,IF(Nonlabor!$E$8="AI",'Start Here'!$B$7,'Start Here'!$B$8))=1,C1448&gt;=IF(Nonlabor!$E$8="Core",Nonlabor!$F$8,MAX(Nonlabor!$F$8,IF(Nonlabor!$E$8="AI",Assumptions!$D$24,Assumptions!$D$25))),C1448&lt;=Nonlabor!$G$8,OR(Nonlabor!$H$8="Monthly",AND(Nonlabor!$H$8="Once",C1448=IF(Nonlabor!$E$8="Core",Nonlabor!$F$8,MAX(Nonlabor!$F$8,IF(Nonlabor!$E$8="AI",Assumptions!$D$24,Assumptions!$D$25)))),AND(Nonlabor!$H$8="Annual",MOD(C1448-IF(Nonlabor!$E$8="Core",Nonlabor!$F$8,MAX(Nonlabor!$F$8,IF(Nonlabor!$E$8="AI",Assumptions!$D$24,Assumptions!$D$25))),12)=0))),IF(Nonlabor!$I$8="Fixed",1,IF(Nonlabor!$I$8="Seats",ROUNDUP('Monthly Base'!I8,0),IF(Nonlabor!$I$8="Customers",'Monthly Base'!D8,IF(Nonlabor!$I$8="NewCustomers",'Monthly Base'!C8,IF(Nonlabor!$I$8="StorageGB",'Monthly Base'!G8,IF(Nonlabor!$I$8="LogGB",'Monthly Base'!H8,IF(Nonlabor!$I$8="RequestsM",'Monthly Base'!F8,IF(Nonlabor!$I$8="InputM",'Monthly Base'!D8*Assumptions!$D$22/1000000,IF(Nonlabor!$I$8="OutputM",'Monthly Base'!D8*Assumptions!$D$23/1000000,0))))))))),0)</f>
        <v>0</v>
      </c>
      <c r="F1448" s="10" t="n">
        <f aca="false">Nonlabor!$J$8*(1+Assumptions!$D$9)^INT((C1448-1)/12)</f>
        <v>1100</v>
      </c>
      <c r="G1448" s="10" t="n">
        <f aca="false">E1448*F1448</f>
        <v>0</v>
      </c>
      <c r="H1448" s="10" t="n">
        <f aca="false">IF(OR(Nonlabor!$L$8="Quote required",Nonlabor!$L$8="Unverified"),G1448,0)</f>
        <v>0</v>
      </c>
      <c r="I1448" s="10" t="n">
        <f aca="false">IF(Nonlabor!$E$8="Core",0,G1448)</f>
        <v>0</v>
      </c>
      <c r="J1448" s="23" t="str">
        <f aca="false">Nonlabor!$B$8</f>
        <v>INFRA</v>
      </c>
    </row>
    <row r="1449" customFormat="false" ht="15" hidden="false" customHeight="false" outlineLevel="0" collapsed="false">
      <c r="A1449" s="6" t="s">
        <v>4</v>
      </c>
      <c r="B1449" s="6" t="s">
        <v>376</v>
      </c>
      <c r="C1449" s="6" t="n">
        <v>4</v>
      </c>
      <c r="D1449" s="25" t="n">
        <f aca="false">EDATE('Start Here'!$B$6,C1449-1)</f>
        <v>46419</v>
      </c>
      <c r="E1449" s="23" t="n">
        <f aca="false">IF(AND(OR(Nonlabor!$D$8="Both",Nonlabor!$D$8='Start Here'!$B$9),IF(Nonlabor!$E$8="Core",1,IF(Nonlabor!$E$8="AI",'Start Here'!$B$7,'Start Here'!$B$8))=1,C1449&gt;=IF(Nonlabor!$E$8="Core",Nonlabor!$F$8,MAX(Nonlabor!$F$8,IF(Nonlabor!$E$8="AI",Assumptions!$D$24,Assumptions!$D$25))),C1449&lt;=Nonlabor!$G$8,OR(Nonlabor!$H$8="Monthly",AND(Nonlabor!$H$8="Once",C1449=IF(Nonlabor!$E$8="Core",Nonlabor!$F$8,MAX(Nonlabor!$F$8,IF(Nonlabor!$E$8="AI",Assumptions!$D$24,Assumptions!$D$25)))),AND(Nonlabor!$H$8="Annual",MOD(C1449-IF(Nonlabor!$E$8="Core",Nonlabor!$F$8,MAX(Nonlabor!$F$8,IF(Nonlabor!$E$8="AI",Assumptions!$D$24,Assumptions!$D$25))),12)=0))),IF(Nonlabor!$I$8="Fixed",1,IF(Nonlabor!$I$8="Seats",ROUNDUP('Monthly Base'!I9,0),IF(Nonlabor!$I$8="Customers",'Monthly Base'!D9,IF(Nonlabor!$I$8="NewCustomers",'Monthly Base'!C9,IF(Nonlabor!$I$8="StorageGB",'Monthly Base'!G9,IF(Nonlabor!$I$8="LogGB",'Monthly Base'!H9,IF(Nonlabor!$I$8="RequestsM",'Monthly Base'!F9,IF(Nonlabor!$I$8="InputM",'Monthly Base'!D9*Assumptions!$D$22/1000000,IF(Nonlabor!$I$8="OutputM",'Monthly Base'!D9*Assumptions!$D$23/1000000,0))))))))),0)</f>
        <v>0</v>
      </c>
      <c r="F1449" s="10" t="n">
        <f aca="false">Nonlabor!$J$8*(1+Assumptions!$D$9)^INT((C1449-1)/12)</f>
        <v>1100</v>
      </c>
      <c r="G1449" s="10" t="n">
        <f aca="false">E1449*F1449</f>
        <v>0</v>
      </c>
      <c r="H1449" s="10" t="n">
        <f aca="false">IF(OR(Nonlabor!$L$8="Quote required",Nonlabor!$L$8="Unverified"),G1449,0)</f>
        <v>0</v>
      </c>
      <c r="I1449" s="10" t="n">
        <f aca="false">IF(Nonlabor!$E$8="Core",0,G1449)</f>
        <v>0</v>
      </c>
      <c r="J1449" s="23" t="str">
        <f aca="false">Nonlabor!$B$8</f>
        <v>INFRA</v>
      </c>
    </row>
    <row r="1450" customFormat="false" ht="15" hidden="false" customHeight="false" outlineLevel="0" collapsed="false">
      <c r="A1450" s="6" t="s">
        <v>4</v>
      </c>
      <c r="B1450" s="6" t="s">
        <v>376</v>
      </c>
      <c r="C1450" s="6" t="n">
        <v>5</v>
      </c>
      <c r="D1450" s="25" t="n">
        <f aca="false">EDATE('Start Here'!$B$6,C1450-1)</f>
        <v>46447</v>
      </c>
      <c r="E1450" s="23" t="n">
        <f aca="false">IF(AND(OR(Nonlabor!$D$8="Both",Nonlabor!$D$8='Start Here'!$B$9),IF(Nonlabor!$E$8="Core",1,IF(Nonlabor!$E$8="AI",'Start Here'!$B$7,'Start Here'!$B$8))=1,C1450&gt;=IF(Nonlabor!$E$8="Core",Nonlabor!$F$8,MAX(Nonlabor!$F$8,IF(Nonlabor!$E$8="AI",Assumptions!$D$24,Assumptions!$D$25))),C1450&lt;=Nonlabor!$G$8,OR(Nonlabor!$H$8="Monthly",AND(Nonlabor!$H$8="Once",C1450=IF(Nonlabor!$E$8="Core",Nonlabor!$F$8,MAX(Nonlabor!$F$8,IF(Nonlabor!$E$8="AI",Assumptions!$D$24,Assumptions!$D$25)))),AND(Nonlabor!$H$8="Annual",MOD(C1450-IF(Nonlabor!$E$8="Core",Nonlabor!$F$8,MAX(Nonlabor!$F$8,IF(Nonlabor!$E$8="AI",Assumptions!$D$24,Assumptions!$D$25))),12)=0))),IF(Nonlabor!$I$8="Fixed",1,IF(Nonlabor!$I$8="Seats",ROUNDUP('Monthly Base'!I10,0),IF(Nonlabor!$I$8="Customers",'Monthly Base'!D10,IF(Nonlabor!$I$8="NewCustomers",'Monthly Base'!C10,IF(Nonlabor!$I$8="StorageGB",'Monthly Base'!G10,IF(Nonlabor!$I$8="LogGB",'Monthly Base'!H10,IF(Nonlabor!$I$8="RequestsM",'Monthly Base'!F10,IF(Nonlabor!$I$8="InputM",'Monthly Base'!D10*Assumptions!$D$22/1000000,IF(Nonlabor!$I$8="OutputM",'Monthly Base'!D10*Assumptions!$D$23/1000000,0))))))))),0)</f>
        <v>0</v>
      </c>
      <c r="F1450" s="10" t="n">
        <f aca="false">Nonlabor!$J$8*(1+Assumptions!$D$9)^INT((C1450-1)/12)</f>
        <v>1100</v>
      </c>
      <c r="G1450" s="10" t="n">
        <f aca="false">E1450*F1450</f>
        <v>0</v>
      </c>
      <c r="H1450" s="10" t="n">
        <f aca="false">IF(OR(Nonlabor!$L$8="Quote required",Nonlabor!$L$8="Unverified"),G1450,0)</f>
        <v>0</v>
      </c>
      <c r="I1450" s="10" t="n">
        <f aca="false">IF(Nonlabor!$E$8="Core",0,G1450)</f>
        <v>0</v>
      </c>
      <c r="J1450" s="23" t="str">
        <f aca="false">Nonlabor!$B$8</f>
        <v>INFRA</v>
      </c>
    </row>
    <row r="1451" customFormat="false" ht="15" hidden="false" customHeight="false" outlineLevel="0" collapsed="false">
      <c r="A1451" s="6" t="s">
        <v>4</v>
      </c>
      <c r="B1451" s="6" t="s">
        <v>376</v>
      </c>
      <c r="C1451" s="6" t="n">
        <v>6</v>
      </c>
      <c r="D1451" s="25" t="n">
        <f aca="false">EDATE('Start Here'!$B$6,C1451-1)</f>
        <v>46478</v>
      </c>
      <c r="E1451" s="23" t="n">
        <f aca="false">IF(AND(OR(Nonlabor!$D$8="Both",Nonlabor!$D$8='Start Here'!$B$9),IF(Nonlabor!$E$8="Core",1,IF(Nonlabor!$E$8="AI",'Start Here'!$B$7,'Start Here'!$B$8))=1,C1451&gt;=IF(Nonlabor!$E$8="Core",Nonlabor!$F$8,MAX(Nonlabor!$F$8,IF(Nonlabor!$E$8="AI",Assumptions!$D$24,Assumptions!$D$25))),C1451&lt;=Nonlabor!$G$8,OR(Nonlabor!$H$8="Monthly",AND(Nonlabor!$H$8="Once",C1451=IF(Nonlabor!$E$8="Core",Nonlabor!$F$8,MAX(Nonlabor!$F$8,IF(Nonlabor!$E$8="AI",Assumptions!$D$24,Assumptions!$D$25)))),AND(Nonlabor!$H$8="Annual",MOD(C1451-IF(Nonlabor!$E$8="Core",Nonlabor!$F$8,MAX(Nonlabor!$F$8,IF(Nonlabor!$E$8="AI",Assumptions!$D$24,Assumptions!$D$25))),12)=0))),IF(Nonlabor!$I$8="Fixed",1,IF(Nonlabor!$I$8="Seats",ROUNDUP('Monthly Base'!I11,0),IF(Nonlabor!$I$8="Customers",'Monthly Base'!D11,IF(Nonlabor!$I$8="NewCustomers",'Monthly Base'!C11,IF(Nonlabor!$I$8="StorageGB",'Monthly Base'!G11,IF(Nonlabor!$I$8="LogGB",'Monthly Base'!H11,IF(Nonlabor!$I$8="RequestsM",'Monthly Base'!F11,IF(Nonlabor!$I$8="InputM",'Monthly Base'!D11*Assumptions!$D$22/1000000,IF(Nonlabor!$I$8="OutputM",'Monthly Base'!D11*Assumptions!$D$23/1000000,0))))))))),0)</f>
        <v>0</v>
      </c>
      <c r="F1451" s="10" t="n">
        <f aca="false">Nonlabor!$J$8*(1+Assumptions!$D$9)^INT((C1451-1)/12)</f>
        <v>1100</v>
      </c>
      <c r="G1451" s="10" t="n">
        <f aca="false">E1451*F1451</f>
        <v>0</v>
      </c>
      <c r="H1451" s="10" t="n">
        <f aca="false">IF(OR(Nonlabor!$L$8="Quote required",Nonlabor!$L$8="Unverified"),G1451,0)</f>
        <v>0</v>
      </c>
      <c r="I1451" s="10" t="n">
        <f aca="false">IF(Nonlabor!$E$8="Core",0,G1451)</f>
        <v>0</v>
      </c>
      <c r="J1451" s="23" t="str">
        <f aca="false">Nonlabor!$B$8</f>
        <v>INFRA</v>
      </c>
    </row>
    <row r="1452" customFormat="false" ht="15" hidden="false" customHeight="false" outlineLevel="0" collapsed="false">
      <c r="A1452" s="6" t="s">
        <v>4</v>
      </c>
      <c r="B1452" s="6" t="s">
        <v>376</v>
      </c>
      <c r="C1452" s="6" t="n">
        <v>7</v>
      </c>
      <c r="D1452" s="25" t="n">
        <f aca="false">EDATE('Start Here'!$B$6,C1452-1)</f>
        <v>46508</v>
      </c>
      <c r="E1452" s="23" t="n">
        <f aca="false">IF(AND(OR(Nonlabor!$D$8="Both",Nonlabor!$D$8='Start Here'!$B$9),IF(Nonlabor!$E$8="Core",1,IF(Nonlabor!$E$8="AI",'Start Here'!$B$7,'Start Here'!$B$8))=1,C1452&gt;=IF(Nonlabor!$E$8="Core",Nonlabor!$F$8,MAX(Nonlabor!$F$8,IF(Nonlabor!$E$8="AI",Assumptions!$D$24,Assumptions!$D$25))),C1452&lt;=Nonlabor!$G$8,OR(Nonlabor!$H$8="Monthly",AND(Nonlabor!$H$8="Once",C1452=IF(Nonlabor!$E$8="Core",Nonlabor!$F$8,MAX(Nonlabor!$F$8,IF(Nonlabor!$E$8="AI",Assumptions!$D$24,Assumptions!$D$25)))),AND(Nonlabor!$H$8="Annual",MOD(C1452-IF(Nonlabor!$E$8="Core",Nonlabor!$F$8,MAX(Nonlabor!$F$8,IF(Nonlabor!$E$8="AI",Assumptions!$D$24,Assumptions!$D$25))),12)=0))),IF(Nonlabor!$I$8="Fixed",1,IF(Nonlabor!$I$8="Seats",ROUNDUP('Monthly Base'!I12,0),IF(Nonlabor!$I$8="Customers",'Monthly Base'!D12,IF(Nonlabor!$I$8="NewCustomers",'Monthly Base'!C12,IF(Nonlabor!$I$8="StorageGB",'Monthly Base'!G12,IF(Nonlabor!$I$8="LogGB",'Monthly Base'!H12,IF(Nonlabor!$I$8="RequestsM",'Monthly Base'!F12,IF(Nonlabor!$I$8="InputM",'Monthly Base'!D12*Assumptions!$D$22/1000000,IF(Nonlabor!$I$8="OutputM",'Monthly Base'!D12*Assumptions!$D$23/1000000,0))))))))),0)</f>
        <v>0</v>
      </c>
      <c r="F1452" s="10" t="n">
        <f aca="false">Nonlabor!$J$8*(1+Assumptions!$D$9)^INT((C1452-1)/12)</f>
        <v>1100</v>
      </c>
      <c r="G1452" s="10" t="n">
        <f aca="false">E1452*F1452</f>
        <v>0</v>
      </c>
      <c r="H1452" s="10" t="n">
        <f aca="false">IF(OR(Nonlabor!$L$8="Quote required",Nonlabor!$L$8="Unverified"),G1452,0)</f>
        <v>0</v>
      </c>
      <c r="I1452" s="10" t="n">
        <f aca="false">IF(Nonlabor!$E$8="Core",0,G1452)</f>
        <v>0</v>
      </c>
      <c r="J1452" s="23" t="str">
        <f aca="false">Nonlabor!$B$8</f>
        <v>INFRA</v>
      </c>
    </row>
    <row r="1453" customFormat="false" ht="15" hidden="false" customHeight="false" outlineLevel="0" collapsed="false">
      <c r="A1453" s="6" t="s">
        <v>4</v>
      </c>
      <c r="B1453" s="6" t="s">
        <v>376</v>
      </c>
      <c r="C1453" s="6" t="n">
        <v>8</v>
      </c>
      <c r="D1453" s="25" t="n">
        <f aca="false">EDATE('Start Here'!$B$6,C1453-1)</f>
        <v>46539</v>
      </c>
      <c r="E1453" s="23" t="n">
        <f aca="false">IF(AND(OR(Nonlabor!$D$8="Both",Nonlabor!$D$8='Start Here'!$B$9),IF(Nonlabor!$E$8="Core",1,IF(Nonlabor!$E$8="AI",'Start Here'!$B$7,'Start Here'!$B$8))=1,C1453&gt;=IF(Nonlabor!$E$8="Core",Nonlabor!$F$8,MAX(Nonlabor!$F$8,IF(Nonlabor!$E$8="AI",Assumptions!$D$24,Assumptions!$D$25))),C1453&lt;=Nonlabor!$G$8,OR(Nonlabor!$H$8="Monthly",AND(Nonlabor!$H$8="Once",C1453=IF(Nonlabor!$E$8="Core",Nonlabor!$F$8,MAX(Nonlabor!$F$8,IF(Nonlabor!$E$8="AI",Assumptions!$D$24,Assumptions!$D$25)))),AND(Nonlabor!$H$8="Annual",MOD(C1453-IF(Nonlabor!$E$8="Core",Nonlabor!$F$8,MAX(Nonlabor!$F$8,IF(Nonlabor!$E$8="AI",Assumptions!$D$24,Assumptions!$D$25))),12)=0))),IF(Nonlabor!$I$8="Fixed",1,IF(Nonlabor!$I$8="Seats",ROUNDUP('Monthly Base'!I13,0),IF(Nonlabor!$I$8="Customers",'Monthly Base'!D13,IF(Nonlabor!$I$8="NewCustomers",'Monthly Base'!C13,IF(Nonlabor!$I$8="StorageGB",'Monthly Base'!G13,IF(Nonlabor!$I$8="LogGB",'Monthly Base'!H13,IF(Nonlabor!$I$8="RequestsM",'Monthly Base'!F13,IF(Nonlabor!$I$8="InputM",'Monthly Base'!D13*Assumptions!$D$22/1000000,IF(Nonlabor!$I$8="OutputM",'Monthly Base'!D13*Assumptions!$D$23/1000000,0))))))))),0)</f>
        <v>0</v>
      </c>
      <c r="F1453" s="10" t="n">
        <f aca="false">Nonlabor!$J$8*(1+Assumptions!$D$9)^INT((C1453-1)/12)</f>
        <v>1100</v>
      </c>
      <c r="G1453" s="10" t="n">
        <f aca="false">E1453*F1453</f>
        <v>0</v>
      </c>
      <c r="H1453" s="10" t="n">
        <f aca="false">IF(OR(Nonlabor!$L$8="Quote required",Nonlabor!$L$8="Unverified"),G1453,0)</f>
        <v>0</v>
      </c>
      <c r="I1453" s="10" t="n">
        <f aca="false">IF(Nonlabor!$E$8="Core",0,G1453)</f>
        <v>0</v>
      </c>
      <c r="J1453" s="23" t="str">
        <f aca="false">Nonlabor!$B$8</f>
        <v>INFRA</v>
      </c>
    </row>
    <row r="1454" customFormat="false" ht="15" hidden="false" customHeight="false" outlineLevel="0" collapsed="false">
      <c r="A1454" s="6" t="s">
        <v>4</v>
      </c>
      <c r="B1454" s="6" t="s">
        <v>376</v>
      </c>
      <c r="C1454" s="6" t="n">
        <v>9</v>
      </c>
      <c r="D1454" s="25" t="n">
        <f aca="false">EDATE('Start Here'!$B$6,C1454-1)</f>
        <v>46569</v>
      </c>
      <c r="E1454" s="23" t="n">
        <f aca="false">IF(AND(OR(Nonlabor!$D$8="Both",Nonlabor!$D$8='Start Here'!$B$9),IF(Nonlabor!$E$8="Core",1,IF(Nonlabor!$E$8="AI",'Start Here'!$B$7,'Start Here'!$B$8))=1,C1454&gt;=IF(Nonlabor!$E$8="Core",Nonlabor!$F$8,MAX(Nonlabor!$F$8,IF(Nonlabor!$E$8="AI",Assumptions!$D$24,Assumptions!$D$25))),C1454&lt;=Nonlabor!$G$8,OR(Nonlabor!$H$8="Monthly",AND(Nonlabor!$H$8="Once",C1454=IF(Nonlabor!$E$8="Core",Nonlabor!$F$8,MAX(Nonlabor!$F$8,IF(Nonlabor!$E$8="AI",Assumptions!$D$24,Assumptions!$D$25)))),AND(Nonlabor!$H$8="Annual",MOD(C1454-IF(Nonlabor!$E$8="Core",Nonlabor!$F$8,MAX(Nonlabor!$F$8,IF(Nonlabor!$E$8="AI",Assumptions!$D$24,Assumptions!$D$25))),12)=0))),IF(Nonlabor!$I$8="Fixed",1,IF(Nonlabor!$I$8="Seats",ROUNDUP('Monthly Base'!I14,0),IF(Nonlabor!$I$8="Customers",'Monthly Base'!D14,IF(Nonlabor!$I$8="NewCustomers",'Monthly Base'!C14,IF(Nonlabor!$I$8="StorageGB",'Monthly Base'!G14,IF(Nonlabor!$I$8="LogGB",'Monthly Base'!H14,IF(Nonlabor!$I$8="RequestsM",'Monthly Base'!F14,IF(Nonlabor!$I$8="InputM",'Monthly Base'!D14*Assumptions!$D$22/1000000,IF(Nonlabor!$I$8="OutputM",'Monthly Base'!D14*Assumptions!$D$23/1000000,0))))))))),0)</f>
        <v>0</v>
      </c>
      <c r="F1454" s="10" t="n">
        <f aca="false">Nonlabor!$J$8*(1+Assumptions!$D$9)^INT((C1454-1)/12)</f>
        <v>1100</v>
      </c>
      <c r="G1454" s="10" t="n">
        <f aca="false">E1454*F1454</f>
        <v>0</v>
      </c>
      <c r="H1454" s="10" t="n">
        <f aca="false">IF(OR(Nonlabor!$L$8="Quote required",Nonlabor!$L$8="Unverified"),G1454,0)</f>
        <v>0</v>
      </c>
      <c r="I1454" s="10" t="n">
        <f aca="false">IF(Nonlabor!$E$8="Core",0,G1454)</f>
        <v>0</v>
      </c>
      <c r="J1454" s="23" t="str">
        <f aca="false">Nonlabor!$B$8</f>
        <v>INFRA</v>
      </c>
    </row>
    <row r="1455" customFormat="false" ht="15" hidden="false" customHeight="false" outlineLevel="0" collapsed="false">
      <c r="A1455" s="6" t="s">
        <v>4</v>
      </c>
      <c r="B1455" s="6" t="s">
        <v>376</v>
      </c>
      <c r="C1455" s="6" t="n">
        <v>10</v>
      </c>
      <c r="D1455" s="25" t="n">
        <f aca="false">EDATE('Start Here'!$B$6,C1455-1)</f>
        <v>46600</v>
      </c>
      <c r="E1455" s="23" t="n">
        <f aca="false">IF(AND(OR(Nonlabor!$D$8="Both",Nonlabor!$D$8='Start Here'!$B$9),IF(Nonlabor!$E$8="Core",1,IF(Nonlabor!$E$8="AI",'Start Here'!$B$7,'Start Here'!$B$8))=1,C1455&gt;=IF(Nonlabor!$E$8="Core",Nonlabor!$F$8,MAX(Nonlabor!$F$8,IF(Nonlabor!$E$8="AI",Assumptions!$D$24,Assumptions!$D$25))),C1455&lt;=Nonlabor!$G$8,OR(Nonlabor!$H$8="Monthly",AND(Nonlabor!$H$8="Once",C1455=IF(Nonlabor!$E$8="Core",Nonlabor!$F$8,MAX(Nonlabor!$F$8,IF(Nonlabor!$E$8="AI",Assumptions!$D$24,Assumptions!$D$25)))),AND(Nonlabor!$H$8="Annual",MOD(C1455-IF(Nonlabor!$E$8="Core",Nonlabor!$F$8,MAX(Nonlabor!$F$8,IF(Nonlabor!$E$8="AI",Assumptions!$D$24,Assumptions!$D$25))),12)=0))),IF(Nonlabor!$I$8="Fixed",1,IF(Nonlabor!$I$8="Seats",ROUNDUP('Monthly Base'!I15,0),IF(Nonlabor!$I$8="Customers",'Monthly Base'!D15,IF(Nonlabor!$I$8="NewCustomers",'Monthly Base'!C15,IF(Nonlabor!$I$8="StorageGB",'Monthly Base'!G15,IF(Nonlabor!$I$8="LogGB",'Monthly Base'!H15,IF(Nonlabor!$I$8="RequestsM",'Monthly Base'!F15,IF(Nonlabor!$I$8="InputM",'Monthly Base'!D15*Assumptions!$D$22/1000000,IF(Nonlabor!$I$8="OutputM",'Monthly Base'!D15*Assumptions!$D$23/1000000,0))))))))),0)</f>
        <v>0</v>
      </c>
      <c r="F1455" s="10" t="n">
        <f aca="false">Nonlabor!$J$8*(1+Assumptions!$D$9)^INT((C1455-1)/12)</f>
        <v>1100</v>
      </c>
      <c r="G1455" s="10" t="n">
        <f aca="false">E1455*F1455</f>
        <v>0</v>
      </c>
      <c r="H1455" s="10" t="n">
        <f aca="false">IF(OR(Nonlabor!$L$8="Quote required",Nonlabor!$L$8="Unverified"),G1455,0)</f>
        <v>0</v>
      </c>
      <c r="I1455" s="10" t="n">
        <f aca="false">IF(Nonlabor!$E$8="Core",0,G1455)</f>
        <v>0</v>
      </c>
      <c r="J1455" s="23" t="str">
        <f aca="false">Nonlabor!$B$8</f>
        <v>INFRA</v>
      </c>
    </row>
    <row r="1456" customFormat="false" ht="15" hidden="false" customHeight="false" outlineLevel="0" collapsed="false">
      <c r="A1456" s="6" t="s">
        <v>4</v>
      </c>
      <c r="B1456" s="6" t="s">
        <v>376</v>
      </c>
      <c r="C1456" s="6" t="n">
        <v>11</v>
      </c>
      <c r="D1456" s="25" t="n">
        <f aca="false">EDATE('Start Here'!$B$6,C1456-1)</f>
        <v>46631</v>
      </c>
      <c r="E1456" s="23" t="n">
        <f aca="false">IF(AND(OR(Nonlabor!$D$8="Both",Nonlabor!$D$8='Start Here'!$B$9),IF(Nonlabor!$E$8="Core",1,IF(Nonlabor!$E$8="AI",'Start Here'!$B$7,'Start Here'!$B$8))=1,C1456&gt;=IF(Nonlabor!$E$8="Core",Nonlabor!$F$8,MAX(Nonlabor!$F$8,IF(Nonlabor!$E$8="AI",Assumptions!$D$24,Assumptions!$D$25))),C1456&lt;=Nonlabor!$G$8,OR(Nonlabor!$H$8="Monthly",AND(Nonlabor!$H$8="Once",C1456=IF(Nonlabor!$E$8="Core",Nonlabor!$F$8,MAX(Nonlabor!$F$8,IF(Nonlabor!$E$8="AI",Assumptions!$D$24,Assumptions!$D$25)))),AND(Nonlabor!$H$8="Annual",MOD(C1456-IF(Nonlabor!$E$8="Core",Nonlabor!$F$8,MAX(Nonlabor!$F$8,IF(Nonlabor!$E$8="AI",Assumptions!$D$24,Assumptions!$D$25))),12)=0))),IF(Nonlabor!$I$8="Fixed",1,IF(Nonlabor!$I$8="Seats",ROUNDUP('Monthly Base'!I16,0),IF(Nonlabor!$I$8="Customers",'Monthly Base'!D16,IF(Nonlabor!$I$8="NewCustomers",'Monthly Base'!C16,IF(Nonlabor!$I$8="StorageGB",'Monthly Base'!G16,IF(Nonlabor!$I$8="LogGB",'Monthly Base'!H16,IF(Nonlabor!$I$8="RequestsM",'Monthly Base'!F16,IF(Nonlabor!$I$8="InputM",'Monthly Base'!D16*Assumptions!$D$22/1000000,IF(Nonlabor!$I$8="OutputM",'Monthly Base'!D16*Assumptions!$D$23/1000000,0))))))))),0)</f>
        <v>0</v>
      </c>
      <c r="F1456" s="10" t="n">
        <f aca="false">Nonlabor!$J$8*(1+Assumptions!$D$9)^INT((C1456-1)/12)</f>
        <v>1100</v>
      </c>
      <c r="G1456" s="10" t="n">
        <f aca="false">E1456*F1456</f>
        <v>0</v>
      </c>
      <c r="H1456" s="10" t="n">
        <f aca="false">IF(OR(Nonlabor!$L$8="Quote required",Nonlabor!$L$8="Unverified"),G1456,0)</f>
        <v>0</v>
      </c>
      <c r="I1456" s="10" t="n">
        <f aca="false">IF(Nonlabor!$E$8="Core",0,G1456)</f>
        <v>0</v>
      </c>
      <c r="J1456" s="23" t="str">
        <f aca="false">Nonlabor!$B$8</f>
        <v>INFRA</v>
      </c>
    </row>
    <row r="1457" customFormat="false" ht="15" hidden="false" customHeight="false" outlineLevel="0" collapsed="false">
      <c r="A1457" s="6" t="s">
        <v>4</v>
      </c>
      <c r="B1457" s="6" t="s">
        <v>376</v>
      </c>
      <c r="C1457" s="6" t="n">
        <v>12</v>
      </c>
      <c r="D1457" s="25" t="n">
        <f aca="false">EDATE('Start Here'!$B$6,C1457-1)</f>
        <v>46661</v>
      </c>
      <c r="E1457" s="23" t="n">
        <f aca="false">IF(AND(OR(Nonlabor!$D$8="Both",Nonlabor!$D$8='Start Here'!$B$9),IF(Nonlabor!$E$8="Core",1,IF(Nonlabor!$E$8="AI",'Start Here'!$B$7,'Start Here'!$B$8))=1,C1457&gt;=IF(Nonlabor!$E$8="Core",Nonlabor!$F$8,MAX(Nonlabor!$F$8,IF(Nonlabor!$E$8="AI",Assumptions!$D$24,Assumptions!$D$25))),C1457&lt;=Nonlabor!$G$8,OR(Nonlabor!$H$8="Monthly",AND(Nonlabor!$H$8="Once",C1457=IF(Nonlabor!$E$8="Core",Nonlabor!$F$8,MAX(Nonlabor!$F$8,IF(Nonlabor!$E$8="AI",Assumptions!$D$24,Assumptions!$D$25)))),AND(Nonlabor!$H$8="Annual",MOD(C1457-IF(Nonlabor!$E$8="Core",Nonlabor!$F$8,MAX(Nonlabor!$F$8,IF(Nonlabor!$E$8="AI",Assumptions!$D$24,Assumptions!$D$25))),12)=0))),IF(Nonlabor!$I$8="Fixed",1,IF(Nonlabor!$I$8="Seats",ROUNDUP('Monthly Base'!I17,0),IF(Nonlabor!$I$8="Customers",'Monthly Base'!D17,IF(Nonlabor!$I$8="NewCustomers",'Monthly Base'!C17,IF(Nonlabor!$I$8="StorageGB",'Monthly Base'!G17,IF(Nonlabor!$I$8="LogGB",'Monthly Base'!H17,IF(Nonlabor!$I$8="RequestsM",'Monthly Base'!F17,IF(Nonlabor!$I$8="InputM",'Monthly Base'!D17*Assumptions!$D$22/1000000,IF(Nonlabor!$I$8="OutputM",'Monthly Base'!D17*Assumptions!$D$23/1000000,0))))))))),0)</f>
        <v>0</v>
      </c>
      <c r="F1457" s="10" t="n">
        <f aca="false">Nonlabor!$J$8*(1+Assumptions!$D$9)^INT((C1457-1)/12)</f>
        <v>1100</v>
      </c>
      <c r="G1457" s="10" t="n">
        <f aca="false">E1457*F1457</f>
        <v>0</v>
      </c>
      <c r="H1457" s="10" t="n">
        <f aca="false">IF(OR(Nonlabor!$L$8="Quote required",Nonlabor!$L$8="Unverified"),G1457,0)</f>
        <v>0</v>
      </c>
      <c r="I1457" s="10" t="n">
        <f aca="false">IF(Nonlabor!$E$8="Core",0,G1457)</f>
        <v>0</v>
      </c>
      <c r="J1457" s="23" t="str">
        <f aca="false">Nonlabor!$B$8</f>
        <v>INFRA</v>
      </c>
    </row>
    <row r="1458" customFormat="false" ht="15" hidden="false" customHeight="false" outlineLevel="0" collapsed="false">
      <c r="A1458" s="6" t="s">
        <v>4</v>
      </c>
      <c r="B1458" s="6" t="s">
        <v>376</v>
      </c>
      <c r="C1458" s="6" t="n">
        <v>13</v>
      </c>
      <c r="D1458" s="25" t="n">
        <f aca="false">EDATE('Start Here'!$B$6,C1458-1)</f>
        <v>46692</v>
      </c>
      <c r="E1458" s="23" t="n">
        <f aca="false">IF(AND(OR(Nonlabor!$D$8="Both",Nonlabor!$D$8='Start Here'!$B$9),IF(Nonlabor!$E$8="Core",1,IF(Nonlabor!$E$8="AI",'Start Here'!$B$7,'Start Here'!$B$8))=1,C1458&gt;=IF(Nonlabor!$E$8="Core",Nonlabor!$F$8,MAX(Nonlabor!$F$8,IF(Nonlabor!$E$8="AI",Assumptions!$D$24,Assumptions!$D$25))),C1458&lt;=Nonlabor!$G$8,OR(Nonlabor!$H$8="Monthly",AND(Nonlabor!$H$8="Once",C1458=IF(Nonlabor!$E$8="Core",Nonlabor!$F$8,MAX(Nonlabor!$F$8,IF(Nonlabor!$E$8="AI",Assumptions!$D$24,Assumptions!$D$25)))),AND(Nonlabor!$H$8="Annual",MOD(C1458-IF(Nonlabor!$E$8="Core",Nonlabor!$F$8,MAX(Nonlabor!$F$8,IF(Nonlabor!$E$8="AI",Assumptions!$D$24,Assumptions!$D$25))),12)=0))),IF(Nonlabor!$I$8="Fixed",1,IF(Nonlabor!$I$8="Seats",ROUNDUP('Monthly Base'!I18,0),IF(Nonlabor!$I$8="Customers",'Monthly Base'!D18,IF(Nonlabor!$I$8="NewCustomers",'Monthly Base'!C18,IF(Nonlabor!$I$8="StorageGB",'Monthly Base'!G18,IF(Nonlabor!$I$8="LogGB",'Monthly Base'!H18,IF(Nonlabor!$I$8="RequestsM",'Monthly Base'!F18,IF(Nonlabor!$I$8="InputM",'Monthly Base'!D18*Assumptions!$D$22/1000000,IF(Nonlabor!$I$8="OutputM",'Monthly Base'!D18*Assumptions!$D$23/1000000,0))))))))),0)</f>
        <v>0</v>
      </c>
      <c r="F1458" s="10" t="n">
        <f aca="false">Nonlabor!$J$8*(1+Assumptions!$D$9)^INT((C1458-1)/12)</f>
        <v>1133</v>
      </c>
      <c r="G1458" s="10" t="n">
        <f aca="false">E1458*F1458</f>
        <v>0</v>
      </c>
      <c r="H1458" s="10" t="n">
        <f aca="false">IF(OR(Nonlabor!$L$8="Quote required",Nonlabor!$L$8="Unverified"),G1458,0)</f>
        <v>0</v>
      </c>
      <c r="I1458" s="10" t="n">
        <f aca="false">IF(Nonlabor!$E$8="Core",0,G1458)</f>
        <v>0</v>
      </c>
      <c r="J1458" s="23" t="str">
        <f aca="false">Nonlabor!$B$8</f>
        <v>INFRA</v>
      </c>
    </row>
    <row r="1459" customFormat="false" ht="15" hidden="false" customHeight="false" outlineLevel="0" collapsed="false">
      <c r="A1459" s="6" t="s">
        <v>4</v>
      </c>
      <c r="B1459" s="6" t="s">
        <v>376</v>
      </c>
      <c r="C1459" s="6" t="n">
        <v>14</v>
      </c>
      <c r="D1459" s="25" t="n">
        <f aca="false">EDATE('Start Here'!$B$6,C1459-1)</f>
        <v>46722</v>
      </c>
      <c r="E1459" s="23" t="n">
        <f aca="false">IF(AND(OR(Nonlabor!$D$8="Both",Nonlabor!$D$8='Start Here'!$B$9),IF(Nonlabor!$E$8="Core",1,IF(Nonlabor!$E$8="AI",'Start Here'!$B$7,'Start Here'!$B$8))=1,C1459&gt;=IF(Nonlabor!$E$8="Core",Nonlabor!$F$8,MAX(Nonlabor!$F$8,IF(Nonlabor!$E$8="AI",Assumptions!$D$24,Assumptions!$D$25))),C1459&lt;=Nonlabor!$G$8,OR(Nonlabor!$H$8="Monthly",AND(Nonlabor!$H$8="Once",C1459=IF(Nonlabor!$E$8="Core",Nonlabor!$F$8,MAX(Nonlabor!$F$8,IF(Nonlabor!$E$8="AI",Assumptions!$D$24,Assumptions!$D$25)))),AND(Nonlabor!$H$8="Annual",MOD(C1459-IF(Nonlabor!$E$8="Core",Nonlabor!$F$8,MAX(Nonlabor!$F$8,IF(Nonlabor!$E$8="AI",Assumptions!$D$24,Assumptions!$D$25))),12)=0))),IF(Nonlabor!$I$8="Fixed",1,IF(Nonlabor!$I$8="Seats",ROUNDUP('Monthly Base'!I19,0),IF(Nonlabor!$I$8="Customers",'Monthly Base'!D19,IF(Nonlabor!$I$8="NewCustomers",'Monthly Base'!C19,IF(Nonlabor!$I$8="StorageGB",'Monthly Base'!G19,IF(Nonlabor!$I$8="LogGB",'Monthly Base'!H19,IF(Nonlabor!$I$8="RequestsM",'Monthly Base'!F19,IF(Nonlabor!$I$8="InputM",'Monthly Base'!D19*Assumptions!$D$22/1000000,IF(Nonlabor!$I$8="OutputM",'Monthly Base'!D19*Assumptions!$D$23/1000000,0))))))))),0)</f>
        <v>0</v>
      </c>
      <c r="F1459" s="10" t="n">
        <f aca="false">Nonlabor!$J$8*(1+Assumptions!$D$9)^INT((C1459-1)/12)</f>
        <v>1133</v>
      </c>
      <c r="G1459" s="10" t="n">
        <f aca="false">E1459*F1459</f>
        <v>0</v>
      </c>
      <c r="H1459" s="10" t="n">
        <f aca="false">IF(OR(Nonlabor!$L$8="Quote required",Nonlabor!$L$8="Unverified"),G1459,0)</f>
        <v>0</v>
      </c>
      <c r="I1459" s="10" t="n">
        <f aca="false">IF(Nonlabor!$E$8="Core",0,G1459)</f>
        <v>0</v>
      </c>
      <c r="J1459" s="23" t="str">
        <f aca="false">Nonlabor!$B$8</f>
        <v>INFRA</v>
      </c>
    </row>
    <row r="1460" customFormat="false" ht="15" hidden="false" customHeight="false" outlineLevel="0" collapsed="false">
      <c r="A1460" s="6" t="s">
        <v>4</v>
      </c>
      <c r="B1460" s="6" t="s">
        <v>376</v>
      </c>
      <c r="C1460" s="6" t="n">
        <v>15</v>
      </c>
      <c r="D1460" s="25" t="n">
        <f aca="false">EDATE('Start Here'!$B$6,C1460-1)</f>
        <v>46753</v>
      </c>
      <c r="E1460" s="23" t="n">
        <f aca="false">IF(AND(OR(Nonlabor!$D$8="Both",Nonlabor!$D$8='Start Here'!$B$9),IF(Nonlabor!$E$8="Core",1,IF(Nonlabor!$E$8="AI",'Start Here'!$B$7,'Start Here'!$B$8))=1,C1460&gt;=IF(Nonlabor!$E$8="Core",Nonlabor!$F$8,MAX(Nonlabor!$F$8,IF(Nonlabor!$E$8="AI",Assumptions!$D$24,Assumptions!$D$25))),C1460&lt;=Nonlabor!$G$8,OR(Nonlabor!$H$8="Monthly",AND(Nonlabor!$H$8="Once",C1460=IF(Nonlabor!$E$8="Core",Nonlabor!$F$8,MAX(Nonlabor!$F$8,IF(Nonlabor!$E$8="AI",Assumptions!$D$24,Assumptions!$D$25)))),AND(Nonlabor!$H$8="Annual",MOD(C1460-IF(Nonlabor!$E$8="Core",Nonlabor!$F$8,MAX(Nonlabor!$F$8,IF(Nonlabor!$E$8="AI",Assumptions!$D$24,Assumptions!$D$25))),12)=0))),IF(Nonlabor!$I$8="Fixed",1,IF(Nonlabor!$I$8="Seats",ROUNDUP('Monthly Base'!I20,0),IF(Nonlabor!$I$8="Customers",'Monthly Base'!D20,IF(Nonlabor!$I$8="NewCustomers",'Monthly Base'!C20,IF(Nonlabor!$I$8="StorageGB",'Monthly Base'!G20,IF(Nonlabor!$I$8="LogGB",'Monthly Base'!H20,IF(Nonlabor!$I$8="RequestsM",'Monthly Base'!F20,IF(Nonlabor!$I$8="InputM",'Monthly Base'!D20*Assumptions!$D$22/1000000,IF(Nonlabor!$I$8="OutputM",'Monthly Base'!D20*Assumptions!$D$23/1000000,0))))))))),0)</f>
        <v>0</v>
      </c>
      <c r="F1460" s="10" t="n">
        <f aca="false">Nonlabor!$J$8*(1+Assumptions!$D$9)^INT((C1460-1)/12)</f>
        <v>1133</v>
      </c>
      <c r="G1460" s="10" t="n">
        <f aca="false">E1460*F1460</f>
        <v>0</v>
      </c>
      <c r="H1460" s="10" t="n">
        <f aca="false">IF(OR(Nonlabor!$L$8="Quote required",Nonlabor!$L$8="Unverified"),G1460,0)</f>
        <v>0</v>
      </c>
      <c r="I1460" s="10" t="n">
        <f aca="false">IF(Nonlabor!$E$8="Core",0,G1460)</f>
        <v>0</v>
      </c>
      <c r="J1460" s="23" t="str">
        <f aca="false">Nonlabor!$B$8</f>
        <v>INFRA</v>
      </c>
    </row>
    <row r="1461" customFormat="false" ht="15" hidden="false" customHeight="false" outlineLevel="0" collapsed="false">
      <c r="A1461" s="6" t="s">
        <v>4</v>
      </c>
      <c r="B1461" s="6" t="s">
        <v>376</v>
      </c>
      <c r="C1461" s="6" t="n">
        <v>16</v>
      </c>
      <c r="D1461" s="25" t="n">
        <f aca="false">EDATE('Start Here'!$B$6,C1461-1)</f>
        <v>46784</v>
      </c>
      <c r="E1461" s="23" t="n">
        <f aca="false">IF(AND(OR(Nonlabor!$D$8="Both",Nonlabor!$D$8='Start Here'!$B$9),IF(Nonlabor!$E$8="Core",1,IF(Nonlabor!$E$8="AI",'Start Here'!$B$7,'Start Here'!$B$8))=1,C1461&gt;=IF(Nonlabor!$E$8="Core",Nonlabor!$F$8,MAX(Nonlabor!$F$8,IF(Nonlabor!$E$8="AI",Assumptions!$D$24,Assumptions!$D$25))),C1461&lt;=Nonlabor!$G$8,OR(Nonlabor!$H$8="Monthly",AND(Nonlabor!$H$8="Once",C1461=IF(Nonlabor!$E$8="Core",Nonlabor!$F$8,MAX(Nonlabor!$F$8,IF(Nonlabor!$E$8="AI",Assumptions!$D$24,Assumptions!$D$25)))),AND(Nonlabor!$H$8="Annual",MOD(C1461-IF(Nonlabor!$E$8="Core",Nonlabor!$F$8,MAX(Nonlabor!$F$8,IF(Nonlabor!$E$8="AI",Assumptions!$D$24,Assumptions!$D$25))),12)=0))),IF(Nonlabor!$I$8="Fixed",1,IF(Nonlabor!$I$8="Seats",ROUNDUP('Monthly Base'!I21,0),IF(Nonlabor!$I$8="Customers",'Monthly Base'!D21,IF(Nonlabor!$I$8="NewCustomers",'Monthly Base'!C21,IF(Nonlabor!$I$8="StorageGB",'Monthly Base'!G21,IF(Nonlabor!$I$8="LogGB",'Monthly Base'!H21,IF(Nonlabor!$I$8="RequestsM",'Monthly Base'!F21,IF(Nonlabor!$I$8="InputM",'Monthly Base'!D21*Assumptions!$D$22/1000000,IF(Nonlabor!$I$8="OutputM",'Monthly Base'!D21*Assumptions!$D$23/1000000,0))))))))),0)</f>
        <v>0</v>
      </c>
      <c r="F1461" s="10" t="n">
        <f aca="false">Nonlabor!$J$8*(1+Assumptions!$D$9)^INT((C1461-1)/12)</f>
        <v>1133</v>
      </c>
      <c r="G1461" s="10" t="n">
        <f aca="false">E1461*F1461</f>
        <v>0</v>
      </c>
      <c r="H1461" s="10" t="n">
        <f aca="false">IF(OR(Nonlabor!$L$8="Quote required",Nonlabor!$L$8="Unverified"),G1461,0)</f>
        <v>0</v>
      </c>
      <c r="I1461" s="10" t="n">
        <f aca="false">IF(Nonlabor!$E$8="Core",0,G1461)</f>
        <v>0</v>
      </c>
      <c r="J1461" s="23" t="str">
        <f aca="false">Nonlabor!$B$8</f>
        <v>INFRA</v>
      </c>
    </row>
    <row r="1462" customFormat="false" ht="15" hidden="false" customHeight="false" outlineLevel="0" collapsed="false">
      <c r="A1462" s="6" t="s">
        <v>4</v>
      </c>
      <c r="B1462" s="6" t="s">
        <v>376</v>
      </c>
      <c r="C1462" s="6" t="n">
        <v>17</v>
      </c>
      <c r="D1462" s="25" t="n">
        <f aca="false">EDATE('Start Here'!$B$6,C1462-1)</f>
        <v>46813</v>
      </c>
      <c r="E1462" s="23" t="n">
        <f aca="false">IF(AND(OR(Nonlabor!$D$8="Both",Nonlabor!$D$8='Start Here'!$B$9),IF(Nonlabor!$E$8="Core",1,IF(Nonlabor!$E$8="AI",'Start Here'!$B$7,'Start Here'!$B$8))=1,C1462&gt;=IF(Nonlabor!$E$8="Core",Nonlabor!$F$8,MAX(Nonlabor!$F$8,IF(Nonlabor!$E$8="AI",Assumptions!$D$24,Assumptions!$D$25))),C1462&lt;=Nonlabor!$G$8,OR(Nonlabor!$H$8="Monthly",AND(Nonlabor!$H$8="Once",C1462=IF(Nonlabor!$E$8="Core",Nonlabor!$F$8,MAX(Nonlabor!$F$8,IF(Nonlabor!$E$8="AI",Assumptions!$D$24,Assumptions!$D$25)))),AND(Nonlabor!$H$8="Annual",MOD(C1462-IF(Nonlabor!$E$8="Core",Nonlabor!$F$8,MAX(Nonlabor!$F$8,IF(Nonlabor!$E$8="AI",Assumptions!$D$24,Assumptions!$D$25))),12)=0))),IF(Nonlabor!$I$8="Fixed",1,IF(Nonlabor!$I$8="Seats",ROUNDUP('Monthly Base'!I22,0),IF(Nonlabor!$I$8="Customers",'Monthly Base'!D22,IF(Nonlabor!$I$8="NewCustomers",'Monthly Base'!C22,IF(Nonlabor!$I$8="StorageGB",'Monthly Base'!G22,IF(Nonlabor!$I$8="LogGB",'Monthly Base'!H22,IF(Nonlabor!$I$8="RequestsM",'Monthly Base'!F22,IF(Nonlabor!$I$8="InputM",'Monthly Base'!D22*Assumptions!$D$22/1000000,IF(Nonlabor!$I$8="OutputM",'Monthly Base'!D22*Assumptions!$D$23/1000000,0))))))))),0)</f>
        <v>0</v>
      </c>
      <c r="F1462" s="10" t="n">
        <f aca="false">Nonlabor!$J$8*(1+Assumptions!$D$9)^INT((C1462-1)/12)</f>
        <v>1133</v>
      </c>
      <c r="G1462" s="10" t="n">
        <f aca="false">E1462*F1462</f>
        <v>0</v>
      </c>
      <c r="H1462" s="10" t="n">
        <f aca="false">IF(OR(Nonlabor!$L$8="Quote required",Nonlabor!$L$8="Unverified"),G1462,0)</f>
        <v>0</v>
      </c>
      <c r="I1462" s="10" t="n">
        <f aca="false">IF(Nonlabor!$E$8="Core",0,G1462)</f>
        <v>0</v>
      </c>
      <c r="J1462" s="23" t="str">
        <f aca="false">Nonlabor!$B$8</f>
        <v>INFRA</v>
      </c>
    </row>
    <row r="1463" customFormat="false" ht="15" hidden="false" customHeight="false" outlineLevel="0" collapsed="false">
      <c r="A1463" s="6" t="s">
        <v>4</v>
      </c>
      <c r="B1463" s="6" t="s">
        <v>376</v>
      </c>
      <c r="C1463" s="6" t="n">
        <v>18</v>
      </c>
      <c r="D1463" s="25" t="n">
        <f aca="false">EDATE('Start Here'!$B$6,C1463-1)</f>
        <v>46844</v>
      </c>
      <c r="E1463" s="23" t="n">
        <f aca="false">IF(AND(OR(Nonlabor!$D$8="Both",Nonlabor!$D$8='Start Here'!$B$9),IF(Nonlabor!$E$8="Core",1,IF(Nonlabor!$E$8="AI",'Start Here'!$B$7,'Start Here'!$B$8))=1,C1463&gt;=IF(Nonlabor!$E$8="Core",Nonlabor!$F$8,MAX(Nonlabor!$F$8,IF(Nonlabor!$E$8="AI",Assumptions!$D$24,Assumptions!$D$25))),C1463&lt;=Nonlabor!$G$8,OR(Nonlabor!$H$8="Monthly",AND(Nonlabor!$H$8="Once",C1463=IF(Nonlabor!$E$8="Core",Nonlabor!$F$8,MAX(Nonlabor!$F$8,IF(Nonlabor!$E$8="AI",Assumptions!$D$24,Assumptions!$D$25)))),AND(Nonlabor!$H$8="Annual",MOD(C1463-IF(Nonlabor!$E$8="Core",Nonlabor!$F$8,MAX(Nonlabor!$F$8,IF(Nonlabor!$E$8="AI",Assumptions!$D$24,Assumptions!$D$25))),12)=0))),IF(Nonlabor!$I$8="Fixed",1,IF(Nonlabor!$I$8="Seats",ROUNDUP('Monthly Base'!I23,0),IF(Nonlabor!$I$8="Customers",'Monthly Base'!D23,IF(Nonlabor!$I$8="NewCustomers",'Monthly Base'!C23,IF(Nonlabor!$I$8="StorageGB",'Monthly Base'!G23,IF(Nonlabor!$I$8="LogGB",'Monthly Base'!H23,IF(Nonlabor!$I$8="RequestsM",'Monthly Base'!F23,IF(Nonlabor!$I$8="InputM",'Monthly Base'!D23*Assumptions!$D$22/1000000,IF(Nonlabor!$I$8="OutputM",'Monthly Base'!D23*Assumptions!$D$23/1000000,0))))))))),0)</f>
        <v>0</v>
      </c>
      <c r="F1463" s="10" t="n">
        <f aca="false">Nonlabor!$J$8*(1+Assumptions!$D$9)^INT((C1463-1)/12)</f>
        <v>1133</v>
      </c>
      <c r="G1463" s="10" t="n">
        <f aca="false">E1463*F1463</f>
        <v>0</v>
      </c>
      <c r="H1463" s="10" t="n">
        <f aca="false">IF(OR(Nonlabor!$L$8="Quote required",Nonlabor!$L$8="Unverified"),G1463,0)</f>
        <v>0</v>
      </c>
      <c r="I1463" s="10" t="n">
        <f aca="false">IF(Nonlabor!$E$8="Core",0,G1463)</f>
        <v>0</v>
      </c>
      <c r="J1463" s="23" t="str">
        <f aca="false">Nonlabor!$B$8</f>
        <v>INFRA</v>
      </c>
    </row>
    <row r="1464" customFormat="false" ht="15" hidden="false" customHeight="false" outlineLevel="0" collapsed="false">
      <c r="A1464" s="6" t="s">
        <v>4</v>
      </c>
      <c r="B1464" s="6" t="s">
        <v>376</v>
      </c>
      <c r="C1464" s="6" t="n">
        <v>19</v>
      </c>
      <c r="D1464" s="25" t="n">
        <f aca="false">EDATE('Start Here'!$B$6,C1464-1)</f>
        <v>46874</v>
      </c>
      <c r="E1464" s="23" t="n">
        <f aca="false">IF(AND(OR(Nonlabor!$D$8="Both",Nonlabor!$D$8='Start Here'!$B$9),IF(Nonlabor!$E$8="Core",1,IF(Nonlabor!$E$8="AI",'Start Here'!$B$7,'Start Here'!$B$8))=1,C1464&gt;=IF(Nonlabor!$E$8="Core",Nonlabor!$F$8,MAX(Nonlabor!$F$8,IF(Nonlabor!$E$8="AI",Assumptions!$D$24,Assumptions!$D$25))),C1464&lt;=Nonlabor!$G$8,OR(Nonlabor!$H$8="Monthly",AND(Nonlabor!$H$8="Once",C1464=IF(Nonlabor!$E$8="Core",Nonlabor!$F$8,MAX(Nonlabor!$F$8,IF(Nonlabor!$E$8="AI",Assumptions!$D$24,Assumptions!$D$25)))),AND(Nonlabor!$H$8="Annual",MOD(C1464-IF(Nonlabor!$E$8="Core",Nonlabor!$F$8,MAX(Nonlabor!$F$8,IF(Nonlabor!$E$8="AI",Assumptions!$D$24,Assumptions!$D$25))),12)=0))),IF(Nonlabor!$I$8="Fixed",1,IF(Nonlabor!$I$8="Seats",ROUNDUP('Monthly Base'!I24,0),IF(Nonlabor!$I$8="Customers",'Monthly Base'!D24,IF(Nonlabor!$I$8="NewCustomers",'Monthly Base'!C24,IF(Nonlabor!$I$8="StorageGB",'Monthly Base'!G24,IF(Nonlabor!$I$8="LogGB",'Monthly Base'!H24,IF(Nonlabor!$I$8="RequestsM",'Monthly Base'!F24,IF(Nonlabor!$I$8="InputM",'Monthly Base'!D24*Assumptions!$D$22/1000000,IF(Nonlabor!$I$8="OutputM",'Monthly Base'!D24*Assumptions!$D$23/1000000,0))))))))),0)</f>
        <v>0</v>
      </c>
      <c r="F1464" s="10" t="n">
        <f aca="false">Nonlabor!$J$8*(1+Assumptions!$D$9)^INT((C1464-1)/12)</f>
        <v>1133</v>
      </c>
      <c r="G1464" s="10" t="n">
        <f aca="false">E1464*F1464</f>
        <v>0</v>
      </c>
      <c r="H1464" s="10" t="n">
        <f aca="false">IF(OR(Nonlabor!$L$8="Quote required",Nonlabor!$L$8="Unverified"),G1464,0)</f>
        <v>0</v>
      </c>
      <c r="I1464" s="10" t="n">
        <f aca="false">IF(Nonlabor!$E$8="Core",0,G1464)</f>
        <v>0</v>
      </c>
      <c r="J1464" s="23" t="str">
        <f aca="false">Nonlabor!$B$8</f>
        <v>INFRA</v>
      </c>
    </row>
    <row r="1465" customFormat="false" ht="15" hidden="false" customHeight="false" outlineLevel="0" collapsed="false">
      <c r="A1465" s="6" t="s">
        <v>4</v>
      </c>
      <c r="B1465" s="6" t="s">
        <v>376</v>
      </c>
      <c r="C1465" s="6" t="n">
        <v>20</v>
      </c>
      <c r="D1465" s="25" t="n">
        <f aca="false">EDATE('Start Here'!$B$6,C1465-1)</f>
        <v>46905</v>
      </c>
      <c r="E1465" s="23" t="n">
        <f aca="false">IF(AND(OR(Nonlabor!$D$8="Both",Nonlabor!$D$8='Start Here'!$B$9),IF(Nonlabor!$E$8="Core",1,IF(Nonlabor!$E$8="AI",'Start Here'!$B$7,'Start Here'!$B$8))=1,C1465&gt;=IF(Nonlabor!$E$8="Core",Nonlabor!$F$8,MAX(Nonlabor!$F$8,IF(Nonlabor!$E$8="AI",Assumptions!$D$24,Assumptions!$D$25))),C1465&lt;=Nonlabor!$G$8,OR(Nonlabor!$H$8="Monthly",AND(Nonlabor!$H$8="Once",C1465=IF(Nonlabor!$E$8="Core",Nonlabor!$F$8,MAX(Nonlabor!$F$8,IF(Nonlabor!$E$8="AI",Assumptions!$D$24,Assumptions!$D$25)))),AND(Nonlabor!$H$8="Annual",MOD(C1465-IF(Nonlabor!$E$8="Core",Nonlabor!$F$8,MAX(Nonlabor!$F$8,IF(Nonlabor!$E$8="AI",Assumptions!$D$24,Assumptions!$D$25))),12)=0))),IF(Nonlabor!$I$8="Fixed",1,IF(Nonlabor!$I$8="Seats",ROUNDUP('Monthly Base'!I25,0),IF(Nonlabor!$I$8="Customers",'Monthly Base'!D25,IF(Nonlabor!$I$8="NewCustomers",'Monthly Base'!C25,IF(Nonlabor!$I$8="StorageGB",'Monthly Base'!G25,IF(Nonlabor!$I$8="LogGB",'Monthly Base'!H25,IF(Nonlabor!$I$8="RequestsM",'Monthly Base'!F25,IF(Nonlabor!$I$8="InputM",'Monthly Base'!D25*Assumptions!$D$22/1000000,IF(Nonlabor!$I$8="OutputM",'Monthly Base'!D25*Assumptions!$D$23/1000000,0))))))))),0)</f>
        <v>0</v>
      </c>
      <c r="F1465" s="10" t="n">
        <f aca="false">Nonlabor!$J$8*(1+Assumptions!$D$9)^INT((C1465-1)/12)</f>
        <v>1133</v>
      </c>
      <c r="G1465" s="10" t="n">
        <f aca="false">E1465*F1465</f>
        <v>0</v>
      </c>
      <c r="H1465" s="10" t="n">
        <f aca="false">IF(OR(Nonlabor!$L$8="Quote required",Nonlabor!$L$8="Unverified"),G1465,0)</f>
        <v>0</v>
      </c>
      <c r="I1465" s="10" t="n">
        <f aca="false">IF(Nonlabor!$E$8="Core",0,G1465)</f>
        <v>0</v>
      </c>
      <c r="J1465" s="23" t="str">
        <f aca="false">Nonlabor!$B$8</f>
        <v>INFRA</v>
      </c>
    </row>
    <row r="1466" customFormat="false" ht="15" hidden="false" customHeight="false" outlineLevel="0" collapsed="false">
      <c r="A1466" s="6" t="s">
        <v>4</v>
      </c>
      <c r="B1466" s="6" t="s">
        <v>376</v>
      </c>
      <c r="C1466" s="6" t="n">
        <v>21</v>
      </c>
      <c r="D1466" s="25" t="n">
        <f aca="false">EDATE('Start Here'!$B$6,C1466-1)</f>
        <v>46935</v>
      </c>
      <c r="E1466" s="23" t="n">
        <f aca="false">IF(AND(OR(Nonlabor!$D$8="Both",Nonlabor!$D$8='Start Here'!$B$9),IF(Nonlabor!$E$8="Core",1,IF(Nonlabor!$E$8="AI",'Start Here'!$B$7,'Start Here'!$B$8))=1,C1466&gt;=IF(Nonlabor!$E$8="Core",Nonlabor!$F$8,MAX(Nonlabor!$F$8,IF(Nonlabor!$E$8="AI",Assumptions!$D$24,Assumptions!$D$25))),C1466&lt;=Nonlabor!$G$8,OR(Nonlabor!$H$8="Monthly",AND(Nonlabor!$H$8="Once",C1466=IF(Nonlabor!$E$8="Core",Nonlabor!$F$8,MAX(Nonlabor!$F$8,IF(Nonlabor!$E$8="AI",Assumptions!$D$24,Assumptions!$D$25)))),AND(Nonlabor!$H$8="Annual",MOD(C1466-IF(Nonlabor!$E$8="Core",Nonlabor!$F$8,MAX(Nonlabor!$F$8,IF(Nonlabor!$E$8="AI",Assumptions!$D$24,Assumptions!$D$25))),12)=0))),IF(Nonlabor!$I$8="Fixed",1,IF(Nonlabor!$I$8="Seats",ROUNDUP('Monthly Base'!I26,0),IF(Nonlabor!$I$8="Customers",'Monthly Base'!D26,IF(Nonlabor!$I$8="NewCustomers",'Monthly Base'!C26,IF(Nonlabor!$I$8="StorageGB",'Monthly Base'!G26,IF(Nonlabor!$I$8="LogGB",'Monthly Base'!H26,IF(Nonlabor!$I$8="RequestsM",'Monthly Base'!F26,IF(Nonlabor!$I$8="InputM",'Monthly Base'!D26*Assumptions!$D$22/1000000,IF(Nonlabor!$I$8="OutputM",'Monthly Base'!D26*Assumptions!$D$23/1000000,0))))))))),0)</f>
        <v>0</v>
      </c>
      <c r="F1466" s="10" t="n">
        <f aca="false">Nonlabor!$J$8*(1+Assumptions!$D$9)^INT((C1466-1)/12)</f>
        <v>1133</v>
      </c>
      <c r="G1466" s="10" t="n">
        <f aca="false">E1466*F1466</f>
        <v>0</v>
      </c>
      <c r="H1466" s="10" t="n">
        <f aca="false">IF(OR(Nonlabor!$L$8="Quote required",Nonlabor!$L$8="Unverified"),G1466,0)</f>
        <v>0</v>
      </c>
      <c r="I1466" s="10" t="n">
        <f aca="false">IF(Nonlabor!$E$8="Core",0,G1466)</f>
        <v>0</v>
      </c>
      <c r="J1466" s="23" t="str">
        <f aca="false">Nonlabor!$B$8</f>
        <v>INFRA</v>
      </c>
    </row>
    <row r="1467" customFormat="false" ht="15" hidden="false" customHeight="false" outlineLevel="0" collapsed="false">
      <c r="A1467" s="6" t="s">
        <v>4</v>
      </c>
      <c r="B1467" s="6" t="s">
        <v>376</v>
      </c>
      <c r="C1467" s="6" t="n">
        <v>22</v>
      </c>
      <c r="D1467" s="25" t="n">
        <f aca="false">EDATE('Start Here'!$B$6,C1467-1)</f>
        <v>46966</v>
      </c>
      <c r="E1467" s="23" t="n">
        <f aca="false">IF(AND(OR(Nonlabor!$D$8="Both",Nonlabor!$D$8='Start Here'!$B$9),IF(Nonlabor!$E$8="Core",1,IF(Nonlabor!$E$8="AI",'Start Here'!$B$7,'Start Here'!$B$8))=1,C1467&gt;=IF(Nonlabor!$E$8="Core",Nonlabor!$F$8,MAX(Nonlabor!$F$8,IF(Nonlabor!$E$8="AI",Assumptions!$D$24,Assumptions!$D$25))),C1467&lt;=Nonlabor!$G$8,OR(Nonlabor!$H$8="Monthly",AND(Nonlabor!$H$8="Once",C1467=IF(Nonlabor!$E$8="Core",Nonlabor!$F$8,MAX(Nonlabor!$F$8,IF(Nonlabor!$E$8="AI",Assumptions!$D$24,Assumptions!$D$25)))),AND(Nonlabor!$H$8="Annual",MOD(C1467-IF(Nonlabor!$E$8="Core",Nonlabor!$F$8,MAX(Nonlabor!$F$8,IF(Nonlabor!$E$8="AI",Assumptions!$D$24,Assumptions!$D$25))),12)=0))),IF(Nonlabor!$I$8="Fixed",1,IF(Nonlabor!$I$8="Seats",ROUNDUP('Monthly Base'!I27,0),IF(Nonlabor!$I$8="Customers",'Monthly Base'!D27,IF(Nonlabor!$I$8="NewCustomers",'Monthly Base'!C27,IF(Nonlabor!$I$8="StorageGB",'Monthly Base'!G27,IF(Nonlabor!$I$8="LogGB",'Monthly Base'!H27,IF(Nonlabor!$I$8="RequestsM",'Monthly Base'!F27,IF(Nonlabor!$I$8="InputM",'Monthly Base'!D27*Assumptions!$D$22/1000000,IF(Nonlabor!$I$8="OutputM",'Monthly Base'!D27*Assumptions!$D$23/1000000,0))))))))),0)</f>
        <v>0</v>
      </c>
      <c r="F1467" s="10" t="n">
        <f aca="false">Nonlabor!$J$8*(1+Assumptions!$D$9)^INT((C1467-1)/12)</f>
        <v>1133</v>
      </c>
      <c r="G1467" s="10" t="n">
        <f aca="false">E1467*F1467</f>
        <v>0</v>
      </c>
      <c r="H1467" s="10" t="n">
        <f aca="false">IF(OR(Nonlabor!$L$8="Quote required",Nonlabor!$L$8="Unverified"),G1467,0)</f>
        <v>0</v>
      </c>
      <c r="I1467" s="10" t="n">
        <f aca="false">IF(Nonlabor!$E$8="Core",0,G1467)</f>
        <v>0</v>
      </c>
      <c r="J1467" s="23" t="str">
        <f aca="false">Nonlabor!$B$8</f>
        <v>INFRA</v>
      </c>
    </row>
    <row r="1468" customFormat="false" ht="15" hidden="false" customHeight="false" outlineLevel="0" collapsed="false">
      <c r="A1468" s="6" t="s">
        <v>4</v>
      </c>
      <c r="B1468" s="6" t="s">
        <v>376</v>
      </c>
      <c r="C1468" s="6" t="n">
        <v>23</v>
      </c>
      <c r="D1468" s="25" t="n">
        <f aca="false">EDATE('Start Here'!$B$6,C1468-1)</f>
        <v>46997</v>
      </c>
      <c r="E1468" s="23" t="n">
        <f aca="false">IF(AND(OR(Nonlabor!$D$8="Both",Nonlabor!$D$8='Start Here'!$B$9),IF(Nonlabor!$E$8="Core",1,IF(Nonlabor!$E$8="AI",'Start Here'!$B$7,'Start Here'!$B$8))=1,C1468&gt;=IF(Nonlabor!$E$8="Core",Nonlabor!$F$8,MAX(Nonlabor!$F$8,IF(Nonlabor!$E$8="AI",Assumptions!$D$24,Assumptions!$D$25))),C1468&lt;=Nonlabor!$G$8,OR(Nonlabor!$H$8="Monthly",AND(Nonlabor!$H$8="Once",C1468=IF(Nonlabor!$E$8="Core",Nonlabor!$F$8,MAX(Nonlabor!$F$8,IF(Nonlabor!$E$8="AI",Assumptions!$D$24,Assumptions!$D$25)))),AND(Nonlabor!$H$8="Annual",MOD(C1468-IF(Nonlabor!$E$8="Core",Nonlabor!$F$8,MAX(Nonlabor!$F$8,IF(Nonlabor!$E$8="AI",Assumptions!$D$24,Assumptions!$D$25))),12)=0))),IF(Nonlabor!$I$8="Fixed",1,IF(Nonlabor!$I$8="Seats",ROUNDUP('Monthly Base'!I28,0),IF(Nonlabor!$I$8="Customers",'Monthly Base'!D28,IF(Nonlabor!$I$8="NewCustomers",'Monthly Base'!C28,IF(Nonlabor!$I$8="StorageGB",'Monthly Base'!G28,IF(Nonlabor!$I$8="LogGB",'Monthly Base'!H28,IF(Nonlabor!$I$8="RequestsM",'Monthly Base'!F28,IF(Nonlabor!$I$8="InputM",'Monthly Base'!D28*Assumptions!$D$22/1000000,IF(Nonlabor!$I$8="OutputM",'Monthly Base'!D28*Assumptions!$D$23/1000000,0))))))))),0)</f>
        <v>0</v>
      </c>
      <c r="F1468" s="10" t="n">
        <f aca="false">Nonlabor!$J$8*(1+Assumptions!$D$9)^INT((C1468-1)/12)</f>
        <v>1133</v>
      </c>
      <c r="G1468" s="10" t="n">
        <f aca="false">E1468*F1468</f>
        <v>0</v>
      </c>
      <c r="H1468" s="10" t="n">
        <f aca="false">IF(OR(Nonlabor!$L$8="Quote required",Nonlabor!$L$8="Unverified"),G1468,0)</f>
        <v>0</v>
      </c>
      <c r="I1468" s="10" t="n">
        <f aca="false">IF(Nonlabor!$E$8="Core",0,G1468)</f>
        <v>0</v>
      </c>
      <c r="J1468" s="23" t="str">
        <f aca="false">Nonlabor!$B$8</f>
        <v>INFRA</v>
      </c>
    </row>
    <row r="1469" customFormat="false" ht="15" hidden="false" customHeight="false" outlineLevel="0" collapsed="false">
      <c r="A1469" s="6" t="s">
        <v>4</v>
      </c>
      <c r="B1469" s="6" t="s">
        <v>376</v>
      </c>
      <c r="C1469" s="6" t="n">
        <v>24</v>
      </c>
      <c r="D1469" s="25" t="n">
        <f aca="false">EDATE('Start Here'!$B$6,C1469-1)</f>
        <v>47027</v>
      </c>
      <c r="E1469" s="23" t="n">
        <f aca="false">IF(AND(OR(Nonlabor!$D$8="Both",Nonlabor!$D$8='Start Here'!$B$9),IF(Nonlabor!$E$8="Core",1,IF(Nonlabor!$E$8="AI",'Start Here'!$B$7,'Start Here'!$B$8))=1,C1469&gt;=IF(Nonlabor!$E$8="Core",Nonlabor!$F$8,MAX(Nonlabor!$F$8,IF(Nonlabor!$E$8="AI",Assumptions!$D$24,Assumptions!$D$25))),C1469&lt;=Nonlabor!$G$8,OR(Nonlabor!$H$8="Monthly",AND(Nonlabor!$H$8="Once",C1469=IF(Nonlabor!$E$8="Core",Nonlabor!$F$8,MAX(Nonlabor!$F$8,IF(Nonlabor!$E$8="AI",Assumptions!$D$24,Assumptions!$D$25)))),AND(Nonlabor!$H$8="Annual",MOD(C1469-IF(Nonlabor!$E$8="Core",Nonlabor!$F$8,MAX(Nonlabor!$F$8,IF(Nonlabor!$E$8="AI",Assumptions!$D$24,Assumptions!$D$25))),12)=0))),IF(Nonlabor!$I$8="Fixed",1,IF(Nonlabor!$I$8="Seats",ROUNDUP('Monthly Base'!I29,0),IF(Nonlabor!$I$8="Customers",'Monthly Base'!D29,IF(Nonlabor!$I$8="NewCustomers",'Monthly Base'!C29,IF(Nonlabor!$I$8="StorageGB",'Monthly Base'!G29,IF(Nonlabor!$I$8="LogGB",'Monthly Base'!H29,IF(Nonlabor!$I$8="RequestsM",'Monthly Base'!F29,IF(Nonlabor!$I$8="InputM",'Monthly Base'!D29*Assumptions!$D$22/1000000,IF(Nonlabor!$I$8="OutputM",'Monthly Base'!D29*Assumptions!$D$23/1000000,0))))))))),0)</f>
        <v>0</v>
      </c>
      <c r="F1469" s="10" t="n">
        <f aca="false">Nonlabor!$J$8*(1+Assumptions!$D$9)^INT((C1469-1)/12)</f>
        <v>1133</v>
      </c>
      <c r="G1469" s="10" t="n">
        <f aca="false">E1469*F1469</f>
        <v>0</v>
      </c>
      <c r="H1469" s="10" t="n">
        <f aca="false">IF(OR(Nonlabor!$L$8="Quote required",Nonlabor!$L$8="Unverified"),G1469,0)</f>
        <v>0</v>
      </c>
      <c r="I1469" s="10" t="n">
        <f aca="false">IF(Nonlabor!$E$8="Core",0,G1469)</f>
        <v>0</v>
      </c>
      <c r="J1469" s="23" t="str">
        <f aca="false">Nonlabor!$B$8</f>
        <v>INFRA</v>
      </c>
    </row>
    <row r="1470" customFormat="false" ht="15" hidden="false" customHeight="false" outlineLevel="0" collapsed="false">
      <c r="A1470" s="6" t="s">
        <v>4</v>
      </c>
      <c r="B1470" s="6" t="s">
        <v>376</v>
      </c>
      <c r="C1470" s="6" t="n">
        <v>25</v>
      </c>
      <c r="D1470" s="25" t="n">
        <f aca="false">EDATE('Start Here'!$B$6,C1470-1)</f>
        <v>47058</v>
      </c>
      <c r="E1470" s="23" t="n">
        <f aca="false">IF(AND(OR(Nonlabor!$D$8="Both",Nonlabor!$D$8='Start Here'!$B$9),IF(Nonlabor!$E$8="Core",1,IF(Nonlabor!$E$8="AI",'Start Here'!$B$7,'Start Here'!$B$8))=1,C1470&gt;=IF(Nonlabor!$E$8="Core",Nonlabor!$F$8,MAX(Nonlabor!$F$8,IF(Nonlabor!$E$8="AI",Assumptions!$D$24,Assumptions!$D$25))),C1470&lt;=Nonlabor!$G$8,OR(Nonlabor!$H$8="Monthly",AND(Nonlabor!$H$8="Once",C1470=IF(Nonlabor!$E$8="Core",Nonlabor!$F$8,MAX(Nonlabor!$F$8,IF(Nonlabor!$E$8="AI",Assumptions!$D$24,Assumptions!$D$25)))),AND(Nonlabor!$H$8="Annual",MOD(C1470-IF(Nonlabor!$E$8="Core",Nonlabor!$F$8,MAX(Nonlabor!$F$8,IF(Nonlabor!$E$8="AI",Assumptions!$D$24,Assumptions!$D$25))),12)=0))),IF(Nonlabor!$I$8="Fixed",1,IF(Nonlabor!$I$8="Seats",ROUNDUP('Monthly Base'!I30,0),IF(Nonlabor!$I$8="Customers",'Monthly Base'!D30,IF(Nonlabor!$I$8="NewCustomers",'Monthly Base'!C30,IF(Nonlabor!$I$8="StorageGB",'Monthly Base'!G30,IF(Nonlabor!$I$8="LogGB",'Monthly Base'!H30,IF(Nonlabor!$I$8="RequestsM",'Monthly Base'!F30,IF(Nonlabor!$I$8="InputM",'Monthly Base'!D30*Assumptions!$D$22/1000000,IF(Nonlabor!$I$8="OutputM",'Monthly Base'!D30*Assumptions!$D$23/1000000,0))))))))),0)</f>
        <v>0</v>
      </c>
      <c r="F1470" s="10" t="n">
        <f aca="false">Nonlabor!$J$8*(1+Assumptions!$D$9)^INT((C1470-1)/12)</f>
        <v>1166.99</v>
      </c>
      <c r="G1470" s="10" t="n">
        <f aca="false">E1470*F1470</f>
        <v>0</v>
      </c>
      <c r="H1470" s="10" t="n">
        <f aca="false">IF(OR(Nonlabor!$L$8="Quote required",Nonlabor!$L$8="Unverified"),G1470,0)</f>
        <v>0</v>
      </c>
      <c r="I1470" s="10" t="n">
        <f aca="false">IF(Nonlabor!$E$8="Core",0,G1470)</f>
        <v>0</v>
      </c>
      <c r="J1470" s="23" t="str">
        <f aca="false">Nonlabor!$B$8</f>
        <v>INFRA</v>
      </c>
    </row>
    <row r="1471" customFormat="false" ht="15" hidden="false" customHeight="false" outlineLevel="0" collapsed="false">
      <c r="A1471" s="6" t="s">
        <v>4</v>
      </c>
      <c r="B1471" s="6" t="s">
        <v>376</v>
      </c>
      <c r="C1471" s="6" t="n">
        <v>26</v>
      </c>
      <c r="D1471" s="25" t="n">
        <f aca="false">EDATE('Start Here'!$B$6,C1471-1)</f>
        <v>47088</v>
      </c>
      <c r="E1471" s="23" t="n">
        <f aca="false">IF(AND(OR(Nonlabor!$D$8="Both",Nonlabor!$D$8='Start Here'!$B$9),IF(Nonlabor!$E$8="Core",1,IF(Nonlabor!$E$8="AI",'Start Here'!$B$7,'Start Here'!$B$8))=1,C1471&gt;=IF(Nonlabor!$E$8="Core",Nonlabor!$F$8,MAX(Nonlabor!$F$8,IF(Nonlabor!$E$8="AI",Assumptions!$D$24,Assumptions!$D$25))),C1471&lt;=Nonlabor!$G$8,OR(Nonlabor!$H$8="Monthly",AND(Nonlabor!$H$8="Once",C1471=IF(Nonlabor!$E$8="Core",Nonlabor!$F$8,MAX(Nonlabor!$F$8,IF(Nonlabor!$E$8="AI",Assumptions!$D$24,Assumptions!$D$25)))),AND(Nonlabor!$H$8="Annual",MOD(C1471-IF(Nonlabor!$E$8="Core",Nonlabor!$F$8,MAX(Nonlabor!$F$8,IF(Nonlabor!$E$8="AI",Assumptions!$D$24,Assumptions!$D$25))),12)=0))),IF(Nonlabor!$I$8="Fixed",1,IF(Nonlabor!$I$8="Seats",ROUNDUP('Monthly Base'!I31,0),IF(Nonlabor!$I$8="Customers",'Monthly Base'!D31,IF(Nonlabor!$I$8="NewCustomers",'Monthly Base'!C31,IF(Nonlabor!$I$8="StorageGB",'Monthly Base'!G31,IF(Nonlabor!$I$8="LogGB",'Monthly Base'!H31,IF(Nonlabor!$I$8="RequestsM",'Monthly Base'!F31,IF(Nonlabor!$I$8="InputM",'Monthly Base'!D31*Assumptions!$D$22/1000000,IF(Nonlabor!$I$8="OutputM",'Monthly Base'!D31*Assumptions!$D$23/1000000,0))))))))),0)</f>
        <v>0</v>
      </c>
      <c r="F1471" s="10" t="n">
        <f aca="false">Nonlabor!$J$8*(1+Assumptions!$D$9)^INT((C1471-1)/12)</f>
        <v>1166.99</v>
      </c>
      <c r="G1471" s="10" t="n">
        <f aca="false">E1471*F1471</f>
        <v>0</v>
      </c>
      <c r="H1471" s="10" t="n">
        <f aca="false">IF(OR(Nonlabor!$L$8="Quote required",Nonlabor!$L$8="Unverified"),G1471,0)</f>
        <v>0</v>
      </c>
      <c r="I1471" s="10" t="n">
        <f aca="false">IF(Nonlabor!$E$8="Core",0,G1471)</f>
        <v>0</v>
      </c>
      <c r="J1471" s="23" t="str">
        <f aca="false">Nonlabor!$B$8</f>
        <v>INFRA</v>
      </c>
    </row>
    <row r="1472" customFormat="false" ht="15" hidden="false" customHeight="false" outlineLevel="0" collapsed="false">
      <c r="A1472" s="6" t="s">
        <v>4</v>
      </c>
      <c r="B1472" s="6" t="s">
        <v>376</v>
      </c>
      <c r="C1472" s="6" t="n">
        <v>27</v>
      </c>
      <c r="D1472" s="25" t="n">
        <f aca="false">EDATE('Start Here'!$B$6,C1472-1)</f>
        <v>47119</v>
      </c>
      <c r="E1472" s="23" t="n">
        <f aca="false">IF(AND(OR(Nonlabor!$D$8="Both",Nonlabor!$D$8='Start Here'!$B$9),IF(Nonlabor!$E$8="Core",1,IF(Nonlabor!$E$8="AI",'Start Here'!$B$7,'Start Here'!$B$8))=1,C1472&gt;=IF(Nonlabor!$E$8="Core",Nonlabor!$F$8,MAX(Nonlabor!$F$8,IF(Nonlabor!$E$8="AI",Assumptions!$D$24,Assumptions!$D$25))),C1472&lt;=Nonlabor!$G$8,OR(Nonlabor!$H$8="Monthly",AND(Nonlabor!$H$8="Once",C1472=IF(Nonlabor!$E$8="Core",Nonlabor!$F$8,MAX(Nonlabor!$F$8,IF(Nonlabor!$E$8="AI",Assumptions!$D$24,Assumptions!$D$25)))),AND(Nonlabor!$H$8="Annual",MOD(C1472-IF(Nonlabor!$E$8="Core",Nonlabor!$F$8,MAX(Nonlabor!$F$8,IF(Nonlabor!$E$8="AI",Assumptions!$D$24,Assumptions!$D$25))),12)=0))),IF(Nonlabor!$I$8="Fixed",1,IF(Nonlabor!$I$8="Seats",ROUNDUP('Monthly Base'!I32,0),IF(Nonlabor!$I$8="Customers",'Monthly Base'!D32,IF(Nonlabor!$I$8="NewCustomers",'Monthly Base'!C32,IF(Nonlabor!$I$8="StorageGB",'Monthly Base'!G32,IF(Nonlabor!$I$8="LogGB",'Monthly Base'!H32,IF(Nonlabor!$I$8="RequestsM",'Monthly Base'!F32,IF(Nonlabor!$I$8="InputM",'Monthly Base'!D32*Assumptions!$D$22/1000000,IF(Nonlabor!$I$8="OutputM",'Monthly Base'!D32*Assumptions!$D$23/1000000,0))))))))),0)</f>
        <v>0</v>
      </c>
      <c r="F1472" s="10" t="n">
        <f aca="false">Nonlabor!$J$8*(1+Assumptions!$D$9)^INT((C1472-1)/12)</f>
        <v>1166.99</v>
      </c>
      <c r="G1472" s="10" t="n">
        <f aca="false">E1472*F1472</f>
        <v>0</v>
      </c>
      <c r="H1472" s="10" t="n">
        <f aca="false">IF(OR(Nonlabor!$L$8="Quote required",Nonlabor!$L$8="Unverified"),G1472,0)</f>
        <v>0</v>
      </c>
      <c r="I1472" s="10" t="n">
        <f aca="false">IF(Nonlabor!$E$8="Core",0,G1472)</f>
        <v>0</v>
      </c>
      <c r="J1472" s="23" t="str">
        <f aca="false">Nonlabor!$B$8</f>
        <v>INFRA</v>
      </c>
    </row>
    <row r="1473" customFormat="false" ht="15" hidden="false" customHeight="false" outlineLevel="0" collapsed="false">
      <c r="A1473" s="6" t="s">
        <v>4</v>
      </c>
      <c r="B1473" s="6" t="s">
        <v>376</v>
      </c>
      <c r="C1473" s="6" t="n">
        <v>28</v>
      </c>
      <c r="D1473" s="25" t="n">
        <f aca="false">EDATE('Start Here'!$B$6,C1473-1)</f>
        <v>47150</v>
      </c>
      <c r="E1473" s="23" t="n">
        <f aca="false">IF(AND(OR(Nonlabor!$D$8="Both",Nonlabor!$D$8='Start Here'!$B$9),IF(Nonlabor!$E$8="Core",1,IF(Nonlabor!$E$8="AI",'Start Here'!$B$7,'Start Here'!$B$8))=1,C1473&gt;=IF(Nonlabor!$E$8="Core",Nonlabor!$F$8,MAX(Nonlabor!$F$8,IF(Nonlabor!$E$8="AI",Assumptions!$D$24,Assumptions!$D$25))),C1473&lt;=Nonlabor!$G$8,OR(Nonlabor!$H$8="Monthly",AND(Nonlabor!$H$8="Once",C1473=IF(Nonlabor!$E$8="Core",Nonlabor!$F$8,MAX(Nonlabor!$F$8,IF(Nonlabor!$E$8="AI",Assumptions!$D$24,Assumptions!$D$25)))),AND(Nonlabor!$H$8="Annual",MOD(C1473-IF(Nonlabor!$E$8="Core",Nonlabor!$F$8,MAX(Nonlabor!$F$8,IF(Nonlabor!$E$8="AI",Assumptions!$D$24,Assumptions!$D$25))),12)=0))),IF(Nonlabor!$I$8="Fixed",1,IF(Nonlabor!$I$8="Seats",ROUNDUP('Monthly Base'!I33,0),IF(Nonlabor!$I$8="Customers",'Monthly Base'!D33,IF(Nonlabor!$I$8="NewCustomers",'Monthly Base'!C33,IF(Nonlabor!$I$8="StorageGB",'Monthly Base'!G33,IF(Nonlabor!$I$8="LogGB",'Monthly Base'!H33,IF(Nonlabor!$I$8="RequestsM",'Monthly Base'!F33,IF(Nonlabor!$I$8="InputM",'Monthly Base'!D33*Assumptions!$D$22/1000000,IF(Nonlabor!$I$8="OutputM",'Monthly Base'!D33*Assumptions!$D$23/1000000,0))))))))),0)</f>
        <v>0</v>
      </c>
      <c r="F1473" s="10" t="n">
        <f aca="false">Nonlabor!$J$8*(1+Assumptions!$D$9)^INT((C1473-1)/12)</f>
        <v>1166.99</v>
      </c>
      <c r="G1473" s="10" t="n">
        <f aca="false">E1473*F1473</f>
        <v>0</v>
      </c>
      <c r="H1473" s="10" t="n">
        <f aca="false">IF(OR(Nonlabor!$L$8="Quote required",Nonlabor!$L$8="Unverified"),G1473,0)</f>
        <v>0</v>
      </c>
      <c r="I1473" s="10" t="n">
        <f aca="false">IF(Nonlabor!$E$8="Core",0,G1473)</f>
        <v>0</v>
      </c>
      <c r="J1473" s="23" t="str">
        <f aca="false">Nonlabor!$B$8</f>
        <v>INFRA</v>
      </c>
    </row>
    <row r="1474" customFormat="false" ht="15" hidden="false" customHeight="false" outlineLevel="0" collapsed="false">
      <c r="A1474" s="6" t="s">
        <v>4</v>
      </c>
      <c r="B1474" s="6" t="s">
        <v>376</v>
      </c>
      <c r="C1474" s="6" t="n">
        <v>29</v>
      </c>
      <c r="D1474" s="25" t="n">
        <f aca="false">EDATE('Start Here'!$B$6,C1474-1)</f>
        <v>47178</v>
      </c>
      <c r="E1474" s="23" t="n">
        <f aca="false">IF(AND(OR(Nonlabor!$D$8="Both",Nonlabor!$D$8='Start Here'!$B$9),IF(Nonlabor!$E$8="Core",1,IF(Nonlabor!$E$8="AI",'Start Here'!$B$7,'Start Here'!$B$8))=1,C1474&gt;=IF(Nonlabor!$E$8="Core",Nonlabor!$F$8,MAX(Nonlabor!$F$8,IF(Nonlabor!$E$8="AI",Assumptions!$D$24,Assumptions!$D$25))),C1474&lt;=Nonlabor!$G$8,OR(Nonlabor!$H$8="Monthly",AND(Nonlabor!$H$8="Once",C1474=IF(Nonlabor!$E$8="Core",Nonlabor!$F$8,MAX(Nonlabor!$F$8,IF(Nonlabor!$E$8="AI",Assumptions!$D$24,Assumptions!$D$25)))),AND(Nonlabor!$H$8="Annual",MOD(C1474-IF(Nonlabor!$E$8="Core",Nonlabor!$F$8,MAX(Nonlabor!$F$8,IF(Nonlabor!$E$8="AI",Assumptions!$D$24,Assumptions!$D$25))),12)=0))),IF(Nonlabor!$I$8="Fixed",1,IF(Nonlabor!$I$8="Seats",ROUNDUP('Monthly Base'!I34,0),IF(Nonlabor!$I$8="Customers",'Monthly Base'!D34,IF(Nonlabor!$I$8="NewCustomers",'Monthly Base'!C34,IF(Nonlabor!$I$8="StorageGB",'Monthly Base'!G34,IF(Nonlabor!$I$8="LogGB",'Monthly Base'!H34,IF(Nonlabor!$I$8="RequestsM",'Monthly Base'!F34,IF(Nonlabor!$I$8="InputM",'Monthly Base'!D34*Assumptions!$D$22/1000000,IF(Nonlabor!$I$8="OutputM",'Monthly Base'!D34*Assumptions!$D$23/1000000,0))))))))),0)</f>
        <v>0</v>
      </c>
      <c r="F1474" s="10" t="n">
        <f aca="false">Nonlabor!$J$8*(1+Assumptions!$D$9)^INT((C1474-1)/12)</f>
        <v>1166.99</v>
      </c>
      <c r="G1474" s="10" t="n">
        <f aca="false">E1474*F1474</f>
        <v>0</v>
      </c>
      <c r="H1474" s="10" t="n">
        <f aca="false">IF(OR(Nonlabor!$L$8="Quote required",Nonlabor!$L$8="Unverified"),G1474,0)</f>
        <v>0</v>
      </c>
      <c r="I1474" s="10" t="n">
        <f aca="false">IF(Nonlabor!$E$8="Core",0,G1474)</f>
        <v>0</v>
      </c>
      <c r="J1474" s="23" t="str">
        <f aca="false">Nonlabor!$B$8</f>
        <v>INFRA</v>
      </c>
    </row>
    <row r="1475" customFormat="false" ht="15" hidden="false" customHeight="false" outlineLevel="0" collapsed="false">
      <c r="A1475" s="6" t="s">
        <v>4</v>
      </c>
      <c r="B1475" s="6" t="s">
        <v>376</v>
      </c>
      <c r="C1475" s="6" t="n">
        <v>30</v>
      </c>
      <c r="D1475" s="25" t="n">
        <f aca="false">EDATE('Start Here'!$B$6,C1475-1)</f>
        <v>47209</v>
      </c>
      <c r="E1475" s="23" t="n">
        <f aca="false">IF(AND(OR(Nonlabor!$D$8="Both",Nonlabor!$D$8='Start Here'!$B$9),IF(Nonlabor!$E$8="Core",1,IF(Nonlabor!$E$8="AI",'Start Here'!$B$7,'Start Here'!$B$8))=1,C1475&gt;=IF(Nonlabor!$E$8="Core",Nonlabor!$F$8,MAX(Nonlabor!$F$8,IF(Nonlabor!$E$8="AI",Assumptions!$D$24,Assumptions!$D$25))),C1475&lt;=Nonlabor!$G$8,OR(Nonlabor!$H$8="Monthly",AND(Nonlabor!$H$8="Once",C1475=IF(Nonlabor!$E$8="Core",Nonlabor!$F$8,MAX(Nonlabor!$F$8,IF(Nonlabor!$E$8="AI",Assumptions!$D$24,Assumptions!$D$25)))),AND(Nonlabor!$H$8="Annual",MOD(C1475-IF(Nonlabor!$E$8="Core",Nonlabor!$F$8,MAX(Nonlabor!$F$8,IF(Nonlabor!$E$8="AI",Assumptions!$D$24,Assumptions!$D$25))),12)=0))),IF(Nonlabor!$I$8="Fixed",1,IF(Nonlabor!$I$8="Seats",ROUNDUP('Monthly Base'!I35,0),IF(Nonlabor!$I$8="Customers",'Monthly Base'!D35,IF(Nonlabor!$I$8="NewCustomers",'Monthly Base'!C35,IF(Nonlabor!$I$8="StorageGB",'Monthly Base'!G35,IF(Nonlabor!$I$8="LogGB",'Monthly Base'!H35,IF(Nonlabor!$I$8="RequestsM",'Monthly Base'!F35,IF(Nonlabor!$I$8="InputM",'Monthly Base'!D35*Assumptions!$D$22/1000000,IF(Nonlabor!$I$8="OutputM",'Monthly Base'!D35*Assumptions!$D$23/1000000,0))))))))),0)</f>
        <v>0</v>
      </c>
      <c r="F1475" s="10" t="n">
        <f aca="false">Nonlabor!$J$8*(1+Assumptions!$D$9)^INT((C1475-1)/12)</f>
        <v>1166.99</v>
      </c>
      <c r="G1475" s="10" t="n">
        <f aca="false">E1475*F1475</f>
        <v>0</v>
      </c>
      <c r="H1475" s="10" t="n">
        <f aca="false">IF(OR(Nonlabor!$L$8="Quote required",Nonlabor!$L$8="Unverified"),G1475,0)</f>
        <v>0</v>
      </c>
      <c r="I1475" s="10" t="n">
        <f aca="false">IF(Nonlabor!$E$8="Core",0,G1475)</f>
        <v>0</v>
      </c>
      <c r="J1475" s="23" t="str">
        <f aca="false">Nonlabor!$B$8</f>
        <v>INFRA</v>
      </c>
    </row>
    <row r="1476" customFormat="false" ht="15" hidden="false" customHeight="false" outlineLevel="0" collapsed="false">
      <c r="A1476" s="6" t="s">
        <v>4</v>
      </c>
      <c r="B1476" s="6" t="s">
        <v>376</v>
      </c>
      <c r="C1476" s="6" t="n">
        <v>31</v>
      </c>
      <c r="D1476" s="25" t="n">
        <f aca="false">EDATE('Start Here'!$B$6,C1476-1)</f>
        <v>47239</v>
      </c>
      <c r="E1476" s="23" t="n">
        <f aca="false">IF(AND(OR(Nonlabor!$D$8="Both",Nonlabor!$D$8='Start Here'!$B$9),IF(Nonlabor!$E$8="Core",1,IF(Nonlabor!$E$8="AI",'Start Here'!$B$7,'Start Here'!$B$8))=1,C1476&gt;=IF(Nonlabor!$E$8="Core",Nonlabor!$F$8,MAX(Nonlabor!$F$8,IF(Nonlabor!$E$8="AI",Assumptions!$D$24,Assumptions!$D$25))),C1476&lt;=Nonlabor!$G$8,OR(Nonlabor!$H$8="Monthly",AND(Nonlabor!$H$8="Once",C1476=IF(Nonlabor!$E$8="Core",Nonlabor!$F$8,MAX(Nonlabor!$F$8,IF(Nonlabor!$E$8="AI",Assumptions!$D$24,Assumptions!$D$25)))),AND(Nonlabor!$H$8="Annual",MOD(C1476-IF(Nonlabor!$E$8="Core",Nonlabor!$F$8,MAX(Nonlabor!$F$8,IF(Nonlabor!$E$8="AI",Assumptions!$D$24,Assumptions!$D$25))),12)=0))),IF(Nonlabor!$I$8="Fixed",1,IF(Nonlabor!$I$8="Seats",ROUNDUP('Monthly Base'!I36,0),IF(Nonlabor!$I$8="Customers",'Monthly Base'!D36,IF(Nonlabor!$I$8="NewCustomers",'Monthly Base'!C36,IF(Nonlabor!$I$8="StorageGB",'Monthly Base'!G36,IF(Nonlabor!$I$8="LogGB",'Monthly Base'!H36,IF(Nonlabor!$I$8="RequestsM",'Monthly Base'!F36,IF(Nonlabor!$I$8="InputM",'Monthly Base'!D36*Assumptions!$D$22/1000000,IF(Nonlabor!$I$8="OutputM",'Monthly Base'!D36*Assumptions!$D$23/1000000,0))))))))),0)</f>
        <v>0</v>
      </c>
      <c r="F1476" s="10" t="n">
        <f aca="false">Nonlabor!$J$8*(1+Assumptions!$D$9)^INT((C1476-1)/12)</f>
        <v>1166.99</v>
      </c>
      <c r="G1476" s="10" t="n">
        <f aca="false">E1476*F1476</f>
        <v>0</v>
      </c>
      <c r="H1476" s="10" t="n">
        <f aca="false">IF(OR(Nonlabor!$L$8="Quote required",Nonlabor!$L$8="Unverified"),G1476,0)</f>
        <v>0</v>
      </c>
      <c r="I1476" s="10" t="n">
        <f aca="false">IF(Nonlabor!$E$8="Core",0,G1476)</f>
        <v>0</v>
      </c>
      <c r="J1476" s="23" t="str">
        <f aca="false">Nonlabor!$B$8</f>
        <v>INFRA</v>
      </c>
    </row>
    <row r="1477" customFormat="false" ht="15" hidden="false" customHeight="false" outlineLevel="0" collapsed="false">
      <c r="A1477" s="6" t="s">
        <v>4</v>
      </c>
      <c r="B1477" s="6" t="s">
        <v>376</v>
      </c>
      <c r="C1477" s="6" t="n">
        <v>32</v>
      </c>
      <c r="D1477" s="25" t="n">
        <f aca="false">EDATE('Start Here'!$B$6,C1477-1)</f>
        <v>47270</v>
      </c>
      <c r="E1477" s="23" t="n">
        <f aca="false">IF(AND(OR(Nonlabor!$D$8="Both",Nonlabor!$D$8='Start Here'!$B$9),IF(Nonlabor!$E$8="Core",1,IF(Nonlabor!$E$8="AI",'Start Here'!$B$7,'Start Here'!$B$8))=1,C1477&gt;=IF(Nonlabor!$E$8="Core",Nonlabor!$F$8,MAX(Nonlabor!$F$8,IF(Nonlabor!$E$8="AI",Assumptions!$D$24,Assumptions!$D$25))),C1477&lt;=Nonlabor!$G$8,OR(Nonlabor!$H$8="Monthly",AND(Nonlabor!$H$8="Once",C1477=IF(Nonlabor!$E$8="Core",Nonlabor!$F$8,MAX(Nonlabor!$F$8,IF(Nonlabor!$E$8="AI",Assumptions!$D$24,Assumptions!$D$25)))),AND(Nonlabor!$H$8="Annual",MOD(C1477-IF(Nonlabor!$E$8="Core",Nonlabor!$F$8,MAX(Nonlabor!$F$8,IF(Nonlabor!$E$8="AI",Assumptions!$D$24,Assumptions!$D$25))),12)=0))),IF(Nonlabor!$I$8="Fixed",1,IF(Nonlabor!$I$8="Seats",ROUNDUP('Monthly Base'!I37,0),IF(Nonlabor!$I$8="Customers",'Monthly Base'!D37,IF(Nonlabor!$I$8="NewCustomers",'Monthly Base'!C37,IF(Nonlabor!$I$8="StorageGB",'Monthly Base'!G37,IF(Nonlabor!$I$8="LogGB",'Monthly Base'!H37,IF(Nonlabor!$I$8="RequestsM",'Monthly Base'!F37,IF(Nonlabor!$I$8="InputM",'Monthly Base'!D37*Assumptions!$D$22/1000000,IF(Nonlabor!$I$8="OutputM",'Monthly Base'!D37*Assumptions!$D$23/1000000,0))))))))),0)</f>
        <v>0</v>
      </c>
      <c r="F1477" s="10" t="n">
        <f aca="false">Nonlabor!$J$8*(1+Assumptions!$D$9)^INT((C1477-1)/12)</f>
        <v>1166.99</v>
      </c>
      <c r="G1477" s="10" t="n">
        <f aca="false">E1477*F1477</f>
        <v>0</v>
      </c>
      <c r="H1477" s="10" t="n">
        <f aca="false">IF(OR(Nonlabor!$L$8="Quote required",Nonlabor!$L$8="Unverified"),G1477,0)</f>
        <v>0</v>
      </c>
      <c r="I1477" s="10" t="n">
        <f aca="false">IF(Nonlabor!$E$8="Core",0,G1477)</f>
        <v>0</v>
      </c>
      <c r="J1477" s="23" t="str">
        <f aca="false">Nonlabor!$B$8</f>
        <v>INFRA</v>
      </c>
    </row>
    <row r="1478" customFormat="false" ht="15" hidden="false" customHeight="false" outlineLevel="0" collapsed="false">
      <c r="A1478" s="6" t="s">
        <v>4</v>
      </c>
      <c r="B1478" s="6" t="s">
        <v>376</v>
      </c>
      <c r="C1478" s="6" t="n">
        <v>33</v>
      </c>
      <c r="D1478" s="25" t="n">
        <f aca="false">EDATE('Start Here'!$B$6,C1478-1)</f>
        <v>47300</v>
      </c>
      <c r="E1478" s="23" t="n">
        <f aca="false">IF(AND(OR(Nonlabor!$D$8="Both",Nonlabor!$D$8='Start Here'!$B$9),IF(Nonlabor!$E$8="Core",1,IF(Nonlabor!$E$8="AI",'Start Here'!$B$7,'Start Here'!$B$8))=1,C1478&gt;=IF(Nonlabor!$E$8="Core",Nonlabor!$F$8,MAX(Nonlabor!$F$8,IF(Nonlabor!$E$8="AI",Assumptions!$D$24,Assumptions!$D$25))),C1478&lt;=Nonlabor!$G$8,OR(Nonlabor!$H$8="Monthly",AND(Nonlabor!$H$8="Once",C1478=IF(Nonlabor!$E$8="Core",Nonlabor!$F$8,MAX(Nonlabor!$F$8,IF(Nonlabor!$E$8="AI",Assumptions!$D$24,Assumptions!$D$25)))),AND(Nonlabor!$H$8="Annual",MOD(C1478-IF(Nonlabor!$E$8="Core",Nonlabor!$F$8,MAX(Nonlabor!$F$8,IF(Nonlabor!$E$8="AI",Assumptions!$D$24,Assumptions!$D$25))),12)=0))),IF(Nonlabor!$I$8="Fixed",1,IF(Nonlabor!$I$8="Seats",ROUNDUP('Monthly Base'!I38,0),IF(Nonlabor!$I$8="Customers",'Monthly Base'!D38,IF(Nonlabor!$I$8="NewCustomers",'Monthly Base'!C38,IF(Nonlabor!$I$8="StorageGB",'Monthly Base'!G38,IF(Nonlabor!$I$8="LogGB",'Monthly Base'!H38,IF(Nonlabor!$I$8="RequestsM",'Monthly Base'!F38,IF(Nonlabor!$I$8="InputM",'Monthly Base'!D38*Assumptions!$D$22/1000000,IF(Nonlabor!$I$8="OutputM",'Monthly Base'!D38*Assumptions!$D$23/1000000,0))))))))),0)</f>
        <v>0</v>
      </c>
      <c r="F1478" s="10" t="n">
        <f aca="false">Nonlabor!$J$8*(1+Assumptions!$D$9)^INT((C1478-1)/12)</f>
        <v>1166.99</v>
      </c>
      <c r="G1478" s="10" t="n">
        <f aca="false">E1478*F1478</f>
        <v>0</v>
      </c>
      <c r="H1478" s="10" t="n">
        <f aca="false">IF(OR(Nonlabor!$L$8="Quote required",Nonlabor!$L$8="Unverified"),G1478,0)</f>
        <v>0</v>
      </c>
      <c r="I1478" s="10" t="n">
        <f aca="false">IF(Nonlabor!$E$8="Core",0,G1478)</f>
        <v>0</v>
      </c>
      <c r="J1478" s="23" t="str">
        <f aca="false">Nonlabor!$B$8</f>
        <v>INFRA</v>
      </c>
    </row>
    <row r="1479" customFormat="false" ht="15" hidden="false" customHeight="false" outlineLevel="0" collapsed="false">
      <c r="A1479" s="6" t="s">
        <v>4</v>
      </c>
      <c r="B1479" s="6" t="s">
        <v>376</v>
      </c>
      <c r="C1479" s="6" t="n">
        <v>34</v>
      </c>
      <c r="D1479" s="25" t="n">
        <f aca="false">EDATE('Start Here'!$B$6,C1479-1)</f>
        <v>47331</v>
      </c>
      <c r="E1479" s="23" t="n">
        <f aca="false">IF(AND(OR(Nonlabor!$D$8="Both",Nonlabor!$D$8='Start Here'!$B$9),IF(Nonlabor!$E$8="Core",1,IF(Nonlabor!$E$8="AI",'Start Here'!$B$7,'Start Here'!$B$8))=1,C1479&gt;=IF(Nonlabor!$E$8="Core",Nonlabor!$F$8,MAX(Nonlabor!$F$8,IF(Nonlabor!$E$8="AI",Assumptions!$D$24,Assumptions!$D$25))),C1479&lt;=Nonlabor!$G$8,OR(Nonlabor!$H$8="Monthly",AND(Nonlabor!$H$8="Once",C1479=IF(Nonlabor!$E$8="Core",Nonlabor!$F$8,MAX(Nonlabor!$F$8,IF(Nonlabor!$E$8="AI",Assumptions!$D$24,Assumptions!$D$25)))),AND(Nonlabor!$H$8="Annual",MOD(C1479-IF(Nonlabor!$E$8="Core",Nonlabor!$F$8,MAX(Nonlabor!$F$8,IF(Nonlabor!$E$8="AI",Assumptions!$D$24,Assumptions!$D$25))),12)=0))),IF(Nonlabor!$I$8="Fixed",1,IF(Nonlabor!$I$8="Seats",ROUNDUP('Monthly Base'!I39,0),IF(Nonlabor!$I$8="Customers",'Monthly Base'!D39,IF(Nonlabor!$I$8="NewCustomers",'Monthly Base'!C39,IF(Nonlabor!$I$8="StorageGB",'Monthly Base'!G39,IF(Nonlabor!$I$8="LogGB",'Monthly Base'!H39,IF(Nonlabor!$I$8="RequestsM",'Monthly Base'!F39,IF(Nonlabor!$I$8="InputM",'Monthly Base'!D39*Assumptions!$D$22/1000000,IF(Nonlabor!$I$8="OutputM",'Monthly Base'!D39*Assumptions!$D$23/1000000,0))))))))),0)</f>
        <v>0</v>
      </c>
      <c r="F1479" s="10" t="n">
        <f aca="false">Nonlabor!$J$8*(1+Assumptions!$D$9)^INT((C1479-1)/12)</f>
        <v>1166.99</v>
      </c>
      <c r="G1479" s="10" t="n">
        <f aca="false">E1479*F1479</f>
        <v>0</v>
      </c>
      <c r="H1479" s="10" t="n">
        <f aca="false">IF(OR(Nonlabor!$L$8="Quote required",Nonlabor!$L$8="Unverified"),G1479,0)</f>
        <v>0</v>
      </c>
      <c r="I1479" s="10" t="n">
        <f aca="false">IF(Nonlabor!$E$8="Core",0,G1479)</f>
        <v>0</v>
      </c>
      <c r="J1479" s="23" t="str">
        <f aca="false">Nonlabor!$B$8</f>
        <v>INFRA</v>
      </c>
    </row>
    <row r="1480" customFormat="false" ht="15" hidden="false" customHeight="false" outlineLevel="0" collapsed="false">
      <c r="A1480" s="6" t="s">
        <v>4</v>
      </c>
      <c r="B1480" s="6" t="s">
        <v>376</v>
      </c>
      <c r="C1480" s="6" t="n">
        <v>35</v>
      </c>
      <c r="D1480" s="25" t="n">
        <f aca="false">EDATE('Start Here'!$B$6,C1480-1)</f>
        <v>47362</v>
      </c>
      <c r="E1480" s="23" t="n">
        <f aca="false">IF(AND(OR(Nonlabor!$D$8="Both",Nonlabor!$D$8='Start Here'!$B$9),IF(Nonlabor!$E$8="Core",1,IF(Nonlabor!$E$8="AI",'Start Here'!$B$7,'Start Here'!$B$8))=1,C1480&gt;=IF(Nonlabor!$E$8="Core",Nonlabor!$F$8,MAX(Nonlabor!$F$8,IF(Nonlabor!$E$8="AI",Assumptions!$D$24,Assumptions!$D$25))),C1480&lt;=Nonlabor!$G$8,OR(Nonlabor!$H$8="Monthly",AND(Nonlabor!$H$8="Once",C1480=IF(Nonlabor!$E$8="Core",Nonlabor!$F$8,MAX(Nonlabor!$F$8,IF(Nonlabor!$E$8="AI",Assumptions!$D$24,Assumptions!$D$25)))),AND(Nonlabor!$H$8="Annual",MOD(C1480-IF(Nonlabor!$E$8="Core",Nonlabor!$F$8,MAX(Nonlabor!$F$8,IF(Nonlabor!$E$8="AI",Assumptions!$D$24,Assumptions!$D$25))),12)=0))),IF(Nonlabor!$I$8="Fixed",1,IF(Nonlabor!$I$8="Seats",ROUNDUP('Monthly Base'!I40,0),IF(Nonlabor!$I$8="Customers",'Monthly Base'!D40,IF(Nonlabor!$I$8="NewCustomers",'Monthly Base'!C40,IF(Nonlabor!$I$8="StorageGB",'Monthly Base'!G40,IF(Nonlabor!$I$8="LogGB",'Monthly Base'!H40,IF(Nonlabor!$I$8="RequestsM",'Monthly Base'!F40,IF(Nonlabor!$I$8="InputM",'Monthly Base'!D40*Assumptions!$D$22/1000000,IF(Nonlabor!$I$8="OutputM",'Monthly Base'!D40*Assumptions!$D$23/1000000,0))))))))),0)</f>
        <v>0</v>
      </c>
      <c r="F1480" s="10" t="n">
        <f aca="false">Nonlabor!$J$8*(1+Assumptions!$D$9)^INT((C1480-1)/12)</f>
        <v>1166.99</v>
      </c>
      <c r="G1480" s="10" t="n">
        <f aca="false">E1480*F1480</f>
        <v>0</v>
      </c>
      <c r="H1480" s="10" t="n">
        <f aca="false">IF(OR(Nonlabor!$L$8="Quote required",Nonlabor!$L$8="Unverified"),G1480,0)</f>
        <v>0</v>
      </c>
      <c r="I1480" s="10" t="n">
        <f aca="false">IF(Nonlabor!$E$8="Core",0,G1480)</f>
        <v>0</v>
      </c>
      <c r="J1480" s="23" t="str">
        <f aca="false">Nonlabor!$B$8</f>
        <v>INFRA</v>
      </c>
    </row>
    <row r="1481" customFormat="false" ht="15" hidden="false" customHeight="false" outlineLevel="0" collapsed="false">
      <c r="A1481" s="6" t="s">
        <v>4</v>
      </c>
      <c r="B1481" s="6" t="s">
        <v>376</v>
      </c>
      <c r="C1481" s="6" t="n">
        <v>36</v>
      </c>
      <c r="D1481" s="25" t="n">
        <f aca="false">EDATE('Start Here'!$B$6,C1481-1)</f>
        <v>47392</v>
      </c>
      <c r="E1481" s="23" t="n">
        <f aca="false">IF(AND(OR(Nonlabor!$D$8="Both",Nonlabor!$D$8='Start Here'!$B$9),IF(Nonlabor!$E$8="Core",1,IF(Nonlabor!$E$8="AI",'Start Here'!$B$7,'Start Here'!$B$8))=1,C1481&gt;=IF(Nonlabor!$E$8="Core",Nonlabor!$F$8,MAX(Nonlabor!$F$8,IF(Nonlabor!$E$8="AI",Assumptions!$D$24,Assumptions!$D$25))),C1481&lt;=Nonlabor!$G$8,OR(Nonlabor!$H$8="Monthly",AND(Nonlabor!$H$8="Once",C1481=IF(Nonlabor!$E$8="Core",Nonlabor!$F$8,MAX(Nonlabor!$F$8,IF(Nonlabor!$E$8="AI",Assumptions!$D$24,Assumptions!$D$25)))),AND(Nonlabor!$H$8="Annual",MOD(C1481-IF(Nonlabor!$E$8="Core",Nonlabor!$F$8,MAX(Nonlabor!$F$8,IF(Nonlabor!$E$8="AI",Assumptions!$D$24,Assumptions!$D$25))),12)=0))),IF(Nonlabor!$I$8="Fixed",1,IF(Nonlabor!$I$8="Seats",ROUNDUP('Monthly Base'!I41,0),IF(Nonlabor!$I$8="Customers",'Monthly Base'!D41,IF(Nonlabor!$I$8="NewCustomers",'Monthly Base'!C41,IF(Nonlabor!$I$8="StorageGB",'Monthly Base'!G41,IF(Nonlabor!$I$8="LogGB",'Monthly Base'!H41,IF(Nonlabor!$I$8="RequestsM",'Monthly Base'!F41,IF(Nonlabor!$I$8="InputM",'Monthly Base'!D41*Assumptions!$D$22/1000000,IF(Nonlabor!$I$8="OutputM",'Monthly Base'!D41*Assumptions!$D$23/1000000,0))))))))),0)</f>
        <v>0</v>
      </c>
      <c r="F1481" s="10" t="n">
        <f aca="false">Nonlabor!$J$8*(1+Assumptions!$D$9)^INT((C1481-1)/12)</f>
        <v>1166.99</v>
      </c>
      <c r="G1481" s="10" t="n">
        <f aca="false">E1481*F1481</f>
        <v>0</v>
      </c>
      <c r="H1481" s="10" t="n">
        <f aca="false">IF(OR(Nonlabor!$L$8="Quote required",Nonlabor!$L$8="Unverified"),G1481,0)</f>
        <v>0</v>
      </c>
      <c r="I1481" s="10" t="n">
        <f aca="false">IF(Nonlabor!$E$8="Core",0,G1481)</f>
        <v>0</v>
      </c>
      <c r="J1481" s="23" t="str">
        <f aca="false">Nonlabor!$B$8</f>
        <v>INFRA</v>
      </c>
    </row>
    <row r="1482" customFormat="false" ht="15" hidden="false" customHeight="false" outlineLevel="0" collapsed="false">
      <c r="A1482" s="6" t="s">
        <v>4</v>
      </c>
      <c r="B1482" s="6" t="s">
        <v>376</v>
      </c>
      <c r="C1482" s="6" t="n">
        <v>37</v>
      </c>
      <c r="D1482" s="25" t="n">
        <f aca="false">EDATE('Start Here'!$B$6,C1482-1)</f>
        <v>47423</v>
      </c>
      <c r="E1482" s="23" t="n">
        <f aca="false">IF(AND(OR(Nonlabor!$D$8="Both",Nonlabor!$D$8='Start Here'!$B$9),IF(Nonlabor!$E$8="Core",1,IF(Nonlabor!$E$8="AI",'Start Here'!$B$7,'Start Here'!$B$8))=1,C1482&gt;=IF(Nonlabor!$E$8="Core",Nonlabor!$F$8,MAX(Nonlabor!$F$8,IF(Nonlabor!$E$8="AI",Assumptions!$D$24,Assumptions!$D$25))),C1482&lt;=Nonlabor!$G$8,OR(Nonlabor!$H$8="Monthly",AND(Nonlabor!$H$8="Once",C1482=IF(Nonlabor!$E$8="Core",Nonlabor!$F$8,MAX(Nonlabor!$F$8,IF(Nonlabor!$E$8="AI",Assumptions!$D$24,Assumptions!$D$25)))),AND(Nonlabor!$H$8="Annual",MOD(C1482-IF(Nonlabor!$E$8="Core",Nonlabor!$F$8,MAX(Nonlabor!$F$8,IF(Nonlabor!$E$8="AI",Assumptions!$D$24,Assumptions!$D$25))),12)=0))),IF(Nonlabor!$I$8="Fixed",1,IF(Nonlabor!$I$8="Seats",ROUNDUP('Monthly Base'!I42,0),IF(Nonlabor!$I$8="Customers",'Monthly Base'!D42,IF(Nonlabor!$I$8="NewCustomers",'Monthly Base'!C42,IF(Nonlabor!$I$8="StorageGB",'Monthly Base'!G42,IF(Nonlabor!$I$8="LogGB",'Monthly Base'!H42,IF(Nonlabor!$I$8="RequestsM",'Monthly Base'!F42,IF(Nonlabor!$I$8="InputM",'Monthly Base'!D42*Assumptions!$D$22/1000000,IF(Nonlabor!$I$8="OutputM",'Monthly Base'!D42*Assumptions!$D$23/1000000,0))))))))),0)</f>
        <v>0</v>
      </c>
      <c r="F1482" s="10" t="n">
        <f aca="false">Nonlabor!$J$8*(1+Assumptions!$D$9)^INT((C1482-1)/12)</f>
        <v>1201.9997</v>
      </c>
      <c r="G1482" s="10" t="n">
        <f aca="false">E1482*F1482</f>
        <v>0</v>
      </c>
      <c r="H1482" s="10" t="n">
        <f aca="false">IF(OR(Nonlabor!$L$8="Quote required",Nonlabor!$L$8="Unverified"),G1482,0)</f>
        <v>0</v>
      </c>
      <c r="I1482" s="10" t="n">
        <f aca="false">IF(Nonlabor!$E$8="Core",0,G1482)</f>
        <v>0</v>
      </c>
      <c r="J1482" s="23" t="str">
        <f aca="false">Nonlabor!$B$8</f>
        <v>INFRA</v>
      </c>
    </row>
    <row r="1483" customFormat="false" ht="15" hidden="false" customHeight="false" outlineLevel="0" collapsed="false">
      <c r="A1483" s="6" t="s">
        <v>4</v>
      </c>
      <c r="B1483" s="6" t="s">
        <v>376</v>
      </c>
      <c r="C1483" s="6" t="n">
        <v>38</v>
      </c>
      <c r="D1483" s="25" t="n">
        <f aca="false">EDATE('Start Here'!$B$6,C1483-1)</f>
        <v>47453</v>
      </c>
      <c r="E1483" s="23" t="n">
        <f aca="false">IF(AND(OR(Nonlabor!$D$8="Both",Nonlabor!$D$8='Start Here'!$B$9),IF(Nonlabor!$E$8="Core",1,IF(Nonlabor!$E$8="AI",'Start Here'!$B$7,'Start Here'!$B$8))=1,C1483&gt;=IF(Nonlabor!$E$8="Core",Nonlabor!$F$8,MAX(Nonlabor!$F$8,IF(Nonlabor!$E$8="AI",Assumptions!$D$24,Assumptions!$D$25))),C1483&lt;=Nonlabor!$G$8,OR(Nonlabor!$H$8="Monthly",AND(Nonlabor!$H$8="Once",C1483=IF(Nonlabor!$E$8="Core",Nonlabor!$F$8,MAX(Nonlabor!$F$8,IF(Nonlabor!$E$8="AI",Assumptions!$D$24,Assumptions!$D$25)))),AND(Nonlabor!$H$8="Annual",MOD(C1483-IF(Nonlabor!$E$8="Core",Nonlabor!$F$8,MAX(Nonlabor!$F$8,IF(Nonlabor!$E$8="AI",Assumptions!$D$24,Assumptions!$D$25))),12)=0))),IF(Nonlabor!$I$8="Fixed",1,IF(Nonlabor!$I$8="Seats",ROUNDUP('Monthly Base'!I43,0),IF(Nonlabor!$I$8="Customers",'Monthly Base'!D43,IF(Nonlabor!$I$8="NewCustomers",'Monthly Base'!C43,IF(Nonlabor!$I$8="StorageGB",'Monthly Base'!G43,IF(Nonlabor!$I$8="LogGB",'Monthly Base'!H43,IF(Nonlabor!$I$8="RequestsM",'Monthly Base'!F43,IF(Nonlabor!$I$8="InputM",'Monthly Base'!D43*Assumptions!$D$22/1000000,IF(Nonlabor!$I$8="OutputM",'Monthly Base'!D43*Assumptions!$D$23/1000000,0))))))))),0)</f>
        <v>0</v>
      </c>
      <c r="F1483" s="10" t="n">
        <f aca="false">Nonlabor!$J$8*(1+Assumptions!$D$9)^INT((C1483-1)/12)</f>
        <v>1201.9997</v>
      </c>
      <c r="G1483" s="10" t="n">
        <f aca="false">E1483*F1483</f>
        <v>0</v>
      </c>
      <c r="H1483" s="10" t="n">
        <f aca="false">IF(OR(Nonlabor!$L$8="Quote required",Nonlabor!$L$8="Unverified"),G1483,0)</f>
        <v>0</v>
      </c>
      <c r="I1483" s="10" t="n">
        <f aca="false">IF(Nonlabor!$E$8="Core",0,G1483)</f>
        <v>0</v>
      </c>
      <c r="J1483" s="23" t="str">
        <f aca="false">Nonlabor!$B$8</f>
        <v>INFRA</v>
      </c>
    </row>
    <row r="1484" customFormat="false" ht="15" hidden="false" customHeight="false" outlineLevel="0" collapsed="false">
      <c r="A1484" s="6" t="s">
        <v>4</v>
      </c>
      <c r="B1484" s="6" t="s">
        <v>376</v>
      </c>
      <c r="C1484" s="6" t="n">
        <v>39</v>
      </c>
      <c r="D1484" s="25" t="n">
        <f aca="false">EDATE('Start Here'!$B$6,C1484-1)</f>
        <v>47484</v>
      </c>
      <c r="E1484" s="23" t="n">
        <f aca="false">IF(AND(OR(Nonlabor!$D$8="Both",Nonlabor!$D$8='Start Here'!$B$9),IF(Nonlabor!$E$8="Core",1,IF(Nonlabor!$E$8="AI",'Start Here'!$B$7,'Start Here'!$B$8))=1,C1484&gt;=IF(Nonlabor!$E$8="Core",Nonlabor!$F$8,MAX(Nonlabor!$F$8,IF(Nonlabor!$E$8="AI",Assumptions!$D$24,Assumptions!$D$25))),C1484&lt;=Nonlabor!$G$8,OR(Nonlabor!$H$8="Monthly",AND(Nonlabor!$H$8="Once",C1484=IF(Nonlabor!$E$8="Core",Nonlabor!$F$8,MAX(Nonlabor!$F$8,IF(Nonlabor!$E$8="AI",Assumptions!$D$24,Assumptions!$D$25)))),AND(Nonlabor!$H$8="Annual",MOD(C1484-IF(Nonlabor!$E$8="Core",Nonlabor!$F$8,MAX(Nonlabor!$F$8,IF(Nonlabor!$E$8="AI",Assumptions!$D$24,Assumptions!$D$25))),12)=0))),IF(Nonlabor!$I$8="Fixed",1,IF(Nonlabor!$I$8="Seats",ROUNDUP('Monthly Base'!I44,0),IF(Nonlabor!$I$8="Customers",'Monthly Base'!D44,IF(Nonlabor!$I$8="NewCustomers",'Monthly Base'!C44,IF(Nonlabor!$I$8="StorageGB",'Monthly Base'!G44,IF(Nonlabor!$I$8="LogGB",'Monthly Base'!H44,IF(Nonlabor!$I$8="RequestsM",'Monthly Base'!F44,IF(Nonlabor!$I$8="InputM",'Monthly Base'!D44*Assumptions!$D$22/1000000,IF(Nonlabor!$I$8="OutputM",'Monthly Base'!D44*Assumptions!$D$23/1000000,0))))))))),0)</f>
        <v>0</v>
      </c>
      <c r="F1484" s="10" t="n">
        <f aca="false">Nonlabor!$J$8*(1+Assumptions!$D$9)^INT((C1484-1)/12)</f>
        <v>1201.9997</v>
      </c>
      <c r="G1484" s="10" t="n">
        <f aca="false">E1484*F1484</f>
        <v>0</v>
      </c>
      <c r="H1484" s="10" t="n">
        <f aca="false">IF(OR(Nonlabor!$L$8="Quote required",Nonlabor!$L$8="Unverified"),G1484,0)</f>
        <v>0</v>
      </c>
      <c r="I1484" s="10" t="n">
        <f aca="false">IF(Nonlabor!$E$8="Core",0,G1484)</f>
        <v>0</v>
      </c>
      <c r="J1484" s="23" t="str">
        <f aca="false">Nonlabor!$B$8</f>
        <v>INFRA</v>
      </c>
    </row>
    <row r="1485" customFormat="false" ht="15" hidden="false" customHeight="false" outlineLevel="0" collapsed="false">
      <c r="A1485" s="6" t="s">
        <v>4</v>
      </c>
      <c r="B1485" s="6" t="s">
        <v>376</v>
      </c>
      <c r="C1485" s="6" t="n">
        <v>40</v>
      </c>
      <c r="D1485" s="25" t="n">
        <f aca="false">EDATE('Start Here'!$B$6,C1485-1)</f>
        <v>47515</v>
      </c>
      <c r="E1485" s="23" t="n">
        <f aca="false">IF(AND(OR(Nonlabor!$D$8="Both",Nonlabor!$D$8='Start Here'!$B$9),IF(Nonlabor!$E$8="Core",1,IF(Nonlabor!$E$8="AI",'Start Here'!$B$7,'Start Here'!$B$8))=1,C1485&gt;=IF(Nonlabor!$E$8="Core",Nonlabor!$F$8,MAX(Nonlabor!$F$8,IF(Nonlabor!$E$8="AI",Assumptions!$D$24,Assumptions!$D$25))),C1485&lt;=Nonlabor!$G$8,OR(Nonlabor!$H$8="Monthly",AND(Nonlabor!$H$8="Once",C1485=IF(Nonlabor!$E$8="Core",Nonlabor!$F$8,MAX(Nonlabor!$F$8,IF(Nonlabor!$E$8="AI",Assumptions!$D$24,Assumptions!$D$25)))),AND(Nonlabor!$H$8="Annual",MOD(C1485-IF(Nonlabor!$E$8="Core",Nonlabor!$F$8,MAX(Nonlabor!$F$8,IF(Nonlabor!$E$8="AI",Assumptions!$D$24,Assumptions!$D$25))),12)=0))),IF(Nonlabor!$I$8="Fixed",1,IF(Nonlabor!$I$8="Seats",ROUNDUP('Monthly Base'!I45,0),IF(Nonlabor!$I$8="Customers",'Monthly Base'!D45,IF(Nonlabor!$I$8="NewCustomers",'Monthly Base'!C45,IF(Nonlabor!$I$8="StorageGB",'Monthly Base'!G45,IF(Nonlabor!$I$8="LogGB",'Monthly Base'!H45,IF(Nonlabor!$I$8="RequestsM",'Monthly Base'!F45,IF(Nonlabor!$I$8="InputM",'Monthly Base'!D45*Assumptions!$D$22/1000000,IF(Nonlabor!$I$8="OutputM",'Monthly Base'!D45*Assumptions!$D$23/1000000,0))))))))),0)</f>
        <v>0</v>
      </c>
      <c r="F1485" s="10" t="n">
        <f aca="false">Nonlabor!$J$8*(1+Assumptions!$D$9)^INT((C1485-1)/12)</f>
        <v>1201.9997</v>
      </c>
      <c r="G1485" s="10" t="n">
        <f aca="false">E1485*F1485</f>
        <v>0</v>
      </c>
      <c r="H1485" s="10" t="n">
        <f aca="false">IF(OR(Nonlabor!$L$8="Quote required",Nonlabor!$L$8="Unverified"),G1485,0)</f>
        <v>0</v>
      </c>
      <c r="I1485" s="10" t="n">
        <f aca="false">IF(Nonlabor!$E$8="Core",0,G1485)</f>
        <v>0</v>
      </c>
      <c r="J1485" s="23" t="str">
        <f aca="false">Nonlabor!$B$8</f>
        <v>INFRA</v>
      </c>
    </row>
    <row r="1486" customFormat="false" ht="15" hidden="false" customHeight="false" outlineLevel="0" collapsed="false">
      <c r="A1486" s="6" t="s">
        <v>4</v>
      </c>
      <c r="B1486" s="6" t="s">
        <v>376</v>
      </c>
      <c r="C1486" s="6" t="n">
        <v>41</v>
      </c>
      <c r="D1486" s="25" t="n">
        <f aca="false">EDATE('Start Here'!$B$6,C1486-1)</f>
        <v>47543</v>
      </c>
      <c r="E1486" s="23" t="n">
        <f aca="false">IF(AND(OR(Nonlabor!$D$8="Both",Nonlabor!$D$8='Start Here'!$B$9),IF(Nonlabor!$E$8="Core",1,IF(Nonlabor!$E$8="AI",'Start Here'!$B$7,'Start Here'!$B$8))=1,C1486&gt;=IF(Nonlabor!$E$8="Core",Nonlabor!$F$8,MAX(Nonlabor!$F$8,IF(Nonlabor!$E$8="AI",Assumptions!$D$24,Assumptions!$D$25))),C1486&lt;=Nonlabor!$G$8,OR(Nonlabor!$H$8="Monthly",AND(Nonlabor!$H$8="Once",C1486=IF(Nonlabor!$E$8="Core",Nonlabor!$F$8,MAX(Nonlabor!$F$8,IF(Nonlabor!$E$8="AI",Assumptions!$D$24,Assumptions!$D$25)))),AND(Nonlabor!$H$8="Annual",MOD(C1486-IF(Nonlabor!$E$8="Core",Nonlabor!$F$8,MAX(Nonlabor!$F$8,IF(Nonlabor!$E$8="AI",Assumptions!$D$24,Assumptions!$D$25))),12)=0))),IF(Nonlabor!$I$8="Fixed",1,IF(Nonlabor!$I$8="Seats",ROUNDUP('Monthly Base'!I46,0),IF(Nonlabor!$I$8="Customers",'Monthly Base'!D46,IF(Nonlabor!$I$8="NewCustomers",'Monthly Base'!C46,IF(Nonlabor!$I$8="StorageGB",'Monthly Base'!G46,IF(Nonlabor!$I$8="LogGB",'Monthly Base'!H46,IF(Nonlabor!$I$8="RequestsM",'Monthly Base'!F46,IF(Nonlabor!$I$8="InputM",'Monthly Base'!D46*Assumptions!$D$22/1000000,IF(Nonlabor!$I$8="OutputM",'Monthly Base'!D46*Assumptions!$D$23/1000000,0))))))))),0)</f>
        <v>0</v>
      </c>
      <c r="F1486" s="10" t="n">
        <f aca="false">Nonlabor!$J$8*(1+Assumptions!$D$9)^INT((C1486-1)/12)</f>
        <v>1201.9997</v>
      </c>
      <c r="G1486" s="10" t="n">
        <f aca="false">E1486*F1486</f>
        <v>0</v>
      </c>
      <c r="H1486" s="10" t="n">
        <f aca="false">IF(OR(Nonlabor!$L$8="Quote required",Nonlabor!$L$8="Unverified"),G1486,0)</f>
        <v>0</v>
      </c>
      <c r="I1486" s="10" t="n">
        <f aca="false">IF(Nonlabor!$E$8="Core",0,G1486)</f>
        <v>0</v>
      </c>
      <c r="J1486" s="23" t="str">
        <f aca="false">Nonlabor!$B$8</f>
        <v>INFRA</v>
      </c>
    </row>
    <row r="1487" customFormat="false" ht="15" hidden="false" customHeight="false" outlineLevel="0" collapsed="false">
      <c r="A1487" s="6" t="s">
        <v>4</v>
      </c>
      <c r="B1487" s="6" t="s">
        <v>376</v>
      </c>
      <c r="C1487" s="6" t="n">
        <v>42</v>
      </c>
      <c r="D1487" s="25" t="n">
        <f aca="false">EDATE('Start Here'!$B$6,C1487-1)</f>
        <v>47574</v>
      </c>
      <c r="E1487" s="23" t="n">
        <f aca="false">IF(AND(OR(Nonlabor!$D$8="Both",Nonlabor!$D$8='Start Here'!$B$9),IF(Nonlabor!$E$8="Core",1,IF(Nonlabor!$E$8="AI",'Start Here'!$B$7,'Start Here'!$B$8))=1,C1487&gt;=IF(Nonlabor!$E$8="Core",Nonlabor!$F$8,MAX(Nonlabor!$F$8,IF(Nonlabor!$E$8="AI",Assumptions!$D$24,Assumptions!$D$25))),C1487&lt;=Nonlabor!$G$8,OR(Nonlabor!$H$8="Monthly",AND(Nonlabor!$H$8="Once",C1487=IF(Nonlabor!$E$8="Core",Nonlabor!$F$8,MAX(Nonlabor!$F$8,IF(Nonlabor!$E$8="AI",Assumptions!$D$24,Assumptions!$D$25)))),AND(Nonlabor!$H$8="Annual",MOD(C1487-IF(Nonlabor!$E$8="Core",Nonlabor!$F$8,MAX(Nonlabor!$F$8,IF(Nonlabor!$E$8="AI",Assumptions!$D$24,Assumptions!$D$25))),12)=0))),IF(Nonlabor!$I$8="Fixed",1,IF(Nonlabor!$I$8="Seats",ROUNDUP('Monthly Base'!I47,0),IF(Nonlabor!$I$8="Customers",'Monthly Base'!D47,IF(Nonlabor!$I$8="NewCustomers",'Monthly Base'!C47,IF(Nonlabor!$I$8="StorageGB",'Monthly Base'!G47,IF(Nonlabor!$I$8="LogGB",'Monthly Base'!H47,IF(Nonlabor!$I$8="RequestsM",'Monthly Base'!F47,IF(Nonlabor!$I$8="InputM",'Monthly Base'!D47*Assumptions!$D$22/1000000,IF(Nonlabor!$I$8="OutputM",'Monthly Base'!D47*Assumptions!$D$23/1000000,0))))))))),0)</f>
        <v>0</v>
      </c>
      <c r="F1487" s="10" t="n">
        <f aca="false">Nonlabor!$J$8*(1+Assumptions!$D$9)^INT((C1487-1)/12)</f>
        <v>1201.9997</v>
      </c>
      <c r="G1487" s="10" t="n">
        <f aca="false">E1487*F1487</f>
        <v>0</v>
      </c>
      <c r="H1487" s="10" t="n">
        <f aca="false">IF(OR(Nonlabor!$L$8="Quote required",Nonlabor!$L$8="Unverified"),G1487,0)</f>
        <v>0</v>
      </c>
      <c r="I1487" s="10" t="n">
        <f aca="false">IF(Nonlabor!$E$8="Core",0,G1487)</f>
        <v>0</v>
      </c>
      <c r="J1487" s="23" t="str">
        <f aca="false">Nonlabor!$B$8</f>
        <v>INFRA</v>
      </c>
    </row>
    <row r="1488" customFormat="false" ht="15" hidden="false" customHeight="false" outlineLevel="0" collapsed="false">
      <c r="A1488" s="6" t="s">
        <v>4</v>
      </c>
      <c r="B1488" s="6" t="s">
        <v>376</v>
      </c>
      <c r="C1488" s="6" t="n">
        <v>43</v>
      </c>
      <c r="D1488" s="25" t="n">
        <f aca="false">EDATE('Start Here'!$B$6,C1488-1)</f>
        <v>47604</v>
      </c>
      <c r="E1488" s="23" t="n">
        <f aca="false">IF(AND(OR(Nonlabor!$D$8="Both",Nonlabor!$D$8='Start Here'!$B$9),IF(Nonlabor!$E$8="Core",1,IF(Nonlabor!$E$8="AI",'Start Here'!$B$7,'Start Here'!$B$8))=1,C1488&gt;=IF(Nonlabor!$E$8="Core",Nonlabor!$F$8,MAX(Nonlabor!$F$8,IF(Nonlabor!$E$8="AI",Assumptions!$D$24,Assumptions!$D$25))),C1488&lt;=Nonlabor!$G$8,OR(Nonlabor!$H$8="Monthly",AND(Nonlabor!$H$8="Once",C1488=IF(Nonlabor!$E$8="Core",Nonlabor!$F$8,MAX(Nonlabor!$F$8,IF(Nonlabor!$E$8="AI",Assumptions!$D$24,Assumptions!$D$25)))),AND(Nonlabor!$H$8="Annual",MOD(C1488-IF(Nonlabor!$E$8="Core",Nonlabor!$F$8,MAX(Nonlabor!$F$8,IF(Nonlabor!$E$8="AI",Assumptions!$D$24,Assumptions!$D$25))),12)=0))),IF(Nonlabor!$I$8="Fixed",1,IF(Nonlabor!$I$8="Seats",ROUNDUP('Monthly Base'!I48,0),IF(Nonlabor!$I$8="Customers",'Monthly Base'!D48,IF(Nonlabor!$I$8="NewCustomers",'Monthly Base'!C48,IF(Nonlabor!$I$8="StorageGB",'Monthly Base'!G48,IF(Nonlabor!$I$8="LogGB",'Monthly Base'!H48,IF(Nonlabor!$I$8="RequestsM",'Monthly Base'!F48,IF(Nonlabor!$I$8="InputM",'Monthly Base'!D48*Assumptions!$D$22/1000000,IF(Nonlabor!$I$8="OutputM",'Monthly Base'!D48*Assumptions!$D$23/1000000,0))))))))),0)</f>
        <v>0</v>
      </c>
      <c r="F1488" s="10" t="n">
        <f aca="false">Nonlabor!$J$8*(1+Assumptions!$D$9)^INT((C1488-1)/12)</f>
        <v>1201.9997</v>
      </c>
      <c r="G1488" s="10" t="n">
        <f aca="false">E1488*F1488</f>
        <v>0</v>
      </c>
      <c r="H1488" s="10" t="n">
        <f aca="false">IF(OR(Nonlabor!$L$8="Quote required",Nonlabor!$L$8="Unverified"),G1488,0)</f>
        <v>0</v>
      </c>
      <c r="I1488" s="10" t="n">
        <f aca="false">IF(Nonlabor!$E$8="Core",0,G1488)</f>
        <v>0</v>
      </c>
      <c r="J1488" s="23" t="str">
        <f aca="false">Nonlabor!$B$8</f>
        <v>INFRA</v>
      </c>
    </row>
    <row r="1489" customFormat="false" ht="15" hidden="false" customHeight="false" outlineLevel="0" collapsed="false">
      <c r="A1489" s="6" t="s">
        <v>4</v>
      </c>
      <c r="B1489" s="6" t="s">
        <v>376</v>
      </c>
      <c r="C1489" s="6" t="n">
        <v>44</v>
      </c>
      <c r="D1489" s="25" t="n">
        <f aca="false">EDATE('Start Here'!$B$6,C1489-1)</f>
        <v>47635</v>
      </c>
      <c r="E1489" s="23" t="n">
        <f aca="false">IF(AND(OR(Nonlabor!$D$8="Both",Nonlabor!$D$8='Start Here'!$B$9),IF(Nonlabor!$E$8="Core",1,IF(Nonlabor!$E$8="AI",'Start Here'!$B$7,'Start Here'!$B$8))=1,C1489&gt;=IF(Nonlabor!$E$8="Core",Nonlabor!$F$8,MAX(Nonlabor!$F$8,IF(Nonlabor!$E$8="AI",Assumptions!$D$24,Assumptions!$D$25))),C1489&lt;=Nonlabor!$G$8,OR(Nonlabor!$H$8="Monthly",AND(Nonlabor!$H$8="Once",C1489=IF(Nonlabor!$E$8="Core",Nonlabor!$F$8,MAX(Nonlabor!$F$8,IF(Nonlabor!$E$8="AI",Assumptions!$D$24,Assumptions!$D$25)))),AND(Nonlabor!$H$8="Annual",MOD(C1489-IF(Nonlabor!$E$8="Core",Nonlabor!$F$8,MAX(Nonlabor!$F$8,IF(Nonlabor!$E$8="AI",Assumptions!$D$24,Assumptions!$D$25))),12)=0))),IF(Nonlabor!$I$8="Fixed",1,IF(Nonlabor!$I$8="Seats",ROUNDUP('Monthly Base'!I49,0),IF(Nonlabor!$I$8="Customers",'Monthly Base'!D49,IF(Nonlabor!$I$8="NewCustomers",'Monthly Base'!C49,IF(Nonlabor!$I$8="StorageGB",'Monthly Base'!G49,IF(Nonlabor!$I$8="LogGB",'Monthly Base'!H49,IF(Nonlabor!$I$8="RequestsM",'Monthly Base'!F49,IF(Nonlabor!$I$8="InputM",'Monthly Base'!D49*Assumptions!$D$22/1000000,IF(Nonlabor!$I$8="OutputM",'Monthly Base'!D49*Assumptions!$D$23/1000000,0))))))))),0)</f>
        <v>0</v>
      </c>
      <c r="F1489" s="10" t="n">
        <f aca="false">Nonlabor!$J$8*(1+Assumptions!$D$9)^INT((C1489-1)/12)</f>
        <v>1201.9997</v>
      </c>
      <c r="G1489" s="10" t="n">
        <f aca="false">E1489*F1489</f>
        <v>0</v>
      </c>
      <c r="H1489" s="10" t="n">
        <f aca="false">IF(OR(Nonlabor!$L$8="Quote required",Nonlabor!$L$8="Unverified"),G1489,0)</f>
        <v>0</v>
      </c>
      <c r="I1489" s="10" t="n">
        <f aca="false">IF(Nonlabor!$E$8="Core",0,G1489)</f>
        <v>0</v>
      </c>
      <c r="J1489" s="23" t="str">
        <f aca="false">Nonlabor!$B$8</f>
        <v>INFRA</v>
      </c>
    </row>
    <row r="1490" customFormat="false" ht="15" hidden="false" customHeight="false" outlineLevel="0" collapsed="false">
      <c r="A1490" s="6" t="s">
        <v>4</v>
      </c>
      <c r="B1490" s="6" t="s">
        <v>376</v>
      </c>
      <c r="C1490" s="6" t="n">
        <v>45</v>
      </c>
      <c r="D1490" s="25" t="n">
        <f aca="false">EDATE('Start Here'!$B$6,C1490-1)</f>
        <v>47665</v>
      </c>
      <c r="E1490" s="23" t="n">
        <f aca="false">IF(AND(OR(Nonlabor!$D$8="Both",Nonlabor!$D$8='Start Here'!$B$9),IF(Nonlabor!$E$8="Core",1,IF(Nonlabor!$E$8="AI",'Start Here'!$B$7,'Start Here'!$B$8))=1,C1490&gt;=IF(Nonlabor!$E$8="Core",Nonlabor!$F$8,MAX(Nonlabor!$F$8,IF(Nonlabor!$E$8="AI",Assumptions!$D$24,Assumptions!$D$25))),C1490&lt;=Nonlabor!$G$8,OR(Nonlabor!$H$8="Monthly",AND(Nonlabor!$H$8="Once",C1490=IF(Nonlabor!$E$8="Core",Nonlabor!$F$8,MAX(Nonlabor!$F$8,IF(Nonlabor!$E$8="AI",Assumptions!$D$24,Assumptions!$D$25)))),AND(Nonlabor!$H$8="Annual",MOD(C1490-IF(Nonlabor!$E$8="Core",Nonlabor!$F$8,MAX(Nonlabor!$F$8,IF(Nonlabor!$E$8="AI",Assumptions!$D$24,Assumptions!$D$25))),12)=0))),IF(Nonlabor!$I$8="Fixed",1,IF(Nonlabor!$I$8="Seats",ROUNDUP('Monthly Base'!I50,0),IF(Nonlabor!$I$8="Customers",'Monthly Base'!D50,IF(Nonlabor!$I$8="NewCustomers",'Monthly Base'!C50,IF(Nonlabor!$I$8="StorageGB",'Monthly Base'!G50,IF(Nonlabor!$I$8="LogGB",'Monthly Base'!H50,IF(Nonlabor!$I$8="RequestsM",'Monthly Base'!F50,IF(Nonlabor!$I$8="InputM",'Monthly Base'!D50*Assumptions!$D$22/1000000,IF(Nonlabor!$I$8="OutputM",'Monthly Base'!D50*Assumptions!$D$23/1000000,0))))))))),0)</f>
        <v>0</v>
      </c>
      <c r="F1490" s="10" t="n">
        <f aca="false">Nonlabor!$J$8*(1+Assumptions!$D$9)^INT((C1490-1)/12)</f>
        <v>1201.9997</v>
      </c>
      <c r="G1490" s="10" t="n">
        <f aca="false">E1490*F1490</f>
        <v>0</v>
      </c>
      <c r="H1490" s="10" t="n">
        <f aca="false">IF(OR(Nonlabor!$L$8="Quote required",Nonlabor!$L$8="Unverified"),G1490,0)</f>
        <v>0</v>
      </c>
      <c r="I1490" s="10" t="n">
        <f aca="false">IF(Nonlabor!$E$8="Core",0,G1490)</f>
        <v>0</v>
      </c>
      <c r="J1490" s="23" t="str">
        <f aca="false">Nonlabor!$B$8</f>
        <v>INFRA</v>
      </c>
    </row>
    <row r="1491" customFormat="false" ht="15" hidden="false" customHeight="false" outlineLevel="0" collapsed="false">
      <c r="A1491" s="6" t="s">
        <v>4</v>
      </c>
      <c r="B1491" s="6" t="s">
        <v>376</v>
      </c>
      <c r="C1491" s="6" t="n">
        <v>46</v>
      </c>
      <c r="D1491" s="25" t="n">
        <f aca="false">EDATE('Start Here'!$B$6,C1491-1)</f>
        <v>47696</v>
      </c>
      <c r="E1491" s="23" t="n">
        <f aca="false">IF(AND(OR(Nonlabor!$D$8="Both",Nonlabor!$D$8='Start Here'!$B$9),IF(Nonlabor!$E$8="Core",1,IF(Nonlabor!$E$8="AI",'Start Here'!$B$7,'Start Here'!$B$8))=1,C1491&gt;=IF(Nonlabor!$E$8="Core",Nonlabor!$F$8,MAX(Nonlabor!$F$8,IF(Nonlabor!$E$8="AI",Assumptions!$D$24,Assumptions!$D$25))),C1491&lt;=Nonlabor!$G$8,OR(Nonlabor!$H$8="Monthly",AND(Nonlabor!$H$8="Once",C1491=IF(Nonlabor!$E$8="Core",Nonlabor!$F$8,MAX(Nonlabor!$F$8,IF(Nonlabor!$E$8="AI",Assumptions!$D$24,Assumptions!$D$25)))),AND(Nonlabor!$H$8="Annual",MOD(C1491-IF(Nonlabor!$E$8="Core",Nonlabor!$F$8,MAX(Nonlabor!$F$8,IF(Nonlabor!$E$8="AI",Assumptions!$D$24,Assumptions!$D$25))),12)=0))),IF(Nonlabor!$I$8="Fixed",1,IF(Nonlabor!$I$8="Seats",ROUNDUP('Monthly Base'!I51,0),IF(Nonlabor!$I$8="Customers",'Monthly Base'!D51,IF(Nonlabor!$I$8="NewCustomers",'Monthly Base'!C51,IF(Nonlabor!$I$8="StorageGB",'Monthly Base'!G51,IF(Nonlabor!$I$8="LogGB",'Monthly Base'!H51,IF(Nonlabor!$I$8="RequestsM",'Monthly Base'!F51,IF(Nonlabor!$I$8="InputM",'Monthly Base'!D51*Assumptions!$D$22/1000000,IF(Nonlabor!$I$8="OutputM",'Monthly Base'!D51*Assumptions!$D$23/1000000,0))))))))),0)</f>
        <v>0</v>
      </c>
      <c r="F1491" s="10" t="n">
        <f aca="false">Nonlabor!$J$8*(1+Assumptions!$D$9)^INT((C1491-1)/12)</f>
        <v>1201.9997</v>
      </c>
      <c r="G1491" s="10" t="n">
        <f aca="false">E1491*F1491</f>
        <v>0</v>
      </c>
      <c r="H1491" s="10" t="n">
        <f aca="false">IF(OR(Nonlabor!$L$8="Quote required",Nonlabor!$L$8="Unverified"),G1491,0)</f>
        <v>0</v>
      </c>
      <c r="I1491" s="10" t="n">
        <f aca="false">IF(Nonlabor!$E$8="Core",0,G1491)</f>
        <v>0</v>
      </c>
      <c r="J1491" s="23" t="str">
        <f aca="false">Nonlabor!$B$8</f>
        <v>INFRA</v>
      </c>
    </row>
    <row r="1492" customFormat="false" ht="15" hidden="false" customHeight="false" outlineLevel="0" collapsed="false">
      <c r="A1492" s="6" t="s">
        <v>4</v>
      </c>
      <c r="B1492" s="6" t="s">
        <v>376</v>
      </c>
      <c r="C1492" s="6" t="n">
        <v>47</v>
      </c>
      <c r="D1492" s="25" t="n">
        <f aca="false">EDATE('Start Here'!$B$6,C1492-1)</f>
        <v>47727</v>
      </c>
      <c r="E1492" s="23" t="n">
        <f aca="false">IF(AND(OR(Nonlabor!$D$8="Both",Nonlabor!$D$8='Start Here'!$B$9),IF(Nonlabor!$E$8="Core",1,IF(Nonlabor!$E$8="AI",'Start Here'!$B$7,'Start Here'!$B$8))=1,C1492&gt;=IF(Nonlabor!$E$8="Core",Nonlabor!$F$8,MAX(Nonlabor!$F$8,IF(Nonlabor!$E$8="AI",Assumptions!$D$24,Assumptions!$D$25))),C1492&lt;=Nonlabor!$G$8,OR(Nonlabor!$H$8="Monthly",AND(Nonlabor!$H$8="Once",C1492=IF(Nonlabor!$E$8="Core",Nonlabor!$F$8,MAX(Nonlabor!$F$8,IF(Nonlabor!$E$8="AI",Assumptions!$D$24,Assumptions!$D$25)))),AND(Nonlabor!$H$8="Annual",MOD(C1492-IF(Nonlabor!$E$8="Core",Nonlabor!$F$8,MAX(Nonlabor!$F$8,IF(Nonlabor!$E$8="AI",Assumptions!$D$24,Assumptions!$D$25))),12)=0))),IF(Nonlabor!$I$8="Fixed",1,IF(Nonlabor!$I$8="Seats",ROUNDUP('Monthly Base'!I52,0),IF(Nonlabor!$I$8="Customers",'Monthly Base'!D52,IF(Nonlabor!$I$8="NewCustomers",'Monthly Base'!C52,IF(Nonlabor!$I$8="StorageGB",'Monthly Base'!G52,IF(Nonlabor!$I$8="LogGB",'Monthly Base'!H52,IF(Nonlabor!$I$8="RequestsM",'Monthly Base'!F52,IF(Nonlabor!$I$8="InputM",'Monthly Base'!D52*Assumptions!$D$22/1000000,IF(Nonlabor!$I$8="OutputM",'Monthly Base'!D52*Assumptions!$D$23/1000000,0))))))))),0)</f>
        <v>0</v>
      </c>
      <c r="F1492" s="10" t="n">
        <f aca="false">Nonlabor!$J$8*(1+Assumptions!$D$9)^INT((C1492-1)/12)</f>
        <v>1201.9997</v>
      </c>
      <c r="G1492" s="10" t="n">
        <f aca="false">E1492*F1492</f>
        <v>0</v>
      </c>
      <c r="H1492" s="10" t="n">
        <f aca="false">IF(OR(Nonlabor!$L$8="Quote required",Nonlabor!$L$8="Unverified"),G1492,0)</f>
        <v>0</v>
      </c>
      <c r="I1492" s="10" t="n">
        <f aca="false">IF(Nonlabor!$E$8="Core",0,G1492)</f>
        <v>0</v>
      </c>
      <c r="J1492" s="23" t="str">
        <f aca="false">Nonlabor!$B$8</f>
        <v>INFRA</v>
      </c>
    </row>
    <row r="1493" customFormat="false" ht="15" hidden="false" customHeight="false" outlineLevel="0" collapsed="false">
      <c r="A1493" s="6" t="s">
        <v>4</v>
      </c>
      <c r="B1493" s="6" t="s">
        <v>376</v>
      </c>
      <c r="C1493" s="6" t="n">
        <v>48</v>
      </c>
      <c r="D1493" s="25" t="n">
        <f aca="false">EDATE('Start Here'!$B$6,C1493-1)</f>
        <v>47757</v>
      </c>
      <c r="E1493" s="23" t="n">
        <f aca="false">IF(AND(OR(Nonlabor!$D$8="Both",Nonlabor!$D$8='Start Here'!$B$9),IF(Nonlabor!$E$8="Core",1,IF(Nonlabor!$E$8="AI",'Start Here'!$B$7,'Start Here'!$B$8))=1,C1493&gt;=IF(Nonlabor!$E$8="Core",Nonlabor!$F$8,MAX(Nonlabor!$F$8,IF(Nonlabor!$E$8="AI",Assumptions!$D$24,Assumptions!$D$25))),C1493&lt;=Nonlabor!$G$8,OR(Nonlabor!$H$8="Monthly",AND(Nonlabor!$H$8="Once",C1493=IF(Nonlabor!$E$8="Core",Nonlabor!$F$8,MAX(Nonlabor!$F$8,IF(Nonlabor!$E$8="AI",Assumptions!$D$24,Assumptions!$D$25)))),AND(Nonlabor!$H$8="Annual",MOD(C1493-IF(Nonlabor!$E$8="Core",Nonlabor!$F$8,MAX(Nonlabor!$F$8,IF(Nonlabor!$E$8="AI",Assumptions!$D$24,Assumptions!$D$25))),12)=0))),IF(Nonlabor!$I$8="Fixed",1,IF(Nonlabor!$I$8="Seats",ROUNDUP('Monthly Base'!I53,0),IF(Nonlabor!$I$8="Customers",'Monthly Base'!D53,IF(Nonlabor!$I$8="NewCustomers",'Monthly Base'!C53,IF(Nonlabor!$I$8="StorageGB",'Monthly Base'!G53,IF(Nonlabor!$I$8="LogGB",'Monthly Base'!H53,IF(Nonlabor!$I$8="RequestsM",'Monthly Base'!F53,IF(Nonlabor!$I$8="InputM",'Monthly Base'!D53*Assumptions!$D$22/1000000,IF(Nonlabor!$I$8="OutputM",'Monthly Base'!D53*Assumptions!$D$23/1000000,0))))))))),0)</f>
        <v>0</v>
      </c>
      <c r="F1493" s="10" t="n">
        <f aca="false">Nonlabor!$J$8*(1+Assumptions!$D$9)^INT((C1493-1)/12)</f>
        <v>1201.9997</v>
      </c>
      <c r="G1493" s="10" t="n">
        <f aca="false">E1493*F1493</f>
        <v>0</v>
      </c>
      <c r="H1493" s="10" t="n">
        <f aca="false">IF(OR(Nonlabor!$L$8="Quote required",Nonlabor!$L$8="Unverified"),G1493,0)</f>
        <v>0</v>
      </c>
      <c r="I1493" s="10" t="n">
        <f aca="false">IF(Nonlabor!$E$8="Core",0,G1493)</f>
        <v>0</v>
      </c>
      <c r="J1493" s="23" t="str">
        <f aca="false">Nonlabor!$B$8</f>
        <v>INFRA</v>
      </c>
    </row>
    <row r="1494" customFormat="false" ht="15" hidden="false" customHeight="false" outlineLevel="0" collapsed="false">
      <c r="A1494" s="6" t="s">
        <v>4</v>
      </c>
      <c r="B1494" s="6" t="s">
        <v>376</v>
      </c>
      <c r="C1494" s="6" t="n">
        <v>49</v>
      </c>
      <c r="D1494" s="25" t="n">
        <f aca="false">EDATE('Start Here'!$B$6,C1494-1)</f>
        <v>47788</v>
      </c>
      <c r="E1494" s="23" t="n">
        <f aca="false">IF(AND(OR(Nonlabor!$D$8="Both",Nonlabor!$D$8='Start Here'!$B$9),IF(Nonlabor!$E$8="Core",1,IF(Nonlabor!$E$8="AI",'Start Here'!$B$7,'Start Here'!$B$8))=1,C1494&gt;=IF(Nonlabor!$E$8="Core",Nonlabor!$F$8,MAX(Nonlabor!$F$8,IF(Nonlabor!$E$8="AI",Assumptions!$D$24,Assumptions!$D$25))),C1494&lt;=Nonlabor!$G$8,OR(Nonlabor!$H$8="Monthly",AND(Nonlabor!$H$8="Once",C1494=IF(Nonlabor!$E$8="Core",Nonlabor!$F$8,MAX(Nonlabor!$F$8,IF(Nonlabor!$E$8="AI",Assumptions!$D$24,Assumptions!$D$25)))),AND(Nonlabor!$H$8="Annual",MOD(C1494-IF(Nonlabor!$E$8="Core",Nonlabor!$F$8,MAX(Nonlabor!$F$8,IF(Nonlabor!$E$8="AI",Assumptions!$D$24,Assumptions!$D$25))),12)=0))),IF(Nonlabor!$I$8="Fixed",1,IF(Nonlabor!$I$8="Seats",ROUNDUP('Monthly Base'!I54,0),IF(Nonlabor!$I$8="Customers",'Monthly Base'!D54,IF(Nonlabor!$I$8="NewCustomers",'Monthly Base'!C54,IF(Nonlabor!$I$8="StorageGB",'Monthly Base'!G54,IF(Nonlabor!$I$8="LogGB",'Monthly Base'!H54,IF(Nonlabor!$I$8="RequestsM",'Monthly Base'!F54,IF(Nonlabor!$I$8="InputM",'Monthly Base'!D54*Assumptions!$D$22/1000000,IF(Nonlabor!$I$8="OutputM",'Monthly Base'!D54*Assumptions!$D$23/1000000,0))))))))),0)</f>
        <v>0</v>
      </c>
      <c r="F1494" s="10" t="n">
        <f aca="false">Nonlabor!$J$8*(1+Assumptions!$D$9)^INT((C1494-1)/12)</f>
        <v>1238.059691</v>
      </c>
      <c r="G1494" s="10" t="n">
        <f aca="false">E1494*F1494</f>
        <v>0</v>
      </c>
      <c r="H1494" s="10" t="n">
        <f aca="false">IF(OR(Nonlabor!$L$8="Quote required",Nonlabor!$L$8="Unverified"),G1494,0)</f>
        <v>0</v>
      </c>
      <c r="I1494" s="10" t="n">
        <f aca="false">IF(Nonlabor!$E$8="Core",0,G1494)</f>
        <v>0</v>
      </c>
      <c r="J1494" s="23" t="str">
        <f aca="false">Nonlabor!$B$8</f>
        <v>INFRA</v>
      </c>
    </row>
    <row r="1495" customFormat="false" ht="15" hidden="false" customHeight="false" outlineLevel="0" collapsed="false">
      <c r="A1495" s="6" t="s">
        <v>4</v>
      </c>
      <c r="B1495" s="6" t="s">
        <v>376</v>
      </c>
      <c r="C1495" s="6" t="n">
        <v>50</v>
      </c>
      <c r="D1495" s="25" t="n">
        <f aca="false">EDATE('Start Here'!$B$6,C1495-1)</f>
        <v>47818</v>
      </c>
      <c r="E1495" s="23" t="n">
        <f aca="false">IF(AND(OR(Nonlabor!$D$8="Both",Nonlabor!$D$8='Start Here'!$B$9),IF(Nonlabor!$E$8="Core",1,IF(Nonlabor!$E$8="AI",'Start Here'!$B$7,'Start Here'!$B$8))=1,C1495&gt;=IF(Nonlabor!$E$8="Core",Nonlabor!$F$8,MAX(Nonlabor!$F$8,IF(Nonlabor!$E$8="AI",Assumptions!$D$24,Assumptions!$D$25))),C1495&lt;=Nonlabor!$G$8,OR(Nonlabor!$H$8="Monthly",AND(Nonlabor!$H$8="Once",C1495=IF(Nonlabor!$E$8="Core",Nonlabor!$F$8,MAX(Nonlabor!$F$8,IF(Nonlabor!$E$8="AI",Assumptions!$D$24,Assumptions!$D$25)))),AND(Nonlabor!$H$8="Annual",MOD(C1495-IF(Nonlabor!$E$8="Core",Nonlabor!$F$8,MAX(Nonlabor!$F$8,IF(Nonlabor!$E$8="AI",Assumptions!$D$24,Assumptions!$D$25))),12)=0))),IF(Nonlabor!$I$8="Fixed",1,IF(Nonlabor!$I$8="Seats",ROUNDUP('Monthly Base'!I55,0),IF(Nonlabor!$I$8="Customers",'Monthly Base'!D55,IF(Nonlabor!$I$8="NewCustomers",'Monthly Base'!C55,IF(Nonlabor!$I$8="StorageGB",'Monthly Base'!G55,IF(Nonlabor!$I$8="LogGB",'Monthly Base'!H55,IF(Nonlabor!$I$8="RequestsM",'Monthly Base'!F55,IF(Nonlabor!$I$8="InputM",'Monthly Base'!D55*Assumptions!$D$22/1000000,IF(Nonlabor!$I$8="OutputM",'Monthly Base'!D55*Assumptions!$D$23/1000000,0))))))))),0)</f>
        <v>0</v>
      </c>
      <c r="F1495" s="10" t="n">
        <f aca="false">Nonlabor!$J$8*(1+Assumptions!$D$9)^INT((C1495-1)/12)</f>
        <v>1238.059691</v>
      </c>
      <c r="G1495" s="10" t="n">
        <f aca="false">E1495*F1495</f>
        <v>0</v>
      </c>
      <c r="H1495" s="10" t="n">
        <f aca="false">IF(OR(Nonlabor!$L$8="Quote required",Nonlabor!$L$8="Unverified"),G1495,0)</f>
        <v>0</v>
      </c>
      <c r="I1495" s="10" t="n">
        <f aca="false">IF(Nonlabor!$E$8="Core",0,G1495)</f>
        <v>0</v>
      </c>
      <c r="J1495" s="23" t="str">
        <f aca="false">Nonlabor!$B$8</f>
        <v>INFRA</v>
      </c>
    </row>
    <row r="1496" customFormat="false" ht="15" hidden="false" customHeight="false" outlineLevel="0" collapsed="false">
      <c r="A1496" s="6" t="s">
        <v>4</v>
      </c>
      <c r="B1496" s="6" t="s">
        <v>376</v>
      </c>
      <c r="C1496" s="6" t="n">
        <v>51</v>
      </c>
      <c r="D1496" s="25" t="n">
        <f aca="false">EDATE('Start Here'!$B$6,C1496-1)</f>
        <v>47849</v>
      </c>
      <c r="E1496" s="23" t="n">
        <f aca="false">IF(AND(OR(Nonlabor!$D$8="Both",Nonlabor!$D$8='Start Here'!$B$9),IF(Nonlabor!$E$8="Core",1,IF(Nonlabor!$E$8="AI",'Start Here'!$B$7,'Start Here'!$B$8))=1,C1496&gt;=IF(Nonlabor!$E$8="Core",Nonlabor!$F$8,MAX(Nonlabor!$F$8,IF(Nonlabor!$E$8="AI",Assumptions!$D$24,Assumptions!$D$25))),C1496&lt;=Nonlabor!$G$8,OR(Nonlabor!$H$8="Monthly",AND(Nonlabor!$H$8="Once",C1496=IF(Nonlabor!$E$8="Core",Nonlabor!$F$8,MAX(Nonlabor!$F$8,IF(Nonlabor!$E$8="AI",Assumptions!$D$24,Assumptions!$D$25)))),AND(Nonlabor!$H$8="Annual",MOD(C1496-IF(Nonlabor!$E$8="Core",Nonlabor!$F$8,MAX(Nonlabor!$F$8,IF(Nonlabor!$E$8="AI",Assumptions!$D$24,Assumptions!$D$25))),12)=0))),IF(Nonlabor!$I$8="Fixed",1,IF(Nonlabor!$I$8="Seats",ROUNDUP('Monthly Base'!I56,0),IF(Nonlabor!$I$8="Customers",'Monthly Base'!D56,IF(Nonlabor!$I$8="NewCustomers",'Monthly Base'!C56,IF(Nonlabor!$I$8="StorageGB",'Monthly Base'!G56,IF(Nonlabor!$I$8="LogGB",'Monthly Base'!H56,IF(Nonlabor!$I$8="RequestsM",'Monthly Base'!F56,IF(Nonlabor!$I$8="InputM",'Monthly Base'!D56*Assumptions!$D$22/1000000,IF(Nonlabor!$I$8="OutputM",'Monthly Base'!D56*Assumptions!$D$23/1000000,0))))))))),0)</f>
        <v>0</v>
      </c>
      <c r="F1496" s="10" t="n">
        <f aca="false">Nonlabor!$J$8*(1+Assumptions!$D$9)^INT((C1496-1)/12)</f>
        <v>1238.059691</v>
      </c>
      <c r="G1496" s="10" t="n">
        <f aca="false">E1496*F1496</f>
        <v>0</v>
      </c>
      <c r="H1496" s="10" t="n">
        <f aca="false">IF(OR(Nonlabor!$L$8="Quote required",Nonlabor!$L$8="Unverified"),G1496,0)</f>
        <v>0</v>
      </c>
      <c r="I1496" s="10" t="n">
        <f aca="false">IF(Nonlabor!$E$8="Core",0,G1496)</f>
        <v>0</v>
      </c>
      <c r="J1496" s="23" t="str">
        <f aca="false">Nonlabor!$B$8</f>
        <v>INFRA</v>
      </c>
    </row>
    <row r="1497" customFormat="false" ht="15" hidden="false" customHeight="false" outlineLevel="0" collapsed="false">
      <c r="A1497" s="6" t="s">
        <v>4</v>
      </c>
      <c r="B1497" s="6" t="s">
        <v>376</v>
      </c>
      <c r="C1497" s="6" t="n">
        <v>52</v>
      </c>
      <c r="D1497" s="25" t="n">
        <f aca="false">EDATE('Start Here'!$B$6,C1497-1)</f>
        <v>47880</v>
      </c>
      <c r="E1497" s="23" t="n">
        <f aca="false">IF(AND(OR(Nonlabor!$D$8="Both",Nonlabor!$D$8='Start Here'!$B$9),IF(Nonlabor!$E$8="Core",1,IF(Nonlabor!$E$8="AI",'Start Here'!$B$7,'Start Here'!$B$8))=1,C1497&gt;=IF(Nonlabor!$E$8="Core",Nonlabor!$F$8,MAX(Nonlabor!$F$8,IF(Nonlabor!$E$8="AI",Assumptions!$D$24,Assumptions!$D$25))),C1497&lt;=Nonlabor!$G$8,OR(Nonlabor!$H$8="Monthly",AND(Nonlabor!$H$8="Once",C1497=IF(Nonlabor!$E$8="Core",Nonlabor!$F$8,MAX(Nonlabor!$F$8,IF(Nonlabor!$E$8="AI",Assumptions!$D$24,Assumptions!$D$25)))),AND(Nonlabor!$H$8="Annual",MOD(C1497-IF(Nonlabor!$E$8="Core",Nonlabor!$F$8,MAX(Nonlabor!$F$8,IF(Nonlabor!$E$8="AI",Assumptions!$D$24,Assumptions!$D$25))),12)=0))),IF(Nonlabor!$I$8="Fixed",1,IF(Nonlabor!$I$8="Seats",ROUNDUP('Monthly Base'!I57,0),IF(Nonlabor!$I$8="Customers",'Monthly Base'!D57,IF(Nonlabor!$I$8="NewCustomers",'Monthly Base'!C57,IF(Nonlabor!$I$8="StorageGB",'Monthly Base'!G57,IF(Nonlabor!$I$8="LogGB",'Monthly Base'!H57,IF(Nonlabor!$I$8="RequestsM",'Monthly Base'!F57,IF(Nonlabor!$I$8="InputM",'Monthly Base'!D57*Assumptions!$D$22/1000000,IF(Nonlabor!$I$8="OutputM",'Monthly Base'!D57*Assumptions!$D$23/1000000,0))))))))),0)</f>
        <v>0</v>
      </c>
      <c r="F1497" s="10" t="n">
        <f aca="false">Nonlabor!$J$8*(1+Assumptions!$D$9)^INT((C1497-1)/12)</f>
        <v>1238.059691</v>
      </c>
      <c r="G1497" s="10" t="n">
        <f aca="false">E1497*F1497</f>
        <v>0</v>
      </c>
      <c r="H1497" s="10" t="n">
        <f aca="false">IF(OR(Nonlabor!$L$8="Quote required",Nonlabor!$L$8="Unverified"),G1497,0)</f>
        <v>0</v>
      </c>
      <c r="I1497" s="10" t="n">
        <f aca="false">IF(Nonlabor!$E$8="Core",0,G1497)</f>
        <v>0</v>
      </c>
      <c r="J1497" s="23" t="str">
        <f aca="false">Nonlabor!$B$8</f>
        <v>INFRA</v>
      </c>
    </row>
    <row r="1498" customFormat="false" ht="15" hidden="false" customHeight="false" outlineLevel="0" collapsed="false">
      <c r="A1498" s="6" t="s">
        <v>4</v>
      </c>
      <c r="B1498" s="6" t="s">
        <v>376</v>
      </c>
      <c r="C1498" s="6" t="n">
        <v>53</v>
      </c>
      <c r="D1498" s="25" t="n">
        <f aca="false">EDATE('Start Here'!$B$6,C1498-1)</f>
        <v>47908</v>
      </c>
      <c r="E1498" s="23" t="n">
        <f aca="false">IF(AND(OR(Nonlabor!$D$8="Both",Nonlabor!$D$8='Start Here'!$B$9),IF(Nonlabor!$E$8="Core",1,IF(Nonlabor!$E$8="AI",'Start Here'!$B$7,'Start Here'!$B$8))=1,C1498&gt;=IF(Nonlabor!$E$8="Core",Nonlabor!$F$8,MAX(Nonlabor!$F$8,IF(Nonlabor!$E$8="AI",Assumptions!$D$24,Assumptions!$D$25))),C1498&lt;=Nonlabor!$G$8,OR(Nonlabor!$H$8="Monthly",AND(Nonlabor!$H$8="Once",C1498=IF(Nonlabor!$E$8="Core",Nonlabor!$F$8,MAX(Nonlabor!$F$8,IF(Nonlabor!$E$8="AI",Assumptions!$D$24,Assumptions!$D$25)))),AND(Nonlabor!$H$8="Annual",MOD(C1498-IF(Nonlabor!$E$8="Core",Nonlabor!$F$8,MAX(Nonlabor!$F$8,IF(Nonlabor!$E$8="AI",Assumptions!$D$24,Assumptions!$D$25))),12)=0))),IF(Nonlabor!$I$8="Fixed",1,IF(Nonlabor!$I$8="Seats",ROUNDUP('Monthly Base'!I58,0),IF(Nonlabor!$I$8="Customers",'Monthly Base'!D58,IF(Nonlabor!$I$8="NewCustomers",'Monthly Base'!C58,IF(Nonlabor!$I$8="StorageGB",'Monthly Base'!G58,IF(Nonlabor!$I$8="LogGB",'Monthly Base'!H58,IF(Nonlabor!$I$8="RequestsM",'Monthly Base'!F58,IF(Nonlabor!$I$8="InputM",'Monthly Base'!D58*Assumptions!$D$22/1000000,IF(Nonlabor!$I$8="OutputM",'Monthly Base'!D58*Assumptions!$D$23/1000000,0))))))))),0)</f>
        <v>0</v>
      </c>
      <c r="F1498" s="10" t="n">
        <f aca="false">Nonlabor!$J$8*(1+Assumptions!$D$9)^INT((C1498-1)/12)</f>
        <v>1238.059691</v>
      </c>
      <c r="G1498" s="10" t="n">
        <f aca="false">E1498*F1498</f>
        <v>0</v>
      </c>
      <c r="H1498" s="10" t="n">
        <f aca="false">IF(OR(Nonlabor!$L$8="Quote required",Nonlabor!$L$8="Unverified"),G1498,0)</f>
        <v>0</v>
      </c>
      <c r="I1498" s="10" t="n">
        <f aca="false">IF(Nonlabor!$E$8="Core",0,G1498)</f>
        <v>0</v>
      </c>
      <c r="J1498" s="23" t="str">
        <f aca="false">Nonlabor!$B$8</f>
        <v>INFRA</v>
      </c>
    </row>
    <row r="1499" customFormat="false" ht="15" hidden="false" customHeight="false" outlineLevel="0" collapsed="false">
      <c r="A1499" s="6" t="s">
        <v>4</v>
      </c>
      <c r="B1499" s="6" t="s">
        <v>376</v>
      </c>
      <c r="C1499" s="6" t="n">
        <v>54</v>
      </c>
      <c r="D1499" s="25" t="n">
        <f aca="false">EDATE('Start Here'!$B$6,C1499-1)</f>
        <v>47939</v>
      </c>
      <c r="E1499" s="23" t="n">
        <f aca="false">IF(AND(OR(Nonlabor!$D$8="Both",Nonlabor!$D$8='Start Here'!$B$9),IF(Nonlabor!$E$8="Core",1,IF(Nonlabor!$E$8="AI",'Start Here'!$B$7,'Start Here'!$B$8))=1,C1499&gt;=IF(Nonlabor!$E$8="Core",Nonlabor!$F$8,MAX(Nonlabor!$F$8,IF(Nonlabor!$E$8="AI",Assumptions!$D$24,Assumptions!$D$25))),C1499&lt;=Nonlabor!$G$8,OR(Nonlabor!$H$8="Monthly",AND(Nonlabor!$H$8="Once",C1499=IF(Nonlabor!$E$8="Core",Nonlabor!$F$8,MAX(Nonlabor!$F$8,IF(Nonlabor!$E$8="AI",Assumptions!$D$24,Assumptions!$D$25)))),AND(Nonlabor!$H$8="Annual",MOD(C1499-IF(Nonlabor!$E$8="Core",Nonlabor!$F$8,MAX(Nonlabor!$F$8,IF(Nonlabor!$E$8="AI",Assumptions!$D$24,Assumptions!$D$25))),12)=0))),IF(Nonlabor!$I$8="Fixed",1,IF(Nonlabor!$I$8="Seats",ROUNDUP('Monthly Base'!I59,0),IF(Nonlabor!$I$8="Customers",'Monthly Base'!D59,IF(Nonlabor!$I$8="NewCustomers",'Monthly Base'!C59,IF(Nonlabor!$I$8="StorageGB",'Monthly Base'!G59,IF(Nonlabor!$I$8="LogGB",'Monthly Base'!H59,IF(Nonlabor!$I$8="RequestsM",'Monthly Base'!F59,IF(Nonlabor!$I$8="InputM",'Monthly Base'!D59*Assumptions!$D$22/1000000,IF(Nonlabor!$I$8="OutputM",'Monthly Base'!D59*Assumptions!$D$23/1000000,0))))))))),0)</f>
        <v>0</v>
      </c>
      <c r="F1499" s="10" t="n">
        <f aca="false">Nonlabor!$J$8*(1+Assumptions!$D$9)^INT((C1499-1)/12)</f>
        <v>1238.059691</v>
      </c>
      <c r="G1499" s="10" t="n">
        <f aca="false">E1499*F1499</f>
        <v>0</v>
      </c>
      <c r="H1499" s="10" t="n">
        <f aca="false">IF(OR(Nonlabor!$L$8="Quote required",Nonlabor!$L$8="Unverified"),G1499,0)</f>
        <v>0</v>
      </c>
      <c r="I1499" s="10" t="n">
        <f aca="false">IF(Nonlabor!$E$8="Core",0,G1499)</f>
        <v>0</v>
      </c>
      <c r="J1499" s="23" t="str">
        <f aca="false">Nonlabor!$B$8</f>
        <v>INFRA</v>
      </c>
    </row>
    <row r="1500" customFormat="false" ht="15" hidden="false" customHeight="false" outlineLevel="0" collapsed="false">
      <c r="A1500" s="6" t="s">
        <v>4</v>
      </c>
      <c r="B1500" s="6" t="s">
        <v>376</v>
      </c>
      <c r="C1500" s="6" t="n">
        <v>55</v>
      </c>
      <c r="D1500" s="25" t="n">
        <f aca="false">EDATE('Start Here'!$B$6,C1500-1)</f>
        <v>47969</v>
      </c>
      <c r="E1500" s="23" t="n">
        <f aca="false">IF(AND(OR(Nonlabor!$D$8="Both",Nonlabor!$D$8='Start Here'!$B$9),IF(Nonlabor!$E$8="Core",1,IF(Nonlabor!$E$8="AI",'Start Here'!$B$7,'Start Here'!$B$8))=1,C1500&gt;=IF(Nonlabor!$E$8="Core",Nonlabor!$F$8,MAX(Nonlabor!$F$8,IF(Nonlabor!$E$8="AI",Assumptions!$D$24,Assumptions!$D$25))),C1500&lt;=Nonlabor!$G$8,OR(Nonlabor!$H$8="Monthly",AND(Nonlabor!$H$8="Once",C1500=IF(Nonlabor!$E$8="Core",Nonlabor!$F$8,MAX(Nonlabor!$F$8,IF(Nonlabor!$E$8="AI",Assumptions!$D$24,Assumptions!$D$25)))),AND(Nonlabor!$H$8="Annual",MOD(C1500-IF(Nonlabor!$E$8="Core",Nonlabor!$F$8,MAX(Nonlabor!$F$8,IF(Nonlabor!$E$8="AI",Assumptions!$D$24,Assumptions!$D$25))),12)=0))),IF(Nonlabor!$I$8="Fixed",1,IF(Nonlabor!$I$8="Seats",ROUNDUP('Monthly Base'!I60,0),IF(Nonlabor!$I$8="Customers",'Monthly Base'!D60,IF(Nonlabor!$I$8="NewCustomers",'Monthly Base'!C60,IF(Nonlabor!$I$8="StorageGB",'Monthly Base'!G60,IF(Nonlabor!$I$8="LogGB",'Monthly Base'!H60,IF(Nonlabor!$I$8="RequestsM",'Monthly Base'!F60,IF(Nonlabor!$I$8="InputM",'Monthly Base'!D60*Assumptions!$D$22/1000000,IF(Nonlabor!$I$8="OutputM",'Monthly Base'!D60*Assumptions!$D$23/1000000,0))))))))),0)</f>
        <v>0</v>
      </c>
      <c r="F1500" s="10" t="n">
        <f aca="false">Nonlabor!$J$8*(1+Assumptions!$D$9)^INT((C1500-1)/12)</f>
        <v>1238.059691</v>
      </c>
      <c r="G1500" s="10" t="n">
        <f aca="false">E1500*F1500</f>
        <v>0</v>
      </c>
      <c r="H1500" s="10" t="n">
        <f aca="false">IF(OR(Nonlabor!$L$8="Quote required",Nonlabor!$L$8="Unverified"),G1500,0)</f>
        <v>0</v>
      </c>
      <c r="I1500" s="10" t="n">
        <f aca="false">IF(Nonlabor!$E$8="Core",0,G1500)</f>
        <v>0</v>
      </c>
      <c r="J1500" s="23" t="str">
        <f aca="false">Nonlabor!$B$8</f>
        <v>INFRA</v>
      </c>
    </row>
    <row r="1501" customFormat="false" ht="15" hidden="false" customHeight="false" outlineLevel="0" collapsed="false">
      <c r="A1501" s="6" t="s">
        <v>4</v>
      </c>
      <c r="B1501" s="6" t="s">
        <v>376</v>
      </c>
      <c r="C1501" s="6" t="n">
        <v>56</v>
      </c>
      <c r="D1501" s="25" t="n">
        <f aca="false">EDATE('Start Here'!$B$6,C1501-1)</f>
        <v>48000</v>
      </c>
      <c r="E1501" s="23" t="n">
        <f aca="false">IF(AND(OR(Nonlabor!$D$8="Both",Nonlabor!$D$8='Start Here'!$B$9),IF(Nonlabor!$E$8="Core",1,IF(Nonlabor!$E$8="AI",'Start Here'!$B$7,'Start Here'!$B$8))=1,C1501&gt;=IF(Nonlabor!$E$8="Core",Nonlabor!$F$8,MAX(Nonlabor!$F$8,IF(Nonlabor!$E$8="AI",Assumptions!$D$24,Assumptions!$D$25))),C1501&lt;=Nonlabor!$G$8,OR(Nonlabor!$H$8="Monthly",AND(Nonlabor!$H$8="Once",C1501=IF(Nonlabor!$E$8="Core",Nonlabor!$F$8,MAX(Nonlabor!$F$8,IF(Nonlabor!$E$8="AI",Assumptions!$D$24,Assumptions!$D$25)))),AND(Nonlabor!$H$8="Annual",MOD(C1501-IF(Nonlabor!$E$8="Core",Nonlabor!$F$8,MAX(Nonlabor!$F$8,IF(Nonlabor!$E$8="AI",Assumptions!$D$24,Assumptions!$D$25))),12)=0))),IF(Nonlabor!$I$8="Fixed",1,IF(Nonlabor!$I$8="Seats",ROUNDUP('Monthly Base'!I61,0),IF(Nonlabor!$I$8="Customers",'Monthly Base'!D61,IF(Nonlabor!$I$8="NewCustomers",'Monthly Base'!C61,IF(Nonlabor!$I$8="StorageGB",'Monthly Base'!G61,IF(Nonlabor!$I$8="LogGB",'Monthly Base'!H61,IF(Nonlabor!$I$8="RequestsM",'Monthly Base'!F61,IF(Nonlabor!$I$8="InputM",'Monthly Base'!D61*Assumptions!$D$22/1000000,IF(Nonlabor!$I$8="OutputM",'Monthly Base'!D61*Assumptions!$D$23/1000000,0))))))))),0)</f>
        <v>0</v>
      </c>
      <c r="F1501" s="10" t="n">
        <f aca="false">Nonlabor!$J$8*(1+Assumptions!$D$9)^INT((C1501-1)/12)</f>
        <v>1238.059691</v>
      </c>
      <c r="G1501" s="10" t="n">
        <f aca="false">E1501*F1501</f>
        <v>0</v>
      </c>
      <c r="H1501" s="10" t="n">
        <f aca="false">IF(OR(Nonlabor!$L$8="Quote required",Nonlabor!$L$8="Unverified"),G1501,0)</f>
        <v>0</v>
      </c>
      <c r="I1501" s="10" t="n">
        <f aca="false">IF(Nonlabor!$E$8="Core",0,G1501)</f>
        <v>0</v>
      </c>
      <c r="J1501" s="23" t="str">
        <f aca="false">Nonlabor!$B$8</f>
        <v>INFRA</v>
      </c>
    </row>
    <row r="1502" customFormat="false" ht="15" hidden="false" customHeight="false" outlineLevel="0" collapsed="false">
      <c r="A1502" s="6" t="s">
        <v>4</v>
      </c>
      <c r="B1502" s="6" t="s">
        <v>376</v>
      </c>
      <c r="C1502" s="6" t="n">
        <v>57</v>
      </c>
      <c r="D1502" s="25" t="n">
        <f aca="false">EDATE('Start Here'!$B$6,C1502-1)</f>
        <v>48030</v>
      </c>
      <c r="E1502" s="23" t="n">
        <f aca="false">IF(AND(OR(Nonlabor!$D$8="Both",Nonlabor!$D$8='Start Here'!$B$9),IF(Nonlabor!$E$8="Core",1,IF(Nonlabor!$E$8="AI",'Start Here'!$B$7,'Start Here'!$B$8))=1,C1502&gt;=IF(Nonlabor!$E$8="Core",Nonlabor!$F$8,MAX(Nonlabor!$F$8,IF(Nonlabor!$E$8="AI",Assumptions!$D$24,Assumptions!$D$25))),C1502&lt;=Nonlabor!$G$8,OR(Nonlabor!$H$8="Monthly",AND(Nonlabor!$H$8="Once",C1502=IF(Nonlabor!$E$8="Core",Nonlabor!$F$8,MAX(Nonlabor!$F$8,IF(Nonlabor!$E$8="AI",Assumptions!$D$24,Assumptions!$D$25)))),AND(Nonlabor!$H$8="Annual",MOD(C1502-IF(Nonlabor!$E$8="Core",Nonlabor!$F$8,MAX(Nonlabor!$F$8,IF(Nonlabor!$E$8="AI",Assumptions!$D$24,Assumptions!$D$25))),12)=0))),IF(Nonlabor!$I$8="Fixed",1,IF(Nonlabor!$I$8="Seats",ROUNDUP('Monthly Base'!I62,0),IF(Nonlabor!$I$8="Customers",'Monthly Base'!D62,IF(Nonlabor!$I$8="NewCustomers",'Monthly Base'!C62,IF(Nonlabor!$I$8="StorageGB",'Monthly Base'!G62,IF(Nonlabor!$I$8="LogGB",'Monthly Base'!H62,IF(Nonlabor!$I$8="RequestsM",'Monthly Base'!F62,IF(Nonlabor!$I$8="InputM",'Monthly Base'!D62*Assumptions!$D$22/1000000,IF(Nonlabor!$I$8="OutputM",'Monthly Base'!D62*Assumptions!$D$23/1000000,0))))))))),0)</f>
        <v>0</v>
      </c>
      <c r="F1502" s="10" t="n">
        <f aca="false">Nonlabor!$J$8*(1+Assumptions!$D$9)^INT((C1502-1)/12)</f>
        <v>1238.059691</v>
      </c>
      <c r="G1502" s="10" t="n">
        <f aca="false">E1502*F1502</f>
        <v>0</v>
      </c>
      <c r="H1502" s="10" t="n">
        <f aca="false">IF(OR(Nonlabor!$L$8="Quote required",Nonlabor!$L$8="Unverified"),G1502,0)</f>
        <v>0</v>
      </c>
      <c r="I1502" s="10" t="n">
        <f aca="false">IF(Nonlabor!$E$8="Core",0,G1502)</f>
        <v>0</v>
      </c>
      <c r="J1502" s="23" t="str">
        <f aca="false">Nonlabor!$B$8</f>
        <v>INFRA</v>
      </c>
    </row>
    <row r="1503" customFormat="false" ht="15" hidden="false" customHeight="false" outlineLevel="0" collapsed="false">
      <c r="A1503" s="6" t="s">
        <v>4</v>
      </c>
      <c r="B1503" s="6" t="s">
        <v>376</v>
      </c>
      <c r="C1503" s="6" t="n">
        <v>58</v>
      </c>
      <c r="D1503" s="25" t="n">
        <f aca="false">EDATE('Start Here'!$B$6,C1503-1)</f>
        <v>48061</v>
      </c>
      <c r="E1503" s="23" t="n">
        <f aca="false">IF(AND(OR(Nonlabor!$D$8="Both",Nonlabor!$D$8='Start Here'!$B$9),IF(Nonlabor!$E$8="Core",1,IF(Nonlabor!$E$8="AI",'Start Here'!$B$7,'Start Here'!$B$8))=1,C1503&gt;=IF(Nonlabor!$E$8="Core",Nonlabor!$F$8,MAX(Nonlabor!$F$8,IF(Nonlabor!$E$8="AI",Assumptions!$D$24,Assumptions!$D$25))),C1503&lt;=Nonlabor!$G$8,OR(Nonlabor!$H$8="Monthly",AND(Nonlabor!$H$8="Once",C1503=IF(Nonlabor!$E$8="Core",Nonlabor!$F$8,MAX(Nonlabor!$F$8,IF(Nonlabor!$E$8="AI",Assumptions!$D$24,Assumptions!$D$25)))),AND(Nonlabor!$H$8="Annual",MOD(C1503-IF(Nonlabor!$E$8="Core",Nonlabor!$F$8,MAX(Nonlabor!$F$8,IF(Nonlabor!$E$8="AI",Assumptions!$D$24,Assumptions!$D$25))),12)=0))),IF(Nonlabor!$I$8="Fixed",1,IF(Nonlabor!$I$8="Seats",ROUNDUP('Monthly Base'!I63,0),IF(Nonlabor!$I$8="Customers",'Monthly Base'!D63,IF(Nonlabor!$I$8="NewCustomers",'Monthly Base'!C63,IF(Nonlabor!$I$8="StorageGB",'Monthly Base'!G63,IF(Nonlabor!$I$8="LogGB",'Monthly Base'!H63,IF(Nonlabor!$I$8="RequestsM",'Monthly Base'!F63,IF(Nonlabor!$I$8="InputM",'Monthly Base'!D63*Assumptions!$D$22/1000000,IF(Nonlabor!$I$8="OutputM",'Monthly Base'!D63*Assumptions!$D$23/1000000,0))))))))),0)</f>
        <v>0</v>
      </c>
      <c r="F1503" s="10" t="n">
        <f aca="false">Nonlabor!$J$8*(1+Assumptions!$D$9)^INT((C1503-1)/12)</f>
        <v>1238.059691</v>
      </c>
      <c r="G1503" s="10" t="n">
        <f aca="false">E1503*F1503</f>
        <v>0</v>
      </c>
      <c r="H1503" s="10" t="n">
        <f aca="false">IF(OR(Nonlabor!$L$8="Quote required",Nonlabor!$L$8="Unverified"),G1503,0)</f>
        <v>0</v>
      </c>
      <c r="I1503" s="10" t="n">
        <f aca="false">IF(Nonlabor!$E$8="Core",0,G1503)</f>
        <v>0</v>
      </c>
      <c r="J1503" s="23" t="str">
        <f aca="false">Nonlabor!$B$8</f>
        <v>INFRA</v>
      </c>
    </row>
    <row r="1504" customFormat="false" ht="15" hidden="false" customHeight="false" outlineLevel="0" collapsed="false">
      <c r="A1504" s="6" t="s">
        <v>4</v>
      </c>
      <c r="B1504" s="6" t="s">
        <v>376</v>
      </c>
      <c r="C1504" s="6" t="n">
        <v>59</v>
      </c>
      <c r="D1504" s="25" t="n">
        <f aca="false">EDATE('Start Here'!$B$6,C1504-1)</f>
        <v>48092</v>
      </c>
      <c r="E1504" s="23" t="n">
        <f aca="false">IF(AND(OR(Nonlabor!$D$8="Both",Nonlabor!$D$8='Start Here'!$B$9),IF(Nonlabor!$E$8="Core",1,IF(Nonlabor!$E$8="AI",'Start Here'!$B$7,'Start Here'!$B$8))=1,C1504&gt;=IF(Nonlabor!$E$8="Core",Nonlabor!$F$8,MAX(Nonlabor!$F$8,IF(Nonlabor!$E$8="AI",Assumptions!$D$24,Assumptions!$D$25))),C1504&lt;=Nonlabor!$G$8,OR(Nonlabor!$H$8="Monthly",AND(Nonlabor!$H$8="Once",C1504=IF(Nonlabor!$E$8="Core",Nonlabor!$F$8,MAX(Nonlabor!$F$8,IF(Nonlabor!$E$8="AI",Assumptions!$D$24,Assumptions!$D$25)))),AND(Nonlabor!$H$8="Annual",MOD(C1504-IF(Nonlabor!$E$8="Core",Nonlabor!$F$8,MAX(Nonlabor!$F$8,IF(Nonlabor!$E$8="AI",Assumptions!$D$24,Assumptions!$D$25))),12)=0))),IF(Nonlabor!$I$8="Fixed",1,IF(Nonlabor!$I$8="Seats",ROUNDUP('Monthly Base'!I64,0),IF(Nonlabor!$I$8="Customers",'Monthly Base'!D64,IF(Nonlabor!$I$8="NewCustomers",'Monthly Base'!C64,IF(Nonlabor!$I$8="StorageGB",'Monthly Base'!G64,IF(Nonlabor!$I$8="LogGB",'Monthly Base'!H64,IF(Nonlabor!$I$8="RequestsM",'Monthly Base'!F64,IF(Nonlabor!$I$8="InputM",'Monthly Base'!D64*Assumptions!$D$22/1000000,IF(Nonlabor!$I$8="OutputM",'Monthly Base'!D64*Assumptions!$D$23/1000000,0))))))))),0)</f>
        <v>0</v>
      </c>
      <c r="F1504" s="10" t="n">
        <f aca="false">Nonlabor!$J$8*(1+Assumptions!$D$9)^INT((C1504-1)/12)</f>
        <v>1238.059691</v>
      </c>
      <c r="G1504" s="10" t="n">
        <f aca="false">E1504*F1504</f>
        <v>0</v>
      </c>
      <c r="H1504" s="10" t="n">
        <f aca="false">IF(OR(Nonlabor!$L$8="Quote required",Nonlabor!$L$8="Unverified"),G1504,0)</f>
        <v>0</v>
      </c>
      <c r="I1504" s="10" t="n">
        <f aca="false">IF(Nonlabor!$E$8="Core",0,G1504)</f>
        <v>0</v>
      </c>
      <c r="J1504" s="23" t="str">
        <f aca="false">Nonlabor!$B$8</f>
        <v>INFRA</v>
      </c>
    </row>
    <row r="1505" customFormat="false" ht="15" hidden="false" customHeight="false" outlineLevel="0" collapsed="false">
      <c r="A1505" s="6" t="s">
        <v>4</v>
      </c>
      <c r="B1505" s="6" t="s">
        <v>376</v>
      </c>
      <c r="C1505" s="6" t="n">
        <v>60</v>
      </c>
      <c r="D1505" s="25" t="n">
        <f aca="false">EDATE('Start Here'!$B$6,C1505-1)</f>
        <v>48122</v>
      </c>
      <c r="E1505" s="23" t="n">
        <f aca="false">IF(AND(OR(Nonlabor!$D$8="Both",Nonlabor!$D$8='Start Here'!$B$9),IF(Nonlabor!$E$8="Core",1,IF(Nonlabor!$E$8="AI",'Start Here'!$B$7,'Start Here'!$B$8))=1,C1505&gt;=IF(Nonlabor!$E$8="Core",Nonlabor!$F$8,MAX(Nonlabor!$F$8,IF(Nonlabor!$E$8="AI",Assumptions!$D$24,Assumptions!$D$25))),C1505&lt;=Nonlabor!$G$8,OR(Nonlabor!$H$8="Monthly",AND(Nonlabor!$H$8="Once",C1505=IF(Nonlabor!$E$8="Core",Nonlabor!$F$8,MAX(Nonlabor!$F$8,IF(Nonlabor!$E$8="AI",Assumptions!$D$24,Assumptions!$D$25)))),AND(Nonlabor!$H$8="Annual",MOD(C1505-IF(Nonlabor!$E$8="Core",Nonlabor!$F$8,MAX(Nonlabor!$F$8,IF(Nonlabor!$E$8="AI",Assumptions!$D$24,Assumptions!$D$25))),12)=0))),IF(Nonlabor!$I$8="Fixed",1,IF(Nonlabor!$I$8="Seats",ROUNDUP('Monthly Base'!I65,0),IF(Nonlabor!$I$8="Customers",'Monthly Base'!D65,IF(Nonlabor!$I$8="NewCustomers",'Monthly Base'!C65,IF(Nonlabor!$I$8="StorageGB",'Monthly Base'!G65,IF(Nonlabor!$I$8="LogGB",'Monthly Base'!H65,IF(Nonlabor!$I$8="RequestsM",'Monthly Base'!F65,IF(Nonlabor!$I$8="InputM",'Monthly Base'!D65*Assumptions!$D$22/1000000,IF(Nonlabor!$I$8="OutputM",'Monthly Base'!D65*Assumptions!$D$23/1000000,0))))))))),0)</f>
        <v>0</v>
      </c>
      <c r="F1505" s="10" t="n">
        <f aca="false">Nonlabor!$J$8*(1+Assumptions!$D$9)^INT((C1505-1)/12)</f>
        <v>1238.059691</v>
      </c>
      <c r="G1505" s="10" t="n">
        <f aca="false">E1505*F1505</f>
        <v>0</v>
      </c>
      <c r="H1505" s="10" t="n">
        <f aca="false">IF(OR(Nonlabor!$L$8="Quote required",Nonlabor!$L$8="Unverified"),G1505,0)</f>
        <v>0</v>
      </c>
      <c r="I1505" s="10" t="n">
        <f aca="false">IF(Nonlabor!$E$8="Core",0,G1505)</f>
        <v>0</v>
      </c>
      <c r="J1505" s="23" t="str">
        <f aca="false">Nonlabor!$B$8</f>
        <v>INFRA</v>
      </c>
    </row>
    <row r="1506" customFormat="false" ht="15" hidden="false" customHeight="false" outlineLevel="0" collapsed="false">
      <c r="A1506" s="6" t="s">
        <v>4</v>
      </c>
      <c r="B1506" s="6" t="s">
        <v>379</v>
      </c>
      <c r="C1506" s="6" t="n">
        <v>1</v>
      </c>
      <c r="D1506" s="25" t="n">
        <f aca="false">EDATE('Start Here'!$B$6,C1506-1)</f>
        <v>46327</v>
      </c>
      <c r="E1506" s="23" t="n">
        <f aca="false">IF(AND(OR(Nonlabor!$D$9="Both",Nonlabor!$D$9='Start Here'!$B$9),IF(Nonlabor!$E$9="Core",1,IF(Nonlabor!$E$9="AI",'Start Here'!$B$7,'Start Here'!$B$8))=1,C1506&gt;=IF(Nonlabor!$E$9="Core",Nonlabor!$F$9,MAX(Nonlabor!$F$9,IF(Nonlabor!$E$9="AI",Assumptions!$D$24,Assumptions!$D$25))),C1506&lt;=Nonlabor!$G$9,OR(Nonlabor!$H$9="Monthly",AND(Nonlabor!$H$9="Once",C1506=IF(Nonlabor!$E$9="Core",Nonlabor!$F$9,MAX(Nonlabor!$F$9,IF(Nonlabor!$E$9="AI",Assumptions!$D$24,Assumptions!$D$25)))),AND(Nonlabor!$H$9="Annual",MOD(C1506-IF(Nonlabor!$E$9="Core",Nonlabor!$F$9,MAX(Nonlabor!$F$9,IF(Nonlabor!$E$9="AI",Assumptions!$D$24,Assumptions!$D$25))),12)=0))),IF(Nonlabor!$I$9="Fixed",1,IF(Nonlabor!$I$9="Seats",ROUNDUP('Monthly Base'!I6,0),IF(Nonlabor!$I$9="Customers",'Monthly Base'!D6,IF(Nonlabor!$I$9="NewCustomers",'Monthly Base'!C6,IF(Nonlabor!$I$9="StorageGB",'Monthly Base'!G6,IF(Nonlabor!$I$9="LogGB",'Monthly Base'!H6,IF(Nonlabor!$I$9="RequestsM",'Monthly Base'!F6,IF(Nonlabor!$I$9="InputM",'Monthly Base'!D6*Assumptions!$D$22/1000000,IF(Nonlabor!$I$9="OutputM",'Monthly Base'!D6*Assumptions!$D$23/1000000,0))))))))),0)</f>
        <v>1</v>
      </c>
      <c r="F1506" s="10" t="n">
        <f aca="false">Nonlabor!$J$9*(1+Assumptions!$D$9)^INT((C1506-1)/12)</f>
        <v>250</v>
      </c>
      <c r="G1506" s="10" t="n">
        <f aca="false">E1506*F1506</f>
        <v>250</v>
      </c>
      <c r="H1506" s="10" t="n">
        <f aca="false">IF(OR(Nonlabor!$L$9="Quote required",Nonlabor!$L$9="Unverified"),G1506,0)</f>
        <v>250</v>
      </c>
      <c r="I1506" s="10" t="n">
        <f aca="false">IF(Nonlabor!$E$9="Core",0,G1506)</f>
        <v>0</v>
      </c>
      <c r="J1506" s="23" t="str">
        <f aca="false">Nonlabor!$B$9</f>
        <v>INFRA</v>
      </c>
    </row>
    <row r="1507" customFormat="false" ht="15" hidden="false" customHeight="false" outlineLevel="0" collapsed="false">
      <c r="A1507" s="6" t="s">
        <v>4</v>
      </c>
      <c r="B1507" s="6" t="s">
        <v>379</v>
      </c>
      <c r="C1507" s="6" t="n">
        <v>2</v>
      </c>
      <c r="D1507" s="25" t="n">
        <f aca="false">EDATE('Start Here'!$B$6,C1507-1)</f>
        <v>46357</v>
      </c>
      <c r="E1507" s="23" t="n">
        <f aca="false">IF(AND(OR(Nonlabor!$D$9="Both",Nonlabor!$D$9='Start Here'!$B$9),IF(Nonlabor!$E$9="Core",1,IF(Nonlabor!$E$9="AI",'Start Here'!$B$7,'Start Here'!$B$8))=1,C1507&gt;=IF(Nonlabor!$E$9="Core",Nonlabor!$F$9,MAX(Nonlabor!$F$9,IF(Nonlabor!$E$9="AI",Assumptions!$D$24,Assumptions!$D$25))),C1507&lt;=Nonlabor!$G$9,OR(Nonlabor!$H$9="Monthly",AND(Nonlabor!$H$9="Once",C1507=IF(Nonlabor!$E$9="Core",Nonlabor!$F$9,MAX(Nonlabor!$F$9,IF(Nonlabor!$E$9="AI",Assumptions!$D$24,Assumptions!$D$25)))),AND(Nonlabor!$H$9="Annual",MOD(C1507-IF(Nonlabor!$E$9="Core",Nonlabor!$F$9,MAX(Nonlabor!$F$9,IF(Nonlabor!$E$9="AI",Assumptions!$D$24,Assumptions!$D$25))),12)=0))),IF(Nonlabor!$I$9="Fixed",1,IF(Nonlabor!$I$9="Seats",ROUNDUP('Monthly Base'!I7,0),IF(Nonlabor!$I$9="Customers",'Monthly Base'!D7,IF(Nonlabor!$I$9="NewCustomers",'Monthly Base'!C7,IF(Nonlabor!$I$9="StorageGB",'Monthly Base'!G7,IF(Nonlabor!$I$9="LogGB",'Monthly Base'!H7,IF(Nonlabor!$I$9="RequestsM",'Monthly Base'!F7,IF(Nonlabor!$I$9="InputM",'Monthly Base'!D7*Assumptions!$D$22/1000000,IF(Nonlabor!$I$9="OutputM",'Monthly Base'!D7*Assumptions!$D$23/1000000,0))))))))),0)</f>
        <v>1</v>
      </c>
      <c r="F1507" s="10" t="n">
        <f aca="false">Nonlabor!$J$9*(1+Assumptions!$D$9)^INT((C1507-1)/12)</f>
        <v>250</v>
      </c>
      <c r="G1507" s="10" t="n">
        <f aca="false">E1507*F1507</f>
        <v>250</v>
      </c>
      <c r="H1507" s="10" t="n">
        <f aca="false">IF(OR(Nonlabor!$L$9="Quote required",Nonlabor!$L$9="Unverified"),G1507,0)</f>
        <v>250</v>
      </c>
      <c r="I1507" s="10" t="n">
        <f aca="false">IF(Nonlabor!$E$9="Core",0,G1507)</f>
        <v>0</v>
      </c>
      <c r="J1507" s="23" t="str">
        <f aca="false">Nonlabor!$B$9</f>
        <v>INFRA</v>
      </c>
    </row>
    <row r="1508" customFormat="false" ht="15" hidden="false" customHeight="false" outlineLevel="0" collapsed="false">
      <c r="A1508" s="6" t="s">
        <v>4</v>
      </c>
      <c r="B1508" s="6" t="s">
        <v>379</v>
      </c>
      <c r="C1508" s="6" t="n">
        <v>3</v>
      </c>
      <c r="D1508" s="25" t="n">
        <f aca="false">EDATE('Start Here'!$B$6,C1508-1)</f>
        <v>46388</v>
      </c>
      <c r="E1508" s="23" t="n">
        <f aca="false">IF(AND(OR(Nonlabor!$D$9="Both",Nonlabor!$D$9='Start Here'!$B$9),IF(Nonlabor!$E$9="Core",1,IF(Nonlabor!$E$9="AI",'Start Here'!$B$7,'Start Here'!$B$8))=1,C1508&gt;=IF(Nonlabor!$E$9="Core",Nonlabor!$F$9,MAX(Nonlabor!$F$9,IF(Nonlabor!$E$9="AI",Assumptions!$D$24,Assumptions!$D$25))),C1508&lt;=Nonlabor!$G$9,OR(Nonlabor!$H$9="Monthly",AND(Nonlabor!$H$9="Once",C1508=IF(Nonlabor!$E$9="Core",Nonlabor!$F$9,MAX(Nonlabor!$F$9,IF(Nonlabor!$E$9="AI",Assumptions!$D$24,Assumptions!$D$25)))),AND(Nonlabor!$H$9="Annual",MOD(C1508-IF(Nonlabor!$E$9="Core",Nonlabor!$F$9,MAX(Nonlabor!$F$9,IF(Nonlabor!$E$9="AI",Assumptions!$D$24,Assumptions!$D$25))),12)=0))),IF(Nonlabor!$I$9="Fixed",1,IF(Nonlabor!$I$9="Seats",ROUNDUP('Monthly Base'!I8,0),IF(Nonlabor!$I$9="Customers",'Monthly Base'!D8,IF(Nonlabor!$I$9="NewCustomers",'Monthly Base'!C8,IF(Nonlabor!$I$9="StorageGB",'Monthly Base'!G8,IF(Nonlabor!$I$9="LogGB",'Monthly Base'!H8,IF(Nonlabor!$I$9="RequestsM",'Monthly Base'!F8,IF(Nonlabor!$I$9="InputM",'Monthly Base'!D8*Assumptions!$D$22/1000000,IF(Nonlabor!$I$9="OutputM",'Monthly Base'!D8*Assumptions!$D$23/1000000,0))))))))),0)</f>
        <v>1</v>
      </c>
      <c r="F1508" s="10" t="n">
        <f aca="false">Nonlabor!$J$9*(1+Assumptions!$D$9)^INT((C1508-1)/12)</f>
        <v>250</v>
      </c>
      <c r="G1508" s="10" t="n">
        <f aca="false">E1508*F1508</f>
        <v>250</v>
      </c>
      <c r="H1508" s="10" t="n">
        <f aca="false">IF(OR(Nonlabor!$L$9="Quote required",Nonlabor!$L$9="Unverified"),G1508,0)</f>
        <v>250</v>
      </c>
      <c r="I1508" s="10" t="n">
        <f aca="false">IF(Nonlabor!$E$9="Core",0,G1508)</f>
        <v>0</v>
      </c>
      <c r="J1508" s="23" t="str">
        <f aca="false">Nonlabor!$B$9</f>
        <v>INFRA</v>
      </c>
    </row>
    <row r="1509" customFormat="false" ht="15" hidden="false" customHeight="false" outlineLevel="0" collapsed="false">
      <c r="A1509" s="6" t="s">
        <v>4</v>
      </c>
      <c r="B1509" s="6" t="s">
        <v>379</v>
      </c>
      <c r="C1509" s="6" t="n">
        <v>4</v>
      </c>
      <c r="D1509" s="25" t="n">
        <f aca="false">EDATE('Start Here'!$B$6,C1509-1)</f>
        <v>46419</v>
      </c>
      <c r="E1509" s="23" t="n">
        <f aca="false">IF(AND(OR(Nonlabor!$D$9="Both",Nonlabor!$D$9='Start Here'!$B$9),IF(Nonlabor!$E$9="Core",1,IF(Nonlabor!$E$9="AI",'Start Here'!$B$7,'Start Here'!$B$8))=1,C1509&gt;=IF(Nonlabor!$E$9="Core",Nonlabor!$F$9,MAX(Nonlabor!$F$9,IF(Nonlabor!$E$9="AI",Assumptions!$D$24,Assumptions!$D$25))),C1509&lt;=Nonlabor!$G$9,OR(Nonlabor!$H$9="Monthly",AND(Nonlabor!$H$9="Once",C1509=IF(Nonlabor!$E$9="Core",Nonlabor!$F$9,MAX(Nonlabor!$F$9,IF(Nonlabor!$E$9="AI",Assumptions!$D$24,Assumptions!$D$25)))),AND(Nonlabor!$H$9="Annual",MOD(C1509-IF(Nonlabor!$E$9="Core",Nonlabor!$F$9,MAX(Nonlabor!$F$9,IF(Nonlabor!$E$9="AI",Assumptions!$D$24,Assumptions!$D$25))),12)=0))),IF(Nonlabor!$I$9="Fixed",1,IF(Nonlabor!$I$9="Seats",ROUNDUP('Monthly Base'!I9,0),IF(Nonlabor!$I$9="Customers",'Monthly Base'!D9,IF(Nonlabor!$I$9="NewCustomers",'Monthly Base'!C9,IF(Nonlabor!$I$9="StorageGB",'Monthly Base'!G9,IF(Nonlabor!$I$9="LogGB",'Monthly Base'!H9,IF(Nonlabor!$I$9="RequestsM",'Monthly Base'!F9,IF(Nonlabor!$I$9="InputM",'Monthly Base'!D9*Assumptions!$D$22/1000000,IF(Nonlabor!$I$9="OutputM",'Monthly Base'!D9*Assumptions!$D$23/1000000,0))))))))),0)</f>
        <v>1</v>
      </c>
      <c r="F1509" s="10" t="n">
        <f aca="false">Nonlabor!$J$9*(1+Assumptions!$D$9)^INT((C1509-1)/12)</f>
        <v>250</v>
      </c>
      <c r="G1509" s="10" t="n">
        <f aca="false">E1509*F1509</f>
        <v>250</v>
      </c>
      <c r="H1509" s="10" t="n">
        <f aca="false">IF(OR(Nonlabor!$L$9="Quote required",Nonlabor!$L$9="Unverified"),G1509,0)</f>
        <v>250</v>
      </c>
      <c r="I1509" s="10" t="n">
        <f aca="false">IF(Nonlabor!$E$9="Core",0,G1509)</f>
        <v>0</v>
      </c>
      <c r="J1509" s="23" t="str">
        <f aca="false">Nonlabor!$B$9</f>
        <v>INFRA</v>
      </c>
    </row>
    <row r="1510" customFormat="false" ht="15" hidden="false" customHeight="false" outlineLevel="0" collapsed="false">
      <c r="A1510" s="6" t="s">
        <v>4</v>
      </c>
      <c r="B1510" s="6" t="s">
        <v>379</v>
      </c>
      <c r="C1510" s="6" t="n">
        <v>5</v>
      </c>
      <c r="D1510" s="25" t="n">
        <f aca="false">EDATE('Start Here'!$B$6,C1510-1)</f>
        <v>46447</v>
      </c>
      <c r="E1510" s="23" t="n">
        <f aca="false">IF(AND(OR(Nonlabor!$D$9="Both",Nonlabor!$D$9='Start Here'!$B$9),IF(Nonlabor!$E$9="Core",1,IF(Nonlabor!$E$9="AI",'Start Here'!$B$7,'Start Here'!$B$8))=1,C1510&gt;=IF(Nonlabor!$E$9="Core",Nonlabor!$F$9,MAX(Nonlabor!$F$9,IF(Nonlabor!$E$9="AI",Assumptions!$D$24,Assumptions!$D$25))),C1510&lt;=Nonlabor!$G$9,OR(Nonlabor!$H$9="Monthly",AND(Nonlabor!$H$9="Once",C1510=IF(Nonlabor!$E$9="Core",Nonlabor!$F$9,MAX(Nonlabor!$F$9,IF(Nonlabor!$E$9="AI",Assumptions!$D$24,Assumptions!$D$25)))),AND(Nonlabor!$H$9="Annual",MOD(C1510-IF(Nonlabor!$E$9="Core",Nonlabor!$F$9,MAX(Nonlabor!$F$9,IF(Nonlabor!$E$9="AI",Assumptions!$D$24,Assumptions!$D$25))),12)=0))),IF(Nonlabor!$I$9="Fixed",1,IF(Nonlabor!$I$9="Seats",ROUNDUP('Monthly Base'!I10,0),IF(Nonlabor!$I$9="Customers",'Monthly Base'!D10,IF(Nonlabor!$I$9="NewCustomers",'Monthly Base'!C10,IF(Nonlabor!$I$9="StorageGB",'Monthly Base'!G10,IF(Nonlabor!$I$9="LogGB",'Monthly Base'!H10,IF(Nonlabor!$I$9="RequestsM",'Monthly Base'!F10,IF(Nonlabor!$I$9="InputM",'Monthly Base'!D10*Assumptions!$D$22/1000000,IF(Nonlabor!$I$9="OutputM",'Monthly Base'!D10*Assumptions!$D$23/1000000,0))))))))),0)</f>
        <v>1</v>
      </c>
      <c r="F1510" s="10" t="n">
        <f aca="false">Nonlabor!$J$9*(1+Assumptions!$D$9)^INT((C1510-1)/12)</f>
        <v>250</v>
      </c>
      <c r="G1510" s="10" t="n">
        <f aca="false">E1510*F1510</f>
        <v>250</v>
      </c>
      <c r="H1510" s="10" t="n">
        <f aca="false">IF(OR(Nonlabor!$L$9="Quote required",Nonlabor!$L$9="Unverified"),G1510,0)</f>
        <v>250</v>
      </c>
      <c r="I1510" s="10" t="n">
        <f aca="false">IF(Nonlabor!$E$9="Core",0,G1510)</f>
        <v>0</v>
      </c>
      <c r="J1510" s="23" t="str">
        <f aca="false">Nonlabor!$B$9</f>
        <v>INFRA</v>
      </c>
    </row>
    <row r="1511" customFormat="false" ht="15" hidden="false" customHeight="false" outlineLevel="0" collapsed="false">
      <c r="A1511" s="6" t="s">
        <v>4</v>
      </c>
      <c r="B1511" s="6" t="s">
        <v>379</v>
      </c>
      <c r="C1511" s="6" t="n">
        <v>6</v>
      </c>
      <c r="D1511" s="25" t="n">
        <f aca="false">EDATE('Start Here'!$B$6,C1511-1)</f>
        <v>46478</v>
      </c>
      <c r="E1511" s="23" t="n">
        <f aca="false">IF(AND(OR(Nonlabor!$D$9="Both",Nonlabor!$D$9='Start Here'!$B$9),IF(Nonlabor!$E$9="Core",1,IF(Nonlabor!$E$9="AI",'Start Here'!$B$7,'Start Here'!$B$8))=1,C1511&gt;=IF(Nonlabor!$E$9="Core",Nonlabor!$F$9,MAX(Nonlabor!$F$9,IF(Nonlabor!$E$9="AI",Assumptions!$D$24,Assumptions!$D$25))),C1511&lt;=Nonlabor!$G$9,OR(Nonlabor!$H$9="Monthly",AND(Nonlabor!$H$9="Once",C1511=IF(Nonlabor!$E$9="Core",Nonlabor!$F$9,MAX(Nonlabor!$F$9,IF(Nonlabor!$E$9="AI",Assumptions!$D$24,Assumptions!$D$25)))),AND(Nonlabor!$H$9="Annual",MOD(C1511-IF(Nonlabor!$E$9="Core",Nonlabor!$F$9,MAX(Nonlabor!$F$9,IF(Nonlabor!$E$9="AI",Assumptions!$D$24,Assumptions!$D$25))),12)=0))),IF(Nonlabor!$I$9="Fixed",1,IF(Nonlabor!$I$9="Seats",ROUNDUP('Monthly Base'!I11,0),IF(Nonlabor!$I$9="Customers",'Monthly Base'!D11,IF(Nonlabor!$I$9="NewCustomers",'Monthly Base'!C11,IF(Nonlabor!$I$9="StorageGB",'Monthly Base'!G11,IF(Nonlabor!$I$9="LogGB",'Monthly Base'!H11,IF(Nonlabor!$I$9="RequestsM",'Monthly Base'!F11,IF(Nonlabor!$I$9="InputM",'Monthly Base'!D11*Assumptions!$D$22/1000000,IF(Nonlabor!$I$9="OutputM",'Monthly Base'!D11*Assumptions!$D$23/1000000,0))))))))),0)</f>
        <v>1</v>
      </c>
      <c r="F1511" s="10" t="n">
        <f aca="false">Nonlabor!$J$9*(1+Assumptions!$D$9)^INT((C1511-1)/12)</f>
        <v>250</v>
      </c>
      <c r="G1511" s="10" t="n">
        <f aca="false">E1511*F1511</f>
        <v>250</v>
      </c>
      <c r="H1511" s="10" t="n">
        <f aca="false">IF(OR(Nonlabor!$L$9="Quote required",Nonlabor!$L$9="Unverified"),G1511,0)</f>
        <v>250</v>
      </c>
      <c r="I1511" s="10" t="n">
        <f aca="false">IF(Nonlabor!$E$9="Core",0,G1511)</f>
        <v>0</v>
      </c>
      <c r="J1511" s="23" t="str">
        <f aca="false">Nonlabor!$B$9</f>
        <v>INFRA</v>
      </c>
    </row>
    <row r="1512" customFormat="false" ht="15" hidden="false" customHeight="false" outlineLevel="0" collapsed="false">
      <c r="A1512" s="6" t="s">
        <v>4</v>
      </c>
      <c r="B1512" s="6" t="s">
        <v>379</v>
      </c>
      <c r="C1512" s="6" t="n">
        <v>7</v>
      </c>
      <c r="D1512" s="25" t="n">
        <f aca="false">EDATE('Start Here'!$B$6,C1512-1)</f>
        <v>46508</v>
      </c>
      <c r="E1512" s="23" t="n">
        <f aca="false">IF(AND(OR(Nonlabor!$D$9="Both",Nonlabor!$D$9='Start Here'!$B$9),IF(Nonlabor!$E$9="Core",1,IF(Nonlabor!$E$9="AI",'Start Here'!$B$7,'Start Here'!$B$8))=1,C1512&gt;=IF(Nonlabor!$E$9="Core",Nonlabor!$F$9,MAX(Nonlabor!$F$9,IF(Nonlabor!$E$9="AI",Assumptions!$D$24,Assumptions!$D$25))),C1512&lt;=Nonlabor!$G$9,OR(Nonlabor!$H$9="Monthly",AND(Nonlabor!$H$9="Once",C1512=IF(Nonlabor!$E$9="Core",Nonlabor!$F$9,MAX(Nonlabor!$F$9,IF(Nonlabor!$E$9="AI",Assumptions!$D$24,Assumptions!$D$25)))),AND(Nonlabor!$H$9="Annual",MOD(C1512-IF(Nonlabor!$E$9="Core",Nonlabor!$F$9,MAX(Nonlabor!$F$9,IF(Nonlabor!$E$9="AI",Assumptions!$D$24,Assumptions!$D$25))),12)=0))),IF(Nonlabor!$I$9="Fixed",1,IF(Nonlabor!$I$9="Seats",ROUNDUP('Monthly Base'!I12,0),IF(Nonlabor!$I$9="Customers",'Monthly Base'!D12,IF(Nonlabor!$I$9="NewCustomers",'Monthly Base'!C12,IF(Nonlabor!$I$9="StorageGB",'Monthly Base'!G12,IF(Nonlabor!$I$9="LogGB",'Monthly Base'!H12,IF(Nonlabor!$I$9="RequestsM",'Monthly Base'!F12,IF(Nonlabor!$I$9="InputM",'Monthly Base'!D12*Assumptions!$D$22/1000000,IF(Nonlabor!$I$9="OutputM",'Monthly Base'!D12*Assumptions!$D$23/1000000,0))))))))),0)</f>
        <v>1</v>
      </c>
      <c r="F1512" s="10" t="n">
        <f aca="false">Nonlabor!$J$9*(1+Assumptions!$D$9)^INT((C1512-1)/12)</f>
        <v>250</v>
      </c>
      <c r="G1512" s="10" t="n">
        <f aca="false">E1512*F1512</f>
        <v>250</v>
      </c>
      <c r="H1512" s="10" t="n">
        <f aca="false">IF(OR(Nonlabor!$L$9="Quote required",Nonlabor!$L$9="Unverified"),G1512,0)</f>
        <v>250</v>
      </c>
      <c r="I1512" s="10" t="n">
        <f aca="false">IF(Nonlabor!$E$9="Core",0,G1512)</f>
        <v>0</v>
      </c>
      <c r="J1512" s="23" t="str">
        <f aca="false">Nonlabor!$B$9</f>
        <v>INFRA</v>
      </c>
    </row>
    <row r="1513" customFormat="false" ht="15" hidden="false" customHeight="false" outlineLevel="0" collapsed="false">
      <c r="A1513" s="6" t="s">
        <v>4</v>
      </c>
      <c r="B1513" s="6" t="s">
        <v>379</v>
      </c>
      <c r="C1513" s="6" t="n">
        <v>8</v>
      </c>
      <c r="D1513" s="25" t="n">
        <f aca="false">EDATE('Start Here'!$B$6,C1513-1)</f>
        <v>46539</v>
      </c>
      <c r="E1513" s="23" t="n">
        <f aca="false">IF(AND(OR(Nonlabor!$D$9="Both",Nonlabor!$D$9='Start Here'!$B$9),IF(Nonlabor!$E$9="Core",1,IF(Nonlabor!$E$9="AI",'Start Here'!$B$7,'Start Here'!$B$8))=1,C1513&gt;=IF(Nonlabor!$E$9="Core",Nonlabor!$F$9,MAX(Nonlabor!$F$9,IF(Nonlabor!$E$9="AI",Assumptions!$D$24,Assumptions!$D$25))),C1513&lt;=Nonlabor!$G$9,OR(Nonlabor!$H$9="Monthly",AND(Nonlabor!$H$9="Once",C1513=IF(Nonlabor!$E$9="Core",Nonlabor!$F$9,MAX(Nonlabor!$F$9,IF(Nonlabor!$E$9="AI",Assumptions!$D$24,Assumptions!$D$25)))),AND(Nonlabor!$H$9="Annual",MOD(C1513-IF(Nonlabor!$E$9="Core",Nonlabor!$F$9,MAX(Nonlabor!$F$9,IF(Nonlabor!$E$9="AI",Assumptions!$D$24,Assumptions!$D$25))),12)=0))),IF(Nonlabor!$I$9="Fixed",1,IF(Nonlabor!$I$9="Seats",ROUNDUP('Monthly Base'!I13,0),IF(Nonlabor!$I$9="Customers",'Monthly Base'!D13,IF(Nonlabor!$I$9="NewCustomers",'Monthly Base'!C13,IF(Nonlabor!$I$9="StorageGB",'Monthly Base'!G13,IF(Nonlabor!$I$9="LogGB",'Monthly Base'!H13,IF(Nonlabor!$I$9="RequestsM",'Monthly Base'!F13,IF(Nonlabor!$I$9="InputM",'Monthly Base'!D13*Assumptions!$D$22/1000000,IF(Nonlabor!$I$9="OutputM",'Monthly Base'!D13*Assumptions!$D$23/1000000,0))))))))),0)</f>
        <v>1</v>
      </c>
      <c r="F1513" s="10" t="n">
        <f aca="false">Nonlabor!$J$9*(1+Assumptions!$D$9)^INT((C1513-1)/12)</f>
        <v>250</v>
      </c>
      <c r="G1513" s="10" t="n">
        <f aca="false">E1513*F1513</f>
        <v>250</v>
      </c>
      <c r="H1513" s="10" t="n">
        <f aca="false">IF(OR(Nonlabor!$L$9="Quote required",Nonlabor!$L$9="Unverified"),G1513,0)</f>
        <v>250</v>
      </c>
      <c r="I1513" s="10" t="n">
        <f aca="false">IF(Nonlabor!$E$9="Core",0,G1513)</f>
        <v>0</v>
      </c>
      <c r="J1513" s="23" t="str">
        <f aca="false">Nonlabor!$B$9</f>
        <v>INFRA</v>
      </c>
    </row>
    <row r="1514" customFormat="false" ht="15" hidden="false" customHeight="false" outlineLevel="0" collapsed="false">
      <c r="A1514" s="6" t="s">
        <v>4</v>
      </c>
      <c r="B1514" s="6" t="s">
        <v>379</v>
      </c>
      <c r="C1514" s="6" t="n">
        <v>9</v>
      </c>
      <c r="D1514" s="25" t="n">
        <f aca="false">EDATE('Start Here'!$B$6,C1514-1)</f>
        <v>46569</v>
      </c>
      <c r="E1514" s="23" t="n">
        <f aca="false">IF(AND(OR(Nonlabor!$D$9="Both",Nonlabor!$D$9='Start Here'!$B$9),IF(Nonlabor!$E$9="Core",1,IF(Nonlabor!$E$9="AI",'Start Here'!$B$7,'Start Here'!$B$8))=1,C1514&gt;=IF(Nonlabor!$E$9="Core",Nonlabor!$F$9,MAX(Nonlabor!$F$9,IF(Nonlabor!$E$9="AI",Assumptions!$D$24,Assumptions!$D$25))),C1514&lt;=Nonlabor!$G$9,OR(Nonlabor!$H$9="Monthly",AND(Nonlabor!$H$9="Once",C1514=IF(Nonlabor!$E$9="Core",Nonlabor!$F$9,MAX(Nonlabor!$F$9,IF(Nonlabor!$E$9="AI",Assumptions!$D$24,Assumptions!$D$25)))),AND(Nonlabor!$H$9="Annual",MOD(C1514-IF(Nonlabor!$E$9="Core",Nonlabor!$F$9,MAX(Nonlabor!$F$9,IF(Nonlabor!$E$9="AI",Assumptions!$D$24,Assumptions!$D$25))),12)=0))),IF(Nonlabor!$I$9="Fixed",1,IF(Nonlabor!$I$9="Seats",ROUNDUP('Monthly Base'!I14,0),IF(Nonlabor!$I$9="Customers",'Monthly Base'!D14,IF(Nonlabor!$I$9="NewCustomers",'Monthly Base'!C14,IF(Nonlabor!$I$9="StorageGB",'Monthly Base'!G14,IF(Nonlabor!$I$9="LogGB",'Monthly Base'!H14,IF(Nonlabor!$I$9="RequestsM",'Monthly Base'!F14,IF(Nonlabor!$I$9="InputM",'Monthly Base'!D14*Assumptions!$D$22/1000000,IF(Nonlabor!$I$9="OutputM",'Monthly Base'!D14*Assumptions!$D$23/1000000,0))))))))),0)</f>
        <v>1</v>
      </c>
      <c r="F1514" s="10" t="n">
        <f aca="false">Nonlabor!$J$9*(1+Assumptions!$D$9)^INT((C1514-1)/12)</f>
        <v>250</v>
      </c>
      <c r="G1514" s="10" t="n">
        <f aca="false">E1514*F1514</f>
        <v>250</v>
      </c>
      <c r="H1514" s="10" t="n">
        <f aca="false">IF(OR(Nonlabor!$L$9="Quote required",Nonlabor!$L$9="Unverified"),G1514,0)</f>
        <v>250</v>
      </c>
      <c r="I1514" s="10" t="n">
        <f aca="false">IF(Nonlabor!$E$9="Core",0,G1514)</f>
        <v>0</v>
      </c>
      <c r="J1514" s="23" t="str">
        <f aca="false">Nonlabor!$B$9</f>
        <v>INFRA</v>
      </c>
    </row>
    <row r="1515" customFormat="false" ht="15" hidden="false" customHeight="false" outlineLevel="0" collapsed="false">
      <c r="A1515" s="6" t="s">
        <v>4</v>
      </c>
      <c r="B1515" s="6" t="s">
        <v>379</v>
      </c>
      <c r="C1515" s="6" t="n">
        <v>10</v>
      </c>
      <c r="D1515" s="25" t="n">
        <f aca="false">EDATE('Start Here'!$B$6,C1515-1)</f>
        <v>46600</v>
      </c>
      <c r="E1515" s="23" t="n">
        <f aca="false">IF(AND(OR(Nonlabor!$D$9="Both",Nonlabor!$D$9='Start Here'!$B$9),IF(Nonlabor!$E$9="Core",1,IF(Nonlabor!$E$9="AI",'Start Here'!$B$7,'Start Here'!$B$8))=1,C1515&gt;=IF(Nonlabor!$E$9="Core",Nonlabor!$F$9,MAX(Nonlabor!$F$9,IF(Nonlabor!$E$9="AI",Assumptions!$D$24,Assumptions!$D$25))),C1515&lt;=Nonlabor!$G$9,OR(Nonlabor!$H$9="Monthly",AND(Nonlabor!$H$9="Once",C1515=IF(Nonlabor!$E$9="Core",Nonlabor!$F$9,MAX(Nonlabor!$F$9,IF(Nonlabor!$E$9="AI",Assumptions!$D$24,Assumptions!$D$25)))),AND(Nonlabor!$H$9="Annual",MOD(C1515-IF(Nonlabor!$E$9="Core",Nonlabor!$F$9,MAX(Nonlabor!$F$9,IF(Nonlabor!$E$9="AI",Assumptions!$D$24,Assumptions!$D$25))),12)=0))),IF(Nonlabor!$I$9="Fixed",1,IF(Nonlabor!$I$9="Seats",ROUNDUP('Monthly Base'!I15,0),IF(Nonlabor!$I$9="Customers",'Monthly Base'!D15,IF(Nonlabor!$I$9="NewCustomers",'Monthly Base'!C15,IF(Nonlabor!$I$9="StorageGB",'Monthly Base'!G15,IF(Nonlabor!$I$9="LogGB",'Monthly Base'!H15,IF(Nonlabor!$I$9="RequestsM",'Monthly Base'!F15,IF(Nonlabor!$I$9="InputM",'Monthly Base'!D15*Assumptions!$D$22/1000000,IF(Nonlabor!$I$9="OutputM",'Monthly Base'!D15*Assumptions!$D$23/1000000,0))))))))),0)</f>
        <v>1</v>
      </c>
      <c r="F1515" s="10" t="n">
        <f aca="false">Nonlabor!$J$9*(1+Assumptions!$D$9)^INT((C1515-1)/12)</f>
        <v>250</v>
      </c>
      <c r="G1515" s="10" t="n">
        <f aca="false">E1515*F1515</f>
        <v>250</v>
      </c>
      <c r="H1515" s="10" t="n">
        <f aca="false">IF(OR(Nonlabor!$L$9="Quote required",Nonlabor!$L$9="Unverified"),G1515,0)</f>
        <v>250</v>
      </c>
      <c r="I1515" s="10" t="n">
        <f aca="false">IF(Nonlabor!$E$9="Core",0,G1515)</f>
        <v>0</v>
      </c>
      <c r="J1515" s="23" t="str">
        <f aca="false">Nonlabor!$B$9</f>
        <v>INFRA</v>
      </c>
    </row>
    <row r="1516" customFormat="false" ht="15" hidden="false" customHeight="false" outlineLevel="0" collapsed="false">
      <c r="A1516" s="6" t="s">
        <v>4</v>
      </c>
      <c r="B1516" s="6" t="s">
        <v>379</v>
      </c>
      <c r="C1516" s="6" t="n">
        <v>11</v>
      </c>
      <c r="D1516" s="25" t="n">
        <f aca="false">EDATE('Start Here'!$B$6,C1516-1)</f>
        <v>46631</v>
      </c>
      <c r="E1516" s="23" t="n">
        <f aca="false">IF(AND(OR(Nonlabor!$D$9="Both",Nonlabor!$D$9='Start Here'!$B$9),IF(Nonlabor!$E$9="Core",1,IF(Nonlabor!$E$9="AI",'Start Here'!$B$7,'Start Here'!$B$8))=1,C1516&gt;=IF(Nonlabor!$E$9="Core",Nonlabor!$F$9,MAX(Nonlabor!$F$9,IF(Nonlabor!$E$9="AI",Assumptions!$D$24,Assumptions!$D$25))),C1516&lt;=Nonlabor!$G$9,OR(Nonlabor!$H$9="Monthly",AND(Nonlabor!$H$9="Once",C1516=IF(Nonlabor!$E$9="Core",Nonlabor!$F$9,MAX(Nonlabor!$F$9,IF(Nonlabor!$E$9="AI",Assumptions!$D$24,Assumptions!$D$25)))),AND(Nonlabor!$H$9="Annual",MOD(C1516-IF(Nonlabor!$E$9="Core",Nonlabor!$F$9,MAX(Nonlabor!$F$9,IF(Nonlabor!$E$9="AI",Assumptions!$D$24,Assumptions!$D$25))),12)=0))),IF(Nonlabor!$I$9="Fixed",1,IF(Nonlabor!$I$9="Seats",ROUNDUP('Monthly Base'!I16,0),IF(Nonlabor!$I$9="Customers",'Monthly Base'!D16,IF(Nonlabor!$I$9="NewCustomers",'Monthly Base'!C16,IF(Nonlabor!$I$9="StorageGB",'Monthly Base'!G16,IF(Nonlabor!$I$9="LogGB",'Monthly Base'!H16,IF(Nonlabor!$I$9="RequestsM",'Monthly Base'!F16,IF(Nonlabor!$I$9="InputM",'Monthly Base'!D16*Assumptions!$D$22/1000000,IF(Nonlabor!$I$9="OutputM",'Monthly Base'!D16*Assumptions!$D$23/1000000,0))))))))),0)</f>
        <v>1</v>
      </c>
      <c r="F1516" s="10" t="n">
        <f aca="false">Nonlabor!$J$9*(1+Assumptions!$D$9)^INT((C1516-1)/12)</f>
        <v>250</v>
      </c>
      <c r="G1516" s="10" t="n">
        <f aca="false">E1516*F1516</f>
        <v>250</v>
      </c>
      <c r="H1516" s="10" t="n">
        <f aca="false">IF(OR(Nonlabor!$L$9="Quote required",Nonlabor!$L$9="Unverified"),G1516,0)</f>
        <v>250</v>
      </c>
      <c r="I1516" s="10" t="n">
        <f aca="false">IF(Nonlabor!$E$9="Core",0,G1516)</f>
        <v>0</v>
      </c>
      <c r="J1516" s="23" t="str">
        <f aca="false">Nonlabor!$B$9</f>
        <v>INFRA</v>
      </c>
    </row>
    <row r="1517" customFormat="false" ht="15" hidden="false" customHeight="false" outlineLevel="0" collapsed="false">
      <c r="A1517" s="6" t="s">
        <v>4</v>
      </c>
      <c r="B1517" s="6" t="s">
        <v>379</v>
      </c>
      <c r="C1517" s="6" t="n">
        <v>12</v>
      </c>
      <c r="D1517" s="25" t="n">
        <f aca="false">EDATE('Start Here'!$B$6,C1517-1)</f>
        <v>46661</v>
      </c>
      <c r="E1517" s="23" t="n">
        <f aca="false">IF(AND(OR(Nonlabor!$D$9="Both",Nonlabor!$D$9='Start Here'!$B$9),IF(Nonlabor!$E$9="Core",1,IF(Nonlabor!$E$9="AI",'Start Here'!$B$7,'Start Here'!$B$8))=1,C1517&gt;=IF(Nonlabor!$E$9="Core",Nonlabor!$F$9,MAX(Nonlabor!$F$9,IF(Nonlabor!$E$9="AI",Assumptions!$D$24,Assumptions!$D$25))),C1517&lt;=Nonlabor!$G$9,OR(Nonlabor!$H$9="Monthly",AND(Nonlabor!$H$9="Once",C1517=IF(Nonlabor!$E$9="Core",Nonlabor!$F$9,MAX(Nonlabor!$F$9,IF(Nonlabor!$E$9="AI",Assumptions!$D$24,Assumptions!$D$25)))),AND(Nonlabor!$H$9="Annual",MOD(C1517-IF(Nonlabor!$E$9="Core",Nonlabor!$F$9,MAX(Nonlabor!$F$9,IF(Nonlabor!$E$9="AI",Assumptions!$D$24,Assumptions!$D$25))),12)=0))),IF(Nonlabor!$I$9="Fixed",1,IF(Nonlabor!$I$9="Seats",ROUNDUP('Monthly Base'!I17,0),IF(Nonlabor!$I$9="Customers",'Monthly Base'!D17,IF(Nonlabor!$I$9="NewCustomers",'Monthly Base'!C17,IF(Nonlabor!$I$9="StorageGB",'Monthly Base'!G17,IF(Nonlabor!$I$9="LogGB",'Monthly Base'!H17,IF(Nonlabor!$I$9="RequestsM",'Monthly Base'!F17,IF(Nonlabor!$I$9="InputM",'Monthly Base'!D17*Assumptions!$D$22/1000000,IF(Nonlabor!$I$9="OutputM",'Monthly Base'!D17*Assumptions!$D$23/1000000,0))))))))),0)</f>
        <v>1</v>
      </c>
      <c r="F1517" s="10" t="n">
        <f aca="false">Nonlabor!$J$9*(1+Assumptions!$D$9)^INT((C1517-1)/12)</f>
        <v>250</v>
      </c>
      <c r="G1517" s="10" t="n">
        <f aca="false">E1517*F1517</f>
        <v>250</v>
      </c>
      <c r="H1517" s="10" t="n">
        <f aca="false">IF(OR(Nonlabor!$L$9="Quote required",Nonlabor!$L$9="Unverified"),G1517,0)</f>
        <v>250</v>
      </c>
      <c r="I1517" s="10" t="n">
        <f aca="false">IF(Nonlabor!$E$9="Core",0,G1517)</f>
        <v>0</v>
      </c>
      <c r="J1517" s="23" t="str">
        <f aca="false">Nonlabor!$B$9</f>
        <v>INFRA</v>
      </c>
    </row>
    <row r="1518" customFormat="false" ht="15" hidden="false" customHeight="false" outlineLevel="0" collapsed="false">
      <c r="A1518" s="6" t="s">
        <v>4</v>
      </c>
      <c r="B1518" s="6" t="s">
        <v>379</v>
      </c>
      <c r="C1518" s="6" t="n">
        <v>13</v>
      </c>
      <c r="D1518" s="25" t="n">
        <f aca="false">EDATE('Start Here'!$B$6,C1518-1)</f>
        <v>46692</v>
      </c>
      <c r="E1518" s="23" t="n">
        <f aca="false">IF(AND(OR(Nonlabor!$D$9="Both",Nonlabor!$D$9='Start Here'!$B$9),IF(Nonlabor!$E$9="Core",1,IF(Nonlabor!$E$9="AI",'Start Here'!$B$7,'Start Here'!$B$8))=1,C1518&gt;=IF(Nonlabor!$E$9="Core",Nonlabor!$F$9,MAX(Nonlabor!$F$9,IF(Nonlabor!$E$9="AI",Assumptions!$D$24,Assumptions!$D$25))),C1518&lt;=Nonlabor!$G$9,OR(Nonlabor!$H$9="Monthly",AND(Nonlabor!$H$9="Once",C1518=IF(Nonlabor!$E$9="Core",Nonlabor!$F$9,MAX(Nonlabor!$F$9,IF(Nonlabor!$E$9="AI",Assumptions!$D$24,Assumptions!$D$25)))),AND(Nonlabor!$H$9="Annual",MOD(C1518-IF(Nonlabor!$E$9="Core",Nonlabor!$F$9,MAX(Nonlabor!$F$9,IF(Nonlabor!$E$9="AI",Assumptions!$D$24,Assumptions!$D$25))),12)=0))),IF(Nonlabor!$I$9="Fixed",1,IF(Nonlabor!$I$9="Seats",ROUNDUP('Monthly Base'!I18,0),IF(Nonlabor!$I$9="Customers",'Monthly Base'!D18,IF(Nonlabor!$I$9="NewCustomers",'Monthly Base'!C18,IF(Nonlabor!$I$9="StorageGB",'Monthly Base'!G18,IF(Nonlabor!$I$9="LogGB",'Monthly Base'!H18,IF(Nonlabor!$I$9="RequestsM",'Monthly Base'!F18,IF(Nonlabor!$I$9="InputM",'Monthly Base'!D18*Assumptions!$D$22/1000000,IF(Nonlabor!$I$9="OutputM",'Monthly Base'!D18*Assumptions!$D$23/1000000,0))))))))),0)</f>
        <v>1</v>
      </c>
      <c r="F1518" s="10" t="n">
        <f aca="false">Nonlabor!$J$9*(1+Assumptions!$D$9)^INT((C1518-1)/12)</f>
        <v>257.5</v>
      </c>
      <c r="G1518" s="10" t="n">
        <f aca="false">E1518*F1518</f>
        <v>257.5</v>
      </c>
      <c r="H1518" s="10" t="n">
        <f aca="false">IF(OR(Nonlabor!$L$9="Quote required",Nonlabor!$L$9="Unverified"),G1518,0)</f>
        <v>257.5</v>
      </c>
      <c r="I1518" s="10" t="n">
        <f aca="false">IF(Nonlabor!$E$9="Core",0,G1518)</f>
        <v>0</v>
      </c>
      <c r="J1518" s="23" t="str">
        <f aca="false">Nonlabor!$B$9</f>
        <v>INFRA</v>
      </c>
    </row>
    <row r="1519" customFormat="false" ht="15" hidden="false" customHeight="false" outlineLevel="0" collapsed="false">
      <c r="A1519" s="6" t="s">
        <v>4</v>
      </c>
      <c r="B1519" s="6" t="s">
        <v>379</v>
      </c>
      <c r="C1519" s="6" t="n">
        <v>14</v>
      </c>
      <c r="D1519" s="25" t="n">
        <f aca="false">EDATE('Start Here'!$B$6,C1519-1)</f>
        <v>46722</v>
      </c>
      <c r="E1519" s="23" t="n">
        <f aca="false">IF(AND(OR(Nonlabor!$D$9="Both",Nonlabor!$D$9='Start Here'!$B$9),IF(Nonlabor!$E$9="Core",1,IF(Nonlabor!$E$9="AI",'Start Here'!$B$7,'Start Here'!$B$8))=1,C1519&gt;=IF(Nonlabor!$E$9="Core",Nonlabor!$F$9,MAX(Nonlabor!$F$9,IF(Nonlabor!$E$9="AI",Assumptions!$D$24,Assumptions!$D$25))),C1519&lt;=Nonlabor!$G$9,OR(Nonlabor!$H$9="Monthly",AND(Nonlabor!$H$9="Once",C1519=IF(Nonlabor!$E$9="Core",Nonlabor!$F$9,MAX(Nonlabor!$F$9,IF(Nonlabor!$E$9="AI",Assumptions!$D$24,Assumptions!$D$25)))),AND(Nonlabor!$H$9="Annual",MOD(C1519-IF(Nonlabor!$E$9="Core",Nonlabor!$F$9,MAX(Nonlabor!$F$9,IF(Nonlabor!$E$9="AI",Assumptions!$D$24,Assumptions!$D$25))),12)=0))),IF(Nonlabor!$I$9="Fixed",1,IF(Nonlabor!$I$9="Seats",ROUNDUP('Monthly Base'!I19,0),IF(Nonlabor!$I$9="Customers",'Monthly Base'!D19,IF(Nonlabor!$I$9="NewCustomers",'Monthly Base'!C19,IF(Nonlabor!$I$9="StorageGB",'Monthly Base'!G19,IF(Nonlabor!$I$9="LogGB",'Monthly Base'!H19,IF(Nonlabor!$I$9="RequestsM",'Monthly Base'!F19,IF(Nonlabor!$I$9="InputM",'Monthly Base'!D19*Assumptions!$D$22/1000000,IF(Nonlabor!$I$9="OutputM",'Monthly Base'!D19*Assumptions!$D$23/1000000,0))))))))),0)</f>
        <v>1</v>
      </c>
      <c r="F1519" s="10" t="n">
        <f aca="false">Nonlabor!$J$9*(1+Assumptions!$D$9)^INT((C1519-1)/12)</f>
        <v>257.5</v>
      </c>
      <c r="G1519" s="10" t="n">
        <f aca="false">E1519*F1519</f>
        <v>257.5</v>
      </c>
      <c r="H1519" s="10" t="n">
        <f aca="false">IF(OR(Nonlabor!$L$9="Quote required",Nonlabor!$L$9="Unverified"),G1519,0)</f>
        <v>257.5</v>
      </c>
      <c r="I1519" s="10" t="n">
        <f aca="false">IF(Nonlabor!$E$9="Core",0,G1519)</f>
        <v>0</v>
      </c>
      <c r="J1519" s="23" t="str">
        <f aca="false">Nonlabor!$B$9</f>
        <v>INFRA</v>
      </c>
    </row>
    <row r="1520" customFormat="false" ht="15" hidden="false" customHeight="false" outlineLevel="0" collapsed="false">
      <c r="A1520" s="6" t="s">
        <v>4</v>
      </c>
      <c r="B1520" s="6" t="s">
        <v>379</v>
      </c>
      <c r="C1520" s="6" t="n">
        <v>15</v>
      </c>
      <c r="D1520" s="25" t="n">
        <f aca="false">EDATE('Start Here'!$B$6,C1520-1)</f>
        <v>46753</v>
      </c>
      <c r="E1520" s="23" t="n">
        <f aca="false">IF(AND(OR(Nonlabor!$D$9="Both",Nonlabor!$D$9='Start Here'!$B$9),IF(Nonlabor!$E$9="Core",1,IF(Nonlabor!$E$9="AI",'Start Here'!$B$7,'Start Here'!$B$8))=1,C1520&gt;=IF(Nonlabor!$E$9="Core",Nonlabor!$F$9,MAX(Nonlabor!$F$9,IF(Nonlabor!$E$9="AI",Assumptions!$D$24,Assumptions!$D$25))),C1520&lt;=Nonlabor!$G$9,OR(Nonlabor!$H$9="Monthly",AND(Nonlabor!$H$9="Once",C1520=IF(Nonlabor!$E$9="Core",Nonlabor!$F$9,MAX(Nonlabor!$F$9,IF(Nonlabor!$E$9="AI",Assumptions!$D$24,Assumptions!$D$25)))),AND(Nonlabor!$H$9="Annual",MOD(C1520-IF(Nonlabor!$E$9="Core",Nonlabor!$F$9,MAX(Nonlabor!$F$9,IF(Nonlabor!$E$9="AI",Assumptions!$D$24,Assumptions!$D$25))),12)=0))),IF(Nonlabor!$I$9="Fixed",1,IF(Nonlabor!$I$9="Seats",ROUNDUP('Monthly Base'!I20,0),IF(Nonlabor!$I$9="Customers",'Monthly Base'!D20,IF(Nonlabor!$I$9="NewCustomers",'Monthly Base'!C20,IF(Nonlabor!$I$9="StorageGB",'Monthly Base'!G20,IF(Nonlabor!$I$9="LogGB",'Monthly Base'!H20,IF(Nonlabor!$I$9="RequestsM",'Monthly Base'!F20,IF(Nonlabor!$I$9="InputM",'Monthly Base'!D20*Assumptions!$D$22/1000000,IF(Nonlabor!$I$9="OutputM",'Monthly Base'!D20*Assumptions!$D$23/1000000,0))))))))),0)</f>
        <v>1</v>
      </c>
      <c r="F1520" s="10" t="n">
        <f aca="false">Nonlabor!$J$9*(1+Assumptions!$D$9)^INT((C1520-1)/12)</f>
        <v>257.5</v>
      </c>
      <c r="G1520" s="10" t="n">
        <f aca="false">E1520*F1520</f>
        <v>257.5</v>
      </c>
      <c r="H1520" s="10" t="n">
        <f aca="false">IF(OR(Nonlabor!$L$9="Quote required",Nonlabor!$L$9="Unverified"),G1520,0)</f>
        <v>257.5</v>
      </c>
      <c r="I1520" s="10" t="n">
        <f aca="false">IF(Nonlabor!$E$9="Core",0,G1520)</f>
        <v>0</v>
      </c>
      <c r="J1520" s="23" t="str">
        <f aca="false">Nonlabor!$B$9</f>
        <v>INFRA</v>
      </c>
    </row>
    <row r="1521" customFormat="false" ht="15" hidden="false" customHeight="false" outlineLevel="0" collapsed="false">
      <c r="A1521" s="6" t="s">
        <v>4</v>
      </c>
      <c r="B1521" s="6" t="s">
        <v>379</v>
      </c>
      <c r="C1521" s="6" t="n">
        <v>16</v>
      </c>
      <c r="D1521" s="25" t="n">
        <f aca="false">EDATE('Start Here'!$B$6,C1521-1)</f>
        <v>46784</v>
      </c>
      <c r="E1521" s="23" t="n">
        <f aca="false">IF(AND(OR(Nonlabor!$D$9="Both",Nonlabor!$D$9='Start Here'!$B$9),IF(Nonlabor!$E$9="Core",1,IF(Nonlabor!$E$9="AI",'Start Here'!$B$7,'Start Here'!$B$8))=1,C1521&gt;=IF(Nonlabor!$E$9="Core",Nonlabor!$F$9,MAX(Nonlabor!$F$9,IF(Nonlabor!$E$9="AI",Assumptions!$D$24,Assumptions!$D$25))),C1521&lt;=Nonlabor!$G$9,OR(Nonlabor!$H$9="Monthly",AND(Nonlabor!$H$9="Once",C1521=IF(Nonlabor!$E$9="Core",Nonlabor!$F$9,MAX(Nonlabor!$F$9,IF(Nonlabor!$E$9="AI",Assumptions!$D$24,Assumptions!$D$25)))),AND(Nonlabor!$H$9="Annual",MOD(C1521-IF(Nonlabor!$E$9="Core",Nonlabor!$F$9,MAX(Nonlabor!$F$9,IF(Nonlabor!$E$9="AI",Assumptions!$D$24,Assumptions!$D$25))),12)=0))),IF(Nonlabor!$I$9="Fixed",1,IF(Nonlabor!$I$9="Seats",ROUNDUP('Monthly Base'!I21,0),IF(Nonlabor!$I$9="Customers",'Monthly Base'!D21,IF(Nonlabor!$I$9="NewCustomers",'Monthly Base'!C21,IF(Nonlabor!$I$9="StorageGB",'Monthly Base'!G21,IF(Nonlabor!$I$9="LogGB",'Monthly Base'!H21,IF(Nonlabor!$I$9="RequestsM",'Monthly Base'!F21,IF(Nonlabor!$I$9="InputM",'Monthly Base'!D21*Assumptions!$D$22/1000000,IF(Nonlabor!$I$9="OutputM",'Monthly Base'!D21*Assumptions!$D$23/1000000,0))))))))),0)</f>
        <v>1</v>
      </c>
      <c r="F1521" s="10" t="n">
        <f aca="false">Nonlabor!$J$9*(1+Assumptions!$D$9)^INT((C1521-1)/12)</f>
        <v>257.5</v>
      </c>
      <c r="G1521" s="10" t="n">
        <f aca="false">E1521*F1521</f>
        <v>257.5</v>
      </c>
      <c r="H1521" s="10" t="n">
        <f aca="false">IF(OR(Nonlabor!$L$9="Quote required",Nonlabor!$L$9="Unverified"),G1521,0)</f>
        <v>257.5</v>
      </c>
      <c r="I1521" s="10" t="n">
        <f aca="false">IF(Nonlabor!$E$9="Core",0,G1521)</f>
        <v>0</v>
      </c>
      <c r="J1521" s="23" t="str">
        <f aca="false">Nonlabor!$B$9</f>
        <v>INFRA</v>
      </c>
    </row>
    <row r="1522" customFormat="false" ht="15" hidden="false" customHeight="false" outlineLevel="0" collapsed="false">
      <c r="A1522" s="6" t="s">
        <v>4</v>
      </c>
      <c r="B1522" s="6" t="s">
        <v>379</v>
      </c>
      <c r="C1522" s="6" t="n">
        <v>17</v>
      </c>
      <c r="D1522" s="25" t="n">
        <f aca="false">EDATE('Start Here'!$B$6,C1522-1)</f>
        <v>46813</v>
      </c>
      <c r="E1522" s="23" t="n">
        <f aca="false">IF(AND(OR(Nonlabor!$D$9="Both",Nonlabor!$D$9='Start Here'!$B$9),IF(Nonlabor!$E$9="Core",1,IF(Nonlabor!$E$9="AI",'Start Here'!$B$7,'Start Here'!$B$8))=1,C1522&gt;=IF(Nonlabor!$E$9="Core",Nonlabor!$F$9,MAX(Nonlabor!$F$9,IF(Nonlabor!$E$9="AI",Assumptions!$D$24,Assumptions!$D$25))),C1522&lt;=Nonlabor!$G$9,OR(Nonlabor!$H$9="Monthly",AND(Nonlabor!$H$9="Once",C1522=IF(Nonlabor!$E$9="Core",Nonlabor!$F$9,MAX(Nonlabor!$F$9,IF(Nonlabor!$E$9="AI",Assumptions!$D$24,Assumptions!$D$25)))),AND(Nonlabor!$H$9="Annual",MOD(C1522-IF(Nonlabor!$E$9="Core",Nonlabor!$F$9,MAX(Nonlabor!$F$9,IF(Nonlabor!$E$9="AI",Assumptions!$D$24,Assumptions!$D$25))),12)=0))),IF(Nonlabor!$I$9="Fixed",1,IF(Nonlabor!$I$9="Seats",ROUNDUP('Monthly Base'!I22,0),IF(Nonlabor!$I$9="Customers",'Monthly Base'!D22,IF(Nonlabor!$I$9="NewCustomers",'Monthly Base'!C22,IF(Nonlabor!$I$9="StorageGB",'Monthly Base'!G22,IF(Nonlabor!$I$9="LogGB",'Monthly Base'!H22,IF(Nonlabor!$I$9="RequestsM",'Monthly Base'!F22,IF(Nonlabor!$I$9="InputM",'Monthly Base'!D22*Assumptions!$D$22/1000000,IF(Nonlabor!$I$9="OutputM",'Monthly Base'!D22*Assumptions!$D$23/1000000,0))))))))),0)</f>
        <v>1</v>
      </c>
      <c r="F1522" s="10" t="n">
        <f aca="false">Nonlabor!$J$9*(1+Assumptions!$D$9)^INT((C1522-1)/12)</f>
        <v>257.5</v>
      </c>
      <c r="G1522" s="10" t="n">
        <f aca="false">E1522*F1522</f>
        <v>257.5</v>
      </c>
      <c r="H1522" s="10" t="n">
        <f aca="false">IF(OR(Nonlabor!$L$9="Quote required",Nonlabor!$L$9="Unverified"),G1522,0)</f>
        <v>257.5</v>
      </c>
      <c r="I1522" s="10" t="n">
        <f aca="false">IF(Nonlabor!$E$9="Core",0,G1522)</f>
        <v>0</v>
      </c>
      <c r="J1522" s="23" t="str">
        <f aca="false">Nonlabor!$B$9</f>
        <v>INFRA</v>
      </c>
    </row>
    <row r="1523" customFormat="false" ht="15" hidden="false" customHeight="false" outlineLevel="0" collapsed="false">
      <c r="A1523" s="6" t="s">
        <v>4</v>
      </c>
      <c r="B1523" s="6" t="s">
        <v>379</v>
      </c>
      <c r="C1523" s="6" t="n">
        <v>18</v>
      </c>
      <c r="D1523" s="25" t="n">
        <f aca="false">EDATE('Start Here'!$B$6,C1523-1)</f>
        <v>46844</v>
      </c>
      <c r="E1523" s="23" t="n">
        <f aca="false">IF(AND(OR(Nonlabor!$D$9="Both",Nonlabor!$D$9='Start Here'!$B$9),IF(Nonlabor!$E$9="Core",1,IF(Nonlabor!$E$9="AI",'Start Here'!$B$7,'Start Here'!$B$8))=1,C1523&gt;=IF(Nonlabor!$E$9="Core",Nonlabor!$F$9,MAX(Nonlabor!$F$9,IF(Nonlabor!$E$9="AI",Assumptions!$D$24,Assumptions!$D$25))),C1523&lt;=Nonlabor!$G$9,OR(Nonlabor!$H$9="Monthly",AND(Nonlabor!$H$9="Once",C1523=IF(Nonlabor!$E$9="Core",Nonlabor!$F$9,MAX(Nonlabor!$F$9,IF(Nonlabor!$E$9="AI",Assumptions!$D$24,Assumptions!$D$25)))),AND(Nonlabor!$H$9="Annual",MOD(C1523-IF(Nonlabor!$E$9="Core",Nonlabor!$F$9,MAX(Nonlabor!$F$9,IF(Nonlabor!$E$9="AI",Assumptions!$D$24,Assumptions!$D$25))),12)=0))),IF(Nonlabor!$I$9="Fixed",1,IF(Nonlabor!$I$9="Seats",ROUNDUP('Monthly Base'!I23,0),IF(Nonlabor!$I$9="Customers",'Monthly Base'!D23,IF(Nonlabor!$I$9="NewCustomers",'Monthly Base'!C23,IF(Nonlabor!$I$9="StorageGB",'Monthly Base'!G23,IF(Nonlabor!$I$9="LogGB",'Monthly Base'!H23,IF(Nonlabor!$I$9="RequestsM",'Monthly Base'!F23,IF(Nonlabor!$I$9="InputM",'Monthly Base'!D23*Assumptions!$D$22/1000000,IF(Nonlabor!$I$9="OutputM",'Monthly Base'!D23*Assumptions!$D$23/1000000,0))))))))),0)</f>
        <v>1</v>
      </c>
      <c r="F1523" s="10" t="n">
        <f aca="false">Nonlabor!$J$9*(1+Assumptions!$D$9)^INT((C1523-1)/12)</f>
        <v>257.5</v>
      </c>
      <c r="G1523" s="10" t="n">
        <f aca="false">E1523*F1523</f>
        <v>257.5</v>
      </c>
      <c r="H1523" s="10" t="n">
        <f aca="false">IF(OR(Nonlabor!$L$9="Quote required",Nonlabor!$L$9="Unverified"),G1523,0)</f>
        <v>257.5</v>
      </c>
      <c r="I1523" s="10" t="n">
        <f aca="false">IF(Nonlabor!$E$9="Core",0,G1523)</f>
        <v>0</v>
      </c>
      <c r="J1523" s="23" t="str">
        <f aca="false">Nonlabor!$B$9</f>
        <v>INFRA</v>
      </c>
    </row>
    <row r="1524" customFormat="false" ht="15" hidden="false" customHeight="false" outlineLevel="0" collapsed="false">
      <c r="A1524" s="6" t="s">
        <v>4</v>
      </c>
      <c r="B1524" s="6" t="s">
        <v>379</v>
      </c>
      <c r="C1524" s="6" t="n">
        <v>19</v>
      </c>
      <c r="D1524" s="25" t="n">
        <f aca="false">EDATE('Start Here'!$B$6,C1524-1)</f>
        <v>46874</v>
      </c>
      <c r="E1524" s="23" t="n">
        <f aca="false">IF(AND(OR(Nonlabor!$D$9="Both",Nonlabor!$D$9='Start Here'!$B$9),IF(Nonlabor!$E$9="Core",1,IF(Nonlabor!$E$9="AI",'Start Here'!$B$7,'Start Here'!$B$8))=1,C1524&gt;=IF(Nonlabor!$E$9="Core",Nonlabor!$F$9,MAX(Nonlabor!$F$9,IF(Nonlabor!$E$9="AI",Assumptions!$D$24,Assumptions!$D$25))),C1524&lt;=Nonlabor!$G$9,OR(Nonlabor!$H$9="Monthly",AND(Nonlabor!$H$9="Once",C1524=IF(Nonlabor!$E$9="Core",Nonlabor!$F$9,MAX(Nonlabor!$F$9,IF(Nonlabor!$E$9="AI",Assumptions!$D$24,Assumptions!$D$25)))),AND(Nonlabor!$H$9="Annual",MOD(C1524-IF(Nonlabor!$E$9="Core",Nonlabor!$F$9,MAX(Nonlabor!$F$9,IF(Nonlabor!$E$9="AI",Assumptions!$D$24,Assumptions!$D$25))),12)=0))),IF(Nonlabor!$I$9="Fixed",1,IF(Nonlabor!$I$9="Seats",ROUNDUP('Monthly Base'!I24,0),IF(Nonlabor!$I$9="Customers",'Monthly Base'!D24,IF(Nonlabor!$I$9="NewCustomers",'Monthly Base'!C24,IF(Nonlabor!$I$9="StorageGB",'Monthly Base'!G24,IF(Nonlabor!$I$9="LogGB",'Monthly Base'!H24,IF(Nonlabor!$I$9="RequestsM",'Monthly Base'!F24,IF(Nonlabor!$I$9="InputM",'Monthly Base'!D24*Assumptions!$D$22/1000000,IF(Nonlabor!$I$9="OutputM",'Monthly Base'!D24*Assumptions!$D$23/1000000,0))))))))),0)</f>
        <v>1</v>
      </c>
      <c r="F1524" s="10" t="n">
        <f aca="false">Nonlabor!$J$9*(1+Assumptions!$D$9)^INT((C1524-1)/12)</f>
        <v>257.5</v>
      </c>
      <c r="G1524" s="10" t="n">
        <f aca="false">E1524*F1524</f>
        <v>257.5</v>
      </c>
      <c r="H1524" s="10" t="n">
        <f aca="false">IF(OR(Nonlabor!$L$9="Quote required",Nonlabor!$L$9="Unverified"),G1524,0)</f>
        <v>257.5</v>
      </c>
      <c r="I1524" s="10" t="n">
        <f aca="false">IF(Nonlabor!$E$9="Core",0,G1524)</f>
        <v>0</v>
      </c>
      <c r="J1524" s="23" t="str">
        <f aca="false">Nonlabor!$B$9</f>
        <v>INFRA</v>
      </c>
    </row>
    <row r="1525" customFormat="false" ht="15" hidden="false" customHeight="false" outlineLevel="0" collapsed="false">
      <c r="A1525" s="6" t="s">
        <v>4</v>
      </c>
      <c r="B1525" s="6" t="s">
        <v>379</v>
      </c>
      <c r="C1525" s="6" t="n">
        <v>20</v>
      </c>
      <c r="D1525" s="25" t="n">
        <f aca="false">EDATE('Start Here'!$B$6,C1525-1)</f>
        <v>46905</v>
      </c>
      <c r="E1525" s="23" t="n">
        <f aca="false">IF(AND(OR(Nonlabor!$D$9="Both",Nonlabor!$D$9='Start Here'!$B$9),IF(Nonlabor!$E$9="Core",1,IF(Nonlabor!$E$9="AI",'Start Here'!$B$7,'Start Here'!$B$8))=1,C1525&gt;=IF(Nonlabor!$E$9="Core",Nonlabor!$F$9,MAX(Nonlabor!$F$9,IF(Nonlabor!$E$9="AI",Assumptions!$D$24,Assumptions!$D$25))),C1525&lt;=Nonlabor!$G$9,OR(Nonlabor!$H$9="Monthly",AND(Nonlabor!$H$9="Once",C1525=IF(Nonlabor!$E$9="Core",Nonlabor!$F$9,MAX(Nonlabor!$F$9,IF(Nonlabor!$E$9="AI",Assumptions!$D$24,Assumptions!$D$25)))),AND(Nonlabor!$H$9="Annual",MOD(C1525-IF(Nonlabor!$E$9="Core",Nonlabor!$F$9,MAX(Nonlabor!$F$9,IF(Nonlabor!$E$9="AI",Assumptions!$D$24,Assumptions!$D$25))),12)=0))),IF(Nonlabor!$I$9="Fixed",1,IF(Nonlabor!$I$9="Seats",ROUNDUP('Monthly Base'!I25,0),IF(Nonlabor!$I$9="Customers",'Monthly Base'!D25,IF(Nonlabor!$I$9="NewCustomers",'Monthly Base'!C25,IF(Nonlabor!$I$9="StorageGB",'Monthly Base'!G25,IF(Nonlabor!$I$9="LogGB",'Monthly Base'!H25,IF(Nonlabor!$I$9="RequestsM",'Monthly Base'!F25,IF(Nonlabor!$I$9="InputM",'Monthly Base'!D25*Assumptions!$D$22/1000000,IF(Nonlabor!$I$9="OutputM",'Monthly Base'!D25*Assumptions!$D$23/1000000,0))))))))),0)</f>
        <v>1</v>
      </c>
      <c r="F1525" s="10" t="n">
        <f aca="false">Nonlabor!$J$9*(1+Assumptions!$D$9)^INT((C1525-1)/12)</f>
        <v>257.5</v>
      </c>
      <c r="G1525" s="10" t="n">
        <f aca="false">E1525*F1525</f>
        <v>257.5</v>
      </c>
      <c r="H1525" s="10" t="n">
        <f aca="false">IF(OR(Nonlabor!$L$9="Quote required",Nonlabor!$L$9="Unverified"),G1525,0)</f>
        <v>257.5</v>
      </c>
      <c r="I1525" s="10" t="n">
        <f aca="false">IF(Nonlabor!$E$9="Core",0,G1525)</f>
        <v>0</v>
      </c>
      <c r="J1525" s="23" t="str">
        <f aca="false">Nonlabor!$B$9</f>
        <v>INFRA</v>
      </c>
    </row>
    <row r="1526" customFormat="false" ht="15" hidden="false" customHeight="false" outlineLevel="0" collapsed="false">
      <c r="A1526" s="6" t="s">
        <v>4</v>
      </c>
      <c r="B1526" s="6" t="s">
        <v>379</v>
      </c>
      <c r="C1526" s="6" t="n">
        <v>21</v>
      </c>
      <c r="D1526" s="25" t="n">
        <f aca="false">EDATE('Start Here'!$B$6,C1526-1)</f>
        <v>46935</v>
      </c>
      <c r="E1526" s="23" t="n">
        <f aca="false">IF(AND(OR(Nonlabor!$D$9="Both",Nonlabor!$D$9='Start Here'!$B$9),IF(Nonlabor!$E$9="Core",1,IF(Nonlabor!$E$9="AI",'Start Here'!$B$7,'Start Here'!$B$8))=1,C1526&gt;=IF(Nonlabor!$E$9="Core",Nonlabor!$F$9,MAX(Nonlabor!$F$9,IF(Nonlabor!$E$9="AI",Assumptions!$D$24,Assumptions!$D$25))),C1526&lt;=Nonlabor!$G$9,OR(Nonlabor!$H$9="Monthly",AND(Nonlabor!$H$9="Once",C1526=IF(Nonlabor!$E$9="Core",Nonlabor!$F$9,MAX(Nonlabor!$F$9,IF(Nonlabor!$E$9="AI",Assumptions!$D$24,Assumptions!$D$25)))),AND(Nonlabor!$H$9="Annual",MOD(C1526-IF(Nonlabor!$E$9="Core",Nonlabor!$F$9,MAX(Nonlabor!$F$9,IF(Nonlabor!$E$9="AI",Assumptions!$D$24,Assumptions!$D$25))),12)=0))),IF(Nonlabor!$I$9="Fixed",1,IF(Nonlabor!$I$9="Seats",ROUNDUP('Monthly Base'!I26,0),IF(Nonlabor!$I$9="Customers",'Monthly Base'!D26,IF(Nonlabor!$I$9="NewCustomers",'Monthly Base'!C26,IF(Nonlabor!$I$9="StorageGB",'Monthly Base'!G26,IF(Nonlabor!$I$9="LogGB",'Monthly Base'!H26,IF(Nonlabor!$I$9="RequestsM",'Monthly Base'!F26,IF(Nonlabor!$I$9="InputM",'Monthly Base'!D26*Assumptions!$D$22/1000000,IF(Nonlabor!$I$9="OutputM",'Monthly Base'!D26*Assumptions!$D$23/1000000,0))))))))),0)</f>
        <v>1</v>
      </c>
      <c r="F1526" s="10" t="n">
        <f aca="false">Nonlabor!$J$9*(1+Assumptions!$D$9)^INT((C1526-1)/12)</f>
        <v>257.5</v>
      </c>
      <c r="G1526" s="10" t="n">
        <f aca="false">E1526*F1526</f>
        <v>257.5</v>
      </c>
      <c r="H1526" s="10" t="n">
        <f aca="false">IF(OR(Nonlabor!$L$9="Quote required",Nonlabor!$L$9="Unverified"),G1526,0)</f>
        <v>257.5</v>
      </c>
      <c r="I1526" s="10" t="n">
        <f aca="false">IF(Nonlabor!$E$9="Core",0,G1526)</f>
        <v>0</v>
      </c>
      <c r="J1526" s="23" t="str">
        <f aca="false">Nonlabor!$B$9</f>
        <v>INFRA</v>
      </c>
    </row>
    <row r="1527" customFormat="false" ht="15" hidden="false" customHeight="false" outlineLevel="0" collapsed="false">
      <c r="A1527" s="6" t="s">
        <v>4</v>
      </c>
      <c r="B1527" s="6" t="s">
        <v>379</v>
      </c>
      <c r="C1527" s="6" t="n">
        <v>22</v>
      </c>
      <c r="D1527" s="25" t="n">
        <f aca="false">EDATE('Start Here'!$B$6,C1527-1)</f>
        <v>46966</v>
      </c>
      <c r="E1527" s="23" t="n">
        <f aca="false">IF(AND(OR(Nonlabor!$D$9="Both",Nonlabor!$D$9='Start Here'!$B$9),IF(Nonlabor!$E$9="Core",1,IF(Nonlabor!$E$9="AI",'Start Here'!$B$7,'Start Here'!$B$8))=1,C1527&gt;=IF(Nonlabor!$E$9="Core",Nonlabor!$F$9,MAX(Nonlabor!$F$9,IF(Nonlabor!$E$9="AI",Assumptions!$D$24,Assumptions!$D$25))),C1527&lt;=Nonlabor!$G$9,OR(Nonlabor!$H$9="Monthly",AND(Nonlabor!$H$9="Once",C1527=IF(Nonlabor!$E$9="Core",Nonlabor!$F$9,MAX(Nonlabor!$F$9,IF(Nonlabor!$E$9="AI",Assumptions!$D$24,Assumptions!$D$25)))),AND(Nonlabor!$H$9="Annual",MOD(C1527-IF(Nonlabor!$E$9="Core",Nonlabor!$F$9,MAX(Nonlabor!$F$9,IF(Nonlabor!$E$9="AI",Assumptions!$D$24,Assumptions!$D$25))),12)=0))),IF(Nonlabor!$I$9="Fixed",1,IF(Nonlabor!$I$9="Seats",ROUNDUP('Monthly Base'!I27,0),IF(Nonlabor!$I$9="Customers",'Monthly Base'!D27,IF(Nonlabor!$I$9="NewCustomers",'Monthly Base'!C27,IF(Nonlabor!$I$9="StorageGB",'Monthly Base'!G27,IF(Nonlabor!$I$9="LogGB",'Monthly Base'!H27,IF(Nonlabor!$I$9="RequestsM",'Monthly Base'!F27,IF(Nonlabor!$I$9="InputM",'Monthly Base'!D27*Assumptions!$D$22/1000000,IF(Nonlabor!$I$9="OutputM",'Monthly Base'!D27*Assumptions!$D$23/1000000,0))))))))),0)</f>
        <v>1</v>
      </c>
      <c r="F1527" s="10" t="n">
        <f aca="false">Nonlabor!$J$9*(1+Assumptions!$D$9)^INT((C1527-1)/12)</f>
        <v>257.5</v>
      </c>
      <c r="G1527" s="10" t="n">
        <f aca="false">E1527*F1527</f>
        <v>257.5</v>
      </c>
      <c r="H1527" s="10" t="n">
        <f aca="false">IF(OR(Nonlabor!$L$9="Quote required",Nonlabor!$L$9="Unverified"),G1527,0)</f>
        <v>257.5</v>
      </c>
      <c r="I1527" s="10" t="n">
        <f aca="false">IF(Nonlabor!$E$9="Core",0,G1527)</f>
        <v>0</v>
      </c>
      <c r="J1527" s="23" t="str">
        <f aca="false">Nonlabor!$B$9</f>
        <v>INFRA</v>
      </c>
    </row>
    <row r="1528" customFormat="false" ht="15" hidden="false" customHeight="false" outlineLevel="0" collapsed="false">
      <c r="A1528" s="6" t="s">
        <v>4</v>
      </c>
      <c r="B1528" s="6" t="s">
        <v>379</v>
      </c>
      <c r="C1528" s="6" t="n">
        <v>23</v>
      </c>
      <c r="D1528" s="25" t="n">
        <f aca="false">EDATE('Start Here'!$B$6,C1528-1)</f>
        <v>46997</v>
      </c>
      <c r="E1528" s="23" t="n">
        <f aca="false">IF(AND(OR(Nonlabor!$D$9="Both",Nonlabor!$D$9='Start Here'!$B$9),IF(Nonlabor!$E$9="Core",1,IF(Nonlabor!$E$9="AI",'Start Here'!$B$7,'Start Here'!$B$8))=1,C1528&gt;=IF(Nonlabor!$E$9="Core",Nonlabor!$F$9,MAX(Nonlabor!$F$9,IF(Nonlabor!$E$9="AI",Assumptions!$D$24,Assumptions!$D$25))),C1528&lt;=Nonlabor!$G$9,OR(Nonlabor!$H$9="Monthly",AND(Nonlabor!$H$9="Once",C1528=IF(Nonlabor!$E$9="Core",Nonlabor!$F$9,MAX(Nonlabor!$F$9,IF(Nonlabor!$E$9="AI",Assumptions!$D$24,Assumptions!$D$25)))),AND(Nonlabor!$H$9="Annual",MOD(C1528-IF(Nonlabor!$E$9="Core",Nonlabor!$F$9,MAX(Nonlabor!$F$9,IF(Nonlabor!$E$9="AI",Assumptions!$D$24,Assumptions!$D$25))),12)=0))),IF(Nonlabor!$I$9="Fixed",1,IF(Nonlabor!$I$9="Seats",ROUNDUP('Monthly Base'!I28,0),IF(Nonlabor!$I$9="Customers",'Monthly Base'!D28,IF(Nonlabor!$I$9="NewCustomers",'Monthly Base'!C28,IF(Nonlabor!$I$9="StorageGB",'Monthly Base'!G28,IF(Nonlabor!$I$9="LogGB",'Monthly Base'!H28,IF(Nonlabor!$I$9="RequestsM",'Monthly Base'!F28,IF(Nonlabor!$I$9="InputM",'Monthly Base'!D28*Assumptions!$D$22/1000000,IF(Nonlabor!$I$9="OutputM",'Monthly Base'!D28*Assumptions!$D$23/1000000,0))))))))),0)</f>
        <v>1</v>
      </c>
      <c r="F1528" s="10" t="n">
        <f aca="false">Nonlabor!$J$9*(1+Assumptions!$D$9)^INT((C1528-1)/12)</f>
        <v>257.5</v>
      </c>
      <c r="G1528" s="10" t="n">
        <f aca="false">E1528*F1528</f>
        <v>257.5</v>
      </c>
      <c r="H1528" s="10" t="n">
        <f aca="false">IF(OR(Nonlabor!$L$9="Quote required",Nonlabor!$L$9="Unverified"),G1528,0)</f>
        <v>257.5</v>
      </c>
      <c r="I1528" s="10" t="n">
        <f aca="false">IF(Nonlabor!$E$9="Core",0,G1528)</f>
        <v>0</v>
      </c>
      <c r="J1528" s="23" t="str">
        <f aca="false">Nonlabor!$B$9</f>
        <v>INFRA</v>
      </c>
    </row>
    <row r="1529" customFormat="false" ht="15" hidden="false" customHeight="false" outlineLevel="0" collapsed="false">
      <c r="A1529" s="6" t="s">
        <v>4</v>
      </c>
      <c r="B1529" s="6" t="s">
        <v>379</v>
      </c>
      <c r="C1529" s="6" t="n">
        <v>24</v>
      </c>
      <c r="D1529" s="25" t="n">
        <f aca="false">EDATE('Start Here'!$B$6,C1529-1)</f>
        <v>47027</v>
      </c>
      <c r="E1529" s="23" t="n">
        <f aca="false">IF(AND(OR(Nonlabor!$D$9="Both",Nonlabor!$D$9='Start Here'!$B$9),IF(Nonlabor!$E$9="Core",1,IF(Nonlabor!$E$9="AI",'Start Here'!$B$7,'Start Here'!$B$8))=1,C1529&gt;=IF(Nonlabor!$E$9="Core",Nonlabor!$F$9,MAX(Nonlabor!$F$9,IF(Nonlabor!$E$9="AI",Assumptions!$D$24,Assumptions!$D$25))),C1529&lt;=Nonlabor!$G$9,OR(Nonlabor!$H$9="Monthly",AND(Nonlabor!$H$9="Once",C1529=IF(Nonlabor!$E$9="Core",Nonlabor!$F$9,MAX(Nonlabor!$F$9,IF(Nonlabor!$E$9="AI",Assumptions!$D$24,Assumptions!$D$25)))),AND(Nonlabor!$H$9="Annual",MOD(C1529-IF(Nonlabor!$E$9="Core",Nonlabor!$F$9,MAX(Nonlabor!$F$9,IF(Nonlabor!$E$9="AI",Assumptions!$D$24,Assumptions!$D$25))),12)=0))),IF(Nonlabor!$I$9="Fixed",1,IF(Nonlabor!$I$9="Seats",ROUNDUP('Monthly Base'!I29,0),IF(Nonlabor!$I$9="Customers",'Monthly Base'!D29,IF(Nonlabor!$I$9="NewCustomers",'Monthly Base'!C29,IF(Nonlabor!$I$9="StorageGB",'Monthly Base'!G29,IF(Nonlabor!$I$9="LogGB",'Monthly Base'!H29,IF(Nonlabor!$I$9="RequestsM",'Monthly Base'!F29,IF(Nonlabor!$I$9="InputM",'Monthly Base'!D29*Assumptions!$D$22/1000000,IF(Nonlabor!$I$9="OutputM",'Monthly Base'!D29*Assumptions!$D$23/1000000,0))))))))),0)</f>
        <v>1</v>
      </c>
      <c r="F1529" s="10" t="n">
        <f aca="false">Nonlabor!$J$9*(1+Assumptions!$D$9)^INT((C1529-1)/12)</f>
        <v>257.5</v>
      </c>
      <c r="G1529" s="10" t="n">
        <f aca="false">E1529*F1529</f>
        <v>257.5</v>
      </c>
      <c r="H1529" s="10" t="n">
        <f aca="false">IF(OR(Nonlabor!$L$9="Quote required",Nonlabor!$L$9="Unverified"),G1529,0)</f>
        <v>257.5</v>
      </c>
      <c r="I1529" s="10" t="n">
        <f aca="false">IF(Nonlabor!$E$9="Core",0,G1529)</f>
        <v>0</v>
      </c>
      <c r="J1529" s="23" t="str">
        <f aca="false">Nonlabor!$B$9</f>
        <v>INFRA</v>
      </c>
    </row>
    <row r="1530" customFormat="false" ht="15" hidden="false" customHeight="false" outlineLevel="0" collapsed="false">
      <c r="A1530" s="6" t="s">
        <v>4</v>
      </c>
      <c r="B1530" s="6" t="s">
        <v>379</v>
      </c>
      <c r="C1530" s="6" t="n">
        <v>25</v>
      </c>
      <c r="D1530" s="25" t="n">
        <f aca="false">EDATE('Start Here'!$B$6,C1530-1)</f>
        <v>47058</v>
      </c>
      <c r="E1530" s="23" t="n">
        <f aca="false">IF(AND(OR(Nonlabor!$D$9="Both",Nonlabor!$D$9='Start Here'!$B$9),IF(Nonlabor!$E$9="Core",1,IF(Nonlabor!$E$9="AI",'Start Here'!$B$7,'Start Here'!$B$8))=1,C1530&gt;=IF(Nonlabor!$E$9="Core",Nonlabor!$F$9,MAX(Nonlabor!$F$9,IF(Nonlabor!$E$9="AI",Assumptions!$D$24,Assumptions!$D$25))),C1530&lt;=Nonlabor!$G$9,OR(Nonlabor!$H$9="Monthly",AND(Nonlabor!$H$9="Once",C1530=IF(Nonlabor!$E$9="Core",Nonlabor!$F$9,MAX(Nonlabor!$F$9,IF(Nonlabor!$E$9="AI",Assumptions!$D$24,Assumptions!$D$25)))),AND(Nonlabor!$H$9="Annual",MOD(C1530-IF(Nonlabor!$E$9="Core",Nonlabor!$F$9,MAX(Nonlabor!$F$9,IF(Nonlabor!$E$9="AI",Assumptions!$D$24,Assumptions!$D$25))),12)=0))),IF(Nonlabor!$I$9="Fixed",1,IF(Nonlabor!$I$9="Seats",ROUNDUP('Monthly Base'!I30,0),IF(Nonlabor!$I$9="Customers",'Monthly Base'!D30,IF(Nonlabor!$I$9="NewCustomers",'Monthly Base'!C30,IF(Nonlabor!$I$9="StorageGB",'Monthly Base'!G30,IF(Nonlabor!$I$9="LogGB",'Monthly Base'!H30,IF(Nonlabor!$I$9="RequestsM",'Monthly Base'!F30,IF(Nonlabor!$I$9="InputM",'Monthly Base'!D30*Assumptions!$D$22/1000000,IF(Nonlabor!$I$9="OutputM",'Monthly Base'!D30*Assumptions!$D$23/1000000,0))))))))),0)</f>
        <v>1</v>
      </c>
      <c r="F1530" s="10" t="n">
        <f aca="false">Nonlabor!$J$9*(1+Assumptions!$D$9)^INT((C1530-1)/12)</f>
        <v>265.225</v>
      </c>
      <c r="G1530" s="10" t="n">
        <f aca="false">E1530*F1530</f>
        <v>265.225</v>
      </c>
      <c r="H1530" s="10" t="n">
        <f aca="false">IF(OR(Nonlabor!$L$9="Quote required",Nonlabor!$L$9="Unverified"),G1530,0)</f>
        <v>265.225</v>
      </c>
      <c r="I1530" s="10" t="n">
        <f aca="false">IF(Nonlabor!$E$9="Core",0,G1530)</f>
        <v>0</v>
      </c>
      <c r="J1530" s="23" t="str">
        <f aca="false">Nonlabor!$B$9</f>
        <v>INFRA</v>
      </c>
    </row>
    <row r="1531" customFormat="false" ht="15" hidden="false" customHeight="false" outlineLevel="0" collapsed="false">
      <c r="A1531" s="6" t="s">
        <v>4</v>
      </c>
      <c r="B1531" s="6" t="s">
        <v>379</v>
      </c>
      <c r="C1531" s="6" t="n">
        <v>26</v>
      </c>
      <c r="D1531" s="25" t="n">
        <f aca="false">EDATE('Start Here'!$B$6,C1531-1)</f>
        <v>47088</v>
      </c>
      <c r="E1531" s="23" t="n">
        <f aca="false">IF(AND(OR(Nonlabor!$D$9="Both",Nonlabor!$D$9='Start Here'!$B$9),IF(Nonlabor!$E$9="Core",1,IF(Nonlabor!$E$9="AI",'Start Here'!$B$7,'Start Here'!$B$8))=1,C1531&gt;=IF(Nonlabor!$E$9="Core",Nonlabor!$F$9,MAX(Nonlabor!$F$9,IF(Nonlabor!$E$9="AI",Assumptions!$D$24,Assumptions!$D$25))),C1531&lt;=Nonlabor!$G$9,OR(Nonlabor!$H$9="Monthly",AND(Nonlabor!$H$9="Once",C1531=IF(Nonlabor!$E$9="Core",Nonlabor!$F$9,MAX(Nonlabor!$F$9,IF(Nonlabor!$E$9="AI",Assumptions!$D$24,Assumptions!$D$25)))),AND(Nonlabor!$H$9="Annual",MOD(C1531-IF(Nonlabor!$E$9="Core",Nonlabor!$F$9,MAX(Nonlabor!$F$9,IF(Nonlabor!$E$9="AI",Assumptions!$D$24,Assumptions!$D$25))),12)=0))),IF(Nonlabor!$I$9="Fixed",1,IF(Nonlabor!$I$9="Seats",ROUNDUP('Monthly Base'!I31,0),IF(Nonlabor!$I$9="Customers",'Monthly Base'!D31,IF(Nonlabor!$I$9="NewCustomers",'Monthly Base'!C31,IF(Nonlabor!$I$9="StorageGB",'Monthly Base'!G31,IF(Nonlabor!$I$9="LogGB",'Monthly Base'!H31,IF(Nonlabor!$I$9="RequestsM",'Monthly Base'!F31,IF(Nonlabor!$I$9="InputM",'Monthly Base'!D31*Assumptions!$D$22/1000000,IF(Nonlabor!$I$9="OutputM",'Monthly Base'!D31*Assumptions!$D$23/1000000,0))))))))),0)</f>
        <v>1</v>
      </c>
      <c r="F1531" s="10" t="n">
        <f aca="false">Nonlabor!$J$9*(1+Assumptions!$D$9)^INT((C1531-1)/12)</f>
        <v>265.225</v>
      </c>
      <c r="G1531" s="10" t="n">
        <f aca="false">E1531*F1531</f>
        <v>265.225</v>
      </c>
      <c r="H1531" s="10" t="n">
        <f aca="false">IF(OR(Nonlabor!$L$9="Quote required",Nonlabor!$L$9="Unverified"),G1531,0)</f>
        <v>265.225</v>
      </c>
      <c r="I1531" s="10" t="n">
        <f aca="false">IF(Nonlabor!$E$9="Core",0,G1531)</f>
        <v>0</v>
      </c>
      <c r="J1531" s="23" t="str">
        <f aca="false">Nonlabor!$B$9</f>
        <v>INFRA</v>
      </c>
    </row>
    <row r="1532" customFormat="false" ht="15" hidden="false" customHeight="false" outlineLevel="0" collapsed="false">
      <c r="A1532" s="6" t="s">
        <v>4</v>
      </c>
      <c r="B1532" s="6" t="s">
        <v>379</v>
      </c>
      <c r="C1532" s="6" t="n">
        <v>27</v>
      </c>
      <c r="D1532" s="25" t="n">
        <f aca="false">EDATE('Start Here'!$B$6,C1532-1)</f>
        <v>47119</v>
      </c>
      <c r="E1532" s="23" t="n">
        <f aca="false">IF(AND(OR(Nonlabor!$D$9="Both",Nonlabor!$D$9='Start Here'!$B$9),IF(Nonlabor!$E$9="Core",1,IF(Nonlabor!$E$9="AI",'Start Here'!$B$7,'Start Here'!$B$8))=1,C1532&gt;=IF(Nonlabor!$E$9="Core",Nonlabor!$F$9,MAX(Nonlabor!$F$9,IF(Nonlabor!$E$9="AI",Assumptions!$D$24,Assumptions!$D$25))),C1532&lt;=Nonlabor!$G$9,OR(Nonlabor!$H$9="Monthly",AND(Nonlabor!$H$9="Once",C1532=IF(Nonlabor!$E$9="Core",Nonlabor!$F$9,MAX(Nonlabor!$F$9,IF(Nonlabor!$E$9="AI",Assumptions!$D$24,Assumptions!$D$25)))),AND(Nonlabor!$H$9="Annual",MOD(C1532-IF(Nonlabor!$E$9="Core",Nonlabor!$F$9,MAX(Nonlabor!$F$9,IF(Nonlabor!$E$9="AI",Assumptions!$D$24,Assumptions!$D$25))),12)=0))),IF(Nonlabor!$I$9="Fixed",1,IF(Nonlabor!$I$9="Seats",ROUNDUP('Monthly Base'!I32,0),IF(Nonlabor!$I$9="Customers",'Monthly Base'!D32,IF(Nonlabor!$I$9="NewCustomers",'Monthly Base'!C32,IF(Nonlabor!$I$9="StorageGB",'Monthly Base'!G32,IF(Nonlabor!$I$9="LogGB",'Monthly Base'!H32,IF(Nonlabor!$I$9="RequestsM",'Monthly Base'!F32,IF(Nonlabor!$I$9="InputM",'Monthly Base'!D32*Assumptions!$D$22/1000000,IF(Nonlabor!$I$9="OutputM",'Monthly Base'!D32*Assumptions!$D$23/1000000,0))))))))),0)</f>
        <v>1</v>
      </c>
      <c r="F1532" s="10" t="n">
        <f aca="false">Nonlabor!$J$9*(1+Assumptions!$D$9)^INT((C1532-1)/12)</f>
        <v>265.225</v>
      </c>
      <c r="G1532" s="10" t="n">
        <f aca="false">E1532*F1532</f>
        <v>265.225</v>
      </c>
      <c r="H1532" s="10" t="n">
        <f aca="false">IF(OR(Nonlabor!$L$9="Quote required",Nonlabor!$L$9="Unverified"),G1532,0)</f>
        <v>265.225</v>
      </c>
      <c r="I1532" s="10" t="n">
        <f aca="false">IF(Nonlabor!$E$9="Core",0,G1532)</f>
        <v>0</v>
      </c>
      <c r="J1532" s="23" t="str">
        <f aca="false">Nonlabor!$B$9</f>
        <v>INFRA</v>
      </c>
    </row>
    <row r="1533" customFormat="false" ht="15" hidden="false" customHeight="false" outlineLevel="0" collapsed="false">
      <c r="A1533" s="6" t="s">
        <v>4</v>
      </c>
      <c r="B1533" s="6" t="s">
        <v>379</v>
      </c>
      <c r="C1533" s="6" t="n">
        <v>28</v>
      </c>
      <c r="D1533" s="25" t="n">
        <f aca="false">EDATE('Start Here'!$B$6,C1533-1)</f>
        <v>47150</v>
      </c>
      <c r="E1533" s="23" t="n">
        <f aca="false">IF(AND(OR(Nonlabor!$D$9="Both",Nonlabor!$D$9='Start Here'!$B$9),IF(Nonlabor!$E$9="Core",1,IF(Nonlabor!$E$9="AI",'Start Here'!$B$7,'Start Here'!$B$8))=1,C1533&gt;=IF(Nonlabor!$E$9="Core",Nonlabor!$F$9,MAX(Nonlabor!$F$9,IF(Nonlabor!$E$9="AI",Assumptions!$D$24,Assumptions!$D$25))),C1533&lt;=Nonlabor!$G$9,OR(Nonlabor!$H$9="Monthly",AND(Nonlabor!$H$9="Once",C1533=IF(Nonlabor!$E$9="Core",Nonlabor!$F$9,MAX(Nonlabor!$F$9,IF(Nonlabor!$E$9="AI",Assumptions!$D$24,Assumptions!$D$25)))),AND(Nonlabor!$H$9="Annual",MOD(C1533-IF(Nonlabor!$E$9="Core",Nonlabor!$F$9,MAX(Nonlabor!$F$9,IF(Nonlabor!$E$9="AI",Assumptions!$D$24,Assumptions!$D$25))),12)=0))),IF(Nonlabor!$I$9="Fixed",1,IF(Nonlabor!$I$9="Seats",ROUNDUP('Monthly Base'!I33,0),IF(Nonlabor!$I$9="Customers",'Monthly Base'!D33,IF(Nonlabor!$I$9="NewCustomers",'Monthly Base'!C33,IF(Nonlabor!$I$9="StorageGB",'Monthly Base'!G33,IF(Nonlabor!$I$9="LogGB",'Monthly Base'!H33,IF(Nonlabor!$I$9="RequestsM",'Monthly Base'!F33,IF(Nonlabor!$I$9="InputM",'Monthly Base'!D33*Assumptions!$D$22/1000000,IF(Nonlabor!$I$9="OutputM",'Monthly Base'!D33*Assumptions!$D$23/1000000,0))))))))),0)</f>
        <v>1</v>
      </c>
      <c r="F1533" s="10" t="n">
        <f aca="false">Nonlabor!$J$9*(1+Assumptions!$D$9)^INT((C1533-1)/12)</f>
        <v>265.225</v>
      </c>
      <c r="G1533" s="10" t="n">
        <f aca="false">E1533*F1533</f>
        <v>265.225</v>
      </c>
      <c r="H1533" s="10" t="n">
        <f aca="false">IF(OR(Nonlabor!$L$9="Quote required",Nonlabor!$L$9="Unverified"),G1533,0)</f>
        <v>265.225</v>
      </c>
      <c r="I1533" s="10" t="n">
        <f aca="false">IF(Nonlabor!$E$9="Core",0,G1533)</f>
        <v>0</v>
      </c>
      <c r="J1533" s="23" t="str">
        <f aca="false">Nonlabor!$B$9</f>
        <v>INFRA</v>
      </c>
    </row>
    <row r="1534" customFormat="false" ht="15" hidden="false" customHeight="false" outlineLevel="0" collapsed="false">
      <c r="A1534" s="6" t="s">
        <v>4</v>
      </c>
      <c r="B1534" s="6" t="s">
        <v>379</v>
      </c>
      <c r="C1534" s="6" t="n">
        <v>29</v>
      </c>
      <c r="D1534" s="25" t="n">
        <f aca="false">EDATE('Start Here'!$B$6,C1534-1)</f>
        <v>47178</v>
      </c>
      <c r="E1534" s="23" t="n">
        <f aca="false">IF(AND(OR(Nonlabor!$D$9="Both",Nonlabor!$D$9='Start Here'!$B$9),IF(Nonlabor!$E$9="Core",1,IF(Nonlabor!$E$9="AI",'Start Here'!$B$7,'Start Here'!$B$8))=1,C1534&gt;=IF(Nonlabor!$E$9="Core",Nonlabor!$F$9,MAX(Nonlabor!$F$9,IF(Nonlabor!$E$9="AI",Assumptions!$D$24,Assumptions!$D$25))),C1534&lt;=Nonlabor!$G$9,OR(Nonlabor!$H$9="Monthly",AND(Nonlabor!$H$9="Once",C1534=IF(Nonlabor!$E$9="Core",Nonlabor!$F$9,MAX(Nonlabor!$F$9,IF(Nonlabor!$E$9="AI",Assumptions!$D$24,Assumptions!$D$25)))),AND(Nonlabor!$H$9="Annual",MOD(C1534-IF(Nonlabor!$E$9="Core",Nonlabor!$F$9,MAX(Nonlabor!$F$9,IF(Nonlabor!$E$9="AI",Assumptions!$D$24,Assumptions!$D$25))),12)=0))),IF(Nonlabor!$I$9="Fixed",1,IF(Nonlabor!$I$9="Seats",ROUNDUP('Monthly Base'!I34,0),IF(Nonlabor!$I$9="Customers",'Monthly Base'!D34,IF(Nonlabor!$I$9="NewCustomers",'Monthly Base'!C34,IF(Nonlabor!$I$9="StorageGB",'Monthly Base'!G34,IF(Nonlabor!$I$9="LogGB",'Monthly Base'!H34,IF(Nonlabor!$I$9="RequestsM",'Monthly Base'!F34,IF(Nonlabor!$I$9="InputM",'Monthly Base'!D34*Assumptions!$D$22/1000000,IF(Nonlabor!$I$9="OutputM",'Monthly Base'!D34*Assumptions!$D$23/1000000,0))))))))),0)</f>
        <v>1</v>
      </c>
      <c r="F1534" s="10" t="n">
        <f aca="false">Nonlabor!$J$9*(1+Assumptions!$D$9)^INT((C1534-1)/12)</f>
        <v>265.225</v>
      </c>
      <c r="G1534" s="10" t="n">
        <f aca="false">E1534*F1534</f>
        <v>265.225</v>
      </c>
      <c r="H1534" s="10" t="n">
        <f aca="false">IF(OR(Nonlabor!$L$9="Quote required",Nonlabor!$L$9="Unverified"),G1534,0)</f>
        <v>265.225</v>
      </c>
      <c r="I1534" s="10" t="n">
        <f aca="false">IF(Nonlabor!$E$9="Core",0,G1534)</f>
        <v>0</v>
      </c>
      <c r="J1534" s="23" t="str">
        <f aca="false">Nonlabor!$B$9</f>
        <v>INFRA</v>
      </c>
    </row>
    <row r="1535" customFormat="false" ht="15" hidden="false" customHeight="false" outlineLevel="0" collapsed="false">
      <c r="A1535" s="6" t="s">
        <v>4</v>
      </c>
      <c r="B1535" s="6" t="s">
        <v>379</v>
      </c>
      <c r="C1535" s="6" t="n">
        <v>30</v>
      </c>
      <c r="D1535" s="25" t="n">
        <f aca="false">EDATE('Start Here'!$B$6,C1535-1)</f>
        <v>47209</v>
      </c>
      <c r="E1535" s="23" t="n">
        <f aca="false">IF(AND(OR(Nonlabor!$D$9="Both",Nonlabor!$D$9='Start Here'!$B$9),IF(Nonlabor!$E$9="Core",1,IF(Nonlabor!$E$9="AI",'Start Here'!$B$7,'Start Here'!$B$8))=1,C1535&gt;=IF(Nonlabor!$E$9="Core",Nonlabor!$F$9,MAX(Nonlabor!$F$9,IF(Nonlabor!$E$9="AI",Assumptions!$D$24,Assumptions!$D$25))),C1535&lt;=Nonlabor!$G$9,OR(Nonlabor!$H$9="Monthly",AND(Nonlabor!$H$9="Once",C1535=IF(Nonlabor!$E$9="Core",Nonlabor!$F$9,MAX(Nonlabor!$F$9,IF(Nonlabor!$E$9="AI",Assumptions!$D$24,Assumptions!$D$25)))),AND(Nonlabor!$H$9="Annual",MOD(C1535-IF(Nonlabor!$E$9="Core",Nonlabor!$F$9,MAX(Nonlabor!$F$9,IF(Nonlabor!$E$9="AI",Assumptions!$D$24,Assumptions!$D$25))),12)=0))),IF(Nonlabor!$I$9="Fixed",1,IF(Nonlabor!$I$9="Seats",ROUNDUP('Monthly Base'!I35,0),IF(Nonlabor!$I$9="Customers",'Monthly Base'!D35,IF(Nonlabor!$I$9="NewCustomers",'Monthly Base'!C35,IF(Nonlabor!$I$9="StorageGB",'Monthly Base'!G35,IF(Nonlabor!$I$9="LogGB",'Monthly Base'!H35,IF(Nonlabor!$I$9="RequestsM",'Monthly Base'!F35,IF(Nonlabor!$I$9="InputM",'Monthly Base'!D35*Assumptions!$D$22/1000000,IF(Nonlabor!$I$9="OutputM",'Monthly Base'!D35*Assumptions!$D$23/1000000,0))))))))),0)</f>
        <v>1</v>
      </c>
      <c r="F1535" s="10" t="n">
        <f aca="false">Nonlabor!$J$9*(1+Assumptions!$D$9)^INT((C1535-1)/12)</f>
        <v>265.225</v>
      </c>
      <c r="G1535" s="10" t="n">
        <f aca="false">E1535*F1535</f>
        <v>265.225</v>
      </c>
      <c r="H1535" s="10" t="n">
        <f aca="false">IF(OR(Nonlabor!$L$9="Quote required",Nonlabor!$L$9="Unverified"),G1535,0)</f>
        <v>265.225</v>
      </c>
      <c r="I1535" s="10" t="n">
        <f aca="false">IF(Nonlabor!$E$9="Core",0,G1535)</f>
        <v>0</v>
      </c>
      <c r="J1535" s="23" t="str">
        <f aca="false">Nonlabor!$B$9</f>
        <v>INFRA</v>
      </c>
    </row>
    <row r="1536" customFormat="false" ht="15" hidden="false" customHeight="false" outlineLevel="0" collapsed="false">
      <c r="A1536" s="6" t="s">
        <v>4</v>
      </c>
      <c r="B1536" s="6" t="s">
        <v>379</v>
      </c>
      <c r="C1536" s="6" t="n">
        <v>31</v>
      </c>
      <c r="D1536" s="25" t="n">
        <f aca="false">EDATE('Start Here'!$B$6,C1536-1)</f>
        <v>47239</v>
      </c>
      <c r="E1536" s="23" t="n">
        <f aca="false">IF(AND(OR(Nonlabor!$D$9="Both",Nonlabor!$D$9='Start Here'!$B$9),IF(Nonlabor!$E$9="Core",1,IF(Nonlabor!$E$9="AI",'Start Here'!$B$7,'Start Here'!$B$8))=1,C1536&gt;=IF(Nonlabor!$E$9="Core",Nonlabor!$F$9,MAX(Nonlabor!$F$9,IF(Nonlabor!$E$9="AI",Assumptions!$D$24,Assumptions!$D$25))),C1536&lt;=Nonlabor!$G$9,OR(Nonlabor!$H$9="Monthly",AND(Nonlabor!$H$9="Once",C1536=IF(Nonlabor!$E$9="Core",Nonlabor!$F$9,MAX(Nonlabor!$F$9,IF(Nonlabor!$E$9="AI",Assumptions!$D$24,Assumptions!$D$25)))),AND(Nonlabor!$H$9="Annual",MOD(C1536-IF(Nonlabor!$E$9="Core",Nonlabor!$F$9,MAX(Nonlabor!$F$9,IF(Nonlabor!$E$9="AI",Assumptions!$D$24,Assumptions!$D$25))),12)=0))),IF(Nonlabor!$I$9="Fixed",1,IF(Nonlabor!$I$9="Seats",ROUNDUP('Monthly Base'!I36,0),IF(Nonlabor!$I$9="Customers",'Monthly Base'!D36,IF(Nonlabor!$I$9="NewCustomers",'Monthly Base'!C36,IF(Nonlabor!$I$9="StorageGB",'Monthly Base'!G36,IF(Nonlabor!$I$9="LogGB",'Monthly Base'!H36,IF(Nonlabor!$I$9="RequestsM",'Monthly Base'!F36,IF(Nonlabor!$I$9="InputM",'Monthly Base'!D36*Assumptions!$D$22/1000000,IF(Nonlabor!$I$9="OutputM",'Monthly Base'!D36*Assumptions!$D$23/1000000,0))))))))),0)</f>
        <v>1</v>
      </c>
      <c r="F1536" s="10" t="n">
        <f aca="false">Nonlabor!$J$9*(1+Assumptions!$D$9)^INT((C1536-1)/12)</f>
        <v>265.225</v>
      </c>
      <c r="G1536" s="10" t="n">
        <f aca="false">E1536*F1536</f>
        <v>265.225</v>
      </c>
      <c r="H1536" s="10" t="n">
        <f aca="false">IF(OR(Nonlabor!$L$9="Quote required",Nonlabor!$L$9="Unverified"),G1536,0)</f>
        <v>265.225</v>
      </c>
      <c r="I1536" s="10" t="n">
        <f aca="false">IF(Nonlabor!$E$9="Core",0,G1536)</f>
        <v>0</v>
      </c>
      <c r="J1536" s="23" t="str">
        <f aca="false">Nonlabor!$B$9</f>
        <v>INFRA</v>
      </c>
    </row>
    <row r="1537" customFormat="false" ht="15" hidden="false" customHeight="false" outlineLevel="0" collapsed="false">
      <c r="A1537" s="6" t="s">
        <v>4</v>
      </c>
      <c r="B1537" s="6" t="s">
        <v>379</v>
      </c>
      <c r="C1537" s="6" t="n">
        <v>32</v>
      </c>
      <c r="D1537" s="25" t="n">
        <f aca="false">EDATE('Start Here'!$B$6,C1537-1)</f>
        <v>47270</v>
      </c>
      <c r="E1537" s="23" t="n">
        <f aca="false">IF(AND(OR(Nonlabor!$D$9="Both",Nonlabor!$D$9='Start Here'!$B$9),IF(Nonlabor!$E$9="Core",1,IF(Nonlabor!$E$9="AI",'Start Here'!$B$7,'Start Here'!$B$8))=1,C1537&gt;=IF(Nonlabor!$E$9="Core",Nonlabor!$F$9,MAX(Nonlabor!$F$9,IF(Nonlabor!$E$9="AI",Assumptions!$D$24,Assumptions!$D$25))),C1537&lt;=Nonlabor!$G$9,OR(Nonlabor!$H$9="Monthly",AND(Nonlabor!$H$9="Once",C1537=IF(Nonlabor!$E$9="Core",Nonlabor!$F$9,MAX(Nonlabor!$F$9,IF(Nonlabor!$E$9="AI",Assumptions!$D$24,Assumptions!$D$25)))),AND(Nonlabor!$H$9="Annual",MOD(C1537-IF(Nonlabor!$E$9="Core",Nonlabor!$F$9,MAX(Nonlabor!$F$9,IF(Nonlabor!$E$9="AI",Assumptions!$D$24,Assumptions!$D$25))),12)=0))),IF(Nonlabor!$I$9="Fixed",1,IF(Nonlabor!$I$9="Seats",ROUNDUP('Monthly Base'!I37,0),IF(Nonlabor!$I$9="Customers",'Monthly Base'!D37,IF(Nonlabor!$I$9="NewCustomers",'Monthly Base'!C37,IF(Nonlabor!$I$9="StorageGB",'Monthly Base'!G37,IF(Nonlabor!$I$9="LogGB",'Monthly Base'!H37,IF(Nonlabor!$I$9="RequestsM",'Monthly Base'!F37,IF(Nonlabor!$I$9="InputM",'Monthly Base'!D37*Assumptions!$D$22/1000000,IF(Nonlabor!$I$9="OutputM",'Monthly Base'!D37*Assumptions!$D$23/1000000,0))))))))),0)</f>
        <v>1</v>
      </c>
      <c r="F1537" s="10" t="n">
        <f aca="false">Nonlabor!$J$9*(1+Assumptions!$D$9)^INT((C1537-1)/12)</f>
        <v>265.225</v>
      </c>
      <c r="G1537" s="10" t="n">
        <f aca="false">E1537*F1537</f>
        <v>265.225</v>
      </c>
      <c r="H1537" s="10" t="n">
        <f aca="false">IF(OR(Nonlabor!$L$9="Quote required",Nonlabor!$L$9="Unverified"),G1537,0)</f>
        <v>265.225</v>
      </c>
      <c r="I1537" s="10" t="n">
        <f aca="false">IF(Nonlabor!$E$9="Core",0,G1537)</f>
        <v>0</v>
      </c>
      <c r="J1537" s="23" t="str">
        <f aca="false">Nonlabor!$B$9</f>
        <v>INFRA</v>
      </c>
    </row>
    <row r="1538" customFormat="false" ht="15" hidden="false" customHeight="false" outlineLevel="0" collapsed="false">
      <c r="A1538" s="6" t="s">
        <v>4</v>
      </c>
      <c r="B1538" s="6" t="s">
        <v>379</v>
      </c>
      <c r="C1538" s="6" t="n">
        <v>33</v>
      </c>
      <c r="D1538" s="25" t="n">
        <f aca="false">EDATE('Start Here'!$B$6,C1538-1)</f>
        <v>47300</v>
      </c>
      <c r="E1538" s="23" t="n">
        <f aca="false">IF(AND(OR(Nonlabor!$D$9="Both",Nonlabor!$D$9='Start Here'!$B$9),IF(Nonlabor!$E$9="Core",1,IF(Nonlabor!$E$9="AI",'Start Here'!$B$7,'Start Here'!$B$8))=1,C1538&gt;=IF(Nonlabor!$E$9="Core",Nonlabor!$F$9,MAX(Nonlabor!$F$9,IF(Nonlabor!$E$9="AI",Assumptions!$D$24,Assumptions!$D$25))),C1538&lt;=Nonlabor!$G$9,OR(Nonlabor!$H$9="Monthly",AND(Nonlabor!$H$9="Once",C1538=IF(Nonlabor!$E$9="Core",Nonlabor!$F$9,MAX(Nonlabor!$F$9,IF(Nonlabor!$E$9="AI",Assumptions!$D$24,Assumptions!$D$25)))),AND(Nonlabor!$H$9="Annual",MOD(C1538-IF(Nonlabor!$E$9="Core",Nonlabor!$F$9,MAX(Nonlabor!$F$9,IF(Nonlabor!$E$9="AI",Assumptions!$D$24,Assumptions!$D$25))),12)=0))),IF(Nonlabor!$I$9="Fixed",1,IF(Nonlabor!$I$9="Seats",ROUNDUP('Monthly Base'!I38,0),IF(Nonlabor!$I$9="Customers",'Monthly Base'!D38,IF(Nonlabor!$I$9="NewCustomers",'Monthly Base'!C38,IF(Nonlabor!$I$9="StorageGB",'Monthly Base'!G38,IF(Nonlabor!$I$9="LogGB",'Monthly Base'!H38,IF(Nonlabor!$I$9="RequestsM",'Monthly Base'!F38,IF(Nonlabor!$I$9="InputM",'Monthly Base'!D38*Assumptions!$D$22/1000000,IF(Nonlabor!$I$9="OutputM",'Monthly Base'!D38*Assumptions!$D$23/1000000,0))))))))),0)</f>
        <v>1</v>
      </c>
      <c r="F1538" s="10" t="n">
        <f aca="false">Nonlabor!$J$9*(1+Assumptions!$D$9)^INT((C1538-1)/12)</f>
        <v>265.225</v>
      </c>
      <c r="G1538" s="10" t="n">
        <f aca="false">E1538*F1538</f>
        <v>265.225</v>
      </c>
      <c r="H1538" s="10" t="n">
        <f aca="false">IF(OR(Nonlabor!$L$9="Quote required",Nonlabor!$L$9="Unverified"),G1538,0)</f>
        <v>265.225</v>
      </c>
      <c r="I1538" s="10" t="n">
        <f aca="false">IF(Nonlabor!$E$9="Core",0,G1538)</f>
        <v>0</v>
      </c>
      <c r="J1538" s="23" t="str">
        <f aca="false">Nonlabor!$B$9</f>
        <v>INFRA</v>
      </c>
    </row>
    <row r="1539" customFormat="false" ht="15" hidden="false" customHeight="false" outlineLevel="0" collapsed="false">
      <c r="A1539" s="6" t="s">
        <v>4</v>
      </c>
      <c r="B1539" s="6" t="s">
        <v>379</v>
      </c>
      <c r="C1539" s="6" t="n">
        <v>34</v>
      </c>
      <c r="D1539" s="25" t="n">
        <f aca="false">EDATE('Start Here'!$B$6,C1539-1)</f>
        <v>47331</v>
      </c>
      <c r="E1539" s="23" t="n">
        <f aca="false">IF(AND(OR(Nonlabor!$D$9="Both",Nonlabor!$D$9='Start Here'!$B$9),IF(Nonlabor!$E$9="Core",1,IF(Nonlabor!$E$9="AI",'Start Here'!$B$7,'Start Here'!$B$8))=1,C1539&gt;=IF(Nonlabor!$E$9="Core",Nonlabor!$F$9,MAX(Nonlabor!$F$9,IF(Nonlabor!$E$9="AI",Assumptions!$D$24,Assumptions!$D$25))),C1539&lt;=Nonlabor!$G$9,OR(Nonlabor!$H$9="Monthly",AND(Nonlabor!$H$9="Once",C1539=IF(Nonlabor!$E$9="Core",Nonlabor!$F$9,MAX(Nonlabor!$F$9,IF(Nonlabor!$E$9="AI",Assumptions!$D$24,Assumptions!$D$25)))),AND(Nonlabor!$H$9="Annual",MOD(C1539-IF(Nonlabor!$E$9="Core",Nonlabor!$F$9,MAX(Nonlabor!$F$9,IF(Nonlabor!$E$9="AI",Assumptions!$D$24,Assumptions!$D$25))),12)=0))),IF(Nonlabor!$I$9="Fixed",1,IF(Nonlabor!$I$9="Seats",ROUNDUP('Monthly Base'!I39,0),IF(Nonlabor!$I$9="Customers",'Monthly Base'!D39,IF(Nonlabor!$I$9="NewCustomers",'Monthly Base'!C39,IF(Nonlabor!$I$9="StorageGB",'Monthly Base'!G39,IF(Nonlabor!$I$9="LogGB",'Monthly Base'!H39,IF(Nonlabor!$I$9="RequestsM",'Monthly Base'!F39,IF(Nonlabor!$I$9="InputM",'Monthly Base'!D39*Assumptions!$D$22/1000000,IF(Nonlabor!$I$9="OutputM",'Monthly Base'!D39*Assumptions!$D$23/1000000,0))))))))),0)</f>
        <v>1</v>
      </c>
      <c r="F1539" s="10" t="n">
        <f aca="false">Nonlabor!$J$9*(1+Assumptions!$D$9)^INT((C1539-1)/12)</f>
        <v>265.225</v>
      </c>
      <c r="G1539" s="10" t="n">
        <f aca="false">E1539*F1539</f>
        <v>265.225</v>
      </c>
      <c r="H1539" s="10" t="n">
        <f aca="false">IF(OR(Nonlabor!$L$9="Quote required",Nonlabor!$L$9="Unverified"),G1539,0)</f>
        <v>265.225</v>
      </c>
      <c r="I1539" s="10" t="n">
        <f aca="false">IF(Nonlabor!$E$9="Core",0,G1539)</f>
        <v>0</v>
      </c>
      <c r="J1539" s="23" t="str">
        <f aca="false">Nonlabor!$B$9</f>
        <v>INFRA</v>
      </c>
    </row>
    <row r="1540" customFormat="false" ht="15" hidden="false" customHeight="false" outlineLevel="0" collapsed="false">
      <c r="A1540" s="6" t="s">
        <v>4</v>
      </c>
      <c r="B1540" s="6" t="s">
        <v>379</v>
      </c>
      <c r="C1540" s="6" t="n">
        <v>35</v>
      </c>
      <c r="D1540" s="25" t="n">
        <f aca="false">EDATE('Start Here'!$B$6,C1540-1)</f>
        <v>47362</v>
      </c>
      <c r="E1540" s="23" t="n">
        <f aca="false">IF(AND(OR(Nonlabor!$D$9="Both",Nonlabor!$D$9='Start Here'!$B$9),IF(Nonlabor!$E$9="Core",1,IF(Nonlabor!$E$9="AI",'Start Here'!$B$7,'Start Here'!$B$8))=1,C1540&gt;=IF(Nonlabor!$E$9="Core",Nonlabor!$F$9,MAX(Nonlabor!$F$9,IF(Nonlabor!$E$9="AI",Assumptions!$D$24,Assumptions!$D$25))),C1540&lt;=Nonlabor!$G$9,OR(Nonlabor!$H$9="Monthly",AND(Nonlabor!$H$9="Once",C1540=IF(Nonlabor!$E$9="Core",Nonlabor!$F$9,MAX(Nonlabor!$F$9,IF(Nonlabor!$E$9="AI",Assumptions!$D$24,Assumptions!$D$25)))),AND(Nonlabor!$H$9="Annual",MOD(C1540-IF(Nonlabor!$E$9="Core",Nonlabor!$F$9,MAX(Nonlabor!$F$9,IF(Nonlabor!$E$9="AI",Assumptions!$D$24,Assumptions!$D$25))),12)=0))),IF(Nonlabor!$I$9="Fixed",1,IF(Nonlabor!$I$9="Seats",ROUNDUP('Monthly Base'!I40,0),IF(Nonlabor!$I$9="Customers",'Monthly Base'!D40,IF(Nonlabor!$I$9="NewCustomers",'Monthly Base'!C40,IF(Nonlabor!$I$9="StorageGB",'Monthly Base'!G40,IF(Nonlabor!$I$9="LogGB",'Monthly Base'!H40,IF(Nonlabor!$I$9="RequestsM",'Monthly Base'!F40,IF(Nonlabor!$I$9="InputM",'Monthly Base'!D40*Assumptions!$D$22/1000000,IF(Nonlabor!$I$9="OutputM",'Monthly Base'!D40*Assumptions!$D$23/1000000,0))))))))),0)</f>
        <v>1</v>
      </c>
      <c r="F1540" s="10" t="n">
        <f aca="false">Nonlabor!$J$9*(1+Assumptions!$D$9)^INT((C1540-1)/12)</f>
        <v>265.225</v>
      </c>
      <c r="G1540" s="10" t="n">
        <f aca="false">E1540*F1540</f>
        <v>265.225</v>
      </c>
      <c r="H1540" s="10" t="n">
        <f aca="false">IF(OR(Nonlabor!$L$9="Quote required",Nonlabor!$L$9="Unverified"),G1540,0)</f>
        <v>265.225</v>
      </c>
      <c r="I1540" s="10" t="n">
        <f aca="false">IF(Nonlabor!$E$9="Core",0,G1540)</f>
        <v>0</v>
      </c>
      <c r="J1540" s="23" t="str">
        <f aca="false">Nonlabor!$B$9</f>
        <v>INFRA</v>
      </c>
    </row>
    <row r="1541" customFormat="false" ht="15" hidden="false" customHeight="false" outlineLevel="0" collapsed="false">
      <c r="A1541" s="6" t="s">
        <v>4</v>
      </c>
      <c r="B1541" s="6" t="s">
        <v>379</v>
      </c>
      <c r="C1541" s="6" t="n">
        <v>36</v>
      </c>
      <c r="D1541" s="25" t="n">
        <f aca="false">EDATE('Start Here'!$B$6,C1541-1)</f>
        <v>47392</v>
      </c>
      <c r="E1541" s="23" t="n">
        <f aca="false">IF(AND(OR(Nonlabor!$D$9="Both",Nonlabor!$D$9='Start Here'!$B$9),IF(Nonlabor!$E$9="Core",1,IF(Nonlabor!$E$9="AI",'Start Here'!$B$7,'Start Here'!$B$8))=1,C1541&gt;=IF(Nonlabor!$E$9="Core",Nonlabor!$F$9,MAX(Nonlabor!$F$9,IF(Nonlabor!$E$9="AI",Assumptions!$D$24,Assumptions!$D$25))),C1541&lt;=Nonlabor!$G$9,OR(Nonlabor!$H$9="Monthly",AND(Nonlabor!$H$9="Once",C1541=IF(Nonlabor!$E$9="Core",Nonlabor!$F$9,MAX(Nonlabor!$F$9,IF(Nonlabor!$E$9="AI",Assumptions!$D$24,Assumptions!$D$25)))),AND(Nonlabor!$H$9="Annual",MOD(C1541-IF(Nonlabor!$E$9="Core",Nonlabor!$F$9,MAX(Nonlabor!$F$9,IF(Nonlabor!$E$9="AI",Assumptions!$D$24,Assumptions!$D$25))),12)=0))),IF(Nonlabor!$I$9="Fixed",1,IF(Nonlabor!$I$9="Seats",ROUNDUP('Monthly Base'!I41,0),IF(Nonlabor!$I$9="Customers",'Monthly Base'!D41,IF(Nonlabor!$I$9="NewCustomers",'Monthly Base'!C41,IF(Nonlabor!$I$9="StorageGB",'Monthly Base'!G41,IF(Nonlabor!$I$9="LogGB",'Monthly Base'!H41,IF(Nonlabor!$I$9="RequestsM",'Monthly Base'!F41,IF(Nonlabor!$I$9="InputM",'Monthly Base'!D41*Assumptions!$D$22/1000000,IF(Nonlabor!$I$9="OutputM",'Monthly Base'!D41*Assumptions!$D$23/1000000,0))))))))),0)</f>
        <v>1</v>
      </c>
      <c r="F1541" s="10" t="n">
        <f aca="false">Nonlabor!$J$9*(1+Assumptions!$D$9)^INT((C1541-1)/12)</f>
        <v>265.225</v>
      </c>
      <c r="G1541" s="10" t="n">
        <f aca="false">E1541*F1541</f>
        <v>265.225</v>
      </c>
      <c r="H1541" s="10" t="n">
        <f aca="false">IF(OR(Nonlabor!$L$9="Quote required",Nonlabor!$L$9="Unverified"),G1541,0)</f>
        <v>265.225</v>
      </c>
      <c r="I1541" s="10" t="n">
        <f aca="false">IF(Nonlabor!$E$9="Core",0,G1541)</f>
        <v>0</v>
      </c>
      <c r="J1541" s="23" t="str">
        <f aca="false">Nonlabor!$B$9</f>
        <v>INFRA</v>
      </c>
    </row>
    <row r="1542" customFormat="false" ht="15" hidden="false" customHeight="false" outlineLevel="0" collapsed="false">
      <c r="A1542" s="6" t="s">
        <v>4</v>
      </c>
      <c r="B1542" s="6" t="s">
        <v>379</v>
      </c>
      <c r="C1542" s="6" t="n">
        <v>37</v>
      </c>
      <c r="D1542" s="25" t="n">
        <f aca="false">EDATE('Start Here'!$B$6,C1542-1)</f>
        <v>47423</v>
      </c>
      <c r="E1542" s="23" t="n">
        <f aca="false">IF(AND(OR(Nonlabor!$D$9="Both",Nonlabor!$D$9='Start Here'!$B$9),IF(Nonlabor!$E$9="Core",1,IF(Nonlabor!$E$9="AI",'Start Here'!$B$7,'Start Here'!$B$8))=1,C1542&gt;=IF(Nonlabor!$E$9="Core",Nonlabor!$F$9,MAX(Nonlabor!$F$9,IF(Nonlabor!$E$9="AI",Assumptions!$D$24,Assumptions!$D$25))),C1542&lt;=Nonlabor!$G$9,OR(Nonlabor!$H$9="Monthly",AND(Nonlabor!$H$9="Once",C1542=IF(Nonlabor!$E$9="Core",Nonlabor!$F$9,MAX(Nonlabor!$F$9,IF(Nonlabor!$E$9="AI",Assumptions!$D$24,Assumptions!$D$25)))),AND(Nonlabor!$H$9="Annual",MOD(C1542-IF(Nonlabor!$E$9="Core",Nonlabor!$F$9,MAX(Nonlabor!$F$9,IF(Nonlabor!$E$9="AI",Assumptions!$D$24,Assumptions!$D$25))),12)=0))),IF(Nonlabor!$I$9="Fixed",1,IF(Nonlabor!$I$9="Seats",ROUNDUP('Monthly Base'!I42,0),IF(Nonlabor!$I$9="Customers",'Monthly Base'!D42,IF(Nonlabor!$I$9="NewCustomers",'Monthly Base'!C42,IF(Nonlabor!$I$9="StorageGB",'Monthly Base'!G42,IF(Nonlabor!$I$9="LogGB",'Monthly Base'!H42,IF(Nonlabor!$I$9="RequestsM",'Monthly Base'!F42,IF(Nonlabor!$I$9="InputM",'Monthly Base'!D42*Assumptions!$D$22/1000000,IF(Nonlabor!$I$9="OutputM",'Monthly Base'!D42*Assumptions!$D$23/1000000,0))))))))),0)</f>
        <v>1</v>
      </c>
      <c r="F1542" s="10" t="n">
        <f aca="false">Nonlabor!$J$9*(1+Assumptions!$D$9)^INT((C1542-1)/12)</f>
        <v>273.18175</v>
      </c>
      <c r="G1542" s="10" t="n">
        <f aca="false">E1542*F1542</f>
        <v>273.18175</v>
      </c>
      <c r="H1542" s="10" t="n">
        <f aca="false">IF(OR(Nonlabor!$L$9="Quote required",Nonlabor!$L$9="Unverified"),G1542,0)</f>
        <v>273.18175</v>
      </c>
      <c r="I1542" s="10" t="n">
        <f aca="false">IF(Nonlabor!$E$9="Core",0,G1542)</f>
        <v>0</v>
      </c>
      <c r="J1542" s="23" t="str">
        <f aca="false">Nonlabor!$B$9</f>
        <v>INFRA</v>
      </c>
    </row>
    <row r="1543" customFormat="false" ht="15" hidden="false" customHeight="false" outlineLevel="0" collapsed="false">
      <c r="A1543" s="6" t="s">
        <v>4</v>
      </c>
      <c r="B1543" s="6" t="s">
        <v>379</v>
      </c>
      <c r="C1543" s="6" t="n">
        <v>38</v>
      </c>
      <c r="D1543" s="25" t="n">
        <f aca="false">EDATE('Start Here'!$B$6,C1543-1)</f>
        <v>47453</v>
      </c>
      <c r="E1543" s="23" t="n">
        <f aca="false">IF(AND(OR(Nonlabor!$D$9="Both",Nonlabor!$D$9='Start Here'!$B$9),IF(Nonlabor!$E$9="Core",1,IF(Nonlabor!$E$9="AI",'Start Here'!$B$7,'Start Here'!$B$8))=1,C1543&gt;=IF(Nonlabor!$E$9="Core",Nonlabor!$F$9,MAX(Nonlabor!$F$9,IF(Nonlabor!$E$9="AI",Assumptions!$D$24,Assumptions!$D$25))),C1543&lt;=Nonlabor!$G$9,OR(Nonlabor!$H$9="Monthly",AND(Nonlabor!$H$9="Once",C1543=IF(Nonlabor!$E$9="Core",Nonlabor!$F$9,MAX(Nonlabor!$F$9,IF(Nonlabor!$E$9="AI",Assumptions!$D$24,Assumptions!$D$25)))),AND(Nonlabor!$H$9="Annual",MOD(C1543-IF(Nonlabor!$E$9="Core",Nonlabor!$F$9,MAX(Nonlabor!$F$9,IF(Nonlabor!$E$9="AI",Assumptions!$D$24,Assumptions!$D$25))),12)=0))),IF(Nonlabor!$I$9="Fixed",1,IF(Nonlabor!$I$9="Seats",ROUNDUP('Monthly Base'!I43,0),IF(Nonlabor!$I$9="Customers",'Monthly Base'!D43,IF(Nonlabor!$I$9="NewCustomers",'Monthly Base'!C43,IF(Nonlabor!$I$9="StorageGB",'Monthly Base'!G43,IF(Nonlabor!$I$9="LogGB",'Monthly Base'!H43,IF(Nonlabor!$I$9="RequestsM",'Monthly Base'!F43,IF(Nonlabor!$I$9="InputM",'Monthly Base'!D43*Assumptions!$D$22/1000000,IF(Nonlabor!$I$9="OutputM",'Monthly Base'!D43*Assumptions!$D$23/1000000,0))))))))),0)</f>
        <v>1</v>
      </c>
      <c r="F1543" s="10" t="n">
        <f aca="false">Nonlabor!$J$9*(1+Assumptions!$D$9)^INT((C1543-1)/12)</f>
        <v>273.18175</v>
      </c>
      <c r="G1543" s="10" t="n">
        <f aca="false">E1543*F1543</f>
        <v>273.18175</v>
      </c>
      <c r="H1543" s="10" t="n">
        <f aca="false">IF(OR(Nonlabor!$L$9="Quote required",Nonlabor!$L$9="Unverified"),G1543,0)</f>
        <v>273.18175</v>
      </c>
      <c r="I1543" s="10" t="n">
        <f aca="false">IF(Nonlabor!$E$9="Core",0,G1543)</f>
        <v>0</v>
      </c>
      <c r="J1543" s="23" t="str">
        <f aca="false">Nonlabor!$B$9</f>
        <v>INFRA</v>
      </c>
    </row>
    <row r="1544" customFormat="false" ht="15" hidden="false" customHeight="false" outlineLevel="0" collapsed="false">
      <c r="A1544" s="6" t="s">
        <v>4</v>
      </c>
      <c r="B1544" s="6" t="s">
        <v>379</v>
      </c>
      <c r="C1544" s="6" t="n">
        <v>39</v>
      </c>
      <c r="D1544" s="25" t="n">
        <f aca="false">EDATE('Start Here'!$B$6,C1544-1)</f>
        <v>47484</v>
      </c>
      <c r="E1544" s="23" t="n">
        <f aca="false">IF(AND(OR(Nonlabor!$D$9="Both",Nonlabor!$D$9='Start Here'!$B$9),IF(Nonlabor!$E$9="Core",1,IF(Nonlabor!$E$9="AI",'Start Here'!$B$7,'Start Here'!$B$8))=1,C1544&gt;=IF(Nonlabor!$E$9="Core",Nonlabor!$F$9,MAX(Nonlabor!$F$9,IF(Nonlabor!$E$9="AI",Assumptions!$D$24,Assumptions!$D$25))),C1544&lt;=Nonlabor!$G$9,OR(Nonlabor!$H$9="Monthly",AND(Nonlabor!$H$9="Once",C1544=IF(Nonlabor!$E$9="Core",Nonlabor!$F$9,MAX(Nonlabor!$F$9,IF(Nonlabor!$E$9="AI",Assumptions!$D$24,Assumptions!$D$25)))),AND(Nonlabor!$H$9="Annual",MOD(C1544-IF(Nonlabor!$E$9="Core",Nonlabor!$F$9,MAX(Nonlabor!$F$9,IF(Nonlabor!$E$9="AI",Assumptions!$D$24,Assumptions!$D$25))),12)=0))),IF(Nonlabor!$I$9="Fixed",1,IF(Nonlabor!$I$9="Seats",ROUNDUP('Monthly Base'!I44,0),IF(Nonlabor!$I$9="Customers",'Monthly Base'!D44,IF(Nonlabor!$I$9="NewCustomers",'Monthly Base'!C44,IF(Nonlabor!$I$9="StorageGB",'Monthly Base'!G44,IF(Nonlabor!$I$9="LogGB",'Monthly Base'!H44,IF(Nonlabor!$I$9="RequestsM",'Monthly Base'!F44,IF(Nonlabor!$I$9="InputM",'Monthly Base'!D44*Assumptions!$D$22/1000000,IF(Nonlabor!$I$9="OutputM",'Monthly Base'!D44*Assumptions!$D$23/1000000,0))))))))),0)</f>
        <v>1</v>
      </c>
      <c r="F1544" s="10" t="n">
        <f aca="false">Nonlabor!$J$9*(1+Assumptions!$D$9)^INT((C1544-1)/12)</f>
        <v>273.18175</v>
      </c>
      <c r="G1544" s="10" t="n">
        <f aca="false">E1544*F1544</f>
        <v>273.18175</v>
      </c>
      <c r="H1544" s="10" t="n">
        <f aca="false">IF(OR(Nonlabor!$L$9="Quote required",Nonlabor!$L$9="Unverified"),G1544,0)</f>
        <v>273.18175</v>
      </c>
      <c r="I1544" s="10" t="n">
        <f aca="false">IF(Nonlabor!$E$9="Core",0,G1544)</f>
        <v>0</v>
      </c>
      <c r="J1544" s="23" t="str">
        <f aca="false">Nonlabor!$B$9</f>
        <v>INFRA</v>
      </c>
    </row>
    <row r="1545" customFormat="false" ht="15" hidden="false" customHeight="false" outlineLevel="0" collapsed="false">
      <c r="A1545" s="6" t="s">
        <v>4</v>
      </c>
      <c r="B1545" s="6" t="s">
        <v>379</v>
      </c>
      <c r="C1545" s="6" t="n">
        <v>40</v>
      </c>
      <c r="D1545" s="25" t="n">
        <f aca="false">EDATE('Start Here'!$B$6,C1545-1)</f>
        <v>47515</v>
      </c>
      <c r="E1545" s="23" t="n">
        <f aca="false">IF(AND(OR(Nonlabor!$D$9="Both",Nonlabor!$D$9='Start Here'!$B$9),IF(Nonlabor!$E$9="Core",1,IF(Nonlabor!$E$9="AI",'Start Here'!$B$7,'Start Here'!$B$8))=1,C1545&gt;=IF(Nonlabor!$E$9="Core",Nonlabor!$F$9,MAX(Nonlabor!$F$9,IF(Nonlabor!$E$9="AI",Assumptions!$D$24,Assumptions!$D$25))),C1545&lt;=Nonlabor!$G$9,OR(Nonlabor!$H$9="Monthly",AND(Nonlabor!$H$9="Once",C1545=IF(Nonlabor!$E$9="Core",Nonlabor!$F$9,MAX(Nonlabor!$F$9,IF(Nonlabor!$E$9="AI",Assumptions!$D$24,Assumptions!$D$25)))),AND(Nonlabor!$H$9="Annual",MOD(C1545-IF(Nonlabor!$E$9="Core",Nonlabor!$F$9,MAX(Nonlabor!$F$9,IF(Nonlabor!$E$9="AI",Assumptions!$D$24,Assumptions!$D$25))),12)=0))),IF(Nonlabor!$I$9="Fixed",1,IF(Nonlabor!$I$9="Seats",ROUNDUP('Monthly Base'!I45,0),IF(Nonlabor!$I$9="Customers",'Monthly Base'!D45,IF(Nonlabor!$I$9="NewCustomers",'Monthly Base'!C45,IF(Nonlabor!$I$9="StorageGB",'Monthly Base'!G45,IF(Nonlabor!$I$9="LogGB",'Monthly Base'!H45,IF(Nonlabor!$I$9="RequestsM",'Monthly Base'!F45,IF(Nonlabor!$I$9="InputM",'Monthly Base'!D45*Assumptions!$D$22/1000000,IF(Nonlabor!$I$9="OutputM",'Monthly Base'!D45*Assumptions!$D$23/1000000,0))))))))),0)</f>
        <v>1</v>
      </c>
      <c r="F1545" s="10" t="n">
        <f aca="false">Nonlabor!$J$9*(1+Assumptions!$D$9)^INT((C1545-1)/12)</f>
        <v>273.18175</v>
      </c>
      <c r="G1545" s="10" t="n">
        <f aca="false">E1545*F1545</f>
        <v>273.18175</v>
      </c>
      <c r="H1545" s="10" t="n">
        <f aca="false">IF(OR(Nonlabor!$L$9="Quote required",Nonlabor!$L$9="Unverified"),G1545,0)</f>
        <v>273.18175</v>
      </c>
      <c r="I1545" s="10" t="n">
        <f aca="false">IF(Nonlabor!$E$9="Core",0,G1545)</f>
        <v>0</v>
      </c>
      <c r="J1545" s="23" t="str">
        <f aca="false">Nonlabor!$B$9</f>
        <v>INFRA</v>
      </c>
    </row>
    <row r="1546" customFormat="false" ht="15" hidden="false" customHeight="false" outlineLevel="0" collapsed="false">
      <c r="A1546" s="6" t="s">
        <v>4</v>
      </c>
      <c r="B1546" s="6" t="s">
        <v>379</v>
      </c>
      <c r="C1546" s="6" t="n">
        <v>41</v>
      </c>
      <c r="D1546" s="25" t="n">
        <f aca="false">EDATE('Start Here'!$B$6,C1546-1)</f>
        <v>47543</v>
      </c>
      <c r="E1546" s="23" t="n">
        <f aca="false">IF(AND(OR(Nonlabor!$D$9="Both",Nonlabor!$D$9='Start Here'!$B$9),IF(Nonlabor!$E$9="Core",1,IF(Nonlabor!$E$9="AI",'Start Here'!$B$7,'Start Here'!$B$8))=1,C1546&gt;=IF(Nonlabor!$E$9="Core",Nonlabor!$F$9,MAX(Nonlabor!$F$9,IF(Nonlabor!$E$9="AI",Assumptions!$D$24,Assumptions!$D$25))),C1546&lt;=Nonlabor!$G$9,OR(Nonlabor!$H$9="Monthly",AND(Nonlabor!$H$9="Once",C1546=IF(Nonlabor!$E$9="Core",Nonlabor!$F$9,MAX(Nonlabor!$F$9,IF(Nonlabor!$E$9="AI",Assumptions!$D$24,Assumptions!$D$25)))),AND(Nonlabor!$H$9="Annual",MOD(C1546-IF(Nonlabor!$E$9="Core",Nonlabor!$F$9,MAX(Nonlabor!$F$9,IF(Nonlabor!$E$9="AI",Assumptions!$D$24,Assumptions!$D$25))),12)=0))),IF(Nonlabor!$I$9="Fixed",1,IF(Nonlabor!$I$9="Seats",ROUNDUP('Monthly Base'!I46,0),IF(Nonlabor!$I$9="Customers",'Monthly Base'!D46,IF(Nonlabor!$I$9="NewCustomers",'Monthly Base'!C46,IF(Nonlabor!$I$9="StorageGB",'Monthly Base'!G46,IF(Nonlabor!$I$9="LogGB",'Monthly Base'!H46,IF(Nonlabor!$I$9="RequestsM",'Monthly Base'!F46,IF(Nonlabor!$I$9="InputM",'Monthly Base'!D46*Assumptions!$D$22/1000000,IF(Nonlabor!$I$9="OutputM",'Monthly Base'!D46*Assumptions!$D$23/1000000,0))))))))),0)</f>
        <v>1</v>
      </c>
      <c r="F1546" s="10" t="n">
        <f aca="false">Nonlabor!$J$9*(1+Assumptions!$D$9)^INT((C1546-1)/12)</f>
        <v>273.18175</v>
      </c>
      <c r="G1546" s="10" t="n">
        <f aca="false">E1546*F1546</f>
        <v>273.18175</v>
      </c>
      <c r="H1546" s="10" t="n">
        <f aca="false">IF(OR(Nonlabor!$L$9="Quote required",Nonlabor!$L$9="Unverified"),G1546,0)</f>
        <v>273.18175</v>
      </c>
      <c r="I1546" s="10" t="n">
        <f aca="false">IF(Nonlabor!$E$9="Core",0,G1546)</f>
        <v>0</v>
      </c>
      <c r="J1546" s="23" t="str">
        <f aca="false">Nonlabor!$B$9</f>
        <v>INFRA</v>
      </c>
    </row>
    <row r="1547" customFormat="false" ht="15" hidden="false" customHeight="false" outlineLevel="0" collapsed="false">
      <c r="A1547" s="6" t="s">
        <v>4</v>
      </c>
      <c r="B1547" s="6" t="s">
        <v>379</v>
      </c>
      <c r="C1547" s="6" t="n">
        <v>42</v>
      </c>
      <c r="D1547" s="25" t="n">
        <f aca="false">EDATE('Start Here'!$B$6,C1547-1)</f>
        <v>47574</v>
      </c>
      <c r="E1547" s="23" t="n">
        <f aca="false">IF(AND(OR(Nonlabor!$D$9="Both",Nonlabor!$D$9='Start Here'!$B$9),IF(Nonlabor!$E$9="Core",1,IF(Nonlabor!$E$9="AI",'Start Here'!$B$7,'Start Here'!$B$8))=1,C1547&gt;=IF(Nonlabor!$E$9="Core",Nonlabor!$F$9,MAX(Nonlabor!$F$9,IF(Nonlabor!$E$9="AI",Assumptions!$D$24,Assumptions!$D$25))),C1547&lt;=Nonlabor!$G$9,OR(Nonlabor!$H$9="Monthly",AND(Nonlabor!$H$9="Once",C1547=IF(Nonlabor!$E$9="Core",Nonlabor!$F$9,MAX(Nonlabor!$F$9,IF(Nonlabor!$E$9="AI",Assumptions!$D$24,Assumptions!$D$25)))),AND(Nonlabor!$H$9="Annual",MOD(C1547-IF(Nonlabor!$E$9="Core",Nonlabor!$F$9,MAX(Nonlabor!$F$9,IF(Nonlabor!$E$9="AI",Assumptions!$D$24,Assumptions!$D$25))),12)=0))),IF(Nonlabor!$I$9="Fixed",1,IF(Nonlabor!$I$9="Seats",ROUNDUP('Monthly Base'!I47,0),IF(Nonlabor!$I$9="Customers",'Monthly Base'!D47,IF(Nonlabor!$I$9="NewCustomers",'Monthly Base'!C47,IF(Nonlabor!$I$9="StorageGB",'Monthly Base'!G47,IF(Nonlabor!$I$9="LogGB",'Monthly Base'!H47,IF(Nonlabor!$I$9="RequestsM",'Monthly Base'!F47,IF(Nonlabor!$I$9="InputM",'Monthly Base'!D47*Assumptions!$D$22/1000000,IF(Nonlabor!$I$9="OutputM",'Monthly Base'!D47*Assumptions!$D$23/1000000,0))))))))),0)</f>
        <v>1</v>
      </c>
      <c r="F1547" s="10" t="n">
        <f aca="false">Nonlabor!$J$9*(1+Assumptions!$D$9)^INT((C1547-1)/12)</f>
        <v>273.18175</v>
      </c>
      <c r="G1547" s="10" t="n">
        <f aca="false">E1547*F1547</f>
        <v>273.18175</v>
      </c>
      <c r="H1547" s="10" t="n">
        <f aca="false">IF(OR(Nonlabor!$L$9="Quote required",Nonlabor!$L$9="Unverified"),G1547,0)</f>
        <v>273.18175</v>
      </c>
      <c r="I1547" s="10" t="n">
        <f aca="false">IF(Nonlabor!$E$9="Core",0,G1547)</f>
        <v>0</v>
      </c>
      <c r="J1547" s="23" t="str">
        <f aca="false">Nonlabor!$B$9</f>
        <v>INFRA</v>
      </c>
    </row>
    <row r="1548" customFormat="false" ht="15" hidden="false" customHeight="false" outlineLevel="0" collapsed="false">
      <c r="A1548" s="6" t="s">
        <v>4</v>
      </c>
      <c r="B1548" s="6" t="s">
        <v>379</v>
      </c>
      <c r="C1548" s="6" t="n">
        <v>43</v>
      </c>
      <c r="D1548" s="25" t="n">
        <f aca="false">EDATE('Start Here'!$B$6,C1548-1)</f>
        <v>47604</v>
      </c>
      <c r="E1548" s="23" t="n">
        <f aca="false">IF(AND(OR(Nonlabor!$D$9="Both",Nonlabor!$D$9='Start Here'!$B$9),IF(Nonlabor!$E$9="Core",1,IF(Nonlabor!$E$9="AI",'Start Here'!$B$7,'Start Here'!$B$8))=1,C1548&gt;=IF(Nonlabor!$E$9="Core",Nonlabor!$F$9,MAX(Nonlabor!$F$9,IF(Nonlabor!$E$9="AI",Assumptions!$D$24,Assumptions!$D$25))),C1548&lt;=Nonlabor!$G$9,OR(Nonlabor!$H$9="Monthly",AND(Nonlabor!$H$9="Once",C1548=IF(Nonlabor!$E$9="Core",Nonlabor!$F$9,MAX(Nonlabor!$F$9,IF(Nonlabor!$E$9="AI",Assumptions!$D$24,Assumptions!$D$25)))),AND(Nonlabor!$H$9="Annual",MOD(C1548-IF(Nonlabor!$E$9="Core",Nonlabor!$F$9,MAX(Nonlabor!$F$9,IF(Nonlabor!$E$9="AI",Assumptions!$D$24,Assumptions!$D$25))),12)=0))),IF(Nonlabor!$I$9="Fixed",1,IF(Nonlabor!$I$9="Seats",ROUNDUP('Monthly Base'!I48,0),IF(Nonlabor!$I$9="Customers",'Monthly Base'!D48,IF(Nonlabor!$I$9="NewCustomers",'Monthly Base'!C48,IF(Nonlabor!$I$9="StorageGB",'Monthly Base'!G48,IF(Nonlabor!$I$9="LogGB",'Monthly Base'!H48,IF(Nonlabor!$I$9="RequestsM",'Monthly Base'!F48,IF(Nonlabor!$I$9="InputM",'Monthly Base'!D48*Assumptions!$D$22/1000000,IF(Nonlabor!$I$9="OutputM",'Monthly Base'!D48*Assumptions!$D$23/1000000,0))))))))),0)</f>
        <v>1</v>
      </c>
      <c r="F1548" s="10" t="n">
        <f aca="false">Nonlabor!$J$9*(1+Assumptions!$D$9)^INT((C1548-1)/12)</f>
        <v>273.18175</v>
      </c>
      <c r="G1548" s="10" t="n">
        <f aca="false">E1548*F1548</f>
        <v>273.18175</v>
      </c>
      <c r="H1548" s="10" t="n">
        <f aca="false">IF(OR(Nonlabor!$L$9="Quote required",Nonlabor!$L$9="Unverified"),G1548,0)</f>
        <v>273.18175</v>
      </c>
      <c r="I1548" s="10" t="n">
        <f aca="false">IF(Nonlabor!$E$9="Core",0,G1548)</f>
        <v>0</v>
      </c>
      <c r="J1548" s="23" t="str">
        <f aca="false">Nonlabor!$B$9</f>
        <v>INFRA</v>
      </c>
    </row>
    <row r="1549" customFormat="false" ht="15" hidden="false" customHeight="false" outlineLevel="0" collapsed="false">
      <c r="A1549" s="6" t="s">
        <v>4</v>
      </c>
      <c r="B1549" s="6" t="s">
        <v>379</v>
      </c>
      <c r="C1549" s="6" t="n">
        <v>44</v>
      </c>
      <c r="D1549" s="25" t="n">
        <f aca="false">EDATE('Start Here'!$B$6,C1549-1)</f>
        <v>47635</v>
      </c>
      <c r="E1549" s="23" t="n">
        <f aca="false">IF(AND(OR(Nonlabor!$D$9="Both",Nonlabor!$D$9='Start Here'!$B$9),IF(Nonlabor!$E$9="Core",1,IF(Nonlabor!$E$9="AI",'Start Here'!$B$7,'Start Here'!$B$8))=1,C1549&gt;=IF(Nonlabor!$E$9="Core",Nonlabor!$F$9,MAX(Nonlabor!$F$9,IF(Nonlabor!$E$9="AI",Assumptions!$D$24,Assumptions!$D$25))),C1549&lt;=Nonlabor!$G$9,OR(Nonlabor!$H$9="Monthly",AND(Nonlabor!$H$9="Once",C1549=IF(Nonlabor!$E$9="Core",Nonlabor!$F$9,MAX(Nonlabor!$F$9,IF(Nonlabor!$E$9="AI",Assumptions!$D$24,Assumptions!$D$25)))),AND(Nonlabor!$H$9="Annual",MOD(C1549-IF(Nonlabor!$E$9="Core",Nonlabor!$F$9,MAX(Nonlabor!$F$9,IF(Nonlabor!$E$9="AI",Assumptions!$D$24,Assumptions!$D$25))),12)=0))),IF(Nonlabor!$I$9="Fixed",1,IF(Nonlabor!$I$9="Seats",ROUNDUP('Monthly Base'!I49,0),IF(Nonlabor!$I$9="Customers",'Monthly Base'!D49,IF(Nonlabor!$I$9="NewCustomers",'Monthly Base'!C49,IF(Nonlabor!$I$9="StorageGB",'Monthly Base'!G49,IF(Nonlabor!$I$9="LogGB",'Monthly Base'!H49,IF(Nonlabor!$I$9="RequestsM",'Monthly Base'!F49,IF(Nonlabor!$I$9="InputM",'Monthly Base'!D49*Assumptions!$D$22/1000000,IF(Nonlabor!$I$9="OutputM",'Monthly Base'!D49*Assumptions!$D$23/1000000,0))))))))),0)</f>
        <v>1</v>
      </c>
      <c r="F1549" s="10" t="n">
        <f aca="false">Nonlabor!$J$9*(1+Assumptions!$D$9)^INT((C1549-1)/12)</f>
        <v>273.18175</v>
      </c>
      <c r="G1549" s="10" t="n">
        <f aca="false">E1549*F1549</f>
        <v>273.18175</v>
      </c>
      <c r="H1549" s="10" t="n">
        <f aca="false">IF(OR(Nonlabor!$L$9="Quote required",Nonlabor!$L$9="Unverified"),G1549,0)</f>
        <v>273.18175</v>
      </c>
      <c r="I1549" s="10" t="n">
        <f aca="false">IF(Nonlabor!$E$9="Core",0,G1549)</f>
        <v>0</v>
      </c>
      <c r="J1549" s="23" t="str">
        <f aca="false">Nonlabor!$B$9</f>
        <v>INFRA</v>
      </c>
    </row>
    <row r="1550" customFormat="false" ht="15" hidden="false" customHeight="false" outlineLevel="0" collapsed="false">
      <c r="A1550" s="6" t="s">
        <v>4</v>
      </c>
      <c r="B1550" s="6" t="s">
        <v>379</v>
      </c>
      <c r="C1550" s="6" t="n">
        <v>45</v>
      </c>
      <c r="D1550" s="25" t="n">
        <f aca="false">EDATE('Start Here'!$B$6,C1550-1)</f>
        <v>47665</v>
      </c>
      <c r="E1550" s="23" t="n">
        <f aca="false">IF(AND(OR(Nonlabor!$D$9="Both",Nonlabor!$D$9='Start Here'!$B$9),IF(Nonlabor!$E$9="Core",1,IF(Nonlabor!$E$9="AI",'Start Here'!$B$7,'Start Here'!$B$8))=1,C1550&gt;=IF(Nonlabor!$E$9="Core",Nonlabor!$F$9,MAX(Nonlabor!$F$9,IF(Nonlabor!$E$9="AI",Assumptions!$D$24,Assumptions!$D$25))),C1550&lt;=Nonlabor!$G$9,OR(Nonlabor!$H$9="Monthly",AND(Nonlabor!$H$9="Once",C1550=IF(Nonlabor!$E$9="Core",Nonlabor!$F$9,MAX(Nonlabor!$F$9,IF(Nonlabor!$E$9="AI",Assumptions!$D$24,Assumptions!$D$25)))),AND(Nonlabor!$H$9="Annual",MOD(C1550-IF(Nonlabor!$E$9="Core",Nonlabor!$F$9,MAX(Nonlabor!$F$9,IF(Nonlabor!$E$9="AI",Assumptions!$D$24,Assumptions!$D$25))),12)=0))),IF(Nonlabor!$I$9="Fixed",1,IF(Nonlabor!$I$9="Seats",ROUNDUP('Monthly Base'!I50,0),IF(Nonlabor!$I$9="Customers",'Monthly Base'!D50,IF(Nonlabor!$I$9="NewCustomers",'Monthly Base'!C50,IF(Nonlabor!$I$9="StorageGB",'Monthly Base'!G50,IF(Nonlabor!$I$9="LogGB",'Monthly Base'!H50,IF(Nonlabor!$I$9="RequestsM",'Monthly Base'!F50,IF(Nonlabor!$I$9="InputM",'Monthly Base'!D50*Assumptions!$D$22/1000000,IF(Nonlabor!$I$9="OutputM",'Monthly Base'!D50*Assumptions!$D$23/1000000,0))))))))),0)</f>
        <v>1</v>
      </c>
      <c r="F1550" s="10" t="n">
        <f aca="false">Nonlabor!$J$9*(1+Assumptions!$D$9)^INT((C1550-1)/12)</f>
        <v>273.18175</v>
      </c>
      <c r="G1550" s="10" t="n">
        <f aca="false">E1550*F1550</f>
        <v>273.18175</v>
      </c>
      <c r="H1550" s="10" t="n">
        <f aca="false">IF(OR(Nonlabor!$L$9="Quote required",Nonlabor!$L$9="Unverified"),G1550,0)</f>
        <v>273.18175</v>
      </c>
      <c r="I1550" s="10" t="n">
        <f aca="false">IF(Nonlabor!$E$9="Core",0,G1550)</f>
        <v>0</v>
      </c>
      <c r="J1550" s="23" t="str">
        <f aca="false">Nonlabor!$B$9</f>
        <v>INFRA</v>
      </c>
    </row>
    <row r="1551" customFormat="false" ht="15" hidden="false" customHeight="false" outlineLevel="0" collapsed="false">
      <c r="A1551" s="6" t="s">
        <v>4</v>
      </c>
      <c r="B1551" s="6" t="s">
        <v>379</v>
      </c>
      <c r="C1551" s="6" t="n">
        <v>46</v>
      </c>
      <c r="D1551" s="25" t="n">
        <f aca="false">EDATE('Start Here'!$B$6,C1551-1)</f>
        <v>47696</v>
      </c>
      <c r="E1551" s="23" t="n">
        <f aca="false">IF(AND(OR(Nonlabor!$D$9="Both",Nonlabor!$D$9='Start Here'!$B$9),IF(Nonlabor!$E$9="Core",1,IF(Nonlabor!$E$9="AI",'Start Here'!$B$7,'Start Here'!$B$8))=1,C1551&gt;=IF(Nonlabor!$E$9="Core",Nonlabor!$F$9,MAX(Nonlabor!$F$9,IF(Nonlabor!$E$9="AI",Assumptions!$D$24,Assumptions!$D$25))),C1551&lt;=Nonlabor!$G$9,OR(Nonlabor!$H$9="Monthly",AND(Nonlabor!$H$9="Once",C1551=IF(Nonlabor!$E$9="Core",Nonlabor!$F$9,MAX(Nonlabor!$F$9,IF(Nonlabor!$E$9="AI",Assumptions!$D$24,Assumptions!$D$25)))),AND(Nonlabor!$H$9="Annual",MOD(C1551-IF(Nonlabor!$E$9="Core",Nonlabor!$F$9,MAX(Nonlabor!$F$9,IF(Nonlabor!$E$9="AI",Assumptions!$D$24,Assumptions!$D$25))),12)=0))),IF(Nonlabor!$I$9="Fixed",1,IF(Nonlabor!$I$9="Seats",ROUNDUP('Monthly Base'!I51,0),IF(Nonlabor!$I$9="Customers",'Monthly Base'!D51,IF(Nonlabor!$I$9="NewCustomers",'Monthly Base'!C51,IF(Nonlabor!$I$9="StorageGB",'Monthly Base'!G51,IF(Nonlabor!$I$9="LogGB",'Monthly Base'!H51,IF(Nonlabor!$I$9="RequestsM",'Monthly Base'!F51,IF(Nonlabor!$I$9="InputM",'Monthly Base'!D51*Assumptions!$D$22/1000000,IF(Nonlabor!$I$9="OutputM",'Monthly Base'!D51*Assumptions!$D$23/1000000,0))))))))),0)</f>
        <v>1</v>
      </c>
      <c r="F1551" s="10" t="n">
        <f aca="false">Nonlabor!$J$9*(1+Assumptions!$D$9)^INT((C1551-1)/12)</f>
        <v>273.18175</v>
      </c>
      <c r="G1551" s="10" t="n">
        <f aca="false">E1551*F1551</f>
        <v>273.18175</v>
      </c>
      <c r="H1551" s="10" t="n">
        <f aca="false">IF(OR(Nonlabor!$L$9="Quote required",Nonlabor!$L$9="Unverified"),G1551,0)</f>
        <v>273.18175</v>
      </c>
      <c r="I1551" s="10" t="n">
        <f aca="false">IF(Nonlabor!$E$9="Core",0,G1551)</f>
        <v>0</v>
      </c>
      <c r="J1551" s="23" t="str">
        <f aca="false">Nonlabor!$B$9</f>
        <v>INFRA</v>
      </c>
    </row>
    <row r="1552" customFormat="false" ht="15" hidden="false" customHeight="false" outlineLevel="0" collapsed="false">
      <c r="A1552" s="6" t="s">
        <v>4</v>
      </c>
      <c r="B1552" s="6" t="s">
        <v>379</v>
      </c>
      <c r="C1552" s="6" t="n">
        <v>47</v>
      </c>
      <c r="D1552" s="25" t="n">
        <f aca="false">EDATE('Start Here'!$B$6,C1552-1)</f>
        <v>47727</v>
      </c>
      <c r="E1552" s="23" t="n">
        <f aca="false">IF(AND(OR(Nonlabor!$D$9="Both",Nonlabor!$D$9='Start Here'!$B$9),IF(Nonlabor!$E$9="Core",1,IF(Nonlabor!$E$9="AI",'Start Here'!$B$7,'Start Here'!$B$8))=1,C1552&gt;=IF(Nonlabor!$E$9="Core",Nonlabor!$F$9,MAX(Nonlabor!$F$9,IF(Nonlabor!$E$9="AI",Assumptions!$D$24,Assumptions!$D$25))),C1552&lt;=Nonlabor!$G$9,OR(Nonlabor!$H$9="Monthly",AND(Nonlabor!$H$9="Once",C1552=IF(Nonlabor!$E$9="Core",Nonlabor!$F$9,MAX(Nonlabor!$F$9,IF(Nonlabor!$E$9="AI",Assumptions!$D$24,Assumptions!$D$25)))),AND(Nonlabor!$H$9="Annual",MOD(C1552-IF(Nonlabor!$E$9="Core",Nonlabor!$F$9,MAX(Nonlabor!$F$9,IF(Nonlabor!$E$9="AI",Assumptions!$D$24,Assumptions!$D$25))),12)=0))),IF(Nonlabor!$I$9="Fixed",1,IF(Nonlabor!$I$9="Seats",ROUNDUP('Monthly Base'!I52,0),IF(Nonlabor!$I$9="Customers",'Monthly Base'!D52,IF(Nonlabor!$I$9="NewCustomers",'Monthly Base'!C52,IF(Nonlabor!$I$9="StorageGB",'Monthly Base'!G52,IF(Nonlabor!$I$9="LogGB",'Monthly Base'!H52,IF(Nonlabor!$I$9="RequestsM",'Monthly Base'!F52,IF(Nonlabor!$I$9="InputM",'Monthly Base'!D52*Assumptions!$D$22/1000000,IF(Nonlabor!$I$9="OutputM",'Monthly Base'!D52*Assumptions!$D$23/1000000,0))))))))),0)</f>
        <v>1</v>
      </c>
      <c r="F1552" s="10" t="n">
        <f aca="false">Nonlabor!$J$9*(1+Assumptions!$D$9)^INT((C1552-1)/12)</f>
        <v>273.18175</v>
      </c>
      <c r="G1552" s="10" t="n">
        <f aca="false">E1552*F1552</f>
        <v>273.18175</v>
      </c>
      <c r="H1552" s="10" t="n">
        <f aca="false">IF(OR(Nonlabor!$L$9="Quote required",Nonlabor!$L$9="Unverified"),G1552,0)</f>
        <v>273.18175</v>
      </c>
      <c r="I1552" s="10" t="n">
        <f aca="false">IF(Nonlabor!$E$9="Core",0,G1552)</f>
        <v>0</v>
      </c>
      <c r="J1552" s="23" t="str">
        <f aca="false">Nonlabor!$B$9</f>
        <v>INFRA</v>
      </c>
    </row>
    <row r="1553" customFormat="false" ht="15" hidden="false" customHeight="false" outlineLevel="0" collapsed="false">
      <c r="A1553" s="6" t="s">
        <v>4</v>
      </c>
      <c r="B1553" s="6" t="s">
        <v>379</v>
      </c>
      <c r="C1553" s="6" t="n">
        <v>48</v>
      </c>
      <c r="D1553" s="25" t="n">
        <f aca="false">EDATE('Start Here'!$B$6,C1553-1)</f>
        <v>47757</v>
      </c>
      <c r="E1553" s="23" t="n">
        <f aca="false">IF(AND(OR(Nonlabor!$D$9="Both",Nonlabor!$D$9='Start Here'!$B$9),IF(Nonlabor!$E$9="Core",1,IF(Nonlabor!$E$9="AI",'Start Here'!$B$7,'Start Here'!$B$8))=1,C1553&gt;=IF(Nonlabor!$E$9="Core",Nonlabor!$F$9,MAX(Nonlabor!$F$9,IF(Nonlabor!$E$9="AI",Assumptions!$D$24,Assumptions!$D$25))),C1553&lt;=Nonlabor!$G$9,OR(Nonlabor!$H$9="Monthly",AND(Nonlabor!$H$9="Once",C1553=IF(Nonlabor!$E$9="Core",Nonlabor!$F$9,MAX(Nonlabor!$F$9,IF(Nonlabor!$E$9="AI",Assumptions!$D$24,Assumptions!$D$25)))),AND(Nonlabor!$H$9="Annual",MOD(C1553-IF(Nonlabor!$E$9="Core",Nonlabor!$F$9,MAX(Nonlabor!$F$9,IF(Nonlabor!$E$9="AI",Assumptions!$D$24,Assumptions!$D$25))),12)=0))),IF(Nonlabor!$I$9="Fixed",1,IF(Nonlabor!$I$9="Seats",ROUNDUP('Monthly Base'!I53,0),IF(Nonlabor!$I$9="Customers",'Monthly Base'!D53,IF(Nonlabor!$I$9="NewCustomers",'Monthly Base'!C53,IF(Nonlabor!$I$9="StorageGB",'Monthly Base'!G53,IF(Nonlabor!$I$9="LogGB",'Monthly Base'!H53,IF(Nonlabor!$I$9="RequestsM",'Monthly Base'!F53,IF(Nonlabor!$I$9="InputM",'Monthly Base'!D53*Assumptions!$D$22/1000000,IF(Nonlabor!$I$9="OutputM",'Monthly Base'!D53*Assumptions!$D$23/1000000,0))))))))),0)</f>
        <v>1</v>
      </c>
      <c r="F1553" s="10" t="n">
        <f aca="false">Nonlabor!$J$9*(1+Assumptions!$D$9)^INT((C1553-1)/12)</f>
        <v>273.18175</v>
      </c>
      <c r="G1553" s="10" t="n">
        <f aca="false">E1553*F1553</f>
        <v>273.18175</v>
      </c>
      <c r="H1553" s="10" t="n">
        <f aca="false">IF(OR(Nonlabor!$L$9="Quote required",Nonlabor!$L$9="Unverified"),G1553,0)</f>
        <v>273.18175</v>
      </c>
      <c r="I1553" s="10" t="n">
        <f aca="false">IF(Nonlabor!$E$9="Core",0,G1553)</f>
        <v>0</v>
      </c>
      <c r="J1553" s="23" t="str">
        <f aca="false">Nonlabor!$B$9</f>
        <v>INFRA</v>
      </c>
    </row>
    <row r="1554" customFormat="false" ht="15" hidden="false" customHeight="false" outlineLevel="0" collapsed="false">
      <c r="A1554" s="6" t="s">
        <v>4</v>
      </c>
      <c r="B1554" s="6" t="s">
        <v>379</v>
      </c>
      <c r="C1554" s="6" t="n">
        <v>49</v>
      </c>
      <c r="D1554" s="25" t="n">
        <f aca="false">EDATE('Start Here'!$B$6,C1554-1)</f>
        <v>47788</v>
      </c>
      <c r="E1554" s="23" t="n">
        <f aca="false">IF(AND(OR(Nonlabor!$D$9="Both",Nonlabor!$D$9='Start Here'!$B$9),IF(Nonlabor!$E$9="Core",1,IF(Nonlabor!$E$9="AI",'Start Here'!$B$7,'Start Here'!$B$8))=1,C1554&gt;=IF(Nonlabor!$E$9="Core",Nonlabor!$F$9,MAX(Nonlabor!$F$9,IF(Nonlabor!$E$9="AI",Assumptions!$D$24,Assumptions!$D$25))),C1554&lt;=Nonlabor!$G$9,OR(Nonlabor!$H$9="Monthly",AND(Nonlabor!$H$9="Once",C1554=IF(Nonlabor!$E$9="Core",Nonlabor!$F$9,MAX(Nonlabor!$F$9,IF(Nonlabor!$E$9="AI",Assumptions!$D$24,Assumptions!$D$25)))),AND(Nonlabor!$H$9="Annual",MOD(C1554-IF(Nonlabor!$E$9="Core",Nonlabor!$F$9,MAX(Nonlabor!$F$9,IF(Nonlabor!$E$9="AI",Assumptions!$D$24,Assumptions!$D$25))),12)=0))),IF(Nonlabor!$I$9="Fixed",1,IF(Nonlabor!$I$9="Seats",ROUNDUP('Monthly Base'!I54,0),IF(Nonlabor!$I$9="Customers",'Monthly Base'!D54,IF(Nonlabor!$I$9="NewCustomers",'Monthly Base'!C54,IF(Nonlabor!$I$9="StorageGB",'Monthly Base'!G54,IF(Nonlabor!$I$9="LogGB",'Monthly Base'!H54,IF(Nonlabor!$I$9="RequestsM",'Monthly Base'!F54,IF(Nonlabor!$I$9="InputM",'Monthly Base'!D54*Assumptions!$D$22/1000000,IF(Nonlabor!$I$9="OutputM",'Monthly Base'!D54*Assumptions!$D$23/1000000,0))))))))),0)</f>
        <v>1</v>
      </c>
      <c r="F1554" s="10" t="n">
        <f aca="false">Nonlabor!$J$9*(1+Assumptions!$D$9)^INT((C1554-1)/12)</f>
        <v>281.3772025</v>
      </c>
      <c r="G1554" s="10" t="n">
        <f aca="false">E1554*F1554</f>
        <v>281.3772025</v>
      </c>
      <c r="H1554" s="10" t="n">
        <f aca="false">IF(OR(Nonlabor!$L$9="Quote required",Nonlabor!$L$9="Unverified"),G1554,0)</f>
        <v>281.3772025</v>
      </c>
      <c r="I1554" s="10" t="n">
        <f aca="false">IF(Nonlabor!$E$9="Core",0,G1554)</f>
        <v>0</v>
      </c>
      <c r="J1554" s="23" t="str">
        <f aca="false">Nonlabor!$B$9</f>
        <v>INFRA</v>
      </c>
    </row>
    <row r="1555" customFormat="false" ht="15" hidden="false" customHeight="false" outlineLevel="0" collapsed="false">
      <c r="A1555" s="6" t="s">
        <v>4</v>
      </c>
      <c r="B1555" s="6" t="s">
        <v>379</v>
      </c>
      <c r="C1555" s="6" t="n">
        <v>50</v>
      </c>
      <c r="D1555" s="25" t="n">
        <f aca="false">EDATE('Start Here'!$B$6,C1555-1)</f>
        <v>47818</v>
      </c>
      <c r="E1555" s="23" t="n">
        <f aca="false">IF(AND(OR(Nonlabor!$D$9="Both",Nonlabor!$D$9='Start Here'!$B$9),IF(Nonlabor!$E$9="Core",1,IF(Nonlabor!$E$9="AI",'Start Here'!$B$7,'Start Here'!$B$8))=1,C1555&gt;=IF(Nonlabor!$E$9="Core",Nonlabor!$F$9,MAX(Nonlabor!$F$9,IF(Nonlabor!$E$9="AI",Assumptions!$D$24,Assumptions!$D$25))),C1555&lt;=Nonlabor!$G$9,OR(Nonlabor!$H$9="Monthly",AND(Nonlabor!$H$9="Once",C1555=IF(Nonlabor!$E$9="Core",Nonlabor!$F$9,MAX(Nonlabor!$F$9,IF(Nonlabor!$E$9="AI",Assumptions!$D$24,Assumptions!$D$25)))),AND(Nonlabor!$H$9="Annual",MOD(C1555-IF(Nonlabor!$E$9="Core",Nonlabor!$F$9,MAX(Nonlabor!$F$9,IF(Nonlabor!$E$9="AI",Assumptions!$D$24,Assumptions!$D$25))),12)=0))),IF(Nonlabor!$I$9="Fixed",1,IF(Nonlabor!$I$9="Seats",ROUNDUP('Monthly Base'!I55,0),IF(Nonlabor!$I$9="Customers",'Monthly Base'!D55,IF(Nonlabor!$I$9="NewCustomers",'Monthly Base'!C55,IF(Nonlabor!$I$9="StorageGB",'Monthly Base'!G55,IF(Nonlabor!$I$9="LogGB",'Monthly Base'!H55,IF(Nonlabor!$I$9="RequestsM",'Monthly Base'!F55,IF(Nonlabor!$I$9="InputM",'Monthly Base'!D55*Assumptions!$D$22/1000000,IF(Nonlabor!$I$9="OutputM",'Monthly Base'!D55*Assumptions!$D$23/1000000,0))))))))),0)</f>
        <v>1</v>
      </c>
      <c r="F1555" s="10" t="n">
        <f aca="false">Nonlabor!$J$9*(1+Assumptions!$D$9)^INT((C1555-1)/12)</f>
        <v>281.3772025</v>
      </c>
      <c r="G1555" s="10" t="n">
        <f aca="false">E1555*F1555</f>
        <v>281.3772025</v>
      </c>
      <c r="H1555" s="10" t="n">
        <f aca="false">IF(OR(Nonlabor!$L$9="Quote required",Nonlabor!$L$9="Unverified"),G1555,0)</f>
        <v>281.3772025</v>
      </c>
      <c r="I1555" s="10" t="n">
        <f aca="false">IF(Nonlabor!$E$9="Core",0,G1555)</f>
        <v>0</v>
      </c>
      <c r="J1555" s="23" t="str">
        <f aca="false">Nonlabor!$B$9</f>
        <v>INFRA</v>
      </c>
    </row>
    <row r="1556" customFormat="false" ht="15" hidden="false" customHeight="false" outlineLevel="0" collapsed="false">
      <c r="A1556" s="6" t="s">
        <v>4</v>
      </c>
      <c r="B1556" s="6" t="s">
        <v>379</v>
      </c>
      <c r="C1556" s="6" t="n">
        <v>51</v>
      </c>
      <c r="D1556" s="25" t="n">
        <f aca="false">EDATE('Start Here'!$B$6,C1556-1)</f>
        <v>47849</v>
      </c>
      <c r="E1556" s="23" t="n">
        <f aca="false">IF(AND(OR(Nonlabor!$D$9="Both",Nonlabor!$D$9='Start Here'!$B$9),IF(Nonlabor!$E$9="Core",1,IF(Nonlabor!$E$9="AI",'Start Here'!$B$7,'Start Here'!$B$8))=1,C1556&gt;=IF(Nonlabor!$E$9="Core",Nonlabor!$F$9,MAX(Nonlabor!$F$9,IF(Nonlabor!$E$9="AI",Assumptions!$D$24,Assumptions!$D$25))),C1556&lt;=Nonlabor!$G$9,OR(Nonlabor!$H$9="Monthly",AND(Nonlabor!$H$9="Once",C1556=IF(Nonlabor!$E$9="Core",Nonlabor!$F$9,MAX(Nonlabor!$F$9,IF(Nonlabor!$E$9="AI",Assumptions!$D$24,Assumptions!$D$25)))),AND(Nonlabor!$H$9="Annual",MOD(C1556-IF(Nonlabor!$E$9="Core",Nonlabor!$F$9,MAX(Nonlabor!$F$9,IF(Nonlabor!$E$9="AI",Assumptions!$D$24,Assumptions!$D$25))),12)=0))),IF(Nonlabor!$I$9="Fixed",1,IF(Nonlabor!$I$9="Seats",ROUNDUP('Monthly Base'!I56,0),IF(Nonlabor!$I$9="Customers",'Monthly Base'!D56,IF(Nonlabor!$I$9="NewCustomers",'Monthly Base'!C56,IF(Nonlabor!$I$9="StorageGB",'Monthly Base'!G56,IF(Nonlabor!$I$9="LogGB",'Monthly Base'!H56,IF(Nonlabor!$I$9="RequestsM",'Monthly Base'!F56,IF(Nonlabor!$I$9="InputM",'Monthly Base'!D56*Assumptions!$D$22/1000000,IF(Nonlabor!$I$9="OutputM",'Monthly Base'!D56*Assumptions!$D$23/1000000,0))))))))),0)</f>
        <v>1</v>
      </c>
      <c r="F1556" s="10" t="n">
        <f aca="false">Nonlabor!$J$9*(1+Assumptions!$D$9)^INT((C1556-1)/12)</f>
        <v>281.3772025</v>
      </c>
      <c r="G1556" s="10" t="n">
        <f aca="false">E1556*F1556</f>
        <v>281.3772025</v>
      </c>
      <c r="H1556" s="10" t="n">
        <f aca="false">IF(OR(Nonlabor!$L$9="Quote required",Nonlabor!$L$9="Unverified"),G1556,0)</f>
        <v>281.3772025</v>
      </c>
      <c r="I1556" s="10" t="n">
        <f aca="false">IF(Nonlabor!$E$9="Core",0,G1556)</f>
        <v>0</v>
      </c>
      <c r="J1556" s="23" t="str">
        <f aca="false">Nonlabor!$B$9</f>
        <v>INFRA</v>
      </c>
    </row>
    <row r="1557" customFormat="false" ht="15" hidden="false" customHeight="false" outlineLevel="0" collapsed="false">
      <c r="A1557" s="6" t="s">
        <v>4</v>
      </c>
      <c r="B1557" s="6" t="s">
        <v>379</v>
      </c>
      <c r="C1557" s="6" t="n">
        <v>52</v>
      </c>
      <c r="D1557" s="25" t="n">
        <f aca="false">EDATE('Start Here'!$B$6,C1557-1)</f>
        <v>47880</v>
      </c>
      <c r="E1557" s="23" t="n">
        <f aca="false">IF(AND(OR(Nonlabor!$D$9="Both",Nonlabor!$D$9='Start Here'!$B$9),IF(Nonlabor!$E$9="Core",1,IF(Nonlabor!$E$9="AI",'Start Here'!$B$7,'Start Here'!$B$8))=1,C1557&gt;=IF(Nonlabor!$E$9="Core",Nonlabor!$F$9,MAX(Nonlabor!$F$9,IF(Nonlabor!$E$9="AI",Assumptions!$D$24,Assumptions!$D$25))),C1557&lt;=Nonlabor!$G$9,OR(Nonlabor!$H$9="Monthly",AND(Nonlabor!$H$9="Once",C1557=IF(Nonlabor!$E$9="Core",Nonlabor!$F$9,MAX(Nonlabor!$F$9,IF(Nonlabor!$E$9="AI",Assumptions!$D$24,Assumptions!$D$25)))),AND(Nonlabor!$H$9="Annual",MOD(C1557-IF(Nonlabor!$E$9="Core",Nonlabor!$F$9,MAX(Nonlabor!$F$9,IF(Nonlabor!$E$9="AI",Assumptions!$D$24,Assumptions!$D$25))),12)=0))),IF(Nonlabor!$I$9="Fixed",1,IF(Nonlabor!$I$9="Seats",ROUNDUP('Monthly Base'!I57,0),IF(Nonlabor!$I$9="Customers",'Monthly Base'!D57,IF(Nonlabor!$I$9="NewCustomers",'Monthly Base'!C57,IF(Nonlabor!$I$9="StorageGB",'Monthly Base'!G57,IF(Nonlabor!$I$9="LogGB",'Monthly Base'!H57,IF(Nonlabor!$I$9="RequestsM",'Monthly Base'!F57,IF(Nonlabor!$I$9="InputM",'Monthly Base'!D57*Assumptions!$D$22/1000000,IF(Nonlabor!$I$9="OutputM",'Monthly Base'!D57*Assumptions!$D$23/1000000,0))))))))),0)</f>
        <v>1</v>
      </c>
      <c r="F1557" s="10" t="n">
        <f aca="false">Nonlabor!$J$9*(1+Assumptions!$D$9)^INT((C1557-1)/12)</f>
        <v>281.3772025</v>
      </c>
      <c r="G1557" s="10" t="n">
        <f aca="false">E1557*F1557</f>
        <v>281.3772025</v>
      </c>
      <c r="H1557" s="10" t="n">
        <f aca="false">IF(OR(Nonlabor!$L$9="Quote required",Nonlabor!$L$9="Unverified"),G1557,0)</f>
        <v>281.3772025</v>
      </c>
      <c r="I1557" s="10" t="n">
        <f aca="false">IF(Nonlabor!$E$9="Core",0,G1557)</f>
        <v>0</v>
      </c>
      <c r="J1557" s="23" t="str">
        <f aca="false">Nonlabor!$B$9</f>
        <v>INFRA</v>
      </c>
    </row>
    <row r="1558" customFormat="false" ht="15" hidden="false" customHeight="false" outlineLevel="0" collapsed="false">
      <c r="A1558" s="6" t="s">
        <v>4</v>
      </c>
      <c r="B1558" s="6" t="s">
        <v>379</v>
      </c>
      <c r="C1558" s="6" t="n">
        <v>53</v>
      </c>
      <c r="D1558" s="25" t="n">
        <f aca="false">EDATE('Start Here'!$B$6,C1558-1)</f>
        <v>47908</v>
      </c>
      <c r="E1558" s="23" t="n">
        <f aca="false">IF(AND(OR(Nonlabor!$D$9="Both",Nonlabor!$D$9='Start Here'!$B$9),IF(Nonlabor!$E$9="Core",1,IF(Nonlabor!$E$9="AI",'Start Here'!$B$7,'Start Here'!$B$8))=1,C1558&gt;=IF(Nonlabor!$E$9="Core",Nonlabor!$F$9,MAX(Nonlabor!$F$9,IF(Nonlabor!$E$9="AI",Assumptions!$D$24,Assumptions!$D$25))),C1558&lt;=Nonlabor!$G$9,OR(Nonlabor!$H$9="Monthly",AND(Nonlabor!$H$9="Once",C1558=IF(Nonlabor!$E$9="Core",Nonlabor!$F$9,MAX(Nonlabor!$F$9,IF(Nonlabor!$E$9="AI",Assumptions!$D$24,Assumptions!$D$25)))),AND(Nonlabor!$H$9="Annual",MOD(C1558-IF(Nonlabor!$E$9="Core",Nonlabor!$F$9,MAX(Nonlabor!$F$9,IF(Nonlabor!$E$9="AI",Assumptions!$D$24,Assumptions!$D$25))),12)=0))),IF(Nonlabor!$I$9="Fixed",1,IF(Nonlabor!$I$9="Seats",ROUNDUP('Monthly Base'!I58,0),IF(Nonlabor!$I$9="Customers",'Monthly Base'!D58,IF(Nonlabor!$I$9="NewCustomers",'Monthly Base'!C58,IF(Nonlabor!$I$9="StorageGB",'Monthly Base'!G58,IF(Nonlabor!$I$9="LogGB",'Monthly Base'!H58,IF(Nonlabor!$I$9="RequestsM",'Monthly Base'!F58,IF(Nonlabor!$I$9="InputM",'Monthly Base'!D58*Assumptions!$D$22/1000000,IF(Nonlabor!$I$9="OutputM",'Monthly Base'!D58*Assumptions!$D$23/1000000,0))))))))),0)</f>
        <v>1</v>
      </c>
      <c r="F1558" s="10" t="n">
        <f aca="false">Nonlabor!$J$9*(1+Assumptions!$D$9)^INT((C1558-1)/12)</f>
        <v>281.3772025</v>
      </c>
      <c r="G1558" s="10" t="n">
        <f aca="false">E1558*F1558</f>
        <v>281.3772025</v>
      </c>
      <c r="H1558" s="10" t="n">
        <f aca="false">IF(OR(Nonlabor!$L$9="Quote required",Nonlabor!$L$9="Unverified"),G1558,0)</f>
        <v>281.3772025</v>
      </c>
      <c r="I1558" s="10" t="n">
        <f aca="false">IF(Nonlabor!$E$9="Core",0,G1558)</f>
        <v>0</v>
      </c>
      <c r="J1558" s="23" t="str">
        <f aca="false">Nonlabor!$B$9</f>
        <v>INFRA</v>
      </c>
    </row>
    <row r="1559" customFormat="false" ht="15" hidden="false" customHeight="false" outlineLevel="0" collapsed="false">
      <c r="A1559" s="6" t="s">
        <v>4</v>
      </c>
      <c r="B1559" s="6" t="s">
        <v>379</v>
      </c>
      <c r="C1559" s="6" t="n">
        <v>54</v>
      </c>
      <c r="D1559" s="25" t="n">
        <f aca="false">EDATE('Start Here'!$B$6,C1559-1)</f>
        <v>47939</v>
      </c>
      <c r="E1559" s="23" t="n">
        <f aca="false">IF(AND(OR(Nonlabor!$D$9="Both",Nonlabor!$D$9='Start Here'!$B$9),IF(Nonlabor!$E$9="Core",1,IF(Nonlabor!$E$9="AI",'Start Here'!$B$7,'Start Here'!$B$8))=1,C1559&gt;=IF(Nonlabor!$E$9="Core",Nonlabor!$F$9,MAX(Nonlabor!$F$9,IF(Nonlabor!$E$9="AI",Assumptions!$D$24,Assumptions!$D$25))),C1559&lt;=Nonlabor!$G$9,OR(Nonlabor!$H$9="Monthly",AND(Nonlabor!$H$9="Once",C1559=IF(Nonlabor!$E$9="Core",Nonlabor!$F$9,MAX(Nonlabor!$F$9,IF(Nonlabor!$E$9="AI",Assumptions!$D$24,Assumptions!$D$25)))),AND(Nonlabor!$H$9="Annual",MOD(C1559-IF(Nonlabor!$E$9="Core",Nonlabor!$F$9,MAX(Nonlabor!$F$9,IF(Nonlabor!$E$9="AI",Assumptions!$D$24,Assumptions!$D$25))),12)=0))),IF(Nonlabor!$I$9="Fixed",1,IF(Nonlabor!$I$9="Seats",ROUNDUP('Monthly Base'!I59,0),IF(Nonlabor!$I$9="Customers",'Monthly Base'!D59,IF(Nonlabor!$I$9="NewCustomers",'Monthly Base'!C59,IF(Nonlabor!$I$9="StorageGB",'Monthly Base'!G59,IF(Nonlabor!$I$9="LogGB",'Monthly Base'!H59,IF(Nonlabor!$I$9="RequestsM",'Monthly Base'!F59,IF(Nonlabor!$I$9="InputM",'Monthly Base'!D59*Assumptions!$D$22/1000000,IF(Nonlabor!$I$9="OutputM",'Monthly Base'!D59*Assumptions!$D$23/1000000,0))))))))),0)</f>
        <v>1</v>
      </c>
      <c r="F1559" s="10" t="n">
        <f aca="false">Nonlabor!$J$9*(1+Assumptions!$D$9)^INT((C1559-1)/12)</f>
        <v>281.3772025</v>
      </c>
      <c r="G1559" s="10" t="n">
        <f aca="false">E1559*F1559</f>
        <v>281.3772025</v>
      </c>
      <c r="H1559" s="10" t="n">
        <f aca="false">IF(OR(Nonlabor!$L$9="Quote required",Nonlabor!$L$9="Unverified"),G1559,0)</f>
        <v>281.3772025</v>
      </c>
      <c r="I1559" s="10" t="n">
        <f aca="false">IF(Nonlabor!$E$9="Core",0,G1559)</f>
        <v>0</v>
      </c>
      <c r="J1559" s="23" t="str">
        <f aca="false">Nonlabor!$B$9</f>
        <v>INFRA</v>
      </c>
    </row>
    <row r="1560" customFormat="false" ht="15" hidden="false" customHeight="false" outlineLevel="0" collapsed="false">
      <c r="A1560" s="6" t="s">
        <v>4</v>
      </c>
      <c r="B1560" s="6" t="s">
        <v>379</v>
      </c>
      <c r="C1560" s="6" t="n">
        <v>55</v>
      </c>
      <c r="D1560" s="25" t="n">
        <f aca="false">EDATE('Start Here'!$B$6,C1560-1)</f>
        <v>47969</v>
      </c>
      <c r="E1560" s="23" t="n">
        <f aca="false">IF(AND(OR(Nonlabor!$D$9="Both",Nonlabor!$D$9='Start Here'!$B$9),IF(Nonlabor!$E$9="Core",1,IF(Nonlabor!$E$9="AI",'Start Here'!$B$7,'Start Here'!$B$8))=1,C1560&gt;=IF(Nonlabor!$E$9="Core",Nonlabor!$F$9,MAX(Nonlabor!$F$9,IF(Nonlabor!$E$9="AI",Assumptions!$D$24,Assumptions!$D$25))),C1560&lt;=Nonlabor!$G$9,OR(Nonlabor!$H$9="Monthly",AND(Nonlabor!$H$9="Once",C1560=IF(Nonlabor!$E$9="Core",Nonlabor!$F$9,MAX(Nonlabor!$F$9,IF(Nonlabor!$E$9="AI",Assumptions!$D$24,Assumptions!$D$25)))),AND(Nonlabor!$H$9="Annual",MOD(C1560-IF(Nonlabor!$E$9="Core",Nonlabor!$F$9,MAX(Nonlabor!$F$9,IF(Nonlabor!$E$9="AI",Assumptions!$D$24,Assumptions!$D$25))),12)=0))),IF(Nonlabor!$I$9="Fixed",1,IF(Nonlabor!$I$9="Seats",ROUNDUP('Monthly Base'!I60,0),IF(Nonlabor!$I$9="Customers",'Monthly Base'!D60,IF(Nonlabor!$I$9="NewCustomers",'Monthly Base'!C60,IF(Nonlabor!$I$9="StorageGB",'Monthly Base'!G60,IF(Nonlabor!$I$9="LogGB",'Monthly Base'!H60,IF(Nonlabor!$I$9="RequestsM",'Monthly Base'!F60,IF(Nonlabor!$I$9="InputM",'Monthly Base'!D60*Assumptions!$D$22/1000000,IF(Nonlabor!$I$9="OutputM",'Monthly Base'!D60*Assumptions!$D$23/1000000,0))))))))),0)</f>
        <v>1</v>
      </c>
      <c r="F1560" s="10" t="n">
        <f aca="false">Nonlabor!$J$9*(1+Assumptions!$D$9)^INT((C1560-1)/12)</f>
        <v>281.3772025</v>
      </c>
      <c r="G1560" s="10" t="n">
        <f aca="false">E1560*F1560</f>
        <v>281.3772025</v>
      </c>
      <c r="H1560" s="10" t="n">
        <f aca="false">IF(OR(Nonlabor!$L$9="Quote required",Nonlabor!$L$9="Unverified"),G1560,0)</f>
        <v>281.3772025</v>
      </c>
      <c r="I1560" s="10" t="n">
        <f aca="false">IF(Nonlabor!$E$9="Core",0,G1560)</f>
        <v>0</v>
      </c>
      <c r="J1560" s="23" t="str">
        <f aca="false">Nonlabor!$B$9</f>
        <v>INFRA</v>
      </c>
    </row>
    <row r="1561" customFormat="false" ht="15" hidden="false" customHeight="false" outlineLevel="0" collapsed="false">
      <c r="A1561" s="6" t="s">
        <v>4</v>
      </c>
      <c r="B1561" s="6" t="s">
        <v>379</v>
      </c>
      <c r="C1561" s="6" t="n">
        <v>56</v>
      </c>
      <c r="D1561" s="25" t="n">
        <f aca="false">EDATE('Start Here'!$B$6,C1561-1)</f>
        <v>48000</v>
      </c>
      <c r="E1561" s="23" t="n">
        <f aca="false">IF(AND(OR(Nonlabor!$D$9="Both",Nonlabor!$D$9='Start Here'!$B$9),IF(Nonlabor!$E$9="Core",1,IF(Nonlabor!$E$9="AI",'Start Here'!$B$7,'Start Here'!$B$8))=1,C1561&gt;=IF(Nonlabor!$E$9="Core",Nonlabor!$F$9,MAX(Nonlabor!$F$9,IF(Nonlabor!$E$9="AI",Assumptions!$D$24,Assumptions!$D$25))),C1561&lt;=Nonlabor!$G$9,OR(Nonlabor!$H$9="Monthly",AND(Nonlabor!$H$9="Once",C1561=IF(Nonlabor!$E$9="Core",Nonlabor!$F$9,MAX(Nonlabor!$F$9,IF(Nonlabor!$E$9="AI",Assumptions!$D$24,Assumptions!$D$25)))),AND(Nonlabor!$H$9="Annual",MOD(C1561-IF(Nonlabor!$E$9="Core",Nonlabor!$F$9,MAX(Nonlabor!$F$9,IF(Nonlabor!$E$9="AI",Assumptions!$D$24,Assumptions!$D$25))),12)=0))),IF(Nonlabor!$I$9="Fixed",1,IF(Nonlabor!$I$9="Seats",ROUNDUP('Monthly Base'!I61,0),IF(Nonlabor!$I$9="Customers",'Monthly Base'!D61,IF(Nonlabor!$I$9="NewCustomers",'Monthly Base'!C61,IF(Nonlabor!$I$9="StorageGB",'Monthly Base'!G61,IF(Nonlabor!$I$9="LogGB",'Monthly Base'!H61,IF(Nonlabor!$I$9="RequestsM",'Monthly Base'!F61,IF(Nonlabor!$I$9="InputM",'Monthly Base'!D61*Assumptions!$D$22/1000000,IF(Nonlabor!$I$9="OutputM",'Monthly Base'!D61*Assumptions!$D$23/1000000,0))))))))),0)</f>
        <v>1</v>
      </c>
      <c r="F1561" s="10" t="n">
        <f aca="false">Nonlabor!$J$9*(1+Assumptions!$D$9)^INT((C1561-1)/12)</f>
        <v>281.3772025</v>
      </c>
      <c r="G1561" s="10" t="n">
        <f aca="false">E1561*F1561</f>
        <v>281.3772025</v>
      </c>
      <c r="H1561" s="10" t="n">
        <f aca="false">IF(OR(Nonlabor!$L$9="Quote required",Nonlabor!$L$9="Unverified"),G1561,0)</f>
        <v>281.3772025</v>
      </c>
      <c r="I1561" s="10" t="n">
        <f aca="false">IF(Nonlabor!$E$9="Core",0,G1561)</f>
        <v>0</v>
      </c>
      <c r="J1561" s="23" t="str">
        <f aca="false">Nonlabor!$B$9</f>
        <v>INFRA</v>
      </c>
    </row>
    <row r="1562" customFormat="false" ht="15" hidden="false" customHeight="false" outlineLevel="0" collapsed="false">
      <c r="A1562" s="6" t="s">
        <v>4</v>
      </c>
      <c r="B1562" s="6" t="s">
        <v>379</v>
      </c>
      <c r="C1562" s="6" t="n">
        <v>57</v>
      </c>
      <c r="D1562" s="25" t="n">
        <f aca="false">EDATE('Start Here'!$B$6,C1562-1)</f>
        <v>48030</v>
      </c>
      <c r="E1562" s="23" t="n">
        <f aca="false">IF(AND(OR(Nonlabor!$D$9="Both",Nonlabor!$D$9='Start Here'!$B$9),IF(Nonlabor!$E$9="Core",1,IF(Nonlabor!$E$9="AI",'Start Here'!$B$7,'Start Here'!$B$8))=1,C1562&gt;=IF(Nonlabor!$E$9="Core",Nonlabor!$F$9,MAX(Nonlabor!$F$9,IF(Nonlabor!$E$9="AI",Assumptions!$D$24,Assumptions!$D$25))),C1562&lt;=Nonlabor!$G$9,OR(Nonlabor!$H$9="Monthly",AND(Nonlabor!$H$9="Once",C1562=IF(Nonlabor!$E$9="Core",Nonlabor!$F$9,MAX(Nonlabor!$F$9,IF(Nonlabor!$E$9="AI",Assumptions!$D$24,Assumptions!$D$25)))),AND(Nonlabor!$H$9="Annual",MOD(C1562-IF(Nonlabor!$E$9="Core",Nonlabor!$F$9,MAX(Nonlabor!$F$9,IF(Nonlabor!$E$9="AI",Assumptions!$D$24,Assumptions!$D$25))),12)=0))),IF(Nonlabor!$I$9="Fixed",1,IF(Nonlabor!$I$9="Seats",ROUNDUP('Monthly Base'!I62,0),IF(Nonlabor!$I$9="Customers",'Monthly Base'!D62,IF(Nonlabor!$I$9="NewCustomers",'Monthly Base'!C62,IF(Nonlabor!$I$9="StorageGB",'Monthly Base'!G62,IF(Nonlabor!$I$9="LogGB",'Monthly Base'!H62,IF(Nonlabor!$I$9="RequestsM",'Monthly Base'!F62,IF(Nonlabor!$I$9="InputM",'Monthly Base'!D62*Assumptions!$D$22/1000000,IF(Nonlabor!$I$9="OutputM",'Monthly Base'!D62*Assumptions!$D$23/1000000,0))))))))),0)</f>
        <v>1</v>
      </c>
      <c r="F1562" s="10" t="n">
        <f aca="false">Nonlabor!$J$9*(1+Assumptions!$D$9)^INT((C1562-1)/12)</f>
        <v>281.3772025</v>
      </c>
      <c r="G1562" s="10" t="n">
        <f aca="false">E1562*F1562</f>
        <v>281.3772025</v>
      </c>
      <c r="H1562" s="10" t="n">
        <f aca="false">IF(OR(Nonlabor!$L$9="Quote required",Nonlabor!$L$9="Unverified"),G1562,0)</f>
        <v>281.3772025</v>
      </c>
      <c r="I1562" s="10" t="n">
        <f aca="false">IF(Nonlabor!$E$9="Core",0,G1562)</f>
        <v>0</v>
      </c>
      <c r="J1562" s="23" t="str">
        <f aca="false">Nonlabor!$B$9</f>
        <v>INFRA</v>
      </c>
    </row>
    <row r="1563" customFormat="false" ht="15" hidden="false" customHeight="false" outlineLevel="0" collapsed="false">
      <c r="A1563" s="6" t="s">
        <v>4</v>
      </c>
      <c r="B1563" s="6" t="s">
        <v>379</v>
      </c>
      <c r="C1563" s="6" t="n">
        <v>58</v>
      </c>
      <c r="D1563" s="25" t="n">
        <f aca="false">EDATE('Start Here'!$B$6,C1563-1)</f>
        <v>48061</v>
      </c>
      <c r="E1563" s="23" t="n">
        <f aca="false">IF(AND(OR(Nonlabor!$D$9="Both",Nonlabor!$D$9='Start Here'!$B$9),IF(Nonlabor!$E$9="Core",1,IF(Nonlabor!$E$9="AI",'Start Here'!$B$7,'Start Here'!$B$8))=1,C1563&gt;=IF(Nonlabor!$E$9="Core",Nonlabor!$F$9,MAX(Nonlabor!$F$9,IF(Nonlabor!$E$9="AI",Assumptions!$D$24,Assumptions!$D$25))),C1563&lt;=Nonlabor!$G$9,OR(Nonlabor!$H$9="Monthly",AND(Nonlabor!$H$9="Once",C1563=IF(Nonlabor!$E$9="Core",Nonlabor!$F$9,MAX(Nonlabor!$F$9,IF(Nonlabor!$E$9="AI",Assumptions!$D$24,Assumptions!$D$25)))),AND(Nonlabor!$H$9="Annual",MOD(C1563-IF(Nonlabor!$E$9="Core",Nonlabor!$F$9,MAX(Nonlabor!$F$9,IF(Nonlabor!$E$9="AI",Assumptions!$D$24,Assumptions!$D$25))),12)=0))),IF(Nonlabor!$I$9="Fixed",1,IF(Nonlabor!$I$9="Seats",ROUNDUP('Monthly Base'!I63,0),IF(Nonlabor!$I$9="Customers",'Monthly Base'!D63,IF(Nonlabor!$I$9="NewCustomers",'Monthly Base'!C63,IF(Nonlabor!$I$9="StorageGB",'Monthly Base'!G63,IF(Nonlabor!$I$9="LogGB",'Monthly Base'!H63,IF(Nonlabor!$I$9="RequestsM",'Monthly Base'!F63,IF(Nonlabor!$I$9="InputM",'Monthly Base'!D63*Assumptions!$D$22/1000000,IF(Nonlabor!$I$9="OutputM",'Monthly Base'!D63*Assumptions!$D$23/1000000,0))))))))),0)</f>
        <v>1</v>
      </c>
      <c r="F1563" s="10" t="n">
        <f aca="false">Nonlabor!$J$9*(1+Assumptions!$D$9)^INT((C1563-1)/12)</f>
        <v>281.3772025</v>
      </c>
      <c r="G1563" s="10" t="n">
        <f aca="false">E1563*F1563</f>
        <v>281.3772025</v>
      </c>
      <c r="H1563" s="10" t="n">
        <f aca="false">IF(OR(Nonlabor!$L$9="Quote required",Nonlabor!$L$9="Unverified"),G1563,0)</f>
        <v>281.3772025</v>
      </c>
      <c r="I1563" s="10" t="n">
        <f aca="false">IF(Nonlabor!$E$9="Core",0,G1563)</f>
        <v>0</v>
      </c>
      <c r="J1563" s="23" t="str">
        <f aca="false">Nonlabor!$B$9</f>
        <v>INFRA</v>
      </c>
    </row>
    <row r="1564" customFormat="false" ht="15" hidden="false" customHeight="false" outlineLevel="0" collapsed="false">
      <c r="A1564" s="6" t="s">
        <v>4</v>
      </c>
      <c r="B1564" s="6" t="s">
        <v>379</v>
      </c>
      <c r="C1564" s="6" t="n">
        <v>59</v>
      </c>
      <c r="D1564" s="25" t="n">
        <f aca="false">EDATE('Start Here'!$B$6,C1564-1)</f>
        <v>48092</v>
      </c>
      <c r="E1564" s="23" t="n">
        <f aca="false">IF(AND(OR(Nonlabor!$D$9="Both",Nonlabor!$D$9='Start Here'!$B$9),IF(Nonlabor!$E$9="Core",1,IF(Nonlabor!$E$9="AI",'Start Here'!$B$7,'Start Here'!$B$8))=1,C1564&gt;=IF(Nonlabor!$E$9="Core",Nonlabor!$F$9,MAX(Nonlabor!$F$9,IF(Nonlabor!$E$9="AI",Assumptions!$D$24,Assumptions!$D$25))),C1564&lt;=Nonlabor!$G$9,OR(Nonlabor!$H$9="Monthly",AND(Nonlabor!$H$9="Once",C1564=IF(Nonlabor!$E$9="Core",Nonlabor!$F$9,MAX(Nonlabor!$F$9,IF(Nonlabor!$E$9="AI",Assumptions!$D$24,Assumptions!$D$25)))),AND(Nonlabor!$H$9="Annual",MOD(C1564-IF(Nonlabor!$E$9="Core",Nonlabor!$F$9,MAX(Nonlabor!$F$9,IF(Nonlabor!$E$9="AI",Assumptions!$D$24,Assumptions!$D$25))),12)=0))),IF(Nonlabor!$I$9="Fixed",1,IF(Nonlabor!$I$9="Seats",ROUNDUP('Monthly Base'!I64,0),IF(Nonlabor!$I$9="Customers",'Monthly Base'!D64,IF(Nonlabor!$I$9="NewCustomers",'Monthly Base'!C64,IF(Nonlabor!$I$9="StorageGB",'Monthly Base'!G64,IF(Nonlabor!$I$9="LogGB",'Monthly Base'!H64,IF(Nonlabor!$I$9="RequestsM",'Monthly Base'!F64,IF(Nonlabor!$I$9="InputM",'Monthly Base'!D64*Assumptions!$D$22/1000000,IF(Nonlabor!$I$9="OutputM",'Monthly Base'!D64*Assumptions!$D$23/1000000,0))))))))),0)</f>
        <v>1</v>
      </c>
      <c r="F1564" s="10" t="n">
        <f aca="false">Nonlabor!$J$9*(1+Assumptions!$D$9)^INT((C1564-1)/12)</f>
        <v>281.3772025</v>
      </c>
      <c r="G1564" s="10" t="n">
        <f aca="false">E1564*F1564</f>
        <v>281.3772025</v>
      </c>
      <c r="H1564" s="10" t="n">
        <f aca="false">IF(OR(Nonlabor!$L$9="Quote required",Nonlabor!$L$9="Unverified"),G1564,0)</f>
        <v>281.3772025</v>
      </c>
      <c r="I1564" s="10" t="n">
        <f aca="false">IF(Nonlabor!$E$9="Core",0,G1564)</f>
        <v>0</v>
      </c>
      <c r="J1564" s="23" t="str">
        <f aca="false">Nonlabor!$B$9</f>
        <v>INFRA</v>
      </c>
    </row>
    <row r="1565" customFormat="false" ht="15" hidden="false" customHeight="false" outlineLevel="0" collapsed="false">
      <c r="A1565" s="6" t="s">
        <v>4</v>
      </c>
      <c r="B1565" s="6" t="s">
        <v>379</v>
      </c>
      <c r="C1565" s="6" t="n">
        <v>60</v>
      </c>
      <c r="D1565" s="25" t="n">
        <f aca="false">EDATE('Start Here'!$B$6,C1565-1)</f>
        <v>48122</v>
      </c>
      <c r="E1565" s="23" t="n">
        <f aca="false">IF(AND(OR(Nonlabor!$D$9="Both",Nonlabor!$D$9='Start Here'!$B$9),IF(Nonlabor!$E$9="Core",1,IF(Nonlabor!$E$9="AI",'Start Here'!$B$7,'Start Here'!$B$8))=1,C1565&gt;=IF(Nonlabor!$E$9="Core",Nonlabor!$F$9,MAX(Nonlabor!$F$9,IF(Nonlabor!$E$9="AI",Assumptions!$D$24,Assumptions!$D$25))),C1565&lt;=Nonlabor!$G$9,OR(Nonlabor!$H$9="Monthly",AND(Nonlabor!$H$9="Once",C1565=IF(Nonlabor!$E$9="Core",Nonlabor!$F$9,MAX(Nonlabor!$F$9,IF(Nonlabor!$E$9="AI",Assumptions!$D$24,Assumptions!$D$25)))),AND(Nonlabor!$H$9="Annual",MOD(C1565-IF(Nonlabor!$E$9="Core",Nonlabor!$F$9,MAX(Nonlabor!$F$9,IF(Nonlabor!$E$9="AI",Assumptions!$D$24,Assumptions!$D$25))),12)=0))),IF(Nonlabor!$I$9="Fixed",1,IF(Nonlabor!$I$9="Seats",ROUNDUP('Monthly Base'!I65,0),IF(Nonlabor!$I$9="Customers",'Monthly Base'!D65,IF(Nonlabor!$I$9="NewCustomers",'Monthly Base'!C65,IF(Nonlabor!$I$9="StorageGB",'Monthly Base'!G65,IF(Nonlabor!$I$9="LogGB",'Monthly Base'!H65,IF(Nonlabor!$I$9="RequestsM",'Monthly Base'!F65,IF(Nonlabor!$I$9="InputM",'Monthly Base'!D65*Assumptions!$D$22/1000000,IF(Nonlabor!$I$9="OutputM",'Monthly Base'!D65*Assumptions!$D$23/1000000,0))))))))),0)</f>
        <v>1</v>
      </c>
      <c r="F1565" s="10" t="n">
        <f aca="false">Nonlabor!$J$9*(1+Assumptions!$D$9)^INT((C1565-1)/12)</f>
        <v>281.3772025</v>
      </c>
      <c r="G1565" s="10" t="n">
        <f aca="false">E1565*F1565</f>
        <v>281.3772025</v>
      </c>
      <c r="H1565" s="10" t="n">
        <f aca="false">IF(OR(Nonlabor!$L$9="Quote required",Nonlabor!$L$9="Unverified"),G1565,0)</f>
        <v>281.3772025</v>
      </c>
      <c r="I1565" s="10" t="n">
        <f aca="false">IF(Nonlabor!$E$9="Core",0,G1565)</f>
        <v>0</v>
      </c>
      <c r="J1565" s="23" t="str">
        <f aca="false">Nonlabor!$B$9</f>
        <v>INFRA</v>
      </c>
    </row>
    <row r="1566" customFormat="false" ht="15" hidden="false" customHeight="false" outlineLevel="0" collapsed="false">
      <c r="A1566" s="6" t="s">
        <v>4</v>
      </c>
      <c r="B1566" s="6" t="s">
        <v>383</v>
      </c>
      <c r="C1566" s="6" t="n">
        <v>1</v>
      </c>
      <c r="D1566" s="25" t="n">
        <f aca="false">EDATE('Start Here'!$B$6,C1566-1)</f>
        <v>46327</v>
      </c>
      <c r="E1566" s="11" t="n">
        <f aca="false">IF(AND(OR(Nonlabor!$D$10="Both",Nonlabor!$D$10='Start Here'!$B$9),IF(Nonlabor!$E$10="Core",1,IF(Nonlabor!$E$10="AI",'Start Here'!$B$7,'Start Here'!$B$8))=1,C1566&gt;=IF(Nonlabor!$E$10="Core",Nonlabor!$F$10,MAX(Nonlabor!$F$10,IF(Nonlabor!$E$10="AI",Assumptions!$D$24,Assumptions!$D$25))),C1566&lt;=Nonlabor!$G$10,OR(Nonlabor!$H$10="Monthly",AND(Nonlabor!$H$10="Once",C1566=IF(Nonlabor!$E$10="Core",Nonlabor!$F$10,MAX(Nonlabor!$F$10,IF(Nonlabor!$E$10="AI",Assumptions!$D$24,Assumptions!$D$25)))),AND(Nonlabor!$H$10="Annual",MOD(C1566-IF(Nonlabor!$E$10="Core",Nonlabor!$F$10,MAX(Nonlabor!$F$10,IF(Nonlabor!$E$10="AI",Assumptions!$D$24,Assumptions!$D$25))),12)=0))),IF(Nonlabor!$I$10="Fixed",1,IF(Nonlabor!$I$10="Seats",ROUNDUP('Monthly Base'!I6,0),IF(Nonlabor!$I$10="Customers",'Monthly Base'!D6,IF(Nonlabor!$I$10="NewCustomers",'Monthly Base'!C6,IF(Nonlabor!$I$10="StorageGB",'Monthly Base'!G6,IF(Nonlabor!$I$10="LogGB",'Monthly Base'!H6,IF(Nonlabor!$I$10="RequestsM",'Monthly Base'!F6,IF(Nonlabor!$I$10="InputM",'Monthly Base'!D6*Assumptions!$D$22/1000000,IF(Nonlabor!$I$10="OutputM",'Monthly Base'!D6*Assumptions!$D$23/1000000,0))))))))),0)</f>
        <v>0</v>
      </c>
      <c r="F1566" s="10" t="n">
        <f aca="false">Nonlabor!$J$10*(1+Assumptions!$D$9)^INT((C1566-1)/12)</f>
        <v>0.15</v>
      </c>
      <c r="G1566" s="10" t="n">
        <f aca="false">E1566*F1566</f>
        <v>0</v>
      </c>
      <c r="H1566" s="10" t="n">
        <f aca="false">IF(OR(Nonlabor!$L$10="Quote required",Nonlabor!$L$10="Unverified"),G1566,0)</f>
        <v>0</v>
      </c>
      <c r="I1566" s="10" t="n">
        <f aca="false">IF(Nonlabor!$E$10="Core",0,G1566)</f>
        <v>0</v>
      </c>
      <c r="J1566" s="23" t="str">
        <f aca="false">Nonlabor!$B$10</f>
        <v>INFRA</v>
      </c>
    </row>
    <row r="1567" customFormat="false" ht="15" hidden="false" customHeight="false" outlineLevel="0" collapsed="false">
      <c r="A1567" s="6" t="s">
        <v>4</v>
      </c>
      <c r="B1567" s="6" t="s">
        <v>383</v>
      </c>
      <c r="C1567" s="6" t="n">
        <v>2</v>
      </c>
      <c r="D1567" s="25" t="n">
        <f aca="false">EDATE('Start Here'!$B$6,C1567-1)</f>
        <v>46357</v>
      </c>
      <c r="E1567" s="11" t="n">
        <f aca="false">IF(AND(OR(Nonlabor!$D$10="Both",Nonlabor!$D$10='Start Here'!$B$9),IF(Nonlabor!$E$10="Core",1,IF(Nonlabor!$E$10="AI",'Start Here'!$B$7,'Start Here'!$B$8))=1,C1567&gt;=IF(Nonlabor!$E$10="Core",Nonlabor!$F$10,MAX(Nonlabor!$F$10,IF(Nonlabor!$E$10="AI",Assumptions!$D$24,Assumptions!$D$25))),C1567&lt;=Nonlabor!$G$10,OR(Nonlabor!$H$10="Monthly",AND(Nonlabor!$H$10="Once",C1567=IF(Nonlabor!$E$10="Core",Nonlabor!$F$10,MAX(Nonlabor!$F$10,IF(Nonlabor!$E$10="AI",Assumptions!$D$24,Assumptions!$D$25)))),AND(Nonlabor!$H$10="Annual",MOD(C1567-IF(Nonlabor!$E$10="Core",Nonlabor!$F$10,MAX(Nonlabor!$F$10,IF(Nonlabor!$E$10="AI",Assumptions!$D$24,Assumptions!$D$25))),12)=0))),IF(Nonlabor!$I$10="Fixed",1,IF(Nonlabor!$I$10="Seats",ROUNDUP('Monthly Base'!I7,0),IF(Nonlabor!$I$10="Customers",'Monthly Base'!D7,IF(Nonlabor!$I$10="NewCustomers",'Monthly Base'!C7,IF(Nonlabor!$I$10="StorageGB",'Monthly Base'!G7,IF(Nonlabor!$I$10="LogGB",'Monthly Base'!H7,IF(Nonlabor!$I$10="RequestsM",'Monthly Base'!F7,IF(Nonlabor!$I$10="InputM",'Monthly Base'!D7*Assumptions!$D$22/1000000,IF(Nonlabor!$I$10="OutputM",'Monthly Base'!D7*Assumptions!$D$23/1000000,0))))))))),0)</f>
        <v>0</v>
      </c>
      <c r="F1567" s="10" t="n">
        <f aca="false">Nonlabor!$J$10*(1+Assumptions!$D$9)^INT((C1567-1)/12)</f>
        <v>0.15</v>
      </c>
      <c r="G1567" s="10" t="n">
        <f aca="false">E1567*F1567</f>
        <v>0</v>
      </c>
      <c r="H1567" s="10" t="n">
        <f aca="false">IF(OR(Nonlabor!$L$10="Quote required",Nonlabor!$L$10="Unverified"),G1567,0)</f>
        <v>0</v>
      </c>
      <c r="I1567" s="10" t="n">
        <f aca="false">IF(Nonlabor!$E$10="Core",0,G1567)</f>
        <v>0</v>
      </c>
      <c r="J1567" s="23" t="str">
        <f aca="false">Nonlabor!$B$10</f>
        <v>INFRA</v>
      </c>
    </row>
    <row r="1568" customFormat="false" ht="15" hidden="false" customHeight="false" outlineLevel="0" collapsed="false">
      <c r="A1568" s="6" t="s">
        <v>4</v>
      </c>
      <c r="B1568" s="6" t="s">
        <v>383</v>
      </c>
      <c r="C1568" s="6" t="n">
        <v>3</v>
      </c>
      <c r="D1568" s="25" t="n">
        <f aca="false">EDATE('Start Here'!$B$6,C1568-1)</f>
        <v>46388</v>
      </c>
      <c r="E1568" s="11" t="n">
        <f aca="false">IF(AND(OR(Nonlabor!$D$10="Both",Nonlabor!$D$10='Start Here'!$B$9),IF(Nonlabor!$E$10="Core",1,IF(Nonlabor!$E$10="AI",'Start Here'!$B$7,'Start Here'!$B$8))=1,C1568&gt;=IF(Nonlabor!$E$10="Core",Nonlabor!$F$10,MAX(Nonlabor!$F$10,IF(Nonlabor!$E$10="AI",Assumptions!$D$24,Assumptions!$D$25))),C1568&lt;=Nonlabor!$G$10,OR(Nonlabor!$H$10="Monthly",AND(Nonlabor!$H$10="Once",C1568=IF(Nonlabor!$E$10="Core",Nonlabor!$F$10,MAX(Nonlabor!$F$10,IF(Nonlabor!$E$10="AI",Assumptions!$D$24,Assumptions!$D$25)))),AND(Nonlabor!$H$10="Annual",MOD(C1568-IF(Nonlabor!$E$10="Core",Nonlabor!$F$10,MAX(Nonlabor!$F$10,IF(Nonlabor!$E$10="AI",Assumptions!$D$24,Assumptions!$D$25))),12)=0))),IF(Nonlabor!$I$10="Fixed",1,IF(Nonlabor!$I$10="Seats",ROUNDUP('Monthly Base'!I8,0),IF(Nonlabor!$I$10="Customers",'Monthly Base'!D8,IF(Nonlabor!$I$10="NewCustomers",'Monthly Base'!C8,IF(Nonlabor!$I$10="StorageGB",'Monthly Base'!G8,IF(Nonlabor!$I$10="LogGB",'Monthly Base'!H8,IF(Nonlabor!$I$10="RequestsM",'Monthly Base'!F8,IF(Nonlabor!$I$10="InputM",'Monthly Base'!D8*Assumptions!$D$22/1000000,IF(Nonlabor!$I$10="OutputM",'Monthly Base'!D8*Assumptions!$D$23/1000000,0))))))))),0)</f>
        <v>0</v>
      </c>
      <c r="F1568" s="10" t="n">
        <f aca="false">Nonlabor!$J$10*(1+Assumptions!$D$9)^INT((C1568-1)/12)</f>
        <v>0.15</v>
      </c>
      <c r="G1568" s="10" t="n">
        <f aca="false">E1568*F1568</f>
        <v>0</v>
      </c>
      <c r="H1568" s="10" t="n">
        <f aca="false">IF(OR(Nonlabor!$L$10="Quote required",Nonlabor!$L$10="Unverified"),G1568,0)</f>
        <v>0</v>
      </c>
      <c r="I1568" s="10" t="n">
        <f aca="false">IF(Nonlabor!$E$10="Core",0,G1568)</f>
        <v>0</v>
      </c>
      <c r="J1568" s="23" t="str">
        <f aca="false">Nonlabor!$B$10</f>
        <v>INFRA</v>
      </c>
    </row>
    <row r="1569" customFormat="false" ht="15" hidden="false" customHeight="false" outlineLevel="0" collapsed="false">
      <c r="A1569" s="6" t="s">
        <v>4</v>
      </c>
      <c r="B1569" s="6" t="s">
        <v>383</v>
      </c>
      <c r="C1569" s="6" t="n">
        <v>4</v>
      </c>
      <c r="D1569" s="25" t="n">
        <f aca="false">EDATE('Start Here'!$B$6,C1569-1)</f>
        <v>46419</v>
      </c>
      <c r="E1569" s="11" t="n">
        <f aca="false">IF(AND(OR(Nonlabor!$D$10="Both",Nonlabor!$D$10='Start Here'!$B$9),IF(Nonlabor!$E$10="Core",1,IF(Nonlabor!$E$10="AI",'Start Here'!$B$7,'Start Here'!$B$8))=1,C1569&gt;=IF(Nonlabor!$E$10="Core",Nonlabor!$F$10,MAX(Nonlabor!$F$10,IF(Nonlabor!$E$10="AI",Assumptions!$D$24,Assumptions!$D$25))),C1569&lt;=Nonlabor!$G$10,OR(Nonlabor!$H$10="Monthly",AND(Nonlabor!$H$10="Once",C1569=IF(Nonlabor!$E$10="Core",Nonlabor!$F$10,MAX(Nonlabor!$F$10,IF(Nonlabor!$E$10="AI",Assumptions!$D$24,Assumptions!$D$25)))),AND(Nonlabor!$H$10="Annual",MOD(C1569-IF(Nonlabor!$E$10="Core",Nonlabor!$F$10,MAX(Nonlabor!$F$10,IF(Nonlabor!$E$10="AI",Assumptions!$D$24,Assumptions!$D$25))),12)=0))),IF(Nonlabor!$I$10="Fixed",1,IF(Nonlabor!$I$10="Seats",ROUNDUP('Monthly Base'!I9,0),IF(Nonlabor!$I$10="Customers",'Monthly Base'!D9,IF(Nonlabor!$I$10="NewCustomers",'Monthly Base'!C9,IF(Nonlabor!$I$10="StorageGB",'Monthly Base'!G9,IF(Nonlabor!$I$10="LogGB",'Monthly Base'!H9,IF(Nonlabor!$I$10="RequestsM",'Monthly Base'!F9,IF(Nonlabor!$I$10="InputM",'Monthly Base'!D9*Assumptions!$D$22/1000000,IF(Nonlabor!$I$10="OutputM",'Monthly Base'!D9*Assumptions!$D$23/1000000,0))))))))),0)</f>
        <v>0</v>
      </c>
      <c r="F1569" s="10" t="n">
        <f aca="false">Nonlabor!$J$10*(1+Assumptions!$D$9)^INT((C1569-1)/12)</f>
        <v>0.15</v>
      </c>
      <c r="G1569" s="10" t="n">
        <f aca="false">E1569*F1569</f>
        <v>0</v>
      </c>
      <c r="H1569" s="10" t="n">
        <f aca="false">IF(OR(Nonlabor!$L$10="Quote required",Nonlabor!$L$10="Unverified"),G1569,0)</f>
        <v>0</v>
      </c>
      <c r="I1569" s="10" t="n">
        <f aca="false">IF(Nonlabor!$E$10="Core",0,G1569)</f>
        <v>0</v>
      </c>
      <c r="J1569" s="23" t="str">
        <f aca="false">Nonlabor!$B$10</f>
        <v>INFRA</v>
      </c>
    </row>
    <row r="1570" customFormat="false" ht="15" hidden="false" customHeight="false" outlineLevel="0" collapsed="false">
      <c r="A1570" s="6" t="s">
        <v>4</v>
      </c>
      <c r="B1570" s="6" t="s">
        <v>383</v>
      </c>
      <c r="C1570" s="6" t="n">
        <v>5</v>
      </c>
      <c r="D1570" s="25" t="n">
        <f aca="false">EDATE('Start Here'!$B$6,C1570-1)</f>
        <v>46447</v>
      </c>
      <c r="E1570" s="11" t="n">
        <f aca="false">IF(AND(OR(Nonlabor!$D$10="Both",Nonlabor!$D$10='Start Here'!$B$9),IF(Nonlabor!$E$10="Core",1,IF(Nonlabor!$E$10="AI",'Start Here'!$B$7,'Start Here'!$B$8))=1,C1570&gt;=IF(Nonlabor!$E$10="Core",Nonlabor!$F$10,MAX(Nonlabor!$F$10,IF(Nonlabor!$E$10="AI",Assumptions!$D$24,Assumptions!$D$25))),C1570&lt;=Nonlabor!$G$10,OR(Nonlabor!$H$10="Monthly",AND(Nonlabor!$H$10="Once",C1570=IF(Nonlabor!$E$10="Core",Nonlabor!$F$10,MAX(Nonlabor!$F$10,IF(Nonlabor!$E$10="AI",Assumptions!$D$24,Assumptions!$D$25)))),AND(Nonlabor!$H$10="Annual",MOD(C1570-IF(Nonlabor!$E$10="Core",Nonlabor!$F$10,MAX(Nonlabor!$F$10,IF(Nonlabor!$E$10="AI",Assumptions!$D$24,Assumptions!$D$25))),12)=0))),IF(Nonlabor!$I$10="Fixed",1,IF(Nonlabor!$I$10="Seats",ROUNDUP('Monthly Base'!I10,0),IF(Nonlabor!$I$10="Customers",'Monthly Base'!D10,IF(Nonlabor!$I$10="NewCustomers",'Monthly Base'!C10,IF(Nonlabor!$I$10="StorageGB",'Monthly Base'!G10,IF(Nonlabor!$I$10="LogGB",'Monthly Base'!H10,IF(Nonlabor!$I$10="RequestsM",'Monthly Base'!F10,IF(Nonlabor!$I$10="InputM",'Monthly Base'!D10*Assumptions!$D$22/1000000,IF(Nonlabor!$I$10="OutputM",'Monthly Base'!D10*Assumptions!$D$23/1000000,0))))))))),0)</f>
        <v>0</v>
      </c>
      <c r="F1570" s="10" t="n">
        <f aca="false">Nonlabor!$J$10*(1+Assumptions!$D$9)^INT((C1570-1)/12)</f>
        <v>0.15</v>
      </c>
      <c r="G1570" s="10" t="n">
        <f aca="false">E1570*F1570</f>
        <v>0</v>
      </c>
      <c r="H1570" s="10" t="n">
        <f aca="false">IF(OR(Nonlabor!$L$10="Quote required",Nonlabor!$L$10="Unverified"),G1570,0)</f>
        <v>0</v>
      </c>
      <c r="I1570" s="10" t="n">
        <f aca="false">IF(Nonlabor!$E$10="Core",0,G1570)</f>
        <v>0</v>
      </c>
      <c r="J1570" s="23" t="str">
        <f aca="false">Nonlabor!$B$10</f>
        <v>INFRA</v>
      </c>
    </row>
    <row r="1571" customFormat="false" ht="15" hidden="false" customHeight="false" outlineLevel="0" collapsed="false">
      <c r="A1571" s="6" t="s">
        <v>4</v>
      </c>
      <c r="B1571" s="6" t="s">
        <v>383</v>
      </c>
      <c r="C1571" s="6" t="n">
        <v>6</v>
      </c>
      <c r="D1571" s="25" t="n">
        <f aca="false">EDATE('Start Here'!$B$6,C1571-1)</f>
        <v>46478</v>
      </c>
      <c r="E1571" s="11" t="n">
        <f aca="false">IF(AND(OR(Nonlabor!$D$10="Both",Nonlabor!$D$10='Start Here'!$B$9),IF(Nonlabor!$E$10="Core",1,IF(Nonlabor!$E$10="AI",'Start Here'!$B$7,'Start Here'!$B$8))=1,C1571&gt;=IF(Nonlabor!$E$10="Core",Nonlabor!$F$10,MAX(Nonlabor!$F$10,IF(Nonlabor!$E$10="AI",Assumptions!$D$24,Assumptions!$D$25))),C1571&lt;=Nonlabor!$G$10,OR(Nonlabor!$H$10="Monthly",AND(Nonlabor!$H$10="Once",C1571=IF(Nonlabor!$E$10="Core",Nonlabor!$F$10,MAX(Nonlabor!$F$10,IF(Nonlabor!$E$10="AI",Assumptions!$D$24,Assumptions!$D$25)))),AND(Nonlabor!$H$10="Annual",MOD(C1571-IF(Nonlabor!$E$10="Core",Nonlabor!$F$10,MAX(Nonlabor!$F$10,IF(Nonlabor!$E$10="AI",Assumptions!$D$24,Assumptions!$D$25))),12)=0))),IF(Nonlabor!$I$10="Fixed",1,IF(Nonlabor!$I$10="Seats",ROUNDUP('Monthly Base'!I11,0),IF(Nonlabor!$I$10="Customers",'Monthly Base'!D11,IF(Nonlabor!$I$10="NewCustomers",'Monthly Base'!C11,IF(Nonlabor!$I$10="StorageGB",'Monthly Base'!G11,IF(Nonlabor!$I$10="LogGB",'Monthly Base'!H11,IF(Nonlabor!$I$10="RequestsM",'Monthly Base'!F11,IF(Nonlabor!$I$10="InputM",'Monthly Base'!D11*Assumptions!$D$22/1000000,IF(Nonlabor!$I$10="OutputM",'Monthly Base'!D11*Assumptions!$D$23/1000000,0))))))))),0)</f>
        <v>0</v>
      </c>
      <c r="F1571" s="10" t="n">
        <f aca="false">Nonlabor!$J$10*(1+Assumptions!$D$9)^INT((C1571-1)/12)</f>
        <v>0.15</v>
      </c>
      <c r="G1571" s="10" t="n">
        <f aca="false">E1571*F1571</f>
        <v>0</v>
      </c>
      <c r="H1571" s="10" t="n">
        <f aca="false">IF(OR(Nonlabor!$L$10="Quote required",Nonlabor!$L$10="Unverified"),G1571,0)</f>
        <v>0</v>
      </c>
      <c r="I1571" s="10" t="n">
        <f aca="false">IF(Nonlabor!$E$10="Core",0,G1571)</f>
        <v>0</v>
      </c>
      <c r="J1571" s="23" t="str">
        <f aca="false">Nonlabor!$B$10</f>
        <v>INFRA</v>
      </c>
    </row>
    <row r="1572" customFormat="false" ht="15" hidden="false" customHeight="false" outlineLevel="0" collapsed="false">
      <c r="A1572" s="6" t="s">
        <v>4</v>
      </c>
      <c r="B1572" s="6" t="s">
        <v>383</v>
      </c>
      <c r="C1572" s="6" t="n">
        <v>7</v>
      </c>
      <c r="D1572" s="25" t="n">
        <f aca="false">EDATE('Start Here'!$B$6,C1572-1)</f>
        <v>46508</v>
      </c>
      <c r="E1572" s="11" t="n">
        <f aca="false">IF(AND(OR(Nonlabor!$D$10="Both",Nonlabor!$D$10='Start Here'!$B$9),IF(Nonlabor!$E$10="Core",1,IF(Nonlabor!$E$10="AI",'Start Here'!$B$7,'Start Here'!$B$8))=1,C1572&gt;=IF(Nonlabor!$E$10="Core",Nonlabor!$F$10,MAX(Nonlabor!$F$10,IF(Nonlabor!$E$10="AI",Assumptions!$D$24,Assumptions!$D$25))),C1572&lt;=Nonlabor!$G$10,OR(Nonlabor!$H$10="Monthly",AND(Nonlabor!$H$10="Once",C1572=IF(Nonlabor!$E$10="Core",Nonlabor!$F$10,MAX(Nonlabor!$F$10,IF(Nonlabor!$E$10="AI",Assumptions!$D$24,Assumptions!$D$25)))),AND(Nonlabor!$H$10="Annual",MOD(C1572-IF(Nonlabor!$E$10="Core",Nonlabor!$F$10,MAX(Nonlabor!$F$10,IF(Nonlabor!$E$10="AI",Assumptions!$D$24,Assumptions!$D$25))),12)=0))),IF(Nonlabor!$I$10="Fixed",1,IF(Nonlabor!$I$10="Seats",ROUNDUP('Monthly Base'!I12,0),IF(Nonlabor!$I$10="Customers",'Monthly Base'!D12,IF(Nonlabor!$I$10="NewCustomers",'Monthly Base'!C12,IF(Nonlabor!$I$10="StorageGB",'Monthly Base'!G12,IF(Nonlabor!$I$10="LogGB",'Monthly Base'!H12,IF(Nonlabor!$I$10="RequestsM",'Monthly Base'!F12,IF(Nonlabor!$I$10="InputM",'Monthly Base'!D12*Assumptions!$D$22/1000000,IF(Nonlabor!$I$10="OutputM",'Monthly Base'!D12*Assumptions!$D$23/1000000,0))))))))),0)</f>
        <v>0</v>
      </c>
      <c r="F1572" s="10" t="n">
        <f aca="false">Nonlabor!$J$10*(1+Assumptions!$D$9)^INT((C1572-1)/12)</f>
        <v>0.15</v>
      </c>
      <c r="G1572" s="10" t="n">
        <f aca="false">E1572*F1572</f>
        <v>0</v>
      </c>
      <c r="H1572" s="10" t="n">
        <f aca="false">IF(OR(Nonlabor!$L$10="Quote required",Nonlabor!$L$10="Unverified"),G1572,0)</f>
        <v>0</v>
      </c>
      <c r="I1572" s="10" t="n">
        <f aca="false">IF(Nonlabor!$E$10="Core",0,G1572)</f>
        <v>0</v>
      </c>
      <c r="J1572" s="23" t="str">
        <f aca="false">Nonlabor!$B$10</f>
        <v>INFRA</v>
      </c>
    </row>
    <row r="1573" customFormat="false" ht="15" hidden="false" customHeight="false" outlineLevel="0" collapsed="false">
      <c r="A1573" s="6" t="s">
        <v>4</v>
      </c>
      <c r="B1573" s="6" t="s">
        <v>383</v>
      </c>
      <c r="C1573" s="6" t="n">
        <v>8</v>
      </c>
      <c r="D1573" s="25" t="n">
        <f aca="false">EDATE('Start Here'!$B$6,C1573-1)</f>
        <v>46539</v>
      </c>
      <c r="E1573" s="11" t="n">
        <f aca="false">IF(AND(OR(Nonlabor!$D$10="Both",Nonlabor!$D$10='Start Here'!$B$9),IF(Nonlabor!$E$10="Core",1,IF(Nonlabor!$E$10="AI",'Start Here'!$B$7,'Start Here'!$B$8))=1,C1573&gt;=IF(Nonlabor!$E$10="Core",Nonlabor!$F$10,MAX(Nonlabor!$F$10,IF(Nonlabor!$E$10="AI",Assumptions!$D$24,Assumptions!$D$25))),C1573&lt;=Nonlabor!$G$10,OR(Nonlabor!$H$10="Monthly",AND(Nonlabor!$H$10="Once",C1573=IF(Nonlabor!$E$10="Core",Nonlabor!$F$10,MAX(Nonlabor!$F$10,IF(Nonlabor!$E$10="AI",Assumptions!$D$24,Assumptions!$D$25)))),AND(Nonlabor!$H$10="Annual",MOD(C1573-IF(Nonlabor!$E$10="Core",Nonlabor!$F$10,MAX(Nonlabor!$F$10,IF(Nonlabor!$E$10="AI",Assumptions!$D$24,Assumptions!$D$25))),12)=0))),IF(Nonlabor!$I$10="Fixed",1,IF(Nonlabor!$I$10="Seats",ROUNDUP('Monthly Base'!I13,0),IF(Nonlabor!$I$10="Customers",'Monthly Base'!D13,IF(Nonlabor!$I$10="NewCustomers",'Monthly Base'!C13,IF(Nonlabor!$I$10="StorageGB",'Monthly Base'!G13,IF(Nonlabor!$I$10="LogGB",'Monthly Base'!H13,IF(Nonlabor!$I$10="RequestsM",'Monthly Base'!F13,IF(Nonlabor!$I$10="InputM",'Monthly Base'!D13*Assumptions!$D$22/1000000,IF(Nonlabor!$I$10="OutputM",'Monthly Base'!D13*Assumptions!$D$23/1000000,0))))))))),0)</f>
        <v>0</v>
      </c>
      <c r="F1573" s="10" t="n">
        <f aca="false">Nonlabor!$J$10*(1+Assumptions!$D$9)^INT((C1573-1)/12)</f>
        <v>0.15</v>
      </c>
      <c r="G1573" s="10" t="n">
        <f aca="false">E1573*F1573</f>
        <v>0</v>
      </c>
      <c r="H1573" s="10" t="n">
        <f aca="false">IF(OR(Nonlabor!$L$10="Quote required",Nonlabor!$L$10="Unverified"),G1573,0)</f>
        <v>0</v>
      </c>
      <c r="I1573" s="10" t="n">
        <f aca="false">IF(Nonlabor!$E$10="Core",0,G1573)</f>
        <v>0</v>
      </c>
      <c r="J1573" s="23" t="str">
        <f aca="false">Nonlabor!$B$10</f>
        <v>INFRA</v>
      </c>
    </row>
    <row r="1574" customFormat="false" ht="15" hidden="false" customHeight="false" outlineLevel="0" collapsed="false">
      <c r="A1574" s="6" t="s">
        <v>4</v>
      </c>
      <c r="B1574" s="6" t="s">
        <v>383</v>
      </c>
      <c r="C1574" s="6" t="n">
        <v>9</v>
      </c>
      <c r="D1574" s="25" t="n">
        <f aca="false">EDATE('Start Here'!$B$6,C1574-1)</f>
        <v>46569</v>
      </c>
      <c r="E1574" s="11" t="n">
        <f aca="false">IF(AND(OR(Nonlabor!$D$10="Both",Nonlabor!$D$10='Start Here'!$B$9),IF(Nonlabor!$E$10="Core",1,IF(Nonlabor!$E$10="AI",'Start Here'!$B$7,'Start Here'!$B$8))=1,C1574&gt;=IF(Nonlabor!$E$10="Core",Nonlabor!$F$10,MAX(Nonlabor!$F$10,IF(Nonlabor!$E$10="AI",Assumptions!$D$24,Assumptions!$D$25))),C1574&lt;=Nonlabor!$G$10,OR(Nonlabor!$H$10="Monthly",AND(Nonlabor!$H$10="Once",C1574=IF(Nonlabor!$E$10="Core",Nonlabor!$F$10,MAX(Nonlabor!$F$10,IF(Nonlabor!$E$10="AI",Assumptions!$D$24,Assumptions!$D$25)))),AND(Nonlabor!$H$10="Annual",MOD(C1574-IF(Nonlabor!$E$10="Core",Nonlabor!$F$10,MAX(Nonlabor!$F$10,IF(Nonlabor!$E$10="AI",Assumptions!$D$24,Assumptions!$D$25))),12)=0))),IF(Nonlabor!$I$10="Fixed",1,IF(Nonlabor!$I$10="Seats",ROUNDUP('Monthly Base'!I14,0),IF(Nonlabor!$I$10="Customers",'Monthly Base'!D14,IF(Nonlabor!$I$10="NewCustomers",'Monthly Base'!C14,IF(Nonlabor!$I$10="StorageGB",'Monthly Base'!G14,IF(Nonlabor!$I$10="LogGB",'Monthly Base'!H14,IF(Nonlabor!$I$10="RequestsM",'Monthly Base'!F14,IF(Nonlabor!$I$10="InputM",'Monthly Base'!D14*Assumptions!$D$22/1000000,IF(Nonlabor!$I$10="OutputM",'Monthly Base'!D14*Assumptions!$D$23/1000000,0))))))))),0)</f>
        <v>0</v>
      </c>
      <c r="F1574" s="10" t="n">
        <f aca="false">Nonlabor!$J$10*(1+Assumptions!$D$9)^INT((C1574-1)/12)</f>
        <v>0.15</v>
      </c>
      <c r="G1574" s="10" t="n">
        <f aca="false">E1574*F1574</f>
        <v>0</v>
      </c>
      <c r="H1574" s="10" t="n">
        <f aca="false">IF(OR(Nonlabor!$L$10="Quote required",Nonlabor!$L$10="Unverified"),G1574,0)</f>
        <v>0</v>
      </c>
      <c r="I1574" s="10" t="n">
        <f aca="false">IF(Nonlabor!$E$10="Core",0,G1574)</f>
        <v>0</v>
      </c>
      <c r="J1574" s="23" t="str">
        <f aca="false">Nonlabor!$B$10</f>
        <v>INFRA</v>
      </c>
    </row>
    <row r="1575" customFormat="false" ht="15" hidden="false" customHeight="false" outlineLevel="0" collapsed="false">
      <c r="A1575" s="6" t="s">
        <v>4</v>
      </c>
      <c r="B1575" s="6" t="s">
        <v>383</v>
      </c>
      <c r="C1575" s="6" t="n">
        <v>10</v>
      </c>
      <c r="D1575" s="25" t="n">
        <f aca="false">EDATE('Start Here'!$B$6,C1575-1)</f>
        <v>46600</v>
      </c>
      <c r="E1575" s="11" t="n">
        <f aca="false">IF(AND(OR(Nonlabor!$D$10="Both",Nonlabor!$D$10='Start Here'!$B$9),IF(Nonlabor!$E$10="Core",1,IF(Nonlabor!$E$10="AI",'Start Here'!$B$7,'Start Here'!$B$8))=1,C1575&gt;=IF(Nonlabor!$E$10="Core",Nonlabor!$F$10,MAX(Nonlabor!$F$10,IF(Nonlabor!$E$10="AI",Assumptions!$D$24,Assumptions!$D$25))),C1575&lt;=Nonlabor!$G$10,OR(Nonlabor!$H$10="Monthly",AND(Nonlabor!$H$10="Once",C1575=IF(Nonlabor!$E$10="Core",Nonlabor!$F$10,MAX(Nonlabor!$F$10,IF(Nonlabor!$E$10="AI",Assumptions!$D$24,Assumptions!$D$25)))),AND(Nonlabor!$H$10="Annual",MOD(C1575-IF(Nonlabor!$E$10="Core",Nonlabor!$F$10,MAX(Nonlabor!$F$10,IF(Nonlabor!$E$10="AI",Assumptions!$D$24,Assumptions!$D$25))),12)=0))),IF(Nonlabor!$I$10="Fixed",1,IF(Nonlabor!$I$10="Seats",ROUNDUP('Monthly Base'!I15,0),IF(Nonlabor!$I$10="Customers",'Monthly Base'!D15,IF(Nonlabor!$I$10="NewCustomers",'Monthly Base'!C15,IF(Nonlabor!$I$10="StorageGB",'Monthly Base'!G15,IF(Nonlabor!$I$10="LogGB",'Monthly Base'!H15,IF(Nonlabor!$I$10="RequestsM",'Monthly Base'!F15,IF(Nonlabor!$I$10="InputM",'Monthly Base'!D15*Assumptions!$D$22/1000000,IF(Nonlabor!$I$10="OutputM",'Monthly Base'!D15*Assumptions!$D$23/1000000,0))))))))),0)</f>
        <v>0</v>
      </c>
      <c r="F1575" s="10" t="n">
        <f aca="false">Nonlabor!$J$10*(1+Assumptions!$D$9)^INT((C1575-1)/12)</f>
        <v>0.15</v>
      </c>
      <c r="G1575" s="10" t="n">
        <f aca="false">E1575*F1575</f>
        <v>0</v>
      </c>
      <c r="H1575" s="10" t="n">
        <f aca="false">IF(OR(Nonlabor!$L$10="Quote required",Nonlabor!$L$10="Unverified"),G1575,0)</f>
        <v>0</v>
      </c>
      <c r="I1575" s="10" t="n">
        <f aca="false">IF(Nonlabor!$E$10="Core",0,G1575)</f>
        <v>0</v>
      </c>
      <c r="J1575" s="23" t="str">
        <f aca="false">Nonlabor!$B$10</f>
        <v>INFRA</v>
      </c>
    </row>
    <row r="1576" customFormat="false" ht="15" hidden="false" customHeight="false" outlineLevel="0" collapsed="false">
      <c r="A1576" s="6" t="s">
        <v>4</v>
      </c>
      <c r="B1576" s="6" t="s">
        <v>383</v>
      </c>
      <c r="C1576" s="6" t="n">
        <v>11</v>
      </c>
      <c r="D1576" s="25" t="n">
        <f aca="false">EDATE('Start Here'!$B$6,C1576-1)</f>
        <v>46631</v>
      </c>
      <c r="E1576" s="11" t="n">
        <f aca="false">IF(AND(OR(Nonlabor!$D$10="Both",Nonlabor!$D$10='Start Here'!$B$9),IF(Nonlabor!$E$10="Core",1,IF(Nonlabor!$E$10="AI",'Start Here'!$B$7,'Start Here'!$B$8))=1,C1576&gt;=IF(Nonlabor!$E$10="Core",Nonlabor!$F$10,MAX(Nonlabor!$F$10,IF(Nonlabor!$E$10="AI",Assumptions!$D$24,Assumptions!$D$25))),C1576&lt;=Nonlabor!$G$10,OR(Nonlabor!$H$10="Monthly",AND(Nonlabor!$H$10="Once",C1576=IF(Nonlabor!$E$10="Core",Nonlabor!$F$10,MAX(Nonlabor!$F$10,IF(Nonlabor!$E$10="AI",Assumptions!$D$24,Assumptions!$D$25)))),AND(Nonlabor!$H$10="Annual",MOD(C1576-IF(Nonlabor!$E$10="Core",Nonlabor!$F$10,MAX(Nonlabor!$F$10,IF(Nonlabor!$E$10="AI",Assumptions!$D$24,Assumptions!$D$25))),12)=0))),IF(Nonlabor!$I$10="Fixed",1,IF(Nonlabor!$I$10="Seats",ROUNDUP('Monthly Base'!I16,0),IF(Nonlabor!$I$10="Customers",'Monthly Base'!D16,IF(Nonlabor!$I$10="NewCustomers",'Monthly Base'!C16,IF(Nonlabor!$I$10="StorageGB",'Monthly Base'!G16,IF(Nonlabor!$I$10="LogGB",'Monthly Base'!H16,IF(Nonlabor!$I$10="RequestsM",'Monthly Base'!F16,IF(Nonlabor!$I$10="InputM",'Monthly Base'!D16*Assumptions!$D$22/1000000,IF(Nonlabor!$I$10="OutputM",'Monthly Base'!D16*Assumptions!$D$23/1000000,0))))))))),0)</f>
        <v>0</v>
      </c>
      <c r="F1576" s="10" t="n">
        <f aca="false">Nonlabor!$J$10*(1+Assumptions!$D$9)^INT((C1576-1)/12)</f>
        <v>0.15</v>
      </c>
      <c r="G1576" s="10" t="n">
        <f aca="false">E1576*F1576</f>
        <v>0</v>
      </c>
      <c r="H1576" s="10" t="n">
        <f aca="false">IF(OR(Nonlabor!$L$10="Quote required",Nonlabor!$L$10="Unverified"),G1576,0)</f>
        <v>0</v>
      </c>
      <c r="I1576" s="10" t="n">
        <f aca="false">IF(Nonlabor!$E$10="Core",0,G1576)</f>
        <v>0</v>
      </c>
      <c r="J1576" s="23" t="str">
        <f aca="false">Nonlabor!$B$10</f>
        <v>INFRA</v>
      </c>
    </row>
    <row r="1577" customFormat="false" ht="15" hidden="false" customHeight="false" outlineLevel="0" collapsed="false">
      <c r="A1577" s="6" t="s">
        <v>4</v>
      </c>
      <c r="B1577" s="6" t="s">
        <v>383</v>
      </c>
      <c r="C1577" s="6" t="n">
        <v>12</v>
      </c>
      <c r="D1577" s="25" t="n">
        <f aca="false">EDATE('Start Here'!$B$6,C1577-1)</f>
        <v>46661</v>
      </c>
      <c r="E1577" s="11" t="n">
        <f aca="false">IF(AND(OR(Nonlabor!$D$10="Both",Nonlabor!$D$10='Start Here'!$B$9),IF(Nonlabor!$E$10="Core",1,IF(Nonlabor!$E$10="AI",'Start Here'!$B$7,'Start Here'!$B$8))=1,C1577&gt;=IF(Nonlabor!$E$10="Core",Nonlabor!$F$10,MAX(Nonlabor!$F$10,IF(Nonlabor!$E$10="AI",Assumptions!$D$24,Assumptions!$D$25))),C1577&lt;=Nonlabor!$G$10,OR(Nonlabor!$H$10="Monthly",AND(Nonlabor!$H$10="Once",C1577=IF(Nonlabor!$E$10="Core",Nonlabor!$F$10,MAX(Nonlabor!$F$10,IF(Nonlabor!$E$10="AI",Assumptions!$D$24,Assumptions!$D$25)))),AND(Nonlabor!$H$10="Annual",MOD(C1577-IF(Nonlabor!$E$10="Core",Nonlabor!$F$10,MAX(Nonlabor!$F$10,IF(Nonlabor!$E$10="AI",Assumptions!$D$24,Assumptions!$D$25))),12)=0))),IF(Nonlabor!$I$10="Fixed",1,IF(Nonlabor!$I$10="Seats",ROUNDUP('Monthly Base'!I17,0),IF(Nonlabor!$I$10="Customers",'Monthly Base'!D17,IF(Nonlabor!$I$10="NewCustomers",'Monthly Base'!C17,IF(Nonlabor!$I$10="StorageGB",'Monthly Base'!G17,IF(Nonlabor!$I$10="LogGB",'Monthly Base'!H17,IF(Nonlabor!$I$10="RequestsM",'Monthly Base'!F17,IF(Nonlabor!$I$10="InputM",'Monthly Base'!D17*Assumptions!$D$22/1000000,IF(Nonlabor!$I$10="OutputM",'Monthly Base'!D17*Assumptions!$D$23/1000000,0))))))))),0)</f>
        <v>0</v>
      </c>
      <c r="F1577" s="10" t="n">
        <f aca="false">Nonlabor!$J$10*(1+Assumptions!$D$9)^INT((C1577-1)/12)</f>
        <v>0.15</v>
      </c>
      <c r="G1577" s="10" t="n">
        <f aca="false">E1577*F1577</f>
        <v>0</v>
      </c>
      <c r="H1577" s="10" t="n">
        <f aca="false">IF(OR(Nonlabor!$L$10="Quote required",Nonlabor!$L$10="Unverified"),G1577,0)</f>
        <v>0</v>
      </c>
      <c r="I1577" s="10" t="n">
        <f aca="false">IF(Nonlabor!$E$10="Core",0,G1577)</f>
        <v>0</v>
      </c>
      <c r="J1577" s="23" t="str">
        <f aca="false">Nonlabor!$B$10</f>
        <v>INFRA</v>
      </c>
    </row>
    <row r="1578" customFormat="false" ht="15" hidden="false" customHeight="false" outlineLevel="0" collapsed="false">
      <c r="A1578" s="6" t="s">
        <v>4</v>
      </c>
      <c r="B1578" s="6" t="s">
        <v>383</v>
      </c>
      <c r="C1578" s="6" t="n">
        <v>13</v>
      </c>
      <c r="D1578" s="25" t="n">
        <f aca="false">EDATE('Start Here'!$B$6,C1578-1)</f>
        <v>46692</v>
      </c>
      <c r="E1578" s="11" t="n">
        <f aca="false">IF(AND(OR(Nonlabor!$D$10="Both",Nonlabor!$D$10='Start Here'!$B$9),IF(Nonlabor!$E$10="Core",1,IF(Nonlabor!$E$10="AI",'Start Here'!$B$7,'Start Here'!$B$8))=1,C1578&gt;=IF(Nonlabor!$E$10="Core",Nonlabor!$F$10,MAX(Nonlabor!$F$10,IF(Nonlabor!$E$10="AI",Assumptions!$D$24,Assumptions!$D$25))),C1578&lt;=Nonlabor!$G$10,OR(Nonlabor!$H$10="Monthly",AND(Nonlabor!$H$10="Once",C1578=IF(Nonlabor!$E$10="Core",Nonlabor!$F$10,MAX(Nonlabor!$F$10,IF(Nonlabor!$E$10="AI",Assumptions!$D$24,Assumptions!$D$25)))),AND(Nonlabor!$H$10="Annual",MOD(C1578-IF(Nonlabor!$E$10="Core",Nonlabor!$F$10,MAX(Nonlabor!$F$10,IF(Nonlabor!$E$10="AI",Assumptions!$D$24,Assumptions!$D$25))),12)=0))),IF(Nonlabor!$I$10="Fixed",1,IF(Nonlabor!$I$10="Seats",ROUNDUP('Monthly Base'!I18,0),IF(Nonlabor!$I$10="Customers",'Monthly Base'!D18,IF(Nonlabor!$I$10="NewCustomers",'Monthly Base'!C18,IF(Nonlabor!$I$10="StorageGB",'Monthly Base'!G18,IF(Nonlabor!$I$10="LogGB",'Monthly Base'!H18,IF(Nonlabor!$I$10="RequestsM",'Monthly Base'!F18,IF(Nonlabor!$I$10="InputM",'Monthly Base'!D18*Assumptions!$D$22/1000000,IF(Nonlabor!$I$10="OutputM",'Monthly Base'!D18*Assumptions!$D$23/1000000,0))))))))),0)</f>
        <v>5</v>
      </c>
      <c r="F1578" s="10" t="n">
        <f aca="false">Nonlabor!$J$10*(1+Assumptions!$D$9)^INT((C1578-1)/12)</f>
        <v>0.1545</v>
      </c>
      <c r="G1578" s="10" t="n">
        <f aca="false">E1578*F1578</f>
        <v>0.7725</v>
      </c>
      <c r="H1578" s="10" t="n">
        <f aca="false">IF(OR(Nonlabor!$L$10="Quote required",Nonlabor!$L$10="Unverified"),G1578,0)</f>
        <v>0</v>
      </c>
      <c r="I1578" s="10" t="n">
        <f aca="false">IF(Nonlabor!$E$10="Core",0,G1578)</f>
        <v>0</v>
      </c>
      <c r="J1578" s="23" t="str">
        <f aca="false">Nonlabor!$B$10</f>
        <v>INFRA</v>
      </c>
    </row>
    <row r="1579" customFormat="false" ht="15" hidden="false" customHeight="false" outlineLevel="0" collapsed="false">
      <c r="A1579" s="6" t="s">
        <v>4</v>
      </c>
      <c r="B1579" s="6" t="s">
        <v>383</v>
      </c>
      <c r="C1579" s="6" t="n">
        <v>14</v>
      </c>
      <c r="D1579" s="25" t="n">
        <f aca="false">EDATE('Start Here'!$B$6,C1579-1)</f>
        <v>46722</v>
      </c>
      <c r="E1579" s="11" t="n">
        <f aca="false">IF(AND(OR(Nonlabor!$D$10="Both",Nonlabor!$D$10='Start Here'!$B$9),IF(Nonlabor!$E$10="Core",1,IF(Nonlabor!$E$10="AI",'Start Here'!$B$7,'Start Here'!$B$8))=1,C1579&gt;=IF(Nonlabor!$E$10="Core",Nonlabor!$F$10,MAX(Nonlabor!$F$10,IF(Nonlabor!$E$10="AI",Assumptions!$D$24,Assumptions!$D$25))),C1579&lt;=Nonlabor!$G$10,OR(Nonlabor!$H$10="Monthly",AND(Nonlabor!$H$10="Once",C1579=IF(Nonlabor!$E$10="Core",Nonlabor!$F$10,MAX(Nonlabor!$F$10,IF(Nonlabor!$E$10="AI",Assumptions!$D$24,Assumptions!$D$25)))),AND(Nonlabor!$H$10="Annual",MOD(C1579-IF(Nonlabor!$E$10="Core",Nonlabor!$F$10,MAX(Nonlabor!$F$10,IF(Nonlabor!$E$10="AI",Assumptions!$D$24,Assumptions!$D$25))),12)=0))),IF(Nonlabor!$I$10="Fixed",1,IF(Nonlabor!$I$10="Seats",ROUNDUP('Monthly Base'!I19,0),IF(Nonlabor!$I$10="Customers",'Monthly Base'!D19,IF(Nonlabor!$I$10="NewCustomers",'Monthly Base'!C19,IF(Nonlabor!$I$10="StorageGB",'Monthly Base'!G19,IF(Nonlabor!$I$10="LogGB",'Monthly Base'!H19,IF(Nonlabor!$I$10="RequestsM",'Monthly Base'!F19,IF(Nonlabor!$I$10="InputM",'Monthly Base'!D19*Assumptions!$D$22/1000000,IF(Nonlabor!$I$10="OutputM",'Monthly Base'!D19*Assumptions!$D$23/1000000,0))))))))),0)</f>
        <v>9.95</v>
      </c>
      <c r="F1579" s="10" t="n">
        <f aca="false">Nonlabor!$J$10*(1+Assumptions!$D$9)^INT((C1579-1)/12)</f>
        <v>0.1545</v>
      </c>
      <c r="G1579" s="10" t="n">
        <f aca="false">E1579*F1579</f>
        <v>1.537275</v>
      </c>
      <c r="H1579" s="10" t="n">
        <f aca="false">IF(OR(Nonlabor!$L$10="Quote required",Nonlabor!$L$10="Unverified"),G1579,0)</f>
        <v>0</v>
      </c>
      <c r="I1579" s="10" t="n">
        <f aca="false">IF(Nonlabor!$E$10="Core",0,G1579)</f>
        <v>0</v>
      </c>
      <c r="J1579" s="23" t="str">
        <f aca="false">Nonlabor!$B$10</f>
        <v>INFRA</v>
      </c>
    </row>
    <row r="1580" customFormat="false" ht="15" hidden="false" customHeight="false" outlineLevel="0" collapsed="false">
      <c r="A1580" s="6" t="s">
        <v>4</v>
      </c>
      <c r="B1580" s="6" t="s">
        <v>383</v>
      </c>
      <c r="C1580" s="6" t="n">
        <v>15</v>
      </c>
      <c r="D1580" s="25" t="n">
        <f aca="false">EDATE('Start Here'!$B$6,C1580-1)</f>
        <v>46753</v>
      </c>
      <c r="E1580" s="11" t="n">
        <f aca="false">IF(AND(OR(Nonlabor!$D$10="Both",Nonlabor!$D$10='Start Here'!$B$9),IF(Nonlabor!$E$10="Core",1,IF(Nonlabor!$E$10="AI",'Start Here'!$B$7,'Start Here'!$B$8))=1,C1580&gt;=IF(Nonlabor!$E$10="Core",Nonlabor!$F$10,MAX(Nonlabor!$F$10,IF(Nonlabor!$E$10="AI",Assumptions!$D$24,Assumptions!$D$25))),C1580&lt;=Nonlabor!$G$10,OR(Nonlabor!$H$10="Monthly",AND(Nonlabor!$H$10="Once",C1580=IF(Nonlabor!$E$10="Core",Nonlabor!$F$10,MAX(Nonlabor!$F$10,IF(Nonlabor!$E$10="AI",Assumptions!$D$24,Assumptions!$D$25)))),AND(Nonlabor!$H$10="Annual",MOD(C1580-IF(Nonlabor!$E$10="Core",Nonlabor!$F$10,MAX(Nonlabor!$F$10,IF(Nonlabor!$E$10="AI",Assumptions!$D$24,Assumptions!$D$25))),12)=0))),IF(Nonlabor!$I$10="Fixed",1,IF(Nonlabor!$I$10="Seats",ROUNDUP('Monthly Base'!I20,0),IF(Nonlabor!$I$10="Customers",'Monthly Base'!D20,IF(Nonlabor!$I$10="NewCustomers",'Monthly Base'!C20,IF(Nonlabor!$I$10="StorageGB",'Monthly Base'!G20,IF(Nonlabor!$I$10="LogGB",'Monthly Base'!H20,IF(Nonlabor!$I$10="RequestsM",'Monthly Base'!F20,IF(Nonlabor!$I$10="InputM",'Monthly Base'!D20*Assumptions!$D$22/1000000,IF(Nonlabor!$I$10="OutputM",'Monthly Base'!D20*Assumptions!$D$23/1000000,0))))))))),0)</f>
        <v>14.8505</v>
      </c>
      <c r="F1580" s="10" t="n">
        <f aca="false">Nonlabor!$J$10*(1+Assumptions!$D$9)^INT((C1580-1)/12)</f>
        <v>0.1545</v>
      </c>
      <c r="G1580" s="10" t="n">
        <f aca="false">E1580*F1580</f>
        <v>2.29440225</v>
      </c>
      <c r="H1580" s="10" t="n">
        <f aca="false">IF(OR(Nonlabor!$L$10="Quote required",Nonlabor!$L$10="Unverified"),G1580,0)</f>
        <v>0</v>
      </c>
      <c r="I1580" s="10" t="n">
        <f aca="false">IF(Nonlabor!$E$10="Core",0,G1580)</f>
        <v>0</v>
      </c>
      <c r="J1580" s="23" t="str">
        <f aca="false">Nonlabor!$B$10</f>
        <v>INFRA</v>
      </c>
    </row>
    <row r="1581" customFormat="false" ht="15" hidden="false" customHeight="false" outlineLevel="0" collapsed="false">
      <c r="A1581" s="6" t="s">
        <v>4</v>
      </c>
      <c r="B1581" s="6" t="s">
        <v>383</v>
      </c>
      <c r="C1581" s="6" t="n">
        <v>16</v>
      </c>
      <c r="D1581" s="25" t="n">
        <f aca="false">EDATE('Start Here'!$B$6,C1581-1)</f>
        <v>46784</v>
      </c>
      <c r="E1581" s="11" t="n">
        <f aca="false">IF(AND(OR(Nonlabor!$D$10="Both",Nonlabor!$D$10='Start Here'!$B$9),IF(Nonlabor!$E$10="Core",1,IF(Nonlabor!$E$10="AI",'Start Here'!$B$7,'Start Here'!$B$8))=1,C1581&gt;=IF(Nonlabor!$E$10="Core",Nonlabor!$F$10,MAX(Nonlabor!$F$10,IF(Nonlabor!$E$10="AI",Assumptions!$D$24,Assumptions!$D$25))),C1581&lt;=Nonlabor!$G$10,OR(Nonlabor!$H$10="Monthly",AND(Nonlabor!$H$10="Once",C1581=IF(Nonlabor!$E$10="Core",Nonlabor!$F$10,MAX(Nonlabor!$F$10,IF(Nonlabor!$E$10="AI",Assumptions!$D$24,Assumptions!$D$25)))),AND(Nonlabor!$H$10="Annual",MOD(C1581-IF(Nonlabor!$E$10="Core",Nonlabor!$F$10,MAX(Nonlabor!$F$10,IF(Nonlabor!$E$10="AI",Assumptions!$D$24,Assumptions!$D$25))),12)=0))),IF(Nonlabor!$I$10="Fixed",1,IF(Nonlabor!$I$10="Seats",ROUNDUP('Monthly Base'!I21,0),IF(Nonlabor!$I$10="Customers",'Monthly Base'!D21,IF(Nonlabor!$I$10="NewCustomers",'Monthly Base'!C21,IF(Nonlabor!$I$10="StorageGB",'Monthly Base'!G21,IF(Nonlabor!$I$10="LogGB",'Monthly Base'!H21,IF(Nonlabor!$I$10="RequestsM",'Monthly Base'!F21,IF(Nonlabor!$I$10="InputM",'Monthly Base'!D21*Assumptions!$D$22/1000000,IF(Nonlabor!$I$10="OutputM",'Monthly Base'!D21*Assumptions!$D$23/1000000,0))))))))),0)</f>
        <v>19.701995</v>
      </c>
      <c r="F1581" s="10" t="n">
        <f aca="false">Nonlabor!$J$10*(1+Assumptions!$D$9)^INT((C1581-1)/12)</f>
        <v>0.1545</v>
      </c>
      <c r="G1581" s="10" t="n">
        <f aca="false">E1581*F1581</f>
        <v>3.0439582275</v>
      </c>
      <c r="H1581" s="10" t="n">
        <f aca="false">IF(OR(Nonlabor!$L$10="Quote required",Nonlabor!$L$10="Unverified"),G1581,0)</f>
        <v>0</v>
      </c>
      <c r="I1581" s="10" t="n">
        <f aca="false">IF(Nonlabor!$E$10="Core",0,G1581)</f>
        <v>0</v>
      </c>
      <c r="J1581" s="23" t="str">
        <f aca="false">Nonlabor!$B$10</f>
        <v>INFRA</v>
      </c>
    </row>
    <row r="1582" customFormat="false" ht="15" hidden="false" customHeight="false" outlineLevel="0" collapsed="false">
      <c r="A1582" s="6" t="s">
        <v>4</v>
      </c>
      <c r="B1582" s="6" t="s">
        <v>383</v>
      </c>
      <c r="C1582" s="6" t="n">
        <v>17</v>
      </c>
      <c r="D1582" s="25" t="n">
        <f aca="false">EDATE('Start Here'!$B$6,C1582-1)</f>
        <v>46813</v>
      </c>
      <c r="E1582" s="11" t="n">
        <f aca="false">IF(AND(OR(Nonlabor!$D$10="Both",Nonlabor!$D$10='Start Here'!$B$9),IF(Nonlabor!$E$10="Core",1,IF(Nonlabor!$E$10="AI",'Start Here'!$B$7,'Start Here'!$B$8))=1,C1582&gt;=IF(Nonlabor!$E$10="Core",Nonlabor!$F$10,MAX(Nonlabor!$F$10,IF(Nonlabor!$E$10="AI",Assumptions!$D$24,Assumptions!$D$25))),C1582&lt;=Nonlabor!$G$10,OR(Nonlabor!$H$10="Monthly",AND(Nonlabor!$H$10="Once",C1582=IF(Nonlabor!$E$10="Core",Nonlabor!$F$10,MAX(Nonlabor!$F$10,IF(Nonlabor!$E$10="AI",Assumptions!$D$24,Assumptions!$D$25)))),AND(Nonlabor!$H$10="Annual",MOD(C1582-IF(Nonlabor!$E$10="Core",Nonlabor!$F$10,MAX(Nonlabor!$F$10,IF(Nonlabor!$E$10="AI",Assumptions!$D$24,Assumptions!$D$25))),12)=0))),IF(Nonlabor!$I$10="Fixed",1,IF(Nonlabor!$I$10="Seats",ROUNDUP('Monthly Base'!I22,0),IF(Nonlabor!$I$10="Customers",'Monthly Base'!D22,IF(Nonlabor!$I$10="NewCustomers",'Monthly Base'!C22,IF(Nonlabor!$I$10="StorageGB",'Monthly Base'!G22,IF(Nonlabor!$I$10="LogGB",'Monthly Base'!H22,IF(Nonlabor!$I$10="RequestsM",'Monthly Base'!F22,IF(Nonlabor!$I$10="InputM",'Monthly Base'!D22*Assumptions!$D$22/1000000,IF(Nonlabor!$I$10="OutputM",'Monthly Base'!D22*Assumptions!$D$23/1000000,0))))))))),0)</f>
        <v>24.50497505</v>
      </c>
      <c r="F1582" s="10" t="n">
        <f aca="false">Nonlabor!$J$10*(1+Assumptions!$D$9)^INT((C1582-1)/12)</f>
        <v>0.1545</v>
      </c>
      <c r="G1582" s="10" t="n">
        <f aca="false">E1582*F1582</f>
        <v>3.786018645225</v>
      </c>
      <c r="H1582" s="10" t="n">
        <f aca="false">IF(OR(Nonlabor!$L$10="Quote required",Nonlabor!$L$10="Unverified"),G1582,0)</f>
        <v>0</v>
      </c>
      <c r="I1582" s="10" t="n">
        <f aca="false">IF(Nonlabor!$E$10="Core",0,G1582)</f>
        <v>0</v>
      </c>
      <c r="J1582" s="23" t="str">
        <f aca="false">Nonlabor!$B$10</f>
        <v>INFRA</v>
      </c>
    </row>
    <row r="1583" customFormat="false" ht="15" hidden="false" customHeight="false" outlineLevel="0" collapsed="false">
      <c r="A1583" s="6" t="s">
        <v>4</v>
      </c>
      <c r="B1583" s="6" t="s">
        <v>383</v>
      </c>
      <c r="C1583" s="6" t="n">
        <v>18</v>
      </c>
      <c r="D1583" s="25" t="n">
        <f aca="false">EDATE('Start Here'!$B$6,C1583-1)</f>
        <v>46844</v>
      </c>
      <c r="E1583" s="11" t="n">
        <f aca="false">IF(AND(OR(Nonlabor!$D$10="Both",Nonlabor!$D$10='Start Here'!$B$9),IF(Nonlabor!$E$10="Core",1,IF(Nonlabor!$E$10="AI",'Start Here'!$B$7,'Start Here'!$B$8))=1,C1583&gt;=IF(Nonlabor!$E$10="Core",Nonlabor!$F$10,MAX(Nonlabor!$F$10,IF(Nonlabor!$E$10="AI",Assumptions!$D$24,Assumptions!$D$25))),C1583&lt;=Nonlabor!$G$10,OR(Nonlabor!$H$10="Monthly",AND(Nonlabor!$H$10="Once",C1583=IF(Nonlabor!$E$10="Core",Nonlabor!$F$10,MAX(Nonlabor!$F$10,IF(Nonlabor!$E$10="AI",Assumptions!$D$24,Assumptions!$D$25)))),AND(Nonlabor!$H$10="Annual",MOD(C1583-IF(Nonlabor!$E$10="Core",Nonlabor!$F$10,MAX(Nonlabor!$F$10,IF(Nonlabor!$E$10="AI",Assumptions!$D$24,Assumptions!$D$25))),12)=0))),IF(Nonlabor!$I$10="Fixed",1,IF(Nonlabor!$I$10="Seats",ROUNDUP('Monthly Base'!I23,0),IF(Nonlabor!$I$10="Customers",'Monthly Base'!D23,IF(Nonlabor!$I$10="NewCustomers",'Monthly Base'!C23,IF(Nonlabor!$I$10="StorageGB",'Monthly Base'!G23,IF(Nonlabor!$I$10="LogGB",'Monthly Base'!H23,IF(Nonlabor!$I$10="RequestsM",'Monthly Base'!F23,IF(Nonlabor!$I$10="InputM",'Monthly Base'!D23*Assumptions!$D$22/1000000,IF(Nonlabor!$I$10="OutputM",'Monthly Base'!D23*Assumptions!$D$23/1000000,0))))))))),0)</f>
        <v>29.2599252995</v>
      </c>
      <c r="F1583" s="10" t="n">
        <f aca="false">Nonlabor!$J$10*(1+Assumptions!$D$9)^INT((C1583-1)/12)</f>
        <v>0.1545</v>
      </c>
      <c r="G1583" s="10" t="n">
        <f aca="false">E1583*F1583</f>
        <v>4.52065845877275</v>
      </c>
      <c r="H1583" s="10" t="n">
        <f aca="false">IF(OR(Nonlabor!$L$10="Quote required",Nonlabor!$L$10="Unverified"),G1583,0)</f>
        <v>0</v>
      </c>
      <c r="I1583" s="10" t="n">
        <f aca="false">IF(Nonlabor!$E$10="Core",0,G1583)</f>
        <v>0</v>
      </c>
      <c r="J1583" s="23" t="str">
        <f aca="false">Nonlabor!$B$10</f>
        <v>INFRA</v>
      </c>
    </row>
    <row r="1584" customFormat="false" ht="15" hidden="false" customHeight="false" outlineLevel="0" collapsed="false">
      <c r="A1584" s="6" t="s">
        <v>4</v>
      </c>
      <c r="B1584" s="6" t="s">
        <v>383</v>
      </c>
      <c r="C1584" s="6" t="n">
        <v>19</v>
      </c>
      <c r="D1584" s="25" t="n">
        <f aca="false">EDATE('Start Here'!$B$6,C1584-1)</f>
        <v>46874</v>
      </c>
      <c r="E1584" s="11" t="n">
        <f aca="false">IF(AND(OR(Nonlabor!$D$10="Both",Nonlabor!$D$10='Start Here'!$B$9),IF(Nonlabor!$E$10="Core",1,IF(Nonlabor!$E$10="AI",'Start Here'!$B$7,'Start Here'!$B$8))=1,C1584&gt;=IF(Nonlabor!$E$10="Core",Nonlabor!$F$10,MAX(Nonlabor!$F$10,IF(Nonlabor!$E$10="AI",Assumptions!$D$24,Assumptions!$D$25))),C1584&lt;=Nonlabor!$G$10,OR(Nonlabor!$H$10="Monthly",AND(Nonlabor!$H$10="Once",C1584=IF(Nonlabor!$E$10="Core",Nonlabor!$F$10,MAX(Nonlabor!$F$10,IF(Nonlabor!$E$10="AI",Assumptions!$D$24,Assumptions!$D$25)))),AND(Nonlabor!$H$10="Annual",MOD(C1584-IF(Nonlabor!$E$10="Core",Nonlabor!$F$10,MAX(Nonlabor!$F$10,IF(Nonlabor!$E$10="AI",Assumptions!$D$24,Assumptions!$D$25))),12)=0))),IF(Nonlabor!$I$10="Fixed",1,IF(Nonlabor!$I$10="Seats",ROUNDUP('Monthly Base'!I24,0),IF(Nonlabor!$I$10="Customers",'Monthly Base'!D24,IF(Nonlabor!$I$10="NewCustomers",'Monthly Base'!C24,IF(Nonlabor!$I$10="StorageGB",'Monthly Base'!G24,IF(Nonlabor!$I$10="LogGB",'Monthly Base'!H24,IF(Nonlabor!$I$10="RequestsM",'Monthly Base'!F24,IF(Nonlabor!$I$10="InputM",'Monthly Base'!D24*Assumptions!$D$22/1000000,IF(Nonlabor!$I$10="OutputM",'Monthly Base'!D24*Assumptions!$D$23/1000000,0))))))))),0)</f>
        <v>33.967326046505</v>
      </c>
      <c r="F1584" s="10" t="n">
        <f aca="false">Nonlabor!$J$10*(1+Assumptions!$D$9)^INT((C1584-1)/12)</f>
        <v>0.1545</v>
      </c>
      <c r="G1584" s="10" t="n">
        <f aca="false">E1584*F1584</f>
        <v>5.24795187418502</v>
      </c>
      <c r="H1584" s="10" t="n">
        <f aca="false">IF(OR(Nonlabor!$L$10="Quote required",Nonlabor!$L$10="Unverified"),G1584,0)</f>
        <v>0</v>
      </c>
      <c r="I1584" s="10" t="n">
        <f aca="false">IF(Nonlabor!$E$10="Core",0,G1584)</f>
        <v>0</v>
      </c>
      <c r="J1584" s="23" t="str">
        <f aca="false">Nonlabor!$B$10</f>
        <v>INFRA</v>
      </c>
    </row>
    <row r="1585" customFormat="false" ht="15" hidden="false" customHeight="false" outlineLevel="0" collapsed="false">
      <c r="A1585" s="6" t="s">
        <v>4</v>
      </c>
      <c r="B1585" s="6" t="s">
        <v>383</v>
      </c>
      <c r="C1585" s="6" t="n">
        <v>20</v>
      </c>
      <c r="D1585" s="25" t="n">
        <f aca="false">EDATE('Start Here'!$B$6,C1585-1)</f>
        <v>46905</v>
      </c>
      <c r="E1585" s="11" t="n">
        <f aca="false">IF(AND(OR(Nonlabor!$D$10="Both",Nonlabor!$D$10='Start Here'!$B$9),IF(Nonlabor!$E$10="Core",1,IF(Nonlabor!$E$10="AI",'Start Here'!$B$7,'Start Here'!$B$8))=1,C1585&gt;=IF(Nonlabor!$E$10="Core",Nonlabor!$F$10,MAX(Nonlabor!$F$10,IF(Nonlabor!$E$10="AI",Assumptions!$D$24,Assumptions!$D$25))),C1585&lt;=Nonlabor!$G$10,OR(Nonlabor!$H$10="Monthly",AND(Nonlabor!$H$10="Once",C1585=IF(Nonlabor!$E$10="Core",Nonlabor!$F$10,MAX(Nonlabor!$F$10,IF(Nonlabor!$E$10="AI",Assumptions!$D$24,Assumptions!$D$25)))),AND(Nonlabor!$H$10="Annual",MOD(C1585-IF(Nonlabor!$E$10="Core",Nonlabor!$F$10,MAX(Nonlabor!$F$10,IF(Nonlabor!$E$10="AI",Assumptions!$D$24,Assumptions!$D$25))),12)=0))),IF(Nonlabor!$I$10="Fixed",1,IF(Nonlabor!$I$10="Seats",ROUNDUP('Monthly Base'!I25,0),IF(Nonlabor!$I$10="Customers",'Monthly Base'!D25,IF(Nonlabor!$I$10="NewCustomers",'Monthly Base'!C25,IF(Nonlabor!$I$10="StorageGB",'Monthly Base'!G25,IF(Nonlabor!$I$10="LogGB",'Monthly Base'!H25,IF(Nonlabor!$I$10="RequestsM",'Monthly Base'!F25,IF(Nonlabor!$I$10="InputM",'Monthly Base'!D25*Assumptions!$D$22/1000000,IF(Nonlabor!$I$10="OutputM",'Monthly Base'!D25*Assumptions!$D$23/1000000,0))))))))),0)</f>
        <v>38.62765278604</v>
      </c>
      <c r="F1585" s="10" t="n">
        <f aca="false">Nonlabor!$J$10*(1+Assumptions!$D$9)^INT((C1585-1)/12)</f>
        <v>0.1545</v>
      </c>
      <c r="G1585" s="10" t="n">
        <f aca="false">E1585*F1585</f>
        <v>5.96797235544317</v>
      </c>
      <c r="H1585" s="10" t="n">
        <f aca="false">IF(OR(Nonlabor!$L$10="Quote required",Nonlabor!$L$10="Unverified"),G1585,0)</f>
        <v>0</v>
      </c>
      <c r="I1585" s="10" t="n">
        <f aca="false">IF(Nonlabor!$E$10="Core",0,G1585)</f>
        <v>0</v>
      </c>
      <c r="J1585" s="23" t="str">
        <f aca="false">Nonlabor!$B$10</f>
        <v>INFRA</v>
      </c>
    </row>
    <row r="1586" customFormat="false" ht="15" hidden="false" customHeight="false" outlineLevel="0" collapsed="false">
      <c r="A1586" s="6" t="s">
        <v>4</v>
      </c>
      <c r="B1586" s="6" t="s">
        <v>383</v>
      </c>
      <c r="C1586" s="6" t="n">
        <v>21</v>
      </c>
      <c r="D1586" s="25" t="n">
        <f aca="false">EDATE('Start Here'!$B$6,C1586-1)</f>
        <v>46935</v>
      </c>
      <c r="E1586" s="11" t="n">
        <f aca="false">IF(AND(OR(Nonlabor!$D$10="Both",Nonlabor!$D$10='Start Here'!$B$9),IF(Nonlabor!$E$10="Core",1,IF(Nonlabor!$E$10="AI",'Start Here'!$B$7,'Start Here'!$B$8))=1,C1586&gt;=IF(Nonlabor!$E$10="Core",Nonlabor!$F$10,MAX(Nonlabor!$F$10,IF(Nonlabor!$E$10="AI",Assumptions!$D$24,Assumptions!$D$25))),C1586&lt;=Nonlabor!$G$10,OR(Nonlabor!$H$10="Monthly",AND(Nonlabor!$H$10="Once",C1586=IF(Nonlabor!$E$10="Core",Nonlabor!$F$10,MAX(Nonlabor!$F$10,IF(Nonlabor!$E$10="AI",Assumptions!$D$24,Assumptions!$D$25)))),AND(Nonlabor!$H$10="Annual",MOD(C1586-IF(Nonlabor!$E$10="Core",Nonlabor!$F$10,MAX(Nonlabor!$F$10,IF(Nonlabor!$E$10="AI",Assumptions!$D$24,Assumptions!$D$25))),12)=0))),IF(Nonlabor!$I$10="Fixed",1,IF(Nonlabor!$I$10="Seats",ROUNDUP('Monthly Base'!I26,0),IF(Nonlabor!$I$10="Customers",'Monthly Base'!D26,IF(Nonlabor!$I$10="NewCustomers",'Monthly Base'!C26,IF(Nonlabor!$I$10="StorageGB",'Monthly Base'!G26,IF(Nonlabor!$I$10="LogGB",'Monthly Base'!H26,IF(Nonlabor!$I$10="RequestsM",'Monthly Base'!F26,IF(Nonlabor!$I$10="InputM",'Monthly Base'!D26*Assumptions!$D$22/1000000,IF(Nonlabor!$I$10="OutputM",'Monthly Base'!D26*Assumptions!$D$23/1000000,0))))))))),0)</f>
        <v>43.2413762581796</v>
      </c>
      <c r="F1586" s="10" t="n">
        <f aca="false">Nonlabor!$J$10*(1+Assumptions!$D$9)^INT((C1586-1)/12)</f>
        <v>0.1545</v>
      </c>
      <c r="G1586" s="10" t="n">
        <f aca="false">E1586*F1586</f>
        <v>6.68079263188874</v>
      </c>
      <c r="H1586" s="10" t="n">
        <f aca="false">IF(OR(Nonlabor!$L$10="Quote required",Nonlabor!$L$10="Unverified"),G1586,0)</f>
        <v>0</v>
      </c>
      <c r="I1586" s="10" t="n">
        <f aca="false">IF(Nonlabor!$E$10="Core",0,G1586)</f>
        <v>0</v>
      </c>
      <c r="J1586" s="23" t="str">
        <f aca="false">Nonlabor!$B$10</f>
        <v>INFRA</v>
      </c>
    </row>
    <row r="1587" customFormat="false" ht="15" hidden="false" customHeight="false" outlineLevel="0" collapsed="false">
      <c r="A1587" s="6" t="s">
        <v>4</v>
      </c>
      <c r="B1587" s="6" t="s">
        <v>383</v>
      </c>
      <c r="C1587" s="6" t="n">
        <v>22</v>
      </c>
      <c r="D1587" s="25" t="n">
        <f aca="false">EDATE('Start Here'!$B$6,C1587-1)</f>
        <v>46966</v>
      </c>
      <c r="E1587" s="11" t="n">
        <f aca="false">IF(AND(OR(Nonlabor!$D$10="Both",Nonlabor!$D$10='Start Here'!$B$9),IF(Nonlabor!$E$10="Core",1,IF(Nonlabor!$E$10="AI",'Start Here'!$B$7,'Start Here'!$B$8))=1,C1587&gt;=IF(Nonlabor!$E$10="Core",Nonlabor!$F$10,MAX(Nonlabor!$F$10,IF(Nonlabor!$E$10="AI",Assumptions!$D$24,Assumptions!$D$25))),C1587&lt;=Nonlabor!$G$10,OR(Nonlabor!$H$10="Monthly",AND(Nonlabor!$H$10="Once",C1587=IF(Nonlabor!$E$10="Core",Nonlabor!$F$10,MAX(Nonlabor!$F$10,IF(Nonlabor!$E$10="AI",Assumptions!$D$24,Assumptions!$D$25)))),AND(Nonlabor!$H$10="Annual",MOD(C1587-IF(Nonlabor!$E$10="Core",Nonlabor!$F$10,MAX(Nonlabor!$F$10,IF(Nonlabor!$E$10="AI",Assumptions!$D$24,Assumptions!$D$25))),12)=0))),IF(Nonlabor!$I$10="Fixed",1,IF(Nonlabor!$I$10="Seats",ROUNDUP('Monthly Base'!I27,0),IF(Nonlabor!$I$10="Customers",'Monthly Base'!D27,IF(Nonlabor!$I$10="NewCustomers",'Monthly Base'!C27,IF(Nonlabor!$I$10="StorageGB",'Monthly Base'!G27,IF(Nonlabor!$I$10="LogGB",'Monthly Base'!H27,IF(Nonlabor!$I$10="RequestsM",'Monthly Base'!F27,IF(Nonlabor!$I$10="InputM",'Monthly Base'!D27*Assumptions!$D$22/1000000,IF(Nonlabor!$I$10="OutputM",'Monthly Base'!D27*Assumptions!$D$23/1000000,0))))))))),0)</f>
        <v>47.8089624955978</v>
      </c>
      <c r="F1587" s="10" t="n">
        <f aca="false">Nonlabor!$J$10*(1+Assumptions!$D$9)^INT((C1587-1)/12)</f>
        <v>0.1545</v>
      </c>
      <c r="G1587" s="10" t="n">
        <f aca="false">E1587*F1587</f>
        <v>7.38648470556985</v>
      </c>
      <c r="H1587" s="10" t="n">
        <f aca="false">IF(OR(Nonlabor!$L$10="Quote required",Nonlabor!$L$10="Unverified"),G1587,0)</f>
        <v>0</v>
      </c>
      <c r="I1587" s="10" t="n">
        <f aca="false">IF(Nonlabor!$E$10="Core",0,G1587)</f>
        <v>0</v>
      </c>
      <c r="J1587" s="23" t="str">
        <f aca="false">Nonlabor!$B$10</f>
        <v>INFRA</v>
      </c>
    </row>
    <row r="1588" customFormat="false" ht="15" hidden="false" customHeight="false" outlineLevel="0" collapsed="false">
      <c r="A1588" s="6" t="s">
        <v>4</v>
      </c>
      <c r="B1588" s="6" t="s">
        <v>383</v>
      </c>
      <c r="C1588" s="6" t="n">
        <v>23</v>
      </c>
      <c r="D1588" s="25" t="n">
        <f aca="false">EDATE('Start Here'!$B$6,C1588-1)</f>
        <v>46997</v>
      </c>
      <c r="E1588" s="11" t="n">
        <f aca="false">IF(AND(OR(Nonlabor!$D$10="Both",Nonlabor!$D$10='Start Here'!$B$9),IF(Nonlabor!$E$10="Core",1,IF(Nonlabor!$E$10="AI",'Start Here'!$B$7,'Start Here'!$B$8))=1,C1588&gt;=IF(Nonlabor!$E$10="Core",Nonlabor!$F$10,MAX(Nonlabor!$F$10,IF(Nonlabor!$E$10="AI",Assumptions!$D$24,Assumptions!$D$25))),C1588&lt;=Nonlabor!$G$10,OR(Nonlabor!$H$10="Monthly",AND(Nonlabor!$H$10="Once",C1588=IF(Nonlabor!$E$10="Core",Nonlabor!$F$10,MAX(Nonlabor!$F$10,IF(Nonlabor!$E$10="AI",Assumptions!$D$24,Assumptions!$D$25)))),AND(Nonlabor!$H$10="Annual",MOD(C1588-IF(Nonlabor!$E$10="Core",Nonlabor!$F$10,MAX(Nonlabor!$F$10,IF(Nonlabor!$E$10="AI",Assumptions!$D$24,Assumptions!$D$25))),12)=0))),IF(Nonlabor!$I$10="Fixed",1,IF(Nonlabor!$I$10="Seats",ROUNDUP('Monthly Base'!I28,0),IF(Nonlabor!$I$10="Customers",'Monthly Base'!D28,IF(Nonlabor!$I$10="NewCustomers",'Monthly Base'!C28,IF(Nonlabor!$I$10="StorageGB",'Monthly Base'!G28,IF(Nonlabor!$I$10="LogGB",'Monthly Base'!H28,IF(Nonlabor!$I$10="RequestsM",'Monthly Base'!F28,IF(Nonlabor!$I$10="InputM",'Monthly Base'!D28*Assumptions!$D$22/1000000,IF(Nonlabor!$I$10="OutputM",'Monthly Base'!D28*Assumptions!$D$23/1000000,0))))))))),0)</f>
        <v>52.3308728706418</v>
      </c>
      <c r="F1588" s="10" t="n">
        <f aca="false">Nonlabor!$J$10*(1+Assumptions!$D$9)^INT((C1588-1)/12)</f>
        <v>0.1545</v>
      </c>
      <c r="G1588" s="10" t="n">
        <f aca="false">E1588*F1588</f>
        <v>8.08511985851416</v>
      </c>
      <c r="H1588" s="10" t="n">
        <f aca="false">IF(OR(Nonlabor!$L$10="Quote required",Nonlabor!$L$10="Unverified"),G1588,0)</f>
        <v>0</v>
      </c>
      <c r="I1588" s="10" t="n">
        <f aca="false">IF(Nonlabor!$E$10="Core",0,G1588)</f>
        <v>0</v>
      </c>
      <c r="J1588" s="23" t="str">
        <f aca="false">Nonlabor!$B$10</f>
        <v>INFRA</v>
      </c>
    </row>
    <row r="1589" customFormat="false" ht="15" hidden="false" customHeight="false" outlineLevel="0" collapsed="false">
      <c r="A1589" s="6" t="s">
        <v>4</v>
      </c>
      <c r="B1589" s="6" t="s">
        <v>383</v>
      </c>
      <c r="C1589" s="6" t="n">
        <v>24</v>
      </c>
      <c r="D1589" s="25" t="n">
        <f aca="false">EDATE('Start Here'!$B$6,C1589-1)</f>
        <v>47027</v>
      </c>
      <c r="E1589" s="11" t="n">
        <f aca="false">IF(AND(OR(Nonlabor!$D$10="Both",Nonlabor!$D$10='Start Here'!$B$9),IF(Nonlabor!$E$10="Core",1,IF(Nonlabor!$E$10="AI",'Start Here'!$B$7,'Start Here'!$B$8))=1,C1589&gt;=IF(Nonlabor!$E$10="Core",Nonlabor!$F$10,MAX(Nonlabor!$F$10,IF(Nonlabor!$E$10="AI",Assumptions!$D$24,Assumptions!$D$25))),C1589&lt;=Nonlabor!$G$10,OR(Nonlabor!$H$10="Monthly",AND(Nonlabor!$H$10="Once",C1589=IF(Nonlabor!$E$10="Core",Nonlabor!$F$10,MAX(Nonlabor!$F$10,IF(Nonlabor!$E$10="AI",Assumptions!$D$24,Assumptions!$D$25)))),AND(Nonlabor!$H$10="Annual",MOD(C1589-IF(Nonlabor!$E$10="Core",Nonlabor!$F$10,MAX(Nonlabor!$F$10,IF(Nonlabor!$E$10="AI",Assumptions!$D$24,Assumptions!$D$25))),12)=0))),IF(Nonlabor!$I$10="Fixed",1,IF(Nonlabor!$I$10="Seats",ROUNDUP('Monthly Base'!I29,0),IF(Nonlabor!$I$10="Customers",'Monthly Base'!D29,IF(Nonlabor!$I$10="NewCustomers",'Monthly Base'!C29,IF(Nonlabor!$I$10="StorageGB",'Monthly Base'!G29,IF(Nonlabor!$I$10="LogGB",'Monthly Base'!H29,IF(Nonlabor!$I$10="RequestsM",'Monthly Base'!F29,IF(Nonlabor!$I$10="InputM",'Monthly Base'!D29*Assumptions!$D$22/1000000,IF(Nonlabor!$I$10="OutputM",'Monthly Base'!D29*Assumptions!$D$23/1000000,0))))))))),0)</f>
        <v>56.8075641419354</v>
      </c>
      <c r="F1589" s="10" t="n">
        <f aca="false">Nonlabor!$J$10*(1+Assumptions!$D$9)^INT((C1589-1)/12)</f>
        <v>0.1545</v>
      </c>
      <c r="G1589" s="10" t="n">
        <f aca="false">E1589*F1589</f>
        <v>8.77676865992901</v>
      </c>
      <c r="H1589" s="10" t="n">
        <f aca="false">IF(OR(Nonlabor!$L$10="Quote required",Nonlabor!$L$10="Unverified"),G1589,0)</f>
        <v>0</v>
      </c>
      <c r="I1589" s="10" t="n">
        <f aca="false">IF(Nonlabor!$E$10="Core",0,G1589)</f>
        <v>0</v>
      </c>
      <c r="J1589" s="23" t="str">
        <f aca="false">Nonlabor!$B$10</f>
        <v>INFRA</v>
      </c>
    </row>
    <row r="1590" customFormat="false" ht="15" hidden="false" customHeight="false" outlineLevel="0" collapsed="false">
      <c r="A1590" s="6" t="s">
        <v>4</v>
      </c>
      <c r="B1590" s="6" t="s">
        <v>383</v>
      </c>
      <c r="C1590" s="6" t="n">
        <v>25</v>
      </c>
      <c r="D1590" s="25" t="n">
        <f aca="false">EDATE('Start Here'!$B$6,C1590-1)</f>
        <v>47058</v>
      </c>
      <c r="E1590" s="11" t="n">
        <f aca="false">IF(AND(OR(Nonlabor!$D$10="Both",Nonlabor!$D$10='Start Here'!$B$9),IF(Nonlabor!$E$10="Core",1,IF(Nonlabor!$E$10="AI",'Start Here'!$B$7,'Start Here'!$B$8))=1,C1590&gt;=IF(Nonlabor!$E$10="Core",Nonlabor!$F$10,MAX(Nonlabor!$F$10,IF(Nonlabor!$E$10="AI",Assumptions!$D$24,Assumptions!$D$25))),C1590&lt;=Nonlabor!$G$10,OR(Nonlabor!$H$10="Monthly",AND(Nonlabor!$H$10="Once",C1590=IF(Nonlabor!$E$10="Core",Nonlabor!$F$10,MAX(Nonlabor!$F$10,IF(Nonlabor!$E$10="AI",Assumptions!$D$24,Assumptions!$D$25)))),AND(Nonlabor!$H$10="Annual",MOD(C1590-IF(Nonlabor!$E$10="Core",Nonlabor!$F$10,MAX(Nonlabor!$F$10,IF(Nonlabor!$E$10="AI",Assumptions!$D$24,Assumptions!$D$25))),12)=0))),IF(Nonlabor!$I$10="Fixed",1,IF(Nonlabor!$I$10="Seats",ROUNDUP('Monthly Base'!I30,0),IF(Nonlabor!$I$10="Customers",'Monthly Base'!D30,IF(Nonlabor!$I$10="NewCustomers",'Monthly Base'!C30,IF(Nonlabor!$I$10="StorageGB",'Monthly Base'!G30,IF(Nonlabor!$I$10="LogGB",'Monthly Base'!H30,IF(Nonlabor!$I$10="RequestsM",'Monthly Base'!F30,IF(Nonlabor!$I$10="InputM",'Monthly Base'!D30*Assumptions!$D$22/1000000,IF(Nonlabor!$I$10="OutputM",'Monthly Base'!D30*Assumptions!$D$23/1000000,0))))))))),0)</f>
        <v>63.739488500516</v>
      </c>
      <c r="F1590" s="10" t="n">
        <f aca="false">Nonlabor!$J$10*(1+Assumptions!$D$9)^INT((C1590-1)/12)</f>
        <v>0.159135</v>
      </c>
      <c r="G1590" s="10" t="n">
        <f aca="false">E1590*F1590</f>
        <v>10.1431835025296</v>
      </c>
      <c r="H1590" s="10" t="n">
        <f aca="false">IF(OR(Nonlabor!$L$10="Quote required",Nonlabor!$L$10="Unverified"),G1590,0)</f>
        <v>0</v>
      </c>
      <c r="I1590" s="10" t="n">
        <f aca="false">IF(Nonlabor!$E$10="Core",0,G1590)</f>
        <v>0</v>
      </c>
      <c r="J1590" s="23" t="str">
        <f aca="false">Nonlabor!$B$10</f>
        <v>INFRA</v>
      </c>
    </row>
    <row r="1591" customFormat="false" ht="15" hidden="false" customHeight="false" outlineLevel="0" collapsed="false">
      <c r="A1591" s="6" t="s">
        <v>4</v>
      </c>
      <c r="B1591" s="6" t="s">
        <v>383</v>
      </c>
      <c r="C1591" s="6" t="n">
        <v>26</v>
      </c>
      <c r="D1591" s="25" t="n">
        <f aca="false">EDATE('Start Here'!$B$6,C1591-1)</f>
        <v>47088</v>
      </c>
      <c r="E1591" s="11" t="n">
        <f aca="false">IF(AND(OR(Nonlabor!$D$10="Both",Nonlabor!$D$10='Start Here'!$B$9),IF(Nonlabor!$E$10="Core",1,IF(Nonlabor!$E$10="AI",'Start Here'!$B$7,'Start Here'!$B$8))=1,C1591&gt;=IF(Nonlabor!$E$10="Core",Nonlabor!$F$10,MAX(Nonlabor!$F$10,IF(Nonlabor!$E$10="AI",Assumptions!$D$24,Assumptions!$D$25))),C1591&lt;=Nonlabor!$G$10,OR(Nonlabor!$H$10="Monthly",AND(Nonlabor!$H$10="Once",C1591=IF(Nonlabor!$E$10="Core",Nonlabor!$F$10,MAX(Nonlabor!$F$10,IF(Nonlabor!$E$10="AI",Assumptions!$D$24,Assumptions!$D$25)))),AND(Nonlabor!$H$10="Annual",MOD(C1591-IF(Nonlabor!$E$10="Core",Nonlabor!$F$10,MAX(Nonlabor!$F$10,IF(Nonlabor!$E$10="AI",Assumptions!$D$24,Assumptions!$D$25))),12)=0))),IF(Nonlabor!$I$10="Fixed",1,IF(Nonlabor!$I$10="Seats",ROUNDUP('Monthly Base'!I31,0),IF(Nonlabor!$I$10="Customers",'Monthly Base'!D31,IF(Nonlabor!$I$10="NewCustomers",'Monthly Base'!C31,IF(Nonlabor!$I$10="StorageGB",'Monthly Base'!G31,IF(Nonlabor!$I$10="LogGB",'Monthly Base'!H31,IF(Nonlabor!$I$10="RequestsM",'Monthly Base'!F31,IF(Nonlabor!$I$10="InputM",'Monthly Base'!D31*Assumptions!$D$22/1000000,IF(Nonlabor!$I$10="OutputM",'Monthly Base'!D31*Assumptions!$D$23/1000000,0))))))))),0)</f>
        <v>70.6020936155109</v>
      </c>
      <c r="F1591" s="10" t="n">
        <f aca="false">Nonlabor!$J$10*(1+Assumptions!$D$9)^INT((C1591-1)/12)</f>
        <v>0.159135</v>
      </c>
      <c r="G1591" s="10" t="n">
        <f aca="false">E1591*F1591</f>
        <v>11.2352641675043</v>
      </c>
      <c r="H1591" s="10" t="n">
        <f aca="false">IF(OR(Nonlabor!$L$10="Quote required",Nonlabor!$L$10="Unverified"),G1591,0)</f>
        <v>0</v>
      </c>
      <c r="I1591" s="10" t="n">
        <f aca="false">IF(Nonlabor!$E$10="Core",0,G1591)</f>
        <v>0</v>
      </c>
      <c r="J1591" s="23" t="str">
        <f aca="false">Nonlabor!$B$10</f>
        <v>INFRA</v>
      </c>
    </row>
    <row r="1592" customFormat="false" ht="15" hidden="false" customHeight="false" outlineLevel="0" collapsed="false">
      <c r="A1592" s="6" t="s">
        <v>4</v>
      </c>
      <c r="B1592" s="6" t="s">
        <v>383</v>
      </c>
      <c r="C1592" s="6" t="n">
        <v>27</v>
      </c>
      <c r="D1592" s="25" t="n">
        <f aca="false">EDATE('Start Here'!$B$6,C1592-1)</f>
        <v>47119</v>
      </c>
      <c r="E1592" s="11" t="n">
        <f aca="false">IF(AND(OR(Nonlabor!$D$10="Both",Nonlabor!$D$10='Start Here'!$B$9),IF(Nonlabor!$E$10="Core",1,IF(Nonlabor!$E$10="AI",'Start Here'!$B$7,'Start Here'!$B$8))=1,C1592&gt;=IF(Nonlabor!$E$10="Core",Nonlabor!$F$10,MAX(Nonlabor!$F$10,IF(Nonlabor!$E$10="AI",Assumptions!$D$24,Assumptions!$D$25))),C1592&lt;=Nonlabor!$G$10,OR(Nonlabor!$H$10="Monthly",AND(Nonlabor!$H$10="Once",C1592=IF(Nonlabor!$E$10="Core",Nonlabor!$F$10,MAX(Nonlabor!$F$10,IF(Nonlabor!$E$10="AI",Assumptions!$D$24,Assumptions!$D$25)))),AND(Nonlabor!$H$10="Annual",MOD(C1592-IF(Nonlabor!$E$10="Core",Nonlabor!$F$10,MAX(Nonlabor!$F$10,IF(Nonlabor!$E$10="AI",Assumptions!$D$24,Assumptions!$D$25))),12)=0))),IF(Nonlabor!$I$10="Fixed",1,IF(Nonlabor!$I$10="Seats",ROUNDUP('Monthly Base'!I32,0),IF(Nonlabor!$I$10="Customers",'Monthly Base'!D32,IF(Nonlabor!$I$10="NewCustomers",'Monthly Base'!C32,IF(Nonlabor!$I$10="StorageGB",'Monthly Base'!G32,IF(Nonlabor!$I$10="LogGB",'Monthly Base'!H32,IF(Nonlabor!$I$10="RequestsM",'Monthly Base'!F32,IF(Nonlabor!$I$10="InputM",'Monthly Base'!D32*Assumptions!$D$22/1000000,IF(Nonlabor!$I$10="OutputM",'Monthly Base'!D32*Assumptions!$D$23/1000000,0))))))))),0)</f>
        <v>77.3960726793557</v>
      </c>
      <c r="F1592" s="10" t="n">
        <f aca="false">Nonlabor!$J$10*(1+Assumptions!$D$9)^INT((C1592-1)/12)</f>
        <v>0.159135</v>
      </c>
      <c r="G1592" s="10" t="n">
        <f aca="false">E1592*F1592</f>
        <v>12.3164240258293</v>
      </c>
      <c r="H1592" s="10" t="n">
        <f aca="false">IF(OR(Nonlabor!$L$10="Quote required",Nonlabor!$L$10="Unverified"),G1592,0)</f>
        <v>0</v>
      </c>
      <c r="I1592" s="10" t="n">
        <f aca="false">IF(Nonlabor!$E$10="Core",0,G1592)</f>
        <v>0</v>
      </c>
      <c r="J1592" s="23" t="str">
        <f aca="false">Nonlabor!$B$10</f>
        <v>INFRA</v>
      </c>
    </row>
    <row r="1593" customFormat="false" ht="15" hidden="false" customHeight="false" outlineLevel="0" collapsed="false">
      <c r="A1593" s="6" t="s">
        <v>4</v>
      </c>
      <c r="B1593" s="6" t="s">
        <v>383</v>
      </c>
      <c r="C1593" s="6" t="n">
        <v>28</v>
      </c>
      <c r="D1593" s="25" t="n">
        <f aca="false">EDATE('Start Here'!$B$6,C1593-1)</f>
        <v>47150</v>
      </c>
      <c r="E1593" s="11" t="n">
        <f aca="false">IF(AND(OR(Nonlabor!$D$10="Both",Nonlabor!$D$10='Start Here'!$B$9),IF(Nonlabor!$E$10="Core",1,IF(Nonlabor!$E$10="AI",'Start Here'!$B$7,'Start Here'!$B$8))=1,C1593&gt;=IF(Nonlabor!$E$10="Core",Nonlabor!$F$10,MAX(Nonlabor!$F$10,IF(Nonlabor!$E$10="AI",Assumptions!$D$24,Assumptions!$D$25))),C1593&lt;=Nonlabor!$G$10,OR(Nonlabor!$H$10="Monthly",AND(Nonlabor!$H$10="Once",C1593=IF(Nonlabor!$E$10="Core",Nonlabor!$F$10,MAX(Nonlabor!$F$10,IF(Nonlabor!$E$10="AI",Assumptions!$D$24,Assumptions!$D$25)))),AND(Nonlabor!$H$10="Annual",MOD(C1593-IF(Nonlabor!$E$10="Core",Nonlabor!$F$10,MAX(Nonlabor!$F$10,IF(Nonlabor!$E$10="AI",Assumptions!$D$24,Assumptions!$D$25))),12)=0))),IF(Nonlabor!$I$10="Fixed",1,IF(Nonlabor!$I$10="Seats",ROUNDUP('Monthly Base'!I33,0),IF(Nonlabor!$I$10="Customers",'Monthly Base'!D33,IF(Nonlabor!$I$10="NewCustomers",'Monthly Base'!C33,IF(Nonlabor!$I$10="StorageGB",'Monthly Base'!G33,IF(Nonlabor!$I$10="LogGB",'Monthly Base'!H33,IF(Nonlabor!$I$10="RequestsM",'Monthly Base'!F33,IF(Nonlabor!$I$10="InputM",'Monthly Base'!D33*Assumptions!$D$22/1000000,IF(Nonlabor!$I$10="OutputM",'Monthly Base'!D33*Assumptions!$D$23/1000000,0))))))))),0)</f>
        <v>84.1221119525622</v>
      </c>
      <c r="F1593" s="10" t="n">
        <f aca="false">Nonlabor!$J$10*(1+Assumptions!$D$9)^INT((C1593-1)/12)</f>
        <v>0.159135</v>
      </c>
      <c r="G1593" s="10" t="n">
        <f aca="false">E1593*F1593</f>
        <v>13.386772285571</v>
      </c>
      <c r="H1593" s="10" t="n">
        <f aca="false">IF(OR(Nonlabor!$L$10="Quote required",Nonlabor!$L$10="Unverified"),G1593,0)</f>
        <v>0</v>
      </c>
      <c r="I1593" s="10" t="n">
        <f aca="false">IF(Nonlabor!$E$10="Core",0,G1593)</f>
        <v>0</v>
      </c>
      <c r="J1593" s="23" t="str">
        <f aca="false">Nonlabor!$B$10</f>
        <v>INFRA</v>
      </c>
    </row>
    <row r="1594" customFormat="false" ht="15" hidden="false" customHeight="false" outlineLevel="0" collapsed="false">
      <c r="A1594" s="6" t="s">
        <v>4</v>
      </c>
      <c r="B1594" s="6" t="s">
        <v>383</v>
      </c>
      <c r="C1594" s="6" t="n">
        <v>29</v>
      </c>
      <c r="D1594" s="25" t="n">
        <f aca="false">EDATE('Start Here'!$B$6,C1594-1)</f>
        <v>47178</v>
      </c>
      <c r="E1594" s="11" t="n">
        <f aca="false">IF(AND(OR(Nonlabor!$D$10="Both",Nonlabor!$D$10='Start Here'!$B$9),IF(Nonlabor!$E$10="Core",1,IF(Nonlabor!$E$10="AI",'Start Here'!$B$7,'Start Here'!$B$8))=1,C1594&gt;=IF(Nonlabor!$E$10="Core",Nonlabor!$F$10,MAX(Nonlabor!$F$10,IF(Nonlabor!$E$10="AI",Assumptions!$D$24,Assumptions!$D$25))),C1594&lt;=Nonlabor!$G$10,OR(Nonlabor!$H$10="Monthly",AND(Nonlabor!$H$10="Once",C1594=IF(Nonlabor!$E$10="Core",Nonlabor!$F$10,MAX(Nonlabor!$F$10,IF(Nonlabor!$E$10="AI",Assumptions!$D$24,Assumptions!$D$25)))),AND(Nonlabor!$H$10="Annual",MOD(C1594-IF(Nonlabor!$E$10="Core",Nonlabor!$F$10,MAX(Nonlabor!$F$10,IF(Nonlabor!$E$10="AI",Assumptions!$D$24,Assumptions!$D$25))),12)=0))),IF(Nonlabor!$I$10="Fixed",1,IF(Nonlabor!$I$10="Seats",ROUNDUP('Monthly Base'!I34,0),IF(Nonlabor!$I$10="Customers",'Monthly Base'!D34,IF(Nonlabor!$I$10="NewCustomers",'Monthly Base'!C34,IF(Nonlabor!$I$10="StorageGB",'Monthly Base'!G34,IF(Nonlabor!$I$10="LogGB",'Monthly Base'!H34,IF(Nonlabor!$I$10="RequestsM",'Monthly Base'!F34,IF(Nonlabor!$I$10="InputM",'Monthly Base'!D34*Assumptions!$D$22/1000000,IF(Nonlabor!$I$10="OutputM",'Monthly Base'!D34*Assumptions!$D$23/1000000,0))))))))),0)</f>
        <v>90.7808908330366</v>
      </c>
      <c r="F1594" s="10" t="n">
        <f aca="false">Nonlabor!$J$10*(1+Assumptions!$D$9)^INT((C1594-1)/12)</f>
        <v>0.159135</v>
      </c>
      <c r="G1594" s="10" t="n">
        <f aca="false">E1594*F1594</f>
        <v>14.4464170627153</v>
      </c>
      <c r="H1594" s="10" t="n">
        <f aca="false">IF(OR(Nonlabor!$L$10="Quote required",Nonlabor!$L$10="Unverified"),G1594,0)</f>
        <v>0</v>
      </c>
      <c r="I1594" s="10" t="n">
        <f aca="false">IF(Nonlabor!$E$10="Core",0,G1594)</f>
        <v>0</v>
      </c>
      <c r="J1594" s="23" t="str">
        <f aca="false">Nonlabor!$B$10</f>
        <v>INFRA</v>
      </c>
    </row>
    <row r="1595" customFormat="false" ht="15" hidden="false" customHeight="false" outlineLevel="0" collapsed="false">
      <c r="A1595" s="6" t="s">
        <v>4</v>
      </c>
      <c r="B1595" s="6" t="s">
        <v>383</v>
      </c>
      <c r="C1595" s="6" t="n">
        <v>30</v>
      </c>
      <c r="D1595" s="25" t="n">
        <f aca="false">EDATE('Start Here'!$B$6,C1595-1)</f>
        <v>47209</v>
      </c>
      <c r="E1595" s="11" t="n">
        <f aca="false">IF(AND(OR(Nonlabor!$D$10="Both",Nonlabor!$D$10='Start Here'!$B$9),IF(Nonlabor!$E$10="Core",1,IF(Nonlabor!$E$10="AI",'Start Here'!$B$7,'Start Here'!$B$8))=1,C1595&gt;=IF(Nonlabor!$E$10="Core",Nonlabor!$F$10,MAX(Nonlabor!$F$10,IF(Nonlabor!$E$10="AI",Assumptions!$D$24,Assumptions!$D$25))),C1595&lt;=Nonlabor!$G$10,OR(Nonlabor!$H$10="Monthly",AND(Nonlabor!$H$10="Once",C1595=IF(Nonlabor!$E$10="Core",Nonlabor!$F$10,MAX(Nonlabor!$F$10,IF(Nonlabor!$E$10="AI",Assumptions!$D$24,Assumptions!$D$25)))),AND(Nonlabor!$H$10="Annual",MOD(C1595-IF(Nonlabor!$E$10="Core",Nonlabor!$F$10,MAX(Nonlabor!$F$10,IF(Nonlabor!$E$10="AI",Assumptions!$D$24,Assumptions!$D$25))),12)=0))),IF(Nonlabor!$I$10="Fixed",1,IF(Nonlabor!$I$10="Seats",ROUNDUP('Monthly Base'!I35,0),IF(Nonlabor!$I$10="Customers",'Monthly Base'!D35,IF(Nonlabor!$I$10="NewCustomers",'Monthly Base'!C35,IF(Nonlabor!$I$10="StorageGB",'Monthly Base'!G35,IF(Nonlabor!$I$10="LogGB",'Monthly Base'!H35,IF(Nonlabor!$I$10="RequestsM",'Monthly Base'!F35,IF(Nonlabor!$I$10="InputM",'Monthly Base'!D35*Assumptions!$D$22/1000000,IF(Nonlabor!$I$10="OutputM",'Monthly Base'!D35*Assumptions!$D$23/1000000,0))))))))),0)</f>
        <v>97.3730819247062</v>
      </c>
      <c r="F1595" s="10" t="n">
        <f aca="false">Nonlabor!$J$10*(1+Assumptions!$D$9)^INT((C1595-1)/12)</f>
        <v>0.159135</v>
      </c>
      <c r="G1595" s="10" t="n">
        <f aca="false">E1595*F1595</f>
        <v>15.4954653920881</v>
      </c>
      <c r="H1595" s="10" t="n">
        <f aca="false">IF(OR(Nonlabor!$L$10="Quote required",Nonlabor!$L$10="Unverified"),G1595,0)</f>
        <v>0</v>
      </c>
      <c r="I1595" s="10" t="n">
        <f aca="false">IF(Nonlabor!$E$10="Core",0,G1595)</f>
        <v>0</v>
      </c>
      <c r="J1595" s="23" t="str">
        <f aca="false">Nonlabor!$B$10</f>
        <v>INFRA</v>
      </c>
    </row>
    <row r="1596" customFormat="false" ht="15" hidden="false" customHeight="false" outlineLevel="0" collapsed="false">
      <c r="A1596" s="6" t="s">
        <v>4</v>
      </c>
      <c r="B1596" s="6" t="s">
        <v>383</v>
      </c>
      <c r="C1596" s="6" t="n">
        <v>31</v>
      </c>
      <c r="D1596" s="25" t="n">
        <f aca="false">EDATE('Start Here'!$B$6,C1596-1)</f>
        <v>47239</v>
      </c>
      <c r="E1596" s="11" t="n">
        <f aca="false">IF(AND(OR(Nonlabor!$D$10="Both",Nonlabor!$D$10='Start Here'!$B$9),IF(Nonlabor!$E$10="Core",1,IF(Nonlabor!$E$10="AI",'Start Here'!$B$7,'Start Here'!$B$8))=1,C1596&gt;=IF(Nonlabor!$E$10="Core",Nonlabor!$F$10,MAX(Nonlabor!$F$10,IF(Nonlabor!$E$10="AI",Assumptions!$D$24,Assumptions!$D$25))),C1596&lt;=Nonlabor!$G$10,OR(Nonlabor!$H$10="Monthly",AND(Nonlabor!$H$10="Once",C1596=IF(Nonlabor!$E$10="Core",Nonlabor!$F$10,MAX(Nonlabor!$F$10,IF(Nonlabor!$E$10="AI",Assumptions!$D$24,Assumptions!$D$25)))),AND(Nonlabor!$H$10="Annual",MOD(C1596-IF(Nonlabor!$E$10="Core",Nonlabor!$F$10,MAX(Nonlabor!$F$10,IF(Nonlabor!$E$10="AI",Assumptions!$D$24,Assumptions!$D$25))),12)=0))),IF(Nonlabor!$I$10="Fixed",1,IF(Nonlabor!$I$10="Seats",ROUNDUP('Monthly Base'!I36,0),IF(Nonlabor!$I$10="Customers",'Monthly Base'!D36,IF(Nonlabor!$I$10="NewCustomers",'Monthly Base'!C36,IF(Nonlabor!$I$10="StorageGB",'Monthly Base'!G36,IF(Nonlabor!$I$10="LogGB",'Monthly Base'!H36,IF(Nonlabor!$I$10="RequestsM",'Monthly Base'!F36,IF(Nonlabor!$I$10="InputM",'Monthly Base'!D36*Assumptions!$D$22/1000000,IF(Nonlabor!$I$10="OutputM",'Monthly Base'!D36*Assumptions!$D$23/1000000,0))))))))),0)</f>
        <v>103.899351105459</v>
      </c>
      <c r="F1596" s="10" t="n">
        <f aca="false">Nonlabor!$J$10*(1+Assumptions!$D$9)^INT((C1596-1)/12)</f>
        <v>0.159135</v>
      </c>
      <c r="G1596" s="10" t="n">
        <f aca="false">E1596*F1596</f>
        <v>16.5340232381672</v>
      </c>
      <c r="H1596" s="10" t="n">
        <f aca="false">IF(OR(Nonlabor!$L$10="Quote required",Nonlabor!$L$10="Unverified"),G1596,0)</f>
        <v>0</v>
      </c>
      <c r="I1596" s="10" t="n">
        <f aca="false">IF(Nonlabor!$E$10="Core",0,G1596)</f>
        <v>0</v>
      </c>
      <c r="J1596" s="23" t="str">
        <f aca="false">Nonlabor!$B$10</f>
        <v>INFRA</v>
      </c>
    </row>
    <row r="1597" customFormat="false" ht="15" hidden="false" customHeight="false" outlineLevel="0" collapsed="false">
      <c r="A1597" s="6" t="s">
        <v>4</v>
      </c>
      <c r="B1597" s="6" t="s">
        <v>383</v>
      </c>
      <c r="C1597" s="6" t="n">
        <v>32</v>
      </c>
      <c r="D1597" s="25" t="n">
        <f aca="false">EDATE('Start Here'!$B$6,C1597-1)</f>
        <v>47270</v>
      </c>
      <c r="E1597" s="11" t="n">
        <f aca="false">IF(AND(OR(Nonlabor!$D$10="Both",Nonlabor!$D$10='Start Here'!$B$9),IF(Nonlabor!$E$10="Core",1,IF(Nonlabor!$E$10="AI",'Start Here'!$B$7,'Start Here'!$B$8))=1,C1597&gt;=IF(Nonlabor!$E$10="Core",Nonlabor!$F$10,MAX(Nonlabor!$F$10,IF(Nonlabor!$E$10="AI",Assumptions!$D$24,Assumptions!$D$25))),C1597&lt;=Nonlabor!$G$10,OR(Nonlabor!$H$10="Monthly",AND(Nonlabor!$H$10="Once",C1597=IF(Nonlabor!$E$10="Core",Nonlabor!$F$10,MAX(Nonlabor!$F$10,IF(Nonlabor!$E$10="AI",Assumptions!$D$24,Assumptions!$D$25)))),AND(Nonlabor!$H$10="Annual",MOD(C1597-IF(Nonlabor!$E$10="Core",Nonlabor!$F$10,MAX(Nonlabor!$F$10,IF(Nonlabor!$E$10="AI",Assumptions!$D$24,Assumptions!$D$25))),12)=0))),IF(Nonlabor!$I$10="Fixed",1,IF(Nonlabor!$I$10="Seats",ROUNDUP('Monthly Base'!I37,0),IF(Nonlabor!$I$10="Customers",'Monthly Base'!D37,IF(Nonlabor!$I$10="NewCustomers",'Monthly Base'!C37,IF(Nonlabor!$I$10="StorageGB",'Monthly Base'!G37,IF(Nonlabor!$I$10="LogGB",'Monthly Base'!H37,IF(Nonlabor!$I$10="RequestsM",'Monthly Base'!F37,IF(Nonlabor!$I$10="InputM",'Monthly Base'!D37*Assumptions!$D$22/1000000,IF(Nonlabor!$I$10="OutputM",'Monthly Base'!D37*Assumptions!$D$23/1000000,0))))))))),0)</f>
        <v>110.360357594405</v>
      </c>
      <c r="F1597" s="10" t="n">
        <f aca="false">Nonlabor!$J$10*(1+Assumptions!$D$9)^INT((C1597-1)/12)</f>
        <v>0.159135</v>
      </c>
      <c r="G1597" s="10" t="n">
        <f aca="false">E1597*F1597</f>
        <v>17.5621955057856</v>
      </c>
      <c r="H1597" s="10" t="n">
        <f aca="false">IF(OR(Nonlabor!$L$10="Quote required",Nonlabor!$L$10="Unverified"),G1597,0)</f>
        <v>0</v>
      </c>
      <c r="I1597" s="10" t="n">
        <f aca="false">IF(Nonlabor!$E$10="Core",0,G1597)</f>
        <v>0</v>
      </c>
      <c r="J1597" s="23" t="str">
        <f aca="false">Nonlabor!$B$10</f>
        <v>INFRA</v>
      </c>
    </row>
    <row r="1598" customFormat="false" ht="15" hidden="false" customHeight="false" outlineLevel="0" collapsed="false">
      <c r="A1598" s="6" t="s">
        <v>4</v>
      </c>
      <c r="B1598" s="6" t="s">
        <v>383</v>
      </c>
      <c r="C1598" s="6" t="n">
        <v>33</v>
      </c>
      <c r="D1598" s="25" t="n">
        <f aca="false">EDATE('Start Here'!$B$6,C1598-1)</f>
        <v>47300</v>
      </c>
      <c r="E1598" s="11" t="n">
        <f aca="false">IF(AND(OR(Nonlabor!$D$10="Both",Nonlabor!$D$10='Start Here'!$B$9),IF(Nonlabor!$E$10="Core",1,IF(Nonlabor!$E$10="AI",'Start Here'!$B$7,'Start Here'!$B$8))=1,C1598&gt;=IF(Nonlabor!$E$10="Core",Nonlabor!$F$10,MAX(Nonlabor!$F$10,IF(Nonlabor!$E$10="AI",Assumptions!$D$24,Assumptions!$D$25))),C1598&lt;=Nonlabor!$G$10,OR(Nonlabor!$H$10="Monthly",AND(Nonlabor!$H$10="Once",C1598=IF(Nonlabor!$E$10="Core",Nonlabor!$F$10,MAX(Nonlabor!$F$10,IF(Nonlabor!$E$10="AI",Assumptions!$D$24,Assumptions!$D$25)))),AND(Nonlabor!$H$10="Annual",MOD(C1598-IF(Nonlabor!$E$10="Core",Nonlabor!$F$10,MAX(Nonlabor!$F$10,IF(Nonlabor!$E$10="AI",Assumptions!$D$24,Assumptions!$D$25))),12)=0))),IF(Nonlabor!$I$10="Fixed",1,IF(Nonlabor!$I$10="Seats",ROUNDUP('Monthly Base'!I38,0),IF(Nonlabor!$I$10="Customers",'Monthly Base'!D38,IF(Nonlabor!$I$10="NewCustomers",'Monthly Base'!C38,IF(Nonlabor!$I$10="StorageGB",'Monthly Base'!G38,IF(Nonlabor!$I$10="LogGB",'Monthly Base'!H38,IF(Nonlabor!$I$10="RequestsM",'Monthly Base'!F38,IF(Nonlabor!$I$10="InputM",'Monthly Base'!D38*Assumptions!$D$22/1000000,IF(Nonlabor!$I$10="OutputM",'Monthly Base'!D38*Assumptions!$D$23/1000000,0))))))))),0)</f>
        <v>116.756754018461</v>
      </c>
      <c r="F1598" s="10" t="n">
        <f aca="false">Nonlabor!$J$10*(1+Assumptions!$D$9)^INT((C1598-1)/12)</f>
        <v>0.159135</v>
      </c>
      <c r="G1598" s="10" t="n">
        <f aca="false">E1598*F1598</f>
        <v>18.5800860507277</v>
      </c>
      <c r="H1598" s="10" t="n">
        <f aca="false">IF(OR(Nonlabor!$L$10="Quote required",Nonlabor!$L$10="Unverified"),G1598,0)</f>
        <v>0</v>
      </c>
      <c r="I1598" s="10" t="n">
        <f aca="false">IF(Nonlabor!$E$10="Core",0,G1598)</f>
        <v>0</v>
      </c>
      <c r="J1598" s="23" t="str">
        <f aca="false">Nonlabor!$B$10</f>
        <v>INFRA</v>
      </c>
    </row>
    <row r="1599" customFormat="false" ht="15" hidden="false" customHeight="false" outlineLevel="0" collapsed="false">
      <c r="A1599" s="6" t="s">
        <v>4</v>
      </c>
      <c r="B1599" s="6" t="s">
        <v>383</v>
      </c>
      <c r="C1599" s="6" t="n">
        <v>34</v>
      </c>
      <c r="D1599" s="25" t="n">
        <f aca="false">EDATE('Start Here'!$B$6,C1599-1)</f>
        <v>47331</v>
      </c>
      <c r="E1599" s="11" t="n">
        <f aca="false">IF(AND(OR(Nonlabor!$D$10="Both",Nonlabor!$D$10='Start Here'!$B$9),IF(Nonlabor!$E$10="Core",1,IF(Nonlabor!$E$10="AI",'Start Here'!$B$7,'Start Here'!$B$8))=1,C1599&gt;=IF(Nonlabor!$E$10="Core",Nonlabor!$F$10,MAX(Nonlabor!$F$10,IF(Nonlabor!$E$10="AI",Assumptions!$D$24,Assumptions!$D$25))),C1599&lt;=Nonlabor!$G$10,OR(Nonlabor!$H$10="Monthly",AND(Nonlabor!$H$10="Once",C1599=IF(Nonlabor!$E$10="Core",Nonlabor!$F$10,MAX(Nonlabor!$F$10,IF(Nonlabor!$E$10="AI",Assumptions!$D$24,Assumptions!$D$25)))),AND(Nonlabor!$H$10="Annual",MOD(C1599-IF(Nonlabor!$E$10="Core",Nonlabor!$F$10,MAX(Nonlabor!$F$10,IF(Nonlabor!$E$10="AI",Assumptions!$D$24,Assumptions!$D$25))),12)=0))),IF(Nonlabor!$I$10="Fixed",1,IF(Nonlabor!$I$10="Seats",ROUNDUP('Monthly Base'!I39,0),IF(Nonlabor!$I$10="Customers",'Monthly Base'!D39,IF(Nonlabor!$I$10="NewCustomers",'Monthly Base'!C39,IF(Nonlabor!$I$10="StorageGB",'Monthly Base'!G39,IF(Nonlabor!$I$10="LogGB",'Monthly Base'!H39,IF(Nonlabor!$I$10="RequestsM",'Monthly Base'!F39,IF(Nonlabor!$I$10="InputM",'Monthly Base'!D39*Assumptions!$D$22/1000000,IF(Nonlabor!$I$10="OutputM",'Monthly Base'!D39*Assumptions!$D$23/1000000,0))))))))),0)</f>
        <v>123.089186478276</v>
      </c>
      <c r="F1599" s="10" t="n">
        <f aca="false">Nonlabor!$J$10*(1+Assumptions!$D$9)^INT((C1599-1)/12)</f>
        <v>0.159135</v>
      </c>
      <c r="G1599" s="10" t="n">
        <f aca="false">E1599*F1599</f>
        <v>19.5877976902204</v>
      </c>
      <c r="H1599" s="10" t="n">
        <f aca="false">IF(OR(Nonlabor!$L$10="Quote required",Nonlabor!$L$10="Unverified"),G1599,0)</f>
        <v>0</v>
      </c>
      <c r="I1599" s="10" t="n">
        <f aca="false">IF(Nonlabor!$E$10="Core",0,G1599)</f>
        <v>0</v>
      </c>
      <c r="J1599" s="23" t="str">
        <f aca="false">Nonlabor!$B$10</f>
        <v>INFRA</v>
      </c>
    </row>
    <row r="1600" customFormat="false" ht="15" hidden="false" customHeight="false" outlineLevel="0" collapsed="false">
      <c r="A1600" s="6" t="s">
        <v>4</v>
      </c>
      <c r="B1600" s="6" t="s">
        <v>383</v>
      </c>
      <c r="C1600" s="6" t="n">
        <v>35</v>
      </c>
      <c r="D1600" s="25" t="n">
        <f aca="false">EDATE('Start Here'!$B$6,C1600-1)</f>
        <v>47362</v>
      </c>
      <c r="E1600" s="11" t="n">
        <f aca="false">IF(AND(OR(Nonlabor!$D$10="Both",Nonlabor!$D$10='Start Here'!$B$9),IF(Nonlabor!$E$10="Core",1,IF(Nonlabor!$E$10="AI",'Start Here'!$B$7,'Start Here'!$B$8))=1,C1600&gt;=IF(Nonlabor!$E$10="Core",Nonlabor!$F$10,MAX(Nonlabor!$F$10,IF(Nonlabor!$E$10="AI",Assumptions!$D$24,Assumptions!$D$25))),C1600&lt;=Nonlabor!$G$10,OR(Nonlabor!$H$10="Monthly",AND(Nonlabor!$H$10="Once",C1600=IF(Nonlabor!$E$10="Core",Nonlabor!$F$10,MAX(Nonlabor!$F$10,IF(Nonlabor!$E$10="AI",Assumptions!$D$24,Assumptions!$D$25)))),AND(Nonlabor!$H$10="Annual",MOD(C1600-IF(Nonlabor!$E$10="Core",Nonlabor!$F$10,MAX(Nonlabor!$F$10,IF(Nonlabor!$E$10="AI",Assumptions!$D$24,Assumptions!$D$25))),12)=0))),IF(Nonlabor!$I$10="Fixed",1,IF(Nonlabor!$I$10="Seats",ROUNDUP('Monthly Base'!I40,0),IF(Nonlabor!$I$10="Customers",'Monthly Base'!D40,IF(Nonlabor!$I$10="NewCustomers",'Monthly Base'!C40,IF(Nonlabor!$I$10="StorageGB",'Monthly Base'!G40,IF(Nonlabor!$I$10="LogGB",'Monthly Base'!H40,IF(Nonlabor!$I$10="RequestsM",'Monthly Base'!F40,IF(Nonlabor!$I$10="InputM",'Monthly Base'!D40*Assumptions!$D$22/1000000,IF(Nonlabor!$I$10="OutputM",'Monthly Base'!D40*Assumptions!$D$23/1000000,0))))))))),0)</f>
        <v>129.358294613493</v>
      </c>
      <c r="F1600" s="10" t="n">
        <f aca="false">Nonlabor!$J$10*(1+Assumptions!$D$9)^INT((C1600-1)/12)</f>
        <v>0.159135</v>
      </c>
      <c r="G1600" s="10" t="n">
        <f aca="false">E1600*F1600</f>
        <v>20.5854322133182</v>
      </c>
      <c r="H1600" s="10" t="n">
        <f aca="false">IF(OR(Nonlabor!$L$10="Quote required",Nonlabor!$L$10="Unverified"),G1600,0)</f>
        <v>0</v>
      </c>
      <c r="I1600" s="10" t="n">
        <f aca="false">IF(Nonlabor!$E$10="Core",0,G1600)</f>
        <v>0</v>
      </c>
      <c r="J1600" s="23" t="str">
        <f aca="false">Nonlabor!$B$10</f>
        <v>INFRA</v>
      </c>
    </row>
    <row r="1601" customFormat="false" ht="15" hidden="false" customHeight="false" outlineLevel="0" collapsed="false">
      <c r="A1601" s="6" t="s">
        <v>4</v>
      </c>
      <c r="B1601" s="6" t="s">
        <v>383</v>
      </c>
      <c r="C1601" s="6" t="n">
        <v>36</v>
      </c>
      <c r="D1601" s="25" t="n">
        <f aca="false">EDATE('Start Here'!$B$6,C1601-1)</f>
        <v>47392</v>
      </c>
      <c r="E1601" s="11" t="n">
        <f aca="false">IF(AND(OR(Nonlabor!$D$10="Both",Nonlabor!$D$10='Start Here'!$B$9),IF(Nonlabor!$E$10="Core",1,IF(Nonlabor!$E$10="AI",'Start Here'!$B$7,'Start Here'!$B$8))=1,C1601&gt;=IF(Nonlabor!$E$10="Core",Nonlabor!$F$10,MAX(Nonlabor!$F$10,IF(Nonlabor!$E$10="AI",Assumptions!$D$24,Assumptions!$D$25))),C1601&lt;=Nonlabor!$G$10,OR(Nonlabor!$H$10="Monthly",AND(Nonlabor!$H$10="Once",C1601=IF(Nonlabor!$E$10="Core",Nonlabor!$F$10,MAX(Nonlabor!$F$10,IF(Nonlabor!$E$10="AI",Assumptions!$D$24,Assumptions!$D$25)))),AND(Nonlabor!$H$10="Annual",MOD(C1601-IF(Nonlabor!$E$10="Core",Nonlabor!$F$10,MAX(Nonlabor!$F$10,IF(Nonlabor!$E$10="AI",Assumptions!$D$24,Assumptions!$D$25))),12)=0))),IF(Nonlabor!$I$10="Fixed",1,IF(Nonlabor!$I$10="Seats",ROUNDUP('Monthly Base'!I41,0),IF(Nonlabor!$I$10="Customers",'Monthly Base'!D41,IF(Nonlabor!$I$10="NewCustomers",'Monthly Base'!C41,IF(Nonlabor!$I$10="StorageGB",'Monthly Base'!G41,IF(Nonlabor!$I$10="LogGB",'Monthly Base'!H41,IF(Nonlabor!$I$10="RequestsM",'Monthly Base'!F41,IF(Nonlabor!$I$10="InputM",'Monthly Base'!D41*Assumptions!$D$22/1000000,IF(Nonlabor!$I$10="OutputM",'Monthly Base'!D41*Assumptions!$D$23/1000000,0))))))))),0)</f>
        <v>135.564711667358</v>
      </c>
      <c r="F1601" s="10" t="n">
        <f aca="false">Nonlabor!$J$10*(1+Assumptions!$D$9)^INT((C1601-1)/12)</f>
        <v>0.159135</v>
      </c>
      <c r="G1601" s="10" t="n">
        <f aca="false">E1601*F1601</f>
        <v>21.573090391185</v>
      </c>
      <c r="H1601" s="10" t="n">
        <f aca="false">IF(OR(Nonlabor!$L$10="Quote required",Nonlabor!$L$10="Unverified"),G1601,0)</f>
        <v>0</v>
      </c>
      <c r="I1601" s="10" t="n">
        <f aca="false">IF(Nonlabor!$E$10="Core",0,G1601)</f>
        <v>0</v>
      </c>
      <c r="J1601" s="23" t="str">
        <f aca="false">Nonlabor!$B$10</f>
        <v>INFRA</v>
      </c>
    </row>
    <row r="1602" customFormat="false" ht="15" hidden="false" customHeight="false" outlineLevel="0" collapsed="false">
      <c r="A1602" s="6" t="s">
        <v>4</v>
      </c>
      <c r="B1602" s="6" t="s">
        <v>383</v>
      </c>
      <c r="C1602" s="6" t="n">
        <v>37</v>
      </c>
      <c r="D1602" s="25" t="n">
        <f aca="false">EDATE('Start Here'!$B$6,C1602-1)</f>
        <v>47423</v>
      </c>
      <c r="E1602" s="11" t="n">
        <f aca="false">IF(AND(OR(Nonlabor!$D$10="Both",Nonlabor!$D$10='Start Here'!$B$9),IF(Nonlabor!$E$10="Core",1,IF(Nonlabor!$E$10="AI",'Start Here'!$B$7,'Start Here'!$B$8))=1,C1602&gt;=IF(Nonlabor!$E$10="Core",Nonlabor!$F$10,MAX(Nonlabor!$F$10,IF(Nonlabor!$E$10="AI",Assumptions!$D$24,Assumptions!$D$25))),C1602&lt;=Nonlabor!$G$10,OR(Nonlabor!$H$10="Monthly",AND(Nonlabor!$H$10="Once",C1602=IF(Nonlabor!$E$10="Core",Nonlabor!$F$10,MAX(Nonlabor!$F$10,IF(Nonlabor!$E$10="AI",Assumptions!$D$24,Assumptions!$D$25)))),AND(Nonlabor!$H$10="Annual",MOD(C1602-IF(Nonlabor!$E$10="Core",Nonlabor!$F$10,MAX(Nonlabor!$F$10,IF(Nonlabor!$E$10="AI",Assumptions!$D$24,Assumptions!$D$25))),12)=0))),IF(Nonlabor!$I$10="Fixed",1,IF(Nonlabor!$I$10="Seats",ROUNDUP('Monthly Base'!I42,0),IF(Nonlabor!$I$10="Customers",'Monthly Base'!D42,IF(Nonlabor!$I$10="NewCustomers",'Monthly Base'!C42,IF(Nonlabor!$I$10="StorageGB",'Monthly Base'!G42,IF(Nonlabor!$I$10="LogGB",'Monthly Base'!H42,IF(Nonlabor!$I$10="RequestsM",'Monthly Base'!F42,IF(Nonlabor!$I$10="InputM",'Monthly Base'!D42*Assumptions!$D$22/1000000,IF(Nonlabor!$I$10="OutputM",'Monthly Base'!D42*Assumptions!$D$23/1000000,0))))))))),0)</f>
        <v>145.459064550685</v>
      </c>
      <c r="F1602" s="10" t="n">
        <f aca="false">Nonlabor!$J$10*(1+Assumptions!$D$9)^INT((C1602-1)/12)</f>
        <v>0.16390905</v>
      </c>
      <c r="G1602" s="10" t="n">
        <f aca="false">E1602*F1602</f>
        <v>23.8420570843914</v>
      </c>
      <c r="H1602" s="10" t="n">
        <f aca="false">IF(OR(Nonlabor!$L$10="Quote required",Nonlabor!$L$10="Unverified"),G1602,0)</f>
        <v>0</v>
      </c>
      <c r="I1602" s="10" t="n">
        <f aca="false">IF(Nonlabor!$E$10="Core",0,G1602)</f>
        <v>0</v>
      </c>
      <c r="J1602" s="23" t="str">
        <f aca="false">Nonlabor!$B$10</f>
        <v>INFRA</v>
      </c>
    </row>
    <row r="1603" customFormat="false" ht="15" hidden="false" customHeight="false" outlineLevel="0" collapsed="false">
      <c r="A1603" s="6" t="s">
        <v>4</v>
      </c>
      <c r="B1603" s="6" t="s">
        <v>383</v>
      </c>
      <c r="C1603" s="6" t="n">
        <v>38</v>
      </c>
      <c r="D1603" s="25" t="n">
        <f aca="false">EDATE('Start Here'!$B$6,C1603-1)</f>
        <v>47453</v>
      </c>
      <c r="E1603" s="11" t="n">
        <f aca="false">IF(AND(OR(Nonlabor!$D$10="Both",Nonlabor!$D$10='Start Here'!$B$9),IF(Nonlabor!$E$10="Core",1,IF(Nonlabor!$E$10="AI",'Start Here'!$B$7,'Start Here'!$B$8))=1,C1603&gt;=IF(Nonlabor!$E$10="Core",Nonlabor!$F$10,MAX(Nonlabor!$F$10,IF(Nonlabor!$E$10="AI",Assumptions!$D$24,Assumptions!$D$25))),C1603&lt;=Nonlabor!$G$10,OR(Nonlabor!$H$10="Monthly",AND(Nonlabor!$H$10="Once",C1603=IF(Nonlabor!$E$10="Core",Nonlabor!$F$10,MAX(Nonlabor!$F$10,IF(Nonlabor!$E$10="AI",Assumptions!$D$24,Assumptions!$D$25)))),AND(Nonlabor!$H$10="Annual",MOD(C1603-IF(Nonlabor!$E$10="Core",Nonlabor!$F$10,MAX(Nonlabor!$F$10,IF(Nonlabor!$E$10="AI",Assumptions!$D$24,Assumptions!$D$25))),12)=0))),IF(Nonlabor!$I$10="Fixed",1,IF(Nonlabor!$I$10="Seats",ROUNDUP('Monthly Base'!I43,0),IF(Nonlabor!$I$10="Customers",'Monthly Base'!D43,IF(Nonlabor!$I$10="NewCustomers",'Monthly Base'!C43,IF(Nonlabor!$I$10="StorageGB",'Monthly Base'!G43,IF(Nonlabor!$I$10="LogGB",'Monthly Base'!H43,IF(Nonlabor!$I$10="RequestsM",'Monthly Base'!F43,IF(Nonlabor!$I$10="InputM",'Monthly Base'!D43*Assumptions!$D$22/1000000,IF(Nonlabor!$I$10="OutputM",'Monthly Base'!D43*Assumptions!$D$23/1000000,0))))))))),0)</f>
        <v>155.254473905178</v>
      </c>
      <c r="F1603" s="10" t="n">
        <f aca="false">Nonlabor!$J$10*(1+Assumptions!$D$9)^INT((C1603-1)/12)</f>
        <v>0.16390905</v>
      </c>
      <c r="G1603" s="10" t="n">
        <f aca="false">E1603*F1603</f>
        <v>25.4476133260475</v>
      </c>
      <c r="H1603" s="10" t="n">
        <f aca="false">IF(OR(Nonlabor!$L$10="Quote required",Nonlabor!$L$10="Unverified"),G1603,0)</f>
        <v>0</v>
      </c>
      <c r="I1603" s="10" t="n">
        <f aca="false">IF(Nonlabor!$E$10="Core",0,G1603)</f>
        <v>0</v>
      </c>
      <c r="J1603" s="23" t="str">
        <f aca="false">Nonlabor!$B$10</f>
        <v>INFRA</v>
      </c>
    </row>
    <row r="1604" customFormat="false" ht="15" hidden="false" customHeight="false" outlineLevel="0" collapsed="false">
      <c r="A1604" s="6" t="s">
        <v>4</v>
      </c>
      <c r="B1604" s="6" t="s">
        <v>383</v>
      </c>
      <c r="C1604" s="6" t="n">
        <v>39</v>
      </c>
      <c r="D1604" s="25" t="n">
        <f aca="false">EDATE('Start Here'!$B$6,C1604-1)</f>
        <v>47484</v>
      </c>
      <c r="E1604" s="11" t="n">
        <f aca="false">IF(AND(OR(Nonlabor!$D$10="Both",Nonlabor!$D$10='Start Here'!$B$9),IF(Nonlabor!$E$10="Core",1,IF(Nonlabor!$E$10="AI",'Start Here'!$B$7,'Start Here'!$B$8))=1,C1604&gt;=IF(Nonlabor!$E$10="Core",Nonlabor!$F$10,MAX(Nonlabor!$F$10,IF(Nonlabor!$E$10="AI",Assumptions!$D$24,Assumptions!$D$25))),C1604&lt;=Nonlabor!$G$10,OR(Nonlabor!$H$10="Monthly",AND(Nonlabor!$H$10="Once",C1604=IF(Nonlabor!$E$10="Core",Nonlabor!$F$10,MAX(Nonlabor!$F$10,IF(Nonlabor!$E$10="AI",Assumptions!$D$24,Assumptions!$D$25)))),AND(Nonlabor!$H$10="Annual",MOD(C1604-IF(Nonlabor!$E$10="Core",Nonlabor!$F$10,MAX(Nonlabor!$F$10,IF(Nonlabor!$E$10="AI",Assumptions!$D$24,Assumptions!$D$25))),12)=0))),IF(Nonlabor!$I$10="Fixed",1,IF(Nonlabor!$I$10="Seats",ROUNDUP('Monthly Base'!I44,0),IF(Nonlabor!$I$10="Customers",'Monthly Base'!D44,IF(Nonlabor!$I$10="NewCustomers",'Monthly Base'!C44,IF(Nonlabor!$I$10="StorageGB",'Monthly Base'!G44,IF(Nonlabor!$I$10="LogGB",'Monthly Base'!H44,IF(Nonlabor!$I$10="RequestsM",'Monthly Base'!F44,IF(Nonlabor!$I$10="InputM",'Monthly Base'!D44*Assumptions!$D$22/1000000,IF(Nonlabor!$I$10="OutputM",'Monthly Base'!D44*Assumptions!$D$23/1000000,0))))))))),0)</f>
        <v>164.951929166126</v>
      </c>
      <c r="F1604" s="10" t="n">
        <f aca="false">Nonlabor!$J$10*(1+Assumptions!$D$9)^INT((C1604-1)/12)</f>
        <v>0.16390905</v>
      </c>
      <c r="G1604" s="10" t="n">
        <f aca="false">E1604*F1604</f>
        <v>27.037114005287</v>
      </c>
      <c r="H1604" s="10" t="n">
        <f aca="false">IF(OR(Nonlabor!$L$10="Quote required",Nonlabor!$L$10="Unverified"),G1604,0)</f>
        <v>0</v>
      </c>
      <c r="I1604" s="10" t="n">
        <f aca="false">IF(Nonlabor!$E$10="Core",0,G1604)</f>
        <v>0</v>
      </c>
      <c r="J1604" s="23" t="str">
        <f aca="false">Nonlabor!$B$10</f>
        <v>INFRA</v>
      </c>
    </row>
    <row r="1605" customFormat="false" ht="15" hidden="false" customHeight="false" outlineLevel="0" collapsed="false">
      <c r="A1605" s="6" t="s">
        <v>4</v>
      </c>
      <c r="B1605" s="6" t="s">
        <v>383</v>
      </c>
      <c r="C1605" s="6" t="n">
        <v>40</v>
      </c>
      <c r="D1605" s="25" t="n">
        <f aca="false">EDATE('Start Here'!$B$6,C1605-1)</f>
        <v>47515</v>
      </c>
      <c r="E1605" s="11" t="n">
        <f aca="false">IF(AND(OR(Nonlabor!$D$10="Both",Nonlabor!$D$10='Start Here'!$B$9),IF(Nonlabor!$E$10="Core",1,IF(Nonlabor!$E$10="AI",'Start Here'!$B$7,'Start Here'!$B$8))=1,C1605&gt;=IF(Nonlabor!$E$10="Core",Nonlabor!$F$10,MAX(Nonlabor!$F$10,IF(Nonlabor!$E$10="AI",Assumptions!$D$24,Assumptions!$D$25))),C1605&lt;=Nonlabor!$G$10,OR(Nonlabor!$H$10="Monthly",AND(Nonlabor!$H$10="Once",C1605=IF(Nonlabor!$E$10="Core",Nonlabor!$F$10,MAX(Nonlabor!$F$10,IF(Nonlabor!$E$10="AI",Assumptions!$D$24,Assumptions!$D$25)))),AND(Nonlabor!$H$10="Annual",MOD(C1605-IF(Nonlabor!$E$10="Core",Nonlabor!$F$10,MAX(Nonlabor!$F$10,IF(Nonlabor!$E$10="AI",Assumptions!$D$24,Assumptions!$D$25))),12)=0))),IF(Nonlabor!$I$10="Fixed",1,IF(Nonlabor!$I$10="Seats",ROUNDUP('Monthly Base'!I45,0),IF(Nonlabor!$I$10="Customers",'Monthly Base'!D45,IF(Nonlabor!$I$10="NewCustomers",'Monthly Base'!C45,IF(Nonlabor!$I$10="StorageGB",'Monthly Base'!G45,IF(Nonlabor!$I$10="LogGB",'Monthly Base'!H45,IF(Nonlabor!$I$10="RequestsM",'Monthly Base'!F45,IF(Nonlabor!$I$10="InputM",'Monthly Base'!D45*Assumptions!$D$22/1000000,IF(Nonlabor!$I$10="OutputM",'Monthly Base'!D45*Assumptions!$D$23/1000000,0))))))))),0)</f>
        <v>174.552409874465</v>
      </c>
      <c r="F1605" s="10" t="n">
        <f aca="false">Nonlabor!$J$10*(1+Assumptions!$D$9)^INT((C1605-1)/12)</f>
        <v>0.16390905</v>
      </c>
      <c r="G1605" s="10" t="n">
        <f aca="false">E1605*F1605</f>
        <v>28.6107196777341</v>
      </c>
      <c r="H1605" s="10" t="n">
        <f aca="false">IF(OR(Nonlabor!$L$10="Quote required",Nonlabor!$L$10="Unverified"),G1605,0)</f>
        <v>0</v>
      </c>
      <c r="I1605" s="10" t="n">
        <f aca="false">IF(Nonlabor!$E$10="Core",0,G1605)</f>
        <v>0</v>
      </c>
      <c r="J1605" s="23" t="str">
        <f aca="false">Nonlabor!$B$10</f>
        <v>INFRA</v>
      </c>
    </row>
    <row r="1606" customFormat="false" ht="15" hidden="false" customHeight="false" outlineLevel="0" collapsed="false">
      <c r="A1606" s="6" t="s">
        <v>4</v>
      </c>
      <c r="B1606" s="6" t="s">
        <v>383</v>
      </c>
      <c r="C1606" s="6" t="n">
        <v>41</v>
      </c>
      <c r="D1606" s="25" t="n">
        <f aca="false">EDATE('Start Here'!$B$6,C1606-1)</f>
        <v>47543</v>
      </c>
      <c r="E1606" s="11" t="n">
        <f aca="false">IF(AND(OR(Nonlabor!$D$10="Both",Nonlabor!$D$10='Start Here'!$B$9),IF(Nonlabor!$E$10="Core",1,IF(Nonlabor!$E$10="AI",'Start Here'!$B$7,'Start Here'!$B$8))=1,C1606&gt;=IF(Nonlabor!$E$10="Core",Nonlabor!$F$10,MAX(Nonlabor!$F$10,IF(Nonlabor!$E$10="AI",Assumptions!$D$24,Assumptions!$D$25))),C1606&lt;=Nonlabor!$G$10,OR(Nonlabor!$H$10="Monthly",AND(Nonlabor!$H$10="Once",C1606=IF(Nonlabor!$E$10="Core",Nonlabor!$F$10,MAX(Nonlabor!$F$10,IF(Nonlabor!$E$10="AI",Assumptions!$D$24,Assumptions!$D$25)))),AND(Nonlabor!$H$10="Annual",MOD(C1606-IF(Nonlabor!$E$10="Core",Nonlabor!$F$10,MAX(Nonlabor!$F$10,IF(Nonlabor!$E$10="AI",Assumptions!$D$24,Assumptions!$D$25))),12)=0))),IF(Nonlabor!$I$10="Fixed",1,IF(Nonlabor!$I$10="Seats",ROUNDUP('Monthly Base'!I46,0),IF(Nonlabor!$I$10="Customers",'Monthly Base'!D46,IF(Nonlabor!$I$10="NewCustomers",'Monthly Base'!C46,IF(Nonlabor!$I$10="StorageGB",'Monthly Base'!G46,IF(Nonlabor!$I$10="LogGB",'Monthly Base'!H46,IF(Nonlabor!$I$10="RequestsM",'Monthly Base'!F46,IF(Nonlabor!$I$10="InputM",'Monthly Base'!D46*Assumptions!$D$22/1000000,IF(Nonlabor!$I$10="OutputM",'Monthly Base'!D46*Assumptions!$D$23/1000000,0))))))))),0)</f>
        <v>184.05688577572</v>
      </c>
      <c r="F1606" s="10" t="n">
        <f aca="false">Nonlabor!$J$10*(1+Assumptions!$D$9)^INT((C1606-1)/12)</f>
        <v>0.16390905</v>
      </c>
      <c r="G1606" s="10" t="n">
        <f aca="false">E1606*F1606</f>
        <v>30.1685892934568</v>
      </c>
      <c r="H1606" s="10" t="n">
        <f aca="false">IF(OR(Nonlabor!$L$10="Quote required",Nonlabor!$L$10="Unverified"),G1606,0)</f>
        <v>0</v>
      </c>
      <c r="I1606" s="10" t="n">
        <f aca="false">IF(Nonlabor!$E$10="Core",0,G1606)</f>
        <v>0</v>
      </c>
      <c r="J1606" s="23" t="str">
        <f aca="false">Nonlabor!$B$10</f>
        <v>INFRA</v>
      </c>
    </row>
    <row r="1607" customFormat="false" ht="15" hidden="false" customHeight="false" outlineLevel="0" collapsed="false">
      <c r="A1607" s="6" t="s">
        <v>4</v>
      </c>
      <c r="B1607" s="6" t="s">
        <v>383</v>
      </c>
      <c r="C1607" s="6" t="n">
        <v>42</v>
      </c>
      <c r="D1607" s="25" t="n">
        <f aca="false">EDATE('Start Here'!$B$6,C1607-1)</f>
        <v>47574</v>
      </c>
      <c r="E1607" s="11" t="n">
        <f aca="false">IF(AND(OR(Nonlabor!$D$10="Both",Nonlabor!$D$10='Start Here'!$B$9),IF(Nonlabor!$E$10="Core",1,IF(Nonlabor!$E$10="AI",'Start Here'!$B$7,'Start Here'!$B$8))=1,C1607&gt;=IF(Nonlabor!$E$10="Core",Nonlabor!$F$10,MAX(Nonlabor!$F$10,IF(Nonlabor!$E$10="AI",Assumptions!$D$24,Assumptions!$D$25))),C1607&lt;=Nonlabor!$G$10,OR(Nonlabor!$H$10="Monthly",AND(Nonlabor!$H$10="Once",C1607=IF(Nonlabor!$E$10="Core",Nonlabor!$F$10,MAX(Nonlabor!$F$10,IF(Nonlabor!$E$10="AI",Assumptions!$D$24,Assumptions!$D$25)))),AND(Nonlabor!$H$10="Annual",MOD(C1607-IF(Nonlabor!$E$10="Core",Nonlabor!$F$10,MAX(Nonlabor!$F$10,IF(Nonlabor!$E$10="AI",Assumptions!$D$24,Assumptions!$D$25))),12)=0))),IF(Nonlabor!$I$10="Fixed",1,IF(Nonlabor!$I$10="Seats",ROUNDUP('Monthly Base'!I47,0),IF(Nonlabor!$I$10="Customers",'Monthly Base'!D47,IF(Nonlabor!$I$10="NewCustomers",'Monthly Base'!C47,IF(Nonlabor!$I$10="StorageGB",'Monthly Base'!G47,IF(Nonlabor!$I$10="LogGB",'Monthly Base'!H47,IF(Nonlabor!$I$10="RequestsM",'Monthly Base'!F47,IF(Nonlabor!$I$10="InputM",'Monthly Base'!D47*Assumptions!$D$22/1000000,IF(Nonlabor!$I$10="OutputM",'Monthly Base'!D47*Assumptions!$D$23/1000000,0))))))))),0)</f>
        <v>193.466316917963</v>
      </c>
      <c r="F1607" s="10" t="n">
        <f aca="false">Nonlabor!$J$10*(1+Assumptions!$D$9)^INT((C1607-1)/12)</f>
        <v>0.16390905</v>
      </c>
      <c r="G1607" s="10" t="n">
        <f aca="false">E1607*F1607</f>
        <v>31.7108802130222</v>
      </c>
      <c r="H1607" s="10" t="n">
        <f aca="false">IF(OR(Nonlabor!$L$10="Quote required",Nonlabor!$L$10="Unverified"),G1607,0)</f>
        <v>0</v>
      </c>
      <c r="I1607" s="10" t="n">
        <f aca="false">IF(Nonlabor!$E$10="Core",0,G1607)</f>
        <v>0</v>
      </c>
      <c r="J1607" s="23" t="str">
        <f aca="false">Nonlabor!$B$10</f>
        <v>INFRA</v>
      </c>
    </row>
    <row r="1608" customFormat="false" ht="15" hidden="false" customHeight="false" outlineLevel="0" collapsed="false">
      <c r="A1608" s="6" t="s">
        <v>4</v>
      </c>
      <c r="B1608" s="6" t="s">
        <v>383</v>
      </c>
      <c r="C1608" s="6" t="n">
        <v>43</v>
      </c>
      <c r="D1608" s="25" t="n">
        <f aca="false">EDATE('Start Here'!$B$6,C1608-1)</f>
        <v>47604</v>
      </c>
      <c r="E1608" s="11" t="n">
        <f aca="false">IF(AND(OR(Nonlabor!$D$10="Both",Nonlabor!$D$10='Start Here'!$B$9),IF(Nonlabor!$E$10="Core",1,IF(Nonlabor!$E$10="AI",'Start Here'!$B$7,'Start Here'!$B$8))=1,C1608&gt;=IF(Nonlabor!$E$10="Core",Nonlabor!$F$10,MAX(Nonlabor!$F$10,IF(Nonlabor!$E$10="AI",Assumptions!$D$24,Assumptions!$D$25))),C1608&lt;=Nonlabor!$G$10,OR(Nonlabor!$H$10="Monthly",AND(Nonlabor!$H$10="Once",C1608=IF(Nonlabor!$E$10="Core",Nonlabor!$F$10,MAX(Nonlabor!$F$10,IF(Nonlabor!$E$10="AI",Assumptions!$D$24,Assumptions!$D$25)))),AND(Nonlabor!$H$10="Annual",MOD(C1608-IF(Nonlabor!$E$10="Core",Nonlabor!$F$10,MAX(Nonlabor!$F$10,IF(Nonlabor!$E$10="AI",Assumptions!$D$24,Assumptions!$D$25))),12)=0))),IF(Nonlabor!$I$10="Fixed",1,IF(Nonlabor!$I$10="Seats",ROUNDUP('Monthly Base'!I48,0),IF(Nonlabor!$I$10="Customers",'Monthly Base'!D48,IF(Nonlabor!$I$10="NewCustomers",'Monthly Base'!C48,IF(Nonlabor!$I$10="StorageGB",'Monthly Base'!G48,IF(Nonlabor!$I$10="LogGB",'Monthly Base'!H48,IF(Nonlabor!$I$10="RequestsM",'Monthly Base'!F48,IF(Nonlabor!$I$10="InputM",'Monthly Base'!D48*Assumptions!$D$22/1000000,IF(Nonlabor!$I$10="OutputM",'Monthly Base'!D48*Assumptions!$D$23/1000000,0))))))))),0)</f>
        <v>202.781653748783</v>
      </c>
      <c r="F1608" s="10" t="n">
        <f aca="false">Nonlabor!$J$10*(1+Assumptions!$D$9)^INT((C1608-1)/12)</f>
        <v>0.16390905</v>
      </c>
      <c r="G1608" s="10" t="n">
        <f aca="false">E1608*F1608</f>
        <v>33.237748223392</v>
      </c>
      <c r="H1608" s="10" t="n">
        <f aca="false">IF(OR(Nonlabor!$L$10="Quote required",Nonlabor!$L$10="Unverified"),G1608,0)</f>
        <v>0</v>
      </c>
      <c r="I1608" s="10" t="n">
        <f aca="false">IF(Nonlabor!$E$10="Core",0,G1608)</f>
        <v>0</v>
      </c>
      <c r="J1608" s="23" t="str">
        <f aca="false">Nonlabor!$B$10</f>
        <v>INFRA</v>
      </c>
    </row>
    <row r="1609" customFormat="false" ht="15" hidden="false" customHeight="false" outlineLevel="0" collapsed="false">
      <c r="A1609" s="6" t="s">
        <v>4</v>
      </c>
      <c r="B1609" s="6" t="s">
        <v>383</v>
      </c>
      <c r="C1609" s="6" t="n">
        <v>44</v>
      </c>
      <c r="D1609" s="25" t="n">
        <f aca="false">EDATE('Start Here'!$B$6,C1609-1)</f>
        <v>47635</v>
      </c>
      <c r="E1609" s="11" t="n">
        <f aca="false">IF(AND(OR(Nonlabor!$D$10="Both",Nonlabor!$D$10='Start Here'!$B$9),IF(Nonlabor!$E$10="Core",1,IF(Nonlabor!$E$10="AI",'Start Here'!$B$7,'Start Here'!$B$8))=1,C1609&gt;=IF(Nonlabor!$E$10="Core",Nonlabor!$F$10,MAX(Nonlabor!$F$10,IF(Nonlabor!$E$10="AI",Assumptions!$D$24,Assumptions!$D$25))),C1609&lt;=Nonlabor!$G$10,OR(Nonlabor!$H$10="Monthly",AND(Nonlabor!$H$10="Once",C1609=IF(Nonlabor!$E$10="Core",Nonlabor!$F$10,MAX(Nonlabor!$F$10,IF(Nonlabor!$E$10="AI",Assumptions!$D$24,Assumptions!$D$25)))),AND(Nonlabor!$H$10="Annual",MOD(C1609-IF(Nonlabor!$E$10="Core",Nonlabor!$F$10,MAX(Nonlabor!$F$10,IF(Nonlabor!$E$10="AI",Assumptions!$D$24,Assumptions!$D$25))),12)=0))),IF(Nonlabor!$I$10="Fixed",1,IF(Nonlabor!$I$10="Seats",ROUNDUP('Monthly Base'!I49,0),IF(Nonlabor!$I$10="Customers",'Monthly Base'!D49,IF(Nonlabor!$I$10="NewCustomers",'Monthly Base'!C49,IF(Nonlabor!$I$10="StorageGB",'Monthly Base'!G49,IF(Nonlabor!$I$10="LogGB",'Monthly Base'!H49,IF(Nonlabor!$I$10="RequestsM",'Monthly Base'!F49,IF(Nonlabor!$I$10="InputM",'Monthly Base'!D49*Assumptions!$D$22/1000000,IF(Nonlabor!$I$10="OutputM",'Monthly Base'!D49*Assumptions!$D$23/1000000,0))))))))),0)</f>
        <v>212.003837211295</v>
      </c>
      <c r="F1609" s="10" t="n">
        <f aca="false">Nonlabor!$J$10*(1+Assumptions!$D$9)^INT((C1609-1)/12)</f>
        <v>0.16390905</v>
      </c>
      <c r="G1609" s="10" t="n">
        <f aca="false">E1609*F1609</f>
        <v>34.7493475536581</v>
      </c>
      <c r="H1609" s="10" t="n">
        <f aca="false">IF(OR(Nonlabor!$L$10="Quote required",Nonlabor!$L$10="Unverified"),G1609,0)</f>
        <v>0</v>
      </c>
      <c r="I1609" s="10" t="n">
        <f aca="false">IF(Nonlabor!$E$10="Core",0,G1609)</f>
        <v>0</v>
      </c>
      <c r="J1609" s="23" t="str">
        <f aca="false">Nonlabor!$B$10</f>
        <v>INFRA</v>
      </c>
    </row>
    <row r="1610" customFormat="false" ht="15" hidden="false" customHeight="false" outlineLevel="0" collapsed="false">
      <c r="A1610" s="6" t="s">
        <v>4</v>
      </c>
      <c r="B1610" s="6" t="s">
        <v>383</v>
      </c>
      <c r="C1610" s="6" t="n">
        <v>45</v>
      </c>
      <c r="D1610" s="25" t="n">
        <f aca="false">EDATE('Start Here'!$B$6,C1610-1)</f>
        <v>47665</v>
      </c>
      <c r="E1610" s="11" t="n">
        <f aca="false">IF(AND(OR(Nonlabor!$D$10="Both",Nonlabor!$D$10='Start Here'!$B$9),IF(Nonlabor!$E$10="Core",1,IF(Nonlabor!$E$10="AI",'Start Here'!$B$7,'Start Here'!$B$8))=1,C1610&gt;=IF(Nonlabor!$E$10="Core",Nonlabor!$F$10,MAX(Nonlabor!$F$10,IF(Nonlabor!$E$10="AI",Assumptions!$D$24,Assumptions!$D$25))),C1610&lt;=Nonlabor!$G$10,OR(Nonlabor!$H$10="Monthly",AND(Nonlabor!$H$10="Once",C1610=IF(Nonlabor!$E$10="Core",Nonlabor!$F$10,MAX(Nonlabor!$F$10,IF(Nonlabor!$E$10="AI",Assumptions!$D$24,Assumptions!$D$25)))),AND(Nonlabor!$H$10="Annual",MOD(C1610-IF(Nonlabor!$E$10="Core",Nonlabor!$F$10,MAX(Nonlabor!$F$10,IF(Nonlabor!$E$10="AI",Assumptions!$D$24,Assumptions!$D$25))),12)=0))),IF(Nonlabor!$I$10="Fixed",1,IF(Nonlabor!$I$10="Seats",ROUNDUP('Monthly Base'!I50,0),IF(Nonlabor!$I$10="Customers",'Monthly Base'!D50,IF(Nonlabor!$I$10="NewCustomers",'Monthly Base'!C50,IF(Nonlabor!$I$10="StorageGB",'Monthly Base'!G50,IF(Nonlabor!$I$10="LogGB",'Monthly Base'!H50,IF(Nonlabor!$I$10="RequestsM",'Monthly Base'!F50,IF(Nonlabor!$I$10="InputM",'Monthly Base'!D50*Assumptions!$D$22/1000000,IF(Nonlabor!$I$10="OutputM",'Monthly Base'!D50*Assumptions!$D$23/1000000,0))))))))),0)</f>
        <v>221.133798839182</v>
      </c>
      <c r="F1610" s="10" t="n">
        <f aca="false">Nonlabor!$J$10*(1+Assumptions!$D$9)^INT((C1610-1)/12)</f>
        <v>0.16390905</v>
      </c>
      <c r="G1610" s="10" t="n">
        <f aca="false">E1610*F1610</f>
        <v>36.2458308906215</v>
      </c>
      <c r="H1610" s="10" t="n">
        <f aca="false">IF(OR(Nonlabor!$L$10="Quote required",Nonlabor!$L$10="Unverified"),G1610,0)</f>
        <v>0</v>
      </c>
      <c r="I1610" s="10" t="n">
        <f aca="false">IF(Nonlabor!$E$10="Core",0,G1610)</f>
        <v>0</v>
      </c>
      <c r="J1610" s="23" t="str">
        <f aca="false">Nonlabor!$B$10</f>
        <v>INFRA</v>
      </c>
    </row>
    <row r="1611" customFormat="false" ht="15" hidden="false" customHeight="false" outlineLevel="0" collapsed="false">
      <c r="A1611" s="6" t="s">
        <v>4</v>
      </c>
      <c r="B1611" s="6" t="s">
        <v>383</v>
      </c>
      <c r="C1611" s="6" t="n">
        <v>46</v>
      </c>
      <c r="D1611" s="25" t="n">
        <f aca="false">EDATE('Start Here'!$B$6,C1611-1)</f>
        <v>47696</v>
      </c>
      <c r="E1611" s="11" t="n">
        <f aca="false">IF(AND(OR(Nonlabor!$D$10="Both",Nonlabor!$D$10='Start Here'!$B$9),IF(Nonlabor!$E$10="Core",1,IF(Nonlabor!$E$10="AI",'Start Here'!$B$7,'Start Here'!$B$8))=1,C1611&gt;=IF(Nonlabor!$E$10="Core",Nonlabor!$F$10,MAX(Nonlabor!$F$10,IF(Nonlabor!$E$10="AI",Assumptions!$D$24,Assumptions!$D$25))),C1611&lt;=Nonlabor!$G$10,OR(Nonlabor!$H$10="Monthly",AND(Nonlabor!$H$10="Once",C1611=IF(Nonlabor!$E$10="Core",Nonlabor!$F$10,MAX(Nonlabor!$F$10,IF(Nonlabor!$E$10="AI",Assumptions!$D$24,Assumptions!$D$25)))),AND(Nonlabor!$H$10="Annual",MOD(C1611-IF(Nonlabor!$E$10="Core",Nonlabor!$F$10,MAX(Nonlabor!$F$10,IF(Nonlabor!$E$10="AI",Assumptions!$D$24,Assumptions!$D$25))),12)=0))),IF(Nonlabor!$I$10="Fixed",1,IF(Nonlabor!$I$10="Seats",ROUNDUP('Monthly Base'!I51,0),IF(Nonlabor!$I$10="Customers",'Monthly Base'!D51,IF(Nonlabor!$I$10="NewCustomers",'Monthly Base'!C51,IF(Nonlabor!$I$10="StorageGB",'Monthly Base'!G51,IF(Nonlabor!$I$10="LogGB",'Monthly Base'!H51,IF(Nonlabor!$I$10="RequestsM",'Monthly Base'!F51,IF(Nonlabor!$I$10="InputM",'Monthly Base'!D51*Assumptions!$D$22/1000000,IF(Nonlabor!$I$10="OutputM",'Monthly Base'!D51*Assumptions!$D$23/1000000,0))))))))),0)</f>
        <v>230.172460850791</v>
      </c>
      <c r="F1611" s="10" t="n">
        <f aca="false">Nonlabor!$J$10*(1+Assumptions!$D$9)^INT((C1611-1)/12)</f>
        <v>0.16390905</v>
      </c>
      <c r="G1611" s="10" t="n">
        <f aca="false">E1611*F1611</f>
        <v>37.7273493942153</v>
      </c>
      <c r="H1611" s="10" t="n">
        <f aca="false">IF(OR(Nonlabor!$L$10="Quote required",Nonlabor!$L$10="Unverified"),G1611,0)</f>
        <v>0</v>
      </c>
      <c r="I1611" s="10" t="n">
        <f aca="false">IF(Nonlabor!$E$10="Core",0,G1611)</f>
        <v>0</v>
      </c>
      <c r="J1611" s="23" t="str">
        <f aca="false">Nonlabor!$B$10</f>
        <v>INFRA</v>
      </c>
    </row>
    <row r="1612" customFormat="false" ht="15" hidden="false" customHeight="false" outlineLevel="0" collapsed="false">
      <c r="A1612" s="6" t="s">
        <v>4</v>
      </c>
      <c r="B1612" s="6" t="s">
        <v>383</v>
      </c>
      <c r="C1612" s="6" t="n">
        <v>47</v>
      </c>
      <c r="D1612" s="25" t="n">
        <f aca="false">EDATE('Start Here'!$B$6,C1612-1)</f>
        <v>47727</v>
      </c>
      <c r="E1612" s="11" t="n">
        <f aca="false">IF(AND(OR(Nonlabor!$D$10="Both",Nonlabor!$D$10='Start Here'!$B$9),IF(Nonlabor!$E$10="Core",1,IF(Nonlabor!$E$10="AI",'Start Here'!$B$7,'Start Here'!$B$8))=1,C1612&gt;=IF(Nonlabor!$E$10="Core",Nonlabor!$F$10,MAX(Nonlabor!$F$10,IF(Nonlabor!$E$10="AI",Assumptions!$D$24,Assumptions!$D$25))),C1612&lt;=Nonlabor!$G$10,OR(Nonlabor!$H$10="Monthly",AND(Nonlabor!$H$10="Once",C1612=IF(Nonlabor!$E$10="Core",Nonlabor!$F$10,MAX(Nonlabor!$F$10,IF(Nonlabor!$E$10="AI",Assumptions!$D$24,Assumptions!$D$25)))),AND(Nonlabor!$H$10="Annual",MOD(C1612-IF(Nonlabor!$E$10="Core",Nonlabor!$F$10,MAX(Nonlabor!$F$10,IF(Nonlabor!$E$10="AI",Assumptions!$D$24,Assumptions!$D$25))),12)=0))),IF(Nonlabor!$I$10="Fixed",1,IF(Nonlabor!$I$10="Seats",ROUNDUP('Monthly Base'!I52,0),IF(Nonlabor!$I$10="Customers",'Monthly Base'!D52,IF(Nonlabor!$I$10="NewCustomers",'Monthly Base'!C52,IF(Nonlabor!$I$10="StorageGB",'Monthly Base'!G52,IF(Nonlabor!$I$10="LogGB",'Monthly Base'!H52,IF(Nonlabor!$I$10="RequestsM",'Monthly Base'!F52,IF(Nonlabor!$I$10="InputM",'Monthly Base'!D52*Assumptions!$D$22/1000000,IF(Nonlabor!$I$10="OutputM",'Monthly Base'!D52*Assumptions!$D$23/1000000,0))))))))),0)</f>
        <v>239.120736242283</v>
      </c>
      <c r="F1612" s="10" t="n">
        <f aca="false">Nonlabor!$J$10*(1+Assumptions!$D$9)^INT((C1612-1)/12)</f>
        <v>0.16390905</v>
      </c>
      <c r="G1612" s="10" t="n">
        <f aca="false">E1612*F1612</f>
        <v>39.1940527127731</v>
      </c>
      <c r="H1612" s="10" t="n">
        <f aca="false">IF(OR(Nonlabor!$L$10="Quote required",Nonlabor!$L$10="Unverified"),G1612,0)</f>
        <v>0</v>
      </c>
      <c r="I1612" s="10" t="n">
        <f aca="false">IF(Nonlabor!$E$10="Core",0,G1612)</f>
        <v>0</v>
      </c>
      <c r="J1612" s="23" t="str">
        <f aca="false">Nonlabor!$B$10</f>
        <v>INFRA</v>
      </c>
    </row>
    <row r="1613" customFormat="false" ht="15" hidden="false" customHeight="false" outlineLevel="0" collapsed="false">
      <c r="A1613" s="6" t="s">
        <v>4</v>
      </c>
      <c r="B1613" s="6" t="s">
        <v>383</v>
      </c>
      <c r="C1613" s="6" t="n">
        <v>48</v>
      </c>
      <c r="D1613" s="25" t="n">
        <f aca="false">EDATE('Start Here'!$B$6,C1613-1)</f>
        <v>47757</v>
      </c>
      <c r="E1613" s="11" t="n">
        <f aca="false">IF(AND(OR(Nonlabor!$D$10="Both",Nonlabor!$D$10='Start Here'!$B$9),IF(Nonlabor!$E$10="Core",1,IF(Nonlabor!$E$10="AI",'Start Here'!$B$7,'Start Here'!$B$8))=1,C1613&gt;=IF(Nonlabor!$E$10="Core",Nonlabor!$F$10,MAX(Nonlabor!$F$10,IF(Nonlabor!$E$10="AI",Assumptions!$D$24,Assumptions!$D$25))),C1613&lt;=Nonlabor!$G$10,OR(Nonlabor!$H$10="Monthly",AND(Nonlabor!$H$10="Once",C1613=IF(Nonlabor!$E$10="Core",Nonlabor!$F$10,MAX(Nonlabor!$F$10,IF(Nonlabor!$E$10="AI",Assumptions!$D$24,Assumptions!$D$25)))),AND(Nonlabor!$H$10="Annual",MOD(C1613-IF(Nonlabor!$E$10="Core",Nonlabor!$F$10,MAX(Nonlabor!$F$10,IF(Nonlabor!$E$10="AI",Assumptions!$D$24,Assumptions!$D$25))),12)=0))),IF(Nonlabor!$I$10="Fixed",1,IF(Nonlabor!$I$10="Seats",ROUNDUP('Monthly Base'!I53,0),IF(Nonlabor!$I$10="Customers",'Monthly Base'!D53,IF(Nonlabor!$I$10="NewCustomers",'Monthly Base'!C53,IF(Nonlabor!$I$10="StorageGB",'Monthly Base'!G53,IF(Nonlabor!$I$10="LogGB",'Monthly Base'!H53,IF(Nonlabor!$I$10="RequestsM",'Monthly Base'!F53,IF(Nonlabor!$I$10="InputM",'Monthly Base'!D53*Assumptions!$D$22/1000000,IF(Nonlabor!$I$10="OutputM",'Monthly Base'!D53*Assumptions!$D$23/1000000,0))))))))),0)</f>
        <v>247.97952887986</v>
      </c>
      <c r="F1613" s="10" t="n">
        <f aca="false">Nonlabor!$J$10*(1+Assumptions!$D$9)^INT((C1613-1)/12)</f>
        <v>0.16390905</v>
      </c>
      <c r="G1613" s="10" t="n">
        <f aca="false">E1613*F1613</f>
        <v>40.6460889981454</v>
      </c>
      <c r="H1613" s="10" t="n">
        <f aca="false">IF(OR(Nonlabor!$L$10="Quote required",Nonlabor!$L$10="Unverified"),G1613,0)</f>
        <v>0</v>
      </c>
      <c r="I1613" s="10" t="n">
        <f aca="false">IF(Nonlabor!$E$10="Core",0,G1613)</f>
        <v>0</v>
      </c>
      <c r="J1613" s="23" t="str">
        <f aca="false">Nonlabor!$B$10</f>
        <v>INFRA</v>
      </c>
    </row>
    <row r="1614" customFormat="false" ht="15" hidden="false" customHeight="false" outlineLevel="0" collapsed="false">
      <c r="A1614" s="6" t="s">
        <v>4</v>
      </c>
      <c r="B1614" s="6" t="s">
        <v>383</v>
      </c>
      <c r="C1614" s="6" t="n">
        <v>49</v>
      </c>
      <c r="D1614" s="25" t="n">
        <f aca="false">EDATE('Start Here'!$B$6,C1614-1)</f>
        <v>47788</v>
      </c>
      <c r="E1614" s="11" t="n">
        <f aca="false">IF(AND(OR(Nonlabor!$D$10="Both",Nonlabor!$D$10='Start Here'!$B$9),IF(Nonlabor!$E$10="Core",1,IF(Nonlabor!$E$10="AI",'Start Here'!$B$7,'Start Here'!$B$8))=1,C1614&gt;=IF(Nonlabor!$E$10="Core",Nonlabor!$F$10,MAX(Nonlabor!$F$10,IF(Nonlabor!$E$10="AI",Assumptions!$D$24,Assumptions!$D$25))),C1614&lt;=Nonlabor!$G$10,OR(Nonlabor!$H$10="Monthly",AND(Nonlabor!$H$10="Once",C1614=IF(Nonlabor!$E$10="Core",Nonlabor!$F$10,MAX(Nonlabor!$F$10,IF(Nonlabor!$E$10="AI",Assumptions!$D$24,Assumptions!$D$25)))),AND(Nonlabor!$H$10="Annual",MOD(C1614-IF(Nonlabor!$E$10="Core",Nonlabor!$F$10,MAX(Nonlabor!$F$10,IF(Nonlabor!$E$10="AI",Assumptions!$D$24,Assumptions!$D$25))),12)=0))),IF(Nonlabor!$I$10="Fixed",1,IF(Nonlabor!$I$10="Seats",ROUNDUP('Monthly Base'!I54,0),IF(Nonlabor!$I$10="Customers",'Monthly Base'!D54,IF(Nonlabor!$I$10="NewCustomers",'Monthly Base'!C54,IF(Nonlabor!$I$10="StorageGB",'Monthly Base'!G54,IF(Nonlabor!$I$10="LogGB",'Monthly Base'!H54,IF(Nonlabor!$I$10="RequestsM",'Monthly Base'!F54,IF(Nonlabor!$I$10="InputM",'Monthly Base'!D54*Assumptions!$D$22/1000000,IF(Nonlabor!$I$10="OutputM",'Monthly Base'!D54*Assumptions!$D$23/1000000,0))))))))),0)</f>
        <v>262.374733591061</v>
      </c>
      <c r="F1614" s="10" t="n">
        <f aca="false">Nonlabor!$J$10*(1+Assumptions!$D$9)^INT((C1614-1)/12)</f>
        <v>0.1688263215</v>
      </c>
      <c r="G1614" s="10" t="n">
        <f aca="false">E1614*F1614</f>
        <v>44.2957611267214</v>
      </c>
      <c r="H1614" s="10" t="n">
        <f aca="false">IF(OR(Nonlabor!$L$10="Quote required",Nonlabor!$L$10="Unverified"),G1614,0)</f>
        <v>0</v>
      </c>
      <c r="I1614" s="10" t="n">
        <f aca="false">IF(Nonlabor!$E$10="Core",0,G1614)</f>
        <v>0</v>
      </c>
      <c r="J1614" s="23" t="str">
        <f aca="false">Nonlabor!$B$10</f>
        <v>INFRA</v>
      </c>
    </row>
    <row r="1615" customFormat="false" ht="15" hidden="false" customHeight="false" outlineLevel="0" collapsed="false">
      <c r="A1615" s="6" t="s">
        <v>4</v>
      </c>
      <c r="B1615" s="6" t="s">
        <v>383</v>
      </c>
      <c r="C1615" s="6" t="n">
        <v>50</v>
      </c>
      <c r="D1615" s="25" t="n">
        <f aca="false">EDATE('Start Here'!$B$6,C1615-1)</f>
        <v>47818</v>
      </c>
      <c r="E1615" s="11" t="n">
        <f aca="false">IF(AND(OR(Nonlabor!$D$10="Both",Nonlabor!$D$10='Start Here'!$B$9),IF(Nonlabor!$E$10="Core",1,IF(Nonlabor!$E$10="AI",'Start Here'!$B$7,'Start Here'!$B$8))=1,C1615&gt;=IF(Nonlabor!$E$10="Core",Nonlabor!$F$10,MAX(Nonlabor!$F$10,IF(Nonlabor!$E$10="AI",Assumptions!$D$24,Assumptions!$D$25))),C1615&lt;=Nonlabor!$G$10,OR(Nonlabor!$H$10="Monthly",AND(Nonlabor!$H$10="Once",C1615=IF(Nonlabor!$E$10="Core",Nonlabor!$F$10,MAX(Nonlabor!$F$10,IF(Nonlabor!$E$10="AI",Assumptions!$D$24,Assumptions!$D$25)))),AND(Nonlabor!$H$10="Annual",MOD(C1615-IF(Nonlabor!$E$10="Core",Nonlabor!$F$10,MAX(Nonlabor!$F$10,IF(Nonlabor!$E$10="AI",Assumptions!$D$24,Assumptions!$D$25))),12)=0))),IF(Nonlabor!$I$10="Fixed",1,IF(Nonlabor!$I$10="Seats",ROUNDUP('Monthly Base'!I55,0),IF(Nonlabor!$I$10="Customers",'Monthly Base'!D55,IF(Nonlabor!$I$10="NewCustomers",'Monthly Base'!C55,IF(Nonlabor!$I$10="StorageGB",'Monthly Base'!G55,IF(Nonlabor!$I$10="LogGB",'Monthly Base'!H55,IF(Nonlabor!$I$10="RequestsM",'Monthly Base'!F55,IF(Nonlabor!$I$10="InputM",'Monthly Base'!D55*Assumptions!$D$22/1000000,IF(Nonlabor!$I$10="OutputM",'Monthly Base'!D55*Assumptions!$D$23/1000000,0))))))))),0)</f>
        <v>276.625986255151</v>
      </c>
      <c r="F1615" s="10" t="n">
        <f aca="false">Nonlabor!$J$10*(1+Assumptions!$D$9)^INT((C1615-1)/12)</f>
        <v>0.1688263215</v>
      </c>
      <c r="G1615" s="10" t="n">
        <f aca="false">E1615*F1615</f>
        <v>46.7017476907667</v>
      </c>
      <c r="H1615" s="10" t="n">
        <f aca="false">IF(OR(Nonlabor!$L$10="Quote required",Nonlabor!$L$10="Unverified"),G1615,0)</f>
        <v>0</v>
      </c>
      <c r="I1615" s="10" t="n">
        <f aca="false">IF(Nonlabor!$E$10="Core",0,G1615)</f>
        <v>0</v>
      </c>
      <c r="J1615" s="23" t="str">
        <f aca="false">Nonlabor!$B$10</f>
        <v>INFRA</v>
      </c>
    </row>
    <row r="1616" customFormat="false" ht="15" hidden="false" customHeight="false" outlineLevel="0" collapsed="false">
      <c r="A1616" s="6" t="s">
        <v>4</v>
      </c>
      <c r="B1616" s="6" t="s">
        <v>383</v>
      </c>
      <c r="C1616" s="6" t="n">
        <v>51</v>
      </c>
      <c r="D1616" s="25" t="n">
        <f aca="false">EDATE('Start Here'!$B$6,C1616-1)</f>
        <v>47849</v>
      </c>
      <c r="E1616" s="11" t="n">
        <f aca="false">IF(AND(OR(Nonlabor!$D$10="Both",Nonlabor!$D$10='Start Here'!$B$9),IF(Nonlabor!$E$10="Core",1,IF(Nonlabor!$E$10="AI",'Start Here'!$B$7,'Start Here'!$B$8))=1,C1616&gt;=IF(Nonlabor!$E$10="Core",Nonlabor!$F$10,MAX(Nonlabor!$F$10,IF(Nonlabor!$E$10="AI",Assumptions!$D$24,Assumptions!$D$25))),C1616&lt;=Nonlabor!$G$10,OR(Nonlabor!$H$10="Monthly",AND(Nonlabor!$H$10="Once",C1616=IF(Nonlabor!$E$10="Core",Nonlabor!$F$10,MAX(Nonlabor!$F$10,IF(Nonlabor!$E$10="AI",Assumptions!$D$24,Assumptions!$D$25)))),AND(Nonlabor!$H$10="Annual",MOD(C1616-IF(Nonlabor!$E$10="Core",Nonlabor!$F$10,MAX(Nonlabor!$F$10,IF(Nonlabor!$E$10="AI",Assumptions!$D$24,Assumptions!$D$25))),12)=0))),IF(Nonlabor!$I$10="Fixed",1,IF(Nonlabor!$I$10="Seats",ROUNDUP('Monthly Base'!I56,0),IF(Nonlabor!$I$10="Customers",'Monthly Base'!D56,IF(Nonlabor!$I$10="NewCustomers",'Monthly Base'!C56,IF(Nonlabor!$I$10="StorageGB",'Monthly Base'!G56,IF(Nonlabor!$I$10="LogGB",'Monthly Base'!H56,IF(Nonlabor!$I$10="RequestsM",'Monthly Base'!F56,IF(Nonlabor!$I$10="InputM",'Monthly Base'!D56*Assumptions!$D$22/1000000,IF(Nonlabor!$I$10="OutputM",'Monthly Base'!D56*Assumptions!$D$23/1000000,0))))))))),0)</f>
        <v>290.734726392599</v>
      </c>
      <c r="F1616" s="10" t="n">
        <f aca="false">Nonlabor!$J$10*(1+Assumptions!$D$9)^INT((C1616-1)/12)</f>
        <v>0.1688263215</v>
      </c>
      <c r="G1616" s="10" t="n">
        <f aca="false">E1616*F1616</f>
        <v>49.0836743891715</v>
      </c>
      <c r="H1616" s="10" t="n">
        <f aca="false">IF(OR(Nonlabor!$L$10="Quote required",Nonlabor!$L$10="Unverified"),G1616,0)</f>
        <v>0</v>
      </c>
      <c r="I1616" s="10" t="n">
        <f aca="false">IF(Nonlabor!$E$10="Core",0,G1616)</f>
        <v>0</v>
      </c>
      <c r="J1616" s="23" t="str">
        <f aca="false">Nonlabor!$B$10</f>
        <v>INFRA</v>
      </c>
    </row>
    <row r="1617" customFormat="false" ht="15" hidden="false" customHeight="false" outlineLevel="0" collapsed="false">
      <c r="A1617" s="6" t="s">
        <v>4</v>
      </c>
      <c r="B1617" s="6" t="s">
        <v>383</v>
      </c>
      <c r="C1617" s="6" t="n">
        <v>52</v>
      </c>
      <c r="D1617" s="25" t="n">
        <f aca="false">EDATE('Start Here'!$B$6,C1617-1)</f>
        <v>47880</v>
      </c>
      <c r="E1617" s="11" t="n">
        <f aca="false">IF(AND(OR(Nonlabor!$D$10="Both",Nonlabor!$D$10='Start Here'!$B$9),IF(Nonlabor!$E$10="Core",1,IF(Nonlabor!$E$10="AI",'Start Here'!$B$7,'Start Here'!$B$8))=1,C1617&gt;=IF(Nonlabor!$E$10="Core",Nonlabor!$F$10,MAX(Nonlabor!$F$10,IF(Nonlabor!$E$10="AI",Assumptions!$D$24,Assumptions!$D$25))),C1617&lt;=Nonlabor!$G$10,OR(Nonlabor!$H$10="Monthly",AND(Nonlabor!$H$10="Once",C1617=IF(Nonlabor!$E$10="Core",Nonlabor!$F$10,MAX(Nonlabor!$F$10,IF(Nonlabor!$E$10="AI",Assumptions!$D$24,Assumptions!$D$25)))),AND(Nonlabor!$H$10="Annual",MOD(C1617-IF(Nonlabor!$E$10="Core",Nonlabor!$F$10,MAX(Nonlabor!$F$10,IF(Nonlabor!$E$10="AI",Assumptions!$D$24,Assumptions!$D$25))),12)=0))),IF(Nonlabor!$I$10="Fixed",1,IF(Nonlabor!$I$10="Seats",ROUNDUP('Monthly Base'!I57,0),IF(Nonlabor!$I$10="Customers",'Monthly Base'!D57,IF(Nonlabor!$I$10="NewCustomers",'Monthly Base'!C57,IF(Nonlabor!$I$10="StorageGB",'Monthly Base'!G57,IF(Nonlabor!$I$10="LogGB",'Monthly Base'!H57,IF(Nonlabor!$I$10="RequestsM",'Monthly Base'!F57,IF(Nonlabor!$I$10="InputM",'Monthly Base'!D57*Assumptions!$D$22/1000000,IF(Nonlabor!$I$10="OutputM",'Monthly Base'!D57*Assumptions!$D$23/1000000,0))))))))),0)</f>
        <v>304.702379128673</v>
      </c>
      <c r="F1617" s="10" t="n">
        <f aca="false">Nonlabor!$J$10*(1+Assumptions!$D$9)^INT((C1617-1)/12)</f>
        <v>0.1688263215</v>
      </c>
      <c r="G1617" s="10" t="n">
        <f aca="false">E1617*F1617</f>
        <v>51.4417818205923</v>
      </c>
      <c r="H1617" s="10" t="n">
        <f aca="false">IF(OR(Nonlabor!$L$10="Quote required",Nonlabor!$L$10="Unverified"),G1617,0)</f>
        <v>0</v>
      </c>
      <c r="I1617" s="10" t="n">
        <f aca="false">IF(Nonlabor!$E$10="Core",0,G1617)</f>
        <v>0</v>
      </c>
      <c r="J1617" s="23" t="str">
        <f aca="false">Nonlabor!$B$10</f>
        <v>INFRA</v>
      </c>
    </row>
    <row r="1618" customFormat="false" ht="15" hidden="false" customHeight="false" outlineLevel="0" collapsed="false">
      <c r="A1618" s="6" t="s">
        <v>4</v>
      </c>
      <c r="B1618" s="6" t="s">
        <v>383</v>
      </c>
      <c r="C1618" s="6" t="n">
        <v>53</v>
      </c>
      <c r="D1618" s="25" t="n">
        <f aca="false">EDATE('Start Here'!$B$6,C1618-1)</f>
        <v>47908</v>
      </c>
      <c r="E1618" s="11" t="n">
        <f aca="false">IF(AND(OR(Nonlabor!$D$10="Both",Nonlabor!$D$10='Start Here'!$B$9),IF(Nonlabor!$E$10="Core",1,IF(Nonlabor!$E$10="AI",'Start Here'!$B$7,'Start Here'!$B$8))=1,C1618&gt;=IF(Nonlabor!$E$10="Core",Nonlabor!$F$10,MAX(Nonlabor!$F$10,IF(Nonlabor!$E$10="AI",Assumptions!$D$24,Assumptions!$D$25))),C1618&lt;=Nonlabor!$G$10,OR(Nonlabor!$H$10="Monthly",AND(Nonlabor!$H$10="Once",C1618=IF(Nonlabor!$E$10="Core",Nonlabor!$F$10,MAX(Nonlabor!$F$10,IF(Nonlabor!$E$10="AI",Assumptions!$D$24,Assumptions!$D$25)))),AND(Nonlabor!$H$10="Annual",MOD(C1618-IF(Nonlabor!$E$10="Core",Nonlabor!$F$10,MAX(Nonlabor!$F$10,IF(Nonlabor!$E$10="AI",Assumptions!$D$24,Assumptions!$D$25))),12)=0))),IF(Nonlabor!$I$10="Fixed",1,IF(Nonlabor!$I$10="Seats",ROUNDUP('Monthly Base'!I58,0),IF(Nonlabor!$I$10="Customers",'Monthly Base'!D58,IF(Nonlabor!$I$10="NewCustomers",'Monthly Base'!C58,IF(Nonlabor!$I$10="StorageGB",'Monthly Base'!G58,IF(Nonlabor!$I$10="LogGB",'Monthly Base'!H58,IF(Nonlabor!$I$10="RequestsM",'Monthly Base'!F58,IF(Nonlabor!$I$10="InputM",'Monthly Base'!D58*Assumptions!$D$22/1000000,IF(Nonlabor!$I$10="OutputM",'Monthly Base'!D58*Assumptions!$D$23/1000000,0))))))))),0)</f>
        <v>318.530355337386</v>
      </c>
      <c r="F1618" s="10" t="n">
        <f aca="false">Nonlabor!$J$10*(1+Assumptions!$D$9)^INT((C1618-1)/12)</f>
        <v>0.1688263215</v>
      </c>
      <c r="G1618" s="10" t="n">
        <f aca="false">E1618*F1618</f>
        <v>53.7763081776988</v>
      </c>
      <c r="H1618" s="10" t="n">
        <f aca="false">IF(OR(Nonlabor!$L$10="Quote required",Nonlabor!$L$10="Unverified"),G1618,0)</f>
        <v>0</v>
      </c>
      <c r="I1618" s="10" t="n">
        <f aca="false">IF(Nonlabor!$E$10="Core",0,G1618)</f>
        <v>0</v>
      </c>
      <c r="J1618" s="23" t="str">
        <f aca="false">Nonlabor!$B$10</f>
        <v>INFRA</v>
      </c>
    </row>
    <row r="1619" customFormat="false" ht="15" hidden="false" customHeight="false" outlineLevel="0" collapsed="false">
      <c r="A1619" s="6" t="s">
        <v>4</v>
      </c>
      <c r="B1619" s="6" t="s">
        <v>383</v>
      </c>
      <c r="C1619" s="6" t="n">
        <v>54</v>
      </c>
      <c r="D1619" s="25" t="n">
        <f aca="false">EDATE('Start Here'!$B$6,C1619-1)</f>
        <v>47939</v>
      </c>
      <c r="E1619" s="11" t="n">
        <f aca="false">IF(AND(OR(Nonlabor!$D$10="Both",Nonlabor!$D$10='Start Here'!$B$9),IF(Nonlabor!$E$10="Core",1,IF(Nonlabor!$E$10="AI",'Start Here'!$B$7,'Start Here'!$B$8))=1,C1619&gt;=IF(Nonlabor!$E$10="Core",Nonlabor!$F$10,MAX(Nonlabor!$F$10,IF(Nonlabor!$E$10="AI",Assumptions!$D$24,Assumptions!$D$25))),C1619&lt;=Nonlabor!$G$10,OR(Nonlabor!$H$10="Monthly",AND(Nonlabor!$H$10="Once",C1619=IF(Nonlabor!$E$10="Core",Nonlabor!$F$10,MAX(Nonlabor!$F$10,IF(Nonlabor!$E$10="AI",Assumptions!$D$24,Assumptions!$D$25)))),AND(Nonlabor!$H$10="Annual",MOD(C1619-IF(Nonlabor!$E$10="Core",Nonlabor!$F$10,MAX(Nonlabor!$F$10,IF(Nonlabor!$E$10="AI",Assumptions!$D$24,Assumptions!$D$25))),12)=0))),IF(Nonlabor!$I$10="Fixed",1,IF(Nonlabor!$I$10="Seats",ROUNDUP('Monthly Base'!I59,0),IF(Nonlabor!$I$10="Customers",'Monthly Base'!D59,IF(Nonlabor!$I$10="NewCustomers",'Monthly Base'!C59,IF(Nonlabor!$I$10="StorageGB",'Monthly Base'!G59,IF(Nonlabor!$I$10="LogGB",'Monthly Base'!H59,IF(Nonlabor!$I$10="RequestsM",'Monthly Base'!F59,IF(Nonlabor!$I$10="InputM",'Monthly Base'!D59*Assumptions!$D$22/1000000,IF(Nonlabor!$I$10="OutputM",'Monthly Base'!D59*Assumptions!$D$23/1000000,0))))))))),0)</f>
        <v>332.220051784013</v>
      </c>
      <c r="F1619" s="10" t="n">
        <f aca="false">Nonlabor!$J$10*(1+Assumptions!$D$9)^INT((C1619-1)/12)</f>
        <v>0.1688263215</v>
      </c>
      <c r="G1619" s="10" t="n">
        <f aca="false">E1619*F1619</f>
        <v>56.0874892712344</v>
      </c>
      <c r="H1619" s="10" t="n">
        <f aca="false">IF(OR(Nonlabor!$L$10="Quote required",Nonlabor!$L$10="Unverified"),G1619,0)</f>
        <v>0</v>
      </c>
      <c r="I1619" s="10" t="n">
        <f aca="false">IF(Nonlabor!$E$10="Core",0,G1619)</f>
        <v>0</v>
      </c>
      <c r="J1619" s="23" t="str">
        <f aca="false">Nonlabor!$B$10</f>
        <v>INFRA</v>
      </c>
    </row>
    <row r="1620" customFormat="false" ht="15" hidden="false" customHeight="false" outlineLevel="0" collapsed="false">
      <c r="A1620" s="6" t="s">
        <v>4</v>
      </c>
      <c r="B1620" s="6" t="s">
        <v>383</v>
      </c>
      <c r="C1620" s="6" t="n">
        <v>55</v>
      </c>
      <c r="D1620" s="25" t="n">
        <f aca="false">EDATE('Start Here'!$B$6,C1620-1)</f>
        <v>47969</v>
      </c>
      <c r="E1620" s="11" t="n">
        <f aca="false">IF(AND(OR(Nonlabor!$D$10="Both",Nonlabor!$D$10='Start Here'!$B$9),IF(Nonlabor!$E$10="Core",1,IF(Nonlabor!$E$10="AI",'Start Here'!$B$7,'Start Here'!$B$8))=1,C1620&gt;=IF(Nonlabor!$E$10="Core",Nonlabor!$F$10,MAX(Nonlabor!$F$10,IF(Nonlabor!$E$10="AI",Assumptions!$D$24,Assumptions!$D$25))),C1620&lt;=Nonlabor!$G$10,OR(Nonlabor!$H$10="Monthly",AND(Nonlabor!$H$10="Once",C1620=IF(Nonlabor!$E$10="Core",Nonlabor!$F$10,MAX(Nonlabor!$F$10,IF(Nonlabor!$E$10="AI",Assumptions!$D$24,Assumptions!$D$25)))),AND(Nonlabor!$H$10="Annual",MOD(C1620-IF(Nonlabor!$E$10="Core",Nonlabor!$F$10,MAX(Nonlabor!$F$10,IF(Nonlabor!$E$10="AI",Assumptions!$D$24,Assumptions!$D$25))),12)=0))),IF(Nonlabor!$I$10="Fixed",1,IF(Nonlabor!$I$10="Seats",ROUNDUP('Monthly Base'!I60,0),IF(Nonlabor!$I$10="Customers",'Monthly Base'!D60,IF(Nonlabor!$I$10="NewCustomers",'Monthly Base'!C60,IF(Nonlabor!$I$10="StorageGB",'Monthly Base'!G60,IF(Nonlabor!$I$10="LogGB",'Monthly Base'!H60,IF(Nonlabor!$I$10="RequestsM",'Monthly Base'!F60,IF(Nonlabor!$I$10="InputM",'Monthly Base'!D60*Assumptions!$D$22/1000000,IF(Nonlabor!$I$10="OutputM",'Monthly Base'!D60*Assumptions!$D$23/1000000,0))))))))),0)</f>
        <v>345.772851266172</v>
      </c>
      <c r="F1620" s="10" t="n">
        <f aca="false">Nonlabor!$J$10*(1+Assumptions!$D$9)^INT((C1620-1)/12)</f>
        <v>0.1688263215</v>
      </c>
      <c r="G1620" s="10" t="n">
        <f aca="false">E1620*F1620</f>
        <v>58.3755585538345</v>
      </c>
      <c r="H1620" s="10" t="n">
        <f aca="false">IF(OR(Nonlabor!$L$10="Quote required",Nonlabor!$L$10="Unverified"),G1620,0)</f>
        <v>0</v>
      </c>
      <c r="I1620" s="10" t="n">
        <f aca="false">IF(Nonlabor!$E$10="Core",0,G1620)</f>
        <v>0</v>
      </c>
      <c r="J1620" s="23" t="str">
        <f aca="false">Nonlabor!$B$10</f>
        <v>INFRA</v>
      </c>
    </row>
    <row r="1621" customFormat="false" ht="15" hidden="false" customHeight="false" outlineLevel="0" collapsed="false">
      <c r="A1621" s="6" t="s">
        <v>4</v>
      </c>
      <c r="B1621" s="6" t="s">
        <v>383</v>
      </c>
      <c r="C1621" s="6" t="n">
        <v>56</v>
      </c>
      <c r="D1621" s="25" t="n">
        <f aca="false">EDATE('Start Here'!$B$6,C1621-1)</f>
        <v>48000</v>
      </c>
      <c r="E1621" s="11" t="n">
        <f aca="false">IF(AND(OR(Nonlabor!$D$10="Both",Nonlabor!$D$10='Start Here'!$B$9),IF(Nonlabor!$E$10="Core",1,IF(Nonlabor!$E$10="AI",'Start Here'!$B$7,'Start Here'!$B$8))=1,C1621&gt;=IF(Nonlabor!$E$10="Core",Nonlabor!$F$10,MAX(Nonlabor!$F$10,IF(Nonlabor!$E$10="AI",Assumptions!$D$24,Assumptions!$D$25))),C1621&lt;=Nonlabor!$G$10,OR(Nonlabor!$H$10="Monthly",AND(Nonlabor!$H$10="Once",C1621=IF(Nonlabor!$E$10="Core",Nonlabor!$F$10,MAX(Nonlabor!$F$10,IF(Nonlabor!$E$10="AI",Assumptions!$D$24,Assumptions!$D$25)))),AND(Nonlabor!$H$10="Annual",MOD(C1621-IF(Nonlabor!$E$10="Core",Nonlabor!$F$10,MAX(Nonlabor!$F$10,IF(Nonlabor!$E$10="AI",Assumptions!$D$24,Assumptions!$D$25))),12)=0))),IF(Nonlabor!$I$10="Fixed",1,IF(Nonlabor!$I$10="Seats",ROUNDUP('Monthly Base'!I61,0),IF(Nonlabor!$I$10="Customers",'Monthly Base'!D61,IF(Nonlabor!$I$10="NewCustomers",'Monthly Base'!C61,IF(Nonlabor!$I$10="StorageGB",'Monthly Base'!G61,IF(Nonlabor!$I$10="LogGB",'Monthly Base'!H61,IF(Nonlabor!$I$10="RequestsM",'Monthly Base'!F61,IF(Nonlabor!$I$10="InputM",'Monthly Base'!D61*Assumptions!$D$22/1000000,IF(Nonlabor!$I$10="OutputM",'Monthly Base'!D61*Assumptions!$D$23/1000000,0))))))))),0)</f>
        <v>359.190122753511</v>
      </c>
      <c r="F1621" s="10" t="n">
        <f aca="false">Nonlabor!$J$10*(1+Assumptions!$D$9)^INT((C1621-1)/12)</f>
        <v>0.1688263215</v>
      </c>
      <c r="G1621" s="10" t="n">
        <f aca="false">E1621*F1621</f>
        <v>60.6407471436087</v>
      </c>
      <c r="H1621" s="10" t="n">
        <f aca="false">IF(OR(Nonlabor!$L$10="Quote required",Nonlabor!$L$10="Unverified"),G1621,0)</f>
        <v>0</v>
      </c>
      <c r="I1621" s="10" t="n">
        <f aca="false">IF(Nonlabor!$E$10="Core",0,G1621)</f>
        <v>0</v>
      </c>
      <c r="J1621" s="23" t="str">
        <f aca="false">Nonlabor!$B$10</f>
        <v>INFRA</v>
      </c>
    </row>
    <row r="1622" customFormat="false" ht="15" hidden="false" customHeight="false" outlineLevel="0" collapsed="false">
      <c r="A1622" s="6" t="s">
        <v>4</v>
      </c>
      <c r="B1622" s="6" t="s">
        <v>383</v>
      </c>
      <c r="C1622" s="6" t="n">
        <v>57</v>
      </c>
      <c r="D1622" s="25" t="n">
        <f aca="false">EDATE('Start Here'!$B$6,C1622-1)</f>
        <v>48030</v>
      </c>
      <c r="E1622" s="11" t="n">
        <f aca="false">IF(AND(OR(Nonlabor!$D$10="Both",Nonlabor!$D$10='Start Here'!$B$9),IF(Nonlabor!$E$10="Core",1,IF(Nonlabor!$E$10="AI",'Start Here'!$B$7,'Start Here'!$B$8))=1,C1622&gt;=IF(Nonlabor!$E$10="Core",Nonlabor!$F$10,MAX(Nonlabor!$F$10,IF(Nonlabor!$E$10="AI",Assumptions!$D$24,Assumptions!$D$25))),C1622&lt;=Nonlabor!$G$10,OR(Nonlabor!$H$10="Monthly",AND(Nonlabor!$H$10="Once",C1622=IF(Nonlabor!$E$10="Core",Nonlabor!$F$10,MAX(Nonlabor!$F$10,IF(Nonlabor!$E$10="AI",Assumptions!$D$24,Assumptions!$D$25)))),AND(Nonlabor!$H$10="Annual",MOD(C1622-IF(Nonlabor!$E$10="Core",Nonlabor!$F$10,MAX(Nonlabor!$F$10,IF(Nonlabor!$E$10="AI",Assumptions!$D$24,Assumptions!$D$25))),12)=0))),IF(Nonlabor!$I$10="Fixed",1,IF(Nonlabor!$I$10="Seats",ROUNDUP('Monthly Base'!I62,0),IF(Nonlabor!$I$10="Customers",'Monthly Base'!D62,IF(Nonlabor!$I$10="NewCustomers",'Monthly Base'!C62,IF(Nonlabor!$I$10="StorageGB",'Monthly Base'!G62,IF(Nonlabor!$I$10="LogGB",'Monthly Base'!H62,IF(Nonlabor!$I$10="RequestsM",'Monthly Base'!F62,IF(Nonlabor!$I$10="InputM",'Monthly Base'!D62*Assumptions!$D$22/1000000,IF(Nonlabor!$I$10="OutputM",'Monthly Base'!D62*Assumptions!$D$23/1000000,0))))))))),0)</f>
        <v>372.473221525976</v>
      </c>
      <c r="F1622" s="10" t="n">
        <f aca="false">Nonlabor!$J$10*(1+Assumptions!$D$9)^INT((C1622-1)/12)</f>
        <v>0.1688263215</v>
      </c>
      <c r="G1622" s="10" t="n">
        <f aca="false">E1622*F1622</f>
        <v>62.8832838474851</v>
      </c>
      <c r="H1622" s="10" t="n">
        <f aca="false">IF(OR(Nonlabor!$L$10="Quote required",Nonlabor!$L$10="Unverified"),G1622,0)</f>
        <v>0</v>
      </c>
      <c r="I1622" s="10" t="n">
        <f aca="false">IF(Nonlabor!$E$10="Core",0,G1622)</f>
        <v>0</v>
      </c>
      <c r="J1622" s="23" t="str">
        <f aca="false">Nonlabor!$B$10</f>
        <v>INFRA</v>
      </c>
    </row>
    <row r="1623" customFormat="false" ht="15" hidden="false" customHeight="false" outlineLevel="0" collapsed="false">
      <c r="A1623" s="6" t="s">
        <v>4</v>
      </c>
      <c r="B1623" s="6" t="s">
        <v>383</v>
      </c>
      <c r="C1623" s="6" t="n">
        <v>58</v>
      </c>
      <c r="D1623" s="25" t="n">
        <f aca="false">EDATE('Start Here'!$B$6,C1623-1)</f>
        <v>48061</v>
      </c>
      <c r="E1623" s="11" t="n">
        <f aca="false">IF(AND(OR(Nonlabor!$D$10="Both",Nonlabor!$D$10='Start Here'!$B$9),IF(Nonlabor!$E$10="Core",1,IF(Nonlabor!$E$10="AI",'Start Here'!$B$7,'Start Here'!$B$8))=1,C1623&gt;=IF(Nonlabor!$E$10="Core",Nonlabor!$F$10,MAX(Nonlabor!$F$10,IF(Nonlabor!$E$10="AI",Assumptions!$D$24,Assumptions!$D$25))),C1623&lt;=Nonlabor!$G$10,OR(Nonlabor!$H$10="Monthly",AND(Nonlabor!$H$10="Once",C1623=IF(Nonlabor!$E$10="Core",Nonlabor!$F$10,MAX(Nonlabor!$F$10,IF(Nonlabor!$E$10="AI",Assumptions!$D$24,Assumptions!$D$25)))),AND(Nonlabor!$H$10="Annual",MOD(C1623-IF(Nonlabor!$E$10="Core",Nonlabor!$F$10,MAX(Nonlabor!$F$10,IF(Nonlabor!$E$10="AI",Assumptions!$D$24,Assumptions!$D$25))),12)=0))),IF(Nonlabor!$I$10="Fixed",1,IF(Nonlabor!$I$10="Seats",ROUNDUP('Monthly Base'!I63,0),IF(Nonlabor!$I$10="Customers",'Monthly Base'!D63,IF(Nonlabor!$I$10="NewCustomers",'Monthly Base'!C63,IF(Nonlabor!$I$10="StorageGB",'Monthly Base'!G63,IF(Nonlabor!$I$10="LogGB",'Monthly Base'!H63,IF(Nonlabor!$I$10="RequestsM",'Monthly Base'!F63,IF(Nonlabor!$I$10="InputM",'Monthly Base'!D63*Assumptions!$D$22/1000000,IF(Nonlabor!$I$10="OutputM",'Monthly Base'!D63*Assumptions!$D$23/1000000,0))))))))),0)</f>
        <v>385.623489310716</v>
      </c>
      <c r="F1623" s="10" t="n">
        <f aca="false">Nonlabor!$J$10*(1+Assumptions!$D$9)^INT((C1623-1)/12)</f>
        <v>0.1688263215</v>
      </c>
      <c r="G1623" s="10" t="n">
        <f aca="false">E1623*F1623</f>
        <v>65.1033951843227</v>
      </c>
      <c r="H1623" s="10" t="n">
        <f aca="false">IF(OR(Nonlabor!$L$10="Quote required",Nonlabor!$L$10="Unverified"),G1623,0)</f>
        <v>0</v>
      </c>
      <c r="I1623" s="10" t="n">
        <f aca="false">IF(Nonlabor!$E$10="Core",0,G1623)</f>
        <v>0</v>
      </c>
      <c r="J1623" s="23" t="str">
        <f aca="false">Nonlabor!$B$10</f>
        <v>INFRA</v>
      </c>
    </row>
    <row r="1624" customFormat="false" ht="15" hidden="false" customHeight="false" outlineLevel="0" collapsed="false">
      <c r="A1624" s="6" t="s">
        <v>4</v>
      </c>
      <c r="B1624" s="6" t="s">
        <v>383</v>
      </c>
      <c r="C1624" s="6" t="n">
        <v>59</v>
      </c>
      <c r="D1624" s="25" t="n">
        <f aca="false">EDATE('Start Here'!$B$6,C1624-1)</f>
        <v>48092</v>
      </c>
      <c r="E1624" s="11" t="n">
        <f aca="false">IF(AND(OR(Nonlabor!$D$10="Both",Nonlabor!$D$10='Start Here'!$B$9),IF(Nonlabor!$E$10="Core",1,IF(Nonlabor!$E$10="AI",'Start Here'!$B$7,'Start Here'!$B$8))=1,C1624&gt;=IF(Nonlabor!$E$10="Core",Nonlabor!$F$10,MAX(Nonlabor!$F$10,IF(Nonlabor!$E$10="AI",Assumptions!$D$24,Assumptions!$D$25))),C1624&lt;=Nonlabor!$G$10,OR(Nonlabor!$H$10="Monthly",AND(Nonlabor!$H$10="Once",C1624=IF(Nonlabor!$E$10="Core",Nonlabor!$F$10,MAX(Nonlabor!$F$10,IF(Nonlabor!$E$10="AI",Assumptions!$D$24,Assumptions!$D$25)))),AND(Nonlabor!$H$10="Annual",MOD(C1624-IF(Nonlabor!$E$10="Core",Nonlabor!$F$10,MAX(Nonlabor!$F$10,IF(Nonlabor!$E$10="AI",Assumptions!$D$24,Assumptions!$D$25))),12)=0))),IF(Nonlabor!$I$10="Fixed",1,IF(Nonlabor!$I$10="Seats",ROUNDUP('Monthly Base'!I64,0),IF(Nonlabor!$I$10="Customers",'Monthly Base'!D64,IF(Nonlabor!$I$10="NewCustomers",'Monthly Base'!C64,IF(Nonlabor!$I$10="StorageGB",'Monthly Base'!G64,IF(Nonlabor!$I$10="LogGB",'Monthly Base'!H64,IF(Nonlabor!$I$10="RequestsM",'Monthly Base'!F64,IF(Nonlabor!$I$10="InputM",'Monthly Base'!D64*Assumptions!$D$22/1000000,IF(Nonlabor!$I$10="OutputM",'Monthly Base'!D64*Assumptions!$D$23/1000000,0))))))))),0)</f>
        <v>398.642254417609</v>
      </c>
      <c r="F1624" s="10" t="n">
        <f aca="false">Nonlabor!$J$10*(1+Assumptions!$D$9)^INT((C1624-1)/12)</f>
        <v>0.1688263215</v>
      </c>
      <c r="G1624" s="10" t="n">
        <f aca="false">E1624*F1624</f>
        <v>67.301305407792</v>
      </c>
      <c r="H1624" s="10" t="n">
        <f aca="false">IF(OR(Nonlabor!$L$10="Quote required",Nonlabor!$L$10="Unverified"),G1624,0)</f>
        <v>0</v>
      </c>
      <c r="I1624" s="10" t="n">
        <f aca="false">IF(Nonlabor!$E$10="Core",0,G1624)</f>
        <v>0</v>
      </c>
      <c r="J1624" s="23" t="str">
        <f aca="false">Nonlabor!$B$10</f>
        <v>INFRA</v>
      </c>
    </row>
    <row r="1625" customFormat="false" ht="15" hidden="false" customHeight="false" outlineLevel="0" collapsed="false">
      <c r="A1625" s="6" t="s">
        <v>4</v>
      </c>
      <c r="B1625" s="6" t="s">
        <v>383</v>
      </c>
      <c r="C1625" s="6" t="n">
        <v>60</v>
      </c>
      <c r="D1625" s="25" t="n">
        <f aca="false">EDATE('Start Here'!$B$6,C1625-1)</f>
        <v>48122</v>
      </c>
      <c r="E1625" s="11" t="n">
        <f aca="false">IF(AND(OR(Nonlabor!$D$10="Both",Nonlabor!$D$10='Start Here'!$B$9),IF(Nonlabor!$E$10="Core",1,IF(Nonlabor!$E$10="AI",'Start Here'!$B$7,'Start Here'!$B$8))=1,C1625&gt;=IF(Nonlabor!$E$10="Core",Nonlabor!$F$10,MAX(Nonlabor!$F$10,IF(Nonlabor!$E$10="AI",Assumptions!$D$24,Assumptions!$D$25))),C1625&lt;=Nonlabor!$G$10,OR(Nonlabor!$H$10="Monthly",AND(Nonlabor!$H$10="Once",C1625=IF(Nonlabor!$E$10="Core",Nonlabor!$F$10,MAX(Nonlabor!$F$10,IF(Nonlabor!$E$10="AI",Assumptions!$D$24,Assumptions!$D$25)))),AND(Nonlabor!$H$10="Annual",MOD(C1625-IF(Nonlabor!$E$10="Core",Nonlabor!$F$10,MAX(Nonlabor!$F$10,IF(Nonlabor!$E$10="AI",Assumptions!$D$24,Assumptions!$D$25))),12)=0))),IF(Nonlabor!$I$10="Fixed",1,IF(Nonlabor!$I$10="Seats",ROUNDUP('Monthly Base'!I65,0),IF(Nonlabor!$I$10="Customers",'Monthly Base'!D65,IF(Nonlabor!$I$10="NewCustomers",'Monthly Base'!C65,IF(Nonlabor!$I$10="StorageGB",'Monthly Base'!G65,IF(Nonlabor!$I$10="LogGB",'Monthly Base'!H65,IF(Nonlabor!$I$10="RequestsM",'Monthly Base'!F65,IF(Nonlabor!$I$10="InputM",'Monthly Base'!D65*Assumptions!$D$22/1000000,IF(Nonlabor!$I$10="OutputM",'Monthly Base'!D65*Assumptions!$D$23/1000000,0))))))))),0)</f>
        <v>411.530831873433</v>
      </c>
      <c r="F1625" s="10" t="n">
        <f aca="false">Nonlabor!$J$10*(1+Assumptions!$D$9)^INT((C1625-1)/12)</f>
        <v>0.1688263215</v>
      </c>
      <c r="G1625" s="10" t="n">
        <f aca="false">E1625*F1625</f>
        <v>69.4772365290266</v>
      </c>
      <c r="H1625" s="10" t="n">
        <f aca="false">IF(OR(Nonlabor!$L$10="Quote required",Nonlabor!$L$10="Unverified"),G1625,0)</f>
        <v>0</v>
      </c>
      <c r="I1625" s="10" t="n">
        <f aca="false">IF(Nonlabor!$E$10="Core",0,G1625)</f>
        <v>0</v>
      </c>
      <c r="J1625" s="23" t="str">
        <f aca="false">Nonlabor!$B$10</f>
        <v>INFRA</v>
      </c>
    </row>
    <row r="1626" customFormat="false" ht="15" hidden="false" customHeight="false" outlineLevel="0" collapsed="false">
      <c r="A1626" s="6" t="s">
        <v>4</v>
      </c>
      <c r="B1626" s="6" t="s">
        <v>387</v>
      </c>
      <c r="C1626" s="6" t="n">
        <v>1</v>
      </c>
      <c r="D1626" s="25" t="n">
        <f aca="false">EDATE('Start Here'!$B$6,C1626-1)</f>
        <v>46327</v>
      </c>
      <c r="E1626" s="11" t="n">
        <f aca="false">IF(AND(OR(Nonlabor!$D$11="Both",Nonlabor!$D$11='Start Here'!$B$9),IF(Nonlabor!$E$11="Core",1,IF(Nonlabor!$E$11="AI",'Start Here'!$B$7,'Start Here'!$B$8))=1,C1626&gt;=IF(Nonlabor!$E$11="Core",Nonlabor!$F$11,MAX(Nonlabor!$F$11,IF(Nonlabor!$E$11="AI",Assumptions!$D$24,Assumptions!$D$25))),C1626&lt;=Nonlabor!$G$11,OR(Nonlabor!$H$11="Monthly",AND(Nonlabor!$H$11="Once",C1626=IF(Nonlabor!$E$11="Core",Nonlabor!$F$11,MAX(Nonlabor!$F$11,IF(Nonlabor!$E$11="AI",Assumptions!$D$24,Assumptions!$D$25)))),AND(Nonlabor!$H$11="Annual",MOD(C1626-IF(Nonlabor!$E$11="Core",Nonlabor!$F$11,MAX(Nonlabor!$F$11,IF(Nonlabor!$E$11="AI",Assumptions!$D$24,Assumptions!$D$25))),12)=0))),IF(Nonlabor!$I$11="Fixed",1,IF(Nonlabor!$I$11="Seats",ROUNDUP('Monthly Base'!I6,0),IF(Nonlabor!$I$11="Customers",'Monthly Base'!D6,IF(Nonlabor!$I$11="NewCustomers",'Monthly Base'!C6,IF(Nonlabor!$I$11="StorageGB",'Monthly Base'!G6,IF(Nonlabor!$I$11="LogGB",'Monthly Base'!H6,IF(Nonlabor!$I$11="RequestsM",'Monthly Base'!F6,IF(Nonlabor!$I$11="InputM",'Monthly Base'!D6*Assumptions!$D$22/1000000,IF(Nonlabor!$I$11="OutputM",'Monthly Base'!D6*Assumptions!$D$23/1000000,0))))))))),0)</f>
        <v>0</v>
      </c>
      <c r="F1626" s="10" t="n">
        <f aca="false">Nonlabor!$J$11*(1+Assumptions!$D$9)^INT((C1626-1)/12)</f>
        <v>5</v>
      </c>
      <c r="G1626" s="10" t="n">
        <f aca="false">E1626*F1626</f>
        <v>0</v>
      </c>
      <c r="H1626" s="10" t="n">
        <f aca="false">IF(OR(Nonlabor!$L$11="Quote required",Nonlabor!$L$11="Unverified"),G1626,0)</f>
        <v>0</v>
      </c>
      <c r="I1626" s="10" t="n">
        <f aca="false">IF(Nonlabor!$E$11="Core",0,G1626)</f>
        <v>0</v>
      </c>
      <c r="J1626" s="23" t="str">
        <f aca="false">Nonlabor!$B$11</f>
        <v>INFRA</v>
      </c>
    </row>
    <row r="1627" customFormat="false" ht="15" hidden="false" customHeight="false" outlineLevel="0" collapsed="false">
      <c r="A1627" s="6" t="s">
        <v>4</v>
      </c>
      <c r="B1627" s="6" t="s">
        <v>387</v>
      </c>
      <c r="C1627" s="6" t="n">
        <v>2</v>
      </c>
      <c r="D1627" s="25" t="n">
        <f aca="false">EDATE('Start Here'!$B$6,C1627-1)</f>
        <v>46357</v>
      </c>
      <c r="E1627" s="11" t="n">
        <f aca="false">IF(AND(OR(Nonlabor!$D$11="Both",Nonlabor!$D$11='Start Here'!$B$9),IF(Nonlabor!$E$11="Core",1,IF(Nonlabor!$E$11="AI",'Start Here'!$B$7,'Start Here'!$B$8))=1,C1627&gt;=IF(Nonlabor!$E$11="Core",Nonlabor!$F$11,MAX(Nonlabor!$F$11,IF(Nonlabor!$E$11="AI",Assumptions!$D$24,Assumptions!$D$25))),C1627&lt;=Nonlabor!$G$11,OR(Nonlabor!$H$11="Monthly",AND(Nonlabor!$H$11="Once",C1627=IF(Nonlabor!$E$11="Core",Nonlabor!$F$11,MAX(Nonlabor!$F$11,IF(Nonlabor!$E$11="AI",Assumptions!$D$24,Assumptions!$D$25)))),AND(Nonlabor!$H$11="Annual",MOD(C1627-IF(Nonlabor!$E$11="Core",Nonlabor!$F$11,MAX(Nonlabor!$F$11,IF(Nonlabor!$E$11="AI",Assumptions!$D$24,Assumptions!$D$25))),12)=0))),IF(Nonlabor!$I$11="Fixed",1,IF(Nonlabor!$I$11="Seats",ROUNDUP('Monthly Base'!I7,0),IF(Nonlabor!$I$11="Customers",'Monthly Base'!D7,IF(Nonlabor!$I$11="NewCustomers",'Monthly Base'!C7,IF(Nonlabor!$I$11="StorageGB",'Monthly Base'!G7,IF(Nonlabor!$I$11="LogGB",'Monthly Base'!H7,IF(Nonlabor!$I$11="RequestsM",'Monthly Base'!F7,IF(Nonlabor!$I$11="InputM",'Monthly Base'!D7*Assumptions!$D$22/1000000,IF(Nonlabor!$I$11="OutputM",'Monthly Base'!D7*Assumptions!$D$23/1000000,0))))))))),0)</f>
        <v>0</v>
      </c>
      <c r="F1627" s="10" t="n">
        <f aca="false">Nonlabor!$J$11*(1+Assumptions!$D$9)^INT((C1627-1)/12)</f>
        <v>5</v>
      </c>
      <c r="G1627" s="10" t="n">
        <f aca="false">E1627*F1627</f>
        <v>0</v>
      </c>
      <c r="H1627" s="10" t="n">
        <f aca="false">IF(OR(Nonlabor!$L$11="Quote required",Nonlabor!$L$11="Unverified"),G1627,0)</f>
        <v>0</v>
      </c>
      <c r="I1627" s="10" t="n">
        <f aca="false">IF(Nonlabor!$E$11="Core",0,G1627)</f>
        <v>0</v>
      </c>
      <c r="J1627" s="23" t="str">
        <f aca="false">Nonlabor!$B$11</f>
        <v>INFRA</v>
      </c>
    </row>
    <row r="1628" customFormat="false" ht="15" hidden="false" customHeight="false" outlineLevel="0" collapsed="false">
      <c r="A1628" s="6" t="s">
        <v>4</v>
      </c>
      <c r="B1628" s="6" t="s">
        <v>387</v>
      </c>
      <c r="C1628" s="6" t="n">
        <v>3</v>
      </c>
      <c r="D1628" s="25" t="n">
        <f aca="false">EDATE('Start Here'!$B$6,C1628-1)</f>
        <v>46388</v>
      </c>
      <c r="E1628" s="11" t="n">
        <f aca="false">IF(AND(OR(Nonlabor!$D$11="Both",Nonlabor!$D$11='Start Here'!$B$9),IF(Nonlabor!$E$11="Core",1,IF(Nonlabor!$E$11="AI",'Start Here'!$B$7,'Start Here'!$B$8))=1,C1628&gt;=IF(Nonlabor!$E$11="Core",Nonlabor!$F$11,MAX(Nonlabor!$F$11,IF(Nonlabor!$E$11="AI",Assumptions!$D$24,Assumptions!$D$25))),C1628&lt;=Nonlabor!$G$11,OR(Nonlabor!$H$11="Monthly",AND(Nonlabor!$H$11="Once",C1628=IF(Nonlabor!$E$11="Core",Nonlabor!$F$11,MAX(Nonlabor!$F$11,IF(Nonlabor!$E$11="AI",Assumptions!$D$24,Assumptions!$D$25)))),AND(Nonlabor!$H$11="Annual",MOD(C1628-IF(Nonlabor!$E$11="Core",Nonlabor!$F$11,MAX(Nonlabor!$F$11,IF(Nonlabor!$E$11="AI",Assumptions!$D$24,Assumptions!$D$25))),12)=0))),IF(Nonlabor!$I$11="Fixed",1,IF(Nonlabor!$I$11="Seats",ROUNDUP('Monthly Base'!I8,0),IF(Nonlabor!$I$11="Customers",'Monthly Base'!D8,IF(Nonlabor!$I$11="NewCustomers",'Monthly Base'!C8,IF(Nonlabor!$I$11="StorageGB",'Monthly Base'!G8,IF(Nonlabor!$I$11="LogGB",'Monthly Base'!H8,IF(Nonlabor!$I$11="RequestsM",'Monthly Base'!F8,IF(Nonlabor!$I$11="InputM",'Monthly Base'!D8*Assumptions!$D$22/1000000,IF(Nonlabor!$I$11="OutputM",'Monthly Base'!D8*Assumptions!$D$23/1000000,0))))))))),0)</f>
        <v>0</v>
      </c>
      <c r="F1628" s="10" t="n">
        <f aca="false">Nonlabor!$J$11*(1+Assumptions!$D$9)^INT((C1628-1)/12)</f>
        <v>5</v>
      </c>
      <c r="G1628" s="10" t="n">
        <f aca="false">E1628*F1628</f>
        <v>0</v>
      </c>
      <c r="H1628" s="10" t="n">
        <f aca="false">IF(OR(Nonlabor!$L$11="Quote required",Nonlabor!$L$11="Unverified"),G1628,0)</f>
        <v>0</v>
      </c>
      <c r="I1628" s="10" t="n">
        <f aca="false">IF(Nonlabor!$E$11="Core",0,G1628)</f>
        <v>0</v>
      </c>
      <c r="J1628" s="23" t="str">
        <f aca="false">Nonlabor!$B$11</f>
        <v>INFRA</v>
      </c>
    </row>
    <row r="1629" customFormat="false" ht="15" hidden="false" customHeight="false" outlineLevel="0" collapsed="false">
      <c r="A1629" s="6" t="s">
        <v>4</v>
      </c>
      <c r="B1629" s="6" t="s">
        <v>387</v>
      </c>
      <c r="C1629" s="6" t="n">
        <v>4</v>
      </c>
      <c r="D1629" s="25" t="n">
        <f aca="false">EDATE('Start Here'!$B$6,C1629-1)</f>
        <v>46419</v>
      </c>
      <c r="E1629" s="11" t="n">
        <f aca="false">IF(AND(OR(Nonlabor!$D$11="Both",Nonlabor!$D$11='Start Here'!$B$9),IF(Nonlabor!$E$11="Core",1,IF(Nonlabor!$E$11="AI",'Start Here'!$B$7,'Start Here'!$B$8))=1,C1629&gt;=IF(Nonlabor!$E$11="Core",Nonlabor!$F$11,MAX(Nonlabor!$F$11,IF(Nonlabor!$E$11="AI",Assumptions!$D$24,Assumptions!$D$25))),C1629&lt;=Nonlabor!$G$11,OR(Nonlabor!$H$11="Monthly",AND(Nonlabor!$H$11="Once",C1629=IF(Nonlabor!$E$11="Core",Nonlabor!$F$11,MAX(Nonlabor!$F$11,IF(Nonlabor!$E$11="AI",Assumptions!$D$24,Assumptions!$D$25)))),AND(Nonlabor!$H$11="Annual",MOD(C1629-IF(Nonlabor!$E$11="Core",Nonlabor!$F$11,MAX(Nonlabor!$F$11,IF(Nonlabor!$E$11="AI",Assumptions!$D$24,Assumptions!$D$25))),12)=0))),IF(Nonlabor!$I$11="Fixed",1,IF(Nonlabor!$I$11="Seats",ROUNDUP('Monthly Base'!I9,0),IF(Nonlabor!$I$11="Customers",'Monthly Base'!D9,IF(Nonlabor!$I$11="NewCustomers",'Monthly Base'!C9,IF(Nonlabor!$I$11="StorageGB",'Monthly Base'!G9,IF(Nonlabor!$I$11="LogGB",'Monthly Base'!H9,IF(Nonlabor!$I$11="RequestsM",'Monthly Base'!F9,IF(Nonlabor!$I$11="InputM",'Monthly Base'!D9*Assumptions!$D$22/1000000,IF(Nonlabor!$I$11="OutputM",'Monthly Base'!D9*Assumptions!$D$23/1000000,0))))))))),0)</f>
        <v>0</v>
      </c>
      <c r="F1629" s="10" t="n">
        <f aca="false">Nonlabor!$J$11*(1+Assumptions!$D$9)^INT((C1629-1)/12)</f>
        <v>5</v>
      </c>
      <c r="G1629" s="10" t="n">
        <f aca="false">E1629*F1629</f>
        <v>0</v>
      </c>
      <c r="H1629" s="10" t="n">
        <f aca="false">IF(OR(Nonlabor!$L$11="Quote required",Nonlabor!$L$11="Unverified"),G1629,0)</f>
        <v>0</v>
      </c>
      <c r="I1629" s="10" t="n">
        <f aca="false">IF(Nonlabor!$E$11="Core",0,G1629)</f>
        <v>0</v>
      </c>
      <c r="J1629" s="23" t="str">
        <f aca="false">Nonlabor!$B$11</f>
        <v>INFRA</v>
      </c>
    </row>
    <row r="1630" customFormat="false" ht="15" hidden="false" customHeight="false" outlineLevel="0" collapsed="false">
      <c r="A1630" s="6" t="s">
        <v>4</v>
      </c>
      <c r="B1630" s="6" t="s">
        <v>387</v>
      </c>
      <c r="C1630" s="6" t="n">
        <v>5</v>
      </c>
      <c r="D1630" s="25" t="n">
        <f aca="false">EDATE('Start Here'!$B$6,C1630-1)</f>
        <v>46447</v>
      </c>
      <c r="E1630" s="11" t="n">
        <f aca="false">IF(AND(OR(Nonlabor!$D$11="Both",Nonlabor!$D$11='Start Here'!$B$9),IF(Nonlabor!$E$11="Core",1,IF(Nonlabor!$E$11="AI",'Start Here'!$B$7,'Start Here'!$B$8))=1,C1630&gt;=IF(Nonlabor!$E$11="Core",Nonlabor!$F$11,MAX(Nonlabor!$F$11,IF(Nonlabor!$E$11="AI",Assumptions!$D$24,Assumptions!$D$25))),C1630&lt;=Nonlabor!$G$11,OR(Nonlabor!$H$11="Monthly",AND(Nonlabor!$H$11="Once",C1630=IF(Nonlabor!$E$11="Core",Nonlabor!$F$11,MAX(Nonlabor!$F$11,IF(Nonlabor!$E$11="AI",Assumptions!$D$24,Assumptions!$D$25)))),AND(Nonlabor!$H$11="Annual",MOD(C1630-IF(Nonlabor!$E$11="Core",Nonlabor!$F$11,MAX(Nonlabor!$F$11,IF(Nonlabor!$E$11="AI",Assumptions!$D$24,Assumptions!$D$25))),12)=0))),IF(Nonlabor!$I$11="Fixed",1,IF(Nonlabor!$I$11="Seats",ROUNDUP('Monthly Base'!I10,0),IF(Nonlabor!$I$11="Customers",'Monthly Base'!D10,IF(Nonlabor!$I$11="NewCustomers",'Monthly Base'!C10,IF(Nonlabor!$I$11="StorageGB",'Monthly Base'!G10,IF(Nonlabor!$I$11="LogGB",'Monthly Base'!H10,IF(Nonlabor!$I$11="RequestsM",'Monthly Base'!F10,IF(Nonlabor!$I$11="InputM",'Monthly Base'!D10*Assumptions!$D$22/1000000,IF(Nonlabor!$I$11="OutputM",'Monthly Base'!D10*Assumptions!$D$23/1000000,0))))))))),0)</f>
        <v>0</v>
      </c>
      <c r="F1630" s="10" t="n">
        <f aca="false">Nonlabor!$J$11*(1+Assumptions!$D$9)^INT((C1630-1)/12)</f>
        <v>5</v>
      </c>
      <c r="G1630" s="10" t="n">
        <f aca="false">E1630*F1630</f>
        <v>0</v>
      </c>
      <c r="H1630" s="10" t="n">
        <f aca="false">IF(OR(Nonlabor!$L$11="Quote required",Nonlabor!$L$11="Unverified"),G1630,0)</f>
        <v>0</v>
      </c>
      <c r="I1630" s="10" t="n">
        <f aca="false">IF(Nonlabor!$E$11="Core",0,G1630)</f>
        <v>0</v>
      </c>
      <c r="J1630" s="23" t="str">
        <f aca="false">Nonlabor!$B$11</f>
        <v>INFRA</v>
      </c>
    </row>
    <row r="1631" customFormat="false" ht="15" hidden="false" customHeight="false" outlineLevel="0" collapsed="false">
      <c r="A1631" s="6" t="s">
        <v>4</v>
      </c>
      <c r="B1631" s="6" t="s">
        <v>387</v>
      </c>
      <c r="C1631" s="6" t="n">
        <v>6</v>
      </c>
      <c r="D1631" s="25" t="n">
        <f aca="false">EDATE('Start Here'!$B$6,C1631-1)</f>
        <v>46478</v>
      </c>
      <c r="E1631" s="11" t="n">
        <f aca="false">IF(AND(OR(Nonlabor!$D$11="Both",Nonlabor!$D$11='Start Here'!$B$9),IF(Nonlabor!$E$11="Core",1,IF(Nonlabor!$E$11="AI",'Start Here'!$B$7,'Start Here'!$B$8))=1,C1631&gt;=IF(Nonlabor!$E$11="Core",Nonlabor!$F$11,MAX(Nonlabor!$F$11,IF(Nonlabor!$E$11="AI",Assumptions!$D$24,Assumptions!$D$25))),C1631&lt;=Nonlabor!$G$11,OR(Nonlabor!$H$11="Monthly",AND(Nonlabor!$H$11="Once",C1631=IF(Nonlabor!$E$11="Core",Nonlabor!$F$11,MAX(Nonlabor!$F$11,IF(Nonlabor!$E$11="AI",Assumptions!$D$24,Assumptions!$D$25)))),AND(Nonlabor!$H$11="Annual",MOD(C1631-IF(Nonlabor!$E$11="Core",Nonlabor!$F$11,MAX(Nonlabor!$F$11,IF(Nonlabor!$E$11="AI",Assumptions!$D$24,Assumptions!$D$25))),12)=0))),IF(Nonlabor!$I$11="Fixed",1,IF(Nonlabor!$I$11="Seats",ROUNDUP('Monthly Base'!I11,0),IF(Nonlabor!$I$11="Customers",'Monthly Base'!D11,IF(Nonlabor!$I$11="NewCustomers",'Monthly Base'!C11,IF(Nonlabor!$I$11="StorageGB",'Monthly Base'!G11,IF(Nonlabor!$I$11="LogGB",'Monthly Base'!H11,IF(Nonlabor!$I$11="RequestsM",'Monthly Base'!F11,IF(Nonlabor!$I$11="InputM",'Monthly Base'!D11*Assumptions!$D$22/1000000,IF(Nonlabor!$I$11="OutputM",'Monthly Base'!D11*Assumptions!$D$23/1000000,0))))))))),0)</f>
        <v>0</v>
      </c>
      <c r="F1631" s="10" t="n">
        <f aca="false">Nonlabor!$J$11*(1+Assumptions!$D$9)^INT((C1631-1)/12)</f>
        <v>5</v>
      </c>
      <c r="G1631" s="10" t="n">
        <f aca="false">E1631*F1631</f>
        <v>0</v>
      </c>
      <c r="H1631" s="10" t="n">
        <f aca="false">IF(OR(Nonlabor!$L$11="Quote required",Nonlabor!$L$11="Unverified"),G1631,0)</f>
        <v>0</v>
      </c>
      <c r="I1631" s="10" t="n">
        <f aca="false">IF(Nonlabor!$E$11="Core",0,G1631)</f>
        <v>0</v>
      </c>
      <c r="J1631" s="23" t="str">
        <f aca="false">Nonlabor!$B$11</f>
        <v>INFRA</v>
      </c>
    </row>
    <row r="1632" customFormat="false" ht="15" hidden="false" customHeight="false" outlineLevel="0" collapsed="false">
      <c r="A1632" s="6" t="s">
        <v>4</v>
      </c>
      <c r="B1632" s="6" t="s">
        <v>387</v>
      </c>
      <c r="C1632" s="6" t="n">
        <v>7</v>
      </c>
      <c r="D1632" s="25" t="n">
        <f aca="false">EDATE('Start Here'!$B$6,C1632-1)</f>
        <v>46508</v>
      </c>
      <c r="E1632" s="11" t="n">
        <f aca="false">IF(AND(OR(Nonlabor!$D$11="Both",Nonlabor!$D$11='Start Here'!$B$9),IF(Nonlabor!$E$11="Core",1,IF(Nonlabor!$E$11="AI",'Start Here'!$B$7,'Start Here'!$B$8))=1,C1632&gt;=IF(Nonlabor!$E$11="Core",Nonlabor!$F$11,MAX(Nonlabor!$F$11,IF(Nonlabor!$E$11="AI",Assumptions!$D$24,Assumptions!$D$25))),C1632&lt;=Nonlabor!$G$11,OR(Nonlabor!$H$11="Monthly",AND(Nonlabor!$H$11="Once",C1632=IF(Nonlabor!$E$11="Core",Nonlabor!$F$11,MAX(Nonlabor!$F$11,IF(Nonlabor!$E$11="AI",Assumptions!$D$24,Assumptions!$D$25)))),AND(Nonlabor!$H$11="Annual",MOD(C1632-IF(Nonlabor!$E$11="Core",Nonlabor!$F$11,MAX(Nonlabor!$F$11,IF(Nonlabor!$E$11="AI",Assumptions!$D$24,Assumptions!$D$25))),12)=0))),IF(Nonlabor!$I$11="Fixed",1,IF(Nonlabor!$I$11="Seats",ROUNDUP('Monthly Base'!I12,0),IF(Nonlabor!$I$11="Customers",'Monthly Base'!D12,IF(Nonlabor!$I$11="NewCustomers",'Monthly Base'!C12,IF(Nonlabor!$I$11="StorageGB",'Monthly Base'!G12,IF(Nonlabor!$I$11="LogGB",'Monthly Base'!H12,IF(Nonlabor!$I$11="RequestsM",'Monthly Base'!F12,IF(Nonlabor!$I$11="InputM",'Monthly Base'!D12*Assumptions!$D$22/1000000,IF(Nonlabor!$I$11="OutputM",'Monthly Base'!D12*Assumptions!$D$23/1000000,0))))))))),0)</f>
        <v>0</v>
      </c>
      <c r="F1632" s="10" t="n">
        <f aca="false">Nonlabor!$J$11*(1+Assumptions!$D$9)^INT((C1632-1)/12)</f>
        <v>5</v>
      </c>
      <c r="G1632" s="10" t="n">
        <f aca="false">E1632*F1632</f>
        <v>0</v>
      </c>
      <c r="H1632" s="10" t="n">
        <f aca="false">IF(OR(Nonlabor!$L$11="Quote required",Nonlabor!$L$11="Unverified"),G1632,0)</f>
        <v>0</v>
      </c>
      <c r="I1632" s="10" t="n">
        <f aca="false">IF(Nonlabor!$E$11="Core",0,G1632)</f>
        <v>0</v>
      </c>
      <c r="J1632" s="23" t="str">
        <f aca="false">Nonlabor!$B$11</f>
        <v>INFRA</v>
      </c>
    </row>
    <row r="1633" customFormat="false" ht="15" hidden="false" customHeight="false" outlineLevel="0" collapsed="false">
      <c r="A1633" s="6" t="s">
        <v>4</v>
      </c>
      <c r="B1633" s="6" t="s">
        <v>387</v>
      </c>
      <c r="C1633" s="6" t="n">
        <v>8</v>
      </c>
      <c r="D1633" s="25" t="n">
        <f aca="false">EDATE('Start Here'!$B$6,C1633-1)</f>
        <v>46539</v>
      </c>
      <c r="E1633" s="11" t="n">
        <f aca="false">IF(AND(OR(Nonlabor!$D$11="Both",Nonlabor!$D$11='Start Here'!$B$9),IF(Nonlabor!$E$11="Core",1,IF(Nonlabor!$E$11="AI",'Start Here'!$B$7,'Start Here'!$B$8))=1,C1633&gt;=IF(Nonlabor!$E$11="Core",Nonlabor!$F$11,MAX(Nonlabor!$F$11,IF(Nonlabor!$E$11="AI",Assumptions!$D$24,Assumptions!$D$25))),C1633&lt;=Nonlabor!$G$11,OR(Nonlabor!$H$11="Monthly",AND(Nonlabor!$H$11="Once",C1633=IF(Nonlabor!$E$11="Core",Nonlabor!$F$11,MAX(Nonlabor!$F$11,IF(Nonlabor!$E$11="AI",Assumptions!$D$24,Assumptions!$D$25)))),AND(Nonlabor!$H$11="Annual",MOD(C1633-IF(Nonlabor!$E$11="Core",Nonlabor!$F$11,MAX(Nonlabor!$F$11,IF(Nonlabor!$E$11="AI",Assumptions!$D$24,Assumptions!$D$25))),12)=0))),IF(Nonlabor!$I$11="Fixed",1,IF(Nonlabor!$I$11="Seats",ROUNDUP('Monthly Base'!I13,0),IF(Nonlabor!$I$11="Customers",'Monthly Base'!D13,IF(Nonlabor!$I$11="NewCustomers",'Monthly Base'!C13,IF(Nonlabor!$I$11="StorageGB",'Monthly Base'!G13,IF(Nonlabor!$I$11="LogGB",'Monthly Base'!H13,IF(Nonlabor!$I$11="RequestsM",'Monthly Base'!F13,IF(Nonlabor!$I$11="InputM",'Monthly Base'!D13*Assumptions!$D$22/1000000,IF(Nonlabor!$I$11="OutputM",'Monthly Base'!D13*Assumptions!$D$23/1000000,0))))))))),0)</f>
        <v>0</v>
      </c>
      <c r="F1633" s="10" t="n">
        <f aca="false">Nonlabor!$J$11*(1+Assumptions!$D$9)^INT((C1633-1)/12)</f>
        <v>5</v>
      </c>
      <c r="G1633" s="10" t="n">
        <f aca="false">E1633*F1633</f>
        <v>0</v>
      </c>
      <c r="H1633" s="10" t="n">
        <f aca="false">IF(OR(Nonlabor!$L$11="Quote required",Nonlabor!$L$11="Unverified"),G1633,0)</f>
        <v>0</v>
      </c>
      <c r="I1633" s="10" t="n">
        <f aca="false">IF(Nonlabor!$E$11="Core",0,G1633)</f>
        <v>0</v>
      </c>
      <c r="J1633" s="23" t="str">
        <f aca="false">Nonlabor!$B$11</f>
        <v>INFRA</v>
      </c>
    </row>
    <row r="1634" customFormat="false" ht="15" hidden="false" customHeight="false" outlineLevel="0" collapsed="false">
      <c r="A1634" s="6" t="s">
        <v>4</v>
      </c>
      <c r="B1634" s="6" t="s">
        <v>387</v>
      </c>
      <c r="C1634" s="6" t="n">
        <v>9</v>
      </c>
      <c r="D1634" s="25" t="n">
        <f aca="false">EDATE('Start Here'!$B$6,C1634-1)</f>
        <v>46569</v>
      </c>
      <c r="E1634" s="11" t="n">
        <f aca="false">IF(AND(OR(Nonlabor!$D$11="Both",Nonlabor!$D$11='Start Here'!$B$9),IF(Nonlabor!$E$11="Core",1,IF(Nonlabor!$E$11="AI",'Start Here'!$B$7,'Start Here'!$B$8))=1,C1634&gt;=IF(Nonlabor!$E$11="Core",Nonlabor!$F$11,MAX(Nonlabor!$F$11,IF(Nonlabor!$E$11="AI",Assumptions!$D$24,Assumptions!$D$25))),C1634&lt;=Nonlabor!$G$11,OR(Nonlabor!$H$11="Monthly",AND(Nonlabor!$H$11="Once",C1634=IF(Nonlabor!$E$11="Core",Nonlabor!$F$11,MAX(Nonlabor!$F$11,IF(Nonlabor!$E$11="AI",Assumptions!$D$24,Assumptions!$D$25)))),AND(Nonlabor!$H$11="Annual",MOD(C1634-IF(Nonlabor!$E$11="Core",Nonlabor!$F$11,MAX(Nonlabor!$F$11,IF(Nonlabor!$E$11="AI",Assumptions!$D$24,Assumptions!$D$25))),12)=0))),IF(Nonlabor!$I$11="Fixed",1,IF(Nonlabor!$I$11="Seats",ROUNDUP('Monthly Base'!I14,0),IF(Nonlabor!$I$11="Customers",'Monthly Base'!D14,IF(Nonlabor!$I$11="NewCustomers",'Monthly Base'!C14,IF(Nonlabor!$I$11="StorageGB",'Monthly Base'!G14,IF(Nonlabor!$I$11="LogGB",'Monthly Base'!H14,IF(Nonlabor!$I$11="RequestsM",'Monthly Base'!F14,IF(Nonlabor!$I$11="InputM",'Monthly Base'!D14*Assumptions!$D$22/1000000,IF(Nonlabor!$I$11="OutputM",'Monthly Base'!D14*Assumptions!$D$23/1000000,0))))))))),0)</f>
        <v>0</v>
      </c>
      <c r="F1634" s="10" t="n">
        <f aca="false">Nonlabor!$J$11*(1+Assumptions!$D$9)^INT((C1634-1)/12)</f>
        <v>5</v>
      </c>
      <c r="G1634" s="10" t="n">
        <f aca="false">E1634*F1634</f>
        <v>0</v>
      </c>
      <c r="H1634" s="10" t="n">
        <f aca="false">IF(OR(Nonlabor!$L$11="Quote required",Nonlabor!$L$11="Unverified"),G1634,0)</f>
        <v>0</v>
      </c>
      <c r="I1634" s="10" t="n">
        <f aca="false">IF(Nonlabor!$E$11="Core",0,G1634)</f>
        <v>0</v>
      </c>
      <c r="J1634" s="23" t="str">
        <f aca="false">Nonlabor!$B$11</f>
        <v>INFRA</v>
      </c>
    </row>
    <row r="1635" customFormat="false" ht="15" hidden="false" customHeight="false" outlineLevel="0" collapsed="false">
      <c r="A1635" s="6" t="s">
        <v>4</v>
      </c>
      <c r="B1635" s="6" t="s">
        <v>387</v>
      </c>
      <c r="C1635" s="6" t="n">
        <v>10</v>
      </c>
      <c r="D1635" s="25" t="n">
        <f aca="false">EDATE('Start Here'!$B$6,C1635-1)</f>
        <v>46600</v>
      </c>
      <c r="E1635" s="11" t="n">
        <f aca="false">IF(AND(OR(Nonlabor!$D$11="Both",Nonlabor!$D$11='Start Here'!$B$9),IF(Nonlabor!$E$11="Core",1,IF(Nonlabor!$E$11="AI",'Start Here'!$B$7,'Start Here'!$B$8))=1,C1635&gt;=IF(Nonlabor!$E$11="Core",Nonlabor!$F$11,MAX(Nonlabor!$F$11,IF(Nonlabor!$E$11="AI",Assumptions!$D$24,Assumptions!$D$25))),C1635&lt;=Nonlabor!$G$11,OR(Nonlabor!$H$11="Monthly",AND(Nonlabor!$H$11="Once",C1635=IF(Nonlabor!$E$11="Core",Nonlabor!$F$11,MAX(Nonlabor!$F$11,IF(Nonlabor!$E$11="AI",Assumptions!$D$24,Assumptions!$D$25)))),AND(Nonlabor!$H$11="Annual",MOD(C1635-IF(Nonlabor!$E$11="Core",Nonlabor!$F$11,MAX(Nonlabor!$F$11,IF(Nonlabor!$E$11="AI",Assumptions!$D$24,Assumptions!$D$25))),12)=0))),IF(Nonlabor!$I$11="Fixed",1,IF(Nonlabor!$I$11="Seats",ROUNDUP('Monthly Base'!I15,0),IF(Nonlabor!$I$11="Customers",'Monthly Base'!D15,IF(Nonlabor!$I$11="NewCustomers",'Monthly Base'!C15,IF(Nonlabor!$I$11="StorageGB",'Monthly Base'!G15,IF(Nonlabor!$I$11="LogGB",'Monthly Base'!H15,IF(Nonlabor!$I$11="RequestsM",'Monthly Base'!F15,IF(Nonlabor!$I$11="InputM",'Monthly Base'!D15*Assumptions!$D$22/1000000,IF(Nonlabor!$I$11="OutputM",'Monthly Base'!D15*Assumptions!$D$23/1000000,0))))))))),0)</f>
        <v>0</v>
      </c>
      <c r="F1635" s="10" t="n">
        <f aca="false">Nonlabor!$J$11*(1+Assumptions!$D$9)^INT((C1635-1)/12)</f>
        <v>5</v>
      </c>
      <c r="G1635" s="10" t="n">
        <f aca="false">E1635*F1635</f>
        <v>0</v>
      </c>
      <c r="H1635" s="10" t="n">
        <f aca="false">IF(OR(Nonlabor!$L$11="Quote required",Nonlabor!$L$11="Unverified"),G1635,0)</f>
        <v>0</v>
      </c>
      <c r="I1635" s="10" t="n">
        <f aca="false">IF(Nonlabor!$E$11="Core",0,G1635)</f>
        <v>0</v>
      </c>
      <c r="J1635" s="23" t="str">
        <f aca="false">Nonlabor!$B$11</f>
        <v>INFRA</v>
      </c>
    </row>
    <row r="1636" customFormat="false" ht="15" hidden="false" customHeight="false" outlineLevel="0" collapsed="false">
      <c r="A1636" s="6" t="s">
        <v>4</v>
      </c>
      <c r="B1636" s="6" t="s">
        <v>387</v>
      </c>
      <c r="C1636" s="6" t="n">
        <v>11</v>
      </c>
      <c r="D1636" s="25" t="n">
        <f aca="false">EDATE('Start Here'!$B$6,C1636-1)</f>
        <v>46631</v>
      </c>
      <c r="E1636" s="11" t="n">
        <f aca="false">IF(AND(OR(Nonlabor!$D$11="Both",Nonlabor!$D$11='Start Here'!$B$9),IF(Nonlabor!$E$11="Core",1,IF(Nonlabor!$E$11="AI",'Start Here'!$B$7,'Start Here'!$B$8))=1,C1636&gt;=IF(Nonlabor!$E$11="Core",Nonlabor!$F$11,MAX(Nonlabor!$F$11,IF(Nonlabor!$E$11="AI",Assumptions!$D$24,Assumptions!$D$25))),C1636&lt;=Nonlabor!$G$11,OR(Nonlabor!$H$11="Monthly",AND(Nonlabor!$H$11="Once",C1636=IF(Nonlabor!$E$11="Core",Nonlabor!$F$11,MAX(Nonlabor!$F$11,IF(Nonlabor!$E$11="AI",Assumptions!$D$24,Assumptions!$D$25)))),AND(Nonlabor!$H$11="Annual",MOD(C1636-IF(Nonlabor!$E$11="Core",Nonlabor!$F$11,MAX(Nonlabor!$F$11,IF(Nonlabor!$E$11="AI",Assumptions!$D$24,Assumptions!$D$25))),12)=0))),IF(Nonlabor!$I$11="Fixed",1,IF(Nonlabor!$I$11="Seats",ROUNDUP('Monthly Base'!I16,0),IF(Nonlabor!$I$11="Customers",'Monthly Base'!D16,IF(Nonlabor!$I$11="NewCustomers",'Monthly Base'!C16,IF(Nonlabor!$I$11="StorageGB",'Monthly Base'!G16,IF(Nonlabor!$I$11="LogGB",'Monthly Base'!H16,IF(Nonlabor!$I$11="RequestsM",'Monthly Base'!F16,IF(Nonlabor!$I$11="InputM",'Monthly Base'!D16*Assumptions!$D$22/1000000,IF(Nonlabor!$I$11="OutputM",'Monthly Base'!D16*Assumptions!$D$23/1000000,0))))))))),0)</f>
        <v>0</v>
      </c>
      <c r="F1636" s="10" t="n">
        <f aca="false">Nonlabor!$J$11*(1+Assumptions!$D$9)^INT((C1636-1)/12)</f>
        <v>5</v>
      </c>
      <c r="G1636" s="10" t="n">
        <f aca="false">E1636*F1636</f>
        <v>0</v>
      </c>
      <c r="H1636" s="10" t="n">
        <f aca="false">IF(OR(Nonlabor!$L$11="Quote required",Nonlabor!$L$11="Unverified"),G1636,0)</f>
        <v>0</v>
      </c>
      <c r="I1636" s="10" t="n">
        <f aca="false">IF(Nonlabor!$E$11="Core",0,G1636)</f>
        <v>0</v>
      </c>
      <c r="J1636" s="23" t="str">
        <f aca="false">Nonlabor!$B$11</f>
        <v>INFRA</v>
      </c>
    </row>
    <row r="1637" customFormat="false" ht="15" hidden="false" customHeight="false" outlineLevel="0" collapsed="false">
      <c r="A1637" s="6" t="s">
        <v>4</v>
      </c>
      <c r="B1637" s="6" t="s">
        <v>387</v>
      </c>
      <c r="C1637" s="6" t="n">
        <v>12</v>
      </c>
      <c r="D1637" s="25" t="n">
        <f aca="false">EDATE('Start Here'!$B$6,C1637-1)</f>
        <v>46661</v>
      </c>
      <c r="E1637" s="11" t="n">
        <f aca="false">IF(AND(OR(Nonlabor!$D$11="Both",Nonlabor!$D$11='Start Here'!$B$9),IF(Nonlabor!$E$11="Core",1,IF(Nonlabor!$E$11="AI",'Start Here'!$B$7,'Start Here'!$B$8))=1,C1637&gt;=IF(Nonlabor!$E$11="Core",Nonlabor!$F$11,MAX(Nonlabor!$F$11,IF(Nonlabor!$E$11="AI",Assumptions!$D$24,Assumptions!$D$25))),C1637&lt;=Nonlabor!$G$11,OR(Nonlabor!$H$11="Monthly",AND(Nonlabor!$H$11="Once",C1637=IF(Nonlabor!$E$11="Core",Nonlabor!$F$11,MAX(Nonlabor!$F$11,IF(Nonlabor!$E$11="AI",Assumptions!$D$24,Assumptions!$D$25)))),AND(Nonlabor!$H$11="Annual",MOD(C1637-IF(Nonlabor!$E$11="Core",Nonlabor!$F$11,MAX(Nonlabor!$F$11,IF(Nonlabor!$E$11="AI",Assumptions!$D$24,Assumptions!$D$25))),12)=0))),IF(Nonlabor!$I$11="Fixed",1,IF(Nonlabor!$I$11="Seats",ROUNDUP('Monthly Base'!I17,0),IF(Nonlabor!$I$11="Customers",'Monthly Base'!D17,IF(Nonlabor!$I$11="NewCustomers",'Monthly Base'!C17,IF(Nonlabor!$I$11="StorageGB",'Monthly Base'!G17,IF(Nonlabor!$I$11="LogGB",'Monthly Base'!H17,IF(Nonlabor!$I$11="RequestsM",'Monthly Base'!F17,IF(Nonlabor!$I$11="InputM",'Monthly Base'!D17*Assumptions!$D$22/1000000,IF(Nonlabor!$I$11="OutputM",'Monthly Base'!D17*Assumptions!$D$23/1000000,0))))))))),0)</f>
        <v>0</v>
      </c>
      <c r="F1637" s="10" t="n">
        <f aca="false">Nonlabor!$J$11*(1+Assumptions!$D$9)^INT((C1637-1)/12)</f>
        <v>5</v>
      </c>
      <c r="G1637" s="10" t="n">
        <f aca="false">E1637*F1637</f>
        <v>0</v>
      </c>
      <c r="H1637" s="10" t="n">
        <f aca="false">IF(OR(Nonlabor!$L$11="Quote required",Nonlabor!$L$11="Unverified"),G1637,0)</f>
        <v>0</v>
      </c>
      <c r="I1637" s="10" t="n">
        <f aca="false">IF(Nonlabor!$E$11="Core",0,G1637)</f>
        <v>0</v>
      </c>
      <c r="J1637" s="23" t="str">
        <f aca="false">Nonlabor!$B$11</f>
        <v>INFRA</v>
      </c>
    </row>
    <row r="1638" customFormat="false" ht="15" hidden="false" customHeight="false" outlineLevel="0" collapsed="false">
      <c r="A1638" s="6" t="s">
        <v>4</v>
      </c>
      <c r="B1638" s="6" t="s">
        <v>387</v>
      </c>
      <c r="C1638" s="6" t="n">
        <v>13</v>
      </c>
      <c r="D1638" s="25" t="n">
        <f aca="false">EDATE('Start Here'!$B$6,C1638-1)</f>
        <v>46692</v>
      </c>
      <c r="E1638" s="11" t="n">
        <f aca="false">IF(AND(OR(Nonlabor!$D$11="Both",Nonlabor!$D$11='Start Here'!$B$9),IF(Nonlabor!$E$11="Core",1,IF(Nonlabor!$E$11="AI",'Start Here'!$B$7,'Start Here'!$B$8))=1,C1638&gt;=IF(Nonlabor!$E$11="Core",Nonlabor!$F$11,MAX(Nonlabor!$F$11,IF(Nonlabor!$E$11="AI",Assumptions!$D$24,Assumptions!$D$25))),C1638&lt;=Nonlabor!$G$11,OR(Nonlabor!$H$11="Monthly",AND(Nonlabor!$H$11="Once",C1638=IF(Nonlabor!$E$11="Core",Nonlabor!$F$11,MAX(Nonlabor!$F$11,IF(Nonlabor!$E$11="AI",Assumptions!$D$24,Assumptions!$D$25)))),AND(Nonlabor!$H$11="Annual",MOD(C1638-IF(Nonlabor!$E$11="Core",Nonlabor!$F$11,MAX(Nonlabor!$F$11,IF(Nonlabor!$E$11="AI",Assumptions!$D$24,Assumptions!$D$25))),12)=0))),IF(Nonlabor!$I$11="Fixed",1,IF(Nonlabor!$I$11="Seats",ROUNDUP('Monthly Base'!I18,0),IF(Nonlabor!$I$11="Customers",'Monthly Base'!D18,IF(Nonlabor!$I$11="NewCustomers",'Monthly Base'!C18,IF(Nonlabor!$I$11="StorageGB",'Monthly Base'!G18,IF(Nonlabor!$I$11="LogGB",'Monthly Base'!H18,IF(Nonlabor!$I$11="RequestsM",'Monthly Base'!F18,IF(Nonlabor!$I$11="InputM",'Monthly Base'!D18*Assumptions!$D$22/1000000,IF(Nonlabor!$I$11="OutputM",'Monthly Base'!D18*Assumptions!$D$23/1000000,0))))))))),0)</f>
        <v>1</v>
      </c>
      <c r="F1638" s="10" t="n">
        <f aca="false">Nonlabor!$J$11*(1+Assumptions!$D$9)^INT((C1638-1)/12)</f>
        <v>5.15</v>
      </c>
      <c r="G1638" s="10" t="n">
        <f aca="false">E1638*F1638</f>
        <v>5.15</v>
      </c>
      <c r="H1638" s="10" t="n">
        <f aca="false">IF(OR(Nonlabor!$L$11="Quote required",Nonlabor!$L$11="Unverified"),G1638,0)</f>
        <v>0</v>
      </c>
      <c r="I1638" s="10" t="n">
        <f aca="false">IF(Nonlabor!$E$11="Core",0,G1638)</f>
        <v>0</v>
      </c>
      <c r="J1638" s="23" t="str">
        <f aca="false">Nonlabor!$B$11</f>
        <v>INFRA</v>
      </c>
    </row>
    <row r="1639" customFormat="false" ht="15" hidden="false" customHeight="false" outlineLevel="0" collapsed="false">
      <c r="A1639" s="6" t="s">
        <v>4</v>
      </c>
      <c r="B1639" s="6" t="s">
        <v>387</v>
      </c>
      <c r="C1639" s="6" t="n">
        <v>14</v>
      </c>
      <c r="D1639" s="25" t="n">
        <f aca="false">EDATE('Start Here'!$B$6,C1639-1)</f>
        <v>46722</v>
      </c>
      <c r="E1639" s="11" t="n">
        <f aca="false">IF(AND(OR(Nonlabor!$D$11="Both",Nonlabor!$D$11='Start Here'!$B$9),IF(Nonlabor!$E$11="Core",1,IF(Nonlabor!$E$11="AI",'Start Here'!$B$7,'Start Here'!$B$8))=1,C1639&gt;=IF(Nonlabor!$E$11="Core",Nonlabor!$F$11,MAX(Nonlabor!$F$11,IF(Nonlabor!$E$11="AI",Assumptions!$D$24,Assumptions!$D$25))),C1639&lt;=Nonlabor!$G$11,OR(Nonlabor!$H$11="Monthly",AND(Nonlabor!$H$11="Once",C1639=IF(Nonlabor!$E$11="Core",Nonlabor!$F$11,MAX(Nonlabor!$F$11,IF(Nonlabor!$E$11="AI",Assumptions!$D$24,Assumptions!$D$25)))),AND(Nonlabor!$H$11="Annual",MOD(C1639-IF(Nonlabor!$E$11="Core",Nonlabor!$F$11,MAX(Nonlabor!$F$11,IF(Nonlabor!$E$11="AI",Assumptions!$D$24,Assumptions!$D$25))),12)=0))),IF(Nonlabor!$I$11="Fixed",1,IF(Nonlabor!$I$11="Seats",ROUNDUP('Monthly Base'!I19,0),IF(Nonlabor!$I$11="Customers",'Monthly Base'!D19,IF(Nonlabor!$I$11="NewCustomers",'Monthly Base'!C19,IF(Nonlabor!$I$11="StorageGB",'Monthly Base'!G19,IF(Nonlabor!$I$11="LogGB",'Monthly Base'!H19,IF(Nonlabor!$I$11="RequestsM",'Monthly Base'!F19,IF(Nonlabor!$I$11="InputM",'Monthly Base'!D19*Assumptions!$D$22/1000000,IF(Nonlabor!$I$11="OutputM",'Monthly Base'!D19*Assumptions!$D$23/1000000,0))))))))),0)</f>
        <v>1.99</v>
      </c>
      <c r="F1639" s="10" t="n">
        <f aca="false">Nonlabor!$J$11*(1+Assumptions!$D$9)^INT((C1639-1)/12)</f>
        <v>5.15</v>
      </c>
      <c r="G1639" s="10" t="n">
        <f aca="false">E1639*F1639</f>
        <v>10.2485</v>
      </c>
      <c r="H1639" s="10" t="n">
        <f aca="false">IF(OR(Nonlabor!$L$11="Quote required",Nonlabor!$L$11="Unverified"),G1639,0)</f>
        <v>0</v>
      </c>
      <c r="I1639" s="10" t="n">
        <f aca="false">IF(Nonlabor!$E$11="Core",0,G1639)</f>
        <v>0</v>
      </c>
      <c r="J1639" s="23" t="str">
        <f aca="false">Nonlabor!$B$11</f>
        <v>INFRA</v>
      </c>
    </row>
    <row r="1640" customFormat="false" ht="15" hidden="false" customHeight="false" outlineLevel="0" collapsed="false">
      <c r="A1640" s="6" t="s">
        <v>4</v>
      </c>
      <c r="B1640" s="6" t="s">
        <v>387</v>
      </c>
      <c r="C1640" s="6" t="n">
        <v>15</v>
      </c>
      <c r="D1640" s="25" t="n">
        <f aca="false">EDATE('Start Here'!$B$6,C1640-1)</f>
        <v>46753</v>
      </c>
      <c r="E1640" s="11" t="n">
        <f aca="false">IF(AND(OR(Nonlabor!$D$11="Both",Nonlabor!$D$11='Start Here'!$B$9),IF(Nonlabor!$E$11="Core",1,IF(Nonlabor!$E$11="AI",'Start Here'!$B$7,'Start Here'!$B$8))=1,C1640&gt;=IF(Nonlabor!$E$11="Core",Nonlabor!$F$11,MAX(Nonlabor!$F$11,IF(Nonlabor!$E$11="AI",Assumptions!$D$24,Assumptions!$D$25))),C1640&lt;=Nonlabor!$G$11,OR(Nonlabor!$H$11="Monthly",AND(Nonlabor!$H$11="Once",C1640=IF(Nonlabor!$E$11="Core",Nonlabor!$F$11,MAX(Nonlabor!$F$11,IF(Nonlabor!$E$11="AI",Assumptions!$D$24,Assumptions!$D$25)))),AND(Nonlabor!$H$11="Annual",MOD(C1640-IF(Nonlabor!$E$11="Core",Nonlabor!$F$11,MAX(Nonlabor!$F$11,IF(Nonlabor!$E$11="AI",Assumptions!$D$24,Assumptions!$D$25))),12)=0))),IF(Nonlabor!$I$11="Fixed",1,IF(Nonlabor!$I$11="Seats",ROUNDUP('Monthly Base'!I20,0),IF(Nonlabor!$I$11="Customers",'Monthly Base'!D20,IF(Nonlabor!$I$11="NewCustomers",'Monthly Base'!C20,IF(Nonlabor!$I$11="StorageGB",'Monthly Base'!G20,IF(Nonlabor!$I$11="LogGB",'Monthly Base'!H20,IF(Nonlabor!$I$11="RequestsM",'Monthly Base'!F20,IF(Nonlabor!$I$11="InputM",'Monthly Base'!D20*Assumptions!$D$22/1000000,IF(Nonlabor!$I$11="OutputM",'Monthly Base'!D20*Assumptions!$D$23/1000000,0))))))))),0)</f>
        <v>2.9701</v>
      </c>
      <c r="F1640" s="10" t="n">
        <f aca="false">Nonlabor!$J$11*(1+Assumptions!$D$9)^INT((C1640-1)/12)</f>
        <v>5.15</v>
      </c>
      <c r="G1640" s="10" t="n">
        <f aca="false">E1640*F1640</f>
        <v>15.296015</v>
      </c>
      <c r="H1640" s="10" t="n">
        <f aca="false">IF(OR(Nonlabor!$L$11="Quote required",Nonlabor!$L$11="Unverified"),G1640,0)</f>
        <v>0</v>
      </c>
      <c r="I1640" s="10" t="n">
        <f aca="false">IF(Nonlabor!$E$11="Core",0,G1640)</f>
        <v>0</v>
      </c>
      <c r="J1640" s="23" t="str">
        <f aca="false">Nonlabor!$B$11</f>
        <v>INFRA</v>
      </c>
    </row>
    <row r="1641" customFormat="false" ht="15" hidden="false" customHeight="false" outlineLevel="0" collapsed="false">
      <c r="A1641" s="6" t="s">
        <v>4</v>
      </c>
      <c r="B1641" s="6" t="s">
        <v>387</v>
      </c>
      <c r="C1641" s="6" t="n">
        <v>16</v>
      </c>
      <c r="D1641" s="25" t="n">
        <f aca="false">EDATE('Start Here'!$B$6,C1641-1)</f>
        <v>46784</v>
      </c>
      <c r="E1641" s="11" t="n">
        <f aca="false">IF(AND(OR(Nonlabor!$D$11="Both",Nonlabor!$D$11='Start Here'!$B$9),IF(Nonlabor!$E$11="Core",1,IF(Nonlabor!$E$11="AI",'Start Here'!$B$7,'Start Here'!$B$8))=1,C1641&gt;=IF(Nonlabor!$E$11="Core",Nonlabor!$F$11,MAX(Nonlabor!$F$11,IF(Nonlabor!$E$11="AI",Assumptions!$D$24,Assumptions!$D$25))),C1641&lt;=Nonlabor!$G$11,OR(Nonlabor!$H$11="Monthly",AND(Nonlabor!$H$11="Once",C1641=IF(Nonlabor!$E$11="Core",Nonlabor!$F$11,MAX(Nonlabor!$F$11,IF(Nonlabor!$E$11="AI",Assumptions!$D$24,Assumptions!$D$25)))),AND(Nonlabor!$H$11="Annual",MOD(C1641-IF(Nonlabor!$E$11="Core",Nonlabor!$F$11,MAX(Nonlabor!$F$11,IF(Nonlabor!$E$11="AI",Assumptions!$D$24,Assumptions!$D$25))),12)=0))),IF(Nonlabor!$I$11="Fixed",1,IF(Nonlabor!$I$11="Seats",ROUNDUP('Monthly Base'!I21,0),IF(Nonlabor!$I$11="Customers",'Monthly Base'!D21,IF(Nonlabor!$I$11="NewCustomers",'Monthly Base'!C21,IF(Nonlabor!$I$11="StorageGB",'Monthly Base'!G21,IF(Nonlabor!$I$11="LogGB",'Monthly Base'!H21,IF(Nonlabor!$I$11="RequestsM",'Monthly Base'!F21,IF(Nonlabor!$I$11="InputM",'Monthly Base'!D21*Assumptions!$D$22/1000000,IF(Nonlabor!$I$11="OutputM",'Monthly Base'!D21*Assumptions!$D$23/1000000,0))))))))),0)</f>
        <v>3.940399</v>
      </c>
      <c r="F1641" s="10" t="n">
        <f aca="false">Nonlabor!$J$11*(1+Assumptions!$D$9)^INT((C1641-1)/12)</f>
        <v>5.15</v>
      </c>
      <c r="G1641" s="10" t="n">
        <f aca="false">E1641*F1641</f>
        <v>20.29305485</v>
      </c>
      <c r="H1641" s="10" t="n">
        <f aca="false">IF(OR(Nonlabor!$L$11="Quote required",Nonlabor!$L$11="Unverified"),G1641,0)</f>
        <v>0</v>
      </c>
      <c r="I1641" s="10" t="n">
        <f aca="false">IF(Nonlabor!$E$11="Core",0,G1641)</f>
        <v>0</v>
      </c>
      <c r="J1641" s="23" t="str">
        <f aca="false">Nonlabor!$B$11</f>
        <v>INFRA</v>
      </c>
    </row>
    <row r="1642" customFormat="false" ht="15" hidden="false" customHeight="false" outlineLevel="0" collapsed="false">
      <c r="A1642" s="6" t="s">
        <v>4</v>
      </c>
      <c r="B1642" s="6" t="s">
        <v>387</v>
      </c>
      <c r="C1642" s="6" t="n">
        <v>17</v>
      </c>
      <c r="D1642" s="25" t="n">
        <f aca="false">EDATE('Start Here'!$B$6,C1642-1)</f>
        <v>46813</v>
      </c>
      <c r="E1642" s="11" t="n">
        <f aca="false">IF(AND(OR(Nonlabor!$D$11="Both",Nonlabor!$D$11='Start Here'!$B$9),IF(Nonlabor!$E$11="Core",1,IF(Nonlabor!$E$11="AI",'Start Here'!$B$7,'Start Here'!$B$8))=1,C1642&gt;=IF(Nonlabor!$E$11="Core",Nonlabor!$F$11,MAX(Nonlabor!$F$11,IF(Nonlabor!$E$11="AI",Assumptions!$D$24,Assumptions!$D$25))),C1642&lt;=Nonlabor!$G$11,OR(Nonlabor!$H$11="Monthly",AND(Nonlabor!$H$11="Once",C1642=IF(Nonlabor!$E$11="Core",Nonlabor!$F$11,MAX(Nonlabor!$F$11,IF(Nonlabor!$E$11="AI",Assumptions!$D$24,Assumptions!$D$25)))),AND(Nonlabor!$H$11="Annual",MOD(C1642-IF(Nonlabor!$E$11="Core",Nonlabor!$F$11,MAX(Nonlabor!$F$11,IF(Nonlabor!$E$11="AI",Assumptions!$D$24,Assumptions!$D$25))),12)=0))),IF(Nonlabor!$I$11="Fixed",1,IF(Nonlabor!$I$11="Seats",ROUNDUP('Monthly Base'!I22,0),IF(Nonlabor!$I$11="Customers",'Monthly Base'!D22,IF(Nonlabor!$I$11="NewCustomers",'Monthly Base'!C22,IF(Nonlabor!$I$11="StorageGB",'Monthly Base'!G22,IF(Nonlabor!$I$11="LogGB",'Monthly Base'!H22,IF(Nonlabor!$I$11="RequestsM",'Monthly Base'!F22,IF(Nonlabor!$I$11="InputM",'Monthly Base'!D22*Assumptions!$D$22/1000000,IF(Nonlabor!$I$11="OutputM",'Monthly Base'!D22*Assumptions!$D$23/1000000,0))))))))),0)</f>
        <v>4.90099501</v>
      </c>
      <c r="F1642" s="10" t="n">
        <f aca="false">Nonlabor!$J$11*(1+Assumptions!$D$9)^INT((C1642-1)/12)</f>
        <v>5.15</v>
      </c>
      <c r="G1642" s="10" t="n">
        <f aca="false">E1642*F1642</f>
        <v>25.2401243015</v>
      </c>
      <c r="H1642" s="10" t="n">
        <f aca="false">IF(OR(Nonlabor!$L$11="Quote required",Nonlabor!$L$11="Unverified"),G1642,0)</f>
        <v>0</v>
      </c>
      <c r="I1642" s="10" t="n">
        <f aca="false">IF(Nonlabor!$E$11="Core",0,G1642)</f>
        <v>0</v>
      </c>
      <c r="J1642" s="23" t="str">
        <f aca="false">Nonlabor!$B$11</f>
        <v>INFRA</v>
      </c>
    </row>
    <row r="1643" customFormat="false" ht="15" hidden="false" customHeight="false" outlineLevel="0" collapsed="false">
      <c r="A1643" s="6" t="s">
        <v>4</v>
      </c>
      <c r="B1643" s="6" t="s">
        <v>387</v>
      </c>
      <c r="C1643" s="6" t="n">
        <v>18</v>
      </c>
      <c r="D1643" s="25" t="n">
        <f aca="false">EDATE('Start Here'!$B$6,C1643-1)</f>
        <v>46844</v>
      </c>
      <c r="E1643" s="11" t="n">
        <f aca="false">IF(AND(OR(Nonlabor!$D$11="Both",Nonlabor!$D$11='Start Here'!$B$9),IF(Nonlabor!$E$11="Core",1,IF(Nonlabor!$E$11="AI",'Start Here'!$B$7,'Start Here'!$B$8))=1,C1643&gt;=IF(Nonlabor!$E$11="Core",Nonlabor!$F$11,MAX(Nonlabor!$F$11,IF(Nonlabor!$E$11="AI",Assumptions!$D$24,Assumptions!$D$25))),C1643&lt;=Nonlabor!$G$11,OR(Nonlabor!$H$11="Monthly",AND(Nonlabor!$H$11="Once",C1643=IF(Nonlabor!$E$11="Core",Nonlabor!$F$11,MAX(Nonlabor!$F$11,IF(Nonlabor!$E$11="AI",Assumptions!$D$24,Assumptions!$D$25)))),AND(Nonlabor!$H$11="Annual",MOD(C1643-IF(Nonlabor!$E$11="Core",Nonlabor!$F$11,MAX(Nonlabor!$F$11,IF(Nonlabor!$E$11="AI",Assumptions!$D$24,Assumptions!$D$25))),12)=0))),IF(Nonlabor!$I$11="Fixed",1,IF(Nonlabor!$I$11="Seats",ROUNDUP('Monthly Base'!I23,0),IF(Nonlabor!$I$11="Customers",'Monthly Base'!D23,IF(Nonlabor!$I$11="NewCustomers",'Monthly Base'!C23,IF(Nonlabor!$I$11="StorageGB",'Monthly Base'!G23,IF(Nonlabor!$I$11="LogGB",'Monthly Base'!H23,IF(Nonlabor!$I$11="RequestsM",'Monthly Base'!F23,IF(Nonlabor!$I$11="InputM",'Monthly Base'!D23*Assumptions!$D$22/1000000,IF(Nonlabor!$I$11="OutputM",'Monthly Base'!D23*Assumptions!$D$23/1000000,0))))))))),0)</f>
        <v>5.8519850599</v>
      </c>
      <c r="F1643" s="10" t="n">
        <f aca="false">Nonlabor!$J$11*(1+Assumptions!$D$9)^INT((C1643-1)/12)</f>
        <v>5.15</v>
      </c>
      <c r="G1643" s="10" t="n">
        <f aca="false">E1643*F1643</f>
        <v>30.137723058485</v>
      </c>
      <c r="H1643" s="10" t="n">
        <f aca="false">IF(OR(Nonlabor!$L$11="Quote required",Nonlabor!$L$11="Unverified"),G1643,0)</f>
        <v>0</v>
      </c>
      <c r="I1643" s="10" t="n">
        <f aca="false">IF(Nonlabor!$E$11="Core",0,G1643)</f>
        <v>0</v>
      </c>
      <c r="J1643" s="23" t="str">
        <f aca="false">Nonlabor!$B$11</f>
        <v>INFRA</v>
      </c>
    </row>
    <row r="1644" customFormat="false" ht="15" hidden="false" customHeight="false" outlineLevel="0" collapsed="false">
      <c r="A1644" s="6" t="s">
        <v>4</v>
      </c>
      <c r="B1644" s="6" t="s">
        <v>387</v>
      </c>
      <c r="C1644" s="6" t="n">
        <v>19</v>
      </c>
      <c r="D1644" s="25" t="n">
        <f aca="false">EDATE('Start Here'!$B$6,C1644-1)</f>
        <v>46874</v>
      </c>
      <c r="E1644" s="11" t="n">
        <f aca="false">IF(AND(OR(Nonlabor!$D$11="Both",Nonlabor!$D$11='Start Here'!$B$9),IF(Nonlabor!$E$11="Core",1,IF(Nonlabor!$E$11="AI",'Start Here'!$B$7,'Start Here'!$B$8))=1,C1644&gt;=IF(Nonlabor!$E$11="Core",Nonlabor!$F$11,MAX(Nonlabor!$F$11,IF(Nonlabor!$E$11="AI",Assumptions!$D$24,Assumptions!$D$25))),C1644&lt;=Nonlabor!$G$11,OR(Nonlabor!$H$11="Monthly",AND(Nonlabor!$H$11="Once",C1644=IF(Nonlabor!$E$11="Core",Nonlabor!$F$11,MAX(Nonlabor!$F$11,IF(Nonlabor!$E$11="AI",Assumptions!$D$24,Assumptions!$D$25)))),AND(Nonlabor!$H$11="Annual",MOD(C1644-IF(Nonlabor!$E$11="Core",Nonlabor!$F$11,MAX(Nonlabor!$F$11,IF(Nonlabor!$E$11="AI",Assumptions!$D$24,Assumptions!$D$25))),12)=0))),IF(Nonlabor!$I$11="Fixed",1,IF(Nonlabor!$I$11="Seats",ROUNDUP('Monthly Base'!I24,0),IF(Nonlabor!$I$11="Customers",'Monthly Base'!D24,IF(Nonlabor!$I$11="NewCustomers",'Monthly Base'!C24,IF(Nonlabor!$I$11="StorageGB",'Monthly Base'!G24,IF(Nonlabor!$I$11="LogGB",'Monthly Base'!H24,IF(Nonlabor!$I$11="RequestsM",'Monthly Base'!F24,IF(Nonlabor!$I$11="InputM",'Monthly Base'!D24*Assumptions!$D$22/1000000,IF(Nonlabor!$I$11="OutputM",'Monthly Base'!D24*Assumptions!$D$23/1000000,0))))))))),0)</f>
        <v>6.793465209301</v>
      </c>
      <c r="F1644" s="10" t="n">
        <f aca="false">Nonlabor!$J$11*(1+Assumptions!$D$9)^INT((C1644-1)/12)</f>
        <v>5.15</v>
      </c>
      <c r="G1644" s="10" t="n">
        <f aca="false">E1644*F1644</f>
        <v>34.9863458279002</v>
      </c>
      <c r="H1644" s="10" t="n">
        <f aca="false">IF(OR(Nonlabor!$L$11="Quote required",Nonlabor!$L$11="Unverified"),G1644,0)</f>
        <v>0</v>
      </c>
      <c r="I1644" s="10" t="n">
        <f aca="false">IF(Nonlabor!$E$11="Core",0,G1644)</f>
        <v>0</v>
      </c>
      <c r="J1644" s="23" t="str">
        <f aca="false">Nonlabor!$B$11</f>
        <v>INFRA</v>
      </c>
    </row>
    <row r="1645" customFormat="false" ht="15" hidden="false" customHeight="false" outlineLevel="0" collapsed="false">
      <c r="A1645" s="6" t="s">
        <v>4</v>
      </c>
      <c r="B1645" s="6" t="s">
        <v>387</v>
      </c>
      <c r="C1645" s="6" t="n">
        <v>20</v>
      </c>
      <c r="D1645" s="25" t="n">
        <f aca="false">EDATE('Start Here'!$B$6,C1645-1)</f>
        <v>46905</v>
      </c>
      <c r="E1645" s="11" t="n">
        <f aca="false">IF(AND(OR(Nonlabor!$D$11="Both",Nonlabor!$D$11='Start Here'!$B$9),IF(Nonlabor!$E$11="Core",1,IF(Nonlabor!$E$11="AI",'Start Here'!$B$7,'Start Here'!$B$8))=1,C1645&gt;=IF(Nonlabor!$E$11="Core",Nonlabor!$F$11,MAX(Nonlabor!$F$11,IF(Nonlabor!$E$11="AI",Assumptions!$D$24,Assumptions!$D$25))),C1645&lt;=Nonlabor!$G$11,OR(Nonlabor!$H$11="Monthly",AND(Nonlabor!$H$11="Once",C1645=IF(Nonlabor!$E$11="Core",Nonlabor!$F$11,MAX(Nonlabor!$F$11,IF(Nonlabor!$E$11="AI",Assumptions!$D$24,Assumptions!$D$25)))),AND(Nonlabor!$H$11="Annual",MOD(C1645-IF(Nonlabor!$E$11="Core",Nonlabor!$F$11,MAX(Nonlabor!$F$11,IF(Nonlabor!$E$11="AI",Assumptions!$D$24,Assumptions!$D$25))),12)=0))),IF(Nonlabor!$I$11="Fixed",1,IF(Nonlabor!$I$11="Seats",ROUNDUP('Monthly Base'!I25,0),IF(Nonlabor!$I$11="Customers",'Monthly Base'!D25,IF(Nonlabor!$I$11="NewCustomers",'Monthly Base'!C25,IF(Nonlabor!$I$11="StorageGB",'Monthly Base'!G25,IF(Nonlabor!$I$11="LogGB",'Monthly Base'!H25,IF(Nonlabor!$I$11="RequestsM",'Monthly Base'!F25,IF(Nonlabor!$I$11="InputM",'Monthly Base'!D25*Assumptions!$D$22/1000000,IF(Nonlabor!$I$11="OutputM",'Monthly Base'!D25*Assumptions!$D$23/1000000,0))))))))),0)</f>
        <v>7.72553055720799</v>
      </c>
      <c r="F1645" s="10" t="n">
        <f aca="false">Nonlabor!$J$11*(1+Assumptions!$D$9)^INT((C1645-1)/12)</f>
        <v>5.15</v>
      </c>
      <c r="G1645" s="10" t="n">
        <f aca="false">E1645*F1645</f>
        <v>39.7864823696212</v>
      </c>
      <c r="H1645" s="10" t="n">
        <f aca="false">IF(OR(Nonlabor!$L$11="Quote required",Nonlabor!$L$11="Unverified"),G1645,0)</f>
        <v>0</v>
      </c>
      <c r="I1645" s="10" t="n">
        <f aca="false">IF(Nonlabor!$E$11="Core",0,G1645)</f>
        <v>0</v>
      </c>
      <c r="J1645" s="23" t="str">
        <f aca="false">Nonlabor!$B$11</f>
        <v>INFRA</v>
      </c>
    </row>
    <row r="1646" customFormat="false" ht="15" hidden="false" customHeight="false" outlineLevel="0" collapsed="false">
      <c r="A1646" s="6" t="s">
        <v>4</v>
      </c>
      <c r="B1646" s="6" t="s">
        <v>387</v>
      </c>
      <c r="C1646" s="6" t="n">
        <v>21</v>
      </c>
      <c r="D1646" s="25" t="n">
        <f aca="false">EDATE('Start Here'!$B$6,C1646-1)</f>
        <v>46935</v>
      </c>
      <c r="E1646" s="11" t="n">
        <f aca="false">IF(AND(OR(Nonlabor!$D$11="Both",Nonlabor!$D$11='Start Here'!$B$9),IF(Nonlabor!$E$11="Core",1,IF(Nonlabor!$E$11="AI",'Start Here'!$B$7,'Start Here'!$B$8))=1,C1646&gt;=IF(Nonlabor!$E$11="Core",Nonlabor!$F$11,MAX(Nonlabor!$F$11,IF(Nonlabor!$E$11="AI",Assumptions!$D$24,Assumptions!$D$25))),C1646&lt;=Nonlabor!$G$11,OR(Nonlabor!$H$11="Monthly",AND(Nonlabor!$H$11="Once",C1646=IF(Nonlabor!$E$11="Core",Nonlabor!$F$11,MAX(Nonlabor!$F$11,IF(Nonlabor!$E$11="AI",Assumptions!$D$24,Assumptions!$D$25)))),AND(Nonlabor!$H$11="Annual",MOD(C1646-IF(Nonlabor!$E$11="Core",Nonlabor!$F$11,MAX(Nonlabor!$F$11,IF(Nonlabor!$E$11="AI",Assumptions!$D$24,Assumptions!$D$25))),12)=0))),IF(Nonlabor!$I$11="Fixed",1,IF(Nonlabor!$I$11="Seats",ROUNDUP('Monthly Base'!I26,0),IF(Nonlabor!$I$11="Customers",'Monthly Base'!D26,IF(Nonlabor!$I$11="NewCustomers",'Monthly Base'!C26,IF(Nonlabor!$I$11="StorageGB",'Monthly Base'!G26,IF(Nonlabor!$I$11="LogGB",'Monthly Base'!H26,IF(Nonlabor!$I$11="RequestsM",'Monthly Base'!F26,IF(Nonlabor!$I$11="InputM",'Monthly Base'!D26*Assumptions!$D$22/1000000,IF(Nonlabor!$I$11="OutputM",'Monthly Base'!D26*Assumptions!$D$23/1000000,0))))))))),0)</f>
        <v>8.64827525163591</v>
      </c>
      <c r="F1646" s="10" t="n">
        <f aca="false">Nonlabor!$J$11*(1+Assumptions!$D$9)^INT((C1646-1)/12)</f>
        <v>5.15</v>
      </c>
      <c r="G1646" s="10" t="n">
        <f aca="false">E1646*F1646</f>
        <v>44.5386175459249</v>
      </c>
      <c r="H1646" s="10" t="n">
        <f aca="false">IF(OR(Nonlabor!$L$11="Quote required",Nonlabor!$L$11="Unverified"),G1646,0)</f>
        <v>0</v>
      </c>
      <c r="I1646" s="10" t="n">
        <f aca="false">IF(Nonlabor!$E$11="Core",0,G1646)</f>
        <v>0</v>
      </c>
      <c r="J1646" s="23" t="str">
        <f aca="false">Nonlabor!$B$11</f>
        <v>INFRA</v>
      </c>
    </row>
    <row r="1647" customFormat="false" ht="15" hidden="false" customHeight="false" outlineLevel="0" collapsed="false">
      <c r="A1647" s="6" t="s">
        <v>4</v>
      </c>
      <c r="B1647" s="6" t="s">
        <v>387</v>
      </c>
      <c r="C1647" s="6" t="n">
        <v>22</v>
      </c>
      <c r="D1647" s="25" t="n">
        <f aca="false">EDATE('Start Here'!$B$6,C1647-1)</f>
        <v>46966</v>
      </c>
      <c r="E1647" s="11" t="n">
        <f aca="false">IF(AND(OR(Nonlabor!$D$11="Both",Nonlabor!$D$11='Start Here'!$B$9),IF(Nonlabor!$E$11="Core",1,IF(Nonlabor!$E$11="AI",'Start Here'!$B$7,'Start Here'!$B$8))=1,C1647&gt;=IF(Nonlabor!$E$11="Core",Nonlabor!$F$11,MAX(Nonlabor!$F$11,IF(Nonlabor!$E$11="AI",Assumptions!$D$24,Assumptions!$D$25))),C1647&lt;=Nonlabor!$G$11,OR(Nonlabor!$H$11="Monthly",AND(Nonlabor!$H$11="Once",C1647=IF(Nonlabor!$E$11="Core",Nonlabor!$F$11,MAX(Nonlabor!$F$11,IF(Nonlabor!$E$11="AI",Assumptions!$D$24,Assumptions!$D$25)))),AND(Nonlabor!$H$11="Annual",MOD(C1647-IF(Nonlabor!$E$11="Core",Nonlabor!$F$11,MAX(Nonlabor!$F$11,IF(Nonlabor!$E$11="AI",Assumptions!$D$24,Assumptions!$D$25))),12)=0))),IF(Nonlabor!$I$11="Fixed",1,IF(Nonlabor!$I$11="Seats",ROUNDUP('Monthly Base'!I27,0),IF(Nonlabor!$I$11="Customers",'Monthly Base'!D27,IF(Nonlabor!$I$11="NewCustomers",'Monthly Base'!C27,IF(Nonlabor!$I$11="StorageGB",'Monthly Base'!G27,IF(Nonlabor!$I$11="LogGB",'Monthly Base'!H27,IF(Nonlabor!$I$11="RequestsM",'Monthly Base'!F27,IF(Nonlabor!$I$11="InputM",'Monthly Base'!D27*Assumptions!$D$22/1000000,IF(Nonlabor!$I$11="OutputM",'Monthly Base'!D27*Assumptions!$D$23/1000000,0))))))))),0)</f>
        <v>9.56179249911955</v>
      </c>
      <c r="F1647" s="10" t="n">
        <f aca="false">Nonlabor!$J$11*(1+Assumptions!$D$9)^INT((C1647-1)/12)</f>
        <v>5.15</v>
      </c>
      <c r="G1647" s="10" t="n">
        <f aca="false">E1647*F1647</f>
        <v>49.2432313704657</v>
      </c>
      <c r="H1647" s="10" t="n">
        <f aca="false">IF(OR(Nonlabor!$L$11="Quote required",Nonlabor!$L$11="Unverified"),G1647,0)</f>
        <v>0</v>
      </c>
      <c r="I1647" s="10" t="n">
        <f aca="false">IF(Nonlabor!$E$11="Core",0,G1647)</f>
        <v>0</v>
      </c>
      <c r="J1647" s="23" t="str">
        <f aca="false">Nonlabor!$B$11</f>
        <v>INFRA</v>
      </c>
    </row>
    <row r="1648" customFormat="false" ht="15" hidden="false" customHeight="false" outlineLevel="0" collapsed="false">
      <c r="A1648" s="6" t="s">
        <v>4</v>
      </c>
      <c r="B1648" s="6" t="s">
        <v>387</v>
      </c>
      <c r="C1648" s="6" t="n">
        <v>23</v>
      </c>
      <c r="D1648" s="25" t="n">
        <f aca="false">EDATE('Start Here'!$B$6,C1648-1)</f>
        <v>46997</v>
      </c>
      <c r="E1648" s="11" t="n">
        <f aca="false">IF(AND(OR(Nonlabor!$D$11="Both",Nonlabor!$D$11='Start Here'!$B$9),IF(Nonlabor!$E$11="Core",1,IF(Nonlabor!$E$11="AI",'Start Here'!$B$7,'Start Here'!$B$8))=1,C1648&gt;=IF(Nonlabor!$E$11="Core",Nonlabor!$F$11,MAX(Nonlabor!$F$11,IF(Nonlabor!$E$11="AI",Assumptions!$D$24,Assumptions!$D$25))),C1648&lt;=Nonlabor!$G$11,OR(Nonlabor!$H$11="Monthly",AND(Nonlabor!$H$11="Once",C1648=IF(Nonlabor!$E$11="Core",Nonlabor!$F$11,MAX(Nonlabor!$F$11,IF(Nonlabor!$E$11="AI",Assumptions!$D$24,Assumptions!$D$25)))),AND(Nonlabor!$H$11="Annual",MOD(C1648-IF(Nonlabor!$E$11="Core",Nonlabor!$F$11,MAX(Nonlabor!$F$11,IF(Nonlabor!$E$11="AI",Assumptions!$D$24,Assumptions!$D$25))),12)=0))),IF(Nonlabor!$I$11="Fixed",1,IF(Nonlabor!$I$11="Seats",ROUNDUP('Monthly Base'!I28,0),IF(Nonlabor!$I$11="Customers",'Monthly Base'!D28,IF(Nonlabor!$I$11="NewCustomers",'Monthly Base'!C28,IF(Nonlabor!$I$11="StorageGB",'Monthly Base'!G28,IF(Nonlabor!$I$11="LogGB",'Monthly Base'!H28,IF(Nonlabor!$I$11="RequestsM",'Monthly Base'!F28,IF(Nonlabor!$I$11="InputM",'Monthly Base'!D28*Assumptions!$D$22/1000000,IF(Nonlabor!$I$11="OutputM",'Monthly Base'!D28*Assumptions!$D$23/1000000,0))))))))),0)</f>
        <v>10.4661745741284</v>
      </c>
      <c r="F1648" s="10" t="n">
        <f aca="false">Nonlabor!$J$11*(1+Assumptions!$D$9)^INT((C1648-1)/12)</f>
        <v>5.15</v>
      </c>
      <c r="G1648" s="10" t="n">
        <f aca="false">E1648*F1648</f>
        <v>53.900799056761</v>
      </c>
      <c r="H1648" s="10" t="n">
        <f aca="false">IF(OR(Nonlabor!$L$11="Quote required",Nonlabor!$L$11="Unverified"),G1648,0)</f>
        <v>0</v>
      </c>
      <c r="I1648" s="10" t="n">
        <f aca="false">IF(Nonlabor!$E$11="Core",0,G1648)</f>
        <v>0</v>
      </c>
      <c r="J1648" s="23" t="str">
        <f aca="false">Nonlabor!$B$11</f>
        <v>INFRA</v>
      </c>
    </row>
    <row r="1649" customFormat="false" ht="15" hidden="false" customHeight="false" outlineLevel="0" collapsed="false">
      <c r="A1649" s="6" t="s">
        <v>4</v>
      </c>
      <c r="B1649" s="6" t="s">
        <v>387</v>
      </c>
      <c r="C1649" s="6" t="n">
        <v>24</v>
      </c>
      <c r="D1649" s="25" t="n">
        <f aca="false">EDATE('Start Here'!$B$6,C1649-1)</f>
        <v>47027</v>
      </c>
      <c r="E1649" s="11" t="n">
        <f aca="false">IF(AND(OR(Nonlabor!$D$11="Both",Nonlabor!$D$11='Start Here'!$B$9),IF(Nonlabor!$E$11="Core",1,IF(Nonlabor!$E$11="AI",'Start Here'!$B$7,'Start Here'!$B$8))=1,C1649&gt;=IF(Nonlabor!$E$11="Core",Nonlabor!$F$11,MAX(Nonlabor!$F$11,IF(Nonlabor!$E$11="AI",Assumptions!$D$24,Assumptions!$D$25))),C1649&lt;=Nonlabor!$G$11,OR(Nonlabor!$H$11="Monthly",AND(Nonlabor!$H$11="Once",C1649=IF(Nonlabor!$E$11="Core",Nonlabor!$F$11,MAX(Nonlabor!$F$11,IF(Nonlabor!$E$11="AI",Assumptions!$D$24,Assumptions!$D$25)))),AND(Nonlabor!$H$11="Annual",MOD(C1649-IF(Nonlabor!$E$11="Core",Nonlabor!$F$11,MAX(Nonlabor!$F$11,IF(Nonlabor!$E$11="AI",Assumptions!$D$24,Assumptions!$D$25))),12)=0))),IF(Nonlabor!$I$11="Fixed",1,IF(Nonlabor!$I$11="Seats",ROUNDUP('Monthly Base'!I29,0),IF(Nonlabor!$I$11="Customers",'Monthly Base'!D29,IF(Nonlabor!$I$11="NewCustomers",'Monthly Base'!C29,IF(Nonlabor!$I$11="StorageGB",'Monthly Base'!G29,IF(Nonlabor!$I$11="LogGB",'Monthly Base'!H29,IF(Nonlabor!$I$11="RequestsM",'Monthly Base'!F29,IF(Nonlabor!$I$11="InputM",'Monthly Base'!D29*Assumptions!$D$22/1000000,IF(Nonlabor!$I$11="OutputM",'Monthly Base'!D29*Assumptions!$D$23/1000000,0))))))))),0)</f>
        <v>11.3615128283871</v>
      </c>
      <c r="F1649" s="10" t="n">
        <f aca="false">Nonlabor!$J$11*(1+Assumptions!$D$9)^INT((C1649-1)/12)</f>
        <v>5.15</v>
      </c>
      <c r="G1649" s="10" t="n">
        <f aca="false">E1649*F1649</f>
        <v>58.5117910661934</v>
      </c>
      <c r="H1649" s="10" t="n">
        <f aca="false">IF(OR(Nonlabor!$L$11="Quote required",Nonlabor!$L$11="Unverified"),G1649,0)</f>
        <v>0</v>
      </c>
      <c r="I1649" s="10" t="n">
        <f aca="false">IF(Nonlabor!$E$11="Core",0,G1649)</f>
        <v>0</v>
      </c>
      <c r="J1649" s="23" t="str">
        <f aca="false">Nonlabor!$B$11</f>
        <v>INFRA</v>
      </c>
    </row>
    <row r="1650" customFormat="false" ht="15" hidden="false" customHeight="false" outlineLevel="0" collapsed="false">
      <c r="A1650" s="6" t="s">
        <v>4</v>
      </c>
      <c r="B1650" s="6" t="s">
        <v>387</v>
      </c>
      <c r="C1650" s="6" t="n">
        <v>25</v>
      </c>
      <c r="D1650" s="25" t="n">
        <f aca="false">EDATE('Start Here'!$B$6,C1650-1)</f>
        <v>47058</v>
      </c>
      <c r="E1650" s="11" t="n">
        <f aca="false">IF(AND(OR(Nonlabor!$D$11="Both",Nonlabor!$D$11='Start Here'!$B$9),IF(Nonlabor!$E$11="Core",1,IF(Nonlabor!$E$11="AI",'Start Here'!$B$7,'Start Here'!$B$8))=1,C1650&gt;=IF(Nonlabor!$E$11="Core",Nonlabor!$F$11,MAX(Nonlabor!$F$11,IF(Nonlabor!$E$11="AI",Assumptions!$D$24,Assumptions!$D$25))),C1650&lt;=Nonlabor!$G$11,OR(Nonlabor!$H$11="Monthly",AND(Nonlabor!$H$11="Once",C1650=IF(Nonlabor!$E$11="Core",Nonlabor!$F$11,MAX(Nonlabor!$F$11,IF(Nonlabor!$E$11="AI",Assumptions!$D$24,Assumptions!$D$25)))),AND(Nonlabor!$H$11="Annual",MOD(C1650-IF(Nonlabor!$E$11="Core",Nonlabor!$F$11,MAX(Nonlabor!$F$11,IF(Nonlabor!$E$11="AI",Assumptions!$D$24,Assumptions!$D$25))),12)=0))),IF(Nonlabor!$I$11="Fixed",1,IF(Nonlabor!$I$11="Seats",ROUNDUP('Monthly Base'!I30,0),IF(Nonlabor!$I$11="Customers",'Monthly Base'!D30,IF(Nonlabor!$I$11="NewCustomers",'Monthly Base'!C30,IF(Nonlabor!$I$11="StorageGB",'Monthly Base'!G30,IF(Nonlabor!$I$11="LogGB",'Monthly Base'!H30,IF(Nonlabor!$I$11="RequestsM",'Monthly Base'!F30,IF(Nonlabor!$I$11="InputM",'Monthly Base'!D30*Assumptions!$D$22/1000000,IF(Nonlabor!$I$11="OutputM",'Monthly Base'!D30*Assumptions!$D$23/1000000,0))))))))),0)</f>
        <v>12.7478977001032</v>
      </c>
      <c r="F1650" s="10" t="n">
        <f aca="false">Nonlabor!$J$11*(1+Assumptions!$D$9)^INT((C1650-1)/12)</f>
        <v>5.3045</v>
      </c>
      <c r="G1650" s="10" t="n">
        <f aca="false">E1650*F1650</f>
        <v>67.6212233501974</v>
      </c>
      <c r="H1650" s="10" t="n">
        <f aca="false">IF(OR(Nonlabor!$L$11="Quote required",Nonlabor!$L$11="Unverified"),G1650,0)</f>
        <v>0</v>
      </c>
      <c r="I1650" s="10" t="n">
        <f aca="false">IF(Nonlabor!$E$11="Core",0,G1650)</f>
        <v>0</v>
      </c>
      <c r="J1650" s="23" t="str">
        <f aca="false">Nonlabor!$B$11</f>
        <v>INFRA</v>
      </c>
    </row>
    <row r="1651" customFormat="false" ht="15" hidden="false" customHeight="false" outlineLevel="0" collapsed="false">
      <c r="A1651" s="6" t="s">
        <v>4</v>
      </c>
      <c r="B1651" s="6" t="s">
        <v>387</v>
      </c>
      <c r="C1651" s="6" t="n">
        <v>26</v>
      </c>
      <c r="D1651" s="25" t="n">
        <f aca="false">EDATE('Start Here'!$B$6,C1651-1)</f>
        <v>47088</v>
      </c>
      <c r="E1651" s="11" t="n">
        <f aca="false">IF(AND(OR(Nonlabor!$D$11="Both",Nonlabor!$D$11='Start Here'!$B$9),IF(Nonlabor!$E$11="Core",1,IF(Nonlabor!$E$11="AI",'Start Here'!$B$7,'Start Here'!$B$8))=1,C1651&gt;=IF(Nonlabor!$E$11="Core",Nonlabor!$F$11,MAX(Nonlabor!$F$11,IF(Nonlabor!$E$11="AI",Assumptions!$D$24,Assumptions!$D$25))),C1651&lt;=Nonlabor!$G$11,OR(Nonlabor!$H$11="Monthly",AND(Nonlabor!$H$11="Once",C1651=IF(Nonlabor!$E$11="Core",Nonlabor!$F$11,MAX(Nonlabor!$F$11,IF(Nonlabor!$E$11="AI",Assumptions!$D$24,Assumptions!$D$25)))),AND(Nonlabor!$H$11="Annual",MOD(C1651-IF(Nonlabor!$E$11="Core",Nonlabor!$F$11,MAX(Nonlabor!$F$11,IF(Nonlabor!$E$11="AI",Assumptions!$D$24,Assumptions!$D$25))),12)=0))),IF(Nonlabor!$I$11="Fixed",1,IF(Nonlabor!$I$11="Seats",ROUNDUP('Monthly Base'!I31,0),IF(Nonlabor!$I$11="Customers",'Monthly Base'!D31,IF(Nonlabor!$I$11="NewCustomers",'Monthly Base'!C31,IF(Nonlabor!$I$11="StorageGB",'Monthly Base'!G31,IF(Nonlabor!$I$11="LogGB",'Monthly Base'!H31,IF(Nonlabor!$I$11="RequestsM",'Monthly Base'!F31,IF(Nonlabor!$I$11="InputM",'Monthly Base'!D31*Assumptions!$D$22/1000000,IF(Nonlabor!$I$11="OutputM",'Monthly Base'!D31*Assumptions!$D$23/1000000,0))))))))),0)</f>
        <v>14.1204187231022</v>
      </c>
      <c r="F1651" s="10" t="n">
        <f aca="false">Nonlabor!$J$11*(1+Assumptions!$D$9)^INT((C1651-1)/12)</f>
        <v>5.3045</v>
      </c>
      <c r="G1651" s="10" t="n">
        <f aca="false">E1651*F1651</f>
        <v>74.9017611166955</v>
      </c>
      <c r="H1651" s="10" t="n">
        <f aca="false">IF(OR(Nonlabor!$L$11="Quote required",Nonlabor!$L$11="Unverified"),G1651,0)</f>
        <v>0</v>
      </c>
      <c r="I1651" s="10" t="n">
        <f aca="false">IF(Nonlabor!$E$11="Core",0,G1651)</f>
        <v>0</v>
      </c>
      <c r="J1651" s="23" t="str">
        <f aca="false">Nonlabor!$B$11</f>
        <v>INFRA</v>
      </c>
    </row>
    <row r="1652" customFormat="false" ht="15" hidden="false" customHeight="false" outlineLevel="0" collapsed="false">
      <c r="A1652" s="6" t="s">
        <v>4</v>
      </c>
      <c r="B1652" s="6" t="s">
        <v>387</v>
      </c>
      <c r="C1652" s="6" t="n">
        <v>27</v>
      </c>
      <c r="D1652" s="25" t="n">
        <f aca="false">EDATE('Start Here'!$B$6,C1652-1)</f>
        <v>47119</v>
      </c>
      <c r="E1652" s="11" t="n">
        <f aca="false">IF(AND(OR(Nonlabor!$D$11="Both",Nonlabor!$D$11='Start Here'!$B$9),IF(Nonlabor!$E$11="Core",1,IF(Nonlabor!$E$11="AI",'Start Here'!$B$7,'Start Here'!$B$8))=1,C1652&gt;=IF(Nonlabor!$E$11="Core",Nonlabor!$F$11,MAX(Nonlabor!$F$11,IF(Nonlabor!$E$11="AI",Assumptions!$D$24,Assumptions!$D$25))),C1652&lt;=Nonlabor!$G$11,OR(Nonlabor!$H$11="Monthly",AND(Nonlabor!$H$11="Once",C1652=IF(Nonlabor!$E$11="Core",Nonlabor!$F$11,MAX(Nonlabor!$F$11,IF(Nonlabor!$E$11="AI",Assumptions!$D$24,Assumptions!$D$25)))),AND(Nonlabor!$H$11="Annual",MOD(C1652-IF(Nonlabor!$E$11="Core",Nonlabor!$F$11,MAX(Nonlabor!$F$11,IF(Nonlabor!$E$11="AI",Assumptions!$D$24,Assumptions!$D$25))),12)=0))),IF(Nonlabor!$I$11="Fixed",1,IF(Nonlabor!$I$11="Seats",ROUNDUP('Monthly Base'!I32,0),IF(Nonlabor!$I$11="Customers",'Monthly Base'!D32,IF(Nonlabor!$I$11="NewCustomers",'Monthly Base'!C32,IF(Nonlabor!$I$11="StorageGB",'Monthly Base'!G32,IF(Nonlabor!$I$11="LogGB",'Monthly Base'!H32,IF(Nonlabor!$I$11="RequestsM",'Monthly Base'!F32,IF(Nonlabor!$I$11="InputM",'Monthly Base'!D32*Assumptions!$D$22/1000000,IF(Nonlabor!$I$11="OutputM",'Monthly Base'!D32*Assumptions!$D$23/1000000,0))))))))),0)</f>
        <v>15.4792145358711</v>
      </c>
      <c r="F1652" s="10" t="n">
        <f aca="false">Nonlabor!$J$11*(1+Assumptions!$D$9)^INT((C1652-1)/12)</f>
        <v>5.3045</v>
      </c>
      <c r="G1652" s="10" t="n">
        <f aca="false">E1652*F1652</f>
        <v>82.1094935055285</v>
      </c>
      <c r="H1652" s="10" t="n">
        <f aca="false">IF(OR(Nonlabor!$L$11="Quote required",Nonlabor!$L$11="Unverified"),G1652,0)</f>
        <v>0</v>
      </c>
      <c r="I1652" s="10" t="n">
        <f aca="false">IF(Nonlabor!$E$11="Core",0,G1652)</f>
        <v>0</v>
      </c>
      <c r="J1652" s="23" t="str">
        <f aca="false">Nonlabor!$B$11</f>
        <v>INFRA</v>
      </c>
    </row>
    <row r="1653" customFormat="false" ht="15" hidden="false" customHeight="false" outlineLevel="0" collapsed="false">
      <c r="A1653" s="6" t="s">
        <v>4</v>
      </c>
      <c r="B1653" s="6" t="s">
        <v>387</v>
      </c>
      <c r="C1653" s="6" t="n">
        <v>28</v>
      </c>
      <c r="D1653" s="25" t="n">
        <f aca="false">EDATE('Start Here'!$B$6,C1653-1)</f>
        <v>47150</v>
      </c>
      <c r="E1653" s="11" t="n">
        <f aca="false">IF(AND(OR(Nonlabor!$D$11="Both",Nonlabor!$D$11='Start Here'!$B$9),IF(Nonlabor!$E$11="Core",1,IF(Nonlabor!$E$11="AI",'Start Here'!$B$7,'Start Here'!$B$8))=1,C1653&gt;=IF(Nonlabor!$E$11="Core",Nonlabor!$F$11,MAX(Nonlabor!$F$11,IF(Nonlabor!$E$11="AI",Assumptions!$D$24,Assumptions!$D$25))),C1653&lt;=Nonlabor!$G$11,OR(Nonlabor!$H$11="Monthly",AND(Nonlabor!$H$11="Once",C1653=IF(Nonlabor!$E$11="Core",Nonlabor!$F$11,MAX(Nonlabor!$F$11,IF(Nonlabor!$E$11="AI",Assumptions!$D$24,Assumptions!$D$25)))),AND(Nonlabor!$H$11="Annual",MOD(C1653-IF(Nonlabor!$E$11="Core",Nonlabor!$F$11,MAX(Nonlabor!$F$11,IF(Nonlabor!$E$11="AI",Assumptions!$D$24,Assumptions!$D$25))),12)=0))),IF(Nonlabor!$I$11="Fixed",1,IF(Nonlabor!$I$11="Seats",ROUNDUP('Monthly Base'!I33,0),IF(Nonlabor!$I$11="Customers",'Monthly Base'!D33,IF(Nonlabor!$I$11="NewCustomers",'Monthly Base'!C33,IF(Nonlabor!$I$11="StorageGB",'Monthly Base'!G33,IF(Nonlabor!$I$11="LogGB",'Monthly Base'!H33,IF(Nonlabor!$I$11="RequestsM",'Monthly Base'!F33,IF(Nonlabor!$I$11="InputM",'Monthly Base'!D33*Assumptions!$D$22/1000000,IF(Nonlabor!$I$11="OutputM",'Monthly Base'!D33*Assumptions!$D$23/1000000,0))))))))),0)</f>
        <v>16.8244223905124</v>
      </c>
      <c r="F1653" s="10" t="n">
        <f aca="false">Nonlabor!$J$11*(1+Assumptions!$D$9)^INT((C1653-1)/12)</f>
        <v>5.3045</v>
      </c>
      <c r="G1653" s="10" t="n">
        <f aca="false">E1653*F1653</f>
        <v>89.2451485704732</v>
      </c>
      <c r="H1653" s="10" t="n">
        <f aca="false">IF(OR(Nonlabor!$L$11="Quote required",Nonlabor!$L$11="Unverified"),G1653,0)</f>
        <v>0</v>
      </c>
      <c r="I1653" s="10" t="n">
        <f aca="false">IF(Nonlabor!$E$11="Core",0,G1653)</f>
        <v>0</v>
      </c>
      <c r="J1653" s="23" t="str">
        <f aca="false">Nonlabor!$B$11</f>
        <v>INFRA</v>
      </c>
    </row>
    <row r="1654" customFormat="false" ht="15" hidden="false" customHeight="false" outlineLevel="0" collapsed="false">
      <c r="A1654" s="6" t="s">
        <v>4</v>
      </c>
      <c r="B1654" s="6" t="s">
        <v>387</v>
      </c>
      <c r="C1654" s="6" t="n">
        <v>29</v>
      </c>
      <c r="D1654" s="25" t="n">
        <f aca="false">EDATE('Start Here'!$B$6,C1654-1)</f>
        <v>47178</v>
      </c>
      <c r="E1654" s="11" t="n">
        <f aca="false">IF(AND(OR(Nonlabor!$D$11="Both",Nonlabor!$D$11='Start Here'!$B$9),IF(Nonlabor!$E$11="Core",1,IF(Nonlabor!$E$11="AI",'Start Here'!$B$7,'Start Here'!$B$8))=1,C1654&gt;=IF(Nonlabor!$E$11="Core",Nonlabor!$F$11,MAX(Nonlabor!$F$11,IF(Nonlabor!$E$11="AI",Assumptions!$D$24,Assumptions!$D$25))),C1654&lt;=Nonlabor!$G$11,OR(Nonlabor!$H$11="Monthly",AND(Nonlabor!$H$11="Once",C1654=IF(Nonlabor!$E$11="Core",Nonlabor!$F$11,MAX(Nonlabor!$F$11,IF(Nonlabor!$E$11="AI",Assumptions!$D$24,Assumptions!$D$25)))),AND(Nonlabor!$H$11="Annual",MOD(C1654-IF(Nonlabor!$E$11="Core",Nonlabor!$F$11,MAX(Nonlabor!$F$11,IF(Nonlabor!$E$11="AI",Assumptions!$D$24,Assumptions!$D$25))),12)=0))),IF(Nonlabor!$I$11="Fixed",1,IF(Nonlabor!$I$11="Seats",ROUNDUP('Monthly Base'!I34,0),IF(Nonlabor!$I$11="Customers",'Monthly Base'!D34,IF(Nonlabor!$I$11="NewCustomers",'Monthly Base'!C34,IF(Nonlabor!$I$11="StorageGB",'Monthly Base'!G34,IF(Nonlabor!$I$11="LogGB",'Monthly Base'!H34,IF(Nonlabor!$I$11="RequestsM",'Monthly Base'!F34,IF(Nonlabor!$I$11="InputM",'Monthly Base'!D34*Assumptions!$D$22/1000000,IF(Nonlabor!$I$11="OutputM",'Monthly Base'!D34*Assumptions!$D$23/1000000,0))))))))),0)</f>
        <v>18.1561781666073</v>
      </c>
      <c r="F1654" s="10" t="n">
        <f aca="false">Nonlabor!$J$11*(1+Assumptions!$D$9)^INT((C1654-1)/12)</f>
        <v>5.3045</v>
      </c>
      <c r="G1654" s="10" t="n">
        <f aca="false">E1654*F1654</f>
        <v>96.3094470847685</v>
      </c>
      <c r="H1654" s="10" t="n">
        <f aca="false">IF(OR(Nonlabor!$L$11="Quote required",Nonlabor!$L$11="Unverified"),G1654,0)</f>
        <v>0</v>
      </c>
      <c r="I1654" s="10" t="n">
        <f aca="false">IF(Nonlabor!$E$11="Core",0,G1654)</f>
        <v>0</v>
      </c>
      <c r="J1654" s="23" t="str">
        <f aca="false">Nonlabor!$B$11</f>
        <v>INFRA</v>
      </c>
    </row>
    <row r="1655" customFormat="false" ht="15" hidden="false" customHeight="false" outlineLevel="0" collapsed="false">
      <c r="A1655" s="6" t="s">
        <v>4</v>
      </c>
      <c r="B1655" s="6" t="s">
        <v>387</v>
      </c>
      <c r="C1655" s="6" t="n">
        <v>30</v>
      </c>
      <c r="D1655" s="25" t="n">
        <f aca="false">EDATE('Start Here'!$B$6,C1655-1)</f>
        <v>47209</v>
      </c>
      <c r="E1655" s="11" t="n">
        <f aca="false">IF(AND(OR(Nonlabor!$D$11="Both",Nonlabor!$D$11='Start Here'!$B$9),IF(Nonlabor!$E$11="Core",1,IF(Nonlabor!$E$11="AI",'Start Here'!$B$7,'Start Here'!$B$8))=1,C1655&gt;=IF(Nonlabor!$E$11="Core",Nonlabor!$F$11,MAX(Nonlabor!$F$11,IF(Nonlabor!$E$11="AI",Assumptions!$D$24,Assumptions!$D$25))),C1655&lt;=Nonlabor!$G$11,OR(Nonlabor!$H$11="Monthly",AND(Nonlabor!$H$11="Once",C1655=IF(Nonlabor!$E$11="Core",Nonlabor!$F$11,MAX(Nonlabor!$F$11,IF(Nonlabor!$E$11="AI",Assumptions!$D$24,Assumptions!$D$25)))),AND(Nonlabor!$H$11="Annual",MOD(C1655-IF(Nonlabor!$E$11="Core",Nonlabor!$F$11,MAX(Nonlabor!$F$11,IF(Nonlabor!$E$11="AI",Assumptions!$D$24,Assumptions!$D$25))),12)=0))),IF(Nonlabor!$I$11="Fixed",1,IF(Nonlabor!$I$11="Seats",ROUNDUP('Monthly Base'!I35,0),IF(Nonlabor!$I$11="Customers",'Monthly Base'!D35,IF(Nonlabor!$I$11="NewCustomers",'Monthly Base'!C35,IF(Nonlabor!$I$11="StorageGB",'Monthly Base'!G35,IF(Nonlabor!$I$11="LogGB",'Monthly Base'!H35,IF(Nonlabor!$I$11="RequestsM",'Monthly Base'!F35,IF(Nonlabor!$I$11="InputM",'Monthly Base'!D35*Assumptions!$D$22/1000000,IF(Nonlabor!$I$11="OutputM",'Monthly Base'!D35*Assumptions!$D$23/1000000,0))))))))),0)</f>
        <v>19.4746163849412</v>
      </c>
      <c r="F1655" s="10" t="n">
        <f aca="false">Nonlabor!$J$11*(1+Assumptions!$D$9)^INT((C1655-1)/12)</f>
        <v>5.3045</v>
      </c>
      <c r="G1655" s="10" t="n">
        <f aca="false">E1655*F1655</f>
        <v>103.303102613921</v>
      </c>
      <c r="H1655" s="10" t="n">
        <f aca="false">IF(OR(Nonlabor!$L$11="Quote required",Nonlabor!$L$11="Unverified"),G1655,0)</f>
        <v>0</v>
      </c>
      <c r="I1655" s="10" t="n">
        <f aca="false">IF(Nonlabor!$E$11="Core",0,G1655)</f>
        <v>0</v>
      </c>
      <c r="J1655" s="23" t="str">
        <f aca="false">Nonlabor!$B$11</f>
        <v>INFRA</v>
      </c>
    </row>
    <row r="1656" customFormat="false" ht="15" hidden="false" customHeight="false" outlineLevel="0" collapsed="false">
      <c r="A1656" s="6" t="s">
        <v>4</v>
      </c>
      <c r="B1656" s="6" t="s">
        <v>387</v>
      </c>
      <c r="C1656" s="6" t="n">
        <v>31</v>
      </c>
      <c r="D1656" s="25" t="n">
        <f aca="false">EDATE('Start Here'!$B$6,C1656-1)</f>
        <v>47239</v>
      </c>
      <c r="E1656" s="11" t="n">
        <f aca="false">IF(AND(OR(Nonlabor!$D$11="Both",Nonlabor!$D$11='Start Here'!$B$9),IF(Nonlabor!$E$11="Core",1,IF(Nonlabor!$E$11="AI",'Start Here'!$B$7,'Start Here'!$B$8))=1,C1656&gt;=IF(Nonlabor!$E$11="Core",Nonlabor!$F$11,MAX(Nonlabor!$F$11,IF(Nonlabor!$E$11="AI",Assumptions!$D$24,Assumptions!$D$25))),C1656&lt;=Nonlabor!$G$11,OR(Nonlabor!$H$11="Monthly",AND(Nonlabor!$H$11="Once",C1656=IF(Nonlabor!$E$11="Core",Nonlabor!$F$11,MAX(Nonlabor!$F$11,IF(Nonlabor!$E$11="AI",Assumptions!$D$24,Assumptions!$D$25)))),AND(Nonlabor!$H$11="Annual",MOD(C1656-IF(Nonlabor!$E$11="Core",Nonlabor!$F$11,MAX(Nonlabor!$F$11,IF(Nonlabor!$E$11="AI",Assumptions!$D$24,Assumptions!$D$25))),12)=0))),IF(Nonlabor!$I$11="Fixed",1,IF(Nonlabor!$I$11="Seats",ROUNDUP('Monthly Base'!I36,0),IF(Nonlabor!$I$11="Customers",'Monthly Base'!D36,IF(Nonlabor!$I$11="NewCustomers",'Monthly Base'!C36,IF(Nonlabor!$I$11="StorageGB",'Monthly Base'!G36,IF(Nonlabor!$I$11="LogGB",'Monthly Base'!H36,IF(Nonlabor!$I$11="RequestsM",'Monthly Base'!F36,IF(Nonlabor!$I$11="InputM",'Monthly Base'!D36*Assumptions!$D$22/1000000,IF(Nonlabor!$I$11="OutputM",'Monthly Base'!D36*Assumptions!$D$23/1000000,0))))))))),0)</f>
        <v>20.7798702210918</v>
      </c>
      <c r="F1656" s="10" t="n">
        <f aca="false">Nonlabor!$J$11*(1+Assumptions!$D$9)^INT((C1656-1)/12)</f>
        <v>5.3045</v>
      </c>
      <c r="G1656" s="10" t="n">
        <f aca="false">E1656*F1656</f>
        <v>110.226821587782</v>
      </c>
      <c r="H1656" s="10" t="n">
        <f aca="false">IF(OR(Nonlabor!$L$11="Quote required",Nonlabor!$L$11="Unverified"),G1656,0)</f>
        <v>0</v>
      </c>
      <c r="I1656" s="10" t="n">
        <f aca="false">IF(Nonlabor!$E$11="Core",0,G1656)</f>
        <v>0</v>
      </c>
      <c r="J1656" s="23" t="str">
        <f aca="false">Nonlabor!$B$11</f>
        <v>INFRA</v>
      </c>
    </row>
    <row r="1657" customFormat="false" ht="15" hidden="false" customHeight="false" outlineLevel="0" collapsed="false">
      <c r="A1657" s="6" t="s">
        <v>4</v>
      </c>
      <c r="B1657" s="6" t="s">
        <v>387</v>
      </c>
      <c r="C1657" s="6" t="n">
        <v>32</v>
      </c>
      <c r="D1657" s="25" t="n">
        <f aca="false">EDATE('Start Here'!$B$6,C1657-1)</f>
        <v>47270</v>
      </c>
      <c r="E1657" s="11" t="n">
        <f aca="false">IF(AND(OR(Nonlabor!$D$11="Both",Nonlabor!$D$11='Start Here'!$B$9),IF(Nonlabor!$E$11="Core",1,IF(Nonlabor!$E$11="AI",'Start Here'!$B$7,'Start Here'!$B$8))=1,C1657&gt;=IF(Nonlabor!$E$11="Core",Nonlabor!$F$11,MAX(Nonlabor!$F$11,IF(Nonlabor!$E$11="AI",Assumptions!$D$24,Assumptions!$D$25))),C1657&lt;=Nonlabor!$G$11,OR(Nonlabor!$H$11="Monthly",AND(Nonlabor!$H$11="Once",C1657=IF(Nonlabor!$E$11="Core",Nonlabor!$F$11,MAX(Nonlabor!$F$11,IF(Nonlabor!$E$11="AI",Assumptions!$D$24,Assumptions!$D$25)))),AND(Nonlabor!$H$11="Annual",MOD(C1657-IF(Nonlabor!$E$11="Core",Nonlabor!$F$11,MAX(Nonlabor!$F$11,IF(Nonlabor!$E$11="AI",Assumptions!$D$24,Assumptions!$D$25))),12)=0))),IF(Nonlabor!$I$11="Fixed",1,IF(Nonlabor!$I$11="Seats",ROUNDUP('Monthly Base'!I37,0),IF(Nonlabor!$I$11="Customers",'Monthly Base'!D37,IF(Nonlabor!$I$11="NewCustomers",'Monthly Base'!C37,IF(Nonlabor!$I$11="StorageGB",'Monthly Base'!G37,IF(Nonlabor!$I$11="LogGB",'Monthly Base'!H37,IF(Nonlabor!$I$11="RequestsM",'Monthly Base'!F37,IF(Nonlabor!$I$11="InputM",'Monthly Base'!D37*Assumptions!$D$22/1000000,IF(Nonlabor!$I$11="OutputM",'Monthly Base'!D37*Assumptions!$D$23/1000000,0))))))))),0)</f>
        <v>22.0720715188809</v>
      </c>
      <c r="F1657" s="10" t="n">
        <f aca="false">Nonlabor!$J$11*(1+Assumptions!$D$9)^INT((C1657-1)/12)</f>
        <v>5.3045</v>
      </c>
      <c r="G1657" s="10" t="n">
        <f aca="false">E1657*F1657</f>
        <v>117.081303371904</v>
      </c>
      <c r="H1657" s="10" t="n">
        <f aca="false">IF(OR(Nonlabor!$L$11="Quote required",Nonlabor!$L$11="Unverified"),G1657,0)</f>
        <v>0</v>
      </c>
      <c r="I1657" s="10" t="n">
        <f aca="false">IF(Nonlabor!$E$11="Core",0,G1657)</f>
        <v>0</v>
      </c>
      <c r="J1657" s="23" t="str">
        <f aca="false">Nonlabor!$B$11</f>
        <v>INFRA</v>
      </c>
    </row>
    <row r="1658" customFormat="false" ht="15" hidden="false" customHeight="false" outlineLevel="0" collapsed="false">
      <c r="A1658" s="6" t="s">
        <v>4</v>
      </c>
      <c r="B1658" s="6" t="s">
        <v>387</v>
      </c>
      <c r="C1658" s="6" t="n">
        <v>33</v>
      </c>
      <c r="D1658" s="25" t="n">
        <f aca="false">EDATE('Start Here'!$B$6,C1658-1)</f>
        <v>47300</v>
      </c>
      <c r="E1658" s="11" t="n">
        <f aca="false">IF(AND(OR(Nonlabor!$D$11="Both",Nonlabor!$D$11='Start Here'!$B$9),IF(Nonlabor!$E$11="Core",1,IF(Nonlabor!$E$11="AI",'Start Here'!$B$7,'Start Here'!$B$8))=1,C1658&gt;=IF(Nonlabor!$E$11="Core",Nonlabor!$F$11,MAX(Nonlabor!$F$11,IF(Nonlabor!$E$11="AI",Assumptions!$D$24,Assumptions!$D$25))),C1658&lt;=Nonlabor!$G$11,OR(Nonlabor!$H$11="Monthly",AND(Nonlabor!$H$11="Once",C1658=IF(Nonlabor!$E$11="Core",Nonlabor!$F$11,MAX(Nonlabor!$F$11,IF(Nonlabor!$E$11="AI",Assumptions!$D$24,Assumptions!$D$25)))),AND(Nonlabor!$H$11="Annual",MOD(C1658-IF(Nonlabor!$E$11="Core",Nonlabor!$F$11,MAX(Nonlabor!$F$11,IF(Nonlabor!$E$11="AI",Assumptions!$D$24,Assumptions!$D$25))),12)=0))),IF(Nonlabor!$I$11="Fixed",1,IF(Nonlabor!$I$11="Seats",ROUNDUP('Monthly Base'!I38,0),IF(Nonlabor!$I$11="Customers",'Monthly Base'!D38,IF(Nonlabor!$I$11="NewCustomers",'Monthly Base'!C38,IF(Nonlabor!$I$11="StorageGB",'Monthly Base'!G38,IF(Nonlabor!$I$11="LogGB",'Monthly Base'!H38,IF(Nonlabor!$I$11="RequestsM",'Monthly Base'!F38,IF(Nonlabor!$I$11="InputM",'Monthly Base'!D38*Assumptions!$D$22/1000000,IF(Nonlabor!$I$11="OutputM",'Monthly Base'!D38*Assumptions!$D$23/1000000,0))))))))),0)</f>
        <v>23.3513508036921</v>
      </c>
      <c r="F1658" s="10" t="n">
        <f aca="false">Nonlabor!$J$11*(1+Assumptions!$D$9)^INT((C1658-1)/12)</f>
        <v>5.3045</v>
      </c>
      <c r="G1658" s="10" t="n">
        <f aca="false">E1658*F1658</f>
        <v>123.867240338185</v>
      </c>
      <c r="H1658" s="10" t="n">
        <f aca="false">IF(OR(Nonlabor!$L$11="Quote required",Nonlabor!$L$11="Unverified"),G1658,0)</f>
        <v>0</v>
      </c>
      <c r="I1658" s="10" t="n">
        <f aca="false">IF(Nonlabor!$E$11="Core",0,G1658)</f>
        <v>0</v>
      </c>
      <c r="J1658" s="23" t="str">
        <f aca="false">Nonlabor!$B$11</f>
        <v>INFRA</v>
      </c>
    </row>
    <row r="1659" customFormat="false" ht="15" hidden="false" customHeight="false" outlineLevel="0" collapsed="false">
      <c r="A1659" s="6" t="s">
        <v>4</v>
      </c>
      <c r="B1659" s="6" t="s">
        <v>387</v>
      </c>
      <c r="C1659" s="6" t="n">
        <v>34</v>
      </c>
      <c r="D1659" s="25" t="n">
        <f aca="false">EDATE('Start Here'!$B$6,C1659-1)</f>
        <v>47331</v>
      </c>
      <c r="E1659" s="11" t="n">
        <f aca="false">IF(AND(OR(Nonlabor!$D$11="Both",Nonlabor!$D$11='Start Here'!$B$9),IF(Nonlabor!$E$11="Core",1,IF(Nonlabor!$E$11="AI",'Start Here'!$B$7,'Start Here'!$B$8))=1,C1659&gt;=IF(Nonlabor!$E$11="Core",Nonlabor!$F$11,MAX(Nonlabor!$F$11,IF(Nonlabor!$E$11="AI",Assumptions!$D$24,Assumptions!$D$25))),C1659&lt;=Nonlabor!$G$11,OR(Nonlabor!$H$11="Monthly",AND(Nonlabor!$H$11="Once",C1659=IF(Nonlabor!$E$11="Core",Nonlabor!$F$11,MAX(Nonlabor!$F$11,IF(Nonlabor!$E$11="AI",Assumptions!$D$24,Assumptions!$D$25)))),AND(Nonlabor!$H$11="Annual",MOD(C1659-IF(Nonlabor!$E$11="Core",Nonlabor!$F$11,MAX(Nonlabor!$F$11,IF(Nonlabor!$E$11="AI",Assumptions!$D$24,Assumptions!$D$25))),12)=0))),IF(Nonlabor!$I$11="Fixed",1,IF(Nonlabor!$I$11="Seats",ROUNDUP('Monthly Base'!I39,0),IF(Nonlabor!$I$11="Customers",'Monthly Base'!D39,IF(Nonlabor!$I$11="NewCustomers",'Monthly Base'!C39,IF(Nonlabor!$I$11="StorageGB",'Monthly Base'!G39,IF(Nonlabor!$I$11="LogGB",'Monthly Base'!H39,IF(Nonlabor!$I$11="RequestsM",'Monthly Base'!F39,IF(Nonlabor!$I$11="InputM",'Monthly Base'!D39*Assumptions!$D$22/1000000,IF(Nonlabor!$I$11="OutputM",'Monthly Base'!D39*Assumptions!$D$23/1000000,0))))))))),0)</f>
        <v>24.6178372956552</v>
      </c>
      <c r="F1659" s="10" t="n">
        <f aca="false">Nonlabor!$J$11*(1+Assumptions!$D$9)^INT((C1659-1)/12)</f>
        <v>5.3045</v>
      </c>
      <c r="G1659" s="10" t="n">
        <f aca="false">E1659*F1659</f>
        <v>130.585317934803</v>
      </c>
      <c r="H1659" s="10" t="n">
        <f aca="false">IF(OR(Nonlabor!$L$11="Quote required",Nonlabor!$L$11="Unverified"),G1659,0)</f>
        <v>0</v>
      </c>
      <c r="I1659" s="10" t="n">
        <f aca="false">IF(Nonlabor!$E$11="Core",0,G1659)</f>
        <v>0</v>
      </c>
      <c r="J1659" s="23" t="str">
        <f aca="false">Nonlabor!$B$11</f>
        <v>INFRA</v>
      </c>
    </row>
    <row r="1660" customFormat="false" ht="15" hidden="false" customHeight="false" outlineLevel="0" collapsed="false">
      <c r="A1660" s="6" t="s">
        <v>4</v>
      </c>
      <c r="B1660" s="6" t="s">
        <v>387</v>
      </c>
      <c r="C1660" s="6" t="n">
        <v>35</v>
      </c>
      <c r="D1660" s="25" t="n">
        <f aca="false">EDATE('Start Here'!$B$6,C1660-1)</f>
        <v>47362</v>
      </c>
      <c r="E1660" s="11" t="n">
        <f aca="false">IF(AND(OR(Nonlabor!$D$11="Both",Nonlabor!$D$11='Start Here'!$B$9),IF(Nonlabor!$E$11="Core",1,IF(Nonlabor!$E$11="AI",'Start Here'!$B$7,'Start Here'!$B$8))=1,C1660&gt;=IF(Nonlabor!$E$11="Core",Nonlabor!$F$11,MAX(Nonlabor!$F$11,IF(Nonlabor!$E$11="AI",Assumptions!$D$24,Assumptions!$D$25))),C1660&lt;=Nonlabor!$G$11,OR(Nonlabor!$H$11="Monthly",AND(Nonlabor!$H$11="Once",C1660=IF(Nonlabor!$E$11="Core",Nonlabor!$F$11,MAX(Nonlabor!$F$11,IF(Nonlabor!$E$11="AI",Assumptions!$D$24,Assumptions!$D$25)))),AND(Nonlabor!$H$11="Annual",MOD(C1660-IF(Nonlabor!$E$11="Core",Nonlabor!$F$11,MAX(Nonlabor!$F$11,IF(Nonlabor!$E$11="AI",Assumptions!$D$24,Assumptions!$D$25))),12)=0))),IF(Nonlabor!$I$11="Fixed",1,IF(Nonlabor!$I$11="Seats",ROUNDUP('Monthly Base'!I40,0),IF(Nonlabor!$I$11="Customers",'Monthly Base'!D40,IF(Nonlabor!$I$11="NewCustomers",'Monthly Base'!C40,IF(Nonlabor!$I$11="StorageGB",'Monthly Base'!G40,IF(Nonlabor!$I$11="LogGB",'Monthly Base'!H40,IF(Nonlabor!$I$11="RequestsM",'Monthly Base'!F40,IF(Nonlabor!$I$11="InputM",'Monthly Base'!D40*Assumptions!$D$22/1000000,IF(Nonlabor!$I$11="OutputM",'Monthly Base'!D40*Assumptions!$D$23/1000000,0))))))))),0)</f>
        <v>25.8716589226986</v>
      </c>
      <c r="F1660" s="10" t="n">
        <f aca="false">Nonlabor!$J$11*(1+Assumptions!$D$9)^INT((C1660-1)/12)</f>
        <v>5.3045</v>
      </c>
      <c r="G1660" s="10" t="n">
        <f aca="false">E1660*F1660</f>
        <v>137.236214755455</v>
      </c>
      <c r="H1660" s="10" t="n">
        <f aca="false">IF(OR(Nonlabor!$L$11="Quote required",Nonlabor!$L$11="Unverified"),G1660,0)</f>
        <v>0</v>
      </c>
      <c r="I1660" s="10" t="n">
        <f aca="false">IF(Nonlabor!$E$11="Core",0,G1660)</f>
        <v>0</v>
      </c>
      <c r="J1660" s="23" t="str">
        <f aca="false">Nonlabor!$B$11</f>
        <v>INFRA</v>
      </c>
    </row>
    <row r="1661" customFormat="false" ht="15" hidden="false" customHeight="false" outlineLevel="0" collapsed="false">
      <c r="A1661" s="6" t="s">
        <v>4</v>
      </c>
      <c r="B1661" s="6" t="s">
        <v>387</v>
      </c>
      <c r="C1661" s="6" t="n">
        <v>36</v>
      </c>
      <c r="D1661" s="25" t="n">
        <f aca="false">EDATE('Start Here'!$B$6,C1661-1)</f>
        <v>47392</v>
      </c>
      <c r="E1661" s="11" t="n">
        <f aca="false">IF(AND(OR(Nonlabor!$D$11="Both",Nonlabor!$D$11='Start Here'!$B$9),IF(Nonlabor!$E$11="Core",1,IF(Nonlabor!$E$11="AI",'Start Here'!$B$7,'Start Here'!$B$8))=1,C1661&gt;=IF(Nonlabor!$E$11="Core",Nonlabor!$F$11,MAX(Nonlabor!$F$11,IF(Nonlabor!$E$11="AI",Assumptions!$D$24,Assumptions!$D$25))),C1661&lt;=Nonlabor!$G$11,OR(Nonlabor!$H$11="Monthly",AND(Nonlabor!$H$11="Once",C1661=IF(Nonlabor!$E$11="Core",Nonlabor!$F$11,MAX(Nonlabor!$F$11,IF(Nonlabor!$E$11="AI",Assumptions!$D$24,Assumptions!$D$25)))),AND(Nonlabor!$H$11="Annual",MOD(C1661-IF(Nonlabor!$E$11="Core",Nonlabor!$F$11,MAX(Nonlabor!$F$11,IF(Nonlabor!$E$11="AI",Assumptions!$D$24,Assumptions!$D$25))),12)=0))),IF(Nonlabor!$I$11="Fixed",1,IF(Nonlabor!$I$11="Seats",ROUNDUP('Monthly Base'!I41,0),IF(Nonlabor!$I$11="Customers",'Monthly Base'!D41,IF(Nonlabor!$I$11="NewCustomers",'Monthly Base'!C41,IF(Nonlabor!$I$11="StorageGB",'Monthly Base'!G41,IF(Nonlabor!$I$11="LogGB",'Monthly Base'!H41,IF(Nonlabor!$I$11="RequestsM",'Monthly Base'!F41,IF(Nonlabor!$I$11="InputM",'Monthly Base'!D41*Assumptions!$D$22/1000000,IF(Nonlabor!$I$11="OutputM",'Monthly Base'!D41*Assumptions!$D$23/1000000,0))))))))),0)</f>
        <v>27.1129423334716</v>
      </c>
      <c r="F1661" s="10" t="n">
        <f aca="false">Nonlabor!$J$11*(1+Assumptions!$D$9)^INT((C1661-1)/12)</f>
        <v>5.3045</v>
      </c>
      <c r="G1661" s="10" t="n">
        <f aca="false">E1661*F1661</f>
        <v>143.8206026079</v>
      </c>
      <c r="H1661" s="10" t="n">
        <f aca="false">IF(OR(Nonlabor!$L$11="Quote required",Nonlabor!$L$11="Unverified"),G1661,0)</f>
        <v>0</v>
      </c>
      <c r="I1661" s="10" t="n">
        <f aca="false">IF(Nonlabor!$E$11="Core",0,G1661)</f>
        <v>0</v>
      </c>
      <c r="J1661" s="23" t="str">
        <f aca="false">Nonlabor!$B$11</f>
        <v>INFRA</v>
      </c>
    </row>
    <row r="1662" customFormat="false" ht="15" hidden="false" customHeight="false" outlineLevel="0" collapsed="false">
      <c r="A1662" s="6" t="s">
        <v>4</v>
      </c>
      <c r="B1662" s="6" t="s">
        <v>387</v>
      </c>
      <c r="C1662" s="6" t="n">
        <v>37</v>
      </c>
      <c r="D1662" s="25" t="n">
        <f aca="false">EDATE('Start Here'!$B$6,C1662-1)</f>
        <v>47423</v>
      </c>
      <c r="E1662" s="11" t="n">
        <f aca="false">IF(AND(OR(Nonlabor!$D$11="Both",Nonlabor!$D$11='Start Here'!$B$9),IF(Nonlabor!$E$11="Core",1,IF(Nonlabor!$E$11="AI",'Start Here'!$B$7,'Start Here'!$B$8))=1,C1662&gt;=IF(Nonlabor!$E$11="Core",Nonlabor!$F$11,MAX(Nonlabor!$F$11,IF(Nonlabor!$E$11="AI",Assumptions!$D$24,Assumptions!$D$25))),C1662&lt;=Nonlabor!$G$11,OR(Nonlabor!$H$11="Monthly",AND(Nonlabor!$H$11="Once",C1662=IF(Nonlabor!$E$11="Core",Nonlabor!$F$11,MAX(Nonlabor!$F$11,IF(Nonlabor!$E$11="AI",Assumptions!$D$24,Assumptions!$D$25)))),AND(Nonlabor!$H$11="Annual",MOD(C1662-IF(Nonlabor!$E$11="Core",Nonlabor!$F$11,MAX(Nonlabor!$F$11,IF(Nonlabor!$E$11="AI",Assumptions!$D$24,Assumptions!$D$25))),12)=0))),IF(Nonlabor!$I$11="Fixed",1,IF(Nonlabor!$I$11="Seats",ROUNDUP('Monthly Base'!I42,0),IF(Nonlabor!$I$11="Customers",'Monthly Base'!D42,IF(Nonlabor!$I$11="NewCustomers",'Monthly Base'!C42,IF(Nonlabor!$I$11="StorageGB",'Monthly Base'!G42,IF(Nonlabor!$I$11="LogGB",'Monthly Base'!H42,IF(Nonlabor!$I$11="RequestsM",'Monthly Base'!F42,IF(Nonlabor!$I$11="InputM",'Monthly Base'!D42*Assumptions!$D$22/1000000,IF(Nonlabor!$I$11="OutputM",'Monthly Base'!D42*Assumptions!$D$23/1000000,0))))))))),0)</f>
        <v>29.0918129101369</v>
      </c>
      <c r="F1662" s="10" t="n">
        <f aca="false">Nonlabor!$J$11*(1+Assumptions!$D$9)^INT((C1662-1)/12)</f>
        <v>5.463635</v>
      </c>
      <c r="G1662" s="10" t="n">
        <f aca="false">E1662*F1662</f>
        <v>158.947047229276</v>
      </c>
      <c r="H1662" s="10" t="n">
        <f aca="false">IF(OR(Nonlabor!$L$11="Quote required",Nonlabor!$L$11="Unverified"),G1662,0)</f>
        <v>0</v>
      </c>
      <c r="I1662" s="10" t="n">
        <f aca="false">IF(Nonlabor!$E$11="Core",0,G1662)</f>
        <v>0</v>
      </c>
      <c r="J1662" s="23" t="str">
        <f aca="false">Nonlabor!$B$11</f>
        <v>INFRA</v>
      </c>
    </row>
    <row r="1663" customFormat="false" ht="15" hidden="false" customHeight="false" outlineLevel="0" collapsed="false">
      <c r="A1663" s="6" t="s">
        <v>4</v>
      </c>
      <c r="B1663" s="6" t="s">
        <v>387</v>
      </c>
      <c r="C1663" s="6" t="n">
        <v>38</v>
      </c>
      <c r="D1663" s="25" t="n">
        <f aca="false">EDATE('Start Here'!$B$6,C1663-1)</f>
        <v>47453</v>
      </c>
      <c r="E1663" s="11" t="n">
        <f aca="false">IF(AND(OR(Nonlabor!$D$11="Both",Nonlabor!$D$11='Start Here'!$B$9),IF(Nonlabor!$E$11="Core",1,IF(Nonlabor!$E$11="AI",'Start Here'!$B$7,'Start Here'!$B$8))=1,C1663&gt;=IF(Nonlabor!$E$11="Core",Nonlabor!$F$11,MAX(Nonlabor!$F$11,IF(Nonlabor!$E$11="AI",Assumptions!$D$24,Assumptions!$D$25))),C1663&lt;=Nonlabor!$G$11,OR(Nonlabor!$H$11="Monthly",AND(Nonlabor!$H$11="Once",C1663=IF(Nonlabor!$E$11="Core",Nonlabor!$F$11,MAX(Nonlabor!$F$11,IF(Nonlabor!$E$11="AI",Assumptions!$D$24,Assumptions!$D$25)))),AND(Nonlabor!$H$11="Annual",MOD(C1663-IF(Nonlabor!$E$11="Core",Nonlabor!$F$11,MAX(Nonlabor!$F$11,IF(Nonlabor!$E$11="AI",Assumptions!$D$24,Assumptions!$D$25))),12)=0))),IF(Nonlabor!$I$11="Fixed",1,IF(Nonlabor!$I$11="Seats",ROUNDUP('Monthly Base'!I43,0),IF(Nonlabor!$I$11="Customers",'Monthly Base'!D43,IF(Nonlabor!$I$11="NewCustomers",'Monthly Base'!C43,IF(Nonlabor!$I$11="StorageGB",'Monthly Base'!G43,IF(Nonlabor!$I$11="LogGB",'Monthly Base'!H43,IF(Nonlabor!$I$11="RequestsM",'Monthly Base'!F43,IF(Nonlabor!$I$11="InputM",'Monthly Base'!D43*Assumptions!$D$22/1000000,IF(Nonlabor!$I$11="OutputM",'Monthly Base'!D43*Assumptions!$D$23/1000000,0))))))))),0)</f>
        <v>31.0508947810356</v>
      </c>
      <c r="F1663" s="10" t="n">
        <f aca="false">Nonlabor!$J$11*(1+Assumptions!$D$9)^INT((C1663-1)/12)</f>
        <v>5.463635</v>
      </c>
      <c r="G1663" s="10" t="n">
        <f aca="false">E1663*F1663</f>
        <v>169.650755506983</v>
      </c>
      <c r="H1663" s="10" t="n">
        <f aca="false">IF(OR(Nonlabor!$L$11="Quote required",Nonlabor!$L$11="Unverified"),G1663,0)</f>
        <v>0</v>
      </c>
      <c r="I1663" s="10" t="n">
        <f aca="false">IF(Nonlabor!$E$11="Core",0,G1663)</f>
        <v>0</v>
      </c>
      <c r="J1663" s="23" t="str">
        <f aca="false">Nonlabor!$B$11</f>
        <v>INFRA</v>
      </c>
    </row>
    <row r="1664" customFormat="false" ht="15" hidden="false" customHeight="false" outlineLevel="0" collapsed="false">
      <c r="A1664" s="6" t="s">
        <v>4</v>
      </c>
      <c r="B1664" s="6" t="s">
        <v>387</v>
      </c>
      <c r="C1664" s="6" t="n">
        <v>39</v>
      </c>
      <c r="D1664" s="25" t="n">
        <f aca="false">EDATE('Start Here'!$B$6,C1664-1)</f>
        <v>47484</v>
      </c>
      <c r="E1664" s="11" t="n">
        <f aca="false">IF(AND(OR(Nonlabor!$D$11="Both",Nonlabor!$D$11='Start Here'!$B$9),IF(Nonlabor!$E$11="Core",1,IF(Nonlabor!$E$11="AI",'Start Here'!$B$7,'Start Here'!$B$8))=1,C1664&gt;=IF(Nonlabor!$E$11="Core",Nonlabor!$F$11,MAX(Nonlabor!$F$11,IF(Nonlabor!$E$11="AI",Assumptions!$D$24,Assumptions!$D$25))),C1664&lt;=Nonlabor!$G$11,OR(Nonlabor!$H$11="Monthly",AND(Nonlabor!$H$11="Once",C1664=IF(Nonlabor!$E$11="Core",Nonlabor!$F$11,MAX(Nonlabor!$F$11,IF(Nonlabor!$E$11="AI",Assumptions!$D$24,Assumptions!$D$25)))),AND(Nonlabor!$H$11="Annual",MOD(C1664-IF(Nonlabor!$E$11="Core",Nonlabor!$F$11,MAX(Nonlabor!$F$11,IF(Nonlabor!$E$11="AI",Assumptions!$D$24,Assumptions!$D$25))),12)=0))),IF(Nonlabor!$I$11="Fixed",1,IF(Nonlabor!$I$11="Seats",ROUNDUP('Monthly Base'!I44,0),IF(Nonlabor!$I$11="Customers",'Monthly Base'!D44,IF(Nonlabor!$I$11="NewCustomers",'Monthly Base'!C44,IF(Nonlabor!$I$11="StorageGB",'Monthly Base'!G44,IF(Nonlabor!$I$11="LogGB",'Monthly Base'!H44,IF(Nonlabor!$I$11="RequestsM",'Monthly Base'!F44,IF(Nonlabor!$I$11="InputM",'Monthly Base'!D44*Assumptions!$D$22/1000000,IF(Nonlabor!$I$11="OutputM",'Monthly Base'!D44*Assumptions!$D$23/1000000,0))))))))),0)</f>
        <v>32.9903858332252</v>
      </c>
      <c r="F1664" s="10" t="n">
        <f aca="false">Nonlabor!$J$11*(1+Assumptions!$D$9)^INT((C1664-1)/12)</f>
        <v>5.463635</v>
      </c>
      <c r="G1664" s="10" t="n">
        <f aca="false">E1664*F1664</f>
        <v>180.247426701913</v>
      </c>
      <c r="H1664" s="10" t="n">
        <f aca="false">IF(OR(Nonlabor!$L$11="Quote required",Nonlabor!$L$11="Unverified"),G1664,0)</f>
        <v>0</v>
      </c>
      <c r="I1664" s="10" t="n">
        <f aca="false">IF(Nonlabor!$E$11="Core",0,G1664)</f>
        <v>0</v>
      </c>
      <c r="J1664" s="23" t="str">
        <f aca="false">Nonlabor!$B$11</f>
        <v>INFRA</v>
      </c>
    </row>
    <row r="1665" customFormat="false" ht="15" hidden="false" customHeight="false" outlineLevel="0" collapsed="false">
      <c r="A1665" s="6" t="s">
        <v>4</v>
      </c>
      <c r="B1665" s="6" t="s">
        <v>387</v>
      </c>
      <c r="C1665" s="6" t="n">
        <v>40</v>
      </c>
      <c r="D1665" s="25" t="n">
        <f aca="false">EDATE('Start Here'!$B$6,C1665-1)</f>
        <v>47515</v>
      </c>
      <c r="E1665" s="11" t="n">
        <f aca="false">IF(AND(OR(Nonlabor!$D$11="Both",Nonlabor!$D$11='Start Here'!$B$9),IF(Nonlabor!$E$11="Core",1,IF(Nonlabor!$E$11="AI",'Start Here'!$B$7,'Start Here'!$B$8))=1,C1665&gt;=IF(Nonlabor!$E$11="Core",Nonlabor!$F$11,MAX(Nonlabor!$F$11,IF(Nonlabor!$E$11="AI",Assumptions!$D$24,Assumptions!$D$25))),C1665&lt;=Nonlabor!$G$11,OR(Nonlabor!$H$11="Monthly",AND(Nonlabor!$H$11="Once",C1665=IF(Nonlabor!$E$11="Core",Nonlabor!$F$11,MAX(Nonlabor!$F$11,IF(Nonlabor!$E$11="AI",Assumptions!$D$24,Assumptions!$D$25)))),AND(Nonlabor!$H$11="Annual",MOD(C1665-IF(Nonlabor!$E$11="Core",Nonlabor!$F$11,MAX(Nonlabor!$F$11,IF(Nonlabor!$E$11="AI",Assumptions!$D$24,Assumptions!$D$25))),12)=0))),IF(Nonlabor!$I$11="Fixed",1,IF(Nonlabor!$I$11="Seats",ROUNDUP('Monthly Base'!I45,0),IF(Nonlabor!$I$11="Customers",'Monthly Base'!D45,IF(Nonlabor!$I$11="NewCustomers",'Monthly Base'!C45,IF(Nonlabor!$I$11="StorageGB",'Monthly Base'!G45,IF(Nonlabor!$I$11="LogGB",'Monthly Base'!H45,IF(Nonlabor!$I$11="RequestsM",'Monthly Base'!F45,IF(Nonlabor!$I$11="InputM",'Monthly Base'!D45*Assumptions!$D$22/1000000,IF(Nonlabor!$I$11="OutputM",'Monthly Base'!D45*Assumptions!$D$23/1000000,0))))))))),0)</f>
        <v>34.9104819748929</v>
      </c>
      <c r="F1665" s="10" t="n">
        <f aca="false">Nonlabor!$J$11*(1+Assumptions!$D$9)^INT((C1665-1)/12)</f>
        <v>5.463635</v>
      </c>
      <c r="G1665" s="10" t="n">
        <f aca="false">E1665*F1665</f>
        <v>190.738131184894</v>
      </c>
      <c r="H1665" s="10" t="n">
        <f aca="false">IF(OR(Nonlabor!$L$11="Quote required",Nonlabor!$L$11="Unverified"),G1665,0)</f>
        <v>0</v>
      </c>
      <c r="I1665" s="10" t="n">
        <f aca="false">IF(Nonlabor!$E$11="Core",0,G1665)</f>
        <v>0</v>
      </c>
      <c r="J1665" s="23" t="str">
        <f aca="false">Nonlabor!$B$11</f>
        <v>INFRA</v>
      </c>
    </row>
    <row r="1666" customFormat="false" ht="15" hidden="false" customHeight="false" outlineLevel="0" collapsed="false">
      <c r="A1666" s="6" t="s">
        <v>4</v>
      </c>
      <c r="B1666" s="6" t="s">
        <v>387</v>
      </c>
      <c r="C1666" s="6" t="n">
        <v>41</v>
      </c>
      <c r="D1666" s="25" t="n">
        <f aca="false">EDATE('Start Here'!$B$6,C1666-1)</f>
        <v>47543</v>
      </c>
      <c r="E1666" s="11" t="n">
        <f aca="false">IF(AND(OR(Nonlabor!$D$11="Both",Nonlabor!$D$11='Start Here'!$B$9),IF(Nonlabor!$E$11="Core",1,IF(Nonlabor!$E$11="AI",'Start Here'!$B$7,'Start Here'!$B$8))=1,C1666&gt;=IF(Nonlabor!$E$11="Core",Nonlabor!$F$11,MAX(Nonlabor!$F$11,IF(Nonlabor!$E$11="AI",Assumptions!$D$24,Assumptions!$D$25))),C1666&lt;=Nonlabor!$G$11,OR(Nonlabor!$H$11="Monthly",AND(Nonlabor!$H$11="Once",C1666=IF(Nonlabor!$E$11="Core",Nonlabor!$F$11,MAX(Nonlabor!$F$11,IF(Nonlabor!$E$11="AI",Assumptions!$D$24,Assumptions!$D$25)))),AND(Nonlabor!$H$11="Annual",MOD(C1666-IF(Nonlabor!$E$11="Core",Nonlabor!$F$11,MAX(Nonlabor!$F$11,IF(Nonlabor!$E$11="AI",Assumptions!$D$24,Assumptions!$D$25))),12)=0))),IF(Nonlabor!$I$11="Fixed",1,IF(Nonlabor!$I$11="Seats",ROUNDUP('Monthly Base'!I46,0),IF(Nonlabor!$I$11="Customers",'Monthly Base'!D46,IF(Nonlabor!$I$11="NewCustomers",'Monthly Base'!C46,IF(Nonlabor!$I$11="StorageGB",'Monthly Base'!G46,IF(Nonlabor!$I$11="LogGB",'Monthly Base'!H46,IF(Nonlabor!$I$11="RequestsM",'Monthly Base'!F46,IF(Nonlabor!$I$11="InputM",'Monthly Base'!D46*Assumptions!$D$22/1000000,IF(Nonlabor!$I$11="OutputM",'Monthly Base'!D46*Assumptions!$D$23/1000000,0))))))))),0)</f>
        <v>36.811377155144</v>
      </c>
      <c r="F1666" s="10" t="n">
        <f aca="false">Nonlabor!$J$11*(1+Assumptions!$D$9)^INT((C1666-1)/12)</f>
        <v>5.463635</v>
      </c>
      <c r="G1666" s="10" t="n">
        <f aca="false">E1666*F1666</f>
        <v>201.123928623045</v>
      </c>
      <c r="H1666" s="10" t="n">
        <f aca="false">IF(OR(Nonlabor!$L$11="Quote required",Nonlabor!$L$11="Unverified"),G1666,0)</f>
        <v>0</v>
      </c>
      <c r="I1666" s="10" t="n">
        <f aca="false">IF(Nonlabor!$E$11="Core",0,G1666)</f>
        <v>0</v>
      </c>
      <c r="J1666" s="23" t="str">
        <f aca="false">Nonlabor!$B$11</f>
        <v>INFRA</v>
      </c>
    </row>
    <row r="1667" customFormat="false" ht="15" hidden="false" customHeight="false" outlineLevel="0" collapsed="false">
      <c r="A1667" s="6" t="s">
        <v>4</v>
      </c>
      <c r="B1667" s="6" t="s">
        <v>387</v>
      </c>
      <c r="C1667" s="6" t="n">
        <v>42</v>
      </c>
      <c r="D1667" s="25" t="n">
        <f aca="false">EDATE('Start Here'!$B$6,C1667-1)</f>
        <v>47574</v>
      </c>
      <c r="E1667" s="11" t="n">
        <f aca="false">IF(AND(OR(Nonlabor!$D$11="Both",Nonlabor!$D$11='Start Here'!$B$9),IF(Nonlabor!$E$11="Core",1,IF(Nonlabor!$E$11="AI",'Start Here'!$B$7,'Start Here'!$B$8))=1,C1667&gt;=IF(Nonlabor!$E$11="Core",Nonlabor!$F$11,MAX(Nonlabor!$F$11,IF(Nonlabor!$E$11="AI",Assumptions!$D$24,Assumptions!$D$25))),C1667&lt;=Nonlabor!$G$11,OR(Nonlabor!$H$11="Monthly",AND(Nonlabor!$H$11="Once",C1667=IF(Nonlabor!$E$11="Core",Nonlabor!$F$11,MAX(Nonlabor!$F$11,IF(Nonlabor!$E$11="AI",Assumptions!$D$24,Assumptions!$D$25)))),AND(Nonlabor!$H$11="Annual",MOD(C1667-IF(Nonlabor!$E$11="Core",Nonlabor!$F$11,MAX(Nonlabor!$F$11,IF(Nonlabor!$E$11="AI",Assumptions!$D$24,Assumptions!$D$25))),12)=0))),IF(Nonlabor!$I$11="Fixed",1,IF(Nonlabor!$I$11="Seats",ROUNDUP('Monthly Base'!I47,0),IF(Nonlabor!$I$11="Customers",'Monthly Base'!D47,IF(Nonlabor!$I$11="NewCustomers",'Monthly Base'!C47,IF(Nonlabor!$I$11="StorageGB",'Monthly Base'!G47,IF(Nonlabor!$I$11="LogGB",'Monthly Base'!H47,IF(Nonlabor!$I$11="RequestsM",'Monthly Base'!F47,IF(Nonlabor!$I$11="InputM",'Monthly Base'!D47*Assumptions!$D$22/1000000,IF(Nonlabor!$I$11="OutputM",'Monthly Base'!D47*Assumptions!$D$23/1000000,0))))))))),0)</f>
        <v>38.6932633835926</v>
      </c>
      <c r="F1667" s="10" t="n">
        <f aca="false">Nonlabor!$J$11*(1+Assumptions!$D$9)^INT((C1667-1)/12)</f>
        <v>5.463635</v>
      </c>
      <c r="G1667" s="10" t="n">
        <f aca="false">E1667*F1667</f>
        <v>211.405868086815</v>
      </c>
      <c r="H1667" s="10" t="n">
        <f aca="false">IF(OR(Nonlabor!$L$11="Quote required",Nonlabor!$L$11="Unverified"),G1667,0)</f>
        <v>0</v>
      </c>
      <c r="I1667" s="10" t="n">
        <f aca="false">IF(Nonlabor!$E$11="Core",0,G1667)</f>
        <v>0</v>
      </c>
      <c r="J1667" s="23" t="str">
        <f aca="false">Nonlabor!$B$11</f>
        <v>INFRA</v>
      </c>
    </row>
    <row r="1668" customFormat="false" ht="15" hidden="false" customHeight="false" outlineLevel="0" collapsed="false">
      <c r="A1668" s="6" t="s">
        <v>4</v>
      </c>
      <c r="B1668" s="6" t="s">
        <v>387</v>
      </c>
      <c r="C1668" s="6" t="n">
        <v>43</v>
      </c>
      <c r="D1668" s="25" t="n">
        <f aca="false">EDATE('Start Here'!$B$6,C1668-1)</f>
        <v>47604</v>
      </c>
      <c r="E1668" s="11" t="n">
        <f aca="false">IF(AND(OR(Nonlabor!$D$11="Both",Nonlabor!$D$11='Start Here'!$B$9),IF(Nonlabor!$E$11="Core",1,IF(Nonlabor!$E$11="AI",'Start Here'!$B$7,'Start Here'!$B$8))=1,C1668&gt;=IF(Nonlabor!$E$11="Core",Nonlabor!$F$11,MAX(Nonlabor!$F$11,IF(Nonlabor!$E$11="AI",Assumptions!$D$24,Assumptions!$D$25))),C1668&lt;=Nonlabor!$G$11,OR(Nonlabor!$H$11="Monthly",AND(Nonlabor!$H$11="Once",C1668=IF(Nonlabor!$E$11="Core",Nonlabor!$F$11,MAX(Nonlabor!$F$11,IF(Nonlabor!$E$11="AI",Assumptions!$D$24,Assumptions!$D$25)))),AND(Nonlabor!$H$11="Annual",MOD(C1668-IF(Nonlabor!$E$11="Core",Nonlabor!$F$11,MAX(Nonlabor!$F$11,IF(Nonlabor!$E$11="AI",Assumptions!$D$24,Assumptions!$D$25))),12)=0))),IF(Nonlabor!$I$11="Fixed",1,IF(Nonlabor!$I$11="Seats",ROUNDUP('Monthly Base'!I48,0),IF(Nonlabor!$I$11="Customers",'Monthly Base'!D48,IF(Nonlabor!$I$11="NewCustomers",'Monthly Base'!C48,IF(Nonlabor!$I$11="StorageGB",'Monthly Base'!G48,IF(Nonlabor!$I$11="LogGB",'Monthly Base'!H48,IF(Nonlabor!$I$11="RequestsM",'Monthly Base'!F48,IF(Nonlabor!$I$11="InputM",'Monthly Base'!D48*Assumptions!$D$22/1000000,IF(Nonlabor!$I$11="OutputM",'Monthly Base'!D48*Assumptions!$D$23/1000000,0))))))))),0)</f>
        <v>40.5563307497567</v>
      </c>
      <c r="F1668" s="10" t="n">
        <f aca="false">Nonlabor!$J$11*(1+Assumptions!$D$9)^INT((C1668-1)/12)</f>
        <v>5.463635</v>
      </c>
      <c r="G1668" s="10" t="n">
        <f aca="false">E1668*F1668</f>
        <v>221.584988155947</v>
      </c>
      <c r="H1668" s="10" t="n">
        <f aca="false">IF(OR(Nonlabor!$L$11="Quote required",Nonlabor!$L$11="Unverified"),G1668,0)</f>
        <v>0</v>
      </c>
      <c r="I1668" s="10" t="n">
        <f aca="false">IF(Nonlabor!$E$11="Core",0,G1668)</f>
        <v>0</v>
      </c>
      <c r="J1668" s="23" t="str">
        <f aca="false">Nonlabor!$B$11</f>
        <v>INFRA</v>
      </c>
    </row>
    <row r="1669" customFormat="false" ht="15" hidden="false" customHeight="false" outlineLevel="0" collapsed="false">
      <c r="A1669" s="6" t="s">
        <v>4</v>
      </c>
      <c r="B1669" s="6" t="s">
        <v>387</v>
      </c>
      <c r="C1669" s="6" t="n">
        <v>44</v>
      </c>
      <c r="D1669" s="25" t="n">
        <f aca="false">EDATE('Start Here'!$B$6,C1669-1)</f>
        <v>47635</v>
      </c>
      <c r="E1669" s="11" t="n">
        <f aca="false">IF(AND(OR(Nonlabor!$D$11="Both",Nonlabor!$D$11='Start Here'!$B$9),IF(Nonlabor!$E$11="Core",1,IF(Nonlabor!$E$11="AI",'Start Here'!$B$7,'Start Here'!$B$8))=1,C1669&gt;=IF(Nonlabor!$E$11="Core",Nonlabor!$F$11,MAX(Nonlabor!$F$11,IF(Nonlabor!$E$11="AI",Assumptions!$D$24,Assumptions!$D$25))),C1669&lt;=Nonlabor!$G$11,OR(Nonlabor!$H$11="Monthly",AND(Nonlabor!$H$11="Once",C1669=IF(Nonlabor!$E$11="Core",Nonlabor!$F$11,MAX(Nonlabor!$F$11,IF(Nonlabor!$E$11="AI",Assumptions!$D$24,Assumptions!$D$25)))),AND(Nonlabor!$H$11="Annual",MOD(C1669-IF(Nonlabor!$E$11="Core",Nonlabor!$F$11,MAX(Nonlabor!$F$11,IF(Nonlabor!$E$11="AI",Assumptions!$D$24,Assumptions!$D$25))),12)=0))),IF(Nonlabor!$I$11="Fixed",1,IF(Nonlabor!$I$11="Seats",ROUNDUP('Monthly Base'!I49,0),IF(Nonlabor!$I$11="Customers",'Monthly Base'!D49,IF(Nonlabor!$I$11="NewCustomers",'Monthly Base'!C49,IF(Nonlabor!$I$11="StorageGB",'Monthly Base'!G49,IF(Nonlabor!$I$11="LogGB",'Monthly Base'!H49,IF(Nonlabor!$I$11="RequestsM",'Monthly Base'!F49,IF(Nonlabor!$I$11="InputM",'Monthly Base'!D49*Assumptions!$D$22/1000000,IF(Nonlabor!$I$11="OutputM",'Monthly Base'!D49*Assumptions!$D$23/1000000,0))))))))),0)</f>
        <v>42.4007674422591</v>
      </c>
      <c r="F1669" s="10" t="n">
        <f aca="false">Nonlabor!$J$11*(1+Assumptions!$D$9)^INT((C1669-1)/12)</f>
        <v>5.463635</v>
      </c>
      <c r="G1669" s="10" t="n">
        <f aca="false">E1669*F1669</f>
        <v>231.662317024387</v>
      </c>
      <c r="H1669" s="10" t="n">
        <f aca="false">IF(OR(Nonlabor!$L$11="Quote required",Nonlabor!$L$11="Unverified"),G1669,0)</f>
        <v>0</v>
      </c>
      <c r="I1669" s="10" t="n">
        <f aca="false">IF(Nonlabor!$E$11="Core",0,G1669)</f>
        <v>0</v>
      </c>
      <c r="J1669" s="23" t="str">
        <f aca="false">Nonlabor!$B$11</f>
        <v>INFRA</v>
      </c>
    </row>
    <row r="1670" customFormat="false" ht="15" hidden="false" customHeight="false" outlineLevel="0" collapsed="false">
      <c r="A1670" s="6" t="s">
        <v>4</v>
      </c>
      <c r="B1670" s="6" t="s">
        <v>387</v>
      </c>
      <c r="C1670" s="6" t="n">
        <v>45</v>
      </c>
      <c r="D1670" s="25" t="n">
        <f aca="false">EDATE('Start Here'!$B$6,C1670-1)</f>
        <v>47665</v>
      </c>
      <c r="E1670" s="11" t="n">
        <f aca="false">IF(AND(OR(Nonlabor!$D$11="Both",Nonlabor!$D$11='Start Here'!$B$9),IF(Nonlabor!$E$11="Core",1,IF(Nonlabor!$E$11="AI",'Start Here'!$B$7,'Start Here'!$B$8))=1,C1670&gt;=IF(Nonlabor!$E$11="Core",Nonlabor!$F$11,MAX(Nonlabor!$F$11,IF(Nonlabor!$E$11="AI",Assumptions!$D$24,Assumptions!$D$25))),C1670&lt;=Nonlabor!$G$11,OR(Nonlabor!$H$11="Monthly",AND(Nonlabor!$H$11="Once",C1670=IF(Nonlabor!$E$11="Core",Nonlabor!$F$11,MAX(Nonlabor!$F$11,IF(Nonlabor!$E$11="AI",Assumptions!$D$24,Assumptions!$D$25)))),AND(Nonlabor!$H$11="Annual",MOD(C1670-IF(Nonlabor!$E$11="Core",Nonlabor!$F$11,MAX(Nonlabor!$F$11,IF(Nonlabor!$E$11="AI",Assumptions!$D$24,Assumptions!$D$25))),12)=0))),IF(Nonlabor!$I$11="Fixed",1,IF(Nonlabor!$I$11="Seats",ROUNDUP('Monthly Base'!I50,0),IF(Nonlabor!$I$11="Customers",'Monthly Base'!D50,IF(Nonlabor!$I$11="NewCustomers",'Monthly Base'!C50,IF(Nonlabor!$I$11="StorageGB",'Monthly Base'!G50,IF(Nonlabor!$I$11="LogGB",'Monthly Base'!H50,IF(Nonlabor!$I$11="RequestsM",'Monthly Base'!F50,IF(Nonlabor!$I$11="InputM",'Monthly Base'!D50*Assumptions!$D$22/1000000,IF(Nonlabor!$I$11="OutputM",'Monthly Base'!D50*Assumptions!$D$23/1000000,0))))))))),0)</f>
        <v>44.2267597678365</v>
      </c>
      <c r="F1670" s="10" t="n">
        <f aca="false">Nonlabor!$J$11*(1+Assumptions!$D$9)^INT((C1670-1)/12)</f>
        <v>5.463635</v>
      </c>
      <c r="G1670" s="10" t="n">
        <f aca="false">E1670*F1670</f>
        <v>241.638872604143</v>
      </c>
      <c r="H1670" s="10" t="n">
        <f aca="false">IF(OR(Nonlabor!$L$11="Quote required",Nonlabor!$L$11="Unverified"),G1670,0)</f>
        <v>0</v>
      </c>
      <c r="I1670" s="10" t="n">
        <f aca="false">IF(Nonlabor!$E$11="Core",0,G1670)</f>
        <v>0</v>
      </c>
      <c r="J1670" s="23" t="str">
        <f aca="false">Nonlabor!$B$11</f>
        <v>INFRA</v>
      </c>
    </row>
    <row r="1671" customFormat="false" ht="15" hidden="false" customHeight="false" outlineLevel="0" collapsed="false">
      <c r="A1671" s="6" t="s">
        <v>4</v>
      </c>
      <c r="B1671" s="6" t="s">
        <v>387</v>
      </c>
      <c r="C1671" s="6" t="n">
        <v>46</v>
      </c>
      <c r="D1671" s="25" t="n">
        <f aca="false">EDATE('Start Here'!$B$6,C1671-1)</f>
        <v>47696</v>
      </c>
      <c r="E1671" s="11" t="n">
        <f aca="false">IF(AND(OR(Nonlabor!$D$11="Both",Nonlabor!$D$11='Start Here'!$B$9),IF(Nonlabor!$E$11="Core",1,IF(Nonlabor!$E$11="AI",'Start Here'!$B$7,'Start Here'!$B$8))=1,C1671&gt;=IF(Nonlabor!$E$11="Core",Nonlabor!$F$11,MAX(Nonlabor!$F$11,IF(Nonlabor!$E$11="AI",Assumptions!$D$24,Assumptions!$D$25))),C1671&lt;=Nonlabor!$G$11,OR(Nonlabor!$H$11="Monthly",AND(Nonlabor!$H$11="Once",C1671=IF(Nonlabor!$E$11="Core",Nonlabor!$F$11,MAX(Nonlabor!$F$11,IF(Nonlabor!$E$11="AI",Assumptions!$D$24,Assumptions!$D$25)))),AND(Nonlabor!$H$11="Annual",MOD(C1671-IF(Nonlabor!$E$11="Core",Nonlabor!$F$11,MAX(Nonlabor!$F$11,IF(Nonlabor!$E$11="AI",Assumptions!$D$24,Assumptions!$D$25))),12)=0))),IF(Nonlabor!$I$11="Fixed",1,IF(Nonlabor!$I$11="Seats",ROUNDUP('Monthly Base'!I51,0),IF(Nonlabor!$I$11="Customers",'Monthly Base'!D51,IF(Nonlabor!$I$11="NewCustomers",'Monthly Base'!C51,IF(Nonlabor!$I$11="StorageGB",'Monthly Base'!G51,IF(Nonlabor!$I$11="LogGB",'Monthly Base'!H51,IF(Nonlabor!$I$11="RequestsM",'Monthly Base'!F51,IF(Nonlabor!$I$11="InputM",'Monthly Base'!D51*Assumptions!$D$22/1000000,IF(Nonlabor!$I$11="OutputM",'Monthly Base'!D51*Assumptions!$D$23/1000000,0))))))))),0)</f>
        <v>46.0344921701581</v>
      </c>
      <c r="F1671" s="10" t="n">
        <f aca="false">Nonlabor!$J$11*(1+Assumptions!$D$9)^INT((C1671-1)/12)</f>
        <v>5.463635</v>
      </c>
      <c r="G1671" s="10" t="n">
        <f aca="false">E1671*F1671</f>
        <v>251.515662628102</v>
      </c>
      <c r="H1671" s="10" t="n">
        <f aca="false">IF(OR(Nonlabor!$L$11="Quote required",Nonlabor!$L$11="Unverified"),G1671,0)</f>
        <v>0</v>
      </c>
      <c r="I1671" s="10" t="n">
        <f aca="false">IF(Nonlabor!$E$11="Core",0,G1671)</f>
        <v>0</v>
      </c>
      <c r="J1671" s="23" t="str">
        <f aca="false">Nonlabor!$B$11</f>
        <v>INFRA</v>
      </c>
    </row>
    <row r="1672" customFormat="false" ht="15" hidden="false" customHeight="false" outlineLevel="0" collapsed="false">
      <c r="A1672" s="6" t="s">
        <v>4</v>
      </c>
      <c r="B1672" s="6" t="s">
        <v>387</v>
      </c>
      <c r="C1672" s="6" t="n">
        <v>47</v>
      </c>
      <c r="D1672" s="25" t="n">
        <f aca="false">EDATE('Start Here'!$B$6,C1672-1)</f>
        <v>47727</v>
      </c>
      <c r="E1672" s="11" t="n">
        <f aca="false">IF(AND(OR(Nonlabor!$D$11="Both",Nonlabor!$D$11='Start Here'!$B$9),IF(Nonlabor!$E$11="Core",1,IF(Nonlabor!$E$11="AI",'Start Here'!$B$7,'Start Here'!$B$8))=1,C1672&gt;=IF(Nonlabor!$E$11="Core",Nonlabor!$F$11,MAX(Nonlabor!$F$11,IF(Nonlabor!$E$11="AI",Assumptions!$D$24,Assumptions!$D$25))),C1672&lt;=Nonlabor!$G$11,OR(Nonlabor!$H$11="Monthly",AND(Nonlabor!$H$11="Once",C1672=IF(Nonlabor!$E$11="Core",Nonlabor!$F$11,MAX(Nonlabor!$F$11,IF(Nonlabor!$E$11="AI",Assumptions!$D$24,Assumptions!$D$25)))),AND(Nonlabor!$H$11="Annual",MOD(C1672-IF(Nonlabor!$E$11="Core",Nonlabor!$F$11,MAX(Nonlabor!$F$11,IF(Nonlabor!$E$11="AI",Assumptions!$D$24,Assumptions!$D$25))),12)=0))),IF(Nonlabor!$I$11="Fixed",1,IF(Nonlabor!$I$11="Seats",ROUNDUP('Monthly Base'!I52,0),IF(Nonlabor!$I$11="Customers",'Monthly Base'!D52,IF(Nonlabor!$I$11="NewCustomers",'Monthly Base'!C52,IF(Nonlabor!$I$11="StorageGB",'Monthly Base'!G52,IF(Nonlabor!$I$11="LogGB",'Monthly Base'!H52,IF(Nonlabor!$I$11="RequestsM",'Monthly Base'!F52,IF(Nonlabor!$I$11="InputM",'Monthly Base'!D52*Assumptions!$D$22/1000000,IF(Nonlabor!$I$11="OutputM",'Monthly Base'!D52*Assumptions!$D$23/1000000,0))))))))),0)</f>
        <v>47.8241472484565</v>
      </c>
      <c r="F1672" s="10" t="n">
        <f aca="false">Nonlabor!$J$11*(1+Assumptions!$D$9)^INT((C1672-1)/12)</f>
        <v>5.463635</v>
      </c>
      <c r="G1672" s="10" t="n">
        <f aca="false">E1672*F1672</f>
        <v>261.293684751821</v>
      </c>
      <c r="H1672" s="10" t="n">
        <f aca="false">IF(OR(Nonlabor!$L$11="Quote required",Nonlabor!$L$11="Unverified"),G1672,0)</f>
        <v>0</v>
      </c>
      <c r="I1672" s="10" t="n">
        <f aca="false">IF(Nonlabor!$E$11="Core",0,G1672)</f>
        <v>0</v>
      </c>
      <c r="J1672" s="23" t="str">
        <f aca="false">Nonlabor!$B$11</f>
        <v>INFRA</v>
      </c>
    </row>
    <row r="1673" customFormat="false" ht="15" hidden="false" customHeight="false" outlineLevel="0" collapsed="false">
      <c r="A1673" s="6" t="s">
        <v>4</v>
      </c>
      <c r="B1673" s="6" t="s">
        <v>387</v>
      </c>
      <c r="C1673" s="6" t="n">
        <v>48</v>
      </c>
      <c r="D1673" s="25" t="n">
        <f aca="false">EDATE('Start Here'!$B$6,C1673-1)</f>
        <v>47757</v>
      </c>
      <c r="E1673" s="11" t="n">
        <f aca="false">IF(AND(OR(Nonlabor!$D$11="Both",Nonlabor!$D$11='Start Here'!$B$9),IF(Nonlabor!$E$11="Core",1,IF(Nonlabor!$E$11="AI",'Start Here'!$B$7,'Start Here'!$B$8))=1,C1673&gt;=IF(Nonlabor!$E$11="Core",Nonlabor!$F$11,MAX(Nonlabor!$F$11,IF(Nonlabor!$E$11="AI",Assumptions!$D$24,Assumptions!$D$25))),C1673&lt;=Nonlabor!$G$11,OR(Nonlabor!$H$11="Monthly",AND(Nonlabor!$H$11="Once",C1673=IF(Nonlabor!$E$11="Core",Nonlabor!$F$11,MAX(Nonlabor!$F$11,IF(Nonlabor!$E$11="AI",Assumptions!$D$24,Assumptions!$D$25)))),AND(Nonlabor!$H$11="Annual",MOD(C1673-IF(Nonlabor!$E$11="Core",Nonlabor!$F$11,MAX(Nonlabor!$F$11,IF(Nonlabor!$E$11="AI",Assumptions!$D$24,Assumptions!$D$25))),12)=0))),IF(Nonlabor!$I$11="Fixed",1,IF(Nonlabor!$I$11="Seats",ROUNDUP('Monthly Base'!I53,0),IF(Nonlabor!$I$11="Customers",'Monthly Base'!D53,IF(Nonlabor!$I$11="NewCustomers",'Monthly Base'!C53,IF(Nonlabor!$I$11="StorageGB",'Monthly Base'!G53,IF(Nonlabor!$I$11="LogGB",'Monthly Base'!H53,IF(Nonlabor!$I$11="RequestsM",'Monthly Base'!F53,IF(Nonlabor!$I$11="InputM",'Monthly Base'!D53*Assumptions!$D$22/1000000,IF(Nonlabor!$I$11="OutputM",'Monthly Base'!D53*Assumptions!$D$23/1000000,0))))))))),0)</f>
        <v>49.595905775972</v>
      </c>
      <c r="F1673" s="10" t="n">
        <f aca="false">Nonlabor!$J$11*(1+Assumptions!$D$9)^INT((C1673-1)/12)</f>
        <v>5.463635</v>
      </c>
      <c r="G1673" s="10" t="n">
        <f aca="false">E1673*F1673</f>
        <v>270.973926654303</v>
      </c>
      <c r="H1673" s="10" t="n">
        <f aca="false">IF(OR(Nonlabor!$L$11="Quote required",Nonlabor!$L$11="Unverified"),G1673,0)</f>
        <v>0</v>
      </c>
      <c r="I1673" s="10" t="n">
        <f aca="false">IF(Nonlabor!$E$11="Core",0,G1673)</f>
        <v>0</v>
      </c>
      <c r="J1673" s="23" t="str">
        <f aca="false">Nonlabor!$B$11</f>
        <v>INFRA</v>
      </c>
    </row>
    <row r="1674" customFormat="false" ht="15" hidden="false" customHeight="false" outlineLevel="0" collapsed="false">
      <c r="A1674" s="6" t="s">
        <v>4</v>
      </c>
      <c r="B1674" s="6" t="s">
        <v>387</v>
      </c>
      <c r="C1674" s="6" t="n">
        <v>49</v>
      </c>
      <c r="D1674" s="25" t="n">
        <f aca="false">EDATE('Start Here'!$B$6,C1674-1)</f>
        <v>47788</v>
      </c>
      <c r="E1674" s="11" t="n">
        <f aca="false">IF(AND(OR(Nonlabor!$D$11="Both",Nonlabor!$D$11='Start Here'!$B$9),IF(Nonlabor!$E$11="Core",1,IF(Nonlabor!$E$11="AI",'Start Here'!$B$7,'Start Here'!$B$8))=1,C1674&gt;=IF(Nonlabor!$E$11="Core",Nonlabor!$F$11,MAX(Nonlabor!$F$11,IF(Nonlabor!$E$11="AI",Assumptions!$D$24,Assumptions!$D$25))),C1674&lt;=Nonlabor!$G$11,OR(Nonlabor!$H$11="Monthly",AND(Nonlabor!$H$11="Once",C1674=IF(Nonlabor!$E$11="Core",Nonlabor!$F$11,MAX(Nonlabor!$F$11,IF(Nonlabor!$E$11="AI",Assumptions!$D$24,Assumptions!$D$25)))),AND(Nonlabor!$H$11="Annual",MOD(C1674-IF(Nonlabor!$E$11="Core",Nonlabor!$F$11,MAX(Nonlabor!$F$11,IF(Nonlabor!$E$11="AI",Assumptions!$D$24,Assumptions!$D$25))),12)=0))),IF(Nonlabor!$I$11="Fixed",1,IF(Nonlabor!$I$11="Seats",ROUNDUP('Monthly Base'!I54,0),IF(Nonlabor!$I$11="Customers",'Monthly Base'!D54,IF(Nonlabor!$I$11="NewCustomers",'Monthly Base'!C54,IF(Nonlabor!$I$11="StorageGB",'Monthly Base'!G54,IF(Nonlabor!$I$11="LogGB",'Monthly Base'!H54,IF(Nonlabor!$I$11="RequestsM",'Monthly Base'!F54,IF(Nonlabor!$I$11="InputM",'Monthly Base'!D54*Assumptions!$D$22/1000000,IF(Nonlabor!$I$11="OutputM",'Monthly Base'!D54*Assumptions!$D$23/1000000,0))))))))),0)</f>
        <v>52.4749467182123</v>
      </c>
      <c r="F1674" s="10" t="n">
        <f aca="false">Nonlabor!$J$11*(1+Assumptions!$D$9)^INT((C1674-1)/12)</f>
        <v>5.62754405</v>
      </c>
      <c r="G1674" s="10" t="n">
        <f aca="false">E1674*F1674</f>
        <v>295.305074178143</v>
      </c>
      <c r="H1674" s="10" t="n">
        <f aca="false">IF(OR(Nonlabor!$L$11="Quote required",Nonlabor!$L$11="Unverified"),G1674,0)</f>
        <v>0</v>
      </c>
      <c r="I1674" s="10" t="n">
        <f aca="false">IF(Nonlabor!$E$11="Core",0,G1674)</f>
        <v>0</v>
      </c>
      <c r="J1674" s="23" t="str">
        <f aca="false">Nonlabor!$B$11</f>
        <v>INFRA</v>
      </c>
    </row>
    <row r="1675" customFormat="false" ht="15" hidden="false" customHeight="false" outlineLevel="0" collapsed="false">
      <c r="A1675" s="6" t="s">
        <v>4</v>
      </c>
      <c r="B1675" s="6" t="s">
        <v>387</v>
      </c>
      <c r="C1675" s="6" t="n">
        <v>50</v>
      </c>
      <c r="D1675" s="25" t="n">
        <f aca="false">EDATE('Start Here'!$B$6,C1675-1)</f>
        <v>47818</v>
      </c>
      <c r="E1675" s="11" t="n">
        <f aca="false">IF(AND(OR(Nonlabor!$D$11="Both",Nonlabor!$D$11='Start Here'!$B$9),IF(Nonlabor!$E$11="Core",1,IF(Nonlabor!$E$11="AI",'Start Here'!$B$7,'Start Here'!$B$8))=1,C1675&gt;=IF(Nonlabor!$E$11="Core",Nonlabor!$F$11,MAX(Nonlabor!$F$11,IF(Nonlabor!$E$11="AI",Assumptions!$D$24,Assumptions!$D$25))),C1675&lt;=Nonlabor!$G$11,OR(Nonlabor!$H$11="Monthly",AND(Nonlabor!$H$11="Once",C1675=IF(Nonlabor!$E$11="Core",Nonlabor!$F$11,MAX(Nonlabor!$F$11,IF(Nonlabor!$E$11="AI",Assumptions!$D$24,Assumptions!$D$25)))),AND(Nonlabor!$H$11="Annual",MOD(C1675-IF(Nonlabor!$E$11="Core",Nonlabor!$F$11,MAX(Nonlabor!$F$11,IF(Nonlabor!$E$11="AI",Assumptions!$D$24,Assumptions!$D$25))),12)=0))),IF(Nonlabor!$I$11="Fixed",1,IF(Nonlabor!$I$11="Seats",ROUNDUP('Monthly Base'!I55,0),IF(Nonlabor!$I$11="Customers",'Monthly Base'!D55,IF(Nonlabor!$I$11="NewCustomers",'Monthly Base'!C55,IF(Nonlabor!$I$11="StorageGB",'Monthly Base'!G55,IF(Nonlabor!$I$11="LogGB",'Monthly Base'!H55,IF(Nonlabor!$I$11="RequestsM",'Monthly Base'!F55,IF(Nonlabor!$I$11="InputM",'Monthly Base'!D55*Assumptions!$D$22/1000000,IF(Nonlabor!$I$11="OutputM",'Monthly Base'!D55*Assumptions!$D$23/1000000,0))))))))),0)</f>
        <v>55.3251972510301</v>
      </c>
      <c r="F1675" s="10" t="n">
        <f aca="false">Nonlabor!$J$11*(1+Assumptions!$D$9)^INT((C1675-1)/12)</f>
        <v>5.62754405</v>
      </c>
      <c r="G1675" s="10" t="n">
        <f aca="false">E1675*F1675</f>
        <v>311.344984605111</v>
      </c>
      <c r="H1675" s="10" t="n">
        <f aca="false">IF(OR(Nonlabor!$L$11="Quote required",Nonlabor!$L$11="Unverified"),G1675,0)</f>
        <v>0</v>
      </c>
      <c r="I1675" s="10" t="n">
        <f aca="false">IF(Nonlabor!$E$11="Core",0,G1675)</f>
        <v>0</v>
      </c>
      <c r="J1675" s="23" t="str">
        <f aca="false">Nonlabor!$B$11</f>
        <v>INFRA</v>
      </c>
    </row>
    <row r="1676" customFormat="false" ht="15" hidden="false" customHeight="false" outlineLevel="0" collapsed="false">
      <c r="A1676" s="6" t="s">
        <v>4</v>
      </c>
      <c r="B1676" s="6" t="s">
        <v>387</v>
      </c>
      <c r="C1676" s="6" t="n">
        <v>51</v>
      </c>
      <c r="D1676" s="25" t="n">
        <f aca="false">EDATE('Start Here'!$B$6,C1676-1)</f>
        <v>47849</v>
      </c>
      <c r="E1676" s="11" t="n">
        <f aca="false">IF(AND(OR(Nonlabor!$D$11="Both",Nonlabor!$D$11='Start Here'!$B$9),IF(Nonlabor!$E$11="Core",1,IF(Nonlabor!$E$11="AI",'Start Here'!$B$7,'Start Here'!$B$8))=1,C1676&gt;=IF(Nonlabor!$E$11="Core",Nonlabor!$F$11,MAX(Nonlabor!$F$11,IF(Nonlabor!$E$11="AI",Assumptions!$D$24,Assumptions!$D$25))),C1676&lt;=Nonlabor!$G$11,OR(Nonlabor!$H$11="Monthly",AND(Nonlabor!$H$11="Once",C1676=IF(Nonlabor!$E$11="Core",Nonlabor!$F$11,MAX(Nonlabor!$F$11,IF(Nonlabor!$E$11="AI",Assumptions!$D$24,Assumptions!$D$25)))),AND(Nonlabor!$H$11="Annual",MOD(C1676-IF(Nonlabor!$E$11="Core",Nonlabor!$F$11,MAX(Nonlabor!$F$11,IF(Nonlabor!$E$11="AI",Assumptions!$D$24,Assumptions!$D$25))),12)=0))),IF(Nonlabor!$I$11="Fixed",1,IF(Nonlabor!$I$11="Seats",ROUNDUP('Monthly Base'!I56,0),IF(Nonlabor!$I$11="Customers",'Monthly Base'!D56,IF(Nonlabor!$I$11="NewCustomers",'Monthly Base'!C56,IF(Nonlabor!$I$11="StorageGB",'Monthly Base'!G56,IF(Nonlabor!$I$11="LogGB",'Monthly Base'!H56,IF(Nonlabor!$I$11="RequestsM",'Monthly Base'!F56,IF(Nonlabor!$I$11="InputM",'Monthly Base'!D56*Assumptions!$D$22/1000000,IF(Nonlabor!$I$11="OutputM",'Monthly Base'!D56*Assumptions!$D$23/1000000,0))))))))),0)</f>
        <v>58.1469452785198</v>
      </c>
      <c r="F1676" s="10" t="n">
        <f aca="false">Nonlabor!$J$11*(1+Assumptions!$D$9)^INT((C1676-1)/12)</f>
        <v>5.62754405</v>
      </c>
      <c r="G1676" s="10" t="n">
        <f aca="false">E1676*F1676</f>
        <v>327.22449592781</v>
      </c>
      <c r="H1676" s="10" t="n">
        <f aca="false">IF(OR(Nonlabor!$L$11="Quote required",Nonlabor!$L$11="Unverified"),G1676,0)</f>
        <v>0</v>
      </c>
      <c r="I1676" s="10" t="n">
        <f aca="false">IF(Nonlabor!$E$11="Core",0,G1676)</f>
        <v>0</v>
      </c>
      <c r="J1676" s="23" t="str">
        <f aca="false">Nonlabor!$B$11</f>
        <v>INFRA</v>
      </c>
    </row>
    <row r="1677" customFormat="false" ht="15" hidden="false" customHeight="false" outlineLevel="0" collapsed="false">
      <c r="A1677" s="6" t="s">
        <v>4</v>
      </c>
      <c r="B1677" s="6" t="s">
        <v>387</v>
      </c>
      <c r="C1677" s="6" t="n">
        <v>52</v>
      </c>
      <c r="D1677" s="25" t="n">
        <f aca="false">EDATE('Start Here'!$B$6,C1677-1)</f>
        <v>47880</v>
      </c>
      <c r="E1677" s="11" t="n">
        <f aca="false">IF(AND(OR(Nonlabor!$D$11="Both",Nonlabor!$D$11='Start Here'!$B$9),IF(Nonlabor!$E$11="Core",1,IF(Nonlabor!$E$11="AI",'Start Here'!$B$7,'Start Here'!$B$8))=1,C1677&gt;=IF(Nonlabor!$E$11="Core",Nonlabor!$F$11,MAX(Nonlabor!$F$11,IF(Nonlabor!$E$11="AI",Assumptions!$D$24,Assumptions!$D$25))),C1677&lt;=Nonlabor!$G$11,OR(Nonlabor!$H$11="Monthly",AND(Nonlabor!$H$11="Once",C1677=IF(Nonlabor!$E$11="Core",Nonlabor!$F$11,MAX(Nonlabor!$F$11,IF(Nonlabor!$E$11="AI",Assumptions!$D$24,Assumptions!$D$25)))),AND(Nonlabor!$H$11="Annual",MOD(C1677-IF(Nonlabor!$E$11="Core",Nonlabor!$F$11,MAX(Nonlabor!$F$11,IF(Nonlabor!$E$11="AI",Assumptions!$D$24,Assumptions!$D$25))),12)=0))),IF(Nonlabor!$I$11="Fixed",1,IF(Nonlabor!$I$11="Seats",ROUNDUP('Monthly Base'!I57,0),IF(Nonlabor!$I$11="Customers",'Monthly Base'!D57,IF(Nonlabor!$I$11="NewCustomers",'Monthly Base'!C57,IF(Nonlabor!$I$11="StorageGB",'Monthly Base'!G57,IF(Nonlabor!$I$11="LogGB",'Monthly Base'!H57,IF(Nonlabor!$I$11="RequestsM",'Monthly Base'!F57,IF(Nonlabor!$I$11="InputM",'Monthly Base'!D57*Assumptions!$D$22/1000000,IF(Nonlabor!$I$11="OutputM",'Monthly Base'!D57*Assumptions!$D$23/1000000,0))))))))),0)</f>
        <v>60.9404758257346</v>
      </c>
      <c r="F1677" s="10" t="n">
        <f aca="false">Nonlabor!$J$11*(1+Assumptions!$D$9)^INT((C1677-1)/12)</f>
        <v>5.62754405</v>
      </c>
      <c r="G1677" s="10" t="n">
        <f aca="false">E1677*F1677</f>
        <v>342.945212137282</v>
      </c>
      <c r="H1677" s="10" t="n">
        <f aca="false">IF(OR(Nonlabor!$L$11="Quote required",Nonlabor!$L$11="Unverified"),G1677,0)</f>
        <v>0</v>
      </c>
      <c r="I1677" s="10" t="n">
        <f aca="false">IF(Nonlabor!$E$11="Core",0,G1677)</f>
        <v>0</v>
      </c>
      <c r="J1677" s="23" t="str">
        <f aca="false">Nonlabor!$B$11</f>
        <v>INFRA</v>
      </c>
    </row>
    <row r="1678" customFormat="false" ht="15" hidden="false" customHeight="false" outlineLevel="0" collapsed="false">
      <c r="A1678" s="6" t="s">
        <v>4</v>
      </c>
      <c r="B1678" s="6" t="s">
        <v>387</v>
      </c>
      <c r="C1678" s="6" t="n">
        <v>53</v>
      </c>
      <c r="D1678" s="25" t="n">
        <f aca="false">EDATE('Start Here'!$B$6,C1678-1)</f>
        <v>47908</v>
      </c>
      <c r="E1678" s="11" t="n">
        <f aca="false">IF(AND(OR(Nonlabor!$D$11="Both",Nonlabor!$D$11='Start Here'!$B$9),IF(Nonlabor!$E$11="Core",1,IF(Nonlabor!$E$11="AI",'Start Here'!$B$7,'Start Here'!$B$8))=1,C1678&gt;=IF(Nonlabor!$E$11="Core",Nonlabor!$F$11,MAX(Nonlabor!$F$11,IF(Nonlabor!$E$11="AI",Assumptions!$D$24,Assumptions!$D$25))),C1678&lt;=Nonlabor!$G$11,OR(Nonlabor!$H$11="Monthly",AND(Nonlabor!$H$11="Once",C1678=IF(Nonlabor!$E$11="Core",Nonlabor!$F$11,MAX(Nonlabor!$F$11,IF(Nonlabor!$E$11="AI",Assumptions!$D$24,Assumptions!$D$25)))),AND(Nonlabor!$H$11="Annual",MOD(C1678-IF(Nonlabor!$E$11="Core",Nonlabor!$F$11,MAX(Nonlabor!$F$11,IF(Nonlabor!$E$11="AI",Assumptions!$D$24,Assumptions!$D$25))),12)=0))),IF(Nonlabor!$I$11="Fixed",1,IF(Nonlabor!$I$11="Seats",ROUNDUP('Monthly Base'!I58,0),IF(Nonlabor!$I$11="Customers",'Monthly Base'!D58,IF(Nonlabor!$I$11="NewCustomers",'Monthly Base'!C58,IF(Nonlabor!$I$11="StorageGB",'Monthly Base'!G58,IF(Nonlabor!$I$11="LogGB",'Monthly Base'!H58,IF(Nonlabor!$I$11="RequestsM",'Monthly Base'!F58,IF(Nonlabor!$I$11="InputM",'Monthly Base'!D58*Assumptions!$D$22/1000000,IF(Nonlabor!$I$11="OutputM",'Monthly Base'!D58*Assumptions!$D$23/1000000,0))))))))),0)</f>
        <v>63.7060710674773</v>
      </c>
      <c r="F1678" s="10" t="n">
        <f aca="false">Nonlabor!$J$11*(1+Assumptions!$D$9)^INT((C1678-1)/12)</f>
        <v>5.62754405</v>
      </c>
      <c r="G1678" s="10" t="n">
        <f aca="false">E1678*F1678</f>
        <v>358.508721184659</v>
      </c>
      <c r="H1678" s="10" t="n">
        <f aca="false">IF(OR(Nonlabor!$L$11="Quote required",Nonlabor!$L$11="Unverified"),G1678,0)</f>
        <v>0</v>
      </c>
      <c r="I1678" s="10" t="n">
        <f aca="false">IF(Nonlabor!$E$11="Core",0,G1678)</f>
        <v>0</v>
      </c>
      <c r="J1678" s="23" t="str">
        <f aca="false">Nonlabor!$B$11</f>
        <v>INFRA</v>
      </c>
    </row>
    <row r="1679" customFormat="false" ht="15" hidden="false" customHeight="false" outlineLevel="0" collapsed="false">
      <c r="A1679" s="6" t="s">
        <v>4</v>
      </c>
      <c r="B1679" s="6" t="s">
        <v>387</v>
      </c>
      <c r="C1679" s="6" t="n">
        <v>54</v>
      </c>
      <c r="D1679" s="25" t="n">
        <f aca="false">EDATE('Start Here'!$B$6,C1679-1)</f>
        <v>47939</v>
      </c>
      <c r="E1679" s="11" t="n">
        <f aca="false">IF(AND(OR(Nonlabor!$D$11="Both",Nonlabor!$D$11='Start Here'!$B$9),IF(Nonlabor!$E$11="Core",1,IF(Nonlabor!$E$11="AI",'Start Here'!$B$7,'Start Here'!$B$8))=1,C1679&gt;=IF(Nonlabor!$E$11="Core",Nonlabor!$F$11,MAX(Nonlabor!$F$11,IF(Nonlabor!$E$11="AI",Assumptions!$D$24,Assumptions!$D$25))),C1679&lt;=Nonlabor!$G$11,OR(Nonlabor!$H$11="Monthly",AND(Nonlabor!$H$11="Once",C1679=IF(Nonlabor!$E$11="Core",Nonlabor!$F$11,MAX(Nonlabor!$F$11,IF(Nonlabor!$E$11="AI",Assumptions!$D$24,Assumptions!$D$25)))),AND(Nonlabor!$H$11="Annual",MOD(C1679-IF(Nonlabor!$E$11="Core",Nonlabor!$F$11,MAX(Nonlabor!$F$11,IF(Nonlabor!$E$11="AI",Assumptions!$D$24,Assumptions!$D$25))),12)=0))),IF(Nonlabor!$I$11="Fixed",1,IF(Nonlabor!$I$11="Seats",ROUNDUP('Monthly Base'!I59,0),IF(Nonlabor!$I$11="Customers",'Monthly Base'!D59,IF(Nonlabor!$I$11="NewCustomers",'Monthly Base'!C59,IF(Nonlabor!$I$11="StorageGB",'Monthly Base'!G59,IF(Nonlabor!$I$11="LogGB",'Monthly Base'!H59,IF(Nonlabor!$I$11="RequestsM",'Monthly Base'!F59,IF(Nonlabor!$I$11="InputM",'Monthly Base'!D59*Assumptions!$D$22/1000000,IF(Nonlabor!$I$11="OutputM",'Monthly Base'!D59*Assumptions!$D$23/1000000,0))))))))),0)</f>
        <v>66.4440103568025</v>
      </c>
      <c r="F1679" s="10" t="n">
        <f aca="false">Nonlabor!$J$11*(1+Assumptions!$D$9)^INT((C1679-1)/12)</f>
        <v>5.62754405</v>
      </c>
      <c r="G1679" s="10" t="n">
        <f aca="false">E1679*F1679</f>
        <v>373.916595141562</v>
      </c>
      <c r="H1679" s="10" t="n">
        <f aca="false">IF(OR(Nonlabor!$L$11="Quote required",Nonlabor!$L$11="Unverified"),G1679,0)</f>
        <v>0</v>
      </c>
      <c r="I1679" s="10" t="n">
        <f aca="false">IF(Nonlabor!$E$11="Core",0,G1679)</f>
        <v>0</v>
      </c>
      <c r="J1679" s="23" t="str">
        <f aca="false">Nonlabor!$B$11</f>
        <v>INFRA</v>
      </c>
    </row>
    <row r="1680" customFormat="false" ht="15" hidden="false" customHeight="false" outlineLevel="0" collapsed="false">
      <c r="A1680" s="6" t="s">
        <v>4</v>
      </c>
      <c r="B1680" s="6" t="s">
        <v>387</v>
      </c>
      <c r="C1680" s="6" t="n">
        <v>55</v>
      </c>
      <c r="D1680" s="25" t="n">
        <f aca="false">EDATE('Start Here'!$B$6,C1680-1)</f>
        <v>47969</v>
      </c>
      <c r="E1680" s="11" t="n">
        <f aca="false">IF(AND(OR(Nonlabor!$D$11="Both",Nonlabor!$D$11='Start Here'!$B$9),IF(Nonlabor!$E$11="Core",1,IF(Nonlabor!$E$11="AI",'Start Here'!$B$7,'Start Here'!$B$8))=1,C1680&gt;=IF(Nonlabor!$E$11="Core",Nonlabor!$F$11,MAX(Nonlabor!$F$11,IF(Nonlabor!$E$11="AI",Assumptions!$D$24,Assumptions!$D$25))),C1680&lt;=Nonlabor!$G$11,OR(Nonlabor!$H$11="Monthly",AND(Nonlabor!$H$11="Once",C1680=IF(Nonlabor!$E$11="Core",Nonlabor!$F$11,MAX(Nonlabor!$F$11,IF(Nonlabor!$E$11="AI",Assumptions!$D$24,Assumptions!$D$25)))),AND(Nonlabor!$H$11="Annual",MOD(C1680-IF(Nonlabor!$E$11="Core",Nonlabor!$F$11,MAX(Nonlabor!$F$11,IF(Nonlabor!$E$11="AI",Assumptions!$D$24,Assumptions!$D$25))),12)=0))),IF(Nonlabor!$I$11="Fixed",1,IF(Nonlabor!$I$11="Seats",ROUNDUP('Monthly Base'!I60,0),IF(Nonlabor!$I$11="Customers",'Monthly Base'!D60,IF(Nonlabor!$I$11="NewCustomers",'Monthly Base'!C60,IF(Nonlabor!$I$11="StorageGB",'Monthly Base'!G60,IF(Nonlabor!$I$11="LogGB",'Monthly Base'!H60,IF(Nonlabor!$I$11="RequestsM",'Monthly Base'!F60,IF(Nonlabor!$I$11="InputM",'Monthly Base'!D60*Assumptions!$D$22/1000000,IF(Nonlabor!$I$11="OutputM",'Monthly Base'!D60*Assumptions!$D$23/1000000,0))))))))),0)</f>
        <v>69.1545702532345</v>
      </c>
      <c r="F1680" s="10" t="n">
        <f aca="false">Nonlabor!$J$11*(1+Assumptions!$D$9)^INT((C1680-1)/12)</f>
        <v>5.62754405</v>
      </c>
      <c r="G1680" s="10" t="n">
        <f aca="false">E1680*F1680</f>
        <v>389.170390358897</v>
      </c>
      <c r="H1680" s="10" t="n">
        <f aca="false">IF(OR(Nonlabor!$L$11="Quote required",Nonlabor!$L$11="Unverified"),G1680,0)</f>
        <v>0</v>
      </c>
      <c r="I1680" s="10" t="n">
        <f aca="false">IF(Nonlabor!$E$11="Core",0,G1680)</f>
        <v>0</v>
      </c>
      <c r="J1680" s="23" t="str">
        <f aca="false">Nonlabor!$B$11</f>
        <v>INFRA</v>
      </c>
    </row>
    <row r="1681" customFormat="false" ht="15" hidden="false" customHeight="false" outlineLevel="0" collapsed="false">
      <c r="A1681" s="6" t="s">
        <v>4</v>
      </c>
      <c r="B1681" s="6" t="s">
        <v>387</v>
      </c>
      <c r="C1681" s="6" t="n">
        <v>56</v>
      </c>
      <c r="D1681" s="25" t="n">
        <f aca="false">EDATE('Start Here'!$B$6,C1681-1)</f>
        <v>48000</v>
      </c>
      <c r="E1681" s="11" t="n">
        <f aca="false">IF(AND(OR(Nonlabor!$D$11="Both",Nonlabor!$D$11='Start Here'!$B$9),IF(Nonlabor!$E$11="Core",1,IF(Nonlabor!$E$11="AI",'Start Here'!$B$7,'Start Here'!$B$8))=1,C1681&gt;=IF(Nonlabor!$E$11="Core",Nonlabor!$F$11,MAX(Nonlabor!$F$11,IF(Nonlabor!$E$11="AI",Assumptions!$D$24,Assumptions!$D$25))),C1681&lt;=Nonlabor!$G$11,OR(Nonlabor!$H$11="Monthly",AND(Nonlabor!$H$11="Once",C1681=IF(Nonlabor!$E$11="Core",Nonlabor!$F$11,MAX(Nonlabor!$F$11,IF(Nonlabor!$E$11="AI",Assumptions!$D$24,Assumptions!$D$25)))),AND(Nonlabor!$H$11="Annual",MOD(C1681-IF(Nonlabor!$E$11="Core",Nonlabor!$F$11,MAX(Nonlabor!$F$11,IF(Nonlabor!$E$11="AI",Assumptions!$D$24,Assumptions!$D$25))),12)=0))),IF(Nonlabor!$I$11="Fixed",1,IF(Nonlabor!$I$11="Seats",ROUNDUP('Monthly Base'!I61,0),IF(Nonlabor!$I$11="Customers",'Monthly Base'!D61,IF(Nonlabor!$I$11="NewCustomers",'Monthly Base'!C61,IF(Nonlabor!$I$11="StorageGB",'Monthly Base'!G61,IF(Nonlabor!$I$11="LogGB",'Monthly Base'!H61,IF(Nonlabor!$I$11="RequestsM",'Monthly Base'!F61,IF(Nonlabor!$I$11="InputM",'Monthly Base'!D61*Assumptions!$D$22/1000000,IF(Nonlabor!$I$11="OutputM",'Monthly Base'!D61*Assumptions!$D$23/1000000,0))))))))),0)</f>
        <v>71.8380245507021</v>
      </c>
      <c r="F1681" s="10" t="n">
        <f aca="false">Nonlabor!$J$11*(1+Assumptions!$D$9)^INT((C1681-1)/12)</f>
        <v>5.62754405</v>
      </c>
      <c r="G1681" s="10" t="n">
        <f aca="false">E1681*F1681</f>
        <v>404.271647624058</v>
      </c>
      <c r="H1681" s="10" t="n">
        <f aca="false">IF(OR(Nonlabor!$L$11="Quote required",Nonlabor!$L$11="Unverified"),G1681,0)</f>
        <v>0</v>
      </c>
      <c r="I1681" s="10" t="n">
        <f aca="false">IF(Nonlabor!$E$11="Core",0,G1681)</f>
        <v>0</v>
      </c>
      <c r="J1681" s="23" t="str">
        <f aca="false">Nonlabor!$B$11</f>
        <v>INFRA</v>
      </c>
    </row>
    <row r="1682" customFormat="false" ht="15" hidden="false" customHeight="false" outlineLevel="0" collapsed="false">
      <c r="A1682" s="6" t="s">
        <v>4</v>
      </c>
      <c r="B1682" s="6" t="s">
        <v>387</v>
      </c>
      <c r="C1682" s="6" t="n">
        <v>57</v>
      </c>
      <c r="D1682" s="25" t="n">
        <f aca="false">EDATE('Start Here'!$B$6,C1682-1)</f>
        <v>48030</v>
      </c>
      <c r="E1682" s="11" t="n">
        <f aca="false">IF(AND(OR(Nonlabor!$D$11="Both",Nonlabor!$D$11='Start Here'!$B$9),IF(Nonlabor!$E$11="Core",1,IF(Nonlabor!$E$11="AI",'Start Here'!$B$7,'Start Here'!$B$8))=1,C1682&gt;=IF(Nonlabor!$E$11="Core",Nonlabor!$F$11,MAX(Nonlabor!$F$11,IF(Nonlabor!$E$11="AI",Assumptions!$D$24,Assumptions!$D$25))),C1682&lt;=Nonlabor!$G$11,OR(Nonlabor!$H$11="Monthly",AND(Nonlabor!$H$11="Once",C1682=IF(Nonlabor!$E$11="Core",Nonlabor!$F$11,MAX(Nonlabor!$F$11,IF(Nonlabor!$E$11="AI",Assumptions!$D$24,Assumptions!$D$25)))),AND(Nonlabor!$H$11="Annual",MOD(C1682-IF(Nonlabor!$E$11="Core",Nonlabor!$F$11,MAX(Nonlabor!$F$11,IF(Nonlabor!$E$11="AI",Assumptions!$D$24,Assumptions!$D$25))),12)=0))),IF(Nonlabor!$I$11="Fixed",1,IF(Nonlabor!$I$11="Seats",ROUNDUP('Monthly Base'!I62,0),IF(Nonlabor!$I$11="Customers",'Monthly Base'!D62,IF(Nonlabor!$I$11="NewCustomers",'Monthly Base'!C62,IF(Nonlabor!$I$11="StorageGB",'Monthly Base'!G62,IF(Nonlabor!$I$11="LogGB",'Monthly Base'!H62,IF(Nonlabor!$I$11="RequestsM",'Monthly Base'!F62,IF(Nonlabor!$I$11="InputM",'Monthly Base'!D62*Assumptions!$D$22/1000000,IF(Nonlabor!$I$11="OutputM",'Monthly Base'!D62*Assumptions!$D$23/1000000,0))))))))),0)</f>
        <v>74.4946443051951</v>
      </c>
      <c r="F1682" s="10" t="n">
        <f aca="false">Nonlabor!$J$11*(1+Assumptions!$D$9)^INT((C1682-1)/12)</f>
        <v>5.62754405</v>
      </c>
      <c r="G1682" s="10" t="n">
        <f aca="false">E1682*F1682</f>
        <v>419.221892316567</v>
      </c>
      <c r="H1682" s="10" t="n">
        <f aca="false">IF(OR(Nonlabor!$L$11="Quote required",Nonlabor!$L$11="Unverified"),G1682,0)</f>
        <v>0</v>
      </c>
      <c r="I1682" s="10" t="n">
        <f aca="false">IF(Nonlabor!$E$11="Core",0,G1682)</f>
        <v>0</v>
      </c>
      <c r="J1682" s="23" t="str">
        <f aca="false">Nonlabor!$B$11</f>
        <v>INFRA</v>
      </c>
    </row>
    <row r="1683" customFormat="false" ht="15" hidden="false" customHeight="false" outlineLevel="0" collapsed="false">
      <c r="A1683" s="6" t="s">
        <v>4</v>
      </c>
      <c r="B1683" s="6" t="s">
        <v>387</v>
      </c>
      <c r="C1683" s="6" t="n">
        <v>58</v>
      </c>
      <c r="D1683" s="25" t="n">
        <f aca="false">EDATE('Start Here'!$B$6,C1683-1)</f>
        <v>48061</v>
      </c>
      <c r="E1683" s="11" t="n">
        <f aca="false">IF(AND(OR(Nonlabor!$D$11="Both",Nonlabor!$D$11='Start Here'!$B$9),IF(Nonlabor!$E$11="Core",1,IF(Nonlabor!$E$11="AI",'Start Here'!$B$7,'Start Here'!$B$8))=1,C1683&gt;=IF(Nonlabor!$E$11="Core",Nonlabor!$F$11,MAX(Nonlabor!$F$11,IF(Nonlabor!$E$11="AI",Assumptions!$D$24,Assumptions!$D$25))),C1683&lt;=Nonlabor!$G$11,OR(Nonlabor!$H$11="Monthly",AND(Nonlabor!$H$11="Once",C1683=IF(Nonlabor!$E$11="Core",Nonlabor!$F$11,MAX(Nonlabor!$F$11,IF(Nonlabor!$E$11="AI",Assumptions!$D$24,Assumptions!$D$25)))),AND(Nonlabor!$H$11="Annual",MOD(C1683-IF(Nonlabor!$E$11="Core",Nonlabor!$F$11,MAX(Nonlabor!$F$11,IF(Nonlabor!$E$11="AI",Assumptions!$D$24,Assumptions!$D$25))),12)=0))),IF(Nonlabor!$I$11="Fixed",1,IF(Nonlabor!$I$11="Seats",ROUNDUP('Monthly Base'!I63,0),IF(Nonlabor!$I$11="Customers",'Monthly Base'!D63,IF(Nonlabor!$I$11="NewCustomers",'Monthly Base'!C63,IF(Nonlabor!$I$11="StorageGB",'Monthly Base'!G63,IF(Nonlabor!$I$11="LogGB",'Monthly Base'!H63,IF(Nonlabor!$I$11="RequestsM",'Monthly Base'!F63,IF(Nonlabor!$I$11="InputM",'Monthly Base'!D63*Assumptions!$D$22/1000000,IF(Nonlabor!$I$11="OutputM",'Monthly Base'!D63*Assumptions!$D$23/1000000,0))))))))),0)</f>
        <v>77.1246978621432</v>
      </c>
      <c r="F1683" s="10" t="n">
        <f aca="false">Nonlabor!$J$11*(1+Assumptions!$D$9)^INT((C1683-1)/12)</f>
        <v>5.62754405</v>
      </c>
      <c r="G1683" s="10" t="n">
        <f aca="false">E1683*F1683</f>
        <v>434.022634562152</v>
      </c>
      <c r="H1683" s="10" t="n">
        <f aca="false">IF(OR(Nonlabor!$L$11="Quote required",Nonlabor!$L$11="Unverified"),G1683,0)</f>
        <v>0</v>
      </c>
      <c r="I1683" s="10" t="n">
        <f aca="false">IF(Nonlabor!$E$11="Core",0,G1683)</f>
        <v>0</v>
      </c>
      <c r="J1683" s="23" t="str">
        <f aca="false">Nonlabor!$B$11</f>
        <v>INFRA</v>
      </c>
    </row>
    <row r="1684" customFormat="false" ht="15" hidden="false" customHeight="false" outlineLevel="0" collapsed="false">
      <c r="A1684" s="6" t="s">
        <v>4</v>
      </c>
      <c r="B1684" s="6" t="s">
        <v>387</v>
      </c>
      <c r="C1684" s="6" t="n">
        <v>59</v>
      </c>
      <c r="D1684" s="25" t="n">
        <f aca="false">EDATE('Start Here'!$B$6,C1684-1)</f>
        <v>48092</v>
      </c>
      <c r="E1684" s="11" t="n">
        <f aca="false">IF(AND(OR(Nonlabor!$D$11="Both",Nonlabor!$D$11='Start Here'!$B$9),IF(Nonlabor!$E$11="Core",1,IF(Nonlabor!$E$11="AI",'Start Here'!$B$7,'Start Here'!$B$8))=1,C1684&gt;=IF(Nonlabor!$E$11="Core",Nonlabor!$F$11,MAX(Nonlabor!$F$11,IF(Nonlabor!$E$11="AI",Assumptions!$D$24,Assumptions!$D$25))),C1684&lt;=Nonlabor!$G$11,OR(Nonlabor!$H$11="Monthly",AND(Nonlabor!$H$11="Once",C1684=IF(Nonlabor!$E$11="Core",Nonlabor!$F$11,MAX(Nonlabor!$F$11,IF(Nonlabor!$E$11="AI",Assumptions!$D$24,Assumptions!$D$25)))),AND(Nonlabor!$H$11="Annual",MOD(C1684-IF(Nonlabor!$E$11="Core",Nonlabor!$F$11,MAX(Nonlabor!$F$11,IF(Nonlabor!$E$11="AI",Assumptions!$D$24,Assumptions!$D$25))),12)=0))),IF(Nonlabor!$I$11="Fixed",1,IF(Nonlabor!$I$11="Seats",ROUNDUP('Monthly Base'!I64,0),IF(Nonlabor!$I$11="Customers",'Monthly Base'!D64,IF(Nonlabor!$I$11="NewCustomers",'Monthly Base'!C64,IF(Nonlabor!$I$11="StorageGB",'Monthly Base'!G64,IF(Nonlabor!$I$11="LogGB",'Monthly Base'!H64,IF(Nonlabor!$I$11="RequestsM",'Monthly Base'!F64,IF(Nonlabor!$I$11="InputM",'Monthly Base'!D64*Assumptions!$D$22/1000000,IF(Nonlabor!$I$11="OutputM",'Monthly Base'!D64*Assumptions!$D$23/1000000,0))))))))),0)</f>
        <v>79.7284508835217</v>
      </c>
      <c r="F1684" s="10" t="n">
        <f aca="false">Nonlabor!$J$11*(1+Assumptions!$D$9)^INT((C1684-1)/12)</f>
        <v>5.62754405</v>
      </c>
      <c r="G1684" s="10" t="n">
        <f aca="false">E1684*F1684</f>
        <v>448.67536938528</v>
      </c>
      <c r="H1684" s="10" t="n">
        <f aca="false">IF(OR(Nonlabor!$L$11="Quote required",Nonlabor!$L$11="Unverified"),G1684,0)</f>
        <v>0</v>
      </c>
      <c r="I1684" s="10" t="n">
        <f aca="false">IF(Nonlabor!$E$11="Core",0,G1684)</f>
        <v>0</v>
      </c>
      <c r="J1684" s="23" t="str">
        <f aca="false">Nonlabor!$B$11</f>
        <v>INFRA</v>
      </c>
    </row>
    <row r="1685" customFormat="false" ht="15" hidden="false" customHeight="false" outlineLevel="0" collapsed="false">
      <c r="A1685" s="6" t="s">
        <v>4</v>
      </c>
      <c r="B1685" s="6" t="s">
        <v>387</v>
      </c>
      <c r="C1685" s="6" t="n">
        <v>60</v>
      </c>
      <c r="D1685" s="25" t="n">
        <f aca="false">EDATE('Start Here'!$B$6,C1685-1)</f>
        <v>48122</v>
      </c>
      <c r="E1685" s="11" t="n">
        <f aca="false">IF(AND(OR(Nonlabor!$D$11="Both",Nonlabor!$D$11='Start Here'!$B$9),IF(Nonlabor!$E$11="Core",1,IF(Nonlabor!$E$11="AI",'Start Here'!$B$7,'Start Here'!$B$8))=1,C1685&gt;=IF(Nonlabor!$E$11="Core",Nonlabor!$F$11,MAX(Nonlabor!$F$11,IF(Nonlabor!$E$11="AI",Assumptions!$D$24,Assumptions!$D$25))),C1685&lt;=Nonlabor!$G$11,OR(Nonlabor!$H$11="Monthly",AND(Nonlabor!$H$11="Once",C1685=IF(Nonlabor!$E$11="Core",Nonlabor!$F$11,MAX(Nonlabor!$F$11,IF(Nonlabor!$E$11="AI",Assumptions!$D$24,Assumptions!$D$25)))),AND(Nonlabor!$H$11="Annual",MOD(C1685-IF(Nonlabor!$E$11="Core",Nonlabor!$F$11,MAX(Nonlabor!$F$11,IF(Nonlabor!$E$11="AI",Assumptions!$D$24,Assumptions!$D$25))),12)=0))),IF(Nonlabor!$I$11="Fixed",1,IF(Nonlabor!$I$11="Seats",ROUNDUP('Monthly Base'!I65,0),IF(Nonlabor!$I$11="Customers",'Monthly Base'!D65,IF(Nonlabor!$I$11="NewCustomers",'Monthly Base'!C65,IF(Nonlabor!$I$11="StorageGB",'Monthly Base'!G65,IF(Nonlabor!$I$11="LogGB",'Monthly Base'!H65,IF(Nonlabor!$I$11="RequestsM",'Monthly Base'!F65,IF(Nonlabor!$I$11="InputM",'Monthly Base'!D65*Assumptions!$D$22/1000000,IF(Nonlabor!$I$11="OutputM",'Monthly Base'!D65*Assumptions!$D$23/1000000,0))))))))),0)</f>
        <v>82.3061663746865</v>
      </c>
      <c r="F1685" s="10" t="n">
        <f aca="false">Nonlabor!$J$11*(1+Assumptions!$D$9)^INT((C1685-1)/12)</f>
        <v>5.62754405</v>
      </c>
      <c r="G1685" s="10" t="n">
        <f aca="false">E1685*F1685</f>
        <v>463.181576860177</v>
      </c>
      <c r="H1685" s="10" t="n">
        <f aca="false">IF(OR(Nonlabor!$L$11="Quote required",Nonlabor!$L$11="Unverified"),G1685,0)</f>
        <v>0</v>
      </c>
      <c r="I1685" s="10" t="n">
        <f aca="false">IF(Nonlabor!$E$11="Core",0,G1685)</f>
        <v>0</v>
      </c>
      <c r="J1685" s="23" t="str">
        <f aca="false">Nonlabor!$B$11</f>
        <v>INFRA</v>
      </c>
    </row>
    <row r="1686" customFormat="false" ht="15" hidden="false" customHeight="false" outlineLevel="0" collapsed="false">
      <c r="A1686" s="6" t="s">
        <v>4</v>
      </c>
      <c r="B1686" s="6" t="s">
        <v>391</v>
      </c>
      <c r="C1686" s="6" t="n">
        <v>1</v>
      </c>
      <c r="D1686" s="25" t="n">
        <f aca="false">EDATE('Start Here'!$B$6,C1686-1)</f>
        <v>46327</v>
      </c>
      <c r="E1686" s="11" t="n">
        <f aca="false">IF(AND(OR(Nonlabor!$D$12="Both",Nonlabor!$D$12='Start Here'!$B$9),IF(Nonlabor!$E$12="Core",1,IF(Nonlabor!$E$12="AI",'Start Here'!$B$7,'Start Here'!$B$8))=1,C1686&gt;=IF(Nonlabor!$E$12="Core",Nonlabor!$F$12,MAX(Nonlabor!$F$12,IF(Nonlabor!$E$12="AI",Assumptions!$D$24,Assumptions!$D$25))),C1686&lt;=Nonlabor!$G$12,OR(Nonlabor!$H$12="Monthly",AND(Nonlabor!$H$12="Once",C1686=IF(Nonlabor!$E$12="Core",Nonlabor!$F$12,MAX(Nonlabor!$F$12,IF(Nonlabor!$E$12="AI",Assumptions!$D$24,Assumptions!$D$25)))),AND(Nonlabor!$H$12="Annual",MOD(C1686-IF(Nonlabor!$E$12="Core",Nonlabor!$F$12,MAX(Nonlabor!$F$12,IF(Nonlabor!$E$12="AI",Assumptions!$D$24,Assumptions!$D$25))),12)=0))),IF(Nonlabor!$I$12="Fixed",1,IF(Nonlabor!$I$12="Seats",ROUNDUP('Monthly Base'!I6,0),IF(Nonlabor!$I$12="Customers",'Monthly Base'!D6,IF(Nonlabor!$I$12="NewCustomers",'Monthly Base'!C6,IF(Nonlabor!$I$12="StorageGB",'Monthly Base'!G6,IF(Nonlabor!$I$12="LogGB",'Monthly Base'!H6,IF(Nonlabor!$I$12="RequestsM",'Monthly Base'!F6,IF(Nonlabor!$I$12="InputM",'Monthly Base'!D6*Assumptions!$D$22/1000000,IF(Nonlabor!$I$12="OutputM",'Monthly Base'!D6*Assumptions!$D$23/1000000,0))))))))),0)</f>
        <v>0</v>
      </c>
      <c r="F1686" s="10" t="n">
        <f aca="false">Nonlabor!$J$12*(1+Assumptions!$D$9)^INT((C1686-1)/12)</f>
        <v>30</v>
      </c>
      <c r="G1686" s="10" t="n">
        <f aca="false">E1686*F1686</f>
        <v>0</v>
      </c>
      <c r="H1686" s="10" t="n">
        <f aca="false">IF(OR(Nonlabor!$L$12="Quote required",Nonlabor!$L$12="Unverified"),G1686,0)</f>
        <v>0</v>
      </c>
      <c r="I1686" s="10" t="n">
        <f aca="false">IF(Nonlabor!$E$12="Core",0,G1686)</f>
        <v>0</v>
      </c>
      <c r="J1686" s="23" t="str">
        <f aca="false">Nonlabor!$B$12</f>
        <v>INFRA</v>
      </c>
    </row>
    <row r="1687" customFormat="false" ht="15" hidden="false" customHeight="false" outlineLevel="0" collapsed="false">
      <c r="A1687" s="6" t="s">
        <v>4</v>
      </c>
      <c r="B1687" s="6" t="s">
        <v>391</v>
      </c>
      <c r="C1687" s="6" t="n">
        <v>2</v>
      </c>
      <c r="D1687" s="25" t="n">
        <f aca="false">EDATE('Start Here'!$B$6,C1687-1)</f>
        <v>46357</v>
      </c>
      <c r="E1687" s="11" t="n">
        <f aca="false">IF(AND(OR(Nonlabor!$D$12="Both",Nonlabor!$D$12='Start Here'!$B$9),IF(Nonlabor!$E$12="Core",1,IF(Nonlabor!$E$12="AI",'Start Here'!$B$7,'Start Here'!$B$8))=1,C1687&gt;=IF(Nonlabor!$E$12="Core",Nonlabor!$F$12,MAX(Nonlabor!$F$12,IF(Nonlabor!$E$12="AI",Assumptions!$D$24,Assumptions!$D$25))),C1687&lt;=Nonlabor!$G$12,OR(Nonlabor!$H$12="Monthly",AND(Nonlabor!$H$12="Once",C1687=IF(Nonlabor!$E$12="Core",Nonlabor!$F$12,MAX(Nonlabor!$F$12,IF(Nonlabor!$E$12="AI",Assumptions!$D$24,Assumptions!$D$25)))),AND(Nonlabor!$H$12="Annual",MOD(C1687-IF(Nonlabor!$E$12="Core",Nonlabor!$F$12,MAX(Nonlabor!$F$12,IF(Nonlabor!$E$12="AI",Assumptions!$D$24,Assumptions!$D$25))),12)=0))),IF(Nonlabor!$I$12="Fixed",1,IF(Nonlabor!$I$12="Seats",ROUNDUP('Monthly Base'!I7,0),IF(Nonlabor!$I$12="Customers",'Monthly Base'!D7,IF(Nonlabor!$I$12="NewCustomers",'Monthly Base'!C7,IF(Nonlabor!$I$12="StorageGB",'Monthly Base'!G7,IF(Nonlabor!$I$12="LogGB",'Monthly Base'!H7,IF(Nonlabor!$I$12="RequestsM",'Monthly Base'!F7,IF(Nonlabor!$I$12="InputM",'Monthly Base'!D7*Assumptions!$D$22/1000000,IF(Nonlabor!$I$12="OutputM",'Monthly Base'!D7*Assumptions!$D$23/1000000,0))))))))),0)</f>
        <v>0</v>
      </c>
      <c r="F1687" s="10" t="n">
        <f aca="false">Nonlabor!$J$12*(1+Assumptions!$D$9)^INT((C1687-1)/12)</f>
        <v>30</v>
      </c>
      <c r="G1687" s="10" t="n">
        <f aca="false">E1687*F1687</f>
        <v>0</v>
      </c>
      <c r="H1687" s="10" t="n">
        <f aca="false">IF(OR(Nonlabor!$L$12="Quote required",Nonlabor!$L$12="Unverified"),G1687,0)</f>
        <v>0</v>
      </c>
      <c r="I1687" s="10" t="n">
        <f aca="false">IF(Nonlabor!$E$12="Core",0,G1687)</f>
        <v>0</v>
      </c>
      <c r="J1687" s="23" t="str">
        <f aca="false">Nonlabor!$B$12</f>
        <v>INFRA</v>
      </c>
    </row>
    <row r="1688" customFormat="false" ht="15" hidden="false" customHeight="false" outlineLevel="0" collapsed="false">
      <c r="A1688" s="6" t="s">
        <v>4</v>
      </c>
      <c r="B1688" s="6" t="s">
        <v>391</v>
      </c>
      <c r="C1688" s="6" t="n">
        <v>3</v>
      </c>
      <c r="D1688" s="25" t="n">
        <f aca="false">EDATE('Start Here'!$B$6,C1688-1)</f>
        <v>46388</v>
      </c>
      <c r="E1688" s="11" t="n">
        <f aca="false">IF(AND(OR(Nonlabor!$D$12="Both",Nonlabor!$D$12='Start Here'!$B$9),IF(Nonlabor!$E$12="Core",1,IF(Nonlabor!$E$12="AI",'Start Here'!$B$7,'Start Here'!$B$8))=1,C1688&gt;=IF(Nonlabor!$E$12="Core",Nonlabor!$F$12,MAX(Nonlabor!$F$12,IF(Nonlabor!$E$12="AI",Assumptions!$D$24,Assumptions!$D$25))),C1688&lt;=Nonlabor!$G$12,OR(Nonlabor!$H$12="Monthly",AND(Nonlabor!$H$12="Once",C1688=IF(Nonlabor!$E$12="Core",Nonlabor!$F$12,MAX(Nonlabor!$F$12,IF(Nonlabor!$E$12="AI",Assumptions!$D$24,Assumptions!$D$25)))),AND(Nonlabor!$H$12="Annual",MOD(C1688-IF(Nonlabor!$E$12="Core",Nonlabor!$F$12,MAX(Nonlabor!$F$12,IF(Nonlabor!$E$12="AI",Assumptions!$D$24,Assumptions!$D$25))),12)=0))),IF(Nonlabor!$I$12="Fixed",1,IF(Nonlabor!$I$12="Seats",ROUNDUP('Monthly Base'!I8,0),IF(Nonlabor!$I$12="Customers",'Monthly Base'!D8,IF(Nonlabor!$I$12="NewCustomers",'Monthly Base'!C8,IF(Nonlabor!$I$12="StorageGB",'Monthly Base'!G8,IF(Nonlabor!$I$12="LogGB",'Monthly Base'!H8,IF(Nonlabor!$I$12="RequestsM",'Monthly Base'!F8,IF(Nonlabor!$I$12="InputM",'Monthly Base'!D8*Assumptions!$D$22/1000000,IF(Nonlabor!$I$12="OutputM",'Monthly Base'!D8*Assumptions!$D$23/1000000,0))))))))),0)</f>
        <v>0</v>
      </c>
      <c r="F1688" s="10" t="n">
        <f aca="false">Nonlabor!$J$12*(1+Assumptions!$D$9)^INT((C1688-1)/12)</f>
        <v>30</v>
      </c>
      <c r="G1688" s="10" t="n">
        <f aca="false">E1688*F1688</f>
        <v>0</v>
      </c>
      <c r="H1688" s="10" t="n">
        <f aca="false">IF(OR(Nonlabor!$L$12="Quote required",Nonlabor!$L$12="Unverified"),G1688,0)</f>
        <v>0</v>
      </c>
      <c r="I1688" s="10" t="n">
        <f aca="false">IF(Nonlabor!$E$12="Core",0,G1688)</f>
        <v>0</v>
      </c>
      <c r="J1688" s="23" t="str">
        <f aca="false">Nonlabor!$B$12</f>
        <v>INFRA</v>
      </c>
    </row>
    <row r="1689" customFormat="false" ht="15" hidden="false" customHeight="false" outlineLevel="0" collapsed="false">
      <c r="A1689" s="6" t="s">
        <v>4</v>
      </c>
      <c r="B1689" s="6" t="s">
        <v>391</v>
      </c>
      <c r="C1689" s="6" t="n">
        <v>4</v>
      </c>
      <c r="D1689" s="25" t="n">
        <f aca="false">EDATE('Start Here'!$B$6,C1689-1)</f>
        <v>46419</v>
      </c>
      <c r="E1689" s="11" t="n">
        <f aca="false">IF(AND(OR(Nonlabor!$D$12="Both",Nonlabor!$D$12='Start Here'!$B$9),IF(Nonlabor!$E$12="Core",1,IF(Nonlabor!$E$12="AI",'Start Here'!$B$7,'Start Here'!$B$8))=1,C1689&gt;=IF(Nonlabor!$E$12="Core",Nonlabor!$F$12,MAX(Nonlabor!$F$12,IF(Nonlabor!$E$12="AI",Assumptions!$D$24,Assumptions!$D$25))),C1689&lt;=Nonlabor!$G$12,OR(Nonlabor!$H$12="Monthly",AND(Nonlabor!$H$12="Once",C1689=IF(Nonlabor!$E$12="Core",Nonlabor!$F$12,MAX(Nonlabor!$F$12,IF(Nonlabor!$E$12="AI",Assumptions!$D$24,Assumptions!$D$25)))),AND(Nonlabor!$H$12="Annual",MOD(C1689-IF(Nonlabor!$E$12="Core",Nonlabor!$F$12,MAX(Nonlabor!$F$12,IF(Nonlabor!$E$12="AI",Assumptions!$D$24,Assumptions!$D$25))),12)=0))),IF(Nonlabor!$I$12="Fixed",1,IF(Nonlabor!$I$12="Seats",ROUNDUP('Monthly Base'!I9,0),IF(Nonlabor!$I$12="Customers",'Monthly Base'!D9,IF(Nonlabor!$I$12="NewCustomers",'Monthly Base'!C9,IF(Nonlabor!$I$12="StorageGB",'Monthly Base'!G9,IF(Nonlabor!$I$12="LogGB",'Monthly Base'!H9,IF(Nonlabor!$I$12="RequestsM",'Monthly Base'!F9,IF(Nonlabor!$I$12="InputM",'Monthly Base'!D9*Assumptions!$D$22/1000000,IF(Nonlabor!$I$12="OutputM",'Monthly Base'!D9*Assumptions!$D$23/1000000,0))))))))),0)</f>
        <v>0</v>
      </c>
      <c r="F1689" s="10" t="n">
        <f aca="false">Nonlabor!$J$12*(1+Assumptions!$D$9)^INT((C1689-1)/12)</f>
        <v>30</v>
      </c>
      <c r="G1689" s="10" t="n">
        <f aca="false">E1689*F1689</f>
        <v>0</v>
      </c>
      <c r="H1689" s="10" t="n">
        <f aca="false">IF(OR(Nonlabor!$L$12="Quote required",Nonlabor!$L$12="Unverified"),G1689,0)</f>
        <v>0</v>
      </c>
      <c r="I1689" s="10" t="n">
        <f aca="false">IF(Nonlabor!$E$12="Core",0,G1689)</f>
        <v>0</v>
      </c>
      <c r="J1689" s="23" t="str">
        <f aca="false">Nonlabor!$B$12</f>
        <v>INFRA</v>
      </c>
    </row>
    <row r="1690" customFormat="false" ht="15" hidden="false" customHeight="false" outlineLevel="0" collapsed="false">
      <c r="A1690" s="6" t="s">
        <v>4</v>
      </c>
      <c r="B1690" s="6" t="s">
        <v>391</v>
      </c>
      <c r="C1690" s="6" t="n">
        <v>5</v>
      </c>
      <c r="D1690" s="25" t="n">
        <f aca="false">EDATE('Start Here'!$B$6,C1690-1)</f>
        <v>46447</v>
      </c>
      <c r="E1690" s="11" t="n">
        <f aca="false">IF(AND(OR(Nonlabor!$D$12="Both",Nonlabor!$D$12='Start Here'!$B$9),IF(Nonlabor!$E$12="Core",1,IF(Nonlabor!$E$12="AI",'Start Here'!$B$7,'Start Here'!$B$8))=1,C1690&gt;=IF(Nonlabor!$E$12="Core",Nonlabor!$F$12,MAX(Nonlabor!$F$12,IF(Nonlabor!$E$12="AI",Assumptions!$D$24,Assumptions!$D$25))),C1690&lt;=Nonlabor!$G$12,OR(Nonlabor!$H$12="Monthly",AND(Nonlabor!$H$12="Once",C1690=IF(Nonlabor!$E$12="Core",Nonlabor!$F$12,MAX(Nonlabor!$F$12,IF(Nonlabor!$E$12="AI",Assumptions!$D$24,Assumptions!$D$25)))),AND(Nonlabor!$H$12="Annual",MOD(C1690-IF(Nonlabor!$E$12="Core",Nonlabor!$F$12,MAX(Nonlabor!$F$12,IF(Nonlabor!$E$12="AI",Assumptions!$D$24,Assumptions!$D$25))),12)=0))),IF(Nonlabor!$I$12="Fixed",1,IF(Nonlabor!$I$12="Seats",ROUNDUP('Monthly Base'!I10,0),IF(Nonlabor!$I$12="Customers",'Monthly Base'!D10,IF(Nonlabor!$I$12="NewCustomers",'Monthly Base'!C10,IF(Nonlabor!$I$12="StorageGB",'Monthly Base'!G10,IF(Nonlabor!$I$12="LogGB",'Monthly Base'!H10,IF(Nonlabor!$I$12="RequestsM",'Monthly Base'!F10,IF(Nonlabor!$I$12="InputM",'Monthly Base'!D10*Assumptions!$D$22/1000000,IF(Nonlabor!$I$12="OutputM",'Monthly Base'!D10*Assumptions!$D$23/1000000,0))))))))),0)</f>
        <v>0</v>
      </c>
      <c r="F1690" s="10" t="n">
        <f aca="false">Nonlabor!$J$12*(1+Assumptions!$D$9)^INT((C1690-1)/12)</f>
        <v>30</v>
      </c>
      <c r="G1690" s="10" t="n">
        <f aca="false">E1690*F1690</f>
        <v>0</v>
      </c>
      <c r="H1690" s="10" t="n">
        <f aca="false">IF(OR(Nonlabor!$L$12="Quote required",Nonlabor!$L$12="Unverified"),G1690,0)</f>
        <v>0</v>
      </c>
      <c r="I1690" s="10" t="n">
        <f aca="false">IF(Nonlabor!$E$12="Core",0,G1690)</f>
        <v>0</v>
      </c>
      <c r="J1690" s="23" t="str">
        <f aca="false">Nonlabor!$B$12</f>
        <v>INFRA</v>
      </c>
    </row>
    <row r="1691" customFormat="false" ht="15" hidden="false" customHeight="false" outlineLevel="0" collapsed="false">
      <c r="A1691" s="6" t="s">
        <v>4</v>
      </c>
      <c r="B1691" s="6" t="s">
        <v>391</v>
      </c>
      <c r="C1691" s="6" t="n">
        <v>6</v>
      </c>
      <c r="D1691" s="25" t="n">
        <f aca="false">EDATE('Start Here'!$B$6,C1691-1)</f>
        <v>46478</v>
      </c>
      <c r="E1691" s="11" t="n">
        <f aca="false">IF(AND(OR(Nonlabor!$D$12="Both",Nonlabor!$D$12='Start Here'!$B$9),IF(Nonlabor!$E$12="Core",1,IF(Nonlabor!$E$12="AI",'Start Here'!$B$7,'Start Here'!$B$8))=1,C1691&gt;=IF(Nonlabor!$E$12="Core",Nonlabor!$F$12,MAX(Nonlabor!$F$12,IF(Nonlabor!$E$12="AI",Assumptions!$D$24,Assumptions!$D$25))),C1691&lt;=Nonlabor!$G$12,OR(Nonlabor!$H$12="Monthly",AND(Nonlabor!$H$12="Once",C1691=IF(Nonlabor!$E$12="Core",Nonlabor!$F$12,MAX(Nonlabor!$F$12,IF(Nonlabor!$E$12="AI",Assumptions!$D$24,Assumptions!$D$25)))),AND(Nonlabor!$H$12="Annual",MOD(C1691-IF(Nonlabor!$E$12="Core",Nonlabor!$F$12,MAX(Nonlabor!$F$12,IF(Nonlabor!$E$12="AI",Assumptions!$D$24,Assumptions!$D$25))),12)=0))),IF(Nonlabor!$I$12="Fixed",1,IF(Nonlabor!$I$12="Seats",ROUNDUP('Monthly Base'!I11,0),IF(Nonlabor!$I$12="Customers",'Monthly Base'!D11,IF(Nonlabor!$I$12="NewCustomers",'Monthly Base'!C11,IF(Nonlabor!$I$12="StorageGB",'Monthly Base'!G11,IF(Nonlabor!$I$12="LogGB",'Monthly Base'!H11,IF(Nonlabor!$I$12="RequestsM",'Monthly Base'!F11,IF(Nonlabor!$I$12="InputM",'Monthly Base'!D11*Assumptions!$D$22/1000000,IF(Nonlabor!$I$12="OutputM",'Monthly Base'!D11*Assumptions!$D$23/1000000,0))))))))),0)</f>
        <v>0</v>
      </c>
      <c r="F1691" s="10" t="n">
        <f aca="false">Nonlabor!$J$12*(1+Assumptions!$D$9)^INT((C1691-1)/12)</f>
        <v>30</v>
      </c>
      <c r="G1691" s="10" t="n">
        <f aca="false">E1691*F1691</f>
        <v>0</v>
      </c>
      <c r="H1691" s="10" t="n">
        <f aca="false">IF(OR(Nonlabor!$L$12="Quote required",Nonlabor!$L$12="Unverified"),G1691,0)</f>
        <v>0</v>
      </c>
      <c r="I1691" s="10" t="n">
        <f aca="false">IF(Nonlabor!$E$12="Core",0,G1691)</f>
        <v>0</v>
      </c>
      <c r="J1691" s="23" t="str">
        <f aca="false">Nonlabor!$B$12</f>
        <v>INFRA</v>
      </c>
    </row>
    <row r="1692" customFormat="false" ht="15" hidden="false" customHeight="false" outlineLevel="0" collapsed="false">
      <c r="A1692" s="6" t="s">
        <v>4</v>
      </c>
      <c r="B1692" s="6" t="s">
        <v>391</v>
      </c>
      <c r="C1692" s="6" t="n">
        <v>7</v>
      </c>
      <c r="D1692" s="25" t="n">
        <f aca="false">EDATE('Start Here'!$B$6,C1692-1)</f>
        <v>46508</v>
      </c>
      <c r="E1692" s="11" t="n">
        <f aca="false">IF(AND(OR(Nonlabor!$D$12="Both",Nonlabor!$D$12='Start Here'!$B$9),IF(Nonlabor!$E$12="Core",1,IF(Nonlabor!$E$12="AI",'Start Here'!$B$7,'Start Here'!$B$8))=1,C1692&gt;=IF(Nonlabor!$E$12="Core",Nonlabor!$F$12,MAX(Nonlabor!$F$12,IF(Nonlabor!$E$12="AI",Assumptions!$D$24,Assumptions!$D$25))),C1692&lt;=Nonlabor!$G$12,OR(Nonlabor!$H$12="Monthly",AND(Nonlabor!$H$12="Once",C1692=IF(Nonlabor!$E$12="Core",Nonlabor!$F$12,MAX(Nonlabor!$F$12,IF(Nonlabor!$E$12="AI",Assumptions!$D$24,Assumptions!$D$25)))),AND(Nonlabor!$H$12="Annual",MOD(C1692-IF(Nonlabor!$E$12="Core",Nonlabor!$F$12,MAX(Nonlabor!$F$12,IF(Nonlabor!$E$12="AI",Assumptions!$D$24,Assumptions!$D$25))),12)=0))),IF(Nonlabor!$I$12="Fixed",1,IF(Nonlabor!$I$12="Seats",ROUNDUP('Monthly Base'!I12,0),IF(Nonlabor!$I$12="Customers",'Monthly Base'!D12,IF(Nonlabor!$I$12="NewCustomers",'Monthly Base'!C12,IF(Nonlabor!$I$12="StorageGB",'Monthly Base'!G12,IF(Nonlabor!$I$12="LogGB",'Monthly Base'!H12,IF(Nonlabor!$I$12="RequestsM",'Monthly Base'!F12,IF(Nonlabor!$I$12="InputM",'Monthly Base'!D12*Assumptions!$D$22/1000000,IF(Nonlabor!$I$12="OutputM",'Monthly Base'!D12*Assumptions!$D$23/1000000,0))))))))),0)</f>
        <v>0</v>
      </c>
      <c r="F1692" s="10" t="n">
        <f aca="false">Nonlabor!$J$12*(1+Assumptions!$D$9)^INT((C1692-1)/12)</f>
        <v>30</v>
      </c>
      <c r="G1692" s="10" t="n">
        <f aca="false">E1692*F1692</f>
        <v>0</v>
      </c>
      <c r="H1692" s="10" t="n">
        <f aca="false">IF(OR(Nonlabor!$L$12="Quote required",Nonlabor!$L$12="Unverified"),G1692,0)</f>
        <v>0</v>
      </c>
      <c r="I1692" s="10" t="n">
        <f aca="false">IF(Nonlabor!$E$12="Core",0,G1692)</f>
        <v>0</v>
      </c>
      <c r="J1692" s="23" t="str">
        <f aca="false">Nonlabor!$B$12</f>
        <v>INFRA</v>
      </c>
    </row>
    <row r="1693" customFormat="false" ht="15" hidden="false" customHeight="false" outlineLevel="0" collapsed="false">
      <c r="A1693" s="6" t="s">
        <v>4</v>
      </c>
      <c r="B1693" s="6" t="s">
        <v>391</v>
      </c>
      <c r="C1693" s="6" t="n">
        <v>8</v>
      </c>
      <c r="D1693" s="25" t="n">
        <f aca="false">EDATE('Start Here'!$B$6,C1693-1)</f>
        <v>46539</v>
      </c>
      <c r="E1693" s="11" t="n">
        <f aca="false">IF(AND(OR(Nonlabor!$D$12="Both",Nonlabor!$D$12='Start Here'!$B$9),IF(Nonlabor!$E$12="Core",1,IF(Nonlabor!$E$12="AI",'Start Here'!$B$7,'Start Here'!$B$8))=1,C1693&gt;=IF(Nonlabor!$E$12="Core",Nonlabor!$F$12,MAX(Nonlabor!$F$12,IF(Nonlabor!$E$12="AI",Assumptions!$D$24,Assumptions!$D$25))),C1693&lt;=Nonlabor!$G$12,OR(Nonlabor!$H$12="Monthly",AND(Nonlabor!$H$12="Once",C1693=IF(Nonlabor!$E$12="Core",Nonlabor!$F$12,MAX(Nonlabor!$F$12,IF(Nonlabor!$E$12="AI",Assumptions!$D$24,Assumptions!$D$25)))),AND(Nonlabor!$H$12="Annual",MOD(C1693-IF(Nonlabor!$E$12="Core",Nonlabor!$F$12,MAX(Nonlabor!$F$12,IF(Nonlabor!$E$12="AI",Assumptions!$D$24,Assumptions!$D$25))),12)=0))),IF(Nonlabor!$I$12="Fixed",1,IF(Nonlabor!$I$12="Seats",ROUNDUP('Monthly Base'!I13,0),IF(Nonlabor!$I$12="Customers",'Monthly Base'!D13,IF(Nonlabor!$I$12="NewCustomers",'Monthly Base'!C13,IF(Nonlabor!$I$12="StorageGB",'Monthly Base'!G13,IF(Nonlabor!$I$12="LogGB",'Monthly Base'!H13,IF(Nonlabor!$I$12="RequestsM",'Monthly Base'!F13,IF(Nonlabor!$I$12="InputM",'Monthly Base'!D13*Assumptions!$D$22/1000000,IF(Nonlabor!$I$12="OutputM",'Monthly Base'!D13*Assumptions!$D$23/1000000,0))))))))),0)</f>
        <v>0</v>
      </c>
      <c r="F1693" s="10" t="n">
        <f aca="false">Nonlabor!$J$12*(1+Assumptions!$D$9)^INT((C1693-1)/12)</f>
        <v>30</v>
      </c>
      <c r="G1693" s="10" t="n">
        <f aca="false">E1693*F1693</f>
        <v>0</v>
      </c>
      <c r="H1693" s="10" t="n">
        <f aca="false">IF(OR(Nonlabor!$L$12="Quote required",Nonlabor!$L$12="Unverified"),G1693,0)</f>
        <v>0</v>
      </c>
      <c r="I1693" s="10" t="n">
        <f aca="false">IF(Nonlabor!$E$12="Core",0,G1693)</f>
        <v>0</v>
      </c>
      <c r="J1693" s="23" t="str">
        <f aca="false">Nonlabor!$B$12</f>
        <v>INFRA</v>
      </c>
    </row>
    <row r="1694" customFormat="false" ht="15" hidden="false" customHeight="false" outlineLevel="0" collapsed="false">
      <c r="A1694" s="6" t="s">
        <v>4</v>
      </c>
      <c r="B1694" s="6" t="s">
        <v>391</v>
      </c>
      <c r="C1694" s="6" t="n">
        <v>9</v>
      </c>
      <c r="D1694" s="25" t="n">
        <f aca="false">EDATE('Start Here'!$B$6,C1694-1)</f>
        <v>46569</v>
      </c>
      <c r="E1694" s="11" t="n">
        <f aca="false">IF(AND(OR(Nonlabor!$D$12="Both",Nonlabor!$D$12='Start Here'!$B$9),IF(Nonlabor!$E$12="Core",1,IF(Nonlabor!$E$12="AI",'Start Here'!$B$7,'Start Here'!$B$8))=1,C1694&gt;=IF(Nonlabor!$E$12="Core",Nonlabor!$F$12,MAX(Nonlabor!$F$12,IF(Nonlabor!$E$12="AI",Assumptions!$D$24,Assumptions!$D$25))),C1694&lt;=Nonlabor!$G$12,OR(Nonlabor!$H$12="Monthly",AND(Nonlabor!$H$12="Once",C1694=IF(Nonlabor!$E$12="Core",Nonlabor!$F$12,MAX(Nonlabor!$F$12,IF(Nonlabor!$E$12="AI",Assumptions!$D$24,Assumptions!$D$25)))),AND(Nonlabor!$H$12="Annual",MOD(C1694-IF(Nonlabor!$E$12="Core",Nonlabor!$F$12,MAX(Nonlabor!$F$12,IF(Nonlabor!$E$12="AI",Assumptions!$D$24,Assumptions!$D$25))),12)=0))),IF(Nonlabor!$I$12="Fixed",1,IF(Nonlabor!$I$12="Seats",ROUNDUP('Monthly Base'!I14,0),IF(Nonlabor!$I$12="Customers",'Monthly Base'!D14,IF(Nonlabor!$I$12="NewCustomers",'Monthly Base'!C14,IF(Nonlabor!$I$12="StorageGB",'Monthly Base'!G14,IF(Nonlabor!$I$12="LogGB",'Monthly Base'!H14,IF(Nonlabor!$I$12="RequestsM",'Monthly Base'!F14,IF(Nonlabor!$I$12="InputM",'Monthly Base'!D14*Assumptions!$D$22/1000000,IF(Nonlabor!$I$12="OutputM",'Monthly Base'!D14*Assumptions!$D$23/1000000,0))))))))),0)</f>
        <v>0</v>
      </c>
      <c r="F1694" s="10" t="n">
        <f aca="false">Nonlabor!$J$12*(1+Assumptions!$D$9)^INT((C1694-1)/12)</f>
        <v>30</v>
      </c>
      <c r="G1694" s="10" t="n">
        <f aca="false">E1694*F1694</f>
        <v>0</v>
      </c>
      <c r="H1694" s="10" t="n">
        <f aca="false">IF(OR(Nonlabor!$L$12="Quote required",Nonlabor!$L$12="Unverified"),G1694,0)</f>
        <v>0</v>
      </c>
      <c r="I1694" s="10" t="n">
        <f aca="false">IF(Nonlabor!$E$12="Core",0,G1694)</f>
        <v>0</v>
      </c>
      <c r="J1694" s="23" t="str">
        <f aca="false">Nonlabor!$B$12</f>
        <v>INFRA</v>
      </c>
    </row>
    <row r="1695" customFormat="false" ht="15" hidden="false" customHeight="false" outlineLevel="0" collapsed="false">
      <c r="A1695" s="6" t="s">
        <v>4</v>
      </c>
      <c r="B1695" s="6" t="s">
        <v>391</v>
      </c>
      <c r="C1695" s="6" t="n">
        <v>10</v>
      </c>
      <c r="D1695" s="25" t="n">
        <f aca="false">EDATE('Start Here'!$B$6,C1695-1)</f>
        <v>46600</v>
      </c>
      <c r="E1695" s="11" t="n">
        <f aca="false">IF(AND(OR(Nonlabor!$D$12="Both",Nonlabor!$D$12='Start Here'!$B$9),IF(Nonlabor!$E$12="Core",1,IF(Nonlabor!$E$12="AI",'Start Here'!$B$7,'Start Here'!$B$8))=1,C1695&gt;=IF(Nonlabor!$E$12="Core",Nonlabor!$F$12,MAX(Nonlabor!$F$12,IF(Nonlabor!$E$12="AI",Assumptions!$D$24,Assumptions!$D$25))),C1695&lt;=Nonlabor!$G$12,OR(Nonlabor!$H$12="Monthly",AND(Nonlabor!$H$12="Once",C1695=IF(Nonlabor!$E$12="Core",Nonlabor!$F$12,MAX(Nonlabor!$F$12,IF(Nonlabor!$E$12="AI",Assumptions!$D$24,Assumptions!$D$25)))),AND(Nonlabor!$H$12="Annual",MOD(C1695-IF(Nonlabor!$E$12="Core",Nonlabor!$F$12,MAX(Nonlabor!$F$12,IF(Nonlabor!$E$12="AI",Assumptions!$D$24,Assumptions!$D$25))),12)=0))),IF(Nonlabor!$I$12="Fixed",1,IF(Nonlabor!$I$12="Seats",ROUNDUP('Monthly Base'!I15,0),IF(Nonlabor!$I$12="Customers",'Monthly Base'!D15,IF(Nonlabor!$I$12="NewCustomers",'Monthly Base'!C15,IF(Nonlabor!$I$12="StorageGB",'Monthly Base'!G15,IF(Nonlabor!$I$12="LogGB",'Monthly Base'!H15,IF(Nonlabor!$I$12="RequestsM",'Monthly Base'!F15,IF(Nonlabor!$I$12="InputM",'Monthly Base'!D15*Assumptions!$D$22/1000000,IF(Nonlabor!$I$12="OutputM",'Monthly Base'!D15*Assumptions!$D$23/1000000,0))))))))),0)</f>
        <v>0</v>
      </c>
      <c r="F1695" s="10" t="n">
        <f aca="false">Nonlabor!$J$12*(1+Assumptions!$D$9)^INT((C1695-1)/12)</f>
        <v>30</v>
      </c>
      <c r="G1695" s="10" t="n">
        <f aca="false">E1695*F1695</f>
        <v>0</v>
      </c>
      <c r="H1695" s="10" t="n">
        <f aca="false">IF(OR(Nonlabor!$L$12="Quote required",Nonlabor!$L$12="Unverified"),G1695,0)</f>
        <v>0</v>
      </c>
      <c r="I1695" s="10" t="n">
        <f aca="false">IF(Nonlabor!$E$12="Core",0,G1695)</f>
        <v>0</v>
      </c>
      <c r="J1695" s="23" t="str">
        <f aca="false">Nonlabor!$B$12</f>
        <v>INFRA</v>
      </c>
    </row>
    <row r="1696" customFormat="false" ht="15" hidden="false" customHeight="false" outlineLevel="0" collapsed="false">
      <c r="A1696" s="6" t="s">
        <v>4</v>
      </c>
      <c r="B1696" s="6" t="s">
        <v>391</v>
      </c>
      <c r="C1696" s="6" t="n">
        <v>11</v>
      </c>
      <c r="D1696" s="25" t="n">
        <f aca="false">EDATE('Start Here'!$B$6,C1696-1)</f>
        <v>46631</v>
      </c>
      <c r="E1696" s="11" t="n">
        <f aca="false">IF(AND(OR(Nonlabor!$D$12="Both",Nonlabor!$D$12='Start Here'!$B$9),IF(Nonlabor!$E$12="Core",1,IF(Nonlabor!$E$12="AI",'Start Here'!$B$7,'Start Here'!$B$8))=1,C1696&gt;=IF(Nonlabor!$E$12="Core",Nonlabor!$F$12,MAX(Nonlabor!$F$12,IF(Nonlabor!$E$12="AI",Assumptions!$D$24,Assumptions!$D$25))),C1696&lt;=Nonlabor!$G$12,OR(Nonlabor!$H$12="Monthly",AND(Nonlabor!$H$12="Once",C1696=IF(Nonlabor!$E$12="Core",Nonlabor!$F$12,MAX(Nonlabor!$F$12,IF(Nonlabor!$E$12="AI",Assumptions!$D$24,Assumptions!$D$25)))),AND(Nonlabor!$H$12="Annual",MOD(C1696-IF(Nonlabor!$E$12="Core",Nonlabor!$F$12,MAX(Nonlabor!$F$12,IF(Nonlabor!$E$12="AI",Assumptions!$D$24,Assumptions!$D$25))),12)=0))),IF(Nonlabor!$I$12="Fixed",1,IF(Nonlabor!$I$12="Seats",ROUNDUP('Monthly Base'!I16,0),IF(Nonlabor!$I$12="Customers",'Monthly Base'!D16,IF(Nonlabor!$I$12="NewCustomers",'Monthly Base'!C16,IF(Nonlabor!$I$12="StorageGB",'Monthly Base'!G16,IF(Nonlabor!$I$12="LogGB",'Monthly Base'!H16,IF(Nonlabor!$I$12="RequestsM",'Monthly Base'!F16,IF(Nonlabor!$I$12="InputM",'Monthly Base'!D16*Assumptions!$D$22/1000000,IF(Nonlabor!$I$12="OutputM",'Monthly Base'!D16*Assumptions!$D$23/1000000,0))))))))),0)</f>
        <v>0</v>
      </c>
      <c r="F1696" s="10" t="n">
        <f aca="false">Nonlabor!$J$12*(1+Assumptions!$D$9)^INT((C1696-1)/12)</f>
        <v>30</v>
      </c>
      <c r="G1696" s="10" t="n">
        <f aca="false">E1696*F1696</f>
        <v>0</v>
      </c>
      <c r="H1696" s="10" t="n">
        <f aca="false">IF(OR(Nonlabor!$L$12="Quote required",Nonlabor!$L$12="Unverified"),G1696,0)</f>
        <v>0</v>
      </c>
      <c r="I1696" s="10" t="n">
        <f aca="false">IF(Nonlabor!$E$12="Core",0,G1696)</f>
        <v>0</v>
      </c>
      <c r="J1696" s="23" t="str">
        <f aca="false">Nonlabor!$B$12</f>
        <v>INFRA</v>
      </c>
    </row>
    <row r="1697" customFormat="false" ht="15" hidden="false" customHeight="false" outlineLevel="0" collapsed="false">
      <c r="A1697" s="6" t="s">
        <v>4</v>
      </c>
      <c r="B1697" s="6" t="s">
        <v>391</v>
      </c>
      <c r="C1697" s="6" t="n">
        <v>12</v>
      </c>
      <c r="D1697" s="25" t="n">
        <f aca="false">EDATE('Start Here'!$B$6,C1697-1)</f>
        <v>46661</v>
      </c>
      <c r="E1697" s="11" t="n">
        <f aca="false">IF(AND(OR(Nonlabor!$D$12="Both",Nonlabor!$D$12='Start Here'!$B$9),IF(Nonlabor!$E$12="Core",1,IF(Nonlabor!$E$12="AI",'Start Here'!$B$7,'Start Here'!$B$8))=1,C1697&gt;=IF(Nonlabor!$E$12="Core",Nonlabor!$F$12,MAX(Nonlabor!$F$12,IF(Nonlabor!$E$12="AI",Assumptions!$D$24,Assumptions!$D$25))),C1697&lt;=Nonlabor!$G$12,OR(Nonlabor!$H$12="Monthly",AND(Nonlabor!$H$12="Once",C1697=IF(Nonlabor!$E$12="Core",Nonlabor!$F$12,MAX(Nonlabor!$F$12,IF(Nonlabor!$E$12="AI",Assumptions!$D$24,Assumptions!$D$25)))),AND(Nonlabor!$H$12="Annual",MOD(C1697-IF(Nonlabor!$E$12="Core",Nonlabor!$F$12,MAX(Nonlabor!$F$12,IF(Nonlabor!$E$12="AI",Assumptions!$D$24,Assumptions!$D$25))),12)=0))),IF(Nonlabor!$I$12="Fixed",1,IF(Nonlabor!$I$12="Seats",ROUNDUP('Monthly Base'!I17,0),IF(Nonlabor!$I$12="Customers",'Monthly Base'!D17,IF(Nonlabor!$I$12="NewCustomers",'Monthly Base'!C17,IF(Nonlabor!$I$12="StorageGB",'Monthly Base'!G17,IF(Nonlabor!$I$12="LogGB",'Monthly Base'!H17,IF(Nonlabor!$I$12="RequestsM",'Monthly Base'!F17,IF(Nonlabor!$I$12="InputM",'Monthly Base'!D17*Assumptions!$D$22/1000000,IF(Nonlabor!$I$12="OutputM",'Monthly Base'!D17*Assumptions!$D$23/1000000,0))))))))),0)</f>
        <v>0</v>
      </c>
      <c r="F1697" s="10" t="n">
        <f aca="false">Nonlabor!$J$12*(1+Assumptions!$D$9)^INT((C1697-1)/12)</f>
        <v>30</v>
      </c>
      <c r="G1697" s="10" t="n">
        <f aca="false">E1697*F1697</f>
        <v>0</v>
      </c>
      <c r="H1697" s="10" t="n">
        <f aca="false">IF(OR(Nonlabor!$L$12="Quote required",Nonlabor!$L$12="Unverified"),G1697,0)</f>
        <v>0</v>
      </c>
      <c r="I1697" s="10" t="n">
        <f aca="false">IF(Nonlabor!$E$12="Core",0,G1697)</f>
        <v>0</v>
      </c>
      <c r="J1697" s="23" t="str">
        <f aca="false">Nonlabor!$B$12</f>
        <v>INFRA</v>
      </c>
    </row>
    <row r="1698" customFormat="false" ht="15" hidden="false" customHeight="false" outlineLevel="0" collapsed="false">
      <c r="A1698" s="6" t="s">
        <v>4</v>
      </c>
      <c r="B1698" s="6" t="s">
        <v>391</v>
      </c>
      <c r="C1698" s="6" t="n">
        <v>13</v>
      </c>
      <c r="D1698" s="25" t="n">
        <f aca="false">EDATE('Start Here'!$B$6,C1698-1)</f>
        <v>46692</v>
      </c>
      <c r="E1698" s="11" t="n">
        <f aca="false">IF(AND(OR(Nonlabor!$D$12="Both",Nonlabor!$D$12='Start Here'!$B$9),IF(Nonlabor!$E$12="Core",1,IF(Nonlabor!$E$12="AI",'Start Here'!$B$7,'Start Here'!$B$8))=1,C1698&gt;=IF(Nonlabor!$E$12="Core",Nonlabor!$F$12,MAX(Nonlabor!$F$12,IF(Nonlabor!$E$12="AI",Assumptions!$D$24,Assumptions!$D$25))),C1698&lt;=Nonlabor!$G$12,OR(Nonlabor!$H$12="Monthly",AND(Nonlabor!$H$12="Once",C1698=IF(Nonlabor!$E$12="Core",Nonlabor!$F$12,MAX(Nonlabor!$F$12,IF(Nonlabor!$E$12="AI",Assumptions!$D$24,Assumptions!$D$25)))),AND(Nonlabor!$H$12="Annual",MOD(C1698-IF(Nonlabor!$E$12="Core",Nonlabor!$F$12,MAX(Nonlabor!$F$12,IF(Nonlabor!$E$12="AI",Assumptions!$D$24,Assumptions!$D$25))),12)=0))),IF(Nonlabor!$I$12="Fixed",1,IF(Nonlabor!$I$12="Seats",ROUNDUP('Monthly Base'!I18,0),IF(Nonlabor!$I$12="Customers",'Monthly Base'!D18,IF(Nonlabor!$I$12="NewCustomers",'Monthly Base'!C18,IF(Nonlabor!$I$12="StorageGB",'Monthly Base'!G18,IF(Nonlabor!$I$12="LogGB",'Monthly Base'!H18,IF(Nonlabor!$I$12="RequestsM",'Monthly Base'!F18,IF(Nonlabor!$I$12="InputM",'Monthly Base'!D18*Assumptions!$D$22/1000000,IF(Nonlabor!$I$12="OutputM",'Monthly Base'!D18*Assumptions!$D$23/1000000,0))))))))),0)</f>
        <v>0.0675</v>
      </c>
      <c r="F1698" s="10" t="n">
        <f aca="false">Nonlabor!$J$12*(1+Assumptions!$D$9)^INT((C1698-1)/12)</f>
        <v>30.9</v>
      </c>
      <c r="G1698" s="10" t="n">
        <f aca="false">E1698*F1698</f>
        <v>2.08575</v>
      </c>
      <c r="H1698" s="10" t="n">
        <f aca="false">IF(OR(Nonlabor!$L$12="Quote required",Nonlabor!$L$12="Unverified"),G1698,0)</f>
        <v>0</v>
      </c>
      <c r="I1698" s="10" t="n">
        <f aca="false">IF(Nonlabor!$E$12="Core",0,G1698)</f>
        <v>0</v>
      </c>
      <c r="J1698" s="23" t="str">
        <f aca="false">Nonlabor!$B$12</f>
        <v>INFRA</v>
      </c>
    </row>
    <row r="1699" customFormat="false" ht="15" hidden="false" customHeight="false" outlineLevel="0" collapsed="false">
      <c r="A1699" s="6" t="s">
        <v>4</v>
      </c>
      <c r="B1699" s="6" t="s">
        <v>391</v>
      </c>
      <c r="C1699" s="6" t="n">
        <v>14</v>
      </c>
      <c r="D1699" s="25" t="n">
        <f aca="false">EDATE('Start Here'!$B$6,C1699-1)</f>
        <v>46722</v>
      </c>
      <c r="E1699" s="11" t="n">
        <f aca="false">IF(AND(OR(Nonlabor!$D$12="Both",Nonlabor!$D$12='Start Here'!$B$9),IF(Nonlabor!$E$12="Core",1,IF(Nonlabor!$E$12="AI",'Start Here'!$B$7,'Start Here'!$B$8))=1,C1699&gt;=IF(Nonlabor!$E$12="Core",Nonlabor!$F$12,MAX(Nonlabor!$F$12,IF(Nonlabor!$E$12="AI",Assumptions!$D$24,Assumptions!$D$25))),C1699&lt;=Nonlabor!$G$12,OR(Nonlabor!$H$12="Monthly",AND(Nonlabor!$H$12="Once",C1699=IF(Nonlabor!$E$12="Core",Nonlabor!$F$12,MAX(Nonlabor!$F$12,IF(Nonlabor!$E$12="AI",Assumptions!$D$24,Assumptions!$D$25)))),AND(Nonlabor!$H$12="Annual",MOD(C1699-IF(Nonlabor!$E$12="Core",Nonlabor!$F$12,MAX(Nonlabor!$F$12,IF(Nonlabor!$E$12="AI",Assumptions!$D$24,Assumptions!$D$25))),12)=0))),IF(Nonlabor!$I$12="Fixed",1,IF(Nonlabor!$I$12="Seats",ROUNDUP('Monthly Base'!I19,0),IF(Nonlabor!$I$12="Customers",'Monthly Base'!D19,IF(Nonlabor!$I$12="NewCustomers",'Monthly Base'!C19,IF(Nonlabor!$I$12="StorageGB",'Monthly Base'!G19,IF(Nonlabor!$I$12="LogGB",'Monthly Base'!H19,IF(Nonlabor!$I$12="RequestsM",'Monthly Base'!F19,IF(Nonlabor!$I$12="InputM",'Monthly Base'!D19*Assumptions!$D$22/1000000,IF(Nonlabor!$I$12="OutputM",'Monthly Base'!D19*Assumptions!$D$23/1000000,0))))))))),0)</f>
        <v>0.134325</v>
      </c>
      <c r="F1699" s="10" t="n">
        <f aca="false">Nonlabor!$J$12*(1+Assumptions!$D$9)^INT((C1699-1)/12)</f>
        <v>30.9</v>
      </c>
      <c r="G1699" s="10" t="n">
        <f aca="false">E1699*F1699</f>
        <v>4.1506425</v>
      </c>
      <c r="H1699" s="10" t="n">
        <f aca="false">IF(OR(Nonlabor!$L$12="Quote required",Nonlabor!$L$12="Unverified"),G1699,0)</f>
        <v>0</v>
      </c>
      <c r="I1699" s="10" t="n">
        <f aca="false">IF(Nonlabor!$E$12="Core",0,G1699)</f>
        <v>0</v>
      </c>
      <c r="J1699" s="23" t="str">
        <f aca="false">Nonlabor!$B$12</f>
        <v>INFRA</v>
      </c>
    </row>
    <row r="1700" customFormat="false" ht="15" hidden="false" customHeight="false" outlineLevel="0" collapsed="false">
      <c r="A1700" s="6" t="s">
        <v>4</v>
      </c>
      <c r="B1700" s="6" t="s">
        <v>391</v>
      </c>
      <c r="C1700" s="6" t="n">
        <v>15</v>
      </c>
      <c r="D1700" s="25" t="n">
        <f aca="false">EDATE('Start Here'!$B$6,C1700-1)</f>
        <v>46753</v>
      </c>
      <c r="E1700" s="11" t="n">
        <f aca="false">IF(AND(OR(Nonlabor!$D$12="Both",Nonlabor!$D$12='Start Here'!$B$9),IF(Nonlabor!$E$12="Core",1,IF(Nonlabor!$E$12="AI",'Start Here'!$B$7,'Start Here'!$B$8))=1,C1700&gt;=IF(Nonlabor!$E$12="Core",Nonlabor!$F$12,MAX(Nonlabor!$F$12,IF(Nonlabor!$E$12="AI",Assumptions!$D$24,Assumptions!$D$25))),C1700&lt;=Nonlabor!$G$12,OR(Nonlabor!$H$12="Monthly",AND(Nonlabor!$H$12="Once",C1700=IF(Nonlabor!$E$12="Core",Nonlabor!$F$12,MAX(Nonlabor!$F$12,IF(Nonlabor!$E$12="AI",Assumptions!$D$24,Assumptions!$D$25)))),AND(Nonlabor!$H$12="Annual",MOD(C1700-IF(Nonlabor!$E$12="Core",Nonlabor!$F$12,MAX(Nonlabor!$F$12,IF(Nonlabor!$E$12="AI",Assumptions!$D$24,Assumptions!$D$25))),12)=0))),IF(Nonlabor!$I$12="Fixed",1,IF(Nonlabor!$I$12="Seats",ROUNDUP('Monthly Base'!I20,0),IF(Nonlabor!$I$12="Customers",'Monthly Base'!D20,IF(Nonlabor!$I$12="NewCustomers",'Monthly Base'!C20,IF(Nonlabor!$I$12="StorageGB",'Monthly Base'!G20,IF(Nonlabor!$I$12="LogGB",'Monthly Base'!H20,IF(Nonlabor!$I$12="RequestsM",'Monthly Base'!F20,IF(Nonlabor!$I$12="InputM",'Monthly Base'!D20*Assumptions!$D$22/1000000,IF(Nonlabor!$I$12="OutputM",'Monthly Base'!D20*Assumptions!$D$23/1000000,0))))))))),0)</f>
        <v>0.20048175</v>
      </c>
      <c r="F1700" s="10" t="n">
        <f aca="false">Nonlabor!$J$12*(1+Assumptions!$D$9)^INT((C1700-1)/12)</f>
        <v>30.9</v>
      </c>
      <c r="G1700" s="10" t="n">
        <f aca="false">E1700*F1700</f>
        <v>6.194886075</v>
      </c>
      <c r="H1700" s="10" t="n">
        <f aca="false">IF(OR(Nonlabor!$L$12="Quote required",Nonlabor!$L$12="Unverified"),G1700,0)</f>
        <v>0</v>
      </c>
      <c r="I1700" s="10" t="n">
        <f aca="false">IF(Nonlabor!$E$12="Core",0,G1700)</f>
        <v>0</v>
      </c>
      <c r="J1700" s="23" t="str">
        <f aca="false">Nonlabor!$B$12</f>
        <v>INFRA</v>
      </c>
    </row>
    <row r="1701" customFormat="false" ht="15" hidden="false" customHeight="false" outlineLevel="0" collapsed="false">
      <c r="A1701" s="6" t="s">
        <v>4</v>
      </c>
      <c r="B1701" s="6" t="s">
        <v>391</v>
      </c>
      <c r="C1701" s="6" t="n">
        <v>16</v>
      </c>
      <c r="D1701" s="25" t="n">
        <f aca="false">EDATE('Start Here'!$B$6,C1701-1)</f>
        <v>46784</v>
      </c>
      <c r="E1701" s="11" t="n">
        <f aca="false">IF(AND(OR(Nonlabor!$D$12="Both",Nonlabor!$D$12='Start Here'!$B$9),IF(Nonlabor!$E$12="Core",1,IF(Nonlabor!$E$12="AI",'Start Here'!$B$7,'Start Here'!$B$8))=1,C1701&gt;=IF(Nonlabor!$E$12="Core",Nonlabor!$F$12,MAX(Nonlabor!$F$12,IF(Nonlabor!$E$12="AI",Assumptions!$D$24,Assumptions!$D$25))),C1701&lt;=Nonlabor!$G$12,OR(Nonlabor!$H$12="Monthly",AND(Nonlabor!$H$12="Once",C1701=IF(Nonlabor!$E$12="Core",Nonlabor!$F$12,MAX(Nonlabor!$F$12,IF(Nonlabor!$E$12="AI",Assumptions!$D$24,Assumptions!$D$25)))),AND(Nonlabor!$H$12="Annual",MOD(C1701-IF(Nonlabor!$E$12="Core",Nonlabor!$F$12,MAX(Nonlabor!$F$12,IF(Nonlabor!$E$12="AI",Assumptions!$D$24,Assumptions!$D$25))),12)=0))),IF(Nonlabor!$I$12="Fixed",1,IF(Nonlabor!$I$12="Seats",ROUNDUP('Monthly Base'!I21,0),IF(Nonlabor!$I$12="Customers",'Monthly Base'!D21,IF(Nonlabor!$I$12="NewCustomers",'Monthly Base'!C21,IF(Nonlabor!$I$12="StorageGB",'Monthly Base'!G21,IF(Nonlabor!$I$12="LogGB",'Monthly Base'!H21,IF(Nonlabor!$I$12="RequestsM",'Monthly Base'!F21,IF(Nonlabor!$I$12="InputM",'Monthly Base'!D21*Assumptions!$D$22/1000000,IF(Nonlabor!$I$12="OutputM",'Monthly Base'!D21*Assumptions!$D$23/1000000,0))))))))),0)</f>
        <v>0.2659769325</v>
      </c>
      <c r="F1701" s="10" t="n">
        <f aca="false">Nonlabor!$J$12*(1+Assumptions!$D$9)^INT((C1701-1)/12)</f>
        <v>30.9</v>
      </c>
      <c r="G1701" s="10" t="n">
        <f aca="false">E1701*F1701</f>
        <v>8.21868721425</v>
      </c>
      <c r="H1701" s="10" t="n">
        <f aca="false">IF(OR(Nonlabor!$L$12="Quote required",Nonlabor!$L$12="Unverified"),G1701,0)</f>
        <v>0</v>
      </c>
      <c r="I1701" s="10" t="n">
        <f aca="false">IF(Nonlabor!$E$12="Core",0,G1701)</f>
        <v>0</v>
      </c>
      <c r="J1701" s="23" t="str">
        <f aca="false">Nonlabor!$B$12</f>
        <v>INFRA</v>
      </c>
    </row>
    <row r="1702" customFormat="false" ht="15" hidden="false" customHeight="false" outlineLevel="0" collapsed="false">
      <c r="A1702" s="6" t="s">
        <v>4</v>
      </c>
      <c r="B1702" s="6" t="s">
        <v>391</v>
      </c>
      <c r="C1702" s="6" t="n">
        <v>17</v>
      </c>
      <c r="D1702" s="25" t="n">
        <f aca="false">EDATE('Start Here'!$B$6,C1702-1)</f>
        <v>46813</v>
      </c>
      <c r="E1702" s="11" t="n">
        <f aca="false">IF(AND(OR(Nonlabor!$D$12="Both",Nonlabor!$D$12='Start Here'!$B$9),IF(Nonlabor!$E$12="Core",1,IF(Nonlabor!$E$12="AI",'Start Here'!$B$7,'Start Here'!$B$8))=1,C1702&gt;=IF(Nonlabor!$E$12="Core",Nonlabor!$F$12,MAX(Nonlabor!$F$12,IF(Nonlabor!$E$12="AI",Assumptions!$D$24,Assumptions!$D$25))),C1702&lt;=Nonlabor!$G$12,OR(Nonlabor!$H$12="Monthly",AND(Nonlabor!$H$12="Once",C1702=IF(Nonlabor!$E$12="Core",Nonlabor!$F$12,MAX(Nonlabor!$F$12,IF(Nonlabor!$E$12="AI",Assumptions!$D$24,Assumptions!$D$25)))),AND(Nonlabor!$H$12="Annual",MOD(C1702-IF(Nonlabor!$E$12="Core",Nonlabor!$F$12,MAX(Nonlabor!$F$12,IF(Nonlabor!$E$12="AI",Assumptions!$D$24,Assumptions!$D$25))),12)=0))),IF(Nonlabor!$I$12="Fixed",1,IF(Nonlabor!$I$12="Seats",ROUNDUP('Monthly Base'!I22,0),IF(Nonlabor!$I$12="Customers",'Monthly Base'!D22,IF(Nonlabor!$I$12="NewCustomers",'Monthly Base'!C22,IF(Nonlabor!$I$12="StorageGB",'Monthly Base'!G22,IF(Nonlabor!$I$12="LogGB",'Monthly Base'!H22,IF(Nonlabor!$I$12="RequestsM",'Monthly Base'!F22,IF(Nonlabor!$I$12="InputM",'Monthly Base'!D22*Assumptions!$D$22/1000000,IF(Nonlabor!$I$12="OutputM",'Monthly Base'!D22*Assumptions!$D$23/1000000,0))))))))),0)</f>
        <v>0.330817163175</v>
      </c>
      <c r="F1702" s="10" t="n">
        <f aca="false">Nonlabor!$J$12*(1+Assumptions!$D$9)^INT((C1702-1)/12)</f>
        <v>30.9</v>
      </c>
      <c r="G1702" s="10" t="n">
        <f aca="false">E1702*F1702</f>
        <v>10.2222503421075</v>
      </c>
      <c r="H1702" s="10" t="n">
        <f aca="false">IF(OR(Nonlabor!$L$12="Quote required",Nonlabor!$L$12="Unverified"),G1702,0)</f>
        <v>0</v>
      </c>
      <c r="I1702" s="10" t="n">
        <f aca="false">IF(Nonlabor!$E$12="Core",0,G1702)</f>
        <v>0</v>
      </c>
      <c r="J1702" s="23" t="str">
        <f aca="false">Nonlabor!$B$12</f>
        <v>INFRA</v>
      </c>
    </row>
    <row r="1703" customFormat="false" ht="15" hidden="false" customHeight="false" outlineLevel="0" collapsed="false">
      <c r="A1703" s="6" t="s">
        <v>4</v>
      </c>
      <c r="B1703" s="6" t="s">
        <v>391</v>
      </c>
      <c r="C1703" s="6" t="n">
        <v>18</v>
      </c>
      <c r="D1703" s="25" t="n">
        <f aca="false">EDATE('Start Here'!$B$6,C1703-1)</f>
        <v>46844</v>
      </c>
      <c r="E1703" s="11" t="n">
        <f aca="false">IF(AND(OR(Nonlabor!$D$12="Both",Nonlabor!$D$12='Start Here'!$B$9),IF(Nonlabor!$E$12="Core",1,IF(Nonlabor!$E$12="AI",'Start Here'!$B$7,'Start Here'!$B$8))=1,C1703&gt;=IF(Nonlabor!$E$12="Core",Nonlabor!$F$12,MAX(Nonlabor!$F$12,IF(Nonlabor!$E$12="AI",Assumptions!$D$24,Assumptions!$D$25))),C1703&lt;=Nonlabor!$G$12,OR(Nonlabor!$H$12="Monthly",AND(Nonlabor!$H$12="Once",C1703=IF(Nonlabor!$E$12="Core",Nonlabor!$F$12,MAX(Nonlabor!$F$12,IF(Nonlabor!$E$12="AI",Assumptions!$D$24,Assumptions!$D$25)))),AND(Nonlabor!$H$12="Annual",MOD(C1703-IF(Nonlabor!$E$12="Core",Nonlabor!$F$12,MAX(Nonlabor!$F$12,IF(Nonlabor!$E$12="AI",Assumptions!$D$24,Assumptions!$D$25))),12)=0))),IF(Nonlabor!$I$12="Fixed",1,IF(Nonlabor!$I$12="Seats",ROUNDUP('Monthly Base'!I23,0),IF(Nonlabor!$I$12="Customers",'Monthly Base'!D23,IF(Nonlabor!$I$12="NewCustomers",'Monthly Base'!C23,IF(Nonlabor!$I$12="StorageGB",'Monthly Base'!G23,IF(Nonlabor!$I$12="LogGB",'Monthly Base'!H23,IF(Nonlabor!$I$12="RequestsM",'Monthly Base'!F23,IF(Nonlabor!$I$12="InputM",'Monthly Base'!D23*Assumptions!$D$22/1000000,IF(Nonlabor!$I$12="OutputM",'Monthly Base'!D23*Assumptions!$D$23/1000000,0))))))))),0)</f>
        <v>0.39500899154325</v>
      </c>
      <c r="F1703" s="10" t="n">
        <f aca="false">Nonlabor!$J$12*(1+Assumptions!$D$9)^INT((C1703-1)/12)</f>
        <v>30.9</v>
      </c>
      <c r="G1703" s="10" t="n">
        <f aca="false">E1703*F1703</f>
        <v>12.2057778386864</v>
      </c>
      <c r="H1703" s="10" t="n">
        <f aca="false">IF(OR(Nonlabor!$L$12="Quote required",Nonlabor!$L$12="Unverified"),G1703,0)</f>
        <v>0</v>
      </c>
      <c r="I1703" s="10" t="n">
        <f aca="false">IF(Nonlabor!$E$12="Core",0,G1703)</f>
        <v>0</v>
      </c>
      <c r="J1703" s="23" t="str">
        <f aca="false">Nonlabor!$B$12</f>
        <v>INFRA</v>
      </c>
    </row>
    <row r="1704" customFormat="false" ht="15" hidden="false" customHeight="false" outlineLevel="0" collapsed="false">
      <c r="A1704" s="6" t="s">
        <v>4</v>
      </c>
      <c r="B1704" s="6" t="s">
        <v>391</v>
      </c>
      <c r="C1704" s="6" t="n">
        <v>19</v>
      </c>
      <c r="D1704" s="25" t="n">
        <f aca="false">EDATE('Start Here'!$B$6,C1704-1)</f>
        <v>46874</v>
      </c>
      <c r="E1704" s="11" t="n">
        <f aca="false">IF(AND(OR(Nonlabor!$D$12="Both",Nonlabor!$D$12='Start Here'!$B$9),IF(Nonlabor!$E$12="Core",1,IF(Nonlabor!$E$12="AI",'Start Here'!$B$7,'Start Here'!$B$8))=1,C1704&gt;=IF(Nonlabor!$E$12="Core",Nonlabor!$F$12,MAX(Nonlabor!$F$12,IF(Nonlabor!$E$12="AI",Assumptions!$D$24,Assumptions!$D$25))),C1704&lt;=Nonlabor!$G$12,OR(Nonlabor!$H$12="Monthly",AND(Nonlabor!$H$12="Once",C1704=IF(Nonlabor!$E$12="Core",Nonlabor!$F$12,MAX(Nonlabor!$F$12,IF(Nonlabor!$E$12="AI",Assumptions!$D$24,Assumptions!$D$25)))),AND(Nonlabor!$H$12="Annual",MOD(C1704-IF(Nonlabor!$E$12="Core",Nonlabor!$F$12,MAX(Nonlabor!$F$12,IF(Nonlabor!$E$12="AI",Assumptions!$D$24,Assumptions!$D$25))),12)=0))),IF(Nonlabor!$I$12="Fixed",1,IF(Nonlabor!$I$12="Seats",ROUNDUP('Monthly Base'!I24,0),IF(Nonlabor!$I$12="Customers",'Monthly Base'!D24,IF(Nonlabor!$I$12="NewCustomers",'Monthly Base'!C24,IF(Nonlabor!$I$12="StorageGB",'Monthly Base'!G24,IF(Nonlabor!$I$12="LogGB",'Monthly Base'!H24,IF(Nonlabor!$I$12="RequestsM",'Monthly Base'!F24,IF(Nonlabor!$I$12="InputM",'Monthly Base'!D24*Assumptions!$D$22/1000000,IF(Nonlabor!$I$12="OutputM",'Monthly Base'!D24*Assumptions!$D$23/1000000,0))))))))),0)</f>
        <v>0.458558901627818</v>
      </c>
      <c r="F1704" s="10" t="n">
        <f aca="false">Nonlabor!$J$12*(1+Assumptions!$D$9)^INT((C1704-1)/12)</f>
        <v>30.9</v>
      </c>
      <c r="G1704" s="10" t="n">
        <f aca="false">E1704*F1704</f>
        <v>14.1694700602996</v>
      </c>
      <c r="H1704" s="10" t="n">
        <f aca="false">IF(OR(Nonlabor!$L$12="Quote required",Nonlabor!$L$12="Unverified"),G1704,0)</f>
        <v>0</v>
      </c>
      <c r="I1704" s="10" t="n">
        <f aca="false">IF(Nonlabor!$E$12="Core",0,G1704)</f>
        <v>0</v>
      </c>
      <c r="J1704" s="23" t="str">
        <f aca="false">Nonlabor!$B$12</f>
        <v>INFRA</v>
      </c>
    </row>
    <row r="1705" customFormat="false" ht="15" hidden="false" customHeight="false" outlineLevel="0" collapsed="false">
      <c r="A1705" s="6" t="s">
        <v>4</v>
      </c>
      <c r="B1705" s="6" t="s">
        <v>391</v>
      </c>
      <c r="C1705" s="6" t="n">
        <v>20</v>
      </c>
      <c r="D1705" s="25" t="n">
        <f aca="false">EDATE('Start Here'!$B$6,C1705-1)</f>
        <v>46905</v>
      </c>
      <c r="E1705" s="11" t="n">
        <f aca="false">IF(AND(OR(Nonlabor!$D$12="Both",Nonlabor!$D$12='Start Here'!$B$9),IF(Nonlabor!$E$12="Core",1,IF(Nonlabor!$E$12="AI",'Start Here'!$B$7,'Start Here'!$B$8))=1,C1705&gt;=IF(Nonlabor!$E$12="Core",Nonlabor!$F$12,MAX(Nonlabor!$F$12,IF(Nonlabor!$E$12="AI",Assumptions!$D$24,Assumptions!$D$25))),C1705&lt;=Nonlabor!$G$12,OR(Nonlabor!$H$12="Monthly",AND(Nonlabor!$H$12="Once",C1705=IF(Nonlabor!$E$12="Core",Nonlabor!$F$12,MAX(Nonlabor!$F$12,IF(Nonlabor!$E$12="AI",Assumptions!$D$24,Assumptions!$D$25)))),AND(Nonlabor!$H$12="Annual",MOD(C1705-IF(Nonlabor!$E$12="Core",Nonlabor!$F$12,MAX(Nonlabor!$F$12,IF(Nonlabor!$E$12="AI",Assumptions!$D$24,Assumptions!$D$25))),12)=0))),IF(Nonlabor!$I$12="Fixed",1,IF(Nonlabor!$I$12="Seats",ROUNDUP('Monthly Base'!I25,0),IF(Nonlabor!$I$12="Customers",'Monthly Base'!D25,IF(Nonlabor!$I$12="NewCustomers",'Monthly Base'!C25,IF(Nonlabor!$I$12="StorageGB",'Monthly Base'!G25,IF(Nonlabor!$I$12="LogGB",'Monthly Base'!H25,IF(Nonlabor!$I$12="RequestsM",'Monthly Base'!F25,IF(Nonlabor!$I$12="InputM",'Monthly Base'!D25*Assumptions!$D$22/1000000,IF(Nonlabor!$I$12="OutputM",'Monthly Base'!D25*Assumptions!$D$23/1000000,0))))))))),0)</f>
        <v>0.521473312611539</v>
      </c>
      <c r="F1705" s="10" t="n">
        <f aca="false">Nonlabor!$J$12*(1+Assumptions!$D$9)^INT((C1705-1)/12)</f>
        <v>30.9</v>
      </c>
      <c r="G1705" s="10" t="n">
        <f aca="false">E1705*F1705</f>
        <v>16.1135253596966</v>
      </c>
      <c r="H1705" s="10" t="n">
        <f aca="false">IF(OR(Nonlabor!$L$12="Quote required",Nonlabor!$L$12="Unverified"),G1705,0)</f>
        <v>0</v>
      </c>
      <c r="I1705" s="10" t="n">
        <f aca="false">IF(Nonlabor!$E$12="Core",0,G1705)</f>
        <v>0</v>
      </c>
      <c r="J1705" s="23" t="str">
        <f aca="false">Nonlabor!$B$12</f>
        <v>INFRA</v>
      </c>
    </row>
    <row r="1706" customFormat="false" ht="15" hidden="false" customHeight="false" outlineLevel="0" collapsed="false">
      <c r="A1706" s="6" t="s">
        <v>4</v>
      </c>
      <c r="B1706" s="6" t="s">
        <v>391</v>
      </c>
      <c r="C1706" s="6" t="n">
        <v>21</v>
      </c>
      <c r="D1706" s="25" t="n">
        <f aca="false">EDATE('Start Here'!$B$6,C1706-1)</f>
        <v>46935</v>
      </c>
      <c r="E1706" s="11" t="n">
        <f aca="false">IF(AND(OR(Nonlabor!$D$12="Both",Nonlabor!$D$12='Start Here'!$B$9),IF(Nonlabor!$E$12="Core",1,IF(Nonlabor!$E$12="AI",'Start Here'!$B$7,'Start Here'!$B$8))=1,C1706&gt;=IF(Nonlabor!$E$12="Core",Nonlabor!$F$12,MAX(Nonlabor!$F$12,IF(Nonlabor!$E$12="AI",Assumptions!$D$24,Assumptions!$D$25))),C1706&lt;=Nonlabor!$G$12,OR(Nonlabor!$H$12="Monthly",AND(Nonlabor!$H$12="Once",C1706=IF(Nonlabor!$E$12="Core",Nonlabor!$F$12,MAX(Nonlabor!$F$12,IF(Nonlabor!$E$12="AI",Assumptions!$D$24,Assumptions!$D$25)))),AND(Nonlabor!$H$12="Annual",MOD(C1706-IF(Nonlabor!$E$12="Core",Nonlabor!$F$12,MAX(Nonlabor!$F$12,IF(Nonlabor!$E$12="AI",Assumptions!$D$24,Assumptions!$D$25))),12)=0))),IF(Nonlabor!$I$12="Fixed",1,IF(Nonlabor!$I$12="Seats",ROUNDUP('Monthly Base'!I26,0),IF(Nonlabor!$I$12="Customers",'Monthly Base'!D26,IF(Nonlabor!$I$12="NewCustomers",'Monthly Base'!C26,IF(Nonlabor!$I$12="StorageGB",'Monthly Base'!G26,IF(Nonlabor!$I$12="LogGB",'Monthly Base'!H26,IF(Nonlabor!$I$12="RequestsM",'Monthly Base'!F26,IF(Nonlabor!$I$12="InputM",'Monthly Base'!D26*Assumptions!$D$22/1000000,IF(Nonlabor!$I$12="OutputM",'Monthly Base'!D26*Assumptions!$D$23/1000000,0))))))))),0)</f>
        <v>0.583758579485424</v>
      </c>
      <c r="F1706" s="10" t="n">
        <f aca="false">Nonlabor!$J$12*(1+Assumptions!$D$9)^INT((C1706-1)/12)</f>
        <v>30.9</v>
      </c>
      <c r="G1706" s="10" t="n">
        <f aca="false">E1706*F1706</f>
        <v>18.0381401060996</v>
      </c>
      <c r="H1706" s="10" t="n">
        <f aca="false">IF(OR(Nonlabor!$L$12="Quote required",Nonlabor!$L$12="Unverified"),G1706,0)</f>
        <v>0</v>
      </c>
      <c r="I1706" s="10" t="n">
        <f aca="false">IF(Nonlabor!$E$12="Core",0,G1706)</f>
        <v>0</v>
      </c>
      <c r="J1706" s="23" t="str">
        <f aca="false">Nonlabor!$B$12</f>
        <v>INFRA</v>
      </c>
    </row>
    <row r="1707" customFormat="false" ht="15" hidden="false" customHeight="false" outlineLevel="0" collapsed="false">
      <c r="A1707" s="6" t="s">
        <v>4</v>
      </c>
      <c r="B1707" s="6" t="s">
        <v>391</v>
      </c>
      <c r="C1707" s="6" t="n">
        <v>22</v>
      </c>
      <c r="D1707" s="25" t="n">
        <f aca="false">EDATE('Start Here'!$B$6,C1707-1)</f>
        <v>46966</v>
      </c>
      <c r="E1707" s="11" t="n">
        <f aca="false">IF(AND(OR(Nonlabor!$D$12="Both",Nonlabor!$D$12='Start Here'!$B$9),IF(Nonlabor!$E$12="Core",1,IF(Nonlabor!$E$12="AI",'Start Here'!$B$7,'Start Here'!$B$8))=1,C1707&gt;=IF(Nonlabor!$E$12="Core",Nonlabor!$F$12,MAX(Nonlabor!$F$12,IF(Nonlabor!$E$12="AI",Assumptions!$D$24,Assumptions!$D$25))),C1707&lt;=Nonlabor!$G$12,OR(Nonlabor!$H$12="Monthly",AND(Nonlabor!$H$12="Once",C1707=IF(Nonlabor!$E$12="Core",Nonlabor!$F$12,MAX(Nonlabor!$F$12,IF(Nonlabor!$E$12="AI",Assumptions!$D$24,Assumptions!$D$25)))),AND(Nonlabor!$H$12="Annual",MOD(C1707-IF(Nonlabor!$E$12="Core",Nonlabor!$F$12,MAX(Nonlabor!$F$12,IF(Nonlabor!$E$12="AI",Assumptions!$D$24,Assumptions!$D$25))),12)=0))),IF(Nonlabor!$I$12="Fixed",1,IF(Nonlabor!$I$12="Seats",ROUNDUP('Monthly Base'!I27,0),IF(Nonlabor!$I$12="Customers",'Monthly Base'!D27,IF(Nonlabor!$I$12="NewCustomers",'Monthly Base'!C27,IF(Nonlabor!$I$12="StorageGB",'Monthly Base'!G27,IF(Nonlabor!$I$12="LogGB",'Monthly Base'!H27,IF(Nonlabor!$I$12="RequestsM",'Monthly Base'!F27,IF(Nonlabor!$I$12="InputM",'Monthly Base'!D27*Assumptions!$D$22/1000000,IF(Nonlabor!$I$12="OutputM",'Monthly Base'!D27*Assumptions!$D$23/1000000,0))))))))),0)</f>
        <v>0.64542099369057</v>
      </c>
      <c r="F1707" s="10" t="n">
        <f aca="false">Nonlabor!$J$12*(1+Assumptions!$D$9)^INT((C1707-1)/12)</f>
        <v>30.9</v>
      </c>
      <c r="G1707" s="10" t="n">
        <f aca="false">E1707*F1707</f>
        <v>19.9435087050386</v>
      </c>
      <c r="H1707" s="10" t="n">
        <f aca="false">IF(OR(Nonlabor!$L$12="Quote required",Nonlabor!$L$12="Unverified"),G1707,0)</f>
        <v>0</v>
      </c>
      <c r="I1707" s="10" t="n">
        <f aca="false">IF(Nonlabor!$E$12="Core",0,G1707)</f>
        <v>0</v>
      </c>
      <c r="J1707" s="23" t="str">
        <f aca="false">Nonlabor!$B$12</f>
        <v>INFRA</v>
      </c>
    </row>
    <row r="1708" customFormat="false" ht="15" hidden="false" customHeight="false" outlineLevel="0" collapsed="false">
      <c r="A1708" s="6" t="s">
        <v>4</v>
      </c>
      <c r="B1708" s="6" t="s">
        <v>391</v>
      </c>
      <c r="C1708" s="6" t="n">
        <v>23</v>
      </c>
      <c r="D1708" s="25" t="n">
        <f aca="false">EDATE('Start Here'!$B$6,C1708-1)</f>
        <v>46997</v>
      </c>
      <c r="E1708" s="11" t="n">
        <f aca="false">IF(AND(OR(Nonlabor!$D$12="Both",Nonlabor!$D$12='Start Here'!$B$9),IF(Nonlabor!$E$12="Core",1,IF(Nonlabor!$E$12="AI",'Start Here'!$B$7,'Start Here'!$B$8))=1,C1708&gt;=IF(Nonlabor!$E$12="Core",Nonlabor!$F$12,MAX(Nonlabor!$F$12,IF(Nonlabor!$E$12="AI",Assumptions!$D$24,Assumptions!$D$25))),C1708&lt;=Nonlabor!$G$12,OR(Nonlabor!$H$12="Monthly",AND(Nonlabor!$H$12="Once",C1708=IF(Nonlabor!$E$12="Core",Nonlabor!$F$12,MAX(Nonlabor!$F$12,IF(Nonlabor!$E$12="AI",Assumptions!$D$24,Assumptions!$D$25)))),AND(Nonlabor!$H$12="Annual",MOD(C1708-IF(Nonlabor!$E$12="Core",Nonlabor!$F$12,MAX(Nonlabor!$F$12,IF(Nonlabor!$E$12="AI",Assumptions!$D$24,Assumptions!$D$25))),12)=0))),IF(Nonlabor!$I$12="Fixed",1,IF(Nonlabor!$I$12="Seats",ROUNDUP('Monthly Base'!I28,0),IF(Nonlabor!$I$12="Customers",'Monthly Base'!D28,IF(Nonlabor!$I$12="NewCustomers",'Monthly Base'!C28,IF(Nonlabor!$I$12="StorageGB",'Monthly Base'!G28,IF(Nonlabor!$I$12="LogGB",'Monthly Base'!H28,IF(Nonlabor!$I$12="RequestsM",'Monthly Base'!F28,IF(Nonlabor!$I$12="InputM",'Monthly Base'!D28*Assumptions!$D$22/1000000,IF(Nonlabor!$I$12="OutputM",'Monthly Base'!D28*Assumptions!$D$23/1000000,0))))))))),0)</f>
        <v>0.706466783753664</v>
      </c>
      <c r="F1708" s="10" t="n">
        <f aca="false">Nonlabor!$J$12*(1+Assumptions!$D$9)^INT((C1708-1)/12)</f>
        <v>30.9</v>
      </c>
      <c r="G1708" s="10" t="n">
        <f aca="false">E1708*F1708</f>
        <v>21.8298236179882</v>
      </c>
      <c r="H1708" s="10" t="n">
        <f aca="false">IF(OR(Nonlabor!$L$12="Quote required",Nonlabor!$L$12="Unverified"),G1708,0)</f>
        <v>0</v>
      </c>
      <c r="I1708" s="10" t="n">
        <f aca="false">IF(Nonlabor!$E$12="Core",0,G1708)</f>
        <v>0</v>
      </c>
      <c r="J1708" s="23" t="str">
        <f aca="false">Nonlabor!$B$12</f>
        <v>INFRA</v>
      </c>
    </row>
    <row r="1709" customFormat="false" ht="15" hidden="false" customHeight="false" outlineLevel="0" collapsed="false">
      <c r="A1709" s="6" t="s">
        <v>4</v>
      </c>
      <c r="B1709" s="6" t="s">
        <v>391</v>
      </c>
      <c r="C1709" s="6" t="n">
        <v>24</v>
      </c>
      <c r="D1709" s="25" t="n">
        <f aca="false">EDATE('Start Here'!$B$6,C1709-1)</f>
        <v>47027</v>
      </c>
      <c r="E1709" s="11" t="n">
        <f aca="false">IF(AND(OR(Nonlabor!$D$12="Both",Nonlabor!$D$12='Start Here'!$B$9),IF(Nonlabor!$E$12="Core",1,IF(Nonlabor!$E$12="AI",'Start Here'!$B$7,'Start Here'!$B$8))=1,C1709&gt;=IF(Nonlabor!$E$12="Core",Nonlabor!$F$12,MAX(Nonlabor!$F$12,IF(Nonlabor!$E$12="AI",Assumptions!$D$24,Assumptions!$D$25))),C1709&lt;=Nonlabor!$G$12,OR(Nonlabor!$H$12="Monthly",AND(Nonlabor!$H$12="Once",C1709=IF(Nonlabor!$E$12="Core",Nonlabor!$F$12,MAX(Nonlabor!$F$12,IF(Nonlabor!$E$12="AI",Assumptions!$D$24,Assumptions!$D$25)))),AND(Nonlabor!$H$12="Annual",MOD(C1709-IF(Nonlabor!$E$12="Core",Nonlabor!$F$12,MAX(Nonlabor!$F$12,IF(Nonlabor!$E$12="AI",Assumptions!$D$24,Assumptions!$D$25))),12)=0))),IF(Nonlabor!$I$12="Fixed",1,IF(Nonlabor!$I$12="Seats",ROUNDUP('Monthly Base'!I29,0),IF(Nonlabor!$I$12="Customers",'Monthly Base'!D29,IF(Nonlabor!$I$12="NewCustomers",'Monthly Base'!C29,IF(Nonlabor!$I$12="StorageGB",'Monthly Base'!G29,IF(Nonlabor!$I$12="LogGB",'Monthly Base'!H29,IF(Nonlabor!$I$12="RequestsM",'Monthly Base'!F29,IF(Nonlabor!$I$12="InputM",'Monthly Base'!D29*Assumptions!$D$22/1000000,IF(Nonlabor!$I$12="OutputM",'Monthly Base'!D29*Assumptions!$D$23/1000000,0))))))))),0)</f>
        <v>0.766902115916127</v>
      </c>
      <c r="F1709" s="10" t="n">
        <f aca="false">Nonlabor!$J$12*(1+Assumptions!$D$9)^INT((C1709-1)/12)</f>
        <v>30.9</v>
      </c>
      <c r="G1709" s="10" t="n">
        <f aca="false">E1709*F1709</f>
        <v>23.6972753818083</v>
      </c>
      <c r="H1709" s="10" t="n">
        <f aca="false">IF(OR(Nonlabor!$L$12="Quote required",Nonlabor!$L$12="Unverified"),G1709,0)</f>
        <v>0</v>
      </c>
      <c r="I1709" s="10" t="n">
        <f aca="false">IF(Nonlabor!$E$12="Core",0,G1709)</f>
        <v>0</v>
      </c>
      <c r="J1709" s="23" t="str">
        <f aca="false">Nonlabor!$B$12</f>
        <v>INFRA</v>
      </c>
    </row>
    <row r="1710" customFormat="false" ht="15" hidden="false" customHeight="false" outlineLevel="0" collapsed="false">
      <c r="A1710" s="6" t="s">
        <v>4</v>
      </c>
      <c r="B1710" s="6" t="s">
        <v>391</v>
      </c>
      <c r="C1710" s="6" t="n">
        <v>25</v>
      </c>
      <c r="D1710" s="25" t="n">
        <f aca="false">EDATE('Start Here'!$B$6,C1710-1)</f>
        <v>47058</v>
      </c>
      <c r="E1710" s="11" t="n">
        <f aca="false">IF(AND(OR(Nonlabor!$D$12="Both",Nonlabor!$D$12='Start Here'!$B$9),IF(Nonlabor!$E$12="Core",1,IF(Nonlabor!$E$12="AI",'Start Here'!$B$7,'Start Here'!$B$8))=1,C1710&gt;=IF(Nonlabor!$E$12="Core",Nonlabor!$F$12,MAX(Nonlabor!$F$12,IF(Nonlabor!$E$12="AI",Assumptions!$D$24,Assumptions!$D$25))),C1710&lt;=Nonlabor!$G$12,OR(Nonlabor!$H$12="Monthly",AND(Nonlabor!$H$12="Once",C1710=IF(Nonlabor!$E$12="Core",Nonlabor!$F$12,MAX(Nonlabor!$F$12,IF(Nonlabor!$E$12="AI",Assumptions!$D$24,Assumptions!$D$25)))),AND(Nonlabor!$H$12="Annual",MOD(C1710-IF(Nonlabor!$E$12="Core",Nonlabor!$F$12,MAX(Nonlabor!$F$12,IF(Nonlabor!$E$12="AI",Assumptions!$D$24,Assumptions!$D$25))),12)=0))),IF(Nonlabor!$I$12="Fixed",1,IF(Nonlabor!$I$12="Seats",ROUNDUP('Monthly Base'!I30,0),IF(Nonlabor!$I$12="Customers",'Monthly Base'!D30,IF(Nonlabor!$I$12="NewCustomers",'Monthly Base'!C30,IF(Nonlabor!$I$12="StorageGB",'Monthly Base'!G30,IF(Nonlabor!$I$12="LogGB",'Monthly Base'!H30,IF(Nonlabor!$I$12="RequestsM",'Monthly Base'!F30,IF(Nonlabor!$I$12="InputM",'Monthly Base'!D30*Assumptions!$D$22/1000000,IF(Nonlabor!$I$12="OutputM",'Monthly Base'!D30*Assumptions!$D$23/1000000,0))))))))),0)</f>
        <v>0.860483094756966</v>
      </c>
      <c r="F1710" s="10" t="n">
        <f aca="false">Nonlabor!$J$12*(1+Assumptions!$D$9)^INT((C1710-1)/12)</f>
        <v>31.827</v>
      </c>
      <c r="G1710" s="10" t="n">
        <f aca="false">E1710*F1710</f>
        <v>27.38659545683</v>
      </c>
      <c r="H1710" s="10" t="n">
        <f aca="false">IF(OR(Nonlabor!$L$12="Quote required",Nonlabor!$L$12="Unverified"),G1710,0)</f>
        <v>0</v>
      </c>
      <c r="I1710" s="10" t="n">
        <f aca="false">IF(Nonlabor!$E$12="Core",0,G1710)</f>
        <v>0</v>
      </c>
      <c r="J1710" s="23" t="str">
        <f aca="false">Nonlabor!$B$12</f>
        <v>INFRA</v>
      </c>
    </row>
    <row r="1711" customFormat="false" ht="15" hidden="false" customHeight="false" outlineLevel="0" collapsed="false">
      <c r="A1711" s="6" t="s">
        <v>4</v>
      </c>
      <c r="B1711" s="6" t="s">
        <v>391</v>
      </c>
      <c r="C1711" s="6" t="n">
        <v>26</v>
      </c>
      <c r="D1711" s="25" t="n">
        <f aca="false">EDATE('Start Here'!$B$6,C1711-1)</f>
        <v>47088</v>
      </c>
      <c r="E1711" s="11" t="n">
        <f aca="false">IF(AND(OR(Nonlabor!$D$12="Both",Nonlabor!$D$12='Start Here'!$B$9),IF(Nonlabor!$E$12="Core",1,IF(Nonlabor!$E$12="AI",'Start Here'!$B$7,'Start Here'!$B$8))=1,C1711&gt;=IF(Nonlabor!$E$12="Core",Nonlabor!$F$12,MAX(Nonlabor!$F$12,IF(Nonlabor!$E$12="AI",Assumptions!$D$24,Assumptions!$D$25))),C1711&lt;=Nonlabor!$G$12,OR(Nonlabor!$H$12="Monthly",AND(Nonlabor!$H$12="Once",C1711=IF(Nonlabor!$E$12="Core",Nonlabor!$F$12,MAX(Nonlabor!$F$12,IF(Nonlabor!$E$12="AI",Assumptions!$D$24,Assumptions!$D$25)))),AND(Nonlabor!$H$12="Annual",MOD(C1711-IF(Nonlabor!$E$12="Core",Nonlabor!$F$12,MAX(Nonlabor!$F$12,IF(Nonlabor!$E$12="AI",Assumptions!$D$24,Assumptions!$D$25))),12)=0))),IF(Nonlabor!$I$12="Fixed",1,IF(Nonlabor!$I$12="Seats",ROUNDUP('Monthly Base'!I31,0),IF(Nonlabor!$I$12="Customers",'Monthly Base'!D31,IF(Nonlabor!$I$12="NewCustomers",'Monthly Base'!C31,IF(Nonlabor!$I$12="StorageGB",'Monthly Base'!G31,IF(Nonlabor!$I$12="LogGB",'Monthly Base'!H31,IF(Nonlabor!$I$12="RequestsM",'Monthly Base'!F31,IF(Nonlabor!$I$12="InputM",'Monthly Base'!D31*Assumptions!$D$22/1000000,IF(Nonlabor!$I$12="OutputM",'Monthly Base'!D31*Assumptions!$D$23/1000000,0))))))))),0)</f>
        <v>0.953128263809396</v>
      </c>
      <c r="F1711" s="10" t="n">
        <f aca="false">Nonlabor!$J$12*(1+Assumptions!$D$9)^INT((C1711-1)/12)</f>
        <v>31.827</v>
      </c>
      <c r="G1711" s="10" t="n">
        <f aca="false">E1711*F1711</f>
        <v>30.3352132522617</v>
      </c>
      <c r="H1711" s="10" t="n">
        <f aca="false">IF(OR(Nonlabor!$L$12="Quote required",Nonlabor!$L$12="Unverified"),G1711,0)</f>
        <v>0</v>
      </c>
      <c r="I1711" s="10" t="n">
        <f aca="false">IF(Nonlabor!$E$12="Core",0,G1711)</f>
        <v>0</v>
      </c>
      <c r="J1711" s="23" t="str">
        <f aca="false">Nonlabor!$B$12</f>
        <v>INFRA</v>
      </c>
    </row>
    <row r="1712" customFormat="false" ht="15" hidden="false" customHeight="false" outlineLevel="0" collapsed="false">
      <c r="A1712" s="6" t="s">
        <v>4</v>
      </c>
      <c r="B1712" s="6" t="s">
        <v>391</v>
      </c>
      <c r="C1712" s="6" t="n">
        <v>27</v>
      </c>
      <c r="D1712" s="25" t="n">
        <f aca="false">EDATE('Start Here'!$B$6,C1712-1)</f>
        <v>47119</v>
      </c>
      <c r="E1712" s="11" t="n">
        <f aca="false">IF(AND(OR(Nonlabor!$D$12="Both",Nonlabor!$D$12='Start Here'!$B$9),IF(Nonlabor!$E$12="Core",1,IF(Nonlabor!$E$12="AI",'Start Here'!$B$7,'Start Here'!$B$8))=1,C1712&gt;=IF(Nonlabor!$E$12="Core",Nonlabor!$F$12,MAX(Nonlabor!$F$12,IF(Nonlabor!$E$12="AI",Assumptions!$D$24,Assumptions!$D$25))),C1712&lt;=Nonlabor!$G$12,OR(Nonlabor!$H$12="Monthly",AND(Nonlabor!$H$12="Once",C1712=IF(Nonlabor!$E$12="Core",Nonlabor!$F$12,MAX(Nonlabor!$F$12,IF(Nonlabor!$E$12="AI",Assumptions!$D$24,Assumptions!$D$25)))),AND(Nonlabor!$H$12="Annual",MOD(C1712-IF(Nonlabor!$E$12="Core",Nonlabor!$F$12,MAX(Nonlabor!$F$12,IF(Nonlabor!$E$12="AI",Assumptions!$D$24,Assumptions!$D$25))),12)=0))),IF(Nonlabor!$I$12="Fixed",1,IF(Nonlabor!$I$12="Seats",ROUNDUP('Monthly Base'!I32,0),IF(Nonlabor!$I$12="Customers",'Monthly Base'!D32,IF(Nonlabor!$I$12="NewCustomers",'Monthly Base'!C32,IF(Nonlabor!$I$12="StorageGB",'Monthly Base'!G32,IF(Nonlabor!$I$12="LogGB",'Monthly Base'!H32,IF(Nonlabor!$I$12="RequestsM",'Monthly Base'!F32,IF(Nonlabor!$I$12="InputM",'Monthly Base'!D32*Assumptions!$D$22/1000000,IF(Nonlabor!$I$12="OutputM",'Monthly Base'!D32*Assumptions!$D$23/1000000,0))))))))),0)</f>
        <v>1.0448469811713</v>
      </c>
      <c r="F1712" s="10" t="n">
        <f aca="false">Nonlabor!$J$12*(1+Assumptions!$D$9)^INT((C1712-1)/12)</f>
        <v>31.827</v>
      </c>
      <c r="G1712" s="10" t="n">
        <f aca="false">E1712*F1712</f>
        <v>33.254344869739</v>
      </c>
      <c r="H1712" s="10" t="n">
        <f aca="false">IF(OR(Nonlabor!$L$12="Quote required",Nonlabor!$L$12="Unverified"),G1712,0)</f>
        <v>0</v>
      </c>
      <c r="I1712" s="10" t="n">
        <f aca="false">IF(Nonlabor!$E$12="Core",0,G1712)</f>
        <v>0</v>
      </c>
      <c r="J1712" s="23" t="str">
        <f aca="false">Nonlabor!$B$12</f>
        <v>INFRA</v>
      </c>
    </row>
    <row r="1713" customFormat="false" ht="15" hidden="false" customHeight="false" outlineLevel="0" collapsed="false">
      <c r="A1713" s="6" t="s">
        <v>4</v>
      </c>
      <c r="B1713" s="6" t="s">
        <v>391</v>
      </c>
      <c r="C1713" s="6" t="n">
        <v>28</v>
      </c>
      <c r="D1713" s="25" t="n">
        <f aca="false">EDATE('Start Here'!$B$6,C1713-1)</f>
        <v>47150</v>
      </c>
      <c r="E1713" s="11" t="n">
        <f aca="false">IF(AND(OR(Nonlabor!$D$12="Both",Nonlabor!$D$12='Start Here'!$B$9),IF(Nonlabor!$E$12="Core",1,IF(Nonlabor!$E$12="AI",'Start Here'!$B$7,'Start Here'!$B$8))=1,C1713&gt;=IF(Nonlabor!$E$12="Core",Nonlabor!$F$12,MAX(Nonlabor!$F$12,IF(Nonlabor!$E$12="AI",Assumptions!$D$24,Assumptions!$D$25))),C1713&lt;=Nonlabor!$G$12,OR(Nonlabor!$H$12="Monthly",AND(Nonlabor!$H$12="Once",C1713=IF(Nonlabor!$E$12="Core",Nonlabor!$F$12,MAX(Nonlabor!$F$12,IF(Nonlabor!$E$12="AI",Assumptions!$D$24,Assumptions!$D$25)))),AND(Nonlabor!$H$12="Annual",MOD(C1713-IF(Nonlabor!$E$12="Core",Nonlabor!$F$12,MAX(Nonlabor!$F$12,IF(Nonlabor!$E$12="AI",Assumptions!$D$24,Assumptions!$D$25))),12)=0))),IF(Nonlabor!$I$12="Fixed",1,IF(Nonlabor!$I$12="Seats",ROUNDUP('Monthly Base'!I33,0),IF(Nonlabor!$I$12="Customers",'Monthly Base'!D33,IF(Nonlabor!$I$12="NewCustomers",'Monthly Base'!C33,IF(Nonlabor!$I$12="StorageGB",'Monthly Base'!G33,IF(Nonlabor!$I$12="LogGB",'Monthly Base'!H33,IF(Nonlabor!$I$12="RequestsM",'Monthly Base'!F33,IF(Nonlabor!$I$12="InputM",'Monthly Base'!D33*Assumptions!$D$22/1000000,IF(Nonlabor!$I$12="OutputM",'Monthly Base'!D33*Assumptions!$D$23/1000000,0))))))))),0)</f>
        <v>1.13564851135959</v>
      </c>
      <c r="F1713" s="10" t="n">
        <f aca="false">Nonlabor!$J$12*(1+Assumptions!$D$9)^INT((C1713-1)/12)</f>
        <v>31.827</v>
      </c>
      <c r="G1713" s="10" t="n">
        <f aca="false">E1713*F1713</f>
        <v>36.1442851710416</v>
      </c>
      <c r="H1713" s="10" t="n">
        <f aca="false">IF(OR(Nonlabor!$L$12="Quote required",Nonlabor!$L$12="Unverified"),G1713,0)</f>
        <v>0</v>
      </c>
      <c r="I1713" s="10" t="n">
        <f aca="false">IF(Nonlabor!$E$12="Core",0,G1713)</f>
        <v>0</v>
      </c>
      <c r="J1713" s="23" t="str">
        <f aca="false">Nonlabor!$B$12</f>
        <v>INFRA</v>
      </c>
    </row>
    <row r="1714" customFormat="false" ht="15" hidden="false" customHeight="false" outlineLevel="0" collapsed="false">
      <c r="A1714" s="6" t="s">
        <v>4</v>
      </c>
      <c r="B1714" s="6" t="s">
        <v>391</v>
      </c>
      <c r="C1714" s="6" t="n">
        <v>29</v>
      </c>
      <c r="D1714" s="25" t="n">
        <f aca="false">EDATE('Start Here'!$B$6,C1714-1)</f>
        <v>47178</v>
      </c>
      <c r="E1714" s="11" t="n">
        <f aca="false">IF(AND(OR(Nonlabor!$D$12="Both",Nonlabor!$D$12='Start Here'!$B$9),IF(Nonlabor!$E$12="Core",1,IF(Nonlabor!$E$12="AI",'Start Here'!$B$7,'Start Here'!$B$8))=1,C1714&gt;=IF(Nonlabor!$E$12="Core",Nonlabor!$F$12,MAX(Nonlabor!$F$12,IF(Nonlabor!$E$12="AI",Assumptions!$D$24,Assumptions!$D$25))),C1714&lt;=Nonlabor!$G$12,OR(Nonlabor!$H$12="Monthly",AND(Nonlabor!$H$12="Once",C1714=IF(Nonlabor!$E$12="Core",Nonlabor!$F$12,MAX(Nonlabor!$F$12,IF(Nonlabor!$E$12="AI",Assumptions!$D$24,Assumptions!$D$25)))),AND(Nonlabor!$H$12="Annual",MOD(C1714-IF(Nonlabor!$E$12="Core",Nonlabor!$F$12,MAX(Nonlabor!$F$12,IF(Nonlabor!$E$12="AI",Assumptions!$D$24,Assumptions!$D$25))),12)=0))),IF(Nonlabor!$I$12="Fixed",1,IF(Nonlabor!$I$12="Seats",ROUNDUP('Monthly Base'!I34,0),IF(Nonlabor!$I$12="Customers",'Monthly Base'!D34,IF(Nonlabor!$I$12="NewCustomers",'Monthly Base'!C34,IF(Nonlabor!$I$12="StorageGB",'Monthly Base'!G34,IF(Nonlabor!$I$12="LogGB",'Monthly Base'!H34,IF(Nonlabor!$I$12="RequestsM",'Monthly Base'!F34,IF(Nonlabor!$I$12="InputM",'Monthly Base'!D34*Assumptions!$D$22/1000000,IF(Nonlabor!$I$12="OutputM",'Monthly Base'!D34*Assumptions!$D$23/1000000,0))))))))),0)</f>
        <v>1.22554202624599</v>
      </c>
      <c r="F1714" s="10" t="n">
        <f aca="false">Nonlabor!$J$12*(1+Assumptions!$D$9)^INT((C1714-1)/12)</f>
        <v>31.827</v>
      </c>
      <c r="G1714" s="10" t="n">
        <f aca="false">E1714*F1714</f>
        <v>39.0053260693312</v>
      </c>
      <c r="H1714" s="10" t="n">
        <f aca="false">IF(OR(Nonlabor!$L$12="Quote required",Nonlabor!$L$12="Unverified"),G1714,0)</f>
        <v>0</v>
      </c>
      <c r="I1714" s="10" t="n">
        <f aca="false">IF(Nonlabor!$E$12="Core",0,G1714)</f>
        <v>0</v>
      </c>
      <c r="J1714" s="23" t="str">
        <f aca="false">Nonlabor!$B$12</f>
        <v>INFRA</v>
      </c>
    </row>
    <row r="1715" customFormat="false" ht="15" hidden="false" customHeight="false" outlineLevel="0" collapsed="false">
      <c r="A1715" s="6" t="s">
        <v>4</v>
      </c>
      <c r="B1715" s="6" t="s">
        <v>391</v>
      </c>
      <c r="C1715" s="6" t="n">
        <v>30</v>
      </c>
      <c r="D1715" s="25" t="n">
        <f aca="false">EDATE('Start Here'!$B$6,C1715-1)</f>
        <v>47209</v>
      </c>
      <c r="E1715" s="11" t="n">
        <f aca="false">IF(AND(OR(Nonlabor!$D$12="Both",Nonlabor!$D$12='Start Here'!$B$9),IF(Nonlabor!$E$12="Core",1,IF(Nonlabor!$E$12="AI",'Start Here'!$B$7,'Start Here'!$B$8))=1,C1715&gt;=IF(Nonlabor!$E$12="Core",Nonlabor!$F$12,MAX(Nonlabor!$F$12,IF(Nonlabor!$E$12="AI",Assumptions!$D$24,Assumptions!$D$25))),C1715&lt;=Nonlabor!$G$12,OR(Nonlabor!$H$12="Monthly",AND(Nonlabor!$H$12="Once",C1715=IF(Nonlabor!$E$12="Core",Nonlabor!$F$12,MAX(Nonlabor!$F$12,IF(Nonlabor!$E$12="AI",Assumptions!$D$24,Assumptions!$D$25)))),AND(Nonlabor!$H$12="Annual",MOD(C1715-IF(Nonlabor!$E$12="Core",Nonlabor!$F$12,MAX(Nonlabor!$F$12,IF(Nonlabor!$E$12="AI",Assumptions!$D$24,Assumptions!$D$25))),12)=0))),IF(Nonlabor!$I$12="Fixed",1,IF(Nonlabor!$I$12="Seats",ROUNDUP('Monthly Base'!I35,0),IF(Nonlabor!$I$12="Customers",'Monthly Base'!D35,IF(Nonlabor!$I$12="NewCustomers",'Monthly Base'!C35,IF(Nonlabor!$I$12="StorageGB",'Monthly Base'!G35,IF(Nonlabor!$I$12="LogGB",'Monthly Base'!H35,IF(Nonlabor!$I$12="RequestsM",'Monthly Base'!F35,IF(Nonlabor!$I$12="InputM",'Monthly Base'!D35*Assumptions!$D$22/1000000,IF(Nonlabor!$I$12="OutputM",'Monthly Base'!D35*Assumptions!$D$23/1000000,0))))))))),0)</f>
        <v>1.31453660598353</v>
      </c>
      <c r="F1715" s="10" t="n">
        <f aca="false">Nonlabor!$J$12*(1+Assumptions!$D$9)^INT((C1715-1)/12)</f>
        <v>31.827</v>
      </c>
      <c r="G1715" s="10" t="n">
        <f aca="false">E1715*F1715</f>
        <v>41.8377565586379</v>
      </c>
      <c r="H1715" s="10" t="n">
        <f aca="false">IF(OR(Nonlabor!$L$12="Quote required",Nonlabor!$L$12="Unverified"),G1715,0)</f>
        <v>0</v>
      </c>
      <c r="I1715" s="10" t="n">
        <f aca="false">IF(Nonlabor!$E$12="Core",0,G1715)</f>
        <v>0</v>
      </c>
      <c r="J1715" s="23" t="str">
        <f aca="false">Nonlabor!$B$12</f>
        <v>INFRA</v>
      </c>
    </row>
    <row r="1716" customFormat="false" ht="15" hidden="false" customHeight="false" outlineLevel="0" collapsed="false">
      <c r="A1716" s="6" t="s">
        <v>4</v>
      </c>
      <c r="B1716" s="6" t="s">
        <v>391</v>
      </c>
      <c r="C1716" s="6" t="n">
        <v>31</v>
      </c>
      <c r="D1716" s="25" t="n">
        <f aca="false">EDATE('Start Here'!$B$6,C1716-1)</f>
        <v>47239</v>
      </c>
      <c r="E1716" s="11" t="n">
        <f aca="false">IF(AND(OR(Nonlabor!$D$12="Both",Nonlabor!$D$12='Start Here'!$B$9),IF(Nonlabor!$E$12="Core",1,IF(Nonlabor!$E$12="AI",'Start Here'!$B$7,'Start Here'!$B$8))=1,C1716&gt;=IF(Nonlabor!$E$12="Core",Nonlabor!$F$12,MAX(Nonlabor!$F$12,IF(Nonlabor!$E$12="AI",Assumptions!$D$24,Assumptions!$D$25))),C1716&lt;=Nonlabor!$G$12,OR(Nonlabor!$H$12="Monthly",AND(Nonlabor!$H$12="Once",C1716=IF(Nonlabor!$E$12="Core",Nonlabor!$F$12,MAX(Nonlabor!$F$12,IF(Nonlabor!$E$12="AI",Assumptions!$D$24,Assumptions!$D$25)))),AND(Nonlabor!$H$12="Annual",MOD(C1716-IF(Nonlabor!$E$12="Core",Nonlabor!$F$12,MAX(Nonlabor!$F$12,IF(Nonlabor!$E$12="AI",Assumptions!$D$24,Assumptions!$D$25))),12)=0))),IF(Nonlabor!$I$12="Fixed",1,IF(Nonlabor!$I$12="Seats",ROUNDUP('Monthly Base'!I36,0),IF(Nonlabor!$I$12="Customers",'Monthly Base'!D36,IF(Nonlabor!$I$12="NewCustomers",'Monthly Base'!C36,IF(Nonlabor!$I$12="StorageGB",'Monthly Base'!G36,IF(Nonlabor!$I$12="LogGB",'Monthly Base'!H36,IF(Nonlabor!$I$12="RequestsM",'Monthly Base'!F36,IF(Nonlabor!$I$12="InputM",'Monthly Base'!D36*Assumptions!$D$22/1000000,IF(Nonlabor!$I$12="OutputM",'Monthly Base'!D36*Assumptions!$D$23/1000000,0))))))))),0)</f>
        <v>1.4026412399237</v>
      </c>
      <c r="F1716" s="10" t="n">
        <f aca="false">Nonlabor!$J$12*(1+Assumptions!$D$9)^INT((C1716-1)/12)</f>
        <v>31.827</v>
      </c>
      <c r="G1716" s="10" t="n">
        <f aca="false">E1716*F1716</f>
        <v>44.6418627430515</v>
      </c>
      <c r="H1716" s="10" t="n">
        <f aca="false">IF(OR(Nonlabor!$L$12="Quote required",Nonlabor!$L$12="Unverified"),G1716,0)</f>
        <v>0</v>
      </c>
      <c r="I1716" s="10" t="n">
        <f aca="false">IF(Nonlabor!$E$12="Core",0,G1716)</f>
        <v>0</v>
      </c>
      <c r="J1716" s="23" t="str">
        <f aca="false">Nonlabor!$B$12</f>
        <v>INFRA</v>
      </c>
    </row>
    <row r="1717" customFormat="false" ht="15" hidden="false" customHeight="false" outlineLevel="0" collapsed="false">
      <c r="A1717" s="6" t="s">
        <v>4</v>
      </c>
      <c r="B1717" s="6" t="s">
        <v>391</v>
      </c>
      <c r="C1717" s="6" t="n">
        <v>32</v>
      </c>
      <c r="D1717" s="25" t="n">
        <f aca="false">EDATE('Start Here'!$B$6,C1717-1)</f>
        <v>47270</v>
      </c>
      <c r="E1717" s="11" t="n">
        <f aca="false">IF(AND(OR(Nonlabor!$D$12="Both",Nonlabor!$D$12='Start Here'!$B$9),IF(Nonlabor!$E$12="Core",1,IF(Nonlabor!$E$12="AI",'Start Here'!$B$7,'Start Here'!$B$8))=1,C1717&gt;=IF(Nonlabor!$E$12="Core",Nonlabor!$F$12,MAX(Nonlabor!$F$12,IF(Nonlabor!$E$12="AI",Assumptions!$D$24,Assumptions!$D$25))),C1717&lt;=Nonlabor!$G$12,OR(Nonlabor!$H$12="Monthly",AND(Nonlabor!$H$12="Once",C1717=IF(Nonlabor!$E$12="Core",Nonlabor!$F$12,MAX(Nonlabor!$F$12,IF(Nonlabor!$E$12="AI",Assumptions!$D$24,Assumptions!$D$25)))),AND(Nonlabor!$H$12="Annual",MOD(C1717-IF(Nonlabor!$E$12="Core",Nonlabor!$F$12,MAX(Nonlabor!$F$12,IF(Nonlabor!$E$12="AI",Assumptions!$D$24,Assumptions!$D$25))),12)=0))),IF(Nonlabor!$I$12="Fixed",1,IF(Nonlabor!$I$12="Seats",ROUNDUP('Monthly Base'!I37,0),IF(Nonlabor!$I$12="Customers",'Monthly Base'!D37,IF(Nonlabor!$I$12="NewCustomers",'Monthly Base'!C37,IF(Nonlabor!$I$12="StorageGB",'Monthly Base'!G37,IF(Nonlabor!$I$12="LogGB",'Monthly Base'!H37,IF(Nonlabor!$I$12="RequestsM",'Monthly Base'!F37,IF(Nonlabor!$I$12="InputM",'Monthly Base'!D37*Assumptions!$D$22/1000000,IF(Nonlabor!$I$12="OutputM",'Monthly Base'!D37*Assumptions!$D$23/1000000,0))))))))),0)</f>
        <v>1.48986482752446</v>
      </c>
      <c r="F1717" s="10" t="n">
        <f aca="false">Nonlabor!$J$12*(1+Assumptions!$D$9)^INT((C1717-1)/12)</f>
        <v>31.827</v>
      </c>
      <c r="G1717" s="10" t="n">
        <f aca="false">E1717*F1717</f>
        <v>47.417927865621</v>
      </c>
      <c r="H1717" s="10" t="n">
        <f aca="false">IF(OR(Nonlabor!$L$12="Quote required",Nonlabor!$L$12="Unverified"),G1717,0)</f>
        <v>0</v>
      </c>
      <c r="I1717" s="10" t="n">
        <f aca="false">IF(Nonlabor!$E$12="Core",0,G1717)</f>
        <v>0</v>
      </c>
      <c r="J1717" s="23" t="str">
        <f aca="false">Nonlabor!$B$12</f>
        <v>INFRA</v>
      </c>
    </row>
    <row r="1718" customFormat="false" ht="15" hidden="false" customHeight="false" outlineLevel="0" collapsed="false">
      <c r="A1718" s="6" t="s">
        <v>4</v>
      </c>
      <c r="B1718" s="6" t="s">
        <v>391</v>
      </c>
      <c r="C1718" s="6" t="n">
        <v>33</v>
      </c>
      <c r="D1718" s="25" t="n">
        <f aca="false">EDATE('Start Here'!$B$6,C1718-1)</f>
        <v>47300</v>
      </c>
      <c r="E1718" s="11" t="n">
        <f aca="false">IF(AND(OR(Nonlabor!$D$12="Both",Nonlabor!$D$12='Start Here'!$B$9),IF(Nonlabor!$E$12="Core",1,IF(Nonlabor!$E$12="AI",'Start Here'!$B$7,'Start Here'!$B$8))=1,C1718&gt;=IF(Nonlabor!$E$12="Core",Nonlabor!$F$12,MAX(Nonlabor!$F$12,IF(Nonlabor!$E$12="AI",Assumptions!$D$24,Assumptions!$D$25))),C1718&lt;=Nonlabor!$G$12,OR(Nonlabor!$H$12="Monthly",AND(Nonlabor!$H$12="Once",C1718=IF(Nonlabor!$E$12="Core",Nonlabor!$F$12,MAX(Nonlabor!$F$12,IF(Nonlabor!$E$12="AI",Assumptions!$D$24,Assumptions!$D$25)))),AND(Nonlabor!$H$12="Annual",MOD(C1718-IF(Nonlabor!$E$12="Core",Nonlabor!$F$12,MAX(Nonlabor!$F$12,IF(Nonlabor!$E$12="AI",Assumptions!$D$24,Assumptions!$D$25))),12)=0))),IF(Nonlabor!$I$12="Fixed",1,IF(Nonlabor!$I$12="Seats",ROUNDUP('Monthly Base'!I38,0),IF(Nonlabor!$I$12="Customers",'Monthly Base'!D38,IF(Nonlabor!$I$12="NewCustomers",'Monthly Base'!C38,IF(Nonlabor!$I$12="StorageGB",'Monthly Base'!G38,IF(Nonlabor!$I$12="LogGB",'Monthly Base'!H38,IF(Nonlabor!$I$12="RequestsM",'Monthly Base'!F38,IF(Nonlabor!$I$12="InputM",'Monthly Base'!D38*Assumptions!$D$22/1000000,IF(Nonlabor!$I$12="OutputM",'Monthly Base'!D38*Assumptions!$D$23/1000000,0))))))))),0)</f>
        <v>1.57621617924922</v>
      </c>
      <c r="F1718" s="10" t="n">
        <f aca="false">Nonlabor!$J$12*(1+Assumptions!$D$9)^INT((C1718-1)/12)</f>
        <v>31.827</v>
      </c>
      <c r="G1718" s="10" t="n">
        <f aca="false">E1718*F1718</f>
        <v>50.1662323369648</v>
      </c>
      <c r="H1718" s="10" t="n">
        <f aca="false">IF(OR(Nonlabor!$L$12="Quote required",Nonlabor!$L$12="Unverified"),G1718,0)</f>
        <v>0</v>
      </c>
      <c r="I1718" s="10" t="n">
        <f aca="false">IF(Nonlabor!$E$12="Core",0,G1718)</f>
        <v>0</v>
      </c>
      <c r="J1718" s="23" t="str">
        <f aca="false">Nonlabor!$B$12</f>
        <v>INFRA</v>
      </c>
    </row>
    <row r="1719" customFormat="false" ht="15" hidden="false" customHeight="false" outlineLevel="0" collapsed="false">
      <c r="A1719" s="6" t="s">
        <v>4</v>
      </c>
      <c r="B1719" s="6" t="s">
        <v>391</v>
      </c>
      <c r="C1719" s="6" t="n">
        <v>34</v>
      </c>
      <c r="D1719" s="25" t="n">
        <f aca="false">EDATE('Start Here'!$B$6,C1719-1)</f>
        <v>47331</v>
      </c>
      <c r="E1719" s="11" t="n">
        <f aca="false">IF(AND(OR(Nonlabor!$D$12="Both",Nonlabor!$D$12='Start Here'!$B$9),IF(Nonlabor!$E$12="Core",1,IF(Nonlabor!$E$12="AI",'Start Here'!$B$7,'Start Here'!$B$8))=1,C1719&gt;=IF(Nonlabor!$E$12="Core",Nonlabor!$F$12,MAX(Nonlabor!$F$12,IF(Nonlabor!$E$12="AI",Assumptions!$D$24,Assumptions!$D$25))),C1719&lt;=Nonlabor!$G$12,OR(Nonlabor!$H$12="Monthly",AND(Nonlabor!$H$12="Once",C1719=IF(Nonlabor!$E$12="Core",Nonlabor!$F$12,MAX(Nonlabor!$F$12,IF(Nonlabor!$E$12="AI",Assumptions!$D$24,Assumptions!$D$25)))),AND(Nonlabor!$H$12="Annual",MOD(C1719-IF(Nonlabor!$E$12="Core",Nonlabor!$F$12,MAX(Nonlabor!$F$12,IF(Nonlabor!$E$12="AI",Assumptions!$D$24,Assumptions!$D$25))),12)=0))),IF(Nonlabor!$I$12="Fixed",1,IF(Nonlabor!$I$12="Seats",ROUNDUP('Monthly Base'!I39,0),IF(Nonlabor!$I$12="Customers",'Monthly Base'!D39,IF(Nonlabor!$I$12="NewCustomers",'Monthly Base'!C39,IF(Nonlabor!$I$12="StorageGB",'Monthly Base'!G39,IF(Nonlabor!$I$12="LogGB",'Monthly Base'!H39,IF(Nonlabor!$I$12="RequestsM",'Monthly Base'!F39,IF(Nonlabor!$I$12="InputM",'Monthly Base'!D39*Assumptions!$D$22/1000000,IF(Nonlabor!$I$12="OutputM",'Monthly Base'!D39*Assumptions!$D$23/1000000,0))))))))),0)</f>
        <v>1.66170401745672</v>
      </c>
      <c r="F1719" s="10" t="n">
        <f aca="false">Nonlabor!$J$12*(1+Assumptions!$D$9)^INT((C1719-1)/12)</f>
        <v>31.827</v>
      </c>
      <c r="G1719" s="10" t="n">
        <f aca="false">E1719*F1719</f>
        <v>52.8870537635952</v>
      </c>
      <c r="H1719" s="10" t="n">
        <f aca="false">IF(OR(Nonlabor!$L$12="Quote required",Nonlabor!$L$12="Unverified"),G1719,0)</f>
        <v>0</v>
      </c>
      <c r="I1719" s="10" t="n">
        <f aca="false">IF(Nonlabor!$E$12="Core",0,G1719)</f>
        <v>0</v>
      </c>
      <c r="J1719" s="23" t="str">
        <f aca="false">Nonlabor!$B$12</f>
        <v>INFRA</v>
      </c>
    </row>
    <row r="1720" customFormat="false" ht="15" hidden="false" customHeight="false" outlineLevel="0" collapsed="false">
      <c r="A1720" s="6" t="s">
        <v>4</v>
      </c>
      <c r="B1720" s="6" t="s">
        <v>391</v>
      </c>
      <c r="C1720" s="6" t="n">
        <v>35</v>
      </c>
      <c r="D1720" s="25" t="n">
        <f aca="false">EDATE('Start Here'!$B$6,C1720-1)</f>
        <v>47362</v>
      </c>
      <c r="E1720" s="11" t="n">
        <f aca="false">IF(AND(OR(Nonlabor!$D$12="Both",Nonlabor!$D$12='Start Here'!$B$9),IF(Nonlabor!$E$12="Core",1,IF(Nonlabor!$E$12="AI",'Start Here'!$B$7,'Start Here'!$B$8))=1,C1720&gt;=IF(Nonlabor!$E$12="Core",Nonlabor!$F$12,MAX(Nonlabor!$F$12,IF(Nonlabor!$E$12="AI",Assumptions!$D$24,Assumptions!$D$25))),C1720&lt;=Nonlabor!$G$12,OR(Nonlabor!$H$12="Monthly",AND(Nonlabor!$H$12="Once",C1720=IF(Nonlabor!$E$12="Core",Nonlabor!$F$12,MAX(Nonlabor!$F$12,IF(Nonlabor!$E$12="AI",Assumptions!$D$24,Assumptions!$D$25)))),AND(Nonlabor!$H$12="Annual",MOD(C1720-IF(Nonlabor!$E$12="Core",Nonlabor!$F$12,MAX(Nonlabor!$F$12,IF(Nonlabor!$E$12="AI",Assumptions!$D$24,Assumptions!$D$25))),12)=0))),IF(Nonlabor!$I$12="Fixed",1,IF(Nonlabor!$I$12="Seats",ROUNDUP('Monthly Base'!I40,0),IF(Nonlabor!$I$12="Customers",'Monthly Base'!D40,IF(Nonlabor!$I$12="NewCustomers",'Monthly Base'!C40,IF(Nonlabor!$I$12="StorageGB",'Monthly Base'!G40,IF(Nonlabor!$I$12="LogGB",'Monthly Base'!H40,IF(Nonlabor!$I$12="RequestsM",'Monthly Base'!F40,IF(Nonlabor!$I$12="InputM",'Monthly Base'!D40*Assumptions!$D$22/1000000,IF(Nonlabor!$I$12="OutputM",'Monthly Base'!D40*Assumptions!$D$23/1000000,0))))))))),0)</f>
        <v>1.74633697728216</v>
      </c>
      <c r="F1720" s="10" t="n">
        <f aca="false">Nonlabor!$J$12*(1+Assumptions!$D$9)^INT((C1720-1)/12)</f>
        <v>31.827</v>
      </c>
      <c r="G1720" s="10" t="n">
        <f aca="false">E1720*F1720</f>
        <v>55.5806669759592</v>
      </c>
      <c r="H1720" s="10" t="n">
        <f aca="false">IF(OR(Nonlabor!$L$12="Quote required",Nonlabor!$L$12="Unverified"),G1720,0)</f>
        <v>0</v>
      </c>
      <c r="I1720" s="10" t="n">
        <f aca="false">IF(Nonlabor!$E$12="Core",0,G1720)</f>
        <v>0</v>
      </c>
      <c r="J1720" s="23" t="str">
        <f aca="false">Nonlabor!$B$12</f>
        <v>INFRA</v>
      </c>
    </row>
    <row r="1721" customFormat="false" ht="15" hidden="false" customHeight="false" outlineLevel="0" collapsed="false">
      <c r="A1721" s="6" t="s">
        <v>4</v>
      </c>
      <c r="B1721" s="6" t="s">
        <v>391</v>
      </c>
      <c r="C1721" s="6" t="n">
        <v>36</v>
      </c>
      <c r="D1721" s="25" t="n">
        <f aca="false">EDATE('Start Here'!$B$6,C1721-1)</f>
        <v>47392</v>
      </c>
      <c r="E1721" s="11" t="n">
        <f aca="false">IF(AND(OR(Nonlabor!$D$12="Both",Nonlabor!$D$12='Start Here'!$B$9),IF(Nonlabor!$E$12="Core",1,IF(Nonlabor!$E$12="AI",'Start Here'!$B$7,'Start Here'!$B$8))=1,C1721&gt;=IF(Nonlabor!$E$12="Core",Nonlabor!$F$12,MAX(Nonlabor!$F$12,IF(Nonlabor!$E$12="AI",Assumptions!$D$24,Assumptions!$D$25))),C1721&lt;=Nonlabor!$G$12,OR(Nonlabor!$H$12="Monthly",AND(Nonlabor!$H$12="Once",C1721=IF(Nonlabor!$E$12="Core",Nonlabor!$F$12,MAX(Nonlabor!$F$12,IF(Nonlabor!$E$12="AI",Assumptions!$D$24,Assumptions!$D$25)))),AND(Nonlabor!$H$12="Annual",MOD(C1721-IF(Nonlabor!$E$12="Core",Nonlabor!$F$12,MAX(Nonlabor!$F$12,IF(Nonlabor!$E$12="AI",Assumptions!$D$24,Assumptions!$D$25))),12)=0))),IF(Nonlabor!$I$12="Fixed",1,IF(Nonlabor!$I$12="Seats",ROUNDUP('Monthly Base'!I41,0),IF(Nonlabor!$I$12="Customers",'Monthly Base'!D41,IF(Nonlabor!$I$12="NewCustomers",'Monthly Base'!C41,IF(Nonlabor!$I$12="StorageGB",'Monthly Base'!G41,IF(Nonlabor!$I$12="LogGB",'Monthly Base'!H41,IF(Nonlabor!$I$12="RequestsM",'Monthly Base'!F41,IF(Nonlabor!$I$12="InputM",'Monthly Base'!D41*Assumptions!$D$22/1000000,IF(Nonlabor!$I$12="OutputM",'Monthly Base'!D41*Assumptions!$D$23/1000000,0))))))))),0)</f>
        <v>1.83012360750934</v>
      </c>
      <c r="F1721" s="10" t="n">
        <f aca="false">Nonlabor!$J$12*(1+Assumptions!$D$9)^INT((C1721-1)/12)</f>
        <v>31.827</v>
      </c>
      <c r="G1721" s="10" t="n">
        <f aca="false">E1721*F1721</f>
        <v>58.2473440561996</v>
      </c>
      <c r="H1721" s="10" t="n">
        <f aca="false">IF(OR(Nonlabor!$L$12="Quote required",Nonlabor!$L$12="Unverified"),G1721,0)</f>
        <v>0</v>
      </c>
      <c r="I1721" s="10" t="n">
        <f aca="false">IF(Nonlabor!$E$12="Core",0,G1721)</f>
        <v>0</v>
      </c>
      <c r="J1721" s="23" t="str">
        <f aca="false">Nonlabor!$B$12</f>
        <v>INFRA</v>
      </c>
    </row>
    <row r="1722" customFormat="false" ht="15" hidden="false" customHeight="false" outlineLevel="0" collapsed="false">
      <c r="A1722" s="6" t="s">
        <v>4</v>
      </c>
      <c r="B1722" s="6" t="s">
        <v>391</v>
      </c>
      <c r="C1722" s="6" t="n">
        <v>37</v>
      </c>
      <c r="D1722" s="25" t="n">
        <f aca="false">EDATE('Start Here'!$B$6,C1722-1)</f>
        <v>47423</v>
      </c>
      <c r="E1722" s="11" t="n">
        <f aca="false">IF(AND(OR(Nonlabor!$D$12="Both",Nonlabor!$D$12='Start Here'!$B$9),IF(Nonlabor!$E$12="Core",1,IF(Nonlabor!$E$12="AI",'Start Here'!$B$7,'Start Here'!$B$8))=1,C1722&gt;=IF(Nonlabor!$E$12="Core",Nonlabor!$F$12,MAX(Nonlabor!$F$12,IF(Nonlabor!$E$12="AI",Assumptions!$D$24,Assumptions!$D$25))),C1722&lt;=Nonlabor!$G$12,OR(Nonlabor!$H$12="Monthly",AND(Nonlabor!$H$12="Once",C1722=IF(Nonlabor!$E$12="Core",Nonlabor!$F$12,MAX(Nonlabor!$F$12,IF(Nonlabor!$E$12="AI",Assumptions!$D$24,Assumptions!$D$25)))),AND(Nonlabor!$H$12="Annual",MOD(C1722-IF(Nonlabor!$E$12="Core",Nonlabor!$F$12,MAX(Nonlabor!$F$12,IF(Nonlabor!$E$12="AI",Assumptions!$D$24,Assumptions!$D$25))),12)=0))),IF(Nonlabor!$I$12="Fixed",1,IF(Nonlabor!$I$12="Seats",ROUNDUP('Monthly Base'!I42,0),IF(Nonlabor!$I$12="Customers",'Monthly Base'!D42,IF(Nonlabor!$I$12="NewCustomers",'Monthly Base'!C42,IF(Nonlabor!$I$12="StorageGB",'Monthly Base'!G42,IF(Nonlabor!$I$12="LogGB",'Monthly Base'!H42,IF(Nonlabor!$I$12="RequestsM",'Monthly Base'!F42,IF(Nonlabor!$I$12="InputM",'Monthly Base'!D42*Assumptions!$D$22/1000000,IF(Nonlabor!$I$12="OutputM",'Monthly Base'!D42*Assumptions!$D$23/1000000,0))))))))),0)</f>
        <v>1.96369737143424</v>
      </c>
      <c r="F1722" s="10" t="n">
        <f aca="false">Nonlabor!$J$12*(1+Assumptions!$D$9)^INT((C1722-1)/12)</f>
        <v>32.78181</v>
      </c>
      <c r="G1722" s="10" t="n">
        <f aca="false">E1722*F1722</f>
        <v>64.3735541278568</v>
      </c>
      <c r="H1722" s="10" t="n">
        <f aca="false">IF(OR(Nonlabor!$L$12="Quote required",Nonlabor!$L$12="Unverified"),G1722,0)</f>
        <v>0</v>
      </c>
      <c r="I1722" s="10" t="n">
        <f aca="false">IF(Nonlabor!$E$12="Core",0,G1722)</f>
        <v>0</v>
      </c>
      <c r="J1722" s="23" t="str">
        <f aca="false">Nonlabor!$B$12</f>
        <v>INFRA</v>
      </c>
    </row>
    <row r="1723" customFormat="false" ht="15" hidden="false" customHeight="false" outlineLevel="0" collapsed="false">
      <c r="A1723" s="6" t="s">
        <v>4</v>
      </c>
      <c r="B1723" s="6" t="s">
        <v>391</v>
      </c>
      <c r="C1723" s="6" t="n">
        <v>38</v>
      </c>
      <c r="D1723" s="25" t="n">
        <f aca="false">EDATE('Start Here'!$B$6,C1723-1)</f>
        <v>47453</v>
      </c>
      <c r="E1723" s="11" t="n">
        <f aca="false">IF(AND(OR(Nonlabor!$D$12="Both",Nonlabor!$D$12='Start Here'!$B$9),IF(Nonlabor!$E$12="Core",1,IF(Nonlabor!$E$12="AI",'Start Here'!$B$7,'Start Here'!$B$8))=1,C1723&gt;=IF(Nonlabor!$E$12="Core",Nonlabor!$F$12,MAX(Nonlabor!$F$12,IF(Nonlabor!$E$12="AI",Assumptions!$D$24,Assumptions!$D$25))),C1723&lt;=Nonlabor!$G$12,OR(Nonlabor!$H$12="Monthly",AND(Nonlabor!$H$12="Once",C1723=IF(Nonlabor!$E$12="Core",Nonlabor!$F$12,MAX(Nonlabor!$F$12,IF(Nonlabor!$E$12="AI",Assumptions!$D$24,Assumptions!$D$25)))),AND(Nonlabor!$H$12="Annual",MOD(C1723-IF(Nonlabor!$E$12="Core",Nonlabor!$F$12,MAX(Nonlabor!$F$12,IF(Nonlabor!$E$12="AI",Assumptions!$D$24,Assumptions!$D$25))),12)=0))),IF(Nonlabor!$I$12="Fixed",1,IF(Nonlabor!$I$12="Seats",ROUNDUP('Monthly Base'!I43,0),IF(Nonlabor!$I$12="Customers",'Monthly Base'!D43,IF(Nonlabor!$I$12="NewCustomers",'Monthly Base'!C43,IF(Nonlabor!$I$12="StorageGB",'Monthly Base'!G43,IF(Nonlabor!$I$12="LogGB",'Monthly Base'!H43,IF(Nonlabor!$I$12="RequestsM",'Monthly Base'!F43,IF(Nonlabor!$I$12="InputM",'Monthly Base'!D43*Assumptions!$D$22/1000000,IF(Nonlabor!$I$12="OutputM",'Monthly Base'!D43*Assumptions!$D$23/1000000,0))))))))),0)</f>
        <v>2.0959353977199</v>
      </c>
      <c r="F1723" s="10" t="n">
        <f aca="false">Nonlabor!$J$12*(1+Assumptions!$D$9)^INT((C1723-1)/12)</f>
        <v>32.78181</v>
      </c>
      <c r="G1723" s="10" t="n">
        <f aca="false">E1723*F1723</f>
        <v>68.7085559803282</v>
      </c>
      <c r="H1723" s="10" t="n">
        <f aca="false">IF(OR(Nonlabor!$L$12="Quote required",Nonlabor!$L$12="Unverified"),G1723,0)</f>
        <v>0</v>
      </c>
      <c r="I1723" s="10" t="n">
        <f aca="false">IF(Nonlabor!$E$12="Core",0,G1723)</f>
        <v>0</v>
      </c>
      <c r="J1723" s="23" t="str">
        <f aca="false">Nonlabor!$B$12</f>
        <v>INFRA</v>
      </c>
    </row>
    <row r="1724" customFormat="false" ht="15" hidden="false" customHeight="false" outlineLevel="0" collapsed="false">
      <c r="A1724" s="6" t="s">
        <v>4</v>
      </c>
      <c r="B1724" s="6" t="s">
        <v>391</v>
      </c>
      <c r="C1724" s="6" t="n">
        <v>39</v>
      </c>
      <c r="D1724" s="25" t="n">
        <f aca="false">EDATE('Start Here'!$B$6,C1724-1)</f>
        <v>47484</v>
      </c>
      <c r="E1724" s="11" t="n">
        <f aca="false">IF(AND(OR(Nonlabor!$D$12="Both",Nonlabor!$D$12='Start Here'!$B$9),IF(Nonlabor!$E$12="Core",1,IF(Nonlabor!$E$12="AI",'Start Here'!$B$7,'Start Here'!$B$8))=1,C1724&gt;=IF(Nonlabor!$E$12="Core",Nonlabor!$F$12,MAX(Nonlabor!$F$12,IF(Nonlabor!$E$12="AI",Assumptions!$D$24,Assumptions!$D$25))),C1724&lt;=Nonlabor!$G$12,OR(Nonlabor!$H$12="Monthly",AND(Nonlabor!$H$12="Once",C1724=IF(Nonlabor!$E$12="Core",Nonlabor!$F$12,MAX(Nonlabor!$F$12,IF(Nonlabor!$E$12="AI",Assumptions!$D$24,Assumptions!$D$25)))),AND(Nonlabor!$H$12="Annual",MOD(C1724-IF(Nonlabor!$E$12="Core",Nonlabor!$F$12,MAX(Nonlabor!$F$12,IF(Nonlabor!$E$12="AI",Assumptions!$D$24,Assumptions!$D$25))),12)=0))),IF(Nonlabor!$I$12="Fixed",1,IF(Nonlabor!$I$12="Seats",ROUNDUP('Monthly Base'!I44,0),IF(Nonlabor!$I$12="Customers",'Monthly Base'!D44,IF(Nonlabor!$I$12="NewCustomers",'Monthly Base'!C44,IF(Nonlabor!$I$12="StorageGB",'Monthly Base'!G44,IF(Nonlabor!$I$12="LogGB",'Monthly Base'!H44,IF(Nonlabor!$I$12="RequestsM",'Monthly Base'!F44,IF(Nonlabor!$I$12="InputM",'Monthly Base'!D44*Assumptions!$D$22/1000000,IF(Nonlabor!$I$12="OutputM",'Monthly Base'!D44*Assumptions!$D$23/1000000,0))))))))),0)</f>
        <v>2.2268510437427</v>
      </c>
      <c r="F1724" s="10" t="n">
        <f aca="false">Nonlabor!$J$12*(1+Assumptions!$D$9)^INT((C1724-1)/12)</f>
        <v>32.78181</v>
      </c>
      <c r="G1724" s="10" t="n">
        <f aca="false">E1724*F1724</f>
        <v>73.0002078142749</v>
      </c>
      <c r="H1724" s="10" t="n">
        <f aca="false">IF(OR(Nonlabor!$L$12="Quote required",Nonlabor!$L$12="Unverified"),G1724,0)</f>
        <v>0</v>
      </c>
      <c r="I1724" s="10" t="n">
        <f aca="false">IF(Nonlabor!$E$12="Core",0,G1724)</f>
        <v>0</v>
      </c>
      <c r="J1724" s="23" t="str">
        <f aca="false">Nonlabor!$B$12</f>
        <v>INFRA</v>
      </c>
    </row>
    <row r="1725" customFormat="false" ht="15" hidden="false" customHeight="false" outlineLevel="0" collapsed="false">
      <c r="A1725" s="6" t="s">
        <v>4</v>
      </c>
      <c r="B1725" s="6" t="s">
        <v>391</v>
      </c>
      <c r="C1725" s="6" t="n">
        <v>40</v>
      </c>
      <c r="D1725" s="25" t="n">
        <f aca="false">EDATE('Start Here'!$B$6,C1725-1)</f>
        <v>47515</v>
      </c>
      <c r="E1725" s="11" t="n">
        <f aca="false">IF(AND(OR(Nonlabor!$D$12="Both",Nonlabor!$D$12='Start Here'!$B$9),IF(Nonlabor!$E$12="Core",1,IF(Nonlabor!$E$12="AI",'Start Here'!$B$7,'Start Here'!$B$8))=1,C1725&gt;=IF(Nonlabor!$E$12="Core",Nonlabor!$F$12,MAX(Nonlabor!$F$12,IF(Nonlabor!$E$12="AI",Assumptions!$D$24,Assumptions!$D$25))),C1725&lt;=Nonlabor!$G$12,OR(Nonlabor!$H$12="Monthly",AND(Nonlabor!$H$12="Once",C1725=IF(Nonlabor!$E$12="Core",Nonlabor!$F$12,MAX(Nonlabor!$F$12,IF(Nonlabor!$E$12="AI",Assumptions!$D$24,Assumptions!$D$25)))),AND(Nonlabor!$H$12="Annual",MOD(C1725-IF(Nonlabor!$E$12="Core",Nonlabor!$F$12,MAX(Nonlabor!$F$12,IF(Nonlabor!$E$12="AI",Assumptions!$D$24,Assumptions!$D$25))),12)=0))),IF(Nonlabor!$I$12="Fixed",1,IF(Nonlabor!$I$12="Seats",ROUNDUP('Monthly Base'!I45,0),IF(Nonlabor!$I$12="Customers",'Monthly Base'!D45,IF(Nonlabor!$I$12="NewCustomers",'Monthly Base'!C45,IF(Nonlabor!$I$12="StorageGB",'Monthly Base'!G45,IF(Nonlabor!$I$12="LogGB",'Monthly Base'!H45,IF(Nonlabor!$I$12="RequestsM",'Monthly Base'!F45,IF(Nonlabor!$I$12="InputM",'Monthly Base'!D45*Assumptions!$D$22/1000000,IF(Nonlabor!$I$12="OutputM",'Monthly Base'!D45*Assumptions!$D$23/1000000,0))))))))),0)</f>
        <v>2.35645753330527</v>
      </c>
      <c r="F1725" s="10" t="n">
        <f aca="false">Nonlabor!$J$12*(1+Assumptions!$D$9)^INT((C1725-1)/12)</f>
        <v>32.78181</v>
      </c>
      <c r="G1725" s="10" t="n">
        <f aca="false">E1725*F1725</f>
        <v>77.2489431298822</v>
      </c>
      <c r="H1725" s="10" t="n">
        <f aca="false">IF(OR(Nonlabor!$L$12="Quote required",Nonlabor!$L$12="Unverified"),G1725,0)</f>
        <v>0</v>
      </c>
      <c r="I1725" s="10" t="n">
        <f aca="false">IF(Nonlabor!$E$12="Core",0,G1725)</f>
        <v>0</v>
      </c>
      <c r="J1725" s="23" t="str">
        <f aca="false">Nonlabor!$B$12</f>
        <v>INFRA</v>
      </c>
    </row>
    <row r="1726" customFormat="false" ht="15" hidden="false" customHeight="false" outlineLevel="0" collapsed="false">
      <c r="A1726" s="6" t="s">
        <v>4</v>
      </c>
      <c r="B1726" s="6" t="s">
        <v>391</v>
      </c>
      <c r="C1726" s="6" t="n">
        <v>41</v>
      </c>
      <c r="D1726" s="25" t="n">
        <f aca="false">EDATE('Start Here'!$B$6,C1726-1)</f>
        <v>47543</v>
      </c>
      <c r="E1726" s="11" t="n">
        <f aca="false">IF(AND(OR(Nonlabor!$D$12="Both",Nonlabor!$D$12='Start Here'!$B$9),IF(Nonlabor!$E$12="Core",1,IF(Nonlabor!$E$12="AI",'Start Here'!$B$7,'Start Here'!$B$8))=1,C1726&gt;=IF(Nonlabor!$E$12="Core",Nonlabor!$F$12,MAX(Nonlabor!$F$12,IF(Nonlabor!$E$12="AI",Assumptions!$D$24,Assumptions!$D$25))),C1726&lt;=Nonlabor!$G$12,OR(Nonlabor!$H$12="Monthly",AND(Nonlabor!$H$12="Once",C1726=IF(Nonlabor!$E$12="Core",Nonlabor!$F$12,MAX(Nonlabor!$F$12,IF(Nonlabor!$E$12="AI",Assumptions!$D$24,Assumptions!$D$25)))),AND(Nonlabor!$H$12="Annual",MOD(C1726-IF(Nonlabor!$E$12="Core",Nonlabor!$F$12,MAX(Nonlabor!$F$12,IF(Nonlabor!$E$12="AI",Assumptions!$D$24,Assumptions!$D$25))),12)=0))),IF(Nonlabor!$I$12="Fixed",1,IF(Nonlabor!$I$12="Seats",ROUNDUP('Monthly Base'!I46,0),IF(Nonlabor!$I$12="Customers",'Monthly Base'!D46,IF(Nonlabor!$I$12="NewCustomers",'Monthly Base'!C46,IF(Nonlabor!$I$12="StorageGB",'Monthly Base'!G46,IF(Nonlabor!$I$12="LogGB",'Monthly Base'!H46,IF(Nonlabor!$I$12="RequestsM",'Monthly Base'!F46,IF(Nonlabor!$I$12="InputM",'Monthly Base'!D46*Assumptions!$D$22/1000000,IF(Nonlabor!$I$12="OutputM",'Monthly Base'!D46*Assumptions!$D$23/1000000,0))))))))),0)</f>
        <v>2.48476795797222</v>
      </c>
      <c r="F1726" s="10" t="n">
        <f aca="false">Nonlabor!$J$12*(1+Assumptions!$D$9)^INT((C1726-1)/12)</f>
        <v>32.78181</v>
      </c>
      <c r="G1726" s="10" t="n">
        <f aca="false">E1726*F1726</f>
        <v>81.4551910923334</v>
      </c>
      <c r="H1726" s="10" t="n">
        <f aca="false">IF(OR(Nonlabor!$L$12="Quote required",Nonlabor!$L$12="Unverified"),G1726,0)</f>
        <v>0</v>
      </c>
      <c r="I1726" s="10" t="n">
        <f aca="false">IF(Nonlabor!$E$12="Core",0,G1726)</f>
        <v>0</v>
      </c>
      <c r="J1726" s="23" t="str">
        <f aca="false">Nonlabor!$B$12</f>
        <v>INFRA</v>
      </c>
    </row>
    <row r="1727" customFormat="false" ht="15" hidden="false" customHeight="false" outlineLevel="0" collapsed="false">
      <c r="A1727" s="6" t="s">
        <v>4</v>
      </c>
      <c r="B1727" s="6" t="s">
        <v>391</v>
      </c>
      <c r="C1727" s="6" t="n">
        <v>42</v>
      </c>
      <c r="D1727" s="25" t="n">
        <f aca="false">EDATE('Start Here'!$B$6,C1727-1)</f>
        <v>47574</v>
      </c>
      <c r="E1727" s="11" t="n">
        <f aca="false">IF(AND(OR(Nonlabor!$D$12="Both",Nonlabor!$D$12='Start Here'!$B$9),IF(Nonlabor!$E$12="Core",1,IF(Nonlabor!$E$12="AI",'Start Here'!$B$7,'Start Here'!$B$8))=1,C1727&gt;=IF(Nonlabor!$E$12="Core",Nonlabor!$F$12,MAX(Nonlabor!$F$12,IF(Nonlabor!$E$12="AI",Assumptions!$D$24,Assumptions!$D$25))),C1727&lt;=Nonlabor!$G$12,OR(Nonlabor!$H$12="Monthly",AND(Nonlabor!$H$12="Once",C1727=IF(Nonlabor!$E$12="Core",Nonlabor!$F$12,MAX(Nonlabor!$F$12,IF(Nonlabor!$E$12="AI",Assumptions!$D$24,Assumptions!$D$25)))),AND(Nonlabor!$H$12="Annual",MOD(C1727-IF(Nonlabor!$E$12="Core",Nonlabor!$F$12,MAX(Nonlabor!$F$12,IF(Nonlabor!$E$12="AI",Assumptions!$D$24,Assumptions!$D$25))),12)=0))),IF(Nonlabor!$I$12="Fixed",1,IF(Nonlabor!$I$12="Seats",ROUNDUP('Monthly Base'!I47,0),IF(Nonlabor!$I$12="Customers",'Monthly Base'!D47,IF(Nonlabor!$I$12="NewCustomers",'Monthly Base'!C47,IF(Nonlabor!$I$12="StorageGB",'Monthly Base'!G47,IF(Nonlabor!$I$12="LogGB",'Monthly Base'!H47,IF(Nonlabor!$I$12="RequestsM",'Monthly Base'!F47,IF(Nonlabor!$I$12="InputM",'Monthly Base'!D47*Assumptions!$D$22/1000000,IF(Nonlabor!$I$12="OutputM",'Monthly Base'!D47*Assumptions!$D$23/1000000,0))))))))),0)</f>
        <v>2.6117952783925</v>
      </c>
      <c r="F1727" s="10" t="n">
        <f aca="false">Nonlabor!$J$12*(1+Assumptions!$D$9)^INT((C1727-1)/12)</f>
        <v>32.78181</v>
      </c>
      <c r="G1727" s="10" t="n">
        <f aca="false">E1727*F1727</f>
        <v>85.61937657516</v>
      </c>
      <c r="H1727" s="10" t="n">
        <f aca="false">IF(OR(Nonlabor!$L$12="Quote required",Nonlabor!$L$12="Unverified"),G1727,0)</f>
        <v>0</v>
      </c>
      <c r="I1727" s="10" t="n">
        <f aca="false">IF(Nonlabor!$E$12="Core",0,G1727)</f>
        <v>0</v>
      </c>
      <c r="J1727" s="23" t="str">
        <f aca="false">Nonlabor!$B$12</f>
        <v>INFRA</v>
      </c>
    </row>
    <row r="1728" customFormat="false" ht="15" hidden="false" customHeight="false" outlineLevel="0" collapsed="false">
      <c r="A1728" s="6" t="s">
        <v>4</v>
      </c>
      <c r="B1728" s="6" t="s">
        <v>391</v>
      </c>
      <c r="C1728" s="6" t="n">
        <v>43</v>
      </c>
      <c r="D1728" s="25" t="n">
        <f aca="false">EDATE('Start Here'!$B$6,C1728-1)</f>
        <v>47604</v>
      </c>
      <c r="E1728" s="11" t="n">
        <f aca="false">IF(AND(OR(Nonlabor!$D$12="Both",Nonlabor!$D$12='Start Here'!$B$9),IF(Nonlabor!$E$12="Core",1,IF(Nonlabor!$E$12="AI",'Start Here'!$B$7,'Start Here'!$B$8))=1,C1728&gt;=IF(Nonlabor!$E$12="Core",Nonlabor!$F$12,MAX(Nonlabor!$F$12,IF(Nonlabor!$E$12="AI",Assumptions!$D$24,Assumptions!$D$25))),C1728&lt;=Nonlabor!$G$12,OR(Nonlabor!$H$12="Monthly",AND(Nonlabor!$H$12="Once",C1728=IF(Nonlabor!$E$12="Core",Nonlabor!$F$12,MAX(Nonlabor!$F$12,IF(Nonlabor!$E$12="AI",Assumptions!$D$24,Assumptions!$D$25)))),AND(Nonlabor!$H$12="Annual",MOD(C1728-IF(Nonlabor!$E$12="Core",Nonlabor!$F$12,MAX(Nonlabor!$F$12,IF(Nonlabor!$E$12="AI",Assumptions!$D$24,Assumptions!$D$25))),12)=0))),IF(Nonlabor!$I$12="Fixed",1,IF(Nonlabor!$I$12="Seats",ROUNDUP('Monthly Base'!I48,0),IF(Nonlabor!$I$12="Customers",'Monthly Base'!D48,IF(Nonlabor!$I$12="NewCustomers",'Monthly Base'!C48,IF(Nonlabor!$I$12="StorageGB",'Monthly Base'!G48,IF(Nonlabor!$I$12="LogGB",'Monthly Base'!H48,IF(Nonlabor!$I$12="RequestsM",'Monthly Base'!F48,IF(Nonlabor!$I$12="InputM",'Monthly Base'!D48*Assumptions!$D$22/1000000,IF(Nonlabor!$I$12="OutputM",'Monthly Base'!D48*Assumptions!$D$23/1000000,0))))))))),0)</f>
        <v>2.73755232560857</v>
      </c>
      <c r="F1728" s="10" t="n">
        <f aca="false">Nonlabor!$J$12*(1+Assumptions!$D$9)^INT((C1728-1)/12)</f>
        <v>32.78181</v>
      </c>
      <c r="G1728" s="10" t="n">
        <f aca="false">E1728*F1728</f>
        <v>89.7419202031584</v>
      </c>
      <c r="H1728" s="10" t="n">
        <f aca="false">IF(OR(Nonlabor!$L$12="Quote required",Nonlabor!$L$12="Unverified"),G1728,0)</f>
        <v>0</v>
      </c>
      <c r="I1728" s="10" t="n">
        <f aca="false">IF(Nonlabor!$E$12="Core",0,G1728)</f>
        <v>0</v>
      </c>
      <c r="J1728" s="23" t="str">
        <f aca="false">Nonlabor!$B$12</f>
        <v>INFRA</v>
      </c>
    </row>
    <row r="1729" customFormat="false" ht="15" hidden="false" customHeight="false" outlineLevel="0" collapsed="false">
      <c r="A1729" s="6" t="s">
        <v>4</v>
      </c>
      <c r="B1729" s="6" t="s">
        <v>391</v>
      </c>
      <c r="C1729" s="6" t="n">
        <v>44</v>
      </c>
      <c r="D1729" s="25" t="n">
        <f aca="false">EDATE('Start Here'!$B$6,C1729-1)</f>
        <v>47635</v>
      </c>
      <c r="E1729" s="11" t="n">
        <f aca="false">IF(AND(OR(Nonlabor!$D$12="Both",Nonlabor!$D$12='Start Here'!$B$9),IF(Nonlabor!$E$12="Core",1,IF(Nonlabor!$E$12="AI",'Start Here'!$B$7,'Start Here'!$B$8))=1,C1729&gt;=IF(Nonlabor!$E$12="Core",Nonlabor!$F$12,MAX(Nonlabor!$F$12,IF(Nonlabor!$E$12="AI",Assumptions!$D$24,Assumptions!$D$25))),C1729&lt;=Nonlabor!$G$12,OR(Nonlabor!$H$12="Monthly",AND(Nonlabor!$H$12="Once",C1729=IF(Nonlabor!$E$12="Core",Nonlabor!$F$12,MAX(Nonlabor!$F$12,IF(Nonlabor!$E$12="AI",Assumptions!$D$24,Assumptions!$D$25)))),AND(Nonlabor!$H$12="Annual",MOD(C1729-IF(Nonlabor!$E$12="Core",Nonlabor!$F$12,MAX(Nonlabor!$F$12,IF(Nonlabor!$E$12="AI",Assumptions!$D$24,Assumptions!$D$25))),12)=0))),IF(Nonlabor!$I$12="Fixed",1,IF(Nonlabor!$I$12="Seats",ROUNDUP('Monthly Base'!I49,0),IF(Nonlabor!$I$12="Customers",'Monthly Base'!D49,IF(Nonlabor!$I$12="NewCustomers",'Monthly Base'!C49,IF(Nonlabor!$I$12="StorageGB",'Monthly Base'!G49,IF(Nonlabor!$I$12="LogGB",'Monthly Base'!H49,IF(Nonlabor!$I$12="RequestsM",'Monthly Base'!F49,IF(Nonlabor!$I$12="InputM",'Monthly Base'!D49*Assumptions!$D$22/1000000,IF(Nonlabor!$I$12="OutputM",'Monthly Base'!D49*Assumptions!$D$23/1000000,0))))))))),0)</f>
        <v>2.86205180235249</v>
      </c>
      <c r="F1729" s="10" t="n">
        <f aca="false">Nonlabor!$J$12*(1+Assumptions!$D$9)^INT((C1729-1)/12)</f>
        <v>32.78181</v>
      </c>
      <c r="G1729" s="10" t="n">
        <f aca="false">E1729*F1729</f>
        <v>93.8232383948768</v>
      </c>
      <c r="H1729" s="10" t="n">
        <f aca="false">IF(OR(Nonlabor!$L$12="Quote required",Nonlabor!$L$12="Unverified"),G1729,0)</f>
        <v>0</v>
      </c>
      <c r="I1729" s="10" t="n">
        <f aca="false">IF(Nonlabor!$E$12="Core",0,G1729)</f>
        <v>0</v>
      </c>
      <c r="J1729" s="23" t="str">
        <f aca="false">Nonlabor!$B$12</f>
        <v>INFRA</v>
      </c>
    </row>
    <row r="1730" customFormat="false" ht="15" hidden="false" customHeight="false" outlineLevel="0" collapsed="false">
      <c r="A1730" s="6" t="s">
        <v>4</v>
      </c>
      <c r="B1730" s="6" t="s">
        <v>391</v>
      </c>
      <c r="C1730" s="6" t="n">
        <v>45</v>
      </c>
      <c r="D1730" s="25" t="n">
        <f aca="false">EDATE('Start Here'!$B$6,C1730-1)</f>
        <v>47665</v>
      </c>
      <c r="E1730" s="11" t="n">
        <f aca="false">IF(AND(OR(Nonlabor!$D$12="Both",Nonlabor!$D$12='Start Here'!$B$9),IF(Nonlabor!$E$12="Core",1,IF(Nonlabor!$E$12="AI",'Start Here'!$B$7,'Start Here'!$B$8))=1,C1730&gt;=IF(Nonlabor!$E$12="Core",Nonlabor!$F$12,MAX(Nonlabor!$F$12,IF(Nonlabor!$E$12="AI",Assumptions!$D$24,Assumptions!$D$25))),C1730&lt;=Nonlabor!$G$12,OR(Nonlabor!$H$12="Monthly",AND(Nonlabor!$H$12="Once",C1730=IF(Nonlabor!$E$12="Core",Nonlabor!$F$12,MAX(Nonlabor!$F$12,IF(Nonlabor!$E$12="AI",Assumptions!$D$24,Assumptions!$D$25)))),AND(Nonlabor!$H$12="Annual",MOD(C1730-IF(Nonlabor!$E$12="Core",Nonlabor!$F$12,MAX(Nonlabor!$F$12,IF(Nonlabor!$E$12="AI",Assumptions!$D$24,Assumptions!$D$25))),12)=0))),IF(Nonlabor!$I$12="Fixed",1,IF(Nonlabor!$I$12="Seats",ROUNDUP('Monthly Base'!I50,0),IF(Nonlabor!$I$12="Customers",'Monthly Base'!D50,IF(Nonlabor!$I$12="NewCustomers",'Monthly Base'!C50,IF(Nonlabor!$I$12="StorageGB",'Monthly Base'!G50,IF(Nonlabor!$I$12="LogGB",'Monthly Base'!H50,IF(Nonlabor!$I$12="RequestsM",'Monthly Base'!F50,IF(Nonlabor!$I$12="InputM",'Monthly Base'!D50*Assumptions!$D$22/1000000,IF(Nonlabor!$I$12="OutputM",'Monthly Base'!D50*Assumptions!$D$23/1000000,0))))))))),0)</f>
        <v>2.98530628432896</v>
      </c>
      <c r="F1730" s="10" t="n">
        <f aca="false">Nonlabor!$J$12*(1+Assumptions!$D$9)^INT((C1730-1)/12)</f>
        <v>32.78181</v>
      </c>
      <c r="G1730" s="10" t="n">
        <f aca="false">E1730*F1730</f>
        <v>97.8637434046781</v>
      </c>
      <c r="H1730" s="10" t="n">
        <f aca="false">IF(OR(Nonlabor!$L$12="Quote required",Nonlabor!$L$12="Unverified"),G1730,0)</f>
        <v>0</v>
      </c>
      <c r="I1730" s="10" t="n">
        <f aca="false">IF(Nonlabor!$E$12="Core",0,G1730)</f>
        <v>0</v>
      </c>
      <c r="J1730" s="23" t="str">
        <f aca="false">Nonlabor!$B$12</f>
        <v>INFRA</v>
      </c>
    </row>
    <row r="1731" customFormat="false" ht="15" hidden="false" customHeight="false" outlineLevel="0" collapsed="false">
      <c r="A1731" s="6" t="s">
        <v>4</v>
      </c>
      <c r="B1731" s="6" t="s">
        <v>391</v>
      </c>
      <c r="C1731" s="6" t="n">
        <v>46</v>
      </c>
      <c r="D1731" s="25" t="n">
        <f aca="false">EDATE('Start Here'!$B$6,C1731-1)</f>
        <v>47696</v>
      </c>
      <c r="E1731" s="11" t="n">
        <f aca="false">IF(AND(OR(Nonlabor!$D$12="Both",Nonlabor!$D$12='Start Here'!$B$9),IF(Nonlabor!$E$12="Core",1,IF(Nonlabor!$E$12="AI",'Start Here'!$B$7,'Start Here'!$B$8))=1,C1731&gt;=IF(Nonlabor!$E$12="Core",Nonlabor!$F$12,MAX(Nonlabor!$F$12,IF(Nonlabor!$E$12="AI",Assumptions!$D$24,Assumptions!$D$25))),C1731&lt;=Nonlabor!$G$12,OR(Nonlabor!$H$12="Monthly",AND(Nonlabor!$H$12="Once",C1731=IF(Nonlabor!$E$12="Core",Nonlabor!$F$12,MAX(Nonlabor!$F$12,IF(Nonlabor!$E$12="AI",Assumptions!$D$24,Assumptions!$D$25)))),AND(Nonlabor!$H$12="Annual",MOD(C1731-IF(Nonlabor!$E$12="Core",Nonlabor!$F$12,MAX(Nonlabor!$F$12,IF(Nonlabor!$E$12="AI",Assumptions!$D$24,Assumptions!$D$25))),12)=0))),IF(Nonlabor!$I$12="Fixed",1,IF(Nonlabor!$I$12="Seats",ROUNDUP('Monthly Base'!I51,0),IF(Nonlabor!$I$12="Customers",'Monthly Base'!D51,IF(Nonlabor!$I$12="NewCustomers",'Monthly Base'!C51,IF(Nonlabor!$I$12="StorageGB",'Monthly Base'!G51,IF(Nonlabor!$I$12="LogGB",'Monthly Base'!H51,IF(Nonlabor!$I$12="RequestsM",'Monthly Base'!F51,IF(Nonlabor!$I$12="InputM",'Monthly Base'!D51*Assumptions!$D$22/1000000,IF(Nonlabor!$I$12="OutputM",'Monthly Base'!D51*Assumptions!$D$23/1000000,0))))))))),0)</f>
        <v>3.10732822148567</v>
      </c>
      <c r="F1731" s="10" t="n">
        <f aca="false">Nonlabor!$J$12*(1+Assumptions!$D$9)^INT((C1731-1)/12)</f>
        <v>32.78181</v>
      </c>
      <c r="G1731" s="10" t="n">
        <f aca="false">E1731*F1731</f>
        <v>101.863843364381</v>
      </c>
      <c r="H1731" s="10" t="n">
        <f aca="false">IF(OR(Nonlabor!$L$12="Quote required",Nonlabor!$L$12="Unverified"),G1731,0)</f>
        <v>0</v>
      </c>
      <c r="I1731" s="10" t="n">
        <f aca="false">IF(Nonlabor!$E$12="Core",0,G1731)</f>
        <v>0</v>
      </c>
      <c r="J1731" s="23" t="str">
        <f aca="false">Nonlabor!$B$12</f>
        <v>INFRA</v>
      </c>
    </row>
    <row r="1732" customFormat="false" ht="15" hidden="false" customHeight="false" outlineLevel="0" collapsed="false">
      <c r="A1732" s="6" t="s">
        <v>4</v>
      </c>
      <c r="B1732" s="6" t="s">
        <v>391</v>
      </c>
      <c r="C1732" s="6" t="n">
        <v>47</v>
      </c>
      <c r="D1732" s="25" t="n">
        <f aca="false">EDATE('Start Here'!$B$6,C1732-1)</f>
        <v>47727</v>
      </c>
      <c r="E1732" s="11" t="n">
        <f aca="false">IF(AND(OR(Nonlabor!$D$12="Both",Nonlabor!$D$12='Start Here'!$B$9),IF(Nonlabor!$E$12="Core",1,IF(Nonlabor!$E$12="AI",'Start Here'!$B$7,'Start Here'!$B$8))=1,C1732&gt;=IF(Nonlabor!$E$12="Core",Nonlabor!$F$12,MAX(Nonlabor!$F$12,IF(Nonlabor!$E$12="AI",Assumptions!$D$24,Assumptions!$D$25))),C1732&lt;=Nonlabor!$G$12,OR(Nonlabor!$H$12="Monthly",AND(Nonlabor!$H$12="Once",C1732=IF(Nonlabor!$E$12="Core",Nonlabor!$F$12,MAX(Nonlabor!$F$12,IF(Nonlabor!$E$12="AI",Assumptions!$D$24,Assumptions!$D$25)))),AND(Nonlabor!$H$12="Annual",MOD(C1732-IF(Nonlabor!$E$12="Core",Nonlabor!$F$12,MAX(Nonlabor!$F$12,IF(Nonlabor!$E$12="AI",Assumptions!$D$24,Assumptions!$D$25))),12)=0))),IF(Nonlabor!$I$12="Fixed",1,IF(Nonlabor!$I$12="Seats",ROUNDUP('Monthly Base'!I52,0),IF(Nonlabor!$I$12="Customers",'Monthly Base'!D52,IF(Nonlabor!$I$12="NewCustomers",'Monthly Base'!C52,IF(Nonlabor!$I$12="StorageGB",'Monthly Base'!G52,IF(Nonlabor!$I$12="LogGB",'Monthly Base'!H52,IF(Nonlabor!$I$12="RequestsM",'Monthly Base'!F52,IF(Nonlabor!$I$12="InputM",'Monthly Base'!D52*Assumptions!$D$22/1000000,IF(Nonlabor!$I$12="OutputM",'Monthly Base'!D52*Assumptions!$D$23/1000000,0))))))))),0)</f>
        <v>3.22812993927082</v>
      </c>
      <c r="F1732" s="10" t="n">
        <f aca="false">Nonlabor!$J$12*(1+Assumptions!$D$9)^INT((C1732-1)/12)</f>
        <v>32.78181</v>
      </c>
      <c r="G1732" s="10" t="n">
        <f aca="false">E1732*F1732</f>
        <v>105.823942324487</v>
      </c>
      <c r="H1732" s="10" t="n">
        <f aca="false">IF(OR(Nonlabor!$L$12="Quote required",Nonlabor!$L$12="Unverified"),G1732,0)</f>
        <v>0</v>
      </c>
      <c r="I1732" s="10" t="n">
        <f aca="false">IF(Nonlabor!$E$12="Core",0,G1732)</f>
        <v>0</v>
      </c>
      <c r="J1732" s="23" t="str">
        <f aca="false">Nonlabor!$B$12</f>
        <v>INFRA</v>
      </c>
    </row>
    <row r="1733" customFormat="false" ht="15" hidden="false" customHeight="false" outlineLevel="0" collapsed="false">
      <c r="A1733" s="6" t="s">
        <v>4</v>
      </c>
      <c r="B1733" s="6" t="s">
        <v>391</v>
      </c>
      <c r="C1733" s="6" t="n">
        <v>48</v>
      </c>
      <c r="D1733" s="25" t="n">
        <f aca="false">EDATE('Start Here'!$B$6,C1733-1)</f>
        <v>47757</v>
      </c>
      <c r="E1733" s="11" t="n">
        <f aca="false">IF(AND(OR(Nonlabor!$D$12="Both",Nonlabor!$D$12='Start Here'!$B$9),IF(Nonlabor!$E$12="Core",1,IF(Nonlabor!$E$12="AI",'Start Here'!$B$7,'Start Here'!$B$8))=1,C1733&gt;=IF(Nonlabor!$E$12="Core",Nonlabor!$F$12,MAX(Nonlabor!$F$12,IF(Nonlabor!$E$12="AI",Assumptions!$D$24,Assumptions!$D$25))),C1733&lt;=Nonlabor!$G$12,OR(Nonlabor!$H$12="Monthly",AND(Nonlabor!$H$12="Once",C1733=IF(Nonlabor!$E$12="Core",Nonlabor!$F$12,MAX(Nonlabor!$F$12,IF(Nonlabor!$E$12="AI",Assumptions!$D$24,Assumptions!$D$25)))),AND(Nonlabor!$H$12="Annual",MOD(C1733-IF(Nonlabor!$E$12="Core",Nonlabor!$F$12,MAX(Nonlabor!$F$12,IF(Nonlabor!$E$12="AI",Assumptions!$D$24,Assumptions!$D$25))),12)=0))),IF(Nonlabor!$I$12="Fixed",1,IF(Nonlabor!$I$12="Seats",ROUNDUP('Monthly Base'!I53,0),IF(Nonlabor!$I$12="Customers",'Monthly Base'!D53,IF(Nonlabor!$I$12="NewCustomers",'Monthly Base'!C53,IF(Nonlabor!$I$12="StorageGB",'Monthly Base'!G53,IF(Nonlabor!$I$12="LogGB",'Monthly Base'!H53,IF(Nonlabor!$I$12="RequestsM",'Monthly Base'!F53,IF(Nonlabor!$I$12="InputM",'Monthly Base'!D53*Assumptions!$D$22/1000000,IF(Nonlabor!$I$12="OutputM",'Monthly Base'!D53*Assumptions!$D$23/1000000,0))))))))),0)</f>
        <v>3.34772363987811</v>
      </c>
      <c r="F1733" s="10" t="n">
        <f aca="false">Nonlabor!$J$12*(1+Assumptions!$D$9)^INT((C1733-1)/12)</f>
        <v>32.78181</v>
      </c>
      <c r="G1733" s="10" t="n">
        <f aca="false">E1733*F1733</f>
        <v>109.744440294993</v>
      </c>
      <c r="H1733" s="10" t="n">
        <f aca="false">IF(OR(Nonlabor!$L$12="Quote required",Nonlabor!$L$12="Unverified"),G1733,0)</f>
        <v>0</v>
      </c>
      <c r="I1733" s="10" t="n">
        <f aca="false">IF(Nonlabor!$E$12="Core",0,G1733)</f>
        <v>0</v>
      </c>
      <c r="J1733" s="23" t="str">
        <f aca="false">Nonlabor!$B$12</f>
        <v>INFRA</v>
      </c>
    </row>
    <row r="1734" customFormat="false" ht="15" hidden="false" customHeight="false" outlineLevel="0" collapsed="false">
      <c r="A1734" s="6" t="s">
        <v>4</v>
      </c>
      <c r="B1734" s="6" t="s">
        <v>391</v>
      </c>
      <c r="C1734" s="6" t="n">
        <v>49</v>
      </c>
      <c r="D1734" s="25" t="n">
        <f aca="false">EDATE('Start Here'!$B$6,C1734-1)</f>
        <v>47788</v>
      </c>
      <c r="E1734" s="11" t="n">
        <f aca="false">IF(AND(OR(Nonlabor!$D$12="Both",Nonlabor!$D$12='Start Here'!$B$9),IF(Nonlabor!$E$12="Core",1,IF(Nonlabor!$E$12="AI",'Start Here'!$B$7,'Start Here'!$B$8))=1,C1734&gt;=IF(Nonlabor!$E$12="Core",Nonlabor!$F$12,MAX(Nonlabor!$F$12,IF(Nonlabor!$E$12="AI",Assumptions!$D$24,Assumptions!$D$25))),C1734&lt;=Nonlabor!$G$12,OR(Nonlabor!$H$12="Monthly",AND(Nonlabor!$H$12="Once",C1734=IF(Nonlabor!$E$12="Core",Nonlabor!$F$12,MAX(Nonlabor!$F$12,IF(Nonlabor!$E$12="AI",Assumptions!$D$24,Assumptions!$D$25)))),AND(Nonlabor!$H$12="Annual",MOD(C1734-IF(Nonlabor!$E$12="Core",Nonlabor!$F$12,MAX(Nonlabor!$F$12,IF(Nonlabor!$E$12="AI",Assumptions!$D$24,Assumptions!$D$25))),12)=0))),IF(Nonlabor!$I$12="Fixed",1,IF(Nonlabor!$I$12="Seats",ROUNDUP('Monthly Base'!I54,0),IF(Nonlabor!$I$12="Customers",'Monthly Base'!D54,IF(Nonlabor!$I$12="NewCustomers",'Monthly Base'!C54,IF(Nonlabor!$I$12="StorageGB",'Monthly Base'!G54,IF(Nonlabor!$I$12="LogGB",'Monthly Base'!H54,IF(Nonlabor!$I$12="RequestsM",'Monthly Base'!F54,IF(Nonlabor!$I$12="InputM",'Monthly Base'!D54*Assumptions!$D$22/1000000,IF(Nonlabor!$I$12="OutputM",'Monthly Base'!D54*Assumptions!$D$23/1000000,0))))))))),0)</f>
        <v>3.54205890347933</v>
      </c>
      <c r="F1734" s="10" t="n">
        <f aca="false">Nonlabor!$J$12*(1+Assumptions!$D$9)^INT((C1734-1)/12)</f>
        <v>33.7652643</v>
      </c>
      <c r="G1734" s="10" t="n">
        <f aca="false">E1734*F1734</f>
        <v>119.598555042148</v>
      </c>
      <c r="H1734" s="10" t="n">
        <f aca="false">IF(OR(Nonlabor!$L$12="Quote required",Nonlabor!$L$12="Unverified"),G1734,0)</f>
        <v>0</v>
      </c>
      <c r="I1734" s="10" t="n">
        <f aca="false">IF(Nonlabor!$E$12="Core",0,G1734)</f>
        <v>0</v>
      </c>
      <c r="J1734" s="23" t="str">
        <f aca="false">Nonlabor!$B$12</f>
        <v>INFRA</v>
      </c>
    </row>
    <row r="1735" customFormat="false" ht="15" hidden="false" customHeight="false" outlineLevel="0" collapsed="false">
      <c r="A1735" s="6" t="s">
        <v>4</v>
      </c>
      <c r="B1735" s="6" t="s">
        <v>391</v>
      </c>
      <c r="C1735" s="6" t="n">
        <v>50</v>
      </c>
      <c r="D1735" s="25" t="n">
        <f aca="false">EDATE('Start Here'!$B$6,C1735-1)</f>
        <v>47818</v>
      </c>
      <c r="E1735" s="11" t="n">
        <f aca="false">IF(AND(OR(Nonlabor!$D$12="Both",Nonlabor!$D$12='Start Here'!$B$9),IF(Nonlabor!$E$12="Core",1,IF(Nonlabor!$E$12="AI",'Start Here'!$B$7,'Start Here'!$B$8))=1,C1735&gt;=IF(Nonlabor!$E$12="Core",Nonlabor!$F$12,MAX(Nonlabor!$F$12,IF(Nonlabor!$E$12="AI",Assumptions!$D$24,Assumptions!$D$25))),C1735&lt;=Nonlabor!$G$12,OR(Nonlabor!$H$12="Monthly",AND(Nonlabor!$H$12="Once",C1735=IF(Nonlabor!$E$12="Core",Nonlabor!$F$12,MAX(Nonlabor!$F$12,IF(Nonlabor!$E$12="AI",Assumptions!$D$24,Assumptions!$D$25)))),AND(Nonlabor!$H$12="Annual",MOD(C1735-IF(Nonlabor!$E$12="Core",Nonlabor!$F$12,MAX(Nonlabor!$F$12,IF(Nonlabor!$E$12="AI",Assumptions!$D$24,Assumptions!$D$25))),12)=0))),IF(Nonlabor!$I$12="Fixed",1,IF(Nonlabor!$I$12="Seats",ROUNDUP('Monthly Base'!I55,0),IF(Nonlabor!$I$12="Customers",'Monthly Base'!D55,IF(Nonlabor!$I$12="NewCustomers",'Monthly Base'!C55,IF(Nonlabor!$I$12="StorageGB",'Monthly Base'!G55,IF(Nonlabor!$I$12="LogGB",'Monthly Base'!H55,IF(Nonlabor!$I$12="RequestsM",'Monthly Base'!F55,IF(Nonlabor!$I$12="InputM",'Monthly Base'!D55*Assumptions!$D$22/1000000,IF(Nonlabor!$I$12="OutputM",'Monthly Base'!D55*Assumptions!$D$23/1000000,0))))))))),0)</f>
        <v>3.73445081444453</v>
      </c>
      <c r="F1735" s="10" t="n">
        <f aca="false">Nonlabor!$J$12*(1+Assumptions!$D$9)^INT((C1735-1)/12)</f>
        <v>33.7652643</v>
      </c>
      <c r="G1735" s="10" t="n">
        <f aca="false">E1735*F1735</f>
        <v>126.09471876507</v>
      </c>
      <c r="H1735" s="10" t="n">
        <f aca="false">IF(OR(Nonlabor!$L$12="Quote required",Nonlabor!$L$12="Unverified"),G1735,0)</f>
        <v>0</v>
      </c>
      <c r="I1735" s="10" t="n">
        <f aca="false">IF(Nonlabor!$E$12="Core",0,G1735)</f>
        <v>0</v>
      </c>
      <c r="J1735" s="23" t="str">
        <f aca="false">Nonlabor!$B$12</f>
        <v>INFRA</v>
      </c>
    </row>
    <row r="1736" customFormat="false" ht="15" hidden="false" customHeight="false" outlineLevel="0" collapsed="false">
      <c r="A1736" s="6" t="s">
        <v>4</v>
      </c>
      <c r="B1736" s="6" t="s">
        <v>391</v>
      </c>
      <c r="C1736" s="6" t="n">
        <v>51</v>
      </c>
      <c r="D1736" s="25" t="n">
        <f aca="false">EDATE('Start Here'!$B$6,C1736-1)</f>
        <v>47849</v>
      </c>
      <c r="E1736" s="11" t="n">
        <f aca="false">IF(AND(OR(Nonlabor!$D$12="Both",Nonlabor!$D$12='Start Here'!$B$9),IF(Nonlabor!$E$12="Core",1,IF(Nonlabor!$E$12="AI",'Start Here'!$B$7,'Start Here'!$B$8))=1,C1736&gt;=IF(Nonlabor!$E$12="Core",Nonlabor!$F$12,MAX(Nonlabor!$F$12,IF(Nonlabor!$E$12="AI",Assumptions!$D$24,Assumptions!$D$25))),C1736&lt;=Nonlabor!$G$12,OR(Nonlabor!$H$12="Monthly",AND(Nonlabor!$H$12="Once",C1736=IF(Nonlabor!$E$12="Core",Nonlabor!$F$12,MAX(Nonlabor!$F$12,IF(Nonlabor!$E$12="AI",Assumptions!$D$24,Assumptions!$D$25)))),AND(Nonlabor!$H$12="Annual",MOD(C1736-IF(Nonlabor!$E$12="Core",Nonlabor!$F$12,MAX(Nonlabor!$F$12,IF(Nonlabor!$E$12="AI",Assumptions!$D$24,Assumptions!$D$25))),12)=0))),IF(Nonlabor!$I$12="Fixed",1,IF(Nonlabor!$I$12="Seats",ROUNDUP('Monthly Base'!I56,0),IF(Nonlabor!$I$12="Customers",'Monthly Base'!D56,IF(Nonlabor!$I$12="NewCustomers",'Monthly Base'!C56,IF(Nonlabor!$I$12="StorageGB",'Monthly Base'!G56,IF(Nonlabor!$I$12="LogGB",'Monthly Base'!H56,IF(Nonlabor!$I$12="RequestsM",'Monthly Base'!F56,IF(Nonlabor!$I$12="InputM",'Monthly Base'!D56*Assumptions!$D$22/1000000,IF(Nonlabor!$I$12="OutputM",'Monthly Base'!D56*Assumptions!$D$23/1000000,0))))))))),0)</f>
        <v>3.92491880630009</v>
      </c>
      <c r="F1736" s="10" t="n">
        <f aca="false">Nonlabor!$J$12*(1+Assumptions!$D$9)^INT((C1736-1)/12)</f>
        <v>33.7652643</v>
      </c>
      <c r="G1736" s="10" t="n">
        <f aca="false">E1736*F1736</f>
        <v>132.525920850763</v>
      </c>
      <c r="H1736" s="10" t="n">
        <f aca="false">IF(OR(Nonlabor!$L$12="Quote required",Nonlabor!$L$12="Unverified"),G1736,0)</f>
        <v>0</v>
      </c>
      <c r="I1736" s="10" t="n">
        <f aca="false">IF(Nonlabor!$E$12="Core",0,G1736)</f>
        <v>0</v>
      </c>
      <c r="J1736" s="23" t="str">
        <f aca="false">Nonlabor!$B$12</f>
        <v>INFRA</v>
      </c>
    </row>
    <row r="1737" customFormat="false" ht="15" hidden="false" customHeight="false" outlineLevel="0" collapsed="false">
      <c r="A1737" s="6" t="s">
        <v>4</v>
      </c>
      <c r="B1737" s="6" t="s">
        <v>391</v>
      </c>
      <c r="C1737" s="6" t="n">
        <v>52</v>
      </c>
      <c r="D1737" s="25" t="n">
        <f aca="false">EDATE('Start Here'!$B$6,C1737-1)</f>
        <v>47880</v>
      </c>
      <c r="E1737" s="11" t="n">
        <f aca="false">IF(AND(OR(Nonlabor!$D$12="Both",Nonlabor!$D$12='Start Here'!$B$9),IF(Nonlabor!$E$12="Core",1,IF(Nonlabor!$E$12="AI",'Start Here'!$B$7,'Start Here'!$B$8))=1,C1737&gt;=IF(Nonlabor!$E$12="Core",Nonlabor!$F$12,MAX(Nonlabor!$F$12,IF(Nonlabor!$E$12="AI",Assumptions!$D$24,Assumptions!$D$25))),C1737&lt;=Nonlabor!$G$12,OR(Nonlabor!$H$12="Monthly",AND(Nonlabor!$H$12="Once",C1737=IF(Nonlabor!$E$12="Core",Nonlabor!$F$12,MAX(Nonlabor!$F$12,IF(Nonlabor!$E$12="AI",Assumptions!$D$24,Assumptions!$D$25)))),AND(Nonlabor!$H$12="Annual",MOD(C1737-IF(Nonlabor!$E$12="Core",Nonlabor!$F$12,MAX(Nonlabor!$F$12,IF(Nonlabor!$E$12="AI",Assumptions!$D$24,Assumptions!$D$25))),12)=0))),IF(Nonlabor!$I$12="Fixed",1,IF(Nonlabor!$I$12="Seats",ROUNDUP('Monthly Base'!I57,0),IF(Nonlabor!$I$12="Customers",'Monthly Base'!D57,IF(Nonlabor!$I$12="NewCustomers",'Monthly Base'!C57,IF(Nonlabor!$I$12="StorageGB",'Monthly Base'!G57,IF(Nonlabor!$I$12="LogGB",'Monthly Base'!H57,IF(Nonlabor!$I$12="RequestsM",'Monthly Base'!F57,IF(Nonlabor!$I$12="InputM",'Monthly Base'!D57*Assumptions!$D$22/1000000,IF(Nonlabor!$I$12="OutputM",'Monthly Base'!D57*Assumptions!$D$23/1000000,0))))))))),0)</f>
        <v>4.11348211823709</v>
      </c>
      <c r="F1737" s="10" t="n">
        <f aca="false">Nonlabor!$J$12*(1+Assumptions!$D$9)^INT((C1737-1)/12)</f>
        <v>33.7652643</v>
      </c>
      <c r="G1737" s="10" t="n">
        <f aca="false">E1737*F1737</f>
        <v>138.892810915599</v>
      </c>
      <c r="H1737" s="10" t="n">
        <f aca="false">IF(OR(Nonlabor!$L$12="Quote required",Nonlabor!$L$12="Unverified"),G1737,0)</f>
        <v>0</v>
      </c>
      <c r="I1737" s="10" t="n">
        <f aca="false">IF(Nonlabor!$E$12="Core",0,G1737)</f>
        <v>0</v>
      </c>
      <c r="J1737" s="23" t="str">
        <f aca="false">Nonlabor!$B$12</f>
        <v>INFRA</v>
      </c>
    </row>
    <row r="1738" customFormat="false" ht="15" hidden="false" customHeight="false" outlineLevel="0" collapsed="false">
      <c r="A1738" s="6" t="s">
        <v>4</v>
      </c>
      <c r="B1738" s="6" t="s">
        <v>391</v>
      </c>
      <c r="C1738" s="6" t="n">
        <v>53</v>
      </c>
      <c r="D1738" s="25" t="n">
        <f aca="false">EDATE('Start Here'!$B$6,C1738-1)</f>
        <v>47908</v>
      </c>
      <c r="E1738" s="11" t="n">
        <f aca="false">IF(AND(OR(Nonlabor!$D$12="Both",Nonlabor!$D$12='Start Here'!$B$9),IF(Nonlabor!$E$12="Core",1,IF(Nonlabor!$E$12="AI",'Start Here'!$B$7,'Start Here'!$B$8))=1,C1738&gt;=IF(Nonlabor!$E$12="Core",Nonlabor!$F$12,MAX(Nonlabor!$F$12,IF(Nonlabor!$E$12="AI",Assumptions!$D$24,Assumptions!$D$25))),C1738&lt;=Nonlabor!$G$12,OR(Nonlabor!$H$12="Monthly",AND(Nonlabor!$H$12="Once",C1738=IF(Nonlabor!$E$12="Core",Nonlabor!$F$12,MAX(Nonlabor!$F$12,IF(Nonlabor!$E$12="AI",Assumptions!$D$24,Assumptions!$D$25)))),AND(Nonlabor!$H$12="Annual",MOD(C1738-IF(Nonlabor!$E$12="Core",Nonlabor!$F$12,MAX(Nonlabor!$F$12,IF(Nonlabor!$E$12="AI",Assumptions!$D$24,Assumptions!$D$25))),12)=0))),IF(Nonlabor!$I$12="Fixed",1,IF(Nonlabor!$I$12="Seats",ROUNDUP('Monthly Base'!I58,0),IF(Nonlabor!$I$12="Customers",'Monthly Base'!D58,IF(Nonlabor!$I$12="NewCustomers",'Monthly Base'!C58,IF(Nonlabor!$I$12="StorageGB",'Monthly Base'!G58,IF(Nonlabor!$I$12="LogGB",'Monthly Base'!H58,IF(Nonlabor!$I$12="RequestsM",'Monthly Base'!F58,IF(Nonlabor!$I$12="InputM",'Monthly Base'!D58*Assumptions!$D$22/1000000,IF(Nonlabor!$I$12="OutputM",'Monthly Base'!D58*Assumptions!$D$23/1000000,0))))))))),0)</f>
        <v>4.30015979705472</v>
      </c>
      <c r="F1738" s="10" t="n">
        <f aca="false">Nonlabor!$J$12*(1+Assumptions!$D$9)^INT((C1738-1)/12)</f>
        <v>33.7652643</v>
      </c>
      <c r="G1738" s="10" t="n">
        <f aca="false">E1738*F1738</f>
        <v>145.196032079787</v>
      </c>
      <c r="H1738" s="10" t="n">
        <f aca="false">IF(OR(Nonlabor!$L$12="Quote required",Nonlabor!$L$12="Unverified"),G1738,0)</f>
        <v>0</v>
      </c>
      <c r="I1738" s="10" t="n">
        <f aca="false">IF(Nonlabor!$E$12="Core",0,G1738)</f>
        <v>0</v>
      </c>
      <c r="J1738" s="23" t="str">
        <f aca="false">Nonlabor!$B$12</f>
        <v>INFRA</v>
      </c>
    </row>
    <row r="1739" customFormat="false" ht="15" hidden="false" customHeight="false" outlineLevel="0" collapsed="false">
      <c r="A1739" s="6" t="s">
        <v>4</v>
      </c>
      <c r="B1739" s="6" t="s">
        <v>391</v>
      </c>
      <c r="C1739" s="6" t="n">
        <v>54</v>
      </c>
      <c r="D1739" s="25" t="n">
        <f aca="false">EDATE('Start Here'!$B$6,C1739-1)</f>
        <v>47939</v>
      </c>
      <c r="E1739" s="11" t="n">
        <f aca="false">IF(AND(OR(Nonlabor!$D$12="Both",Nonlabor!$D$12='Start Here'!$B$9),IF(Nonlabor!$E$12="Core",1,IF(Nonlabor!$E$12="AI",'Start Here'!$B$7,'Start Here'!$B$8))=1,C1739&gt;=IF(Nonlabor!$E$12="Core",Nonlabor!$F$12,MAX(Nonlabor!$F$12,IF(Nonlabor!$E$12="AI",Assumptions!$D$24,Assumptions!$D$25))),C1739&lt;=Nonlabor!$G$12,OR(Nonlabor!$H$12="Monthly",AND(Nonlabor!$H$12="Once",C1739=IF(Nonlabor!$E$12="Core",Nonlabor!$F$12,MAX(Nonlabor!$F$12,IF(Nonlabor!$E$12="AI",Assumptions!$D$24,Assumptions!$D$25)))),AND(Nonlabor!$H$12="Annual",MOD(C1739-IF(Nonlabor!$E$12="Core",Nonlabor!$F$12,MAX(Nonlabor!$F$12,IF(Nonlabor!$E$12="AI",Assumptions!$D$24,Assumptions!$D$25))),12)=0))),IF(Nonlabor!$I$12="Fixed",1,IF(Nonlabor!$I$12="Seats",ROUNDUP('Monthly Base'!I59,0),IF(Nonlabor!$I$12="Customers",'Monthly Base'!D59,IF(Nonlabor!$I$12="NewCustomers",'Monthly Base'!C59,IF(Nonlabor!$I$12="StorageGB",'Monthly Base'!G59,IF(Nonlabor!$I$12="LogGB",'Monthly Base'!H59,IF(Nonlabor!$I$12="RequestsM",'Monthly Base'!F59,IF(Nonlabor!$I$12="InputM",'Monthly Base'!D59*Assumptions!$D$22/1000000,IF(Nonlabor!$I$12="OutputM",'Monthly Base'!D59*Assumptions!$D$23/1000000,0))))))))),0)</f>
        <v>4.48497069908417</v>
      </c>
      <c r="F1739" s="10" t="n">
        <f aca="false">Nonlabor!$J$12*(1+Assumptions!$D$9)^INT((C1739-1)/12)</f>
        <v>33.7652643</v>
      </c>
      <c r="G1739" s="10" t="n">
        <f aca="false">E1739*F1739</f>
        <v>151.436221032333</v>
      </c>
      <c r="H1739" s="10" t="n">
        <f aca="false">IF(OR(Nonlabor!$L$12="Quote required",Nonlabor!$L$12="Unverified"),G1739,0)</f>
        <v>0</v>
      </c>
      <c r="I1739" s="10" t="n">
        <f aca="false">IF(Nonlabor!$E$12="Core",0,G1739)</f>
        <v>0</v>
      </c>
      <c r="J1739" s="23" t="str">
        <f aca="false">Nonlabor!$B$12</f>
        <v>INFRA</v>
      </c>
    </row>
    <row r="1740" customFormat="false" ht="15" hidden="false" customHeight="false" outlineLevel="0" collapsed="false">
      <c r="A1740" s="6" t="s">
        <v>4</v>
      </c>
      <c r="B1740" s="6" t="s">
        <v>391</v>
      </c>
      <c r="C1740" s="6" t="n">
        <v>55</v>
      </c>
      <c r="D1740" s="25" t="n">
        <f aca="false">EDATE('Start Here'!$B$6,C1740-1)</f>
        <v>47969</v>
      </c>
      <c r="E1740" s="11" t="n">
        <f aca="false">IF(AND(OR(Nonlabor!$D$12="Both",Nonlabor!$D$12='Start Here'!$B$9),IF(Nonlabor!$E$12="Core",1,IF(Nonlabor!$E$12="AI",'Start Here'!$B$7,'Start Here'!$B$8))=1,C1740&gt;=IF(Nonlabor!$E$12="Core",Nonlabor!$F$12,MAX(Nonlabor!$F$12,IF(Nonlabor!$E$12="AI",Assumptions!$D$24,Assumptions!$D$25))),C1740&lt;=Nonlabor!$G$12,OR(Nonlabor!$H$12="Monthly",AND(Nonlabor!$H$12="Once",C1740=IF(Nonlabor!$E$12="Core",Nonlabor!$F$12,MAX(Nonlabor!$F$12,IF(Nonlabor!$E$12="AI",Assumptions!$D$24,Assumptions!$D$25)))),AND(Nonlabor!$H$12="Annual",MOD(C1740-IF(Nonlabor!$E$12="Core",Nonlabor!$F$12,MAX(Nonlabor!$F$12,IF(Nonlabor!$E$12="AI",Assumptions!$D$24,Assumptions!$D$25))),12)=0))),IF(Nonlabor!$I$12="Fixed",1,IF(Nonlabor!$I$12="Seats",ROUNDUP('Monthly Base'!I60,0),IF(Nonlabor!$I$12="Customers",'Monthly Base'!D60,IF(Nonlabor!$I$12="NewCustomers",'Monthly Base'!C60,IF(Nonlabor!$I$12="StorageGB",'Monthly Base'!G60,IF(Nonlabor!$I$12="LogGB",'Monthly Base'!H60,IF(Nonlabor!$I$12="RequestsM",'Monthly Base'!F60,IF(Nonlabor!$I$12="InputM",'Monthly Base'!D60*Assumptions!$D$22/1000000,IF(Nonlabor!$I$12="OutputM",'Monthly Base'!D60*Assumptions!$D$23/1000000,0))))))))),0)</f>
        <v>4.66793349209333</v>
      </c>
      <c r="F1740" s="10" t="n">
        <f aca="false">Nonlabor!$J$12*(1+Assumptions!$D$9)^INT((C1740-1)/12)</f>
        <v>33.7652643</v>
      </c>
      <c r="G1740" s="10" t="n">
        <f aca="false">E1740*F1740</f>
        <v>157.614008095353</v>
      </c>
      <c r="H1740" s="10" t="n">
        <f aca="false">IF(OR(Nonlabor!$L$12="Quote required",Nonlabor!$L$12="Unverified"),G1740,0)</f>
        <v>0</v>
      </c>
      <c r="I1740" s="10" t="n">
        <f aca="false">IF(Nonlabor!$E$12="Core",0,G1740)</f>
        <v>0</v>
      </c>
      <c r="J1740" s="23" t="str">
        <f aca="false">Nonlabor!$B$12</f>
        <v>INFRA</v>
      </c>
    </row>
    <row r="1741" customFormat="false" ht="15" hidden="false" customHeight="false" outlineLevel="0" collapsed="false">
      <c r="A1741" s="6" t="s">
        <v>4</v>
      </c>
      <c r="B1741" s="6" t="s">
        <v>391</v>
      </c>
      <c r="C1741" s="6" t="n">
        <v>56</v>
      </c>
      <c r="D1741" s="25" t="n">
        <f aca="false">EDATE('Start Here'!$B$6,C1741-1)</f>
        <v>48000</v>
      </c>
      <c r="E1741" s="11" t="n">
        <f aca="false">IF(AND(OR(Nonlabor!$D$12="Both",Nonlabor!$D$12='Start Here'!$B$9),IF(Nonlabor!$E$12="Core",1,IF(Nonlabor!$E$12="AI",'Start Here'!$B$7,'Start Here'!$B$8))=1,C1741&gt;=IF(Nonlabor!$E$12="Core",Nonlabor!$F$12,MAX(Nonlabor!$F$12,IF(Nonlabor!$E$12="AI",Assumptions!$D$24,Assumptions!$D$25))),C1741&lt;=Nonlabor!$G$12,OR(Nonlabor!$H$12="Monthly",AND(Nonlabor!$H$12="Once",C1741=IF(Nonlabor!$E$12="Core",Nonlabor!$F$12,MAX(Nonlabor!$F$12,IF(Nonlabor!$E$12="AI",Assumptions!$D$24,Assumptions!$D$25)))),AND(Nonlabor!$H$12="Annual",MOD(C1741-IF(Nonlabor!$E$12="Core",Nonlabor!$F$12,MAX(Nonlabor!$F$12,IF(Nonlabor!$E$12="AI",Assumptions!$D$24,Assumptions!$D$25))),12)=0))),IF(Nonlabor!$I$12="Fixed",1,IF(Nonlabor!$I$12="Seats",ROUNDUP('Monthly Base'!I61,0),IF(Nonlabor!$I$12="Customers",'Monthly Base'!D61,IF(Nonlabor!$I$12="NewCustomers",'Monthly Base'!C61,IF(Nonlabor!$I$12="StorageGB",'Monthly Base'!G61,IF(Nonlabor!$I$12="LogGB",'Monthly Base'!H61,IF(Nonlabor!$I$12="RequestsM",'Monthly Base'!F61,IF(Nonlabor!$I$12="InputM",'Monthly Base'!D61*Assumptions!$D$22/1000000,IF(Nonlabor!$I$12="OutputM",'Monthly Base'!D61*Assumptions!$D$23/1000000,0))))))))),0)</f>
        <v>4.84906665717239</v>
      </c>
      <c r="F1741" s="10" t="n">
        <f aca="false">Nonlabor!$J$12*(1+Assumptions!$D$9)^INT((C1741-1)/12)</f>
        <v>33.7652643</v>
      </c>
      <c r="G1741" s="10" t="n">
        <f aca="false">E1741*F1741</f>
        <v>163.730017287743</v>
      </c>
      <c r="H1741" s="10" t="n">
        <f aca="false">IF(OR(Nonlabor!$L$12="Quote required",Nonlabor!$L$12="Unverified"),G1741,0)</f>
        <v>0</v>
      </c>
      <c r="I1741" s="10" t="n">
        <f aca="false">IF(Nonlabor!$E$12="Core",0,G1741)</f>
        <v>0</v>
      </c>
      <c r="J1741" s="23" t="str">
        <f aca="false">Nonlabor!$B$12</f>
        <v>INFRA</v>
      </c>
    </row>
    <row r="1742" customFormat="false" ht="15" hidden="false" customHeight="false" outlineLevel="0" collapsed="false">
      <c r="A1742" s="6" t="s">
        <v>4</v>
      </c>
      <c r="B1742" s="6" t="s">
        <v>391</v>
      </c>
      <c r="C1742" s="6" t="n">
        <v>57</v>
      </c>
      <c r="D1742" s="25" t="n">
        <f aca="false">EDATE('Start Here'!$B$6,C1742-1)</f>
        <v>48030</v>
      </c>
      <c r="E1742" s="11" t="n">
        <f aca="false">IF(AND(OR(Nonlabor!$D$12="Both",Nonlabor!$D$12='Start Here'!$B$9),IF(Nonlabor!$E$12="Core",1,IF(Nonlabor!$E$12="AI",'Start Here'!$B$7,'Start Here'!$B$8))=1,C1742&gt;=IF(Nonlabor!$E$12="Core",Nonlabor!$F$12,MAX(Nonlabor!$F$12,IF(Nonlabor!$E$12="AI",Assumptions!$D$24,Assumptions!$D$25))),C1742&lt;=Nonlabor!$G$12,OR(Nonlabor!$H$12="Monthly",AND(Nonlabor!$H$12="Once",C1742=IF(Nonlabor!$E$12="Core",Nonlabor!$F$12,MAX(Nonlabor!$F$12,IF(Nonlabor!$E$12="AI",Assumptions!$D$24,Assumptions!$D$25)))),AND(Nonlabor!$H$12="Annual",MOD(C1742-IF(Nonlabor!$E$12="Core",Nonlabor!$F$12,MAX(Nonlabor!$F$12,IF(Nonlabor!$E$12="AI",Assumptions!$D$24,Assumptions!$D$25))),12)=0))),IF(Nonlabor!$I$12="Fixed",1,IF(Nonlabor!$I$12="Seats",ROUNDUP('Monthly Base'!I62,0),IF(Nonlabor!$I$12="Customers",'Monthly Base'!D62,IF(Nonlabor!$I$12="NewCustomers",'Monthly Base'!C62,IF(Nonlabor!$I$12="StorageGB",'Monthly Base'!G62,IF(Nonlabor!$I$12="LogGB",'Monthly Base'!H62,IF(Nonlabor!$I$12="RequestsM",'Monthly Base'!F62,IF(Nonlabor!$I$12="InputM",'Monthly Base'!D62*Assumptions!$D$22/1000000,IF(Nonlabor!$I$12="OutputM",'Monthly Base'!D62*Assumptions!$D$23/1000000,0))))))))),0)</f>
        <v>5.02838849060067</v>
      </c>
      <c r="F1742" s="10" t="n">
        <f aca="false">Nonlabor!$J$12*(1+Assumptions!$D$9)^INT((C1742-1)/12)</f>
        <v>33.7652643</v>
      </c>
      <c r="G1742" s="10" t="n">
        <f aca="false">E1742*F1742</f>
        <v>169.78486638821</v>
      </c>
      <c r="H1742" s="10" t="n">
        <f aca="false">IF(OR(Nonlabor!$L$12="Quote required",Nonlabor!$L$12="Unverified"),G1742,0)</f>
        <v>0</v>
      </c>
      <c r="I1742" s="10" t="n">
        <f aca="false">IF(Nonlabor!$E$12="Core",0,G1742)</f>
        <v>0</v>
      </c>
      <c r="J1742" s="23" t="str">
        <f aca="false">Nonlabor!$B$12</f>
        <v>INFRA</v>
      </c>
    </row>
    <row r="1743" customFormat="false" ht="15" hidden="false" customHeight="false" outlineLevel="0" collapsed="false">
      <c r="A1743" s="6" t="s">
        <v>4</v>
      </c>
      <c r="B1743" s="6" t="s">
        <v>391</v>
      </c>
      <c r="C1743" s="6" t="n">
        <v>58</v>
      </c>
      <c r="D1743" s="25" t="n">
        <f aca="false">EDATE('Start Here'!$B$6,C1743-1)</f>
        <v>48061</v>
      </c>
      <c r="E1743" s="11" t="n">
        <f aca="false">IF(AND(OR(Nonlabor!$D$12="Both",Nonlabor!$D$12='Start Here'!$B$9),IF(Nonlabor!$E$12="Core",1,IF(Nonlabor!$E$12="AI",'Start Here'!$B$7,'Start Here'!$B$8))=1,C1743&gt;=IF(Nonlabor!$E$12="Core",Nonlabor!$F$12,MAX(Nonlabor!$F$12,IF(Nonlabor!$E$12="AI",Assumptions!$D$24,Assumptions!$D$25))),C1743&lt;=Nonlabor!$G$12,OR(Nonlabor!$H$12="Monthly",AND(Nonlabor!$H$12="Once",C1743=IF(Nonlabor!$E$12="Core",Nonlabor!$F$12,MAX(Nonlabor!$F$12,IF(Nonlabor!$E$12="AI",Assumptions!$D$24,Assumptions!$D$25)))),AND(Nonlabor!$H$12="Annual",MOD(C1743-IF(Nonlabor!$E$12="Core",Nonlabor!$F$12,MAX(Nonlabor!$F$12,IF(Nonlabor!$E$12="AI",Assumptions!$D$24,Assumptions!$D$25))),12)=0))),IF(Nonlabor!$I$12="Fixed",1,IF(Nonlabor!$I$12="Seats",ROUNDUP('Monthly Base'!I63,0),IF(Nonlabor!$I$12="Customers",'Monthly Base'!D63,IF(Nonlabor!$I$12="NewCustomers",'Monthly Base'!C63,IF(Nonlabor!$I$12="StorageGB",'Monthly Base'!G63,IF(Nonlabor!$I$12="LogGB",'Monthly Base'!H63,IF(Nonlabor!$I$12="RequestsM",'Monthly Base'!F63,IF(Nonlabor!$I$12="InputM",'Monthly Base'!D63*Assumptions!$D$22/1000000,IF(Nonlabor!$I$12="OutputM",'Monthly Base'!D63*Assumptions!$D$23/1000000,0))))))))),0)</f>
        <v>5.20591710569466</v>
      </c>
      <c r="F1743" s="10" t="n">
        <f aca="false">Nonlabor!$J$12*(1+Assumptions!$D$9)^INT((C1743-1)/12)</f>
        <v>33.7652643</v>
      </c>
      <c r="G1743" s="10" t="n">
        <f aca="false">E1743*F1743</f>
        <v>175.779166997671</v>
      </c>
      <c r="H1743" s="10" t="n">
        <f aca="false">IF(OR(Nonlabor!$L$12="Quote required",Nonlabor!$L$12="Unverified"),G1743,0)</f>
        <v>0</v>
      </c>
      <c r="I1743" s="10" t="n">
        <f aca="false">IF(Nonlabor!$E$12="Core",0,G1743)</f>
        <v>0</v>
      </c>
      <c r="J1743" s="23" t="str">
        <f aca="false">Nonlabor!$B$12</f>
        <v>INFRA</v>
      </c>
    </row>
    <row r="1744" customFormat="false" ht="15" hidden="false" customHeight="false" outlineLevel="0" collapsed="false">
      <c r="A1744" s="6" t="s">
        <v>4</v>
      </c>
      <c r="B1744" s="6" t="s">
        <v>391</v>
      </c>
      <c r="C1744" s="6" t="n">
        <v>59</v>
      </c>
      <c r="D1744" s="25" t="n">
        <f aca="false">EDATE('Start Here'!$B$6,C1744-1)</f>
        <v>48092</v>
      </c>
      <c r="E1744" s="11" t="n">
        <f aca="false">IF(AND(OR(Nonlabor!$D$12="Both",Nonlabor!$D$12='Start Here'!$B$9),IF(Nonlabor!$E$12="Core",1,IF(Nonlabor!$E$12="AI",'Start Here'!$B$7,'Start Here'!$B$8))=1,C1744&gt;=IF(Nonlabor!$E$12="Core",Nonlabor!$F$12,MAX(Nonlabor!$F$12,IF(Nonlabor!$E$12="AI",Assumptions!$D$24,Assumptions!$D$25))),C1744&lt;=Nonlabor!$G$12,OR(Nonlabor!$H$12="Monthly",AND(Nonlabor!$H$12="Once",C1744=IF(Nonlabor!$E$12="Core",Nonlabor!$F$12,MAX(Nonlabor!$F$12,IF(Nonlabor!$E$12="AI",Assumptions!$D$24,Assumptions!$D$25)))),AND(Nonlabor!$H$12="Annual",MOD(C1744-IF(Nonlabor!$E$12="Core",Nonlabor!$F$12,MAX(Nonlabor!$F$12,IF(Nonlabor!$E$12="AI",Assumptions!$D$24,Assumptions!$D$25))),12)=0))),IF(Nonlabor!$I$12="Fixed",1,IF(Nonlabor!$I$12="Seats",ROUNDUP('Monthly Base'!I64,0),IF(Nonlabor!$I$12="Customers",'Monthly Base'!D64,IF(Nonlabor!$I$12="NewCustomers",'Monthly Base'!C64,IF(Nonlabor!$I$12="StorageGB",'Monthly Base'!G64,IF(Nonlabor!$I$12="LogGB",'Monthly Base'!H64,IF(Nonlabor!$I$12="RequestsM",'Monthly Base'!F64,IF(Nonlabor!$I$12="InputM",'Monthly Base'!D64*Assumptions!$D$22/1000000,IF(Nonlabor!$I$12="OutputM",'Monthly Base'!D64*Assumptions!$D$23/1000000,0))))))))),0)</f>
        <v>5.38167043463772</v>
      </c>
      <c r="F1744" s="10" t="n">
        <f aca="false">Nonlabor!$J$12*(1+Assumptions!$D$9)^INT((C1744-1)/12)</f>
        <v>33.7652643</v>
      </c>
      <c r="G1744" s="10" t="n">
        <f aca="false">E1744*F1744</f>
        <v>181.713524601038</v>
      </c>
      <c r="H1744" s="10" t="n">
        <f aca="false">IF(OR(Nonlabor!$L$12="Quote required",Nonlabor!$L$12="Unverified"),G1744,0)</f>
        <v>0</v>
      </c>
      <c r="I1744" s="10" t="n">
        <f aca="false">IF(Nonlabor!$E$12="Core",0,G1744)</f>
        <v>0</v>
      </c>
      <c r="J1744" s="23" t="str">
        <f aca="false">Nonlabor!$B$12</f>
        <v>INFRA</v>
      </c>
    </row>
    <row r="1745" customFormat="false" ht="15" hidden="false" customHeight="false" outlineLevel="0" collapsed="false">
      <c r="A1745" s="6" t="s">
        <v>4</v>
      </c>
      <c r="B1745" s="6" t="s">
        <v>391</v>
      </c>
      <c r="C1745" s="6" t="n">
        <v>60</v>
      </c>
      <c r="D1745" s="25" t="n">
        <f aca="false">EDATE('Start Here'!$B$6,C1745-1)</f>
        <v>48122</v>
      </c>
      <c r="E1745" s="11" t="n">
        <f aca="false">IF(AND(OR(Nonlabor!$D$12="Both",Nonlabor!$D$12='Start Here'!$B$9),IF(Nonlabor!$E$12="Core",1,IF(Nonlabor!$E$12="AI",'Start Here'!$B$7,'Start Here'!$B$8))=1,C1745&gt;=IF(Nonlabor!$E$12="Core",Nonlabor!$F$12,MAX(Nonlabor!$F$12,IF(Nonlabor!$E$12="AI",Assumptions!$D$24,Assumptions!$D$25))),C1745&lt;=Nonlabor!$G$12,OR(Nonlabor!$H$12="Monthly",AND(Nonlabor!$H$12="Once",C1745=IF(Nonlabor!$E$12="Core",Nonlabor!$F$12,MAX(Nonlabor!$F$12,IF(Nonlabor!$E$12="AI",Assumptions!$D$24,Assumptions!$D$25)))),AND(Nonlabor!$H$12="Annual",MOD(C1745-IF(Nonlabor!$E$12="Core",Nonlabor!$F$12,MAX(Nonlabor!$F$12,IF(Nonlabor!$E$12="AI",Assumptions!$D$24,Assumptions!$D$25))),12)=0))),IF(Nonlabor!$I$12="Fixed",1,IF(Nonlabor!$I$12="Seats",ROUNDUP('Monthly Base'!I65,0),IF(Nonlabor!$I$12="Customers",'Monthly Base'!D65,IF(Nonlabor!$I$12="NewCustomers",'Monthly Base'!C65,IF(Nonlabor!$I$12="StorageGB",'Monthly Base'!G65,IF(Nonlabor!$I$12="LogGB",'Monthly Base'!H65,IF(Nonlabor!$I$12="RequestsM",'Monthly Base'!F65,IF(Nonlabor!$I$12="InputM",'Monthly Base'!D65*Assumptions!$D$22/1000000,IF(Nonlabor!$I$12="OutputM",'Monthly Base'!D65*Assumptions!$D$23/1000000,0))))))))),0)</f>
        <v>5.55566623029134</v>
      </c>
      <c r="F1745" s="10" t="n">
        <f aca="false">Nonlabor!$J$12*(1+Assumptions!$D$9)^INT((C1745-1)/12)</f>
        <v>33.7652643</v>
      </c>
      <c r="G1745" s="10" t="n">
        <f aca="false">E1745*F1745</f>
        <v>187.588538628372</v>
      </c>
      <c r="H1745" s="10" t="n">
        <f aca="false">IF(OR(Nonlabor!$L$12="Quote required",Nonlabor!$L$12="Unverified"),G1745,0)</f>
        <v>0</v>
      </c>
      <c r="I1745" s="10" t="n">
        <f aca="false">IF(Nonlabor!$E$12="Core",0,G1745)</f>
        <v>0</v>
      </c>
      <c r="J1745" s="23" t="str">
        <f aca="false">Nonlabor!$B$12</f>
        <v>INFRA</v>
      </c>
    </row>
    <row r="1746" customFormat="false" ht="15" hidden="false" customHeight="false" outlineLevel="0" collapsed="false">
      <c r="A1746" s="6" t="s">
        <v>4</v>
      </c>
      <c r="B1746" s="6" t="s">
        <v>395</v>
      </c>
      <c r="C1746" s="6" t="n">
        <v>1</v>
      </c>
      <c r="D1746" s="25" t="n">
        <f aca="false">EDATE('Start Here'!$B$6,C1746-1)</f>
        <v>46327</v>
      </c>
      <c r="E1746" s="23" t="n">
        <f aca="false">IF(AND(OR(Nonlabor!$D$13="Both",Nonlabor!$D$13='Start Here'!$B$9),IF(Nonlabor!$E$13="Core",1,IF(Nonlabor!$E$13="AI",'Start Here'!$B$7,'Start Here'!$B$8))=1,C1746&gt;=IF(Nonlabor!$E$13="Core",Nonlabor!$F$13,MAX(Nonlabor!$F$13,IF(Nonlabor!$E$13="AI",Assumptions!$D$24,Assumptions!$D$25))),C1746&lt;=Nonlabor!$G$13,OR(Nonlabor!$H$13="Monthly",AND(Nonlabor!$H$13="Once",C1746=IF(Nonlabor!$E$13="Core",Nonlabor!$F$13,MAX(Nonlabor!$F$13,IF(Nonlabor!$E$13="AI",Assumptions!$D$24,Assumptions!$D$25)))),AND(Nonlabor!$H$13="Annual",MOD(C1746-IF(Nonlabor!$E$13="Core",Nonlabor!$F$13,MAX(Nonlabor!$F$13,IF(Nonlabor!$E$13="AI",Assumptions!$D$24,Assumptions!$D$25))),12)=0))),IF(Nonlabor!$I$13="Fixed",1,IF(Nonlabor!$I$13="Seats",ROUNDUP('Monthly Base'!I6,0),IF(Nonlabor!$I$13="Customers",'Monthly Base'!D6,IF(Nonlabor!$I$13="NewCustomers",'Monthly Base'!C6,IF(Nonlabor!$I$13="StorageGB",'Monthly Base'!G6,IF(Nonlabor!$I$13="LogGB",'Monthly Base'!H6,IF(Nonlabor!$I$13="RequestsM",'Monthly Base'!F6,IF(Nonlabor!$I$13="InputM",'Monthly Base'!D6*Assumptions!$D$22/1000000,IF(Nonlabor!$I$13="OutputM",'Monthly Base'!D6*Assumptions!$D$23/1000000,0))))))))),0)</f>
        <v>2</v>
      </c>
      <c r="F1746" s="10" t="n">
        <f aca="false">Nonlabor!$J$13*(1+Assumptions!$D$9)^INT((C1746-1)/12)</f>
        <v>4</v>
      </c>
      <c r="G1746" s="10" t="n">
        <f aca="false">E1746*F1746</f>
        <v>8</v>
      </c>
      <c r="H1746" s="10" t="n">
        <f aca="false">IF(OR(Nonlabor!$L$13="Quote required",Nonlabor!$L$13="Unverified"),G1746,0)</f>
        <v>0</v>
      </c>
      <c r="I1746" s="10" t="n">
        <f aca="false">IF(Nonlabor!$E$13="Core",0,G1746)</f>
        <v>0</v>
      </c>
      <c r="J1746" s="23" t="str">
        <f aca="false">Nonlabor!$B$13</f>
        <v>TOOLS</v>
      </c>
    </row>
    <row r="1747" customFormat="false" ht="15" hidden="false" customHeight="false" outlineLevel="0" collapsed="false">
      <c r="A1747" s="6" t="s">
        <v>4</v>
      </c>
      <c r="B1747" s="6" t="s">
        <v>395</v>
      </c>
      <c r="C1747" s="6" t="n">
        <v>2</v>
      </c>
      <c r="D1747" s="25" t="n">
        <f aca="false">EDATE('Start Here'!$B$6,C1747-1)</f>
        <v>46357</v>
      </c>
      <c r="E1747" s="23" t="n">
        <f aca="false">IF(AND(OR(Nonlabor!$D$13="Both",Nonlabor!$D$13='Start Here'!$B$9),IF(Nonlabor!$E$13="Core",1,IF(Nonlabor!$E$13="AI",'Start Here'!$B$7,'Start Here'!$B$8))=1,C1747&gt;=IF(Nonlabor!$E$13="Core",Nonlabor!$F$13,MAX(Nonlabor!$F$13,IF(Nonlabor!$E$13="AI",Assumptions!$D$24,Assumptions!$D$25))),C1747&lt;=Nonlabor!$G$13,OR(Nonlabor!$H$13="Monthly",AND(Nonlabor!$H$13="Once",C1747=IF(Nonlabor!$E$13="Core",Nonlabor!$F$13,MAX(Nonlabor!$F$13,IF(Nonlabor!$E$13="AI",Assumptions!$D$24,Assumptions!$D$25)))),AND(Nonlabor!$H$13="Annual",MOD(C1747-IF(Nonlabor!$E$13="Core",Nonlabor!$F$13,MAX(Nonlabor!$F$13,IF(Nonlabor!$E$13="AI",Assumptions!$D$24,Assumptions!$D$25))),12)=0))),IF(Nonlabor!$I$13="Fixed",1,IF(Nonlabor!$I$13="Seats",ROUNDUP('Monthly Base'!I7,0),IF(Nonlabor!$I$13="Customers",'Monthly Base'!D7,IF(Nonlabor!$I$13="NewCustomers",'Monthly Base'!C7,IF(Nonlabor!$I$13="StorageGB",'Monthly Base'!G7,IF(Nonlabor!$I$13="LogGB",'Monthly Base'!H7,IF(Nonlabor!$I$13="RequestsM",'Monthly Base'!F7,IF(Nonlabor!$I$13="InputM",'Monthly Base'!D7*Assumptions!$D$22/1000000,IF(Nonlabor!$I$13="OutputM",'Monthly Base'!D7*Assumptions!$D$23/1000000,0))))))))),0)</f>
        <v>3</v>
      </c>
      <c r="F1747" s="10" t="n">
        <f aca="false">Nonlabor!$J$13*(1+Assumptions!$D$9)^INT((C1747-1)/12)</f>
        <v>4</v>
      </c>
      <c r="G1747" s="10" t="n">
        <f aca="false">E1747*F1747</f>
        <v>12</v>
      </c>
      <c r="H1747" s="10" t="n">
        <f aca="false">IF(OR(Nonlabor!$L$13="Quote required",Nonlabor!$L$13="Unverified"),G1747,0)</f>
        <v>0</v>
      </c>
      <c r="I1747" s="10" t="n">
        <f aca="false">IF(Nonlabor!$E$13="Core",0,G1747)</f>
        <v>0</v>
      </c>
      <c r="J1747" s="23" t="str">
        <f aca="false">Nonlabor!$B$13</f>
        <v>TOOLS</v>
      </c>
    </row>
    <row r="1748" customFormat="false" ht="15" hidden="false" customHeight="false" outlineLevel="0" collapsed="false">
      <c r="A1748" s="6" t="s">
        <v>4</v>
      </c>
      <c r="B1748" s="6" t="s">
        <v>395</v>
      </c>
      <c r="C1748" s="6" t="n">
        <v>3</v>
      </c>
      <c r="D1748" s="25" t="n">
        <f aca="false">EDATE('Start Here'!$B$6,C1748-1)</f>
        <v>46388</v>
      </c>
      <c r="E1748" s="23" t="n">
        <f aca="false">IF(AND(OR(Nonlabor!$D$13="Both",Nonlabor!$D$13='Start Here'!$B$9),IF(Nonlabor!$E$13="Core",1,IF(Nonlabor!$E$13="AI",'Start Here'!$B$7,'Start Here'!$B$8))=1,C1748&gt;=IF(Nonlabor!$E$13="Core",Nonlabor!$F$13,MAX(Nonlabor!$F$13,IF(Nonlabor!$E$13="AI",Assumptions!$D$24,Assumptions!$D$25))),C1748&lt;=Nonlabor!$G$13,OR(Nonlabor!$H$13="Monthly",AND(Nonlabor!$H$13="Once",C1748=IF(Nonlabor!$E$13="Core",Nonlabor!$F$13,MAX(Nonlabor!$F$13,IF(Nonlabor!$E$13="AI",Assumptions!$D$24,Assumptions!$D$25)))),AND(Nonlabor!$H$13="Annual",MOD(C1748-IF(Nonlabor!$E$13="Core",Nonlabor!$F$13,MAX(Nonlabor!$F$13,IF(Nonlabor!$E$13="AI",Assumptions!$D$24,Assumptions!$D$25))),12)=0))),IF(Nonlabor!$I$13="Fixed",1,IF(Nonlabor!$I$13="Seats",ROUNDUP('Monthly Base'!I8,0),IF(Nonlabor!$I$13="Customers",'Monthly Base'!D8,IF(Nonlabor!$I$13="NewCustomers",'Monthly Base'!C8,IF(Nonlabor!$I$13="StorageGB",'Monthly Base'!G8,IF(Nonlabor!$I$13="LogGB",'Monthly Base'!H8,IF(Nonlabor!$I$13="RequestsM",'Monthly Base'!F8,IF(Nonlabor!$I$13="InputM",'Monthly Base'!D8*Assumptions!$D$22/1000000,IF(Nonlabor!$I$13="OutputM",'Monthly Base'!D8*Assumptions!$D$23/1000000,0))))))))),0)</f>
        <v>4</v>
      </c>
      <c r="F1748" s="10" t="n">
        <f aca="false">Nonlabor!$J$13*(1+Assumptions!$D$9)^INT((C1748-1)/12)</f>
        <v>4</v>
      </c>
      <c r="G1748" s="10" t="n">
        <f aca="false">E1748*F1748</f>
        <v>16</v>
      </c>
      <c r="H1748" s="10" t="n">
        <f aca="false">IF(OR(Nonlabor!$L$13="Quote required",Nonlabor!$L$13="Unverified"),G1748,0)</f>
        <v>0</v>
      </c>
      <c r="I1748" s="10" t="n">
        <f aca="false">IF(Nonlabor!$E$13="Core",0,G1748)</f>
        <v>0</v>
      </c>
      <c r="J1748" s="23" t="str">
        <f aca="false">Nonlabor!$B$13</f>
        <v>TOOLS</v>
      </c>
    </row>
    <row r="1749" customFormat="false" ht="15" hidden="false" customHeight="false" outlineLevel="0" collapsed="false">
      <c r="A1749" s="6" t="s">
        <v>4</v>
      </c>
      <c r="B1749" s="6" t="s">
        <v>395</v>
      </c>
      <c r="C1749" s="6" t="n">
        <v>4</v>
      </c>
      <c r="D1749" s="25" t="n">
        <f aca="false">EDATE('Start Here'!$B$6,C1749-1)</f>
        <v>46419</v>
      </c>
      <c r="E1749" s="23" t="n">
        <f aca="false">IF(AND(OR(Nonlabor!$D$13="Both",Nonlabor!$D$13='Start Here'!$B$9),IF(Nonlabor!$E$13="Core",1,IF(Nonlabor!$E$13="AI",'Start Here'!$B$7,'Start Here'!$B$8))=1,C1749&gt;=IF(Nonlabor!$E$13="Core",Nonlabor!$F$13,MAX(Nonlabor!$F$13,IF(Nonlabor!$E$13="AI",Assumptions!$D$24,Assumptions!$D$25))),C1749&lt;=Nonlabor!$G$13,OR(Nonlabor!$H$13="Monthly",AND(Nonlabor!$H$13="Once",C1749=IF(Nonlabor!$E$13="Core",Nonlabor!$F$13,MAX(Nonlabor!$F$13,IF(Nonlabor!$E$13="AI",Assumptions!$D$24,Assumptions!$D$25)))),AND(Nonlabor!$H$13="Annual",MOD(C1749-IF(Nonlabor!$E$13="Core",Nonlabor!$F$13,MAX(Nonlabor!$F$13,IF(Nonlabor!$E$13="AI",Assumptions!$D$24,Assumptions!$D$25))),12)=0))),IF(Nonlabor!$I$13="Fixed",1,IF(Nonlabor!$I$13="Seats",ROUNDUP('Monthly Base'!I9,0),IF(Nonlabor!$I$13="Customers",'Monthly Base'!D9,IF(Nonlabor!$I$13="NewCustomers",'Monthly Base'!C9,IF(Nonlabor!$I$13="StorageGB",'Monthly Base'!G9,IF(Nonlabor!$I$13="LogGB",'Monthly Base'!H9,IF(Nonlabor!$I$13="RequestsM",'Monthly Base'!F9,IF(Nonlabor!$I$13="InputM",'Monthly Base'!D9*Assumptions!$D$22/1000000,IF(Nonlabor!$I$13="OutputM",'Monthly Base'!D9*Assumptions!$D$23/1000000,0))))))))),0)</f>
        <v>5</v>
      </c>
      <c r="F1749" s="10" t="n">
        <f aca="false">Nonlabor!$J$13*(1+Assumptions!$D$9)^INT((C1749-1)/12)</f>
        <v>4</v>
      </c>
      <c r="G1749" s="10" t="n">
        <f aca="false">E1749*F1749</f>
        <v>20</v>
      </c>
      <c r="H1749" s="10" t="n">
        <f aca="false">IF(OR(Nonlabor!$L$13="Quote required",Nonlabor!$L$13="Unverified"),G1749,0)</f>
        <v>0</v>
      </c>
      <c r="I1749" s="10" t="n">
        <f aca="false">IF(Nonlabor!$E$13="Core",0,G1749)</f>
        <v>0</v>
      </c>
      <c r="J1749" s="23" t="str">
        <f aca="false">Nonlabor!$B$13</f>
        <v>TOOLS</v>
      </c>
    </row>
    <row r="1750" customFormat="false" ht="15" hidden="false" customHeight="false" outlineLevel="0" collapsed="false">
      <c r="A1750" s="6" t="s">
        <v>4</v>
      </c>
      <c r="B1750" s="6" t="s">
        <v>395</v>
      </c>
      <c r="C1750" s="6" t="n">
        <v>5</v>
      </c>
      <c r="D1750" s="25" t="n">
        <f aca="false">EDATE('Start Here'!$B$6,C1750-1)</f>
        <v>46447</v>
      </c>
      <c r="E1750" s="23" t="n">
        <f aca="false">IF(AND(OR(Nonlabor!$D$13="Both",Nonlabor!$D$13='Start Here'!$B$9),IF(Nonlabor!$E$13="Core",1,IF(Nonlabor!$E$13="AI",'Start Here'!$B$7,'Start Here'!$B$8))=1,C1750&gt;=IF(Nonlabor!$E$13="Core",Nonlabor!$F$13,MAX(Nonlabor!$F$13,IF(Nonlabor!$E$13="AI",Assumptions!$D$24,Assumptions!$D$25))),C1750&lt;=Nonlabor!$G$13,OR(Nonlabor!$H$13="Monthly",AND(Nonlabor!$H$13="Once",C1750=IF(Nonlabor!$E$13="Core",Nonlabor!$F$13,MAX(Nonlabor!$F$13,IF(Nonlabor!$E$13="AI",Assumptions!$D$24,Assumptions!$D$25)))),AND(Nonlabor!$H$13="Annual",MOD(C1750-IF(Nonlabor!$E$13="Core",Nonlabor!$F$13,MAX(Nonlabor!$F$13,IF(Nonlabor!$E$13="AI",Assumptions!$D$24,Assumptions!$D$25))),12)=0))),IF(Nonlabor!$I$13="Fixed",1,IF(Nonlabor!$I$13="Seats",ROUNDUP('Monthly Base'!I10,0),IF(Nonlabor!$I$13="Customers",'Monthly Base'!D10,IF(Nonlabor!$I$13="NewCustomers",'Monthly Base'!C10,IF(Nonlabor!$I$13="StorageGB",'Monthly Base'!G10,IF(Nonlabor!$I$13="LogGB",'Monthly Base'!H10,IF(Nonlabor!$I$13="RequestsM",'Monthly Base'!F10,IF(Nonlabor!$I$13="InputM",'Monthly Base'!D10*Assumptions!$D$22/1000000,IF(Nonlabor!$I$13="OutputM",'Monthly Base'!D10*Assumptions!$D$23/1000000,0))))))))),0)</f>
        <v>5</v>
      </c>
      <c r="F1750" s="10" t="n">
        <f aca="false">Nonlabor!$J$13*(1+Assumptions!$D$9)^INT((C1750-1)/12)</f>
        <v>4</v>
      </c>
      <c r="G1750" s="10" t="n">
        <f aca="false">E1750*F1750</f>
        <v>20</v>
      </c>
      <c r="H1750" s="10" t="n">
        <f aca="false">IF(OR(Nonlabor!$L$13="Quote required",Nonlabor!$L$13="Unverified"),G1750,0)</f>
        <v>0</v>
      </c>
      <c r="I1750" s="10" t="n">
        <f aca="false">IF(Nonlabor!$E$13="Core",0,G1750)</f>
        <v>0</v>
      </c>
      <c r="J1750" s="23" t="str">
        <f aca="false">Nonlabor!$B$13</f>
        <v>TOOLS</v>
      </c>
    </row>
    <row r="1751" customFormat="false" ht="15" hidden="false" customHeight="false" outlineLevel="0" collapsed="false">
      <c r="A1751" s="6" t="s">
        <v>4</v>
      </c>
      <c r="B1751" s="6" t="s">
        <v>395</v>
      </c>
      <c r="C1751" s="6" t="n">
        <v>6</v>
      </c>
      <c r="D1751" s="25" t="n">
        <f aca="false">EDATE('Start Here'!$B$6,C1751-1)</f>
        <v>46478</v>
      </c>
      <c r="E1751" s="23" t="n">
        <f aca="false">IF(AND(OR(Nonlabor!$D$13="Both",Nonlabor!$D$13='Start Here'!$B$9),IF(Nonlabor!$E$13="Core",1,IF(Nonlabor!$E$13="AI",'Start Here'!$B$7,'Start Here'!$B$8))=1,C1751&gt;=IF(Nonlabor!$E$13="Core",Nonlabor!$F$13,MAX(Nonlabor!$F$13,IF(Nonlabor!$E$13="AI",Assumptions!$D$24,Assumptions!$D$25))),C1751&lt;=Nonlabor!$G$13,OR(Nonlabor!$H$13="Monthly",AND(Nonlabor!$H$13="Once",C1751=IF(Nonlabor!$E$13="Core",Nonlabor!$F$13,MAX(Nonlabor!$F$13,IF(Nonlabor!$E$13="AI",Assumptions!$D$24,Assumptions!$D$25)))),AND(Nonlabor!$H$13="Annual",MOD(C1751-IF(Nonlabor!$E$13="Core",Nonlabor!$F$13,MAX(Nonlabor!$F$13,IF(Nonlabor!$E$13="AI",Assumptions!$D$24,Assumptions!$D$25))),12)=0))),IF(Nonlabor!$I$13="Fixed",1,IF(Nonlabor!$I$13="Seats",ROUNDUP('Monthly Base'!I11,0),IF(Nonlabor!$I$13="Customers",'Monthly Base'!D11,IF(Nonlabor!$I$13="NewCustomers",'Monthly Base'!C11,IF(Nonlabor!$I$13="StorageGB",'Monthly Base'!G11,IF(Nonlabor!$I$13="LogGB",'Monthly Base'!H11,IF(Nonlabor!$I$13="RequestsM",'Monthly Base'!F11,IF(Nonlabor!$I$13="InputM",'Monthly Base'!D11*Assumptions!$D$22/1000000,IF(Nonlabor!$I$13="OutputM",'Monthly Base'!D11*Assumptions!$D$23/1000000,0))))))))),0)</f>
        <v>5</v>
      </c>
      <c r="F1751" s="10" t="n">
        <f aca="false">Nonlabor!$J$13*(1+Assumptions!$D$9)^INT((C1751-1)/12)</f>
        <v>4</v>
      </c>
      <c r="G1751" s="10" t="n">
        <f aca="false">E1751*F1751</f>
        <v>20</v>
      </c>
      <c r="H1751" s="10" t="n">
        <f aca="false">IF(OR(Nonlabor!$L$13="Quote required",Nonlabor!$L$13="Unverified"),G1751,0)</f>
        <v>0</v>
      </c>
      <c r="I1751" s="10" t="n">
        <f aca="false">IF(Nonlabor!$E$13="Core",0,G1751)</f>
        <v>0</v>
      </c>
      <c r="J1751" s="23" t="str">
        <f aca="false">Nonlabor!$B$13</f>
        <v>TOOLS</v>
      </c>
    </row>
    <row r="1752" customFormat="false" ht="15" hidden="false" customHeight="false" outlineLevel="0" collapsed="false">
      <c r="A1752" s="6" t="s">
        <v>4</v>
      </c>
      <c r="B1752" s="6" t="s">
        <v>395</v>
      </c>
      <c r="C1752" s="6" t="n">
        <v>7</v>
      </c>
      <c r="D1752" s="25" t="n">
        <f aca="false">EDATE('Start Here'!$B$6,C1752-1)</f>
        <v>46508</v>
      </c>
      <c r="E1752" s="23" t="n">
        <f aca="false">IF(AND(OR(Nonlabor!$D$13="Both",Nonlabor!$D$13='Start Here'!$B$9),IF(Nonlabor!$E$13="Core",1,IF(Nonlabor!$E$13="AI",'Start Here'!$B$7,'Start Here'!$B$8))=1,C1752&gt;=IF(Nonlabor!$E$13="Core",Nonlabor!$F$13,MAX(Nonlabor!$F$13,IF(Nonlabor!$E$13="AI",Assumptions!$D$24,Assumptions!$D$25))),C1752&lt;=Nonlabor!$G$13,OR(Nonlabor!$H$13="Monthly",AND(Nonlabor!$H$13="Once",C1752=IF(Nonlabor!$E$13="Core",Nonlabor!$F$13,MAX(Nonlabor!$F$13,IF(Nonlabor!$E$13="AI",Assumptions!$D$24,Assumptions!$D$25)))),AND(Nonlabor!$H$13="Annual",MOD(C1752-IF(Nonlabor!$E$13="Core",Nonlabor!$F$13,MAX(Nonlabor!$F$13,IF(Nonlabor!$E$13="AI",Assumptions!$D$24,Assumptions!$D$25))),12)=0))),IF(Nonlabor!$I$13="Fixed",1,IF(Nonlabor!$I$13="Seats",ROUNDUP('Monthly Base'!I12,0),IF(Nonlabor!$I$13="Customers",'Monthly Base'!D12,IF(Nonlabor!$I$13="NewCustomers",'Monthly Base'!C12,IF(Nonlabor!$I$13="StorageGB",'Monthly Base'!G12,IF(Nonlabor!$I$13="LogGB",'Monthly Base'!H12,IF(Nonlabor!$I$13="RequestsM",'Monthly Base'!F12,IF(Nonlabor!$I$13="InputM",'Monthly Base'!D12*Assumptions!$D$22/1000000,IF(Nonlabor!$I$13="OutputM",'Monthly Base'!D12*Assumptions!$D$23/1000000,0))))))))),0)</f>
        <v>6</v>
      </c>
      <c r="F1752" s="10" t="n">
        <f aca="false">Nonlabor!$J$13*(1+Assumptions!$D$9)^INT((C1752-1)/12)</f>
        <v>4</v>
      </c>
      <c r="G1752" s="10" t="n">
        <f aca="false">E1752*F1752</f>
        <v>24</v>
      </c>
      <c r="H1752" s="10" t="n">
        <f aca="false">IF(OR(Nonlabor!$L$13="Quote required",Nonlabor!$L$13="Unverified"),G1752,0)</f>
        <v>0</v>
      </c>
      <c r="I1752" s="10" t="n">
        <f aca="false">IF(Nonlabor!$E$13="Core",0,G1752)</f>
        <v>0</v>
      </c>
      <c r="J1752" s="23" t="str">
        <f aca="false">Nonlabor!$B$13</f>
        <v>TOOLS</v>
      </c>
    </row>
    <row r="1753" customFormat="false" ht="15" hidden="false" customHeight="false" outlineLevel="0" collapsed="false">
      <c r="A1753" s="6" t="s">
        <v>4</v>
      </c>
      <c r="B1753" s="6" t="s">
        <v>395</v>
      </c>
      <c r="C1753" s="6" t="n">
        <v>8</v>
      </c>
      <c r="D1753" s="25" t="n">
        <f aca="false">EDATE('Start Here'!$B$6,C1753-1)</f>
        <v>46539</v>
      </c>
      <c r="E1753" s="23" t="n">
        <f aca="false">IF(AND(OR(Nonlabor!$D$13="Both",Nonlabor!$D$13='Start Here'!$B$9),IF(Nonlabor!$E$13="Core",1,IF(Nonlabor!$E$13="AI",'Start Here'!$B$7,'Start Here'!$B$8))=1,C1753&gt;=IF(Nonlabor!$E$13="Core",Nonlabor!$F$13,MAX(Nonlabor!$F$13,IF(Nonlabor!$E$13="AI",Assumptions!$D$24,Assumptions!$D$25))),C1753&lt;=Nonlabor!$G$13,OR(Nonlabor!$H$13="Monthly",AND(Nonlabor!$H$13="Once",C1753=IF(Nonlabor!$E$13="Core",Nonlabor!$F$13,MAX(Nonlabor!$F$13,IF(Nonlabor!$E$13="AI",Assumptions!$D$24,Assumptions!$D$25)))),AND(Nonlabor!$H$13="Annual",MOD(C1753-IF(Nonlabor!$E$13="Core",Nonlabor!$F$13,MAX(Nonlabor!$F$13,IF(Nonlabor!$E$13="AI",Assumptions!$D$24,Assumptions!$D$25))),12)=0))),IF(Nonlabor!$I$13="Fixed",1,IF(Nonlabor!$I$13="Seats",ROUNDUP('Monthly Base'!I13,0),IF(Nonlabor!$I$13="Customers",'Monthly Base'!D13,IF(Nonlabor!$I$13="NewCustomers",'Monthly Base'!C13,IF(Nonlabor!$I$13="StorageGB",'Monthly Base'!G13,IF(Nonlabor!$I$13="LogGB",'Monthly Base'!H13,IF(Nonlabor!$I$13="RequestsM",'Monthly Base'!F13,IF(Nonlabor!$I$13="InputM",'Monthly Base'!D13*Assumptions!$D$22/1000000,IF(Nonlabor!$I$13="OutputM",'Monthly Base'!D13*Assumptions!$D$23/1000000,0))))))))),0)</f>
        <v>6</v>
      </c>
      <c r="F1753" s="10" t="n">
        <f aca="false">Nonlabor!$J$13*(1+Assumptions!$D$9)^INT((C1753-1)/12)</f>
        <v>4</v>
      </c>
      <c r="G1753" s="10" t="n">
        <f aca="false">E1753*F1753</f>
        <v>24</v>
      </c>
      <c r="H1753" s="10" t="n">
        <f aca="false">IF(OR(Nonlabor!$L$13="Quote required",Nonlabor!$L$13="Unverified"),G1753,0)</f>
        <v>0</v>
      </c>
      <c r="I1753" s="10" t="n">
        <f aca="false">IF(Nonlabor!$E$13="Core",0,G1753)</f>
        <v>0</v>
      </c>
      <c r="J1753" s="23" t="str">
        <f aca="false">Nonlabor!$B$13</f>
        <v>TOOLS</v>
      </c>
    </row>
    <row r="1754" customFormat="false" ht="15" hidden="false" customHeight="false" outlineLevel="0" collapsed="false">
      <c r="A1754" s="6" t="s">
        <v>4</v>
      </c>
      <c r="B1754" s="6" t="s">
        <v>395</v>
      </c>
      <c r="C1754" s="6" t="n">
        <v>9</v>
      </c>
      <c r="D1754" s="25" t="n">
        <f aca="false">EDATE('Start Here'!$B$6,C1754-1)</f>
        <v>46569</v>
      </c>
      <c r="E1754" s="23" t="n">
        <f aca="false">IF(AND(OR(Nonlabor!$D$13="Both",Nonlabor!$D$13='Start Here'!$B$9),IF(Nonlabor!$E$13="Core",1,IF(Nonlabor!$E$13="AI",'Start Here'!$B$7,'Start Here'!$B$8))=1,C1754&gt;=IF(Nonlabor!$E$13="Core",Nonlabor!$F$13,MAX(Nonlabor!$F$13,IF(Nonlabor!$E$13="AI",Assumptions!$D$24,Assumptions!$D$25))),C1754&lt;=Nonlabor!$G$13,OR(Nonlabor!$H$13="Monthly",AND(Nonlabor!$H$13="Once",C1754=IF(Nonlabor!$E$13="Core",Nonlabor!$F$13,MAX(Nonlabor!$F$13,IF(Nonlabor!$E$13="AI",Assumptions!$D$24,Assumptions!$D$25)))),AND(Nonlabor!$H$13="Annual",MOD(C1754-IF(Nonlabor!$E$13="Core",Nonlabor!$F$13,MAX(Nonlabor!$F$13,IF(Nonlabor!$E$13="AI",Assumptions!$D$24,Assumptions!$D$25))),12)=0))),IF(Nonlabor!$I$13="Fixed",1,IF(Nonlabor!$I$13="Seats",ROUNDUP('Monthly Base'!I14,0),IF(Nonlabor!$I$13="Customers",'Monthly Base'!D14,IF(Nonlabor!$I$13="NewCustomers",'Monthly Base'!C14,IF(Nonlabor!$I$13="StorageGB",'Monthly Base'!G14,IF(Nonlabor!$I$13="LogGB",'Monthly Base'!H14,IF(Nonlabor!$I$13="RequestsM",'Monthly Base'!F14,IF(Nonlabor!$I$13="InputM",'Monthly Base'!D14*Assumptions!$D$22/1000000,IF(Nonlabor!$I$13="OutputM",'Monthly Base'!D14*Assumptions!$D$23/1000000,0))))))))),0)</f>
        <v>6</v>
      </c>
      <c r="F1754" s="10" t="n">
        <f aca="false">Nonlabor!$J$13*(1+Assumptions!$D$9)^INT((C1754-1)/12)</f>
        <v>4</v>
      </c>
      <c r="G1754" s="10" t="n">
        <f aca="false">E1754*F1754</f>
        <v>24</v>
      </c>
      <c r="H1754" s="10" t="n">
        <f aca="false">IF(OR(Nonlabor!$L$13="Quote required",Nonlabor!$L$13="Unverified"),G1754,0)</f>
        <v>0</v>
      </c>
      <c r="I1754" s="10" t="n">
        <f aca="false">IF(Nonlabor!$E$13="Core",0,G1754)</f>
        <v>0</v>
      </c>
      <c r="J1754" s="23" t="str">
        <f aca="false">Nonlabor!$B$13</f>
        <v>TOOLS</v>
      </c>
    </row>
    <row r="1755" customFormat="false" ht="15" hidden="false" customHeight="false" outlineLevel="0" collapsed="false">
      <c r="A1755" s="6" t="s">
        <v>4</v>
      </c>
      <c r="B1755" s="6" t="s">
        <v>395</v>
      </c>
      <c r="C1755" s="6" t="n">
        <v>10</v>
      </c>
      <c r="D1755" s="25" t="n">
        <f aca="false">EDATE('Start Here'!$B$6,C1755-1)</f>
        <v>46600</v>
      </c>
      <c r="E1755" s="23" t="n">
        <f aca="false">IF(AND(OR(Nonlabor!$D$13="Both",Nonlabor!$D$13='Start Here'!$B$9),IF(Nonlabor!$E$13="Core",1,IF(Nonlabor!$E$13="AI",'Start Here'!$B$7,'Start Here'!$B$8))=1,C1755&gt;=IF(Nonlabor!$E$13="Core",Nonlabor!$F$13,MAX(Nonlabor!$F$13,IF(Nonlabor!$E$13="AI",Assumptions!$D$24,Assumptions!$D$25))),C1755&lt;=Nonlabor!$G$13,OR(Nonlabor!$H$13="Monthly",AND(Nonlabor!$H$13="Once",C1755=IF(Nonlabor!$E$13="Core",Nonlabor!$F$13,MAX(Nonlabor!$F$13,IF(Nonlabor!$E$13="AI",Assumptions!$D$24,Assumptions!$D$25)))),AND(Nonlabor!$H$13="Annual",MOD(C1755-IF(Nonlabor!$E$13="Core",Nonlabor!$F$13,MAX(Nonlabor!$F$13,IF(Nonlabor!$E$13="AI",Assumptions!$D$24,Assumptions!$D$25))),12)=0))),IF(Nonlabor!$I$13="Fixed",1,IF(Nonlabor!$I$13="Seats",ROUNDUP('Monthly Base'!I15,0),IF(Nonlabor!$I$13="Customers",'Monthly Base'!D15,IF(Nonlabor!$I$13="NewCustomers",'Monthly Base'!C15,IF(Nonlabor!$I$13="StorageGB",'Monthly Base'!G15,IF(Nonlabor!$I$13="LogGB",'Monthly Base'!H15,IF(Nonlabor!$I$13="RequestsM",'Monthly Base'!F15,IF(Nonlabor!$I$13="InputM",'Monthly Base'!D15*Assumptions!$D$22/1000000,IF(Nonlabor!$I$13="OutputM",'Monthly Base'!D15*Assumptions!$D$23/1000000,0))))))))),0)</f>
        <v>7</v>
      </c>
      <c r="F1755" s="10" t="n">
        <f aca="false">Nonlabor!$J$13*(1+Assumptions!$D$9)^INT((C1755-1)/12)</f>
        <v>4</v>
      </c>
      <c r="G1755" s="10" t="n">
        <f aca="false">E1755*F1755</f>
        <v>28</v>
      </c>
      <c r="H1755" s="10" t="n">
        <f aca="false">IF(OR(Nonlabor!$L$13="Quote required",Nonlabor!$L$13="Unverified"),G1755,0)</f>
        <v>0</v>
      </c>
      <c r="I1755" s="10" t="n">
        <f aca="false">IF(Nonlabor!$E$13="Core",0,G1755)</f>
        <v>0</v>
      </c>
      <c r="J1755" s="23" t="str">
        <f aca="false">Nonlabor!$B$13</f>
        <v>TOOLS</v>
      </c>
    </row>
    <row r="1756" customFormat="false" ht="15" hidden="false" customHeight="false" outlineLevel="0" collapsed="false">
      <c r="A1756" s="6" t="s">
        <v>4</v>
      </c>
      <c r="B1756" s="6" t="s">
        <v>395</v>
      </c>
      <c r="C1756" s="6" t="n">
        <v>11</v>
      </c>
      <c r="D1756" s="25" t="n">
        <f aca="false">EDATE('Start Here'!$B$6,C1756-1)</f>
        <v>46631</v>
      </c>
      <c r="E1756" s="23" t="n">
        <f aca="false">IF(AND(OR(Nonlabor!$D$13="Both",Nonlabor!$D$13='Start Here'!$B$9),IF(Nonlabor!$E$13="Core",1,IF(Nonlabor!$E$13="AI",'Start Here'!$B$7,'Start Here'!$B$8))=1,C1756&gt;=IF(Nonlabor!$E$13="Core",Nonlabor!$F$13,MAX(Nonlabor!$F$13,IF(Nonlabor!$E$13="AI",Assumptions!$D$24,Assumptions!$D$25))),C1756&lt;=Nonlabor!$G$13,OR(Nonlabor!$H$13="Monthly",AND(Nonlabor!$H$13="Once",C1756=IF(Nonlabor!$E$13="Core",Nonlabor!$F$13,MAX(Nonlabor!$F$13,IF(Nonlabor!$E$13="AI",Assumptions!$D$24,Assumptions!$D$25)))),AND(Nonlabor!$H$13="Annual",MOD(C1756-IF(Nonlabor!$E$13="Core",Nonlabor!$F$13,MAX(Nonlabor!$F$13,IF(Nonlabor!$E$13="AI",Assumptions!$D$24,Assumptions!$D$25))),12)=0))),IF(Nonlabor!$I$13="Fixed",1,IF(Nonlabor!$I$13="Seats",ROUNDUP('Monthly Base'!I16,0),IF(Nonlabor!$I$13="Customers",'Monthly Base'!D16,IF(Nonlabor!$I$13="NewCustomers",'Monthly Base'!C16,IF(Nonlabor!$I$13="StorageGB",'Monthly Base'!G16,IF(Nonlabor!$I$13="LogGB",'Monthly Base'!H16,IF(Nonlabor!$I$13="RequestsM",'Monthly Base'!F16,IF(Nonlabor!$I$13="InputM",'Monthly Base'!D16*Assumptions!$D$22/1000000,IF(Nonlabor!$I$13="OutputM",'Monthly Base'!D16*Assumptions!$D$23/1000000,0))))))))),0)</f>
        <v>7</v>
      </c>
      <c r="F1756" s="10" t="n">
        <f aca="false">Nonlabor!$J$13*(1+Assumptions!$D$9)^INT((C1756-1)/12)</f>
        <v>4</v>
      </c>
      <c r="G1756" s="10" t="n">
        <f aca="false">E1756*F1756</f>
        <v>28</v>
      </c>
      <c r="H1756" s="10" t="n">
        <f aca="false">IF(OR(Nonlabor!$L$13="Quote required",Nonlabor!$L$13="Unverified"),G1756,0)</f>
        <v>0</v>
      </c>
      <c r="I1756" s="10" t="n">
        <f aca="false">IF(Nonlabor!$E$13="Core",0,G1756)</f>
        <v>0</v>
      </c>
      <c r="J1756" s="23" t="str">
        <f aca="false">Nonlabor!$B$13</f>
        <v>TOOLS</v>
      </c>
    </row>
    <row r="1757" customFormat="false" ht="15" hidden="false" customHeight="false" outlineLevel="0" collapsed="false">
      <c r="A1757" s="6" t="s">
        <v>4</v>
      </c>
      <c r="B1757" s="6" t="s">
        <v>395</v>
      </c>
      <c r="C1757" s="6" t="n">
        <v>12</v>
      </c>
      <c r="D1757" s="25" t="n">
        <f aca="false">EDATE('Start Here'!$B$6,C1757-1)</f>
        <v>46661</v>
      </c>
      <c r="E1757" s="23" t="n">
        <f aca="false">IF(AND(OR(Nonlabor!$D$13="Both",Nonlabor!$D$13='Start Here'!$B$9),IF(Nonlabor!$E$13="Core",1,IF(Nonlabor!$E$13="AI",'Start Here'!$B$7,'Start Here'!$B$8))=1,C1757&gt;=IF(Nonlabor!$E$13="Core",Nonlabor!$F$13,MAX(Nonlabor!$F$13,IF(Nonlabor!$E$13="AI",Assumptions!$D$24,Assumptions!$D$25))),C1757&lt;=Nonlabor!$G$13,OR(Nonlabor!$H$13="Monthly",AND(Nonlabor!$H$13="Once",C1757=IF(Nonlabor!$E$13="Core",Nonlabor!$F$13,MAX(Nonlabor!$F$13,IF(Nonlabor!$E$13="AI",Assumptions!$D$24,Assumptions!$D$25)))),AND(Nonlabor!$H$13="Annual",MOD(C1757-IF(Nonlabor!$E$13="Core",Nonlabor!$F$13,MAX(Nonlabor!$F$13,IF(Nonlabor!$E$13="AI",Assumptions!$D$24,Assumptions!$D$25))),12)=0))),IF(Nonlabor!$I$13="Fixed",1,IF(Nonlabor!$I$13="Seats",ROUNDUP('Monthly Base'!I17,0),IF(Nonlabor!$I$13="Customers",'Monthly Base'!D17,IF(Nonlabor!$I$13="NewCustomers",'Monthly Base'!C17,IF(Nonlabor!$I$13="StorageGB",'Monthly Base'!G17,IF(Nonlabor!$I$13="LogGB",'Monthly Base'!H17,IF(Nonlabor!$I$13="RequestsM",'Monthly Base'!F17,IF(Nonlabor!$I$13="InputM",'Monthly Base'!D17*Assumptions!$D$22/1000000,IF(Nonlabor!$I$13="OutputM",'Monthly Base'!D17*Assumptions!$D$23/1000000,0))))))))),0)</f>
        <v>7</v>
      </c>
      <c r="F1757" s="10" t="n">
        <f aca="false">Nonlabor!$J$13*(1+Assumptions!$D$9)^INT((C1757-1)/12)</f>
        <v>4</v>
      </c>
      <c r="G1757" s="10" t="n">
        <f aca="false">E1757*F1757</f>
        <v>28</v>
      </c>
      <c r="H1757" s="10" t="n">
        <f aca="false">IF(OR(Nonlabor!$L$13="Quote required",Nonlabor!$L$13="Unverified"),G1757,0)</f>
        <v>0</v>
      </c>
      <c r="I1757" s="10" t="n">
        <f aca="false">IF(Nonlabor!$E$13="Core",0,G1757)</f>
        <v>0</v>
      </c>
      <c r="J1757" s="23" t="str">
        <f aca="false">Nonlabor!$B$13</f>
        <v>TOOLS</v>
      </c>
    </row>
    <row r="1758" customFormat="false" ht="15" hidden="false" customHeight="false" outlineLevel="0" collapsed="false">
      <c r="A1758" s="6" t="s">
        <v>4</v>
      </c>
      <c r="B1758" s="6" t="s">
        <v>395</v>
      </c>
      <c r="C1758" s="6" t="n">
        <v>13</v>
      </c>
      <c r="D1758" s="25" t="n">
        <f aca="false">EDATE('Start Here'!$B$6,C1758-1)</f>
        <v>46692</v>
      </c>
      <c r="E1758" s="23" t="n">
        <f aca="false">IF(AND(OR(Nonlabor!$D$13="Both",Nonlabor!$D$13='Start Here'!$B$9),IF(Nonlabor!$E$13="Core",1,IF(Nonlabor!$E$13="AI",'Start Here'!$B$7,'Start Here'!$B$8))=1,C1758&gt;=IF(Nonlabor!$E$13="Core",Nonlabor!$F$13,MAX(Nonlabor!$F$13,IF(Nonlabor!$E$13="AI",Assumptions!$D$24,Assumptions!$D$25))),C1758&lt;=Nonlabor!$G$13,OR(Nonlabor!$H$13="Monthly",AND(Nonlabor!$H$13="Once",C1758=IF(Nonlabor!$E$13="Core",Nonlabor!$F$13,MAX(Nonlabor!$F$13,IF(Nonlabor!$E$13="AI",Assumptions!$D$24,Assumptions!$D$25)))),AND(Nonlabor!$H$13="Annual",MOD(C1758-IF(Nonlabor!$E$13="Core",Nonlabor!$F$13,MAX(Nonlabor!$F$13,IF(Nonlabor!$E$13="AI",Assumptions!$D$24,Assumptions!$D$25))),12)=0))),IF(Nonlabor!$I$13="Fixed",1,IF(Nonlabor!$I$13="Seats",ROUNDUP('Monthly Base'!I18,0),IF(Nonlabor!$I$13="Customers",'Monthly Base'!D18,IF(Nonlabor!$I$13="NewCustomers",'Monthly Base'!C18,IF(Nonlabor!$I$13="StorageGB",'Monthly Base'!G18,IF(Nonlabor!$I$13="LogGB",'Monthly Base'!H18,IF(Nonlabor!$I$13="RequestsM",'Monthly Base'!F18,IF(Nonlabor!$I$13="InputM",'Monthly Base'!D18*Assumptions!$D$22/1000000,IF(Nonlabor!$I$13="OutputM",'Monthly Base'!D18*Assumptions!$D$23/1000000,0))))))))),0)</f>
        <v>7</v>
      </c>
      <c r="F1758" s="10" t="n">
        <f aca="false">Nonlabor!$J$13*(1+Assumptions!$D$9)^INT((C1758-1)/12)</f>
        <v>4.12</v>
      </c>
      <c r="G1758" s="10" t="n">
        <f aca="false">E1758*F1758</f>
        <v>28.84</v>
      </c>
      <c r="H1758" s="10" t="n">
        <f aca="false">IF(OR(Nonlabor!$L$13="Quote required",Nonlabor!$L$13="Unverified"),G1758,0)</f>
        <v>0</v>
      </c>
      <c r="I1758" s="10" t="n">
        <f aca="false">IF(Nonlabor!$E$13="Core",0,G1758)</f>
        <v>0</v>
      </c>
      <c r="J1758" s="23" t="str">
        <f aca="false">Nonlabor!$B$13</f>
        <v>TOOLS</v>
      </c>
    </row>
    <row r="1759" customFormat="false" ht="15" hidden="false" customHeight="false" outlineLevel="0" collapsed="false">
      <c r="A1759" s="6" t="s">
        <v>4</v>
      </c>
      <c r="B1759" s="6" t="s">
        <v>395</v>
      </c>
      <c r="C1759" s="6" t="n">
        <v>14</v>
      </c>
      <c r="D1759" s="25" t="n">
        <f aca="false">EDATE('Start Here'!$B$6,C1759-1)</f>
        <v>46722</v>
      </c>
      <c r="E1759" s="23" t="n">
        <f aca="false">IF(AND(OR(Nonlabor!$D$13="Both",Nonlabor!$D$13='Start Here'!$B$9),IF(Nonlabor!$E$13="Core",1,IF(Nonlabor!$E$13="AI",'Start Here'!$B$7,'Start Here'!$B$8))=1,C1759&gt;=IF(Nonlabor!$E$13="Core",Nonlabor!$F$13,MAX(Nonlabor!$F$13,IF(Nonlabor!$E$13="AI",Assumptions!$D$24,Assumptions!$D$25))),C1759&lt;=Nonlabor!$G$13,OR(Nonlabor!$H$13="Monthly",AND(Nonlabor!$H$13="Once",C1759=IF(Nonlabor!$E$13="Core",Nonlabor!$F$13,MAX(Nonlabor!$F$13,IF(Nonlabor!$E$13="AI",Assumptions!$D$24,Assumptions!$D$25)))),AND(Nonlabor!$H$13="Annual",MOD(C1759-IF(Nonlabor!$E$13="Core",Nonlabor!$F$13,MAX(Nonlabor!$F$13,IF(Nonlabor!$E$13="AI",Assumptions!$D$24,Assumptions!$D$25))),12)=0))),IF(Nonlabor!$I$13="Fixed",1,IF(Nonlabor!$I$13="Seats",ROUNDUP('Monthly Base'!I19,0),IF(Nonlabor!$I$13="Customers",'Monthly Base'!D19,IF(Nonlabor!$I$13="NewCustomers",'Monthly Base'!C19,IF(Nonlabor!$I$13="StorageGB",'Monthly Base'!G19,IF(Nonlabor!$I$13="LogGB",'Monthly Base'!H19,IF(Nonlabor!$I$13="RequestsM",'Monthly Base'!F19,IF(Nonlabor!$I$13="InputM",'Monthly Base'!D19*Assumptions!$D$22/1000000,IF(Nonlabor!$I$13="OutputM",'Monthly Base'!D19*Assumptions!$D$23/1000000,0))))))))),0)</f>
        <v>7</v>
      </c>
      <c r="F1759" s="10" t="n">
        <f aca="false">Nonlabor!$J$13*(1+Assumptions!$D$9)^INT((C1759-1)/12)</f>
        <v>4.12</v>
      </c>
      <c r="G1759" s="10" t="n">
        <f aca="false">E1759*F1759</f>
        <v>28.84</v>
      </c>
      <c r="H1759" s="10" t="n">
        <f aca="false">IF(OR(Nonlabor!$L$13="Quote required",Nonlabor!$L$13="Unverified"),G1759,0)</f>
        <v>0</v>
      </c>
      <c r="I1759" s="10" t="n">
        <f aca="false">IF(Nonlabor!$E$13="Core",0,G1759)</f>
        <v>0</v>
      </c>
      <c r="J1759" s="23" t="str">
        <f aca="false">Nonlabor!$B$13</f>
        <v>TOOLS</v>
      </c>
    </row>
    <row r="1760" customFormat="false" ht="15" hidden="false" customHeight="false" outlineLevel="0" collapsed="false">
      <c r="A1760" s="6" t="s">
        <v>4</v>
      </c>
      <c r="B1760" s="6" t="s">
        <v>395</v>
      </c>
      <c r="C1760" s="6" t="n">
        <v>15</v>
      </c>
      <c r="D1760" s="25" t="n">
        <f aca="false">EDATE('Start Here'!$B$6,C1760-1)</f>
        <v>46753</v>
      </c>
      <c r="E1760" s="23" t="n">
        <f aca="false">IF(AND(OR(Nonlabor!$D$13="Both",Nonlabor!$D$13='Start Here'!$B$9),IF(Nonlabor!$E$13="Core",1,IF(Nonlabor!$E$13="AI",'Start Here'!$B$7,'Start Here'!$B$8))=1,C1760&gt;=IF(Nonlabor!$E$13="Core",Nonlabor!$F$13,MAX(Nonlabor!$F$13,IF(Nonlabor!$E$13="AI",Assumptions!$D$24,Assumptions!$D$25))),C1760&lt;=Nonlabor!$G$13,OR(Nonlabor!$H$13="Monthly",AND(Nonlabor!$H$13="Once",C1760=IF(Nonlabor!$E$13="Core",Nonlabor!$F$13,MAX(Nonlabor!$F$13,IF(Nonlabor!$E$13="AI",Assumptions!$D$24,Assumptions!$D$25)))),AND(Nonlabor!$H$13="Annual",MOD(C1760-IF(Nonlabor!$E$13="Core",Nonlabor!$F$13,MAX(Nonlabor!$F$13,IF(Nonlabor!$E$13="AI",Assumptions!$D$24,Assumptions!$D$25))),12)=0))),IF(Nonlabor!$I$13="Fixed",1,IF(Nonlabor!$I$13="Seats",ROUNDUP('Monthly Base'!I20,0),IF(Nonlabor!$I$13="Customers",'Monthly Base'!D20,IF(Nonlabor!$I$13="NewCustomers",'Monthly Base'!C20,IF(Nonlabor!$I$13="StorageGB",'Monthly Base'!G20,IF(Nonlabor!$I$13="LogGB",'Monthly Base'!H20,IF(Nonlabor!$I$13="RequestsM",'Monthly Base'!F20,IF(Nonlabor!$I$13="InputM",'Monthly Base'!D20*Assumptions!$D$22/1000000,IF(Nonlabor!$I$13="OutputM",'Monthly Base'!D20*Assumptions!$D$23/1000000,0))))))))),0)</f>
        <v>7</v>
      </c>
      <c r="F1760" s="10" t="n">
        <f aca="false">Nonlabor!$J$13*(1+Assumptions!$D$9)^INT((C1760-1)/12)</f>
        <v>4.12</v>
      </c>
      <c r="G1760" s="10" t="n">
        <f aca="false">E1760*F1760</f>
        <v>28.84</v>
      </c>
      <c r="H1760" s="10" t="n">
        <f aca="false">IF(OR(Nonlabor!$L$13="Quote required",Nonlabor!$L$13="Unverified"),G1760,0)</f>
        <v>0</v>
      </c>
      <c r="I1760" s="10" t="n">
        <f aca="false">IF(Nonlabor!$E$13="Core",0,G1760)</f>
        <v>0</v>
      </c>
      <c r="J1760" s="23" t="str">
        <f aca="false">Nonlabor!$B$13</f>
        <v>TOOLS</v>
      </c>
    </row>
    <row r="1761" customFormat="false" ht="15" hidden="false" customHeight="false" outlineLevel="0" collapsed="false">
      <c r="A1761" s="6" t="s">
        <v>4</v>
      </c>
      <c r="B1761" s="6" t="s">
        <v>395</v>
      </c>
      <c r="C1761" s="6" t="n">
        <v>16</v>
      </c>
      <c r="D1761" s="25" t="n">
        <f aca="false">EDATE('Start Here'!$B$6,C1761-1)</f>
        <v>46784</v>
      </c>
      <c r="E1761" s="23" t="n">
        <f aca="false">IF(AND(OR(Nonlabor!$D$13="Both",Nonlabor!$D$13='Start Here'!$B$9),IF(Nonlabor!$E$13="Core",1,IF(Nonlabor!$E$13="AI",'Start Here'!$B$7,'Start Here'!$B$8))=1,C1761&gt;=IF(Nonlabor!$E$13="Core",Nonlabor!$F$13,MAX(Nonlabor!$F$13,IF(Nonlabor!$E$13="AI",Assumptions!$D$24,Assumptions!$D$25))),C1761&lt;=Nonlabor!$G$13,OR(Nonlabor!$H$13="Monthly",AND(Nonlabor!$H$13="Once",C1761=IF(Nonlabor!$E$13="Core",Nonlabor!$F$13,MAX(Nonlabor!$F$13,IF(Nonlabor!$E$13="AI",Assumptions!$D$24,Assumptions!$D$25)))),AND(Nonlabor!$H$13="Annual",MOD(C1761-IF(Nonlabor!$E$13="Core",Nonlabor!$F$13,MAX(Nonlabor!$F$13,IF(Nonlabor!$E$13="AI",Assumptions!$D$24,Assumptions!$D$25))),12)=0))),IF(Nonlabor!$I$13="Fixed",1,IF(Nonlabor!$I$13="Seats",ROUNDUP('Monthly Base'!I21,0),IF(Nonlabor!$I$13="Customers",'Monthly Base'!D21,IF(Nonlabor!$I$13="NewCustomers",'Monthly Base'!C21,IF(Nonlabor!$I$13="StorageGB",'Monthly Base'!G21,IF(Nonlabor!$I$13="LogGB",'Monthly Base'!H21,IF(Nonlabor!$I$13="RequestsM",'Monthly Base'!F21,IF(Nonlabor!$I$13="InputM",'Monthly Base'!D21*Assumptions!$D$22/1000000,IF(Nonlabor!$I$13="OutputM",'Monthly Base'!D21*Assumptions!$D$23/1000000,0))))))))),0)</f>
        <v>9</v>
      </c>
      <c r="F1761" s="10" t="n">
        <f aca="false">Nonlabor!$J$13*(1+Assumptions!$D$9)^INT((C1761-1)/12)</f>
        <v>4.12</v>
      </c>
      <c r="G1761" s="10" t="n">
        <f aca="false">E1761*F1761</f>
        <v>37.08</v>
      </c>
      <c r="H1761" s="10" t="n">
        <f aca="false">IF(OR(Nonlabor!$L$13="Quote required",Nonlabor!$L$13="Unverified"),G1761,0)</f>
        <v>0</v>
      </c>
      <c r="I1761" s="10" t="n">
        <f aca="false">IF(Nonlabor!$E$13="Core",0,G1761)</f>
        <v>0</v>
      </c>
      <c r="J1761" s="23" t="str">
        <f aca="false">Nonlabor!$B$13</f>
        <v>TOOLS</v>
      </c>
    </row>
    <row r="1762" customFormat="false" ht="15" hidden="false" customHeight="false" outlineLevel="0" collapsed="false">
      <c r="A1762" s="6" t="s">
        <v>4</v>
      </c>
      <c r="B1762" s="6" t="s">
        <v>395</v>
      </c>
      <c r="C1762" s="6" t="n">
        <v>17</v>
      </c>
      <c r="D1762" s="25" t="n">
        <f aca="false">EDATE('Start Here'!$B$6,C1762-1)</f>
        <v>46813</v>
      </c>
      <c r="E1762" s="23" t="n">
        <f aca="false">IF(AND(OR(Nonlabor!$D$13="Both",Nonlabor!$D$13='Start Here'!$B$9),IF(Nonlabor!$E$13="Core",1,IF(Nonlabor!$E$13="AI",'Start Here'!$B$7,'Start Here'!$B$8))=1,C1762&gt;=IF(Nonlabor!$E$13="Core",Nonlabor!$F$13,MAX(Nonlabor!$F$13,IF(Nonlabor!$E$13="AI",Assumptions!$D$24,Assumptions!$D$25))),C1762&lt;=Nonlabor!$G$13,OR(Nonlabor!$H$13="Monthly",AND(Nonlabor!$H$13="Once",C1762=IF(Nonlabor!$E$13="Core",Nonlabor!$F$13,MAX(Nonlabor!$F$13,IF(Nonlabor!$E$13="AI",Assumptions!$D$24,Assumptions!$D$25)))),AND(Nonlabor!$H$13="Annual",MOD(C1762-IF(Nonlabor!$E$13="Core",Nonlabor!$F$13,MAX(Nonlabor!$F$13,IF(Nonlabor!$E$13="AI",Assumptions!$D$24,Assumptions!$D$25))),12)=0))),IF(Nonlabor!$I$13="Fixed",1,IF(Nonlabor!$I$13="Seats",ROUNDUP('Monthly Base'!I22,0),IF(Nonlabor!$I$13="Customers",'Monthly Base'!D22,IF(Nonlabor!$I$13="NewCustomers",'Monthly Base'!C22,IF(Nonlabor!$I$13="StorageGB",'Monthly Base'!G22,IF(Nonlabor!$I$13="LogGB",'Monthly Base'!H22,IF(Nonlabor!$I$13="RequestsM",'Monthly Base'!F22,IF(Nonlabor!$I$13="InputM",'Monthly Base'!D22*Assumptions!$D$22/1000000,IF(Nonlabor!$I$13="OutputM",'Monthly Base'!D22*Assumptions!$D$23/1000000,0))))))))),0)</f>
        <v>9</v>
      </c>
      <c r="F1762" s="10" t="n">
        <f aca="false">Nonlabor!$J$13*(1+Assumptions!$D$9)^INT((C1762-1)/12)</f>
        <v>4.12</v>
      </c>
      <c r="G1762" s="10" t="n">
        <f aca="false">E1762*F1762</f>
        <v>37.08</v>
      </c>
      <c r="H1762" s="10" t="n">
        <f aca="false">IF(OR(Nonlabor!$L$13="Quote required",Nonlabor!$L$13="Unverified"),G1762,0)</f>
        <v>0</v>
      </c>
      <c r="I1762" s="10" t="n">
        <f aca="false">IF(Nonlabor!$E$13="Core",0,G1762)</f>
        <v>0</v>
      </c>
      <c r="J1762" s="23" t="str">
        <f aca="false">Nonlabor!$B$13</f>
        <v>TOOLS</v>
      </c>
    </row>
    <row r="1763" customFormat="false" ht="15" hidden="false" customHeight="false" outlineLevel="0" collapsed="false">
      <c r="A1763" s="6" t="s">
        <v>4</v>
      </c>
      <c r="B1763" s="6" t="s">
        <v>395</v>
      </c>
      <c r="C1763" s="6" t="n">
        <v>18</v>
      </c>
      <c r="D1763" s="25" t="n">
        <f aca="false">EDATE('Start Here'!$B$6,C1763-1)</f>
        <v>46844</v>
      </c>
      <c r="E1763" s="23" t="n">
        <f aca="false">IF(AND(OR(Nonlabor!$D$13="Both",Nonlabor!$D$13='Start Here'!$B$9),IF(Nonlabor!$E$13="Core",1,IF(Nonlabor!$E$13="AI",'Start Here'!$B$7,'Start Here'!$B$8))=1,C1763&gt;=IF(Nonlabor!$E$13="Core",Nonlabor!$F$13,MAX(Nonlabor!$F$13,IF(Nonlabor!$E$13="AI",Assumptions!$D$24,Assumptions!$D$25))),C1763&lt;=Nonlabor!$G$13,OR(Nonlabor!$H$13="Monthly",AND(Nonlabor!$H$13="Once",C1763=IF(Nonlabor!$E$13="Core",Nonlabor!$F$13,MAX(Nonlabor!$F$13,IF(Nonlabor!$E$13="AI",Assumptions!$D$24,Assumptions!$D$25)))),AND(Nonlabor!$H$13="Annual",MOD(C1763-IF(Nonlabor!$E$13="Core",Nonlabor!$F$13,MAX(Nonlabor!$F$13,IF(Nonlabor!$E$13="AI",Assumptions!$D$24,Assumptions!$D$25))),12)=0))),IF(Nonlabor!$I$13="Fixed",1,IF(Nonlabor!$I$13="Seats",ROUNDUP('Monthly Base'!I23,0),IF(Nonlabor!$I$13="Customers",'Monthly Base'!D23,IF(Nonlabor!$I$13="NewCustomers",'Monthly Base'!C23,IF(Nonlabor!$I$13="StorageGB",'Monthly Base'!G23,IF(Nonlabor!$I$13="LogGB",'Monthly Base'!H23,IF(Nonlabor!$I$13="RequestsM",'Monthly Base'!F23,IF(Nonlabor!$I$13="InputM",'Monthly Base'!D23*Assumptions!$D$22/1000000,IF(Nonlabor!$I$13="OutputM",'Monthly Base'!D23*Assumptions!$D$23/1000000,0))))))))),0)</f>
        <v>9</v>
      </c>
      <c r="F1763" s="10" t="n">
        <f aca="false">Nonlabor!$J$13*(1+Assumptions!$D$9)^INT((C1763-1)/12)</f>
        <v>4.12</v>
      </c>
      <c r="G1763" s="10" t="n">
        <f aca="false">E1763*F1763</f>
        <v>37.08</v>
      </c>
      <c r="H1763" s="10" t="n">
        <f aca="false">IF(OR(Nonlabor!$L$13="Quote required",Nonlabor!$L$13="Unverified"),G1763,0)</f>
        <v>0</v>
      </c>
      <c r="I1763" s="10" t="n">
        <f aca="false">IF(Nonlabor!$E$13="Core",0,G1763)</f>
        <v>0</v>
      </c>
      <c r="J1763" s="23" t="str">
        <f aca="false">Nonlabor!$B$13</f>
        <v>TOOLS</v>
      </c>
    </row>
    <row r="1764" customFormat="false" ht="15" hidden="false" customHeight="false" outlineLevel="0" collapsed="false">
      <c r="A1764" s="6" t="s">
        <v>4</v>
      </c>
      <c r="B1764" s="6" t="s">
        <v>395</v>
      </c>
      <c r="C1764" s="6" t="n">
        <v>19</v>
      </c>
      <c r="D1764" s="25" t="n">
        <f aca="false">EDATE('Start Here'!$B$6,C1764-1)</f>
        <v>46874</v>
      </c>
      <c r="E1764" s="23" t="n">
        <f aca="false">IF(AND(OR(Nonlabor!$D$13="Both",Nonlabor!$D$13='Start Here'!$B$9),IF(Nonlabor!$E$13="Core",1,IF(Nonlabor!$E$13="AI",'Start Here'!$B$7,'Start Here'!$B$8))=1,C1764&gt;=IF(Nonlabor!$E$13="Core",Nonlabor!$F$13,MAX(Nonlabor!$F$13,IF(Nonlabor!$E$13="AI",Assumptions!$D$24,Assumptions!$D$25))),C1764&lt;=Nonlabor!$G$13,OR(Nonlabor!$H$13="Monthly",AND(Nonlabor!$H$13="Once",C1764=IF(Nonlabor!$E$13="Core",Nonlabor!$F$13,MAX(Nonlabor!$F$13,IF(Nonlabor!$E$13="AI",Assumptions!$D$24,Assumptions!$D$25)))),AND(Nonlabor!$H$13="Annual",MOD(C1764-IF(Nonlabor!$E$13="Core",Nonlabor!$F$13,MAX(Nonlabor!$F$13,IF(Nonlabor!$E$13="AI",Assumptions!$D$24,Assumptions!$D$25))),12)=0))),IF(Nonlabor!$I$13="Fixed",1,IF(Nonlabor!$I$13="Seats",ROUNDUP('Monthly Base'!I24,0),IF(Nonlabor!$I$13="Customers",'Monthly Base'!D24,IF(Nonlabor!$I$13="NewCustomers",'Monthly Base'!C24,IF(Nonlabor!$I$13="StorageGB",'Monthly Base'!G24,IF(Nonlabor!$I$13="LogGB",'Monthly Base'!H24,IF(Nonlabor!$I$13="RequestsM",'Monthly Base'!F24,IF(Nonlabor!$I$13="InputM",'Monthly Base'!D24*Assumptions!$D$22/1000000,IF(Nonlabor!$I$13="OutputM",'Monthly Base'!D24*Assumptions!$D$23/1000000,0))))))))),0)</f>
        <v>9</v>
      </c>
      <c r="F1764" s="10" t="n">
        <f aca="false">Nonlabor!$J$13*(1+Assumptions!$D$9)^INT((C1764-1)/12)</f>
        <v>4.12</v>
      </c>
      <c r="G1764" s="10" t="n">
        <f aca="false">E1764*F1764</f>
        <v>37.08</v>
      </c>
      <c r="H1764" s="10" t="n">
        <f aca="false">IF(OR(Nonlabor!$L$13="Quote required",Nonlabor!$L$13="Unverified"),G1764,0)</f>
        <v>0</v>
      </c>
      <c r="I1764" s="10" t="n">
        <f aca="false">IF(Nonlabor!$E$13="Core",0,G1764)</f>
        <v>0</v>
      </c>
      <c r="J1764" s="23" t="str">
        <f aca="false">Nonlabor!$B$13</f>
        <v>TOOLS</v>
      </c>
    </row>
    <row r="1765" customFormat="false" ht="15" hidden="false" customHeight="false" outlineLevel="0" collapsed="false">
      <c r="A1765" s="6" t="s">
        <v>4</v>
      </c>
      <c r="B1765" s="6" t="s">
        <v>395</v>
      </c>
      <c r="C1765" s="6" t="n">
        <v>20</v>
      </c>
      <c r="D1765" s="25" t="n">
        <f aca="false">EDATE('Start Here'!$B$6,C1765-1)</f>
        <v>46905</v>
      </c>
      <c r="E1765" s="23" t="n">
        <f aca="false">IF(AND(OR(Nonlabor!$D$13="Both",Nonlabor!$D$13='Start Here'!$B$9),IF(Nonlabor!$E$13="Core",1,IF(Nonlabor!$E$13="AI",'Start Here'!$B$7,'Start Here'!$B$8))=1,C1765&gt;=IF(Nonlabor!$E$13="Core",Nonlabor!$F$13,MAX(Nonlabor!$F$13,IF(Nonlabor!$E$13="AI",Assumptions!$D$24,Assumptions!$D$25))),C1765&lt;=Nonlabor!$G$13,OR(Nonlabor!$H$13="Monthly",AND(Nonlabor!$H$13="Once",C1765=IF(Nonlabor!$E$13="Core",Nonlabor!$F$13,MAX(Nonlabor!$F$13,IF(Nonlabor!$E$13="AI",Assumptions!$D$24,Assumptions!$D$25)))),AND(Nonlabor!$H$13="Annual",MOD(C1765-IF(Nonlabor!$E$13="Core",Nonlabor!$F$13,MAX(Nonlabor!$F$13,IF(Nonlabor!$E$13="AI",Assumptions!$D$24,Assumptions!$D$25))),12)=0))),IF(Nonlabor!$I$13="Fixed",1,IF(Nonlabor!$I$13="Seats",ROUNDUP('Monthly Base'!I25,0),IF(Nonlabor!$I$13="Customers",'Monthly Base'!D25,IF(Nonlabor!$I$13="NewCustomers",'Monthly Base'!C25,IF(Nonlabor!$I$13="StorageGB",'Monthly Base'!G25,IF(Nonlabor!$I$13="LogGB",'Monthly Base'!H25,IF(Nonlabor!$I$13="RequestsM",'Monthly Base'!F25,IF(Nonlabor!$I$13="InputM",'Monthly Base'!D25*Assumptions!$D$22/1000000,IF(Nonlabor!$I$13="OutputM",'Monthly Base'!D25*Assumptions!$D$23/1000000,0))))))))),0)</f>
        <v>9</v>
      </c>
      <c r="F1765" s="10" t="n">
        <f aca="false">Nonlabor!$J$13*(1+Assumptions!$D$9)^INT((C1765-1)/12)</f>
        <v>4.12</v>
      </c>
      <c r="G1765" s="10" t="n">
        <f aca="false">E1765*F1765</f>
        <v>37.08</v>
      </c>
      <c r="H1765" s="10" t="n">
        <f aca="false">IF(OR(Nonlabor!$L$13="Quote required",Nonlabor!$L$13="Unverified"),G1765,0)</f>
        <v>0</v>
      </c>
      <c r="I1765" s="10" t="n">
        <f aca="false">IF(Nonlabor!$E$13="Core",0,G1765)</f>
        <v>0</v>
      </c>
      <c r="J1765" s="23" t="str">
        <f aca="false">Nonlabor!$B$13</f>
        <v>TOOLS</v>
      </c>
    </row>
    <row r="1766" customFormat="false" ht="15" hidden="false" customHeight="false" outlineLevel="0" collapsed="false">
      <c r="A1766" s="6" t="s">
        <v>4</v>
      </c>
      <c r="B1766" s="6" t="s">
        <v>395</v>
      </c>
      <c r="C1766" s="6" t="n">
        <v>21</v>
      </c>
      <c r="D1766" s="25" t="n">
        <f aca="false">EDATE('Start Here'!$B$6,C1766-1)</f>
        <v>46935</v>
      </c>
      <c r="E1766" s="23" t="n">
        <f aca="false">IF(AND(OR(Nonlabor!$D$13="Both",Nonlabor!$D$13='Start Here'!$B$9),IF(Nonlabor!$E$13="Core",1,IF(Nonlabor!$E$13="AI",'Start Here'!$B$7,'Start Here'!$B$8))=1,C1766&gt;=IF(Nonlabor!$E$13="Core",Nonlabor!$F$13,MAX(Nonlabor!$F$13,IF(Nonlabor!$E$13="AI",Assumptions!$D$24,Assumptions!$D$25))),C1766&lt;=Nonlabor!$G$13,OR(Nonlabor!$H$13="Monthly",AND(Nonlabor!$H$13="Once",C1766=IF(Nonlabor!$E$13="Core",Nonlabor!$F$13,MAX(Nonlabor!$F$13,IF(Nonlabor!$E$13="AI",Assumptions!$D$24,Assumptions!$D$25)))),AND(Nonlabor!$H$13="Annual",MOD(C1766-IF(Nonlabor!$E$13="Core",Nonlabor!$F$13,MAX(Nonlabor!$F$13,IF(Nonlabor!$E$13="AI",Assumptions!$D$24,Assumptions!$D$25))),12)=0))),IF(Nonlabor!$I$13="Fixed",1,IF(Nonlabor!$I$13="Seats",ROUNDUP('Monthly Base'!I26,0),IF(Nonlabor!$I$13="Customers",'Monthly Base'!D26,IF(Nonlabor!$I$13="NewCustomers",'Monthly Base'!C26,IF(Nonlabor!$I$13="StorageGB",'Monthly Base'!G26,IF(Nonlabor!$I$13="LogGB",'Monthly Base'!H26,IF(Nonlabor!$I$13="RequestsM",'Monthly Base'!F26,IF(Nonlabor!$I$13="InputM",'Monthly Base'!D26*Assumptions!$D$22/1000000,IF(Nonlabor!$I$13="OutputM",'Monthly Base'!D26*Assumptions!$D$23/1000000,0))))))))),0)</f>
        <v>9</v>
      </c>
      <c r="F1766" s="10" t="n">
        <f aca="false">Nonlabor!$J$13*(1+Assumptions!$D$9)^INT((C1766-1)/12)</f>
        <v>4.12</v>
      </c>
      <c r="G1766" s="10" t="n">
        <f aca="false">E1766*F1766</f>
        <v>37.08</v>
      </c>
      <c r="H1766" s="10" t="n">
        <f aca="false">IF(OR(Nonlabor!$L$13="Quote required",Nonlabor!$L$13="Unverified"),G1766,0)</f>
        <v>0</v>
      </c>
      <c r="I1766" s="10" t="n">
        <f aca="false">IF(Nonlabor!$E$13="Core",0,G1766)</f>
        <v>0</v>
      </c>
      <c r="J1766" s="23" t="str">
        <f aca="false">Nonlabor!$B$13</f>
        <v>TOOLS</v>
      </c>
    </row>
    <row r="1767" customFormat="false" ht="15" hidden="false" customHeight="false" outlineLevel="0" collapsed="false">
      <c r="A1767" s="6" t="s">
        <v>4</v>
      </c>
      <c r="B1767" s="6" t="s">
        <v>395</v>
      </c>
      <c r="C1767" s="6" t="n">
        <v>22</v>
      </c>
      <c r="D1767" s="25" t="n">
        <f aca="false">EDATE('Start Here'!$B$6,C1767-1)</f>
        <v>46966</v>
      </c>
      <c r="E1767" s="23" t="n">
        <f aca="false">IF(AND(OR(Nonlabor!$D$13="Both",Nonlabor!$D$13='Start Here'!$B$9),IF(Nonlabor!$E$13="Core",1,IF(Nonlabor!$E$13="AI",'Start Here'!$B$7,'Start Here'!$B$8))=1,C1767&gt;=IF(Nonlabor!$E$13="Core",Nonlabor!$F$13,MAX(Nonlabor!$F$13,IF(Nonlabor!$E$13="AI",Assumptions!$D$24,Assumptions!$D$25))),C1767&lt;=Nonlabor!$G$13,OR(Nonlabor!$H$13="Monthly",AND(Nonlabor!$H$13="Once",C1767=IF(Nonlabor!$E$13="Core",Nonlabor!$F$13,MAX(Nonlabor!$F$13,IF(Nonlabor!$E$13="AI",Assumptions!$D$24,Assumptions!$D$25)))),AND(Nonlabor!$H$13="Annual",MOD(C1767-IF(Nonlabor!$E$13="Core",Nonlabor!$F$13,MAX(Nonlabor!$F$13,IF(Nonlabor!$E$13="AI",Assumptions!$D$24,Assumptions!$D$25))),12)=0))),IF(Nonlabor!$I$13="Fixed",1,IF(Nonlabor!$I$13="Seats",ROUNDUP('Monthly Base'!I27,0),IF(Nonlabor!$I$13="Customers",'Monthly Base'!D27,IF(Nonlabor!$I$13="NewCustomers",'Monthly Base'!C27,IF(Nonlabor!$I$13="StorageGB",'Monthly Base'!G27,IF(Nonlabor!$I$13="LogGB",'Monthly Base'!H27,IF(Nonlabor!$I$13="RequestsM",'Monthly Base'!F27,IF(Nonlabor!$I$13="InputM",'Monthly Base'!D27*Assumptions!$D$22/1000000,IF(Nonlabor!$I$13="OutputM",'Monthly Base'!D27*Assumptions!$D$23/1000000,0))))))))),0)</f>
        <v>9</v>
      </c>
      <c r="F1767" s="10" t="n">
        <f aca="false">Nonlabor!$J$13*(1+Assumptions!$D$9)^INT((C1767-1)/12)</f>
        <v>4.12</v>
      </c>
      <c r="G1767" s="10" t="n">
        <f aca="false">E1767*F1767</f>
        <v>37.08</v>
      </c>
      <c r="H1767" s="10" t="n">
        <f aca="false">IF(OR(Nonlabor!$L$13="Quote required",Nonlabor!$L$13="Unverified"),G1767,0)</f>
        <v>0</v>
      </c>
      <c r="I1767" s="10" t="n">
        <f aca="false">IF(Nonlabor!$E$13="Core",0,G1767)</f>
        <v>0</v>
      </c>
      <c r="J1767" s="23" t="str">
        <f aca="false">Nonlabor!$B$13</f>
        <v>TOOLS</v>
      </c>
    </row>
    <row r="1768" customFormat="false" ht="15" hidden="false" customHeight="false" outlineLevel="0" collapsed="false">
      <c r="A1768" s="6" t="s">
        <v>4</v>
      </c>
      <c r="B1768" s="6" t="s">
        <v>395</v>
      </c>
      <c r="C1768" s="6" t="n">
        <v>23</v>
      </c>
      <c r="D1768" s="25" t="n">
        <f aca="false">EDATE('Start Here'!$B$6,C1768-1)</f>
        <v>46997</v>
      </c>
      <c r="E1768" s="23" t="n">
        <f aca="false">IF(AND(OR(Nonlabor!$D$13="Both",Nonlabor!$D$13='Start Here'!$B$9),IF(Nonlabor!$E$13="Core",1,IF(Nonlabor!$E$13="AI",'Start Here'!$B$7,'Start Here'!$B$8))=1,C1768&gt;=IF(Nonlabor!$E$13="Core",Nonlabor!$F$13,MAX(Nonlabor!$F$13,IF(Nonlabor!$E$13="AI",Assumptions!$D$24,Assumptions!$D$25))),C1768&lt;=Nonlabor!$G$13,OR(Nonlabor!$H$13="Monthly",AND(Nonlabor!$H$13="Once",C1768=IF(Nonlabor!$E$13="Core",Nonlabor!$F$13,MAX(Nonlabor!$F$13,IF(Nonlabor!$E$13="AI",Assumptions!$D$24,Assumptions!$D$25)))),AND(Nonlabor!$H$13="Annual",MOD(C1768-IF(Nonlabor!$E$13="Core",Nonlabor!$F$13,MAX(Nonlabor!$F$13,IF(Nonlabor!$E$13="AI",Assumptions!$D$24,Assumptions!$D$25))),12)=0))),IF(Nonlabor!$I$13="Fixed",1,IF(Nonlabor!$I$13="Seats",ROUNDUP('Monthly Base'!I28,0),IF(Nonlabor!$I$13="Customers",'Monthly Base'!D28,IF(Nonlabor!$I$13="NewCustomers",'Monthly Base'!C28,IF(Nonlabor!$I$13="StorageGB",'Monthly Base'!G28,IF(Nonlabor!$I$13="LogGB",'Monthly Base'!H28,IF(Nonlabor!$I$13="RequestsM",'Monthly Base'!F28,IF(Nonlabor!$I$13="InputM",'Monthly Base'!D28*Assumptions!$D$22/1000000,IF(Nonlabor!$I$13="OutputM",'Monthly Base'!D28*Assumptions!$D$23/1000000,0))))))))),0)</f>
        <v>9</v>
      </c>
      <c r="F1768" s="10" t="n">
        <f aca="false">Nonlabor!$J$13*(1+Assumptions!$D$9)^INT((C1768-1)/12)</f>
        <v>4.12</v>
      </c>
      <c r="G1768" s="10" t="n">
        <f aca="false">E1768*F1768</f>
        <v>37.08</v>
      </c>
      <c r="H1768" s="10" t="n">
        <f aca="false">IF(OR(Nonlabor!$L$13="Quote required",Nonlabor!$L$13="Unverified"),G1768,0)</f>
        <v>0</v>
      </c>
      <c r="I1768" s="10" t="n">
        <f aca="false">IF(Nonlabor!$E$13="Core",0,G1768)</f>
        <v>0</v>
      </c>
      <c r="J1768" s="23" t="str">
        <f aca="false">Nonlabor!$B$13</f>
        <v>TOOLS</v>
      </c>
    </row>
    <row r="1769" customFormat="false" ht="15" hidden="false" customHeight="false" outlineLevel="0" collapsed="false">
      <c r="A1769" s="6" t="s">
        <v>4</v>
      </c>
      <c r="B1769" s="6" t="s">
        <v>395</v>
      </c>
      <c r="C1769" s="6" t="n">
        <v>24</v>
      </c>
      <c r="D1769" s="25" t="n">
        <f aca="false">EDATE('Start Here'!$B$6,C1769-1)</f>
        <v>47027</v>
      </c>
      <c r="E1769" s="23" t="n">
        <f aca="false">IF(AND(OR(Nonlabor!$D$13="Both",Nonlabor!$D$13='Start Here'!$B$9),IF(Nonlabor!$E$13="Core",1,IF(Nonlabor!$E$13="AI",'Start Here'!$B$7,'Start Here'!$B$8))=1,C1769&gt;=IF(Nonlabor!$E$13="Core",Nonlabor!$F$13,MAX(Nonlabor!$F$13,IF(Nonlabor!$E$13="AI",Assumptions!$D$24,Assumptions!$D$25))),C1769&lt;=Nonlabor!$G$13,OR(Nonlabor!$H$13="Monthly",AND(Nonlabor!$H$13="Once",C1769=IF(Nonlabor!$E$13="Core",Nonlabor!$F$13,MAX(Nonlabor!$F$13,IF(Nonlabor!$E$13="AI",Assumptions!$D$24,Assumptions!$D$25)))),AND(Nonlabor!$H$13="Annual",MOD(C1769-IF(Nonlabor!$E$13="Core",Nonlabor!$F$13,MAX(Nonlabor!$F$13,IF(Nonlabor!$E$13="AI",Assumptions!$D$24,Assumptions!$D$25))),12)=0))),IF(Nonlabor!$I$13="Fixed",1,IF(Nonlabor!$I$13="Seats",ROUNDUP('Monthly Base'!I29,0),IF(Nonlabor!$I$13="Customers",'Monthly Base'!D29,IF(Nonlabor!$I$13="NewCustomers",'Monthly Base'!C29,IF(Nonlabor!$I$13="StorageGB",'Monthly Base'!G29,IF(Nonlabor!$I$13="LogGB",'Monthly Base'!H29,IF(Nonlabor!$I$13="RequestsM",'Monthly Base'!F29,IF(Nonlabor!$I$13="InputM",'Monthly Base'!D29*Assumptions!$D$22/1000000,IF(Nonlabor!$I$13="OutputM",'Monthly Base'!D29*Assumptions!$D$23/1000000,0))))))))),0)</f>
        <v>9</v>
      </c>
      <c r="F1769" s="10" t="n">
        <f aca="false">Nonlabor!$J$13*(1+Assumptions!$D$9)^INT((C1769-1)/12)</f>
        <v>4.12</v>
      </c>
      <c r="G1769" s="10" t="n">
        <f aca="false">E1769*F1769</f>
        <v>37.08</v>
      </c>
      <c r="H1769" s="10" t="n">
        <f aca="false">IF(OR(Nonlabor!$L$13="Quote required",Nonlabor!$L$13="Unverified"),G1769,0)</f>
        <v>0</v>
      </c>
      <c r="I1769" s="10" t="n">
        <f aca="false">IF(Nonlabor!$E$13="Core",0,G1769)</f>
        <v>0</v>
      </c>
      <c r="J1769" s="23" t="str">
        <f aca="false">Nonlabor!$B$13</f>
        <v>TOOLS</v>
      </c>
    </row>
    <row r="1770" customFormat="false" ht="15" hidden="false" customHeight="false" outlineLevel="0" collapsed="false">
      <c r="A1770" s="6" t="s">
        <v>4</v>
      </c>
      <c r="B1770" s="6" t="s">
        <v>395</v>
      </c>
      <c r="C1770" s="6" t="n">
        <v>25</v>
      </c>
      <c r="D1770" s="25" t="n">
        <f aca="false">EDATE('Start Here'!$B$6,C1770-1)</f>
        <v>47058</v>
      </c>
      <c r="E1770" s="23" t="n">
        <f aca="false">IF(AND(OR(Nonlabor!$D$13="Both",Nonlabor!$D$13='Start Here'!$B$9),IF(Nonlabor!$E$13="Core",1,IF(Nonlabor!$E$13="AI",'Start Here'!$B$7,'Start Here'!$B$8))=1,C1770&gt;=IF(Nonlabor!$E$13="Core",Nonlabor!$F$13,MAX(Nonlabor!$F$13,IF(Nonlabor!$E$13="AI",Assumptions!$D$24,Assumptions!$D$25))),C1770&lt;=Nonlabor!$G$13,OR(Nonlabor!$H$13="Monthly",AND(Nonlabor!$H$13="Once",C1770=IF(Nonlabor!$E$13="Core",Nonlabor!$F$13,MAX(Nonlabor!$F$13,IF(Nonlabor!$E$13="AI",Assumptions!$D$24,Assumptions!$D$25)))),AND(Nonlabor!$H$13="Annual",MOD(C1770-IF(Nonlabor!$E$13="Core",Nonlabor!$F$13,MAX(Nonlabor!$F$13,IF(Nonlabor!$E$13="AI",Assumptions!$D$24,Assumptions!$D$25))),12)=0))),IF(Nonlabor!$I$13="Fixed",1,IF(Nonlabor!$I$13="Seats",ROUNDUP('Monthly Base'!I30,0),IF(Nonlabor!$I$13="Customers",'Monthly Base'!D30,IF(Nonlabor!$I$13="NewCustomers",'Monthly Base'!C30,IF(Nonlabor!$I$13="StorageGB",'Monthly Base'!G30,IF(Nonlabor!$I$13="LogGB",'Monthly Base'!H30,IF(Nonlabor!$I$13="RequestsM",'Monthly Base'!F30,IF(Nonlabor!$I$13="InputM",'Monthly Base'!D30*Assumptions!$D$22/1000000,IF(Nonlabor!$I$13="OutputM",'Monthly Base'!D30*Assumptions!$D$23/1000000,0))))))))),0)</f>
        <v>9</v>
      </c>
      <c r="F1770" s="10" t="n">
        <f aca="false">Nonlabor!$J$13*(1+Assumptions!$D$9)^INT((C1770-1)/12)</f>
        <v>4.2436</v>
      </c>
      <c r="G1770" s="10" t="n">
        <f aca="false">E1770*F1770</f>
        <v>38.1924</v>
      </c>
      <c r="H1770" s="10" t="n">
        <f aca="false">IF(OR(Nonlabor!$L$13="Quote required",Nonlabor!$L$13="Unverified"),G1770,0)</f>
        <v>0</v>
      </c>
      <c r="I1770" s="10" t="n">
        <f aca="false">IF(Nonlabor!$E$13="Core",0,G1770)</f>
        <v>0</v>
      </c>
      <c r="J1770" s="23" t="str">
        <f aca="false">Nonlabor!$B$13</f>
        <v>TOOLS</v>
      </c>
    </row>
    <row r="1771" customFormat="false" ht="15" hidden="false" customHeight="false" outlineLevel="0" collapsed="false">
      <c r="A1771" s="6" t="s">
        <v>4</v>
      </c>
      <c r="B1771" s="6" t="s">
        <v>395</v>
      </c>
      <c r="C1771" s="6" t="n">
        <v>26</v>
      </c>
      <c r="D1771" s="25" t="n">
        <f aca="false">EDATE('Start Here'!$B$6,C1771-1)</f>
        <v>47088</v>
      </c>
      <c r="E1771" s="23" t="n">
        <f aca="false">IF(AND(OR(Nonlabor!$D$13="Both",Nonlabor!$D$13='Start Here'!$B$9),IF(Nonlabor!$E$13="Core",1,IF(Nonlabor!$E$13="AI",'Start Here'!$B$7,'Start Here'!$B$8))=1,C1771&gt;=IF(Nonlabor!$E$13="Core",Nonlabor!$F$13,MAX(Nonlabor!$F$13,IF(Nonlabor!$E$13="AI",Assumptions!$D$24,Assumptions!$D$25))),C1771&lt;=Nonlabor!$G$13,OR(Nonlabor!$H$13="Monthly",AND(Nonlabor!$H$13="Once",C1771=IF(Nonlabor!$E$13="Core",Nonlabor!$F$13,MAX(Nonlabor!$F$13,IF(Nonlabor!$E$13="AI",Assumptions!$D$24,Assumptions!$D$25)))),AND(Nonlabor!$H$13="Annual",MOD(C1771-IF(Nonlabor!$E$13="Core",Nonlabor!$F$13,MAX(Nonlabor!$F$13,IF(Nonlabor!$E$13="AI",Assumptions!$D$24,Assumptions!$D$25))),12)=0))),IF(Nonlabor!$I$13="Fixed",1,IF(Nonlabor!$I$13="Seats",ROUNDUP('Monthly Base'!I31,0),IF(Nonlabor!$I$13="Customers",'Monthly Base'!D31,IF(Nonlabor!$I$13="NewCustomers",'Monthly Base'!C31,IF(Nonlabor!$I$13="StorageGB",'Monthly Base'!G31,IF(Nonlabor!$I$13="LogGB",'Monthly Base'!H31,IF(Nonlabor!$I$13="RequestsM",'Monthly Base'!F31,IF(Nonlabor!$I$13="InputM",'Monthly Base'!D31*Assumptions!$D$22/1000000,IF(Nonlabor!$I$13="OutputM",'Monthly Base'!D31*Assumptions!$D$23/1000000,0))))))))),0)</f>
        <v>9</v>
      </c>
      <c r="F1771" s="10" t="n">
        <f aca="false">Nonlabor!$J$13*(1+Assumptions!$D$9)^INT((C1771-1)/12)</f>
        <v>4.2436</v>
      </c>
      <c r="G1771" s="10" t="n">
        <f aca="false">E1771*F1771</f>
        <v>38.1924</v>
      </c>
      <c r="H1771" s="10" t="n">
        <f aca="false">IF(OR(Nonlabor!$L$13="Quote required",Nonlabor!$L$13="Unverified"),G1771,0)</f>
        <v>0</v>
      </c>
      <c r="I1771" s="10" t="n">
        <f aca="false">IF(Nonlabor!$E$13="Core",0,G1771)</f>
        <v>0</v>
      </c>
      <c r="J1771" s="23" t="str">
        <f aca="false">Nonlabor!$B$13</f>
        <v>TOOLS</v>
      </c>
    </row>
    <row r="1772" customFormat="false" ht="15" hidden="false" customHeight="false" outlineLevel="0" collapsed="false">
      <c r="A1772" s="6" t="s">
        <v>4</v>
      </c>
      <c r="B1772" s="6" t="s">
        <v>395</v>
      </c>
      <c r="C1772" s="6" t="n">
        <v>27</v>
      </c>
      <c r="D1772" s="25" t="n">
        <f aca="false">EDATE('Start Here'!$B$6,C1772-1)</f>
        <v>47119</v>
      </c>
      <c r="E1772" s="23" t="n">
        <f aca="false">IF(AND(OR(Nonlabor!$D$13="Both",Nonlabor!$D$13='Start Here'!$B$9),IF(Nonlabor!$E$13="Core",1,IF(Nonlabor!$E$13="AI",'Start Here'!$B$7,'Start Here'!$B$8))=1,C1772&gt;=IF(Nonlabor!$E$13="Core",Nonlabor!$F$13,MAX(Nonlabor!$F$13,IF(Nonlabor!$E$13="AI",Assumptions!$D$24,Assumptions!$D$25))),C1772&lt;=Nonlabor!$G$13,OR(Nonlabor!$H$13="Monthly",AND(Nonlabor!$H$13="Once",C1772=IF(Nonlabor!$E$13="Core",Nonlabor!$F$13,MAX(Nonlabor!$F$13,IF(Nonlabor!$E$13="AI",Assumptions!$D$24,Assumptions!$D$25)))),AND(Nonlabor!$H$13="Annual",MOD(C1772-IF(Nonlabor!$E$13="Core",Nonlabor!$F$13,MAX(Nonlabor!$F$13,IF(Nonlabor!$E$13="AI",Assumptions!$D$24,Assumptions!$D$25))),12)=0))),IF(Nonlabor!$I$13="Fixed",1,IF(Nonlabor!$I$13="Seats",ROUNDUP('Monthly Base'!I32,0),IF(Nonlabor!$I$13="Customers",'Monthly Base'!D32,IF(Nonlabor!$I$13="NewCustomers",'Monthly Base'!C32,IF(Nonlabor!$I$13="StorageGB",'Monthly Base'!G32,IF(Nonlabor!$I$13="LogGB",'Monthly Base'!H32,IF(Nonlabor!$I$13="RequestsM",'Monthly Base'!F32,IF(Nonlabor!$I$13="InputM",'Monthly Base'!D32*Assumptions!$D$22/1000000,IF(Nonlabor!$I$13="OutputM",'Monthly Base'!D32*Assumptions!$D$23/1000000,0))))))))),0)</f>
        <v>9</v>
      </c>
      <c r="F1772" s="10" t="n">
        <f aca="false">Nonlabor!$J$13*(1+Assumptions!$D$9)^INT((C1772-1)/12)</f>
        <v>4.2436</v>
      </c>
      <c r="G1772" s="10" t="n">
        <f aca="false">E1772*F1772</f>
        <v>38.1924</v>
      </c>
      <c r="H1772" s="10" t="n">
        <f aca="false">IF(OR(Nonlabor!$L$13="Quote required",Nonlabor!$L$13="Unverified"),G1772,0)</f>
        <v>0</v>
      </c>
      <c r="I1772" s="10" t="n">
        <f aca="false">IF(Nonlabor!$E$13="Core",0,G1772)</f>
        <v>0</v>
      </c>
      <c r="J1772" s="23" t="str">
        <f aca="false">Nonlabor!$B$13</f>
        <v>TOOLS</v>
      </c>
    </row>
    <row r="1773" customFormat="false" ht="15" hidden="false" customHeight="false" outlineLevel="0" collapsed="false">
      <c r="A1773" s="6" t="s">
        <v>4</v>
      </c>
      <c r="B1773" s="6" t="s">
        <v>395</v>
      </c>
      <c r="C1773" s="6" t="n">
        <v>28</v>
      </c>
      <c r="D1773" s="25" t="n">
        <f aca="false">EDATE('Start Here'!$B$6,C1773-1)</f>
        <v>47150</v>
      </c>
      <c r="E1773" s="23" t="n">
        <f aca="false">IF(AND(OR(Nonlabor!$D$13="Both",Nonlabor!$D$13='Start Here'!$B$9),IF(Nonlabor!$E$13="Core",1,IF(Nonlabor!$E$13="AI",'Start Here'!$B$7,'Start Here'!$B$8))=1,C1773&gt;=IF(Nonlabor!$E$13="Core",Nonlabor!$F$13,MAX(Nonlabor!$F$13,IF(Nonlabor!$E$13="AI",Assumptions!$D$24,Assumptions!$D$25))),C1773&lt;=Nonlabor!$G$13,OR(Nonlabor!$H$13="Monthly",AND(Nonlabor!$H$13="Once",C1773=IF(Nonlabor!$E$13="Core",Nonlabor!$F$13,MAX(Nonlabor!$F$13,IF(Nonlabor!$E$13="AI",Assumptions!$D$24,Assumptions!$D$25)))),AND(Nonlabor!$H$13="Annual",MOD(C1773-IF(Nonlabor!$E$13="Core",Nonlabor!$F$13,MAX(Nonlabor!$F$13,IF(Nonlabor!$E$13="AI",Assumptions!$D$24,Assumptions!$D$25))),12)=0))),IF(Nonlabor!$I$13="Fixed",1,IF(Nonlabor!$I$13="Seats",ROUNDUP('Monthly Base'!I33,0),IF(Nonlabor!$I$13="Customers",'Monthly Base'!D33,IF(Nonlabor!$I$13="NewCustomers",'Monthly Base'!C33,IF(Nonlabor!$I$13="StorageGB",'Monthly Base'!G33,IF(Nonlabor!$I$13="LogGB",'Monthly Base'!H33,IF(Nonlabor!$I$13="RequestsM",'Monthly Base'!F33,IF(Nonlabor!$I$13="InputM",'Monthly Base'!D33*Assumptions!$D$22/1000000,IF(Nonlabor!$I$13="OutputM",'Monthly Base'!D33*Assumptions!$D$23/1000000,0))))))))),0)</f>
        <v>9</v>
      </c>
      <c r="F1773" s="10" t="n">
        <f aca="false">Nonlabor!$J$13*(1+Assumptions!$D$9)^INT((C1773-1)/12)</f>
        <v>4.2436</v>
      </c>
      <c r="G1773" s="10" t="n">
        <f aca="false">E1773*F1773</f>
        <v>38.1924</v>
      </c>
      <c r="H1773" s="10" t="n">
        <f aca="false">IF(OR(Nonlabor!$L$13="Quote required",Nonlabor!$L$13="Unverified"),G1773,0)</f>
        <v>0</v>
      </c>
      <c r="I1773" s="10" t="n">
        <f aca="false">IF(Nonlabor!$E$13="Core",0,G1773)</f>
        <v>0</v>
      </c>
      <c r="J1773" s="23" t="str">
        <f aca="false">Nonlabor!$B$13</f>
        <v>TOOLS</v>
      </c>
    </row>
    <row r="1774" customFormat="false" ht="15" hidden="false" customHeight="false" outlineLevel="0" collapsed="false">
      <c r="A1774" s="6" t="s">
        <v>4</v>
      </c>
      <c r="B1774" s="6" t="s">
        <v>395</v>
      </c>
      <c r="C1774" s="6" t="n">
        <v>29</v>
      </c>
      <c r="D1774" s="25" t="n">
        <f aca="false">EDATE('Start Here'!$B$6,C1774-1)</f>
        <v>47178</v>
      </c>
      <c r="E1774" s="23" t="n">
        <f aca="false">IF(AND(OR(Nonlabor!$D$13="Both",Nonlabor!$D$13='Start Here'!$B$9),IF(Nonlabor!$E$13="Core",1,IF(Nonlabor!$E$13="AI",'Start Here'!$B$7,'Start Here'!$B$8))=1,C1774&gt;=IF(Nonlabor!$E$13="Core",Nonlabor!$F$13,MAX(Nonlabor!$F$13,IF(Nonlabor!$E$13="AI",Assumptions!$D$24,Assumptions!$D$25))),C1774&lt;=Nonlabor!$G$13,OR(Nonlabor!$H$13="Monthly",AND(Nonlabor!$H$13="Once",C1774=IF(Nonlabor!$E$13="Core",Nonlabor!$F$13,MAX(Nonlabor!$F$13,IF(Nonlabor!$E$13="AI",Assumptions!$D$24,Assumptions!$D$25)))),AND(Nonlabor!$H$13="Annual",MOD(C1774-IF(Nonlabor!$E$13="Core",Nonlabor!$F$13,MAX(Nonlabor!$F$13,IF(Nonlabor!$E$13="AI",Assumptions!$D$24,Assumptions!$D$25))),12)=0))),IF(Nonlabor!$I$13="Fixed",1,IF(Nonlabor!$I$13="Seats",ROUNDUP('Monthly Base'!I34,0),IF(Nonlabor!$I$13="Customers",'Monthly Base'!D34,IF(Nonlabor!$I$13="NewCustomers",'Monthly Base'!C34,IF(Nonlabor!$I$13="StorageGB",'Monthly Base'!G34,IF(Nonlabor!$I$13="LogGB",'Monthly Base'!H34,IF(Nonlabor!$I$13="RequestsM",'Monthly Base'!F34,IF(Nonlabor!$I$13="InputM",'Monthly Base'!D34*Assumptions!$D$22/1000000,IF(Nonlabor!$I$13="OutputM",'Monthly Base'!D34*Assumptions!$D$23/1000000,0))))))))),0)</f>
        <v>9</v>
      </c>
      <c r="F1774" s="10" t="n">
        <f aca="false">Nonlabor!$J$13*(1+Assumptions!$D$9)^INT((C1774-1)/12)</f>
        <v>4.2436</v>
      </c>
      <c r="G1774" s="10" t="n">
        <f aca="false">E1774*F1774</f>
        <v>38.1924</v>
      </c>
      <c r="H1774" s="10" t="n">
        <f aca="false">IF(OR(Nonlabor!$L$13="Quote required",Nonlabor!$L$13="Unverified"),G1774,0)</f>
        <v>0</v>
      </c>
      <c r="I1774" s="10" t="n">
        <f aca="false">IF(Nonlabor!$E$13="Core",0,G1774)</f>
        <v>0</v>
      </c>
      <c r="J1774" s="23" t="str">
        <f aca="false">Nonlabor!$B$13</f>
        <v>TOOLS</v>
      </c>
    </row>
    <row r="1775" customFormat="false" ht="15" hidden="false" customHeight="false" outlineLevel="0" collapsed="false">
      <c r="A1775" s="6" t="s">
        <v>4</v>
      </c>
      <c r="B1775" s="6" t="s">
        <v>395</v>
      </c>
      <c r="C1775" s="6" t="n">
        <v>30</v>
      </c>
      <c r="D1775" s="25" t="n">
        <f aca="false">EDATE('Start Here'!$B$6,C1775-1)</f>
        <v>47209</v>
      </c>
      <c r="E1775" s="23" t="n">
        <f aca="false">IF(AND(OR(Nonlabor!$D$13="Both",Nonlabor!$D$13='Start Here'!$B$9),IF(Nonlabor!$E$13="Core",1,IF(Nonlabor!$E$13="AI",'Start Here'!$B$7,'Start Here'!$B$8))=1,C1775&gt;=IF(Nonlabor!$E$13="Core",Nonlabor!$F$13,MAX(Nonlabor!$F$13,IF(Nonlabor!$E$13="AI",Assumptions!$D$24,Assumptions!$D$25))),C1775&lt;=Nonlabor!$G$13,OR(Nonlabor!$H$13="Monthly",AND(Nonlabor!$H$13="Once",C1775=IF(Nonlabor!$E$13="Core",Nonlabor!$F$13,MAX(Nonlabor!$F$13,IF(Nonlabor!$E$13="AI",Assumptions!$D$24,Assumptions!$D$25)))),AND(Nonlabor!$H$13="Annual",MOD(C1775-IF(Nonlabor!$E$13="Core",Nonlabor!$F$13,MAX(Nonlabor!$F$13,IF(Nonlabor!$E$13="AI",Assumptions!$D$24,Assumptions!$D$25))),12)=0))),IF(Nonlabor!$I$13="Fixed",1,IF(Nonlabor!$I$13="Seats",ROUNDUP('Monthly Base'!I35,0),IF(Nonlabor!$I$13="Customers",'Monthly Base'!D35,IF(Nonlabor!$I$13="NewCustomers",'Monthly Base'!C35,IF(Nonlabor!$I$13="StorageGB",'Monthly Base'!G35,IF(Nonlabor!$I$13="LogGB",'Monthly Base'!H35,IF(Nonlabor!$I$13="RequestsM",'Monthly Base'!F35,IF(Nonlabor!$I$13="InputM",'Monthly Base'!D35*Assumptions!$D$22/1000000,IF(Nonlabor!$I$13="OutputM",'Monthly Base'!D35*Assumptions!$D$23/1000000,0))))))))),0)</f>
        <v>9</v>
      </c>
      <c r="F1775" s="10" t="n">
        <f aca="false">Nonlabor!$J$13*(1+Assumptions!$D$9)^INT((C1775-1)/12)</f>
        <v>4.2436</v>
      </c>
      <c r="G1775" s="10" t="n">
        <f aca="false">E1775*F1775</f>
        <v>38.1924</v>
      </c>
      <c r="H1775" s="10" t="n">
        <f aca="false">IF(OR(Nonlabor!$L$13="Quote required",Nonlabor!$L$13="Unverified"),G1775,0)</f>
        <v>0</v>
      </c>
      <c r="I1775" s="10" t="n">
        <f aca="false">IF(Nonlabor!$E$13="Core",0,G1775)</f>
        <v>0</v>
      </c>
      <c r="J1775" s="23" t="str">
        <f aca="false">Nonlabor!$B$13</f>
        <v>TOOLS</v>
      </c>
    </row>
    <row r="1776" customFormat="false" ht="15" hidden="false" customHeight="false" outlineLevel="0" collapsed="false">
      <c r="A1776" s="6" t="s">
        <v>4</v>
      </c>
      <c r="B1776" s="6" t="s">
        <v>395</v>
      </c>
      <c r="C1776" s="6" t="n">
        <v>31</v>
      </c>
      <c r="D1776" s="25" t="n">
        <f aca="false">EDATE('Start Here'!$B$6,C1776-1)</f>
        <v>47239</v>
      </c>
      <c r="E1776" s="23" t="n">
        <f aca="false">IF(AND(OR(Nonlabor!$D$13="Both",Nonlabor!$D$13='Start Here'!$B$9),IF(Nonlabor!$E$13="Core",1,IF(Nonlabor!$E$13="AI",'Start Here'!$B$7,'Start Here'!$B$8))=1,C1776&gt;=IF(Nonlabor!$E$13="Core",Nonlabor!$F$13,MAX(Nonlabor!$F$13,IF(Nonlabor!$E$13="AI",Assumptions!$D$24,Assumptions!$D$25))),C1776&lt;=Nonlabor!$G$13,OR(Nonlabor!$H$13="Monthly",AND(Nonlabor!$H$13="Once",C1776=IF(Nonlabor!$E$13="Core",Nonlabor!$F$13,MAX(Nonlabor!$F$13,IF(Nonlabor!$E$13="AI",Assumptions!$D$24,Assumptions!$D$25)))),AND(Nonlabor!$H$13="Annual",MOD(C1776-IF(Nonlabor!$E$13="Core",Nonlabor!$F$13,MAX(Nonlabor!$F$13,IF(Nonlabor!$E$13="AI",Assumptions!$D$24,Assumptions!$D$25))),12)=0))),IF(Nonlabor!$I$13="Fixed",1,IF(Nonlabor!$I$13="Seats",ROUNDUP('Monthly Base'!I36,0),IF(Nonlabor!$I$13="Customers",'Monthly Base'!D36,IF(Nonlabor!$I$13="NewCustomers",'Monthly Base'!C36,IF(Nonlabor!$I$13="StorageGB",'Monthly Base'!G36,IF(Nonlabor!$I$13="LogGB",'Monthly Base'!H36,IF(Nonlabor!$I$13="RequestsM",'Monthly Base'!F36,IF(Nonlabor!$I$13="InputM",'Monthly Base'!D36*Assumptions!$D$22/1000000,IF(Nonlabor!$I$13="OutputM",'Monthly Base'!D36*Assumptions!$D$23/1000000,0))))))))),0)</f>
        <v>13</v>
      </c>
      <c r="F1776" s="10" t="n">
        <f aca="false">Nonlabor!$J$13*(1+Assumptions!$D$9)^INT((C1776-1)/12)</f>
        <v>4.2436</v>
      </c>
      <c r="G1776" s="10" t="n">
        <f aca="false">E1776*F1776</f>
        <v>55.1668</v>
      </c>
      <c r="H1776" s="10" t="n">
        <f aca="false">IF(OR(Nonlabor!$L$13="Quote required",Nonlabor!$L$13="Unverified"),G1776,0)</f>
        <v>0</v>
      </c>
      <c r="I1776" s="10" t="n">
        <f aca="false">IF(Nonlabor!$E$13="Core",0,G1776)</f>
        <v>0</v>
      </c>
      <c r="J1776" s="23" t="str">
        <f aca="false">Nonlabor!$B$13</f>
        <v>TOOLS</v>
      </c>
    </row>
    <row r="1777" customFormat="false" ht="15" hidden="false" customHeight="false" outlineLevel="0" collapsed="false">
      <c r="A1777" s="6" t="s">
        <v>4</v>
      </c>
      <c r="B1777" s="6" t="s">
        <v>395</v>
      </c>
      <c r="C1777" s="6" t="n">
        <v>32</v>
      </c>
      <c r="D1777" s="25" t="n">
        <f aca="false">EDATE('Start Here'!$B$6,C1777-1)</f>
        <v>47270</v>
      </c>
      <c r="E1777" s="23" t="n">
        <f aca="false">IF(AND(OR(Nonlabor!$D$13="Both",Nonlabor!$D$13='Start Here'!$B$9),IF(Nonlabor!$E$13="Core",1,IF(Nonlabor!$E$13="AI",'Start Here'!$B$7,'Start Here'!$B$8))=1,C1777&gt;=IF(Nonlabor!$E$13="Core",Nonlabor!$F$13,MAX(Nonlabor!$F$13,IF(Nonlabor!$E$13="AI",Assumptions!$D$24,Assumptions!$D$25))),C1777&lt;=Nonlabor!$G$13,OR(Nonlabor!$H$13="Monthly",AND(Nonlabor!$H$13="Once",C1777=IF(Nonlabor!$E$13="Core",Nonlabor!$F$13,MAX(Nonlabor!$F$13,IF(Nonlabor!$E$13="AI",Assumptions!$D$24,Assumptions!$D$25)))),AND(Nonlabor!$H$13="Annual",MOD(C1777-IF(Nonlabor!$E$13="Core",Nonlabor!$F$13,MAX(Nonlabor!$F$13,IF(Nonlabor!$E$13="AI",Assumptions!$D$24,Assumptions!$D$25))),12)=0))),IF(Nonlabor!$I$13="Fixed",1,IF(Nonlabor!$I$13="Seats",ROUNDUP('Monthly Base'!I37,0),IF(Nonlabor!$I$13="Customers",'Monthly Base'!D37,IF(Nonlabor!$I$13="NewCustomers",'Monthly Base'!C37,IF(Nonlabor!$I$13="StorageGB",'Monthly Base'!G37,IF(Nonlabor!$I$13="LogGB",'Monthly Base'!H37,IF(Nonlabor!$I$13="RequestsM",'Monthly Base'!F37,IF(Nonlabor!$I$13="InputM",'Monthly Base'!D37*Assumptions!$D$22/1000000,IF(Nonlabor!$I$13="OutputM",'Monthly Base'!D37*Assumptions!$D$23/1000000,0))))))))),0)</f>
        <v>13</v>
      </c>
      <c r="F1777" s="10" t="n">
        <f aca="false">Nonlabor!$J$13*(1+Assumptions!$D$9)^INT((C1777-1)/12)</f>
        <v>4.2436</v>
      </c>
      <c r="G1777" s="10" t="n">
        <f aca="false">E1777*F1777</f>
        <v>55.1668</v>
      </c>
      <c r="H1777" s="10" t="n">
        <f aca="false">IF(OR(Nonlabor!$L$13="Quote required",Nonlabor!$L$13="Unverified"),G1777,0)</f>
        <v>0</v>
      </c>
      <c r="I1777" s="10" t="n">
        <f aca="false">IF(Nonlabor!$E$13="Core",0,G1777)</f>
        <v>0</v>
      </c>
      <c r="J1777" s="23" t="str">
        <f aca="false">Nonlabor!$B$13</f>
        <v>TOOLS</v>
      </c>
    </row>
    <row r="1778" customFormat="false" ht="15" hidden="false" customHeight="false" outlineLevel="0" collapsed="false">
      <c r="A1778" s="6" t="s">
        <v>4</v>
      </c>
      <c r="B1778" s="6" t="s">
        <v>395</v>
      </c>
      <c r="C1778" s="6" t="n">
        <v>33</v>
      </c>
      <c r="D1778" s="25" t="n">
        <f aca="false">EDATE('Start Here'!$B$6,C1778-1)</f>
        <v>47300</v>
      </c>
      <c r="E1778" s="23" t="n">
        <f aca="false">IF(AND(OR(Nonlabor!$D$13="Both",Nonlabor!$D$13='Start Here'!$B$9),IF(Nonlabor!$E$13="Core",1,IF(Nonlabor!$E$13="AI",'Start Here'!$B$7,'Start Here'!$B$8))=1,C1778&gt;=IF(Nonlabor!$E$13="Core",Nonlabor!$F$13,MAX(Nonlabor!$F$13,IF(Nonlabor!$E$13="AI",Assumptions!$D$24,Assumptions!$D$25))),C1778&lt;=Nonlabor!$G$13,OR(Nonlabor!$H$13="Monthly",AND(Nonlabor!$H$13="Once",C1778=IF(Nonlabor!$E$13="Core",Nonlabor!$F$13,MAX(Nonlabor!$F$13,IF(Nonlabor!$E$13="AI",Assumptions!$D$24,Assumptions!$D$25)))),AND(Nonlabor!$H$13="Annual",MOD(C1778-IF(Nonlabor!$E$13="Core",Nonlabor!$F$13,MAX(Nonlabor!$F$13,IF(Nonlabor!$E$13="AI",Assumptions!$D$24,Assumptions!$D$25))),12)=0))),IF(Nonlabor!$I$13="Fixed",1,IF(Nonlabor!$I$13="Seats",ROUNDUP('Monthly Base'!I38,0),IF(Nonlabor!$I$13="Customers",'Monthly Base'!D38,IF(Nonlabor!$I$13="NewCustomers",'Monthly Base'!C38,IF(Nonlabor!$I$13="StorageGB",'Monthly Base'!G38,IF(Nonlabor!$I$13="LogGB",'Monthly Base'!H38,IF(Nonlabor!$I$13="RequestsM",'Monthly Base'!F38,IF(Nonlabor!$I$13="InputM",'Monthly Base'!D38*Assumptions!$D$22/1000000,IF(Nonlabor!$I$13="OutputM",'Monthly Base'!D38*Assumptions!$D$23/1000000,0))))))))),0)</f>
        <v>13</v>
      </c>
      <c r="F1778" s="10" t="n">
        <f aca="false">Nonlabor!$J$13*(1+Assumptions!$D$9)^INT((C1778-1)/12)</f>
        <v>4.2436</v>
      </c>
      <c r="G1778" s="10" t="n">
        <f aca="false">E1778*F1778</f>
        <v>55.1668</v>
      </c>
      <c r="H1778" s="10" t="n">
        <f aca="false">IF(OR(Nonlabor!$L$13="Quote required",Nonlabor!$L$13="Unverified"),G1778,0)</f>
        <v>0</v>
      </c>
      <c r="I1778" s="10" t="n">
        <f aca="false">IF(Nonlabor!$E$13="Core",0,G1778)</f>
        <v>0</v>
      </c>
      <c r="J1778" s="23" t="str">
        <f aca="false">Nonlabor!$B$13</f>
        <v>TOOLS</v>
      </c>
    </row>
    <row r="1779" customFormat="false" ht="15" hidden="false" customHeight="false" outlineLevel="0" collapsed="false">
      <c r="A1779" s="6" t="s">
        <v>4</v>
      </c>
      <c r="B1779" s="6" t="s">
        <v>395</v>
      </c>
      <c r="C1779" s="6" t="n">
        <v>34</v>
      </c>
      <c r="D1779" s="25" t="n">
        <f aca="false">EDATE('Start Here'!$B$6,C1779-1)</f>
        <v>47331</v>
      </c>
      <c r="E1779" s="23" t="n">
        <f aca="false">IF(AND(OR(Nonlabor!$D$13="Both",Nonlabor!$D$13='Start Here'!$B$9),IF(Nonlabor!$E$13="Core",1,IF(Nonlabor!$E$13="AI",'Start Here'!$B$7,'Start Here'!$B$8))=1,C1779&gt;=IF(Nonlabor!$E$13="Core",Nonlabor!$F$13,MAX(Nonlabor!$F$13,IF(Nonlabor!$E$13="AI",Assumptions!$D$24,Assumptions!$D$25))),C1779&lt;=Nonlabor!$G$13,OR(Nonlabor!$H$13="Monthly",AND(Nonlabor!$H$13="Once",C1779=IF(Nonlabor!$E$13="Core",Nonlabor!$F$13,MAX(Nonlabor!$F$13,IF(Nonlabor!$E$13="AI",Assumptions!$D$24,Assumptions!$D$25)))),AND(Nonlabor!$H$13="Annual",MOD(C1779-IF(Nonlabor!$E$13="Core",Nonlabor!$F$13,MAX(Nonlabor!$F$13,IF(Nonlabor!$E$13="AI",Assumptions!$D$24,Assumptions!$D$25))),12)=0))),IF(Nonlabor!$I$13="Fixed",1,IF(Nonlabor!$I$13="Seats",ROUNDUP('Monthly Base'!I39,0),IF(Nonlabor!$I$13="Customers",'Monthly Base'!D39,IF(Nonlabor!$I$13="NewCustomers",'Monthly Base'!C39,IF(Nonlabor!$I$13="StorageGB",'Monthly Base'!G39,IF(Nonlabor!$I$13="LogGB",'Monthly Base'!H39,IF(Nonlabor!$I$13="RequestsM",'Monthly Base'!F39,IF(Nonlabor!$I$13="InputM",'Monthly Base'!D39*Assumptions!$D$22/1000000,IF(Nonlabor!$I$13="OutputM",'Monthly Base'!D39*Assumptions!$D$23/1000000,0))))))))),0)</f>
        <v>13</v>
      </c>
      <c r="F1779" s="10" t="n">
        <f aca="false">Nonlabor!$J$13*(1+Assumptions!$D$9)^INT((C1779-1)/12)</f>
        <v>4.2436</v>
      </c>
      <c r="G1779" s="10" t="n">
        <f aca="false">E1779*F1779</f>
        <v>55.1668</v>
      </c>
      <c r="H1779" s="10" t="n">
        <f aca="false">IF(OR(Nonlabor!$L$13="Quote required",Nonlabor!$L$13="Unverified"),G1779,0)</f>
        <v>0</v>
      </c>
      <c r="I1779" s="10" t="n">
        <f aca="false">IF(Nonlabor!$E$13="Core",0,G1779)</f>
        <v>0</v>
      </c>
      <c r="J1779" s="23" t="str">
        <f aca="false">Nonlabor!$B$13</f>
        <v>TOOLS</v>
      </c>
    </row>
    <row r="1780" customFormat="false" ht="15" hidden="false" customHeight="false" outlineLevel="0" collapsed="false">
      <c r="A1780" s="6" t="s">
        <v>4</v>
      </c>
      <c r="B1780" s="6" t="s">
        <v>395</v>
      </c>
      <c r="C1780" s="6" t="n">
        <v>35</v>
      </c>
      <c r="D1780" s="25" t="n">
        <f aca="false">EDATE('Start Here'!$B$6,C1780-1)</f>
        <v>47362</v>
      </c>
      <c r="E1780" s="23" t="n">
        <f aca="false">IF(AND(OR(Nonlabor!$D$13="Both",Nonlabor!$D$13='Start Here'!$B$9),IF(Nonlabor!$E$13="Core",1,IF(Nonlabor!$E$13="AI",'Start Here'!$B$7,'Start Here'!$B$8))=1,C1780&gt;=IF(Nonlabor!$E$13="Core",Nonlabor!$F$13,MAX(Nonlabor!$F$13,IF(Nonlabor!$E$13="AI",Assumptions!$D$24,Assumptions!$D$25))),C1780&lt;=Nonlabor!$G$13,OR(Nonlabor!$H$13="Monthly",AND(Nonlabor!$H$13="Once",C1780=IF(Nonlabor!$E$13="Core",Nonlabor!$F$13,MAX(Nonlabor!$F$13,IF(Nonlabor!$E$13="AI",Assumptions!$D$24,Assumptions!$D$25)))),AND(Nonlabor!$H$13="Annual",MOD(C1780-IF(Nonlabor!$E$13="Core",Nonlabor!$F$13,MAX(Nonlabor!$F$13,IF(Nonlabor!$E$13="AI",Assumptions!$D$24,Assumptions!$D$25))),12)=0))),IF(Nonlabor!$I$13="Fixed",1,IF(Nonlabor!$I$13="Seats",ROUNDUP('Monthly Base'!I40,0),IF(Nonlabor!$I$13="Customers",'Monthly Base'!D40,IF(Nonlabor!$I$13="NewCustomers",'Monthly Base'!C40,IF(Nonlabor!$I$13="StorageGB",'Monthly Base'!G40,IF(Nonlabor!$I$13="LogGB",'Monthly Base'!H40,IF(Nonlabor!$I$13="RequestsM",'Monthly Base'!F40,IF(Nonlabor!$I$13="InputM",'Monthly Base'!D40*Assumptions!$D$22/1000000,IF(Nonlabor!$I$13="OutputM",'Monthly Base'!D40*Assumptions!$D$23/1000000,0))))))))),0)</f>
        <v>13</v>
      </c>
      <c r="F1780" s="10" t="n">
        <f aca="false">Nonlabor!$J$13*(1+Assumptions!$D$9)^INT((C1780-1)/12)</f>
        <v>4.2436</v>
      </c>
      <c r="G1780" s="10" t="n">
        <f aca="false">E1780*F1780</f>
        <v>55.1668</v>
      </c>
      <c r="H1780" s="10" t="n">
        <f aca="false">IF(OR(Nonlabor!$L$13="Quote required",Nonlabor!$L$13="Unverified"),G1780,0)</f>
        <v>0</v>
      </c>
      <c r="I1780" s="10" t="n">
        <f aca="false">IF(Nonlabor!$E$13="Core",0,G1780)</f>
        <v>0</v>
      </c>
      <c r="J1780" s="23" t="str">
        <f aca="false">Nonlabor!$B$13</f>
        <v>TOOLS</v>
      </c>
    </row>
    <row r="1781" customFormat="false" ht="15" hidden="false" customHeight="false" outlineLevel="0" collapsed="false">
      <c r="A1781" s="6" t="s">
        <v>4</v>
      </c>
      <c r="B1781" s="6" t="s">
        <v>395</v>
      </c>
      <c r="C1781" s="6" t="n">
        <v>36</v>
      </c>
      <c r="D1781" s="25" t="n">
        <f aca="false">EDATE('Start Here'!$B$6,C1781-1)</f>
        <v>47392</v>
      </c>
      <c r="E1781" s="23" t="n">
        <f aca="false">IF(AND(OR(Nonlabor!$D$13="Both",Nonlabor!$D$13='Start Here'!$B$9),IF(Nonlabor!$E$13="Core",1,IF(Nonlabor!$E$13="AI",'Start Here'!$B$7,'Start Here'!$B$8))=1,C1781&gt;=IF(Nonlabor!$E$13="Core",Nonlabor!$F$13,MAX(Nonlabor!$F$13,IF(Nonlabor!$E$13="AI",Assumptions!$D$24,Assumptions!$D$25))),C1781&lt;=Nonlabor!$G$13,OR(Nonlabor!$H$13="Monthly",AND(Nonlabor!$H$13="Once",C1781=IF(Nonlabor!$E$13="Core",Nonlabor!$F$13,MAX(Nonlabor!$F$13,IF(Nonlabor!$E$13="AI",Assumptions!$D$24,Assumptions!$D$25)))),AND(Nonlabor!$H$13="Annual",MOD(C1781-IF(Nonlabor!$E$13="Core",Nonlabor!$F$13,MAX(Nonlabor!$F$13,IF(Nonlabor!$E$13="AI",Assumptions!$D$24,Assumptions!$D$25))),12)=0))),IF(Nonlabor!$I$13="Fixed",1,IF(Nonlabor!$I$13="Seats",ROUNDUP('Monthly Base'!I41,0),IF(Nonlabor!$I$13="Customers",'Monthly Base'!D41,IF(Nonlabor!$I$13="NewCustomers",'Monthly Base'!C41,IF(Nonlabor!$I$13="StorageGB",'Monthly Base'!G41,IF(Nonlabor!$I$13="LogGB",'Monthly Base'!H41,IF(Nonlabor!$I$13="RequestsM",'Monthly Base'!F41,IF(Nonlabor!$I$13="InputM",'Monthly Base'!D41*Assumptions!$D$22/1000000,IF(Nonlabor!$I$13="OutputM",'Monthly Base'!D41*Assumptions!$D$23/1000000,0))))))))),0)</f>
        <v>13</v>
      </c>
      <c r="F1781" s="10" t="n">
        <f aca="false">Nonlabor!$J$13*(1+Assumptions!$D$9)^INT((C1781-1)/12)</f>
        <v>4.2436</v>
      </c>
      <c r="G1781" s="10" t="n">
        <f aca="false">E1781*F1781</f>
        <v>55.1668</v>
      </c>
      <c r="H1781" s="10" t="n">
        <f aca="false">IF(OR(Nonlabor!$L$13="Quote required",Nonlabor!$L$13="Unverified"),G1781,0)</f>
        <v>0</v>
      </c>
      <c r="I1781" s="10" t="n">
        <f aca="false">IF(Nonlabor!$E$13="Core",0,G1781)</f>
        <v>0</v>
      </c>
      <c r="J1781" s="23" t="str">
        <f aca="false">Nonlabor!$B$13</f>
        <v>TOOLS</v>
      </c>
    </row>
    <row r="1782" customFormat="false" ht="15" hidden="false" customHeight="false" outlineLevel="0" collapsed="false">
      <c r="A1782" s="6" t="s">
        <v>4</v>
      </c>
      <c r="B1782" s="6" t="s">
        <v>395</v>
      </c>
      <c r="C1782" s="6" t="n">
        <v>37</v>
      </c>
      <c r="D1782" s="25" t="n">
        <f aca="false">EDATE('Start Here'!$B$6,C1782-1)</f>
        <v>47423</v>
      </c>
      <c r="E1782" s="23" t="n">
        <f aca="false">IF(AND(OR(Nonlabor!$D$13="Both",Nonlabor!$D$13='Start Here'!$B$9),IF(Nonlabor!$E$13="Core",1,IF(Nonlabor!$E$13="AI",'Start Here'!$B$7,'Start Here'!$B$8))=1,C1782&gt;=IF(Nonlabor!$E$13="Core",Nonlabor!$F$13,MAX(Nonlabor!$F$13,IF(Nonlabor!$E$13="AI",Assumptions!$D$24,Assumptions!$D$25))),C1782&lt;=Nonlabor!$G$13,OR(Nonlabor!$H$13="Monthly",AND(Nonlabor!$H$13="Once",C1782=IF(Nonlabor!$E$13="Core",Nonlabor!$F$13,MAX(Nonlabor!$F$13,IF(Nonlabor!$E$13="AI",Assumptions!$D$24,Assumptions!$D$25)))),AND(Nonlabor!$H$13="Annual",MOD(C1782-IF(Nonlabor!$E$13="Core",Nonlabor!$F$13,MAX(Nonlabor!$F$13,IF(Nonlabor!$E$13="AI",Assumptions!$D$24,Assumptions!$D$25))),12)=0))),IF(Nonlabor!$I$13="Fixed",1,IF(Nonlabor!$I$13="Seats",ROUNDUP('Monthly Base'!I42,0),IF(Nonlabor!$I$13="Customers",'Monthly Base'!D42,IF(Nonlabor!$I$13="NewCustomers",'Monthly Base'!C42,IF(Nonlabor!$I$13="StorageGB",'Monthly Base'!G42,IF(Nonlabor!$I$13="LogGB",'Monthly Base'!H42,IF(Nonlabor!$I$13="RequestsM",'Monthly Base'!F42,IF(Nonlabor!$I$13="InputM",'Monthly Base'!D42*Assumptions!$D$22/1000000,IF(Nonlabor!$I$13="OutputM",'Monthly Base'!D42*Assumptions!$D$23/1000000,0))))))))),0)</f>
        <v>13</v>
      </c>
      <c r="F1782" s="10" t="n">
        <f aca="false">Nonlabor!$J$13*(1+Assumptions!$D$9)^INT((C1782-1)/12)</f>
        <v>4.370908</v>
      </c>
      <c r="G1782" s="10" t="n">
        <f aca="false">E1782*F1782</f>
        <v>56.821804</v>
      </c>
      <c r="H1782" s="10" t="n">
        <f aca="false">IF(OR(Nonlabor!$L$13="Quote required",Nonlabor!$L$13="Unverified"),G1782,0)</f>
        <v>0</v>
      </c>
      <c r="I1782" s="10" t="n">
        <f aca="false">IF(Nonlabor!$E$13="Core",0,G1782)</f>
        <v>0</v>
      </c>
      <c r="J1782" s="23" t="str">
        <f aca="false">Nonlabor!$B$13</f>
        <v>TOOLS</v>
      </c>
    </row>
    <row r="1783" customFormat="false" ht="15" hidden="false" customHeight="false" outlineLevel="0" collapsed="false">
      <c r="A1783" s="6" t="s">
        <v>4</v>
      </c>
      <c r="B1783" s="6" t="s">
        <v>395</v>
      </c>
      <c r="C1783" s="6" t="n">
        <v>38</v>
      </c>
      <c r="D1783" s="25" t="n">
        <f aca="false">EDATE('Start Here'!$B$6,C1783-1)</f>
        <v>47453</v>
      </c>
      <c r="E1783" s="23" t="n">
        <f aca="false">IF(AND(OR(Nonlabor!$D$13="Both",Nonlabor!$D$13='Start Here'!$B$9),IF(Nonlabor!$E$13="Core",1,IF(Nonlabor!$E$13="AI",'Start Here'!$B$7,'Start Here'!$B$8))=1,C1783&gt;=IF(Nonlabor!$E$13="Core",Nonlabor!$F$13,MAX(Nonlabor!$F$13,IF(Nonlabor!$E$13="AI",Assumptions!$D$24,Assumptions!$D$25))),C1783&lt;=Nonlabor!$G$13,OR(Nonlabor!$H$13="Monthly",AND(Nonlabor!$H$13="Once",C1783=IF(Nonlabor!$E$13="Core",Nonlabor!$F$13,MAX(Nonlabor!$F$13,IF(Nonlabor!$E$13="AI",Assumptions!$D$24,Assumptions!$D$25)))),AND(Nonlabor!$H$13="Annual",MOD(C1783-IF(Nonlabor!$E$13="Core",Nonlabor!$F$13,MAX(Nonlabor!$F$13,IF(Nonlabor!$E$13="AI",Assumptions!$D$24,Assumptions!$D$25))),12)=0))),IF(Nonlabor!$I$13="Fixed",1,IF(Nonlabor!$I$13="Seats",ROUNDUP('Monthly Base'!I43,0),IF(Nonlabor!$I$13="Customers",'Monthly Base'!D43,IF(Nonlabor!$I$13="NewCustomers",'Monthly Base'!C43,IF(Nonlabor!$I$13="StorageGB",'Monthly Base'!G43,IF(Nonlabor!$I$13="LogGB",'Monthly Base'!H43,IF(Nonlabor!$I$13="RequestsM",'Monthly Base'!F43,IF(Nonlabor!$I$13="InputM",'Monthly Base'!D43*Assumptions!$D$22/1000000,IF(Nonlabor!$I$13="OutputM",'Monthly Base'!D43*Assumptions!$D$23/1000000,0))))))))),0)</f>
        <v>13</v>
      </c>
      <c r="F1783" s="10" t="n">
        <f aca="false">Nonlabor!$J$13*(1+Assumptions!$D$9)^INT((C1783-1)/12)</f>
        <v>4.370908</v>
      </c>
      <c r="G1783" s="10" t="n">
        <f aca="false">E1783*F1783</f>
        <v>56.821804</v>
      </c>
      <c r="H1783" s="10" t="n">
        <f aca="false">IF(OR(Nonlabor!$L$13="Quote required",Nonlabor!$L$13="Unverified"),G1783,0)</f>
        <v>0</v>
      </c>
      <c r="I1783" s="10" t="n">
        <f aca="false">IF(Nonlabor!$E$13="Core",0,G1783)</f>
        <v>0</v>
      </c>
      <c r="J1783" s="23" t="str">
        <f aca="false">Nonlabor!$B$13</f>
        <v>TOOLS</v>
      </c>
    </row>
    <row r="1784" customFormat="false" ht="15" hidden="false" customHeight="false" outlineLevel="0" collapsed="false">
      <c r="A1784" s="6" t="s">
        <v>4</v>
      </c>
      <c r="B1784" s="6" t="s">
        <v>395</v>
      </c>
      <c r="C1784" s="6" t="n">
        <v>39</v>
      </c>
      <c r="D1784" s="25" t="n">
        <f aca="false">EDATE('Start Here'!$B$6,C1784-1)</f>
        <v>47484</v>
      </c>
      <c r="E1784" s="23" t="n">
        <f aca="false">IF(AND(OR(Nonlabor!$D$13="Both",Nonlabor!$D$13='Start Here'!$B$9),IF(Nonlabor!$E$13="Core",1,IF(Nonlabor!$E$13="AI",'Start Here'!$B$7,'Start Here'!$B$8))=1,C1784&gt;=IF(Nonlabor!$E$13="Core",Nonlabor!$F$13,MAX(Nonlabor!$F$13,IF(Nonlabor!$E$13="AI",Assumptions!$D$24,Assumptions!$D$25))),C1784&lt;=Nonlabor!$G$13,OR(Nonlabor!$H$13="Monthly",AND(Nonlabor!$H$13="Once",C1784=IF(Nonlabor!$E$13="Core",Nonlabor!$F$13,MAX(Nonlabor!$F$13,IF(Nonlabor!$E$13="AI",Assumptions!$D$24,Assumptions!$D$25)))),AND(Nonlabor!$H$13="Annual",MOD(C1784-IF(Nonlabor!$E$13="Core",Nonlabor!$F$13,MAX(Nonlabor!$F$13,IF(Nonlabor!$E$13="AI",Assumptions!$D$24,Assumptions!$D$25))),12)=0))),IF(Nonlabor!$I$13="Fixed",1,IF(Nonlabor!$I$13="Seats",ROUNDUP('Monthly Base'!I44,0),IF(Nonlabor!$I$13="Customers",'Monthly Base'!D44,IF(Nonlabor!$I$13="NewCustomers",'Monthly Base'!C44,IF(Nonlabor!$I$13="StorageGB",'Monthly Base'!G44,IF(Nonlabor!$I$13="LogGB",'Monthly Base'!H44,IF(Nonlabor!$I$13="RequestsM",'Monthly Base'!F44,IF(Nonlabor!$I$13="InputM",'Monthly Base'!D44*Assumptions!$D$22/1000000,IF(Nonlabor!$I$13="OutputM",'Monthly Base'!D44*Assumptions!$D$23/1000000,0))))))))),0)</f>
        <v>13</v>
      </c>
      <c r="F1784" s="10" t="n">
        <f aca="false">Nonlabor!$J$13*(1+Assumptions!$D$9)^INT((C1784-1)/12)</f>
        <v>4.370908</v>
      </c>
      <c r="G1784" s="10" t="n">
        <f aca="false">E1784*F1784</f>
        <v>56.821804</v>
      </c>
      <c r="H1784" s="10" t="n">
        <f aca="false">IF(OR(Nonlabor!$L$13="Quote required",Nonlabor!$L$13="Unverified"),G1784,0)</f>
        <v>0</v>
      </c>
      <c r="I1784" s="10" t="n">
        <f aca="false">IF(Nonlabor!$E$13="Core",0,G1784)</f>
        <v>0</v>
      </c>
      <c r="J1784" s="23" t="str">
        <f aca="false">Nonlabor!$B$13</f>
        <v>TOOLS</v>
      </c>
    </row>
    <row r="1785" customFormat="false" ht="15" hidden="false" customHeight="false" outlineLevel="0" collapsed="false">
      <c r="A1785" s="6" t="s">
        <v>4</v>
      </c>
      <c r="B1785" s="6" t="s">
        <v>395</v>
      </c>
      <c r="C1785" s="6" t="n">
        <v>40</v>
      </c>
      <c r="D1785" s="25" t="n">
        <f aca="false">EDATE('Start Here'!$B$6,C1785-1)</f>
        <v>47515</v>
      </c>
      <c r="E1785" s="23" t="n">
        <f aca="false">IF(AND(OR(Nonlabor!$D$13="Both",Nonlabor!$D$13='Start Here'!$B$9),IF(Nonlabor!$E$13="Core",1,IF(Nonlabor!$E$13="AI",'Start Here'!$B$7,'Start Here'!$B$8))=1,C1785&gt;=IF(Nonlabor!$E$13="Core",Nonlabor!$F$13,MAX(Nonlabor!$F$13,IF(Nonlabor!$E$13="AI",Assumptions!$D$24,Assumptions!$D$25))),C1785&lt;=Nonlabor!$G$13,OR(Nonlabor!$H$13="Monthly",AND(Nonlabor!$H$13="Once",C1785=IF(Nonlabor!$E$13="Core",Nonlabor!$F$13,MAX(Nonlabor!$F$13,IF(Nonlabor!$E$13="AI",Assumptions!$D$24,Assumptions!$D$25)))),AND(Nonlabor!$H$13="Annual",MOD(C1785-IF(Nonlabor!$E$13="Core",Nonlabor!$F$13,MAX(Nonlabor!$F$13,IF(Nonlabor!$E$13="AI",Assumptions!$D$24,Assumptions!$D$25))),12)=0))),IF(Nonlabor!$I$13="Fixed",1,IF(Nonlabor!$I$13="Seats",ROUNDUP('Monthly Base'!I45,0),IF(Nonlabor!$I$13="Customers",'Monthly Base'!D45,IF(Nonlabor!$I$13="NewCustomers",'Monthly Base'!C45,IF(Nonlabor!$I$13="StorageGB",'Monthly Base'!G45,IF(Nonlabor!$I$13="LogGB",'Monthly Base'!H45,IF(Nonlabor!$I$13="RequestsM",'Monthly Base'!F45,IF(Nonlabor!$I$13="InputM",'Monthly Base'!D45*Assumptions!$D$22/1000000,IF(Nonlabor!$I$13="OutputM",'Monthly Base'!D45*Assumptions!$D$23/1000000,0))))))))),0)</f>
        <v>13</v>
      </c>
      <c r="F1785" s="10" t="n">
        <f aca="false">Nonlabor!$J$13*(1+Assumptions!$D$9)^INT((C1785-1)/12)</f>
        <v>4.370908</v>
      </c>
      <c r="G1785" s="10" t="n">
        <f aca="false">E1785*F1785</f>
        <v>56.821804</v>
      </c>
      <c r="H1785" s="10" t="n">
        <f aca="false">IF(OR(Nonlabor!$L$13="Quote required",Nonlabor!$L$13="Unverified"),G1785,0)</f>
        <v>0</v>
      </c>
      <c r="I1785" s="10" t="n">
        <f aca="false">IF(Nonlabor!$E$13="Core",0,G1785)</f>
        <v>0</v>
      </c>
      <c r="J1785" s="23" t="str">
        <f aca="false">Nonlabor!$B$13</f>
        <v>TOOLS</v>
      </c>
    </row>
    <row r="1786" customFormat="false" ht="15" hidden="false" customHeight="false" outlineLevel="0" collapsed="false">
      <c r="A1786" s="6" t="s">
        <v>4</v>
      </c>
      <c r="B1786" s="6" t="s">
        <v>395</v>
      </c>
      <c r="C1786" s="6" t="n">
        <v>41</v>
      </c>
      <c r="D1786" s="25" t="n">
        <f aca="false">EDATE('Start Here'!$B$6,C1786-1)</f>
        <v>47543</v>
      </c>
      <c r="E1786" s="23" t="n">
        <f aca="false">IF(AND(OR(Nonlabor!$D$13="Both",Nonlabor!$D$13='Start Here'!$B$9),IF(Nonlabor!$E$13="Core",1,IF(Nonlabor!$E$13="AI",'Start Here'!$B$7,'Start Here'!$B$8))=1,C1786&gt;=IF(Nonlabor!$E$13="Core",Nonlabor!$F$13,MAX(Nonlabor!$F$13,IF(Nonlabor!$E$13="AI",Assumptions!$D$24,Assumptions!$D$25))),C1786&lt;=Nonlabor!$G$13,OR(Nonlabor!$H$13="Monthly",AND(Nonlabor!$H$13="Once",C1786=IF(Nonlabor!$E$13="Core",Nonlabor!$F$13,MAX(Nonlabor!$F$13,IF(Nonlabor!$E$13="AI",Assumptions!$D$24,Assumptions!$D$25)))),AND(Nonlabor!$H$13="Annual",MOD(C1786-IF(Nonlabor!$E$13="Core",Nonlabor!$F$13,MAX(Nonlabor!$F$13,IF(Nonlabor!$E$13="AI",Assumptions!$D$24,Assumptions!$D$25))),12)=0))),IF(Nonlabor!$I$13="Fixed",1,IF(Nonlabor!$I$13="Seats",ROUNDUP('Monthly Base'!I46,0),IF(Nonlabor!$I$13="Customers",'Monthly Base'!D46,IF(Nonlabor!$I$13="NewCustomers",'Monthly Base'!C46,IF(Nonlabor!$I$13="StorageGB",'Monthly Base'!G46,IF(Nonlabor!$I$13="LogGB",'Monthly Base'!H46,IF(Nonlabor!$I$13="RequestsM",'Monthly Base'!F46,IF(Nonlabor!$I$13="InputM",'Monthly Base'!D46*Assumptions!$D$22/1000000,IF(Nonlabor!$I$13="OutputM",'Monthly Base'!D46*Assumptions!$D$23/1000000,0))))))))),0)</f>
        <v>13</v>
      </c>
      <c r="F1786" s="10" t="n">
        <f aca="false">Nonlabor!$J$13*(1+Assumptions!$D$9)^INT((C1786-1)/12)</f>
        <v>4.370908</v>
      </c>
      <c r="G1786" s="10" t="n">
        <f aca="false">E1786*F1786</f>
        <v>56.821804</v>
      </c>
      <c r="H1786" s="10" t="n">
        <f aca="false">IF(OR(Nonlabor!$L$13="Quote required",Nonlabor!$L$13="Unverified"),G1786,0)</f>
        <v>0</v>
      </c>
      <c r="I1786" s="10" t="n">
        <f aca="false">IF(Nonlabor!$E$13="Core",0,G1786)</f>
        <v>0</v>
      </c>
      <c r="J1786" s="23" t="str">
        <f aca="false">Nonlabor!$B$13</f>
        <v>TOOLS</v>
      </c>
    </row>
    <row r="1787" customFormat="false" ht="15" hidden="false" customHeight="false" outlineLevel="0" collapsed="false">
      <c r="A1787" s="6" t="s">
        <v>4</v>
      </c>
      <c r="B1787" s="6" t="s">
        <v>395</v>
      </c>
      <c r="C1787" s="6" t="n">
        <v>42</v>
      </c>
      <c r="D1787" s="25" t="n">
        <f aca="false">EDATE('Start Here'!$B$6,C1787-1)</f>
        <v>47574</v>
      </c>
      <c r="E1787" s="23" t="n">
        <f aca="false">IF(AND(OR(Nonlabor!$D$13="Both",Nonlabor!$D$13='Start Here'!$B$9),IF(Nonlabor!$E$13="Core",1,IF(Nonlabor!$E$13="AI",'Start Here'!$B$7,'Start Here'!$B$8))=1,C1787&gt;=IF(Nonlabor!$E$13="Core",Nonlabor!$F$13,MAX(Nonlabor!$F$13,IF(Nonlabor!$E$13="AI",Assumptions!$D$24,Assumptions!$D$25))),C1787&lt;=Nonlabor!$G$13,OR(Nonlabor!$H$13="Monthly",AND(Nonlabor!$H$13="Once",C1787=IF(Nonlabor!$E$13="Core",Nonlabor!$F$13,MAX(Nonlabor!$F$13,IF(Nonlabor!$E$13="AI",Assumptions!$D$24,Assumptions!$D$25)))),AND(Nonlabor!$H$13="Annual",MOD(C1787-IF(Nonlabor!$E$13="Core",Nonlabor!$F$13,MAX(Nonlabor!$F$13,IF(Nonlabor!$E$13="AI",Assumptions!$D$24,Assumptions!$D$25))),12)=0))),IF(Nonlabor!$I$13="Fixed",1,IF(Nonlabor!$I$13="Seats",ROUNDUP('Monthly Base'!I47,0),IF(Nonlabor!$I$13="Customers",'Monthly Base'!D47,IF(Nonlabor!$I$13="NewCustomers",'Monthly Base'!C47,IF(Nonlabor!$I$13="StorageGB",'Monthly Base'!G47,IF(Nonlabor!$I$13="LogGB",'Monthly Base'!H47,IF(Nonlabor!$I$13="RequestsM",'Monthly Base'!F47,IF(Nonlabor!$I$13="InputM",'Monthly Base'!D47*Assumptions!$D$22/1000000,IF(Nonlabor!$I$13="OutputM",'Monthly Base'!D47*Assumptions!$D$23/1000000,0))))))))),0)</f>
        <v>13</v>
      </c>
      <c r="F1787" s="10" t="n">
        <f aca="false">Nonlabor!$J$13*(1+Assumptions!$D$9)^INT((C1787-1)/12)</f>
        <v>4.370908</v>
      </c>
      <c r="G1787" s="10" t="n">
        <f aca="false">E1787*F1787</f>
        <v>56.821804</v>
      </c>
      <c r="H1787" s="10" t="n">
        <f aca="false">IF(OR(Nonlabor!$L$13="Quote required",Nonlabor!$L$13="Unverified"),G1787,0)</f>
        <v>0</v>
      </c>
      <c r="I1787" s="10" t="n">
        <f aca="false">IF(Nonlabor!$E$13="Core",0,G1787)</f>
        <v>0</v>
      </c>
      <c r="J1787" s="23" t="str">
        <f aca="false">Nonlabor!$B$13</f>
        <v>TOOLS</v>
      </c>
    </row>
    <row r="1788" customFormat="false" ht="15" hidden="false" customHeight="false" outlineLevel="0" collapsed="false">
      <c r="A1788" s="6" t="s">
        <v>4</v>
      </c>
      <c r="B1788" s="6" t="s">
        <v>395</v>
      </c>
      <c r="C1788" s="6" t="n">
        <v>43</v>
      </c>
      <c r="D1788" s="25" t="n">
        <f aca="false">EDATE('Start Here'!$B$6,C1788-1)</f>
        <v>47604</v>
      </c>
      <c r="E1788" s="23" t="n">
        <f aca="false">IF(AND(OR(Nonlabor!$D$13="Both",Nonlabor!$D$13='Start Here'!$B$9),IF(Nonlabor!$E$13="Core",1,IF(Nonlabor!$E$13="AI",'Start Here'!$B$7,'Start Here'!$B$8))=1,C1788&gt;=IF(Nonlabor!$E$13="Core",Nonlabor!$F$13,MAX(Nonlabor!$F$13,IF(Nonlabor!$E$13="AI",Assumptions!$D$24,Assumptions!$D$25))),C1788&lt;=Nonlabor!$G$13,OR(Nonlabor!$H$13="Monthly",AND(Nonlabor!$H$13="Once",C1788=IF(Nonlabor!$E$13="Core",Nonlabor!$F$13,MAX(Nonlabor!$F$13,IF(Nonlabor!$E$13="AI",Assumptions!$D$24,Assumptions!$D$25)))),AND(Nonlabor!$H$13="Annual",MOD(C1788-IF(Nonlabor!$E$13="Core",Nonlabor!$F$13,MAX(Nonlabor!$F$13,IF(Nonlabor!$E$13="AI",Assumptions!$D$24,Assumptions!$D$25))),12)=0))),IF(Nonlabor!$I$13="Fixed",1,IF(Nonlabor!$I$13="Seats",ROUNDUP('Monthly Base'!I48,0),IF(Nonlabor!$I$13="Customers",'Monthly Base'!D48,IF(Nonlabor!$I$13="NewCustomers",'Monthly Base'!C48,IF(Nonlabor!$I$13="StorageGB",'Monthly Base'!G48,IF(Nonlabor!$I$13="LogGB",'Monthly Base'!H48,IF(Nonlabor!$I$13="RequestsM",'Monthly Base'!F48,IF(Nonlabor!$I$13="InputM",'Monthly Base'!D48*Assumptions!$D$22/1000000,IF(Nonlabor!$I$13="OutputM",'Monthly Base'!D48*Assumptions!$D$23/1000000,0))))))))),0)</f>
        <v>13</v>
      </c>
      <c r="F1788" s="10" t="n">
        <f aca="false">Nonlabor!$J$13*(1+Assumptions!$D$9)^INT((C1788-1)/12)</f>
        <v>4.370908</v>
      </c>
      <c r="G1788" s="10" t="n">
        <f aca="false">E1788*F1788</f>
        <v>56.821804</v>
      </c>
      <c r="H1788" s="10" t="n">
        <f aca="false">IF(OR(Nonlabor!$L$13="Quote required",Nonlabor!$L$13="Unverified"),G1788,0)</f>
        <v>0</v>
      </c>
      <c r="I1788" s="10" t="n">
        <f aca="false">IF(Nonlabor!$E$13="Core",0,G1788)</f>
        <v>0</v>
      </c>
      <c r="J1788" s="23" t="str">
        <f aca="false">Nonlabor!$B$13</f>
        <v>TOOLS</v>
      </c>
    </row>
    <row r="1789" customFormat="false" ht="15" hidden="false" customHeight="false" outlineLevel="0" collapsed="false">
      <c r="A1789" s="6" t="s">
        <v>4</v>
      </c>
      <c r="B1789" s="6" t="s">
        <v>395</v>
      </c>
      <c r="C1789" s="6" t="n">
        <v>44</v>
      </c>
      <c r="D1789" s="25" t="n">
        <f aca="false">EDATE('Start Here'!$B$6,C1789-1)</f>
        <v>47635</v>
      </c>
      <c r="E1789" s="23" t="n">
        <f aca="false">IF(AND(OR(Nonlabor!$D$13="Both",Nonlabor!$D$13='Start Here'!$B$9),IF(Nonlabor!$E$13="Core",1,IF(Nonlabor!$E$13="AI",'Start Here'!$B$7,'Start Here'!$B$8))=1,C1789&gt;=IF(Nonlabor!$E$13="Core",Nonlabor!$F$13,MAX(Nonlabor!$F$13,IF(Nonlabor!$E$13="AI",Assumptions!$D$24,Assumptions!$D$25))),C1789&lt;=Nonlabor!$G$13,OR(Nonlabor!$H$13="Monthly",AND(Nonlabor!$H$13="Once",C1789=IF(Nonlabor!$E$13="Core",Nonlabor!$F$13,MAX(Nonlabor!$F$13,IF(Nonlabor!$E$13="AI",Assumptions!$D$24,Assumptions!$D$25)))),AND(Nonlabor!$H$13="Annual",MOD(C1789-IF(Nonlabor!$E$13="Core",Nonlabor!$F$13,MAX(Nonlabor!$F$13,IF(Nonlabor!$E$13="AI",Assumptions!$D$24,Assumptions!$D$25))),12)=0))),IF(Nonlabor!$I$13="Fixed",1,IF(Nonlabor!$I$13="Seats",ROUNDUP('Monthly Base'!I49,0),IF(Nonlabor!$I$13="Customers",'Monthly Base'!D49,IF(Nonlabor!$I$13="NewCustomers",'Monthly Base'!C49,IF(Nonlabor!$I$13="StorageGB",'Monthly Base'!G49,IF(Nonlabor!$I$13="LogGB",'Monthly Base'!H49,IF(Nonlabor!$I$13="RequestsM",'Monthly Base'!F49,IF(Nonlabor!$I$13="InputM",'Monthly Base'!D49*Assumptions!$D$22/1000000,IF(Nonlabor!$I$13="OutputM",'Monthly Base'!D49*Assumptions!$D$23/1000000,0))))))))),0)</f>
        <v>13</v>
      </c>
      <c r="F1789" s="10" t="n">
        <f aca="false">Nonlabor!$J$13*(1+Assumptions!$D$9)^INT((C1789-1)/12)</f>
        <v>4.370908</v>
      </c>
      <c r="G1789" s="10" t="n">
        <f aca="false">E1789*F1789</f>
        <v>56.821804</v>
      </c>
      <c r="H1789" s="10" t="n">
        <f aca="false">IF(OR(Nonlabor!$L$13="Quote required",Nonlabor!$L$13="Unverified"),G1789,0)</f>
        <v>0</v>
      </c>
      <c r="I1789" s="10" t="n">
        <f aca="false">IF(Nonlabor!$E$13="Core",0,G1789)</f>
        <v>0</v>
      </c>
      <c r="J1789" s="23" t="str">
        <f aca="false">Nonlabor!$B$13</f>
        <v>TOOLS</v>
      </c>
    </row>
    <row r="1790" customFormat="false" ht="15" hidden="false" customHeight="false" outlineLevel="0" collapsed="false">
      <c r="A1790" s="6" t="s">
        <v>4</v>
      </c>
      <c r="B1790" s="6" t="s">
        <v>395</v>
      </c>
      <c r="C1790" s="6" t="n">
        <v>45</v>
      </c>
      <c r="D1790" s="25" t="n">
        <f aca="false">EDATE('Start Here'!$B$6,C1790-1)</f>
        <v>47665</v>
      </c>
      <c r="E1790" s="23" t="n">
        <f aca="false">IF(AND(OR(Nonlabor!$D$13="Both",Nonlabor!$D$13='Start Here'!$B$9),IF(Nonlabor!$E$13="Core",1,IF(Nonlabor!$E$13="AI",'Start Here'!$B$7,'Start Here'!$B$8))=1,C1790&gt;=IF(Nonlabor!$E$13="Core",Nonlabor!$F$13,MAX(Nonlabor!$F$13,IF(Nonlabor!$E$13="AI",Assumptions!$D$24,Assumptions!$D$25))),C1790&lt;=Nonlabor!$G$13,OR(Nonlabor!$H$13="Monthly",AND(Nonlabor!$H$13="Once",C1790=IF(Nonlabor!$E$13="Core",Nonlabor!$F$13,MAX(Nonlabor!$F$13,IF(Nonlabor!$E$13="AI",Assumptions!$D$24,Assumptions!$D$25)))),AND(Nonlabor!$H$13="Annual",MOD(C1790-IF(Nonlabor!$E$13="Core",Nonlabor!$F$13,MAX(Nonlabor!$F$13,IF(Nonlabor!$E$13="AI",Assumptions!$D$24,Assumptions!$D$25))),12)=0))),IF(Nonlabor!$I$13="Fixed",1,IF(Nonlabor!$I$13="Seats",ROUNDUP('Monthly Base'!I50,0),IF(Nonlabor!$I$13="Customers",'Monthly Base'!D50,IF(Nonlabor!$I$13="NewCustomers",'Monthly Base'!C50,IF(Nonlabor!$I$13="StorageGB",'Monthly Base'!G50,IF(Nonlabor!$I$13="LogGB",'Monthly Base'!H50,IF(Nonlabor!$I$13="RequestsM",'Monthly Base'!F50,IF(Nonlabor!$I$13="InputM",'Monthly Base'!D50*Assumptions!$D$22/1000000,IF(Nonlabor!$I$13="OutputM",'Monthly Base'!D50*Assumptions!$D$23/1000000,0))))))))),0)</f>
        <v>13</v>
      </c>
      <c r="F1790" s="10" t="n">
        <f aca="false">Nonlabor!$J$13*(1+Assumptions!$D$9)^INT((C1790-1)/12)</f>
        <v>4.370908</v>
      </c>
      <c r="G1790" s="10" t="n">
        <f aca="false">E1790*F1790</f>
        <v>56.821804</v>
      </c>
      <c r="H1790" s="10" t="n">
        <f aca="false">IF(OR(Nonlabor!$L$13="Quote required",Nonlabor!$L$13="Unverified"),G1790,0)</f>
        <v>0</v>
      </c>
      <c r="I1790" s="10" t="n">
        <f aca="false">IF(Nonlabor!$E$13="Core",0,G1790)</f>
        <v>0</v>
      </c>
      <c r="J1790" s="23" t="str">
        <f aca="false">Nonlabor!$B$13</f>
        <v>TOOLS</v>
      </c>
    </row>
    <row r="1791" customFormat="false" ht="15" hidden="false" customHeight="false" outlineLevel="0" collapsed="false">
      <c r="A1791" s="6" t="s">
        <v>4</v>
      </c>
      <c r="B1791" s="6" t="s">
        <v>395</v>
      </c>
      <c r="C1791" s="6" t="n">
        <v>46</v>
      </c>
      <c r="D1791" s="25" t="n">
        <f aca="false">EDATE('Start Here'!$B$6,C1791-1)</f>
        <v>47696</v>
      </c>
      <c r="E1791" s="23" t="n">
        <f aca="false">IF(AND(OR(Nonlabor!$D$13="Both",Nonlabor!$D$13='Start Here'!$B$9),IF(Nonlabor!$E$13="Core",1,IF(Nonlabor!$E$13="AI",'Start Here'!$B$7,'Start Here'!$B$8))=1,C1791&gt;=IF(Nonlabor!$E$13="Core",Nonlabor!$F$13,MAX(Nonlabor!$F$13,IF(Nonlabor!$E$13="AI",Assumptions!$D$24,Assumptions!$D$25))),C1791&lt;=Nonlabor!$G$13,OR(Nonlabor!$H$13="Monthly",AND(Nonlabor!$H$13="Once",C1791=IF(Nonlabor!$E$13="Core",Nonlabor!$F$13,MAX(Nonlabor!$F$13,IF(Nonlabor!$E$13="AI",Assumptions!$D$24,Assumptions!$D$25)))),AND(Nonlabor!$H$13="Annual",MOD(C1791-IF(Nonlabor!$E$13="Core",Nonlabor!$F$13,MAX(Nonlabor!$F$13,IF(Nonlabor!$E$13="AI",Assumptions!$D$24,Assumptions!$D$25))),12)=0))),IF(Nonlabor!$I$13="Fixed",1,IF(Nonlabor!$I$13="Seats",ROUNDUP('Monthly Base'!I51,0),IF(Nonlabor!$I$13="Customers",'Monthly Base'!D51,IF(Nonlabor!$I$13="NewCustomers",'Monthly Base'!C51,IF(Nonlabor!$I$13="StorageGB",'Monthly Base'!G51,IF(Nonlabor!$I$13="LogGB",'Monthly Base'!H51,IF(Nonlabor!$I$13="RequestsM",'Monthly Base'!F51,IF(Nonlabor!$I$13="InputM",'Monthly Base'!D51*Assumptions!$D$22/1000000,IF(Nonlabor!$I$13="OutputM",'Monthly Base'!D51*Assumptions!$D$23/1000000,0))))))))),0)</f>
        <v>13</v>
      </c>
      <c r="F1791" s="10" t="n">
        <f aca="false">Nonlabor!$J$13*(1+Assumptions!$D$9)^INT((C1791-1)/12)</f>
        <v>4.370908</v>
      </c>
      <c r="G1791" s="10" t="n">
        <f aca="false">E1791*F1791</f>
        <v>56.821804</v>
      </c>
      <c r="H1791" s="10" t="n">
        <f aca="false">IF(OR(Nonlabor!$L$13="Quote required",Nonlabor!$L$13="Unverified"),G1791,0)</f>
        <v>0</v>
      </c>
      <c r="I1791" s="10" t="n">
        <f aca="false">IF(Nonlabor!$E$13="Core",0,G1791)</f>
        <v>0</v>
      </c>
      <c r="J1791" s="23" t="str">
        <f aca="false">Nonlabor!$B$13</f>
        <v>TOOLS</v>
      </c>
    </row>
    <row r="1792" customFormat="false" ht="15" hidden="false" customHeight="false" outlineLevel="0" collapsed="false">
      <c r="A1792" s="6" t="s">
        <v>4</v>
      </c>
      <c r="B1792" s="6" t="s">
        <v>395</v>
      </c>
      <c r="C1792" s="6" t="n">
        <v>47</v>
      </c>
      <c r="D1792" s="25" t="n">
        <f aca="false">EDATE('Start Here'!$B$6,C1792-1)</f>
        <v>47727</v>
      </c>
      <c r="E1792" s="23" t="n">
        <f aca="false">IF(AND(OR(Nonlabor!$D$13="Both",Nonlabor!$D$13='Start Here'!$B$9),IF(Nonlabor!$E$13="Core",1,IF(Nonlabor!$E$13="AI",'Start Here'!$B$7,'Start Here'!$B$8))=1,C1792&gt;=IF(Nonlabor!$E$13="Core",Nonlabor!$F$13,MAX(Nonlabor!$F$13,IF(Nonlabor!$E$13="AI",Assumptions!$D$24,Assumptions!$D$25))),C1792&lt;=Nonlabor!$G$13,OR(Nonlabor!$H$13="Monthly",AND(Nonlabor!$H$13="Once",C1792=IF(Nonlabor!$E$13="Core",Nonlabor!$F$13,MAX(Nonlabor!$F$13,IF(Nonlabor!$E$13="AI",Assumptions!$D$24,Assumptions!$D$25)))),AND(Nonlabor!$H$13="Annual",MOD(C1792-IF(Nonlabor!$E$13="Core",Nonlabor!$F$13,MAX(Nonlabor!$F$13,IF(Nonlabor!$E$13="AI",Assumptions!$D$24,Assumptions!$D$25))),12)=0))),IF(Nonlabor!$I$13="Fixed",1,IF(Nonlabor!$I$13="Seats",ROUNDUP('Monthly Base'!I52,0),IF(Nonlabor!$I$13="Customers",'Monthly Base'!D52,IF(Nonlabor!$I$13="NewCustomers",'Monthly Base'!C52,IF(Nonlabor!$I$13="StorageGB",'Monthly Base'!G52,IF(Nonlabor!$I$13="LogGB",'Monthly Base'!H52,IF(Nonlabor!$I$13="RequestsM",'Monthly Base'!F52,IF(Nonlabor!$I$13="InputM",'Monthly Base'!D52*Assumptions!$D$22/1000000,IF(Nonlabor!$I$13="OutputM",'Monthly Base'!D52*Assumptions!$D$23/1000000,0))))))))),0)</f>
        <v>13</v>
      </c>
      <c r="F1792" s="10" t="n">
        <f aca="false">Nonlabor!$J$13*(1+Assumptions!$D$9)^INT((C1792-1)/12)</f>
        <v>4.370908</v>
      </c>
      <c r="G1792" s="10" t="n">
        <f aca="false">E1792*F1792</f>
        <v>56.821804</v>
      </c>
      <c r="H1792" s="10" t="n">
        <f aca="false">IF(OR(Nonlabor!$L$13="Quote required",Nonlabor!$L$13="Unverified"),G1792,0)</f>
        <v>0</v>
      </c>
      <c r="I1792" s="10" t="n">
        <f aca="false">IF(Nonlabor!$E$13="Core",0,G1792)</f>
        <v>0</v>
      </c>
      <c r="J1792" s="23" t="str">
        <f aca="false">Nonlabor!$B$13</f>
        <v>TOOLS</v>
      </c>
    </row>
    <row r="1793" customFormat="false" ht="15" hidden="false" customHeight="false" outlineLevel="0" collapsed="false">
      <c r="A1793" s="6" t="s">
        <v>4</v>
      </c>
      <c r="B1793" s="6" t="s">
        <v>395</v>
      </c>
      <c r="C1793" s="6" t="n">
        <v>48</v>
      </c>
      <c r="D1793" s="25" t="n">
        <f aca="false">EDATE('Start Here'!$B$6,C1793-1)</f>
        <v>47757</v>
      </c>
      <c r="E1793" s="23" t="n">
        <f aca="false">IF(AND(OR(Nonlabor!$D$13="Both",Nonlabor!$D$13='Start Here'!$B$9),IF(Nonlabor!$E$13="Core",1,IF(Nonlabor!$E$13="AI",'Start Here'!$B$7,'Start Here'!$B$8))=1,C1793&gt;=IF(Nonlabor!$E$13="Core",Nonlabor!$F$13,MAX(Nonlabor!$F$13,IF(Nonlabor!$E$13="AI",Assumptions!$D$24,Assumptions!$D$25))),C1793&lt;=Nonlabor!$G$13,OR(Nonlabor!$H$13="Monthly",AND(Nonlabor!$H$13="Once",C1793=IF(Nonlabor!$E$13="Core",Nonlabor!$F$13,MAX(Nonlabor!$F$13,IF(Nonlabor!$E$13="AI",Assumptions!$D$24,Assumptions!$D$25)))),AND(Nonlabor!$H$13="Annual",MOD(C1793-IF(Nonlabor!$E$13="Core",Nonlabor!$F$13,MAX(Nonlabor!$F$13,IF(Nonlabor!$E$13="AI",Assumptions!$D$24,Assumptions!$D$25))),12)=0))),IF(Nonlabor!$I$13="Fixed",1,IF(Nonlabor!$I$13="Seats",ROUNDUP('Monthly Base'!I53,0),IF(Nonlabor!$I$13="Customers",'Monthly Base'!D53,IF(Nonlabor!$I$13="NewCustomers",'Monthly Base'!C53,IF(Nonlabor!$I$13="StorageGB",'Monthly Base'!G53,IF(Nonlabor!$I$13="LogGB",'Monthly Base'!H53,IF(Nonlabor!$I$13="RequestsM",'Monthly Base'!F53,IF(Nonlabor!$I$13="InputM",'Monthly Base'!D53*Assumptions!$D$22/1000000,IF(Nonlabor!$I$13="OutputM",'Monthly Base'!D53*Assumptions!$D$23/1000000,0))))))))),0)</f>
        <v>13</v>
      </c>
      <c r="F1793" s="10" t="n">
        <f aca="false">Nonlabor!$J$13*(1+Assumptions!$D$9)^INT((C1793-1)/12)</f>
        <v>4.370908</v>
      </c>
      <c r="G1793" s="10" t="n">
        <f aca="false">E1793*F1793</f>
        <v>56.821804</v>
      </c>
      <c r="H1793" s="10" t="n">
        <f aca="false">IF(OR(Nonlabor!$L$13="Quote required",Nonlabor!$L$13="Unverified"),G1793,0)</f>
        <v>0</v>
      </c>
      <c r="I1793" s="10" t="n">
        <f aca="false">IF(Nonlabor!$E$13="Core",0,G1793)</f>
        <v>0</v>
      </c>
      <c r="J1793" s="23" t="str">
        <f aca="false">Nonlabor!$B$13</f>
        <v>TOOLS</v>
      </c>
    </row>
    <row r="1794" customFormat="false" ht="15" hidden="false" customHeight="false" outlineLevel="0" collapsed="false">
      <c r="A1794" s="6" t="s">
        <v>4</v>
      </c>
      <c r="B1794" s="6" t="s">
        <v>395</v>
      </c>
      <c r="C1794" s="6" t="n">
        <v>49</v>
      </c>
      <c r="D1794" s="25" t="n">
        <f aca="false">EDATE('Start Here'!$B$6,C1794-1)</f>
        <v>47788</v>
      </c>
      <c r="E1794" s="23" t="n">
        <f aca="false">IF(AND(OR(Nonlabor!$D$13="Both",Nonlabor!$D$13='Start Here'!$B$9),IF(Nonlabor!$E$13="Core",1,IF(Nonlabor!$E$13="AI",'Start Here'!$B$7,'Start Here'!$B$8))=1,C1794&gt;=IF(Nonlabor!$E$13="Core",Nonlabor!$F$13,MAX(Nonlabor!$F$13,IF(Nonlabor!$E$13="AI",Assumptions!$D$24,Assumptions!$D$25))),C1794&lt;=Nonlabor!$G$13,OR(Nonlabor!$H$13="Monthly",AND(Nonlabor!$H$13="Once",C1794=IF(Nonlabor!$E$13="Core",Nonlabor!$F$13,MAX(Nonlabor!$F$13,IF(Nonlabor!$E$13="AI",Assumptions!$D$24,Assumptions!$D$25)))),AND(Nonlabor!$H$13="Annual",MOD(C1794-IF(Nonlabor!$E$13="Core",Nonlabor!$F$13,MAX(Nonlabor!$F$13,IF(Nonlabor!$E$13="AI",Assumptions!$D$24,Assumptions!$D$25))),12)=0))),IF(Nonlabor!$I$13="Fixed",1,IF(Nonlabor!$I$13="Seats",ROUNDUP('Monthly Base'!I54,0),IF(Nonlabor!$I$13="Customers",'Monthly Base'!D54,IF(Nonlabor!$I$13="NewCustomers",'Monthly Base'!C54,IF(Nonlabor!$I$13="StorageGB",'Monthly Base'!G54,IF(Nonlabor!$I$13="LogGB",'Monthly Base'!H54,IF(Nonlabor!$I$13="RequestsM",'Monthly Base'!F54,IF(Nonlabor!$I$13="InputM",'Monthly Base'!D54*Assumptions!$D$22/1000000,IF(Nonlabor!$I$13="OutputM",'Monthly Base'!D54*Assumptions!$D$23/1000000,0))))))))),0)</f>
        <v>13</v>
      </c>
      <c r="F1794" s="10" t="n">
        <f aca="false">Nonlabor!$J$13*(1+Assumptions!$D$9)^INT((C1794-1)/12)</f>
        <v>4.50203524</v>
      </c>
      <c r="G1794" s="10" t="n">
        <f aca="false">E1794*F1794</f>
        <v>58.52645812</v>
      </c>
      <c r="H1794" s="10" t="n">
        <f aca="false">IF(OR(Nonlabor!$L$13="Quote required",Nonlabor!$L$13="Unverified"),G1794,0)</f>
        <v>0</v>
      </c>
      <c r="I1794" s="10" t="n">
        <f aca="false">IF(Nonlabor!$E$13="Core",0,G1794)</f>
        <v>0</v>
      </c>
      <c r="J1794" s="23" t="str">
        <f aca="false">Nonlabor!$B$13</f>
        <v>TOOLS</v>
      </c>
    </row>
    <row r="1795" customFormat="false" ht="15" hidden="false" customHeight="false" outlineLevel="0" collapsed="false">
      <c r="A1795" s="6" t="s">
        <v>4</v>
      </c>
      <c r="B1795" s="6" t="s">
        <v>395</v>
      </c>
      <c r="C1795" s="6" t="n">
        <v>50</v>
      </c>
      <c r="D1795" s="25" t="n">
        <f aca="false">EDATE('Start Here'!$B$6,C1795-1)</f>
        <v>47818</v>
      </c>
      <c r="E1795" s="23" t="n">
        <f aca="false">IF(AND(OR(Nonlabor!$D$13="Both",Nonlabor!$D$13='Start Here'!$B$9),IF(Nonlabor!$E$13="Core",1,IF(Nonlabor!$E$13="AI",'Start Here'!$B$7,'Start Here'!$B$8))=1,C1795&gt;=IF(Nonlabor!$E$13="Core",Nonlabor!$F$13,MAX(Nonlabor!$F$13,IF(Nonlabor!$E$13="AI",Assumptions!$D$24,Assumptions!$D$25))),C1795&lt;=Nonlabor!$G$13,OR(Nonlabor!$H$13="Monthly",AND(Nonlabor!$H$13="Once",C1795=IF(Nonlabor!$E$13="Core",Nonlabor!$F$13,MAX(Nonlabor!$F$13,IF(Nonlabor!$E$13="AI",Assumptions!$D$24,Assumptions!$D$25)))),AND(Nonlabor!$H$13="Annual",MOD(C1795-IF(Nonlabor!$E$13="Core",Nonlabor!$F$13,MAX(Nonlabor!$F$13,IF(Nonlabor!$E$13="AI",Assumptions!$D$24,Assumptions!$D$25))),12)=0))),IF(Nonlabor!$I$13="Fixed",1,IF(Nonlabor!$I$13="Seats",ROUNDUP('Monthly Base'!I55,0),IF(Nonlabor!$I$13="Customers",'Monthly Base'!D55,IF(Nonlabor!$I$13="NewCustomers",'Monthly Base'!C55,IF(Nonlabor!$I$13="StorageGB",'Monthly Base'!G55,IF(Nonlabor!$I$13="LogGB",'Monthly Base'!H55,IF(Nonlabor!$I$13="RequestsM",'Monthly Base'!F55,IF(Nonlabor!$I$13="InputM",'Monthly Base'!D55*Assumptions!$D$22/1000000,IF(Nonlabor!$I$13="OutputM",'Monthly Base'!D55*Assumptions!$D$23/1000000,0))))))))),0)</f>
        <v>13</v>
      </c>
      <c r="F1795" s="10" t="n">
        <f aca="false">Nonlabor!$J$13*(1+Assumptions!$D$9)^INT((C1795-1)/12)</f>
        <v>4.50203524</v>
      </c>
      <c r="G1795" s="10" t="n">
        <f aca="false">E1795*F1795</f>
        <v>58.52645812</v>
      </c>
      <c r="H1795" s="10" t="n">
        <f aca="false">IF(OR(Nonlabor!$L$13="Quote required",Nonlabor!$L$13="Unverified"),G1795,0)</f>
        <v>0</v>
      </c>
      <c r="I1795" s="10" t="n">
        <f aca="false">IF(Nonlabor!$E$13="Core",0,G1795)</f>
        <v>0</v>
      </c>
      <c r="J1795" s="23" t="str">
        <f aca="false">Nonlabor!$B$13</f>
        <v>TOOLS</v>
      </c>
    </row>
    <row r="1796" customFormat="false" ht="15" hidden="false" customHeight="false" outlineLevel="0" collapsed="false">
      <c r="A1796" s="6" t="s">
        <v>4</v>
      </c>
      <c r="B1796" s="6" t="s">
        <v>395</v>
      </c>
      <c r="C1796" s="6" t="n">
        <v>51</v>
      </c>
      <c r="D1796" s="25" t="n">
        <f aca="false">EDATE('Start Here'!$B$6,C1796-1)</f>
        <v>47849</v>
      </c>
      <c r="E1796" s="23" t="n">
        <f aca="false">IF(AND(OR(Nonlabor!$D$13="Both",Nonlabor!$D$13='Start Here'!$B$9),IF(Nonlabor!$E$13="Core",1,IF(Nonlabor!$E$13="AI",'Start Here'!$B$7,'Start Here'!$B$8))=1,C1796&gt;=IF(Nonlabor!$E$13="Core",Nonlabor!$F$13,MAX(Nonlabor!$F$13,IF(Nonlabor!$E$13="AI",Assumptions!$D$24,Assumptions!$D$25))),C1796&lt;=Nonlabor!$G$13,OR(Nonlabor!$H$13="Monthly",AND(Nonlabor!$H$13="Once",C1796=IF(Nonlabor!$E$13="Core",Nonlabor!$F$13,MAX(Nonlabor!$F$13,IF(Nonlabor!$E$13="AI",Assumptions!$D$24,Assumptions!$D$25)))),AND(Nonlabor!$H$13="Annual",MOD(C1796-IF(Nonlabor!$E$13="Core",Nonlabor!$F$13,MAX(Nonlabor!$F$13,IF(Nonlabor!$E$13="AI",Assumptions!$D$24,Assumptions!$D$25))),12)=0))),IF(Nonlabor!$I$13="Fixed",1,IF(Nonlabor!$I$13="Seats",ROUNDUP('Monthly Base'!I56,0),IF(Nonlabor!$I$13="Customers",'Monthly Base'!D56,IF(Nonlabor!$I$13="NewCustomers",'Monthly Base'!C56,IF(Nonlabor!$I$13="StorageGB",'Monthly Base'!G56,IF(Nonlabor!$I$13="LogGB",'Monthly Base'!H56,IF(Nonlabor!$I$13="RequestsM",'Monthly Base'!F56,IF(Nonlabor!$I$13="InputM",'Monthly Base'!D56*Assumptions!$D$22/1000000,IF(Nonlabor!$I$13="OutputM",'Monthly Base'!D56*Assumptions!$D$23/1000000,0))))))))),0)</f>
        <v>13</v>
      </c>
      <c r="F1796" s="10" t="n">
        <f aca="false">Nonlabor!$J$13*(1+Assumptions!$D$9)^INT((C1796-1)/12)</f>
        <v>4.50203524</v>
      </c>
      <c r="G1796" s="10" t="n">
        <f aca="false">E1796*F1796</f>
        <v>58.52645812</v>
      </c>
      <c r="H1796" s="10" t="n">
        <f aca="false">IF(OR(Nonlabor!$L$13="Quote required",Nonlabor!$L$13="Unverified"),G1796,0)</f>
        <v>0</v>
      </c>
      <c r="I1796" s="10" t="n">
        <f aca="false">IF(Nonlabor!$E$13="Core",0,G1796)</f>
        <v>0</v>
      </c>
      <c r="J1796" s="23" t="str">
        <f aca="false">Nonlabor!$B$13</f>
        <v>TOOLS</v>
      </c>
    </row>
    <row r="1797" customFormat="false" ht="15" hidden="false" customHeight="false" outlineLevel="0" collapsed="false">
      <c r="A1797" s="6" t="s">
        <v>4</v>
      </c>
      <c r="B1797" s="6" t="s">
        <v>395</v>
      </c>
      <c r="C1797" s="6" t="n">
        <v>52</v>
      </c>
      <c r="D1797" s="25" t="n">
        <f aca="false">EDATE('Start Here'!$B$6,C1797-1)</f>
        <v>47880</v>
      </c>
      <c r="E1797" s="23" t="n">
        <f aca="false">IF(AND(OR(Nonlabor!$D$13="Both",Nonlabor!$D$13='Start Here'!$B$9),IF(Nonlabor!$E$13="Core",1,IF(Nonlabor!$E$13="AI",'Start Here'!$B$7,'Start Here'!$B$8))=1,C1797&gt;=IF(Nonlabor!$E$13="Core",Nonlabor!$F$13,MAX(Nonlabor!$F$13,IF(Nonlabor!$E$13="AI",Assumptions!$D$24,Assumptions!$D$25))),C1797&lt;=Nonlabor!$G$13,OR(Nonlabor!$H$13="Monthly",AND(Nonlabor!$H$13="Once",C1797=IF(Nonlabor!$E$13="Core",Nonlabor!$F$13,MAX(Nonlabor!$F$13,IF(Nonlabor!$E$13="AI",Assumptions!$D$24,Assumptions!$D$25)))),AND(Nonlabor!$H$13="Annual",MOD(C1797-IF(Nonlabor!$E$13="Core",Nonlabor!$F$13,MAX(Nonlabor!$F$13,IF(Nonlabor!$E$13="AI",Assumptions!$D$24,Assumptions!$D$25))),12)=0))),IF(Nonlabor!$I$13="Fixed",1,IF(Nonlabor!$I$13="Seats",ROUNDUP('Monthly Base'!I57,0),IF(Nonlabor!$I$13="Customers",'Monthly Base'!D57,IF(Nonlabor!$I$13="NewCustomers",'Monthly Base'!C57,IF(Nonlabor!$I$13="StorageGB",'Monthly Base'!G57,IF(Nonlabor!$I$13="LogGB",'Monthly Base'!H57,IF(Nonlabor!$I$13="RequestsM",'Monthly Base'!F57,IF(Nonlabor!$I$13="InputM",'Monthly Base'!D57*Assumptions!$D$22/1000000,IF(Nonlabor!$I$13="OutputM",'Monthly Base'!D57*Assumptions!$D$23/1000000,0))))))))),0)</f>
        <v>13</v>
      </c>
      <c r="F1797" s="10" t="n">
        <f aca="false">Nonlabor!$J$13*(1+Assumptions!$D$9)^INT((C1797-1)/12)</f>
        <v>4.50203524</v>
      </c>
      <c r="G1797" s="10" t="n">
        <f aca="false">E1797*F1797</f>
        <v>58.52645812</v>
      </c>
      <c r="H1797" s="10" t="n">
        <f aca="false">IF(OR(Nonlabor!$L$13="Quote required",Nonlabor!$L$13="Unverified"),G1797,0)</f>
        <v>0</v>
      </c>
      <c r="I1797" s="10" t="n">
        <f aca="false">IF(Nonlabor!$E$13="Core",0,G1797)</f>
        <v>0</v>
      </c>
      <c r="J1797" s="23" t="str">
        <f aca="false">Nonlabor!$B$13</f>
        <v>TOOLS</v>
      </c>
    </row>
    <row r="1798" customFormat="false" ht="15" hidden="false" customHeight="false" outlineLevel="0" collapsed="false">
      <c r="A1798" s="6" t="s">
        <v>4</v>
      </c>
      <c r="B1798" s="6" t="s">
        <v>395</v>
      </c>
      <c r="C1798" s="6" t="n">
        <v>53</v>
      </c>
      <c r="D1798" s="25" t="n">
        <f aca="false">EDATE('Start Here'!$B$6,C1798-1)</f>
        <v>47908</v>
      </c>
      <c r="E1798" s="23" t="n">
        <f aca="false">IF(AND(OR(Nonlabor!$D$13="Both",Nonlabor!$D$13='Start Here'!$B$9),IF(Nonlabor!$E$13="Core",1,IF(Nonlabor!$E$13="AI",'Start Here'!$B$7,'Start Here'!$B$8))=1,C1798&gt;=IF(Nonlabor!$E$13="Core",Nonlabor!$F$13,MAX(Nonlabor!$F$13,IF(Nonlabor!$E$13="AI",Assumptions!$D$24,Assumptions!$D$25))),C1798&lt;=Nonlabor!$G$13,OR(Nonlabor!$H$13="Monthly",AND(Nonlabor!$H$13="Once",C1798=IF(Nonlabor!$E$13="Core",Nonlabor!$F$13,MAX(Nonlabor!$F$13,IF(Nonlabor!$E$13="AI",Assumptions!$D$24,Assumptions!$D$25)))),AND(Nonlabor!$H$13="Annual",MOD(C1798-IF(Nonlabor!$E$13="Core",Nonlabor!$F$13,MAX(Nonlabor!$F$13,IF(Nonlabor!$E$13="AI",Assumptions!$D$24,Assumptions!$D$25))),12)=0))),IF(Nonlabor!$I$13="Fixed",1,IF(Nonlabor!$I$13="Seats",ROUNDUP('Monthly Base'!I58,0),IF(Nonlabor!$I$13="Customers",'Monthly Base'!D58,IF(Nonlabor!$I$13="NewCustomers",'Monthly Base'!C58,IF(Nonlabor!$I$13="StorageGB",'Monthly Base'!G58,IF(Nonlabor!$I$13="LogGB",'Monthly Base'!H58,IF(Nonlabor!$I$13="RequestsM",'Monthly Base'!F58,IF(Nonlabor!$I$13="InputM",'Monthly Base'!D58*Assumptions!$D$22/1000000,IF(Nonlabor!$I$13="OutputM",'Monthly Base'!D58*Assumptions!$D$23/1000000,0))))))))),0)</f>
        <v>13</v>
      </c>
      <c r="F1798" s="10" t="n">
        <f aca="false">Nonlabor!$J$13*(1+Assumptions!$D$9)^INT((C1798-1)/12)</f>
        <v>4.50203524</v>
      </c>
      <c r="G1798" s="10" t="n">
        <f aca="false">E1798*F1798</f>
        <v>58.52645812</v>
      </c>
      <c r="H1798" s="10" t="n">
        <f aca="false">IF(OR(Nonlabor!$L$13="Quote required",Nonlabor!$L$13="Unverified"),G1798,0)</f>
        <v>0</v>
      </c>
      <c r="I1798" s="10" t="n">
        <f aca="false">IF(Nonlabor!$E$13="Core",0,G1798)</f>
        <v>0</v>
      </c>
      <c r="J1798" s="23" t="str">
        <f aca="false">Nonlabor!$B$13</f>
        <v>TOOLS</v>
      </c>
    </row>
    <row r="1799" customFormat="false" ht="15" hidden="false" customHeight="false" outlineLevel="0" collapsed="false">
      <c r="A1799" s="6" t="s">
        <v>4</v>
      </c>
      <c r="B1799" s="6" t="s">
        <v>395</v>
      </c>
      <c r="C1799" s="6" t="n">
        <v>54</v>
      </c>
      <c r="D1799" s="25" t="n">
        <f aca="false">EDATE('Start Here'!$B$6,C1799-1)</f>
        <v>47939</v>
      </c>
      <c r="E1799" s="23" t="n">
        <f aca="false">IF(AND(OR(Nonlabor!$D$13="Both",Nonlabor!$D$13='Start Here'!$B$9),IF(Nonlabor!$E$13="Core",1,IF(Nonlabor!$E$13="AI",'Start Here'!$B$7,'Start Here'!$B$8))=1,C1799&gt;=IF(Nonlabor!$E$13="Core",Nonlabor!$F$13,MAX(Nonlabor!$F$13,IF(Nonlabor!$E$13="AI",Assumptions!$D$24,Assumptions!$D$25))),C1799&lt;=Nonlabor!$G$13,OR(Nonlabor!$H$13="Monthly",AND(Nonlabor!$H$13="Once",C1799=IF(Nonlabor!$E$13="Core",Nonlabor!$F$13,MAX(Nonlabor!$F$13,IF(Nonlabor!$E$13="AI",Assumptions!$D$24,Assumptions!$D$25)))),AND(Nonlabor!$H$13="Annual",MOD(C1799-IF(Nonlabor!$E$13="Core",Nonlabor!$F$13,MAX(Nonlabor!$F$13,IF(Nonlabor!$E$13="AI",Assumptions!$D$24,Assumptions!$D$25))),12)=0))),IF(Nonlabor!$I$13="Fixed",1,IF(Nonlabor!$I$13="Seats",ROUNDUP('Monthly Base'!I59,0),IF(Nonlabor!$I$13="Customers",'Monthly Base'!D59,IF(Nonlabor!$I$13="NewCustomers",'Monthly Base'!C59,IF(Nonlabor!$I$13="StorageGB",'Monthly Base'!G59,IF(Nonlabor!$I$13="LogGB",'Monthly Base'!H59,IF(Nonlabor!$I$13="RequestsM",'Monthly Base'!F59,IF(Nonlabor!$I$13="InputM",'Monthly Base'!D59*Assumptions!$D$22/1000000,IF(Nonlabor!$I$13="OutputM",'Monthly Base'!D59*Assumptions!$D$23/1000000,0))))))))),0)</f>
        <v>13</v>
      </c>
      <c r="F1799" s="10" t="n">
        <f aca="false">Nonlabor!$J$13*(1+Assumptions!$D$9)^INT((C1799-1)/12)</f>
        <v>4.50203524</v>
      </c>
      <c r="G1799" s="10" t="n">
        <f aca="false">E1799*F1799</f>
        <v>58.52645812</v>
      </c>
      <c r="H1799" s="10" t="n">
        <f aca="false">IF(OR(Nonlabor!$L$13="Quote required",Nonlabor!$L$13="Unverified"),G1799,0)</f>
        <v>0</v>
      </c>
      <c r="I1799" s="10" t="n">
        <f aca="false">IF(Nonlabor!$E$13="Core",0,G1799)</f>
        <v>0</v>
      </c>
      <c r="J1799" s="23" t="str">
        <f aca="false">Nonlabor!$B$13</f>
        <v>TOOLS</v>
      </c>
    </row>
    <row r="1800" customFormat="false" ht="15" hidden="false" customHeight="false" outlineLevel="0" collapsed="false">
      <c r="A1800" s="6" t="s">
        <v>4</v>
      </c>
      <c r="B1800" s="6" t="s">
        <v>395</v>
      </c>
      <c r="C1800" s="6" t="n">
        <v>55</v>
      </c>
      <c r="D1800" s="25" t="n">
        <f aca="false">EDATE('Start Here'!$B$6,C1800-1)</f>
        <v>47969</v>
      </c>
      <c r="E1800" s="23" t="n">
        <f aca="false">IF(AND(OR(Nonlabor!$D$13="Both",Nonlabor!$D$13='Start Here'!$B$9),IF(Nonlabor!$E$13="Core",1,IF(Nonlabor!$E$13="AI",'Start Here'!$B$7,'Start Here'!$B$8))=1,C1800&gt;=IF(Nonlabor!$E$13="Core",Nonlabor!$F$13,MAX(Nonlabor!$F$13,IF(Nonlabor!$E$13="AI",Assumptions!$D$24,Assumptions!$D$25))),C1800&lt;=Nonlabor!$G$13,OR(Nonlabor!$H$13="Monthly",AND(Nonlabor!$H$13="Once",C1800=IF(Nonlabor!$E$13="Core",Nonlabor!$F$13,MAX(Nonlabor!$F$13,IF(Nonlabor!$E$13="AI",Assumptions!$D$24,Assumptions!$D$25)))),AND(Nonlabor!$H$13="Annual",MOD(C1800-IF(Nonlabor!$E$13="Core",Nonlabor!$F$13,MAX(Nonlabor!$F$13,IF(Nonlabor!$E$13="AI",Assumptions!$D$24,Assumptions!$D$25))),12)=0))),IF(Nonlabor!$I$13="Fixed",1,IF(Nonlabor!$I$13="Seats",ROUNDUP('Monthly Base'!I60,0),IF(Nonlabor!$I$13="Customers",'Monthly Base'!D60,IF(Nonlabor!$I$13="NewCustomers",'Monthly Base'!C60,IF(Nonlabor!$I$13="StorageGB",'Monthly Base'!G60,IF(Nonlabor!$I$13="LogGB",'Monthly Base'!H60,IF(Nonlabor!$I$13="RequestsM",'Monthly Base'!F60,IF(Nonlabor!$I$13="InputM",'Monthly Base'!D60*Assumptions!$D$22/1000000,IF(Nonlabor!$I$13="OutputM",'Monthly Base'!D60*Assumptions!$D$23/1000000,0))))))))),0)</f>
        <v>13</v>
      </c>
      <c r="F1800" s="10" t="n">
        <f aca="false">Nonlabor!$J$13*(1+Assumptions!$D$9)^INT((C1800-1)/12)</f>
        <v>4.50203524</v>
      </c>
      <c r="G1800" s="10" t="n">
        <f aca="false">E1800*F1800</f>
        <v>58.52645812</v>
      </c>
      <c r="H1800" s="10" t="n">
        <f aca="false">IF(OR(Nonlabor!$L$13="Quote required",Nonlabor!$L$13="Unverified"),G1800,0)</f>
        <v>0</v>
      </c>
      <c r="I1800" s="10" t="n">
        <f aca="false">IF(Nonlabor!$E$13="Core",0,G1800)</f>
        <v>0</v>
      </c>
      <c r="J1800" s="23" t="str">
        <f aca="false">Nonlabor!$B$13</f>
        <v>TOOLS</v>
      </c>
    </row>
    <row r="1801" customFormat="false" ht="15" hidden="false" customHeight="false" outlineLevel="0" collapsed="false">
      <c r="A1801" s="6" t="s">
        <v>4</v>
      </c>
      <c r="B1801" s="6" t="s">
        <v>395</v>
      </c>
      <c r="C1801" s="6" t="n">
        <v>56</v>
      </c>
      <c r="D1801" s="25" t="n">
        <f aca="false">EDATE('Start Here'!$B$6,C1801-1)</f>
        <v>48000</v>
      </c>
      <c r="E1801" s="23" t="n">
        <f aca="false">IF(AND(OR(Nonlabor!$D$13="Both",Nonlabor!$D$13='Start Here'!$B$9),IF(Nonlabor!$E$13="Core",1,IF(Nonlabor!$E$13="AI",'Start Here'!$B$7,'Start Here'!$B$8))=1,C1801&gt;=IF(Nonlabor!$E$13="Core",Nonlabor!$F$13,MAX(Nonlabor!$F$13,IF(Nonlabor!$E$13="AI",Assumptions!$D$24,Assumptions!$D$25))),C1801&lt;=Nonlabor!$G$13,OR(Nonlabor!$H$13="Monthly",AND(Nonlabor!$H$13="Once",C1801=IF(Nonlabor!$E$13="Core",Nonlabor!$F$13,MAX(Nonlabor!$F$13,IF(Nonlabor!$E$13="AI",Assumptions!$D$24,Assumptions!$D$25)))),AND(Nonlabor!$H$13="Annual",MOD(C1801-IF(Nonlabor!$E$13="Core",Nonlabor!$F$13,MAX(Nonlabor!$F$13,IF(Nonlabor!$E$13="AI",Assumptions!$D$24,Assumptions!$D$25))),12)=0))),IF(Nonlabor!$I$13="Fixed",1,IF(Nonlabor!$I$13="Seats",ROUNDUP('Monthly Base'!I61,0),IF(Nonlabor!$I$13="Customers",'Monthly Base'!D61,IF(Nonlabor!$I$13="NewCustomers",'Monthly Base'!C61,IF(Nonlabor!$I$13="StorageGB",'Monthly Base'!G61,IF(Nonlabor!$I$13="LogGB",'Monthly Base'!H61,IF(Nonlabor!$I$13="RequestsM",'Monthly Base'!F61,IF(Nonlabor!$I$13="InputM",'Monthly Base'!D61*Assumptions!$D$22/1000000,IF(Nonlabor!$I$13="OutputM",'Monthly Base'!D61*Assumptions!$D$23/1000000,0))))))))),0)</f>
        <v>13</v>
      </c>
      <c r="F1801" s="10" t="n">
        <f aca="false">Nonlabor!$J$13*(1+Assumptions!$D$9)^INT((C1801-1)/12)</f>
        <v>4.50203524</v>
      </c>
      <c r="G1801" s="10" t="n">
        <f aca="false">E1801*F1801</f>
        <v>58.52645812</v>
      </c>
      <c r="H1801" s="10" t="n">
        <f aca="false">IF(OR(Nonlabor!$L$13="Quote required",Nonlabor!$L$13="Unverified"),G1801,0)</f>
        <v>0</v>
      </c>
      <c r="I1801" s="10" t="n">
        <f aca="false">IF(Nonlabor!$E$13="Core",0,G1801)</f>
        <v>0</v>
      </c>
      <c r="J1801" s="23" t="str">
        <f aca="false">Nonlabor!$B$13</f>
        <v>TOOLS</v>
      </c>
    </row>
    <row r="1802" customFormat="false" ht="15" hidden="false" customHeight="false" outlineLevel="0" collapsed="false">
      <c r="A1802" s="6" t="s">
        <v>4</v>
      </c>
      <c r="B1802" s="6" t="s">
        <v>395</v>
      </c>
      <c r="C1802" s="6" t="n">
        <v>57</v>
      </c>
      <c r="D1802" s="25" t="n">
        <f aca="false">EDATE('Start Here'!$B$6,C1802-1)</f>
        <v>48030</v>
      </c>
      <c r="E1802" s="23" t="n">
        <f aca="false">IF(AND(OR(Nonlabor!$D$13="Both",Nonlabor!$D$13='Start Here'!$B$9),IF(Nonlabor!$E$13="Core",1,IF(Nonlabor!$E$13="AI",'Start Here'!$B$7,'Start Here'!$B$8))=1,C1802&gt;=IF(Nonlabor!$E$13="Core",Nonlabor!$F$13,MAX(Nonlabor!$F$13,IF(Nonlabor!$E$13="AI",Assumptions!$D$24,Assumptions!$D$25))),C1802&lt;=Nonlabor!$G$13,OR(Nonlabor!$H$13="Monthly",AND(Nonlabor!$H$13="Once",C1802=IF(Nonlabor!$E$13="Core",Nonlabor!$F$13,MAX(Nonlabor!$F$13,IF(Nonlabor!$E$13="AI",Assumptions!$D$24,Assumptions!$D$25)))),AND(Nonlabor!$H$13="Annual",MOD(C1802-IF(Nonlabor!$E$13="Core",Nonlabor!$F$13,MAX(Nonlabor!$F$13,IF(Nonlabor!$E$13="AI",Assumptions!$D$24,Assumptions!$D$25))),12)=0))),IF(Nonlabor!$I$13="Fixed",1,IF(Nonlabor!$I$13="Seats",ROUNDUP('Monthly Base'!I62,0),IF(Nonlabor!$I$13="Customers",'Monthly Base'!D62,IF(Nonlabor!$I$13="NewCustomers",'Monthly Base'!C62,IF(Nonlabor!$I$13="StorageGB",'Monthly Base'!G62,IF(Nonlabor!$I$13="LogGB",'Monthly Base'!H62,IF(Nonlabor!$I$13="RequestsM",'Monthly Base'!F62,IF(Nonlabor!$I$13="InputM",'Monthly Base'!D62*Assumptions!$D$22/1000000,IF(Nonlabor!$I$13="OutputM",'Monthly Base'!D62*Assumptions!$D$23/1000000,0))))))))),0)</f>
        <v>13</v>
      </c>
      <c r="F1802" s="10" t="n">
        <f aca="false">Nonlabor!$J$13*(1+Assumptions!$D$9)^INT((C1802-1)/12)</f>
        <v>4.50203524</v>
      </c>
      <c r="G1802" s="10" t="n">
        <f aca="false">E1802*F1802</f>
        <v>58.52645812</v>
      </c>
      <c r="H1802" s="10" t="n">
        <f aca="false">IF(OR(Nonlabor!$L$13="Quote required",Nonlabor!$L$13="Unverified"),G1802,0)</f>
        <v>0</v>
      </c>
      <c r="I1802" s="10" t="n">
        <f aca="false">IF(Nonlabor!$E$13="Core",0,G1802)</f>
        <v>0</v>
      </c>
      <c r="J1802" s="23" t="str">
        <f aca="false">Nonlabor!$B$13</f>
        <v>TOOLS</v>
      </c>
    </row>
    <row r="1803" customFormat="false" ht="15" hidden="false" customHeight="false" outlineLevel="0" collapsed="false">
      <c r="A1803" s="6" t="s">
        <v>4</v>
      </c>
      <c r="B1803" s="6" t="s">
        <v>395</v>
      </c>
      <c r="C1803" s="6" t="n">
        <v>58</v>
      </c>
      <c r="D1803" s="25" t="n">
        <f aca="false">EDATE('Start Here'!$B$6,C1803-1)</f>
        <v>48061</v>
      </c>
      <c r="E1803" s="23" t="n">
        <f aca="false">IF(AND(OR(Nonlabor!$D$13="Both",Nonlabor!$D$13='Start Here'!$B$9),IF(Nonlabor!$E$13="Core",1,IF(Nonlabor!$E$13="AI",'Start Here'!$B$7,'Start Here'!$B$8))=1,C1803&gt;=IF(Nonlabor!$E$13="Core",Nonlabor!$F$13,MAX(Nonlabor!$F$13,IF(Nonlabor!$E$13="AI",Assumptions!$D$24,Assumptions!$D$25))),C1803&lt;=Nonlabor!$G$13,OR(Nonlabor!$H$13="Monthly",AND(Nonlabor!$H$13="Once",C1803=IF(Nonlabor!$E$13="Core",Nonlabor!$F$13,MAX(Nonlabor!$F$13,IF(Nonlabor!$E$13="AI",Assumptions!$D$24,Assumptions!$D$25)))),AND(Nonlabor!$H$13="Annual",MOD(C1803-IF(Nonlabor!$E$13="Core",Nonlabor!$F$13,MAX(Nonlabor!$F$13,IF(Nonlabor!$E$13="AI",Assumptions!$D$24,Assumptions!$D$25))),12)=0))),IF(Nonlabor!$I$13="Fixed",1,IF(Nonlabor!$I$13="Seats",ROUNDUP('Monthly Base'!I63,0),IF(Nonlabor!$I$13="Customers",'Monthly Base'!D63,IF(Nonlabor!$I$13="NewCustomers",'Monthly Base'!C63,IF(Nonlabor!$I$13="StorageGB",'Monthly Base'!G63,IF(Nonlabor!$I$13="LogGB",'Monthly Base'!H63,IF(Nonlabor!$I$13="RequestsM",'Monthly Base'!F63,IF(Nonlabor!$I$13="InputM",'Monthly Base'!D63*Assumptions!$D$22/1000000,IF(Nonlabor!$I$13="OutputM",'Monthly Base'!D63*Assumptions!$D$23/1000000,0))))))))),0)</f>
        <v>13</v>
      </c>
      <c r="F1803" s="10" t="n">
        <f aca="false">Nonlabor!$J$13*(1+Assumptions!$D$9)^INT((C1803-1)/12)</f>
        <v>4.50203524</v>
      </c>
      <c r="G1803" s="10" t="n">
        <f aca="false">E1803*F1803</f>
        <v>58.52645812</v>
      </c>
      <c r="H1803" s="10" t="n">
        <f aca="false">IF(OR(Nonlabor!$L$13="Quote required",Nonlabor!$L$13="Unverified"),G1803,0)</f>
        <v>0</v>
      </c>
      <c r="I1803" s="10" t="n">
        <f aca="false">IF(Nonlabor!$E$13="Core",0,G1803)</f>
        <v>0</v>
      </c>
      <c r="J1803" s="23" t="str">
        <f aca="false">Nonlabor!$B$13</f>
        <v>TOOLS</v>
      </c>
    </row>
    <row r="1804" customFormat="false" ht="15" hidden="false" customHeight="false" outlineLevel="0" collapsed="false">
      <c r="A1804" s="6" t="s">
        <v>4</v>
      </c>
      <c r="B1804" s="6" t="s">
        <v>395</v>
      </c>
      <c r="C1804" s="6" t="n">
        <v>59</v>
      </c>
      <c r="D1804" s="25" t="n">
        <f aca="false">EDATE('Start Here'!$B$6,C1804-1)</f>
        <v>48092</v>
      </c>
      <c r="E1804" s="23" t="n">
        <f aca="false">IF(AND(OR(Nonlabor!$D$13="Both",Nonlabor!$D$13='Start Here'!$B$9),IF(Nonlabor!$E$13="Core",1,IF(Nonlabor!$E$13="AI",'Start Here'!$B$7,'Start Here'!$B$8))=1,C1804&gt;=IF(Nonlabor!$E$13="Core",Nonlabor!$F$13,MAX(Nonlabor!$F$13,IF(Nonlabor!$E$13="AI",Assumptions!$D$24,Assumptions!$D$25))),C1804&lt;=Nonlabor!$G$13,OR(Nonlabor!$H$13="Monthly",AND(Nonlabor!$H$13="Once",C1804=IF(Nonlabor!$E$13="Core",Nonlabor!$F$13,MAX(Nonlabor!$F$13,IF(Nonlabor!$E$13="AI",Assumptions!$D$24,Assumptions!$D$25)))),AND(Nonlabor!$H$13="Annual",MOD(C1804-IF(Nonlabor!$E$13="Core",Nonlabor!$F$13,MAX(Nonlabor!$F$13,IF(Nonlabor!$E$13="AI",Assumptions!$D$24,Assumptions!$D$25))),12)=0))),IF(Nonlabor!$I$13="Fixed",1,IF(Nonlabor!$I$13="Seats",ROUNDUP('Monthly Base'!I64,0),IF(Nonlabor!$I$13="Customers",'Monthly Base'!D64,IF(Nonlabor!$I$13="NewCustomers",'Monthly Base'!C64,IF(Nonlabor!$I$13="StorageGB",'Monthly Base'!G64,IF(Nonlabor!$I$13="LogGB",'Monthly Base'!H64,IF(Nonlabor!$I$13="RequestsM",'Monthly Base'!F64,IF(Nonlabor!$I$13="InputM",'Monthly Base'!D64*Assumptions!$D$22/1000000,IF(Nonlabor!$I$13="OutputM",'Monthly Base'!D64*Assumptions!$D$23/1000000,0))))))))),0)</f>
        <v>13</v>
      </c>
      <c r="F1804" s="10" t="n">
        <f aca="false">Nonlabor!$J$13*(1+Assumptions!$D$9)^INT((C1804-1)/12)</f>
        <v>4.50203524</v>
      </c>
      <c r="G1804" s="10" t="n">
        <f aca="false">E1804*F1804</f>
        <v>58.52645812</v>
      </c>
      <c r="H1804" s="10" t="n">
        <f aca="false">IF(OR(Nonlabor!$L$13="Quote required",Nonlabor!$L$13="Unverified"),G1804,0)</f>
        <v>0</v>
      </c>
      <c r="I1804" s="10" t="n">
        <f aca="false">IF(Nonlabor!$E$13="Core",0,G1804)</f>
        <v>0</v>
      </c>
      <c r="J1804" s="23" t="str">
        <f aca="false">Nonlabor!$B$13</f>
        <v>TOOLS</v>
      </c>
    </row>
    <row r="1805" customFormat="false" ht="15" hidden="false" customHeight="false" outlineLevel="0" collapsed="false">
      <c r="A1805" s="6" t="s">
        <v>4</v>
      </c>
      <c r="B1805" s="6" t="s">
        <v>395</v>
      </c>
      <c r="C1805" s="6" t="n">
        <v>60</v>
      </c>
      <c r="D1805" s="25" t="n">
        <f aca="false">EDATE('Start Here'!$B$6,C1805-1)</f>
        <v>48122</v>
      </c>
      <c r="E1805" s="23" t="n">
        <f aca="false">IF(AND(OR(Nonlabor!$D$13="Both",Nonlabor!$D$13='Start Here'!$B$9),IF(Nonlabor!$E$13="Core",1,IF(Nonlabor!$E$13="AI",'Start Here'!$B$7,'Start Here'!$B$8))=1,C1805&gt;=IF(Nonlabor!$E$13="Core",Nonlabor!$F$13,MAX(Nonlabor!$F$13,IF(Nonlabor!$E$13="AI",Assumptions!$D$24,Assumptions!$D$25))),C1805&lt;=Nonlabor!$G$13,OR(Nonlabor!$H$13="Monthly",AND(Nonlabor!$H$13="Once",C1805=IF(Nonlabor!$E$13="Core",Nonlabor!$F$13,MAX(Nonlabor!$F$13,IF(Nonlabor!$E$13="AI",Assumptions!$D$24,Assumptions!$D$25)))),AND(Nonlabor!$H$13="Annual",MOD(C1805-IF(Nonlabor!$E$13="Core",Nonlabor!$F$13,MAX(Nonlabor!$F$13,IF(Nonlabor!$E$13="AI",Assumptions!$D$24,Assumptions!$D$25))),12)=0))),IF(Nonlabor!$I$13="Fixed",1,IF(Nonlabor!$I$13="Seats",ROUNDUP('Monthly Base'!I65,0),IF(Nonlabor!$I$13="Customers",'Monthly Base'!D65,IF(Nonlabor!$I$13="NewCustomers",'Monthly Base'!C65,IF(Nonlabor!$I$13="StorageGB",'Monthly Base'!G65,IF(Nonlabor!$I$13="LogGB",'Monthly Base'!H65,IF(Nonlabor!$I$13="RequestsM",'Monthly Base'!F65,IF(Nonlabor!$I$13="InputM",'Monthly Base'!D65*Assumptions!$D$22/1000000,IF(Nonlabor!$I$13="OutputM",'Monthly Base'!D65*Assumptions!$D$23/1000000,0))))))))),0)</f>
        <v>13</v>
      </c>
      <c r="F1805" s="10" t="n">
        <f aca="false">Nonlabor!$J$13*(1+Assumptions!$D$9)^INT((C1805-1)/12)</f>
        <v>4.50203524</v>
      </c>
      <c r="G1805" s="10" t="n">
        <f aca="false">E1805*F1805</f>
        <v>58.52645812</v>
      </c>
      <c r="H1805" s="10" t="n">
        <f aca="false">IF(OR(Nonlabor!$L$13="Quote required",Nonlabor!$L$13="Unverified"),G1805,0)</f>
        <v>0</v>
      </c>
      <c r="I1805" s="10" t="n">
        <f aca="false">IF(Nonlabor!$E$13="Core",0,G1805)</f>
        <v>0</v>
      </c>
      <c r="J1805" s="23" t="str">
        <f aca="false">Nonlabor!$B$13</f>
        <v>TOOLS</v>
      </c>
    </row>
    <row r="1806" customFormat="false" ht="15" hidden="false" customHeight="false" outlineLevel="0" collapsed="false">
      <c r="A1806" s="6" t="s">
        <v>4</v>
      </c>
      <c r="B1806" s="6" t="s">
        <v>399</v>
      </c>
      <c r="C1806" s="6" t="n">
        <v>1</v>
      </c>
      <c r="D1806" s="25" t="n">
        <f aca="false">EDATE('Start Here'!$B$6,C1806-1)</f>
        <v>46327</v>
      </c>
      <c r="E1806" s="23" t="n">
        <f aca="false">IF(AND(OR(Nonlabor!$D$14="Both",Nonlabor!$D$14='Start Here'!$B$9),IF(Nonlabor!$E$14="Core",1,IF(Nonlabor!$E$14="AI",'Start Here'!$B$7,'Start Here'!$B$8))=1,C1806&gt;=IF(Nonlabor!$E$14="Core",Nonlabor!$F$14,MAX(Nonlabor!$F$14,IF(Nonlabor!$E$14="AI",Assumptions!$D$24,Assumptions!$D$25))),C1806&lt;=Nonlabor!$G$14,OR(Nonlabor!$H$14="Monthly",AND(Nonlabor!$H$14="Once",C1806=IF(Nonlabor!$E$14="Core",Nonlabor!$F$14,MAX(Nonlabor!$F$14,IF(Nonlabor!$E$14="AI",Assumptions!$D$24,Assumptions!$D$25)))),AND(Nonlabor!$H$14="Annual",MOD(C1806-IF(Nonlabor!$E$14="Core",Nonlabor!$F$14,MAX(Nonlabor!$F$14,IF(Nonlabor!$E$14="AI",Assumptions!$D$24,Assumptions!$D$25))),12)=0))),IF(Nonlabor!$I$14="Fixed",1,IF(Nonlabor!$I$14="Seats",ROUNDUP('Monthly Base'!I6,0),IF(Nonlabor!$I$14="Customers",'Monthly Base'!D6,IF(Nonlabor!$I$14="NewCustomers",'Monthly Base'!C6,IF(Nonlabor!$I$14="StorageGB",'Monthly Base'!G6,IF(Nonlabor!$I$14="LogGB",'Monthly Base'!H6,IF(Nonlabor!$I$14="RequestsM",'Monthly Base'!F6,IF(Nonlabor!$I$14="InputM",'Monthly Base'!D6*Assumptions!$D$22/1000000,IF(Nonlabor!$I$14="OutputM",'Monthly Base'!D6*Assumptions!$D$23/1000000,0))))))))),0)</f>
        <v>2</v>
      </c>
      <c r="F1806" s="10" t="n">
        <f aca="false">Nonlabor!$J$14*(1+Assumptions!$D$9)^INT((C1806-1)/12)</f>
        <v>45</v>
      </c>
      <c r="G1806" s="10" t="n">
        <f aca="false">E1806*F1806</f>
        <v>90</v>
      </c>
      <c r="H1806" s="10" t="n">
        <f aca="false">IF(OR(Nonlabor!$L$14="Quote required",Nonlabor!$L$14="Unverified"),G1806,0)</f>
        <v>0</v>
      </c>
      <c r="I1806" s="10" t="n">
        <f aca="false">IF(Nonlabor!$E$14="Core",0,G1806)</f>
        <v>0</v>
      </c>
      <c r="J1806" s="23" t="str">
        <f aca="false">Nonlabor!$B$14</f>
        <v>TOOLS</v>
      </c>
    </row>
    <row r="1807" customFormat="false" ht="15" hidden="false" customHeight="false" outlineLevel="0" collapsed="false">
      <c r="A1807" s="6" t="s">
        <v>4</v>
      </c>
      <c r="B1807" s="6" t="s">
        <v>399</v>
      </c>
      <c r="C1807" s="6" t="n">
        <v>2</v>
      </c>
      <c r="D1807" s="25" t="n">
        <f aca="false">EDATE('Start Here'!$B$6,C1807-1)</f>
        <v>46357</v>
      </c>
      <c r="E1807" s="23" t="n">
        <f aca="false">IF(AND(OR(Nonlabor!$D$14="Both",Nonlabor!$D$14='Start Here'!$B$9),IF(Nonlabor!$E$14="Core",1,IF(Nonlabor!$E$14="AI",'Start Here'!$B$7,'Start Here'!$B$8))=1,C1807&gt;=IF(Nonlabor!$E$14="Core",Nonlabor!$F$14,MAX(Nonlabor!$F$14,IF(Nonlabor!$E$14="AI",Assumptions!$D$24,Assumptions!$D$25))),C1807&lt;=Nonlabor!$G$14,OR(Nonlabor!$H$14="Monthly",AND(Nonlabor!$H$14="Once",C1807=IF(Nonlabor!$E$14="Core",Nonlabor!$F$14,MAX(Nonlabor!$F$14,IF(Nonlabor!$E$14="AI",Assumptions!$D$24,Assumptions!$D$25)))),AND(Nonlabor!$H$14="Annual",MOD(C1807-IF(Nonlabor!$E$14="Core",Nonlabor!$F$14,MAX(Nonlabor!$F$14,IF(Nonlabor!$E$14="AI",Assumptions!$D$24,Assumptions!$D$25))),12)=0))),IF(Nonlabor!$I$14="Fixed",1,IF(Nonlabor!$I$14="Seats",ROUNDUP('Monthly Base'!I7,0),IF(Nonlabor!$I$14="Customers",'Monthly Base'!D7,IF(Nonlabor!$I$14="NewCustomers",'Monthly Base'!C7,IF(Nonlabor!$I$14="StorageGB",'Monthly Base'!G7,IF(Nonlabor!$I$14="LogGB",'Monthly Base'!H7,IF(Nonlabor!$I$14="RequestsM",'Monthly Base'!F7,IF(Nonlabor!$I$14="InputM",'Monthly Base'!D7*Assumptions!$D$22/1000000,IF(Nonlabor!$I$14="OutputM",'Monthly Base'!D7*Assumptions!$D$23/1000000,0))))))))),0)</f>
        <v>3</v>
      </c>
      <c r="F1807" s="10" t="n">
        <f aca="false">Nonlabor!$J$14*(1+Assumptions!$D$9)^INT((C1807-1)/12)</f>
        <v>45</v>
      </c>
      <c r="G1807" s="10" t="n">
        <f aca="false">E1807*F1807</f>
        <v>135</v>
      </c>
      <c r="H1807" s="10" t="n">
        <f aca="false">IF(OR(Nonlabor!$L$14="Quote required",Nonlabor!$L$14="Unverified"),G1807,0)</f>
        <v>0</v>
      </c>
      <c r="I1807" s="10" t="n">
        <f aca="false">IF(Nonlabor!$E$14="Core",0,G1807)</f>
        <v>0</v>
      </c>
      <c r="J1807" s="23" t="str">
        <f aca="false">Nonlabor!$B$14</f>
        <v>TOOLS</v>
      </c>
    </row>
    <row r="1808" customFormat="false" ht="15" hidden="false" customHeight="false" outlineLevel="0" collapsed="false">
      <c r="A1808" s="6" t="s">
        <v>4</v>
      </c>
      <c r="B1808" s="6" t="s">
        <v>399</v>
      </c>
      <c r="C1808" s="6" t="n">
        <v>3</v>
      </c>
      <c r="D1808" s="25" t="n">
        <f aca="false">EDATE('Start Here'!$B$6,C1808-1)</f>
        <v>46388</v>
      </c>
      <c r="E1808" s="23" t="n">
        <f aca="false">IF(AND(OR(Nonlabor!$D$14="Both",Nonlabor!$D$14='Start Here'!$B$9),IF(Nonlabor!$E$14="Core",1,IF(Nonlabor!$E$14="AI",'Start Here'!$B$7,'Start Here'!$B$8))=1,C1808&gt;=IF(Nonlabor!$E$14="Core",Nonlabor!$F$14,MAX(Nonlabor!$F$14,IF(Nonlabor!$E$14="AI",Assumptions!$D$24,Assumptions!$D$25))),C1808&lt;=Nonlabor!$G$14,OR(Nonlabor!$H$14="Monthly",AND(Nonlabor!$H$14="Once",C1808=IF(Nonlabor!$E$14="Core",Nonlabor!$F$14,MAX(Nonlabor!$F$14,IF(Nonlabor!$E$14="AI",Assumptions!$D$24,Assumptions!$D$25)))),AND(Nonlabor!$H$14="Annual",MOD(C1808-IF(Nonlabor!$E$14="Core",Nonlabor!$F$14,MAX(Nonlabor!$F$14,IF(Nonlabor!$E$14="AI",Assumptions!$D$24,Assumptions!$D$25))),12)=0))),IF(Nonlabor!$I$14="Fixed",1,IF(Nonlabor!$I$14="Seats",ROUNDUP('Monthly Base'!I8,0),IF(Nonlabor!$I$14="Customers",'Monthly Base'!D8,IF(Nonlabor!$I$14="NewCustomers",'Monthly Base'!C8,IF(Nonlabor!$I$14="StorageGB",'Monthly Base'!G8,IF(Nonlabor!$I$14="LogGB",'Monthly Base'!H8,IF(Nonlabor!$I$14="RequestsM",'Monthly Base'!F8,IF(Nonlabor!$I$14="InputM",'Monthly Base'!D8*Assumptions!$D$22/1000000,IF(Nonlabor!$I$14="OutputM",'Monthly Base'!D8*Assumptions!$D$23/1000000,0))))))))),0)</f>
        <v>4</v>
      </c>
      <c r="F1808" s="10" t="n">
        <f aca="false">Nonlabor!$J$14*(1+Assumptions!$D$9)^INT((C1808-1)/12)</f>
        <v>45</v>
      </c>
      <c r="G1808" s="10" t="n">
        <f aca="false">E1808*F1808</f>
        <v>180</v>
      </c>
      <c r="H1808" s="10" t="n">
        <f aca="false">IF(OR(Nonlabor!$L$14="Quote required",Nonlabor!$L$14="Unverified"),G1808,0)</f>
        <v>0</v>
      </c>
      <c r="I1808" s="10" t="n">
        <f aca="false">IF(Nonlabor!$E$14="Core",0,G1808)</f>
        <v>0</v>
      </c>
      <c r="J1808" s="23" t="str">
        <f aca="false">Nonlabor!$B$14</f>
        <v>TOOLS</v>
      </c>
    </row>
    <row r="1809" customFormat="false" ht="15" hidden="false" customHeight="false" outlineLevel="0" collapsed="false">
      <c r="A1809" s="6" t="s">
        <v>4</v>
      </c>
      <c r="B1809" s="6" t="s">
        <v>399</v>
      </c>
      <c r="C1809" s="6" t="n">
        <v>4</v>
      </c>
      <c r="D1809" s="25" t="n">
        <f aca="false">EDATE('Start Here'!$B$6,C1809-1)</f>
        <v>46419</v>
      </c>
      <c r="E1809" s="23" t="n">
        <f aca="false">IF(AND(OR(Nonlabor!$D$14="Both",Nonlabor!$D$14='Start Here'!$B$9),IF(Nonlabor!$E$14="Core",1,IF(Nonlabor!$E$14="AI",'Start Here'!$B$7,'Start Here'!$B$8))=1,C1809&gt;=IF(Nonlabor!$E$14="Core",Nonlabor!$F$14,MAX(Nonlabor!$F$14,IF(Nonlabor!$E$14="AI",Assumptions!$D$24,Assumptions!$D$25))),C1809&lt;=Nonlabor!$G$14,OR(Nonlabor!$H$14="Monthly",AND(Nonlabor!$H$14="Once",C1809=IF(Nonlabor!$E$14="Core",Nonlabor!$F$14,MAX(Nonlabor!$F$14,IF(Nonlabor!$E$14="AI",Assumptions!$D$24,Assumptions!$D$25)))),AND(Nonlabor!$H$14="Annual",MOD(C1809-IF(Nonlabor!$E$14="Core",Nonlabor!$F$14,MAX(Nonlabor!$F$14,IF(Nonlabor!$E$14="AI",Assumptions!$D$24,Assumptions!$D$25))),12)=0))),IF(Nonlabor!$I$14="Fixed",1,IF(Nonlabor!$I$14="Seats",ROUNDUP('Monthly Base'!I9,0),IF(Nonlabor!$I$14="Customers",'Monthly Base'!D9,IF(Nonlabor!$I$14="NewCustomers",'Monthly Base'!C9,IF(Nonlabor!$I$14="StorageGB",'Monthly Base'!G9,IF(Nonlabor!$I$14="LogGB",'Monthly Base'!H9,IF(Nonlabor!$I$14="RequestsM",'Monthly Base'!F9,IF(Nonlabor!$I$14="InputM",'Monthly Base'!D9*Assumptions!$D$22/1000000,IF(Nonlabor!$I$14="OutputM",'Monthly Base'!D9*Assumptions!$D$23/1000000,0))))))))),0)</f>
        <v>5</v>
      </c>
      <c r="F1809" s="10" t="n">
        <f aca="false">Nonlabor!$J$14*(1+Assumptions!$D$9)^INT((C1809-1)/12)</f>
        <v>45</v>
      </c>
      <c r="G1809" s="10" t="n">
        <f aca="false">E1809*F1809</f>
        <v>225</v>
      </c>
      <c r="H1809" s="10" t="n">
        <f aca="false">IF(OR(Nonlabor!$L$14="Quote required",Nonlabor!$L$14="Unverified"),G1809,0)</f>
        <v>0</v>
      </c>
      <c r="I1809" s="10" t="n">
        <f aca="false">IF(Nonlabor!$E$14="Core",0,G1809)</f>
        <v>0</v>
      </c>
      <c r="J1809" s="23" t="str">
        <f aca="false">Nonlabor!$B$14</f>
        <v>TOOLS</v>
      </c>
    </row>
    <row r="1810" customFormat="false" ht="15" hidden="false" customHeight="false" outlineLevel="0" collapsed="false">
      <c r="A1810" s="6" t="s">
        <v>4</v>
      </c>
      <c r="B1810" s="6" t="s">
        <v>399</v>
      </c>
      <c r="C1810" s="6" t="n">
        <v>5</v>
      </c>
      <c r="D1810" s="25" t="n">
        <f aca="false">EDATE('Start Here'!$B$6,C1810-1)</f>
        <v>46447</v>
      </c>
      <c r="E1810" s="23" t="n">
        <f aca="false">IF(AND(OR(Nonlabor!$D$14="Both",Nonlabor!$D$14='Start Here'!$B$9),IF(Nonlabor!$E$14="Core",1,IF(Nonlabor!$E$14="AI",'Start Here'!$B$7,'Start Here'!$B$8))=1,C1810&gt;=IF(Nonlabor!$E$14="Core",Nonlabor!$F$14,MAX(Nonlabor!$F$14,IF(Nonlabor!$E$14="AI",Assumptions!$D$24,Assumptions!$D$25))),C1810&lt;=Nonlabor!$G$14,OR(Nonlabor!$H$14="Monthly",AND(Nonlabor!$H$14="Once",C1810=IF(Nonlabor!$E$14="Core",Nonlabor!$F$14,MAX(Nonlabor!$F$14,IF(Nonlabor!$E$14="AI",Assumptions!$D$24,Assumptions!$D$25)))),AND(Nonlabor!$H$14="Annual",MOD(C1810-IF(Nonlabor!$E$14="Core",Nonlabor!$F$14,MAX(Nonlabor!$F$14,IF(Nonlabor!$E$14="AI",Assumptions!$D$24,Assumptions!$D$25))),12)=0))),IF(Nonlabor!$I$14="Fixed",1,IF(Nonlabor!$I$14="Seats",ROUNDUP('Monthly Base'!I10,0),IF(Nonlabor!$I$14="Customers",'Monthly Base'!D10,IF(Nonlabor!$I$14="NewCustomers",'Monthly Base'!C10,IF(Nonlabor!$I$14="StorageGB",'Monthly Base'!G10,IF(Nonlabor!$I$14="LogGB",'Monthly Base'!H10,IF(Nonlabor!$I$14="RequestsM",'Monthly Base'!F10,IF(Nonlabor!$I$14="InputM",'Monthly Base'!D10*Assumptions!$D$22/1000000,IF(Nonlabor!$I$14="OutputM",'Monthly Base'!D10*Assumptions!$D$23/1000000,0))))))))),0)</f>
        <v>5</v>
      </c>
      <c r="F1810" s="10" t="n">
        <f aca="false">Nonlabor!$J$14*(1+Assumptions!$D$9)^INT((C1810-1)/12)</f>
        <v>45</v>
      </c>
      <c r="G1810" s="10" t="n">
        <f aca="false">E1810*F1810</f>
        <v>225</v>
      </c>
      <c r="H1810" s="10" t="n">
        <f aca="false">IF(OR(Nonlabor!$L$14="Quote required",Nonlabor!$L$14="Unverified"),G1810,0)</f>
        <v>0</v>
      </c>
      <c r="I1810" s="10" t="n">
        <f aca="false">IF(Nonlabor!$E$14="Core",0,G1810)</f>
        <v>0</v>
      </c>
      <c r="J1810" s="23" t="str">
        <f aca="false">Nonlabor!$B$14</f>
        <v>TOOLS</v>
      </c>
    </row>
    <row r="1811" customFormat="false" ht="15" hidden="false" customHeight="false" outlineLevel="0" collapsed="false">
      <c r="A1811" s="6" t="s">
        <v>4</v>
      </c>
      <c r="B1811" s="6" t="s">
        <v>399</v>
      </c>
      <c r="C1811" s="6" t="n">
        <v>6</v>
      </c>
      <c r="D1811" s="25" t="n">
        <f aca="false">EDATE('Start Here'!$B$6,C1811-1)</f>
        <v>46478</v>
      </c>
      <c r="E1811" s="23" t="n">
        <f aca="false">IF(AND(OR(Nonlabor!$D$14="Both",Nonlabor!$D$14='Start Here'!$B$9),IF(Nonlabor!$E$14="Core",1,IF(Nonlabor!$E$14="AI",'Start Here'!$B$7,'Start Here'!$B$8))=1,C1811&gt;=IF(Nonlabor!$E$14="Core",Nonlabor!$F$14,MAX(Nonlabor!$F$14,IF(Nonlabor!$E$14="AI",Assumptions!$D$24,Assumptions!$D$25))),C1811&lt;=Nonlabor!$G$14,OR(Nonlabor!$H$14="Monthly",AND(Nonlabor!$H$14="Once",C1811=IF(Nonlabor!$E$14="Core",Nonlabor!$F$14,MAX(Nonlabor!$F$14,IF(Nonlabor!$E$14="AI",Assumptions!$D$24,Assumptions!$D$25)))),AND(Nonlabor!$H$14="Annual",MOD(C1811-IF(Nonlabor!$E$14="Core",Nonlabor!$F$14,MAX(Nonlabor!$F$14,IF(Nonlabor!$E$14="AI",Assumptions!$D$24,Assumptions!$D$25))),12)=0))),IF(Nonlabor!$I$14="Fixed",1,IF(Nonlabor!$I$14="Seats",ROUNDUP('Monthly Base'!I11,0),IF(Nonlabor!$I$14="Customers",'Monthly Base'!D11,IF(Nonlabor!$I$14="NewCustomers",'Monthly Base'!C11,IF(Nonlabor!$I$14="StorageGB",'Monthly Base'!G11,IF(Nonlabor!$I$14="LogGB",'Monthly Base'!H11,IF(Nonlabor!$I$14="RequestsM",'Monthly Base'!F11,IF(Nonlabor!$I$14="InputM",'Monthly Base'!D11*Assumptions!$D$22/1000000,IF(Nonlabor!$I$14="OutputM",'Monthly Base'!D11*Assumptions!$D$23/1000000,0))))))))),0)</f>
        <v>5</v>
      </c>
      <c r="F1811" s="10" t="n">
        <f aca="false">Nonlabor!$J$14*(1+Assumptions!$D$9)^INT((C1811-1)/12)</f>
        <v>45</v>
      </c>
      <c r="G1811" s="10" t="n">
        <f aca="false">E1811*F1811</f>
        <v>225</v>
      </c>
      <c r="H1811" s="10" t="n">
        <f aca="false">IF(OR(Nonlabor!$L$14="Quote required",Nonlabor!$L$14="Unverified"),G1811,0)</f>
        <v>0</v>
      </c>
      <c r="I1811" s="10" t="n">
        <f aca="false">IF(Nonlabor!$E$14="Core",0,G1811)</f>
        <v>0</v>
      </c>
      <c r="J1811" s="23" t="str">
        <f aca="false">Nonlabor!$B$14</f>
        <v>TOOLS</v>
      </c>
    </row>
    <row r="1812" customFormat="false" ht="15" hidden="false" customHeight="false" outlineLevel="0" collapsed="false">
      <c r="A1812" s="6" t="s">
        <v>4</v>
      </c>
      <c r="B1812" s="6" t="s">
        <v>399</v>
      </c>
      <c r="C1812" s="6" t="n">
        <v>7</v>
      </c>
      <c r="D1812" s="25" t="n">
        <f aca="false">EDATE('Start Here'!$B$6,C1812-1)</f>
        <v>46508</v>
      </c>
      <c r="E1812" s="23" t="n">
        <f aca="false">IF(AND(OR(Nonlabor!$D$14="Both",Nonlabor!$D$14='Start Here'!$B$9),IF(Nonlabor!$E$14="Core",1,IF(Nonlabor!$E$14="AI",'Start Here'!$B$7,'Start Here'!$B$8))=1,C1812&gt;=IF(Nonlabor!$E$14="Core",Nonlabor!$F$14,MAX(Nonlabor!$F$14,IF(Nonlabor!$E$14="AI",Assumptions!$D$24,Assumptions!$D$25))),C1812&lt;=Nonlabor!$G$14,OR(Nonlabor!$H$14="Monthly",AND(Nonlabor!$H$14="Once",C1812=IF(Nonlabor!$E$14="Core",Nonlabor!$F$14,MAX(Nonlabor!$F$14,IF(Nonlabor!$E$14="AI",Assumptions!$D$24,Assumptions!$D$25)))),AND(Nonlabor!$H$14="Annual",MOD(C1812-IF(Nonlabor!$E$14="Core",Nonlabor!$F$14,MAX(Nonlabor!$F$14,IF(Nonlabor!$E$14="AI",Assumptions!$D$24,Assumptions!$D$25))),12)=0))),IF(Nonlabor!$I$14="Fixed",1,IF(Nonlabor!$I$14="Seats",ROUNDUP('Monthly Base'!I12,0),IF(Nonlabor!$I$14="Customers",'Monthly Base'!D12,IF(Nonlabor!$I$14="NewCustomers",'Monthly Base'!C12,IF(Nonlabor!$I$14="StorageGB",'Monthly Base'!G12,IF(Nonlabor!$I$14="LogGB",'Monthly Base'!H12,IF(Nonlabor!$I$14="RequestsM",'Monthly Base'!F12,IF(Nonlabor!$I$14="InputM",'Monthly Base'!D12*Assumptions!$D$22/1000000,IF(Nonlabor!$I$14="OutputM",'Monthly Base'!D12*Assumptions!$D$23/1000000,0))))))))),0)</f>
        <v>6</v>
      </c>
      <c r="F1812" s="10" t="n">
        <f aca="false">Nonlabor!$J$14*(1+Assumptions!$D$9)^INT((C1812-1)/12)</f>
        <v>45</v>
      </c>
      <c r="G1812" s="10" t="n">
        <f aca="false">E1812*F1812</f>
        <v>270</v>
      </c>
      <c r="H1812" s="10" t="n">
        <f aca="false">IF(OR(Nonlabor!$L$14="Quote required",Nonlabor!$L$14="Unverified"),G1812,0)</f>
        <v>0</v>
      </c>
      <c r="I1812" s="10" t="n">
        <f aca="false">IF(Nonlabor!$E$14="Core",0,G1812)</f>
        <v>0</v>
      </c>
      <c r="J1812" s="23" t="str">
        <f aca="false">Nonlabor!$B$14</f>
        <v>TOOLS</v>
      </c>
    </row>
    <row r="1813" customFormat="false" ht="15" hidden="false" customHeight="false" outlineLevel="0" collapsed="false">
      <c r="A1813" s="6" t="s">
        <v>4</v>
      </c>
      <c r="B1813" s="6" t="s">
        <v>399</v>
      </c>
      <c r="C1813" s="6" t="n">
        <v>8</v>
      </c>
      <c r="D1813" s="25" t="n">
        <f aca="false">EDATE('Start Here'!$B$6,C1813-1)</f>
        <v>46539</v>
      </c>
      <c r="E1813" s="23" t="n">
        <f aca="false">IF(AND(OR(Nonlabor!$D$14="Both",Nonlabor!$D$14='Start Here'!$B$9),IF(Nonlabor!$E$14="Core",1,IF(Nonlabor!$E$14="AI",'Start Here'!$B$7,'Start Here'!$B$8))=1,C1813&gt;=IF(Nonlabor!$E$14="Core",Nonlabor!$F$14,MAX(Nonlabor!$F$14,IF(Nonlabor!$E$14="AI",Assumptions!$D$24,Assumptions!$D$25))),C1813&lt;=Nonlabor!$G$14,OR(Nonlabor!$H$14="Monthly",AND(Nonlabor!$H$14="Once",C1813=IF(Nonlabor!$E$14="Core",Nonlabor!$F$14,MAX(Nonlabor!$F$14,IF(Nonlabor!$E$14="AI",Assumptions!$D$24,Assumptions!$D$25)))),AND(Nonlabor!$H$14="Annual",MOD(C1813-IF(Nonlabor!$E$14="Core",Nonlabor!$F$14,MAX(Nonlabor!$F$14,IF(Nonlabor!$E$14="AI",Assumptions!$D$24,Assumptions!$D$25))),12)=0))),IF(Nonlabor!$I$14="Fixed",1,IF(Nonlabor!$I$14="Seats",ROUNDUP('Monthly Base'!I13,0),IF(Nonlabor!$I$14="Customers",'Monthly Base'!D13,IF(Nonlabor!$I$14="NewCustomers",'Monthly Base'!C13,IF(Nonlabor!$I$14="StorageGB",'Monthly Base'!G13,IF(Nonlabor!$I$14="LogGB",'Monthly Base'!H13,IF(Nonlabor!$I$14="RequestsM",'Monthly Base'!F13,IF(Nonlabor!$I$14="InputM",'Monthly Base'!D13*Assumptions!$D$22/1000000,IF(Nonlabor!$I$14="OutputM",'Monthly Base'!D13*Assumptions!$D$23/1000000,0))))))))),0)</f>
        <v>6</v>
      </c>
      <c r="F1813" s="10" t="n">
        <f aca="false">Nonlabor!$J$14*(1+Assumptions!$D$9)^INT((C1813-1)/12)</f>
        <v>45</v>
      </c>
      <c r="G1813" s="10" t="n">
        <f aca="false">E1813*F1813</f>
        <v>270</v>
      </c>
      <c r="H1813" s="10" t="n">
        <f aca="false">IF(OR(Nonlabor!$L$14="Quote required",Nonlabor!$L$14="Unverified"),G1813,0)</f>
        <v>0</v>
      </c>
      <c r="I1813" s="10" t="n">
        <f aca="false">IF(Nonlabor!$E$14="Core",0,G1813)</f>
        <v>0</v>
      </c>
      <c r="J1813" s="23" t="str">
        <f aca="false">Nonlabor!$B$14</f>
        <v>TOOLS</v>
      </c>
    </row>
    <row r="1814" customFormat="false" ht="15" hidden="false" customHeight="false" outlineLevel="0" collapsed="false">
      <c r="A1814" s="6" t="s">
        <v>4</v>
      </c>
      <c r="B1814" s="6" t="s">
        <v>399</v>
      </c>
      <c r="C1814" s="6" t="n">
        <v>9</v>
      </c>
      <c r="D1814" s="25" t="n">
        <f aca="false">EDATE('Start Here'!$B$6,C1814-1)</f>
        <v>46569</v>
      </c>
      <c r="E1814" s="23" t="n">
        <f aca="false">IF(AND(OR(Nonlabor!$D$14="Both",Nonlabor!$D$14='Start Here'!$B$9),IF(Nonlabor!$E$14="Core",1,IF(Nonlabor!$E$14="AI",'Start Here'!$B$7,'Start Here'!$B$8))=1,C1814&gt;=IF(Nonlabor!$E$14="Core",Nonlabor!$F$14,MAX(Nonlabor!$F$14,IF(Nonlabor!$E$14="AI",Assumptions!$D$24,Assumptions!$D$25))),C1814&lt;=Nonlabor!$G$14,OR(Nonlabor!$H$14="Monthly",AND(Nonlabor!$H$14="Once",C1814=IF(Nonlabor!$E$14="Core",Nonlabor!$F$14,MAX(Nonlabor!$F$14,IF(Nonlabor!$E$14="AI",Assumptions!$D$24,Assumptions!$D$25)))),AND(Nonlabor!$H$14="Annual",MOD(C1814-IF(Nonlabor!$E$14="Core",Nonlabor!$F$14,MAX(Nonlabor!$F$14,IF(Nonlabor!$E$14="AI",Assumptions!$D$24,Assumptions!$D$25))),12)=0))),IF(Nonlabor!$I$14="Fixed",1,IF(Nonlabor!$I$14="Seats",ROUNDUP('Monthly Base'!I14,0),IF(Nonlabor!$I$14="Customers",'Monthly Base'!D14,IF(Nonlabor!$I$14="NewCustomers",'Monthly Base'!C14,IF(Nonlabor!$I$14="StorageGB",'Monthly Base'!G14,IF(Nonlabor!$I$14="LogGB",'Monthly Base'!H14,IF(Nonlabor!$I$14="RequestsM",'Monthly Base'!F14,IF(Nonlabor!$I$14="InputM",'Monthly Base'!D14*Assumptions!$D$22/1000000,IF(Nonlabor!$I$14="OutputM",'Monthly Base'!D14*Assumptions!$D$23/1000000,0))))))))),0)</f>
        <v>6</v>
      </c>
      <c r="F1814" s="10" t="n">
        <f aca="false">Nonlabor!$J$14*(1+Assumptions!$D$9)^INT((C1814-1)/12)</f>
        <v>45</v>
      </c>
      <c r="G1814" s="10" t="n">
        <f aca="false">E1814*F1814</f>
        <v>270</v>
      </c>
      <c r="H1814" s="10" t="n">
        <f aca="false">IF(OR(Nonlabor!$L$14="Quote required",Nonlabor!$L$14="Unverified"),G1814,0)</f>
        <v>0</v>
      </c>
      <c r="I1814" s="10" t="n">
        <f aca="false">IF(Nonlabor!$E$14="Core",0,G1814)</f>
        <v>0</v>
      </c>
      <c r="J1814" s="23" t="str">
        <f aca="false">Nonlabor!$B$14</f>
        <v>TOOLS</v>
      </c>
    </row>
    <row r="1815" customFormat="false" ht="15" hidden="false" customHeight="false" outlineLevel="0" collapsed="false">
      <c r="A1815" s="6" t="s">
        <v>4</v>
      </c>
      <c r="B1815" s="6" t="s">
        <v>399</v>
      </c>
      <c r="C1815" s="6" t="n">
        <v>10</v>
      </c>
      <c r="D1815" s="25" t="n">
        <f aca="false">EDATE('Start Here'!$B$6,C1815-1)</f>
        <v>46600</v>
      </c>
      <c r="E1815" s="23" t="n">
        <f aca="false">IF(AND(OR(Nonlabor!$D$14="Both",Nonlabor!$D$14='Start Here'!$B$9),IF(Nonlabor!$E$14="Core",1,IF(Nonlabor!$E$14="AI",'Start Here'!$B$7,'Start Here'!$B$8))=1,C1815&gt;=IF(Nonlabor!$E$14="Core",Nonlabor!$F$14,MAX(Nonlabor!$F$14,IF(Nonlabor!$E$14="AI",Assumptions!$D$24,Assumptions!$D$25))),C1815&lt;=Nonlabor!$G$14,OR(Nonlabor!$H$14="Monthly",AND(Nonlabor!$H$14="Once",C1815=IF(Nonlabor!$E$14="Core",Nonlabor!$F$14,MAX(Nonlabor!$F$14,IF(Nonlabor!$E$14="AI",Assumptions!$D$24,Assumptions!$D$25)))),AND(Nonlabor!$H$14="Annual",MOD(C1815-IF(Nonlabor!$E$14="Core",Nonlabor!$F$14,MAX(Nonlabor!$F$14,IF(Nonlabor!$E$14="AI",Assumptions!$D$24,Assumptions!$D$25))),12)=0))),IF(Nonlabor!$I$14="Fixed",1,IF(Nonlabor!$I$14="Seats",ROUNDUP('Monthly Base'!I15,0),IF(Nonlabor!$I$14="Customers",'Monthly Base'!D15,IF(Nonlabor!$I$14="NewCustomers",'Monthly Base'!C15,IF(Nonlabor!$I$14="StorageGB",'Monthly Base'!G15,IF(Nonlabor!$I$14="LogGB",'Monthly Base'!H15,IF(Nonlabor!$I$14="RequestsM",'Monthly Base'!F15,IF(Nonlabor!$I$14="InputM",'Monthly Base'!D15*Assumptions!$D$22/1000000,IF(Nonlabor!$I$14="OutputM",'Monthly Base'!D15*Assumptions!$D$23/1000000,0))))))))),0)</f>
        <v>7</v>
      </c>
      <c r="F1815" s="10" t="n">
        <f aca="false">Nonlabor!$J$14*(1+Assumptions!$D$9)^INT((C1815-1)/12)</f>
        <v>45</v>
      </c>
      <c r="G1815" s="10" t="n">
        <f aca="false">E1815*F1815</f>
        <v>315</v>
      </c>
      <c r="H1815" s="10" t="n">
        <f aca="false">IF(OR(Nonlabor!$L$14="Quote required",Nonlabor!$L$14="Unverified"),G1815,0)</f>
        <v>0</v>
      </c>
      <c r="I1815" s="10" t="n">
        <f aca="false">IF(Nonlabor!$E$14="Core",0,G1815)</f>
        <v>0</v>
      </c>
      <c r="J1815" s="23" t="str">
        <f aca="false">Nonlabor!$B$14</f>
        <v>TOOLS</v>
      </c>
    </row>
    <row r="1816" customFormat="false" ht="15" hidden="false" customHeight="false" outlineLevel="0" collapsed="false">
      <c r="A1816" s="6" t="s">
        <v>4</v>
      </c>
      <c r="B1816" s="6" t="s">
        <v>399</v>
      </c>
      <c r="C1816" s="6" t="n">
        <v>11</v>
      </c>
      <c r="D1816" s="25" t="n">
        <f aca="false">EDATE('Start Here'!$B$6,C1816-1)</f>
        <v>46631</v>
      </c>
      <c r="E1816" s="23" t="n">
        <f aca="false">IF(AND(OR(Nonlabor!$D$14="Both",Nonlabor!$D$14='Start Here'!$B$9),IF(Nonlabor!$E$14="Core",1,IF(Nonlabor!$E$14="AI",'Start Here'!$B$7,'Start Here'!$B$8))=1,C1816&gt;=IF(Nonlabor!$E$14="Core",Nonlabor!$F$14,MAX(Nonlabor!$F$14,IF(Nonlabor!$E$14="AI",Assumptions!$D$24,Assumptions!$D$25))),C1816&lt;=Nonlabor!$G$14,OR(Nonlabor!$H$14="Monthly",AND(Nonlabor!$H$14="Once",C1816=IF(Nonlabor!$E$14="Core",Nonlabor!$F$14,MAX(Nonlabor!$F$14,IF(Nonlabor!$E$14="AI",Assumptions!$D$24,Assumptions!$D$25)))),AND(Nonlabor!$H$14="Annual",MOD(C1816-IF(Nonlabor!$E$14="Core",Nonlabor!$F$14,MAX(Nonlabor!$F$14,IF(Nonlabor!$E$14="AI",Assumptions!$D$24,Assumptions!$D$25))),12)=0))),IF(Nonlabor!$I$14="Fixed",1,IF(Nonlabor!$I$14="Seats",ROUNDUP('Monthly Base'!I16,0),IF(Nonlabor!$I$14="Customers",'Monthly Base'!D16,IF(Nonlabor!$I$14="NewCustomers",'Monthly Base'!C16,IF(Nonlabor!$I$14="StorageGB",'Monthly Base'!G16,IF(Nonlabor!$I$14="LogGB",'Monthly Base'!H16,IF(Nonlabor!$I$14="RequestsM",'Monthly Base'!F16,IF(Nonlabor!$I$14="InputM",'Monthly Base'!D16*Assumptions!$D$22/1000000,IF(Nonlabor!$I$14="OutputM",'Monthly Base'!D16*Assumptions!$D$23/1000000,0))))))))),0)</f>
        <v>7</v>
      </c>
      <c r="F1816" s="10" t="n">
        <f aca="false">Nonlabor!$J$14*(1+Assumptions!$D$9)^INT((C1816-1)/12)</f>
        <v>45</v>
      </c>
      <c r="G1816" s="10" t="n">
        <f aca="false">E1816*F1816</f>
        <v>315</v>
      </c>
      <c r="H1816" s="10" t="n">
        <f aca="false">IF(OR(Nonlabor!$L$14="Quote required",Nonlabor!$L$14="Unverified"),G1816,0)</f>
        <v>0</v>
      </c>
      <c r="I1816" s="10" t="n">
        <f aca="false">IF(Nonlabor!$E$14="Core",0,G1816)</f>
        <v>0</v>
      </c>
      <c r="J1816" s="23" t="str">
        <f aca="false">Nonlabor!$B$14</f>
        <v>TOOLS</v>
      </c>
    </row>
    <row r="1817" customFormat="false" ht="15" hidden="false" customHeight="false" outlineLevel="0" collapsed="false">
      <c r="A1817" s="6" t="s">
        <v>4</v>
      </c>
      <c r="B1817" s="6" t="s">
        <v>399</v>
      </c>
      <c r="C1817" s="6" t="n">
        <v>12</v>
      </c>
      <c r="D1817" s="25" t="n">
        <f aca="false">EDATE('Start Here'!$B$6,C1817-1)</f>
        <v>46661</v>
      </c>
      <c r="E1817" s="23" t="n">
        <f aca="false">IF(AND(OR(Nonlabor!$D$14="Both",Nonlabor!$D$14='Start Here'!$B$9),IF(Nonlabor!$E$14="Core",1,IF(Nonlabor!$E$14="AI",'Start Here'!$B$7,'Start Here'!$B$8))=1,C1817&gt;=IF(Nonlabor!$E$14="Core",Nonlabor!$F$14,MAX(Nonlabor!$F$14,IF(Nonlabor!$E$14="AI",Assumptions!$D$24,Assumptions!$D$25))),C1817&lt;=Nonlabor!$G$14,OR(Nonlabor!$H$14="Monthly",AND(Nonlabor!$H$14="Once",C1817=IF(Nonlabor!$E$14="Core",Nonlabor!$F$14,MAX(Nonlabor!$F$14,IF(Nonlabor!$E$14="AI",Assumptions!$D$24,Assumptions!$D$25)))),AND(Nonlabor!$H$14="Annual",MOD(C1817-IF(Nonlabor!$E$14="Core",Nonlabor!$F$14,MAX(Nonlabor!$F$14,IF(Nonlabor!$E$14="AI",Assumptions!$D$24,Assumptions!$D$25))),12)=0))),IF(Nonlabor!$I$14="Fixed",1,IF(Nonlabor!$I$14="Seats",ROUNDUP('Monthly Base'!I17,0),IF(Nonlabor!$I$14="Customers",'Monthly Base'!D17,IF(Nonlabor!$I$14="NewCustomers",'Monthly Base'!C17,IF(Nonlabor!$I$14="StorageGB",'Monthly Base'!G17,IF(Nonlabor!$I$14="LogGB",'Monthly Base'!H17,IF(Nonlabor!$I$14="RequestsM",'Monthly Base'!F17,IF(Nonlabor!$I$14="InputM",'Monthly Base'!D17*Assumptions!$D$22/1000000,IF(Nonlabor!$I$14="OutputM",'Monthly Base'!D17*Assumptions!$D$23/1000000,0))))))))),0)</f>
        <v>7</v>
      </c>
      <c r="F1817" s="10" t="n">
        <f aca="false">Nonlabor!$J$14*(1+Assumptions!$D$9)^INT((C1817-1)/12)</f>
        <v>45</v>
      </c>
      <c r="G1817" s="10" t="n">
        <f aca="false">E1817*F1817</f>
        <v>315</v>
      </c>
      <c r="H1817" s="10" t="n">
        <f aca="false">IF(OR(Nonlabor!$L$14="Quote required",Nonlabor!$L$14="Unverified"),G1817,0)</f>
        <v>0</v>
      </c>
      <c r="I1817" s="10" t="n">
        <f aca="false">IF(Nonlabor!$E$14="Core",0,G1817)</f>
        <v>0</v>
      </c>
      <c r="J1817" s="23" t="str">
        <f aca="false">Nonlabor!$B$14</f>
        <v>TOOLS</v>
      </c>
    </row>
    <row r="1818" customFormat="false" ht="15" hidden="false" customHeight="false" outlineLevel="0" collapsed="false">
      <c r="A1818" s="6" t="s">
        <v>4</v>
      </c>
      <c r="B1818" s="6" t="s">
        <v>399</v>
      </c>
      <c r="C1818" s="6" t="n">
        <v>13</v>
      </c>
      <c r="D1818" s="25" t="n">
        <f aca="false">EDATE('Start Here'!$B$6,C1818-1)</f>
        <v>46692</v>
      </c>
      <c r="E1818" s="23" t="n">
        <f aca="false">IF(AND(OR(Nonlabor!$D$14="Both",Nonlabor!$D$14='Start Here'!$B$9),IF(Nonlabor!$E$14="Core",1,IF(Nonlabor!$E$14="AI",'Start Here'!$B$7,'Start Here'!$B$8))=1,C1818&gt;=IF(Nonlabor!$E$14="Core",Nonlabor!$F$14,MAX(Nonlabor!$F$14,IF(Nonlabor!$E$14="AI",Assumptions!$D$24,Assumptions!$D$25))),C1818&lt;=Nonlabor!$G$14,OR(Nonlabor!$H$14="Monthly",AND(Nonlabor!$H$14="Once",C1818=IF(Nonlabor!$E$14="Core",Nonlabor!$F$14,MAX(Nonlabor!$F$14,IF(Nonlabor!$E$14="AI",Assumptions!$D$24,Assumptions!$D$25)))),AND(Nonlabor!$H$14="Annual",MOD(C1818-IF(Nonlabor!$E$14="Core",Nonlabor!$F$14,MAX(Nonlabor!$F$14,IF(Nonlabor!$E$14="AI",Assumptions!$D$24,Assumptions!$D$25))),12)=0))),IF(Nonlabor!$I$14="Fixed",1,IF(Nonlabor!$I$14="Seats",ROUNDUP('Monthly Base'!I18,0),IF(Nonlabor!$I$14="Customers",'Monthly Base'!D18,IF(Nonlabor!$I$14="NewCustomers",'Monthly Base'!C18,IF(Nonlabor!$I$14="StorageGB",'Monthly Base'!G18,IF(Nonlabor!$I$14="LogGB",'Monthly Base'!H18,IF(Nonlabor!$I$14="RequestsM",'Monthly Base'!F18,IF(Nonlabor!$I$14="InputM",'Monthly Base'!D18*Assumptions!$D$22/1000000,IF(Nonlabor!$I$14="OutputM",'Monthly Base'!D18*Assumptions!$D$23/1000000,0))))))))),0)</f>
        <v>7</v>
      </c>
      <c r="F1818" s="10" t="n">
        <f aca="false">Nonlabor!$J$14*(1+Assumptions!$D$9)^INT((C1818-1)/12)</f>
        <v>46.35</v>
      </c>
      <c r="G1818" s="10" t="n">
        <f aca="false">E1818*F1818</f>
        <v>324.45</v>
      </c>
      <c r="H1818" s="10" t="n">
        <f aca="false">IF(OR(Nonlabor!$L$14="Quote required",Nonlabor!$L$14="Unverified"),G1818,0)</f>
        <v>0</v>
      </c>
      <c r="I1818" s="10" t="n">
        <f aca="false">IF(Nonlabor!$E$14="Core",0,G1818)</f>
        <v>0</v>
      </c>
      <c r="J1818" s="23" t="str">
        <f aca="false">Nonlabor!$B$14</f>
        <v>TOOLS</v>
      </c>
    </row>
    <row r="1819" customFormat="false" ht="15" hidden="false" customHeight="false" outlineLevel="0" collapsed="false">
      <c r="A1819" s="6" t="s">
        <v>4</v>
      </c>
      <c r="B1819" s="6" t="s">
        <v>399</v>
      </c>
      <c r="C1819" s="6" t="n">
        <v>14</v>
      </c>
      <c r="D1819" s="25" t="n">
        <f aca="false">EDATE('Start Here'!$B$6,C1819-1)</f>
        <v>46722</v>
      </c>
      <c r="E1819" s="23" t="n">
        <f aca="false">IF(AND(OR(Nonlabor!$D$14="Both",Nonlabor!$D$14='Start Here'!$B$9),IF(Nonlabor!$E$14="Core",1,IF(Nonlabor!$E$14="AI",'Start Here'!$B$7,'Start Here'!$B$8))=1,C1819&gt;=IF(Nonlabor!$E$14="Core",Nonlabor!$F$14,MAX(Nonlabor!$F$14,IF(Nonlabor!$E$14="AI",Assumptions!$D$24,Assumptions!$D$25))),C1819&lt;=Nonlabor!$G$14,OR(Nonlabor!$H$14="Monthly",AND(Nonlabor!$H$14="Once",C1819=IF(Nonlabor!$E$14="Core",Nonlabor!$F$14,MAX(Nonlabor!$F$14,IF(Nonlabor!$E$14="AI",Assumptions!$D$24,Assumptions!$D$25)))),AND(Nonlabor!$H$14="Annual",MOD(C1819-IF(Nonlabor!$E$14="Core",Nonlabor!$F$14,MAX(Nonlabor!$F$14,IF(Nonlabor!$E$14="AI",Assumptions!$D$24,Assumptions!$D$25))),12)=0))),IF(Nonlabor!$I$14="Fixed",1,IF(Nonlabor!$I$14="Seats",ROUNDUP('Monthly Base'!I19,0),IF(Nonlabor!$I$14="Customers",'Monthly Base'!D19,IF(Nonlabor!$I$14="NewCustomers",'Monthly Base'!C19,IF(Nonlabor!$I$14="StorageGB",'Monthly Base'!G19,IF(Nonlabor!$I$14="LogGB",'Monthly Base'!H19,IF(Nonlabor!$I$14="RequestsM",'Monthly Base'!F19,IF(Nonlabor!$I$14="InputM",'Monthly Base'!D19*Assumptions!$D$22/1000000,IF(Nonlabor!$I$14="OutputM",'Monthly Base'!D19*Assumptions!$D$23/1000000,0))))))))),0)</f>
        <v>7</v>
      </c>
      <c r="F1819" s="10" t="n">
        <f aca="false">Nonlabor!$J$14*(1+Assumptions!$D$9)^INT((C1819-1)/12)</f>
        <v>46.35</v>
      </c>
      <c r="G1819" s="10" t="n">
        <f aca="false">E1819*F1819</f>
        <v>324.45</v>
      </c>
      <c r="H1819" s="10" t="n">
        <f aca="false">IF(OR(Nonlabor!$L$14="Quote required",Nonlabor!$L$14="Unverified"),G1819,0)</f>
        <v>0</v>
      </c>
      <c r="I1819" s="10" t="n">
        <f aca="false">IF(Nonlabor!$E$14="Core",0,G1819)</f>
        <v>0</v>
      </c>
      <c r="J1819" s="23" t="str">
        <f aca="false">Nonlabor!$B$14</f>
        <v>TOOLS</v>
      </c>
    </row>
    <row r="1820" customFormat="false" ht="15" hidden="false" customHeight="false" outlineLevel="0" collapsed="false">
      <c r="A1820" s="6" t="s">
        <v>4</v>
      </c>
      <c r="B1820" s="6" t="s">
        <v>399</v>
      </c>
      <c r="C1820" s="6" t="n">
        <v>15</v>
      </c>
      <c r="D1820" s="25" t="n">
        <f aca="false">EDATE('Start Here'!$B$6,C1820-1)</f>
        <v>46753</v>
      </c>
      <c r="E1820" s="23" t="n">
        <f aca="false">IF(AND(OR(Nonlabor!$D$14="Both",Nonlabor!$D$14='Start Here'!$B$9),IF(Nonlabor!$E$14="Core",1,IF(Nonlabor!$E$14="AI",'Start Here'!$B$7,'Start Here'!$B$8))=1,C1820&gt;=IF(Nonlabor!$E$14="Core",Nonlabor!$F$14,MAX(Nonlabor!$F$14,IF(Nonlabor!$E$14="AI",Assumptions!$D$24,Assumptions!$D$25))),C1820&lt;=Nonlabor!$G$14,OR(Nonlabor!$H$14="Monthly",AND(Nonlabor!$H$14="Once",C1820=IF(Nonlabor!$E$14="Core",Nonlabor!$F$14,MAX(Nonlabor!$F$14,IF(Nonlabor!$E$14="AI",Assumptions!$D$24,Assumptions!$D$25)))),AND(Nonlabor!$H$14="Annual",MOD(C1820-IF(Nonlabor!$E$14="Core",Nonlabor!$F$14,MAX(Nonlabor!$F$14,IF(Nonlabor!$E$14="AI",Assumptions!$D$24,Assumptions!$D$25))),12)=0))),IF(Nonlabor!$I$14="Fixed",1,IF(Nonlabor!$I$14="Seats",ROUNDUP('Monthly Base'!I20,0),IF(Nonlabor!$I$14="Customers",'Monthly Base'!D20,IF(Nonlabor!$I$14="NewCustomers",'Monthly Base'!C20,IF(Nonlabor!$I$14="StorageGB",'Monthly Base'!G20,IF(Nonlabor!$I$14="LogGB",'Monthly Base'!H20,IF(Nonlabor!$I$14="RequestsM",'Monthly Base'!F20,IF(Nonlabor!$I$14="InputM",'Monthly Base'!D20*Assumptions!$D$22/1000000,IF(Nonlabor!$I$14="OutputM",'Monthly Base'!D20*Assumptions!$D$23/1000000,0))))))))),0)</f>
        <v>7</v>
      </c>
      <c r="F1820" s="10" t="n">
        <f aca="false">Nonlabor!$J$14*(1+Assumptions!$D$9)^INT((C1820-1)/12)</f>
        <v>46.35</v>
      </c>
      <c r="G1820" s="10" t="n">
        <f aca="false">E1820*F1820</f>
        <v>324.45</v>
      </c>
      <c r="H1820" s="10" t="n">
        <f aca="false">IF(OR(Nonlabor!$L$14="Quote required",Nonlabor!$L$14="Unverified"),G1820,0)</f>
        <v>0</v>
      </c>
      <c r="I1820" s="10" t="n">
        <f aca="false">IF(Nonlabor!$E$14="Core",0,G1820)</f>
        <v>0</v>
      </c>
      <c r="J1820" s="23" t="str">
        <f aca="false">Nonlabor!$B$14</f>
        <v>TOOLS</v>
      </c>
    </row>
    <row r="1821" customFormat="false" ht="15" hidden="false" customHeight="false" outlineLevel="0" collapsed="false">
      <c r="A1821" s="6" t="s">
        <v>4</v>
      </c>
      <c r="B1821" s="6" t="s">
        <v>399</v>
      </c>
      <c r="C1821" s="6" t="n">
        <v>16</v>
      </c>
      <c r="D1821" s="25" t="n">
        <f aca="false">EDATE('Start Here'!$B$6,C1821-1)</f>
        <v>46784</v>
      </c>
      <c r="E1821" s="23" t="n">
        <f aca="false">IF(AND(OR(Nonlabor!$D$14="Both",Nonlabor!$D$14='Start Here'!$B$9),IF(Nonlabor!$E$14="Core",1,IF(Nonlabor!$E$14="AI",'Start Here'!$B$7,'Start Here'!$B$8))=1,C1821&gt;=IF(Nonlabor!$E$14="Core",Nonlabor!$F$14,MAX(Nonlabor!$F$14,IF(Nonlabor!$E$14="AI",Assumptions!$D$24,Assumptions!$D$25))),C1821&lt;=Nonlabor!$G$14,OR(Nonlabor!$H$14="Monthly",AND(Nonlabor!$H$14="Once",C1821=IF(Nonlabor!$E$14="Core",Nonlabor!$F$14,MAX(Nonlabor!$F$14,IF(Nonlabor!$E$14="AI",Assumptions!$D$24,Assumptions!$D$25)))),AND(Nonlabor!$H$14="Annual",MOD(C1821-IF(Nonlabor!$E$14="Core",Nonlabor!$F$14,MAX(Nonlabor!$F$14,IF(Nonlabor!$E$14="AI",Assumptions!$D$24,Assumptions!$D$25))),12)=0))),IF(Nonlabor!$I$14="Fixed",1,IF(Nonlabor!$I$14="Seats",ROUNDUP('Monthly Base'!I21,0),IF(Nonlabor!$I$14="Customers",'Monthly Base'!D21,IF(Nonlabor!$I$14="NewCustomers",'Monthly Base'!C21,IF(Nonlabor!$I$14="StorageGB",'Monthly Base'!G21,IF(Nonlabor!$I$14="LogGB",'Monthly Base'!H21,IF(Nonlabor!$I$14="RequestsM",'Monthly Base'!F21,IF(Nonlabor!$I$14="InputM",'Monthly Base'!D21*Assumptions!$D$22/1000000,IF(Nonlabor!$I$14="OutputM",'Monthly Base'!D21*Assumptions!$D$23/1000000,0))))))))),0)</f>
        <v>9</v>
      </c>
      <c r="F1821" s="10" t="n">
        <f aca="false">Nonlabor!$J$14*(1+Assumptions!$D$9)^INT((C1821-1)/12)</f>
        <v>46.35</v>
      </c>
      <c r="G1821" s="10" t="n">
        <f aca="false">E1821*F1821</f>
        <v>417.15</v>
      </c>
      <c r="H1821" s="10" t="n">
        <f aca="false">IF(OR(Nonlabor!$L$14="Quote required",Nonlabor!$L$14="Unverified"),G1821,0)</f>
        <v>0</v>
      </c>
      <c r="I1821" s="10" t="n">
        <f aca="false">IF(Nonlabor!$E$14="Core",0,G1821)</f>
        <v>0</v>
      </c>
      <c r="J1821" s="23" t="str">
        <f aca="false">Nonlabor!$B$14</f>
        <v>TOOLS</v>
      </c>
    </row>
    <row r="1822" customFormat="false" ht="15" hidden="false" customHeight="false" outlineLevel="0" collapsed="false">
      <c r="A1822" s="6" t="s">
        <v>4</v>
      </c>
      <c r="B1822" s="6" t="s">
        <v>399</v>
      </c>
      <c r="C1822" s="6" t="n">
        <v>17</v>
      </c>
      <c r="D1822" s="25" t="n">
        <f aca="false">EDATE('Start Here'!$B$6,C1822-1)</f>
        <v>46813</v>
      </c>
      <c r="E1822" s="23" t="n">
        <f aca="false">IF(AND(OR(Nonlabor!$D$14="Both",Nonlabor!$D$14='Start Here'!$B$9),IF(Nonlabor!$E$14="Core",1,IF(Nonlabor!$E$14="AI",'Start Here'!$B$7,'Start Here'!$B$8))=1,C1822&gt;=IF(Nonlabor!$E$14="Core",Nonlabor!$F$14,MAX(Nonlabor!$F$14,IF(Nonlabor!$E$14="AI",Assumptions!$D$24,Assumptions!$D$25))),C1822&lt;=Nonlabor!$G$14,OR(Nonlabor!$H$14="Monthly",AND(Nonlabor!$H$14="Once",C1822=IF(Nonlabor!$E$14="Core",Nonlabor!$F$14,MAX(Nonlabor!$F$14,IF(Nonlabor!$E$14="AI",Assumptions!$D$24,Assumptions!$D$25)))),AND(Nonlabor!$H$14="Annual",MOD(C1822-IF(Nonlabor!$E$14="Core",Nonlabor!$F$14,MAX(Nonlabor!$F$14,IF(Nonlabor!$E$14="AI",Assumptions!$D$24,Assumptions!$D$25))),12)=0))),IF(Nonlabor!$I$14="Fixed",1,IF(Nonlabor!$I$14="Seats",ROUNDUP('Monthly Base'!I22,0),IF(Nonlabor!$I$14="Customers",'Monthly Base'!D22,IF(Nonlabor!$I$14="NewCustomers",'Monthly Base'!C22,IF(Nonlabor!$I$14="StorageGB",'Monthly Base'!G22,IF(Nonlabor!$I$14="LogGB",'Monthly Base'!H22,IF(Nonlabor!$I$14="RequestsM",'Monthly Base'!F22,IF(Nonlabor!$I$14="InputM",'Monthly Base'!D22*Assumptions!$D$22/1000000,IF(Nonlabor!$I$14="OutputM",'Monthly Base'!D22*Assumptions!$D$23/1000000,0))))))))),0)</f>
        <v>9</v>
      </c>
      <c r="F1822" s="10" t="n">
        <f aca="false">Nonlabor!$J$14*(1+Assumptions!$D$9)^INT((C1822-1)/12)</f>
        <v>46.35</v>
      </c>
      <c r="G1822" s="10" t="n">
        <f aca="false">E1822*F1822</f>
        <v>417.15</v>
      </c>
      <c r="H1822" s="10" t="n">
        <f aca="false">IF(OR(Nonlabor!$L$14="Quote required",Nonlabor!$L$14="Unverified"),G1822,0)</f>
        <v>0</v>
      </c>
      <c r="I1822" s="10" t="n">
        <f aca="false">IF(Nonlabor!$E$14="Core",0,G1822)</f>
        <v>0</v>
      </c>
      <c r="J1822" s="23" t="str">
        <f aca="false">Nonlabor!$B$14</f>
        <v>TOOLS</v>
      </c>
    </row>
    <row r="1823" customFormat="false" ht="15" hidden="false" customHeight="false" outlineLevel="0" collapsed="false">
      <c r="A1823" s="6" t="s">
        <v>4</v>
      </c>
      <c r="B1823" s="6" t="s">
        <v>399</v>
      </c>
      <c r="C1823" s="6" t="n">
        <v>18</v>
      </c>
      <c r="D1823" s="25" t="n">
        <f aca="false">EDATE('Start Here'!$B$6,C1823-1)</f>
        <v>46844</v>
      </c>
      <c r="E1823" s="23" t="n">
        <f aca="false">IF(AND(OR(Nonlabor!$D$14="Both",Nonlabor!$D$14='Start Here'!$B$9),IF(Nonlabor!$E$14="Core",1,IF(Nonlabor!$E$14="AI",'Start Here'!$B$7,'Start Here'!$B$8))=1,C1823&gt;=IF(Nonlabor!$E$14="Core",Nonlabor!$F$14,MAX(Nonlabor!$F$14,IF(Nonlabor!$E$14="AI",Assumptions!$D$24,Assumptions!$D$25))),C1823&lt;=Nonlabor!$G$14,OR(Nonlabor!$H$14="Monthly",AND(Nonlabor!$H$14="Once",C1823=IF(Nonlabor!$E$14="Core",Nonlabor!$F$14,MAX(Nonlabor!$F$14,IF(Nonlabor!$E$14="AI",Assumptions!$D$24,Assumptions!$D$25)))),AND(Nonlabor!$H$14="Annual",MOD(C1823-IF(Nonlabor!$E$14="Core",Nonlabor!$F$14,MAX(Nonlabor!$F$14,IF(Nonlabor!$E$14="AI",Assumptions!$D$24,Assumptions!$D$25))),12)=0))),IF(Nonlabor!$I$14="Fixed",1,IF(Nonlabor!$I$14="Seats",ROUNDUP('Monthly Base'!I23,0),IF(Nonlabor!$I$14="Customers",'Monthly Base'!D23,IF(Nonlabor!$I$14="NewCustomers",'Monthly Base'!C23,IF(Nonlabor!$I$14="StorageGB",'Monthly Base'!G23,IF(Nonlabor!$I$14="LogGB",'Monthly Base'!H23,IF(Nonlabor!$I$14="RequestsM",'Monthly Base'!F23,IF(Nonlabor!$I$14="InputM",'Monthly Base'!D23*Assumptions!$D$22/1000000,IF(Nonlabor!$I$14="OutputM",'Monthly Base'!D23*Assumptions!$D$23/1000000,0))))))))),0)</f>
        <v>9</v>
      </c>
      <c r="F1823" s="10" t="n">
        <f aca="false">Nonlabor!$J$14*(1+Assumptions!$D$9)^INT((C1823-1)/12)</f>
        <v>46.35</v>
      </c>
      <c r="G1823" s="10" t="n">
        <f aca="false">E1823*F1823</f>
        <v>417.15</v>
      </c>
      <c r="H1823" s="10" t="n">
        <f aca="false">IF(OR(Nonlabor!$L$14="Quote required",Nonlabor!$L$14="Unverified"),G1823,0)</f>
        <v>0</v>
      </c>
      <c r="I1823" s="10" t="n">
        <f aca="false">IF(Nonlabor!$E$14="Core",0,G1823)</f>
        <v>0</v>
      </c>
      <c r="J1823" s="23" t="str">
        <f aca="false">Nonlabor!$B$14</f>
        <v>TOOLS</v>
      </c>
    </row>
    <row r="1824" customFormat="false" ht="15" hidden="false" customHeight="false" outlineLevel="0" collapsed="false">
      <c r="A1824" s="6" t="s">
        <v>4</v>
      </c>
      <c r="B1824" s="6" t="s">
        <v>399</v>
      </c>
      <c r="C1824" s="6" t="n">
        <v>19</v>
      </c>
      <c r="D1824" s="25" t="n">
        <f aca="false">EDATE('Start Here'!$B$6,C1824-1)</f>
        <v>46874</v>
      </c>
      <c r="E1824" s="23" t="n">
        <f aca="false">IF(AND(OR(Nonlabor!$D$14="Both",Nonlabor!$D$14='Start Here'!$B$9),IF(Nonlabor!$E$14="Core",1,IF(Nonlabor!$E$14="AI",'Start Here'!$B$7,'Start Here'!$B$8))=1,C1824&gt;=IF(Nonlabor!$E$14="Core",Nonlabor!$F$14,MAX(Nonlabor!$F$14,IF(Nonlabor!$E$14="AI",Assumptions!$D$24,Assumptions!$D$25))),C1824&lt;=Nonlabor!$G$14,OR(Nonlabor!$H$14="Monthly",AND(Nonlabor!$H$14="Once",C1824=IF(Nonlabor!$E$14="Core",Nonlabor!$F$14,MAX(Nonlabor!$F$14,IF(Nonlabor!$E$14="AI",Assumptions!$D$24,Assumptions!$D$25)))),AND(Nonlabor!$H$14="Annual",MOD(C1824-IF(Nonlabor!$E$14="Core",Nonlabor!$F$14,MAX(Nonlabor!$F$14,IF(Nonlabor!$E$14="AI",Assumptions!$D$24,Assumptions!$D$25))),12)=0))),IF(Nonlabor!$I$14="Fixed",1,IF(Nonlabor!$I$14="Seats",ROUNDUP('Monthly Base'!I24,0),IF(Nonlabor!$I$14="Customers",'Monthly Base'!D24,IF(Nonlabor!$I$14="NewCustomers",'Monthly Base'!C24,IF(Nonlabor!$I$14="StorageGB",'Monthly Base'!G24,IF(Nonlabor!$I$14="LogGB",'Monthly Base'!H24,IF(Nonlabor!$I$14="RequestsM",'Monthly Base'!F24,IF(Nonlabor!$I$14="InputM",'Monthly Base'!D24*Assumptions!$D$22/1000000,IF(Nonlabor!$I$14="OutputM",'Monthly Base'!D24*Assumptions!$D$23/1000000,0))))))))),0)</f>
        <v>9</v>
      </c>
      <c r="F1824" s="10" t="n">
        <f aca="false">Nonlabor!$J$14*(1+Assumptions!$D$9)^INT((C1824-1)/12)</f>
        <v>46.35</v>
      </c>
      <c r="G1824" s="10" t="n">
        <f aca="false">E1824*F1824</f>
        <v>417.15</v>
      </c>
      <c r="H1824" s="10" t="n">
        <f aca="false">IF(OR(Nonlabor!$L$14="Quote required",Nonlabor!$L$14="Unverified"),G1824,0)</f>
        <v>0</v>
      </c>
      <c r="I1824" s="10" t="n">
        <f aca="false">IF(Nonlabor!$E$14="Core",0,G1824)</f>
        <v>0</v>
      </c>
      <c r="J1824" s="23" t="str">
        <f aca="false">Nonlabor!$B$14</f>
        <v>TOOLS</v>
      </c>
    </row>
    <row r="1825" customFormat="false" ht="15" hidden="false" customHeight="false" outlineLevel="0" collapsed="false">
      <c r="A1825" s="6" t="s">
        <v>4</v>
      </c>
      <c r="B1825" s="6" t="s">
        <v>399</v>
      </c>
      <c r="C1825" s="6" t="n">
        <v>20</v>
      </c>
      <c r="D1825" s="25" t="n">
        <f aca="false">EDATE('Start Here'!$B$6,C1825-1)</f>
        <v>46905</v>
      </c>
      <c r="E1825" s="23" t="n">
        <f aca="false">IF(AND(OR(Nonlabor!$D$14="Both",Nonlabor!$D$14='Start Here'!$B$9),IF(Nonlabor!$E$14="Core",1,IF(Nonlabor!$E$14="AI",'Start Here'!$B$7,'Start Here'!$B$8))=1,C1825&gt;=IF(Nonlabor!$E$14="Core",Nonlabor!$F$14,MAX(Nonlabor!$F$14,IF(Nonlabor!$E$14="AI",Assumptions!$D$24,Assumptions!$D$25))),C1825&lt;=Nonlabor!$G$14,OR(Nonlabor!$H$14="Monthly",AND(Nonlabor!$H$14="Once",C1825=IF(Nonlabor!$E$14="Core",Nonlabor!$F$14,MAX(Nonlabor!$F$14,IF(Nonlabor!$E$14="AI",Assumptions!$D$24,Assumptions!$D$25)))),AND(Nonlabor!$H$14="Annual",MOD(C1825-IF(Nonlabor!$E$14="Core",Nonlabor!$F$14,MAX(Nonlabor!$F$14,IF(Nonlabor!$E$14="AI",Assumptions!$D$24,Assumptions!$D$25))),12)=0))),IF(Nonlabor!$I$14="Fixed",1,IF(Nonlabor!$I$14="Seats",ROUNDUP('Monthly Base'!I25,0),IF(Nonlabor!$I$14="Customers",'Monthly Base'!D25,IF(Nonlabor!$I$14="NewCustomers",'Monthly Base'!C25,IF(Nonlabor!$I$14="StorageGB",'Monthly Base'!G25,IF(Nonlabor!$I$14="LogGB",'Monthly Base'!H25,IF(Nonlabor!$I$14="RequestsM",'Monthly Base'!F25,IF(Nonlabor!$I$14="InputM",'Monthly Base'!D25*Assumptions!$D$22/1000000,IF(Nonlabor!$I$14="OutputM",'Monthly Base'!D25*Assumptions!$D$23/1000000,0))))))))),0)</f>
        <v>9</v>
      </c>
      <c r="F1825" s="10" t="n">
        <f aca="false">Nonlabor!$J$14*(1+Assumptions!$D$9)^INT((C1825-1)/12)</f>
        <v>46.35</v>
      </c>
      <c r="G1825" s="10" t="n">
        <f aca="false">E1825*F1825</f>
        <v>417.15</v>
      </c>
      <c r="H1825" s="10" t="n">
        <f aca="false">IF(OR(Nonlabor!$L$14="Quote required",Nonlabor!$L$14="Unverified"),G1825,0)</f>
        <v>0</v>
      </c>
      <c r="I1825" s="10" t="n">
        <f aca="false">IF(Nonlabor!$E$14="Core",0,G1825)</f>
        <v>0</v>
      </c>
      <c r="J1825" s="23" t="str">
        <f aca="false">Nonlabor!$B$14</f>
        <v>TOOLS</v>
      </c>
    </row>
    <row r="1826" customFormat="false" ht="15" hidden="false" customHeight="false" outlineLevel="0" collapsed="false">
      <c r="A1826" s="6" t="s">
        <v>4</v>
      </c>
      <c r="B1826" s="6" t="s">
        <v>399</v>
      </c>
      <c r="C1826" s="6" t="n">
        <v>21</v>
      </c>
      <c r="D1826" s="25" t="n">
        <f aca="false">EDATE('Start Here'!$B$6,C1826-1)</f>
        <v>46935</v>
      </c>
      <c r="E1826" s="23" t="n">
        <f aca="false">IF(AND(OR(Nonlabor!$D$14="Both",Nonlabor!$D$14='Start Here'!$B$9),IF(Nonlabor!$E$14="Core",1,IF(Nonlabor!$E$14="AI",'Start Here'!$B$7,'Start Here'!$B$8))=1,C1826&gt;=IF(Nonlabor!$E$14="Core",Nonlabor!$F$14,MAX(Nonlabor!$F$14,IF(Nonlabor!$E$14="AI",Assumptions!$D$24,Assumptions!$D$25))),C1826&lt;=Nonlabor!$G$14,OR(Nonlabor!$H$14="Monthly",AND(Nonlabor!$H$14="Once",C1826=IF(Nonlabor!$E$14="Core",Nonlabor!$F$14,MAX(Nonlabor!$F$14,IF(Nonlabor!$E$14="AI",Assumptions!$D$24,Assumptions!$D$25)))),AND(Nonlabor!$H$14="Annual",MOD(C1826-IF(Nonlabor!$E$14="Core",Nonlabor!$F$14,MAX(Nonlabor!$F$14,IF(Nonlabor!$E$14="AI",Assumptions!$D$24,Assumptions!$D$25))),12)=0))),IF(Nonlabor!$I$14="Fixed",1,IF(Nonlabor!$I$14="Seats",ROUNDUP('Monthly Base'!I26,0),IF(Nonlabor!$I$14="Customers",'Monthly Base'!D26,IF(Nonlabor!$I$14="NewCustomers",'Monthly Base'!C26,IF(Nonlabor!$I$14="StorageGB",'Monthly Base'!G26,IF(Nonlabor!$I$14="LogGB",'Monthly Base'!H26,IF(Nonlabor!$I$14="RequestsM",'Monthly Base'!F26,IF(Nonlabor!$I$14="InputM",'Monthly Base'!D26*Assumptions!$D$22/1000000,IF(Nonlabor!$I$14="OutputM",'Monthly Base'!D26*Assumptions!$D$23/1000000,0))))))))),0)</f>
        <v>9</v>
      </c>
      <c r="F1826" s="10" t="n">
        <f aca="false">Nonlabor!$J$14*(1+Assumptions!$D$9)^INT((C1826-1)/12)</f>
        <v>46.35</v>
      </c>
      <c r="G1826" s="10" t="n">
        <f aca="false">E1826*F1826</f>
        <v>417.15</v>
      </c>
      <c r="H1826" s="10" t="n">
        <f aca="false">IF(OR(Nonlabor!$L$14="Quote required",Nonlabor!$L$14="Unverified"),G1826,0)</f>
        <v>0</v>
      </c>
      <c r="I1826" s="10" t="n">
        <f aca="false">IF(Nonlabor!$E$14="Core",0,G1826)</f>
        <v>0</v>
      </c>
      <c r="J1826" s="23" t="str">
        <f aca="false">Nonlabor!$B$14</f>
        <v>TOOLS</v>
      </c>
    </row>
    <row r="1827" customFormat="false" ht="15" hidden="false" customHeight="false" outlineLevel="0" collapsed="false">
      <c r="A1827" s="6" t="s">
        <v>4</v>
      </c>
      <c r="B1827" s="6" t="s">
        <v>399</v>
      </c>
      <c r="C1827" s="6" t="n">
        <v>22</v>
      </c>
      <c r="D1827" s="25" t="n">
        <f aca="false">EDATE('Start Here'!$B$6,C1827-1)</f>
        <v>46966</v>
      </c>
      <c r="E1827" s="23" t="n">
        <f aca="false">IF(AND(OR(Nonlabor!$D$14="Both",Nonlabor!$D$14='Start Here'!$B$9),IF(Nonlabor!$E$14="Core",1,IF(Nonlabor!$E$14="AI",'Start Here'!$B$7,'Start Here'!$B$8))=1,C1827&gt;=IF(Nonlabor!$E$14="Core",Nonlabor!$F$14,MAX(Nonlabor!$F$14,IF(Nonlabor!$E$14="AI",Assumptions!$D$24,Assumptions!$D$25))),C1827&lt;=Nonlabor!$G$14,OR(Nonlabor!$H$14="Monthly",AND(Nonlabor!$H$14="Once",C1827=IF(Nonlabor!$E$14="Core",Nonlabor!$F$14,MAX(Nonlabor!$F$14,IF(Nonlabor!$E$14="AI",Assumptions!$D$24,Assumptions!$D$25)))),AND(Nonlabor!$H$14="Annual",MOD(C1827-IF(Nonlabor!$E$14="Core",Nonlabor!$F$14,MAX(Nonlabor!$F$14,IF(Nonlabor!$E$14="AI",Assumptions!$D$24,Assumptions!$D$25))),12)=0))),IF(Nonlabor!$I$14="Fixed",1,IF(Nonlabor!$I$14="Seats",ROUNDUP('Monthly Base'!I27,0),IF(Nonlabor!$I$14="Customers",'Monthly Base'!D27,IF(Nonlabor!$I$14="NewCustomers",'Monthly Base'!C27,IF(Nonlabor!$I$14="StorageGB",'Monthly Base'!G27,IF(Nonlabor!$I$14="LogGB",'Monthly Base'!H27,IF(Nonlabor!$I$14="RequestsM",'Monthly Base'!F27,IF(Nonlabor!$I$14="InputM",'Monthly Base'!D27*Assumptions!$D$22/1000000,IF(Nonlabor!$I$14="OutputM",'Monthly Base'!D27*Assumptions!$D$23/1000000,0))))))))),0)</f>
        <v>9</v>
      </c>
      <c r="F1827" s="10" t="n">
        <f aca="false">Nonlabor!$J$14*(1+Assumptions!$D$9)^INT((C1827-1)/12)</f>
        <v>46.35</v>
      </c>
      <c r="G1827" s="10" t="n">
        <f aca="false">E1827*F1827</f>
        <v>417.15</v>
      </c>
      <c r="H1827" s="10" t="n">
        <f aca="false">IF(OR(Nonlabor!$L$14="Quote required",Nonlabor!$L$14="Unverified"),G1827,0)</f>
        <v>0</v>
      </c>
      <c r="I1827" s="10" t="n">
        <f aca="false">IF(Nonlabor!$E$14="Core",0,G1827)</f>
        <v>0</v>
      </c>
      <c r="J1827" s="23" t="str">
        <f aca="false">Nonlabor!$B$14</f>
        <v>TOOLS</v>
      </c>
    </row>
    <row r="1828" customFormat="false" ht="15" hidden="false" customHeight="false" outlineLevel="0" collapsed="false">
      <c r="A1828" s="6" t="s">
        <v>4</v>
      </c>
      <c r="B1828" s="6" t="s">
        <v>399</v>
      </c>
      <c r="C1828" s="6" t="n">
        <v>23</v>
      </c>
      <c r="D1828" s="25" t="n">
        <f aca="false">EDATE('Start Here'!$B$6,C1828-1)</f>
        <v>46997</v>
      </c>
      <c r="E1828" s="23" t="n">
        <f aca="false">IF(AND(OR(Nonlabor!$D$14="Both",Nonlabor!$D$14='Start Here'!$B$9),IF(Nonlabor!$E$14="Core",1,IF(Nonlabor!$E$14="AI",'Start Here'!$B$7,'Start Here'!$B$8))=1,C1828&gt;=IF(Nonlabor!$E$14="Core",Nonlabor!$F$14,MAX(Nonlabor!$F$14,IF(Nonlabor!$E$14="AI",Assumptions!$D$24,Assumptions!$D$25))),C1828&lt;=Nonlabor!$G$14,OR(Nonlabor!$H$14="Monthly",AND(Nonlabor!$H$14="Once",C1828=IF(Nonlabor!$E$14="Core",Nonlabor!$F$14,MAX(Nonlabor!$F$14,IF(Nonlabor!$E$14="AI",Assumptions!$D$24,Assumptions!$D$25)))),AND(Nonlabor!$H$14="Annual",MOD(C1828-IF(Nonlabor!$E$14="Core",Nonlabor!$F$14,MAX(Nonlabor!$F$14,IF(Nonlabor!$E$14="AI",Assumptions!$D$24,Assumptions!$D$25))),12)=0))),IF(Nonlabor!$I$14="Fixed",1,IF(Nonlabor!$I$14="Seats",ROUNDUP('Monthly Base'!I28,0),IF(Nonlabor!$I$14="Customers",'Monthly Base'!D28,IF(Nonlabor!$I$14="NewCustomers",'Monthly Base'!C28,IF(Nonlabor!$I$14="StorageGB",'Monthly Base'!G28,IF(Nonlabor!$I$14="LogGB",'Monthly Base'!H28,IF(Nonlabor!$I$14="RequestsM",'Monthly Base'!F28,IF(Nonlabor!$I$14="InputM",'Monthly Base'!D28*Assumptions!$D$22/1000000,IF(Nonlabor!$I$14="OutputM",'Monthly Base'!D28*Assumptions!$D$23/1000000,0))))))))),0)</f>
        <v>9</v>
      </c>
      <c r="F1828" s="10" t="n">
        <f aca="false">Nonlabor!$J$14*(1+Assumptions!$D$9)^INT((C1828-1)/12)</f>
        <v>46.35</v>
      </c>
      <c r="G1828" s="10" t="n">
        <f aca="false">E1828*F1828</f>
        <v>417.15</v>
      </c>
      <c r="H1828" s="10" t="n">
        <f aca="false">IF(OR(Nonlabor!$L$14="Quote required",Nonlabor!$L$14="Unverified"),G1828,0)</f>
        <v>0</v>
      </c>
      <c r="I1828" s="10" t="n">
        <f aca="false">IF(Nonlabor!$E$14="Core",0,G1828)</f>
        <v>0</v>
      </c>
      <c r="J1828" s="23" t="str">
        <f aca="false">Nonlabor!$B$14</f>
        <v>TOOLS</v>
      </c>
    </row>
    <row r="1829" customFormat="false" ht="15" hidden="false" customHeight="false" outlineLevel="0" collapsed="false">
      <c r="A1829" s="6" t="s">
        <v>4</v>
      </c>
      <c r="B1829" s="6" t="s">
        <v>399</v>
      </c>
      <c r="C1829" s="6" t="n">
        <v>24</v>
      </c>
      <c r="D1829" s="25" t="n">
        <f aca="false">EDATE('Start Here'!$B$6,C1829-1)</f>
        <v>47027</v>
      </c>
      <c r="E1829" s="23" t="n">
        <f aca="false">IF(AND(OR(Nonlabor!$D$14="Both",Nonlabor!$D$14='Start Here'!$B$9),IF(Nonlabor!$E$14="Core",1,IF(Nonlabor!$E$14="AI",'Start Here'!$B$7,'Start Here'!$B$8))=1,C1829&gt;=IF(Nonlabor!$E$14="Core",Nonlabor!$F$14,MAX(Nonlabor!$F$14,IF(Nonlabor!$E$14="AI",Assumptions!$D$24,Assumptions!$D$25))),C1829&lt;=Nonlabor!$G$14,OR(Nonlabor!$H$14="Monthly",AND(Nonlabor!$H$14="Once",C1829=IF(Nonlabor!$E$14="Core",Nonlabor!$F$14,MAX(Nonlabor!$F$14,IF(Nonlabor!$E$14="AI",Assumptions!$D$24,Assumptions!$D$25)))),AND(Nonlabor!$H$14="Annual",MOD(C1829-IF(Nonlabor!$E$14="Core",Nonlabor!$F$14,MAX(Nonlabor!$F$14,IF(Nonlabor!$E$14="AI",Assumptions!$D$24,Assumptions!$D$25))),12)=0))),IF(Nonlabor!$I$14="Fixed",1,IF(Nonlabor!$I$14="Seats",ROUNDUP('Monthly Base'!I29,0),IF(Nonlabor!$I$14="Customers",'Monthly Base'!D29,IF(Nonlabor!$I$14="NewCustomers",'Monthly Base'!C29,IF(Nonlabor!$I$14="StorageGB",'Monthly Base'!G29,IF(Nonlabor!$I$14="LogGB",'Monthly Base'!H29,IF(Nonlabor!$I$14="RequestsM",'Monthly Base'!F29,IF(Nonlabor!$I$14="InputM",'Monthly Base'!D29*Assumptions!$D$22/1000000,IF(Nonlabor!$I$14="OutputM",'Monthly Base'!D29*Assumptions!$D$23/1000000,0))))))))),0)</f>
        <v>9</v>
      </c>
      <c r="F1829" s="10" t="n">
        <f aca="false">Nonlabor!$J$14*(1+Assumptions!$D$9)^INT((C1829-1)/12)</f>
        <v>46.35</v>
      </c>
      <c r="G1829" s="10" t="n">
        <f aca="false">E1829*F1829</f>
        <v>417.15</v>
      </c>
      <c r="H1829" s="10" t="n">
        <f aca="false">IF(OR(Nonlabor!$L$14="Quote required",Nonlabor!$L$14="Unverified"),G1829,0)</f>
        <v>0</v>
      </c>
      <c r="I1829" s="10" t="n">
        <f aca="false">IF(Nonlabor!$E$14="Core",0,G1829)</f>
        <v>0</v>
      </c>
      <c r="J1829" s="23" t="str">
        <f aca="false">Nonlabor!$B$14</f>
        <v>TOOLS</v>
      </c>
    </row>
    <row r="1830" customFormat="false" ht="15" hidden="false" customHeight="false" outlineLevel="0" collapsed="false">
      <c r="A1830" s="6" t="s">
        <v>4</v>
      </c>
      <c r="B1830" s="6" t="s">
        <v>399</v>
      </c>
      <c r="C1830" s="6" t="n">
        <v>25</v>
      </c>
      <c r="D1830" s="25" t="n">
        <f aca="false">EDATE('Start Here'!$B$6,C1830-1)</f>
        <v>47058</v>
      </c>
      <c r="E1830" s="23" t="n">
        <f aca="false">IF(AND(OR(Nonlabor!$D$14="Both",Nonlabor!$D$14='Start Here'!$B$9),IF(Nonlabor!$E$14="Core",1,IF(Nonlabor!$E$14="AI",'Start Here'!$B$7,'Start Here'!$B$8))=1,C1830&gt;=IF(Nonlabor!$E$14="Core",Nonlabor!$F$14,MAX(Nonlabor!$F$14,IF(Nonlabor!$E$14="AI",Assumptions!$D$24,Assumptions!$D$25))),C1830&lt;=Nonlabor!$G$14,OR(Nonlabor!$H$14="Monthly",AND(Nonlabor!$H$14="Once",C1830=IF(Nonlabor!$E$14="Core",Nonlabor!$F$14,MAX(Nonlabor!$F$14,IF(Nonlabor!$E$14="AI",Assumptions!$D$24,Assumptions!$D$25)))),AND(Nonlabor!$H$14="Annual",MOD(C1830-IF(Nonlabor!$E$14="Core",Nonlabor!$F$14,MAX(Nonlabor!$F$14,IF(Nonlabor!$E$14="AI",Assumptions!$D$24,Assumptions!$D$25))),12)=0))),IF(Nonlabor!$I$14="Fixed",1,IF(Nonlabor!$I$14="Seats",ROUNDUP('Monthly Base'!I30,0),IF(Nonlabor!$I$14="Customers",'Monthly Base'!D30,IF(Nonlabor!$I$14="NewCustomers",'Monthly Base'!C30,IF(Nonlabor!$I$14="StorageGB",'Monthly Base'!G30,IF(Nonlabor!$I$14="LogGB",'Monthly Base'!H30,IF(Nonlabor!$I$14="RequestsM",'Monthly Base'!F30,IF(Nonlabor!$I$14="InputM",'Monthly Base'!D30*Assumptions!$D$22/1000000,IF(Nonlabor!$I$14="OutputM",'Monthly Base'!D30*Assumptions!$D$23/1000000,0))))))))),0)</f>
        <v>9</v>
      </c>
      <c r="F1830" s="10" t="n">
        <f aca="false">Nonlabor!$J$14*(1+Assumptions!$D$9)^INT((C1830-1)/12)</f>
        <v>47.7405</v>
      </c>
      <c r="G1830" s="10" t="n">
        <f aca="false">E1830*F1830</f>
        <v>429.6645</v>
      </c>
      <c r="H1830" s="10" t="n">
        <f aca="false">IF(OR(Nonlabor!$L$14="Quote required",Nonlabor!$L$14="Unverified"),G1830,0)</f>
        <v>0</v>
      </c>
      <c r="I1830" s="10" t="n">
        <f aca="false">IF(Nonlabor!$E$14="Core",0,G1830)</f>
        <v>0</v>
      </c>
      <c r="J1830" s="23" t="str">
        <f aca="false">Nonlabor!$B$14</f>
        <v>TOOLS</v>
      </c>
    </row>
    <row r="1831" customFormat="false" ht="15" hidden="false" customHeight="false" outlineLevel="0" collapsed="false">
      <c r="A1831" s="6" t="s">
        <v>4</v>
      </c>
      <c r="B1831" s="6" t="s">
        <v>399</v>
      </c>
      <c r="C1831" s="6" t="n">
        <v>26</v>
      </c>
      <c r="D1831" s="25" t="n">
        <f aca="false">EDATE('Start Here'!$B$6,C1831-1)</f>
        <v>47088</v>
      </c>
      <c r="E1831" s="23" t="n">
        <f aca="false">IF(AND(OR(Nonlabor!$D$14="Both",Nonlabor!$D$14='Start Here'!$B$9),IF(Nonlabor!$E$14="Core",1,IF(Nonlabor!$E$14="AI",'Start Here'!$B$7,'Start Here'!$B$8))=1,C1831&gt;=IF(Nonlabor!$E$14="Core",Nonlabor!$F$14,MAX(Nonlabor!$F$14,IF(Nonlabor!$E$14="AI",Assumptions!$D$24,Assumptions!$D$25))),C1831&lt;=Nonlabor!$G$14,OR(Nonlabor!$H$14="Monthly",AND(Nonlabor!$H$14="Once",C1831=IF(Nonlabor!$E$14="Core",Nonlabor!$F$14,MAX(Nonlabor!$F$14,IF(Nonlabor!$E$14="AI",Assumptions!$D$24,Assumptions!$D$25)))),AND(Nonlabor!$H$14="Annual",MOD(C1831-IF(Nonlabor!$E$14="Core",Nonlabor!$F$14,MAX(Nonlabor!$F$14,IF(Nonlabor!$E$14="AI",Assumptions!$D$24,Assumptions!$D$25))),12)=0))),IF(Nonlabor!$I$14="Fixed",1,IF(Nonlabor!$I$14="Seats",ROUNDUP('Monthly Base'!I31,0),IF(Nonlabor!$I$14="Customers",'Monthly Base'!D31,IF(Nonlabor!$I$14="NewCustomers",'Monthly Base'!C31,IF(Nonlabor!$I$14="StorageGB",'Monthly Base'!G31,IF(Nonlabor!$I$14="LogGB",'Monthly Base'!H31,IF(Nonlabor!$I$14="RequestsM",'Monthly Base'!F31,IF(Nonlabor!$I$14="InputM",'Monthly Base'!D31*Assumptions!$D$22/1000000,IF(Nonlabor!$I$14="OutputM",'Monthly Base'!D31*Assumptions!$D$23/1000000,0))))))))),0)</f>
        <v>9</v>
      </c>
      <c r="F1831" s="10" t="n">
        <f aca="false">Nonlabor!$J$14*(1+Assumptions!$D$9)^INT((C1831-1)/12)</f>
        <v>47.7405</v>
      </c>
      <c r="G1831" s="10" t="n">
        <f aca="false">E1831*F1831</f>
        <v>429.6645</v>
      </c>
      <c r="H1831" s="10" t="n">
        <f aca="false">IF(OR(Nonlabor!$L$14="Quote required",Nonlabor!$L$14="Unverified"),G1831,0)</f>
        <v>0</v>
      </c>
      <c r="I1831" s="10" t="n">
        <f aca="false">IF(Nonlabor!$E$14="Core",0,G1831)</f>
        <v>0</v>
      </c>
      <c r="J1831" s="23" t="str">
        <f aca="false">Nonlabor!$B$14</f>
        <v>TOOLS</v>
      </c>
    </row>
    <row r="1832" customFormat="false" ht="15" hidden="false" customHeight="false" outlineLevel="0" collapsed="false">
      <c r="A1832" s="6" t="s">
        <v>4</v>
      </c>
      <c r="B1832" s="6" t="s">
        <v>399</v>
      </c>
      <c r="C1832" s="6" t="n">
        <v>27</v>
      </c>
      <c r="D1832" s="25" t="n">
        <f aca="false">EDATE('Start Here'!$B$6,C1832-1)</f>
        <v>47119</v>
      </c>
      <c r="E1832" s="23" t="n">
        <f aca="false">IF(AND(OR(Nonlabor!$D$14="Both",Nonlabor!$D$14='Start Here'!$B$9),IF(Nonlabor!$E$14="Core",1,IF(Nonlabor!$E$14="AI",'Start Here'!$B$7,'Start Here'!$B$8))=1,C1832&gt;=IF(Nonlabor!$E$14="Core",Nonlabor!$F$14,MAX(Nonlabor!$F$14,IF(Nonlabor!$E$14="AI",Assumptions!$D$24,Assumptions!$D$25))),C1832&lt;=Nonlabor!$G$14,OR(Nonlabor!$H$14="Monthly",AND(Nonlabor!$H$14="Once",C1832=IF(Nonlabor!$E$14="Core",Nonlabor!$F$14,MAX(Nonlabor!$F$14,IF(Nonlabor!$E$14="AI",Assumptions!$D$24,Assumptions!$D$25)))),AND(Nonlabor!$H$14="Annual",MOD(C1832-IF(Nonlabor!$E$14="Core",Nonlabor!$F$14,MAX(Nonlabor!$F$14,IF(Nonlabor!$E$14="AI",Assumptions!$D$24,Assumptions!$D$25))),12)=0))),IF(Nonlabor!$I$14="Fixed",1,IF(Nonlabor!$I$14="Seats",ROUNDUP('Monthly Base'!I32,0),IF(Nonlabor!$I$14="Customers",'Monthly Base'!D32,IF(Nonlabor!$I$14="NewCustomers",'Monthly Base'!C32,IF(Nonlabor!$I$14="StorageGB",'Monthly Base'!G32,IF(Nonlabor!$I$14="LogGB",'Monthly Base'!H32,IF(Nonlabor!$I$14="RequestsM",'Monthly Base'!F32,IF(Nonlabor!$I$14="InputM",'Monthly Base'!D32*Assumptions!$D$22/1000000,IF(Nonlabor!$I$14="OutputM",'Monthly Base'!D32*Assumptions!$D$23/1000000,0))))))))),0)</f>
        <v>9</v>
      </c>
      <c r="F1832" s="10" t="n">
        <f aca="false">Nonlabor!$J$14*(1+Assumptions!$D$9)^INT((C1832-1)/12)</f>
        <v>47.7405</v>
      </c>
      <c r="G1832" s="10" t="n">
        <f aca="false">E1832*F1832</f>
        <v>429.6645</v>
      </c>
      <c r="H1832" s="10" t="n">
        <f aca="false">IF(OR(Nonlabor!$L$14="Quote required",Nonlabor!$L$14="Unverified"),G1832,0)</f>
        <v>0</v>
      </c>
      <c r="I1832" s="10" t="n">
        <f aca="false">IF(Nonlabor!$E$14="Core",0,G1832)</f>
        <v>0</v>
      </c>
      <c r="J1832" s="23" t="str">
        <f aca="false">Nonlabor!$B$14</f>
        <v>TOOLS</v>
      </c>
    </row>
    <row r="1833" customFormat="false" ht="15" hidden="false" customHeight="false" outlineLevel="0" collapsed="false">
      <c r="A1833" s="6" t="s">
        <v>4</v>
      </c>
      <c r="B1833" s="6" t="s">
        <v>399</v>
      </c>
      <c r="C1833" s="6" t="n">
        <v>28</v>
      </c>
      <c r="D1833" s="25" t="n">
        <f aca="false">EDATE('Start Here'!$B$6,C1833-1)</f>
        <v>47150</v>
      </c>
      <c r="E1833" s="23" t="n">
        <f aca="false">IF(AND(OR(Nonlabor!$D$14="Both",Nonlabor!$D$14='Start Here'!$B$9),IF(Nonlabor!$E$14="Core",1,IF(Nonlabor!$E$14="AI",'Start Here'!$B$7,'Start Here'!$B$8))=1,C1833&gt;=IF(Nonlabor!$E$14="Core",Nonlabor!$F$14,MAX(Nonlabor!$F$14,IF(Nonlabor!$E$14="AI",Assumptions!$D$24,Assumptions!$D$25))),C1833&lt;=Nonlabor!$G$14,OR(Nonlabor!$H$14="Monthly",AND(Nonlabor!$H$14="Once",C1833=IF(Nonlabor!$E$14="Core",Nonlabor!$F$14,MAX(Nonlabor!$F$14,IF(Nonlabor!$E$14="AI",Assumptions!$D$24,Assumptions!$D$25)))),AND(Nonlabor!$H$14="Annual",MOD(C1833-IF(Nonlabor!$E$14="Core",Nonlabor!$F$14,MAX(Nonlabor!$F$14,IF(Nonlabor!$E$14="AI",Assumptions!$D$24,Assumptions!$D$25))),12)=0))),IF(Nonlabor!$I$14="Fixed",1,IF(Nonlabor!$I$14="Seats",ROUNDUP('Monthly Base'!I33,0),IF(Nonlabor!$I$14="Customers",'Monthly Base'!D33,IF(Nonlabor!$I$14="NewCustomers",'Monthly Base'!C33,IF(Nonlabor!$I$14="StorageGB",'Monthly Base'!G33,IF(Nonlabor!$I$14="LogGB",'Monthly Base'!H33,IF(Nonlabor!$I$14="RequestsM",'Monthly Base'!F33,IF(Nonlabor!$I$14="InputM",'Monthly Base'!D33*Assumptions!$D$22/1000000,IF(Nonlabor!$I$14="OutputM",'Monthly Base'!D33*Assumptions!$D$23/1000000,0))))))))),0)</f>
        <v>9</v>
      </c>
      <c r="F1833" s="10" t="n">
        <f aca="false">Nonlabor!$J$14*(1+Assumptions!$D$9)^INT((C1833-1)/12)</f>
        <v>47.7405</v>
      </c>
      <c r="G1833" s="10" t="n">
        <f aca="false">E1833*F1833</f>
        <v>429.6645</v>
      </c>
      <c r="H1833" s="10" t="n">
        <f aca="false">IF(OR(Nonlabor!$L$14="Quote required",Nonlabor!$L$14="Unverified"),G1833,0)</f>
        <v>0</v>
      </c>
      <c r="I1833" s="10" t="n">
        <f aca="false">IF(Nonlabor!$E$14="Core",0,G1833)</f>
        <v>0</v>
      </c>
      <c r="J1833" s="23" t="str">
        <f aca="false">Nonlabor!$B$14</f>
        <v>TOOLS</v>
      </c>
    </row>
    <row r="1834" customFormat="false" ht="15" hidden="false" customHeight="false" outlineLevel="0" collapsed="false">
      <c r="A1834" s="6" t="s">
        <v>4</v>
      </c>
      <c r="B1834" s="6" t="s">
        <v>399</v>
      </c>
      <c r="C1834" s="6" t="n">
        <v>29</v>
      </c>
      <c r="D1834" s="25" t="n">
        <f aca="false">EDATE('Start Here'!$B$6,C1834-1)</f>
        <v>47178</v>
      </c>
      <c r="E1834" s="23" t="n">
        <f aca="false">IF(AND(OR(Nonlabor!$D$14="Both",Nonlabor!$D$14='Start Here'!$B$9),IF(Nonlabor!$E$14="Core",1,IF(Nonlabor!$E$14="AI",'Start Here'!$B$7,'Start Here'!$B$8))=1,C1834&gt;=IF(Nonlabor!$E$14="Core",Nonlabor!$F$14,MAX(Nonlabor!$F$14,IF(Nonlabor!$E$14="AI",Assumptions!$D$24,Assumptions!$D$25))),C1834&lt;=Nonlabor!$G$14,OR(Nonlabor!$H$14="Monthly",AND(Nonlabor!$H$14="Once",C1834=IF(Nonlabor!$E$14="Core",Nonlabor!$F$14,MAX(Nonlabor!$F$14,IF(Nonlabor!$E$14="AI",Assumptions!$D$24,Assumptions!$D$25)))),AND(Nonlabor!$H$14="Annual",MOD(C1834-IF(Nonlabor!$E$14="Core",Nonlabor!$F$14,MAX(Nonlabor!$F$14,IF(Nonlabor!$E$14="AI",Assumptions!$D$24,Assumptions!$D$25))),12)=0))),IF(Nonlabor!$I$14="Fixed",1,IF(Nonlabor!$I$14="Seats",ROUNDUP('Monthly Base'!I34,0),IF(Nonlabor!$I$14="Customers",'Monthly Base'!D34,IF(Nonlabor!$I$14="NewCustomers",'Monthly Base'!C34,IF(Nonlabor!$I$14="StorageGB",'Monthly Base'!G34,IF(Nonlabor!$I$14="LogGB",'Monthly Base'!H34,IF(Nonlabor!$I$14="RequestsM",'Monthly Base'!F34,IF(Nonlabor!$I$14="InputM",'Monthly Base'!D34*Assumptions!$D$22/1000000,IF(Nonlabor!$I$14="OutputM",'Monthly Base'!D34*Assumptions!$D$23/1000000,0))))))))),0)</f>
        <v>9</v>
      </c>
      <c r="F1834" s="10" t="n">
        <f aca="false">Nonlabor!$J$14*(1+Assumptions!$D$9)^INT((C1834-1)/12)</f>
        <v>47.7405</v>
      </c>
      <c r="G1834" s="10" t="n">
        <f aca="false">E1834*F1834</f>
        <v>429.6645</v>
      </c>
      <c r="H1834" s="10" t="n">
        <f aca="false">IF(OR(Nonlabor!$L$14="Quote required",Nonlabor!$L$14="Unverified"),G1834,0)</f>
        <v>0</v>
      </c>
      <c r="I1834" s="10" t="n">
        <f aca="false">IF(Nonlabor!$E$14="Core",0,G1834)</f>
        <v>0</v>
      </c>
      <c r="J1834" s="23" t="str">
        <f aca="false">Nonlabor!$B$14</f>
        <v>TOOLS</v>
      </c>
    </row>
    <row r="1835" customFormat="false" ht="15" hidden="false" customHeight="false" outlineLevel="0" collapsed="false">
      <c r="A1835" s="6" t="s">
        <v>4</v>
      </c>
      <c r="B1835" s="6" t="s">
        <v>399</v>
      </c>
      <c r="C1835" s="6" t="n">
        <v>30</v>
      </c>
      <c r="D1835" s="25" t="n">
        <f aca="false">EDATE('Start Here'!$B$6,C1835-1)</f>
        <v>47209</v>
      </c>
      <c r="E1835" s="23" t="n">
        <f aca="false">IF(AND(OR(Nonlabor!$D$14="Both",Nonlabor!$D$14='Start Here'!$B$9),IF(Nonlabor!$E$14="Core",1,IF(Nonlabor!$E$14="AI",'Start Here'!$B$7,'Start Here'!$B$8))=1,C1835&gt;=IF(Nonlabor!$E$14="Core",Nonlabor!$F$14,MAX(Nonlabor!$F$14,IF(Nonlabor!$E$14="AI",Assumptions!$D$24,Assumptions!$D$25))),C1835&lt;=Nonlabor!$G$14,OR(Nonlabor!$H$14="Monthly",AND(Nonlabor!$H$14="Once",C1835=IF(Nonlabor!$E$14="Core",Nonlabor!$F$14,MAX(Nonlabor!$F$14,IF(Nonlabor!$E$14="AI",Assumptions!$D$24,Assumptions!$D$25)))),AND(Nonlabor!$H$14="Annual",MOD(C1835-IF(Nonlabor!$E$14="Core",Nonlabor!$F$14,MAX(Nonlabor!$F$14,IF(Nonlabor!$E$14="AI",Assumptions!$D$24,Assumptions!$D$25))),12)=0))),IF(Nonlabor!$I$14="Fixed",1,IF(Nonlabor!$I$14="Seats",ROUNDUP('Monthly Base'!I35,0),IF(Nonlabor!$I$14="Customers",'Monthly Base'!D35,IF(Nonlabor!$I$14="NewCustomers",'Monthly Base'!C35,IF(Nonlabor!$I$14="StorageGB",'Monthly Base'!G35,IF(Nonlabor!$I$14="LogGB",'Monthly Base'!H35,IF(Nonlabor!$I$14="RequestsM",'Monthly Base'!F35,IF(Nonlabor!$I$14="InputM",'Monthly Base'!D35*Assumptions!$D$22/1000000,IF(Nonlabor!$I$14="OutputM",'Monthly Base'!D35*Assumptions!$D$23/1000000,0))))))))),0)</f>
        <v>9</v>
      </c>
      <c r="F1835" s="10" t="n">
        <f aca="false">Nonlabor!$J$14*(1+Assumptions!$D$9)^INT((C1835-1)/12)</f>
        <v>47.7405</v>
      </c>
      <c r="G1835" s="10" t="n">
        <f aca="false">E1835*F1835</f>
        <v>429.6645</v>
      </c>
      <c r="H1835" s="10" t="n">
        <f aca="false">IF(OR(Nonlabor!$L$14="Quote required",Nonlabor!$L$14="Unverified"),G1835,0)</f>
        <v>0</v>
      </c>
      <c r="I1835" s="10" t="n">
        <f aca="false">IF(Nonlabor!$E$14="Core",0,G1835)</f>
        <v>0</v>
      </c>
      <c r="J1835" s="23" t="str">
        <f aca="false">Nonlabor!$B$14</f>
        <v>TOOLS</v>
      </c>
    </row>
    <row r="1836" customFormat="false" ht="15" hidden="false" customHeight="false" outlineLevel="0" collapsed="false">
      <c r="A1836" s="6" t="s">
        <v>4</v>
      </c>
      <c r="B1836" s="6" t="s">
        <v>399</v>
      </c>
      <c r="C1836" s="6" t="n">
        <v>31</v>
      </c>
      <c r="D1836" s="25" t="n">
        <f aca="false">EDATE('Start Here'!$B$6,C1836-1)</f>
        <v>47239</v>
      </c>
      <c r="E1836" s="23" t="n">
        <f aca="false">IF(AND(OR(Nonlabor!$D$14="Both",Nonlabor!$D$14='Start Here'!$B$9),IF(Nonlabor!$E$14="Core",1,IF(Nonlabor!$E$14="AI",'Start Here'!$B$7,'Start Here'!$B$8))=1,C1836&gt;=IF(Nonlabor!$E$14="Core",Nonlabor!$F$14,MAX(Nonlabor!$F$14,IF(Nonlabor!$E$14="AI",Assumptions!$D$24,Assumptions!$D$25))),C1836&lt;=Nonlabor!$G$14,OR(Nonlabor!$H$14="Monthly",AND(Nonlabor!$H$14="Once",C1836=IF(Nonlabor!$E$14="Core",Nonlabor!$F$14,MAX(Nonlabor!$F$14,IF(Nonlabor!$E$14="AI",Assumptions!$D$24,Assumptions!$D$25)))),AND(Nonlabor!$H$14="Annual",MOD(C1836-IF(Nonlabor!$E$14="Core",Nonlabor!$F$14,MAX(Nonlabor!$F$14,IF(Nonlabor!$E$14="AI",Assumptions!$D$24,Assumptions!$D$25))),12)=0))),IF(Nonlabor!$I$14="Fixed",1,IF(Nonlabor!$I$14="Seats",ROUNDUP('Monthly Base'!I36,0),IF(Nonlabor!$I$14="Customers",'Monthly Base'!D36,IF(Nonlabor!$I$14="NewCustomers",'Monthly Base'!C36,IF(Nonlabor!$I$14="StorageGB",'Monthly Base'!G36,IF(Nonlabor!$I$14="LogGB",'Monthly Base'!H36,IF(Nonlabor!$I$14="RequestsM",'Monthly Base'!F36,IF(Nonlabor!$I$14="InputM",'Monthly Base'!D36*Assumptions!$D$22/1000000,IF(Nonlabor!$I$14="OutputM",'Monthly Base'!D36*Assumptions!$D$23/1000000,0))))))))),0)</f>
        <v>13</v>
      </c>
      <c r="F1836" s="10" t="n">
        <f aca="false">Nonlabor!$J$14*(1+Assumptions!$D$9)^INT((C1836-1)/12)</f>
        <v>47.7405</v>
      </c>
      <c r="G1836" s="10" t="n">
        <f aca="false">E1836*F1836</f>
        <v>620.6265</v>
      </c>
      <c r="H1836" s="10" t="n">
        <f aca="false">IF(OR(Nonlabor!$L$14="Quote required",Nonlabor!$L$14="Unverified"),G1836,0)</f>
        <v>0</v>
      </c>
      <c r="I1836" s="10" t="n">
        <f aca="false">IF(Nonlabor!$E$14="Core",0,G1836)</f>
        <v>0</v>
      </c>
      <c r="J1836" s="23" t="str">
        <f aca="false">Nonlabor!$B$14</f>
        <v>TOOLS</v>
      </c>
    </row>
    <row r="1837" customFormat="false" ht="15" hidden="false" customHeight="false" outlineLevel="0" collapsed="false">
      <c r="A1837" s="6" t="s">
        <v>4</v>
      </c>
      <c r="B1837" s="6" t="s">
        <v>399</v>
      </c>
      <c r="C1837" s="6" t="n">
        <v>32</v>
      </c>
      <c r="D1837" s="25" t="n">
        <f aca="false">EDATE('Start Here'!$B$6,C1837-1)</f>
        <v>47270</v>
      </c>
      <c r="E1837" s="23" t="n">
        <f aca="false">IF(AND(OR(Nonlabor!$D$14="Both",Nonlabor!$D$14='Start Here'!$B$9),IF(Nonlabor!$E$14="Core",1,IF(Nonlabor!$E$14="AI",'Start Here'!$B$7,'Start Here'!$B$8))=1,C1837&gt;=IF(Nonlabor!$E$14="Core",Nonlabor!$F$14,MAX(Nonlabor!$F$14,IF(Nonlabor!$E$14="AI",Assumptions!$D$24,Assumptions!$D$25))),C1837&lt;=Nonlabor!$G$14,OR(Nonlabor!$H$14="Monthly",AND(Nonlabor!$H$14="Once",C1837=IF(Nonlabor!$E$14="Core",Nonlabor!$F$14,MAX(Nonlabor!$F$14,IF(Nonlabor!$E$14="AI",Assumptions!$D$24,Assumptions!$D$25)))),AND(Nonlabor!$H$14="Annual",MOD(C1837-IF(Nonlabor!$E$14="Core",Nonlabor!$F$14,MAX(Nonlabor!$F$14,IF(Nonlabor!$E$14="AI",Assumptions!$D$24,Assumptions!$D$25))),12)=0))),IF(Nonlabor!$I$14="Fixed",1,IF(Nonlabor!$I$14="Seats",ROUNDUP('Monthly Base'!I37,0),IF(Nonlabor!$I$14="Customers",'Monthly Base'!D37,IF(Nonlabor!$I$14="NewCustomers",'Monthly Base'!C37,IF(Nonlabor!$I$14="StorageGB",'Monthly Base'!G37,IF(Nonlabor!$I$14="LogGB",'Monthly Base'!H37,IF(Nonlabor!$I$14="RequestsM",'Monthly Base'!F37,IF(Nonlabor!$I$14="InputM",'Monthly Base'!D37*Assumptions!$D$22/1000000,IF(Nonlabor!$I$14="OutputM",'Monthly Base'!D37*Assumptions!$D$23/1000000,0))))))))),0)</f>
        <v>13</v>
      </c>
      <c r="F1837" s="10" t="n">
        <f aca="false">Nonlabor!$J$14*(1+Assumptions!$D$9)^INT((C1837-1)/12)</f>
        <v>47.7405</v>
      </c>
      <c r="G1837" s="10" t="n">
        <f aca="false">E1837*F1837</f>
        <v>620.6265</v>
      </c>
      <c r="H1837" s="10" t="n">
        <f aca="false">IF(OR(Nonlabor!$L$14="Quote required",Nonlabor!$L$14="Unverified"),G1837,0)</f>
        <v>0</v>
      </c>
      <c r="I1837" s="10" t="n">
        <f aca="false">IF(Nonlabor!$E$14="Core",0,G1837)</f>
        <v>0</v>
      </c>
      <c r="J1837" s="23" t="str">
        <f aca="false">Nonlabor!$B$14</f>
        <v>TOOLS</v>
      </c>
    </row>
    <row r="1838" customFormat="false" ht="15" hidden="false" customHeight="false" outlineLevel="0" collapsed="false">
      <c r="A1838" s="6" t="s">
        <v>4</v>
      </c>
      <c r="B1838" s="6" t="s">
        <v>399</v>
      </c>
      <c r="C1838" s="6" t="n">
        <v>33</v>
      </c>
      <c r="D1838" s="25" t="n">
        <f aca="false">EDATE('Start Here'!$B$6,C1838-1)</f>
        <v>47300</v>
      </c>
      <c r="E1838" s="23" t="n">
        <f aca="false">IF(AND(OR(Nonlabor!$D$14="Both",Nonlabor!$D$14='Start Here'!$B$9),IF(Nonlabor!$E$14="Core",1,IF(Nonlabor!$E$14="AI",'Start Here'!$B$7,'Start Here'!$B$8))=1,C1838&gt;=IF(Nonlabor!$E$14="Core",Nonlabor!$F$14,MAX(Nonlabor!$F$14,IF(Nonlabor!$E$14="AI",Assumptions!$D$24,Assumptions!$D$25))),C1838&lt;=Nonlabor!$G$14,OR(Nonlabor!$H$14="Monthly",AND(Nonlabor!$H$14="Once",C1838=IF(Nonlabor!$E$14="Core",Nonlabor!$F$14,MAX(Nonlabor!$F$14,IF(Nonlabor!$E$14="AI",Assumptions!$D$24,Assumptions!$D$25)))),AND(Nonlabor!$H$14="Annual",MOD(C1838-IF(Nonlabor!$E$14="Core",Nonlabor!$F$14,MAX(Nonlabor!$F$14,IF(Nonlabor!$E$14="AI",Assumptions!$D$24,Assumptions!$D$25))),12)=0))),IF(Nonlabor!$I$14="Fixed",1,IF(Nonlabor!$I$14="Seats",ROUNDUP('Monthly Base'!I38,0),IF(Nonlabor!$I$14="Customers",'Monthly Base'!D38,IF(Nonlabor!$I$14="NewCustomers",'Monthly Base'!C38,IF(Nonlabor!$I$14="StorageGB",'Monthly Base'!G38,IF(Nonlabor!$I$14="LogGB",'Monthly Base'!H38,IF(Nonlabor!$I$14="RequestsM",'Monthly Base'!F38,IF(Nonlabor!$I$14="InputM",'Monthly Base'!D38*Assumptions!$D$22/1000000,IF(Nonlabor!$I$14="OutputM",'Monthly Base'!D38*Assumptions!$D$23/1000000,0))))))))),0)</f>
        <v>13</v>
      </c>
      <c r="F1838" s="10" t="n">
        <f aca="false">Nonlabor!$J$14*(1+Assumptions!$D$9)^INT((C1838-1)/12)</f>
        <v>47.7405</v>
      </c>
      <c r="G1838" s="10" t="n">
        <f aca="false">E1838*F1838</f>
        <v>620.6265</v>
      </c>
      <c r="H1838" s="10" t="n">
        <f aca="false">IF(OR(Nonlabor!$L$14="Quote required",Nonlabor!$L$14="Unverified"),G1838,0)</f>
        <v>0</v>
      </c>
      <c r="I1838" s="10" t="n">
        <f aca="false">IF(Nonlabor!$E$14="Core",0,G1838)</f>
        <v>0</v>
      </c>
      <c r="J1838" s="23" t="str">
        <f aca="false">Nonlabor!$B$14</f>
        <v>TOOLS</v>
      </c>
    </row>
    <row r="1839" customFormat="false" ht="15" hidden="false" customHeight="false" outlineLevel="0" collapsed="false">
      <c r="A1839" s="6" t="s">
        <v>4</v>
      </c>
      <c r="B1839" s="6" t="s">
        <v>399</v>
      </c>
      <c r="C1839" s="6" t="n">
        <v>34</v>
      </c>
      <c r="D1839" s="25" t="n">
        <f aca="false">EDATE('Start Here'!$B$6,C1839-1)</f>
        <v>47331</v>
      </c>
      <c r="E1839" s="23" t="n">
        <f aca="false">IF(AND(OR(Nonlabor!$D$14="Both",Nonlabor!$D$14='Start Here'!$B$9),IF(Nonlabor!$E$14="Core",1,IF(Nonlabor!$E$14="AI",'Start Here'!$B$7,'Start Here'!$B$8))=1,C1839&gt;=IF(Nonlabor!$E$14="Core",Nonlabor!$F$14,MAX(Nonlabor!$F$14,IF(Nonlabor!$E$14="AI",Assumptions!$D$24,Assumptions!$D$25))),C1839&lt;=Nonlabor!$G$14,OR(Nonlabor!$H$14="Monthly",AND(Nonlabor!$H$14="Once",C1839=IF(Nonlabor!$E$14="Core",Nonlabor!$F$14,MAX(Nonlabor!$F$14,IF(Nonlabor!$E$14="AI",Assumptions!$D$24,Assumptions!$D$25)))),AND(Nonlabor!$H$14="Annual",MOD(C1839-IF(Nonlabor!$E$14="Core",Nonlabor!$F$14,MAX(Nonlabor!$F$14,IF(Nonlabor!$E$14="AI",Assumptions!$D$24,Assumptions!$D$25))),12)=0))),IF(Nonlabor!$I$14="Fixed",1,IF(Nonlabor!$I$14="Seats",ROUNDUP('Monthly Base'!I39,0),IF(Nonlabor!$I$14="Customers",'Monthly Base'!D39,IF(Nonlabor!$I$14="NewCustomers",'Monthly Base'!C39,IF(Nonlabor!$I$14="StorageGB",'Monthly Base'!G39,IF(Nonlabor!$I$14="LogGB",'Monthly Base'!H39,IF(Nonlabor!$I$14="RequestsM",'Monthly Base'!F39,IF(Nonlabor!$I$14="InputM",'Monthly Base'!D39*Assumptions!$D$22/1000000,IF(Nonlabor!$I$14="OutputM",'Monthly Base'!D39*Assumptions!$D$23/1000000,0))))))))),0)</f>
        <v>13</v>
      </c>
      <c r="F1839" s="10" t="n">
        <f aca="false">Nonlabor!$J$14*(1+Assumptions!$D$9)^INT((C1839-1)/12)</f>
        <v>47.7405</v>
      </c>
      <c r="G1839" s="10" t="n">
        <f aca="false">E1839*F1839</f>
        <v>620.6265</v>
      </c>
      <c r="H1839" s="10" t="n">
        <f aca="false">IF(OR(Nonlabor!$L$14="Quote required",Nonlabor!$L$14="Unverified"),G1839,0)</f>
        <v>0</v>
      </c>
      <c r="I1839" s="10" t="n">
        <f aca="false">IF(Nonlabor!$E$14="Core",0,G1839)</f>
        <v>0</v>
      </c>
      <c r="J1839" s="23" t="str">
        <f aca="false">Nonlabor!$B$14</f>
        <v>TOOLS</v>
      </c>
    </row>
    <row r="1840" customFormat="false" ht="15" hidden="false" customHeight="false" outlineLevel="0" collapsed="false">
      <c r="A1840" s="6" t="s">
        <v>4</v>
      </c>
      <c r="B1840" s="6" t="s">
        <v>399</v>
      </c>
      <c r="C1840" s="6" t="n">
        <v>35</v>
      </c>
      <c r="D1840" s="25" t="n">
        <f aca="false">EDATE('Start Here'!$B$6,C1840-1)</f>
        <v>47362</v>
      </c>
      <c r="E1840" s="23" t="n">
        <f aca="false">IF(AND(OR(Nonlabor!$D$14="Both",Nonlabor!$D$14='Start Here'!$B$9),IF(Nonlabor!$E$14="Core",1,IF(Nonlabor!$E$14="AI",'Start Here'!$B$7,'Start Here'!$B$8))=1,C1840&gt;=IF(Nonlabor!$E$14="Core",Nonlabor!$F$14,MAX(Nonlabor!$F$14,IF(Nonlabor!$E$14="AI",Assumptions!$D$24,Assumptions!$D$25))),C1840&lt;=Nonlabor!$G$14,OR(Nonlabor!$H$14="Monthly",AND(Nonlabor!$H$14="Once",C1840=IF(Nonlabor!$E$14="Core",Nonlabor!$F$14,MAX(Nonlabor!$F$14,IF(Nonlabor!$E$14="AI",Assumptions!$D$24,Assumptions!$D$25)))),AND(Nonlabor!$H$14="Annual",MOD(C1840-IF(Nonlabor!$E$14="Core",Nonlabor!$F$14,MAX(Nonlabor!$F$14,IF(Nonlabor!$E$14="AI",Assumptions!$D$24,Assumptions!$D$25))),12)=0))),IF(Nonlabor!$I$14="Fixed",1,IF(Nonlabor!$I$14="Seats",ROUNDUP('Monthly Base'!I40,0),IF(Nonlabor!$I$14="Customers",'Monthly Base'!D40,IF(Nonlabor!$I$14="NewCustomers",'Monthly Base'!C40,IF(Nonlabor!$I$14="StorageGB",'Monthly Base'!G40,IF(Nonlabor!$I$14="LogGB",'Monthly Base'!H40,IF(Nonlabor!$I$14="RequestsM",'Monthly Base'!F40,IF(Nonlabor!$I$14="InputM",'Monthly Base'!D40*Assumptions!$D$22/1000000,IF(Nonlabor!$I$14="OutputM",'Monthly Base'!D40*Assumptions!$D$23/1000000,0))))))))),0)</f>
        <v>13</v>
      </c>
      <c r="F1840" s="10" t="n">
        <f aca="false">Nonlabor!$J$14*(1+Assumptions!$D$9)^INT((C1840-1)/12)</f>
        <v>47.7405</v>
      </c>
      <c r="G1840" s="10" t="n">
        <f aca="false">E1840*F1840</f>
        <v>620.6265</v>
      </c>
      <c r="H1840" s="10" t="n">
        <f aca="false">IF(OR(Nonlabor!$L$14="Quote required",Nonlabor!$L$14="Unverified"),G1840,0)</f>
        <v>0</v>
      </c>
      <c r="I1840" s="10" t="n">
        <f aca="false">IF(Nonlabor!$E$14="Core",0,G1840)</f>
        <v>0</v>
      </c>
      <c r="J1840" s="23" t="str">
        <f aca="false">Nonlabor!$B$14</f>
        <v>TOOLS</v>
      </c>
    </row>
    <row r="1841" customFormat="false" ht="15" hidden="false" customHeight="false" outlineLevel="0" collapsed="false">
      <c r="A1841" s="6" t="s">
        <v>4</v>
      </c>
      <c r="B1841" s="6" t="s">
        <v>399</v>
      </c>
      <c r="C1841" s="6" t="n">
        <v>36</v>
      </c>
      <c r="D1841" s="25" t="n">
        <f aca="false">EDATE('Start Here'!$B$6,C1841-1)</f>
        <v>47392</v>
      </c>
      <c r="E1841" s="23" t="n">
        <f aca="false">IF(AND(OR(Nonlabor!$D$14="Both",Nonlabor!$D$14='Start Here'!$B$9),IF(Nonlabor!$E$14="Core",1,IF(Nonlabor!$E$14="AI",'Start Here'!$B$7,'Start Here'!$B$8))=1,C1841&gt;=IF(Nonlabor!$E$14="Core",Nonlabor!$F$14,MAX(Nonlabor!$F$14,IF(Nonlabor!$E$14="AI",Assumptions!$D$24,Assumptions!$D$25))),C1841&lt;=Nonlabor!$G$14,OR(Nonlabor!$H$14="Monthly",AND(Nonlabor!$H$14="Once",C1841=IF(Nonlabor!$E$14="Core",Nonlabor!$F$14,MAX(Nonlabor!$F$14,IF(Nonlabor!$E$14="AI",Assumptions!$D$24,Assumptions!$D$25)))),AND(Nonlabor!$H$14="Annual",MOD(C1841-IF(Nonlabor!$E$14="Core",Nonlabor!$F$14,MAX(Nonlabor!$F$14,IF(Nonlabor!$E$14="AI",Assumptions!$D$24,Assumptions!$D$25))),12)=0))),IF(Nonlabor!$I$14="Fixed",1,IF(Nonlabor!$I$14="Seats",ROUNDUP('Monthly Base'!I41,0),IF(Nonlabor!$I$14="Customers",'Monthly Base'!D41,IF(Nonlabor!$I$14="NewCustomers",'Monthly Base'!C41,IF(Nonlabor!$I$14="StorageGB",'Monthly Base'!G41,IF(Nonlabor!$I$14="LogGB",'Monthly Base'!H41,IF(Nonlabor!$I$14="RequestsM",'Monthly Base'!F41,IF(Nonlabor!$I$14="InputM",'Monthly Base'!D41*Assumptions!$D$22/1000000,IF(Nonlabor!$I$14="OutputM",'Monthly Base'!D41*Assumptions!$D$23/1000000,0))))))))),0)</f>
        <v>13</v>
      </c>
      <c r="F1841" s="10" t="n">
        <f aca="false">Nonlabor!$J$14*(1+Assumptions!$D$9)^INT((C1841-1)/12)</f>
        <v>47.7405</v>
      </c>
      <c r="G1841" s="10" t="n">
        <f aca="false">E1841*F1841</f>
        <v>620.6265</v>
      </c>
      <c r="H1841" s="10" t="n">
        <f aca="false">IF(OR(Nonlabor!$L$14="Quote required",Nonlabor!$L$14="Unverified"),G1841,0)</f>
        <v>0</v>
      </c>
      <c r="I1841" s="10" t="n">
        <f aca="false">IF(Nonlabor!$E$14="Core",0,G1841)</f>
        <v>0</v>
      </c>
      <c r="J1841" s="23" t="str">
        <f aca="false">Nonlabor!$B$14</f>
        <v>TOOLS</v>
      </c>
    </row>
    <row r="1842" customFormat="false" ht="15" hidden="false" customHeight="false" outlineLevel="0" collapsed="false">
      <c r="A1842" s="6" t="s">
        <v>4</v>
      </c>
      <c r="B1842" s="6" t="s">
        <v>399</v>
      </c>
      <c r="C1842" s="6" t="n">
        <v>37</v>
      </c>
      <c r="D1842" s="25" t="n">
        <f aca="false">EDATE('Start Here'!$B$6,C1842-1)</f>
        <v>47423</v>
      </c>
      <c r="E1842" s="23" t="n">
        <f aca="false">IF(AND(OR(Nonlabor!$D$14="Both",Nonlabor!$D$14='Start Here'!$B$9),IF(Nonlabor!$E$14="Core",1,IF(Nonlabor!$E$14="AI",'Start Here'!$B$7,'Start Here'!$B$8))=1,C1842&gt;=IF(Nonlabor!$E$14="Core",Nonlabor!$F$14,MAX(Nonlabor!$F$14,IF(Nonlabor!$E$14="AI",Assumptions!$D$24,Assumptions!$D$25))),C1842&lt;=Nonlabor!$G$14,OR(Nonlabor!$H$14="Monthly",AND(Nonlabor!$H$14="Once",C1842=IF(Nonlabor!$E$14="Core",Nonlabor!$F$14,MAX(Nonlabor!$F$14,IF(Nonlabor!$E$14="AI",Assumptions!$D$24,Assumptions!$D$25)))),AND(Nonlabor!$H$14="Annual",MOD(C1842-IF(Nonlabor!$E$14="Core",Nonlabor!$F$14,MAX(Nonlabor!$F$14,IF(Nonlabor!$E$14="AI",Assumptions!$D$24,Assumptions!$D$25))),12)=0))),IF(Nonlabor!$I$14="Fixed",1,IF(Nonlabor!$I$14="Seats",ROUNDUP('Monthly Base'!I42,0),IF(Nonlabor!$I$14="Customers",'Monthly Base'!D42,IF(Nonlabor!$I$14="NewCustomers",'Monthly Base'!C42,IF(Nonlabor!$I$14="StorageGB",'Monthly Base'!G42,IF(Nonlabor!$I$14="LogGB",'Monthly Base'!H42,IF(Nonlabor!$I$14="RequestsM",'Monthly Base'!F42,IF(Nonlabor!$I$14="InputM",'Monthly Base'!D42*Assumptions!$D$22/1000000,IF(Nonlabor!$I$14="OutputM",'Monthly Base'!D42*Assumptions!$D$23/1000000,0))))))))),0)</f>
        <v>13</v>
      </c>
      <c r="F1842" s="10" t="n">
        <f aca="false">Nonlabor!$J$14*(1+Assumptions!$D$9)^INT((C1842-1)/12)</f>
        <v>49.172715</v>
      </c>
      <c r="G1842" s="10" t="n">
        <f aca="false">E1842*F1842</f>
        <v>639.245295</v>
      </c>
      <c r="H1842" s="10" t="n">
        <f aca="false">IF(OR(Nonlabor!$L$14="Quote required",Nonlabor!$L$14="Unverified"),G1842,0)</f>
        <v>0</v>
      </c>
      <c r="I1842" s="10" t="n">
        <f aca="false">IF(Nonlabor!$E$14="Core",0,G1842)</f>
        <v>0</v>
      </c>
      <c r="J1842" s="23" t="str">
        <f aca="false">Nonlabor!$B$14</f>
        <v>TOOLS</v>
      </c>
    </row>
    <row r="1843" customFormat="false" ht="15" hidden="false" customHeight="false" outlineLevel="0" collapsed="false">
      <c r="A1843" s="6" t="s">
        <v>4</v>
      </c>
      <c r="B1843" s="6" t="s">
        <v>399</v>
      </c>
      <c r="C1843" s="6" t="n">
        <v>38</v>
      </c>
      <c r="D1843" s="25" t="n">
        <f aca="false">EDATE('Start Here'!$B$6,C1843-1)</f>
        <v>47453</v>
      </c>
      <c r="E1843" s="23" t="n">
        <f aca="false">IF(AND(OR(Nonlabor!$D$14="Both",Nonlabor!$D$14='Start Here'!$B$9),IF(Nonlabor!$E$14="Core",1,IF(Nonlabor!$E$14="AI",'Start Here'!$B$7,'Start Here'!$B$8))=1,C1843&gt;=IF(Nonlabor!$E$14="Core",Nonlabor!$F$14,MAX(Nonlabor!$F$14,IF(Nonlabor!$E$14="AI",Assumptions!$D$24,Assumptions!$D$25))),C1843&lt;=Nonlabor!$G$14,OR(Nonlabor!$H$14="Monthly",AND(Nonlabor!$H$14="Once",C1843=IF(Nonlabor!$E$14="Core",Nonlabor!$F$14,MAX(Nonlabor!$F$14,IF(Nonlabor!$E$14="AI",Assumptions!$D$24,Assumptions!$D$25)))),AND(Nonlabor!$H$14="Annual",MOD(C1843-IF(Nonlabor!$E$14="Core",Nonlabor!$F$14,MAX(Nonlabor!$F$14,IF(Nonlabor!$E$14="AI",Assumptions!$D$24,Assumptions!$D$25))),12)=0))),IF(Nonlabor!$I$14="Fixed",1,IF(Nonlabor!$I$14="Seats",ROUNDUP('Monthly Base'!I43,0),IF(Nonlabor!$I$14="Customers",'Monthly Base'!D43,IF(Nonlabor!$I$14="NewCustomers",'Monthly Base'!C43,IF(Nonlabor!$I$14="StorageGB",'Monthly Base'!G43,IF(Nonlabor!$I$14="LogGB",'Monthly Base'!H43,IF(Nonlabor!$I$14="RequestsM",'Monthly Base'!F43,IF(Nonlabor!$I$14="InputM",'Monthly Base'!D43*Assumptions!$D$22/1000000,IF(Nonlabor!$I$14="OutputM",'Monthly Base'!D43*Assumptions!$D$23/1000000,0))))))))),0)</f>
        <v>13</v>
      </c>
      <c r="F1843" s="10" t="n">
        <f aca="false">Nonlabor!$J$14*(1+Assumptions!$D$9)^INT((C1843-1)/12)</f>
        <v>49.172715</v>
      </c>
      <c r="G1843" s="10" t="n">
        <f aca="false">E1843*F1843</f>
        <v>639.245295</v>
      </c>
      <c r="H1843" s="10" t="n">
        <f aca="false">IF(OR(Nonlabor!$L$14="Quote required",Nonlabor!$L$14="Unverified"),G1843,0)</f>
        <v>0</v>
      </c>
      <c r="I1843" s="10" t="n">
        <f aca="false">IF(Nonlabor!$E$14="Core",0,G1843)</f>
        <v>0</v>
      </c>
      <c r="J1843" s="23" t="str">
        <f aca="false">Nonlabor!$B$14</f>
        <v>TOOLS</v>
      </c>
    </row>
    <row r="1844" customFormat="false" ht="15" hidden="false" customHeight="false" outlineLevel="0" collapsed="false">
      <c r="A1844" s="6" t="s">
        <v>4</v>
      </c>
      <c r="B1844" s="6" t="s">
        <v>399</v>
      </c>
      <c r="C1844" s="6" t="n">
        <v>39</v>
      </c>
      <c r="D1844" s="25" t="n">
        <f aca="false">EDATE('Start Here'!$B$6,C1844-1)</f>
        <v>47484</v>
      </c>
      <c r="E1844" s="23" t="n">
        <f aca="false">IF(AND(OR(Nonlabor!$D$14="Both",Nonlabor!$D$14='Start Here'!$B$9),IF(Nonlabor!$E$14="Core",1,IF(Nonlabor!$E$14="AI",'Start Here'!$B$7,'Start Here'!$B$8))=1,C1844&gt;=IF(Nonlabor!$E$14="Core",Nonlabor!$F$14,MAX(Nonlabor!$F$14,IF(Nonlabor!$E$14="AI",Assumptions!$D$24,Assumptions!$D$25))),C1844&lt;=Nonlabor!$G$14,OR(Nonlabor!$H$14="Monthly",AND(Nonlabor!$H$14="Once",C1844=IF(Nonlabor!$E$14="Core",Nonlabor!$F$14,MAX(Nonlabor!$F$14,IF(Nonlabor!$E$14="AI",Assumptions!$D$24,Assumptions!$D$25)))),AND(Nonlabor!$H$14="Annual",MOD(C1844-IF(Nonlabor!$E$14="Core",Nonlabor!$F$14,MAX(Nonlabor!$F$14,IF(Nonlabor!$E$14="AI",Assumptions!$D$24,Assumptions!$D$25))),12)=0))),IF(Nonlabor!$I$14="Fixed",1,IF(Nonlabor!$I$14="Seats",ROUNDUP('Monthly Base'!I44,0),IF(Nonlabor!$I$14="Customers",'Monthly Base'!D44,IF(Nonlabor!$I$14="NewCustomers",'Monthly Base'!C44,IF(Nonlabor!$I$14="StorageGB",'Monthly Base'!G44,IF(Nonlabor!$I$14="LogGB",'Monthly Base'!H44,IF(Nonlabor!$I$14="RequestsM",'Monthly Base'!F44,IF(Nonlabor!$I$14="InputM",'Monthly Base'!D44*Assumptions!$D$22/1000000,IF(Nonlabor!$I$14="OutputM",'Monthly Base'!D44*Assumptions!$D$23/1000000,0))))))))),0)</f>
        <v>13</v>
      </c>
      <c r="F1844" s="10" t="n">
        <f aca="false">Nonlabor!$J$14*(1+Assumptions!$D$9)^INT((C1844-1)/12)</f>
        <v>49.172715</v>
      </c>
      <c r="G1844" s="10" t="n">
        <f aca="false">E1844*F1844</f>
        <v>639.245295</v>
      </c>
      <c r="H1844" s="10" t="n">
        <f aca="false">IF(OR(Nonlabor!$L$14="Quote required",Nonlabor!$L$14="Unverified"),G1844,0)</f>
        <v>0</v>
      </c>
      <c r="I1844" s="10" t="n">
        <f aca="false">IF(Nonlabor!$E$14="Core",0,G1844)</f>
        <v>0</v>
      </c>
      <c r="J1844" s="23" t="str">
        <f aca="false">Nonlabor!$B$14</f>
        <v>TOOLS</v>
      </c>
    </row>
    <row r="1845" customFormat="false" ht="15" hidden="false" customHeight="false" outlineLevel="0" collapsed="false">
      <c r="A1845" s="6" t="s">
        <v>4</v>
      </c>
      <c r="B1845" s="6" t="s">
        <v>399</v>
      </c>
      <c r="C1845" s="6" t="n">
        <v>40</v>
      </c>
      <c r="D1845" s="25" t="n">
        <f aca="false">EDATE('Start Here'!$B$6,C1845-1)</f>
        <v>47515</v>
      </c>
      <c r="E1845" s="23" t="n">
        <f aca="false">IF(AND(OR(Nonlabor!$D$14="Both",Nonlabor!$D$14='Start Here'!$B$9),IF(Nonlabor!$E$14="Core",1,IF(Nonlabor!$E$14="AI",'Start Here'!$B$7,'Start Here'!$B$8))=1,C1845&gt;=IF(Nonlabor!$E$14="Core",Nonlabor!$F$14,MAX(Nonlabor!$F$14,IF(Nonlabor!$E$14="AI",Assumptions!$D$24,Assumptions!$D$25))),C1845&lt;=Nonlabor!$G$14,OR(Nonlabor!$H$14="Monthly",AND(Nonlabor!$H$14="Once",C1845=IF(Nonlabor!$E$14="Core",Nonlabor!$F$14,MAX(Nonlabor!$F$14,IF(Nonlabor!$E$14="AI",Assumptions!$D$24,Assumptions!$D$25)))),AND(Nonlabor!$H$14="Annual",MOD(C1845-IF(Nonlabor!$E$14="Core",Nonlabor!$F$14,MAX(Nonlabor!$F$14,IF(Nonlabor!$E$14="AI",Assumptions!$D$24,Assumptions!$D$25))),12)=0))),IF(Nonlabor!$I$14="Fixed",1,IF(Nonlabor!$I$14="Seats",ROUNDUP('Monthly Base'!I45,0),IF(Nonlabor!$I$14="Customers",'Monthly Base'!D45,IF(Nonlabor!$I$14="NewCustomers",'Monthly Base'!C45,IF(Nonlabor!$I$14="StorageGB",'Monthly Base'!G45,IF(Nonlabor!$I$14="LogGB",'Monthly Base'!H45,IF(Nonlabor!$I$14="RequestsM",'Monthly Base'!F45,IF(Nonlabor!$I$14="InputM",'Monthly Base'!D45*Assumptions!$D$22/1000000,IF(Nonlabor!$I$14="OutputM",'Monthly Base'!D45*Assumptions!$D$23/1000000,0))))))))),0)</f>
        <v>13</v>
      </c>
      <c r="F1845" s="10" t="n">
        <f aca="false">Nonlabor!$J$14*(1+Assumptions!$D$9)^INT((C1845-1)/12)</f>
        <v>49.172715</v>
      </c>
      <c r="G1845" s="10" t="n">
        <f aca="false">E1845*F1845</f>
        <v>639.245295</v>
      </c>
      <c r="H1845" s="10" t="n">
        <f aca="false">IF(OR(Nonlabor!$L$14="Quote required",Nonlabor!$L$14="Unverified"),G1845,0)</f>
        <v>0</v>
      </c>
      <c r="I1845" s="10" t="n">
        <f aca="false">IF(Nonlabor!$E$14="Core",0,G1845)</f>
        <v>0</v>
      </c>
      <c r="J1845" s="23" t="str">
        <f aca="false">Nonlabor!$B$14</f>
        <v>TOOLS</v>
      </c>
    </row>
    <row r="1846" customFormat="false" ht="15" hidden="false" customHeight="false" outlineLevel="0" collapsed="false">
      <c r="A1846" s="6" t="s">
        <v>4</v>
      </c>
      <c r="B1846" s="6" t="s">
        <v>399</v>
      </c>
      <c r="C1846" s="6" t="n">
        <v>41</v>
      </c>
      <c r="D1846" s="25" t="n">
        <f aca="false">EDATE('Start Here'!$B$6,C1846-1)</f>
        <v>47543</v>
      </c>
      <c r="E1846" s="23" t="n">
        <f aca="false">IF(AND(OR(Nonlabor!$D$14="Both",Nonlabor!$D$14='Start Here'!$B$9),IF(Nonlabor!$E$14="Core",1,IF(Nonlabor!$E$14="AI",'Start Here'!$B$7,'Start Here'!$B$8))=1,C1846&gt;=IF(Nonlabor!$E$14="Core",Nonlabor!$F$14,MAX(Nonlabor!$F$14,IF(Nonlabor!$E$14="AI",Assumptions!$D$24,Assumptions!$D$25))),C1846&lt;=Nonlabor!$G$14,OR(Nonlabor!$H$14="Monthly",AND(Nonlabor!$H$14="Once",C1846=IF(Nonlabor!$E$14="Core",Nonlabor!$F$14,MAX(Nonlabor!$F$14,IF(Nonlabor!$E$14="AI",Assumptions!$D$24,Assumptions!$D$25)))),AND(Nonlabor!$H$14="Annual",MOD(C1846-IF(Nonlabor!$E$14="Core",Nonlabor!$F$14,MAX(Nonlabor!$F$14,IF(Nonlabor!$E$14="AI",Assumptions!$D$24,Assumptions!$D$25))),12)=0))),IF(Nonlabor!$I$14="Fixed",1,IF(Nonlabor!$I$14="Seats",ROUNDUP('Monthly Base'!I46,0),IF(Nonlabor!$I$14="Customers",'Monthly Base'!D46,IF(Nonlabor!$I$14="NewCustomers",'Monthly Base'!C46,IF(Nonlabor!$I$14="StorageGB",'Monthly Base'!G46,IF(Nonlabor!$I$14="LogGB",'Monthly Base'!H46,IF(Nonlabor!$I$14="RequestsM",'Monthly Base'!F46,IF(Nonlabor!$I$14="InputM",'Monthly Base'!D46*Assumptions!$D$22/1000000,IF(Nonlabor!$I$14="OutputM",'Monthly Base'!D46*Assumptions!$D$23/1000000,0))))))))),0)</f>
        <v>13</v>
      </c>
      <c r="F1846" s="10" t="n">
        <f aca="false">Nonlabor!$J$14*(1+Assumptions!$D$9)^INT((C1846-1)/12)</f>
        <v>49.172715</v>
      </c>
      <c r="G1846" s="10" t="n">
        <f aca="false">E1846*F1846</f>
        <v>639.245295</v>
      </c>
      <c r="H1846" s="10" t="n">
        <f aca="false">IF(OR(Nonlabor!$L$14="Quote required",Nonlabor!$L$14="Unverified"),G1846,0)</f>
        <v>0</v>
      </c>
      <c r="I1846" s="10" t="n">
        <f aca="false">IF(Nonlabor!$E$14="Core",0,G1846)</f>
        <v>0</v>
      </c>
      <c r="J1846" s="23" t="str">
        <f aca="false">Nonlabor!$B$14</f>
        <v>TOOLS</v>
      </c>
    </row>
    <row r="1847" customFormat="false" ht="15" hidden="false" customHeight="false" outlineLevel="0" collapsed="false">
      <c r="A1847" s="6" t="s">
        <v>4</v>
      </c>
      <c r="B1847" s="6" t="s">
        <v>399</v>
      </c>
      <c r="C1847" s="6" t="n">
        <v>42</v>
      </c>
      <c r="D1847" s="25" t="n">
        <f aca="false">EDATE('Start Here'!$B$6,C1847-1)</f>
        <v>47574</v>
      </c>
      <c r="E1847" s="23" t="n">
        <f aca="false">IF(AND(OR(Nonlabor!$D$14="Both",Nonlabor!$D$14='Start Here'!$B$9),IF(Nonlabor!$E$14="Core",1,IF(Nonlabor!$E$14="AI",'Start Here'!$B$7,'Start Here'!$B$8))=1,C1847&gt;=IF(Nonlabor!$E$14="Core",Nonlabor!$F$14,MAX(Nonlabor!$F$14,IF(Nonlabor!$E$14="AI",Assumptions!$D$24,Assumptions!$D$25))),C1847&lt;=Nonlabor!$G$14,OR(Nonlabor!$H$14="Monthly",AND(Nonlabor!$H$14="Once",C1847=IF(Nonlabor!$E$14="Core",Nonlabor!$F$14,MAX(Nonlabor!$F$14,IF(Nonlabor!$E$14="AI",Assumptions!$D$24,Assumptions!$D$25)))),AND(Nonlabor!$H$14="Annual",MOD(C1847-IF(Nonlabor!$E$14="Core",Nonlabor!$F$14,MAX(Nonlabor!$F$14,IF(Nonlabor!$E$14="AI",Assumptions!$D$24,Assumptions!$D$25))),12)=0))),IF(Nonlabor!$I$14="Fixed",1,IF(Nonlabor!$I$14="Seats",ROUNDUP('Monthly Base'!I47,0),IF(Nonlabor!$I$14="Customers",'Monthly Base'!D47,IF(Nonlabor!$I$14="NewCustomers",'Monthly Base'!C47,IF(Nonlabor!$I$14="StorageGB",'Monthly Base'!G47,IF(Nonlabor!$I$14="LogGB",'Monthly Base'!H47,IF(Nonlabor!$I$14="RequestsM",'Monthly Base'!F47,IF(Nonlabor!$I$14="InputM",'Monthly Base'!D47*Assumptions!$D$22/1000000,IF(Nonlabor!$I$14="OutputM",'Monthly Base'!D47*Assumptions!$D$23/1000000,0))))))))),0)</f>
        <v>13</v>
      </c>
      <c r="F1847" s="10" t="n">
        <f aca="false">Nonlabor!$J$14*(1+Assumptions!$D$9)^INT((C1847-1)/12)</f>
        <v>49.172715</v>
      </c>
      <c r="G1847" s="10" t="n">
        <f aca="false">E1847*F1847</f>
        <v>639.245295</v>
      </c>
      <c r="H1847" s="10" t="n">
        <f aca="false">IF(OR(Nonlabor!$L$14="Quote required",Nonlabor!$L$14="Unverified"),G1847,0)</f>
        <v>0</v>
      </c>
      <c r="I1847" s="10" t="n">
        <f aca="false">IF(Nonlabor!$E$14="Core",0,G1847)</f>
        <v>0</v>
      </c>
      <c r="J1847" s="23" t="str">
        <f aca="false">Nonlabor!$B$14</f>
        <v>TOOLS</v>
      </c>
    </row>
    <row r="1848" customFormat="false" ht="15" hidden="false" customHeight="false" outlineLevel="0" collapsed="false">
      <c r="A1848" s="6" t="s">
        <v>4</v>
      </c>
      <c r="B1848" s="6" t="s">
        <v>399</v>
      </c>
      <c r="C1848" s="6" t="n">
        <v>43</v>
      </c>
      <c r="D1848" s="25" t="n">
        <f aca="false">EDATE('Start Here'!$B$6,C1848-1)</f>
        <v>47604</v>
      </c>
      <c r="E1848" s="23" t="n">
        <f aca="false">IF(AND(OR(Nonlabor!$D$14="Both",Nonlabor!$D$14='Start Here'!$B$9),IF(Nonlabor!$E$14="Core",1,IF(Nonlabor!$E$14="AI",'Start Here'!$B$7,'Start Here'!$B$8))=1,C1848&gt;=IF(Nonlabor!$E$14="Core",Nonlabor!$F$14,MAX(Nonlabor!$F$14,IF(Nonlabor!$E$14="AI",Assumptions!$D$24,Assumptions!$D$25))),C1848&lt;=Nonlabor!$G$14,OR(Nonlabor!$H$14="Monthly",AND(Nonlabor!$H$14="Once",C1848=IF(Nonlabor!$E$14="Core",Nonlabor!$F$14,MAX(Nonlabor!$F$14,IF(Nonlabor!$E$14="AI",Assumptions!$D$24,Assumptions!$D$25)))),AND(Nonlabor!$H$14="Annual",MOD(C1848-IF(Nonlabor!$E$14="Core",Nonlabor!$F$14,MAX(Nonlabor!$F$14,IF(Nonlabor!$E$14="AI",Assumptions!$D$24,Assumptions!$D$25))),12)=0))),IF(Nonlabor!$I$14="Fixed",1,IF(Nonlabor!$I$14="Seats",ROUNDUP('Monthly Base'!I48,0),IF(Nonlabor!$I$14="Customers",'Monthly Base'!D48,IF(Nonlabor!$I$14="NewCustomers",'Monthly Base'!C48,IF(Nonlabor!$I$14="StorageGB",'Monthly Base'!G48,IF(Nonlabor!$I$14="LogGB",'Monthly Base'!H48,IF(Nonlabor!$I$14="RequestsM",'Monthly Base'!F48,IF(Nonlabor!$I$14="InputM",'Monthly Base'!D48*Assumptions!$D$22/1000000,IF(Nonlabor!$I$14="OutputM",'Monthly Base'!D48*Assumptions!$D$23/1000000,0))))))))),0)</f>
        <v>13</v>
      </c>
      <c r="F1848" s="10" t="n">
        <f aca="false">Nonlabor!$J$14*(1+Assumptions!$D$9)^INT((C1848-1)/12)</f>
        <v>49.172715</v>
      </c>
      <c r="G1848" s="10" t="n">
        <f aca="false">E1848*F1848</f>
        <v>639.245295</v>
      </c>
      <c r="H1848" s="10" t="n">
        <f aca="false">IF(OR(Nonlabor!$L$14="Quote required",Nonlabor!$L$14="Unverified"),G1848,0)</f>
        <v>0</v>
      </c>
      <c r="I1848" s="10" t="n">
        <f aca="false">IF(Nonlabor!$E$14="Core",0,G1848)</f>
        <v>0</v>
      </c>
      <c r="J1848" s="23" t="str">
        <f aca="false">Nonlabor!$B$14</f>
        <v>TOOLS</v>
      </c>
    </row>
    <row r="1849" customFormat="false" ht="15" hidden="false" customHeight="false" outlineLevel="0" collapsed="false">
      <c r="A1849" s="6" t="s">
        <v>4</v>
      </c>
      <c r="B1849" s="6" t="s">
        <v>399</v>
      </c>
      <c r="C1849" s="6" t="n">
        <v>44</v>
      </c>
      <c r="D1849" s="25" t="n">
        <f aca="false">EDATE('Start Here'!$B$6,C1849-1)</f>
        <v>47635</v>
      </c>
      <c r="E1849" s="23" t="n">
        <f aca="false">IF(AND(OR(Nonlabor!$D$14="Both",Nonlabor!$D$14='Start Here'!$B$9),IF(Nonlabor!$E$14="Core",1,IF(Nonlabor!$E$14="AI",'Start Here'!$B$7,'Start Here'!$B$8))=1,C1849&gt;=IF(Nonlabor!$E$14="Core",Nonlabor!$F$14,MAX(Nonlabor!$F$14,IF(Nonlabor!$E$14="AI",Assumptions!$D$24,Assumptions!$D$25))),C1849&lt;=Nonlabor!$G$14,OR(Nonlabor!$H$14="Monthly",AND(Nonlabor!$H$14="Once",C1849=IF(Nonlabor!$E$14="Core",Nonlabor!$F$14,MAX(Nonlabor!$F$14,IF(Nonlabor!$E$14="AI",Assumptions!$D$24,Assumptions!$D$25)))),AND(Nonlabor!$H$14="Annual",MOD(C1849-IF(Nonlabor!$E$14="Core",Nonlabor!$F$14,MAX(Nonlabor!$F$14,IF(Nonlabor!$E$14="AI",Assumptions!$D$24,Assumptions!$D$25))),12)=0))),IF(Nonlabor!$I$14="Fixed",1,IF(Nonlabor!$I$14="Seats",ROUNDUP('Monthly Base'!I49,0),IF(Nonlabor!$I$14="Customers",'Monthly Base'!D49,IF(Nonlabor!$I$14="NewCustomers",'Monthly Base'!C49,IF(Nonlabor!$I$14="StorageGB",'Monthly Base'!G49,IF(Nonlabor!$I$14="LogGB",'Monthly Base'!H49,IF(Nonlabor!$I$14="RequestsM",'Monthly Base'!F49,IF(Nonlabor!$I$14="InputM",'Monthly Base'!D49*Assumptions!$D$22/1000000,IF(Nonlabor!$I$14="OutputM",'Monthly Base'!D49*Assumptions!$D$23/1000000,0))))))))),0)</f>
        <v>13</v>
      </c>
      <c r="F1849" s="10" t="n">
        <f aca="false">Nonlabor!$J$14*(1+Assumptions!$D$9)^INT((C1849-1)/12)</f>
        <v>49.172715</v>
      </c>
      <c r="G1849" s="10" t="n">
        <f aca="false">E1849*F1849</f>
        <v>639.245295</v>
      </c>
      <c r="H1849" s="10" t="n">
        <f aca="false">IF(OR(Nonlabor!$L$14="Quote required",Nonlabor!$L$14="Unverified"),G1849,0)</f>
        <v>0</v>
      </c>
      <c r="I1849" s="10" t="n">
        <f aca="false">IF(Nonlabor!$E$14="Core",0,G1849)</f>
        <v>0</v>
      </c>
      <c r="J1849" s="23" t="str">
        <f aca="false">Nonlabor!$B$14</f>
        <v>TOOLS</v>
      </c>
    </row>
    <row r="1850" customFormat="false" ht="15" hidden="false" customHeight="false" outlineLevel="0" collapsed="false">
      <c r="A1850" s="6" t="s">
        <v>4</v>
      </c>
      <c r="B1850" s="6" t="s">
        <v>399</v>
      </c>
      <c r="C1850" s="6" t="n">
        <v>45</v>
      </c>
      <c r="D1850" s="25" t="n">
        <f aca="false">EDATE('Start Here'!$B$6,C1850-1)</f>
        <v>47665</v>
      </c>
      <c r="E1850" s="23" t="n">
        <f aca="false">IF(AND(OR(Nonlabor!$D$14="Both",Nonlabor!$D$14='Start Here'!$B$9),IF(Nonlabor!$E$14="Core",1,IF(Nonlabor!$E$14="AI",'Start Here'!$B$7,'Start Here'!$B$8))=1,C1850&gt;=IF(Nonlabor!$E$14="Core",Nonlabor!$F$14,MAX(Nonlabor!$F$14,IF(Nonlabor!$E$14="AI",Assumptions!$D$24,Assumptions!$D$25))),C1850&lt;=Nonlabor!$G$14,OR(Nonlabor!$H$14="Monthly",AND(Nonlabor!$H$14="Once",C1850=IF(Nonlabor!$E$14="Core",Nonlabor!$F$14,MAX(Nonlabor!$F$14,IF(Nonlabor!$E$14="AI",Assumptions!$D$24,Assumptions!$D$25)))),AND(Nonlabor!$H$14="Annual",MOD(C1850-IF(Nonlabor!$E$14="Core",Nonlabor!$F$14,MAX(Nonlabor!$F$14,IF(Nonlabor!$E$14="AI",Assumptions!$D$24,Assumptions!$D$25))),12)=0))),IF(Nonlabor!$I$14="Fixed",1,IF(Nonlabor!$I$14="Seats",ROUNDUP('Monthly Base'!I50,0),IF(Nonlabor!$I$14="Customers",'Monthly Base'!D50,IF(Nonlabor!$I$14="NewCustomers",'Monthly Base'!C50,IF(Nonlabor!$I$14="StorageGB",'Monthly Base'!G50,IF(Nonlabor!$I$14="LogGB",'Monthly Base'!H50,IF(Nonlabor!$I$14="RequestsM",'Monthly Base'!F50,IF(Nonlabor!$I$14="InputM",'Monthly Base'!D50*Assumptions!$D$22/1000000,IF(Nonlabor!$I$14="OutputM",'Monthly Base'!D50*Assumptions!$D$23/1000000,0))))))))),0)</f>
        <v>13</v>
      </c>
      <c r="F1850" s="10" t="n">
        <f aca="false">Nonlabor!$J$14*(1+Assumptions!$D$9)^INT((C1850-1)/12)</f>
        <v>49.172715</v>
      </c>
      <c r="G1850" s="10" t="n">
        <f aca="false">E1850*F1850</f>
        <v>639.245295</v>
      </c>
      <c r="H1850" s="10" t="n">
        <f aca="false">IF(OR(Nonlabor!$L$14="Quote required",Nonlabor!$L$14="Unverified"),G1850,0)</f>
        <v>0</v>
      </c>
      <c r="I1850" s="10" t="n">
        <f aca="false">IF(Nonlabor!$E$14="Core",0,G1850)</f>
        <v>0</v>
      </c>
      <c r="J1850" s="23" t="str">
        <f aca="false">Nonlabor!$B$14</f>
        <v>TOOLS</v>
      </c>
    </row>
    <row r="1851" customFormat="false" ht="15" hidden="false" customHeight="false" outlineLevel="0" collapsed="false">
      <c r="A1851" s="6" t="s">
        <v>4</v>
      </c>
      <c r="B1851" s="6" t="s">
        <v>399</v>
      </c>
      <c r="C1851" s="6" t="n">
        <v>46</v>
      </c>
      <c r="D1851" s="25" t="n">
        <f aca="false">EDATE('Start Here'!$B$6,C1851-1)</f>
        <v>47696</v>
      </c>
      <c r="E1851" s="23" t="n">
        <f aca="false">IF(AND(OR(Nonlabor!$D$14="Both",Nonlabor!$D$14='Start Here'!$B$9),IF(Nonlabor!$E$14="Core",1,IF(Nonlabor!$E$14="AI",'Start Here'!$B$7,'Start Here'!$B$8))=1,C1851&gt;=IF(Nonlabor!$E$14="Core",Nonlabor!$F$14,MAX(Nonlabor!$F$14,IF(Nonlabor!$E$14="AI",Assumptions!$D$24,Assumptions!$D$25))),C1851&lt;=Nonlabor!$G$14,OR(Nonlabor!$H$14="Monthly",AND(Nonlabor!$H$14="Once",C1851=IF(Nonlabor!$E$14="Core",Nonlabor!$F$14,MAX(Nonlabor!$F$14,IF(Nonlabor!$E$14="AI",Assumptions!$D$24,Assumptions!$D$25)))),AND(Nonlabor!$H$14="Annual",MOD(C1851-IF(Nonlabor!$E$14="Core",Nonlabor!$F$14,MAX(Nonlabor!$F$14,IF(Nonlabor!$E$14="AI",Assumptions!$D$24,Assumptions!$D$25))),12)=0))),IF(Nonlabor!$I$14="Fixed",1,IF(Nonlabor!$I$14="Seats",ROUNDUP('Monthly Base'!I51,0),IF(Nonlabor!$I$14="Customers",'Monthly Base'!D51,IF(Nonlabor!$I$14="NewCustomers",'Monthly Base'!C51,IF(Nonlabor!$I$14="StorageGB",'Monthly Base'!G51,IF(Nonlabor!$I$14="LogGB",'Monthly Base'!H51,IF(Nonlabor!$I$14="RequestsM",'Monthly Base'!F51,IF(Nonlabor!$I$14="InputM",'Monthly Base'!D51*Assumptions!$D$22/1000000,IF(Nonlabor!$I$14="OutputM",'Monthly Base'!D51*Assumptions!$D$23/1000000,0))))))))),0)</f>
        <v>13</v>
      </c>
      <c r="F1851" s="10" t="n">
        <f aca="false">Nonlabor!$J$14*(1+Assumptions!$D$9)^INT((C1851-1)/12)</f>
        <v>49.172715</v>
      </c>
      <c r="G1851" s="10" t="n">
        <f aca="false">E1851*F1851</f>
        <v>639.245295</v>
      </c>
      <c r="H1851" s="10" t="n">
        <f aca="false">IF(OR(Nonlabor!$L$14="Quote required",Nonlabor!$L$14="Unverified"),G1851,0)</f>
        <v>0</v>
      </c>
      <c r="I1851" s="10" t="n">
        <f aca="false">IF(Nonlabor!$E$14="Core",0,G1851)</f>
        <v>0</v>
      </c>
      <c r="J1851" s="23" t="str">
        <f aca="false">Nonlabor!$B$14</f>
        <v>TOOLS</v>
      </c>
    </row>
    <row r="1852" customFormat="false" ht="15" hidden="false" customHeight="false" outlineLevel="0" collapsed="false">
      <c r="A1852" s="6" t="s">
        <v>4</v>
      </c>
      <c r="B1852" s="6" t="s">
        <v>399</v>
      </c>
      <c r="C1852" s="6" t="n">
        <v>47</v>
      </c>
      <c r="D1852" s="25" t="n">
        <f aca="false">EDATE('Start Here'!$B$6,C1852-1)</f>
        <v>47727</v>
      </c>
      <c r="E1852" s="23" t="n">
        <f aca="false">IF(AND(OR(Nonlabor!$D$14="Both",Nonlabor!$D$14='Start Here'!$B$9),IF(Nonlabor!$E$14="Core",1,IF(Nonlabor!$E$14="AI",'Start Here'!$B$7,'Start Here'!$B$8))=1,C1852&gt;=IF(Nonlabor!$E$14="Core",Nonlabor!$F$14,MAX(Nonlabor!$F$14,IF(Nonlabor!$E$14="AI",Assumptions!$D$24,Assumptions!$D$25))),C1852&lt;=Nonlabor!$G$14,OR(Nonlabor!$H$14="Monthly",AND(Nonlabor!$H$14="Once",C1852=IF(Nonlabor!$E$14="Core",Nonlabor!$F$14,MAX(Nonlabor!$F$14,IF(Nonlabor!$E$14="AI",Assumptions!$D$24,Assumptions!$D$25)))),AND(Nonlabor!$H$14="Annual",MOD(C1852-IF(Nonlabor!$E$14="Core",Nonlabor!$F$14,MAX(Nonlabor!$F$14,IF(Nonlabor!$E$14="AI",Assumptions!$D$24,Assumptions!$D$25))),12)=0))),IF(Nonlabor!$I$14="Fixed",1,IF(Nonlabor!$I$14="Seats",ROUNDUP('Monthly Base'!I52,0),IF(Nonlabor!$I$14="Customers",'Monthly Base'!D52,IF(Nonlabor!$I$14="NewCustomers",'Monthly Base'!C52,IF(Nonlabor!$I$14="StorageGB",'Monthly Base'!G52,IF(Nonlabor!$I$14="LogGB",'Monthly Base'!H52,IF(Nonlabor!$I$14="RequestsM",'Monthly Base'!F52,IF(Nonlabor!$I$14="InputM",'Monthly Base'!D52*Assumptions!$D$22/1000000,IF(Nonlabor!$I$14="OutputM",'Monthly Base'!D52*Assumptions!$D$23/1000000,0))))))))),0)</f>
        <v>13</v>
      </c>
      <c r="F1852" s="10" t="n">
        <f aca="false">Nonlabor!$J$14*(1+Assumptions!$D$9)^INT((C1852-1)/12)</f>
        <v>49.172715</v>
      </c>
      <c r="G1852" s="10" t="n">
        <f aca="false">E1852*F1852</f>
        <v>639.245295</v>
      </c>
      <c r="H1852" s="10" t="n">
        <f aca="false">IF(OR(Nonlabor!$L$14="Quote required",Nonlabor!$L$14="Unverified"),G1852,0)</f>
        <v>0</v>
      </c>
      <c r="I1852" s="10" t="n">
        <f aca="false">IF(Nonlabor!$E$14="Core",0,G1852)</f>
        <v>0</v>
      </c>
      <c r="J1852" s="23" t="str">
        <f aca="false">Nonlabor!$B$14</f>
        <v>TOOLS</v>
      </c>
    </row>
    <row r="1853" customFormat="false" ht="15" hidden="false" customHeight="false" outlineLevel="0" collapsed="false">
      <c r="A1853" s="6" t="s">
        <v>4</v>
      </c>
      <c r="B1853" s="6" t="s">
        <v>399</v>
      </c>
      <c r="C1853" s="6" t="n">
        <v>48</v>
      </c>
      <c r="D1853" s="25" t="n">
        <f aca="false">EDATE('Start Here'!$B$6,C1853-1)</f>
        <v>47757</v>
      </c>
      <c r="E1853" s="23" t="n">
        <f aca="false">IF(AND(OR(Nonlabor!$D$14="Both",Nonlabor!$D$14='Start Here'!$B$9),IF(Nonlabor!$E$14="Core",1,IF(Nonlabor!$E$14="AI",'Start Here'!$B$7,'Start Here'!$B$8))=1,C1853&gt;=IF(Nonlabor!$E$14="Core",Nonlabor!$F$14,MAX(Nonlabor!$F$14,IF(Nonlabor!$E$14="AI",Assumptions!$D$24,Assumptions!$D$25))),C1853&lt;=Nonlabor!$G$14,OR(Nonlabor!$H$14="Monthly",AND(Nonlabor!$H$14="Once",C1853=IF(Nonlabor!$E$14="Core",Nonlabor!$F$14,MAX(Nonlabor!$F$14,IF(Nonlabor!$E$14="AI",Assumptions!$D$24,Assumptions!$D$25)))),AND(Nonlabor!$H$14="Annual",MOD(C1853-IF(Nonlabor!$E$14="Core",Nonlabor!$F$14,MAX(Nonlabor!$F$14,IF(Nonlabor!$E$14="AI",Assumptions!$D$24,Assumptions!$D$25))),12)=0))),IF(Nonlabor!$I$14="Fixed",1,IF(Nonlabor!$I$14="Seats",ROUNDUP('Monthly Base'!I53,0),IF(Nonlabor!$I$14="Customers",'Monthly Base'!D53,IF(Nonlabor!$I$14="NewCustomers",'Monthly Base'!C53,IF(Nonlabor!$I$14="StorageGB",'Monthly Base'!G53,IF(Nonlabor!$I$14="LogGB",'Monthly Base'!H53,IF(Nonlabor!$I$14="RequestsM",'Monthly Base'!F53,IF(Nonlabor!$I$14="InputM",'Monthly Base'!D53*Assumptions!$D$22/1000000,IF(Nonlabor!$I$14="OutputM",'Monthly Base'!D53*Assumptions!$D$23/1000000,0))))))))),0)</f>
        <v>13</v>
      </c>
      <c r="F1853" s="10" t="n">
        <f aca="false">Nonlabor!$J$14*(1+Assumptions!$D$9)^INT((C1853-1)/12)</f>
        <v>49.172715</v>
      </c>
      <c r="G1853" s="10" t="n">
        <f aca="false">E1853*F1853</f>
        <v>639.245295</v>
      </c>
      <c r="H1853" s="10" t="n">
        <f aca="false">IF(OR(Nonlabor!$L$14="Quote required",Nonlabor!$L$14="Unverified"),G1853,0)</f>
        <v>0</v>
      </c>
      <c r="I1853" s="10" t="n">
        <f aca="false">IF(Nonlabor!$E$14="Core",0,G1853)</f>
        <v>0</v>
      </c>
      <c r="J1853" s="23" t="str">
        <f aca="false">Nonlabor!$B$14</f>
        <v>TOOLS</v>
      </c>
    </row>
    <row r="1854" customFormat="false" ht="15" hidden="false" customHeight="false" outlineLevel="0" collapsed="false">
      <c r="A1854" s="6" t="s">
        <v>4</v>
      </c>
      <c r="B1854" s="6" t="s">
        <v>399</v>
      </c>
      <c r="C1854" s="6" t="n">
        <v>49</v>
      </c>
      <c r="D1854" s="25" t="n">
        <f aca="false">EDATE('Start Here'!$B$6,C1854-1)</f>
        <v>47788</v>
      </c>
      <c r="E1854" s="23" t="n">
        <f aca="false">IF(AND(OR(Nonlabor!$D$14="Both",Nonlabor!$D$14='Start Here'!$B$9),IF(Nonlabor!$E$14="Core",1,IF(Nonlabor!$E$14="AI",'Start Here'!$B$7,'Start Here'!$B$8))=1,C1854&gt;=IF(Nonlabor!$E$14="Core",Nonlabor!$F$14,MAX(Nonlabor!$F$14,IF(Nonlabor!$E$14="AI",Assumptions!$D$24,Assumptions!$D$25))),C1854&lt;=Nonlabor!$G$14,OR(Nonlabor!$H$14="Monthly",AND(Nonlabor!$H$14="Once",C1854=IF(Nonlabor!$E$14="Core",Nonlabor!$F$14,MAX(Nonlabor!$F$14,IF(Nonlabor!$E$14="AI",Assumptions!$D$24,Assumptions!$D$25)))),AND(Nonlabor!$H$14="Annual",MOD(C1854-IF(Nonlabor!$E$14="Core",Nonlabor!$F$14,MAX(Nonlabor!$F$14,IF(Nonlabor!$E$14="AI",Assumptions!$D$24,Assumptions!$D$25))),12)=0))),IF(Nonlabor!$I$14="Fixed",1,IF(Nonlabor!$I$14="Seats",ROUNDUP('Monthly Base'!I54,0),IF(Nonlabor!$I$14="Customers",'Monthly Base'!D54,IF(Nonlabor!$I$14="NewCustomers",'Monthly Base'!C54,IF(Nonlabor!$I$14="StorageGB",'Monthly Base'!G54,IF(Nonlabor!$I$14="LogGB",'Monthly Base'!H54,IF(Nonlabor!$I$14="RequestsM",'Monthly Base'!F54,IF(Nonlabor!$I$14="InputM",'Monthly Base'!D54*Assumptions!$D$22/1000000,IF(Nonlabor!$I$14="OutputM",'Monthly Base'!D54*Assumptions!$D$23/1000000,0))))))))),0)</f>
        <v>13</v>
      </c>
      <c r="F1854" s="10" t="n">
        <f aca="false">Nonlabor!$J$14*(1+Assumptions!$D$9)^INT((C1854-1)/12)</f>
        <v>50.64789645</v>
      </c>
      <c r="G1854" s="10" t="n">
        <f aca="false">E1854*F1854</f>
        <v>658.42265385</v>
      </c>
      <c r="H1854" s="10" t="n">
        <f aca="false">IF(OR(Nonlabor!$L$14="Quote required",Nonlabor!$L$14="Unverified"),G1854,0)</f>
        <v>0</v>
      </c>
      <c r="I1854" s="10" t="n">
        <f aca="false">IF(Nonlabor!$E$14="Core",0,G1854)</f>
        <v>0</v>
      </c>
      <c r="J1854" s="23" t="str">
        <f aca="false">Nonlabor!$B$14</f>
        <v>TOOLS</v>
      </c>
    </row>
    <row r="1855" customFormat="false" ht="15" hidden="false" customHeight="false" outlineLevel="0" collapsed="false">
      <c r="A1855" s="6" t="s">
        <v>4</v>
      </c>
      <c r="B1855" s="6" t="s">
        <v>399</v>
      </c>
      <c r="C1855" s="6" t="n">
        <v>50</v>
      </c>
      <c r="D1855" s="25" t="n">
        <f aca="false">EDATE('Start Here'!$B$6,C1855-1)</f>
        <v>47818</v>
      </c>
      <c r="E1855" s="23" t="n">
        <f aca="false">IF(AND(OR(Nonlabor!$D$14="Both",Nonlabor!$D$14='Start Here'!$B$9),IF(Nonlabor!$E$14="Core",1,IF(Nonlabor!$E$14="AI",'Start Here'!$B$7,'Start Here'!$B$8))=1,C1855&gt;=IF(Nonlabor!$E$14="Core",Nonlabor!$F$14,MAX(Nonlabor!$F$14,IF(Nonlabor!$E$14="AI",Assumptions!$D$24,Assumptions!$D$25))),C1855&lt;=Nonlabor!$G$14,OR(Nonlabor!$H$14="Monthly",AND(Nonlabor!$H$14="Once",C1855=IF(Nonlabor!$E$14="Core",Nonlabor!$F$14,MAX(Nonlabor!$F$14,IF(Nonlabor!$E$14="AI",Assumptions!$D$24,Assumptions!$D$25)))),AND(Nonlabor!$H$14="Annual",MOD(C1855-IF(Nonlabor!$E$14="Core",Nonlabor!$F$14,MAX(Nonlabor!$F$14,IF(Nonlabor!$E$14="AI",Assumptions!$D$24,Assumptions!$D$25))),12)=0))),IF(Nonlabor!$I$14="Fixed",1,IF(Nonlabor!$I$14="Seats",ROUNDUP('Monthly Base'!I55,0),IF(Nonlabor!$I$14="Customers",'Monthly Base'!D55,IF(Nonlabor!$I$14="NewCustomers",'Monthly Base'!C55,IF(Nonlabor!$I$14="StorageGB",'Monthly Base'!G55,IF(Nonlabor!$I$14="LogGB",'Monthly Base'!H55,IF(Nonlabor!$I$14="RequestsM",'Monthly Base'!F55,IF(Nonlabor!$I$14="InputM",'Monthly Base'!D55*Assumptions!$D$22/1000000,IF(Nonlabor!$I$14="OutputM",'Monthly Base'!D55*Assumptions!$D$23/1000000,0))))))))),0)</f>
        <v>13</v>
      </c>
      <c r="F1855" s="10" t="n">
        <f aca="false">Nonlabor!$J$14*(1+Assumptions!$D$9)^INT((C1855-1)/12)</f>
        <v>50.64789645</v>
      </c>
      <c r="G1855" s="10" t="n">
        <f aca="false">E1855*F1855</f>
        <v>658.42265385</v>
      </c>
      <c r="H1855" s="10" t="n">
        <f aca="false">IF(OR(Nonlabor!$L$14="Quote required",Nonlabor!$L$14="Unverified"),G1855,0)</f>
        <v>0</v>
      </c>
      <c r="I1855" s="10" t="n">
        <f aca="false">IF(Nonlabor!$E$14="Core",0,G1855)</f>
        <v>0</v>
      </c>
      <c r="J1855" s="23" t="str">
        <f aca="false">Nonlabor!$B$14</f>
        <v>TOOLS</v>
      </c>
    </row>
    <row r="1856" customFormat="false" ht="15" hidden="false" customHeight="false" outlineLevel="0" collapsed="false">
      <c r="A1856" s="6" t="s">
        <v>4</v>
      </c>
      <c r="B1856" s="6" t="s">
        <v>399</v>
      </c>
      <c r="C1856" s="6" t="n">
        <v>51</v>
      </c>
      <c r="D1856" s="25" t="n">
        <f aca="false">EDATE('Start Here'!$B$6,C1856-1)</f>
        <v>47849</v>
      </c>
      <c r="E1856" s="23" t="n">
        <f aca="false">IF(AND(OR(Nonlabor!$D$14="Both",Nonlabor!$D$14='Start Here'!$B$9),IF(Nonlabor!$E$14="Core",1,IF(Nonlabor!$E$14="AI",'Start Here'!$B$7,'Start Here'!$B$8))=1,C1856&gt;=IF(Nonlabor!$E$14="Core",Nonlabor!$F$14,MAX(Nonlabor!$F$14,IF(Nonlabor!$E$14="AI",Assumptions!$D$24,Assumptions!$D$25))),C1856&lt;=Nonlabor!$G$14,OR(Nonlabor!$H$14="Monthly",AND(Nonlabor!$H$14="Once",C1856=IF(Nonlabor!$E$14="Core",Nonlabor!$F$14,MAX(Nonlabor!$F$14,IF(Nonlabor!$E$14="AI",Assumptions!$D$24,Assumptions!$D$25)))),AND(Nonlabor!$H$14="Annual",MOD(C1856-IF(Nonlabor!$E$14="Core",Nonlabor!$F$14,MAX(Nonlabor!$F$14,IF(Nonlabor!$E$14="AI",Assumptions!$D$24,Assumptions!$D$25))),12)=0))),IF(Nonlabor!$I$14="Fixed",1,IF(Nonlabor!$I$14="Seats",ROUNDUP('Monthly Base'!I56,0),IF(Nonlabor!$I$14="Customers",'Monthly Base'!D56,IF(Nonlabor!$I$14="NewCustomers",'Monthly Base'!C56,IF(Nonlabor!$I$14="StorageGB",'Monthly Base'!G56,IF(Nonlabor!$I$14="LogGB",'Monthly Base'!H56,IF(Nonlabor!$I$14="RequestsM",'Monthly Base'!F56,IF(Nonlabor!$I$14="InputM",'Monthly Base'!D56*Assumptions!$D$22/1000000,IF(Nonlabor!$I$14="OutputM",'Monthly Base'!D56*Assumptions!$D$23/1000000,0))))))))),0)</f>
        <v>13</v>
      </c>
      <c r="F1856" s="10" t="n">
        <f aca="false">Nonlabor!$J$14*(1+Assumptions!$D$9)^INT((C1856-1)/12)</f>
        <v>50.64789645</v>
      </c>
      <c r="G1856" s="10" t="n">
        <f aca="false">E1856*F1856</f>
        <v>658.42265385</v>
      </c>
      <c r="H1856" s="10" t="n">
        <f aca="false">IF(OR(Nonlabor!$L$14="Quote required",Nonlabor!$L$14="Unverified"),G1856,0)</f>
        <v>0</v>
      </c>
      <c r="I1856" s="10" t="n">
        <f aca="false">IF(Nonlabor!$E$14="Core",0,G1856)</f>
        <v>0</v>
      </c>
      <c r="J1856" s="23" t="str">
        <f aca="false">Nonlabor!$B$14</f>
        <v>TOOLS</v>
      </c>
    </row>
    <row r="1857" customFormat="false" ht="15" hidden="false" customHeight="false" outlineLevel="0" collapsed="false">
      <c r="A1857" s="6" t="s">
        <v>4</v>
      </c>
      <c r="B1857" s="6" t="s">
        <v>399</v>
      </c>
      <c r="C1857" s="6" t="n">
        <v>52</v>
      </c>
      <c r="D1857" s="25" t="n">
        <f aca="false">EDATE('Start Here'!$B$6,C1857-1)</f>
        <v>47880</v>
      </c>
      <c r="E1857" s="23" t="n">
        <f aca="false">IF(AND(OR(Nonlabor!$D$14="Both",Nonlabor!$D$14='Start Here'!$B$9),IF(Nonlabor!$E$14="Core",1,IF(Nonlabor!$E$14="AI",'Start Here'!$B$7,'Start Here'!$B$8))=1,C1857&gt;=IF(Nonlabor!$E$14="Core",Nonlabor!$F$14,MAX(Nonlabor!$F$14,IF(Nonlabor!$E$14="AI",Assumptions!$D$24,Assumptions!$D$25))),C1857&lt;=Nonlabor!$G$14,OR(Nonlabor!$H$14="Monthly",AND(Nonlabor!$H$14="Once",C1857=IF(Nonlabor!$E$14="Core",Nonlabor!$F$14,MAX(Nonlabor!$F$14,IF(Nonlabor!$E$14="AI",Assumptions!$D$24,Assumptions!$D$25)))),AND(Nonlabor!$H$14="Annual",MOD(C1857-IF(Nonlabor!$E$14="Core",Nonlabor!$F$14,MAX(Nonlabor!$F$14,IF(Nonlabor!$E$14="AI",Assumptions!$D$24,Assumptions!$D$25))),12)=0))),IF(Nonlabor!$I$14="Fixed",1,IF(Nonlabor!$I$14="Seats",ROUNDUP('Monthly Base'!I57,0),IF(Nonlabor!$I$14="Customers",'Monthly Base'!D57,IF(Nonlabor!$I$14="NewCustomers",'Monthly Base'!C57,IF(Nonlabor!$I$14="StorageGB",'Monthly Base'!G57,IF(Nonlabor!$I$14="LogGB",'Monthly Base'!H57,IF(Nonlabor!$I$14="RequestsM",'Monthly Base'!F57,IF(Nonlabor!$I$14="InputM",'Monthly Base'!D57*Assumptions!$D$22/1000000,IF(Nonlabor!$I$14="OutputM",'Monthly Base'!D57*Assumptions!$D$23/1000000,0))))))))),0)</f>
        <v>13</v>
      </c>
      <c r="F1857" s="10" t="n">
        <f aca="false">Nonlabor!$J$14*(1+Assumptions!$D$9)^INT((C1857-1)/12)</f>
        <v>50.64789645</v>
      </c>
      <c r="G1857" s="10" t="n">
        <f aca="false">E1857*F1857</f>
        <v>658.42265385</v>
      </c>
      <c r="H1857" s="10" t="n">
        <f aca="false">IF(OR(Nonlabor!$L$14="Quote required",Nonlabor!$L$14="Unverified"),G1857,0)</f>
        <v>0</v>
      </c>
      <c r="I1857" s="10" t="n">
        <f aca="false">IF(Nonlabor!$E$14="Core",0,G1857)</f>
        <v>0</v>
      </c>
      <c r="J1857" s="23" t="str">
        <f aca="false">Nonlabor!$B$14</f>
        <v>TOOLS</v>
      </c>
    </row>
    <row r="1858" customFormat="false" ht="15" hidden="false" customHeight="false" outlineLevel="0" collapsed="false">
      <c r="A1858" s="6" t="s">
        <v>4</v>
      </c>
      <c r="B1858" s="6" t="s">
        <v>399</v>
      </c>
      <c r="C1858" s="6" t="n">
        <v>53</v>
      </c>
      <c r="D1858" s="25" t="n">
        <f aca="false">EDATE('Start Here'!$B$6,C1858-1)</f>
        <v>47908</v>
      </c>
      <c r="E1858" s="23" t="n">
        <f aca="false">IF(AND(OR(Nonlabor!$D$14="Both",Nonlabor!$D$14='Start Here'!$B$9),IF(Nonlabor!$E$14="Core",1,IF(Nonlabor!$E$14="AI",'Start Here'!$B$7,'Start Here'!$B$8))=1,C1858&gt;=IF(Nonlabor!$E$14="Core",Nonlabor!$F$14,MAX(Nonlabor!$F$14,IF(Nonlabor!$E$14="AI",Assumptions!$D$24,Assumptions!$D$25))),C1858&lt;=Nonlabor!$G$14,OR(Nonlabor!$H$14="Monthly",AND(Nonlabor!$H$14="Once",C1858=IF(Nonlabor!$E$14="Core",Nonlabor!$F$14,MAX(Nonlabor!$F$14,IF(Nonlabor!$E$14="AI",Assumptions!$D$24,Assumptions!$D$25)))),AND(Nonlabor!$H$14="Annual",MOD(C1858-IF(Nonlabor!$E$14="Core",Nonlabor!$F$14,MAX(Nonlabor!$F$14,IF(Nonlabor!$E$14="AI",Assumptions!$D$24,Assumptions!$D$25))),12)=0))),IF(Nonlabor!$I$14="Fixed",1,IF(Nonlabor!$I$14="Seats",ROUNDUP('Monthly Base'!I58,0),IF(Nonlabor!$I$14="Customers",'Monthly Base'!D58,IF(Nonlabor!$I$14="NewCustomers",'Monthly Base'!C58,IF(Nonlabor!$I$14="StorageGB",'Monthly Base'!G58,IF(Nonlabor!$I$14="LogGB",'Monthly Base'!H58,IF(Nonlabor!$I$14="RequestsM",'Monthly Base'!F58,IF(Nonlabor!$I$14="InputM",'Monthly Base'!D58*Assumptions!$D$22/1000000,IF(Nonlabor!$I$14="OutputM",'Monthly Base'!D58*Assumptions!$D$23/1000000,0))))))))),0)</f>
        <v>13</v>
      </c>
      <c r="F1858" s="10" t="n">
        <f aca="false">Nonlabor!$J$14*(1+Assumptions!$D$9)^INT((C1858-1)/12)</f>
        <v>50.64789645</v>
      </c>
      <c r="G1858" s="10" t="n">
        <f aca="false">E1858*F1858</f>
        <v>658.42265385</v>
      </c>
      <c r="H1858" s="10" t="n">
        <f aca="false">IF(OR(Nonlabor!$L$14="Quote required",Nonlabor!$L$14="Unverified"),G1858,0)</f>
        <v>0</v>
      </c>
      <c r="I1858" s="10" t="n">
        <f aca="false">IF(Nonlabor!$E$14="Core",0,G1858)</f>
        <v>0</v>
      </c>
      <c r="J1858" s="23" t="str">
        <f aca="false">Nonlabor!$B$14</f>
        <v>TOOLS</v>
      </c>
    </row>
    <row r="1859" customFormat="false" ht="15" hidden="false" customHeight="false" outlineLevel="0" collapsed="false">
      <c r="A1859" s="6" t="s">
        <v>4</v>
      </c>
      <c r="B1859" s="6" t="s">
        <v>399</v>
      </c>
      <c r="C1859" s="6" t="n">
        <v>54</v>
      </c>
      <c r="D1859" s="25" t="n">
        <f aca="false">EDATE('Start Here'!$B$6,C1859-1)</f>
        <v>47939</v>
      </c>
      <c r="E1859" s="23" t="n">
        <f aca="false">IF(AND(OR(Nonlabor!$D$14="Both",Nonlabor!$D$14='Start Here'!$B$9),IF(Nonlabor!$E$14="Core",1,IF(Nonlabor!$E$14="AI",'Start Here'!$B$7,'Start Here'!$B$8))=1,C1859&gt;=IF(Nonlabor!$E$14="Core",Nonlabor!$F$14,MAX(Nonlabor!$F$14,IF(Nonlabor!$E$14="AI",Assumptions!$D$24,Assumptions!$D$25))),C1859&lt;=Nonlabor!$G$14,OR(Nonlabor!$H$14="Monthly",AND(Nonlabor!$H$14="Once",C1859=IF(Nonlabor!$E$14="Core",Nonlabor!$F$14,MAX(Nonlabor!$F$14,IF(Nonlabor!$E$14="AI",Assumptions!$D$24,Assumptions!$D$25)))),AND(Nonlabor!$H$14="Annual",MOD(C1859-IF(Nonlabor!$E$14="Core",Nonlabor!$F$14,MAX(Nonlabor!$F$14,IF(Nonlabor!$E$14="AI",Assumptions!$D$24,Assumptions!$D$25))),12)=0))),IF(Nonlabor!$I$14="Fixed",1,IF(Nonlabor!$I$14="Seats",ROUNDUP('Monthly Base'!I59,0),IF(Nonlabor!$I$14="Customers",'Monthly Base'!D59,IF(Nonlabor!$I$14="NewCustomers",'Monthly Base'!C59,IF(Nonlabor!$I$14="StorageGB",'Monthly Base'!G59,IF(Nonlabor!$I$14="LogGB",'Monthly Base'!H59,IF(Nonlabor!$I$14="RequestsM",'Monthly Base'!F59,IF(Nonlabor!$I$14="InputM",'Monthly Base'!D59*Assumptions!$D$22/1000000,IF(Nonlabor!$I$14="OutputM",'Monthly Base'!D59*Assumptions!$D$23/1000000,0))))))))),0)</f>
        <v>13</v>
      </c>
      <c r="F1859" s="10" t="n">
        <f aca="false">Nonlabor!$J$14*(1+Assumptions!$D$9)^INT((C1859-1)/12)</f>
        <v>50.64789645</v>
      </c>
      <c r="G1859" s="10" t="n">
        <f aca="false">E1859*F1859</f>
        <v>658.42265385</v>
      </c>
      <c r="H1859" s="10" t="n">
        <f aca="false">IF(OR(Nonlabor!$L$14="Quote required",Nonlabor!$L$14="Unverified"),G1859,0)</f>
        <v>0</v>
      </c>
      <c r="I1859" s="10" t="n">
        <f aca="false">IF(Nonlabor!$E$14="Core",0,G1859)</f>
        <v>0</v>
      </c>
      <c r="J1859" s="23" t="str">
        <f aca="false">Nonlabor!$B$14</f>
        <v>TOOLS</v>
      </c>
    </row>
    <row r="1860" customFormat="false" ht="15" hidden="false" customHeight="false" outlineLevel="0" collapsed="false">
      <c r="A1860" s="6" t="s">
        <v>4</v>
      </c>
      <c r="B1860" s="6" t="s">
        <v>399</v>
      </c>
      <c r="C1860" s="6" t="n">
        <v>55</v>
      </c>
      <c r="D1860" s="25" t="n">
        <f aca="false">EDATE('Start Here'!$B$6,C1860-1)</f>
        <v>47969</v>
      </c>
      <c r="E1860" s="23" t="n">
        <f aca="false">IF(AND(OR(Nonlabor!$D$14="Both",Nonlabor!$D$14='Start Here'!$B$9),IF(Nonlabor!$E$14="Core",1,IF(Nonlabor!$E$14="AI",'Start Here'!$B$7,'Start Here'!$B$8))=1,C1860&gt;=IF(Nonlabor!$E$14="Core",Nonlabor!$F$14,MAX(Nonlabor!$F$14,IF(Nonlabor!$E$14="AI",Assumptions!$D$24,Assumptions!$D$25))),C1860&lt;=Nonlabor!$G$14,OR(Nonlabor!$H$14="Monthly",AND(Nonlabor!$H$14="Once",C1860=IF(Nonlabor!$E$14="Core",Nonlabor!$F$14,MAX(Nonlabor!$F$14,IF(Nonlabor!$E$14="AI",Assumptions!$D$24,Assumptions!$D$25)))),AND(Nonlabor!$H$14="Annual",MOD(C1860-IF(Nonlabor!$E$14="Core",Nonlabor!$F$14,MAX(Nonlabor!$F$14,IF(Nonlabor!$E$14="AI",Assumptions!$D$24,Assumptions!$D$25))),12)=0))),IF(Nonlabor!$I$14="Fixed",1,IF(Nonlabor!$I$14="Seats",ROUNDUP('Monthly Base'!I60,0),IF(Nonlabor!$I$14="Customers",'Monthly Base'!D60,IF(Nonlabor!$I$14="NewCustomers",'Monthly Base'!C60,IF(Nonlabor!$I$14="StorageGB",'Monthly Base'!G60,IF(Nonlabor!$I$14="LogGB",'Monthly Base'!H60,IF(Nonlabor!$I$14="RequestsM",'Monthly Base'!F60,IF(Nonlabor!$I$14="InputM",'Monthly Base'!D60*Assumptions!$D$22/1000000,IF(Nonlabor!$I$14="OutputM",'Monthly Base'!D60*Assumptions!$D$23/1000000,0))))))))),0)</f>
        <v>13</v>
      </c>
      <c r="F1860" s="10" t="n">
        <f aca="false">Nonlabor!$J$14*(1+Assumptions!$D$9)^INT((C1860-1)/12)</f>
        <v>50.64789645</v>
      </c>
      <c r="G1860" s="10" t="n">
        <f aca="false">E1860*F1860</f>
        <v>658.42265385</v>
      </c>
      <c r="H1860" s="10" t="n">
        <f aca="false">IF(OR(Nonlabor!$L$14="Quote required",Nonlabor!$L$14="Unverified"),G1860,0)</f>
        <v>0</v>
      </c>
      <c r="I1860" s="10" t="n">
        <f aca="false">IF(Nonlabor!$E$14="Core",0,G1860)</f>
        <v>0</v>
      </c>
      <c r="J1860" s="23" t="str">
        <f aca="false">Nonlabor!$B$14</f>
        <v>TOOLS</v>
      </c>
    </row>
    <row r="1861" customFormat="false" ht="15" hidden="false" customHeight="false" outlineLevel="0" collapsed="false">
      <c r="A1861" s="6" t="s">
        <v>4</v>
      </c>
      <c r="B1861" s="6" t="s">
        <v>399</v>
      </c>
      <c r="C1861" s="6" t="n">
        <v>56</v>
      </c>
      <c r="D1861" s="25" t="n">
        <f aca="false">EDATE('Start Here'!$B$6,C1861-1)</f>
        <v>48000</v>
      </c>
      <c r="E1861" s="23" t="n">
        <f aca="false">IF(AND(OR(Nonlabor!$D$14="Both",Nonlabor!$D$14='Start Here'!$B$9),IF(Nonlabor!$E$14="Core",1,IF(Nonlabor!$E$14="AI",'Start Here'!$B$7,'Start Here'!$B$8))=1,C1861&gt;=IF(Nonlabor!$E$14="Core",Nonlabor!$F$14,MAX(Nonlabor!$F$14,IF(Nonlabor!$E$14="AI",Assumptions!$D$24,Assumptions!$D$25))),C1861&lt;=Nonlabor!$G$14,OR(Nonlabor!$H$14="Monthly",AND(Nonlabor!$H$14="Once",C1861=IF(Nonlabor!$E$14="Core",Nonlabor!$F$14,MAX(Nonlabor!$F$14,IF(Nonlabor!$E$14="AI",Assumptions!$D$24,Assumptions!$D$25)))),AND(Nonlabor!$H$14="Annual",MOD(C1861-IF(Nonlabor!$E$14="Core",Nonlabor!$F$14,MAX(Nonlabor!$F$14,IF(Nonlabor!$E$14="AI",Assumptions!$D$24,Assumptions!$D$25))),12)=0))),IF(Nonlabor!$I$14="Fixed",1,IF(Nonlabor!$I$14="Seats",ROUNDUP('Monthly Base'!I61,0),IF(Nonlabor!$I$14="Customers",'Monthly Base'!D61,IF(Nonlabor!$I$14="NewCustomers",'Monthly Base'!C61,IF(Nonlabor!$I$14="StorageGB",'Monthly Base'!G61,IF(Nonlabor!$I$14="LogGB",'Monthly Base'!H61,IF(Nonlabor!$I$14="RequestsM",'Monthly Base'!F61,IF(Nonlabor!$I$14="InputM",'Monthly Base'!D61*Assumptions!$D$22/1000000,IF(Nonlabor!$I$14="OutputM",'Monthly Base'!D61*Assumptions!$D$23/1000000,0))))))))),0)</f>
        <v>13</v>
      </c>
      <c r="F1861" s="10" t="n">
        <f aca="false">Nonlabor!$J$14*(1+Assumptions!$D$9)^INT((C1861-1)/12)</f>
        <v>50.64789645</v>
      </c>
      <c r="G1861" s="10" t="n">
        <f aca="false">E1861*F1861</f>
        <v>658.42265385</v>
      </c>
      <c r="H1861" s="10" t="n">
        <f aca="false">IF(OR(Nonlabor!$L$14="Quote required",Nonlabor!$L$14="Unverified"),G1861,0)</f>
        <v>0</v>
      </c>
      <c r="I1861" s="10" t="n">
        <f aca="false">IF(Nonlabor!$E$14="Core",0,G1861)</f>
        <v>0</v>
      </c>
      <c r="J1861" s="23" t="str">
        <f aca="false">Nonlabor!$B$14</f>
        <v>TOOLS</v>
      </c>
    </row>
    <row r="1862" customFormat="false" ht="15" hidden="false" customHeight="false" outlineLevel="0" collapsed="false">
      <c r="A1862" s="6" t="s">
        <v>4</v>
      </c>
      <c r="B1862" s="6" t="s">
        <v>399</v>
      </c>
      <c r="C1862" s="6" t="n">
        <v>57</v>
      </c>
      <c r="D1862" s="25" t="n">
        <f aca="false">EDATE('Start Here'!$B$6,C1862-1)</f>
        <v>48030</v>
      </c>
      <c r="E1862" s="23" t="n">
        <f aca="false">IF(AND(OR(Nonlabor!$D$14="Both",Nonlabor!$D$14='Start Here'!$B$9),IF(Nonlabor!$E$14="Core",1,IF(Nonlabor!$E$14="AI",'Start Here'!$B$7,'Start Here'!$B$8))=1,C1862&gt;=IF(Nonlabor!$E$14="Core",Nonlabor!$F$14,MAX(Nonlabor!$F$14,IF(Nonlabor!$E$14="AI",Assumptions!$D$24,Assumptions!$D$25))),C1862&lt;=Nonlabor!$G$14,OR(Nonlabor!$H$14="Monthly",AND(Nonlabor!$H$14="Once",C1862=IF(Nonlabor!$E$14="Core",Nonlabor!$F$14,MAX(Nonlabor!$F$14,IF(Nonlabor!$E$14="AI",Assumptions!$D$24,Assumptions!$D$25)))),AND(Nonlabor!$H$14="Annual",MOD(C1862-IF(Nonlabor!$E$14="Core",Nonlabor!$F$14,MAX(Nonlabor!$F$14,IF(Nonlabor!$E$14="AI",Assumptions!$D$24,Assumptions!$D$25))),12)=0))),IF(Nonlabor!$I$14="Fixed",1,IF(Nonlabor!$I$14="Seats",ROUNDUP('Monthly Base'!I62,0),IF(Nonlabor!$I$14="Customers",'Monthly Base'!D62,IF(Nonlabor!$I$14="NewCustomers",'Monthly Base'!C62,IF(Nonlabor!$I$14="StorageGB",'Monthly Base'!G62,IF(Nonlabor!$I$14="LogGB",'Monthly Base'!H62,IF(Nonlabor!$I$14="RequestsM",'Monthly Base'!F62,IF(Nonlabor!$I$14="InputM",'Monthly Base'!D62*Assumptions!$D$22/1000000,IF(Nonlabor!$I$14="OutputM",'Monthly Base'!D62*Assumptions!$D$23/1000000,0))))))))),0)</f>
        <v>13</v>
      </c>
      <c r="F1862" s="10" t="n">
        <f aca="false">Nonlabor!$J$14*(1+Assumptions!$D$9)^INT((C1862-1)/12)</f>
        <v>50.64789645</v>
      </c>
      <c r="G1862" s="10" t="n">
        <f aca="false">E1862*F1862</f>
        <v>658.42265385</v>
      </c>
      <c r="H1862" s="10" t="n">
        <f aca="false">IF(OR(Nonlabor!$L$14="Quote required",Nonlabor!$L$14="Unverified"),G1862,0)</f>
        <v>0</v>
      </c>
      <c r="I1862" s="10" t="n">
        <f aca="false">IF(Nonlabor!$E$14="Core",0,G1862)</f>
        <v>0</v>
      </c>
      <c r="J1862" s="23" t="str">
        <f aca="false">Nonlabor!$B$14</f>
        <v>TOOLS</v>
      </c>
    </row>
    <row r="1863" customFormat="false" ht="15" hidden="false" customHeight="false" outlineLevel="0" collapsed="false">
      <c r="A1863" s="6" t="s">
        <v>4</v>
      </c>
      <c r="B1863" s="6" t="s">
        <v>399</v>
      </c>
      <c r="C1863" s="6" t="n">
        <v>58</v>
      </c>
      <c r="D1863" s="25" t="n">
        <f aca="false">EDATE('Start Here'!$B$6,C1863-1)</f>
        <v>48061</v>
      </c>
      <c r="E1863" s="23" t="n">
        <f aca="false">IF(AND(OR(Nonlabor!$D$14="Both",Nonlabor!$D$14='Start Here'!$B$9),IF(Nonlabor!$E$14="Core",1,IF(Nonlabor!$E$14="AI",'Start Here'!$B$7,'Start Here'!$B$8))=1,C1863&gt;=IF(Nonlabor!$E$14="Core",Nonlabor!$F$14,MAX(Nonlabor!$F$14,IF(Nonlabor!$E$14="AI",Assumptions!$D$24,Assumptions!$D$25))),C1863&lt;=Nonlabor!$G$14,OR(Nonlabor!$H$14="Monthly",AND(Nonlabor!$H$14="Once",C1863=IF(Nonlabor!$E$14="Core",Nonlabor!$F$14,MAX(Nonlabor!$F$14,IF(Nonlabor!$E$14="AI",Assumptions!$D$24,Assumptions!$D$25)))),AND(Nonlabor!$H$14="Annual",MOD(C1863-IF(Nonlabor!$E$14="Core",Nonlabor!$F$14,MAX(Nonlabor!$F$14,IF(Nonlabor!$E$14="AI",Assumptions!$D$24,Assumptions!$D$25))),12)=0))),IF(Nonlabor!$I$14="Fixed",1,IF(Nonlabor!$I$14="Seats",ROUNDUP('Monthly Base'!I63,0),IF(Nonlabor!$I$14="Customers",'Monthly Base'!D63,IF(Nonlabor!$I$14="NewCustomers",'Monthly Base'!C63,IF(Nonlabor!$I$14="StorageGB",'Monthly Base'!G63,IF(Nonlabor!$I$14="LogGB",'Monthly Base'!H63,IF(Nonlabor!$I$14="RequestsM",'Monthly Base'!F63,IF(Nonlabor!$I$14="InputM",'Monthly Base'!D63*Assumptions!$D$22/1000000,IF(Nonlabor!$I$14="OutputM",'Monthly Base'!D63*Assumptions!$D$23/1000000,0))))))))),0)</f>
        <v>13</v>
      </c>
      <c r="F1863" s="10" t="n">
        <f aca="false">Nonlabor!$J$14*(1+Assumptions!$D$9)^INT((C1863-1)/12)</f>
        <v>50.64789645</v>
      </c>
      <c r="G1863" s="10" t="n">
        <f aca="false">E1863*F1863</f>
        <v>658.42265385</v>
      </c>
      <c r="H1863" s="10" t="n">
        <f aca="false">IF(OR(Nonlabor!$L$14="Quote required",Nonlabor!$L$14="Unverified"),G1863,0)</f>
        <v>0</v>
      </c>
      <c r="I1863" s="10" t="n">
        <f aca="false">IF(Nonlabor!$E$14="Core",0,G1863)</f>
        <v>0</v>
      </c>
      <c r="J1863" s="23" t="str">
        <f aca="false">Nonlabor!$B$14</f>
        <v>TOOLS</v>
      </c>
    </row>
    <row r="1864" customFormat="false" ht="15" hidden="false" customHeight="false" outlineLevel="0" collapsed="false">
      <c r="A1864" s="6" t="s">
        <v>4</v>
      </c>
      <c r="B1864" s="6" t="s">
        <v>399</v>
      </c>
      <c r="C1864" s="6" t="n">
        <v>59</v>
      </c>
      <c r="D1864" s="25" t="n">
        <f aca="false">EDATE('Start Here'!$B$6,C1864-1)</f>
        <v>48092</v>
      </c>
      <c r="E1864" s="23" t="n">
        <f aca="false">IF(AND(OR(Nonlabor!$D$14="Both",Nonlabor!$D$14='Start Here'!$B$9),IF(Nonlabor!$E$14="Core",1,IF(Nonlabor!$E$14="AI",'Start Here'!$B$7,'Start Here'!$B$8))=1,C1864&gt;=IF(Nonlabor!$E$14="Core",Nonlabor!$F$14,MAX(Nonlabor!$F$14,IF(Nonlabor!$E$14="AI",Assumptions!$D$24,Assumptions!$D$25))),C1864&lt;=Nonlabor!$G$14,OR(Nonlabor!$H$14="Monthly",AND(Nonlabor!$H$14="Once",C1864=IF(Nonlabor!$E$14="Core",Nonlabor!$F$14,MAX(Nonlabor!$F$14,IF(Nonlabor!$E$14="AI",Assumptions!$D$24,Assumptions!$D$25)))),AND(Nonlabor!$H$14="Annual",MOD(C1864-IF(Nonlabor!$E$14="Core",Nonlabor!$F$14,MAX(Nonlabor!$F$14,IF(Nonlabor!$E$14="AI",Assumptions!$D$24,Assumptions!$D$25))),12)=0))),IF(Nonlabor!$I$14="Fixed",1,IF(Nonlabor!$I$14="Seats",ROUNDUP('Monthly Base'!I64,0),IF(Nonlabor!$I$14="Customers",'Monthly Base'!D64,IF(Nonlabor!$I$14="NewCustomers",'Monthly Base'!C64,IF(Nonlabor!$I$14="StorageGB",'Monthly Base'!G64,IF(Nonlabor!$I$14="LogGB",'Monthly Base'!H64,IF(Nonlabor!$I$14="RequestsM",'Monthly Base'!F64,IF(Nonlabor!$I$14="InputM",'Monthly Base'!D64*Assumptions!$D$22/1000000,IF(Nonlabor!$I$14="OutputM",'Monthly Base'!D64*Assumptions!$D$23/1000000,0))))))))),0)</f>
        <v>13</v>
      </c>
      <c r="F1864" s="10" t="n">
        <f aca="false">Nonlabor!$J$14*(1+Assumptions!$D$9)^INT((C1864-1)/12)</f>
        <v>50.64789645</v>
      </c>
      <c r="G1864" s="10" t="n">
        <f aca="false">E1864*F1864</f>
        <v>658.42265385</v>
      </c>
      <c r="H1864" s="10" t="n">
        <f aca="false">IF(OR(Nonlabor!$L$14="Quote required",Nonlabor!$L$14="Unverified"),G1864,0)</f>
        <v>0</v>
      </c>
      <c r="I1864" s="10" t="n">
        <f aca="false">IF(Nonlabor!$E$14="Core",0,G1864)</f>
        <v>0</v>
      </c>
      <c r="J1864" s="23" t="str">
        <f aca="false">Nonlabor!$B$14</f>
        <v>TOOLS</v>
      </c>
    </row>
    <row r="1865" customFormat="false" ht="15" hidden="false" customHeight="false" outlineLevel="0" collapsed="false">
      <c r="A1865" s="6" t="s">
        <v>4</v>
      </c>
      <c r="B1865" s="6" t="s">
        <v>399</v>
      </c>
      <c r="C1865" s="6" t="n">
        <v>60</v>
      </c>
      <c r="D1865" s="25" t="n">
        <f aca="false">EDATE('Start Here'!$B$6,C1865-1)</f>
        <v>48122</v>
      </c>
      <c r="E1865" s="23" t="n">
        <f aca="false">IF(AND(OR(Nonlabor!$D$14="Both",Nonlabor!$D$14='Start Here'!$B$9),IF(Nonlabor!$E$14="Core",1,IF(Nonlabor!$E$14="AI",'Start Here'!$B$7,'Start Here'!$B$8))=1,C1865&gt;=IF(Nonlabor!$E$14="Core",Nonlabor!$F$14,MAX(Nonlabor!$F$14,IF(Nonlabor!$E$14="AI",Assumptions!$D$24,Assumptions!$D$25))),C1865&lt;=Nonlabor!$G$14,OR(Nonlabor!$H$14="Monthly",AND(Nonlabor!$H$14="Once",C1865=IF(Nonlabor!$E$14="Core",Nonlabor!$F$14,MAX(Nonlabor!$F$14,IF(Nonlabor!$E$14="AI",Assumptions!$D$24,Assumptions!$D$25)))),AND(Nonlabor!$H$14="Annual",MOD(C1865-IF(Nonlabor!$E$14="Core",Nonlabor!$F$14,MAX(Nonlabor!$F$14,IF(Nonlabor!$E$14="AI",Assumptions!$D$24,Assumptions!$D$25))),12)=0))),IF(Nonlabor!$I$14="Fixed",1,IF(Nonlabor!$I$14="Seats",ROUNDUP('Monthly Base'!I65,0),IF(Nonlabor!$I$14="Customers",'Monthly Base'!D65,IF(Nonlabor!$I$14="NewCustomers",'Monthly Base'!C65,IF(Nonlabor!$I$14="StorageGB",'Monthly Base'!G65,IF(Nonlabor!$I$14="LogGB",'Monthly Base'!H65,IF(Nonlabor!$I$14="RequestsM",'Monthly Base'!F65,IF(Nonlabor!$I$14="InputM",'Monthly Base'!D65*Assumptions!$D$22/1000000,IF(Nonlabor!$I$14="OutputM",'Monthly Base'!D65*Assumptions!$D$23/1000000,0))))))))),0)</f>
        <v>13</v>
      </c>
      <c r="F1865" s="10" t="n">
        <f aca="false">Nonlabor!$J$14*(1+Assumptions!$D$9)^INT((C1865-1)/12)</f>
        <v>50.64789645</v>
      </c>
      <c r="G1865" s="10" t="n">
        <f aca="false">E1865*F1865</f>
        <v>658.42265385</v>
      </c>
      <c r="H1865" s="10" t="n">
        <f aca="false">IF(OR(Nonlabor!$L$14="Quote required",Nonlabor!$L$14="Unverified"),G1865,0)</f>
        <v>0</v>
      </c>
      <c r="I1865" s="10" t="n">
        <f aca="false">IF(Nonlabor!$E$14="Core",0,G1865)</f>
        <v>0</v>
      </c>
      <c r="J1865" s="23" t="str">
        <f aca="false">Nonlabor!$B$14</f>
        <v>TOOLS</v>
      </c>
    </row>
    <row r="1866" customFormat="false" ht="15" hidden="false" customHeight="false" outlineLevel="0" collapsed="false">
      <c r="A1866" s="6" t="s">
        <v>4</v>
      </c>
      <c r="B1866" s="6" t="s">
        <v>402</v>
      </c>
      <c r="C1866" s="6" t="n">
        <v>1</v>
      </c>
      <c r="D1866" s="25" t="n">
        <f aca="false">EDATE('Start Here'!$B$6,C1866-1)</f>
        <v>46327</v>
      </c>
      <c r="E1866" s="23" t="n">
        <f aca="false">IF(AND(OR(Nonlabor!$D$15="Both",Nonlabor!$D$15='Start Here'!$B$9),IF(Nonlabor!$E$15="Core",1,IF(Nonlabor!$E$15="AI",'Start Here'!$B$7,'Start Here'!$B$8))=1,C1866&gt;=IF(Nonlabor!$E$15="Core",Nonlabor!$F$15,MAX(Nonlabor!$F$15,IF(Nonlabor!$E$15="AI",Assumptions!$D$24,Assumptions!$D$25))),C1866&lt;=Nonlabor!$G$15,OR(Nonlabor!$H$15="Monthly",AND(Nonlabor!$H$15="Once",C1866=IF(Nonlabor!$E$15="Core",Nonlabor!$F$15,MAX(Nonlabor!$F$15,IF(Nonlabor!$E$15="AI",Assumptions!$D$24,Assumptions!$D$25)))),AND(Nonlabor!$H$15="Annual",MOD(C1866-IF(Nonlabor!$E$15="Core",Nonlabor!$F$15,MAX(Nonlabor!$F$15,IF(Nonlabor!$E$15="AI",Assumptions!$D$24,Assumptions!$D$25))),12)=0))),IF(Nonlabor!$I$15="Fixed",1,IF(Nonlabor!$I$15="Seats",ROUNDUP('Monthly Base'!I6,0),IF(Nonlabor!$I$15="Customers",'Monthly Base'!D6,IF(Nonlabor!$I$15="NewCustomers",'Monthly Base'!C6,IF(Nonlabor!$I$15="StorageGB",'Monthly Base'!G6,IF(Nonlabor!$I$15="LogGB",'Monthly Base'!H6,IF(Nonlabor!$I$15="RequestsM",'Monthly Base'!F6,IF(Nonlabor!$I$15="InputM",'Monthly Base'!D6*Assumptions!$D$22/1000000,IF(Nonlabor!$I$15="OutputM",'Monthly Base'!D6*Assumptions!$D$23/1000000,0))))))))),0)</f>
        <v>0</v>
      </c>
      <c r="F1866" s="10" t="n">
        <f aca="false">Nonlabor!$J$15*(1+Assumptions!$D$9)^INT((C1866-1)/12)</f>
        <v>20000</v>
      </c>
      <c r="G1866" s="10" t="n">
        <f aca="false">E1866*F1866</f>
        <v>0</v>
      </c>
      <c r="H1866" s="10" t="n">
        <f aca="false">IF(OR(Nonlabor!$L$15="Quote required",Nonlabor!$L$15="Unverified"),G1866,0)</f>
        <v>0</v>
      </c>
      <c r="I1866" s="10" t="n">
        <f aca="false">IF(Nonlabor!$E$15="Core",0,G1866)</f>
        <v>0</v>
      </c>
      <c r="J1866" s="23" t="str">
        <f aca="false">Nonlabor!$B$15</f>
        <v>LEGAL</v>
      </c>
    </row>
    <row r="1867" customFormat="false" ht="15" hidden="false" customHeight="false" outlineLevel="0" collapsed="false">
      <c r="A1867" s="6" t="s">
        <v>4</v>
      </c>
      <c r="B1867" s="6" t="s">
        <v>402</v>
      </c>
      <c r="C1867" s="6" t="n">
        <v>2</v>
      </c>
      <c r="D1867" s="25" t="n">
        <f aca="false">EDATE('Start Here'!$B$6,C1867-1)</f>
        <v>46357</v>
      </c>
      <c r="E1867" s="23" t="n">
        <f aca="false">IF(AND(OR(Nonlabor!$D$15="Both",Nonlabor!$D$15='Start Here'!$B$9),IF(Nonlabor!$E$15="Core",1,IF(Nonlabor!$E$15="AI",'Start Here'!$B$7,'Start Here'!$B$8))=1,C1867&gt;=IF(Nonlabor!$E$15="Core",Nonlabor!$F$15,MAX(Nonlabor!$F$15,IF(Nonlabor!$E$15="AI",Assumptions!$D$24,Assumptions!$D$25))),C1867&lt;=Nonlabor!$G$15,OR(Nonlabor!$H$15="Monthly",AND(Nonlabor!$H$15="Once",C1867=IF(Nonlabor!$E$15="Core",Nonlabor!$F$15,MAX(Nonlabor!$F$15,IF(Nonlabor!$E$15="AI",Assumptions!$D$24,Assumptions!$D$25)))),AND(Nonlabor!$H$15="Annual",MOD(C1867-IF(Nonlabor!$E$15="Core",Nonlabor!$F$15,MAX(Nonlabor!$F$15,IF(Nonlabor!$E$15="AI",Assumptions!$D$24,Assumptions!$D$25))),12)=0))),IF(Nonlabor!$I$15="Fixed",1,IF(Nonlabor!$I$15="Seats",ROUNDUP('Monthly Base'!I7,0),IF(Nonlabor!$I$15="Customers",'Monthly Base'!D7,IF(Nonlabor!$I$15="NewCustomers",'Monthly Base'!C7,IF(Nonlabor!$I$15="StorageGB",'Monthly Base'!G7,IF(Nonlabor!$I$15="LogGB",'Monthly Base'!H7,IF(Nonlabor!$I$15="RequestsM",'Monthly Base'!F7,IF(Nonlabor!$I$15="InputM",'Monthly Base'!D7*Assumptions!$D$22/1000000,IF(Nonlabor!$I$15="OutputM",'Monthly Base'!D7*Assumptions!$D$23/1000000,0))))))))),0)</f>
        <v>1</v>
      </c>
      <c r="F1867" s="10" t="n">
        <f aca="false">Nonlabor!$J$15*(1+Assumptions!$D$9)^INT((C1867-1)/12)</f>
        <v>20000</v>
      </c>
      <c r="G1867" s="10" t="n">
        <f aca="false">E1867*F1867</f>
        <v>20000</v>
      </c>
      <c r="H1867" s="10" t="n">
        <f aca="false">IF(OR(Nonlabor!$L$15="Quote required",Nonlabor!$L$15="Unverified"),G1867,0)</f>
        <v>20000</v>
      </c>
      <c r="I1867" s="10" t="n">
        <f aca="false">IF(Nonlabor!$E$15="Core",0,G1867)</f>
        <v>0</v>
      </c>
      <c r="J1867" s="23" t="str">
        <f aca="false">Nonlabor!$B$15</f>
        <v>LEGAL</v>
      </c>
    </row>
    <row r="1868" customFormat="false" ht="15" hidden="false" customHeight="false" outlineLevel="0" collapsed="false">
      <c r="A1868" s="6" t="s">
        <v>4</v>
      </c>
      <c r="B1868" s="6" t="s">
        <v>402</v>
      </c>
      <c r="C1868" s="6" t="n">
        <v>3</v>
      </c>
      <c r="D1868" s="25" t="n">
        <f aca="false">EDATE('Start Here'!$B$6,C1868-1)</f>
        <v>46388</v>
      </c>
      <c r="E1868" s="23" t="n">
        <f aca="false">IF(AND(OR(Nonlabor!$D$15="Both",Nonlabor!$D$15='Start Here'!$B$9),IF(Nonlabor!$E$15="Core",1,IF(Nonlabor!$E$15="AI",'Start Here'!$B$7,'Start Here'!$B$8))=1,C1868&gt;=IF(Nonlabor!$E$15="Core",Nonlabor!$F$15,MAX(Nonlabor!$F$15,IF(Nonlabor!$E$15="AI",Assumptions!$D$24,Assumptions!$D$25))),C1868&lt;=Nonlabor!$G$15,OR(Nonlabor!$H$15="Monthly",AND(Nonlabor!$H$15="Once",C1868=IF(Nonlabor!$E$15="Core",Nonlabor!$F$15,MAX(Nonlabor!$F$15,IF(Nonlabor!$E$15="AI",Assumptions!$D$24,Assumptions!$D$25)))),AND(Nonlabor!$H$15="Annual",MOD(C1868-IF(Nonlabor!$E$15="Core",Nonlabor!$F$15,MAX(Nonlabor!$F$15,IF(Nonlabor!$E$15="AI",Assumptions!$D$24,Assumptions!$D$25))),12)=0))),IF(Nonlabor!$I$15="Fixed",1,IF(Nonlabor!$I$15="Seats",ROUNDUP('Monthly Base'!I8,0),IF(Nonlabor!$I$15="Customers",'Monthly Base'!D8,IF(Nonlabor!$I$15="NewCustomers",'Monthly Base'!C8,IF(Nonlabor!$I$15="StorageGB",'Monthly Base'!G8,IF(Nonlabor!$I$15="LogGB",'Monthly Base'!H8,IF(Nonlabor!$I$15="RequestsM",'Monthly Base'!F8,IF(Nonlabor!$I$15="InputM",'Monthly Base'!D8*Assumptions!$D$22/1000000,IF(Nonlabor!$I$15="OutputM",'Monthly Base'!D8*Assumptions!$D$23/1000000,0))))))))),0)</f>
        <v>0</v>
      </c>
      <c r="F1868" s="10" t="n">
        <f aca="false">Nonlabor!$J$15*(1+Assumptions!$D$9)^INT((C1868-1)/12)</f>
        <v>20000</v>
      </c>
      <c r="G1868" s="10" t="n">
        <f aca="false">E1868*F1868</f>
        <v>0</v>
      </c>
      <c r="H1868" s="10" t="n">
        <f aca="false">IF(OR(Nonlabor!$L$15="Quote required",Nonlabor!$L$15="Unverified"),G1868,0)</f>
        <v>0</v>
      </c>
      <c r="I1868" s="10" t="n">
        <f aca="false">IF(Nonlabor!$E$15="Core",0,G1868)</f>
        <v>0</v>
      </c>
      <c r="J1868" s="23" t="str">
        <f aca="false">Nonlabor!$B$15</f>
        <v>LEGAL</v>
      </c>
    </row>
    <row r="1869" customFormat="false" ht="15" hidden="false" customHeight="false" outlineLevel="0" collapsed="false">
      <c r="A1869" s="6" t="s">
        <v>4</v>
      </c>
      <c r="B1869" s="6" t="s">
        <v>402</v>
      </c>
      <c r="C1869" s="6" t="n">
        <v>4</v>
      </c>
      <c r="D1869" s="25" t="n">
        <f aca="false">EDATE('Start Here'!$B$6,C1869-1)</f>
        <v>46419</v>
      </c>
      <c r="E1869" s="23" t="n">
        <f aca="false">IF(AND(OR(Nonlabor!$D$15="Both",Nonlabor!$D$15='Start Here'!$B$9),IF(Nonlabor!$E$15="Core",1,IF(Nonlabor!$E$15="AI",'Start Here'!$B$7,'Start Here'!$B$8))=1,C1869&gt;=IF(Nonlabor!$E$15="Core",Nonlabor!$F$15,MAX(Nonlabor!$F$15,IF(Nonlabor!$E$15="AI",Assumptions!$D$24,Assumptions!$D$25))),C1869&lt;=Nonlabor!$G$15,OR(Nonlabor!$H$15="Monthly",AND(Nonlabor!$H$15="Once",C1869=IF(Nonlabor!$E$15="Core",Nonlabor!$F$15,MAX(Nonlabor!$F$15,IF(Nonlabor!$E$15="AI",Assumptions!$D$24,Assumptions!$D$25)))),AND(Nonlabor!$H$15="Annual",MOD(C1869-IF(Nonlabor!$E$15="Core",Nonlabor!$F$15,MAX(Nonlabor!$F$15,IF(Nonlabor!$E$15="AI",Assumptions!$D$24,Assumptions!$D$25))),12)=0))),IF(Nonlabor!$I$15="Fixed",1,IF(Nonlabor!$I$15="Seats",ROUNDUP('Monthly Base'!I9,0),IF(Nonlabor!$I$15="Customers",'Monthly Base'!D9,IF(Nonlabor!$I$15="NewCustomers",'Monthly Base'!C9,IF(Nonlabor!$I$15="StorageGB",'Monthly Base'!G9,IF(Nonlabor!$I$15="LogGB",'Monthly Base'!H9,IF(Nonlabor!$I$15="RequestsM",'Monthly Base'!F9,IF(Nonlabor!$I$15="InputM",'Monthly Base'!D9*Assumptions!$D$22/1000000,IF(Nonlabor!$I$15="OutputM",'Monthly Base'!D9*Assumptions!$D$23/1000000,0))))))))),0)</f>
        <v>0</v>
      </c>
      <c r="F1869" s="10" t="n">
        <f aca="false">Nonlabor!$J$15*(1+Assumptions!$D$9)^INT((C1869-1)/12)</f>
        <v>20000</v>
      </c>
      <c r="G1869" s="10" t="n">
        <f aca="false">E1869*F1869</f>
        <v>0</v>
      </c>
      <c r="H1869" s="10" t="n">
        <f aca="false">IF(OR(Nonlabor!$L$15="Quote required",Nonlabor!$L$15="Unverified"),G1869,0)</f>
        <v>0</v>
      </c>
      <c r="I1869" s="10" t="n">
        <f aca="false">IF(Nonlabor!$E$15="Core",0,G1869)</f>
        <v>0</v>
      </c>
      <c r="J1869" s="23" t="str">
        <f aca="false">Nonlabor!$B$15</f>
        <v>LEGAL</v>
      </c>
    </row>
    <row r="1870" customFormat="false" ht="15" hidden="false" customHeight="false" outlineLevel="0" collapsed="false">
      <c r="A1870" s="6" t="s">
        <v>4</v>
      </c>
      <c r="B1870" s="6" t="s">
        <v>402</v>
      </c>
      <c r="C1870" s="6" t="n">
        <v>5</v>
      </c>
      <c r="D1870" s="25" t="n">
        <f aca="false">EDATE('Start Here'!$B$6,C1870-1)</f>
        <v>46447</v>
      </c>
      <c r="E1870" s="23" t="n">
        <f aca="false">IF(AND(OR(Nonlabor!$D$15="Both",Nonlabor!$D$15='Start Here'!$B$9),IF(Nonlabor!$E$15="Core",1,IF(Nonlabor!$E$15="AI",'Start Here'!$B$7,'Start Here'!$B$8))=1,C1870&gt;=IF(Nonlabor!$E$15="Core",Nonlabor!$F$15,MAX(Nonlabor!$F$15,IF(Nonlabor!$E$15="AI",Assumptions!$D$24,Assumptions!$D$25))),C1870&lt;=Nonlabor!$G$15,OR(Nonlabor!$H$15="Monthly",AND(Nonlabor!$H$15="Once",C1870=IF(Nonlabor!$E$15="Core",Nonlabor!$F$15,MAX(Nonlabor!$F$15,IF(Nonlabor!$E$15="AI",Assumptions!$D$24,Assumptions!$D$25)))),AND(Nonlabor!$H$15="Annual",MOD(C1870-IF(Nonlabor!$E$15="Core",Nonlabor!$F$15,MAX(Nonlabor!$F$15,IF(Nonlabor!$E$15="AI",Assumptions!$D$24,Assumptions!$D$25))),12)=0))),IF(Nonlabor!$I$15="Fixed",1,IF(Nonlabor!$I$15="Seats",ROUNDUP('Monthly Base'!I10,0),IF(Nonlabor!$I$15="Customers",'Monthly Base'!D10,IF(Nonlabor!$I$15="NewCustomers",'Monthly Base'!C10,IF(Nonlabor!$I$15="StorageGB",'Monthly Base'!G10,IF(Nonlabor!$I$15="LogGB",'Monthly Base'!H10,IF(Nonlabor!$I$15="RequestsM",'Monthly Base'!F10,IF(Nonlabor!$I$15="InputM",'Monthly Base'!D10*Assumptions!$D$22/1000000,IF(Nonlabor!$I$15="OutputM",'Monthly Base'!D10*Assumptions!$D$23/1000000,0))))))))),0)</f>
        <v>0</v>
      </c>
      <c r="F1870" s="10" t="n">
        <f aca="false">Nonlabor!$J$15*(1+Assumptions!$D$9)^INT((C1870-1)/12)</f>
        <v>20000</v>
      </c>
      <c r="G1870" s="10" t="n">
        <f aca="false">E1870*F1870</f>
        <v>0</v>
      </c>
      <c r="H1870" s="10" t="n">
        <f aca="false">IF(OR(Nonlabor!$L$15="Quote required",Nonlabor!$L$15="Unverified"),G1870,0)</f>
        <v>0</v>
      </c>
      <c r="I1870" s="10" t="n">
        <f aca="false">IF(Nonlabor!$E$15="Core",0,G1870)</f>
        <v>0</v>
      </c>
      <c r="J1870" s="23" t="str">
        <f aca="false">Nonlabor!$B$15</f>
        <v>LEGAL</v>
      </c>
    </row>
    <row r="1871" customFormat="false" ht="15" hidden="false" customHeight="false" outlineLevel="0" collapsed="false">
      <c r="A1871" s="6" t="s">
        <v>4</v>
      </c>
      <c r="B1871" s="6" t="s">
        <v>402</v>
      </c>
      <c r="C1871" s="6" t="n">
        <v>6</v>
      </c>
      <c r="D1871" s="25" t="n">
        <f aca="false">EDATE('Start Here'!$B$6,C1871-1)</f>
        <v>46478</v>
      </c>
      <c r="E1871" s="23" t="n">
        <f aca="false">IF(AND(OR(Nonlabor!$D$15="Both",Nonlabor!$D$15='Start Here'!$B$9),IF(Nonlabor!$E$15="Core",1,IF(Nonlabor!$E$15="AI",'Start Here'!$B$7,'Start Here'!$B$8))=1,C1871&gt;=IF(Nonlabor!$E$15="Core",Nonlabor!$F$15,MAX(Nonlabor!$F$15,IF(Nonlabor!$E$15="AI",Assumptions!$D$24,Assumptions!$D$25))),C1871&lt;=Nonlabor!$G$15,OR(Nonlabor!$H$15="Monthly",AND(Nonlabor!$H$15="Once",C1871=IF(Nonlabor!$E$15="Core",Nonlabor!$F$15,MAX(Nonlabor!$F$15,IF(Nonlabor!$E$15="AI",Assumptions!$D$24,Assumptions!$D$25)))),AND(Nonlabor!$H$15="Annual",MOD(C1871-IF(Nonlabor!$E$15="Core",Nonlabor!$F$15,MAX(Nonlabor!$F$15,IF(Nonlabor!$E$15="AI",Assumptions!$D$24,Assumptions!$D$25))),12)=0))),IF(Nonlabor!$I$15="Fixed",1,IF(Nonlabor!$I$15="Seats",ROUNDUP('Monthly Base'!I11,0),IF(Nonlabor!$I$15="Customers",'Monthly Base'!D11,IF(Nonlabor!$I$15="NewCustomers",'Monthly Base'!C11,IF(Nonlabor!$I$15="StorageGB",'Monthly Base'!G11,IF(Nonlabor!$I$15="LogGB",'Monthly Base'!H11,IF(Nonlabor!$I$15="RequestsM",'Monthly Base'!F11,IF(Nonlabor!$I$15="InputM",'Monthly Base'!D11*Assumptions!$D$22/1000000,IF(Nonlabor!$I$15="OutputM",'Monthly Base'!D11*Assumptions!$D$23/1000000,0))))))))),0)</f>
        <v>0</v>
      </c>
      <c r="F1871" s="10" t="n">
        <f aca="false">Nonlabor!$J$15*(1+Assumptions!$D$9)^INT((C1871-1)/12)</f>
        <v>20000</v>
      </c>
      <c r="G1871" s="10" t="n">
        <f aca="false">E1871*F1871</f>
        <v>0</v>
      </c>
      <c r="H1871" s="10" t="n">
        <f aca="false">IF(OR(Nonlabor!$L$15="Quote required",Nonlabor!$L$15="Unverified"),G1871,0)</f>
        <v>0</v>
      </c>
      <c r="I1871" s="10" t="n">
        <f aca="false">IF(Nonlabor!$E$15="Core",0,G1871)</f>
        <v>0</v>
      </c>
      <c r="J1871" s="23" t="str">
        <f aca="false">Nonlabor!$B$15</f>
        <v>LEGAL</v>
      </c>
    </row>
    <row r="1872" customFormat="false" ht="15" hidden="false" customHeight="false" outlineLevel="0" collapsed="false">
      <c r="A1872" s="6" t="s">
        <v>4</v>
      </c>
      <c r="B1872" s="6" t="s">
        <v>402</v>
      </c>
      <c r="C1872" s="6" t="n">
        <v>7</v>
      </c>
      <c r="D1872" s="25" t="n">
        <f aca="false">EDATE('Start Here'!$B$6,C1872-1)</f>
        <v>46508</v>
      </c>
      <c r="E1872" s="23" t="n">
        <f aca="false">IF(AND(OR(Nonlabor!$D$15="Both",Nonlabor!$D$15='Start Here'!$B$9),IF(Nonlabor!$E$15="Core",1,IF(Nonlabor!$E$15="AI",'Start Here'!$B$7,'Start Here'!$B$8))=1,C1872&gt;=IF(Nonlabor!$E$15="Core",Nonlabor!$F$15,MAX(Nonlabor!$F$15,IF(Nonlabor!$E$15="AI",Assumptions!$D$24,Assumptions!$D$25))),C1872&lt;=Nonlabor!$G$15,OR(Nonlabor!$H$15="Monthly",AND(Nonlabor!$H$15="Once",C1872=IF(Nonlabor!$E$15="Core",Nonlabor!$F$15,MAX(Nonlabor!$F$15,IF(Nonlabor!$E$15="AI",Assumptions!$D$24,Assumptions!$D$25)))),AND(Nonlabor!$H$15="Annual",MOD(C1872-IF(Nonlabor!$E$15="Core",Nonlabor!$F$15,MAX(Nonlabor!$F$15,IF(Nonlabor!$E$15="AI",Assumptions!$D$24,Assumptions!$D$25))),12)=0))),IF(Nonlabor!$I$15="Fixed",1,IF(Nonlabor!$I$15="Seats",ROUNDUP('Monthly Base'!I12,0),IF(Nonlabor!$I$15="Customers",'Monthly Base'!D12,IF(Nonlabor!$I$15="NewCustomers",'Monthly Base'!C12,IF(Nonlabor!$I$15="StorageGB",'Monthly Base'!G12,IF(Nonlabor!$I$15="LogGB",'Monthly Base'!H12,IF(Nonlabor!$I$15="RequestsM",'Monthly Base'!F12,IF(Nonlabor!$I$15="InputM",'Monthly Base'!D12*Assumptions!$D$22/1000000,IF(Nonlabor!$I$15="OutputM",'Monthly Base'!D12*Assumptions!$D$23/1000000,0))))))))),0)</f>
        <v>0</v>
      </c>
      <c r="F1872" s="10" t="n">
        <f aca="false">Nonlabor!$J$15*(1+Assumptions!$D$9)^INT((C1872-1)/12)</f>
        <v>20000</v>
      </c>
      <c r="G1872" s="10" t="n">
        <f aca="false">E1872*F1872</f>
        <v>0</v>
      </c>
      <c r="H1872" s="10" t="n">
        <f aca="false">IF(OR(Nonlabor!$L$15="Quote required",Nonlabor!$L$15="Unverified"),G1872,0)</f>
        <v>0</v>
      </c>
      <c r="I1872" s="10" t="n">
        <f aca="false">IF(Nonlabor!$E$15="Core",0,G1872)</f>
        <v>0</v>
      </c>
      <c r="J1872" s="23" t="str">
        <f aca="false">Nonlabor!$B$15</f>
        <v>LEGAL</v>
      </c>
    </row>
    <row r="1873" customFormat="false" ht="15" hidden="false" customHeight="false" outlineLevel="0" collapsed="false">
      <c r="A1873" s="6" t="s">
        <v>4</v>
      </c>
      <c r="B1873" s="6" t="s">
        <v>402</v>
      </c>
      <c r="C1873" s="6" t="n">
        <v>8</v>
      </c>
      <c r="D1873" s="25" t="n">
        <f aca="false">EDATE('Start Here'!$B$6,C1873-1)</f>
        <v>46539</v>
      </c>
      <c r="E1873" s="23" t="n">
        <f aca="false">IF(AND(OR(Nonlabor!$D$15="Both",Nonlabor!$D$15='Start Here'!$B$9),IF(Nonlabor!$E$15="Core",1,IF(Nonlabor!$E$15="AI",'Start Here'!$B$7,'Start Here'!$B$8))=1,C1873&gt;=IF(Nonlabor!$E$15="Core",Nonlabor!$F$15,MAX(Nonlabor!$F$15,IF(Nonlabor!$E$15="AI",Assumptions!$D$24,Assumptions!$D$25))),C1873&lt;=Nonlabor!$G$15,OR(Nonlabor!$H$15="Monthly",AND(Nonlabor!$H$15="Once",C1873=IF(Nonlabor!$E$15="Core",Nonlabor!$F$15,MAX(Nonlabor!$F$15,IF(Nonlabor!$E$15="AI",Assumptions!$D$24,Assumptions!$D$25)))),AND(Nonlabor!$H$15="Annual",MOD(C1873-IF(Nonlabor!$E$15="Core",Nonlabor!$F$15,MAX(Nonlabor!$F$15,IF(Nonlabor!$E$15="AI",Assumptions!$D$24,Assumptions!$D$25))),12)=0))),IF(Nonlabor!$I$15="Fixed",1,IF(Nonlabor!$I$15="Seats",ROUNDUP('Monthly Base'!I13,0),IF(Nonlabor!$I$15="Customers",'Monthly Base'!D13,IF(Nonlabor!$I$15="NewCustomers",'Monthly Base'!C13,IF(Nonlabor!$I$15="StorageGB",'Monthly Base'!G13,IF(Nonlabor!$I$15="LogGB",'Monthly Base'!H13,IF(Nonlabor!$I$15="RequestsM",'Monthly Base'!F13,IF(Nonlabor!$I$15="InputM",'Monthly Base'!D13*Assumptions!$D$22/1000000,IF(Nonlabor!$I$15="OutputM",'Monthly Base'!D13*Assumptions!$D$23/1000000,0))))))))),0)</f>
        <v>0</v>
      </c>
      <c r="F1873" s="10" t="n">
        <f aca="false">Nonlabor!$J$15*(1+Assumptions!$D$9)^INT((C1873-1)/12)</f>
        <v>20000</v>
      </c>
      <c r="G1873" s="10" t="n">
        <f aca="false">E1873*F1873</f>
        <v>0</v>
      </c>
      <c r="H1873" s="10" t="n">
        <f aca="false">IF(OR(Nonlabor!$L$15="Quote required",Nonlabor!$L$15="Unverified"),G1873,0)</f>
        <v>0</v>
      </c>
      <c r="I1873" s="10" t="n">
        <f aca="false">IF(Nonlabor!$E$15="Core",0,G1873)</f>
        <v>0</v>
      </c>
      <c r="J1873" s="23" t="str">
        <f aca="false">Nonlabor!$B$15</f>
        <v>LEGAL</v>
      </c>
    </row>
    <row r="1874" customFormat="false" ht="15" hidden="false" customHeight="false" outlineLevel="0" collapsed="false">
      <c r="A1874" s="6" t="s">
        <v>4</v>
      </c>
      <c r="B1874" s="6" t="s">
        <v>402</v>
      </c>
      <c r="C1874" s="6" t="n">
        <v>9</v>
      </c>
      <c r="D1874" s="25" t="n">
        <f aca="false">EDATE('Start Here'!$B$6,C1874-1)</f>
        <v>46569</v>
      </c>
      <c r="E1874" s="23" t="n">
        <f aca="false">IF(AND(OR(Nonlabor!$D$15="Both",Nonlabor!$D$15='Start Here'!$B$9),IF(Nonlabor!$E$15="Core",1,IF(Nonlabor!$E$15="AI",'Start Here'!$B$7,'Start Here'!$B$8))=1,C1874&gt;=IF(Nonlabor!$E$15="Core",Nonlabor!$F$15,MAX(Nonlabor!$F$15,IF(Nonlabor!$E$15="AI",Assumptions!$D$24,Assumptions!$D$25))),C1874&lt;=Nonlabor!$G$15,OR(Nonlabor!$H$15="Monthly",AND(Nonlabor!$H$15="Once",C1874=IF(Nonlabor!$E$15="Core",Nonlabor!$F$15,MAX(Nonlabor!$F$15,IF(Nonlabor!$E$15="AI",Assumptions!$D$24,Assumptions!$D$25)))),AND(Nonlabor!$H$15="Annual",MOD(C1874-IF(Nonlabor!$E$15="Core",Nonlabor!$F$15,MAX(Nonlabor!$F$15,IF(Nonlabor!$E$15="AI",Assumptions!$D$24,Assumptions!$D$25))),12)=0))),IF(Nonlabor!$I$15="Fixed",1,IF(Nonlabor!$I$15="Seats",ROUNDUP('Monthly Base'!I14,0),IF(Nonlabor!$I$15="Customers",'Monthly Base'!D14,IF(Nonlabor!$I$15="NewCustomers",'Monthly Base'!C14,IF(Nonlabor!$I$15="StorageGB",'Monthly Base'!G14,IF(Nonlabor!$I$15="LogGB",'Monthly Base'!H14,IF(Nonlabor!$I$15="RequestsM",'Monthly Base'!F14,IF(Nonlabor!$I$15="InputM",'Monthly Base'!D14*Assumptions!$D$22/1000000,IF(Nonlabor!$I$15="OutputM",'Monthly Base'!D14*Assumptions!$D$23/1000000,0))))))))),0)</f>
        <v>0</v>
      </c>
      <c r="F1874" s="10" t="n">
        <f aca="false">Nonlabor!$J$15*(1+Assumptions!$D$9)^INT((C1874-1)/12)</f>
        <v>20000</v>
      </c>
      <c r="G1874" s="10" t="n">
        <f aca="false">E1874*F1874</f>
        <v>0</v>
      </c>
      <c r="H1874" s="10" t="n">
        <f aca="false">IF(OR(Nonlabor!$L$15="Quote required",Nonlabor!$L$15="Unverified"),G1874,0)</f>
        <v>0</v>
      </c>
      <c r="I1874" s="10" t="n">
        <f aca="false">IF(Nonlabor!$E$15="Core",0,G1874)</f>
        <v>0</v>
      </c>
      <c r="J1874" s="23" t="str">
        <f aca="false">Nonlabor!$B$15</f>
        <v>LEGAL</v>
      </c>
    </row>
    <row r="1875" customFormat="false" ht="15" hidden="false" customHeight="false" outlineLevel="0" collapsed="false">
      <c r="A1875" s="6" t="s">
        <v>4</v>
      </c>
      <c r="B1875" s="6" t="s">
        <v>402</v>
      </c>
      <c r="C1875" s="6" t="n">
        <v>10</v>
      </c>
      <c r="D1875" s="25" t="n">
        <f aca="false">EDATE('Start Here'!$B$6,C1875-1)</f>
        <v>46600</v>
      </c>
      <c r="E1875" s="23" t="n">
        <f aca="false">IF(AND(OR(Nonlabor!$D$15="Both",Nonlabor!$D$15='Start Here'!$B$9),IF(Nonlabor!$E$15="Core",1,IF(Nonlabor!$E$15="AI",'Start Here'!$B$7,'Start Here'!$B$8))=1,C1875&gt;=IF(Nonlabor!$E$15="Core",Nonlabor!$F$15,MAX(Nonlabor!$F$15,IF(Nonlabor!$E$15="AI",Assumptions!$D$24,Assumptions!$D$25))),C1875&lt;=Nonlabor!$G$15,OR(Nonlabor!$H$15="Monthly",AND(Nonlabor!$H$15="Once",C1875=IF(Nonlabor!$E$15="Core",Nonlabor!$F$15,MAX(Nonlabor!$F$15,IF(Nonlabor!$E$15="AI",Assumptions!$D$24,Assumptions!$D$25)))),AND(Nonlabor!$H$15="Annual",MOD(C1875-IF(Nonlabor!$E$15="Core",Nonlabor!$F$15,MAX(Nonlabor!$F$15,IF(Nonlabor!$E$15="AI",Assumptions!$D$24,Assumptions!$D$25))),12)=0))),IF(Nonlabor!$I$15="Fixed",1,IF(Nonlabor!$I$15="Seats",ROUNDUP('Monthly Base'!I15,0),IF(Nonlabor!$I$15="Customers",'Monthly Base'!D15,IF(Nonlabor!$I$15="NewCustomers",'Monthly Base'!C15,IF(Nonlabor!$I$15="StorageGB",'Monthly Base'!G15,IF(Nonlabor!$I$15="LogGB",'Monthly Base'!H15,IF(Nonlabor!$I$15="RequestsM",'Monthly Base'!F15,IF(Nonlabor!$I$15="InputM",'Monthly Base'!D15*Assumptions!$D$22/1000000,IF(Nonlabor!$I$15="OutputM",'Monthly Base'!D15*Assumptions!$D$23/1000000,0))))))))),0)</f>
        <v>0</v>
      </c>
      <c r="F1875" s="10" t="n">
        <f aca="false">Nonlabor!$J$15*(1+Assumptions!$D$9)^INT((C1875-1)/12)</f>
        <v>20000</v>
      </c>
      <c r="G1875" s="10" t="n">
        <f aca="false">E1875*F1875</f>
        <v>0</v>
      </c>
      <c r="H1875" s="10" t="n">
        <f aca="false">IF(OR(Nonlabor!$L$15="Quote required",Nonlabor!$L$15="Unverified"),G1875,0)</f>
        <v>0</v>
      </c>
      <c r="I1875" s="10" t="n">
        <f aca="false">IF(Nonlabor!$E$15="Core",0,G1875)</f>
        <v>0</v>
      </c>
      <c r="J1875" s="23" t="str">
        <f aca="false">Nonlabor!$B$15</f>
        <v>LEGAL</v>
      </c>
    </row>
    <row r="1876" customFormat="false" ht="15" hidden="false" customHeight="false" outlineLevel="0" collapsed="false">
      <c r="A1876" s="6" t="s">
        <v>4</v>
      </c>
      <c r="B1876" s="6" t="s">
        <v>402</v>
      </c>
      <c r="C1876" s="6" t="n">
        <v>11</v>
      </c>
      <c r="D1876" s="25" t="n">
        <f aca="false">EDATE('Start Here'!$B$6,C1876-1)</f>
        <v>46631</v>
      </c>
      <c r="E1876" s="23" t="n">
        <f aca="false">IF(AND(OR(Nonlabor!$D$15="Both",Nonlabor!$D$15='Start Here'!$B$9),IF(Nonlabor!$E$15="Core",1,IF(Nonlabor!$E$15="AI",'Start Here'!$B$7,'Start Here'!$B$8))=1,C1876&gt;=IF(Nonlabor!$E$15="Core",Nonlabor!$F$15,MAX(Nonlabor!$F$15,IF(Nonlabor!$E$15="AI",Assumptions!$D$24,Assumptions!$D$25))),C1876&lt;=Nonlabor!$G$15,OR(Nonlabor!$H$15="Monthly",AND(Nonlabor!$H$15="Once",C1876=IF(Nonlabor!$E$15="Core",Nonlabor!$F$15,MAX(Nonlabor!$F$15,IF(Nonlabor!$E$15="AI",Assumptions!$D$24,Assumptions!$D$25)))),AND(Nonlabor!$H$15="Annual",MOD(C1876-IF(Nonlabor!$E$15="Core",Nonlabor!$F$15,MAX(Nonlabor!$F$15,IF(Nonlabor!$E$15="AI",Assumptions!$D$24,Assumptions!$D$25))),12)=0))),IF(Nonlabor!$I$15="Fixed",1,IF(Nonlabor!$I$15="Seats",ROUNDUP('Monthly Base'!I16,0),IF(Nonlabor!$I$15="Customers",'Monthly Base'!D16,IF(Nonlabor!$I$15="NewCustomers",'Monthly Base'!C16,IF(Nonlabor!$I$15="StorageGB",'Monthly Base'!G16,IF(Nonlabor!$I$15="LogGB",'Monthly Base'!H16,IF(Nonlabor!$I$15="RequestsM",'Monthly Base'!F16,IF(Nonlabor!$I$15="InputM",'Monthly Base'!D16*Assumptions!$D$22/1000000,IF(Nonlabor!$I$15="OutputM",'Monthly Base'!D16*Assumptions!$D$23/1000000,0))))))))),0)</f>
        <v>0</v>
      </c>
      <c r="F1876" s="10" t="n">
        <f aca="false">Nonlabor!$J$15*(1+Assumptions!$D$9)^INT((C1876-1)/12)</f>
        <v>20000</v>
      </c>
      <c r="G1876" s="10" t="n">
        <f aca="false">E1876*F1876</f>
        <v>0</v>
      </c>
      <c r="H1876" s="10" t="n">
        <f aca="false">IF(OR(Nonlabor!$L$15="Quote required",Nonlabor!$L$15="Unverified"),G1876,0)</f>
        <v>0</v>
      </c>
      <c r="I1876" s="10" t="n">
        <f aca="false">IF(Nonlabor!$E$15="Core",0,G1876)</f>
        <v>0</v>
      </c>
      <c r="J1876" s="23" t="str">
        <f aca="false">Nonlabor!$B$15</f>
        <v>LEGAL</v>
      </c>
    </row>
    <row r="1877" customFormat="false" ht="15" hidden="false" customHeight="false" outlineLevel="0" collapsed="false">
      <c r="A1877" s="6" t="s">
        <v>4</v>
      </c>
      <c r="B1877" s="6" t="s">
        <v>402</v>
      </c>
      <c r="C1877" s="6" t="n">
        <v>12</v>
      </c>
      <c r="D1877" s="25" t="n">
        <f aca="false">EDATE('Start Here'!$B$6,C1877-1)</f>
        <v>46661</v>
      </c>
      <c r="E1877" s="23" t="n">
        <f aca="false">IF(AND(OR(Nonlabor!$D$15="Both",Nonlabor!$D$15='Start Here'!$B$9),IF(Nonlabor!$E$15="Core",1,IF(Nonlabor!$E$15="AI",'Start Here'!$B$7,'Start Here'!$B$8))=1,C1877&gt;=IF(Nonlabor!$E$15="Core",Nonlabor!$F$15,MAX(Nonlabor!$F$15,IF(Nonlabor!$E$15="AI",Assumptions!$D$24,Assumptions!$D$25))),C1877&lt;=Nonlabor!$G$15,OR(Nonlabor!$H$15="Monthly",AND(Nonlabor!$H$15="Once",C1877=IF(Nonlabor!$E$15="Core",Nonlabor!$F$15,MAX(Nonlabor!$F$15,IF(Nonlabor!$E$15="AI",Assumptions!$D$24,Assumptions!$D$25)))),AND(Nonlabor!$H$15="Annual",MOD(C1877-IF(Nonlabor!$E$15="Core",Nonlabor!$F$15,MAX(Nonlabor!$F$15,IF(Nonlabor!$E$15="AI",Assumptions!$D$24,Assumptions!$D$25))),12)=0))),IF(Nonlabor!$I$15="Fixed",1,IF(Nonlabor!$I$15="Seats",ROUNDUP('Monthly Base'!I17,0),IF(Nonlabor!$I$15="Customers",'Monthly Base'!D17,IF(Nonlabor!$I$15="NewCustomers",'Monthly Base'!C17,IF(Nonlabor!$I$15="StorageGB",'Monthly Base'!G17,IF(Nonlabor!$I$15="LogGB",'Monthly Base'!H17,IF(Nonlabor!$I$15="RequestsM",'Monthly Base'!F17,IF(Nonlabor!$I$15="InputM",'Monthly Base'!D17*Assumptions!$D$22/1000000,IF(Nonlabor!$I$15="OutputM",'Monthly Base'!D17*Assumptions!$D$23/1000000,0))))))))),0)</f>
        <v>0</v>
      </c>
      <c r="F1877" s="10" t="n">
        <f aca="false">Nonlabor!$J$15*(1+Assumptions!$D$9)^INT((C1877-1)/12)</f>
        <v>20000</v>
      </c>
      <c r="G1877" s="10" t="n">
        <f aca="false">E1877*F1877</f>
        <v>0</v>
      </c>
      <c r="H1877" s="10" t="n">
        <f aca="false">IF(OR(Nonlabor!$L$15="Quote required",Nonlabor!$L$15="Unverified"),G1877,0)</f>
        <v>0</v>
      </c>
      <c r="I1877" s="10" t="n">
        <f aca="false">IF(Nonlabor!$E$15="Core",0,G1877)</f>
        <v>0</v>
      </c>
      <c r="J1877" s="23" t="str">
        <f aca="false">Nonlabor!$B$15</f>
        <v>LEGAL</v>
      </c>
    </row>
    <row r="1878" customFormat="false" ht="15" hidden="false" customHeight="false" outlineLevel="0" collapsed="false">
      <c r="A1878" s="6" t="s">
        <v>4</v>
      </c>
      <c r="B1878" s="6" t="s">
        <v>402</v>
      </c>
      <c r="C1878" s="6" t="n">
        <v>13</v>
      </c>
      <c r="D1878" s="25" t="n">
        <f aca="false">EDATE('Start Here'!$B$6,C1878-1)</f>
        <v>46692</v>
      </c>
      <c r="E1878" s="23" t="n">
        <f aca="false">IF(AND(OR(Nonlabor!$D$15="Both",Nonlabor!$D$15='Start Here'!$B$9),IF(Nonlabor!$E$15="Core",1,IF(Nonlabor!$E$15="AI",'Start Here'!$B$7,'Start Here'!$B$8))=1,C1878&gt;=IF(Nonlabor!$E$15="Core",Nonlabor!$F$15,MAX(Nonlabor!$F$15,IF(Nonlabor!$E$15="AI",Assumptions!$D$24,Assumptions!$D$25))),C1878&lt;=Nonlabor!$G$15,OR(Nonlabor!$H$15="Monthly",AND(Nonlabor!$H$15="Once",C1878=IF(Nonlabor!$E$15="Core",Nonlabor!$F$15,MAX(Nonlabor!$F$15,IF(Nonlabor!$E$15="AI",Assumptions!$D$24,Assumptions!$D$25)))),AND(Nonlabor!$H$15="Annual",MOD(C1878-IF(Nonlabor!$E$15="Core",Nonlabor!$F$15,MAX(Nonlabor!$F$15,IF(Nonlabor!$E$15="AI",Assumptions!$D$24,Assumptions!$D$25))),12)=0))),IF(Nonlabor!$I$15="Fixed",1,IF(Nonlabor!$I$15="Seats",ROUNDUP('Monthly Base'!I18,0),IF(Nonlabor!$I$15="Customers",'Monthly Base'!D18,IF(Nonlabor!$I$15="NewCustomers",'Monthly Base'!C18,IF(Nonlabor!$I$15="StorageGB",'Monthly Base'!G18,IF(Nonlabor!$I$15="LogGB",'Monthly Base'!H18,IF(Nonlabor!$I$15="RequestsM",'Monthly Base'!F18,IF(Nonlabor!$I$15="InputM",'Monthly Base'!D18*Assumptions!$D$22/1000000,IF(Nonlabor!$I$15="OutputM",'Monthly Base'!D18*Assumptions!$D$23/1000000,0))))))))),0)</f>
        <v>0</v>
      </c>
      <c r="F1878" s="10" t="n">
        <f aca="false">Nonlabor!$J$15*(1+Assumptions!$D$9)^INT((C1878-1)/12)</f>
        <v>20600</v>
      </c>
      <c r="G1878" s="10" t="n">
        <f aca="false">E1878*F1878</f>
        <v>0</v>
      </c>
      <c r="H1878" s="10" t="n">
        <f aca="false">IF(OR(Nonlabor!$L$15="Quote required",Nonlabor!$L$15="Unverified"),G1878,0)</f>
        <v>0</v>
      </c>
      <c r="I1878" s="10" t="n">
        <f aca="false">IF(Nonlabor!$E$15="Core",0,G1878)</f>
        <v>0</v>
      </c>
      <c r="J1878" s="23" t="str">
        <f aca="false">Nonlabor!$B$15</f>
        <v>LEGAL</v>
      </c>
    </row>
    <row r="1879" customFormat="false" ht="15" hidden="false" customHeight="false" outlineLevel="0" collapsed="false">
      <c r="A1879" s="6" t="s">
        <v>4</v>
      </c>
      <c r="B1879" s="6" t="s">
        <v>402</v>
      </c>
      <c r="C1879" s="6" t="n">
        <v>14</v>
      </c>
      <c r="D1879" s="25" t="n">
        <f aca="false">EDATE('Start Here'!$B$6,C1879-1)</f>
        <v>46722</v>
      </c>
      <c r="E1879" s="23" t="n">
        <f aca="false">IF(AND(OR(Nonlabor!$D$15="Both",Nonlabor!$D$15='Start Here'!$B$9),IF(Nonlabor!$E$15="Core",1,IF(Nonlabor!$E$15="AI",'Start Here'!$B$7,'Start Here'!$B$8))=1,C1879&gt;=IF(Nonlabor!$E$15="Core",Nonlabor!$F$15,MAX(Nonlabor!$F$15,IF(Nonlabor!$E$15="AI",Assumptions!$D$24,Assumptions!$D$25))),C1879&lt;=Nonlabor!$G$15,OR(Nonlabor!$H$15="Monthly",AND(Nonlabor!$H$15="Once",C1879=IF(Nonlabor!$E$15="Core",Nonlabor!$F$15,MAX(Nonlabor!$F$15,IF(Nonlabor!$E$15="AI",Assumptions!$D$24,Assumptions!$D$25)))),AND(Nonlabor!$H$15="Annual",MOD(C1879-IF(Nonlabor!$E$15="Core",Nonlabor!$F$15,MAX(Nonlabor!$F$15,IF(Nonlabor!$E$15="AI",Assumptions!$D$24,Assumptions!$D$25))),12)=0))),IF(Nonlabor!$I$15="Fixed",1,IF(Nonlabor!$I$15="Seats",ROUNDUP('Monthly Base'!I19,0),IF(Nonlabor!$I$15="Customers",'Monthly Base'!D19,IF(Nonlabor!$I$15="NewCustomers",'Monthly Base'!C19,IF(Nonlabor!$I$15="StorageGB",'Monthly Base'!G19,IF(Nonlabor!$I$15="LogGB",'Monthly Base'!H19,IF(Nonlabor!$I$15="RequestsM",'Monthly Base'!F19,IF(Nonlabor!$I$15="InputM",'Monthly Base'!D19*Assumptions!$D$22/1000000,IF(Nonlabor!$I$15="OutputM",'Monthly Base'!D19*Assumptions!$D$23/1000000,0))))))))),0)</f>
        <v>0</v>
      </c>
      <c r="F1879" s="10" t="n">
        <f aca="false">Nonlabor!$J$15*(1+Assumptions!$D$9)^INT((C1879-1)/12)</f>
        <v>20600</v>
      </c>
      <c r="G1879" s="10" t="n">
        <f aca="false">E1879*F1879</f>
        <v>0</v>
      </c>
      <c r="H1879" s="10" t="n">
        <f aca="false">IF(OR(Nonlabor!$L$15="Quote required",Nonlabor!$L$15="Unverified"),G1879,0)</f>
        <v>0</v>
      </c>
      <c r="I1879" s="10" t="n">
        <f aca="false">IF(Nonlabor!$E$15="Core",0,G1879)</f>
        <v>0</v>
      </c>
      <c r="J1879" s="23" t="str">
        <f aca="false">Nonlabor!$B$15</f>
        <v>LEGAL</v>
      </c>
    </row>
    <row r="1880" customFormat="false" ht="15" hidden="false" customHeight="false" outlineLevel="0" collapsed="false">
      <c r="A1880" s="6" t="s">
        <v>4</v>
      </c>
      <c r="B1880" s="6" t="s">
        <v>402</v>
      </c>
      <c r="C1880" s="6" t="n">
        <v>15</v>
      </c>
      <c r="D1880" s="25" t="n">
        <f aca="false">EDATE('Start Here'!$B$6,C1880-1)</f>
        <v>46753</v>
      </c>
      <c r="E1880" s="23" t="n">
        <f aca="false">IF(AND(OR(Nonlabor!$D$15="Both",Nonlabor!$D$15='Start Here'!$B$9),IF(Nonlabor!$E$15="Core",1,IF(Nonlabor!$E$15="AI",'Start Here'!$B$7,'Start Here'!$B$8))=1,C1880&gt;=IF(Nonlabor!$E$15="Core",Nonlabor!$F$15,MAX(Nonlabor!$F$15,IF(Nonlabor!$E$15="AI",Assumptions!$D$24,Assumptions!$D$25))),C1880&lt;=Nonlabor!$G$15,OR(Nonlabor!$H$15="Monthly",AND(Nonlabor!$H$15="Once",C1880=IF(Nonlabor!$E$15="Core",Nonlabor!$F$15,MAX(Nonlabor!$F$15,IF(Nonlabor!$E$15="AI",Assumptions!$D$24,Assumptions!$D$25)))),AND(Nonlabor!$H$15="Annual",MOD(C1880-IF(Nonlabor!$E$15="Core",Nonlabor!$F$15,MAX(Nonlabor!$F$15,IF(Nonlabor!$E$15="AI",Assumptions!$D$24,Assumptions!$D$25))),12)=0))),IF(Nonlabor!$I$15="Fixed",1,IF(Nonlabor!$I$15="Seats",ROUNDUP('Monthly Base'!I20,0),IF(Nonlabor!$I$15="Customers",'Monthly Base'!D20,IF(Nonlabor!$I$15="NewCustomers",'Monthly Base'!C20,IF(Nonlabor!$I$15="StorageGB",'Monthly Base'!G20,IF(Nonlabor!$I$15="LogGB",'Monthly Base'!H20,IF(Nonlabor!$I$15="RequestsM",'Monthly Base'!F20,IF(Nonlabor!$I$15="InputM",'Monthly Base'!D20*Assumptions!$D$22/1000000,IF(Nonlabor!$I$15="OutputM",'Monthly Base'!D20*Assumptions!$D$23/1000000,0))))))))),0)</f>
        <v>0</v>
      </c>
      <c r="F1880" s="10" t="n">
        <f aca="false">Nonlabor!$J$15*(1+Assumptions!$D$9)^INT((C1880-1)/12)</f>
        <v>20600</v>
      </c>
      <c r="G1880" s="10" t="n">
        <f aca="false">E1880*F1880</f>
        <v>0</v>
      </c>
      <c r="H1880" s="10" t="n">
        <f aca="false">IF(OR(Nonlabor!$L$15="Quote required",Nonlabor!$L$15="Unverified"),G1880,0)</f>
        <v>0</v>
      </c>
      <c r="I1880" s="10" t="n">
        <f aca="false">IF(Nonlabor!$E$15="Core",0,G1880)</f>
        <v>0</v>
      </c>
      <c r="J1880" s="23" t="str">
        <f aca="false">Nonlabor!$B$15</f>
        <v>LEGAL</v>
      </c>
    </row>
    <row r="1881" customFormat="false" ht="15" hidden="false" customHeight="false" outlineLevel="0" collapsed="false">
      <c r="A1881" s="6" t="s">
        <v>4</v>
      </c>
      <c r="B1881" s="6" t="s">
        <v>402</v>
      </c>
      <c r="C1881" s="6" t="n">
        <v>16</v>
      </c>
      <c r="D1881" s="25" t="n">
        <f aca="false">EDATE('Start Here'!$B$6,C1881-1)</f>
        <v>46784</v>
      </c>
      <c r="E1881" s="23" t="n">
        <f aca="false">IF(AND(OR(Nonlabor!$D$15="Both",Nonlabor!$D$15='Start Here'!$B$9),IF(Nonlabor!$E$15="Core",1,IF(Nonlabor!$E$15="AI",'Start Here'!$B$7,'Start Here'!$B$8))=1,C1881&gt;=IF(Nonlabor!$E$15="Core",Nonlabor!$F$15,MAX(Nonlabor!$F$15,IF(Nonlabor!$E$15="AI",Assumptions!$D$24,Assumptions!$D$25))),C1881&lt;=Nonlabor!$G$15,OR(Nonlabor!$H$15="Monthly",AND(Nonlabor!$H$15="Once",C1881=IF(Nonlabor!$E$15="Core",Nonlabor!$F$15,MAX(Nonlabor!$F$15,IF(Nonlabor!$E$15="AI",Assumptions!$D$24,Assumptions!$D$25)))),AND(Nonlabor!$H$15="Annual",MOD(C1881-IF(Nonlabor!$E$15="Core",Nonlabor!$F$15,MAX(Nonlabor!$F$15,IF(Nonlabor!$E$15="AI",Assumptions!$D$24,Assumptions!$D$25))),12)=0))),IF(Nonlabor!$I$15="Fixed",1,IF(Nonlabor!$I$15="Seats",ROUNDUP('Monthly Base'!I21,0),IF(Nonlabor!$I$15="Customers",'Monthly Base'!D21,IF(Nonlabor!$I$15="NewCustomers",'Monthly Base'!C21,IF(Nonlabor!$I$15="StorageGB",'Monthly Base'!G21,IF(Nonlabor!$I$15="LogGB",'Monthly Base'!H21,IF(Nonlabor!$I$15="RequestsM",'Monthly Base'!F21,IF(Nonlabor!$I$15="InputM",'Monthly Base'!D21*Assumptions!$D$22/1000000,IF(Nonlabor!$I$15="OutputM",'Monthly Base'!D21*Assumptions!$D$23/1000000,0))))))))),0)</f>
        <v>0</v>
      </c>
      <c r="F1881" s="10" t="n">
        <f aca="false">Nonlabor!$J$15*(1+Assumptions!$D$9)^INT((C1881-1)/12)</f>
        <v>20600</v>
      </c>
      <c r="G1881" s="10" t="n">
        <f aca="false">E1881*F1881</f>
        <v>0</v>
      </c>
      <c r="H1881" s="10" t="n">
        <f aca="false">IF(OR(Nonlabor!$L$15="Quote required",Nonlabor!$L$15="Unverified"),G1881,0)</f>
        <v>0</v>
      </c>
      <c r="I1881" s="10" t="n">
        <f aca="false">IF(Nonlabor!$E$15="Core",0,G1881)</f>
        <v>0</v>
      </c>
      <c r="J1881" s="23" t="str">
        <f aca="false">Nonlabor!$B$15</f>
        <v>LEGAL</v>
      </c>
    </row>
    <row r="1882" customFormat="false" ht="15" hidden="false" customHeight="false" outlineLevel="0" collapsed="false">
      <c r="A1882" s="6" t="s">
        <v>4</v>
      </c>
      <c r="B1882" s="6" t="s">
        <v>402</v>
      </c>
      <c r="C1882" s="6" t="n">
        <v>17</v>
      </c>
      <c r="D1882" s="25" t="n">
        <f aca="false">EDATE('Start Here'!$B$6,C1882-1)</f>
        <v>46813</v>
      </c>
      <c r="E1882" s="23" t="n">
        <f aca="false">IF(AND(OR(Nonlabor!$D$15="Both",Nonlabor!$D$15='Start Here'!$B$9),IF(Nonlabor!$E$15="Core",1,IF(Nonlabor!$E$15="AI",'Start Here'!$B$7,'Start Here'!$B$8))=1,C1882&gt;=IF(Nonlabor!$E$15="Core",Nonlabor!$F$15,MAX(Nonlabor!$F$15,IF(Nonlabor!$E$15="AI",Assumptions!$D$24,Assumptions!$D$25))),C1882&lt;=Nonlabor!$G$15,OR(Nonlabor!$H$15="Monthly",AND(Nonlabor!$H$15="Once",C1882=IF(Nonlabor!$E$15="Core",Nonlabor!$F$15,MAX(Nonlabor!$F$15,IF(Nonlabor!$E$15="AI",Assumptions!$D$24,Assumptions!$D$25)))),AND(Nonlabor!$H$15="Annual",MOD(C1882-IF(Nonlabor!$E$15="Core",Nonlabor!$F$15,MAX(Nonlabor!$F$15,IF(Nonlabor!$E$15="AI",Assumptions!$D$24,Assumptions!$D$25))),12)=0))),IF(Nonlabor!$I$15="Fixed",1,IF(Nonlabor!$I$15="Seats",ROUNDUP('Monthly Base'!I22,0),IF(Nonlabor!$I$15="Customers",'Monthly Base'!D22,IF(Nonlabor!$I$15="NewCustomers",'Monthly Base'!C22,IF(Nonlabor!$I$15="StorageGB",'Monthly Base'!G22,IF(Nonlabor!$I$15="LogGB",'Monthly Base'!H22,IF(Nonlabor!$I$15="RequestsM",'Monthly Base'!F22,IF(Nonlabor!$I$15="InputM",'Monthly Base'!D22*Assumptions!$D$22/1000000,IF(Nonlabor!$I$15="OutputM",'Monthly Base'!D22*Assumptions!$D$23/1000000,0))))))))),0)</f>
        <v>0</v>
      </c>
      <c r="F1882" s="10" t="n">
        <f aca="false">Nonlabor!$J$15*(1+Assumptions!$D$9)^INT((C1882-1)/12)</f>
        <v>20600</v>
      </c>
      <c r="G1882" s="10" t="n">
        <f aca="false">E1882*F1882</f>
        <v>0</v>
      </c>
      <c r="H1882" s="10" t="n">
        <f aca="false">IF(OR(Nonlabor!$L$15="Quote required",Nonlabor!$L$15="Unverified"),G1882,0)</f>
        <v>0</v>
      </c>
      <c r="I1882" s="10" t="n">
        <f aca="false">IF(Nonlabor!$E$15="Core",0,G1882)</f>
        <v>0</v>
      </c>
      <c r="J1882" s="23" t="str">
        <f aca="false">Nonlabor!$B$15</f>
        <v>LEGAL</v>
      </c>
    </row>
    <row r="1883" customFormat="false" ht="15" hidden="false" customHeight="false" outlineLevel="0" collapsed="false">
      <c r="A1883" s="6" t="s">
        <v>4</v>
      </c>
      <c r="B1883" s="6" t="s">
        <v>402</v>
      </c>
      <c r="C1883" s="6" t="n">
        <v>18</v>
      </c>
      <c r="D1883" s="25" t="n">
        <f aca="false">EDATE('Start Here'!$B$6,C1883-1)</f>
        <v>46844</v>
      </c>
      <c r="E1883" s="23" t="n">
        <f aca="false">IF(AND(OR(Nonlabor!$D$15="Both",Nonlabor!$D$15='Start Here'!$B$9),IF(Nonlabor!$E$15="Core",1,IF(Nonlabor!$E$15="AI",'Start Here'!$B$7,'Start Here'!$B$8))=1,C1883&gt;=IF(Nonlabor!$E$15="Core",Nonlabor!$F$15,MAX(Nonlabor!$F$15,IF(Nonlabor!$E$15="AI",Assumptions!$D$24,Assumptions!$D$25))),C1883&lt;=Nonlabor!$G$15,OR(Nonlabor!$H$15="Monthly",AND(Nonlabor!$H$15="Once",C1883=IF(Nonlabor!$E$15="Core",Nonlabor!$F$15,MAX(Nonlabor!$F$15,IF(Nonlabor!$E$15="AI",Assumptions!$D$24,Assumptions!$D$25)))),AND(Nonlabor!$H$15="Annual",MOD(C1883-IF(Nonlabor!$E$15="Core",Nonlabor!$F$15,MAX(Nonlabor!$F$15,IF(Nonlabor!$E$15="AI",Assumptions!$D$24,Assumptions!$D$25))),12)=0))),IF(Nonlabor!$I$15="Fixed",1,IF(Nonlabor!$I$15="Seats",ROUNDUP('Monthly Base'!I23,0),IF(Nonlabor!$I$15="Customers",'Monthly Base'!D23,IF(Nonlabor!$I$15="NewCustomers",'Monthly Base'!C23,IF(Nonlabor!$I$15="StorageGB",'Monthly Base'!G23,IF(Nonlabor!$I$15="LogGB",'Monthly Base'!H23,IF(Nonlabor!$I$15="RequestsM",'Monthly Base'!F23,IF(Nonlabor!$I$15="InputM",'Monthly Base'!D23*Assumptions!$D$22/1000000,IF(Nonlabor!$I$15="OutputM",'Monthly Base'!D23*Assumptions!$D$23/1000000,0))))))))),0)</f>
        <v>0</v>
      </c>
      <c r="F1883" s="10" t="n">
        <f aca="false">Nonlabor!$J$15*(1+Assumptions!$D$9)^INT((C1883-1)/12)</f>
        <v>20600</v>
      </c>
      <c r="G1883" s="10" t="n">
        <f aca="false">E1883*F1883</f>
        <v>0</v>
      </c>
      <c r="H1883" s="10" t="n">
        <f aca="false">IF(OR(Nonlabor!$L$15="Quote required",Nonlabor!$L$15="Unverified"),G1883,0)</f>
        <v>0</v>
      </c>
      <c r="I1883" s="10" t="n">
        <f aca="false">IF(Nonlabor!$E$15="Core",0,G1883)</f>
        <v>0</v>
      </c>
      <c r="J1883" s="23" t="str">
        <f aca="false">Nonlabor!$B$15</f>
        <v>LEGAL</v>
      </c>
    </row>
    <row r="1884" customFormat="false" ht="15" hidden="false" customHeight="false" outlineLevel="0" collapsed="false">
      <c r="A1884" s="6" t="s">
        <v>4</v>
      </c>
      <c r="B1884" s="6" t="s">
        <v>402</v>
      </c>
      <c r="C1884" s="6" t="n">
        <v>19</v>
      </c>
      <c r="D1884" s="25" t="n">
        <f aca="false">EDATE('Start Here'!$B$6,C1884-1)</f>
        <v>46874</v>
      </c>
      <c r="E1884" s="23" t="n">
        <f aca="false">IF(AND(OR(Nonlabor!$D$15="Both",Nonlabor!$D$15='Start Here'!$B$9),IF(Nonlabor!$E$15="Core",1,IF(Nonlabor!$E$15="AI",'Start Here'!$B$7,'Start Here'!$B$8))=1,C1884&gt;=IF(Nonlabor!$E$15="Core",Nonlabor!$F$15,MAX(Nonlabor!$F$15,IF(Nonlabor!$E$15="AI",Assumptions!$D$24,Assumptions!$D$25))),C1884&lt;=Nonlabor!$G$15,OR(Nonlabor!$H$15="Monthly",AND(Nonlabor!$H$15="Once",C1884=IF(Nonlabor!$E$15="Core",Nonlabor!$F$15,MAX(Nonlabor!$F$15,IF(Nonlabor!$E$15="AI",Assumptions!$D$24,Assumptions!$D$25)))),AND(Nonlabor!$H$15="Annual",MOD(C1884-IF(Nonlabor!$E$15="Core",Nonlabor!$F$15,MAX(Nonlabor!$F$15,IF(Nonlabor!$E$15="AI",Assumptions!$D$24,Assumptions!$D$25))),12)=0))),IF(Nonlabor!$I$15="Fixed",1,IF(Nonlabor!$I$15="Seats",ROUNDUP('Monthly Base'!I24,0),IF(Nonlabor!$I$15="Customers",'Monthly Base'!D24,IF(Nonlabor!$I$15="NewCustomers",'Monthly Base'!C24,IF(Nonlabor!$I$15="StorageGB",'Monthly Base'!G24,IF(Nonlabor!$I$15="LogGB",'Monthly Base'!H24,IF(Nonlabor!$I$15="RequestsM",'Monthly Base'!F24,IF(Nonlabor!$I$15="InputM",'Monthly Base'!D24*Assumptions!$D$22/1000000,IF(Nonlabor!$I$15="OutputM",'Monthly Base'!D24*Assumptions!$D$23/1000000,0))))))))),0)</f>
        <v>0</v>
      </c>
      <c r="F1884" s="10" t="n">
        <f aca="false">Nonlabor!$J$15*(1+Assumptions!$D$9)^INT((C1884-1)/12)</f>
        <v>20600</v>
      </c>
      <c r="G1884" s="10" t="n">
        <f aca="false">E1884*F1884</f>
        <v>0</v>
      </c>
      <c r="H1884" s="10" t="n">
        <f aca="false">IF(OR(Nonlabor!$L$15="Quote required",Nonlabor!$L$15="Unverified"),G1884,0)</f>
        <v>0</v>
      </c>
      <c r="I1884" s="10" t="n">
        <f aca="false">IF(Nonlabor!$E$15="Core",0,G1884)</f>
        <v>0</v>
      </c>
      <c r="J1884" s="23" t="str">
        <f aca="false">Nonlabor!$B$15</f>
        <v>LEGAL</v>
      </c>
    </row>
    <row r="1885" customFormat="false" ht="15" hidden="false" customHeight="false" outlineLevel="0" collapsed="false">
      <c r="A1885" s="6" t="s">
        <v>4</v>
      </c>
      <c r="B1885" s="6" t="s">
        <v>402</v>
      </c>
      <c r="C1885" s="6" t="n">
        <v>20</v>
      </c>
      <c r="D1885" s="25" t="n">
        <f aca="false">EDATE('Start Here'!$B$6,C1885-1)</f>
        <v>46905</v>
      </c>
      <c r="E1885" s="23" t="n">
        <f aca="false">IF(AND(OR(Nonlabor!$D$15="Both",Nonlabor!$D$15='Start Here'!$B$9),IF(Nonlabor!$E$15="Core",1,IF(Nonlabor!$E$15="AI",'Start Here'!$B$7,'Start Here'!$B$8))=1,C1885&gt;=IF(Nonlabor!$E$15="Core",Nonlabor!$F$15,MAX(Nonlabor!$F$15,IF(Nonlabor!$E$15="AI",Assumptions!$D$24,Assumptions!$D$25))),C1885&lt;=Nonlabor!$G$15,OR(Nonlabor!$H$15="Monthly",AND(Nonlabor!$H$15="Once",C1885=IF(Nonlabor!$E$15="Core",Nonlabor!$F$15,MAX(Nonlabor!$F$15,IF(Nonlabor!$E$15="AI",Assumptions!$D$24,Assumptions!$D$25)))),AND(Nonlabor!$H$15="Annual",MOD(C1885-IF(Nonlabor!$E$15="Core",Nonlabor!$F$15,MAX(Nonlabor!$F$15,IF(Nonlabor!$E$15="AI",Assumptions!$D$24,Assumptions!$D$25))),12)=0))),IF(Nonlabor!$I$15="Fixed",1,IF(Nonlabor!$I$15="Seats",ROUNDUP('Monthly Base'!I25,0),IF(Nonlabor!$I$15="Customers",'Monthly Base'!D25,IF(Nonlabor!$I$15="NewCustomers",'Monthly Base'!C25,IF(Nonlabor!$I$15="StorageGB",'Monthly Base'!G25,IF(Nonlabor!$I$15="LogGB",'Monthly Base'!H25,IF(Nonlabor!$I$15="RequestsM",'Monthly Base'!F25,IF(Nonlabor!$I$15="InputM",'Monthly Base'!D25*Assumptions!$D$22/1000000,IF(Nonlabor!$I$15="OutputM",'Monthly Base'!D25*Assumptions!$D$23/1000000,0))))))))),0)</f>
        <v>0</v>
      </c>
      <c r="F1885" s="10" t="n">
        <f aca="false">Nonlabor!$J$15*(1+Assumptions!$D$9)^INT((C1885-1)/12)</f>
        <v>20600</v>
      </c>
      <c r="G1885" s="10" t="n">
        <f aca="false">E1885*F1885</f>
        <v>0</v>
      </c>
      <c r="H1885" s="10" t="n">
        <f aca="false">IF(OR(Nonlabor!$L$15="Quote required",Nonlabor!$L$15="Unverified"),G1885,0)</f>
        <v>0</v>
      </c>
      <c r="I1885" s="10" t="n">
        <f aca="false">IF(Nonlabor!$E$15="Core",0,G1885)</f>
        <v>0</v>
      </c>
      <c r="J1885" s="23" t="str">
        <f aca="false">Nonlabor!$B$15</f>
        <v>LEGAL</v>
      </c>
    </row>
    <row r="1886" customFormat="false" ht="15" hidden="false" customHeight="false" outlineLevel="0" collapsed="false">
      <c r="A1886" s="6" t="s">
        <v>4</v>
      </c>
      <c r="B1886" s="6" t="s">
        <v>402</v>
      </c>
      <c r="C1886" s="6" t="n">
        <v>21</v>
      </c>
      <c r="D1886" s="25" t="n">
        <f aca="false">EDATE('Start Here'!$B$6,C1886-1)</f>
        <v>46935</v>
      </c>
      <c r="E1886" s="23" t="n">
        <f aca="false">IF(AND(OR(Nonlabor!$D$15="Both",Nonlabor!$D$15='Start Here'!$B$9),IF(Nonlabor!$E$15="Core",1,IF(Nonlabor!$E$15="AI",'Start Here'!$B$7,'Start Here'!$B$8))=1,C1886&gt;=IF(Nonlabor!$E$15="Core",Nonlabor!$F$15,MAX(Nonlabor!$F$15,IF(Nonlabor!$E$15="AI",Assumptions!$D$24,Assumptions!$D$25))),C1886&lt;=Nonlabor!$G$15,OR(Nonlabor!$H$15="Monthly",AND(Nonlabor!$H$15="Once",C1886=IF(Nonlabor!$E$15="Core",Nonlabor!$F$15,MAX(Nonlabor!$F$15,IF(Nonlabor!$E$15="AI",Assumptions!$D$24,Assumptions!$D$25)))),AND(Nonlabor!$H$15="Annual",MOD(C1886-IF(Nonlabor!$E$15="Core",Nonlabor!$F$15,MAX(Nonlabor!$F$15,IF(Nonlabor!$E$15="AI",Assumptions!$D$24,Assumptions!$D$25))),12)=0))),IF(Nonlabor!$I$15="Fixed",1,IF(Nonlabor!$I$15="Seats",ROUNDUP('Monthly Base'!I26,0),IF(Nonlabor!$I$15="Customers",'Monthly Base'!D26,IF(Nonlabor!$I$15="NewCustomers",'Monthly Base'!C26,IF(Nonlabor!$I$15="StorageGB",'Monthly Base'!G26,IF(Nonlabor!$I$15="LogGB",'Monthly Base'!H26,IF(Nonlabor!$I$15="RequestsM",'Monthly Base'!F26,IF(Nonlabor!$I$15="InputM",'Monthly Base'!D26*Assumptions!$D$22/1000000,IF(Nonlabor!$I$15="OutputM",'Monthly Base'!D26*Assumptions!$D$23/1000000,0))))))))),0)</f>
        <v>0</v>
      </c>
      <c r="F1886" s="10" t="n">
        <f aca="false">Nonlabor!$J$15*(1+Assumptions!$D$9)^INT((C1886-1)/12)</f>
        <v>20600</v>
      </c>
      <c r="G1886" s="10" t="n">
        <f aca="false">E1886*F1886</f>
        <v>0</v>
      </c>
      <c r="H1886" s="10" t="n">
        <f aca="false">IF(OR(Nonlabor!$L$15="Quote required",Nonlabor!$L$15="Unverified"),G1886,0)</f>
        <v>0</v>
      </c>
      <c r="I1886" s="10" t="n">
        <f aca="false">IF(Nonlabor!$E$15="Core",0,G1886)</f>
        <v>0</v>
      </c>
      <c r="J1886" s="23" t="str">
        <f aca="false">Nonlabor!$B$15</f>
        <v>LEGAL</v>
      </c>
    </row>
    <row r="1887" customFormat="false" ht="15" hidden="false" customHeight="false" outlineLevel="0" collapsed="false">
      <c r="A1887" s="6" t="s">
        <v>4</v>
      </c>
      <c r="B1887" s="6" t="s">
        <v>402</v>
      </c>
      <c r="C1887" s="6" t="n">
        <v>22</v>
      </c>
      <c r="D1887" s="25" t="n">
        <f aca="false">EDATE('Start Here'!$B$6,C1887-1)</f>
        <v>46966</v>
      </c>
      <c r="E1887" s="23" t="n">
        <f aca="false">IF(AND(OR(Nonlabor!$D$15="Both",Nonlabor!$D$15='Start Here'!$B$9),IF(Nonlabor!$E$15="Core",1,IF(Nonlabor!$E$15="AI",'Start Here'!$B$7,'Start Here'!$B$8))=1,C1887&gt;=IF(Nonlabor!$E$15="Core",Nonlabor!$F$15,MAX(Nonlabor!$F$15,IF(Nonlabor!$E$15="AI",Assumptions!$D$24,Assumptions!$D$25))),C1887&lt;=Nonlabor!$G$15,OR(Nonlabor!$H$15="Monthly",AND(Nonlabor!$H$15="Once",C1887=IF(Nonlabor!$E$15="Core",Nonlabor!$F$15,MAX(Nonlabor!$F$15,IF(Nonlabor!$E$15="AI",Assumptions!$D$24,Assumptions!$D$25)))),AND(Nonlabor!$H$15="Annual",MOD(C1887-IF(Nonlabor!$E$15="Core",Nonlabor!$F$15,MAX(Nonlabor!$F$15,IF(Nonlabor!$E$15="AI",Assumptions!$D$24,Assumptions!$D$25))),12)=0))),IF(Nonlabor!$I$15="Fixed",1,IF(Nonlabor!$I$15="Seats",ROUNDUP('Monthly Base'!I27,0),IF(Nonlabor!$I$15="Customers",'Monthly Base'!D27,IF(Nonlabor!$I$15="NewCustomers",'Monthly Base'!C27,IF(Nonlabor!$I$15="StorageGB",'Monthly Base'!G27,IF(Nonlabor!$I$15="LogGB",'Monthly Base'!H27,IF(Nonlabor!$I$15="RequestsM",'Monthly Base'!F27,IF(Nonlabor!$I$15="InputM",'Monthly Base'!D27*Assumptions!$D$22/1000000,IF(Nonlabor!$I$15="OutputM",'Monthly Base'!D27*Assumptions!$D$23/1000000,0))))))))),0)</f>
        <v>0</v>
      </c>
      <c r="F1887" s="10" t="n">
        <f aca="false">Nonlabor!$J$15*(1+Assumptions!$D$9)^INT((C1887-1)/12)</f>
        <v>20600</v>
      </c>
      <c r="G1887" s="10" t="n">
        <f aca="false">E1887*F1887</f>
        <v>0</v>
      </c>
      <c r="H1887" s="10" t="n">
        <f aca="false">IF(OR(Nonlabor!$L$15="Quote required",Nonlabor!$L$15="Unverified"),G1887,0)</f>
        <v>0</v>
      </c>
      <c r="I1887" s="10" t="n">
        <f aca="false">IF(Nonlabor!$E$15="Core",0,G1887)</f>
        <v>0</v>
      </c>
      <c r="J1887" s="23" t="str">
        <f aca="false">Nonlabor!$B$15</f>
        <v>LEGAL</v>
      </c>
    </row>
    <row r="1888" customFormat="false" ht="15" hidden="false" customHeight="false" outlineLevel="0" collapsed="false">
      <c r="A1888" s="6" t="s">
        <v>4</v>
      </c>
      <c r="B1888" s="6" t="s">
        <v>402</v>
      </c>
      <c r="C1888" s="6" t="n">
        <v>23</v>
      </c>
      <c r="D1888" s="25" t="n">
        <f aca="false">EDATE('Start Here'!$B$6,C1888-1)</f>
        <v>46997</v>
      </c>
      <c r="E1888" s="23" t="n">
        <f aca="false">IF(AND(OR(Nonlabor!$D$15="Both",Nonlabor!$D$15='Start Here'!$B$9),IF(Nonlabor!$E$15="Core",1,IF(Nonlabor!$E$15="AI",'Start Here'!$B$7,'Start Here'!$B$8))=1,C1888&gt;=IF(Nonlabor!$E$15="Core",Nonlabor!$F$15,MAX(Nonlabor!$F$15,IF(Nonlabor!$E$15="AI",Assumptions!$D$24,Assumptions!$D$25))),C1888&lt;=Nonlabor!$G$15,OR(Nonlabor!$H$15="Monthly",AND(Nonlabor!$H$15="Once",C1888=IF(Nonlabor!$E$15="Core",Nonlabor!$F$15,MAX(Nonlabor!$F$15,IF(Nonlabor!$E$15="AI",Assumptions!$D$24,Assumptions!$D$25)))),AND(Nonlabor!$H$15="Annual",MOD(C1888-IF(Nonlabor!$E$15="Core",Nonlabor!$F$15,MAX(Nonlabor!$F$15,IF(Nonlabor!$E$15="AI",Assumptions!$D$24,Assumptions!$D$25))),12)=0))),IF(Nonlabor!$I$15="Fixed",1,IF(Nonlabor!$I$15="Seats",ROUNDUP('Monthly Base'!I28,0),IF(Nonlabor!$I$15="Customers",'Monthly Base'!D28,IF(Nonlabor!$I$15="NewCustomers",'Monthly Base'!C28,IF(Nonlabor!$I$15="StorageGB",'Monthly Base'!G28,IF(Nonlabor!$I$15="LogGB",'Monthly Base'!H28,IF(Nonlabor!$I$15="RequestsM",'Monthly Base'!F28,IF(Nonlabor!$I$15="InputM",'Monthly Base'!D28*Assumptions!$D$22/1000000,IF(Nonlabor!$I$15="OutputM",'Monthly Base'!D28*Assumptions!$D$23/1000000,0))))))))),0)</f>
        <v>0</v>
      </c>
      <c r="F1888" s="10" t="n">
        <f aca="false">Nonlabor!$J$15*(1+Assumptions!$D$9)^INT((C1888-1)/12)</f>
        <v>20600</v>
      </c>
      <c r="G1888" s="10" t="n">
        <f aca="false">E1888*F1888</f>
        <v>0</v>
      </c>
      <c r="H1888" s="10" t="n">
        <f aca="false">IF(OR(Nonlabor!$L$15="Quote required",Nonlabor!$L$15="Unverified"),G1888,0)</f>
        <v>0</v>
      </c>
      <c r="I1888" s="10" t="n">
        <f aca="false">IF(Nonlabor!$E$15="Core",0,G1888)</f>
        <v>0</v>
      </c>
      <c r="J1888" s="23" t="str">
        <f aca="false">Nonlabor!$B$15</f>
        <v>LEGAL</v>
      </c>
    </row>
    <row r="1889" customFormat="false" ht="15" hidden="false" customHeight="false" outlineLevel="0" collapsed="false">
      <c r="A1889" s="6" t="s">
        <v>4</v>
      </c>
      <c r="B1889" s="6" t="s">
        <v>402</v>
      </c>
      <c r="C1889" s="6" t="n">
        <v>24</v>
      </c>
      <c r="D1889" s="25" t="n">
        <f aca="false">EDATE('Start Here'!$B$6,C1889-1)</f>
        <v>47027</v>
      </c>
      <c r="E1889" s="23" t="n">
        <f aca="false">IF(AND(OR(Nonlabor!$D$15="Both",Nonlabor!$D$15='Start Here'!$B$9),IF(Nonlabor!$E$15="Core",1,IF(Nonlabor!$E$15="AI",'Start Here'!$B$7,'Start Here'!$B$8))=1,C1889&gt;=IF(Nonlabor!$E$15="Core",Nonlabor!$F$15,MAX(Nonlabor!$F$15,IF(Nonlabor!$E$15="AI",Assumptions!$D$24,Assumptions!$D$25))),C1889&lt;=Nonlabor!$G$15,OR(Nonlabor!$H$15="Monthly",AND(Nonlabor!$H$15="Once",C1889=IF(Nonlabor!$E$15="Core",Nonlabor!$F$15,MAX(Nonlabor!$F$15,IF(Nonlabor!$E$15="AI",Assumptions!$D$24,Assumptions!$D$25)))),AND(Nonlabor!$H$15="Annual",MOD(C1889-IF(Nonlabor!$E$15="Core",Nonlabor!$F$15,MAX(Nonlabor!$F$15,IF(Nonlabor!$E$15="AI",Assumptions!$D$24,Assumptions!$D$25))),12)=0))),IF(Nonlabor!$I$15="Fixed",1,IF(Nonlabor!$I$15="Seats",ROUNDUP('Monthly Base'!I29,0),IF(Nonlabor!$I$15="Customers",'Monthly Base'!D29,IF(Nonlabor!$I$15="NewCustomers",'Monthly Base'!C29,IF(Nonlabor!$I$15="StorageGB",'Monthly Base'!G29,IF(Nonlabor!$I$15="LogGB",'Monthly Base'!H29,IF(Nonlabor!$I$15="RequestsM",'Monthly Base'!F29,IF(Nonlabor!$I$15="InputM",'Monthly Base'!D29*Assumptions!$D$22/1000000,IF(Nonlabor!$I$15="OutputM",'Monthly Base'!D29*Assumptions!$D$23/1000000,0))))))))),0)</f>
        <v>0</v>
      </c>
      <c r="F1889" s="10" t="n">
        <f aca="false">Nonlabor!$J$15*(1+Assumptions!$D$9)^INT((C1889-1)/12)</f>
        <v>20600</v>
      </c>
      <c r="G1889" s="10" t="n">
        <f aca="false">E1889*F1889</f>
        <v>0</v>
      </c>
      <c r="H1889" s="10" t="n">
        <f aca="false">IF(OR(Nonlabor!$L$15="Quote required",Nonlabor!$L$15="Unverified"),G1889,0)</f>
        <v>0</v>
      </c>
      <c r="I1889" s="10" t="n">
        <f aca="false">IF(Nonlabor!$E$15="Core",0,G1889)</f>
        <v>0</v>
      </c>
      <c r="J1889" s="23" t="str">
        <f aca="false">Nonlabor!$B$15</f>
        <v>LEGAL</v>
      </c>
    </row>
    <row r="1890" customFormat="false" ht="15" hidden="false" customHeight="false" outlineLevel="0" collapsed="false">
      <c r="A1890" s="6" t="s">
        <v>4</v>
      </c>
      <c r="B1890" s="6" t="s">
        <v>402</v>
      </c>
      <c r="C1890" s="6" t="n">
        <v>25</v>
      </c>
      <c r="D1890" s="25" t="n">
        <f aca="false">EDATE('Start Here'!$B$6,C1890-1)</f>
        <v>47058</v>
      </c>
      <c r="E1890" s="23" t="n">
        <f aca="false">IF(AND(OR(Nonlabor!$D$15="Both",Nonlabor!$D$15='Start Here'!$B$9),IF(Nonlabor!$E$15="Core",1,IF(Nonlabor!$E$15="AI",'Start Here'!$B$7,'Start Here'!$B$8))=1,C1890&gt;=IF(Nonlabor!$E$15="Core",Nonlabor!$F$15,MAX(Nonlabor!$F$15,IF(Nonlabor!$E$15="AI",Assumptions!$D$24,Assumptions!$D$25))),C1890&lt;=Nonlabor!$G$15,OR(Nonlabor!$H$15="Monthly",AND(Nonlabor!$H$15="Once",C1890=IF(Nonlabor!$E$15="Core",Nonlabor!$F$15,MAX(Nonlabor!$F$15,IF(Nonlabor!$E$15="AI",Assumptions!$D$24,Assumptions!$D$25)))),AND(Nonlabor!$H$15="Annual",MOD(C1890-IF(Nonlabor!$E$15="Core",Nonlabor!$F$15,MAX(Nonlabor!$F$15,IF(Nonlabor!$E$15="AI",Assumptions!$D$24,Assumptions!$D$25))),12)=0))),IF(Nonlabor!$I$15="Fixed",1,IF(Nonlabor!$I$15="Seats",ROUNDUP('Monthly Base'!I30,0),IF(Nonlabor!$I$15="Customers",'Monthly Base'!D30,IF(Nonlabor!$I$15="NewCustomers",'Monthly Base'!C30,IF(Nonlabor!$I$15="StorageGB",'Monthly Base'!G30,IF(Nonlabor!$I$15="LogGB",'Monthly Base'!H30,IF(Nonlabor!$I$15="RequestsM",'Monthly Base'!F30,IF(Nonlabor!$I$15="InputM",'Monthly Base'!D30*Assumptions!$D$22/1000000,IF(Nonlabor!$I$15="OutputM",'Monthly Base'!D30*Assumptions!$D$23/1000000,0))))))))),0)</f>
        <v>0</v>
      </c>
      <c r="F1890" s="10" t="n">
        <f aca="false">Nonlabor!$J$15*(1+Assumptions!$D$9)^INT((C1890-1)/12)</f>
        <v>21218</v>
      </c>
      <c r="G1890" s="10" t="n">
        <f aca="false">E1890*F1890</f>
        <v>0</v>
      </c>
      <c r="H1890" s="10" t="n">
        <f aca="false">IF(OR(Nonlabor!$L$15="Quote required",Nonlabor!$L$15="Unverified"),G1890,0)</f>
        <v>0</v>
      </c>
      <c r="I1890" s="10" t="n">
        <f aca="false">IF(Nonlabor!$E$15="Core",0,G1890)</f>
        <v>0</v>
      </c>
      <c r="J1890" s="23" t="str">
        <f aca="false">Nonlabor!$B$15</f>
        <v>LEGAL</v>
      </c>
    </row>
    <row r="1891" customFormat="false" ht="15" hidden="false" customHeight="false" outlineLevel="0" collapsed="false">
      <c r="A1891" s="6" t="s">
        <v>4</v>
      </c>
      <c r="B1891" s="6" t="s">
        <v>402</v>
      </c>
      <c r="C1891" s="6" t="n">
        <v>26</v>
      </c>
      <c r="D1891" s="25" t="n">
        <f aca="false">EDATE('Start Here'!$B$6,C1891-1)</f>
        <v>47088</v>
      </c>
      <c r="E1891" s="23" t="n">
        <f aca="false">IF(AND(OR(Nonlabor!$D$15="Both",Nonlabor!$D$15='Start Here'!$B$9),IF(Nonlabor!$E$15="Core",1,IF(Nonlabor!$E$15="AI",'Start Here'!$B$7,'Start Here'!$B$8))=1,C1891&gt;=IF(Nonlabor!$E$15="Core",Nonlabor!$F$15,MAX(Nonlabor!$F$15,IF(Nonlabor!$E$15="AI",Assumptions!$D$24,Assumptions!$D$25))),C1891&lt;=Nonlabor!$G$15,OR(Nonlabor!$H$15="Monthly",AND(Nonlabor!$H$15="Once",C1891=IF(Nonlabor!$E$15="Core",Nonlabor!$F$15,MAX(Nonlabor!$F$15,IF(Nonlabor!$E$15="AI",Assumptions!$D$24,Assumptions!$D$25)))),AND(Nonlabor!$H$15="Annual",MOD(C1891-IF(Nonlabor!$E$15="Core",Nonlabor!$F$15,MAX(Nonlabor!$F$15,IF(Nonlabor!$E$15="AI",Assumptions!$D$24,Assumptions!$D$25))),12)=0))),IF(Nonlabor!$I$15="Fixed",1,IF(Nonlabor!$I$15="Seats",ROUNDUP('Monthly Base'!I31,0),IF(Nonlabor!$I$15="Customers",'Monthly Base'!D31,IF(Nonlabor!$I$15="NewCustomers",'Monthly Base'!C31,IF(Nonlabor!$I$15="StorageGB",'Monthly Base'!G31,IF(Nonlabor!$I$15="LogGB",'Monthly Base'!H31,IF(Nonlabor!$I$15="RequestsM",'Monthly Base'!F31,IF(Nonlabor!$I$15="InputM",'Monthly Base'!D31*Assumptions!$D$22/1000000,IF(Nonlabor!$I$15="OutputM",'Monthly Base'!D31*Assumptions!$D$23/1000000,0))))))))),0)</f>
        <v>0</v>
      </c>
      <c r="F1891" s="10" t="n">
        <f aca="false">Nonlabor!$J$15*(1+Assumptions!$D$9)^INT((C1891-1)/12)</f>
        <v>21218</v>
      </c>
      <c r="G1891" s="10" t="n">
        <f aca="false">E1891*F1891</f>
        <v>0</v>
      </c>
      <c r="H1891" s="10" t="n">
        <f aca="false">IF(OR(Nonlabor!$L$15="Quote required",Nonlabor!$L$15="Unverified"),G1891,0)</f>
        <v>0</v>
      </c>
      <c r="I1891" s="10" t="n">
        <f aca="false">IF(Nonlabor!$E$15="Core",0,G1891)</f>
        <v>0</v>
      </c>
      <c r="J1891" s="23" t="str">
        <f aca="false">Nonlabor!$B$15</f>
        <v>LEGAL</v>
      </c>
    </row>
    <row r="1892" customFormat="false" ht="15" hidden="false" customHeight="false" outlineLevel="0" collapsed="false">
      <c r="A1892" s="6" t="s">
        <v>4</v>
      </c>
      <c r="B1892" s="6" t="s">
        <v>402</v>
      </c>
      <c r="C1892" s="6" t="n">
        <v>27</v>
      </c>
      <c r="D1892" s="25" t="n">
        <f aca="false">EDATE('Start Here'!$B$6,C1892-1)</f>
        <v>47119</v>
      </c>
      <c r="E1892" s="23" t="n">
        <f aca="false">IF(AND(OR(Nonlabor!$D$15="Both",Nonlabor!$D$15='Start Here'!$B$9),IF(Nonlabor!$E$15="Core",1,IF(Nonlabor!$E$15="AI",'Start Here'!$B$7,'Start Here'!$B$8))=1,C1892&gt;=IF(Nonlabor!$E$15="Core",Nonlabor!$F$15,MAX(Nonlabor!$F$15,IF(Nonlabor!$E$15="AI",Assumptions!$D$24,Assumptions!$D$25))),C1892&lt;=Nonlabor!$G$15,OR(Nonlabor!$H$15="Monthly",AND(Nonlabor!$H$15="Once",C1892=IF(Nonlabor!$E$15="Core",Nonlabor!$F$15,MAX(Nonlabor!$F$15,IF(Nonlabor!$E$15="AI",Assumptions!$D$24,Assumptions!$D$25)))),AND(Nonlabor!$H$15="Annual",MOD(C1892-IF(Nonlabor!$E$15="Core",Nonlabor!$F$15,MAX(Nonlabor!$F$15,IF(Nonlabor!$E$15="AI",Assumptions!$D$24,Assumptions!$D$25))),12)=0))),IF(Nonlabor!$I$15="Fixed",1,IF(Nonlabor!$I$15="Seats",ROUNDUP('Monthly Base'!I32,0),IF(Nonlabor!$I$15="Customers",'Monthly Base'!D32,IF(Nonlabor!$I$15="NewCustomers",'Monthly Base'!C32,IF(Nonlabor!$I$15="StorageGB",'Monthly Base'!G32,IF(Nonlabor!$I$15="LogGB",'Monthly Base'!H32,IF(Nonlabor!$I$15="RequestsM",'Monthly Base'!F32,IF(Nonlabor!$I$15="InputM",'Monthly Base'!D32*Assumptions!$D$22/1000000,IF(Nonlabor!$I$15="OutputM",'Monthly Base'!D32*Assumptions!$D$23/1000000,0))))))))),0)</f>
        <v>0</v>
      </c>
      <c r="F1892" s="10" t="n">
        <f aca="false">Nonlabor!$J$15*(1+Assumptions!$D$9)^INT((C1892-1)/12)</f>
        <v>21218</v>
      </c>
      <c r="G1892" s="10" t="n">
        <f aca="false">E1892*F1892</f>
        <v>0</v>
      </c>
      <c r="H1892" s="10" t="n">
        <f aca="false">IF(OR(Nonlabor!$L$15="Quote required",Nonlabor!$L$15="Unverified"),G1892,0)</f>
        <v>0</v>
      </c>
      <c r="I1892" s="10" t="n">
        <f aca="false">IF(Nonlabor!$E$15="Core",0,G1892)</f>
        <v>0</v>
      </c>
      <c r="J1892" s="23" t="str">
        <f aca="false">Nonlabor!$B$15</f>
        <v>LEGAL</v>
      </c>
    </row>
    <row r="1893" customFormat="false" ht="15" hidden="false" customHeight="false" outlineLevel="0" collapsed="false">
      <c r="A1893" s="6" t="s">
        <v>4</v>
      </c>
      <c r="B1893" s="6" t="s">
        <v>402</v>
      </c>
      <c r="C1893" s="6" t="n">
        <v>28</v>
      </c>
      <c r="D1893" s="25" t="n">
        <f aca="false">EDATE('Start Here'!$B$6,C1893-1)</f>
        <v>47150</v>
      </c>
      <c r="E1893" s="23" t="n">
        <f aca="false">IF(AND(OR(Nonlabor!$D$15="Both",Nonlabor!$D$15='Start Here'!$B$9),IF(Nonlabor!$E$15="Core",1,IF(Nonlabor!$E$15="AI",'Start Here'!$B$7,'Start Here'!$B$8))=1,C1893&gt;=IF(Nonlabor!$E$15="Core",Nonlabor!$F$15,MAX(Nonlabor!$F$15,IF(Nonlabor!$E$15="AI",Assumptions!$D$24,Assumptions!$D$25))),C1893&lt;=Nonlabor!$G$15,OR(Nonlabor!$H$15="Monthly",AND(Nonlabor!$H$15="Once",C1893=IF(Nonlabor!$E$15="Core",Nonlabor!$F$15,MAX(Nonlabor!$F$15,IF(Nonlabor!$E$15="AI",Assumptions!$D$24,Assumptions!$D$25)))),AND(Nonlabor!$H$15="Annual",MOD(C1893-IF(Nonlabor!$E$15="Core",Nonlabor!$F$15,MAX(Nonlabor!$F$15,IF(Nonlabor!$E$15="AI",Assumptions!$D$24,Assumptions!$D$25))),12)=0))),IF(Nonlabor!$I$15="Fixed",1,IF(Nonlabor!$I$15="Seats",ROUNDUP('Monthly Base'!I33,0),IF(Nonlabor!$I$15="Customers",'Monthly Base'!D33,IF(Nonlabor!$I$15="NewCustomers",'Monthly Base'!C33,IF(Nonlabor!$I$15="StorageGB",'Monthly Base'!G33,IF(Nonlabor!$I$15="LogGB",'Monthly Base'!H33,IF(Nonlabor!$I$15="RequestsM",'Monthly Base'!F33,IF(Nonlabor!$I$15="InputM",'Monthly Base'!D33*Assumptions!$D$22/1000000,IF(Nonlabor!$I$15="OutputM",'Monthly Base'!D33*Assumptions!$D$23/1000000,0))))))))),0)</f>
        <v>0</v>
      </c>
      <c r="F1893" s="10" t="n">
        <f aca="false">Nonlabor!$J$15*(1+Assumptions!$D$9)^INT((C1893-1)/12)</f>
        <v>21218</v>
      </c>
      <c r="G1893" s="10" t="n">
        <f aca="false">E1893*F1893</f>
        <v>0</v>
      </c>
      <c r="H1893" s="10" t="n">
        <f aca="false">IF(OR(Nonlabor!$L$15="Quote required",Nonlabor!$L$15="Unverified"),G1893,0)</f>
        <v>0</v>
      </c>
      <c r="I1893" s="10" t="n">
        <f aca="false">IF(Nonlabor!$E$15="Core",0,G1893)</f>
        <v>0</v>
      </c>
      <c r="J1893" s="23" t="str">
        <f aca="false">Nonlabor!$B$15</f>
        <v>LEGAL</v>
      </c>
    </row>
    <row r="1894" customFormat="false" ht="15" hidden="false" customHeight="false" outlineLevel="0" collapsed="false">
      <c r="A1894" s="6" t="s">
        <v>4</v>
      </c>
      <c r="B1894" s="6" t="s">
        <v>402</v>
      </c>
      <c r="C1894" s="6" t="n">
        <v>29</v>
      </c>
      <c r="D1894" s="25" t="n">
        <f aca="false">EDATE('Start Here'!$B$6,C1894-1)</f>
        <v>47178</v>
      </c>
      <c r="E1894" s="23" t="n">
        <f aca="false">IF(AND(OR(Nonlabor!$D$15="Both",Nonlabor!$D$15='Start Here'!$B$9),IF(Nonlabor!$E$15="Core",1,IF(Nonlabor!$E$15="AI",'Start Here'!$B$7,'Start Here'!$B$8))=1,C1894&gt;=IF(Nonlabor!$E$15="Core",Nonlabor!$F$15,MAX(Nonlabor!$F$15,IF(Nonlabor!$E$15="AI",Assumptions!$D$24,Assumptions!$D$25))),C1894&lt;=Nonlabor!$G$15,OR(Nonlabor!$H$15="Monthly",AND(Nonlabor!$H$15="Once",C1894=IF(Nonlabor!$E$15="Core",Nonlabor!$F$15,MAX(Nonlabor!$F$15,IF(Nonlabor!$E$15="AI",Assumptions!$D$24,Assumptions!$D$25)))),AND(Nonlabor!$H$15="Annual",MOD(C1894-IF(Nonlabor!$E$15="Core",Nonlabor!$F$15,MAX(Nonlabor!$F$15,IF(Nonlabor!$E$15="AI",Assumptions!$D$24,Assumptions!$D$25))),12)=0))),IF(Nonlabor!$I$15="Fixed",1,IF(Nonlabor!$I$15="Seats",ROUNDUP('Monthly Base'!I34,0),IF(Nonlabor!$I$15="Customers",'Monthly Base'!D34,IF(Nonlabor!$I$15="NewCustomers",'Monthly Base'!C34,IF(Nonlabor!$I$15="StorageGB",'Monthly Base'!G34,IF(Nonlabor!$I$15="LogGB",'Monthly Base'!H34,IF(Nonlabor!$I$15="RequestsM",'Monthly Base'!F34,IF(Nonlabor!$I$15="InputM",'Monthly Base'!D34*Assumptions!$D$22/1000000,IF(Nonlabor!$I$15="OutputM",'Monthly Base'!D34*Assumptions!$D$23/1000000,0))))))))),0)</f>
        <v>0</v>
      </c>
      <c r="F1894" s="10" t="n">
        <f aca="false">Nonlabor!$J$15*(1+Assumptions!$D$9)^INT((C1894-1)/12)</f>
        <v>21218</v>
      </c>
      <c r="G1894" s="10" t="n">
        <f aca="false">E1894*F1894</f>
        <v>0</v>
      </c>
      <c r="H1894" s="10" t="n">
        <f aca="false">IF(OR(Nonlabor!$L$15="Quote required",Nonlabor!$L$15="Unverified"),G1894,0)</f>
        <v>0</v>
      </c>
      <c r="I1894" s="10" t="n">
        <f aca="false">IF(Nonlabor!$E$15="Core",0,G1894)</f>
        <v>0</v>
      </c>
      <c r="J1894" s="23" t="str">
        <f aca="false">Nonlabor!$B$15</f>
        <v>LEGAL</v>
      </c>
    </row>
    <row r="1895" customFormat="false" ht="15" hidden="false" customHeight="false" outlineLevel="0" collapsed="false">
      <c r="A1895" s="6" t="s">
        <v>4</v>
      </c>
      <c r="B1895" s="6" t="s">
        <v>402</v>
      </c>
      <c r="C1895" s="6" t="n">
        <v>30</v>
      </c>
      <c r="D1895" s="25" t="n">
        <f aca="false">EDATE('Start Here'!$B$6,C1895-1)</f>
        <v>47209</v>
      </c>
      <c r="E1895" s="23" t="n">
        <f aca="false">IF(AND(OR(Nonlabor!$D$15="Both",Nonlabor!$D$15='Start Here'!$B$9),IF(Nonlabor!$E$15="Core",1,IF(Nonlabor!$E$15="AI",'Start Here'!$B$7,'Start Here'!$B$8))=1,C1895&gt;=IF(Nonlabor!$E$15="Core",Nonlabor!$F$15,MAX(Nonlabor!$F$15,IF(Nonlabor!$E$15="AI",Assumptions!$D$24,Assumptions!$D$25))),C1895&lt;=Nonlabor!$G$15,OR(Nonlabor!$H$15="Monthly",AND(Nonlabor!$H$15="Once",C1895=IF(Nonlabor!$E$15="Core",Nonlabor!$F$15,MAX(Nonlabor!$F$15,IF(Nonlabor!$E$15="AI",Assumptions!$D$24,Assumptions!$D$25)))),AND(Nonlabor!$H$15="Annual",MOD(C1895-IF(Nonlabor!$E$15="Core",Nonlabor!$F$15,MAX(Nonlabor!$F$15,IF(Nonlabor!$E$15="AI",Assumptions!$D$24,Assumptions!$D$25))),12)=0))),IF(Nonlabor!$I$15="Fixed",1,IF(Nonlabor!$I$15="Seats",ROUNDUP('Monthly Base'!I35,0),IF(Nonlabor!$I$15="Customers",'Monthly Base'!D35,IF(Nonlabor!$I$15="NewCustomers",'Monthly Base'!C35,IF(Nonlabor!$I$15="StorageGB",'Monthly Base'!G35,IF(Nonlabor!$I$15="LogGB",'Monthly Base'!H35,IF(Nonlabor!$I$15="RequestsM",'Monthly Base'!F35,IF(Nonlabor!$I$15="InputM",'Monthly Base'!D35*Assumptions!$D$22/1000000,IF(Nonlabor!$I$15="OutputM",'Monthly Base'!D35*Assumptions!$D$23/1000000,0))))))))),0)</f>
        <v>0</v>
      </c>
      <c r="F1895" s="10" t="n">
        <f aca="false">Nonlabor!$J$15*(1+Assumptions!$D$9)^INT((C1895-1)/12)</f>
        <v>21218</v>
      </c>
      <c r="G1895" s="10" t="n">
        <f aca="false">E1895*F1895</f>
        <v>0</v>
      </c>
      <c r="H1895" s="10" t="n">
        <f aca="false">IF(OR(Nonlabor!$L$15="Quote required",Nonlabor!$L$15="Unverified"),G1895,0)</f>
        <v>0</v>
      </c>
      <c r="I1895" s="10" t="n">
        <f aca="false">IF(Nonlabor!$E$15="Core",0,G1895)</f>
        <v>0</v>
      </c>
      <c r="J1895" s="23" t="str">
        <f aca="false">Nonlabor!$B$15</f>
        <v>LEGAL</v>
      </c>
    </row>
    <row r="1896" customFormat="false" ht="15" hidden="false" customHeight="false" outlineLevel="0" collapsed="false">
      <c r="A1896" s="6" t="s">
        <v>4</v>
      </c>
      <c r="B1896" s="6" t="s">
        <v>402</v>
      </c>
      <c r="C1896" s="6" t="n">
        <v>31</v>
      </c>
      <c r="D1896" s="25" t="n">
        <f aca="false">EDATE('Start Here'!$B$6,C1896-1)</f>
        <v>47239</v>
      </c>
      <c r="E1896" s="23" t="n">
        <f aca="false">IF(AND(OR(Nonlabor!$D$15="Both",Nonlabor!$D$15='Start Here'!$B$9),IF(Nonlabor!$E$15="Core",1,IF(Nonlabor!$E$15="AI",'Start Here'!$B$7,'Start Here'!$B$8))=1,C1896&gt;=IF(Nonlabor!$E$15="Core",Nonlabor!$F$15,MAX(Nonlabor!$F$15,IF(Nonlabor!$E$15="AI",Assumptions!$D$24,Assumptions!$D$25))),C1896&lt;=Nonlabor!$G$15,OR(Nonlabor!$H$15="Monthly",AND(Nonlabor!$H$15="Once",C1896=IF(Nonlabor!$E$15="Core",Nonlabor!$F$15,MAX(Nonlabor!$F$15,IF(Nonlabor!$E$15="AI",Assumptions!$D$24,Assumptions!$D$25)))),AND(Nonlabor!$H$15="Annual",MOD(C1896-IF(Nonlabor!$E$15="Core",Nonlabor!$F$15,MAX(Nonlabor!$F$15,IF(Nonlabor!$E$15="AI",Assumptions!$D$24,Assumptions!$D$25))),12)=0))),IF(Nonlabor!$I$15="Fixed",1,IF(Nonlabor!$I$15="Seats",ROUNDUP('Monthly Base'!I36,0),IF(Nonlabor!$I$15="Customers",'Monthly Base'!D36,IF(Nonlabor!$I$15="NewCustomers",'Monthly Base'!C36,IF(Nonlabor!$I$15="StorageGB",'Monthly Base'!G36,IF(Nonlabor!$I$15="LogGB",'Monthly Base'!H36,IF(Nonlabor!$I$15="RequestsM",'Monthly Base'!F36,IF(Nonlabor!$I$15="InputM",'Monthly Base'!D36*Assumptions!$D$22/1000000,IF(Nonlabor!$I$15="OutputM",'Monthly Base'!D36*Assumptions!$D$23/1000000,0))))))))),0)</f>
        <v>0</v>
      </c>
      <c r="F1896" s="10" t="n">
        <f aca="false">Nonlabor!$J$15*(1+Assumptions!$D$9)^INT((C1896-1)/12)</f>
        <v>21218</v>
      </c>
      <c r="G1896" s="10" t="n">
        <f aca="false">E1896*F1896</f>
        <v>0</v>
      </c>
      <c r="H1896" s="10" t="n">
        <f aca="false">IF(OR(Nonlabor!$L$15="Quote required",Nonlabor!$L$15="Unverified"),G1896,0)</f>
        <v>0</v>
      </c>
      <c r="I1896" s="10" t="n">
        <f aca="false">IF(Nonlabor!$E$15="Core",0,G1896)</f>
        <v>0</v>
      </c>
      <c r="J1896" s="23" t="str">
        <f aca="false">Nonlabor!$B$15</f>
        <v>LEGAL</v>
      </c>
    </row>
    <row r="1897" customFormat="false" ht="15" hidden="false" customHeight="false" outlineLevel="0" collapsed="false">
      <c r="A1897" s="6" t="s">
        <v>4</v>
      </c>
      <c r="B1897" s="6" t="s">
        <v>402</v>
      </c>
      <c r="C1897" s="6" t="n">
        <v>32</v>
      </c>
      <c r="D1897" s="25" t="n">
        <f aca="false">EDATE('Start Here'!$B$6,C1897-1)</f>
        <v>47270</v>
      </c>
      <c r="E1897" s="23" t="n">
        <f aca="false">IF(AND(OR(Nonlabor!$D$15="Both",Nonlabor!$D$15='Start Here'!$B$9),IF(Nonlabor!$E$15="Core",1,IF(Nonlabor!$E$15="AI",'Start Here'!$B$7,'Start Here'!$B$8))=1,C1897&gt;=IF(Nonlabor!$E$15="Core",Nonlabor!$F$15,MAX(Nonlabor!$F$15,IF(Nonlabor!$E$15="AI",Assumptions!$D$24,Assumptions!$D$25))),C1897&lt;=Nonlabor!$G$15,OR(Nonlabor!$H$15="Monthly",AND(Nonlabor!$H$15="Once",C1897=IF(Nonlabor!$E$15="Core",Nonlabor!$F$15,MAX(Nonlabor!$F$15,IF(Nonlabor!$E$15="AI",Assumptions!$D$24,Assumptions!$D$25)))),AND(Nonlabor!$H$15="Annual",MOD(C1897-IF(Nonlabor!$E$15="Core",Nonlabor!$F$15,MAX(Nonlabor!$F$15,IF(Nonlabor!$E$15="AI",Assumptions!$D$24,Assumptions!$D$25))),12)=0))),IF(Nonlabor!$I$15="Fixed",1,IF(Nonlabor!$I$15="Seats",ROUNDUP('Monthly Base'!I37,0),IF(Nonlabor!$I$15="Customers",'Monthly Base'!D37,IF(Nonlabor!$I$15="NewCustomers",'Monthly Base'!C37,IF(Nonlabor!$I$15="StorageGB",'Monthly Base'!G37,IF(Nonlabor!$I$15="LogGB",'Monthly Base'!H37,IF(Nonlabor!$I$15="RequestsM",'Monthly Base'!F37,IF(Nonlabor!$I$15="InputM",'Monthly Base'!D37*Assumptions!$D$22/1000000,IF(Nonlabor!$I$15="OutputM",'Monthly Base'!D37*Assumptions!$D$23/1000000,0))))))))),0)</f>
        <v>0</v>
      </c>
      <c r="F1897" s="10" t="n">
        <f aca="false">Nonlabor!$J$15*(1+Assumptions!$D$9)^INT((C1897-1)/12)</f>
        <v>21218</v>
      </c>
      <c r="G1897" s="10" t="n">
        <f aca="false">E1897*F1897</f>
        <v>0</v>
      </c>
      <c r="H1897" s="10" t="n">
        <f aca="false">IF(OR(Nonlabor!$L$15="Quote required",Nonlabor!$L$15="Unverified"),G1897,0)</f>
        <v>0</v>
      </c>
      <c r="I1897" s="10" t="n">
        <f aca="false">IF(Nonlabor!$E$15="Core",0,G1897)</f>
        <v>0</v>
      </c>
      <c r="J1897" s="23" t="str">
        <f aca="false">Nonlabor!$B$15</f>
        <v>LEGAL</v>
      </c>
    </row>
    <row r="1898" customFormat="false" ht="15" hidden="false" customHeight="false" outlineLevel="0" collapsed="false">
      <c r="A1898" s="6" t="s">
        <v>4</v>
      </c>
      <c r="B1898" s="6" t="s">
        <v>402</v>
      </c>
      <c r="C1898" s="6" t="n">
        <v>33</v>
      </c>
      <c r="D1898" s="25" t="n">
        <f aca="false">EDATE('Start Here'!$B$6,C1898-1)</f>
        <v>47300</v>
      </c>
      <c r="E1898" s="23" t="n">
        <f aca="false">IF(AND(OR(Nonlabor!$D$15="Both",Nonlabor!$D$15='Start Here'!$B$9),IF(Nonlabor!$E$15="Core",1,IF(Nonlabor!$E$15="AI",'Start Here'!$B$7,'Start Here'!$B$8))=1,C1898&gt;=IF(Nonlabor!$E$15="Core",Nonlabor!$F$15,MAX(Nonlabor!$F$15,IF(Nonlabor!$E$15="AI",Assumptions!$D$24,Assumptions!$D$25))),C1898&lt;=Nonlabor!$G$15,OR(Nonlabor!$H$15="Monthly",AND(Nonlabor!$H$15="Once",C1898=IF(Nonlabor!$E$15="Core",Nonlabor!$F$15,MAX(Nonlabor!$F$15,IF(Nonlabor!$E$15="AI",Assumptions!$D$24,Assumptions!$D$25)))),AND(Nonlabor!$H$15="Annual",MOD(C1898-IF(Nonlabor!$E$15="Core",Nonlabor!$F$15,MAX(Nonlabor!$F$15,IF(Nonlabor!$E$15="AI",Assumptions!$D$24,Assumptions!$D$25))),12)=0))),IF(Nonlabor!$I$15="Fixed",1,IF(Nonlabor!$I$15="Seats",ROUNDUP('Monthly Base'!I38,0),IF(Nonlabor!$I$15="Customers",'Monthly Base'!D38,IF(Nonlabor!$I$15="NewCustomers",'Monthly Base'!C38,IF(Nonlabor!$I$15="StorageGB",'Monthly Base'!G38,IF(Nonlabor!$I$15="LogGB",'Monthly Base'!H38,IF(Nonlabor!$I$15="RequestsM",'Monthly Base'!F38,IF(Nonlabor!$I$15="InputM",'Monthly Base'!D38*Assumptions!$D$22/1000000,IF(Nonlabor!$I$15="OutputM",'Monthly Base'!D38*Assumptions!$D$23/1000000,0))))))))),0)</f>
        <v>0</v>
      </c>
      <c r="F1898" s="10" t="n">
        <f aca="false">Nonlabor!$J$15*(1+Assumptions!$D$9)^INT((C1898-1)/12)</f>
        <v>21218</v>
      </c>
      <c r="G1898" s="10" t="n">
        <f aca="false">E1898*F1898</f>
        <v>0</v>
      </c>
      <c r="H1898" s="10" t="n">
        <f aca="false">IF(OR(Nonlabor!$L$15="Quote required",Nonlabor!$L$15="Unverified"),G1898,0)</f>
        <v>0</v>
      </c>
      <c r="I1898" s="10" t="n">
        <f aca="false">IF(Nonlabor!$E$15="Core",0,G1898)</f>
        <v>0</v>
      </c>
      <c r="J1898" s="23" t="str">
        <f aca="false">Nonlabor!$B$15</f>
        <v>LEGAL</v>
      </c>
    </row>
    <row r="1899" customFormat="false" ht="15" hidden="false" customHeight="false" outlineLevel="0" collapsed="false">
      <c r="A1899" s="6" t="s">
        <v>4</v>
      </c>
      <c r="B1899" s="6" t="s">
        <v>402</v>
      </c>
      <c r="C1899" s="6" t="n">
        <v>34</v>
      </c>
      <c r="D1899" s="25" t="n">
        <f aca="false">EDATE('Start Here'!$B$6,C1899-1)</f>
        <v>47331</v>
      </c>
      <c r="E1899" s="23" t="n">
        <f aca="false">IF(AND(OR(Nonlabor!$D$15="Both",Nonlabor!$D$15='Start Here'!$B$9),IF(Nonlabor!$E$15="Core",1,IF(Nonlabor!$E$15="AI",'Start Here'!$B$7,'Start Here'!$B$8))=1,C1899&gt;=IF(Nonlabor!$E$15="Core",Nonlabor!$F$15,MAX(Nonlabor!$F$15,IF(Nonlabor!$E$15="AI",Assumptions!$D$24,Assumptions!$D$25))),C1899&lt;=Nonlabor!$G$15,OR(Nonlabor!$H$15="Monthly",AND(Nonlabor!$H$15="Once",C1899=IF(Nonlabor!$E$15="Core",Nonlabor!$F$15,MAX(Nonlabor!$F$15,IF(Nonlabor!$E$15="AI",Assumptions!$D$24,Assumptions!$D$25)))),AND(Nonlabor!$H$15="Annual",MOD(C1899-IF(Nonlabor!$E$15="Core",Nonlabor!$F$15,MAX(Nonlabor!$F$15,IF(Nonlabor!$E$15="AI",Assumptions!$D$24,Assumptions!$D$25))),12)=0))),IF(Nonlabor!$I$15="Fixed",1,IF(Nonlabor!$I$15="Seats",ROUNDUP('Monthly Base'!I39,0),IF(Nonlabor!$I$15="Customers",'Monthly Base'!D39,IF(Nonlabor!$I$15="NewCustomers",'Monthly Base'!C39,IF(Nonlabor!$I$15="StorageGB",'Monthly Base'!G39,IF(Nonlabor!$I$15="LogGB",'Monthly Base'!H39,IF(Nonlabor!$I$15="RequestsM",'Monthly Base'!F39,IF(Nonlabor!$I$15="InputM",'Monthly Base'!D39*Assumptions!$D$22/1000000,IF(Nonlabor!$I$15="OutputM",'Monthly Base'!D39*Assumptions!$D$23/1000000,0))))))))),0)</f>
        <v>0</v>
      </c>
      <c r="F1899" s="10" t="n">
        <f aca="false">Nonlabor!$J$15*(1+Assumptions!$D$9)^INT((C1899-1)/12)</f>
        <v>21218</v>
      </c>
      <c r="G1899" s="10" t="n">
        <f aca="false">E1899*F1899</f>
        <v>0</v>
      </c>
      <c r="H1899" s="10" t="n">
        <f aca="false">IF(OR(Nonlabor!$L$15="Quote required",Nonlabor!$L$15="Unverified"),G1899,0)</f>
        <v>0</v>
      </c>
      <c r="I1899" s="10" t="n">
        <f aca="false">IF(Nonlabor!$E$15="Core",0,G1899)</f>
        <v>0</v>
      </c>
      <c r="J1899" s="23" t="str">
        <f aca="false">Nonlabor!$B$15</f>
        <v>LEGAL</v>
      </c>
    </row>
    <row r="1900" customFormat="false" ht="15" hidden="false" customHeight="false" outlineLevel="0" collapsed="false">
      <c r="A1900" s="6" t="s">
        <v>4</v>
      </c>
      <c r="B1900" s="6" t="s">
        <v>402</v>
      </c>
      <c r="C1900" s="6" t="n">
        <v>35</v>
      </c>
      <c r="D1900" s="25" t="n">
        <f aca="false">EDATE('Start Here'!$B$6,C1900-1)</f>
        <v>47362</v>
      </c>
      <c r="E1900" s="23" t="n">
        <f aca="false">IF(AND(OR(Nonlabor!$D$15="Both",Nonlabor!$D$15='Start Here'!$B$9),IF(Nonlabor!$E$15="Core",1,IF(Nonlabor!$E$15="AI",'Start Here'!$B$7,'Start Here'!$B$8))=1,C1900&gt;=IF(Nonlabor!$E$15="Core",Nonlabor!$F$15,MAX(Nonlabor!$F$15,IF(Nonlabor!$E$15="AI",Assumptions!$D$24,Assumptions!$D$25))),C1900&lt;=Nonlabor!$G$15,OR(Nonlabor!$H$15="Monthly",AND(Nonlabor!$H$15="Once",C1900=IF(Nonlabor!$E$15="Core",Nonlabor!$F$15,MAX(Nonlabor!$F$15,IF(Nonlabor!$E$15="AI",Assumptions!$D$24,Assumptions!$D$25)))),AND(Nonlabor!$H$15="Annual",MOD(C1900-IF(Nonlabor!$E$15="Core",Nonlabor!$F$15,MAX(Nonlabor!$F$15,IF(Nonlabor!$E$15="AI",Assumptions!$D$24,Assumptions!$D$25))),12)=0))),IF(Nonlabor!$I$15="Fixed",1,IF(Nonlabor!$I$15="Seats",ROUNDUP('Monthly Base'!I40,0),IF(Nonlabor!$I$15="Customers",'Monthly Base'!D40,IF(Nonlabor!$I$15="NewCustomers",'Monthly Base'!C40,IF(Nonlabor!$I$15="StorageGB",'Monthly Base'!G40,IF(Nonlabor!$I$15="LogGB",'Monthly Base'!H40,IF(Nonlabor!$I$15="RequestsM",'Monthly Base'!F40,IF(Nonlabor!$I$15="InputM",'Monthly Base'!D40*Assumptions!$D$22/1000000,IF(Nonlabor!$I$15="OutputM",'Monthly Base'!D40*Assumptions!$D$23/1000000,0))))))))),0)</f>
        <v>0</v>
      </c>
      <c r="F1900" s="10" t="n">
        <f aca="false">Nonlabor!$J$15*(1+Assumptions!$D$9)^INT((C1900-1)/12)</f>
        <v>21218</v>
      </c>
      <c r="G1900" s="10" t="n">
        <f aca="false">E1900*F1900</f>
        <v>0</v>
      </c>
      <c r="H1900" s="10" t="n">
        <f aca="false">IF(OR(Nonlabor!$L$15="Quote required",Nonlabor!$L$15="Unverified"),G1900,0)</f>
        <v>0</v>
      </c>
      <c r="I1900" s="10" t="n">
        <f aca="false">IF(Nonlabor!$E$15="Core",0,G1900)</f>
        <v>0</v>
      </c>
      <c r="J1900" s="23" t="str">
        <f aca="false">Nonlabor!$B$15</f>
        <v>LEGAL</v>
      </c>
    </row>
    <row r="1901" customFormat="false" ht="15" hidden="false" customHeight="false" outlineLevel="0" collapsed="false">
      <c r="A1901" s="6" t="s">
        <v>4</v>
      </c>
      <c r="B1901" s="6" t="s">
        <v>402</v>
      </c>
      <c r="C1901" s="6" t="n">
        <v>36</v>
      </c>
      <c r="D1901" s="25" t="n">
        <f aca="false">EDATE('Start Here'!$B$6,C1901-1)</f>
        <v>47392</v>
      </c>
      <c r="E1901" s="23" t="n">
        <f aca="false">IF(AND(OR(Nonlabor!$D$15="Both",Nonlabor!$D$15='Start Here'!$B$9),IF(Nonlabor!$E$15="Core",1,IF(Nonlabor!$E$15="AI",'Start Here'!$B$7,'Start Here'!$B$8))=1,C1901&gt;=IF(Nonlabor!$E$15="Core",Nonlabor!$F$15,MAX(Nonlabor!$F$15,IF(Nonlabor!$E$15="AI",Assumptions!$D$24,Assumptions!$D$25))),C1901&lt;=Nonlabor!$G$15,OR(Nonlabor!$H$15="Monthly",AND(Nonlabor!$H$15="Once",C1901=IF(Nonlabor!$E$15="Core",Nonlabor!$F$15,MAX(Nonlabor!$F$15,IF(Nonlabor!$E$15="AI",Assumptions!$D$24,Assumptions!$D$25)))),AND(Nonlabor!$H$15="Annual",MOD(C1901-IF(Nonlabor!$E$15="Core",Nonlabor!$F$15,MAX(Nonlabor!$F$15,IF(Nonlabor!$E$15="AI",Assumptions!$D$24,Assumptions!$D$25))),12)=0))),IF(Nonlabor!$I$15="Fixed",1,IF(Nonlabor!$I$15="Seats",ROUNDUP('Monthly Base'!I41,0),IF(Nonlabor!$I$15="Customers",'Monthly Base'!D41,IF(Nonlabor!$I$15="NewCustomers",'Monthly Base'!C41,IF(Nonlabor!$I$15="StorageGB",'Monthly Base'!G41,IF(Nonlabor!$I$15="LogGB",'Monthly Base'!H41,IF(Nonlabor!$I$15="RequestsM",'Monthly Base'!F41,IF(Nonlabor!$I$15="InputM",'Monthly Base'!D41*Assumptions!$D$22/1000000,IF(Nonlabor!$I$15="OutputM",'Monthly Base'!D41*Assumptions!$D$23/1000000,0))))))))),0)</f>
        <v>0</v>
      </c>
      <c r="F1901" s="10" t="n">
        <f aca="false">Nonlabor!$J$15*(1+Assumptions!$D$9)^INT((C1901-1)/12)</f>
        <v>21218</v>
      </c>
      <c r="G1901" s="10" t="n">
        <f aca="false">E1901*F1901</f>
        <v>0</v>
      </c>
      <c r="H1901" s="10" t="n">
        <f aca="false">IF(OR(Nonlabor!$L$15="Quote required",Nonlabor!$L$15="Unverified"),G1901,0)</f>
        <v>0</v>
      </c>
      <c r="I1901" s="10" t="n">
        <f aca="false">IF(Nonlabor!$E$15="Core",0,G1901)</f>
        <v>0</v>
      </c>
      <c r="J1901" s="23" t="str">
        <f aca="false">Nonlabor!$B$15</f>
        <v>LEGAL</v>
      </c>
    </row>
    <row r="1902" customFormat="false" ht="15" hidden="false" customHeight="false" outlineLevel="0" collapsed="false">
      <c r="A1902" s="6" t="s">
        <v>4</v>
      </c>
      <c r="B1902" s="6" t="s">
        <v>402</v>
      </c>
      <c r="C1902" s="6" t="n">
        <v>37</v>
      </c>
      <c r="D1902" s="25" t="n">
        <f aca="false">EDATE('Start Here'!$B$6,C1902-1)</f>
        <v>47423</v>
      </c>
      <c r="E1902" s="23" t="n">
        <f aca="false">IF(AND(OR(Nonlabor!$D$15="Both",Nonlabor!$D$15='Start Here'!$B$9),IF(Nonlabor!$E$15="Core",1,IF(Nonlabor!$E$15="AI",'Start Here'!$B$7,'Start Here'!$B$8))=1,C1902&gt;=IF(Nonlabor!$E$15="Core",Nonlabor!$F$15,MAX(Nonlabor!$F$15,IF(Nonlabor!$E$15="AI",Assumptions!$D$24,Assumptions!$D$25))),C1902&lt;=Nonlabor!$G$15,OR(Nonlabor!$H$15="Monthly",AND(Nonlabor!$H$15="Once",C1902=IF(Nonlabor!$E$15="Core",Nonlabor!$F$15,MAX(Nonlabor!$F$15,IF(Nonlabor!$E$15="AI",Assumptions!$D$24,Assumptions!$D$25)))),AND(Nonlabor!$H$15="Annual",MOD(C1902-IF(Nonlabor!$E$15="Core",Nonlabor!$F$15,MAX(Nonlabor!$F$15,IF(Nonlabor!$E$15="AI",Assumptions!$D$24,Assumptions!$D$25))),12)=0))),IF(Nonlabor!$I$15="Fixed",1,IF(Nonlabor!$I$15="Seats",ROUNDUP('Monthly Base'!I42,0),IF(Nonlabor!$I$15="Customers",'Monthly Base'!D42,IF(Nonlabor!$I$15="NewCustomers",'Monthly Base'!C42,IF(Nonlabor!$I$15="StorageGB",'Monthly Base'!G42,IF(Nonlabor!$I$15="LogGB",'Monthly Base'!H42,IF(Nonlabor!$I$15="RequestsM",'Monthly Base'!F42,IF(Nonlabor!$I$15="InputM",'Monthly Base'!D42*Assumptions!$D$22/1000000,IF(Nonlabor!$I$15="OutputM",'Monthly Base'!D42*Assumptions!$D$23/1000000,0))))))))),0)</f>
        <v>0</v>
      </c>
      <c r="F1902" s="10" t="n">
        <f aca="false">Nonlabor!$J$15*(1+Assumptions!$D$9)^INT((C1902-1)/12)</f>
        <v>21854.54</v>
      </c>
      <c r="G1902" s="10" t="n">
        <f aca="false">E1902*F1902</f>
        <v>0</v>
      </c>
      <c r="H1902" s="10" t="n">
        <f aca="false">IF(OR(Nonlabor!$L$15="Quote required",Nonlabor!$L$15="Unverified"),G1902,0)</f>
        <v>0</v>
      </c>
      <c r="I1902" s="10" t="n">
        <f aca="false">IF(Nonlabor!$E$15="Core",0,G1902)</f>
        <v>0</v>
      </c>
      <c r="J1902" s="23" t="str">
        <f aca="false">Nonlabor!$B$15</f>
        <v>LEGAL</v>
      </c>
    </row>
    <row r="1903" customFormat="false" ht="15" hidden="false" customHeight="false" outlineLevel="0" collapsed="false">
      <c r="A1903" s="6" t="s">
        <v>4</v>
      </c>
      <c r="B1903" s="6" t="s">
        <v>402</v>
      </c>
      <c r="C1903" s="6" t="n">
        <v>38</v>
      </c>
      <c r="D1903" s="25" t="n">
        <f aca="false">EDATE('Start Here'!$B$6,C1903-1)</f>
        <v>47453</v>
      </c>
      <c r="E1903" s="23" t="n">
        <f aca="false">IF(AND(OR(Nonlabor!$D$15="Both",Nonlabor!$D$15='Start Here'!$B$9),IF(Nonlabor!$E$15="Core",1,IF(Nonlabor!$E$15="AI",'Start Here'!$B$7,'Start Here'!$B$8))=1,C1903&gt;=IF(Nonlabor!$E$15="Core",Nonlabor!$F$15,MAX(Nonlabor!$F$15,IF(Nonlabor!$E$15="AI",Assumptions!$D$24,Assumptions!$D$25))),C1903&lt;=Nonlabor!$G$15,OR(Nonlabor!$H$15="Monthly",AND(Nonlabor!$H$15="Once",C1903=IF(Nonlabor!$E$15="Core",Nonlabor!$F$15,MAX(Nonlabor!$F$15,IF(Nonlabor!$E$15="AI",Assumptions!$D$24,Assumptions!$D$25)))),AND(Nonlabor!$H$15="Annual",MOD(C1903-IF(Nonlabor!$E$15="Core",Nonlabor!$F$15,MAX(Nonlabor!$F$15,IF(Nonlabor!$E$15="AI",Assumptions!$D$24,Assumptions!$D$25))),12)=0))),IF(Nonlabor!$I$15="Fixed",1,IF(Nonlabor!$I$15="Seats",ROUNDUP('Monthly Base'!I43,0),IF(Nonlabor!$I$15="Customers",'Monthly Base'!D43,IF(Nonlabor!$I$15="NewCustomers",'Monthly Base'!C43,IF(Nonlabor!$I$15="StorageGB",'Monthly Base'!G43,IF(Nonlabor!$I$15="LogGB",'Monthly Base'!H43,IF(Nonlabor!$I$15="RequestsM",'Monthly Base'!F43,IF(Nonlabor!$I$15="InputM",'Monthly Base'!D43*Assumptions!$D$22/1000000,IF(Nonlabor!$I$15="OutputM",'Monthly Base'!D43*Assumptions!$D$23/1000000,0))))))))),0)</f>
        <v>0</v>
      </c>
      <c r="F1903" s="10" t="n">
        <f aca="false">Nonlabor!$J$15*(1+Assumptions!$D$9)^INT((C1903-1)/12)</f>
        <v>21854.54</v>
      </c>
      <c r="G1903" s="10" t="n">
        <f aca="false">E1903*F1903</f>
        <v>0</v>
      </c>
      <c r="H1903" s="10" t="n">
        <f aca="false">IF(OR(Nonlabor!$L$15="Quote required",Nonlabor!$L$15="Unverified"),G1903,0)</f>
        <v>0</v>
      </c>
      <c r="I1903" s="10" t="n">
        <f aca="false">IF(Nonlabor!$E$15="Core",0,G1903)</f>
        <v>0</v>
      </c>
      <c r="J1903" s="23" t="str">
        <f aca="false">Nonlabor!$B$15</f>
        <v>LEGAL</v>
      </c>
    </row>
    <row r="1904" customFormat="false" ht="15" hidden="false" customHeight="false" outlineLevel="0" collapsed="false">
      <c r="A1904" s="6" t="s">
        <v>4</v>
      </c>
      <c r="B1904" s="6" t="s">
        <v>402</v>
      </c>
      <c r="C1904" s="6" t="n">
        <v>39</v>
      </c>
      <c r="D1904" s="25" t="n">
        <f aca="false">EDATE('Start Here'!$B$6,C1904-1)</f>
        <v>47484</v>
      </c>
      <c r="E1904" s="23" t="n">
        <f aca="false">IF(AND(OR(Nonlabor!$D$15="Both",Nonlabor!$D$15='Start Here'!$B$9),IF(Nonlabor!$E$15="Core",1,IF(Nonlabor!$E$15="AI",'Start Here'!$B$7,'Start Here'!$B$8))=1,C1904&gt;=IF(Nonlabor!$E$15="Core",Nonlabor!$F$15,MAX(Nonlabor!$F$15,IF(Nonlabor!$E$15="AI",Assumptions!$D$24,Assumptions!$D$25))),C1904&lt;=Nonlabor!$G$15,OR(Nonlabor!$H$15="Monthly",AND(Nonlabor!$H$15="Once",C1904=IF(Nonlabor!$E$15="Core",Nonlabor!$F$15,MAX(Nonlabor!$F$15,IF(Nonlabor!$E$15="AI",Assumptions!$D$24,Assumptions!$D$25)))),AND(Nonlabor!$H$15="Annual",MOD(C1904-IF(Nonlabor!$E$15="Core",Nonlabor!$F$15,MAX(Nonlabor!$F$15,IF(Nonlabor!$E$15="AI",Assumptions!$D$24,Assumptions!$D$25))),12)=0))),IF(Nonlabor!$I$15="Fixed",1,IF(Nonlabor!$I$15="Seats",ROUNDUP('Monthly Base'!I44,0),IF(Nonlabor!$I$15="Customers",'Monthly Base'!D44,IF(Nonlabor!$I$15="NewCustomers",'Monthly Base'!C44,IF(Nonlabor!$I$15="StorageGB",'Monthly Base'!G44,IF(Nonlabor!$I$15="LogGB",'Monthly Base'!H44,IF(Nonlabor!$I$15="RequestsM",'Monthly Base'!F44,IF(Nonlabor!$I$15="InputM",'Monthly Base'!D44*Assumptions!$D$22/1000000,IF(Nonlabor!$I$15="OutputM",'Monthly Base'!D44*Assumptions!$D$23/1000000,0))))))))),0)</f>
        <v>0</v>
      </c>
      <c r="F1904" s="10" t="n">
        <f aca="false">Nonlabor!$J$15*(1+Assumptions!$D$9)^INT((C1904-1)/12)</f>
        <v>21854.54</v>
      </c>
      <c r="G1904" s="10" t="n">
        <f aca="false">E1904*F1904</f>
        <v>0</v>
      </c>
      <c r="H1904" s="10" t="n">
        <f aca="false">IF(OR(Nonlabor!$L$15="Quote required",Nonlabor!$L$15="Unverified"),G1904,0)</f>
        <v>0</v>
      </c>
      <c r="I1904" s="10" t="n">
        <f aca="false">IF(Nonlabor!$E$15="Core",0,G1904)</f>
        <v>0</v>
      </c>
      <c r="J1904" s="23" t="str">
        <f aca="false">Nonlabor!$B$15</f>
        <v>LEGAL</v>
      </c>
    </row>
    <row r="1905" customFormat="false" ht="15" hidden="false" customHeight="false" outlineLevel="0" collapsed="false">
      <c r="A1905" s="6" t="s">
        <v>4</v>
      </c>
      <c r="B1905" s="6" t="s">
        <v>402</v>
      </c>
      <c r="C1905" s="6" t="n">
        <v>40</v>
      </c>
      <c r="D1905" s="25" t="n">
        <f aca="false">EDATE('Start Here'!$B$6,C1905-1)</f>
        <v>47515</v>
      </c>
      <c r="E1905" s="23" t="n">
        <f aca="false">IF(AND(OR(Nonlabor!$D$15="Both",Nonlabor!$D$15='Start Here'!$B$9),IF(Nonlabor!$E$15="Core",1,IF(Nonlabor!$E$15="AI",'Start Here'!$B$7,'Start Here'!$B$8))=1,C1905&gt;=IF(Nonlabor!$E$15="Core",Nonlabor!$F$15,MAX(Nonlabor!$F$15,IF(Nonlabor!$E$15="AI",Assumptions!$D$24,Assumptions!$D$25))),C1905&lt;=Nonlabor!$G$15,OR(Nonlabor!$H$15="Monthly",AND(Nonlabor!$H$15="Once",C1905=IF(Nonlabor!$E$15="Core",Nonlabor!$F$15,MAX(Nonlabor!$F$15,IF(Nonlabor!$E$15="AI",Assumptions!$D$24,Assumptions!$D$25)))),AND(Nonlabor!$H$15="Annual",MOD(C1905-IF(Nonlabor!$E$15="Core",Nonlabor!$F$15,MAX(Nonlabor!$F$15,IF(Nonlabor!$E$15="AI",Assumptions!$D$24,Assumptions!$D$25))),12)=0))),IF(Nonlabor!$I$15="Fixed",1,IF(Nonlabor!$I$15="Seats",ROUNDUP('Monthly Base'!I45,0),IF(Nonlabor!$I$15="Customers",'Monthly Base'!D45,IF(Nonlabor!$I$15="NewCustomers",'Monthly Base'!C45,IF(Nonlabor!$I$15="StorageGB",'Monthly Base'!G45,IF(Nonlabor!$I$15="LogGB",'Monthly Base'!H45,IF(Nonlabor!$I$15="RequestsM",'Monthly Base'!F45,IF(Nonlabor!$I$15="InputM",'Monthly Base'!D45*Assumptions!$D$22/1000000,IF(Nonlabor!$I$15="OutputM",'Monthly Base'!D45*Assumptions!$D$23/1000000,0))))))))),0)</f>
        <v>0</v>
      </c>
      <c r="F1905" s="10" t="n">
        <f aca="false">Nonlabor!$J$15*(1+Assumptions!$D$9)^INT((C1905-1)/12)</f>
        <v>21854.54</v>
      </c>
      <c r="G1905" s="10" t="n">
        <f aca="false">E1905*F1905</f>
        <v>0</v>
      </c>
      <c r="H1905" s="10" t="n">
        <f aca="false">IF(OR(Nonlabor!$L$15="Quote required",Nonlabor!$L$15="Unverified"),G1905,0)</f>
        <v>0</v>
      </c>
      <c r="I1905" s="10" t="n">
        <f aca="false">IF(Nonlabor!$E$15="Core",0,G1905)</f>
        <v>0</v>
      </c>
      <c r="J1905" s="23" t="str">
        <f aca="false">Nonlabor!$B$15</f>
        <v>LEGAL</v>
      </c>
    </row>
    <row r="1906" customFormat="false" ht="15" hidden="false" customHeight="false" outlineLevel="0" collapsed="false">
      <c r="A1906" s="6" t="s">
        <v>4</v>
      </c>
      <c r="B1906" s="6" t="s">
        <v>402</v>
      </c>
      <c r="C1906" s="6" t="n">
        <v>41</v>
      </c>
      <c r="D1906" s="25" t="n">
        <f aca="false">EDATE('Start Here'!$B$6,C1906-1)</f>
        <v>47543</v>
      </c>
      <c r="E1906" s="23" t="n">
        <f aca="false">IF(AND(OR(Nonlabor!$D$15="Both",Nonlabor!$D$15='Start Here'!$B$9),IF(Nonlabor!$E$15="Core",1,IF(Nonlabor!$E$15="AI",'Start Here'!$B$7,'Start Here'!$B$8))=1,C1906&gt;=IF(Nonlabor!$E$15="Core",Nonlabor!$F$15,MAX(Nonlabor!$F$15,IF(Nonlabor!$E$15="AI",Assumptions!$D$24,Assumptions!$D$25))),C1906&lt;=Nonlabor!$G$15,OR(Nonlabor!$H$15="Monthly",AND(Nonlabor!$H$15="Once",C1906=IF(Nonlabor!$E$15="Core",Nonlabor!$F$15,MAX(Nonlabor!$F$15,IF(Nonlabor!$E$15="AI",Assumptions!$D$24,Assumptions!$D$25)))),AND(Nonlabor!$H$15="Annual",MOD(C1906-IF(Nonlabor!$E$15="Core",Nonlabor!$F$15,MAX(Nonlabor!$F$15,IF(Nonlabor!$E$15="AI",Assumptions!$D$24,Assumptions!$D$25))),12)=0))),IF(Nonlabor!$I$15="Fixed",1,IF(Nonlabor!$I$15="Seats",ROUNDUP('Monthly Base'!I46,0),IF(Nonlabor!$I$15="Customers",'Monthly Base'!D46,IF(Nonlabor!$I$15="NewCustomers",'Monthly Base'!C46,IF(Nonlabor!$I$15="StorageGB",'Monthly Base'!G46,IF(Nonlabor!$I$15="LogGB",'Monthly Base'!H46,IF(Nonlabor!$I$15="RequestsM",'Monthly Base'!F46,IF(Nonlabor!$I$15="InputM",'Monthly Base'!D46*Assumptions!$D$22/1000000,IF(Nonlabor!$I$15="OutputM",'Monthly Base'!D46*Assumptions!$D$23/1000000,0))))))))),0)</f>
        <v>0</v>
      </c>
      <c r="F1906" s="10" t="n">
        <f aca="false">Nonlabor!$J$15*(1+Assumptions!$D$9)^INT((C1906-1)/12)</f>
        <v>21854.54</v>
      </c>
      <c r="G1906" s="10" t="n">
        <f aca="false">E1906*F1906</f>
        <v>0</v>
      </c>
      <c r="H1906" s="10" t="n">
        <f aca="false">IF(OR(Nonlabor!$L$15="Quote required",Nonlabor!$L$15="Unverified"),G1906,0)</f>
        <v>0</v>
      </c>
      <c r="I1906" s="10" t="n">
        <f aca="false">IF(Nonlabor!$E$15="Core",0,G1906)</f>
        <v>0</v>
      </c>
      <c r="J1906" s="23" t="str">
        <f aca="false">Nonlabor!$B$15</f>
        <v>LEGAL</v>
      </c>
    </row>
    <row r="1907" customFormat="false" ht="15" hidden="false" customHeight="false" outlineLevel="0" collapsed="false">
      <c r="A1907" s="6" t="s">
        <v>4</v>
      </c>
      <c r="B1907" s="6" t="s">
        <v>402</v>
      </c>
      <c r="C1907" s="6" t="n">
        <v>42</v>
      </c>
      <c r="D1907" s="25" t="n">
        <f aca="false">EDATE('Start Here'!$B$6,C1907-1)</f>
        <v>47574</v>
      </c>
      <c r="E1907" s="23" t="n">
        <f aca="false">IF(AND(OR(Nonlabor!$D$15="Both",Nonlabor!$D$15='Start Here'!$B$9),IF(Nonlabor!$E$15="Core",1,IF(Nonlabor!$E$15="AI",'Start Here'!$B$7,'Start Here'!$B$8))=1,C1907&gt;=IF(Nonlabor!$E$15="Core",Nonlabor!$F$15,MAX(Nonlabor!$F$15,IF(Nonlabor!$E$15="AI",Assumptions!$D$24,Assumptions!$D$25))),C1907&lt;=Nonlabor!$G$15,OR(Nonlabor!$H$15="Monthly",AND(Nonlabor!$H$15="Once",C1907=IF(Nonlabor!$E$15="Core",Nonlabor!$F$15,MAX(Nonlabor!$F$15,IF(Nonlabor!$E$15="AI",Assumptions!$D$24,Assumptions!$D$25)))),AND(Nonlabor!$H$15="Annual",MOD(C1907-IF(Nonlabor!$E$15="Core",Nonlabor!$F$15,MAX(Nonlabor!$F$15,IF(Nonlabor!$E$15="AI",Assumptions!$D$24,Assumptions!$D$25))),12)=0))),IF(Nonlabor!$I$15="Fixed",1,IF(Nonlabor!$I$15="Seats",ROUNDUP('Monthly Base'!I47,0),IF(Nonlabor!$I$15="Customers",'Monthly Base'!D47,IF(Nonlabor!$I$15="NewCustomers",'Monthly Base'!C47,IF(Nonlabor!$I$15="StorageGB",'Monthly Base'!G47,IF(Nonlabor!$I$15="LogGB",'Monthly Base'!H47,IF(Nonlabor!$I$15="RequestsM",'Monthly Base'!F47,IF(Nonlabor!$I$15="InputM",'Monthly Base'!D47*Assumptions!$D$22/1000000,IF(Nonlabor!$I$15="OutputM",'Monthly Base'!D47*Assumptions!$D$23/1000000,0))))))))),0)</f>
        <v>0</v>
      </c>
      <c r="F1907" s="10" t="n">
        <f aca="false">Nonlabor!$J$15*(1+Assumptions!$D$9)^INT((C1907-1)/12)</f>
        <v>21854.54</v>
      </c>
      <c r="G1907" s="10" t="n">
        <f aca="false">E1907*F1907</f>
        <v>0</v>
      </c>
      <c r="H1907" s="10" t="n">
        <f aca="false">IF(OR(Nonlabor!$L$15="Quote required",Nonlabor!$L$15="Unverified"),G1907,0)</f>
        <v>0</v>
      </c>
      <c r="I1907" s="10" t="n">
        <f aca="false">IF(Nonlabor!$E$15="Core",0,G1907)</f>
        <v>0</v>
      </c>
      <c r="J1907" s="23" t="str">
        <f aca="false">Nonlabor!$B$15</f>
        <v>LEGAL</v>
      </c>
    </row>
    <row r="1908" customFormat="false" ht="15" hidden="false" customHeight="false" outlineLevel="0" collapsed="false">
      <c r="A1908" s="6" t="s">
        <v>4</v>
      </c>
      <c r="B1908" s="6" t="s">
        <v>402</v>
      </c>
      <c r="C1908" s="6" t="n">
        <v>43</v>
      </c>
      <c r="D1908" s="25" t="n">
        <f aca="false">EDATE('Start Here'!$B$6,C1908-1)</f>
        <v>47604</v>
      </c>
      <c r="E1908" s="23" t="n">
        <f aca="false">IF(AND(OR(Nonlabor!$D$15="Both",Nonlabor!$D$15='Start Here'!$B$9),IF(Nonlabor!$E$15="Core",1,IF(Nonlabor!$E$15="AI",'Start Here'!$B$7,'Start Here'!$B$8))=1,C1908&gt;=IF(Nonlabor!$E$15="Core",Nonlabor!$F$15,MAX(Nonlabor!$F$15,IF(Nonlabor!$E$15="AI",Assumptions!$D$24,Assumptions!$D$25))),C1908&lt;=Nonlabor!$G$15,OR(Nonlabor!$H$15="Monthly",AND(Nonlabor!$H$15="Once",C1908=IF(Nonlabor!$E$15="Core",Nonlabor!$F$15,MAX(Nonlabor!$F$15,IF(Nonlabor!$E$15="AI",Assumptions!$D$24,Assumptions!$D$25)))),AND(Nonlabor!$H$15="Annual",MOD(C1908-IF(Nonlabor!$E$15="Core",Nonlabor!$F$15,MAX(Nonlabor!$F$15,IF(Nonlabor!$E$15="AI",Assumptions!$D$24,Assumptions!$D$25))),12)=0))),IF(Nonlabor!$I$15="Fixed",1,IF(Nonlabor!$I$15="Seats",ROUNDUP('Monthly Base'!I48,0),IF(Nonlabor!$I$15="Customers",'Monthly Base'!D48,IF(Nonlabor!$I$15="NewCustomers",'Monthly Base'!C48,IF(Nonlabor!$I$15="StorageGB",'Monthly Base'!G48,IF(Nonlabor!$I$15="LogGB",'Monthly Base'!H48,IF(Nonlabor!$I$15="RequestsM",'Monthly Base'!F48,IF(Nonlabor!$I$15="InputM",'Monthly Base'!D48*Assumptions!$D$22/1000000,IF(Nonlabor!$I$15="OutputM",'Monthly Base'!D48*Assumptions!$D$23/1000000,0))))))))),0)</f>
        <v>0</v>
      </c>
      <c r="F1908" s="10" t="n">
        <f aca="false">Nonlabor!$J$15*(1+Assumptions!$D$9)^INT((C1908-1)/12)</f>
        <v>21854.54</v>
      </c>
      <c r="G1908" s="10" t="n">
        <f aca="false">E1908*F1908</f>
        <v>0</v>
      </c>
      <c r="H1908" s="10" t="n">
        <f aca="false">IF(OR(Nonlabor!$L$15="Quote required",Nonlabor!$L$15="Unverified"),G1908,0)</f>
        <v>0</v>
      </c>
      <c r="I1908" s="10" t="n">
        <f aca="false">IF(Nonlabor!$E$15="Core",0,G1908)</f>
        <v>0</v>
      </c>
      <c r="J1908" s="23" t="str">
        <f aca="false">Nonlabor!$B$15</f>
        <v>LEGAL</v>
      </c>
    </row>
    <row r="1909" customFormat="false" ht="15" hidden="false" customHeight="false" outlineLevel="0" collapsed="false">
      <c r="A1909" s="6" t="s">
        <v>4</v>
      </c>
      <c r="B1909" s="6" t="s">
        <v>402</v>
      </c>
      <c r="C1909" s="6" t="n">
        <v>44</v>
      </c>
      <c r="D1909" s="25" t="n">
        <f aca="false">EDATE('Start Here'!$B$6,C1909-1)</f>
        <v>47635</v>
      </c>
      <c r="E1909" s="23" t="n">
        <f aca="false">IF(AND(OR(Nonlabor!$D$15="Both",Nonlabor!$D$15='Start Here'!$B$9),IF(Nonlabor!$E$15="Core",1,IF(Nonlabor!$E$15="AI",'Start Here'!$B$7,'Start Here'!$B$8))=1,C1909&gt;=IF(Nonlabor!$E$15="Core",Nonlabor!$F$15,MAX(Nonlabor!$F$15,IF(Nonlabor!$E$15="AI",Assumptions!$D$24,Assumptions!$D$25))),C1909&lt;=Nonlabor!$G$15,OR(Nonlabor!$H$15="Monthly",AND(Nonlabor!$H$15="Once",C1909=IF(Nonlabor!$E$15="Core",Nonlabor!$F$15,MAX(Nonlabor!$F$15,IF(Nonlabor!$E$15="AI",Assumptions!$D$24,Assumptions!$D$25)))),AND(Nonlabor!$H$15="Annual",MOD(C1909-IF(Nonlabor!$E$15="Core",Nonlabor!$F$15,MAX(Nonlabor!$F$15,IF(Nonlabor!$E$15="AI",Assumptions!$D$24,Assumptions!$D$25))),12)=0))),IF(Nonlabor!$I$15="Fixed",1,IF(Nonlabor!$I$15="Seats",ROUNDUP('Monthly Base'!I49,0),IF(Nonlabor!$I$15="Customers",'Monthly Base'!D49,IF(Nonlabor!$I$15="NewCustomers",'Monthly Base'!C49,IF(Nonlabor!$I$15="StorageGB",'Monthly Base'!G49,IF(Nonlabor!$I$15="LogGB",'Monthly Base'!H49,IF(Nonlabor!$I$15="RequestsM",'Monthly Base'!F49,IF(Nonlabor!$I$15="InputM",'Monthly Base'!D49*Assumptions!$D$22/1000000,IF(Nonlabor!$I$15="OutputM",'Monthly Base'!D49*Assumptions!$D$23/1000000,0))))))))),0)</f>
        <v>0</v>
      </c>
      <c r="F1909" s="10" t="n">
        <f aca="false">Nonlabor!$J$15*(1+Assumptions!$D$9)^INT((C1909-1)/12)</f>
        <v>21854.54</v>
      </c>
      <c r="G1909" s="10" t="n">
        <f aca="false">E1909*F1909</f>
        <v>0</v>
      </c>
      <c r="H1909" s="10" t="n">
        <f aca="false">IF(OR(Nonlabor!$L$15="Quote required",Nonlabor!$L$15="Unverified"),G1909,0)</f>
        <v>0</v>
      </c>
      <c r="I1909" s="10" t="n">
        <f aca="false">IF(Nonlabor!$E$15="Core",0,G1909)</f>
        <v>0</v>
      </c>
      <c r="J1909" s="23" t="str">
        <f aca="false">Nonlabor!$B$15</f>
        <v>LEGAL</v>
      </c>
    </row>
    <row r="1910" customFormat="false" ht="15" hidden="false" customHeight="false" outlineLevel="0" collapsed="false">
      <c r="A1910" s="6" t="s">
        <v>4</v>
      </c>
      <c r="B1910" s="6" t="s">
        <v>402</v>
      </c>
      <c r="C1910" s="6" t="n">
        <v>45</v>
      </c>
      <c r="D1910" s="25" t="n">
        <f aca="false">EDATE('Start Here'!$B$6,C1910-1)</f>
        <v>47665</v>
      </c>
      <c r="E1910" s="23" t="n">
        <f aca="false">IF(AND(OR(Nonlabor!$D$15="Both",Nonlabor!$D$15='Start Here'!$B$9),IF(Nonlabor!$E$15="Core",1,IF(Nonlabor!$E$15="AI",'Start Here'!$B$7,'Start Here'!$B$8))=1,C1910&gt;=IF(Nonlabor!$E$15="Core",Nonlabor!$F$15,MAX(Nonlabor!$F$15,IF(Nonlabor!$E$15="AI",Assumptions!$D$24,Assumptions!$D$25))),C1910&lt;=Nonlabor!$G$15,OR(Nonlabor!$H$15="Monthly",AND(Nonlabor!$H$15="Once",C1910=IF(Nonlabor!$E$15="Core",Nonlabor!$F$15,MAX(Nonlabor!$F$15,IF(Nonlabor!$E$15="AI",Assumptions!$D$24,Assumptions!$D$25)))),AND(Nonlabor!$H$15="Annual",MOD(C1910-IF(Nonlabor!$E$15="Core",Nonlabor!$F$15,MAX(Nonlabor!$F$15,IF(Nonlabor!$E$15="AI",Assumptions!$D$24,Assumptions!$D$25))),12)=0))),IF(Nonlabor!$I$15="Fixed",1,IF(Nonlabor!$I$15="Seats",ROUNDUP('Monthly Base'!I50,0),IF(Nonlabor!$I$15="Customers",'Monthly Base'!D50,IF(Nonlabor!$I$15="NewCustomers",'Monthly Base'!C50,IF(Nonlabor!$I$15="StorageGB",'Monthly Base'!G50,IF(Nonlabor!$I$15="LogGB",'Monthly Base'!H50,IF(Nonlabor!$I$15="RequestsM",'Monthly Base'!F50,IF(Nonlabor!$I$15="InputM",'Monthly Base'!D50*Assumptions!$D$22/1000000,IF(Nonlabor!$I$15="OutputM",'Monthly Base'!D50*Assumptions!$D$23/1000000,0))))))))),0)</f>
        <v>0</v>
      </c>
      <c r="F1910" s="10" t="n">
        <f aca="false">Nonlabor!$J$15*(1+Assumptions!$D$9)^INT((C1910-1)/12)</f>
        <v>21854.54</v>
      </c>
      <c r="G1910" s="10" t="n">
        <f aca="false">E1910*F1910</f>
        <v>0</v>
      </c>
      <c r="H1910" s="10" t="n">
        <f aca="false">IF(OR(Nonlabor!$L$15="Quote required",Nonlabor!$L$15="Unverified"),G1910,0)</f>
        <v>0</v>
      </c>
      <c r="I1910" s="10" t="n">
        <f aca="false">IF(Nonlabor!$E$15="Core",0,G1910)</f>
        <v>0</v>
      </c>
      <c r="J1910" s="23" t="str">
        <f aca="false">Nonlabor!$B$15</f>
        <v>LEGAL</v>
      </c>
    </row>
    <row r="1911" customFormat="false" ht="15" hidden="false" customHeight="false" outlineLevel="0" collapsed="false">
      <c r="A1911" s="6" t="s">
        <v>4</v>
      </c>
      <c r="B1911" s="6" t="s">
        <v>402</v>
      </c>
      <c r="C1911" s="6" t="n">
        <v>46</v>
      </c>
      <c r="D1911" s="25" t="n">
        <f aca="false">EDATE('Start Here'!$B$6,C1911-1)</f>
        <v>47696</v>
      </c>
      <c r="E1911" s="23" t="n">
        <f aca="false">IF(AND(OR(Nonlabor!$D$15="Both",Nonlabor!$D$15='Start Here'!$B$9),IF(Nonlabor!$E$15="Core",1,IF(Nonlabor!$E$15="AI",'Start Here'!$B$7,'Start Here'!$B$8))=1,C1911&gt;=IF(Nonlabor!$E$15="Core",Nonlabor!$F$15,MAX(Nonlabor!$F$15,IF(Nonlabor!$E$15="AI",Assumptions!$D$24,Assumptions!$D$25))),C1911&lt;=Nonlabor!$G$15,OR(Nonlabor!$H$15="Monthly",AND(Nonlabor!$H$15="Once",C1911=IF(Nonlabor!$E$15="Core",Nonlabor!$F$15,MAX(Nonlabor!$F$15,IF(Nonlabor!$E$15="AI",Assumptions!$D$24,Assumptions!$D$25)))),AND(Nonlabor!$H$15="Annual",MOD(C1911-IF(Nonlabor!$E$15="Core",Nonlabor!$F$15,MAX(Nonlabor!$F$15,IF(Nonlabor!$E$15="AI",Assumptions!$D$24,Assumptions!$D$25))),12)=0))),IF(Nonlabor!$I$15="Fixed",1,IF(Nonlabor!$I$15="Seats",ROUNDUP('Monthly Base'!I51,0),IF(Nonlabor!$I$15="Customers",'Monthly Base'!D51,IF(Nonlabor!$I$15="NewCustomers",'Monthly Base'!C51,IF(Nonlabor!$I$15="StorageGB",'Monthly Base'!G51,IF(Nonlabor!$I$15="LogGB",'Monthly Base'!H51,IF(Nonlabor!$I$15="RequestsM",'Monthly Base'!F51,IF(Nonlabor!$I$15="InputM",'Monthly Base'!D51*Assumptions!$D$22/1000000,IF(Nonlabor!$I$15="OutputM",'Monthly Base'!D51*Assumptions!$D$23/1000000,0))))))))),0)</f>
        <v>0</v>
      </c>
      <c r="F1911" s="10" t="n">
        <f aca="false">Nonlabor!$J$15*(1+Assumptions!$D$9)^INT((C1911-1)/12)</f>
        <v>21854.54</v>
      </c>
      <c r="G1911" s="10" t="n">
        <f aca="false">E1911*F1911</f>
        <v>0</v>
      </c>
      <c r="H1911" s="10" t="n">
        <f aca="false">IF(OR(Nonlabor!$L$15="Quote required",Nonlabor!$L$15="Unverified"),G1911,0)</f>
        <v>0</v>
      </c>
      <c r="I1911" s="10" t="n">
        <f aca="false">IF(Nonlabor!$E$15="Core",0,G1911)</f>
        <v>0</v>
      </c>
      <c r="J1911" s="23" t="str">
        <f aca="false">Nonlabor!$B$15</f>
        <v>LEGAL</v>
      </c>
    </row>
    <row r="1912" customFormat="false" ht="15" hidden="false" customHeight="false" outlineLevel="0" collapsed="false">
      <c r="A1912" s="6" t="s">
        <v>4</v>
      </c>
      <c r="B1912" s="6" t="s">
        <v>402</v>
      </c>
      <c r="C1912" s="6" t="n">
        <v>47</v>
      </c>
      <c r="D1912" s="25" t="n">
        <f aca="false">EDATE('Start Here'!$B$6,C1912-1)</f>
        <v>47727</v>
      </c>
      <c r="E1912" s="23" t="n">
        <f aca="false">IF(AND(OR(Nonlabor!$D$15="Both",Nonlabor!$D$15='Start Here'!$B$9),IF(Nonlabor!$E$15="Core",1,IF(Nonlabor!$E$15="AI",'Start Here'!$B$7,'Start Here'!$B$8))=1,C1912&gt;=IF(Nonlabor!$E$15="Core",Nonlabor!$F$15,MAX(Nonlabor!$F$15,IF(Nonlabor!$E$15="AI",Assumptions!$D$24,Assumptions!$D$25))),C1912&lt;=Nonlabor!$G$15,OR(Nonlabor!$H$15="Monthly",AND(Nonlabor!$H$15="Once",C1912=IF(Nonlabor!$E$15="Core",Nonlabor!$F$15,MAX(Nonlabor!$F$15,IF(Nonlabor!$E$15="AI",Assumptions!$D$24,Assumptions!$D$25)))),AND(Nonlabor!$H$15="Annual",MOD(C1912-IF(Nonlabor!$E$15="Core",Nonlabor!$F$15,MAX(Nonlabor!$F$15,IF(Nonlabor!$E$15="AI",Assumptions!$D$24,Assumptions!$D$25))),12)=0))),IF(Nonlabor!$I$15="Fixed",1,IF(Nonlabor!$I$15="Seats",ROUNDUP('Monthly Base'!I52,0),IF(Nonlabor!$I$15="Customers",'Monthly Base'!D52,IF(Nonlabor!$I$15="NewCustomers",'Monthly Base'!C52,IF(Nonlabor!$I$15="StorageGB",'Monthly Base'!G52,IF(Nonlabor!$I$15="LogGB",'Monthly Base'!H52,IF(Nonlabor!$I$15="RequestsM",'Monthly Base'!F52,IF(Nonlabor!$I$15="InputM",'Monthly Base'!D52*Assumptions!$D$22/1000000,IF(Nonlabor!$I$15="OutputM",'Monthly Base'!D52*Assumptions!$D$23/1000000,0))))))))),0)</f>
        <v>0</v>
      </c>
      <c r="F1912" s="10" t="n">
        <f aca="false">Nonlabor!$J$15*(1+Assumptions!$D$9)^INT((C1912-1)/12)</f>
        <v>21854.54</v>
      </c>
      <c r="G1912" s="10" t="n">
        <f aca="false">E1912*F1912</f>
        <v>0</v>
      </c>
      <c r="H1912" s="10" t="n">
        <f aca="false">IF(OR(Nonlabor!$L$15="Quote required",Nonlabor!$L$15="Unverified"),G1912,0)</f>
        <v>0</v>
      </c>
      <c r="I1912" s="10" t="n">
        <f aca="false">IF(Nonlabor!$E$15="Core",0,G1912)</f>
        <v>0</v>
      </c>
      <c r="J1912" s="23" t="str">
        <f aca="false">Nonlabor!$B$15</f>
        <v>LEGAL</v>
      </c>
    </row>
    <row r="1913" customFormat="false" ht="15" hidden="false" customHeight="false" outlineLevel="0" collapsed="false">
      <c r="A1913" s="6" t="s">
        <v>4</v>
      </c>
      <c r="B1913" s="6" t="s">
        <v>402</v>
      </c>
      <c r="C1913" s="6" t="n">
        <v>48</v>
      </c>
      <c r="D1913" s="25" t="n">
        <f aca="false">EDATE('Start Here'!$B$6,C1913-1)</f>
        <v>47757</v>
      </c>
      <c r="E1913" s="23" t="n">
        <f aca="false">IF(AND(OR(Nonlabor!$D$15="Both",Nonlabor!$D$15='Start Here'!$B$9),IF(Nonlabor!$E$15="Core",1,IF(Nonlabor!$E$15="AI",'Start Here'!$B$7,'Start Here'!$B$8))=1,C1913&gt;=IF(Nonlabor!$E$15="Core",Nonlabor!$F$15,MAX(Nonlabor!$F$15,IF(Nonlabor!$E$15="AI",Assumptions!$D$24,Assumptions!$D$25))),C1913&lt;=Nonlabor!$G$15,OR(Nonlabor!$H$15="Monthly",AND(Nonlabor!$H$15="Once",C1913=IF(Nonlabor!$E$15="Core",Nonlabor!$F$15,MAX(Nonlabor!$F$15,IF(Nonlabor!$E$15="AI",Assumptions!$D$24,Assumptions!$D$25)))),AND(Nonlabor!$H$15="Annual",MOD(C1913-IF(Nonlabor!$E$15="Core",Nonlabor!$F$15,MAX(Nonlabor!$F$15,IF(Nonlabor!$E$15="AI",Assumptions!$D$24,Assumptions!$D$25))),12)=0))),IF(Nonlabor!$I$15="Fixed",1,IF(Nonlabor!$I$15="Seats",ROUNDUP('Monthly Base'!I53,0),IF(Nonlabor!$I$15="Customers",'Monthly Base'!D53,IF(Nonlabor!$I$15="NewCustomers",'Monthly Base'!C53,IF(Nonlabor!$I$15="StorageGB",'Monthly Base'!G53,IF(Nonlabor!$I$15="LogGB",'Monthly Base'!H53,IF(Nonlabor!$I$15="RequestsM",'Monthly Base'!F53,IF(Nonlabor!$I$15="InputM",'Monthly Base'!D53*Assumptions!$D$22/1000000,IF(Nonlabor!$I$15="OutputM",'Monthly Base'!D53*Assumptions!$D$23/1000000,0))))))))),0)</f>
        <v>0</v>
      </c>
      <c r="F1913" s="10" t="n">
        <f aca="false">Nonlabor!$J$15*(1+Assumptions!$D$9)^INT((C1913-1)/12)</f>
        <v>21854.54</v>
      </c>
      <c r="G1913" s="10" t="n">
        <f aca="false">E1913*F1913</f>
        <v>0</v>
      </c>
      <c r="H1913" s="10" t="n">
        <f aca="false">IF(OR(Nonlabor!$L$15="Quote required",Nonlabor!$L$15="Unverified"),G1913,0)</f>
        <v>0</v>
      </c>
      <c r="I1913" s="10" t="n">
        <f aca="false">IF(Nonlabor!$E$15="Core",0,G1913)</f>
        <v>0</v>
      </c>
      <c r="J1913" s="23" t="str">
        <f aca="false">Nonlabor!$B$15</f>
        <v>LEGAL</v>
      </c>
    </row>
    <row r="1914" customFormat="false" ht="15" hidden="false" customHeight="false" outlineLevel="0" collapsed="false">
      <c r="A1914" s="6" t="s">
        <v>4</v>
      </c>
      <c r="B1914" s="6" t="s">
        <v>402</v>
      </c>
      <c r="C1914" s="6" t="n">
        <v>49</v>
      </c>
      <c r="D1914" s="25" t="n">
        <f aca="false">EDATE('Start Here'!$B$6,C1914-1)</f>
        <v>47788</v>
      </c>
      <c r="E1914" s="23" t="n">
        <f aca="false">IF(AND(OR(Nonlabor!$D$15="Both",Nonlabor!$D$15='Start Here'!$B$9),IF(Nonlabor!$E$15="Core",1,IF(Nonlabor!$E$15="AI",'Start Here'!$B$7,'Start Here'!$B$8))=1,C1914&gt;=IF(Nonlabor!$E$15="Core",Nonlabor!$F$15,MAX(Nonlabor!$F$15,IF(Nonlabor!$E$15="AI",Assumptions!$D$24,Assumptions!$D$25))),C1914&lt;=Nonlabor!$G$15,OR(Nonlabor!$H$15="Monthly",AND(Nonlabor!$H$15="Once",C1914=IF(Nonlabor!$E$15="Core",Nonlabor!$F$15,MAX(Nonlabor!$F$15,IF(Nonlabor!$E$15="AI",Assumptions!$D$24,Assumptions!$D$25)))),AND(Nonlabor!$H$15="Annual",MOD(C1914-IF(Nonlabor!$E$15="Core",Nonlabor!$F$15,MAX(Nonlabor!$F$15,IF(Nonlabor!$E$15="AI",Assumptions!$D$24,Assumptions!$D$25))),12)=0))),IF(Nonlabor!$I$15="Fixed",1,IF(Nonlabor!$I$15="Seats",ROUNDUP('Monthly Base'!I54,0),IF(Nonlabor!$I$15="Customers",'Monthly Base'!D54,IF(Nonlabor!$I$15="NewCustomers",'Monthly Base'!C54,IF(Nonlabor!$I$15="StorageGB",'Monthly Base'!G54,IF(Nonlabor!$I$15="LogGB",'Monthly Base'!H54,IF(Nonlabor!$I$15="RequestsM",'Monthly Base'!F54,IF(Nonlabor!$I$15="InputM",'Monthly Base'!D54*Assumptions!$D$22/1000000,IF(Nonlabor!$I$15="OutputM",'Monthly Base'!D54*Assumptions!$D$23/1000000,0))))))))),0)</f>
        <v>0</v>
      </c>
      <c r="F1914" s="10" t="n">
        <f aca="false">Nonlabor!$J$15*(1+Assumptions!$D$9)^INT((C1914-1)/12)</f>
        <v>22510.1762</v>
      </c>
      <c r="G1914" s="10" t="n">
        <f aca="false">E1914*F1914</f>
        <v>0</v>
      </c>
      <c r="H1914" s="10" t="n">
        <f aca="false">IF(OR(Nonlabor!$L$15="Quote required",Nonlabor!$L$15="Unverified"),G1914,0)</f>
        <v>0</v>
      </c>
      <c r="I1914" s="10" t="n">
        <f aca="false">IF(Nonlabor!$E$15="Core",0,G1914)</f>
        <v>0</v>
      </c>
      <c r="J1914" s="23" t="str">
        <f aca="false">Nonlabor!$B$15</f>
        <v>LEGAL</v>
      </c>
    </row>
    <row r="1915" customFormat="false" ht="15" hidden="false" customHeight="false" outlineLevel="0" collapsed="false">
      <c r="A1915" s="6" t="s">
        <v>4</v>
      </c>
      <c r="B1915" s="6" t="s">
        <v>402</v>
      </c>
      <c r="C1915" s="6" t="n">
        <v>50</v>
      </c>
      <c r="D1915" s="25" t="n">
        <f aca="false">EDATE('Start Here'!$B$6,C1915-1)</f>
        <v>47818</v>
      </c>
      <c r="E1915" s="23" t="n">
        <f aca="false">IF(AND(OR(Nonlabor!$D$15="Both",Nonlabor!$D$15='Start Here'!$B$9),IF(Nonlabor!$E$15="Core",1,IF(Nonlabor!$E$15="AI",'Start Here'!$B$7,'Start Here'!$B$8))=1,C1915&gt;=IF(Nonlabor!$E$15="Core",Nonlabor!$F$15,MAX(Nonlabor!$F$15,IF(Nonlabor!$E$15="AI",Assumptions!$D$24,Assumptions!$D$25))),C1915&lt;=Nonlabor!$G$15,OR(Nonlabor!$H$15="Monthly",AND(Nonlabor!$H$15="Once",C1915=IF(Nonlabor!$E$15="Core",Nonlabor!$F$15,MAX(Nonlabor!$F$15,IF(Nonlabor!$E$15="AI",Assumptions!$D$24,Assumptions!$D$25)))),AND(Nonlabor!$H$15="Annual",MOD(C1915-IF(Nonlabor!$E$15="Core",Nonlabor!$F$15,MAX(Nonlabor!$F$15,IF(Nonlabor!$E$15="AI",Assumptions!$D$24,Assumptions!$D$25))),12)=0))),IF(Nonlabor!$I$15="Fixed",1,IF(Nonlabor!$I$15="Seats",ROUNDUP('Monthly Base'!I55,0),IF(Nonlabor!$I$15="Customers",'Monthly Base'!D55,IF(Nonlabor!$I$15="NewCustomers",'Monthly Base'!C55,IF(Nonlabor!$I$15="StorageGB",'Monthly Base'!G55,IF(Nonlabor!$I$15="LogGB",'Monthly Base'!H55,IF(Nonlabor!$I$15="RequestsM",'Monthly Base'!F55,IF(Nonlabor!$I$15="InputM",'Monthly Base'!D55*Assumptions!$D$22/1000000,IF(Nonlabor!$I$15="OutputM",'Monthly Base'!D55*Assumptions!$D$23/1000000,0))))))))),0)</f>
        <v>0</v>
      </c>
      <c r="F1915" s="10" t="n">
        <f aca="false">Nonlabor!$J$15*(1+Assumptions!$D$9)^INT((C1915-1)/12)</f>
        <v>22510.1762</v>
      </c>
      <c r="G1915" s="10" t="n">
        <f aca="false">E1915*F1915</f>
        <v>0</v>
      </c>
      <c r="H1915" s="10" t="n">
        <f aca="false">IF(OR(Nonlabor!$L$15="Quote required",Nonlabor!$L$15="Unverified"),G1915,0)</f>
        <v>0</v>
      </c>
      <c r="I1915" s="10" t="n">
        <f aca="false">IF(Nonlabor!$E$15="Core",0,G1915)</f>
        <v>0</v>
      </c>
      <c r="J1915" s="23" t="str">
        <f aca="false">Nonlabor!$B$15</f>
        <v>LEGAL</v>
      </c>
    </row>
    <row r="1916" customFormat="false" ht="15" hidden="false" customHeight="false" outlineLevel="0" collapsed="false">
      <c r="A1916" s="6" t="s">
        <v>4</v>
      </c>
      <c r="B1916" s="6" t="s">
        <v>402</v>
      </c>
      <c r="C1916" s="6" t="n">
        <v>51</v>
      </c>
      <c r="D1916" s="25" t="n">
        <f aca="false">EDATE('Start Here'!$B$6,C1916-1)</f>
        <v>47849</v>
      </c>
      <c r="E1916" s="23" t="n">
        <f aca="false">IF(AND(OR(Nonlabor!$D$15="Both",Nonlabor!$D$15='Start Here'!$B$9),IF(Nonlabor!$E$15="Core",1,IF(Nonlabor!$E$15="AI",'Start Here'!$B$7,'Start Here'!$B$8))=1,C1916&gt;=IF(Nonlabor!$E$15="Core",Nonlabor!$F$15,MAX(Nonlabor!$F$15,IF(Nonlabor!$E$15="AI",Assumptions!$D$24,Assumptions!$D$25))),C1916&lt;=Nonlabor!$G$15,OR(Nonlabor!$H$15="Monthly",AND(Nonlabor!$H$15="Once",C1916=IF(Nonlabor!$E$15="Core",Nonlabor!$F$15,MAX(Nonlabor!$F$15,IF(Nonlabor!$E$15="AI",Assumptions!$D$24,Assumptions!$D$25)))),AND(Nonlabor!$H$15="Annual",MOD(C1916-IF(Nonlabor!$E$15="Core",Nonlabor!$F$15,MAX(Nonlabor!$F$15,IF(Nonlabor!$E$15="AI",Assumptions!$D$24,Assumptions!$D$25))),12)=0))),IF(Nonlabor!$I$15="Fixed",1,IF(Nonlabor!$I$15="Seats",ROUNDUP('Monthly Base'!I56,0),IF(Nonlabor!$I$15="Customers",'Monthly Base'!D56,IF(Nonlabor!$I$15="NewCustomers",'Monthly Base'!C56,IF(Nonlabor!$I$15="StorageGB",'Monthly Base'!G56,IF(Nonlabor!$I$15="LogGB",'Monthly Base'!H56,IF(Nonlabor!$I$15="RequestsM",'Monthly Base'!F56,IF(Nonlabor!$I$15="InputM",'Monthly Base'!D56*Assumptions!$D$22/1000000,IF(Nonlabor!$I$15="OutputM",'Monthly Base'!D56*Assumptions!$D$23/1000000,0))))))))),0)</f>
        <v>0</v>
      </c>
      <c r="F1916" s="10" t="n">
        <f aca="false">Nonlabor!$J$15*(1+Assumptions!$D$9)^INT((C1916-1)/12)</f>
        <v>22510.1762</v>
      </c>
      <c r="G1916" s="10" t="n">
        <f aca="false">E1916*F1916</f>
        <v>0</v>
      </c>
      <c r="H1916" s="10" t="n">
        <f aca="false">IF(OR(Nonlabor!$L$15="Quote required",Nonlabor!$L$15="Unverified"),G1916,0)</f>
        <v>0</v>
      </c>
      <c r="I1916" s="10" t="n">
        <f aca="false">IF(Nonlabor!$E$15="Core",0,G1916)</f>
        <v>0</v>
      </c>
      <c r="J1916" s="23" t="str">
        <f aca="false">Nonlabor!$B$15</f>
        <v>LEGAL</v>
      </c>
    </row>
    <row r="1917" customFormat="false" ht="15" hidden="false" customHeight="false" outlineLevel="0" collapsed="false">
      <c r="A1917" s="6" t="s">
        <v>4</v>
      </c>
      <c r="B1917" s="6" t="s">
        <v>402</v>
      </c>
      <c r="C1917" s="6" t="n">
        <v>52</v>
      </c>
      <c r="D1917" s="25" t="n">
        <f aca="false">EDATE('Start Here'!$B$6,C1917-1)</f>
        <v>47880</v>
      </c>
      <c r="E1917" s="23" t="n">
        <f aca="false">IF(AND(OR(Nonlabor!$D$15="Both",Nonlabor!$D$15='Start Here'!$B$9),IF(Nonlabor!$E$15="Core",1,IF(Nonlabor!$E$15="AI",'Start Here'!$B$7,'Start Here'!$B$8))=1,C1917&gt;=IF(Nonlabor!$E$15="Core",Nonlabor!$F$15,MAX(Nonlabor!$F$15,IF(Nonlabor!$E$15="AI",Assumptions!$D$24,Assumptions!$D$25))),C1917&lt;=Nonlabor!$G$15,OR(Nonlabor!$H$15="Monthly",AND(Nonlabor!$H$15="Once",C1917=IF(Nonlabor!$E$15="Core",Nonlabor!$F$15,MAX(Nonlabor!$F$15,IF(Nonlabor!$E$15="AI",Assumptions!$D$24,Assumptions!$D$25)))),AND(Nonlabor!$H$15="Annual",MOD(C1917-IF(Nonlabor!$E$15="Core",Nonlabor!$F$15,MAX(Nonlabor!$F$15,IF(Nonlabor!$E$15="AI",Assumptions!$D$24,Assumptions!$D$25))),12)=0))),IF(Nonlabor!$I$15="Fixed",1,IF(Nonlabor!$I$15="Seats",ROUNDUP('Monthly Base'!I57,0),IF(Nonlabor!$I$15="Customers",'Monthly Base'!D57,IF(Nonlabor!$I$15="NewCustomers",'Monthly Base'!C57,IF(Nonlabor!$I$15="StorageGB",'Monthly Base'!G57,IF(Nonlabor!$I$15="LogGB",'Monthly Base'!H57,IF(Nonlabor!$I$15="RequestsM",'Monthly Base'!F57,IF(Nonlabor!$I$15="InputM",'Monthly Base'!D57*Assumptions!$D$22/1000000,IF(Nonlabor!$I$15="OutputM",'Monthly Base'!D57*Assumptions!$D$23/1000000,0))))))))),0)</f>
        <v>0</v>
      </c>
      <c r="F1917" s="10" t="n">
        <f aca="false">Nonlabor!$J$15*(1+Assumptions!$D$9)^INT((C1917-1)/12)</f>
        <v>22510.1762</v>
      </c>
      <c r="G1917" s="10" t="n">
        <f aca="false">E1917*F1917</f>
        <v>0</v>
      </c>
      <c r="H1917" s="10" t="n">
        <f aca="false">IF(OR(Nonlabor!$L$15="Quote required",Nonlabor!$L$15="Unverified"),G1917,0)</f>
        <v>0</v>
      </c>
      <c r="I1917" s="10" t="n">
        <f aca="false">IF(Nonlabor!$E$15="Core",0,G1917)</f>
        <v>0</v>
      </c>
      <c r="J1917" s="23" t="str">
        <f aca="false">Nonlabor!$B$15</f>
        <v>LEGAL</v>
      </c>
    </row>
    <row r="1918" customFormat="false" ht="15" hidden="false" customHeight="false" outlineLevel="0" collapsed="false">
      <c r="A1918" s="6" t="s">
        <v>4</v>
      </c>
      <c r="B1918" s="6" t="s">
        <v>402</v>
      </c>
      <c r="C1918" s="6" t="n">
        <v>53</v>
      </c>
      <c r="D1918" s="25" t="n">
        <f aca="false">EDATE('Start Here'!$B$6,C1918-1)</f>
        <v>47908</v>
      </c>
      <c r="E1918" s="23" t="n">
        <f aca="false">IF(AND(OR(Nonlabor!$D$15="Both",Nonlabor!$D$15='Start Here'!$B$9),IF(Nonlabor!$E$15="Core",1,IF(Nonlabor!$E$15="AI",'Start Here'!$B$7,'Start Here'!$B$8))=1,C1918&gt;=IF(Nonlabor!$E$15="Core",Nonlabor!$F$15,MAX(Nonlabor!$F$15,IF(Nonlabor!$E$15="AI",Assumptions!$D$24,Assumptions!$D$25))),C1918&lt;=Nonlabor!$G$15,OR(Nonlabor!$H$15="Monthly",AND(Nonlabor!$H$15="Once",C1918=IF(Nonlabor!$E$15="Core",Nonlabor!$F$15,MAX(Nonlabor!$F$15,IF(Nonlabor!$E$15="AI",Assumptions!$D$24,Assumptions!$D$25)))),AND(Nonlabor!$H$15="Annual",MOD(C1918-IF(Nonlabor!$E$15="Core",Nonlabor!$F$15,MAX(Nonlabor!$F$15,IF(Nonlabor!$E$15="AI",Assumptions!$D$24,Assumptions!$D$25))),12)=0))),IF(Nonlabor!$I$15="Fixed",1,IF(Nonlabor!$I$15="Seats",ROUNDUP('Monthly Base'!I58,0),IF(Nonlabor!$I$15="Customers",'Monthly Base'!D58,IF(Nonlabor!$I$15="NewCustomers",'Monthly Base'!C58,IF(Nonlabor!$I$15="StorageGB",'Monthly Base'!G58,IF(Nonlabor!$I$15="LogGB",'Monthly Base'!H58,IF(Nonlabor!$I$15="RequestsM",'Monthly Base'!F58,IF(Nonlabor!$I$15="InputM",'Monthly Base'!D58*Assumptions!$D$22/1000000,IF(Nonlabor!$I$15="OutputM",'Monthly Base'!D58*Assumptions!$D$23/1000000,0))))))))),0)</f>
        <v>0</v>
      </c>
      <c r="F1918" s="10" t="n">
        <f aca="false">Nonlabor!$J$15*(1+Assumptions!$D$9)^INT((C1918-1)/12)</f>
        <v>22510.1762</v>
      </c>
      <c r="G1918" s="10" t="n">
        <f aca="false">E1918*F1918</f>
        <v>0</v>
      </c>
      <c r="H1918" s="10" t="n">
        <f aca="false">IF(OR(Nonlabor!$L$15="Quote required",Nonlabor!$L$15="Unverified"),G1918,0)</f>
        <v>0</v>
      </c>
      <c r="I1918" s="10" t="n">
        <f aca="false">IF(Nonlabor!$E$15="Core",0,G1918)</f>
        <v>0</v>
      </c>
      <c r="J1918" s="23" t="str">
        <f aca="false">Nonlabor!$B$15</f>
        <v>LEGAL</v>
      </c>
    </row>
    <row r="1919" customFormat="false" ht="15" hidden="false" customHeight="false" outlineLevel="0" collapsed="false">
      <c r="A1919" s="6" t="s">
        <v>4</v>
      </c>
      <c r="B1919" s="6" t="s">
        <v>402</v>
      </c>
      <c r="C1919" s="6" t="n">
        <v>54</v>
      </c>
      <c r="D1919" s="25" t="n">
        <f aca="false">EDATE('Start Here'!$B$6,C1919-1)</f>
        <v>47939</v>
      </c>
      <c r="E1919" s="23" t="n">
        <f aca="false">IF(AND(OR(Nonlabor!$D$15="Both",Nonlabor!$D$15='Start Here'!$B$9),IF(Nonlabor!$E$15="Core",1,IF(Nonlabor!$E$15="AI",'Start Here'!$B$7,'Start Here'!$B$8))=1,C1919&gt;=IF(Nonlabor!$E$15="Core",Nonlabor!$F$15,MAX(Nonlabor!$F$15,IF(Nonlabor!$E$15="AI",Assumptions!$D$24,Assumptions!$D$25))),C1919&lt;=Nonlabor!$G$15,OR(Nonlabor!$H$15="Monthly",AND(Nonlabor!$H$15="Once",C1919=IF(Nonlabor!$E$15="Core",Nonlabor!$F$15,MAX(Nonlabor!$F$15,IF(Nonlabor!$E$15="AI",Assumptions!$D$24,Assumptions!$D$25)))),AND(Nonlabor!$H$15="Annual",MOD(C1919-IF(Nonlabor!$E$15="Core",Nonlabor!$F$15,MAX(Nonlabor!$F$15,IF(Nonlabor!$E$15="AI",Assumptions!$D$24,Assumptions!$D$25))),12)=0))),IF(Nonlabor!$I$15="Fixed",1,IF(Nonlabor!$I$15="Seats",ROUNDUP('Monthly Base'!I59,0),IF(Nonlabor!$I$15="Customers",'Monthly Base'!D59,IF(Nonlabor!$I$15="NewCustomers",'Monthly Base'!C59,IF(Nonlabor!$I$15="StorageGB",'Monthly Base'!G59,IF(Nonlabor!$I$15="LogGB",'Monthly Base'!H59,IF(Nonlabor!$I$15="RequestsM",'Monthly Base'!F59,IF(Nonlabor!$I$15="InputM",'Monthly Base'!D59*Assumptions!$D$22/1000000,IF(Nonlabor!$I$15="OutputM",'Monthly Base'!D59*Assumptions!$D$23/1000000,0))))))))),0)</f>
        <v>0</v>
      </c>
      <c r="F1919" s="10" t="n">
        <f aca="false">Nonlabor!$J$15*(1+Assumptions!$D$9)^INT((C1919-1)/12)</f>
        <v>22510.1762</v>
      </c>
      <c r="G1919" s="10" t="n">
        <f aca="false">E1919*F1919</f>
        <v>0</v>
      </c>
      <c r="H1919" s="10" t="n">
        <f aca="false">IF(OR(Nonlabor!$L$15="Quote required",Nonlabor!$L$15="Unverified"),G1919,0)</f>
        <v>0</v>
      </c>
      <c r="I1919" s="10" t="n">
        <f aca="false">IF(Nonlabor!$E$15="Core",0,G1919)</f>
        <v>0</v>
      </c>
      <c r="J1919" s="23" t="str">
        <f aca="false">Nonlabor!$B$15</f>
        <v>LEGAL</v>
      </c>
    </row>
    <row r="1920" customFormat="false" ht="15" hidden="false" customHeight="false" outlineLevel="0" collapsed="false">
      <c r="A1920" s="6" t="s">
        <v>4</v>
      </c>
      <c r="B1920" s="6" t="s">
        <v>402</v>
      </c>
      <c r="C1920" s="6" t="n">
        <v>55</v>
      </c>
      <c r="D1920" s="25" t="n">
        <f aca="false">EDATE('Start Here'!$B$6,C1920-1)</f>
        <v>47969</v>
      </c>
      <c r="E1920" s="23" t="n">
        <f aca="false">IF(AND(OR(Nonlabor!$D$15="Both",Nonlabor!$D$15='Start Here'!$B$9),IF(Nonlabor!$E$15="Core",1,IF(Nonlabor!$E$15="AI",'Start Here'!$B$7,'Start Here'!$B$8))=1,C1920&gt;=IF(Nonlabor!$E$15="Core",Nonlabor!$F$15,MAX(Nonlabor!$F$15,IF(Nonlabor!$E$15="AI",Assumptions!$D$24,Assumptions!$D$25))),C1920&lt;=Nonlabor!$G$15,OR(Nonlabor!$H$15="Monthly",AND(Nonlabor!$H$15="Once",C1920=IF(Nonlabor!$E$15="Core",Nonlabor!$F$15,MAX(Nonlabor!$F$15,IF(Nonlabor!$E$15="AI",Assumptions!$D$24,Assumptions!$D$25)))),AND(Nonlabor!$H$15="Annual",MOD(C1920-IF(Nonlabor!$E$15="Core",Nonlabor!$F$15,MAX(Nonlabor!$F$15,IF(Nonlabor!$E$15="AI",Assumptions!$D$24,Assumptions!$D$25))),12)=0))),IF(Nonlabor!$I$15="Fixed",1,IF(Nonlabor!$I$15="Seats",ROUNDUP('Monthly Base'!I60,0),IF(Nonlabor!$I$15="Customers",'Monthly Base'!D60,IF(Nonlabor!$I$15="NewCustomers",'Monthly Base'!C60,IF(Nonlabor!$I$15="StorageGB",'Monthly Base'!G60,IF(Nonlabor!$I$15="LogGB",'Monthly Base'!H60,IF(Nonlabor!$I$15="RequestsM",'Monthly Base'!F60,IF(Nonlabor!$I$15="InputM",'Monthly Base'!D60*Assumptions!$D$22/1000000,IF(Nonlabor!$I$15="OutputM",'Monthly Base'!D60*Assumptions!$D$23/1000000,0))))))))),0)</f>
        <v>0</v>
      </c>
      <c r="F1920" s="10" t="n">
        <f aca="false">Nonlabor!$J$15*(1+Assumptions!$D$9)^INT((C1920-1)/12)</f>
        <v>22510.1762</v>
      </c>
      <c r="G1920" s="10" t="n">
        <f aca="false">E1920*F1920</f>
        <v>0</v>
      </c>
      <c r="H1920" s="10" t="n">
        <f aca="false">IF(OR(Nonlabor!$L$15="Quote required",Nonlabor!$L$15="Unverified"),G1920,0)</f>
        <v>0</v>
      </c>
      <c r="I1920" s="10" t="n">
        <f aca="false">IF(Nonlabor!$E$15="Core",0,G1920)</f>
        <v>0</v>
      </c>
      <c r="J1920" s="23" t="str">
        <f aca="false">Nonlabor!$B$15</f>
        <v>LEGAL</v>
      </c>
    </row>
    <row r="1921" customFormat="false" ht="15" hidden="false" customHeight="false" outlineLevel="0" collapsed="false">
      <c r="A1921" s="6" t="s">
        <v>4</v>
      </c>
      <c r="B1921" s="6" t="s">
        <v>402</v>
      </c>
      <c r="C1921" s="6" t="n">
        <v>56</v>
      </c>
      <c r="D1921" s="25" t="n">
        <f aca="false">EDATE('Start Here'!$B$6,C1921-1)</f>
        <v>48000</v>
      </c>
      <c r="E1921" s="23" t="n">
        <f aca="false">IF(AND(OR(Nonlabor!$D$15="Both",Nonlabor!$D$15='Start Here'!$B$9),IF(Nonlabor!$E$15="Core",1,IF(Nonlabor!$E$15="AI",'Start Here'!$B$7,'Start Here'!$B$8))=1,C1921&gt;=IF(Nonlabor!$E$15="Core",Nonlabor!$F$15,MAX(Nonlabor!$F$15,IF(Nonlabor!$E$15="AI",Assumptions!$D$24,Assumptions!$D$25))),C1921&lt;=Nonlabor!$G$15,OR(Nonlabor!$H$15="Monthly",AND(Nonlabor!$H$15="Once",C1921=IF(Nonlabor!$E$15="Core",Nonlabor!$F$15,MAX(Nonlabor!$F$15,IF(Nonlabor!$E$15="AI",Assumptions!$D$24,Assumptions!$D$25)))),AND(Nonlabor!$H$15="Annual",MOD(C1921-IF(Nonlabor!$E$15="Core",Nonlabor!$F$15,MAX(Nonlabor!$F$15,IF(Nonlabor!$E$15="AI",Assumptions!$D$24,Assumptions!$D$25))),12)=0))),IF(Nonlabor!$I$15="Fixed",1,IF(Nonlabor!$I$15="Seats",ROUNDUP('Monthly Base'!I61,0),IF(Nonlabor!$I$15="Customers",'Monthly Base'!D61,IF(Nonlabor!$I$15="NewCustomers",'Monthly Base'!C61,IF(Nonlabor!$I$15="StorageGB",'Monthly Base'!G61,IF(Nonlabor!$I$15="LogGB",'Monthly Base'!H61,IF(Nonlabor!$I$15="RequestsM",'Monthly Base'!F61,IF(Nonlabor!$I$15="InputM",'Monthly Base'!D61*Assumptions!$D$22/1000000,IF(Nonlabor!$I$15="OutputM",'Monthly Base'!D61*Assumptions!$D$23/1000000,0))))))))),0)</f>
        <v>0</v>
      </c>
      <c r="F1921" s="10" t="n">
        <f aca="false">Nonlabor!$J$15*(1+Assumptions!$D$9)^INT((C1921-1)/12)</f>
        <v>22510.1762</v>
      </c>
      <c r="G1921" s="10" t="n">
        <f aca="false">E1921*F1921</f>
        <v>0</v>
      </c>
      <c r="H1921" s="10" t="n">
        <f aca="false">IF(OR(Nonlabor!$L$15="Quote required",Nonlabor!$L$15="Unverified"),G1921,0)</f>
        <v>0</v>
      </c>
      <c r="I1921" s="10" t="n">
        <f aca="false">IF(Nonlabor!$E$15="Core",0,G1921)</f>
        <v>0</v>
      </c>
      <c r="J1921" s="23" t="str">
        <f aca="false">Nonlabor!$B$15</f>
        <v>LEGAL</v>
      </c>
    </row>
    <row r="1922" customFormat="false" ht="15" hidden="false" customHeight="false" outlineLevel="0" collapsed="false">
      <c r="A1922" s="6" t="s">
        <v>4</v>
      </c>
      <c r="B1922" s="6" t="s">
        <v>402</v>
      </c>
      <c r="C1922" s="6" t="n">
        <v>57</v>
      </c>
      <c r="D1922" s="25" t="n">
        <f aca="false">EDATE('Start Here'!$B$6,C1922-1)</f>
        <v>48030</v>
      </c>
      <c r="E1922" s="23" t="n">
        <f aca="false">IF(AND(OR(Nonlabor!$D$15="Both",Nonlabor!$D$15='Start Here'!$B$9),IF(Nonlabor!$E$15="Core",1,IF(Nonlabor!$E$15="AI",'Start Here'!$B$7,'Start Here'!$B$8))=1,C1922&gt;=IF(Nonlabor!$E$15="Core",Nonlabor!$F$15,MAX(Nonlabor!$F$15,IF(Nonlabor!$E$15="AI",Assumptions!$D$24,Assumptions!$D$25))),C1922&lt;=Nonlabor!$G$15,OR(Nonlabor!$H$15="Monthly",AND(Nonlabor!$H$15="Once",C1922=IF(Nonlabor!$E$15="Core",Nonlabor!$F$15,MAX(Nonlabor!$F$15,IF(Nonlabor!$E$15="AI",Assumptions!$D$24,Assumptions!$D$25)))),AND(Nonlabor!$H$15="Annual",MOD(C1922-IF(Nonlabor!$E$15="Core",Nonlabor!$F$15,MAX(Nonlabor!$F$15,IF(Nonlabor!$E$15="AI",Assumptions!$D$24,Assumptions!$D$25))),12)=0))),IF(Nonlabor!$I$15="Fixed",1,IF(Nonlabor!$I$15="Seats",ROUNDUP('Monthly Base'!I62,0),IF(Nonlabor!$I$15="Customers",'Monthly Base'!D62,IF(Nonlabor!$I$15="NewCustomers",'Monthly Base'!C62,IF(Nonlabor!$I$15="StorageGB",'Monthly Base'!G62,IF(Nonlabor!$I$15="LogGB",'Monthly Base'!H62,IF(Nonlabor!$I$15="RequestsM",'Monthly Base'!F62,IF(Nonlabor!$I$15="InputM",'Monthly Base'!D62*Assumptions!$D$22/1000000,IF(Nonlabor!$I$15="OutputM",'Monthly Base'!D62*Assumptions!$D$23/1000000,0))))))))),0)</f>
        <v>0</v>
      </c>
      <c r="F1922" s="10" t="n">
        <f aca="false">Nonlabor!$J$15*(1+Assumptions!$D$9)^INT((C1922-1)/12)</f>
        <v>22510.1762</v>
      </c>
      <c r="G1922" s="10" t="n">
        <f aca="false">E1922*F1922</f>
        <v>0</v>
      </c>
      <c r="H1922" s="10" t="n">
        <f aca="false">IF(OR(Nonlabor!$L$15="Quote required",Nonlabor!$L$15="Unverified"),G1922,0)</f>
        <v>0</v>
      </c>
      <c r="I1922" s="10" t="n">
        <f aca="false">IF(Nonlabor!$E$15="Core",0,G1922)</f>
        <v>0</v>
      </c>
      <c r="J1922" s="23" t="str">
        <f aca="false">Nonlabor!$B$15</f>
        <v>LEGAL</v>
      </c>
    </row>
    <row r="1923" customFormat="false" ht="15" hidden="false" customHeight="false" outlineLevel="0" collapsed="false">
      <c r="A1923" s="6" t="s">
        <v>4</v>
      </c>
      <c r="B1923" s="6" t="s">
        <v>402</v>
      </c>
      <c r="C1923" s="6" t="n">
        <v>58</v>
      </c>
      <c r="D1923" s="25" t="n">
        <f aca="false">EDATE('Start Here'!$B$6,C1923-1)</f>
        <v>48061</v>
      </c>
      <c r="E1923" s="23" t="n">
        <f aca="false">IF(AND(OR(Nonlabor!$D$15="Both",Nonlabor!$D$15='Start Here'!$B$9),IF(Nonlabor!$E$15="Core",1,IF(Nonlabor!$E$15="AI",'Start Here'!$B$7,'Start Here'!$B$8))=1,C1923&gt;=IF(Nonlabor!$E$15="Core",Nonlabor!$F$15,MAX(Nonlabor!$F$15,IF(Nonlabor!$E$15="AI",Assumptions!$D$24,Assumptions!$D$25))),C1923&lt;=Nonlabor!$G$15,OR(Nonlabor!$H$15="Monthly",AND(Nonlabor!$H$15="Once",C1923=IF(Nonlabor!$E$15="Core",Nonlabor!$F$15,MAX(Nonlabor!$F$15,IF(Nonlabor!$E$15="AI",Assumptions!$D$24,Assumptions!$D$25)))),AND(Nonlabor!$H$15="Annual",MOD(C1923-IF(Nonlabor!$E$15="Core",Nonlabor!$F$15,MAX(Nonlabor!$F$15,IF(Nonlabor!$E$15="AI",Assumptions!$D$24,Assumptions!$D$25))),12)=0))),IF(Nonlabor!$I$15="Fixed",1,IF(Nonlabor!$I$15="Seats",ROUNDUP('Monthly Base'!I63,0),IF(Nonlabor!$I$15="Customers",'Monthly Base'!D63,IF(Nonlabor!$I$15="NewCustomers",'Monthly Base'!C63,IF(Nonlabor!$I$15="StorageGB",'Monthly Base'!G63,IF(Nonlabor!$I$15="LogGB",'Monthly Base'!H63,IF(Nonlabor!$I$15="RequestsM",'Monthly Base'!F63,IF(Nonlabor!$I$15="InputM",'Monthly Base'!D63*Assumptions!$D$22/1000000,IF(Nonlabor!$I$15="OutputM",'Monthly Base'!D63*Assumptions!$D$23/1000000,0))))))))),0)</f>
        <v>0</v>
      </c>
      <c r="F1923" s="10" t="n">
        <f aca="false">Nonlabor!$J$15*(1+Assumptions!$D$9)^INT((C1923-1)/12)</f>
        <v>22510.1762</v>
      </c>
      <c r="G1923" s="10" t="n">
        <f aca="false">E1923*F1923</f>
        <v>0</v>
      </c>
      <c r="H1923" s="10" t="n">
        <f aca="false">IF(OR(Nonlabor!$L$15="Quote required",Nonlabor!$L$15="Unverified"),G1923,0)</f>
        <v>0</v>
      </c>
      <c r="I1923" s="10" t="n">
        <f aca="false">IF(Nonlabor!$E$15="Core",0,G1923)</f>
        <v>0</v>
      </c>
      <c r="J1923" s="23" t="str">
        <f aca="false">Nonlabor!$B$15</f>
        <v>LEGAL</v>
      </c>
    </row>
    <row r="1924" customFormat="false" ht="15" hidden="false" customHeight="false" outlineLevel="0" collapsed="false">
      <c r="A1924" s="6" t="s">
        <v>4</v>
      </c>
      <c r="B1924" s="6" t="s">
        <v>402</v>
      </c>
      <c r="C1924" s="6" t="n">
        <v>59</v>
      </c>
      <c r="D1924" s="25" t="n">
        <f aca="false">EDATE('Start Here'!$B$6,C1924-1)</f>
        <v>48092</v>
      </c>
      <c r="E1924" s="23" t="n">
        <f aca="false">IF(AND(OR(Nonlabor!$D$15="Both",Nonlabor!$D$15='Start Here'!$B$9),IF(Nonlabor!$E$15="Core",1,IF(Nonlabor!$E$15="AI",'Start Here'!$B$7,'Start Here'!$B$8))=1,C1924&gt;=IF(Nonlabor!$E$15="Core",Nonlabor!$F$15,MAX(Nonlabor!$F$15,IF(Nonlabor!$E$15="AI",Assumptions!$D$24,Assumptions!$D$25))),C1924&lt;=Nonlabor!$G$15,OR(Nonlabor!$H$15="Monthly",AND(Nonlabor!$H$15="Once",C1924=IF(Nonlabor!$E$15="Core",Nonlabor!$F$15,MAX(Nonlabor!$F$15,IF(Nonlabor!$E$15="AI",Assumptions!$D$24,Assumptions!$D$25)))),AND(Nonlabor!$H$15="Annual",MOD(C1924-IF(Nonlabor!$E$15="Core",Nonlabor!$F$15,MAX(Nonlabor!$F$15,IF(Nonlabor!$E$15="AI",Assumptions!$D$24,Assumptions!$D$25))),12)=0))),IF(Nonlabor!$I$15="Fixed",1,IF(Nonlabor!$I$15="Seats",ROUNDUP('Monthly Base'!I64,0),IF(Nonlabor!$I$15="Customers",'Monthly Base'!D64,IF(Nonlabor!$I$15="NewCustomers",'Monthly Base'!C64,IF(Nonlabor!$I$15="StorageGB",'Monthly Base'!G64,IF(Nonlabor!$I$15="LogGB",'Monthly Base'!H64,IF(Nonlabor!$I$15="RequestsM",'Monthly Base'!F64,IF(Nonlabor!$I$15="InputM",'Monthly Base'!D64*Assumptions!$D$22/1000000,IF(Nonlabor!$I$15="OutputM",'Monthly Base'!D64*Assumptions!$D$23/1000000,0))))))))),0)</f>
        <v>0</v>
      </c>
      <c r="F1924" s="10" t="n">
        <f aca="false">Nonlabor!$J$15*(1+Assumptions!$D$9)^INT((C1924-1)/12)</f>
        <v>22510.1762</v>
      </c>
      <c r="G1924" s="10" t="n">
        <f aca="false">E1924*F1924</f>
        <v>0</v>
      </c>
      <c r="H1924" s="10" t="n">
        <f aca="false">IF(OR(Nonlabor!$L$15="Quote required",Nonlabor!$L$15="Unverified"),G1924,0)</f>
        <v>0</v>
      </c>
      <c r="I1924" s="10" t="n">
        <f aca="false">IF(Nonlabor!$E$15="Core",0,G1924)</f>
        <v>0</v>
      </c>
      <c r="J1924" s="23" t="str">
        <f aca="false">Nonlabor!$B$15</f>
        <v>LEGAL</v>
      </c>
    </row>
    <row r="1925" customFormat="false" ht="15" hidden="false" customHeight="false" outlineLevel="0" collapsed="false">
      <c r="A1925" s="6" t="s">
        <v>4</v>
      </c>
      <c r="B1925" s="6" t="s">
        <v>402</v>
      </c>
      <c r="C1925" s="6" t="n">
        <v>60</v>
      </c>
      <c r="D1925" s="25" t="n">
        <f aca="false">EDATE('Start Here'!$B$6,C1925-1)</f>
        <v>48122</v>
      </c>
      <c r="E1925" s="23" t="n">
        <f aca="false">IF(AND(OR(Nonlabor!$D$15="Both",Nonlabor!$D$15='Start Here'!$B$9),IF(Nonlabor!$E$15="Core",1,IF(Nonlabor!$E$15="AI",'Start Here'!$B$7,'Start Here'!$B$8))=1,C1925&gt;=IF(Nonlabor!$E$15="Core",Nonlabor!$F$15,MAX(Nonlabor!$F$15,IF(Nonlabor!$E$15="AI",Assumptions!$D$24,Assumptions!$D$25))),C1925&lt;=Nonlabor!$G$15,OR(Nonlabor!$H$15="Monthly",AND(Nonlabor!$H$15="Once",C1925=IF(Nonlabor!$E$15="Core",Nonlabor!$F$15,MAX(Nonlabor!$F$15,IF(Nonlabor!$E$15="AI",Assumptions!$D$24,Assumptions!$D$25)))),AND(Nonlabor!$H$15="Annual",MOD(C1925-IF(Nonlabor!$E$15="Core",Nonlabor!$F$15,MAX(Nonlabor!$F$15,IF(Nonlabor!$E$15="AI",Assumptions!$D$24,Assumptions!$D$25))),12)=0))),IF(Nonlabor!$I$15="Fixed",1,IF(Nonlabor!$I$15="Seats",ROUNDUP('Monthly Base'!I65,0),IF(Nonlabor!$I$15="Customers",'Monthly Base'!D65,IF(Nonlabor!$I$15="NewCustomers",'Monthly Base'!C65,IF(Nonlabor!$I$15="StorageGB",'Monthly Base'!G65,IF(Nonlabor!$I$15="LogGB",'Monthly Base'!H65,IF(Nonlabor!$I$15="RequestsM",'Monthly Base'!F65,IF(Nonlabor!$I$15="InputM",'Monthly Base'!D65*Assumptions!$D$22/1000000,IF(Nonlabor!$I$15="OutputM",'Monthly Base'!D65*Assumptions!$D$23/1000000,0))))))))),0)</f>
        <v>0</v>
      </c>
      <c r="F1925" s="10" t="n">
        <f aca="false">Nonlabor!$J$15*(1+Assumptions!$D$9)^INT((C1925-1)/12)</f>
        <v>22510.1762</v>
      </c>
      <c r="G1925" s="10" t="n">
        <f aca="false">E1925*F1925</f>
        <v>0</v>
      </c>
      <c r="H1925" s="10" t="n">
        <f aca="false">IF(OR(Nonlabor!$L$15="Quote required",Nonlabor!$L$15="Unverified"),G1925,0)</f>
        <v>0</v>
      </c>
      <c r="I1925" s="10" t="n">
        <f aca="false">IF(Nonlabor!$E$15="Core",0,G1925)</f>
        <v>0</v>
      </c>
      <c r="J1925" s="23" t="str">
        <f aca="false">Nonlabor!$B$15</f>
        <v>LEGAL</v>
      </c>
    </row>
    <row r="1926" customFormat="false" ht="15" hidden="false" customHeight="false" outlineLevel="0" collapsed="false">
      <c r="A1926" s="6" t="s">
        <v>4</v>
      </c>
      <c r="B1926" s="6" t="s">
        <v>406</v>
      </c>
      <c r="C1926" s="6" t="n">
        <v>1</v>
      </c>
      <c r="D1926" s="25" t="n">
        <f aca="false">EDATE('Start Here'!$B$6,C1926-1)</f>
        <v>46327</v>
      </c>
      <c r="E1926" s="23" t="n">
        <f aca="false">IF(AND(OR(Nonlabor!$D$16="Both",Nonlabor!$D$16='Start Here'!$B$9),IF(Nonlabor!$E$16="Core",1,IF(Nonlabor!$E$16="AI",'Start Here'!$B$7,'Start Here'!$B$8))=1,C1926&gt;=IF(Nonlabor!$E$16="Core",Nonlabor!$F$16,MAX(Nonlabor!$F$16,IF(Nonlabor!$E$16="AI",Assumptions!$D$24,Assumptions!$D$25))),C1926&lt;=Nonlabor!$G$16,OR(Nonlabor!$H$16="Monthly",AND(Nonlabor!$H$16="Once",C1926=IF(Nonlabor!$E$16="Core",Nonlabor!$F$16,MAX(Nonlabor!$F$16,IF(Nonlabor!$E$16="AI",Assumptions!$D$24,Assumptions!$D$25)))),AND(Nonlabor!$H$16="Annual",MOD(C1926-IF(Nonlabor!$E$16="Core",Nonlabor!$F$16,MAX(Nonlabor!$F$16,IF(Nonlabor!$E$16="AI",Assumptions!$D$24,Assumptions!$D$25))),12)=0))),IF(Nonlabor!$I$16="Fixed",1,IF(Nonlabor!$I$16="Seats",ROUNDUP('Monthly Base'!I6,0),IF(Nonlabor!$I$16="Customers",'Monthly Base'!D6,IF(Nonlabor!$I$16="NewCustomers",'Monthly Base'!C6,IF(Nonlabor!$I$16="StorageGB",'Monthly Base'!G6,IF(Nonlabor!$I$16="LogGB",'Monthly Base'!H6,IF(Nonlabor!$I$16="RequestsM",'Monthly Base'!F6,IF(Nonlabor!$I$16="InputM",'Monthly Base'!D6*Assumptions!$D$22/1000000,IF(Nonlabor!$I$16="OutputM",'Monthly Base'!D6*Assumptions!$D$23/1000000,0))))))))),0)</f>
        <v>0</v>
      </c>
      <c r="F1926" s="10" t="n">
        <f aca="false">Nonlabor!$J$16*(1+Assumptions!$D$9)^INT((C1926-1)/12)</f>
        <v>12000</v>
      </c>
      <c r="G1926" s="10" t="n">
        <f aca="false">E1926*F1926</f>
        <v>0</v>
      </c>
      <c r="H1926" s="10" t="n">
        <f aca="false">IF(OR(Nonlabor!$L$16="Quote required",Nonlabor!$L$16="Unverified"),G1926,0)</f>
        <v>0</v>
      </c>
      <c r="I1926" s="10" t="n">
        <f aca="false">IF(Nonlabor!$E$16="Core",0,G1926)</f>
        <v>0</v>
      </c>
      <c r="J1926" s="23" t="str">
        <f aca="false">Nonlabor!$B$16</f>
        <v>LEGAL</v>
      </c>
    </row>
    <row r="1927" customFormat="false" ht="15" hidden="false" customHeight="false" outlineLevel="0" collapsed="false">
      <c r="A1927" s="6" t="s">
        <v>4</v>
      </c>
      <c r="B1927" s="6" t="s">
        <v>406</v>
      </c>
      <c r="C1927" s="6" t="n">
        <v>2</v>
      </c>
      <c r="D1927" s="25" t="n">
        <f aca="false">EDATE('Start Here'!$B$6,C1927-1)</f>
        <v>46357</v>
      </c>
      <c r="E1927" s="23" t="n">
        <f aca="false">IF(AND(OR(Nonlabor!$D$16="Both",Nonlabor!$D$16='Start Here'!$B$9),IF(Nonlabor!$E$16="Core",1,IF(Nonlabor!$E$16="AI",'Start Here'!$B$7,'Start Here'!$B$8))=1,C1927&gt;=IF(Nonlabor!$E$16="Core",Nonlabor!$F$16,MAX(Nonlabor!$F$16,IF(Nonlabor!$E$16="AI",Assumptions!$D$24,Assumptions!$D$25))),C1927&lt;=Nonlabor!$G$16,OR(Nonlabor!$H$16="Monthly",AND(Nonlabor!$H$16="Once",C1927=IF(Nonlabor!$E$16="Core",Nonlabor!$F$16,MAX(Nonlabor!$F$16,IF(Nonlabor!$E$16="AI",Assumptions!$D$24,Assumptions!$D$25)))),AND(Nonlabor!$H$16="Annual",MOD(C1927-IF(Nonlabor!$E$16="Core",Nonlabor!$F$16,MAX(Nonlabor!$F$16,IF(Nonlabor!$E$16="AI",Assumptions!$D$24,Assumptions!$D$25))),12)=0))),IF(Nonlabor!$I$16="Fixed",1,IF(Nonlabor!$I$16="Seats",ROUNDUP('Monthly Base'!I7,0),IF(Nonlabor!$I$16="Customers",'Monthly Base'!D7,IF(Nonlabor!$I$16="NewCustomers",'Monthly Base'!C7,IF(Nonlabor!$I$16="StorageGB",'Monthly Base'!G7,IF(Nonlabor!$I$16="LogGB",'Monthly Base'!H7,IF(Nonlabor!$I$16="RequestsM",'Monthly Base'!F7,IF(Nonlabor!$I$16="InputM",'Monthly Base'!D7*Assumptions!$D$22/1000000,IF(Nonlabor!$I$16="OutputM",'Monthly Base'!D7*Assumptions!$D$23/1000000,0))))))))),0)</f>
        <v>0</v>
      </c>
      <c r="F1927" s="10" t="n">
        <f aca="false">Nonlabor!$J$16*(1+Assumptions!$D$9)^INT((C1927-1)/12)</f>
        <v>12000</v>
      </c>
      <c r="G1927" s="10" t="n">
        <f aca="false">E1927*F1927</f>
        <v>0</v>
      </c>
      <c r="H1927" s="10" t="n">
        <f aca="false">IF(OR(Nonlabor!$L$16="Quote required",Nonlabor!$L$16="Unverified"),G1927,0)</f>
        <v>0</v>
      </c>
      <c r="I1927" s="10" t="n">
        <f aca="false">IF(Nonlabor!$E$16="Core",0,G1927)</f>
        <v>0</v>
      </c>
      <c r="J1927" s="23" t="str">
        <f aca="false">Nonlabor!$B$16</f>
        <v>LEGAL</v>
      </c>
    </row>
    <row r="1928" customFormat="false" ht="15" hidden="false" customHeight="false" outlineLevel="0" collapsed="false">
      <c r="A1928" s="6" t="s">
        <v>4</v>
      </c>
      <c r="B1928" s="6" t="s">
        <v>406</v>
      </c>
      <c r="C1928" s="6" t="n">
        <v>3</v>
      </c>
      <c r="D1928" s="25" t="n">
        <f aca="false">EDATE('Start Here'!$B$6,C1928-1)</f>
        <v>46388</v>
      </c>
      <c r="E1928" s="23" t="n">
        <f aca="false">IF(AND(OR(Nonlabor!$D$16="Both",Nonlabor!$D$16='Start Here'!$B$9),IF(Nonlabor!$E$16="Core",1,IF(Nonlabor!$E$16="AI",'Start Here'!$B$7,'Start Here'!$B$8))=1,C1928&gt;=IF(Nonlabor!$E$16="Core",Nonlabor!$F$16,MAX(Nonlabor!$F$16,IF(Nonlabor!$E$16="AI",Assumptions!$D$24,Assumptions!$D$25))),C1928&lt;=Nonlabor!$G$16,OR(Nonlabor!$H$16="Monthly",AND(Nonlabor!$H$16="Once",C1928=IF(Nonlabor!$E$16="Core",Nonlabor!$F$16,MAX(Nonlabor!$F$16,IF(Nonlabor!$E$16="AI",Assumptions!$D$24,Assumptions!$D$25)))),AND(Nonlabor!$H$16="Annual",MOD(C1928-IF(Nonlabor!$E$16="Core",Nonlabor!$F$16,MAX(Nonlabor!$F$16,IF(Nonlabor!$E$16="AI",Assumptions!$D$24,Assumptions!$D$25))),12)=0))),IF(Nonlabor!$I$16="Fixed",1,IF(Nonlabor!$I$16="Seats",ROUNDUP('Monthly Base'!I8,0),IF(Nonlabor!$I$16="Customers",'Monthly Base'!D8,IF(Nonlabor!$I$16="NewCustomers",'Monthly Base'!C8,IF(Nonlabor!$I$16="StorageGB",'Monthly Base'!G8,IF(Nonlabor!$I$16="LogGB",'Monthly Base'!H8,IF(Nonlabor!$I$16="RequestsM",'Monthly Base'!F8,IF(Nonlabor!$I$16="InputM",'Monthly Base'!D8*Assumptions!$D$22/1000000,IF(Nonlabor!$I$16="OutputM",'Monthly Base'!D8*Assumptions!$D$23/1000000,0))))))))),0)</f>
        <v>0</v>
      </c>
      <c r="F1928" s="10" t="n">
        <f aca="false">Nonlabor!$J$16*(1+Assumptions!$D$9)^INT((C1928-1)/12)</f>
        <v>12000</v>
      </c>
      <c r="G1928" s="10" t="n">
        <f aca="false">E1928*F1928</f>
        <v>0</v>
      </c>
      <c r="H1928" s="10" t="n">
        <f aca="false">IF(OR(Nonlabor!$L$16="Quote required",Nonlabor!$L$16="Unverified"),G1928,0)</f>
        <v>0</v>
      </c>
      <c r="I1928" s="10" t="n">
        <f aca="false">IF(Nonlabor!$E$16="Core",0,G1928)</f>
        <v>0</v>
      </c>
      <c r="J1928" s="23" t="str">
        <f aca="false">Nonlabor!$B$16</f>
        <v>LEGAL</v>
      </c>
    </row>
    <row r="1929" customFormat="false" ht="15" hidden="false" customHeight="false" outlineLevel="0" collapsed="false">
      <c r="A1929" s="6" t="s">
        <v>4</v>
      </c>
      <c r="B1929" s="6" t="s">
        <v>406</v>
      </c>
      <c r="C1929" s="6" t="n">
        <v>4</v>
      </c>
      <c r="D1929" s="25" t="n">
        <f aca="false">EDATE('Start Here'!$B$6,C1929-1)</f>
        <v>46419</v>
      </c>
      <c r="E1929" s="23" t="n">
        <f aca="false">IF(AND(OR(Nonlabor!$D$16="Both",Nonlabor!$D$16='Start Here'!$B$9),IF(Nonlabor!$E$16="Core",1,IF(Nonlabor!$E$16="AI",'Start Here'!$B$7,'Start Here'!$B$8))=1,C1929&gt;=IF(Nonlabor!$E$16="Core",Nonlabor!$F$16,MAX(Nonlabor!$F$16,IF(Nonlabor!$E$16="AI",Assumptions!$D$24,Assumptions!$D$25))),C1929&lt;=Nonlabor!$G$16,OR(Nonlabor!$H$16="Monthly",AND(Nonlabor!$H$16="Once",C1929=IF(Nonlabor!$E$16="Core",Nonlabor!$F$16,MAX(Nonlabor!$F$16,IF(Nonlabor!$E$16="AI",Assumptions!$D$24,Assumptions!$D$25)))),AND(Nonlabor!$H$16="Annual",MOD(C1929-IF(Nonlabor!$E$16="Core",Nonlabor!$F$16,MAX(Nonlabor!$F$16,IF(Nonlabor!$E$16="AI",Assumptions!$D$24,Assumptions!$D$25))),12)=0))),IF(Nonlabor!$I$16="Fixed",1,IF(Nonlabor!$I$16="Seats",ROUNDUP('Monthly Base'!I9,0),IF(Nonlabor!$I$16="Customers",'Monthly Base'!D9,IF(Nonlabor!$I$16="NewCustomers",'Monthly Base'!C9,IF(Nonlabor!$I$16="StorageGB",'Monthly Base'!G9,IF(Nonlabor!$I$16="LogGB",'Monthly Base'!H9,IF(Nonlabor!$I$16="RequestsM",'Monthly Base'!F9,IF(Nonlabor!$I$16="InputM",'Monthly Base'!D9*Assumptions!$D$22/1000000,IF(Nonlabor!$I$16="OutputM",'Monthly Base'!D9*Assumptions!$D$23/1000000,0))))))))),0)</f>
        <v>0</v>
      </c>
      <c r="F1929" s="10" t="n">
        <f aca="false">Nonlabor!$J$16*(1+Assumptions!$D$9)^INT((C1929-1)/12)</f>
        <v>12000</v>
      </c>
      <c r="G1929" s="10" t="n">
        <f aca="false">E1929*F1929</f>
        <v>0</v>
      </c>
      <c r="H1929" s="10" t="n">
        <f aca="false">IF(OR(Nonlabor!$L$16="Quote required",Nonlabor!$L$16="Unverified"),G1929,0)</f>
        <v>0</v>
      </c>
      <c r="I1929" s="10" t="n">
        <f aca="false">IF(Nonlabor!$E$16="Core",0,G1929)</f>
        <v>0</v>
      </c>
      <c r="J1929" s="23" t="str">
        <f aca="false">Nonlabor!$B$16</f>
        <v>LEGAL</v>
      </c>
    </row>
    <row r="1930" customFormat="false" ht="15" hidden="false" customHeight="false" outlineLevel="0" collapsed="false">
      <c r="A1930" s="6" t="s">
        <v>4</v>
      </c>
      <c r="B1930" s="6" t="s">
        <v>406</v>
      </c>
      <c r="C1930" s="6" t="n">
        <v>5</v>
      </c>
      <c r="D1930" s="25" t="n">
        <f aca="false">EDATE('Start Here'!$B$6,C1930-1)</f>
        <v>46447</v>
      </c>
      <c r="E1930" s="23" t="n">
        <f aca="false">IF(AND(OR(Nonlabor!$D$16="Both",Nonlabor!$D$16='Start Here'!$B$9),IF(Nonlabor!$E$16="Core",1,IF(Nonlabor!$E$16="AI",'Start Here'!$B$7,'Start Here'!$B$8))=1,C1930&gt;=IF(Nonlabor!$E$16="Core",Nonlabor!$F$16,MAX(Nonlabor!$F$16,IF(Nonlabor!$E$16="AI",Assumptions!$D$24,Assumptions!$D$25))),C1930&lt;=Nonlabor!$G$16,OR(Nonlabor!$H$16="Monthly",AND(Nonlabor!$H$16="Once",C1930=IF(Nonlabor!$E$16="Core",Nonlabor!$F$16,MAX(Nonlabor!$F$16,IF(Nonlabor!$E$16="AI",Assumptions!$D$24,Assumptions!$D$25)))),AND(Nonlabor!$H$16="Annual",MOD(C1930-IF(Nonlabor!$E$16="Core",Nonlabor!$F$16,MAX(Nonlabor!$F$16,IF(Nonlabor!$E$16="AI",Assumptions!$D$24,Assumptions!$D$25))),12)=0))),IF(Nonlabor!$I$16="Fixed",1,IF(Nonlabor!$I$16="Seats",ROUNDUP('Monthly Base'!I10,0),IF(Nonlabor!$I$16="Customers",'Monthly Base'!D10,IF(Nonlabor!$I$16="NewCustomers",'Monthly Base'!C10,IF(Nonlabor!$I$16="StorageGB",'Monthly Base'!G10,IF(Nonlabor!$I$16="LogGB",'Monthly Base'!H10,IF(Nonlabor!$I$16="RequestsM",'Monthly Base'!F10,IF(Nonlabor!$I$16="InputM",'Monthly Base'!D10*Assumptions!$D$22/1000000,IF(Nonlabor!$I$16="OutputM",'Monthly Base'!D10*Assumptions!$D$23/1000000,0))))))))),0)</f>
        <v>0</v>
      </c>
      <c r="F1930" s="10" t="n">
        <f aca="false">Nonlabor!$J$16*(1+Assumptions!$D$9)^INT((C1930-1)/12)</f>
        <v>12000</v>
      </c>
      <c r="G1930" s="10" t="n">
        <f aca="false">E1930*F1930</f>
        <v>0</v>
      </c>
      <c r="H1930" s="10" t="n">
        <f aca="false">IF(OR(Nonlabor!$L$16="Quote required",Nonlabor!$L$16="Unverified"),G1930,0)</f>
        <v>0</v>
      </c>
      <c r="I1930" s="10" t="n">
        <f aca="false">IF(Nonlabor!$E$16="Core",0,G1930)</f>
        <v>0</v>
      </c>
      <c r="J1930" s="23" t="str">
        <f aca="false">Nonlabor!$B$16</f>
        <v>LEGAL</v>
      </c>
    </row>
    <row r="1931" customFormat="false" ht="15" hidden="false" customHeight="false" outlineLevel="0" collapsed="false">
      <c r="A1931" s="6" t="s">
        <v>4</v>
      </c>
      <c r="B1931" s="6" t="s">
        <v>406</v>
      </c>
      <c r="C1931" s="6" t="n">
        <v>6</v>
      </c>
      <c r="D1931" s="25" t="n">
        <f aca="false">EDATE('Start Here'!$B$6,C1931-1)</f>
        <v>46478</v>
      </c>
      <c r="E1931" s="23" t="n">
        <f aca="false">IF(AND(OR(Nonlabor!$D$16="Both",Nonlabor!$D$16='Start Here'!$B$9),IF(Nonlabor!$E$16="Core",1,IF(Nonlabor!$E$16="AI",'Start Here'!$B$7,'Start Here'!$B$8))=1,C1931&gt;=IF(Nonlabor!$E$16="Core",Nonlabor!$F$16,MAX(Nonlabor!$F$16,IF(Nonlabor!$E$16="AI",Assumptions!$D$24,Assumptions!$D$25))),C1931&lt;=Nonlabor!$G$16,OR(Nonlabor!$H$16="Monthly",AND(Nonlabor!$H$16="Once",C1931=IF(Nonlabor!$E$16="Core",Nonlabor!$F$16,MAX(Nonlabor!$F$16,IF(Nonlabor!$E$16="AI",Assumptions!$D$24,Assumptions!$D$25)))),AND(Nonlabor!$H$16="Annual",MOD(C1931-IF(Nonlabor!$E$16="Core",Nonlabor!$F$16,MAX(Nonlabor!$F$16,IF(Nonlabor!$E$16="AI",Assumptions!$D$24,Assumptions!$D$25))),12)=0))),IF(Nonlabor!$I$16="Fixed",1,IF(Nonlabor!$I$16="Seats",ROUNDUP('Monthly Base'!I11,0),IF(Nonlabor!$I$16="Customers",'Monthly Base'!D11,IF(Nonlabor!$I$16="NewCustomers",'Monthly Base'!C11,IF(Nonlabor!$I$16="StorageGB",'Monthly Base'!G11,IF(Nonlabor!$I$16="LogGB",'Monthly Base'!H11,IF(Nonlabor!$I$16="RequestsM",'Monthly Base'!F11,IF(Nonlabor!$I$16="InputM",'Monthly Base'!D11*Assumptions!$D$22/1000000,IF(Nonlabor!$I$16="OutputM",'Monthly Base'!D11*Assumptions!$D$23/1000000,0))))))))),0)</f>
        <v>0</v>
      </c>
      <c r="F1931" s="10" t="n">
        <f aca="false">Nonlabor!$J$16*(1+Assumptions!$D$9)^INT((C1931-1)/12)</f>
        <v>12000</v>
      </c>
      <c r="G1931" s="10" t="n">
        <f aca="false">E1931*F1931</f>
        <v>0</v>
      </c>
      <c r="H1931" s="10" t="n">
        <f aca="false">IF(OR(Nonlabor!$L$16="Quote required",Nonlabor!$L$16="Unverified"),G1931,0)</f>
        <v>0</v>
      </c>
      <c r="I1931" s="10" t="n">
        <f aca="false">IF(Nonlabor!$E$16="Core",0,G1931)</f>
        <v>0</v>
      </c>
      <c r="J1931" s="23" t="str">
        <f aca="false">Nonlabor!$B$16</f>
        <v>LEGAL</v>
      </c>
    </row>
    <row r="1932" customFormat="false" ht="15" hidden="false" customHeight="false" outlineLevel="0" collapsed="false">
      <c r="A1932" s="6" t="s">
        <v>4</v>
      </c>
      <c r="B1932" s="6" t="s">
        <v>406</v>
      </c>
      <c r="C1932" s="6" t="n">
        <v>7</v>
      </c>
      <c r="D1932" s="25" t="n">
        <f aca="false">EDATE('Start Here'!$B$6,C1932-1)</f>
        <v>46508</v>
      </c>
      <c r="E1932" s="23" t="n">
        <f aca="false">IF(AND(OR(Nonlabor!$D$16="Both",Nonlabor!$D$16='Start Here'!$B$9),IF(Nonlabor!$E$16="Core",1,IF(Nonlabor!$E$16="AI",'Start Here'!$B$7,'Start Here'!$B$8))=1,C1932&gt;=IF(Nonlabor!$E$16="Core",Nonlabor!$F$16,MAX(Nonlabor!$F$16,IF(Nonlabor!$E$16="AI",Assumptions!$D$24,Assumptions!$D$25))),C1932&lt;=Nonlabor!$G$16,OR(Nonlabor!$H$16="Monthly",AND(Nonlabor!$H$16="Once",C1932=IF(Nonlabor!$E$16="Core",Nonlabor!$F$16,MAX(Nonlabor!$F$16,IF(Nonlabor!$E$16="AI",Assumptions!$D$24,Assumptions!$D$25)))),AND(Nonlabor!$H$16="Annual",MOD(C1932-IF(Nonlabor!$E$16="Core",Nonlabor!$F$16,MAX(Nonlabor!$F$16,IF(Nonlabor!$E$16="AI",Assumptions!$D$24,Assumptions!$D$25))),12)=0))),IF(Nonlabor!$I$16="Fixed",1,IF(Nonlabor!$I$16="Seats",ROUNDUP('Monthly Base'!I12,0),IF(Nonlabor!$I$16="Customers",'Monthly Base'!D12,IF(Nonlabor!$I$16="NewCustomers",'Monthly Base'!C12,IF(Nonlabor!$I$16="StorageGB",'Monthly Base'!G12,IF(Nonlabor!$I$16="LogGB",'Monthly Base'!H12,IF(Nonlabor!$I$16="RequestsM",'Monthly Base'!F12,IF(Nonlabor!$I$16="InputM",'Monthly Base'!D12*Assumptions!$D$22/1000000,IF(Nonlabor!$I$16="OutputM",'Monthly Base'!D12*Assumptions!$D$23/1000000,0))))))))),0)</f>
        <v>0</v>
      </c>
      <c r="F1932" s="10" t="n">
        <f aca="false">Nonlabor!$J$16*(1+Assumptions!$D$9)^INT((C1932-1)/12)</f>
        <v>12000</v>
      </c>
      <c r="G1932" s="10" t="n">
        <f aca="false">E1932*F1932</f>
        <v>0</v>
      </c>
      <c r="H1932" s="10" t="n">
        <f aca="false">IF(OR(Nonlabor!$L$16="Quote required",Nonlabor!$L$16="Unverified"),G1932,0)</f>
        <v>0</v>
      </c>
      <c r="I1932" s="10" t="n">
        <f aca="false">IF(Nonlabor!$E$16="Core",0,G1932)</f>
        <v>0</v>
      </c>
      <c r="J1932" s="23" t="str">
        <f aca="false">Nonlabor!$B$16</f>
        <v>LEGAL</v>
      </c>
    </row>
    <row r="1933" customFormat="false" ht="15" hidden="false" customHeight="false" outlineLevel="0" collapsed="false">
      <c r="A1933" s="6" t="s">
        <v>4</v>
      </c>
      <c r="B1933" s="6" t="s">
        <v>406</v>
      </c>
      <c r="C1933" s="6" t="n">
        <v>8</v>
      </c>
      <c r="D1933" s="25" t="n">
        <f aca="false">EDATE('Start Here'!$B$6,C1933-1)</f>
        <v>46539</v>
      </c>
      <c r="E1933" s="23" t="n">
        <f aca="false">IF(AND(OR(Nonlabor!$D$16="Both",Nonlabor!$D$16='Start Here'!$B$9),IF(Nonlabor!$E$16="Core",1,IF(Nonlabor!$E$16="AI",'Start Here'!$B$7,'Start Here'!$B$8))=1,C1933&gt;=IF(Nonlabor!$E$16="Core",Nonlabor!$F$16,MAX(Nonlabor!$F$16,IF(Nonlabor!$E$16="AI",Assumptions!$D$24,Assumptions!$D$25))),C1933&lt;=Nonlabor!$G$16,OR(Nonlabor!$H$16="Monthly",AND(Nonlabor!$H$16="Once",C1933=IF(Nonlabor!$E$16="Core",Nonlabor!$F$16,MAX(Nonlabor!$F$16,IF(Nonlabor!$E$16="AI",Assumptions!$D$24,Assumptions!$D$25)))),AND(Nonlabor!$H$16="Annual",MOD(C1933-IF(Nonlabor!$E$16="Core",Nonlabor!$F$16,MAX(Nonlabor!$F$16,IF(Nonlabor!$E$16="AI",Assumptions!$D$24,Assumptions!$D$25))),12)=0))),IF(Nonlabor!$I$16="Fixed",1,IF(Nonlabor!$I$16="Seats",ROUNDUP('Monthly Base'!I13,0),IF(Nonlabor!$I$16="Customers",'Monthly Base'!D13,IF(Nonlabor!$I$16="NewCustomers",'Monthly Base'!C13,IF(Nonlabor!$I$16="StorageGB",'Monthly Base'!G13,IF(Nonlabor!$I$16="LogGB",'Monthly Base'!H13,IF(Nonlabor!$I$16="RequestsM",'Monthly Base'!F13,IF(Nonlabor!$I$16="InputM",'Monthly Base'!D13*Assumptions!$D$22/1000000,IF(Nonlabor!$I$16="OutputM",'Monthly Base'!D13*Assumptions!$D$23/1000000,0))))))))),0)</f>
        <v>0</v>
      </c>
      <c r="F1933" s="10" t="n">
        <f aca="false">Nonlabor!$J$16*(1+Assumptions!$D$9)^INT((C1933-1)/12)</f>
        <v>12000</v>
      </c>
      <c r="G1933" s="10" t="n">
        <f aca="false">E1933*F1933</f>
        <v>0</v>
      </c>
      <c r="H1933" s="10" t="n">
        <f aca="false">IF(OR(Nonlabor!$L$16="Quote required",Nonlabor!$L$16="Unverified"),G1933,0)</f>
        <v>0</v>
      </c>
      <c r="I1933" s="10" t="n">
        <f aca="false">IF(Nonlabor!$E$16="Core",0,G1933)</f>
        <v>0</v>
      </c>
      <c r="J1933" s="23" t="str">
        <f aca="false">Nonlabor!$B$16</f>
        <v>LEGAL</v>
      </c>
    </row>
    <row r="1934" customFormat="false" ht="15" hidden="false" customHeight="false" outlineLevel="0" collapsed="false">
      <c r="A1934" s="6" t="s">
        <v>4</v>
      </c>
      <c r="B1934" s="6" t="s">
        <v>406</v>
      </c>
      <c r="C1934" s="6" t="n">
        <v>9</v>
      </c>
      <c r="D1934" s="25" t="n">
        <f aca="false">EDATE('Start Here'!$B$6,C1934-1)</f>
        <v>46569</v>
      </c>
      <c r="E1934" s="23" t="n">
        <f aca="false">IF(AND(OR(Nonlabor!$D$16="Both",Nonlabor!$D$16='Start Here'!$B$9),IF(Nonlabor!$E$16="Core",1,IF(Nonlabor!$E$16="AI",'Start Here'!$B$7,'Start Here'!$B$8))=1,C1934&gt;=IF(Nonlabor!$E$16="Core",Nonlabor!$F$16,MAX(Nonlabor!$F$16,IF(Nonlabor!$E$16="AI",Assumptions!$D$24,Assumptions!$D$25))),C1934&lt;=Nonlabor!$G$16,OR(Nonlabor!$H$16="Monthly",AND(Nonlabor!$H$16="Once",C1934=IF(Nonlabor!$E$16="Core",Nonlabor!$F$16,MAX(Nonlabor!$F$16,IF(Nonlabor!$E$16="AI",Assumptions!$D$24,Assumptions!$D$25)))),AND(Nonlabor!$H$16="Annual",MOD(C1934-IF(Nonlabor!$E$16="Core",Nonlabor!$F$16,MAX(Nonlabor!$F$16,IF(Nonlabor!$E$16="AI",Assumptions!$D$24,Assumptions!$D$25))),12)=0))),IF(Nonlabor!$I$16="Fixed",1,IF(Nonlabor!$I$16="Seats",ROUNDUP('Monthly Base'!I14,0),IF(Nonlabor!$I$16="Customers",'Monthly Base'!D14,IF(Nonlabor!$I$16="NewCustomers",'Monthly Base'!C14,IF(Nonlabor!$I$16="StorageGB",'Monthly Base'!G14,IF(Nonlabor!$I$16="LogGB",'Monthly Base'!H14,IF(Nonlabor!$I$16="RequestsM",'Monthly Base'!F14,IF(Nonlabor!$I$16="InputM",'Monthly Base'!D14*Assumptions!$D$22/1000000,IF(Nonlabor!$I$16="OutputM",'Monthly Base'!D14*Assumptions!$D$23/1000000,0))))))))),0)</f>
        <v>0</v>
      </c>
      <c r="F1934" s="10" t="n">
        <f aca="false">Nonlabor!$J$16*(1+Assumptions!$D$9)^INT((C1934-1)/12)</f>
        <v>12000</v>
      </c>
      <c r="G1934" s="10" t="n">
        <f aca="false">E1934*F1934</f>
        <v>0</v>
      </c>
      <c r="H1934" s="10" t="n">
        <f aca="false">IF(OR(Nonlabor!$L$16="Quote required",Nonlabor!$L$16="Unverified"),G1934,0)</f>
        <v>0</v>
      </c>
      <c r="I1934" s="10" t="n">
        <f aca="false">IF(Nonlabor!$E$16="Core",0,G1934)</f>
        <v>0</v>
      </c>
      <c r="J1934" s="23" t="str">
        <f aca="false">Nonlabor!$B$16</f>
        <v>LEGAL</v>
      </c>
    </row>
    <row r="1935" customFormat="false" ht="15" hidden="false" customHeight="false" outlineLevel="0" collapsed="false">
      <c r="A1935" s="6" t="s">
        <v>4</v>
      </c>
      <c r="B1935" s="6" t="s">
        <v>406</v>
      </c>
      <c r="C1935" s="6" t="n">
        <v>10</v>
      </c>
      <c r="D1935" s="25" t="n">
        <f aca="false">EDATE('Start Here'!$B$6,C1935-1)</f>
        <v>46600</v>
      </c>
      <c r="E1935" s="23" t="n">
        <f aca="false">IF(AND(OR(Nonlabor!$D$16="Both",Nonlabor!$D$16='Start Here'!$B$9),IF(Nonlabor!$E$16="Core",1,IF(Nonlabor!$E$16="AI",'Start Here'!$B$7,'Start Here'!$B$8))=1,C1935&gt;=IF(Nonlabor!$E$16="Core",Nonlabor!$F$16,MAX(Nonlabor!$F$16,IF(Nonlabor!$E$16="AI",Assumptions!$D$24,Assumptions!$D$25))),C1935&lt;=Nonlabor!$G$16,OR(Nonlabor!$H$16="Monthly",AND(Nonlabor!$H$16="Once",C1935=IF(Nonlabor!$E$16="Core",Nonlabor!$F$16,MAX(Nonlabor!$F$16,IF(Nonlabor!$E$16="AI",Assumptions!$D$24,Assumptions!$D$25)))),AND(Nonlabor!$H$16="Annual",MOD(C1935-IF(Nonlabor!$E$16="Core",Nonlabor!$F$16,MAX(Nonlabor!$F$16,IF(Nonlabor!$E$16="AI",Assumptions!$D$24,Assumptions!$D$25))),12)=0))),IF(Nonlabor!$I$16="Fixed",1,IF(Nonlabor!$I$16="Seats",ROUNDUP('Monthly Base'!I15,0),IF(Nonlabor!$I$16="Customers",'Monthly Base'!D15,IF(Nonlabor!$I$16="NewCustomers",'Monthly Base'!C15,IF(Nonlabor!$I$16="StorageGB",'Monthly Base'!G15,IF(Nonlabor!$I$16="LogGB",'Monthly Base'!H15,IF(Nonlabor!$I$16="RequestsM",'Monthly Base'!F15,IF(Nonlabor!$I$16="InputM",'Monthly Base'!D15*Assumptions!$D$22/1000000,IF(Nonlabor!$I$16="OutputM",'Monthly Base'!D15*Assumptions!$D$23/1000000,0))))))))),0)</f>
        <v>0</v>
      </c>
      <c r="F1935" s="10" t="n">
        <f aca="false">Nonlabor!$J$16*(1+Assumptions!$D$9)^INT((C1935-1)/12)</f>
        <v>12000</v>
      </c>
      <c r="G1935" s="10" t="n">
        <f aca="false">E1935*F1935</f>
        <v>0</v>
      </c>
      <c r="H1935" s="10" t="n">
        <f aca="false">IF(OR(Nonlabor!$L$16="Quote required",Nonlabor!$L$16="Unverified"),G1935,0)</f>
        <v>0</v>
      </c>
      <c r="I1935" s="10" t="n">
        <f aca="false">IF(Nonlabor!$E$16="Core",0,G1935)</f>
        <v>0</v>
      </c>
      <c r="J1935" s="23" t="str">
        <f aca="false">Nonlabor!$B$16</f>
        <v>LEGAL</v>
      </c>
    </row>
    <row r="1936" customFormat="false" ht="15" hidden="false" customHeight="false" outlineLevel="0" collapsed="false">
      <c r="A1936" s="6" t="s">
        <v>4</v>
      </c>
      <c r="B1936" s="6" t="s">
        <v>406</v>
      </c>
      <c r="C1936" s="6" t="n">
        <v>11</v>
      </c>
      <c r="D1936" s="25" t="n">
        <f aca="false">EDATE('Start Here'!$B$6,C1936-1)</f>
        <v>46631</v>
      </c>
      <c r="E1936" s="23" t="n">
        <f aca="false">IF(AND(OR(Nonlabor!$D$16="Both",Nonlabor!$D$16='Start Here'!$B$9),IF(Nonlabor!$E$16="Core",1,IF(Nonlabor!$E$16="AI",'Start Here'!$B$7,'Start Here'!$B$8))=1,C1936&gt;=IF(Nonlabor!$E$16="Core",Nonlabor!$F$16,MAX(Nonlabor!$F$16,IF(Nonlabor!$E$16="AI",Assumptions!$D$24,Assumptions!$D$25))),C1936&lt;=Nonlabor!$G$16,OR(Nonlabor!$H$16="Monthly",AND(Nonlabor!$H$16="Once",C1936=IF(Nonlabor!$E$16="Core",Nonlabor!$F$16,MAX(Nonlabor!$F$16,IF(Nonlabor!$E$16="AI",Assumptions!$D$24,Assumptions!$D$25)))),AND(Nonlabor!$H$16="Annual",MOD(C1936-IF(Nonlabor!$E$16="Core",Nonlabor!$F$16,MAX(Nonlabor!$F$16,IF(Nonlabor!$E$16="AI",Assumptions!$D$24,Assumptions!$D$25))),12)=0))),IF(Nonlabor!$I$16="Fixed",1,IF(Nonlabor!$I$16="Seats",ROUNDUP('Monthly Base'!I16,0),IF(Nonlabor!$I$16="Customers",'Monthly Base'!D16,IF(Nonlabor!$I$16="NewCustomers",'Monthly Base'!C16,IF(Nonlabor!$I$16="StorageGB",'Monthly Base'!G16,IF(Nonlabor!$I$16="LogGB",'Monthly Base'!H16,IF(Nonlabor!$I$16="RequestsM",'Monthly Base'!F16,IF(Nonlabor!$I$16="InputM",'Monthly Base'!D16*Assumptions!$D$22/1000000,IF(Nonlabor!$I$16="OutputM",'Monthly Base'!D16*Assumptions!$D$23/1000000,0))))))))),0)</f>
        <v>0</v>
      </c>
      <c r="F1936" s="10" t="n">
        <f aca="false">Nonlabor!$J$16*(1+Assumptions!$D$9)^INT((C1936-1)/12)</f>
        <v>12000</v>
      </c>
      <c r="G1936" s="10" t="n">
        <f aca="false">E1936*F1936</f>
        <v>0</v>
      </c>
      <c r="H1936" s="10" t="n">
        <f aca="false">IF(OR(Nonlabor!$L$16="Quote required",Nonlabor!$L$16="Unverified"),G1936,0)</f>
        <v>0</v>
      </c>
      <c r="I1936" s="10" t="n">
        <f aca="false">IF(Nonlabor!$E$16="Core",0,G1936)</f>
        <v>0</v>
      </c>
      <c r="J1936" s="23" t="str">
        <f aca="false">Nonlabor!$B$16</f>
        <v>LEGAL</v>
      </c>
    </row>
    <row r="1937" customFormat="false" ht="15" hidden="false" customHeight="false" outlineLevel="0" collapsed="false">
      <c r="A1937" s="6" t="s">
        <v>4</v>
      </c>
      <c r="B1937" s="6" t="s">
        <v>406</v>
      </c>
      <c r="C1937" s="6" t="n">
        <v>12</v>
      </c>
      <c r="D1937" s="25" t="n">
        <f aca="false">EDATE('Start Here'!$B$6,C1937-1)</f>
        <v>46661</v>
      </c>
      <c r="E1937" s="23" t="n">
        <f aca="false">IF(AND(OR(Nonlabor!$D$16="Both",Nonlabor!$D$16='Start Here'!$B$9),IF(Nonlabor!$E$16="Core",1,IF(Nonlabor!$E$16="AI",'Start Here'!$B$7,'Start Here'!$B$8))=1,C1937&gt;=IF(Nonlabor!$E$16="Core",Nonlabor!$F$16,MAX(Nonlabor!$F$16,IF(Nonlabor!$E$16="AI",Assumptions!$D$24,Assumptions!$D$25))),C1937&lt;=Nonlabor!$G$16,OR(Nonlabor!$H$16="Monthly",AND(Nonlabor!$H$16="Once",C1937=IF(Nonlabor!$E$16="Core",Nonlabor!$F$16,MAX(Nonlabor!$F$16,IF(Nonlabor!$E$16="AI",Assumptions!$D$24,Assumptions!$D$25)))),AND(Nonlabor!$H$16="Annual",MOD(C1937-IF(Nonlabor!$E$16="Core",Nonlabor!$F$16,MAX(Nonlabor!$F$16,IF(Nonlabor!$E$16="AI",Assumptions!$D$24,Assumptions!$D$25))),12)=0))),IF(Nonlabor!$I$16="Fixed",1,IF(Nonlabor!$I$16="Seats",ROUNDUP('Monthly Base'!I17,0),IF(Nonlabor!$I$16="Customers",'Monthly Base'!D17,IF(Nonlabor!$I$16="NewCustomers",'Monthly Base'!C17,IF(Nonlabor!$I$16="StorageGB",'Monthly Base'!G17,IF(Nonlabor!$I$16="LogGB",'Monthly Base'!H17,IF(Nonlabor!$I$16="RequestsM",'Monthly Base'!F17,IF(Nonlabor!$I$16="InputM",'Monthly Base'!D17*Assumptions!$D$22/1000000,IF(Nonlabor!$I$16="OutputM",'Monthly Base'!D17*Assumptions!$D$23/1000000,0))))))))),0)</f>
        <v>0</v>
      </c>
      <c r="F1937" s="10" t="n">
        <f aca="false">Nonlabor!$J$16*(1+Assumptions!$D$9)^INT((C1937-1)/12)</f>
        <v>12000</v>
      </c>
      <c r="G1937" s="10" t="n">
        <f aca="false">E1937*F1937</f>
        <v>0</v>
      </c>
      <c r="H1937" s="10" t="n">
        <f aca="false">IF(OR(Nonlabor!$L$16="Quote required",Nonlabor!$L$16="Unverified"),G1937,0)</f>
        <v>0</v>
      </c>
      <c r="I1937" s="10" t="n">
        <f aca="false">IF(Nonlabor!$E$16="Core",0,G1937)</f>
        <v>0</v>
      </c>
      <c r="J1937" s="23" t="str">
        <f aca="false">Nonlabor!$B$16</f>
        <v>LEGAL</v>
      </c>
    </row>
    <row r="1938" customFormat="false" ht="15" hidden="false" customHeight="false" outlineLevel="0" collapsed="false">
      <c r="A1938" s="6" t="s">
        <v>4</v>
      </c>
      <c r="B1938" s="6" t="s">
        <v>406</v>
      </c>
      <c r="C1938" s="6" t="n">
        <v>13</v>
      </c>
      <c r="D1938" s="25" t="n">
        <f aca="false">EDATE('Start Here'!$B$6,C1938-1)</f>
        <v>46692</v>
      </c>
      <c r="E1938" s="23" t="n">
        <f aca="false">IF(AND(OR(Nonlabor!$D$16="Both",Nonlabor!$D$16='Start Here'!$B$9),IF(Nonlabor!$E$16="Core",1,IF(Nonlabor!$E$16="AI",'Start Here'!$B$7,'Start Here'!$B$8))=1,C1938&gt;=IF(Nonlabor!$E$16="Core",Nonlabor!$F$16,MAX(Nonlabor!$F$16,IF(Nonlabor!$E$16="AI",Assumptions!$D$24,Assumptions!$D$25))),C1938&lt;=Nonlabor!$G$16,OR(Nonlabor!$H$16="Monthly",AND(Nonlabor!$H$16="Once",C1938=IF(Nonlabor!$E$16="Core",Nonlabor!$F$16,MAX(Nonlabor!$F$16,IF(Nonlabor!$E$16="AI",Assumptions!$D$24,Assumptions!$D$25)))),AND(Nonlabor!$H$16="Annual",MOD(C1938-IF(Nonlabor!$E$16="Core",Nonlabor!$F$16,MAX(Nonlabor!$F$16,IF(Nonlabor!$E$16="AI",Assumptions!$D$24,Assumptions!$D$25))),12)=0))),IF(Nonlabor!$I$16="Fixed",1,IF(Nonlabor!$I$16="Seats",ROUNDUP('Monthly Base'!I18,0),IF(Nonlabor!$I$16="Customers",'Monthly Base'!D18,IF(Nonlabor!$I$16="NewCustomers",'Monthly Base'!C18,IF(Nonlabor!$I$16="StorageGB",'Monthly Base'!G18,IF(Nonlabor!$I$16="LogGB",'Monthly Base'!H18,IF(Nonlabor!$I$16="RequestsM",'Monthly Base'!F18,IF(Nonlabor!$I$16="InputM",'Monthly Base'!D18*Assumptions!$D$22/1000000,IF(Nonlabor!$I$16="OutputM",'Monthly Base'!D18*Assumptions!$D$23/1000000,0))))))))),0)</f>
        <v>0</v>
      </c>
      <c r="F1938" s="10" t="n">
        <f aca="false">Nonlabor!$J$16*(1+Assumptions!$D$9)^INT((C1938-1)/12)</f>
        <v>12360</v>
      </c>
      <c r="G1938" s="10" t="n">
        <f aca="false">E1938*F1938</f>
        <v>0</v>
      </c>
      <c r="H1938" s="10" t="n">
        <f aca="false">IF(OR(Nonlabor!$L$16="Quote required",Nonlabor!$L$16="Unverified"),G1938,0)</f>
        <v>0</v>
      </c>
      <c r="I1938" s="10" t="n">
        <f aca="false">IF(Nonlabor!$E$16="Core",0,G1938)</f>
        <v>0</v>
      </c>
      <c r="J1938" s="23" t="str">
        <f aca="false">Nonlabor!$B$16</f>
        <v>LEGAL</v>
      </c>
    </row>
    <row r="1939" customFormat="false" ht="15" hidden="false" customHeight="false" outlineLevel="0" collapsed="false">
      <c r="A1939" s="6" t="s">
        <v>4</v>
      </c>
      <c r="B1939" s="6" t="s">
        <v>406</v>
      </c>
      <c r="C1939" s="6" t="n">
        <v>14</v>
      </c>
      <c r="D1939" s="25" t="n">
        <f aca="false">EDATE('Start Here'!$B$6,C1939-1)</f>
        <v>46722</v>
      </c>
      <c r="E1939" s="23" t="n">
        <f aca="false">IF(AND(OR(Nonlabor!$D$16="Both",Nonlabor!$D$16='Start Here'!$B$9),IF(Nonlabor!$E$16="Core",1,IF(Nonlabor!$E$16="AI",'Start Here'!$B$7,'Start Here'!$B$8))=1,C1939&gt;=IF(Nonlabor!$E$16="Core",Nonlabor!$F$16,MAX(Nonlabor!$F$16,IF(Nonlabor!$E$16="AI",Assumptions!$D$24,Assumptions!$D$25))),C1939&lt;=Nonlabor!$G$16,OR(Nonlabor!$H$16="Monthly",AND(Nonlabor!$H$16="Once",C1939=IF(Nonlabor!$E$16="Core",Nonlabor!$F$16,MAX(Nonlabor!$F$16,IF(Nonlabor!$E$16="AI",Assumptions!$D$24,Assumptions!$D$25)))),AND(Nonlabor!$H$16="Annual",MOD(C1939-IF(Nonlabor!$E$16="Core",Nonlabor!$F$16,MAX(Nonlabor!$F$16,IF(Nonlabor!$E$16="AI",Assumptions!$D$24,Assumptions!$D$25))),12)=0))),IF(Nonlabor!$I$16="Fixed",1,IF(Nonlabor!$I$16="Seats",ROUNDUP('Monthly Base'!I19,0),IF(Nonlabor!$I$16="Customers",'Monthly Base'!D19,IF(Nonlabor!$I$16="NewCustomers",'Monthly Base'!C19,IF(Nonlabor!$I$16="StorageGB",'Monthly Base'!G19,IF(Nonlabor!$I$16="LogGB",'Monthly Base'!H19,IF(Nonlabor!$I$16="RequestsM",'Monthly Base'!F19,IF(Nonlabor!$I$16="InputM",'Monthly Base'!D19*Assumptions!$D$22/1000000,IF(Nonlabor!$I$16="OutputM",'Monthly Base'!D19*Assumptions!$D$23/1000000,0))))))))),0)</f>
        <v>1</v>
      </c>
      <c r="F1939" s="10" t="n">
        <f aca="false">Nonlabor!$J$16*(1+Assumptions!$D$9)^INT((C1939-1)/12)</f>
        <v>12360</v>
      </c>
      <c r="G1939" s="10" t="n">
        <f aca="false">E1939*F1939</f>
        <v>12360</v>
      </c>
      <c r="H1939" s="10" t="n">
        <f aca="false">IF(OR(Nonlabor!$L$16="Quote required",Nonlabor!$L$16="Unverified"),G1939,0)</f>
        <v>12360</v>
      </c>
      <c r="I1939" s="10" t="n">
        <f aca="false">IF(Nonlabor!$E$16="Core",0,G1939)</f>
        <v>0</v>
      </c>
      <c r="J1939" s="23" t="str">
        <f aca="false">Nonlabor!$B$16</f>
        <v>LEGAL</v>
      </c>
    </row>
    <row r="1940" customFormat="false" ht="15" hidden="false" customHeight="false" outlineLevel="0" collapsed="false">
      <c r="A1940" s="6" t="s">
        <v>4</v>
      </c>
      <c r="B1940" s="6" t="s">
        <v>406</v>
      </c>
      <c r="C1940" s="6" t="n">
        <v>15</v>
      </c>
      <c r="D1940" s="25" t="n">
        <f aca="false">EDATE('Start Here'!$B$6,C1940-1)</f>
        <v>46753</v>
      </c>
      <c r="E1940" s="23" t="n">
        <f aca="false">IF(AND(OR(Nonlabor!$D$16="Both",Nonlabor!$D$16='Start Here'!$B$9),IF(Nonlabor!$E$16="Core",1,IF(Nonlabor!$E$16="AI",'Start Here'!$B$7,'Start Here'!$B$8))=1,C1940&gt;=IF(Nonlabor!$E$16="Core",Nonlabor!$F$16,MAX(Nonlabor!$F$16,IF(Nonlabor!$E$16="AI",Assumptions!$D$24,Assumptions!$D$25))),C1940&lt;=Nonlabor!$G$16,OR(Nonlabor!$H$16="Monthly",AND(Nonlabor!$H$16="Once",C1940=IF(Nonlabor!$E$16="Core",Nonlabor!$F$16,MAX(Nonlabor!$F$16,IF(Nonlabor!$E$16="AI",Assumptions!$D$24,Assumptions!$D$25)))),AND(Nonlabor!$H$16="Annual",MOD(C1940-IF(Nonlabor!$E$16="Core",Nonlabor!$F$16,MAX(Nonlabor!$F$16,IF(Nonlabor!$E$16="AI",Assumptions!$D$24,Assumptions!$D$25))),12)=0))),IF(Nonlabor!$I$16="Fixed",1,IF(Nonlabor!$I$16="Seats",ROUNDUP('Monthly Base'!I20,0),IF(Nonlabor!$I$16="Customers",'Monthly Base'!D20,IF(Nonlabor!$I$16="NewCustomers",'Monthly Base'!C20,IF(Nonlabor!$I$16="StorageGB",'Monthly Base'!G20,IF(Nonlabor!$I$16="LogGB",'Monthly Base'!H20,IF(Nonlabor!$I$16="RequestsM",'Monthly Base'!F20,IF(Nonlabor!$I$16="InputM",'Monthly Base'!D20*Assumptions!$D$22/1000000,IF(Nonlabor!$I$16="OutputM",'Monthly Base'!D20*Assumptions!$D$23/1000000,0))))))))),0)</f>
        <v>0</v>
      </c>
      <c r="F1940" s="10" t="n">
        <f aca="false">Nonlabor!$J$16*(1+Assumptions!$D$9)^INT((C1940-1)/12)</f>
        <v>12360</v>
      </c>
      <c r="G1940" s="10" t="n">
        <f aca="false">E1940*F1940</f>
        <v>0</v>
      </c>
      <c r="H1940" s="10" t="n">
        <f aca="false">IF(OR(Nonlabor!$L$16="Quote required",Nonlabor!$L$16="Unverified"),G1940,0)</f>
        <v>0</v>
      </c>
      <c r="I1940" s="10" t="n">
        <f aca="false">IF(Nonlabor!$E$16="Core",0,G1940)</f>
        <v>0</v>
      </c>
      <c r="J1940" s="23" t="str">
        <f aca="false">Nonlabor!$B$16</f>
        <v>LEGAL</v>
      </c>
    </row>
    <row r="1941" customFormat="false" ht="15" hidden="false" customHeight="false" outlineLevel="0" collapsed="false">
      <c r="A1941" s="6" t="s">
        <v>4</v>
      </c>
      <c r="B1941" s="6" t="s">
        <v>406</v>
      </c>
      <c r="C1941" s="6" t="n">
        <v>16</v>
      </c>
      <c r="D1941" s="25" t="n">
        <f aca="false">EDATE('Start Here'!$B$6,C1941-1)</f>
        <v>46784</v>
      </c>
      <c r="E1941" s="23" t="n">
        <f aca="false">IF(AND(OR(Nonlabor!$D$16="Both",Nonlabor!$D$16='Start Here'!$B$9),IF(Nonlabor!$E$16="Core",1,IF(Nonlabor!$E$16="AI",'Start Here'!$B$7,'Start Here'!$B$8))=1,C1941&gt;=IF(Nonlabor!$E$16="Core",Nonlabor!$F$16,MAX(Nonlabor!$F$16,IF(Nonlabor!$E$16="AI",Assumptions!$D$24,Assumptions!$D$25))),C1941&lt;=Nonlabor!$G$16,OR(Nonlabor!$H$16="Monthly",AND(Nonlabor!$H$16="Once",C1941=IF(Nonlabor!$E$16="Core",Nonlabor!$F$16,MAX(Nonlabor!$F$16,IF(Nonlabor!$E$16="AI",Assumptions!$D$24,Assumptions!$D$25)))),AND(Nonlabor!$H$16="Annual",MOD(C1941-IF(Nonlabor!$E$16="Core",Nonlabor!$F$16,MAX(Nonlabor!$F$16,IF(Nonlabor!$E$16="AI",Assumptions!$D$24,Assumptions!$D$25))),12)=0))),IF(Nonlabor!$I$16="Fixed",1,IF(Nonlabor!$I$16="Seats",ROUNDUP('Monthly Base'!I21,0),IF(Nonlabor!$I$16="Customers",'Monthly Base'!D21,IF(Nonlabor!$I$16="NewCustomers",'Monthly Base'!C21,IF(Nonlabor!$I$16="StorageGB",'Monthly Base'!G21,IF(Nonlabor!$I$16="LogGB",'Monthly Base'!H21,IF(Nonlabor!$I$16="RequestsM",'Monthly Base'!F21,IF(Nonlabor!$I$16="InputM",'Monthly Base'!D21*Assumptions!$D$22/1000000,IF(Nonlabor!$I$16="OutputM",'Monthly Base'!D21*Assumptions!$D$23/1000000,0))))))))),0)</f>
        <v>0</v>
      </c>
      <c r="F1941" s="10" t="n">
        <f aca="false">Nonlabor!$J$16*(1+Assumptions!$D$9)^INT((C1941-1)/12)</f>
        <v>12360</v>
      </c>
      <c r="G1941" s="10" t="n">
        <f aca="false">E1941*F1941</f>
        <v>0</v>
      </c>
      <c r="H1941" s="10" t="n">
        <f aca="false">IF(OR(Nonlabor!$L$16="Quote required",Nonlabor!$L$16="Unverified"),G1941,0)</f>
        <v>0</v>
      </c>
      <c r="I1941" s="10" t="n">
        <f aca="false">IF(Nonlabor!$E$16="Core",0,G1941)</f>
        <v>0</v>
      </c>
      <c r="J1941" s="23" t="str">
        <f aca="false">Nonlabor!$B$16</f>
        <v>LEGAL</v>
      </c>
    </row>
    <row r="1942" customFormat="false" ht="15" hidden="false" customHeight="false" outlineLevel="0" collapsed="false">
      <c r="A1942" s="6" t="s">
        <v>4</v>
      </c>
      <c r="B1942" s="6" t="s">
        <v>406</v>
      </c>
      <c r="C1942" s="6" t="n">
        <v>17</v>
      </c>
      <c r="D1942" s="25" t="n">
        <f aca="false">EDATE('Start Here'!$B$6,C1942-1)</f>
        <v>46813</v>
      </c>
      <c r="E1942" s="23" t="n">
        <f aca="false">IF(AND(OR(Nonlabor!$D$16="Both",Nonlabor!$D$16='Start Here'!$B$9),IF(Nonlabor!$E$16="Core",1,IF(Nonlabor!$E$16="AI",'Start Here'!$B$7,'Start Here'!$B$8))=1,C1942&gt;=IF(Nonlabor!$E$16="Core",Nonlabor!$F$16,MAX(Nonlabor!$F$16,IF(Nonlabor!$E$16="AI",Assumptions!$D$24,Assumptions!$D$25))),C1942&lt;=Nonlabor!$G$16,OR(Nonlabor!$H$16="Monthly",AND(Nonlabor!$H$16="Once",C1942=IF(Nonlabor!$E$16="Core",Nonlabor!$F$16,MAX(Nonlabor!$F$16,IF(Nonlabor!$E$16="AI",Assumptions!$D$24,Assumptions!$D$25)))),AND(Nonlabor!$H$16="Annual",MOD(C1942-IF(Nonlabor!$E$16="Core",Nonlabor!$F$16,MAX(Nonlabor!$F$16,IF(Nonlabor!$E$16="AI",Assumptions!$D$24,Assumptions!$D$25))),12)=0))),IF(Nonlabor!$I$16="Fixed",1,IF(Nonlabor!$I$16="Seats",ROUNDUP('Monthly Base'!I22,0),IF(Nonlabor!$I$16="Customers",'Monthly Base'!D22,IF(Nonlabor!$I$16="NewCustomers",'Monthly Base'!C22,IF(Nonlabor!$I$16="StorageGB",'Monthly Base'!G22,IF(Nonlabor!$I$16="LogGB",'Monthly Base'!H22,IF(Nonlabor!$I$16="RequestsM",'Monthly Base'!F22,IF(Nonlabor!$I$16="InputM",'Monthly Base'!D22*Assumptions!$D$22/1000000,IF(Nonlabor!$I$16="OutputM",'Monthly Base'!D22*Assumptions!$D$23/1000000,0))))))))),0)</f>
        <v>0</v>
      </c>
      <c r="F1942" s="10" t="n">
        <f aca="false">Nonlabor!$J$16*(1+Assumptions!$D$9)^INT((C1942-1)/12)</f>
        <v>12360</v>
      </c>
      <c r="G1942" s="10" t="n">
        <f aca="false">E1942*F1942</f>
        <v>0</v>
      </c>
      <c r="H1942" s="10" t="n">
        <f aca="false">IF(OR(Nonlabor!$L$16="Quote required",Nonlabor!$L$16="Unverified"),G1942,0)</f>
        <v>0</v>
      </c>
      <c r="I1942" s="10" t="n">
        <f aca="false">IF(Nonlabor!$E$16="Core",0,G1942)</f>
        <v>0</v>
      </c>
      <c r="J1942" s="23" t="str">
        <f aca="false">Nonlabor!$B$16</f>
        <v>LEGAL</v>
      </c>
    </row>
    <row r="1943" customFormat="false" ht="15" hidden="false" customHeight="false" outlineLevel="0" collapsed="false">
      <c r="A1943" s="6" t="s">
        <v>4</v>
      </c>
      <c r="B1943" s="6" t="s">
        <v>406</v>
      </c>
      <c r="C1943" s="6" t="n">
        <v>18</v>
      </c>
      <c r="D1943" s="25" t="n">
        <f aca="false">EDATE('Start Here'!$B$6,C1943-1)</f>
        <v>46844</v>
      </c>
      <c r="E1943" s="23" t="n">
        <f aca="false">IF(AND(OR(Nonlabor!$D$16="Both",Nonlabor!$D$16='Start Here'!$B$9),IF(Nonlabor!$E$16="Core",1,IF(Nonlabor!$E$16="AI",'Start Here'!$B$7,'Start Here'!$B$8))=1,C1943&gt;=IF(Nonlabor!$E$16="Core",Nonlabor!$F$16,MAX(Nonlabor!$F$16,IF(Nonlabor!$E$16="AI",Assumptions!$D$24,Assumptions!$D$25))),C1943&lt;=Nonlabor!$G$16,OR(Nonlabor!$H$16="Monthly",AND(Nonlabor!$H$16="Once",C1943=IF(Nonlabor!$E$16="Core",Nonlabor!$F$16,MAX(Nonlabor!$F$16,IF(Nonlabor!$E$16="AI",Assumptions!$D$24,Assumptions!$D$25)))),AND(Nonlabor!$H$16="Annual",MOD(C1943-IF(Nonlabor!$E$16="Core",Nonlabor!$F$16,MAX(Nonlabor!$F$16,IF(Nonlabor!$E$16="AI",Assumptions!$D$24,Assumptions!$D$25))),12)=0))),IF(Nonlabor!$I$16="Fixed",1,IF(Nonlabor!$I$16="Seats",ROUNDUP('Monthly Base'!I23,0),IF(Nonlabor!$I$16="Customers",'Monthly Base'!D23,IF(Nonlabor!$I$16="NewCustomers",'Monthly Base'!C23,IF(Nonlabor!$I$16="StorageGB",'Monthly Base'!G23,IF(Nonlabor!$I$16="LogGB",'Monthly Base'!H23,IF(Nonlabor!$I$16="RequestsM",'Monthly Base'!F23,IF(Nonlabor!$I$16="InputM",'Monthly Base'!D23*Assumptions!$D$22/1000000,IF(Nonlabor!$I$16="OutputM",'Monthly Base'!D23*Assumptions!$D$23/1000000,0))))))))),0)</f>
        <v>0</v>
      </c>
      <c r="F1943" s="10" t="n">
        <f aca="false">Nonlabor!$J$16*(1+Assumptions!$D$9)^INT((C1943-1)/12)</f>
        <v>12360</v>
      </c>
      <c r="G1943" s="10" t="n">
        <f aca="false">E1943*F1943</f>
        <v>0</v>
      </c>
      <c r="H1943" s="10" t="n">
        <f aca="false">IF(OR(Nonlabor!$L$16="Quote required",Nonlabor!$L$16="Unverified"),G1943,0)</f>
        <v>0</v>
      </c>
      <c r="I1943" s="10" t="n">
        <f aca="false">IF(Nonlabor!$E$16="Core",0,G1943)</f>
        <v>0</v>
      </c>
      <c r="J1943" s="23" t="str">
        <f aca="false">Nonlabor!$B$16</f>
        <v>LEGAL</v>
      </c>
    </row>
    <row r="1944" customFormat="false" ht="15" hidden="false" customHeight="false" outlineLevel="0" collapsed="false">
      <c r="A1944" s="6" t="s">
        <v>4</v>
      </c>
      <c r="B1944" s="6" t="s">
        <v>406</v>
      </c>
      <c r="C1944" s="6" t="n">
        <v>19</v>
      </c>
      <c r="D1944" s="25" t="n">
        <f aca="false">EDATE('Start Here'!$B$6,C1944-1)</f>
        <v>46874</v>
      </c>
      <c r="E1944" s="23" t="n">
        <f aca="false">IF(AND(OR(Nonlabor!$D$16="Both",Nonlabor!$D$16='Start Here'!$B$9),IF(Nonlabor!$E$16="Core",1,IF(Nonlabor!$E$16="AI",'Start Here'!$B$7,'Start Here'!$B$8))=1,C1944&gt;=IF(Nonlabor!$E$16="Core",Nonlabor!$F$16,MAX(Nonlabor!$F$16,IF(Nonlabor!$E$16="AI",Assumptions!$D$24,Assumptions!$D$25))),C1944&lt;=Nonlabor!$G$16,OR(Nonlabor!$H$16="Monthly",AND(Nonlabor!$H$16="Once",C1944=IF(Nonlabor!$E$16="Core",Nonlabor!$F$16,MAX(Nonlabor!$F$16,IF(Nonlabor!$E$16="AI",Assumptions!$D$24,Assumptions!$D$25)))),AND(Nonlabor!$H$16="Annual",MOD(C1944-IF(Nonlabor!$E$16="Core",Nonlabor!$F$16,MAX(Nonlabor!$F$16,IF(Nonlabor!$E$16="AI",Assumptions!$D$24,Assumptions!$D$25))),12)=0))),IF(Nonlabor!$I$16="Fixed",1,IF(Nonlabor!$I$16="Seats",ROUNDUP('Monthly Base'!I24,0),IF(Nonlabor!$I$16="Customers",'Monthly Base'!D24,IF(Nonlabor!$I$16="NewCustomers",'Monthly Base'!C24,IF(Nonlabor!$I$16="StorageGB",'Monthly Base'!G24,IF(Nonlabor!$I$16="LogGB",'Monthly Base'!H24,IF(Nonlabor!$I$16="RequestsM",'Monthly Base'!F24,IF(Nonlabor!$I$16="InputM",'Monthly Base'!D24*Assumptions!$D$22/1000000,IF(Nonlabor!$I$16="OutputM",'Monthly Base'!D24*Assumptions!$D$23/1000000,0))))))))),0)</f>
        <v>0</v>
      </c>
      <c r="F1944" s="10" t="n">
        <f aca="false">Nonlabor!$J$16*(1+Assumptions!$D$9)^INT((C1944-1)/12)</f>
        <v>12360</v>
      </c>
      <c r="G1944" s="10" t="n">
        <f aca="false">E1944*F1944</f>
        <v>0</v>
      </c>
      <c r="H1944" s="10" t="n">
        <f aca="false">IF(OR(Nonlabor!$L$16="Quote required",Nonlabor!$L$16="Unverified"),G1944,0)</f>
        <v>0</v>
      </c>
      <c r="I1944" s="10" t="n">
        <f aca="false">IF(Nonlabor!$E$16="Core",0,G1944)</f>
        <v>0</v>
      </c>
      <c r="J1944" s="23" t="str">
        <f aca="false">Nonlabor!$B$16</f>
        <v>LEGAL</v>
      </c>
    </row>
    <row r="1945" customFormat="false" ht="15" hidden="false" customHeight="false" outlineLevel="0" collapsed="false">
      <c r="A1945" s="6" t="s">
        <v>4</v>
      </c>
      <c r="B1945" s="6" t="s">
        <v>406</v>
      </c>
      <c r="C1945" s="6" t="n">
        <v>20</v>
      </c>
      <c r="D1945" s="25" t="n">
        <f aca="false">EDATE('Start Here'!$B$6,C1945-1)</f>
        <v>46905</v>
      </c>
      <c r="E1945" s="23" t="n">
        <f aca="false">IF(AND(OR(Nonlabor!$D$16="Both",Nonlabor!$D$16='Start Here'!$B$9),IF(Nonlabor!$E$16="Core",1,IF(Nonlabor!$E$16="AI",'Start Here'!$B$7,'Start Here'!$B$8))=1,C1945&gt;=IF(Nonlabor!$E$16="Core",Nonlabor!$F$16,MAX(Nonlabor!$F$16,IF(Nonlabor!$E$16="AI",Assumptions!$D$24,Assumptions!$D$25))),C1945&lt;=Nonlabor!$G$16,OR(Nonlabor!$H$16="Monthly",AND(Nonlabor!$H$16="Once",C1945=IF(Nonlabor!$E$16="Core",Nonlabor!$F$16,MAX(Nonlabor!$F$16,IF(Nonlabor!$E$16="AI",Assumptions!$D$24,Assumptions!$D$25)))),AND(Nonlabor!$H$16="Annual",MOD(C1945-IF(Nonlabor!$E$16="Core",Nonlabor!$F$16,MAX(Nonlabor!$F$16,IF(Nonlabor!$E$16="AI",Assumptions!$D$24,Assumptions!$D$25))),12)=0))),IF(Nonlabor!$I$16="Fixed",1,IF(Nonlabor!$I$16="Seats",ROUNDUP('Monthly Base'!I25,0),IF(Nonlabor!$I$16="Customers",'Monthly Base'!D25,IF(Nonlabor!$I$16="NewCustomers",'Monthly Base'!C25,IF(Nonlabor!$I$16="StorageGB",'Monthly Base'!G25,IF(Nonlabor!$I$16="LogGB",'Monthly Base'!H25,IF(Nonlabor!$I$16="RequestsM",'Monthly Base'!F25,IF(Nonlabor!$I$16="InputM",'Monthly Base'!D25*Assumptions!$D$22/1000000,IF(Nonlabor!$I$16="OutputM",'Monthly Base'!D25*Assumptions!$D$23/1000000,0))))))))),0)</f>
        <v>0</v>
      </c>
      <c r="F1945" s="10" t="n">
        <f aca="false">Nonlabor!$J$16*(1+Assumptions!$D$9)^INT((C1945-1)/12)</f>
        <v>12360</v>
      </c>
      <c r="G1945" s="10" t="n">
        <f aca="false">E1945*F1945</f>
        <v>0</v>
      </c>
      <c r="H1945" s="10" t="n">
        <f aca="false">IF(OR(Nonlabor!$L$16="Quote required",Nonlabor!$L$16="Unverified"),G1945,0)</f>
        <v>0</v>
      </c>
      <c r="I1945" s="10" t="n">
        <f aca="false">IF(Nonlabor!$E$16="Core",0,G1945)</f>
        <v>0</v>
      </c>
      <c r="J1945" s="23" t="str">
        <f aca="false">Nonlabor!$B$16</f>
        <v>LEGAL</v>
      </c>
    </row>
    <row r="1946" customFormat="false" ht="15" hidden="false" customHeight="false" outlineLevel="0" collapsed="false">
      <c r="A1946" s="6" t="s">
        <v>4</v>
      </c>
      <c r="B1946" s="6" t="s">
        <v>406</v>
      </c>
      <c r="C1946" s="6" t="n">
        <v>21</v>
      </c>
      <c r="D1946" s="25" t="n">
        <f aca="false">EDATE('Start Here'!$B$6,C1946-1)</f>
        <v>46935</v>
      </c>
      <c r="E1946" s="23" t="n">
        <f aca="false">IF(AND(OR(Nonlabor!$D$16="Both",Nonlabor!$D$16='Start Here'!$B$9),IF(Nonlabor!$E$16="Core",1,IF(Nonlabor!$E$16="AI",'Start Here'!$B$7,'Start Here'!$B$8))=1,C1946&gt;=IF(Nonlabor!$E$16="Core",Nonlabor!$F$16,MAX(Nonlabor!$F$16,IF(Nonlabor!$E$16="AI",Assumptions!$D$24,Assumptions!$D$25))),C1946&lt;=Nonlabor!$G$16,OR(Nonlabor!$H$16="Monthly",AND(Nonlabor!$H$16="Once",C1946=IF(Nonlabor!$E$16="Core",Nonlabor!$F$16,MAX(Nonlabor!$F$16,IF(Nonlabor!$E$16="AI",Assumptions!$D$24,Assumptions!$D$25)))),AND(Nonlabor!$H$16="Annual",MOD(C1946-IF(Nonlabor!$E$16="Core",Nonlabor!$F$16,MAX(Nonlabor!$F$16,IF(Nonlabor!$E$16="AI",Assumptions!$D$24,Assumptions!$D$25))),12)=0))),IF(Nonlabor!$I$16="Fixed",1,IF(Nonlabor!$I$16="Seats",ROUNDUP('Monthly Base'!I26,0),IF(Nonlabor!$I$16="Customers",'Monthly Base'!D26,IF(Nonlabor!$I$16="NewCustomers",'Monthly Base'!C26,IF(Nonlabor!$I$16="StorageGB",'Monthly Base'!G26,IF(Nonlabor!$I$16="LogGB",'Monthly Base'!H26,IF(Nonlabor!$I$16="RequestsM",'Monthly Base'!F26,IF(Nonlabor!$I$16="InputM",'Monthly Base'!D26*Assumptions!$D$22/1000000,IF(Nonlabor!$I$16="OutputM",'Monthly Base'!D26*Assumptions!$D$23/1000000,0))))))))),0)</f>
        <v>0</v>
      </c>
      <c r="F1946" s="10" t="n">
        <f aca="false">Nonlabor!$J$16*(1+Assumptions!$D$9)^INT((C1946-1)/12)</f>
        <v>12360</v>
      </c>
      <c r="G1946" s="10" t="n">
        <f aca="false">E1946*F1946</f>
        <v>0</v>
      </c>
      <c r="H1946" s="10" t="n">
        <f aca="false">IF(OR(Nonlabor!$L$16="Quote required",Nonlabor!$L$16="Unverified"),G1946,0)</f>
        <v>0</v>
      </c>
      <c r="I1946" s="10" t="n">
        <f aca="false">IF(Nonlabor!$E$16="Core",0,G1946)</f>
        <v>0</v>
      </c>
      <c r="J1946" s="23" t="str">
        <f aca="false">Nonlabor!$B$16</f>
        <v>LEGAL</v>
      </c>
    </row>
    <row r="1947" customFormat="false" ht="15" hidden="false" customHeight="false" outlineLevel="0" collapsed="false">
      <c r="A1947" s="6" t="s">
        <v>4</v>
      </c>
      <c r="B1947" s="6" t="s">
        <v>406</v>
      </c>
      <c r="C1947" s="6" t="n">
        <v>22</v>
      </c>
      <c r="D1947" s="25" t="n">
        <f aca="false">EDATE('Start Here'!$B$6,C1947-1)</f>
        <v>46966</v>
      </c>
      <c r="E1947" s="23" t="n">
        <f aca="false">IF(AND(OR(Nonlabor!$D$16="Both",Nonlabor!$D$16='Start Here'!$B$9),IF(Nonlabor!$E$16="Core",1,IF(Nonlabor!$E$16="AI",'Start Here'!$B$7,'Start Here'!$B$8))=1,C1947&gt;=IF(Nonlabor!$E$16="Core",Nonlabor!$F$16,MAX(Nonlabor!$F$16,IF(Nonlabor!$E$16="AI",Assumptions!$D$24,Assumptions!$D$25))),C1947&lt;=Nonlabor!$G$16,OR(Nonlabor!$H$16="Monthly",AND(Nonlabor!$H$16="Once",C1947=IF(Nonlabor!$E$16="Core",Nonlabor!$F$16,MAX(Nonlabor!$F$16,IF(Nonlabor!$E$16="AI",Assumptions!$D$24,Assumptions!$D$25)))),AND(Nonlabor!$H$16="Annual",MOD(C1947-IF(Nonlabor!$E$16="Core",Nonlabor!$F$16,MAX(Nonlabor!$F$16,IF(Nonlabor!$E$16="AI",Assumptions!$D$24,Assumptions!$D$25))),12)=0))),IF(Nonlabor!$I$16="Fixed",1,IF(Nonlabor!$I$16="Seats",ROUNDUP('Monthly Base'!I27,0),IF(Nonlabor!$I$16="Customers",'Monthly Base'!D27,IF(Nonlabor!$I$16="NewCustomers",'Monthly Base'!C27,IF(Nonlabor!$I$16="StorageGB",'Monthly Base'!G27,IF(Nonlabor!$I$16="LogGB",'Monthly Base'!H27,IF(Nonlabor!$I$16="RequestsM",'Monthly Base'!F27,IF(Nonlabor!$I$16="InputM",'Monthly Base'!D27*Assumptions!$D$22/1000000,IF(Nonlabor!$I$16="OutputM",'Monthly Base'!D27*Assumptions!$D$23/1000000,0))))))))),0)</f>
        <v>0</v>
      </c>
      <c r="F1947" s="10" t="n">
        <f aca="false">Nonlabor!$J$16*(1+Assumptions!$D$9)^INT((C1947-1)/12)</f>
        <v>12360</v>
      </c>
      <c r="G1947" s="10" t="n">
        <f aca="false">E1947*F1947</f>
        <v>0</v>
      </c>
      <c r="H1947" s="10" t="n">
        <f aca="false">IF(OR(Nonlabor!$L$16="Quote required",Nonlabor!$L$16="Unverified"),G1947,0)</f>
        <v>0</v>
      </c>
      <c r="I1947" s="10" t="n">
        <f aca="false">IF(Nonlabor!$E$16="Core",0,G1947)</f>
        <v>0</v>
      </c>
      <c r="J1947" s="23" t="str">
        <f aca="false">Nonlabor!$B$16</f>
        <v>LEGAL</v>
      </c>
    </row>
    <row r="1948" customFormat="false" ht="15" hidden="false" customHeight="false" outlineLevel="0" collapsed="false">
      <c r="A1948" s="6" t="s">
        <v>4</v>
      </c>
      <c r="B1948" s="6" t="s">
        <v>406</v>
      </c>
      <c r="C1948" s="6" t="n">
        <v>23</v>
      </c>
      <c r="D1948" s="25" t="n">
        <f aca="false">EDATE('Start Here'!$B$6,C1948-1)</f>
        <v>46997</v>
      </c>
      <c r="E1948" s="23" t="n">
        <f aca="false">IF(AND(OR(Nonlabor!$D$16="Both",Nonlabor!$D$16='Start Here'!$B$9),IF(Nonlabor!$E$16="Core",1,IF(Nonlabor!$E$16="AI",'Start Here'!$B$7,'Start Here'!$B$8))=1,C1948&gt;=IF(Nonlabor!$E$16="Core",Nonlabor!$F$16,MAX(Nonlabor!$F$16,IF(Nonlabor!$E$16="AI",Assumptions!$D$24,Assumptions!$D$25))),C1948&lt;=Nonlabor!$G$16,OR(Nonlabor!$H$16="Monthly",AND(Nonlabor!$H$16="Once",C1948=IF(Nonlabor!$E$16="Core",Nonlabor!$F$16,MAX(Nonlabor!$F$16,IF(Nonlabor!$E$16="AI",Assumptions!$D$24,Assumptions!$D$25)))),AND(Nonlabor!$H$16="Annual",MOD(C1948-IF(Nonlabor!$E$16="Core",Nonlabor!$F$16,MAX(Nonlabor!$F$16,IF(Nonlabor!$E$16="AI",Assumptions!$D$24,Assumptions!$D$25))),12)=0))),IF(Nonlabor!$I$16="Fixed",1,IF(Nonlabor!$I$16="Seats",ROUNDUP('Monthly Base'!I28,0),IF(Nonlabor!$I$16="Customers",'Monthly Base'!D28,IF(Nonlabor!$I$16="NewCustomers",'Monthly Base'!C28,IF(Nonlabor!$I$16="StorageGB",'Monthly Base'!G28,IF(Nonlabor!$I$16="LogGB",'Monthly Base'!H28,IF(Nonlabor!$I$16="RequestsM",'Monthly Base'!F28,IF(Nonlabor!$I$16="InputM",'Monthly Base'!D28*Assumptions!$D$22/1000000,IF(Nonlabor!$I$16="OutputM",'Monthly Base'!D28*Assumptions!$D$23/1000000,0))))))))),0)</f>
        <v>0</v>
      </c>
      <c r="F1948" s="10" t="n">
        <f aca="false">Nonlabor!$J$16*(1+Assumptions!$D$9)^INT((C1948-1)/12)</f>
        <v>12360</v>
      </c>
      <c r="G1948" s="10" t="n">
        <f aca="false">E1948*F1948</f>
        <v>0</v>
      </c>
      <c r="H1948" s="10" t="n">
        <f aca="false">IF(OR(Nonlabor!$L$16="Quote required",Nonlabor!$L$16="Unverified"),G1948,0)</f>
        <v>0</v>
      </c>
      <c r="I1948" s="10" t="n">
        <f aca="false">IF(Nonlabor!$E$16="Core",0,G1948)</f>
        <v>0</v>
      </c>
      <c r="J1948" s="23" t="str">
        <f aca="false">Nonlabor!$B$16</f>
        <v>LEGAL</v>
      </c>
    </row>
    <row r="1949" customFormat="false" ht="15" hidden="false" customHeight="false" outlineLevel="0" collapsed="false">
      <c r="A1949" s="6" t="s">
        <v>4</v>
      </c>
      <c r="B1949" s="6" t="s">
        <v>406</v>
      </c>
      <c r="C1949" s="6" t="n">
        <v>24</v>
      </c>
      <c r="D1949" s="25" t="n">
        <f aca="false">EDATE('Start Here'!$B$6,C1949-1)</f>
        <v>47027</v>
      </c>
      <c r="E1949" s="23" t="n">
        <f aca="false">IF(AND(OR(Nonlabor!$D$16="Both",Nonlabor!$D$16='Start Here'!$B$9),IF(Nonlabor!$E$16="Core",1,IF(Nonlabor!$E$16="AI",'Start Here'!$B$7,'Start Here'!$B$8))=1,C1949&gt;=IF(Nonlabor!$E$16="Core",Nonlabor!$F$16,MAX(Nonlabor!$F$16,IF(Nonlabor!$E$16="AI",Assumptions!$D$24,Assumptions!$D$25))),C1949&lt;=Nonlabor!$G$16,OR(Nonlabor!$H$16="Monthly",AND(Nonlabor!$H$16="Once",C1949=IF(Nonlabor!$E$16="Core",Nonlabor!$F$16,MAX(Nonlabor!$F$16,IF(Nonlabor!$E$16="AI",Assumptions!$D$24,Assumptions!$D$25)))),AND(Nonlabor!$H$16="Annual",MOD(C1949-IF(Nonlabor!$E$16="Core",Nonlabor!$F$16,MAX(Nonlabor!$F$16,IF(Nonlabor!$E$16="AI",Assumptions!$D$24,Assumptions!$D$25))),12)=0))),IF(Nonlabor!$I$16="Fixed",1,IF(Nonlabor!$I$16="Seats",ROUNDUP('Monthly Base'!I29,0),IF(Nonlabor!$I$16="Customers",'Monthly Base'!D29,IF(Nonlabor!$I$16="NewCustomers",'Monthly Base'!C29,IF(Nonlabor!$I$16="StorageGB",'Monthly Base'!G29,IF(Nonlabor!$I$16="LogGB",'Monthly Base'!H29,IF(Nonlabor!$I$16="RequestsM",'Monthly Base'!F29,IF(Nonlabor!$I$16="InputM",'Monthly Base'!D29*Assumptions!$D$22/1000000,IF(Nonlabor!$I$16="OutputM",'Monthly Base'!D29*Assumptions!$D$23/1000000,0))))))))),0)</f>
        <v>0</v>
      </c>
      <c r="F1949" s="10" t="n">
        <f aca="false">Nonlabor!$J$16*(1+Assumptions!$D$9)^INT((C1949-1)/12)</f>
        <v>12360</v>
      </c>
      <c r="G1949" s="10" t="n">
        <f aca="false">E1949*F1949</f>
        <v>0</v>
      </c>
      <c r="H1949" s="10" t="n">
        <f aca="false">IF(OR(Nonlabor!$L$16="Quote required",Nonlabor!$L$16="Unverified"),G1949,0)</f>
        <v>0</v>
      </c>
      <c r="I1949" s="10" t="n">
        <f aca="false">IF(Nonlabor!$E$16="Core",0,G1949)</f>
        <v>0</v>
      </c>
      <c r="J1949" s="23" t="str">
        <f aca="false">Nonlabor!$B$16</f>
        <v>LEGAL</v>
      </c>
    </row>
    <row r="1950" customFormat="false" ht="15" hidden="false" customHeight="false" outlineLevel="0" collapsed="false">
      <c r="A1950" s="6" t="s">
        <v>4</v>
      </c>
      <c r="B1950" s="6" t="s">
        <v>406</v>
      </c>
      <c r="C1950" s="6" t="n">
        <v>25</v>
      </c>
      <c r="D1950" s="25" t="n">
        <f aca="false">EDATE('Start Here'!$B$6,C1950-1)</f>
        <v>47058</v>
      </c>
      <c r="E1950" s="23" t="n">
        <f aca="false">IF(AND(OR(Nonlabor!$D$16="Both",Nonlabor!$D$16='Start Here'!$B$9),IF(Nonlabor!$E$16="Core",1,IF(Nonlabor!$E$16="AI",'Start Here'!$B$7,'Start Here'!$B$8))=1,C1950&gt;=IF(Nonlabor!$E$16="Core",Nonlabor!$F$16,MAX(Nonlabor!$F$16,IF(Nonlabor!$E$16="AI",Assumptions!$D$24,Assumptions!$D$25))),C1950&lt;=Nonlabor!$G$16,OR(Nonlabor!$H$16="Monthly",AND(Nonlabor!$H$16="Once",C1950=IF(Nonlabor!$E$16="Core",Nonlabor!$F$16,MAX(Nonlabor!$F$16,IF(Nonlabor!$E$16="AI",Assumptions!$D$24,Assumptions!$D$25)))),AND(Nonlabor!$H$16="Annual",MOD(C1950-IF(Nonlabor!$E$16="Core",Nonlabor!$F$16,MAX(Nonlabor!$F$16,IF(Nonlabor!$E$16="AI",Assumptions!$D$24,Assumptions!$D$25))),12)=0))),IF(Nonlabor!$I$16="Fixed",1,IF(Nonlabor!$I$16="Seats",ROUNDUP('Monthly Base'!I30,0),IF(Nonlabor!$I$16="Customers",'Monthly Base'!D30,IF(Nonlabor!$I$16="NewCustomers",'Monthly Base'!C30,IF(Nonlabor!$I$16="StorageGB",'Monthly Base'!G30,IF(Nonlabor!$I$16="LogGB",'Monthly Base'!H30,IF(Nonlabor!$I$16="RequestsM",'Monthly Base'!F30,IF(Nonlabor!$I$16="InputM",'Monthly Base'!D30*Assumptions!$D$22/1000000,IF(Nonlabor!$I$16="OutputM",'Monthly Base'!D30*Assumptions!$D$23/1000000,0))))))))),0)</f>
        <v>0</v>
      </c>
      <c r="F1950" s="10" t="n">
        <f aca="false">Nonlabor!$J$16*(1+Assumptions!$D$9)^INT((C1950-1)/12)</f>
        <v>12730.8</v>
      </c>
      <c r="G1950" s="10" t="n">
        <f aca="false">E1950*F1950</f>
        <v>0</v>
      </c>
      <c r="H1950" s="10" t="n">
        <f aca="false">IF(OR(Nonlabor!$L$16="Quote required",Nonlabor!$L$16="Unverified"),G1950,0)</f>
        <v>0</v>
      </c>
      <c r="I1950" s="10" t="n">
        <f aca="false">IF(Nonlabor!$E$16="Core",0,G1950)</f>
        <v>0</v>
      </c>
      <c r="J1950" s="23" t="str">
        <f aca="false">Nonlabor!$B$16</f>
        <v>LEGAL</v>
      </c>
    </row>
    <row r="1951" customFormat="false" ht="15" hidden="false" customHeight="false" outlineLevel="0" collapsed="false">
      <c r="A1951" s="6" t="s">
        <v>4</v>
      </c>
      <c r="B1951" s="6" t="s">
        <v>406</v>
      </c>
      <c r="C1951" s="6" t="n">
        <v>26</v>
      </c>
      <c r="D1951" s="25" t="n">
        <f aca="false">EDATE('Start Here'!$B$6,C1951-1)</f>
        <v>47088</v>
      </c>
      <c r="E1951" s="23" t="n">
        <f aca="false">IF(AND(OR(Nonlabor!$D$16="Both",Nonlabor!$D$16='Start Here'!$B$9),IF(Nonlabor!$E$16="Core",1,IF(Nonlabor!$E$16="AI",'Start Here'!$B$7,'Start Here'!$B$8))=1,C1951&gt;=IF(Nonlabor!$E$16="Core",Nonlabor!$F$16,MAX(Nonlabor!$F$16,IF(Nonlabor!$E$16="AI",Assumptions!$D$24,Assumptions!$D$25))),C1951&lt;=Nonlabor!$G$16,OR(Nonlabor!$H$16="Monthly",AND(Nonlabor!$H$16="Once",C1951=IF(Nonlabor!$E$16="Core",Nonlabor!$F$16,MAX(Nonlabor!$F$16,IF(Nonlabor!$E$16="AI",Assumptions!$D$24,Assumptions!$D$25)))),AND(Nonlabor!$H$16="Annual",MOD(C1951-IF(Nonlabor!$E$16="Core",Nonlabor!$F$16,MAX(Nonlabor!$F$16,IF(Nonlabor!$E$16="AI",Assumptions!$D$24,Assumptions!$D$25))),12)=0))),IF(Nonlabor!$I$16="Fixed",1,IF(Nonlabor!$I$16="Seats",ROUNDUP('Monthly Base'!I31,0),IF(Nonlabor!$I$16="Customers",'Monthly Base'!D31,IF(Nonlabor!$I$16="NewCustomers",'Monthly Base'!C31,IF(Nonlabor!$I$16="StorageGB",'Monthly Base'!G31,IF(Nonlabor!$I$16="LogGB",'Monthly Base'!H31,IF(Nonlabor!$I$16="RequestsM",'Monthly Base'!F31,IF(Nonlabor!$I$16="InputM",'Monthly Base'!D31*Assumptions!$D$22/1000000,IF(Nonlabor!$I$16="OutputM",'Monthly Base'!D31*Assumptions!$D$23/1000000,0))))))))),0)</f>
        <v>1</v>
      </c>
      <c r="F1951" s="10" t="n">
        <f aca="false">Nonlabor!$J$16*(1+Assumptions!$D$9)^INT((C1951-1)/12)</f>
        <v>12730.8</v>
      </c>
      <c r="G1951" s="10" t="n">
        <f aca="false">E1951*F1951</f>
        <v>12730.8</v>
      </c>
      <c r="H1951" s="10" t="n">
        <f aca="false">IF(OR(Nonlabor!$L$16="Quote required",Nonlabor!$L$16="Unverified"),G1951,0)</f>
        <v>12730.8</v>
      </c>
      <c r="I1951" s="10" t="n">
        <f aca="false">IF(Nonlabor!$E$16="Core",0,G1951)</f>
        <v>0</v>
      </c>
      <c r="J1951" s="23" t="str">
        <f aca="false">Nonlabor!$B$16</f>
        <v>LEGAL</v>
      </c>
    </row>
    <row r="1952" customFormat="false" ht="15" hidden="false" customHeight="false" outlineLevel="0" collapsed="false">
      <c r="A1952" s="6" t="s">
        <v>4</v>
      </c>
      <c r="B1952" s="6" t="s">
        <v>406</v>
      </c>
      <c r="C1952" s="6" t="n">
        <v>27</v>
      </c>
      <c r="D1952" s="25" t="n">
        <f aca="false">EDATE('Start Here'!$B$6,C1952-1)</f>
        <v>47119</v>
      </c>
      <c r="E1952" s="23" t="n">
        <f aca="false">IF(AND(OR(Nonlabor!$D$16="Both",Nonlabor!$D$16='Start Here'!$B$9),IF(Nonlabor!$E$16="Core",1,IF(Nonlabor!$E$16="AI",'Start Here'!$B$7,'Start Here'!$B$8))=1,C1952&gt;=IF(Nonlabor!$E$16="Core",Nonlabor!$F$16,MAX(Nonlabor!$F$16,IF(Nonlabor!$E$16="AI",Assumptions!$D$24,Assumptions!$D$25))),C1952&lt;=Nonlabor!$G$16,OR(Nonlabor!$H$16="Monthly",AND(Nonlabor!$H$16="Once",C1952=IF(Nonlabor!$E$16="Core",Nonlabor!$F$16,MAX(Nonlabor!$F$16,IF(Nonlabor!$E$16="AI",Assumptions!$D$24,Assumptions!$D$25)))),AND(Nonlabor!$H$16="Annual",MOD(C1952-IF(Nonlabor!$E$16="Core",Nonlabor!$F$16,MAX(Nonlabor!$F$16,IF(Nonlabor!$E$16="AI",Assumptions!$D$24,Assumptions!$D$25))),12)=0))),IF(Nonlabor!$I$16="Fixed",1,IF(Nonlabor!$I$16="Seats",ROUNDUP('Monthly Base'!I32,0),IF(Nonlabor!$I$16="Customers",'Monthly Base'!D32,IF(Nonlabor!$I$16="NewCustomers",'Monthly Base'!C32,IF(Nonlabor!$I$16="StorageGB",'Monthly Base'!G32,IF(Nonlabor!$I$16="LogGB",'Monthly Base'!H32,IF(Nonlabor!$I$16="RequestsM",'Monthly Base'!F32,IF(Nonlabor!$I$16="InputM",'Monthly Base'!D32*Assumptions!$D$22/1000000,IF(Nonlabor!$I$16="OutputM",'Monthly Base'!D32*Assumptions!$D$23/1000000,0))))))))),0)</f>
        <v>0</v>
      </c>
      <c r="F1952" s="10" t="n">
        <f aca="false">Nonlabor!$J$16*(1+Assumptions!$D$9)^INT((C1952-1)/12)</f>
        <v>12730.8</v>
      </c>
      <c r="G1952" s="10" t="n">
        <f aca="false">E1952*F1952</f>
        <v>0</v>
      </c>
      <c r="H1952" s="10" t="n">
        <f aca="false">IF(OR(Nonlabor!$L$16="Quote required",Nonlabor!$L$16="Unverified"),G1952,0)</f>
        <v>0</v>
      </c>
      <c r="I1952" s="10" t="n">
        <f aca="false">IF(Nonlabor!$E$16="Core",0,G1952)</f>
        <v>0</v>
      </c>
      <c r="J1952" s="23" t="str">
        <f aca="false">Nonlabor!$B$16</f>
        <v>LEGAL</v>
      </c>
    </row>
    <row r="1953" customFormat="false" ht="15" hidden="false" customHeight="false" outlineLevel="0" collapsed="false">
      <c r="A1953" s="6" t="s">
        <v>4</v>
      </c>
      <c r="B1953" s="6" t="s">
        <v>406</v>
      </c>
      <c r="C1953" s="6" t="n">
        <v>28</v>
      </c>
      <c r="D1953" s="25" t="n">
        <f aca="false">EDATE('Start Here'!$B$6,C1953-1)</f>
        <v>47150</v>
      </c>
      <c r="E1953" s="23" t="n">
        <f aca="false">IF(AND(OR(Nonlabor!$D$16="Both",Nonlabor!$D$16='Start Here'!$B$9),IF(Nonlabor!$E$16="Core",1,IF(Nonlabor!$E$16="AI",'Start Here'!$B$7,'Start Here'!$B$8))=1,C1953&gt;=IF(Nonlabor!$E$16="Core",Nonlabor!$F$16,MAX(Nonlabor!$F$16,IF(Nonlabor!$E$16="AI",Assumptions!$D$24,Assumptions!$D$25))),C1953&lt;=Nonlabor!$G$16,OR(Nonlabor!$H$16="Monthly",AND(Nonlabor!$H$16="Once",C1953=IF(Nonlabor!$E$16="Core",Nonlabor!$F$16,MAX(Nonlabor!$F$16,IF(Nonlabor!$E$16="AI",Assumptions!$D$24,Assumptions!$D$25)))),AND(Nonlabor!$H$16="Annual",MOD(C1953-IF(Nonlabor!$E$16="Core",Nonlabor!$F$16,MAX(Nonlabor!$F$16,IF(Nonlabor!$E$16="AI",Assumptions!$D$24,Assumptions!$D$25))),12)=0))),IF(Nonlabor!$I$16="Fixed",1,IF(Nonlabor!$I$16="Seats",ROUNDUP('Monthly Base'!I33,0),IF(Nonlabor!$I$16="Customers",'Monthly Base'!D33,IF(Nonlabor!$I$16="NewCustomers",'Monthly Base'!C33,IF(Nonlabor!$I$16="StorageGB",'Monthly Base'!G33,IF(Nonlabor!$I$16="LogGB",'Monthly Base'!H33,IF(Nonlabor!$I$16="RequestsM",'Monthly Base'!F33,IF(Nonlabor!$I$16="InputM",'Monthly Base'!D33*Assumptions!$D$22/1000000,IF(Nonlabor!$I$16="OutputM",'Monthly Base'!D33*Assumptions!$D$23/1000000,0))))))))),0)</f>
        <v>0</v>
      </c>
      <c r="F1953" s="10" t="n">
        <f aca="false">Nonlabor!$J$16*(1+Assumptions!$D$9)^INT((C1953-1)/12)</f>
        <v>12730.8</v>
      </c>
      <c r="G1953" s="10" t="n">
        <f aca="false">E1953*F1953</f>
        <v>0</v>
      </c>
      <c r="H1953" s="10" t="n">
        <f aca="false">IF(OR(Nonlabor!$L$16="Quote required",Nonlabor!$L$16="Unverified"),G1953,0)</f>
        <v>0</v>
      </c>
      <c r="I1953" s="10" t="n">
        <f aca="false">IF(Nonlabor!$E$16="Core",0,G1953)</f>
        <v>0</v>
      </c>
      <c r="J1953" s="23" t="str">
        <f aca="false">Nonlabor!$B$16</f>
        <v>LEGAL</v>
      </c>
    </row>
    <row r="1954" customFormat="false" ht="15" hidden="false" customHeight="false" outlineLevel="0" collapsed="false">
      <c r="A1954" s="6" t="s">
        <v>4</v>
      </c>
      <c r="B1954" s="6" t="s">
        <v>406</v>
      </c>
      <c r="C1954" s="6" t="n">
        <v>29</v>
      </c>
      <c r="D1954" s="25" t="n">
        <f aca="false">EDATE('Start Here'!$B$6,C1954-1)</f>
        <v>47178</v>
      </c>
      <c r="E1954" s="23" t="n">
        <f aca="false">IF(AND(OR(Nonlabor!$D$16="Both",Nonlabor!$D$16='Start Here'!$B$9),IF(Nonlabor!$E$16="Core",1,IF(Nonlabor!$E$16="AI",'Start Here'!$B$7,'Start Here'!$B$8))=1,C1954&gt;=IF(Nonlabor!$E$16="Core",Nonlabor!$F$16,MAX(Nonlabor!$F$16,IF(Nonlabor!$E$16="AI",Assumptions!$D$24,Assumptions!$D$25))),C1954&lt;=Nonlabor!$G$16,OR(Nonlabor!$H$16="Monthly",AND(Nonlabor!$H$16="Once",C1954=IF(Nonlabor!$E$16="Core",Nonlabor!$F$16,MAX(Nonlabor!$F$16,IF(Nonlabor!$E$16="AI",Assumptions!$D$24,Assumptions!$D$25)))),AND(Nonlabor!$H$16="Annual",MOD(C1954-IF(Nonlabor!$E$16="Core",Nonlabor!$F$16,MAX(Nonlabor!$F$16,IF(Nonlabor!$E$16="AI",Assumptions!$D$24,Assumptions!$D$25))),12)=0))),IF(Nonlabor!$I$16="Fixed",1,IF(Nonlabor!$I$16="Seats",ROUNDUP('Monthly Base'!I34,0),IF(Nonlabor!$I$16="Customers",'Monthly Base'!D34,IF(Nonlabor!$I$16="NewCustomers",'Monthly Base'!C34,IF(Nonlabor!$I$16="StorageGB",'Monthly Base'!G34,IF(Nonlabor!$I$16="LogGB",'Monthly Base'!H34,IF(Nonlabor!$I$16="RequestsM",'Monthly Base'!F34,IF(Nonlabor!$I$16="InputM",'Monthly Base'!D34*Assumptions!$D$22/1000000,IF(Nonlabor!$I$16="OutputM",'Monthly Base'!D34*Assumptions!$D$23/1000000,0))))))))),0)</f>
        <v>0</v>
      </c>
      <c r="F1954" s="10" t="n">
        <f aca="false">Nonlabor!$J$16*(1+Assumptions!$D$9)^INT((C1954-1)/12)</f>
        <v>12730.8</v>
      </c>
      <c r="G1954" s="10" t="n">
        <f aca="false">E1954*F1954</f>
        <v>0</v>
      </c>
      <c r="H1954" s="10" t="n">
        <f aca="false">IF(OR(Nonlabor!$L$16="Quote required",Nonlabor!$L$16="Unverified"),G1954,0)</f>
        <v>0</v>
      </c>
      <c r="I1954" s="10" t="n">
        <f aca="false">IF(Nonlabor!$E$16="Core",0,G1954)</f>
        <v>0</v>
      </c>
      <c r="J1954" s="23" t="str">
        <f aca="false">Nonlabor!$B$16</f>
        <v>LEGAL</v>
      </c>
    </row>
    <row r="1955" customFormat="false" ht="15" hidden="false" customHeight="false" outlineLevel="0" collapsed="false">
      <c r="A1955" s="6" t="s">
        <v>4</v>
      </c>
      <c r="B1955" s="6" t="s">
        <v>406</v>
      </c>
      <c r="C1955" s="6" t="n">
        <v>30</v>
      </c>
      <c r="D1955" s="25" t="n">
        <f aca="false">EDATE('Start Here'!$B$6,C1955-1)</f>
        <v>47209</v>
      </c>
      <c r="E1955" s="23" t="n">
        <f aca="false">IF(AND(OR(Nonlabor!$D$16="Both",Nonlabor!$D$16='Start Here'!$B$9),IF(Nonlabor!$E$16="Core",1,IF(Nonlabor!$E$16="AI",'Start Here'!$B$7,'Start Here'!$B$8))=1,C1955&gt;=IF(Nonlabor!$E$16="Core",Nonlabor!$F$16,MAX(Nonlabor!$F$16,IF(Nonlabor!$E$16="AI",Assumptions!$D$24,Assumptions!$D$25))),C1955&lt;=Nonlabor!$G$16,OR(Nonlabor!$H$16="Monthly",AND(Nonlabor!$H$16="Once",C1955=IF(Nonlabor!$E$16="Core",Nonlabor!$F$16,MAX(Nonlabor!$F$16,IF(Nonlabor!$E$16="AI",Assumptions!$D$24,Assumptions!$D$25)))),AND(Nonlabor!$H$16="Annual",MOD(C1955-IF(Nonlabor!$E$16="Core",Nonlabor!$F$16,MAX(Nonlabor!$F$16,IF(Nonlabor!$E$16="AI",Assumptions!$D$24,Assumptions!$D$25))),12)=0))),IF(Nonlabor!$I$16="Fixed",1,IF(Nonlabor!$I$16="Seats",ROUNDUP('Monthly Base'!I35,0),IF(Nonlabor!$I$16="Customers",'Monthly Base'!D35,IF(Nonlabor!$I$16="NewCustomers",'Monthly Base'!C35,IF(Nonlabor!$I$16="StorageGB",'Monthly Base'!G35,IF(Nonlabor!$I$16="LogGB",'Monthly Base'!H35,IF(Nonlabor!$I$16="RequestsM",'Monthly Base'!F35,IF(Nonlabor!$I$16="InputM",'Monthly Base'!D35*Assumptions!$D$22/1000000,IF(Nonlabor!$I$16="OutputM",'Monthly Base'!D35*Assumptions!$D$23/1000000,0))))))))),0)</f>
        <v>0</v>
      </c>
      <c r="F1955" s="10" t="n">
        <f aca="false">Nonlabor!$J$16*(1+Assumptions!$D$9)^INT((C1955-1)/12)</f>
        <v>12730.8</v>
      </c>
      <c r="G1955" s="10" t="n">
        <f aca="false">E1955*F1955</f>
        <v>0</v>
      </c>
      <c r="H1955" s="10" t="n">
        <f aca="false">IF(OR(Nonlabor!$L$16="Quote required",Nonlabor!$L$16="Unverified"),G1955,0)</f>
        <v>0</v>
      </c>
      <c r="I1955" s="10" t="n">
        <f aca="false">IF(Nonlabor!$E$16="Core",0,G1955)</f>
        <v>0</v>
      </c>
      <c r="J1955" s="23" t="str">
        <f aca="false">Nonlabor!$B$16</f>
        <v>LEGAL</v>
      </c>
    </row>
    <row r="1956" customFormat="false" ht="15" hidden="false" customHeight="false" outlineLevel="0" collapsed="false">
      <c r="A1956" s="6" t="s">
        <v>4</v>
      </c>
      <c r="B1956" s="6" t="s">
        <v>406</v>
      </c>
      <c r="C1956" s="6" t="n">
        <v>31</v>
      </c>
      <c r="D1956" s="25" t="n">
        <f aca="false">EDATE('Start Here'!$B$6,C1956-1)</f>
        <v>47239</v>
      </c>
      <c r="E1956" s="23" t="n">
        <f aca="false">IF(AND(OR(Nonlabor!$D$16="Both",Nonlabor!$D$16='Start Here'!$B$9),IF(Nonlabor!$E$16="Core",1,IF(Nonlabor!$E$16="AI",'Start Here'!$B$7,'Start Here'!$B$8))=1,C1956&gt;=IF(Nonlabor!$E$16="Core",Nonlabor!$F$16,MAX(Nonlabor!$F$16,IF(Nonlabor!$E$16="AI",Assumptions!$D$24,Assumptions!$D$25))),C1956&lt;=Nonlabor!$G$16,OR(Nonlabor!$H$16="Monthly",AND(Nonlabor!$H$16="Once",C1956=IF(Nonlabor!$E$16="Core",Nonlabor!$F$16,MAX(Nonlabor!$F$16,IF(Nonlabor!$E$16="AI",Assumptions!$D$24,Assumptions!$D$25)))),AND(Nonlabor!$H$16="Annual",MOD(C1956-IF(Nonlabor!$E$16="Core",Nonlabor!$F$16,MAX(Nonlabor!$F$16,IF(Nonlabor!$E$16="AI",Assumptions!$D$24,Assumptions!$D$25))),12)=0))),IF(Nonlabor!$I$16="Fixed",1,IF(Nonlabor!$I$16="Seats",ROUNDUP('Monthly Base'!I36,0),IF(Nonlabor!$I$16="Customers",'Monthly Base'!D36,IF(Nonlabor!$I$16="NewCustomers",'Monthly Base'!C36,IF(Nonlabor!$I$16="StorageGB",'Monthly Base'!G36,IF(Nonlabor!$I$16="LogGB",'Monthly Base'!H36,IF(Nonlabor!$I$16="RequestsM",'Monthly Base'!F36,IF(Nonlabor!$I$16="InputM",'Monthly Base'!D36*Assumptions!$D$22/1000000,IF(Nonlabor!$I$16="OutputM",'Monthly Base'!D36*Assumptions!$D$23/1000000,0))))))))),0)</f>
        <v>0</v>
      </c>
      <c r="F1956" s="10" t="n">
        <f aca="false">Nonlabor!$J$16*(1+Assumptions!$D$9)^INT((C1956-1)/12)</f>
        <v>12730.8</v>
      </c>
      <c r="G1956" s="10" t="n">
        <f aca="false">E1956*F1956</f>
        <v>0</v>
      </c>
      <c r="H1956" s="10" t="n">
        <f aca="false">IF(OR(Nonlabor!$L$16="Quote required",Nonlabor!$L$16="Unverified"),G1956,0)</f>
        <v>0</v>
      </c>
      <c r="I1956" s="10" t="n">
        <f aca="false">IF(Nonlabor!$E$16="Core",0,G1956)</f>
        <v>0</v>
      </c>
      <c r="J1956" s="23" t="str">
        <f aca="false">Nonlabor!$B$16</f>
        <v>LEGAL</v>
      </c>
    </row>
    <row r="1957" customFormat="false" ht="15" hidden="false" customHeight="false" outlineLevel="0" collapsed="false">
      <c r="A1957" s="6" t="s">
        <v>4</v>
      </c>
      <c r="B1957" s="6" t="s">
        <v>406</v>
      </c>
      <c r="C1957" s="6" t="n">
        <v>32</v>
      </c>
      <c r="D1957" s="25" t="n">
        <f aca="false">EDATE('Start Here'!$B$6,C1957-1)</f>
        <v>47270</v>
      </c>
      <c r="E1957" s="23" t="n">
        <f aca="false">IF(AND(OR(Nonlabor!$D$16="Both",Nonlabor!$D$16='Start Here'!$B$9),IF(Nonlabor!$E$16="Core",1,IF(Nonlabor!$E$16="AI",'Start Here'!$B$7,'Start Here'!$B$8))=1,C1957&gt;=IF(Nonlabor!$E$16="Core",Nonlabor!$F$16,MAX(Nonlabor!$F$16,IF(Nonlabor!$E$16="AI",Assumptions!$D$24,Assumptions!$D$25))),C1957&lt;=Nonlabor!$G$16,OR(Nonlabor!$H$16="Monthly",AND(Nonlabor!$H$16="Once",C1957=IF(Nonlabor!$E$16="Core",Nonlabor!$F$16,MAX(Nonlabor!$F$16,IF(Nonlabor!$E$16="AI",Assumptions!$D$24,Assumptions!$D$25)))),AND(Nonlabor!$H$16="Annual",MOD(C1957-IF(Nonlabor!$E$16="Core",Nonlabor!$F$16,MAX(Nonlabor!$F$16,IF(Nonlabor!$E$16="AI",Assumptions!$D$24,Assumptions!$D$25))),12)=0))),IF(Nonlabor!$I$16="Fixed",1,IF(Nonlabor!$I$16="Seats",ROUNDUP('Monthly Base'!I37,0),IF(Nonlabor!$I$16="Customers",'Monthly Base'!D37,IF(Nonlabor!$I$16="NewCustomers",'Monthly Base'!C37,IF(Nonlabor!$I$16="StorageGB",'Monthly Base'!G37,IF(Nonlabor!$I$16="LogGB",'Monthly Base'!H37,IF(Nonlabor!$I$16="RequestsM",'Monthly Base'!F37,IF(Nonlabor!$I$16="InputM",'Monthly Base'!D37*Assumptions!$D$22/1000000,IF(Nonlabor!$I$16="OutputM",'Monthly Base'!D37*Assumptions!$D$23/1000000,0))))))))),0)</f>
        <v>0</v>
      </c>
      <c r="F1957" s="10" t="n">
        <f aca="false">Nonlabor!$J$16*(1+Assumptions!$D$9)^INT((C1957-1)/12)</f>
        <v>12730.8</v>
      </c>
      <c r="G1957" s="10" t="n">
        <f aca="false">E1957*F1957</f>
        <v>0</v>
      </c>
      <c r="H1957" s="10" t="n">
        <f aca="false">IF(OR(Nonlabor!$L$16="Quote required",Nonlabor!$L$16="Unverified"),G1957,0)</f>
        <v>0</v>
      </c>
      <c r="I1957" s="10" t="n">
        <f aca="false">IF(Nonlabor!$E$16="Core",0,G1957)</f>
        <v>0</v>
      </c>
      <c r="J1957" s="23" t="str">
        <f aca="false">Nonlabor!$B$16</f>
        <v>LEGAL</v>
      </c>
    </row>
    <row r="1958" customFormat="false" ht="15" hidden="false" customHeight="false" outlineLevel="0" collapsed="false">
      <c r="A1958" s="6" t="s">
        <v>4</v>
      </c>
      <c r="B1958" s="6" t="s">
        <v>406</v>
      </c>
      <c r="C1958" s="6" t="n">
        <v>33</v>
      </c>
      <c r="D1958" s="25" t="n">
        <f aca="false">EDATE('Start Here'!$B$6,C1958-1)</f>
        <v>47300</v>
      </c>
      <c r="E1958" s="23" t="n">
        <f aca="false">IF(AND(OR(Nonlabor!$D$16="Both",Nonlabor!$D$16='Start Here'!$B$9),IF(Nonlabor!$E$16="Core",1,IF(Nonlabor!$E$16="AI",'Start Here'!$B$7,'Start Here'!$B$8))=1,C1958&gt;=IF(Nonlabor!$E$16="Core",Nonlabor!$F$16,MAX(Nonlabor!$F$16,IF(Nonlabor!$E$16="AI",Assumptions!$D$24,Assumptions!$D$25))),C1958&lt;=Nonlabor!$G$16,OR(Nonlabor!$H$16="Monthly",AND(Nonlabor!$H$16="Once",C1958=IF(Nonlabor!$E$16="Core",Nonlabor!$F$16,MAX(Nonlabor!$F$16,IF(Nonlabor!$E$16="AI",Assumptions!$D$24,Assumptions!$D$25)))),AND(Nonlabor!$H$16="Annual",MOD(C1958-IF(Nonlabor!$E$16="Core",Nonlabor!$F$16,MAX(Nonlabor!$F$16,IF(Nonlabor!$E$16="AI",Assumptions!$D$24,Assumptions!$D$25))),12)=0))),IF(Nonlabor!$I$16="Fixed",1,IF(Nonlabor!$I$16="Seats",ROUNDUP('Monthly Base'!I38,0),IF(Nonlabor!$I$16="Customers",'Monthly Base'!D38,IF(Nonlabor!$I$16="NewCustomers",'Monthly Base'!C38,IF(Nonlabor!$I$16="StorageGB",'Monthly Base'!G38,IF(Nonlabor!$I$16="LogGB",'Monthly Base'!H38,IF(Nonlabor!$I$16="RequestsM",'Monthly Base'!F38,IF(Nonlabor!$I$16="InputM",'Monthly Base'!D38*Assumptions!$D$22/1000000,IF(Nonlabor!$I$16="OutputM",'Monthly Base'!D38*Assumptions!$D$23/1000000,0))))))))),0)</f>
        <v>0</v>
      </c>
      <c r="F1958" s="10" t="n">
        <f aca="false">Nonlabor!$J$16*(1+Assumptions!$D$9)^INT((C1958-1)/12)</f>
        <v>12730.8</v>
      </c>
      <c r="G1958" s="10" t="n">
        <f aca="false">E1958*F1958</f>
        <v>0</v>
      </c>
      <c r="H1958" s="10" t="n">
        <f aca="false">IF(OR(Nonlabor!$L$16="Quote required",Nonlabor!$L$16="Unverified"),G1958,0)</f>
        <v>0</v>
      </c>
      <c r="I1958" s="10" t="n">
        <f aca="false">IF(Nonlabor!$E$16="Core",0,G1958)</f>
        <v>0</v>
      </c>
      <c r="J1958" s="23" t="str">
        <f aca="false">Nonlabor!$B$16</f>
        <v>LEGAL</v>
      </c>
    </row>
    <row r="1959" customFormat="false" ht="15" hidden="false" customHeight="false" outlineLevel="0" collapsed="false">
      <c r="A1959" s="6" t="s">
        <v>4</v>
      </c>
      <c r="B1959" s="6" t="s">
        <v>406</v>
      </c>
      <c r="C1959" s="6" t="n">
        <v>34</v>
      </c>
      <c r="D1959" s="25" t="n">
        <f aca="false">EDATE('Start Here'!$B$6,C1959-1)</f>
        <v>47331</v>
      </c>
      <c r="E1959" s="23" t="n">
        <f aca="false">IF(AND(OR(Nonlabor!$D$16="Both",Nonlabor!$D$16='Start Here'!$B$9),IF(Nonlabor!$E$16="Core",1,IF(Nonlabor!$E$16="AI",'Start Here'!$B$7,'Start Here'!$B$8))=1,C1959&gt;=IF(Nonlabor!$E$16="Core",Nonlabor!$F$16,MAX(Nonlabor!$F$16,IF(Nonlabor!$E$16="AI",Assumptions!$D$24,Assumptions!$D$25))),C1959&lt;=Nonlabor!$G$16,OR(Nonlabor!$H$16="Monthly",AND(Nonlabor!$H$16="Once",C1959=IF(Nonlabor!$E$16="Core",Nonlabor!$F$16,MAX(Nonlabor!$F$16,IF(Nonlabor!$E$16="AI",Assumptions!$D$24,Assumptions!$D$25)))),AND(Nonlabor!$H$16="Annual",MOD(C1959-IF(Nonlabor!$E$16="Core",Nonlabor!$F$16,MAX(Nonlabor!$F$16,IF(Nonlabor!$E$16="AI",Assumptions!$D$24,Assumptions!$D$25))),12)=0))),IF(Nonlabor!$I$16="Fixed",1,IF(Nonlabor!$I$16="Seats",ROUNDUP('Monthly Base'!I39,0),IF(Nonlabor!$I$16="Customers",'Monthly Base'!D39,IF(Nonlabor!$I$16="NewCustomers",'Monthly Base'!C39,IF(Nonlabor!$I$16="StorageGB",'Monthly Base'!G39,IF(Nonlabor!$I$16="LogGB",'Monthly Base'!H39,IF(Nonlabor!$I$16="RequestsM",'Monthly Base'!F39,IF(Nonlabor!$I$16="InputM",'Monthly Base'!D39*Assumptions!$D$22/1000000,IF(Nonlabor!$I$16="OutputM",'Monthly Base'!D39*Assumptions!$D$23/1000000,0))))))))),0)</f>
        <v>0</v>
      </c>
      <c r="F1959" s="10" t="n">
        <f aca="false">Nonlabor!$J$16*(1+Assumptions!$D$9)^INT((C1959-1)/12)</f>
        <v>12730.8</v>
      </c>
      <c r="G1959" s="10" t="n">
        <f aca="false">E1959*F1959</f>
        <v>0</v>
      </c>
      <c r="H1959" s="10" t="n">
        <f aca="false">IF(OR(Nonlabor!$L$16="Quote required",Nonlabor!$L$16="Unverified"),G1959,0)</f>
        <v>0</v>
      </c>
      <c r="I1959" s="10" t="n">
        <f aca="false">IF(Nonlabor!$E$16="Core",0,G1959)</f>
        <v>0</v>
      </c>
      <c r="J1959" s="23" t="str">
        <f aca="false">Nonlabor!$B$16</f>
        <v>LEGAL</v>
      </c>
    </row>
    <row r="1960" customFormat="false" ht="15" hidden="false" customHeight="false" outlineLevel="0" collapsed="false">
      <c r="A1960" s="6" t="s">
        <v>4</v>
      </c>
      <c r="B1960" s="6" t="s">
        <v>406</v>
      </c>
      <c r="C1960" s="6" t="n">
        <v>35</v>
      </c>
      <c r="D1960" s="25" t="n">
        <f aca="false">EDATE('Start Here'!$B$6,C1960-1)</f>
        <v>47362</v>
      </c>
      <c r="E1960" s="23" t="n">
        <f aca="false">IF(AND(OR(Nonlabor!$D$16="Both",Nonlabor!$D$16='Start Here'!$B$9),IF(Nonlabor!$E$16="Core",1,IF(Nonlabor!$E$16="AI",'Start Here'!$B$7,'Start Here'!$B$8))=1,C1960&gt;=IF(Nonlabor!$E$16="Core",Nonlabor!$F$16,MAX(Nonlabor!$F$16,IF(Nonlabor!$E$16="AI",Assumptions!$D$24,Assumptions!$D$25))),C1960&lt;=Nonlabor!$G$16,OR(Nonlabor!$H$16="Monthly",AND(Nonlabor!$H$16="Once",C1960=IF(Nonlabor!$E$16="Core",Nonlabor!$F$16,MAX(Nonlabor!$F$16,IF(Nonlabor!$E$16="AI",Assumptions!$D$24,Assumptions!$D$25)))),AND(Nonlabor!$H$16="Annual",MOD(C1960-IF(Nonlabor!$E$16="Core",Nonlabor!$F$16,MAX(Nonlabor!$F$16,IF(Nonlabor!$E$16="AI",Assumptions!$D$24,Assumptions!$D$25))),12)=0))),IF(Nonlabor!$I$16="Fixed",1,IF(Nonlabor!$I$16="Seats",ROUNDUP('Monthly Base'!I40,0),IF(Nonlabor!$I$16="Customers",'Monthly Base'!D40,IF(Nonlabor!$I$16="NewCustomers",'Monthly Base'!C40,IF(Nonlabor!$I$16="StorageGB",'Monthly Base'!G40,IF(Nonlabor!$I$16="LogGB",'Monthly Base'!H40,IF(Nonlabor!$I$16="RequestsM",'Monthly Base'!F40,IF(Nonlabor!$I$16="InputM",'Monthly Base'!D40*Assumptions!$D$22/1000000,IF(Nonlabor!$I$16="OutputM",'Monthly Base'!D40*Assumptions!$D$23/1000000,0))))))))),0)</f>
        <v>0</v>
      </c>
      <c r="F1960" s="10" t="n">
        <f aca="false">Nonlabor!$J$16*(1+Assumptions!$D$9)^INT((C1960-1)/12)</f>
        <v>12730.8</v>
      </c>
      <c r="G1960" s="10" t="n">
        <f aca="false">E1960*F1960</f>
        <v>0</v>
      </c>
      <c r="H1960" s="10" t="n">
        <f aca="false">IF(OR(Nonlabor!$L$16="Quote required",Nonlabor!$L$16="Unverified"),G1960,0)</f>
        <v>0</v>
      </c>
      <c r="I1960" s="10" t="n">
        <f aca="false">IF(Nonlabor!$E$16="Core",0,G1960)</f>
        <v>0</v>
      </c>
      <c r="J1960" s="23" t="str">
        <f aca="false">Nonlabor!$B$16</f>
        <v>LEGAL</v>
      </c>
    </row>
    <row r="1961" customFormat="false" ht="15" hidden="false" customHeight="false" outlineLevel="0" collapsed="false">
      <c r="A1961" s="6" t="s">
        <v>4</v>
      </c>
      <c r="B1961" s="6" t="s">
        <v>406</v>
      </c>
      <c r="C1961" s="6" t="n">
        <v>36</v>
      </c>
      <c r="D1961" s="25" t="n">
        <f aca="false">EDATE('Start Here'!$B$6,C1961-1)</f>
        <v>47392</v>
      </c>
      <c r="E1961" s="23" t="n">
        <f aca="false">IF(AND(OR(Nonlabor!$D$16="Both",Nonlabor!$D$16='Start Here'!$B$9),IF(Nonlabor!$E$16="Core",1,IF(Nonlabor!$E$16="AI",'Start Here'!$B$7,'Start Here'!$B$8))=1,C1961&gt;=IF(Nonlabor!$E$16="Core",Nonlabor!$F$16,MAX(Nonlabor!$F$16,IF(Nonlabor!$E$16="AI",Assumptions!$D$24,Assumptions!$D$25))),C1961&lt;=Nonlabor!$G$16,OR(Nonlabor!$H$16="Monthly",AND(Nonlabor!$H$16="Once",C1961=IF(Nonlabor!$E$16="Core",Nonlabor!$F$16,MAX(Nonlabor!$F$16,IF(Nonlabor!$E$16="AI",Assumptions!$D$24,Assumptions!$D$25)))),AND(Nonlabor!$H$16="Annual",MOD(C1961-IF(Nonlabor!$E$16="Core",Nonlabor!$F$16,MAX(Nonlabor!$F$16,IF(Nonlabor!$E$16="AI",Assumptions!$D$24,Assumptions!$D$25))),12)=0))),IF(Nonlabor!$I$16="Fixed",1,IF(Nonlabor!$I$16="Seats",ROUNDUP('Monthly Base'!I41,0),IF(Nonlabor!$I$16="Customers",'Monthly Base'!D41,IF(Nonlabor!$I$16="NewCustomers",'Monthly Base'!C41,IF(Nonlabor!$I$16="StorageGB",'Monthly Base'!G41,IF(Nonlabor!$I$16="LogGB",'Monthly Base'!H41,IF(Nonlabor!$I$16="RequestsM",'Monthly Base'!F41,IF(Nonlabor!$I$16="InputM",'Monthly Base'!D41*Assumptions!$D$22/1000000,IF(Nonlabor!$I$16="OutputM",'Monthly Base'!D41*Assumptions!$D$23/1000000,0))))))))),0)</f>
        <v>0</v>
      </c>
      <c r="F1961" s="10" t="n">
        <f aca="false">Nonlabor!$J$16*(1+Assumptions!$D$9)^INT((C1961-1)/12)</f>
        <v>12730.8</v>
      </c>
      <c r="G1961" s="10" t="n">
        <f aca="false">E1961*F1961</f>
        <v>0</v>
      </c>
      <c r="H1961" s="10" t="n">
        <f aca="false">IF(OR(Nonlabor!$L$16="Quote required",Nonlabor!$L$16="Unverified"),G1961,0)</f>
        <v>0</v>
      </c>
      <c r="I1961" s="10" t="n">
        <f aca="false">IF(Nonlabor!$E$16="Core",0,G1961)</f>
        <v>0</v>
      </c>
      <c r="J1961" s="23" t="str">
        <f aca="false">Nonlabor!$B$16</f>
        <v>LEGAL</v>
      </c>
    </row>
    <row r="1962" customFormat="false" ht="15" hidden="false" customHeight="false" outlineLevel="0" collapsed="false">
      <c r="A1962" s="6" t="s">
        <v>4</v>
      </c>
      <c r="B1962" s="6" t="s">
        <v>406</v>
      </c>
      <c r="C1962" s="6" t="n">
        <v>37</v>
      </c>
      <c r="D1962" s="25" t="n">
        <f aca="false">EDATE('Start Here'!$B$6,C1962-1)</f>
        <v>47423</v>
      </c>
      <c r="E1962" s="23" t="n">
        <f aca="false">IF(AND(OR(Nonlabor!$D$16="Both",Nonlabor!$D$16='Start Here'!$B$9),IF(Nonlabor!$E$16="Core",1,IF(Nonlabor!$E$16="AI",'Start Here'!$B$7,'Start Here'!$B$8))=1,C1962&gt;=IF(Nonlabor!$E$16="Core",Nonlabor!$F$16,MAX(Nonlabor!$F$16,IF(Nonlabor!$E$16="AI",Assumptions!$D$24,Assumptions!$D$25))),C1962&lt;=Nonlabor!$G$16,OR(Nonlabor!$H$16="Monthly",AND(Nonlabor!$H$16="Once",C1962=IF(Nonlabor!$E$16="Core",Nonlabor!$F$16,MAX(Nonlabor!$F$16,IF(Nonlabor!$E$16="AI",Assumptions!$D$24,Assumptions!$D$25)))),AND(Nonlabor!$H$16="Annual",MOD(C1962-IF(Nonlabor!$E$16="Core",Nonlabor!$F$16,MAX(Nonlabor!$F$16,IF(Nonlabor!$E$16="AI",Assumptions!$D$24,Assumptions!$D$25))),12)=0))),IF(Nonlabor!$I$16="Fixed",1,IF(Nonlabor!$I$16="Seats",ROUNDUP('Monthly Base'!I42,0),IF(Nonlabor!$I$16="Customers",'Monthly Base'!D42,IF(Nonlabor!$I$16="NewCustomers",'Monthly Base'!C42,IF(Nonlabor!$I$16="StorageGB",'Monthly Base'!G42,IF(Nonlabor!$I$16="LogGB",'Monthly Base'!H42,IF(Nonlabor!$I$16="RequestsM",'Monthly Base'!F42,IF(Nonlabor!$I$16="InputM",'Monthly Base'!D42*Assumptions!$D$22/1000000,IF(Nonlabor!$I$16="OutputM",'Monthly Base'!D42*Assumptions!$D$23/1000000,0))))))))),0)</f>
        <v>0</v>
      </c>
      <c r="F1962" s="10" t="n">
        <f aca="false">Nonlabor!$J$16*(1+Assumptions!$D$9)^INT((C1962-1)/12)</f>
        <v>13112.724</v>
      </c>
      <c r="G1962" s="10" t="n">
        <f aca="false">E1962*F1962</f>
        <v>0</v>
      </c>
      <c r="H1962" s="10" t="n">
        <f aca="false">IF(OR(Nonlabor!$L$16="Quote required",Nonlabor!$L$16="Unverified"),G1962,0)</f>
        <v>0</v>
      </c>
      <c r="I1962" s="10" t="n">
        <f aca="false">IF(Nonlabor!$E$16="Core",0,G1962)</f>
        <v>0</v>
      </c>
      <c r="J1962" s="23" t="str">
        <f aca="false">Nonlabor!$B$16</f>
        <v>LEGAL</v>
      </c>
    </row>
    <row r="1963" customFormat="false" ht="15" hidden="false" customHeight="false" outlineLevel="0" collapsed="false">
      <c r="A1963" s="6" t="s">
        <v>4</v>
      </c>
      <c r="B1963" s="6" t="s">
        <v>406</v>
      </c>
      <c r="C1963" s="6" t="n">
        <v>38</v>
      </c>
      <c r="D1963" s="25" t="n">
        <f aca="false">EDATE('Start Here'!$B$6,C1963-1)</f>
        <v>47453</v>
      </c>
      <c r="E1963" s="23" t="n">
        <f aca="false">IF(AND(OR(Nonlabor!$D$16="Both",Nonlabor!$D$16='Start Here'!$B$9),IF(Nonlabor!$E$16="Core",1,IF(Nonlabor!$E$16="AI",'Start Here'!$B$7,'Start Here'!$B$8))=1,C1963&gt;=IF(Nonlabor!$E$16="Core",Nonlabor!$F$16,MAX(Nonlabor!$F$16,IF(Nonlabor!$E$16="AI",Assumptions!$D$24,Assumptions!$D$25))),C1963&lt;=Nonlabor!$G$16,OR(Nonlabor!$H$16="Monthly",AND(Nonlabor!$H$16="Once",C1963=IF(Nonlabor!$E$16="Core",Nonlabor!$F$16,MAX(Nonlabor!$F$16,IF(Nonlabor!$E$16="AI",Assumptions!$D$24,Assumptions!$D$25)))),AND(Nonlabor!$H$16="Annual",MOD(C1963-IF(Nonlabor!$E$16="Core",Nonlabor!$F$16,MAX(Nonlabor!$F$16,IF(Nonlabor!$E$16="AI",Assumptions!$D$24,Assumptions!$D$25))),12)=0))),IF(Nonlabor!$I$16="Fixed",1,IF(Nonlabor!$I$16="Seats",ROUNDUP('Monthly Base'!I43,0),IF(Nonlabor!$I$16="Customers",'Monthly Base'!D43,IF(Nonlabor!$I$16="NewCustomers",'Monthly Base'!C43,IF(Nonlabor!$I$16="StorageGB",'Monthly Base'!G43,IF(Nonlabor!$I$16="LogGB",'Monthly Base'!H43,IF(Nonlabor!$I$16="RequestsM",'Monthly Base'!F43,IF(Nonlabor!$I$16="InputM",'Monthly Base'!D43*Assumptions!$D$22/1000000,IF(Nonlabor!$I$16="OutputM",'Monthly Base'!D43*Assumptions!$D$23/1000000,0))))))))),0)</f>
        <v>1</v>
      </c>
      <c r="F1963" s="10" t="n">
        <f aca="false">Nonlabor!$J$16*(1+Assumptions!$D$9)^INT((C1963-1)/12)</f>
        <v>13112.724</v>
      </c>
      <c r="G1963" s="10" t="n">
        <f aca="false">E1963*F1963</f>
        <v>13112.724</v>
      </c>
      <c r="H1963" s="10" t="n">
        <f aca="false">IF(OR(Nonlabor!$L$16="Quote required",Nonlabor!$L$16="Unverified"),G1963,0)</f>
        <v>13112.724</v>
      </c>
      <c r="I1963" s="10" t="n">
        <f aca="false">IF(Nonlabor!$E$16="Core",0,G1963)</f>
        <v>0</v>
      </c>
      <c r="J1963" s="23" t="str">
        <f aca="false">Nonlabor!$B$16</f>
        <v>LEGAL</v>
      </c>
    </row>
    <row r="1964" customFormat="false" ht="15" hidden="false" customHeight="false" outlineLevel="0" collapsed="false">
      <c r="A1964" s="6" t="s">
        <v>4</v>
      </c>
      <c r="B1964" s="6" t="s">
        <v>406</v>
      </c>
      <c r="C1964" s="6" t="n">
        <v>39</v>
      </c>
      <c r="D1964" s="25" t="n">
        <f aca="false">EDATE('Start Here'!$B$6,C1964-1)</f>
        <v>47484</v>
      </c>
      <c r="E1964" s="23" t="n">
        <f aca="false">IF(AND(OR(Nonlabor!$D$16="Both",Nonlabor!$D$16='Start Here'!$B$9),IF(Nonlabor!$E$16="Core",1,IF(Nonlabor!$E$16="AI",'Start Here'!$B$7,'Start Here'!$B$8))=1,C1964&gt;=IF(Nonlabor!$E$16="Core",Nonlabor!$F$16,MAX(Nonlabor!$F$16,IF(Nonlabor!$E$16="AI",Assumptions!$D$24,Assumptions!$D$25))),C1964&lt;=Nonlabor!$G$16,OR(Nonlabor!$H$16="Monthly",AND(Nonlabor!$H$16="Once",C1964=IF(Nonlabor!$E$16="Core",Nonlabor!$F$16,MAX(Nonlabor!$F$16,IF(Nonlabor!$E$16="AI",Assumptions!$D$24,Assumptions!$D$25)))),AND(Nonlabor!$H$16="Annual",MOD(C1964-IF(Nonlabor!$E$16="Core",Nonlabor!$F$16,MAX(Nonlabor!$F$16,IF(Nonlabor!$E$16="AI",Assumptions!$D$24,Assumptions!$D$25))),12)=0))),IF(Nonlabor!$I$16="Fixed",1,IF(Nonlabor!$I$16="Seats",ROUNDUP('Monthly Base'!I44,0),IF(Nonlabor!$I$16="Customers",'Monthly Base'!D44,IF(Nonlabor!$I$16="NewCustomers",'Monthly Base'!C44,IF(Nonlabor!$I$16="StorageGB",'Monthly Base'!G44,IF(Nonlabor!$I$16="LogGB",'Monthly Base'!H44,IF(Nonlabor!$I$16="RequestsM",'Monthly Base'!F44,IF(Nonlabor!$I$16="InputM",'Monthly Base'!D44*Assumptions!$D$22/1000000,IF(Nonlabor!$I$16="OutputM",'Monthly Base'!D44*Assumptions!$D$23/1000000,0))))))))),0)</f>
        <v>0</v>
      </c>
      <c r="F1964" s="10" t="n">
        <f aca="false">Nonlabor!$J$16*(1+Assumptions!$D$9)^INT((C1964-1)/12)</f>
        <v>13112.724</v>
      </c>
      <c r="G1964" s="10" t="n">
        <f aca="false">E1964*F1964</f>
        <v>0</v>
      </c>
      <c r="H1964" s="10" t="n">
        <f aca="false">IF(OR(Nonlabor!$L$16="Quote required",Nonlabor!$L$16="Unverified"),G1964,0)</f>
        <v>0</v>
      </c>
      <c r="I1964" s="10" t="n">
        <f aca="false">IF(Nonlabor!$E$16="Core",0,G1964)</f>
        <v>0</v>
      </c>
      <c r="J1964" s="23" t="str">
        <f aca="false">Nonlabor!$B$16</f>
        <v>LEGAL</v>
      </c>
    </row>
    <row r="1965" customFormat="false" ht="15" hidden="false" customHeight="false" outlineLevel="0" collapsed="false">
      <c r="A1965" s="6" t="s">
        <v>4</v>
      </c>
      <c r="B1965" s="6" t="s">
        <v>406</v>
      </c>
      <c r="C1965" s="6" t="n">
        <v>40</v>
      </c>
      <c r="D1965" s="25" t="n">
        <f aca="false">EDATE('Start Here'!$B$6,C1965-1)</f>
        <v>47515</v>
      </c>
      <c r="E1965" s="23" t="n">
        <f aca="false">IF(AND(OR(Nonlabor!$D$16="Both",Nonlabor!$D$16='Start Here'!$B$9),IF(Nonlabor!$E$16="Core",1,IF(Nonlabor!$E$16="AI",'Start Here'!$B$7,'Start Here'!$B$8))=1,C1965&gt;=IF(Nonlabor!$E$16="Core",Nonlabor!$F$16,MAX(Nonlabor!$F$16,IF(Nonlabor!$E$16="AI",Assumptions!$D$24,Assumptions!$D$25))),C1965&lt;=Nonlabor!$G$16,OR(Nonlabor!$H$16="Monthly",AND(Nonlabor!$H$16="Once",C1965=IF(Nonlabor!$E$16="Core",Nonlabor!$F$16,MAX(Nonlabor!$F$16,IF(Nonlabor!$E$16="AI",Assumptions!$D$24,Assumptions!$D$25)))),AND(Nonlabor!$H$16="Annual",MOD(C1965-IF(Nonlabor!$E$16="Core",Nonlabor!$F$16,MAX(Nonlabor!$F$16,IF(Nonlabor!$E$16="AI",Assumptions!$D$24,Assumptions!$D$25))),12)=0))),IF(Nonlabor!$I$16="Fixed",1,IF(Nonlabor!$I$16="Seats",ROUNDUP('Monthly Base'!I45,0),IF(Nonlabor!$I$16="Customers",'Monthly Base'!D45,IF(Nonlabor!$I$16="NewCustomers",'Monthly Base'!C45,IF(Nonlabor!$I$16="StorageGB",'Monthly Base'!G45,IF(Nonlabor!$I$16="LogGB",'Monthly Base'!H45,IF(Nonlabor!$I$16="RequestsM",'Monthly Base'!F45,IF(Nonlabor!$I$16="InputM",'Monthly Base'!D45*Assumptions!$D$22/1000000,IF(Nonlabor!$I$16="OutputM",'Monthly Base'!D45*Assumptions!$D$23/1000000,0))))))))),0)</f>
        <v>0</v>
      </c>
      <c r="F1965" s="10" t="n">
        <f aca="false">Nonlabor!$J$16*(1+Assumptions!$D$9)^INT((C1965-1)/12)</f>
        <v>13112.724</v>
      </c>
      <c r="G1965" s="10" t="n">
        <f aca="false">E1965*F1965</f>
        <v>0</v>
      </c>
      <c r="H1965" s="10" t="n">
        <f aca="false">IF(OR(Nonlabor!$L$16="Quote required",Nonlabor!$L$16="Unverified"),G1965,0)</f>
        <v>0</v>
      </c>
      <c r="I1965" s="10" t="n">
        <f aca="false">IF(Nonlabor!$E$16="Core",0,G1965)</f>
        <v>0</v>
      </c>
      <c r="J1965" s="23" t="str">
        <f aca="false">Nonlabor!$B$16</f>
        <v>LEGAL</v>
      </c>
    </row>
    <row r="1966" customFormat="false" ht="15" hidden="false" customHeight="false" outlineLevel="0" collapsed="false">
      <c r="A1966" s="6" t="s">
        <v>4</v>
      </c>
      <c r="B1966" s="6" t="s">
        <v>406</v>
      </c>
      <c r="C1966" s="6" t="n">
        <v>41</v>
      </c>
      <c r="D1966" s="25" t="n">
        <f aca="false">EDATE('Start Here'!$B$6,C1966-1)</f>
        <v>47543</v>
      </c>
      <c r="E1966" s="23" t="n">
        <f aca="false">IF(AND(OR(Nonlabor!$D$16="Both",Nonlabor!$D$16='Start Here'!$B$9),IF(Nonlabor!$E$16="Core",1,IF(Nonlabor!$E$16="AI",'Start Here'!$B$7,'Start Here'!$B$8))=1,C1966&gt;=IF(Nonlabor!$E$16="Core",Nonlabor!$F$16,MAX(Nonlabor!$F$16,IF(Nonlabor!$E$16="AI",Assumptions!$D$24,Assumptions!$D$25))),C1966&lt;=Nonlabor!$G$16,OR(Nonlabor!$H$16="Monthly",AND(Nonlabor!$H$16="Once",C1966=IF(Nonlabor!$E$16="Core",Nonlabor!$F$16,MAX(Nonlabor!$F$16,IF(Nonlabor!$E$16="AI",Assumptions!$D$24,Assumptions!$D$25)))),AND(Nonlabor!$H$16="Annual",MOD(C1966-IF(Nonlabor!$E$16="Core",Nonlabor!$F$16,MAX(Nonlabor!$F$16,IF(Nonlabor!$E$16="AI",Assumptions!$D$24,Assumptions!$D$25))),12)=0))),IF(Nonlabor!$I$16="Fixed",1,IF(Nonlabor!$I$16="Seats",ROUNDUP('Monthly Base'!I46,0),IF(Nonlabor!$I$16="Customers",'Monthly Base'!D46,IF(Nonlabor!$I$16="NewCustomers",'Monthly Base'!C46,IF(Nonlabor!$I$16="StorageGB",'Monthly Base'!G46,IF(Nonlabor!$I$16="LogGB",'Monthly Base'!H46,IF(Nonlabor!$I$16="RequestsM",'Monthly Base'!F46,IF(Nonlabor!$I$16="InputM",'Monthly Base'!D46*Assumptions!$D$22/1000000,IF(Nonlabor!$I$16="OutputM",'Monthly Base'!D46*Assumptions!$D$23/1000000,0))))))))),0)</f>
        <v>0</v>
      </c>
      <c r="F1966" s="10" t="n">
        <f aca="false">Nonlabor!$J$16*(1+Assumptions!$D$9)^INT((C1966-1)/12)</f>
        <v>13112.724</v>
      </c>
      <c r="G1966" s="10" t="n">
        <f aca="false">E1966*F1966</f>
        <v>0</v>
      </c>
      <c r="H1966" s="10" t="n">
        <f aca="false">IF(OR(Nonlabor!$L$16="Quote required",Nonlabor!$L$16="Unverified"),G1966,0)</f>
        <v>0</v>
      </c>
      <c r="I1966" s="10" t="n">
        <f aca="false">IF(Nonlabor!$E$16="Core",0,G1966)</f>
        <v>0</v>
      </c>
      <c r="J1966" s="23" t="str">
        <f aca="false">Nonlabor!$B$16</f>
        <v>LEGAL</v>
      </c>
    </row>
    <row r="1967" customFormat="false" ht="15" hidden="false" customHeight="false" outlineLevel="0" collapsed="false">
      <c r="A1967" s="6" t="s">
        <v>4</v>
      </c>
      <c r="B1967" s="6" t="s">
        <v>406</v>
      </c>
      <c r="C1967" s="6" t="n">
        <v>42</v>
      </c>
      <c r="D1967" s="25" t="n">
        <f aca="false">EDATE('Start Here'!$B$6,C1967-1)</f>
        <v>47574</v>
      </c>
      <c r="E1967" s="23" t="n">
        <f aca="false">IF(AND(OR(Nonlabor!$D$16="Both",Nonlabor!$D$16='Start Here'!$B$9),IF(Nonlabor!$E$16="Core",1,IF(Nonlabor!$E$16="AI",'Start Here'!$B$7,'Start Here'!$B$8))=1,C1967&gt;=IF(Nonlabor!$E$16="Core",Nonlabor!$F$16,MAX(Nonlabor!$F$16,IF(Nonlabor!$E$16="AI",Assumptions!$D$24,Assumptions!$D$25))),C1967&lt;=Nonlabor!$G$16,OR(Nonlabor!$H$16="Monthly",AND(Nonlabor!$H$16="Once",C1967=IF(Nonlabor!$E$16="Core",Nonlabor!$F$16,MAX(Nonlabor!$F$16,IF(Nonlabor!$E$16="AI",Assumptions!$D$24,Assumptions!$D$25)))),AND(Nonlabor!$H$16="Annual",MOD(C1967-IF(Nonlabor!$E$16="Core",Nonlabor!$F$16,MAX(Nonlabor!$F$16,IF(Nonlabor!$E$16="AI",Assumptions!$D$24,Assumptions!$D$25))),12)=0))),IF(Nonlabor!$I$16="Fixed",1,IF(Nonlabor!$I$16="Seats",ROUNDUP('Monthly Base'!I47,0),IF(Nonlabor!$I$16="Customers",'Monthly Base'!D47,IF(Nonlabor!$I$16="NewCustomers",'Monthly Base'!C47,IF(Nonlabor!$I$16="StorageGB",'Monthly Base'!G47,IF(Nonlabor!$I$16="LogGB",'Monthly Base'!H47,IF(Nonlabor!$I$16="RequestsM",'Monthly Base'!F47,IF(Nonlabor!$I$16="InputM",'Monthly Base'!D47*Assumptions!$D$22/1000000,IF(Nonlabor!$I$16="OutputM",'Monthly Base'!D47*Assumptions!$D$23/1000000,0))))))))),0)</f>
        <v>0</v>
      </c>
      <c r="F1967" s="10" t="n">
        <f aca="false">Nonlabor!$J$16*(1+Assumptions!$D$9)^INT((C1967-1)/12)</f>
        <v>13112.724</v>
      </c>
      <c r="G1967" s="10" t="n">
        <f aca="false">E1967*F1967</f>
        <v>0</v>
      </c>
      <c r="H1967" s="10" t="n">
        <f aca="false">IF(OR(Nonlabor!$L$16="Quote required",Nonlabor!$L$16="Unverified"),G1967,0)</f>
        <v>0</v>
      </c>
      <c r="I1967" s="10" t="n">
        <f aca="false">IF(Nonlabor!$E$16="Core",0,G1967)</f>
        <v>0</v>
      </c>
      <c r="J1967" s="23" t="str">
        <f aca="false">Nonlabor!$B$16</f>
        <v>LEGAL</v>
      </c>
    </row>
    <row r="1968" customFormat="false" ht="15" hidden="false" customHeight="false" outlineLevel="0" collapsed="false">
      <c r="A1968" s="6" t="s">
        <v>4</v>
      </c>
      <c r="B1968" s="6" t="s">
        <v>406</v>
      </c>
      <c r="C1968" s="6" t="n">
        <v>43</v>
      </c>
      <c r="D1968" s="25" t="n">
        <f aca="false">EDATE('Start Here'!$B$6,C1968-1)</f>
        <v>47604</v>
      </c>
      <c r="E1968" s="23" t="n">
        <f aca="false">IF(AND(OR(Nonlabor!$D$16="Both",Nonlabor!$D$16='Start Here'!$B$9),IF(Nonlabor!$E$16="Core",1,IF(Nonlabor!$E$16="AI",'Start Here'!$B$7,'Start Here'!$B$8))=1,C1968&gt;=IF(Nonlabor!$E$16="Core",Nonlabor!$F$16,MAX(Nonlabor!$F$16,IF(Nonlabor!$E$16="AI",Assumptions!$D$24,Assumptions!$D$25))),C1968&lt;=Nonlabor!$G$16,OR(Nonlabor!$H$16="Monthly",AND(Nonlabor!$H$16="Once",C1968=IF(Nonlabor!$E$16="Core",Nonlabor!$F$16,MAX(Nonlabor!$F$16,IF(Nonlabor!$E$16="AI",Assumptions!$D$24,Assumptions!$D$25)))),AND(Nonlabor!$H$16="Annual",MOD(C1968-IF(Nonlabor!$E$16="Core",Nonlabor!$F$16,MAX(Nonlabor!$F$16,IF(Nonlabor!$E$16="AI",Assumptions!$D$24,Assumptions!$D$25))),12)=0))),IF(Nonlabor!$I$16="Fixed",1,IF(Nonlabor!$I$16="Seats",ROUNDUP('Monthly Base'!I48,0),IF(Nonlabor!$I$16="Customers",'Monthly Base'!D48,IF(Nonlabor!$I$16="NewCustomers",'Monthly Base'!C48,IF(Nonlabor!$I$16="StorageGB",'Monthly Base'!G48,IF(Nonlabor!$I$16="LogGB",'Monthly Base'!H48,IF(Nonlabor!$I$16="RequestsM",'Monthly Base'!F48,IF(Nonlabor!$I$16="InputM",'Monthly Base'!D48*Assumptions!$D$22/1000000,IF(Nonlabor!$I$16="OutputM",'Monthly Base'!D48*Assumptions!$D$23/1000000,0))))))))),0)</f>
        <v>0</v>
      </c>
      <c r="F1968" s="10" t="n">
        <f aca="false">Nonlabor!$J$16*(1+Assumptions!$D$9)^INT((C1968-1)/12)</f>
        <v>13112.724</v>
      </c>
      <c r="G1968" s="10" t="n">
        <f aca="false">E1968*F1968</f>
        <v>0</v>
      </c>
      <c r="H1968" s="10" t="n">
        <f aca="false">IF(OR(Nonlabor!$L$16="Quote required",Nonlabor!$L$16="Unverified"),G1968,0)</f>
        <v>0</v>
      </c>
      <c r="I1968" s="10" t="n">
        <f aca="false">IF(Nonlabor!$E$16="Core",0,G1968)</f>
        <v>0</v>
      </c>
      <c r="J1968" s="23" t="str">
        <f aca="false">Nonlabor!$B$16</f>
        <v>LEGAL</v>
      </c>
    </row>
    <row r="1969" customFormat="false" ht="15" hidden="false" customHeight="false" outlineLevel="0" collapsed="false">
      <c r="A1969" s="6" t="s">
        <v>4</v>
      </c>
      <c r="B1969" s="6" t="s">
        <v>406</v>
      </c>
      <c r="C1969" s="6" t="n">
        <v>44</v>
      </c>
      <c r="D1969" s="25" t="n">
        <f aca="false">EDATE('Start Here'!$B$6,C1969-1)</f>
        <v>47635</v>
      </c>
      <c r="E1969" s="23" t="n">
        <f aca="false">IF(AND(OR(Nonlabor!$D$16="Both",Nonlabor!$D$16='Start Here'!$B$9),IF(Nonlabor!$E$16="Core",1,IF(Nonlabor!$E$16="AI",'Start Here'!$B$7,'Start Here'!$B$8))=1,C1969&gt;=IF(Nonlabor!$E$16="Core",Nonlabor!$F$16,MAX(Nonlabor!$F$16,IF(Nonlabor!$E$16="AI",Assumptions!$D$24,Assumptions!$D$25))),C1969&lt;=Nonlabor!$G$16,OR(Nonlabor!$H$16="Monthly",AND(Nonlabor!$H$16="Once",C1969=IF(Nonlabor!$E$16="Core",Nonlabor!$F$16,MAX(Nonlabor!$F$16,IF(Nonlabor!$E$16="AI",Assumptions!$D$24,Assumptions!$D$25)))),AND(Nonlabor!$H$16="Annual",MOD(C1969-IF(Nonlabor!$E$16="Core",Nonlabor!$F$16,MAX(Nonlabor!$F$16,IF(Nonlabor!$E$16="AI",Assumptions!$D$24,Assumptions!$D$25))),12)=0))),IF(Nonlabor!$I$16="Fixed",1,IF(Nonlabor!$I$16="Seats",ROUNDUP('Monthly Base'!I49,0),IF(Nonlabor!$I$16="Customers",'Monthly Base'!D49,IF(Nonlabor!$I$16="NewCustomers",'Monthly Base'!C49,IF(Nonlabor!$I$16="StorageGB",'Monthly Base'!G49,IF(Nonlabor!$I$16="LogGB",'Monthly Base'!H49,IF(Nonlabor!$I$16="RequestsM",'Monthly Base'!F49,IF(Nonlabor!$I$16="InputM",'Monthly Base'!D49*Assumptions!$D$22/1000000,IF(Nonlabor!$I$16="OutputM",'Monthly Base'!D49*Assumptions!$D$23/1000000,0))))))))),0)</f>
        <v>0</v>
      </c>
      <c r="F1969" s="10" t="n">
        <f aca="false">Nonlabor!$J$16*(1+Assumptions!$D$9)^INT((C1969-1)/12)</f>
        <v>13112.724</v>
      </c>
      <c r="G1969" s="10" t="n">
        <f aca="false">E1969*F1969</f>
        <v>0</v>
      </c>
      <c r="H1969" s="10" t="n">
        <f aca="false">IF(OR(Nonlabor!$L$16="Quote required",Nonlabor!$L$16="Unverified"),G1969,0)</f>
        <v>0</v>
      </c>
      <c r="I1969" s="10" t="n">
        <f aca="false">IF(Nonlabor!$E$16="Core",0,G1969)</f>
        <v>0</v>
      </c>
      <c r="J1969" s="23" t="str">
        <f aca="false">Nonlabor!$B$16</f>
        <v>LEGAL</v>
      </c>
    </row>
    <row r="1970" customFormat="false" ht="15" hidden="false" customHeight="false" outlineLevel="0" collapsed="false">
      <c r="A1970" s="6" t="s">
        <v>4</v>
      </c>
      <c r="B1970" s="6" t="s">
        <v>406</v>
      </c>
      <c r="C1970" s="6" t="n">
        <v>45</v>
      </c>
      <c r="D1970" s="25" t="n">
        <f aca="false">EDATE('Start Here'!$B$6,C1970-1)</f>
        <v>47665</v>
      </c>
      <c r="E1970" s="23" t="n">
        <f aca="false">IF(AND(OR(Nonlabor!$D$16="Both",Nonlabor!$D$16='Start Here'!$B$9),IF(Nonlabor!$E$16="Core",1,IF(Nonlabor!$E$16="AI",'Start Here'!$B$7,'Start Here'!$B$8))=1,C1970&gt;=IF(Nonlabor!$E$16="Core",Nonlabor!$F$16,MAX(Nonlabor!$F$16,IF(Nonlabor!$E$16="AI",Assumptions!$D$24,Assumptions!$D$25))),C1970&lt;=Nonlabor!$G$16,OR(Nonlabor!$H$16="Monthly",AND(Nonlabor!$H$16="Once",C1970=IF(Nonlabor!$E$16="Core",Nonlabor!$F$16,MAX(Nonlabor!$F$16,IF(Nonlabor!$E$16="AI",Assumptions!$D$24,Assumptions!$D$25)))),AND(Nonlabor!$H$16="Annual",MOD(C1970-IF(Nonlabor!$E$16="Core",Nonlabor!$F$16,MAX(Nonlabor!$F$16,IF(Nonlabor!$E$16="AI",Assumptions!$D$24,Assumptions!$D$25))),12)=0))),IF(Nonlabor!$I$16="Fixed",1,IF(Nonlabor!$I$16="Seats",ROUNDUP('Monthly Base'!I50,0),IF(Nonlabor!$I$16="Customers",'Monthly Base'!D50,IF(Nonlabor!$I$16="NewCustomers",'Monthly Base'!C50,IF(Nonlabor!$I$16="StorageGB",'Monthly Base'!G50,IF(Nonlabor!$I$16="LogGB",'Monthly Base'!H50,IF(Nonlabor!$I$16="RequestsM",'Monthly Base'!F50,IF(Nonlabor!$I$16="InputM",'Monthly Base'!D50*Assumptions!$D$22/1000000,IF(Nonlabor!$I$16="OutputM",'Monthly Base'!D50*Assumptions!$D$23/1000000,0))))))))),0)</f>
        <v>0</v>
      </c>
      <c r="F1970" s="10" t="n">
        <f aca="false">Nonlabor!$J$16*(1+Assumptions!$D$9)^INT((C1970-1)/12)</f>
        <v>13112.724</v>
      </c>
      <c r="G1970" s="10" t="n">
        <f aca="false">E1970*F1970</f>
        <v>0</v>
      </c>
      <c r="H1970" s="10" t="n">
        <f aca="false">IF(OR(Nonlabor!$L$16="Quote required",Nonlabor!$L$16="Unverified"),G1970,0)</f>
        <v>0</v>
      </c>
      <c r="I1970" s="10" t="n">
        <f aca="false">IF(Nonlabor!$E$16="Core",0,G1970)</f>
        <v>0</v>
      </c>
      <c r="J1970" s="23" t="str">
        <f aca="false">Nonlabor!$B$16</f>
        <v>LEGAL</v>
      </c>
    </row>
    <row r="1971" customFormat="false" ht="15" hidden="false" customHeight="false" outlineLevel="0" collapsed="false">
      <c r="A1971" s="6" t="s">
        <v>4</v>
      </c>
      <c r="B1971" s="6" t="s">
        <v>406</v>
      </c>
      <c r="C1971" s="6" t="n">
        <v>46</v>
      </c>
      <c r="D1971" s="25" t="n">
        <f aca="false">EDATE('Start Here'!$B$6,C1971-1)</f>
        <v>47696</v>
      </c>
      <c r="E1971" s="23" t="n">
        <f aca="false">IF(AND(OR(Nonlabor!$D$16="Both",Nonlabor!$D$16='Start Here'!$B$9),IF(Nonlabor!$E$16="Core",1,IF(Nonlabor!$E$16="AI",'Start Here'!$B$7,'Start Here'!$B$8))=1,C1971&gt;=IF(Nonlabor!$E$16="Core",Nonlabor!$F$16,MAX(Nonlabor!$F$16,IF(Nonlabor!$E$16="AI",Assumptions!$D$24,Assumptions!$D$25))),C1971&lt;=Nonlabor!$G$16,OR(Nonlabor!$H$16="Monthly",AND(Nonlabor!$H$16="Once",C1971=IF(Nonlabor!$E$16="Core",Nonlabor!$F$16,MAX(Nonlabor!$F$16,IF(Nonlabor!$E$16="AI",Assumptions!$D$24,Assumptions!$D$25)))),AND(Nonlabor!$H$16="Annual",MOD(C1971-IF(Nonlabor!$E$16="Core",Nonlabor!$F$16,MAX(Nonlabor!$F$16,IF(Nonlabor!$E$16="AI",Assumptions!$D$24,Assumptions!$D$25))),12)=0))),IF(Nonlabor!$I$16="Fixed",1,IF(Nonlabor!$I$16="Seats",ROUNDUP('Monthly Base'!I51,0),IF(Nonlabor!$I$16="Customers",'Monthly Base'!D51,IF(Nonlabor!$I$16="NewCustomers",'Monthly Base'!C51,IF(Nonlabor!$I$16="StorageGB",'Monthly Base'!G51,IF(Nonlabor!$I$16="LogGB",'Monthly Base'!H51,IF(Nonlabor!$I$16="RequestsM",'Monthly Base'!F51,IF(Nonlabor!$I$16="InputM",'Monthly Base'!D51*Assumptions!$D$22/1000000,IF(Nonlabor!$I$16="OutputM",'Monthly Base'!D51*Assumptions!$D$23/1000000,0))))))))),0)</f>
        <v>0</v>
      </c>
      <c r="F1971" s="10" t="n">
        <f aca="false">Nonlabor!$J$16*(1+Assumptions!$D$9)^INT((C1971-1)/12)</f>
        <v>13112.724</v>
      </c>
      <c r="G1971" s="10" t="n">
        <f aca="false">E1971*F1971</f>
        <v>0</v>
      </c>
      <c r="H1971" s="10" t="n">
        <f aca="false">IF(OR(Nonlabor!$L$16="Quote required",Nonlabor!$L$16="Unverified"),G1971,0)</f>
        <v>0</v>
      </c>
      <c r="I1971" s="10" t="n">
        <f aca="false">IF(Nonlabor!$E$16="Core",0,G1971)</f>
        <v>0</v>
      </c>
      <c r="J1971" s="23" t="str">
        <f aca="false">Nonlabor!$B$16</f>
        <v>LEGAL</v>
      </c>
    </row>
    <row r="1972" customFormat="false" ht="15" hidden="false" customHeight="false" outlineLevel="0" collapsed="false">
      <c r="A1972" s="6" t="s">
        <v>4</v>
      </c>
      <c r="B1972" s="6" t="s">
        <v>406</v>
      </c>
      <c r="C1972" s="6" t="n">
        <v>47</v>
      </c>
      <c r="D1972" s="25" t="n">
        <f aca="false">EDATE('Start Here'!$B$6,C1972-1)</f>
        <v>47727</v>
      </c>
      <c r="E1972" s="23" t="n">
        <f aca="false">IF(AND(OR(Nonlabor!$D$16="Both",Nonlabor!$D$16='Start Here'!$B$9),IF(Nonlabor!$E$16="Core",1,IF(Nonlabor!$E$16="AI",'Start Here'!$B$7,'Start Here'!$B$8))=1,C1972&gt;=IF(Nonlabor!$E$16="Core",Nonlabor!$F$16,MAX(Nonlabor!$F$16,IF(Nonlabor!$E$16="AI",Assumptions!$D$24,Assumptions!$D$25))),C1972&lt;=Nonlabor!$G$16,OR(Nonlabor!$H$16="Monthly",AND(Nonlabor!$H$16="Once",C1972=IF(Nonlabor!$E$16="Core",Nonlabor!$F$16,MAX(Nonlabor!$F$16,IF(Nonlabor!$E$16="AI",Assumptions!$D$24,Assumptions!$D$25)))),AND(Nonlabor!$H$16="Annual",MOD(C1972-IF(Nonlabor!$E$16="Core",Nonlabor!$F$16,MAX(Nonlabor!$F$16,IF(Nonlabor!$E$16="AI",Assumptions!$D$24,Assumptions!$D$25))),12)=0))),IF(Nonlabor!$I$16="Fixed",1,IF(Nonlabor!$I$16="Seats",ROUNDUP('Monthly Base'!I52,0),IF(Nonlabor!$I$16="Customers",'Monthly Base'!D52,IF(Nonlabor!$I$16="NewCustomers",'Monthly Base'!C52,IF(Nonlabor!$I$16="StorageGB",'Monthly Base'!G52,IF(Nonlabor!$I$16="LogGB",'Monthly Base'!H52,IF(Nonlabor!$I$16="RequestsM",'Monthly Base'!F52,IF(Nonlabor!$I$16="InputM",'Monthly Base'!D52*Assumptions!$D$22/1000000,IF(Nonlabor!$I$16="OutputM",'Monthly Base'!D52*Assumptions!$D$23/1000000,0))))))))),0)</f>
        <v>0</v>
      </c>
      <c r="F1972" s="10" t="n">
        <f aca="false">Nonlabor!$J$16*(1+Assumptions!$D$9)^INT((C1972-1)/12)</f>
        <v>13112.724</v>
      </c>
      <c r="G1972" s="10" t="n">
        <f aca="false">E1972*F1972</f>
        <v>0</v>
      </c>
      <c r="H1972" s="10" t="n">
        <f aca="false">IF(OR(Nonlabor!$L$16="Quote required",Nonlabor!$L$16="Unverified"),G1972,0)</f>
        <v>0</v>
      </c>
      <c r="I1972" s="10" t="n">
        <f aca="false">IF(Nonlabor!$E$16="Core",0,G1972)</f>
        <v>0</v>
      </c>
      <c r="J1972" s="23" t="str">
        <f aca="false">Nonlabor!$B$16</f>
        <v>LEGAL</v>
      </c>
    </row>
    <row r="1973" customFormat="false" ht="15" hidden="false" customHeight="false" outlineLevel="0" collapsed="false">
      <c r="A1973" s="6" t="s">
        <v>4</v>
      </c>
      <c r="B1973" s="6" t="s">
        <v>406</v>
      </c>
      <c r="C1973" s="6" t="n">
        <v>48</v>
      </c>
      <c r="D1973" s="25" t="n">
        <f aca="false">EDATE('Start Here'!$B$6,C1973-1)</f>
        <v>47757</v>
      </c>
      <c r="E1973" s="23" t="n">
        <f aca="false">IF(AND(OR(Nonlabor!$D$16="Both",Nonlabor!$D$16='Start Here'!$B$9),IF(Nonlabor!$E$16="Core",1,IF(Nonlabor!$E$16="AI",'Start Here'!$B$7,'Start Here'!$B$8))=1,C1973&gt;=IF(Nonlabor!$E$16="Core",Nonlabor!$F$16,MAX(Nonlabor!$F$16,IF(Nonlabor!$E$16="AI",Assumptions!$D$24,Assumptions!$D$25))),C1973&lt;=Nonlabor!$G$16,OR(Nonlabor!$H$16="Monthly",AND(Nonlabor!$H$16="Once",C1973=IF(Nonlabor!$E$16="Core",Nonlabor!$F$16,MAX(Nonlabor!$F$16,IF(Nonlabor!$E$16="AI",Assumptions!$D$24,Assumptions!$D$25)))),AND(Nonlabor!$H$16="Annual",MOD(C1973-IF(Nonlabor!$E$16="Core",Nonlabor!$F$16,MAX(Nonlabor!$F$16,IF(Nonlabor!$E$16="AI",Assumptions!$D$24,Assumptions!$D$25))),12)=0))),IF(Nonlabor!$I$16="Fixed",1,IF(Nonlabor!$I$16="Seats",ROUNDUP('Monthly Base'!I53,0),IF(Nonlabor!$I$16="Customers",'Monthly Base'!D53,IF(Nonlabor!$I$16="NewCustomers",'Monthly Base'!C53,IF(Nonlabor!$I$16="StorageGB",'Monthly Base'!G53,IF(Nonlabor!$I$16="LogGB",'Monthly Base'!H53,IF(Nonlabor!$I$16="RequestsM",'Monthly Base'!F53,IF(Nonlabor!$I$16="InputM",'Monthly Base'!D53*Assumptions!$D$22/1000000,IF(Nonlabor!$I$16="OutputM",'Monthly Base'!D53*Assumptions!$D$23/1000000,0))))))))),0)</f>
        <v>0</v>
      </c>
      <c r="F1973" s="10" t="n">
        <f aca="false">Nonlabor!$J$16*(1+Assumptions!$D$9)^INT((C1973-1)/12)</f>
        <v>13112.724</v>
      </c>
      <c r="G1973" s="10" t="n">
        <f aca="false">E1973*F1973</f>
        <v>0</v>
      </c>
      <c r="H1973" s="10" t="n">
        <f aca="false">IF(OR(Nonlabor!$L$16="Quote required",Nonlabor!$L$16="Unverified"),G1973,0)</f>
        <v>0</v>
      </c>
      <c r="I1973" s="10" t="n">
        <f aca="false">IF(Nonlabor!$E$16="Core",0,G1973)</f>
        <v>0</v>
      </c>
      <c r="J1973" s="23" t="str">
        <f aca="false">Nonlabor!$B$16</f>
        <v>LEGAL</v>
      </c>
    </row>
    <row r="1974" customFormat="false" ht="15" hidden="false" customHeight="false" outlineLevel="0" collapsed="false">
      <c r="A1974" s="6" t="s">
        <v>4</v>
      </c>
      <c r="B1974" s="6" t="s">
        <v>406</v>
      </c>
      <c r="C1974" s="6" t="n">
        <v>49</v>
      </c>
      <c r="D1974" s="25" t="n">
        <f aca="false">EDATE('Start Here'!$B$6,C1974-1)</f>
        <v>47788</v>
      </c>
      <c r="E1974" s="23" t="n">
        <f aca="false">IF(AND(OR(Nonlabor!$D$16="Both",Nonlabor!$D$16='Start Here'!$B$9),IF(Nonlabor!$E$16="Core",1,IF(Nonlabor!$E$16="AI",'Start Here'!$B$7,'Start Here'!$B$8))=1,C1974&gt;=IF(Nonlabor!$E$16="Core",Nonlabor!$F$16,MAX(Nonlabor!$F$16,IF(Nonlabor!$E$16="AI",Assumptions!$D$24,Assumptions!$D$25))),C1974&lt;=Nonlabor!$G$16,OR(Nonlabor!$H$16="Monthly",AND(Nonlabor!$H$16="Once",C1974=IF(Nonlabor!$E$16="Core",Nonlabor!$F$16,MAX(Nonlabor!$F$16,IF(Nonlabor!$E$16="AI",Assumptions!$D$24,Assumptions!$D$25)))),AND(Nonlabor!$H$16="Annual",MOD(C1974-IF(Nonlabor!$E$16="Core",Nonlabor!$F$16,MAX(Nonlabor!$F$16,IF(Nonlabor!$E$16="AI",Assumptions!$D$24,Assumptions!$D$25))),12)=0))),IF(Nonlabor!$I$16="Fixed",1,IF(Nonlabor!$I$16="Seats",ROUNDUP('Monthly Base'!I54,0),IF(Nonlabor!$I$16="Customers",'Monthly Base'!D54,IF(Nonlabor!$I$16="NewCustomers",'Monthly Base'!C54,IF(Nonlabor!$I$16="StorageGB",'Monthly Base'!G54,IF(Nonlabor!$I$16="LogGB",'Monthly Base'!H54,IF(Nonlabor!$I$16="RequestsM",'Monthly Base'!F54,IF(Nonlabor!$I$16="InputM",'Monthly Base'!D54*Assumptions!$D$22/1000000,IF(Nonlabor!$I$16="OutputM",'Monthly Base'!D54*Assumptions!$D$23/1000000,0))))))))),0)</f>
        <v>0</v>
      </c>
      <c r="F1974" s="10" t="n">
        <f aca="false">Nonlabor!$J$16*(1+Assumptions!$D$9)^INT((C1974-1)/12)</f>
        <v>13506.10572</v>
      </c>
      <c r="G1974" s="10" t="n">
        <f aca="false">E1974*F1974</f>
        <v>0</v>
      </c>
      <c r="H1974" s="10" t="n">
        <f aca="false">IF(OR(Nonlabor!$L$16="Quote required",Nonlabor!$L$16="Unverified"),G1974,0)</f>
        <v>0</v>
      </c>
      <c r="I1974" s="10" t="n">
        <f aca="false">IF(Nonlabor!$E$16="Core",0,G1974)</f>
        <v>0</v>
      </c>
      <c r="J1974" s="23" t="str">
        <f aca="false">Nonlabor!$B$16</f>
        <v>LEGAL</v>
      </c>
    </row>
    <row r="1975" customFormat="false" ht="15" hidden="false" customHeight="false" outlineLevel="0" collapsed="false">
      <c r="A1975" s="6" t="s">
        <v>4</v>
      </c>
      <c r="B1975" s="6" t="s">
        <v>406</v>
      </c>
      <c r="C1975" s="6" t="n">
        <v>50</v>
      </c>
      <c r="D1975" s="25" t="n">
        <f aca="false">EDATE('Start Here'!$B$6,C1975-1)</f>
        <v>47818</v>
      </c>
      <c r="E1975" s="23" t="n">
        <f aca="false">IF(AND(OR(Nonlabor!$D$16="Both",Nonlabor!$D$16='Start Here'!$B$9),IF(Nonlabor!$E$16="Core",1,IF(Nonlabor!$E$16="AI",'Start Here'!$B$7,'Start Here'!$B$8))=1,C1975&gt;=IF(Nonlabor!$E$16="Core",Nonlabor!$F$16,MAX(Nonlabor!$F$16,IF(Nonlabor!$E$16="AI",Assumptions!$D$24,Assumptions!$D$25))),C1975&lt;=Nonlabor!$G$16,OR(Nonlabor!$H$16="Monthly",AND(Nonlabor!$H$16="Once",C1975=IF(Nonlabor!$E$16="Core",Nonlabor!$F$16,MAX(Nonlabor!$F$16,IF(Nonlabor!$E$16="AI",Assumptions!$D$24,Assumptions!$D$25)))),AND(Nonlabor!$H$16="Annual",MOD(C1975-IF(Nonlabor!$E$16="Core",Nonlabor!$F$16,MAX(Nonlabor!$F$16,IF(Nonlabor!$E$16="AI",Assumptions!$D$24,Assumptions!$D$25))),12)=0))),IF(Nonlabor!$I$16="Fixed",1,IF(Nonlabor!$I$16="Seats",ROUNDUP('Monthly Base'!I55,0),IF(Nonlabor!$I$16="Customers",'Monthly Base'!D55,IF(Nonlabor!$I$16="NewCustomers",'Monthly Base'!C55,IF(Nonlabor!$I$16="StorageGB",'Monthly Base'!G55,IF(Nonlabor!$I$16="LogGB",'Monthly Base'!H55,IF(Nonlabor!$I$16="RequestsM",'Monthly Base'!F55,IF(Nonlabor!$I$16="InputM",'Monthly Base'!D55*Assumptions!$D$22/1000000,IF(Nonlabor!$I$16="OutputM",'Monthly Base'!D55*Assumptions!$D$23/1000000,0))))))))),0)</f>
        <v>1</v>
      </c>
      <c r="F1975" s="10" t="n">
        <f aca="false">Nonlabor!$J$16*(1+Assumptions!$D$9)^INT((C1975-1)/12)</f>
        <v>13506.10572</v>
      </c>
      <c r="G1975" s="10" t="n">
        <f aca="false">E1975*F1975</f>
        <v>13506.10572</v>
      </c>
      <c r="H1975" s="10" t="n">
        <f aca="false">IF(OR(Nonlabor!$L$16="Quote required",Nonlabor!$L$16="Unverified"),G1975,0)</f>
        <v>13506.10572</v>
      </c>
      <c r="I1975" s="10" t="n">
        <f aca="false">IF(Nonlabor!$E$16="Core",0,G1975)</f>
        <v>0</v>
      </c>
      <c r="J1975" s="23" t="str">
        <f aca="false">Nonlabor!$B$16</f>
        <v>LEGAL</v>
      </c>
    </row>
    <row r="1976" customFormat="false" ht="15" hidden="false" customHeight="false" outlineLevel="0" collapsed="false">
      <c r="A1976" s="6" t="s">
        <v>4</v>
      </c>
      <c r="B1976" s="6" t="s">
        <v>406</v>
      </c>
      <c r="C1976" s="6" t="n">
        <v>51</v>
      </c>
      <c r="D1976" s="25" t="n">
        <f aca="false">EDATE('Start Here'!$B$6,C1976-1)</f>
        <v>47849</v>
      </c>
      <c r="E1976" s="23" t="n">
        <f aca="false">IF(AND(OR(Nonlabor!$D$16="Both",Nonlabor!$D$16='Start Here'!$B$9),IF(Nonlabor!$E$16="Core",1,IF(Nonlabor!$E$16="AI",'Start Here'!$B$7,'Start Here'!$B$8))=1,C1976&gt;=IF(Nonlabor!$E$16="Core",Nonlabor!$F$16,MAX(Nonlabor!$F$16,IF(Nonlabor!$E$16="AI",Assumptions!$D$24,Assumptions!$D$25))),C1976&lt;=Nonlabor!$G$16,OR(Nonlabor!$H$16="Monthly",AND(Nonlabor!$H$16="Once",C1976=IF(Nonlabor!$E$16="Core",Nonlabor!$F$16,MAX(Nonlabor!$F$16,IF(Nonlabor!$E$16="AI",Assumptions!$D$24,Assumptions!$D$25)))),AND(Nonlabor!$H$16="Annual",MOD(C1976-IF(Nonlabor!$E$16="Core",Nonlabor!$F$16,MAX(Nonlabor!$F$16,IF(Nonlabor!$E$16="AI",Assumptions!$D$24,Assumptions!$D$25))),12)=0))),IF(Nonlabor!$I$16="Fixed",1,IF(Nonlabor!$I$16="Seats",ROUNDUP('Monthly Base'!I56,0),IF(Nonlabor!$I$16="Customers",'Monthly Base'!D56,IF(Nonlabor!$I$16="NewCustomers",'Monthly Base'!C56,IF(Nonlabor!$I$16="StorageGB",'Monthly Base'!G56,IF(Nonlabor!$I$16="LogGB",'Monthly Base'!H56,IF(Nonlabor!$I$16="RequestsM",'Monthly Base'!F56,IF(Nonlabor!$I$16="InputM",'Monthly Base'!D56*Assumptions!$D$22/1000000,IF(Nonlabor!$I$16="OutputM",'Monthly Base'!D56*Assumptions!$D$23/1000000,0))))))))),0)</f>
        <v>0</v>
      </c>
      <c r="F1976" s="10" t="n">
        <f aca="false">Nonlabor!$J$16*(1+Assumptions!$D$9)^INT((C1976-1)/12)</f>
        <v>13506.10572</v>
      </c>
      <c r="G1976" s="10" t="n">
        <f aca="false">E1976*F1976</f>
        <v>0</v>
      </c>
      <c r="H1976" s="10" t="n">
        <f aca="false">IF(OR(Nonlabor!$L$16="Quote required",Nonlabor!$L$16="Unverified"),G1976,0)</f>
        <v>0</v>
      </c>
      <c r="I1976" s="10" t="n">
        <f aca="false">IF(Nonlabor!$E$16="Core",0,G1976)</f>
        <v>0</v>
      </c>
      <c r="J1976" s="23" t="str">
        <f aca="false">Nonlabor!$B$16</f>
        <v>LEGAL</v>
      </c>
    </row>
    <row r="1977" customFormat="false" ht="15" hidden="false" customHeight="false" outlineLevel="0" collapsed="false">
      <c r="A1977" s="6" t="s">
        <v>4</v>
      </c>
      <c r="B1977" s="6" t="s">
        <v>406</v>
      </c>
      <c r="C1977" s="6" t="n">
        <v>52</v>
      </c>
      <c r="D1977" s="25" t="n">
        <f aca="false">EDATE('Start Here'!$B$6,C1977-1)</f>
        <v>47880</v>
      </c>
      <c r="E1977" s="23" t="n">
        <f aca="false">IF(AND(OR(Nonlabor!$D$16="Both",Nonlabor!$D$16='Start Here'!$B$9),IF(Nonlabor!$E$16="Core",1,IF(Nonlabor!$E$16="AI",'Start Here'!$B$7,'Start Here'!$B$8))=1,C1977&gt;=IF(Nonlabor!$E$16="Core",Nonlabor!$F$16,MAX(Nonlabor!$F$16,IF(Nonlabor!$E$16="AI",Assumptions!$D$24,Assumptions!$D$25))),C1977&lt;=Nonlabor!$G$16,OR(Nonlabor!$H$16="Monthly",AND(Nonlabor!$H$16="Once",C1977=IF(Nonlabor!$E$16="Core",Nonlabor!$F$16,MAX(Nonlabor!$F$16,IF(Nonlabor!$E$16="AI",Assumptions!$D$24,Assumptions!$D$25)))),AND(Nonlabor!$H$16="Annual",MOD(C1977-IF(Nonlabor!$E$16="Core",Nonlabor!$F$16,MAX(Nonlabor!$F$16,IF(Nonlabor!$E$16="AI",Assumptions!$D$24,Assumptions!$D$25))),12)=0))),IF(Nonlabor!$I$16="Fixed",1,IF(Nonlabor!$I$16="Seats",ROUNDUP('Monthly Base'!I57,0),IF(Nonlabor!$I$16="Customers",'Monthly Base'!D57,IF(Nonlabor!$I$16="NewCustomers",'Monthly Base'!C57,IF(Nonlabor!$I$16="StorageGB",'Monthly Base'!G57,IF(Nonlabor!$I$16="LogGB",'Monthly Base'!H57,IF(Nonlabor!$I$16="RequestsM",'Monthly Base'!F57,IF(Nonlabor!$I$16="InputM",'Monthly Base'!D57*Assumptions!$D$22/1000000,IF(Nonlabor!$I$16="OutputM",'Monthly Base'!D57*Assumptions!$D$23/1000000,0))))))))),0)</f>
        <v>0</v>
      </c>
      <c r="F1977" s="10" t="n">
        <f aca="false">Nonlabor!$J$16*(1+Assumptions!$D$9)^INT((C1977-1)/12)</f>
        <v>13506.10572</v>
      </c>
      <c r="G1977" s="10" t="n">
        <f aca="false">E1977*F1977</f>
        <v>0</v>
      </c>
      <c r="H1977" s="10" t="n">
        <f aca="false">IF(OR(Nonlabor!$L$16="Quote required",Nonlabor!$L$16="Unverified"),G1977,0)</f>
        <v>0</v>
      </c>
      <c r="I1977" s="10" t="n">
        <f aca="false">IF(Nonlabor!$E$16="Core",0,G1977)</f>
        <v>0</v>
      </c>
      <c r="J1977" s="23" t="str">
        <f aca="false">Nonlabor!$B$16</f>
        <v>LEGAL</v>
      </c>
    </row>
    <row r="1978" customFormat="false" ht="15" hidden="false" customHeight="false" outlineLevel="0" collapsed="false">
      <c r="A1978" s="6" t="s">
        <v>4</v>
      </c>
      <c r="B1978" s="6" t="s">
        <v>406</v>
      </c>
      <c r="C1978" s="6" t="n">
        <v>53</v>
      </c>
      <c r="D1978" s="25" t="n">
        <f aca="false">EDATE('Start Here'!$B$6,C1978-1)</f>
        <v>47908</v>
      </c>
      <c r="E1978" s="23" t="n">
        <f aca="false">IF(AND(OR(Nonlabor!$D$16="Both",Nonlabor!$D$16='Start Here'!$B$9),IF(Nonlabor!$E$16="Core",1,IF(Nonlabor!$E$16="AI",'Start Here'!$B$7,'Start Here'!$B$8))=1,C1978&gt;=IF(Nonlabor!$E$16="Core",Nonlabor!$F$16,MAX(Nonlabor!$F$16,IF(Nonlabor!$E$16="AI",Assumptions!$D$24,Assumptions!$D$25))),C1978&lt;=Nonlabor!$G$16,OR(Nonlabor!$H$16="Monthly",AND(Nonlabor!$H$16="Once",C1978=IF(Nonlabor!$E$16="Core",Nonlabor!$F$16,MAX(Nonlabor!$F$16,IF(Nonlabor!$E$16="AI",Assumptions!$D$24,Assumptions!$D$25)))),AND(Nonlabor!$H$16="Annual",MOD(C1978-IF(Nonlabor!$E$16="Core",Nonlabor!$F$16,MAX(Nonlabor!$F$16,IF(Nonlabor!$E$16="AI",Assumptions!$D$24,Assumptions!$D$25))),12)=0))),IF(Nonlabor!$I$16="Fixed",1,IF(Nonlabor!$I$16="Seats",ROUNDUP('Monthly Base'!I58,0),IF(Nonlabor!$I$16="Customers",'Monthly Base'!D58,IF(Nonlabor!$I$16="NewCustomers",'Monthly Base'!C58,IF(Nonlabor!$I$16="StorageGB",'Monthly Base'!G58,IF(Nonlabor!$I$16="LogGB",'Monthly Base'!H58,IF(Nonlabor!$I$16="RequestsM",'Monthly Base'!F58,IF(Nonlabor!$I$16="InputM",'Monthly Base'!D58*Assumptions!$D$22/1000000,IF(Nonlabor!$I$16="OutputM",'Monthly Base'!D58*Assumptions!$D$23/1000000,0))))))))),0)</f>
        <v>0</v>
      </c>
      <c r="F1978" s="10" t="n">
        <f aca="false">Nonlabor!$J$16*(1+Assumptions!$D$9)^INT((C1978-1)/12)</f>
        <v>13506.10572</v>
      </c>
      <c r="G1978" s="10" t="n">
        <f aca="false">E1978*F1978</f>
        <v>0</v>
      </c>
      <c r="H1978" s="10" t="n">
        <f aca="false">IF(OR(Nonlabor!$L$16="Quote required",Nonlabor!$L$16="Unverified"),G1978,0)</f>
        <v>0</v>
      </c>
      <c r="I1978" s="10" t="n">
        <f aca="false">IF(Nonlabor!$E$16="Core",0,G1978)</f>
        <v>0</v>
      </c>
      <c r="J1978" s="23" t="str">
        <f aca="false">Nonlabor!$B$16</f>
        <v>LEGAL</v>
      </c>
    </row>
    <row r="1979" customFormat="false" ht="15" hidden="false" customHeight="false" outlineLevel="0" collapsed="false">
      <c r="A1979" s="6" t="s">
        <v>4</v>
      </c>
      <c r="B1979" s="6" t="s">
        <v>406</v>
      </c>
      <c r="C1979" s="6" t="n">
        <v>54</v>
      </c>
      <c r="D1979" s="25" t="n">
        <f aca="false">EDATE('Start Here'!$B$6,C1979-1)</f>
        <v>47939</v>
      </c>
      <c r="E1979" s="23" t="n">
        <f aca="false">IF(AND(OR(Nonlabor!$D$16="Both",Nonlabor!$D$16='Start Here'!$B$9),IF(Nonlabor!$E$16="Core",1,IF(Nonlabor!$E$16="AI",'Start Here'!$B$7,'Start Here'!$B$8))=1,C1979&gt;=IF(Nonlabor!$E$16="Core",Nonlabor!$F$16,MAX(Nonlabor!$F$16,IF(Nonlabor!$E$16="AI",Assumptions!$D$24,Assumptions!$D$25))),C1979&lt;=Nonlabor!$G$16,OR(Nonlabor!$H$16="Monthly",AND(Nonlabor!$H$16="Once",C1979=IF(Nonlabor!$E$16="Core",Nonlabor!$F$16,MAX(Nonlabor!$F$16,IF(Nonlabor!$E$16="AI",Assumptions!$D$24,Assumptions!$D$25)))),AND(Nonlabor!$H$16="Annual",MOD(C1979-IF(Nonlabor!$E$16="Core",Nonlabor!$F$16,MAX(Nonlabor!$F$16,IF(Nonlabor!$E$16="AI",Assumptions!$D$24,Assumptions!$D$25))),12)=0))),IF(Nonlabor!$I$16="Fixed",1,IF(Nonlabor!$I$16="Seats",ROUNDUP('Monthly Base'!I59,0),IF(Nonlabor!$I$16="Customers",'Monthly Base'!D59,IF(Nonlabor!$I$16="NewCustomers",'Monthly Base'!C59,IF(Nonlabor!$I$16="StorageGB",'Monthly Base'!G59,IF(Nonlabor!$I$16="LogGB",'Monthly Base'!H59,IF(Nonlabor!$I$16="RequestsM",'Monthly Base'!F59,IF(Nonlabor!$I$16="InputM",'Monthly Base'!D59*Assumptions!$D$22/1000000,IF(Nonlabor!$I$16="OutputM",'Monthly Base'!D59*Assumptions!$D$23/1000000,0))))))))),0)</f>
        <v>0</v>
      </c>
      <c r="F1979" s="10" t="n">
        <f aca="false">Nonlabor!$J$16*(1+Assumptions!$D$9)^INT((C1979-1)/12)</f>
        <v>13506.10572</v>
      </c>
      <c r="G1979" s="10" t="n">
        <f aca="false">E1979*F1979</f>
        <v>0</v>
      </c>
      <c r="H1979" s="10" t="n">
        <f aca="false">IF(OR(Nonlabor!$L$16="Quote required",Nonlabor!$L$16="Unverified"),G1979,0)</f>
        <v>0</v>
      </c>
      <c r="I1979" s="10" t="n">
        <f aca="false">IF(Nonlabor!$E$16="Core",0,G1979)</f>
        <v>0</v>
      </c>
      <c r="J1979" s="23" t="str">
        <f aca="false">Nonlabor!$B$16</f>
        <v>LEGAL</v>
      </c>
    </row>
    <row r="1980" customFormat="false" ht="15" hidden="false" customHeight="false" outlineLevel="0" collapsed="false">
      <c r="A1980" s="6" t="s">
        <v>4</v>
      </c>
      <c r="B1980" s="6" t="s">
        <v>406</v>
      </c>
      <c r="C1980" s="6" t="n">
        <v>55</v>
      </c>
      <c r="D1980" s="25" t="n">
        <f aca="false">EDATE('Start Here'!$B$6,C1980-1)</f>
        <v>47969</v>
      </c>
      <c r="E1980" s="23" t="n">
        <f aca="false">IF(AND(OR(Nonlabor!$D$16="Both",Nonlabor!$D$16='Start Here'!$B$9),IF(Nonlabor!$E$16="Core",1,IF(Nonlabor!$E$16="AI",'Start Here'!$B$7,'Start Here'!$B$8))=1,C1980&gt;=IF(Nonlabor!$E$16="Core",Nonlabor!$F$16,MAX(Nonlabor!$F$16,IF(Nonlabor!$E$16="AI",Assumptions!$D$24,Assumptions!$D$25))),C1980&lt;=Nonlabor!$G$16,OR(Nonlabor!$H$16="Monthly",AND(Nonlabor!$H$16="Once",C1980=IF(Nonlabor!$E$16="Core",Nonlabor!$F$16,MAX(Nonlabor!$F$16,IF(Nonlabor!$E$16="AI",Assumptions!$D$24,Assumptions!$D$25)))),AND(Nonlabor!$H$16="Annual",MOD(C1980-IF(Nonlabor!$E$16="Core",Nonlabor!$F$16,MAX(Nonlabor!$F$16,IF(Nonlabor!$E$16="AI",Assumptions!$D$24,Assumptions!$D$25))),12)=0))),IF(Nonlabor!$I$16="Fixed",1,IF(Nonlabor!$I$16="Seats",ROUNDUP('Monthly Base'!I60,0),IF(Nonlabor!$I$16="Customers",'Monthly Base'!D60,IF(Nonlabor!$I$16="NewCustomers",'Monthly Base'!C60,IF(Nonlabor!$I$16="StorageGB",'Monthly Base'!G60,IF(Nonlabor!$I$16="LogGB",'Monthly Base'!H60,IF(Nonlabor!$I$16="RequestsM",'Monthly Base'!F60,IF(Nonlabor!$I$16="InputM",'Monthly Base'!D60*Assumptions!$D$22/1000000,IF(Nonlabor!$I$16="OutputM",'Monthly Base'!D60*Assumptions!$D$23/1000000,0))))))))),0)</f>
        <v>0</v>
      </c>
      <c r="F1980" s="10" t="n">
        <f aca="false">Nonlabor!$J$16*(1+Assumptions!$D$9)^INT((C1980-1)/12)</f>
        <v>13506.10572</v>
      </c>
      <c r="G1980" s="10" t="n">
        <f aca="false">E1980*F1980</f>
        <v>0</v>
      </c>
      <c r="H1980" s="10" t="n">
        <f aca="false">IF(OR(Nonlabor!$L$16="Quote required",Nonlabor!$L$16="Unverified"),G1980,0)</f>
        <v>0</v>
      </c>
      <c r="I1980" s="10" t="n">
        <f aca="false">IF(Nonlabor!$E$16="Core",0,G1980)</f>
        <v>0</v>
      </c>
      <c r="J1980" s="23" t="str">
        <f aca="false">Nonlabor!$B$16</f>
        <v>LEGAL</v>
      </c>
    </row>
    <row r="1981" customFormat="false" ht="15" hidden="false" customHeight="false" outlineLevel="0" collapsed="false">
      <c r="A1981" s="6" t="s">
        <v>4</v>
      </c>
      <c r="B1981" s="6" t="s">
        <v>406</v>
      </c>
      <c r="C1981" s="6" t="n">
        <v>56</v>
      </c>
      <c r="D1981" s="25" t="n">
        <f aca="false">EDATE('Start Here'!$B$6,C1981-1)</f>
        <v>48000</v>
      </c>
      <c r="E1981" s="23" t="n">
        <f aca="false">IF(AND(OR(Nonlabor!$D$16="Both",Nonlabor!$D$16='Start Here'!$B$9),IF(Nonlabor!$E$16="Core",1,IF(Nonlabor!$E$16="AI",'Start Here'!$B$7,'Start Here'!$B$8))=1,C1981&gt;=IF(Nonlabor!$E$16="Core",Nonlabor!$F$16,MAX(Nonlabor!$F$16,IF(Nonlabor!$E$16="AI",Assumptions!$D$24,Assumptions!$D$25))),C1981&lt;=Nonlabor!$G$16,OR(Nonlabor!$H$16="Monthly",AND(Nonlabor!$H$16="Once",C1981=IF(Nonlabor!$E$16="Core",Nonlabor!$F$16,MAX(Nonlabor!$F$16,IF(Nonlabor!$E$16="AI",Assumptions!$D$24,Assumptions!$D$25)))),AND(Nonlabor!$H$16="Annual",MOD(C1981-IF(Nonlabor!$E$16="Core",Nonlabor!$F$16,MAX(Nonlabor!$F$16,IF(Nonlabor!$E$16="AI",Assumptions!$D$24,Assumptions!$D$25))),12)=0))),IF(Nonlabor!$I$16="Fixed",1,IF(Nonlabor!$I$16="Seats",ROUNDUP('Monthly Base'!I61,0),IF(Nonlabor!$I$16="Customers",'Monthly Base'!D61,IF(Nonlabor!$I$16="NewCustomers",'Monthly Base'!C61,IF(Nonlabor!$I$16="StorageGB",'Monthly Base'!G61,IF(Nonlabor!$I$16="LogGB",'Monthly Base'!H61,IF(Nonlabor!$I$16="RequestsM",'Monthly Base'!F61,IF(Nonlabor!$I$16="InputM",'Monthly Base'!D61*Assumptions!$D$22/1000000,IF(Nonlabor!$I$16="OutputM",'Monthly Base'!D61*Assumptions!$D$23/1000000,0))))))))),0)</f>
        <v>0</v>
      </c>
      <c r="F1981" s="10" t="n">
        <f aca="false">Nonlabor!$J$16*(1+Assumptions!$D$9)^INT((C1981-1)/12)</f>
        <v>13506.10572</v>
      </c>
      <c r="G1981" s="10" t="n">
        <f aca="false">E1981*F1981</f>
        <v>0</v>
      </c>
      <c r="H1981" s="10" t="n">
        <f aca="false">IF(OR(Nonlabor!$L$16="Quote required",Nonlabor!$L$16="Unverified"),G1981,0)</f>
        <v>0</v>
      </c>
      <c r="I1981" s="10" t="n">
        <f aca="false">IF(Nonlabor!$E$16="Core",0,G1981)</f>
        <v>0</v>
      </c>
      <c r="J1981" s="23" t="str">
        <f aca="false">Nonlabor!$B$16</f>
        <v>LEGAL</v>
      </c>
    </row>
    <row r="1982" customFormat="false" ht="15" hidden="false" customHeight="false" outlineLevel="0" collapsed="false">
      <c r="A1982" s="6" t="s">
        <v>4</v>
      </c>
      <c r="B1982" s="6" t="s">
        <v>406</v>
      </c>
      <c r="C1982" s="6" t="n">
        <v>57</v>
      </c>
      <c r="D1982" s="25" t="n">
        <f aca="false">EDATE('Start Here'!$B$6,C1982-1)</f>
        <v>48030</v>
      </c>
      <c r="E1982" s="23" t="n">
        <f aca="false">IF(AND(OR(Nonlabor!$D$16="Both",Nonlabor!$D$16='Start Here'!$B$9),IF(Nonlabor!$E$16="Core",1,IF(Nonlabor!$E$16="AI",'Start Here'!$B$7,'Start Here'!$B$8))=1,C1982&gt;=IF(Nonlabor!$E$16="Core",Nonlabor!$F$16,MAX(Nonlabor!$F$16,IF(Nonlabor!$E$16="AI",Assumptions!$D$24,Assumptions!$D$25))),C1982&lt;=Nonlabor!$G$16,OR(Nonlabor!$H$16="Monthly",AND(Nonlabor!$H$16="Once",C1982=IF(Nonlabor!$E$16="Core",Nonlabor!$F$16,MAX(Nonlabor!$F$16,IF(Nonlabor!$E$16="AI",Assumptions!$D$24,Assumptions!$D$25)))),AND(Nonlabor!$H$16="Annual",MOD(C1982-IF(Nonlabor!$E$16="Core",Nonlabor!$F$16,MAX(Nonlabor!$F$16,IF(Nonlabor!$E$16="AI",Assumptions!$D$24,Assumptions!$D$25))),12)=0))),IF(Nonlabor!$I$16="Fixed",1,IF(Nonlabor!$I$16="Seats",ROUNDUP('Monthly Base'!I62,0),IF(Nonlabor!$I$16="Customers",'Monthly Base'!D62,IF(Nonlabor!$I$16="NewCustomers",'Monthly Base'!C62,IF(Nonlabor!$I$16="StorageGB",'Monthly Base'!G62,IF(Nonlabor!$I$16="LogGB",'Monthly Base'!H62,IF(Nonlabor!$I$16="RequestsM",'Monthly Base'!F62,IF(Nonlabor!$I$16="InputM",'Monthly Base'!D62*Assumptions!$D$22/1000000,IF(Nonlabor!$I$16="OutputM",'Monthly Base'!D62*Assumptions!$D$23/1000000,0))))))))),0)</f>
        <v>0</v>
      </c>
      <c r="F1982" s="10" t="n">
        <f aca="false">Nonlabor!$J$16*(1+Assumptions!$D$9)^INT((C1982-1)/12)</f>
        <v>13506.10572</v>
      </c>
      <c r="G1982" s="10" t="n">
        <f aca="false">E1982*F1982</f>
        <v>0</v>
      </c>
      <c r="H1982" s="10" t="n">
        <f aca="false">IF(OR(Nonlabor!$L$16="Quote required",Nonlabor!$L$16="Unverified"),G1982,0)</f>
        <v>0</v>
      </c>
      <c r="I1982" s="10" t="n">
        <f aca="false">IF(Nonlabor!$E$16="Core",0,G1982)</f>
        <v>0</v>
      </c>
      <c r="J1982" s="23" t="str">
        <f aca="false">Nonlabor!$B$16</f>
        <v>LEGAL</v>
      </c>
    </row>
    <row r="1983" customFormat="false" ht="15" hidden="false" customHeight="false" outlineLevel="0" collapsed="false">
      <c r="A1983" s="6" t="s">
        <v>4</v>
      </c>
      <c r="B1983" s="6" t="s">
        <v>406</v>
      </c>
      <c r="C1983" s="6" t="n">
        <v>58</v>
      </c>
      <c r="D1983" s="25" t="n">
        <f aca="false">EDATE('Start Here'!$B$6,C1983-1)</f>
        <v>48061</v>
      </c>
      <c r="E1983" s="23" t="n">
        <f aca="false">IF(AND(OR(Nonlabor!$D$16="Both",Nonlabor!$D$16='Start Here'!$B$9),IF(Nonlabor!$E$16="Core",1,IF(Nonlabor!$E$16="AI",'Start Here'!$B$7,'Start Here'!$B$8))=1,C1983&gt;=IF(Nonlabor!$E$16="Core",Nonlabor!$F$16,MAX(Nonlabor!$F$16,IF(Nonlabor!$E$16="AI",Assumptions!$D$24,Assumptions!$D$25))),C1983&lt;=Nonlabor!$G$16,OR(Nonlabor!$H$16="Monthly",AND(Nonlabor!$H$16="Once",C1983=IF(Nonlabor!$E$16="Core",Nonlabor!$F$16,MAX(Nonlabor!$F$16,IF(Nonlabor!$E$16="AI",Assumptions!$D$24,Assumptions!$D$25)))),AND(Nonlabor!$H$16="Annual",MOD(C1983-IF(Nonlabor!$E$16="Core",Nonlabor!$F$16,MAX(Nonlabor!$F$16,IF(Nonlabor!$E$16="AI",Assumptions!$D$24,Assumptions!$D$25))),12)=0))),IF(Nonlabor!$I$16="Fixed",1,IF(Nonlabor!$I$16="Seats",ROUNDUP('Monthly Base'!I63,0),IF(Nonlabor!$I$16="Customers",'Monthly Base'!D63,IF(Nonlabor!$I$16="NewCustomers",'Monthly Base'!C63,IF(Nonlabor!$I$16="StorageGB",'Monthly Base'!G63,IF(Nonlabor!$I$16="LogGB",'Monthly Base'!H63,IF(Nonlabor!$I$16="RequestsM",'Monthly Base'!F63,IF(Nonlabor!$I$16="InputM",'Monthly Base'!D63*Assumptions!$D$22/1000000,IF(Nonlabor!$I$16="OutputM",'Monthly Base'!D63*Assumptions!$D$23/1000000,0))))))))),0)</f>
        <v>0</v>
      </c>
      <c r="F1983" s="10" t="n">
        <f aca="false">Nonlabor!$J$16*(1+Assumptions!$D$9)^INT((C1983-1)/12)</f>
        <v>13506.10572</v>
      </c>
      <c r="G1983" s="10" t="n">
        <f aca="false">E1983*F1983</f>
        <v>0</v>
      </c>
      <c r="H1983" s="10" t="n">
        <f aca="false">IF(OR(Nonlabor!$L$16="Quote required",Nonlabor!$L$16="Unverified"),G1983,0)</f>
        <v>0</v>
      </c>
      <c r="I1983" s="10" t="n">
        <f aca="false">IF(Nonlabor!$E$16="Core",0,G1983)</f>
        <v>0</v>
      </c>
      <c r="J1983" s="23" t="str">
        <f aca="false">Nonlabor!$B$16</f>
        <v>LEGAL</v>
      </c>
    </row>
    <row r="1984" customFormat="false" ht="15" hidden="false" customHeight="false" outlineLevel="0" collapsed="false">
      <c r="A1984" s="6" t="s">
        <v>4</v>
      </c>
      <c r="B1984" s="6" t="s">
        <v>406</v>
      </c>
      <c r="C1984" s="6" t="n">
        <v>59</v>
      </c>
      <c r="D1984" s="25" t="n">
        <f aca="false">EDATE('Start Here'!$B$6,C1984-1)</f>
        <v>48092</v>
      </c>
      <c r="E1984" s="23" t="n">
        <f aca="false">IF(AND(OR(Nonlabor!$D$16="Both",Nonlabor!$D$16='Start Here'!$B$9),IF(Nonlabor!$E$16="Core",1,IF(Nonlabor!$E$16="AI",'Start Here'!$B$7,'Start Here'!$B$8))=1,C1984&gt;=IF(Nonlabor!$E$16="Core",Nonlabor!$F$16,MAX(Nonlabor!$F$16,IF(Nonlabor!$E$16="AI",Assumptions!$D$24,Assumptions!$D$25))),C1984&lt;=Nonlabor!$G$16,OR(Nonlabor!$H$16="Monthly",AND(Nonlabor!$H$16="Once",C1984=IF(Nonlabor!$E$16="Core",Nonlabor!$F$16,MAX(Nonlabor!$F$16,IF(Nonlabor!$E$16="AI",Assumptions!$D$24,Assumptions!$D$25)))),AND(Nonlabor!$H$16="Annual",MOD(C1984-IF(Nonlabor!$E$16="Core",Nonlabor!$F$16,MAX(Nonlabor!$F$16,IF(Nonlabor!$E$16="AI",Assumptions!$D$24,Assumptions!$D$25))),12)=0))),IF(Nonlabor!$I$16="Fixed",1,IF(Nonlabor!$I$16="Seats",ROUNDUP('Monthly Base'!I64,0),IF(Nonlabor!$I$16="Customers",'Monthly Base'!D64,IF(Nonlabor!$I$16="NewCustomers",'Monthly Base'!C64,IF(Nonlabor!$I$16="StorageGB",'Monthly Base'!G64,IF(Nonlabor!$I$16="LogGB",'Monthly Base'!H64,IF(Nonlabor!$I$16="RequestsM",'Monthly Base'!F64,IF(Nonlabor!$I$16="InputM",'Monthly Base'!D64*Assumptions!$D$22/1000000,IF(Nonlabor!$I$16="OutputM",'Monthly Base'!D64*Assumptions!$D$23/1000000,0))))))))),0)</f>
        <v>0</v>
      </c>
      <c r="F1984" s="10" t="n">
        <f aca="false">Nonlabor!$J$16*(1+Assumptions!$D$9)^INT((C1984-1)/12)</f>
        <v>13506.10572</v>
      </c>
      <c r="G1984" s="10" t="n">
        <f aca="false">E1984*F1984</f>
        <v>0</v>
      </c>
      <c r="H1984" s="10" t="n">
        <f aca="false">IF(OR(Nonlabor!$L$16="Quote required",Nonlabor!$L$16="Unverified"),G1984,0)</f>
        <v>0</v>
      </c>
      <c r="I1984" s="10" t="n">
        <f aca="false">IF(Nonlabor!$E$16="Core",0,G1984)</f>
        <v>0</v>
      </c>
      <c r="J1984" s="23" t="str">
        <f aca="false">Nonlabor!$B$16</f>
        <v>LEGAL</v>
      </c>
    </row>
    <row r="1985" customFormat="false" ht="15" hidden="false" customHeight="false" outlineLevel="0" collapsed="false">
      <c r="A1985" s="6" t="s">
        <v>4</v>
      </c>
      <c r="B1985" s="6" t="s">
        <v>406</v>
      </c>
      <c r="C1985" s="6" t="n">
        <v>60</v>
      </c>
      <c r="D1985" s="25" t="n">
        <f aca="false">EDATE('Start Here'!$B$6,C1985-1)</f>
        <v>48122</v>
      </c>
      <c r="E1985" s="23" t="n">
        <f aca="false">IF(AND(OR(Nonlabor!$D$16="Both",Nonlabor!$D$16='Start Here'!$B$9),IF(Nonlabor!$E$16="Core",1,IF(Nonlabor!$E$16="AI",'Start Here'!$B$7,'Start Here'!$B$8))=1,C1985&gt;=IF(Nonlabor!$E$16="Core",Nonlabor!$F$16,MAX(Nonlabor!$F$16,IF(Nonlabor!$E$16="AI",Assumptions!$D$24,Assumptions!$D$25))),C1985&lt;=Nonlabor!$G$16,OR(Nonlabor!$H$16="Monthly",AND(Nonlabor!$H$16="Once",C1985=IF(Nonlabor!$E$16="Core",Nonlabor!$F$16,MAX(Nonlabor!$F$16,IF(Nonlabor!$E$16="AI",Assumptions!$D$24,Assumptions!$D$25)))),AND(Nonlabor!$H$16="Annual",MOD(C1985-IF(Nonlabor!$E$16="Core",Nonlabor!$F$16,MAX(Nonlabor!$F$16,IF(Nonlabor!$E$16="AI",Assumptions!$D$24,Assumptions!$D$25))),12)=0))),IF(Nonlabor!$I$16="Fixed",1,IF(Nonlabor!$I$16="Seats",ROUNDUP('Monthly Base'!I65,0),IF(Nonlabor!$I$16="Customers",'Monthly Base'!D65,IF(Nonlabor!$I$16="NewCustomers",'Monthly Base'!C65,IF(Nonlabor!$I$16="StorageGB",'Monthly Base'!G65,IF(Nonlabor!$I$16="LogGB",'Monthly Base'!H65,IF(Nonlabor!$I$16="RequestsM",'Monthly Base'!F65,IF(Nonlabor!$I$16="InputM",'Monthly Base'!D65*Assumptions!$D$22/1000000,IF(Nonlabor!$I$16="OutputM",'Monthly Base'!D65*Assumptions!$D$23/1000000,0))))))))),0)</f>
        <v>0</v>
      </c>
      <c r="F1985" s="10" t="n">
        <f aca="false">Nonlabor!$J$16*(1+Assumptions!$D$9)^INT((C1985-1)/12)</f>
        <v>13506.10572</v>
      </c>
      <c r="G1985" s="10" t="n">
        <f aca="false">E1985*F1985</f>
        <v>0</v>
      </c>
      <c r="H1985" s="10" t="n">
        <f aca="false">IF(OR(Nonlabor!$L$16="Quote required",Nonlabor!$L$16="Unverified"),G1985,0)</f>
        <v>0</v>
      </c>
      <c r="I1985" s="10" t="n">
        <f aca="false">IF(Nonlabor!$E$16="Core",0,G1985)</f>
        <v>0</v>
      </c>
      <c r="J1985" s="23" t="str">
        <f aca="false">Nonlabor!$B$16</f>
        <v>LEGAL</v>
      </c>
    </row>
    <row r="1986" customFormat="false" ht="15" hidden="false" customHeight="false" outlineLevel="0" collapsed="false">
      <c r="A1986" s="6" t="s">
        <v>4</v>
      </c>
      <c r="B1986" s="6" t="s">
        <v>410</v>
      </c>
      <c r="C1986" s="6" t="n">
        <v>1</v>
      </c>
      <c r="D1986" s="25" t="n">
        <f aca="false">EDATE('Start Here'!$B$6,C1986-1)</f>
        <v>46327</v>
      </c>
      <c r="E1986" s="23" t="n">
        <f aca="false">IF(AND(OR(Nonlabor!$D$17="Both",Nonlabor!$D$17='Start Here'!$B$9),IF(Nonlabor!$E$17="Core",1,IF(Nonlabor!$E$17="AI",'Start Here'!$B$7,'Start Here'!$B$8))=1,C1986&gt;=IF(Nonlabor!$E$17="Core",Nonlabor!$F$17,MAX(Nonlabor!$F$17,IF(Nonlabor!$E$17="AI",Assumptions!$D$24,Assumptions!$D$25))),C1986&lt;=Nonlabor!$G$17,OR(Nonlabor!$H$17="Monthly",AND(Nonlabor!$H$17="Once",C1986=IF(Nonlabor!$E$17="Core",Nonlabor!$F$17,MAX(Nonlabor!$F$17,IF(Nonlabor!$E$17="AI",Assumptions!$D$24,Assumptions!$D$25)))),AND(Nonlabor!$H$17="Annual",MOD(C1986-IF(Nonlabor!$E$17="Core",Nonlabor!$F$17,MAX(Nonlabor!$F$17,IF(Nonlabor!$E$17="AI",Assumptions!$D$24,Assumptions!$D$25))),12)=0))),IF(Nonlabor!$I$17="Fixed",1,IF(Nonlabor!$I$17="Seats",ROUNDUP('Monthly Base'!I6,0),IF(Nonlabor!$I$17="Customers",'Monthly Base'!D6,IF(Nonlabor!$I$17="NewCustomers",'Monthly Base'!C6,IF(Nonlabor!$I$17="StorageGB",'Monthly Base'!G6,IF(Nonlabor!$I$17="LogGB",'Monthly Base'!H6,IF(Nonlabor!$I$17="RequestsM",'Monthly Base'!F6,IF(Nonlabor!$I$17="InputM",'Monthly Base'!D6*Assumptions!$D$22/1000000,IF(Nonlabor!$I$17="OutputM",'Monthly Base'!D6*Assumptions!$D$23/1000000,0))))))))),0)</f>
        <v>0</v>
      </c>
      <c r="F1986" s="10" t="n">
        <f aca="false">Nonlabor!$J$17*(1+Assumptions!$D$9)^INT((C1986-1)/12)</f>
        <v>18000</v>
      </c>
      <c r="G1986" s="10" t="n">
        <f aca="false">E1986*F1986</f>
        <v>0</v>
      </c>
      <c r="H1986" s="10" t="n">
        <f aca="false">IF(OR(Nonlabor!$L$17="Quote required",Nonlabor!$L$17="Unverified"),G1986,0)</f>
        <v>0</v>
      </c>
      <c r="I1986" s="10" t="n">
        <f aca="false">IF(Nonlabor!$E$17="Core",0,G1986)</f>
        <v>0</v>
      </c>
      <c r="J1986" s="23" t="str">
        <f aca="false">Nonlabor!$B$17</f>
        <v>SECURITY</v>
      </c>
    </row>
    <row r="1987" customFormat="false" ht="15" hidden="false" customHeight="false" outlineLevel="0" collapsed="false">
      <c r="A1987" s="6" t="s">
        <v>4</v>
      </c>
      <c r="B1987" s="6" t="s">
        <v>410</v>
      </c>
      <c r="C1987" s="6" t="n">
        <v>2</v>
      </c>
      <c r="D1987" s="25" t="n">
        <f aca="false">EDATE('Start Here'!$B$6,C1987-1)</f>
        <v>46357</v>
      </c>
      <c r="E1987" s="23" t="n">
        <f aca="false">IF(AND(OR(Nonlabor!$D$17="Both",Nonlabor!$D$17='Start Here'!$B$9),IF(Nonlabor!$E$17="Core",1,IF(Nonlabor!$E$17="AI",'Start Here'!$B$7,'Start Here'!$B$8))=1,C1987&gt;=IF(Nonlabor!$E$17="Core",Nonlabor!$F$17,MAX(Nonlabor!$F$17,IF(Nonlabor!$E$17="AI",Assumptions!$D$24,Assumptions!$D$25))),C1987&lt;=Nonlabor!$G$17,OR(Nonlabor!$H$17="Monthly",AND(Nonlabor!$H$17="Once",C1987=IF(Nonlabor!$E$17="Core",Nonlabor!$F$17,MAX(Nonlabor!$F$17,IF(Nonlabor!$E$17="AI",Assumptions!$D$24,Assumptions!$D$25)))),AND(Nonlabor!$H$17="Annual",MOD(C1987-IF(Nonlabor!$E$17="Core",Nonlabor!$F$17,MAX(Nonlabor!$F$17,IF(Nonlabor!$E$17="AI",Assumptions!$D$24,Assumptions!$D$25))),12)=0))),IF(Nonlabor!$I$17="Fixed",1,IF(Nonlabor!$I$17="Seats",ROUNDUP('Monthly Base'!I7,0),IF(Nonlabor!$I$17="Customers",'Monthly Base'!D7,IF(Nonlabor!$I$17="NewCustomers",'Monthly Base'!C7,IF(Nonlabor!$I$17="StorageGB",'Monthly Base'!G7,IF(Nonlabor!$I$17="LogGB",'Monthly Base'!H7,IF(Nonlabor!$I$17="RequestsM",'Monthly Base'!F7,IF(Nonlabor!$I$17="InputM",'Monthly Base'!D7*Assumptions!$D$22/1000000,IF(Nonlabor!$I$17="OutputM",'Monthly Base'!D7*Assumptions!$D$23/1000000,0))))))))),0)</f>
        <v>0</v>
      </c>
      <c r="F1987" s="10" t="n">
        <f aca="false">Nonlabor!$J$17*(1+Assumptions!$D$9)^INT((C1987-1)/12)</f>
        <v>18000</v>
      </c>
      <c r="G1987" s="10" t="n">
        <f aca="false">E1987*F1987</f>
        <v>0</v>
      </c>
      <c r="H1987" s="10" t="n">
        <f aca="false">IF(OR(Nonlabor!$L$17="Quote required",Nonlabor!$L$17="Unverified"),G1987,0)</f>
        <v>0</v>
      </c>
      <c r="I1987" s="10" t="n">
        <f aca="false">IF(Nonlabor!$E$17="Core",0,G1987)</f>
        <v>0</v>
      </c>
      <c r="J1987" s="23" t="str">
        <f aca="false">Nonlabor!$B$17</f>
        <v>SECURITY</v>
      </c>
    </row>
    <row r="1988" customFormat="false" ht="15" hidden="false" customHeight="false" outlineLevel="0" collapsed="false">
      <c r="A1988" s="6" t="s">
        <v>4</v>
      </c>
      <c r="B1988" s="6" t="s">
        <v>410</v>
      </c>
      <c r="C1988" s="6" t="n">
        <v>3</v>
      </c>
      <c r="D1988" s="25" t="n">
        <f aca="false">EDATE('Start Here'!$B$6,C1988-1)</f>
        <v>46388</v>
      </c>
      <c r="E1988" s="23" t="n">
        <f aca="false">IF(AND(OR(Nonlabor!$D$17="Both",Nonlabor!$D$17='Start Here'!$B$9),IF(Nonlabor!$E$17="Core",1,IF(Nonlabor!$E$17="AI",'Start Here'!$B$7,'Start Here'!$B$8))=1,C1988&gt;=IF(Nonlabor!$E$17="Core",Nonlabor!$F$17,MAX(Nonlabor!$F$17,IF(Nonlabor!$E$17="AI",Assumptions!$D$24,Assumptions!$D$25))),C1988&lt;=Nonlabor!$G$17,OR(Nonlabor!$H$17="Monthly",AND(Nonlabor!$H$17="Once",C1988=IF(Nonlabor!$E$17="Core",Nonlabor!$F$17,MAX(Nonlabor!$F$17,IF(Nonlabor!$E$17="AI",Assumptions!$D$24,Assumptions!$D$25)))),AND(Nonlabor!$H$17="Annual",MOD(C1988-IF(Nonlabor!$E$17="Core",Nonlabor!$F$17,MAX(Nonlabor!$F$17,IF(Nonlabor!$E$17="AI",Assumptions!$D$24,Assumptions!$D$25))),12)=0))),IF(Nonlabor!$I$17="Fixed",1,IF(Nonlabor!$I$17="Seats",ROUNDUP('Monthly Base'!I8,0),IF(Nonlabor!$I$17="Customers",'Monthly Base'!D8,IF(Nonlabor!$I$17="NewCustomers",'Monthly Base'!C8,IF(Nonlabor!$I$17="StorageGB",'Monthly Base'!G8,IF(Nonlabor!$I$17="LogGB",'Monthly Base'!H8,IF(Nonlabor!$I$17="RequestsM",'Monthly Base'!F8,IF(Nonlabor!$I$17="InputM",'Monthly Base'!D8*Assumptions!$D$22/1000000,IF(Nonlabor!$I$17="OutputM",'Monthly Base'!D8*Assumptions!$D$23/1000000,0))))))))),0)</f>
        <v>0</v>
      </c>
      <c r="F1988" s="10" t="n">
        <f aca="false">Nonlabor!$J$17*(1+Assumptions!$D$9)^INT((C1988-1)/12)</f>
        <v>18000</v>
      </c>
      <c r="G1988" s="10" t="n">
        <f aca="false">E1988*F1988</f>
        <v>0</v>
      </c>
      <c r="H1988" s="10" t="n">
        <f aca="false">IF(OR(Nonlabor!$L$17="Quote required",Nonlabor!$L$17="Unverified"),G1988,0)</f>
        <v>0</v>
      </c>
      <c r="I1988" s="10" t="n">
        <f aca="false">IF(Nonlabor!$E$17="Core",0,G1988)</f>
        <v>0</v>
      </c>
      <c r="J1988" s="23" t="str">
        <f aca="false">Nonlabor!$B$17</f>
        <v>SECURITY</v>
      </c>
    </row>
    <row r="1989" customFormat="false" ht="15" hidden="false" customHeight="false" outlineLevel="0" collapsed="false">
      <c r="A1989" s="6" t="s">
        <v>4</v>
      </c>
      <c r="B1989" s="6" t="s">
        <v>410</v>
      </c>
      <c r="C1989" s="6" t="n">
        <v>4</v>
      </c>
      <c r="D1989" s="25" t="n">
        <f aca="false">EDATE('Start Here'!$B$6,C1989-1)</f>
        <v>46419</v>
      </c>
      <c r="E1989" s="23" t="n">
        <f aca="false">IF(AND(OR(Nonlabor!$D$17="Both",Nonlabor!$D$17='Start Here'!$B$9),IF(Nonlabor!$E$17="Core",1,IF(Nonlabor!$E$17="AI",'Start Here'!$B$7,'Start Here'!$B$8))=1,C1989&gt;=IF(Nonlabor!$E$17="Core",Nonlabor!$F$17,MAX(Nonlabor!$F$17,IF(Nonlabor!$E$17="AI",Assumptions!$D$24,Assumptions!$D$25))),C1989&lt;=Nonlabor!$G$17,OR(Nonlabor!$H$17="Monthly",AND(Nonlabor!$H$17="Once",C1989=IF(Nonlabor!$E$17="Core",Nonlabor!$F$17,MAX(Nonlabor!$F$17,IF(Nonlabor!$E$17="AI",Assumptions!$D$24,Assumptions!$D$25)))),AND(Nonlabor!$H$17="Annual",MOD(C1989-IF(Nonlabor!$E$17="Core",Nonlabor!$F$17,MAX(Nonlabor!$F$17,IF(Nonlabor!$E$17="AI",Assumptions!$D$24,Assumptions!$D$25))),12)=0))),IF(Nonlabor!$I$17="Fixed",1,IF(Nonlabor!$I$17="Seats",ROUNDUP('Monthly Base'!I9,0),IF(Nonlabor!$I$17="Customers",'Monthly Base'!D9,IF(Nonlabor!$I$17="NewCustomers",'Monthly Base'!C9,IF(Nonlabor!$I$17="StorageGB",'Monthly Base'!G9,IF(Nonlabor!$I$17="LogGB",'Monthly Base'!H9,IF(Nonlabor!$I$17="RequestsM",'Monthly Base'!F9,IF(Nonlabor!$I$17="InputM",'Monthly Base'!D9*Assumptions!$D$22/1000000,IF(Nonlabor!$I$17="OutputM",'Monthly Base'!D9*Assumptions!$D$23/1000000,0))))))))),0)</f>
        <v>0</v>
      </c>
      <c r="F1989" s="10" t="n">
        <f aca="false">Nonlabor!$J$17*(1+Assumptions!$D$9)^INT((C1989-1)/12)</f>
        <v>18000</v>
      </c>
      <c r="G1989" s="10" t="n">
        <f aca="false">E1989*F1989</f>
        <v>0</v>
      </c>
      <c r="H1989" s="10" t="n">
        <f aca="false">IF(OR(Nonlabor!$L$17="Quote required",Nonlabor!$L$17="Unverified"),G1989,0)</f>
        <v>0</v>
      </c>
      <c r="I1989" s="10" t="n">
        <f aca="false">IF(Nonlabor!$E$17="Core",0,G1989)</f>
        <v>0</v>
      </c>
      <c r="J1989" s="23" t="str">
        <f aca="false">Nonlabor!$B$17</f>
        <v>SECURITY</v>
      </c>
    </row>
    <row r="1990" customFormat="false" ht="15" hidden="false" customHeight="false" outlineLevel="0" collapsed="false">
      <c r="A1990" s="6" t="s">
        <v>4</v>
      </c>
      <c r="B1990" s="6" t="s">
        <v>410</v>
      </c>
      <c r="C1990" s="6" t="n">
        <v>5</v>
      </c>
      <c r="D1990" s="25" t="n">
        <f aca="false">EDATE('Start Here'!$B$6,C1990-1)</f>
        <v>46447</v>
      </c>
      <c r="E1990" s="23" t="n">
        <f aca="false">IF(AND(OR(Nonlabor!$D$17="Both",Nonlabor!$D$17='Start Here'!$B$9),IF(Nonlabor!$E$17="Core",1,IF(Nonlabor!$E$17="AI",'Start Here'!$B$7,'Start Here'!$B$8))=1,C1990&gt;=IF(Nonlabor!$E$17="Core",Nonlabor!$F$17,MAX(Nonlabor!$F$17,IF(Nonlabor!$E$17="AI",Assumptions!$D$24,Assumptions!$D$25))),C1990&lt;=Nonlabor!$G$17,OR(Nonlabor!$H$17="Monthly",AND(Nonlabor!$H$17="Once",C1990=IF(Nonlabor!$E$17="Core",Nonlabor!$F$17,MAX(Nonlabor!$F$17,IF(Nonlabor!$E$17="AI",Assumptions!$D$24,Assumptions!$D$25)))),AND(Nonlabor!$H$17="Annual",MOD(C1990-IF(Nonlabor!$E$17="Core",Nonlabor!$F$17,MAX(Nonlabor!$F$17,IF(Nonlabor!$E$17="AI",Assumptions!$D$24,Assumptions!$D$25))),12)=0))),IF(Nonlabor!$I$17="Fixed",1,IF(Nonlabor!$I$17="Seats",ROUNDUP('Monthly Base'!I10,0),IF(Nonlabor!$I$17="Customers",'Monthly Base'!D10,IF(Nonlabor!$I$17="NewCustomers",'Monthly Base'!C10,IF(Nonlabor!$I$17="StorageGB",'Monthly Base'!G10,IF(Nonlabor!$I$17="LogGB",'Monthly Base'!H10,IF(Nonlabor!$I$17="RequestsM",'Monthly Base'!F10,IF(Nonlabor!$I$17="InputM",'Monthly Base'!D10*Assumptions!$D$22/1000000,IF(Nonlabor!$I$17="OutputM",'Monthly Base'!D10*Assumptions!$D$23/1000000,0))))))))),0)</f>
        <v>0</v>
      </c>
      <c r="F1990" s="10" t="n">
        <f aca="false">Nonlabor!$J$17*(1+Assumptions!$D$9)^INT((C1990-1)/12)</f>
        <v>18000</v>
      </c>
      <c r="G1990" s="10" t="n">
        <f aca="false">E1990*F1990</f>
        <v>0</v>
      </c>
      <c r="H1990" s="10" t="n">
        <f aca="false">IF(OR(Nonlabor!$L$17="Quote required",Nonlabor!$L$17="Unverified"),G1990,0)</f>
        <v>0</v>
      </c>
      <c r="I1990" s="10" t="n">
        <f aca="false">IF(Nonlabor!$E$17="Core",0,G1990)</f>
        <v>0</v>
      </c>
      <c r="J1990" s="23" t="str">
        <f aca="false">Nonlabor!$B$17</f>
        <v>SECURITY</v>
      </c>
    </row>
    <row r="1991" customFormat="false" ht="15" hidden="false" customHeight="false" outlineLevel="0" collapsed="false">
      <c r="A1991" s="6" t="s">
        <v>4</v>
      </c>
      <c r="B1991" s="6" t="s">
        <v>410</v>
      </c>
      <c r="C1991" s="6" t="n">
        <v>6</v>
      </c>
      <c r="D1991" s="25" t="n">
        <f aca="false">EDATE('Start Here'!$B$6,C1991-1)</f>
        <v>46478</v>
      </c>
      <c r="E1991" s="23" t="n">
        <f aca="false">IF(AND(OR(Nonlabor!$D$17="Both",Nonlabor!$D$17='Start Here'!$B$9),IF(Nonlabor!$E$17="Core",1,IF(Nonlabor!$E$17="AI",'Start Here'!$B$7,'Start Here'!$B$8))=1,C1991&gt;=IF(Nonlabor!$E$17="Core",Nonlabor!$F$17,MAX(Nonlabor!$F$17,IF(Nonlabor!$E$17="AI",Assumptions!$D$24,Assumptions!$D$25))),C1991&lt;=Nonlabor!$G$17,OR(Nonlabor!$H$17="Monthly",AND(Nonlabor!$H$17="Once",C1991=IF(Nonlabor!$E$17="Core",Nonlabor!$F$17,MAX(Nonlabor!$F$17,IF(Nonlabor!$E$17="AI",Assumptions!$D$24,Assumptions!$D$25)))),AND(Nonlabor!$H$17="Annual",MOD(C1991-IF(Nonlabor!$E$17="Core",Nonlabor!$F$17,MAX(Nonlabor!$F$17,IF(Nonlabor!$E$17="AI",Assumptions!$D$24,Assumptions!$D$25))),12)=0))),IF(Nonlabor!$I$17="Fixed",1,IF(Nonlabor!$I$17="Seats",ROUNDUP('Monthly Base'!I11,0),IF(Nonlabor!$I$17="Customers",'Monthly Base'!D11,IF(Nonlabor!$I$17="NewCustomers",'Monthly Base'!C11,IF(Nonlabor!$I$17="StorageGB",'Monthly Base'!G11,IF(Nonlabor!$I$17="LogGB",'Monthly Base'!H11,IF(Nonlabor!$I$17="RequestsM",'Monthly Base'!F11,IF(Nonlabor!$I$17="InputM",'Monthly Base'!D11*Assumptions!$D$22/1000000,IF(Nonlabor!$I$17="OutputM",'Monthly Base'!D11*Assumptions!$D$23/1000000,0))))))))),0)</f>
        <v>0</v>
      </c>
      <c r="F1991" s="10" t="n">
        <f aca="false">Nonlabor!$J$17*(1+Assumptions!$D$9)^INT((C1991-1)/12)</f>
        <v>18000</v>
      </c>
      <c r="G1991" s="10" t="n">
        <f aca="false">E1991*F1991</f>
        <v>0</v>
      </c>
      <c r="H1991" s="10" t="n">
        <f aca="false">IF(OR(Nonlabor!$L$17="Quote required",Nonlabor!$L$17="Unverified"),G1991,0)</f>
        <v>0</v>
      </c>
      <c r="I1991" s="10" t="n">
        <f aca="false">IF(Nonlabor!$E$17="Core",0,G1991)</f>
        <v>0</v>
      </c>
      <c r="J1991" s="23" t="str">
        <f aca="false">Nonlabor!$B$17</f>
        <v>SECURITY</v>
      </c>
    </row>
    <row r="1992" customFormat="false" ht="15" hidden="false" customHeight="false" outlineLevel="0" collapsed="false">
      <c r="A1992" s="6" t="s">
        <v>4</v>
      </c>
      <c r="B1992" s="6" t="s">
        <v>410</v>
      </c>
      <c r="C1992" s="6" t="n">
        <v>7</v>
      </c>
      <c r="D1992" s="25" t="n">
        <f aca="false">EDATE('Start Here'!$B$6,C1992-1)</f>
        <v>46508</v>
      </c>
      <c r="E1992" s="23" t="n">
        <f aca="false">IF(AND(OR(Nonlabor!$D$17="Both",Nonlabor!$D$17='Start Here'!$B$9),IF(Nonlabor!$E$17="Core",1,IF(Nonlabor!$E$17="AI",'Start Here'!$B$7,'Start Here'!$B$8))=1,C1992&gt;=IF(Nonlabor!$E$17="Core",Nonlabor!$F$17,MAX(Nonlabor!$F$17,IF(Nonlabor!$E$17="AI",Assumptions!$D$24,Assumptions!$D$25))),C1992&lt;=Nonlabor!$G$17,OR(Nonlabor!$H$17="Monthly",AND(Nonlabor!$H$17="Once",C1992=IF(Nonlabor!$E$17="Core",Nonlabor!$F$17,MAX(Nonlabor!$F$17,IF(Nonlabor!$E$17="AI",Assumptions!$D$24,Assumptions!$D$25)))),AND(Nonlabor!$H$17="Annual",MOD(C1992-IF(Nonlabor!$E$17="Core",Nonlabor!$F$17,MAX(Nonlabor!$F$17,IF(Nonlabor!$E$17="AI",Assumptions!$D$24,Assumptions!$D$25))),12)=0))),IF(Nonlabor!$I$17="Fixed",1,IF(Nonlabor!$I$17="Seats",ROUNDUP('Monthly Base'!I12,0),IF(Nonlabor!$I$17="Customers",'Monthly Base'!D12,IF(Nonlabor!$I$17="NewCustomers",'Monthly Base'!C12,IF(Nonlabor!$I$17="StorageGB",'Monthly Base'!G12,IF(Nonlabor!$I$17="LogGB",'Monthly Base'!H12,IF(Nonlabor!$I$17="RequestsM",'Monthly Base'!F12,IF(Nonlabor!$I$17="InputM",'Monthly Base'!D12*Assumptions!$D$22/1000000,IF(Nonlabor!$I$17="OutputM",'Monthly Base'!D12*Assumptions!$D$23/1000000,0))))))))),0)</f>
        <v>0</v>
      </c>
      <c r="F1992" s="10" t="n">
        <f aca="false">Nonlabor!$J$17*(1+Assumptions!$D$9)^INT((C1992-1)/12)</f>
        <v>18000</v>
      </c>
      <c r="G1992" s="10" t="n">
        <f aca="false">E1992*F1992</f>
        <v>0</v>
      </c>
      <c r="H1992" s="10" t="n">
        <f aca="false">IF(OR(Nonlabor!$L$17="Quote required",Nonlabor!$L$17="Unverified"),G1992,0)</f>
        <v>0</v>
      </c>
      <c r="I1992" s="10" t="n">
        <f aca="false">IF(Nonlabor!$E$17="Core",0,G1992)</f>
        <v>0</v>
      </c>
      <c r="J1992" s="23" t="str">
        <f aca="false">Nonlabor!$B$17</f>
        <v>SECURITY</v>
      </c>
    </row>
    <row r="1993" customFormat="false" ht="15" hidden="false" customHeight="false" outlineLevel="0" collapsed="false">
      <c r="A1993" s="6" t="s">
        <v>4</v>
      </c>
      <c r="B1993" s="6" t="s">
        <v>410</v>
      </c>
      <c r="C1993" s="6" t="n">
        <v>8</v>
      </c>
      <c r="D1993" s="25" t="n">
        <f aca="false">EDATE('Start Here'!$B$6,C1993-1)</f>
        <v>46539</v>
      </c>
      <c r="E1993" s="23" t="n">
        <f aca="false">IF(AND(OR(Nonlabor!$D$17="Both",Nonlabor!$D$17='Start Here'!$B$9),IF(Nonlabor!$E$17="Core",1,IF(Nonlabor!$E$17="AI",'Start Here'!$B$7,'Start Here'!$B$8))=1,C1993&gt;=IF(Nonlabor!$E$17="Core",Nonlabor!$F$17,MAX(Nonlabor!$F$17,IF(Nonlabor!$E$17="AI",Assumptions!$D$24,Assumptions!$D$25))),C1993&lt;=Nonlabor!$G$17,OR(Nonlabor!$H$17="Monthly",AND(Nonlabor!$H$17="Once",C1993=IF(Nonlabor!$E$17="Core",Nonlabor!$F$17,MAX(Nonlabor!$F$17,IF(Nonlabor!$E$17="AI",Assumptions!$D$24,Assumptions!$D$25)))),AND(Nonlabor!$H$17="Annual",MOD(C1993-IF(Nonlabor!$E$17="Core",Nonlabor!$F$17,MAX(Nonlabor!$F$17,IF(Nonlabor!$E$17="AI",Assumptions!$D$24,Assumptions!$D$25))),12)=0))),IF(Nonlabor!$I$17="Fixed",1,IF(Nonlabor!$I$17="Seats",ROUNDUP('Monthly Base'!I13,0),IF(Nonlabor!$I$17="Customers",'Monthly Base'!D13,IF(Nonlabor!$I$17="NewCustomers",'Monthly Base'!C13,IF(Nonlabor!$I$17="StorageGB",'Monthly Base'!G13,IF(Nonlabor!$I$17="LogGB",'Monthly Base'!H13,IF(Nonlabor!$I$17="RequestsM",'Monthly Base'!F13,IF(Nonlabor!$I$17="InputM",'Monthly Base'!D13*Assumptions!$D$22/1000000,IF(Nonlabor!$I$17="OutputM",'Monthly Base'!D13*Assumptions!$D$23/1000000,0))))))))),0)</f>
        <v>0</v>
      </c>
      <c r="F1993" s="10" t="n">
        <f aca="false">Nonlabor!$J$17*(1+Assumptions!$D$9)^INT((C1993-1)/12)</f>
        <v>18000</v>
      </c>
      <c r="G1993" s="10" t="n">
        <f aca="false">E1993*F1993</f>
        <v>0</v>
      </c>
      <c r="H1993" s="10" t="n">
        <f aca="false">IF(OR(Nonlabor!$L$17="Quote required",Nonlabor!$L$17="Unverified"),G1993,0)</f>
        <v>0</v>
      </c>
      <c r="I1993" s="10" t="n">
        <f aca="false">IF(Nonlabor!$E$17="Core",0,G1993)</f>
        <v>0</v>
      </c>
      <c r="J1993" s="23" t="str">
        <f aca="false">Nonlabor!$B$17</f>
        <v>SECURITY</v>
      </c>
    </row>
    <row r="1994" customFormat="false" ht="15" hidden="false" customHeight="false" outlineLevel="0" collapsed="false">
      <c r="A1994" s="6" t="s">
        <v>4</v>
      </c>
      <c r="B1994" s="6" t="s">
        <v>410</v>
      </c>
      <c r="C1994" s="6" t="n">
        <v>9</v>
      </c>
      <c r="D1994" s="25" t="n">
        <f aca="false">EDATE('Start Here'!$B$6,C1994-1)</f>
        <v>46569</v>
      </c>
      <c r="E1994" s="23" t="n">
        <f aca="false">IF(AND(OR(Nonlabor!$D$17="Both",Nonlabor!$D$17='Start Here'!$B$9),IF(Nonlabor!$E$17="Core",1,IF(Nonlabor!$E$17="AI",'Start Here'!$B$7,'Start Here'!$B$8))=1,C1994&gt;=IF(Nonlabor!$E$17="Core",Nonlabor!$F$17,MAX(Nonlabor!$F$17,IF(Nonlabor!$E$17="AI",Assumptions!$D$24,Assumptions!$D$25))),C1994&lt;=Nonlabor!$G$17,OR(Nonlabor!$H$17="Monthly",AND(Nonlabor!$H$17="Once",C1994=IF(Nonlabor!$E$17="Core",Nonlabor!$F$17,MAX(Nonlabor!$F$17,IF(Nonlabor!$E$17="AI",Assumptions!$D$24,Assumptions!$D$25)))),AND(Nonlabor!$H$17="Annual",MOD(C1994-IF(Nonlabor!$E$17="Core",Nonlabor!$F$17,MAX(Nonlabor!$F$17,IF(Nonlabor!$E$17="AI",Assumptions!$D$24,Assumptions!$D$25))),12)=0))),IF(Nonlabor!$I$17="Fixed",1,IF(Nonlabor!$I$17="Seats",ROUNDUP('Monthly Base'!I14,0),IF(Nonlabor!$I$17="Customers",'Monthly Base'!D14,IF(Nonlabor!$I$17="NewCustomers",'Monthly Base'!C14,IF(Nonlabor!$I$17="StorageGB",'Monthly Base'!G14,IF(Nonlabor!$I$17="LogGB",'Monthly Base'!H14,IF(Nonlabor!$I$17="RequestsM",'Monthly Base'!F14,IF(Nonlabor!$I$17="InputM",'Monthly Base'!D14*Assumptions!$D$22/1000000,IF(Nonlabor!$I$17="OutputM",'Monthly Base'!D14*Assumptions!$D$23/1000000,0))))))))),0)</f>
        <v>0</v>
      </c>
      <c r="F1994" s="10" t="n">
        <f aca="false">Nonlabor!$J$17*(1+Assumptions!$D$9)^INT((C1994-1)/12)</f>
        <v>18000</v>
      </c>
      <c r="G1994" s="10" t="n">
        <f aca="false">E1994*F1994</f>
        <v>0</v>
      </c>
      <c r="H1994" s="10" t="n">
        <f aca="false">IF(OR(Nonlabor!$L$17="Quote required",Nonlabor!$L$17="Unverified"),G1994,0)</f>
        <v>0</v>
      </c>
      <c r="I1994" s="10" t="n">
        <f aca="false">IF(Nonlabor!$E$17="Core",0,G1994)</f>
        <v>0</v>
      </c>
      <c r="J1994" s="23" t="str">
        <f aca="false">Nonlabor!$B$17</f>
        <v>SECURITY</v>
      </c>
    </row>
    <row r="1995" customFormat="false" ht="15" hidden="false" customHeight="false" outlineLevel="0" collapsed="false">
      <c r="A1995" s="6" t="s">
        <v>4</v>
      </c>
      <c r="B1995" s="6" t="s">
        <v>410</v>
      </c>
      <c r="C1995" s="6" t="n">
        <v>10</v>
      </c>
      <c r="D1995" s="25" t="n">
        <f aca="false">EDATE('Start Here'!$B$6,C1995-1)</f>
        <v>46600</v>
      </c>
      <c r="E1995" s="23" t="n">
        <f aca="false">IF(AND(OR(Nonlabor!$D$17="Both",Nonlabor!$D$17='Start Here'!$B$9),IF(Nonlabor!$E$17="Core",1,IF(Nonlabor!$E$17="AI",'Start Here'!$B$7,'Start Here'!$B$8))=1,C1995&gt;=IF(Nonlabor!$E$17="Core",Nonlabor!$F$17,MAX(Nonlabor!$F$17,IF(Nonlabor!$E$17="AI",Assumptions!$D$24,Assumptions!$D$25))),C1995&lt;=Nonlabor!$G$17,OR(Nonlabor!$H$17="Monthly",AND(Nonlabor!$H$17="Once",C1995=IF(Nonlabor!$E$17="Core",Nonlabor!$F$17,MAX(Nonlabor!$F$17,IF(Nonlabor!$E$17="AI",Assumptions!$D$24,Assumptions!$D$25)))),AND(Nonlabor!$H$17="Annual",MOD(C1995-IF(Nonlabor!$E$17="Core",Nonlabor!$F$17,MAX(Nonlabor!$F$17,IF(Nonlabor!$E$17="AI",Assumptions!$D$24,Assumptions!$D$25))),12)=0))),IF(Nonlabor!$I$17="Fixed",1,IF(Nonlabor!$I$17="Seats",ROUNDUP('Monthly Base'!I15,0),IF(Nonlabor!$I$17="Customers",'Monthly Base'!D15,IF(Nonlabor!$I$17="NewCustomers",'Monthly Base'!C15,IF(Nonlabor!$I$17="StorageGB",'Monthly Base'!G15,IF(Nonlabor!$I$17="LogGB",'Monthly Base'!H15,IF(Nonlabor!$I$17="RequestsM",'Monthly Base'!F15,IF(Nonlabor!$I$17="InputM",'Monthly Base'!D15*Assumptions!$D$22/1000000,IF(Nonlabor!$I$17="OutputM",'Monthly Base'!D15*Assumptions!$D$23/1000000,0))))))))),0)</f>
        <v>1</v>
      </c>
      <c r="F1995" s="10" t="n">
        <f aca="false">Nonlabor!$J$17*(1+Assumptions!$D$9)^INT((C1995-1)/12)</f>
        <v>18000</v>
      </c>
      <c r="G1995" s="10" t="n">
        <f aca="false">E1995*F1995</f>
        <v>18000</v>
      </c>
      <c r="H1995" s="10" t="n">
        <f aca="false">IF(OR(Nonlabor!$L$17="Quote required",Nonlabor!$L$17="Unverified"),G1995,0)</f>
        <v>18000</v>
      </c>
      <c r="I1995" s="10" t="n">
        <f aca="false">IF(Nonlabor!$E$17="Core",0,G1995)</f>
        <v>0</v>
      </c>
      <c r="J1995" s="23" t="str">
        <f aca="false">Nonlabor!$B$17</f>
        <v>SECURITY</v>
      </c>
    </row>
    <row r="1996" customFormat="false" ht="15" hidden="false" customHeight="false" outlineLevel="0" collapsed="false">
      <c r="A1996" s="6" t="s">
        <v>4</v>
      </c>
      <c r="B1996" s="6" t="s">
        <v>410</v>
      </c>
      <c r="C1996" s="6" t="n">
        <v>11</v>
      </c>
      <c r="D1996" s="25" t="n">
        <f aca="false">EDATE('Start Here'!$B$6,C1996-1)</f>
        <v>46631</v>
      </c>
      <c r="E1996" s="23" t="n">
        <f aca="false">IF(AND(OR(Nonlabor!$D$17="Both",Nonlabor!$D$17='Start Here'!$B$9),IF(Nonlabor!$E$17="Core",1,IF(Nonlabor!$E$17="AI",'Start Here'!$B$7,'Start Here'!$B$8))=1,C1996&gt;=IF(Nonlabor!$E$17="Core",Nonlabor!$F$17,MAX(Nonlabor!$F$17,IF(Nonlabor!$E$17="AI",Assumptions!$D$24,Assumptions!$D$25))),C1996&lt;=Nonlabor!$G$17,OR(Nonlabor!$H$17="Monthly",AND(Nonlabor!$H$17="Once",C1996=IF(Nonlabor!$E$17="Core",Nonlabor!$F$17,MAX(Nonlabor!$F$17,IF(Nonlabor!$E$17="AI",Assumptions!$D$24,Assumptions!$D$25)))),AND(Nonlabor!$H$17="Annual",MOD(C1996-IF(Nonlabor!$E$17="Core",Nonlabor!$F$17,MAX(Nonlabor!$F$17,IF(Nonlabor!$E$17="AI",Assumptions!$D$24,Assumptions!$D$25))),12)=0))),IF(Nonlabor!$I$17="Fixed",1,IF(Nonlabor!$I$17="Seats",ROUNDUP('Monthly Base'!I16,0),IF(Nonlabor!$I$17="Customers",'Monthly Base'!D16,IF(Nonlabor!$I$17="NewCustomers",'Monthly Base'!C16,IF(Nonlabor!$I$17="StorageGB",'Monthly Base'!G16,IF(Nonlabor!$I$17="LogGB",'Monthly Base'!H16,IF(Nonlabor!$I$17="RequestsM",'Monthly Base'!F16,IF(Nonlabor!$I$17="InputM",'Monthly Base'!D16*Assumptions!$D$22/1000000,IF(Nonlabor!$I$17="OutputM",'Monthly Base'!D16*Assumptions!$D$23/1000000,0))))))))),0)</f>
        <v>0</v>
      </c>
      <c r="F1996" s="10" t="n">
        <f aca="false">Nonlabor!$J$17*(1+Assumptions!$D$9)^INT((C1996-1)/12)</f>
        <v>18000</v>
      </c>
      <c r="G1996" s="10" t="n">
        <f aca="false">E1996*F1996</f>
        <v>0</v>
      </c>
      <c r="H1996" s="10" t="n">
        <f aca="false">IF(OR(Nonlabor!$L$17="Quote required",Nonlabor!$L$17="Unverified"),G1996,0)</f>
        <v>0</v>
      </c>
      <c r="I1996" s="10" t="n">
        <f aca="false">IF(Nonlabor!$E$17="Core",0,G1996)</f>
        <v>0</v>
      </c>
      <c r="J1996" s="23" t="str">
        <f aca="false">Nonlabor!$B$17</f>
        <v>SECURITY</v>
      </c>
    </row>
    <row r="1997" customFormat="false" ht="15" hidden="false" customHeight="false" outlineLevel="0" collapsed="false">
      <c r="A1997" s="6" t="s">
        <v>4</v>
      </c>
      <c r="B1997" s="6" t="s">
        <v>410</v>
      </c>
      <c r="C1997" s="6" t="n">
        <v>12</v>
      </c>
      <c r="D1997" s="25" t="n">
        <f aca="false">EDATE('Start Here'!$B$6,C1997-1)</f>
        <v>46661</v>
      </c>
      <c r="E1997" s="23" t="n">
        <f aca="false">IF(AND(OR(Nonlabor!$D$17="Both",Nonlabor!$D$17='Start Here'!$B$9),IF(Nonlabor!$E$17="Core",1,IF(Nonlabor!$E$17="AI",'Start Here'!$B$7,'Start Here'!$B$8))=1,C1997&gt;=IF(Nonlabor!$E$17="Core",Nonlabor!$F$17,MAX(Nonlabor!$F$17,IF(Nonlabor!$E$17="AI",Assumptions!$D$24,Assumptions!$D$25))),C1997&lt;=Nonlabor!$G$17,OR(Nonlabor!$H$17="Monthly",AND(Nonlabor!$H$17="Once",C1997=IF(Nonlabor!$E$17="Core",Nonlabor!$F$17,MAX(Nonlabor!$F$17,IF(Nonlabor!$E$17="AI",Assumptions!$D$24,Assumptions!$D$25)))),AND(Nonlabor!$H$17="Annual",MOD(C1997-IF(Nonlabor!$E$17="Core",Nonlabor!$F$17,MAX(Nonlabor!$F$17,IF(Nonlabor!$E$17="AI",Assumptions!$D$24,Assumptions!$D$25))),12)=0))),IF(Nonlabor!$I$17="Fixed",1,IF(Nonlabor!$I$17="Seats",ROUNDUP('Monthly Base'!I17,0),IF(Nonlabor!$I$17="Customers",'Monthly Base'!D17,IF(Nonlabor!$I$17="NewCustomers",'Monthly Base'!C17,IF(Nonlabor!$I$17="StorageGB",'Monthly Base'!G17,IF(Nonlabor!$I$17="LogGB",'Monthly Base'!H17,IF(Nonlabor!$I$17="RequestsM",'Monthly Base'!F17,IF(Nonlabor!$I$17="InputM",'Monthly Base'!D17*Assumptions!$D$22/1000000,IF(Nonlabor!$I$17="OutputM",'Monthly Base'!D17*Assumptions!$D$23/1000000,0))))))))),0)</f>
        <v>0</v>
      </c>
      <c r="F1997" s="10" t="n">
        <f aca="false">Nonlabor!$J$17*(1+Assumptions!$D$9)^INT((C1997-1)/12)</f>
        <v>18000</v>
      </c>
      <c r="G1997" s="10" t="n">
        <f aca="false">E1997*F1997</f>
        <v>0</v>
      </c>
      <c r="H1997" s="10" t="n">
        <f aca="false">IF(OR(Nonlabor!$L$17="Quote required",Nonlabor!$L$17="Unverified"),G1997,0)</f>
        <v>0</v>
      </c>
      <c r="I1997" s="10" t="n">
        <f aca="false">IF(Nonlabor!$E$17="Core",0,G1997)</f>
        <v>0</v>
      </c>
      <c r="J1997" s="23" t="str">
        <f aca="false">Nonlabor!$B$17</f>
        <v>SECURITY</v>
      </c>
    </row>
    <row r="1998" customFormat="false" ht="15" hidden="false" customHeight="false" outlineLevel="0" collapsed="false">
      <c r="A1998" s="6" t="s">
        <v>4</v>
      </c>
      <c r="B1998" s="6" t="s">
        <v>410</v>
      </c>
      <c r="C1998" s="6" t="n">
        <v>13</v>
      </c>
      <c r="D1998" s="25" t="n">
        <f aca="false">EDATE('Start Here'!$B$6,C1998-1)</f>
        <v>46692</v>
      </c>
      <c r="E1998" s="23" t="n">
        <f aca="false">IF(AND(OR(Nonlabor!$D$17="Both",Nonlabor!$D$17='Start Here'!$B$9),IF(Nonlabor!$E$17="Core",1,IF(Nonlabor!$E$17="AI",'Start Here'!$B$7,'Start Here'!$B$8))=1,C1998&gt;=IF(Nonlabor!$E$17="Core",Nonlabor!$F$17,MAX(Nonlabor!$F$17,IF(Nonlabor!$E$17="AI",Assumptions!$D$24,Assumptions!$D$25))),C1998&lt;=Nonlabor!$G$17,OR(Nonlabor!$H$17="Monthly",AND(Nonlabor!$H$17="Once",C1998=IF(Nonlabor!$E$17="Core",Nonlabor!$F$17,MAX(Nonlabor!$F$17,IF(Nonlabor!$E$17="AI",Assumptions!$D$24,Assumptions!$D$25)))),AND(Nonlabor!$H$17="Annual",MOD(C1998-IF(Nonlabor!$E$17="Core",Nonlabor!$F$17,MAX(Nonlabor!$F$17,IF(Nonlabor!$E$17="AI",Assumptions!$D$24,Assumptions!$D$25))),12)=0))),IF(Nonlabor!$I$17="Fixed",1,IF(Nonlabor!$I$17="Seats",ROUNDUP('Monthly Base'!I18,0),IF(Nonlabor!$I$17="Customers",'Monthly Base'!D18,IF(Nonlabor!$I$17="NewCustomers",'Monthly Base'!C18,IF(Nonlabor!$I$17="StorageGB",'Monthly Base'!G18,IF(Nonlabor!$I$17="LogGB",'Monthly Base'!H18,IF(Nonlabor!$I$17="RequestsM",'Monthly Base'!F18,IF(Nonlabor!$I$17="InputM",'Monthly Base'!D18*Assumptions!$D$22/1000000,IF(Nonlabor!$I$17="OutputM",'Monthly Base'!D18*Assumptions!$D$23/1000000,0))))))))),0)</f>
        <v>0</v>
      </c>
      <c r="F1998" s="10" t="n">
        <f aca="false">Nonlabor!$J$17*(1+Assumptions!$D$9)^INT((C1998-1)/12)</f>
        <v>18540</v>
      </c>
      <c r="G1998" s="10" t="n">
        <f aca="false">E1998*F1998</f>
        <v>0</v>
      </c>
      <c r="H1998" s="10" t="n">
        <f aca="false">IF(OR(Nonlabor!$L$17="Quote required",Nonlabor!$L$17="Unverified"),G1998,0)</f>
        <v>0</v>
      </c>
      <c r="I1998" s="10" t="n">
        <f aca="false">IF(Nonlabor!$E$17="Core",0,G1998)</f>
        <v>0</v>
      </c>
      <c r="J1998" s="23" t="str">
        <f aca="false">Nonlabor!$B$17</f>
        <v>SECURITY</v>
      </c>
    </row>
    <row r="1999" customFormat="false" ht="15" hidden="false" customHeight="false" outlineLevel="0" collapsed="false">
      <c r="A1999" s="6" t="s">
        <v>4</v>
      </c>
      <c r="B1999" s="6" t="s">
        <v>410</v>
      </c>
      <c r="C1999" s="6" t="n">
        <v>14</v>
      </c>
      <c r="D1999" s="25" t="n">
        <f aca="false">EDATE('Start Here'!$B$6,C1999-1)</f>
        <v>46722</v>
      </c>
      <c r="E1999" s="23" t="n">
        <f aca="false">IF(AND(OR(Nonlabor!$D$17="Both",Nonlabor!$D$17='Start Here'!$B$9),IF(Nonlabor!$E$17="Core",1,IF(Nonlabor!$E$17="AI",'Start Here'!$B$7,'Start Here'!$B$8))=1,C1999&gt;=IF(Nonlabor!$E$17="Core",Nonlabor!$F$17,MAX(Nonlabor!$F$17,IF(Nonlabor!$E$17="AI",Assumptions!$D$24,Assumptions!$D$25))),C1999&lt;=Nonlabor!$G$17,OR(Nonlabor!$H$17="Monthly",AND(Nonlabor!$H$17="Once",C1999=IF(Nonlabor!$E$17="Core",Nonlabor!$F$17,MAX(Nonlabor!$F$17,IF(Nonlabor!$E$17="AI",Assumptions!$D$24,Assumptions!$D$25)))),AND(Nonlabor!$H$17="Annual",MOD(C1999-IF(Nonlabor!$E$17="Core",Nonlabor!$F$17,MAX(Nonlabor!$F$17,IF(Nonlabor!$E$17="AI",Assumptions!$D$24,Assumptions!$D$25))),12)=0))),IF(Nonlabor!$I$17="Fixed",1,IF(Nonlabor!$I$17="Seats",ROUNDUP('Monthly Base'!I19,0),IF(Nonlabor!$I$17="Customers",'Monthly Base'!D19,IF(Nonlabor!$I$17="NewCustomers",'Monthly Base'!C19,IF(Nonlabor!$I$17="StorageGB",'Monthly Base'!G19,IF(Nonlabor!$I$17="LogGB",'Monthly Base'!H19,IF(Nonlabor!$I$17="RequestsM",'Monthly Base'!F19,IF(Nonlabor!$I$17="InputM",'Monthly Base'!D19*Assumptions!$D$22/1000000,IF(Nonlabor!$I$17="OutputM",'Monthly Base'!D19*Assumptions!$D$23/1000000,0))))))))),0)</f>
        <v>0</v>
      </c>
      <c r="F1999" s="10" t="n">
        <f aca="false">Nonlabor!$J$17*(1+Assumptions!$D$9)^INT((C1999-1)/12)</f>
        <v>18540</v>
      </c>
      <c r="G1999" s="10" t="n">
        <f aca="false">E1999*F1999</f>
        <v>0</v>
      </c>
      <c r="H1999" s="10" t="n">
        <f aca="false">IF(OR(Nonlabor!$L$17="Quote required",Nonlabor!$L$17="Unverified"),G1999,0)</f>
        <v>0</v>
      </c>
      <c r="I1999" s="10" t="n">
        <f aca="false">IF(Nonlabor!$E$17="Core",0,G1999)</f>
        <v>0</v>
      </c>
      <c r="J1999" s="23" t="str">
        <f aca="false">Nonlabor!$B$17</f>
        <v>SECURITY</v>
      </c>
    </row>
    <row r="2000" customFormat="false" ht="15" hidden="false" customHeight="false" outlineLevel="0" collapsed="false">
      <c r="A2000" s="6" t="s">
        <v>4</v>
      </c>
      <c r="B2000" s="6" t="s">
        <v>410</v>
      </c>
      <c r="C2000" s="6" t="n">
        <v>15</v>
      </c>
      <c r="D2000" s="25" t="n">
        <f aca="false">EDATE('Start Here'!$B$6,C2000-1)</f>
        <v>46753</v>
      </c>
      <c r="E2000" s="23" t="n">
        <f aca="false">IF(AND(OR(Nonlabor!$D$17="Both",Nonlabor!$D$17='Start Here'!$B$9),IF(Nonlabor!$E$17="Core",1,IF(Nonlabor!$E$17="AI",'Start Here'!$B$7,'Start Here'!$B$8))=1,C2000&gt;=IF(Nonlabor!$E$17="Core",Nonlabor!$F$17,MAX(Nonlabor!$F$17,IF(Nonlabor!$E$17="AI",Assumptions!$D$24,Assumptions!$D$25))),C2000&lt;=Nonlabor!$G$17,OR(Nonlabor!$H$17="Monthly",AND(Nonlabor!$H$17="Once",C2000=IF(Nonlabor!$E$17="Core",Nonlabor!$F$17,MAX(Nonlabor!$F$17,IF(Nonlabor!$E$17="AI",Assumptions!$D$24,Assumptions!$D$25)))),AND(Nonlabor!$H$17="Annual",MOD(C2000-IF(Nonlabor!$E$17="Core",Nonlabor!$F$17,MAX(Nonlabor!$F$17,IF(Nonlabor!$E$17="AI",Assumptions!$D$24,Assumptions!$D$25))),12)=0))),IF(Nonlabor!$I$17="Fixed",1,IF(Nonlabor!$I$17="Seats",ROUNDUP('Monthly Base'!I20,0),IF(Nonlabor!$I$17="Customers",'Monthly Base'!D20,IF(Nonlabor!$I$17="NewCustomers",'Monthly Base'!C20,IF(Nonlabor!$I$17="StorageGB",'Monthly Base'!G20,IF(Nonlabor!$I$17="LogGB",'Monthly Base'!H20,IF(Nonlabor!$I$17="RequestsM",'Monthly Base'!F20,IF(Nonlabor!$I$17="InputM",'Monthly Base'!D20*Assumptions!$D$22/1000000,IF(Nonlabor!$I$17="OutputM",'Monthly Base'!D20*Assumptions!$D$23/1000000,0))))))))),0)</f>
        <v>0</v>
      </c>
      <c r="F2000" s="10" t="n">
        <f aca="false">Nonlabor!$J$17*(1+Assumptions!$D$9)^INT((C2000-1)/12)</f>
        <v>18540</v>
      </c>
      <c r="G2000" s="10" t="n">
        <f aca="false">E2000*F2000</f>
        <v>0</v>
      </c>
      <c r="H2000" s="10" t="n">
        <f aca="false">IF(OR(Nonlabor!$L$17="Quote required",Nonlabor!$L$17="Unverified"),G2000,0)</f>
        <v>0</v>
      </c>
      <c r="I2000" s="10" t="n">
        <f aca="false">IF(Nonlabor!$E$17="Core",0,G2000)</f>
        <v>0</v>
      </c>
      <c r="J2000" s="23" t="str">
        <f aca="false">Nonlabor!$B$17</f>
        <v>SECURITY</v>
      </c>
    </row>
    <row r="2001" customFormat="false" ht="15" hidden="false" customHeight="false" outlineLevel="0" collapsed="false">
      <c r="A2001" s="6" t="s">
        <v>4</v>
      </c>
      <c r="B2001" s="6" t="s">
        <v>410</v>
      </c>
      <c r="C2001" s="6" t="n">
        <v>16</v>
      </c>
      <c r="D2001" s="25" t="n">
        <f aca="false">EDATE('Start Here'!$B$6,C2001-1)</f>
        <v>46784</v>
      </c>
      <c r="E2001" s="23" t="n">
        <f aca="false">IF(AND(OR(Nonlabor!$D$17="Both",Nonlabor!$D$17='Start Here'!$B$9),IF(Nonlabor!$E$17="Core",1,IF(Nonlabor!$E$17="AI",'Start Here'!$B$7,'Start Here'!$B$8))=1,C2001&gt;=IF(Nonlabor!$E$17="Core",Nonlabor!$F$17,MAX(Nonlabor!$F$17,IF(Nonlabor!$E$17="AI",Assumptions!$D$24,Assumptions!$D$25))),C2001&lt;=Nonlabor!$G$17,OR(Nonlabor!$H$17="Monthly",AND(Nonlabor!$H$17="Once",C2001=IF(Nonlabor!$E$17="Core",Nonlabor!$F$17,MAX(Nonlabor!$F$17,IF(Nonlabor!$E$17="AI",Assumptions!$D$24,Assumptions!$D$25)))),AND(Nonlabor!$H$17="Annual",MOD(C2001-IF(Nonlabor!$E$17="Core",Nonlabor!$F$17,MAX(Nonlabor!$F$17,IF(Nonlabor!$E$17="AI",Assumptions!$D$24,Assumptions!$D$25))),12)=0))),IF(Nonlabor!$I$17="Fixed",1,IF(Nonlabor!$I$17="Seats",ROUNDUP('Monthly Base'!I21,0),IF(Nonlabor!$I$17="Customers",'Monthly Base'!D21,IF(Nonlabor!$I$17="NewCustomers",'Monthly Base'!C21,IF(Nonlabor!$I$17="StorageGB",'Monthly Base'!G21,IF(Nonlabor!$I$17="LogGB",'Monthly Base'!H21,IF(Nonlabor!$I$17="RequestsM",'Monthly Base'!F21,IF(Nonlabor!$I$17="InputM",'Monthly Base'!D21*Assumptions!$D$22/1000000,IF(Nonlabor!$I$17="OutputM",'Monthly Base'!D21*Assumptions!$D$23/1000000,0))))))))),0)</f>
        <v>0</v>
      </c>
      <c r="F2001" s="10" t="n">
        <f aca="false">Nonlabor!$J$17*(1+Assumptions!$D$9)^INT((C2001-1)/12)</f>
        <v>18540</v>
      </c>
      <c r="G2001" s="10" t="n">
        <f aca="false">E2001*F2001</f>
        <v>0</v>
      </c>
      <c r="H2001" s="10" t="n">
        <f aca="false">IF(OR(Nonlabor!$L$17="Quote required",Nonlabor!$L$17="Unverified"),G2001,0)</f>
        <v>0</v>
      </c>
      <c r="I2001" s="10" t="n">
        <f aca="false">IF(Nonlabor!$E$17="Core",0,G2001)</f>
        <v>0</v>
      </c>
      <c r="J2001" s="23" t="str">
        <f aca="false">Nonlabor!$B$17</f>
        <v>SECURITY</v>
      </c>
    </row>
    <row r="2002" customFormat="false" ht="15" hidden="false" customHeight="false" outlineLevel="0" collapsed="false">
      <c r="A2002" s="6" t="s">
        <v>4</v>
      </c>
      <c r="B2002" s="6" t="s">
        <v>410</v>
      </c>
      <c r="C2002" s="6" t="n">
        <v>17</v>
      </c>
      <c r="D2002" s="25" t="n">
        <f aca="false">EDATE('Start Here'!$B$6,C2002-1)</f>
        <v>46813</v>
      </c>
      <c r="E2002" s="23" t="n">
        <f aca="false">IF(AND(OR(Nonlabor!$D$17="Both",Nonlabor!$D$17='Start Here'!$B$9),IF(Nonlabor!$E$17="Core",1,IF(Nonlabor!$E$17="AI",'Start Here'!$B$7,'Start Here'!$B$8))=1,C2002&gt;=IF(Nonlabor!$E$17="Core",Nonlabor!$F$17,MAX(Nonlabor!$F$17,IF(Nonlabor!$E$17="AI",Assumptions!$D$24,Assumptions!$D$25))),C2002&lt;=Nonlabor!$G$17,OR(Nonlabor!$H$17="Monthly",AND(Nonlabor!$H$17="Once",C2002=IF(Nonlabor!$E$17="Core",Nonlabor!$F$17,MAX(Nonlabor!$F$17,IF(Nonlabor!$E$17="AI",Assumptions!$D$24,Assumptions!$D$25)))),AND(Nonlabor!$H$17="Annual",MOD(C2002-IF(Nonlabor!$E$17="Core",Nonlabor!$F$17,MAX(Nonlabor!$F$17,IF(Nonlabor!$E$17="AI",Assumptions!$D$24,Assumptions!$D$25))),12)=0))),IF(Nonlabor!$I$17="Fixed",1,IF(Nonlabor!$I$17="Seats",ROUNDUP('Monthly Base'!I22,0),IF(Nonlabor!$I$17="Customers",'Monthly Base'!D22,IF(Nonlabor!$I$17="NewCustomers",'Monthly Base'!C22,IF(Nonlabor!$I$17="StorageGB",'Monthly Base'!G22,IF(Nonlabor!$I$17="LogGB",'Monthly Base'!H22,IF(Nonlabor!$I$17="RequestsM",'Monthly Base'!F22,IF(Nonlabor!$I$17="InputM",'Monthly Base'!D22*Assumptions!$D$22/1000000,IF(Nonlabor!$I$17="OutputM",'Monthly Base'!D22*Assumptions!$D$23/1000000,0))))))))),0)</f>
        <v>0</v>
      </c>
      <c r="F2002" s="10" t="n">
        <f aca="false">Nonlabor!$J$17*(1+Assumptions!$D$9)^INT((C2002-1)/12)</f>
        <v>18540</v>
      </c>
      <c r="G2002" s="10" t="n">
        <f aca="false">E2002*F2002</f>
        <v>0</v>
      </c>
      <c r="H2002" s="10" t="n">
        <f aca="false">IF(OR(Nonlabor!$L$17="Quote required",Nonlabor!$L$17="Unverified"),G2002,0)</f>
        <v>0</v>
      </c>
      <c r="I2002" s="10" t="n">
        <f aca="false">IF(Nonlabor!$E$17="Core",0,G2002)</f>
        <v>0</v>
      </c>
      <c r="J2002" s="23" t="str">
        <f aca="false">Nonlabor!$B$17</f>
        <v>SECURITY</v>
      </c>
    </row>
    <row r="2003" customFormat="false" ht="15" hidden="false" customHeight="false" outlineLevel="0" collapsed="false">
      <c r="A2003" s="6" t="s">
        <v>4</v>
      </c>
      <c r="B2003" s="6" t="s">
        <v>410</v>
      </c>
      <c r="C2003" s="6" t="n">
        <v>18</v>
      </c>
      <c r="D2003" s="25" t="n">
        <f aca="false">EDATE('Start Here'!$B$6,C2003-1)</f>
        <v>46844</v>
      </c>
      <c r="E2003" s="23" t="n">
        <f aca="false">IF(AND(OR(Nonlabor!$D$17="Both",Nonlabor!$D$17='Start Here'!$B$9),IF(Nonlabor!$E$17="Core",1,IF(Nonlabor!$E$17="AI",'Start Here'!$B$7,'Start Here'!$B$8))=1,C2003&gt;=IF(Nonlabor!$E$17="Core",Nonlabor!$F$17,MAX(Nonlabor!$F$17,IF(Nonlabor!$E$17="AI",Assumptions!$D$24,Assumptions!$D$25))),C2003&lt;=Nonlabor!$G$17,OR(Nonlabor!$H$17="Monthly",AND(Nonlabor!$H$17="Once",C2003=IF(Nonlabor!$E$17="Core",Nonlabor!$F$17,MAX(Nonlabor!$F$17,IF(Nonlabor!$E$17="AI",Assumptions!$D$24,Assumptions!$D$25)))),AND(Nonlabor!$H$17="Annual",MOD(C2003-IF(Nonlabor!$E$17="Core",Nonlabor!$F$17,MAX(Nonlabor!$F$17,IF(Nonlabor!$E$17="AI",Assumptions!$D$24,Assumptions!$D$25))),12)=0))),IF(Nonlabor!$I$17="Fixed",1,IF(Nonlabor!$I$17="Seats",ROUNDUP('Monthly Base'!I23,0),IF(Nonlabor!$I$17="Customers",'Monthly Base'!D23,IF(Nonlabor!$I$17="NewCustomers",'Monthly Base'!C23,IF(Nonlabor!$I$17="StorageGB",'Monthly Base'!G23,IF(Nonlabor!$I$17="LogGB",'Monthly Base'!H23,IF(Nonlabor!$I$17="RequestsM",'Monthly Base'!F23,IF(Nonlabor!$I$17="InputM",'Monthly Base'!D23*Assumptions!$D$22/1000000,IF(Nonlabor!$I$17="OutputM",'Monthly Base'!D23*Assumptions!$D$23/1000000,0))))))))),0)</f>
        <v>0</v>
      </c>
      <c r="F2003" s="10" t="n">
        <f aca="false">Nonlabor!$J$17*(1+Assumptions!$D$9)^INT((C2003-1)/12)</f>
        <v>18540</v>
      </c>
      <c r="G2003" s="10" t="n">
        <f aca="false">E2003*F2003</f>
        <v>0</v>
      </c>
      <c r="H2003" s="10" t="n">
        <f aca="false">IF(OR(Nonlabor!$L$17="Quote required",Nonlabor!$L$17="Unverified"),G2003,0)</f>
        <v>0</v>
      </c>
      <c r="I2003" s="10" t="n">
        <f aca="false">IF(Nonlabor!$E$17="Core",0,G2003)</f>
        <v>0</v>
      </c>
      <c r="J2003" s="23" t="str">
        <f aca="false">Nonlabor!$B$17</f>
        <v>SECURITY</v>
      </c>
    </row>
    <row r="2004" customFormat="false" ht="15" hidden="false" customHeight="false" outlineLevel="0" collapsed="false">
      <c r="A2004" s="6" t="s">
        <v>4</v>
      </c>
      <c r="B2004" s="6" t="s">
        <v>410</v>
      </c>
      <c r="C2004" s="6" t="n">
        <v>19</v>
      </c>
      <c r="D2004" s="25" t="n">
        <f aca="false">EDATE('Start Here'!$B$6,C2004-1)</f>
        <v>46874</v>
      </c>
      <c r="E2004" s="23" t="n">
        <f aca="false">IF(AND(OR(Nonlabor!$D$17="Both",Nonlabor!$D$17='Start Here'!$B$9),IF(Nonlabor!$E$17="Core",1,IF(Nonlabor!$E$17="AI",'Start Here'!$B$7,'Start Here'!$B$8))=1,C2004&gt;=IF(Nonlabor!$E$17="Core",Nonlabor!$F$17,MAX(Nonlabor!$F$17,IF(Nonlabor!$E$17="AI",Assumptions!$D$24,Assumptions!$D$25))),C2004&lt;=Nonlabor!$G$17,OR(Nonlabor!$H$17="Monthly",AND(Nonlabor!$H$17="Once",C2004=IF(Nonlabor!$E$17="Core",Nonlabor!$F$17,MAX(Nonlabor!$F$17,IF(Nonlabor!$E$17="AI",Assumptions!$D$24,Assumptions!$D$25)))),AND(Nonlabor!$H$17="Annual",MOD(C2004-IF(Nonlabor!$E$17="Core",Nonlabor!$F$17,MAX(Nonlabor!$F$17,IF(Nonlabor!$E$17="AI",Assumptions!$D$24,Assumptions!$D$25))),12)=0))),IF(Nonlabor!$I$17="Fixed",1,IF(Nonlabor!$I$17="Seats",ROUNDUP('Monthly Base'!I24,0),IF(Nonlabor!$I$17="Customers",'Monthly Base'!D24,IF(Nonlabor!$I$17="NewCustomers",'Monthly Base'!C24,IF(Nonlabor!$I$17="StorageGB",'Monthly Base'!G24,IF(Nonlabor!$I$17="LogGB",'Monthly Base'!H24,IF(Nonlabor!$I$17="RequestsM",'Monthly Base'!F24,IF(Nonlabor!$I$17="InputM",'Monthly Base'!D24*Assumptions!$D$22/1000000,IF(Nonlabor!$I$17="OutputM",'Monthly Base'!D24*Assumptions!$D$23/1000000,0))))))))),0)</f>
        <v>0</v>
      </c>
      <c r="F2004" s="10" t="n">
        <f aca="false">Nonlabor!$J$17*(1+Assumptions!$D$9)^INT((C2004-1)/12)</f>
        <v>18540</v>
      </c>
      <c r="G2004" s="10" t="n">
        <f aca="false">E2004*F2004</f>
        <v>0</v>
      </c>
      <c r="H2004" s="10" t="n">
        <f aca="false">IF(OR(Nonlabor!$L$17="Quote required",Nonlabor!$L$17="Unverified"),G2004,0)</f>
        <v>0</v>
      </c>
      <c r="I2004" s="10" t="n">
        <f aca="false">IF(Nonlabor!$E$17="Core",0,G2004)</f>
        <v>0</v>
      </c>
      <c r="J2004" s="23" t="str">
        <f aca="false">Nonlabor!$B$17</f>
        <v>SECURITY</v>
      </c>
    </row>
    <row r="2005" customFormat="false" ht="15" hidden="false" customHeight="false" outlineLevel="0" collapsed="false">
      <c r="A2005" s="6" t="s">
        <v>4</v>
      </c>
      <c r="B2005" s="6" t="s">
        <v>410</v>
      </c>
      <c r="C2005" s="6" t="n">
        <v>20</v>
      </c>
      <c r="D2005" s="25" t="n">
        <f aca="false">EDATE('Start Here'!$B$6,C2005-1)</f>
        <v>46905</v>
      </c>
      <c r="E2005" s="23" t="n">
        <f aca="false">IF(AND(OR(Nonlabor!$D$17="Both",Nonlabor!$D$17='Start Here'!$B$9),IF(Nonlabor!$E$17="Core",1,IF(Nonlabor!$E$17="AI",'Start Here'!$B$7,'Start Here'!$B$8))=1,C2005&gt;=IF(Nonlabor!$E$17="Core",Nonlabor!$F$17,MAX(Nonlabor!$F$17,IF(Nonlabor!$E$17="AI",Assumptions!$D$24,Assumptions!$D$25))),C2005&lt;=Nonlabor!$G$17,OR(Nonlabor!$H$17="Monthly",AND(Nonlabor!$H$17="Once",C2005=IF(Nonlabor!$E$17="Core",Nonlabor!$F$17,MAX(Nonlabor!$F$17,IF(Nonlabor!$E$17="AI",Assumptions!$D$24,Assumptions!$D$25)))),AND(Nonlabor!$H$17="Annual",MOD(C2005-IF(Nonlabor!$E$17="Core",Nonlabor!$F$17,MAX(Nonlabor!$F$17,IF(Nonlabor!$E$17="AI",Assumptions!$D$24,Assumptions!$D$25))),12)=0))),IF(Nonlabor!$I$17="Fixed",1,IF(Nonlabor!$I$17="Seats",ROUNDUP('Monthly Base'!I25,0),IF(Nonlabor!$I$17="Customers",'Monthly Base'!D25,IF(Nonlabor!$I$17="NewCustomers",'Monthly Base'!C25,IF(Nonlabor!$I$17="StorageGB",'Monthly Base'!G25,IF(Nonlabor!$I$17="LogGB",'Monthly Base'!H25,IF(Nonlabor!$I$17="RequestsM",'Monthly Base'!F25,IF(Nonlabor!$I$17="InputM",'Monthly Base'!D25*Assumptions!$D$22/1000000,IF(Nonlabor!$I$17="OutputM",'Monthly Base'!D25*Assumptions!$D$23/1000000,0))))))))),0)</f>
        <v>0</v>
      </c>
      <c r="F2005" s="10" t="n">
        <f aca="false">Nonlabor!$J$17*(1+Assumptions!$D$9)^INT((C2005-1)/12)</f>
        <v>18540</v>
      </c>
      <c r="G2005" s="10" t="n">
        <f aca="false">E2005*F2005</f>
        <v>0</v>
      </c>
      <c r="H2005" s="10" t="n">
        <f aca="false">IF(OR(Nonlabor!$L$17="Quote required",Nonlabor!$L$17="Unverified"),G2005,0)</f>
        <v>0</v>
      </c>
      <c r="I2005" s="10" t="n">
        <f aca="false">IF(Nonlabor!$E$17="Core",0,G2005)</f>
        <v>0</v>
      </c>
      <c r="J2005" s="23" t="str">
        <f aca="false">Nonlabor!$B$17</f>
        <v>SECURITY</v>
      </c>
    </row>
    <row r="2006" customFormat="false" ht="15" hidden="false" customHeight="false" outlineLevel="0" collapsed="false">
      <c r="A2006" s="6" t="s">
        <v>4</v>
      </c>
      <c r="B2006" s="6" t="s">
        <v>410</v>
      </c>
      <c r="C2006" s="6" t="n">
        <v>21</v>
      </c>
      <c r="D2006" s="25" t="n">
        <f aca="false">EDATE('Start Here'!$B$6,C2006-1)</f>
        <v>46935</v>
      </c>
      <c r="E2006" s="23" t="n">
        <f aca="false">IF(AND(OR(Nonlabor!$D$17="Both",Nonlabor!$D$17='Start Here'!$B$9),IF(Nonlabor!$E$17="Core",1,IF(Nonlabor!$E$17="AI",'Start Here'!$B$7,'Start Here'!$B$8))=1,C2006&gt;=IF(Nonlabor!$E$17="Core",Nonlabor!$F$17,MAX(Nonlabor!$F$17,IF(Nonlabor!$E$17="AI",Assumptions!$D$24,Assumptions!$D$25))),C2006&lt;=Nonlabor!$G$17,OR(Nonlabor!$H$17="Monthly",AND(Nonlabor!$H$17="Once",C2006=IF(Nonlabor!$E$17="Core",Nonlabor!$F$17,MAX(Nonlabor!$F$17,IF(Nonlabor!$E$17="AI",Assumptions!$D$24,Assumptions!$D$25)))),AND(Nonlabor!$H$17="Annual",MOD(C2006-IF(Nonlabor!$E$17="Core",Nonlabor!$F$17,MAX(Nonlabor!$F$17,IF(Nonlabor!$E$17="AI",Assumptions!$D$24,Assumptions!$D$25))),12)=0))),IF(Nonlabor!$I$17="Fixed",1,IF(Nonlabor!$I$17="Seats",ROUNDUP('Monthly Base'!I26,0),IF(Nonlabor!$I$17="Customers",'Monthly Base'!D26,IF(Nonlabor!$I$17="NewCustomers",'Monthly Base'!C26,IF(Nonlabor!$I$17="StorageGB",'Monthly Base'!G26,IF(Nonlabor!$I$17="LogGB",'Monthly Base'!H26,IF(Nonlabor!$I$17="RequestsM",'Monthly Base'!F26,IF(Nonlabor!$I$17="InputM",'Monthly Base'!D26*Assumptions!$D$22/1000000,IF(Nonlabor!$I$17="OutputM",'Monthly Base'!D26*Assumptions!$D$23/1000000,0))))))))),0)</f>
        <v>0</v>
      </c>
      <c r="F2006" s="10" t="n">
        <f aca="false">Nonlabor!$J$17*(1+Assumptions!$D$9)^INT((C2006-1)/12)</f>
        <v>18540</v>
      </c>
      <c r="G2006" s="10" t="n">
        <f aca="false">E2006*F2006</f>
        <v>0</v>
      </c>
      <c r="H2006" s="10" t="n">
        <f aca="false">IF(OR(Nonlabor!$L$17="Quote required",Nonlabor!$L$17="Unverified"),G2006,0)</f>
        <v>0</v>
      </c>
      <c r="I2006" s="10" t="n">
        <f aca="false">IF(Nonlabor!$E$17="Core",0,G2006)</f>
        <v>0</v>
      </c>
      <c r="J2006" s="23" t="str">
        <f aca="false">Nonlabor!$B$17</f>
        <v>SECURITY</v>
      </c>
    </row>
    <row r="2007" customFormat="false" ht="15" hidden="false" customHeight="false" outlineLevel="0" collapsed="false">
      <c r="A2007" s="6" t="s">
        <v>4</v>
      </c>
      <c r="B2007" s="6" t="s">
        <v>410</v>
      </c>
      <c r="C2007" s="6" t="n">
        <v>22</v>
      </c>
      <c r="D2007" s="25" t="n">
        <f aca="false">EDATE('Start Here'!$B$6,C2007-1)</f>
        <v>46966</v>
      </c>
      <c r="E2007" s="23" t="n">
        <f aca="false">IF(AND(OR(Nonlabor!$D$17="Both",Nonlabor!$D$17='Start Here'!$B$9),IF(Nonlabor!$E$17="Core",1,IF(Nonlabor!$E$17="AI",'Start Here'!$B$7,'Start Here'!$B$8))=1,C2007&gt;=IF(Nonlabor!$E$17="Core",Nonlabor!$F$17,MAX(Nonlabor!$F$17,IF(Nonlabor!$E$17="AI",Assumptions!$D$24,Assumptions!$D$25))),C2007&lt;=Nonlabor!$G$17,OR(Nonlabor!$H$17="Monthly",AND(Nonlabor!$H$17="Once",C2007=IF(Nonlabor!$E$17="Core",Nonlabor!$F$17,MAX(Nonlabor!$F$17,IF(Nonlabor!$E$17="AI",Assumptions!$D$24,Assumptions!$D$25)))),AND(Nonlabor!$H$17="Annual",MOD(C2007-IF(Nonlabor!$E$17="Core",Nonlabor!$F$17,MAX(Nonlabor!$F$17,IF(Nonlabor!$E$17="AI",Assumptions!$D$24,Assumptions!$D$25))),12)=0))),IF(Nonlabor!$I$17="Fixed",1,IF(Nonlabor!$I$17="Seats",ROUNDUP('Monthly Base'!I27,0),IF(Nonlabor!$I$17="Customers",'Monthly Base'!D27,IF(Nonlabor!$I$17="NewCustomers",'Monthly Base'!C27,IF(Nonlabor!$I$17="StorageGB",'Monthly Base'!G27,IF(Nonlabor!$I$17="LogGB",'Monthly Base'!H27,IF(Nonlabor!$I$17="RequestsM",'Monthly Base'!F27,IF(Nonlabor!$I$17="InputM",'Monthly Base'!D27*Assumptions!$D$22/1000000,IF(Nonlabor!$I$17="OutputM",'Monthly Base'!D27*Assumptions!$D$23/1000000,0))))))))),0)</f>
        <v>1</v>
      </c>
      <c r="F2007" s="10" t="n">
        <f aca="false">Nonlabor!$J$17*(1+Assumptions!$D$9)^INT((C2007-1)/12)</f>
        <v>18540</v>
      </c>
      <c r="G2007" s="10" t="n">
        <f aca="false">E2007*F2007</f>
        <v>18540</v>
      </c>
      <c r="H2007" s="10" t="n">
        <f aca="false">IF(OR(Nonlabor!$L$17="Quote required",Nonlabor!$L$17="Unverified"),G2007,0)</f>
        <v>18540</v>
      </c>
      <c r="I2007" s="10" t="n">
        <f aca="false">IF(Nonlabor!$E$17="Core",0,G2007)</f>
        <v>0</v>
      </c>
      <c r="J2007" s="23" t="str">
        <f aca="false">Nonlabor!$B$17</f>
        <v>SECURITY</v>
      </c>
    </row>
    <row r="2008" customFormat="false" ht="15" hidden="false" customHeight="false" outlineLevel="0" collapsed="false">
      <c r="A2008" s="6" t="s">
        <v>4</v>
      </c>
      <c r="B2008" s="6" t="s">
        <v>410</v>
      </c>
      <c r="C2008" s="6" t="n">
        <v>23</v>
      </c>
      <c r="D2008" s="25" t="n">
        <f aca="false">EDATE('Start Here'!$B$6,C2008-1)</f>
        <v>46997</v>
      </c>
      <c r="E2008" s="23" t="n">
        <f aca="false">IF(AND(OR(Nonlabor!$D$17="Both",Nonlabor!$D$17='Start Here'!$B$9),IF(Nonlabor!$E$17="Core",1,IF(Nonlabor!$E$17="AI",'Start Here'!$B$7,'Start Here'!$B$8))=1,C2008&gt;=IF(Nonlabor!$E$17="Core",Nonlabor!$F$17,MAX(Nonlabor!$F$17,IF(Nonlabor!$E$17="AI",Assumptions!$D$24,Assumptions!$D$25))),C2008&lt;=Nonlabor!$G$17,OR(Nonlabor!$H$17="Monthly",AND(Nonlabor!$H$17="Once",C2008=IF(Nonlabor!$E$17="Core",Nonlabor!$F$17,MAX(Nonlabor!$F$17,IF(Nonlabor!$E$17="AI",Assumptions!$D$24,Assumptions!$D$25)))),AND(Nonlabor!$H$17="Annual",MOD(C2008-IF(Nonlabor!$E$17="Core",Nonlabor!$F$17,MAX(Nonlabor!$F$17,IF(Nonlabor!$E$17="AI",Assumptions!$D$24,Assumptions!$D$25))),12)=0))),IF(Nonlabor!$I$17="Fixed",1,IF(Nonlabor!$I$17="Seats",ROUNDUP('Monthly Base'!I28,0),IF(Nonlabor!$I$17="Customers",'Monthly Base'!D28,IF(Nonlabor!$I$17="NewCustomers",'Monthly Base'!C28,IF(Nonlabor!$I$17="StorageGB",'Monthly Base'!G28,IF(Nonlabor!$I$17="LogGB",'Monthly Base'!H28,IF(Nonlabor!$I$17="RequestsM",'Monthly Base'!F28,IF(Nonlabor!$I$17="InputM",'Monthly Base'!D28*Assumptions!$D$22/1000000,IF(Nonlabor!$I$17="OutputM",'Monthly Base'!D28*Assumptions!$D$23/1000000,0))))))))),0)</f>
        <v>0</v>
      </c>
      <c r="F2008" s="10" t="n">
        <f aca="false">Nonlabor!$J$17*(1+Assumptions!$D$9)^INT((C2008-1)/12)</f>
        <v>18540</v>
      </c>
      <c r="G2008" s="10" t="n">
        <f aca="false">E2008*F2008</f>
        <v>0</v>
      </c>
      <c r="H2008" s="10" t="n">
        <f aca="false">IF(OR(Nonlabor!$L$17="Quote required",Nonlabor!$L$17="Unverified"),G2008,0)</f>
        <v>0</v>
      </c>
      <c r="I2008" s="10" t="n">
        <f aca="false">IF(Nonlabor!$E$17="Core",0,G2008)</f>
        <v>0</v>
      </c>
      <c r="J2008" s="23" t="str">
        <f aca="false">Nonlabor!$B$17</f>
        <v>SECURITY</v>
      </c>
    </row>
    <row r="2009" customFormat="false" ht="15" hidden="false" customHeight="false" outlineLevel="0" collapsed="false">
      <c r="A2009" s="6" t="s">
        <v>4</v>
      </c>
      <c r="B2009" s="6" t="s">
        <v>410</v>
      </c>
      <c r="C2009" s="6" t="n">
        <v>24</v>
      </c>
      <c r="D2009" s="25" t="n">
        <f aca="false">EDATE('Start Here'!$B$6,C2009-1)</f>
        <v>47027</v>
      </c>
      <c r="E2009" s="23" t="n">
        <f aca="false">IF(AND(OR(Nonlabor!$D$17="Both",Nonlabor!$D$17='Start Here'!$B$9),IF(Nonlabor!$E$17="Core",1,IF(Nonlabor!$E$17="AI",'Start Here'!$B$7,'Start Here'!$B$8))=1,C2009&gt;=IF(Nonlabor!$E$17="Core",Nonlabor!$F$17,MAX(Nonlabor!$F$17,IF(Nonlabor!$E$17="AI",Assumptions!$D$24,Assumptions!$D$25))),C2009&lt;=Nonlabor!$G$17,OR(Nonlabor!$H$17="Monthly",AND(Nonlabor!$H$17="Once",C2009=IF(Nonlabor!$E$17="Core",Nonlabor!$F$17,MAX(Nonlabor!$F$17,IF(Nonlabor!$E$17="AI",Assumptions!$D$24,Assumptions!$D$25)))),AND(Nonlabor!$H$17="Annual",MOD(C2009-IF(Nonlabor!$E$17="Core",Nonlabor!$F$17,MAX(Nonlabor!$F$17,IF(Nonlabor!$E$17="AI",Assumptions!$D$24,Assumptions!$D$25))),12)=0))),IF(Nonlabor!$I$17="Fixed",1,IF(Nonlabor!$I$17="Seats",ROUNDUP('Monthly Base'!I29,0),IF(Nonlabor!$I$17="Customers",'Monthly Base'!D29,IF(Nonlabor!$I$17="NewCustomers",'Monthly Base'!C29,IF(Nonlabor!$I$17="StorageGB",'Monthly Base'!G29,IF(Nonlabor!$I$17="LogGB",'Monthly Base'!H29,IF(Nonlabor!$I$17="RequestsM",'Monthly Base'!F29,IF(Nonlabor!$I$17="InputM",'Monthly Base'!D29*Assumptions!$D$22/1000000,IF(Nonlabor!$I$17="OutputM",'Monthly Base'!D29*Assumptions!$D$23/1000000,0))))))))),0)</f>
        <v>0</v>
      </c>
      <c r="F2009" s="10" t="n">
        <f aca="false">Nonlabor!$J$17*(1+Assumptions!$D$9)^INT((C2009-1)/12)</f>
        <v>18540</v>
      </c>
      <c r="G2009" s="10" t="n">
        <f aca="false">E2009*F2009</f>
        <v>0</v>
      </c>
      <c r="H2009" s="10" t="n">
        <f aca="false">IF(OR(Nonlabor!$L$17="Quote required",Nonlabor!$L$17="Unverified"),G2009,0)</f>
        <v>0</v>
      </c>
      <c r="I2009" s="10" t="n">
        <f aca="false">IF(Nonlabor!$E$17="Core",0,G2009)</f>
        <v>0</v>
      </c>
      <c r="J2009" s="23" t="str">
        <f aca="false">Nonlabor!$B$17</f>
        <v>SECURITY</v>
      </c>
    </row>
    <row r="2010" customFormat="false" ht="15" hidden="false" customHeight="false" outlineLevel="0" collapsed="false">
      <c r="A2010" s="6" t="s">
        <v>4</v>
      </c>
      <c r="B2010" s="6" t="s">
        <v>410</v>
      </c>
      <c r="C2010" s="6" t="n">
        <v>25</v>
      </c>
      <c r="D2010" s="25" t="n">
        <f aca="false">EDATE('Start Here'!$B$6,C2010-1)</f>
        <v>47058</v>
      </c>
      <c r="E2010" s="23" t="n">
        <f aca="false">IF(AND(OR(Nonlabor!$D$17="Both",Nonlabor!$D$17='Start Here'!$B$9),IF(Nonlabor!$E$17="Core",1,IF(Nonlabor!$E$17="AI",'Start Here'!$B$7,'Start Here'!$B$8))=1,C2010&gt;=IF(Nonlabor!$E$17="Core",Nonlabor!$F$17,MAX(Nonlabor!$F$17,IF(Nonlabor!$E$17="AI",Assumptions!$D$24,Assumptions!$D$25))),C2010&lt;=Nonlabor!$G$17,OR(Nonlabor!$H$17="Monthly",AND(Nonlabor!$H$17="Once",C2010=IF(Nonlabor!$E$17="Core",Nonlabor!$F$17,MAX(Nonlabor!$F$17,IF(Nonlabor!$E$17="AI",Assumptions!$D$24,Assumptions!$D$25)))),AND(Nonlabor!$H$17="Annual",MOD(C2010-IF(Nonlabor!$E$17="Core",Nonlabor!$F$17,MAX(Nonlabor!$F$17,IF(Nonlabor!$E$17="AI",Assumptions!$D$24,Assumptions!$D$25))),12)=0))),IF(Nonlabor!$I$17="Fixed",1,IF(Nonlabor!$I$17="Seats",ROUNDUP('Monthly Base'!I30,0),IF(Nonlabor!$I$17="Customers",'Monthly Base'!D30,IF(Nonlabor!$I$17="NewCustomers",'Monthly Base'!C30,IF(Nonlabor!$I$17="StorageGB",'Monthly Base'!G30,IF(Nonlabor!$I$17="LogGB",'Monthly Base'!H30,IF(Nonlabor!$I$17="RequestsM",'Monthly Base'!F30,IF(Nonlabor!$I$17="InputM",'Monthly Base'!D30*Assumptions!$D$22/1000000,IF(Nonlabor!$I$17="OutputM",'Monthly Base'!D30*Assumptions!$D$23/1000000,0))))))))),0)</f>
        <v>0</v>
      </c>
      <c r="F2010" s="10" t="n">
        <f aca="false">Nonlabor!$J$17*(1+Assumptions!$D$9)^INT((C2010-1)/12)</f>
        <v>19096.2</v>
      </c>
      <c r="G2010" s="10" t="n">
        <f aca="false">E2010*F2010</f>
        <v>0</v>
      </c>
      <c r="H2010" s="10" t="n">
        <f aca="false">IF(OR(Nonlabor!$L$17="Quote required",Nonlabor!$L$17="Unverified"),G2010,0)</f>
        <v>0</v>
      </c>
      <c r="I2010" s="10" t="n">
        <f aca="false">IF(Nonlabor!$E$17="Core",0,G2010)</f>
        <v>0</v>
      </c>
      <c r="J2010" s="23" t="str">
        <f aca="false">Nonlabor!$B$17</f>
        <v>SECURITY</v>
      </c>
    </row>
    <row r="2011" customFormat="false" ht="15" hidden="false" customHeight="false" outlineLevel="0" collapsed="false">
      <c r="A2011" s="6" t="s">
        <v>4</v>
      </c>
      <c r="B2011" s="6" t="s">
        <v>410</v>
      </c>
      <c r="C2011" s="6" t="n">
        <v>26</v>
      </c>
      <c r="D2011" s="25" t="n">
        <f aca="false">EDATE('Start Here'!$B$6,C2011-1)</f>
        <v>47088</v>
      </c>
      <c r="E2011" s="23" t="n">
        <f aca="false">IF(AND(OR(Nonlabor!$D$17="Both",Nonlabor!$D$17='Start Here'!$B$9),IF(Nonlabor!$E$17="Core",1,IF(Nonlabor!$E$17="AI",'Start Here'!$B$7,'Start Here'!$B$8))=1,C2011&gt;=IF(Nonlabor!$E$17="Core",Nonlabor!$F$17,MAX(Nonlabor!$F$17,IF(Nonlabor!$E$17="AI",Assumptions!$D$24,Assumptions!$D$25))),C2011&lt;=Nonlabor!$G$17,OR(Nonlabor!$H$17="Monthly",AND(Nonlabor!$H$17="Once",C2011=IF(Nonlabor!$E$17="Core",Nonlabor!$F$17,MAX(Nonlabor!$F$17,IF(Nonlabor!$E$17="AI",Assumptions!$D$24,Assumptions!$D$25)))),AND(Nonlabor!$H$17="Annual",MOD(C2011-IF(Nonlabor!$E$17="Core",Nonlabor!$F$17,MAX(Nonlabor!$F$17,IF(Nonlabor!$E$17="AI",Assumptions!$D$24,Assumptions!$D$25))),12)=0))),IF(Nonlabor!$I$17="Fixed",1,IF(Nonlabor!$I$17="Seats",ROUNDUP('Monthly Base'!I31,0),IF(Nonlabor!$I$17="Customers",'Monthly Base'!D31,IF(Nonlabor!$I$17="NewCustomers",'Monthly Base'!C31,IF(Nonlabor!$I$17="StorageGB",'Monthly Base'!G31,IF(Nonlabor!$I$17="LogGB",'Monthly Base'!H31,IF(Nonlabor!$I$17="RequestsM",'Monthly Base'!F31,IF(Nonlabor!$I$17="InputM",'Monthly Base'!D31*Assumptions!$D$22/1000000,IF(Nonlabor!$I$17="OutputM",'Monthly Base'!D31*Assumptions!$D$23/1000000,0))))))))),0)</f>
        <v>0</v>
      </c>
      <c r="F2011" s="10" t="n">
        <f aca="false">Nonlabor!$J$17*(1+Assumptions!$D$9)^INT((C2011-1)/12)</f>
        <v>19096.2</v>
      </c>
      <c r="G2011" s="10" t="n">
        <f aca="false">E2011*F2011</f>
        <v>0</v>
      </c>
      <c r="H2011" s="10" t="n">
        <f aca="false">IF(OR(Nonlabor!$L$17="Quote required",Nonlabor!$L$17="Unverified"),G2011,0)</f>
        <v>0</v>
      </c>
      <c r="I2011" s="10" t="n">
        <f aca="false">IF(Nonlabor!$E$17="Core",0,G2011)</f>
        <v>0</v>
      </c>
      <c r="J2011" s="23" t="str">
        <f aca="false">Nonlabor!$B$17</f>
        <v>SECURITY</v>
      </c>
    </row>
    <row r="2012" customFormat="false" ht="15" hidden="false" customHeight="false" outlineLevel="0" collapsed="false">
      <c r="A2012" s="6" t="s">
        <v>4</v>
      </c>
      <c r="B2012" s="6" t="s">
        <v>410</v>
      </c>
      <c r="C2012" s="6" t="n">
        <v>27</v>
      </c>
      <c r="D2012" s="25" t="n">
        <f aca="false">EDATE('Start Here'!$B$6,C2012-1)</f>
        <v>47119</v>
      </c>
      <c r="E2012" s="23" t="n">
        <f aca="false">IF(AND(OR(Nonlabor!$D$17="Both",Nonlabor!$D$17='Start Here'!$B$9),IF(Nonlabor!$E$17="Core",1,IF(Nonlabor!$E$17="AI",'Start Here'!$B$7,'Start Here'!$B$8))=1,C2012&gt;=IF(Nonlabor!$E$17="Core",Nonlabor!$F$17,MAX(Nonlabor!$F$17,IF(Nonlabor!$E$17="AI",Assumptions!$D$24,Assumptions!$D$25))),C2012&lt;=Nonlabor!$G$17,OR(Nonlabor!$H$17="Monthly",AND(Nonlabor!$H$17="Once",C2012=IF(Nonlabor!$E$17="Core",Nonlabor!$F$17,MAX(Nonlabor!$F$17,IF(Nonlabor!$E$17="AI",Assumptions!$D$24,Assumptions!$D$25)))),AND(Nonlabor!$H$17="Annual",MOD(C2012-IF(Nonlabor!$E$17="Core",Nonlabor!$F$17,MAX(Nonlabor!$F$17,IF(Nonlabor!$E$17="AI",Assumptions!$D$24,Assumptions!$D$25))),12)=0))),IF(Nonlabor!$I$17="Fixed",1,IF(Nonlabor!$I$17="Seats",ROUNDUP('Monthly Base'!I32,0),IF(Nonlabor!$I$17="Customers",'Monthly Base'!D32,IF(Nonlabor!$I$17="NewCustomers",'Monthly Base'!C32,IF(Nonlabor!$I$17="StorageGB",'Monthly Base'!G32,IF(Nonlabor!$I$17="LogGB",'Monthly Base'!H32,IF(Nonlabor!$I$17="RequestsM",'Monthly Base'!F32,IF(Nonlabor!$I$17="InputM",'Monthly Base'!D32*Assumptions!$D$22/1000000,IF(Nonlabor!$I$17="OutputM",'Monthly Base'!D32*Assumptions!$D$23/1000000,0))))))))),0)</f>
        <v>0</v>
      </c>
      <c r="F2012" s="10" t="n">
        <f aca="false">Nonlabor!$J$17*(1+Assumptions!$D$9)^INT((C2012-1)/12)</f>
        <v>19096.2</v>
      </c>
      <c r="G2012" s="10" t="n">
        <f aca="false">E2012*F2012</f>
        <v>0</v>
      </c>
      <c r="H2012" s="10" t="n">
        <f aca="false">IF(OR(Nonlabor!$L$17="Quote required",Nonlabor!$L$17="Unverified"),G2012,0)</f>
        <v>0</v>
      </c>
      <c r="I2012" s="10" t="n">
        <f aca="false">IF(Nonlabor!$E$17="Core",0,G2012)</f>
        <v>0</v>
      </c>
      <c r="J2012" s="23" t="str">
        <f aca="false">Nonlabor!$B$17</f>
        <v>SECURITY</v>
      </c>
    </row>
    <row r="2013" customFormat="false" ht="15" hidden="false" customHeight="false" outlineLevel="0" collapsed="false">
      <c r="A2013" s="6" t="s">
        <v>4</v>
      </c>
      <c r="B2013" s="6" t="s">
        <v>410</v>
      </c>
      <c r="C2013" s="6" t="n">
        <v>28</v>
      </c>
      <c r="D2013" s="25" t="n">
        <f aca="false">EDATE('Start Here'!$B$6,C2013-1)</f>
        <v>47150</v>
      </c>
      <c r="E2013" s="23" t="n">
        <f aca="false">IF(AND(OR(Nonlabor!$D$17="Both",Nonlabor!$D$17='Start Here'!$B$9),IF(Nonlabor!$E$17="Core",1,IF(Nonlabor!$E$17="AI",'Start Here'!$B$7,'Start Here'!$B$8))=1,C2013&gt;=IF(Nonlabor!$E$17="Core",Nonlabor!$F$17,MAX(Nonlabor!$F$17,IF(Nonlabor!$E$17="AI",Assumptions!$D$24,Assumptions!$D$25))),C2013&lt;=Nonlabor!$G$17,OR(Nonlabor!$H$17="Monthly",AND(Nonlabor!$H$17="Once",C2013=IF(Nonlabor!$E$17="Core",Nonlabor!$F$17,MAX(Nonlabor!$F$17,IF(Nonlabor!$E$17="AI",Assumptions!$D$24,Assumptions!$D$25)))),AND(Nonlabor!$H$17="Annual",MOD(C2013-IF(Nonlabor!$E$17="Core",Nonlabor!$F$17,MAX(Nonlabor!$F$17,IF(Nonlabor!$E$17="AI",Assumptions!$D$24,Assumptions!$D$25))),12)=0))),IF(Nonlabor!$I$17="Fixed",1,IF(Nonlabor!$I$17="Seats",ROUNDUP('Monthly Base'!I33,0),IF(Nonlabor!$I$17="Customers",'Monthly Base'!D33,IF(Nonlabor!$I$17="NewCustomers",'Monthly Base'!C33,IF(Nonlabor!$I$17="StorageGB",'Monthly Base'!G33,IF(Nonlabor!$I$17="LogGB",'Monthly Base'!H33,IF(Nonlabor!$I$17="RequestsM",'Monthly Base'!F33,IF(Nonlabor!$I$17="InputM",'Monthly Base'!D33*Assumptions!$D$22/1000000,IF(Nonlabor!$I$17="OutputM",'Monthly Base'!D33*Assumptions!$D$23/1000000,0))))))))),0)</f>
        <v>0</v>
      </c>
      <c r="F2013" s="10" t="n">
        <f aca="false">Nonlabor!$J$17*(1+Assumptions!$D$9)^INT((C2013-1)/12)</f>
        <v>19096.2</v>
      </c>
      <c r="G2013" s="10" t="n">
        <f aca="false">E2013*F2013</f>
        <v>0</v>
      </c>
      <c r="H2013" s="10" t="n">
        <f aca="false">IF(OR(Nonlabor!$L$17="Quote required",Nonlabor!$L$17="Unverified"),G2013,0)</f>
        <v>0</v>
      </c>
      <c r="I2013" s="10" t="n">
        <f aca="false">IF(Nonlabor!$E$17="Core",0,G2013)</f>
        <v>0</v>
      </c>
      <c r="J2013" s="23" t="str">
        <f aca="false">Nonlabor!$B$17</f>
        <v>SECURITY</v>
      </c>
    </row>
    <row r="2014" customFormat="false" ht="15" hidden="false" customHeight="false" outlineLevel="0" collapsed="false">
      <c r="A2014" s="6" t="s">
        <v>4</v>
      </c>
      <c r="B2014" s="6" t="s">
        <v>410</v>
      </c>
      <c r="C2014" s="6" t="n">
        <v>29</v>
      </c>
      <c r="D2014" s="25" t="n">
        <f aca="false">EDATE('Start Here'!$B$6,C2014-1)</f>
        <v>47178</v>
      </c>
      <c r="E2014" s="23" t="n">
        <f aca="false">IF(AND(OR(Nonlabor!$D$17="Both",Nonlabor!$D$17='Start Here'!$B$9),IF(Nonlabor!$E$17="Core",1,IF(Nonlabor!$E$17="AI",'Start Here'!$B$7,'Start Here'!$B$8))=1,C2014&gt;=IF(Nonlabor!$E$17="Core",Nonlabor!$F$17,MAX(Nonlabor!$F$17,IF(Nonlabor!$E$17="AI",Assumptions!$D$24,Assumptions!$D$25))),C2014&lt;=Nonlabor!$G$17,OR(Nonlabor!$H$17="Monthly",AND(Nonlabor!$H$17="Once",C2014=IF(Nonlabor!$E$17="Core",Nonlabor!$F$17,MAX(Nonlabor!$F$17,IF(Nonlabor!$E$17="AI",Assumptions!$D$24,Assumptions!$D$25)))),AND(Nonlabor!$H$17="Annual",MOD(C2014-IF(Nonlabor!$E$17="Core",Nonlabor!$F$17,MAX(Nonlabor!$F$17,IF(Nonlabor!$E$17="AI",Assumptions!$D$24,Assumptions!$D$25))),12)=0))),IF(Nonlabor!$I$17="Fixed",1,IF(Nonlabor!$I$17="Seats",ROUNDUP('Monthly Base'!I34,0),IF(Nonlabor!$I$17="Customers",'Monthly Base'!D34,IF(Nonlabor!$I$17="NewCustomers",'Monthly Base'!C34,IF(Nonlabor!$I$17="StorageGB",'Monthly Base'!G34,IF(Nonlabor!$I$17="LogGB",'Monthly Base'!H34,IF(Nonlabor!$I$17="RequestsM",'Monthly Base'!F34,IF(Nonlabor!$I$17="InputM",'Monthly Base'!D34*Assumptions!$D$22/1000000,IF(Nonlabor!$I$17="OutputM",'Monthly Base'!D34*Assumptions!$D$23/1000000,0))))))))),0)</f>
        <v>0</v>
      </c>
      <c r="F2014" s="10" t="n">
        <f aca="false">Nonlabor!$J$17*(1+Assumptions!$D$9)^INT((C2014-1)/12)</f>
        <v>19096.2</v>
      </c>
      <c r="G2014" s="10" t="n">
        <f aca="false">E2014*F2014</f>
        <v>0</v>
      </c>
      <c r="H2014" s="10" t="n">
        <f aca="false">IF(OR(Nonlabor!$L$17="Quote required",Nonlabor!$L$17="Unverified"),G2014,0)</f>
        <v>0</v>
      </c>
      <c r="I2014" s="10" t="n">
        <f aca="false">IF(Nonlabor!$E$17="Core",0,G2014)</f>
        <v>0</v>
      </c>
      <c r="J2014" s="23" t="str">
        <f aca="false">Nonlabor!$B$17</f>
        <v>SECURITY</v>
      </c>
    </row>
    <row r="2015" customFormat="false" ht="15" hidden="false" customHeight="false" outlineLevel="0" collapsed="false">
      <c r="A2015" s="6" t="s">
        <v>4</v>
      </c>
      <c r="B2015" s="6" t="s">
        <v>410</v>
      </c>
      <c r="C2015" s="6" t="n">
        <v>30</v>
      </c>
      <c r="D2015" s="25" t="n">
        <f aca="false">EDATE('Start Here'!$B$6,C2015-1)</f>
        <v>47209</v>
      </c>
      <c r="E2015" s="23" t="n">
        <f aca="false">IF(AND(OR(Nonlabor!$D$17="Both",Nonlabor!$D$17='Start Here'!$B$9),IF(Nonlabor!$E$17="Core",1,IF(Nonlabor!$E$17="AI",'Start Here'!$B$7,'Start Here'!$B$8))=1,C2015&gt;=IF(Nonlabor!$E$17="Core",Nonlabor!$F$17,MAX(Nonlabor!$F$17,IF(Nonlabor!$E$17="AI",Assumptions!$D$24,Assumptions!$D$25))),C2015&lt;=Nonlabor!$G$17,OR(Nonlabor!$H$17="Monthly",AND(Nonlabor!$H$17="Once",C2015=IF(Nonlabor!$E$17="Core",Nonlabor!$F$17,MAX(Nonlabor!$F$17,IF(Nonlabor!$E$17="AI",Assumptions!$D$24,Assumptions!$D$25)))),AND(Nonlabor!$H$17="Annual",MOD(C2015-IF(Nonlabor!$E$17="Core",Nonlabor!$F$17,MAX(Nonlabor!$F$17,IF(Nonlabor!$E$17="AI",Assumptions!$D$24,Assumptions!$D$25))),12)=0))),IF(Nonlabor!$I$17="Fixed",1,IF(Nonlabor!$I$17="Seats",ROUNDUP('Monthly Base'!I35,0),IF(Nonlabor!$I$17="Customers",'Monthly Base'!D35,IF(Nonlabor!$I$17="NewCustomers",'Monthly Base'!C35,IF(Nonlabor!$I$17="StorageGB",'Monthly Base'!G35,IF(Nonlabor!$I$17="LogGB",'Monthly Base'!H35,IF(Nonlabor!$I$17="RequestsM",'Monthly Base'!F35,IF(Nonlabor!$I$17="InputM",'Monthly Base'!D35*Assumptions!$D$22/1000000,IF(Nonlabor!$I$17="OutputM",'Monthly Base'!D35*Assumptions!$D$23/1000000,0))))))))),0)</f>
        <v>0</v>
      </c>
      <c r="F2015" s="10" t="n">
        <f aca="false">Nonlabor!$J$17*(1+Assumptions!$D$9)^INT((C2015-1)/12)</f>
        <v>19096.2</v>
      </c>
      <c r="G2015" s="10" t="n">
        <f aca="false">E2015*F2015</f>
        <v>0</v>
      </c>
      <c r="H2015" s="10" t="n">
        <f aca="false">IF(OR(Nonlabor!$L$17="Quote required",Nonlabor!$L$17="Unverified"),G2015,0)</f>
        <v>0</v>
      </c>
      <c r="I2015" s="10" t="n">
        <f aca="false">IF(Nonlabor!$E$17="Core",0,G2015)</f>
        <v>0</v>
      </c>
      <c r="J2015" s="23" t="str">
        <f aca="false">Nonlabor!$B$17</f>
        <v>SECURITY</v>
      </c>
    </row>
    <row r="2016" customFormat="false" ht="15" hidden="false" customHeight="false" outlineLevel="0" collapsed="false">
      <c r="A2016" s="6" t="s">
        <v>4</v>
      </c>
      <c r="B2016" s="6" t="s">
        <v>410</v>
      </c>
      <c r="C2016" s="6" t="n">
        <v>31</v>
      </c>
      <c r="D2016" s="25" t="n">
        <f aca="false">EDATE('Start Here'!$B$6,C2016-1)</f>
        <v>47239</v>
      </c>
      <c r="E2016" s="23" t="n">
        <f aca="false">IF(AND(OR(Nonlabor!$D$17="Both",Nonlabor!$D$17='Start Here'!$B$9),IF(Nonlabor!$E$17="Core",1,IF(Nonlabor!$E$17="AI",'Start Here'!$B$7,'Start Here'!$B$8))=1,C2016&gt;=IF(Nonlabor!$E$17="Core",Nonlabor!$F$17,MAX(Nonlabor!$F$17,IF(Nonlabor!$E$17="AI",Assumptions!$D$24,Assumptions!$D$25))),C2016&lt;=Nonlabor!$G$17,OR(Nonlabor!$H$17="Monthly",AND(Nonlabor!$H$17="Once",C2016=IF(Nonlabor!$E$17="Core",Nonlabor!$F$17,MAX(Nonlabor!$F$17,IF(Nonlabor!$E$17="AI",Assumptions!$D$24,Assumptions!$D$25)))),AND(Nonlabor!$H$17="Annual",MOD(C2016-IF(Nonlabor!$E$17="Core",Nonlabor!$F$17,MAX(Nonlabor!$F$17,IF(Nonlabor!$E$17="AI",Assumptions!$D$24,Assumptions!$D$25))),12)=0))),IF(Nonlabor!$I$17="Fixed",1,IF(Nonlabor!$I$17="Seats",ROUNDUP('Monthly Base'!I36,0),IF(Nonlabor!$I$17="Customers",'Monthly Base'!D36,IF(Nonlabor!$I$17="NewCustomers",'Monthly Base'!C36,IF(Nonlabor!$I$17="StorageGB",'Monthly Base'!G36,IF(Nonlabor!$I$17="LogGB",'Monthly Base'!H36,IF(Nonlabor!$I$17="RequestsM",'Monthly Base'!F36,IF(Nonlabor!$I$17="InputM",'Monthly Base'!D36*Assumptions!$D$22/1000000,IF(Nonlabor!$I$17="OutputM",'Monthly Base'!D36*Assumptions!$D$23/1000000,0))))))))),0)</f>
        <v>0</v>
      </c>
      <c r="F2016" s="10" t="n">
        <f aca="false">Nonlabor!$J$17*(1+Assumptions!$D$9)^INT((C2016-1)/12)</f>
        <v>19096.2</v>
      </c>
      <c r="G2016" s="10" t="n">
        <f aca="false">E2016*F2016</f>
        <v>0</v>
      </c>
      <c r="H2016" s="10" t="n">
        <f aca="false">IF(OR(Nonlabor!$L$17="Quote required",Nonlabor!$L$17="Unverified"),G2016,0)</f>
        <v>0</v>
      </c>
      <c r="I2016" s="10" t="n">
        <f aca="false">IF(Nonlabor!$E$17="Core",0,G2016)</f>
        <v>0</v>
      </c>
      <c r="J2016" s="23" t="str">
        <f aca="false">Nonlabor!$B$17</f>
        <v>SECURITY</v>
      </c>
    </row>
    <row r="2017" customFormat="false" ht="15" hidden="false" customHeight="false" outlineLevel="0" collapsed="false">
      <c r="A2017" s="6" t="s">
        <v>4</v>
      </c>
      <c r="B2017" s="6" t="s">
        <v>410</v>
      </c>
      <c r="C2017" s="6" t="n">
        <v>32</v>
      </c>
      <c r="D2017" s="25" t="n">
        <f aca="false">EDATE('Start Here'!$B$6,C2017-1)</f>
        <v>47270</v>
      </c>
      <c r="E2017" s="23" t="n">
        <f aca="false">IF(AND(OR(Nonlabor!$D$17="Both",Nonlabor!$D$17='Start Here'!$B$9),IF(Nonlabor!$E$17="Core",1,IF(Nonlabor!$E$17="AI",'Start Here'!$B$7,'Start Here'!$B$8))=1,C2017&gt;=IF(Nonlabor!$E$17="Core",Nonlabor!$F$17,MAX(Nonlabor!$F$17,IF(Nonlabor!$E$17="AI",Assumptions!$D$24,Assumptions!$D$25))),C2017&lt;=Nonlabor!$G$17,OR(Nonlabor!$H$17="Monthly",AND(Nonlabor!$H$17="Once",C2017=IF(Nonlabor!$E$17="Core",Nonlabor!$F$17,MAX(Nonlabor!$F$17,IF(Nonlabor!$E$17="AI",Assumptions!$D$24,Assumptions!$D$25)))),AND(Nonlabor!$H$17="Annual",MOD(C2017-IF(Nonlabor!$E$17="Core",Nonlabor!$F$17,MAX(Nonlabor!$F$17,IF(Nonlabor!$E$17="AI",Assumptions!$D$24,Assumptions!$D$25))),12)=0))),IF(Nonlabor!$I$17="Fixed",1,IF(Nonlabor!$I$17="Seats",ROUNDUP('Monthly Base'!I37,0),IF(Nonlabor!$I$17="Customers",'Monthly Base'!D37,IF(Nonlabor!$I$17="NewCustomers",'Monthly Base'!C37,IF(Nonlabor!$I$17="StorageGB",'Monthly Base'!G37,IF(Nonlabor!$I$17="LogGB",'Monthly Base'!H37,IF(Nonlabor!$I$17="RequestsM",'Monthly Base'!F37,IF(Nonlabor!$I$17="InputM",'Monthly Base'!D37*Assumptions!$D$22/1000000,IF(Nonlabor!$I$17="OutputM",'Monthly Base'!D37*Assumptions!$D$23/1000000,0))))))))),0)</f>
        <v>0</v>
      </c>
      <c r="F2017" s="10" t="n">
        <f aca="false">Nonlabor!$J$17*(1+Assumptions!$D$9)^INT((C2017-1)/12)</f>
        <v>19096.2</v>
      </c>
      <c r="G2017" s="10" t="n">
        <f aca="false">E2017*F2017</f>
        <v>0</v>
      </c>
      <c r="H2017" s="10" t="n">
        <f aca="false">IF(OR(Nonlabor!$L$17="Quote required",Nonlabor!$L$17="Unverified"),G2017,0)</f>
        <v>0</v>
      </c>
      <c r="I2017" s="10" t="n">
        <f aca="false">IF(Nonlabor!$E$17="Core",0,G2017)</f>
        <v>0</v>
      </c>
      <c r="J2017" s="23" t="str">
        <f aca="false">Nonlabor!$B$17</f>
        <v>SECURITY</v>
      </c>
    </row>
    <row r="2018" customFormat="false" ht="15" hidden="false" customHeight="false" outlineLevel="0" collapsed="false">
      <c r="A2018" s="6" t="s">
        <v>4</v>
      </c>
      <c r="B2018" s="6" t="s">
        <v>410</v>
      </c>
      <c r="C2018" s="6" t="n">
        <v>33</v>
      </c>
      <c r="D2018" s="25" t="n">
        <f aca="false">EDATE('Start Here'!$B$6,C2018-1)</f>
        <v>47300</v>
      </c>
      <c r="E2018" s="23" t="n">
        <f aca="false">IF(AND(OR(Nonlabor!$D$17="Both",Nonlabor!$D$17='Start Here'!$B$9),IF(Nonlabor!$E$17="Core",1,IF(Nonlabor!$E$17="AI",'Start Here'!$B$7,'Start Here'!$B$8))=1,C2018&gt;=IF(Nonlabor!$E$17="Core",Nonlabor!$F$17,MAX(Nonlabor!$F$17,IF(Nonlabor!$E$17="AI",Assumptions!$D$24,Assumptions!$D$25))),C2018&lt;=Nonlabor!$G$17,OR(Nonlabor!$H$17="Monthly",AND(Nonlabor!$H$17="Once",C2018=IF(Nonlabor!$E$17="Core",Nonlabor!$F$17,MAX(Nonlabor!$F$17,IF(Nonlabor!$E$17="AI",Assumptions!$D$24,Assumptions!$D$25)))),AND(Nonlabor!$H$17="Annual",MOD(C2018-IF(Nonlabor!$E$17="Core",Nonlabor!$F$17,MAX(Nonlabor!$F$17,IF(Nonlabor!$E$17="AI",Assumptions!$D$24,Assumptions!$D$25))),12)=0))),IF(Nonlabor!$I$17="Fixed",1,IF(Nonlabor!$I$17="Seats",ROUNDUP('Monthly Base'!I38,0),IF(Nonlabor!$I$17="Customers",'Monthly Base'!D38,IF(Nonlabor!$I$17="NewCustomers",'Monthly Base'!C38,IF(Nonlabor!$I$17="StorageGB",'Monthly Base'!G38,IF(Nonlabor!$I$17="LogGB",'Monthly Base'!H38,IF(Nonlabor!$I$17="RequestsM",'Monthly Base'!F38,IF(Nonlabor!$I$17="InputM",'Monthly Base'!D38*Assumptions!$D$22/1000000,IF(Nonlabor!$I$17="OutputM",'Monthly Base'!D38*Assumptions!$D$23/1000000,0))))))))),0)</f>
        <v>0</v>
      </c>
      <c r="F2018" s="10" t="n">
        <f aca="false">Nonlabor!$J$17*(1+Assumptions!$D$9)^INT((C2018-1)/12)</f>
        <v>19096.2</v>
      </c>
      <c r="G2018" s="10" t="n">
        <f aca="false">E2018*F2018</f>
        <v>0</v>
      </c>
      <c r="H2018" s="10" t="n">
        <f aca="false">IF(OR(Nonlabor!$L$17="Quote required",Nonlabor!$L$17="Unverified"),G2018,0)</f>
        <v>0</v>
      </c>
      <c r="I2018" s="10" t="n">
        <f aca="false">IF(Nonlabor!$E$17="Core",0,G2018)</f>
        <v>0</v>
      </c>
      <c r="J2018" s="23" t="str">
        <f aca="false">Nonlabor!$B$17</f>
        <v>SECURITY</v>
      </c>
    </row>
    <row r="2019" customFormat="false" ht="15" hidden="false" customHeight="false" outlineLevel="0" collapsed="false">
      <c r="A2019" s="6" t="s">
        <v>4</v>
      </c>
      <c r="B2019" s="6" t="s">
        <v>410</v>
      </c>
      <c r="C2019" s="6" t="n">
        <v>34</v>
      </c>
      <c r="D2019" s="25" t="n">
        <f aca="false">EDATE('Start Here'!$B$6,C2019-1)</f>
        <v>47331</v>
      </c>
      <c r="E2019" s="23" t="n">
        <f aca="false">IF(AND(OR(Nonlabor!$D$17="Both",Nonlabor!$D$17='Start Here'!$B$9),IF(Nonlabor!$E$17="Core",1,IF(Nonlabor!$E$17="AI",'Start Here'!$B$7,'Start Here'!$B$8))=1,C2019&gt;=IF(Nonlabor!$E$17="Core",Nonlabor!$F$17,MAX(Nonlabor!$F$17,IF(Nonlabor!$E$17="AI",Assumptions!$D$24,Assumptions!$D$25))),C2019&lt;=Nonlabor!$G$17,OR(Nonlabor!$H$17="Monthly",AND(Nonlabor!$H$17="Once",C2019=IF(Nonlabor!$E$17="Core",Nonlabor!$F$17,MAX(Nonlabor!$F$17,IF(Nonlabor!$E$17="AI",Assumptions!$D$24,Assumptions!$D$25)))),AND(Nonlabor!$H$17="Annual",MOD(C2019-IF(Nonlabor!$E$17="Core",Nonlabor!$F$17,MAX(Nonlabor!$F$17,IF(Nonlabor!$E$17="AI",Assumptions!$D$24,Assumptions!$D$25))),12)=0))),IF(Nonlabor!$I$17="Fixed",1,IF(Nonlabor!$I$17="Seats",ROUNDUP('Monthly Base'!I39,0),IF(Nonlabor!$I$17="Customers",'Monthly Base'!D39,IF(Nonlabor!$I$17="NewCustomers",'Monthly Base'!C39,IF(Nonlabor!$I$17="StorageGB",'Monthly Base'!G39,IF(Nonlabor!$I$17="LogGB",'Monthly Base'!H39,IF(Nonlabor!$I$17="RequestsM",'Monthly Base'!F39,IF(Nonlabor!$I$17="InputM",'Monthly Base'!D39*Assumptions!$D$22/1000000,IF(Nonlabor!$I$17="OutputM",'Monthly Base'!D39*Assumptions!$D$23/1000000,0))))))))),0)</f>
        <v>1</v>
      </c>
      <c r="F2019" s="10" t="n">
        <f aca="false">Nonlabor!$J$17*(1+Assumptions!$D$9)^INT((C2019-1)/12)</f>
        <v>19096.2</v>
      </c>
      <c r="G2019" s="10" t="n">
        <f aca="false">E2019*F2019</f>
        <v>19096.2</v>
      </c>
      <c r="H2019" s="10" t="n">
        <f aca="false">IF(OR(Nonlabor!$L$17="Quote required",Nonlabor!$L$17="Unverified"),G2019,0)</f>
        <v>19096.2</v>
      </c>
      <c r="I2019" s="10" t="n">
        <f aca="false">IF(Nonlabor!$E$17="Core",0,G2019)</f>
        <v>0</v>
      </c>
      <c r="J2019" s="23" t="str">
        <f aca="false">Nonlabor!$B$17</f>
        <v>SECURITY</v>
      </c>
    </row>
    <row r="2020" customFormat="false" ht="15" hidden="false" customHeight="false" outlineLevel="0" collapsed="false">
      <c r="A2020" s="6" t="s">
        <v>4</v>
      </c>
      <c r="B2020" s="6" t="s">
        <v>410</v>
      </c>
      <c r="C2020" s="6" t="n">
        <v>35</v>
      </c>
      <c r="D2020" s="25" t="n">
        <f aca="false">EDATE('Start Here'!$B$6,C2020-1)</f>
        <v>47362</v>
      </c>
      <c r="E2020" s="23" t="n">
        <f aca="false">IF(AND(OR(Nonlabor!$D$17="Both",Nonlabor!$D$17='Start Here'!$B$9),IF(Nonlabor!$E$17="Core",1,IF(Nonlabor!$E$17="AI",'Start Here'!$B$7,'Start Here'!$B$8))=1,C2020&gt;=IF(Nonlabor!$E$17="Core",Nonlabor!$F$17,MAX(Nonlabor!$F$17,IF(Nonlabor!$E$17="AI",Assumptions!$D$24,Assumptions!$D$25))),C2020&lt;=Nonlabor!$G$17,OR(Nonlabor!$H$17="Monthly",AND(Nonlabor!$H$17="Once",C2020=IF(Nonlabor!$E$17="Core",Nonlabor!$F$17,MAX(Nonlabor!$F$17,IF(Nonlabor!$E$17="AI",Assumptions!$D$24,Assumptions!$D$25)))),AND(Nonlabor!$H$17="Annual",MOD(C2020-IF(Nonlabor!$E$17="Core",Nonlabor!$F$17,MAX(Nonlabor!$F$17,IF(Nonlabor!$E$17="AI",Assumptions!$D$24,Assumptions!$D$25))),12)=0))),IF(Nonlabor!$I$17="Fixed",1,IF(Nonlabor!$I$17="Seats",ROUNDUP('Monthly Base'!I40,0),IF(Nonlabor!$I$17="Customers",'Monthly Base'!D40,IF(Nonlabor!$I$17="NewCustomers",'Monthly Base'!C40,IF(Nonlabor!$I$17="StorageGB",'Monthly Base'!G40,IF(Nonlabor!$I$17="LogGB",'Monthly Base'!H40,IF(Nonlabor!$I$17="RequestsM",'Monthly Base'!F40,IF(Nonlabor!$I$17="InputM",'Monthly Base'!D40*Assumptions!$D$22/1000000,IF(Nonlabor!$I$17="OutputM",'Monthly Base'!D40*Assumptions!$D$23/1000000,0))))))))),0)</f>
        <v>0</v>
      </c>
      <c r="F2020" s="10" t="n">
        <f aca="false">Nonlabor!$J$17*(1+Assumptions!$D$9)^INT((C2020-1)/12)</f>
        <v>19096.2</v>
      </c>
      <c r="G2020" s="10" t="n">
        <f aca="false">E2020*F2020</f>
        <v>0</v>
      </c>
      <c r="H2020" s="10" t="n">
        <f aca="false">IF(OR(Nonlabor!$L$17="Quote required",Nonlabor!$L$17="Unverified"),G2020,0)</f>
        <v>0</v>
      </c>
      <c r="I2020" s="10" t="n">
        <f aca="false">IF(Nonlabor!$E$17="Core",0,G2020)</f>
        <v>0</v>
      </c>
      <c r="J2020" s="23" t="str">
        <f aca="false">Nonlabor!$B$17</f>
        <v>SECURITY</v>
      </c>
    </row>
    <row r="2021" customFormat="false" ht="15" hidden="false" customHeight="false" outlineLevel="0" collapsed="false">
      <c r="A2021" s="6" t="s">
        <v>4</v>
      </c>
      <c r="B2021" s="6" t="s">
        <v>410</v>
      </c>
      <c r="C2021" s="6" t="n">
        <v>36</v>
      </c>
      <c r="D2021" s="25" t="n">
        <f aca="false">EDATE('Start Here'!$B$6,C2021-1)</f>
        <v>47392</v>
      </c>
      <c r="E2021" s="23" t="n">
        <f aca="false">IF(AND(OR(Nonlabor!$D$17="Both",Nonlabor!$D$17='Start Here'!$B$9),IF(Nonlabor!$E$17="Core",1,IF(Nonlabor!$E$17="AI",'Start Here'!$B$7,'Start Here'!$B$8))=1,C2021&gt;=IF(Nonlabor!$E$17="Core",Nonlabor!$F$17,MAX(Nonlabor!$F$17,IF(Nonlabor!$E$17="AI",Assumptions!$D$24,Assumptions!$D$25))),C2021&lt;=Nonlabor!$G$17,OR(Nonlabor!$H$17="Monthly",AND(Nonlabor!$H$17="Once",C2021=IF(Nonlabor!$E$17="Core",Nonlabor!$F$17,MAX(Nonlabor!$F$17,IF(Nonlabor!$E$17="AI",Assumptions!$D$24,Assumptions!$D$25)))),AND(Nonlabor!$H$17="Annual",MOD(C2021-IF(Nonlabor!$E$17="Core",Nonlabor!$F$17,MAX(Nonlabor!$F$17,IF(Nonlabor!$E$17="AI",Assumptions!$D$24,Assumptions!$D$25))),12)=0))),IF(Nonlabor!$I$17="Fixed",1,IF(Nonlabor!$I$17="Seats",ROUNDUP('Monthly Base'!I41,0),IF(Nonlabor!$I$17="Customers",'Monthly Base'!D41,IF(Nonlabor!$I$17="NewCustomers",'Monthly Base'!C41,IF(Nonlabor!$I$17="StorageGB",'Monthly Base'!G41,IF(Nonlabor!$I$17="LogGB",'Monthly Base'!H41,IF(Nonlabor!$I$17="RequestsM",'Monthly Base'!F41,IF(Nonlabor!$I$17="InputM",'Monthly Base'!D41*Assumptions!$D$22/1000000,IF(Nonlabor!$I$17="OutputM",'Monthly Base'!D41*Assumptions!$D$23/1000000,0))))))))),0)</f>
        <v>0</v>
      </c>
      <c r="F2021" s="10" t="n">
        <f aca="false">Nonlabor!$J$17*(1+Assumptions!$D$9)^INT((C2021-1)/12)</f>
        <v>19096.2</v>
      </c>
      <c r="G2021" s="10" t="n">
        <f aca="false">E2021*F2021</f>
        <v>0</v>
      </c>
      <c r="H2021" s="10" t="n">
        <f aca="false">IF(OR(Nonlabor!$L$17="Quote required",Nonlabor!$L$17="Unverified"),G2021,0)</f>
        <v>0</v>
      </c>
      <c r="I2021" s="10" t="n">
        <f aca="false">IF(Nonlabor!$E$17="Core",0,G2021)</f>
        <v>0</v>
      </c>
      <c r="J2021" s="23" t="str">
        <f aca="false">Nonlabor!$B$17</f>
        <v>SECURITY</v>
      </c>
    </row>
    <row r="2022" customFormat="false" ht="15" hidden="false" customHeight="false" outlineLevel="0" collapsed="false">
      <c r="A2022" s="6" t="s">
        <v>4</v>
      </c>
      <c r="B2022" s="6" t="s">
        <v>410</v>
      </c>
      <c r="C2022" s="6" t="n">
        <v>37</v>
      </c>
      <c r="D2022" s="25" t="n">
        <f aca="false">EDATE('Start Here'!$B$6,C2022-1)</f>
        <v>47423</v>
      </c>
      <c r="E2022" s="23" t="n">
        <f aca="false">IF(AND(OR(Nonlabor!$D$17="Both",Nonlabor!$D$17='Start Here'!$B$9),IF(Nonlabor!$E$17="Core",1,IF(Nonlabor!$E$17="AI",'Start Here'!$B$7,'Start Here'!$B$8))=1,C2022&gt;=IF(Nonlabor!$E$17="Core",Nonlabor!$F$17,MAX(Nonlabor!$F$17,IF(Nonlabor!$E$17="AI",Assumptions!$D$24,Assumptions!$D$25))),C2022&lt;=Nonlabor!$G$17,OR(Nonlabor!$H$17="Monthly",AND(Nonlabor!$H$17="Once",C2022=IF(Nonlabor!$E$17="Core",Nonlabor!$F$17,MAX(Nonlabor!$F$17,IF(Nonlabor!$E$17="AI",Assumptions!$D$24,Assumptions!$D$25)))),AND(Nonlabor!$H$17="Annual",MOD(C2022-IF(Nonlabor!$E$17="Core",Nonlabor!$F$17,MAX(Nonlabor!$F$17,IF(Nonlabor!$E$17="AI",Assumptions!$D$24,Assumptions!$D$25))),12)=0))),IF(Nonlabor!$I$17="Fixed",1,IF(Nonlabor!$I$17="Seats",ROUNDUP('Monthly Base'!I42,0),IF(Nonlabor!$I$17="Customers",'Monthly Base'!D42,IF(Nonlabor!$I$17="NewCustomers",'Monthly Base'!C42,IF(Nonlabor!$I$17="StorageGB",'Monthly Base'!G42,IF(Nonlabor!$I$17="LogGB",'Monthly Base'!H42,IF(Nonlabor!$I$17="RequestsM",'Monthly Base'!F42,IF(Nonlabor!$I$17="InputM",'Monthly Base'!D42*Assumptions!$D$22/1000000,IF(Nonlabor!$I$17="OutputM",'Monthly Base'!D42*Assumptions!$D$23/1000000,0))))))))),0)</f>
        <v>0</v>
      </c>
      <c r="F2022" s="10" t="n">
        <f aca="false">Nonlabor!$J$17*(1+Assumptions!$D$9)^INT((C2022-1)/12)</f>
        <v>19669.086</v>
      </c>
      <c r="G2022" s="10" t="n">
        <f aca="false">E2022*F2022</f>
        <v>0</v>
      </c>
      <c r="H2022" s="10" t="n">
        <f aca="false">IF(OR(Nonlabor!$L$17="Quote required",Nonlabor!$L$17="Unverified"),G2022,0)</f>
        <v>0</v>
      </c>
      <c r="I2022" s="10" t="n">
        <f aca="false">IF(Nonlabor!$E$17="Core",0,G2022)</f>
        <v>0</v>
      </c>
      <c r="J2022" s="23" t="str">
        <f aca="false">Nonlabor!$B$17</f>
        <v>SECURITY</v>
      </c>
    </row>
    <row r="2023" customFormat="false" ht="15" hidden="false" customHeight="false" outlineLevel="0" collapsed="false">
      <c r="A2023" s="6" t="s">
        <v>4</v>
      </c>
      <c r="B2023" s="6" t="s">
        <v>410</v>
      </c>
      <c r="C2023" s="6" t="n">
        <v>38</v>
      </c>
      <c r="D2023" s="25" t="n">
        <f aca="false">EDATE('Start Here'!$B$6,C2023-1)</f>
        <v>47453</v>
      </c>
      <c r="E2023" s="23" t="n">
        <f aca="false">IF(AND(OR(Nonlabor!$D$17="Both",Nonlabor!$D$17='Start Here'!$B$9),IF(Nonlabor!$E$17="Core",1,IF(Nonlabor!$E$17="AI",'Start Here'!$B$7,'Start Here'!$B$8))=1,C2023&gt;=IF(Nonlabor!$E$17="Core",Nonlabor!$F$17,MAX(Nonlabor!$F$17,IF(Nonlabor!$E$17="AI",Assumptions!$D$24,Assumptions!$D$25))),C2023&lt;=Nonlabor!$G$17,OR(Nonlabor!$H$17="Monthly",AND(Nonlabor!$H$17="Once",C2023=IF(Nonlabor!$E$17="Core",Nonlabor!$F$17,MAX(Nonlabor!$F$17,IF(Nonlabor!$E$17="AI",Assumptions!$D$24,Assumptions!$D$25)))),AND(Nonlabor!$H$17="Annual",MOD(C2023-IF(Nonlabor!$E$17="Core",Nonlabor!$F$17,MAX(Nonlabor!$F$17,IF(Nonlabor!$E$17="AI",Assumptions!$D$24,Assumptions!$D$25))),12)=0))),IF(Nonlabor!$I$17="Fixed",1,IF(Nonlabor!$I$17="Seats",ROUNDUP('Monthly Base'!I43,0),IF(Nonlabor!$I$17="Customers",'Monthly Base'!D43,IF(Nonlabor!$I$17="NewCustomers",'Monthly Base'!C43,IF(Nonlabor!$I$17="StorageGB",'Monthly Base'!G43,IF(Nonlabor!$I$17="LogGB",'Monthly Base'!H43,IF(Nonlabor!$I$17="RequestsM",'Monthly Base'!F43,IF(Nonlabor!$I$17="InputM",'Monthly Base'!D43*Assumptions!$D$22/1000000,IF(Nonlabor!$I$17="OutputM",'Monthly Base'!D43*Assumptions!$D$23/1000000,0))))))))),0)</f>
        <v>0</v>
      </c>
      <c r="F2023" s="10" t="n">
        <f aca="false">Nonlabor!$J$17*(1+Assumptions!$D$9)^INT((C2023-1)/12)</f>
        <v>19669.086</v>
      </c>
      <c r="G2023" s="10" t="n">
        <f aca="false">E2023*F2023</f>
        <v>0</v>
      </c>
      <c r="H2023" s="10" t="n">
        <f aca="false">IF(OR(Nonlabor!$L$17="Quote required",Nonlabor!$L$17="Unverified"),G2023,0)</f>
        <v>0</v>
      </c>
      <c r="I2023" s="10" t="n">
        <f aca="false">IF(Nonlabor!$E$17="Core",0,G2023)</f>
        <v>0</v>
      </c>
      <c r="J2023" s="23" t="str">
        <f aca="false">Nonlabor!$B$17</f>
        <v>SECURITY</v>
      </c>
    </row>
    <row r="2024" customFormat="false" ht="15" hidden="false" customHeight="false" outlineLevel="0" collapsed="false">
      <c r="A2024" s="6" t="s">
        <v>4</v>
      </c>
      <c r="B2024" s="6" t="s">
        <v>410</v>
      </c>
      <c r="C2024" s="6" t="n">
        <v>39</v>
      </c>
      <c r="D2024" s="25" t="n">
        <f aca="false">EDATE('Start Here'!$B$6,C2024-1)</f>
        <v>47484</v>
      </c>
      <c r="E2024" s="23" t="n">
        <f aca="false">IF(AND(OR(Nonlabor!$D$17="Both",Nonlabor!$D$17='Start Here'!$B$9),IF(Nonlabor!$E$17="Core",1,IF(Nonlabor!$E$17="AI",'Start Here'!$B$7,'Start Here'!$B$8))=1,C2024&gt;=IF(Nonlabor!$E$17="Core",Nonlabor!$F$17,MAX(Nonlabor!$F$17,IF(Nonlabor!$E$17="AI",Assumptions!$D$24,Assumptions!$D$25))),C2024&lt;=Nonlabor!$G$17,OR(Nonlabor!$H$17="Monthly",AND(Nonlabor!$H$17="Once",C2024=IF(Nonlabor!$E$17="Core",Nonlabor!$F$17,MAX(Nonlabor!$F$17,IF(Nonlabor!$E$17="AI",Assumptions!$D$24,Assumptions!$D$25)))),AND(Nonlabor!$H$17="Annual",MOD(C2024-IF(Nonlabor!$E$17="Core",Nonlabor!$F$17,MAX(Nonlabor!$F$17,IF(Nonlabor!$E$17="AI",Assumptions!$D$24,Assumptions!$D$25))),12)=0))),IF(Nonlabor!$I$17="Fixed",1,IF(Nonlabor!$I$17="Seats",ROUNDUP('Monthly Base'!I44,0),IF(Nonlabor!$I$17="Customers",'Monthly Base'!D44,IF(Nonlabor!$I$17="NewCustomers",'Monthly Base'!C44,IF(Nonlabor!$I$17="StorageGB",'Monthly Base'!G44,IF(Nonlabor!$I$17="LogGB",'Monthly Base'!H44,IF(Nonlabor!$I$17="RequestsM",'Monthly Base'!F44,IF(Nonlabor!$I$17="InputM",'Monthly Base'!D44*Assumptions!$D$22/1000000,IF(Nonlabor!$I$17="OutputM",'Monthly Base'!D44*Assumptions!$D$23/1000000,0))))))))),0)</f>
        <v>0</v>
      </c>
      <c r="F2024" s="10" t="n">
        <f aca="false">Nonlabor!$J$17*(1+Assumptions!$D$9)^INT((C2024-1)/12)</f>
        <v>19669.086</v>
      </c>
      <c r="G2024" s="10" t="n">
        <f aca="false">E2024*F2024</f>
        <v>0</v>
      </c>
      <c r="H2024" s="10" t="n">
        <f aca="false">IF(OR(Nonlabor!$L$17="Quote required",Nonlabor!$L$17="Unverified"),G2024,0)</f>
        <v>0</v>
      </c>
      <c r="I2024" s="10" t="n">
        <f aca="false">IF(Nonlabor!$E$17="Core",0,G2024)</f>
        <v>0</v>
      </c>
      <c r="J2024" s="23" t="str">
        <f aca="false">Nonlabor!$B$17</f>
        <v>SECURITY</v>
      </c>
    </row>
    <row r="2025" customFormat="false" ht="15" hidden="false" customHeight="false" outlineLevel="0" collapsed="false">
      <c r="A2025" s="6" t="s">
        <v>4</v>
      </c>
      <c r="B2025" s="6" t="s">
        <v>410</v>
      </c>
      <c r="C2025" s="6" t="n">
        <v>40</v>
      </c>
      <c r="D2025" s="25" t="n">
        <f aca="false">EDATE('Start Here'!$B$6,C2025-1)</f>
        <v>47515</v>
      </c>
      <c r="E2025" s="23" t="n">
        <f aca="false">IF(AND(OR(Nonlabor!$D$17="Both",Nonlabor!$D$17='Start Here'!$B$9),IF(Nonlabor!$E$17="Core",1,IF(Nonlabor!$E$17="AI",'Start Here'!$B$7,'Start Here'!$B$8))=1,C2025&gt;=IF(Nonlabor!$E$17="Core",Nonlabor!$F$17,MAX(Nonlabor!$F$17,IF(Nonlabor!$E$17="AI",Assumptions!$D$24,Assumptions!$D$25))),C2025&lt;=Nonlabor!$G$17,OR(Nonlabor!$H$17="Monthly",AND(Nonlabor!$H$17="Once",C2025=IF(Nonlabor!$E$17="Core",Nonlabor!$F$17,MAX(Nonlabor!$F$17,IF(Nonlabor!$E$17="AI",Assumptions!$D$24,Assumptions!$D$25)))),AND(Nonlabor!$H$17="Annual",MOD(C2025-IF(Nonlabor!$E$17="Core",Nonlabor!$F$17,MAX(Nonlabor!$F$17,IF(Nonlabor!$E$17="AI",Assumptions!$D$24,Assumptions!$D$25))),12)=0))),IF(Nonlabor!$I$17="Fixed",1,IF(Nonlabor!$I$17="Seats",ROUNDUP('Monthly Base'!I45,0),IF(Nonlabor!$I$17="Customers",'Monthly Base'!D45,IF(Nonlabor!$I$17="NewCustomers",'Monthly Base'!C45,IF(Nonlabor!$I$17="StorageGB",'Monthly Base'!G45,IF(Nonlabor!$I$17="LogGB",'Monthly Base'!H45,IF(Nonlabor!$I$17="RequestsM",'Monthly Base'!F45,IF(Nonlabor!$I$17="InputM",'Monthly Base'!D45*Assumptions!$D$22/1000000,IF(Nonlabor!$I$17="OutputM",'Monthly Base'!D45*Assumptions!$D$23/1000000,0))))))))),0)</f>
        <v>0</v>
      </c>
      <c r="F2025" s="10" t="n">
        <f aca="false">Nonlabor!$J$17*(1+Assumptions!$D$9)^INT((C2025-1)/12)</f>
        <v>19669.086</v>
      </c>
      <c r="G2025" s="10" t="n">
        <f aca="false">E2025*F2025</f>
        <v>0</v>
      </c>
      <c r="H2025" s="10" t="n">
        <f aca="false">IF(OR(Nonlabor!$L$17="Quote required",Nonlabor!$L$17="Unverified"),G2025,0)</f>
        <v>0</v>
      </c>
      <c r="I2025" s="10" t="n">
        <f aca="false">IF(Nonlabor!$E$17="Core",0,G2025)</f>
        <v>0</v>
      </c>
      <c r="J2025" s="23" t="str">
        <f aca="false">Nonlabor!$B$17</f>
        <v>SECURITY</v>
      </c>
    </row>
    <row r="2026" customFormat="false" ht="15" hidden="false" customHeight="false" outlineLevel="0" collapsed="false">
      <c r="A2026" s="6" t="s">
        <v>4</v>
      </c>
      <c r="B2026" s="6" t="s">
        <v>410</v>
      </c>
      <c r="C2026" s="6" t="n">
        <v>41</v>
      </c>
      <c r="D2026" s="25" t="n">
        <f aca="false">EDATE('Start Here'!$B$6,C2026-1)</f>
        <v>47543</v>
      </c>
      <c r="E2026" s="23" t="n">
        <f aca="false">IF(AND(OR(Nonlabor!$D$17="Both",Nonlabor!$D$17='Start Here'!$B$9),IF(Nonlabor!$E$17="Core",1,IF(Nonlabor!$E$17="AI",'Start Here'!$B$7,'Start Here'!$B$8))=1,C2026&gt;=IF(Nonlabor!$E$17="Core",Nonlabor!$F$17,MAX(Nonlabor!$F$17,IF(Nonlabor!$E$17="AI",Assumptions!$D$24,Assumptions!$D$25))),C2026&lt;=Nonlabor!$G$17,OR(Nonlabor!$H$17="Monthly",AND(Nonlabor!$H$17="Once",C2026=IF(Nonlabor!$E$17="Core",Nonlabor!$F$17,MAX(Nonlabor!$F$17,IF(Nonlabor!$E$17="AI",Assumptions!$D$24,Assumptions!$D$25)))),AND(Nonlabor!$H$17="Annual",MOD(C2026-IF(Nonlabor!$E$17="Core",Nonlabor!$F$17,MAX(Nonlabor!$F$17,IF(Nonlabor!$E$17="AI",Assumptions!$D$24,Assumptions!$D$25))),12)=0))),IF(Nonlabor!$I$17="Fixed",1,IF(Nonlabor!$I$17="Seats",ROUNDUP('Monthly Base'!I46,0),IF(Nonlabor!$I$17="Customers",'Monthly Base'!D46,IF(Nonlabor!$I$17="NewCustomers",'Monthly Base'!C46,IF(Nonlabor!$I$17="StorageGB",'Monthly Base'!G46,IF(Nonlabor!$I$17="LogGB",'Monthly Base'!H46,IF(Nonlabor!$I$17="RequestsM",'Monthly Base'!F46,IF(Nonlabor!$I$17="InputM",'Monthly Base'!D46*Assumptions!$D$22/1000000,IF(Nonlabor!$I$17="OutputM",'Monthly Base'!D46*Assumptions!$D$23/1000000,0))))))))),0)</f>
        <v>0</v>
      </c>
      <c r="F2026" s="10" t="n">
        <f aca="false">Nonlabor!$J$17*(1+Assumptions!$D$9)^INT((C2026-1)/12)</f>
        <v>19669.086</v>
      </c>
      <c r="G2026" s="10" t="n">
        <f aca="false">E2026*F2026</f>
        <v>0</v>
      </c>
      <c r="H2026" s="10" t="n">
        <f aca="false">IF(OR(Nonlabor!$L$17="Quote required",Nonlabor!$L$17="Unverified"),G2026,0)</f>
        <v>0</v>
      </c>
      <c r="I2026" s="10" t="n">
        <f aca="false">IF(Nonlabor!$E$17="Core",0,G2026)</f>
        <v>0</v>
      </c>
      <c r="J2026" s="23" t="str">
        <f aca="false">Nonlabor!$B$17</f>
        <v>SECURITY</v>
      </c>
    </row>
    <row r="2027" customFormat="false" ht="15" hidden="false" customHeight="false" outlineLevel="0" collapsed="false">
      <c r="A2027" s="6" t="s">
        <v>4</v>
      </c>
      <c r="B2027" s="6" t="s">
        <v>410</v>
      </c>
      <c r="C2027" s="6" t="n">
        <v>42</v>
      </c>
      <c r="D2027" s="25" t="n">
        <f aca="false">EDATE('Start Here'!$B$6,C2027-1)</f>
        <v>47574</v>
      </c>
      <c r="E2027" s="23" t="n">
        <f aca="false">IF(AND(OR(Nonlabor!$D$17="Both",Nonlabor!$D$17='Start Here'!$B$9),IF(Nonlabor!$E$17="Core",1,IF(Nonlabor!$E$17="AI",'Start Here'!$B$7,'Start Here'!$B$8))=1,C2027&gt;=IF(Nonlabor!$E$17="Core",Nonlabor!$F$17,MAX(Nonlabor!$F$17,IF(Nonlabor!$E$17="AI",Assumptions!$D$24,Assumptions!$D$25))),C2027&lt;=Nonlabor!$G$17,OR(Nonlabor!$H$17="Monthly",AND(Nonlabor!$H$17="Once",C2027=IF(Nonlabor!$E$17="Core",Nonlabor!$F$17,MAX(Nonlabor!$F$17,IF(Nonlabor!$E$17="AI",Assumptions!$D$24,Assumptions!$D$25)))),AND(Nonlabor!$H$17="Annual",MOD(C2027-IF(Nonlabor!$E$17="Core",Nonlabor!$F$17,MAX(Nonlabor!$F$17,IF(Nonlabor!$E$17="AI",Assumptions!$D$24,Assumptions!$D$25))),12)=0))),IF(Nonlabor!$I$17="Fixed",1,IF(Nonlabor!$I$17="Seats",ROUNDUP('Monthly Base'!I47,0),IF(Nonlabor!$I$17="Customers",'Monthly Base'!D47,IF(Nonlabor!$I$17="NewCustomers",'Monthly Base'!C47,IF(Nonlabor!$I$17="StorageGB",'Monthly Base'!G47,IF(Nonlabor!$I$17="LogGB",'Monthly Base'!H47,IF(Nonlabor!$I$17="RequestsM",'Monthly Base'!F47,IF(Nonlabor!$I$17="InputM",'Monthly Base'!D47*Assumptions!$D$22/1000000,IF(Nonlabor!$I$17="OutputM",'Monthly Base'!D47*Assumptions!$D$23/1000000,0))))))))),0)</f>
        <v>0</v>
      </c>
      <c r="F2027" s="10" t="n">
        <f aca="false">Nonlabor!$J$17*(1+Assumptions!$D$9)^INT((C2027-1)/12)</f>
        <v>19669.086</v>
      </c>
      <c r="G2027" s="10" t="n">
        <f aca="false">E2027*F2027</f>
        <v>0</v>
      </c>
      <c r="H2027" s="10" t="n">
        <f aca="false">IF(OR(Nonlabor!$L$17="Quote required",Nonlabor!$L$17="Unverified"),G2027,0)</f>
        <v>0</v>
      </c>
      <c r="I2027" s="10" t="n">
        <f aca="false">IF(Nonlabor!$E$17="Core",0,G2027)</f>
        <v>0</v>
      </c>
      <c r="J2027" s="23" t="str">
        <f aca="false">Nonlabor!$B$17</f>
        <v>SECURITY</v>
      </c>
    </row>
    <row r="2028" customFormat="false" ht="15" hidden="false" customHeight="false" outlineLevel="0" collapsed="false">
      <c r="A2028" s="6" t="s">
        <v>4</v>
      </c>
      <c r="B2028" s="6" t="s">
        <v>410</v>
      </c>
      <c r="C2028" s="6" t="n">
        <v>43</v>
      </c>
      <c r="D2028" s="25" t="n">
        <f aca="false">EDATE('Start Here'!$B$6,C2028-1)</f>
        <v>47604</v>
      </c>
      <c r="E2028" s="23" t="n">
        <f aca="false">IF(AND(OR(Nonlabor!$D$17="Both",Nonlabor!$D$17='Start Here'!$B$9),IF(Nonlabor!$E$17="Core",1,IF(Nonlabor!$E$17="AI",'Start Here'!$B$7,'Start Here'!$B$8))=1,C2028&gt;=IF(Nonlabor!$E$17="Core",Nonlabor!$F$17,MAX(Nonlabor!$F$17,IF(Nonlabor!$E$17="AI",Assumptions!$D$24,Assumptions!$D$25))),C2028&lt;=Nonlabor!$G$17,OR(Nonlabor!$H$17="Monthly",AND(Nonlabor!$H$17="Once",C2028=IF(Nonlabor!$E$17="Core",Nonlabor!$F$17,MAX(Nonlabor!$F$17,IF(Nonlabor!$E$17="AI",Assumptions!$D$24,Assumptions!$D$25)))),AND(Nonlabor!$H$17="Annual",MOD(C2028-IF(Nonlabor!$E$17="Core",Nonlabor!$F$17,MAX(Nonlabor!$F$17,IF(Nonlabor!$E$17="AI",Assumptions!$D$24,Assumptions!$D$25))),12)=0))),IF(Nonlabor!$I$17="Fixed",1,IF(Nonlabor!$I$17="Seats",ROUNDUP('Monthly Base'!I48,0),IF(Nonlabor!$I$17="Customers",'Monthly Base'!D48,IF(Nonlabor!$I$17="NewCustomers",'Monthly Base'!C48,IF(Nonlabor!$I$17="StorageGB",'Monthly Base'!G48,IF(Nonlabor!$I$17="LogGB",'Monthly Base'!H48,IF(Nonlabor!$I$17="RequestsM",'Monthly Base'!F48,IF(Nonlabor!$I$17="InputM",'Monthly Base'!D48*Assumptions!$D$22/1000000,IF(Nonlabor!$I$17="OutputM",'Monthly Base'!D48*Assumptions!$D$23/1000000,0))))))))),0)</f>
        <v>0</v>
      </c>
      <c r="F2028" s="10" t="n">
        <f aca="false">Nonlabor!$J$17*(1+Assumptions!$D$9)^INT((C2028-1)/12)</f>
        <v>19669.086</v>
      </c>
      <c r="G2028" s="10" t="n">
        <f aca="false">E2028*F2028</f>
        <v>0</v>
      </c>
      <c r="H2028" s="10" t="n">
        <f aca="false">IF(OR(Nonlabor!$L$17="Quote required",Nonlabor!$L$17="Unverified"),G2028,0)</f>
        <v>0</v>
      </c>
      <c r="I2028" s="10" t="n">
        <f aca="false">IF(Nonlabor!$E$17="Core",0,G2028)</f>
        <v>0</v>
      </c>
      <c r="J2028" s="23" t="str">
        <f aca="false">Nonlabor!$B$17</f>
        <v>SECURITY</v>
      </c>
    </row>
    <row r="2029" customFormat="false" ht="15" hidden="false" customHeight="false" outlineLevel="0" collapsed="false">
      <c r="A2029" s="6" t="s">
        <v>4</v>
      </c>
      <c r="B2029" s="6" t="s">
        <v>410</v>
      </c>
      <c r="C2029" s="6" t="n">
        <v>44</v>
      </c>
      <c r="D2029" s="25" t="n">
        <f aca="false">EDATE('Start Here'!$B$6,C2029-1)</f>
        <v>47635</v>
      </c>
      <c r="E2029" s="23" t="n">
        <f aca="false">IF(AND(OR(Nonlabor!$D$17="Both",Nonlabor!$D$17='Start Here'!$B$9),IF(Nonlabor!$E$17="Core",1,IF(Nonlabor!$E$17="AI",'Start Here'!$B$7,'Start Here'!$B$8))=1,C2029&gt;=IF(Nonlabor!$E$17="Core",Nonlabor!$F$17,MAX(Nonlabor!$F$17,IF(Nonlabor!$E$17="AI",Assumptions!$D$24,Assumptions!$D$25))),C2029&lt;=Nonlabor!$G$17,OR(Nonlabor!$H$17="Monthly",AND(Nonlabor!$H$17="Once",C2029=IF(Nonlabor!$E$17="Core",Nonlabor!$F$17,MAX(Nonlabor!$F$17,IF(Nonlabor!$E$17="AI",Assumptions!$D$24,Assumptions!$D$25)))),AND(Nonlabor!$H$17="Annual",MOD(C2029-IF(Nonlabor!$E$17="Core",Nonlabor!$F$17,MAX(Nonlabor!$F$17,IF(Nonlabor!$E$17="AI",Assumptions!$D$24,Assumptions!$D$25))),12)=0))),IF(Nonlabor!$I$17="Fixed",1,IF(Nonlabor!$I$17="Seats",ROUNDUP('Monthly Base'!I49,0),IF(Nonlabor!$I$17="Customers",'Monthly Base'!D49,IF(Nonlabor!$I$17="NewCustomers",'Monthly Base'!C49,IF(Nonlabor!$I$17="StorageGB",'Monthly Base'!G49,IF(Nonlabor!$I$17="LogGB",'Monthly Base'!H49,IF(Nonlabor!$I$17="RequestsM",'Monthly Base'!F49,IF(Nonlabor!$I$17="InputM",'Monthly Base'!D49*Assumptions!$D$22/1000000,IF(Nonlabor!$I$17="OutputM",'Monthly Base'!D49*Assumptions!$D$23/1000000,0))))))))),0)</f>
        <v>0</v>
      </c>
      <c r="F2029" s="10" t="n">
        <f aca="false">Nonlabor!$J$17*(1+Assumptions!$D$9)^INT((C2029-1)/12)</f>
        <v>19669.086</v>
      </c>
      <c r="G2029" s="10" t="n">
        <f aca="false">E2029*F2029</f>
        <v>0</v>
      </c>
      <c r="H2029" s="10" t="n">
        <f aca="false">IF(OR(Nonlabor!$L$17="Quote required",Nonlabor!$L$17="Unverified"),G2029,0)</f>
        <v>0</v>
      </c>
      <c r="I2029" s="10" t="n">
        <f aca="false">IF(Nonlabor!$E$17="Core",0,G2029)</f>
        <v>0</v>
      </c>
      <c r="J2029" s="23" t="str">
        <f aca="false">Nonlabor!$B$17</f>
        <v>SECURITY</v>
      </c>
    </row>
    <row r="2030" customFormat="false" ht="15" hidden="false" customHeight="false" outlineLevel="0" collapsed="false">
      <c r="A2030" s="6" t="s">
        <v>4</v>
      </c>
      <c r="B2030" s="6" t="s">
        <v>410</v>
      </c>
      <c r="C2030" s="6" t="n">
        <v>45</v>
      </c>
      <c r="D2030" s="25" t="n">
        <f aca="false">EDATE('Start Here'!$B$6,C2030-1)</f>
        <v>47665</v>
      </c>
      <c r="E2030" s="23" t="n">
        <f aca="false">IF(AND(OR(Nonlabor!$D$17="Both",Nonlabor!$D$17='Start Here'!$B$9),IF(Nonlabor!$E$17="Core",1,IF(Nonlabor!$E$17="AI",'Start Here'!$B$7,'Start Here'!$B$8))=1,C2030&gt;=IF(Nonlabor!$E$17="Core",Nonlabor!$F$17,MAX(Nonlabor!$F$17,IF(Nonlabor!$E$17="AI",Assumptions!$D$24,Assumptions!$D$25))),C2030&lt;=Nonlabor!$G$17,OR(Nonlabor!$H$17="Monthly",AND(Nonlabor!$H$17="Once",C2030=IF(Nonlabor!$E$17="Core",Nonlabor!$F$17,MAX(Nonlabor!$F$17,IF(Nonlabor!$E$17="AI",Assumptions!$D$24,Assumptions!$D$25)))),AND(Nonlabor!$H$17="Annual",MOD(C2030-IF(Nonlabor!$E$17="Core",Nonlabor!$F$17,MAX(Nonlabor!$F$17,IF(Nonlabor!$E$17="AI",Assumptions!$D$24,Assumptions!$D$25))),12)=0))),IF(Nonlabor!$I$17="Fixed",1,IF(Nonlabor!$I$17="Seats",ROUNDUP('Monthly Base'!I50,0),IF(Nonlabor!$I$17="Customers",'Monthly Base'!D50,IF(Nonlabor!$I$17="NewCustomers",'Monthly Base'!C50,IF(Nonlabor!$I$17="StorageGB",'Monthly Base'!G50,IF(Nonlabor!$I$17="LogGB",'Monthly Base'!H50,IF(Nonlabor!$I$17="RequestsM",'Monthly Base'!F50,IF(Nonlabor!$I$17="InputM",'Monthly Base'!D50*Assumptions!$D$22/1000000,IF(Nonlabor!$I$17="OutputM",'Monthly Base'!D50*Assumptions!$D$23/1000000,0))))))))),0)</f>
        <v>0</v>
      </c>
      <c r="F2030" s="10" t="n">
        <f aca="false">Nonlabor!$J$17*(1+Assumptions!$D$9)^INT((C2030-1)/12)</f>
        <v>19669.086</v>
      </c>
      <c r="G2030" s="10" t="n">
        <f aca="false">E2030*F2030</f>
        <v>0</v>
      </c>
      <c r="H2030" s="10" t="n">
        <f aca="false">IF(OR(Nonlabor!$L$17="Quote required",Nonlabor!$L$17="Unverified"),G2030,0)</f>
        <v>0</v>
      </c>
      <c r="I2030" s="10" t="n">
        <f aca="false">IF(Nonlabor!$E$17="Core",0,G2030)</f>
        <v>0</v>
      </c>
      <c r="J2030" s="23" t="str">
        <f aca="false">Nonlabor!$B$17</f>
        <v>SECURITY</v>
      </c>
    </row>
    <row r="2031" customFormat="false" ht="15" hidden="false" customHeight="false" outlineLevel="0" collapsed="false">
      <c r="A2031" s="6" t="s">
        <v>4</v>
      </c>
      <c r="B2031" s="6" t="s">
        <v>410</v>
      </c>
      <c r="C2031" s="6" t="n">
        <v>46</v>
      </c>
      <c r="D2031" s="25" t="n">
        <f aca="false">EDATE('Start Here'!$B$6,C2031-1)</f>
        <v>47696</v>
      </c>
      <c r="E2031" s="23" t="n">
        <f aca="false">IF(AND(OR(Nonlabor!$D$17="Both",Nonlabor!$D$17='Start Here'!$B$9),IF(Nonlabor!$E$17="Core",1,IF(Nonlabor!$E$17="AI",'Start Here'!$B$7,'Start Here'!$B$8))=1,C2031&gt;=IF(Nonlabor!$E$17="Core",Nonlabor!$F$17,MAX(Nonlabor!$F$17,IF(Nonlabor!$E$17="AI",Assumptions!$D$24,Assumptions!$D$25))),C2031&lt;=Nonlabor!$G$17,OR(Nonlabor!$H$17="Monthly",AND(Nonlabor!$H$17="Once",C2031=IF(Nonlabor!$E$17="Core",Nonlabor!$F$17,MAX(Nonlabor!$F$17,IF(Nonlabor!$E$17="AI",Assumptions!$D$24,Assumptions!$D$25)))),AND(Nonlabor!$H$17="Annual",MOD(C2031-IF(Nonlabor!$E$17="Core",Nonlabor!$F$17,MAX(Nonlabor!$F$17,IF(Nonlabor!$E$17="AI",Assumptions!$D$24,Assumptions!$D$25))),12)=0))),IF(Nonlabor!$I$17="Fixed",1,IF(Nonlabor!$I$17="Seats",ROUNDUP('Monthly Base'!I51,0),IF(Nonlabor!$I$17="Customers",'Monthly Base'!D51,IF(Nonlabor!$I$17="NewCustomers",'Monthly Base'!C51,IF(Nonlabor!$I$17="StorageGB",'Monthly Base'!G51,IF(Nonlabor!$I$17="LogGB",'Monthly Base'!H51,IF(Nonlabor!$I$17="RequestsM",'Monthly Base'!F51,IF(Nonlabor!$I$17="InputM",'Monthly Base'!D51*Assumptions!$D$22/1000000,IF(Nonlabor!$I$17="OutputM",'Monthly Base'!D51*Assumptions!$D$23/1000000,0))))))))),0)</f>
        <v>1</v>
      </c>
      <c r="F2031" s="10" t="n">
        <f aca="false">Nonlabor!$J$17*(1+Assumptions!$D$9)^INT((C2031-1)/12)</f>
        <v>19669.086</v>
      </c>
      <c r="G2031" s="10" t="n">
        <f aca="false">E2031*F2031</f>
        <v>19669.086</v>
      </c>
      <c r="H2031" s="10" t="n">
        <f aca="false">IF(OR(Nonlabor!$L$17="Quote required",Nonlabor!$L$17="Unverified"),G2031,0)</f>
        <v>19669.086</v>
      </c>
      <c r="I2031" s="10" t="n">
        <f aca="false">IF(Nonlabor!$E$17="Core",0,G2031)</f>
        <v>0</v>
      </c>
      <c r="J2031" s="23" t="str">
        <f aca="false">Nonlabor!$B$17</f>
        <v>SECURITY</v>
      </c>
    </row>
    <row r="2032" customFormat="false" ht="15" hidden="false" customHeight="false" outlineLevel="0" collapsed="false">
      <c r="A2032" s="6" t="s">
        <v>4</v>
      </c>
      <c r="B2032" s="6" t="s">
        <v>410</v>
      </c>
      <c r="C2032" s="6" t="n">
        <v>47</v>
      </c>
      <c r="D2032" s="25" t="n">
        <f aca="false">EDATE('Start Here'!$B$6,C2032-1)</f>
        <v>47727</v>
      </c>
      <c r="E2032" s="23" t="n">
        <f aca="false">IF(AND(OR(Nonlabor!$D$17="Both",Nonlabor!$D$17='Start Here'!$B$9),IF(Nonlabor!$E$17="Core",1,IF(Nonlabor!$E$17="AI",'Start Here'!$B$7,'Start Here'!$B$8))=1,C2032&gt;=IF(Nonlabor!$E$17="Core",Nonlabor!$F$17,MAX(Nonlabor!$F$17,IF(Nonlabor!$E$17="AI",Assumptions!$D$24,Assumptions!$D$25))),C2032&lt;=Nonlabor!$G$17,OR(Nonlabor!$H$17="Monthly",AND(Nonlabor!$H$17="Once",C2032=IF(Nonlabor!$E$17="Core",Nonlabor!$F$17,MAX(Nonlabor!$F$17,IF(Nonlabor!$E$17="AI",Assumptions!$D$24,Assumptions!$D$25)))),AND(Nonlabor!$H$17="Annual",MOD(C2032-IF(Nonlabor!$E$17="Core",Nonlabor!$F$17,MAX(Nonlabor!$F$17,IF(Nonlabor!$E$17="AI",Assumptions!$D$24,Assumptions!$D$25))),12)=0))),IF(Nonlabor!$I$17="Fixed",1,IF(Nonlabor!$I$17="Seats",ROUNDUP('Monthly Base'!I52,0),IF(Nonlabor!$I$17="Customers",'Monthly Base'!D52,IF(Nonlabor!$I$17="NewCustomers",'Monthly Base'!C52,IF(Nonlabor!$I$17="StorageGB",'Monthly Base'!G52,IF(Nonlabor!$I$17="LogGB",'Monthly Base'!H52,IF(Nonlabor!$I$17="RequestsM",'Monthly Base'!F52,IF(Nonlabor!$I$17="InputM",'Monthly Base'!D52*Assumptions!$D$22/1000000,IF(Nonlabor!$I$17="OutputM",'Monthly Base'!D52*Assumptions!$D$23/1000000,0))))))))),0)</f>
        <v>0</v>
      </c>
      <c r="F2032" s="10" t="n">
        <f aca="false">Nonlabor!$J$17*(1+Assumptions!$D$9)^INT((C2032-1)/12)</f>
        <v>19669.086</v>
      </c>
      <c r="G2032" s="10" t="n">
        <f aca="false">E2032*F2032</f>
        <v>0</v>
      </c>
      <c r="H2032" s="10" t="n">
        <f aca="false">IF(OR(Nonlabor!$L$17="Quote required",Nonlabor!$L$17="Unverified"),G2032,0)</f>
        <v>0</v>
      </c>
      <c r="I2032" s="10" t="n">
        <f aca="false">IF(Nonlabor!$E$17="Core",0,G2032)</f>
        <v>0</v>
      </c>
      <c r="J2032" s="23" t="str">
        <f aca="false">Nonlabor!$B$17</f>
        <v>SECURITY</v>
      </c>
    </row>
    <row r="2033" customFormat="false" ht="15" hidden="false" customHeight="false" outlineLevel="0" collapsed="false">
      <c r="A2033" s="6" t="s">
        <v>4</v>
      </c>
      <c r="B2033" s="6" t="s">
        <v>410</v>
      </c>
      <c r="C2033" s="6" t="n">
        <v>48</v>
      </c>
      <c r="D2033" s="25" t="n">
        <f aca="false">EDATE('Start Here'!$B$6,C2033-1)</f>
        <v>47757</v>
      </c>
      <c r="E2033" s="23" t="n">
        <f aca="false">IF(AND(OR(Nonlabor!$D$17="Both",Nonlabor!$D$17='Start Here'!$B$9),IF(Nonlabor!$E$17="Core",1,IF(Nonlabor!$E$17="AI",'Start Here'!$B$7,'Start Here'!$B$8))=1,C2033&gt;=IF(Nonlabor!$E$17="Core",Nonlabor!$F$17,MAX(Nonlabor!$F$17,IF(Nonlabor!$E$17="AI",Assumptions!$D$24,Assumptions!$D$25))),C2033&lt;=Nonlabor!$G$17,OR(Nonlabor!$H$17="Monthly",AND(Nonlabor!$H$17="Once",C2033=IF(Nonlabor!$E$17="Core",Nonlabor!$F$17,MAX(Nonlabor!$F$17,IF(Nonlabor!$E$17="AI",Assumptions!$D$24,Assumptions!$D$25)))),AND(Nonlabor!$H$17="Annual",MOD(C2033-IF(Nonlabor!$E$17="Core",Nonlabor!$F$17,MAX(Nonlabor!$F$17,IF(Nonlabor!$E$17="AI",Assumptions!$D$24,Assumptions!$D$25))),12)=0))),IF(Nonlabor!$I$17="Fixed",1,IF(Nonlabor!$I$17="Seats",ROUNDUP('Monthly Base'!I53,0),IF(Nonlabor!$I$17="Customers",'Monthly Base'!D53,IF(Nonlabor!$I$17="NewCustomers",'Monthly Base'!C53,IF(Nonlabor!$I$17="StorageGB",'Monthly Base'!G53,IF(Nonlabor!$I$17="LogGB",'Monthly Base'!H53,IF(Nonlabor!$I$17="RequestsM",'Monthly Base'!F53,IF(Nonlabor!$I$17="InputM",'Monthly Base'!D53*Assumptions!$D$22/1000000,IF(Nonlabor!$I$17="OutputM",'Monthly Base'!D53*Assumptions!$D$23/1000000,0))))))))),0)</f>
        <v>0</v>
      </c>
      <c r="F2033" s="10" t="n">
        <f aca="false">Nonlabor!$J$17*(1+Assumptions!$D$9)^INT((C2033-1)/12)</f>
        <v>19669.086</v>
      </c>
      <c r="G2033" s="10" t="n">
        <f aca="false">E2033*F2033</f>
        <v>0</v>
      </c>
      <c r="H2033" s="10" t="n">
        <f aca="false">IF(OR(Nonlabor!$L$17="Quote required",Nonlabor!$L$17="Unverified"),G2033,0)</f>
        <v>0</v>
      </c>
      <c r="I2033" s="10" t="n">
        <f aca="false">IF(Nonlabor!$E$17="Core",0,G2033)</f>
        <v>0</v>
      </c>
      <c r="J2033" s="23" t="str">
        <f aca="false">Nonlabor!$B$17</f>
        <v>SECURITY</v>
      </c>
    </row>
    <row r="2034" customFormat="false" ht="15" hidden="false" customHeight="false" outlineLevel="0" collapsed="false">
      <c r="A2034" s="6" t="s">
        <v>4</v>
      </c>
      <c r="B2034" s="6" t="s">
        <v>410</v>
      </c>
      <c r="C2034" s="6" t="n">
        <v>49</v>
      </c>
      <c r="D2034" s="25" t="n">
        <f aca="false">EDATE('Start Here'!$B$6,C2034-1)</f>
        <v>47788</v>
      </c>
      <c r="E2034" s="23" t="n">
        <f aca="false">IF(AND(OR(Nonlabor!$D$17="Both",Nonlabor!$D$17='Start Here'!$B$9),IF(Nonlabor!$E$17="Core",1,IF(Nonlabor!$E$17="AI",'Start Here'!$B$7,'Start Here'!$B$8))=1,C2034&gt;=IF(Nonlabor!$E$17="Core",Nonlabor!$F$17,MAX(Nonlabor!$F$17,IF(Nonlabor!$E$17="AI",Assumptions!$D$24,Assumptions!$D$25))),C2034&lt;=Nonlabor!$G$17,OR(Nonlabor!$H$17="Monthly",AND(Nonlabor!$H$17="Once",C2034=IF(Nonlabor!$E$17="Core",Nonlabor!$F$17,MAX(Nonlabor!$F$17,IF(Nonlabor!$E$17="AI",Assumptions!$D$24,Assumptions!$D$25)))),AND(Nonlabor!$H$17="Annual",MOD(C2034-IF(Nonlabor!$E$17="Core",Nonlabor!$F$17,MAX(Nonlabor!$F$17,IF(Nonlabor!$E$17="AI",Assumptions!$D$24,Assumptions!$D$25))),12)=0))),IF(Nonlabor!$I$17="Fixed",1,IF(Nonlabor!$I$17="Seats",ROUNDUP('Monthly Base'!I54,0),IF(Nonlabor!$I$17="Customers",'Monthly Base'!D54,IF(Nonlabor!$I$17="NewCustomers",'Monthly Base'!C54,IF(Nonlabor!$I$17="StorageGB",'Monthly Base'!G54,IF(Nonlabor!$I$17="LogGB",'Monthly Base'!H54,IF(Nonlabor!$I$17="RequestsM",'Monthly Base'!F54,IF(Nonlabor!$I$17="InputM",'Monthly Base'!D54*Assumptions!$D$22/1000000,IF(Nonlabor!$I$17="OutputM",'Monthly Base'!D54*Assumptions!$D$23/1000000,0))))))))),0)</f>
        <v>0</v>
      </c>
      <c r="F2034" s="10" t="n">
        <f aca="false">Nonlabor!$J$17*(1+Assumptions!$D$9)^INT((C2034-1)/12)</f>
        <v>20259.15858</v>
      </c>
      <c r="G2034" s="10" t="n">
        <f aca="false">E2034*F2034</f>
        <v>0</v>
      </c>
      <c r="H2034" s="10" t="n">
        <f aca="false">IF(OR(Nonlabor!$L$17="Quote required",Nonlabor!$L$17="Unverified"),G2034,0)</f>
        <v>0</v>
      </c>
      <c r="I2034" s="10" t="n">
        <f aca="false">IF(Nonlabor!$E$17="Core",0,G2034)</f>
        <v>0</v>
      </c>
      <c r="J2034" s="23" t="str">
        <f aca="false">Nonlabor!$B$17</f>
        <v>SECURITY</v>
      </c>
    </row>
    <row r="2035" customFormat="false" ht="15" hidden="false" customHeight="false" outlineLevel="0" collapsed="false">
      <c r="A2035" s="6" t="s">
        <v>4</v>
      </c>
      <c r="B2035" s="6" t="s">
        <v>410</v>
      </c>
      <c r="C2035" s="6" t="n">
        <v>50</v>
      </c>
      <c r="D2035" s="25" t="n">
        <f aca="false">EDATE('Start Here'!$B$6,C2035-1)</f>
        <v>47818</v>
      </c>
      <c r="E2035" s="23" t="n">
        <f aca="false">IF(AND(OR(Nonlabor!$D$17="Both",Nonlabor!$D$17='Start Here'!$B$9),IF(Nonlabor!$E$17="Core",1,IF(Nonlabor!$E$17="AI",'Start Here'!$B$7,'Start Here'!$B$8))=1,C2035&gt;=IF(Nonlabor!$E$17="Core",Nonlabor!$F$17,MAX(Nonlabor!$F$17,IF(Nonlabor!$E$17="AI",Assumptions!$D$24,Assumptions!$D$25))),C2035&lt;=Nonlabor!$G$17,OR(Nonlabor!$H$17="Monthly",AND(Nonlabor!$H$17="Once",C2035=IF(Nonlabor!$E$17="Core",Nonlabor!$F$17,MAX(Nonlabor!$F$17,IF(Nonlabor!$E$17="AI",Assumptions!$D$24,Assumptions!$D$25)))),AND(Nonlabor!$H$17="Annual",MOD(C2035-IF(Nonlabor!$E$17="Core",Nonlabor!$F$17,MAX(Nonlabor!$F$17,IF(Nonlabor!$E$17="AI",Assumptions!$D$24,Assumptions!$D$25))),12)=0))),IF(Nonlabor!$I$17="Fixed",1,IF(Nonlabor!$I$17="Seats",ROUNDUP('Monthly Base'!I55,0),IF(Nonlabor!$I$17="Customers",'Monthly Base'!D55,IF(Nonlabor!$I$17="NewCustomers",'Monthly Base'!C55,IF(Nonlabor!$I$17="StorageGB",'Monthly Base'!G55,IF(Nonlabor!$I$17="LogGB",'Monthly Base'!H55,IF(Nonlabor!$I$17="RequestsM",'Monthly Base'!F55,IF(Nonlabor!$I$17="InputM",'Monthly Base'!D55*Assumptions!$D$22/1000000,IF(Nonlabor!$I$17="OutputM",'Monthly Base'!D55*Assumptions!$D$23/1000000,0))))))))),0)</f>
        <v>0</v>
      </c>
      <c r="F2035" s="10" t="n">
        <f aca="false">Nonlabor!$J$17*(1+Assumptions!$D$9)^INT((C2035-1)/12)</f>
        <v>20259.15858</v>
      </c>
      <c r="G2035" s="10" t="n">
        <f aca="false">E2035*F2035</f>
        <v>0</v>
      </c>
      <c r="H2035" s="10" t="n">
        <f aca="false">IF(OR(Nonlabor!$L$17="Quote required",Nonlabor!$L$17="Unverified"),G2035,0)</f>
        <v>0</v>
      </c>
      <c r="I2035" s="10" t="n">
        <f aca="false">IF(Nonlabor!$E$17="Core",0,G2035)</f>
        <v>0</v>
      </c>
      <c r="J2035" s="23" t="str">
        <f aca="false">Nonlabor!$B$17</f>
        <v>SECURITY</v>
      </c>
    </row>
    <row r="2036" customFormat="false" ht="15" hidden="false" customHeight="false" outlineLevel="0" collapsed="false">
      <c r="A2036" s="6" t="s">
        <v>4</v>
      </c>
      <c r="B2036" s="6" t="s">
        <v>410</v>
      </c>
      <c r="C2036" s="6" t="n">
        <v>51</v>
      </c>
      <c r="D2036" s="25" t="n">
        <f aca="false">EDATE('Start Here'!$B$6,C2036-1)</f>
        <v>47849</v>
      </c>
      <c r="E2036" s="23" t="n">
        <f aca="false">IF(AND(OR(Nonlabor!$D$17="Both",Nonlabor!$D$17='Start Here'!$B$9),IF(Nonlabor!$E$17="Core",1,IF(Nonlabor!$E$17="AI",'Start Here'!$B$7,'Start Here'!$B$8))=1,C2036&gt;=IF(Nonlabor!$E$17="Core",Nonlabor!$F$17,MAX(Nonlabor!$F$17,IF(Nonlabor!$E$17="AI",Assumptions!$D$24,Assumptions!$D$25))),C2036&lt;=Nonlabor!$G$17,OR(Nonlabor!$H$17="Monthly",AND(Nonlabor!$H$17="Once",C2036=IF(Nonlabor!$E$17="Core",Nonlabor!$F$17,MAX(Nonlabor!$F$17,IF(Nonlabor!$E$17="AI",Assumptions!$D$24,Assumptions!$D$25)))),AND(Nonlabor!$H$17="Annual",MOD(C2036-IF(Nonlabor!$E$17="Core",Nonlabor!$F$17,MAX(Nonlabor!$F$17,IF(Nonlabor!$E$17="AI",Assumptions!$D$24,Assumptions!$D$25))),12)=0))),IF(Nonlabor!$I$17="Fixed",1,IF(Nonlabor!$I$17="Seats",ROUNDUP('Monthly Base'!I56,0),IF(Nonlabor!$I$17="Customers",'Monthly Base'!D56,IF(Nonlabor!$I$17="NewCustomers",'Monthly Base'!C56,IF(Nonlabor!$I$17="StorageGB",'Monthly Base'!G56,IF(Nonlabor!$I$17="LogGB",'Monthly Base'!H56,IF(Nonlabor!$I$17="RequestsM",'Monthly Base'!F56,IF(Nonlabor!$I$17="InputM",'Monthly Base'!D56*Assumptions!$D$22/1000000,IF(Nonlabor!$I$17="OutputM",'Monthly Base'!D56*Assumptions!$D$23/1000000,0))))))))),0)</f>
        <v>0</v>
      </c>
      <c r="F2036" s="10" t="n">
        <f aca="false">Nonlabor!$J$17*(1+Assumptions!$D$9)^INT((C2036-1)/12)</f>
        <v>20259.15858</v>
      </c>
      <c r="G2036" s="10" t="n">
        <f aca="false">E2036*F2036</f>
        <v>0</v>
      </c>
      <c r="H2036" s="10" t="n">
        <f aca="false">IF(OR(Nonlabor!$L$17="Quote required",Nonlabor!$L$17="Unverified"),G2036,0)</f>
        <v>0</v>
      </c>
      <c r="I2036" s="10" t="n">
        <f aca="false">IF(Nonlabor!$E$17="Core",0,G2036)</f>
        <v>0</v>
      </c>
      <c r="J2036" s="23" t="str">
        <f aca="false">Nonlabor!$B$17</f>
        <v>SECURITY</v>
      </c>
    </row>
    <row r="2037" customFormat="false" ht="15" hidden="false" customHeight="false" outlineLevel="0" collapsed="false">
      <c r="A2037" s="6" t="s">
        <v>4</v>
      </c>
      <c r="B2037" s="6" t="s">
        <v>410</v>
      </c>
      <c r="C2037" s="6" t="n">
        <v>52</v>
      </c>
      <c r="D2037" s="25" t="n">
        <f aca="false">EDATE('Start Here'!$B$6,C2037-1)</f>
        <v>47880</v>
      </c>
      <c r="E2037" s="23" t="n">
        <f aca="false">IF(AND(OR(Nonlabor!$D$17="Both",Nonlabor!$D$17='Start Here'!$B$9),IF(Nonlabor!$E$17="Core",1,IF(Nonlabor!$E$17="AI",'Start Here'!$B$7,'Start Here'!$B$8))=1,C2037&gt;=IF(Nonlabor!$E$17="Core",Nonlabor!$F$17,MAX(Nonlabor!$F$17,IF(Nonlabor!$E$17="AI",Assumptions!$D$24,Assumptions!$D$25))),C2037&lt;=Nonlabor!$G$17,OR(Nonlabor!$H$17="Monthly",AND(Nonlabor!$H$17="Once",C2037=IF(Nonlabor!$E$17="Core",Nonlabor!$F$17,MAX(Nonlabor!$F$17,IF(Nonlabor!$E$17="AI",Assumptions!$D$24,Assumptions!$D$25)))),AND(Nonlabor!$H$17="Annual",MOD(C2037-IF(Nonlabor!$E$17="Core",Nonlabor!$F$17,MAX(Nonlabor!$F$17,IF(Nonlabor!$E$17="AI",Assumptions!$D$24,Assumptions!$D$25))),12)=0))),IF(Nonlabor!$I$17="Fixed",1,IF(Nonlabor!$I$17="Seats",ROUNDUP('Monthly Base'!I57,0),IF(Nonlabor!$I$17="Customers",'Monthly Base'!D57,IF(Nonlabor!$I$17="NewCustomers",'Monthly Base'!C57,IF(Nonlabor!$I$17="StorageGB",'Monthly Base'!G57,IF(Nonlabor!$I$17="LogGB",'Monthly Base'!H57,IF(Nonlabor!$I$17="RequestsM",'Monthly Base'!F57,IF(Nonlabor!$I$17="InputM",'Monthly Base'!D57*Assumptions!$D$22/1000000,IF(Nonlabor!$I$17="OutputM",'Monthly Base'!D57*Assumptions!$D$23/1000000,0))))))))),0)</f>
        <v>0</v>
      </c>
      <c r="F2037" s="10" t="n">
        <f aca="false">Nonlabor!$J$17*(1+Assumptions!$D$9)^INT((C2037-1)/12)</f>
        <v>20259.15858</v>
      </c>
      <c r="G2037" s="10" t="n">
        <f aca="false">E2037*F2037</f>
        <v>0</v>
      </c>
      <c r="H2037" s="10" t="n">
        <f aca="false">IF(OR(Nonlabor!$L$17="Quote required",Nonlabor!$L$17="Unverified"),G2037,0)</f>
        <v>0</v>
      </c>
      <c r="I2037" s="10" t="n">
        <f aca="false">IF(Nonlabor!$E$17="Core",0,G2037)</f>
        <v>0</v>
      </c>
      <c r="J2037" s="23" t="str">
        <f aca="false">Nonlabor!$B$17</f>
        <v>SECURITY</v>
      </c>
    </row>
    <row r="2038" customFormat="false" ht="15" hidden="false" customHeight="false" outlineLevel="0" collapsed="false">
      <c r="A2038" s="6" t="s">
        <v>4</v>
      </c>
      <c r="B2038" s="6" t="s">
        <v>410</v>
      </c>
      <c r="C2038" s="6" t="n">
        <v>53</v>
      </c>
      <c r="D2038" s="25" t="n">
        <f aca="false">EDATE('Start Here'!$B$6,C2038-1)</f>
        <v>47908</v>
      </c>
      <c r="E2038" s="23" t="n">
        <f aca="false">IF(AND(OR(Nonlabor!$D$17="Both",Nonlabor!$D$17='Start Here'!$B$9),IF(Nonlabor!$E$17="Core",1,IF(Nonlabor!$E$17="AI",'Start Here'!$B$7,'Start Here'!$B$8))=1,C2038&gt;=IF(Nonlabor!$E$17="Core",Nonlabor!$F$17,MAX(Nonlabor!$F$17,IF(Nonlabor!$E$17="AI",Assumptions!$D$24,Assumptions!$D$25))),C2038&lt;=Nonlabor!$G$17,OR(Nonlabor!$H$17="Monthly",AND(Nonlabor!$H$17="Once",C2038=IF(Nonlabor!$E$17="Core",Nonlabor!$F$17,MAX(Nonlabor!$F$17,IF(Nonlabor!$E$17="AI",Assumptions!$D$24,Assumptions!$D$25)))),AND(Nonlabor!$H$17="Annual",MOD(C2038-IF(Nonlabor!$E$17="Core",Nonlabor!$F$17,MAX(Nonlabor!$F$17,IF(Nonlabor!$E$17="AI",Assumptions!$D$24,Assumptions!$D$25))),12)=0))),IF(Nonlabor!$I$17="Fixed",1,IF(Nonlabor!$I$17="Seats",ROUNDUP('Monthly Base'!I58,0),IF(Nonlabor!$I$17="Customers",'Monthly Base'!D58,IF(Nonlabor!$I$17="NewCustomers",'Monthly Base'!C58,IF(Nonlabor!$I$17="StorageGB",'Monthly Base'!G58,IF(Nonlabor!$I$17="LogGB",'Monthly Base'!H58,IF(Nonlabor!$I$17="RequestsM",'Monthly Base'!F58,IF(Nonlabor!$I$17="InputM",'Monthly Base'!D58*Assumptions!$D$22/1000000,IF(Nonlabor!$I$17="OutputM",'Monthly Base'!D58*Assumptions!$D$23/1000000,0))))))))),0)</f>
        <v>0</v>
      </c>
      <c r="F2038" s="10" t="n">
        <f aca="false">Nonlabor!$J$17*(1+Assumptions!$D$9)^INT((C2038-1)/12)</f>
        <v>20259.15858</v>
      </c>
      <c r="G2038" s="10" t="n">
        <f aca="false">E2038*F2038</f>
        <v>0</v>
      </c>
      <c r="H2038" s="10" t="n">
        <f aca="false">IF(OR(Nonlabor!$L$17="Quote required",Nonlabor!$L$17="Unverified"),G2038,0)</f>
        <v>0</v>
      </c>
      <c r="I2038" s="10" t="n">
        <f aca="false">IF(Nonlabor!$E$17="Core",0,G2038)</f>
        <v>0</v>
      </c>
      <c r="J2038" s="23" t="str">
        <f aca="false">Nonlabor!$B$17</f>
        <v>SECURITY</v>
      </c>
    </row>
    <row r="2039" customFormat="false" ht="15" hidden="false" customHeight="false" outlineLevel="0" collapsed="false">
      <c r="A2039" s="6" t="s">
        <v>4</v>
      </c>
      <c r="B2039" s="6" t="s">
        <v>410</v>
      </c>
      <c r="C2039" s="6" t="n">
        <v>54</v>
      </c>
      <c r="D2039" s="25" t="n">
        <f aca="false">EDATE('Start Here'!$B$6,C2039-1)</f>
        <v>47939</v>
      </c>
      <c r="E2039" s="23" t="n">
        <f aca="false">IF(AND(OR(Nonlabor!$D$17="Both",Nonlabor!$D$17='Start Here'!$B$9),IF(Nonlabor!$E$17="Core",1,IF(Nonlabor!$E$17="AI",'Start Here'!$B$7,'Start Here'!$B$8))=1,C2039&gt;=IF(Nonlabor!$E$17="Core",Nonlabor!$F$17,MAX(Nonlabor!$F$17,IF(Nonlabor!$E$17="AI",Assumptions!$D$24,Assumptions!$D$25))),C2039&lt;=Nonlabor!$G$17,OR(Nonlabor!$H$17="Monthly",AND(Nonlabor!$H$17="Once",C2039=IF(Nonlabor!$E$17="Core",Nonlabor!$F$17,MAX(Nonlabor!$F$17,IF(Nonlabor!$E$17="AI",Assumptions!$D$24,Assumptions!$D$25)))),AND(Nonlabor!$H$17="Annual",MOD(C2039-IF(Nonlabor!$E$17="Core",Nonlabor!$F$17,MAX(Nonlabor!$F$17,IF(Nonlabor!$E$17="AI",Assumptions!$D$24,Assumptions!$D$25))),12)=0))),IF(Nonlabor!$I$17="Fixed",1,IF(Nonlabor!$I$17="Seats",ROUNDUP('Monthly Base'!I59,0),IF(Nonlabor!$I$17="Customers",'Monthly Base'!D59,IF(Nonlabor!$I$17="NewCustomers",'Monthly Base'!C59,IF(Nonlabor!$I$17="StorageGB",'Monthly Base'!G59,IF(Nonlabor!$I$17="LogGB",'Monthly Base'!H59,IF(Nonlabor!$I$17="RequestsM",'Monthly Base'!F59,IF(Nonlabor!$I$17="InputM",'Monthly Base'!D59*Assumptions!$D$22/1000000,IF(Nonlabor!$I$17="OutputM",'Monthly Base'!D59*Assumptions!$D$23/1000000,0))))))))),0)</f>
        <v>0</v>
      </c>
      <c r="F2039" s="10" t="n">
        <f aca="false">Nonlabor!$J$17*(1+Assumptions!$D$9)^INT((C2039-1)/12)</f>
        <v>20259.15858</v>
      </c>
      <c r="G2039" s="10" t="n">
        <f aca="false">E2039*F2039</f>
        <v>0</v>
      </c>
      <c r="H2039" s="10" t="n">
        <f aca="false">IF(OR(Nonlabor!$L$17="Quote required",Nonlabor!$L$17="Unverified"),G2039,0)</f>
        <v>0</v>
      </c>
      <c r="I2039" s="10" t="n">
        <f aca="false">IF(Nonlabor!$E$17="Core",0,G2039)</f>
        <v>0</v>
      </c>
      <c r="J2039" s="23" t="str">
        <f aca="false">Nonlabor!$B$17</f>
        <v>SECURITY</v>
      </c>
    </row>
    <row r="2040" customFormat="false" ht="15" hidden="false" customHeight="false" outlineLevel="0" collapsed="false">
      <c r="A2040" s="6" t="s">
        <v>4</v>
      </c>
      <c r="B2040" s="6" t="s">
        <v>410</v>
      </c>
      <c r="C2040" s="6" t="n">
        <v>55</v>
      </c>
      <c r="D2040" s="25" t="n">
        <f aca="false">EDATE('Start Here'!$B$6,C2040-1)</f>
        <v>47969</v>
      </c>
      <c r="E2040" s="23" t="n">
        <f aca="false">IF(AND(OR(Nonlabor!$D$17="Both",Nonlabor!$D$17='Start Here'!$B$9),IF(Nonlabor!$E$17="Core",1,IF(Nonlabor!$E$17="AI",'Start Here'!$B$7,'Start Here'!$B$8))=1,C2040&gt;=IF(Nonlabor!$E$17="Core",Nonlabor!$F$17,MAX(Nonlabor!$F$17,IF(Nonlabor!$E$17="AI",Assumptions!$D$24,Assumptions!$D$25))),C2040&lt;=Nonlabor!$G$17,OR(Nonlabor!$H$17="Monthly",AND(Nonlabor!$H$17="Once",C2040=IF(Nonlabor!$E$17="Core",Nonlabor!$F$17,MAX(Nonlabor!$F$17,IF(Nonlabor!$E$17="AI",Assumptions!$D$24,Assumptions!$D$25)))),AND(Nonlabor!$H$17="Annual",MOD(C2040-IF(Nonlabor!$E$17="Core",Nonlabor!$F$17,MAX(Nonlabor!$F$17,IF(Nonlabor!$E$17="AI",Assumptions!$D$24,Assumptions!$D$25))),12)=0))),IF(Nonlabor!$I$17="Fixed",1,IF(Nonlabor!$I$17="Seats",ROUNDUP('Monthly Base'!I60,0),IF(Nonlabor!$I$17="Customers",'Monthly Base'!D60,IF(Nonlabor!$I$17="NewCustomers",'Monthly Base'!C60,IF(Nonlabor!$I$17="StorageGB",'Monthly Base'!G60,IF(Nonlabor!$I$17="LogGB",'Monthly Base'!H60,IF(Nonlabor!$I$17="RequestsM",'Monthly Base'!F60,IF(Nonlabor!$I$17="InputM",'Monthly Base'!D60*Assumptions!$D$22/1000000,IF(Nonlabor!$I$17="OutputM",'Monthly Base'!D60*Assumptions!$D$23/1000000,0))))))))),0)</f>
        <v>0</v>
      </c>
      <c r="F2040" s="10" t="n">
        <f aca="false">Nonlabor!$J$17*(1+Assumptions!$D$9)^INT((C2040-1)/12)</f>
        <v>20259.15858</v>
      </c>
      <c r="G2040" s="10" t="n">
        <f aca="false">E2040*F2040</f>
        <v>0</v>
      </c>
      <c r="H2040" s="10" t="n">
        <f aca="false">IF(OR(Nonlabor!$L$17="Quote required",Nonlabor!$L$17="Unverified"),G2040,0)</f>
        <v>0</v>
      </c>
      <c r="I2040" s="10" t="n">
        <f aca="false">IF(Nonlabor!$E$17="Core",0,G2040)</f>
        <v>0</v>
      </c>
      <c r="J2040" s="23" t="str">
        <f aca="false">Nonlabor!$B$17</f>
        <v>SECURITY</v>
      </c>
    </row>
    <row r="2041" customFormat="false" ht="15" hidden="false" customHeight="false" outlineLevel="0" collapsed="false">
      <c r="A2041" s="6" t="s">
        <v>4</v>
      </c>
      <c r="B2041" s="6" t="s">
        <v>410</v>
      </c>
      <c r="C2041" s="6" t="n">
        <v>56</v>
      </c>
      <c r="D2041" s="25" t="n">
        <f aca="false">EDATE('Start Here'!$B$6,C2041-1)</f>
        <v>48000</v>
      </c>
      <c r="E2041" s="23" t="n">
        <f aca="false">IF(AND(OR(Nonlabor!$D$17="Both",Nonlabor!$D$17='Start Here'!$B$9),IF(Nonlabor!$E$17="Core",1,IF(Nonlabor!$E$17="AI",'Start Here'!$B$7,'Start Here'!$B$8))=1,C2041&gt;=IF(Nonlabor!$E$17="Core",Nonlabor!$F$17,MAX(Nonlabor!$F$17,IF(Nonlabor!$E$17="AI",Assumptions!$D$24,Assumptions!$D$25))),C2041&lt;=Nonlabor!$G$17,OR(Nonlabor!$H$17="Monthly",AND(Nonlabor!$H$17="Once",C2041=IF(Nonlabor!$E$17="Core",Nonlabor!$F$17,MAX(Nonlabor!$F$17,IF(Nonlabor!$E$17="AI",Assumptions!$D$24,Assumptions!$D$25)))),AND(Nonlabor!$H$17="Annual",MOD(C2041-IF(Nonlabor!$E$17="Core",Nonlabor!$F$17,MAX(Nonlabor!$F$17,IF(Nonlabor!$E$17="AI",Assumptions!$D$24,Assumptions!$D$25))),12)=0))),IF(Nonlabor!$I$17="Fixed",1,IF(Nonlabor!$I$17="Seats",ROUNDUP('Monthly Base'!I61,0),IF(Nonlabor!$I$17="Customers",'Monthly Base'!D61,IF(Nonlabor!$I$17="NewCustomers",'Monthly Base'!C61,IF(Nonlabor!$I$17="StorageGB",'Monthly Base'!G61,IF(Nonlabor!$I$17="LogGB",'Monthly Base'!H61,IF(Nonlabor!$I$17="RequestsM",'Monthly Base'!F61,IF(Nonlabor!$I$17="InputM",'Monthly Base'!D61*Assumptions!$D$22/1000000,IF(Nonlabor!$I$17="OutputM",'Monthly Base'!D61*Assumptions!$D$23/1000000,0))))))))),0)</f>
        <v>0</v>
      </c>
      <c r="F2041" s="10" t="n">
        <f aca="false">Nonlabor!$J$17*(1+Assumptions!$D$9)^INT((C2041-1)/12)</f>
        <v>20259.15858</v>
      </c>
      <c r="G2041" s="10" t="n">
        <f aca="false">E2041*F2041</f>
        <v>0</v>
      </c>
      <c r="H2041" s="10" t="n">
        <f aca="false">IF(OR(Nonlabor!$L$17="Quote required",Nonlabor!$L$17="Unverified"),G2041,0)</f>
        <v>0</v>
      </c>
      <c r="I2041" s="10" t="n">
        <f aca="false">IF(Nonlabor!$E$17="Core",0,G2041)</f>
        <v>0</v>
      </c>
      <c r="J2041" s="23" t="str">
        <f aca="false">Nonlabor!$B$17</f>
        <v>SECURITY</v>
      </c>
    </row>
    <row r="2042" customFormat="false" ht="15" hidden="false" customHeight="false" outlineLevel="0" collapsed="false">
      <c r="A2042" s="6" t="s">
        <v>4</v>
      </c>
      <c r="B2042" s="6" t="s">
        <v>410</v>
      </c>
      <c r="C2042" s="6" t="n">
        <v>57</v>
      </c>
      <c r="D2042" s="25" t="n">
        <f aca="false">EDATE('Start Here'!$B$6,C2042-1)</f>
        <v>48030</v>
      </c>
      <c r="E2042" s="23" t="n">
        <f aca="false">IF(AND(OR(Nonlabor!$D$17="Both",Nonlabor!$D$17='Start Here'!$B$9),IF(Nonlabor!$E$17="Core",1,IF(Nonlabor!$E$17="AI",'Start Here'!$B$7,'Start Here'!$B$8))=1,C2042&gt;=IF(Nonlabor!$E$17="Core",Nonlabor!$F$17,MAX(Nonlabor!$F$17,IF(Nonlabor!$E$17="AI",Assumptions!$D$24,Assumptions!$D$25))),C2042&lt;=Nonlabor!$G$17,OR(Nonlabor!$H$17="Monthly",AND(Nonlabor!$H$17="Once",C2042=IF(Nonlabor!$E$17="Core",Nonlabor!$F$17,MAX(Nonlabor!$F$17,IF(Nonlabor!$E$17="AI",Assumptions!$D$24,Assumptions!$D$25)))),AND(Nonlabor!$H$17="Annual",MOD(C2042-IF(Nonlabor!$E$17="Core",Nonlabor!$F$17,MAX(Nonlabor!$F$17,IF(Nonlabor!$E$17="AI",Assumptions!$D$24,Assumptions!$D$25))),12)=0))),IF(Nonlabor!$I$17="Fixed",1,IF(Nonlabor!$I$17="Seats",ROUNDUP('Monthly Base'!I62,0),IF(Nonlabor!$I$17="Customers",'Monthly Base'!D62,IF(Nonlabor!$I$17="NewCustomers",'Monthly Base'!C62,IF(Nonlabor!$I$17="StorageGB",'Monthly Base'!G62,IF(Nonlabor!$I$17="LogGB",'Monthly Base'!H62,IF(Nonlabor!$I$17="RequestsM",'Monthly Base'!F62,IF(Nonlabor!$I$17="InputM",'Monthly Base'!D62*Assumptions!$D$22/1000000,IF(Nonlabor!$I$17="OutputM",'Monthly Base'!D62*Assumptions!$D$23/1000000,0))))))))),0)</f>
        <v>0</v>
      </c>
      <c r="F2042" s="10" t="n">
        <f aca="false">Nonlabor!$J$17*(1+Assumptions!$D$9)^INT((C2042-1)/12)</f>
        <v>20259.15858</v>
      </c>
      <c r="G2042" s="10" t="n">
        <f aca="false">E2042*F2042</f>
        <v>0</v>
      </c>
      <c r="H2042" s="10" t="n">
        <f aca="false">IF(OR(Nonlabor!$L$17="Quote required",Nonlabor!$L$17="Unverified"),G2042,0)</f>
        <v>0</v>
      </c>
      <c r="I2042" s="10" t="n">
        <f aca="false">IF(Nonlabor!$E$17="Core",0,G2042)</f>
        <v>0</v>
      </c>
      <c r="J2042" s="23" t="str">
        <f aca="false">Nonlabor!$B$17</f>
        <v>SECURITY</v>
      </c>
    </row>
    <row r="2043" customFormat="false" ht="15" hidden="false" customHeight="false" outlineLevel="0" collapsed="false">
      <c r="A2043" s="6" t="s">
        <v>4</v>
      </c>
      <c r="B2043" s="6" t="s">
        <v>410</v>
      </c>
      <c r="C2043" s="6" t="n">
        <v>58</v>
      </c>
      <c r="D2043" s="25" t="n">
        <f aca="false">EDATE('Start Here'!$B$6,C2043-1)</f>
        <v>48061</v>
      </c>
      <c r="E2043" s="23" t="n">
        <f aca="false">IF(AND(OR(Nonlabor!$D$17="Both",Nonlabor!$D$17='Start Here'!$B$9),IF(Nonlabor!$E$17="Core",1,IF(Nonlabor!$E$17="AI",'Start Here'!$B$7,'Start Here'!$B$8))=1,C2043&gt;=IF(Nonlabor!$E$17="Core",Nonlabor!$F$17,MAX(Nonlabor!$F$17,IF(Nonlabor!$E$17="AI",Assumptions!$D$24,Assumptions!$D$25))),C2043&lt;=Nonlabor!$G$17,OR(Nonlabor!$H$17="Monthly",AND(Nonlabor!$H$17="Once",C2043=IF(Nonlabor!$E$17="Core",Nonlabor!$F$17,MAX(Nonlabor!$F$17,IF(Nonlabor!$E$17="AI",Assumptions!$D$24,Assumptions!$D$25)))),AND(Nonlabor!$H$17="Annual",MOD(C2043-IF(Nonlabor!$E$17="Core",Nonlabor!$F$17,MAX(Nonlabor!$F$17,IF(Nonlabor!$E$17="AI",Assumptions!$D$24,Assumptions!$D$25))),12)=0))),IF(Nonlabor!$I$17="Fixed",1,IF(Nonlabor!$I$17="Seats",ROUNDUP('Monthly Base'!I63,0),IF(Nonlabor!$I$17="Customers",'Monthly Base'!D63,IF(Nonlabor!$I$17="NewCustomers",'Monthly Base'!C63,IF(Nonlabor!$I$17="StorageGB",'Monthly Base'!G63,IF(Nonlabor!$I$17="LogGB",'Monthly Base'!H63,IF(Nonlabor!$I$17="RequestsM",'Monthly Base'!F63,IF(Nonlabor!$I$17="InputM",'Monthly Base'!D63*Assumptions!$D$22/1000000,IF(Nonlabor!$I$17="OutputM",'Monthly Base'!D63*Assumptions!$D$23/1000000,0))))))))),0)</f>
        <v>1</v>
      </c>
      <c r="F2043" s="10" t="n">
        <f aca="false">Nonlabor!$J$17*(1+Assumptions!$D$9)^INT((C2043-1)/12)</f>
        <v>20259.15858</v>
      </c>
      <c r="G2043" s="10" t="n">
        <f aca="false">E2043*F2043</f>
        <v>20259.15858</v>
      </c>
      <c r="H2043" s="10" t="n">
        <f aca="false">IF(OR(Nonlabor!$L$17="Quote required",Nonlabor!$L$17="Unverified"),G2043,0)</f>
        <v>20259.15858</v>
      </c>
      <c r="I2043" s="10" t="n">
        <f aca="false">IF(Nonlabor!$E$17="Core",0,G2043)</f>
        <v>0</v>
      </c>
      <c r="J2043" s="23" t="str">
        <f aca="false">Nonlabor!$B$17</f>
        <v>SECURITY</v>
      </c>
    </row>
    <row r="2044" customFormat="false" ht="15" hidden="false" customHeight="false" outlineLevel="0" collapsed="false">
      <c r="A2044" s="6" t="s">
        <v>4</v>
      </c>
      <c r="B2044" s="6" t="s">
        <v>410</v>
      </c>
      <c r="C2044" s="6" t="n">
        <v>59</v>
      </c>
      <c r="D2044" s="25" t="n">
        <f aca="false">EDATE('Start Here'!$B$6,C2044-1)</f>
        <v>48092</v>
      </c>
      <c r="E2044" s="23" t="n">
        <f aca="false">IF(AND(OR(Nonlabor!$D$17="Both",Nonlabor!$D$17='Start Here'!$B$9),IF(Nonlabor!$E$17="Core",1,IF(Nonlabor!$E$17="AI",'Start Here'!$B$7,'Start Here'!$B$8))=1,C2044&gt;=IF(Nonlabor!$E$17="Core",Nonlabor!$F$17,MAX(Nonlabor!$F$17,IF(Nonlabor!$E$17="AI",Assumptions!$D$24,Assumptions!$D$25))),C2044&lt;=Nonlabor!$G$17,OR(Nonlabor!$H$17="Monthly",AND(Nonlabor!$H$17="Once",C2044=IF(Nonlabor!$E$17="Core",Nonlabor!$F$17,MAX(Nonlabor!$F$17,IF(Nonlabor!$E$17="AI",Assumptions!$D$24,Assumptions!$D$25)))),AND(Nonlabor!$H$17="Annual",MOD(C2044-IF(Nonlabor!$E$17="Core",Nonlabor!$F$17,MAX(Nonlabor!$F$17,IF(Nonlabor!$E$17="AI",Assumptions!$D$24,Assumptions!$D$25))),12)=0))),IF(Nonlabor!$I$17="Fixed",1,IF(Nonlabor!$I$17="Seats",ROUNDUP('Monthly Base'!I64,0),IF(Nonlabor!$I$17="Customers",'Monthly Base'!D64,IF(Nonlabor!$I$17="NewCustomers",'Monthly Base'!C64,IF(Nonlabor!$I$17="StorageGB",'Monthly Base'!G64,IF(Nonlabor!$I$17="LogGB",'Monthly Base'!H64,IF(Nonlabor!$I$17="RequestsM",'Monthly Base'!F64,IF(Nonlabor!$I$17="InputM",'Monthly Base'!D64*Assumptions!$D$22/1000000,IF(Nonlabor!$I$17="OutputM",'Monthly Base'!D64*Assumptions!$D$23/1000000,0))))))))),0)</f>
        <v>0</v>
      </c>
      <c r="F2044" s="10" t="n">
        <f aca="false">Nonlabor!$J$17*(1+Assumptions!$D$9)^INT((C2044-1)/12)</f>
        <v>20259.15858</v>
      </c>
      <c r="G2044" s="10" t="n">
        <f aca="false">E2044*F2044</f>
        <v>0</v>
      </c>
      <c r="H2044" s="10" t="n">
        <f aca="false">IF(OR(Nonlabor!$L$17="Quote required",Nonlabor!$L$17="Unverified"),G2044,0)</f>
        <v>0</v>
      </c>
      <c r="I2044" s="10" t="n">
        <f aca="false">IF(Nonlabor!$E$17="Core",0,G2044)</f>
        <v>0</v>
      </c>
      <c r="J2044" s="23" t="str">
        <f aca="false">Nonlabor!$B$17</f>
        <v>SECURITY</v>
      </c>
    </row>
    <row r="2045" customFormat="false" ht="15" hidden="false" customHeight="false" outlineLevel="0" collapsed="false">
      <c r="A2045" s="6" t="s">
        <v>4</v>
      </c>
      <c r="B2045" s="6" t="s">
        <v>410</v>
      </c>
      <c r="C2045" s="6" t="n">
        <v>60</v>
      </c>
      <c r="D2045" s="25" t="n">
        <f aca="false">EDATE('Start Here'!$B$6,C2045-1)</f>
        <v>48122</v>
      </c>
      <c r="E2045" s="23" t="n">
        <f aca="false">IF(AND(OR(Nonlabor!$D$17="Both",Nonlabor!$D$17='Start Here'!$B$9),IF(Nonlabor!$E$17="Core",1,IF(Nonlabor!$E$17="AI",'Start Here'!$B$7,'Start Here'!$B$8))=1,C2045&gt;=IF(Nonlabor!$E$17="Core",Nonlabor!$F$17,MAX(Nonlabor!$F$17,IF(Nonlabor!$E$17="AI",Assumptions!$D$24,Assumptions!$D$25))),C2045&lt;=Nonlabor!$G$17,OR(Nonlabor!$H$17="Monthly",AND(Nonlabor!$H$17="Once",C2045=IF(Nonlabor!$E$17="Core",Nonlabor!$F$17,MAX(Nonlabor!$F$17,IF(Nonlabor!$E$17="AI",Assumptions!$D$24,Assumptions!$D$25)))),AND(Nonlabor!$H$17="Annual",MOD(C2045-IF(Nonlabor!$E$17="Core",Nonlabor!$F$17,MAX(Nonlabor!$F$17,IF(Nonlabor!$E$17="AI",Assumptions!$D$24,Assumptions!$D$25))),12)=0))),IF(Nonlabor!$I$17="Fixed",1,IF(Nonlabor!$I$17="Seats",ROUNDUP('Monthly Base'!I65,0),IF(Nonlabor!$I$17="Customers",'Monthly Base'!D65,IF(Nonlabor!$I$17="NewCustomers",'Monthly Base'!C65,IF(Nonlabor!$I$17="StorageGB",'Monthly Base'!G65,IF(Nonlabor!$I$17="LogGB",'Monthly Base'!H65,IF(Nonlabor!$I$17="RequestsM",'Monthly Base'!F65,IF(Nonlabor!$I$17="InputM",'Monthly Base'!D65*Assumptions!$D$22/1000000,IF(Nonlabor!$I$17="OutputM",'Monthly Base'!D65*Assumptions!$D$23/1000000,0))))))))),0)</f>
        <v>0</v>
      </c>
      <c r="F2045" s="10" t="n">
        <f aca="false">Nonlabor!$J$17*(1+Assumptions!$D$9)^INT((C2045-1)/12)</f>
        <v>20259.15858</v>
      </c>
      <c r="G2045" s="10" t="n">
        <f aca="false">E2045*F2045</f>
        <v>0</v>
      </c>
      <c r="H2045" s="10" t="n">
        <f aca="false">IF(OR(Nonlabor!$L$17="Quote required",Nonlabor!$L$17="Unverified"),G2045,0)</f>
        <v>0</v>
      </c>
      <c r="I2045" s="10" t="n">
        <f aca="false">IF(Nonlabor!$E$17="Core",0,G2045)</f>
        <v>0</v>
      </c>
      <c r="J2045" s="23" t="str">
        <f aca="false">Nonlabor!$B$17</f>
        <v>SECURITY</v>
      </c>
    </row>
    <row r="2046" customFormat="false" ht="15" hidden="false" customHeight="false" outlineLevel="0" collapsed="false">
      <c r="A2046" s="6" t="s">
        <v>4</v>
      </c>
      <c r="B2046" s="6" t="s">
        <v>413</v>
      </c>
      <c r="C2046" s="6" t="n">
        <v>1</v>
      </c>
      <c r="D2046" s="25" t="n">
        <f aca="false">EDATE('Start Here'!$B$6,C2046-1)</f>
        <v>46327</v>
      </c>
      <c r="E2046" s="23" t="n">
        <f aca="false">IF(AND(OR(Nonlabor!$D$18="Both",Nonlabor!$D$18='Start Here'!$B$9),IF(Nonlabor!$E$18="Core",1,IF(Nonlabor!$E$18="AI",'Start Here'!$B$7,'Start Here'!$B$8))=1,C2046&gt;=IF(Nonlabor!$E$18="Core",Nonlabor!$F$18,MAX(Nonlabor!$F$18,IF(Nonlabor!$E$18="AI",Assumptions!$D$24,Assumptions!$D$25))),C2046&lt;=Nonlabor!$G$18,OR(Nonlabor!$H$18="Monthly",AND(Nonlabor!$H$18="Once",C2046=IF(Nonlabor!$E$18="Core",Nonlabor!$F$18,MAX(Nonlabor!$F$18,IF(Nonlabor!$E$18="AI",Assumptions!$D$24,Assumptions!$D$25)))),AND(Nonlabor!$H$18="Annual",MOD(C2046-IF(Nonlabor!$E$18="Core",Nonlabor!$F$18,MAX(Nonlabor!$F$18,IF(Nonlabor!$E$18="AI",Assumptions!$D$24,Assumptions!$D$25))),12)=0))),IF(Nonlabor!$I$18="Fixed",1,IF(Nonlabor!$I$18="Seats",ROUNDUP('Monthly Base'!I6,0),IF(Nonlabor!$I$18="Customers",'Monthly Base'!D6,IF(Nonlabor!$I$18="NewCustomers",'Monthly Base'!C6,IF(Nonlabor!$I$18="StorageGB",'Monthly Base'!G6,IF(Nonlabor!$I$18="LogGB",'Monthly Base'!H6,IF(Nonlabor!$I$18="RequestsM",'Monthly Base'!F6,IF(Nonlabor!$I$18="InputM",'Monthly Base'!D6*Assumptions!$D$22/1000000,IF(Nonlabor!$I$18="OutputM",'Monthly Base'!D6*Assumptions!$D$23/1000000,0))))))))),0)</f>
        <v>0</v>
      </c>
      <c r="F2046" s="10" t="n">
        <f aca="false">Nonlabor!$J$18*(1+Assumptions!$D$9)^INT((C2046-1)/12)</f>
        <v>15000</v>
      </c>
      <c r="G2046" s="10" t="n">
        <f aca="false">E2046*F2046</f>
        <v>0</v>
      </c>
      <c r="H2046" s="10" t="n">
        <f aca="false">IF(OR(Nonlabor!$L$18="Quote required",Nonlabor!$L$18="Unverified"),G2046,0)</f>
        <v>0</v>
      </c>
      <c r="I2046" s="10" t="n">
        <f aca="false">IF(Nonlabor!$E$18="Core",0,G2046)</f>
        <v>0</v>
      </c>
      <c r="J2046" s="23" t="str">
        <f aca="false">Nonlabor!$B$18</f>
        <v>COMPLIANCE</v>
      </c>
    </row>
    <row r="2047" customFormat="false" ht="15" hidden="false" customHeight="false" outlineLevel="0" collapsed="false">
      <c r="A2047" s="6" t="s">
        <v>4</v>
      </c>
      <c r="B2047" s="6" t="s">
        <v>413</v>
      </c>
      <c r="C2047" s="6" t="n">
        <v>2</v>
      </c>
      <c r="D2047" s="25" t="n">
        <f aca="false">EDATE('Start Here'!$B$6,C2047-1)</f>
        <v>46357</v>
      </c>
      <c r="E2047" s="23" t="n">
        <f aca="false">IF(AND(OR(Nonlabor!$D$18="Both",Nonlabor!$D$18='Start Here'!$B$9),IF(Nonlabor!$E$18="Core",1,IF(Nonlabor!$E$18="AI",'Start Here'!$B$7,'Start Here'!$B$8))=1,C2047&gt;=IF(Nonlabor!$E$18="Core",Nonlabor!$F$18,MAX(Nonlabor!$F$18,IF(Nonlabor!$E$18="AI",Assumptions!$D$24,Assumptions!$D$25))),C2047&lt;=Nonlabor!$G$18,OR(Nonlabor!$H$18="Monthly",AND(Nonlabor!$H$18="Once",C2047=IF(Nonlabor!$E$18="Core",Nonlabor!$F$18,MAX(Nonlabor!$F$18,IF(Nonlabor!$E$18="AI",Assumptions!$D$24,Assumptions!$D$25)))),AND(Nonlabor!$H$18="Annual",MOD(C2047-IF(Nonlabor!$E$18="Core",Nonlabor!$F$18,MAX(Nonlabor!$F$18,IF(Nonlabor!$E$18="AI",Assumptions!$D$24,Assumptions!$D$25))),12)=0))),IF(Nonlabor!$I$18="Fixed",1,IF(Nonlabor!$I$18="Seats",ROUNDUP('Monthly Base'!I7,0),IF(Nonlabor!$I$18="Customers",'Monthly Base'!D7,IF(Nonlabor!$I$18="NewCustomers",'Monthly Base'!C7,IF(Nonlabor!$I$18="StorageGB",'Monthly Base'!G7,IF(Nonlabor!$I$18="LogGB",'Monthly Base'!H7,IF(Nonlabor!$I$18="RequestsM",'Monthly Base'!F7,IF(Nonlabor!$I$18="InputM",'Monthly Base'!D7*Assumptions!$D$22/1000000,IF(Nonlabor!$I$18="OutputM",'Monthly Base'!D7*Assumptions!$D$23/1000000,0))))))))),0)</f>
        <v>0</v>
      </c>
      <c r="F2047" s="10" t="n">
        <f aca="false">Nonlabor!$J$18*(1+Assumptions!$D$9)^INT((C2047-1)/12)</f>
        <v>15000</v>
      </c>
      <c r="G2047" s="10" t="n">
        <f aca="false">E2047*F2047</f>
        <v>0</v>
      </c>
      <c r="H2047" s="10" t="n">
        <f aca="false">IF(OR(Nonlabor!$L$18="Quote required",Nonlabor!$L$18="Unverified"),G2047,0)</f>
        <v>0</v>
      </c>
      <c r="I2047" s="10" t="n">
        <f aca="false">IF(Nonlabor!$E$18="Core",0,G2047)</f>
        <v>0</v>
      </c>
      <c r="J2047" s="23" t="str">
        <f aca="false">Nonlabor!$B$18</f>
        <v>COMPLIANCE</v>
      </c>
    </row>
    <row r="2048" customFormat="false" ht="15" hidden="false" customHeight="false" outlineLevel="0" collapsed="false">
      <c r="A2048" s="6" t="s">
        <v>4</v>
      </c>
      <c r="B2048" s="6" t="s">
        <v>413</v>
      </c>
      <c r="C2048" s="6" t="n">
        <v>3</v>
      </c>
      <c r="D2048" s="25" t="n">
        <f aca="false">EDATE('Start Here'!$B$6,C2048-1)</f>
        <v>46388</v>
      </c>
      <c r="E2048" s="23" t="n">
        <f aca="false">IF(AND(OR(Nonlabor!$D$18="Both",Nonlabor!$D$18='Start Here'!$B$9),IF(Nonlabor!$E$18="Core",1,IF(Nonlabor!$E$18="AI",'Start Here'!$B$7,'Start Here'!$B$8))=1,C2048&gt;=IF(Nonlabor!$E$18="Core",Nonlabor!$F$18,MAX(Nonlabor!$F$18,IF(Nonlabor!$E$18="AI",Assumptions!$D$24,Assumptions!$D$25))),C2048&lt;=Nonlabor!$G$18,OR(Nonlabor!$H$18="Monthly",AND(Nonlabor!$H$18="Once",C2048=IF(Nonlabor!$E$18="Core",Nonlabor!$F$18,MAX(Nonlabor!$F$18,IF(Nonlabor!$E$18="AI",Assumptions!$D$24,Assumptions!$D$25)))),AND(Nonlabor!$H$18="Annual",MOD(C2048-IF(Nonlabor!$E$18="Core",Nonlabor!$F$18,MAX(Nonlabor!$F$18,IF(Nonlabor!$E$18="AI",Assumptions!$D$24,Assumptions!$D$25))),12)=0))),IF(Nonlabor!$I$18="Fixed",1,IF(Nonlabor!$I$18="Seats",ROUNDUP('Monthly Base'!I8,0),IF(Nonlabor!$I$18="Customers",'Monthly Base'!D8,IF(Nonlabor!$I$18="NewCustomers",'Monthly Base'!C8,IF(Nonlabor!$I$18="StorageGB",'Monthly Base'!G8,IF(Nonlabor!$I$18="LogGB",'Monthly Base'!H8,IF(Nonlabor!$I$18="RequestsM",'Monthly Base'!F8,IF(Nonlabor!$I$18="InputM",'Monthly Base'!D8*Assumptions!$D$22/1000000,IF(Nonlabor!$I$18="OutputM",'Monthly Base'!D8*Assumptions!$D$23/1000000,0))))))))),0)</f>
        <v>0</v>
      </c>
      <c r="F2048" s="10" t="n">
        <f aca="false">Nonlabor!$J$18*(1+Assumptions!$D$9)^INT((C2048-1)/12)</f>
        <v>15000</v>
      </c>
      <c r="G2048" s="10" t="n">
        <f aca="false">E2048*F2048</f>
        <v>0</v>
      </c>
      <c r="H2048" s="10" t="n">
        <f aca="false">IF(OR(Nonlabor!$L$18="Quote required",Nonlabor!$L$18="Unverified"),G2048,0)</f>
        <v>0</v>
      </c>
      <c r="I2048" s="10" t="n">
        <f aca="false">IF(Nonlabor!$E$18="Core",0,G2048)</f>
        <v>0</v>
      </c>
      <c r="J2048" s="23" t="str">
        <f aca="false">Nonlabor!$B$18</f>
        <v>COMPLIANCE</v>
      </c>
    </row>
    <row r="2049" customFormat="false" ht="15" hidden="false" customHeight="false" outlineLevel="0" collapsed="false">
      <c r="A2049" s="6" t="s">
        <v>4</v>
      </c>
      <c r="B2049" s="6" t="s">
        <v>413</v>
      </c>
      <c r="C2049" s="6" t="n">
        <v>4</v>
      </c>
      <c r="D2049" s="25" t="n">
        <f aca="false">EDATE('Start Here'!$B$6,C2049-1)</f>
        <v>46419</v>
      </c>
      <c r="E2049" s="23" t="n">
        <f aca="false">IF(AND(OR(Nonlabor!$D$18="Both",Nonlabor!$D$18='Start Here'!$B$9),IF(Nonlabor!$E$18="Core",1,IF(Nonlabor!$E$18="AI",'Start Here'!$B$7,'Start Here'!$B$8))=1,C2049&gt;=IF(Nonlabor!$E$18="Core",Nonlabor!$F$18,MAX(Nonlabor!$F$18,IF(Nonlabor!$E$18="AI",Assumptions!$D$24,Assumptions!$D$25))),C2049&lt;=Nonlabor!$G$18,OR(Nonlabor!$H$18="Monthly",AND(Nonlabor!$H$18="Once",C2049=IF(Nonlabor!$E$18="Core",Nonlabor!$F$18,MAX(Nonlabor!$F$18,IF(Nonlabor!$E$18="AI",Assumptions!$D$24,Assumptions!$D$25)))),AND(Nonlabor!$H$18="Annual",MOD(C2049-IF(Nonlabor!$E$18="Core",Nonlabor!$F$18,MAX(Nonlabor!$F$18,IF(Nonlabor!$E$18="AI",Assumptions!$D$24,Assumptions!$D$25))),12)=0))),IF(Nonlabor!$I$18="Fixed",1,IF(Nonlabor!$I$18="Seats",ROUNDUP('Monthly Base'!I9,0),IF(Nonlabor!$I$18="Customers",'Monthly Base'!D9,IF(Nonlabor!$I$18="NewCustomers",'Monthly Base'!C9,IF(Nonlabor!$I$18="StorageGB",'Monthly Base'!G9,IF(Nonlabor!$I$18="LogGB",'Monthly Base'!H9,IF(Nonlabor!$I$18="RequestsM",'Monthly Base'!F9,IF(Nonlabor!$I$18="InputM",'Monthly Base'!D9*Assumptions!$D$22/1000000,IF(Nonlabor!$I$18="OutputM",'Monthly Base'!D9*Assumptions!$D$23/1000000,0))))))))),0)</f>
        <v>0</v>
      </c>
      <c r="F2049" s="10" t="n">
        <f aca="false">Nonlabor!$J$18*(1+Assumptions!$D$9)^INT((C2049-1)/12)</f>
        <v>15000</v>
      </c>
      <c r="G2049" s="10" t="n">
        <f aca="false">E2049*F2049</f>
        <v>0</v>
      </c>
      <c r="H2049" s="10" t="n">
        <f aca="false">IF(OR(Nonlabor!$L$18="Quote required",Nonlabor!$L$18="Unverified"),G2049,0)</f>
        <v>0</v>
      </c>
      <c r="I2049" s="10" t="n">
        <f aca="false">IF(Nonlabor!$E$18="Core",0,G2049)</f>
        <v>0</v>
      </c>
      <c r="J2049" s="23" t="str">
        <f aca="false">Nonlabor!$B$18</f>
        <v>COMPLIANCE</v>
      </c>
    </row>
    <row r="2050" customFormat="false" ht="15" hidden="false" customHeight="false" outlineLevel="0" collapsed="false">
      <c r="A2050" s="6" t="s">
        <v>4</v>
      </c>
      <c r="B2050" s="6" t="s">
        <v>413</v>
      </c>
      <c r="C2050" s="6" t="n">
        <v>5</v>
      </c>
      <c r="D2050" s="25" t="n">
        <f aca="false">EDATE('Start Here'!$B$6,C2050-1)</f>
        <v>46447</v>
      </c>
      <c r="E2050" s="23" t="n">
        <f aca="false">IF(AND(OR(Nonlabor!$D$18="Both",Nonlabor!$D$18='Start Here'!$B$9),IF(Nonlabor!$E$18="Core",1,IF(Nonlabor!$E$18="AI",'Start Here'!$B$7,'Start Here'!$B$8))=1,C2050&gt;=IF(Nonlabor!$E$18="Core",Nonlabor!$F$18,MAX(Nonlabor!$F$18,IF(Nonlabor!$E$18="AI",Assumptions!$D$24,Assumptions!$D$25))),C2050&lt;=Nonlabor!$G$18,OR(Nonlabor!$H$18="Monthly",AND(Nonlabor!$H$18="Once",C2050=IF(Nonlabor!$E$18="Core",Nonlabor!$F$18,MAX(Nonlabor!$F$18,IF(Nonlabor!$E$18="AI",Assumptions!$D$24,Assumptions!$D$25)))),AND(Nonlabor!$H$18="Annual",MOD(C2050-IF(Nonlabor!$E$18="Core",Nonlabor!$F$18,MAX(Nonlabor!$F$18,IF(Nonlabor!$E$18="AI",Assumptions!$D$24,Assumptions!$D$25))),12)=0))),IF(Nonlabor!$I$18="Fixed",1,IF(Nonlabor!$I$18="Seats",ROUNDUP('Monthly Base'!I10,0),IF(Nonlabor!$I$18="Customers",'Monthly Base'!D10,IF(Nonlabor!$I$18="NewCustomers",'Monthly Base'!C10,IF(Nonlabor!$I$18="StorageGB",'Monthly Base'!G10,IF(Nonlabor!$I$18="LogGB",'Monthly Base'!H10,IF(Nonlabor!$I$18="RequestsM",'Monthly Base'!F10,IF(Nonlabor!$I$18="InputM",'Monthly Base'!D10*Assumptions!$D$22/1000000,IF(Nonlabor!$I$18="OutputM",'Monthly Base'!D10*Assumptions!$D$23/1000000,0))))))))),0)</f>
        <v>0</v>
      </c>
      <c r="F2050" s="10" t="n">
        <f aca="false">Nonlabor!$J$18*(1+Assumptions!$D$9)^INT((C2050-1)/12)</f>
        <v>15000</v>
      </c>
      <c r="G2050" s="10" t="n">
        <f aca="false">E2050*F2050</f>
        <v>0</v>
      </c>
      <c r="H2050" s="10" t="n">
        <f aca="false">IF(OR(Nonlabor!$L$18="Quote required",Nonlabor!$L$18="Unverified"),G2050,0)</f>
        <v>0</v>
      </c>
      <c r="I2050" s="10" t="n">
        <f aca="false">IF(Nonlabor!$E$18="Core",0,G2050)</f>
        <v>0</v>
      </c>
      <c r="J2050" s="23" t="str">
        <f aca="false">Nonlabor!$B$18</f>
        <v>COMPLIANCE</v>
      </c>
    </row>
    <row r="2051" customFormat="false" ht="15" hidden="false" customHeight="false" outlineLevel="0" collapsed="false">
      <c r="A2051" s="6" t="s">
        <v>4</v>
      </c>
      <c r="B2051" s="6" t="s">
        <v>413</v>
      </c>
      <c r="C2051" s="6" t="n">
        <v>6</v>
      </c>
      <c r="D2051" s="25" t="n">
        <f aca="false">EDATE('Start Here'!$B$6,C2051-1)</f>
        <v>46478</v>
      </c>
      <c r="E2051" s="23" t="n">
        <f aca="false">IF(AND(OR(Nonlabor!$D$18="Both",Nonlabor!$D$18='Start Here'!$B$9),IF(Nonlabor!$E$18="Core",1,IF(Nonlabor!$E$18="AI",'Start Here'!$B$7,'Start Here'!$B$8))=1,C2051&gt;=IF(Nonlabor!$E$18="Core",Nonlabor!$F$18,MAX(Nonlabor!$F$18,IF(Nonlabor!$E$18="AI",Assumptions!$D$24,Assumptions!$D$25))),C2051&lt;=Nonlabor!$G$18,OR(Nonlabor!$H$18="Monthly",AND(Nonlabor!$H$18="Once",C2051=IF(Nonlabor!$E$18="Core",Nonlabor!$F$18,MAX(Nonlabor!$F$18,IF(Nonlabor!$E$18="AI",Assumptions!$D$24,Assumptions!$D$25)))),AND(Nonlabor!$H$18="Annual",MOD(C2051-IF(Nonlabor!$E$18="Core",Nonlabor!$F$18,MAX(Nonlabor!$F$18,IF(Nonlabor!$E$18="AI",Assumptions!$D$24,Assumptions!$D$25))),12)=0))),IF(Nonlabor!$I$18="Fixed",1,IF(Nonlabor!$I$18="Seats",ROUNDUP('Monthly Base'!I11,0),IF(Nonlabor!$I$18="Customers",'Monthly Base'!D11,IF(Nonlabor!$I$18="NewCustomers",'Monthly Base'!C11,IF(Nonlabor!$I$18="StorageGB",'Monthly Base'!G11,IF(Nonlabor!$I$18="LogGB",'Monthly Base'!H11,IF(Nonlabor!$I$18="RequestsM",'Monthly Base'!F11,IF(Nonlabor!$I$18="InputM",'Monthly Base'!D11*Assumptions!$D$22/1000000,IF(Nonlabor!$I$18="OutputM",'Monthly Base'!D11*Assumptions!$D$23/1000000,0))))))))),0)</f>
        <v>0</v>
      </c>
      <c r="F2051" s="10" t="n">
        <f aca="false">Nonlabor!$J$18*(1+Assumptions!$D$9)^INT((C2051-1)/12)</f>
        <v>15000</v>
      </c>
      <c r="G2051" s="10" t="n">
        <f aca="false">E2051*F2051</f>
        <v>0</v>
      </c>
      <c r="H2051" s="10" t="n">
        <f aca="false">IF(OR(Nonlabor!$L$18="Quote required",Nonlabor!$L$18="Unverified"),G2051,0)</f>
        <v>0</v>
      </c>
      <c r="I2051" s="10" t="n">
        <f aca="false">IF(Nonlabor!$E$18="Core",0,G2051)</f>
        <v>0</v>
      </c>
      <c r="J2051" s="23" t="str">
        <f aca="false">Nonlabor!$B$18</f>
        <v>COMPLIANCE</v>
      </c>
    </row>
    <row r="2052" customFormat="false" ht="15" hidden="false" customHeight="false" outlineLevel="0" collapsed="false">
      <c r="A2052" s="6" t="s">
        <v>4</v>
      </c>
      <c r="B2052" s="6" t="s">
        <v>413</v>
      </c>
      <c r="C2052" s="6" t="n">
        <v>7</v>
      </c>
      <c r="D2052" s="25" t="n">
        <f aca="false">EDATE('Start Here'!$B$6,C2052-1)</f>
        <v>46508</v>
      </c>
      <c r="E2052" s="23" t="n">
        <f aca="false">IF(AND(OR(Nonlabor!$D$18="Both",Nonlabor!$D$18='Start Here'!$B$9),IF(Nonlabor!$E$18="Core",1,IF(Nonlabor!$E$18="AI",'Start Here'!$B$7,'Start Here'!$B$8))=1,C2052&gt;=IF(Nonlabor!$E$18="Core",Nonlabor!$F$18,MAX(Nonlabor!$F$18,IF(Nonlabor!$E$18="AI",Assumptions!$D$24,Assumptions!$D$25))),C2052&lt;=Nonlabor!$G$18,OR(Nonlabor!$H$18="Monthly",AND(Nonlabor!$H$18="Once",C2052=IF(Nonlabor!$E$18="Core",Nonlabor!$F$18,MAX(Nonlabor!$F$18,IF(Nonlabor!$E$18="AI",Assumptions!$D$24,Assumptions!$D$25)))),AND(Nonlabor!$H$18="Annual",MOD(C2052-IF(Nonlabor!$E$18="Core",Nonlabor!$F$18,MAX(Nonlabor!$F$18,IF(Nonlabor!$E$18="AI",Assumptions!$D$24,Assumptions!$D$25))),12)=0))),IF(Nonlabor!$I$18="Fixed",1,IF(Nonlabor!$I$18="Seats",ROUNDUP('Monthly Base'!I12,0),IF(Nonlabor!$I$18="Customers",'Monthly Base'!D12,IF(Nonlabor!$I$18="NewCustomers",'Monthly Base'!C12,IF(Nonlabor!$I$18="StorageGB",'Monthly Base'!G12,IF(Nonlabor!$I$18="LogGB",'Monthly Base'!H12,IF(Nonlabor!$I$18="RequestsM",'Monthly Base'!F12,IF(Nonlabor!$I$18="InputM",'Monthly Base'!D12*Assumptions!$D$22/1000000,IF(Nonlabor!$I$18="OutputM",'Monthly Base'!D12*Assumptions!$D$23/1000000,0))))))))),0)</f>
        <v>0</v>
      </c>
      <c r="F2052" s="10" t="n">
        <f aca="false">Nonlabor!$J$18*(1+Assumptions!$D$9)^INT((C2052-1)/12)</f>
        <v>15000</v>
      </c>
      <c r="G2052" s="10" t="n">
        <f aca="false">E2052*F2052</f>
        <v>0</v>
      </c>
      <c r="H2052" s="10" t="n">
        <f aca="false">IF(OR(Nonlabor!$L$18="Quote required",Nonlabor!$L$18="Unverified"),G2052,0)</f>
        <v>0</v>
      </c>
      <c r="I2052" s="10" t="n">
        <f aca="false">IF(Nonlabor!$E$18="Core",0,G2052)</f>
        <v>0</v>
      </c>
      <c r="J2052" s="23" t="str">
        <f aca="false">Nonlabor!$B$18</f>
        <v>COMPLIANCE</v>
      </c>
    </row>
    <row r="2053" customFormat="false" ht="15" hidden="false" customHeight="false" outlineLevel="0" collapsed="false">
      <c r="A2053" s="6" t="s">
        <v>4</v>
      </c>
      <c r="B2053" s="6" t="s">
        <v>413</v>
      </c>
      <c r="C2053" s="6" t="n">
        <v>8</v>
      </c>
      <c r="D2053" s="25" t="n">
        <f aca="false">EDATE('Start Here'!$B$6,C2053-1)</f>
        <v>46539</v>
      </c>
      <c r="E2053" s="23" t="n">
        <f aca="false">IF(AND(OR(Nonlabor!$D$18="Both",Nonlabor!$D$18='Start Here'!$B$9),IF(Nonlabor!$E$18="Core",1,IF(Nonlabor!$E$18="AI",'Start Here'!$B$7,'Start Here'!$B$8))=1,C2053&gt;=IF(Nonlabor!$E$18="Core",Nonlabor!$F$18,MAX(Nonlabor!$F$18,IF(Nonlabor!$E$18="AI",Assumptions!$D$24,Assumptions!$D$25))),C2053&lt;=Nonlabor!$G$18,OR(Nonlabor!$H$18="Monthly",AND(Nonlabor!$H$18="Once",C2053=IF(Nonlabor!$E$18="Core",Nonlabor!$F$18,MAX(Nonlabor!$F$18,IF(Nonlabor!$E$18="AI",Assumptions!$D$24,Assumptions!$D$25)))),AND(Nonlabor!$H$18="Annual",MOD(C2053-IF(Nonlabor!$E$18="Core",Nonlabor!$F$18,MAX(Nonlabor!$F$18,IF(Nonlabor!$E$18="AI",Assumptions!$D$24,Assumptions!$D$25))),12)=0))),IF(Nonlabor!$I$18="Fixed",1,IF(Nonlabor!$I$18="Seats",ROUNDUP('Monthly Base'!I13,0),IF(Nonlabor!$I$18="Customers",'Monthly Base'!D13,IF(Nonlabor!$I$18="NewCustomers",'Monthly Base'!C13,IF(Nonlabor!$I$18="StorageGB",'Monthly Base'!G13,IF(Nonlabor!$I$18="LogGB",'Monthly Base'!H13,IF(Nonlabor!$I$18="RequestsM",'Monthly Base'!F13,IF(Nonlabor!$I$18="InputM",'Monthly Base'!D13*Assumptions!$D$22/1000000,IF(Nonlabor!$I$18="OutputM",'Monthly Base'!D13*Assumptions!$D$23/1000000,0))))))))),0)</f>
        <v>0</v>
      </c>
      <c r="F2053" s="10" t="n">
        <f aca="false">Nonlabor!$J$18*(1+Assumptions!$D$9)^INT((C2053-1)/12)</f>
        <v>15000</v>
      </c>
      <c r="G2053" s="10" t="n">
        <f aca="false">E2053*F2053</f>
        <v>0</v>
      </c>
      <c r="H2053" s="10" t="n">
        <f aca="false">IF(OR(Nonlabor!$L$18="Quote required",Nonlabor!$L$18="Unverified"),G2053,0)</f>
        <v>0</v>
      </c>
      <c r="I2053" s="10" t="n">
        <f aca="false">IF(Nonlabor!$E$18="Core",0,G2053)</f>
        <v>0</v>
      </c>
      <c r="J2053" s="23" t="str">
        <f aca="false">Nonlabor!$B$18</f>
        <v>COMPLIANCE</v>
      </c>
    </row>
    <row r="2054" customFormat="false" ht="15" hidden="false" customHeight="false" outlineLevel="0" collapsed="false">
      <c r="A2054" s="6" t="s">
        <v>4</v>
      </c>
      <c r="B2054" s="6" t="s">
        <v>413</v>
      </c>
      <c r="C2054" s="6" t="n">
        <v>9</v>
      </c>
      <c r="D2054" s="25" t="n">
        <f aca="false">EDATE('Start Here'!$B$6,C2054-1)</f>
        <v>46569</v>
      </c>
      <c r="E2054" s="23" t="n">
        <f aca="false">IF(AND(OR(Nonlabor!$D$18="Both",Nonlabor!$D$18='Start Here'!$B$9),IF(Nonlabor!$E$18="Core",1,IF(Nonlabor!$E$18="AI",'Start Here'!$B$7,'Start Here'!$B$8))=1,C2054&gt;=IF(Nonlabor!$E$18="Core",Nonlabor!$F$18,MAX(Nonlabor!$F$18,IF(Nonlabor!$E$18="AI",Assumptions!$D$24,Assumptions!$D$25))),C2054&lt;=Nonlabor!$G$18,OR(Nonlabor!$H$18="Monthly",AND(Nonlabor!$H$18="Once",C2054=IF(Nonlabor!$E$18="Core",Nonlabor!$F$18,MAX(Nonlabor!$F$18,IF(Nonlabor!$E$18="AI",Assumptions!$D$24,Assumptions!$D$25)))),AND(Nonlabor!$H$18="Annual",MOD(C2054-IF(Nonlabor!$E$18="Core",Nonlabor!$F$18,MAX(Nonlabor!$F$18,IF(Nonlabor!$E$18="AI",Assumptions!$D$24,Assumptions!$D$25))),12)=0))),IF(Nonlabor!$I$18="Fixed",1,IF(Nonlabor!$I$18="Seats",ROUNDUP('Monthly Base'!I14,0),IF(Nonlabor!$I$18="Customers",'Monthly Base'!D14,IF(Nonlabor!$I$18="NewCustomers",'Monthly Base'!C14,IF(Nonlabor!$I$18="StorageGB",'Monthly Base'!G14,IF(Nonlabor!$I$18="LogGB",'Monthly Base'!H14,IF(Nonlabor!$I$18="RequestsM",'Monthly Base'!F14,IF(Nonlabor!$I$18="InputM",'Monthly Base'!D14*Assumptions!$D$22/1000000,IF(Nonlabor!$I$18="OutputM",'Monthly Base'!D14*Assumptions!$D$23/1000000,0))))))))),0)</f>
        <v>0</v>
      </c>
      <c r="F2054" s="10" t="n">
        <f aca="false">Nonlabor!$J$18*(1+Assumptions!$D$9)^INT((C2054-1)/12)</f>
        <v>15000</v>
      </c>
      <c r="G2054" s="10" t="n">
        <f aca="false">E2054*F2054</f>
        <v>0</v>
      </c>
      <c r="H2054" s="10" t="n">
        <f aca="false">IF(OR(Nonlabor!$L$18="Quote required",Nonlabor!$L$18="Unverified"),G2054,0)</f>
        <v>0</v>
      </c>
      <c r="I2054" s="10" t="n">
        <f aca="false">IF(Nonlabor!$E$18="Core",0,G2054)</f>
        <v>0</v>
      </c>
      <c r="J2054" s="23" t="str">
        <f aca="false">Nonlabor!$B$18</f>
        <v>COMPLIANCE</v>
      </c>
    </row>
    <row r="2055" customFormat="false" ht="15" hidden="false" customHeight="false" outlineLevel="0" collapsed="false">
      <c r="A2055" s="6" t="s">
        <v>4</v>
      </c>
      <c r="B2055" s="6" t="s">
        <v>413</v>
      </c>
      <c r="C2055" s="6" t="n">
        <v>10</v>
      </c>
      <c r="D2055" s="25" t="n">
        <f aca="false">EDATE('Start Here'!$B$6,C2055-1)</f>
        <v>46600</v>
      </c>
      <c r="E2055" s="23" t="n">
        <f aca="false">IF(AND(OR(Nonlabor!$D$18="Both",Nonlabor!$D$18='Start Here'!$B$9),IF(Nonlabor!$E$18="Core",1,IF(Nonlabor!$E$18="AI",'Start Here'!$B$7,'Start Here'!$B$8))=1,C2055&gt;=IF(Nonlabor!$E$18="Core",Nonlabor!$F$18,MAX(Nonlabor!$F$18,IF(Nonlabor!$E$18="AI",Assumptions!$D$24,Assumptions!$D$25))),C2055&lt;=Nonlabor!$G$18,OR(Nonlabor!$H$18="Monthly",AND(Nonlabor!$H$18="Once",C2055=IF(Nonlabor!$E$18="Core",Nonlabor!$F$18,MAX(Nonlabor!$F$18,IF(Nonlabor!$E$18="AI",Assumptions!$D$24,Assumptions!$D$25)))),AND(Nonlabor!$H$18="Annual",MOD(C2055-IF(Nonlabor!$E$18="Core",Nonlabor!$F$18,MAX(Nonlabor!$F$18,IF(Nonlabor!$E$18="AI",Assumptions!$D$24,Assumptions!$D$25))),12)=0))),IF(Nonlabor!$I$18="Fixed",1,IF(Nonlabor!$I$18="Seats",ROUNDUP('Monthly Base'!I15,0),IF(Nonlabor!$I$18="Customers",'Monthly Base'!D15,IF(Nonlabor!$I$18="NewCustomers",'Monthly Base'!C15,IF(Nonlabor!$I$18="StorageGB",'Monthly Base'!G15,IF(Nonlabor!$I$18="LogGB",'Monthly Base'!H15,IF(Nonlabor!$I$18="RequestsM",'Monthly Base'!F15,IF(Nonlabor!$I$18="InputM",'Monthly Base'!D15*Assumptions!$D$22/1000000,IF(Nonlabor!$I$18="OutputM",'Monthly Base'!D15*Assumptions!$D$23/1000000,0))))))))),0)</f>
        <v>0</v>
      </c>
      <c r="F2055" s="10" t="n">
        <f aca="false">Nonlabor!$J$18*(1+Assumptions!$D$9)^INT((C2055-1)/12)</f>
        <v>15000</v>
      </c>
      <c r="G2055" s="10" t="n">
        <f aca="false">E2055*F2055</f>
        <v>0</v>
      </c>
      <c r="H2055" s="10" t="n">
        <f aca="false">IF(OR(Nonlabor!$L$18="Quote required",Nonlabor!$L$18="Unverified"),G2055,0)</f>
        <v>0</v>
      </c>
      <c r="I2055" s="10" t="n">
        <f aca="false">IF(Nonlabor!$E$18="Core",0,G2055)</f>
        <v>0</v>
      </c>
      <c r="J2055" s="23" t="str">
        <f aca="false">Nonlabor!$B$18</f>
        <v>COMPLIANCE</v>
      </c>
    </row>
    <row r="2056" customFormat="false" ht="15" hidden="false" customHeight="false" outlineLevel="0" collapsed="false">
      <c r="A2056" s="6" t="s">
        <v>4</v>
      </c>
      <c r="B2056" s="6" t="s">
        <v>413</v>
      </c>
      <c r="C2056" s="6" t="n">
        <v>11</v>
      </c>
      <c r="D2056" s="25" t="n">
        <f aca="false">EDATE('Start Here'!$B$6,C2056-1)</f>
        <v>46631</v>
      </c>
      <c r="E2056" s="23" t="n">
        <f aca="false">IF(AND(OR(Nonlabor!$D$18="Both",Nonlabor!$D$18='Start Here'!$B$9),IF(Nonlabor!$E$18="Core",1,IF(Nonlabor!$E$18="AI",'Start Here'!$B$7,'Start Here'!$B$8))=1,C2056&gt;=IF(Nonlabor!$E$18="Core",Nonlabor!$F$18,MAX(Nonlabor!$F$18,IF(Nonlabor!$E$18="AI",Assumptions!$D$24,Assumptions!$D$25))),C2056&lt;=Nonlabor!$G$18,OR(Nonlabor!$H$18="Monthly",AND(Nonlabor!$H$18="Once",C2056=IF(Nonlabor!$E$18="Core",Nonlabor!$F$18,MAX(Nonlabor!$F$18,IF(Nonlabor!$E$18="AI",Assumptions!$D$24,Assumptions!$D$25)))),AND(Nonlabor!$H$18="Annual",MOD(C2056-IF(Nonlabor!$E$18="Core",Nonlabor!$F$18,MAX(Nonlabor!$F$18,IF(Nonlabor!$E$18="AI",Assumptions!$D$24,Assumptions!$D$25))),12)=0))),IF(Nonlabor!$I$18="Fixed",1,IF(Nonlabor!$I$18="Seats",ROUNDUP('Monthly Base'!I16,0),IF(Nonlabor!$I$18="Customers",'Monthly Base'!D16,IF(Nonlabor!$I$18="NewCustomers",'Monthly Base'!C16,IF(Nonlabor!$I$18="StorageGB",'Monthly Base'!G16,IF(Nonlabor!$I$18="LogGB",'Monthly Base'!H16,IF(Nonlabor!$I$18="RequestsM",'Monthly Base'!F16,IF(Nonlabor!$I$18="InputM",'Monthly Base'!D16*Assumptions!$D$22/1000000,IF(Nonlabor!$I$18="OutputM",'Monthly Base'!D16*Assumptions!$D$23/1000000,0))))))))),0)</f>
        <v>1</v>
      </c>
      <c r="F2056" s="10" t="n">
        <f aca="false">Nonlabor!$J$18*(1+Assumptions!$D$9)^INT((C2056-1)/12)</f>
        <v>15000</v>
      </c>
      <c r="G2056" s="10" t="n">
        <f aca="false">E2056*F2056</f>
        <v>15000</v>
      </c>
      <c r="H2056" s="10" t="n">
        <f aca="false">IF(OR(Nonlabor!$L$18="Quote required",Nonlabor!$L$18="Unverified"),G2056,0)</f>
        <v>15000</v>
      </c>
      <c r="I2056" s="10" t="n">
        <f aca="false">IF(Nonlabor!$E$18="Core",0,G2056)</f>
        <v>0</v>
      </c>
      <c r="J2056" s="23" t="str">
        <f aca="false">Nonlabor!$B$18</f>
        <v>COMPLIANCE</v>
      </c>
    </row>
    <row r="2057" customFormat="false" ht="15" hidden="false" customHeight="false" outlineLevel="0" collapsed="false">
      <c r="A2057" s="6" t="s">
        <v>4</v>
      </c>
      <c r="B2057" s="6" t="s">
        <v>413</v>
      </c>
      <c r="C2057" s="6" t="n">
        <v>12</v>
      </c>
      <c r="D2057" s="25" t="n">
        <f aca="false">EDATE('Start Here'!$B$6,C2057-1)</f>
        <v>46661</v>
      </c>
      <c r="E2057" s="23" t="n">
        <f aca="false">IF(AND(OR(Nonlabor!$D$18="Both",Nonlabor!$D$18='Start Here'!$B$9),IF(Nonlabor!$E$18="Core",1,IF(Nonlabor!$E$18="AI",'Start Here'!$B$7,'Start Here'!$B$8))=1,C2057&gt;=IF(Nonlabor!$E$18="Core",Nonlabor!$F$18,MAX(Nonlabor!$F$18,IF(Nonlabor!$E$18="AI",Assumptions!$D$24,Assumptions!$D$25))),C2057&lt;=Nonlabor!$G$18,OR(Nonlabor!$H$18="Monthly",AND(Nonlabor!$H$18="Once",C2057=IF(Nonlabor!$E$18="Core",Nonlabor!$F$18,MAX(Nonlabor!$F$18,IF(Nonlabor!$E$18="AI",Assumptions!$D$24,Assumptions!$D$25)))),AND(Nonlabor!$H$18="Annual",MOD(C2057-IF(Nonlabor!$E$18="Core",Nonlabor!$F$18,MAX(Nonlabor!$F$18,IF(Nonlabor!$E$18="AI",Assumptions!$D$24,Assumptions!$D$25))),12)=0))),IF(Nonlabor!$I$18="Fixed",1,IF(Nonlabor!$I$18="Seats",ROUNDUP('Monthly Base'!I17,0),IF(Nonlabor!$I$18="Customers",'Monthly Base'!D17,IF(Nonlabor!$I$18="NewCustomers",'Monthly Base'!C17,IF(Nonlabor!$I$18="StorageGB",'Monthly Base'!G17,IF(Nonlabor!$I$18="LogGB",'Monthly Base'!H17,IF(Nonlabor!$I$18="RequestsM",'Monthly Base'!F17,IF(Nonlabor!$I$18="InputM",'Monthly Base'!D17*Assumptions!$D$22/1000000,IF(Nonlabor!$I$18="OutputM",'Monthly Base'!D17*Assumptions!$D$23/1000000,0))))))))),0)</f>
        <v>0</v>
      </c>
      <c r="F2057" s="10" t="n">
        <f aca="false">Nonlabor!$J$18*(1+Assumptions!$D$9)^INT((C2057-1)/12)</f>
        <v>15000</v>
      </c>
      <c r="G2057" s="10" t="n">
        <f aca="false">E2057*F2057</f>
        <v>0</v>
      </c>
      <c r="H2057" s="10" t="n">
        <f aca="false">IF(OR(Nonlabor!$L$18="Quote required",Nonlabor!$L$18="Unverified"),G2057,0)</f>
        <v>0</v>
      </c>
      <c r="I2057" s="10" t="n">
        <f aca="false">IF(Nonlabor!$E$18="Core",0,G2057)</f>
        <v>0</v>
      </c>
      <c r="J2057" s="23" t="str">
        <f aca="false">Nonlabor!$B$18</f>
        <v>COMPLIANCE</v>
      </c>
    </row>
    <row r="2058" customFormat="false" ht="15" hidden="false" customHeight="false" outlineLevel="0" collapsed="false">
      <c r="A2058" s="6" t="s">
        <v>4</v>
      </c>
      <c r="B2058" s="6" t="s">
        <v>413</v>
      </c>
      <c r="C2058" s="6" t="n">
        <v>13</v>
      </c>
      <c r="D2058" s="25" t="n">
        <f aca="false">EDATE('Start Here'!$B$6,C2058-1)</f>
        <v>46692</v>
      </c>
      <c r="E2058" s="23" t="n">
        <f aca="false">IF(AND(OR(Nonlabor!$D$18="Both",Nonlabor!$D$18='Start Here'!$B$9),IF(Nonlabor!$E$18="Core",1,IF(Nonlabor!$E$18="AI",'Start Here'!$B$7,'Start Here'!$B$8))=1,C2058&gt;=IF(Nonlabor!$E$18="Core",Nonlabor!$F$18,MAX(Nonlabor!$F$18,IF(Nonlabor!$E$18="AI",Assumptions!$D$24,Assumptions!$D$25))),C2058&lt;=Nonlabor!$G$18,OR(Nonlabor!$H$18="Monthly",AND(Nonlabor!$H$18="Once",C2058=IF(Nonlabor!$E$18="Core",Nonlabor!$F$18,MAX(Nonlabor!$F$18,IF(Nonlabor!$E$18="AI",Assumptions!$D$24,Assumptions!$D$25)))),AND(Nonlabor!$H$18="Annual",MOD(C2058-IF(Nonlabor!$E$18="Core",Nonlabor!$F$18,MAX(Nonlabor!$F$18,IF(Nonlabor!$E$18="AI",Assumptions!$D$24,Assumptions!$D$25))),12)=0))),IF(Nonlabor!$I$18="Fixed",1,IF(Nonlabor!$I$18="Seats",ROUNDUP('Monthly Base'!I18,0),IF(Nonlabor!$I$18="Customers",'Monthly Base'!D18,IF(Nonlabor!$I$18="NewCustomers",'Monthly Base'!C18,IF(Nonlabor!$I$18="StorageGB",'Monthly Base'!G18,IF(Nonlabor!$I$18="LogGB",'Monthly Base'!H18,IF(Nonlabor!$I$18="RequestsM",'Monthly Base'!F18,IF(Nonlabor!$I$18="InputM",'Monthly Base'!D18*Assumptions!$D$22/1000000,IF(Nonlabor!$I$18="OutputM",'Monthly Base'!D18*Assumptions!$D$23/1000000,0))))))))),0)</f>
        <v>0</v>
      </c>
      <c r="F2058" s="10" t="n">
        <f aca="false">Nonlabor!$J$18*(1+Assumptions!$D$9)^INT((C2058-1)/12)</f>
        <v>15450</v>
      </c>
      <c r="G2058" s="10" t="n">
        <f aca="false">E2058*F2058</f>
        <v>0</v>
      </c>
      <c r="H2058" s="10" t="n">
        <f aca="false">IF(OR(Nonlabor!$L$18="Quote required",Nonlabor!$L$18="Unverified"),G2058,0)</f>
        <v>0</v>
      </c>
      <c r="I2058" s="10" t="n">
        <f aca="false">IF(Nonlabor!$E$18="Core",0,G2058)</f>
        <v>0</v>
      </c>
      <c r="J2058" s="23" t="str">
        <f aca="false">Nonlabor!$B$18</f>
        <v>COMPLIANCE</v>
      </c>
    </row>
    <row r="2059" customFormat="false" ht="15" hidden="false" customHeight="false" outlineLevel="0" collapsed="false">
      <c r="A2059" s="6" t="s">
        <v>4</v>
      </c>
      <c r="B2059" s="6" t="s">
        <v>413</v>
      </c>
      <c r="C2059" s="6" t="n">
        <v>14</v>
      </c>
      <c r="D2059" s="25" t="n">
        <f aca="false">EDATE('Start Here'!$B$6,C2059-1)</f>
        <v>46722</v>
      </c>
      <c r="E2059" s="23" t="n">
        <f aca="false">IF(AND(OR(Nonlabor!$D$18="Both",Nonlabor!$D$18='Start Here'!$B$9),IF(Nonlabor!$E$18="Core",1,IF(Nonlabor!$E$18="AI",'Start Here'!$B$7,'Start Here'!$B$8))=1,C2059&gt;=IF(Nonlabor!$E$18="Core",Nonlabor!$F$18,MAX(Nonlabor!$F$18,IF(Nonlabor!$E$18="AI",Assumptions!$D$24,Assumptions!$D$25))),C2059&lt;=Nonlabor!$G$18,OR(Nonlabor!$H$18="Monthly",AND(Nonlabor!$H$18="Once",C2059=IF(Nonlabor!$E$18="Core",Nonlabor!$F$18,MAX(Nonlabor!$F$18,IF(Nonlabor!$E$18="AI",Assumptions!$D$24,Assumptions!$D$25)))),AND(Nonlabor!$H$18="Annual",MOD(C2059-IF(Nonlabor!$E$18="Core",Nonlabor!$F$18,MAX(Nonlabor!$F$18,IF(Nonlabor!$E$18="AI",Assumptions!$D$24,Assumptions!$D$25))),12)=0))),IF(Nonlabor!$I$18="Fixed",1,IF(Nonlabor!$I$18="Seats",ROUNDUP('Monthly Base'!I19,0),IF(Nonlabor!$I$18="Customers",'Monthly Base'!D19,IF(Nonlabor!$I$18="NewCustomers",'Monthly Base'!C19,IF(Nonlabor!$I$18="StorageGB",'Monthly Base'!G19,IF(Nonlabor!$I$18="LogGB",'Monthly Base'!H19,IF(Nonlabor!$I$18="RequestsM",'Monthly Base'!F19,IF(Nonlabor!$I$18="InputM",'Monthly Base'!D19*Assumptions!$D$22/1000000,IF(Nonlabor!$I$18="OutputM",'Monthly Base'!D19*Assumptions!$D$23/1000000,0))))))))),0)</f>
        <v>0</v>
      </c>
      <c r="F2059" s="10" t="n">
        <f aca="false">Nonlabor!$J$18*(1+Assumptions!$D$9)^INT((C2059-1)/12)</f>
        <v>15450</v>
      </c>
      <c r="G2059" s="10" t="n">
        <f aca="false">E2059*F2059</f>
        <v>0</v>
      </c>
      <c r="H2059" s="10" t="n">
        <f aca="false">IF(OR(Nonlabor!$L$18="Quote required",Nonlabor!$L$18="Unverified"),G2059,0)</f>
        <v>0</v>
      </c>
      <c r="I2059" s="10" t="n">
        <f aca="false">IF(Nonlabor!$E$18="Core",0,G2059)</f>
        <v>0</v>
      </c>
      <c r="J2059" s="23" t="str">
        <f aca="false">Nonlabor!$B$18</f>
        <v>COMPLIANCE</v>
      </c>
    </row>
    <row r="2060" customFormat="false" ht="15" hidden="false" customHeight="false" outlineLevel="0" collapsed="false">
      <c r="A2060" s="6" t="s">
        <v>4</v>
      </c>
      <c r="B2060" s="6" t="s">
        <v>413</v>
      </c>
      <c r="C2060" s="6" t="n">
        <v>15</v>
      </c>
      <c r="D2060" s="25" t="n">
        <f aca="false">EDATE('Start Here'!$B$6,C2060-1)</f>
        <v>46753</v>
      </c>
      <c r="E2060" s="23" t="n">
        <f aca="false">IF(AND(OR(Nonlabor!$D$18="Both",Nonlabor!$D$18='Start Here'!$B$9),IF(Nonlabor!$E$18="Core",1,IF(Nonlabor!$E$18="AI",'Start Here'!$B$7,'Start Here'!$B$8))=1,C2060&gt;=IF(Nonlabor!$E$18="Core",Nonlabor!$F$18,MAX(Nonlabor!$F$18,IF(Nonlabor!$E$18="AI",Assumptions!$D$24,Assumptions!$D$25))),C2060&lt;=Nonlabor!$G$18,OR(Nonlabor!$H$18="Monthly",AND(Nonlabor!$H$18="Once",C2060=IF(Nonlabor!$E$18="Core",Nonlabor!$F$18,MAX(Nonlabor!$F$18,IF(Nonlabor!$E$18="AI",Assumptions!$D$24,Assumptions!$D$25)))),AND(Nonlabor!$H$18="Annual",MOD(C2060-IF(Nonlabor!$E$18="Core",Nonlabor!$F$18,MAX(Nonlabor!$F$18,IF(Nonlabor!$E$18="AI",Assumptions!$D$24,Assumptions!$D$25))),12)=0))),IF(Nonlabor!$I$18="Fixed",1,IF(Nonlabor!$I$18="Seats",ROUNDUP('Monthly Base'!I20,0),IF(Nonlabor!$I$18="Customers",'Monthly Base'!D20,IF(Nonlabor!$I$18="NewCustomers",'Monthly Base'!C20,IF(Nonlabor!$I$18="StorageGB",'Monthly Base'!G20,IF(Nonlabor!$I$18="LogGB",'Monthly Base'!H20,IF(Nonlabor!$I$18="RequestsM",'Monthly Base'!F20,IF(Nonlabor!$I$18="InputM",'Monthly Base'!D20*Assumptions!$D$22/1000000,IF(Nonlabor!$I$18="OutputM",'Monthly Base'!D20*Assumptions!$D$23/1000000,0))))))))),0)</f>
        <v>0</v>
      </c>
      <c r="F2060" s="10" t="n">
        <f aca="false">Nonlabor!$J$18*(1+Assumptions!$D$9)^INT((C2060-1)/12)</f>
        <v>15450</v>
      </c>
      <c r="G2060" s="10" t="n">
        <f aca="false">E2060*F2060</f>
        <v>0</v>
      </c>
      <c r="H2060" s="10" t="n">
        <f aca="false">IF(OR(Nonlabor!$L$18="Quote required",Nonlabor!$L$18="Unverified"),G2060,0)</f>
        <v>0</v>
      </c>
      <c r="I2060" s="10" t="n">
        <f aca="false">IF(Nonlabor!$E$18="Core",0,G2060)</f>
        <v>0</v>
      </c>
      <c r="J2060" s="23" t="str">
        <f aca="false">Nonlabor!$B$18</f>
        <v>COMPLIANCE</v>
      </c>
    </row>
    <row r="2061" customFormat="false" ht="15" hidden="false" customHeight="false" outlineLevel="0" collapsed="false">
      <c r="A2061" s="6" t="s">
        <v>4</v>
      </c>
      <c r="B2061" s="6" t="s">
        <v>413</v>
      </c>
      <c r="C2061" s="6" t="n">
        <v>16</v>
      </c>
      <c r="D2061" s="25" t="n">
        <f aca="false">EDATE('Start Here'!$B$6,C2061-1)</f>
        <v>46784</v>
      </c>
      <c r="E2061" s="23" t="n">
        <f aca="false">IF(AND(OR(Nonlabor!$D$18="Both",Nonlabor!$D$18='Start Here'!$B$9),IF(Nonlabor!$E$18="Core",1,IF(Nonlabor!$E$18="AI",'Start Here'!$B$7,'Start Here'!$B$8))=1,C2061&gt;=IF(Nonlabor!$E$18="Core",Nonlabor!$F$18,MAX(Nonlabor!$F$18,IF(Nonlabor!$E$18="AI",Assumptions!$D$24,Assumptions!$D$25))),C2061&lt;=Nonlabor!$G$18,OR(Nonlabor!$H$18="Monthly",AND(Nonlabor!$H$18="Once",C2061=IF(Nonlabor!$E$18="Core",Nonlabor!$F$18,MAX(Nonlabor!$F$18,IF(Nonlabor!$E$18="AI",Assumptions!$D$24,Assumptions!$D$25)))),AND(Nonlabor!$H$18="Annual",MOD(C2061-IF(Nonlabor!$E$18="Core",Nonlabor!$F$18,MAX(Nonlabor!$F$18,IF(Nonlabor!$E$18="AI",Assumptions!$D$24,Assumptions!$D$25))),12)=0))),IF(Nonlabor!$I$18="Fixed",1,IF(Nonlabor!$I$18="Seats",ROUNDUP('Monthly Base'!I21,0),IF(Nonlabor!$I$18="Customers",'Monthly Base'!D21,IF(Nonlabor!$I$18="NewCustomers",'Monthly Base'!C21,IF(Nonlabor!$I$18="StorageGB",'Monthly Base'!G21,IF(Nonlabor!$I$18="LogGB",'Monthly Base'!H21,IF(Nonlabor!$I$18="RequestsM",'Monthly Base'!F21,IF(Nonlabor!$I$18="InputM",'Monthly Base'!D21*Assumptions!$D$22/1000000,IF(Nonlabor!$I$18="OutputM",'Monthly Base'!D21*Assumptions!$D$23/1000000,0))))))))),0)</f>
        <v>0</v>
      </c>
      <c r="F2061" s="10" t="n">
        <f aca="false">Nonlabor!$J$18*(1+Assumptions!$D$9)^INT((C2061-1)/12)</f>
        <v>15450</v>
      </c>
      <c r="G2061" s="10" t="n">
        <f aca="false">E2061*F2061</f>
        <v>0</v>
      </c>
      <c r="H2061" s="10" t="n">
        <f aca="false">IF(OR(Nonlabor!$L$18="Quote required",Nonlabor!$L$18="Unverified"),G2061,0)</f>
        <v>0</v>
      </c>
      <c r="I2061" s="10" t="n">
        <f aca="false">IF(Nonlabor!$E$18="Core",0,G2061)</f>
        <v>0</v>
      </c>
      <c r="J2061" s="23" t="str">
        <f aca="false">Nonlabor!$B$18</f>
        <v>COMPLIANCE</v>
      </c>
    </row>
    <row r="2062" customFormat="false" ht="15" hidden="false" customHeight="false" outlineLevel="0" collapsed="false">
      <c r="A2062" s="6" t="s">
        <v>4</v>
      </c>
      <c r="B2062" s="6" t="s">
        <v>413</v>
      </c>
      <c r="C2062" s="6" t="n">
        <v>17</v>
      </c>
      <c r="D2062" s="25" t="n">
        <f aca="false">EDATE('Start Here'!$B$6,C2062-1)</f>
        <v>46813</v>
      </c>
      <c r="E2062" s="23" t="n">
        <f aca="false">IF(AND(OR(Nonlabor!$D$18="Both",Nonlabor!$D$18='Start Here'!$B$9),IF(Nonlabor!$E$18="Core",1,IF(Nonlabor!$E$18="AI",'Start Here'!$B$7,'Start Here'!$B$8))=1,C2062&gt;=IF(Nonlabor!$E$18="Core",Nonlabor!$F$18,MAX(Nonlabor!$F$18,IF(Nonlabor!$E$18="AI",Assumptions!$D$24,Assumptions!$D$25))),C2062&lt;=Nonlabor!$G$18,OR(Nonlabor!$H$18="Monthly",AND(Nonlabor!$H$18="Once",C2062=IF(Nonlabor!$E$18="Core",Nonlabor!$F$18,MAX(Nonlabor!$F$18,IF(Nonlabor!$E$18="AI",Assumptions!$D$24,Assumptions!$D$25)))),AND(Nonlabor!$H$18="Annual",MOD(C2062-IF(Nonlabor!$E$18="Core",Nonlabor!$F$18,MAX(Nonlabor!$F$18,IF(Nonlabor!$E$18="AI",Assumptions!$D$24,Assumptions!$D$25))),12)=0))),IF(Nonlabor!$I$18="Fixed",1,IF(Nonlabor!$I$18="Seats",ROUNDUP('Monthly Base'!I22,0),IF(Nonlabor!$I$18="Customers",'Monthly Base'!D22,IF(Nonlabor!$I$18="NewCustomers",'Monthly Base'!C22,IF(Nonlabor!$I$18="StorageGB",'Monthly Base'!G22,IF(Nonlabor!$I$18="LogGB",'Monthly Base'!H22,IF(Nonlabor!$I$18="RequestsM",'Monthly Base'!F22,IF(Nonlabor!$I$18="InputM",'Monthly Base'!D22*Assumptions!$D$22/1000000,IF(Nonlabor!$I$18="OutputM",'Monthly Base'!D22*Assumptions!$D$23/1000000,0))))))))),0)</f>
        <v>0</v>
      </c>
      <c r="F2062" s="10" t="n">
        <f aca="false">Nonlabor!$J$18*(1+Assumptions!$D$9)^INT((C2062-1)/12)</f>
        <v>15450</v>
      </c>
      <c r="G2062" s="10" t="n">
        <f aca="false">E2062*F2062</f>
        <v>0</v>
      </c>
      <c r="H2062" s="10" t="n">
        <f aca="false">IF(OR(Nonlabor!$L$18="Quote required",Nonlabor!$L$18="Unverified"),G2062,0)</f>
        <v>0</v>
      </c>
      <c r="I2062" s="10" t="n">
        <f aca="false">IF(Nonlabor!$E$18="Core",0,G2062)</f>
        <v>0</v>
      </c>
      <c r="J2062" s="23" t="str">
        <f aca="false">Nonlabor!$B$18</f>
        <v>COMPLIANCE</v>
      </c>
    </row>
    <row r="2063" customFormat="false" ht="15" hidden="false" customHeight="false" outlineLevel="0" collapsed="false">
      <c r="A2063" s="6" t="s">
        <v>4</v>
      </c>
      <c r="B2063" s="6" t="s">
        <v>413</v>
      </c>
      <c r="C2063" s="6" t="n">
        <v>18</v>
      </c>
      <c r="D2063" s="25" t="n">
        <f aca="false">EDATE('Start Here'!$B$6,C2063-1)</f>
        <v>46844</v>
      </c>
      <c r="E2063" s="23" t="n">
        <f aca="false">IF(AND(OR(Nonlabor!$D$18="Both",Nonlabor!$D$18='Start Here'!$B$9),IF(Nonlabor!$E$18="Core",1,IF(Nonlabor!$E$18="AI",'Start Here'!$B$7,'Start Here'!$B$8))=1,C2063&gt;=IF(Nonlabor!$E$18="Core",Nonlabor!$F$18,MAX(Nonlabor!$F$18,IF(Nonlabor!$E$18="AI",Assumptions!$D$24,Assumptions!$D$25))),C2063&lt;=Nonlabor!$G$18,OR(Nonlabor!$H$18="Monthly",AND(Nonlabor!$H$18="Once",C2063=IF(Nonlabor!$E$18="Core",Nonlabor!$F$18,MAX(Nonlabor!$F$18,IF(Nonlabor!$E$18="AI",Assumptions!$D$24,Assumptions!$D$25)))),AND(Nonlabor!$H$18="Annual",MOD(C2063-IF(Nonlabor!$E$18="Core",Nonlabor!$F$18,MAX(Nonlabor!$F$18,IF(Nonlabor!$E$18="AI",Assumptions!$D$24,Assumptions!$D$25))),12)=0))),IF(Nonlabor!$I$18="Fixed",1,IF(Nonlabor!$I$18="Seats",ROUNDUP('Monthly Base'!I23,0),IF(Nonlabor!$I$18="Customers",'Monthly Base'!D23,IF(Nonlabor!$I$18="NewCustomers",'Monthly Base'!C23,IF(Nonlabor!$I$18="StorageGB",'Monthly Base'!G23,IF(Nonlabor!$I$18="LogGB",'Monthly Base'!H23,IF(Nonlabor!$I$18="RequestsM",'Monthly Base'!F23,IF(Nonlabor!$I$18="InputM",'Monthly Base'!D23*Assumptions!$D$22/1000000,IF(Nonlabor!$I$18="OutputM",'Monthly Base'!D23*Assumptions!$D$23/1000000,0))))))))),0)</f>
        <v>0</v>
      </c>
      <c r="F2063" s="10" t="n">
        <f aca="false">Nonlabor!$J$18*(1+Assumptions!$D$9)^INT((C2063-1)/12)</f>
        <v>15450</v>
      </c>
      <c r="G2063" s="10" t="n">
        <f aca="false">E2063*F2063</f>
        <v>0</v>
      </c>
      <c r="H2063" s="10" t="n">
        <f aca="false">IF(OR(Nonlabor!$L$18="Quote required",Nonlabor!$L$18="Unverified"),G2063,0)</f>
        <v>0</v>
      </c>
      <c r="I2063" s="10" t="n">
        <f aca="false">IF(Nonlabor!$E$18="Core",0,G2063)</f>
        <v>0</v>
      </c>
      <c r="J2063" s="23" t="str">
        <f aca="false">Nonlabor!$B$18</f>
        <v>COMPLIANCE</v>
      </c>
    </row>
    <row r="2064" customFormat="false" ht="15" hidden="false" customHeight="false" outlineLevel="0" collapsed="false">
      <c r="A2064" s="6" t="s">
        <v>4</v>
      </c>
      <c r="B2064" s="6" t="s">
        <v>413</v>
      </c>
      <c r="C2064" s="6" t="n">
        <v>19</v>
      </c>
      <c r="D2064" s="25" t="n">
        <f aca="false">EDATE('Start Here'!$B$6,C2064-1)</f>
        <v>46874</v>
      </c>
      <c r="E2064" s="23" t="n">
        <f aca="false">IF(AND(OR(Nonlabor!$D$18="Both",Nonlabor!$D$18='Start Here'!$B$9),IF(Nonlabor!$E$18="Core",1,IF(Nonlabor!$E$18="AI",'Start Here'!$B$7,'Start Here'!$B$8))=1,C2064&gt;=IF(Nonlabor!$E$18="Core",Nonlabor!$F$18,MAX(Nonlabor!$F$18,IF(Nonlabor!$E$18="AI",Assumptions!$D$24,Assumptions!$D$25))),C2064&lt;=Nonlabor!$G$18,OR(Nonlabor!$H$18="Monthly",AND(Nonlabor!$H$18="Once",C2064=IF(Nonlabor!$E$18="Core",Nonlabor!$F$18,MAX(Nonlabor!$F$18,IF(Nonlabor!$E$18="AI",Assumptions!$D$24,Assumptions!$D$25)))),AND(Nonlabor!$H$18="Annual",MOD(C2064-IF(Nonlabor!$E$18="Core",Nonlabor!$F$18,MAX(Nonlabor!$F$18,IF(Nonlabor!$E$18="AI",Assumptions!$D$24,Assumptions!$D$25))),12)=0))),IF(Nonlabor!$I$18="Fixed",1,IF(Nonlabor!$I$18="Seats",ROUNDUP('Monthly Base'!I24,0),IF(Nonlabor!$I$18="Customers",'Monthly Base'!D24,IF(Nonlabor!$I$18="NewCustomers",'Monthly Base'!C24,IF(Nonlabor!$I$18="StorageGB",'Monthly Base'!G24,IF(Nonlabor!$I$18="LogGB",'Monthly Base'!H24,IF(Nonlabor!$I$18="RequestsM",'Monthly Base'!F24,IF(Nonlabor!$I$18="InputM",'Monthly Base'!D24*Assumptions!$D$22/1000000,IF(Nonlabor!$I$18="OutputM",'Monthly Base'!D24*Assumptions!$D$23/1000000,0))))))))),0)</f>
        <v>0</v>
      </c>
      <c r="F2064" s="10" t="n">
        <f aca="false">Nonlabor!$J$18*(1+Assumptions!$D$9)^INT((C2064-1)/12)</f>
        <v>15450</v>
      </c>
      <c r="G2064" s="10" t="n">
        <f aca="false">E2064*F2064</f>
        <v>0</v>
      </c>
      <c r="H2064" s="10" t="n">
        <f aca="false">IF(OR(Nonlabor!$L$18="Quote required",Nonlabor!$L$18="Unverified"),G2064,0)</f>
        <v>0</v>
      </c>
      <c r="I2064" s="10" t="n">
        <f aca="false">IF(Nonlabor!$E$18="Core",0,G2064)</f>
        <v>0</v>
      </c>
      <c r="J2064" s="23" t="str">
        <f aca="false">Nonlabor!$B$18</f>
        <v>COMPLIANCE</v>
      </c>
    </row>
    <row r="2065" customFormat="false" ht="15" hidden="false" customHeight="false" outlineLevel="0" collapsed="false">
      <c r="A2065" s="6" t="s">
        <v>4</v>
      </c>
      <c r="B2065" s="6" t="s">
        <v>413</v>
      </c>
      <c r="C2065" s="6" t="n">
        <v>20</v>
      </c>
      <c r="D2065" s="25" t="n">
        <f aca="false">EDATE('Start Here'!$B$6,C2065-1)</f>
        <v>46905</v>
      </c>
      <c r="E2065" s="23" t="n">
        <f aca="false">IF(AND(OR(Nonlabor!$D$18="Both",Nonlabor!$D$18='Start Here'!$B$9),IF(Nonlabor!$E$18="Core",1,IF(Nonlabor!$E$18="AI",'Start Here'!$B$7,'Start Here'!$B$8))=1,C2065&gt;=IF(Nonlabor!$E$18="Core",Nonlabor!$F$18,MAX(Nonlabor!$F$18,IF(Nonlabor!$E$18="AI",Assumptions!$D$24,Assumptions!$D$25))),C2065&lt;=Nonlabor!$G$18,OR(Nonlabor!$H$18="Monthly",AND(Nonlabor!$H$18="Once",C2065=IF(Nonlabor!$E$18="Core",Nonlabor!$F$18,MAX(Nonlabor!$F$18,IF(Nonlabor!$E$18="AI",Assumptions!$D$24,Assumptions!$D$25)))),AND(Nonlabor!$H$18="Annual",MOD(C2065-IF(Nonlabor!$E$18="Core",Nonlabor!$F$18,MAX(Nonlabor!$F$18,IF(Nonlabor!$E$18="AI",Assumptions!$D$24,Assumptions!$D$25))),12)=0))),IF(Nonlabor!$I$18="Fixed",1,IF(Nonlabor!$I$18="Seats",ROUNDUP('Monthly Base'!I25,0),IF(Nonlabor!$I$18="Customers",'Monthly Base'!D25,IF(Nonlabor!$I$18="NewCustomers",'Monthly Base'!C25,IF(Nonlabor!$I$18="StorageGB",'Monthly Base'!G25,IF(Nonlabor!$I$18="LogGB",'Monthly Base'!H25,IF(Nonlabor!$I$18="RequestsM",'Monthly Base'!F25,IF(Nonlabor!$I$18="InputM",'Monthly Base'!D25*Assumptions!$D$22/1000000,IF(Nonlabor!$I$18="OutputM",'Monthly Base'!D25*Assumptions!$D$23/1000000,0))))))))),0)</f>
        <v>0</v>
      </c>
      <c r="F2065" s="10" t="n">
        <f aca="false">Nonlabor!$J$18*(1+Assumptions!$D$9)^INT((C2065-1)/12)</f>
        <v>15450</v>
      </c>
      <c r="G2065" s="10" t="n">
        <f aca="false">E2065*F2065</f>
        <v>0</v>
      </c>
      <c r="H2065" s="10" t="n">
        <f aca="false">IF(OR(Nonlabor!$L$18="Quote required",Nonlabor!$L$18="Unverified"),G2065,0)</f>
        <v>0</v>
      </c>
      <c r="I2065" s="10" t="n">
        <f aca="false">IF(Nonlabor!$E$18="Core",0,G2065)</f>
        <v>0</v>
      </c>
      <c r="J2065" s="23" t="str">
        <f aca="false">Nonlabor!$B$18</f>
        <v>COMPLIANCE</v>
      </c>
    </row>
    <row r="2066" customFormat="false" ht="15" hidden="false" customHeight="false" outlineLevel="0" collapsed="false">
      <c r="A2066" s="6" t="s">
        <v>4</v>
      </c>
      <c r="B2066" s="6" t="s">
        <v>413</v>
      </c>
      <c r="C2066" s="6" t="n">
        <v>21</v>
      </c>
      <c r="D2066" s="25" t="n">
        <f aca="false">EDATE('Start Here'!$B$6,C2066-1)</f>
        <v>46935</v>
      </c>
      <c r="E2066" s="23" t="n">
        <f aca="false">IF(AND(OR(Nonlabor!$D$18="Both",Nonlabor!$D$18='Start Here'!$B$9),IF(Nonlabor!$E$18="Core",1,IF(Nonlabor!$E$18="AI",'Start Here'!$B$7,'Start Here'!$B$8))=1,C2066&gt;=IF(Nonlabor!$E$18="Core",Nonlabor!$F$18,MAX(Nonlabor!$F$18,IF(Nonlabor!$E$18="AI",Assumptions!$D$24,Assumptions!$D$25))),C2066&lt;=Nonlabor!$G$18,OR(Nonlabor!$H$18="Monthly",AND(Nonlabor!$H$18="Once",C2066=IF(Nonlabor!$E$18="Core",Nonlabor!$F$18,MAX(Nonlabor!$F$18,IF(Nonlabor!$E$18="AI",Assumptions!$D$24,Assumptions!$D$25)))),AND(Nonlabor!$H$18="Annual",MOD(C2066-IF(Nonlabor!$E$18="Core",Nonlabor!$F$18,MAX(Nonlabor!$F$18,IF(Nonlabor!$E$18="AI",Assumptions!$D$24,Assumptions!$D$25))),12)=0))),IF(Nonlabor!$I$18="Fixed",1,IF(Nonlabor!$I$18="Seats",ROUNDUP('Monthly Base'!I26,0),IF(Nonlabor!$I$18="Customers",'Monthly Base'!D26,IF(Nonlabor!$I$18="NewCustomers",'Monthly Base'!C26,IF(Nonlabor!$I$18="StorageGB",'Monthly Base'!G26,IF(Nonlabor!$I$18="LogGB",'Monthly Base'!H26,IF(Nonlabor!$I$18="RequestsM",'Monthly Base'!F26,IF(Nonlabor!$I$18="InputM",'Monthly Base'!D26*Assumptions!$D$22/1000000,IF(Nonlabor!$I$18="OutputM",'Monthly Base'!D26*Assumptions!$D$23/1000000,0))))))))),0)</f>
        <v>0</v>
      </c>
      <c r="F2066" s="10" t="n">
        <f aca="false">Nonlabor!$J$18*(1+Assumptions!$D$9)^INT((C2066-1)/12)</f>
        <v>15450</v>
      </c>
      <c r="G2066" s="10" t="n">
        <f aca="false">E2066*F2066</f>
        <v>0</v>
      </c>
      <c r="H2066" s="10" t="n">
        <f aca="false">IF(OR(Nonlabor!$L$18="Quote required",Nonlabor!$L$18="Unverified"),G2066,0)</f>
        <v>0</v>
      </c>
      <c r="I2066" s="10" t="n">
        <f aca="false">IF(Nonlabor!$E$18="Core",0,G2066)</f>
        <v>0</v>
      </c>
      <c r="J2066" s="23" t="str">
        <f aca="false">Nonlabor!$B$18</f>
        <v>COMPLIANCE</v>
      </c>
    </row>
    <row r="2067" customFormat="false" ht="15" hidden="false" customHeight="false" outlineLevel="0" collapsed="false">
      <c r="A2067" s="6" t="s">
        <v>4</v>
      </c>
      <c r="B2067" s="6" t="s">
        <v>413</v>
      </c>
      <c r="C2067" s="6" t="n">
        <v>22</v>
      </c>
      <c r="D2067" s="25" t="n">
        <f aca="false">EDATE('Start Here'!$B$6,C2067-1)</f>
        <v>46966</v>
      </c>
      <c r="E2067" s="23" t="n">
        <f aca="false">IF(AND(OR(Nonlabor!$D$18="Both",Nonlabor!$D$18='Start Here'!$B$9),IF(Nonlabor!$E$18="Core",1,IF(Nonlabor!$E$18="AI",'Start Here'!$B$7,'Start Here'!$B$8))=1,C2067&gt;=IF(Nonlabor!$E$18="Core",Nonlabor!$F$18,MAX(Nonlabor!$F$18,IF(Nonlabor!$E$18="AI",Assumptions!$D$24,Assumptions!$D$25))),C2067&lt;=Nonlabor!$G$18,OR(Nonlabor!$H$18="Monthly",AND(Nonlabor!$H$18="Once",C2067=IF(Nonlabor!$E$18="Core",Nonlabor!$F$18,MAX(Nonlabor!$F$18,IF(Nonlabor!$E$18="AI",Assumptions!$D$24,Assumptions!$D$25)))),AND(Nonlabor!$H$18="Annual",MOD(C2067-IF(Nonlabor!$E$18="Core",Nonlabor!$F$18,MAX(Nonlabor!$F$18,IF(Nonlabor!$E$18="AI",Assumptions!$D$24,Assumptions!$D$25))),12)=0))),IF(Nonlabor!$I$18="Fixed",1,IF(Nonlabor!$I$18="Seats",ROUNDUP('Monthly Base'!I27,0),IF(Nonlabor!$I$18="Customers",'Monthly Base'!D27,IF(Nonlabor!$I$18="NewCustomers",'Monthly Base'!C27,IF(Nonlabor!$I$18="StorageGB",'Monthly Base'!G27,IF(Nonlabor!$I$18="LogGB",'Monthly Base'!H27,IF(Nonlabor!$I$18="RequestsM",'Monthly Base'!F27,IF(Nonlabor!$I$18="InputM",'Monthly Base'!D27*Assumptions!$D$22/1000000,IF(Nonlabor!$I$18="OutputM",'Monthly Base'!D27*Assumptions!$D$23/1000000,0))))))))),0)</f>
        <v>0</v>
      </c>
      <c r="F2067" s="10" t="n">
        <f aca="false">Nonlabor!$J$18*(1+Assumptions!$D$9)^INT((C2067-1)/12)</f>
        <v>15450</v>
      </c>
      <c r="G2067" s="10" t="n">
        <f aca="false">E2067*F2067</f>
        <v>0</v>
      </c>
      <c r="H2067" s="10" t="n">
        <f aca="false">IF(OR(Nonlabor!$L$18="Quote required",Nonlabor!$L$18="Unverified"),G2067,0)</f>
        <v>0</v>
      </c>
      <c r="I2067" s="10" t="n">
        <f aca="false">IF(Nonlabor!$E$18="Core",0,G2067)</f>
        <v>0</v>
      </c>
      <c r="J2067" s="23" t="str">
        <f aca="false">Nonlabor!$B$18</f>
        <v>COMPLIANCE</v>
      </c>
    </row>
    <row r="2068" customFormat="false" ht="15" hidden="false" customHeight="false" outlineLevel="0" collapsed="false">
      <c r="A2068" s="6" t="s">
        <v>4</v>
      </c>
      <c r="B2068" s="6" t="s">
        <v>413</v>
      </c>
      <c r="C2068" s="6" t="n">
        <v>23</v>
      </c>
      <c r="D2068" s="25" t="n">
        <f aca="false">EDATE('Start Here'!$B$6,C2068-1)</f>
        <v>46997</v>
      </c>
      <c r="E2068" s="23" t="n">
        <f aca="false">IF(AND(OR(Nonlabor!$D$18="Both",Nonlabor!$D$18='Start Here'!$B$9),IF(Nonlabor!$E$18="Core",1,IF(Nonlabor!$E$18="AI",'Start Here'!$B$7,'Start Here'!$B$8))=1,C2068&gt;=IF(Nonlabor!$E$18="Core",Nonlabor!$F$18,MAX(Nonlabor!$F$18,IF(Nonlabor!$E$18="AI",Assumptions!$D$24,Assumptions!$D$25))),C2068&lt;=Nonlabor!$G$18,OR(Nonlabor!$H$18="Monthly",AND(Nonlabor!$H$18="Once",C2068=IF(Nonlabor!$E$18="Core",Nonlabor!$F$18,MAX(Nonlabor!$F$18,IF(Nonlabor!$E$18="AI",Assumptions!$D$24,Assumptions!$D$25)))),AND(Nonlabor!$H$18="Annual",MOD(C2068-IF(Nonlabor!$E$18="Core",Nonlabor!$F$18,MAX(Nonlabor!$F$18,IF(Nonlabor!$E$18="AI",Assumptions!$D$24,Assumptions!$D$25))),12)=0))),IF(Nonlabor!$I$18="Fixed",1,IF(Nonlabor!$I$18="Seats",ROUNDUP('Monthly Base'!I28,0),IF(Nonlabor!$I$18="Customers",'Monthly Base'!D28,IF(Nonlabor!$I$18="NewCustomers",'Monthly Base'!C28,IF(Nonlabor!$I$18="StorageGB",'Monthly Base'!G28,IF(Nonlabor!$I$18="LogGB",'Monthly Base'!H28,IF(Nonlabor!$I$18="RequestsM",'Monthly Base'!F28,IF(Nonlabor!$I$18="InputM",'Monthly Base'!D28*Assumptions!$D$22/1000000,IF(Nonlabor!$I$18="OutputM",'Monthly Base'!D28*Assumptions!$D$23/1000000,0))))))))),0)</f>
        <v>1</v>
      </c>
      <c r="F2068" s="10" t="n">
        <f aca="false">Nonlabor!$J$18*(1+Assumptions!$D$9)^INT((C2068-1)/12)</f>
        <v>15450</v>
      </c>
      <c r="G2068" s="10" t="n">
        <f aca="false">E2068*F2068</f>
        <v>15450</v>
      </c>
      <c r="H2068" s="10" t="n">
        <f aca="false">IF(OR(Nonlabor!$L$18="Quote required",Nonlabor!$L$18="Unverified"),G2068,0)</f>
        <v>15450</v>
      </c>
      <c r="I2068" s="10" t="n">
        <f aca="false">IF(Nonlabor!$E$18="Core",0,G2068)</f>
        <v>0</v>
      </c>
      <c r="J2068" s="23" t="str">
        <f aca="false">Nonlabor!$B$18</f>
        <v>COMPLIANCE</v>
      </c>
    </row>
    <row r="2069" customFormat="false" ht="15" hidden="false" customHeight="false" outlineLevel="0" collapsed="false">
      <c r="A2069" s="6" t="s">
        <v>4</v>
      </c>
      <c r="B2069" s="6" t="s">
        <v>413</v>
      </c>
      <c r="C2069" s="6" t="n">
        <v>24</v>
      </c>
      <c r="D2069" s="25" t="n">
        <f aca="false">EDATE('Start Here'!$B$6,C2069-1)</f>
        <v>47027</v>
      </c>
      <c r="E2069" s="23" t="n">
        <f aca="false">IF(AND(OR(Nonlabor!$D$18="Both",Nonlabor!$D$18='Start Here'!$B$9),IF(Nonlabor!$E$18="Core",1,IF(Nonlabor!$E$18="AI",'Start Here'!$B$7,'Start Here'!$B$8))=1,C2069&gt;=IF(Nonlabor!$E$18="Core",Nonlabor!$F$18,MAX(Nonlabor!$F$18,IF(Nonlabor!$E$18="AI",Assumptions!$D$24,Assumptions!$D$25))),C2069&lt;=Nonlabor!$G$18,OR(Nonlabor!$H$18="Monthly",AND(Nonlabor!$H$18="Once",C2069=IF(Nonlabor!$E$18="Core",Nonlabor!$F$18,MAX(Nonlabor!$F$18,IF(Nonlabor!$E$18="AI",Assumptions!$D$24,Assumptions!$D$25)))),AND(Nonlabor!$H$18="Annual",MOD(C2069-IF(Nonlabor!$E$18="Core",Nonlabor!$F$18,MAX(Nonlabor!$F$18,IF(Nonlabor!$E$18="AI",Assumptions!$D$24,Assumptions!$D$25))),12)=0))),IF(Nonlabor!$I$18="Fixed",1,IF(Nonlabor!$I$18="Seats",ROUNDUP('Monthly Base'!I29,0),IF(Nonlabor!$I$18="Customers",'Monthly Base'!D29,IF(Nonlabor!$I$18="NewCustomers",'Monthly Base'!C29,IF(Nonlabor!$I$18="StorageGB",'Monthly Base'!G29,IF(Nonlabor!$I$18="LogGB",'Monthly Base'!H29,IF(Nonlabor!$I$18="RequestsM",'Monthly Base'!F29,IF(Nonlabor!$I$18="InputM",'Monthly Base'!D29*Assumptions!$D$22/1000000,IF(Nonlabor!$I$18="OutputM",'Monthly Base'!D29*Assumptions!$D$23/1000000,0))))))))),0)</f>
        <v>0</v>
      </c>
      <c r="F2069" s="10" t="n">
        <f aca="false">Nonlabor!$J$18*(1+Assumptions!$D$9)^INT((C2069-1)/12)</f>
        <v>15450</v>
      </c>
      <c r="G2069" s="10" t="n">
        <f aca="false">E2069*F2069</f>
        <v>0</v>
      </c>
      <c r="H2069" s="10" t="n">
        <f aca="false">IF(OR(Nonlabor!$L$18="Quote required",Nonlabor!$L$18="Unverified"),G2069,0)</f>
        <v>0</v>
      </c>
      <c r="I2069" s="10" t="n">
        <f aca="false">IF(Nonlabor!$E$18="Core",0,G2069)</f>
        <v>0</v>
      </c>
      <c r="J2069" s="23" t="str">
        <f aca="false">Nonlabor!$B$18</f>
        <v>COMPLIANCE</v>
      </c>
    </row>
    <row r="2070" customFormat="false" ht="15" hidden="false" customHeight="false" outlineLevel="0" collapsed="false">
      <c r="A2070" s="6" t="s">
        <v>4</v>
      </c>
      <c r="B2070" s="6" t="s">
        <v>413</v>
      </c>
      <c r="C2070" s="6" t="n">
        <v>25</v>
      </c>
      <c r="D2070" s="25" t="n">
        <f aca="false">EDATE('Start Here'!$B$6,C2070-1)</f>
        <v>47058</v>
      </c>
      <c r="E2070" s="23" t="n">
        <f aca="false">IF(AND(OR(Nonlabor!$D$18="Both",Nonlabor!$D$18='Start Here'!$B$9),IF(Nonlabor!$E$18="Core",1,IF(Nonlabor!$E$18="AI",'Start Here'!$B$7,'Start Here'!$B$8))=1,C2070&gt;=IF(Nonlabor!$E$18="Core",Nonlabor!$F$18,MAX(Nonlabor!$F$18,IF(Nonlabor!$E$18="AI",Assumptions!$D$24,Assumptions!$D$25))),C2070&lt;=Nonlabor!$G$18,OR(Nonlabor!$H$18="Monthly",AND(Nonlabor!$H$18="Once",C2070=IF(Nonlabor!$E$18="Core",Nonlabor!$F$18,MAX(Nonlabor!$F$18,IF(Nonlabor!$E$18="AI",Assumptions!$D$24,Assumptions!$D$25)))),AND(Nonlabor!$H$18="Annual",MOD(C2070-IF(Nonlabor!$E$18="Core",Nonlabor!$F$18,MAX(Nonlabor!$F$18,IF(Nonlabor!$E$18="AI",Assumptions!$D$24,Assumptions!$D$25))),12)=0))),IF(Nonlabor!$I$18="Fixed",1,IF(Nonlabor!$I$18="Seats",ROUNDUP('Monthly Base'!I30,0),IF(Nonlabor!$I$18="Customers",'Monthly Base'!D30,IF(Nonlabor!$I$18="NewCustomers",'Monthly Base'!C30,IF(Nonlabor!$I$18="StorageGB",'Monthly Base'!G30,IF(Nonlabor!$I$18="LogGB",'Monthly Base'!H30,IF(Nonlabor!$I$18="RequestsM",'Monthly Base'!F30,IF(Nonlabor!$I$18="InputM",'Monthly Base'!D30*Assumptions!$D$22/1000000,IF(Nonlabor!$I$18="OutputM",'Monthly Base'!D30*Assumptions!$D$23/1000000,0))))))))),0)</f>
        <v>0</v>
      </c>
      <c r="F2070" s="10" t="n">
        <f aca="false">Nonlabor!$J$18*(1+Assumptions!$D$9)^INT((C2070-1)/12)</f>
        <v>15913.5</v>
      </c>
      <c r="G2070" s="10" t="n">
        <f aca="false">E2070*F2070</f>
        <v>0</v>
      </c>
      <c r="H2070" s="10" t="n">
        <f aca="false">IF(OR(Nonlabor!$L$18="Quote required",Nonlabor!$L$18="Unverified"),G2070,0)</f>
        <v>0</v>
      </c>
      <c r="I2070" s="10" t="n">
        <f aca="false">IF(Nonlabor!$E$18="Core",0,G2070)</f>
        <v>0</v>
      </c>
      <c r="J2070" s="23" t="str">
        <f aca="false">Nonlabor!$B$18</f>
        <v>COMPLIANCE</v>
      </c>
    </row>
    <row r="2071" customFormat="false" ht="15" hidden="false" customHeight="false" outlineLevel="0" collapsed="false">
      <c r="A2071" s="6" t="s">
        <v>4</v>
      </c>
      <c r="B2071" s="6" t="s">
        <v>413</v>
      </c>
      <c r="C2071" s="6" t="n">
        <v>26</v>
      </c>
      <c r="D2071" s="25" t="n">
        <f aca="false">EDATE('Start Here'!$B$6,C2071-1)</f>
        <v>47088</v>
      </c>
      <c r="E2071" s="23" t="n">
        <f aca="false">IF(AND(OR(Nonlabor!$D$18="Both",Nonlabor!$D$18='Start Here'!$B$9),IF(Nonlabor!$E$18="Core",1,IF(Nonlabor!$E$18="AI",'Start Here'!$B$7,'Start Here'!$B$8))=1,C2071&gt;=IF(Nonlabor!$E$18="Core",Nonlabor!$F$18,MAX(Nonlabor!$F$18,IF(Nonlabor!$E$18="AI",Assumptions!$D$24,Assumptions!$D$25))),C2071&lt;=Nonlabor!$G$18,OR(Nonlabor!$H$18="Monthly",AND(Nonlabor!$H$18="Once",C2071=IF(Nonlabor!$E$18="Core",Nonlabor!$F$18,MAX(Nonlabor!$F$18,IF(Nonlabor!$E$18="AI",Assumptions!$D$24,Assumptions!$D$25)))),AND(Nonlabor!$H$18="Annual",MOD(C2071-IF(Nonlabor!$E$18="Core",Nonlabor!$F$18,MAX(Nonlabor!$F$18,IF(Nonlabor!$E$18="AI",Assumptions!$D$24,Assumptions!$D$25))),12)=0))),IF(Nonlabor!$I$18="Fixed",1,IF(Nonlabor!$I$18="Seats",ROUNDUP('Monthly Base'!I31,0),IF(Nonlabor!$I$18="Customers",'Monthly Base'!D31,IF(Nonlabor!$I$18="NewCustomers",'Monthly Base'!C31,IF(Nonlabor!$I$18="StorageGB",'Monthly Base'!G31,IF(Nonlabor!$I$18="LogGB",'Monthly Base'!H31,IF(Nonlabor!$I$18="RequestsM",'Monthly Base'!F31,IF(Nonlabor!$I$18="InputM",'Monthly Base'!D31*Assumptions!$D$22/1000000,IF(Nonlabor!$I$18="OutputM",'Monthly Base'!D31*Assumptions!$D$23/1000000,0))))))))),0)</f>
        <v>0</v>
      </c>
      <c r="F2071" s="10" t="n">
        <f aca="false">Nonlabor!$J$18*(1+Assumptions!$D$9)^INT((C2071-1)/12)</f>
        <v>15913.5</v>
      </c>
      <c r="G2071" s="10" t="n">
        <f aca="false">E2071*F2071</f>
        <v>0</v>
      </c>
      <c r="H2071" s="10" t="n">
        <f aca="false">IF(OR(Nonlabor!$L$18="Quote required",Nonlabor!$L$18="Unverified"),G2071,0)</f>
        <v>0</v>
      </c>
      <c r="I2071" s="10" t="n">
        <f aca="false">IF(Nonlabor!$E$18="Core",0,G2071)</f>
        <v>0</v>
      </c>
      <c r="J2071" s="23" t="str">
        <f aca="false">Nonlabor!$B$18</f>
        <v>COMPLIANCE</v>
      </c>
    </row>
    <row r="2072" customFormat="false" ht="15" hidden="false" customHeight="false" outlineLevel="0" collapsed="false">
      <c r="A2072" s="6" t="s">
        <v>4</v>
      </c>
      <c r="B2072" s="6" t="s">
        <v>413</v>
      </c>
      <c r="C2072" s="6" t="n">
        <v>27</v>
      </c>
      <c r="D2072" s="25" t="n">
        <f aca="false">EDATE('Start Here'!$B$6,C2072-1)</f>
        <v>47119</v>
      </c>
      <c r="E2072" s="23" t="n">
        <f aca="false">IF(AND(OR(Nonlabor!$D$18="Both",Nonlabor!$D$18='Start Here'!$B$9),IF(Nonlabor!$E$18="Core",1,IF(Nonlabor!$E$18="AI",'Start Here'!$B$7,'Start Here'!$B$8))=1,C2072&gt;=IF(Nonlabor!$E$18="Core",Nonlabor!$F$18,MAX(Nonlabor!$F$18,IF(Nonlabor!$E$18="AI",Assumptions!$D$24,Assumptions!$D$25))),C2072&lt;=Nonlabor!$G$18,OR(Nonlabor!$H$18="Monthly",AND(Nonlabor!$H$18="Once",C2072=IF(Nonlabor!$E$18="Core",Nonlabor!$F$18,MAX(Nonlabor!$F$18,IF(Nonlabor!$E$18="AI",Assumptions!$D$24,Assumptions!$D$25)))),AND(Nonlabor!$H$18="Annual",MOD(C2072-IF(Nonlabor!$E$18="Core",Nonlabor!$F$18,MAX(Nonlabor!$F$18,IF(Nonlabor!$E$18="AI",Assumptions!$D$24,Assumptions!$D$25))),12)=0))),IF(Nonlabor!$I$18="Fixed",1,IF(Nonlabor!$I$18="Seats",ROUNDUP('Monthly Base'!I32,0),IF(Nonlabor!$I$18="Customers",'Monthly Base'!D32,IF(Nonlabor!$I$18="NewCustomers",'Monthly Base'!C32,IF(Nonlabor!$I$18="StorageGB",'Monthly Base'!G32,IF(Nonlabor!$I$18="LogGB",'Monthly Base'!H32,IF(Nonlabor!$I$18="RequestsM",'Monthly Base'!F32,IF(Nonlabor!$I$18="InputM",'Monthly Base'!D32*Assumptions!$D$22/1000000,IF(Nonlabor!$I$18="OutputM",'Monthly Base'!D32*Assumptions!$D$23/1000000,0))))))))),0)</f>
        <v>0</v>
      </c>
      <c r="F2072" s="10" t="n">
        <f aca="false">Nonlabor!$J$18*(1+Assumptions!$D$9)^INT((C2072-1)/12)</f>
        <v>15913.5</v>
      </c>
      <c r="G2072" s="10" t="n">
        <f aca="false">E2072*F2072</f>
        <v>0</v>
      </c>
      <c r="H2072" s="10" t="n">
        <f aca="false">IF(OR(Nonlabor!$L$18="Quote required",Nonlabor!$L$18="Unverified"),G2072,0)</f>
        <v>0</v>
      </c>
      <c r="I2072" s="10" t="n">
        <f aca="false">IF(Nonlabor!$E$18="Core",0,G2072)</f>
        <v>0</v>
      </c>
      <c r="J2072" s="23" t="str">
        <f aca="false">Nonlabor!$B$18</f>
        <v>COMPLIANCE</v>
      </c>
    </row>
    <row r="2073" customFormat="false" ht="15" hidden="false" customHeight="false" outlineLevel="0" collapsed="false">
      <c r="A2073" s="6" t="s">
        <v>4</v>
      </c>
      <c r="B2073" s="6" t="s">
        <v>413</v>
      </c>
      <c r="C2073" s="6" t="n">
        <v>28</v>
      </c>
      <c r="D2073" s="25" t="n">
        <f aca="false">EDATE('Start Here'!$B$6,C2073-1)</f>
        <v>47150</v>
      </c>
      <c r="E2073" s="23" t="n">
        <f aca="false">IF(AND(OR(Nonlabor!$D$18="Both",Nonlabor!$D$18='Start Here'!$B$9),IF(Nonlabor!$E$18="Core",1,IF(Nonlabor!$E$18="AI",'Start Here'!$B$7,'Start Here'!$B$8))=1,C2073&gt;=IF(Nonlabor!$E$18="Core",Nonlabor!$F$18,MAX(Nonlabor!$F$18,IF(Nonlabor!$E$18="AI",Assumptions!$D$24,Assumptions!$D$25))),C2073&lt;=Nonlabor!$G$18,OR(Nonlabor!$H$18="Monthly",AND(Nonlabor!$H$18="Once",C2073=IF(Nonlabor!$E$18="Core",Nonlabor!$F$18,MAX(Nonlabor!$F$18,IF(Nonlabor!$E$18="AI",Assumptions!$D$24,Assumptions!$D$25)))),AND(Nonlabor!$H$18="Annual",MOD(C2073-IF(Nonlabor!$E$18="Core",Nonlabor!$F$18,MAX(Nonlabor!$F$18,IF(Nonlabor!$E$18="AI",Assumptions!$D$24,Assumptions!$D$25))),12)=0))),IF(Nonlabor!$I$18="Fixed",1,IF(Nonlabor!$I$18="Seats",ROUNDUP('Monthly Base'!I33,0),IF(Nonlabor!$I$18="Customers",'Monthly Base'!D33,IF(Nonlabor!$I$18="NewCustomers",'Monthly Base'!C33,IF(Nonlabor!$I$18="StorageGB",'Monthly Base'!G33,IF(Nonlabor!$I$18="LogGB",'Monthly Base'!H33,IF(Nonlabor!$I$18="RequestsM",'Monthly Base'!F33,IF(Nonlabor!$I$18="InputM",'Monthly Base'!D33*Assumptions!$D$22/1000000,IF(Nonlabor!$I$18="OutputM",'Monthly Base'!D33*Assumptions!$D$23/1000000,0))))))))),0)</f>
        <v>0</v>
      </c>
      <c r="F2073" s="10" t="n">
        <f aca="false">Nonlabor!$J$18*(1+Assumptions!$D$9)^INT((C2073-1)/12)</f>
        <v>15913.5</v>
      </c>
      <c r="G2073" s="10" t="n">
        <f aca="false">E2073*F2073</f>
        <v>0</v>
      </c>
      <c r="H2073" s="10" t="n">
        <f aca="false">IF(OR(Nonlabor!$L$18="Quote required",Nonlabor!$L$18="Unverified"),G2073,0)</f>
        <v>0</v>
      </c>
      <c r="I2073" s="10" t="n">
        <f aca="false">IF(Nonlabor!$E$18="Core",0,G2073)</f>
        <v>0</v>
      </c>
      <c r="J2073" s="23" t="str">
        <f aca="false">Nonlabor!$B$18</f>
        <v>COMPLIANCE</v>
      </c>
    </row>
    <row r="2074" customFormat="false" ht="15" hidden="false" customHeight="false" outlineLevel="0" collapsed="false">
      <c r="A2074" s="6" t="s">
        <v>4</v>
      </c>
      <c r="B2074" s="6" t="s">
        <v>413</v>
      </c>
      <c r="C2074" s="6" t="n">
        <v>29</v>
      </c>
      <c r="D2074" s="25" t="n">
        <f aca="false">EDATE('Start Here'!$B$6,C2074-1)</f>
        <v>47178</v>
      </c>
      <c r="E2074" s="23" t="n">
        <f aca="false">IF(AND(OR(Nonlabor!$D$18="Both",Nonlabor!$D$18='Start Here'!$B$9),IF(Nonlabor!$E$18="Core",1,IF(Nonlabor!$E$18="AI",'Start Here'!$B$7,'Start Here'!$B$8))=1,C2074&gt;=IF(Nonlabor!$E$18="Core",Nonlabor!$F$18,MAX(Nonlabor!$F$18,IF(Nonlabor!$E$18="AI",Assumptions!$D$24,Assumptions!$D$25))),C2074&lt;=Nonlabor!$G$18,OR(Nonlabor!$H$18="Monthly",AND(Nonlabor!$H$18="Once",C2074=IF(Nonlabor!$E$18="Core",Nonlabor!$F$18,MAX(Nonlabor!$F$18,IF(Nonlabor!$E$18="AI",Assumptions!$D$24,Assumptions!$D$25)))),AND(Nonlabor!$H$18="Annual",MOD(C2074-IF(Nonlabor!$E$18="Core",Nonlabor!$F$18,MAX(Nonlabor!$F$18,IF(Nonlabor!$E$18="AI",Assumptions!$D$24,Assumptions!$D$25))),12)=0))),IF(Nonlabor!$I$18="Fixed",1,IF(Nonlabor!$I$18="Seats",ROUNDUP('Monthly Base'!I34,0),IF(Nonlabor!$I$18="Customers",'Monthly Base'!D34,IF(Nonlabor!$I$18="NewCustomers",'Monthly Base'!C34,IF(Nonlabor!$I$18="StorageGB",'Monthly Base'!G34,IF(Nonlabor!$I$18="LogGB",'Monthly Base'!H34,IF(Nonlabor!$I$18="RequestsM",'Monthly Base'!F34,IF(Nonlabor!$I$18="InputM",'Monthly Base'!D34*Assumptions!$D$22/1000000,IF(Nonlabor!$I$18="OutputM",'Monthly Base'!D34*Assumptions!$D$23/1000000,0))))))))),0)</f>
        <v>0</v>
      </c>
      <c r="F2074" s="10" t="n">
        <f aca="false">Nonlabor!$J$18*(1+Assumptions!$D$9)^INT((C2074-1)/12)</f>
        <v>15913.5</v>
      </c>
      <c r="G2074" s="10" t="n">
        <f aca="false">E2074*F2074</f>
        <v>0</v>
      </c>
      <c r="H2074" s="10" t="n">
        <f aca="false">IF(OR(Nonlabor!$L$18="Quote required",Nonlabor!$L$18="Unverified"),G2074,0)</f>
        <v>0</v>
      </c>
      <c r="I2074" s="10" t="n">
        <f aca="false">IF(Nonlabor!$E$18="Core",0,G2074)</f>
        <v>0</v>
      </c>
      <c r="J2074" s="23" t="str">
        <f aca="false">Nonlabor!$B$18</f>
        <v>COMPLIANCE</v>
      </c>
    </row>
    <row r="2075" customFormat="false" ht="15" hidden="false" customHeight="false" outlineLevel="0" collapsed="false">
      <c r="A2075" s="6" t="s">
        <v>4</v>
      </c>
      <c r="B2075" s="6" t="s">
        <v>413</v>
      </c>
      <c r="C2075" s="6" t="n">
        <v>30</v>
      </c>
      <c r="D2075" s="25" t="n">
        <f aca="false">EDATE('Start Here'!$B$6,C2075-1)</f>
        <v>47209</v>
      </c>
      <c r="E2075" s="23" t="n">
        <f aca="false">IF(AND(OR(Nonlabor!$D$18="Both",Nonlabor!$D$18='Start Here'!$B$9),IF(Nonlabor!$E$18="Core",1,IF(Nonlabor!$E$18="AI",'Start Here'!$B$7,'Start Here'!$B$8))=1,C2075&gt;=IF(Nonlabor!$E$18="Core",Nonlabor!$F$18,MAX(Nonlabor!$F$18,IF(Nonlabor!$E$18="AI",Assumptions!$D$24,Assumptions!$D$25))),C2075&lt;=Nonlabor!$G$18,OR(Nonlabor!$H$18="Monthly",AND(Nonlabor!$H$18="Once",C2075=IF(Nonlabor!$E$18="Core",Nonlabor!$F$18,MAX(Nonlabor!$F$18,IF(Nonlabor!$E$18="AI",Assumptions!$D$24,Assumptions!$D$25)))),AND(Nonlabor!$H$18="Annual",MOD(C2075-IF(Nonlabor!$E$18="Core",Nonlabor!$F$18,MAX(Nonlabor!$F$18,IF(Nonlabor!$E$18="AI",Assumptions!$D$24,Assumptions!$D$25))),12)=0))),IF(Nonlabor!$I$18="Fixed",1,IF(Nonlabor!$I$18="Seats",ROUNDUP('Monthly Base'!I35,0),IF(Nonlabor!$I$18="Customers",'Monthly Base'!D35,IF(Nonlabor!$I$18="NewCustomers",'Monthly Base'!C35,IF(Nonlabor!$I$18="StorageGB",'Monthly Base'!G35,IF(Nonlabor!$I$18="LogGB",'Monthly Base'!H35,IF(Nonlabor!$I$18="RequestsM",'Monthly Base'!F35,IF(Nonlabor!$I$18="InputM",'Monthly Base'!D35*Assumptions!$D$22/1000000,IF(Nonlabor!$I$18="OutputM",'Monthly Base'!D35*Assumptions!$D$23/1000000,0))))))))),0)</f>
        <v>0</v>
      </c>
      <c r="F2075" s="10" t="n">
        <f aca="false">Nonlabor!$J$18*(1+Assumptions!$D$9)^INT((C2075-1)/12)</f>
        <v>15913.5</v>
      </c>
      <c r="G2075" s="10" t="n">
        <f aca="false">E2075*F2075</f>
        <v>0</v>
      </c>
      <c r="H2075" s="10" t="n">
        <f aca="false">IF(OR(Nonlabor!$L$18="Quote required",Nonlabor!$L$18="Unverified"),G2075,0)</f>
        <v>0</v>
      </c>
      <c r="I2075" s="10" t="n">
        <f aca="false">IF(Nonlabor!$E$18="Core",0,G2075)</f>
        <v>0</v>
      </c>
      <c r="J2075" s="23" t="str">
        <f aca="false">Nonlabor!$B$18</f>
        <v>COMPLIANCE</v>
      </c>
    </row>
    <row r="2076" customFormat="false" ht="15" hidden="false" customHeight="false" outlineLevel="0" collapsed="false">
      <c r="A2076" s="6" t="s">
        <v>4</v>
      </c>
      <c r="B2076" s="6" t="s">
        <v>413</v>
      </c>
      <c r="C2076" s="6" t="n">
        <v>31</v>
      </c>
      <c r="D2076" s="25" t="n">
        <f aca="false">EDATE('Start Here'!$B$6,C2076-1)</f>
        <v>47239</v>
      </c>
      <c r="E2076" s="23" t="n">
        <f aca="false">IF(AND(OR(Nonlabor!$D$18="Both",Nonlabor!$D$18='Start Here'!$B$9),IF(Nonlabor!$E$18="Core",1,IF(Nonlabor!$E$18="AI",'Start Here'!$B$7,'Start Here'!$B$8))=1,C2076&gt;=IF(Nonlabor!$E$18="Core",Nonlabor!$F$18,MAX(Nonlabor!$F$18,IF(Nonlabor!$E$18="AI",Assumptions!$D$24,Assumptions!$D$25))),C2076&lt;=Nonlabor!$G$18,OR(Nonlabor!$H$18="Monthly",AND(Nonlabor!$H$18="Once",C2076=IF(Nonlabor!$E$18="Core",Nonlabor!$F$18,MAX(Nonlabor!$F$18,IF(Nonlabor!$E$18="AI",Assumptions!$D$24,Assumptions!$D$25)))),AND(Nonlabor!$H$18="Annual",MOD(C2076-IF(Nonlabor!$E$18="Core",Nonlabor!$F$18,MAX(Nonlabor!$F$18,IF(Nonlabor!$E$18="AI",Assumptions!$D$24,Assumptions!$D$25))),12)=0))),IF(Nonlabor!$I$18="Fixed",1,IF(Nonlabor!$I$18="Seats",ROUNDUP('Monthly Base'!I36,0),IF(Nonlabor!$I$18="Customers",'Monthly Base'!D36,IF(Nonlabor!$I$18="NewCustomers",'Monthly Base'!C36,IF(Nonlabor!$I$18="StorageGB",'Monthly Base'!G36,IF(Nonlabor!$I$18="LogGB",'Monthly Base'!H36,IF(Nonlabor!$I$18="RequestsM",'Monthly Base'!F36,IF(Nonlabor!$I$18="InputM",'Monthly Base'!D36*Assumptions!$D$22/1000000,IF(Nonlabor!$I$18="OutputM",'Monthly Base'!D36*Assumptions!$D$23/1000000,0))))))))),0)</f>
        <v>0</v>
      </c>
      <c r="F2076" s="10" t="n">
        <f aca="false">Nonlabor!$J$18*(1+Assumptions!$D$9)^INT((C2076-1)/12)</f>
        <v>15913.5</v>
      </c>
      <c r="G2076" s="10" t="n">
        <f aca="false">E2076*F2076</f>
        <v>0</v>
      </c>
      <c r="H2076" s="10" t="n">
        <f aca="false">IF(OR(Nonlabor!$L$18="Quote required",Nonlabor!$L$18="Unverified"),G2076,0)</f>
        <v>0</v>
      </c>
      <c r="I2076" s="10" t="n">
        <f aca="false">IF(Nonlabor!$E$18="Core",0,G2076)</f>
        <v>0</v>
      </c>
      <c r="J2076" s="23" t="str">
        <f aca="false">Nonlabor!$B$18</f>
        <v>COMPLIANCE</v>
      </c>
    </row>
    <row r="2077" customFormat="false" ht="15" hidden="false" customHeight="false" outlineLevel="0" collapsed="false">
      <c r="A2077" s="6" t="s">
        <v>4</v>
      </c>
      <c r="B2077" s="6" t="s">
        <v>413</v>
      </c>
      <c r="C2077" s="6" t="n">
        <v>32</v>
      </c>
      <c r="D2077" s="25" t="n">
        <f aca="false">EDATE('Start Here'!$B$6,C2077-1)</f>
        <v>47270</v>
      </c>
      <c r="E2077" s="23" t="n">
        <f aca="false">IF(AND(OR(Nonlabor!$D$18="Both",Nonlabor!$D$18='Start Here'!$B$9),IF(Nonlabor!$E$18="Core",1,IF(Nonlabor!$E$18="AI",'Start Here'!$B$7,'Start Here'!$B$8))=1,C2077&gt;=IF(Nonlabor!$E$18="Core",Nonlabor!$F$18,MAX(Nonlabor!$F$18,IF(Nonlabor!$E$18="AI",Assumptions!$D$24,Assumptions!$D$25))),C2077&lt;=Nonlabor!$G$18,OR(Nonlabor!$H$18="Monthly",AND(Nonlabor!$H$18="Once",C2077=IF(Nonlabor!$E$18="Core",Nonlabor!$F$18,MAX(Nonlabor!$F$18,IF(Nonlabor!$E$18="AI",Assumptions!$D$24,Assumptions!$D$25)))),AND(Nonlabor!$H$18="Annual",MOD(C2077-IF(Nonlabor!$E$18="Core",Nonlabor!$F$18,MAX(Nonlabor!$F$18,IF(Nonlabor!$E$18="AI",Assumptions!$D$24,Assumptions!$D$25))),12)=0))),IF(Nonlabor!$I$18="Fixed",1,IF(Nonlabor!$I$18="Seats",ROUNDUP('Monthly Base'!I37,0),IF(Nonlabor!$I$18="Customers",'Monthly Base'!D37,IF(Nonlabor!$I$18="NewCustomers",'Monthly Base'!C37,IF(Nonlabor!$I$18="StorageGB",'Monthly Base'!G37,IF(Nonlabor!$I$18="LogGB",'Monthly Base'!H37,IF(Nonlabor!$I$18="RequestsM",'Monthly Base'!F37,IF(Nonlabor!$I$18="InputM",'Monthly Base'!D37*Assumptions!$D$22/1000000,IF(Nonlabor!$I$18="OutputM",'Monthly Base'!D37*Assumptions!$D$23/1000000,0))))))))),0)</f>
        <v>0</v>
      </c>
      <c r="F2077" s="10" t="n">
        <f aca="false">Nonlabor!$J$18*(1+Assumptions!$D$9)^INT((C2077-1)/12)</f>
        <v>15913.5</v>
      </c>
      <c r="G2077" s="10" t="n">
        <f aca="false">E2077*F2077</f>
        <v>0</v>
      </c>
      <c r="H2077" s="10" t="n">
        <f aca="false">IF(OR(Nonlabor!$L$18="Quote required",Nonlabor!$L$18="Unverified"),G2077,0)</f>
        <v>0</v>
      </c>
      <c r="I2077" s="10" t="n">
        <f aca="false">IF(Nonlabor!$E$18="Core",0,G2077)</f>
        <v>0</v>
      </c>
      <c r="J2077" s="23" t="str">
        <f aca="false">Nonlabor!$B$18</f>
        <v>COMPLIANCE</v>
      </c>
    </row>
    <row r="2078" customFormat="false" ht="15" hidden="false" customHeight="false" outlineLevel="0" collapsed="false">
      <c r="A2078" s="6" t="s">
        <v>4</v>
      </c>
      <c r="B2078" s="6" t="s">
        <v>413</v>
      </c>
      <c r="C2078" s="6" t="n">
        <v>33</v>
      </c>
      <c r="D2078" s="25" t="n">
        <f aca="false">EDATE('Start Here'!$B$6,C2078-1)</f>
        <v>47300</v>
      </c>
      <c r="E2078" s="23" t="n">
        <f aca="false">IF(AND(OR(Nonlabor!$D$18="Both",Nonlabor!$D$18='Start Here'!$B$9),IF(Nonlabor!$E$18="Core",1,IF(Nonlabor!$E$18="AI",'Start Here'!$B$7,'Start Here'!$B$8))=1,C2078&gt;=IF(Nonlabor!$E$18="Core",Nonlabor!$F$18,MAX(Nonlabor!$F$18,IF(Nonlabor!$E$18="AI",Assumptions!$D$24,Assumptions!$D$25))),C2078&lt;=Nonlabor!$G$18,OR(Nonlabor!$H$18="Monthly",AND(Nonlabor!$H$18="Once",C2078=IF(Nonlabor!$E$18="Core",Nonlabor!$F$18,MAX(Nonlabor!$F$18,IF(Nonlabor!$E$18="AI",Assumptions!$D$24,Assumptions!$D$25)))),AND(Nonlabor!$H$18="Annual",MOD(C2078-IF(Nonlabor!$E$18="Core",Nonlabor!$F$18,MAX(Nonlabor!$F$18,IF(Nonlabor!$E$18="AI",Assumptions!$D$24,Assumptions!$D$25))),12)=0))),IF(Nonlabor!$I$18="Fixed",1,IF(Nonlabor!$I$18="Seats",ROUNDUP('Monthly Base'!I38,0),IF(Nonlabor!$I$18="Customers",'Monthly Base'!D38,IF(Nonlabor!$I$18="NewCustomers",'Monthly Base'!C38,IF(Nonlabor!$I$18="StorageGB",'Monthly Base'!G38,IF(Nonlabor!$I$18="LogGB",'Monthly Base'!H38,IF(Nonlabor!$I$18="RequestsM",'Monthly Base'!F38,IF(Nonlabor!$I$18="InputM",'Monthly Base'!D38*Assumptions!$D$22/1000000,IF(Nonlabor!$I$18="OutputM",'Monthly Base'!D38*Assumptions!$D$23/1000000,0))))))))),0)</f>
        <v>0</v>
      </c>
      <c r="F2078" s="10" t="n">
        <f aca="false">Nonlabor!$J$18*(1+Assumptions!$D$9)^INT((C2078-1)/12)</f>
        <v>15913.5</v>
      </c>
      <c r="G2078" s="10" t="n">
        <f aca="false">E2078*F2078</f>
        <v>0</v>
      </c>
      <c r="H2078" s="10" t="n">
        <f aca="false">IF(OR(Nonlabor!$L$18="Quote required",Nonlabor!$L$18="Unverified"),G2078,0)</f>
        <v>0</v>
      </c>
      <c r="I2078" s="10" t="n">
        <f aca="false">IF(Nonlabor!$E$18="Core",0,G2078)</f>
        <v>0</v>
      </c>
      <c r="J2078" s="23" t="str">
        <f aca="false">Nonlabor!$B$18</f>
        <v>COMPLIANCE</v>
      </c>
    </row>
    <row r="2079" customFormat="false" ht="15" hidden="false" customHeight="false" outlineLevel="0" collapsed="false">
      <c r="A2079" s="6" t="s">
        <v>4</v>
      </c>
      <c r="B2079" s="6" t="s">
        <v>413</v>
      </c>
      <c r="C2079" s="6" t="n">
        <v>34</v>
      </c>
      <c r="D2079" s="25" t="n">
        <f aca="false">EDATE('Start Here'!$B$6,C2079-1)</f>
        <v>47331</v>
      </c>
      <c r="E2079" s="23" t="n">
        <f aca="false">IF(AND(OR(Nonlabor!$D$18="Both",Nonlabor!$D$18='Start Here'!$B$9),IF(Nonlabor!$E$18="Core",1,IF(Nonlabor!$E$18="AI",'Start Here'!$B$7,'Start Here'!$B$8))=1,C2079&gt;=IF(Nonlabor!$E$18="Core",Nonlabor!$F$18,MAX(Nonlabor!$F$18,IF(Nonlabor!$E$18="AI",Assumptions!$D$24,Assumptions!$D$25))),C2079&lt;=Nonlabor!$G$18,OR(Nonlabor!$H$18="Monthly",AND(Nonlabor!$H$18="Once",C2079=IF(Nonlabor!$E$18="Core",Nonlabor!$F$18,MAX(Nonlabor!$F$18,IF(Nonlabor!$E$18="AI",Assumptions!$D$24,Assumptions!$D$25)))),AND(Nonlabor!$H$18="Annual",MOD(C2079-IF(Nonlabor!$E$18="Core",Nonlabor!$F$18,MAX(Nonlabor!$F$18,IF(Nonlabor!$E$18="AI",Assumptions!$D$24,Assumptions!$D$25))),12)=0))),IF(Nonlabor!$I$18="Fixed",1,IF(Nonlabor!$I$18="Seats",ROUNDUP('Monthly Base'!I39,0),IF(Nonlabor!$I$18="Customers",'Monthly Base'!D39,IF(Nonlabor!$I$18="NewCustomers",'Monthly Base'!C39,IF(Nonlabor!$I$18="StorageGB",'Monthly Base'!G39,IF(Nonlabor!$I$18="LogGB",'Monthly Base'!H39,IF(Nonlabor!$I$18="RequestsM",'Monthly Base'!F39,IF(Nonlabor!$I$18="InputM",'Monthly Base'!D39*Assumptions!$D$22/1000000,IF(Nonlabor!$I$18="OutputM",'Monthly Base'!D39*Assumptions!$D$23/1000000,0))))))))),0)</f>
        <v>0</v>
      </c>
      <c r="F2079" s="10" t="n">
        <f aca="false">Nonlabor!$J$18*(1+Assumptions!$D$9)^INT((C2079-1)/12)</f>
        <v>15913.5</v>
      </c>
      <c r="G2079" s="10" t="n">
        <f aca="false">E2079*F2079</f>
        <v>0</v>
      </c>
      <c r="H2079" s="10" t="n">
        <f aca="false">IF(OR(Nonlabor!$L$18="Quote required",Nonlabor!$L$18="Unverified"),G2079,0)</f>
        <v>0</v>
      </c>
      <c r="I2079" s="10" t="n">
        <f aca="false">IF(Nonlabor!$E$18="Core",0,G2079)</f>
        <v>0</v>
      </c>
      <c r="J2079" s="23" t="str">
        <f aca="false">Nonlabor!$B$18</f>
        <v>COMPLIANCE</v>
      </c>
    </row>
    <row r="2080" customFormat="false" ht="15" hidden="false" customHeight="false" outlineLevel="0" collapsed="false">
      <c r="A2080" s="6" t="s">
        <v>4</v>
      </c>
      <c r="B2080" s="6" t="s">
        <v>413</v>
      </c>
      <c r="C2080" s="6" t="n">
        <v>35</v>
      </c>
      <c r="D2080" s="25" t="n">
        <f aca="false">EDATE('Start Here'!$B$6,C2080-1)</f>
        <v>47362</v>
      </c>
      <c r="E2080" s="23" t="n">
        <f aca="false">IF(AND(OR(Nonlabor!$D$18="Both",Nonlabor!$D$18='Start Here'!$B$9),IF(Nonlabor!$E$18="Core",1,IF(Nonlabor!$E$18="AI",'Start Here'!$B$7,'Start Here'!$B$8))=1,C2080&gt;=IF(Nonlabor!$E$18="Core",Nonlabor!$F$18,MAX(Nonlabor!$F$18,IF(Nonlabor!$E$18="AI",Assumptions!$D$24,Assumptions!$D$25))),C2080&lt;=Nonlabor!$G$18,OR(Nonlabor!$H$18="Monthly",AND(Nonlabor!$H$18="Once",C2080=IF(Nonlabor!$E$18="Core",Nonlabor!$F$18,MAX(Nonlabor!$F$18,IF(Nonlabor!$E$18="AI",Assumptions!$D$24,Assumptions!$D$25)))),AND(Nonlabor!$H$18="Annual",MOD(C2080-IF(Nonlabor!$E$18="Core",Nonlabor!$F$18,MAX(Nonlabor!$F$18,IF(Nonlabor!$E$18="AI",Assumptions!$D$24,Assumptions!$D$25))),12)=0))),IF(Nonlabor!$I$18="Fixed",1,IF(Nonlabor!$I$18="Seats",ROUNDUP('Monthly Base'!I40,0),IF(Nonlabor!$I$18="Customers",'Monthly Base'!D40,IF(Nonlabor!$I$18="NewCustomers",'Monthly Base'!C40,IF(Nonlabor!$I$18="StorageGB",'Monthly Base'!G40,IF(Nonlabor!$I$18="LogGB",'Monthly Base'!H40,IF(Nonlabor!$I$18="RequestsM",'Monthly Base'!F40,IF(Nonlabor!$I$18="InputM",'Monthly Base'!D40*Assumptions!$D$22/1000000,IF(Nonlabor!$I$18="OutputM",'Monthly Base'!D40*Assumptions!$D$23/1000000,0))))))))),0)</f>
        <v>1</v>
      </c>
      <c r="F2080" s="10" t="n">
        <f aca="false">Nonlabor!$J$18*(1+Assumptions!$D$9)^INT((C2080-1)/12)</f>
        <v>15913.5</v>
      </c>
      <c r="G2080" s="10" t="n">
        <f aca="false">E2080*F2080</f>
        <v>15913.5</v>
      </c>
      <c r="H2080" s="10" t="n">
        <f aca="false">IF(OR(Nonlabor!$L$18="Quote required",Nonlabor!$L$18="Unverified"),G2080,0)</f>
        <v>15913.5</v>
      </c>
      <c r="I2080" s="10" t="n">
        <f aca="false">IF(Nonlabor!$E$18="Core",0,G2080)</f>
        <v>0</v>
      </c>
      <c r="J2080" s="23" t="str">
        <f aca="false">Nonlabor!$B$18</f>
        <v>COMPLIANCE</v>
      </c>
    </row>
    <row r="2081" customFormat="false" ht="15" hidden="false" customHeight="false" outlineLevel="0" collapsed="false">
      <c r="A2081" s="6" t="s">
        <v>4</v>
      </c>
      <c r="B2081" s="6" t="s">
        <v>413</v>
      </c>
      <c r="C2081" s="6" t="n">
        <v>36</v>
      </c>
      <c r="D2081" s="25" t="n">
        <f aca="false">EDATE('Start Here'!$B$6,C2081-1)</f>
        <v>47392</v>
      </c>
      <c r="E2081" s="23" t="n">
        <f aca="false">IF(AND(OR(Nonlabor!$D$18="Both",Nonlabor!$D$18='Start Here'!$B$9),IF(Nonlabor!$E$18="Core",1,IF(Nonlabor!$E$18="AI",'Start Here'!$B$7,'Start Here'!$B$8))=1,C2081&gt;=IF(Nonlabor!$E$18="Core",Nonlabor!$F$18,MAX(Nonlabor!$F$18,IF(Nonlabor!$E$18="AI",Assumptions!$D$24,Assumptions!$D$25))),C2081&lt;=Nonlabor!$G$18,OR(Nonlabor!$H$18="Monthly",AND(Nonlabor!$H$18="Once",C2081=IF(Nonlabor!$E$18="Core",Nonlabor!$F$18,MAX(Nonlabor!$F$18,IF(Nonlabor!$E$18="AI",Assumptions!$D$24,Assumptions!$D$25)))),AND(Nonlabor!$H$18="Annual",MOD(C2081-IF(Nonlabor!$E$18="Core",Nonlabor!$F$18,MAX(Nonlabor!$F$18,IF(Nonlabor!$E$18="AI",Assumptions!$D$24,Assumptions!$D$25))),12)=0))),IF(Nonlabor!$I$18="Fixed",1,IF(Nonlabor!$I$18="Seats",ROUNDUP('Monthly Base'!I41,0),IF(Nonlabor!$I$18="Customers",'Monthly Base'!D41,IF(Nonlabor!$I$18="NewCustomers",'Monthly Base'!C41,IF(Nonlabor!$I$18="StorageGB",'Monthly Base'!G41,IF(Nonlabor!$I$18="LogGB",'Monthly Base'!H41,IF(Nonlabor!$I$18="RequestsM",'Monthly Base'!F41,IF(Nonlabor!$I$18="InputM",'Monthly Base'!D41*Assumptions!$D$22/1000000,IF(Nonlabor!$I$18="OutputM",'Monthly Base'!D41*Assumptions!$D$23/1000000,0))))))))),0)</f>
        <v>0</v>
      </c>
      <c r="F2081" s="10" t="n">
        <f aca="false">Nonlabor!$J$18*(1+Assumptions!$D$9)^INT((C2081-1)/12)</f>
        <v>15913.5</v>
      </c>
      <c r="G2081" s="10" t="n">
        <f aca="false">E2081*F2081</f>
        <v>0</v>
      </c>
      <c r="H2081" s="10" t="n">
        <f aca="false">IF(OR(Nonlabor!$L$18="Quote required",Nonlabor!$L$18="Unverified"),G2081,0)</f>
        <v>0</v>
      </c>
      <c r="I2081" s="10" t="n">
        <f aca="false">IF(Nonlabor!$E$18="Core",0,G2081)</f>
        <v>0</v>
      </c>
      <c r="J2081" s="23" t="str">
        <f aca="false">Nonlabor!$B$18</f>
        <v>COMPLIANCE</v>
      </c>
    </row>
    <row r="2082" customFormat="false" ht="15" hidden="false" customHeight="false" outlineLevel="0" collapsed="false">
      <c r="A2082" s="6" t="s">
        <v>4</v>
      </c>
      <c r="B2082" s="6" t="s">
        <v>413</v>
      </c>
      <c r="C2082" s="6" t="n">
        <v>37</v>
      </c>
      <c r="D2082" s="25" t="n">
        <f aca="false">EDATE('Start Here'!$B$6,C2082-1)</f>
        <v>47423</v>
      </c>
      <c r="E2082" s="23" t="n">
        <f aca="false">IF(AND(OR(Nonlabor!$D$18="Both",Nonlabor!$D$18='Start Here'!$B$9),IF(Nonlabor!$E$18="Core",1,IF(Nonlabor!$E$18="AI",'Start Here'!$B$7,'Start Here'!$B$8))=1,C2082&gt;=IF(Nonlabor!$E$18="Core",Nonlabor!$F$18,MAX(Nonlabor!$F$18,IF(Nonlabor!$E$18="AI",Assumptions!$D$24,Assumptions!$D$25))),C2082&lt;=Nonlabor!$G$18,OR(Nonlabor!$H$18="Monthly",AND(Nonlabor!$H$18="Once",C2082=IF(Nonlabor!$E$18="Core",Nonlabor!$F$18,MAX(Nonlabor!$F$18,IF(Nonlabor!$E$18="AI",Assumptions!$D$24,Assumptions!$D$25)))),AND(Nonlabor!$H$18="Annual",MOD(C2082-IF(Nonlabor!$E$18="Core",Nonlabor!$F$18,MAX(Nonlabor!$F$18,IF(Nonlabor!$E$18="AI",Assumptions!$D$24,Assumptions!$D$25))),12)=0))),IF(Nonlabor!$I$18="Fixed",1,IF(Nonlabor!$I$18="Seats",ROUNDUP('Monthly Base'!I42,0),IF(Nonlabor!$I$18="Customers",'Monthly Base'!D42,IF(Nonlabor!$I$18="NewCustomers",'Monthly Base'!C42,IF(Nonlabor!$I$18="StorageGB",'Monthly Base'!G42,IF(Nonlabor!$I$18="LogGB",'Monthly Base'!H42,IF(Nonlabor!$I$18="RequestsM",'Monthly Base'!F42,IF(Nonlabor!$I$18="InputM",'Monthly Base'!D42*Assumptions!$D$22/1000000,IF(Nonlabor!$I$18="OutputM",'Monthly Base'!D42*Assumptions!$D$23/1000000,0))))))))),0)</f>
        <v>0</v>
      </c>
      <c r="F2082" s="10" t="n">
        <f aca="false">Nonlabor!$J$18*(1+Assumptions!$D$9)^INT((C2082-1)/12)</f>
        <v>16390.905</v>
      </c>
      <c r="G2082" s="10" t="n">
        <f aca="false">E2082*F2082</f>
        <v>0</v>
      </c>
      <c r="H2082" s="10" t="n">
        <f aca="false">IF(OR(Nonlabor!$L$18="Quote required",Nonlabor!$L$18="Unverified"),G2082,0)</f>
        <v>0</v>
      </c>
      <c r="I2082" s="10" t="n">
        <f aca="false">IF(Nonlabor!$E$18="Core",0,G2082)</f>
        <v>0</v>
      </c>
      <c r="J2082" s="23" t="str">
        <f aca="false">Nonlabor!$B$18</f>
        <v>COMPLIANCE</v>
      </c>
    </row>
    <row r="2083" customFormat="false" ht="15" hidden="false" customHeight="false" outlineLevel="0" collapsed="false">
      <c r="A2083" s="6" t="s">
        <v>4</v>
      </c>
      <c r="B2083" s="6" t="s">
        <v>413</v>
      </c>
      <c r="C2083" s="6" t="n">
        <v>38</v>
      </c>
      <c r="D2083" s="25" t="n">
        <f aca="false">EDATE('Start Here'!$B$6,C2083-1)</f>
        <v>47453</v>
      </c>
      <c r="E2083" s="23" t="n">
        <f aca="false">IF(AND(OR(Nonlabor!$D$18="Both",Nonlabor!$D$18='Start Here'!$B$9),IF(Nonlabor!$E$18="Core",1,IF(Nonlabor!$E$18="AI",'Start Here'!$B$7,'Start Here'!$B$8))=1,C2083&gt;=IF(Nonlabor!$E$18="Core",Nonlabor!$F$18,MAX(Nonlabor!$F$18,IF(Nonlabor!$E$18="AI",Assumptions!$D$24,Assumptions!$D$25))),C2083&lt;=Nonlabor!$G$18,OR(Nonlabor!$H$18="Monthly",AND(Nonlabor!$H$18="Once",C2083=IF(Nonlabor!$E$18="Core",Nonlabor!$F$18,MAX(Nonlabor!$F$18,IF(Nonlabor!$E$18="AI",Assumptions!$D$24,Assumptions!$D$25)))),AND(Nonlabor!$H$18="Annual",MOD(C2083-IF(Nonlabor!$E$18="Core",Nonlabor!$F$18,MAX(Nonlabor!$F$18,IF(Nonlabor!$E$18="AI",Assumptions!$D$24,Assumptions!$D$25))),12)=0))),IF(Nonlabor!$I$18="Fixed",1,IF(Nonlabor!$I$18="Seats",ROUNDUP('Monthly Base'!I43,0),IF(Nonlabor!$I$18="Customers",'Monthly Base'!D43,IF(Nonlabor!$I$18="NewCustomers",'Monthly Base'!C43,IF(Nonlabor!$I$18="StorageGB",'Monthly Base'!G43,IF(Nonlabor!$I$18="LogGB",'Monthly Base'!H43,IF(Nonlabor!$I$18="RequestsM",'Monthly Base'!F43,IF(Nonlabor!$I$18="InputM",'Monthly Base'!D43*Assumptions!$D$22/1000000,IF(Nonlabor!$I$18="OutputM",'Monthly Base'!D43*Assumptions!$D$23/1000000,0))))))))),0)</f>
        <v>0</v>
      </c>
      <c r="F2083" s="10" t="n">
        <f aca="false">Nonlabor!$J$18*(1+Assumptions!$D$9)^INT((C2083-1)/12)</f>
        <v>16390.905</v>
      </c>
      <c r="G2083" s="10" t="n">
        <f aca="false">E2083*F2083</f>
        <v>0</v>
      </c>
      <c r="H2083" s="10" t="n">
        <f aca="false">IF(OR(Nonlabor!$L$18="Quote required",Nonlabor!$L$18="Unverified"),G2083,0)</f>
        <v>0</v>
      </c>
      <c r="I2083" s="10" t="n">
        <f aca="false">IF(Nonlabor!$E$18="Core",0,G2083)</f>
        <v>0</v>
      </c>
      <c r="J2083" s="23" t="str">
        <f aca="false">Nonlabor!$B$18</f>
        <v>COMPLIANCE</v>
      </c>
    </row>
    <row r="2084" customFormat="false" ht="15" hidden="false" customHeight="false" outlineLevel="0" collapsed="false">
      <c r="A2084" s="6" t="s">
        <v>4</v>
      </c>
      <c r="B2084" s="6" t="s">
        <v>413</v>
      </c>
      <c r="C2084" s="6" t="n">
        <v>39</v>
      </c>
      <c r="D2084" s="25" t="n">
        <f aca="false">EDATE('Start Here'!$B$6,C2084-1)</f>
        <v>47484</v>
      </c>
      <c r="E2084" s="23" t="n">
        <f aca="false">IF(AND(OR(Nonlabor!$D$18="Both",Nonlabor!$D$18='Start Here'!$B$9),IF(Nonlabor!$E$18="Core",1,IF(Nonlabor!$E$18="AI",'Start Here'!$B$7,'Start Here'!$B$8))=1,C2084&gt;=IF(Nonlabor!$E$18="Core",Nonlabor!$F$18,MAX(Nonlabor!$F$18,IF(Nonlabor!$E$18="AI",Assumptions!$D$24,Assumptions!$D$25))),C2084&lt;=Nonlabor!$G$18,OR(Nonlabor!$H$18="Monthly",AND(Nonlabor!$H$18="Once",C2084=IF(Nonlabor!$E$18="Core",Nonlabor!$F$18,MAX(Nonlabor!$F$18,IF(Nonlabor!$E$18="AI",Assumptions!$D$24,Assumptions!$D$25)))),AND(Nonlabor!$H$18="Annual",MOD(C2084-IF(Nonlabor!$E$18="Core",Nonlabor!$F$18,MAX(Nonlabor!$F$18,IF(Nonlabor!$E$18="AI",Assumptions!$D$24,Assumptions!$D$25))),12)=0))),IF(Nonlabor!$I$18="Fixed",1,IF(Nonlabor!$I$18="Seats",ROUNDUP('Monthly Base'!I44,0),IF(Nonlabor!$I$18="Customers",'Monthly Base'!D44,IF(Nonlabor!$I$18="NewCustomers",'Monthly Base'!C44,IF(Nonlabor!$I$18="StorageGB",'Monthly Base'!G44,IF(Nonlabor!$I$18="LogGB",'Monthly Base'!H44,IF(Nonlabor!$I$18="RequestsM",'Monthly Base'!F44,IF(Nonlabor!$I$18="InputM",'Monthly Base'!D44*Assumptions!$D$22/1000000,IF(Nonlabor!$I$18="OutputM",'Monthly Base'!D44*Assumptions!$D$23/1000000,0))))))))),0)</f>
        <v>0</v>
      </c>
      <c r="F2084" s="10" t="n">
        <f aca="false">Nonlabor!$J$18*(1+Assumptions!$D$9)^INT((C2084-1)/12)</f>
        <v>16390.905</v>
      </c>
      <c r="G2084" s="10" t="n">
        <f aca="false">E2084*F2084</f>
        <v>0</v>
      </c>
      <c r="H2084" s="10" t="n">
        <f aca="false">IF(OR(Nonlabor!$L$18="Quote required",Nonlabor!$L$18="Unverified"),G2084,0)</f>
        <v>0</v>
      </c>
      <c r="I2084" s="10" t="n">
        <f aca="false">IF(Nonlabor!$E$18="Core",0,G2084)</f>
        <v>0</v>
      </c>
      <c r="J2084" s="23" t="str">
        <f aca="false">Nonlabor!$B$18</f>
        <v>COMPLIANCE</v>
      </c>
    </row>
    <row r="2085" customFormat="false" ht="15" hidden="false" customHeight="false" outlineLevel="0" collapsed="false">
      <c r="A2085" s="6" t="s">
        <v>4</v>
      </c>
      <c r="B2085" s="6" t="s">
        <v>413</v>
      </c>
      <c r="C2085" s="6" t="n">
        <v>40</v>
      </c>
      <c r="D2085" s="25" t="n">
        <f aca="false">EDATE('Start Here'!$B$6,C2085-1)</f>
        <v>47515</v>
      </c>
      <c r="E2085" s="23" t="n">
        <f aca="false">IF(AND(OR(Nonlabor!$D$18="Both",Nonlabor!$D$18='Start Here'!$B$9),IF(Nonlabor!$E$18="Core",1,IF(Nonlabor!$E$18="AI",'Start Here'!$B$7,'Start Here'!$B$8))=1,C2085&gt;=IF(Nonlabor!$E$18="Core",Nonlabor!$F$18,MAX(Nonlabor!$F$18,IF(Nonlabor!$E$18="AI",Assumptions!$D$24,Assumptions!$D$25))),C2085&lt;=Nonlabor!$G$18,OR(Nonlabor!$H$18="Monthly",AND(Nonlabor!$H$18="Once",C2085=IF(Nonlabor!$E$18="Core",Nonlabor!$F$18,MAX(Nonlabor!$F$18,IF(Nonlabor!$E$18="AI",Assumptions!$D$24,Assumptions!$D$25)))),AND(Nonlabor!$H$18="Annual",MOD(C2085-IF(Nonlabor!$E$18="Core",Nonlabor!$F$18,MAX(Nonlabor!$F$18,IF(Nonlabor!$E$18="AI",Assumptions!$D$24,Assumptions!$D$25))),12)=0))),IF(Nonlabor!$I$18="Fixed",1,IF(Nonlabor!$I$18="Seats",ROUNDUP('Monthly Base'!I45,0),IF(Nonlabor!$I$18="Customers",'Monthly Base'!D45,IF(Nonlabor!$I$18="NewCustomers",'Monthly Base'!C45,IF(Nonlabor!$I$18="StorageGB",'Monthly Base'!G45,IF(Nonlabor!$I$18="LogGB",'Monthly Base'!H45,IF(Nonlabor!$I$18="RequestsM",'Monthly Base'!F45,IF(Nonlabor!$I$18="InputM",'Monthly Base'!D45*Assumptions!$D$22/1000000,IF(Nonlabor!$I$18="OutputM",'Monthly Base'!D45*Assumptions!$D$23/1000000,0))))))))),0)</f>
        <v>0</v>
      </c>
      <c r="F2085" s="10" t="n">
        <f aca="false">Nonlabor!$J$18*(1+Assumptions!$D$9)^INT((C2085-1)/12)</f>
        <v>16390.905</v>
      </c>
      <c r="G2085" s="10" t="n">
        <f aca="false">E2085*F2085</f>
        <v>0</v>
      </c>
      <c r="H2085" s="10" t="n">
        <f aca="false">IF(OR(Nonlabor!$L$18="Quote required",Nonlabor!$L$18="Unverified"),G2085,0)</f>
        <v>0</v>
      </c>
      <c r="I2085" s="10" t="n">
        <f aca="false">IF(Nonlabor!$E$18="Core",0,G2085)</f>
        <v>0</v>
      </c>
      <c r="J2085" s="23" t="str">
        <f aca="false">Nonlabor!$B$18</f>
        <v>COMPLIANCE</v>
      </c>
    </row>
    <row r="2086" customFormat="false" ht="15" hidden="false" customHeight="false" outlineLevel="0" collapsed="false">
      <c r="A2086" s="6" t="s">
        <v>4</v>
      </c>
      <c r="B2086" s="6" t="s">
        <v>413</v>
      </c>
      <c r="C2086" s="6" t="n">
        <v>41</v>
      </c>
      <c r="D2086" s="25" t="n">
        <f aca="false">EDATE('Start Here'!$B$6,C2086-1)</f>
        <v>47543</v>
      </c>
      <c r="E2086" s="23" t="n">
        <f aca="false">IF(AND(OR(Nonlabor!$D$18="Both",Nonlabor!$D$18='Start Here'!$B$9),IF(Nonlabor!$E$18="Core",1,IF(Nonlabor!$E$18="AI",'Start Here'!$B$7,'Start Here'!$B$8))=1,C2086&gt;=IF(Nonlabor!$E$18="Core",Nonlabor!$F$18,MAX(Nonlabor!$F$18,IF(Nonlabor!$E$18="AI",Assumptions!$D$24,Assumptions!$D$25))),C2086&lt;=Nonlabor!$G$18,OR(Nonlabor!$H$18="Monthly",AND(Nonlabor!$H$18="Once",C2086=IF(Nonlabor!$E$18="Core",Nonlabor!$F$18,MAX(Nonlabor!$F$18,IF(Nonlabor!$E$18="AI",Assumptions!$D$24,Assumptions!$D$25)))),AND(Nonlabor!$H$18="Annual",MOD(C2086-IF(Nonlabor!$E$18="Core",Nonlabor!$F$18,MAX(Nonlabor!$F$18,IF(Nonlabor!$E$18="AI",Assumptions!$D$24,Assumptions!$D$25))),12)=0))),IF(Nonlabor!$I$18="Fixed",1,IF(Nonlabor!$I$18="Seats",ROUNDUP('Monthly Base'!I46,0),IF(Nonlabor!$I$18="Customers",'Monthly Base'!D46,IF(Nonlabor!$I$18="NewCustomers",'Monthly Base'!C46,IF(Nonlabor!$I$18="StorageGB",'Monthly Base'!G46,IF(Nonlabor!$I$18="LogGB",'Monthly Base'!H46,IF(Nonlabor!$I$18="RequestsM",'Monthly Base'!F46,IF(Nonlabor!$I$18="InputM",'Monthly Base'!D46*Assumptions!$D$22/1000000,IF(Nonlabor!$I$18="OutputM",'Monthly Base'!D46*Assumptions!$D$23/1000000,0))))))))),0)</f>
        <v>0</v>
      </c>
      <c r="F2086" s="10" t="n">
        <f aca="false">Nonlabor!$J$18*(1+Assumptions!$D$9)^INT((C2086-1)/12)</f>
        <v>16390.905</v>
      </c>
      <c r="G2086" s="10" t="n">
        <f aca="false">E2086*F2086</f>
        <v>0</v>
      </c>
      <c r="H2086" s="10" t="n">
        <f aca="false">IF(OR(Nonlabor!$L$18="Quote required",Nonlabor!$L$18="Unverified"),G2086,0)</f>
        <v>0</v>
      </c>
      <c r="I2086" s="10" t="n">
        <f aca="false">IF(Nonlabor!$E$18="Core",0,G2086)</f>
        <v>0</v>
      </c>
      <c r="J2086" s="23" t="str">
        <f aca="false">Nonlabor!$B$18</f>
        <v>COMPLIANCE</v>
      </c>
    </row>
    <row r="2087" customFormat="false" ht="15" hidden="false" customHeight="false" outlineLevel="0" collapsed="false">
      <c r="A2087" s="6" t="s">
        <v>4</v>
      </c>
      <c r="B2087" s="6" t="s">
        <v>413</v>
      </c>
      <c r="C2087" s="6" t="n">
        <v>42</v>
      </c>
      <c r="D2087" s="25" t="n">
        <f aca="false">EDATE('Start Here'!$B$6,C2087-1)</f>
        <v>47574</v>
      </c>
      <c r="E2087" s="23" t="n">
        <f aca="false">IF(AND(OR(Nonlabor!$D$18="Both",Nonlabor!$D$18='Start Here'!$B$9),IF(Nonlabor!$E$18="Core",1,IF(Nonlabor!$E$18="AI",'Start Here'!$B$7,'Start Here'!$B$8))=1,C2087&gt;=IF(Nonlabor!$E$18="Core",Nonlabor!$F$18,MAX(Nonlabor!$F$18,IF(Nonlabor!$E$18="AI",Assumptions!$D$24,Assumptions!$D$25))),C2087&lt;=Nonlabor!$G$18,OR(Nonlabor!$H$18="Monthly",AND(Nonlabor!$H$18="Once",C2087=IF(Nonlabor!$E$18="Core",Nonlabor!$F$18,MAX(Nonlabor!$F$18,IF(Nonlabor!$E$18="AI",Assumptions!$D$24,Assumptions!$D$25)))),AND(Nonlabor!$H$18="Annual",MOD(C2087-IF(Nonlabor!$E$18="Core",Nonlabor!$F$18,MAX(Nonlabor!$F$18,IF(Nonlabor!$E$18="AI",Assumptions!$D$24,Assumptions!$D$25))),12)=0))),IF(Nonlabor!$I$18="Fixed",1,IF(Nonlabor!$I$18="Seats",ROUNDUP('Monthly Base'!I47,0),IF(Nonlabor!$I$18="Customers",'Monthly Base'!D47,IF(Nonlabor!$I$18="NewCustomers",'Monthly Base'!C47,IF(Nonlabor!$I$18="StorageGB",'Monthly Base'!G47,IF(Nonlabor!$I$18="LogGB",'Monthly Base'!H47,IF(Nonlabor!$I$18="RequestsM",'Monthly Base'!F47,IF(Nonlabor!$I$18="InputM",'Monthly Base'!D47*Assumptions!$D$22/1000000,IF(Nonlabor!$I$18="OutputM",'Monthly Base'!D47*Assumptions!$D$23/1000000,0))))))))),0)</f>
        <v>0</v>
      </c>
      <c r="F2087" s="10" t="n">
        <f aca="false">Nonlabor!$J$18*(1+Assumptions!$D$9)^INT((C2087-1)/12)</f>
        <v>16390.905</v>
      </c>
      <c r="G2087" s="10" t="n">
        <f aca="false">E2087*F2087</f>
        <v>0</v>
      </c>
      <c r="H2087" s="10" t="n">
        <f aca="false">IF(OR(Nonlabor!$L$18="Quote required",Nonlabor!$L$18="Unverified"),G2087,0)</f>
        <v>0</v>
      </c>
      <c r="I2087" s="10" t="n">
        <f aca="false">IF(Nonlabor!$E$18="Core",0,G2087)</f>
        <v>0</v>
      </c>
      <c r="J2087" s="23" t="str">
        <f aca="false">Nonlabor!$B$18</f>
        <v>COMPLIANCE</v>
      </c>
    </row>
    <row r="2088" customFormat="false" ht="15" hidden="false" customHeight="false" outlineLevel="0" collapsed="false">
      <c r="A2088" s="6" t="s">
        <v>4</v>
      </c>
      <c r="B2088" s="6" t="s">
        <v>413</v>
      </c>
      <c r="C2088" s="6" t="n">
        <v>43</v>
      </c>
      <c r="D2088" s="25" t="n">
        <f aca="false">EDATE('Start Here'!$B$6,C2088-1)</f>
        <v>47604</v>
      </c>
      <c r="E2088" s="23" t="n">
        <f aca="false">IF(AND(OR(Nonlabor!$D$18="Both",Nonlabor!$D$18='Start Here'!$B$9),IF(Nonlabor!$E$18="Core",1,IF(Nonlabor!$E$18="AI",'Start Here'!$B$7,'Start Here'!$B$8))=1,C2088&gt;=IF(Nonlabor!$E$18="Core",Nonlabor!$F$18,MAX(Nonlabor!$F$18,IF(Nonlabor!$E$18="AI",Assumptions!$D$24,Assumptions!$D$25))),C2088&lt;=Nonlabor!$G$18,OR(Nonlabor!$H$18="Monthly",AND(Nonlabor!$H$18="Once",C2088=IF(Nonlabor!$E$18="Core",Nonlabor!$F$18,MAX(Nonlabor!$F$18,IF(Nonlabor!$E$18="AI",Assumptions!$D$24,Assumptions!$D$25)))),AND(Nonlabor!$H$18="Annual",MOD(C2088-IF(Nonlabor!$E$18="Core",Nonlabor!$F$18,MAX(Nonlabor!$F$18,IF(Nonlabor!$E$18="AI",Assumptions!$D$24,Assumptions!$D$25))),12)=0))),IF(Nonlabor!$I$18="Fixed",1,IF(Nonlabor!$I$18="Seats",ROUNDUP('Monthly Base'!I48,0),IF(Nonlabor!$I$18="Customers",'Monthly Base'!D48,IF(Nonlabor!$I$18="NewCustomers",'Monthly Base'!C48,IF(Nonlabor!$I$18="StorageGB",'Monthly Base'!G48,IF(Nonlabor!$I$18="LogGB",'Monthly Base'!H48,IF(Nonlabor!$I$18="RequestsM",'Monthly Base'!F48,IF(Nonlabor!$I$18="InputM",'Monthly Base'!D48*Assumptions!$D$22/1000000,IF(Nonlabor!$I$18="OutputM",'Monthly Base'!D48*Assumptions!$D$23/1000000,0))))))))),0)</f>
        <v>0</v>
      </c>
      <c r="F2088" s="10" t="n">
        <f aca="false">Nonlabor!$J$18*(1+Assumptions!$D$9)^INT((C2088-1)/12)</f>
        <v>16390.905</v>
      </c>
      <c r="G2088" s="10" t="n">
        <f aca="false">E2088*F2088</f>
        <v>0</v>
      </c>
      <c r="H2088" s="10" t="n">
        <f aca="false">IF(OR(Nonlabor!$L$18="Quote required",Nonlabor!$L$18="Unverified"),G2088,0)</f>
        <v>0</v>
      </c>
      <c r="I2088" s="10" t="n">
        <f aca="false">IF(Nonlabor!$E$18="Core",0,G2088)</f>
        <v>0</v>
      </c>
      <c r="J2088" s="23" t="str">
        <f aca="false">Nonlabor!$B$18</f>
        <v>COMPLIANCE</v>
      </c>
    </row>
    <row r="2089" customFormat="false" ht="15" hidden="false" customHeight="false" outlineLevel="0" collapsed="false">
      <c r="A2089" s="6" t="s">
        <v>4</v>
      </c>
      <c r="B2089" s="6" t="s">
        <v>413</v>
      </c>
      <c r="C2089" s="6" t="n">
        <v>44</v>
      </c>
      <c r="D2089" s="25" t="n">
        <f aca="false">EDATE('Start Here'!$B$6,C2089-1)</f>
        <v>47635</v>
      </c>
      <c r="E2089" s="23" t="n">
        <f aca="false">IF(AND(OR(Nonlabor!$D$18="Both",Nonlabor!$D$18='Start Here'!$B$9),IF(Nonlabor!$E$18="Core",1,IF(Nonlabor!$E$18="AI",'Start Here'!$B$7,'Start Here'!$B$8))=1,C2089&gt;=IF(Nonlabor!$E$18="Core",Nonlabor!$F$18,MAX(Nonlabor!$F$18,IF(Nonlabor!$E$18="AI",Assumptions!$D$24,Assumptions!$D$25))),C2089&lt;=Nonlabor!$G$18,OR(Nonlabor!$H$18="Monthly",AND(Nonlabor!$H$18="Once",C2089=IF(Nonlabor!$E$18="Core",Nonlabor!$F$18,MAX(Nonlabor!$F$18,IF(Nonlabor!$E$18="AI",Assumptions!$D$24,Assumptions!$D$25)))),AND(Nonlabor!$H$18="Annual",MOD(C2089-IF(Nonlabor!$E$18="Core",Nonlabor!$F$18,MAX(Nonlabor!$F$18,IF(Nonlabor!$E$18="AI",Assumptions!$D$24,Assumptions!$D$25))),12)=0))),IF(Nonlabor!$I$18="Fixed",1,IF(Nonlabor!$I$18="Seats",ROUNDUP('Monthly Base'!I49,0),IF(Nonlabor!$I$18="Customers",'Monthly Base'!D49,IF(Nonlabor!$I$18="NewCustomers",'Monthly Base'!C49,IF(Nonlabor!$I$18="StorageGB",'Monthly Base'!G49,IF(Nonlabor!$I$18="LogGB",'Monthly Base'!H49,IF(Nonlabor!$I$18="RequestsM",'Monthly Base'!F49,IF(Nonlabor!$I$18="InputM",'Monthly Base'!D49*Assumptions!$D$22/1000000,IF(Nonlabor!$I$18="OutputM",'Monthly Base'!D49*Assumptions!$D$23/1000000,0))))))))),0)</f>
        <v>0</v>
      </c>
      <c r="F2089" s="10" t="n">
        <f aca="false">Nonlabor!$J$18*(1+Assumptions!$D$9)^INT((C2089-1)/12)</f>
        <v>16390.905</v>
      </c>
      <c r="G2089" s="10" t="n">
        <f aca="false">E2089*F2089</f>
        <v>0</v>
      </c>
      <c r="H2089" s="10" t="n">
        <f aca="false">IF(OR(Nonlabor!$L$18="Quote required",Nonlabor!$L$18="Unverified"),G2089,0)</f>
        <v>0</v>
      </c>
      <c r="I2089" s="10" t="n">
        <f aca="false">IF(Nonlabor!$E$18="Core",0,G2089)</f>
        <v>0</v>
      </c>
      <c r="J2089" s="23" t="str">
        <f aca="false">Nonlabor!$B$18</f>
        <v>COMPLIANCE</v>
      </c>
    </row>
    <row r="2090" customFormat="false" ht="15" hidden="false" customHeight="false" outlineLevel="0" collapsed="false">
      <c r="A2090" s="6" t="s">
        <v>4</v>
      </c>
      <c r="B2090" s="6" t="s">
        <v>413</v>
      </c>
      <c r="C2090" s="6" t="n">
        <v>45</v>
      </c>
      <c r="D2090" s="25" t="n">
        <f aca="false">EDATE('Start Here'!$B$6,C2090-1)</f>
        <v>47665</v>
      </c>
      <c r="E2090" s="23" t="n">
        <f aca="false">IF(AND(OR(Nonlabor!$D$18="Both",Nonlabor!$D$18='Start Here'!$B$9),IF(Nonlabor!$E$18="Core",1,IF(Nonlabor!$E$18="AI",'Start Here'!$B$7,'Start Here'!$B$8))=1,C2090&gt;=IF(Nonlabor!$E$18="Core",Nonlabor!$F$18,MAX(Nonlabor!$F$18,IF(Nonlabor!$E$18="AI",Assumptions!$D$24,Assumptions!$D$25))),C2090&lt;=Nonlabor!$G$18,OR(Nonlabor!$H$18="Monthly",AND(Nonlabor!$H$18="Once",C2090=IF(Nonlabor!$E$18="Core",Nonlabor!$F$18,MAX(Nonlabor!$F$18,IF(Nonlabor!$E$18="AI",Assumptions!$D$24,Assumptions!$D$25)))),AND(Nonlabor!$H$18="Annual",MOD(C2090-IF(Nonlabor!$E$18="Core",Nonlabor!$F$18,MAX(Nonlabor!$F$18,IF(Nonlabor!$E$18="AI",Assumptions!$D$24,Assumptions!$D$25))),12)=0))),IF(Nonlabor!$I$18="Fixed",1,IF(Nonlabor!$I$18="Seats",ROUNDUP('Monthly Base'!I50,0),IF(Nonlabor!$I$18="Customers",'Monthly Base'!D50,IF(Nonlabor!$I$18="NewCustomers",'Monthly Base'!C50,IF(Nonlabor!$I$18="StorageGB",'Monthly Base'!G50,IF(Nonlabor!$I$18="LogGB",'Monthly Base'!H50,IF(Nonlabor!$I$18="RequestsM",'Monthly Base'!F50,IF(Nonlabor!$I$18="InputM",'Monthly Base'!D50*Assumptions!$D$22/1000000,IF(Nonlabor!$I$18="OutputM",'Monthly Base'!D50*Assumptions!$D$23/1000000,0))))))))),0)</f>
        <v>0</v>
      </c>
      <c r="F2090" s="10" t="n">
        <f aca="false">Nonlabor!$J$18*(1+Assumptions!$D$9)^INT((C2090-1)/12)</f>
        <v>16390.905</v>
      </c>
      <c r="G2090" s="10" t="n">
        <f aca="false">E2090*F2090</f>
        <v>0</v>
      </c>
      <c r="H2090" s="10" t="n">
        <f aca="false">IF(OR(Nonlabor!$L$18="Quote required",Nonlabor!$L$18="Unverified"),G2090,0)</f>
        <v>0</v>
      </c>
      <c r="I2090" s="10" t="n">
        <f aca="false">IF(Nonlabor!$E$18="Core",0,G2090)</f>
        <v>0</v>
      </c>
      <c r="J2090" s="23" t="str">
        <f aca="false">Nonlabor!$B$18</f>
        <v>COMPLIANCE</v>
      </c>
    </row>
    <row r="2091" customFormat="false" ht="15" hidden="false" customHeight="false" outlineLevel="0" collapsed="false">
      <c r="A2091" s="6" t="s">
        <v>4</v>
      </c>
      <c r="B2091" s="6" t="s">
        <v>413</v>
      </c>
      <c r="C2091" s="6" t="n">
        <v>46</v>
      </c>
      <c r="D2091" s="25" t="n">
        <f aca="false">EDATE('Start Here'!$B$6,C2091-1)</f>
        <v>47696</v>
      </c>
      <c r="E2091" s="23" t="n">
        <f aca="false">IF(AND(OR(Nonlabor!$D$18="Both",Nonlabor!$D$18='Start Here'!$B$9),IF(Nonlabor!$E$18="Core",1,IF(Nonlabor!$E$18="AI",'Start Here'!$B$7,'Start Here'!$B$8))=1,C2091&gt;=IF(Nonlabor!$E$18="Core",Nonlabor!$F$18,MAX(Nonlabor!$F$18,IF(Nonlabor!$E$18="AI",Assumptions!$D$24,Assumptions!$D$25))),C2091&lt;=Nonlabor!$G$18,OR(Nonlabor!$H$18="Monthly",AND(Nonlabor!$H$18="Once",C2091=IF(Nonlabor!$E$18="Core",Nonlabor!$F$18,MAX(Nonlabor!$F$18,IF(Nonlabor!$E$18="AI",Assumptions!$D$24,Assumptions!$D$25)))),AND(Nonlabor!$H$18="Annual",MOD(C2091-IF(Nonlabor!$E$18="Core",Nonlabor!$F$18,MAX(Nonlabor!$F$18,IF(Nonlabor!$E$18="AI",Assumptions!$D$24,Assumptions!$D$25))),12)=0))),IF(Nonlabor!$I$18="Fixed",1,IF(Nonlabor!$I$18="Seats",ROUNDUP('Monthly Base'!I51,0),IF(Nonlabor!$I$18="Customers",'Monthly Base'!D51,IF(Nonlabor!$I$18="NewCustomers",'Monthly Base'!C51,IF(Nonlabor!$I$18="StorageGB",'Monthly Base'!G51,IF(Nonlabor!$I$18="LogGB",'Monthly Base'!H51,IF(Nonlabor!$I$18="RequestsM",'Monthly Base'!F51,IF(Nonlabor!$I$18="InputM",'Monthly Base'!D51*Assumptions!$D$22/1000000,IF(Nonlabor!$I$18="OutputM",'Monthly Base'!D51*Assumptions!$D$23/1000000,0))))))))),0)</f>
        <v>0</v>
      </c>
      <c r="F2091" s="10" t="n">
        <f aca="false">Nonlabor!$J$18*(1+Assumptions!$D$9)^INT((C2091-1)/12)</f>
        <v>16390.905</v>
      </c>
      <c r="G2091" s="10" t="n">
        <f aca="false">E2091*F2091</f>
        <v>0</v>
      </c>
      <c r="H2091" s="10" t="n">
        <f aca="false">IF(OR(Nonlabor!$L$18="Quote required",Nonlabor!$L$18="Unverified"),G2091,0)</f>
        <v>0</v>
      </c>
      <c r="I2091" s="10" t="n">
        <f aca="false">IF(Nonlabor!$E$18="Core",0,G2091)</f>
        <v>0</v>
      </c>
      <c r="J2091" s="23" t="str">
        <f aca="false">Nonlabor!$B$18</f>
        <v>COMPLIANCE</v>
      </c>
    </row>
    <row r="2092" customFormat="false" ht="15" hidden="false" customHeight="false" outlineLevel="0" collapsed="false">
      <c r="A2092" s="6" t="s">
        <v>4</v>
      </c>
      <c r="B2092" s="6" t="s">
        <v>413</v>
      </c>
      <c r="C2092" s="6" t="n">
        <v>47</v>
      </c>
      <c r="D2092" s="25" t="n">
        <f aca="false">EDATE('Start Here'!$B$6,C2092-1)</f>
        <v>47727</v>
      </c>
      <c r="E2092" s="23" t="n">
        <f aca="false">IF(AND(OR(Nonlabor!$D$18="Both",Nonlabor!$D$18='Start Here'!$B$9),IF(Nonlabor!$E$18="Core",1,IF(Nonlabor!$E$18="AI",'Start Here'!$B$7,'Start Here'!$B$8))=1,C2092&gt;=IF(Nonlabor!$E$18="Core",Nonlabor!$F$18,MAX(Nonlabor!$F$18,IF(Nonlabor!$E$18="AI",Assumptions!$D$24,Assumptions!$D$25))),C2092&lt;=Nonlabor!$G$18,OR(Nonlabor!$H$18="Monthly",AND(Nonlabor!$H$18="Once",C2092=IF(Nonlabor!$E$18="Core",Nonlabor!$F$18,MAX(Nonlabor!$F$18,IF(Nonlabor!$E$18="AI",Assumptions!$D$24,Assumptions!$D$25)))),AND(Nonlabor!$H$18="Annual",MOD(C2092-IF(Nonlabor!$E$18="Core",Nonlabor!$F$18,MAX(Nonlabor!$F$18,IF(Nonlabor!$E$18="AI",Assumptions!$D$24,Assumptions!$D$25))),12)=0))),IF(Nonlabor!$I$18="Fixed",1,IF(Nonlabor!$I$18="Seats",ROUNDUP('Monthly Base'!I52,0),IF(Nonlabor!$I$18="Customers",'Monthly Base'!D52,IF(Nonlabor!$I$18="NewCustomers",'Monthly Base'!C52,IF(Nonlabor!$I$18="StorageGB",'Monthly Base'!G52,IF(Nonlabor!$I$18="LogGB",'Monthly Base'!H52,IF(Nonlabor!$I$18="RequestsM",'Monthly Base'!F52,IF(Nonlabor!$I$18="InputM",'Monthly Base'!D52*Assumptions!$D$22/1000000,IF(Nonlabor!$I$18="OutputM",'Monthly Base'!D52*Assumptions!$D$23/1000000,0))))))))),0)</f>
        <v>1</v>
      </c>
      <c r="F2092" s="10" t="n">
        <f aca="false">Nonlabor!$J$18*(1+Assumptions!$D$9)^INT((C2092-1)/12)</f>
        <v>16390.905</v>
      </c>
      <c r="G2092" s="10" t="n">
        <f aca="false">E2092*F2092</f>
        <v>16390.905</v>
      </c>
      <c r="H2092" s="10" t="n">
        <f aca="false">IF(OR(Nonlabor!$L$18="Quote required",Nonlabor!$L$18="Unverified"),G2092,0)</f>
        <v>16390.905</v>
      </c>
      <c r="I2092" s="10" t="n">
        <f aca="false">IF(Nonlabor!$E$18="Core",0,G2092)</f>
        <v>0</v>
      </c>
      <c r="J2092" s="23" t="str">
        <f aca="false">Nonlabor!$B$18</f>
        <v>COMPLIANCE</v>
      </c>
    </row>
    <row r="2093" customFormat="false" ht="15" hidden="false" customHeight="false" outlineLevel="0" collapsed="false">
      <c r="A2093" s="6" t="s">
        <v>4</v>
      </c>
      <c r="B2093" s="6" t="s">
        <v>413</v>
      </c>
      <c r="C2093" s="6" t="n">
        <v>48</v>
      </c>
      <c r="D2093" s="25" t="n">
        <f aca="false">EDATE('Start Here'!$B$6,C2093-1)</f>
        <v>47757</v>
      </c>
      <c r="E2093" s="23" t="n">
        <f aca="false">IF(AND(OR(Nonlabor!$D$18="Both",Nonlabor!$D$18='Start Here'!$B$9),IF(Nonlabor!$E$18="Core",1,IF(Nonlabor!$E$18="AI",'Start Here'!$B$7,'Start Here'!$B$8))=1,C2093&gt;=IF(Nonlabor!$E$18="Core",Nonlabor!$F$18,MAX(Nonlabor!$F$18,IF(Nonlabor!$E$18="AI",Assumptions!$D$24,Assumptions!$D$25))),C2093&lt;=Nonlabor!$G$18,OR(Nonlabor!$H$18="Monthly",AND(Nonlabor!$H$18="Once",C2093=IF(Nonlabor!$E$18="Core",Nonlabor!$F$18,MAX(Nonlabor!$F$18,IF(Nonlabor!$E$18="AI",Assumptions!$D$24,Assumptions!$D$25)))),AND(Nonlabor!$H$18="Annual",MOD(C2093-IF(Nonlabor!$E$18="Core",Nonlabor!$F$18,MAX(Nonlabor!$F$18,IF(Nonlabor!$E$18="AI",Assumptions!$D$24,Assumptions!$D$25))),12)=0))),IF(Nonlabor!$I$18="Fixed",1,IF(Nonlabor!$I$18="Seats",ROUNDUP('Monthly Base'!I53,0),IF(Nonlabor!$I$18="Customers",'Monthly Base'!D53,IF(Nonlabor!$I$18="NewCustomers",'Monthly Base'!C53,IF(Nonlabor!$I$18="StorageGB",'Monthly Base'!G53,IF(Nonlabor!$I$18="LogGB",'Monthly Base'!H53,IF(Nonlabor!$I$18="RequestsM",'Monthly Base'!F53,IF(Nonlabor!$I$18="InputM",'Monthly Base'!D53*Assumptions!$D$22/1000000,IF(Nonlabor!$I$18="OutputM",'Monthly Base'!D53*Assumptions!$D$23/1000000,0))))))))),0)</f>
        <v>0</v>
      </c>
      <c r="F2093" s="10" t="n">
        <f aca="false">Nonlabor!$J$18*(1+Assumptions!$D$9)^INT((C2093-1)/12)</f>
        <v>16390.905</v>
      </c>
      <c r="G2093" s="10" t="n">
        <f aca="false">E2093*F2093</f>
        <v>0</v>
      </c>
      <c r="H2093" s="10" t="n">
        <f aca="false">IF(OR(Nonlabor!$L$18="Quote required",Nonlabor!$L$18="Unverified"),G2093,0)</f>
        <v>0</v>
      </c>
      <c r="I2093" s="10" t="n">
        <f aca="false">IF(Nonlabor!$E$18="Core",0,G2093)</f>
        <v>0</v>
      </c>
      <c r="J2093" s="23" t="str">
        <f aca="false">Nonlabor!$B$18</f>
        <v>COMPLIANCE</v>
      </c>
    </row>
    <row r="2094" customFormat="false" ht="15" hidden="false" customHeight="false" outlineLevel="0" collapsed="false">
      <c r="A2094" s="6" t="s">
        <v>4</v>
      </c>
      <c r="B2094" s="6" t="s">
        <v>413</v>
      </c>
      <c r="C2094" s="6" t="n">
        <v>49</v>
      </c>
      <c r="D2094" s="25" t="n">
        <f aca="false">EDATE('Start Here'!$B$6,C2094-1)</f>
        <v>47788</v>
      </c>
      <c r="E2094" s="23" t="n">
        <f aca="false">IF(AND(OR(Nonlabor!$D$18="Both",Nonlabor!$D$18='Start Here'!$B$9),IF(Nonlabor!$E$18="Core",1,IF(Nonlabor!$E$18="AI",'Start Here'!$B$7,'Start Here'!$B$8))=1,C2094&gt;=IF(Nonlabor!$E$18="Core",Nonlabor!$F$18,MAX(Nonlabor!$F$18,IF(Nonlabor!$E$18="AI",Assumptions!$D$24,Assumptions!$D$25))),C2094&lt;=Nonlabor!$G$18,OR(Nonlabor!$H$18="Monthly",AND(Nonlabor!$H$18="Once",C2094=IF(Nonlabor!$E$18="Core",Nonlabor!$F$18,MAX(Nonlabor!$F$18,IF(Nonlabor!$E$18="AI",Assumptions!$D$24,Assumptions!$D$25)))),AND(Nonlabor!$H$18="Annual",MOD(C2094-IF(Nonlabor!$E$18="Core",Nonlabor!$F$18,MAX(Nonlabor!$F$18,IF(Nonlabor!$E$18="AI",Assumptions!$D$24,Assumptions!$D$25))),12)=0))),IF(Nonlabor!$I$18="Fixed",1,IF(Nonlabor!$I$18="Seats",ROUNDUP('Monthly Base'!I54,0),IF(Nonlabor!$I$18="Customers",'Monthly Base'!D54,IF(Nonlabor!$I$18="NewCustomers",'Monthly Base'!C54,IF(Nonlabor!$I$18="StorageGB",'Monthly Base'!G54,IF(Nonlabor!$I$18="LogGB",'Monthly Base'!H54,IF(Nonlabor!$I$18="RequestsM",'Monthly Base'!F54,IF(Nonlabor!$I$18="InputM",'Monthly Base'!D54*Assumptions!$D$22/1000000,IF(Nonlabor!$I$18="OutputM",'Monthly Base'!D54*Assumptions!$D$23/1000000,0))))))))),0)</f>
        <v>0</v>
      </c>
      <c r="F2094" s="10" t="n">
        <f aca="false">Nonlabor!$J$18*(1+Assumptions!$D$9)^INT((C2094-1)/12)</f>
        <v>16882.63215</v>
      </c>
      <c r="G2094" s="10" t="n">
        <f aca="false">E2094*F2094</f>
        <v>0</v>
      </c>
      <c r="H2094" s="10" t="n">
        <f aca="false">IF(OR(Nonlabor!$L$18="Quote required",Nonlabor!$L$18="Unverified"),G2094,0)</f>
        <v>0</v>
      </c>
      <c r="I2094" s="10" t="n">
        <f aca="false">IF(Nonlabor!$E$18="Core",0,G2094)</f>
        <v>0</v>
      </c>
      <c r="J2094" s="23" t="str">
        <f aca="false">Nonlabor!$B$18</f>
        <v>COMPLIANCE</v>
      </c>
    </row>
    <row r="2095" customFormat="false" ht="15" hidden="false" customHeight="false" outlineLevel="0" collapsed="false">
      <c r="A2095" s="6" t="s">
        <v>4</v>
      </c>
      <c r="B2095" s="6" t="s">
        <v>413</v>
      </c>
      <c r="C2095" s="6" t="n">
        <v>50</v>
      </c>
      <c r="D2095" s="25" t="n">
        <f aca="false">EDATE('Start Here'!$B$6,C2095-1)</f>
        <v>47818</v>
      </c>
      <c r="E2095" s="23" t="n">
        <f aca="false">IF(AND(OR(Nonlabor!$D$18="Both",Nonlabor!$D$18='Start Here'!$B$9),IF(Nonlabor!$E$18="Core",1,IF(Nonlabor!$E$18="AI",'Start Here'!$B$7,'Start Here'!$B$8))=1,C2095&gt;=IF(Nonlabor!$E$18="Core",Nonlabor!$F$18,MAX(Nonlabor!$F$18,IF(Nonlabor!$E$18="AI",Assumptions!$D$24,Assumptions!$D$25))),C2095&lt;=Nonlabor!$G$18,OR(Nonlabor!$H$18="Monthly",AND(Nonlabor!$H$18="Once",C2095=IF(Nonlabor!$E$18="Core",Nonlabor!$F$18,MAX(Nonlabor!$F$18,IF(Nonlabor!$E$18="AI",Assumptions!$D$24,Assumptions!$D$25)))),AND(Nonlabor!$H$18="Annual",MOD(C2095-IF(Nonlabor!$E$18="Core",Nonlabor!$F$18,MAX(Nonlabor!$F$18,IF(Nonlabor!$E$18="AI",Assumptions!$D$24,Assumptions!$D$25))),12)=0))),IF(Nonlabor!$I$18="Fixed",1,IF(Nonlabor!$I$18="Seats",ROUNDUP('Monthly Base'!I55,0),IF(Nonlabor!$I$18="Customers",'Monthly Base'!D55,IF(Nonlabor!$I$18="NewCustomers",'Monthly Base'!C55,IF(Nonlabor!$I$18="StorageGB",'Monthly Base'!G55,IF(Nonlabor!$I$18="LogGB",'Monthly Base'!H55,IF(Nonlabor!$I$18="RequestsM",'Monthly Base'!F55,IF(Nonlabor!$I$18="InputM",'Monthly Base'!D55*Assumptions!$D$22/1000000,IF(Nonlabor!$I$18="OutputM",'Monthly Base'!D55*Assumptions!$D$23/1000000,0))))))))),0)</f>
        <v>0</v>
      </c>
      <c r="F2095" s="10" t="n">
        <f aca="false">Nonlabor!$J$18*(1+Assumptions!$D$9)^INT((C2095-1)/12)</f>
        <v>16882.63215</v>
      </c>
      <c r="G2095" s="10" t="n">
        <f aca="false">E2095*F2095</f>
        <v>0</v>
      </c>
      <c r="H2095" s="10" t="n">
        <f aca="false">IF(OR(Nonlabor!$L$18="Quote required",Nonlabor!$L$18="Unverified"),G2095,0)</f>
        <v>0</v>
      </c>
      <c r="I2095" s="10" t="n">
        <f aca="false">IF(Nonlabor!$E$18="Core",0,G2095)</f>
        <v>0</v>
      </c>
      <c r="J2095" s="23" t="str">
        <f aca="false">Nonlabor!$B$18</f>
        <v>COMPLIANCE</v>
      </c>
    </row>
    <row r="2096" customFormat="false" ht="15" hidden="false" customHeight="false" outlineLevel="0" collapsed="false">
      <c r="A2096" s="6" t="s">
        <v>4</v>
      </c>
      <c r="B2096" s="6" t="s">
        <v>413</v>
      </c>
      <c r="C2096" s="6" t="n">
        <v>51</v>
      </c>
      <c r="D2096" s="25" t="n">
        <f aca="false">EDATE('Start Here'!$B$6,C2096-1)</f>
        <v>47849</v>
      </c>
      <c r="E2096" s="23" t="n">
        <f aca="false">IF(AND(OR(Nonlabor!$D$18="Both",Nonlabor!$D$18='Start Here'!$B$9),IF(Nonlabor!$E$18="Core",1,IF(Nonlabor!$E$18="AI",'Start Here'!$B$7,'Start Here'!$B$8))=1,C2096&gt;=IF(Nonlabor!$E$18="Core",Nonlabor!$F$18,MAX(Nonlabor!$F$18,IF(Nonlabor!$E$18="AI",Assumptions!$D$24,Assumptions!$D$25))),C2096&lt;=Nonlabor!$G$18,OR(Nonlabor!$H$18="Monthly",AND(Nonlabor!$H$18="Once",C2096=IF(Nonlabor!$E$18="Core",Nonlabor!$F$18,MAX(Nonlabor!$F$18,IF(Nonlabor!$E$18="AI",Assumptions!$D$24,Assumptions!$D$25)))),AND(Nonlabor!$H$18="Annual",MOD(C2096-IF(Nonlabor!$E$18="Core",Nonlabor!$F$18,MAX(Nonlabor!$F$18,IF(Nonlabor!$E$18="AI",Assumptions!$D$24,Assumptions!$D$25))),12)=0))),IF(Nonlabor!$I$18="Fixed",1,IF(Nonlabor!$I$18="Seats",ROUNDUP('Monthly Base'!I56,0),IF(Nonlabor!$I$18="Customers",'Monthly Base'!D56,IF(Nonlabor!$I$18="NewCustomers",'Monthly Base'!C56,IF(Nonlabor!$I$18="StorageGB",'Monthly Base'!G56,IF(Nonlabor!$I$18="LogGB",'Monthly Base'!H56,IF(Nonlabor!$I$18="RequestsM",'Monthly Base'!F56,IF(Nonlabor!$I$18="InputM",'Monthly Base'!D56*Assumptions!$D$22/1000000,IF(Nonlabor!$I$18="OutputM",'Monthly Base'!D56*Assumptions!$D$23/1000000,0))))))))),0)</f>
        <v>0</v>
      </c>
      <c r="F2096" s="10" t="n">
        <f aca="false">Nonlabor!$J$18*(1+Assumptions!$D$9)^INT((C2096-1)/12)</f>
        <v>16882.63215</v>
      </c>
      <c r="G2096" s="10" t="n">
        <f aca="false">E2096*F2096</f>
        <v>0</v>
      </c>
      <c r="H2096" s="10" t="n">
        <f aca="false">IF(OR(Nonlabor!$L$18="Quote required",Nonlabor!$L$18="Unverified"),G2096,0)</f>
        <v>0</v>
      </c>
      <c r="I2096" s="10" t="n">
        <f aca="false">IF(Nonlabor!$E$18="Core",0,G2096)</f>
        <v>0</v>
      </c>
      <c r="J2096" s="23" t="str">
        <f aca="false">Nonlabor!$B$18</f>
        <v>COMPLIANCE</v>
      </c>
    </row>
    <row r="2097" customFormat="false" ht="15" hidden="false" customHeight="false" outlineLevel="0" collapsed="false">
      <c r="A2097" s="6" t="s">
        <v>4</v>
      </c>
      <c r="B2097" s="6" t="s">
        <v>413</v>
      </c>
      <c r="C2097" s="6" t="n">
        <v>52</v>
      </c>
      <c r="D2097" s="25" t="n">
        <f aca="false">EDATE('Start Here'!$B$6,C2097-1)</f>
        <v>47880</v>
      </c>
      <c r="E2097" s="23" t="n">
        <f aca="false">IF(AND(OR(Nonlabor!$D$18="Both",Nonlabor!$D$18='Start Here'!$B$9),IF(Nonlabor!$E$18="Core",1,IF(Nonlabor!$E$18="AI",'Start Here'!$B$7,'Start Here'!$B$8))=1,C2097&gt;=IF(Nonlabor!$E$18="Core",Nonlabor!$F$18,MAX(Nonlabor!$F$18,IF(Nonlabor!$E$18="AI",Assumptions!$D$24,Assumptions!$D$25))),C2097&lt;=Nonlabor!$G$18,OR(Nonlabor!$H$18="Monthly",AND(Nonlabor!$H$18="Once",C2097=IF(Nonlabor!$E$18="Core",Nonlabor!$F$18,MAX(Nonlabor!$F$18,IF(Nonlabor!$E$18="AI",Assumptions!$D$24,Assumptions!$D$25)))),AND(Nonlabor!$H$18="Annual",MOD(C2097-IF(Nonlabor!$E$18="Core",Nonlabor!$F$18,MAX(Nonlabor!$F$18,IF(Nonlabor!$E$18="AI",Assumptions!$D$24,Assumptions!$D$25))),12)=0))),IF(Nonlabor!$I$18="Fixed",1,IF(Nonlabor!$I$18="Seats",ROUNDUP('Monthly Base'!I57,0),IF(Nonlabor!$I$18="Customers",'Monthly Base'!D57,IF(Nonlabor!$I$18="NewCustomers",'Monthly Base'!C57,IF(Nonlabor!$I$18="StorageGB",'Monthly Base'!G57,IF(Nonlabor!$I$18="LogGB",'Monthly Base'!H57,IF(Nonlabor!$I$18="RequestsM",'Monthly Base'!F57,IF(Nonlabor!$I$18="InputM",'Monthly Base'!D57*Assumptions!$D$22/1000000,IF(Nonlabor!$I$18="OutputM",'Monthly Base'!D57*Assumptions!$D$23/1000000,0))))))))),0)</f>
        <v>0</v>
      </c>
      <c r="F2097" s="10" t="n">
        <f aca="false">Nonlabor!$J$18*(1+Assumptions!$D$9)^INT((C2097-1)/12)</f>
        <v>16882.63215</v>
      </c>
      <c r="G2097" s="10" t="n">
        <f aca="false">E2097*F2097</f>
        <v>0</v>
      </c>
      <c r="H2097" s="10" t="n">
        <f aca="false">IF(OR(Nonlabor!$L$18="Quote required",Nonlabor!$L$18="Unverified"),G2097,0)</f>
        <v>0</v>
      </c>
      <c r="I2097" s="10" t="n">
        <f aca="false">IF(Nonlabor!$E$18="Core",0,G2097)</f>
        <v>0</v>
      </c>
      <c r="J2097" s="23" t="str">
        <f aca="false">Nonlabor!$B$18</f>
        <v>COMPLIANCE</v>
      </c>
    </row>
    <row r="2098" customFormat="false" ht="15" hidden="false" customHeight="false" outlineLevel="0" collapsed="false">
      <c r="A2098" s="6" t="s">
        <v>4</v>
      </c>
      <c r="B2098" s="6" t="s">
        <v>413</v>
      </c>
      <c r="C2098" s="6" t="n">
        <v>53</v>
      </c>
      <c r="D2098" s="25" t="n">
        <f aca="false">EDATE('Start Here'!$B$6,C2098-1)</f>
        <v>47908</v>
      </c>
      <c r="E2098" s="23" t="n">
        <f aca="false">IF(AND(OR(Nonlabor!$D$18="Both",Nonlabor!$D$18='Start Here'!$B$9),IF(Nonlabor!$E$18="Core",1,IF(Nonlabor!$E$18="AI",'Start Here'!$B$7,'Start Here'!$B$8))=1,C2098&gt;=IF(Nonlabor!$E$18="Core",Nonlabor!$F$18,MAX(Nonlabor!$F$18,IF(Nonlabor!$E$18="AI",Assumptions!$D$24,Assumptions!$D$25))),C2098&lt;=Nonlabor!$G$18,OR(Nonlabor!$H$18="Monthly",AND(Nonlabor!$H$18="Once",C2098=IF(Nonlabor!$E$18="Core",Nonlabor!$F$18,MAX(Nonlabor!$F$18,IF(Nonlabor!$E$18="AI",Assumptions!$D$24,Assumptions!$D$25)))),AND(Nonlabor!$H$18="Annual",MOD(C2098-IF(Nonlabor!$E$18="Core",Nonlabor!$F$18,MAX(Nonlabor!$F$18,IF(Nonlabor!$E$18="AI",Assumptions!$D$24,Assumptions!$D$25))),12)=0))),IF(Nonlabor!$I$18="Fixed",1,IF(Nonlabor!$I$18="Seats",ROUNDUP('Monthly Base'!I58,0),IF(Nonlabor!$I$18="Customers",'Monthly Base'!D58,IF(Nonlabor!$I$18="NewCustomers",'Monthly Base'!C58,IF(Nonlabor!$I$18="StorageGB",'Monthly Base'!G58,IF(Nonlabor!$I$18="LogGB",'Monthly Base'!H58,IF(Nonlabor!$I$18="RequestsM",'Monthly Base'!F58,IF(Nonlabor!$I$18="InputM",'Monthly Base'!D58*Assumptions!$D$22/1000000,IF(Nonlabor!$I$18="OutputM",'Monthly Base'!D58*Assumptions!$D$23/1000000,0))))))))),0)</f>
        <v>0</v>
      </c>
      <c r="F2098" s="10" t="n">
        <f aca="false">Nonlabor!$J$18*(1+Assumptions!$D$9)^INT((C2098-1)/12)</f>
        <v>16882.63215</v>
      </c>
      <c r="G2098" s="10" t="n">
        <f aca="false">E2098*F2098</f>
        <v>0</v>
      </c>
      <c r="H2098" s="10" t="n">
        <f aca="false">IF(OR(Nonlabor!$L$18="Quote required",Nonlabor!$L$18="Unverified"),G2098,0)</f>
        <v>0</v>
      </c>
      <c r="I2098" s="10" t="n">
        <f aca="false">IF(Nonlabor!$E$18="Core",0,G2098)</f>
        <v>0</v>
      </c>
      <c r="J2098" s="23" t="str">
        <f aca="false">Nonlabor!$B$18</f>
        <v>COMPLIANCE</v>
      </c>
    </row>
    <row r="2099" customFormat="false" ht="15" hidden="false" customHeight="false" outlineLevel="0" collapsed="false">
      <c r="A2099" s="6" t="s">
        <v>4</v>
      </c>
      <c r="B2099" s="6" t="s">
        <v>413</v>
      </c>
      <c r="C2099" s="6" t="n">
        <v>54</v>
      </c>
      <c r="D2099" s="25" t="n">
        <f aca="false">EDATE('Start Here'!$B$6,C2099-1)</f>
        <v>47939</v>
      </c>
      <c r="E2099" s="23" t="n">
        <f aca="false">IF(AND(OR(Nonlabor!$D$18="Both",Nonlabor!$D$18='Start Here'!$B$9),IF(Nonlabor!$E$18="Core",1,IF(Nonlabor!$E$18="AI",'Start Here'!$B$7,'Start Here'!$B$8))=1,C2099&gt;=IF(Nonlabor!$E$18="Core",Nonlabor!$F$18,MAX(Nonlabor!$F$18,IF(Nonlabor!$E$18="AI",Assumptions!$D$24,Assumptions!$D$25))),C2099&lt;=Nonlabor!$G$18,OR(Nonlabor!$H$18="Monthly",AND(Nonlabor!$H$18="Once",C2099=IF(Nonlabor!$E$18="Core",Nonlabor!$F$18,MAX(Nonlabor!$F$18,IF(Nonlabor!$E$18="AI",Assumptions!$D$24,Assumptions!$D$25)))),AND(Nonlabor!$H$18="Annual",MOD(C2099-IF(Nonlabor!$E$18="Core",Nonlabor!$F$18,MAX(Nonlabor!$F$18,IF(Nonlabor!$E$18="AI",Assumptions!$D$24,Assumptions!$D$25))),12)=0))),IF(Nonlabor!$I$18="Fixed",1,IF(Nonlabor!$I$18="Seats",ROUNDUP('Monthly Base'!I59,0),IF(Nonlabor!$I$18="Customers",'Monthly Base'!D59,IF(Nonlabor!$I$18="NewCustomers",'Monthly Base'!C59,IF(Nonlabor!$I$18="StorageGB",'Monthly Base'!G59,IF(Nonlabor!$I$18="LogGB",'Monthly Base'!H59,IF(Nonlabor!$I$18="RequestsM",'Monthly Base'!F59,IF(Nonlabor!$I$18="InputM",'Monthly Base'!D59*Assumptions!$D$22/1000000,IF(Nonlabor!$I$18="OutputM",'Monthly Base'!D59*Assumptions!$D$23/1000000,0))))))))),0)</f>
        <v>0</v>
      </c>
      <c r="F2099" s="10" t="n">
        <f aca="false">Nonlabor!$J$18*(1+Assumptions!$D$9)^INT((C2099-1)/12)</f>
        <v>16882.63215</v>
      </c>
      <c r="G2099" s="10" t="n">
        <f aca="false">E2099*F2099</f>
        <v>0</v>
      </c>
      <c r="H2099" s="10" t="n">
        <f aca="false">IF(OR(Nonlabor!$L$18="Quote required",Nonlabor!$L$18="Unverified"),G2099,0)</f>
        <v>0</v>
      </c>
      <c r="I2099" s="10" t="n">
        <f aca="false">IF(Nonlabor!$E$18="Core",0,G2099)</f>
        <v>0</v>
      </c>
      <c r="J2099" s="23" t="str">
        <f aca="false">Nonlabor!$B$18</f>
        <v>COMPLIANCE</v>
      </c>
    </row>
    <row r="2100" customFormat="false" ht="15" hidden="false" customHeight="false" outlineLevel="0" collapsed="false">
      <c r="A2100" s="6" t="s">
        <v>4</v>
      </c>
      <c r="B2100" s="6" t="s">
        <v>413</v>
      </c>
      <c r="C2100" s="6" t="n">
        <v>55</v>
      </c>
      <c r="D2100" s="25" t="n">
        <f aca="false">EDATE('Start Here'!$B$6,C2100-1)</f>
        <v>47969</v>
      </c>
      <c r="E2100" s="23" t="n">
        <f aca="false">IF(AND(OR(Nonlabor!$D$18="Both",Nonlabor!$D$18='Start Here'!$B$9),IF(Nonlabor!$E$18="Core",1,IF(Nonlabor!$E$18="AI",'Start Here'!$B$7,'Start Here'!$B$8))=1,C2100&gt;=IF(Nonlabor!$E$18="Core",Nonlabor!$F$18,MAX(Nonlabor!$F$18,IF(Nonlabor!$E$18="AI",Assumptions!$D$24,Assumptions!$D$25))),C2100&lt;=Nonlabor!$G$18,OR(Nonlabor!$H$18="Monthly",AND(Nonlabor!$H$18="Once",C2100=IF(Nonlabor!$E$18="Core",Nonlabor!$F$18,MAX(Nonlabor!$F$18,IF(Nonlabor!$E$18="AI",Assumptions!$D$24,Assumptions!$D$25)))),AND(Nonlabor!$H$18="Annual",MOD(C2100-IF(Nonlabor!$E$18="Core",Nonlabor!$F$18,MAX(Nonlabor!$F$18,IF(Nonlabor!$E$18="AI",Assumptions!$D$24,Assumptions!$D$25))),12)=0))),IF(Nonlabor!$I$18="Fixed",1,IF(Nonlabor!$I$18="Seats",ROUNDUP('Monthly Base'!I60,0),IF(Nonlabor!$I$18="Customers",'Monthly Base'!D60,IF(Nonlabor!$I$18="NewCustomers",'Monthly Base'!C60,IF(Nonlabor!$I$18="StorageGB",'Monthly Base'!G60,IF(Nonlabor!$I$18="LogGB",'Monthly Base'!H60,IF(Nonlabor!$I$18="RequestsM",'Monthly Base'!F60,IF(Nonlabor!$I$18="InputM",'Monthly Base'!D60*Assumptions!$D$22/1000000,IF(Nonlabor!$I$18="OutputM",'Monthly Base'!D60*Assumptions!$D$23/1000000,0))))))))),0)</f>
        <v>0</v>
      </c>
      <c r="F2100" s="10" t="n">
        <f aca="false">Nonlabor!$J$18*(1+Assumptions!$D$9)^INT((C2100-1)/12)</f>
        <v>16882.63215</v>
      </c>
      <c r="G2100" s="10" t="n">
        <f aca="false">E2100*F2100</f>
        <v>0</v>
      </c>
      <c r="H2100" s="10" t="n">
        <f aca="false">IF(OR(Nonlabor!$L$18="Quote required",Nonlabor!$L$18="Unverified"),G2100,0)</f>
        <v>0</v>
      </c>
      <c r="I2100" s="10" t="n">
        <f aca="false">IF(Nonlabor!$E$18="Core",0,G2100)</f>
        <v>0</v>
      </c>
      <c r="J2100" s="23" t="str">
        <f aca="false">Nonlabor!$B$18</f>
        <v>COMPLIANCE</v>
      </c>
    </row>
    <row r="2101" customFormat="false" ht="15" hidden="false" customHeight="false" outlineLevel="0" collapsed="false">
      <c r="A2101" s="6" t="s">
        <v>4</v>
      </c>
      <c r="B2101" s="6" t="s">
        <v>413</v>
      </c>
      <c r="C2101" s="6" t="n">
        <v>56</v>
      </c>
      <c r="D2101" s="25" t="n">
        <f aca="false">EDATE('Start Here'!$B$6,C2101-1)</f>
        <v>48000</v>
      </c>
      <c r="E2101" s="23" t="n">
        <f aca="false">IF(AND(OR(Nonlabor!$D$18="Both",Nonlabor!$D$18='Start Here'!$B$9),IF(Nonlabor!$E$18="Core",1,IF(Nonlabor!$E$18="AI",'Start Here'!$B$7,'Start Here'!$B$8))=1,C2101&gt;=IF(Nonlabor!$E$18="Core",Nonlabor!$F$18,MAX(Nonlabor!$F$18,IF(Nonlabor!$E$18="AI",Assumptions!$D$24,Assumptions!$D$25))),C2101&lt;=Nonlabor!$G$18,OR(Nonlabor!$H$18="Monthly",AND(Nonlabor!$H$18="Once",C2101=IF(Nonlabor!$E$18="Core",Nonlabor!$F$18,MAX(Nonlabor!$F$18,IF(Nonlabor!$E$18="AI",Assumptions!$D$24,Assumptions!$D$25)))),AND(Nonlabor!$H$18="Annual",MOD(C2101-IF(Nonlabor!$E$18="Core",Nonlabor!$F$18,MAX(Nonlabor!$F$18,IF(Nonlabor!$E$18="AI",Assumptions!$D$24,Assumptions!$D$25))),12)=0))),IF(Nonlabor!$I$18="Fixed",1,IF(Nonlabor!$I$18="Seats",ROUNDUP('Monthly Base'!I61,0),IF(Nonlabor!$I$18="Customers",'Monthly Base'!D61,IF(Nonlabor!$I$18="NewCustomers",'Monthly Base'!C61,IF(Nonlabor!$I$18="StorageGB",'Monthly Base'!G61,IF(Nonlabor!$I$18="LogGB",'Monthly Base'!H61,IF(Nonlabor!$I$18="RequestsM",'Monthly Base'!F61,IF(Nonlabor!$I$18="InputM",'Monthly Base'!D61*Assumptions!$D$22/1000000,IF(Nonlabor!$I$18="OutputM",'Monthly Base'!D61*Assumptions!$D$23/1000000,0))))))))),0)</f>
        <v>0</v>
      </c>
      <c r="F2101" s="10" t="n">
        <f aca="false">Nonlabor!$J$18*(1+Assumptions!$D$9)^INT((C2101-1)/12)</f>
        <v>16882.63215</v>
      </c>
      <c r="G2101" s="10" t="n">
        <f aca="false">E2101*F2101</f>
        <v>0</v>
      </c>
      <c r="H2101" s="10" t="n">
        <f aca="false">IF(OR(Nonlabor!$L$18="Quote required",Nonlabor!$L$18="Unverified"),G2101,0)</f>
        <v>0</v>
      </c>
      <c r="I2101" s="10" t="n">
        <f aca="false">IF(Nonlabor!$E$18="Core",0,G2101)</f>
        <v>0</v>
      </c>
      <c r="J2101" s="23" t="str">
        <f aca="false">Nonlabor!$B$18</f>
        <v>COMPLIANCE</v>
      </c>
    </row>
    <row r="2102" customFormat="false" ht="15" hidden="false" customHeight="false" outlineLevel="0" collapsed="false">
      <c r="A2102" s="6" t="s">
        <v>4</v>
      </c>
      <c r="B2102" s="6" t="s">
        <v>413</v>
      </c>
      <c r="C2102" s="6" t="n">
        <v>57</v>
      </c>
      <c r="D2102" s="25" t="n">
        <f aca="false">EDATE('Start Here'!$B$6,C2102-1)</f>
        <v>48030</v>
      </c>
      <c r="E2102" s="23" t="n">
        <f aca="false">IF(AND(OR(Nonlabor!$D$18="Both",Nonlabor!$D$18='Start Here'!$B$9),IF(Nonlabor!$E$18="Core",1,IF(Nonlabor!$E$18="AI",'Start Here'!$B$7,'Start Here'!$B$8))=1,C2102&gt;=IF(Nonlabor!$E$18="Core",Nonlabor!$F$18,MAX(Nonlabor!$F$18,IF(Nonlabor!$E$18="AI",Assumptions!$D$24,Assumptions!$D$25))),C2102&lt;=Nonlabor!$G$18,OR(Nonlabor!$H$18="Monthly",AND(Nonlabor!$H$18="Once",C2102=IF(Nonlabor!$E$18="Core",Nonlabor!$F$18,MAX(Nonlabor!$F$18,IF(Nonlabor!$E$18="AI",Assumptions!$D$24,Assumptions!$D$25)))),AND(Nonlabor!$H$18="Annual",MOD(C2102-IF(Nonlabor!$E$18="Core",Nonlabor!$F$18,MAX(Nonlabor!$F$18,IF(Nonlabor!$E$18="AI",Assumptions!$D$24,Assumptions!$D$25))),12)=0))),IF(Nonlabor!$I$18="Fixed",1,IF(Nonlabor!$I$18="Seats",ROUNDUP('Monthly Base'!I62,0),IF(Nonlabor!$I$18="Customers",'Monthly Base'!D62,IF(Nonlabor!$I$18="NewCustomers",'Monthly Base'!C62,IF(Nonlabor!$I$18="StorageGB",'Monthly Base'!G62,IF(Nonlabor!$I$18="LogGB",'Monthly Base'!H62,IF(Nonlabor!$I$18="RequestsM",'Monthly Base'!F62,IF(Nonlabor!$I$18="InputM",'Monthly Base'!D62*Assumptions!$D$22/1000000,IF(Nonlabor!$I$18="OutputM",'Monthly Base'!D62*Assumptions!$D$23/1000000,0))))))))),0)</f>
        <v>0</v>
      </c>
      <c r="F2102" s="10" t="n">
        <f aca="false">Nonlabor!$J$18*(1+Assumptions!$D$9)^INT((C2102-1)/12)</f>
        <v>16882.63215</v>
      </c>
      <c r="G2102" s="10" t="n">
        <f aca="false">E2102*F2102</f>
        <v>0</v>
      </c>
      <c r="H2102" s="10" t="n">
        <f aca="false">IF(OR(Nonlabor!$L$18="Quote required",Nonlabor!$L$18="Unverified"),G2102,0)</f>
        <v>0</v>
      </c>
      <c r="I2102" s="10" t="n">
        <f aca="false">IF(Nonlabor!$E$18="Core",0,G2102)</f>
        <v>0</v>
      </c>
      <c r="J2102" s="23" t="str">
        <f aca="false">Nonlabor!$B$18</f>
        <v>COMPLIANCE</v>
      </c>
    </row>
    <row r="2103" customFormat="false" ht="15" hidden="false" customHeight="false" outlineLevel="0" collapsed="false">
      <c r="A2103" s="6" t="s">
        <v>4</v>
      </c>
      <c r="B2103" s="6" t="s">
        <v>413</v>
      </c>
      <c r="C2103" s="6" t="n">
        <v>58</v>
      </c>
      <c r="D2103" s="25" t="n">
        <f aca="false">EDATE('Start Here'!$B$6,C2103-1)</f>
        <v>48061</v>
      </c>
      <c r="E2103" s="23" t="n">
        <f aca="false">IF(AND(OR(Nonlabor!$D$18="Both",Nonlabor!$D$18='Start Here'!$B$9),IF(Nonlabor!$E$18="Core",1,IF(Nonlabor!$E$18="AI",'Start Here'!$B$7,'Start Here'!$B$8))=1,C2103&gt;=IF(Nonlabor!$E$18="Core",Nonlabor!$F$18,MAX(Nonlabor!$F$18,IF(Nonlabor!$E$18="AI",Assumptions!$D$24,Assumptions!$D$25))),C2103&lt;=Nonlabor!$G$18,OR(Nonlabor!$H$18="Monthly",AND(Nonlabor!$H$18="Once",C2103=IF(Nonlabor!$E$18="Core",Nonlabor!$F$18,MAX(Nonlabor!$F$18,IF(Nonlabor!$E$18="AI",Assumptions!$D$24,Assumptions!$D$25)))),AND(Nonlabor!$H$18="Annual",MOD(C2103-IF(Nonlabor!$E$18="Core",Nonlabor!$F$18,MAX(Nonlabor!$F$18,IF(Nonlabor!$E$18="AI",Assumptions!$D$24,Assumptions!$D$25))),12)=0))),IF(Nonlabor!$I$18="Fixed",1,IF(Nonlabor!$I$18="Seats",ROUNDUP('Monthly Base'!I63,0),IF(Nonlabor!$I$18="Customers",'Monthly Base'!D63,IF(Nonlabor!$I$18="NewCustomers",'Monthly Base'!C63,IF(Nonlabor!$I$18="StorageGB",'Monthly Base'!G63,IF(Nonlabor!$I$18="LogGB",'Monthly Base'!H63,IF(Nonlabor!$I$18="RequestsM",'Monthly Base'!F63,IF(Nonlabor!$I$18="InputM",'Monthly Base'!D63*Assumptions!$D$22/1000000,IF(Nonlabor!$I$18="OutputM",'Monthly Base'!D63*Assumptions!$D$23/1000000,0))))))))),0)</f>
        <v>0</v>
      </c>
      <c r="F2103" s="10" t="n">
        <f aca="false">Nonlabor!$J$18*(1+Assumptions!$D$9)^INT((C2103-1)/12)</f>
        <v>16882.63215</v>
      </c>
      <c r="G2103" s="10" t="n">
        <f aca="false">E2103*F2103</f>
        <v>0</v>
      </c>
      <c r="H2103" s="10" t="n">
        <f aca="false">IF(OR(Nonlabor!$L$18="Quote required",Nonlabor!$L$18="Unverified"),G2103,0)</f>
        <v>0</v>
      </c>
      <c r="I2103" s="10" t="n">
        <f aca="false">IF(Nonlabor!$E$18="Core",0,G2103)</f>
        <v>0</v>
      </c>
      <c r="J2103" s="23" t="str">
        <f aca="false">Nonlabor!$B$18</f>
        <v>COMPLIANCE</v>
      </c>
    </row>
    <row r="2104" customFormat="false" ht="15" hidden="false" customHeight="false" outlineLevel="0" collapsed="false">
      <c r="A2104" s="6" t="s">
        <v>4</v>
      </c>
      <c r="B2104" s="6" t="s">
        <v>413</v>
      </c>
      <c r="C2104" s="6" t="n">
        <v>59</v>
      </c>
      <c r="D2104" s="25" t="n">
        <f aca="false">EDATE('Start Here'!$B$6,C2104-1)</f>
        <v>48092</v>
      </c>
      <c r="E2104" s="23" t="n">
        <f aca="false">IF(AND(OR(Nonlabor!$D$18="Both",Nonlabor!$D$18='Start Here'!$B$9),IF(Nonlabor!$E$18="Core",1,IF(Nonlabor!$E$18="AI",'Start Here'!$B$7,'Start Here'!$B$8))=1,C2104&gt;=IF(Nonlabor!$E$18="Core",Nonlabor!$F$18,MAX(Nonlabor!$F$18,IF(Nonlabor!$E$18="AI",Assumptions!$D$24,Assumptions!$D$25))),C2104&lt;=Nonlabor!$G$18,OR(Nonlabor!$H$18="Monthly",AND(Nonlabor!$H$18="Once",C2104=IF(Nonlabor!$E$18="Core",Nonlabor!$F$18,MAX(Nonlabor!$F$18,IF(Nonlabor!$E$18="AI",Assumptions!$D$24,Assumptions!$D$25)))),AND(Nonlabor!$H$18="Annual",MOD(C2104-IF(Nonlabor!$E$18="Core",Nonlabor!$F$18,MAX(Nonlabor!$F$18,IF(Nonlabor!$E$18="AI",Assumptions!$D$24,Assumptions!$D$25))),12)=0))),IF(Nonlabor!$I$18="Fixed",1,IF(Nonlabor!$I$18="Seats",ROUNDUP('Monthly Base'!I64,0),IF(Nonlabor!$I$18="Customers",'Monthly Base'!D64,IF(Nonlabor!$I$18="NewCustomers",'Monthly Base'!C64,IF(Nonlabor!$I$18="StorageGB",'Monthly Base'!G64,IF(Nonlabor!$I$18="LogGB",'Monthly Base'!H64,IF(Nonlabor!$I$18="RequestsM",'Monthly Base'!F64,IF(Nonlabor!$I$18="InputM",'Monthly Base'!D64*Assumptions!$D$22/1000000,IF(Nonlabor!$I$18="OutputM",'Monthly Base'!D64*Assumptions!$D$23/1000000,0))))))))),0)</f>
        <v>1</v>
      </c>
      <c r="F2104" s="10" t="n">
        <f aca="false">Nonlabor!$J$18*(1+Assumptions!$D$9)^INT((C2104-1)/12)</f>
        <v>16882.63215</v>
      </c>
      <c r="G2104" s="10" t="n">
        <f aca="false">E2104*F2104</f>
        <v>16882.63215</v>
      </c>
      <c r="H2104" s="10" t="n">
        <f aca="false">IF(OR(Nonlabor!$L$18="Quote required",Nonlabor!$L$18="Unverified"),G2104,0)</f>
        <v>16882.63215</v>
      </c>
      <c r="I2104" s="10" t="n">
        <f aca="false">IF(Nonlabor!$E$18="Core",0,G2104)</f>
        <v>0</v>
      </c>
      <c r="J2104" s="23" t="str">
        <f aca="false">Nonlabor!$B$18</f>
        <v>COMPLIANCE</v>
      </c>
    </row>
    <row r="2105" customFormat="false" ht="15" hidden="false" customHeight="false" outlineLevel="0" collapsed="false">
      <c r="A2105" s="6" t="s">
        <v>4</v>
      </c>
      <c r="B2105" s="6" t="s">
        <v>413</v>
      </c>
      <c r="C2105" s="6" t="n">
        <v>60</v>
      </c>
      <c r="D2105" s="25" t="n">
        <f aca="false">EDATE('Start Here'!$B$6,C2105-1)</f>
        <v>48122</v>
      </c>
      <c r="E2105" s="23" t="n">
        <f aca="false">IF(AND(OR(Nonlabor!$D$18="Both",Nonlabor!$D$18='Start Here'!$B$9),IF(Nonlabor!$E$18="Core",1,IF(Nonlabor!$E$18="AI",'Start Here'!$B$7,'Start Here'!$B$8))=1,C2105&gt;=IF(Nonlabor!$E$18="Core",Nonlabor!$F$18,MAX(Nonlabor!$F$18,IF(Nonlabor!$E$18="AI",Assumptions!$D$24,Assumptions!$D$25))),C2105&lt;=Nonlabor!$G$18,OR(Nonlabor!$H$18="Monthly",AND(Nonlabor!$H$18="Once",C2105=IF(Nonlabor!$E$18="Core",Nonlabor!$F$18,MAX(Nonlabor!$F$18,IF(Nonlabor!$E$18="AI",Assumptions!$D$24,Assumptions!$D$25)))),AND(Nonlabor!$H$18="Annual",MOD(C2105-IF(Nonlabor!$E$18="Core",Nonlabor!$F$18,MAX(Nonlabor!$F$18,IF(Nonlabor!$E$18="AI",Assumptions!$D$24,Assumptions!$D$25))),12)=0))),IF(Nonlabor!$I$18="Fixed",1,IF(Nonlabor!$I$18="Seats",ROUNDUP('Monthly Base'!I65,0),IF(Nonlabor!$I$18="Customers",'Monthly Base'!D65,IF(Nonlabor!$I$18="NewCustomers",'Monthly Base'!C65,IF(Nonlabor!$I$18="StorageGB",'Monthly Base'!G65,IF(Nonlabor!$I$18="LogGB",'Monthly Base'!H65,IF(Nonlabor!$I$18="RequestsM",'Monthly Base'!F65,IF(Nonlabor!$I$18="InputM",'Monthly Base'!D65*Assumptions!$D$22/1000000,IF(Nonlabor!$I$18="OutputM",'Monthly Base'!D65*Assumptions!$D$23/1000000,0))))))))),0)</f>
        <v>0</v>
      </c>
      <c r="F2105" s="10" t="n">
        <f aca="false">Nonlabor!$J$18*(1+Assumptions!$D$9)^INT((C2105-1)/12)</f>
        <v>16882.63215</v>
      </c>
      <c r="G2105" s="10" t="n">
        <f aca="false">E2105*F2105</f>
        <v>0</v>
      </c>
      <c r="H2105" s="10" t="n">
        <f aca="false">IF(OR(Nonlabor!$L$18="Quote required",Nonlabor!$L$18="Unverified"),G2105,0)</f>
        <v>0</v>
      </c>
      <c r="I2105" s="10" t="n">
        <f aca="false">IF(Nonlabor!$E$18="Core",0,G2105)</f>
        <v>0</v>
      </c>
      <c r="J2105" s="23" t="str">
        <f aca="false">Nonlabor!$B$18</f>
        <v>COMPLIANCE</v>
      </c>
    </row>
    <row r="2106" customFormat="false" ht="15" hidden="false" customHeight="false" outlineLevel="0" collapsed="false">
      <c r="A2106" s="6" t="s">
        <v>4</v>
      </c>
      <c r="B2106" s="6" t="s">
        <v>49</v>
      </c>
      <c r="C2106" s="6" t="n">
        <v>1</v>
      </c>
      <c r="D2106" s="25" t="n">
        <f aca="false">EDATE('Start Here'!$B$6,C2106-1)</f>
        <v>46327</v>
      </c>
      <c r="E2106" s="23" t="n">
        <f aca="false">IF(AND(OR(Nonlabor!$D$19="Both",Nonlabor!$D$19='Start Here'!$B$9),IF(Nonlabor!$E$19="Core",1,IF(Nonlabor!$E$19="AI",'Start Here'!$B$7,'Start Here'!$B$8))=1,C2106&gt;=IF(Nonlabor!$E$19="Core",Nonlabor!$F$19,MAX(Nonlabor!$F$19,IF(Nonlabor!$E$19="AI",Assumptions!$D$24,Assumptions!$D$25))),C2106&lt;=Nonlabor!$G$19,OR(Nonlabor!$H$19="Monthly",AND(Nonlabor!$H$19="Once",C2106=IF(Nonlabor!$E$19="Core",Nonlabor!$F$19,MAX(Nonlabor!$F$19,IF(Nonlabor!$E$19="AI",Assumptions!$D$24,Assumptions!$D$25)))),AND(Nonlabor!$H$19="Annual",MOD(C2106-IF(Nonlabor!$E$19="Core",Nonlabor!$F$19,MAX(Nonlabor!$F$19,IF(Nonlabor!$E$19="AI",Assumptions!$D$24,Assumptions!$D$25))),12)=0))),IF(Nonlabor!$I$19="Fixed",1,IF(Nonlabor!$I$19="Seats",ROUNDUP('Monthly Base'!I6,0),IF(Nonlabor!$I$19="Customers",'Monthly Base'!D6,IF(Nonlabor!$I$19="NewCustomers",'Monthly Base'!C6,IF(Nonlabor!$I$19="StorageGB",'Monthly Base'!G6,IF(Nonlabor!$I$19="LogGB",'Monthly Base'!H6,IF(Nonlabor!$I$19="RequestsM",'Monthly Base'!F6,IF(Nonlabor!$I$19="InputM",'Monthly Base'!D6*Assumptions!$D$22/1000000,IF(Nonlabor!$I$19="OutputM",'Monthly Base'!D6*Assumptions!$D$23/1000000,0))))))))),0)</f>
        <v>0</v>
      </c>
      <c r="F2106" s="10" t="n">
        <f aca="false">Nonlabor!$J$19*(1+Assumptions!$D$9)^INT((C2106-1)/12)</f>
        <v>12000</v>
      </c>
      <c r="G2106" s="10" t="n">
        <f aca="false">E2106*F2106</f>
        <v>0</v>
      </c>
      <c r="H2106" s="10" t="n">
        <f aca="false">IF(OR(Nonlabor!$L$19="Quote required",Nonlabor!$L$19="Unverified"),G2106,0)</f>
        <v>0</v>
      </c>
      <c r="I2106" s="10" t="n">
        <f aca="false">IF(Nonlabor!$E$19="Core",0,G2106)</f>
        <v>0</v>
      </c>
      <c r="J2106" s="23" t="str">
        <f aca="false">Nonlabor!$B$19</f>
        <v>INSURANCE</v>
      </c>
    </row>
    <row r="2107" customFormat="false" ht="15" hidden="false" customHeight="false" outlineLevel="0" collapsed="false">
      <c r="A2107" s="6" t="s">
        <v>4</v>
      </c>
      <c r="B2107" s="6" t="s">
        <v>49</v>
      </c>
      <c r="C2107" s="6" t="n">
        <v>2</v>
      </c>
      <c r="D2107" s="25" t="n">
        <f aca="false">EDATE('Start Here'!$B$6,C2107-1)</f>
        <v>46357</v>
      </c>
      <c r="E2107" s="23" t="n">
        <f aca="false">IF(AND(OR(Nonlabor!$D$19="Both",Nonlabor!$D$19='Start Here'!$B$9),IF(Nonlabor!$E$19="Core",1,IF(Nonlabor!$E$19="AI",'Start Here'!$B$7,'Start Here'!$B$8))=1,C2107&gt;=IF(Nonlabor!$E$19="Core",Nonlabor!$F$19,MAX(Nonlabor!$F$19,IF(Nonlabor!$E$19="AI",Assumptions!$D$24,Assumptions!$D$25))),C2107&lt;=Nonlabor!$G$19,OR(Nonlabor!$H$19="Monthly",AND(Nonlabor!$H$19="Once",C2107=IF(Nonlabor!$E$19="Core",Nonlabor!$F$19,MAX(Nonlabor!$F$19,IF(Nonlabor!$E$19="AI",Assumptions!$D$24,Assumptions!$D$25)))),AND(Nonlabor!$H$19="Annual",MOD(C2107-IF(Nonlabor!$E$19="Core",Nonlabor!$F$19,MAX(Nonlabor!$F$19,IF(Nonlabor!$E$19="AI",Assumptions!$D$24,Assumptions!$D$25))),12)=0))),IF(Nonlabor!$I$19="Fixed",1,IF(Nonlabor!$I$19="Seats",ROUNDUP('Monthly Base'!I7,0),IF(Nonlabor!$I$19="Customers",'Monthly Base'!D7,IF(Nonlabor!$I$19="NewCustomers",'Monthly Base'!C7,IF(Nonlabor!$I$19="StorageGB",'Monthly Base'!G7,IF(Nonlabor!$I$19="LogGB",'Monthly Base'!H7,IF(Nonlabor!$I$19="RequestsM",'Monthly Base'!F7,IF(Nonlabor!$I$19="InputM",'Monthly Base'!D7*Assumptions!$D$22/1000000,IF(Nonlabor!$I$19="OutputM",'Monthly Base'!D7*Assumptions!$D$23/1000000,0))))))))),0)</f>
        <v>0</v>
      </c>
      <c r="F2107" s="10" t="n">
        <f aca="false">Nonlabor!$J$19*(1+Assumptions!$D$9)^INT((C2107-1)/12)</f>
        <v>12000</v>
      </c>
      <c r="G2107" s="10" t="n">
        <f aca="false">E2107*F2107</f>
        <v>0</v>
      </c>
      <c r="H2107" s="10" t="n">
        <f aca="false">IF(OR(Nonlabor!$L$19="Quote required",Nonlabor!$L$19="Unverified"),G2107,0)</f>
        <v>0</v>
      </c>
      <c r="I2107" s="10" t="n">
        <f aca="false">IF(Nonlabor!$E$19="Core",0,G2107)</f>
        <v>0</v>
      </c>
      <c r="J2107" s="23" t="str">
        <f aca="false">Nonlabor!$B$19</f>
        <v>INSURANCE</v>
      </c>
    </row>
    <row r="2108" customFormat="false" ht="15" hidden="false" customHeight="false" outlineLevel="0" collapsed="false">
      <c r="A2108" s="6" t="s">
        <v>4</v>
      </c>
      <c r="B2108" s="6" t="s">
        <v>49</v>
      </c>
      <c r="C2108" s="6" t="n">
        <v>3</v>
      </c>
      <c r="D2108" s="25" t="n">
        <f aca="false">EDATE('Start Here'!$B$6,C2108-1)</f>
        <v>46388</v>
      </c>
      <c r="E2108" s="23" t="n">
        <f aca="false">IF(AND(OR(Nonlabor!$D$19="Both",Nonlabor!$D$19='Start Here'!$B$9),IF(Nonlabor!$E$19="Core",1,IF(Nonlabor!$E$19="AI",'Start Here'!$B$7,'Start Here'!$B$8))=1,C2108&gt;=IF(Nonlabor!$E$19="Core",Nonlabor!$F$19,MAX(Nonlabor!$F$19,IF(Nonlabor!$E$19="AI",Assumptions!$D$24,Assumptions!$D$25))),C2108&lt;=Nonlabor!$G$19,OR(Nonlabor!$H$19="Monthly",AND(Nonlabor!$H$19="Once",C2108=IF(Nonlabor!$E$19="Core",Nonlabor!$F$19,MAX(Nonlabor!$F$19,IF(Nonlabor!$E$19="AI",Assumptions!$D$24,Assumptions!$D$25)))),AND(Nonlabor!$H$19="Annual",MOD(C2108-IF(Nonlabor!$E$19="Core",Nonlabor!$F$19,MAX(Nonlabor!$F$19,IF(Nonlabor!$E$19="AI",Assumptions!$D$24,Assumptions!$D$25))),12)=0))),IF(Nonlabor!$I$19="Fixed",1,IF(Nonlabor!$I$19="Seats",ROUNDUP('Monthly Base'!I8,0),IF(Nonlabor!$I$19="Customers",'Monthly Base'!D8,IF(Nonlabor!$I$19="NewCustomers",'Monthly Base'!C8,IF(Nonlabor!$I$19="StorageGB",'Monthly Base'!G8,IF(Nonlabor!$I$19="LogGB",'Monthly Base'!H8,IF(Nonlabor!$I$19="RequestsM",'Monthly Base'!F8,IF(Nonlabor!$I$19="InputM",'Monthly Base'!D8*Assumptions!$D$22/1000000,IF(Nonlabor!$I$19="OutputM",'Monthly Base'!D8*Assumptions!$D$23/1000000,0))))))))),0)</f>
        <v>0</v>
      </c>
      <c r="F2108" s="10" t="n">
        <f aca="false">Nonlabor!$J$19*(1+Assumptions!$D$9)^INT((C2108-1)/12)</f>
        <v>12000</v>
      </c>
      <c r="G2108" s="10" t="n">
        <f aca="false">E2108*F2108</f>
        <v>0</v>
      </c>
      <c r="H2108" s="10" t="n">
        <f aca="false">IF(OR(Nonlabor!$L$19="Quote required",Nonlabor!$L$19="Unverified"),G2108,0)</f>
        <v>0</v>
      </c>
      <c r="I2108" s="10" t="n">
        <f aca="false">IF(Nonlabor!$E$19="Core",0,G2108)</f>
        <v>0</v>
      </c>
      <c r="J2108" s="23" t="str">
        <f aca="false">Nonlabor!$B$19</f>
        <v>INSURANCE</v>
      </c>
    </row>
    <row r="2109" customFormat="false" ht="15" hidden="false" customHeight="false" outlineLevel="0" collapsed="false">
      <c r="A2109" s="6" t="s">
        <v>4</v>
      </c>
      <c r="B2109" s="6" t="s">
        <v>49</v>
      </c>
      <c r="C2109" s="6" t="n">
        <v>4</v>
      </c>
      <c r="D2109" s="25" t="n">
        <f aca="false">EDATE('Start Here'!$B$6,C2109-1)</f>
        <v>46419</v>
      </c>
      <c r="E2109" s="23" t="n">
        <f aca="false">IF(AND(OR(Nonlabor!$D$19="Both",Nonlabor!$D$19='Start Here'!$B$9),IF(Nonlabor!$E$19="Core",1,IF(Nonlabor!$E$19="AI",'Start Here'!$B$7,'Start Here'!$B$8))=1,C2109&gt;=IF(Nonlabor!$E$19="Core",Nonlabor!$F$19,MAX(Nonlabor!$F$19,IF(Nonlabor!$E$19="AI",Assumptions!$D$24,Assumptions!$D$25))),C2109&lt;=Nonlabor!$G$19,OR(Nonlabor!$H$19="Monthly",AND(Nonlabor!$H$19="Once",C2109=IF(Nonlabor!$E$19="Core",Nonlabor!$F$19,MAX(Nonlabor!$F$19,IF(Nonlabor!$E$19="AI",Assumptions!$D$24,Assumptions!$D$25)))),AND(Nonlabor!$H$19="Annual",MOD(C2109-IF(Nonlabor!$E$19="Core",Nonlabor!$F$19,MAX(Nonlabor!$F$19,IF(Nonlabor!$E$19="AI",Assumptions!$D$24,Assumptions!$D$25))),12)=0))),IF(Nonlabor!$I$19="Fixed",1,IF(Nonlabor!$I$19="Seats",ROUNDUP('Monthly Base'!I9,0),IF(Nonlabor!$I$19="Customers",'Monthly Base'!D9,IF(Nonlabor!$I$19="NewCustomers",'Monthly Base'!C9,IF(Nonlabor!$I$19="StorageGB",'Monthly Base'!G9,IF(Nonlabor!$I$19="LogGB",'Monthly Base'!H9,IF(Nonlabor!$I$19="RequestsM",'Monthly Base'!F9,IF(Nonlabor!$I$19="InputM",'Monthly Base'!D9*Assumptions!$D$22/1000000,IF(Nonlabor!$I$19="OutputM",'Monthly Base'!D9*Assumptions!$D$23/1000000,0))))))))),0)</f>
        <v>0</v>
      </c>
      <c r="F2109" s="10" t="n">
        <f aca="false">Nonlabor!$J$19*(1+Assumptions!$D$9)^INT((C2109-1)/12)</f>
        <v>12000</v>
      </c>
      <c r="G2109" s="10" t="n">
        <f aca="false">E2109*F2109</f>
        <v>0</v>
      </c>
      <c r="H2109" s="10" t="n">
        <f aca="false">IF(OR(Nonlabor!$L$19="Quote required",Nonlabor!$L$19="Unverified"),G2109,0)</f>
        <v>0</v>
      </c>
      <c r="I2109" s="10" t="n">
        <f aca="false">IF(Nonlabor!$E$19="Core",0,G2109)</f>
        <v>0</v>
      </c>
      <c r="J2109" s="23" t="str">
        <f aca="false">Nonlabor!$B$19</f>
        <v>INSURANCE</v>
      </c>
    </row>
    <row r="2110" customFormat="false" ht="15" hidden="false" customHeight="false" outlineLevel="0" collapsed="false">
      <c r="A2110" s="6" t="s">
        <v>4</v>
      </c>
      <c r="B2110" s="6" t="s">
        <v>49</v>
      </c>
      <c r="C2110" s="6" t="n">
        <v>5</v>
      </c>
      <c r="D2110" s="25" t="n">
        <f aca="false">EDATE('Start Here'!$B$6,C2110-1)</f>
        <v>46447</v>
      </c>
      <c r="E2110" s="23" t="n">
        <f aca="false">IF(AND(OR(Nonlabor!$D$19="Both",Nonlabor!$D$19='Start Here'!$B$9),IF(Nonlabor!$E$19="Core",1,IF(Nonlabor!$E$19="AI",'Start Here'!$B$7,'Start Here'!$B$8))=1,C2110&gt;=IF(Nonlabor!$E$19="Core",Nonlabor!$F$19,MAX(Nonlabor!$F$19,IF(Nonlabor!$E$19="AI",Assumptions!$D$24,Assumptions!$D$25))),C2110&lt;=Nonlabor!$G$19,OR(Nonlabor!$H$19="Monthly",AND(Nonlabor!$H$19="Once",C2110=IF(Nonlabor!$E$19="Core",Nonlabor!$F$19,MAX(Nonlabor!$F$19,IF(Nonlabor!$E$19="AI",Assumptions!$D$24,Assumptions!$D$25)))),AND(Nonlabor!$H$19="Annual",MOD(C2110-IF(Nonlabor!$E$19="Core",Nonlabor!$F$19,MAX(Nonlabor!$F$19,IF(Nonlabor!$E$19="AI",Assumptions!$D$24,Assumptions!$D$25))),12)=0))),IF(Nonlabor!$I$19="Fixed",1,IF(Nonlabor!$I$19="Seats",ROUNDUP('Monthly Base'!I10,0),IF(Nonlabor!$I$19="Customers",'Monthly Base'!D10,IF(Nonlabor!$I$19="NewCustomers",'Monthly Base'!C10,IF(Nonlabor!$I$19="StorageGB",'Monthly Base'!G10,IF(Nonlabor!$I$19="LogGB",'Monthly Base'!H10,IF(Nonlabor!$I$19="RequestsM",'Monthly Base'!F10,IF(Nonlabor!$I$19="InputM",'Monthly Base'!D10*Assumptions!$D$22/1000000,IF(Nonlabor!$I$19="OutputM",'Monthly Base'!D10*Assumptions!$D$23/1000000,0))))))))),0)</f>
        <v>0</v>
      </c>
      <c r="F2110" s="10" t="n">
        <f aca="false">Nonlabor!$J$19*(1+Assumptions!$D$9)^INT((C2110-1)/12)</f>
        <v>12000</v>
      </c>
      <c r="G2110" s="10" t="n">
        <f aca="false">E2110*F2110</f>
        <v>0</v>
      </c>
      <c r="H2110" s="10" t="n">
        <f aca="false">IF(OR(Nonlabor!$L$19="Quote required",Nonlabor!$L$19="Unverified"),G2110,0)</f>
        <v>0</v>
      </c>
      <c r="I2110" s="10" t="n">
        <f aca="false">IF(Nonlabor!$E$19="Core",0,G2110)</f>
        <v>0</v>
      </c>
      <c r="J2110" s="23" t="str">
        <f aca="false">Nonlabor!$B$19</f>
        <v>INSURANCE</v>
      </c>
    </row>
    <row r="2111" customFormat="false" ht="15" hidden="false" customHeight="false" outlineLevel="0" collapsed="false">
      <c r="A2111" s="6" t="s">
        <v>4</v>
      </c>
      <c r="B2111" s="6" t="s">
        <v>49</v>
      </c>
      <c r="C2111" s="6" t="n">
        <v>6</v>
      </c>
      <c r="D2111" s="25" t="n">
        <f aca="false">EDATE('Start Here'!$B$6,C2111-1)</f>
        <v>46478</v>
      </c>
      <c r="E2111" s="23" t="n">
        <f aca="false">IF(AND(OR(Nonlabor!$D$19="Both",Nonlabor!$D$19='Start Here'!$B$9),IF(Nonlabor!$E$19="Core",1,IF(Nonlabor!$E$19="AI",'Start Here'!$B$7,'Start Here'!$B$8))=1,C2111&gt;=IF(Nonlabor!$E$19="Core",Nonlabor!$F$19,MAX(Nonlabor!$F$19,IF(Nonlabor!$E$19="AI",Assumptions!$D$24,Assumptions!$D$25))),C2111&lt;=Nonlabor!$G$19,OR(Nonlabor!$H$19="Monthly",AND(Nonlabor!$H$19="Once",C2111=IF(Nonlabor!$E$19="Core",Nonlabor!$F$19,MAX(Nonlabor!$F$19,IF(Nonlabor!$E$19="AI",Assumptions!$D$24,Assumptions!$D$25)))),AND(Nonlabor!$H$19="Annual",MOD(C2111-IF(Nonlabor!$E$19="Core",Nonlabor!$F$19,MAX(Nonlabor!$F$19,IF(Nonlabor!$E$19="AI",Assumptions!$D$24,Assumptions!$D$25))),12)=0))),IF(Nonlabor!$I$19="Fixed",1,IF(Nonlabor!$I$19="Seats",ROUNDUP('Monthly Base'!I11,0),IF(Nonlabor!$I$19="Customers",'Monthly Base'!D11,IF(Nonlabor!$I$19="NewCustomers",'Monthly Base'!C11,IF(Nonlabor!$I$19="StorageGB",'Monthly Base'!G11,IF(Nonlabor!$I$19="LogGB",'Monthly Base'!H11,IF(Nonlabor!$I$19="RequestsM",'Monthly Base'!F11,IF(Nonlabor!$I$19="InputM",'Monthly Base'!D11*Assumptions!$D$22/1000000,IF(Nonlabor!$I$19="OutputM",'Monthly Base'!D11*Assumptions!$D$23/1000000,0))))))))),0)</f>
        <v>0</v>
      </c>
      <c r="F2111" s="10" t="n">
        <f aca="false">Nonlabor!$J$19*(1+Assumptions!$D$9)^INT((C2111-1)/12)</f>
        <v>12000</v>
      </c>
      <c r="G2111" s="10" t="n">
        <f aca="false">E2111*F2111</f>
        <v>0</v>
      </c>
      <c r="H2111" s="10" t="n">
        <f aca="false">IF(OR(Nonlabor!$L$19="Quote required",Nonlabor!$L$19="Unverified"),G2111,0)</f>
        <v>0</v>
      </c>
      <c r="I2111" s="10" t="n">
        <f aca="false">IF(Nonlabor!$E$19="Core",0,G2111)</f>
        <v>0</v>
      </c>
      <c r="J2111" s="23" t="str">
        <f aca="false">Nonlabor!$B$19</f>
        <v>INSURANCE</v>
      </c>
    </row>
    <row r="2112" customFormat="false" ht="15" hidden="false" customHeight="false" outlineLevel="0" collapsed="false">
      <c r="A2112" s="6" t="s">
        <v>4</v>
      </c>
      <c r="B2112" s="6" t="s">
        <v>49</v>
      </c>
      <c r="C2112" s="6" t="n">
        <v>7</v>
      </c>
      <c r="D2112" s="25" t="n">
        <f aca="false">EDATE('Start Here'!$B$6,C2112-1)</f>
        <v>46508</v>
      </c>
      <c r="E2112" s="23" t="n">
        <f aca="false">IF(AND(OR(Nonlabor!$D$19="Both",Nonlabor!$D$19='Start Here'!$B$9),IF(Nonlabor!$E$19="Core",1,IF(Nonlabor!$E$19="AI",'Start Here'!$B$7,'Start Here'!$B$8))=1,C2112&gt;=IF(Nonlabor!$E$19="Core",Nonlabor!$F$19,MAX(Nonlabor!$F$19,IF(Nonlabor!$E$19="AI",Assumptions!$D$24,Assumptions!$D$25))),C2112&lt;=Nonlabor!$G$19,OR(Nonlabor!$H$19="Monthly",AND(Nonlabor!$H$19="Once",C2112=IF(Nonlabor!$E$19="Core",Nonlabor!$F$19,MAX(Nonlabor!$F$19,IF(Nonlabor!$E$19="AI",Assumptions!$D$24,Assumptions!$D$25)))),AND(Nonlabor!$H$19="Annual",MOD(C2112-IF(Nonlabor!$E$19="Core",Nonlabor!$F$19,MAX(Nonlabor!$F$19,IF(Nonlabor!$E$19="AI",Assumptions!$D$24,Assumptions!$D$25))),12)=0))),IF(Nonlabor!$I$19="Fixed",1,IF(Nonlabor!$I$19="Seats",ROUNDUP('Monthly Base'!I12,0),IF(Nonlabor!$I$19="Customers",'Monthly Base'!D12,IF(Nonlabor!$I$19="NewCustomers",'Monthly Base'!C12,IF(Nonlabor!$I$19="StorageGB",'Monthly Base'!G12,IF(Nonlabor!$I$19="LogGB",'Monthly Base'!H12,IF(Nonlabor!$I$19="RequestsM",'Monthly Base'!F12,IF(Nonlabor!$I$19="InputM",'Monthly Base'!D12*Assumptions!$D$22/1000000,IF(Nonlabor!$I$19="OutputM",'Monthly Base'!D12*Assumptions!$D$23/1000000,0))))))))),0)</f>
        <v>0</v>
      </c>
      <c r="F2112" s="10" t="n">
        <f aca="false">Nonlabor!$J$19*(1+Assumptions!$D$9)^INT((C2112-1)/12)</f>
        <v>12000</v>
      </c>
      <c r="G2112" s="10" t="n">
        <f aca="false">E2112*F2112</f>
        <v>0</v>
      </c>
      <c r="H2112" s="10" t="n">
        <f aca="false">IF(OR(Nonlabor!$L$19="Quote required",Nonlabor!$L$19="Unverified"),G2112,0)</f>
        <v>0</v>
      </c>
      <c r="I2112" s="10" t="n">
        <f aca="false">IF(Nonlabor!$E$19="Core",0,G2112)</f>
        <v>0</v>
      </c>
      <c r="J2112" s="23" t="str">
        <f aca="false">Nonlabor!$B$19</f>
        <v>INSURANCE</v>
      </c>
    </row>
    <row r="2113" customFormat="false" ht="15" hidden="false" customHeight="false" outlineLevel="0" collapsed="false">
      <c r="A2113" s="6" t="s">
        <v>4</v>
      </c>
      <c r="B2113" s="6" t="s">
        <v>49</v>
      </c>
      <c r="C2113" s="6" t="n">
        <v>8</v>
      </c>
      <c r="D2113" s="25" t="n">
        <f aca="false">EDATE('Start Here'!$B$6,C2113-1)</f>
        <v>46539</v>
      </c>
      <c r="E2113" s="23" t="n">
        <f aca="false">IF(AND(OR(Nonlabor!$D$19="Both",Nonlabor!$D$19='Start Here'!$B$9),IF(Nonlabor!$E$19="Core",1,IF(Nonlabor!$E$19="AI",'Start Here'!$B$7,'Start Here'!$B$8))=1,C2113&gt;=IF(Nonlabor!$E$19="Core",Nonlabor!$F$19,MAX(Nonlabor!$F$19,IF(Nonlabor!$E$19="AI",Assumptions!$D$24,Assumptions!$D$25))),C2113&lt;=Nonlabor!$G$19,OR(Nonlabor!$H$19="Monthly",AND(Nonlabor!$H$19="Once",C2113=IF(Nonlabor!$E$19="Core",Nonlabor!$F$19,MAX(Nonlabor!$F$19,IF(Nonlabor!$E$19="AI",Assumptions!$D$24,Assumptions!$D$25)))),AND(Nonlabor!$H$19="Annual",MOD(C2113-IF(Nonlabor!$E$19="Core",Nonlabor!$F$19,MAX(Nonlabor!$F$19,IF(Nonlabor!$E$19="AI",Assumptions!$D$24,Assumptions!$D$25))),12)=0))),IF(Nonlabor!$I$19="Fixed",1,IF(Nonlabor!$I$19="Seats",ROUNDUP('Monthly Base'!I13,0),IF(Nonlabor!$I$19="Customers",'Monthly Base'!D13,IF(Nonlabor!$I$19="NewCustomers",'Monthly Base'!C13,IF(Nonlabor!$I$19="StorageGB",'Monthly Base'!G13,IF(Nonlabor!$I$19="LogGB",'Monthly Base'!H13,IF(Nonlabor!$I$19="RequestsM",'Monthly Base'!F13,IF(Nonlabor!$I$19="InputM",'Monthly Base'!D13*Assumptions!$D$22/1000000,IF(Nonlabor!$I$19="OutputM",'Monthly Base'!D13*Assumptions!$D$23/1000000,0))))))))),0)</f>
        <v>0</v>
      </c>
      <c r="F2113" s="10" t="n">
        <f aca="false">Nonlabor!$J$19*(1+Assumptions!$D$9)^INT((C2113-1)/12)</f>
        <v>12000</v>
      </c>
      <c r="G2113" s="10" t="n">
        <f aca="false">E2113*F2113</f>
        <v>0</v>
      </c>
      <c r="H2113" s="10" t="n">
        <f aca="false">IF(OR(Nonlabor!$L$19="Quote required",Nonlabor!$L$19="Unverified"),G2113,0)</f>
        <v>0</v>
      </c>
      <c r="I2113" s="10" t="n">
        <f aca="false">IF(Nonlabor!$E$19="Core",0,G2113)</f>
        <v>0</v>
      </c>
      <c r="J2113" s="23" t="str">
        <f aca="false">Nonlabor!$B$19</f>
        <v>INSURANCE</v>
      </c>
    </row>
    <row r="2114" customFormat="false" ht="15" hidden="false" customHeight="false" outlineLevel="0" collapsed="false">
      <c r="A2114" s="6" t="s">
        <v>4</v>
      </c>
      <c r="B2114" s="6" t="s">
        <v>49</v>
      </c>
      <c r="C2114" s="6" t="n">
        <v>9</v>
      </c>
      <c r="D2114" s="25" t="n">
        <f aca="false">EDATE('Start Here'!$B$6,C2114-1)</f>
        <v>46569</v>
      </c>
      <c r="E2114" s="23" t="n">
        <f aca="false">IF(AND(OR(Nonlabor!$D$19="Both",Nonlabor!$D$19='Start Here'!$B$9),IF(Nonlabor!$E$19="Core",1,IF(Nonlabor!$E$19="AI",'Start Here'!$B$7,'Start Here'!$B$8))=1,C2114&gt;=IF(Nonlabor!$E$19="Core",Nonlabor!$F$19,MAX(Nonlabor!$F$19,IF(Nonlabor!$E$19="AI",Assumptions!$D$24,Assumptions!$D$25))),C2114&lt;=Nonlabor!$G$19,OR(Nonlabor!$H$19="Monthly",AND(Nonlabor!$H$19="Once",C2114=IF(Nonlabor!$E$19="Core",Nonlabor!$F$19,MAX(Nonlabor!$F$19,IF(Nonlabor!$E$19="AI",Assumptions!$D$24,Assumptions!$D$25)))),AND(Nonlabor!$H$19="Annual",MOD(C2114-IF(Nonlabor!$E$19="Core",Nonlabor!$F$19,MAX(Nonlabor!$F$19,IF(Nonlabor!$E$19="AI",Assumptions!$D$24,Assumptions!$D$25))),12)=0))),IF(Nonlabor!$I$19="Fixed",1,IF(Nonlabor!$I$19="Seats",ROUNDUP('Monthly Base'!I14,0),IF(Nonlabor!$I$19="Customers",'Monthly Base'!D14,IF(Nonlabor!$I$19="NewCustomers",'Monthly Base'!C14,IF(Nonlabor!$I$19="StorageGB",'Monthly Base'!G14,IF(Nonlabor!$I$19="LogGB",'Monthly Base'!H14,IF(Nonlabor!$I$19="RequestsM",'Monthly Base'!F14,IF(Nonlabor!$I$19="InputM",'Monthly Base'!D14*Assumptions!$D$22/1000000,IF(Nonlabor!$I$19="OutputM",'Monthly Base'!D14*Assumptions!$D$23/1000000,0))))))))),0)</f>
        <v>1</v>
      </c>
      <c r="F2114" s="10" t="n">
        <f aca="false">Nonlabor!$J$19*(1+Assumptions!$D$9)^INT((C2114-1)/12)</f>
        <v>12000</v>
      </c>
      <c r="G2114" s="10" t="n">
        <f aca="false">E2114*F2114</f>
        <v>12000</v>
      </c>
      <c r="H2114" s="10" t="n">
        <f aca="false">IF(OR(Nonlabor!$L$19="Quote required",Nonlabor!$L$19="Unverified"),G2114,0)</f>
        <v>12000</v>
      </c>
      <c r="I2114" s="10" t="n">
        <f aca="false">IF(Nonlabor!$E$19="Core",0,G2114)</f>
        <v>0</v>
      </c>
      <c r="J2114" s="23" t="str">
        <f aca="false">Nonlabor!$B$19</f>
        <v>INSURANCE</v>
      </c>
    </row>
    <row r="2115" customFormat="false" ht="15" hidden="false" customHeight="false" outlineLevel="0" collapsed="false">
      <c r="A2115" s="6" t="s">
        <v>4</v>
      </c>
      <c r="B2115" s="6" t="s">
        <v>49</v>
      </c>
      <c r="C2115" s="6" t="n">
        <v>10</v>
      </c>
      <c r="D2115" s="25" t="n">
        <f aca="false">EDATE('Start Here'!$B$6,C2115-1)</f>
        <v>46600</v>
      </c>
      <c r="E2115" s="23" t="n">
        <f aca="false">IF(AND(OR(Nonlabor!$D$19="Both",Nonlabor!$D$19='Start Here'!$B$9),IF(Nonlabor!$E$19="Core",1,IF(Nonlabor!$E$19="AI",'Start Here'!$B$7,'Start Here'!$B$8))=1,C2115&gt;=IF(Nonlabor!$E$19="Core",Nonlabor!$F$19,MAX(Nonlabor!$F$19,IF(Nonlabor!$E$19="AI",Assumptions!$D$24,Assumptions!$D$25))),C2115&lt;=Nonlabor!$G$19,OR(Nonlabor!$H$19="Monthly",AND(Nonlabor!$H$19="Once",C2115=IF(Nonlabor!$E$19="Core",Nonlabor!$F$19,MAX(Nonlabor!$F$19,IF(Nonlabor!$E$19="AI",Assumptions!$D$24,Assumptions!$D$25)))),AND(Nonlabor!$H$19="Annual",MOD(C2115-IF(Nonlabor!$E$19="Core",Nonlabor!$F$19,MAX(Nonlabor!$F$19,IF(Nonlabor!$E$19="AI",Assumptions!$D$24,Assumptions!$D$25))),12)=0))),IF(Nonlabor!$I$19="Fixed",1,IF(Nonlabor!$I$19="Seats",ROUNDUP('Monthly Base'!I15,0),IF(Nonlabor!$I$19="Customers",'Monthly Base'!D15,IF(Nonlabor!$I$19="NewCustomers",'Monthly Base'!C15,IF(Nonlabor!$I$19="StorageGB",'Monthly Base'!G15,IF(Nonlabor!$I$19="LogGB",'Monthly Base'!H15,IF(Nonlabor!$I$19="RequestsM",'Monthly Base'!F15,IF(Nonlabor!$I$19="InputM",'Monthly Base'!D15*Assumptions!$D$22/1000000,IF(Nonlabor!$I$19="OutputM",'Monthly Base'!D15*Assumptions!$D$23/1000000,0))))))))),0)</f>
        <v>0</v>
      </c>
      <c r="F2115" s="10" t="n">
        <f aca="false">Nonlabor!$J$19*(1+Assumptions!$D$9)^INT((C2115-1)/12)</f>
        <v>12000</v>
      </c>
      <c r="G2115" s="10" t="n">
        <f aca="false">E2115*F2115</f>
        <v>0</v>
      </c>
      <c r="H2115" s="10" t="n">
        <f aca="false">IF(OR(Nonlabor!$L$19="Quote required",Nonlabor!$L$19="Unverified"),G2115,0)</f>
        <v>0</v>
      </c>
      <c r="I2115" s="10" t="n">
        <f aca="false">IF(Nonlabor!$E$19="Core",0,G2115)</f>
        <v>0</v>
      </c>
      <c r="J2115" s="23" t="str">
        <f aca="false">Nonlabor!$B$19</f>
        <v>INSURANCE</v>
      </c>
    </row>
    <row r="2116" customFormat="false" ht="15" hidden="false" customHeight="false" outlineLevel="0" collapsed="false">
      <c r="A2116" s="6" t="s">
        <v>4</v>
      </c>
      <c r="B2116" s="6" t="s">
        <v>49</v>
      </c>
      <c r="C2116" s="6" t="n">
        <v>11</v>
      </c>
      <c r="D2116" s="25" t="n">
        <f aca="false">EDATE('Start Here'!$B$6,C2116-1)</f>
        <v>46631</v>
      </c>
      <c r="E2116" s="23" t="n">
        <f aca="false">IF(AND(OR(Nonlabor!$D$19="Both",Nonlabor!$D$19='Start Here'!$B$9),IF(Nonlabor!$E$19="Core",1,IF(Nonlabor!$E$19="AI",'Start Here'!$B$7,'Start Here'!$B$8))=1,C2116&gt;=IF(Nonlabor!$E$19="Core",Nonlabor!$F$19,MAX(Nonlabor!$F$19,IF(Nonlabor!$E$19="AI",Assumptions!$D$24,Assumptions!$D$25))),C2116&lt;=Nonlabor!$G$19,OR(Nonlabor!$H$19="Monthly",AND(Nonlabor!$H$19="Once",C2116=IF(Nonlabor!$E$19="Core",Nonlabor!$F$19,MAX(Nonlabor!$F$19,IF(Nonlabor!$E$19="AI",Assumptions!$D$24,Assumptions!$D$25)))),AND(Nonlabor!$H$19="Annual",MOD(C2116-IF(Nonlabor!$E$19="Core",Nonlabor!$F$19,MAX(Nonlabor!$F$19,IF(Nonlabor!$E$19="AI",Assumptions!$D$24,Assumptions!$D$25))),12)=0))),IF(Nonlabor!$I$19="Fixed",1,IF(Nonlabor!$I$19="Seats",ROUNDUP('Monthly Base'!I16,0),IF(Nonlabor!$I$19="Customers",'Monthly Base'!D16,IF(Nonlabor!$I$19="NewCustomers",'Monthly Base'!C16,IF(Nonlabor!$I$19="StorageGB",'Monthly Base'!G16,IF(Nonlabor!$I$19="LogGB",'Monthly Base'!H16,IF(Nonlabor!$I$19="RequestsM",'Monthly Base'!F16,IF(Nonlabor!$I$19="InputM",'Monthly Base'!D16*Assumptions!$D$22/1000000,IF(Nonlabor!$I$19="OutputM",'Monthly Base'!D16*Assumptions!$D$23/1000000,0))))))))),0)</f>
        <v>0</v>
      </c>
      <c r="F2116" s="10" t="n">
        <f aca="false">Nonlabor!$J$19*(1+Assumptions!$D$9)^INT((C2116-1)/12)</f>
        <v>12000</v>
      </c>
      <c r="G2116" s="10" t="n">
        <f aca="false">E2116*F2116</f>
        <v>0</v>
      </c>
      <c r="H2116" s="10" t="n">
        <f aca="false">IF(OR(Nonlabor!$L$19="Quote required",Nonlabor!$L$19="Unverified"),G2116,0)</f>
        <v>0</v>
      </c>
      <c r="I2116" s="10" t="n">
        <f aca="false">IF(Nonlabor!$E$19="Core",0,G2116)</f>
        <v>0</v>
      </c>
      <c r="J2116" s="23" t="str">
        <f aca="false">Nonlabor!$B$19</f>
        <v>INSURANCE</v>
      </c>
    </row>
    <row r="2117" customFormat="false" ht="15" hidden="false" customHeight="false" outlineLevel="0" collapsed="false">
      <c r="A2117" s="6" t="s">
        <v>4</v>
      </c>
      <c r="B2117" s="6" t="s">
        <v>49</v>
      </c>
      <c r="C2117" s="6" t="n">
        <v>12</v>
      </c>
      <c r="D2117" s="25" t="n">
        <f aca="false">EDATE('Start Here'!$B$6,C2117-1)</f>
        <v>46661</v>
      </c>
      <c r="E2117" s="23" t="n">
        <f aca="false">IF(AND(OR(Nonlabor!$D$19="Both",Nonlabor!$D$19='Start Here'!$B$9),IF(Nonlabor!$E$19="Core",1,IF(Nonlabor!$E$19="AI",'Start Here'!$B$7,'Start Here'!$B$8))=1,C2117&gt;=IF(Nonlabor!$E$19="Core",Nonlabor!$F$19,MAX(Nonlabor!$F$19,IF(Nonlabor!$E$19="AI",Assumptions!$D$24,Assumptions!$D$25))),C2117&lt;=Nonlabor!$G$19,OR(Nonlabor!$H$19="Monthly",AND(Nonlabor!$H$19="Once",C2117=IF(Nonlabor!$E$19="Core",Nonlabor!$F$19,MAX(Nonlabor!$F$19,IF(Nonlabor!$E$19="AI",Assumptions!$D$24,Assumptions!$D$25)))),AND(Nonlabor!$H$19="Annual",MOD(C2117-IF(Nonlabor!$E$19="Core",Nonlabor!$F$19,MAX(Nonlabor!$F$19,IF(Nonlabor!$E$19="AI",Assumptions!$D$24,Assumptions!$D$25))),12)=0))),IF(Nonlabor!$I$19="Fixed",1,IF(Nonlabor!$I$19="Seats",ROUNDUP('Monthly Base'!I17,0),IF(Nonlabor!$I$19="Customers",'Monthly Base'!D17,IF(Nonlabor!$I$19="NewCustomers",'Monthly Base'!C17,IF(Nonlabor!$I$19="StorageGB",'Monthly Base'!G17,IF(Nonlabor!$I$19="LogGB",'Monthly Base'!H17,IF(Nonlabor!$I$19="RequestsM",'Monthly Base'!F17,IF(Nonlabor!$I$19="InputM",'Monthly Base'!D17*Assumptions!$D$22/1000000,IF(Nonlabor!$I$19="OutputM",'Monthly Base'!D17*Assumptions!$D$23/1000000,0))))))))),0)</f>
        <v>0</v>
      </c>
      <c r="F2117" s="10" t="n">
        <f aca="false">Nonlabor!$J$19*(1+Assumptions!$D$9)^INT((C2117-1)/12)</f>
        <v>12000</v>
      </c>
      <c r="G2117" s="10" t="n">
        <f aca="false">E2117*F2117</f>
        <v>0</v>
      </c>
      <c r="H2117" s="10" t="n">
        <f aca="false">IF(OR(Nonlabor!$L$19="Quote required",Nonlabor!$L$19="Unverified"),G2117,0)</f>
        <v>0</v>
      </c>
      <c r="I2117" s="10" t="n">
        <f aca="false">IF(Nonlabor!$E$19="Core",0,G2117)</f>
        <v>0</v>
      </c>
      <c r="J2117" s="23" t="str">
        <f aca="false">Nonlabor!$B$19</f>
        <v>INSURANCE</v>
      </c>
    </row>
    <row r="2118" customFormat="false" ht="15" hidden="false" customHeight="false" outlineLevel="0" collapsed="false">
      <c r="A2118" s="6" t="s">
        <v>4</v>
      </c>
      <c r="B2118" s="6" t="s">
        <v>49</v>
      </c>
      <c r="C2118" s="6" t="n">
        <v>13</v>
      </c>
      <c r="D2118" s="25" t="n">
        <f aca="false">EDATE('Start Here'!$B$6,C2118-1)</f>
        <v>46692</v>
      </c>
      <c r="E2118" s="23" t="n">
        <f aca="false">IF(AND(OR(Nonlabor!$D$19="Both",Nonlabor!$D$19='Start Here'!$B$9),IF(Nonlabor!$E$19="Core",1,IF(Nonlabor!$E$19="AI",'Start Here'!$B$7,'Start Here'!$B$8))=1,C2118&gt;=IF(Nonlabor!$E$19="Core",Nonlabor!$F$19,MAX(Nonlabor!$F$19,IF(Nonlabor!$E$19="AI",Assumptions!$D$24,Assumptions!$D$25))),C2118&lt;=Nonlabor!$G$19,OR(Nonlabor!$H$19="Monthly",AND(Nonlabor!$H$19="Once",C2118=IF(Nonlabor!$E$19="Core",Nonlabor!$F$19,MAX(Nonlabor!$F$19,IF(Nonlabor!$E$19="AI",Assumptions!$D$24,Assumptions!$D$25)))),AND(Nonlabor!$H$19="Annual",MOD(C2118-IF(Nonlabor!$E$19="Core",Nonlabor!$F$19,MAX(Nonlabor!$F$19,IF(Nonlabor!$E$19="AI",Assumptions!$D$24,Assumptions!$D$25))),12)=0))),IF(Nonlabor!$I$19="Fixed",1,IF(Nonlabor!$I$19="Seats",ROUNDUP('Monthly Base'!I18,0),IF(Nonlabor!$I$19="Customers",'Monthly Base'!D18,IF(Nonlabor!$I$19="NewCustomers",'Monthly Base'!C18,IF(Nonlabor!$I$19="StorageGB",'Monthly Base'!G18,IF(Nonlabor!$I$19="LogGB",'Monthly Base'!H18,IF(Nonlabor!$I$19="RequestsM",'Monthly Base'!F18,IF(Nonlabor!$I$19="InputM",'Monthly Base'!D18*Assumptions!$D$22/1000000,IF(Nonlabor!$I$19="OutputM",'Monthly Base'!D18*Assumptions!$D$23/1000000,0))))))))),0)</f>
        <v>0</v>
      </c>
      <c r="F2118" s="10" t="n">
        <f aca="false">Nonlabor!$J$19*(1+Assumptions!$D$9)^INT((C2118-1)/12)</f>
        <v>12360</v>
      </c>
      <c r="G2118" s="10" t="n">
        <f aca="false">E2118*F2118</f>
        <v>0</v>
      </c>
      <c r="H2118" s="10" t="n">
        <f aca="false">IF(OR(Nonlabor!$L$19="Quote required",Nonlabor!$L$19="Unverified"),G2118,0)</f>
        <v>0</v>
      </c>
      <c r="I2118" s="10" t="n">
        <f aca="false">IF(Nonlabor!$E$19="Core",0,G2118)</f>
        <v>0</v>
      </c>
      <c r="J2118" s="23" t="str">
        <f aca="false">Nonlabor!$B$19</f>
        <v>INSURANCE</v>
      </c>
    </row>
    <row r="2119" customFormat="false" ht="15" hidden="false" customHeight="false" outlineLevel="0" collapsed="false">
      <c r="A2119" s="6" t="s">
        <v>4</v>
      </c>
      <c r="B2119" s="6" t="s">
        <v>49</v>
      </c>
      <c r="C2119" s="6" t="n">
        <v>14</v>
      </c>
      <c r="D2119" s="25" t="n">
        <f aca="false">EDATE('Start Here'!$B$6,C2119-1)</f>
        <v>46722</v>
      </c>
      <c r="E2119" s="23" t="n">
        <f aca="false">IF(AND(OR(Nonlabor!$D$19="Both",Nonlabor!$D$19='Start Here'!$B$9),IF(Nonlabor!$E$19="Core",1,IF(Nonlabor!$E$19="AI",'Start Here'!$B$7,'Start Here'!$B$8))=1,C2119&gt;=IF(Nonlabor!$E$19="Core",Nonlabor!$F$19,MAX(Nonlabor!$F$19,IF(Nonlabor!$E$19="AI",Assumptions!$D$24,Assumptions!$D$25))),C2119&lt;=Nonlabor!$G$19,OR(Nonlabor!$H$19="Monthly",AND(Nonlabor!$H$19="Once",C2119=IF(Nonlabor!$E$19="Core",Nonlabor!$F$19,MAX(Nonlabor!$F$19,IF(Nonlabor!$E$19="AI",Assumptions!$D$24,Assumptions!$D$25)))),AND(Nonlabor!$H$19="Annual",MOD(C2119-IF(Nonlabor!$E$19="Core",Nonlabor!$F$19,MAX(Nonlabor!$F$19,IF(Nonlabor!$E$19="AI",Assumptions!$D$24,Assumptions!$D$25))),12)=0))),IF(Nonlabor!$I$19="Fixed",1,IF(Nonlabor!$I$19="Seats",ROUNDUP('Monthly Base'!I19,0),IF(Nonlabor!$I$19="Customers",'Monthly Base'!D19,IF(Nonlabor!$I$19="NewCustomers",'Monthly Base'!C19,IF(Nonlabor!$I$19="StorageGB",'Monthly Base'!G19,IF(Nonlabor!$I$19="LogGB",'Monthly Base'!H19,IF(Nonlabor!$I$19="RequestsM",'Monthly Base'!F19,IF(Nonlabor!$I$19="InputM",'Monthly Base'!D19*Assumptions!$D$22/1000000,IF(Nonlabor!$I$19="OutputM",'Monthly Base'!D19*Assumptions!$D$23/1000000,0))))))))),0)</f>
        <v>0</v>
      </c>
      <c r="F2119" s="10" t="n">
        <f aca="false">Nonlabor!$J$19*(1+Assumptions!$D$9)^INT((C2119-1)/12)</f>
        <v>12360</v>
      </c>
      <c r="G2119" s="10" t="n">
        <f aca="false">E2119*F2119</f>
        <v>0</v>
      </c>
      <c r="H2119" s="10" t="n">
        <f aca="false">IF(OR(Nonlabor!$L$19="Quote required",Nonlabor!$L$19="Unverified"),G2119,0)</f>
        <v>0</v>
      </c>
      <c r="I2119" s="10" t="n">
        <f aca="false">IF(Nonlabor!$E$19="Core",0,G2119)</f>
        <v>0</v>
      </c>
      <c r="J2119" s="23" t="str">
        <f aca="false">Nonlabor!$B$19</f>
        <v>INSURANCE</v>
      </c>
    </row>
    <row r="2120" customFormat="false" ht="15" hidden="false" customHeight="false" outlineLevel="0" collapsed="false">
      <c r="A2120" s="6" t="s">
        <v>4</v>
      </c>
      <c r="B2120" s="6" t="s">
        <v>49</v>
      </c>
      <c r="C2120" s="6" t="n">
        <v>15</v>
      </c>
      <c r="D2120" s="25" t="n">
        <f aca="false">EDATE('Start Here'!$B$6,C2120-1)</f>
        <v>46753</v>
      </c>
      <c r="E2120" s="23" t="n">
        <f aca="false">IF(AND(OR(Nonlabor!$D$19="Both",Nonlabor!$D$19='Start Here'!$B$9),IF(Nonlabor!$E$19="Core",1,IF(Nonlabor!$E$19="AI",'Start Here'!$B$7,'Start Here'!$B$8))=1,C2120&gt;=IF(Nonlabor!$E$19="Core",Nonlabor!$F$19,MAX(Nonlabor!$F$19,IF(Nonlabor!$E$19="AI",Assumptions!$D$24,Assumptions!$D$25))),C2120&lt;=Nonlabor!$G$19,OR(Nonlabor!$H$19="Monthly",AND(Nonlabor!$H$19="Once",C2120=IF(Nonlabor!$E$19="Core",Nonlabor!$F$19,MAX(Nonlabor!$F$19,IF(Nonlabor!$E$19="AI",Assumptions!$D$24,Assumptions!$D$25)))),AND(Nonlabor!$H$19="Annual",MOD(C2120-IF(Nonlabor!$E$19="Core",Nonlabor!$F$19,MAX(Nonlabor!$F$19,IF(Nonlabor!$E$19="AI",Assumptions!$D$24,Assumptions!$D$25))),12)=0))),IF(Nonlabor!$I$19="Fixed",1,IF(Nonlabor!$I$19="Seats",ROUNDUP('Monthly Base'!I20,0),IF(Nonlabor!$I$19="Customers",'Monthly Base'!D20,IF(Nonlabor!$I$19="NewCustomers",'Monthly Base'!C20,IF(Nonlabor!$I$19="StorageGB",'Monthly Base'!G20,IF(Nonlabor!$I$19="LogGB",'Monthly Base'!H20,IF(Nonlabor!$I$19="RequestsM",'Monthly Base'!F20,IF(Nonlabor!$I$19="InputM",'Monthly Base'!D20*Assumptions!$D$22/1000000,IF(Nonlabor!$I$19="OutputM",'Monthly Base'!D20*Assumptions!$D$23/1000000,0))))))))),0)</f>
        <v>0</v>
      </c>
      <c r="F2120" s="10" t="n">
        <f aca="false">Nonlabor!$J$19*(1+Assumptions!$D$9)^INT((C2120-1)/12)</f>
        <v>12360</v>
      </c>
      <c r="G2120" s="10" t="n">
        <f aca="false">E2120*F2120</f>
        <v>0</v>
      </c>
      <c r="H2120" s="10" t="n">
        <f aca="false">IF(OR(Nonlabor!$L$19="Quote required",Nonlabor!$L$19="Unverified"),G2120,0)</f>
        <v>0</v>
      </c>
      <c r="I2120" s="10" t="n">
        <f aca="false">IF(Nonlabor!$E$19="Core",0,G2120)</f>
        <v>0</v>
      </c>
      <c r="J2120" s="23" t="str">
        <f aca="false">Nonlabor!$B$19</f>
        <v>INSURANCE</v>
      </c>
    </row>
    <row r="2121" customFormat="false" ht="15" hidden="false" customHeight="false" outlineLevel="0" collapsed="false">
      <c r="A2121" s="6" t="s">
        <v>4</v>
      </c>
      <c r="B2121" s="6" t="s">
        <v>49</v>
      </c>
      <c r="C2121" s="6" t="n">
        <v>16</v>
      </c>
      <c r="D2121" s="25" t="n">
        <f aca="false">EDATE('Start Here'!$B$6,C2121-1)</f>
        <v>46784</v>
      </c>
      <c r="E2121" s="23" t="n">
        <f aca="false">IF(AND(OR(Nonlabor!$D$19="Both",Nonlabor!$D$19='Start Here'!$B$9),IF(Nonlabor!$E$19="Core",1,IF(Nonlabor!$E$19="AI",'Start Here'!$B$7,'Start Here'!$B$8))=1,C2121&gt;=IF(Nonlabor!$E$19="Core",Nonlabor!$F$19,MAX(Nonlabor!$F$19,IF(Nonlabor!$E$19="AI",Assumptions!$D$24,Assumptions!$D$25))),C2121&lt;=Nonlabor!$G$19,OR(Nonlabor!$H$19="Monthly",AND(Nonlabor!$H$19="Once",C2121=IF(Nonlabor!$E$19="Core",Nonlabor!$F$19,MAX(Nonlabor!$F$19,IF(Nonlabor!$E$19="AI",Assumptions!$D$24,Assumptions!$D$25)))),AND(Nonlabor!$H$19="Annual",MOD(C2121-IF(Nonlabor!$E$19="Core",Nonlabor!$F$19,MAX(Nonlabor!$F$19,IF(Nonlabor!$E$19="AI",Assumptions!$D$24,Assumptions!$D$25))),12)=0))),IF(Nonlabor!$I$19="Fixed",1,IF(Nonlabor!$I$19="Seats",ROUNDUP('Monthly Base'!I21,0),IF(Nonlabor!$I$19="Customers",'Monthly Base'!D21,IF(Nonlabor!$I$19="NewCustomers",'Monthly Base'!C21,IF(Nonlabor!$I$19="StorageGB",'Monthly Base'!G21,IF(Nonlabor!$I$19="LogGB",'Monthly Base'!H21,IF(Nonlabor!$I$19="RequestsM",'Monthly Base'!F21,IF(Nonlabor!$I$19="InputM",'Monthly Base'!D21*Assumptions!$D$22/1000000,IF(Nonlabor!$I$19="OutputM",'Monthly Base'!D21*Assumptions!$D$23/1000000,0))))))))),0)</f>
        <v>0</v>
      </c>
      <c r="F2121" s="10" t="n">
        <f aca="false">Nonlabor!$J$19*(1+Assumptions!$D$9)^INT((C2121-1)/12)</f>
        <v>12360</v>
      </c>
      <c r="G2121" s="10" t="n">
        <f aca="false">E2121*F2121</f>
        <v>0</v>
      </c>
      <c r="H2121" s="10" t="n">
        <f aca="false">IF(OR(Nonlabor!$L$19="Quote required",Nonlabor!$L$19="Unverified"),G2121,0)</f>
        <v>0</v>
      </c>
      <c r="I2121" s="10" t="n">
        <f aca="false">IF(Nonlabor!$E$19="Core",0,G2121)</f>
        <v>0</v>
      </c>
      <c r="J2121" s="23" t="str">
        <f aca="false">Nonlabor!$B$19</f>
        <v>INSURANCE</v>
      </c>
    </row>
    <row r="2122" customFormat="false" ht="15" hidden="false" customHeight="false" outlineLevel="0" collapsed="false">
      <c r="A2122" s="6" t="s">
        <v>4</v>
      </c>
      <c r="B2122" s="6" t="s">
        <v>49</v>
      </c>
      <c r="C2122" s="6" t="n">
        <v>17</v>
      </c>
      <c r="D2122" s="25" t="n">
        <f aca="false">EDATE('Start Here'!$B$6,C2122-1)</f>
        <v>46813</v>
      </c>
      <c r="E2122" s="23" t="n">
        <f aca="false">IF(AND(OR(Nonlabor!$D$19="Both",Nonlabor!$D$19='Start Here'!$B$9),IF(Nonlabor!$E$19="Core",1,IF(Nonlabor!$E$19="AI",'Start Here'!$B$7,'Start Here'!$B$8))=1,C2122&gt;=IF(Nonlabor!$E$19="Core",Nonlabor!$F$19,MAX(Nonlabor!$F$19,IF(Nonlabor!$E$19="AI",Assumptions!$D$24,Assumptions!$D$25))),C2122&lt;=Nonlabor!$G$19,OR(Nonlabor!$H$19="Monthly",AND(Nonlabor!$H$19="Once",C2122=IF(Nonlabor!$E$19="Core",Nonlabor!$F$19,MAX(Nonlabor!$F$19,IF(Nonlabor!$E$19="AI",Assumptions!$D$24,Assumptions!$D$25)))),AND(Nonlabor!$H$19="Annual",MOD(C2122-IF(Nonlabor!$E$19="Core",Nonlabor!$F$19,MAX(Nonlabor!$F$19,IF(Nonlabor!$E$19="AI",Assumptions!$D$24,Assumptions!$D$25))),12)=0))),IF(Nonlabor!$I$19="Fixed",1,IF(Nonlabor!$I$19="Seats",ROUNDUP('Monthly Base'!I22,0),IF(Nonlabor!$I$19="Customers",'Monthly Base'!D22,IF(Nonlabor!$I$19="NewCustomers",'Monthly Base'!C22,IF(Nonlabor!$I$19="StorageGB",'Monthly Base'!G22,IF(Nonlabor!$I$19="LogGB",'Monthly Base'!H22,IF(Nonlabor!$I$19="RequestsM",'Monthly Base'!F22,IF(Nonlabor!$I$19="InputM",'Monthly Base'!D22*Assumptions!$D$22/1000000,IF(Nonlabor!$I$19="OutputM",'Monthly Base'!D22*Assumptions!$D$23/1000000,0))))))))),0)</f>
        <v>0</v>
      </c>
      <c r="F2122" s="10" t="n">
        <f aca="false">Nonlabor!$J$19*(1+Assumptions!$D$9)^INT((C2122-1)/12)</f>
        <v>12360</v>
      </c>
      <c r="G2122" s="10" t="n">
        <f aca="false">E2122*F2122</f>
        <v>0</v>
      </c>
      <c r="H2122" s="10" t="n">
        <f aca="false">IF(OR(Nonlabor!$L$19="Quote required",Nonlabor!$L$19="Unverified"),G2122,0)</f>
        <v>0</v>
      </c>
      <c r="I2122" s="10" t="n">
        <f aca="false">IF(Nonlabor!$E$19="Core",0,G2122)</f>
        <v>0</v>
      </c>
      <c r="J2122" s="23" t="str">
        <f aca="false">Nonlabor!$B$19</f>
        <v>INSURANCE</v>
      </c>
    </row>
    <row r="2123" customFormat="false" ht="15" hidden="false" customHeight="false" outlineLevel="0" collapsed="false">
      <c r="A2123" s="6" t="s">
        <v>4</v>
      </c>
      <c r="B2123" s="6" t="s">
        <v>49</v>
      </c>
      <c r="C2123" s="6" t="n">
        <v>18</v>
      </c>
      <c r="D2123" s="25" t="n">
        <f aca="false">EDATE('Start Here'!$B$6,C2123-1)</f>
        <v>46844</v>
      </c>
      <c r="E2123" s="23" t="n">
        <f aca="false">IF(AND(OR(Nonlabor!$D$19="Both",Nonlabor!$D$19='Start Here'!$B$9),IF(Nonlabor!$E$19="Core",1,IF(Nonlabor!$E$19="AI",'Start Here'!$B$7,'Start Here'!$B$8))=1,C2123&gt;=IF(Nonlabor!$E$19="Core",Nonlabor!$F$19,MAX(Nonlabor!$F$19,IF(Nonlabor!$E$19="AI",Assumptions!$D$24,Assumptions!$D$25))),C2123&lt;=Nonlabor!$G$19,OR(Nonlabor!$H$19="Monthly",AND(Nonlabor!$H$19="Once",C2123=IF(Nonlabor!$E$19="Core",Nonlabor!$F$19,MAX(Nonlabor!$F$19,IF(Nonlabor!$E$19="AI",Assumptions!$D$24,Assumptions!$D$25)))),AND(Nonlabor!$H$19="Annual",MOD(C2123-IF(Nonlabor!$E$19="Core",Nonlabor!$F$19,MAX(Nonlabor!$F$19,IF(Nonlabor!$E$19="AI",Assumptions!$D$24,Assumptions!$D$25))),12)=0))),IF(Nonlabor!$I$19="Fixed",1,IF(Nonlabor!$I$19="Seats",ROUNDUP('Monthly Base'!I23,0),IF(Nonlabor!$I$19="Customers",'Monthly Base'!D23,IF(Nonlabor!$I$19="NewCustomers",'Monthly Base'!C23,IF(Nonlabor!$I$19="StorageGB",'Monthly Base'!G23,IF(Nonlabor!$I$19="LogGB",'Monthly Base'!H23,IF(Nonlabor!$I$19="RequestsM",'Monthly Base'!F23,IF(Nonlabor!$I$19="InputM",'Monthly Base'!D23*Assumptions!$D$22/1000000,IF(Nonlabor!$I$19="OutputM",'Monthly Base'!D23*Assumptions!$D$23/1000000,0))))))))),0)</f>
        <v>0</v>
      </c>
      <c r="F2123" s="10" t="n">
        <f aca="false">Nonlabor!$J$19*(1+Assumptions!$D$9)^INT((C2123-1)/12)</f>
        <v>12360</v>
      </c>
      <c r="G2123" s="10" t="n">
        <f aca="false">E2123*F2123</f>
        <v>0</v>
      </c>
      <c r="H2123" s="10" t="n">
        <f aca="false">IF(OR(Nonlabor!$L$19="Quote required",Nonlabor!$L$19="Unverified"),G2123,0)</f>
        <v>0</v>
      </c>
      <c r="I2123" s="10" t="n">
        <f aca="false">IF(Nonlabor!$E$19="Core",0,G2123)</f>
        <v>0</v>
      </c>
      <c r="J2123" s="23" t="str">
        <f aca="false">Nonlabor!$B$19</f>
        <v>INSURANCE</v>
      </c>
    </row>
    <row r="2124" customFormat="false" ht="15" hidden="false" customHeight="false" outlineLevel="0" collapsed="false">
      <c r="A2124" s="6" t="s">
        <v>4</v>
      </c>
      <c r="B2124" s="6" t="s">
        <v>49</v>
      </c>
      <c r="C2124" s="6" t="n">
        <v>19</v>
      </c>
      <c r="D2124" s="25" t="n">
        <f aca="false">EDATE('Start Here'!$B$6,C2124-1)</f>
        <v>46874</v>
      </c>
      <c r="E2124" s="23" t="n">
        <f aca="false">IF(AND(OR(Nonlabor!$D$19="Both",Nonlabor!$D$19='Start Here'!$B$9),IF(Nonlabor!$E$19="Core",1,IF(Nonlabor!$E$19="AI",'Start Here'!$B$7,'Start Here'!$B$8))=1,C2124&gt;=IF(Nonlabor!$E$19="Core",Nonlabor!$F$19,MAX(Nonlabor!$F$19,IF(Nonlabor!$E$19="AI",Assumptions!$D$24,Assumptions!$D$25))),C2124&lt;=Nonlabor!$G$19,OR(Nonlabor!$H$19="Monthly",AND(Nonlabor!$H$19="Once",C2124=IF(Nonlabor!$E$19="Core",Nonlabor!$F$19,MAX(Nonlabor!$F$19,IF(Nonlabor!$E$19="AI",Assumptions!$D$24,Assumptions!$D$25)))),AND(Nonlabor!$H$19="Annual",MOD(C2124-IF(Nonlabor!$E$19="Core",Nonlabor!$F$19,MAX(Nonlabor!$F$19,IF(Nonlabor!$E$19="AI",Assumptions!$D$24,Assumptions!$D$25))),12)=0))),IF(Nonlabor!$I$19="Fixed",1,IF(Nonlabor!$I$19="Seats",ROUNDUP('Monthly Base'!I24,0),IF(Nonlabor!$I$19="Customers",'Monthly Base'!D24,IF(Nonlabor!$I$19="NewCustomers",'Monthly Base'!C24,IF(Nonlabor!$I$19="StorageGB",'Monthly Base'!G24,IF(Nonlabor!$I$19="LogGB",'Monthly Base'!H24,IF(Nonlabor!$I$19="RequestsM",'Monthly Base'!F24,IF(Nonlabor!$I$19="InputM",'Monthly Base'!D24*Assumptions!$D$22/1000000,IF(Nonlabor!$I$19="OutputM",'Monthly Base'!D24*Assumptions!$D$23/1000000,0))))))))),0)</f>
        <v>0</v>
      </c>
      <c r="F2124" s="10" t="n">
        <f aca="false">Nonlabor!$J$19*(1+Assumptions!$D$9)^INT((C2124-1)/12)</f>
        <v>12360</v>
      </c>
      <c r="G2124" s="10" t="n">
        <f aca="false">E2124*F2124</f>
        <v>0</v>
      </c>
      <c r="H2124" s="10" t="n">
        <f aca="false">IF(OR(Nonlabor!$L$19="Quote required",Nonlabor!$L$19="Unverified"),G2124,0)</f>
        <v>0</v>
      </c>
      <c r="I2124" s="10" t="n">
        <f aca="false">IF(Nonlabor!$E$19="Core",0,G2124)</f>
        <v>0</v>
      </c>
      <c r="J2124" s="23" t="str">
        <f aca="false">Nonlabor!$B$19</f>
        <v>INSURANCE</v>
      </c>
    </row>
    <row r="2125" customFormat="false" ht="15" hidden="false" customHeight="false" outlineLevel="0" collapsed="false">
      <c r="A2125" s="6" t="s">
        <v>4</v>
      </c>
      <c r="B2125" s="6" t="s">
        <v>49</v>
      </c>
      <c r="C2125" s="6" t="n">
        <v>20</v>
      </c>
      <c r="D2125" s="25" t="n">
        <f aca="false">EDATE('Start Here'!$B$6,C2125-1)</f>
        <v>46905</v>
      </c>
      <c r="E2125" s="23" t="n">
        <f aca="false">IF(AND(OR(Nonlabor!$D$19="Both",Nonlabor!$D$19='Start Here'!$B$9),IF(Nonlabor!$E$19="Core",1,IF(Nonlabor!$E$19="AI",'Start Here'!$B$7,'Start Here'!$B$8))=1,C2125&gt;=IF(Nonlabor!$E$19="Core",Nonlabor!$F$19,MAX(Nonlabor!$F$19,IF(Nonlabor!$E$19="AI",Assumptions!$D$24,Assumptions!$D$25))),C2125&lt;=Nonlabor!$G$19,OR(Nonlabor!$H$19="Monthly",AND(Nonlabor!$H$19="Once",C2125=IF(Nonlabor!$E$19="Core",Nonlabor!$F$19,MAX(Nonlabor!$F$19,IF(Nonlabor!$E$19="AI",Assumptions!$D$24,Assumptions!$D$25)))),AND(Nonlabor!$H$19="Annual",MOD(C2125-IF(Nonlabor!$E$19="Core",Nonlabor!$F$19,MAX(Nonlabor!$F$19,IF(Nonlabor!$E$19="AI",Assumptions!$D$24,Assumptions!$D$25))),12)=0))),IF(Nonlabor!$I$19="Fixed",1,IF(Nonlabor!$I$19="Seats",ROUNDUP('Monthly Base'!I25,0),IF(Nonlabor!$I$19="Customers",'Monthly Base'!D25,IF(Nonlabor!$I$19="NewCustomers",'Monthly Base'!C25,IF(Nonlabor!$I$19="StorageGB",'Monthly Base'!G25,IF(Nonlabor!$I$19="LogGB",'Monthly Base'!H25,IF(Nonlabor!$I$19="RequestsM",'Monthly Base'!F25,IF(Nonlabor!$I$19="InputM",'Monthly Base'!D25*Assumptions!$D$22/1000000,IF(Nonlabor!$I$19="OutputM",'Monthly Base'!D25*Assumptions!$D$23/1000000,0))))))))),0)</f>
        <v>0</v>
      </c>
      <c r="F2125" s="10" t="n">
        <f aca="false">Nonlabor!$J$19*(1+Assumptions!$D$9)^INT((C2125-1)/12)</f>
        <v>12360</v>
      </c>
      <c r="G2125" s="10" t="n">
        <f aca="false">E2125*F2125</f>
        <v>0</v>
      </c>
      <c r="H2125" s="10" t="n">
        <f aca="false">IF(OR(Nonlabor!$L$19="Quote required",Nonlabor!$L$19="Unverified"),G2125,0)</f>
        <v>0</v>
      </c>
      <c r="I2125" s="10" t="n">
        <f aca="false">IF(Nonlabor!$E$19="Core",0,G2125)</f>
        <v>0</v>
      </c>
      <c r="J2125" s="23" t="str">
        <f aca="false">Nonlabor!$B$19</f>
        <v>INSURANCE</v>
      </c>
    </row>
    <row r="2126" customFormat="false" ht="15" hidden="false" customHeight="false" outlineLevel="0" collapsed="false">
      <c r="A2126" s="6" t="s">
        <v>4</v>
      </c>
      <c r="B2126" s="6" t="s">
        <v>49</v>
      </c>
      <c r="C2126" s="6" t="n">
        <v>21</v>
      </c>
      <c r="D2126" s="25" t="n">
        <f aca="false">EDATE('Start Here'!$B$6,C2126-1)</f>
        <v>46935</v>
      </c>
      <c r="E2126" s="23" t="n">
        <f aca="false">IF(AND(OR(Nonlabor!$D$19="Both",Nonlabor!$D$19='Start Here'!$B$9),IF(Nonlabor!$E$19="Core",1,IF(Nonlabor!$E$19="AI",'Start Here'!$B$7,'Start Here'!$B$8))=1,C2126&gt;=IF(Nonlabor!$E$19="Core",Nonlabor!$F$19,MAX(Nonlabor!$F$19,IF(Nonlabor!$E$19="AI",Assumptions!$D$24,Assumptions!$D$25))),C2126&lt;=Nonlabor!$G$19,OR(Nonlabor!$H$19="Monthly",AND(Nonlabor!$H$19="Once",C2126=IF(Nonlabor!$E$19="Core",Nonlabor!$F$19,MAX(Nonlabor!$F$19,IF(Nonlabor!$E$19="AI",Assumptions!$D$24,Assumptions!$D$25)))),AND(Nonlabor!$H$19="Annual",MOD(C2126-IF(Nonlabor!$E$19="Core",Nonlabor!$F$19,MAX(Nonlabor!$F$19,IF(Nonlabor!$E$19="AI",Assumptions!$D$24,Assumptions!$D$25))),12)=0))),IF(Nonlabor!$I$19="Fixed",1,IF(Nonlabor!$I$19="Seats",ROUNDUP('Monthly Base'!I26,0),IF(Nonlabor!$I$19="Customers",'Monthly Base'!D26,IF(Nonlabor!$I$19="NewCustomers",'Monthly Base'!C26,IF(Nonlabor!$I$19="StorageGB",'Monthly Base'!G26,IF(Nonlabor!$I$19="LogGB",'Monthly Base'!H26,IF(Nonlabor!$I$19="RequestsM",'Monthly Base'!F26,IF(Nonlabor!$I$19="InputM",'Monthly Base'!D26*Assumptions!$D$22/1000000,IF(Nonlabor!$I$19="OutputM",'Monthly Base'!D26*Assumptions!$D$23/1000000,0))))))))),0)</f>
        <v>1</v>
      </c>
      <c r="F2126" s="10" t="n">
        <f aca="false">Nonlabor!$J$19*(1+Assumptions!$D$9)^INT((C2126-1)/12)</f>
        <v>12360</v>
      </c>
      <c r="G2126" s="10" t="n">
        <f aca="false">E2126*F2126</f>
        <v>12360</v>
      </c>
      <c r="H2126" s="10" t="n">
        <f aca="false">IF(OR(Nonlabor!$L$19="Quote required",Nonlabor!$L$19="Unverified"),G2126,0)</f>
        <v>12360</v>
      </c>
      <c r="I2126" s="10" t="n">
        <f aca="false">IF(Nonlabor!$E$19="Core",0,G2126)</f>
        <v>0</v>
      </c>
      <c r="J2126" s="23" t="str">
        <f aca="false">Nonlabor!$B$19</f>
        <v>INSURANCE</v>
      </c>
    </row>
    <row r="2127" customFormat="false" ht="15" hidden="false" customHeight="false" outlineLevel="0" collapsed="false">
      <c r="A2127" s="6" t="s">
        <v>4</v>
      </c>
      <c r="B2127" s="6" t="s">
        <v>49</v>
      </c>
      <c r="C2127" s="6" t="n">
        <v>22</v>
      </c>
      <c r="D2127" s="25" t="n">
        <f aca="false">EDATE('Start Here'!$B$6,C2127-1)</f>
        <v>46966</v>
      </c>
      <c r="E2127" s="23" t="n">
        <f aca="false">IF(AND(OR(Nonlabor!$D$19="Both",Nonlabor!$D$19='Start Here'!$B$9),IF(Nonlabor!$E$19="Core",1,IF(Nonlabor!$E$19="AI",'Start Here'!$B$7,'Start Here'!$B$8))=1,C2127&gt;=IF(Nonlabor!$E$19="Core",Nonlabor!$F$19,MAX(Nonlabor!$F$19,IF(Nonlabor!$E$19="AI",Assumptions!$D$24,Assumptions!$D$25))),C2127&lt;=Nonlabor!$G$19,OR(Nonlabor!$H$19="Monthly",AND(Nonlabor!$H$19="Once",C2127=IF(Nonlabor!$E$19="Core",Nonlabor!$F$19,MAX(Nonlabor!$F$19,IF(Nonlabor!$E$19="AI",Assumptions!$D$24,Assumptions!$D$25)))),AND(Nonlabor!$H$19="Annual",MOD(C2127-IF(Nonlabor!$E$19="Core",Nonlabor!$F$19,MAX(Nonlabor!$F$19,IF(Nonlabor!$E$19="AI",Assumptions!$D$24,Assumptions!$D$25))),12)=0))),IF(Nonlabor!$I$19="Fixed",1,IF(Nonlabor!$I$19="Seats",ROUNDUP('Monthly Base'!I27,0),IF(Nonlabor!$I$19="Customers",'Monthly Base'!D27,IF(Nonlabor!$I$19="NewCustomers",'Monthly Base'!C27,IF(Nonlabor!$I$19="StorageGB",'Monthly Base'!G27,IF(Nonlabor!$I$19="LogGB",'Monthly Base'!H27,IF(Nonlabor!$I$19="RequestsM",'Monthly Base'!F27,IF(Nonlabor!$I$19="InputM",'Monthly Base'!D27*Assumptions!$D$22/1000000,IF(Nonlabor!$I$19="OutputM",'Monthly Base'!D27*Assumptions!$D$23/1000000,0))))))))),0)</f>
        <v>0</v>
      </c>
      <c r="F2127" s="10" t="n">
        <f aca="false">Nonlabor!$J$19*(1+Assumptions!$D$9)^INT((C2127-1)/12)</f>
        <v>12360</v>
      </c>
      <c r="G2127" s="10" t="n">
        <f aca="false">E2127*F2127</f>
        <v>0</v>
      </c>
      <c r="H2127" s="10" t="n">
        <f aca="false">IF(OR(Nonlabor!$L$19="Quote required",Nonlabor!$L$19="Unverified"),G2127,0)</f>
        <v>0</v>
      </c>
      <c r="I2127" s="10" t="n">
        <f aca="false">IF(Nonlabor!$E$19="Core",0,G2127)</f>
        <v>0</v>
      </c>
      <c r="J2127" s="23" t="str">
        <f aca="false">Nonlabor!$B$19</f>
        <v>INSURANCE</v>
      </c>
    </row>
    <row r="2128" customFormat="false" ht="15" hidden="false" customHeight="false" outlineLevel="0" collapsed="false">
      <c r="A2128" s="6" t="s">
        <v>4</v>
      </c>
      <c r="B2128" s="6" t="s">
        <v>49</v>
      </c>
      <c r="C2128" s="6" t="n">
        <v>23</v>
      </c>
      <c r="D2128" s="25" t="n">
        <f aca="false">EDATE('Start Here'!$B$6,C2128-1)</f>
        <v>46997</v>
      </c>
      <c r="E2128" s="23" t="n">
        <f aca="false">IF(AND(OR(Nonlabor!$D$19="Both",Nonlabor!$D$19='Start Here'!$B$9),IF(Nonlabor!$E$19="Core",1,IF(Nonlabor!$E$19="AI",'Start Here'!$B$7,'Start Here'!$B$8))=1,C2128&gt;=IF(Nonlabor!$E$19="Core",Nonlabor!$F$19,MAX(Nonlabor!$F$19,IF(Nonlabor!$E$19="AI",Assumptions!$D$24,Assumptions!$D$25))),C2128&lt;=Nonlabor!$G$19,OR(Nonlabor!$H$19="Monthly",AND(Nonlabor!$H$19="Once",C2128=IF(Nonlabor!$E$19="Core",Nonlabor!$F$19,MAX(Nonlabor!$F$19,IF(Nonlabor!$E$19="AI",Assumptions!$D$24,Assumptions!$D$25)))),AND(Nonlabor!$H$19="Annual",MOD(C2128-IF(Nonlabor!$E$19="Core",Nonlabor!$F$19,MAX(Nonlabor!$F$19,IF(Nonlabor!$E$19="AI",Assumptions!$D$24,Assumptions!$D$25))),12)=0))),IF(Nonlabor!$I$19="Fixed",1,IF(Nonlabor!$I$19="Seats",ROUNDUP('Monthly Base'!I28,0),IF(Nonlabor!$I$19="Customers",'Monthly Base'!D28,IF(Nonlabor!$I$19="NewCustomers",'Monthly Base'!C28,IF(Nonlabor!$I$19="StorageGB",'Monthly Base'!G28,IF(Nonlabor!$I$19="LogGB",'Monthly Base'!H28,IF(Nonlabor!$I$19="RequestsM",'Monthly Base'!F28,IF(Nonlabor!$I$19="InputM",'Monthly Base'!D28*Assumptions!$D$22/1000000,IF(Nonlabor!$I$19="OutputM",'Monthly Base'!D28*Assumptions!$D$23/1000000,0))))))))),0)</f>
        <v>0</v>
      </c>
      <c r="F2128" s="10" t="n">
        <f aca="false">Nonlabor!$J$19*(1+Assumptions!$D$9)^INT((C2128-1)/12)</f>
        <v>12360</v>
      </c>
      <c r="G2128" s="10" t="n">
        <f aca="false">E2128*F2128</f>
        <v>0</v>
      </c>
      <c r="H2128" s="10" t="n">
        <f aca="false">IF(OR(Nonlabor!$L$19="Quote required",Nonlabor!$L$19="Unverified"),G2128,0)</f>
        <v>0</v>
      </c>
      <c r="I2128" s="10" t="n">
        <f aca="false">IF(Nonlabor!$E$19="Core",0,G2128)</f>
        <v>0</v>
      </c>
      <c r="J2128" s="23" t="str">
        <f aca="false">Nonlabor!$B$19</f>
        <v>INSURANCE</v>
      </c>
    </row>
    <row r="2129" customFormat="false" ht="15" hidden="false" customHeight="false" outlineLevel="0" collapsed="false">
      <c r="A2129" s="6" t="s">
        <v>4</v>
      </c>
      <c r="B2129" s="6" t="s">
        <v>49</v>
      </c>
      <c r="C2129" s="6" t="n">
        <v>24</v>
      </c>
      <c r="D2129" s="25" t="n">
        <f aca="false">EDATE('Start Here'!$B$6,C2129-1)</f>
        <v>47027</v>
      </c>
      <c r="E2129" s="23" t="n">
        <f aca="false">IF(AND(OR(Nonlabor!$D$19="Both",Nonlabor!$D$19='Start Here'!$B$9),IF(Nonlabor!$E$19="Core",1,IF(Nonlabor!$E$19="AI",'Start Here'!$B$7,'Start Here'!$B$8))=1,C2129&gt;=IF(Nonlabor!$E$19="Core",Nonlabor!$F$19,MAX(Nonlabor!$F$19,IF(Nonlabor!$E$19="AI",Assumptions!$D$24,Assumptions!$D$25))),C2129&lt;=Nonlabor!$G$19,OR(Nonlabor!$H$19="Monthly",AND(Nonlabor!$H$19="Once",C2129=IF(Nonlabor!$E$19="Core",Nonlabor!$F$19,MAX(Nonlabor!$F$19,IF(Nonlabor!$E$19="AI",Assumptions!$D$24,Assumptions!$D$25)))),AND(Nonlabor!$H$19="Annual",MOD(C2129-IF(Nonlabor!$E$19="Core",Nonlabor!$F$19,MAX(Nonlabor!$F$19,IF(Nonlabor!$E$19="AI",Assumptions!$D$24,Assumptions!$D$25))),12)=0))),IF(Nonlabor!$I$19="Fixed",1,IF(Nonlabor!$I$19="Seats",ROUNDUP('Monthly Base'!I29,0),IF(Nonlabor!$I$19="Customers",'Monthly Base'!D29,IF(Nonlabor!$I$19="NewCustomers",'Monthly Base'!C29,IF(Nonlabor!$I$19="StorageGB",'Monthly Base'!G29,IF(Nonlabor!$I$19="LogGB",'Monthly Base'!H29,IF(Nonlabor!$I$19="RequestsM",'Monthly Base'!F29,IF(Nonlabor!$I$19="InputM",'Monthly Base'!D29*Assumptions!$D$22/1000000,IF(Nonlabor!$I$19="OutputM",'Monthly Base'!D29*Assumptions!$D$23/1000000,0))))))))),0)</f>
        <v>0</v>
      </c>
      <c r="F2129" s="10" t="n">
        <f aca="false">Nonlabor!$J$19*(1+Assumptions!$D$9)^INT((C2129-1)/12)</f>
        <v>12360</v>
      </c>
      <c r="G2129" s="10" t="n">
        <f aca="false">E2129*F2129</f>
        <v>0</v>
      </c>
      <c r="H2129" s="10" t="n">
        <f aca="false">IF(OR(Nonlabor!$L$19="Quote required",Nonlabor!$L$19="Unverified"),G2129,0)</f>
        <v>0</v>
      </c>
      <c r="I2129" s="10" t="n">
        <f aca="false">IF(Nonlabor!$E$19="Core",0,G2129)</f>
        <v>0</v>
      </c>
      <c r="J2129" s="23" t="str">
        <f aca="false">Nonlabor!$B$19</f>
        <v>INSURANCE</v>
      </c>
    </row>
    <row r="2130" customFormat="false" ht="15" hidden="false" customHeight="false" outlineLevel="0" collapsed="false">
      <c r="A2130" s="6" t="s">
        <v>4</v>
      </c>
      <c r="B2130" s="6" t="s">
        <v>49</v>
      </c>
      <c r="C2130" s="6" t="n">
        <v>25</v>
      </c>
      <c r="D2130" s="25" t="n">
        <f aca="false">EDATE('Start Here'!$B$6,C2130-1)</f>
        <v>47058</v>
      </c>
      <c r="E2130" s="23" t="n">
        <f aca="false">IF(AND(OR(Nonlabor!$D$19="Both",Nonlabor!$D$19='Start Here'!$B$9),IF(Nonlabor!$E$19="Core",1,IF(Nonlabor!$E$19="AI",'Start Here'!$B$7,'Start Here'!$B$8))=1,C2130&gt;=IF(Nonlabor!$E$19="Core",Nonlabor!$F$19,MAX(Nonlabor!$F$19,IF(Nonlabor!$E$19="AI",Assumptions!$D$24,Assumptions!$D$25))),C2130&lt;=Nonlabor!$G$19,OR(Nonlabor!$H$19="Monthly",AND(Nonlabor!$H$19="Once",C2130=IF(Nonlabor!$E$19="Core",Nonlabor!$F$19,MAX(Nonlabor!$F$19,IF(Nonlabor!$E$19="AI",Assumptions!$D$24,Assumptions!$D$25)))),AND(Nonlabor!$H$19="Annual",MOD(C2130-IF(Nonlabor!$E$19="Core",Nonlabor!$F$19,MAX(Nonlabor!$F$19,IF(Nonlabor!$E$19="AI",Assumptions!$D$24,Assumptions!$D$25))),12)=0))),IF(Nonlabor!$I$19="Fixed",1,IF(Nonlabor!$I$19="Seats",ROUNDUP('Monthly Base'!I30,0),IF(Nonlabor!$I$19="Customers",'Monthly Base'!D30,IF(Nonlabor!$I$19="NewCustomers",'Monthly Base'!C30,IF(Nonlabor!$I$19="StorageGB",'Monthly Base'!G30,IF(Nonlabor!$I$19="LogGB",'Monthly Base'!H30,IF(Nonlabor!$I$19="RequestsM",'Monthly Base'!F30,IF(Nonlabor!$I$19="InputM",'Monthly Base'!D30*Assumptions!$D$22/1000000,IF(Nonlabor!$I$19="OutputM",'Monthly Base'!D30*Assumptions!$D$23/1000000,0))))))))),0)</f>
        <v>0</v>
      </c>
      <c r="F2130" s="10" t="n">
        <f aca="false">Nonlabor!$J$19*(1+Assumptions!$D$9)^INT((C2130-1)/12)</f>
        <v>12730.8</v>
      </c>
      <c r="G2130" s="10" t="n">
        <f aca="false">E2130*F2130</f>
        <v>0</v>
      </c>
      <c r="H2130" s="10" t="n">
        <f aca="false">IF(OR(Nonlabor!$L$19="Quote required",Nonlabor!$L$19="Unverified"),G2130,0)</f>
        <v>0</v>
      </c>
      <c r="I2130" s="10" t="n">
        <f aca="false">IF(Nonlabor!$E$19="Core",0,G2130)</f>
        <v>0</v>
      </c>
      <c r="J2130" s="23" t="str">
        <f aca="false">Nonlabor!$B$19</f>
        <v>INSURANCE</v>
      </c>
    </row>
    <row r="2131" customFormat="false" ht="15" hidden="false" customHeight="false" outlineLevel="0" collapsed="false">
      <c r="A2131" s="6" t="s">
        <v>4</v>
      </c>
      <c r="B2131" s="6" t="s">
        <v>49</v>
      </c>
      <c r="C2131" s="6" t="n">
        <v>26</v>
      </c>
      <c r="D2131" s="25" t="n">
        <f aca="false">EDATE('Start Here'!$B$6,C2131-1)</f>
        <v>47088</v>
      </c>
      <c r="E2131" s="23" t="n">
        <f aca="false">IF(AND(OR(Nonlabor!$D$19="Both",Nonlabor!$D$19='Start Here'!$B$9),IF(Nonlabor!$E$19="Core",1,IF(Nonlabor!$E$19="AI",'Start Here'!$B$7,'Start Here'!$B$8))=1,C2131&gt;=IF(Nonlabor!$E$19="Core",Nonlabor!$F$19,MAX(Nonlabor!$F$19,IF(Nonlabor!$E$19="AI",Assumptions!$D$24,Assumptions!$D$25))),C2131&lt;=Nonlabor!$G$19,OR(Nonlabor!$H$19="Monthly",AND(Nonlabor!$H$19="Once",C2131=IF(Nonlabor!$E$19="Core",Nonlabor!$F$19,MAX(Nonlabor!$F$19,IF(Nonlabor!$E$19="AI",Assumptions!$D$24,Assumptions!$D$25)))),AND(Nonlabor!$H$19="Annual",MOD(C2131-IF(Nonlabor!$E$19="Core",Nonlabor!$F$19,MAX(Nonlabor!$F$19,IF(Nonlabor!$E$19="AI",Assumptions!$D$24,Assumptions!$D$25))),12)=0))),IF(Nonlabor!$I$19="Fixed",1,IF(Nonlabor!$I$19="Seats",ROUNDUP('Monthly Base'!I31,0),IF(Nonlabor!$I$19="Customers",'Monthly Base'!D31,IF(Nonlabor!$I$19="NewCustomers",'Monthly Base'!C31,IF(Nonlabor!$I$19="StorageGB",'Monthly Base'!G31,IF(Nonlabor!$I$19="LogGB",'Monthly Base'!H31,IF(Nonlabor!$I$19="RequestsM",'Monthly Base'!F31,IF(Nonlabor!$I$19="InputM",'Monthly Base'!D31*Assumptions!$D$22/1000000,IF(Nonlabor!$I$19="OutputM",'Monthly Base'!D31*Assumptions!$D$23/1000000,0))))))))),0)</f>
        <v>0</v>
      </c>
      <c r="F2131" s="10" t="n">
        <f aca="false">Nonlabor!$J$19*(1+Assumptions!$D$9)^INT((C2131-1)/12)</f>
        <v>12730.8</v>
      </c>
      <c r="G2131" s="10" t="n">
        <f aca="false">E2131*F2131</f>
        <v>0</v>
      </c>
      <c r="H2131" s="10" t="n">
        <f aca="false">IF(OR(Nonlabor!$L$19="Quote required",Nonlabor!$L$19="Unverified"),G2131,0)</f>
        <v>0</v>
      </c>
      <c r="I2131" s="10" t="n">
        <f aca="false">IF(Nonlabor!$E$19="Core",0,G2131)</f>
        <v>0</v>
      </c>
      <c r="J2131" s="23" t="str">
        <f aca="false">Nonlabor!$B$19</f>
        <v>INSURANCE</v>
      </c>
    </row>
    <row r="2132" customFormat="false" ht="15" hidden="false" customHeight="false" outlineLevel="0" collapsed="false">
      <c r="A2132" s="6" t="s">
        <v>4</v>
      </c>
      <c r="B2132" s="6" t="s">
        <v>49</v>
      </c>
      <c r="C2132" s="6" t="n">
        <v>27</v>
      </c>
      <c r="D2132" s="25" t="n">
        <f aca="false">EDATE('Start Here'!$B$6,C2132-1)</f>
        <v>47119</v>
      </c>
      <c r="E2132" s="23" t="n">
        <f aca="false">IF(AND(OR(Nonlabor!$D$19="Both",Nonlabor!$D$19='Start Here'!$B$9),IF(Nonlabor!$E$19="Core",1,IF(Nonlabor!$E$19="AI",'Start Here'!$B$7,'Start Here'!$B$8))=1,C2132&gt;=IF(Nonlabor!$E$19="Core",Nonlabor!$F$19,MAX(Nonlabor!$F$19,IF(Nonlabor!$E$19="AI",Assumptions!$D$24,Assumptions!$D$25))),C2132&lt;=Nonlabor!$G$19,OR(Nonlabor!$H$19="Monthly",AND(Nonlabor!$H$19="Once",C2132=IF(Nonlabor!$E$19="Core",Nonlabor!$F$19,MAX(Nonlabor!$F$19,IF(Nonlabor!$E$19="AI",Assumptions!$D$24,Assumptions!$D$25)))),AND(Nonlabor!$H$19="Annual",MOD(C2132-IF(Nonlabor!$E$19="Core",Nonlabor!$F$19,MAX(Nonlabor!$F$19,IF(Nonlabor!$E$19="AI",Assumptions!$D$24,Assumptions!$D$25))),12)=0))),IF(Nonlabor!$I$19="Fixed",1,IF(Nonlabor!$I$19="Seats",ROUNDUP('Monthly Base'!I32,0),IF(Nonlabor!$I$19="Customers",'Monthly Base'!D32,IF(Nonlabor!$I$19="NewCustomers",'Monthly Base'!C32,IF(Nonlabor!$I$19="StorageGB",'Monthly Base'!G32,IF(Nonlabor!$I$19="LogGB",'Monthly Base'!H32,IF(Nonlabor!$I$19="RequestsM",'Monthly Base'!F32,IF(Nonlabor!$I$19="InputM",'Monthly Base'!D32*Assumptions!$D$22/1000000,IF(Nonlabor!$I$19="OutputM",'Monthly Base'!D32*Assumptions!$D$23/1000000,0))))))))),0)</f>
        <v>0</v>
      </c>
      <c r="F2132" s="10" t="n">
        <f aca="false">Nonlabor!$J$19*(1+Assumptions!$D$9)^INT((C2132-1)/12)</f>
        <v>12730.8</v>
      </c>
      <c r="G2132" s="10" t="n">
        <f aca="false">E2132*F2132</f>
        <v>0</v>
      </c>
      <c r="H2132" s="10" t="n">
        <f aca="false">IF(OR(Nonlabor!$L$19="Quote required",Nonlabor!$L$19="Unverified"),G2132,0)</f>
        <v>0</v>
      </c>
      <c r="I2132" s="10" t="n">
        <f aca="false">IF(Nonlabor!$E$19="Core",0,G2132)</f>
        <v>0</v>
      </c>
      <c r="J2132" s="23" t="str">
        <f aca="false">Nonlabor!$B$19</f>
        <v>INSURANCE</v>
      </c>
    </row>
    <row r="2133" customFormat="false" ht="15" hidden="false" customHeight="false" outlineLevel="0" collapsed="false">
      <c r="A2133" s="6" t="s">
        <v>4</v>
      </c>
      <c r="B2133" s="6" t="s">
        <v>49</v>
      </c>
      <c r="C2133" s="6" t="n">
        <v>28</v>
      </c>
      <c r="D2133" s="25" t="n">
        <f aca="false">EDATE('Start Here'!$B$6,C2133-1)</f>
        <v>47150</v>
      </c>
      <c r="E2133" s="23" t="n">
        <f aca="false">IF(AND(OR(Nonlabor!$D$19="Both",Nonlabor!$D$19='Start Here'!$B$9),IF(Nonlabor!$E$19="Core",1,IF(Nonlabor!$E$19="AI",'Start Here'!$B$7,'Start Here'!$B$8))=1,C2133&gt;=IF(Nonlabor!$E$19="Core",Nonlabor!$F$19,MAX(Nonlabor!$F$19,IF(Nonlabor!$E$19="AI",Assumptions!$D$24,Assumptions!$D$25))),C2133&lt;=Nonlabor!$G$19,OR(Nonlabor!$H$19="Monthly",AND(Nonlabor!$H$19="Once",C2133=IF(Nonlabor!$E$19="Core",Nonlabor!$F$19,MAX(Nonlabor!$F$19,IF(Nonlabor!$E$19="AI",Assumptions!$D$24,Assumptions!$D$25)))),AND(Nonlabor!$H$19="Annual",MOD(C2133-IF(Nonlabor!$E$19="Core",Nonlabor!$F$19,MAX(Nonlabor!$F$19,IF(Nonlabor!$E$19="AI",Assumptions!$D$24,Assumptions!$D$25))),12)=0))),IF(Nonlabor!$I$19="Fixed",1,IF(Nonlabor!$I$19="Seats",ROUNDUP('Monthly Base'!I33,0),IF(Nonlabor!$I$19="Customers",'Monthly Base'!D33,IF(Nonlabor!$I$19="NewCustomers",'Monthly Base'!C33,IF(Nonlabor!$I$19="StorageGB",'Monthly Base'!G33,IF(Nonlabor!$I$19="LogGB",'Monthly Base'!H33,IF(Nonlabor!$I$19="RequestsM",'Monthly Base'!F33,IF(Nonlabor!$I$19="InputM",'Monthly Base'!D33*Assumptions!$D$22/1000000,IF(Nonlabor!$I$19="OutputM",'Monthly Base'!D33*Assumptions!$D$23/1000000,0))))))))),0)</f>
        <v>0</v>
      </c>
      <c r="F2133" s="10" t="n">
        <f aca="false">Nonlabor!$J$19*(1+Assumptions!$D$9)^INT((C2133-1)/12)</f>
        <v>12730.8</v>
      </c>
      <c r="G2133" s="10" t="n">
        <f aca="false">E2133*F2133</f>
        <v>0</v>
      </c>
      <c r="H2133" s="10" t="n">
        <f aca="false">IF(OR(Nonlabor!$L$19="Quote required",Nonlabor!$L$19="Unverified"),G2133,0)</f>
        <v>0</v>
      </c>
      <c r="I2133" s="10" t="n">
        <f aca="false">IF(Nonlabor!$E$19="Core",0,G2133)</f>
        <v>0</v>
      </c>
      <c r="J2133" s="23" t="str">
        <f aca="false">Nonlabor!$B$19</f>
        <v>INSURANCE</v>
      </c>
    </row>
    <row r="2134" customFormat="false" ht="15" hidden="false" customHeight="false" outlineLevel="0" collapsed="false">
      <c r="A2134" s="6" t="s">
        <v>4</v>
      </c>
      <c r="B2134" s="6" t="s">
        <v>49</v>
      </c>
      <c r="C2134" s="6" t="n">
        <v>29</v>
      </c>
      <c r="D2134" s="25" t="n">
        <f aca="false">EDATE('Start Here'!$B$6,C2134-1)</f>
        <v>47178</v>
      </c>
      <c r="E2134" s="23" t="n">
        <f aca="false">IF(AND(OR(Nonlabor!$D$19="Both",Nonlabor!$D$19='Start Here'!$B$9),IF(Nonlabor!$E$19="Core",1,IF(Nonlabor!$E$19="AI",'Start Here'!$B$7,'Start Here'!$B$8))=1,C2134&gt;=IF(Nonlabor!$E$19="Core",Nonlabor!$F$19,MAX(Nonlabor!$F$19,IF(Nonlabor!$E$19="AI",Assumptions!$D$24,Assumptions!$D$25))),C2134&lt;=Nonlabor!$G$19,OR(Nonlabor!$H$19="Monthly",AND(Nonlabor!$H$19="Once",C2134=IF(Nonlabor!$E$19="Core",Nonlabor!$F$19,MAX(Nonlabor!$F$19,IF(Nonlabor!$E$19="AI",Assumptions!$D$24,Assumptions!$D$25)))),AND(Nonlabor!$H$19="Annual",MOD(C2134-IF(Nonlabor!$E$19="Core",Nonlabor!$F$19,MAX(Nonlabor!$F$19,IF(Nonlabor!$E$19="AI",Assumptions!$D$24,Assumptions!$D$25))),12)=0))),IF(Nonlabor!$I$19="Fixed",1,IF(Nonlabor!$I$19="Seats",ROUNDUP('Monthly Base'!I34,0),IF(Nonlabor!$I$19="Customers",'Monthly Base'!D34,IF(Nonlabor!$I$19="NewCustomers",'Monthly Base'!C34,IF(Nonlabor!$I$19="StorageGB",'Monthly Base'!G34,IF(Nonlabor!$I$19="LogGB",'Monthly Base'!H34,IF(Nonlabor!$I$19="RequestsM",'Monthly Base'!F34,IF(Nonlabor!$I$19="InputM",'Monthly Base'!D34*Assumptions!$D$22/1000000,IF(Nonlabor!$I$19="OutputM",'Monthly Base'!D34*Assumptions!$D$23/1000000,0))))))))),0)</f>
        <v>0</v>
      </c>
      <c r="F2134" s="10" t="n">
        <f aca="false">Nonlabor!$J$19*(1+Assumptions!$D$9)^INT((C2134-1)/12)</f>
        <v>12730.8</v>
      </c>
      <c r="G2134" s="10" t="n">
        <f aca="false">E2134*F2134</f>
        <v>0</v>
      </c>
      <c r="H2134" s="10" t="n">
        <f aca="false">IF(OR(Nonlabor!$L$19="Quote required",Nonlabor!$L$19="Unverified"),G2134,0)</f>
        <v>0</v>
      </c>
      <c r="I2134" s="10" t="n">
        <f aca="false">IF(Nonlabor!$E$19="Core",0,G2134)</f>
        <v>0</v>
      </c>
      <c r="J2134" s="23" t="str">
        <f aca="false">Nonlabor!$B$19</f>
        <v>INSURANCE</v>
      </c>
    </row>
    <row r="2135" customFormat="false" ht="15" hidden="false" customHeight="false" outlineLevel="0" collapsed="false">
      <c r="A2135" s="6" t="s">
        <v>4</v>
      </c>
      <c r="B2135" s="6" t="s">
        <v>49</v>
      </c>
      <c r="C2135" s="6" t="n">
        <v>30</v>
      </c>
      <c r="D2135" s="25" t="n">
        <f aca="false">EDATE('Start Here'!$B$6,C2135-1)</f>
        <v>47209</v>
      </c>
      <c r="E2135" s="23" t="n">
        <f aca="false">IF(AND(OR(Nonlabor!$D$19="Both",Nonlabor!$D$19='Start Here'!$B$9),IF(Nonlabor!$E$19="Core",1,IF(Nonlabor!$E$19="AI",'Start Here'!$B$7,'Start Here'!$B$8))=1,C2135&gt;=IF(Nonlabor!$E$19="Core",Nonlabor!$F$19,MAX(Nonlabor!$F$19,IF(Nonlabor!$E$19="AI",Assumptions!$D$24,Assumptions!$D$25))),C2135&lt;=Nonlabor!$G$19,OR(Nonlabor!$H$19="Monthly",AND(Nonlabor!$H$19="Once",C2135=IF(Nonlabor!$E$19="Core",Nonlabor!$F$19,MAX(Nonlabor!$F$19,IF(Nonlabor!$E$19="AI",Assumptions!$D$24,Assumptions!$D$25)))),AND(Nonlabor!$H$19="Annual",MOD(C2135-IF(Nonlabor!$E$19="Core",Nonlabor!$F$19,MAX(Nonlabor!$F$19,IF(Nonlabor!$E$19="AI",Assumptions!$D$24,Assumptions!$D$25))),12)=0))),IF(Nonlabor!$I$19="Fixed",1,IF(Nonlabor!$I$19="Seats",ROUNDUP('Monthly Base'!I35,0),IF(Nonlabor!$I$19="Customers",'Monthly Base'!D35,IF(Nonlabor!$I$19="NewCustomers",'Monthly Base'!C35,IF(Nonlabor!$I$19="StorageGB",'Monthly Base'!G35,IF(Nonlabor!$I$19="LogGB",'Monthly Base'!H35,IF(Nonlabor!$I$19="RequestsM",'Monthly Base'!F35,IF(Nonlabor!$I$19="InputM",'Monthly Base'!D35*Assumptions!$D$22/1000000,IF(Nonlabor!$I$19="OutputM",'Monthly Base'!D35*Assumptions!$D$23/1000000,0))))))))),0)</f>
        <v>0</v>
      </c>
      <c r="F2135" s="10" t="n">
        <f aca="false">Nonlabor!$J$19*(1+Assumptions!$D$9)^INT((C2135-1)/12)</f>
        <v>12730.8</v>
      </c>
      <c r="G2135" s="10" t="n">
        <f aca="false">E2135*F2135</f>
        <v>0</v>
      </c>
      <c r="H2135" s="10" t="n">
        <f aca="false">IF(OR(Nonlabor!$L$19="Quote required",Nonlabor!$L$19="Unverified"),G2135,0)</f>
        <v>0</v>
      </c>
      <c r="I2135" s="10" t="n">
        <f aca="false">IF(Nonlabor!$E$19="Core",0,G2135)</f>
        <v>0</v>
      </c>
      <c r="J2135" s="23" t="str">
        <f aca="false">Nonlabor!$B$19</f>
        <v>INSURANCE</v>
      </c>
    </row>
    <row r="2136" customFormat="false" ht="15" hidden="false" customHeight="false" outlineLevel="0" collapsed="false">
      <c r="A2136" s="6" t="s">
        <v>4</v>
      </c>
      <c r="B2136" s="6" t="s">
        <v>49</v>
      </c>
      <c r="C2136" s="6" t="n">
        <v>31</v>
      </c>
      <c r="D2136" s="25" t="n">
        <f aca="false">EDATE('Start Here'!$B$6,C2136-1)</f>
        <v>47239</v>
      </c>
      <c r="E2136" s="23" t="n">
        <f aca="false">IF(AND(OR(Nonlabor!$D$19="Both",Nonlabor!$D$19='Start Here'!$B$9),IF(Nonlabor!$E$19="Core",1,IF(Nonlabor!$E$19="AI",'Start Here'!$B$7,'Start Here'!$B$8))=1,C2136&gt;=IF(Nonlabor!$E$19="Core",Nonlabor!$F$19,MAX(Nonlabor!$F$19,IF(Nonlabor!$E$19="AI",Assumptions!$D$24,Assumptions!$D$25))),C2136&lt;=Nonlabor!$G$19,OR(Nonlabor!$H$19="Monthly",AND(Nonlabor!$H$19="Once",C2136=IF(Nonlabor!$E$19="Core",Nonlabor!$F$19,MAX(Nonlabor!$F$19,IF(Nonlabor!$E$19="AI",Assumptions!$D$24,Assumptions!$D$25)))),AND(Nonlabor!$H$19="Annual",MOD(C2136-IF(Nonlabor!$E$19="Core",Nonlabor!$F$19,MAX(Nonlabor!$F$19,IF(Nonlabor!$E$19="AI",Assumptions!$D$24,Assumptions!$D$25))),12)=0))),IF(Nonlabor!$I$19="Fixed",1,IF(Nonlabor!$I$19="Seats",ROUNDUP('Monthly Base'!I36,0),IF(Nonlabor!$I$19="Customers",'Monthly Base'!D36,IF(Nonlabor!$I$19="NewCustomers",'Monthly Base'!C36,IF(Nonlabor!$I$19="StorageGB",'Monthly Base'!G36,IF(Nonlabor!$I$19="LogGB",'Monthly Base'!H36,IF(Nonlabor!$I$19="RequestsM",'Monthly Base'!F36,IF(Nonlabor!$I$19="InputM",'Monthly Base'!D36*Assumptions!$D$22/1000000,IF(Nonlabor!$I$19="OutputM",'Monthly Base'!D36*Assumptions!$D$23/1000000,0))))))))),0)</f>
        <v>0</v>
      </c>
      <c r="F2136" s="10" t="n">
        <f aca="false">Nonlabor!$J$19*(1+Assumptions!$D$9)^INT((C2136-1)/12)</f>
        <v>12730.8</v>
      </c>
      <c r="G2136" s="10" t="n">
        <f aca="false">E2136*F2136</f>
        <v>0</v>
      </c>
      <c r="H2136" s="10" t="n">
        <f aca="false">IF(OR(Nonlabor!$L$19="Quote required",Nonlabor!$L$19="Unverified"),G2136,0)</f>
        <v>0</v>
      </c>
      <c r="I2136" s="10" t="n">
        <f aca="false">IF(Nonlabor!$E$19="Core",0,G2136)</f>
        <v>0</v>
      </c>
      <c r="J2136" s="23" t="str">
        <f aca="false">Nonlabor!$B$19</f>
        <v>INSURANCE</v>
      </c>
    </row>
    <row r="2137" customFormat="false" ht="15" hidden="false" customHeight="false" outlineLevel="0" collapsed="false">
      <c r="A2137" s="6" t="s">
        <v>4</v>
      </c>
      <c r="B2137" s="6" t="s">
        <v>49</v>
      </c>
      <c r="C2137" s="6" t="n">
        <v>32</v>
      </c>
      <c r="D2137" s="25" t="n">
        <f aca="false">EDATE('Start Here'!$B$6,C2137-1)</f>
        <v>47270</v>
      </c>
      <c r="E2137" s="23" t="n">
        <f aca="false">IF(AND(OR(Nonlabor!$D$19="Both",Nonlabor!$D$19='Start Here'!$B$9),IF(Nonlabor!$E$19="Core",1,IF(Nonlabor!$E$19="AI",'Start Here'!$B$7,'Start Here'!$B$8))=1,C2137&gt;=IF(Nonlabor!$E$19="Core",Nonlabor!$F$19,MAX(Nonlabor!$F$19,IF(Nonlabor!$E$19="AI",Assumptions!$D$24,Assumptions!$D$25))),C2137&lt;=Nonlabor!$G$19,OR(Nonlabor!$H$19="Monthly",AND(Nonlabor!$H$19="Once",C2137=IF(Nonlabor!$E$19="Core",Nonlabor!$F$19,MAX(Nonlabor!$F$19,IF(Nonlabor!$E$19="AI",Assumptions!$D$24,Assumptions!$D$25)))),AND(Nonlabor!$H$19="Annual",MOD(C2137-IF(Nonlabor!$E$19="Core",Nonlabor!$F$19,MAX(Nonlabor!$F$19,IF(Nonlabor!$E$19="AI",Assumptions!$D$24,Assumptions!$D$25))),12)=0))),IF(Nonlabor!$I$19="Fixed",1,IF(Nonlabor!$I$19="Seats",ROUNDUP('Monthly Base'!I37,0),IF(Nonlabor!$I$19="Customers",'Monthly Base'!D37,IF(Nonlabor!$I$19="NewCustomers",'Monthly Base'!C37,IF(Nonlabor!$I$19="StorageGB",'Monthly Base'!G37,IF(Nonlabor!$I$19="LogGB",'Monthly Base'!H37,IF(Nonlabor!$I$19="RequestsM",'Monthly Base'!F37,IF(Nonlabor!$I$19="InputM",'Monthly Base'!D37*Assumptions!$D$22/1000000,IF(Nonlabor!$I$19="OutputM",'Monthly Base'!D37*Assumptions!$D$23/1000000,0))))))))),0)</f>
        <v>0</v>
      </c>
      <c r="F2137" s="10" t="n">
        <f aca="false">Nonlabor!$J$19*(1+Assumptions!$D$9)^INT((C2137-1)/12)</f>
        <v>12730.8</v>
      </c>
      <c r="G2137" s="10" t="n">
        <f aca="false">E2137*F2137</f>
        <v>0</v>
      </c>
      <c r="H2137" s="10" t="n">
        <f aca="false">IF(OR(Nonlabor!$L$19="Quote required",Nonlabor!$L$19="Unverified"),G2137,0)</f>
        <v>0</v>
      </c>
      <c r="I2137" s="10" t="n">
        <f aca="false">IF(Nonlabor!$E$19="Core",0,G2137)</f>
        <v>0</v>
      </c>
      <c r="J2137" s="23" t="str">
        <f aca="false">Nonlabor!$B$19</f>
        <v>INSURANCE</v>
      </c>
    </row>
    <row r="2138" customFormat="false" ht="15" hidden="false" customHeight="false" outlineLevel="0" collapsed="false">
      <c r="A2138" s="6" t="s">
        <v>4</v>
      </c>
      <c r="B2138" s="6" t="s">
        <v>49</v>
      </c>
      <c r="C2138" s="6" t="n">
        <v>33</v>
      </c>
      <c r="D2138" s="25" t="n">
        <f aca="false">EDATE('Start Here'!$B$6,C2138-1)</f>
        <v>47300</v>
      </c>
      <c r="E2138" s="23" t="n">
        <f aca="false">IF(AND(OR(Nonlabor!$D$19="Both",Nonlabor!$D$19='Start Here'!$B$9),IF(Nonlabor!$E$19="Core",1,IF(Nonlabor!$E$19="AI",'Start Here'!$B$7,'Start Here'!$B$8))=1,C2138&gt;=IF(Nonlabor!$E$19="Core",Nonlabor!$F$19,MAX(Nonlabor!$F$19,IF(Nonlabor!$E$19="AI",Assumptions!$D$24,Assumptions!$D$25))),C2138&lt;=Nonlabor!$G$19,OR(Nonlabor!$H$19="Monthly",AND(Nonlabor!$H$19="Once",C2138=IF(Nonlabor!$E$19="Core",Nonlabor!$F$19,MAX(Nonlabor!$F$19,IF(Nonlabor!$E$19="AI",Assumptions!$D$24,Assumptions!$D$25)))),AND(Nonlabor!$H$19="Annual",MOD(C2138-IF(Nonlabor!$E$19="Core",Nonlabor!$F$19,MAX(Nonlabor!$F$19,IF(Nonlabor!$E$19="AI",Assumptions!$D$24,Assumptions!$D$25))),12)=0))),IF(Nonlabor!$I$19="Fixed",1,IF(Nonlabor!$I$19="Seats",ROUNDUP('Monthly Base'!I38,0),IF(Nonlabor!$I$19="Customers",'Monthly Base'!D38,IF(Nonlabor!$I$19="NewCustomers",'Monthly Base'!C38,IF(Nonlabor!$I$19="StorageGB",'Monthly Base'!G38,IF(Nonlabor!$I$19="LogGB",'Monthly Base'!H38,IF(Nonlabor!$I$19="RequestsM",'Monthly Base'!F38,IF(Nonlabor!$I$19="InputM",'Monthly Base'!D38*Assumptions!$D$22/1000000,IF(Nonlabor!$I$19="OutputM",'Monthly Base'!D38*Assumptions!$D$23/1000000,0))))))))),0)</f>
        <v>1</v>
      </c>
      <c r="F2138" s="10" t="n">
        <f aca="false">Nonlabor!$J$19*(1+Assumptions!$D$9)^INT((C2138-1)/12)</f>
        <v>12730.8</v>
      </c>
      <c r="G2138" s="10" t="n">
        <f aca="false">E2138*F2138</f>
        <v>12730.8</v>
      </c>
      <c r="H2138" s="10" t="n">
        <f aca="false">IF(OR(Nonlabor!$L$19="Quote required",Nonlabor!$L$19="Unverified"),G2138,0)</f>
        <v>12730.8</v>
      </c>
      <c r="I2138" s="10" t="n">
        <f aca="false">IF(Nonlabor!$E$19="Core",0,G2138)</f>
        <v>0</v>
      </c>
      <c r="J2138" s="23" t="str">
        <f aca="false">Nonlabor!$B$19</f>
        <v>INSURANCE</v>
      </c>
    </row>
    <row r="2139" customFormat="false" ht="15" hidden="false" customHeight="false" outlineLevel="0" collapsed="false">
      <c r="A2139" s="6" t="s">
        <v>4</v>
      </c>
      <c r="B2139" s="6" t="s">
        <v>49</v>
      </c>
      <c r="C2139" s="6" t="n">
        <v>34</v>
      </c>
      <c r="D2139" s="25" t="n">
        <f aca="false">EDATE('Start Here'!$B$6,C2139-1)</f>
        <v>47331</v>
      </c>
      <c r="E2139" s="23" t="n">
        <f aca="false">IF(AND(OR(Nonlabor!$D$19="Both",Nonlabor!$D$19='Start Here'!$B$9),IF(Nonlabor!$E$19="Core",1,IF(Nonlabor!$E$19="AI",'Start Here'!$B$7,'Start Here'!$B$8))=1,C2139&gt;=IF(Nonlabor!$E$19="Core",Nonlabor!$F$19,MAX(Nonlabor!$F$19,IF(Nonlabor!$E$19="AI",Assumptions!$D$24,Assumptions!$D$25))),C2139&lt;=Nonlabor!$G$19,OR(Nonlabor!$H$19="Monthly",AND(Nonlabor!$H$19="Once",C2139=IF(Nonlabor!$E$19="Core",Nonlabor!$F$19,MAX(Nonlabor!$F$19,IF(Nonlabor!$E$19="AI",Assumptions!$D$24,Assumptions!$D$25)))),AND(Nonlabor!$H$19="Annual",MOD(C2139-IF(Nonlabor!$E$19="Core",Nonlabor!$F$19,MAX(Nonlabor!$F$19,IF(Nonlabor!$E$19="AI",Assumptions!$D$24,Assumptions!$D$25))),12)=0))),IF(Nonlabor!$I$19="Fixed",1,IF(Nonlabor!$I$19="Seats",ROUNDUP('Monthly Base'!I39,0),IF(Nonlabor!$I$19="Customers",'Monthly Base'!D39,IF(Nonlabor!$I$19="NewCustomers",'Monthly Base'!C39,IF(Nonlabor!$I$19="StorageGB",'Monthly Base'!G39,IF(Nonlabor!$I$19="LogGB",'Monthly Base'!H39,IF(Nonlabor!$I$19="RequestsM",'Monthly Base'!F39,IF(Nonlabor!$I$19="InputM",'Monthly Base'!D39*Assumptions!$D$22/1000000,IF(Nonlabor!$I$19="OutputM",'Monthly Base'!D39*Assumptions!$D$23/1000000,0))))))))),0)</f>
        <v>0</v>
      </c>
      <c r="F2139" s="10" t="n">
        <f aca="false">Nonlabor!$J$19*(1+Assumptions!$D$9)^INT((C2139-1)/12)</f>
        <v>12730.8</v>
      </c>
      <c r="G2139" s="10" t="n">
        <f aca="false">E2139*F2139</f>
        <v>0</v>
      </c>
      <c r="H2139" s="10" t="n">
        <f aca="false">IF(OR(Nonlabor!$L$19="Quote required",Nonlabor!$L$19="Unverified"),G2139,0)</f>
        <v>0</v>
      </c>
      <c r="I2139" s="10" t="n">
        <f aca="false">IF(Nonlabor!$E$19="Core",0,G2139)</f>
        <v>0</v>
      </c>
      <c r="J2139" s="23" t="str">
        <f aca="false">Nonlabor!$B$19</f>
        <v>INSURANCE</v>
      </c>
    </row>
    <row r="2140" customFormat="false" ht="15" hidden="false" customHeight="false" outlineLevel="0" collapsed="false">
      <c r="A2140" s="6" t="s">
        <v>4</v>
      </c>
      <c r="B2140" s="6" t="s">
        <v>49</v>
      </c>
      <c r="C2140" s="6" t="n">
        <v>35</v>
      </c>
      <c r="D2140" s="25" t="n">
        <f aca="false">EDATE('Start Here'!$B$6,C2140-1)</f>
        <v>47362</v>
      </c>
      <c r="E2140" s="23" t="n">
        <f aca="false">IF(AND(OR(Nonlabor!$D$19="Both",Nonlabor!$D$19='Start Here'!$B$9),IF(Nonlabor!$E$19="Core",1,IF(Nonlabor!$E$19="AI",'Start Here'!$B$7,'Start Here'!$B$8))=1,C2140&gt;=IF(Nonlabor!$E$19="Core",Nonlabor!$F$19,MAX(Nonlabor!$F$19,IF(Nonlabor!$E$19="AI",Assumptions!$D$24,Assumptions!$D$25))),C2140&lt;=Nonlabor!$G$19,OR(Nonlabor!$H$19="Monthly",AND(Nonlabor!$H$19="Once",C2140=IF(Nonlabor!$E$19="Core",Nonlabor!$F$19,MAX(Nonlabor!$F$19,IF(Nonlabor!$E$19="AI",Assumptions!$D$24,Assumptions!$D$25)))),AND(Nonlabor!$H$19="Annual",MOD(C2140-IF(Nonlabor!$E$19="Core",Nonlabor!$F$19,MAX(Nonlabor!$F$19,IF(Nonlabor!$E$19="AI",Assumptions!$D$24,Assumptions!$D$25))),12)=0))),IF(Nonlabor!$I$19="Fixed",1,IF(Nonlabor!$I$19="Seats",ROUNDUP('Monthly Base'!I40,0),IF(Nonlabor!$I$19="Customers",'Monthly Base'!D40,IF(Nonlabor!$I$19="NewCustomers",'Monthly Base'!C40,IF(Nonlabor!$I$19="StorageGB",'Monthly Base'!G40,IF(Nonlabor!$I$19="LogGB",'Monthly Base'!H40,IF(Nonlabor!$I$19="RequestsM",'Monthly Base'!F40,IF(Nonlabor!$I$19="InputM",'Monthly Base'!D40*Assumptions!$D$22/1000000,IF(Nonlabor!$I$19="OutputM",'Monthly Base'!D40*Assumptions!$D$23/1000000,0))))))))),0)</f>
        <v>0</v>
      </c>
      <c r="F2140" s="10" t="n">
        <f aca="false">Nonlabor!$J$19*(1+Assumptions!$D$9)^INT((C2140-1)/12)</f>
        <v>12730.8</v>
      </c>
      <c r="G2140" s="10" t="n">
        <f aca="false">E2140*F2140</f>
        <v>0</v>
      </c>
      <c r="H2140" s="10" t="n">
        <f aca="false">IF(OR(Nonlabor!$L$19="Quote required",Nonlabor!$L$19="Unverified"),G2140,0)</f>
        <v>0</v>
      </c>
      <c r="I2140" s="10" t="n">
        <f aca="false">IF(Nonlabor!$E$19="Core",0,G2140)</f>
        <v>0</v>
      </c>
      <c r="J2140" s="23" t="str">
        <f aca="false">Nonlabor!$B$19</f>
        <v>INSURANCE</v>
      </c>
    </row>
    <row r="2141" customFormat="false" ht="15" hidden="false" customHeight="false" outlineLevel="0" collapsed="false">
      <c r="A2141" s="6" t="s">
        <v>4</v>
      </c>
      <c r="B2141" s="6" t="s">
        <v>49</v>
      </c>
      <c r="C2141" s="6" t="n">
        <v>36</v>
      </c>
      <c r="D2141" s="25" t="n">
        <f aca="false">EDATE('Start Here'!$B$6,C2141-1)</f>
        <v>47392</v>
      </c>
      <c r="E2141" s="23" t="n">
        <f aca="false">IF(AND(OR(Nonlabor!$D$19="Both",Nonlabor!$D$19='Start Here'!$B$9),IF(Nonlabor!$E$19="Core",1,IF(Nonlabor!$E$19="AI",'Start Here'!$B$7,'Start Here'!$B$8))=1,C2141&gt;=IF(Nonlabor!$E$19="Core",Nonlabor!$F$19,MAX(Nonlabor!$F$19,IF(Nonlabor!$E$19="AI",Assumptions!$D$24,Assumptions!$D$25))),C2141&lt;=Nonlabor!$G$19,OR(Nonlabor!$H$19="Monthly",AND(Nonlabor!$H$19="Once",C2141=IF(Nonlabor!$E$19="Core",Nonlabor!$F$19,MAX(Nonlabor!$F$19,IF(Nonlabor!$E$19="AI",Assumptions!$D$24,Assumptions!$D$25)))),AND(Nonlabor!$H$19="Annual",MOD(C2141-IF(Nonlabor!$E$19="Core",Nonlabor!$F$19,MAX(Nonlabor!$F$19,IF(Nonlabor!$E$19="AI",Assumptions!$D$24,Assumptions!$D$25))),12)=0))),IF(Nonlabor!$I$19="Fixed",1,IF(Nonlabor!$I$19="Seats",ROUNDUP('Monthly Base'!I41,0),IF(Nonlabor!$I$19="Customers",'Monthly Base'!D41,IF(Nonlabor!$I$19="NewCustomers",'Monthly Base'!C41,IF(Nonlabor!$I$19="StorageGB",'Monthly Base'!G41,IF(Nonlabor!$I$19="LogGB",'Monthly Base'!H41,IF(Nonlabor!$I$19="RequestsM",'Monthly Base'!F41,IF(Nonlabor!$I$19="InputM",'Monthly Base'!D41*Assumptions!$D$22/1000000,IF(Nonlabor!$I$19="OutputM",'Monthly Base'!D41*Assumptions!$D$23/1000000,0))))))))),0)</f>
        <v>0</v>
      </c>
      <c r="F2141" s="10" t="n">
        <f aca="false">Nonlabor!$J$19*(1+Assumptions!$D$9)^INT((C2141-1)/12)</f>
        <v>12730.8</v>
      </c>
      <c r="G2141" s="10" t="n">
        <f aca="false">E2141*F2141</f>
        <v>0</v>
      </c>
      <c r="H2141" s="10" t="n">
        <f aca="false">IF(OR(Nonlabor!$L$19="Quote required",Nonlabor!$L$19="Unverified"),G2141,0)</f>
        <v>0</v>
      </c>
      <c r="I2141" s="10" t="n">
        <f aca="false">IF(Nonlabor!$E$19="Core",0,G2141)</f>
        <v>0</v>
      </c>
      <c r="J2141" s="23" t="str">
        <f aca="false">Nonlabor!$B$19</f>
        <v>INSURANCE</v>
      </c>
    </row>
    <row r="2142" customFormat="false" ht="15" hidden="false" customHeight="false" outlineLevel="0" collapsed="false">
      <c r="A2142" s="6" t="s">
        <v>4</v>
      </c>
      <c r="B2142" s="6" t="s">
        <v>49</v>
      </c>
      <c r="C2142" s="6" t="n">
        <v>37</v>
      </c>
      <c r="D2142" s="25" t="n">
        <f aca="false">EDATE('Start Here'!$B$6,C2142-1)</f>
        <v>47423</v>
      </c>
      <c r="E2142" s="23" t="n">
        <f aca="false">IF(AND(OR(Nonlabor!$D$19="Both",Nonlabor!$D$19='Start Here'!$B$9),IF(Nonlabor!$E$19="Core",1,IF(Nonlabor!$E$19="AI",'Start Here'!$B$7,'Start Here'!$B$8))=1,C2142&gt;=IF(Nonlabor!$E$19="Core",Nonlabor!$F$19,MAX(Nonlabor!$F$19,IF(Nonlabor!$E$19="AI",Assumptions!$D$24,Assumptions!$D$25))),C2142&lt;=Nonlabor!$G$19,OR(Nonlabor!$H$19="Monthly",AND(Nonlabor!$H$19="Once",C2142=IF(Nonlabor!$E$19="Core",Nonlabor!$F$19,MAX(Nonlabor!$F$19,IF(Nonlabor!$E$19="AI",Assumptions!$D$24,Assumptions!$D$25)))),AND(Nonlabor!$H$19="Annual",MOD(C2142-IF(Nonlabor!$E$19="Core",Nonlabor!$F$19,MAX(Nonlabor!$F$19,IF(Nonlabor!$E$19="AI",Assumptions!$D$24,Assumptions!$D$25))),12)=0))),IF(Nonlabor!$I$19="Fixed",1,IF(Nonlabor!$I$19="Seats",ROUNDUP('Monthly Base'!I42,0),IF(Nonlabor!$I$19="Customers",'Monthly Base'!D42,IF(Nonlabor!$I$19="NewCustomers",'Monthly Base'!C42,IF(Nonlabor!$I$19="StorageGB",'Monthly Base'!G42,IF(Nonlabor!$I$19="LogGB",'Monthly Base'!H42,IF(Nonlabor!$I$19="RequestsM",'Monthly Base'!F42,IF(Nonlabor!$I$19="InputM",'Monthly Base'!D42*Assumptions!$D$22/1000000,IF(Nonlabor!$I$19="OutputM",'Monthly Base'!D42*Assumptions!$D$23/1000000,0))))))))),0)</f>
        <v>0</v>
      </c>
      <c r="F2142" s="10" t="n">
        <f aca="false">Nonlabor!$J$19*(1+Assumptions!$D$9)^INT((C2142-1)/12)</f>
        <v>13112.724</v>
      </c>
      <c r="G2142" s="10" t="n">
        <f aca="false">E2142*F2142</f>
        <v>0</v>
      </c>
      <c r="H2142" s="10" t="n">
        <f aca="false">IF(OR(Nonlabor!$L$19="Quote required",Nonlabor!$L$19="Unverified"),G2142,0)</f>
        <v>0</v>
      </c>
      <c r="I2142" s="10" t="n">
        <f aca="false">IF(Nonlabor!$E$19="Core",0,G2142)</f>
        <v>0</v>
      </c>
      <c r="J2142" s="23" t="str">
        <f aca="false">Nonlabor!$B$19</f>
        <v>INSURANCE</v>
      </c>
    </row>
    <row r="2143" customFormat="false" ht="15" hidden="false" customHeight="false" outlineLevel="0" collapsed="false">
      <c r="A2143" s="6" t="s">
        <v>4</v>
      </c>
      <c r="B2143" s="6" t="s">
        <v>49</v>
      </c>
      <c r="C2143" s="6" t="n">
        <v>38</v>
      </c>
      <c r="D2143" s="25" t="n">
        <f aca="false">EDATE('Start Here'!$B$6,C2143-1)</f>
        <v>47453</v>
      </c>
      <c r="E2143" s="23" t="n">
        <f aca="false">IF(AND(OR(Nonlabor!$D$19="Both",Nonlabor!$D$19='Start Here'!$B$9),IF(Nonlabor!$E$19="Core",1,IF(Nonlabor!$E$19="AI",'Start Here'!$B$7,'Start Here'!$B$8))=1,C2143&gt;=IF(Nonlabor!$E$19="Core",Nonlabor!$F$19,MAX(Nonlabor!$F$19,IF(Nonlabor!$E$19="AI",Assumptions!$D$24,Assumptions!$D$25))),C2143&lt;=Nonlabor!$G$19,OR(Nonlabor!$H$19="Monthly",AND(Nonlabor!$H$19="Once",C2143=IF(Nonlabor!$E$19="Core",Nonlabor!$F$19,MAX(Nonlabor!$F$19,IF(Nonlabor!$E$19="AI",Assumptions!$D$24,Assumptions!$D$25)))),AND(Nonlabor!$H$19="Annual",MOD(C2143-IF(Nonlabor!$E$19="Core",Nonlabor!$F$19,MAX(Nonlabor!$F$19,IF(Nonlabor!$E$19="AI",Assumptions!$D$24,Assumptions!$D$25))),12)=0))),IF(Nonlabor!$I$19="Fixed",1,IF(Nonlabor!$I$19="Seats",ROUNDUP('Monthly Base'!I43,0),IF(Nonlabor!$I$19="Customers",'Monthly Base'!D43,IF(Nonlabor!$I$19="NewCustomers",'Monthly Base'!C43,IF(Nonlabor!$I$19="StorageGB",'Monthly Base'!G43,IF(Nonlabor!$I$19="LogGB",'Monthly Base'!H43,IF(Nonlabor!$I$19="RequestsM",'Monthly Base'!F43,IF(Nonlabor!$I$19="InputM",'Monthly Base'!D43*Assumptions!$D$22/1000000,IF(Nonlabor!$I$19="OutputM",'Monthly Base'!D43*Assumptions!$D$23/1000000,0))))))))),0)</f>
        <v>0</v>
      </c>
      <c r="F2143" s="10" t="n">
        <f aca="false">Nonlabor!$J$19*(1+Assumptions!$D$9)^INT((C2143-1)/12)</f>
        <v>13112.724</v>
      </c>
      <c r="G2143" s="10" t="n">
        <f aca="false">E2143*F2143</f>
        <v>0</v>
      </c>
      <c r="H2143" s="10" t="n">
        <f aca="false">IF(OR(Nonlabor!$L$19="Quote required",Nonlabor!$L$19="Unverified"),G2143,0)</f>
        <v>0</v>
      </c>
      <c r="I2143" s="10" t="n">
        <f aca="false">IF(Nonlabor!$E$19="Core",0,G2143)</f>
        <v>0</v>
      </c>
      <c r="J2143" s="23" t="str">
        <f aca="false">Nonlabor!$B$19</f>
        <v>INSURANCE</v>
      </c>
    </row>
    <row r="2144" customFormat="false" ht="15" hidden="false" customHeight="false" outlineLevel="0" collapsed="false">
      <c r="A2144" s="6" t="s">
        <v>4</v>
      </c>
      <c r="B2144" s="6" t="s">
        <v>49</v>
      </c>
      <c r="C2144" s="6" t="n">
        <v>39</v>
      </c>
      <c r="D2144" s="25" t="n">
        <f aca="false">EDATE('Start Here'!$B$6,C2144-1)</f>
        <v>47484</v>
      </c>
      <c r="E2144" s="23" t="n">
        <f aca="false">IF(AND(OR(Nonlabor!$D$19="Both",Nonlabor!$D$19='Start Here'!$B$9),IF(Nonlabor!$E$19="Core",1,IF(Nonlabor!$E$19="AI",'Start Here'!$B$7,'Start Here'!$B$8))=1,C2144&gt;=IF(Nonlabor!$E$19="Core",Nonlabor!$F$19,MAX(Nonlabor!$F$19,IF(Nonlabor!$E$19="AI",Assumptions!$D$24,Assumptions!$D$25))),C2144&lt;=Nonlabor!$G$19,OR(Nonlabor!$H$19="Monthly",AND(Nonlabor!$H$19="Once",C2144=IF(Nonlabor!$E$19="Core",Nonlabor!$F$19,MAX(Nonlabor!$F$19,IF(Nonlabor!$E$19="AI",Assumptions!$D$24,Assumptions!$D$25)))),AND(Nonlabor!$H$19="Annual",MOD(C2144-IF(Nonlabor!$E$19="Core",Nonlabor!$F$19,MAX(Nonlabor!$F$19,IF(Nonlabor!$E$19="AI",Assumptions!$D$24,Assumptions!$D$25))),12)=0))),IF(Nonlabor!$I$19="Fixed",1,IF(Nonlabor!$I$19="Seats",ROUNDUP('Monthly Base'!I44,0),IF(Nonlabor!$I$19="Customers",'Monthly Base'!D44,IF(Nonlabor!$I$19="NewCustomers",'Monthly Base'!C44,IF(Nonlabor!$I$19="StorageGB",'Monthly Base'!G44,IF(Nonlabor!$I$19="LogGB",'Monthly Base'!H44,IF(Nonlabor!$I$19="RequestsM",'Monthly Base'!F44,IF(Nonlabor!$I$19="InputM",'Monthly Base'!D44*Assumptions!$D$22/1000000,IF(Nonlabor!$I$19="OutputM",'Monthly Base'!D44*Assumptions!$D$23/1000000,0))))))))),0)</f>
        <v>0</v>
      </c>
      <c r="F2144" s="10" t="n">
        <f aca="false">Nonlabor!$J$19*(1+Assumptions!$D$9)^INT((C2144-1)/12)</f>
        <v>13112.724</v>
      </c>
      <c r="G2144" s="10" t="n">
        <f aca="false">E2144*F2144</f>
        <v>0</v>
      </c>
      <c r="H2144" s="10" t="n">
        <f aca="false">IF(OR(Nonlabor!$L$19="Quote required",Nonlabor!$L$19="Unverified"),G2144,0)</f>
        <v>0</v>
      </c>
      <c r="I2144" s="10" t="n">
        <f aca="false">IF(Nonlabor!$E$19="Core",0,G2144)</f>
        <v>0</v>
      </c>
      <c r="J2144" s="23" t="str">
        <f aca="false">Nonlabor!$B$19</f>
        <v>INSURANCE</v>
      </c>
    </row>
    <row r="2145" customFormat="false" ht="15" hidden="false" customHeight="false" outlineLevel="0" collapsed="false">
      <c r="A2145" s="6" t="s">
        <v>4</v>
      </c>
      <c r="B2145" s="6" t="s">
        <v>49</v>
      </c>
      <c r="C2145" s="6" t="n">
        <v>40</v>
      </c>
      <c r="D2145" s="25" t="n">
        <f aca="false">EDATE('Start Here'!$B$6,C2145-1)</f>
        <v>47515</v>
      </c>
      <c r="E2145" s="23" t="n">
        <f aca="false">IF(AND(OR(Nonlabor!$D$19="Both",Nonlabor!$D$19='Start Here'!$B$9),IF(Nonlabor!$E$19="Core",1,IF(Nonlabor!$E$19="AI",'Start Here'!$B$7,'Start Here'!$B$8))=1,C2145&gt;=IF(Nonlabor!$E$19="Core",Nonlabor!$F$19,MAX(Nonlabor!$F$19,IF(Nonlabor!$E$19="AI",Assumptions!$D$24,Assumptions!$D$25))),C2145&lt;=Nonlabor!$G$19,OR(Nonlabor!$H$19="Monthly",AND(Nonlabor!$H$19="Once",C2145=IF(Nonlabor!$E$19="Core",Nonlabor!$F$19,MAX(Nonlabor!$F$19,IF(Nonlabor!$E$19="AI",Assumptions!$D$24,Assumptions!$D$25)))),AND(Nonlabor!$H$19="Annual",MOD(C2145-IF(Nonlabor!$E$19="Core",Nonlabor!$F$19,MAX(Nonlabor!$F$19,IF(Nonlabor!$E$19="AI",Assumptions!$D$24,Assumptions!$D$25))),12)=0))),IF(Nonlabor!$I$19="Fixed",1,IF(Nonlabor!$I$19="Seats",ROUNDUP('Monthly Base'!I45,0),IF(Nonlabor!$I$19="Customers",'Monthly Base'!D45,IF(Nonlabor!$I$19="NewCustomers",'Monthly Base'!C45,IF(Nonlabor!$I$19="StorageGB",'Monthly Base'!G45,IF(Nonlabor!$I$19="LogGB",'Monthly Base'!H45,IF(Nonlabor!$I$19="RequestsM",'Monthly Base'!F45,IF(Nonlabor!$I$19="InputM",'Monthly Base'!D45*Assumptions!$D$22/1000000,IF(Nonlabor!$I$19="OutputM",'Monthly Base'!D45*Assumptions!$D$23/1000000,0))))))))),0)</f>
        <v>0</v>
      </c>
      <c r="F2145" s="10" t="n">
        <f aca="false">Nonlabor!$J$19*(1+Assumptions!$D$9)^INT((C2145-1)/12)</f>
        <v>13112.724</v>
      </c>
      <c r="G2145" s="10" t="n">
        <f aca="false">E2145*F2145</f>
        <v>0</v>
      </c>
      <c r="H2145" s="10" t="n">
        <f aca="false">IF(OR(Nonlabor!$L$19="Quote required",Nonlabor!$L$19="Unverified"),G2145,0)</f>
        <v>0</v>
      </c>
      <c r="I2145" s="10" t="n">
        <f aca="false">IF(Nonlabor!$E$19="Core",0,G2145)</f>
        <v>0</v>
      </c>
      <c r="J2145" s="23" t="str">
        <f aca="false">Nonlabor!$B$19</f>
        <v>INSURANCE</v>
      </c>
    </row>
    <row r="2146" customFormat="false" ht="15" hidden="false" customHeight="false" outlineLevel="0" collapsed="false">
      <c r="A2146" s="6" t="s">
        <v>4</v>
      </c>
      <c r="B2146" s="6" t="s">
        <v>49</v>
      </c>
      <c r="C2146" s="6" t="n">
        <v>41</v>
      </c>
      <c r="D2146" s="25" t="n">
        <f aca="false">EDATE('Start Here'!$B$6,C2146-1)</f>
        <v>47543</v>
      </c>
      <c r="E2146" s="23" t="n">
        <f aca="false">IF(AND(OR(Nonlabor!$D$19="Both",Nonlabor!$D$19='Start Here'!$B$9),IF(Nonlabor!$E$19="Core",1,IF(Nonlabor!$E$19="AI",'Start Here'!$B$7,'Start Here'!$B$8))=1,C2146&gt;=IF(Nonlabor!$E$19="Core",Nonlabor!$F$19,MAX(Nonlabor!$F$19,IF(Nonlabor!$E$19="AI",Assumptions!$D$24,Assumptions!$D$25))),C2146&lt;=Nonlabor!$G$19,OR(Nonlabor!$H$19="Monthly",AND(Nonlabor!$H$19="Once",C2146=IF(Nonlabor!$E$19="Core",Nonlabor!$F$19,MAX(Nonlabor!$F$19,IF(Nonlabor!$E$19="AI",Assumptions!$D$24,Assumptions!$D$25)))),AND(Nonlabor!$H$19="Annual",MOD(C2146-IF(Nonlabor!$E$19="Core",Nonlabor!$F$19,MAX(Nonlabor!$F$19,IF(Nonlabor!$E$19="AI",Assumptions!$D$24,Assumptions!$D$25))),12)=0))),IF(Nonlabor!$I$19="Fixed",1,IF(Nonlabor!$I$19="Seats",ROUNDUP('Monthly Base'!I46,0),IF(Nonlabor!$I$19="Customers",'Monthly Base'!D46,IF(Nonlabor!$I$19="NewCustomers",'Monthly Base'!C46,IF(Nonlabor!$I$19="StorageGB",'Monthly Base'!G46,IF(Nonlabor!$I$19="LogGB",'Monthly Base'!H46,IF(Nonlabor!$I$19="RequestsM",'Monthly Base'!F46,IF(Nonlabor!$I$19="InputM",'Monthly Base'!D46*Assumptions!$D$22/1000000,IF(Nonlabor!$I$19="OutputM",'Monthly Base'!D46*Assumptions!$D$23/1000000,0))))))))),0)</f>
        <v>0</v>
      </c>
      <c r="F2146" s="10" t="n">
        <f aca="false">Nonlabor!$J$19*(1+Assumptions!$D$9)^INT((C2146-1)/12)</f>
        <v>13112.724</v>
      </c>
      <c r="G2146" s="10" t="n">
        <f aca="false">E2146*F2146</f>
        <v>0</v>
      </c>
      <c r="H2146" s="10" t="n">
        <f aca="false">IF(OR(Nonlabor!$L$19="Quote required",Nonlabor!$L$19="Unverified"),G2146,0)</f>
        <v>0</v>
      </c>
      <c r="I2146" s="10" t="n">
        <f aca="false">IF(Nonlabor!$E$19="Core",0,G2146)</f>
        <v>0</v>
      </c>
      <c r="J2146" s="23" t="str">
        <f aca="false">Nonlabor!$B$19</f>
        <v>INSURANCE</v>
      </c>
    </row>
    <row r="2147" customFormat="false" ht="15" hidden="false" customHeight="false" outlineLevel="0" collapsed="false">
      <c r="A2147" s="6" t="s">
        <v>4</v>
      </c>
      <c r="B2147" s="6" t="s">
        <v>49</v>
      </c>
      <c r="C2147" s="6" t="n">
        <v>42</v>
      </c>
      <c r="D2147" s="25" t="n">
        <f aca="false">EDATE('Start Here'!$B$6,C2147-1)</f>
        <v>47574</v>
      </c>
      <c r="E2147" s="23" t="n">
        <f aca="false">IF(AND(OR(Nonlabor!$D$19="Both",Nonlabor!$D$19='Start Here'!$B$9),IF(Nonlabor!$E$19="Core",1,IF(Nonlabor!$E$19="AI",'Start Here'!$B$7,'Start Here'!$B$8))=1,C2147&gt;=IF(Nonlabor!$E$19="Core",Nonlabor!$F$19,MAX(Nonlabor!$F$19,IF(Nonlabor!$E$19="AI",Assumptions!$D$24,Assumptions!$D$25))),C2147&lt;=Nonlabor!$G$19,OR(Nonlabor!$H$19="Monthly",AND(Nonlabor!$H$19="Once",C2147=IF(Nonlabor!$E$19="Core",Nonlabor!$F$19,MAX(Nonlabor!$F$19,IF(Nonlabor!$E$19="AI",Assumptions!$D$24,Assumptions!$D$25)))),AND(Nonlabor!$H$19="Annual",MOD(C2147-IF(Nonlabor!$E$19="Core",Nonlabor!$F$19,MAX(Nonlabor!$F$19,IF(Nonlabor!$E$19="AI",Assumptions!$D$24,Assumptions!$D$25))),12)=0))),IF(Nonlabor!$I$19="Fixed",1,IF(Nonlabor!$I$19="Seats",ROUNDUP('Monthly Base'!I47,0),IF(Nonlabor!$I$19="Customers",'Monthly Base'!D47,IF(Nonlabor!$I$19="NewCustomers",'Monthly Base'!C47,IF(Nonlabor!$I$19="StorageGB",'Monthly Base'!G47,IF(Nonlabor!$I$19="LogGB",'Monthly Base'!H47,IF(Nonlabor!$I$19="RequestsM",'Monthly Base'!F47,IF(Nonlabor!$I$19="InputM",'Monthly Base'!D47*Assumptions!$D$22/1000000,IF(Nonlabor!$I$19="OutputM",'Monthly Base'!D47*Assumptions!$D$23/1000000,0))))))))),0)</f>
        <v>0</v>
      </c>
      <c r="F2147" s="10" t="n">
        <f aca="false">Nonlabor!$J$19*(1+Assumptions!$D$9)^INT((C2147-1)/12)</f>
        <v>13112.724</v>
      </c>
      <c r="G2147" s="10" t="n">
        <f aca="false">E2147*F2147</f>
        <v>0</v>
      </c>
      <c r="H2147" s="10" t="n">
        <f aca="false">IF(OR(Nonlabor!$L$19="Quote required",Nonlabor!$L$19="Unverified"),G2147,0)</f>
        <v>0</v>
      </c>
      <c r="I2147" s="10" t="n">
        <f aca="false">IF(Nonlabor!$E$19="Core",0,G2147)</f>
        <v>0</v>
      </c>
      <c r="J2147" s="23" t="str">
        <f aca="false">Nonlabor!$B$19</f>
        <v>INSURANCE</v>
      </c>
    </row>
    <row r="2148" customFormat="false" ht="15" hidden="false" customHeight="false" outlineLevel="0" collapsed="false">
      <c r="A2148" s="6" t="s">
        <v>4</v>
      </c>
      <c r="B2148" s="6" t="s">
        <v>49</v>
      </c>
      <c r="C2148" s="6" t="n">
        <v>43</v>
      </c>
      <c r="D2148" s="25" t="n">
        <f aca="false">EDATE('Start Here'!$B$6,C2148-1)</f>
        <v>47604</v>
      </c>
      <c r="E2148" s="23" t="n">
        <f aca="false">IF(AND(OR(Nonlabor!$D$19="Both",Nonlabor!$D$19='Start Here'!$B$9),IF(Nonlabor!$E$19="Core",1,IF(Nonlabor!$E$19="AI",'Start Here'!$B$7,'Start Here'!$B$8))=1,C2148&gt;=IF(Nonlabor!$E$19="Core",Nonlabor!$F$19,MAX(Nonlabor!$F$19,IF(Nonlabor!$E$19="AI",Assumptions!$D$24,Assumptions!$D$25))),C2148&lt;=Nonlabor!$G$19,OR(Nonlabor!$H$19="Monthly",AND(Nonlabor!$H$19="Once",C2148=IF(Nonlabor!$E$19="Core",Nonlabor!$F$19,MAX(Nonlabor!$F$19,IF(Nonlabor!$E$19="AI",Assumptions!$D$24,Assumptions!$D$25)))),AND(Nonlabor!$H$19="Annual",MOD(C2148-IF(Nonlabor!$E$19="Core",Nonlabor!$F$19,MAX(Nonlabor!$F$19,IF(Nonlabor!$E$19="AI",Assumptions!$D$24,Assumptions!$D$25))),12)=0))),IF(Nonlabor!$I$19="Fixed",1,IF(Nonlabor!$I$19="Seats",ROUNDUP('Monthly Base'!I48,0),IF(Nonlabor!$I$19="Customers",'Monthly Base'!D48,IF(Nonlabor!$I$19="NewCustomers",'Monthly Base'!C48,IF(Nonlabor!$I$19="StorageGB",'Monthly Base'!G48,IF(Nonlabor!$I$19="LogGB",'Monthly Base'!H48,IF(Nonlabor!$I$19="RequestsM",'Monthly Base'!F48,IF(Nonlabor!$I$19="InputM",'Monthly Base'!D48*Assumptions!$D$22/1000000,IF(Nonlabor!$I$19="OutputM",'Monthly Base'!D48*Assumptions!$D$23/1000000,0))))))))),0)</f>
        <v>0</v>
      </c>
      <c r="F2148" s="10" t="n">
        <f aca="false">Nonlabor!$J$19*(1+Assumptions!$D$9)^INT((C2148-1)/12)</f>
        <v>13112.724</v>
      </c>
      <c r="G2148" s="10" t="n">
        <f aca="false">E2148*F2148</f>
        <v>0</v>
      </c>
      <c r="H2148" s="10" t="n">
        <f aca="false">IF(OR(Nonlabor!$L$19="Quote required",Nonlabor!$L$19="Unverified"),G2148,0)</f>
        <v>0</v>
      </c>
      <c r="I2148" s="10" t="n">
        <f aca="false">IF(Nonlabor!$E$19="Core",0,G2148)</f>
        <v>0</v>
      </c>
      <c r="J2148" s="23" t="str">
        <f aca="false">Nonlabor!$B$19</f>
        <v>INSURANCE</v>
      </c>
    </row>
    <row r="2149" customFormat="false" ht="15" hidden="false" customHeight="false" outlineLevel="0" collapsed="false">
      <c r="A2149" s="6" t="s">
        <v>4</v>
      </c>
      <c r="B2149" s="6" t="s">
        <v>49</v>
      </c>
      <c r="C2149" s="6" t="n">
        <v>44</v>
      </c>
      <c r="D2149" s="25" t="n">
        <f aca="false">EDATE('Start Here'!$B$6,C2149-1)</f>
        <v>47635</v>
      </c>
      <c r="E2149" s="23" t="n">
        <f aca="false">IF(AND(OR(Nonlabor!$D$19="Both",Nonlabor!$D$19='Start Here'!$B$9),IF(Nonlabor!$E$19="Core",1,IF(Nonlabor!$E$19="AI",'Start Here'!$B$7,'Start Here'!$B$8))=1,C2149&gt;=IF(Nonlabor!$E$19="Core",Nonlabor!$F$19,MAX(Nonlabor!$F$19,IF(Nonlabor!$E$19="AI",Assumptions!$D$24,Assumptions!$D$25))),C2149&lt;=Nonlabor!$G$19,OR(Nonlabor!$H$19="Monthly",AND(Nonlabor!$H$19="Once",C2149=IF(Nonlabor!$E$19="Core",Nonlabor!$F$19,MAX(Nonlabor!$F$19,IF(Nonlabor!$E$19="AI",Assumptions!$D$24,Assumptions!$D$25)))),AND(Nonlabor!$H$19="Annual",MOD(C2149-IF(Nonlabor!$E$19="Core",Nonlabor!$F$19,MAX(Nonlabor!$F$19,IF(Nonlabor!$E$19="AI",Assumptions!$D$24,Assumptions!$D$25))),12)=0))),IF(Nonlabor!$I$19="Fixed",1,IF(Nonlabor!$I$19="Seats",ROUNDUP('Monthly Base'!I49,0),IF(Nonlabor!$I$19="Customers",'Monthly Base'!D49,IF(Nonlabor!$I$19="NewCustomers",'Monthly Base'!C49,IF(Nonlabor!$I$19="StorageGB",'Monthly Base'!G49,IF(Nonlabor!$I$19="LogGB",'Monthly Base'!H49,IF(Nonlabor!$I$19="RequestsM",'Monthly Base'!F49,IF(Nonlabor!$I$19="InputM",'Monthly Base'!D49*Assumptions!$D$22/1000000,IF(Nonlabor!$I$19="OutputM",'Monthly Base'!D49*Assumptions!$D$23/1000000,0))))))))),0)</f>
        <v>0</v>
      </c>
      <c r="F2149" s="10" t="n">
        <f aca="false">Nonlabor!$J$19*(1+Assumptions!$D$9)^INT((C2149-1)/12)</f>
        <v>13112.724</v>
      </c>
      <c r="G2149" s="10" t="n">
        <f aca="false">E2149*F2149</f>
        <v>0</v>
      </c>
      <c r="H2149" s="10" t="n">
        <f aca="false">IF(OR(Nonlabor!$L$19="Quote required",Nonlabor!$L$19="Unverified"),G2149,0)</f>
        <v>0</v>
      </c>
      <c r="I2149" s="10" t="n">
        <f aca="false">IF(Nonlabor!$E$19="Core",0,G2149)</f>
        <v>0</v>
      </c>
      <c r="J2149" s="23" t="str">
        <f aca="false">Nonlabor!$B$19</f>
        <v>INSURANCE</v>
      </c>
    </row>
    <row r="2150" customFormat="false" ht="15" hidden="false" customHeight="false" outlineLevel="0" collapsed="false">
      <c r="A2150" s="6" t="s">
        <v>4</v>
      </c>
      <c r="B2150" s="6" t="s">
        <v>49</v>
      </c>
      <c r="C2150" s="6" t="n">
        <v>45</v>
      </c>
      <c r="D2150" s="25" t="n">
        <f aca="false">EDATE('Start Here'!$B$6,C2150-1)</f>
        <v>47665</v>
      </c>
      <c r="E2150" s="23" t="n">
        <f aca="false">IF(AND(OR(Nonlabor!$D$19="Both",Nonlabor!$D$19='Start Here'!$B$9),IF(Nonlabor!$E$19="Core",1,IF(Nonlabor!$E$19="AI",'Start Here'!$B$7,'Start Here'!$B$8))=1,C2150&gt;=IF(Nonlabor!$E$19="Core",Nonlabor!$F$19,MAX(Nonlabor!$F$19,IF(Nonlabor!$E$19="AI",Assumptions!$D$24,Assumptions!$D$25))),C2150&lt;=Nonlabor!$G$19,OR(Nonlabor!$H$19="Monthly",AND(Nonlabor!$H$19="Once",C2150=IF(Nonlabor!$E$19="Core",Nonlabor!$F$19,MAX(Nonlabor!$F$19,IF(Nonlabor!$E$19="AI",Assumptions!$D$24,Assumptions!$D$25)))),AND(Nonlabor!$H$19="Annual",MOD(C2150-IF(Nonlabor!$E$19="Core",Nonlabor!$F$19,MAX(Nonlabor!$F$19,IF(Nonlabor!$E$19="AI",Assumptions!$D$24,Assumptions!$D$25))),12)=0))),IF(Nonlabor!$I$19="Fixed",1,IF(Nonlabor!$I$19="Seats",ROUNDUP('Monthly Base'!I50,0),IF(Nonlabor!$I$19="Customers",'Monthly Base'!D50,IF(Nonlabor!$I$19="NewCustomers",'Monthly Base'!C50,IF(Nonlabor!$I$19="StorageGB",'Monthly Base'!G50,IF(Nonlabor!$I$19="LogGB",'Monthly Base'!H50,IF(Nonlabor!$I$19="RequestsM",'Monthly Base'!F50,IF(Nonlabor!$I$19="InputM",'Monthly Base'!D50*Assumptions!$D$22/1000000,IF(Nonlabor!$I$19="OutputM",'Monthly Base'!D50*Assumptions!$D$23/1000000,0))))))))),0)</f>
        <v>1</v>
      </c>
      <c r="F2150" s="10" t="n">
        <f aca="false">Nonlabor!$J$19*(1+Assumptions!$D$9)^INT((C2150-1)/12)</f>
        <v>13112.724</v>
      </c>
      <c r="G2150" s="10" t="n">
        <f aca="false">E2150*F2150</f>
        <v>13112.724</v>
      </c>
      <c r="H2150" s="10" t="n">
        <f aca="false">IF(OR(Nonlabor!$L$19="Quote required",Nonlabor!$L$19="Unverified"),G2150,0)</f>
        <v>13112.724</v>
      </c>
      <c r="I2150" s="10" t="n">
        <f aca="false">IF(Nonlabor!$E$19="Core",0,G2150)</f>
        <v>0</v>
      </c>
      <c r="J2150" s="23" t="str">
        <f aca="false">Nonlabor!$B$19</f>
        <v>INSURANCE</v>
      </c>
    </row>
    <row r="2151" customFormat="false" ht="15" hidden="false" customHeight="false" outlineLevel="0" collapsed="false">
      <c r="A2151" s="6" t="s">
        <v>4</v>
      </c>
      <c r="B2151" s="6" t="s">
        <v>49</v>
      </c>
      <c r="C2151" s="6" t="n">
        <v>46</v>
      </c>
      <c r="D2151" s="25" t="n">
        <f aca="false">EDATE('Start Here'!$B$6,C2151-1)</f>
        <v>47696</v>
      </c>
      <c r="E2151" s="23" t="n">
        <f aca="false">IF(AND(OR(Nonlabor!$D$19="Both",Nonlabor!$D$19='Start Here'!$B$9),IF(Nonlabor!$E$19="Core",1,IF(Nonlabor!$E$19="AI",'Start Here'!$B$7,'Start Here'!$B$8))=1,C2151&gt;=IF(Nonlabor!$E$19="Core",Nonlabor!$F$19,MAX(Nonlabor!$F$19,IF(Nonlabor!$E$19="AI",Assumptions!$D$24,Assumptions!$D$25))),C2151&lt;=Nonlabor!$G$19,OR(Nonlabor!$H$19="Monthly",AND(Nonlabor!$H$19="Once",C2151=IF(Nonlabor!$E$19="Core",Nonlabor!$F$19,MAX(Nonlabor!$F$19,IF(Nonlabor!$E$19="AI",Assumptions!$D$24,Assumptions!$D$25)))),AND(Nonlabor!$H$19="Annual",MOD(C2151-IF(Nonlabor!$E$19="Core",Nonlabor!$F$19,MAX(Nonlabor!$F$19,IF(Nonlabor!$E$19="AI",Assumptions!$D$24,Assumptions!$D$25))),12)=0))),IF(Nonlabor!$I$19="Fixed",1,IF(Nonlabor!$I$19="Seats",ROUNDUP('Monthly Base'!I51,0),IF(Nonlabor!$I$19="Customers",'Monthly Base'!D51,IF(Nonlabor!$I$19="NewCustomers",'Monthly Base'!C51,IF(Nonlabor!$I$19="StorageGB",'Monthly Base'!G51,IF(Nonlabor!$I$19="LogGB",'Monthly Base'!H51,IF(Nonlabor!$I$19="RequestsM",'Monthly Base'!F51,IF(Nonlabor!$I$19="InputM",'Monthly Base'!D51*Assumptions!$D$22/1000000,IF(Nonlabor!$I$19="OutputM",'Monthly Base'!D51*Assumptions!$D$23/1000000,0))))))))),0)</f>
        <v>0</v>
      </c>
      <c r="F2151" s="10" t="n">
        <f aca="false">Nonlabor!$J$19*(1+Assumptions!$D$9)^INT((C2151-1)/12)</f>
        <v>13112.724</v>
      </c>
      <c r="G2151" s="10" t="n">
        <f aca="false">E2151*F2151</f>
        <v>0</v>
      </c>
      <c r="H2151" s="10" t="n">
        <f aca="false">IF(OR(Nonlabor!$L$19="Quote required",Nonlabor!$L$19="Unverified"),G2151,0)</f>
        <v>0</v>
      </c>
      <c r="I2151" s="10" t="n">
        <f aca="false">IF(Nonlabor!$E$19="Core",0,G2151)</f>
        <v>0</v>
      </c>
      <c r="J2151" s="23" t="str">
        <f aca="false">Nonlabor!$B$19</f>
        <v>INSURANCE</v>
      </c>
    </row>
    <row r="2152" customFormat="false" ht="15" hidden="false" customHeight="false" outlineLevel="0" collapsed="false">
      <c r="A2152" s="6" t="s">
        <v>4</v>
      </c>
      <c r="B2152" s="6" t="s">
        <v>49</v>
      </c>
      <c r="C2152" s="6" t="n">
        <v>47</v>
      </c>
      <c r="D2152" s="25" t="n">
        <f aca="false">EDATE('Start Here'!$B$6,C2152-1)</f>
        <v>47727</v>
      </c>
      <c r="E2152" s="23" t="n">
        <f aca="false">IF(AND(OR(Nonlabor!$D$19="Both",Nonlabor!$D$19='Start Here'!$B$9),IF(Nonlabor!$E$19="Core",1,IF(Nonlabor!$E$19="AI",'Start Here'!$B$7,'Start Here'!$B$8))=1,C2152&gt;=IF(Nonlabor!$E$19="Core",Nonlabor!$F$19,MAX(Nonlabor!$F$19,IF(Nonlabor!$E$19="AI",Assumptions!$D$24,Assumptions!$D$25))),C2152&lt;=Nonlabor!$G$19,OR(Nonlabor!$H$19="Monthly",AND(Nonlabor!$H$19="Once",C2152=IF(Nonlabor!$E$19="Core",Nonlabor!$F$19,MAX(Nonlabor!$F$19,IF(Nonlabor!$E$19="AI",Assumptions!$D$24,Assumptions!$D$25)))),AND(Nonlabor!$H$19="Annual",MOD(C2152-IF(Nonlabor!$E$19="Core",Nonlabor!$F$19,MAX(Nonlabor!$F$19,IF(Nonlabor!$E$19="AI",Assumptions!$D$24,Assumptions!$D$25))),12)=0))),IF(Nonlabor!$I$19="Fixed",1,IF(Nonlabor!$I$19="Seats",ROUNDUP('Monthly Base'!I52,0),IF(Nonlabor!$I$19="Customers",'Monthly Base'!D52,IF(Nonlabor!$I$19="NewCustomers",'Monthly Base'!C52,IF(Nonlabor!$I$19="StorageGB",'Monthly Base'!G52,IF(Nonlabor!$I$19="LogGB",'Monthly Base'!H52,IF(Nonlabor!$I$19="RequestsM",'Monthly Base'!F52,IF(Nonlabor!$I$19="InputM",'Monthly Base'!D52*Assumptions!$D$22/1000000,IF(Nonlabor!$I$19="OutputM",'Monthly Base'!D52*Assumptions!$D$23/1000000,0))))))))),0)</f>
        <v>0</v>
      </c>
      <c r="F2152" s="10" t="n">
        <f aca="false">Nonlabor!$J$19*(1+Assumptions!$D$9)^INT((C2152-1)/12)</f>
        <v>13112.724</v>
      </c>
      <c r="G2152" s="10" t="n">
        <f aca="false">E2152*F2152</f>
        <v>0</v>
      </c>
      <c r="H2152" s="10" t="n">
        <f aca="false">IF(OR(Nonlabor!$L$19="Quote required",Nonlabor!$L$19="Unverified"),G2152,0)</f>
        <v>0</v>
      </c>
      <c r="I2152" s="10" t="n">
        <f aca="false">IF(Nonlabor!$E$19="Core",0,G2152)</f>
        <v>0</v>
      </c>
      <c r="J2152" s="23" t="str">
        <f aca="false">Nonlabor!$B$19</f>
        <v>INSURANCE</v>
      </c>
    </row>
    <row r="2153" customFormat="false" ht="15" hidden="false" customHeight="false" outlineLevel="0" collapsed="false">
      <c r="A2153" s="6" t="s">
        <v>4</v>
      </c>
      <c r="B2153" s="6" t="s">
        <v>49</v>
      </c>
      <c r="C2153" s="6" t="n">
        <v>48</v>
      </c>
      <c r="D2153" s="25" t="n">
        <f aca="false">EDATE('Start Here'!$B$6,C2153-1)</f>
        <v>47757</v>
      </c>
      <c r="E2153" s="23" t="n">
        <f aca="false">IF(AND(OR(Nonlabor!$D$19="Both",Nonlabor!$D$19='Start Here'!$B$9),IF(Nonlabor!$E$19="Core",1,IF(Nonlabor!$E$19="AI",'Start Here'!$B$7,'Start Here'!$B$8))=1,C2153&gt;=IF(Nonlabor!$E$19="Core",Nonlabor!$F$19,MAX(Nonlabor!$F$19,IF(Nonlabor!$E$19="AI",Assumptions!$D$24,Assumptions!$D$25))),C2153&lt;=Nonlabor!$G$19,OR(Nonlabor!$H$19="Monthly",AND(Nonlabor!$H$19="Once",C2153=IF(Nonlabor!$E$19="Core",Nonlabor!$F$19,MAX(Nonlabor!$F$19,IF(Nonlabor!$E$19="AI",Assumptions!$D$24,Assumptions!$D$25)))),AND(Nonlabor!$H$19="Annual",MOD(C2153-IF(Nonlabor!$E$19="Core",Nonlabor!$F$19,MAX(Nonlabor!$F$19,IF(Nonlabor!$E$19="AI",Assumptions!$D$24,Assumptions!$D$25))),12)=0))),IF(Nonlabor!$I$19="Fixed",1,IF(Nonlabor!$I$19="Seats",ROUNDUP('Monthly Base'!I53,0),IF(Nonlabor!$I$19="Customers",'Monthly Base'!D53,IF(Nonlabor!$I$19="NewCustomers",'Monthly Base'!C53,IF(Nonlabor!$I$19="StorageGB",'Monthly Base'!G53,IF(Nonlabor!$I$19="LogGB",'Monthly Base'!H53,IF(Nonlabor!$I$19="RequestsM",'Monthly Base'!F53,IF(Nonlabor!$I$19="InputM",'Monthly Base'!D53*Assumptions!$D$22/1000000,IF(Nonlabor!$I$19="OutputM",'Monthly Base'!D53*Assumptions!$D$23/1000000,0))))))))),0)</f>
        <v>0</v>
      </c>
      <c r="F2153" s="10" t="n">
        <f aca="false">Nonlabor!$J$19*(1+Assumptions!$D$9)^INT((C2153-1)/12)</f>
        <v>13112.724</v>
      </c>
      <c r="G2153" s="10" t="n">
        <f aca="false">E2153*F2153</f>
        <v>0</v>
      </c>
      <c r="H2153" s="10" t="n">
        <f aca="false">IF(OR(Nonlabor!$L$19="Quote required",Nonlabor!$L$19="Unverified"),G2153,0)</f>
        <v>0</v>
      </c>
      <c r="I2153" s="10" t="n">
        <f aca="false">IF(Nonlabor!$E$19="Core",0,G2153)</f>
        <v>0</v>
      </c>
      <c r="J2153" s="23" t="str">
        <f aca="false">Nonlabor!$B$19</f>
        <v>INSURANCE</v>
      </c>
    </row>
    <row r="2154" customFormat="false" ht="15" hidden="false" customHeight="false" outlineLevel="0" collapsed="false">
      <c r="A2154" s="6" t="s">
        <v>4</v>
      </c>
      <c r="B2154" s="6" t="s">
        <v>49</v>
      </c>
      <c r="C2154" s="6" t="n">
        <v>49</v>
      </c>
      <c r="D2154" s="25" t="n">
        <f aca="false">EDATE('Start Here'!$B$6,C2154-1)</f>
        <v>47788</v>
      </c>
      <c r="E2154" s="23" t="n">
        <f aca="false">IF(AND(OR(Nonlabor!$D$19="Both",Nonlabor!$D$19='Start Here'!$B$9),IF(Nonlabor!$E$19="Core",1,IF(Nonlabor!$E$19="AI",'Start Here'!$B$7,'Start Here'!$B$8))=1,C2154&gt;=IF(Nonlabor!$E$19="Core",Nonlabor!$F$19,MAX(Nonlabor!$F$19,IF(Nonlabor!$E$19="AI",Assumptions!$D$24,Assumptions!$D$25))),C2154&lt;=Nonlabor!$G$19,OR(Nonlabor!$H$19="Monthly",AND(Nonlabor!$H$19="Once",C2154=IF(Nonlabor!$E$19="Core",Nonlabor!$F$19,MAX(Nonlabor!$F$19,IF(Nonlabor!$E$19="AI",Assumptions!$D$24,Assumptions!$D$25)))),AND(Nonlabor!$H$19="Annual",MOD(C2154-IF(Nonlabor!$E$19="Core",Nonlabor!$F$19,MAX(Nonlabor!$F$19,IF(Nonlabor!$E$19="AI",Assumptions!$D$24,Assumptions!$D$25))),12)=0))),IF(Nonlabor!$I$19="Fixed",1,IF(Nonlabor!$I$19="Seats",ROUNDUP('Monthly Base'!I54,0),IF(Nonlabor!$I$19="Customers",'Monthly Base'!D54,IF(Nonlabor!$I$19="NewCustomers",'Monthly Base'!C54,IF(Nonlabor!$I$19="StorageGB",'Monthly Base'!G54,IF(Nonlabor!$I$19="LogGB",'Monthly Base'!H54,IF(Nonlabor!$I$19="RequestsM",'Monthly Base'!F54,IF(Nonlabor!$I$19="InputM",'Monthly Base'!D54*Assumptions!$D$22/1000000,IF(Nonlabor!$I$19="OutputM",'Monthly Base'!D54*Assumptions!$D$23/1000000,0))))))))),0)</f>
        <v>0</v>
      </c>
      <c r="F2154" s="10" t="n">
        <f aca="false">Nonlabor!$J$19*(1+Assumptions!$D$9)^INT((C2154-1)/12)</f>
        <v>13506.10572</v>
      </c>
      <c r="G2154" s="10" t="n">
        <f aca="false">E2154*F2154</f>
        <v>0</v>
      </c>
      <c r="H2154" s="10" t="n">
        <f aca="false">IF(OR(Nonlabor!$L$19="Quote required",Nonlabor!$L$19="Unverified"),G2154,0)</f>
        <v>0</v>
      </c>
      <c r="I2154" s="10" t="n">
        <f aca="false">IF(Nonlabor!$E$19="Core",0,G2154)</f>
        <v>0</v>
      </c>
      <c r="J2154" s="23" t="str">
        <f aca="false">Nonlabor!$B$19</f>
        <v>INSURANCE</v>
      </c>
    </row>
    <row r="2155" customFormat="false" ht="15" hidden="false" customHeight="false" outlineLevel="0" collapsed="false">
      <c r="A2155" s="6" t="s">
        <v>4</v>
      </c>
      <c r="B2155" s="6" t="s">
        <v>49</v>
      </c>
      <c r="C2155" s="6" t="n">
        <v>50</v>
      </c>
      <c r="D2155" s="25" t="n">
        <f aca="false">EDATE('Start Here'!$B$6,C2155-1)</f>
        <v>47818</v>
      </c>
      <c r="E2155" s="23" t="n">
        <f aca="false">IF(AND(OR(Nonlabor!$D$19="Both",Nonlabor!$D$19='Start Here'!$B$9),IF(Nonlabor!$E$19="Core",1,IF(Nonlabor!$E$19="AI",'Start Here'!$B$7,'Start Here'!$B$8))=1,C2155&gt;=IF(Nonlabor!$E$19="Core",Nonlabor!$F$19,MAX(Nonlabor!$F$19,IF(Nonlabor!$E$19="AI",Assumptions!$D$24,Assumptions!$D$25))),C2155&lt;=Nonlabor!$G$19,OR(Nonlabor!$H$19="Monthly",AND(Nonlabor!$H$19="Once",C2155=IF(Nonlabor!$E$19="Core",Nonlabor!$F$19,MAX(Nonlabor!$F$19,IF(Nonlabor!$E$19="AI",Assumptions!$D$24,Assumptions!$D$25)))),AND(Nonlabor!$H$19="Annual",MOD(C2155-IF(Nonlabor!$E$19="Core",Nonlabor!$F$19,MAX(Nonlabor!$F$19,IF(Nonlabor!$E$19="AI",Assumptions!$D$24,Assumptions!$D$25))),12)=0))),IF(Nonlabor!$I$19="Fixed",1,IF(Nonlabor!$I$19="Seats",ROUNDUP('Monthly Base'!I55,0),IF(Nonlabor!$I$19="Customers",'Monthly Base'!D55,IF(Nonlabor!$I$19="NewCustomers",'Monthly Base'!C55,IF(Nonlabor!$I$19="StorageGB",'Monthly Base'!G55,IF(Nonlabor!$I$19="LogGB",'Monthly Base'!H55,IF(Nonlabor!$I$19="RequestsM",'Monthly Base'!F55,IF(Nonlabor!$I$19="InputM",'Monthly Base'!D55*Assumptions!$D$22/1000000,IF(Nonlabor!$I$19="OutputM",'Monthly Base'!D55*Assumptions!$D$23/1000000,0))))))))),0)</f>
        <v>0</v>
      </c>
      <c r="F2155" s="10" t="n">
        <f aca="false">Nonlabor!$J$19*(1+Assumptions!$D$9)^INT((C2155-1)/12)</f>
        <v>13506.10572</v>
      </c>
      <c r="G2155" s="10" t="n">
        <f aca="false">E2155*F2155</f>
        <v>0</v>
      </c>
      <c r="H2155" s="10" t="n">
        <f aca="false">IF(OR(Nonlabor!$L$19="Quote required",Nonlabor!$L$19="Unverified"),G2155,0)</f>
        <v>0</v>
      </c>
      <c r="I2155" s="10" t="n">
        <f aca="false">IF(Nonlabor!$E$19="Core",0,G2155)</f>
        <v>0</v>
      </c>
      <c r="J2155" s="23" t="str">
        <f aca="false">Nonlabor!$B$19</f>
        <v>INSURANCE</v>
      </c>
    </row>
    <row r="2156" customFormat="false" ht="15" hidden="false" customHeight="false" outlineLevel="0" collapsed="false">
      <c r="A2156" s="6" t="s">
        <v>4</v>
      </c>
      <c r="B2156" s="6" t="s">
        <v>49</v>
      </c>
      <c r="C2156" s="6" t="n">
        <v>51</v>
      </c>
      <c r="D2156" s="25" t="n">
        <f aca="false">EDATE('Start Here'!$B$6,C2156-1)</f>
        <v>47849</v>
      </c>
      <c r="E2156" s="23" t="n">
        <f aca="false">IF(AND(OR(Nonlabor!$D$19="Both",Nonlabor!$D$19='Start Here'!$B$9),IF(Nonlabor!$E$19="Core",1,IF(Nonlabor!$E$19="AI",'Start Here'!$B$7,'Start Here'!$B$8))=1,C2156&gt;=IF(Nonlabor!$E$19="Core",Nonlabor!$F$19,MAX(Nonlabor!$F$19,IF(Nonlabor!$E$19="AI",Assumptions!$D$24,Assumptions!$D$25))),C2156&lt;=Nonlabor!$G$19,OR(Nonlabor!$H$19="Monthly",AND(Nonlabor!$H$19="Once",C2156=IF(Nonlabor!$E$19="Core",Nonlabor!$F$19,MAX(Nonlabor!$F$19,IF(Nonlabor!$E$19="AI",Assumptions!$D$24,Assumptions!$D$25)))),AND(Nonlabor!$H$19="Annual",MOD(C2156-IF(Nonlabor!$E$19="Core",Nonlabor!$F$19,MAX(Nonlabor!$F$19,IF(Nonlabor!$E$19="AI",Assumptions!$D$24,Assumptions!$D$25))),12)=0))),IF(Nonlabor!$I$19="Fixed",1,IF(Nonlabor!$I$19="Seats",ROUNDUP('Monthly Base'!I56,0),IF(Nonlabor!$I$19="Customers",'Monthly Base'!D56,IF(Nonlabor!$I$19="NewCustomers",'Monthly Base'!C56,IF(Nonlabor!$I$19="StorageGB",'Monthly Base'!G56,IF(Nonlabor!$I$19="LogGB",'Monthly Base'!H56,IF(Nonlabor!$I$19="RequestsM",'Monthly Base'!F56,IF(Nonlabor!$I$19="InputM",'Monthly Base'!D56*Assumptions!$D$22/1000000,IF(Nonlabor!$I$19="OutputM",'Monthly Base'!D56*Assumptions!$D$23/1000000,0))))))))),0)</f>
        <v>0</v>
      </c>
      <c r="F2156" s="10" t="n">
        <f aca="false">Nonlabor!$J$19*(1+Assumptions!$D$9)^INT((C2156-1)/12)</f>
        <v>13506.10572</v>
      </c>
      <c r="G2156" s="10" t="n">
        <f aca="false">E2156*F2156</f>
        <v>0</v>
      </c>
      <c r="H2156" s="10" t="n">
        <f aca="false">IF(OR(Nonlabor!$L$19="Quote required",Nonlabor!$L$19="Unverified"),G2156,0)</f>
        <v>0</v>
      </c>
      <c r="I2156" s="10" t="n">
        <f aca="false">IF(Nonlabor!$E$19="Core",0,G2156)</f>
        <v>0</v>
      </c>
      <c r="J2156" s="23" t="str">
        <f aca="false">Nonlabor!$B$19</f>
        <v>INSURANCE</v>
      </c>
    </row>
    <row r="2157" customFormat="false" ht="15" hidden="false" customHeight="false" outlineLevel="0" collapsed="false">
      <c r="A2157" s="6" t="s">
        <v>4</v>
      </c>
      <c r="B2157" s="6" t="s">
        <v>49</v>
      </c>
      <c r="C2157" s="6" t="n">
        <v>52</v>
      </c>
      <c r="D2157" s="25" t="n">
        <f aca="false">EDATE('Start Here'!$B$6,C2157-1)</f>
        <v>47880</v>
      </c>
      <c r="E2157" s="23" t="n">
        <f aca="false">IF(AND(OR(Nonlabor!$D$19="Both",Nonlabor!$D$19='Start Here'!$B$9),IF(Nonlabor!$E$19="Core",1,IF(Nonlabor!$E$19="AI",'Start Here'!$B$7,'Start Here'!$B$8))=1,C2157&gt;=IF(Nonlabor!$E$19="Core",Nonlabor!$F$19,MAX(Nonlabor!$F$19,IF(Nonlabor!$E$19="AI",Assumptions!$D$24,Assumptions!$D$25))),C2157&lt;=Nonlabor!$G$19,OR(Nonlabor!$H$19="Monthly",AND(Nonlabor!$H$19="Once",C2157=IF(Nonlabor!$E$19="Core",Nonlabor!$F$19,MAX(Nonlabor!$F$19,IF(Nonlabor!$E$19="AI",Assumptions!$D$24,Assumptions!$D$25)))),AND(Nonlabor!$H$19="Annual",MOD(C2157-IF(Nonlabor!$E$19="Core",Nonlabor!$F$19,MAX(Nonlabor!$F$19,IF(Nonlabor!$E$19="AI",Assumptions!$D$24,Assumptions!$D$25))),12)=0))),IF(Nonlabor!$I$19="Fixed",1,IF(Nonlabor!$I$19="Seats",ROUNDUP('Monthly Base'!I57,0),IF(Nonlabor!$I$19="Customers",'Monthly Base'!D57,IF(Nonlabor!$I$19="NewCustomers",'Monthly Base'!C57,IF(Nonlabor!$I$19="StorageGB",'Monthly Base'!G57,IF(Nonlabor!$I$19="LogGB",'Monthly Base'!H57,IF(Nonlabor!$I$19="RequestsM",'Monthly Base'!F57,IF(Nonlabor!$I$19="InputM",'Monthly Base'!D57*Assumptions!$D$22/1000000,IF(Nonlabor!$I$19="OutputM",'Monthly Base'!D57*Assumptions!$D$23/1000000,0))))))))),0)</f>
        <v>0</v>
      </c>
      <c r="F2157" s="10" t="n">
        <f aca="false">Nonlabor!$J$19*(1+Assumptions!$D$9)^INT((C2157-1)/12)</f>
        <v>13506.10572</v>
      </c>
      <c r="G2157" s="10" t="n">
        <f aca="false">E2157*F2157</f>
        <v>0</v>
      </c>
      <c r="H2157" s="10" t="n">
        <f aca="false">IF(OR(Nonlabor!$L$19="Quote required",Nonlabor!$L$19="Unverified"),G2157,0)</f>
        <v>0</v>
      </c>
      <c r="I2157" s="10" t="n">
        <f aca="false">IF(Nonlabor!$E$19="Core",0,G2157)</f>
        <v>0</v>
      </c>
      <c r="J2157" s="23" t="str">
        <f aca="false">Nonlabor!$B$19</f>
        <v>INSURANCE</v>
      </c>
    </row>
    <row r="2158" customFormat="false" ht="15" hidden="false" customHeight="false" outlineLevel="0" collapsed="false">
      <c r="A2158" s="6" t="s">
        <v>4</v>
      </c>
      <c r="B2158" s="6" t="s">
        <v>49</v>
      </c>
      <c r="C2158" s="6" t="n">
        <v>53</v>
      </c>
      <c r="D2158" s="25" t="n">
        <f aca="false">EDATE('Start Here'!$B$6,C2158-1)</f>
        <v>47908</v>
      </c>
      <c r="E2158" s="23" t="n">
        <f aca="false">IF(AND(OR(Nonlabor!$D$19="Both",Nonlabor!$D$19='Start Here'!$B$9),IF(Nonlabor!$E$19="Core",1,IF(Nonlabor!$E$19="AI",'Start Here'!$B$7,'Start Here'!$B$8))=1,C2158&gt;=IF(Nonlabor!$E$19="Core",Nonlabor!$F$19,MAX(Nonlabor!$F$19,IF(Nonlabor!$E$19="AI",Assumptions!$D$24,Assumptions!$D$25))),C2158&lt;=Nonlabor!$G$19,OR(Nonlabor!$H$19="Monthly",AND(Nonlabor!$H$19="Once",C2158=IF(Nonlabor!$E$19="Core",Nonlabor!$F$19,MAX(Nonlabor!$F$19,IF(Nonlabor!$E$19="AI",Assumptions!$D$24,Assumptions!$D$25)))),AND(Nonlabor!$H$19="Annual",MOD(C2158-IF(Nonlabor!$E$19="Core",Nonlabor!$F$19,MAX(Nonlabor!$F$19,IF(Nonlabor!$E$19="AI",Assumptions!$D$24,Assumptions!$D$25))),12)=0))),IF(Nonlabor!$I$19="Fixed",1,IF(Nonlabor!$I$19="Seats",ROUNDUP('Monthly Base'!I58,0),IF(Nonlabor!$I$19="Customers",'Monthly Base'!D58,IF(Nonlabor!$I$19="NewCustomers",'Monthly Base'!C58,IF(Nonlabor!$I$19="StorageGB",'Monthly Base'!G58,IF(Nonlabor!$I$19="LogGB",'Monthly Base'!H58,IF(Nonlabor!$I$19="RequestsM",'Monthly Base'!F58,IF(Nonlabor!$I$19="InputM",'Monthly Base'!D58*Assumptions!$D$22/1000000,IF(Nonlabor!$I$19="OutputM",'Monthly Base'!D58*Assumptions!$D$23/1000000,0))))))))),0)</f>
        <v>0</v>
      </c>
      <c r="F2158" s="10" t="n">
        <f aca="false">Nonlabor!$J$19*(1+Assumptions!$D$9)^INT((C2158-1)/12)</f>
        <v>13506.10572</v>
      </c>
      <c r="G2158" s="10" t="n">
        <f aca="false">E2158*F2158</f>
        <v>0</v>
      </c>
      <c r="H2158" s="10" t="n">
        <f aca="false">IF(OR(Nonlabor!$L$19="Quote required",Nonlabor!$L$19="Unverified"),G2158,0)</f>
        <v>0</v>
      </c>
      <c r="I2158" s="10" t="n">
        <f aca="false">IF(Nonlabor!$E$19="Core",0,G2158)</f>
        <v>0</v>
      </c>
      <c r="J2158" s="23" t="str">
        <f aca="false">Nonlabor!$B$19</f>
        <v>INSURANCE</v>
      </c>
    </row>
    <row r="2159" customFormat="false" ht="15" hidden="false" customHeight="false" outlineLevel="0" collapsed="false">
      <c r="A2159" s="6" t="s">
        <v>4</v>
      </c>
      <c r="B2159" s="6" t="s">
        <v>49</v>
      </c>
      <c r="C2159" s="6" t="n">
        <v>54</v>
      </c>
      <c r="D2159" s="25" t="n">
        <f aca="false">EDATE('Start Here'!$B$6,C2159-1)</f>
        <v>47939</v>
      </c>
      <c r="E2159" s="23" t="n">
        <f aca="false">IF(AND(OR(Nonlabor!$D$19="Both",Nonlabor!$D$19='Start Here'!$B$9),IF(Nonlabor!$E$19="Core",1,IF(Nonlabor!$E$19="AI",'Start Here'!$B$7,'Start Here'!$B$8))=1,C2159&gt;=IF(Nonlabor!$E$19="Core",Nonlabor!$F$19,MAX(Nonlabor!$F$19,IF(Nonlabor!$E$19="AI",Assumptions!$D$24,Assumptions!$D$25))),C2159&lt;=Nonlabor!$G$19,OR(Nonlabor!$H$19="Monthly",AND(Nonlabor!$H$19="Once",C2159=IF(Nonlabor!$E$19="Core",Nonlabor!$F$19,MAX(Nonlabor!$F$19,IF(Nonlabor!$E$19="AI",Assumptions!$D$24,Assumptions!$D$25)))),AND(Nonlabor!$H$19="Annual",MOD(C2159-IF(Nonlabor!$E$19="Core",Nonlabor!$F$19,MAX(Nonlabor!$F$19,IF(Nonlabor!$E$19="AI",Assumptions!$D$24,Assumptions!$D$25))),12)=0))),IF(Nonlabor!$I$19="Fixed",1,IF(Nonlabor!$I$19="Seats",ROUNDUP('Monthly Base'!I59,0),IF(Nonlabor!$I$19="Customers",'Monthly Base'!D59,IF(Nonlabor!$I$19="NewCustomers",'Monthly Base'!C59,IF(Nonlabor!$I$19="StorageGB",'Monthly Base'!G59,IF(Nonlabor!$I$19="LogGB",'Monthly Base'!H59,IF(Nonlabor!$I$19="RequestsM",'Monthly Base'!F59,IF(Nonlabor!$I$19="InputM",'Monthly Base'!D59*Assumptions!$D$22/1000000,IF(Nonlabor!$I$19="OutputM",'Monthly Base'!D59*Assumptions!$D$23/1000000,0))))))))),0)</f>
        <v>0</v>
      </c>
      <c r="F2159" s="10" t="n">
        <f aca="false">Nonlabor!$J$19*(1+Assumptions!$D$9)^INT((C2159-1)/12)</f>
        <v>13506.10572</v>
      </c>
      <c r="G2159" s="10" t="n">
        <f aca="false">E2159*F2159</f>
        <v>0</v>
      </c>
      <c r="H2159" s="10" t="n">
        <f aca="false">IF(OR(Nonlabor!$L$19="Quote required",Nonlabor!$L$19="Unverified"),G2159,0)</f>
        <v>0</v>
      </c>
      <c r="I2159" s="10" t="n">
        <f aca="false">IF(Nonlabor!$E$19="Core",0,G2159)</f>
        <v>0</v>
      </c>
      <c r="J2159" s="23" t="str">
        <f aca="false">Nonlabor!$B$19</f>
        <v>INSURANCE</v>
      </c>
    </row>
    <row r="2160" customFormat="false" ht="15" hidden="false" customHeight="false" outlineLevel="0" collapsed="false">
      <c r="A2160" s="6" t="s">
        <v>4</v>
      </c>
      <c r="B2160" s="6" t="s">
        <v>49</v>
      </c>
      <c r="C2160" s="6" t="n">
        <v>55</v>
      </c>
      <c r="D2160" s="25" t="n">
        <f aca="false">EDATE('Start Here'!$B$6,C2160-1)</f>
        <v>47969</v>
      </c>
      <c r="E2160" s="23" t="n">
        <f aca="false">IF(AND(OR(Nonlabor!$D$19="Both",Nonlabor!$D$19='Start Here'!$B$9),IF(Nonlabor!$E$19="Core",1,IF(Nonlabor!$E$19="AI",'Start Here'!$B$7,'Start Here'!$B$8))=1,C2160&gt;=IF(Nonlabor!$E$19="Core",Nonlabor!$F$19,MAX(Nonlabor!$F$19,IF(Nonlabor!$E$19="AI",Assumptions!$D$24,Assumptions!$D$25))),C2160&lt;=Nonlabor!$G$19,OR(Nonlabor!$H$19="Monthly",AND(Nonlabor!$H$19="Once",C2160=IF(Nonlabor!$E$19="Core",Nonlabor!$F$19,MAX(Nonlabor!$F$19,IF(Nonlabor!$E$19="AI",Assumptions!$D$24,Assumptions!$D$25)))),AND(Nonlabor!$H$19="Annual",MOD(C2160-IF(Nonlabor!$E$19="Core",Nonlabor!$F$19,MAX(Nonlabor!$F$19,IF(Nonlabor!$E$19="AI",Assumptions!$D$24,Assumptions!$D$25))),12)=0))),IF(Nonlabor!$I$19="Fixed",1,IF(Nonlabor!$I$19="Seats",ROUNDUP('Monthly Base'!I60,0),IF(Nonlabor!$I$19="Customers",'Monthly Base'!D60,IF(Nonlabor!$I$19="NewCustomers",'Monthly Base'!C60,IF(Nonlabor!$I$19="StorageGB",'Monthly Base'!G60,IF(Nonlabor!$I$19="LogGB",'Monthly Base'!H60,IF(Nonlabor!$I$19="RequestsM",'Monthly Base'!F60,IF(Nonlabor!$I$19="InputM",'Monthly Base'!D60*Assumptions!$D$22/1000000,IF(Nonlabor!$I$19="OutputM",'Monthly Base'!D60*Assumptions!$D$23/1000000,0))))))))),0)</f>
        <v>0</v>
      </c>
      <c r="F2160" s="10" t="n">
        <f aca="false">Nonlabor!$J$19*(1+Assumptions!$D$9)^INT((C2160-1)/12)</f>
        <v>13506.10572</v>
      </c>
      <c r="G2160" s="10" t="n">
        <f aca="false">E2160*F2160</f>
        <v>0</v>
      </c>
      <c r="H2160" s="10" t="n">
        <f aca="false">IF(OR(Nonlabor!$L$19="Quote required",Nonlabor!$L$19="Unverified"),G2160,0)</f>
        <v>0</v>
      </c>
      <c r="I2160" s="10" t="n">
        <f aca="false">IF(Nonlabor!$E$19="Core",0,G2160)</f>
        <v>0</v>
      </c>
      <c r="J2160" s="23" t="str">
        <f aca="false">Nonlabor!$B$19</f>
        <v>INSURANCE</v>
      </c>
    </row>
    <row r="2161" customFormat="false" ht="15" hidden="false" customHeight="false" outlineLevel="0" collapsed="false">
      <c r="A2161" s="6" t="s">
        <v>4</v>
      </c>
      <c r="B2161" s="6" t="s">
        <v>49</v>
      </c>
      <c r="C2161" s="6" t="n">
        <v>56</v>
      </c>
      <c r="D2161" s="25" t="n">
        <f aca="false">EDATE('Start Here'!$B$6,C2161-1)</f>
        <v>48000</v>
      </c>
      <c r="E2161" s="23" t="n">
        <f aca="false">IF(AND(OR(Nonlabor!$D$19="Both",Nonlabor!$D$19='Start Here'!$B$9),IF(Nonlabor!$E$19="Core",1,IF(Nonlabor!$E$19="AI",'Start Here'!$B$7,'Start Here'!$B$8))=1,C2161&gt;=IF(Nonlabor!$E$19="Core",Nonlabor!$F$19,MAX(Nonlabor!$F$19,IF(Nonlabor!$E$19="AI",Assumptions!$D$24,Assumptions!$D$25))),C2161&lt;=Nonlabor!$G$19,OR(Nonlabor!$H$19="Monthly",AND(Nonlabor!$H$19="Once",C2161=IF(Nonlabor!$E$19="Core",Nonlabor!$F$19,MAX(Nonlabor!$F$19,IF(Nonlabor!$E$19="AI",Assumptions!$D$24,Assumptions!$D$25)))),AND(Nonlabor!$H$19="Annual",MOD(C2161-IF(Nonlabor!$E$19="Core",Nonlabor!$F$19,MAX(Nonlabor!$F$19,IF(Nonlabor!$E$19="AI",Assumptions!$D$24,Assumptions!$D$25))),12)=0))),IF(Nonlabor!$I$19="Fixed",1,IF(Nonlabor!$I$19="Seats",ROUNDUP('Monthly Base'!I61,0),IF(Nonlabor!$I$19="Customers",'Monthly Base'!D61,IF(Nonlabor!$I$19="NewCustomers",'Monthly Base'!C61,IF(Nonlabor!$I$19="StorageGB",'Monthly Base'!G61,IF(Nonlabor!$I$19="LogGB",'Monthly Base'!H61,IF(Nonlabor!$I$19="RequestsM",'Monthly Base'!F61,IF(Nonlabor!$I$19="InputM",'Monthly Base'!D61*Assumptions!$D$22/1000000,IF(Nonlabor!$I$19="OutputM",'Monthly Base'!D61*Assumptions!$D$23/1000000,0))))))))),0)</f>
        <v>0</v>
      </c>
      <c r="F2161" s="10" t="n">
        <f aca="false">Nonlabor!$J$19*(1+Assumptions!$D$9)^INT((C2161-1)/12)</f>
        <v>13506.10572</v>
      </c>
      <c r="G2161" s="10" t="n">
        <f aca="false">E2161*F2161</f>
        <v>0</v>
      </c>
      <c r="H2161" s="10" t="n">
        <f aca="false">IF(OR(Nonlabor!$L$19="Quote required",Nonlabor!$L$19="Unverified"),G2161,0)</f>
        <v>0</v>
      </c>
      <c r="I2161" s="10" t="n">
        <f aca="false">IF(Nonlabor!$E$19="Core",0,G2161)</f>
        <v>0</v>
      </c>
      <c r="J2161" s="23" t="str">
        <f aca="false">Nonlabor!$B$19</f>
        <v>INSURANCE</v>
      </c>
    </row>
    <row r="2162" customFormat="false" ht="15" hidden="false" customHeight="false" outlineLevel="0" collapsed="false">
      <c r="A2162" s="6" t="s">
        <v>4</v>
      </c>
      <c r="B2162" s="6" t="s">
        <v>49</v>
      </c>
      <c r="C2162" s="6" t="n">
        <v>57</v>
      </c>
      <c r="D2162" s="25" t="n">
        <f aca="false">EDATE('Start Here'!$B$6,C2162-1)</f>
        <v>48030</v>
      </c>
      <c r="E2162" s="23" t="n">
        <f aca="false">IF(AND(OR(Nonlabor!$D$19="Both",Nonlabor!$D$19='Start Here'!$B$9),IF(Nonlabor!$E$19="Core",1,IF(Nonlabor!$E$19="AI",'Start Here'!$B$7,'Start Here'!$B$8))=1,C2162&gt;=IF(Nonlabor!$E$19="Core",Nonlabor!$F$19,MAX(Nonlabor!$F$19,IF(Nonlabor!$E$19="AI",Assumptions!$D$24,Assumptions!$D$25))),C2162&lt;=Nonlabor!$G$19,OR(Nonlabor!$H$19="Monthly",AND(Nonlabor!$H$19="Once",C2162=IF(Nonlabor!$E$19="Core",Nonlabor!$F$19,MAX(Nonlabor!$F$19,IF(Nonlabor!$E$19="AI",Assumptions!$D$24,Assumptions!$D$25)))),AND(Nonlabor!$H$19="Annual",MOD(C2162-IF(Nonlabor!$E$19="Core",Nonlabor!$F$19,MAX(Nonlabor!$F$19,IF(Nonlabor!$E$19="AI",Assumptions!$D$24,Assumptions!$D$25))),12)=0))),IF(Nonlabor!$I$19="Fixed",1,IF(Nonlabor!$I$19="Seats",ROUNDUP('Monthly Base'!I62,0),IF(Nonlabor!$I$19="Customers",'Monthly Base'!D62,IF(Nonlabor!$I$19="NewCustomers",'Monthly Base'!C62,IF(Nonlabor!$I$19="StorageGB",'Monthly Base'!G62,IF(Nonlabor!$I$19="LogGB",'Monthly Base'!H62,IF(Nonlabor!$I$19="RequestsM",'Monthly Base'!F62,IF(Nonlabor!$I$19="InputM",'Monthly Base'!D62*Assumptions!$D$22/1000000,IF(Nonlabor!$I$19="OutputM",'Monthly Base'!D62*Assumptions!$D$23/1000000,0))))))))),0)</f>
        <v>1</v>
      </c>
      <c r="F2162" s="10" t="n">
        <f aca="false">Nonlabor!$J$19*(1+Assumptions!$D$9)^INT((C2162-1)/12)</f>
        <v>13506.10572</v>
      </c>
      <c r="G2162" s="10" t="n">
        <f aca="false">E2162*F2162</f>
        <v>13506.10572</v>
      </c>
      <c r="H2162" s="10" t="n">
        <f aca="false">IF(OR(Nonlabor!$L$19="Quote required",Nonlabor!$L$19="Unverified"),G2162,0)</f>
        <v>13506.10572</v>
      </c>
      <c r="I2162" s="10" t="n">
        <f aca="false">IF(Nonlabor!$E$19="Core",0,G2162)</f>
        <v>0</v>
      </c>
      <c r="J2162" s="23" t="str">
        <f aca="false">Nonlabor!$B$19</f>
        <v>INSURANCE</v>
      </c>
    </row>
    <row r="2163" customFormat="false" ht="15" hidden="false" customHeight="false" outlineLevel="0" collapsed="false">
      <c r="A2163" s="6" t="s">
        <v>4</v>
      </c>
      <c r="B2163" s="6" t="s">
        <v>49</v>
      </c>
      <c r="C2163" s="6" t="n">
        <v>58</v>
      </c>
      <c r="D2163" s="25" t="n">
        <f aca="false">EDATE('Start Here'!$B$6,C2163-1)</f>
        <v>48061</v>
      </c>
      <c r="E2163" s="23" t="n">
        <f aca="false">IF(AND(OR(Nonlabor!$D$19="Both",Nonlabor!$D$19='Start Here'!$B$9),IF(Nonlabor!$E$19="Core",1,IF(Nonlabor!$E$19="AI",'Start Here'!$B$7,'Start Here'!$B$8))=1,C2163&gt;=IF(Nonlabor!$E$19="Core",Nonlabor!$F$19,MAX(Nonlabor!$F$19,IF(Nonlabor!$E$19="AI",Assumptions!$D$24,Assumptions!$D$25))),C2163&lt;=Nonlabor!$G$19,OR(Nonlabor!$H$19="Monthly",AND(Nonlabor!$H$19="Once",C2163=IF(Nonlabor!$E$19="Core",Nonlabor!$F$19,MAX(Nonlabor!$F$19,IF(Nonlabor!$E$19="AI",Assumptions!$D$24,Assumptions!$D$25)))),AND(Nonlabor!$H$19="Annual",MOD(C2163-IF(Nonlabor!$E$19="Core",Nonlabor!$F$19,MAX(Nonlabor!$F$19,IF(Nonlabor!$E$19="AI",Assumptions!$D$24,Assumptions!$D$25))),12)=0))),IF(Nonlabor!$I$19="Fixed",1,IF(Nonlabor!$I$19="Seats",ROUNDUP('Monthly Base'!I63,0),IF(Nonlabor!$I$19="Customers",'Monthly Base'!D63,IF(Nonlabor!$I$19="NewCustomers",'Monthly Base'!C63,IF(Nonlabor!$I$19="StorageGB",'Monthly Base'!G63,IF(Nonlabor!$I$19="LogGB",'Monthly Base'!H63,IF(Nonlabor!$I$19="RequestsM",'Monthly Base'!F63,IF(Nonlabor!$I$19="InputM",'Monthly Base'!D63*Assumptions!$D$22/1000000,IF(Nonlabor!$I$19="OutputM",'Monthly Base'!D63*Assumptions!$D$23/1000000,0))))))))),0)</f>
        <v>0</v>
      </c>
      <c r="F2163" s="10" t="n">
        <f aca="false">Nonlabor!$J$19*(1+Assumptions!$D$9)^INT((C2163-1)/12)</f>
        <v>13506.10572</v>
      </c>
      <c r="G2163" s="10" t="n">
        <f aca="false">E2163*F2163</f>
        <v>0</v>
      </c>
      <c r="H2163" s="10" t="n">
        <f aca="false">IF(OR(Nonlabor!$L$19="Quote required",Nonlabor!$L$19="Unverified"),G2163,0)</f>
        <v>0</v>
      </c>
      <c r="I2163" s="10" t="n">
        <f aca="false">IF(Nonlabor!$E$19="Core",0,G2163)</f>
        <v>0</v>
      </c>
      <c r="J2163" s="23" t="str">
        <f aca="false">Nonlabor!$B$19</f>
        <v>INSURANCE</v>
      </c>
    </row>
    <row r="2164" customFormat="false" ht="15" hidden="false" customHeight="false" outlineLevel="0" collapsed="false">
      <c r="A2164" s="6" t="s">
        <v>4</v>
      </c>
      <c r="B2164" s="6" t="s">
        <v>49</v>
      </c>
      <c r="C2164" s="6" t="n">
        <v>59</v>
      </c>
      <c r="D2164" s="25" t="n">
        <f aca="false">EDATE('Start Here'!$B$6,C2164-1)</f>
        <v>48092</v>
      </c>
      <c r="E2164" s="23" t="n">
        <f aca="false">IF(AND(OR(Nonlabor!$D$19="Both",Nonlabor!$D$19='Start Here'!$B$9),IF(Nonlabor!$E$19="Core",1,IF(Nonlabor!$E$19="AI",'Start Here'!$B$7,'Start Here'!$B$8))=1,C2164&gt;=IF(Nonlabor!$E$19="Core",Nonlabor!$F$19,MAX(Nonlabor!$F$19,IF(Nonlabor!$E$19="AI",Assumptions!$D$24,Assumptions!$D$25))),C2164&lt;=Nonlabor!$G$19,OR(Nonlabor!$H$19="Monthly",AND(Nonlabor!$H$19="Once",C2164=IF(Nonlabor!$E$19="Core",Nonlabor!$F$19,MAX(Nonlabor!$F$19,IF(Nonlabor!$E$19="AI",Assumptions!$D$24,Assumptions!$D$25)))),AND(Nonlabor!$H$19="Annual",MOD(C2164-IF(Nonlabor!$E$19="Core",Nonlabor!$F$19,MAX(Nonlabor!$F$19,IF(Nonlabor!$E$19="AI",Assumptions!$D$24,Assumptions!$D$25))),12)=0))),IF(Nonlabor!$I$19="Fixed",1,IF(Nonlabor!$I$19="Seats",ROUNDUP('Monthly Base'!I64,0),IF(Nonlabor!$I$19="Customers",'Monthly Base'!D64,IF(Nonlabor!$I$19="NewCustomers",'Monthly Base'!C64,IF(Nonlabor!$I$19="StorageGB",'Monthly Base'!G64,IF(Nonlabor!$I$19="LogGB",'Monthly Base'!H64,IF(Nonlabor!$I$19="RequestsM",'Monthly Base'!F64,IF(Nonlabor!$I$19="InputM",'Monthly Base'!D64*Assumptions!$D$22/1000000,IF(Nonlabor!$I$19="OutputM",'Monthly Base'!D64*Assumptions!$D$23/1000000,0))))))))),0)</f>
        <v>0</v>
      </c>
      <c r="F2164" s="10" t="n">
        <f aca="false">Nonlabor!$J$19*(1+Assumptions!$D$9)^INT((C2164-1)/12)</f>
        <v>13506.10572</v>
      </c>
      <c r="G2164" s="10" t="n">
        <f aca="false">E2164*F2164</f>
        <v>0</v>
      </c>
      <c r="H2164" s="10" t="n">
        <f aca="false">IF(OR(Nonlabor!$L$19="Quote required",Nonlabor!$L$19="Unverified"),G2164,0)</f>
        <v>0</v>
      </c>
      <c r="I2164" s="10" t="n">
        <f aca="false">IF(Nonlabor!$E$19="Core",0,G2164)</f>
        <v>0</v>
      </c>
      <c r="J2164" s="23" t="str">
        <f aca="false">Nonlabor!$B$19</f>
        <v>INSURANCE</v>
      </c>
    </row>
    <row r="2165" customFormat="false" ht="15" hidden="false" customHeight="false" outlineLevel="0" collapsed="false">
      <c r="A2165" s="6" t="s">
        <v>4</v>
      </c>
      <c r="B2165" s="6" t="s">
        <v>49</v>
      </c>
      <c r="C2165" s="6" t="n">
        <v>60</v>
      </c>
      <c r="D2165" s="25" t="n">
        <f aca="false">EDATE('Start Here'!$B$6,C2165-1)</f>
        <v>48122</v>
      </c>
      <c r="E2165" s="23" t="n">
        <f aca="false">IF(AND(OR(Nonlabor!$D$19="Both",Nonlabor!$D$19='Start Here'!$B$9),IF(Nonlabor!$E$19="Core",1,IF(Nonlabor!$E$19="AI",'Start Here'!$B$7,'Start Here'!$B$8))=1,C2165&gt;=IF(Nonlabor!$E$19="Core",Nonlabor!$F$19,MAX(Nonlabor!$F$19,IF(Nonlabor!$E$19="AI",Assumptions!$D$24,Assumptions!$D$25))),C2165&lt;=Nonlabor!$G$19,OR(Nonlabor!$H$19="Monthly",AND(Nonlabor!$H$19="Once",C2165=IF(Nonlabor!$E$19="Core",Nonlabor!$F$19,MAX(Nonlabor!$F$19,IF(Nonlabor!$E$19="AI",Assumptions!$D$24,Assumptions!$D$25)))),AND(Nonlabor!$H$19="Annual",MOD(C2165-IF(Nonlabor!$E$19="Core",Nonlabor!$F$19,MAX(Nonlabor!$F$19,IF(Nonlabor!$E$19="AI",Assumptions!$D$24,Assumptions!$D$25))),12)=0))),IF(Nonlabor!$I$19="Fixed",1,IF(Nonlabor!$I$19="Seats",ROUNDUP('Monthly Base'!I65,0),IF(Nonlabor!$I$19="Customers",'Monthly Base'!D65,IF(Nonlabor!$I$19="NewCustomers",'Monthly Base'!C65,IF(Nonlabor!$I$19="StorageGB",'Monthly Base'!G65,IF(Nonlabor!$I$19="LogGB",'Monthly Base'!H65,IF(Nonlabor!$I$19="RequestsM",'Monthly Base'!F65,IF(Nonlabor!$I$19="InputM",'Monthly Base'!D65*Assumptions!$D$22/1000000,IF(Nonlabor!$I$19="OutputM",'Monthly Base'!D65*Assumptions!$D$23/1000000,0))))))))),0)</f>
        <v>0</v>
      </c>
      <c r="F2165" s="10" t="n">
        <f aca="false">Nonlabor!$J$19*(1+Assumptions!$D$9)^INT((C2165-1)/12)</f>
        <v>13506.10572</v>
      </c>
      <c r="G2165" s="10" t="n">
        <f aca="false">E2165*F2165</f>
        <v>0</v>
      </c>
      <c r="H2165" s="10" t="n">
        <f aca="false">IF(OR(Nonlabor!$L$19="Quote required",Nonlabor!$L$19="Unverified"),G2165,0)</f>
        <v>0</v>
      </c>
      <c r="I2165" s="10" t="n">
        <f aca="false">IF(Nonlabor!$E$19="Core",0,G2165)</f>
        <v>0</v>
      </c>
      <c r="J2165" s="23" t="str">
        <f aca="false">Nonlabor!$B$19</f>
        <v>INSURANCE</v>
      </c>
    </row>
    <row r="2166" customFormat="false" ht="15" hidden="false" customHeight="false" outlineLevel="0" collapsed="false">
      <c r="A2166" s="6" t="s">
        <v>4</v>
      </c>
      <c r="B2166" s="6" t="s">
        <v>51</v>
      </c>
      <c r="C2166" s="6" t="n">
        <v>1</v>
      </c>
      <c r="D2166" s="25" t="n">
        <f aca="false">EDATE('Start Here'!$B$6,C2166-1)</f>
        <v>46327</v>
      </c>
      <c r="E2166" s="23" t="n">
        <f aca="false">IF(AND(OR(Nonlabor!$D$20="Both",Nonlabor!$D$20='Start Here'!$B$9),IF(Nonlabor!$E$20="Core",1,IF(Nonlabor!$E$20="AI",'Start Here'!$B$7,'Start Here'!$B$8))=1,C2166&gt;=IF(Nonlabor!$E$20="Core",Nonlabor!$F$20,MAX(Nonlabor!$F$20,IF(Nonlabor!$E$20="AI",Assumptions!$D$24,Assumptions!$D$25))),C2166&lt;=Nonlabor!$G$20,OR(Nonlabor!$H$20="Monthly",AND(Nonlabor!$H$20="Once",C2166=IF(Nonlabor!$E$20="Core",Nonlabor!$F$20,MAX(Nonlabor!$F$20,IF(Nonlabor!$E$20="AI",Assumptions!$D$24,Assumptions!$D$25)))),AND(Nonlabor!$H$20="Annual",MOD(C2166-IF(Nonlabor!$E$20="Core",Nonlabor!$F$20,MAX(Nonlabor!$F$20,IF(Nonlabor!$E$20="AI",Assumptions!$D$24,Assumptions!$D$25))),12)=0))),IF(Nonlabor!$I$20="Fixed",1,IF(Nonlabor!$I$20="Seats",ROUNDUP('Monthly Base'!I6,0),IF(Nonlabor!$I$20="Customers",'Monthly Base'!D6,IF(Nonlabor!$I$20="NewCustomers",'Monthly Base'!C6,IF(Nonlabor!$I$20="StorageGB",'Monthly Base'!G6,IF(Nonlabor!$I$20="LogGB",'Monthly Base'!H6,IF(Nonlabor!$I$20="RequestsM",'Monthly Base'!F6,IF(Nonlabor!$I$20="InputM",'Monthly Base'!D6*Assumptions!$D$22/1000000,IF(Nonlabor!$I$20="OutputM",'Monthly Base'!D6*Assumptions!$D$23/1000000,0))))))))),0)</f>
        <v>1</v>
      </c>
      <c r="F2166" s="10" t="n">
        <f aca="false">Nonlabor!$J$20*(1+Assumptions!$D$9)^INT((C2166-1)/12)</f>
        <v>600</v>
      </c>
      <c r="G2166" s="10" t="n">
        <f aca="false">E2166*F2166</f>
        <v>600</v>
      </c>
      <c r="H2166" s="10" t="n">
        <f aca="false">IF(OR(Nonlabor!$L$20="Quote required",Nonlabor!$L$20="Unverified"),G2166,0)</f>
        <v>600</v>
      </c>
      <c r="I2166" s="10" t="n">
        <f aca="false">IF(Nonlabor!$E$20="Core",0,G2166)</f>
        <v>0</v>
      </c>
      <c r="J2166" s="23" t="str">
        <f aca="false">Nonlabor!$B$20</f>
        <v>ACCOUNTING</v>
      </c>
    </row>
    <row r="2167" customFormat="false" ht="15" hidden="false" customHeight="false" outlineLevel="0" collapsed="false">
      <c r="A2167" s="6" t="s">
        <v>4</v>
      </c>
      <c r="B2167" s="6" t="s">
        <v>51</v>
      </c>
      <c r="C2167" s="6" t="n">
        <v>2</v>
      </c>
      <c r="D2167" s="25" t="n">
        <f aca="false">EDATE('Start Here'!$B$6,C2167-1)</f>
        <v>46357</v>
      </c>
      <c r="E2167" s="23" t="n">
        <f aca="false">IF(AND(OR(Nonlabor!$D$20="Both",Nonlabor!$D$20='Start Here'!$B$9),IF(Nonlabor!$E$20="Core",1,IF(Nonlabor!$E$20="AI",'Start Here'!$B$7,'Start Here'!$B$8))=1,C2167&gt;=IF(Nonlabor!$E$20="Core",Nonlabor!$F$20,MAX(Nonlabor!$F$20,IF(Nonlabor!$E$20="AI",Assumptions!$D$24,Assumptions!$D$25))),C2167&lt;=Nonlabor!$G$20,OR(Nonlabor!$H$20="Monthly",AND(Nonlabor!$H$20="Once",C2167=IF(Nonlabor!$E$20="Core",Nonlabor!$F$20,MAX(Nonlabor!$F$20,IF(Nonlabor!$E$20="AI",Assumptions!$D$24,Assumptions!$D$25)))),AND(Nonlabor!$H$20="Annual",MOD(C2167-IF(Nonlabor!$E$20="Core",Nonlabor!$F$20,MAX(Nonlabor!$F$20,IF(Nonlabor!$E$20="AI",Assumptions!$D$24,Assumptions!$D$25))),12)=0))),IF(Nonlabor!$I$20="Fixed",1,IF(Nonlabor!$I$20="Seats",ROUNDUP('Monthly Base'!I7,0),IF(Nonlabor!$I$20="Customers",'Monthly Base'!D7,IF(Nonlabor!$I$20="NewCustomers",'Monthly Base'!C7,IF(Nonlabor!$I$20="StorageGB",'Monthly Base'!G7,IF(Nonlabor!$I$20="LogGB",'Monthly Base'!H7,IF(Nonlabor!$I$20="RequestsM",'Monthly Base'!F7,IF(Nonlabor!$I$20="InputM",'Monthly Base'!D7*Assumptions!$D$22/1000000,IF(Nonlabor!$I$20="OutputM",'Monthly Base'!D7*Assumptions!$D$23/1000000,0))))))))),0)</f>
        <v>1</v>
      </c>
      <c r="F2167" s="10" t="n">
        <f aca="false">Nonlabor!$J$20*(1+Assumptions!$D$9)^INT((C2167-1)/12)</f>
        <v>600</v>
      </c>
      <c r="G2167" s="10" t="n">
        <f aca="false">E2167*F2167</f>
        <v>600</v>
      </c>
      <c r="H2167" s="10" t="n">
        <f aca="false">IF(OR(Nonlabor!$L$20="Quote required",Nonlabor!$L$20="Unverified"),G2167,0)</f>
        <v>600</v>
      </c>
      <c r="I2167" s="10" t="n">
        <f aca="false">IF(Nonlabor!$E$20="Core",0,G2167)</f>
        <v>0</v>
      </c>
      <c r="J2167" s="23" t="str">
        <f aca="false">Nonlabor!$B$20</f>
        <v>ACCOUNTING</v>
      </c>
    </row>
    <row r="2168" customFormat="false" ht="15" hidden="false" customHeight="false" outlineLevel="0" collapsed="false">
      <c r="A2168" s="6" t="s">
        <v>4</v>
      </c>
      <c r="B2168" s="6" t="s">
        <v>51</v>
      </c>
      <c r="C2168" s="6" t="n">
        <v>3</v>
      </c>
      <c r="D2168" s="25" t="n">
        <f aca="false">EDATE('Start Here'!$B$6,C2168-1)</f>
        <v>46388</v>
      </c>
      <c r="E2168" s="23" t="n">
        <f aca="false">IF(AND(OR(Nonlabor!$D$20="Both",Nonlabor!$D$20='Start Here'!$B$9),IF(Nonlabor!$E$20="Core",1,IF(Nonlabor!$E$20="AI",'Start Here'!$B$7,'Start Here'!$B$8))=1,C2168&gt;=IF(Nonlabor!$E$20="Core",Nonlabor!$F$20,MAX(Nonlabor!$F$20,IF(Nonlabor!$E$20="AI",Assumptions!$D$24,Assumptions!$D$25))),C2168&lt;=Nonlabor!$G$20,OR(Nonlabor!$H$20="Monthly",AND(Nonlabor!$H$20="Once",C2168=IF(Nonlabor!$E$20="Core",Nonlabor!$F$20,MAX(Nonlabor!$F$20,IF(Nonlabor!$E$20="AI",Assumptions!$D$24,Assumptions!$D$25)))),AND(Nonlabor!$H$20="Annual",MOD(C2168-IF(Nonlabor!$E$20="Core",Nonlabor!$F$20,MAX(Nonlabor!$F$20,IF(Nonlabor!$E$20="AI",Assumptions!$D$24,Assumptions!$D$25))),12)=0))),IF(Nonlabor!$I$20="Fixed",1,IF(Nonlabor!$I$20="Seats",ROUNDUP('Monthly Base'!I8,0),IF(Nonlabor!$I$20="Customers",'Monthly Base'!D8,IF(Nonlabor!$I$20="NewCustomers",'Monthly Base'!C8,IF(Nonlabor!$I$20="StorageGB",'Monthly Base'!G8,IF(Nonlabor!$I$20="LogGB",'Monthly Base'!H8,IF(Nonlabor!$I$20="RequestsM",'Monthly Base'!F8,IF(Nonlabor!$I$20="InputM",'Monthly Base'!D8*Assumptions!$D$22/1000000,IF(Nonlabor!$I$20="OutputM",'Monthly Base'!D8*Assumptions!$D$23/1000000,0))))))))),0)</f>
        <v>1</v>
      </c>
      <c r="F2168" s="10" t="n">
        <f aca="false">Nonlabor!$J$20*(1+Assumptions!$D$9)^INT((C2168-1)/12)</f>
        <v>600</v>
      </c>
      <c r="G2168" s="10" t="n">
        <f aca="false">E2168*F2168</f>
        <v>600</v>
      </c>
      <c r="H2168" s="10" t="n">
        <f aca="false">IF(OR(Nonlabor!$L$20="Quote required",Nonlabor!$L$20="Unverified"),G2168,0)</f>
        <v>600</v>
      </c>
      <c r="I2168" s="10" t="n">
        <f aca="false">IF(Nonlabor!$E$20="Core",0,G2168)</f>
        <v>0</v>
      </c>
      <c r="J2168" s="23" t="str">
        <f aca="false">Nonlabor!$B$20</f>
        <v>ACCOUNTING</v>
      </c>
    </row>
    <row r="2169" customFormat="false" ht="15" hidden="false" customHeight="false" outlineLevel="0" collapsed="false">
      <c r="A2169" s="6" t="s">
        <v>4</v>
      </c>
      <c r="B2169" s="6" t="s">
        <v>51</v>
      </c>
      <c r="C2169" s="6" t="n">
        <v>4</v>
      </c>
      <c r="D2169" s="25" t="n">
        <f aca="false">EDATE('Start Here'!$B$6,C2169-1)</f>
        <v>46419</v>
      </c>
      <c r="E2169" s="23" t="n">
        <f aca="false">IF(AND(OR(Nonlabor!$D$20="Both",Nonlabor!$D$20='Start Here'!$B$9),IF(Nonlabor!$E$20="Core",1,IF(Nonlabor!$E$20="AI",'Start Here'!$B$7,'Start Here'!$B$8))=1,C2169&gt;=IF(Nonlabor!$E$20="Core",Nonlabor!$F$20,MAX(Nonlabor!$F$20,IF(Nonlabor!$E$20="AI",Assumptions!$D$24,Assumptions!$D$25))),C2169&lt;=Nonlabor!$G$20,OR(Nonlabor!$H$20="Monthly",AND(Nonlabor!$H$20="Once",C2169=IF(Nonlabor!$E$20="Core",Nonlabor!$F$20,MAX(Nonlabor!$F$20,IF(Nonlabor!$E$20="AI",Assumptions!$D$24,Assumptions!$D$25)))),AND(Nonlabor!$H$20="Annual",MOD(C2169-IF(Nonlabor!$E$20="Core",Nonlabor!$F$20,MAX(Nonlabor!$F$20,IF(Nonlabor!$E$20="AI",Assumptions!$D$24,Assumptions!$D$25))),12)=0))),IF(Nonlabor!$I$20="Fixed",1,IF(Nonlabor!$I$20="Seats",ROUNDUP('Monthly Base'!I9,0),IF(Nonlabor!$I$20="Customers",'Monthly Base'!D9,IF(Nonlabor!$I$20="NewCustomers",'Monthly Base'!C9,IF(Nonlabor!$I$20="StorageGB",'Monthly Base'!G9,IF(Nonlabor!$I$20="LogGB",'Monthly Base'!H9,IF(Nonlabor!$I$20="RequestsM",'Monthly Base'!F9,IF(Nonlabor!$I$20="InputM",'Monthly Base'!D9*Assumptions!$D$22/1000000,IF(Nonlabor!$I$20="OutputM",'Monthly Base'!D9*Assumptions!$D$23/1000000,0))))))))),0)</f>
        <v>1</v>
      </c>
      <c r="F2169" s="10" t="n">
        <f aca="false">Nonlabor!$J$20*(1+Assumptions!$D$9)^INT((C2169-1)/12)</f>
        <v>600</v>
      </c>
      <c r="G2169" s="10" t="n">
        <f aca="false">E2169*F2169</f>
        <v>600</v>
      </c>
      <c r="H2169" s="10" t="n">
        <f aca="false">IF(OR(Nonlabor!$L$20="Quote required",Nonlabor!$L$20="Unverified"),G2169,0)</f>
        <v>600</v>
      </c>
      <c r="I2169" s="10" t="n">
        <f aca="false">IF(Nonlabor!$E$20="Core",0,G2169)</f>
        <v>0</v>
      </c>
      <c r="J2169" s="23" t="str">
        <f aca="false">Nonlabor!$B$20</f>
        <v>ACCOUNTING</v>
      </c>
    </row>
    <row r="2170" customFormat="false" ht="15" hidden="false" customHeight="false" outlineLevel="0" collapsed="false">
      <c r="A2170" s="6" t="s">
        <v>4</v>
      </c>
      <c r="B2170" s="6" t="s">
        <v>51</v>
      </c>
      <c r="C2170" s="6" t="n">
        <v>5</v>
      </c>
      <c r="D2170" s="25" t="n">
        <f aca="false">EDATE('Start Here'!$B$6,C2170-1)</f>
        <v>46447</v>
      </c>
      <c r="E2170" s="23" t="n">
        <f aca="false">IF(AND(OR(Nonlabor!$D$20="Both",Nonlabor!$D$20='Start Here'!$B$9),IF(Nonlabor!$E$20="Core",1,IF(Nonlabor!$E$20="AI",'Start Here'!$B$7,'Start Here'!$B$8))=1,C2170&gt;=IF(Nonlabor!$E$20="Core",Nonlabor!$F$20,MAX(Nonlabor!$F$20,IF(Nonlabor!$E$20="AI",Assumptions!$D$24,Assumptions!$D$25))),C2170&lt;=Nonlabor!$G$20,OR(Nonlabor!$H$20="Monthly",AND(Nonlabor!$H$20="Once",C2170=IF(Nonlabor!$E$20="Core",Nonlabor!$F$20,MAX(Nonlabor!$F$20,IF(Nonlabor!$E$20="AI",Assumptions!$D$24,Assumptions!$D$25)))),AND(Nonlabor!$H$20="Annual",MOD(C2170-IF(Nonlabor!$E$20="Core",Nonlabor!$F$20,MAX(Nonlabor!$F$20,IF(Nonlabor!$E$20="AI",Assumptions!$D$24,Assumptions!$D$25))),12)=0))),IF(Nonlabor!$I$20="Fixed",1,IF(Nonlabor!$I$20="Seats",ROUNDUP('Monthly Base'!I10,0),IF(Nonlabor!$I$20="Customers",'Monthly Base'!D10,IF(Nonlabor!$I$20="NewCustomers",'Monthly Base'!C10,IF(Nonlabor!$I$20="StorageGB",'Monthly Base'!G10,IF(Nonlabor!$I$20="LogGB",'Monthly Base'!H10,IF(Nonlabor!$I$20="RequestsM",'Monthly Base'!F10,IF(Nonlabor!$I$20="InputM",'Monthly Base'!D10*Assumptions!$D$22/1000000,IF(Nonlabor!$I$20="OutputM",'Monthly Base'!D10*Assumptions!$D$23/1000000,0))))))))),0)</f>
        <v>1</v>
      </c>
      <c r="F2170" s="10" t="n">
        <f aca="false">Nonlabor!$J$20*(1+Assumptions!$D$9)^INT((C2170-1)/12)</f>
        <v>600</v>
      </c>
      <c r="G2170" s="10" t="n">
        <f aca="false">E2170*F2170</f>
        <v>600</v>
      </c>
      <c r="H2170" s="10" t="n">
        <f aca="false">IF(OR(Nonlabor!$L$20="Quote required",Nonlabor!$L$20="Unverified"),G2170,0)</f>
        <v>600</v>
      </c>
      <c r="I2170" s="10" t="n">
        <f aca="false">IF(Nonlabor!$E$20="Core",0,G2170)</f>
        <v>0</v>
      </c>
      <c r="J2170" s="23" t="str">
        <f aca="false">Nonlabor!$B$20</f>
        <v>ACCOUNTING</v>
      </c>
    </row>
    <row r="2171" customFormat="false" ht="15" hidden="false" customHeight="false" outlineLevel="0" collapsed="false">
      <c r="A2171" s="6" t="s">
        <v>4</v>
      </c>
      <c r="B2171" s="6" t="s">
        <v>51</v>
      </c>
      <c r="C2171" s="6" t="n">
        <v>6</v>
      </c>
      <c r="D2171" s="25" t="n">
        <f aca="false">EDATE('Start Here'!$B$6,C2171-1)</f>
        <v>46478</v>
      </c>
      <c r="E2171" s="23" t="n">
        <f aca="false">IF(AND(OR(Nonlabor!$D$20="Both",Nonlabor!$D$20='Start Here'!$B$9),IF(Nonlabor!$E$20="Core",1,IF(Nonlabor!$E$20="AI",'Start Here'!$B$7,'Start Here'!$B$8))=1,C2171&gt;=IF(Nonlabor!$E$20="Core",Nonlabor!$F$20,MAX(Nonlabor!$F$20,IF(Nonlabor!$E$20="AI",Assumptions!$D$24,Assumptions!$D$25))),C2171&lt;=Nonlabor!$G$20,OR(Nonlabor!$H$20="Monthly",AND(Nonlabor!$H$20="Once",C2171=IF(Nonlabor!$E$20="Core",Nonlabor!$F$20,MAX(Nonlabor!$F$20,IF(Nonlabor!$E$20="AI",Assumptions!$D$24,Assumptions!$D$25)))),AND(Nonlabor!$H$20="Annual",MOD(C2171-IF(Nonlabor!$E$20="Core",Nonlabor!$F$20,MAX(Nonlabor!$F$20,IF(Nonlabor!$E$20="AI",Assumptions!$D$24,Assumptions!$D$25))),12)=0))),IF(Nonlabor!$I$20="Fixed",1,IF(Nonlabor!$I$20="Seats",ROUNDUP('Monthly Base'!I11,0),IF(Nonlabor!$I$20="Customers",'Monthly Base'!D11,IF(Nonlabor!$I$20="NewCustomers",'Monthly Base'!C11,IF(Nonlabor!$I$20="StorageGB",'Monthly Base'!G11,IF(Nonlabor!$I$20="LogGB",'Monthly Base'!H11,IF(Nonlabor!$I$20="RequestsM",'Monthly Base'!F11,IF(Nonlabor!$I$20="InputM",'Monthly Base'!D11*Assumptions!$D$22/1000000,IF(Nonlabor!$I$20="OutputM",'Monthly Base'!D11*Assumptions!$D$23/1000000,0))))))))),0)</f>
        <v>1</v>
      </c>
      <c r="F2171" s="10" t="n">
        <f aca="false">Nonlabor!$J$20*(1+Assumptions!$D$9)^INT((C2171-1)/12)</f>
        <v>600</v>
      </c>
      <c r="G2171" s="10" t="n">
        <f aca="false">E2171*F2171</f>
        <v>600</v>
      </c>
      <c r="H2171" s="10" t="n">
        <f aca="false">IF(OR(Nonlabor!$L$20="Quote required",Nonlabor!$L$20="Unverified"),G2171,0)</f>
        <v>600</v>
      </c>
      <c r="I2171" s="10" t="n">
        <f aca="false">IF(Nonlabor!$E$20="Core",0,G2171)</f>
        <v>0</v>
      </c>
      <c r="J2171" s="23" t="str">
        <f aca="false">Nonlabor!$B$20</f>
        <v>ACCOUNTING</v>
      </c>
    </row>
    <row r="2172" customFormat="false" ht="15" hidden="false" customHeight="false" outlineLevel="0" collapsed="false">
      <c r="A2172" s="6" t="s">
        <v>4</v>
      </c>
      <c r="B2172" s="6" t="s">
        <v>51</v>
      </c>
      <c r="C2172" s="6" t="n">
        <v>7</v>
      </c>
      <c r="D2172" s="25" t="n">
        <f aca="false">EDATE('Start Here'!$B$6,C2172-1)</f>
        <v>46508</v>
      </c>
      <c r="E2172" s="23" t="n">
        <f aca="false">IF(AND(OR(Nonlabor!$D$20="Both",Nonlabor!$D$20='Start Here'!$B$9),IF(Nonlabor!$E$20="Core",1,IF(Nonlabor!$E$20="AI",'Start Here'!$B$7,'Start Here'!$B$8))=1,C2172&gt;=IF(Nonlabor!$E$20="Core",Nonlabor!$F$20,MAX(Nonlabor!$F$20,IF(Nonlabor!$E$20="AI",Assumptions!$D$24,Assumptions!$D$25))),C2172&lt;=Nonlabor!$G$20,OR(Nonlabor!$H$20="Monthly",AND(Nonlabor!$H$20="Once",C2172=IF(Nonlabor!$E$20="Core",Nonlabor!$F$20,MAX(Nonlabor!$F$20,IF(Nonlabor!$E$20="AI",Assumptions!$D$24,Assumptions!$D$25)))),AND(Nonlabor!$H$20="Annual",MOD(C2172-IF(Nonlabor!$E$20="Core",Nonlabor!$F$20,MAX(Nonlabor!$F$20,IF(Nonlabor!$E$20="AI",Assumptions!$D$24,Assumptions!$D$25))),12)=0))),IF(Nonlabor!$I$20="Fixed",1,IF(Nonlabor!$I$20="Seats",ROUNDUP('Monthly Base'!I12,0),IF(Nonlabor!$I$20="Customers",'Monthly Base'!D12,IF(Nonlabor!$I$20="NewCustomers",'Monthly Base'!C12,IF(Nonlabor!$I$20="StorageGB",'Monthly Base'!G12,IF(Nonlabor!$I$20="LogGB",'Monthly Base'!H12,IF(Nonlabor!$I$20="RequestsM",'Monthly Base'!F12,IF(Nonlabor!$I$20="InputM",'Monthly Base'!D12*Assumptions!$D$22/1000000,IF(Nonlabor!$I$20="OutputM",'Monthly Base'!D12*Assumptions!$D$23/1000000,0))))))))),0)</f>
        <v>1</v>
      </c>
      <c r="F2172" s="10" t="n">
        <f aca="false">Nonlabor!$J$20*(1+Assumptions!$D$9)^INT((C2172-1)/12)</f>
        <v>600</v>
      </c>
      <c r="G2172" s="10" t="n">
        <f aca="false">E2172*F2172</f>
        <v>600</v>
      </c>
      <c r="H2172" s="10" t="n">
        <f aca="false">IF(OR(Nonlabor!$L$20="Quote required",Nonlabor!$L$20="Unverified"),G2172,0)</f>
        <v>600</v>
      </c>
      <c r="I2172" s="10" t="n">
        <f aca="false">IF(Nonlabor!$E$20="Core",0,G2172)</f>
        <v>0</v>
      </c>
      <c r="J2172" s="23" t="str">
        <f aca="false">Nonlabor!$B$20</f>
        <v>ACCOUNTING</v>
      </c>
    </row>
    <row r="2173" customFormat="false" ht="15" hidden="false" customHeight="false" outlineLevel="0" collapsed="false">
      <c r="A2173" s="6" t="s">
        <v>4</v>
      </c>
      <c r="B2173" s="6" t="s">
        <v>51</v>
      </c>
      <c r="C2173" s="6" t="n">
        <v>8</v>
      </c>
      <c r="D2173" s="25" t="n">
        <f aca="false">EDATE('Start Here'!$B$6,C2173-1)</f>
        <v>46539</v>
      </c>
      <c r="E2173" s="23" t="n">
        <f aca="false">IF(AND(OR(Nonlabor!$D$20="Both",Nonlabor!$D$20='Start Here'!$B$9),IF(Nonlabor!$E$20="Core",1,IF(Nonlabor!$E$20="AI",'Start Here'!$B$7,'Start Here'!$B$8))=1,C2173&gt;=IF(Nonlabor!$E$20="Core",Nonlabor!$F$20,MAX(Nonlabor!$F$20,IF(Nonlabor!$E$20="AI",Assumptions!$D$24,Assumptions!$D$25))),C2173&lt;=Nonlabor!$G$20,OR(Nonlabor!$H$20="Monthly",AND(Nonlabor!$H$20="Once",C2173=IF(Nonlabor!$E$20="Core",Nonlabor!$F$20,MAX(Nonlabor!$F$20,IF(Nonlabor!$E$20="AI",Assumptions!$D$24,Assumptions!$D$25)))),AND(Nonlabor!$H$20="Annual",MOD(C2173-IF(Nonlabor!$E$20="Core",Nonlabor!$F$20,MAX(Nonlabor!$F$20,IF(Nonlabor!$E$20="AI",Assumptions!$D$24,Assumptions!$D$25))),12)=0))),IF(Nonlabor!$I$20="Fixed",1,IF(Nonlabor!$I$20="Seats",ROUNDUP('Monthly Base'!I13,0),IF(Nonlabor!$I$20="Customers",'Monthly Base'!D13,IF(Nonlabor!$I$20="NewCustomers",'Monthly Base'!C13,IF(Nonlabor!$I$20="StorageGB",'Monthly Base'!G13,IF(Nonlabor!$I$20="LogGB",'Monthly Base'!H13,IF(Nonlabor!$I$20="RequestsM",'Monthly Base'!F13,IF(Nonlabor!$I$20="InputM",'Monthly Base'!D13*Assumptions!$D$22/1000000,IF(Nonlabor!$I$20="OutputM",'Monthly Base'!D13*Assumptions!$D$23/1000000,0))))))))),0)</f>
        <v>1</v>
      </c>
      <c r="F2173" s="10" t="n">
        <f aca="false">Nonlabor!$J$20*(1+Assumptions!$D$9)^INT((C2173-1)/12)</f>
        <v>600</v>
      </c>
      <c r="G2173" s="10" t="n">
        <f aca="false">E2173*F2173</f>
        <v>600</v>
      </c>
      <c r="H2173" s="10" t="n">
        <f aca="false">IF(OR(Nonlabor!$L$20="Quote required",Nonlabor!$L$20="Unverified"),G2173,0)</f>
        <v>600</v>
      </c>
      <c r="I2173" s="10" t="n">
        <f aca="false">IF(Nonlabor!$E$20="Core",0,G2173)</f>
        <v>0</v>
      </c>
      <c r="J2173" s="23" t="str">
        <f aca="false">Nonlabor!$B$20</f>
        <v>ACCOUNTING</v>
      </c>
    </row>
    <row r="2174" customFormat="false" ht="15" hidden="false" customHeight="false" outlineLevel="0" collapsed="false">
      <c r="A2174" s="6" t="s">
        <v>4</v>
      </c>
      <c r="B2174" s="6" t="s">
        <v>51</v>
      </c>
      <c r="C2174" s="6" t="n">
        <v>9</v>
      </c>
      <c r="D2174" s="25" t="n">
        <f aca="false">EDATE('Start Here'!$B$6,C2174-1)</f>
        <v>46569</v>
      </c>
      <c r="E2174" s="23" t="n">
        <f aca="false">IF(AND(OR(Nonlabor!$D$20="Both",Nonlabor!$D$20='Start Here'!$B$9),IF(Nonlabor!$E$20="Core",1,IF(Nonlabor!$E$20="AI",'Start Here'!$B$7,'Start Here'!$B$8))=1,C2174&gt;=IF(Nonlabor!$E$20="Core",Nonlabor!$F$20,MAX(Nonlabor!$F$20,IF(Nonlabor!$E$20="AI",Assumptions!$D$24,Assumptions!$D$25))),C2174&lt;=Nonlabor!$G$20,OR(Nonlabor!$H$20="Monthly",AND(Nonlabor!$H$20="Once",C2174=IF(Nonlabor!$E$20="Core",Nonlabor!$F$20,MAX(Nonlabor!$F$20,IF(Nonlabor!$E$20="AI",Assumptions!$D$24,Assumptions!$D$25)))),AND(Nonlabor!$H$20="Annual",MOD(C2174-IF(Nonlabor!$E$20="Core",Nonlabor!$F$20,MAX(Nonlabor!$F$20,IF(Nonlabor!$E$20="AI",Assumptions!$D$24,Assumptions!$D$25))),12)=0))),IF(Nonlabor!$I$20="Fixed",1,IF(Nonlabor!$I$20="Seats",ROUNDUP('Monthly Base'!I14,0),IF(Nonlabor!$I$20="Customers",'Monthly Base'!D14,IF(Nonlabor!$I$20="NewCustomers",'Monthly Base'!C14,IF(Nonlabor!$I$20="StorageGB",'Monthly Base'!G14,IF(Nonlabor!$I$20="LogGB",'Monthly Base'!H14,IF(Nonlabor!$I$20="RequestsM",'Monthly Base'!F14,IF(Nonlabor!$I$20="InputM",'Monthly Base'!D14*Assumptions!$D$22/1000000,IF(Nonlabor!$I$20="OutputM",'Monthly Base'!D14*Assumptions!$D$23/1000000,0))))))))),0)</f>
        <v>1</v>
      </c>
      <c r="F2174" s="10" t="n">
        <f aca="false">Nonlabor!$J$20*(1+Assumptions!$D$9)^INT((C2174-1)/12)</f>
        <v>600</v>
      </c>
      <c r="G2174" s="10" t="n">
        <f aca="false">E2174*F2174</f>
        <v>600</v>
      </c>
      <c r="H2174" s="10" t="n">
        <f aca="false">IF(OR(Nonlabor!$L$20="Quote required",Nonlabor!$L$20="Unverified"),G2174,0)</f>
        <v>600</v>
      </c>
      <c r="I2174" s="10" t="n">
        <f aca="false">IF(Nonlabor!$E$20="Core",0,G2174)</f>
        <v>0</v>
      </c>
      <c r="J2174" s="23" t="str">
        <f aca="false">Nonlabor!$B$20</f>
        <v>ACCOUNTING</v>
      </c>
    </row>
    <row r="2175" customFormat="false" ht="15" hidden="false" customHeight="false" outlineLevel="0" collapsed="false">
      <c r="A2175" s="6" t="s">
        <v>4</v>
      </c>
      <c r="B2175" s="6" t="s">
        <v>51</v>
      </c>
      <c r="C2175" s="6" t="n">
        <v>10</v>
      </c>
      <c r="D2175" s="25" t="n">
        <f aca="false">EDATE('Start Here'!$B$6,C2175-1)</f>
        <v>46600</v>
      </c>
      <c r="E2175" s="23" t="n">
        <f aca="false">IF(AND(OR(Nonlabor!$D$20="Both",Nonlabor!$D$20='Start Here'!$B$9),IF(Nonlabor!$E$20="Core",1,IF(Nonlabor!$E$20="AI",'Start Here'!$B$7,'Start Here'!$B$8))=1,C2175&gt;=IF(Nonlabor!$E$20="Core",Nonlabor!$F$20,MAX(Nonlabor!$F$20,IF(Nonlabor!$E$20="AI",Assumptions!$D$24,Assumptions!$D$25))),C2175&lt;=Nonlabor!$G$20,OR(Nonlabor!$H$20="Monthly",AND(Nonlabor!$H$20="Once",C2175=IF(Nonlabor!$E$20="Core",Nonlabor!$F$20,MAX(Nonlabor!$F$20,IF(Nonlabor!$E$20="AI",Assumptions!$D$24,Assumptions!$D$25)))),AND(Nonlabor!$H$20="Annual",MOD(C2175-IF(Nonlabor!$E$20="Core",Nonlabor!$F$20,MAX(Nonlabor!$F$20,IF(Nonlabor!$E$20="AI",Assumptions!$D$24,Assumptions!$D$25))),12)=0))),IF(Nonlabor!$I$20="Fixed",1,IF(Nonlabor!$I$20="Seats",ROUNDUP('Monthly Base'!I15,0),IF(Nonlabor!$I$20="Customers",'Monthly Base'!D15,IF(Nonlabor!$I$20="NewCustomers",'Monthly Base'!C15,IF(Nonlabor!$I$20="StorageGB",'Monthly Base'!G15,IF(Nonlabor!$I$20="LogGB",'Monthly Base'!H15,IF(Nonlabor!$I$20="RequestsM",'Monthly Base'!F15,IF(Nonlabor!$I$20="InputM",'Monthly Base'!D15*Assumptions!$D$22/1000000,IF(Nonlabor!$I$20="OutputM",'Monthly Base'!D15*Assumptions!$D$23/1000000,0))))))))),0)</f>
        <v>1</v>
      </c>
      <c r="F2175" s="10" t="n">
        <f aca="false">Nonlabor!$J$20*(1+Assumptions!$D$9)^INT((C2175-1)/12)</f>
        <v>600</v>
      </c>
      <c r="G2175" s="10" t="n">
        <f aca="false">E2175*F2175</f>
        <v>600</v>
      </c>
      <c r="H2175" s="10" t="n">
        <f aca="false">IF(OR(Nonlabor!$L$20="Quote required",Nonlabor!$L$20="Unverified"),G2175,0)</f>
        <v>600</v>
      </c>
      <c r="I2175" s="10" t="n">
        <f aca="false">IF(Nonlabor!$E$20="Core",0,G2175)</f>
        <v>0</v>
      </c>
      <c r="J2175" s="23" t="str">
        <f aca="false">Nonlabor!$B$20</f>
        <v>ACCOUNTING</v>
      </c>
    </row>
    <row r="2176" customFormat="false" ht="15" hidden="false" customHeight="false" outlineLevel="0" collapsed="false">
      <c r="A2176" s="6" t="s">
        <v>4</v>
      </c>
      <c r="B2176" s="6" t="s">
        <v>51</v>
      </c>
      <c r="C2176" s="6" t="n">
        <v>11</v>
      </c>
      <c r="D2176" s="25" t="n">
        <f aca="false">EDATE('Start Here'!$B$6,C2176-1)</f>
        <v>46631</v>
      </c>
      <c r="E2176" s="23" t="n">
        <f aca="false">IF(AND(OR(Nonlabor!$D$20="Both",Nonlabor!$D$20='Start Here'!$B$9),IF(Nonlabor!$E$20="Core",1,IF(Nonlabor!$E$20="AI",'Start Here'!$B$7,'Start Here'!$B$8))=1,C2176&gt;=IF(Nonlabor!$E$20="Core",Nonlabor!$F$20,MAX(Nonlabor!$F$20,IF(Nonlabor!$E$20="AI",Assumptions!$D$24,Assumptions!$D$25))),C2176&lt;=Nonlabor!$G$20,OR(Nonlabor!$H$20="Monthly",AND(Nonlabor!$H$20="Once",C2176=IF(Nonlabor!$E$20="Core",Nonlabor!$F$20,MAX(Nonlabor!$F$20,IF(Nonlabor!$E$20="AI",Assumptions!$D$24,Assumptions!$D$25)))),AND(Nonlabor!$H$20="Annual",MOD(C2176-IF(Nonlabor!$E$20="Core",Nonlabor!$F$20,MAX(Nonlabor!$F$20,IF(Nonlabor!$E$20="AI",Assumptions!$D$24,Assumptions!$D$25))),12)=0))),IF(Nonlabor!$I$20="Fixed",1,IF(Nonlabor!$I$20="Seats",ROUNDUP('Monthly Base'!I16,0),IF(Nonlabor!$I$20="Customers",'Monthly Base'!D16,IF(Nonlabor!$I$20="NewCustomers",'Monthly Base'!C16,IF(Nonlabor!$I$20="StorageGB",'Monthly Base'!G16,IF(Nonlabor!$I$20="LogGB",'Monthly Base'!H16,IF(Nonlabor!$I$20="RequestsM",'Monthly Base'!F16,IF(Nonlabor!$I$20="InputM",'Monthly Base'!D16*Assumptions!$D$22/1000000,IF(Nonlabor!$I$20="OutputM",'Monthly Base'!D16*Assumptions!$D$23/1000000,0))))))))),0)</f>
        <v>1</v>
      </c>
      <c r="F2176" s="10" t="n">
        <f aca="false">Nonlabor!$J$20*(1+Assumptions!$D$9)^INT((C2176-1)/12)</f>
        <v>600</v>
      </c>
      <c r="G2176" s="10" t="n">
        <f aca="false">E2176*F2176</f>
        <v>600</v>
      </c>
      <c r="H2176" s="10" t="n">
        <f aca="false">IF(OR(Nonlabor!$L$20="Quote required",Nonlabor!$L$20="Unverified"),G2176,0)</f>
        <v>600</v>
      </c>
      <c r="I2176" s="10" t="n">
        <f aca="false">IF(Nonlabor!$E$20="Core",0,G2176)</f>
        <v>0</v>
      </c>
      <c r="J2176" s="23" t="str">
        <f aca="false">Nonlabor!$B$20</f>
        <v>ACCOUNTING</v>
      </c>
    </row>
    <row r="2177" customFormat="false" ht="15" hidden="false" customHeight="false" outlineLevel="0" collapsed="false">
      <c r="A2177" s="6" t="s">
        <v>4</v>
      </c>
      <c r="B2177" s="6" t="s">
        <v>51</v>
      </c>
      <c r="C2177" s="6" t="n">
        <v>12</v>
      </c>
      <c r="D2177" s="25" t="n">
        <f aca="false">EDATE('Start Here'!$B$6,C2177-1)</f>
        <v>46661</v>
      </c>
      <c r="E2177" s="23" t="n">
        <f aca="false">IF(AND(OR(Nonlabor!$D$20="Both",Nonlabor!$D$20='Start Here'!$B$9),IF(Nonlabor!$E$20="Core",1,IF(Nonlabor!$E$20="AI",'Start Here'!$B$7,'Start Here'!$B$8))=1,C2177&gt;=IF(Nonlabor!$E$20="Core",Nonlabor!$F$20,MAX(Nonlabor!$F$20,IF(Nonlabor!$E$20="AI",Assumptions!$D$24,Assumptions!$D$25))),C2177&lt;=Nonlabor!$G$20,OR(Nonlabor!$H$20="Monthly",AND(Nonlabor!$H$20="Once",C2177=IF(Nonlabor!$E$20="Core",Nonlabor!$F$20,MAX(Nonlabor!$F$20,IF(Nonlabor!$E$20="AI",Assumptions!$D$24,Assumptions!$D$25)))),AND(Nonlabor!$H$20="Annual",MOD(C2177-IF(Nonlabor!$E$20="Core",Nonlabor!$F$20,MAX(Nonlabor!$F$20,IF(Nonlabor!$E$20="AI",Assumptions!$D$24,Assumptions!$D$25))),12)=0))),IF(Nonlabor!$I$20="Fixed",1,IF(Nonlabor!$I$20="Seats",ROUNDUP('Monthly Base'!I17,0),IF(Nonlabor!$I$20="Customers",'Monthly Base'!D17,IF(Nonlabor!$I$20="NewCustomers",'Monthly Base'!C17,IF(Nonlabor!$I$20="StorageGB",'Monthly Base'!G17,IF(Nonlabor!$I$20="LogGB",'Monthly Base'!H17,IF(Nonlabor!$I$20="RequestsM",'Monthly Base'!F17,IF(Nonlabor!$I$20="InputM",'Monthly Base'!D17*Assumptions!$D$22/1000000,IF(Nonlabor!$I$20="OutputM",'Monthly Base'!D17*Assumptions!$D$23/1000000,0))))))))),0)</f>
        <v>1</v>
      </c>
      <c r="F2177" s="10" t="n">
        <f aca="false">Nonlabor!$J$20*(1+Assumptions!$D$9)^INT((C2177-1)/12)</f>
        <v>600</v>
      </c>
      <c r="G2177" s="10" t="n">
        <f aca="false">E2177*F2177</f>
        <v>600</v>
      </c>
      <c r="H2177" s="10" t="n">
        <f aca="false">IF(OR(Nonlabor!$L$20="Quote required",Nonlabor!$L$20="Unverified"),G2177,0)</f>
        <v>600</v>
      </c>
      <c r="I2177" s="10" t="n">
        <f aca="false">IF(Nonlabor!$E$20="Core",0,G2177)</f>
        <v>0</v>
      </c>
      <c r="J2177" s="23" t="str">
        <f aca="false">Nonlabor!$B$20</f>
        <v>ACCOUNTING</v>
      </c>
    </row>
    <row r="2178" customFormat="false" ht="15" hidden="false" customHeight="false" outlineLevel="0" collapsed="false">
      <c r="A2178" s="6" t="s">
        <v>4</v>
      </c>
      <c r="B2178" s="6" t="s">
        <v>51</v>
      </c>
      <c r="C2178" s="6" t="n">
        <v>13</v>
      </c>
      <c r="D2178" s="25" t="n">
        <f aca="false">EDATE('Start Here'!$B$6,C2178-1)</f>
        <v>46692</v>
      </c>
      <c r="E2178" s="23" t="n">
        <f aca="false">IF(AND(OR(Nonlabor!$D$20="Both",Nonlabor!$D$20='Start Here'!$B$9),IF(Nonlabor!$E$20="Core",1,IF(Nonlabor!$E$20="AI",'Start Here'!$B$7,'Start Here'!$B$8))=1,C2178&gt;=IF(Nonlabor!$E$20="Core",Nonlabor!$F$20,MAX(Nonlabor!$F$20,IF(Nonlabor!$E$20="AI",Assumptions!$D$24,Assumptions!$D$25))),C2178&lt;=Nonlabor!$G$20,OR(Nonlabor!$H$20="Monthly",AND(Nonlabor!$H$20="Once",C2178=IF(Nonlabor!$E$20="Core",Nonlabor!$F$20,MAX(Nonlabor!$F$20,IF(Nonlabor!$E$20="AI",Assumptions!$D$24,Assumptions!$D$25)))),AND(Nonlabor!$H$20="Annual",MOD(C2178-IF(Nonlabor!$E$20="Core",Nonlabor!$F$20,MAX(Nonlabor!$F$20,IF(Nonlabor!$E$20="AI",Assumptions!$D$24,Assumptions!$D$25))),12)=0))),IF(Nonlabor!$I$20="Fixed",1,IF(Nonlabor!$I$20="Seats",ROUNDUP('Monthly Base'!I18,0),IF(Nonlabor!$I$20="Customers",'Monthly Base'!D18,IF(Nonlabor!$I$20="NewCustomers",'Monthly Base'!C18,IF(Nonlabor!$I$20="StorageGB",'Monthly Base'!G18,IF(Nonlabor!$I$20="LogGB",'Monthly Base'!H18,IF(Nonlabor!$I$20="RequestsM",'Monthly Base'!F18,IF(Nonlabor!$I$20="InputM",'Monthly Base'!D18*Assumptions!$D$22/1000000,IF(Nonlabor!$I$20="OutputM",'Monthly Base'!D18*Assumptions!$D$23/1000000,0))))))))),0)</f>
        <v>1</v>
      </c>
      <c r="F2178" s="10" t="n">
        <f aca="false">Nonlabor!$J$20*(1+Assumptions!$D$9)^INT((C2178-1)/12)</f>
        <v>618</v>
      </c>
      <c r="G2178" s="10" t="n">
        <f aca="false">E2178*F2178</f>
        <v>618</v>
      </c>
      <c r="H2178" s="10" t="n">
        <f aca="false">IF(OR(Nonlabor!$L$20="Quote required",Nonlabor!$L$20="Unverified"),G2178,0)</f>
        <v>618</v>
      </c>
      <c r="I2178" s="10" t="n">
        <f aca="false">IF(Nonlabor!$E$20="Core",0,G2178)</f>
        <v>0</v>
      </c>
      <c r="J2178" s="23" t="str">
        <f aca="false">Nonlabor!$B$20</f>
        <v>ACCOUNTING</v>
      </c>
    </row>
    <row r="2179" customFormat="false" ht="15" hidden="false" customHeight="false" outlineLevel="0" collapsed="false">
      <c r="A2179" s="6" t="s">
        <v>4</v>
      </c>
      <c r="B2179" s="6" t="s">
        <v>51</v>
      </c>
      <c r="C2179" s="6" t="n">
        <v>14</v>
      </c>
      <c r="D2179" s="25" t="n">
        <f aca="false">EDATE('Start Here'!$B$6,C2179-1)</f>
        <v>46722</v>
      </c>
      <c r="E2179" s="23" t="n">
        <f aca="false">IF(AND(OR(Nonlabor!$D$20="Both",Nonlabor!$D$20='Start Here'!$B$9),IF(Nonlabor!$E$20="Core",1,IF(Nonlabor!$E$20="AI",'Start Here'!$B$7,'Start Here'!$B$8))=1,C2179&gt;=IF(Nonlabor!$E$20="Core",Nonlabor!$F$20,MAX(Nonlabor!$F$20,IF(Nonlabor!$E$20="AI",Assumptions!$D$24,Assumptions!$D$25))),C2179&lt;=Nonlabor!$G$20,OR(Nonlabor!$H$20="Monthly",AND(Nonlabor!$H$20="Once",C2179=IF(Nonlabor!$E$20="Core",Nonlabor!$F$20,MAX(Nonlabor!$F$20,IF(Nonlabor!$E$20="AI",Assumptions!$D$24,Assumptions!$D$25)))),AND(Nonlabor!$H$20="Annual",MOD(C2179-IF(Nonlabor!$E$20="Core",Nonlabor!$F$20,MAX(Nonlabor!$F$20,IF(Nonlabor!$E$20="AI",Assumptions!$D$24,Assumptions!$D$25))),12)=0))),IF(Nonlabor!$I$20="Fixed",1,IF(Nonlabor!$I$20="Seats",ROUNDUP('Monthly Base'!I19,0),IF(Nonlabor!$I$20="Customers",'Monthly Base'!D19,IF(Nonlabor!$I$20="NewCustomers",'Monthly Base'!C19,IF(Nonlabor!$I$20="StorageGB",'Monthly Base'!G19,IF(Nonlabor!$I$20="LogGB",'Monthly Base'!H19,IF(Nonlabor!$I$20="RequestsM",'Monthly Base'!F19,IF(Nonlabor!$I$20="InputM",'Monthly Base'!D19*Assumptions!$D$22/1000000,IF(Nonlabor!$I$20="OutputM",'Monthly Base'!D19*Assumptions!$D$23/1000000,0))))))))),0)</f>
        <v>1</v>
      </c>
      <c r="F2179" s="10" t="n">
        <f aca="false">Nonlabor!$J$20*(1+Assumptions!$D$9)^INT((C2179-1)/12)</f>
        <v>618</v>
      </c>
      <c r="G2179" s="10" t="n">
        <f aca="false">E2179*F2179</f>
        <v>618</v>
      </c>
      <c r="H2179" s="10" t="n">
        <f aca="false">IF(OR(Nonlabor!$L$20="Quote required",Nonlabor!$L$20="Unverified"),G2179,0)</f>
        <v>618</v>
      </c>
      <c r="I2179" s="10" t="n">
        <f aca="false">IF(Nonlabor!$E$20="Core",0,G2179)</f>
        <v>0</v>
      </c>
      <c r="J2179" s="23" t="str">
        <f aca="false">Nonlabor!$B$20</f>
        <v>ACCOUNTING</v>
      </c>
    </row>
    <row r="2180" customFormat="false" ht="15" hidden="false" customHeight="false" outlineLevel="0" collapsed="false">
      <c r="A2180" s="6" t="s">
        <v>4</v>
      </c>
      <c r="B2180" s="6" t="s">
        <v>51</v>
      </c>
      <c r="C2180" s="6" t="n">
        <v>15</v>
      </c>
      <c r="D2180" s="25" t="n">
        <f aca="false">EDATE('Start Here'!$B$6,C2180-1)</f>
        <v>46753</v>
      </c>
      <c r="E2180" s="23" t="n">
        <f aca="false">IF(AND(OR(Nonlabor!$D$20="Both",Nonlabor!$D$20='Start Here'!$B$9),IF(Nonlabor!$E$20="Core",1,IF(Nonlabor!$E$20="AI",'Start Here'!$B$7,'Start Here'!$B$8))=1,C2180&gt;=IF(Nonlabor!$E$20="Core",Nonlabor!$F$20,MAX(Nonlabor!$F$20,IF(Nonlabor!$E$20="AI",Assumptions!$D$24,Assumptions!$D$25))),C2180&lt;=Nonlabor!$G$20,OR(Nonlabor!$H$20="Monthly",AND(Nonlabor!$H$20="Once",C2180=IF(Nonlabor!$E$20="Core",Nonlabor!$F$20,MAX(Nonlabor!$F$20,IF(Nonlabor!$E$20="AI",Assumptions!$D$24,Assumptions!$D$25)))),AND(Nonlabor!$H$20="Annual",MOD(C2180-IF(Nonlabor!$E$20="Core",Nonlabor!$F$20,MAX(Nonlabor!$F$20,IF(Nonlabor!$E$20="AI",Assumptions!$D$24,Assumptions!$D$25))),12)=0))),IF(Nonlabor!$I$20="Fixed",1,IF(Nonlabor!$I$20="Seats",ROUNDUP('Monthly Base'!I20,0),IF(Nonlabor!$I$20="Customers",'Monthly Base'!D20,IF(Nonlabor!$I$20="NewCustomers",'Monthly Base'!C20,IF(Nonlabor!$I$20="StorageGB",'Monthly Base'!G20,IF(Nonlabor!$I$20="LogGB",'Monthly Base'!H20,IF(Nonlabor!$I$20="RequestsM",'Monthly Base'!F20,IF(Nonlabor!$I$20="InputM",'Monthly Base'!D20*Assumptions!$D$22/1000000,IF(Nonlabor!$I$20="OutputM",'Monthly Base'!D20*Assumptions!$D$23/1000000,0))))))))),0)</f>
        <v>1</v>
      </c>
      <c r="F2180" s="10" t="n">
        <f aca="false">Nonlabor!$J$20*(1+Assumptions!$D$9)^INT((C2180-1)/12)</f>
        <v>618</v>
      </c>
      <c r="G2180" s="10" t="n">
        <f aca="false">E2180*F2180</f>
        <v>618</v>
      </c>
      <c r="H2180" s="10" t="n">
        <f aca="false">IF(OR(Nonlabor!$L$20="Quote required",Nonlabor!$L$20="Unverified"),G2180,0)</f>
        <v>618</v>
      </c>
      <c r="I2180" s="10" t="n">
        <f aca="false">IF(Nonlabor!$E$20="Core",0,G2180)</f>
        <v>0</v>
      </c>
      <c r="J2180" s="23" t="str">
        <f aca="false">Nonlabor!$B$20</f>
        <v>ACCOUNTING</v>
      </c>
    </row>
    <row r="2181" customFormat="false" ht="15" hidden="false" customHeight="false" outlineLevel="0" collapsed="false">
      <c r="A2181" s="6" t="s">
        <v>4</v>
      </c>
      <c r="B2181" s="6" t="s">
        <v>51</v>
      </c>
      <c r="C2181" s="6" t="n">
        <v>16</v>
      </c>
      <c r="D2181" s="25" t="n">
        <f aca="false">EDATE('Start Here'!$B$6,C2181-1)</f>
        <v>46784</v>
      </c>
      <c r="E2181" s="23" t="n">
        <f aca="false">IF(AND(OR(Nonlabor!$D$20="Both",Nonlabor!$D$20='Start Here'!$B$9),IF(Nonlabor!$E$20="Core",1,IF(Nonlabor!$E$20="AI",'Start Here'!$B$7,'Start Here'!$B$8))=1,C2181&gt;=IF(Nonlabor!$E$20="Core",Nonlabor!$F$20,MAX(Nonlabor!$F$20,IF(Nonlabor!$E$20="AI",Assumptions!$D$24,Assumptions!$D$25))),C2181&lt;=Nonlabor!$G$20,OR(Nonlabor!$H$20="Monthly",AND(Nonlabor!$H$20="Once",C2181=IF(Nonlabor!$E$20="Core",Nonlabor!$F$20,MAX(Nonlabor!$F$20,IF(Nonlabor!$E$20="AI",Assumptions!$D$24,Assumptions!$D$25)))),AND(Nonlabor!$H$20="Annual",MOD(C2181-IF(Nonlabor!$E$20="Core",Nonlabor!$F$20,MAX(Nonlabor!$F$20,IF(Nonlabor!$E$20="AI",Assumptions!$D$24,Assumptions!$D$25))),12)=0))),IF(Nonlabor!$I$20="Fixed",1,IF(Nonlabor!$I$20="Seats",ROUNDUP('Monthly Base'!I21,0),IF(Nonlabor!$I$20="Customers",'Monthly Base'!D21,IF(Nonlabor!$I$20="NewCustomers",'Monthly Base'!C21,IF(Nonlabor!$I$20="StorageGB",'Monthly Base'!G21,IF(Nonlabor!$I$20="LogGB",'Monthly Base'!H21,IF(Nonlabor!$I$20="RequestsM",'Monthly Base'!F21,IF(Nonlabor!$I$20="InputM",'Monthly Base'!D21*Assumptions!$D$22/1000000,IF(Nonlabor!$I$20="OutputM",'Monthly Base'!D21*Assumptions!$D$23/1000000,0))))))))),0)</f>
        <v>1</v>
      </c>
      <c r="F2181" s="10" t="n">
        <f aca="false">Nonlabor!$J$20*(1+Assumptions!$D$9)^INT((C2181-1)/12)</f>
        <v>618</v>
      </c>
      <c r="G2181" s="10" t="n">
        <f aca="false">E2181*F2181</f>
        <v>618</v>
      </c>
      <c r="H2181" s="10" t="n">
        <f aca="false">IF(OR(Nonlabor!$L$20="Quote required",Nonlabor!$L$20="Unverified"),G2181,0)</f>
        <v>618</v>
      </c>
      <c r="I2181" s="10" t="n">
        <f aca="false">IF(Nonlabor!$E$20="Core",0,G2181)</f>
        <v>0</v>
      </c>
      <c r="J2181" s="23" t="str">
        <f aca="false">Nonlabor!$B$20</f>
        <v>ACCOUNTING</v>
      </c>
    </row>
    <row r="2182" customFormat="false" ht="15" hidden="false" customHeight="false" outlineLevel="0" collapsed="false">
      <c r="A2182" s="6" t="s">
        <v>4</v>
      </c>
      <c r="B2182" s="6" t="s">
        <v>51</v>
      </c>
      <c r="C2182" s="6" t="n">
        <v>17</v>
      </c>
      <c r="D2182" s="25" t="n">
        <f aca="false">EDATE('Start Here'!$B$6,C2182-1)</f>
        <v>46813</v>
      </c>
      <c r="E2182" s="23" t="n">
        <f aca="false">IF(AND(OR(Nonlabor!$D$20="Both",Nonlabor!$D$20='Start Here'!$B$9),IF(Nonlabor!$E$20="Core",1,IF(Nonlabor!$E$20="AI",'Start Here'!$B$7,'Start Here'!$B$8))=1,C2182&gt;=IF(Nonlabor!$E$20="Core",Nonlabor!$F$20,MAX(Nonlabor!$F$20,IF(Nonlabor!$E$20="AI",Assumptions!$D$24,Assumptions!$D$25))),C2182&lt;=Nonlabor!$G$20,OR(Nonlabor!$H$20="Monthly",AND(Nonlabor!$H$20="Once",C2182=IF(Nonlabor!$E$20="Core",Nonlabor!$F$20,MAX(Nonlabor!$F$20,IF(Nonlabor!$E$20="AI",Assumptions!$D$24,Assumptions!$D$25)))),AND(Nonlabor!$H$20="Annual",MOD(C2182-IF(Nonlabor!$E$20="Core",Nonlabor!$F$20,MAX(Nonlabor!$F$20,IF(Nonlabor!$E$20="AI",Assumptions!$D$24,Assumptions!$D$25))),12)=0))),IF(Nonlabor!$I$20="Fixed",1,IF(Nonlabor!$I$20="Seats",ROUNDUP('Monthly Base'!I22,0),IF(Nonlabor!$I$20="Customers",'Monthly Base'!D22,IF(Nonlabor!$I$20="NewCustomers",'Monthly Base'!C22,IF(Nonlabor!$I$20="StorageGB",'Monthly Base'!G22,IF(Nonlabor!$I$20="LogGB",'Monthly Base'!H22,IF(Nonlabor!$I$20="RequestsM",'Monthly Base'!F22,IF(Nonlabor!$I$20="InputM",'Monthly Base'!D22*Assumptions!$D$22/1000000,IF(Nonlabor!$I$20="OutputM",'Monthly Base'!D22*Assumptions!$D$23/1000000,0))))))))),0)</f>
        <v>1</v>
      </c>
      <c r="F2182" s="10" t="n">
        <f aca="false">Nonlabor!$J$20*(1+Assumptions!$D$9)^INT((C2182-1)/12)</f>
        <v>618</v>
      </c>
      <c r="G2182" s="10" t="n">
        <f aca="false">E2182*F2182</f>
        <v>618</v>
      </c>
      <c r="H2182" s="10" t="n">
        <f aca="false">IF(OR(Nonlabor!$L$20="Quote required",Nonlabor!$L$20="Unverified"),G2182,0)</f>
        <v>618</v>
      </c>
      <c r="I2182" s="10" t="n">
        <f aca="false">IF(Nonlabor!$E$20="Core",0,G2182)</f>
        <v>0</v>
      </c>
      <c r="J2182" s="23" t="str">
        <f aca="false">Nonlabor!$B$20</f>
        <v>ACCOUNTING</v>
      </c>
    </row>
    <row r="2183" customFormat="false" ht="15" hidden="false" customHeight="false" outlineLevel="0" collapsed="false">
      <c r="A2183" s="6" t="s">
        <v>4</v>
      </c>
      <c r="B2183" s="6" t="s">
        <v>51</v>
      </c>
      <c r="C2183" s="6" t="n">
        <v>18</v>
      </c>
      <c r="D2183" s="25" t="n">
        <f aca="false">EDATE('Start Here'!$B$6,C2183-1)</f>
        <v>46844</v>
      </c>
      <c r="E2183" s="23" t="n">
        <f aca="false">IF(AND(OR(Nonlabor!$D$20="Both",Nonlabor!$D$20='Start Here'!$B$9),IF(Nonlabor!$E$20="Core",1,IF(Nonlabor!$E$20="AI",'Start Here'!$B$7,'Start Here'!$B$8))=1,C2183&gt;=IF(Nonlabor!$E$20="Core",Nonlabor!$F$20,MAX(Nonlabor!$F$20,IF(Nonlabor!$E$20="AI",Assumptions!$D$24,Assumptions!$D$25))),C2183&lt;=Nonlabor!$G$20,OR(Nonlabor!$H$20="Monthly",AND(Nonlabor!$H$20="Once",C2183=IF(Nonlabor!$E$20="Core",Nonlabor!$F$20,MAX(Nonlabor!$F$20,IF(Nonlabor!$E$20="AI",Assumptions!$D$24,Assumptions!$D$25)))),AND(Nonlabor!$H$20="Annual",MOD(C2183-IF(Nonlabor!$E$20="Core",Nonlabor!$F$20,MAX(Nonlabor!$F$20,IF(Nonlabor!$E$20="AI",Assumptions!$D$24,Assumptions!$D$25))),12)=0))),IF(Nonlabor!$I$20="Fixed",1,IF(Nonlabor!$I$20="Seats",ROUNDUP('Monthly Base'!I23,0),IF(Nonlabor!$I$20="Customers",'Monthly Base'!D23,IF(Nonlabor!$I$20="NewCustomers",'Monthly Base'!C23,IF(Nonlabor!$I$20="StorageGB",'Monthly Base'!G23,IF(Nonlabor!$I$20="LogGB",'Monthly Base'!H23,IF(Nonlabor!$I$20="RequestsM",'Monthly Base'!F23,IF(Nonlabor!$I$20="InputM",'Monthly Base'!D23*Assumptions!$D$22/1000000,IF(Nonlabor!$I$20="OutputM",'Monthly Base'!D23*Assumptions!$D$23/1000000,0))))))))),0)</f>
        <v>1</v>
      </c>
      <c r="F2183" s="10" t="n">
        <f aca="false">Nonlabor!$J$20*(1+Assumptions!$D$9)^INT((C2183-1)/12)</f>
        <v>618</v>
      </c>
      <c r="G2183" s="10" t="n">
        <f aca="false">E2183*F2183</f>
        <v>618</v>
      </c>
      <c r="H2183" s="10" t="n">
        <f aca="false">IF(OR(Nonlabor!$L$20="Quote required",Nonlabor!$L$20="Unverified"),G2183,0)</f>
        <v>618</v>
      </c>
      <c r="I2183" s="10" t="n">
        <f aca="false">IF(Nonlabor!$E$20="Core",0,G2183)</f>
        <v>0</v>
      </c>
      <c r="J2183" s="23" t="str">
        <f aca="false">Nonlabor!$B$20</f>
        <v>ACCOUNTING</v>
      </c>
    </row>
    <row r="2184" customFormat="false" ht="15" hidden="false" customHeight="false" outlineLevel="0" collapsed="false">
      <c r="A2184" s="6" t="s">
        <v>4</v>
      </c>
      <c r="B2184" s="6" t="s">
        <v>51</v>
      </c>
      <c r="C2184" s="6" t="n">
        <v>19</v>
      </c>
      <c r="D2184" s="25" t="n">
        <f aca="false">EDATE('Start Here'!$B$6,C2184-1)</f>
        <v>46874</v>
      </c>
      <c r="E2184" s="23" t="n">
        <f aca="false">IF(AND(OR(Nonlabor!$D$20="Both",Nonlabor!$D$20='Start Here'!$B$9),IF(Nonlabor!$E$20="Core",1,IF(Nonlabor!$E$20="AI",'Start Here'!$B$7,'Start Here'!$B$8))=1,C2184&gt;=IF(Nonlabor!$E$20="Core",Nonlabor!$F$20,MAX(Nonlabor!$F$20,IF(Nonlabor!$E$20="AI",Assumptions!$D$24,Assumptions!$D$25))),C2184&lt;=Nonlabor!$G$20,OR(Nonlabor!$H$20="Monthly",AND(Nonlabor!$H$20="Once",C2184=IF(Nonlabor!$E$20="Core",Nonlabor!$F$20,MAX(Nonlabor!$F$20,IF(Nonlabor!$E$20="AI",Assumptions!$D$24,Assumptions!$D$25)))),AND(Nonlabor!$H$20="Annual",MOD(C2184-IF(Nonlabor!$E$20="Core",Nonlabor!$F$20,MAX(Nonlabor!$F$20,IF(Nonlabor!$E$20="AI",Assumptions!$D$24,Assumptions!$D$25))),12)=0))),IF(Nonlabor!$I$20="Fixed",1,IF(Nonlabor!$I$20="Seats",ROUNDUP('Monthly Base'!I24,0),IF(Nonlabor!$I$20="Customers",'Monthly Base'!D24,IF(Nonlabor!$I$20="NewCustomers",'Monthly Base'!C24,IF(Nonlabor!$I$20="StorageGB",'Monthly Base'!G24,IF(Nonlabor!$I$20="LogGB",'Monthly Base'!H24,IF(Nonlabor!$I$20="RequestsM",'Monthly Base'!F24,IF(Nonlabor!$I$20="InputM",'Monthly Base'!D24*Assumptions!$D$22/1000000,IF(Nonlabor!$I$20="OutputM",'Monthly Base'!D24*Assumptions!$D$23/1000000,0))))))))),0)</f>
        <v>1</v>
      </c>
      <c r="F2184" s="10" t="n">
        <f aca="false">Nonlabor!$J$20*(1+Assumptions!$D$9)^INT((C2184-1)/12)</f>
        <v>618</v>
      </c>
      <c r="G2184" s="10" t="n">
        <f aca="false">E2184*F2184</f>
        <v>618</v>
      </c>
      <c r="H2184" s="10" t="n">
        <f aca="false">IF(OR(Nonlabor!$L$20="Quote required",Nonlabor!$L$20="Unverified"),G2184,0)</f>
        <v>618</v>
      </c>
      <c r="I2184" s="10" t="n">
        <f aca="false">IF(Nonlabor!$E$20="Core",0,G2184)</f>
        <v>0</v>
      </c>
      <c r="J2184" s="23" t="str">
        <f aca="false">Nonlabor!$B$20</f>
        <v>ACCOUNTING</v>
      </c>
    </row>
    <row r="2185" customFormat="false" ht="15" hidden="false" customHeight="false" outlineLevel="0" collapsed="false">
      <c r="A2185" s="6" t="s">
        <v>4</v>
      </c>
      <c r="B2185" s="6" t="s">
        <v>51</v>
      </c>
      <c r="C2185" s="6" t="n">
        <v>20</v>
      </c>
      <c r="D2185" s="25" t="n">
        <f aca="false">EDATE('Start Here'!$B$6,C2185-1)</f>
        <v>46905</v>
      </c>
      <c r="E2185" s="23" t="n">
        <f aca="false">IF(AND(OR(Nonlabor!$D$20="Both",Nonlabor!$D$20='Start Here'!$B$9),IF(Nonlabor!$E$20="Core",1,IF(Nonlabor!$E$20="AI",'Start Here'!$B$7,'Start Here'!$B$8))=1,C2185&gt;=IF(Nonlabor!$E$20="Core",Nonlabor!$F$20,MAX(Nonlabor!$F$20,IF(Nonlabor!$E$20="AI",Assumptions!$D$24,Assumptions!$D$25))),C2185&lt;=Nonlabor!$G$20,OR(Nonlabor!$H$20="Monthly",AND(Nonlabor!$H$20="Once",C2185=IF(Nonlabor!$E$20="Core",Nonlabor!$F$20,MAX(Nonlabor!$F$20,IF(Nonlabor!$E$20="AI",Assumptions!$D$24,Assumptions!$D$25)))),AND(Nonlabor!$H$20="Annual",MOD(C2185-IF(Nonlabor!$E$20="Core",Nonlabor!$F$20,MAX(Nonlabor!$F$20,IF(Nonlabor!$E$20="AI",Assumptions!$D$24,Assumptions!$D$25))),12)=0))),IF(Nonlabor!$I$20="Fixed",1,IF(Nonlabor!$I$20="Seats",ROUNDUP('Monthly Base'!I25,0),IF(Nonlabor!$I$20="Customers",'Monthly Base'!D25,IF(Nonlabor!$I$20="NewCustomers",'Monthly Base'!C25,IF(Nonlabor!$I$20="StorageGB",'Monthly Base'!G25,IF(Nonlabor!$I$20="LogGB",'Monthly Base'!H25,IF(Nonlabor!$I$20="RequestsM",'Monthly Base'!F25,IF(Nonlabor!$I$20="InputM",'Monthly Base'!D25*Assumptions!$D$22/1000000,IF(Nonlabor!$I$20="OutputM",'Monthly Base'!D25*Assumptions!$D$23/1000000,0))))))))),0)</f>
        <v>1</v>
      </c>
      <c r="F2185" s="10" t="n">
        <f aca="false">Nonlabor!$J$20*(1+Assumptions!$D$9)^INT((C2185-1)/12)</f>
        <v>618</v>
      </c>
      <c r="G2185" s="10" t="n">
        <f aca="false">E2185*F2185</f>
        <v>618</v>
      </c>
      <c r="H2185" s="10" t="n">
        <f aca="false">IF(OR(Nonlabor!$L$20="Quote required",Nonlabor!$L$20="Unverified"),G2185,0)</f>
        <v>618</v>
      </c>
      <c r="I2185" s="10" t="n">
        <f aca="false">IF(Nonlabor!$E$20="Core",0,G2185)</f>
        <v>0</v>
      </c>
      <c r="J2185" s="23" t="str">
        <f aca="false">Nonlabor!$B$20</f>
        <v>ACCOUNTING</v>
      </c>
    </row>
    <row r="2186" customFormat="false" ht="15" hidden="false" customHeight="false" outlineLevel="0" collapsed="false">
      <c r="A2186" s="6" t="s">
        <v>4</v>
      </c>
      <c r="B2186" s="6" t="s">
        <v>51</v>
      </c>
      <c r="C2186" s="6" t="n">
        <v>21</v>
      </c>
      <c r="D2186" s="25" t="n">
        <f aca="false">EDATE('Start Here'!$B$6,C2186-1)</f>
        <v>46935</v>
      </c>
      <c r="E2186" s="23" t="n">
        <f aca="false">IF(AND(OR(Nonlabor!$D$20="Both",Nonlabor!$D$20='Start Here'!$B$9),IF(Nonlabor!$E$20="Core",1,IF(Nonlabor!$E$20="AI",'Start Here'!$B$7,'Start Here'!$B$8))=1,C2186&gt;=IF(Nonlabor!$E$20="Core",Nonlabor!$F$20,MAX(Nonlabor!$F$20,IF(Nonlabor!$E$20="AI",Assumptions!$D$24,Assumptions!$D$25))),C2186&lt;=Nonlabor!$G$20,OR(Nonlabor!$H$20="Monthly",AND(Nonlabor!$H$20="Once",C2186=IF(Nonlabor!$E$20="Core",Nonlabor!$F$20,MAX(Nonlabor!$F$20,IF(Nonlabor!$E$20="AI",Assumptions!$D$24,Assumptions!$D$25)))),AND(Nonlabor!$H$20="Annual",MOD(C2186-IF(Nonlabor!$E$20="Core",Nonlabor!$F$20,MAX(Nonlabor!$F$20,IF(Nonlabor!$E$20="AI",Assumptions!$D$24,Assumptions!$D$25))),12)=0))),IF(Nonlabor!$I$20="Fixed",1,IF(Nonlabor!$I$20="Seats",ROUNDUP('Monthly Base'!I26,0),IF(Nonlabor!$I$20="Customers",'Monthly Base'!D26,IF(Nonlabor!$I$20="NewCustomers",'Monthly Base'!C26,IF(Nonlabor!$I$20="StorageGB",'Monthly Base'!G26,IF(Nonlabor!$I$20="LogGB",'Monthly Base'!H26,IF(Nonlabor!$I$20="RequestsM",'Monthly Base'!F26,IF(Nonlabor!$I$20="InputM",'Monthly Base'!D26*Assumptions!$D$22/1000000,IF(Nonlabor!$I$20="OutputM",'Monthly Base'!D26*Assumptions!$D$23/1000000,0))))))))),0)</f>
        <v>1</v>
      </c>
      <c r="F2186" s="10" t="n">
        <f aca="false">Nonlabor!$J$20*(1+Assumptions!$D$9)^INT((C2186-1)/12)</f>
        <v>618</v>
      </c>
      <c r="G2186" s="10" t="n">
        <f aca="false">E2186*F2186</f>
        <v>618</v>
      </c>
      <c r="H2186" s="10" t="n">
        <f aca="false">IF(OR(Nonlabor!$L$20="Quote required",Nonlabor!$L$20="Unverified"),G2186,0)</f>
        <v>618</v>
      </c>
      <c r="I2186" s="10" t="n">
        <f aca="false">IF(Nonlabor!$E$20="Core",0,G2186)</f>
        <v>0</v>
      </c>
      <c r="J2186" s="23" t="str">
        <f aca="false">Nonlabor!$B$20</f>
        <v>ACCOUNTING</v>
      </c>
    </row>
    <row r="2187" customFormat="false" ht="15" hidden="false" customHeight="false" outlineLevel="0" collapsed="false">
      <c r="A2187" s="6" t="s">
        <v>4</v>
      </c>
      <c r="B2187" s="6" t="s">
        <v>51</v>
      </c>
      <c r="C2187" s="6" t="n">
        <v>22</v>
      </c>
      <c r="D2187" s="25" t="n">
        <f aca="false">EDATE('Start Here'!$B$6,C2187-1)</f>
        <v>46966</v>
      </c>
      <c r="E2187" s="23" t="n">
        <f aca="false">IF(AND(OR(Nonlabor!$D$20="Both",Nonlabor!$D$20='Start Here'!$B$9),IF(Nonlabor!$E$20="Core",1,IF(Nonlabor!$E$20="AI",'Start Here'!$B$7,'Start Here'!$B$8))=1,C2187&gt;=IF(Nonlabor!$E$20="Core",Nonlabor!$F$20,MAX(Nonlabor!$F$20,IF(Nonlabor!$E$20="AI",Assumptions!$D$24,Assumptions!$D$25))),C2187&lt;=Nonlabor!$G$20,OR(Nonlabor!$H$20="Monthly",AND(Nonlabor!$H$20="Once",C2187=IF(Nonlabor!$E$20="Core",Nonlabor!$F$20,MAX(Nonlabor!$F$20,IF(Nonlabor!$E$20="AI",Assumptions!$D$24,Assumptions!$D$25)))),AND(Nonlabor!$H$20="Annual",MOD(C2187-IF(Nonlabor!$E$20="Core",Nonlabor!$F$20,MAX(Nonlabor!$F$20,IF(Nonlabor!$E$20="AI",Assumptions!$D$24,Assumptions!$D$25))),12)=0))),IF(Nonlabor!$I$20="Fixed",1,IF(Nonlabor!$I$20="Seats",ROUNDUP('Monthly Base'!I27,0),IF(Nonlabor!$I$20="Customers",'Monthly Base'!D27,IF(Nonlabor!$I$20="NewCustomers",'Monthly Base'!C27,IF(Nonlabor!$I$20="StorageGB",'Monthly Base'!G27,IF(Nonlabor!$I$20="LogGB",'Monthly Base'!H27,IF(Nonlabor!$I$20="RequestsM",'Monthly Base'!F27,IF(Nonlabor!$I$20="InputM",'Monthly Base'!D27*Assumptions!$D$22/1000000,IF(Nonlabor!$I$20="OutputM",'Monthly Base'!D27*Assumptions!$D$23/1000000,0))))))))),0)</f>
        <v>1</v>
      </c>
      <c r="F2187" s="10" t="n">
        <f aca="false">Nonlabor!$J$20*(1+Assumptions!$D$9)^INT((C2187-1)/12)</f>
        <v>618</v>
      </c>
      <c r="G2187" s="10" t="n">
        <f aca="false">E2187*F2187</f>
        <v>618</v>
      </c>
      <c r="H2187" s="10" t="n">
        <f aca="false">IF(OR(Nonlabor!$L$20="Quote required",Nonlabor!$L$20="Unverified"),G2187,0)</f>
        <v>618</v>
      </c>
      <c r="I2187" s="10" t="n">
        <f aca="false">IF(Nonlabor!$E$20="Core",0,G2187)</f>
        <v>0</v>
      </c>
      <c r="J2187" s="23" t="str">
        <f aca="false">Nonlabor!$B$20</f>
        <v>ACCOUNTING</v>
      </c>
    </row>
    <row r="2188" customFormat="false" ht="15" hidden="false" customHeight="false" outlineLevel="0" collapsed="false">
      <c r="A2188" s="6" t="s">
        <v>4</v>
      </c>
      <c r="B2188" s="6" t="s">
        <v>51</v>
      </c>
      <c r="C2188" s="6" t="n">
        <v>23</v>
      </c>
      <c r="D2188" s="25" t="n">
        <f aca="false">EDATE('Start Here'!$B$6,C2188-1)</f>
        <v>46997</v>
      </c>
      <c r="E2188" s="23" t="n">
        <f aca="false">IF(AND(OR(Nonlabor!$D$20="Both",Nonlabor!$D$20='Start Here'!$B$9),IF(Nonlabor!$E$20="Core",1,IF(Nonlabor!$E$20="AI",'Start Here'!$B$7,'Start Here'!$B$8))=1,C2188&gt;=IF(Nonlabor!$E$20="Core",Nonlabor!$F$20,MAX(Nonlabor!$F$20,IF(Nonlabor!$E$20="AI",Assumptions!$D$24,Assumptions!$D$25))),C2188&lt;=Nonlabor!$G$20,OR(Nonlabor!$H$20="Monthly",AND(Nonlabor!$H$20="Once",C2188=IF(Nonlabor!$E$20="Core",Nonlabor!$F$20,MAX(Nonlabor!$F$20,IF(Nonlabor!$E$20="AI",Assumptions!$D$24,Assumptions!$D$25)))),AND(Nonlabor!$H$20="Annual",MOD(C2188-IF(Nonlabor!$E$20="Core",Nonlabor!$F$20,MAX(Nonlabor!$F$20,IF(Nonlabor!$E$20="AI",Assumptions!$D$24,Assumptions!$D$25))),12)=0))),IF(Nonlabor!$I$20="Fixed",1,IF(Nonlabor!$I$20="Seats",ROUNDUP('Monthly Base'!I28,0),IF(Nonlabor!$I$20="Customers",'Monthly Base'!D28,IF(Nonlabor!$I$20="NewCustomers",'Monthly Base'!C28,IF(Nonlabor!$I$20="StorageGB",'Monthly Base'!G28,IF(Nonlabor!$I$20="LogGB",'Monthly Base'!H28,IF(Nonlabor!$I$20="RequestsM",'Monthly Base'!F28,IF(Nonlabor!$I$20="InputM",'Monthly Base'!D28*Assumptions!$D$22/1000000,IF(Nonlabor!$I$20="OutputM",'Monthly Base'!D28*Assumptions!$D$23/1000000,0))))))))),0)</f>
        <v>1</v>
      </c>
      <c r="F2188" s="10" t="n">
        <f aca="false">Nonlabor!$J$20*(1+Assumptions!$D$9)^INT((C2188-1)/12)</f>
        <v>618</v>
      </c>
      <c r="G2188" s="10" t="n">
        <f aca="false">E2188*F2188</f>
        <v>618</v>
      </c>
      <c r="H2188" s="10" t="n">
        <f aca="false">IF(OR(Nonlabor!$L$20="Quote required",Nonlabor!$L$20="Unverified"),G2188,0)</f>
        <v>618</v>
      </c>
      <c r="I2188" s="10" t="n">
        <f aca="false">IF(Nonlabor!$E$20="Core",0,G2188)</f>
        <v>0</v>
      </c>
      <c r="J2188" s="23" t="str">
        <f aca="false">Nonlabor!$B$20</f>
        <v>ACCOUNTING</v>
      </c>
    </row>
    <row r="2189" customFormat="false" ht="15" hidden="false" customHeight="false" outlineLevel="0" collapsed="false">
      <c r="A2189" s="6" t="s">
        <v>4</v>
      </c>
      <c r="B2189" s="6" t="s">
        <v>51</v>
      </c>
      <c r="C2189" s="6" t="n">
        <v>24</v>
      </c>
      <c r="D2189" s="25" t="n">
        <f aca="false">EDATE('Start Here'!$B$6,C2189-1)</f>
        <v>47027</v>
      </c>
      <c r="E2189" s="23" t="n">
        <f aca="false">IF(AND(OR(Nonlabor!$D$20="Both",Nonlabor!$D$20='Start Here'!$B$9),IF(Nonlabor!$E$20="Core",1,IF(Nonlabor!$E$20="AI",'Start Here'!$B$7,'Start Here'!$B$8))=1,C2189&gt;=IF(Nonlabor!$E$20="Core",Nonlabor!$F$20,MAX(Nonlabor!$F$20,IF(Nonlabor!$E$20="AI",Assumptions!$D$24,Assumptions!$D$25))),C2189&lt;=Nonlabor!$G$20,OR(Nonlabor!$H$20="Monthly",AND(Nonlabor!$H$20="Once",C2189=IF(Nonlabor!$E$20="Core",Nonlabor!$F$20,MAX(Nonlabor!$F$20,IF(Nonlabor!$E$20="AI",Assumptions!$D$24,Assumptions!$D$25)))),AND(Nonlabor!$H$20="Annual",MOD(C2189-IF(Nonlabor!$E$20="Core",Nonlabor!$F$20,MAX(Nonlabor!$F$20,IF(Nonlabor!$E$20="AI",Assumptions!$D$24,Assumptions!$D$25))),12)=0))),IF(Nonlabor!$I$20="Fixed",1,IF(Nonlabor!$I$20="Seats",ROUNDUP('Monthly Base'!I29,0),IF(Nonlabor!$I$20="Customers",'Monthly Base'!D29,IF(Nonlabor!$I$20="NewCustomers",'Monthly Base'!C29,IF(Nonlabor!$I$20="StorageGB",'Monthly Base'!G29,IF(Nonlabor!$I$20="LogGB",'Monthly Base'!H29,IF(Nonlabor!$I$20="RequestsM",'Monthly Base'!F29,IF(Nonlabor!$I$20="InputM",'Monthly Base'!D29*Assumptions!$D$22/1000000,IF(Nonlabor!$I$20="OutputM",'Monthly Base'!D29*Assumptions!$D$23/1000000,0))))))))),0)</f>
        <v>1</v>
      </c>
      <c r="F2189" s="10" t="n">
        <f aca="false">Nonlabor!$J$20*(1+Assumptions!$D$9)^INT((C2189-1)/12)</f>
        <v>618</v>
      </c>
      <c r="G2189" s="10" t="n">
        <f aca="false">E2189*F2189</f>
        <v>618</v>
      </c>
      <c r="H2189" s="10" t="n">
        <f aca="false">IF(OR(Nonlabor!$L$20="Quote required",Nonlabor!$L$20="Unverified"),G2189,0)</f>
        <v>618</v>
      </c>
      <c r="I2189" s="10" t="n">
        <f aca="false">IF(Nonlabor!$E$20="Core",0,G2189)</f>
        <v>0</v>
      </c>
      <c r="J2189" s="23" t="str">
        <f aca="false">Nonlabor!$B$20</f>
        <v>ACCOUNTING</v>
      </c>
    </row>
    <row r="2190" customFormat="false" ht="15" hidden="false" customHeight="false" outlineLevel="0" collapsed="false">
      <c r="A2190" s="6" t="s">
        <v>4</v>
      </c>
      <c r="B2190" s="6" t="s">
        <v>51</v>
      </c>
      <c r="C2190" s="6" t="n">
        <v>25</v>
      </c>
      <c r="D2190" s="25" t="n">
        <f aca="false">EDATE('Start Here'!$B$6,C2190-1)</f>
        <v>47058</v>
      </c>
      <c r="E2190" s="23" t="n">
        <f aca="false">IF(AND(OR(Nonlabor!$D$20="Both",Nonlabor!$D$20='Start Here'!$B$9),IF(Nonlabor!$E$20="Core",1,IF(Nonlabor!$E$20="AI",'Start Here'!$B$7,'Start Here'!$B$8))=1,C2190&gt;=IF(Nonlabor!$E$20="Core",Nonlabor!$F$20,MAX(Nonlabor!$F$20,IF(Nonlabor!$E$20="AI",Assumptions!$D$24,Assumptions!$D$25))),C2190&lt;=Nonlabor!$G$20,OR(Nonlabor!$H$20="Monthly",AND(Nonlabor!$H$20="Once",C2190=IF(Nonlabor!$E$20="Core",Nonlabor!$F$20,MAX(Nonlabor!$F$20,IF(Nonlabor!$E$20="AI",Assumptions!$D$24,Assumptions!$D$25)))),AND(Nonlabor!$H$20="Annual",MOD(C2190-IF(Nonlabor!$E$20="Core",Nonlabor!$F$20,MAX(Nonlabor!$F$20,IF(Nonlabor!$E$20="AI",Assumptions!$D$24,Assumptions!$D$25))),12)=0))),IF(Nonlabor!$I$20="Fixed",1,IF(Nonlabor!$I$20="Seats",ROUNDUP('Monthly Base'!I30,0),IF(Nonlabor!$I$20="Customers",'Monthly Base'!D30,IF(Nonlabor!$I$20="NewCustomers",'Monthly Base'!C30,IF(Nonlabor!$I$20="StorageGB",'Monthly Base'!G30,IF(Nonlabor!$I$20="LogGB",'Monthly Base'!H30,IF(Nonlabor!$I$20="RequestsM",'Monthly Base'!F30,IF(Nonlabor!$I$20="InputM",'Monthly Base'!D30*Assumptions!$D$22/1000000,IF(Nonlabor!$I$20="OutputM",'Monthly Base'!D30*Assumptions!$D$23/1000000,0))))))))),0)</f>
        <v>1</v>
      </c>
      <c r="F2190" s="10" t="n">
        <f aca="false">Nonlabor!$J$20*(1+Assumptions!$D$9)^INT((C2190-1)/12)</f>
        <v>636.54</v>
      </c>
      <c r="G2190" s="10" t="n">
        <f aca="false">E2190*F2190</f>
        <v>636.54</v>
      </c>
      <c r="H2190" s="10" t="n">
        <f aca="false">IF(OR(Nonlabor!$L$20="Quote required",Nonlabor!$L$20="Unverified"),G2190,0)</f>
        <v>636.54</v>
      </c>
      <c r="I2190" s="10" t="n">
        <f aca="false">IF(Nonlabor!$E$20="Core",0,G2190)</f>
        <v>0</v>
      </c>
      <c r="J2190" s="23" t="str">
        <f aca="false">Nonlabor!$B$20</f>
        <v>ACCOUNTING</v>
      </c>
    </row>
    <row r="2191" customFormat="false" ht="15" hidden="false" customHeight="false" outlineLevel="0" collapsed="false">
      <c r="A2191" s="6" t="s">
        <v>4</v>
      </c>
      <c r="B2191" s="6" t="s">
        <v>51</v>
      </c>
      <c r="C2191" s="6" t="n">
        <v>26</v>
      </c>
      <c r="D2191" s="25" t="n">
        <f aca="false">EDATE('Start Here'!$B$6,C2191-1)</f>
        <v>47088</v>
      </c>
      <c r="E2191" s="23" t="n">
        <f aca="false">IF(AND(OR(Nonlabor!$D$20="Both",Nonlabor!$D$20='Start Here'!$B$9),IF(Nonlabor!$E$20="Core",1,IF(Nonlabor!$E$20="AI",'Start Here'!$B$7,'Start Here'!$B$8))=1,C2191&gt;=IF(Nonlabor!$E$20="Core",Nonlabor!$F$20,MAX(Nonlabor!$F$20,IF(Nonlabor!$E$20="AI",Assumptions!$D$24,Assumptions!$D$25))),C2191&lt;=Nonlabor!$G$20,OR(Nonlabor!$H$20="Monthly",AND(Nonlabor!$H$20="Once",C2191=IF(Nonlabor!$E$20="Core",Nonlabor!$F$20,MAX(Nonlabor!$F$20,IF(Nonlabor!$E$20="AI",Assumptions!$D$24,Assumptions!$D$25)))),AND(Nonlabor!$H$20="Annual",MOD(C2191-IF(Nonlabor!$E$20="Core",Nonlabor!$F$20,MAX(Nonlabor!$F$20,IF(Nonlabor!$E$20="AI",Assumptions!$D$24,Assumptions!$D$25))),12)=0))),IF(Nonlabor!$I$20="Fixed",1,IF(Nonlabor!$I$20="Seats",ROUNDUP('Monthly Base'!I31,0),IF(Nonlabor!$I$20="Customers",'Monthly Base'!D31,IF(Nonlabor!$I$20="NewCustomers",'Monthly Base'!C31,IF(Nonlabor!$I$20="StorageGB",'Monthly Base'!G31,IF(Nonlabor!$I$20="LogGB",'Monthly Base'!H31,IF(Nonlabor!$I$20="RequestsM",'Monthly Base'!F31,IF(Nonlabor!$I$20="InputM",'Monthly Base'!D31*Assumptions!$D$22/1000000,IF(Nonlabor!$I$20="OutputM",'Monthly Base'!D31*Assumptions!$D$23/1000000,0))))))))),0)</f>
        <v>1</v>
      </c>
      <c r="F2191" s="10" t="n">
        <f aca="false">Nonlabor!$J$20*(1+Assumptions!$D$9)^INT((C2191-1)/12)</f>
        <v>636.54</v>
      </c>
      <c r="G2191" s="10" t="n">
        <f aca="false">E2191*F2191</f>
        <v>636.54</v>
      </c>
      <c r="H2191" s="10" t="n">
        <f aca="false">IF(OR(Nonlabor!$L$20="Quote required",Nonlabor!$L$20="Unverified"),G2191,0)</f>
        <v>636.54</v>
      </c>
      <c r="I2191" s="10" t="n">
        <f aca="false">IF(Nonlabor!$E$20="Core",0,G2191)</f>
        <v>0</v>
      </c>
      <c r="J2191" s="23" t="str">
        <f aca="false">Nonlabor!$B$20</f>
        <v>ACCOUNTING</v>
      </c>
    </row>
    <row r="2192" customFormat="false" ht="15" hidden="false" customHeight="false" outlineLevel="0" collapsed="false">
      <c r="A2192" s="6" t="s">
        <v>4</v>
      </c>
      <c r="B2192" s="6" t="s">
        <v>51</v>
      </c>
      <c r="C2192" s="6" t="n">
        <v>27</v>
      </c>
      <c r="D2192" s="25" t="n">
        <f aca="false">EDATE('Start Here'!$B$6,C2192-1)</f>
        <v>47119</v>
      </c>
      <c r="E2192" s="23" t="n">
        <f aca="false">IF(AND(OR(Nonlabor!$D$20="Both",Nonlabor!$D$20='Start Here'!$B$9),IF(Nonlabor!$E$20="Core",1,IF(Nonlabor!$E$20="AI",'Start Here'!$B$7,'Start Here'!$B$8))=1,C2192&gt;=IF(Nonlabor!$E$20="Core",Nonlabor!$F$20,MAX(Nonlabor!$F$20,IF(Nonlabor!$E$20="AI",Assumptions!$D$24,Assumptions!$D$25))),C2192&lt;=Nonlabor!$G$20,OR(Nonlabor!$H$20="Monthly",AND(Nonlabor!$H$20="Once",C2192=IF(Nonlabor!$E$20="Core",Nonlabor!$F$20,MAX(Nonlabor!$F$20,IF(Nonlabor!$E$20="AI",Assumptions!$D$24,Assumptions!$D$25)))),AND(Nonlabor!$H$20="Annual",MOD(C2192-IF(Nonlabor!$E$20="Core",Nonlabor!$F$20,MAX(Nonlabor!$F$20,IF(Nonlabor!$E$20="AI",Assumptions!$D$24,Assumptions!$D$25))),12)=0))),IF(Nonlabor!$I$20="Fixed",1,IF(Nonlabor!$I$20="Seats",ROUNDUP('Monthly Base'!I32,0),IF(Nonlabor!$I$20="Customers",'Monthly Base'!D32,IF(Nonlabor!$I$20="NewCustomers",'Monthly Base'!C32,IF(Nonlabor!$I$20="StorageGB",'Monthly Base'!G32,IF(Nonlabor!$I$20="LogGB",'Monthly Base'!H32,IF(Nonlabor!$I$20="RequestsM",'Monthly Base'!F32,IF(Nonlabor!$I$20="InputM",'Monthly Base'!D32*Assumptions!$D$22/1000000,IF(Nonlabor!$I$20="OutputM",'Monthly Base'!D32*Assumptions!$D$23/1000000,0))))))))),0)</f>
        <v>1</v>
      </c>
      <c r="F2192" s="10" t="n">
        <f aca="false">Nonlabor!$J$20*(1+Assumptions!$D$9)^INT((C2192-1)/12)</f>
        <v>636.54</v>
      </c>
      <c r="G2192" s="10" t="n">
        <f aca="false">E2192*F2192</f>
        <v>636.54</v>
      </c>
      <c r="H2192" s="10" t="n">
        <f aca="false">IF(OR(Nonlabor!$L$20="Quote required",Nonlabor!$L$20="Unverified"),G2192,0)</f>
        <v>636.54</v>
      </c>
      <c r="I2192" s="10" t="n">
        <f aca="false">IF(Nonlabor!$E$20="Core",0,G2192)</f>
        <v>0</v>
      </c>
      <c r="J2192" s="23" t="str">
        <f aca="false">Nonlabor!$B$20</f>
        <v>ACCOUNTING</v>
      </c>
    </row>
    <row r="2193" customFormat="false" ht="15" hidden="false" customHeight="false" outlineLevel="0" collapsed="false">
      <c r="A2193" s="6" t="s">
        <v>4</v>
      </c>
      <c r="B2193" s="6" t="s">
        <v>51</v>
      </c>
      <c r="C2193" s="6" t="n">
        <v>28</v>
      </c>
      <c r="D2193" s="25" t="n">
        <f aca="false">EDATE('Start Here'!$B$6,C2193-1)</f>
        <v>47150</v>
      </c>
      <c r="E2193" s="23" t="n">
        <f aca="false">IF(AND(OR(Nonlabor!$D$20="Both",Nonlabor!$D$20='Start Here'!$B$9),IF(Nonlabor!$E$20="Core",1,IF(Nonlabor!$E$20="AI",'Start Here'!$B$7,'Start Here'!$B$8))=1,C2193&gt;=IF(Nonlabor!$E$20="Core",Nonlabor!$F$20,MAX(Nonlabor!$F$20,IF(Nonlabor!$E$20="AI",Assumptions!$D$24,Assumptions!$D$25))),C2193&lt;=Nonlabor!$G$20,OR(Nonlabor!$H$20="Monthly",AND(Nonlabor!$H$20="Once",C2193=IF(Nonlabor!$E$20="Core",Nonlabor!$F$20,MAX(Nonlabor!$F$20,IF(Nonlabor!$E$20="AI",Assumptions!$D$24,Assumptions!$D$25)))),AND(Nonlabor!$H$20="Annual",MOD(C2193-IF(Nonlabor!$E$20="Core",Nonlabor!$F$20,MAX(Nonlabor!$F$20,IF(Nonlabor!$E$20="AI",Assumptions!$D$24,Assumptions!$D$25))),12)=0))),IF(Nonlabor!$I$20="Fixed",1,IF(Nonlabor!$I$20="Seats",ROUNDUP('Monthly Base'!I33,0),IF(Nonlabor!$I$20="Customers",'Monthly Base'!D33,IF(Nonlabor!$I$20="NewCustomers",'Monthly Base'!C33,IF(Nonlabor!$I$20="StorageGB",'Monthly Base'!G33,IF(Nonlabor!$I$20="LogGB",'Monthly Base'!H33,IF(Nonlabor!$I$20="RequestsM",'Monthly Base'!F33,IF(Nonlabor!$I$20="InputM",'Monthly Base'!D33*Assumptions!$D$22/1000000,IF(Nonlabor!$I$20="OutputM",'Monthly Base'!D33*Assumptions!$D$23/1000000,0))))))))),0)</f>
        <v>1</v>
      </c>
      <c r="F2193" s="10" t="n">
        <f aca="false">Nonlabor!$J$20*(1+Assumptions!$D$9)^INT((C2193-1)/12)</f>
        <v>636.54</v>
      </c>
      <c r="G2193" s="10" t="n">
        <f aca="false">E2193*F2193</f>
        <v>636.54</v>
      </c>
      <c r="H2193" s="10" t="n">
        <f aca="false">IF(OR(Nonlabor!$L$20="Quote required",Nonlabor!$L$20="Unverified"),G2193,0)</f>
        <v>636.54</v>
      </c>
      <c r="I2193" s="10" t="n">
        <f aca="false">IF(Nonlabor!$E$20="Core",0,G2193)</f>
        <v>0</v>
      </c>
      <c r="J2193" s="23" t="str">
        <f aca="false">Nonlabor!$B$20</f>
        <v>ACCOUNTING</v>
      </c>
    </row>
    <row r="2194" customFormat="false" ht="15" hidden="false" customHeight="false" outlineLevel="0" collapsed="false">
      <c r="A2194" s="6" t="s">
        <v>4</v>
      </c>
      <c r="B2194" s="6" t="s">
        <v>51</v>
      </c>
      <c r="C2194" s="6" t="n">
        <v>29</v>
      </c>
      <c r="D2194" s="25" t="n">
        <f aca="false">EDATE('Start Here'!$B$6,C2194-1)</f>
        <v>47178</v>
      </c>
      <c r="E2194" s="23" t="n">
        <f aca="false">IF(AND(OR(Nonlabor!$D$20="Both",Nonlabor!$D$20='Start Here'!$B$9),IF(Nonlabor!$E$20="Core",1,IF(Nonlabor!$E$20="AI",'Start Here'!$B$7,'Start Here'!$B$8))=1,C2194&gt;=IF(Nonlabor!$E$20="Core",Nonlabor!$F$20,MAX(Nonlabor!$F$20,IF(Nonlabor!$E$20="AI",Assumptions!$D$24,Assumptions!$D$25))),C2194&lt;=Nonlabor!$G$20,OR(Nonlabor!$H$20="Monthly",AND(Nonlabor!$H$20="Once",C2194=IF(Nonlabor!$E$20="Core",Nonlabor!$F$20,MAX(Nonlabor!$F$20,IF(Nonlabor!$E$20="AI",Assumptions!$D$24,Assumptions!$D$25)))),AND(Nonlabor!$H$20="Annual",MOD(C2194-IF(Nonlabor!$E$20="Core",Nonlabor!$F$20,MAX(Nonlabor!$F$20,IF(Nonlabor!$E$20="AI",Assumptions!$D$24,Assumptions!$D$25))),12)=0))),IF(Nonlabor!$I$20="Fixed",1,IF(Nonlabor!$I$20="Seats",ROUNDUP('Monthly Base'!I34,0),IF(Nonlabor!$I$20="Customers",'Monthly Base'!D34,IF(Nonlabor!$I$20="NewCustomers",'Monthly Base'!C34,IF(Nonlabor!$I$20="StorageGB",'Monthly Base'!G34,IF(Nonlabor!$I$20="LogGB",'Monthly Base'!H34,IF(Nonlabor!$I$20="RequestsM",'Monthly Base'!F34,IF(Nonlabor!$I$20="InputM",'Monthly Base'!D34*Assumptions!$D$22/1000000,IF(Nonlabor!$I$20="OutputM",'Monthly Base'!D34*Assumptions!$D$23/1000000,0))))))))),0)</f>
        <v>1</v>
      </c>
      <c r="F2194" s="10" t="n">
        <f aca="false">Nonlabor!$J$20*(1+Assumptions!$D$9)^INT((C2194-1)/12)</f>
        <v>636.54</v>
      </c>
      <c r="G2194" s="10" t="n">
        <f aca="false">E2194*F2194</f>
        <v>636.54</v>
      </c>
      <c r="H2194" s="10" t="n">
        <f aca="false">IF(OR(Nonlabor!$L$20="Quote required",Nonlabor!$L$20="Unverified"),G2194,0)</f>
        <v>636.54</v>
      </c>
      <c r="I2194" s="10" t="n">
        <f aca="false">IF(Nonlabor!$E$20="Core",0,G2194)</f>
        <v>0</v>
      </c>
      <c r="J2194" s="23" t="str">
        <f aca="false">Nonlabor!$B$20</f>
        <v>ACCOUNTING</v>
      </c>
    </row>
    <row r="2195" customFormat="false" ht="15" hidden="false" customHeight="false" outlineLevel="0" collapsed="false">
      <c r="A2195" s="6" t="s">
        <v>4</v>
      </c>
      <c r="B2195" s="6" t="s">
        <v>51</v>
      </c>
      <c r="C2195" s="6" t="n">
        <v>30</v>
      </c>
      <c r="D2195" s="25" t="n">
        <f aca="false">EDATE('Start Here'!$B$6,C2195-1)</f>
        <v>47209</v>
      </c>
      <c r="E2195" s="23" t="n">
        <f aca="false">IF(AND(OR(Nonlabor!$D$20="Both",Nonlabor!$D$20='Start Here'!$B$9),IF(Nonlabor!$E$20="Core",1,IF(Nonlabor!$E$20="AI",'Start Here'!$B$7,'Start Here'!$B$8))=1,C2195&gt;=IF(Nonlabor!$E$20="Core",Nonlabor!$F$20,MAX(Nonlabor!$F$20,IF(Nonlabor!$E$20="AI",Assumptions!$D$24,Assumptions!$D$25))),C2195&lt;=Nonlabor!$G$20,OR(Nonlabor!$H$20="Monthly",AND(Nonlabor!$H$20="Once",C2195=IF(Nonlabor!$E$20="Core",Nonlabor!$F$20,MAX(Nonlabor!$F$20,IF(Nonlabor!$E$20="AI",Assumptions!$D$24,Assumptions!$D$25)))),AND(Nonlabor!$H$20="Annual",MOD(C2195-IF(Nonlabor!$E$20="Core",Nonlabor!$F$20,MAX(Nonlabor!$F$20,IF(Nonlabor!$E$20="AI",Assumptions!$D$24,Assumptions!$D$25))),12)=0))),IF(Nonlabor!$I$20="Fixed",1,IF(Nonlabor!$I$20="Seats",ROUNDUP('Monthly Base'!I35,0),IF(Nonlabor!$I$20="Customers",'Monthly Base'!D35,IF(Nonlabor!$I$20="NewCustomers",'Monthly Base'!C35,IF(Nonlabor!$I$20="StorageGB",'Monthly Base'!G35,IF(Nonlabor!$I$20="LogGB",'Monthly Base'!H35,IF(Nonlabor!$I$20="RequestsM",'Monthly Base'!F35,IF(Nonlabor!$I$20="InputM",'Monthly Base'!D35*Assumptions!$D$22/1000000,IF(Nonlabor!$I$20="OutputM",'Monthly Base'!D35*Assumptions!$D$23/1000000,0))))))))),0)</f>
        <v>1</v>
      </c>
      <c r="F2195" s="10" t="n">
        <f aca="false">Nonlabor!$J$20*(1+Assumptions!$D$9)^INT((C2195-1)/12)</f>
        <v>636.54</v>
      </c>
      <c r="G2195" s="10" t="n">
        <f aca="false">E2195*F2195</f>
        <v>636.54</v>
      </c>
      <c r="H2195" s="10" t="n">
        <f aca="false">IF(OR(Nonlabor!$L$20="Quote required",Nonlabor!$L$20="Unverified"),G2195,0)</f>
        <v>636.54</v>
      </c>
      <c r="I2195" s="10" t="n">
        <f aca="false">IF(Nonlabor!$E$20="Core",0,G2195)</f>
        <v>0</v>
      </c>
      <c r="J2195" s="23" t="str">
        <f aca="false">Nonlabor!$B$20</f>
        <v>ACCOUNTING</v>
      </c>
    </row>
    <row r="2196" customFormat="false" ht="15" hidden="false" customHeight="false" outlineLevel="0" collapsed="false">
      <c r="A2196" s="6" t="s">
        <v>4</v>
      </c>
      <c r="B2196" s="6" t="s">
        <v>51</v>
      </c>
      <c r="C2196" s="6" t="n">
        <v>31</v>
      </c>
      <c r="D2196" s="25" t="n">
        <f aca="false">EDATE('Start Here'!$B$6,C2196-1)</f>
        <v>47239</v>
      </c>
      <c r="E2196" s="23" t="n">
        <f aca="false">IF(AND(OR(Nonlabor!$D$20="Both",Nonlabor!$D$20='Start Here'!$B$9),IF(Nonlabor!$E$20="Core",1,IF(Nonlabor!$E$20="AI",'Start Here'!$B$7,'Start Here'!$B$8))=1,C2196&gt;=IF(Nonlabor!$E$20="Core",Nonlabor!$F$20,MAX(Nonlabor!$F$20,IF(Nonlabor!$E$20="AI",Assumptions!$D$24,Assumptions!$D$25))),C2196&lt;=Nonlabor!$G$20,OR(Nonlabor!$H$20="Monthly",AND(Nonlabor!$H$20="Once",C2196=IF(Nonlabor!$E$20="Core",Nonlabor!$F$20,MAX(Nonlabor!$F$20,IF(Nonlabor!$E$20="AI",Assumptions!$D$24,Assumptions!$D$25)))),AND(Nonlabor!$H$20="Annual",MOD(C2196-IF(Nonlabor!$E$20="Core",Nonlabor!$F$20,MAX(Nonlabor!$F$20,IF(Nonlabor!$E$20="AI",Assumptions!$D$24,Assumptions!$D$25))),12)=0))),IF(Nonlabor!$I$20="Fixed",1,IF(Nonlabor!$I$20="Seats",ROUNDUP('Monthly Base'!I36,0),IF(Nonlabor!$I$20="Customers",'Monthly Base'!D36,IF(Nonlabor!$I$20="NewCustomers",'Monthly Base'!C36,IF(Nonlabor!$I$20="StorageGB",'Monthly Base'!G36,IF(Nonlabor!$I$20="LogGB",'Monthly Base'!H36,IF(Nonlabor!$I$20="RequestsM",'Monthly Base'!F36,IF(Nonlabor!$I$20="InputM",'Monthly Base'!D36*Assumptions!$D$22/1000000,IF(Nonlabor!$I$20="OutputM",'Monthly Base'!D36*Assumptions!$D$23/1000000,0))))))))),0)</f>
        <v>1</v>
      </c>
      <c r="F2196" s="10" t="n">
        <f aca="false">Nonlabor!$J$20*(1+Assumptions!$D$9)^INT((C2196-1)/12)</f>
        <v>636.54</v>
      </c>
      <c r="G2196" s="10" t="n">
        <f aca="false">E2196*F2196</f>
        <v>636.54</v>
      </c>
      <c r="H2196" s="10" t="n">
        <f aca="false">IF(OR(Nonlabor!$L$20="Quote required",Nonlabor!$L$20="Unverified"),G2196,0)</f>
        <v>636.54</v>
      </c>
      <c r="I2196" s="10" t="n">
        <f aca="false">IF(Nonlabor!$E$20="Core",0,G2196)</f>
        <v>0</v>
      </c>
      <c r="J2196" s="23" t="str">
        <f aca="false">Nonlabor!$B$20</f>
        <v>ACCOUNTING</v>
      </c>
    </row>
    <row r="2197" customFormat="false" ht="15" hidden="false" customHeight="false" outlineLevel="0" collapsed="false">
      <c r="A2197" s="6" t="s">
        <v>4</v>
      </c>
      <c r="B2197" s="6" t="s">
        <v>51</v>
      </c>
      <c r="C2197" s="6" t="n">
        <v>32</v>
      </c>
      <c r="D2197" s="25" t="n">
        <f aca="false">EDATE('Start Here'!$B$6,C2197-1)</f>
        <v>47270</v>
      </c>
      <c r="E2197" s="23" t="n">
        <f aca="false">IF(AND(OR(Nonlabor!$D$20="Both",Nonlabor!$D$20='Start Here'!$B$9),IF(Nonlabor!$E$20="Core",1,IF(Nonlabor!$E$20="AI",'Start Here'!$B$7,'Start Here'!$B$8))=1,C2197&gt;=IF(Nonlabor!$E$20="Core",Nonlabor!$F$20,MAX(Nonlabor!$F$20,IF(Nonlabor!$E$20="AI",Assumptions!$D$24,Assumptions!$D$25))),C2197&lt;=Nonlabor!$G$20,OR(Nonlabor!$H$20="Monthly",AND(Nonlabor!$H$20="Once",C2197=IF(Nonlabor!$E$20="Core",Nonlabor!$F$20,MAX(Nonlabor!$F$20,IF(Nonlabor!$E$20="AI",Assumptions!$D$24,Assumptions!$D$25)))),AND(Nonlabor!$H$20="Annual",MOD(C2197-IF(Nonlabor!$E$20="Core",Nonlabor!$F$20,MAX(Nonlabor!$F$20,IF(Nonlabor!$E$20="AI",Assumptions!$D$24,Assumptions!$D$25))),12)=0))),IF(Nonlabor!$I$20="Fixed",1,IF(Nonlabor!$I$20="Seats",ROUNDUP('Monthly Base'!I37,0),IF(Nonlabor!$I$20="Customers",'Monthly Base'!D37,IF(Nonlabor!$I$20="NewCustomers",'Monthly Base'!C37,IF(Nonlabor!$I$20="StorageGB",'Monthly Base'!G37,IF(Nonlabor!$I$20="LogGB",'Monthly Base'!H37,IF(Nonlabor!$I$20="RequestsM",'Monthly Base'!F37,IF(Nonlabor!$I$20="InputM",'Monthly Base'!D37*Assumptions!$D$22/1000000,IF(Nonlabor!$I$20="OutputM",'Monthly Base'!D37*Assumptions!$D$23/1000000,0))))))))),0)</f>
        <v>1</v>
      </c>
      <c r="F2197" s="10" t="n">
        <f aca="false">Nonlabor!$J$20*(1+Assumptions!$D$9)^INT((C2197-1)/12)</f>
        <v>636.54</v>
      </c>
      <c r="G2197" s="10" t="n">
        <f aca="false">E2197*F2197</f>
        <v>636.54</v>
      </c>
      <c r="H2197" s="10" t="n">
        <f aca="false">IF(OR(Nonlabor!$L$20="Quote required",Nonlabor!$L$20="Unverified"),G2197,0)</f>
        <v>636.54</v>
      </c>
      <c r="I2197" s="10" t="n">
        <f aca="false">IF(Nonlabor!$E$20="Core",0,G2197)</f>
        <v>0</v>
      </c>
      <c r="J2197" s="23" t="str">
        <f aca="false">Nonlabor!$B$20</f>
        <v>ACCOUNTING</v>
      </c>
    </row>
    <row r="2198" customFormat="false" ht="15" hidden="false" customHeight="false" outlineLevel="0" collapsed="false">
      <c r="A2198" s="6" t="s">
        <v>4</v>
      </c>
      <c r="B2198" s="6" t="s">
        <v>51</v>
      </c>
      <c r="C2198" s="6" t="n">
        <v>33</v>
      </c>
      <c r="D2198" s="25" t="n">
        <f aca="false">EDATE('Start Here'!$B$6,C2198-1)</f>
        <v>47300</v>
      </c>
      <c r="E2198" s="23" t="n">
        <f aca="false">IF(AND(OR(Nonlabor!$D$20="Both",Nonlabor!$D$20='Start Here'!$B$9),IF(Nonlabor!$E$20="Core",1,IF(Nonlabor!$E$20="AI",'Start Here'!$B$7,'Start Here'!$B$8))=1,C2198&gt;=IF(Nonlabor!$E$20="Core",Nonlabor!$F$20,MAX(Nonlabor!$F$20,IF(Nonlabor!$E$20="AI",Assumptions!$D$24,Assumptions!$D$25))),C2198&lt;=Nonlabor!$G$20,OR(Nonlabor!$H$20="Monthly",AND(Nonlabor!$H$20="Once",C2198=IF(Nonlabor!$E$20="Core",Nonlabor!$F$20,MAX(Nonlabor!$F$20,IF(Nonlabor!$E$20="AI",Assumptions!$D$24,Assumptions!$D$25)))),AND(Nonlabor!$H$20="Annual",MOD(C2198-IF(Nonlabor!$E$20="Core",Nonlabor!$F$20,MAX(Nonlabor!$F$20,IF(Nonlabor!$E$20="AI",Assumptions!$D$24,Assumptions!$D$25))),12)=0))),IF(Nonlabor!$I$20="Fixed",1,IF(Nonlabor!$I$20="Seats",ROUNDUP('Monthly Base'!I38,0),IF(Nonlabor!$I$20="Customers",'Monthly Base'!D38,IF(Nonlabor!$I$20="NewCustomers",'Monthly Base'!C38,IF(Nonlabor!$I$20="StorageGB",'Monthly Base'!G38,IF(Nonlabor!$I$20="LogGB",'Monthly Base'!H38,IF(Nonlabor!$I$20="RequestsM",'Monthly Base'!F38,IF(Nonlabor!$I$20="InputM",'Monthly Base'!D38*Assumptions!$D$22/1000000,IF(Nonlabor!$I$20="OutputM",'Monthly Base'!D38*Assumptions!$D$23/1000000,0))))))))),0)</f>
        <v>1</v>
      </c>
      <c r="F2198" s="10" t="n">
        <f aca="false">Nonlabor!$J$20*(1+Assumptions!$D$9)^INT((C2198-1)/12)</f>
        <v>636.54</v>
      </c>
      <c r="G2198" s="10" t="n">
        <f aca="false">E2198*F2198</f>
        <v>636.54</v>
      </c>
      <c r="H2198" s="10" t="n">
        <f aca="false">IF(OR(Nonlabor!$L$20="Quote required",Nonlabor!$L$20="Unverified"),G2198,0)</f>
        <v>636.54</v>
      </c>
      <c r="I2198" s="10" t="n">
        <f aca="false">IF(Nonlabor!$E$20="Core",0,G2198)</f>
        <v>0</v>
      </c>
      <c r="J2198" s="23" t="str">
        <f aca="false">Nonlabor!$B$20</f>
        <v>ACCOUNTING</v>
      </c>
    </row>
    <row r="2199" customFormat="false" ht="15" hidden="false" customHeight="false" outlineLevel="0" collapsed="false">
      <c r="A2199" s="6" t="s">
        <v>4</v>
      </c>
      <c r="B2199" s="6" t="s">
        <v>51</v>
      </c>
      <c r="C2199" s="6" t="n">
        <v>34</v>
      </c>
      <c r="D2199" s="25" t="n">
        <f aca="false">EDATE('Start Here'!$B$6,C2199-1)</f>
        <v>47331</v>
      </c>
      <c r="E2199" s="23" t="n">
        <f aca="false">IF(AND(OR(Nonlabor!$D$20="Both",Nonlabor!$D$20='Start Here'!$B$9),IF(Nonlabor!$E$20="Core",1,IF(Nonlabor!$E$20="AI",'Start Here'!$B$7,'Start Here'!$B$8))=1,C2199&gt;=IF(Nonlabor!$E$20="Core",Nonlabor!$F$20,MAX(Nonlabor!$F$20,IF(Nonlabor!$E$20="AI",Assumptions!$D$24,Assumptions!$D$25))),C2199&lt;=Nonlabor!$G$20,OR(Nonlabor!$H$20="Monthly",AND(Nonlabor!$H$20="Once",C2199=IF(Nonlabor!$E$20="Core",Nonlabor!$F$20,MAX(Nonlabor!$F$20,IF(Nonlabor!$E$20="AI",Assumptions!$D$24,Assumptions!$D$25)))),AND(Nonlabor!$H$20="Annual",MOD(C2199-IF(Nonlabor!$E$20="Core",Nonlabor!$F$20,MAX(Nonlabor!$F$20,IF(Nonlabor!$E$20="AI",Assumptions!$D$24,Assumptions!$D$25))),12)=0))),IF(Nonlabor!$I$20="Fixed",1,IF(Nonlabor!$I$20="Seats",ROUNDUP('Monthly Base'!I39,0),IF(Nonlabor!$I$20="Customers",'Monthly Base'!D39,IF(Nonlabor!$I$20="NewCustomers",'Monthly Base'!C39,IF(Nonlabor!$I$20="StorageGB",'Monthly Base'!G39,IF(Nonlabor!$I$20="LogGB",'Monthly Base'!H39,IF(Nonlabor!$I$20="RequestsM",'Monthly Base'!F39,IF(Nonlabor!$I$20="InputM",'Monthly Base'!D39*Assumptions!$D$22/1000000,IF(Nonlabor!$I$20="OutputM",'Monthly Base'!D39*Assumptions!$D$23/1000000,0))))))))),0)</f>
        <v>1</v>
      </c>
      <c r="F2199" s="10" t="n">
        <f aca="false">Nonlabor!$J$20*(1+Assumptions!$D$9)^INT((C2199-1)/12)</f>
        <v>636.54</v>
      </c>
      <c r="G2199" s="10" t="n">
        <f aca="false">E2199*F2199</f>
        <v>636.54</v>
      </c>
      <c r="H2199" s="10" t="n">
        <f aca="false">IF(OR(Nonlabor!$L$20="Quote required",Nonlabor!$L$20="Unverified"),G2199,0)</f>
        <v>636.54</v>
      </c>
      <c r="I2199" s="10" t="n">
        <f aca="false">IF(Nonlabor!$E$20="Core",0,G2199)</f>
        <v>0</v>
      </c>
      <c r="J2199" s="23" t="str">
        <f aca="false">Nonlabor!$B$20</f>
        <v>ACCOUNTING</v>
      </c>
    </row>
    <row r="2200" customFormat="false" ht="15" hidden="false" customHeight="false" outlineLevel="0" collapsed="false">
      <c r="A2200" s="6" t="s">
        <v>4</v>
      </c>
      <c r="B2200" s="6" t="s">
        <v>51</v>
      </c>
      <c r="C2200" s="6" t="n">
        <v>35</v>
      </c>
      <c r="D2200" s="25" t="n">
        <f aca="false">EDATE('Start Here'!$B$6,C2200-1)</f>
        <v>47362</v>
      </c>
      <c r="E2200" s="23" t="n">
        <f aca="false">IF(AND(OR(Nonlabor!$D$20="Both",Nonlabor!$D$20='Start Here'!$B$9),IF(Nonlabor!$E$20="Core",1,IF(Nonlabor!$E$20="AI",'Start Here'!$B$7,'Start Here'!$B$8))=1,C2200&gt;=IF(Nonlabor!$E$20="Core",Nonlabor!$F$20,MAX(Nonlabor!$F$20,IF(Nonlabor!$E$20="AI",Assumptions!$D$24,Assumptions!$D$25))),C2200&lt;=Nonlabor!$G$20,OR(Nonlabor!$H$20="Monthly",AND(Nonlabor!$H$20="Once",C2200=IF(Nonlabor!$E$20="Core",Nonlabor!$F$20,MAX(Nonlabor!$F$20,IF(Nonlabor!$E$20="AI",Assumptions!$D$24,Assumptions!$D$25)))),AND(Nonlabor!$H$20="Annual",MOD(C2200-IF(Nonlabor!$E$20="Core",Nonlabor!$F$20,MAX(Nonlabor!$F$20,IF(Nonlabor!$E$20="AI",Assumptions!$D$24,Assumptions!$D$25))),12)=0))),IF(Nonlabor!$I$20="Fixed",1,IF(Nonlabor!$I$20="Seats",ROUNDUP('Monthly Base'!I40,0),IF(Nonlabor!$I$20="Customers",'Monthly Base'!D40,IF(Nonlabor!$I$20="NewCustomers",'Monthly Base'!C40,IF(Nonlabor!$I$20="StorageGB",'Monthly Base'!G40,IF(Nonlabor!$I$20="LogGB",'Monthly Base'!H40,IF(Nonlabor!$I$20="RequestsM",'Monthly Base'!F40,IF(Nonlabor!$I$20="InputM",'Monthly Base'!D40*Assumptions!$D$22/1000000,IF(Nonlabor!$I$20="OutputM",'Monthly Base'!D40*Assumptions!$D$23/1000000,0))))))))),0)</f>
        <v>1</v>
      </c>
      <c r="F2200" s="10" t="n">
        <f aca="false">Nonlabor!$J$20*(1+Assumptions!$D$9)^INT((C2200-1)/12)</f>
        <v>636.54</v>
      </c>
      <c r="G2200" s="10" t="n">
        <f aca="false">E2200*F2200</f>
        <v>636.54</v>
      </c>
      <c r="H2200" s="10" t="n">
        <f aca="false">IF(OR(Nonlabor!$L$20="Quote required",Nonlabor!$L$20="Unverified"),G2200,0)</f>
        <v>636.54</v>
      </c>
      <c r="I2200" s="10" t="n">
        <f aca="false">IF(Nonlabor!$E$20="Core",0,G2200)</f>
        <v>0</v>
      </c>
      <c r="J2200" s="23" t="str">
        <f aca="false">Nonlabor!$B$20</f>
        <v>ACCOUNTING</v>
      </c>
    </row>
    <row r="2201" customFormat="false" ht="15" hidden="false" customHeight="false" outlineLevel="0" collapsed="false">
      <c r="A2201" s="6" t="s">
        <v>4</v>
      </c>
      <c r="B2201" s="6" t="s">
        <v>51</v>
      </c>
      <c r="C2201" s="6" t="n">
        <v>36</v>
      </c>
      <c r="D2201" s="25" t="n">
        <f aca="false">EDATE('Start Here'!$B$6,C2201-1)</f>
        <v>47392</v>
      </c>
      <c r="E2201" s="23" t="n">
        <f aca="false">IF(AND(OR(Nonlabor!$D$20="Both",Nonlabor!$D$20='Start Here'!$B$9),IF(Nonlabor!$E$20="Core",1,IF(Nonlabor!$E$20="AI",'Start Here'!$B$7,'Start Here'!$B$8))=1,C2201&gt;=IF(Nonlabor!$E$20="Core",Nonlabor!$F$20,MAX(Nonlabor!$F$20,IF(Nonlabor!$E$20="AI",Assumptions!$D$24,Assumptions!$D$25))),C2201&lt;=Nonlabor!$G$20,OR(Nonlabor!$H$20="Monthly",AND(Nonlabor!$H$20="Once",C2201=IF(Nonlabor!$E$20="Core",Nonlabor!$F$20,MAX(Nonlabor!$F$20,IF(Nonlabor!$E$20="AI",Assumptions!$D$24,Assumptions!$D$25)))),AND(Nonlabor!$H$20="Annual",MOD(C2201-IF(Nonlabor!$E$20="Core",Nonlabor!$F$20,MAX(Nonlabor!$F$20,IF(Nonlabor!$E$20="AI",Assumptions!$D$24,Assumptions!$D$25))),12)=0))),IF(Nonlabor!$I$20="Fixed",1,IF(Nonlabor!$I$20="Seats",ROUNDUP('Monthly Base'!I41,0),IF(Nonlabor!$I$20="Customers",'Monthly Base'!D41,IF(Nonlabor!$I$20="NewCustomers",'Monthly Base'!C41,IF(Nonlabor!$I$20="StorageGB",'Monthly Base'!G41,IF(Nonlabor!$I$20="LogGB",'Monthly Base'!H41,IF(Nonlabor!$I$20="RequestsM",'Monthly Base'!F41,IF(Nonlabor!$I$20="InputM",'Monthly Base'!D41*Assumptions!$D$22/1000000,IF(Nonlabor!$I$20="OutputM",'Monthly Base'!D41*Assumptions!$D$23/1000000,0))))))))),0)</f>
        <v>1</v>
      </c>
      <c r="F2201" s="10" t="n">
        <f aca="false">Nonlabor!$J$20*(1+Assumptions!$D$9)^INT((C2201-1)/12)</f>
        <v>636.54</v>
      </c>
      <c r="G2201" s="10" t="n">
        <f aca="false">E2201*F2201</f>
        <v>636.54</v>
      </c>
      <c r="H2201" s="10" t="n">
        <f aca="false">IF(OR(Nonlabor!$L$20="Quote required",Nonlabor!$L$20="Unverified"),G2201,0)</f>
        <v>636.54</v>
      </c>
      <c r="I2201" s="10" t="n">
        <f aca="false">IF(Nonlabor!$E$20="Core",0,G2201)</f>
        <v>0</v>
      </c>
      <c r="J2201" s="23" t="str">
        <f aca="false">Nonlabor!$B$20</f>
        <v>ACCOUNTING</v>
      </c>
    </row>
    <row r="2202" customFormat="false" ht="15" hidden="false" customHeight="false" outlineLevel="0" collapsed="false">
      <c r="A2202" s="6" t="s">
        <v>4</v>
      </c>
      <c r="B2202" s="6" t="s">
        <v>51</v>
      </c>
      <c r="C2202" s="6" t="n">
        <v>37</v>
      </c>
      <c r="D2202" s="25" t="n">
        <f aca="false">EDATE('Start Here'!$B$6,C2202-1)</f>
        <v>47423</v>
      </c>
      <c r="E2202" s="23" t="n">
        <f aca="false">IF(AND(OR(Nonlabor!$D$20="Both",Nonlabor!$D$20='Start Here'!$B$9),IF(Nonlabor!$E$20="Core",1,IF(Nonlabor!$E$20="AI",'Start Here'!$B$7,'Start Here'!$B$8))=1,C2202&gt;=IF(Nonlabor!$E$20="Core",Nonlabor!$F$20,MAX(Nonlabor!$F$20,IF(Nonlabor!$E$20="AI",Assumptions!$D$24,Assumptions!$D$25))),C2202&lt;=Nonlabor!$G$20,OR(Nonlabor!$H$20="Monthly",AND(Nonlabor!$H$20="Once",C2202=IF(Nonlabor!$E$20="Core",Nonlabor!$F$20,MAX(Nonlabor!$F$20,IF(Nonlabor!$E$20="AI",Assumptions!$D$24,Assumptions!$D$25)))),AND(Nonlabor!$H$20="Annual",MOD(C2202-IF(Nonlabor!$E$20="Core",Nonlabor!$F$20,MAX(Nonlabor!$F$20,IF(Nonlabor!$E$20="AI",Assumptions!$D$24,Assumptions!$D$25))),12)=0))),IF(Nonlabor!$I$20="Fixed",1,IF(Nonlabor!$I$20="Seats",ROUNDUP('Monthly Base'!I42,0),IF(Nonlabor!$I$20="Customers",'Monthly Base'!D42,IF(Nonlabor!$I$20="NewCustomers",'Monthly Base'!C42,IF(Nonlabor!$I$20="StorageGB",'Monthly Base'!G42,IF(Nonlabor!$I$20="LogGB",'Monthly Base'!H42,IF(Nonlabor!$I$20="RequestsM",'Monthly Base'!F42,IF(Nonlabor!$I$20="InputM",'Monthly Base'!D42*Assumptions!$D$22/1000000,IF(Nonlabor!$I$20="OutputM",'Monthly Base'!D42*Assumptions!$D$23/1000000,0))))))))),0)</f>
        <v>1</v>
      </c>
      <c r="F2202" s="10" t="n">
        <f aca="false">Nonlabor!$J$20*(1+Assumptions!$D$9)^INT((C2202-1)/12)</f>
        <v>655.6362</v>
      </c>
      <c r="G2202" s="10" t="n">
        <f aca="false">E2202*F2202</f>
        <v>655.6362</v>
      </c>
      <c r="H2202" s="10" t="n">
        <f aca="false">IF(OR(Nonlabor!$L$20="Quote required",Nonlabor!$L$20="Unverified"),G2202,0)</f>
        <v>655.6362</v>
      </c>
      <c r="I2202" s="10" t="n">
        <f aca="false">IF(Nonlabor!$E$20="Core",0,G2202)</f>
        <v>0</v>
      </c>
      <c r="J2202" s="23" t="str">
        <f aca="false">Nonlabor!$B$20</f>
        <v>ACCOUNTING</v>
      </c>
    </row>
    <row r="2203" customFormat="false" ht="15" hidden="false" customHeight="false" outlineLevel="0" collapsed="false">
      <c r="A2203" s="6" t="s">
        <v>4</v>
      </c>
      <c r="B2203" s="6" t="s">
        <v>51</v>
      </c>
      <c r="C2203" s="6" t="n">
        <v>38</v>
      </c>
      <c r="D2203" s="25" t="n">
        <f aca="false">EDATE('Start Here'!$B$6,C2203-1)</f>
        <v>47453</v>
      </c>
      <c r="E2203" s="23" t="n">
        <f aca="false">IF(AND(OR(Nonlabor!$D$20="Both",Nonlabor!$D$20='Start Here'!$B$9),IF(Nonlabor!$E$20="Core",1,IF(Nonlabor!$E$20="AI",'Start Here'!$B$7,'Start Here'!$B$8))=1,C2203&gt;=IF(Nonlabor!$E$20="Core",Nonlabor!$F$20,MAX(Nonlabor!$F$20,IF(Nonlabor!$E$20="AI",Assumptions!$D$24,Assumptions!$D$25))),C2203&lt;=Nonlabor!$G$20,OR(Nonlabor!$H$20="Monthly",AND(Nonlabor!$H$20="Once",C2203=IF(Nonlabor!$E$20="Core",Nonlabor!$F$20,MAX(Nonlabor!$F$20,IF(Nonlabor!$E$20="AI",Assumptions!$D$24,Assumptions!$D$25)))),AND(Nonlabor!$H$20="Annual",MOD(C2203-IF(Nonlabor!$E$20="Core",Nonlabor!$F$20,MAX(Nonlabor!$F$20,IF(Nonlabor!$E$20="AI",Assumptions!$D$24,Assumptions!$D$25))),12)=0))),IF(Nonlabor!$I$20="Fixed",1,IF(Nonlabor!$I$20="Seats",ROUNDUP('Monthly Base'!I43,0),IF(Nonlabor!$I$20="Customers",'Monthly Base'!D43,IF(Nonlabor!$I$20="NewCustomers",'Monthly Base'!C43,IF(Nonlabor!$I$20="StorageGB",'Monthly Base'!G43,IF(Nonlabor!$I$20="LogGB",'Monthly Base'!H43,IF(Nonlabor!$I$20="RequestsM",'Monthly Base'!F43,IF(Nonlabor!$I$20="InputM",'Monthly Base'!D43*Assumptions!$D$22/1000000,IF(Nonlabor!$I$20="OutputM",'Monthly Base'!D43*Assumptions!$D$23/1000000,0))))))))),0)</f>
        <v>1</v>
      </c>
      <c r="F2203" s="10" t="n">
        <f aca="false">Nonlabor!$J$20*(1+Assumptions!$D$9)^INT((C2203-1)/12)</f>
        <v>655.6362</v>
      </c>
      <c r="G2203" s="10" t="n">
        <f aca="false">E2203*F2203</f>
        <v>655.6362</v>
      </c>
      <c r="H2203" s="10" t="n">
        <f aca="false">IF(OR(Nonlabor!$L$20="Quote required",Nonlabor!$L$20="Unverified"),G2203,0)</f>
        <v>655.6362</v>
      </c>
      <c r="I2203" s="10" t="n">
        <f aca="false">IF(Nonlabor!$E$20="Core",0,G2203)</f>
        <v>0</v>
      </c>
      <c r="J2203" s="23" t="str">
        <f aca="false">Nonlabor!$B$20</f>
        <v>ACCOUNTING</v>
      </c>
    </row>
    <row r="2204" customFormat="false" ht="15" hidden="false" customHeight="false" outlineLevel="0" collapsed="false">
      <c r="A2204" s="6" t="s">
        <v>4</v>
      </c>
      <c r="B2204" s="6" t="s">
        <v>51</v>
      </c>
      <c r="C2204" s="6" t="n">
        <v>39</v>
      </c>
      <c r="D2204" s="25" t="n">
        <f aca="false">EDATE('Start Here'!$B$6,C2204-1)</f>
        <v>47484</v>
      </c>
      <c r="E2204" s="23" t="n">
        <f aca="false">IF(AND(OR(Nonlabor!$D$20="Both",Nonlabor!$D$20='Start Here'!$B$9),IF(Nonlabor!$E$20="Core",1,IF(Nonlabor!$E$20="AI",'Start Here'!$B$7,'Start Here'!$B$8))=1,C2204&gt;=IF(Nonlabor!$E$20="Core",Nonlabor!$F$20,MAX(Nonlabor!$F$20,IF(Nonlabor!$E$20="AI",Assumptions!$D$24,Assumptions!$D$25))),C2204&lt;=Nonlabor!$G$20,OR(Nonlabor!$H$20="Monthly",AND(Nonlabor!$H$20="Once",C2204=IF(Nonlabor!$E$20="Core",Nonlabor!$F$20,MAX(Nonlabor!$F$20,IF(Nonlabor!$E$20="AI",Assumptions!$D$24,Assumptions!$D$25)))),AND(Nonlabor!$H$20="Annual",MOD(C2204-IF(Nonlabor!$E$20="Core",Nonlabor!$F$20,MAX(Nonlabor!$F$20,IF(Nonlabor!$E$20="AI",Assumptions!$D$24,Assumptions!$D$25))),12)=0))),IF(Nonlabor!$I$20="Fixed",1,IF(Nonlabor!$I$20="Seats",ROUNDUP('Monthly Base'!I44,0),IF(Nonlabor!$I$20="Customers",'Monthly Base'!D44,IF(Nonlabor!$I$20="NewCustomers",'Monthly Base'!C44,IF(Nonlabor!$I$20="StorageGB",'Monthly Base'!G44,IF(Nonlabor!$I$20="LogGB",'Monthly Base'!H44,IF(Nonlabor!$I$20="RequestsM",'Monthly Base'!F44,IF(Nonlabor!$I$20="InputM",'Monthly Base'!D44*Assumptions!$D$22/1000000,IF(Nonlabor!$I$20="OutputM",'Monthly Base'!D44*Assumptions!$D$23/1000000,0))))))))),0)</f>
        <v>1</v>
      </c>
      <c r="F2204" s="10" t="n">
        <f aca="false">Nonlabor!$J$20*(1+Assumptions!$D$9)^INT((C2204-1)/12)</f>
        <v>655.6362</v>
      </c>
      <c r="G2204" s="10" t="n">
        <f aca="false">E2204*F2204</f>
        <v>655.6362</v>
      </c>
      <c r="H2204" s="10" t="n">
        <f aca="false">IF(OR(Nonlabor!$L$20="Quote required",Nonlabor!$L$20="Unverified"),G2204,0)</f>
        <v>655.6362</v>
      </c>
      <c r="I2204" s="10" t="n">
        <f aca="false">IF(Nonlabor!$E$20="Core",0,G2204)</f>
        <v>0</v>
      </c>
      <c r="J2204" s="23" t="str">
        <f aca="false">Nonlabor!$B$20</f>
        <v>ACCOUNTING</v>
      </c>
    </row>
    <row r="2205" customFormat="false" ht="15" hidden="false" customHeight="false" outlineLevel="0" collapsed="false">
      <c r="A2205" s="6" t="s">
        <v>4</v>
      </c>
      <c r="B2205" s="6" t="s">
        <v>51</v>
      </c>
      <c r="C2205" s="6" t="n">
        <v>40</v>
      </c>
      <c r="D2205" s="25" t="n">
        <f aca="false">EDATE('Start Here'!$B$6,C2205-1)</f>
        <v>47515</v>
      </c>
      <c r="E2205" s="23" t="n">
        <f aca="false">IF(AND(OR(Nonlabor!$D$20="Both",Nonlabor!$D$20='Start Here'!$B$9),IF(Nonlabor!$E$20="Core",1,IF(Nonlabor!$E$20="AI",'Start Here'!$B$7,'Start Here'!$B$8))=1,C2205&gt;=IF(Nonlabor!$E$20="Core",Nonlabor!$F$20,MAX(Nonlabor!$F$20,IF(Nonlabor!$E$20="AI",Assumptions!$D$24,Assumptions!$D$25))),C2205&lt;=Nonlabor!$G$20,OR(Nonlabor!$H$20="Monthly",AND(Nonlabor!$H$20="Once",C2205=IF(Nonlabor!$E$20="Core",Nonlabor!$F$20,MAX(Nonlabor!$F$20,IF(Nonlabor!$E$20="AI",Assumptions!$D$24,Assumptions!$D$25)))),AND(Nonlabor!$H$20="Annual",MOD(C2205-IF(Nonlabor!$E$20="Core",Nonlabor!$F$20,MAX(Nonlabor!$F$20,IF(Nonlabor!$E$20="AI",Assumptions!$D$24,Assumptions!$D$25))),12)=0))),IF(Nonlabor!$I$20="Fixed",1,IF(Nonlabor!$I$20="Seats",ROUNDUP('Monthly Base'!I45,0),IF(Nonlabor!$I$20="Customers",'Monthly Base'!D45,IF(Nonlabor!$I$20="NewCustomers",'Monthly Base'!C45,IF(Nonlabor!$I$20="StorageGB",'Monthly Base'!G45,IF(Nonlabor!$I$20="LogGB",'Monthly Base'!H45,IF(Nonlabor!$I$20="RequestsM",'Monthly Base'!F45,IF(Nonlabor!$I$20="InputM",'Monthly Base'!D45*Assumptions!$D$22/1000000,IF(Nonlabor!$I$20="OutputM",'Monthly Base'!D45*Assumptions!$D$23/1000000,0))))))))),0)</f>
        <v>1</v>
      </c>
      <c r="F2205" s="10" t="n">
        <f aca="false">Nonlabor!$J$20*(1+Assumptions!$D$9)^INT((C2205-1)/12)</f>
        <v>655.6362</v>
      </c>
      <c r="G2205" s="10" t="n">
        <f aca="false">E2205*F2205</f>
        <v>655.6362</v>
      </c>
      <c r="H2205" s="10" t="n">
        <f aca="false">IF(OR(Nonlabor!$L$20="Quote required",Nonlabor!$L$20="Unverified"),G2205,0)</f>
        <v>655.6362</v>
      </c>
      <c r="I2205" s="10" t="n">
        <f aca="false">IF(Nonlabor!$E$20="Core",0,G2205)</f>
        <v>0</v>
      </c>
      <c r="J2205" s="23" t="str">
        <f aca="false">Nonlabor!$B$20</f>
        <v>ACCOUNTING</v>
      </c>
    </row>
    <row r="2206" customFormat="false" ht="15" hidden="false" customHeight="false" outlineLevel="0" collapsed="false">
      <c r="A2206" s="6" t="s">
        <v>4</v>
      </c>
      <c r="B2206" s="6" t="s">
        <v>51</v>
      </c>
      <c r="C2206" s="6" t="n">
        <v>41</v>
      </c>
      <c r="D2206" s="25" t="n">
        <f aca="false">EDATE('Start Here'!$B$6,C2206-1)</f>
        <v>47543</v>
      </c>
      <c r="E2206" s="23" t="n">
        <f aca="false">IF(AND(OR(Nonlabor!$D$20="Both",Nonlabor!$D$20='Start Here'!$B$9),IF(Nonlabor!$E$20="Core",1,IF(Nonlabor!$E$20="AI",'Start Here'!$B$7,'Start Here'!$B$8))=1,C2206&gt;=IF(Nonlabor!$E$20="Core",Nonlabor!$F$20,MAX(Nonlabor!$F$20,IF(Nonlabor!$E$20="AI",Assumptions!$D$24,Assumptions!$D$25))),C2206&lt;=Nonlabor!$G$20,OR(Nonlabor!$H$20="Monthly",AND(Nonlabor!$H$20="Once",C2206=IF(Nonlabor!$E$20="Core",Nonlabor!$F$20,MAX(Nonlabor!$F$20,IF(Nonlabor!$E$20="AI",Assumptions!$D$24,Assumptions!$D$25)))),AND(Nonlabor!$H$20="Annual",MOD(C2206-IF(Nonlabor!$E$20="Core",Nonlabor!$F$20,MAX(Nonlabor!$F$20,IF(Nonlabor!$E$20="AI",Assumptions!$D$24,Assumptions!$D$25))),12)=0))),IF(Nonlabor!$I$20="Fixed",1,IF(Nonlabor!$I$20="Seats",ROUNDUP('Monthly Base'!I46,0),IF(Nonlabor!$I$20="Customers",'Monthly Base'!D46,IF(Nonlabor!$I$20="NewCustomers",'Monthly Base'!C46,IF(Nonlabor!$I$20="StorageGB",'Monthly Base'!G46,IF(Nonlabor!$I$20="LogGB",'Monthly Base'!H46,IF(Nonlabor!$I$20="RequestsM",'Monthly Base'!F46,IF(Nonlabor!$I$20="InputM",'Monthly Base'!D46*Assumptions!$D$22/1000000,IF(Nonlabor!$I$20="OutputM",'Monthly Base'!D46*Assumptions!$D$23/1000000,0))))))))),0)</f>
        <v>1</v>
      </c>
      <c r="F2206" s="10" t="n">
        <f aca="false">Nonlabor!$J$20*(1+Assumptions!$D$9)^INT((C2206-1)/12)</f>
        <v>655.6362</v>
      </c>
      <c r="G2206" s="10" t="n">
        <f aca="false">E2206*F2206</f>
        <v>655.6362</v>
      </c>
      <c r="H2206" s="10" t="n">
        <f aca="false">IF(OR(Nonlabor!$L$20="Quote required",Nonlabor!$L$20="Unverified"),G2206,0)</f>
        <v>655.6362</v>
      </c>
      <c r="I2206" s="10" t="n">
        <f aca="false">IF(Nonlabor!$E$20="Core",0,G2206)</f>
        <v>0</v>
      </c>
      <c r="J2206" s="23" t="str">
        <f aca="false">Nonlabor!$B$20</f>
        <v>ACCOUNTING</v>
      </c>
    </row>
    <row r="2207" customFormat="false" ht="15" hidden="false" customHeight="false" outlineLevel="0" collapsed="false">
      <c r="A2207" s="6" t="s">
        <v>4</v>
      </c>
      <c r="B2207" s="6" t="s">
        <v>51</v>
      </c>
      <c r="C2207" s="6" t="n">
        <v>42</v>
      </c>
      <c r="D2207" s="25" t="n">
        <f aca="false">EDATE('Start Here'!$B$6,C2207-1)</f>
        <v>47574</v>
      </c>
      <c r="E2207" s="23" t="n">
        <f aca="false">IF(AND(OR(Nonlabor!$D$20="Both",Nonlabor!$D$20='Start Here'!$B$9),IF(Nonlabor!$E$20="Core",1,IF(Nonlabor!$E$20="AI",'Start Here'!$B$7,'Start Here'!$B$8))=1,C2207&gt;=IF(Nonlabor!$E$20="Core",Nonlabor!$F$20,MAX(Nonlabor!$F$20,IF(Nonlabor!$E$20="AI",Assumptions!$D$24,Assumptions!$D$25))),C2207&lt;=Nonlabor!$G$20,OR(Nonlabor!$H$20="Monthly",AND(Nonlabor!$H$20="Once",C2207=IF(Nonlabor!$E$20="Core",Nonlabor!$F$20,MAX(Nonlabor!$F$20,IF(Nonlabor!$E$20="AI",Assumptions!$D$24,Assumptions!$D$25)))),AND(Nonlabor!$H$20="Annual",MOD(C2207-IF(Nonlabor!$E$20="Core",Nonlabor!$F$20,MAX(Nonlabor!$F$20,IF(Nonlabor!$E$20="AI",Assumptions!$D$24,Assumptions!$D$25))),12)=0))),IF(Nonlabor!$I$20="Fixed",1,IF(Nonlabor!$I$20="Seats",ROUNDUP('Monthly Base'!I47,0),IF(Nonlabor!$I$20="Customers",'Monthly Base'!D47,IF(Nonlabor!$I$20="NewCustomers",'Monthly Base'!C47,IF(Nonlabor!$I$20="StorageGB",'Monthly Base'!G47,IF(Nonlabor!$I$20="LogGB",'Monthly Base'!H47,IF(Nonlabor!$I$20="RequestsM",'Monthly Base'!F47,IF(Nonlabor!$I$20="InputM",'Monthly Base'!D47*Assumptions!$D$22/1000000,IF(Nonlabor!$I$20="OutputM",'Monthly Base'!D47*Assumptions!$D$23/1000000,0))))))))),0)</f>
        <v>1</v>
      </c>
      <c r="F2207" s="10" t="n">
        <f aca="false">Nonlabor!$J$20*(1+Assumptions!$D$9)^INT((C2207-1)/12)</f>
        <v>655.6362</v>
      </c>
      <c r="G2207" s="10" t="n">
        <f aca="false">E2207*F2207</f>
        <v>655.6362</v>
      </c>
      <c r="H2207" s="10" t="n">
        <f aca="false">IF(OR(Nonlabor!$L$20="Quote required",Nonlabor!$L$20="Unverified"),G2207,0)</f>
        <v>655.6362</v>
      </c>
      <c r="I2207" s="10" t="n">
        <f aca="false">IF(Nonlabor!$E$20="Core",0,G2207)</f>
        <v>0</v>
      </c>
      <c r="J2207" s="23" t="str">
        <f aca="false">Nonlabor!$B$20</f>
        <v>ACCOUNTING</v>
      </c>
    </row>
    <row r="2208" customFormat="false" ht="15" hidden="false" customHeight="false" outlineLevel="0" collapsed="false">
      <c r="A2208" s="6" t="s">
        <v>4</v>
      </c>
      <c r="B2208" s="6" t="s">
        <v>51</v>
      </c>
      <c r="C2208" s="6" t="n">
        <v>43</v>
      </c>
      <c r="D2208" s="25" t="n">
        <f aca="false">EDATE('Start Here'!$B$6,C2208-1)</f>
        <v>47604</v>
      </c>
      <c r="E2208" s="23" t="n">
        <f aca="false">IF(AND(OR(Nonlabor!$D$20="Both",Nonlabor!$D$20='Start Here'!$B$9),IF(Nonlabor!$E$20="Core",1,IF(Nonlabor!$E$20="AI",'Start Here'!$B$7,'Start Here'!$B$8))=1,C2208&gt;=IF(Nonlabor!$E$20="Core",Nonlabor!$F$20,MAX(Nonlabor!$F$20,IF(Nonlabor!$E$20="AI",Assumptions!$D$24,Assumptions!$D$25))),C2208&lt;=Nonlabor!$G$20,OR(Nonlabor!$H$20="Monthly",AND(Nonlabor!$H$20="Once",C2208=IF(Nonlabor!$E$20="Core",Nonlabor!$F$20,MAX(Nonlabor!$F$20,IF(Nonlabor!$E$20="AI",Assumptions!$D$24,Assumptions!$D$25)))),AND(Nonlabor!$H$20="Annual",MOD(C2208-IF(Nonlabor!$E$20="Core",Nonlabor!$F$20,MAX(Nonlabor!$F$20,IF(Nonlabor!$E$20="AI",Assumptions!$D$24,Assumptions!$D$25))),12)=0))),IF(Nonlabor!$I$20="Fixed",1,IF(Nonlabor!$I$20="Seats",ROUNDUP('Monthly Base'!I48,0),IF(Nonlabor!$I$20="Customers",'Monthly Base'!D48,IF(Nonlabor!$I$20="NewCustomers",'Monthly Base'!C48,IF(Nonlabor!$I$20="StorageGB",'Monthly Base'!G48,IF(Nonlabor!$I$20="LogGB",'Monthly Base'!H48,IF(Nonlabor!$I$20="RequestsM",'Monthly Base'!F48,IF(Nonlabor!$I$20="InputM",'Monthly Base'!D48*Assumptions!$D$22/1000000,IF(Nonlabor!$I$20="OutputM",'Monthly Base'!D48*Assumptions!$D$23/1000000,0))))))))),0)</f>
        <v>1</v>
      </c>
      <c r="F2208" s="10" t="n">
        <f aca="false">Nonlabor!$J$20*(1+Assumptions!$D$9)^INT((C2208-1)/12)</f>
        <v>655.6362</v>
      </c>
      <c r="G2208" s="10" t="n">
        <f aca="false">E2208*F2208</f>
        <v>655.6362</v>
      </c>
      <c r="H2208" s="10" t="n">
        <f aca="false">IF(OR(Nonlabor!$L$20="Quote required",Nonlabor!$L$20="Unverified"),G2208,0)</f>
        <v>655.6362</v>
      </c>
      <c r="I2208" s="10" t="n">
        <f aca="false">IF(Nonlabor!$E$20="Core",0,G2208)</f>
        <v>0</v>
      </c>
      <c r="J2208" s="23" t="str">
        <f aca="false">Nonlabor!$B$20</f>
        <v>ACCOUNTING</v>
      </c>
    </row>
    <row r="2209" customFormat="false" ht="15" hidden="false" customHeight="false" outlineLevel="0" collapsed="false">
      <c r="A2209" s="6" t="s">
        <v>4</v>
      </c>
      <c r="B2209" s="6" t="s">
        <v>51</v>
      </c>
      <c r="C2209" s="6" t="n">
        <v>44</v>
      </c>
      <c r="D2209" s="25" t="n">
        <f aca="false">EDATE('Start Here'!$B$6,C2209-1)</f>
        <v>47635</v>
      </c>
      <c r="E2209" s="23" t="n">
        <f aca="false">IF(AND(OR(Nonlabor!$D$20="Both",Nonlabor!$D$20='Start Here'!$B$9),IF(Nonlabor!$E$20="Core",1,IF(Nonlabor!$E$20="AI",'Start Here'!$B$7,'Start Here'!$B$8))=1,C2209&gt;=IF(Nonlabor!$E$20="Core",Nonlabor!$F$20,MAX(Nonlabor!$F$20,IF(Nonlabor!$E$20="AI",Assumptions!$D$24,Assumptions!$D$25))),C2209&lt;=Nonlabor!$G$20,OR(Nonlabor!$H$20="Monthly",AND(Nonlabor!$H$20="Once",C2209=IF(Nonlabor!$E$20="Core",Nonlabor!$F$20,MAX(Nonlabor!$F$20,IF(Nonlabor!$E$20="AI",Assumptions!$D$24,Assumptions!$D$25)))),AND(Nonlabor!$H$20="Annual",MOD(C2209-IF(Nonlabor!$E$20="Core",Nonlabor!$F$20,MAX(Nonlabor!$F$20,IF(Nonlabor!$E$20="AI",Assumptions!$D$24,Assumptions!$D$25))),12)=0))),IF(Nonlabor!$I$20="Fixed",1,IF(Nonlabor!$I$20="Seats",ROUNDUP('Monthly Base'!I49,0),IF(Nonlabor!$I$20="Customers",'Monthly Base'!D49,IF(Nonlabor!$I$20="NewCustomers",'Monthly Base'!C49,IF(Nonlabor!$I$20="StorageGB",'Monthly Base'!G49,IF(Nonlabor!$I$20="LogGB",'Monthly Base'!H49,IF(Nonlabor!$I$20="RequestsM",'Monthly Base'!F49,IF(Nonlabor!$I$20="InputM",'Monthly Base'!D49*Assumptions!$D$22/1000000,IF(Nonlabor!$I$20="OutputM",'Monthly Base'!D49*Assumptions!$D$23/1000000,0))))))))),0)</f>
        <v>1</v>
      </c>
      <c r="F2209" s="10" t="n">
        <f aca="false">Nonlabor!$J$20*(1+Assumptions!$D$9)^INT((C2209-1)/12)</f>
        <v>655.6362</v>
      </c>
      <c r="G2209" s="10" t="n">
        <f aca="false">E2209*F2209</f>
        <v>655.6362</v>
      </c>
      <c r="H2209" s="10" t="n">
        <f aca="false">IF(OR(Nonlabor!$L$20="Quote required",Nonlabor!$L$20="Unverified"),G2209,0)</f>
        <v>655.6362</v>
      </c>
      <c r="I2209" s="10" t="n">
        <f aca="false">IF(Nonlabor!$E$20="Core",0,G2209)</f>
        <v>0</v>
      </c>
      <c r="J2209" s="23" t="str">
        <f aca="false">Nonlabor!$B$20</f>
        <v>ACCOUNTING</v>
      </c>
    </row>
    <row r="2210" customFormat="false" ht="15" hidden="false" customHeight="false" outlineLevel="0" collapsed="false">
      <c r="A2210" s="6" t="s">
        <v>4</v>
      </c>
      <c r="B2210" s="6" t="s">
        <v>51</v>
      </c>
      <c r="C2210" s="6" t="n">
        <v>45</v>
      </c>
      <c r="D2210" s="25" t="n">
        <f aca="false">EDATE('Start Here'!$B$6,C2210-1)</f>
        <v>47665</v>
      </c>
      <c r="E2210" s="23" t="n">
        <f aca="false">IF(AND(OR(Nonlabor!$D$20="Both",Nonlabor!$D$20='Start Here'!$B$9),IF(Nonlabor!$E$20="Core",1,IF(Nonlabor!$E$20="AI",'Start Here'!$B$7,'Start Here'!$B$8))=1,C2210&gt;=IF(Nonlabor!$E$20="Core",Nonlabor!$F$20,MAX(Nonlabor!$F$20,IF(Nonlabor!$E$20="AI",Assumptions!$D$24,Assumptions!$D$25))),C2210&lt;=Nonlabor!$G$20,OR(Nonlabor!$H$20="Monthly",AND(Nonlabor!$H$20="Once",C2210=IF(Nonlabor!$E$20="Core",Nonlabor!$F$20,MAX(Nonlabor!$F$20,IF(Nonlabor!$E$20="AI",Assumptions!$D$24,Assumptions!$D$25)))),AND(Nonlabor!$H$20="Annual",MOD(C2210-IF(Nonlabor!$E$20="Core",Nonlabor!$F$20,MAX(Nonlabor!$F$20,IF(Nonlabor!$E$20="AI",Assumptions!$D$24,Assumptions!$D$25))),12)=0))),IF(Nonlabor!$I$20="Fixed",1,IF(Nonlabor!$I$20="Seats",ROUNDUP('Monthly Base'!I50,0),IF(Nonlabor!$I$20="Customers",'Monthly Base'!D50,IF(Nonlabor!$I$20="NewCustomers",'Monthly Base'!C50,IF(Nonlabor!$I$20="StorageGB",'Monthly Base'!G50,IF(Nonlabor!$I$20="LogGB",'Monthly Base'!H50,IF(Nonlabor!$I$20="RequestsM",'Monthly Base'!F50,IF(Nonlabor!$I$20="InputM",'Monthly Base'!D50*Assumptions!$D$22/1000000,IF(Nonlabor!$I$20="OutputM",'Monthly Base'!D50*Assumptions!$D$23/1000000,0))))))))),0)</f>
        <v>1</v>
      </c>
      <c r="F2210" s="10" t="n">
        <f aca="false">Nonlabor!$J$20*(1+Assumptions!$D$9)^INT((C2210-1)/12)</f>
        <v>655.6362</v>
      </c>
      <c r="G2210" s="10" t="n">
        <f aca="false">E2210*F2210</f>
        <v>655.6362</v>
      </c>
      <c r="H2210" s="10" t="n">
        <f aca="false">IF(OR(Nonlabor!$L$20="Quote required",Nonlabor!$L$20="Unverified"),G2210,0)</f>
        <v>655.6362</v>
      </c>
      <c r="I2210" s="10" t="n">
        <f aca="false">IF(Nonlabor!$E$20="Core",0,G2210)</f>
        <v>0</v>
      </c>
      <c r="J2210" s="23" t="str">
        <f aca="false">Nonlabor!$B$20</f>
        <v>ACCOUNTING</v>
      </c>
    </row>
    <row r="2211" customFormat="false" ht="15" hidden="false" customHeight="false" outlineLevel="0" collapsed="false">
      <c r="A2211" s="6" t="s">
        <v>4</v>
      </c>
      <c r="B2211" s="6" t="s">
        <v>51</v>
      </c>
      <c r="C2211" s="6" t="n">
        <v>46</v>
      </c>
      <c r="D2211" s="25" t="n">
        <f aca="false">EDATE('Start Here'!$B$6,C2211-1)</f>
        <v>47696</v>
      </c>
      <c r="E2211" s="23" t="n">
        <f aca="false">IF(AND(OR(Nonlabor!$D$20="Both",Nonlabor!$D$20='Start Here'!$B$9),IF(Nonlabor!$E$20="Core",1,IF(Nonlabor!$E$20="AI",'Start Here'!$B$7,'Start Here'!$B$8))=1,C2211&gt;=IF(Nonlabor!$E$20="Core",Nonlabor!$F$20,MAX(Nonlabor!$F$20,IF(Nonlabor!$E$20="AI",Assumptions!$D$24,Assumptions!$D$25))),C2211&lt;=Nonlabor!$G$20,OR(Nonlabor!$H$20="Monthly",AND(Nonlabor!$H$20="Once",C2211=IF(Nonlabor!$E$20="Core",Nonlabor!$F$20,MAX(Nonlabor!$F$20,IF(Nonlabor!$E$20="AI",Assumptions!$D$24,Assumptions!$D$25)))),AND(Nonlabor!$H$20="Annual",MOD(C2211-IF(Nonlabor!$E$20="Core",Nonlabor!$F$20,MAX(Nonlabor!$F$20,IF(Nonlabor!$E$20="AI",Assumptions!$D$24,Assumptions!$D$25))),12)=0))),IF(Nonlabor!$I$20="Fixed",1,IF(Nonlabor!$I$20="Seats",ROUNDUP('Monthly Base'!I51,0),IF(Nonlabor!$I$20="Customers",'Monthly Base'!D51,IF(Nonlabor!$I$20="NewCustomers",'Monthly Base'!C51,IF(Nonlabor!$I$20="StorageGB",'Monthly Base'!G51,IF(Nonlabor!$I$20="LogGB",'Monthly Base'!H51,IF(Nonlabor!$I$20="RequestsM",'Monthly Base'!F51,IF(Nonlabor!$I$20="InputM",'Monthly Base'!D51*Assumptions!$D$22/1000000,IF(Nonlabor!$I$20="OutputM",'Monthly Base'!D51*Assumptions!$D$23/1000000,0))))))))),0)</f>
        <v>1</v>
      </c>
      <c r="F2211" s="10" t="n">
        <f aca="false">Nonlabor!$J$20*(1+Assumptions!$D$9)^INT((C2211-1)/12)</f>
        <v>655.6362</v>
      </c>
      <c r="G2211" s="10" t="n">
        <f aca="false">E2211*F2211</f>
        <v>655.6362</v>
      </c>
      <c r="H2211" s="10" t="n">
        <f aca="false">IF(OR(Nonlabor!$L$20="Quote required",Nonlabor!$L$20="Unverified"),G2211,0)</f>
        <v>655.6362</v>
      </c>
      <c r="I2211" s="10" t="n">
        <f aca="false">IF(Nonlabor!$E$20="Core",0,G2211)</f>
        <v>0</v>
      </c>
      <c r="J2211" s="23" t="str">
        <f aca="false">Nonlabor!$B$20</f>
        <v>ACCOUNTING</v>
      </c>
    </row>
    <row r="2212" customFormat="false" ht="15" hidden="false" customHeight="false" outlineLevel="0" collapsed="false">
      <c r="A2212" s="6" t="s">
        <v>4</v>
      </c>
      <c r="B2212" s="6" t="s">
        <v>51</v>
      </c>
      <c r="C2212" s="6" t="n">
        <v>47</v>
      </c>
      <c r="D2212" s="25" t="n">
        <f aca="false">EDATE('Start Here'!$B$6,C2212-1)</f>
        <v>47727</v>
      </c>
      <c r="E2212" s="23" t="n">
        <f aca="false">IF(AND(OR(Nonlabor!$D$20="Both",Nonlabor!$D$20='Start Here'!$B$9),IF(Nonlabor!$E$20="Core",1,IF(Nonlabor!$E$20="AI",'Start Here'!$B$7,'Start Here'!$B$8))=1,C2212&gt;=IF(Nonlabor!$E$20="Core",Nonlabor!$F$20,MAX(Nonlabor!$F$20,IF(Nonlabor!$E$20="AI",Assumptions!$D$24,Assumptions!$D$25))),C2212&lt;=Nonlabor!$G$20,OR(Nonlabor!$H$20="Monthly",AND(Nonlabor!$H$20="Once",C2212=IF(Nonlabor!$E$20="Core",Nonlabor!$F$20,MAX(Nonlabor!$F$20,IF(Nonlabor!$E$20="AI",Assumptions!$D$24,Assumptions!$D$25)))),AND(Nonlabor!$H$20="Annual",MOD(C2212-IF(Nonlabor!$E$20="Core",Nonlabor!$F$20,MAX(Nonlabor!$F$20,IF(Nonlabor!$E$20="AI",Assumptions!$D$24,Assumptions!$D$25))),12)=0))),IF(Nonlabor!$I$20="Fixed",1,IF(Nonlabor!$I$20="Seats",ROUNDUP('Monthly Base'!I52,0),IF(Nonlabor!$I$20="Customers",'Monthly Base'!D52,IF(Nonlabor!$I$20="NewCustomers",'Monthly Base'!C52,IF(Nonlabor!$I$20="StorageGB",'Monthly Base'!G52,IF(Nonlabor!$I$20="LogGB",'Monthly Base'!H52,IF(Nonlabor!$I$20="RequestsM",'Monthly Base'!F52,IF(Nonlabor!$I$20="InputM",'Monthly Base'!D52*Assumptions!$D$22/1000000,IF(Nonlabor!$I$20="OutputM",'Monthly Base'!D52*Assumptions!$D$23/1000000,0))))))))),0)</f>
        <v>1</v>
      </c>
      <c r="F2212" s="10" t="n">
        <f aca="false">Nonlabor!$J$20*(1+Assumptions!$D$9)^INT((C2212-1)/12)</f>
        <v>655.6362</v>
      </c>
      <c r="G2212" s="10" t="n">
        <f aca="false">E2212*F2212</f>
        <v>655.6362</v>
      </c>
      <c r="H2212" s="10" t="n">
        <f aca="false">IF(OR(Nonlabor!$L$20="Quote required",Nonlabor!$L$20="Unverified"),G2212,0)</f>
        <v>655.6362</v>
      </c>
      <c r="I2212" s="10" t="n">
        <f aca="false">IF(Nonlabor!$E$20="Core",0,G2212)</f>
        <v>0</v>
      </c>
      <c r="J2212" s="23" t="str">
        <f aca="false">Nonlabor!$B$20</f>
        <v>ACCOUNTING</v>
      </c>
    </row>
    <row r="2213" customFormat="false" ht="15" hidden="false" customHeight="false" outlineLevel="0" collapsed="false">
      <c r="A2213" s="6" t="s">
        <v>4</v>
      </c>
      <c r="B2213" s="6" t="s">
        <v>51</v>
      </c>
      <c r="C2213" s="6" t="n">
        <v>48</v>
      </c>
      <c r="D2213" s="25" t="n">
        <f aca="false">EDATE('Start Here'!$B$6,C2213-1)</f>
        <v>47757</v>
      </c>
      <c r="E2213" s="23" t="n">
        <f aca="false">IF(AND(OR(Nonlabor!$D$20="Both",Nonlabor!$D$20='Start Here'!$B$9),IF(Nonlabor!$E$20="Core",1,IF(Nonlabor!$E$20="AI",'Start Here'!$B$7,'Start Here'!$B$8))=1,C2213&gt;=IF(Nonlabor!$E$20="Core",Nonlabor!$F$20,MAX(Nonlabor!$F$20,IF(Nonlabor!$E$20="AI",Assumptions!$D$24,Assumptions!$D$25))),C2213&lt;=Nonlabor!$G$20,OR(Nonlabor!$H$20="Monthly",AND(Nonlabor!$H$20="Once",C2213=IF(Nonlabor!$E$20="Core",Nonlabor!$F$20,MAX(Nonlabor!$F$20,IF(Nonlabor!$E$20="AI",Assumptions!$D$24,Assumptions!$D$25)))),AND(Nonlabor!$H$20="Annual",MOD(C2213-IF(Nonlabor!$E$20="Core",Nonlabor!$F$20,MAX(Nonlabor!$F$20,IF(Nonlabor!$E$20="AI",Assumptions!$D$24,Assumptions!$D$25))),12)=0))),IF(Nonlabor!$I$20="Fixed",1,IF(Nonlabor!$I$20="Seats",ROUNDUP('Monthly Base'!I53,0),IF(Nonlabor!$I$20="Customers",'Monthly Base'!D53,IF(Nonlabor!$I$20="NewCustomers",'Monthly Base'!C53,IF(Nonlabor!$I$20="StorageGB",'Monthly Base'!G53,IF(Nonlabor!$I$20="LogGB",'Monthly Base'!H53,IF(Nonlabor!$I$20="RequestsM",'Monthly Base'!F53,IF(Nonlabor!$I$20="InputM",'Monthly Base'!D53*Assumptions!$D$22/1000000,IF(Nonlabor!$I$20="OutputM",'Monthly Base'!D53*Assumptions!$D$23/1000000,0))))))))),0)</f>
        <v>1</v>
      </c>
      <c r="F2213" s="10" t="n">
        <f aca="false">Nonlabor!$J$20*(1+Assumptions!$D$9)^INT((C2213-1)/12)</f>
        <v>655.6362</v>
      </c>
      <c r="G2213" s="10" t="n">
        <f aca="false">E2213*F2213</f>
        <v>655.6362</v>
      </c>
      <c r="H2213" s="10" t="n">
        <f aca="false">IF(OR(Nonlabor!$L$20="Quote required",Nonlabor!$L$20="Unverified"),G2213,0)</f>
        <v>655.6362</v>
      </c>
      <c r="I2213" s="10" t="n">
        <f aca="false">IF(Nonlabor!$E$20="Core",0,G2213)</f>
        <v>0</v>
      </c>
      <c r="J2213" s="23" t="str">
        <f aca="false">Nonlabor!$B$20</f>
        <v>ACCOUNTING</v>
      </c>
    </row>
    <row r="2214" customFormat="false" ht="15" hidden="false" customHeight="false" outlineLevel="0" collapsed="false">
      <c r="A2214" s="6" t="s">
        <v>4</v>
      </c>
      <c r="B2214" s="6" t="s">
        <v>51</v>
      </c>
      <c r="C2214" s="6" t="n">
        <v>49</v>
      </c>
      <c r="D2214" s="25" t="n">
        <f aca="false">EDATE('Start Here'!$B$6,C2214-1)</f>
        <v>47788</v>
      </c>
      <c r="E2214" s="23" t="n">
        <f aca="false">IF(AND(OR(Nonlabor!$D$20="Both",Nonlabor!$D$20='Start Here'!$B$9),IF(Nonlabor!$E$20="Core",1,IF(Nonlabor!$E$20="AI",'Start Here'!$B$7,'Start Here'!$B$8))=1,C2214&gt;=IF(Nonlabor!$E$20="Core",Nonlabor!$F$20,MAX(Nonlabor!$F$20,IF(Nonlabor!$E$20="AI",Assumptions!$D$24,Assumptions!$D$25))),C2214&lt;=Nonlabor!$G$20,OR(Nonlabor!$H$20="Monthly",AND(Nonlabor!$H$20="Once",C2214=IF(Nonlabor!$E$20="Core",Nonlabor!$F$20,MAX(Nonlabor!$F$20,IF(Nonlabor!$E$20="AI",Assumptions!$D$24,Assumptions!$D$25)))),AND(Nonlabor!$H$20="Annual",MOD(C2214-IF(Nonlabor!$E$20="Core",Nonlabor!$F$20,MAX(Nonlabor!$F$20,IF(Nonlabor!$E$20="AI",Assumptions!$D$24,Assumptions!$D$25))),12)=0))),IF(Nonlabor!$I$20="Fixed",1,IF(Nonlabor!$I$20="Seats",ROUNDUP('Monthly Base'!I54,0),IF(Nonlabor!$I$20="Customers",'Monthly Base'!D54,IF(Nonlabor!$I$20="NewCustomers",'Monthly Base'!C54,IF(Nonlabor!$I$20="StorageGB",'Monthly Base'!G54,IF(Nonlabor!$I$20="LogGB",'Monthly Base'!H54,IF(Nonlabor!$I$20="RequestsM",'Monthly Base'!F54,IF(Nonlabor!$I$20="InputM",'Monthly Base'!D54*Assumptions!$D$22/1000000,IF(Nonlabor!$I$20="OutputM",'Monthly Base'!D54*Assumptions!$D$23/1000000,0))))))))),0)</f>
        <v>1</v>
      </c>
      <c r="F2214" s="10" t="n">
        <f aca="false">Nonlabor!$J$20*(1+Assumptions!$D$9)^INT((C2214-1)/12)</f>
        <v>675.305286</v>
      </c>
      <c r="G2214" s="10" t="n">
        <f aca="false">E2214*F2214</f>
        <v>675.305286</v>
      </c>
      <c r="H2214" s="10" t="n">
        <f aca="false">IF(OR(Nonlabor!$L$20="Quote required",Nonlabor!$L$20="Unverified"),G2214,0)</f>
        <v>675.305286</v>
      </c>
      <c r="I2214" s="10" t="n">
        <f aca="false">IF(Nonlabor!$E$20="Core",0,G2214)</f>
        <v>0</v>
      </c>
      <c r="J2214" s="23" t="str">
        <f aca="false">Nonlabor!$B$20</f>
        <v>ACCOUNTING</v>
      </c>
    </row>
    <row r="2215" customFormat="false" ht="15" hidden="false" customHeight="false" outlineLevel="0" collapsed="false">
      <c r="A2215" s="6" t="s">
        <v>4</v>
      </c>
      <c r="B2215" s="6" t="s">
        <v>51</v>
      </c>
      <c r="C2215" s="6" t="n">
        <v>50</v>
      </c>
      <c r="D2215" s="25" t="n">
        <f aca="false">EDATE('Start Here'!$B$6,C2215-1)</f>
        <v>47818</v>
      </c>
      <c r="E2215" s="23" t="n">
        <f aca="false">IF(AND(OR(Nonlabor!$D$20="Both",Nonlabor!$D$20='Start Here'!$B$9),IF(Nonlabor!$E$20="Core",1,IF(Nonlabor!$E$20="AI",'Start Here'!$B$7,'Start Here'!$B$8))=1,C2215&gt;=IF(Nonlabor!$E$20="Core",Nonlabor!$F$20,MAX(Nonlabor!$F$20,IF(Nonlabor!$E$20="AI",Assumptions!$D$24,Assumptions!$D$25))),C2215&lt;=Nonlabor!$G$20,OR(Nonlabor!$H$20="Monthly",AND(Nonlabor!$H$20="Once",C2215=IF(Nonlabor!$E$20="Core",Nonlabor!$F$20,MAX(Nonlabor!$F$20,IF(Nonlabor!$E$20="AI",Assumptions!$D$24,Assumptions!$D$25)))),AND(Nonlabor!$H$20="Annual",MOD(C2215-IF(Nonlabor!$E$20="Core",Nonlabor!$F$20,MAX(Nonlabor!$F$20,IF(Nonlabor!$E$20="AI",Assumptions!$D$24,Assumptions!$D$25))),12)=0))),IF(Nonlabor!$I$20="Fixed",1,IF(Nonlabor!$I$20="Seats",ROUNDUP('Monthly Base'!I55,0),IF(Nonlabor!$I$20="Customers",'Monthly Base'!D55,IF(Nonlabor!$I$20="NewCustomers",'Monthly Base'!C55,IF(Nonlabor!$I$20="StorageGB",'Monthly Base'!G55,IF(Nonlabor!$I$20="LogGB",'Monthly Base'!H55,IF(Nonlabor!$I$20="RequestsM",'Monthly Base'!F55,IF(Nonlabor!$I$20="InputM",'Monthly Base'!D55*Assumptions!$D$22/1000000,IF(Nonlabor!$I$20="OutputM",'Monthly Base'!D55*Assumptions!$D$23/1000000,0))))))))),0)</f>
        <v>1</v>
      </c>
      <c r="F2215" s="10" t="n">
        <f aca="false">Nonlabor!$J$20*(1+Assumptions!$D$9)^INT((C2215-1)/12)</f>
        <v>675.305286</v>
      </c>
      <c r="G2215" s="10" t="n">
        <f aca="false">E2215*F2215</f>
        <v>675.305286</v>
      </c>
      <c r="H2215" s="10" t="n">
        <f aca="false">IF(OR(Nonlabor!$L$20="Quote required",Nonlabor!$L$20="Unverified"),G2215,0)</f>
        <v>675.305286</v>
      </c>
      <c r="I2215" s="10" t="n">
        <f aca="false">IF(Nonlabor!$E$20="Core",0,G2215)</f>
        <v>0</v>
      </c>
      <c r="J2215" s="23" t="str">
        <f aca="false">Nonlabor!$B$20</f>
        <v>ACCOUNTING</v>
      </c>
    </row>
    <row r="2216" customFormat="false" ht="15" hidden="false" customHeight="false" outlineLevel="0" collapsed="false">
      <c r="A2216" s="6" t="s">
        <v>4</v>
      </c>
      <c r="B2216" s="6" t="s">
        <v>51</v>
      </c>
      <c r="C2216" s="6" t="n">
        <v>51</v>
      </c>
      <c r="D2216" s="25" t="n">
        <f aca="false">EDATE('Start Here'!$B$6,C2216-1)</f>
        <v>47849</v>
      </c>
      <c r="E2216" s="23" t="n">
        <f aca="false">IF(AND(OR(Nonlabor!$D$20="Both",Nonlabor!$D$20='Start Here'!$B$9),IF(Nonlabor!$E$20="Core",1,IF(Nonlabor!$E$20="AI",'Start Here'!$B$7,'Start Here'!$B$8))=1,C2216&gt;=IF(Nonlabor!$E$20="Core",Nonlabor!$F$20,MAX(Nonlabor!$F$20,IF(Nonlabor!$E$20="AI",Assumptions!$D$24,Assumptions!$D$25))),C2216&lt;=Nonlabor!$G$20,OR(Nonlabor!$H$20="Monthly",AND(Nonlabor!$H$20="Once",C2216=IF(Nonlabor!$E$20="Core",Nonlabor!$F$20,MAX(Nonlabor!$F$20,IF(Nonlabor!$E$20="AI",Assumptions!$D$24,Assumptions!$D$25)))),AND(Nonlabor!$H$20="Annual",MOD(C2216-IF(Nonlabor!$E$20="Core",Nonlabor!$F$20,MAX(Nonlabor!$F$20,IF(Nonlabor!$E$20="AI",Assumptions!$D$24,Assumptions!$D$25))),12)=0))),IF(Nonlabor!$I$20="Fixed",1,IF(Nonlabor!$I$20="Seats",ROUNDUP('Monthly Base'!I56,0),IF(Nonlabor!$I$20="Customers",'Monthly Base'!D56,IF(Nonlabor!$I$20="NewCustomers",'Monthly Base'!C56,IF(Nonlabor!$I$20="StorageGB",'Monthly Base'!G56,IF(Nonlabor!$I$20="LogGB",'Monthly Base'!H56,IF(Nonlabor!$I$20="RequestsM",'Monthly Base'!F56,IF(Nonlabor!$I$20="InputM",'Monthly Base'!D56*Assumptions!$D$22/1000000,IF(Nonlabor!$I$20="OutputM",'Monthly Base'!D56*Assumptions!$D$23/1000000,0))))))))),0)</f>
        <v>1</v>
      </c>
      <c r="F2216" s="10" t="n">
        <f aca="false">Nonlabor!$J$20*(1+Assumptions!$D$9)^INT((C2216-1)/12)</f>
        <v>675.305286</v>
      </c>
      <c r="G2216" s="10" t="n">
        <f aca="false">E2216*F2216</f>
        <v>675.305286</v>
      </c>
      <c r="H2216" s="10" t="n">
        <f aca="false">IF(OR(Nonlabor!$L$20="Quote required",Nonlabor!$L$20="Unverified"),G2216,0)</f>
        <v>675.305286</v>
      </c>
      <c r="I2216" s="10" t="n">
        <f aca="false">IF(Nonlabor!$E$20="Core",0,G2216)</f>
        <v>0</v>
      </c>
      <c r="J2216" s="23" t="str">
        <f aca="false">Nonlabor!$B$20</f>
        <v>ACCOUNTING</v>
      </c>
    </row>
    <row r="2217" customFormat="false" ht="15" hidden="false" customHeight="false" outlineLevel="0" collapsed="false">
      <c r="A2217" s="6" t="s">
        <v>4</v>
      </c>
      <c r="B2217" s="6" t="s">
        <v>51</v>
      </c>
      <c r="C2217" s="6" t="n">
        <v>52</v>
      </c>
      <c r="D2217" s="25" t="n">
        <f aca="false">EDATE('Start Here'!$B$6,C2217-1)</f>
        <v>47880</v>
      </c>
      <c r="E2217" s="23" t="n">
        <f aca="false">IF(AND(OR(Nonlabor!$D$20="Both",Nonlabor!$D$20='Start Here'!$B$9),IF(Nonlabor!$E$20="Core",1,IF(Nonlabor!$E$20="AI",'Start Here'!$B$7,'Start Here'!$B$8))=1,C2217&gt;=IF(Nonlabor!$E$20="Core",Nonlabor!$F$20,MAX(Nonlabor!$F$20,IF(Nonlabor!$E$20="AI",Assumptions!$D$24,Assumptions!$D$25))),C2217&lt;=Nonlabor!$G$20,OR(Nonlabor!$H$20="Monthly",AND(Nonlabor!$H$20="Once",C2217=IF(Nonlabor!$E$20="Core",Nonlabor!$F$20,MAX(Nonlabor!$F$20,IF(Nonlabor!$E$20="AI",Assumptions!$D$24,Assumptions!$D$25)))),AND(Nonlabor!$H$20="Annual",MOD(C2217-IF(Nonlabor!$E$20="Core",Nonlabor!$F$20,MAX(Nonlabor!$F$20,IF(Nonlabor!$E$20="AI",Assumptions!$D$24,Assumptions!$D$25))),12)=0))),IF(Nonlabor!$I$20="Fixed",1,IF(Nonlabor!$I$20="Seats",ROUNDUP('Monthly Base'!I57,0),IF(Nonlabor!$I$20="Customers",'Monthly Base'!D57,IF(Nonlabor!$I$20="NewCustomers",'Monthly Base'!C57,IF(Nonlabor!$I$20="StorageGB",'Monthly Base'!G57,IF(Nonlabor!$I$20="LogGB",'Monthly Base'!H57,IF(Nonlabor!$I$20="RequestsM",'Monthly Base'!F57,IF(Nonlabor!$I$20="InputM",'Monthly Base'!D57*Assumptions!$D$22/1000000,IF(Nonlabor!$I$20="OutputM",'Monthly Base'!D57*Assumptions!$D$23/1000000,0))))))))),0)</f>
        <v>1</v>
      </c>
      <c r="F2217" s="10" t="n">
        <f aca="false">Nonlabor!$J$20*(1+Assumptions!$D$9)^INT((C2217-1)/12)</f>
        <v>675.305286</v>
      </c>
      <c r="G2217" s="10" t="n">
        <f aca="false">E2217*F2217</f>
        <v>675.305286</v>
      </c>
      <c r="H2217" s="10" t="n">
        <f aca="false">IF(OR(Nonlabor!$L$20="Quote required",Nonlabor!$L$20="Unverified"),G2217,0)</f>
        <v>675.305286</v>
      </c>
      <c r="I2217" s="10" t="n">
        <f aca="false">IF(Nonlabor!$E$20="Core",0,G2217)</f>
        <v>0</v>
      </c>
      <c r="J2217" s="23" t="str">
        <f aca="false">Nonlabor!$B$20</f>
        <v>ACCOUNTING</v>
      </c>
    </row>
    <row r="2218" customFormat="false" ht="15" hidden="false" customHeight="false" outlineLevel="0" collapsed="false">
      <c r="A2218" s="6" t="s">
        <v>4</v>
      </c>
      <c r="B2218" s="6" t="s">
        <v>51</v>
      </c>
      <c r="C2218" s="6" t="n">
        <v>53</v>
      </c>
      <c r="D2218" s="25" t="n">
        <f aca="false">EDATE('Start Here'!$B$6,C2218-1)</f>
        <v>47908</v>
      </c>
      <c r="E2218" s="23" t="n">
        <f aca="false">IF(AND(OR(Nonlabor!$D$20="Both",Nonlabor!$D$20='Start Here'!$B$9),IF(Nonlabor!$E$20="Core",1,IF(Nonlabor!$E$20="AI",'Start Here'!$B$7,'Start Here'!$B$8))=1,C2218&gt;=IF(Nonlabor!$E$20="Core",Nonlabor!$F$20,MAX(Nonlabor!$F$20,IF(Nonlabor!$E$20="AI",Assumptions!$D$24,Assumptions!$D$25))),C2218&lt;=Nonlabor!$G$20,OR(Nonlabor!$H$20="Monthly",AND(Nonlabor!$H$20="Once",C2218=IF(Nonlabor!$E$20="Core",Nonlabor!$F$20,MAX(Nonlabor!$F$20,IF(Nonlabor!$E$20="AI",Assumptions!$D$24,Assumptions!$D$25)))),AND(Nonlabor!$H$20="Annual",MOD(C2218-IF(Nonlabor!$E$20="Core",Nonlabor!$F$20,MAX(Nonlabor!$F$20,IF(Nonlabor!$E$20="AI",Assumptions!$D$24,Assumptions!$D$25))),12)=0))),IF(Nonlabor!$I$20="Fixed",1,IF(Nonlabor!$I$20="Seats",ROUNDUP('Monthly Base'!I58,0),IF(Nonlabor!$I$20="Customers",'Monthly Base'!D58,IF(Nonlabor!$I$20="NewCustomers",'Monthly Base'!C58,IF(Nonlabor!$I$20="StorageGB",'Monthly Base'!G58,IF(Nonlabor!$I$20="LogGB",'Monthly Base'!H58,IF(Nonlabor!$I$20="RequestsM",'Monthly Base'!F58,IF(Nonlabor!$I$20="InputM",'Monthly Base'!D58*Assumptions!$D$22/1000000,IF(Nonlabor!$I$20="OutputM",'Monthly Base'!D58*Assumptions!$D$23/1000000,0))))))))),0)</f>
        <v>1</v>
      </c>
      <c r="F2218" s="10" t="n">
        <f aca="false">Nonlabor!$J$20*(1+Assumptions!$D$9)^INT((C2218-1)/12)</f>
        <v>675.305286</v>
      </c>
      <c r="G2218" s="10" t="n">
        <f aca="false">E2218*F2218</f>
        <v>675.305286</v>
      </c>
      <c r="H2218" s="10" t="n">
        <f aca="false">IF(OR(Nonlabor!$L$20="Quote required",Nonlabor!$L$20="Unverified"),G2218,0)</f>
        <v>675.305286</v>
      </c>
      <c r="I2218" s="10" t="n">
        <f aca="false">IF(Nonlabor!$E$20="Core",0,G2218)</f>
        <v>0</v>
      </c>
      <c r="J2218" s="23" t="str">
        <f aca="false">Nonlabor!$B$20</f>
        <v>ACCOUNTING</v>
      </c>
    </row>
    <row r="2219" customFormat="false" ht="15" hidden="false" customHeight="false" outlineLevel="0" collapsed="false">
      <c r="A2219" s="6" t="s">
        <v>4</v>
      </c>
      <c r="B2219" s="6" t="s">
        <v>51</v>
      </c>
      <c r="C2219" s="6" t="n">
        <v>54</v>
      </c>
      <c r="D2219" s="25" t="n">
        <f aca="false">EDATE('Start Here'!$B$6,C2219-1)</f>
        <v>47939</v>
      </c>
      <c r="E2219" s="23" t="n">
        <f aca="false">IF(AND(OR(Nonlabor!$D$20="Both",Nonlabor!$D$20='Start Here'!$B$9),IF(Nonlabor!$E$20="Core",1,IF(Nonlabor!$E$20="AI",'Start Here'!$B$7,'Start Here'!$B$8))=1,C2219&gt;=IF(Nonlabor!$E$20="Core",Nonlabor!$F$20,MAX(Nonlabor!$F$20,IF(Nonlabor!$E$20="AI",Assumptions!$D$24,Assumptions!$D$25))),C2219&lt;=Nonlabor!$G$20,OR(Nonlabor!$H$20="Monthly",AND(Nonlabor!$H$20="Once",C2219=IF(Nonlabor!$E$20="Core",Nonlabor!$F$20,MAX(Nonlabor!$F$20,IF(Nonlabor!$E$20="AI",Assumptions!$D$24,Assumptions!$D$25)))),AND(Nonlabor!$H$20="Annual",MOD(C2219-IF(Nonlabor!$E$20="Core",Nonlabor!$F$20,MAX(Nonlabor!$F$20,IF(Nonlabor!$E$20="AI",Assumptions!$D$24,Assumptions!$D$25))),12)=0))),IF(Nonlabor!$I$20="Fixed",1,IF(Nonlabor!$I$20="Seats",ROUNDUP('Monthly Base'!I59,0),IF(Nonlabor!$I$20="Customers",'Monthly Base'!D59,IF(Nonlabor!$I$20="NewCustomers",'Monthly Base'!C59,IF(Nonlabor!$I$20="StorageGB",'Monthly Base'!G59,IF(Nonlabor!$I$20="LogGB",'Monthly Base'!H59,IF(Nonlabor!$I$20="RequestsM",'Monthly Base'!F59,IF(Nonlabor!$I$20="InputM",'Monthly Base'!D59*Assumptions!$D$22/1000000,IF(Nonlabor!$I$20="OutputM",'Monthly Base'!D59*Assumptions!$D$23/1000000,0))))))))),0)</f>
        <v>1</v>
      </c>
      <c r="F2219" s="10" t="n">
        <f aca="false">Nonlabor!$J$20*(1+Assumptions!$D$9)^INT((C2219-1)/12)</f>
        <v>675.305286</v>
      </c>
      <c r="G2219" s="10" t="n">
        <f aca="false">E2219*F2219</f>
        <v>675.305286</v>
      </c>
      <c r="H2219" s="10" t="n">
        <f aca="false">IF(OR(Nonlabor!$L$20="Quote required",Nonlabor!$L$20="Unverified"),G2219,0)</f>
        <v>675.305286</v>
      </c>
      <c r="I2219" s="10" t="n">
        <f aca="false">IF(Nonlabor!$E$20="Core",0,G2219)</f>
        <v>0</v>
      </c>
      <c r="J2219" s="23" t="str">
        <f aca="false">Nonlabor!$B$20</f>
        <v>ACCOUNTING</v>
      </c>
    </row>
    <row r="2220" customFormat="false" ht="15" hidden="false" customHeight="false" outlineLevel="0" collapsed="false">
      <c r="A2220" s="6" t="s">
        <v>4</v>
      </c>
      <c r="B2220" s="6" t="s">
        <v>51</v>
      </c>
      <c r="C2220" s="6" t="n">
        <v>55</v>
      </c>
      <c r="D2220" s="25" t="n">
        <f aca="false">EDATE('Start Here'!$B$6,C2220-1)</f>
        <v>47969</v>
      </c>
      <c r="E2220" s="23" t="n">
        <f aca="false">IF(AND(OR(Nonlabor!$D$20="Both",Nonlabor!$D$20='Start Here'!$B$9),IF(Nonlabor!$E$20="Core",1,IF(Nonlabor!$E$20="AI",'Start Here'!$B$7,'Start Here'!$B$8))=1,C2220&gt;=IF(Nonlabor!$E$20="Core",Nonlabor!$F$20,MAX(Nonlabor!$F$20,IF(Nonlabor!$E$20="AI",Assumptions!$D$24,Assumptions!$D$25))),C2220&lt;=Nonlabor!$G$20,OR(Nonlabor!$H$20="Monthly",AND(Nonlabor!$H$20="Once",C2220=IF(Nonlabor!$E$20="Core",Nonlabor!$F$20,MAX(Nonlabor!$F$20,IF(Nonlabor!$E$20="AI",Assumptions!$D$24,Assumptions!$D$25)))),AND(Nonlabor!$H$20="Annual",MOD(C2220-IF(Nonlabor!$E$20="Core",Nonlabor!$F$20,MAX(Nonlabor!$F$20,IF(Nonlabor!$E$20="AI",Assumptions!$D$24,Assumptions!$D$25))),12)=0))),IF(Nonlabor!$I$20="Fixed",1,IF(Nonlabor!$I$20="Seats",ROUNDUP('Monthly Base'!I60,0),IF(Nonlabor!$I$20="Customers",'Monthly Base'!D60,IF(Nonlabor!$I$20="NewCustomers",'Monthly Base'!C60,IF(Nonlabor!$I$20="StorageGB",'Monthly Base'!G60,IF(Nonlabor!$I$20="LogGB",'Monthly Base'!H60,IF(Nonlabor!$I$20="RequestsM",'Monthly Base'!F60,IF(Nonlabor!$I$20="InputM",'Monthly Base'!D60*Assumptions!$D$22/1000000,IF(Nonlabor!$I$20="OutputM",'Monthly Base'!D60*Assumptions!$D$23/1000000,0))))))))),0)</f>
        <v>1</v>
      </c>
      <c r="F2220" s="10" t="n">
        <f aca="false">Nonlabor!$J$20*(1+Assumptions!$D$9)^INT((C2220-1)/12)</f>
        <v>675.305286</v>
      </c>
      <c r="G2220" s="10" t="n">
        <f aca="false">E2220*F2220</f>
        <v>675.305286</v>
      </c>
      <c r="H2220" s="10" t="n">
        <f aca="false">IF(OR(Nonlabor!$L$20="Quote required",Nonlabor!$L$20="Unverified"),G2220,0)</f>
        <v>675.305286</v>
      </c>
      <c r="I2220" s="10" t="n">
        <f aca="false">IF(Nonlabor!$E$20="Core",0,G2220)</f>
        <v>0</v>
      </c>
      <c r="J2220" s="23" t="str">
        <f aca="false">Nonlabor!$B$20</f>
        <v>ACCOUNTING</v>
      </c>
    </row>
    <row r="2221" customFormat="false" ht="15" hidden="false" customHeight="false" outlineLevel="0" collapsed="false">
      <c r="A2221" s="6" t="s">
        <v>4</v>
      </c>
      <c r="B2221" s="6" t="s">
        <v>51</v>
      </c>
      <c r="C2221" s="6" t="n">
        <v>56</v>
      </c>
      <c r="D2221" s="25" t="n">
        <f aca="false">EDATE('Start Here'!$B$6,C2221-1)</f>
        <v>48000</v>
      </c>
      <c r="E2221" s="23" t="n">
        <f aca="false">IF(AND(OR(Nonlabor!$D$20="Both",Nonlabor!$D$20='Start Here'!$B$9),IF(Nonlabor!$E$20="Core",1,IF(Nonlabor!$E$20="AI",'Start Here'!$B$7,'Start Here'!$B$8))=1,C2221&gt;=IF(Nonlabor!$E$20="Core",Nonlabor!$F$20,MAX(Nonlabor!$F$20,IF(Nonlabor!$E$20="AI",Assumptions!$D$24,Assumptions!$D$25))),C2221&lt;=Nonlabor!$G$20,OR(Nonlabor!$H$20="Monthly",AND(Nonlabor!$H$20="Once",C2221=IF(Nonlabor!$E$20="Core",Nonlabor!$F$20,MAX(Nonlabor!$F$20,IF(Nonlabor!$E$20="AI",Assumptions!$D$24,Assumptions!$D$25)))),AND(Nonlabor!$H$20="Annual",MOD(C2221-IF(Nonlabor!$E$20="Core",Nonlabor!$F$20,MAX(Nonlabor!$F$20,IF(Nonlabor!$E$20="AI",Assumptions!$D$24,Assumptions!$D$25))),12)=0))),IF(Nonlabor!$I$20="Fixed",1,IF(Nonlabor!$I$20="Seats",ROUNDUP('Monthly Base'!I61,0),IF(Nonlabor!$I$20="Customers",'Monthly Base'!D61,IF(Nonlabor!$I$20="NewCustomers",'Monthly Base'!C61,IF(Nonlabor!$I$20="StorageGB",'Monthly Base'!G61,IF(Nonlabor!$I$20="LogGB",'Monthly Base'!H61,IF(Nonlabor!$I$20="RequestsM",'Monthly Base'!F61,IF(Nonlabor!$I$20="InputM",'Monthly Base'!D61*Assumptions!$D$22/1000000,IF(Nonlabor!$I$20="OutputM",'Monthly Base'!D61*Assumptions!$D$23/1000000,0))))))))),0)</f>
        <v>1</v>
      </c>
      <c r="F2221" s="10" t="n">
        <f aca="false">Nonlabor!$J$20*(1+Assumptions!$D$9)^INT((C2221-1)/12)</f>
        <v>675.305286</v>
      </c>
      <c r="G2221" s="10" t="n">
        <f aca="false">E2221*F2221</f>
        <v>675.305286</v>
      </c>
      <c r="H2221" s="10" t="n">
        <f aca="false">IF(OR(Nonlabor!$L$20="Quote required",Nonlabor!$L$20="Unverified"),G2221,0)</f>
        <v>675.305286</v>
      </c>
      <c r="I2221" s="10" t="n">
        <f aca="false">IF(Nonlabor!$E$20="Core",0,G2221)</f>
        <v>0</v>
      </c>
      <c r="J2221" s="23" t="str">
        <f aca="false">Nonlabor!$B$20</f>
        <v>ACCOUNTING</v>
      </c>
    </row>
    <row r="2222" customFormat="false" ht="15" hidden="false" customHeight="false" outlineLevel="0" collapsed="false">
      <c r="A2222" s="6" t="s">
        <v>4</v>
      </c>
      <c r="B2222" s="6" t="s">
        <v>51</v>
      </c>
      <c r="C2222" s="6" t="n">
        <v>57</v>
      </c>
      <c r="D2222" s="25" t="n">
        <f aca="false">EDATE('Start Here'!$B$6,C2222-1)</f>
        <v>48030</v>
      </c>
      <c r="E2222" s="23" t="n">
        <f aca="false">IF(AND(OR(Nonlabor!$D$20="Both",Nonlabor!$D$20='Start Here'!$B$9),IF(Nonlabor!$E$20="Core",1,IF(Nonlabor!$E$20="AI",'Start Here'!$B$7,'Start Here'!$B$8))=1,C2222&gt;=IF(Nonlabor!$E$20="Core",Nonlabor!$F$20,MAX(Nonlabor!$F$20,IF(Nonlabor!$E$20="AI",Assumptions!$D$24,Assumptions!$D$25))),C2222&lt;=Nonlabor!$G$20,OR(Nonlabor!$H$20="Monthly",AND(Nonlabor!$H$20="Once",C2222=IF(Nonlabor!$E$20="Core",Nonlabor!$F$20,MAX(Nonlabor!$F$20,IF(Nonlabor!$E$20="AI",Assumptions!$D$24,Assumptions!$D$25)))),AND(Nonlabor!$H$20="Annual",MOD(C2222-IF(Nonlabor!$E$20="Core",Nonlabor!$F$20,MAX(Nonlabor!$F$20,IF(Nonlabor!$E$20="AI",Assumptions!$D$24,Assumptions!$D$25))),12)=0))),IF(Nonlabor!$I$20="Fixed",1,IF(Nonlabor!$I$20="Seats",ROUNDUP('Monthly Base'!I62,0),IF(Nonlabor!$I$20="Customers",'Monthly Base'!D62,IF(Nonlabor!$I$20="NewCustomers",'Monthly Base'!C62,IF(Nonlabor!$I$20="StorageGB",'Monthly Base'!G62,IF(Nonlabor!$I$20="LogGB",'Monthly Base'!H62,IF(Nonlabor!$I$20="RequestsM",'Monthly Base'!F62,IF(Nonlabor!$I$20="InputM",'Monthly Base'!D62*Assumptions!$D$22/1000000,IF(Nonlabor!$I$20="OutputM",'Monthly Base'!D62*Assumptions!$D$23/1000000,0))))))))),0)</f>
        <v>1</v>
      </c>
      <c r="F2222" s="10" t="n">
        <f aca="false">Nonlabor!$J$20*(1+Assumptions!$D$9)^INT((C2222-1)/12)</f>
        <v>675.305286</v>
      </c>
      <c r="G2222" s="10" t="n">
        <f aca="false">E2222*F2222</f>
        <v>675.305286</v>
      </c>
      <c r="H2222" s="10" t="n">
        <f aca="false">IF(OR(Nonlabor!$L$20="Quote required",Nonlabor!$L$20="Unverified"),G2222,0)</f>
        <v>675.305286</v>
      </c>
      <c r="I2222" s="10" t="n">
        <f aca="false">IF(Nonlabor!$E$20="Core",0,G2222)</f>
        <v>0</v>
      </c>
      <c r="J2222" s="23" t="str">
        <f aca="false">Nonlabor!$B$20</f>
        <v>ACCOUNTING</v>
      </c>
    </row>
    <row r="2223" customFormat="false" ht="15" hidden="false" customHeight="false" outlineLevel="0" collapsed="false">
      <c r="A2223" s="6" t="s">
        <v>4</v>
      </c>
      <c r="B2223" s="6" t="s">
        <v>51</v>
      </c>
      <c r="C2223" s="6" t="n">
        <v>58</v>
      </c>
      <c r="D2223" s="25" t="n">
        <f aca="false">EDATE('Start Here'!$B$6,C2223-1)</f>
        <v>48061</v>
      </c>
      <c r="E2223" s="23" t="n">
        <f aca="false">IF(AND(OR(Nonlabor!$D$20="Both",Nonlabor!$D$20='Start Here'!$B$9),IF(Nonlabor!$E$20="Core",1,IF(Nonlabor!$E$20="AI",'Start Here'!$B$7,'Start Here'!$B$8))=1,C2223&gt;=IF(Nonlabor!$E$20="Core",Nonlabor!$F$20,MAX(Nonlabor!$F$20,IF(Nonlabor!$E$20="AI",Assumptions!$D$24,Assumptions!$D$25))),C2223&lt;=Nonlabor!$G$20,OR(Nonlabor!$H$20="Monthly",AND(Nonlabor!$H$20="Once",C2223=IF(Nonlabor!$E$20="Core",Nonlabor!$F$20,MAX(Nonlabor!$F$20,IF(Nonlabor!$E$20="AI",Assumptions!$D$24,Assumptions!$D$25)))),AND(Nonlabor!$H$20="Annual",MOD(C2223-IF(Nonlabor!$E$20="Core",Nonlabor!$F$20,MAX(Nonlabor!$F$20,IF(Nonlabor!$E$20="AI",Assumptions!$D$24,Assumptions!$D$25))),12)=0))),IF(Nonlabor!$I$20="Fixed",1,IF(Nonlabor!$I$20="Seats",ROUNDUP('Monthly Base'!I63,0),IF(Nonlabor!$I$20="Customers",'Monthly Base'!D63,IF(Nonlabor!$I$20="NewCustomers",'Monthly Base'!C63,IF(Nonlabor!$I$20="StorageGB",'Monthly Base'!G63,IF(Nonlabor!$I$20="LogGB",'Monthly Base'!H63,IF(Nonlabor!$I$20="RequestsM",'Monthly Base'!F63,IF(Nonlabor!$I$20="InputM",'Monthly Base'!D63*Assumptions!$D$22/1000000,IF(Nonlabor!$I$20="OutputM",'Monthly Base'!D63*Assumptions!$D$23/1000000,0))))))))),0)</f>
        <v>1</v>
      </c>
      <c r="F2223" s="10" t="n">
        <f aca="false">Nonlabor!$J$20*(1+Assumptions!$D$9)^INT((C2223-1)/12)</f>
        <v>675.305286</v>
      </c>
      <c r="G2223" s="10" t="n">
        <f aca="false">E2223*F2223</f>
        <v>675.305286</v>
      </c>
      <c r="H2223" s="10" t="n">
        <f aca="false">IF(OR(Nonlabor!$L$20="Quote required",Nonlabor!$L$20="Unverified"),G2223,0)</f>
        <v>675.305286</v>
      </c>
      <c r="I2223" s="10" t="n">
        <f aca="false">IF(Nonlabor!$E$20="Core",0,G2223)</f>
        <v>0</v>
      </c>
      <c r="J2223" s="23" t="str">
        <f aca="false">Nonlabor!$B$20</f>
        <v>ACCOUNTING</v>
      </c>
    </row>
    <row r="2224" customFormat="false" ht="15" hidden="false" customHeight="false" outlineLevel="0" collapsed="false">
      <c r="A2224" s="6" t="s">
        <v>4</v>
      </c>
      <c r="B2224" s="6" t="s">
        <v>51</v>
      </c>
      <c r="C2224" s="6" t="n">
        <v>59</v>
      </c>
      <c r="D2224" s="25" t="n">
        <f aca="false">EDATE('Start Here'!$B$6,C2224-1)</f>
        <v>48092</v>
      </c>
      <c r="E2224" s="23" t="n">
        <f aca="false">IF(AND(OR(Nonlabor!$D$20="Both",Nonlabor!$D$20='Start Here'!$B$9),IF(Nonlabor!$E$20="Core",1,IF(Nonlabor!$E$20="AI",'Start Here'!$B$7,'Start Here'!$B$8))=1,C2224&gt;=IF(Nonlabor!$E$20="Core",Nonlabor!$F$20,MAX(Nonlabor!$F$20,IF(Nonlabor!$E$20="AI",Assumptions!$D$24,Assumptions!$D$25))),C2224&lt;=Nonlabor!$G$20,OR(Nonlabor!$H$20="Monthly",AND(Nonlabor!$H$20="Once",C2224=IF(Nonlabor!$E$20="Core",Nonlabor!$F$20,MAX(Nonlabor!$F$20,IF(Nonlabor!$E$20="AI",Assumptions!$D$24,Assumptions!$D$25)))),AND(Nonlabor!$H$20="Annual",MOD(C2224-IF(Nonlabor!$E$20="Core",Nonlabor!$F$20,MAX(Nonlabor!$F$20,IF(Nonlabor!$E$20="AI",Assumptions!$D$24,Assumptions!$D$25))),12)=0))),IF(Nonlabor!$I$20="Fixed",1,IF(Nonlabor!$I$20="Seats",ROUNDUP('Monthly Base'!I64,0),IF(Nonlabor!$I$20="Customers",'Monthly Base'!D64,IF(Nonlabor!$I$20="NewCustomers",'Monthly Base'!C64,IF(Nonlabor!$I$20="StorageGB",'Monthly Base'!G64,IF(Nonlabor!$I$20="LogGB",'Monthly Base'!H64,IF(Nonlabor!$I$20="RequestsM",'Monthly Base'!F64,IF(Nonlabor!$I$20="InputM",'Monthly Base'!D64*Assumptions!$D$22/1000000,IF(Nonlabor!$I$20="OutputM",'Monthly Base'!D64*Assumptions!$D$23/1000000,0))))))))),0)</f>
        <v>1</v>
      </c>
      <c r="F2224" s="10" t="n">
        <f aca="false">Nonlabor!$J$20*(1+Assumptions!$D$9)^INT((C2224-1)/12)</f>
        <v>675.305286</v>
      </c>
      <c r="G2224" s="10" t="n">
        <f aca="false">E2224*F2224</f>
        <v>675.305286</v>
      </c>
      <c r="H2224" s="10" t="n">
        <f aca="false">IF(OR(Nonlabor!$L$20="Quote required",Nonlabor!$L$20="Unverified"),G2224,0)</f>
        <v>675.305286</v>
      </c>
      <c r="I2224" s="10" t="n">
        <f aca="false">IF(Nonlabor!$E$20="Core",0,G2224)</f>
        <v>0</v>
      </c>
      <c r="J2224" s="23" t="str">
        <f aca="false">Nonlabor!$B$20</f>
        <v>ACCOUNTING</v>
      </c>
    </row>
    <row r="2225" customFormat="false" ht="15" hidden="false" customHeight="false" outlineLevel="0" collapsed="false">
      <c r="A2225" s="6" t="s">
        <v>4</v>
      </c>
      <c r="B2225" s="6" t="s">
        <v>51</v>
      </c>
      <c r="C2225" s="6" t="n">
        <v>60</v>
      </c>
      <c r="D2225" s="25" t="n">
        <f aca="false">EDATE('Start Here'!$B$6,C2225-1)</f>
        <v>48122</v>
      </c>
      <c r="E2225" s="23" t="n">
        <f aca="false">IF(AND(OR(Nonlabor!$D$20="Both",Nonlabor!$D$20='Start Here'!$B$9),IF(Nonlabor!$E$20="Core",1,IF(Nonlabor!$E$20="AI",'Start Here'!$B$7,'Start Here'!$B$8))=1,C2225&gt;=IF(Nonlabor!$E$20="Core",Nonlabor!$F$20,MAX(Nonlabor!$F$20,IF(Nonlabor!$E$20="AI",Assumptions!$D$24,Assumptions!$D$25))),C2225&lt;=Nonlabor!$G$20,OR(Nonlabor!$H$20="Monthly",AND(Nonlabor!$H$20="Once",C2225=IF(Nonlabor!$E$20="Core",Nonlabor!$F$20,MAX(Nonlabor!$F$20,IF(Nonlabor!$E$20="AI",Assumptions!$D$24,Assumptions!$D$25)))),AND(Nonlabor!$H$20="Annual",MOD(C2225-IF(Nonlabor!$E$20="Core",Nonlabor!$F$20,MAX(Nonlabor!$F$20,IF(Nonlabor!$E$20="AI",Assumptions!$D$24,Assumptions!$D$25))),12)=0))),IF(Nonlabor!$I$20="Fixed",1,IF(Nonlabor!$I$20="Seats",ROUNDUP('Monthly Base'!I65,0),IF(Nonlabor!$I$20="Customers",'Monthly Base'!D65,IF(Nonlabor!$I$20="NewCustomers",'Monthly Base'!C65,IF(Nonlabor!$I$20="StorageGB",'Monthly Base'!G65,IF(Nonlabor!$I$20="LogGB",'Monthly Base'!H65,IF(Nonlabor!$I$20="RequestsM",'Monthly Base'!F65,IF(Nonlabor!$I$20="InputM",'Monthly Base'!D65*Assumptions!$D$22/1000000,IF(Nonlabor!$I$20="OutputM",'Monthly Base'!D65*Assumptions!$D$23/1000000,0))))))))),0)</f>
        <v>1</v>
      </c>
      <c r="F2225" s="10" t="n">
        <f aca="false">Nonlabor!$J$20*(1+Assumptions!$D$9)^INT((C2225-1)/12)</f>
        <v>675.305286</v>
      </c>
      <c r="G2225" s="10" t="n">
        <f aca="false">E2225*F2225</f>
        <v>675.305286</v>
      </c>
      <c r="H2225" s="10" t="n">
        <f aca="false">IF(OR(Nonlabor!$L$20="Quote required",Nonlabor!$L$20="Unverified"),G2225,0)</f>
        <v>675.305286</v>
      </c>
      <c r="I2225" s="10" t="n">
        <f aca="false">IF(Nonlabor!$E$20="Core",0,G2225)</f>
        <v>0</v>
      </c>
      <c r="J2225" s="23" t="str">
        <f aca="false">Nonlabor!$B$20</f>
        <v>ACCOUNTING</v>
      </c>
    </row>
    <row r="2226" customFormat="false" ht="15" hidden="false" customHeight="false" outlineLevel="0" collapsed="false">
      <c r="A2226" s="6" t="s">
        <v>4</v>
      </c>
      <c r="B2226" s="6" t="s">
        <v>53</v>
      </c>
      <c r="C2226" s="6" t="n">
        <v>1</v>
      </c>
      <c r="D2226" s="25" t="n">
        <f aca="false">EDATE('Start Here'!$B$6,C2226-1)</f>
        <v>46327</v>
      </c>
      <c r="E2226" s="23" t="n">
        <f aca="false">IF(AND(OR(Nonlabor!$D$21="Both",Nonlabor!$D$21='Start Here'!$B$9),IF(Nonlabor!$E$21="Core",1,IF(Nonlabor!$E$21="AI",'Start Here'!$B$7,'Start Here'!$B$8))=1,C2226&gt;=IF(Nonlabor!$E$21="Core",Nonlabor!$F$21,MAX(Nonlabor!$F$21,IF(Nonlabor!$E$21="AI",Assumptions!$D$24,Assumptions!$D$25))),C2226&lt;=Nonlabor!$G$21,OR(Nonlabor!$H$21="Monthly",AND(Nonlabor!$H$21="Once",C2226=IF(Nonlabor!$E$21="Core",Nonlabor!$F$21,MAX(Nonlabor!$F$21,IF(Nonlabor!$E$21="AI",Assumptions!$D$24,Assumptions!$D$25)))),AND(Nonlabor!$H$21="Annual",MOD(C2226-IF(Nonlabor!$E$21="Core",Nonlabor!$F$21,MAX(Nonlabor!$F$21,IF(Nonlabor!$E$21="AI",Assumptions!$D$24,Assumptions!$D$25))),12)=0))),IF(Nonlabor!$I$21="Fixed",1,IF(Nonlabor!$I$21="Seats",ROUNDUP('Monthly Base'!I6,0),IF(Nonlabor!$I$21="Customers",'Monthly Base'!D6,IF(Nonlabor!$I$21="NewCustomers",'Monthly Base'!C6,IF(Nonlabor!$I$21="StorageGB",'Monthly Base'!G6,IF(Nonlabor!$I$21="LogGB",'Monthly Base'!H6,IF(Nonlabor!$I$21="RequestsM",'Monthly Base'!F6,IF(Nonlabor!$I$21="InputM",'Monthly Base'!D6*Assumptions!$D$22/1000000,IF(Nonlabor!$I$21="OutputM",'Monthly Base'!D6*Assumptions!$D$23/1000000,0))))))))),0)</f>
        <v>0</v>
      </c>
      <c r="F2226" s="10" t="n">
        <f aca="false">Nonlabor!$J$21*(1+Assumptions!$D$9)^INT((C2226-1)/12)</f>
        <v>100</v>
      </c>
      <c r="G2226" s="10" t="n">
        <f aca="false">E2226*F2226</f>
        <v>0</v>
      </c>
      <c r="H2226" s="10" t="n">
        <f aca="false">IF(OR(Nonlabor!$L$21="Quote required",Nonlabor!$L$21="Unverified"),G2226,0)</f>
        <v>0</v>
      </c>
      <c r="I2226" s="10" t="n">
        <f aca="false">IF(Nonlabor!$E$21="Core",0,G2226)</f>
        <v>0</v>
      </c>
      <c r="J2226" s="23" t="str">
        <f aca="false">Nonlabor!$B$21</f>
        <v>SUPPORT</v>
      </c>
    </row>
    <row r="2227" customFormat="false" ht="15" hidden="false" customHeight="false" outlineLevel="0" collapsed="false">
      <c r="A2227" s="6" t="s">
        <v>4</v>
      </c>
      <c r="B2227" s="6" t="s">
        <v>53</v>
      </c>
      <c r="C2227" s="6" t="n">
        <v>2</v>
      </c>
      <c r="D2227" s="25" t="n">
        <f aca="false">EDATE('Start Here'!$B$6,C2227-1)</f>
        <v>46357</v>
      </c>
      <c r="E2227" s="23" t="n">
        <f aca="false">IF(AND(OR(Nonlabor!$D$21="Both",Nonlabor!$D$21='Start Here'!$B$9),IF(Nonlabor!$E$21="Core",1,IF(Nonlabor!$E$21="AI",'Start Here'!$B$7,'Start Here'!$B$8))=1,C2227&gt;=IF(Nonlabor!$E$21="Core",Nonlabor!$F$21,MAX(Nonlabor!$F$21,IF(Nonlabor!$E$21="AI",Assumptions!$D$24,Assumptions!$D$25))),C2227&lt;=Nonlabor!$G$21,OR(Nonlabor!$H$21="Monthly",AND(Nonlabor!$H$21="Once",C2227=IF(Nonlabor!$E$21="Core",Nonlabor!$F$21,MAX(Nonlabor!$F$21,IF(Nonlabor!$E$21="AI",Assumptions!$D$24,Assumptions!$D$25)))),AND(Nonlabor!$H$21="Annual",MOD(C2227-IF(Nonlabor!$E$21="Core",Nonlabor!$F$21,MAX(Nonlabor!$F$21,IF(Nonlabor!$E$21="AI",Assumptions!$D$24,Assumptions!$D$25))),12)=0))),IF(Nonlabor!$I$21="Fixed",1,IF(Nonlabor!$I$21="Seats",ROUNDUP('Monthly Base'!I7,0),IF(Nonlabor!$I$21="Customers",'Monthly Base'!D7,IF(Nonlabor!$I$21="NewCustomers",'Monthly Base'!C7,IF(Nonlabor!$I$21="StorageGB",'Monthly Base'!G7,IF(Nonlabor!$I$21="LogGB",'Monthly Base'!H7,IF(Nonlabor!$I$21="RequestsM",'Monthly Base'!F7,IF(Nonlabor!$I$21="InputM",'Monthly Base'!D7*Assumptions!$D$22/1000000,IF(Nonlabor!$I$21="OutputM",'Monthly Base'!D7*Assumptions!$D$23/1000000,0))))))))),0)</f>
        <v>0</v>
      </c>
      <c r="F2227" s="10" t="n">
        <f aca="false">Nonlabor!$J$21*(1+Assumptions!$D$9)^INT((C2227-1)/12)</f>
        <v>100</v>
      </c>
      <c r="G2227" s="10" t="n">
        <f aca="false">E2227*F2227</f>
        <v>0</v>
      </c>
      <c r="H2227" s="10" t="n">
        <f aca="false">IF(OR(Nonlabor!$L$21="Quote required",Nonlabor!$L$21="Unverified"),G2227,0)</f>
        <v>0</v>
      </c>
      <c r="I2227" s="10" t="n">
        <f aca="false">IF(Nonlabor!$E$21="Core",0,G2227)</f>
        <v>0</v>
      </c>
      <c r="J2227" s="23" t="str">
        <f aca="false">Nonlabor!$B$21</f>
        <v>SUPPORT</v>
      </c>
    </row>
    <row r="2228" customFormat="false" ht="15" hidden="false" customHeight="false" outlineLevel="0" collapsed="false">
      <c r="A2228" s="6" t="s">
        <v>4</v>
      </c>
      <c r="B2228" s="6" t="s">
        <v>53</v>
      </c>
      <c r="C2228" s="6" t="n">
        <v>3</v>
      </c>
      <c r="D2228" s="25" t="n">
        <f aca="false">EDATE('Start Here'!$B$6,C2228-1)</f>
        <v>46388</v>
      </c>
      <c r="E2228" s="23" t="n">
        <f aca="false">IF(AND(OR(Nonlabor!$D$21="Both",Nonlabor!$D$21='Start Here'!$B$9),IF(Nonlabor!$E$21="Core",1,IF(Nonlabor!$E$21="AI",'Start Here'!$B$7,'Start Here'!$B$8))=1,C2228&gt;=IF(Nonlabor!$E$21="Core",Nonlabor!$F$21,MAX(Nonlabor!$F$21,IF(Nonlabor!$E$21="AI",Assumptions!$D$24,Assumptions!$D$25))),C2228&lt;=Nonlabor!$G$21,OR(Nonlabor!$H$21="Monthly",AND(Nonlabor!$H$21="Once",C2228=IF(Nonlabor!$E$21="Core",Nonlabor!$F$21,MAX(Nonlabor!$F$21,IF(Nonlabor!$E$21="AI",Assumptions!$D$24,Assumptions!$D$25)))),AND(Nonlabor!$H$21="Annual",MOD(C2228-IF(Nonlabor!$E$21="Core",Nonlabor!$F$21,MAX(Nonlabor!$F$21,IF(Nonlabor!$E$21="AI",Assumptions!$D$24,Assumptions!$D$25))),12)=0))),IF(Nonlabor!$I$21="Fixed",1,IF(Nonlabor!$I$21="Seats",ROUNDUP('Monthly Base'!I8,0),IF(Nonlabor!$I$21="Customers",'Monthly Base'!D8,IF(Nonlabor!$I$21="NewCustomers",'Monthly Base'!C8,IF(Nonlabor!$I$21="StorageGB",'Monthly Base'!G8,IF(Nonlabor!$I$21="LogGB",'Monthly Base'!H8,IF(Nonlabor!$I$21="RequestsM",'Monthly Base'!F8,IF(Nonlabor!$I$21="InputM",'Monthly Base'!D8*Assumptions!$D$22/1000000,IF(Nonlabor!$I$21="OutputM",'Monthly Base'!D8*Assumptions!$D$23/1000000,0))))))))),0)</f>
        <v>0</v>
      </c>
      <c r="F2228" s="10" t="n">
        <f aca="false">Nonlabor!$J$21*(1+Assumptions!$D$9)^INT((C2228-1)/12)</f>
        <v>100</v>
      </c>
      <c r="G2228" s="10" t="n">
        <f aca="false">E2228*F2228</f>
        <v>0</v>
      </c>
      <c r="H2228" s="10" t="n">
        <f aca="false">IF(OR(Nonlabor!$L$21="Quote required",Nonlabor!$L$21="Unverified"),G2228,0)</f>
        <v>0</v>
      </c>
      <c r="I2228" s="10" t="n">
        <f aca="false">IF(Nonlabor!$E$21="Core",0,G2228)</f>
        <v>0</v>
      </c>
      <c r="J2228" s="23" t="str">
        <f aca="false">Nonlabor!$B$21</f>
        <v>SUPPORT</v>
      </c>
    </row>
    <row r="2229" customFormat="false" ht="15" hidden="false" customHeight="false" outlineLevel="0" collapsed="false">
      <c r="A2229" s="6" t="s">
        <v>4</v>
      </c>
      <c r="B2229" s="6" t="s">
        <v>53</v>
      </c>
      <c r="C2229" s="6" t="n">
        <v>4</v>
      </c>
      <c r="D2229" s="25" t="n">
        <f aca="false">EDATE('Start Here'!$B$6,C2229-1)</f>
        <v>46419</v>
      </c>
      <c r="E2229" s="23" t="n">
        <f aca="false">IF(AND(OR(Nonlabor!$D$21="Both",Nonlabor!$D$21='Start Here'!$B$9),IF(Nonlabor!$E$21="Core",1,IF(Nonlabor!$E$21="AI",'Start Here'!$B$7,'Start Here'!$B$8))=1,C2229&gt;=IF(Nonlabor!$E$21="Core",Nonlabor!$F$21,MAX(Nonlabor!$F$21,IF(Nonlabor!$E$21="AI",Assumptions!$D$24,Assumptions!$D$25))),C2229&lt;=Nonlabor!$G$21,OR(Nonlabor!$H$21="Monthly",AND(Nonlabor!$H$21="Once",C2229=IF(Nonlabor!$E$21="Core",Nonlabor!$F$21,MAX(Nonlabor!$F$21,IF(Nonlabor!$E$21="AI",Assumptions!$D$24,Assumptions!$D$25)))),AND(Nonlabor!$H$21="Annual",MOD(C2229-IF(Nonlabor!$E$21="Core",Nonlabor!$F$21,MAX(Nonlabor!$F$21,IF(Nonlabor!$E$21="AI",Assumptions!$D$24,Assumptions!$D$25))),12)=0))),IF(Nonlabor!$I$21="Fixed",1,IF(Nonlabor!$I$21="Seats",ROUNDUP('Monthly Base'!I9,0),IF(Nonlabor!$I$21="Customers",'Monthly Base'!D9,IF(Nonlabor!$I$21="NewCustomers",'Monthly Base'!C9,IF(Nonlabor!$I$21="StorageGB",'Monthly Base'!G9,IF(Nonlabor!$I$21="LogGB",'Monthly Base'!H9,IF(Nonlabor!$I$21="RequestsM",'Monthly Base'!F9,IF(Nonlabor!$I$21="InputM",'Monthly Base'!D9*Assumptions!$D$22/1000000,IF(Nonlabor!$I$21="OutputM",'Monthly Base'!D9*Assumptions!$D$23/1000000,0))))))))),0)</f>
        <v>0</v>
      </c>
      <c r="F2229" s="10" t="n">
        <f aca="false">Nonlabor!$J$21*(1+Assumptions!$D$9)^INT((C2229-1)/12)</f>
        <v>100</v>
      </c>
      <c r="G2229" s="10" t="n">
        <f aca="false">E2229*F2229</f>
        <v>0</v>
      </c>
      <c r="H2229" s="10" t="n">
        <f aca="false">IF(OR(Nonlabor!$L$21="Quote required",Nonlabor!$L$21="Unverified"),G2229,0)</f>
        <v>0</v>
      </c>
      <c r="I2229" s="10" t="n">
        <f aca="false">IF(Nonlabor!$E$21="Core",0,G2229)</f>
        <v>0</v>
      </c>
      <c r="J2229" s="23" t="str">
        <f aca="false">Nonlabor!$B$21</f>
        <v>SUPPORT</v>
      </c>
    </row>
    <row r="2230" customFormat="false" ht="15" hidden="false" customHeight="false" outlineLevel="0" collapsed="false">
      <c r="A2230" s="6" t="s">
        <v>4</v>
      </c>
      <c r="B2230" s="6" t="s">
        <v>53</v>
      </c>
      <c r="C2230" s="6" t="n">
        <v>5</v>
      </c>
      <c r="D2230" s="25" t="n">
        <f aca="false">EDATE('Start Here'!$B$6,C2230-1)</f>
        <v>46447</v>
      </c>
      <c r="E2230" s="23" t="n">
        <f aca="false">IF(AND(OR(Nonlabor!$D$21="Both",Nonlabor!$D$21='Start Here'!$B$9),IF(Nonlabor!$E$21="Core",1,IF(Nonlabor!$E$21="AI",'Start Here'!$B$7,'Start Here'!$B$8))=1,C2230&gt;=IF(Nonlabor!$E$21="Core",Nonlabor!$F$21,MAX(Nonlabor!$F$21,IF(Nonlabor!$E$21="AI",Assumptions!$D$24,Assumptions!$D$25))),C2230&lt;=Nonlabor!$G$21,OR(Nonlabor!$H$21="Monthly",AND(Nonlabor!$H$21="Once",C2230=IF(Nonlabor!$E$21="Core",Nonlabor!$F$21,MAX(Nonlabor!$F$21,IF(Nonlabor!$E$21="AI",Assumptions!$D$24,Assumptions!$D$25)))),AND(Nonlabor!$H$21="Annual",MOD(C2230-IF(Nonlabor!$E$21="Core",Nonlabor!$F$21,MAX(Nonlabor!$F$21,IF(Nonlabor!$E$21="AI",Assumptions!$D$24,Assumptions!$D$25))),12)=0))),IF(Nonlabor!$I$21="Fixed",1,IF(Nonlabor!$I$21="Seats",ROUNDUP('Monthly Base'!I10,0),IF(Nonlabor!$I$21="Customers",'Monthly Base'!D10,IF(Nonlabor!$I$21="NewCustomers",'Monthly Base'!C10,IF(Nonlabor!$I$21="StorageGB",'Monthly Base'!G10,IF(Nonlabor!$I$21="LogGB",'Monthly Base'!H10,IF(Nonlabor!$I$21="RequestsM",'Monthly Base'!F10,IF(Nonlabor!$I$21="InputM",'Monthly Base'!D10*Assumptions!$D$22/1000000,IF(Nonlabor!$I$21="OutputM",'Monthly Base'!D10*Assumptions!$D$23/1000000,0))))))))),0)</f>
        <v>0</v>
      </c>
      <c r="F2230" s="10" t="n">
        <f aca="false">Nonlabor!$J$21*(1+Assumptions!$D$9)^INT((C2230-1)/12)</f>
        <v>100</v>
      </c>
      <c r="G2230" s="10" t="n">
        <f aca="false">E2230*F2230</f>
        <v>0</v>
      </c>
      <c r="H2230" s="10" t="n">
        <f aca="false">IF(OR(Nonlabor!$L$21="Quote required",Nonlabor!$L$21="Unverified"),G2230,0)</f>
        <v>0</v>
      </c>
      <c r="I2230" s="10" t="n">
        <f aca="false">IF(Nonlabor!$E$21="Core",0,G2230)</f>
        <v>0</v>
      </c>
      <c r="J2230" s="23" t="str">
        <f aca="false">Nonlabor!$B$21</f>
        <v>SUPPORT</v>
      </c>
    </row>
    <row r="2231" customFormat="false" ht="15" hidden="false" customHeight="false" outlineLevel="0" collapsed="false">
      <c r="A2231" s="6" t="s">
        <v>4</v>
      </c>
      <c r="B2231" s="6" t="s">
        <v>53</v>
      </c>
      <c r="C2231" s="6" t="n">
        <v>6</v>
      </c>
      <c r="D2231" s="25" t="n">
        <f aca="false">EDATE('Start Here'!$B$6,C2231-1)</f>
        <v>46478</v>
      </c>
      <c r="E2231" s="23" t="n">
        <f aca="false">IF(AND(OR(Nonlabor!$D$21="Both",Nonlabor!$D$21='Start Here'!$B$9),IF(Nonlabor!$E$21="Core",1,IF(Nonlabor!$E$21="AI",'Start Here'!$B$7,'Start Here'!$B$8))=1,C2231&gt;=IF(Nonlabor!$E$21="Core",Nonlabor!$F$21,MAX(Nonlabor!$F$21,IF(Nonlabor!$E$21="AI",Assumptions!$D$24,Assumptions!$D$25))),C2231&lt;=Nonlabor!$G$21,OR(Nonlabor!$H$21="Monthly",AND(Nonlabor!$H$21="Once",C2231=IF(Nonlabor!$E$21="Core",Nonlabor!$F$21,MAX(Nonlabor!$F$21,IF(Nonlabor!$E$21="AI",Assumptions!$D$24,Assumptions!$D$25)))),AND(Nonlabor!$H$21="Annual",MOD(C2231-IF(Nonlabor!$E$21="Core",Nonlabor!$F$21,MAX(Nonlabor!$F$21,IF(Nonlabor!$E$21="AI",Assumptions!$D$24,Assumptions!$D$25))),12)=0))),IF(Nonlabor!$I$21="Fixed",1,IF(Nonlabor!$I$21="Seats",ROUNDUP('Monthly Base'!I11,0),IF(Nonlabor!$I$21="Customers",'Monthly Base'!D11,IF(Nonlabor!$I$21="NewCustomers",'Monthly Base'!C11,IF(Nonlabor!$I$21="StorageGB",'Monthly Base'!G11,IF(Nonlabor!$I$21="LogGB",'Monthly Base'!H11,IF(Nonlabor!$I$21="RequestsM",'Monthly Base'!F11,IF(Nonlabor!$I$21="InputM",'Monthly Base'!D11*Assumptions!$D$22/1000000,IF(Nonlabor!$I$21="OutputM",'Monthly Base'!D11*Assumptions!$D$23/1000000,0))))))))),0)</f>
        <v>0</v>
      </c>
      <c r="F2231" s="10" t="n">
        <f aca="false">Nonlabor!$J$21*(1+Assumptions!$D$9)^INT((C2231-1)/12)</f>
        <v>100</v>
      </c>
      <c r="G2231" s="10" t="n">
        <f aca="false">E2231*F2231</f>
        <v>0</v>
      </c>
      <c r="H2231" s="10" t="n">
        <f aca="false">IF(OR(Nonlabor!$L$21="Quote required",Nonlabor!$L$21="Unverified"),G2231,0)</f>
        <v>0</v>
      </c>
      <c r="I2231" s="10" t="n">
        <f aca="false">IF(Nonlabor!$E$21="Core",0,G2231)</f>
        <v>0</v>
      </c>
      <c r="J2231" s="23" t="str">
        <f aca="false">Nonlabor!$B$21</f>
        <v>SUPPORT</v>
      </c>
    </row>
    <row r="2232" customFormat="false" ht="15" hidden="false" customHeight="false" outlineLevel="0" collapsed="false">
      <c r="A2232" s="6" t="s">
        <v>4</v>
      </c>
      <c r="B2232" s="6" t="s">
        <v>53</v>
      </c>
      <c r="C2232" s="6" t="n">
        <v>7</v>
      </c>
      <c r="D2232" s="25" t="n">
        <f aca="false">EDATE('Start Here'!$B$6,C2232-1)</f>
        <v>46508</v>
      </c>
      <c r="E2232" s="23" t="n">
        <f aca="false">IF(AND(OR(Nonlabor!$D$21="Both",Nonlabor!$D$21='Start Here'!$B$9),IF(Nonlabor!$E$21="Core",1,IF(Nonlabor!$E$21="AI",'Start Here'!$B$7,'Start Here'!$B$8))=1,C2232&gt;=IF(Nonlabor!$E$21="Core",Nonlabor!$F$21,MAX(Nonlabor!$F$21,IF(Nonlabor!$E$21="AI",Assumptions!$D$24,Assumptions!$D$25))),C2232&lt;=Nonlabor!$G$21,OR(Nonlabor!$H$21="Monthly",AND(Nonlabor!$H$21="Once",C2232=IF(Nonlabor!$E$21="Core",Nonlabor!$F$21,MAX(Nonlabor!$F$21,IF(Nonlabor!$E$21="AI",Assumptions!$D$24,Assumptions!$D$25)))),AND(Nonlabor!$H$21="Annual",MOD(C2232-IF(Nonlabor!$E$21="Core",Nonlabor!$F$21,MAX(Nonlabor!$F$21,IF(Nonlabor!$E$21="AI",Assumptions!$D$24,Assumptions!$D$25))),12)=0))),IF(Nonlabor!$I$21="Fixed",1,IF(Nonlabor!$I$21="Seats",ROUNDUP('Monthly Base'!I12,0),IF(Nonlabor!$I$21="Customers",'Monthly Base'!D12,IF(Nonlabor!$I$21="NewCustomers",'Monthly Base'!C12,IF(Nonlabor!$I$21="StorageGB",'Monthly Base'!G12,IF(Nonlabor!$I$21="LogGB",'Monthly Base'!H12,IF(Nonlabor!$I$21="RequestsM",'Monthly Base'!F12,IF(Nonlabor!$I$21="InputM",'Monthly Base'!D12*Assumptions!$D$22/1000000,IF(Nonlabor!$I$21="OutputM",'Monthly Base'!D12*Assumptions!$D$23/1000000,0))))))))),0)</f>
        <v>0</v>
      </c>
      <c r="F2232" s="10" t="n">
        <f aca="false">Nonlabor!$J$21*(1+Assumptions!$D$9)^INT((C2232-1)/12)</f>
        <v>100</v>
      </c>
      <c r="G2232" s="10" t="n">
        <f aca="false">E2232*F2232</f>
        <v>0</v>
      </c>
      <c r="H2232" s="10" t="n">
        <f aca="false">IF(OR(Nonlabor!$L$21="Quote required",Nonlabor!$L$21="Unverified"),G2232,0)</f>
        <v>0</v>
      </c>
      <c r="I2232" s="10" t="n">
        <f aca="false">IF(Nonlabor!$E$21="Core",0,G2232)</f>
        <v>0</v>
      </c>
      <c r="J2232" s="23" t="str">
        <f aca="false">Nonlabor!$B$21</f>
        <v>SUPPORT</v>
      </c>
    </row>
    <row r="2233" customFormat="false" ht="15" hidden="false" customHeight="false" outlineLevel="0" collapsed="false">
      <c r="A2233" s="6" t="s">
        <v>4</v>
      </c>
      <c r="B2233" s="6" t="s">
        <v>53</v>
      </c>
      <c r="C2233" s="6" t="n">
        <v>8</v>
      </c>
      <c r="D2233" s="25" t="n">
        <f aca="false">EDATE('Start Here'!$B$6,C2233-1)</f>
        <v>46539</v>
      </c>
      <c r="E2233" s="23" t="n">
        <f aca="false">IF(AND(OR(Nonlabor!$D$21="Both",Nonlabor!$D$21='Start Here'!$B$9),IF(Nonlabor!$E$21="Core",1,IF(Nonlabor!$E$21="AI",'Start Here'!$B$7,'Start Here'!$B$8))=1,C2233&gt;=IF(Nonlabor!$E$21="Core",Nonlabor!$F$21,MAX(Nonlabor!$F$21,IF(Nonlabor!$E$21="AI",Assumptions!$D$24,Assumptions!$D$25))),C2233&lt;=Nonlabor!$G$21,OR(Nonlabor!$H$21="Monthly",AND(Nonlabor!$H$21="Once",C2233=IF(Nonlabor!$E$21="Core",Nonlabor!$F$21,MAX(Nonlabor!$F$21,IF(Nonlabor!$E$21="AI",Assumptions!$D$24,Assumptions!$D$25)))),AND(Nonlabor!$H$21="Annual",MOD(C2233-IF(Nonlabor!$E$21="Core",Nonlabor!$F$21,MAX(Nonlabor!$F$21,IF(Nonlabor!$E$21="AI",Assumptions!$D$24,Assumptions!$D$25))),12)=0))),IF(Nonlabor!$I$21="Fixed",1,IF(Nonlabor!$I$21="Seats",ROUNDUP('Monthly Base'!I13,0),IF(Nonlabor!$I$21="Customers",'Monthly Base'!D13,IF(Nonlabor!$I$21="NewCustomers",'Monthly Base'!C13,IF(Nonlabor!$I$21="StorageGB",'Monthly Base'!G13,IF(Nonlabor!$I$21="LogGB",'Monthly Base'!H13,IF(Nonlabor!$I$21="RequestsM",'Monthly Base'!F13,IF(Nonlabor!$I$21="InputM",'Monthly Base'!D13*Assumptions!$D$22/1000000,IF(Nonlabor!$I$21="OutputM",'Monthly Base'!D13*Assumptions!$D$23/1000000,0))))))))),0)</f>
        <v>0</v>
      </c>
      <c r="F2233" s="10" t="n">
        <f aca="false">Nonlabor!$J$21*(1+Assumptions!$D$9)^INT((C2233-1)/12)</f>
        <v>100</v>
      </c>
      <c r="G2233" s="10" t="n">
        <f aca="false">E2233*F2233</f>
        <v>0</v>
      </c>
      <c r="H2233" s="10" t="n">
        <f aca="false">IF(OR(Nonlabor!$L$21="Quote required",Nonlabor!$L$21="Unverified"),G2233,0)</f>
        <v>0</v>
      </c>
      <c r="I2233" s="10" t="n">
        <f aca="false">IF(Nonlabor!$E$21="Core",0,G2233)</f>
        <v>0</v>
      </c>
      <c r="J2233" s="23" t="str">
        <f aca="false">Nonlabor!$B$21</f>
        <v>SUPPORT</v>
      </c>
    </row>
    <row r="2234" customFormat="false" ht="15" hidden="false" customHeight="false" outlineLevel="0" collapsed="false">
      <c r="A2234" s="6" t="s">
        <v>4</v>
      </c>
      <c r="B2234" s="6" t="s">
        <v>53</v>
      </c>
      <c r="C2234" s="6" t="n">
        <v>9</v>
      </c>
      <c r="D2234" s="25" t="n">
        <f aca="false">EDATE('Start Here'!$B$6,C2234-1)</f>
        <v>46569</v>
      </c>
      <c r="E2234" s="23" t="n">
        <f aca="false">IF(AND(OR(Nonlabor!$D$21="Both",Nonlabor!$D$21='Start Here'!$B$9),IF(Nonlabor!$E$21="Core",1,IF(Nonlabor!$E$21="AI",'Start Here'!$B$7,'Start Here'!$B$8))=1,C2234&gt;=IF(Nonlabor!$E$21="Core",Nonlabor!$F$21,MAX(Nonlabor!$F$21,IF(Nonlabor!$E$21="AI",Assumptions!$D$24,Assumptions!$D$25))),C2234&lt;=Nonlabor!$G$21,OR(Nonlabor!$H$21="Monthly",AND(Nonlabor!$H$21="Once",C2234=IF(Nonlabor!$E$21="Core",Nonlabor!$F$21,MAX(Nonlabor!$F$21,IF(Nonlabor!$E$21="AI",Assumptions!$D$24,Assumptions!$D$25)))),AND(Nonlabor!$H$21="Annual",MOD(C2234-IF(Nonlabor!$E$21="Core",Nonlabor!$F$21,MAX(Nonlabor!$F$21,IF(Nonlabor!$E$21="AI",Assumptions!$D$24,Assumptions!$D$25))),12)=0))),IF(Nonlabor!$I$21="Fixed",1,IF(Nonlabor!$I$21="Seats",ROUNDUP('Monthly Base'!I14,0),IF(Nonlabor!$I$21="Customers",'Monthly Base'!D14,IF(Nonlabor!$I$21="NewCustomers",'Monthly Base'!C14,IF(Nonlabor!$I$21="StorageGB",'Monthly Base'!G14,IF(Nonlabor!$I$21="LogGB",'Monthly Base'!H14,IF(Nonlabor!$I$21="RequestsM",'Monthly Base'!F14,IF(Nonlabor!$I$21="InputM",'Monthly Base'!D14*Assumptions!$D$22/1000000,IF(Nonlabor!$I$21="OutputM",'Monthly Base'!D14*Assumptions!$D$23/1000000,0))))))))),0)</f>
        <v>1</v>
      </c>
      <c r="F2234" s="10" t="n">
        <f aca="false">Nonlabor!$J$21*(1+Assumptions!$D$9)^INT((C2234-1)/12)</f>
        <v>100</v>
      </c>
      <c r="G2234" s="10" t="n">
        <f aca="false">E2234*F2234</f>
        <v>100</v>
      </c>
      <c r="H2234" s="10" t="n">
        <f aca="false">IF(OR(Nonlabor!$L$21="Quote required",Nonlabor!$L$21="Unverified"),G2234,0)</f>
        <v>0</v>
      </c>
      <c r="I2234" s="10" t="n">
        <f aca="false">IF(Nonlabor!$E$21="Core",0,G2234)</f>
        <v>0</v>
      </c>
      <c r="J2234" s="23" t="str">
        <f aca="false">Nonlabor!$B$21</f>
        <v>SUPPORT</v>
      </c>
    </row>
    <row r="2235" customFormat="false" ht="15" hidden="false" customHeight="false" outlineLevel="0" collapsed="false">
      <c r="A2235" s="6" t="s">
        <v>4</v>
      </c>
      <c r="B2235" s="6" t="s">
        <v>53</v>
      </c>
      <c r="C2235" s="6" t="n">
        <v>10</v>
      </c>
      <c r="D2235" s="25" t="n">
        <f aca="false">EDATE('Start Here'!$B$6,C2235-1)</f>
        <v>46600</v>
      </c>
      <c r="E2235" s="23" t="n">
        <f aca="false">IF(AND(OR(Nonlabor!$D$21="Both",Nonlabor!$D$21='Start Here'!$B$9),IF(Nonlabor!$E$21="Core",1,IF(Nonlabor!$E$21="AI",'Start Here'!$B$7,'Start Here'!$B$8))=1,C2235&gt;=IF(Nonlabor!$E$21="Core",Nonlabor!$F$21,MAX(Nonlabor!$F$21,IF(Nonlabor!$E$21="AI",Assumptions!$D$24,Assumptions!$D$25))),C2235&lt;=Nonlabor!$G$21,OR(Nonlabor!$H$21="Monthly",AND(Nonlabor!$H$21="Once",C2235=IF(Nonlabor!$E$21="Core",Nonlabor!$F$21,MAX(Nonlabor!$F$21,IF(Nonlabor!$E$21="AI",Assumptions!$D$24,Assumptions!$D$25)))),AND(Nonlabor!$H$21="Annual",MOD(C2235-IF(Nonlabor!$E$21="Core",Nonlabor!$F$21,MAX(Nonlabor!$F$21,IF(Nonlabor!$E$21="AI",Assumptions!$D$24,Assumptions!$D$25))),12)=0))),IF(Nonlabor!$I$21="Fixed",1,IF(Nonlabor!$I$21="Seats",ROUNDUP('Monthly Base'!I15,0),IF(Nonlabor!$I$21="Customers",'Monthly Base'!D15,IF(Nonlabor!$I$21="NewCustomers",'Monthly Base'!C15,IF(Nonlabor!$I$21="StorageGB",'Monthly Base'!G15,IF(Nonlabor!$I$21="LogGB",'Monthly Base'!H15,IF(Nonlabor!$I$21="RequestsM",'Monthly Base'!F15,IF(Nonlabor!$I$21="InputM",'Monthly Base'!D15*Assumptions!$D$22/1000000,IF(Nonlabor!$I$21="OutputM",'Monthly Base'!D15*Assumptions!$D$23/1000000,0))))))))),0)</f>
        <v>1</v>
      </c>
      <c r="F2235" s="10" t="n">
        <f aca="false">Nonlabor!$J$21*(1+Assumptions!$D$9)^INT((C2235-1)/12)</f>
        <v>100</v>
      </c>
      <c r="G2235" s="10" t="n">
        <f aca="false">E2235*F2235</f>
        <v>100</v>
      </c>
      <c r="H2235" s="10" t="n">
        <f aca="false">IF(OR(Nonlabor!$L$21="Quote required",Nonlabor!$L$21="Unverified"),G2235,0)</f>
        <v>0</v>
      </c>
      <c r="I2235" s="10" t="n">
        <f aca="false">IF(Nonlabor!$E$21="Core",0,G2235)</f>
        <v>0</v>
      </c>
      <c r="J2235" s="23" t="str">
        <f aca="false">Nonlabor!$B$21</f>
        <v>SUPPORT</v>
      </c>
    </row>
    <row r="2236" customFormat="false" ht="15" hidden="false" customHeight="false" outlineLevel="0" collapsed="false">
      <c r="A2236" s="6" t="s">
        <v>4</v>
      </c>
      <c r="B2236" s="6" t="s">
        <v>53</v>
      </c>
      <c r="C2236" s="6" t="n">
        <v>11</v>
      </c>
      <c r="D2236" s="25" t="n">
        <f aca="false">EDATE('Start Here'!$B$6,C2236-1)</f>
        <v>46631</v>
      </c>
      <c r="E2236" s="23" t="n">
        <f aca="false">IF(AND(OR(Nonlabor!$D$21="Both",Nonlabor!$D$21='Start Here'!$B$9),IF(Nonlabor!$E$21="Core",1,IF(Nonlabor!$E$21="AI",'Start Here'!$B$7,'Start Here'!$B$8))=1,C2236&gt;=IF(Nonlabor!$E$21="Core",Nonlabor!$F$21,MAX(Nonlabor!$F$21,IF(Nonlabor!$E$21="AI",Assumptions!$D$24,Assumptions!$D$25))),C2236&lt;=Nonlabor!$G$21,OR(Nonlabor!$H$21="Monthly",AND(Nonlabor!$H$21="Once",C2236=IF(Nonlabor!$E$21="Core",Nonlabor!$F$21,MAX(Nonlabor!$F$21,IF(Nonlabor!$E$21="AI",Assumptions!$D$24,Assumptions!$D$25)))),AND(Nonlabor!$H$21="Annual",MOD(C2236-IF(Nonlabor!$E$21="Core",Nonlabor!$F$21,MAX(Nonlabor!$F$21,IF(Nonlabor!$E$21="AI",Assumptions!$D$24,Assumptions!$D$25))),12)=0))),IF(Nonlabor!$I$21="Fixed",1,IF(Nonlabor!$I$21="Seats",ROUNDUP('Monthly Base'!I16,0),IF(Nonlabor!$I$21="Customers",'Monthly Base'!D16,IF(Nonlabor!$I$21="NewCustomers",'Monthly Base'!C16,IF(Nonlabor!$I$21="StorageGB",'Monthly Base'!G16,IF(Nonlabor!$I$21="LogGB",'Monthly Base'!H16,IF(Nonlabor!$I$21="RequestsM",'Monthly Base'!F16,IF(Nonlabor!$I$21="InputM",'Monthly Base'!D16*Assumptions!$D$22/1000000,IF(Nonlabor!$I$21="OutputM",'Monthly Base'!D16*Assumptions!$D$23/1000000,0))))))))),0)</f>
        <v>1</v>
      </c>
      <c r="F2236" s="10" t="n">
        <f aca="false">Nonlabor!$J$21*(1+Assumptions!$D$9)^INT((C2236-1)/12)</f>
        <v>100</v>
      </c>
      <c r="G2236" s="10" t="n">
        <f aca="false">E2236*F2236</f>
        <v>100</v>
      </c>
      <c r="H2236" s="10" t="n">
        <f aca="false">IF(OR(Nonlabor!$L$21="Quote required",Nonlabor!$L$21="Unverified"),G2236,0)</f>
        <v>0</v>
      </c>
      <c r="I2236" s="10" t="n">
        <f aca="false">IF(Nonlabor!$E$21="Core",0,G2236)</f>
        <v>0</v>
      </c>
      <c r="J2236" s="23" t="str">
        <f aca="false">Nonlabor!$B$21</f>
        <v>SUPPORT</v>
      </c>
    </row>
    <row r="2237" customFormat="false" ht="15" hidden="false" customHeight="false" outlineLevel="0" collapsed="false">
      <c r="A2237" s="6" t="s">
        <v>4</v>
      </c>
      <c r="B2237" s="6" t="s">
        <v>53</v>
      </c>
      <c r="C2237" s="6" t="n">
        <v>12</v>
      </c>
      <c r="D2237" s="25" t="n">
        <f aca="false">EDATE('Start Here'!$B$6,C2237-1)</f>
        <v>46661</v>
      </c>
      <c r="E2237" s="23" t="n">
        <f aca="false">IF(AND(OR(Nonlabor!$D$21="Both",Nonlabor!$D$21='Start Here'!$B$9),IF(Nonlabor!$E$21="Core",1,IF(Nonlabor!$E$21="AI",'Start Here'!$B$7,'Start Here'!$B$8))=1,C2237&gt;=IF(Nonlabor!$E$21="Core",Nonlabor!$F$21,MAX(Nonlabor!$F$21,IF(Nonlabor!$E$21="AI",Assumptions!$D$24,Assumptions!$D$25))),C2237&lt;=Nonlabor!$G$21,OR(Nonlabor!$H$21="Monthly",AND(Nonlabor!$H$21="Once",C2237=IF(Nonlabor!$E$21="Core",Nonlabor!$F$21,MAX(Nonlabor!$F$21,IF(Nonlabor!$E$21="AI",Assumptions!$D$24,Assumptions!$D$25)))),AND(Nonlabor!$H$21="Annual",MOD(C2237-IF(Nonlabor!$E$21="Core",Nonlabor!$F$21,MAX(Nonlabor!$F$21,IF(Nonlabor!$E$21="AI",Assumptions!$D$24,Assumptions!$D$25))),12)=0))),IF(Nonlabor!$I$21="Fixed",1,IF(Nonlabor!$I$21="Seats",ROUNDUP('Monthly Base'!I17,0),IF(Nonlabor!$I$21="Customers",'Monthly Base'!D17,IF(Nonlabor!$I$21="NewCustomers",'Monthly Base'!C17,IF(Nonlabor!$I$21="StorageGB",'Monthly Base'!G17,IF(Nonlabor!$I$21="LogGB",'Monthly Base'!H17,IF(Nonlabor!$I$21="RequestsM",'Monthly Base'!F17,IF(Nonlabor!$I$21="InputM",'Monthly Base'!D17*Assumptions!$D$22/1000000,IF(Nonlabor!$I$21="OutputM",'Monthly Base'!D17*Assumptions!$D$23/1000000,0))))))))),0)</f>
        <v>1</v>
      </c>
      <c r="F2237" s="10" t="n">
        <f aca="false">Nonlabor!$J$21*(1+Assumptions!$D$9)^INT((C2237-1)/12)</f>
        <v>100</v>
      </c>
      <c r="G2237" s="10" t="n">
        <f aca="false">E2237*F2237</f>
        <v>100</v>
      </c>
      <c r="H2237" s="10" t="n">
        <f aca="false">IF(OR(Nonlabor!$L$21="Quote required",Nonlabor!$L$21="Unverified"),G2237,0)</f>
        <v>0</v>
      </c>
      <c r="I2237" s="10" t="n">
        <f aca="false">IF(Nonlabor!$E$21="Core",0,G2237)</f>
        <v>0</v>
      </c>
      <c r="J2237" s="23" t="str">
        <f aca="false">Nonlabor!$B$21</f>
        <v>SUPPORT</v>
      </c>
    </row>
    <row r="2238" customFormat="false" ht="15" hidden="false" customHeight="false" outlineLevel="0" collapsed="false">
      <c r="A2238" s="6" t="s">
        <v>4</v>
      </c>
      <c r="B2238" s="6" t="s">
        <v>53</v>
      </c>
      <c r="C2238" s="6" t="n">
        <v>13</v>
      </c>
      <c r="D2238" s="25" t="n">
        <f aca="false">EDATE('Start Here'!$B$6,C2238-1)</f>
        <v>46692</v>
      </c>
      <c r="E2238" s="23" t="n">
        <f aca="false">IF(AND(OR(Nonlabor!$D$21="Both",Nonlabor!$D$21='Start Here'!$B$9),IF(Nonlabor!$E$21="Core",1,IF(Nonlabor!$E$21="AI",'Start Here'!$B$7,'Start Here'!$B$8))=1,C2238&gt;=IF(Nonlabor!$E$21="Core",Nonlabor!$F$21,MAX(Nonlabor!$F$21,IF(Nonlabor!$E$21="AI",Assumptions!$D$24,Assumptions!$D$25))),C2238&lt;=Nonlabor!$G$21,OR(Nonlabor!$H$21="Monthly",AND(Nonlabor!$H$21="Once",C2238=IF(Nonlabor!$E$21="Core",Nonlabor!$F$21,MAX(Nonlabor!$F$21,IF(Nonlabor!$E$21="AI",Assumptions!$D$24,Assumptions!$D$25)))),AND(Nonlabor!$H$21="Annual",MOD(C2238-IF(Nonlabor!$E$21="Core",Nonlabor!$F$21,MAX(Nonlabor!$F$21,IF(Nonlabor!$E$21="AI",Assumptions!$D$24,Assumptions!$D$25))),12)=0))),IF(Nonlabor!$I$21="Fixed",1,IF(Nonlabor!$I$21="Seats",ROUNDUP('Monthly Base'!I18,0),IF(Nonlabor!$I$21="Customers",'Monthly Base'!D18,IF(Nonlabor!$I$21="NewCustomers",'Monthly Base'!C18,IF(Nonlabor!$I$21="StorageGB",'Monthly Base'!G18,IF(Nonlabor!$I$21="LogGB",'Monthly Base'!H18,IF(Nonlabor!$I$21="RequestsM",'Monthly Base'!F18,IF(Nonlabor!$I$21="InputM",'Monthly Base'!D18*Assumptions!$D$22/1000000,IF(Nonlabor!$I$21="OutputM",'Monthly Base'!D18*Assumptions!$D$23/1000000,0))))))))),0)</f>
        <v>1</v>
      </c>
      <c r="F2238" s="10" t="n">
        <f aca="false">Nonlabor!$J$21*(1+Assumptions!$D$9)^INT((C2238-1)/12)</f>
        <v>103</v>
      </c>
      <c r="G2238" s="10" t="n">
        <f aca="false">E2238*F2238</f>
        <v>103</v>
      </c>
      <c r="H2238" s="10" t="n">
        <f aca="false">IF(OR(Nonlabor!$L$21="Quote required",Nonlabor!$L$21="Unverified"),G2238,0)</f>
        <v>0</v>
      </c>
      <c r="I2238" s="10" t="n">
        <f aca="false">IF(Nonlabor!$E$21="Core",0,G2238)</f>
        <v>0</v>
      </c>
      <c r="J2238" s="23" t="str">
        <f aca="false">Nonlabor!$B$21</f>
        <v>SUPPORT</v>
      </c>
    </row>
    <row r="2239" customFormat="false" ht="15" hidden="false" customHeight="false" outlineLevel="0" collapsed="false">
      <c r="A2239" s="6" t="s">
        <v>4</v>
      </c>
      <c r="B2239" s="6" t="s">
        <v>53</v>
      </c>
      <c r="C2239" s="6" t="n">
        <v>14</v>
      </c>
      <c r="D2239" s="25" t="n">
        <f aca="false">EDATE('Start Here'!$B$6,C2239-1)</f>
        <v>46722</v>
      </c>
      <c r="E2239" s="23" t="n">
        <f aca="false">IF(AND(OR(Nonlabor!$D$21="Both",Nonlabor!$D$21='Start Here'!$B$9),IF(Nonlabor!$E$21="Core",1,IF(Nonlabor!$E$21="AI",'Start Here'!$B$7,'Start Here'!$B$8))=1,C2239&gt;=IF(Nonlabor!$E$21="Core",Nonlabor!$F$21,MAX(Nonlabor!$F$21,IF(Nonlabor!$E$21="AI",Assumptions!$D$24,Assumptions!$D$25))),C2239&lt;=Nonlabor!$G$21,OR(Nonlabor!$H$21="Monthly",AND(Nonlabor!$H$21="Once",C2239=IF(Nonlabor!$E$21="Core",Nonlabor!$F$21,MAX(Nonlabor!$F$21,IF(Nonlabor!$E$21="AI",Assumptions!$D$24,Assumptions!$D$25)))),AND(Nonlabor!$H$21="Annual",MOD(C2239-IF(Nonlabor!$E$21="Core",Nonlabor!$F$21,MAX(Nonlabor!$F$21,IF(Nonlabor!$E$21="AI",Assumptions!$D$24,Assumptions!$D$25))),12)=0))),IF(Nonlabor!$I$21="Fixed",1,IF(Nonlabor!$I$21="Seats",ROUNDUP('Monthly Base'!I19,0),IF(Nonlabor!$I$21="Customers",'Monthly Base'!D19,IF(Nonlabor!$I$21="NewCustomers",'Monthly Base'!C19,IF(Nonlabor!$I$21="StorageGB",'Monthly Base'!G19,IF(Nonlabor!$I$21="LogGB",'Monthly Base'!H19,IF(Nonlabor!$I$21="RequestsM",'Monthly Base'!F19,IF(Nonlabor!$I$21="InputM",'Monthly Base'!D19*Assumptions!$D$22/1000000,IF(Nonlabor!$I$21="OutputM",'Monthly Base'!D19*Assumptions!$D$23/1000000,0))))))))),0)</f>
        <v>1</v>
      </c>
      <c r="F2239" s="10" t="n">
        <f aca="false">Nonlabor!$J$21*(1+Assumptions!$D$9)^INT((C2239-1)/12)</f>
        <v>103</v>
      </c>
      <c r="G2239" s="10" t="n">
        <f aca="false">E2239*F2239</f>
        <v>103</v>
      </c>
      <c r="H2239" s="10" t="n">
        <f aca="false">IF(OR(Nonlabor!$L$21="Quote required",Nonlabor!$L$21="Unverified"),G2239,0)</f>
        <v>0</v>
      </c>
      <c r="I2239" s="10" t="n">
        <f aca="false">IF(Nonlabor!$E$21="Core",0,G2239)</f>
        <v>0</v>
      </c>
      <c r="J2239" s="23" t="str">
        <f aca="false">Nonlabor!$B$21</f>
        <v>SUPPORT</v>
      </c>
    </row>
    <row r="2240" customFormat="false" ht="15" hidden="false" customHeight="false" outlineLevel="0" collapsed="false">
      <c r="A2240" s="6" t="s">
        <v>4</v>
      </c>
      <c r="B2240" s="6" t="s">
        <v>53</v>
      </c>
      <c r="C2240" s="6" t="n">
        <v>15</v>
      </c>
      <c r="D2240" s="25" t="n">
        <f aca="false">EDATE('Start Here'!$B$6,C2240-1)</f>
        <v>46753</v>
      </c>
      <c r="E2240" s="23" t="n">
        <f aca="false">IF(AND(OR(Nonlabor!$D$21="Both",Nonlabor!$D$21='Start Here'!$B$9),IF(Nonlabor!$E$21="Core",1,IF(Nonlabor!$E$21="AI",'Start Here'!$B$7,'Start Here'!$B$8))=1,C2240&gt;=IF(Nonlabor!$E$21="Core",Nonlabor!$F$21,MAX(Nonlabor!$F$21,IF(Nonlabor!$E$21="AI",Assumptions!$D$24,Assumptions!$D$25))),C2240&lt;=Nonlabor!$G$21,OR(Nonlabor!$H$21="Monthly",AND(Nonlabor!$H$21="Once",C2240=IF(Nonlabor!$E$21="Core",Nonlabor!$F$21,MAX(Nonlabor!$F$21,IF(Nonlabor!$E$21="AI",Assumptions!$D$24,Assumptions!$D$25)))),AND(Nonlabor!$H$21="Annual",MOD(C2240-IF(Nonlabor!$E$21="Core",Nonlabor!$F$21,MAX(Nonlabor!$F$21,IF(Nonlabor!$E$21="AI",Assumptions!$D$24,Assumptions!$D$25))),12)=0))),IF(Nonlabor!$I$21="Fixed",1,IF(Nonlabor!$I$21="Seats",ROUNDUP('Monthly Base'!I20,0),IF(Nonlabor!$I$21="Customers",'Monthly Base'!D20,IF(Nonlabor!$I$21="NewCustomers",'Monthly Base'!C20,IF(Nonlabor!$I$21="StorageGB",'Monthly Base'!G20,IF(Nonlabor!$I$21="LogGB",'Monthly Base'!H20,IF(Nonlabor!$I$21="RequestsM",'Monthly Base'!F20,IF(Nonlabor!$I$21="InputM",'Monthly Base'!D20*Assumptions!$D$22/1000000,IF(Nonlabor!$I$21="OutputM",'Monthly Base'!D20*Assumptions!$D$23/1000000,0))))))))),0)</f>
        <v>1</v>
      </c>
      <c r="F2240" s="10" t="n">
        <f aca="false">Nonlabor!$J$21*(1+Assumptions!$D$9)^INT((C2240-1)/12)</f>
        <v>103</v>
      </c>
      <c r="G2240" s="10" t="n">
        <f aca="false">E2240*F2240</f>
        <v>103</v>
      </c>
      <c r="H2240" s="10" t="n">
        <f aca="false">IF(OR(Nonlabor!$L$21="Quote required",Nonlabor!$L$21="Unverified"),G2240,0)</f>
        <v>0</v>
      </c>
      <c r="I2240" s="10" t="n">
        <f aca="false">IF(Nonlabor!$E$21="Core",0,G2240)</f>
        <v>0</v>
      </c>
      <c r="J2240" s="23" t="str">
        <f aca="false">Nonlabor!$B$21</f>
        <v>SUPPORT</v>
      </c>
    </row>
    <row r="2241" customFormat="false" ht="15" hidden="false" customHeight="false" outlineLevel="0" collapsed="false">
      <c r="A2241" s="6" t="s">
        <v>4</v>
      </c>
      <c r="B2241" s="6" t="s">
        <v>53</v>
      </c>
      <c r="C2241" s="6" t="n">
        <v>16</v>
      </c>
      <c r="D2241" s="25" t="n">
        <f aca="false">EDATE('Start Here'!$B$6,C2241-1)</f>
        <v>46784</v>
      </c>
      <c r="E2241" s="23" t="n">
        <f aca="false">IF(AND(OR(Nonlabor!$D$21="Both",Nonlabor!$D$21='Start Here'!$B$9),IF(Nonlabor!$E$21="Core",1,IF(Nonlabor!$E$21="AI",'Start Here'!$B$7,'Start Here'!$B$8))=1,C2241&gt;=IF(Nonlabor!$E$21="Core",Nonlabor!$F$21,MAX(Nonlabor!$F$21,IF(Nonlabor!$E$21="AI",Assumptions!$D$24,Assumptions!$D$25))),C2241&lt;=Nonlabor!$G$21,OR(Nonlabor!$H$21="Monthly",AND(Nonlabor!$H$21="Once",C2241=IF(Nonlabor!$E$21="Core",Nonlabor!$F$21,MAX(Nonlabor!$F$21,IF(Nonlabor!$E$21="AI",Assumptions!$D$24,Assumptions!$D$25)))),AND(Nonlabor!$H$21="Annual",MOD(C2241-IF(Nonlabor!$E$21="Core",Nonlabor!$F$21,MAX(Nonlabor!$F$21,IF(Nonlabor!$E$21="AI",Assumptions!$D$24,Assumptions!$D$25))),12)=0))),IF(Nonlabor!$I$21="Fixed",1,IF(Nonlabor!$I$21="Seats",ROUNDUP('Monthly Base'!I21,0),IF(Nonlabor!$I$21="Customers",'Monthly Base'!D21,IF(Nonlabor!$I$21="NewCustomers",'Monthly Base'!C21,IF(Nonlabor!$I$21="StorageGB",'Monthly Base'!G21,IF(Nonlabor!$I$21="LogGB",'Monthly Base'!H21,IF(Nonlabor!$I$21="RequestsM",'Monthly Base'!F21,IF(Nonlabor!$I$21="InputM",'Monthly Base'!D21*Assumptions!$D$22/1000000,IF(Nonlabor!$I$21="OutputM",'Monthly Base'!D21*Assumptions!$D$23/1000000,0))))))))),0)</f>
        <v>1</v>
      </c>
      <c r="F2241" s="10" t="n">
        <f aca="false">Nonlabor!$J$21*(1+Assumptions!$D$9)^INT((C2241-1)/12)</f>
        <v>103</v>
      </c>
      <c r="G2241" s="10" t="n">
        <f aca="false">E2241*F2241</f>
        <v>103</v>
      </c>
      <c r="H2241" s="10" t="n">
        <f aca="false">IF(OR(Nonlabor!$L$21="Quote required",Nonlabor!$L$21="Unverified"),G2241,0)</f>
        <v>0</v>
      </c>
      <c r="I2241" s="10" t="n">
        <f aca="false">IF(Nonlabor!$E$21="Core",0,G2241)</f>
        <v>0</v>
      </c>
      <c r="J2241" s="23" t="str">
        <f aca="false">Nonlabor!$B$21</f>
        <v>SUPPORT</v>
      </c>
    </row>
    <row r="2242" customFormat="false" ht="15" hidden="false" customHeight="false" outlineLevel="0" collapsed="false">
      <c r="A2242" s="6" t="s">
        <v>4</v>
      </c>
      <c r="B2242" s="6" t="s">
        <v>53</v>
      </c>
      <c r="C2242" s="6" t="n">
        <v>17</v>
      </c>
      <c r="D2242" s="25" t="n">
        <f aca="false">EDATE('Start Here'!$B$6,C2242-1)</f>
        <v>46813</v>
      </c>
      <c r="E2242" s="23" t="n">
        <f aca="false">IF(AND(OR(Nonlabor!$D$21="Both",Nonlabor!$D$21='Start Here'!$B$9),IF(Nonlabor!$E$21="Core",1,IF(Nonlabor!$E$21="AI",'Start Here'!$B$7,'Start Here'!$B$8))=1,C2242&gt;=IF(Nonlabor!$E$21="Core",Nonlabor!$F$21,MAX(Nonlabor!$F$21,IF(Nonlabor!$E$21="AI",Assumptions!$D$24,Assumptions!$D$25))),C2242&lt;=Nonlabor!$G$21,OR(Nonlabor!$H$21="Monthly",AND(Nonlabor!$H$21="Once",C2242=IF(Nonlabor!$E$21="Core",Nonlabor!$F$21,MAX(Nonlabor!$F$21,IF(Nonlabor!$E$21="AI",Assumptions!$D$24,Assumptions!$D$25)))),AND(Nonlabor!$H$21="Annual",MOD(C2242-IF(Nonlabor!$E$21="Core",Nonlabor!$F$21,MAX(Nonlabor!$F$21,IF(Nonlabor!$E$21="AI",Assumptions!$D$24,Assumptions!$D$25))),12)=0))),IF(Nonlabor!$I$21="Fixed",1,IF(Nonlabor!$I$21="Seats",ROUNDUP('Monthly Base'!I22,0),IF(Nonlabor!$I$21="Customers",'Monthly Base'!D22,IF(Nonlabor!$I$21="NewCustomers",'Monthly Base'!C22,IF(Nonlabor!$I$21="StorageGB",'Monthly Base'!G22,IF(Nonlabor!$I$21="LogGB",'Monthly Base'!H22,IF(Nonlabor!$I$21="RequestsM",'Monthly Base'!F22,IF(Nonlabor!$I$21="InputM",'Monthly Base'!D22*Assumptions!$D$22/1000000,IF(Nonlabor!$I$21="OutputM",'Monthly Base'!D22*Assumptions!$D$23/1000000,0))))))))),0)</f>
        <v>1</v>
      </c>
      <c r="F2242" s="10" t="n">
        <f aca="false">Nonlabor!$J$21*(1+Assumptions!$D$9)^INT((C2242-1)/12)</f>
        <v>103</v>
      </c>
      <c r="G2242" s="10" t="n">
        <f aca="false">E2242*F2242</f>
        <v>103</v>
      </c>
      <c r="H2242" s="10" t="n">
        <f aca="false">IF(OR(Nonlabor!$L$21="Quote required",Nonlabor!$L$21="Unverified"),G2242,0)</f>
        <v>0</v>
      </c>
      <c r="I2242" s="10" t="n">
        <f aca="false">IF(Nonlabor!$E$21="Core",0,G2242)</f>
        <v>0</v>
      </c>
      <c r="J2242" s="23" t="str">
        <f aca="false">Nonlabor!$B$21</f>
        <v>SUPPORT</v>
      </c>
    </row>
    <row r="2243" customFormat="false" ht="15" hidden="false" customHeight="false" outlineLevel="0" collapsed="false">
      <c r="A2243" s="6" t="s">
        <v>4</v>
      </c>
      <c r="B2243" s="6" t="s">
        <v>53</v>
      </c>
      <c r="C2243" s="6" t="n">
        <v>18</v>
      </c>
      <c r="D2243" s="25" t="n">
        <f aca="false">EDATE('Start Here'!$B$6,C2243-1)</f>
        <v>46844</v>
      </c>
      <c r="E2243" s="23" t="n">
        <f aca="false">IF(AND(OR(Nonlabor!$D$21="Both",Nonlabor!$D$21='Start Here'!$B$9),IF(Nonlabor!$E$21="Core",1,IF(Nonlabor!$E$21="AI",'Start Here'!$B$7,'Start Here'!$B$8))=1,C2243&gt;=IF(Nonlabor!$E$21="Core",Nonlabor!$F$21,MAX(Nonlabor!$F$21,IF(Nonlabor!$E$21="AI",Assumptions!$D$24,Assumptions!$D$25))),C2243&lt;=Nonlabor!$G$21,OR(Nonlabor!$H$21="Monthly",AND(Nonlabor!$H$21="Once",C2243=IF(Nonlabor!$E$21="Core",Nonlabor!$F$21,MAX(Nonlabor!$F$21,IF(Nonlabor!$E$21="AI",Assumptions!$D$24,Assumptions!$D$25)))),AND(Nonlabor!$H$21="Annual",MOD(C2243-IF(Nonlabor!$E$21="Core",Nonlabor!$F$21,MAX(Nonlabor!$F$21,IF(Nonlabor!$E$21="AI",Assumptions!$D$24,Assumptions!$D$25))),12)=0))),IF(Nonlabor!$I$21="Fixed",1,IF(Nonlabor!$I$21="Seats",ROUNDUP('Monthly Base'!I23,0),IF(Nonlabor!$I$21="Customers",'Monthly Base'!D23,IF(Nonlabor!$I$21="NewCustomers",'Monthly Base'!C23,IF(Nonlabor!$I$21="StorageGB",'Monthly Base'!G23,IF(Nonlabor!$I$21="LogGB",'Monthly Base'!H23,IF(Nonlabor!$I$21="RequestsM",'Monthly Base'!F23,IF(Nonlabor!$I$21="InputM",'Monthly Base'!D23*Assumptions!$D$22/1000000,IF(Nonlabor!$I$21="OutputM",'Monthly Base'!D23*Assumptions!$D$23/1000000,0))))))))),0)</f>
        <v>1</v>
      </c>
      <c r="F2243" s="10" t="n">
        <f aca="false">Nonlabor!$J$21*(1+Assumptions!$D$9)^INT((C2243-1)/12)</f>
        <v>103</v>
      </c>
      <c r="G2243" s="10" t="n">
        <f aca="false">E2243*F2243</f>
        <v>103</v>
      </c>
      <c r="H2243" s="10" t="n">
        <f aca="false">IF(OR(Nonlabor!$L$21="Quote required",Nonlabor!$L$21="Unverified"),G2243,0)</f>
        <v>0</v>
      </c>
      <c r="I2243" s="10" t="n">
        <f aca="false">IF(Nonlabor!$E$21="Core",0,G2243)</f>
        <v>0</v>
      </c>
      <c r="J2243" s="23" t="str">
        <f aca="false">Nonlabor!$B$21</f>
        <v>SUPPORT</v>
      </c>
    </row>
    <row r="2244" customFormat="false" ht="15" hidden="false" customHeight="false" outlineLevel="0" collapsed="false">
      <c r="A2244" s="6" t="s">
        <v>4</v>
      </c>
      <c r="B2244" s="6" t="s">
        <v>53</v>
      </c>
      <c r="C2244" s="6" t="n">
        <v>19</v>
      </c>
      <c r="D2244" s="25" t="n">
        <f aca="false">EDATE('Start Here'!$B$6,C2244-1)</f>
        <v>46874</v>
      </c>
      <c r="E2244" s="23" t="n">
        <f aca="false">IF(AND(OR(Nonlabor!$D$21="Both",Nonlabor!$D$21='Start Here'!$B$9),IF(Nonlabor!$E$21="Core",1,IF(Nonlabor!$E$21="AI",'Start Here'!$B$7,'Start Here'!$B$8))=1,C2244&gt;=IF(Nonlabor!$E$21="Core",Nonlabor!$F$21,MAX(Nonlabor!$F$21,IF(Nonlabor!$E$21="AI",Assumptions!$D$24,Assumptions!$D$25))),C2244&lt;=Nonlabor!$G$21,OR(Nonlabor!$H$21="Monthly",AND(Nonlabor!$H$21="Once",C2244=IF(Nonlabor!$E$21="Core",Nonlabor!$F$21,MAX(Nonlabor!$F$21,IF(Nonlabor!$E$21="AI",Assumptions!$D$24,Assumptions!$D$25)))),AND(Nonlabor!$H$21="Annual",MOD(C2244-IF(Nonlabor!$E$21="Core",Nonlabor!$F$21,MAX(Nonlabor!$F$21,IF(Nonlabor!$E$21="AI",Assumptions!$D$24,Assumptions!$D$25))),12)=0))),IF(Nonlabor!$I$21="Fixed",1,IF(Nonlabor!$I$21="Seats",ROUNDUP('Monthly Base'!I24,0),IF(Nonlabor!$I$21="Customers",'Monthly Base'!D24,IF(Nonlabor!$I$21="NewCustomers",'Monthly Base'!C24,IF(Nonlabor!$I$21="StorageGB",'Monthly Base'!G24,IF(Nonlabor!$I$21="LogGB",'Monthly Base'!H24,IF(Nonlabor!$I$21="RequestsM",'Monthly Base'!F24,IF(Nonlabor!$I$21="InputM",'Monthly Base'!D24*Assumptions!$D$22/1000000,IF(Nonlabor!$I$21="OutputM",'Monthly Base'!D24*Assumptions!$D$23/1000000,0))))))))),0)</f>
        <v>1</v>
      </c>
      <c r="F2244" s="10" t="n">
        <f aca="false">Nonlabor!$J$21*(1+Assumptions!$D$9)^INT((C2244-1)/12)</f>
        <v>103</v>
      </c>
      <c r="G2244" s="10" t="n">
        <f aca="false">E2244*F2244</f>
        <v>103</v>
      </c>
      <c r="H2244" s="10" t="n">
        <f aca="false">IF(OR(Nonlabor!$L$21="Quote required",Nonlabor!$L$21="Unverified"),G2244,0)</f>
        <v>0</v>
      </c>
      <c r="I2244" s="10" t="n">
        <f aca="false">IF(Nonlabor!$E$21="Core",0,G2244)</f>
        <v>0</v>
      </c>
      <c r="J2244" s="23" t="str">
        <f aca="false">Nonlabor!$B$21</f>
        <v>SUPPORT</v>
      </c>
    </row>
    <row r="2245" customFormat="false" ht="15" hidden="false" customHeight="false" outlineLevel="0" collapsed="false">
      <c r="A2245" s="6" t="s">
        <v>4</v>
      </c>
      <c r="B2245" s="6" t="s">
        <v>53</v>
      </c>
      <c r="C2245" s="6" t="n">
        <v>20</v>
      </c>
      <c r="D2245" s="25" t="n">
        <f aca="false">EDATE('Start Here'!$B$6,C2245-1)</f>
        <v>46905</v>
      </c>
      <c r="E2245" s="23" t="n">
        <f aca="false">IF(AND(OR(Nonlabor!$D$21="Both",Nonlabor!$D$21='Start Here'!$B$9),IF(Nonlabor!$E$21="Core",1,IF(Nonlabor!$E$21="AI",'Start Here'!$B$7,'Start Here'!$B$8))=1,C2245&gt;=IF(Nonlabor!$E$21="Core",Nonlabor!$F$21,MAX(Nonlabor!$F$21,IF(Nonlabor!$E$21="AI",Assumptions!$D$24,Assumptions!$D$25))),C2245&lt;=Nonlabor!$G$21,OR(Nonlabor!$H$21="Monthly",AND(Nonlabor!$H$21="Once",C2245=IF(Nonlabor!$E$21="Core",Nonlabor!$F$21,MAX(Nonlabor!$F$21,IF(Nonlabor!$E$21="AI",Assumptions!$D$24,Assumptions!$D$25)))),AND(Nonlabor!$H$21="Annual",MOD(C2245-IF(Nonlabor!$E$21="Core",Nonlabor!$F$21,MAX(Nonlabor!$F$21,IF(Nonlabor!$E$21="AI",Assumptions!$D$24,Assumptions!$D$25))),12)=0))),IF(Nonlabor!$I$21="Fixed",1,IF(Nonlabor!$I$21="Seats",ROUNDUP('Monthly Base'!I25,0),IF(Nonlabor!$I$21="Customers",'Monthly Base'!D25,IF(Nonlabor!$I$21="NewCustomers",'Monthly Base'!C25,IF(Nonlabor!$I$21="StorageGB",'Monthly Base'!G25,IF(Nonlabor!$I$21="LogGB",'Monthly Base'!H25,IF(Nonlabor!$I$21="RequestsM",'Monthly Base'!F25,IF(Nonlabor!$I$21="InputM",'Monthly Base'!D25*Assumptions!$D$22/1000000,IF(Nonlabor!$I$21="OutputM",'Monthly Base'!D25*Assumptions!$D$23/1000000,0))))))))),0)</f>
        <v>1</v>
      </c>
      <c r="F2245" s="10" t="n">
        <f aca="false">Nonlabor!$J$21*(1+Assumptions!$D$9)^INT((C2245-1)/12)</f>
        <v>103</v>
      </c>
      <c r="G2245" s="10" t="n">
        <f aca="false">E2245*F2245</f>
        <v>103</v>
      </c>
      <c r="H2245" s="10" t="n">
        <f aca="false">IF(OR(Nonlabor!$L$21="Quote required",Nonlabor!$L$21="Unverified"),G2245,0)</f>
        <v>0</v>
      </c>
      <c r="I2245" s="10" t="n">
        <f aca="false">IF(Nonlabor!$E$21="Core",0,G2245)</f>
        <v>0</v>
      </c>
      <c r="J2245" s="23" t="str">
        <f aca="false">Nonlabor!$B$21</f>
        <v>SUPPORT</v>
      </c>
    </row>
    <row r="2246" customFormat="false" ht="15" hidden="false" customHeight="false" outlineLevel="0" collapsed="false">
      <c r="A2246" s="6" t="s">
        <v>4</v>
      </c>
      <c r="B2246" s="6" t="s">
        <v>53</v>
      </c>
      <c r="C2246" s="6" t="n">
        <v>21</v>
      </c>
      <c r="D2246" s="25" t="n">
        <f aca="false">EDATE('Start Here'!$B$6,C2246-1)</f>
        <v>46935</v>
      </c>
      <c r="E2246" s="23" t="n">
        <f aca="false">IF(AND(OR(Nonlabor!$D$21="Both",Nonlabor!$D$21='Start Here'!$B$9),IF(Nonlabor!$E$21="Core",1,IF(Nonlabor!$E$21="AI",'Start Here'!$B$7,'Start Here'!$B$8))=1,C2246&gt;=IF(Nonlabor!$E$21="Core",Nonlabor!$F$21,MAX(Nonlabor!$F$21,IF(Nonlabor!$E$21="AI",Assumptions!$D$24,Assumptions!$D$25))),C2246&lt;=Nonlabor!$G$21,OR(Nonlabor!$H$21="Monthly",AND(Nonlabor!$H$21="Once",C2246=IF(Nonlabor!$E$21="Core",Nonlabor!$F$21,MAX(Nonlabor!$F$21,IF(Nonlabor!$E$21="AI",Assumptions!$D$24,Assumptions!$D$25)))),AND(Nonlabor!$H$21="Annual",MOD(C2246-IF(Nonlabor!$E$21="Core",Nonlabor!$F$21,MAX(Nonlabor!$F$21,IF(Nonlabor!$E$21="AI",Assumptions!$D$24,Assumptions!$D$25))),12)=0))),IF(Nonlabor!$I$21="Fixed",1,IF(Nonlabor!$I$21="Seats",ROUNDUP('Monthly Base'!I26,0),IF(Nonlabor!$I$21="Customers",'Monthly Base'!D26,IF(Nonlabor!$I$21="NewCustomers",'Monthly Base'!C26,IF(Nonlabor!$I$21="StorageGB",'Monthly Base'!G26,IF(Nonlabor!$I$21="LogGB",'Monthly Base'!H26,IF(Nonlabor!$I$21="RequestsM",'Monthly Base'!F26,IF(Nonlabor!$I$21="InputM",'Monthly Base'!D26*Assumptions!$D$22/1000000,IF(Nonlabor!$I$21="OutputM",'Monthly Base'!D26*Assumptions!$D$23/1000000,0))))))))),0)</f>
        <v>1</v>
      </c>
      <c r="F2246" s="10" t="n">
        <f aca="false">Nonlabor!$J$21*(1+Assumptions!$D$9)^INT((C2246-1)/12)</f>
        <v>103</v>
      </c>
      <c r="G2246" s="10" t="n">
        <f aca="false">E2246*F2246</f>
        <v>103</v>
      </c>
      <c r="H2246" s="10" t="n">
        <f aca="false">IF(OR(Nonlabor!$L$21="Quote required",Nonlabor!$L$21="Unverified"),G2246,0)</f>
        <v>0</v>
      </c>
      <c r="I2246" s="10" t="n">
        <f aca="false">IF(Nonlabor!$E$21="Core",0,G2246)</f>
        <v>0</v>
      </c>
      <c r="J2246" s="23" t="str">
        <f aca="false">Nonlabor!$B$21</f>
        <v>SUPPORT</v>
      </c>
    </row>
    <row r="2247" customFormat="false" ht="15" hidden="false" customHeight="false" outlineLevel="0" collapsed="false">
      <c r="A2247" s="6" t="s">
        <v>4</v>
      </c>
      <c r="B2247" s="6" t="s">
        <v>53</v>
      </c>
      <c r="C2247" s="6" t="n">
        <v>22</v>
      </c>
      <c r="D2247" s="25" t="n">
        <f aca="false">EDATE('Start Here'!$B$6,C2247-1)</f>
        <v>46966</v>
      </c>
      <c r="E2247" s="23" t="n">
        <f aca="false">IF(AND(OR(Nonlabor!$D$21="Both",Nonlabor!$D$21='Start Here'!$B$9),IF(Nonlabor!$E$21="Core",1,IF(Nonlabor!$E$21="AI",'Start Here'!$B$7,'Start Here'!$B$8))=1,C2247&gt;=IF(Nonlabor!$E$21="Core",Nonlabor!$F$21,MAX(Nonlabor!$F$21,IF(Nonlabor!$E$21="AI",Assumptions!$D$24,Assumptions!$D$25))),C2247&lt;=Nonlabor!$G$21,OR(Nonlabor!$H$21="Monthly",AND(Nonlabor!$H$21="Once",C2247=IF(Nonlabor!$E$21="Core",Nonlabor!$F$21,MAX(Nonlabor!$F$21,IF(Nonlabor!$E$21="AI",Assumptions!$D$24,Assumptions!$D$25)))),AND(Nonlabor!$H$21="Annual",MOD(C2247-IF(Nonlabor!$E$21="Core",Nonlabor!$F$21,MAX(Nonlabor!$F$21,IF(Nonlabor!$E$21="AI",Assumptions!$D$24,Assumptions!$D$25))),12)=0))),IF(Nonlabor!$I$21="Fixed",1,IF(Nonlabor!$I$21="Seats",ROUNDUP('Monthly Base'!I27,0),IF(Nonlabor!$I$21="Customers",'Monthly Base'!D27,IF(Nonlabor!$I$21="NewCustomers",'Monthly Base'!C27,IF(Nonlabor!$I$21="StorageGB",'Monthly Base'!G27,IF(Nonlabor!$I$21="LogGB",'Monthly Base'!H27,IF(Nonlabor!$I$21="RequestsM",'Monthly Base'!F27,IF(Nonlabor!$I$21="InputM",'Monthly Base'!D27*Assumptions!$D$22/1000000,IF(Nonlabor!$I$21="OutputM",'Monthly Base'!D27*Assumptions!$D$23/1000000,0))))))))),0)</f>
        <v>1</v>
      </c>
      <c r="F2247" s="10" t="n">
        <f aca="false">Nonlabor!$J$21*(1+Assumptions!$D$9)^INT((C2247-1)/12)</f>
        <v>103</v>
      </c>
      <c r="G2247" s="10" t="n">
        <f aca="false">E2247*F2247</f>
        <v>103</v>
      </c>
      <c r="H2247" s="10" t="n">
        <f aca="false">IF(OR(Nonlabor!$L$21="Quote required",Nonlabor!$L$21="Unverified"),G2247,0)</f>
        <v>0</v>
      </c>
      <c r="I2247" s="10" t="n">
        <f aca="false">IF(Nonlabor!$E$21="Core",0,G2247)</f>
        <v>0</v>
      </c>
      <c r="J2247" s="23" t="str">
        <f aca="false">Nonlabor!$B$21</f>
        <v>SUPPORT</v>
      </c>
    </row>
    <row r="2248" customFormat="false" ht="15" hidden="false" customHeight="false" outlineLevel="0" collapsed="false">
      <c r="A2248" s="6" t="s">
        <v>4</v>
      </c>
      <c r="B2248" s="6" t="s">
        <v>53</v>
      </c>
      <c r="C2248" s="6" t="n">
        <v>23</v>
      </c>
      <c r="D2248" s="25" t="n">
        <f aca="false">EDATE('Start Here'!$B$6,C2248-1)</f>
        <v>46997</v>
      </c>
      <c r="E2248" s="23" t="n">
        <f aca="false">IF(AND(OR(Nonlabor!$D$21="Both",Nonlabor!$D$21='Start Here'!$B$9),IF(Nonlabor!$E$21="Core",1,IF(Nonlabor!$E$21="AI",'Start Here'!$B$7,'Start Here'!$B$8))=1,C2248&gt;=IF(Nonlabor!$E$21="Core",Nonlabor!$F$21,MAX(Nonlabor!$F$21,IF(Nonlabor!$E$21="AI",Assumptions!$D$24,Assumptions!$D$25))),C2248&lt;=Nonlabor!$G$21,OR(Nonlabor!$H$21="Monthly",AND(Nonlabor!$H$21="Once",C2248=IF(Nonlabor!$E$21="Core",Nonlabor!$F$21,MAX(Nonlabor!$F$21,IF(Nonlabor!$E$21="AI",Assumptions!$D$24,Assumptions!$D$25)))),AND(Nonlabor!$H$21="Annual",MOD(C2248-IF(Nonlabor!$E$21="Core",Nonlabor!$F$21,MAX(Nonlabor!$F$21,IF(Nonlabor!$E$21="AI",Assumptions!$D$24,Assumptions!$D$25))),12)=0))),IF(Nonlabor!$I$21="Fixed",1,IF(Nonlabor!$I$21="Seats",ROUNDUP('Monthly Base'!I28,0),IF(Nonlabor!$I$21="Customers",'Monthly Base'!D28,IF(Nonlabor!$I$21="NewCustomers",'Monthly Base'!C28,IF(Nonlabor!$I$21="StorageGB",'Monthly Base'!G28,IF(Nonlabor!$I$21="LogGB",'Monthly Base'!H28,IF(Nonlabor!$I$21="RequestsM",'Monthly Base'!F28,IF(Nonlabor!$I$21="InputM",'Monthly Base'!D28*Assumptions!$D$22/1000000,IF(Nonlabor!$I$21="OutputM",'Monthly Base'!D28*Assumptions!$D$23/1000000,0))))))))),0)</f>
        <v>1</v>
      </c>
      <c r="F2248" s="10" t="n">
        <f aca="false">Nonlabor!$J$21*(1+Assumptions!$D$9)^INT((C2248-1)/12)</f>
        <v>103</v>
      </c>
      <c r="G2248" s="10" t="n">
        <f aca="false">E2248*F2248</f>
        <v>103</v>
      </c>
      <c r="H2248" s="10" t="n">
        <f aca="false">IF(OR(Nonlabor!$L$21="Quote required",Nonlabor!$L$21="Unverified"),G2248,0)</f>
        <v>0</v>
      </c>
      <c r="I2248" s="10" t="n">
        <f aca="false">IF(Nonlabor!$E$21="Core",0,G2248)</f>
        <v>0</v>
      </c>
      <c r="J2248" s="23" t="str">
        <f aca="false">Nonlabor!$B$21</f>
        <v>SUPPORT</v>
      </c>
    </row>
    <row r="2249" customFormat="false" ht="15" hidden="false" customHeight="false" outlineLevel="0" collapsed="false">
      <c r="A2249" s="6" t="s">
        <v>4</v>
      </c>
      <c r="B2249" s="6" t="s">
        <v>53</v>
      </c>
      <c r="C2249" s="6" t="n">
        <v>24</v>
      </c>
      <c r="D2249" s="25" t="n">
        <f aca="false">EDATE('Start Here'!$B$6,C2249-1)</f>
        <v>47027</v>
      </c>
      <c r="E2249" s="23" t="n">
        <f aca="false">IF(AND(OR(Nonlabor!$D$21="Both",Nonlabor!$D$21='Start Here'!$B$9),IF(Nonlabor!$E$21="Core",1,IF(Nonlabor!$E$21="AI",'Start Here'!$B$7,'Start Here'!$B$8))=1,C2249&gt;=IF(Nonlabor!$E$21="Core",Nonlabor!$F$21,MAX(Nonlabor!$F$21,IF(Nonlabor!$E$21="AI",Assumptions!$D$24,Assumptions!$D$25))),C2249&lt;=Nonlabor!$G$21,OR(Nonlabor!$H$21="Monthly",AND(Nonlabor!$H$21="Once",C2249=IF(Nonlabor!$E$21="Core",Nonlabor!$F$21,MAX(Nonlabor!$F$21,IF(Nonlabor!$E$21="AI",Assumptions!$D$24,Assumptions!$D$25)))),AND(Nonlabor!$H$21="Annual",MOD(C2249-IF(Nonlabor!$E$21="Core",Nonlabor!$F$21,MAX(Nonlabor!$F$21,IF(Nonlabor!$E$21="AI",Assumptions!$D$24,Assumptions!$D$25))),12)=0))),IF(Nonlabor!$I$21="Fixed",1,IF(Nonlabor!$I$21="Seats",ROUNDUP('Monthly Base'!I29,0),IF(Nonlabor!$I$21="Customers",'Monthly Base'!D29,IF(Nonlabor!$I$21="NewCustomers",'Monthly Base'!C29,IF(Nonlabor!$I$21="StorageGB",'Monthly Base'!G29,IF(Nonlabor!$I$21="LogGB",'Monthly Base'!H29,IF(Nonlabor!$I$21="RequestsM",'Monthly Base'!F29,IF(Nonlabor!$I$21="InputM",'Monthly Base'!D29*Assumptions!$D$22/1000000,IF(Nonlabor!$I$21="OutputM",'Monthly Base'!D29*Assumptions!$D$23/1000000,0))))))))),0)</f>
        <v>1</v>
      </c>
      <c r="F2249" s="10" t="n">
        <f aca="false">Nonlabor!$J$21*(1+Assumptions!$D$9)^INT((C2249-1)/12)</f>
        <v>103</v>
      </c>
      <c r="G2249" s="10" t="n">
        <f aca="false">E2249*F2249</f>
        <v>103</v>
      </c>
      <c r="H2249" s="10" t="n">
        <f aca="false">IF(OR(Nonlabor!$L$21="Quote required",Nonlabor!$L$21="Unverified"),G2249,0)</f>
        <v>0</v>
      </c>
      <c r="I2249" s="10" t="n">
        <f aca="false">IF(Nonlabor!$E$21="Core",0,G2249)</f>
        <v>0</v>
      </c>
      <c r="J2249" s="23" t="str">
        <f aca="false">Nonlabor!$B$21</f>
        <v>SUPPORT</v>
      </c>
    </row>
    <row r="2250" customFormat="false" ht="15" hidden="false" customHeight="false" outlineLevel="0" collapsed="false">
      <c r="A2250" s="6" t="s">
        <v>4</v>
      </c>
      <c r="B2250" s="6" t="s">
        <v>53</v>
      </c>
      <c r="C2250" s="6" t="n">
        <v>25</v>
      </c>
      <c r="D2250" s="25" t="n">
        <f aca="false">EDATE('Start Here'!$B$6,C2250-1)</f>
        <v>47058</v>
      </c>
      <c r="E2250" s="23" t="n">
        <f aca="false">IF(AND(OR(Nonlabor!$D$21="Both",Nonlabor!$D$21='Start Here'!$B$9),IF(Nonlabor!$E$21="Core",1,IF(Nonlabor!$E$21="AI",'Start Here'!$B$7,'Start Here'!$B$8))=1,C2250&gt;=IF(Nonlabor!$E$21="Core",Nonlabor!$F$21,MAX(Nonlabor!$F$21,IF(Nonlabor!$E$21="AI",Assumptions!$D$24,Assumptions!$D$25))),C2250&lt;=Nonlabor!$G$21,OR(Nonlabor!$H$21="Monthly",AND(Nonlabor!$H$21="Once",C2250=IF(Nonlabor!$E$21="Core",Nonlabor!$F$21,MAX(Nonlabor!$F$21,IF(Nonlabor!$E$21="AI",Assumptions!$D$24,Assumptions!$D$25)))),AND(Nonlabor!$H$21="Annual",MOD(C2250-IF(Nonlabor!$E$21="Core",Nonlabor!$F$21,MAX(Nonlabor!$F$21,IF(Nonlabor!$E$21="AI",Assumptions!$D$24,Assumptions!$D$25))),12)=0))),IF(Nonlabor!$I$21="Fixed",1,IF(Nonlabor!$I$21="Seats",ROUNDUP('Monthly Base'!I30,0),IF(Nonlabor!$I$21="Customers",'Monthly Base'!D30,IF(Nonlabor!$I$21="NewCustomers",'Monthly Base'!C30,IF(Nonlabor!$I$21="StorageGB",'Monthly Base'!G30,IF(Nonlabor!$I$21="LogGB",'Monthly Base'!H30,IF(Nonlabor!$I$21="RequestsM",'Monthly Base'!F30,IF(Nonlabor!$I$21="InputM",'Monthly Base'!D30*Assumptions!$D$22/1000000,IF(Nonlabor!$I$21="OutputM",'Monthly Base'!D30*Assumptions!$D$23/1000000,0))))))))),0)</f>
        <v>1</v>
      </c>
      <c r="F2250" s="10" t="n">
        <f aca="false">Nonlabor!$J$21*(1+Assumptions!$D$9)^INT((C2250-1)/12)</f>
        <v>106.09</v>
      </c>
      <c r="G2250" s="10" t="n">
        <f aca="false">E2250*F2250</f>
        <v>106.09</v>
      </c>
      <c r="H2250" s="10" t="n">
        <f aca="false">IF(OR(Nonlabor!$L$21="Quote required",Nonlabor!$L$21="Unverified"),G2250,0)</f>
        <v>0</v>
      </c>
      <c r="I2250" s="10" t="n">
        <f aca="false">IF(Nonlabor!$E$21="Core",0,G2250)</f>
        <v>0</v>
      </c>
      <c r="J2250" s="23" t="str">
        <f aca="false">Nonlabor!$B$21</f>
        <v>SUPPORT</v>
      </c>
    </row>
    <row r="2251" customFormat="false" ht="15" hidden="false" customHeight="false" outlineLevel="0" collapsed="false">
      <c r="A2251" s="6" t="s">
        <v>4</v>
      </c>
      <c r="B2251" s="6" t="s">
        <v>53</v>
      </c>
      <c r="C2251" s="6" t="n">
        <v>26</v>
      </c>
      <c r="D2251" s="25" t="n">
        <f aca="false">EDATE('Start Here'!$B$6,C2251-1)</f>
        <v>47088</v>
      </c>
      <c r="E2251" s="23" t="n">
        <f aca="false">IF(AND(OR(Nonlabor!$D$21="Both",Nonlabor!$D$21='Start Here'!$B$9),IF(Nonlabor!$E$21="Core",1,IF(Nonlabor!$E$21="AI",'Start Here'!$B$7,'Start Here'!$B$8))=1,C2251&gt;=IF(Nonlabor!$E$21="Core",Nonlabor!$F$21,MAX(Nonlabor!$F$21,IF(Nonlabor!$E$21="AI",Assumptions!$D$24,Assumptions!$D$25))),C2251&lt;=Nonlabor!$G$21,OR(Nonlabor!$H$21="Monthly",AND(Nonlabor!$H$21="Once",C2251=IF(Nonlabor!$E$21="Core",Nonlabor!$F$21,MAX(Nonlabor!$F$21,IF(Nonlabor!$E$21="AI",Assumptions!$D$24,Assumptions!$D$25)))),AND(Nonlabor!$H$21="Annual",MOD(C2251-IF(Nonlabor!$E$21="Core",Nonlabor!$F$21,MAX(Nonlabor!$F$21,IF(Nonlabor!$E$21="AI",Assumptions!$D$24,Assumptions!$D$25))),12)=0))),IF(Nonlabor!$I$21="Fixed",1,IF(Nonlabor!$I$21="Seats",ROUNDUP('Monthly Base'!I31,0),IF(Nonlabor!$I$21="Customers",'Monthly Base'!D31,IF(Nonlabor!$I$21="NewCustomers",'Monthly Base'!C31,IF(Nonlabor!$I$21="StorageGB",'Monthly Base'!G31,IF(Nonlabor!$I$21="LogGB",'Monthly Base'!H31,IF(Nonlabor!$I$21="RequestsM",'Monthly Base'!F31,IF(Nonlabor!$I$21="InputM",'Monthly Base'!D31*Assumptions!$D$22/1000000,IF(Nonlabor!$I$21="OutputM",'Monthly Base'!D31*Assumptions!$D$23/1000000,0))))))))),0)</f>
        <v>1</v>
      </c>
      <c r="F2251" s="10" t="n">
        <f aca="false">Nonlabor!$J$21*(1+Assumptions!$D$9)^INT((C2251-1)/12)</f>
        <v>106.09</v>
      </c>
      <c r="G2251" s="10" t="n">
        <f aca="false">E2251*F2251</f>
        <v>106.09</v>
      </c>
      <c r="H2251" s="10" t="n">
        <f aca="false">IF(OR(Nonlabor!$L$21="Quote required",Nonlabor!$L$21="Unverified"),G2251,0)</f>
        <v>0</v>
      </c>
      <c r="I2251" s="10" t="n">
        <f aca="false">IF(Nonlabor!$E$21="Core",0,G2251)</f>
        <v>0</v>
      </c>
      <c r="J2251" s="23" t="str">
        <f aca="false">Nonlabor!$B$21</f>
        <v>SUPPORT</v>
      </c>
    </row>
    <row r="2252" customFormat="false" ht="15" hidden="false" customHeight="false" outlineLevel="0" collapsed="false">
      <c r="A2252" s="6" t="s">
        <v>4</v>
      </c>
      <c r="B2252" s="6" t="s">
        <v>53</v>
      </c>
      <c r="C2252" s="6" t="n">
        <v>27</v>
      </c>
      <c r="D2252" s="25" t="n">
        <f aca="false">EDATE('Start Here'!$B$6,C2252-1)</f>
        <v>47119</v>
      </c>
      <c r="E2252" s="23" t="n">
        <f aca="false">IF(AND(OR(Nonlabor!$D$21="Both",Nonlabor!$D$21='Start Here'!$B$9),IF(Nonlabor!$E$21="Core",1,IF(Nonlabor!$E$21="AI",'Start Here'!$B$7,'Start Here'!$B$8))=1,C2252&gt;=IF(Nonlabor!$E$21="Core",Nonlabor!$F$21,MAX(Nonlabor!$F$21,IF(Nonlabor!$E$21="AI",Assumptions!$D$24,Assumptions!$D$25))),C2252&lt;=Nonlabor!$G$21,OR(Nonlabor!$H$21="Monthly",AND(Nonlabor!$H$21="Once",C2252=IF(Nonlabor!$E$21="Core",Nonlabor!$F$21,MAX(Nonlabor!$F$21,IF(Nonlabor!$E$21="AI",Assumptions!$D$24,Assumptions!$D$25)))),AND(Nonlabor!$H$21="Annual",MOD(C2252-IF(Nonlabor!$E$21="Core",Nonlabor!$F$21,MAX(Nonlabor!$F$21,IF(Nonlabor!$E$21="AI",Assumptions!$D$24,Assumptions!$D$25))),12)=0))),IF(Nonlabor!$I$21="Fixed",1,IF(Nonlabor!$I$21="Seats",ROUNDUP('Monthly Base'!I32,0),IF(Nonlabor!$I$21="Customers",'Monthly Base'!D32,IF(Nonlabor!$I$21="NewCustomers",'Monthly Base'!C32,IF(Nonlabor!$I$21="StorageGB",'Monthly Base'!G32,IF(Nonlabor!$I$21="LogGB",'Monthly Base'!H32,IF(Nonlabor!$I$21="RequestsM",'Monthly Base'!F32,IF(Nonlabor!$I$21="InputM",'Monthly Base'!D32*Assumptions!$D$22/1000000,IF(Nonlabor!$I$21="OutputM",'Monthly Base'!D32*Assumptions!$D$23/1000000,0))))))))),0)</f>
        <v>1</v>
      </c>
      <c r="F2252" s="10" t="n">
        <f aca="false">Nonlabor!$J$21*(1+Assumptions!$D$9)^INT((C2252-1)/12)</f>
        <v>106.09</v>
      </c>
      <c r="G2252" s="10" t="n">
        <f aca="false">E2252*F2252</f>
        <v>106.09</v>
      </c>
      <c r="H2252" s="10" t="n">
        <f aca="false">IF(OR(Nonlabor!$L$21="Quote required",Nonlabor!$L$21="Unverified"),G2252,0)</f>
        <v>0</v>
      </c>
      <c r="I2252" s="10" t="n">
        <f aca="false">IF(Nonlabor!$E$21="Core",0,G2252)</f>
        <v>0</v>
      </c>
      <c r="J2252" s="23" t="str">
        <f aca="false">Nonlabor!$B$21</f>
        <v>SUPPORT</v>
      </c>
    </row>
    <row r="2253" customFormat="false" ht="15" hidden="false" customHeight="false" outlineLevel="0" collapsed="false">
      <c r="A2253" s="6" t="s">
        <v>4</v>
      </c>
      <c r="B2253" s="6" t="s">
        <v>53</v>
      </c>
      <c r="C2253" s="6" t="n">
        <v>28</v>
      </c>
      <c r="D2253" s="25" t="n">
        <f aca="false">EDATE('Start Here'!$B$6,C2253-1)</f>
        <v>47150</v>
      </c>
      <c r="E2253" s="23" t="n">
        <f aca="false">IF(AND(OR(Nonlabor!$D$21="Both",Nonlabor!$D$21='Start Here'!$B$9),IF(Nonlabor!$E$21="Core",1,IF(Nonlabor!$E$21="AI",'Start Here'!$B$7,'Start Here'!$B$8))=1,C2253&gt;=IF(Nonlabor!$E$21="Core",Nonlabor!$F$21,MAX(Nonlabor!$F$21,IF(Nonlabor!$E$21="AI",Assumptions!$D$24,Assumptions!$D$25))),C2253&lt;=Nonlabor!$G$21,OR(Nonlabor!$H$21="Monthly",AND(Nonlabor!$H$21="Once",C2253=IF(Nonlabor!$E$21="Core",Nonlabor!$F$21,MAX(Nonlabor!$F$21,IF(Nonlabor!$E$21="AI",Assumptions!$D$24,Assumptions!$D$25)))),AND(Nonlabor!$H$21="Annual",MOD(C2253-IF(Nonlabor!$E$21="Core",Nonlabor!$F$21,MAX(Nonlabor!$F$21,IF(Nonlabor!$E$21="AI",Assumptions!$D$24,Assumptions!$D$25))),12)=0))),IF(Nonlabor!$I$21="Fixed",1,IF(Nonlabor!$I$21="Seats",ROUNDUP('Monthly Base'!I33,0),IF(Nonlabor!$I$21="Customers",'Monthly Base'!D33,IF(Nonlabor!$I$21="NewCustomers",'Monthly Base'!C33,IF(Nonlabor!$I$21="StorageGB",'Monthly Base'!G33,IF(Nonlabor!$I$21="LogGB",'Monthly Base'!H33,IF(Nonlabor!$I$21="RequestsM",'Monthly Base'!F33,IF(Nonlabor!$I$21="InputM",'Monthly Base'!D33*Assumptions!$D$22/1000000,IF(Nonlabor!$I$21="OutputM",'Monthly Base'!D33*Assumptions!$D$23/1000000,0))))))))),0)</f>
        <v>1</v>
      </c>
      <c r="F2253" s="10" t="n">
        <f aca="false">Nonlabor!$J$21*(1+Assumptions!$D$9)^INT((C2253-1)/12)</f>
        <v>106.09</v>
      </c>
      <c r="G2253" s="10" t="n">
        <f aca="false">E2253*F2253</f>
        <v>106.09</v>
      </c>
      <c r="H2253" s="10" t="n">
        <f aca="false">IF(OR(Nonlabor!$L$21="Quote required",Nonlabor!$L$21="Unverified"),G2253,0)</f>
        <v>0</v>
      </c>
      <c r="I2253" s="10" t="n">
        <f aca="false">IF(Nonlabor!$E$21="Core",0,G2253)</f>
        <v>0</v>
      </c>
      <c r="J2253" s="23" t="str">
        <f aca="false">Nonlabor!$B$21</f>
        <v>SUPPORT</v>
      </c>
    </row>
    <row r="2254" customFormat="false" ht="15" hidden="false" customHeight="false" outlineLevel="0" collapsed="false">
      <c r="A2254" s="6" t="s">
        <v>4</v>
      </c>
      <c r="B2254" s="6" t="s">
        <v>53</v>
      </c>
      <c r="C2254" s="6" t="n">
        <v>29</v>
      </c>
      <c r="D2254" s="25" t="n">
        <f aca="false">EDATE('Start Here'!$B$6,C2254-1)</f>
        <v>47178</v>
      </c>
      <c r="E2254" s="23" t="n">
        <f aca="false">IF(AND(OR(Nonlabor!$D$21="Both",Nonlabor!$D$21='Start Here'!$B$9),IF(Nonlabor!$E$21="Core",1,IF(Nonlabor!$E$21="AI",'Start Here'!$B$7,'Start Here'!$B$8))=1,C2254&gt;=IF(Nonlabor!$E$21="Core",Nonlabor!$F$21,MAX(Nonlabor!$F$21,IF(Nonlabor!$E$21="AI",Assumptions!$D$24,Assumptions!$D$25))),C2254&lt;=Nonlabor!$G$21,OR(Nonlabor!$H$21="Monthly",AND(Nonlabor!$H$21="Once",C2254=IF(Nonlabor!$E$21="Core",Nonlabor!$F$21,MAX(Nonlabor!$F$21,IF(Nonlabor!$E$21="AI",Assumptions!$D$24,Assumptions!$D$25)))),AND(Nonlabor!$H$21="Annual",MOD(C2254-IF(Nonlabor!$E$21="Core",Nonlabor!$F$21,MAX(Nonlabor!$F$21,IF(Nonlabor!$E$21="AI",Assumptions!$D$24,Assumptions!$D$25))),12)=0))),IF(Nonlabor!$I$21="Fixed",1,IF(Nonlabor!$I$21="Seats",ROUNDUP('Monthly Base'!I34,0),IF(Nonlabor!$I$21="Customers",'Monthly Base'!D34,IF(Nonlabor!$I$21="NewCustomers",'Monthly Base'!C34,IF(Nonlabor!$I$21="StorageGB",'Monthly Base'!G34,IF(Nonlabor!$I$21="LogGB",'Monthly Base'!H34,IF(Nonlabor!$I$21="RequestsM",'Monthly Base'!F34,IF(Nonlabor!$I$21="InputM",'Monthly Base'!D34*Assumptions!$D$22/1000000,IF(Nonlabor!$I$21="OutputM",'Monthly Base'!D34*Assumptions!$D$23/1000000,0))))))))),0)</f>
        <v>1</v>
      </c>
      <c r="F2254" s="10" t="n">
        <f aca="false">Nonlabor!$J$21*(1+Assumptions!$D$9)^INT((C2254-1)/12)</f>
        <v>106.09</v>
      </c>
      <c r="G2254" s="10" t="n">
        <f aca="false">E2254*F2254</f>
        <v>106.09</v>
      </c>
      <c r="H2254" s="10" t="n">
        <f aca="false">IF(OR(Nonlabor!$L$21="Quote required",Nonlabor!$L$21="Unverified"),G2254,0)</f>
        <v>0</v>
      </c>
      <c r="I2254" s="10" t="n">
        <f aca="false">IF(Nonlabor!$E$21="Core",0,G2254)</f>
        <v>0</v>
      </c>
      <c r="J2254" s="23" t="str">
        <f aca="false">Nonlabor!$B$21</f>
        <v>SUPPORT</v>
      </c>
    </row>
    <row r="2255" customFormat="false" ht="15" hidden="false" customHeight="false" outlineLevel="0" collapsed="false">
      <c r="A2255" s="6" t="s">
        <v>4</v>
      </c>
      <c r="B2255" s="6" t="s">
        <v>53</v>
      </c>
      <c r="C2255" s="6" t="n">
        <v>30</v>
      </c>
      <c r="D2255" s="25" t="n">
        <f aca="false">EDATE('Start Here'!$B$6,C2255-1)</f>
        <v>47209</v>
      </c>
      <c r="E2255" s="23" t="n">
        <f aca="false">IF(AND(OR(Nonlabor!$D$21="Both",Nonlabor!$D$21='Start Here'!$B$9),IF(Nonlabor!$E$21="Core",1,IF(Nonlabor!$E$21="AI",'Start Here'!$B$7,'Start Here'!$B$8))=1,C2255&gt;=IF(Nonlabor!$E$21="Core",Nonlabor!$F$21,MAX(Nonlabor!$F$21,IF(Nonlabor!$E$21="AI",Assumptions!$D$24,Assumptions!$D$25))),C2255&lt;=Nonlabor!$G$21,OR(Nonlabor!$H$21="Monthly",AND(Nonlabor!$H$21="Once",C2255=IF(Nonlabor!$E$21="Core",Nonlabor!$F$21,MAX(Nonlabor!$F$21,IF(Nonlabor!$E$21="AI",Assumptions!$D$24,Assumptions!$D$25)))),AND(Nonlabor!$H$21="Annual",MOD(C2255-IF(Nonlabor!$E$21="Core",Nonlabor!$F$21,MAX(Nonlabor!$F$21,IF(Nonlabor!$E$21="AI",Assumptions!$D$24,Assumptions!$D$25))),12)=0))),IF(Nonlabor!$I$21="Fixed",1,IF(Nonlabor!$I$21="Seats",ROUNDUP('Monthly Base'!I35,0),IF(Nonlabor!$I$21="Customers",'Monthly Base'!D35,IF(Nonlabor!$I$21="NewCustomers",'Monthly Base'!C35,IF(Nonlabor!$I$21="StorageGB",'Monthly Base'!G35,IF(Nonlabor!$I$21="LogGB",'Monthly Base'!H35,IF(Nonlabor!$I$21="RequestsM",'Monthly Base'!F35,IF(Nonlabor!$I$21="InputM",'Monthly Base'!D35*Assumptions!$D$22/1000000,IF(Nonlabor!$I$21="OutputM",'Monthly Base'!D35*Assumptions!$D$23/1000000,0))))))))),0)</f>
        <v>1</v>
      </c>
      <c r="F2255" s="10" t="n">
        <f aca="false">Nonlabor!$J$21*(1+Assumptions!$D$9)^INT((C2255-1)/12)</f>
        <v>106.09</v>
      </c>
      <c r="G2255" s="10" t="n">
        <f aca="false">E2255*F2255</f>
        <v>106.09</v>
      </c>
      <c r="H2255" s="10" t="n">
        <f aca="false">IF(OR(Nonlabor!$L$21="Quote required",Nonlabor!$L$21="Unverified"),G2255,0)</f>
        <v>0</v>
      </c>
      <c r="I2255" s="10" t="n">
        <f aca="false">IF(Nonlabor!$E$21="Core",0,G2255)</f>
        <v>0</v>
      </c>
      <c r="J2255" s="23" t="str">
        <f aca="false">Nonlabor!$B$21</f>
        <v>SUPPORT</v>
      </c>
    </row>
    <row r="2256" customFormat="false" ht="15" hidden="false" customHeight="false" outlineLevel="0" collapsed="false">
      <c r="A2256" s="6" t="s">
        <v>4</v>
      </c>
      <c r="B2256" s="6" t="s">
        <v>53</v>
      </c>
      <c r="C2256" s="6" t="n">
        <v>31</v>
      </c>
      <c r="D2256" s="25" t="n">
        <f aca="false">EDATE('Start Here'!$B$6,C2256-1)</f>
        <v>47239</v>
      </c>
      <c r="E2256" s="23" t="n">
        <f aca="false">IF(AND(OR(Nonlabor!$D$21="Both",Nonlabor!$D$21='Start Here'!$B$9),IF(Nonlabor!$E$21="Core",1,IF(Nonlabor!$E$21="AI",'Start Here'!$B$7,'Start Here'!$B$8))=1,C2256&gt;=IF(Nonlabor!$E$21="Core",Nonlabor!$F$21,MAX(Nonlabor!$F$21,IF(Nonlabor!$E$21="AI",Assumptions!$D$24,Assumptions!$D$25))),C2256&lt;=Nonlabor!$G$21,OR(Nonlabor!$H$21="Monthly",AND(Nonlabor!$H$21="Once",C2256=IF(Nonlabor!$E$21="Core",Nonlabor!$F$21,MAX(Nonlabor!$F$21,IF(Nonlabor!$E$21="AI",Assumptions!$D$24,Assumptions!$D$25)))),AND(Nonlabor!$H$21="Annual",MOD(C2256-IF(Nonlabor!$E$21="Core",Nonlabor!$F$21,MAX(Nonlabor!$F$21,IF(Nonlabor!$E$21="AI",Assumptions!$D$24,Assumptions!$D$25))),12)=0))),IF(Nonlabor!$I$21="Fixed",1,IF(Nonlabor!$I$21="Seats",ROUNDUP('Monthly Base'!I36,0),IF(Nonlabor!$I$21="Customers",'Monthly Base'!D36,IF(Nonlabor!$I$21="NewCustomers",'Monthly Base'!C36,IF(Nonlabor!$I$21="StorageGB",'Monthly Base'!G36,IF(Nonlabor!$I$21="LogGB",'Monthly Base'!H36,IF(Nonlabor!$I$21="RequestsM",'Monthly Base'!F36,IF(Nonlabor!$I$21="InputM",'Monthly Base'!D36*Assumptions!$D$22/1000000,IF(Nonlabor!$I$21="OutputM",'Monthly Base'!D36*Assumptions!$D$23/1000000,0))))))))),0)</f>
        <v>1</v>
      </c>
      <c r="F2256" s="10" t="n">
        <f aca="false">Nonlabor!$J$21*(1+Assumptions!$D$9)^INT((C2256-1)/12)</f>
        <v>106.09</v>
      </c>
      <c r="G2256" s="10" t="n">
        <f aca="false">E2256*F2256</f>
        <v>106.09</v>
      </c>
      <c r="H2256" s="10" t="n">
        <f aca="false">IF(OR(Nonlabor!$L$21="Quote required",Nonlabor!$L$21="Unverified"),G2256,0)</f>
        <v>0</v>
      </c>
      <c r="I2256" s="10" t="n">
        <f aca="false">IF(Nonlabor!$E$21="Core",0,G2256)</f>
        <v>0</v>
      </c>
      <c r="J2256" s="23" t="str">
        <f aca="false">Nonlabor!$B$21</f>
        <v>SUPPORT</v>
      </c>
    </row>
    <row r="2257" customFormat="false" ht="15" hidden="false" customHeight="false" outlineLevel="0" collapsed="false">
      <c r="A2257" s="6" t="s">
        <v>4</v>
      </c>
      <c r="B2257" s="6" t="s">
        <v>53</v>
      </c>
      <c r="C2257" s="6" t="n">
        <v>32</v>
      </c>
      <c r="D2257" s="25" t="n">
        <f aca="false">EDATE('Start Here'!$B$6,C2257-1)</f>
        <v>47270</v>
      </c>
      <c r="E2257" s="23" t="n">
        <f aca="false">IF(AND(OR(Nonlabor!$D$21="Both",Nonlabor!$D$21='Start Here'!$B$9),IF(Nonlabor!$E$21="Core",1,IF(Nonlabor!$E$21="AI",'Start Here'!$B$7,'Start Here'!$B$8))=1,C2257&gt;=IF(Nonlabor!$E$21="Core",Nonlabor!$F$21,MAX(Nonlabor!$F$21,IF(Nonlabor!$E$21="AI",Assumptions!$D$24,Assumptions!$D$25))),C2257&lt;=Nonlabor!$G$21,OR(Nonlabor!$H$21="Monthly",AND(Nonlabor!$H$21="Once",C2257=IF(Nonlabor!$E$21="Core",Nonlabor!$F$21,MAX(Nonlabor!$F$21,IF(Nonlabor!$E$21="AI",Assumptions!$D$24,Assumptions!$D$25)))),AND(Nonlabor!$H$21="Annual",MOD(C2257-IF(Nonlabor!$E$21="Core",Nonlabor!$F$21,MAX(Nonlabor!$F$21,IF(Nonlabor!$E$21="AI",Assumptions!$D$24,Assumptions!$D$25))),12)=0))),IF(Nonlabor!$I$21="Fixed",1,IF(Nonlabor!$I$21="Seats",ROUNDUP('Monthly Base'!I37,0),IF(Nonlabor!$I$21="Customers",'Monthly Base'!D37,IF(Nonlabor!$I$21="NewCustomers",'Monthly Base'!C37,IF(Nonlabor!$I$21="StorageGB",'Monthly Base'!G37,IF(Nonlabor!$I$21="LogGB",'Monthly Base'!H37,IF(Nonlabor!$I$21="RequestsM",'Monthly Base'!F37,IF(Nonlabor!$I$21="InputM",'Monthly Base'!D37*Assumptions!$D$22/1000000,IF(Nonlabor!$I$21="OutputM",'Monthly Base'!D37*Assumptions!$D$23/1000000,0))))))))),0)</f>
        <v>1</v>
      </c>
      <c r="F2257" s="10" t="n">
        <f aca="false">Nonlabor!$J$21*(1+Assumptions!$D$9)^INT((C2257-1)/12)</f>
        <v>106.09</v>
      </c>
      <c r="G2257" s="10" t="n">
        <f aca="false">E2257*F2257</f>
        <v>106.09</v>
      </c>
      <c r="H2257" s="10" t="n">
        <f aca="false">IF(OR(Nonlabor!$L$21="Quote required",Nonlabor!$L$21="Unverified"),G2257,0)</f>
        <v>0</v>
      </c>
      <c r="I2257" s="10" t="n">
        <f aca="false">IF(Nonlabor!$E$21="Core",0,G2257)</f>
        <v>0</v>
      </c>
      <c r="J2257" s="23" t="str">
        <f aca="false">Nonlabor!$B$21</f>
        <v>SUPPORT</v>
      </c>
    </row>
    <row r="2258" customFormat="false" ht="15" hidden="false" customHeight="false" outlineLevel="0" collapsed="false">
      <c r="A2258" s="6" t="s">
        <v>4</v>
      </c>
      <c r="B2258" s="6" t="s">
        <v>53</v>
      </c>
      <c r="C2258" s="6" t="n">
        <v>33</v>
      </c>
      <c r="D2258" s="25" t="n">
        <f aca="false">EDATE('Start Here'!$B$6,C2258-1)</f>
        <v>47300</v>
      </c>
      <c r="E2258" s="23" t="n">
        <f aca="false">IF(AND(OR(Nonlabor!$D$21="Both",Nonlabor!$D$21='Start Here'!$B$9),IF(Nonlabor!$E$21="Core",1,IF(Nonlabor!$E$21="AI",'Start Here'!$B$7,'Start Here'!$B$8))=1,C2258&gt;=IF(Nonlabor!$E$21="Core",Nonlabor!$F$21,MAX(Nonlabor!$F$21,IF(Nonlabor!$E$21="AI",Assumptions!$D$24,Assumptions!$D$25))),C2258&lt;=Nonlabor!$G$21,OR(Nonlabor!$H$21="Monthly",AND(Nonlabor!$H$21="Once",C2258=IF(Nonlabor!$E$21="Core",Nonlabor!$F$21,MAX(Nonlabor!$F$21,IF(Nonlabor!$E$21="AI",Assumptions!$D$24,Assumptions!$D$25)))),AND(Nonlabor!$H$21="Annual",MOD(C2258-IF(Nonlabor!$E$21="Core",Nonlabor!$F$21,MAX(Nonlabor!$F$21,IF(Nonlabor!$E$21="AI",Assumptions!$D$24,Assumptions!$D$25))),12)=0))),IF(Nonlabor!$I$21="Fixed",1,IF(Nonlabor!$I$21="Seats",ROUNDUP('Monthly Base'!I38,0),IF(Nonlabor!$I$21="Customers",'Monthly Base'!D38,IF(Nonlabor!$I$21="NewCustomers",'Monthly Base'!C38,IF(Nonlabor!$I$21="StorageGB",'Monthly Base'!G38,IF(Nonlabor!$I$21="LogGB",'Monthly Base'!H38,IF(Nonlabor!$I$21="RequestsM",'Monthly Base'!F38,IF(Nonlabor!$I$21="InputM",'Monthly Base'!D38*Assumptions!$D$22/1000000,IF(Nonlabor!$I$21="OutputM",'Monthly Base'!D38*Assumptions!$D$23/1000000,0))))))))),0)</f>
        <v>1</v>
      </c>
      <c r="F2258" s="10" t="n">
        <f aca="false">Nonlabor!$J$21*(1+Assumptions!$D$9)^INT((C2258-1)/12)</f>
        <v>106.09</v>
      </c>
      <c r="G2258" s="10" t="n">
        <f aca="false">E2258*F2258</f>
        <v>106.09</v>
      </c>
      <c r="H2258" s="10" t="n">
        <f aca="false">IF(OR(Nonlabor!$L$21="Quote required",Nonlabor!$L$21="Unverified"),G2258,0)</f>
        <v>0</v>
      </c>
      <c r="I2258" s="10" t="n">
        <f aca="false">IF(Nonlabor!$E$21="Core",0,G2258)</f>
        <v>0</v>
      </c>
      <c r="J2258" s="23" t="str">
        <f aca="false">Nonlabor!$B$21</f>
        <v>SUPPORT</v>
      </c>
    </row>
    <row r="2259" customFormat="false" ht="15" hidden="false" customHeight="false" outlineLevel="0" collapsed="false">
      <c r="A2259" s="6" t="s">
        <v>4</v>
      </c>
      <c r="B2259" s="6" t="s">
        <v>53</v>
      </c>
      <c r="C2259" s="6" t="n">
        <v>34</v>
      </c>
      <c r="D2259" s="25" t="n">
        <f aca="false">EDATE('Start Here'!$B$6,C2259-1)</f>
        <v>47331</v>
      </c>
      <c r="E2259" s="23" t="n">
        <f aca="false">IF(AND(OR(Nonlabor!$D$21="Both",Nonlabor!$D$21='Start Here'!$B$9),IF(Nonlabor!$E$21="Core",1,IF(Nonlabor!$E$21="AI",'Start Here'!$B$7,'Start Here'!$B$8))=1,C2259&gt;=IF(Nonlabor!$E$21="Core",Nonlabor!$F$21,MAX(Nonlabor!$F$21,IF(Nonlabor!$E$21="AI",Assumptions!$D$24,Assumptions!$D$25))),C2259&lt;=Nonlabor!$G$21,OR(Nonlabor!$H$21="Monthly",AND(Nonlabor!$H$21="Once",C2259=IF(Nonlabor!$E$21="Core",Nonlabor!$F$21,MAX(Nonlabor!$F$21,IF(Nonlabor!$E$21="AI",Assumptions!$D$24,Assumptions!$D$25)))),AND(Nonlabor!$H$21="Annual",MOD(C2259-IF(Nonlabor!$E$21="Core",Nonlabor!$F$21,MAX(Nonlabor!$F$21,IF(Nonlabor!$E$21="AI",Assumptions!$D$24,Assumptions!$D$25))),12)=0))),IF(Nonlabor!$I$21="Fixed",1,IF(Nonlabor!$I$21="Seats",ROUNDUP('Monthly Base'!I39,0),IF(Nonlabor!$I$21="Customers",'Monthly Base'!D39,IF(Nonlabor!$I$21="NewCustomers",'Monthly Base'!C39,IF(Nonlabor!$I$21="StorageGB",'Monthly Base'!G39,IF(Nonlabor!$I$21="LogGB",'Monthly Base'!H39,IF(Nonlabor!$I$21="RequestsM",'Monthly Base'!F39,IF(Nonlabor!$I$21="InputM",'Monthly Base'!D39*Assumptions!$D$22/1000000,IF(Nonlabor!$I$21="OutputM",'Monthly Base'!D39*Assumptions!$D$23/1000000,0))))))))),0)</f>
        <v>1</v>
      </c>
      <c r="F2259" s="10" t="n">
        <f aca="false">Nonlabor!$J$21*(1+Assumptions!$D$9)^INT((C2259-1)/12)</f>
        <v>106.09</v>
      </c>
      <c r="G2259" s="10" t="n">
        <f aca="false">E2259*F2259</f>
        <v>106.09</v>
      </c>
      <c r="H2259" s="10" t="n">
        <f aca="false">IF(OR(Nonlabor!$L$21="Quote required",Nonlabor!$L$21="Unverified"),G2259,0)</f>
        <v>0</v>
      </c>
      <c r="I2259" s="10" t="n">
        <f aca="false">IF(Nonlabor!$E$21="Core",0,G2259)</f>
        <v>0</v>
      </c>
      <c r="J2259" s="23" t="str">
        <f aca="false">Nonlabor!$B$21</f>
        <v>SUPPORT</v>
      </c>
    </row>
    <row r="2260" customFormat="false" ht="15" hidden="false" customHeight="false" outlineLevel="0" collapsed="false">
      <c r="A2260" s="6" t="s">
        <v>4</v>
      </c>
      <c r="B2260" s="6" t="s">
        <v>53</v>
      </c>
      <c r="C2260" s="6" t="n">
        <v>35</v>
      </c>
      <c r="D2260" s="25" t="n">
        <f aca="false">EDATE('Start Here'!$B$6,C2260-1)</f>
        <v>47362</v>
      </c>
      <c r="E2260" s="23" t="n">
        <f aca="false">IF(AND(OR(Nonlabor!$D$21="Both",Nonlabor!$D$21='Start Here'!$B$9),IF(Nonlabor!$E$21="Core",1,IF(Nonlabor!$E$21="AI",'Start Here'!$B$7,'Start Here'!$B$8))=1,C2260&gt;=IF(Nonlabor!$E$21="Core",Nonlabor!$F$21,MAX(Nonlabor!$F$21,IF(Nonlabor!$E$21="AI",Assumptions!$D$24,Assumptions!$D$25))),C2260&lt;=Nonlabor!$G$21,OR(Nonlabor!$H$21="Monthly",AND(Nonlabor!$H$21="Once",C2260=IF(Nonlabor!$E$21="Core",Nonlabor!$F$21,MAX(Nonlabor!$F$21,IF(Nonlabor!$E$21="AI",Assumptions!$D$24,Assumptions!$D$25)))),AND(Nonlabor!$H$21="Annual",MOD(C2260-IF(Nonlabor!$E$21="Core",Nonlabor!$F$21,MAX(Nonlabor!$F$21,IF(Nonlabor!$E$21="AI",Assumptions!$D$24,Assumptions!$D$25))),12)=0))),IF(Nonlabor!$I$21="Fixed",1,IF(Nonlabor!$I$21="Seats",ROUNDUP('Monthly Base'!I40,0),IF(Nonlabor!$I$21="Customers",'Monthly Base'!D40,IF(Nonlabor!$I$21="NewCustomers",'Monthly Base'!C40,IF(Nonlabor!$I$21="StorageGB",'Monthly Base'!G40,IF(Nonlabor!$I$21="LogGB",'Monthly Base'!H40,IF(Nonlabor!$I$21="RequestsM",'Monthly Base'!F40,IF(Nonlabor!$I$21="InputM",'Monthly Base'!D40*Assumptions!$D$22/1000000,IF(Nonlabor!$I$21="OutputM",'Monthly Base'!D40*Assumptions!$D$23/1000000,0))))))))),0)</f>
        <v>1</v>
      </c>
      <c r="F2260" s="10" t="n">
        <f aca="false">Nonlabor!$J$21*(1+Assumptions!$D$9)^INT((C2260-1)/12)</f>
        <v>106.09</v>
      </c>
      <c r="G2260" s="10" t="n">
        <f aca="false">E2260*F2260</f>
        <v>106.09</v>
      </c>
      <c r="H2260" s="10" t="n">
        <f aca="false">IF(OR(Nonlabor!$L$21="Quote required",Nonlabor!$L$21="Unverified"),G2260,0)</f>
        <v>0</v>
      </c>
      <c r="I2260" s="10" t="n">
        <f aca="false">IF(Nonlabor!$E$21="Core",0,G2260)</f>
        <v>0</v>
      </c>
      <c r="J2260" s="23" t="str">
        <f aca="false">Nonlabor!$B$21</f>
        <v>SUPPORT</v>
      </c>
    </row>
    <row r="2261" customFormat="false" ht="15" hidden="false" customHeight="false" outlineLevel="0" collapsed="false">
      <c r="A2261" s="6" t="s">
        <v>4</v>
      </c>
      <c r="B2261" s="6" t="s">
        <v>53</v>
      </c>
      <c r="C2261" s="6" t="n">
        <v>36</v>
      </c>
      <c r="D2261" s="25" t="n">
        <f aca="false">EDATE('Start Here'!$B$6,C2261-1)</f>
        <v>47392</v>
      </c>
      <c r="E2261" s="23" t="n">
        <f aca="false">IF(AND(OR(Nonlabor!$D$21="Both",Nonlabor!$D$21='Start Here'!$B$9),IF(Nonlabor!$E$21="Core",1,IF(Nonlabor!$E$21="AI",'Start Here'!$B$7,'Start Here'!$B$8))=1,C2261&gt;=IF(Nonlabor!$E$21="Core",Nonlabor!$F$21,MAX(Nonlabor!$F$21,IF(Nonlabor!$E$21="AI",Assumptions!$D$24,Assumptions!$D$25))),C2261&lt;=Nonlabor!$G$21,OR(Nonlabor!$H$21="Monthly",AND(Nonlabor!$H$21="Once",C2261=IF(Nonlabor!$E$21="Core",Nonlabor!$F$21,MAX(Nonlabor!$F$21,IF(Nonlabor!$E$21="AI",Assumptions!$D$24,Assumptions!$D$25)))),AND(Nonlabor!$H$21="Annual",MOD(C2261-IF(Nonlabor!$E$21="Core",Nonlabor!$F$21,MAX(Nonlabor!$F$21,IF(Nonlabor!$E$21="AI",Assumptions!$D$24,Assumptions!$D$25))),12)=0))),IF(Nonlabor!$I$21="Fixed",1,IF(Nonlabor!$I$21="Seats",ROUNDUP('Monthly Base'!I41,0),IF(Nonlabor!$I$21="Customers",'Monthly Base'!D41,IF(Nonlabor!$I$21="NewCustomers",'Monthly Base'!C41,IF(Nonlabor!$I$21="StorageGB",'Monthly Base'!G41,IF(Nonlabor!$I$21="LogGB",'Monthly Base'!H41,IF(Nonlabor!$I$21="RequestsM",'Monthly Base'!F41,IF(Nonlabor!$I$21="InputM",'Monthly Base'!D41*Assumptions!$D$22/1000000,IF(Nonlabor!$I$21="OutputM",'Monthly Base'!D41*Assumptions!$D$23/1000000,0))))))))),0)</f>
        <v>1</v>
      </c>
      <c r="F2261" s="10" t="n">
        <f aca="false">Nonlabor!$J$21*(1+Assumptions!$D$9)^INT((C2261-1)/12)</f>
        <v>106.09</v>
      </c>
      <c r="G2261" s="10" t="n">
        <f aca="false">E2261*F2261</f>
        <v>106.09</v>
      </c>
      <c r="H2261" s="10" t="n">
        <f aca="false">IF(OR(Nonlabor!$L$21="Quote required",Nonlabor!$L$21="Unverified"),G2261,0)</f>
        <v>0</v>
      </c>
      <c r="I2261" s="10" t="n">
        <f aca="false">IF(Nonlabor!$E$21="Core",0,G2261)</f>
        <v>0</v>
      </c>
      <c r="J2261" s="23" t="str">
        <f aca="false">Nonlabor!$B$21</f>
        <v>SUPPORT</v>
      </c>
    </row>
    <row r="2262" customFormat="false" ht="15" hidden="false" customHeight="false" outlineLevel="0" collapsed="false">
      <c r="A2262" s="6" t="s">
        <v>4</v>
      </c>
      <c r="B2262" s="6" t="s">
        <v>53</v>
      </c>
      <c r="C2262" s="6" t="n">
        <v>37</v>
      </c>
      <c r="D2262" s="25" t="n">
        <f aca="false">EDATE('Start Here'!$B$6,C2262-1)</f>
        <v>47423</v>
      </c>
      <c r="E2262" s="23" t="n">
        <f aca="false">IF(AND(OR(Nonlabor!$D$21="Both",Nonlabor!$D$21='Start Here'!$B$9),IF(Nonlabor!$E$21="Core",1,IF(Nonlabor!$E$21="AI",'Start Here'!$B$7,'Start Here'!$B$8))=1,C2262&gt;=IF(Nonlabor!$E$21="Core",Nonlabor!$F$21,MAX(Nonlabor!$F$21,IF(Nonlabor!$E$21="AI",Assumptions!$D$24,Assumptions!$D$25))),C2262&lt;=Nonlabor!$G$21,OR(Nonlabor!$H$21="Monthly",AND(Nonlabor!$H$21="Once",C2262=IF(Nonlabor!$E$21="Core",Nonlabor!$F$21,MAX(Nonlabor!$F$21,IF(Nonlabor!$E$21="AI",Assumptions!$D$24,Assumptions!$D$25)))),AND(Nonlabor!$H$21="Annual",MOD(C2262-IF(Nonlabor!$E$21="Core",Nonlabor!$F$21,MAX(Nonlabor!$F$21,IF(Nonlabor!$E$21="AI",Assumptions!$D$24,Assumptions!$D$25))),12)=0))),IF(Nonlabor!$I$21="Fixed",1,IF(Nonlabor!$I$21="Seats",ROUNDUP('Monthly Base'!I42,0),IF(Nonlabor!$I$21="Customers",'Monthly Base'!D42,IF(Nonlabor!$I$21="NewCustomers",'Monthly Base'!C42,IF(Nonlabor!$I$21="StorageGB",'Monthly Base'!G42,IF(Nonlabor!$I$21="LogGB",'Monthly Base'!H42,IF(Nonlabor!$I$21="RequestsM",'Monthly Base'!F42,IF(Nonlabor!$I$21="InputM",'Monthly Base'!D42*Assumptions!$D$22/1000000,IF(Nonlabor!$I$21="OutputM",'Monthly Base'!D42*Assumptions!$D$23/1000000,0))))))))),0)</f>
        <v>1</v>
      </c>
      <c r="F2262" s="10" t="n">
        <f aca="false">Nonlabor!$J$21*(1+Assumptions!$D$9)^INT((C2262-1)/12)</f>
        <v>109.2727</v>
      </c>
      <c r="G2262" s="10" t="n">
        <f aca="false">E2262*F2262</f>
        <v>109.2727</v>
      </c>
      <c r="H2262" s="10" t="n">
        <f aca="false">IF(OR(Nonlabor!$L$21="Quote required",Nonlabor!$L$21="Unverified"),G2262,0)</f>
        <v>0</v>
      </c>
      <c r="I2262" s="10" t="n">
        <f aca="false">IF(Nonlabor!$E$21="Core",0,G2262)</f>
        <v>0</v>
      </c>
      <c r="J2262" s="23" t="str">
        <f aca="false">Nonlabor!$B$21</f>
        <v>SUPPORT</v>
      </c>
    </row>
    <row r="2263" customFormat="false" ht="15" hidden="false" customHeight="false" outlineLevel="0" collapsed="false">
      <c r="A2263" s="6" t="s">
        <v>4</v>
      </c>
      <c r="B2263" s="6" t="s">
        <v>53</v>
      </c>
      <c r="C2263" s="6" t="n">
        <v>38</v>
      </c>
      <c r="D2263" s="25" t="n">
        <f aca="false">EDATE('Start Here'!$B$6,C2263-1)</f>
        <v>47453</v>
      </c>
      <c r="E2263" s="23" t="n">
        <f aca="false">IF(AND(OR(Nonlabor!$D$21="Both",Nonlabor!$D$21='Start Here'!$B$9),IF(Nonlabor!$E$21="Core",1,IF(Nonlabor!$E$21="AI",'Start Here'!$B$7,'Start Here'!$B$8))=1,C2263&gt;=IF(Nonlabor!$E$21="Core",Nonlabor!$F$21,MAX(Nonlabor!$F$21,IF(Nonlabor!$E$21="AI",Assumptions!$D$24,Assumptions!$D$25))),C2263&lt;=Nonlabor!$G$21,OR(Nonlabor!$H$21="Monthly",AND(Nonlabor!$H$21="Once",C2263=IF(Nonlabor!$E$21="Core",Nonlabor!$F$21,MAX(Nonlabor!$F$21,IF(Nonlabor!$E$21="AI",Assumptions!$D$24,Assumptions!$D$25)))),AND(Nonlabor!$H$21="Annual",MOD(C2263-IF(Nonlabor!$E$21="Core",Nonlabor!$F$21,MAX(Nonlabor!$F$21,IF(Nonlabor!$E$21="AI",Assumptions!$D$24,Assumptions!$D$25))),12)=0))),IF(Nonlabor!$I$21="Fixed",1,IF(Nonlabor!$I$21="Seats",ROUNDUP('Monthly Base'!I43,0),IF(Nonlabor!$I$21="Customers",'Monthly Base'!D43,IF(Nonlabor!$I$21="NewCustomers",'Monthly Base'!C43,IF(Nonlabor!$I$21="StorageGB",'Monthly Base'!G43,IF(Nonlabor!$I$21="LogGB",'Monthly Base'!H43,IF(Nonlabor!$I$21="RequestsM",'Monthly Base'!F43,IF(Nonlabor!$I$21="InputM",'Monthly Base'!D43*Assumptions!$D$22/1000000,IF(Nonlabor!$I$21="OutputM",'Monthly Base'!D43*Assumptions!$D$23/1000000,0))))))))),0)</f>
        <v>1</v>
      </c>
      <c r="F2263" s="10" t="n">
        <f aca="false">Nonlabor!$J$21*(1+Assumptions!$D$9)^INT((C2263-1)/12)</f>
        <v>109.2727</v>
      </c>
      <c r="G2263" s="10" t="n">
        <f aca="false">E2263*F2263</f>
        <v>109.2727</v>
      </c>
      <c r="H2263" s="10" t="n">
        <f aca="false">IF(OR(Nonlabor!$L$21="Quote required",Nonlabor!$L$21="Unverified"),G2263,0)</f>
        <v>0</v>
      </c>
      <c r="I2263" s="10" t="n">
        <f aca="false">IF(Nonlabor!$E$21="Core",0,G2263)</f>
        <v>0</v>
      </c>
      <c r="J2263" s="23" t="str">
        <f aca="false">Nonlabor!$B$21</f>
        <v>SUPPORT</v>
      </c>
    </row>
    <row r="2264" customFormat="false" ht="15" hidden="false" customHeight="false" outlineLevel="0" collapsed="false">
      <c r="A2264" s="6" t="s">
        <v>4</v>
      </c>
      <c r="B2264" s="6" t="s">
        <v>53</v>
      </c>
      <c r="C2264" s="6" t="n">
        <v>39</v>
      </c>
      <c r="D2264" s="25" t="n">
        <f aca="false">EDATE('Start Here'!$B$6,C2264-1)</f>
        <v>47484</v>
      </c>
      <c r="E2264" s="23" t="n">
        <f aca="false">IF(AND(OR(Nonlabor!$D$21="Both",Nonlabor!$D$21='Start Here'!$B$9),IF(Nonlabor!$E$21="Core",1,IF(Nonlabor!$E$21="AI",'Start Here'!$B$7,'Start Here'!$B$8))=1,C2264&gt;=IF(Nonlabor!$E$21="Core",Nonlabor!$F$21,MAX(Nonlabor!$F$21,IF(Nonlabor!$E$21="AI",Assumptions!$D$24,Assumptions!$D$25))),C2264&lt;=Nonlabor!$G$21,OR(Nonlabor!$H$21="Monthly",AND(Nonlabor!$H$21="Once",C2264=IF(Nonlabor!$E$21="Core",Nonlabor!$F$21,MAX(Nonlabor!$F$21,IF(Nonlabor!$E$21="AI",Assumptions!$D$24,Assumptions!$D$25)))),AND(Nonlabor!$H$21="Annual",MOD(C2264-IF(Nonlabor!$E$21="Core",Nonlabor!$F$21,MAX(Nonlabor!$F$21,IF(Nonlabor!$E$21="AI",Assumptions!$D$24,Assumptions!$D$25))),12)=0))),IF(Nonlabor!$I$21="Fixed",1,IF(Nonlabor!$I$21="Seats",ROUNDUP('Monthly Base'!I44,0),IF(Nonlabor!$I$21="Customers",'Monthly Base'!D44,IF(Nonlabor!$I$21="NewCustomers",'Monthly Base'!C44,IF(Nonlabor!$I$21="StorageGB",'Monthly Base'!G44,IF(Nonlabor!$I$21="LogGB",'Monthly Base'!H44,IF(Nonlabor!$I$21="RequestsM",'Monthly Base'!F44,IF(Nonlabor!$I$21="InputM",'Monthly Base'!D44*Assumptions!$D$22/1000000,IF(Nonlabor!$I$21="OutputM",'Monthly Base'!D44*Assumptions!$D$23/1000000,0))))))))),0)</f>
        <v>1</v>
      </c>
      <c r="F2264" s="10" t="n">
        <f aca="false">Nonlabor!$J$21*(1+Assumptions!$D$9)^INT((C2264-1)/12)</f>
        <v>109.2727</v>
      </c>
      <c r="G2264" s="10" t="n">
        <f aca="false">E2264*F2264</f>
        <v>109.2727</v>
      </c>
      <c r="H2264" s="10" t="n">
        <f aca="false">IF(OR(Nonlabor!$L$21="Quote required",Nonlabor!$L$21="Unverified"),G2264,0)</f>
        <v>0</v>
      </c>
      <c r="I2264" s="10" t="n">
        <f aca="false">IF(Nonlabor!$E$21="Core",0,G2264)</f>
        <v>0</v>
      </c>
      <c r="J2264" s="23" t="str">
        <f aca="false">Nonlabor!$B$21</f>
        <v>SUPPORT</v>
      </c>
    </row>
    <row r="2265" customFormat="false" ht="15" hidden="false" customHeight="false" outlineLevel="0" collapsed="false">
      <c r="A2265" s="6" t="s">
        <v>4</v>
      </c>
      <c r="B2265" s="6" t="s">
        <v>53</v>
      </c>
      <c r="C2265" s="6" t="n">
        <v>40</v>
      </c>
      <c r="D2265" s="25" t="n">
        <f aca="false">EDATE('Start Here'!$B$6,C2265-1)</f>
        <v>47515</v>
      </c>
      <c r="E2265" s="23" t="n">
        <f aca="false">IF(AND(OR(Nonlabor!$D$21="Both",Nonlabor!$D$21='Start Here'!$B$9),IF(Nonlabor!$E$21="Core",1,IF(Nonlabor!$E$21="AI",'Start Here'!$B$7,'Start Here'!$B$8))=1,C2265&gt;=IF(Nonlabor!$E$21="Core",Nonlabor!$F$21,MAX(Nonlabor!$F$21,IF(Nonlabor!$E$21="AI",Assumptions!$D$24,Assumptions!$D$25))),C2265&lt;=Nonlabor!$G$21,OR(Nonlabor!$H$21="Monthly",AND(Nonlabor!$H$21="Once",C2265=IF(Nonlabor!$E$21="Core",Nonlabor!$F$21,MAX(Nonlabor!$F$21,IF(Nonlabor!$E$21="AI",Assumptions!$D$24,Assumptions!$D$25)))),AND(Nonlabor!$H$21="Annual",MOD(C2265-IF(Nonlabor!$E$21="Core",Nonlabor!$F$21,MAX(Nonlabor!$F$21,IF(Nonlabor!$E$21="AI",Assumptions!$D$24,Assumptions!$D$25))),12)=0))),IF(Nonlabor!$I$21="Fixed",1,IF(Nonlabor!$I$21="Seats",ROUNDUP('Monthly Base'!I45,0),IF(Nonlabor!$I$21="Customers",'Monthly Base'!D45,IF(Nonlabor!$I$21="NewCustomers",'Monthly Base'!C45,IF(Nonlabor!$I$21="StorageGB",'Monthly Base'!G45,IF(Nonlabor!$I$21="LogGB",'Monthly Base'!H45,IF(Nonlabor!$I$21="RequestsM",'Monthly Base'!F45,IF(Nonlabor!$I$21="InputM",'Monthly Base'!D45*Assumptions!$D$22/1000000,IF(Nonlabor!$I$21="OutputM",'Monthly Base'!D45*Assumptions!$D$23/1000000,0))))))))),0)</f>
        <v>1</v>
      </c>
      <c r="F2265" s="10" t="n">
        <f aca="false">Nonlabor!$J$21*(1+Assumptions!$D$9)^INT((C2265-1)/12)</f>
        <v>109.2727</v>
      </c>
      <c r="G2265" s="10" t="n">
        <f aca="false">E2265*F2265</f>
        <v>109.2727</v>
      </c>
      <c r="H2265" s="10" t="n">
        <f aca="false">IF(OR(Nonlabor!$L$21="Quote required",Nonlabor!$L$21="Unverified"),G2265,0)</f>
        <v>0</v>
      </c>
      <c r="I2265" s="10" t="n">
        <f aca="false">IF(Nonlabor!$E$21="Core",0,G2265)</f>
        <v>0</v>
      </c>
      <c r="J2265" s="23" t="str">
        <f aca="false">Nonlabor!$B$21</f>
        <v>SUPPORT</v>
      </c>
    </row>
    <row r="2266" customFormat="false" ht="15" hidden="false" customHeight="false" outlineLevel="0" collapsed="false">
      <c r="A2266" s="6" t="s">
        <v>4</v>
      </c>
      <c r="B2266" s="6" t="s">
        <v>53</v>
      </c>
      <c r="C2266" s="6" t="n">
        <v>41</v>
      </c>
      <c r="D2266" s="25" t="n">
        <f aca="false">EDATE('Start Here'!$B$6,C2266-1)</f>
        <v>47543</v>
      </c>
      <c r="E2266" s="23" t="n">
        <f aca="false">IF(AND(OR(Nonlabor!$D$21="Both",Nonlabor!$D$21='Start Here'!$B$9),IF(Nonlabor!$E$21="Core",1,IF(Nonlabor!$E$21="AI",'Start Here'!$B$7,'Start Here'!$B$8))=1,C2266&gt;=IF(Nonlabor!$E$21="Core",Nonlabor!$F$21,MAX(Nonlabor!$F$21,IF(Nonlabor!$E$21="AI",Assumptions!$D$24,Assumptions!$D$25))),C2266&lt;=Nonlabor!$G$21,OR(Nonlabor!$H$21="Monthly",AND(Nonlabor!$H$21="Once",C2266=IF(Nonlabor!$E$21="Core",Nonlabor!$F$21,MAX(Nonlabor!$F$21,IF(Nonlabor!$E$21="AI",Assumptions!$D$24,Assumptions!$D$25)))),AND(Nonlabor!$H$21="Annual",MOD(C2266-IF(Nonlabor!$E$21="Core",Nonlabor!$F$21,MAX(Nonlabor!$F$21,IF(Nonlabor!$E$21="AI",Assumptions!$D$24,Assumptions!$D$25))),12)=0))),IF(Nonlabor!$I$21="Fixed",1,IF(Nonlabor!$I$21="Seats",ROUNDUP('Monthly Base'!I46,0),IF(Nonlabor!$I$21="Customers",'Monthly Base'!D46,IF(Nonlabor!$I$21="NewCustomers",'Monthly Base'!C46,IF(Nonlabor!$I$21="StorageGB",'Monthly Base'!G46,IF(Nonlabor!$I$21="LogGB",'Monthly Base'!H46,IF(Nonlabor!$I$21="RequestsM",'Monthly Base'!F46,IF(Nonlabor!$I$21="InputM",'Monthly Base'!D46*Assumptions!$D$22/1000000,IF(Nonlabor!$I$21="OutputM",'Monthly Base'!D46*Assumptions!$D$23/1000000,0))))))))),0)</f>
        <v>1</v>
      </c>
      <c r="F2266" s="10" t="n">
        <f aca="false">Nonlabor!$J$21*(1+Assumptions!$D$9)^INT((C2266-1)/12)</f>
        <v>109.2727</v>
      </c>
      <c r="G2266" s="10" t="n">
        <f aca="false">E2266*F2266</f>
        <v>109.2727</v>
      </c>
      <c r="H2266" s="10" t="n">
        <f aca="false">IF(OR(Nonlabor!$L$21="Quote required",Nonlabor!$L$21="Unverified"),G2266,0)</f>
        <v>0</v>
      </c>
      <c r="I2266" s="10" t="n">
        <f aca="false">IF(Nonlabor!$E$21="Core",0,G2266)</f>
        <v>0</v>
      </c>
      <c r="J2266" s="23" t="str">
        <f aca="false">Nonlabor!$B$21</f>
        <v>SUPPORT</v>
      </c>
    </row>
    <row r="2267" customFormat="false" ht="15" hidden="false" customHeight="false" outlineLevel="0" collapsed="false">
      <c r="A2267" s="6" t="s">
        <v>4</v>
      </c>
      <c r="B2267" s="6" t="s">
        <v>53</v>
      </c>
      <c r="C2267" s="6" t="n">
        <v>42</v>
      </c>
      <c r="D2267" s="25" t="n">
        <f aca="false">EDATE('Start Here'!$B$6,C2267-1)</f>
        <v>47574</v>
      </c>
      <c r="E2267" s="23" t="n">
        <f aca="false">IF(AND(OR(Nonlabor!$D$21="Both",Nonlabor!$D$21='Start Here'!$B$9),IF(Nonlabor!$E$21="Core",1,IF(Nonlabor!$E$21="AI",'Start Here'!$B$7,'Start Here'!$B$8))=1,C2267&gt;=IF(Nonlabor!$E$21="Core",Nonlabor!$F$21,MAX(Nonlabor!$F$21,IF(Nonlabor!$E$21="AI",Assumptions!$D$24,Assumptions!$D$25))),C2267&lt;=Nonlabor!$G$21,OR(Nonlabor!$H$21="Monthly",AND(Nonlabor!$H$21="Once",C2267=IF(Nonlabor!$E$21="Core",Nonlabor!$F$21,MAX(Nonlabor!$F$21,IF(Nonlabor!$E$21="AI",Assumptions!$D$24,Assumptions!$D$25)))),AND(Nonlabor!$H$21="Annual",MOD(C2267-IF(Nonlabor!$E$21="Core",Nonlabor!$F$21,MAX(Nonlabor!$F$21,IF(Nonlabor!$E$21="AI",Assumptions!$D$24,Assumptions!$D$25))),12)=0))),IF(Nonlabor!$I$21="Fixed",1,IF(Nonlabor!$I$21="Seats",ROUNDUP('Monthly Base'!I47,0),IF(Nonlabor!$I$21="Customers",'Monthly Base'!D47,IF(Nonlabor!$I$21="NewCustomers",'Monthly Base'!C47,IF(Nonlabor!$I$21="StorageGB",'Monthly Base'!G47,IF(Nonlabor!$I$21="LogGB",'Monthly Base'!H47,IF(Nonlabor!$I$21="RequestsM",'Monthly Base'!F47,IF(Nonlabor!$I$21="InputM",'Monthly Base'!D47*Assumptions!$D$22/1000000,IF(Nonlabor!$I$21="OutputM",'Monthly Base'!D47*Assumptions!$D$23/1000000,0))))))))),0)</f>
        <v>1</v>
      </c>
      <c r="F2267" s="10" t="n">
        <f aca="false">Nonlabor!$J$21*(1+Assumptions!$D$9)^INT((C2267-1)/12)</f>
        <v>109.2727</v>
      </c>
      <c r="G2267" s="10" t="n">
        <f aca="false">E2267*F2267</f>
        <v>109.2727</v>
      </c>
      <c r="H2267" s="10" t="n">
        <f aca="false">IF(OR(Nonlabor!$L$21="Quote required",Nonlabor!$L$21="Unverified"),G2267,0)</f>
        <v>0</v>
      </c>
      <c r="I2267" s="10" t="n">
        <f aca="false">IF(Nonlabor!$E$21="Core",0,G2267)</f>
        <v>0</v>
      </c>
      <c r="J2267" s="23" t="str">
        <f aca="false">Nonlabor!$B$21</f>
        <v>SUPPORT</v>
      </c>
    </row>
    <row r="2268" customFormat="false" ht="15" hidden="false" customHeight="false" outlineLevel="0" collapsed="false">
      <c r="A2268" s="6" t="s">
        <v>4</v>
      </c>
      <c r="B2268" s="6" t="s">
        <v>53</v>
      </c>
      <c r="C2268" s="6" t="n">
        <v>43</v>
      </c>
      <c r="D2268" s="25" t="n">
        <f aca="false">EDATE('Start Here'!$B$6,C2268-1)</f>
        <v>47604</v>
      </c>
      <c r="E2268" s="23" t="n">
        <f aca="false">IF(AND(OR(Nonlabor!$D$21="Both",Nonlabor!$D$21='Start Here'!$B$9),IF(Nonlabor!$E$21="Core",1,IF(Nonlabor!$E$21="AI",'Start Here'!$B$7,'Start Here'!$B$8))=1,C2268&gt;=IF(Nonlabor!$E$21="Core",Nonlabor!$F$21,MAX(Nonlabor!$F$21,IF(Nonlabor!$E$21="AI",Assumptions!$D$24,Assumptions!$D$25))),C2268&lt;=Nonlabor!$G$21,OR(Nonlabor!$H$21="Monthly",AND(Nonlabor!$H$21="Once",C2268=IF(Nonlabor!$E$21="Core",Nonlabor!$F$21,MAX(Nonlabor!$F$21,IF(Nonlabor!$E$21="AI",Assumptions!$D$24,Assumptions!$D$25)))),AND(Nonlabor!$H$21="Annual",MOD(C2268-IF(Nonlabor!$E$21="Core",Nonlabor!$F$21,MAX(Nonlabor!$F$21,IF(Nonlabor!$E$21="AI",Assumptions!$D$24,Assumptions!$D$25))),12)=0))),IF(Nonlabor!$I$21="Fixed",1,IF(Nonlabor!$I$21="Seats",ROUNDUP('Monthly Base'!I48,0),IF(Nonlabor!$I$21="Customers",'Monthly Base'!D48,IF(Nonlabor!$I$21="NewCustomers",'Monthly Base'!C48,IF(Nonlabor!$I$21="StorageGB",'Monthly Base'!G48,IF(Nonlabor!$I$21="LogGB",'Monthly Base'!H48,IF(Nonlabor!$I$21="RequestsM",'Monthly Base'!F48,IF(Nonlabor!$I$21="InputM",'Monthly Base'!D48*Assumptions!$D$22/1000000,IF(Nonlabor!$I$21="OutputM",'Monthly Base'!D48*Assumptions!$D$23/1000000,0))))))))),0)</f>
        <v>1</v>
      </c>
      <c r="F2268" s="10" t="n">
        <f aca="false">Nonlabor!$J$21*(1+Assumptions!$D$9)^INT((C2268-1)/12)</f>
        <v>109.2727</v>
      </c>
      <c r="G2268" s="10" t="n">
        <f aca="false">E2268*F2268</f>
        <v>109.2727</v>
      </c>
      <c r="H2268" s="10" t="n">
        <f aca="false">IF(OR(Nonlabor!$L$21="Quote required",Nonlabor!$L$21="Unverified"),G2268,0)</f>
        <v>0</v>
      </c>
      <c r="I2268" s="10" t="n">
        <f aca="false">IF(Nonlabor!$E$21="Core",0,G2268)</f>
        <v>0</v>
      </c>
      <c r="J2268" s="23" t="str">
        <f aca="false">Nonlabor!$B$21</f>
        <v>SUPPORT</v>
      </c>
    </row>
    <row r="2269" customFormat="false" ht="15" hidden="false" customHeight="false" outlineLevel="0" collapsed="false">
      <c r="A2269" s="6" t="s">
        <v>4</v>
      </c>
      <c r="B2269" s="6" t="s">
        <v>53</v>
      </c>
      <c r="C2269" s="6" t="n">
        <v>44</v>
      </c>
      <c r="D2269" s="25" t="n">
        <f aca="false">EDATE('Start Here'!$B$6,C2269-1)</f>
        <v>47635</v>
      </c>
      <c r="E2269" s="23" t="n">
        <f aca="false">IF(AND(OR(Nonlabor!$D$21="Both",Nonlabor!$D$21='Start Here'!$B$9),IF(Nonlabor!$E$21="Core",1,IF(Nonlabor!$E$21="AI",'Start Here'!$B$7,'Start Here'!$B$8))=1,C2269&gt;=IF(Nonlabor!$E$21="Core",Nonlabor!$F$21,MAX(Nonlabor!$F$21,IF(Nonlabor!$E$21="AI",Assumptions!$D$24,Assumptions!$D$25))),C2269&lt;=Nonlabor!$G$21,OR(Nonlabor!$H$21="Monthly",AND(Nonlabor!$H$21="Once",C2269=IF(Nonlabor!$E$21="Core",Nonlabor!$F$21,MAX(Nonlabor!$F$21,IF(Nonlabor!$E$21="AI",Assumptions!$D$24,Assumptions!$D$25)))),AND(Nonlabor!$H$21="Annual",MOD(C2269-IF(Nonlabor!$E$21="Core",Nonlabor!$F$21,MAX(Nonlabor!$F$21,IF(Nonlabor!$E$21="AI",Assumptions!$D$24,Assumptions!$D$25))),12)=0))),IF(Nonlabor!$I$21="Fixed",1,IF(Nonlabor!$I$21="Seats",ROUNDUP('Monthly Base'!I49,0),IF(Nonlabor!$I$21="Customers",'Monthly Base'!D49,IF(Nonlabor!$I$21="NewCustomers",'Monthly Base'!C49,IF(Nonlabor!$I$21="StorageGB",'Monthly Base'!G49,IF(Nonlabor!$I$21="LogGB",'Monthly Base'!H49,IF(Nonlabor!$I$21="RequestsM",'Monthly Base'!F49,IF(Nonlabor!$I$21="InputM",'Monthly Base'!D49*Assumptions!$D$22/1000000,IF(Nonlabor!$I$21="OutputM",'Monthly Base'!D49*Assumptions!$D$23/1000000,0))))))))),0)</f>
        <v>1</v>
      </c>
      <c r="F2269" s="10" t="n">
        <f aca="false">Nonlabor!$J$21*(1+Assumptions!$D$9)^INT((C2269-1)/12)</f>
        <v>109.2727</v>
      </c>
      <c r="G2269" s="10" t="n">
        <f aca="false">E2269*F2269</f>
        <v>109.2727</v>
      </c>
      <c r="H2269" s="10" t="n">
        <f aca="false">IF(OR(Nonlabor!$L$21="Quote required",Nonlabor!$L$21="Unverified"),G2269,0)</f>
        <v>0</v>
      </c>
      <c r="I2269" s="10" t="n">
        <f aca="false">IF(Nonlabor!$E$21="Core",0,G2269)</f>
        <v>0</v>
      </c>
      <c r="J2269" s="23" t="str">
        <f aca="false">Nonlabor!$B$21</f>
        <v>SUPPORT</v>
      </c>
    </row>
    <row r="2270" customFormat="false" ht="15" hidden="false" customHeight="false" outlineLevel="0" collapsed="false">
      <c r="A2270" s="6" t="s">
        <v>4</v>
      </c>
      <c r="B2270" s="6" t="s">
        <v>53</v>
      </c>
      <c r="C2270" s="6" t="n">
        <v>45</v>
      </c>
      <c r="D2270" s="25" t="n">
        <f aca="false">EDATE('Start Here'!$B$6,C2270-1)</f>
        <v>47665</v>
      </c>
      <c r="E2270" s="23" t="n">
        <f aca="false">IF(AND(OR(Nonlabor!$D$21="Both",Nonlabor!$D$21='Start Here'!$B$9),IF(Nonlabor!$E$21="Core",1,IF(Nonlabor!$E$21="AI",'Start Here'!$B$7,'Start Here'!$B$8))=1,C2270&gt;=IF(Nonlabor!$E$21="Core",Nonlabor!$F$21,MAX(Nonlabor!$F$21,IF(Nonlabor!$E$21="AI",Assumptions!$D$24,Assumptions!$D$25))),C2270&lt;=Nonlabor!$G$21,OR(Nonlabor!$H$21="Monthly",AND(Nonlabor!$H$21="Once",C2270=IF(Nonlabor!$E$21="Core",Nonlabor!$F$21,MAX(Nonlabor!$F$21,IF(Nonlabor!$E$21="AI",Assumptions!$D$24,Assumptions!$D$25)))),AND(Nonlabor!$H$21="Annual",MOD(C2270-IF(Nonlabor!$E$21="Core",Nonlabor!$F$21,MAX(Nonlabor!$F$21,IF(Nonlabor!$E$21="AI",Assumptions!$D$24,Assumptions!$D$25))),12)=0))),IF(Nonlabor!$I$21="Fixed",1,IF(Nonlabor!$I$21="Seats",ROUNDUP('Monthly Base'!I50,0),IF(Nonlabor!$I$21="Customers",'Monthly Base'!D50,IF(Nonlabor!$I$21="NewCustomers",'Monthly Base'!C50,IF(Nonlabor!$I$21="StorageGB",'Monthly Base'!G50,IF(Nonlabor!$I$21="LogGB",'Monthly Base'!H50,IF(Nonlabor!$I$21="RequestsM",'Monthly Base'!F50,IF(Nonlabor!$I$21="InputM",'Monthly Base'!D50*Assumptions!$D$22/1000000,IF(Nonlabor!$I$21="OutputM",'Monthly Base'!D50*Assumptions!$D$23/1000000,0))))))))),0)</f>
        <v>1</v>
      </c>
      <c r="F2270" s="10" t="n">
        <f aca="false">Nonlabor!$J$21*(1+Assumptions!$D$9)^INT((C2270-1)/12)</f>
        <v>109.2727</v>
      </c>
      <c r="G2270" s="10" t="n">
        <f aca="false">E2270*F2270</f>
        <v>109.2727</v>
      </c>
      <c r="H2270" s="10" t="n">
        <f aca="false">IF(OR(Nonlabor!$L$21="Quote required",Nonlabor!$L$21="Unverified"),G2270,0)</f>
        <v>0</v>
      </c>
      <c r="I2270" s="10" t="n">
        <f aca="false">IF(Nonlabor!$E$21="Core",0,G2270)</f>
        <v>0</v>
      </c>
      <c r="J2270" s="23" t="str">
        <f aca="false">Nonlabor!$B$21</f>
        <v>SUPPORT</v>
      </c>
    </row>
    <row r="2271" customFormat="false" ht="15" hidden="false" customHeight="false" outlineLevel="0" collapsed="false">
      <c r="A2271" s="6" t="s">
        <v>4</v>
      </c>
      <c r="B2271" s="6" t="s">
        <v>53</v>
      </c>
      <c r="C2271" s="6" t="n">
        <v>46</v>
      </c>
      <c r="D2271" s="25" t="n">
        <f aca="false">EDATE('Start Here'!$B$6,C2271-1)</f>
        <v>47696</v>
      </c>
      <c r="E2271" s="23" t="n">
        <f aca="false">IF(AND(OR(Nonlabor!$D$21="Both",Nonlabor!$D$21='Start Here'!$B$9),IF(Nonlabor!$E$21="Core",1,IF(Nonlabor!$E$21="AI",'Start Here'!$B$7,'Start Here'!$B$8))=1,C2271&gt;=IF(Nonlabor!$E$21="Core",Nonlabor!$F$21,MAX(Nonlabor!$F$21,IF(Nonlabor!$E$21="AI",Assumptions!$D$24,Assumptions!$D$25))),C2271&lt;=Nonlabor!$G$21,OR(Nonlabor!$H$21="Monthly",AND(Nonlabor!$H$21="Once",C2271=IF(Nonlabor!$E$21="Core",Nonlabor!$F$21,MAX(Nonlabor!$F$21,IF(Nonlabor!$E$21="AI",Assumptions!$D$24,Assumptions!$D$25)))),AND(Nonlabor!$H$21="Annual",MOD(C2271-IF(Nonlabor!$E$21="Core",Nonlabor!$F$21,MAX(Nonlabor!$F$21,IF(Nonlabor!$E$21="AI",Assumptions!$D$24,Assumptions!$D$25))),12)=0))),IF(Nonlabor!$I$21="Fixed",1,IF(Nonlabor!$I$21="Seats",ROUNDUP('Monthly Base'!I51,0),IF(Nonlabor!$I$21="Customers",'Monthly Base'!D51,IF(Nonlabor!$I$21="NewCustomers",'Monthly Base'!C51,IF(Nonlabor!$I$21="StorageGB",'Monthly Base'!G51,IF(Nonlabor!$I$21="LogGB",'Monthly Base'!H51,IF(Nonlabor!$I$21="RequestsM",'Monthly Base'!F51,IF(Nonlabor!$I$21="InputM",'Monthly Base'!D51*Assumptions!$D$22/1000000,IF(Nonlabor!$I$21="OutputM",'Monthly Base'!D51*Assumptions!$D$23/1000000,0))))))))),0)</f>
        <v>1</v>
      </c>
      <c r="F2271" s="10" t="n">
        <f aca="false">Nonlabor!$J$21*(1+Assumptions!$D$9)^INT((C2271-1)/12)</f>
        <v>109.2727</v>
      </c>
      <c r="G2271" s="10" t="n">
        <f aca="false">E2271*F2271</f>
        <v>109.2727</v>
      </c>
      <c r="H2271" s="10" t="n">
        <f aca="false">IF(OR(Nonlabor!$L$21="Quote required",Nonlabor!$L$21="Unverified"),G2271,0)</f>
        <v>0</v>
      </c>
      <c r="I2271" s="10" t="n">
        <f aca="false">IF(Nonlabor!$E$21="Core",0,G2271)</f>
        <v>0</v>
      </c>
      <c r="J2271" s="23" t="str">
        <f aca="false">Nonlabor!$B$21</f>
        <v>SUPPORT</v>
      </c>
    </row>
    <row r="2272" customFormat="false" ht="15" hidden="false" customHeight="false" outlineLevel="0" collapsed="false">
      <c r="A2272" s="6" t="s">
        <v>4</v>
      </c>
      <c r="B2272" s="6" t="s">
        <v>53</v>
      </c>
      <c r="C2272" s="6" t="n">
        <v>47</v>
      </c>
      <c r="D2272" s="25" t="n">
        <f aca="false">EDATE('Start Here'!$B$6,C2272-1)</f>
        <v>47727</v>
      </c>
      <c r="E2272" s="23" t="n">
        <f aca="false">IF(AND(OR(Nonlabor!$D$21="Both",Nonlabor!$D$21='Start Here'!$B$9),IF(Nonlabor!$E$21="Core",1,IF(Nonlabor!$E$21="AI",'Start Here'!$B$7,'Start Here'!$B$8))=1,C2272&gt;=IF(Nonlabor!$E$21="Core",Nonlabor!$F$21,MAX(Nonlabor!$F$21,IF(Nonlabor!$E$21="AI",Assumptions!$D$24,Assumptions!$D$25))),C2272&lt;=Nonlabor!$G$21,OR(Nonlabor!$H$21="Monthly",AND(Nonlabor!$H$21="Once",C2272=IF(Nonlabor!$E$21="Core",Nonlabor!$F$21,MAX(Nonlabor!$F$21,IF(Nonlabor!$E$21="AI",Assumptions!$D$24,Assumptions!$D$25)))),AND(Nonlabor!$H$21="Annual",MOD(C2272-IF(Nonlabor!$E$21="Core",Nonlabor!$F$21,MAX(Nonlabor!$F$21,IF(Nonlabor!$E$21="AI",Assumptions!$D$24,Assumptions!$D$25))),12)=0))),IF(Nonlabor!$I$21="Fixed",1,IF(Nonlabor!$I$21="Seats",ROUNDUP('Monthly Base'!I52,0),IF(Nonlabor!$I$21="Customers",'Monthly Base'!D52,IF(Nonlabor!$I$21="NewCustomers",'Monthly Base'!C52,IF(Nonlabor!$I$21="StorageGB",'Monthly Base'!G52,IF(Nonlabor!$I$21="LogGB",'Monthly Base'!H52,IF(Nonlabor!$I$21="RequestsM",'Monthly Base'!F52,IF(Nonlabor!$I$21="InputM",'Monthly Base'!D52*Assumptions!$D$22/1000000,IF(Nonlabor!$I$21="OutputM",'Monthly Base'!D52*Assumptions!$D$23/1000000,0))))))))),0)</f>
        <v>1</v>
      </c>
      <c r="F2272" s="10" t="n">
        <f aca="false">Nonlabor!$J$21*(1+Assumptions!$D$9)^INT((C2272-1)/12)</f>
        <v>109.2727</v>
      </c>
      <c r="G2272" s="10" t="n">
        <f aca="false">E2272*F2272</f>
        <v>109.2727</v>
      </c>
      <c r="H2272" s="10" t="n">
        <f aca="false">IF(OR(Nonlabor!$L$21="Quote required",Nonlabor!$L$21="Unverified"),G2272,0)</f>
        <v>0</v>
      </c>
      <c r="I2272" s="10" t="n">
        <f aca="false">IF(Nonlabor!$E$21="Core",0,G2272)</f>
        <v>0</v>
      </c>
      <c r="J2272" s="23" t="str">
        <f aca="false">Nonlabor!$B$21</f>
        <v>SUPPORT</v>
      </c>
    </row>
    <row r="2273" customFormat="false" ht="15" hidden="false" customHeight="false" outlineLevel="0" collapsed="false">
      <c r="A2273" s="6" t="s">
        <v>4</v>
      </c>
      <c r="B2273" s="6" t="s">
        <v>53</v>
      </c>
      <c r="C2273" s="6" t="n">
        <v>48</v>
      </c>
      <c r="D2273" s="25" t="n">
        <f aca="false">EDATE('Start Here'!$B$6,C2273-1)</f>
        <v>47757</v>
      </c>
      <c r="E2273" s="23" t="n">
        <f aca="false">IF(AND(OR(Nonlabor!$D$21="Both",Nonlabor!$D$21='Start Here'!$B$9),IF(Nonlabor!$E$21="Core",1,IF(Nonlabor!$E$21="AI",'Start Here'!$B$7,'Start Here'!$B$8))=1,C2273&gt;=IF(Nonlabor!$E$21="Core",Nonlabor!$F$21,MAX(Nonlabor!$F$21,IF(Nonlabor!$E$21="AI",Assumptions!$D$24,Assumptions!$D$25))),C2273&lt;=Nonlabor!$G$21,OR(Nonlabor!$H$21="Monthly",AND(Nonlabor!$H$21="Once",C2273=IF(Nonlabor!$E$21="Core",Nonlabor!$F$21,MAX(Nonlabor!$F$21,IF(Nonlabor!$E$21="AI",Assumptions!$D$24,Assumptions!$D$25)))),AND(Nonlabor!$H$21="Annual",MOD(C2273-IF(Nonlabor!$E$21="Core",Nonlabor!$F$21,MAX(Nonlabor!$F$21,IF(Nonlabor!$E$21="AI",Assumptions!$D$24,Assumptions!$D$25))),12)=0))),IF(Nonlabor!$I$21="Fixed",1,IF(Nonlabor!$I$21="Seats",ROUNDUP('Monthly Base'!I53,0),IF(Nonlabor!$I$21="Customers",'Monthly Base'!D53,IF(Nonlabor!$I$21="NewCustomers",'Monthly Base'!C53,IF(Nonlabor!$I$21="StorageGB",'Monthly Base'!G53,IF(Nonlabor!$I$21="LogGB",'Monthly Base'!H53,IF(Nonlabor!$I$21="RequestsM",'Monthly Base'!F53,IF(Nonlabor!$I$21="InputM",'Monthly Base'!D53*Assumptions!$D$22/1000000,IF(Nonlabor!$I$21="OutputM",'Monthly Base'!D53*Assumptions!$D$23/1000000,0))))))))),0)</f>
        <v>1</v>
      </c>
      <c r="F2273" s="10" t="n">
        <f aca="false">Nonlabor!$J$21*(1+Assumptions!$D$9)^INT((C2273-1)/12)</f>
        <v>109.2727</v>
      </c>
      <c r="G2273" s="10" t="n">
        <f aca="false">E2273*F2273</f>
        <v>109.2727</v>
      </c>
      <c r="H2273" s="10" t="n">
        <f aca="false">IF(OR(Nonlabor!$L$21="Quote required",Nonlabor!$L$21="Unverified"),G2273,0)</f>
        <v>0</v>
      </c>
      <c r="I2273" s="10" t="n">
        <f aca="false">IF(Nonlabor!$E$21="Core",0,G2273)</f>
        <v>0</v>
      </c>
      <c r="J2273" s="23" t="str">
        <f aca="false">Nonlabor!$B$21</f>
        <v>SUPPORT</v>
      </c>
    </row>
    <row r="2274" customFormat="false" ht="15" hidden="false" customHeight="false" outlineLevel="0" collapsed="false">
      <c r="A2274" s="6" t="s">
        <v>4</v>
      </c>
      <c r="B2274" s="6" t="s">
        <v>53</v>
      </c>
      <c r="C2274" s="6" t="n">
        <v>49</v>
      </c>
      <c r="D2274" s="25" t="n">
        <f aca="false">EDATE('Start Here'!$B$6,C2274-1)</f>
        <v>47788</v>
      </c>
      <c r="E2274" s="23" t="n">
        <f aca="false">IF(AND(OR(Nonlabor!$D$21="Both",Nonlabor!$D$21='Start Here'!$B$9),IF(Nonlabor!$E$21="Core",1,IF(Nonlabor!$E$21="AI",'Start Here'!$B$7,'Start Here'!$B$8))=1,C2274&gt;=IF(Nonlabor!$E$21="Core",Nonlabor!$F$21,MAX(Nonlabor!$F$21,IF(Nonlabor!$E$21="AI",Assumptions!$D$24,Assumptions!$D$25))),C2274&lt;=Nonlabor!$G$21,OR(Nonlabor!$H$21="Monthly",AND(Nonlabor!$H$21="Once",C2274=IF(Nonlabor!$E$21="Core",Nonlabor!$F$21,MAX(Nonlabor!$F$21,IF(Nonlabor!$E$21="AI",Assumptions!$D$24,Assumptions!$D$25)))),AND(Nonlabor!$H$21="Annual",MOD(C2274-IF(Nonlabor!$E$21="Core",Nonlabor!$F$21,MAX(Nonlabor!$F$21,IF(Nonlabor!$E$21="AI",Assumptions!$D$24,Assumptions!$D$25))),12)=0))),IF(Nonlabor!$I$21="Fixed",1,IF(Nonlabor!$I$21="Seats",ROUNDUP('Monthly Base'!I54,0),IF(Nonlabor!$I$21="Customers",'Monthly Base'!D54,IF(Nonlabor!$I$21="NewCustomers",'Monthly Base'!C54,IF(Nonlabor!$I$21="StorageGB",'Monthly Base'!G54,IF(Nonlabor!$I$21="LogGB",'Monthly Base'!H54,IF(Nonlabor!$I$21="RequestsM",'Monthly Base'!F54,IF(Nonlabor!$I$21="InputM",'Monthly Base'!D54*Assumptions!$D$22/1000000,IF(Nonlabor!$I$21="OutputM",'Monthly Base'!D54*Assumptions!$D$23/1000000,0))))))))),0)</f>
        <v>1</v>
      </c>
      <c r="F2274" s="10" t="n">
        <f aca="false">Nonlabor!$J$21*(1+Assumptions!$D$9)^INT((C2274-1)/12)</f>
        <v>112.550881</v>
      </c>
      <c r="G2274" s="10" t="n">
        <f aca="false">E2274*F2274</f>
        <v>112.550881</v>
      </c>
      <c r="H2274" s="10" t="n">
        <f aca="false">IF(OR(Nonlabor!$L$21="Quote required",Nonlabor!$L$21="Unverified"),G2274,0)</f>
        <v>0</v>
      </c>
      <c r="I2274" s="10" t="n">
        <f aca="false">IF(Nonlabor!$E$21="Core",0,G2274)</f>
        <v>0</v>
      </c>
      <c r="J2274" s="23" t="str">
        <f aca="false">Nonlabor!$B$21</f>
        <v>SUPPORT</v>
      </c>
    </row>
    <row r="2275" customFormat="false" ht="15" hidden="false" customHeight="false" outlineLevel="0" collapsed="false">
      <c r="A2275" s="6" t="s">
        <v>4</v>
      </c>
      <c r="B2275" s="6" t="s">
        <v>53</v>
      </c>
      <c r="C2275" s="6" t="n">
        <v>50</v>
      </c>
      <c r="D2275" s="25" t="n">
        <f aca="false">EDATE('Start Here'!$B$6,C2275-1)</f>
        <v>47818</v>
      </c>
      <c r="E2275" s="23" t="n">
        <f aca="false">IF(AND(OR(Nonlabor!$D$21="Both",Nonlabor!$D$21='Start Here'!$B$9),IF(Nonlabor!$E$21="Core",1,IF(Nonlabor!$E$21="AI",'Start Here'!$B$7,'Start Here'!$B$8))=1,C2275&gt;=IF(Nonlabor!$E$21="Core",Nonlabor!$F$21,MAX(Nonlabor!$F$21,IF(Nonlabor!$E$21="AI",Assumptions!$D$24,Assumptions!$D$25))),C2275&lt;=Nonlabor!$G$21,OR(Nonlabor!$H$21="Monthly",AND(Nonlabor!$H$21="Once",C2275=IF(Nonlabor!$E$21="Core",Nonlabor!$F$21,MAX(Nonlabor!$F$21,IF(Nonlabor!$E$21="AI",Assumptions!$D$24,Assumptions!$D$25)))),AND(Nonlabor!$H$21="Annual",MOD(C2275-IF(Nonlabor!$E$21="Core",Nonlabor!$F$21,MAX(Nonlabor!$F$21,IF(Nonlabor!$E$21="AI",Assumptions!$D$24,Assumptions!$D$25))),12)=0))),IF(Nonlabor!$I$21="Fixed",1,IF(Nonlabor!$I$21="Seats",ROUNDUP('Monthly Base'!I55,0),IF(Nonlabor!$I$21="Customers",'Monthly Base'!D55,IF(Nonlabor!$I$21="NewCustomers",'Monthly Base'!C55,IF(Nonlabor!$I$21="StorageGB",'Monthly Base'!G55,IF(Nonlabor!$I$21="LogGB",'Monthly Base'!H55,IF(Nonlabor!$I$21="RequestsM",'Monthly Base'!F55,IF(Nonlabor!$I$21="InputM",'Monthly Base'!D55*Assumptions!$D$22/1000000,IF(Nonlabor!$I$21="OutputM",'Monthly Base'!D55*Assumptions!$D$23/1000000,0))))))))),0)</f>
        <v>1</v>
      </c>
      <c r="F2275" s="10" t="n">
        <f aca="false">Nonlabor!$J$21*(1+Assumptions!$D$9)^INT((C2275-1)/12)</f>
        <v>112.550881</v>
      </c>
      <c r="G2275" s="10" t="n">
        <f aca="false">E2275*F2275</f>
        <v>112.550881</v>
      </c>
      <c r="H2275" s="10" t="n">
        <f aca="false">IF(OR(Nonlabor!$L$21="Quote required",Nonlabor!$L$21="Unverified"),G2275,0)</f>
        <v>0</v>
      </c>
      <c r="I2275" s="10" t="n">
        <f aca="false">IF(Nonlabor!$E$21="Core",0,G2275)</f>
        <v>0</v>
      </c>
      <c r="J2275" s="23" t="str">
        <f aca="false">Nonlabor!$B$21</f>
        <v>SUPPORT</v>
      </c>
    </row>
    <row r="2276" customFormat="false" ht="15" hidden="false" customHeight="false" outlineLevel="0" collapsed="false">
      <c r="A2276" s="6" t="s">
        <v>4</v>
      </c>
      <c r="B2276" s="6" t="s">
        <v>53</v>
      </c>
      <c r="C2276" s="6" t="n">
        <v>51</v>
      </c>
      <c r="D2276" s="25" t="n">
        <f aca="false">EDATE('Start Here'!$B$6,C2276-1)</f>
        <v>47849</v>
      </c>
      <c r="E2276" s="23" t="n">
        <f aca="false">IF(AND(OR(Nonlabor!$D$21="Both",Nonlabor!$D$21='Start Here'!$B$9),IF(Nonlabor!$E$21="Core",1,IF(Nonlabor!$E$21="AI",'Start Here'!$B$7,'Start Here'!$B$8))=1,C2276&gt;=IF(Nonlabor!$E$21="Core",Nonlabor!$F$21,MAX(Nonlabor!$F$21,IF(Nonlabor!$E$21="AI",Assumptions!$D$24,Assumptions!$D$25))),C2276&lt;=Nonlabor!$G$21,OR(Nonlabor!$H$21="Monthly",AND(Nonlabor!$H$21="Once",C2276=IF(Nonlabor!$E$21="Core",Nonlabor!$F$21,MAX(Nonlabor!$F$21,IF(Nonlabor!$E$21="AI",Assumptions!$D$24,Assumptions!$D$25)))),AND(Nonlabor!$H$21="Annual",MOD(C2276-IF(Nonlabor!$E$21="Core",Nonlabor!$F$21,MAX(Nonlabor!$F$21,IF(Nonlabor!$E$21="AI",Assumptions!$D$24,Assumptions!$D$25))),12)=0))),IF(Nonlabor!$I$21="Fixed",1,IF(Nonlabor!$I$21="Seats",ROUNDUP('Monthly Base'!I56,0),IF(Nonlabor!$I$21="Customers",'Monthly Base'!D56,IF(Nonlabor!$I$21="NewCustomers",'Monthly Base'!C56,IF(Nonlabor!$I$21="StorageGB",'Monthly Base'!G56,IF(Nonlabor!$I$21="LogGB",'Monthly Base'!H56,IF(Nonlabor!$I$21="RequestsM",'Monthly Base'!F56,IF(Nonlabor!$I$21="InputM",'Monthly Base'!D56*Assumptions!$D$22/1000000,IF(Nonlabor!$I$21="OutputM",'Monthly Base'!D56*Assumptions!$D$23/1000000,0))))))))),0)</f>
        <v>1</v>
      </c>
      <c r="F2276" s="10" t="n">
        <f aca="false">Nonlabor!$J$21*(1+Assumptions!$D$9)^INT((C2276-1)/12)</f>
        <v>112.550881</v>
      </c>
      <c r="G2276" s="10" t="n">
        <f aca="false">E2276*F2276</f>
        <v>112.550881</v>
      </c>
      <c r="H2276" s="10" t="n">
        <f aca="false">IF(OR(Nonlabor!$L$21="Quote required",Nonlabor!$L$21="Unverified"),G2276,0)</f>
        <v>0</v>
      </c>
      <c r="I2276" s="10" t="n">
        <f aca="false">IF(Nonlabor!$E$21="Core",0,G2276)</f>
        <v>0</v>
      </c>
      <c r="J2276" s="23" t="str">
        <f aca="false">Nonlabor!$B$21</f>
        <v>SUPPORT</v>
      </c>
    </row>
    <row r="2277" customFormat="false" ht="15" hidden="false" customHeight="false" outlineLevel="0" collapsed="false">
      <c r="A2277" s="6" t="s">
        <v>4</v>
      </c>
      <c r="B2277" s="6" t="s">
        <v>53</v>
      </c>
      <c r="C2277" s="6" t="n">
        <v>52</v>
      </c>
      <c r="D2277" s="25" t="n">
        <f aca="false">EDATE('Start Here'!$B$6,C2277-1)</f>
        <v>47880</v>
      </c>
      <c r="E2277" s="23" t="n">
        <f aca="false">IF(AND(OR(Nonlabor!$D$21="Both",Nonlabor!$D$21='Start Here'!$B$9),IF(Nonlabor!$E$21="Core",1,IF(Nonlabor!$E$21="AI",'Start Here'!$B$7,'Start Here'!$B$8))=1,C2277&gt;=IF(Nonlabor!$E$21="Core",Nonlabor!$F$21,MAX(Nonlabor!$F$21,IF(Nonlabor!$E$21="AI",Assumptions!$D$24,Assumptions!$D$25))),C2277&lt;=Nonlabor!$G$21,OR(Nonlabor!$H$21="Monthly",AND(Nonlabor!$H$21="Once",C2277=IF(Nonlabor!$E$21="Core",Nonlabor!$F$21,MAX(Nonlabor!$F$21,IF(Nonlabor!$E$21="AI",Assumptions!$D$24,Assumptions!$D$25)))),AND(Nonlabor!$H$21="Annual",MOD(C2277-IF(Nonlabor!$E$21="Core",Nonlabor!$F$21,MAX(Nonlabor!$F$21,IF(Nonlabor!$E$21="AI",Assumptions!$D$24,Assumptions!$D$25))),12)=0))),IF(Nonlabor!$I$21="Fixed",1,IF(Nonlabor!$I$21="Seats",ROUNDUP('Monthly Base'!I57,0),IF(Nonlabor!$I$21="Customers",'Monthly Base'!D57,IF(Nonlabor!$I$21="NewCustomers",'Monthly Base'!C57,IF(Nonlabor!$I$21="StorageGB",'Monthly Base'!G57,IF(Nonlabor!$I$21="LogGB",'Monthly Base'!H57,IF(Nonlabor!$I$21="RequestsM",'Monthly Base'!F57,IF(Nonlabor!$I$21="InputM",'Monthly Base'!D57*Assumptions!$D$22/1000000,IF(Nonlabor!$I$21="OutputM",'Monthly Base'!D57*Assumptions!$D$23/1000000,0))))))))),0)</f>
        <v>1</v>
      </c>
      <c r="F2277" s="10" t="n">
        <f aca="false">Nonlabor!$J$21*(1+Assumptions!$D$9)^INT((C2277-1)/12)</f>
        <v>112.550881</v>
      </c>
      <c r="G2277" s="10" t="n">
        <f aca="false">E2277*F2277</f>
        <v>112.550881</v>
      </c>
      <c r="H2277" s="10" t="n">
        <f aca="false">IF(OR(Nonlabor!$L$21="Quote required",Nonlabor!$L$21="Unverified"),G2277,0)</f>
        <v>0</v>
      </c>
      <c r="I2277" s="10" t="n">
        <f aca="false">IF(Nonlabor!$E$21="Core",0,G2277)</f>
        <v>0</v>
      </c>
      <c r="J2277" s="23" t="str">
        <f aca="false">Nonlabor!$B$21</f>
        <v>SUPPORT</v>
      </c>
    </row>
    <row r="2278" customFormat="false" ht="15" hidden="false" customHeight="false" outlineLevel="0" collapsed="false">
      <c r="A2278" s="6" t="s">
        <v>4</v>
      </c>
      <c r="B2278" s="6" t="s">
        <v>53</v>
      </c>
      <c r="C2278" s="6" t="n">
        <v>53</v>
      </c>
      <c r="D2278" s="25" t="n">
        <f aca="false">EDATE('Start Here'!$B$6,C2278-1)</f>
        <v>47908</v>
      </c>
      <c r="E2278" s="23" t="n">
        <f aca="false">IF(AND(OR(Nonlabor!$D$21="Both",Nonlabor!$D$21='Start Here'!$B$9),IF(Nonlabor!$E$21="Core",1,IF(Nonlabor!$E$21="AI",'Start Here'!$B$7,'Start Here'!$B$8))=1,C2278&gt;=IF(Nonlabor!$E$21="Core",Nonlabor!$F$21,MAX(Nonlabor!$F$21,IF(Nonlabor!$E$21="AI",Assumptions!$D$24,Assumptions!$D$25))),C2278&lt;=Nonlabor!$G$21,OR(Nonlabor!$H$21="Monthly",AND(Nonlabor!$H$21="Once",C2278=IF(Nonlabor!$E$21="Core",Nonlabor!$F$21,MAX(Nonlabor!$F$21,IF(Nonlabor!$E$21="AI",Assumptions!$D$24,Assumptions!$D$25)))),AND(Nonlabor!$H$21="Annual",MOD(C2278-IF(Nonlabor!$E$21="Core",Nonlabor!$F$21,MAX(Nonlabor!$F$21,IF(Nonlabor!$E$21="AI",Assumptions!$D$24,Assumptions!$D$25))),12)=0))),IF(Nonlabor!$I$21="Fixed",1,IF(Nonlabor!$I$21="Seats",ROUNDUP('Monthly Base'!I58,0),IF(Nonlabor!$I$21="Customers",'Monthly Base'!D58,IF(Nonlabor!$I$21="NewCustomers",'Monthly Base'!C58,IF(Nonlabor!$I$21="StorageGB",'Monthly Base'!G58,IF(Nonlabor!$I$21="LogGB",'Monthly Base'!H58,IF(Nonlabor!$I$21="RequestsM",'Monthly Base'!F58,IF(Nonlabor!$I$21="InputM",'Monthly Base'!D58*Assumptions!$D$22/1000000,IF(Nonlabor!$I$21="OutputM",'Monthly Base'!D58*Assumptions!$D$23/1000000,0))))))))),0)</f>
        <v>1</v>
      </c>
      <c r="F2278" s="10" t="n">
        <f aca="false">Nonlabor!$J$21*(1+Assumptions!$D$9)^INT((C2278-1)/12)</f>
        <v>112.550881</v>
      </c>
      <c r="G2278" s="10" t="n">
        <f aca="false">E2278*F2278</f>
        <v>112.550881</v>
      </c>
      <c r="H2278" s="10" t="n">
        <f aca="false">IF(OR(Nonlabor!$L$21="Quote required",Nonlabor!$L$21="Unverified"),G2278,0)</f>
        <v>0</v>
      </c>
      <c r="I2278" s="10" t="n">
        <f aca="false">IF(Nonlabor!$E$21="Core",0,G2278)</f>
        <v>0</v>
      </c>
      <c r="J2278" s="23" t="str">
        <f aca="false">Nonlabor!$B$21</f>
        <v>SUPPORT</v>
      </c>
    </row>
    <row r="2279" customFormat="false" ht="15" hidden="false" customHeight="false" outlineLevel="0" collapsed="false">
      <c r="A2279" s="6" t="s">
        <v>4</v>
      </c>
      <c r="B2279" s="6" t="s">
        <v>53</v>
      </c>
      <c r="C2279" s="6" t="n">
        <v>54</v>
      </c>
      <c r="D2279" s="25" t="n">
        <f aca="false">EDATE('Start Here'!$B$6,C2279-1)</f>
        <v>47939</v>
      </c>
      <c r="E2279" s="23" t="n">
        <f aca="false">IF(AND(OR(Nonlabor!$D$21="Both",Nonlabor!$D$21='Start Here'!$B$9),IF(Nonlabor!$E$21="Core",1,IF(Nonlabor!$E$21="AI",'Start Here'!$B$7,'Start Here'!$B$8))=1,C2279&gt;=IF(Nonlabor!$E$21="Core",Nonlabor!$F$21,MAX(Nonlabor!$F$21,IF(Nonlabor!$E$21="AI",Assumptions!$D$24,Assumptions!$D$25))),C2279&lt;=Nonlabor!$G$21,OR(Nonlabor!$H$21="Monthly",AND(Nonlabor!$H$21="Once",C2279=IF(Nonlabor!$E$21="Core",Nonlabor!$F$21,MAX(Nonlabor!$F$21,IF(Nonlabor!$E$21="AI",Assumptions!$D$24,Assumptions!$D$25)))),AND(Nonlabor!$H$21="Annual",MOD(C2279-IF(Nonlabor!$E$21="Core",Nonlabor!$F$21,MAX(Nonlabor!$F$21,IF(Nonlabor!$E$21="AI",Assumptions!$D$24,Assumptions!$D$25))),12)=0))),IF(Nonlabor!$I$21="Fixed",1,IF(Nonlabor!$I$21="Seats",ROUNDUP('Monthly Base'!I59,0),IF(Nonlabor!$I$21="Customers",'Monthly Base'!D59,IF(Nonlabor!$I$21="NewCustomers",'Monthly Base'!C59,IF(Nonlabor!$I$21="StorageGB",'Monthly Base'!G59,IF(Nonlabor!$I$21="LogGB",'Monthly Base'!H59,IF(Nonlabor!$I$21="RequestsM",'Monthly Base'!F59,IF(Nonlabor!$I$21="InputM",'Monthly Base'!D59*Assumptions!$D$22/1000000,IF(Nonlabor!$I$21="OutputM",'Monthly Base'!D59*Assumptions!$D$23/1000000,0))))))))),0)</f>
        <v>1</v>
      </c>
      <c r="F2279" s="10" t="n">
        <f aca="false">Nonlabor!$J$21*(1+Assumptions!$D$9)^INT((C2279-1)/12)</f>
        <v>112.550881</v>
      </c>
      <c r="G2279" s="10" t="n">
        <f aca="false">E2279*F2279</f>
        <v>112.550881</v>
      </c>
      <c r="H2279" s="10" t="n">
        <f aca="false">IF(OR(Nonlabor!$L$21="Quote required",Nonlabor!$L$21="Unverified"),G2279,0)</f>
        <v>0</v>
      </c>
      <c r="I2279" s="10" t="n">
        <f aca="false">IF(Nonlabor!$E$21="Core",0,G2279)</f>
        <v>0</v>
      </c>
      <c r="J2279" s="23" t="str">
        <f aca="false">Nonlabor!$B$21</f>
        <v>SUPPORT</v>
      </c>
    </row>
    <row r="2280" customFormat="false" ht="15" hidden="false" customHeight="false" outlineLevel="0" collapsed="false">
      <c r="A2280" s="6" t="s">
        <v>4</v>
      </c>
      <c r="B2280" s="6" t="s">
        <v>53</v>
      </c>
      <c r="C2280" s="6" t="n">
        <v>55</v>
      </c>
      <c r="D2280" s="25" t="n">
        <f aca="false">EDATE('Start Here'!$B$6,C2280-1)</f>
        <v>47969</v>
      </c>
      <c r="E2280" s="23" t="n">
        <f aca="false">IF(AND(OR(Nonlabor!$D$21="Both",Nonlabor!$D$21='Start Here'!$B$9),IF(Nonlabor!$E$21="Core",1,IF(Nonlabor!$E$21="AI",'Start Here'!$B$7,'Start Here'!$B$8))=1,C2280&gt;=IF(Nonlabor!$E$21="Core",Nonlabor!$F$21,MAX(Nonlabor!$F$21,IF(Nonlabor!$E$21="AI",Assumptions!$D$24,Assumptions!$D$25))),C2280&lt;=Nonlabor!$G$21,OR(Nonlabor!$H$21="Monthly",AND(Nonlabor!$H$21="Once",C2280=IF(Nonlabor!$E$21="Core",Nonlabor!$F$21,MAX(Nonlabor!$F$21,IF(Nonlabor!$E$21="AI",Assumptions!$D$24,Assumptions!$D$25)))),AND(Nonlabor!$H$21="Annual",MOD(C2280-IF(Nonlabor!$E$21="Core",Nonlabor!$F$21,MAX(Nonlabor!$F$21,IF(Nonlabor!$E$21="AI",Assumptions!$D$24,Assumptions!$D$25))),12)=0))),IF(Nonlabor!$I$21="Fixed",1,IF(Nonlabor!$I$21="Seats",ROUNDUP('Monthly Base'!I60,0),IF(Nonlabor!$I$21="Customers",'Monthly Base'!D60,IF(Nonlabor!$I$21="NewCustomers",'Monthly Base'!C60,IF(Nonlabor!$I$21="StorageGB",'Monthly Base'!G60,IF(Nonlabor!$I$21="LogGB",'Monthly Base'!H60,IF(Nonlabor!$I$21="RequestsM",'Monthly Base'!F60,IF(Nonlabor!$I$21="InputM",'Monthly Base'!D60*Assumptions!$D$22/1000000,IF(Nonlabor!$I$21="OutputM",'Monthly Base'!D60*Assumptions!$D$23/1000000,0))))))))),0)</f>
        <v>1</v>
      </c>
      <c r="F2280" s="10" t="n">
        <f aca="false">Nonlabor!$J$21*(1+Assumptions!$D$9)^INT((C2280-1)/12)</f>
        <v>112.550881</v>
      </c>
      <c r="G2280" s="10" t="n">
        <f aca="false">E2280*F2280</f>
        <v>112.550881</v>
      </c>
      <c r="H2280" s="10" t="n">
        <f aca="false">IF(OR(Nonlabor!$L$21="Quote required",Nonlabor!$L$21="Unverified"),G2280,0)</f>
        <v>0</v>
      </c>
      <c r="I2280" s="10" t="n">
        <f aca="false">IF(Nonlabor!$E$21="Core",0,G2280)</f>
        <v>0</v>
      </c>
      <c r="J2280" s="23" t="str">
        <f aca="false">Nonlabor!$B$21</f>
        <v>SUPPORT</v>
      </c>
    </row>
    <row r="2281" customFormat="false" ht="15" hidden="false" customHeight="false" outlineLevel="0" collapsed="false">
      <c r="A2281" s="6" t="s">
        <v>4</v>
      </c>
      <c r="B2281" s="6" t="s">
        <v>53</v>
      </c>
      <c r="C2281" s="6" t="n">
        <v>56</v>
      </c>
      <c r="D2281" s="25" t="n">
        <f aca="false">EDATE('Start Here'!$B$6,C2281-1)</f>
        <v>48000</v>
      </c>
      <c r="E2281" s="23" t="n">
        <f aca="false">IF(AND(OR(Nonlabor!$D$21="Both",Nonlabor!$D$21='Start Here'!$B$9),IF(Nonlabor!$E$21="Core",1,IF(Nonlabor!$E$21="AI",'Start Here'!$B$7,'Start Here'!$B$8))=1,C2281&gt;=IF(Nonlabor!$E$21="Core",Nonlabor!$F$21,MAX(Nonlabor!$F$21,IF(Nonlabor!$E$21="AI",Assumptions!$D$24,Assumptions!$D$25))),C2281&lt;=Nonlabor!$G$21,OR(Nonlabor!$H$21="Monthly",AND(Nonlabor!$H$21="Once",C2281=IF(Nonlabor!$E$21="Core",Nonlabor!$F$21,MAX(Nonlabor!$F$21,IF(Nonlabor!$E$21="AI",Assumptions!$D$24,Assumptions!$D$25)))),AND(Nonlabor!$H$21="Annual",MOD(C2281-IF(Nonlabor!$E$21="Core",Nonlabor!$F$21,MAX(Nonlabor!$F$21,IF(Nonlabor!$E$21="AI",Assumptions!$D$24,Assumptions!$D$25))),12)=0))),IF(Nonlabor!$I$21="Fixed",1,IF(Nonlabor!$I$21="Seats",ROUNDUP('Monthly Base'!I61,0),IF(Nonlabor!$I$21="Customers",'Monthly Base'!D61,IF(Nonlabor!$I$21="NewCustomers",'Monthly Base'!C61,IF(Nonlabor!$I$21="StorageGB",'Monthly Base'!G61,IF(Nonlabor!$I$21="LogGB",'Monthly Base'!H61,IF(Nonlabor!$I$21="RequestsM",'Monthly Base'!F61,IF(Nonlabor!$I$21="InputM",'Monthly Base'!D61*Assumptions!$D$22/1000000,IF(Nonlabor!$I$21="OutputM",'Monthly Base'!D61*Assumptions!$D$23/1000000,0))))))))),0)</f>
        <v>1</v>
      </c>
      <c r="F2281" s="10" t="n">
        <f aca="false">Nonlabor!$J$21*(1+Assumptions!$D$9)^INT((C2281-1)/12)</f>
        <v>112.550881</v>
      </c>
      <c r="G2281" s="10" t="n">
        <f aca="false">E2281*F2281</f>
        <v>112.550881</v>
      </c>
      <c r="H2281" s="10" t="n">
        <f aca="false">IF(OR(Nonlabor!$L$21="Quote required",Nonlabor!$L$21="Unverified"),G2281,0)</f>
        <v>0</v>
      </c>
      <c r="I2281" s="10" t="n">
        <f aca="false">IF(Nonlabor!$E$21="Core",0,G2281)</f>
        <v>0</v>
      </c>
      <c r="J2281" s="23" t="str">
        <f aca="false">Nonlabor!$B$21</f>
        <v>SUPPORT</v>
      </c>
    </row>
    <row r="2282" customFormat="false" ht="15" hidden="false" customHeight="false" outlineLevel="0" collapsed="false">
      <c r="A2282" s="6" t="s">
        <v>4</v>
      </c>
      <c r="B2282" s="6" t="s">
        <v>53</v>
      </c>
      <c r="C2282" s="6" t="n">
        <v>57</v>
      </c>
      <c r="D2282" s="25" t="n">
        <f aca="false">EDATE('Start Here'!$B$6,C2282-1)</f>
        <v>48030</v>
      </c>
      <c r="E2282" s="23" t="n">
        <f aca="false">IF(AND(OR(Nonlabor!$D$21="Both",Nonlabor!$D$21='Start Here'!$B$9),IF(Nonlabor!$E$21="Core",1,IF(Nonlabor!$E$21="AI",'Start Here'!$B$7,'Start Here'!$B$8))=1,C2282&gt;=IF(Nonlabor!$E$21="Core",Nonlabor!$F$21,MAX(Nonlabor!$F$21,IF(Nonlabor!$E$21="AI",Assumptions!$D$24,Assumptions!$D$25))),C2282&lt;=Nonlabor!$G$21,OR(Nonlabor!$H$21="Monthly",AND(Nonlabor!$H$21="Once",C2282=IF(Nonlabor!$E$21="Core",Nonlabor!$F$21,MAX(Nonlabor!$F$21,IF(Nonlabor!$E$21="AI",Assumptions!$D$24,Assumptions!$D$25)))),AND(Nonlabor!$H$21="Annual",MOD(C2282-IF(Nonlabor!$E$21="Core",Nonlabor!$F$21,MAX(Nonlabor!$F$21,IF(Nonlabor!$E$21="AI",Assumptions!$D$24,Assumptions!$D$25))),12)=0))),IF(Nonlabor!$I$21="Fixed",1,IF(Nonlabor!$I$21="Seats",ROUNDUP('Monthly Base'!I62,0),IF(Nonlabor!$I$21="Customers",'Monthly Base'!D62,IF(Nonlabor!$I$21="NewCustomers",'Monthly Base'!C62,IF(Nonlabor!$I$21="StorageGB",'Monthly Base'!G62,IF(Nonlabor!$I$21="LogGB",'Monthly Base'!H62,IF(Nonlabor!$I$21="RequestsM",'Monthly Base'!F62,IF(Nonlabor!$I$21="InputM",'Monthly Base'!D62*Assumptions!$D$22/1000000,IF(Nonlabor!$I$21="OutputM",'Monthly Base'!D62*Assumptions!$D$23/1000000,0))))))))),0)</f>
        <v>1</v>
      </c>
      <c r="F2282" s="10" t="n">
        <f aca="false">Nonlabor!$J$21*(1+Assumptions!$D$9)^INT((C2282-1)/12)</f>
        <v>112.550881</v>
      </c>
      <c r="G2282" s="10" t="n">
        <f aca="false">E2282*F2282</f>
        <v>112.550881</v>
      </c>
      <c r="H2282" s="10" t="n">
        <f aca="false">IF(OR(Nonlabor!$L$21="Quote required",Nonlabor!$L$21="Unverified"),G2282,0)</f>
        <v>0</v>
      </c>
      <c r="I2282" s="10" t="n">
        <f aca="false">IF(Nonlabor!$E$21="Core",0,G2282)</f>
        <v>0</v>
      </c>
      <c r="J2282" s="23" t="str">
        <f aca="false">Nonlabor!$B$21</f>
        <v>SUPPORT</v>
      </c>
    </row>
    <row r="2283" customFormat="false" ht="15" hidden="false" customHeight="false" outlineLevel="0" collapsed="false">
      <c r="A2283" s="6" t="s">
        <v>4</v>
      </c>
      <c r="B2283" s="6" t="s">
        <v>53</v>
      </c>
      <c r="C2283" s="6" t="n">
        <v>58</v>
      </c>
      <c r="D2283" s="25" t="n">
        <f aca="false">EDATE('Start Here'!$B$6,C2283-1)</f>
        <v>48061</v>
      </c>
      <c r="E2283" s="23" t="n">
        <f aca="false">IF(AND(OR(Nonlabor!$D$21="Both",Nonlabor!$D$21='Start Here'!$B$9),IF(Nonlabor!$E$21="Core",1,IF(Nonlabor!$E$21="AI",'Start Here'!$B$7,'Start Here'!$B$8))=1,C2283&gt;=IF(Nonlabor!$E$21="Core",Nonlabor!$F$21,MAX(Nonlabor!$F$21,IF(Nonlabor!$E$21="AI",Assumptions!$D$24,Assumptions!$D$25))),C2283&lt;=Nonlabor!$G$21,OR(Nonlabor!$H$21="Monthly",AND(Nonlabor!$H$21="Once",C2283=IF(Nonlabor!$E$21="Core",Nonlabor!$F$21,MAX(Nonlabor!$F$21,IF(Nonlabor!$E$21="AI",Assumptions!$D$24,Assumptions!$D$25)))),AND(Nonlabor!$H$21="Annual",MOD(C2283-IF(Nonlabor!$E$21="Core",Nonlabor!$F$21,MAX(Nonlabor!$F$21,IF(Nonlabor!$E$21="AI",Assumptions!$D$24,Assumptions!$D$25))),12)=0))),IF(Nonlabor!$I$21="Fixed",1,IF(Nonlabor!$I$21="Seats",ROUNDUP('Monthly Base'!I63,0),IF(Nonlabor!$I$21="Customers",'Monthly Base'!D63,IF(Nonlabor!$I$21="NewCustomers",'Monthly Base'!C63,IF(Nonlabor!$I$21="StorageGB",'Monthly Base'!G63,IF(Nonlabor!$I$21="LogGB",'Monthly Base'!H63,IF(Nonlabor!$I$21="RequestsM",'Monthly Base'!F63,IF(Nonlabor!$I$21="InputM",'Monthly Base'!D63*Assumptions!$D$22/1000000,IF(Nonlabor!$I$21="OutputM",'Monthly Base'!D63*Assumptions!$D$23/1000000,0))))))))),0)</f>
        <v>1</v>
      </c>
      <c r="F2283" s="10" t="n">
        <f aca="false">Nonlabor!$J$21*(1+Assumptions!$D$9)^INT((C2283-1)/12)</f>
        <v>112.550881</v>
      </c>
      <c r="G2283" s="10" t="n">
        <f aca="false">E2283*F2283</f>
        <v>112.550881</v>
      </c>
      <c r="H2283" s="10" t="n">
        <f aca="false">IF(OR(Nonlabor!$L$21="Quote required",Nonlabor!$L$21="Unverified"),G2283,0)</f>
        <v>0</v>
      </c>
      <c r="I2283" s="10" t="n">
        <f aca="false">IF(Nonlabor!$E$21="Core",0,G2283)</f>
        <v>0</v>
      </c>
      <c r="J2283" s="23" t="str">
        <f aca="false">Nonlabor!$B$21</f>
        <v>SUPPORT</v>
      </c>
    </row>
    <row r="2284" customFormat="false" ht="15" hidden="false" customHeight="false" outlineLevel="0" collapsed="false">
      <c r="A2284" s="6" t="s">
        <v>4</v>
      </c>
      <c r="B2284" s="6" t="s">
        <v>53</v>
      </c>
      <c r="C2284" s="6" t="n">
        <v>59</v>
      </c>
      <c r="D2284" s="25" t="n">
        <f aca="false">EDATE('Start Here'!$B$6,C2284-1)</f>
        <v>48092</v>
      </c>
      <c r="E2284" s="23" t="n">
        <f aca="false">IF(AND(OR(Nonlabor!$D$21="Both",Nonlabor!$D$21='Start Here'!$B$9),IF(Nonlabor!$E$21="Core",1,IF(Nonlabor!$E$21="AI",'Start Here'!$B$7,'Start Here'!$B$8))=1,C2284&gt;=IF(Nonlabor!$E$21="Core",Nonlabor!$F$21,MAX(Nonlabor!$F$21,IF(Nonlabor!$E$21="AI",Assumptions!$D$24,Assumptions!$D$25))),C2284&lt;=Nonlabor!$G$21,OR(Nonlabor!$H$21="Monthly",AND(Nonlabor!$H$21="Once",C2284=IF(Nonlabor!$E$21="Core",Nonlabor!$F$21,MAX(Nonlabor!$F$21,IF(Nonlabor!$E$21="AI",Assumptions!$D$24,Assumptions!$D$25)))),AND(Nonlabor!$H$21="Annual",MOD(C2284-IF(Nonlabor!$E$21="Core",Nonlabor!$F$21,MAX(Nonlabor!$F$21,IF(Nonlabor!$E$21="AI",Assumptions!$D$24,Assumptions!$D$25))),12)=0))),IF(Nonlabor!$I$21="Fixed",1,IF(Nonlabor!$I$21="Seats",ROUNDUP('Monthly Base'!I64,0),IF(Nonlabor!$I$21="Customers",'Monthly Base'!D64,IF(Nonlabor!$I$21="NewCustomers",'Monthly Base'!C64,IF(Nonlabor!$I$21="StorageGB",'Monthly Base'!G64,IF(Nonlabor!$I$21="LogGB",'Monthly Base'!H64,IF(Nonlabor!$I$21="RequestsM",'Monthly Base'!F64,IF(Nonlabor!$I$21="InputM",'Monthly Base'!D64*Assumptions!$D$22/1000000,IF(Nonlabor!$I$21="OutputM",'Monthly Base'!D64*Assumptions!$D$23/1000000,0))))))))),0)</f>
        <v>1</v>
      </c>
      <c r="F2284" s="10" t="n">
        <f aca="false">Nonlabor!$J$21*(1+Assumptions!$D$9)^INT((C2284-1)/12)</f>
        <v>112.550881</v>
      </c>
      <c r="G2284" s="10" t="n">
        <f aca="false">E2284*F2284</f>
        <v>112.550881</v>
      </c>
      <c r="H2284" s="10" t="n">
        <f aca="false">IF(OR(Nonlabor!$L$21="Quote required",Nonlabor!$L$21="Unverified"),G2284,0)</f>
        <v>0</v>
      </c>
      <c r="I2284" s="10" t="n">
        <f aca="false">IF(Nonlabor!$E$21="Core",0,G2284)</f>
        <v>0</v>
      </c>
      <c r="J2284" s="23" t="str">
        <f aca="false">Nonlabor!$B$21</f>
        <v>SUPPORT</v>
      </c>
    </row>
    <row r="2285" customFormat="false" ht="15" hidden="false" customHeight="false" outlineLevel="0" collapsed="false">
      <c r="A2285" s="6" t="s">
        <v>4</v>
      </c>
      <c r="B2285" s="6" t="s">
        <v>53</v>
      </c>
      <c r="C2285" s="6" t="n">
        <v>60</v>
      </c>
      <c r="D2285" s="25" t="n">
        <f aca="false">EDATE('Start Here'!$B$6,C2285-1)</f>
        <v>48122</v>
      </c>
      <c r="E2285" s="23" t="n">
        <f aca="false">IF(AND(OR(Nonlabor!$D$21="Both",Nonlabor!$D$21='Start Here'!$B$9),IF(Nonlabor!$E$21="Core",1,IF(Nonlabor!$E$21="AI",'Start Here'!$B$7,'Start Here'!$B$8))=1,C2285&gt;=IF(Nonlabor!$E$21="Core",Nonlabor!$F$21,MAX(Nonlabor!$F$21,IF(Nonlabor!$E$21="AI",Assumptions!$D$24,Assumptions!$D$25))),C2285&lt;=Nonlabor!$G$21,OR(Nonlabor!$H$21="Monthly",AND(Nonlabor!$H$21="Once",C2285=IF(Nonlabor!$E$21="Core",Nonlabor!$F$21,MAX(Nonlabor!$F$21,IF(Nonlabor!$E$21="AI",Assumptions!$D$24,Assumptions!$D$25)))),AND(Nonlabor!$H$21="Annual",MOD(C2285-IF(Nonlabor!$E$21="Core",Nonlabor!$F$21,MAX(Nonlabor!$F$21,IF(Nonlabor!$E$21="AI",Assumptions!$D$24,Assumptions!$D$25))),12)=0))),IF(Nonlabor!$I$21="Fixed",1,IF(Nonlabor!$I$21="Seats",ROUNDUP('Monthly Base'!I65,0),IF(Nonlabor!$I$21="Customers",'Monthly Base'!D65,IF(Nonlabor!$I$21="NewCustomers",'Monthly Base'!C65,IF(Nonlabor!$I$21="StorageGB",'Monthly Base'!G65,IF(Nonlabor!$I$21="LogGB",'Monthly Base'!H65,IF(Nonlabor!$I$21="RequestsM",'Monthly Base'!F65,IF(Nonlabor!$I$21="InputM",'Monthly Base'!D65*Assumptions!$D$22/1000000,IF(Nonlabor!$I$21="OutputM",'Monthly Base'!D65*Assumptions!$D$23/1000000,0))))))))),0)</f>
        <v>1</v>
      </c>
      <c r="F2285" s="10" t="n">
        <f aca="false">Nonlabor!$J$21*(1+Assumptions!$D$9)^INT((C2285-1)/12)</f>
        <v>112.550881</v>
      </c>
      <c r="G2285" s="10" t="n">
        <f aca="false">E2285*F2285</f>
        <v>112.550881</v>
      </c>
      <c r="H2285" s="10" t="n">
        <f aca="false">IF(OR(Nonlabor!$L$21="Quote required",Nonlabor!$L$21="Unverified"),G2285,0)</f>
        <v>0</v>
      </c>
      <c r="I2285" s="10" t="n">
        <f aca="false">IF(Nonlabor!$E$21="Core",0,G2285)</f>
        <v>0</v>
      </c>
      <c r="J2285" s="23" t="str">
        <f aca="false">Nonlabor!$B$21</f>
        <v>SUPPORT</v>
      </c>
    </row>
    <row r="2286" customFormat="false" ht="15" hidden="false" customHeight="false" outlineLevel="0" collapsed="false">
      <c r="A2286" s="6" t="s">
        <v>4</v>
      </c>
      <c r="B2286" s="6" t="s">
        <v>55</v>
      </c>
      <c r="C2286" s="6" t="n">
        <v>1</v>
      </c>
      <c r="D2286" s="25" t="n">
        <f aca="false">EDATE('Start Here'!$B$6,C2286-1)</f>
        <v>46327</v>
      </c>
      <c r="E2286" s="23" t="n">
        <f aca="false">IF(AND(OR(Nonlabor!$D$22="Both",Nonlabor!$D$22='Start Here'!$B$9),IF(Nonlabor!$E$22="Core",1,IF(Nonlabor!$E$22="AI",'Start Here'!$B$7,'Start Here'!$B$8))=1,C2286&gt;=IF(Nonlabor!$E$22="Core",Nonlabor!$F$22,MAX(Nonlabor!$F$22,IF(Nonlabor!$E$22="AI",Assumptions!$D$24,Assumptions!$D$25))),C2286&lt;=Nonlabor!$G$22,OR(Nonlabor!$H$22="Monthly",AND(Nonlabor!$H$22="Once",C2286=IF(Nonlabor!$E$22="Core",Nonlabor!$F$22,MAX(Nonlabor!$F$22,IF(Nonlabor!$E$22="AI",Assumptions!$D$24,Assumptions!$D$25)))),AND(Nonlabor!$H$22="Annual",MOD(C2286-IF(Nonlabor!$E$22="Core",Nonlabor!$F$22,MAX(Nonlabor!$F$22,IF(Nonlabor!$E$22="AI",Assumptions!$D$24,Assumptions!$D$25))),12)=0))),IF(Nonlabor!$I$22="Fixed",1,IF(Nonlabor!$I$22="Seats",ROUNDUP('Monthly Base'!I6,0),IF(Nonlabor!$I$22="Customers",'Monthly Base'!D6,IF(Nonlabor!$I$22="NewCustomers",'Monthly Base'!C6,IF(Nonlabor!$I$22="StorageGB",'Monthly Base'!G6,IF(Nonlabor!$I$22="LogGB",'Monthly Base'!H6,IF(Nonlabor!$I$22="RequestsM",'Monthly Base'!F6,IF(Nonlabor!$I$22="InputM",'Monthly Base'!D6*Assumptions!$D$22/1000000,IF(Nonlabor!$I$22="OutputM",'Monthly Base'!D6*Assumptions!$D$23/1000000,0))))))))),0)</f>
        <v>0</v>
      </c>
      <c r="F2286" s="10" t="n">
        <f aca="false">Nonlabor!$J$22*(1+Assumptions!$D$9)^INT((C2286-1)/12)</f>
        <v>75</v>
      </c>
      <c r="G2286" s="10" t="n">
        <f aca="false">E2286*F2286</f>
        <v>0</v>
      </c>
      <c r="H2286" s="10" t="n">
        <f aca="false">IF(OR(Nonlabor!$L$22="Quote required",Nonlabor!$L$22="Unverified"),G2286,0)</f>
        <v>0</v>
      </c>
      <c r="I2286" s="10" t="n">
        <f aca="false">IF(Nonlabor!$E$22="Core",0,G2286)</f>
        <v>0</v>
      </c>
      <c r="J2286" s="23" t="str">
        <f aca="false">Nonlabor!$B$22</f>
        <v>MARKETING</v>
      </c>
    </row>
    <row r="2287" customFormat="false" ht="15" hidden="false" customHeight="false" outlineLevel="0" collapsed="false">
      <c r="A2287" s="6" t="s">
        <v>4</v>
      </c>
      <c r="B2287" s="6" t="s">
        <v>55</v>
      </c>
      <c r="C2287" s="6" t="n">
        <v>2</v>
      </c>
      <c r="D2287" s="25" t="n">
        <f aca="false">EDATE('Start Here'!$B$6,C2287-1)</f>
        <v>46357</v>
      </c>
      <c r="E2287" s="23" t="n">
        <f aca="false">IF(AND(OR(Nonlabor!$D$22="Both",Nonlabor!$D$22='Start Here'!$B$9),IF(Nonlabor!$E$22="Core",1,IF(Nonlabor!$E$22="AI",'Start Here'!$B$7,'Start Here'!$B$8))=1,C2287&gt;=IF(Nonlabor!$E$22="Core",Nonlabor!$F$22,MAX(Nonlabor!$F$22,IF(Nonlabor!$E$22="AI",Assumptions!$D$24,Assumptions!$D$25))),C2287&lt;=Nonlabor!$G$22,OR(Nonlabor!$H$22="Monthly",AND(Nonlabor!$H$22="Once",C2287=IF(Nonlabor!$E$22="Core",Nonlabor!$F$22,MAX(Nonlabor!$F$22,IF(Nonlabor!$E$22="AI",Assumptions!$D$24,Assumptions!$D$25)))),AND(Nonlabor!$H$22="Annual",MOD(C2287-IF(Nonlabor!$E$22="Core",Nonlabor!$F$22,MAX(Nonlabor!$F$22,IF(Nonlabor!$E$22="AI",Assumptions!$D$24,Assumptions!$D$25))),12)=0))),IF(Nonlabor!$I$22="Fixed",1,IF(Nonlabor!$I$22="Seats",ROUNDUP('Monthly Base'!I7,0),IF(Nonlabor!$I$22="Customers",'Monthly Base'!D7,IF(Nonlabor!$I$22="NewCustomers",'Monthly Base'!C7,IF(Nonlabor!$I$22="StorageGB",'Monthly Base'!G7,IF(Nonlabor!$I$22="LogGB",'Monthly Base'!H7,IF(Nonlabor!$I$22="RequestsM",'Monthly Base'!F7,IF(Nonlabor!$I$22="InputM",'Monthly Base'!D7*Assumptions!$D$22/1000000,IF(Nonlabor!$I$22="OutputM",'Monthly Base'!D7*Assumptions!$D$23/1000000,0))))))))),0)</f>
        <v>0</v>
      </c>
      <c r="F2287" s="10" t="n">
        <f aca="false">Nonlabor!$J$22*(1+Assumptions!$D$9)^INT((C2287-1)/12)</f>
        <v>75</v>
      </c>
      <c r="G2287" s="10" t="n">
        <f aca="false">E2287*F2287</f>
        <v>0</v>
      </c>
      <c r="H2287" s="10" t="n">
        <f aca="false">IF(OR(Nonlabor!$L$22="Quote required",Nonlabor!$L$22="Unverified"),G2287,0)</f>
        <v>0</v>
      </c>
      <c r="I2287" s="10" t="n">
        <f aca="false">IF(Nonlabor!$E$22="Core",0,G2287)</f>
        <v>0</v>
      </c>
      <c r="J2287" s="23" t="str">
        <f aca="false">Nonlabor!$B$22</f>
        <v>MARKETING</v>
      </c>
    </row>
    <row r="2288" customFormat="false" ht="15" hidden="false" customHeight="false" outlineLevel="0" collapsed="false">
      <c r="A2288" s="6" t="s">
        <v>4</v>
      </c>
      <c r="B2288" s="6" t="s">
        <v>55</v>
      </c>
      <c r="C2288" s="6" t="n">
        <v>3</v>
      </c>
      <c r="D2288" s="25" t="n">
        <f aca="false">EDATE('Start Here'!$B$6,C2288-1)</f>
        <v>46388</v>
      </c>
      <c r="E2288" s="23" t="n">
        <f aca="false">IF(AND(OR(Nonlabor!$D$22="Both",Nonlabor!$D$22='Start Here'!$B$9),IF(Nonlabor!$E$22="Core",1,IF(Nonlabor!$E$22="AI",'Start Here'!$B$7,'Start Here'!$B$8))=1,C2288&gt;=IF(Nonlabor!$E$22="Core",Nonlabor!$F$22,MAX(Nonlabor!$F$22,IF(Nonlabor!$E$22="AI",Assumptions!$D$24,Assumptions!$D$25))),C2288&lt;=Nonlabor!$G$22,OR(Nonlabor!$H$22="Monthly",AND(Nonlabor!$H$22="Once",C2288=IF(Nonlabor!$E$22="Core",Nonlabor!$F$22,MAX(Nonlabor!$F$22,IF(Nonlabor!$E$22="AI",Assumptions!$D$24,Assumptions!$D$25)))),AND(Nonlabor!$H$22="Annual",MOD(C2288-IF(Nonlabor!$E$22="Core",Nonlabor!$F$22,MAX(Nonlabor!$F$22,IF(Nonlabor!$E$22="AI",Assumptions!$D$24,Assumptions!$D$25))),12)=0))),IF(Nonlabor!$I$22="Fixed",1,IF(Nonlabor!$I$22="Seats",ROUNDUP('Monthly Base'!I8,0),IF(Nonlabor!$I$22="Customers",'Monthly Base'!D8,IF(Nonlabor!$I$22="NewCustomers",'Monthly Base'!C8,IF(Nonlabor!$I$22="StorageGB",'Monthly Base'!G8,IF(Nonlabor!$I$22="LogGB",'Monthly Base'!H8,IF(Nonlabor!$I$22="RequestsM",'Monthly Base'!F8,IF(Nonlabor!$I$22="InputM",'Monthly Base'!D8*Assumptions!$D$22/1000000,IF(Nonlabor!$I$22="OutputM",'Monthly Base'!D8*Assumptions!$D$23/1000000,0))))))))),0)</f>
        <v>0</v>
      </c>
      <c r="F2288" s="10" t="n">
        <f aca="false">Nonlabor!$J$22*(1+Assumptions!$D$9)^INT((C2288-1)/12)</f>
        <v>75</v>
      </c>
      <c r="G2288" s="10" t="n">
        <f aca="false">E2288*F2288</f>
        <v>0</v>
      </c>
      <c r="H2288" s="10" t="n">
        <f aca="false">IF(OR(Nonlabor!$L$22="Quote required",Nonlabor!$L$22="Unverified"),G2288,0)</f>
        <v>0</v>
      </c>
      <c r="I2288" s="10" t="n">
        <f aca="false">IF(Nonlabor!$E$22="Core",0,G2288)</f>
        <v>0</v>
      </c>
      <c r="J2288" s="23" t="str">
        <f aca="false">Nonlabor!$B$22</f>
        <v>MARKETING</v>
      </c>
    </row>
    <row r="2289" customFormat="false" ht="15" hidden="false" customHeight="false" outlineLevel="0" collapsed="false">
      <c r="A2289" s="6" t="s">
        <v>4</v>
      </c>
      <c r="B2289" s="6" t="s">
        <v>55</v>
      </c>
      <c r="C2289" s="6" t="n">
        <v>4</v>
      </c>
      <c r="D2289" s="25" t="n">
        <f aca="false">EDATE('Start Here'!$B$6,C2289-1)</f>
        <v>46419</v>
      </c>
      <c r="E2289" s="23" t="n">
        <f aca="false">IF(AND(OR(Nonlabor!$D$22="Both",Nonlabor!$D$22='Start Here'!$B$9),IF(Nonlabor!$E$22="Core",1,IF(Nonlabor!$E$22="AI",'Start Here'!$B$7,'Start Here'!$B$8))=1,C2289&gt;=IF(Nonlabor!$E$22="Core",Nonlabor!$F$22,MAX(Nonlabor!$F$22,IF(Nonlabor!$E$22="AI",Assumptions!$D$24,Assumptions!$D$25))),C2289&lt;=Nonlabor!$G$22,OR(Nonlabor!$H$22="Monthly",AND(Nonlabor!$H$22="Once",C2289=IF(Nonlabor!$E$22="Core",Nonlabor!$F$22,MAX(Nonlabor!$F$22,IF(Nonlabor!$E$22="AI",Assumptions!$D$24,Assumptions!$D$25)))),AND(Nonlabor!$H$22="Annual",MOD(C2289-IF(Nonlabor!$E$22="Core",Nonlabor!$F$22,MAX(Nonlabor!$F$22,IF(Nonlabor!$E$22="AI",Assumptions!$D$24,Assumptions!$D$25))),12)=0))),IF(Nonlabor!$I$22="Fixed",1,IF(Nonlabor!$I$22="Seats",ROUNDUP('Monthly Base'!I9,0),IF(Nonlabor!$I$22="Customers",'Monthly Base'!D9,IF(Nonlabor!$I$22="NewCustomers",'Monthly Base'!C9,IF(Nonlabor!$I$22="StorageGB",'Monthly Base'!G9,IF(Nonlabor!$I$22="LogGB",'Monthly Base'!H9,IF(Nonlabor!$I$22="RequestsM",'Monthly Base'!F9,IF(Nonlabor!$I$22="InputM",'Monthly Base'!D9*Assumptions!$D$22/1000000,IF(Nonlabor!$I$22="OutputM",'Monthly Base'!D9*Assumptions!$D$23/1000000,0))))))))),0)</f>
        <v>0</v>
      </c>
      <c r="F2289" s="10" t="n">
        <f aca="false">Nonlabor!$J$22*(1+Assumptions!$D$9)^INT((C2289-1)/12)</f>
        <v>75</v>
      </c>
      <c r="G2289" s="10" t="n">
        <f aca="false">E2289*F2289</f>
        <v>0</v>
      </c>
      <c r="H2289" s="10" t="n">
        <f aca="false">IF(OR(Nonlabor!$L$22="Quote required",Nonlabor!$L$22="Unverified"),G2289,0)</f>
        <v>0</v>
      </c>
      <c r="I2289" s="10" t="n">
        <f aca="false">IF(Nonlabor!$E$22="Core",0,G2289)</f>
        <v>0</v>
      </c>
      <c r="J2289" s="23" t="str">
        <f aca="false">Nonlabor!$B$22</f>
        <v>MARKETING</v>
      </c>
    </row>
    <row r="2290" customFormat="false" ht="15" hidden="false" customHeight="false" outlineLevel="0" collapsed="false">
      <c r="A2290" s="6" t="s">
        <v>4</v>
      </c>
      <c r="B2290" s="6" t="s">
        <v>55</v>
      </c>
      <c r="C2290" s="6" t="n">
        <v>5</v>
      </c>
      <c r="D2290" s="25" t="n">
        <f aca="false">EDATE('Start Here'!$B$6,C2290-1)</f>
        <v>46447</v>
      </c>
      <c r="E2290" s="23" t="n">
        <f aca="false">IF(AND(OR(Nonlabor!$D$22="Both",Nonlabor!$D$22='Start Here'!$B$9),IF(Nonlabor!$E$22="Core",1,IF(Nonlabor!$E$22="AI",'Start Here'!$B$7,'Start Here'!$B$8))=1,C2290&gt;=IF(Nonlabor!$E$22="Core",Nonlabor!$F$22,MAX(Nonlabor!$F$22,IF(Nonlabor!$E$22="AI",Assumptions!$D$24,Assumptions!$D$25))),C2290&lt;=Nonlabor!$G$22,OR(Nonlabor!$H$22="Monthly",AND(Nonlabor!$H$22="Once",C2290=IF(Nonlabor!$E$22="Core",Nonlabor!$F$22,MAX(Nonlabor!$F$22,IF(Nonlabor!$E$22="AI",Assumptions!$D$24,Assumptions!$D$25)))),AND(Nonlabor!$H$22="Annual",MOD(C2290-IF(Nonlabor!$E$22="Core",Nonlabor!$F$22,MAX(Nonlabor!$F$22,IF(Nonlabor!$E$22="AI",Assumptions!$D$24,Assumptions!$D$25))),12)=0))),IF(Nonlabor!$I$22="Fixed",1,IF(Nonlabor!$I$22="Seats",ROUNDUP('Monthly Base'!I10,0),IF(Nonlabor!$I$22="Customers",'Monthly Base'!D10,IF(Nonlabor!$I$22="NewCustomers",'Monthly Base'!C10,IF(Nonlabor!$I$22="StorageGB",'Monthly Base'!G10,IF(Nonlabor!$I$22="LogGB",'Monthly Base'!H10,IF(Nonlabor!$I$22="RequestsM",'Monthly Base'!F10,IF(Nonlabor!$I$22="InputM",'Monthly Base'!D10*Assumptions!$D$22/1000000,IF(Nonlabor!$I$22="OutputM",'Monthly Base'!D10*Assumptions!$D$23/1000000,0))))))))),0)</f>
        <v>0</v>
      </c>
      <c r="F2290" s="10" t="n">
        <f aca="false">Nonlabor!$J$22*(1+Assumptions!$D$9)^INT((C2290-1)/12)</f>
        <v>75</v>
      </c>
      <c r="G2290" s="10" t="n">
        <f aca="false">E2290*F2290</f>
        <v>0</v>
      </c>
      <c r="H2290" s="10" t="n">
        <f aca="false">IF(OR(Nonlabor!$L$22="Quote required",Nonlabor!$L$22="Unverified"),G2290,0)</f>
        <v>0</v>
      </c>
      <c r="I2290" s="10" t="n">
        <f aca="false">IF(Nonlabor!$E$22="Core",0,G2290)</f>
        <v>0</v>
      </c>
      <c r="J2290" s="23" t="str">
        <f aca="false">Nonlabor!$B$22</f>
        <v>MARKETING</v>
      </c>
    </row>
    <row r="2291" customFormat="false" ht="15" hidden="false" customHeight="false" outlineLevel="0" collapsed="false">
      <c r="A2291" s="6" t="s">
        <v>4</v>
      </c>
      <c r="B2291" s="6" t="s">
        <v>55</v>
      </c>
      <c r="C2291" s="6" t="n">
        <v>6</v>
      </c>
      <c r="D2291" s="25" t="n">
        <f aca="false">EDATE('Start Here'!$B$6,C2291-1)</f>
        <v>46478</v>
      </c>
      <c r="E2291" s="23" t="n">
        <f aca="false">IF(AND(OR(Nonlabor!$D$22="Both",Nonlabor!$D$22='Start Here'!$B$9),IF(Nonlabor!$E$22="Core",1,IF(Nonlabor!$E$22="AI",'Start Here'!$B$7,'Start Here'!$B$8))=1,C2291&gt;=IF(Nonlabor!$E$22="Core",Nonlabor!$F$22,MAX(Nonlabor!$F$22,IF(Nonlabor!$E$22="AI",Assumptions!$D$24,Assumptions!$D$25))),C2291&lt;=Nonlabor!$G$22,OR(Nonlabor!$H$22="Monthly",AND(Nonlabor!$H$22="Once",C2291=IF(Nonlabor!$E$22="Core",Nonlabor!$F$22,MAX(Nonlabor!$F$22,IF(Nonlabor!$E$22="AI",Assumptions!$D$24,Assumptions!$D$25)))),AND(Nonlabor!$H$22="Annual",MOD(C2291-IF(Nonlabor!$E$22="Core",Nonlabor!$F$22,MAX(Nonlabor!$F$22,IF(Nonlabor!$E$22="AI",Assumptions!$D$24,Assumptions!$D$25))),12)=0))),IF(Nonlabor!$I$22="Fixed",1,IF(Nonlabor!$I$22="Seats",ROUNDUP('Monthly Base'!I11,0),IF(Nonlabor!$I$22="Customers",'Monthly Base'!D11,IF(Nonlabor!$I$22="NewCustomers",'Monthly Base'!C11,IF(Nonlabor!$I$22="StorageGB",'Monthly Base'!G11,IF(Nonlabor!$I$22="LogGB",'Monthly Base'!H11,IF(Nonlabor!$I$22="RequestsM",'Monthly Base'!F11,IF(Nonlabor!$I$22="InputM",'Monthly Base'!D11*Assumptions!$D$22/1000000,IF(Nonlabor!$I$22="OutputM",'Monthly Base'!D11*Assumptions!$D$23/1000000,0))))))))),0)</f>
        <v>0</v>
      </c>
      <c r="F2291" s="10" t="n">
        <f aca="false">Nonlabor!$J$22*(1+Assumptions!$D$9)^INT((C2291-1)/12)</f>
        <v>75</v>
      </c>
      <c r="G2291" s="10" t="n">
        <f aca="false">E2291*F2291</f>
        <v>0</v>
      </c>
      <c r="H2291" s="10" t="n">
        <f aca="false">IF(OR(Nonlabor!$L$22="Quote required",Nonlabor!$L$22="Unverified"),G2291,0)</f>
        <v>0</v>
      </c>
      <c r="I2291" s="10" t="n">
        <f aca="false">IF(Nonlabor!$E$22="Core",0,G2291)</f>
        <v>0</v>
      </c>
      <c r="J2291" s="23" t="str">
        <f aca="false">Nonlabor!$B$22</f>
        <v>MARKETING</v>
      </c>
    </row>
    <row r="2292" customFormat="false" ht="15" hidden="false" customHeight="false" outlineLevel="0" collapsed="false">
      <c r="A2292" s="6" t="s">
        <v>4</v>
      </c>
      <c r="B2292" s="6" t="s">
        <v>55</v>
      </c>
      <c r="C2292" s="6" t="n">
        <v>7</v>
      </c>
      <c r="D2292" s="25" t="n">
        <f aca="false">EDATE('Start Here'!$B$6,C2292-1)</f>
        <v>46508</v>
      </c>
      <c r="E2292" s="23" t="n">
        <f aca="false">IF(AND(OR(Nonlabor!$D$22="Both",Nonlabor!$D$22='Start Here'!$B$9),IF(Nonlabor!$E$22="Core",1,IF(Nonlabor!$E$22="AI",'Start Here'!$B$7,'Start Here'!$B$8))=1,C2292&gt;=IF(Nonlabor!$E$22="Core",Nonlabor!$F$22,MAX(Nonlabor!$F$22,IF(Nonlabor!$E$22="AI",Assumptions!$D$24,Assumptions!$D$25))),C2292&lt;=Nonlabor!$G$22,OR(Nonlabor!$H$22="Monthly",AND(Nonlabor!$H$22="Once",C2292=IF(Nonlabor!$E$22="Core",Nonlabor!$F$22,MAX(Nonlabor!$F$22,IF(Nonlabor!$E$22="AI",Assumptions!$D$24,Assumptions!$D$25)))),AND(Nonlabor!$H$22="Annual",MOD(C2292-IF(Nonlabor!$E$22="Core",Nonlabor!$F$22,MAX(Nonlabor!$F$22,IF(Nonlabor!$E$22="AI",Assumptions!$D$24,Assumptions!$D$25))),12)=0))),IF(Nonlabor!$I$22="Fixed",1,IF(Nonlabor!$I$22="Seats",ROUNDUP('Monthly Base'!I12,0),IF(Nonlabor!$I$22="Customers",'Monthly Base'!D12,IF(Nonlabor!$I$22="NewCustomers",'Monthly Base'!C12,IF(Nonlabor!$I$22="StorageGB",'Monthly Base'!G12,IF(Nonlabor!$I$22="LogGB",'Monthly Base'!H12,IF(Nonlabor!$I$22="RequestsM",'Monthly Base'!F12,IF(Nonlabor!$I$22="InputM",'Monthly Base'!D12*Assumptions!$D$22/1000000,IF(Nonlabor!$I$22="OutputM",'Monthly Base'!D12*Assumptions!$D$23/1000000,0))))))))),0)</f>
        <v>0</v>
      </c>
      <c r="F2292" s="10" t="n">
        <f aca="false">Nonlabor!$J$22*(1+Assumptions!$D$9)^INT((C2292-1)/12)</f>
        <v>75</v>
      </c>
      <c r="G2292" s="10" t="n">
        <f aca="false">E2292*F2292</f>
        <v>0</v>
      </c>
      <c r="H2292" s="10" t="n">
        <f aca="false">IF(OR(Nonlabor!$L$22="Quote required",Nonlabor!$L$22="Unverified"),G2292,0)</f>
        <v>0</v>
      </c>
      <c r="I2292" s="10" t="n">
        <f aca="false">IF(Nonlabor!$E$22="Core",0,G2292)</f>
        <v>0</v>
      </c>
      <c r="J2292" s="23" t="str">
        <f aca="false">Nonlabor!$B$22</f>
        <v>MARKETING</v>
      </c>
    </row>
    <row r="2293" customFormat="false" ht="15" hidden="false" customHeight="false" outlineLevel="0" collapsed="false">
      <c r="A2293" s="6" t="s">
        <v>4</v>
      </c>
      <c r="B2293" s="6" t="s">
        <v>55</v>
      </c>
      <c r="C2293" s="6" t="n">
        <v>8</v>
      </c>
      <c r="D2293" s="25" t="n">
        <f aca="false">EDATE('Start Here'!$B$6,C2293-1)</f>
        <v>46539</v>
      </c>
      <c r="E2293" s="23" t="n">
        <f aca="false">IF(AND(OR(Nonlabor!$D$22="Both",Nonlabor!$D$22='Start Here'!$B$9),IF(Nonlabor!$E$22="Core",1,IF(Nonlabor!$E$22="AI",'Start Here'!$B$7,'Start Here'!$B$8))=1,C2293&gt;=IF(Nonlabor!$E$22="Core",Nonlabor!$F$22,MAX(Nonlabor!$F$22,IF(Nonlabor!$E$22="AI",Assumptions!$D$24,Assumptions!$D$25))),C2293&lt;=Nonlabor!$G$22,OR(Nonlabor!$H$22="Monthly",AND(Nonlabor!$H$22="Once",C2293=IF(Nonlabor!$E$22="Core",Nonlabor!$F$22,MAX(Nonlabor!$F$22,IF(Nonlabor!$E$22="AI",Assumptions!$D$24,Assumptions!$D$25)))),AND(Nonlabor!$H$22="Annual",MOD(C2293-IF(Nonlabor!$E$22="Core",Nonlabor!$F$22,MAX(Nonlabor!$F$22,IF(Nonlabor!$E$22="AI",Assumptions!$D$24,Assumptions!$D$25))),12)=0))),IF(Nonlabor!$I$22="Fixed",1,IF(Nonlabor!$I$22="Seats",ROUNDUP('Monthly Base'!I13,0),IF(Nonlabor!$I$22="Customers",'Monthly Base'!D13,IF(Nonlabor!$I$22="NewCustomers",'Monthly Base'!C13,IF(Nonlabor!$I$22="StorageGB",'Monthly Base'!G13,IF(Nonlabor!$I$22="LogGB",'Monthly Base'!H13,IF(Nonlabor!$I$22="RequestsM",'Monthly Base'!F13,IF(Nonlabor!$I$22="InputM",'Monthly Base'!D13*Assumptions!$D$22/1000000,IF(Nonlabor!$I$22="OutputM",'Monthly Base'!D13*Assumptions!$D$23/1000000,0))))))))),0)</f>
        <v>0</v>
      </c>
      <c r="F2293" s="10" t="n">
        <f aca="false">Nonlabor!$J$22*(1+Assumptions!$D$9)^INT((C2293-1)/12)</f>
        <v>75</v>
      </c>
      <c r="G2293" s="10" t="n">
        <f aca="false">E2293*F2293</f>
        <v>0</v>
      </c>
      <c r="H2293" s="10" t="n">
        <f aca="false">IF(OR(Nonlabor!$L$22="Quote required",Nonlabor!$L$22="Unverified"),G2293,0)</f>
        <v>0</v>
      </c>
      <c r="I2293" s="10" t="n">
        <f aca="false">IF(Nonlabor!$E$22="Core",0,G2293)</f>
        <v>0</v>
      </c>
      <c r="J2293" s="23" t="str">
        <f aca="false">Nonlabor!$B$22</f>
        <v>MARKETING</v>
      </c>
    </row>
    <row r="2294" customFormat="false" ht="15" hidden="false" customHeight="false" outlineLevel="0" collapsed="false">
      <c r="A2294" s="6" t="s">
        <v>4</v>
      </c>
      <c r="B2294" s="6" t="s">
        <v>55</v>
      </c>
      <c r="C2294" s="6" t="n">
        <v>9</v>
      </c>
      <c r="D2294" s="25" t="n">
        <f aca="false">EDATE('Start Here'!$B$6,C2294-1)</f>
        <v>46569</v>
      </c>
      <c r="E2294" s="23" t="n">
        <f aca="false">IF(AND(OR(Nonlabor!$D$22="Both",Nonlabor!$D$22='Start Here'!$B$9),IF(Nonlabor!$E$22="Core",1,IF(Nonlabor!$E$22="AI",'Start Here'!$B$7,'Start Here'!$B$8))=1,C2294&gt;=IF(Nonlabor!$E$22="Core",Nonlabor!$F$22,MAX(Nonlabor!$F$22,IF(Nonlabor!$E$22="AI",Assumptions!$D$24,Assumptions!$D$25))),C2294&lt;=Nonlabor!$G$22,OR(Nonlabor!$H$22="Monthly",AND(Nonlabor!$H$22="Once",C2294=IF(Nonlabor!$E$22="Core",Nonlabor!$F$22,MAX(Nonlabor!$F$22,IF(Nonlabor!$E$22="AI",Assumptions!$D$24,Assumptions!$D$25)))),AND(Nonlabor!$H$22="Annual",MOD(C2294-IF(Nonlabor!$E$22="Core",Nonlabor!$F$22,MAX(Nonlabor!$F$22,IF(Nonlabor!$E$22="AI",Assumptions!$D$24,Assumptions!$D$25))),12)=0))),IF(Nonlabor!$I$22="Fixed",1,IF(Nonlabor!$I$22="Seats",ROUNDUP('Monthly Base'!I14,0),IF(Nonlabor!$I$22="Customers",'Monthly Base'!D14,IF(Nonlabor!$I$22="NewCustomers",'Monthly Base'!C14,IF(Nonlabor!$I$22="StorageGB",'Monthly Base'!G14,IF(Nonlabor!$I$22="LogGB",'Monthly Base'!H14,IF(Nonlabor!$I$22="RequestsM",'Monthly Base'!F14,IF(Nonlabor!$I$22="InputM",'Monthly Base'!D14*Assumptions!$D$22/1000000,IF(Nonlabor!$I$22="OutputM",'Monthly Base'!D14*Assumptions!$D$23/1000000,0))))))))),0)</f>
        <v>0</v>
      </c>
      <c r="F2294" s="10" t="n">
        <f aca="false">Nonlabor!$J$22*(1+Assumptions!$D$9)^INT((C2294-1)/12)</f>
        <v>75</v>
      </c>
      <c r="G2294" s="10" t="n">
        <f aca="false">E2294*F2294</f>
        <v>0</v>
      </c>
      <c r="H2294" s="10" t="n">
        <f aca="false">IF(OR(Nonlabor!$L$22="Quote required",Nonlabor!$L$22="Unverified"),G2294,0)</f>
        <v>0</v>
      </c>
      <c r="I2294" s="10" t="n">
        <f aca="false">IF(Nonlabor!$E$22="Core",0,G2294)</f>
        <v>0</v>
      </c>
      <c r="J2294" s="23" t="str">
        <f aca="false">Nonlabor!$B$22</f>
        <v>MARKETING</v>
      </c>
    </row>
    <row r="2295" customFormat="false" ht="15" hidden="false" customHeight="false" outlineLevel="0" collapsed="false">
      <c r="A2295" s="6" t="s">
        <v>4</v>
      </c>
      <c r="B2295" s="6" t="s">
        <v>55</v>
      </c>
      <c r="C2295" s="6" t="n">
        <v>10</v>
      </c>
      <c r="D2295" s="25" t="n">
        <f aca="false">EDATE('Start Here'!$B$6,C2295-1)</f>
        <v>46600</v>
      </c>
      <c r="E2295" s="11" t="n">
        <f aca="false">IF(AND(OR(Nonlabor!$D$22="Both",Nonlabor!$D$22='Start Here'!$B$9),IF(Nonlabor!$E$22="Core",1,IF(Nonlabor!$E$22="AI",'Start Here'!$B$7,'Start Here'!$B$8))=1,C2295&gt;=IF(Nonlabor!$E$22="Core",Nonlabor!$F$22,MAX(Nonlabor!$F$22,IF(Nonlabor!$E$22="AI",Assumptions!$D$24,Assumptions!$D$25))),C2295&lt;=Nonlabor!$G$22,OR(Nonlabor!$H$22="Monthly",AND(Nonlabor!$H$22="Once",C2295=IF(Nonlabor!$E$22="Core",Nonlabor!$F$22,MAX(Nonlabor!$F$22,IF(Nonlabor!$E$22="AI",Assumptions!$D$24,Assumptions!$D$25)))),AND(Nonlabor!$H$22="Annual",MOD(C2295-IF(Nonlabor!$E$22="Core",Nonlabor!$F$22,MAX(Nonlabor!$F$22,IF(Nonlabor!$E$22="AI",Assumptions!$D$24,Assumptions!$D$25))),12)=0))),IF(Nonlabor!$I$22="Fixed",1,IF(Nonlabor!$I$22="Seats",ROUNDUP('Monthly Base'!I15,0),IF(Nonlabor!$I$22="Customers",'Monthly Base'!D15,IF(Nonlabor!$I$22="NewCustomers",'Monthly Base'!C15,IF(Nonlabor!$I$22="StorageGB",'Monthly Base'!G15,IF(Nonlabor!$I$22="LogGB",'Monthly Base'!H15,IF(Nonlabor!$I$22="RequestsM",'Monthly Base'!F15,IF(Nonlabor!$I$22="InputM",'Monthly Base'!D15*Assumptions!$D$22/1000000,IF(Nonlabor!$I$22="OutputM",'Monthly Base'!D15*Assumptions!$D$23/1000000,0))))))))),0)</f>
        <v>0</v>
      </c>
      <c r="F2295" s="10" t="n">
        <f aca="false">Nonlabor!$J$22*(1+Assumptions!$D$9)^INT((C2295-1)/12)</f>
        <v>75</v>
      </c>
      <c r="G2295" s="10" t="n">
        <f aca="false">E2295*F2295</f>
        <v>0</v>
      </c>
      <c r="H2295" s="10" t="n">
        <f aca="false">IF(OR(Nonlabor!$L$22="Quote required",Nonlabor!$L$22="Unverified"),G2295,0)</f>
        <v>0</v>
      </c>
      <c r="I2295" s="10" t="n">
        <f aca="false">IF(Nonlabor!$E$22="Core",0,G2295)</f>
        <v>0</v>
      </c>
      <c r="J2295" s="23" t="str">
        <f aca="false">Nonlabor!$B$22</f>
        <v>MARKETING</v>
      </c>
    </row>
    <row r="2296" customFormat="false" ht="15" hidden="false" customHeight="false" outlineLevel="0" collapsed="false">
      <c r="A2296" s="6" t="s">
        <v>4</v>
      </c>
      <c r="B2296" s="6" t="s">
        <v>55</v>
      </c>
      <c r="C2296" s="6" t="n">
        <v>11</v>
      </c>
      <c r="D2296" s="25" t="n">
        <f aca="false">EDATE('Start Here'!$B$6,C2296-1)</f>
        <v>46631</v>
      </c>
      <c r="E2296" s="11" t="n">
        <f aca="false">IF(AND(OR(Nonlabor!$D$22="Both",Nonlabor!$D$22='Start Here'!$B$9),IF(Nonlabor!$E$22="Core",1,IF(Nonlabor!$E$22="AI",'Start Here'!$B$7,'Start Here'!$B$8))=1,C2296&gt;=IF(Nonlabor!$E$22="Core",Nonlabor!$F$22,MAX(Nonlabor!$F$22,IF(Nonlabor!$E$22="AI",Assumptions!$D$24,Assumptions!$D$25))),C2296&lt;=Nonlabor!$G$22,OR(Nonlabor!$H$22="Monthly",AND(Nonlabor!$H$22="Once",C2296=IF(Nonlabor!$E$22="Core",Nonlabor!$F$22,MAX(Nonlabor!$F$22,IF(Nonlabor!$E$22="AI",Assumptions!$D$24,Assumptions!$D$25)))),AND(Nonlabor!$H$22="Annual",MOD(C2296-IF(Nonlabor!$E$22="Core",Nonlabor!$F$22,MAX(Nonlabor!$F$22,IF(Nonlabor!$E$22="AI",Assumptions!$D$24,Assumptions!$D$25))),12)=0))),IF(Nonlabor!$I$22="Fixed",1,IF(Nonlabor!$I$22="Seats",ROUNDUP('Monthly Base'!I16,0),IF(Nonlabor!$I$22="Customers",'Monthly Base'!D16,IF(Nonlabor!$I$22="NewCustomers",'Monthly Base'!C16,IF(Nonlabor!$I$22="StorageGB",'Monthly Base'!G16,IF(Nonlabor!$I$22="LogGB",'Monthly Base'!H16,IF(Nonlabor!$I$22="RequestsM",'Monthly Base'!F16,IF(Nonlabor!$I$22="InputM",'Monthly Base'!D16*Assumptions!$D$22/1000000,IF(Nonlabor!$I$22="OutputM",'Monthly Base'!D16*Assumptions!$D$23/1000000,0))))))))),0)</f>
        <v>0</v>
      </c>
      <c r="F2296" s="10" t="n">
        <f aca="false">Nonlabor!$J$22*(1+Assumptions!$D$9)^INT((C2296-1)/12)</f>
        <v>75</v>
      </c>
      <c r="G2296" s="10" t="n">
        <f aca="false">E2296*F2296</f>
        <v>0</v>
      </c>
      <c r="H2296" s="10" t="n">
        <f aca="false">IF(OR(Nonlabor!$L$22="Quote required",Nonlabor!$L$22="Unverified"),G2296,0)</f>
        <v>0</v>
      </c>
      <c r="I2296" s="10" t="n">
        <f aca="false">IF(Nonlabor!$E$22="Core",0,G2296)</f>
        <v>0</v>
      </c>
      <c r="J2296" s="23" t="str">
        <f aca="false">Nonlabor!$B$22</f>
        <v>MARKETING</v>
      </c>
    </row>
    <row r="2297" customFormat="false" ht="15" hidden="false" customHeight="false" outlineLevel="0" collapsed="false">
      <c r="A2297" s="6" t="s">
        <v>4</v>
      </c>
      <c r="B2297" s="6" t="s">
        <v>55</v>
      </c>
      <c r="C2297" s="6" t="n">
        <v>12</v>
      </c>
      <c r="D2297" s="25" t="n">
        <f aca="false">EDATE('Start Here'!$B$6,C2297-1)</f>
        <v>46661</v>
      </c>
      <c r="E2297" s="11" t="n">
        <f aca="false">IF(AND(OR(Nonlabor!$D$22="Both",Nonlabor!$D$22='Start Here'!$B$9),IF(Nonlabor!$E$22="Core",1,IF(Nonlabor!$E$22="AI",'Start Here'!$B$7,'Start Here'!$B$8))=1,C2297&gt;=IF(Nonlabor!$E$22="Core",Nonlabor!$F$22,MAX(Nonlabor!$F$22,IF(Nonlabor!$E$22="AI",Assumptions!$D$24,Assumptions!$D$25))),C2297&lt;=Nonlabor!$G$22,OR(Nonlabor!$H$22="Monthly",AND(Nonlabor!$H$22="Once",C2297=IF(Nonlabor!$E$22="Core",Nonlabor!$F$22,MAX(Nonlabor!$F$22,IF(Nonlabor!$E$22="AI",Assumptions!$D$24,Assumptions!$D$25)))),AND(Nonlabor!$H$22="Annual",MOD(C2297-IF(Nonlabor!$E$22="Core",Nonlabor!$F$22,MAX(Nonlabor!$F$22,IF(Nonlabor!$E$22="AI",Assumptions!$D$24,Assumptions!$D$25))),12)=0))),IF(Nonlabor!$I$22="Fixed",1,IF(Nonlabor!$I$22="Seats",ROUNDUP('Monthly Base'!I17,0),IF(Nonlabor!$I$22="Customers",'Monthly Base'!D17,IF(Nonlabor!$I$22="NewCustomers",'Monthly Base'!C17,IF(Nonlabor!$I$22="StorageGB",'Monthly Base'!G17,IF(Nonlabor!$I$22="LogGB",'Monthly Base'!H17,IF(Nonlabor!$I$22="RequestsM",'Monthly Base'!F17,IF(Nonlabor!$I$22="InputM",'Monthly Base'!D17*Assumptions!$D$22/1000000,IF(Nonlabor!$I$22="OutputM",'Monthly Base'!D17*Assumptions!$D$23/1000000,0))))))))),0)</f>
        <v>0</v>
      </c>
      <c r="F2297" s="10" t="n">
        <f aca="false">Nonlabor!$J$22*(1+Assumptions!$D$9)^INT((C2297-1)/12)</f>
        <v>75</v>
      </c>
      <c r="G2297" s="10" t="n">
        <f aca="false">E2297*F2297</f>
        <v>0</v>
      </c>
      <c r="H2297" s="10" t="n">
        <f aca="false">IF(OR(Nonlabor!$L$22="Quote required",Nonlabor!$L$22="Unverified"),G2297,0)</f>
        <v>0</v>
      </c>
      <c r="I2297" s="10" t="n">
        <f aca="false">IF(Nonlabor!$E$22="Core",0,G2297)</f>
        <v>0</v>
      </c>
      <c r="J2297" s="23" t="str">
        <f aca="false">Nonlabor!$B$22</f>
        <v>MARKETING</v>
      </c>
    </row>
    <row r="2298" customFormat="false" ht="15" hidden="false" customHeight="false" outlineLevel="0" collapsed="false">
      <c r="A2298" s="6" t="s">
        <v>4</v>
      </c>
      <c r="B2298" s="6" t="s">
        <v>55</v>
      </c>
      <c r="C2298" s="6" t="n">
        <v>13</v>
      </c>
      <c r="D2298" s="25" t="n">
        <f aca="false">EDATE('Start Here'!$B$6,C2298-1)</f>
        <v>46692</v>
      </c>
      <c r="E2298" s="11" t="n">
        <f aca="false">IF(AND(OR(Nonlabor!$D$22="Both",Nonlabor!$D$22='Start Here'!$B$9),IF(Nonlabor!$E$22="Core",1,IF(Nonlabor!$E$22="AI",'Start Here'!$B$7,'Start Here'!$B$8))=1,C2298&gt;=IF(Nonlabor!$E$22="Core",Nonlabor!$F$22,MAX(Nonlabor!$F$22,IF(Nonlabor!$E$22="AI",Assumptions!$D$24,Assumptions!$D$25))),C2298&lt;=Nonlabor!$G$22,OR(Nonlabor!$H$22="Monthly",AND(Nonlabor!$H$22="Once",C2298=IF(Nonlabor!$E$22="Core",Nonlabor!$F$22,MAX(Nonlabor!$F$22,IF(Nonlabor!$E$22="AI",Assumptions!$D$24,Assumptions!$D$25)))),AND(Nonlabor!$H$22="Annual",MOD(C2298-IF(Nonlabor!$E$22="Core",Nonlabor!$F$22,MAX(Nonlabor!$F$22,IF(Nonlabor!$E$22="AI",Assumptions!$D$24,Assumptions!$D$25))),12)=0))),IF(Nonlabor!$I$22="Fixed",1,IF(Nonlabor!$I$22="Seats",ROUNDUP('Monthly Base'!I18,0),IF(Nonlabor!$I$22="Customers",'Monthly Base'!D18,IF(Nonlabor!$I$22="NewCustomers",'Monthly Base'!C18,IF(Nonlabor!$I$22="StorageGB",'Monthly Base'!G18,IF(Nonlabor!$I$22="LogGB",'Monthly Base'!H18,IF(Nonlabor!$I$22="RequestsM",'Monthly Base'!F18,IF(Nonlabor!$I$22="InputM",'Monthly Base'!D18*Assumptions!$D$22/1000000,IF(Nonlabor!$I$22="OutputM",'Monthly Base'!D18*Assumptions!$D$23/1000000,0))))))))),0)</f>
        <v>1</v>
      </c>
      <c r="F2298" s="10" t="n">
        <f aca="false">Nonlabor!$J$22*(1+Assumptions!$D$9)^INT((C2298-1)/12)</f>
        <v>77.25</v>
      </c>
      <c r="G2298" s="10" t="n">
        <f aca="false">E2298*F2298</f>
        <v>77.25</v>
      </c>
      <c r="H2298" s="10" t="n">
        <f aca="false">IF(OR(Nonlabor!$L$22="Quote required",Nonlabor!$L$22="Unverified"),G2298,0)</f>
        <v>0</v>
      </c>
      <c r="I2298" s="10" t="n">
        <f aca="false">IF(Nonlabor!$E$22="Core",0,G2298)</f>
        <v>0</v>
      </c>
      <c r="J2298" s="23" t="str">
        <f aca="false">Nonlabor!$B$22</f>
        <v>MARKETING</v>
      </c>
    </row>
    <row r="2299" customFormat="false" ht="15" hidden="false" customHeight="false" outlineLevel="0" collapsed="false">
      <c r="A2299" s="6" t="s">
        <v>4</v>
      </c>
      <c r="B2299" s="6" t="s">
        <v>55</v>
      </c>
      <c r="C2299" s="6" t="n">
        <v>14</v>
      </c>
      <c r="D2299" s="25" t="n">
        <f aca="false">EDATE('Start Here'!$B$6,C2299-1)</f>
        <v>46722</v>
      </c>
      <c r="E2299" s="11" t="n">
        <f aca="false">IF(AND(OR(Nonlabor!$D$22="Both",Nonlabor!$D$22='Start Here'!$B$9),IF(Nonlabor!$E$22="Core",1,IF(Nonlabor!$E$22="AI",'Start Here'!$B$7,'Start Here'!$B$8))=1,C2299&gt;=IF(Nonlabor!$E$22="Core",Nonlabor!$F$22,MAX(Nonlabor!$F$22,IF(Nonlabor!$E$22="AI",Assumptions!$D$24,Assumptions!$D$25))),C2299&lt;=Nonlabor!$G$22,OR(Nonlabor!$H$22="Monthly",AND(Nonlabor!$H$22="Once",C2299=IF(Nonlabor!$E$22="Core",Nonlabor!$F$22,MAX(Nonlabor!$F$22,IF(Nonlabor!$E$22="AI",Assumptions!$D$24,Assumptions!$D$25)))),AND(Nonlabor!$H$22="Annual",MOD(C2299-IF(Nonlabor!$E$22="Core",Nonlabor!$F$22,MAX(Nonlabor!$F$22,IF(Nonlabor!$E$22="AI",Assumptions!$D$24,Assumptions!$D$25))),12)=0))),IF(Nonlabor!$I$22="Fixed",1,IF(Nonlabor!$I$22="Seats",ROUNDUP('Monthly Base'!I19,0),IF(Nonlabor!$I$22="Customers",'Monthly Base'!D19,IF(Nonlabor!$I$22="NewCustomers",'Monthly Base'!C19,IF(Nonlabor!$I$22="StorageGB",'Monthly Base'!G19,IF(Nonlabor!$I$22="LogGB",'Monthly Base'!H19,IF(Nonlabor!$I$22="RequestsM",'Monthly Base'!F19,IF(Nonlabor!$I$22="InputM",'Monthly Base'!D19*Assumptions!$D$22/1000000,IF(Nonlabor!$I$22="OutputM",'Monthly Base'!D19*Assumptions!$D$23/1000000,0))))))))),0)</f>
        <v>1.99</v>
      </c>
      <c r="F2299" s="10" t="n">
        <f aca="false">Nonlabor!$J$22*(1+Assumptions!$D$9)^INT((C2299-1)/12)</f>
        <v>77.25</v>
      </c>
      <c r="G2299" s="10" t="n">
        <f aca="false">E2299*F2299</f>
        <v>153.7275</v>
      </c>
      <c r="H2299" s="10" t="n">
        <f aca="false">IF(OR(Nonlabor!$L$22="Quote required",Nonlabor!$L$22="Unverified"),G2299,0)</f>
        <v>0</v>
      </c>
      <c r="I2299" s="10" t="n">
        <f aca="false">IF(Nonlabor!$E$22="Core",0,G2299)</f>
        <v>0</v>
      </c>
      <c r="J2299" s="23" t="str">
        <f aca="false">Nonlabor!$B$22</f>
        <v>MARKETING</v>
      </c>
    </row>
    <row r="2300" customFormat="false" ht="15" hidden="false" customHeight="false" outlineLevel="0" collapsed="false">
      <c r="A2300" s="6" t="s">
        <v>4</v>
      </c>
      <c r="B2300" s="6" t="s">
        <v>55</v>
      </c>
      <c r="C2300" s="6" t="n">
        <v>15</v>
      </c>
      <c r="D2300" s="25" t="n">
        <f aca="false">EDATE('Start Here'!$B$6,C2300-1)</f>
        <v>46753</v>
      </c>
      <c r="E2300" s="11" t="n">
        <f aca="false">IF(AND(OR(Nonlabor!$D$22="Both",Nonlabor!$D$22='Start Here'!$B$9),IF(Nonlabor!$E$22="Core",1,IF(Nonlabor!$E$22="AI",'Start Here'!$B$7,'Start Here'!$B$8))=1,C2300&gt;=IF(Nonlabor!$E$22="Core",Nonlabor!$F$22,MAX(Nonlabor!$F$22,IF(Nonlabor!$E$22="AI",Assumptions!$D$24,Assumptions!$D$25))),C2300&lt;=Nonlabor!$G$22,OR(Nonlabor!$H$22="Monthly",AND(Nonlabor!$H$22="Once",C2300=IF(Nonlabor!$E$22="Core",Nonlabor!$F$22,MAX(Nonlabor!$F$22,IF(Nonlabor!$E$22="AI",Assumptions!$D$24,Assumptions!$D$25)))),AND(Nonlabor!$H$22="Annual",MOD(C2300-IF(Nonlabor!$E$22="Core",Nonlabor!$F$22,MAX(Nonlabor!$F$22,IF(Nonlabor!$E$22="AI",Assumptions!$D$24,Assumptions!$D$25))),12)=0))),IF(Nonlabor!$I$22="Fixed",1,IF(Nonlabor!$I$22="Seats",ROUNDUP('Monthly Base'!I20,0),IF(Nonlabor!$I$22="Customers",'Monthly Base'!D20,IF(Nonlabor!$I$22="NewCustomers",'Monthly Base'!C20,IF(Nonlabor!$I$22="StorageGB",'Monthly Base'!G20,IF(Nonlabor!$I$22="LogGB",'Monthly Base'!H20,IF(Nonlabor!$I$22="RequestsM",'Monthly Base'!F20,IF(Nonlabor!$I$22="InputM",'Monthly Base'!D20*Assumptions!$D$22/1000000,IF(Nonlabor!$I$22="OutputM",'Monthly Base'!D20*Assumptions!$D$23/1000000,0))))))))),0)</f>
        <v>2.9701</v>
      </c>
      <c r="F2300" s="10" t="n">
        <f aca="false">Nonlabor!$J$22*(1+Assumptions!$D$9)^INT((C2300-1)/12)</f>
        <v>77.25</v>
      </c>
      <c r="G2300" s="10" t="n">
        <f aca="false">E2300*F2300</f>
        <v>229.440225</v>
      </c>
      <c r="H2300" s="10" t="n">
        <f aca="false">IF(OR(Nonlabor!$L$22="Quote required",Nonlabor!$L$22="Unverified"),G2300,0)</f>
        <v>0</v>
      </c>
      <c r="I2300" s="10" t="n">
        <f aca="false">IF(Nonlabor!$E$22="Core",0,G2300)</f>
        <v>0</v>
      </c>
      <c r="J2300" s="23" t="str">
        <f aca="false">Nonlabor!$B$22</f>
        <v>MARKETING</v>
      </c>
    </row>
    <row r="2301" customFormat="false" ht="15" hidden="false" customHeight="false" outlineLevel="0" collapsed="false">
      <c r="A2301" s="6" t="s">
        <v>4</v>
      </c>
      <c r="B2301" s="6" t="s">
        <v>55</v>
      </c>
      <c r="C2301" s="6" t="n">
        <v>16</v>
      </c>
      <c r="D2301" s="25" t="n">
        <f aca="false">EDATE('Start Here'!$B$6,C2301-1)</f>
        <v>46784</v>
      </c>
      <c r="E2301" s="11" t="n">
        <f aca="false">IF(AND(OR(Nonlabor!$D$22="Both",Nonlabor!$D$22='Start Here'!$B$9),IF(Nonlabor!$E$22="Core",1,IF(Nonlabor!$E$22="AI",'Start Here'!$B$7,'Start Here'!$B$8))=1,C2301&gt;=IF(Nonlabor!$E$22="Core",Nonlabor!$F$22,MAX(Nonlabor!$F$22,IF(Nonlabor!$E$22="AI",Assumptions!$D$24,Assumptions!$D$25))),C2301&lt;=Nonlabor!$G$22,OR(Nonlabor!$H$22="Monthly",AND(Nonlabor!$H$22="Once",C2301=IF(Nonlabor!$E$22="Core",Nonlabor!$F$22,MAX(Nonlabor!$F$22,IF(Nonlabor!$E$22="AI",Assumptions!$D$24,Assumptions!$D$25)))),AND(Nonlabor!$H$22="Annual",MOD(C2301-IF(Nonlabor!$E$22="Core",Nonlabor!$F$22,MAX(Nonlabor!$F$22,IF(Nonlabor!$E$22="AI",Assumptions!$D$24,Assumptions!$D$25))),12)=0))),IF(Nonlabor!$I$22="Fixed",1,IF(Nonlabor!$I$22="Seats",ROUNDUP('Monthly Base'!I21,0),IF(Nonlabor!$I$22="Customers",'Monthly Base'!D21,IF(Nonlabor!$I$22="NewCustomers",'Monthly Base'!C21,IF(Nonlabor!$I$22="StorageGB",'Monthly Base'!G21,IF(Nonlabor!$I$22="LogGB",'Monthly Base'!H21,IF(Nonlabor!$I$22="RequestsM",'Monthly Base'!F21,IF(Nonlabor!$I$22="InputM",'Monthly Base'!D21*Assumptions!$D$22/1000000,IF(Nonlabor!$I$22="OutputM",'Monthly Base'!D21*Assumptions!$D$23/1000000,0))))))))),0)</f>
        <v>3.940399</v>
      </c>
      <c r="F2301" s="10" t="n">
        <f aca="false">Nonlabor!$J$22*(1+Assumptions!$D$9)^INT((C2301-1)/12)</f>
        <v>77.25</v>
      </c>
      <c r="G2301" s="10" t="n">
        <f aca="false">E2301*F2301</f>
        <v>304.39582275</v>
      </c>
      <c r="H2301" s="10" t="n">
        <f aca="false">IF(OR(Nonlabor!$L$22="Quote required",Nonlabor!$L$22="Unverified"),G2301,0)</f>
        <v>0</v>
      </c>
      <c r="I2301" s="10" t="n">
        <f aca="false">IF(Nonlabor!$E$22="Core",0,G2301)</f>
        <v>0</v>
      </c>
      <c r="J2301" s="23" t="str">
        <f aca="false">Nonlabor!$B$22</f>
        <v>MARKETING</v>
      </c>
    </row>
    <row r="2302" customFormat="false" ht="15" hidden="false" customHeight="false" outlineLevel="0" collapsed="false">
      <c r="A2302" s="6" t="s">
        <v>4</v>
      </c>
      <c r="B2302" s="6" t="s">
        <v>55</v>
      </c>
      <c r="C2302" s="6" t="n">
        <v>17</v>
      </c>
      <c r="D2302" s="25" t="n">
        <f aca="false">EDATE('Start Here'!$B$6,C2302-1)</f>
        <v>46813</v>
      </c>
      <c r="E2302" s="11" t="n">
        <f aca="false">IF(AND(OR(Nonlabor!$D$22="Both",Nonlabor!$D$22='Start Here'!$B$9),IF(Nonlabor!$E$22="Core",1,IF(Nonlabor!$E$22="AI",'Start Here'!$B$7,'Start Here'!$B$8))=1,C2302&gt;=IF(Nonlabor!$E$22="Core",Nonlabor!$F$22,MAX(Nonlabor!$F$22,IF(Nonlabor!$E$22="AI",Assumptions!$D$24,Assumptions!$D$25))),C2302&lt;=Nonlabor!$G$22,OR(Nonlabor!$H$22="Monthly",AND(Nonlabor!$H$22="Once",C2302=IF(Nonlabor!$E$22="Core",Nonlabor!$F$22,MAX(Nonlabor!$F$22,IF(Nonlabor!$E$22="AI",Assumptions!$D$24,Assumptions!$D$25)))),AND(Nonlabor!$H$22="Annual",MOD(C2302-IF(Nonlabor!$E$22="Core",Nonlabor!$F$22,MAX(Nonlabor!$F$22,IF(Nonlabor!$E$22="AI",Assumptions!$D$24,Assumptions!$D$25))),12)=0))),IF(Nonlabor!$I$22="Fixed",1,IF(Nonlabor!$I$22="Seats",ROUNDUP('Monthly Base'!I22,0),IF(Nonlabor!$I$22="Customers",'Monthly Base'!D22,IF(Nonlabor!$I$22="NewCustomers",'Monthly Base'!C22,IF(Nonlabor!$I$22="StorageGB",'Monthly Base'!G22,IF(Nonlabor!$I$22="LogGB",'Monthly Base'!H22,IF(Nonlabor!$I$22="RequestsM",'Monthly Base'!F22,IF(Nonlabor!$I$22="InputM",'Monthly Base'!D22*Assumptions!$D$22/1000000,IF(Nonlabor!$I$22="OutputM",'Monthly Base'!D22*Assumptions!$D$23/1000000,0))))))))),0)</f>
        <v>4.90099501</v>
      </c>
      <c r="F2302" s="10" t="n">
        <f aca="false">Nonlabor!$J$22*(1+Assumptions!$D$9)^INT((C2302-1)/12)</f>
        <v>77.25</v>
      </c>
      <c r="G2302" s="10" t="n">
        <f aca="false">E2302*F2302</f>
        <v>378.6018645225</v>
      </c>
      <c r="H2302" s="10" t="n">
        <f aca="false">IF(OR(Nonlabor!$L$22="Quote required",Nonlabor!$L$22="Unverified"),G2302,0)</f>
        <v>0</v>
      </c>
      <c r="I2302" s="10" t="n">
        <f aca="false">IF(Nonlabor!$E$22="Core",0,G2302)</f>
        <v>0</v>
      </c>
      <c r="J2302" s="23" t="str">
        <f aca="false">Nonlabor!$B$22</f>
        <v>MARKETING</v>
      </c>
    </row>
    <row r="2303" customFormat="false" ht="15" hidden="false" customHeight="false" outlineLevel="0" collapsed="false">
      <c r="A2303" s="6" t="s">
        <v>4</v>
      </c>
      <c r="B2303" s="6" t="s">
        <v>55</v>
      </c>
      <c r="C2303" s="6" t="n">
        <v>18</v>
      </c>
      <c r="D2303" s="25" t="n">
        <f aca="false">EDATE('Start Here'!$B$6,C2303-1)</f>
        <v>46844</v>
      </c>
      <c r="E2303" s="11" t="n">
        <f aca="false">IF(AND(OR(Nonlabor!$D$22="Both",Nonlabor!$D$22='Start Here'!$B$9),IF(Nonlabor!$E$22="Core",1,IF(Nonlabor!$E$22="AI",'Start Here'!$B$7,'Start Here'!$B$8))=1,C2303&gt;=IF(Nonlabor!$E$22="Core",Nonlabor!$F$22,MAX(Nonlabor!$F$22,IF(Nonlabor!$E$22="AI",Assumptions!$D$24,Assumptions!$D$25))),C2303&lt;=Nonlabor!$G$22,OR(Nonlabor!$H$22="Monthly",AND(Nonlabor!$H$22="Once",C2303=IF(Nonlabor!$E$22="Core",Nonlabor!$F$22,MAX(Nonlabor!$F$22,IF(Nonlabor!$E$22="AI",Assumptions!$D$24,Assumptions!$D$25)))),AND(Nonlabor!$H$22="Annual",MOD(C2303-IF(Nonlabor!$E$22="Core",Nonlabor!$F$22,MAX(Nonlabor!$F$22,IF(Nonlabor!$E$22="AI",Assumptions!$D$24,Assumptions!$D$25))),12)=0))),IF(Nonlabor!$I$22="Fixed",1,IF(Nonlabor!$I$22="Seats",ROUNDUP('Monthly Base'!I23,0),IF(Nonlabor!$I$22="Customers",'Monthly Base'!D23,IF(Nonlabor!$I$22="NewCustomers",'Monthly Base'!C23,IF(Nonlabor!$I$22="StorageGB",'Monthly Base'!G23,IF(Nonlabor!$I$22="LogGB",'Monthly Base'!H23,IF(Nonlabor!$I$22="RequestsM",'Monthly Base'!F23,IF(Nonlabor!$I$22="InputM",'Monthly Base'!D23*Assumptions!$D$22/1000000,IF(Nonlabor!$I$22="OutputM",'Monthly Base'!D23*Assumptions!$D$23/1000000,0))))))))),0)</f>
        <v>5.8519850599</v>
      </c>
      <c r="F2303" s="10" t="n">
        <f aca="false">Nonlabor!$J$22*(1+Assumptions!$D$9)^INT((C2303-1)/12)</f>
        <v>77.25</v>
      </c>
      <c r="G2303" s="10" t="n">
        <f aca="false">E2303*F2303</f>
        <v>452.065845877275</v>
      </c>
      <c r="H2303" s="10" t="n">
        <f aca="false">IF(OR(Nonlabor!$L$22="Quote required",Nonlabor!$L$22="Unverified"),G2303,0)</f>
        <v>0</v>
      </c>
      <c r="I2303" s="10" t="n">
        <f aca="false">IF(Nonlabor!$E$22="Core",0,G2303)</f>
        <v>0</v>
      </c>
      <c r="J2303" s="23" t="str">
        <f aca="false">Nonlabor!$B$22</f>
        <v>MARKETING</v>
      </c>
    </row>
    <row r="2304" customFormat="false" ht="15" hidden="false" customHeight="false" outlineLevel="0" collapsed="false">
      <c r="A2304" s="6" t="s">
        <v>4</v>
      </c>
      <c r="B2304" s="6" t="s">
        <v>55</v>
      </c>
      <c r="C2304" s="6" t="n">
        <v>19</v>
      </c>
      <c r="D2304" s="25" t="n">
        <f aca="false">EDATE('Start Here'!$B$6,C2304-1)</f>
        <v>46874</v>
      </c>
      <c r="E2304" s="11" t="n">
        <f aca="false">IF(AND(OR(Nonlabor!$D$22="Both",Nonlabor!$D$22='Start Here'!$B$9),IF(Nonlabor!$E$22="Core",1,IF(Nonlabor!$E$22="AI",'Start Here'!$B$7,'Start Here'!$B$8))=1,C2304&gt;=IF(Nonlabor!$E$22="Core",Nonlabor!$F$22,MAX(Nonlabor!$F$22,IF(Nonlabor!$E$22="AI",Assumptions!$D$24,Assumptions!$D$25))),C2304&lt;=Nonlabor!$G$22,OR(Nonlabor!$H$22="Monthly",AND(Nonlabor!$H$22="Once",C2304=IF(Nonlabor!$E$22="Core",Nonlabor!$F$22,MAX(Nonlabor!$F$22,IF(Nonlabor!$E$22="AI",Assumptions!$D$24,Assumptions!$D$25)))),AND(Nonlabor!$H$22="Annual",MOD(C2304-IF(Nonlabor!$E$22="Core",Nonlabor!$F$22,MAX(Nonlabor!$F$22,IF(Nonlabor!$E$22="AI",Assumptions!$D$24,Assumptions!$D$25))),12)=0))),IF(Nonlabor!$I$22="Fixed",1,IF(Nonlabor!$I$22="Seats",ROUNDUP('Monthly Base'!I24,0),IF(Nonlabor!$I$22="Customers",'Monthly Base'!D24,IF(Nonlabor!$I$22="NewCustomers",'Monthly Base'!C24,IF(Nonlabor!$I$22="StorageGB",'Monthly Base'!G24,IF(Nonlabor!$I$22="LogGB",'Monthly Base'!H24,IF(Nonlabor!$I$22="RequestsM",'Monthly Base'!F24,IF(Nonlabor!$I$22="InputM",'Monthly Base'!D24*Assumptions!$D$22/1000000,IF(Nonlabor!$I$22="OutputM",'Monthly Base'!D24*Assumptions!$D$23/1000000,0))))))))),0)</f>
        <v>6.793465209301</v>
      </c>
      <c r="F2304" s="10" t="n">
        <f aca="false">Nonlabor!$J$22*(1+Assumptions!$D$9)^INT((C2304-1)/12)</f>
        <v>77.25</v>
      </c>
      <c r="G2304" s="10" t="n">
        <f aca="false">E2304*F2304</f>
        <v>524.795187418502</v>
      </c>
      <c r="H2304" s="10" t="n">
        <f aca="false">IF(OR(Nonlabor!$L$22="Quote required",Nonlabor!$L$22="Unverified"),G2304,0)</f>
        <v>0</v>
      </c>
      <c r="I2304" s="10" t="n">
        <f aca="false">IF(Nonlabor!$E$22="Core",0,G2304)</f>
        <v>0</v>
      </c>
      <c r="J2304" s="23" t="str">
        <f aca="false">Nonlabor!$B$22</f>
        <v>MARKETING</v>
      </c>
    </row>
    <row r="2305" customFormat="false" ht="15" hidden="false" customHeight="false" outlineLevel="0" collapsed="false">
      <c r="A2305" s="6" t="s">
        <v>4</v>
      </c>
      <c r="B2305" s="6" t="s">
        <v>55</v>
      </c>
      <c r="C2305" s="6" t="n">
        <v>20</v>
      </c>
      <c r="D2305" s="25" t="n">
        <f aca="false">EDATE('Start Here'!$B$6,C2305-1)</f>
        <v>46905</v>
      </c>
      <c r="E2305" s="11" t="n">
        <f aca="false">IF(AND(OR(Nonlabor!$D$22="Both",Nonlabor!$D$22='Start Here'!$B$9),IF(Nonlabor!$E$22="Core",1,IF(Nonlabor!$E$22="AI",'Start Here'!$B$7,'Start Here'!$B$8))=1,C2305&gt;=IF(Nonlabor!$E$22="Core",Nonlabor!$F$22,MAX(Nonlabor!$F$22,IF(Nonlabor!$E$22="AI",Assumptions!$D$24,Assumptions!$D$25))),C2305&lt;=Nonlabor!$G$22,OR(Nonlabor!$H$22="Monthly",AND(Nonlabor!$H$22="Once",C2305=IF(Nonlabor!$E$22="Core",Nonlabor!$F$22,MAX(Nonlabor!$F$22,IF(Nonlabor!$E$22="AI",Assumptions!$D$24,Assumptions!$D$25)))),AND(Nonlabor!$H$22="Annual",MOD(C2305-IF(Nonlabor!$E$22="Core",Nonlabor!$F$22,MAX(Nonlabor!$F$22,IF(Nonlabor!$E$22="AI",Assumptions!$D$24,Assumptions!$D$25))),12)=0))),IF(Nonlabor!$I$22="Fixed",1,IF(Nonlabor!$I$22="Seats",ROUNDUP('Monthly Base'!I25,0),IF(Nonlabor!$I$22="Customers",'Monthly Base'!D25,IF(Nonlabor!$I$22="NewCustomers",'Monthly Base'!C25,IF(Nonlabor!$I$22="StorageGB",'Monthly Base'!G25,IF(Nonlabor!$I$22="LogGB",'Monthly Base'!H25,IF(Nonlabor!$I$22="RequestsM",'Monthly Base'!F25,IF(Nonlabor!$I$22="InputM",'Monthly Base'!D25*Assumptions!$D$22/1000000,IF(Nonlabor!$I$22="OutputM",'Monthly Base'!D25*Assumptions!$D$23/1000000,0))))))))),0)</f>
        <v>7.72553055720799</v>
      </c>
      <c r="F2305" s="10" t="n">
        <f aca="false">Nonlabor!$J$22*(1+Assumptions!$D$9)^INT((C2305-1)/12)</f>
        <v>77.25</v>
      </c>
      <c r="G2305" s="10" t="n">
        <f aca="false">E2305*F2305</f>
        <v>596.797235544317</v>
      </c>
      <c r="H2305" s="10" t="n">
        <f aca="false">IF(OR(Nonlabor!$L$22="Quote required",Nonlabor!$L$22="Unverified"),G2305,0)</f>
        <v>0</v>
      </c>
      <c r="I2305" s="10" t="n">
        <f aca="false">IF(Nonlabor!$E$22="Core",0,G2305)</f>
        <v>0</v>
      </c>
      <c r="J2305" s="23" t="str">
        <f aca="false">Nonlabor!$B$22</f>
        <v>MARKETING</v>
      </c>
    </row>
    <row r="2306" customFormat="false" ht="15" hidden="false" customHeight="false" outlineLevel="0" collapsed="false">
      <c r="A2306" s="6" t="s">
        <v>4</v>
      </c>
      <c r="B2306" s="6" t="s">
        <v>55</v>
      </c>
      <c r="C2306" s="6" t="n">
        <v>21</v>
      </c>
      <c r="D2306" s="25" t="n">
        <f aca="false">EDATE('Start Here'!$B$6,C2306-1)</f>
        <v>46935</v>
      </c>
      <c r="E2306" s="11" t="n">
        <f aca="false">IF(AND(OR(Nonlabor!$D$22="Both",Nonlabor!$D$22='Start Here'!$B$9),IF(Nonlabor!$E$22="Core",1,IF(Nonlabor!$E$22="AI",'Start Here'!$B$7,'Start Here'!$B$8))=1,C2306&gt;=IF(Nonlabor!$E$22="Core",Nonlabor!$F$22,MAX(Nonlabor!$F$22,IF(Nonlabor!$E$22="AI",Assumptions!$D$24,Assumptions!$D$25))),C2306&lt;=Nonlabor!$G$22,OR(Nonlabor!$H$22="Monthly",AND(Nonlabor!$H$22="Once",C2306=IF(Nonlabor!$E$22="Core",Nonlabor!$F$22,MAX(Nonlabor!$F$22,IF(Nonlabor!$E$22="AI",Assumptions!$D$24,Assumptions!$D$25)))),AND(Nonlabor!$H$22="Annual",MOD(C2306-IF(Nonlabor!$E$22="Core",Nonlabor!$F$22,MAX(Nonlabor!$F$22,IF(Nonlabor!$E$22="AI",Assumptions!$D$24,Assumptions!$D$25))),12)=0))),IF(Nonlabor!$I$22="Fixed",1,IF(Nonlabor!$I$22="Seats",ROUNDUP('Monthly Base'!I26,0),IF(Nonlabor!$I$22="Customers",'Monthly Base'!D26,IF(Nonlabor!$I$22="NewCustomers",'Monthly Base'!C26,IF(Nonlabor!$I$22="StorageGB",'Monthly Base'!G26,IF(Nonlabor!$I$22="LogGB",'Monthly Base'!H26,IF(Nonlabor!$I$22="RequestsM",'Monthly Base'!F26,IF(Nonlabor!$I$22="InputM",'Monthly Base'!D26*Assumptions!$D$22/1000000,IF(Nonlabor!$I$22="OutputM",'Monthly Base'!D26*Assumptions!$D$23/1000000,0))))))))),0)</f>
        <v>8.64827525163591</v>
      </c>
      <c r="F2306" s="10" t="n">
        <f aca="false">Nonlabor!$J$22*(1+Assumptions!$D$9)^INT((C2306-1)/12)</f>
        <v>77.25</v>
      </c>
      <c r="G2306" s="10" t="n">
        <f aca="false">E2306*F2306</f>
        <v>668.079263188874</v>
      </c>
      <c r="H2306" s="10" t="n">
        <f aca="false">IF(OR(Nonlabor!$L$22="Quote required",Nonlabor!$L$22="Unverified"),G2306,0)</f>
        <v>0</v>
      </c>
      <c r="I2306" s="10" t="n">
        <f aca="false">IF(Nonlabor!$E$22="Core",0,G2306)</f>
        <v>0</v>
      </c>
      <c r="J2306" s="23" t="str">
        <f aca="false">Nonlabor!$B$22</f>
        <v>MARKETING</v>
      </c>
    </row>
    <row r="2307" customFormat="false" ht="15" hidden="false" customHeight="false" outlineLevel="0" collapsed="false">
      <c r="A2307" s="6" t="s">
        <v>4</v>
      </c>
      <c r="B2307" s="6" t="s">
        <v>55</v>
      </c>
      <c r="C2307" s="6" t="n">
        <v>22</v>
      </c>
      <c r="D2307" s="25" t="n">
        <f aca="false">EDATE('Start Here'!$B$6,C2307-1)</f>
        <v>46966</v>
      </c>
      <c r="E2307" s="11" t="n">
        <f aca="false">IF(AND(OR(Nonlabor!$D$22="Both",Nonlabor!$D$22='Start Here'!$B$9),IF(Nonlabor!$E$22="Core",1,IF(Nonlabor!$E$22="AI",'Start Here'!$B$7,'Start Here'!$B$8))=1,C2307&gt;=IF(Nonlabor!$E$22="Core",Nonlabor!$F$22,MAX(Nonlabor!$F$22,IF(Nonlabor!$E$22="AI",Assumptions!$D$24,Assumptions!$D$25))),C2307&lt;=Nonlabor!$G$22,OR(Nonlabor!$H$22="Monthly",AND(Nonlabor!$H$22="Once",C2307=IF(Nonlabor!$E$22="Core",Nonlabor!$F$22,MAX(Nonlabor!$F$22,IF(Nonlabor!$E$22="AI",Assumptions!$D$24,Assumptions!$D$25)))),AND(Nonlabor!$H$22="Annual",MOD(C2307-IF(Nonlabor!$E$22="Core",Nonlabor!$F$22,MAX(Nonlabor!$F$22,IF(Nonlabor!$E$22="AI",Assumptions!$D$24,Assumptions!$D$25))),12)=0))),IF(Nonlabor!$I$22="Fixed",1,IF(Nonlabor!$I$22="Seats",ROUNDUP('Monthly Base'!I27,0),IF(Nonlabor!$I$22="Customers",'Monthly Base'!D27,IF(Nonlabor!$I$22="NewCustomers",'Monthly Base'!C27,IF(Nonlabor!$I$22="StorageGB",'Monthly Base'!G27,IF(Nonlabor!$I$22="LogGB",'Monthly Base'!H27,IF(Nonlabor!$I$22="RequestsM",'Monthly Base'!F27,IF(Nonlabor!$I$22="InputM",'Monthly Base'!D27*Assumptions!$D$22/1000000,IF(Nonlabor!$I$22="OutputM",'Monthly Base'!D27*Assumptions!$D$23/1000000,0))))))))),0)</f>
        <v>9.56179249911955</v>
      </c>
      <c r="F2307" s="10" t="n">
        <f aca="false">Nonlabor!$J$22*(1+Assumptions!$D$9)^INT((C2307-1)/12)</f>
        <v>77.25</v>
      </c>
      <c r="G2307" s="10" t="n">
        <f aca="false">E2307*F2307</f>
        <v>738.648470556985</v>
      </c>
      <c r="H2307" s="10" t="n">
        <f aca="false">IF(OR(Nonlabor!$L$22="Quote required",Nonlabor!$L$22="Unverified"),G2307,0)</f>
        <v>0</v>
      </c>
      <c r="I2307" s="10" t="n">
        <f aca="false">IF(Nonlabor!$E$22="Core",0,G2307)</f>
        <v>0</v>
      </c>
      <c r="J2307" s="23" t="str">
        <f aca="false">Nonlabor!$B$22</f>
        <v>MARKETING</v>
      </c>
    </row>
    <row r="2308" customFormat="false" ht="15" hidden="false" customHeight="false" outlineLevel="0" collapsed="false">
      <c r="A2308" s="6" t="s">
        <v>4</v>
      </c>
      <c r="B2308" s="6" t="s">
        <v>55</v>
      </c>
      <c r="C2308" s="6" t="n">
        <v>23</v>
      </c>
      <c r="D2308" s="25" t="n">
        <f aca="false">EDATE('Start Here'!$B$6,C2308-1)</f>
        <v>46997</v>
      </c>
      <c r="E2308" s="11" t="n">
        <f aca="false">IF(AND(OR(Nonlabor!$D$22="Both",Nonlabor!$D$22='Start Here'!$B$9),IF(Nonlabor!$E$22="Core",1,IF(Nonlabor!$E$22="AI",'Start Here'!$B$7,'Start Here'!$B$8))=1,C2308&gt;=IF(Nonlabor!$E$22="Core",Nonlabor!$F$22,MAX(Nonlabor!$F$22,IF(Nonlabor!$E$22="AI",Assumptions!$D$24,Assumptions!$D$25))),C2308&lt;=Nonlabor!$G$22,OR(Nonlabor!$H$22="Monthly",AND(Nonlabor!$H$22="Once",C2308=IF(Nonlabor!$E$22="Core",Nonlabor!$F$22,MAX(Nonlabor!$F$22,IF(Nonlabor!$E$22="AI",Assumptions!$D$24,Assumptions!$D$25)))),AND(Nonlabor!$H$22="Annual",MOD(C2308-IF(Nonlabor!$E$22="Core",Nonlabor!$F$22,MAX(Nonlabor!$F$22,IF(Nonlabor!$E$22="AI",Assumptions!$D$24,Assumptions!$D$25))),12)=0))),IF(Nonlabor!$I$22="Fixed",1,IF(Nonlabor!$I$22="Seats",ROUNDUP('Monthly Base'!I28,0),IF(Nonlabor!$I$22="Customers",'Monthly Base'!D28,IF(Nonlabor!$I$22="NewCustomers",'Monthly Base'!C28,IF(Nonlabor!$I$22="StorageGB",'Monthly Base'!G28,IF(Nonlabor!$I$22="LogGB",'Monthly Base'!H28,IF(Nonlabor!$I$22="RequestsM",'Monthly Base'!F28,IF(Nonlabor!$I$22="InputM",'Monthly Base'!D28*Assumptions!$D$22/1000000,IF(Nonlabor!$I$22="OutputM",'Monthly Base'!D28*Assumptions!$D$23/1000000,0))))))))),0)</f>
        <v>10.4661745741284</v>
      </c>
      <c r="F2308" s="10" t="n">
        <f aca="false">Nonlabor!$J$22*(1+Assumptions!$D$9)^INT((C2308-1)/12)</f>
        <v>77.25</v>
      </c>
      <c r="G2308" s="10" t="n">
        <f aca="false">E2308*F2308</f>
        <v>808.511985851416</v>
      </c>
      <c r="H2308" s="10" t="n">
        <f aca="false">IF(OR(Nonlabor!$L$22="Quote required",Nonlabor!$L$22="Unverified"),G2308,0)</f>
        <v>0</v>
      </c>
      <c r="I2308" s="10" t="n">
        <f aca="false">IF(Nonlabor!$E$22="Core",0,G2308)</f>
        <v>0</v>
      </c>
      <c r="J2308" s="23" t="str">
        <f aca="false">Nonlabor!$B$22</f>
        <v>MARKETING</v>
      </c>
    </row>
    <row r="2309" customFormat="false" ht="15" hidden="false" customHeight="false" outlineLevel="0" collapsed="false">
      <c r="A2309" s="6" t="s">
        <v>4</v>
      </c>
      <c r="B2309" s="6" t="s">
        <v>55</v>
      </c>
      <c r="C2309" s="6" t="n">
        <v>24</v>
      </c>
      <c r="D2309" s="25" t="n">
        <f aca="false">EDATE('Start Here'!$B$6,C2309-1)</f>
        <v>47027</v>
      </c>
      <c r="E2309" s="11" t="n">
        <f aca="false">IF(AND(OR(Nonlabor!$D$22="Both",Nonlabor!$D$22='Start Here'!$B$9),IF(Nonlabor!$E$22="Core",1,IF(Nonlabor!$E$22="AI",'Start Here'!$B$7,'Start Here'!$B$8))=1,C2309&gt;=IF(Nonlabor!$E$22="Core",Nonlabor!$F$22,MAX(Nonlabor!$F$22,IF(Nonlabor!$E$22="AI",Assumptions!$D$24,Assumptions!$D$25))),C2309&lt;=Nonlabor!$G$22,OR(Nonlabor!$H$22="Monthly",AND(Nonlabor!$H$22="Once",C2309=IF(Nonlabor!$E$22="Core",Nonlabor!$F$22,MAX(Nonlabor!$F$22,IF(Nonlabor!$E$22="AI",Assumptions!$D$24,Assumptions!$D$25)))),AND(Nonlabor!$H$22="Annual",MOD(C2309-IF(Nonlabor!$E$22="Core",Nonlabor!$F$22,MAX(Nonlabor!$F$22,IF(Nonlabor!$E$22="AI",Assumptions!$D$24,Assumptions!$D$25))),12)=0))),IF(Nonlabor!$I$22="Fixed",1,IF(Nonlabor!$I$22="Seats",ROUNDUP('Monthly Base'!I29,0),IF(Nonlabor!$I$22="Customers",'Monthly Base'!D29,IF(Nonlabor!$I$22="NewCustomers",'Monthly Base'!C29,IF(Nonlabor!$I$22="StorageGB",'Monthly Base'!G29,IF(Nonlabor!$I$22="LogGB",'Monthly Base'!H29,IF(Nonlabor!$I$22="RequestsM",'Monthly Base'!F29,IF(Nonlabor!$I$22="InputM",'Monthly Base'!D29*Assumptions!$D$22/1000000,IF(Nonlabor!$I$22="OutputM",'Monthly Base'!D29*Assumptions!$D$23/1000000,0))))))))),0)</f>
        <v>11.3615128283871</v>
      </c>
      <c r="F2309" s="10" t="n">
        <f aca="false">Nonlabor!$J$22*(1+Assumptions!$D$9)^INT((C2309-1)/12)</f>
        <v>77.25</v>
      </c>
      <c r="G2309" s="10" t="n">
        <f aca="false">E2309*F2309</f>
        <v>877.676865992901</v>
      </c>
      <c r="H2309" s="10" t="n">
        <f aca="false">IF(OR(Nonlabor!$L$22="Quote required",Nonlabor!$L$22="Unverified"),G2309,0)</f>
        <v>0</v>
      </c>
      <c r="I2309" s="10" t="n">
        <f aca="false">IF(Nonlabor!$E$22="Core",0,G2309)</f>
        <v>0</v>
      </c>
      <c r="J2309" s="23" t="str">
        <f aca="false">Nonlabor!$B$22</f>
        <v>MARKETING</v>
      </c>
    </row>
    <row r="2310" customFormat="false" ht="15" hidden="false" customHeight="false" outlineLevel="0" collapsed="false">
      <c r="A2310" s="6" t="s">
        <v>4</v>
      </c>
      <c r="B2310" s="6" t="s">
        <v>55</v>
      </c>
      <c r="C2310" s="6" t="n">
        <v>25</v>
      </c>
      <c r="D2310" s="25" t="n">
        <f aca="false">EDATE('Start Here'!$B$6,C2310-1)</f>
        <v>47058</v>
      </c>
      <c r="E2310" s="11" t="n">
        <f aca="false">IF(AND(OR(Nonlabor!$D$22="Both",Nonlabor!$D$22='Start Here'!$B$9),IF(Nonlabor!$E$22="Core",1,IF(Nonlabor!$E$22="AI",'Start Here'!$B$7,'Start Here'!$B$8))=1,C2310&gt;=IF(Nonlabor!$E$22="Core",Nonlabor!$F$22,MAX(Nonlabor!$F$22,IF(Nonlabor!$E$22="AI",Assumptions!$D$24,Assumptions!$D$25))),C2310&lt;=Nonlabor!$G$22,OR(Nonlabor!$H$22="Monthly",AND(Nonlabor!$H$22="Once",C2310=IF(Nonlabor!$E$22="Core",Nonlabor!$F$22,MAX(Nonlabor!$F$22,IF(Nonlabor!$E$22="AI",Assumptions!$D$24,Assumptions!$D$25)))),AND(Nonlabor!$H$22="Annual",MOD(C2310-IF(Nonlabor!$E$22="Core",Nonlabor!$F$22,MAX(Nonlabor!$F$22,IF(Nonlabor!$E$22="AI",Assumptions!$D$24,Assumptions!$D$25))),12)=0))),IF(Nonlabor!$I$22="Fixed",1,IF(Nonlabor!$I$22="Seats",ROUNDUP('Monthly Base'!I30,0),IF(Nonlabor!$I$22="Customers",'Monthly Base'!D30,IF(Nonlabor!$I$22="NewCustomers",'Monthly Base'!C30,IF(Nonlabor!$I$22="StorageGB",'Monthly Base'!G30,IF(Nonlabor!$I$22="LogGB",'Monthly Base'!H30,IF(Nonlabor!$I$22="RequestsM",'Monthly Base'!F30,IF(Nonlabor!$I$22="InputM",'Monthly Base'!D30*Assumptions!$D$22/1000000,IF(Nonlabor!$I$22="OutputM",'Monthly Base'!D30*Assumptions!$D$23/1000000,0))))))))),0)</f>
        <v>12.7478977001032</v>
      </c>
      <c r="F2310" s="10" t="n">
        <f aca="false">Nonlabor!$J$22*(1+Assumptions!$D$9)^INT((C2310-1)/12)</f>
        <v>79.5675</v>
      </c>
      <c r="G2310" s="10" t="n">
        <f aca="false">E2310*F2310</f>
        <v>1014.31835025296</v>
      </c>
      <c r="H2310" s="10" t="n">
        <f aca="false">IF(OR(Nonlabor!$L$22="Quote required",Nonlabor!$L$22="Unverified"),G2310,0)</f>
        <v>0</v>
      </c>
      <c r="I2310" s="10" t="n">
        <f aca="false">IF(Nonlabor!$E$22="Core",0,G2310)</f>
        <v>0</v>
      </c>
      <c r="J2310" s="23" t="str">
        <f aca="false">Nonlabor!$B$22</f>
        <v>MARKETING</v>
      </c>
    </row>
    <row r="2311" customFormat="false" ht="15" hidden="false" customHeight="false" outlineLevel="0" collapsed="false">
      <c r="A2311" s="6" t="s">
        <v>4</v>
      </c>
      <c r="B2311" s="6" t="s">
        <v>55</v>
      </c>
      <c r="C2311" s="6" t="n">
        <v>26</v>
      </c>
      <c r="D2311" s="25" t="n">
        <f aca="false">EDATE('Start Here'!$B$6,C2311-1)</f>
        <v>47088</v>
      </c>
      <c r="E2311" s="11" t="n">
        <f aca="false">IF(AND(OR(Nonlabor!$D$22="Both",Nonlabor!$D$22='Start Here'!$B$9),IF(Nonlabor!$E$22="Core",1,IF(Nonlabor!$E$22="AI",'Start Here'!$B$7,'Start Here'!$B$8))=1,C2311&gt;=IF(Nonlabor!$E$22="Core",Nonlabor!$F$22,MAX(Nonlabor!$F$22,IF(Nonlabor!$E$22="AI",Assumptions!$D$24,Assumptions!$D$25))),C2311&lt;=Nonlabor!$G$22,OR(Nonlabor!$H$22="Monthly",AND(Nonlabor!$H$22="Once",C2311=IF(Nonlabor!$E$22="Core",Nonlabor!$F$22,MAX(Nonlabor!$F$22,IF(Nonlabor!$E$22="AI",Assumptions!$D$24,Assumptions!$D$25)))),AND(Nonlabor!$H$22="Annual",MOD(C2311-IF(Nonlabor!$E$22="Core",Nonlabor!$F$22,MAX(Nonlabor!$F$22,IF(Nonlabor!$E$22="AI",Assumptions!$D$24,Assumptions!$D$25))),12)=0))),IF(Nonlabor!$I$22="Fixed",1,IF(Nonlabor!$I$22="Seats",ROUNDUP('Monthly Base'!I31,0),IF(Nonlabor!$I$22="Customers",'Monthly Base'!D31,IF(Nonlabor!$I$22="NewCustomers",'Monthly Base'!C31,IF(Nonlabor!$I$22="StorageGB",'Monthly Base'!G31,IF(Nonlabor!$I$22="LogGB",'Monthly Base'!H31,IF(Nonlabor!$I$22="RequestsM",'Monthly Base'!F31,IF(Nonlabor!$I$22="InputM",'Monthly Base'!D31*Assumptions!$D$22/1000000,IF(Nonlabor!$I$22="OutputM",'Monthly Base'!D31*Assumptions!$D$23/1000000,0))))))))),0)</f>
        <v>14.1204187231022</v>
      </c>
      <c r="F2311" s="10" t="n">
        <f aca="false">Nonlabor!$J$22*(1+Assumptions!$D$9)^INT((C2311-1)/12)</f>
        <v>79.5675</v>
      </c>
      <c r="G2311" s="10" t="n">
        <f aca="false">E2311*F2311</f>
        <v>1123.52641675043</v>
      </c>
      <c r="H2311" s="10" t="n">
        <f aca="false">IF(OR(Nonlabor!$L$22="Quote required",Nonlabor!$L$22="Unverified"),G2311,0)</f>
        <v>0</v>
      </c>
      <c r="I2311" s="10" t="n">
        <f aca="false">IF(Nonlabor!$E$22="Core",0,G2311)</f>
        <v>0</v>
      </c>
      <c r="J2311" s="23" t="str">
        <f aca="false">Nonlabor!$B$22</f>
        <v>MARKETING</v>
      </c>
    </row>
    <row r="2312" customFormat="false" ht="15" hidden="false" customHeight="false" outlineLevel="0" collapsed="false">
      <c r="A2312" s="6" t="s">
        <v>4</v>
      </c>
      <c r="B2312" s="6" t="s">
        <v>55</v>
      </c>
      <c r="C2312" s="6" t="n">
        <v>27</v>
      </c>
      <c r="D2312" s="25" t="n">
        <f aca="false">EDATE('Start Here'!$B$6,C2312-1)</f>
        <v>47119</v>
      </c>
      <c r="E2312" s="11" t="n">
        <f aca="false">IF(AND(OR(Nonlabor!$D$22="Both",Nonlabor!$D$22='Start Here'!$B$9),IF(Nonlabor!$E$22="Core",1,IF(Nonlabor!$E$22="AI",'Start Here'!$B$7,'Start Here'!$B$8))=1,C2312&gt;=IF(Nonlabor!$E$22="Core",Nonlabor!$F$22,MAX(Nonlabor!$F$22,IF(Nonlabor!$E$22="AI",Assumptions!$D$24,Assumptions!$D$25))),C2312&lt;=Nonlabor!$G$22,OR(Nonlabor!$H$22="Monthly",AND(Nonlabor!$H$22="Once",C2312=IF(Nonlabor!$E$22="Core",Nonlabor!$F$22,MAX(Nonlabor!$F$22,IF(Nonlabor!$E$22="AI",Assumptions!$D$24,Assumptions!$D$25)))),AND(Nonlabor!$H$22="Annual",MOD(C2312-IF(Nonlabor!$E$22="Core",Nonlabor!$F$22,MAX(Nonlabor!$F$22,IF(Nonlabor!$E$22="AI",Assumptions!$D$24,Assumptions!$D$25))),12)=0))),IF(Nonlabor!$I$22="Fixed",1,IF(Nonlabor!$I$22="Seats",ROUNDUP('Monthly Base'!I32,0),IF(Nonlabor!$I$22="Customers",'Monthly Base'!D32,IF(Nonlabor!$I$22="NewCustomers",'Monthly Base'!C32,IF(Nonlabor!$I$22="StorageGB",'Monthly Base'!G32,IF(Nonlabor!$I$22="LogGB",'Monthly Base'!H32,IF(Nonlabor!$I$22="RequestsM",'Monthly Base'!F32,IF(Nonlabor!$I$22="InputM",'Monthly Base'!D32*Assumptions!$D$22/1000000,IF(Nonlabor!$I$22="OutputM",'Monthly Base'!D32*Assumptions!$D$23/1000000,0))))))))),0)</f>
        <v>15.4792145358711</v>
      </c>
      <c r="F2312" s="10" t="n">
        <f aca="false">Nonlabor!$J$22*(1+Assumptions!$D$9)^INT((C2312-1)/12)</f>
        <v>79.5675</v>
      </c>
      <c r="G2312" s="10" t="n">
        <f aca="false">E2312*F2312</f>
        <v>1231.64240258293</v>
      </c>
      <c r="H2312" s="10" t="n">
        <f aca="false">IF(OR(Nonlabor!$L$22="Quote required",Nonlabor!$L$22="Unverified"),G2312,0)</f>
        <v>0</v>
      </c>
      <c r="I2312" s="10" t="n">
        <f aca="false">IF(Nonlabor!$E$22="Core",0,G2312)</f>
        <v>0</v>
      </c>
      <c r="J2312" s="23" t="str">
        <f aca="false">Nonlabor!$B$22</f>
        <v>MARKETING</v>
      </c>
    </row>
    <row r="2313" customFormat="false" ht="15" hidden="false" customHeight="false" outlineLevel="0" collapsed="false">
      <c r="A2313" s="6" t="s">
        <v>4</v>
      </c>
      <c r="B2313" s="6" t="s">
        <v>55</v>
      </c>
      <c r="C2313" s="6" t="n">
        <v>28</v>
      </c>
      <c r="D2313" s="25" t="n">
        <f aca="false">EDATE('Start Here'!$B$6,C2313-1)</f>
        <v>47150</v>
      </c>
      <c r="E2313" s="11" t="n">
        <f aca="false">IF(AND(OR(Nonlabor!$D$22="Both",Nonlabor!$D$22='Start Here'!$B$9),IF(Nonlabor!$E$22="Core",1,IF(Nonlabor!$E$22="AI",'Start Here'!$B$7,'Start Here'!$B$8))=1,C2313&gt;=IF(Nonlabor!$E$22="Core",Nonlabor!$F$22,MAX(Nonlabor!$F$22,IF(Nonlabor!$E$22="AI",Assumptions!$D$24,Assumptions!$D$25))),C2313&lt;=Nonlabor!$G$22,OR(Nonlabor!$H$22="Monthly",AND(Nonlabor!$H$22="Once",C2313=IF(Nonlabor!$E$22="Core",Nonlabor!$F$22,MAX(Nonlabor!$F$22,IF(Nonlabor!$E$22="AI",Assumptions!$D$24,Assumptions!$D$25)))),AND(Nonlabor!$H$22="Annual",MOD(C2313-IF(Nonlabor!$E$22="Core",Nonlabor!$F$22,MAX(Nonlabor!$F$22,IF(Nonlabor!$E$22="AI",Assumptions!$D$24,Assumptions!$D$25))),12)=0))),IF(Nonlabor!$I$22="Fixed",1,IF(Nonlabor!$I$22="Seats",ROUNDUP('Monthly Base'!I33,0),IF(Nonlabor!$I$22="Customers",'Monthly Base'!D33,IF(Nonlabor!$I$22="NewCustomers",'Monthly Base'!C33,IF(Nonlabor!$I$22="StorageGB",'Monthly Base'!G33,IF(Nonlabor!$I$22="LogGB",'Monthly Base'!H33,IF(Nonlabor!$I$22="RequestsM",'Monthly Base'!F33,IF(Nonlabor!$I$22="InputM",'Monthly Base'!D33*Assumptions!$D$22/1000000,IF(Nonlabor!$I$22="OutputM",'Monthly Base'!D33*Assumptions!$D$23/1000000,0))))))))),0)</f>
        <v>16.8244223905124</v>
      </c>
      <c r="F2313" s="10" t="n">
        <f aca="false">Nonlabor!$J$22*(1+Assumptions!$D$9)^INT((C2313-1)/12)</f>
        <v>79.5675</v>
      </c>
      <c r="G2313" s="10" t="n">
        <f aca="false">E2313*F2313</f>
        <v>1338.6772285571</v>
      </c>
      <c r="H2313" s="10" t="n">
        <f aca="false">IF(OR(Nonlabor!$L$22="Quote required",Nonlabor!$L$22="Unverified"),G2313,0)</f>
        <v>0</v>
      </c>
      <c r="I2313" s="10" t="n">
        <f aca="false">IF(Nonlabor!$E$22="Core",0,G2313)</f>
        <v>0</v>
      </c>
      <c r="J2313" s="23" t="str">
        <f aca="false">Nonlabor!$B$22</f>
        <v>MARKETING</v>
      </c>
    </row>
    <row r="2314" customFormat="false" ht="15" hidden="false" customHeight="false" outlineLevel="0" collapsed="false">
      <c r="A2314" s="6" t="s">
        <v>4</v>
      </c>
      <c r="B2314" s="6" t="s">
        <v>55</v>
      </c>
      <c r="C2314" s="6" t="n">
        <v>29</v>
      </c>
      <c r="D2314" s="25" t="n">
        <f aca="false">EDATE('Start Here'!$B$6,C2314-1)</f>
        <v>47178</v>
      </c>
      <c r="E2314" s="11" t="n">
        <f aca="false">IF(AND(OR(Nonlabor!$D$22="Both",Nonlabor!$D$22='Start Here'!$B$9),IF(Nonlabor!$E$22="Core",1,IF(Nonlabor!$E$22="AI",'Start Here'!$B$7,'Start Here'!$B$8))=1,C2314&gt;=IF(Nonlabor!$E$22="Core",Nonlabor!$F$22,MAX(Nonlabor!$F$22,IF(Nonlabor!$E$22="AI",Assumptions!$D$24,Assumptions!$D$25))),C2314&lt;=Nonlabor!$G$22,OR(Nonlabor!$H$22="Monthly",AND(Nonlabor!$H$22="Once",C2314=IF(Nonlabor!$E$22="Core",Nonlabor!$F$22,MAX(Nonlabor!$F$22,IF(Nonlabor!$E$22="AI",Assumptions!$D$24,Assumptions!$D$25)))),AND(Nonlabor!$H$22="Annual",MOD(C2314-IF(Nonlabor!$E$22="Core",Nonlabor!$F$22,MAX(Nonlabor!$F$22,IF(Nonlabor!$E$22="AI",Assumptions!$D$24,Assumptions!$D$25))),12)=0))),IF(Nonlabor!$I$22="Fixed",1,IF(Nonlabor!$I$22="Seats",ROUNDUP('Monthly Base'!I34,0),IF(Nonlabor!$I$22="Customers",'Monthly Base'!D34,IF(Nonlabor!$I$22="NewCustomers",'Monthly Base'!C34,IF(Nonlabor!$I$22="StorageGB",'Monthly Base'!G34,IF(Nonlabor!$I$22="LogGB",'Monthly Base'!H34,IF(Nonlabor!$I$22="RequestsM",'Monthly Base'!F34,IF(Nonlabor!$I$22="InputM",'Monthly Base'!D34*Assumptions!$D$22/1000000,IF(Nonlabor!$I$22="OutputM",'Monthly Base'!D34*Assumptions!$D$23/1000000,0))))))))),0)</f>
        <v>18.1561781666073</v>
      </c>
      <c r="F2314" s="10" t="n">
        <f aca="false">Nonlabor!$J$22*(1+Assumptions!$D$9)^INT((C2314-1)/12)</f>
        <v>79.5675</v>
      </c>
      <c r="G2314" s="10" t="n">
        <f aca="false">E2314*F2314</f>
        <v>1444.64170627153</v>
      </c>
      <c r="H2314" s="10" t="n">
        <f aca="false">IF(OR(Nonlabor!$L$22="Quote required",Nonlabor!$L$22="Unverified"),G2314,0)</f>
        <v>0</v>
      </c>
      <c r="I2314" s="10" t="n">
        <f aca="false">IF(Nonlabor!$E$22="Core",0,G2314)</f>
        <v>0</v>
      </c>
      <c r="J2314" s="23" t="str">
        <f aca="false">Nonlabor!$B$22</f>
        <v>MARKETING</v>
      </c>
    </row>
    <row r="2315" customFormat="false" ht="15" hidden="false" customHeight="false" outlineLevel="0" collapsed="false">
      <c r="A2315" s="6" t="s">
        <v>4</v>
      </c>
      <c r="B2315" s="6" t="s">
        <v>55</v>
      </c>
      <c r="C2315" s="6" t="n">
        <v>30</v>
      </c>
      <c r="D2315" s="25" t="n">
        <f aca="false">EDATE('Start Here'!$B$6,C2315-1)</f>
        <v>47209</v>
      </c>
      <c r="E2315" s="11" t="n">
        <f aca="false">IF(AND(OR(Nonlabor!$D$22="Both",Nonlabor!$D$22='Start Here'!$B$9),IF(Nonlabor!$E$22="Core",1,IF(Nonlabor!$E$22="AI",'Start Here'!$B$7,'Start Here'!$B$8))=1,C2315&gt;=IF(Nonlabor!$E$22="Core",Nonlabor!$F$22,MAX(Nonlabor!$F$22,IF(Nonlabor!$E$22="AI",Assumptions!$D$24,Assumptions!$D$25))),C2315&lt;=Nonlabor!$G$22,OR(Nonlabor!$H$22="Monthly",AND(Nonlabor!$H$22="Once",C2315=IF(Nonlabor!$E$22="Core",Nonlabor!$F$22,MAX(Nonlabor!$F$22,IF(Nonlabor!$E$22="AI",Assumptions!$D$24,Assumptions!$D$25)))),AND(Nonlabor!$H$22="Annual",MOD(C2315-IF(Nonlabor!$E$22="Core",Nonlabor!$F$22,MAX(Nonlabor!$F$22,IF(Nonlabor!$E$22="AI",Assumptions!$D$24,Assumptions!$D$25))),12)=0))),IF(Nonlabor!$I$22="Fixed",1,IF(Nonlabor!$I$22="Seats",ROUNDUP('Monthly Base'!I35,0),IF(Nonlabor!$I$22="Customers",'Monthly Base'!D35,IF(Nonlabor!$I$22="NewCustomers",'Monthly Base'!C35,IF(Nonlabor!$I$22="StorageGB",'Monthly Base'!G35,IF(Nonlabor!$I$22="LogGB",'Monthly Base'!H35,IF(Nonlabor!$I$22="RequestsM",'Monthly Base'!F35,IF(Nonlabor!$I$22="InputM",'Monthly Base'!D35*Assumptions!$D$22/1000000,IF(Nonlabor!$I$22="OutputM",'Monthly Base'!D35*Assumptions!$D$23/1000000,0))))))))),0)</f>
        <v>19.4746163849412</v>
      </c>
      <c r="F2315" s="10" t="n">
        <f aca="false">Nonlabor!$J$22*(1+Assumptions!$D$9)^INT((C2315-1)/12)</f>
        <v>79.5675</v>
      </c>
      <c r="G2315" s="10" t="n">
        <f aca="false">E2315*F2315</f>
        <v>1549.54653920881</v>
      </c>
      <c r="H2315" s="10" t="n">
        <f aca="false">IF(OR(Nonlabor!$L$22="Quote required",Nonlabor!$L$22="Unverified"),G2315,0)</f>
        <v>0</v>
      </c>
      <c r="I2315" s="10" t="n">
        <f aca="false">IF(Nonlabor!$E$22="Core",0,G2315)</f>
        <v>0</v>
      </c>
      <c r="J2315" s="23" t="str">
        <f aca="false">Nonlabor!$B$22</f>
        <v>MARKETING</v>
      </c>
    </row>
    <row r="2316" customFormat="false" ht="15" hidden="false" customHeight="false" outlineLevel="0" collapsed="false">
      <c r="A2316" s="6" t="s">
        <v>4</v>
      </c>
      <c r="B2316" s="6" t="s">
        <v>55</v>
      </c>
      <c r="C2316" s="6" t="n">
        <v>31</v>
      </c>
      <c r="D2316" s="25" t="n">
        <f aca="false">EDATE('Start Here'!$B$6,C2316-1)</f>
        <v>47239</v>
      </c>
      <c r="E2316" s="11" t="n">
        <f aca="false">IF(AND(OR(Nonlabor!$D$22="Both",Nonlabor!$D$22='Start Here'!$B$9),IF(Nonlabor!$E$22="Core",1,IF(Nonlabor!$E$22="AI",'Start Here'!$B$7,'Start Here'!$B$8))=1,C2316&gt;=IF(Nonlabor!$E$22="Core",Nonlabor!$F$22,MAX(Nonlabor!$F$22,IF(Nonlabor!$E$22="AI",Assumptions!$D$24,Assumptions!$D$25))),C2316&lt;=Nonlabor!$G$22,OR(Nonlabor!$H$22="Monthly",AND(Nonlabor!$H$22="Once",C2316=IF(Nonlabor!$E$22="Core",Nonlabor!$F$22,MAX(Nonlabor!$F$22,IF(Nonlabor!$E$22="AI",Assumptions!$D$24,Assumptions!$D$25)))),AND(Nonlabor!$H$22="Annual",MOD(C2316-IF(Nonlabor!$E$22="Core",Nonlabor!$F$22,MAX(Nonlabor!$F$22,IF(Nonlabor!$E$22="AI",Assumptions!$D$24,Assumptions!$D$25))),12)=0))),IF(Nonlabor!$I$22="Fixed",1,IF(Nonlabor!$I$22="Seats",ROUNDUP('Monthly Base'!I36,0),IF(Nonlabor!$I$22="Customers",'Monthly Base'!D36,IF(Nonlabor!$I$22="NewCustomers",'Monthly Base'!C36,IF(Nonlabor!$I$22="StorageGB",'Monthly Base'!G36,IF(Nonlabor!$I$22="LogGB",'Monthly Base'!H36,IF(Nonlabor!$I$22="RequestsM",'Monthly Base'!F36,IF(Nonlabor!$I$22="InputM",'Monthly Base'!D36*Assumptions!$D$22/1000000,IF(Nonlabor!$I$22="OutputM",'Monthly Base'!D36*Assumptions!$D$23/1000000,0))))))))),0)</f>
        <v>20.7798702210918</v>
      </c>
      <c r="F2316" s="10" t="n">
        <f aca="false">Nonlabor!$J$22*(1+Assumptions!$D$9)^INT((C2316-1)/12)</f>
        <v>79.5675</v>
      </c>
      <c r="G2316" s="10" t="n">
        <f aca="false">E2316*F2316</f>
        <v>1653.40232381672</v>
      </c>
      <c r="H2316" s="10" t="n">
        <f aca="false">IF(OR(Nonlabor!$L$22="Quote required",Nonlabor!$L$22="Unverified"),G2316,0)</f>
        <v>0</v>
      </c>
      <c r="I2316" s="10" t="n">
        <f aca="false">IF(Nonlabor!$E$22="Core",0,G2316)</f>
        <v>0</v>
      </c>
      <c r="J2316" s="23" t="str">
        <f aca="false">Nonlabor!$B$22</f>
        <v>MARKETING</v>
      </c>
    </row>
    <row r="2317" customFormat="false" ht="15" hidden="false" customHeight="false" outlineLevel="0" collapsed="false">
      <c r="A2317" s="6" t="s">
        <v>4</v>
      </c>
      <c r="B2317" s="6" t="s">
        <v>55</v>
      </c>
      <c r="C2317" s="6" t="n">
        <v>32</v>
      </c>
      <c r="D2317" s="25" t="n">
        <f aca="false">EDATE('Start Here'!$B$6,C2317-1)</f>
        <v>47270</v>
      </c>
      <c r="E2317" s="11" t="n">
        <f aca="false">IF(AND(OR(Nonlabor!$D$22="Both",Nonlabor!$D$22='Start Here'!$B$9),IF(Nonlabor!$E$22="Core",1,IF(Nonlabor!$E$22="AI",'Start Here'!$B$7,'Start Here'!$B$8))=1,C2317&gt;=IF(Nonlabor!$E$22="Core",Nonlabor!$F$22,MAX(Nonlabor!$F$22,IF(Nonlabor!$E$22="AI",Assumptions!$D$24,Assumptions!$D$25))),C2317&lt;=Nonlabor!$G$22,OR(Nonlabor!$H$22="Monthly",AND(Nonlabor!$H$22="Once",C2317=IF(Nonlabor!$E$22="Core",Nonlabor!$F$22,MAX(Nonlabor!$F$22,IF(Nonlabor!$E$22="AI",Assumptions!$D$24,Assumptions!$D$25)))),AND(Nonlabor!$H$22="Annual",MOD(C2317-IF(Nonlabor!$E$22="Core",Nonlabor!$F$22,MAX(Nonlabor!$F$22,IF(Nonlabor!$E$22="AI",Assumptions!$D$24,Assumptions!$D$25))),12)=0))),IF(Nonlabor!$I$22="Fixed",1,IF(Nonlabor!$I$22="Seats",ROUNDUP('Monthly Base'!I37,0),IF(Nonlabor!$I$22="Customers",'Monthly Base'!D37,IF(Nonlabor!$I$22="NewCustomers",'Monthly Base'!C37,IF(Nonlabor!$I$22="StorageGB",'Monthly Base'!G37,IF(Nonlabor!$I$22="LogGB",'Monthly Base'!H37,IF(Nonlabor!$I$22="RequestsM",'Monthly Base'!F37,IF(Nonlabor!$I$22="InputM",'Monthly Base'!D37*Assumptions!$D$22/1000000,IF(Nonlabor!$I$22="OutputM",'Monthly Base'!D37*Assumptions!$D$23/1000000,0))))))))),0)</f>
        <v>22.0720715188809</v>
      </c>
      <c r="F2317" s="10" t="n">
        <f aca="false">Nonlabor!$J$22*(1+Assumptions!$D$9)^INT((C2317-1)/12)</f>
        <v>79.5675</v>
      </c>
      <c r="G2317" s="10" t="n">
        <f aca="false">E2317*F2317</f>
        <v>1756.21955057856</v>
      </c>
      <c r="H2317" s="10" t="n">
        <f aca="false">IF(OR(Nonlabor!$L$22="Quote required",Nonlabor!$L$22="Unverified"),G2317,0)</f>
        <v>0</v>
      </c>
      <c r="I2317" s="10" t="n">
        <f aca="false">IF(Nonlabor!$E$22="Core",0,G2317)</f>
        <v>0</v>
      </c>
      <c r="J2317" s="23" t="str">
        <f aca="false">Nonlabor!$B$22</f>
        <v>MARKETING</v>
      </c>
    </row>
    <row r="2318" customFormat="false" ht="15" hidden="false" customHeight="false" outlineLevel="0" collapsed="false">
      <c r="A2318" s="6" t="s">
        <v>4</v>
      </c>
      <c r="B2318" s="6" t="s">
        <v>55</v>
      </c>
      <c r="C2318" s="6" t="n">
        <v>33</v>
      </c>
      <c r="D2318" s="25" t="n">
        <f aca="false">EDATE('Start Here'!$B$6,C2318-1)</f>
        <v>47300</v>
      </c>
      <c r="E2318" s="11" t="n">
        <f aca="false">IF(AND(OR(Nonlabor!$D$22="Both",Nonlabor!$D$22='Start Here'!$B$9),IF(Nonlabor!$E$22="Core",1,IF(Nonlabor!$E$22="AI",'Start Here'!$B$7,'Start Here'!$B$8))=1,C2318&gt;=IF(Nonlabor!$E$22="Core",Nonlabor!$F$22,MAX(Nonlabor!$F$22,IF(Nonlabor!$E$22="AI",Assumptions!$D$24,Assumptions!$D$25))),C2318&lt;=Nonlabor!$G$22,OR(Nonlabor!$H$22="Monthly",AND(Nonlabor!$H$22="Once",C2318=IF(Nonlabor!$E$22="Core",Nonlabor!$F$22,MAX(Nonlabor!$F$22,IF(Nonlabor!$E$22="AI",Assumptions!$D$24,Assumptions!$D$25)))),AND(Nonlabor!$H$22="Annual",MOD(C2318-IF(Nonlabor!$E$22="Core",Nonlabor!$F$22,MAX(Nonlabor!$F$22,IF(Nonlabor!$E$22="AI",Assumptions!$D$24,Assumptions!$D$25))),12)=0))),IF(Nonlabor!$I$22="Fixed",1,IF(Nonlabor!$I$22="Seats",ROUNDUP('Monthly Base'!I38,0),IF(Nonlabor!$I$22="Customers",'Monthly Base'!D38,IF(Nonlabor!$I$22="NewCustomers",'Monthly Base'!C38,IF(Nonlabor!$I$22="StorageGB",'Monthly Base'!G38,IF(Nonlabor!$I$22="LogGB",'Monthly Base'!H38,IF(Nonlabor!$I$22="RequestsM",'Monthly Base'!F38,IF(Nonlabor!$I$22="InputM",'Monthly Base'!D38*Assumptions!$D$22/1000000,IF(Nonlabor!$I$22="OutputM",'Monthly Base'!D38*Assumptions!$D$23/1000000,0))))))))),0)</f>
        <v>23.3513508036921</v>
      </c>
      <c r="F2318" s="10" t="n">
        <f aca="false">Nonlabor!$J$22*(1+Assumptions!$D$9)^INT((C2318-1)/12)</f>
        <v>79.5675</v>
      </c>
      <c r="G2318" s="10" t="n">
        <f aca="false">E2318*F2318</f>
        <v>1858.00860507277</v>
      </c>
      <c r="H2318" s="10" t="n">
        <f aca="false">IF(OR(Nonlabor!$L$22="Quote required",Nonlabor!$L$22="Unverified"),G2318,0)</f>
        <v>0</v>
      </c>
      <c r="I2318" s="10" t="n">
        <f aca="false">IF(Nonlabor!$E$22="Core",0,G2318)</f>
        <v>0</v>
      </c>
      <c r="J2318" s="23" t="str">
        <f aca="false">Nonlabor!$B$22</f>
        <v>MARKETING</v>
      </c>
    </row>
    <row r="2319" customFormat="false" ht="15" hidden="false" customHeight="false" outlineLevel="0" collapsed="false">
      <c r="A2319" s="6" t="s">
        <v>4</v>
      </c>
      <c r="B2319" s="6" t="s">
        <v>55</v>
      </c>
      <c r="C2319" s="6" t="n">
        <v>34</v>
      </c>
      <c r="D2319" s="25" t="n">
        <f aca="false">EDATE('Start Here'!$B$6,C2319-1)</f>
        <v>47331</v>
      </c>
      <c r="E2319" s="11" t="n">
        <f aca="false">IF(AND(OR(Nonlabor!$D$22="Both",Nonlabor!$D$22='Start Here'!$B$9),IF(Nonlabor!$E$22="Core",1,IF(Nonlabor!$E$22="AI",'Start Here'!$B$7,'Start Here'!$B$8))=1,C2319&gt;=IF(Nonlabor!$E$22="Core",Nonlabor!$F$22,MAX(Nonlabor!$F$22,IF(Nonlabor!$E$22="AI",Assumptions!$D$24,Assumptions!$D$25))),C2319&lt;=Nonlabor!$G$22,OR(Nonlabor!$H$22="Monthly",AND(Nonlabor!$H$22="Once",C2319=IF(Nonlabor!$E$22="Core",Nonlabor!$F$22,MAX(Nonlabor!$F$22,IF(Nonlabor!$E$22="AI",Assumptions!$D$24,Assumptions!$D$25)))),AND(Nonlabor!$H$22="Annual",MOD(C2319-IF(Nonlabor!$E$22="Core",Nonlabor!$F$22,MAX(Nonlabor!$F$22,IF(Nonlabor!$E$22="AI",Assumptions!$D$24,Assumptions!$D$25))),12)=0))),IF(Nonlabor!$I$22="Fixed",1,IF(Nonlabor!$I$22="Seats",ROUNDUP('Monthly Base'!I39,0),IF(Nonlabor!$I$22="Customers",'Monthly Base'!D39,IF(Nonlabor!$I$22="NewCustomers",'Monthly Base'!C39,IF(Nonlabor!$I$22="StorageGB",'Monthly Base'!G39,IF(Nonlabor!$I$22="LogGB",'Monthly Base'!H39,IF(Nonlabor!$I$22="RequestsM",'Monthly Base'!F39,IF(Nonlabor!$I$22="InputM",'Monthly Base'!D39*Assumptions!$D$22/1000000,IF(Nonlabor!$I$22="OutputM",'Monthly Base'!D39*Assumptions!$D$23/1000000,0))))))))),0)</f>
        <v>24.6178372956552</v>
      </c>
      <c r="F2319" s="10" t="n">
        <f aca="false">Nonlabor!$J$22*(1+Assumptions!$D$9)^INT((C2319-1)/12)</f>
        <v>79.5675</v>
      </c>
      <c r="G2319" s="10" t="n">
        <f aca="false">E2319*F2319</f>
        <v>1958.77976902204</v>
      </c>
      <c r="H2319" s="10" t="n">
        <f aca="false">IF(OR(Nonlabor!$L$22="Quote required",Nonlabor!$L$22="Unverified"),G2319,0)</f>
        <v>0</v>
      </c>
      <c r="I2319" s="10" t="n">
        <f aca="false">IF(Nonlabor!$E$22="Core",0,G2319)</f>
        <v>0</v>
      </c>
      <c r="J2319" s="23" t="str">
        <f aca="false">Nonlabor!$B$22</f>
        <v>MARKETING</v>
      </c>
    </row>
    <row r="2320" customFormat="false" ht="15" hidden="false" customHeight="false" outlineLevel="0" collapsed="false">
      <c r="A2320" s="6" t="s">
        <v>4</v>
      </c>
      <c r="B2320" s="6" t="s">
        <v>55</v>
      </c>
      <c r="C2320" s="6" t="n">
        <v>35</v>
      </c>
      <c r="D2320" s="25" t="n">
        <f aca="false">EDATE('Start Here'!$B$6,C2320-1)</f>
        <v>47362</v>
      </c>
      <c r="E2320" s="11" t="n">
        <f aca="false">IF(AND(OR(Nonlabor!$D$22="Both",Nonlabor!$D$22='Start Here'!$B$9),IF(Nonlabor!$E$22="Core",1,IF(Nonlabor!$E$22="AI",'Start Here'!$B$7,'Start Here'!$B$8))=1,C2320&gt;=IF(Nonlabor!$E$22="Core",Nonlabor!$F$22,MAX(Nonlabor!$F$22,IF(Nonlabor!$E$22="AI",Assumptions!$D$24,Assumptions!$D$25))),C2320&lt;=Nonlabor!$G$22,OR(Nonlabor!$H$22="Monthly",AND(Nonlabor!$H$22="Once",C2320=IF(Nonlabor!$E$22="Core",Nonlabor!$F$22,MAX(Nonlabor!$F$22,IF(Nonlabor!$E$22="AI",Assumptions!$D$24,Assumptions!$D$25)))),AND(Nonlabor!$H$22="Annual",MOD(C2320-IF(Nonlabor!$E$22="Core",Nonlabor!$F$22,MAX(Nonlabor!$F$22,IF(Nonlabor!$E$22="AI",Assumptions!$D$24,Assumptions!$D$25))),12)=0))),IF(Nonlabor!$I$22="Fixed",1,IF(Nonlabor!$I$22="Seats",ROUNDUP('Monthly Base'!I40,0),IF(Nonlabor!$I$22="Customers",'Monthly Base'!D40,IF(Nonlabor!$I$22="NewCustomers",'Monthly Base'!C40,IF(Nonlabor!$I$22="StorageGB",'Monthly Base'!G40,IF(Nonlabor!$I$22="LogGB",'Monthly Base'!H40,IF(Nonlabor!$I$22="RequestsM",'Monthly Base'!F40,IF(Nonlabor!$I$22="InputM",'Monthly Base'!D40*Assumptions!$D$22/1000000,IF(Nonlabor!$I$22="OutputM",'Monthly Base'!D40*Assumptions!$D$23/1000000,0))))))))),0)</f>
        <v>25.8716589226986</v>
      </c>
      <c r="F2320" s="10" t="n">
        <f aca="false">Nonlabor!$J$22*(1+Assumptions!$D$9)^INT((C2320-1)/12)</f>
        <v>79.5675</v>
      </c>
      <c r="G2320" s="10" t="n">
        <f aca="false">E2320*F2320</f>
        <v>2058.54322133182</v>
      </c>
      <c r="H2320" s="10" t="n">
        <f aca="false">IF(OR(Nonlabor!$L$22="Quote required",Nonlabor!$L$22="Unverified"),G2320,0)</f>
        <v>0</v>
      </c>
      <c r="I2320" s="10" t="n">
        <f aca="false">IF(Nonlabor!$E$22="Core",0,G2320)</f>
        <v>0</v>
      </c>
      <c r="J2320" s="23" t="str">
        <f aca="false">Nonlabor!$B$22</f>
        <v>MARKETING</v>
      </c>
    </row>
    <row r="2321" customFormat="false" ht="15" hidden="false" customHeight="false" outlineLevel="0" collapsed="false">
      <c r="A2321" s="6" t="s">
        <v>4</v>
      </c>
      <c r="B2321" s="6" t="s">
        <v>55</v>
      </c>
      <c r="C2321" s="6" t="n">
        <v>36</v>
      </c>
      <c r="D2321" s="25" t="n">
        <f aca="false">EDATE('Start Here'!$B$6,C2321-1)</f>
        <v>47392</v>
      </c>
      <c r="E2321" s="11" t="n">
        <f aca="false">IF(AND(OR(Nonlabor!$D$22="Both",Nonlabor!$D$22='Start Here'!$B$9),IF(Nonlabor!$E$22="Core",1,IF(Nonlabor!$E$22="AI",'Start Here'!$B$7,'Start Here'!$B$8))=1,C2321&gt;=IF(Nonlabor!$E$22="Core",Nonlabor!$F$22,MAX(Nonlabor!$F$22,IF(Nonlabor!$E$22="AI",Assumptions!$D$24,Assumptions!$D$25))),C2321&lt;=Nonlabor!$G$22,OR(Nonlabor!$H$22="Monthly",AND(Nonlabor!$H$22="Once",C2321=IF(Nonlabor!$E$22="Core",Nonlabor!$F$22,MAX(Nonlabor!$F$22,IF(Nonlabor!$E$22="AI",Assumptions!$D$24,Assumptions!$D$25)))),AND(Nonlabor!$H$22="Annual",MOD(C2321-IF(Nonlabor!$E$22="Core",Nonlabor!$F$22,MAX(Nonlabor!$F$22,IF(Nonlabor!$E$22="AI",Assumptions!$D$24,Assumptions!$D$25))),12)=0))),IF(Nonlabor!$I$22="Fixed",1,IF(Nonlabor!$I$22="Seats",ROUNDUP('Monthly Base'!I41,0),IF(Nonlabor!$I$22="Customers",'Monthly Base'!D41,IF(Nonlabor!$I$22="NewCustomers",'Monthly Base'!C41,IF(Nonlabor!$I$22="StorageGB",'Monthly Base'!G41,IF(Nonlabor!$I$22="LogGB",'Monthly Base'!H41,IF(Nonlabor!$I$22="RequestsM",'Monthly Base'!F41,IF(Nonlabor!$I$22="InputM",'Monthly Base'!D41*Assumptions!$D$22/1000000,IF(Nonlabor!$I$22="OutputM",'Monthly Base'!D41*Assumptions!$D$23/1000000,0))))))))),0)</f>
        <v>27.1129423334716</v>
      </c>
      <c r="F2321" s="10" t="n">
        <f aca="false">Nonlabor!$J$22*(1+Assumptions!$D$9)^INT((C2321-1)/12)</f>
        <v>79.5675</v>
      </c>
      <c r="G2321" s="10" t="n">
        <f aca="false">E2321*F2321</f>
        <v>2157.3090391185</v>
      </c>
      <c r="H2321" s="10" t="n">
        <f aca="false">IF(OR(Nonlabor!$L$22="Quote required",Nonlabor!$L$22="Unverified"),G2321,0)</f>
        <v>0</v>
      </c>
      <c r="I2321" s="10" t="n">
        <f aca="false">IF(Nonlabor!$E$22="Core",0,G2321)</f>
        <v>0</v>
      </c>
      <c r="J2321" s="23" t="str">
        <f aca="false">Nonlabor!$B$22</f>
        <v>MARKETING</v>
      </c>
    </row>
    <row r="2322" customFormat="false" ht="15" hidden="false" customHeight="false" outlineLevel="0" collapsed="false">
      <c r="A2322" s="6" t="s">
        <v>4</v>
      </c>
      <c r="B2322" s="6" t="s">
        <v>55</v>
      </c>
      <c r="C2322" s="6" t="n">
        <v>37</v>
      </c>
      <c r="D2322" s="25" t="n">
        <f aca="false">EDATE('Start Here'!$B$6,C2322-1)</f>
        <v>47423</v>
      </c>
      <c r="E2322" s="11" t="n">
        <f aca="false">IF(AND(OR(Nonlabor!$D$22="Both",Nonlabor!$D$22='Start Here'!$B$9),IF(Nonlabor!$E$22="Core",1,IF(Nonlabor!$E$22="AI",'Start Here'!$B$7,'Start Here'!$B$8))=1,C2322&gt;=IF(Nonlabor!$E$22="Core",Nonlabor!$F$22,MAX(Nonlabor!$F$22,IF(Nonlabor!$E$22="AI",Assumptions!$D$24,Assumptions!$D$25))),C2322&lt;=Nonlabor!$G$22,OR(Nonlabor!$H$22="Monthly",AND(Nonlabor!$H$22="Once",C2322=IF(Nonlabor!$E$22="Core",Nonlabor!$F$22,MAX(Nonlabor!$F$22,IF(Nonlabor!$E$22="AI",Assumptions!$D$24,Assumptions!$D$25)))),AND(Nonlabor!$H$22="Annual",MOD(C2322-IF(Nonlabor!$E$22="Core",Nonlabor!$F$22,MAX(Nonlabor!$F$22,IF(Nonlabor!$E$22="AI",Assumptions!$D$24,Assumptions!$D$25))),12)=0))),IF(Nonlabor!$I$22="Fixed",1,IF(Nonlabor!$I$22="Seats",ROUNDUP('Monthly Base'!I42,0),IF(Nonlabor!$I$22="Customers",'Monthly Base'!D42,IF(Nonlabor!$I$22="NewCustomers",'Monthly Base'!C42,IF(Nonlabor!$I$22="StorageGB",'Monthly Base'!G42,IF(Nonlabor!$I$22="LogGB",'Monthly Base'!H42,IF(Nonlabor!$I$22="RequestsM",'Monthly Base'!F42,IF(Nonlabor!$I$22="InputM",'Monthly Base'!D42*Assumptions!$D$22/1000000,IF(Nonlabor!$I$22="OutputM",'Monthly Base'!D42*Assumptions!$D$23/1000000,0))))))))),0)</f>
        <v>29.0918129101369</v>
      </c>
      <c r="F2322" s="10" t="n">
        <f aca="false">Nonlabor!$J$22*(1+Assumptions!$D$9)^INT((C2322-1)/12)</f>
        <v>81.954525</v>
      </c>
      <c r="G2322" s="10" t="n">
        <f aca="false">E2322*F2322</f>
        <v>2384.20570843914</v>
      </c>
      <c r="H2322" s="10" t="n">
        <f aca="false">IF(OR(Nonlabor!$L$22="Quote required",Nonlabor!$L$22="Unverified"),G2322,0)</f>
        <v>0</v>
      </c>
      <c r="I2322" s="10" t="n">
        <f aca="false">IF(Nonlabor!$E$22="Core",0,G2322)</f>
        <v>0</v>
      </c>
      <c r="J2322" s="23" t="str">
        <f aca="false">Nonlabor!$B$22</f>
        <v>MARKETING</v>
      </c>
    </row>
    <row r="2323" customFormat="false" ht="15" hidden="false" customHeight="false" outlineLevel="0" collapsed="false">
      <c r="A2323" s="6" t="s">
        <v>4</v>
      </c>
      <c r="B2323" s="6" t="s">
        <v>55</v>
      </c>
      <c r="C2323" s="6" t="n">
        <v>38</v>
      </c>
      <c r="D2323" s="25" t="n">
        <f aca="false">EDATE('Start Here'!$B$6,C2323-1)</f>
        <v>47453</v>
      </c>
      <c r="E2323" s="11" t="n">
        <f aca="false">IF(AND(OR(Nonlabor!$D$22="Both",Nonlabor!$D$22='Start Here'!$B$9),IF(Nonlabor!$E$22="Core",1,IF(Nonlabor!$E$22="AI",'Start Here'!$B$7,'Start Here'!$B$8))=1,C2323&gt;=IF(Nonlabor!$E$22="Core",Nonlabor!$F$22,MAX(Nonlabor!$F$22,IF(Nonlabor!$E$22="AI",Assumptions!$D$24,Assumptions!$D$25))),C2323&lt;=Nonlabor!$G$22,OR(Nonlabor!$H$22="Monthly",AND(Nonlabor!$H$22="Once",C2323=IF(Nonlabor!$E$22="Core",Nonlabor!$F$22,MAX(Nonlabor!$F$22,IF(Nonlabor!$E$22="AI",Assumptions!$D$24,Assumptions!$D$25)))),AND(Nonlabor!$H$22="Annual",MOD(C2323-IF(Nonlabor!$E$22="Core",Nonlabor!$F$22,MAX(Nonlabor!$F$22,IF(Nonlabor!$E$22="AI",Assumptions!$D$24,Assumptions!$D$25))),12)=0))),IF(Nonlabor!$I$22="Fixed",1,IF(Nonlabor!$I$22="Seats",ROUNDUP('Monthly Base'!I43,0),IF(Nonlabor!$I$22="Customers",'Monthly Base'!D43,IF(Nonlabor!$I$22="NewCustomers",'Monthly Base'!C43,IF(Nonlabor!$I$22="StorageGB",'Monthly Base'!G43,IF(Nonlabor!$I$22="LogGB",'Monthly Base'!H43,IF(Nonlabor!$I$22="RequestsM",'Monthly Base'!F43,IF(Nonlabor!$I$22="InputM",'Monthly Base'!D43*Assumptions!$D$22/1000000,IF(Nonlabor!$I$22="OutputM",'Monthly Base'!D43*Assumptions!$D$23/1000000,0))))))))),0)</f>
        <v>31.0508947810356</v>
      </c>
      <c r="F2323" s="10" t="n">
        <f aca="false">Nonlabor!$J$22*(1+Assumptions!$D$9)^INT((C2323-1)/12)</f>
        <v>81.954525</v>
      </c>
      <c r="G2323" s="10" t="n">
        <f aca="false">E2323*F2323</f>
        <v>2544.76133260475</v>
      </c>
      <c r="H2323" s="10" t="n">
        <f aca="false">IF(OR(Nonlabor!$L$22="Quote required",Nonlabor!$L$22="Unverified"),G2323,0)</f>
        <v>0</v>
      </c>
      <c r="I2323" s="10" t="n">
        <f aca="false">IF(Nonlabor!$E$22="Core",0,G2323)</f>
        <v>0</v>
      </c>
      <c r="J2323" s="23" t="str">
        <f aca="false">Nonlabor!$B$22</f>
        <v>MARKETING</v>
      </c>
    </row>
    <row r="2324" customFormat="false" ht="15" hidden="false" customHeight="false" outlineLevel="0" collapsed="false">
      <c r="A2324" s="6" t="s">
        <v>4</v>
      </c>
      <c r="B2324" s="6" t="s">
        <v>55</v>
      </c>
      <c r="C2324" s="6" t="n">
        <v>39</v>
      </c>
      <c r="D2324" s="25" t="n">
        <f aca="false">EDATE('Start Here'!$B$6,C2324-1)</f>
        <v>47484</v>
      </c>
      <c r="E2324" s="11" t="n">
        <f aca="false">IF(AND(OR(Nonlabor!$D$22="Both",Nonlabor!$D$22='Start Here'!$B$9),IF(Nonlabor!$E$22="Core",1,IF(Nonlabor!$E$22="AI",'Start Here'!$B$7,'Start Here'!$B$8))=1,C2324&gt;=IF(Nonlabor!$E$22="Core",Nonlabor!$F$22,MAX(Nonlabor!$F$22,IF(Nonlabor!$E$22="AI",Assumptions!$D$24,Assumptions!$D$25))),C2324&lt;=Nonlabor!$G$22,OR(Nonlabor!$H$22="Monthly",AND(Nonlabor!$H$22="Once",C2324=IF(Nonlabor!$E$22="Core",Nonlabor!$F$22,MAX(Nonlabor!$F$22,IF(Nonlabor!$E$22="AI",Assumptions!$D$24,Assumptions!$D$25)))),AND(Nonlabor!$H$22="Annual",MOD(C2324-IF(Nonlabor!$E$22="Core",Nonlabor!$F$22,MAX(Nonlabor!$F$22,IF(Nonlabor!$E$22="AI",Assumptions!$D$24,Assumptions!$D$25))),12)=0))),IF(Nonlabor!$I$22="Fixed",1,IF(Nonlabor!$I$22="Seats",ROUNDUP('Monthly Base'!I44,0),IF(Nonlabor!$I$22="Customers",'Monthly Base'!D44,IF(Nonlabor!$I$22="NewCustomers",'Monthly Base'!C44,IF(Nonlabor!$I$22="StorageGB",'Monthly Base'!G44,IF(Nonlabor!$I$22="LogGB",'Monthly Base'!H44,IF(Nonlabor!$I$22="RequestsM",'Monthly Base'!F44,IF(Nonlabor!$I$22="InputM",'Monthly Base'!D44*Assumptions!$D$22/1000000,IF(Nonlabor!$I$22="OutputM",'Monthly Base'!D44*Assumptions!$D$23/1000000,0))))))))),0)</f>
        <v>32.9903858332252</v>
      </c>
      <c r="F2324" s="10" t="n">
        <f aca="false">Nonlabor!$J$22*(1+Assumptions!$D$9)^INT((C2324-1)/12)</f>
        <v>81.954525</v>
      </c>
      <c r="G2324" s="10" t="n">
        <f aca="false">E2324*F2324</f>
        <v>2703.7114005287</v>
      </c>
      <c r="H2324" s="10" t="n">
        <f aca="false">IF(OR(Nonlabor!$L$22="Quote required",Nonlabor!$L$22="Unverified"),G2324,0)</f>
        <v>0</v>
      </c>
      <c r="I2324" s="10" t="n">
        <f aca="false">IF(Nonlabor!$E$22="Core",0,G2324)</f>
        <v>0</v>
      </c>
      <c r="J2324" s="23" t="str">
        <f aca="false">Nonlabor!$B$22</f>
        <v>MARKETING</v>
      </c>
    </row>
    <row r="2325" customFormat="false" ht="15" hidden="false" customHeight="false" outlineLevel="0" collapsed="false">
      <c r="A2325" s="6" t="s">
        <v>4</v>
      </c>
      <c r="B2325" s="6" t="s">
        <v>55</v>
      </c>
      <c r="C2325" s="6" t="n">
        <v>40</v>
      </c>
      <c r="D2325" s="25" t="n">
        <f aca="false">EDATE('Start Here'!$B$6,C2325-1)</f>
        <v>47515</v>
      </c>
      <c r="E2325" s="11" t="n">
        <f aca="false">IF(AND(OR(Nonlabor!$D$22="Both",Nonlabor!$D$22='Start Here'!$B$9),IF(Nonlabor!$E$22="Core",1,IF(Nonlabor!$E$22="AI",'Start Here'!$B$7,'Start Here'!$B$8))=1,C2325&gt;=IF(Nonlabor!$E$22="Core",Nonlabor!$F$22,MAX(Nonlabor!$F$22,IF(Nonlabor!$E$22="AI",Assumptions!$D$24,Assumptions!$D$25))),C2325&lt;=Nonlabor!$G$22,OR(Nonlabor!$H$22="Monthly",AND(Nonlabor!$H$22="Once",C2325=IF(Nonlabor!$E$22="Core",Nonlabor!$F$22,MAX(Nonlabor!$F$22,IF(Nonlabor!$E$22="AI",Assumptions!$D$24,Assumptions!$D$25)))),AND(Nonlabor!$H$22="Annual",MOD(C2325-IF(Nonlabor!$E$22="Core",Nonlabor!$F$22,MAX(Nonlabor!$F$22,IF(Nonlabor!$E$22="AI",Assumptions!$D$24,Assumptions!$D$25))),12)=0))),IF(Nonlabor!$I$22="Fixed",1,IF(Nonlabor!$I$22="Seats",ROUNDUP('Monthly Base'!I45,0),IF(Nonlabor!$I$22="Customers",'Monthly Base'!D45,IF(Nonlabor!$I$22="NewCustomers",'Monthly Base'!C45,IF(Nonlabor!$I$22="StorageGB",'Monthly Base'!G45,IF(Nonlabor!$I$22="LogGB",'Monthly Base'!H45,IF(Nonlabor!$I$22="RequestsM",'Monthly Base'!F45,IF(Nonlabor!$I$22="InputM",'Monthly Base'!D45*Assumptions!$D$22/1000000,IF(Nonlabor!$I$22="OutputM",'Monthly Base'!D45*Assumptions!$D$23/1000000,0))))))))),0)</f>
        <v>34.9104819748929</v>
      </c>
      <c r="F2325" s="10" t="n">
        <f aca="false">Nonlabor!$J$22*(1+Assumptions!$D$9)^INT((C2325-1)/12)</f>
        <v>81.954525</v>
      </c>
      <c r="G2325" s="10" t="n">
        <f aca="false">E2325*F2325</f>
        <v>2861.07196777341</v>
      </c>
      <c r="H2325" s="10" t="n">
        <f aca="false">IF(OR(Nonlabor!$L$22="Quote required",Nonlabor!$L$22="Unverified"),G2325,0)</f>
        <v>0</v>
      </c>
      <c r="I2325" s="10" t="n">
        <f aca="false">IF(Nonlabor!$E$22="Core",0,G2325)</f>
        <v>0</v>
      </c>
      <c r="J2325" s="23" t="str">
        <f aca="false">Nonlabor!$B$22</f>
        <v>MARKETING</v>
      </c>
    </row>
    <row r="2326" customFormat="false" ht="15" hidden="false" customHeight="false" outlineLevel="0" collapsed="false">
      <c r="A2326" s="6" t="s">
        <v>4</v>
      </c>
      <c r="B2326" s="6" t="s">
        <v>55</v>
      </c>
      <c r="C2326" s="6" t="n">
        <v>41</v>
      </c>
      <c r="D2326" s="25" t="n">
        <f aca="false">EDATE('Start Here'!$B$6,C2326-1)</f>
        <v>47543</v>
      </c>
      <c r="E2326" s="11" t="n">
        <f aca="false">IF(AND(OR(Nonlabor!$D$22="Both",Nonlabor!$D$22='Start Here'!$B$9),IF(Nonlabor!$E$22="Core",1,IF(Nonlabor!$E$22="AI",'Start Here'!$B$7,'Start Here'!$B$8))=1,C2326&gt;=IF(Nonlabor!$E$22="Core",Nonlabor!$F$22,MAX(Nonlabor!$F$22,IF(Nonlabor!$E$22="AI",Assumptions!$D$24,Assumptions!$D$25))),C2326&lt;=Nonlabor!$G$22,OR(Nonlabor!$H$22="Monthly",AND(Nonlabor!$H$22="Once",C2326=IF(Nonlabor!$E$22="Core",Nonlabor!$F$22,MAX(Nonlabor!$F$22,IF(Nonlabor!$E$22="AI",Assumptions!$D$24,Assumptions!$D$25)))),AND(Nonlabor!$H$22="Annual",MOD(C2326-IF(Nonlabor!$E$22="Core",Nonlabor!$F$22,MAX(Nonlabor!$F$22,IF(Nonlabor!$E$22="AI",Assumptions!$D$24,Assumptions!$D$25))),12)=0))),IF(Nonlabor!$I$22="Fixed",1,IF(Nonlabor!$I$22="Seats",ROUNDUP('Monthly Base'!I46,0),IF(Nonlabor!$I$22="Customers",'Monthly Base'!D46,IF(Nonlabor!$I$22="NewCustomers",'Monthly Base'!C46,IF(Nonlabor!$I$22="StorageGB",'Monthly Base'!G46,IF(Nonlabor!$I$22="LogGB",'Monthly Base'!H46,IF(Nonlabor!$I$22="RequestsM",'Monthly Base'!F46,IF(Nonlabor!$I$22="InputM",'Monthly Base'!D46*Assumptions!$D$22/1000000,IF(Nonlabor!$I$22="OutputM",'Monthly Base'!D46*Assumptions!$D$23/1000000,0))))))))),0)</f>
        <v>36.811377155144</v>
      </c>
      <c r="F2326" s="10" t="n">
        <f aca="false">Nonlabor!$J$22*(1+Assumptions!$D$9)^INT((C2326-1)/12)</f>
        <v>81.954525</v>
      </c>
      <c r="G2326" s="10" t="n">
        <f aca="false">E2326*F2326</f>
        <v>3016.85892934568</v>
      </c>
      <c r="H2326" s="10" t="n">
        <f aca="false">IF(OR(Nonlabor!$L$22="Quote required",Nonlabor!$L$22="Unverified"),G2326,0)</f>
        <v>0</v>
      </c>
      <c r="I2326" s="10" t="n">
        <f aca="false">IF(Nonlabor!$E$22="Core",0,G2326)</f>
        <v>0</v>
      </c>
      <c r="J2326" s="23" t="str">
        <f aca="false">Nonlabor!$B$22</f>
        <v>MARKETING</v>
      </c>
    </row>
    <row r="2327" customFormat="false" ht="15" hidden="false" customHeight="false" outlineLevel="0" collapsed="false">
      <c r="A2327" s="6" t="s">
        <v>4</v>
      </c>
      <c r="B2327" s="6" t="s">
        <v>55</v>
      </c>
      <c r="C2327" s="6" t="n">
        <v>42</v>
      </c>
      <c r="D2327" s="25" t="n">
        <f aca="false">EDATE('Start Here'!$B$6,C2327-1)</f>
        <v>47574</v>
      </c>
      <c r="E2327" s="11" t="n">
        <f aca="false">IF(AND(OR(Nonlabor!$D$22="Both",Nonlabor!$D$22='Start Here'!$B$9),IF(Nonlabor!$E$22="Core",1,IF(Nonlabor!$E$22="AI",'Start Here'!$B$7,'Start Here'!$B$8))=1,C2327&gt;=IF(Nonlabor!$E$22="Core",Nonlabor!$F$22,MAX(Nonlabor!$F$22,IF(Nonlabor!$E$22="AI",Assumptions!$D$24,Assumptions!$D$25))),C2327&lt;=Nonlabor!$G$22,OR(Nonlabor!$H$22="Monthly",AND(Nonlabor!$H$22="Once",C2327=IF(Nonlabor!$E$22="Core",Nonlabor!$F$22,MAX(Nonlabor!$F$22,IF(Nonlabor!$E$22="AI",Assumptions!$D$24,Assumptions!$D$25)))),AND(Nonlabor!$H$22="Annual",MOD(C2327-IF(Nonlabor!$E$22="Core",Nonlabor!$F$22,MAX(Nonlabor!$F$22,IF(Nonlabor!$E$22="AI",Assumptions!$D$24,Assumptions!$D$25))),12)=0))),IF(Nonlabor!$I$22="Fixed",1,IF(Nonlabor!$I$22="Seats",ROUNDUP('Monthly Base'!I47,0),IF(Nonlabor!$I$22="Customers",'Monthly Base'!D47,IF(Nonlabor!$I$22="NewCustomers",'Monthly Base'!C47,IF(Nonlabor!$I$22="StorageGB",'Monthly Base'!G47,IF(Nonlabor!$I$22="LogGB",'Monthly Base'!H47,IF(Nonlabor!$I$22="RequestsM",'Monthly Base'!F47,IF(Nonlabor!$I$22="InputM",'Monthly Base'!D47*Assumptions!$D$22/1000000,IF(Nonlabor!$I$22="OutputM",'Monthly Base'!D47*Assumptions!$D$23/1000000,0))))))))),0)</f>
        <v>38.6932633835926</v>
      </c>
      <c r="F2327" s="10" t="n">
        <f aca="false">Nonlabor!$J$22*(1+Assumptions!$D$9)^INT((C2327-1)/12)</f>
        <v>81.954525</v>
      </c>
      <c r="G2327" s="10" t="n">
        <f aca="false">E2327*F2327</f>
        <v>3171.08802130222</v>
      </c>
      <c r="H2327" s="10" t="n">
        <f aca="false">IF(OR(Nonlabor!$L$22="Quote required",Nonlabor!$L$22="Unverified"),G2327,0)</f>
        <v>0</v>
      </c>
      <c r="I2327" s="10" t="n">
        <f aca="false">IF(Nonlabor!$E$22="Core",0,G2327)</f>
        <v>0</v>
      </c>
      <c r="J2327" s="23" t="str">
        <f aca="false">Nonlabor!$B$22</f>
        <v>MARKETING</v>
      </c>
    </row>
    <row r="2328" customFormat="false" ht="15" hidden="false" customHeight="false" outlineLevel="0" collapsed="false">
      <c r="A2328" s="6" t="s">
        <v>4</v>
      </c>
      <c r="B2328" s="6" t="s">
        <v>55</v>
      </c>
      <c r="C2328" s="6" t="n">
        <v>43</v>
      </c>
      <c r="D2328" s="25" t="n">
        <f aca="false">EDATE('Start Here'!$B$6,C2328-1)</f>
        <v>47604</v>
      </c>
      <c r="E2328" s="11" t="n">
        <f aca="false">IF(AND(OR(Nonlabor!$D$22="Both",Nonlabor!$D$22='Start Here'!$B$9),IF(Nonlabor!$E$22="Core",1,IF(Nonlabor!$E$22="AI",'Start Here'!$B$7,'Start Here'!$B$8))=1,C2328&gt;=IF(Nonlabor!$E$22="Core",Nonlabor!$F$22,MAX(Nonlabor!$F$22,IF(Nonlabor!$E$22="AI",Assumptions!$D$24,Assumptions!$D$25))),C2328&lt;=Nonlabor!$G$22,OR(Nonlabor!$H$22="Monthly",AND(Nonlabor!$H$22="Once",C2328=IF(Nonlabor!$E$22="Core",Nonlabor!$F$22,MAX(Nonlabor!$F$22,IF(Nonlabor!$E$22="AI",Assumptions!$D$24,Assumptions!$D$25)))),AND(Nonlabor!$H$22="Annual",MOD(C2328-IF(Nonlabor!$E$22="Core",Nonlabor!$F$22,MAX(Nonlabor!$F$22,IF(Nonlabor!$E$22="AI",Assumptions!$D$24,Assumptions!$D$25))),12)=0))),IF(Nonlabor!$I$22="Fixed",1,IF(Nonlabor!$I$22="Seats",ROUNDUP('Monthly Base'!I48,0),IF(Nonlabor!$I$22="Customers",'Monthly Base'!D48,IF(Nonlabor!$I$22="NewCustomers",'Monthly Base'!C48,IF(Nonlabor!$I$22="StorageGB",'Monthly Base'!G48,IF(Nonlabor!$I$22="LogGB",'Monthly Base'!H48,IF(Nonlabor!$I$22="RequestsM",'Monthly Base'!F48,IF(Nonlabor!$I$22="InputM",'Monthly Base'!D48*Assumptions!$D$22/1000000,IF(Nonlabor!$I$22="OutputM",'Monthly Base'!D48*Assumptions!$D$23/1000000,0))))))))),0)</f>
        <v>40.5563307497567</v>
      </c>
      <c r="F2328" s="10" t="n">
        <f aca="false">Nonlabor!$J$22*(1+Assumptions!$D$9)^INT((C2328-1)/12)</f>
        <v>81.954525</v>
      </c>
      <c r="G2328" s="10" t="n">
        <f aca="false">E2328*F2328</f>
        <v>3323.7748223392</v>
      </c>
      <c r="H2328" s="10" t="n">
        <f aca="false">IF(OR(Nonlabor!$L$22="Quote required",Nonlabor!$L$22="Unverified"),G2328,0)</f>
        <v>0</v>
      </c>
      <c r="I2328" s="10" t="n">
        <f aca="false">IF(Nonlabor!$E$22="Core",0,G2328)</f>
        <v>0</v>
      </c>
      <c r="J2328" s="23" t="str">
        <f aca="false">Nonlabor!$B$22</f>
        <v>MARKETING</v>
      </c>
    </row>
    <row r="2329" customFormat="false" ht="15" hidden="false" customHeight="false" outlineLevel="0" collapsed="false">
      <c r="A2329" s="6" t="s">
        <v>4</v>
      </c>
      <c r="B2329" s="6" t="s">
        <v>55</v>
      </c>
      <c r="C2329" s="6" t="n">
        <v>44</v>
      </c>
      <c r="D2329" s="25" t="n">
        <f aca="false">EDATE('Start Here'!$B$6,C2329-1)</f>
        <v>47635</v>
      </c>
      <c r="E2329" s="11" t="n">
        <f aca="false">IF(AND(OR(Nonlabor!$D$22="Both",Nonlabor!$D$22='Start Here'!$B$9),IF(Nonlabor!$E$22="Core",1,IF(Nonlabor!$E$22="AI",'Start Here'!$B$7,'Start Here'!$B$8))=1,C2329&gt;=IF(Nonlabor!$E$22="Core",Nonlabor!$F$22,MAX(Nonlabor!$F$22,IF(Nonlabor!$E$22="AI",Assumptions!$D$24,Assumptions!$D$25))),C2329&lt;=Nonlabor!$G$22,OR(Nonlabor!$H$22="Monthly",AND(Nonlabor!$H$22="Once",C2329=IF(Nonlabor!$E$22="Core",Nonlabor!$F$22,MAX(Nonlabor!$F$22,IF(Nonlabor!$E$22="AI",Assumptions!$D$24,Assumptions!$D$25)))),AND(Nonlabor!$H$22="Annual",MOD(C2329-IF(Nonlabor!$E$22="Core",Nonlabor!$F$22,MAX(Nonlabor!$F$22,IF(Nonlabor!$E$22="AI",Assumptions!$D$24,Assumptions!$D$25))),12)=0))),IF(Nonlabor!$I$22="Fixed",1,IF(Nonlabor!$I$22="Seats",ROUNDUP('Monthly Base'!I49,0),IF(Nonlabor!$I$22="Customers",'Monthly Base'!D49,IF(Nonlabor!$I$22="NewCustomers",'Monthly Base'!C49,IF(Nonlabor!$I$22="StorageGB",'Monthly Base'!G49,IF(Nonlabor!$I$22="LogGB",'Monthly Base'!H49,IF(Nonlabor!$I$22="RequestsM",'Monthly Base'!F49,IF(Nonlabor!$I$22="InputM",'Monthly Base'!D49*Assumptions!$D$22/1000000,IF(Nonlabor!$I$22="OutputM",'Monthly Base'!D49*Assumptions!$D$23/1000000,0))))))))),0)</f>
        <v>42.4007674422591</v>
      </c>
      <c r="F2329" s="10" t="n">
        <f aca="false">Nonlabor!$J$22*(1+Assumptions!$D$9)^INT((C2329-1)/12)</f>
        <v>81.954525</v>
      </c>
      <c r="G2329" s="10" t="n">
        <f aca="false">E2329*F2329</f>
        <v>3474.93475536581</v>
      </c>
      <c r="H2329" s="10" t="n">
        <f aca="false">IF(OR(Nonlabor!$L$22="Quote required",Nonlabor!$L$22="Unverified"),G2329,0)</f>
        <v>0</v>
      </c>
      <c r="I2329" s="10" t="n">
        <f aca="false">IF(Nonlabor!$E$22="Core",0,G2329)</f>
        <v>0</v>
      </c>
      <c r="J2329" s="23" t="str">
        <f aca="false">Nonlabor!$B$22</f>
        <v>MARKETING</v>
      </c>
    </row>
    <row r="2330" customFormat="false" ht="15" hidden="false" customHeight="false" outlineLevel="0" collapsed="false">
      <c r="A2330" s="6" t="s">
        <v>4</v>
      </c>
      <c r="B2330" s="6" t="s">
        <v>55</v>
      </c>
      <c r="C2330" s="6" t="n">
        <v>45</v>
      </c>
      <c r="D2330" s="25" t="n">
        <f aca="false">EDATE('Start Here'!$B$6,C2330-1)</f>
        <v>47665</v>
      </c>
      <c r="E2330" s="11" t="n">
        <f aca="false">IF(AND(OR(Nonlabor!$D$22="Both",Nonlabor!$D$22='Start Here'!$B$9),IF(Nonlabor!$E$22="Core",1,IF(Nonlabor!$E$22="AI",'Start Here'!$B$7,'Start Here'!$B$8))=1,C2330&gt;=IF(Nonlabor!$E$22="Core",Nonlabor!$F$22,MAX(Nonlabor!$F$22,IF(Nonlabor!$E$22="AI",Assumptions!$D$24,Assumptions!$D$25))),C2330&lt;=Nonlabor!$G$22,OR(Nonlabor!$H$22="Monthly",AND(Nonlabor!$H$22="Once",C2330=IF(Nonlabor!$E$22="Core",Nonlabor!$F$22,MAX(Nonlabor!$F$22,IF(Nonlabor!$E$22="AI",Assumptions!$D$24,Assumptions!$D$25)))),AND(Nonlabor!$H$22="Annual",MOD(C2330-IF(Nonlabor!$E$22="Core",Nonlabor!$F$22,MAX(Nonlabor!$F$22,IF(Nonlabor!$E$22="AI",Assumptions!$D$24,Assumptions!$D$25))),12)=0))),IF(Nonlabor!$I$22="Fixed",1,IF(Nonlabor!$I$22="Seats",ROUNDUP('Monthly Base'!I50,0),IF(Nonlabor!$I$22="Customers",'Monthly Base'!D50,IF(Nonlabor!$I$22="NewCustomers",'Monthly Base'!C50,IF(Nonlabor!$I$22="StorageGB",'Monthly Base'!G50,IF(Nonlabor!$I$22="LogGB",'Monthly Base'!H50,IF(Nonlabor!$I$22="RequestsM",'Monthly Base'!F50,IF(Nonlabor!$I$22="InputM",'Monthly Base'!D50*Assumptions!$D$22/1000000,IF(Nonlabor!$I$22="OutputM",'Monthly Base'!D50*Assumptions!$D$23/1000000,0))))))))),0)</f>
        <v>44.2267597678365</v>
      </c>
      <c r="F2330" s="10" t="n">
        <f aca="false">Nonlabor!$J$22*(1+Assumptions!$D$9)^INT((C2330-1)/12)</f>
        <v>81.954525</v>
      </c>
      <c r="G2330" s="10" t="n">
        <f aca="false">E2330*F2330</f>
        <v>3624.58308906215</v>
      </c>
      <c r="H2330" s="10" t="n">
        <f aca="false">IF(OR(Nonlabor!$L$22="Quote required",Nonlabor!$L$22="Unverified"),G2330,0)</f>
        <v>0</v>
      </c>
      <c r="I2330" s="10" t="n">
        <f aca="false">IF(Nonlabor!$E$22="Core",0,G2330)</f>
        <v>0</v>
      </c>
      <c r="J2330" s="23" t="str">
        <f aca="false">Nonlabor!$B$22</f>
        <v>MARKETING</v>
      </c>
    </row>
    <row r="2331" customFormat="false" ht="15" hidden="false" customHeight="false" outlineLevel="0" collapsed="false">
      <c r="A2331" s="6" t="s">
        <v>4</v>
      </c>
      <c r="B2331" s="6" t="s">
        <v>55</v>
      </c>
      <c r="C2331" s="6" t="n">
        <v>46</v>
      </c>
      <c r="D2331" s="25" t="n">
        <f aca="false">EDATE('Start Here'!$B$6,C2331-1)</f>
        <v>47696</v>
      </c>
      <c r="E2331" s="11" t="n">
        <f aca="false">IF(AND(OR(Nonlabor!$D$22="Both",Nonlabor!$D$22='Start Here'!$B$9),IF(Nonlabor!$E$22="Core",1,IF(Nonlabor!$E$22="AI",'Start Here'!$B$7,'Start Here'!$B$8))=1,C2331&gt;=IF(Nonlabor!$E$22="Core",Nonlabor!$F$22,MAX(Nonlabor!$F$22,IF(Nonlabor!$E$22="AI",Assumptions!$D$24,Assumptions!$D$25))),C2331&lt;=Nonlabor!$G$22,OR(Nonlabor!$H$22="Monthly",AND(Nonlabor!$H$22="Once",C2331=IF(Nonlabor!$E$22="Core",Nonlabor!$F$22,MAX(Nonlabor!$F$22,IF(Nonlabor!$E$22="AI",Assumptions!$D$24,Assumptions!$D$25)))),AND(Nonlabor!$H$22="Annual",MOD(C2331-IF(Nonlabor!$E$22="Core",Nonlabor!$F$22,MAX(Nonlabor!$F$22,IF(Nonlabor!$E$22="AI",Assumptions!$D$24,Assumptions!$D$25))),12)=0))),IF(Nonlabor!$I$22="Fixed",1,IF(Nonlabor!$I$22="Seats",ROUNDUP('Monthly Base'!I51,0),IF(Nonlabor!$I$22="Customers",'Monthly Base'!D51,IF(Nonlabor!$I$22="NewCustomers",'Monthly Base'!C51,IF(Nonlabor!$I$22="StorageGB",'Monthly Base'!G51,IF(Nonlabor!$I$22="LogGB",'Monthly Base'!H51,IF(Nonlabor!$I$22="RequestsM",'Monthly Base'!F51,IF(Nonlabor!$I$22="InputM",'Monthly Base'!D51*Assumptions!$D$22/1000000,IF(Nonlabor!$I$22="OutputM",'Monthly Base'!D51*Assumptions!$D$23/1000000,0))))))))),0)</f>
        <v>46.0344921701581</v>
      </c>
      <c r="F2331" s="10" t="n">
        <f aca="false">Nonlabor!$J$22*(1+Assumptions!$D$9)^INT((C2331-1)/12)</f>
        <v>81.954525</v>
      </c>
      <c r="G2331" s="10" t="n">
        <f aca="false">E2331*F2331</f>
        <v>3772.73493942153</v>
      </c>
      <c r="H2331" s="10" t="n">
        <f aca="false">IF(OR(Nonlabor!$L$22="Quote required",Nonlabor!$L$22="Unverified"),G2331,0)</f>
        <v>0</v>
      </c>
      <c r="I2331" s="10" t="n">
        <f aca="false">IF(Nonlabor!$E$22="Core",0,G2331)</f>
        <v>0</v>
      </c>
      <c r="J2331" s="23" t="str">
        <f aca="false">Nonlabor!$B$22</f>
        <v>MARKETING</v>
      </c>
    </row>
    <row r="2332" customFormat="false" ht="15" hidden="false" customHeight="false" outlineLevel="0" collapsed="false">
      <c r="A2332" s="6" t="s">
        <v>4</v>
      </c>
      <c r="B2332" s="6" t="s">
        <v>55</v>
      </c>
      <c r="C2332" s="6" t="n">
        <v>47</v>
      </c>
      <c r="D2332" s="25" t="n">
        <f aca="false">EDATE('Start Here'!$B$6,C2332-1)</f>
        <v>47727</v>
      </c>
      <c r="E2332" s="11" t="n">
        <f aca="false">IF(AND(OR(Nonlabor!$D$22="Both",Nonlabor!$D$22='Start Here'!$B$9),IF(Nonlabor!$E$22="Core",1,IF(Nonlabor!$E$22="AI",'Start Here'!$B$7,'Start Here'!$B$8))=1,C2332&gt;=IF(Nonlabor!$E$22="Core",Nonlabor!$F$22,MAX(Nonlabor!$F$22,IF(Nonlabor!$E$22="AI",Assumptions!$D$24,Assumptions!$D$25))),C2332&lt;=Nonlabor!$G$22,OR(Nonlabor!$H$22="Monthly",AND(Nonlabor!$H$22="Once",C2332=IF(Nonlabor!$E$22="Core",Nonlabor!$F$22,MAX(Nonlabor!$F$22,IF(Nonlabor!$E$22="AI",Assumptions!$D$24,Assumptions!$D$25)))),AND(Nonlabor!$H$22="Annual",MOD(C2332-IF(Nonlabor!$E$22="Core",Nonlabor!$F$22,MAX(Nonlabor!$F$22,IF(Nonlabor!$E$22="AI",Assumptions!$D$24,Assumptions!$D$25))),12)=0))),IF(Nonlabor!$I$22="Fixed",1,IF(Nonlabor!$I$22="Seats",ROUNDUP('Monthly Base'!I52,0),IF(Nonlabor!$I$22="Customers",'Monthly Base'!D52,IF(Nonlabor!$I$22="NewCustomers",'Monthly Base'!C52,IF(Nonlabor!$I$22="StorageGB",'Monthly Base'!G52,IF(Nonlabor!$I$22="LogGB",'Monthly Base'!H52,IF(Nonlabor!$I$22="RequestsM",'Monthly Base'!F52,IF(Nonlabor!$I$22="InputM",'Monthly Base'!D52*Assumptions!$D$22/1000000,IF(Nonlabor!$I$22="OutputM",'Monthly Base'!D52*Assumptions!$D$23/1000000,0))))))))),0)</f>
        <v>47.8241472484565</v>
      </c>
      <c r="F2332" s="10" t="n">
        <f aca="false">Nonlabor!$J$22*(1+Assumptions!$D$9)^INT((C2332-1)/12)</f>
        <v>81.954525</v>
      </c>
      <c r="G2332" s="10" t="n">
        <f aca="false">E2332*F2332</f>
        <v>3919.40527127731</v>
      </c>
      <c r="H2332" s="10" t="n">
        <f aca="false">IF(OR(Nonlabor!$L$22="Quote required",Nonlabor!$L$22="Unverified"),G2332,0)</f>
        <v>0</v>
      </c>
      <c r="I2332" s="10" t="n">
        <f aca="false">IF(Nonlabor!$E$22="Core",0,G2332)</f>
        <v>0</v>
      </c>
      <c r="J2332" s="23" t="str">
        <f aca="false">Nonlabor!$B$22</f>
        <v>MARKETING</v>
      </c>
    </row>
    <row r="2333" customFormat="false" ht="15" hidden="false" customHeight="false" outlineLevel="0" collapsed="false">
      <c r="A2333" s="6" t="s">
        <v>4</v>
      </c>
      <c r="B2333" s="6" t="s">
        <v>55</v>
      </c>
      <c r="C2333" s="6" t="n">
        <v>48</v>
      </c>
      <c r="D2333" s="25" t="n">
        <f aca="false">EDATE('Start Here'!$B$6,C2333-1)</f>
        <v>47757</v>
      </c>
      <c r="E2333" s="11" t="n">
        <f aca="false">IF(AND(OR(Nonlabor!$D$22="Both",Nonlabor!$D$22='Start Here'!$B$9),IF(Nonlabor!$E$22="Core",1,IF(Nonlabor!$E$22="AI",'Start Here'!$B$7,'Start Here'!$B$8))=1,C2333&gt;=IF(Nonlabor!$E$22="Core",Nonlabor!$F$22,MAX(Nonlabor!$F$22,IF(Nonlabor!$E$22="AI",Assumptions!$D$24,Assumptions!$D$25))),C2333&lt;=Nonlabor!$G$22,OR(Nonlabor!$H$22="Monthly",AND(Nonlabor!$H$22="Once",C2333=IF(Nonlabor!$E$22="Core",Nonlabor!$F$22,MAX(Nonlabor!$F$22,IF(Nonlabor!$E$22="AI",Assumptions!$D$24,Assumptions!$D$25)))),AND(Nonlabor!$H$22="Annual",MOD(C2333-IF(Nonlabor!$E$22="Core",Nonlabor!$F$22,MAX(Nonlabor!$F$22,IF(Nonlabor!$E$22="AI",Assumptions!$D$24,Assumptions!$D$25))),12)=0))),IF(Nonlabor!$I$22="Fixed",1,IF(Nonlabor!$I$22="Seats",ROUNDUP('Monthly Base'!I53,0),IF(Nonlabor!$I$22="Customers",'Monthly Base'!D53,IF(Nonlabor!$I$22="NewCustomers",'Monthly Base'!C53,IF(Nonlabor!$I$22="StorageGB",'Monthly Base'!G53,IF(Nonlabor!$I$22="LogGB",'Monthly Base'!H53,IF(Nonlabor!$I$22="RequestsM",'Monthly Base'!F53,IF(Nonlabor!$I$22="InputM",'Monthly Base'!D53*Assumptions!$D$22/1000000,IF(Nonlabor!$I$22="OutputM",'Monthly Base'!D53*Assumptions!$D$23/1000000,0))))))))),0)</f>
        <v>49.595905775972</v>
      </c>
      <c r="F2333" s="10" t="n">
        <f aca="false">Nonlabor!$J$22*(1+Assumptions!$D$9)^INT((C2333-1)/12)</f>
        <v>81.954525</v>
      </c>
      <c r="G2333" s="10" t="n">
        <f aca="false">E2333*F2333</f>
        <v>4064.60889981454</v>
      </c>
      <c r="H2333" s="10" t="n">
        <f aca="false">IF(OR(Nonlabor!$L$22="Quote required",Nonlabor!$L$22="Unverified"),G2333,0)</f>
        <v>0</v>
      </c>
      <c r="I2333" s="10" t="n">
        <f aca="false">IF(Nonlabor!$E$22="Core",0,G2333)</f>
        <v>0</v>
      </c>
      <c r="J2333" s="23" t="str">
        <f aca="false">Nonlabor!$B$22</f>
        <v>MARKETING</v>
      </c>
    </row>
    <row r="2334" customFormat="false" ht="15" hidden="false" customHeight="false" outlineLevel="0" collapsed="false">
      <c r="A2334" s="6" t="s">
        <v>4</v>
      </c>
      <c r="B2334" s="6" t="s">
        <v>55</v>
      </c>
      <c r="C2334" s="6" t="n">
        <v>49</v>
      </c>
      <c r="D2334" s="25" t="n">
        <f aca="false">EDATE('Start Here'!$B$6,C2334-1)</f>
        <v>47788</v>
      </c>
      <c r="E2334" s="11" t="n">
        <f aca="false">IF(AND(OR(Nonlabor!$D$22="Both",Nonlabor!$D$22='Start Here'!$B$9),IF(Nonlabor!$E$22="Core",1,IF(Nonlabor!$E$22="AI",'Start Here'!$B$7,'Start Here'!$B$8))=1,C2334&gt;=IF(Nonlabor!$E$22="Core",Nonlabor!$F$22,MAX(Nonlabor!$F$22,IF(Nonlabor!$E$22="AI",Assumptions!$D$24,Assumptions!$D$25))),C2334&lt;=Nonlabor!$G$22,OR(Nonlabor!$H$22="Monthly",AND(Nonlabor!$H$22="Once",C2334=IF(Nonlabor!$E$22="Core",Nonlabor!$F$22,MAX(Nonlabor!$F$22,IF(Nonlabor!$E$22="AI",Assumptions!$D$24,Assumptions!$D$25)))),AND(Nonlabor!$H$22="Annual",MOD(C2334-IF(Nonlabor!$E$22="Core",Nonlabor!$F$22,MAX(Nonlabor!$F$22,IF(Nonlabor!$E$22="AI",Assumptions!$D$24,Assumptions!$D$25))),12)=0))),IF(Nonlabor!$I$22="Fixed",1,IF(Nonlabor!$I$22="Seats",ROUNDUP('Monthly Base'!I54,0),IF(Nonlabor!$I$22="Customers",'Monthly Base'!D54,IF(Nonlabor!$I$22="NewCustomers",'Monthly Base'!C54,IF(Nonlabor!$I$22="StorageGB",'Monthly Base'!G54,IF(Nonlabor!$I$22="LogGB",'Monthly Base'!H54,IF(Nonlabor!$I$22="RequestsM",'Monthly Base'!F54,IF(Nonlabor!$I$22="InputM",'Monthly Base'!D54*Assumptions!$D$22/1000000,IF(Nonlabor!$I$22="OutputM",'Monthly Base'!D54*Assumptions!$D$23/1000000,0))))))))),0)</f>
        <v>52.4749467182123</v>
      </c>
      <c r="F2334" s="10" t="n">
        <f aca="false">Nonlabor!$J$22*(1+Assumptions!$D$9)^INT((C2334-1)/12)</f>
        <v>84.41316075</v>
      </c>
      <c r="G2334" s="10" t="n">
        <f aca="false">E2334*F2334</f>
        <v>4429.57611267214</v>
      </c>
      <c r="H2334" s="10" t="n">
        <f aca="false">IF(OR(Nonlabor!$L$22="Quote required",Nonlabor!$L$22="Unverified"),G2334,0)</f>
        <v>0</v>
      </c>
      <c r="I2334" s="10" t="n">
        <f aca="false">IF(Nonlabor!$E$22="Core",0,G2334)</f>
        <v>0</v>
      </c>
      <c r="J2334" s="23" t="str">
        <f aca="false">Nonlabor!$B$22</f>
        <v>MARKETING</v>
      </c>
    </row>
    <row r="2335" customFormat="false" ht="15" hidden="false" customHeight="false" outlineLevel="0" collapsed="false">
      <c r="A2335" s="6" t="s">
        <v>4</v>
      </c>
      <c r="B2335" s="6" t="s">
        <v>55</v>
      </c>
      <c r="C2335" s="6" t="n">
        <v>50</v>
      </c>
      <c r="D2335" s="25" t="n">
        <f aca="false">EDATE('Start Here'!$B$6,C2335-1)</f>
        <v>47818</v>
      </c>
      <c r="E2335" s="11" t="n">
        <f aca="false">IF(AND(OR(Nonlabor!$D$22="Both",Nonlabor!$D$22='Start Here'!$B$9),IF(Nonlabor!$E$22="Core",1,IF(Nonlabor!$E$22="AI",'Start Here'!$B$7,'Start Here'!$B$8))=1,C2335&gt;=IF(Nonlabor!$E$22="Core",Nonlabor!$F$22,MAX(Nonlabor!$F$22,IF(Nonlabor!$E$22="AI",Assumptions!$D$24,Assumptions!$D$25))),C2335&lt;=Nonlabor!$G$22,OR(Nonlabor!$H$22="Monthly",AND(Nonlabor!$H$22="Once",C2335=IF(Nonlabor!$E$22="Core",Nonlabor!$F$22,MAX(Nonlabor!$F$22,IF(Nonlabor!$E$22="AI",Assumptions!$D$24,Assumptions!$D$25)))),AND(Nonlabor!$H$22="Annual",MOD(C2335-IF(Nonlabor!$E$22="Core",Nonlabor!$F$22,MAX(Nonlabor!$F$22,IF(Nonlabor!$E$22="AI",Assumptions!$D$24,Assumptions!$D$25))),12)=0))),IF(Nonlabor!$I$22="Fixed",1,IF(Nonlabor!$I$22="Seats",ROUNDUP('Monthly Base'!I55,0),IF(Nonlabor!$I$22="Customers",'Monthly Base'!D55,IF(Nonlabor!$I$22="NewCustomers",'Monthly Base'!C55,IF(Nonlabor!$I$22="StorageGB",'Monthly Base'!G55,IF(Nonlabor!$I$22="LogGB",'Monthly Base'!H55,IF(Nonlabor!$I$22="RequestsM",'Monthly Base'!F55,IF(Nonlabor!$I$22="InputM",'Monthly Base'!D55*Assumptions!$D$22/1000000,IF(Nonlabor!$I$22="OutputM",'Monthly Base'!D55*Assumptions!$D$23/1000000,0))))))))),0)</f>
        <v>55.3251972510301</v>
      </c>
      <c r="F2335" s="10" t="n">
        <f aca="false">Nonlabor!$J$22*(1+Assumptions!$D$9)^INT((C2335-1)/12)</f>
        <v>84.41316075</v>
      </c>
      <c r="G2335" s="10" t="n">
        <f aca="false">E2335*F2335</f>
        <v>4670.17476907667</v>
      </c>
      <c r="H2335" s="10" t="n">
        <f aca="false">IF(OR(Nonlabor!$L$22="Quote required",Nonlabor!$L$22="Unverified"),G2335,0)</f>
        <v>0</v>
      </c>
      <c r="I2335" s="10" t="n">
        <f aca="false">IF(Nonlabor!$E$22="Core",0,G2335)</f>
        <v>0</v>
      </c>
      <c r="J2335" s="23" t="str">
        <f aca="false">Nonlabor!$B$22</f>
        <v>MARKETING</v>
      </c>
    </row>
    <row r="2336" customFormat="false" ht="15" hidden="false" customHeight="false" outlineLevel="0" collapsed="false">
      <c r="A2336" s="6" t="s">
        <v>4</v>
      </c>
      <c r="B2336" s="6" t="s">
        <v>55</v>
      </c>
      <c r="C2336" s="6" t="n">
        <v>51</v>
      </c>
      <c r="D2336" s="25" t="n">
        <f aca="false">EDATE('Start Here'!$B$6,C2336-1)</f>
        <v>47849</v>
      </c>
      <c r="E2336" s="11" t="n">
        <f aca="false">IF(AND(OR(Nonlabor!$D$22="Both",Nonlabor!$D$22='Start Here'!$B$9),IF(Nonlabor!$E$22="Core",1,IF(Nonlabor!$E$22="AI",'Start Here'!$B$7,'Start Here'!$B$8))=1,C2336&gt;=IF(Nonlabor!$E$22="Core",Nonlabor!$F$22,MAX(Nonlabor!$F$22,IF(Nonlabor!$E$22="AI",Assumptions!$D$24,Assumptions!$D$25))),C2336&lt;=Nonlabor!$G$22,OR(Nonlabor!$H$22="Monthly",AND(Nonlabor!$H$22="Once",C2336=IF(Nonlabor!$E$22="Core",Nonlabor!$F$22,MAX(Nonlabor!$F$22,IF(Nonlabor!$E$22="AI",Assumptions!$D$24,Assumptions!$D$25)))),AND(Nonlabor!$H$22="Annual",MOD(C2336-IF(Nonlabor!$E$22="Core",Nonlabor!$F$22,MAX(Nonlabor!$F$22,IF(Nonlabor!$E$22="AI",Assumptions!$D$24,Assumptions!$D$25))),12)=0))),IF(Nonlabor!$I$22="Fixed",1,IF(Nonlabor!$I$22="Seats",ROUNDUP('Monthly Base'!I56,0),IF(Nonlabor!$I$22="Customers",'Monthly Base'!D56,IF(Nonlabor!$I$22="NewCustomers",'Monthly Base'!C56,IF(Nonlabor!$I$22="StorageGB",'Monthly Base'!G56,IF(Nonlabor!$I$22="LogGB",'Monthly Base'!H56,IF(Nonlabor!$I$22="RequestsM",'Monthly Base'!F56,IF(Nonlabor!$I$22="InputM",'Monthly Base'!D56*Assumptions!$D$22/1000000,IF(Nonlabor!$I$22="OutputM",'Monthly Base'!D56*Assumptions!$D$23/1000000,0))))))))),0)</f>
        <v>58.1469452785198</v>
      </c>
      <c r="F2336" s="10" t="n">
        <f aca="false">Nonlabor!$J$22*(1+Assumptions!$D$9)^INT((C2336-1)/12)</f>
        <v>84.41316075</v>
      </c>
      <c r="G2336" s="10" t="n">
        <f aca="false">E2336*F2336</f>
        <v>4908.36743891715</v>
      </c>
      <c r="H2336" s="10" t="n">
        <f aca="false">IF(OR(Nonlabor!$L$22="Quote required",Nonlabor!$L$22="Unverified"),G2336,0)</f>
        <v>0</v>
      </c>
      <c r="I2336" s="10" t="n">
        <f aca="false">IF(Nonlabor!$E$22="Core",0,G2336)</f>
        <v>0</v>
      </c>
      <c r="J2336" s="23" t="str">
        <f aca="false">Nonlabor!$B$22</f>
        <v>MARKETING</v>
      </c>
    </row>
    <row r="2337" customFormat="false" ht="15" hidden="false" customHeight="false" outlineLevel="0" collapsed="false">
      <c r="A2337" s="6" t="s">
        <v>4</v>
      </c>
      <c r="B2337" s="6" t="s">
        <v>55</v>
      </c>
      <c r="C2337" s="6" t="n">
        <v>52</v>
      </c>
      <c r="D2337" s="25" t="n">
        <f aca="false">EDATE('Start Here'!$B$6,C2337-1)</f>
        <v>47880</v>
      </c>
      <c r="E2337" s="11" t="n">
        <f aca="false">IF(AND(OR(Nonlabor!$D$22="Both",Nonlabor!$D$22='Start Here'!$B$9),IF(Nonlabor!$E$22="Core",1,IF(Nonlabor!$E$22="AI",'Start Here'!$B$7,'Start Here'!$B$8))=1,C2337&gt;=IF(Nonlabor!$E$22="Core",Nonlabor!$F$22,MAX(Nonlabor!$F$22,IF(Nonlabor!$E$22="AI",Assumptions!$D$24,Assumptions!$D$25))),C2337&lt;=Nonlabor!$G$22,OR(Nonlabor!$H$22="Monthly",AND(Nonlabor!$H$22="Once",C2337=IF(Nonlabor!$E$22="Core",Nonlabor!$F$22,MAX(Nonlabor!$F$22,IF(Nonlabor!$E$22="AI",Assumptions!$D$24,Assumptions!$D$25)))),AND(Nonlabor!$H$22="Annual",MOD(C2337-IF(Nonlabor!$E$22="Core",Nonlabor!$F$22,MAX(Nonlabor!$F$22,IF(Nonlabor!$E$22="AI",Assumptions!$D$24,Assumptions!$D$25))),12)=0))),IF(Nonlabor!$I$22="Fixed",1,IF(Nonlabor!$I$22="Seats",ROUNDUP('Monthly Base'!I57,0),IF(Nonlabor!$I$22="Customers",'Monthly Base'!D57,IF(Nonlabor!$I$22="NewCustomers",'Monthly Base'!C57,IF(Nonlabor!$I$22="StorageGB",'Monthly Base'!G57,IF(Nonlabor!$I$22="LogGB",'Monthly Base'!H57,IF(Nonlabor!$I$22="RequestsM",'Monthly Base'!F57,IF(Nonlabor!$I$22="InputM",'Monthly Base'!D57*Assumptions!$D$22/1000000,IF(Nonlabor!$I$22="OutputM",'Monthly Base'!D57*Assumptions!$D$23/1000000,0))))))))),0)</f>
        <v>60.9404758257346</v>
      </c>
      <c r="F2337" s="10" t="n">
        <f aca="false">Nonlabor!$J$22*(1+Assumptions!$D$9)^INT((C2337-1)/12)</f>
        <v>84.41316075</v>
      </c>
      <c r="G2337" s="10" t="n">
        <f aca="false">E2337*F2337</f>
        <v>5144.17818205923</v>
      </c>
      <c r="H2337" s="10" t="n">
        <f aca="false">IF(OR(Nonlabor!$L$22="Quote required",Nonlabor!$L$22="Unverified"),G2337,0)</f>
        <v>0</v>
      </c>
      <c r="I2337" s="10" t="n">
        <f aca="false">IF(Nonlabor!$E$22="Core",0,G2337)</f>
        <v>0</v>
      </c>
      <c r="J2337" s="23" t="str">
        <f aca="false">Nonlabor!$B$22</f>
        <v>MARKETING</v>
      </c>
    </row>
    <row r="2338" customFormat="false" ht="15" hidden="false" customHeight="false" outlineLevel="0" collapsed="false">
      <c r="A2338" s="6" t="s">
        <v>4</v>
      </c>
      <c r="B2338" s="6" t="s">
        <v>55</v>
      </c>
      <c r="C2338" s="6" t="n">
        <v>53</v>
      </c>
      <c r="D2338" s="25" t="n">
        <f aca="false">EDATE('Start Here'!$B$6,C2338-1)</f>
        <v>47908</v>
      </c>
      <c r="E2338" s="11" t="n">
        <f aca="false">IF(AND(OR(Nonlabor!$D$22="Both",Nonlabor!$D$22='Start Here'!$B$9),IF(Nonlabor!$E$22="Core",1,IF(Nonlabor!$E$22="AI",'Start Here'!$B$7,'Start Here'!$B$8))=1,C2338&gt;=IF(Nonlabor!$E$22="Core",Nonlabor!$F$22,MAX(Nonlabor!$F$22,IF(Nonlabor!$E$22="AI",Assumptions!$D$24,Assumptions!$D$25))),C2338&lt;=Nonlabor!$G$22,OR(Nonlabor!$H$22="Monthly",AND(Nonlabor!$H$22="Once",C2338=IF(Nonlabor!$E$22="Core",Nonlabor!$F$22,MAX(Nonlabor!$F$22,IF(Nonlabor!$E$22="AI",Assumptions!$D$24,Assumptions!$D$25)))),AND(Nonlabor!$H$22="Annual",MOD(C2338-IF(Nonlabor!$E$22="Core",Nonlabor!$F$22,MAX(Nonlabor!$F$22,IF(Nonlabor!$E$22="AI",Assumptions!$D$24,Assumptions!$D$25))),12)=0))),IF(Nonlabor!$I$22="Fixed",1,IF(Nonlabor!$I$22="Seats",ROUNDUP('Monthly Base'!I58,0),IF(Nonlabor!$I$22="Customers",'Monthly Base'!D58,IF(Nonlabor!$I$22="NewCustomers",'Monthly Base'!C58,IF(Nonlabor!$I$22="StorageGB",'Monthly Base'!G58,IF(Nonlabor!$I$22="LogGB",'Monthly Base'!H58,IF(Nonlabor!$I$22="RequestsM",'Monthly Base'!F58,IF(Nonlabor!$I$22="InputM",'Monthly Base'!D58*Assumptions!$D$22/1000000,IF(Nonlabor!$I$22="OutputM",'Monthly Base'!D58*Assumptions!$D$23/1000000,0))))))))),0)</f>
        <v>63.7060710674773</v>
      </c>
      <c r="F2338" s="10" t="n">
        <f aca="false">Nonlabor!$J$22*(1+Assumptions!$D$9)^INT((C2338-1)/12)</f>
        <v>84.41316075</v>
      </c>
      <c r="G2338" s="10" t="n">
        <f aca="false">E2338*F2338</f>
        <v>5377.63081776989</v>
      </c>
      <c r="H2338" s="10" t="n">
        <f aca="false">IF(OR(Nonlabor!$L$22="Quote required",Nonlabor!$L$22="Unverified"),G2338,0)</f>
        <v>0</v>
      </c>
      <c r="I2338" s="10" t="n">
        <f aca="false">IF(Nonlabor!$E$22="Core",0,G2338)</f>
        <v>0</v>
      </c>
      <c r="J2338" s="23" t="str">
        <f aca="false">Nonlabor!$B$22</f>
        <v>MARKETING</v>
      </c>
    </row>
    <row r="2339" customFormat="false" ht="15" hidden="false" customHeight="false" outlineLevel="0" collapsed="false">
      <c r="A2339" s="6" t="s">
        <v>4</v>
      </c>
      <c r="B2339" s="6" t="s">
        <v>55</v>
      </c>
      <c r="C2339" s="6" t="n">
        <v>54</v>
      </c>
      <c r="D2339" s="25" t="n">
        <f aca="false">EDATE('Start Here'!$B$6,C2339-1)</f>
        <v>47939</v>
      </c>
      <c r="E2339" s="11" t="n">
        <f aca="false">IF(AND(OR(Nonlabor!$D$22="Both",Nonlabor!$D$22='Start Here'!$B$9),IF(Nonlabor!$E$22="Core",1,IF(Nonlabor!$E$22="AI",'Start Here'!$B$7,'Start Here'!$B$8))=1,C2339&gt;=IF(Nonlabor!$E$22="Core",Nonlabor!$F$22,MAX(Nonlabor!$F$22,IF(Nonlabor!$E$22="AI",Assumptions!$D$24,Assumptions!$D$25))),C2339&lt;=Nonlabor!$G$22,OR(Nonlabor!$H$22="Monthly",AND(Nonlabor!$H$22="Once",C2339=IF(Nonlabor!$E$22="Core",Nonlabor!$F$22,MAX(Nonlabor!$F$22,IF(Nonlabor!$E$22="AI",Assumptions!$D$24,Assumptions!$D$25)))),AND(Nonlabor!$H$22="Annual",MOD(C2339-IF(Nonlabor!$E$22="Core",Nonlabor!$F$22,MAX(Nonlabor!$F$22,IF(Nonlabor!$E$22="AI",Assumptions!$D$24,Assumptions!$D$25))),12)=0))),IF(Nonlabor!$I$22="Fixed",1,IF(Nonlabor!$I$22="Seats",ROUNDUP('Monthly Base'!I59,0),IF(Nonlabor!$I$22="Customers",'Monthly Base'!D59,IF(Nonlabor!$I$22="NewCustomers",'Monthly Base'!C59,IF(Nonlabor!$I$22="StorageGB",'Monthly Base'!G59,IF(Nonlabor!$I$22="LogGB",'Monthly Base'!H59,IF(Nonlabor!$I$22="RequestsM",'Monthly Base'!F59,IF(Nonlabor!$I$22="InputM",'Monthly Base'!D59*Assumptions!$D$22/1000000,IF(Nonlabor!$I$22="OutputM",'Monthly Base'!D59*Assumptions!$D$23/1000000,0))))))))),0)</f>
        <v>66.4440103568025</v>
      </c>
      <c r="F2339" s="10" t="n">
        <f aca="false">Nonlabor!$J$22*(1+Assumptions!$D$9)^INT((C2339-1)/12)</f>
        <v>84.41316075</v>
      </c>
      <c r="G2339" s="10" t="n">
        <f aca="false">E2339*F2339</f>
        <v>5608.74892712344</v>
      </c>
      <c r="H2339" s="10" t="n">
        <f aca="false">IF(OR(Nonlabor!$L$22="Quote required",Nonlabor!$L$22="Unverified"),G2339,0)</f>
        <v>0</v>
      </c>
      <c r="I2339" s="10" t="n">
        <f aca="false">IF(Nonlabor!$E$22="Core",0,G2339)</f>
        <v>0</v>
      </c>
      <c r="J2339" s="23" t="str">
        <f aca="false">Nonlabor!$B$22</f>
        <v>MARKETING</v>
      </c>
    </row>
    <row r="2340" customFormat="false" ht="15" hidden="false" customHeight="false" outlineLevel="0" collapsed="false">
      <c r="A2340" s="6" t="s">
        <v>4</v>
      </c>
      <c r="B2340" s="6" t="s">
        <v>55</v>
      </c>
      <c r="C2340" s="6" t="n">
        <v>55</v>
      </c>
      <c r="D2340" s="25" t="n">
        <f aca="false">EDATE('Start Here'!$B$6,C2340-1)</f>
        <v>47969</v>
      </c>
      <c r="E2340" s="11" t="n">
        <f aca="false">IF(AND(OR(Nonlabor!$D$22="Both",Nonlabor!$D$22='Start Here'!$B$9),IF(Nonlabor!$E$22="Core",1,IF(Nonlabor!$E$22="AI",'Start Here'!$B$7,'Start Here'!$B$8))=1,C2340&gt;=IF(Nonlabor!$E$22="Core",Nonlabor!$F$22,MAX(Nonlabor!$F$22,IF(Nonlabor!$E$22="AI",Assumptions!$D$24,Assumptions!$D$25))),C2340&lt;=Nonlabor!$G$22,OR(Nonlabor!$H$22="Monthly",AND(Nonlabor!$H$22="Once",C2340=IF(Nonlabor!$E$22="Core",Nonlabor!$F$22,MAX(Nonlabor!$F$22,IF(Nonlabor!$E$22="AI",Assumptions!$D$24,Assumptions!$D$25)))),AND(Nonlabor!$H$22="Annual",MOD(C2340-IF(Nonlabor!$E$22="Core",Nonlabor!$F$22,MAX(Nonlabor!$F$22,IF(Nonlabor!$E$22="AI",Assumptions!$D$24,Assumptions!$D$25))),12)=0))),IF(Nonlabor!$I$22="Fixed",1,IF(Nonlabor!$I$22="Seats",ROUNDUP('Monthly Base'!I60,0),IF(Nonlabor!$I$22="Customers",'Monthly Base'!D60,IF(Nonlabor!$I$22="NewCustomers",'Monthly Base'!C60,IF(Nonlabor!$I$22="StorageGB",'Monthly Base'!G60,IF(Nonlabor!$I$22="LogGB",'Monthly Base'!H60,IF(Nonlabor!$I$22="RequestsM",'Monthly Base'!F60,IF(Nonlabor!$I$22="InputM",'Monthly Base'!D60*Assumptions!$D$22/1000000,IF(Nonlabor!$I$22="OutputM",'Monthly Base'!D60*Assumptions!$D$23/1000000,0))))))))),0)</f>
        <v>69.1545702532345</v>
      </c>
      <c r="F2340" s="10" t="n">
        <f aca="false">Nonlabor!$J$22*(1+Assumptions!$D$9)^INT((C2340-1)/12)</f>
        <v>84.41316075</v>
      </c>
      <c r="G2340" s="10" t="n">
        <f aca="false">E2340*F2340</f>
        <v>5837.55585538345</v>
      </c>
      <c r="H2340" s="10" t="n">
        <f aca="false">IF(OR(Nonlabor!$L$22="Quote required",Nonlabor!$L$22="Unverified"),G2340,0)</f>
        <v>0</v>
      </c>
      <c r="I2340" s="10" t="n">
        <f aca="false">IF(Nonlabor!$E$22="Core",0,G2340)</f>
        <v>0</v>
      </c>
      <c r="J2340" s="23" t="str">
        <f aca="false">Nonlabor!$B$22</f>
        <v>MARKETING</v>
      </c>
    </row>
    <row r="2341" customFormat="false" ht="15" hidden="false" customHeight="false" outlineLevel="0" collapsed="false">
      <c r="A2341" s="6" t="s">
        <v>4</v>
      </c>
      <c r="B2341" s="6" t="s">
        <v>55</v>
      </c>
      <c r="C2341" s="6" t="n">
        <v>56</v>
      </c>
      <c r="D2341" s="25" t="n">
        <f aca="false">EDATE('Start Here'!$B$6,C2341-1)</f>
        <v>48000</v>
      </c>
      <c r="E2341" s="11" t="n">
        <f aca="false">IF(AND(OR(Nonlabor!$D$22="Both",Nonlabor!$D$22='Start Here'!$B$9),IF(Nonlabor!$E$22="Core",1,IF(Nonlabor!$E$22="AI",'Start Here'!$B$7,'Start Here'!$B$8))=1,C2341&gt;=IF(Nonlabor!$E$22="Core",Nonlabor!$F$22,MAX(Nonlabor!$F$22,IF(Nonlabor!$E$22="AI",Assumptions!$D$24,Assumptions!$D$25))),C2341&lt;=Nonlabor!$G$22,OR(Nonlabor!$H$22="Monthly",AND(Nonlabor!$H$22="Once",C2341=IF(Nonlabor!$E$22="Core",Nonlabor!$F$22,MAX(Nonlabor!$F$22,IF(Nonlabor!$E$22="AI",Assumptions!$D$24,Assumptions!$D$25)))),AND(Nonlabor!$H$22="Annual",MOD(C2341-IF(Nonlabor!$E$22="Core",Nonlabor!$F$22,MAX(Nonlabor!$F$22,IF(Nonlabor!$E$22="AI",Assumptions!$D$24,Assumptions!$D$25))),12)=0))),IF(Nonlabor!$I$22="Fixed",1,IF(Nonlabor!$I$22="Seats",ROUNDUP('Monthly Base'!I61,0),IF(Nonlabor!$I$22="Customers",'Monthly Base'!D61,IF(Nonlabor!$I$22="NewCustomers",'Monthly Base'!C61,IF(Nonlabor!$I$22="StorageGB",'Monthly Base'!G61,IF(Nonlabor!$I$22="LogGB",'Monthly Base'!H61,IF(Nonlabor!$I$22="RequestsM",'Monthly Base'!F61,IF(Nonlabor!$I$22="InputM",'Monthly Base'!D61*Assumptions!$D$22/1000000,IF(Nonlabor!$I$22="OutputM",'Monthly Base'!D61*Assumptions!$D$23/1000000,0))))))))),0)</f>
        <v>71.8380245507021</v>
      </c>
      <c r="F2341" s="10" t="n">
        <f aca="false">Nonlabor!$J$22*(1+Assumptions!$D$9)^INT((C2341-1)/12)</f>
        <v>84.41316075</v>
      </c>
      <c r="G2341" s="10" t="n">
        <f aca="false">E2341*F2341</f>
        <v>6064.07471436087</v>
      </c>
      <c r="H2341" s="10" t="n">
        <f aca="false">IF(OR(Nonlabor!$L$22="Quote required",Nonlabor!$L$22="Unverified"),G2341,0)</f>
        <v>0</v>
      </c>
      <c r="I2341" s="10" t="n">
        <f aca="false">IF(Nonlabor!$E$22="Core",0,G2341)</f>
        <v>0</v>
      </c>
      <c r="J2341" s="23" t="str">
        <f aca="false">Nonlabor!$B$22</f>
        <v>MARKETING</v>
      </c>
    </row>
    <row r="2342" customFormat="false" ht="15" hidden="false" customHeight="false" outlineLevel="0" collapsed="false">
      <c r="A2342" s="6" t="s">
        <v>4</v>
      </c>
      <c r="B2342" s="6" t="s">
        <v>55</v>
      </c>
      <c r="C2342" s="6" t="n">
        <v>57</v>
      </c>
      <c r="D2342" s="25" t="n">
        <f aca="false">EDATE('Start Here'!$B$6,C2342-1)</f>
        <v>48030</v>
      </c>
      <c r="E2342" s="11" t="n">
        <f aca="false">IF(AND(OR(Nonlabor!$D$22="Both",Nonlabor!$D$22='Start Here'!$B$9),IF(Nonlabor!$E$22="Core",1,IF(Nonlabor!$E$22="AI",'Start Here'!$B$7,'Start Here'!$B$8))=1,C2342&gt;=IF(Nonlabor!$E$22="Core",Nonlabor!$F$22,MAX(Nonlabor!$F$22,IF(Nonlabor!$E$22="AI",Assumptions!$D$24,Assumptions!$D$25))),C2342&lt;=Nonlabor!$G$22,OR(Nonlabor!$H$22="Monthly",AND(Nonlabor!$H$22="Once",C2342=IF(Nonlabor!$E$22="Core",Nonlabor!$F$22,MAX(Nonlabor!$F$22,IF(Nonlabor!$E$22="AI",Assumptions!$D$24,Assumptions!$D$25)))),AND(Nonlabor!$H$22="Annual",MOD(C2342-IF(Nonlabor!$E$22="Core",Nonlabor!$F$22,MAX(Nonlabor!$F$22,IF(Nonlabor!$E$22="AI",Assumptions!$D$24,Assumptions!$D$25))),12)=0))),IF(Nonlabor!$I$22="Fixed",1,IF(Nonlabor!$I$22="Seats",ROUNDUP('Monthly Base'!I62,0),IF(Nonlabor!$I$22="Customers",'Monthly Base'!D62,IF(Nonlabor!$I$22="NewCustomers",'Monthly Base'!C62,IF(Nonlabor!$I$22="StorageGB",'Monthly Base'!G62,IF(Nonlabor!$I$22="LogGB",'Monthly Base'!H62,IF(Nonlabor!$I$22="RequestsM",'Monthly Base'!F62,IF(Nonlabor!$I$22="InputM",'Monthly Base'!D62*Assumptions!$D$22/1000000,IF(Nonlabor!$I$22="OutputM",'Monthly Base'!D62*Assumptions!$D$23/1000000,0))))))))),0)</f>
        <v>74.4946443051951</v>
      </c>
      <c r="F2342" s="10" t="n">
        <f aca="false">Nonlabor!$J$22*(1+Assumptions!$D$9)^INT((C2342-1)/12)</f>
        <v>84.41316075</v>
      </c>
      <c r="G2342" s="10" t="n">
        <f aca="false">E2342*F2342</f>
        <v>6288.32838474851</v>
      </c>
      <c r="H2342" s="10" t="n">
        <f aca="false">IF(OR(Nonlabor!$L$22="Quote required",Nonlabor!$L$22="Unverified"),G2342,0)</f>
        <v>0</v>
      </c>
      <c r="I2342" s="10" t="n">
        <f aca="false">IF(Nonlabor!$E$22="Core",0,G2342)</f>
        <v>0</v>
      </c>
      <c r="J2342" s="23" t="str">
        <f aca="false">Nonlabor!$B$22</f>
        <v>MARKETING</v>
      </c>
    </row>
    <row r="2343" customFormat="false" ht="15" hidden="false" customHeight="false" outlineLevel="0" collapsed="false">
      <c r="A2343" s="6" t="s">
        <v>4</v>
      </c>
      <c r="B2343" s="6" t="s">
        <v>55</v>
      </c>
      <c r="C2343" s="6" t="n">
        <v>58</v>
      </c>
      <c r="D2343" s="25" t="n">
        <f aca="false">EDATE('Start Here'!$B$6,C2343-1)</f>
        <v>48061</v>
      </c>
      <c r="E2343" s="11" t="n">
        <f aca="false">IF(AND(OR(Nonlabor!$D$22="Both",Nonlabor!$D$22='Start Here'!$B$9),IF(Nonlabor!$E$22="Core",1,IF(Nonlabor!$E$22="AI",'Start Here'!$B$7,'Start Here'!$B$8))=1,C2343&gt;=IF(Nonlabor!$E$22="Core",Nonlabor!$F$22,MAX(Nonlabor!$F$22,IF(Nonlabor!$E$22="AI",Assumptions!$D$24,Assumptions!$D$25))),C2343&lt;=Nonlabor!$G$22,OR(Nonlabor!$H$22="Monthly",AND(Nonlabor!$H$22="Once",C2343=IF(Nonlabor!$E$22="Core",Nonlabor!$F$22,MAX(Nonlabor!$F$22,IF(Nonlabor!$E$22="AI",Assumptions!$D$24,Assumptions!$D$25)))),AND(Nonlabor!$H$22="Annual",MOD(C2343-IF(Nonlabor!$E$22="Core",Nonlabor!$F$22,MAX(Nonlabor!$F$22,IF(Nonlabor!$E$22="AI",Assumptions!$D$24,Assumptions!$D$25))),12)=0))),IF(Nonlabor!$I$22="Fixed",1,IF(Nonlabor!$I$22="Seats",ROUNDUP('Monthly Base'!I63,0),IF(Nonlabor!$I$22="Customers",'Monthly Base'!D63,IF(Nonlabor!$I$22="NewCustomers",'Monthly Base'!C63,IF(Nonlabor!$I$22="StorageGB",'Monthly Base'!G63,IF(Nonlabor!$I$22="LogGB",'Monthly Base'!H63,IF(Nonlabor!$I$22="RequestsM",'Monthly Base'!F63,IF(Nonlabor!$I$22="InputM",'Monthly Base'!D63*Assumptions!$D$22/1000000,IF(Nonlabor!$I$22="OutputM",'Monthly Base'!D63*Assumptions!$D$23/1000000,0))))))))),0)</f>
        <v>77.1246978621432</v>
      </c>
      <c r="F2343" s="10" t="n">
        <f aca="false">Nonlabor!$J$22*(1+Assumptions!$D$9)^INT((C2343-1)/12)</f>
        <v>84.41316075</v>
      </c>
      <c r="G2343" s="10" t="n">
        <f aca="false">E2343*F2343</f>
        <v>6510.33951843227</v>
      </c>
      <c r="H2343" s="10" t="n">
        <f aca="false">IF(OR(Nonlabor!$L$22="Quote required",Nonlabor!$L$22="Unverified"),G2343,0)</f>
        <v>0</v>
      </c>
      <c r="I2343" s="10" t="n">
        <f aca="false">IF(Nonlabor!$E$22="Core",0,G2343)</f>
        <v>0</v>
      </c>
      <c r="J2343" s="23" t="str">
        <f aca="false">Nonlabor!$B$22</f>
        <v>MARKETING</v>
      </c>
    </row>
    <row r="2344" customFormat="false" ht="15" hidden="false" customHeight="false" outlineLevel="0" collapsed="false">
      <c r="A2344" s="6" t="s">
        <v>4</v>
      </c>
      <c r="B2344" s="6" t="s">
        <v>55</v>
      </c>
      <c r="C2344" s="6" t="n">
        <v>59</v>
      </c>
      <c r="D2344" s="25" t="n">
        <f aca="false">EDATE('Start Here'!$B$6,C2344-1)</f>
        <v>48092</v>
      </c>
      <c r="E2344" s="11" t="n">
        <f aca="false">IF(AND(OR(Nonlabor!$D$22="Both",Nonlabor!$D$22='Start Here'!$B$9),IF(Nonlabor!$E$22="Core",1,IF(Nonlabor!$E$22="AI",'Start Here'!$B$7,'Start Here'!$B$8))=1,C2344&gt;=IF(Nonlabor!$E$22="Core",Nonlabor!$F$22,MAX(Nonlabor!$F$22,IF(Nonlabor!$E$22="AI",Assumptions!$D$24,Assumptions!$D$25))),C2344&lt;=Nonlabor!$G$22,OR(Nonlabor!$H$22="Monthly",AND(Nonlabor!$H$22="Once",C2344=IF(Nonlabor!$E$22="Core",Nonlabor!$F$22,MAX(Nonlabor!$F$22,IF(Nonlabor!$E$22="AI",Assumptions!$D$24,Assumptions!$D$25)))),AND(Nonlabor!$H$22="Annual",MOD(C2344-IF(Nonlabor!$E$22="Core",Nonlabor!$F$22,MAX(Nonlabor!$F$22,IF(Nonlabor!$E$22="AI",Assumptions!$D$24,Assumptions!$D$25))),12)=0))),IF(Nonlabor!$I$22="Fixed",1,IF(Nonlabor!$I$22="Seats",ROUNDUP('Monthly Base'!I64,0),IF(Nonlabor!$I$22="Customers",'Monthly Base'!D64,IF(Nonlabor!$I$22="NewCustomers",'Monthly Base'!C64,IF(Nonlabor!$I$22="StorageGB",'Monthly Base'!G64,IF(Nonlabor!$I$22="LogGB",'Monthly Base'!H64,IF(Nonlabor!$I$22="RequestsM",'Monthly Base'!F64,IF(Nonlabor!$I$22="InputM",'Monthly Base'!D64*Assumptions!$D$22/1000000,IF(Nonlabor!$I$22="OutputM",'Monthly Base'!D64*Assumptions!$D$23/1000000,0))))))))),0)</f>
        <v>79.7284508835217</v>
      </c>
      <c r="F2344" s="10" t="n">
        <f aca="false">Nonlabor!$J$22*(1+Assumptions!$D$9)^INT((C2344-1)/12)</f>
        <v>84.41316075</v>
      </c>
      <c r="G2344" s="10" t="n">
        <f aca="false">E2344*F2344</f>
        <v>6730.1305407792</v>
      </c>
      <c r="H2344" s="10" t="n">
        <f aca="false">IF(OR(Nonlabor!$L$22="Quote required",Nonlabor!$L$22="Unverified"),G2344,0)</f>
        <v>0</v>
      </c>
      <c r="I2344" s="10" t="n">
        <f aca="false">IF(Nonlabor!$E$22="Core",0,G2344)</f>
        <v>0</v>
      </c>
      <c r="J2344" s="23" t="str">
        <f aca="false">Nonlabor!$B$22</f>
        <v>MARKETING</v>
      </c>
    </row>
    <row r="2345" customFormat="false" ht="15" hidden="false" customHeight="false" outlineLevel="0" collapsed="false">
      <c r="A2345" s="6" t="s">
        <v>4</v>
      </c>
      <c r="B2345" s="6" t="s">
        <v>55</v>
      </c>
      <c r="C2345" s="6" t="n">
        <v>60</v>
      </c>
      <c r="D2345" s="25" t="n">
        <f aca="false">EDATE('Start Here'!$B$6,C2345-1)</f>
        <v>48122</v>
      </c>
      <c r="E2345" s="11" t="n">
        <f aca="false">IF(AND(OR(Nonlabor!$D$22="Both",Nonlabor!$D$22='Start Here'!$B$9),IF(Nonlabor!$E$22="Core",1,IF(Nonlabor!$E$22="AI",'Start Here'!$B$7,'Start Here'!$B$8))=1,C2345&gt;=IF(Nonlabor!$E$22="Core",Nonlabor!$F$22,MAX(Nonlabor!$F$22,IF(Nonlabor!$E$22="AI",Assumptions!$D$24,Assumptions!$D$25))),C2345&lt;=Nonlabor!$G$22,OR(Nonlabor!$H$22="Monthly",AND(Nonlabor!$H$22="Once",C2345=IF(Nonlabor!$E$22="Core",Nonlabor!$F$22,MAX(Nonlabor!$F$22,IF(Nonlabor!$E$22="AI",Assumptions!$D$24,Assumptions!$D$25)))),AND(Nonlabor!$H$22="Annual",MOD(C2345-IF(Nonlabor!$E$22="Core",Nonlabor!$F$22,MAX(Nonlabor!$F$22,IF(Nonlabor!$E$22="AI",Assumptions!$D$24,Assumptions!$D$25))),12)=0))),IF(Nonlabor!$I$22="Fixed",1,IF(Nonlabor!$I$22="Seats",ROUNDUP('Monthly Base'!I65,0),IF(Nonlabor!$I$22="Customers",'Monthly Base'!D65,IF(Nonlabor!$I$22="NewCustomers",'Monthly Base'!C65,IF(Nonlabor!$I$22="StorageGB",'Monthly Base'!G65,IF(Nonlabor!$I$22="LogGB",'Monthly Base'!H65,IF(Nonlabor!$I$22="RequestsM",'Monthly Base'!F65,IF(Nonlabor!$I$22="InputM",'Monthly Base'!D65*Assumptions!$D$22/1000000,IF(Nonlabor!$I$22="OutputM",'Monthly Base'!D65*Assumptions!$D$23/1000000,0))))))))),0)</f>
        <v>82.3061663746865</v>
      </c>
      <c r="F2345" s="10" t="n">
        <f aca="false">Nonlabor!$J$22*(1+Assumptions!$D$9)^INT((C2345-1)/12)</f>
        <v>84.41316075</v>
      </c>
      <c r="G2345" s="10" t="n">
        <f aca="false">E2345*F2345</f>
        <v>6947.72365290266</v>
      </c>
      <c r="H2345" s="10" t="n">
        <f aca="false">IF(OR(Nonlabor!$L$22="Quote required",Nonlabor!$L$22="Unverified"),G2345,0)</f>
        <v>0</v>
      </c>
      <c r="I2345" s="10" t="n">
        <f aca="false">IF(Nonlabor!$E$22="Core",0,G2345)</f>
        <v>0</v>
      </c>
      <c r="J2345" s="23" t="str">
        <f aca="false">Nonlabor!$B$22</f>
        <v>MARKETING</v>
      </c>
    </row>
    <row r="2346" customFormat="false" ht="15" hidden="false" customHeight="false" outlineLevel="0" collapsed="false">
      <c r="A2346" s="6" t="s">
        <v>4</v>
      </c>
      <c r="B2346" s="6" t="s">
        <v>57</v>
      </c>
      <c r="C2346" s="6" t="n">
        <v>1</v>
      </c>
      <c r="D2346" s="25" t="n">
        <f aca="false">EDATE('Start Here'!$B$6,C2346-1)</f>
        <v>46327</v>
      </c>
      <c r="E2346" s="23" t="n">
        <f aca="false">IF(AND(OR(Nonlabor!$D$23="Both",Nonlabor!$D$23='Start Here'!$B$9),IF(Nonlabor!$E$23="Core",1,IF(Nonlabor!$E$23="AI",'Start Here'!$B$7,'Start Here'!$B$8))=1,C2346&gt;=IF(Nonlabor!$E$23="Core",Nonlabor!$F$23,MAX(Nonlabor!$F$23,IF(Nonlabor!$E$23="AI",Assumptions!$D$24,Assumptions!$D$25))),C2346&lt;=Nonlabor!$G$23,OR(Nonlabor!$H$23="Monthly",AND(Nonlabor!$H$23="Once",C2346=IF(Nonlabor!$E$23="Core",Nonlabor!$F$23,MAX(Nonlabor!$F$23,IF(Nonlabor!$E$23="AI",Assumptions!$D$24,Assumptions!$D$25)))),AND(Nonlabor!$H$23="Annual",MOD(C2346-IF(Nonlabor!$E$23="Core",Nonlabor!$F$23,MAX(Nonlabor!$F$23,IF(Nonlabor!$E$23="AI",Assumptions!$D$24,Assumptions!$D$25))),12)=0))),IF(Nonlabor!$I$23="Fixed",1,IF(Nonlabor!$I$23="Seats",ROUNDUP('Monthly Base'!I6,0),IF(Nonlabor!$I$23="Customers",'Monthly Base'!D6,IF(Nonlabor!$I$23="NewCustomers",'Monthly Base'!C6,IF(Nonlabor!$I$23="StorageGB",'Monthly Base'!G6,IF(Nonlabor!$I$23="LogGB",'Monthly Base'!H6,IF(Nonlabor!$I$23="RequestsM",'Monthly Base'!F6,IF(Nonlabor!$I$23="InputM",'Monthly Base'!D6*Assumptions!$D$22/1000000,IF(Nonlabor!$I$23="OutputM",'Monthly Base'!D6*Assumptions!$D$23/1000000,0))))))))),0)</f>
        <v>0</v>
      </c>
      <c r="F2346" s="10" t="n">
        <f aca="false">Nonlabor!$J$23*(1+Assumptions!$D$9)^INT((C2346-1)/12)</f>
        <v>300</v>
      </c>
      <c r="G2346" s="10" t="n">
        <f aca="false">E2346*F2346</f>
        <v>0</v>
      </c>
      <c r="H2346" s="10" t="n">
        <f aca="false">IF(OR(Nonlabor!$L$23="Quote required",Nonlabor!$L$23="Unverified"),G2346,0)</f>
        <v>0</v>
      </c>
      <c r="I2346" s="10" t="n">
        <f aca="false">IF(Nonlabor!$E$23="Core",0,G2346)</f>
        <v>0</v>
      </c>
      <c r="J2346" s="23" t="str">
        <f aca="false">Nonlabor!$B$23</f>
        <v>ONBOARD</v>
      </c>
    </row>
    <row r="2347" customFormat="false" ht="15" hidden="false" customHeight="false" outlineLevel="0" collapsed="false">
      <c r="A2347" s="6" t="s">
        <v>4</v>
      </c>
      <c r="B2347" s="6" t="s">
        <v>57</v>
      </c>
      <c r="C2347" s="6" t="n">
        <v>2</v>
      </c>
      <c r="D2347" s="25" t="n">
        <f aca="false">EDATE('Start Here'!$B$6,C2347-1)</f>
        <v>46357</v>
      </c>
      <c r="E2347" s="23" t="n">
        <f aca="false">IF(AND(OR(Nonlabor!$D$23="Both",Nonlabor!$D$23='Start Here'!$B$9),IF(Nonlabor!$E$23="Core",1,IF(Nonlabor!$E$23="AI",'Start Here'!$B$7,'Start Here'!$B$8))=1,C2347&gt;=IF(Nonlabor!$E$23="Core",Nonlabor!$F$23,MAX(Nonlabor!$F$23,IF(Nonlabor!$E$23="AI",Assumptions!$D$24,Assumptions!$D$25))),C2347&lt;=Nonlabor!$G$23,OR(Nonlabor!$H$23="Monthly",AND(Nonlabor!$H$23="Once",C2347=IF(Nonlabor!$E$23="Core",Nonlabor!$F$23,MAX(Nonlabor!$F$23,IF(Nonlabor!$E$23="AI",Assumptions!$D$24,Assumptions!$D$25)))),AND(Nonlabor!$H$23="Annual",MOD(C2347-IF(Nonlabor!$E$23="Core",Nonlabor!$F$23,MAX(Nonlabor!$F$23,IF(Nonlabor!$E$23="AI",Assumptions!$D$24,Assumptions!$D$25))),12)=0))),IF(Nonlabor!$I$23="Fixed",1,IF(Nonlabor!$I$23="Seats",ROUNDUP('Monthly Base'!I7,0),IF(Nonlabor!$I$23="Customers",'Monthly Base'!D7,IF(Nonlabor!$I$23="NewCustomers",'Monthly Base'!C7,IF(Nonlabor!$I$23="StorageGB",'Monthly Base'!G7,IF(Nonlabor!$I$23="LogGB",'Monthly Base'!H7,IF(Nonlabor!$I$23="RequestsM",'Monthly Base'!F7,IF(Nonlabor!$I$23="InputM",'Monthly Base'!D7*Assumptions!$D$22/1000000,IF(Nonlabor!$I$23="OutputM",'Monthly Base'!D7*Assumptions!$D$23/1000000,0))))))))),0)</f>
        <v>0</v>
      </c>
      <c r="F2347" s="10" t="n">
        <f aca="false">Nonlabor!$J$23*(1+Assumptions!$D$9)^INT((C2347-1)/12)</f>
        <v>300</v>
      </c>
      <c r="G2347" s="10" t="n">
        <f aca="false">E2347*F2347</f>
        <v>0</v>
      </c>
      <c r="H2347" s="10" t="n">
        <f aca="false">IF(OR(Nonlabor!$L$23="Quote required",Nonlabor!$L$23="Unverified"),G2347,0)</f>
        <v>0</v>
      </c>
      <c r="I2347" s="10" t="n">
        <f aca="false">IF(Nonlabor!$E$23="Core",0,G2347)</f>
        <v>0</v>
      </c>
      <c r="J2347" s="23" t="str">
        <f aca="false">Nonlabor!$B$23</f>
        <v>ONBOARD</v>
      </c>
    </row>
    <row r="2348" customFormat="false" ht="15" hidden="false" customHeight="false" outlineLevel="0" collapsed="false">
      <c r="A2348" s="6" t="s">
        <v>4</v>
      </c>
      <c r="B2348" s="6" t="s">
        <v>57</v>
      </c>
      <c r="C2348" s="6" t="n">
        <v>3</v>
      </c>
      <c r="D2348" s="25" t="n">
        <f aca="false">EDATE('Start Here'!$B$6,C2348-1)</f>
        <v>46388</v>
      </c>
      <c r="E2348" s="23" t="n">
        <f aca="false">IF(AND(OR(Nonlabor!$D$23="Both",Nonlabor!$D$23='Start Here'!$B$9),IF(Nonlabor!$E$23="Core",1,IF(Nonlabor!$E$23="AI",'Start Here'!$B$7,'Start Here'!$B$8))=1,C2348&gt;=IF(Nonlabor!$E$23="Core",Nonlabor!$F$23,MAX(Nonlabor!$F$23,IF(Nonlabor!$E$23="AI",Assumptions!$D$24,Assumptions!$D$25))),C2348&lt;=Nonlabor!$G$23,OR(Nonlabor!$H$23="Monthly",AND(Nonlabor!$H$23="Once",C2348=IF(Nonlabor!$E$23="Core",Nonlabor!$F$23,MAX(Nonlabor!$F$23,IF(Nonlabor!$E$23="AI",Assumptions!$D$24,Assumptions!$D$25)))),AND(Nonlabor!$H$23="Annual",MOD(C2348-IF(Nonlabor!$E$23="Core",Nonlabor!$F$23,MAX(Nonlabor!$F$23,IF(Nonlabor!$E$23="AI",Assumptions!$D$24,Assumptions!$D$25))),12)=0))),IF(Nonlabor!$I$23="Fixed",1,IF(Nonlabor!$I$23="Seats",ROUNDUP('Monthly Base'!I8,0),IF(Nonlabor!$I$23="Customers",'Monthly Base'!D8,IF(Nonlabor!$I$23="NewCustomers",'Monthly Base'!C8,IF(Nonlabor!$I$23="StorageGB",'Monthly Base'!G8,IF(Nonlabor!$I$23="LogGB",'Monthly Base'!H8,IF(Nonlabor!$I$23="RequestsM",'Monthly Base'!F8,IF(Nonlabor!$I$23="InputM",'Monthly Base'!D8*Assumptions!$D$22/1000000,IF(Nonlabor!$I$23="OutputM",'Monthly Base'!D8*Assumptions!$D$23/1000000,0))))))))),0)</f>
        <v>0</v>
      </c>
      <c r="F2348" s="10" t="n">
        <f aca="false">Nonlabor!$J$23*(1+Assumptions!$D$9)^INT((C2348-1)/12)</f>
        <v>300</v>
      </c>
      <c r="G2348" s="10" t="n">
        <f aca="false">E2348*F2348</f>
        <v>0</v>
      </c>
      <c r="H2348" s="10" t="n">
        <f aca="false">IF(OR(Nonlabor!$L$23="Quote required",Nonlabor!$L$23="Unverified"),G2348,0)</f>
        <v>0</v>
      </c>
      <c r="I2348" s="10" t="n">
        <f aca="false">IF(Nonlabor!$E$23="Core",0,G2348)</f>
        <v>0</v>
      </c>
      <c r="J2348" s="23" t="str">
        <f aca="false">Nonlabor!$B$23</f>
        <v>ONBOARD</v>
      </c>
    </row>
    <row r="2349" customFormat="false" ht="15" hidden="false" customHeight="false" outlineLevel="0" collapsed="false">
      <c r="A2349" s="6" t="s">
        <v>4</v>
      </c>
      <c r="B2349" s="6" t="s">
        <v>57</v>
      </c>
      <c r="C2349" s="6" t="n">
        <v>4</v>
      </c>
      <c r="D2349" s="25" t="n">
        <f aca="false">EDATE('Start Here'!$B$6,C2349-1)</f>
        <v>46419</v>
      </c>
      <c r="E2349" s="23" t="n">
        <f aca="false">IF(AND(OR(Nonlabor!$D$23="Both",Nonlabor!$D$23='Start Here'!$B$9),IF(Nonlabor!$E$23="Core",1,IF(Nonlabor!$E$23="AI",'Start Here'!$B$7,'Start Here'!$B$8))=1,C2349&gt;=IF(Nonlabor!$E$23="Core",Nonlabor!$F$23,MAX(Nonlabor!$F$23,IF(Nonlabor!$E$23="AI",Assumptions!$D$24,Assumptions!$D$25))),C2349&lt;=Nonlabor!$G$23,OR(Nonlabor!$H$23="Monthly",AND(Nonlabor!$H$23="Once",C2349=IF(Nonlabor!$E$23="Core",Nonlabor!$F$23,MAX(Nonlabor!$F$23,IF(Nonlabor!$E$23="AI",Assumptions!$D$24,Assumptions!$D$25)))),AND(Nonlabor!$H$23="Annual",MOD(C2349-IF(Nonlabor!$E$23="Core",Nonlabor!$F$23,MAX(Nonlabor!$F$23,IF(Nonlabor!$E$23="AI",Assumptions!$D$24,Assumptions!$D$25))),12)=0))),IF(Nonlabor!$I$23="Fixed",1,IF(Nonlabor!$I$23="Seats",ROUNDUP('Monthly Base'!I9,0),IF(Nonlabor!$I$23="Customers",'Monthly Base'!D9,IF(Nonlabor!$I$23="NewCustomers",'Monthly Base'!C9,IF(Nonlabor!$I$23="StorageGB",'Monthly Base'!G9,IF(Nonlabor!$I$23="LogGB",'Monthly Base'!H9,IF(Nonlabor!$I$23="RequestsM",'Monthly Base'!F9,IF(Nonlabor!$I$23="InputM",'Monthly Base'!D9*Assumptions!$D$22/1000000,IF(Nonlabor!$I$23="OutputM",'Monthly Base'!D9*Assumptions!$D$23/1000000,0))))))))),0)</f>
        <v>0</v>
      </c>
      <c r="F2349" s="10" t="n">
        <f aca="false">Nonlabor!$J$23*(1+Assumptions!$D$9)^INT((C2349-1)/12)</f>
        <v>300</v>
      </c>
      <c r="G2349" s="10" t="n">
        <f aca="false">E2349*F2349</f>
        <v>0</v>
      </c>
      <c r="H2349" s="10" t="n">
        <f aca="false">IF(OR(Nonlabor!$L$23="Quote required",Nonlabor!$L$23="Unverified"),G2349,0)</f>
        <v>0</v>
      </c>
      <c r="I2349" s="10" t="n">
        <f aca="false">IF(Nonlabor!$E$23="Core",0,G2349)</f>
        <v>0</v>
      </c>
      <c r="J2349" s="23" t="str">
        <f aca="false">Nonlabor!$B$23</f>
        <v>ONBOARD</v>
      </c>
    </row>
    <row r="2350" customFormat="false" ht="15" hidden="false" customHeight="false" outlineLevel="0" collapsed="false">
      <c r="A2350" s="6" t="s">
        <v>4</v>
      </c>
      <c r="B2350" s="6" t="s">
        <v>57</v>
      </c>
      <c r="C2350" s="6" t="n">
        <v>5</v>
      </c>
      <c r="D2350" s="25" t="n">
        <f aca="false">EDATE('Start Here'!$B$6,C2350-1)</f>
        <v>46447</v>
      </c>
      <c r="E2350" s="23" t="n">
        <f aca="false">IF(AND(OR(Nonlabor!$D$23="Both",Nonlabor!$D$23='Start Here'!$B$9),IF(Nonlabor!$E$23="Core",1,IF(Nonlabor!$E$23="AI",'Start Here'!$B$7,'Start Here'!$B$8))=1,C2350&gt;=IF(Nonlabor!$E$23="Core",Nonlabor!$F$23,MAX(Nonlabor!$F$23,IF(Nonlabor!$E$23="AI",Assumptions!$D$24,Assumptions!$D$25))),C2350&lt;=Nonlabor!$G$23,OR(Nonlabor!$H$23="Monthly",AND(Nonlabor!$H$23="Once",C2350=IF(Nonlabor!$E$23="Core",Nonlabor!$F$23,MAX(Nonlabor!$F$23,IF(Nonlabor!$E$23="AI",Assumptions!$D$24,Assumptions!$D$25)))),AND(Nonlabor!$H$23="Annual",MOD(C2350-IF(Nonlabor!$E$23="Core",Nonlabor!$F$23,MAX(Nonlabor!$F$23,IF(Nonlabor!$E$23="AI",Assumptions!$D$24,Assumptions!$D$25))),12)=0))),IF(Nonlabor!$I$23="Fixed",1,IF(Nonlabor!$I$23="Seats",ROUNDUP('Monthly Base'!I10,0),IF(Nonlabor!$I$23="Customers",'Monthly Base'!D10,IF(Nonlabor!$I$23="NewCustomers",'Monthly Base'!C10,IF(Nonlabor!$I$23="StorageGB",'Monthly Base'!G10,IF(Nonlabor!$I$23="LogGB",'Monthly Base'!H10,IF(Nonlabor!$I$23="RequestsM",'Monthly Base'!F10,IF(Nonlabor!$I$23="InputM",'Monthly Base'!D10*Assumptions!$D$22/1000000,IF(Nonlabor!$I$23="OutputM",'Monthly Base'!D10*Assumptions!$D$23/1000000,0))))))))),0)</f>
        <v>0</v>
      </c>
      <c r="F2350" s="10" t="n">
        <f aca="false">Nonlabor!$J$23*(1+Assumptions!$D$9)^INT((C2350-1)/12)</f>
        <v>300</v>
      </c>
      <c r="G2350" s="10" t="n">
        <f aca="false">E2350*F2350</f>
        <v>0</v>
      </c>
      <c r="H2350" s="10" t="n">
        <f aca="false">IF(OR(Nonlabor!$L$23="Quote required",Nonlabor!$L$23="Unverified"),G2350,0)</f>
        <v>0</v>
      </c>
      <c r="I2350" s="10" t="n">
        <f aca="false">IF(Nonlabor!$E$23="Core",0,G2350)</f>
        <v>0</v>
      </c>
      <c r="J2350" s="23" t="str">
        <f aca="false">Nonlabor!$B$23</f>
        <v>ONBOARD</v>
      </c>
    </row>
    <row r="2351" customFormat="false" ht="15" hidden="false" customHeight="false" outlineLevel="0" collapsed="false">
      <c r="A2351" s="6" t="s">
        <v>4</v>
      </c>
      <c r="B2351" s="6" t="s">
        <v>57</v>
      </c>
      <c r="C2351" s="6" t="n">
        <v>6</v>
      </c>
      <c r="D2351" s="25" t="n">
        <f aca="false">EDATE('Start Here'!$B$6,C2351-1)</f>
        <v>46478</v>
      </c>
      <c r="E2351" s="23" t="n">
        <f aca="false">IF(AND(OR(Nonlabor!$D$23="Both",Nonlabor!$D$23='Start Here'!$B$9),IF(Nonlabor!$E$23="Core",1,IF(Nonlabor!$E$23="AI",'Start Here'!$B$7,'Start Here'!$B$8))=1,C2351&gt;=IF(Nonlabor!$E$23="Core",Nonlabor!$F$23,MAX(Nonlabor!$F$23,IF(Nonlabor!$E$23="AI",Assumptions!$D$24,Assumptions!$D$25))),C2351&lt;=Nonlabor!$G$23,OR(Nonlabor!$H$23="Monthly",AND(Nonlabor!$H$23="Once",C2351=IF(Nonlabor!$E$23="Core",Nonlabor!$F$23,MAX(Nonlabor!$F$23,IF(Nonlabor!$E$23="AI",Assumptions!$D$24,Assumptions!$D$25)))),AND(Nonlabor!$H$23="Annual",MOD(C2351-IF(Nonlabor!$E$23="Core",Nonlabor!$F$23,MAX(Nonlabor!$F$23,IF(Nonlabor!$E$23="AI",Assumptions!$D$24,Assumptions!$D$25))),12)=0))),IF(Nonlabor!$I$23="Fixed",1,IF(Nonlabor!$I$23="Seats",ROUNDUP('Monthly Base'!I11,0),IF(Nonlabor!$I$23="Customers",'Monthly Base'!D11,IF(Nonlabor!$I$23="NewCustomers",'Monthly Base'!C11,IF(Nonlabor!$I$23="StorageGB",'Monthly Base'!G11,IF(Nonlabor!$I$23="LogGB",'Monthly Base'!H11,IF(Nonlabor!$I$23="RequestsM",'Monthly Base'!F11,IF(Nonlabor!$I$23="InputM",'Monthly Base'!D11*Assumptions!$D$22/1000000,IF(Nonlabor!$I$23="OutputM",'Monthly Base'!D11*Assumptions!$D$23/1000000,0))))))))),0)</f>
        <v>0</v>
      </c>
      <c r="F2351" s="10" t="n">
        <f aca="false">Nonlabor!$J$23*(1+Assumptions!$D$9)^INT((C2351-1)/12)</f>
        <v>300</v>
      </c>
      <c r="G2351" s="10" t="n">
        <f aca="false">E2351*F2351</f>
        <v>0</v>
      </c>
      <c r="H2351" s="10" t="n">
        <f aca="false">IF(OR(Nonlabor!$L$23="Quote required",Nonlabor!$L$23="Unverified"),G2351,0)</f>
        <v>0</v>
      </c>
      <c r="I2351" s="10" t="n">
        <f aca="false">IF(Nonlabor!$E$23="Core",0,G2351)</f>
        <v>0</v>
      </c>
      <c r="J2351" s="23" t="str">
        <f aca="false">Nonlabor!$B$23</f>
        <v>ONBOARD</v>
      </c>
    </row>
    <row r="2352" customFormat="false" ht="15" hidden="false" customHeight="false" outlineLevel="0" collapsed="false">
      <c r="A2352" s="6" t="s">
        <v>4</v>
      </c>
      <c r="B2352" s="6" t="s">
        <v>57</v>
      </c>
      <c r="C2352" s="6" t="n">
        <v>7</v>
      </c>
      <c r="D2352" s="25" t="n">
        <f aca="false">EDATE('Start Here'!$B$6,C2352-1)</f>
        <v>46508</v>
      </c>
      <c r="E2352" s="23" t="n">
        <f aca="false">IF(AND(OR(Nonlabor!$D$23="Both",Nonlabor!$D$23='Start Here'!$B$9),IF(Nonlabor!$E$23="Core",1,IF(Nonlabor!$E$23="AI",'Start Here'!$B$7,'Start Here'!$B$8))=1,C2352&gt;=IF(Nonlabor!$E$23="Core",Nonlabor!$F$23,MAX(Nonlabor!$F$23,IF(Nonlabor!$E$23="AI",Assumptions!$D$24,Assumptions!$D$25))),C2352&lt;=Nonlabor!$G$23,OR(Nonlabor!$H$23="Monthly",AND(Nonlabor!$H$23="Once",C2352=IF(Nonlabor!$E$23="Core",Nonlabor!$F$23,MAX(Nonlabor!$F$23,IF(Nonlabor!$E$23="AI",Assumptions!$D$24,Assumptions!$D$25)))),AND(Nonlabor!$H$23="Annual",MOD(C2352-IF(Nonlabor!$E$23="Core",Nonlabor!$F$23,MAX(Nonlabor!$F$23,IF(Nonlabor!$E$23="AI",Assumptions!$D$24,Assumptions!$D$25))),12)=0))),IF(Nonlabor!$I$23="Fixed",1,IF(Nonlabor!$I$23="Seats",ROUNDUP('Monthly Base'!I12,0),IF(Nonlabor!$I$23="Customers",'Monthly Base'!D12,IF(Nonlabor!$I$23="NewCustomers",'Monthly Base'!C12,IF(Nonlabor!$I$23="StorageGB",'Monthly Base'!G12,IF(Nonlabor!$I$23="LogGB",'Monthly Base'!H12,IF(Nonlabor!$I$23="RequestsM",'Monthly Base'!F12,IF(Nonlabor!$I$23="InputM",'Monthly Base'!D12*Assumptions!$D$22/1000000,IF(Nonlabor!$I$23="OutputM",'Monthly Base'!D12*Assumptions!$D$23/1000000,0))))))))),0)</f>
        <v>0</v>
      </c>
      <c r="F2352" s="10" t="n">
        <f aca="false">Nonlabor!$J$23*(1+Assumptions!$D$9)^INT((C2352-1)/12)</f>
        <v>300</v>
      </c>
      <c r="G2352" s="10" t="n">
        <f aca="false">E2352*F2352</f>
        <v>0</v>
      </c>
      <c r="H2352" s="10" t="n">
        <f aca="false">IF(OR(Nonlabor!$L$23="Quote required",Nonlabor!$L$23="Unverified"),G2352,0)</f>
        <v>0</v>
      </c>
      <c r="I2352" s="10" t="n">
        <f aca="false">IF(Nonlabor!$E$23="Core",0,G2352)</f>
        <v>0</v>
      </c>
      <c r="J2352" s="23" t="str">
        <f aca="false">Nonlabor!$B$23</f>
        <v>ONBOARD</v>
      </c>
    </row>
    <row r="2353" customFormat="false" ht="15" hidden="false" customHeight="false" outlineLevel="0" collapsed="false">
      <c r="A2353" s="6" t="s">
        <v>4</v>
      </c>
      <c r="B2353" s="6" t="s">
        <v>57</v>
      </c>
      <c r="C2353" s="6" t="n">
        <v>8</v>
      </c>
      <c r="D2353" s="25" t="n">
        <f aca="false">EDATE('Start Here'!$B$6,C2353-1)</f>
        <v>46539</v>
      </c>
      <c r="E2353" s="23" t="n">
        <f aca="false">IF(AND(OR(Nonlabor!$D$23="Both",Nonlabor!$D$23='Start Here'!$B$9),IF(Nonlabor!$E$23="Core",1,IF(Nonlabor!$E$23="AI",'Start Here'!$B$7,'Start Here'!$B$8))=1,C2353&gt;=IF(Nonlabor!$E$23="Core",Nonlabor!$F$23,MAX(Nonlabor!$F$23,IF(Nonlabor!$E$23="AI",Assumptions!$D$24,Assumptions!$D$25))),C2353&lt;=Nonlabor!$G$23,OR(Nonlabor!$H$23="Monthly",AND(Nonlabor!$H$23="Once",C2353=IF(Nonlabor!$E$23="Core",Nonlabor!$F$23,MAX(Nonlabor!$F$23,IF(Nonlabor!$E$23="AI",Assumptions!$D$24,Assumptions!$D$25)))),AND(Nonlabor!$H$23="Annual",MOD(C2353-IF(Nonlabor!$E$23="Core",Nonlabor!$F$23,MAX(Nonlabor!$F$23,IF(Nonlabor!$E$23="AI",Assumptions!$D$24,Assumptions!$D$25))),12)=0))),IF(Nonlabor!$I$23="Fixed",1,IF(Nonlabor!$I$23="Seats",ROUNDUP('Monthly Base'!I13,0),IF(Nonlabor!$I$23="Customers",'Monthly Base'!D13,IF(Nonlabor!$I$23="NewCustomers",'Monthly Base'!C13,IF(Nonlabor!$I$23="StorageGB",'Monthly Base'!G13,IF(Nonlabor!$I$23="LogGB",'Monthly Base'!H13,IF(Nonlabor!$I$23="RequestsM",'Monthly Base'!F13,IF(Nonlabor!$I$23="InputM",'Monthly Base'!D13*Assumptions!$D$22/1000000,IF(Nonlabor!$I$23="OutputM",'Monthly Base'!D13*Assumptions!$D$23/1000000,0))))))))),0)</f>
        <v>0</v>
      </c>
      <c r="F2353" s="10" t="n">
        <f aca="false">Nonlabor!$J$23*(1+Assumptions!$D$9)^INT((C2353-1)/12)</f>
        <v>300</v>
      </c>
      <c r="G2353" s="10" t="n">
        <f aca="false">E2353*F2353</f>
        <v>0</v>
      </c>
      <c r="H2353" s="10" t="n">
        <f aca="false">IF(OR(Nonlabor!$L$23="Quote required",Nonlabor!$L$23="Unverified"),G2353,0)</f>
        <v>0</v>
      </c>
      <c r="I2353" s="10" t="n">
        <f aca="false">IF(Nonlabor!$E$23="Core",0,G2353)</f>
        <v>0</v>
      </c>
      <c r="J2353" s="23" t="str">
        <f aca="false">Nonlabor!$B$23</f>
        <v>ONBOARD</v>
      </c>
    </row>
    <row r="2354" customFormat="false" ht="15" hidden="false" customHeight="false" outlineLevel="0" collapsed="false">
      <c r="A2354" s="6" t="s">
        <v>4</v>
      </c>
      <c r="B2354" s="6" t="s">
        <v>57</v>
      </c>
      <c r="C2354" s="6" t="n">
        <v>9</v>
      </c>
      <c r="D2354" s="25" t="n">
        <f aca="false">EDATE('Start Here'!$B$6,C2354-1)</f>
        <v>46569</v>
      </c>
      <c r="E2354" s="23" t="n">
        <f aca="false">IF(AND(OR(Nonlabor!$D$23="Both",Nonlabor!$D$23='Start Here'!$B$9),IF(Nonlabor!$E$23="Core",1,IF(Nonlabor!$E$23="AI",'Start Here'!$B$7,'Start Here'!$B$8))=1,C2354&gt;=IF(Nonlabor!$E$23="Core",Nonlabor!$F$23,MAX(Nonlabor!$F$23,IF(Nonlabor!$E$23="AI",Assumptions!$D$24,Assumptions!$D$25))),C2354&lt;=Nonlabor!$G$23,OR(Nonlabor!$H$23="Monthly",AND(Nonlabor!$H$23="Once",C2354=IF(Nonlabor!$E$23="Core",Nonlabor!$F$23,MAX(Nonlabor!$F$23,IF(Nonlabor!$E$23="AI",Assumptions!$D$24,Assumptions!$D$25)))),AND(Nonlabor!$H$23="Annual",MOD(C2354-IF(Nonlabor!$E$23="Core",Nonlabor!$F$23,MAX(Nonlabor!$F$23,IF(Nonlabor!$E$23="AI",Assumptions!$D$24,Assumptions!$D$25))),12)=0))),IF(Nonlabor!$I$23="Fixed",1,IF(Nonlabor!$I$23="Seats",ROUNDUP('Monthly Base'!I14,0),IF(Nonlabor!$I$23="Customers",'Monthly Base'!D14,IF(Nonlabor!$I$23="NewCustomers",'Monthly Base'!C14,IF(Nonlabor!$I$23="StorageGB",'Monthly Base'!G14,IF(Nonlabor!$I$23="LogGB",'Monthly Base'!H14,IF(Nonlabor!$I$23="RequestsM",'Monthly Base'!F14,IF(Nonlabor!$I$23="InputM",'Monthly Base'!D14*Assumptions!$D$22/1000000,IF(Nonlabor!$I$23="OutputM",'Monthly Base'!D14*Assumptions!$D$23/1000000,0))))))))),0)</f>
        <v>0</v>
      </c>
      <c r="F2354" s="10" t="n">
        <f aca="false">Nonlabor!$J$23*(1+Assumptions!$D$9)^INT((C2354-1)/12)</f>
        <v>300</v>
      </c>
      <c r="G2354" s="10" t="n">
        <f aca="false">E2354*F2354</f>
        <v>0</v>
      </c>
      <c r="H2354" s="10" t="n">
        <f aca="false">IF(OR(Nonlabor!$L$23="Quote required",Nonlabor!$L$23="Unverified"),G2354,0)</f>
        <v>0</v>
      </c>
      <c r="I2354" s="10" t="n">
        <f aca="false">IF(Nonlabor!$E$23="Core",0,G2354)</f>
        <v>0</v>
      </c>
      <c r="J2354" s="23" t="str">
        <f aca="false">Nonlabor!$B$23</f>
        <v>ONBOARD</v>
      </c>
    </row>
    <row r="2355" customFormat="false" ht="15" hidden="false" customHeight="false" outlineLevel="0" collapsed="false">
      <c r="A2355" s="6" t="s">
        <v>4</v>
      </c>
      <c r="B2355" s="6" t="s">
        <v>57</v>
      </c>
      <c r="C2355" s="6" t="n">
        <v>10</v>
      </c>
      <c r="D2355" s="25" t="n">
        <f aca="false">EDATE('Start Here'!$B$6,C2355-1)</f>
        <v>46600</v>
      </c>
      <c r="E2355" s="11" t="n">
        <f aca="false">IF(AND(OR(Nonlabor!$D$23="Both",Nonlabor!$D$23='Start Here'!$B$9),IF(Nonlabor!$E$23="Core",1,IF(Nonlabor!$E$23="AI",'Start Here'!$B$7,'Start Here'!$B$8))=1,C2355&gt;=IF(Nonlabor!$E$23="Core",Nonlabor!$F$23,MAX(Nonlabor!$F$23,IF(Nonlabor!$E$23="AI",Assumptions!$D$24,Assumptions!$D$25))),C2355&lt;=Nonlabor!$G$23,OR(Nonlabor!$H$23="Monthly",AND(Nonlabor!$H$23="Once",C2355=IF(Nonlabor!$E$23="Core",Nonlabor!$F$23,MAX(Nonlabor!$F$23,IF(Nonlabor!$E$23="AI",Assumptions!$D$24,Assumptions!$D$25)))),AND(Nonlabor!$H$23="Annual",MOD(C2355-IF(Nonlabor!$E$23="Core",Nonlabor!$F$23,MAX(Nonlabor!$F$23,IF(Nonlabor!$E$23="AI",Assumptions!$D$24,Assumptions!$D$25))),12)=0))),IF(Nonlabor!$I$23="Fixed",1,IF(Nonlabor!$I$23="Seats",ROUNDUP('Monthly Base'!I15,0),IF(Nonlabor!$I$23="Customers",'Monthly Base'!D15,IF(Nonlabor!$I$23="NewCustomers",'Monthly Base'!C15,IF(Nonlabor!$I$23="StorageGB",'Monthly Base'!G15,IF(Nonlabor!$I$23="LogGB",'Monthly Base'!H15,IF(Nonlabor!$I$23="RequestsM",'Monthly Base'!F15,IF(Nonlabor!$I$23="InputM",'Monthly Base'!D15*Assumptions!$D$22/1000000,IF(Nonlabor!$I$23="OutputM",'Monthly Base'!D15*Assumptions!$D$23/1000000,0))))))))),0)</f>
        <v>0</v>
      </c>
      <c r="F2355" s="10" t="n">
        <f aca="false">Nonlabor!$J$23*(1+Assumptions!$D$9)^INT((C2355-1)/12)</f>
        <v>300</v>
      </c>
      <c r="G2355" s="10" t="n">
        <f aca="false">E2355*F2355</f>
        <v>0</v>
      </c>
      <c r="H2355" s="10" t="n">
        <f aca="false">IF(OR(Nonlabor!$L$23="Quote required",Nonlabor!$L$23="Unverified"),G2355,0)</f>
        <v>0</v>
      </c>
      <c r="I2355" s="10" t="n">
        <f aca="false">IF(Nonlabor!$E$23="Core",0,G2355)</f>
        <v>0</v>
      </c>
      <c r="J2355" s="23" t="str">
        <f aca="false">Nonlabor!$B$23</f>
        <v>ONBOARD</v>
      </c>
    </row>
    <row r="2356" customFormat="false" ht="15" hidden="false" customHeight="false" outlineLevel="0" collapsed="false">
      <c r="A2356" s="6" t="s">
        <v>4</v>
      </c>
      <c r="B2356" s="6" t="s">
        <v>57</v>
      </c>
      <c r="C2356" s="6" t="n">
        <v>11</v>
      </c>
      <c r="D2356" s="25" t="n">
        <f aca="false">EDATE('Start Here'!$B$6,C2356-1)</f>
        <v>46631</v>
      </c>
      <c r="E2356" s="11" t="n">
        <f aca="false">IF(AND(OR(Nonlabor!$D$23="Both",Nonlabor!$D$23='Start Here'!$B$9),IF(Nonlabor!$E$23="Core",1,IF(Nonlabor!$E$23="AI",'Start Here'!$B$7,'Start Here'!$B$8))=1,C2356&gt;=IF(Nonlabor!$E$23="Core",Nonlabor!$F$23,MAX(Nonlabor!$F$23,IF(Nonlabor!$E$23="AI",Assumptions!$D$24,Assumptions!$D$25))),C2356&lt;=Nonlabor!$G$23,OR(Nonlabor!$H$23="Monthly",AND(Nonlabor!$H$23="Once",C2356=IF(Nonlabor!$E$23="Core",Nonlabor!$F$23,MAX(Nonlabor!$F$23,IF(Nonlabor!$E$23="AI",Assumptions!$D$24,Assumptions!$D$25)))),AND(Nonlabor!$H$23="Annual",MOD(C2356-IF(Nonlabor!$E$23="Core",Nonlabor!$F$23,MAX(Nonlabor!$F$23,IF(Nonlabor!$E$23="AI",Assumptions!$D$24,Assumptions!$D$25))),12)=0))),IF(Nonlabor!$I$23="Fixed",1,IF(Nonlabor!$I$23="Seats",ROUNDUP('Monthly Base'!I16,0),IF(Nonlabor!$I$23="Customers",'Monthly Base'!D16,IF(Nonlabor!$I$23="NewCustomers",'Monthly Base'!C16,IF(Nonlabor!$I$23="StorageGB",'Monthly Base'!G16,IF(Nonlabor!$I$23="LogGB",'Monthly Base'!H16,IF(Nonlabor!$I$23="RequestsM",'Monthly Base'!F16,IF(Nonlabor!$I$23="InputM",'Monthly Base'!D16*Assumptions!$D$22/1000000,IF(Nonlabor!$I$23="OutputM",'Monthly Base'!D16*Assumptions!$D$23/1000000,0))))))))),0)</f>
        <v>0</v>
      </c>
      <c r="F2356" s="10" t="n">
        <f aca="false">Nonlabor!$J$23*(1+Assumptions!$D$9)^INT((C2356-1)/12)</f>
        <v>300</v>
      </c>
      <c r="G2356" s="10" t="n">
        <f aca="false">E2356*F2356</f>
        <v>0</v>
      </c>
      <c r="H2356" s="10" t="n">
        <f aca="false">IF(OR(Nonlabor!$L$23="Quote required",Nonlabor!$L$23="Unverified"),G2356,0)</f>
        <v>0</v>
      </c>
      <c r="I2356" s="10" t="n">
        <f aca="false">IF(Nonlabor!$E$23="Core",0,G2356)</f>
        <v>0</v>
      </c>
      <c r="J2356" s="23" t="str">
        <f aca="false">Nonlabor!$B$23</f>
        <v>ONBOARD</v>
      </c>
    </row>
    <row r="2357" customFormat="false" ht="15" hidden="false" customHeight="false" outlineLevel="0" collapsed="false">
      <c r="A2357" s="6" t="s">
        <v>4</v>
      </c>
      <c r="B2357" s="6" t="s">
        <v>57</v>
      </c>
      <c r="C2357" s="6" t="n">
        <v>12</v>
      </c>
      <c r="D2357" s="25" t="n">
        <f aca="false">EDATE('Start Here'!$B$6,C2357-1)</f>
        <v>46661</v>
      </c>
      <c r="E2357" s="11" t="n">
        <f aca="false">IF(AND(OR(Nonlabor!$D$23="Both",Nonlabor!$D$23='Start Here'!$B$9),IF(Nonlabor!$E$23="Core",1,IF(Nonlabor!$E$23="AI",'Start Here'!$B$7,'Start Here'!$B$8))=1,C2357&gt;=IF(Nonlabor!$E$23="Core",Nonlabor!$F$23,MAX(Nonlabor!$F$23,IF(Nonlabor!$E$23="AI",Assumptions!$D$24,Assumptions!$D$25))),C2357&lt;=Nonlabor!$G$23,OR(Nonlabor!$H$23="Monthly",AND(Nonlabor!$H$23="Once",C2357=IF(Nonlabor!$E$23="Core",Nonlabor!$F$23,MAX(Nonlabor!$F$23,IF(Nonlabor!$E$23="AI",Assumptions!$D$24,Assumptions!$D$25)))),AND(Nonlabor!$H$23="Annual",MOD(C2357-IF(Nonlabor!$E$23="Core",Nonlabor!$F$23,MAX(Nonlabor!$F$23,IF(Nonlabor!$E$23="AI",Assumptions!$D$24,Assumptions!$D$25))),12)=0))),IF(Nonlabor!$I$23="Fixed",1,IF(Nonlabor!$I$23="Seats",ROUNDUP('Monthly Base'!I17,0),IF(Nonlabor!$I$23="Customers",'Monthly Base'!D17,IF(Nonlabor!$I$23="NewCustomers",'Monthly Base'!C17,IF(Nonlabor!$I$23="StorageGB",'Monthly Base'!G17,IF(Nonlabor!$I$23="LogGB",'Monthly Base'!H17,IF(Nonlabor!$I$23="RequestsM",'Monthly Base'!F17,IF(Nonlabor!$I$23="InputM",'Monthly Base'!D17*Assumptions!$D$22/1000000,IF(Nonlabor!$I$23="OutputM",'Monthly Base'!D17*Assumptions!$D$23/1000000,0))))))))),0)</f>
        <v>0</v>
      </c>
      <c r="F2357" s="10" t="n">
        <f aca="false">Nonlabor!$J$23*(1+Assumptions!$D$9)^INT((C2357-1)/12)</f>
        <v>300</v>
      </c>
      <c r="G2357" s="10" t="n">
        <f aca="false">E2357*F2357</f>
        <v>0</v>
      </c>
      <c r="H2357" s="10" t="n">
        <f aca="false">IF(OR(Nonlabor!$L$23="Quote required",Nonlabor!$L$23="Unverified"),G2357,0)</f>
        <v>0</v>
      </c>
      <c r="I2357" s="10" t="n">
        <f aca="false">IF(Nonlabor!$E$23="Core",0,G2357)</f>
        <v>0</v>
      </c>
      <c r="J2357" s="23" t="str">
        <f aca="false">Nonlabor!$B$23</f>
        <v>ONBOARD</v>
      </c>
    </row>
    <row r="2358" customFormat="false" ht="15" hidden="false" customHeight="false" outlineLevel="0" collapsed="false">
      <c r="A2358" s="6" t="s">
        <v>4</v>
      </c>
      <c r="B2358" s="6" t="s">
        <v>57</v>
      </c>
      <c r="C2358" s="6" t="n">
        <v>13</v>
      </c>
      <c r="D2358" s="25" t="n">
        <f aca="false">EDATE('Start Here'!$B$6,C2358-1)</f>
        <v>46692</v>
      </c>
      <c r="E2358" s="11" t="n">
        <f aca="false">IF(AND(OR(Nonlabor!$D$23="Both",Nonlabor!$D$23='Start Here'!$B$9),IF(Nonlabor!$E$23="Core",1,IF(Nonlabor!$E$23="AI",'Start Here'!$B$7,'Start Here'!$B$8))=1,C2358&gt;=IF(Nonlabor!$E$23="Core",Nonlabor!$F$23,MAX(Nonlabor!$F$23,IF(Nonlabor!$E$23="AI",Assumptions!$D$24,Assumptions!$D$25))),C2358&lt;=Nonlabor!$G$23,OR(Nonlabor!$H$23="Monthly",AND(Nonlabor!$H$23="Once",C2358=IF(Nonlabor!$E$23="Core",Nonlabor!$F$23,MAX(Nonlabor!$F$23,IF(Nonlabor!$E$23="AI",Assumptions!$D$24,Assumptions!$D$25)))),AND(Nonlabor!$H$23="Annual",MOD(C2358-IF(Nonlabor!$E$23="Core",Nonlabor!$F$23,MAX(Nonlabor!$F$23,IF(Nonlabor!$E$23="AI",Assumptions!$D$24,Assumptions!$D$25))),12)=0))),IF(Nonlabor!$I$23="Fixed",1,IF(Nonlabor!$I$23="Seats",ROUNDUP('Monthly Base'!I18,0),IF(Nonlabor!$I$23="Customers",'Monthly Base'!D18,IF(Nonlabor!$I$23="NewCustomers",'Monthly Base'!C18,IF(Nonlabor!$I$23="StorageGB",'Monthly Base'!G18,IF(Nonlabor!$I$23="LogGB",'Monthly Base'!H18,IF(Nonlabor!$I$23="RequestsM",'Monthly Base'!F18,IF(Nonlabor!$I$23="InputM",'Monthly Base'!D18*Assumptions!$D$22/1000000,IF(Nonlabor!$I$23="OutputM",'Monthly Base'!D18*Assumptions!$D$23/1000000,0))))))))),0)</f>
        <v>1</v>
      </c>
      <c r="F2358" s="10" t="n">
        <f aca="false">Nonlabor!$J$23*(1+Assumptions!$D$9)^INT((C2358-1)/12)</f>
        <v>309</v>
      </c>
      <c r="G2358" s="10" t="n">
        <f aca="false">E2358*F2358</f>
        <v>309</v>
      </c>
      <c r="H2358" s="10" t="n">
        <f aca="false">IF(OR(Nonlabor!$L$23="Quote required",Nonlabor!$L$23="Unverified"),G2358,0)</f>
        <v>0</v>
      </c>
      <c r="I2358" s="10" t="n">
        <f aca="false">IF(Nonlabor!$E$23="Core",0,G2358)</f>
        <v>0</v>
      </c>
      <c r="J2358" s="23" t="str">
        <f aca="false">Nonlabor!$B$23</f>
        <v>ONBOARD</v>
      </c>
    </row>
    <row r="2359" customFormat="false" ht="15" hidden="false" customHeight="false" outlineLevel="0" collapsed="false">
      <c r="A2359" s="6" t="s">
        <v>4</v>
      </c>
      <c r="B2359" s="6" t="s">
        <v>57</v>
      </c>
      <c r="C2359" s="6" t="n">
        <v>14</v>
      </c>
      <c r="D2359" s="25" t="n">
        <f aca="false">EDATE('Start Here'!$B$6,C2359-1)</f>
        <v>46722</v>
      </c>
      <c r="E2359" s="11" t="n">
        <f aca="false">IF(AND(OR(Nonlabor!$D$23="Both",Nonlabor!$D$23='Start Here'!$B$9),IF(Nonlabor!$E$23="Core",1,IF(Nonlabor!$E$23="AI",'Start Here'!$B$7,'Start Here'!$B$8))=1,C2359&gt;=IF(Nonlabor!$E$23="Core",Nonlabor!$F$23,MAX(Nonlabor!$F$23,IF(Nonlabor!$E$23="AI",Assumptions!$D$24,Assumptions!$D$25))),C2359&lt;=Nonlabor!$G$23,OR(Nonlabor!$H$23="Monthly",AND(Nonlabor!$H$23="Once",C2359=IF(Nonlabor!$E$23="Core",Nonlabor!$F$23,MAX(Nonlabor!$F$23,IF(Nonlabor!$E$23="AI",Assumptions!$D$24,Assumptions!$D$25)))),AND(Nonlabor!$H$23="Annual",MOD(C2359-IF(Nonlabor!$E$23="Core",Nonlabor!$F$23,MAX(Nonlabor!$F$23,IF(Nonlabor!$E$23="AI",Assumptions!$D$24,Assumptions!$D$25))),12)=0))),IF(Nonlabor!$I$23="Fixed",1,IF(Nonlabor!$I$23="Seats",ROUNDUP('Monthly Base'!I19,0),IF(Nonlabor!$I$23="Customers",'Monthly Base'!D19,IF(Nonlabor!$I$23="NewCustomers",'Monthly Base'!C19,IF(Nonlabor!$I$23="StorageGB",'Monthly Base'!G19,IF(Nonlabor!$I$23="LogGB",'Monthly Base'!H19,IF(Nonlabor!$I$23="RequestsM",'Monthly Base'!F19,IF(Nonlabor!$I$23="InputM",'Monthly Base'!D19*Assumptions!$D$22/1000000,IF(Nonlabor!$I$23="OutputM",'Monthly Base'!D19*Assumptions!$D$23/1000000,0))))))))),0)</f>
        <v>1</v>
      </c>
      <c r="F2359" s="10" t="n">
        <f aca="false">Nonlabor!$J$23*(1+Assumptions!$D$9)^INT((C2359-1)/12)</f>
        <v>309</v>
      </c>
      <c r="G2359" s="10" t="n">
        <f aca="false">E2359*F2359</f>
        <v>309</v>
      </c>
      <c r="H2359" s="10" t="n">
        <f aca="false">IF(OR(Nonlabor!$L$23="Quote required",Nonlabor!$L$23="Unverified"),G2359,0)</f>
        <v>0</v>
      </c>
      <c r="I2359" s="10" t="n">
        <f aca="false">IF(Nonlabor!$E$23="Core",0,G2359)</f>
        <v>0</v>
      </c>
      <c r="J2359" s="23" t="str">
        <f aca="false">Nonlabor!$B$23</f>
        <v>ONBOARD</v>
      </c>
    </row>
    <row r="2360" customFormat="false" ht="15" hidden="false" customHeight="false" outlineLevel="0" collapsed="false">
      <c r="A2360" s="6" t="s">
        <v>4</v>
      </c>
      <c r="B2360" s="6" t="s">
        <v>57</v>
      </c>
      <c r="C2360" s="6" t="n">
        <v>15</v>
      </c>
      <c r="D2360" s="25" t="n">
        <f aca="false">EDATE('Start Here'!$B$6,C2360-1)</f>
        <v>46753</v>
      </c>
      <c r="E2360" s="11" t="n">
        <f aca="false">IF(AND(OR(Nonlabor!$D$23="Both",Nonlabor!$D$23='Start Here'!$B$9),IF(Nonlabor!$E$23="Core",1,IF(Nonlabor!$E$23="AI",'Start Here'!$B$7,'Start Here'!$B$8))=1,C2360&gt;=IF(Nonlabor!$E$23="Core",Nonlabor!$F$23,MAX(Nonlabor!$F$23,IF(Nonlabor!$E$23="AI",Assumptions!$D$24,Assumptions!$D$25))),C2360&lt;=Nonlabor!$G$23,OR(Nonlabor!$H$23="Monthly",AND(Nonlabor!$H$23="Once",C2360=IF(Nonlabor!$E$23="Core",Nonlabor!$F$23,MAX(Nonlabor!$F$23,IF(Nonlabor!$E$23="AI",Assumptions!$D$24,Assumptions!$D$25)))),AND(Nonlabor!$H$23="Annual",MOD(C2360-IF(Nonlabor!$E$23="Core",Nonlabor!$F$23,MAX(Nonlabor!$F$23,IF(Nonlabor!$E$23="AI",Assumptions!$D$24,Assumptions!$D$25))),12)=0))),IF(Nonlabor!$I$23="Fixed",1,IF(Nonlabor!$I$23="Seats",ROUNDUP('Monthly Base'!I20,0),IF(Nonlabor!$I$23="Customers",'Monthly Base'!D20,IF(Nonlabor!$I$23="NewCustomers",'Monthly Base'!C20,IF(Nonlabor!$I$23="StorageGB",'Monthly Base'!G20,IF(Nonlabor!$I$23="LogGB",'Monthly Base'!H20,IF(Nonlabor!$I$23="RequestsM",'Monthly Base'!F20,IF(Nonlabor!$I$23="InputM",'Monthly Base'!D20*Assumptions!$D$22/1000000,IF(Nonlabor!$I$23="OutputM",'Monthly Base'!D20*Assumptions!$D$23/1000000,0))))))))),0)</f>
        <v>1</v>
      </c>
      <c r="F2360" s="10" t="n">
        <f aca="false">Nonlabor!$J$23*(1+Assumptions!$D$9)^INT((C2360-1)/12)</f>
        <v>309</v>
      </c>
      <c r="G2360" s="10" t="n">
        <f aca="false">E2360*F2360</f>
        <v>309</v>
      </c>
      <c r="H2360" s="10" t="n">
        <f aca="false">IF(OR(Nonlabor!$L$23="Quote required",Nonlabor!$L$23="Unverified"),G2360,0)</f>
        <v>0</v>
      </c>
      <c r="I2360" s="10" t="n">
        <f aca="false">IF(Nonlabor!$E$23="Core",0,G2360)</f>
        <v>0</v>
      </c>
      <c r="J2360" s="23" t="str">
        <f aca="false">Nonlabor!$B$23</f>
        <v>ONBOARD</v>
      </c>
    </row>
    <row r="2361" customFormat="false" ht="15" hidden="false" customHeight="false" outlineLevel="0" collapsed="false">
      <c r="A2361" s="6" t="s">
        <v>4</v>
      </c>
      <c r="B2361" s="6" t="s">
        <v>57</v>
      </c>
      <c r="C2361" s="6" t="n">
        <v>16</v>
      </c>
      <c r="D2361" s="25" t="n">
        <f aca="false">EDATE('Start Here'!$B$6,C2361-1)</f>
        <v>46784</v>
      </c>
      <c r="E2361" s="11" t="n">
        <f aca="false">IF(AND(OR(Nonlabor!$D$23="Both",Nonlabor!$D$23='Start Here'!$B$9),IF(Nonlabor!$E$23="Core",1,IF(Nonlabor!$E$23="AI",'Start Here'!$B$7,'Start Here'!$B$8))=1,C2361&gt;=IF(Nonlabor!$E$23="Core",Nonlabor!$F$23,MAX(Nonlabor!$F$23,IF(Nonlabor!$E$23="AI",Assumptions!$D$24,Assumptions!$D$25))),C2361&lt;=Nonlabor!$G$23,OR(Nonlabor!$H$23="Monthly",AND(Nonlabor!$H$23="Once",C2361=IF(Nonlabor!$E$23="Core",Nonlabor!$F$23,MAX(Nonlabor!$F$23,IF(Nonlabor!$E$23="AI",Assumptions!$D$24,Assumptions!$D$25)))),AND(Nonlabor!$H$23="Annual",MOD(C2361-IF(Nonlabor!$E$23="Core",Nonlabor!$F$23,MAX(Nonlabor!$F$23,IF(Nonlabor!$E$23="AI",Assumptions!$D$24,Assumptions!$D$25))),12)=0))),IF(Nonlabor!$I$23="Fixed",1,IF(Nonlabor!$I$23="Seats",ROUNDUP('Monthly Base'!I21,0),IF(Nonlabor!$I$23="Customers",'Monthly Base'!D21,IF(Nonlabor!$I$23="NewCustomers",'Monthly Base'!C21,IF(Nonlabor!$I$23="StorageGB",'Monthly Base'!G21,IF(Nonlabor!$I$23="LogGB",'Monthly Base'!H21,IF(Nonlabor!$I$23="RequestsM",'Monthly Base'!F21,IF(Nonlabor!$I$23="InputM",'Monthly Base'!D21*Assumptions!$D$22/1000000,IF(Nonlabor!$I$23="OutputM",'Monthly Base'!D21*Assumptions!$D$23/1000000,0))))))))),0)</f>
        <v>1</v>
      </c>
      <c r="F2361" s="10" t="n">
        <f aca="false">Nonlabor!$J$23*(1+Assumptions!$D$9)^INT((C2361-1)/12)</f>
        <v>309</v>
      </c>
      <c r="G2361" s="10" t="n">
        <f aca="false">E2361*F2361</f>
        <v>309</v>
      </c>
      <c r="H2361" s="10" t="n">
        <f aca="false">IF(OR(Nonlabor!$L$23="Quote required",Nonlabor!$L$23="Unverified"),G2361,0)</f>
        <v>0</v>
      </c>
      <c r="I2361" s="10" t="n">
        <f aca="false">IF(Nonlabor!$E$23="Core",0,G2361)</f>
        <v>0</v>
      </c>
      <c r="J2361" s="23" t="str">
        <f aca="false">Nonlabor!$B$23</f>
        <v>ONBOARD</v>
      </c>
    </row>
    <row r="2362" customFormat="false" ht="15" hidden="false" customHeight="false" outlineLevel="0" collapsed="false">
      <c r="A2362" s="6" t="s">
        <v>4</v>
      </c>
      <c r="B2362" s="6" t="s">
        <v>57</v>
      </c>
      <c r="C2362" s="6" t="n">
        <v>17</v>
      </c>
      <c r="D2362" s="25" t="n">
        <f aca="false">EDATE('Start Here'!$B$6,C2362-1)</f>
        <v>46813</v>
      </c>
      <c r="E2362" s="11" t="n">
        <f aca="false">IF(AND(OR(Nonlabor!$D$23="Both",Nonlabor!$D$23='Start Here'!$B$9),IF(Nonlabor!$E$23="Core",1,IF(Nonlabor!$E$23="AI",'Start Here'!$B$7,'Start Here'!$B$8))=1,C2362&gt;=IF(Nonlabor!$E$23="Core",Nonlabor!$F$23,MAX(Nonlabor!$F$23,IF(Nonlabor!$E$23="AI",Assumptions!$D$24,Assumptions!$D$25))),C2362&lt;=Nonlabor!$G$23,OR(Nonlabor!$H$23="Monthly",AND(Nonlabor!$H$23="Once",C2362=IF(Nonlabor!$E$23="Core",Nonlabor!$F$23,MAX(Nonlabor!$F$23,IF(Nonlabor!$E$23="AI",Assumptions!$D$24,Assumptions!$D$25)))),AND(Nonlabor!$H$23="Annual",MOD(C2362-IF(Nonlabor!$E$23="Core",Nonlabor!$F$23,MAX(Nonlabor!$F$23,IF(Nonlabor!$E$23="AI",Assumptions!$D$24,Assumptions!$D$25))),12)=0))),IF(Nonlabor!$I$23="Fixed",1,IF(Nonlabor!$I$23="Seats",ROUNDUP('Monthly Base'!I22,0),IF(Nonlabor!$I$23="Customers",'Monthly Base'!D22,IF(Nonlabor!$I$23="NewCustomers",'Monthly Base'!C22,IF(Nonlabor!$I$23="StorageGB",'Monthly Base'!G22,IF(Nonlabor!$I$23="LogGB",'Monthly Base'!H22,IF(Nonlabor!$I$23="RequestsM",'Monthly Base'!F22,IF(Nonlabor!$I$23="InputM",'Monthly Base'!D22*Assumptions!$D$22/1000000,IF(Nonlabor!$I$23="OutputM",'Monthly Base'!D22*Assumptions!$D$23/1000000,0))))))))),0)</f>
        <v>1</v>
      </c>
      <c r="F2362" s="10" t="n">
        <f aca="false">Nonlabor!$J$23*(1+Assumptions!$D$9)^INT((C2362-1)/12)</f>
        <v>309</v>
      </c>
      <c r="G2362" s="10" t="n">
        <f aca="false">E2362*F2362</f>
        <v>309</v>
      </c>
      <c r="H2362" s="10" t="n">
        <f aca="false">IF(OR(Nonlabor!$L$23="Quote required",Nonlabor!$L$23="Unverified"),G2362,0)</f>
        <v>0</v>
      </c>
      <c r="I2362" s="10" t="n">
        <f aca="false">IF(Nonlabor!$E$23="Core",0,G2362)</f>
        <v>0</v>
      </c>
      <c r="J2362" s="23" t="str">
        <f aca="false">Nonlabor!$B$23</f>
        <v>ONBOARD</v>
      </c>
    </row>
    <row r="2363" customFormat="false" ht="15" hidden="false" customHeight="false" outlineLevel="0" collapsed="false">
      <c r="A2363" s="6" t="s">
        <v>4</v>
      </c>
      <c r="B2363" s="6" t="s">
        <v>57</v>
      </c>
      <c r="C2363" s="6" t="n">
        <v>18</v>
      </c>
      <c r="D2363" s="25" t="n">
        <f aca="false">EDATE('Start Here'!$B$6,C2363-1)</f>
        <v>46844</v>
      </c>
      <c r="E2363" s="11" t="n">
        <f aca="false">IF(AND(OR(Nonlabor!$D$23="Both",Nonlabor!$D$23='Start Here'!$B$9),IF(Nonlabor!$E$23="Core",1,IF(Nonlabor!$E$23="AI",'Start Here'!$B$7,'Start Here'!$B$8))=1,C2363&gt;=IF(Nonlabor!$E$23="Core",Nonlabor!$F$23,MAX(Nonlabor!$F$23,IF(Nonlabor!$E$23="AI",Assumptions!$D$24,Assumptions!$D$25))),C2363&lt;=Nonlabor!$G$23,OR(Nonlabor!$H$23="Monthly",AND(Nonlabor!$H$23="Once",C2363=IF(Nonlabor!$E$23="Core",Nonlabor!$F$23,MAX(Nonlabor!$F$23,IF(Nonlabor!$E$23="AI",Assumptions!$D$24,Assumptions!$D$25)))),AND(Nonlabor!$H$23="Annual",MOD(C2363-IF(Nonlabor!$E$23="Core",Nonlabor!$F$23,MAX(Nonlabor!$F$23,IF(Nonlabor!$E$23="AI",Assumptions!$D$24,Assumptions!$D$25))),12)=0))),IF(Nonlabor!$I$23="Fixed",1,IF(Nonlabor!$I$23="Seats",ROUNDUP('Monthly Base'!I23,0),IF(Nonlabor!$I$23="Customers",'Monthly Base'!D23,IF(Nonlabor!$I$23="NewCustomers",'Monthly Base'!C23,IF(Nonlabor!$I$23="StorageGB",'Monthly Base'!G23,IF(Nonlabor!$I$23="LogGB",'Monthly Base'!H23,IF(Nonlabor!$I$23="RequestsM",'Monthly Base'!F23,IF(Nonlabor!$I$23="InputM",'Monthly Base'!D23*Assumptions!$D$22/1000000,IF(Nonlabor!$I$23="OutputM",'Monthly Base'!D23*Assumptions!$D$23/1000000,0))))))))),0)</f>
        <v>1</v>
      </c>
      <c r="F2363" s="10" t="n">
        <f aca="false">Nonlabor!$J$23*(1+Assumptions!$D$9)^INT((C2363-1)/12)</f>
        <v>309</v>
      </c>
      <c r="G2363" s="10" t="n">
        <f aca="false">E2363*F2363</f>
        <v>309</v>
      </c>
      <c r="H2363" s="10" t="n">
        <f aca="false">IF(OR(Nonlabor!$L$23="Quote required",Nonlabor!$L$23="Unverified"),G2363,0)</f>
        <v>0</v>
      </c>
      <c r="I2363" s="10" t="n">
        <f aca="false">IF(Nonlabor!$E$23="Core",0,G2363)</f>
        <v>0</v>
      </c>
      <c r="J2363" s="23" t="str">
        <f aca="false">Nonlabor!$B$23</f>
        <v>ONBOARD</v>
      </c>
    </row>
    <row r="2364" customFormat="false" ht="15" hidden="false" customHeight="false" outlineLevel="0" collapsed="false">
      <c r="A2364" s="6" t="s">
        <v>4</v>
      </c>
      <c r="B2364" s="6" t="s">
        <v>57</v>
      </c>
      <c r="C2364" s="6" t="n">
        <v>19</v>
      </c>
      <c r="D2364" s="25" t="n">
        <f aca="false">EDATE('Start Here'!$B$6,C2364-1)</f>
        <v>46874</v>
      </c>
      <c r="E2364" s="11" t="n">
        <f aca="false">IF(AND(OR(Nonlabor!$D$23="Both",Nonlabor!$D$23='Start Here'!$B$9),IF(Nonlabor!$E$23="Core",1,IF(Nonlabor!$E$23="AI",'Start Here'!$B$7,'Start Here'!$B$8))=1,C2364&gt;=IF(Nonlabor!$E$23="Core",Nonlabor!$F$23,MAX(Nonlabor!$F$23,IF(Nonlabor!$E$23="AI",Assumptions!$D$24,Assumptions!$D$25))),C2364&lt;=Nonlabor!$G$23,OR(Nonlabor!$H$23="Monthly",AND(Nonlabor!$H$23="Once",C2364=IF(Nonlabor!$E$23="Core",Nonlabor!$F$23,MAX(Nonlabor!$F$23,IF(Nonlabor!$E$23="AI",Assumptions!$D$24,Assumptions!$D$25)))),AND(Nonlabor!$H$23="Annual",MOD(C2364-IF(Nonlabor!$E$23="Core",Nonlabor!$F$23,MAX(Nonlabor!$F$23,IF(Nonlabor!$E$23="AI",Assumptions!$D$24,Assumptions!$D$25))),12)=0))),IF(Nonlabor!$I$23="Fixed",1,IF(Nonlabor!$I$23="Seats",ROUNDUP('Monthly Base'!I24,0),IF(Nonlabor!$I$23="Customers",'Monthly Base'!D24,IF(Nonlabor!$I$23="NewCustomers",'Monthly Base'!C24,IF(Nonlabor!$I$23="StorageGB",'Monthly Base'!G24,IF(Nonlabor!$I$23="LogGB",'Monthly Base'!H24,IF(Nonlabor!$I$23="RequestsM",'Monthly Base'!F24,IF(Nonlabor!$I$23="InputM",'Monthly Base'!D24*Assumptions!$D$22/1000000,IF(Nonlabor!$I$23="OutputM",'Monthly Base'!D24*Assumptions!$D$23/1000000,0))))))))),0)</f>
        <v>1</v>
      </c>
      <c r="F2364" s="10" t="n">
        <f aca="false">Nonlabor!$J$23*(1+Assumptions!$D$9)^INT((C2364-1)/12)</f>
        <v>309</v>
      </c>
      <c r="G2364" s="10" t="n">
        <f aca="false">E2364*F2364</f>
        <v>309</v>
      </c>
      <c r="H2364" s="10" t="n">
        <f aca="false">IF(OR(Nonlabor!$L$23="Quote required",Nonlabor!$L$23="Unverified"),G2364,0)</f>
        <v>0</v>
      </c>
      <c r="I2364" s="10" t="n">
        <f aca="false">IF(Nonlabor!$E$23="Core",0,G2364)</f>
        <v>0</v>
      </c>
      <c r="J2364" s="23" t="str">
        <f aca="false">Nonlabor!$B$23</f>
        <v>ONBOARD</v>
      </c>
    </row>
    <row r="2365" customFormat="false" ht="15" hidden="false" customHeight="false" outlineLevel="0" collapsed="false">
      <c r="A2365" s="6" t="s">
        <v>4</v>
      </c>
      <c r="B2365" s="6" t="s">
        <v>57</v>
      </c>
      <c r="C2365" s="6" t="n">
        <v>20</v>
      </c>
      <c r="D2365" s="25" t="n">
        <f aca="false">EDATE('Start Here'!$B$6,C2365-1)</f>
        <v>46905</v>
      </c>
      <c r="E2365" s="11" t="n">
        <f aca="false">IF(AND(OR(Nonlabor!$D$23="Both",Nonlabor!$D$23='Start Here'!$B$9),IF(Nonlabor!$E$23="Core",1,IF(Nonlabor!$E$23="AI",'Start Here'!$B$7,'Start Here'!$B$8))=1,C2365&gt;=IF(Nonlabor!$E$23="Core",Nonlabor!$F$23,MAX(Nonlabor!$F$23,IF(Nonlabor!$E$23="AI",Assumptions!$D$24,Assumptions!$D$25))),C2365&lt;=Nonlabor!$G$23,OR(Nonlabor!$H$23="Monthly",AND(Nonlabor!$H$23="Once",C2365=IF(Nonlabor!$E$23="Core",Nonlabor!$F$23,MAX(Nonlabor!$F$23,IF(Nonlabor!$E$23="AI",Assumptions!$D$24,Assumptions!$D$25)))),AND(Nonlabor!$H$23="Annual",MOD(C2365-IF(Nonlabor!$E$23="Core",Nonlabor!$F$23,MAX(Nonlabor!$F$23,IF(Nonlabor!$E$23="AI",Assumptions!$D$24,Assumptions!$D$25))),12)=0))),IF(Nonlabor!$I$23="Fixed",1,IF(Nonlabor!$I$23="Seats",ROUNDUP('Monthly Base'!I25,0),IF(Nonlabor!$I$23="Customers",'Monthly Base'!D25,IF(Nonlabor!$I$23="NewCustomers",'Monthly Base'!C25,IF(Nonlabor!$I$23="StorageGB",'Monthly Base'!G25,IF(Nonlabor!$I$23="LogGB",'Monthly Base'!H25,IF(Nonlabor!$I$23="RequestsM",'Monthly Base'!F25,IF(Nonlabor!$I$23="InputM",'Monthly Base'!D25*Assumptions!$D$22/1000000,IF(Nonlabor!$I$23="OutputM",'Monthly Base'!D25*Assumptions!$D$23/1000000,0))))))))),0)</f>
        <v>1</v>
      </c>
      <c r="F2365" s="10" t="n">
        <f aca="false">Nonlabor!$J$23*(1+Assumptions!$D$9)^INT((C2365-1)/12)</f>
        <v>309</v>
      </c>
      <c r="G2365" s="10" t="n">
        <f aca="false">E2365*F2365</f>
        <v>309</v>
      </c>
      <c r="H2365" s="10" t="n">
        <f aca="false">IF(OR(Nonlabor!$L$23="Quote required",Nonlabor!$L$23="Unverified"),G2365,0)</f>
        <v>0</v>
      </c>
      <c r="I2365" s="10" t="n">
        <f aca="false">IF(Nonlabor!$E$23="Core",0,G2365)</f>
        <v>0</v>
      </c>
      <c r="J2365" s="23" t="str">
        <f aca="false">Nonlabor!$B$23</f>
        <v>ONBOARD</v>
      </c>
    </row>
    <row r="2366" customFormat="false" ht="15" hidden="false" customHeight="false" outlineLevel="0" collapsed="false">
      <c r="A2366" s="6" t="s">
        <v>4</v>
      </c>
      <c r="B2366" s="6" t="s">
        <v>57</v>
      </c>
      <c r="C2366" s="6" t="n">
        <v>21</v>
      </c>
      <c r="D2366" s="25" t="n">
        <f aca="false">EDATE('Start Here'!$B$6,C2366-1)</f>
        <v>46935</v>
      </c>
      <c r="E2366" s="11" t="n">
        <f aca="false">IF(AND(OR(Nonlabor!$D$23="Both",Nonlabor!$D$23='Start Here'!$B$9),IF(Nonlabor!$E$23="Core",1,IF(Nonlabor!$E$23="AI",'Start Here'!$B$7,'Start Here'!$B$8))=1,C2366&gt;=IF(Nonlabor!$E$23="Core",Nonlabor!$F$23,MAX(Nonlabor!$F$23,IF(Nonlabor!$E$23="AI",Assumptions!$D$24,Assumptions!$D$25))),C2366&lt;=Nonlabor!$G$23,OR(Nonlabor!$H$23="Monthly",AND(Nonlabor!$H$23="Once",C2366=IF(Nonlabor!$E$23="Core",Nonlabor!$F$23,MAX(Nonlabor!$F$23,IF(Nonlabor!$E$23="AI",Assumptions!$D$24,Assumptions!$D$25)))),AND(Nonlabor!$H$23="Annual",MOD(C2366-IF(Nonlabor!$E$23="Core",Nonlabor!$F$23,MAX(Nonlabor!$F$23,IF(Nonlabor!$E$23="AI",Assumptions!$D$24,Assumptions!$D$25))),12)=0))),IF(Nonlabor!$I$23="Fixed",1,IF(Nonlabor!$I$23="Seats",ROUNDUP('Monthly Base'!I26,0),IF(Nonlabor!$I$23="Customers",'Monthly Base'!D26,IF(Nonlabor!$I$23="NewCustomers",'Monthly Base'!C26,IF(Nonlabor!$I$23="StorageGB",'Monthly Base'!G26,IF(Nonlabor!$I$23="LogGB",'Monthly Base'!H26,IF(Nonlabor!$I$23="RequestsM",'Monthly Base'!F26,IF(Nonlabor!$I$23="InputM",'Monthly Base'!D26*Assumptions!$D$22/1000000,IF(Nonlabor!$I$23="OutputM",'Monthly Base'!D26*Assumptions!$D$23/1000000,0))))))))),0)</f>
        <v>1</v>
      </c>
      <c r="F2366" s="10" t="n">
        <f aca="false">Nonlabor!$J$23*(1+Assumptions!$D$9)^INT((C2366-1)/12)</f>
        <v>309</v>
      </c>
      <c r="G2366" s="10" t="n">
        <f aca="false">E2366*F2366</f>
        <v>309</v>
      </c>
      <c r="H2366" s="10" t="n">
        <f aca="false">IF(OR(Nonlabor!$L$23="Quote required",Nonlabor!$L$23="Unverified"),G2366,0)</f>
        <v>0</v>
      </c>
      <c r="I2366" s="10" t="n">
        <f aca="false">IF(Nonlabor!$E$23="Core",0,G2366)</f>
        <v>0</v>
      </c>
      <c r="J2366" s="23" t="str">
        <f aca="false">Nonlabor!$B$23</f>
        <v>ONBOARD</v>
      </c>
    </row>
    <row r="2367" customFormat="false" ht="15" hidden="false" customHeight="false" outlineLevel="0" collapsed="false">
      <c r="A2367" s="6" t="s">
        <v>4</v>
      </c>
      <c r="B2367" s="6" t="s">
        <v>57</v>
      </c>
      <c r="C2367" s="6" t="n">
        <v>22</v>
      </c>
      <c r="D2367" s="25" t="n">
        <f aca="false">EDATE('Start Here'!$B$6,C2367-1)</f>
        <v>46966</v>
      </c>
      <c r="E2367" s="11" t="n">
        <f aca="false">IF(AND(OR(Nonlabor!$D$23="Both",Nonlabor!$D$23='Start Here'!$B$9),IF(Nonlabor!$E$23="Core",1,IF(Nonlabor!$E$23="AI",'Start Here'!$B$7,'Start Here'!$B$8))=1,C2367&gt;=IF(Nonlabor!$E$23="Core",Nonlabor!$F$23,MAX(Nonlabor!$F$23,IF(Nonlabor!$E$23="AI",Assumptions!$D$24,Assumptions!$D$25))),C2367&lt;=Nonlabor!$G$23,OR(Nonlabor!$H$23="Monthly",AND(Nonlabor!$H$23="Once",C2367=IF(Nonlabor!$E$23="Core",Nonlabor!$F$23,MAX(Nonlabor!$F$23,IF(Nonlabor!$E$23="AI",Assumptions!$D$24,Assumptions!$D$25)))),AND(Nonlabor!$H$23="Annual",MOD(C2367-IF(Nonlabor!$E$23="Core",Nonlabor!$F$23,MAX(Nonlabor!$F$23,IF(Nonlabor!$E$23="AI",Assumptions!$D$24,Assumptions!$D$25))),12)=0))),IF(Nonlabor!$I$23="Fixed",1,IF(Nonlabor!$I$23="Seats",ROUNDUP('Monthly Base'!I27,0),IF(Nonlabor!$I$23="Customers",'Monthly Base'!D27,IF(Nonlabor!$I$23="NewCustomers",'Monthly Base'!C27,IF(Nonlabor!$I$23="StorageGB",'Monthly Base'!G27,IF(Nonlabor!$I$23="LogGB",'Monthly Base'!H27,IF(Nonlabor!$I$23="RequestsM",'Monthly Base'!F27,IF(Nonlabor!$I$23="InputM",'Monthly Base'!D27*Assumptions!$D$22/1000000,IF(Nonlabor!$I$23="OutputM",'Monthly Base'!D27*Assumptions!$D$23/1000000,0))))))))),0)</f>
        <v>1</v>
      </c>
      <c r="F2367" s="10" t="n">
        <f aca="false">Nonlabor!$J$23*(1+Assumptions!$D$9)^INT((C2367-1)/12)</f>
        <v>309</v>
      </c>
      <c r="G2367" s="10" t="n">
        <f aca="false">E2367*F2367</f>
        <v>309</v>
      </c>
      <c r="H2367" s="10" t="n">
        <f aca="false">IF(OR(Nonlabor!$L$23="Quote required",Nonlabor!$L$23="Unverified"),G2367,0)</f>
        <v>0</v>
      </c>
      <c r="I2367" s="10" t="n">
        <f aca="false">IF(Nonlabor!$E$23="Core",0,G2367)</f>
        <v>0</v>
      </c>
      <c r="J2367" s="23" t="str">
        <f aca="false">Nonlabor!$B$23</f>
        <v>ONBOARD</v>
      </c>
    </row>
    <row r="2368" customFormat="false" ht="15" hidden="false" customHeight="false" outlineLevel="0" collapsed="false">
      <c r="A2368" s="6" t="s">
        <v>4</v>
      </c>
      <c r="B2368" s="6" t="s">
        <v>57</v>
      </c>
      <c r="C2368" s="6" t="n">
        <v>23</v>
      </c>
      <c r="D2368" s="25" t="n">
        <f aca="false">EDATE('Start Here'!$B$6,C2368-1)</f>
        <v>46997</v>
      </c>
      <c r="E2368" s="11" t="n">
        <f aca="false">IF(AND(OR(Nonlabor!$D$23="Both",Nonlabor!$D$23='Start Here'!$B$9),IF(Nonlabor!$E$23="Core",1,IF(Nonlabor!$E$23="AI",'Start Here'!$B$7,'Start Here'!$B$8))=1,C2368&gt;=IF(Nonlabor!$E$23="Core",Nonlabor!$F$23,MAX(Nonlabor!$F$23,IF(Nonlabor!$E$23="AI",Assumptions!$D$24,Assumptions!$D$25))),C2368&lt;=Nonlabor!$G$23,OR(Nonlabor!$H$23="Monthly",AND(Nonlabor!$H$23="Once",C2368=IF(Nonlabor!$E$23="Core",Nonlabor!$F$23,MAX(Nonlabor!$F$23,IF(Nonlabor!$E$23="AI",Assumptions!$D$24,Assumptions!$D$25)))),AND(Nonlabor!$H$23="Annual",MOD(C2368-IF(Nonlabor!$E$23="Core",Nonlabor!$F$23,MAX(Nonlabor!$F$23,IF(Nonlabor!$E$23="AI",Assumptions!$D$24,Assumptions!$D$25))),12)=0))),IF(Nonlabor!$I$23="Fixed",1,IF(Nonlabor!$I$23="Seats",ROUNDUP('Monthly Base'!I28,0),IF(Nonlabor!$I$23="Customers",'Monthly Base'!D28,IF(Nonlabor!$I$23="NewCustomers",'Monthly Base'!C28,IF(Nonlabor!$I$23="StorageGB",'Monthly Base'!G28,IF(Nonlabor!$I$23="LogGB",'Monthly Base'!H28,IF(Nonlabor!$I$23="RequestsM",'Monthly Base'!F28,IF(Nonlabor!$I$23="InputM",'Monthly Base'!D28*Assumptions!$D$22/1000000,IF(Nonlabor!$I$23="OutputM",'Monthly Base'!D28*Assumptions!$D$23/1000000,0))))))))),0)</f>
        <v>1</v>
      </c>
      <c r="F2368" s="10" t="n">
        <f aca="false">Nonlabor!$J$23*(1+Assumptions!$D$9)^INT((C2368-1)/12)</f>
        <v>309</v>
      </c>
      <c r="G2368" s="10" t="n">
        <f aca="false">E2368*F2368</f>
        <v>309</v>
      </c>
      <c r="H2368" s="10" t="n">
        <f aca="false">IF(OR(Nonlabor!$L$23="Quote required",Nonlabor!$L$23="Unverified"),G2368,0)</f>
        <v>0</v>
      </c>
      <c r="I2368" s="10" t="n">
        <f aca="false">IF(Nonlabor!$E$23="Core",0,G2368)</f>
        <v>0</v>
      </c>
      <c r="J2368" s="23" t="str">
        <f aca="false">Nonlabor!$B$23</f>
        <v>ONBOARD</v>
      </c>
    </row>
    <row r="2369" customFormat="false" ht="15" hidden="false" customHeight="false" outlineLevel="0" collapsed="false">
      <c r="A2369" s="6" t="s">
        <v>4</v>
      </c>
      <c r="B2369" s="6" t="s">
        <v>57</v>
      </c>
      <c r="C2369" s="6" t="n">
        <v>24</v>
      </c>
      <c r="D2369" s="25" t="n">
        <f aca="false">EDATE('Start Here'!$B$6,C2369-1)</f>
        <v>47027</v>
      </c>
      <c r="E2369" s="11" t="n">
        <f aca="false">IF(AND(OR(Nonlabor!$D$23="Both",Nonlabor!$D$23='Start Here'!$B$9),IF(Nonlabor!$E$23="Core",1,IF(Nonlabor!$E$23="AI",'Start Here'!$B$7,'Start Here'!$B$8))=1,C2369&gt;=IF(Nonlabor!$E$23="Core",Nonlabor!$F$23,MAX(Nonlabor!$F$23,IF(Nonlabor!$E$23="AI",Assumptions!$D$24,Assumptions!$D$25))),C2369&lt;=Nonlabor!$G$23,OR(Nonlabor!$H$23="Monthly",AND(Nonlabor!$H$23="Once",C2369=IF(Nonlabor!$E$23="Core",Nonlabor!$F$23,MAX(Nonlabor!$F$23,IF(Nonlabor!$E$23="AI",Assumptions!$D$24,Assumptions!$D$25)))),AND(Nonlabor!$H$23="Annual",MOD(C2369-IF(Nonlabor!$E$23="Core",Nonlabor!$F$23,MAX(Nonlabor!$F$23,IF(Nonlabor!$E$23="AI",Assumptions!$D$24,Assumptions!$D$25))),12)=0))),IF(Nonlabor!$I$23="Fixed",1,IF(Nonlabor!$I$23="Seats",ROUNDUP('Monthly Base'!I29,0),IF(Nonlabor!$I$23="Customers",'Monthly Base'!D29,IF(Nonlabor!$I$23="NewCustomers",'Monthly Base'!C29,IF(Nonlabor!$I$23="StorageGB",'Monthly Base'!G29,IF(Nonlabor!$I$23="LogGB",'Monthly Base'!H29,IF(Nonlabor!$I$23="RequestsM",'Monthly Base'!F29,IF(Nonlabor!$I$23="InputM",'Monthly Base'!D29*Assumptions!$D$22/1000000,IF(Nonlabor!$I$23="OutputM",'Monthly Base'!D29*Assumptions!$D$23/1000000,0))))))))),0)</f>
        <v>1</v>
      </c>
      <c r="F2369" s="10" t="n">
        <f aca="false">Nonlabor!$J$23*(1+Assumptions!$D$9)^INT((C2369-1)/12)</f>
        <v>309</v>
      </c>
      <c r="G2369" s="10" t="n">
        <f aca="false">E2369*F2369</f>
        <v>309</v>
      </c>
      <c r="H2369" s="10" t="n">
        <f aca="false">IF(OR(Nonlabor!$L$23="Quote required",Nonlabor!$L$23="Unverified"),G2369,0)</f>
        <v>0</v>
      </c>
      <c r="I2369" s="10" t="n">
        <f aca="false">IF(Nonlabor!$E$23="Core",0,G2369)</f>
        <v>0</v>
      </c>
      <c r="J2369" s="23" t="str">
        <f aca="false">Nonlabor!$B$23</f>
        <v>ONBOARD</v>
      </c>
    </row>
    <row r="2370" customFormat="false" ht="15" hidden="false" customHeight="false" outlineLevel="0" collapsed="false">
      <c r="A2370" s="6" t="s">
        <v>4</v>
      </c>
      <c r="B2370" s="6" t="s">
        <v>57</v>
      </c>
      <c r="C2370" s="6" t="n">
        <v>25</v>
      </c>
      <c r="D2370" s="25" t="n">
        <f aca="false">EDATE('Start Here'!$B$6,C2370-1)</f>
        <v>47058</v>
      </c>
      <c r="E2370" s="11" t="n">
        <f aca="false">IF(AND(OR(Nonlabor!$D$23="Both",Nonlabor!$D$23='Start Here'!$B$9),IF(Nonlabor!$E$23="Core",1,IF(Nonlabor!$E$23="AI",'Start Here'!$B$7,'Start Here'!$B$8))=1,C2370&gt;=IF(Nonlabor!$E$23="Core",Nonlabor!$F$23,MAX(Nonlabor!$F$23,IF(Nonlabor!$E$23="AI",Assumptions!$D$24,Assumptions!$D$25))),C2370&lt;=Nonlabor!$G$23,OR(Nonlabor!$H$23="Monthly",AND(Nonlabor!$H$23="Once",C2370=IF(Nonlabor!$E$23="Core",Nonlabor!$F$23,MAX(Nonlabor!$F$23,IF(Nonlabor!$E$23="AI",Assumptions!$D$24,Assumptions!$D$25)))),AND(Nonlabor!$H$23="Annual",MOD(C2370-IF(Nonlabor!$E$23="Core",Nonlabor!$F$23,MAX(Nonlabor!$F$23,IF(Nonlabor!$E$23="AI",Assumptions!$D$24,Assumptions!$D$25))),12)=0))),IF(Nonlabor!$I$23="Fixed",1,IF(Nonlabor!$I$23="Seats",ROUNDUP('Monthly Base'!I30,0),IF(Nonlabor!$I$23="Customers",'Monthly Base'!D30,IF(Nonlabor!$I$23="NewCustomers",'Monthly Base'!C30,IF(Nonlabor!$I$23="StorageGB",'Monthly Base'!G30,IF(Nonlabor!$I$23="LogGB",'Monthly Base'!H30,IF(Nonlabor!$I$23="RequestsM",'Monthly Base'!F30,IF(Nonlabor!$I$23="InputM",'Monthly Base'!D30*Assumptions!$D$22/1000000,IF(Nonlabor!$I$23="OutputM",'Monthly Base'!D30*Assumptions!$D$23/1000000,0))))))))),0)</f>
        <v>1.5</v>
      </c>
      <c r="F2370" s="10" t="n">
        <f aca="false">Nonlabor!$J$23*(1+Assumptions!$D$9)^INT((C2370-1)/12)</f>
        <v>318.27</v>
      </c>
      <c r="G2370" s="10" t="n">
        <f aca="false">E2370*F2370</f>
        <v>477.405</v>
      </c>
      <c r="H2370" s="10" t="n">
        <f aca="false">IF(OR(Nonlabor!$L$23="Quote required",Nonlabor!$L$23="Unverified"),G2370,0)</f>
        <v>0</v>
      </c>
      <c r="I2370" s="10" t="n">
        <f aca="false">IF(Nonlabor!$E$23="Core",0,G2370)</f>
        <v>0</v>
      </c>
      <c r="J2370" s="23" t="str">
        <f aca="false">Nonlabor!$B$23</f>
        <v>ONBOARD</v>
      </c>
    </row>
    <row r="2371" customFormat="false" ht="15" hidden="false" customHeight="false" outlineLevel="0" collapsed="false">
      <c r="A2371" s="6" t="s">
        <v>4</v>
      </c>
      <c r="B2371" s="6" t="s">
        <v>57</v>
      </c>
      <c r="C2371" s="6" t="n">
        <v>26</v>
      </c>
      <c r="D2371" s="25" t="n">
        <f aca="false">EDATE('Start Here'!$B$6,C2371-1)</f>
        <v>47088</v>
      </c>
      <c r="E2371" s="11" t="n">
        <f aca="false">IF(AND(OR(Nonlabor!$D$23="Both",Nonlabor!$D$23='Start Here'!$B$9),IF(Nonlabor!$E$23="Core",1,IF(Nonlabor!$E$23="AI",'Start Here'!$B$7,'Start Here'!$B$8))=1,C2371&gt;=IF(Nonlabor!$E$23="Core",Nonlabor!$F$23,MAX(Nonlabor!$F$23,IF(Nonlabor!$E$23="AI",Assumptions!$D$24,Assumptions!$D$25))),C2371&lt;=Nonlabor!$G$23,OR(Nonlabor!$H$23="Monthly",AND(Nonlabor!$H$23="Once",C2371=IF(Nonlabor!$E$23="Core",Nonlabor!$F$23,MAX(Nonlabor!$F$23,IF(Nonlabor!$E$23="AI",Assumptions!$D$24,Assumptions!$D$25)))),AND(Nonlabor!$H$23="Annual",MOD(C2371-IF(Nonlabor!$E$23="Core",Nonlabor!$F$23,MAX(Nonlabor!$F$23,IF(Nonlabor!$E$23="AI",Assumptions!$D$24,Assumptions!$D$25))),12)=0))),IF(Nonlabor!$I$23="Fixed",1,IF(Nonlabor!$I$23="Seats",ROUNDUP('Monthly Base'!I31,0),IF(Nonlabor!$I$23="Customers",'Monthly Base'!D31,IF(Nonlabor!$I$23="NewCustomers",'Monthly Base'!C31,IF(Nonlabor!$I$23="StorageGB",'Monthly Base'!G31,IF(Nonlabor!$I$23="LogGB",'Monthly Base'!H31,IF(Nonlabor!$I$23="RequestsM",'Monthly Base'!F31,IF(Nonlabor!$I$23="InputM",'Monthly Base'!D31*Assumptions!$D$22/1000000,IF(Nonlabor!$I$23="OutputM",'Monthly Base'!D31*Assumptions!$D$23/1000000,0))))))))),0)</f>
        <v>1.5</v>
      </c>
      <c r="F2371" s="10" t="n">
        <f aca="false">Nonlabor!$J$23*(1+Assumptions!$D$9)^INT((C2371-1)/12)</f>
        <v>318.27</v>
      </c>
      <c r="G2371" s="10" t="n">
        <f aca="false">E2371*F2371</f>
        <v>477.405</v>
      </c>
      <c r="H2371" s="10" t="n">
        <f aca="false">IF(OR(Nonlabor!$L$23="Quote required",Nonlabor!$L$23="Unverified"),G2371,0)</f>
        <v>0</v>
      </c>
      <c r="I2371" s="10" t="n">
        <f aca="false">IF(Nonlabor!$E$23="Core",0,G2371)</f>
        <v>0</v>
      </c>
      <c r="J2371" s="23" t="str">
        <f aca="false">Nonlabor!$B$23</f>
        <v>ONBOARD</v>
      </c>
    </row>
    <row r="2372" customFormat="false" ht="15" hidden="false" customHeight="false" outlineLevel="0" collapsed="false">
      <c r="A2372" s="6" t="s">
        <v>4</v>
      </c>
      <c r="B2372" s="6" t="s">
        <v>57</v>
      </c>
      <c r="C2372" s="6" t="n">
        <v>27</v>
      </c>
      <c r="D2372" s="25" t="n">
        <f aca="false">EDATE('Start Here'!$B$6,C2372-1)</f>
        <v>47119</v>
      </c>
      <c r="E2372" s="11" t="n">
        <f aca="false">IF(AND(OR(Nonlabor!$D$23="Both",Nonlabor!$D$23='Start Here'!$B$9),IF(Nonlabor!$E$23="Core",1,IF(Nonlabor!$E$23="AI",'Start Here'!$B$7,'Start Here'!$B$8))=1,C2372&gt;=IF(Nonlabor!$E$23="Core",Nonlabor!$F$23,MAX(Nonlabor!$F$23,IF(Nonlabor!$E$23="AI",Assumptions!$D$24,Assumptions!$D$25))),C2372&lt;=Nonlabor!$G$23,OR(Nonlabor!$H$23="Monthly",AND(Nonlabor!$H$23="Once",C2372=IF(Nonlabor!$E$23="Core",Nonlabor!$F$23,MAX(Nonlabor!$F$23,IF(Nonlabor!$E$23="AI",Assumptions!$D$24,Assumptions!$D$25)))),AND(Nonlabor!$H$23="Annual",MOD(C2372-IF(Nonlabor!$E$23="Core",Nonlabor!$F$23,MAX(Nonlabor!$F$23,IF(Nonlabor!$E$23="AI",Assumptions!$D$24,Assumptions!$D$25))),12)=0))),IF(Nonlabor!$I$23="Fixed",1,IF(Nonlabor!$I$23="Seats",ROUNDUP('Monthly Base'!I32,0),IF(Nonlabor!$I$23="Customers",'Monthly Base'!D32,IF(Nonlabor!$I$23="NewCustomers",'Monthly Base'!C32,IF(Nonlabor!$I$23="StorageGB",'Monthly Base'!G32,IF(Nonlabor!$I$23="LogGB",'Monthly Base'!H32,IF(Nonlabor!$I$23="RequestsM",'Monthly Base'!F32,IF(Nonlabor!$I$23="InputM",'Monthly Base'!D32*Assumptions!$D$22/1000000,IF(Nonlabor!$I$23="OutputM",'Monthly Base'!D32*Assumptions!$D$23/1000000,0))))))))),0)</f>
        <v>1.5</v>
      </c>
      <c r="F2372" s="10" t="n">
        <f aca="false">Nonlabor!$J$23*(1+Assumptions!$D$9)^INT((C2372-1)/12)</f>
        <v>318.27</v>
      </c>
      <c r="G2372" s="10" t="n">
        <f aca="false">E2372*F2372</f>
        <v>477.405</v>
      </c>
      <c r="H2372" s="10" t="n">
        <f aca="false">IF(OR(Nonlabor!$L$23="Quote required",Nonlabor!$L$23="Unverified"),G2372,0)</f>
        <v>0</v>
      </c>
      <c r="I2372" s="10" t="n">
        <f aca="false">IF(Nonlabor!$E$23="Core",0,G2372)</f>
        <v>0</v>
      </c>
      <c r="J2372" s="23" t="str">
        <f aca="false">Nonlabor!$B$23</f>
        <v>ONBOARD</v>
      </c>
    </row>
    <row r="2373" customFormat="false" ht="15" hidden="false" customHeight="false" outlineLevel="0" collapsed="false">
      <c r="A2373" s="6" t="s">
        <v>4</v>
      </c>
      <c r="B2373" s="6" t="s">
        <v>57</v>
      </c>
      <c r="C2373" s="6" t="n">
        <v>28</v>
      </c>
      <c r="D2373" s="25" t="n">
        <f aca="false">EDATE('Start Here'!$B$6,C2373-1)</f>
        <v>47150</v>
      </c>
      <c r="E2373" s="11" t="n">
        <f aca="false">IF(AND(OR(Nonlabor!$D$23="Both",Nonlabor!$D$23='Start Here'!$B$9),IF(Nonlabor!$E$23="Core",1,IF(Nonlabor!$E$23="AI",'Start Here'!$B$7,'Start Here'!$B$8))=1,C2373&gt;=IF(Nonlabor!$E$23="Core",Nonlabor!$F$23,MAX(Nonlabor!$F$23,IF(Nonlabor!$E$23="AI",Assumptions!$D$24,Assumptions!$D$25))),C2373&lt;=Nonlabor!$G$23,OR(Nonlabor!$H$23="Monthly",AND(Nonlabor!$H$23="Once",C2373=IF(Nonlabor!$E$23="Core",Nonlabor!$F$23,MAX(Nonlabor!$F$23,IF(Nonlabor!$E$23="AI",Assumptions!$D$24,Assumptions!$D$25)))),AND(Nonlabor!$H$23="Annual",MOD(C2373-IF(Nonlabor!$E$23="Core",Nonlabor!$F$23,MAX(Nonlabor!$F$23,IF(Nonlabor!$E$23="AI",Assumptions!$D$24,Assumptions!$D$25))),12)=0))),IF(Nonlabor!$I$23="Fixed",1,IF(Nonlabor!$I$23="Seats",ROUNDUP('Monthly Base'!I33,0),IF(Nonlabor!$I$23="Customers",'Monthly Base'!D33,IF(Nonlabor!$I$23="NewCustomers",'Monthly Base'!C33,IF(Nonlabor!$I$23="StorageGB",'Monthly Base'!G33,IF(Nonlabor!$I$23="LogGB",'Monthly Base'!H33,IF(Nonlabor!$I$23="RequestsM",'Monthly Base'!F33,IF(Nonlabor!$I$23="InputM",'Monthly Base'!D33*Assumptions!$D$22/1000000,IF(Nonlabor!$I$23="OutputM",'Monthly Base'!D33*Assumptions!$D$23/1000000,0))))))))),0)</f>
        <v>1.5</v>
      </c>
      <c r="F2373" s="10" t="n">
        <f aca="false">Nonlabor!$J$23*(1+Assumptions!$D$9)^INT((C2373-1)/12)</f>
        <v>318.27</v>
      </c>
      <c r="G2373" s="10" t="n">
        <f aca="false">E2373*F2373</f>
        <v>477.405</v>
      </c>
      <c r="H2373" s="10" t="n">
        <f aca="false">IF(OR(Nonlabor!$L$23="Quote required",Nonlabor!$L$23="Unverified"),G2373,0)</f>
        <v>0</v>
      </c>
      <c r="I2373" s="10" t="n">
        <f aca="false">IF(Nonlabor!$E$23="Core",0,G2373)</f>
        <v>0</v>
      </c>
      <c r="J2373" s="23" t="str">
        <f aca="false">Nonlabor!$B$23</f>
        <v>ONBOARD</v>
      </c>
    </row>
    <row r="2374" customFormat="false" ht="15" hidden="false" customHeight="false" outlineLevel="0" collapsed="false">
      <c r="A2374" s="6" t="s">
        <v>4</v>
      </c>
      <c r="B2374" s="6" t="s">
        <v>57</v>
      </c>
      <c r="C2374" s="6" t="n">
        <v>29</v>
      </c>
      <c r="D2374" s="25" t="n">
        <f aca="false">EDATE('Start Here'!$B$6,C2374-1)</f>
        <v>47178</v>
      </c>
      <c r="E2374" s="11" t="n">
        <f aca="false">IF(AND(OR(Nonlabor!$D$23="Both",Nonlabor!$D$23='Start Here'!$B$9),IF(Nonlabor!$E$23="Core",1,IF(Nonlabor!$E$23="AI",'Start Here'!$B$7,'Start Here'!$B$8))=1,C2374&gt;=IF(Nonlabor!$E$23="Core",Nonlabor!$F$23,MAX(Nonlabor!$F$23,IF(Nonlabor!$E$23="AI",Assumptions!$D$24,Assumptions!$D$25))),C2374&lt;=Nonlabor!$G$23,OR(Nonlabor!$H$23="Monthly",AND(Nonlabor!$H$23="Once",C2374=IF(Nonlabor!$E$23="Core",Nonlabor!$F$23,MAX(Nonlabor!$F$23,IF(Nonlabor!$E$23="AI",Assumptions!$D$24,Assumptions!$D$25)))),AND(Nonlabor!$H$23="Annual",MOD(C2374-IF(Nonlabor!$E$23="Core",Nonlabor!$F$23,MAX(Nonlabor!$F$23,IF(Nonlabor!$E$23="AI",Assumptions!$D$24,Assumptions!$D$25))),12)=0))),IF(Nonlabor!$I$23="Fixed",1,IF(Nonlabor!$I$23="Seats",ROUNDUP('Monthly Base'!I34,0),IF(Nonlabor!$I$23="Customers",'Monthly Base'!D34,IF(Nonlabor!$I$23="NewCustomers",'Monthly Base'!C34,IF(Nonlabor!$I$23="StorageGB",'Monthly Base'!G34,IF(Nonlabor!$I$23="LogGB",'Monthly Base'!H34,IF(Nonlabor!$I$23="RequestsM",'Monthly Base'!F34,IF(Nonlabor!$I$23="InputM",'Monthly Base'!D34*Assumptions!$D$22/1000000,IF(Nonlabor!$I$23="OutputM",'Monthly Base'!D34*Assumptions!$D$23/1000000,0))))))))),0)</f>
        <v>1.5</v>
      </c>
      <c r="F2374" s="10" t="n">
        <f aca="false">Nonlabor!$J$23*(1+Assumptions!$D$9)^INT((C2374-1)/12)</f>
        <v>318.27</v>
      </c>
      <c r="G2374" s="10" t="n">
        <f aca="false">E2374*F2374</f>
        <v>477.405</v>
      </c>
      <c r="H2374" s="10" t="n">
        <f aca="false">IF(OR(Nonlabor!$L$23="Quote required",Nonlabor!$L$23="Unverified"),G2374,0)</f>
        <v>0</v>
      </c>
      <c r="I2374" s="10" t="n">
        <f aca="false">IF(Nonlabor!$E$23="Core",0,G2374)</f>
        <v>0</v>
      </c>
      <c r="J2374" s="23" t="str">
        <f aca="false">Nonlabor!$B$23</f>
        <v>ONBOARD</v>
      </c>
    </row>
    <row r="2375" customFormat="false" ht="15" hidden="false" customHeight="false" outlineLevel="0" collapsed="false">
      <c r="A2375" s="6" t="s">
        <v>4</v>
      </c>
      <c r="B2375" s="6" t="s">
        <v>57</v>
      </c>
      <c r="C2375" s="6" t="n">
        <v>30</v>
      </c>
      <c r="D2375" s="25" t="n">
        <f aca="false">EDATE('Start Here'!$B$6,C2375-1)</f>
        <v>47209</v>
      </c>
      <c r="E2375" s="11" t="n">
        <f aca="false">IF(AND(OR(Nonlabor!$D$23="Both",Nonlabor!$D$23='Start Here'!$B$9),IF(Nonlabor!$E$23="Core",1,IF(Nonlabor!$E$23="AI",'Start Here'!$B$7,'Start Here'!$B$8))=1,C2375&gt;=IF(Nonlabor!$E$23="Core",Nonlabor!$F$23,MAX(Nonlabor!$F$23,IF(Nonlabor!$E$23="AI",Assumptions!$D$24,Assumptions!$D$25))),C2375&lt;=Nonlabor!$G$23,OR(Nonlabor!$H$23="Monthly",AND(Nonlabor!$H$23="Once",C2375=IF(Nonlabor!$E$23="Core",Nonlabor!$F$23,MAX(Nonlabor!$F$23,IF(Nonlabor!$E$23="AI",Assumptions!$D$24,Assumptions!$D$25)))),AND(Nonlabor!$H$23="Annual",MOD(C2375-IF(Nonlabor!$E$23="Core",Nonlabor!$F$23,MAX(Nonlabor!$F$23,IF(Nonlabor!$E$23="AI",Assumptions!$D$24,Assumptions!$D$25))),12)=0))),IF(Nonlabor!$I$23="Fixed",1,IF(Nonlabor!$I$23="Seats",ROUNDUP('Monthly Base'!I35,0),IF(Nonlabor!$I$23="Customers",'Monthly Base'!D35,IF(Nonlabor!$I$23="NewCustomers",'Monthly Base'!C35,IF(Nonlabor!$I$23="StorageGB",'Monthly Base'!G35,IF(Nonlabor!$I$23="LogGB",'Monthly Base'!H35,IF(Nonlabor!$I$23="RequestsM",'Monthly Base'!F35,IF(Nonlabor!$I$23="InputM",'Monthly Base'!D35*Assumptions!$D$22/1000000,IF(Nonlabor!$I$23="OutputM",'Monthly Base'!D35*Assumptions!$D$23/1000000,0))))))))),0)</f>
        <v>1.5</v>
      </c>
      <c r="F2375" s="10" t="n">
        <f aca="false">Nonlabor!$J$23*(1+Assumptions!$D$9)^INT((C2375-1)/12)</f>
        <v>318.27</v>
      </c>
      <c r="G2375" s="10" t="n">
        <f aca="false">E2375*F2375</f>
        <v>477.405</v>
      </c>
      <c r="H2375" s="10" t="n">
        <f aca="false">IF(OR(Nonlabor!$L$23="Quote required",Nonlabor!$L$23="Unverified"),G2375,0)</f>
        <v>0</v>
      </c>
      <c r="I2375" s="10" t="n">
        <f aca="false">IF(Nonlabor!$E$23="Core",0,G2375)</f>
        <v>0</v>
      </c>
      <c r="J2375" s="23" t="str">
        <f aca="false">Nonlabor!$B$23</f>
        <v>ONBOARD</v>
      </c>
    </row>
    <row r="2376" customFormat="false" ht="15" hidden="false" customHeight="false" outlineLevel="0" collapsed="false">
      <c r="A2376" s="6" t="s">
        <v>4</v>
      </c>
      <c r="B2376" s="6" t="s">
        <v>57</v>
      </c>
      <c r="C2376" s="6" t="n">
        <v>31</v>
      </c>
      <c r="D2376" s="25" t="n">
        <f aca="false">EDATE('Start Here'!$B$6,C2376-1)</f>
        <v>47239</v>
      </c>
      <c r="E2376" s="11" t="n">
        <f aca="false">IF(AND(OR(Nonlabor!$D$23="Both",Nonlabor!$D$23='Start Here'!$B$9),IF(Nonlabor!$E$23="Core",1,IF(Nonlabor!$E$23="AI",'Start Here'!$B$7,'Start Here'!$B$8))=1,C2376&gt;=IF(Nonlabor!$E$23="Core",Nonlabor!$F$23,MAX(Nonlabor!$F$23,IF(Nonlabor!$E$23="AI",Assumptions!$D$24,Assumptions!$D$25))),C2376&lt;=Nonlabor!$G$23,OR(Nonlabor!$H$23="Monthly",AND(Nonlabor!$H$23="Once",C2376=IF(Nonlabor!$E$23="Core",Nonlabor!$F$23,MAX(Nonlabor!$F$23,IF(Nonlabor!$E$23="AI",Assumptions!$D$24,Assumptions!$D$25)))),AND(Nonlabor!$H$23="Annual",MOD(C2376-IF(Nonlabor!$E$23="Core",Nonlabor!$F$23,MAX(Nonlabor!$F$23,IF(Nonlabor!$E$23="AI",Assumptions!$D$24,Assumptions!$D$25))),12)=0))),IF(Nonlabor!$I$23="Fixed",1,IF(Nonlabor!$I$23="Seats",ROUNDUP('Monthly Base'!I36,0),IF(Nonlabor!$I$23="Customers",'Monthly Base'!D36,IF(Nonlabor!$I$23="NewCustomers",'Monthly Base'!C36,IF(Nonlabor!$I$23="StorageGB",'Monthly Base'!G36,IF(Nonlabor!$I$23="LogGB",'Monthly Base'!H36,IF(Nonlabor!$I$23="RequestsM",'Monthly Base'!F36,IF(Nonlabor!$I$23="InputM",'Monthly Base'!D36*Assumptions!$D$22/1000000,IF(Nonlabor!$I$23="OutputM",'Monthly Base'!D36*Assumptions!$D$23/1000000,0))))))))),0)</f>
        <v>1.5</v>
      </c>
      <c r="F2376" s="10" t="n">
        <f aca="false">Nonlabor!$J$23*(1+Assumptions!$D$9)^INT((C2376-1)/12)</f>
        <v>318.27</v>
      </c>
      <c r="G2376" s="10" t="n">
        <f aca="false">E2376*F2376</f>
        <v>477.405</v>
      </c>
      <c r="H2376" s="10" t="n">
        <f aca="false">IF(OR(Nonlabor!$L$23="Quote required",Nonlabor!$L$23="Unverified"),G2376,0)</f>
        <v>0</v>
      </c>
      <c r="I2376" s="10" t="n">
        <f aca="false">IF(Nonlabor!$E$23="Core",0,G2376)</f>
        <v>0</v>
      </c>
      <c r="J2376" s="23" t="str">
        <f aca="false">Nonlabor!$B$23</f>
        <v>ONBOARD</v>
      </c>
    </row>
    <row r="2377" customFormat="false" ht="15" hidden="false" customHeight="false" outlineLevel="0" collapsed="false">
      <c r="A2377" s="6" t="s">
        <v>4</v>
      </c>
      <c r="B2377" s="6" t="s">
        <v>57</v>
      </c>
      <c r="C2377" s="6" t="n">
        <v>32</v>
      </c>
      <c r="D2377" s="25" t="n">
        <f aca="false">EDATE('Start Here'!$B$6,C2377-1)</f>
        <v>47270</v>
      </c>
      <c r="E2377" s="11" t="n">
        <f aca="false">IF(AND(OR(Nonlabor!$D$23="Both",Nonlabor!$D$23='Start Here'!$B$9),IF(Nonlabor!$E$23="Core",1,IF(Nonlabor!$E$23="AI",'Start Here'!$B$7,'Start Here'!$B$8))=1,C2377&gt;=IF(Nonlabor!$E$23="Core",Nonlabor!$F$23,MAX(Nonlabor!$F$23,IF(Nonlabor!$E$23="AI",Assumptions!$D$24,Assumptions!$D$25))),C2377&lt;=Nonlabor!$G$23,OR(Nonlabor!$H$23="Monthly",AND(Nonlabor!$H$23="Once",C2377=IF(Nonlabor!$E$23="Core",Nonlabor!$F$23,MAX(Nonlabor!$F$23,IF(Nonlabor!$E$23="AI",Assumptions!$D$24,Assumptions!$D$25)))),AND(Nonlabor!$H$23="Annual",MOD(C2377-IF(Nonlabor!$E$23="Core",Nonlabor!$F$23,MAX(Nonlabor!$F$23,IF(Nonlabor!$E$23="AI",Assumptions!$D$24,Assumptions!$D$25))),12)=0))),IF(Nonlabor!$I$23="Fixed",1,IF(Nonlabor!$I$23="Seats",ROUNDUP('Monthly Base'!I37,0),IF(Nonlabor!$I$23="Customers",'Monthly Base'!D37,IF(Nonlabor!$I$23="NewCustomers",'Monthly Base'!C37,IF(Nonlabor!$I$23="StorageGB",'Monthly Base'!G37,IF(Nonlabor!$I$23="LogGB",'Monthly Base'!H37,IF(Nonlabor!$I$23="RequestsM",'Monthly Base'!F37,IF(Nonlabor!$I$23="InputM",'Monthly Base'!D37*Assumptions!$D$22/1000000,IF(Nonlabor!$I$23="OutputM",'Monthly Base'!D37*Assumptions!$D$23/1000000,0))))))))),0)</f>
        <v>1.5</v>
      </c>
      <c r="F2377" s="10" t="n">
        <f aca="false">Nonlabor!$J$23*(1+Assumptions!$D$9)^INT((C2377-1)/12)</f>
        <v>318.27</v>
      </c>
      <c r="G2377" s="10" t="n">
        <f aca="false">E2377*F2377</f>
        <v>477.405</v>
      </c>
      <c r="H2377" s="10" t="n">
        <f aca="false">IF(OR(Nonlabor!$L$23="Quote required",Nonlabor!$L$23="Unverified"),G2377,0)</f>
        <v>0</v>
      </c>
      <c r="I2377" s="10" t="n">
        <f aca="false">IF(Nonlabor!$E$23="Core",0,G2377)</f>
        <v>0</v>
      </c>
      <c r="J2377" s="23" t="str">
        <f aca="false">Nonlabor!$B$23</f>
        <v>ONBOARD</v>
      </c>
    </row>
    <row r="2378" customFormat="false" ht="15" hidden="false" customHeight="false" outlineLevel="0" collapsed="false">
      <c r="A2378" s="6" t="s">
        <v>4</v>
      </c>
      <c r="B2378" s="6" t="s">
        <v>57</v>
      </c>
      <c r="C2378" s="6" t="n">
        <v>33</v>
      </c>
      <c r="D2378" s="25" t="n">
        <f aca="false">EDATE('Start Here'!$B$6,C2378-1)</f>
        <v>47300</v>
      </c>
      <c r="E2378" s="11" t="n">
        <f aca="false">IF(AND(OR(Nonlabor!$D$23="Both",Nonlabor!$D$23='Start Here'!$B$9),IF(Nonlabor!$E$23="Core",1,IF(Nonlabor!$E$23="AI",'Start Here'!$B$7,'Start Here'!$B$8))=1,C2378&gt;=IF(Nonlabor!$E$23="Core",Nonlabor!$F$23,MAX(Nonlabor!$F$23,IF(Nonlabor!$E$23="AI",Assumptions!$D$24,Assumptions!$D$25))),C2378&lt;=Nonlabor!$G$23,OR(Nonlabor!$H$23="Monthly",AND(Nonlabor!$H$23="Once",C2378=IF(Nonlabor!$E$23="Core",Nonlabor!$F$23,MAX(Nonlabor!$F$23,IF(Nonlabor!$E$23="AI",Assumptions!$D$24,Assumptions!$D$25)))),AND(Nonlabor!$H$23="Annual",MOD(C2378-IF(Nonlabor!$E$23="Core",Nonlabor!$F$23,MAX(Nonlabor!$F$23,IF(Nonlabor!$E$23="AI",Assumptions!$D$24,Assumptions!$D$25))),12)=0))),IF(Nonlabor!$I$23="Fixed",1,IF(Nonlabor!$I$23="Seats",ROUNDUP('Monthly Base'!I38,0),IF(Nonlabor!$I$23="Customers",'Monthly Base'!D38,IF(Nonlabor!$I$23="NewCustomers",'Monthly Base'!C38,IF(Nonlabor!$I$23="StorageGB",'Monthly Base'!G38,IF(Nonlabor!$I$23="LogGB",'Monthly Base'!H38,IF(Nonlabor!$I$23="RequestsM",'Monthly Base'!F38,IF(Nonlabor!$I$23="InputM",'Monthly Base'!D38*Assumptions!$D$22/1000000,IF(Nonlabor!$I$23="OutputM",'Monthly Base'!D38*Assumptions!$D$23/1000000,0))))))))),0)</f>
        <v>1.5</v>
      </c>
      <c r="F2378" s="10" t="n">
        <f aca="false">Nonlabor!$J$23*(1+Assumptions!$D$9)^INT((C2378-1)/12)</f>
        <v>318.27</v>
      </c>
      <c r="G2378" s="10" t="n">
        <f aca="false">E2378*F2378</f>
        <v>477.405</v>
      </c>
      <c r="H2378" s="10" t="n">
        <f aca="false">IF(OR(Nonlabor!$L$23="Quote required",Nonlabor!$L$23="Unverified"),G2378,0)</f>
        <v>0</v>
      </c>
      <c r="I2378" s="10" t="n">
        <f aca="false">IF(Nonlabor!$E$23="Core",0,G2378)</f>
        <v>0</v>
      </c>
      <c r="J2378" s="23" t="str">
        <f aca="false">Nonlabor!$B$23</f>
        <v>ONBOARD</v>
      </c>
    </row>
    <row r="2379" customFormat="false" ht="15" hidden="false" customHeight="false" outlineLevel="0" collapsed="false">
      <c r="A2379" s="6" t="s">
        <v>4</v>
      </c>
      <c r="B2379" s="6" t="s">
        <v>57</v>
      </c>
      <c r="C2379" s="6" t="n">
        <v>34</v>
      </c>
      <c r="D2379" s="25" t="n">
        <f aca="false">EDATE('Start Here'!$B$6,C2379-1)</f>
        <v>47331</v>
      </c>
      <c r="E2379" s="11" t="n">
        <f aca="false">IF(AND(OR(Nonlabor!$D$23="Both",Nonlabor!$D$23='Start Here'!$B$9),IF(Nonlabor!$E$23="Core",1,IF(Nonlabor!$E$23="AI",'Start Here'!$B$7,'Start Here'!$B$8))=1,C2379&gt;=IF(Nonlabor!$E$23="Core",Nonlabor!$F$23,MAX(Nonlabor!$F$23,IF(Nonlabor!$E$23="AI",Assumptions!$D$24,Assumptions!$D$25))),C2379&lt;=Nonlabor!$G$23,OR(Nonlabor!$H$23="Monthly",AND(Nonlabor!$H$23="Once",C2379=IF(Nonlabor!$E$23="Core",Nonlabor!$F$23,MAX(Nonlabor!$F$23,IF(Nonlabor!$E$23="AI",Assumptions!$D$24,Assumptions!$D$25)))),AND(Nonlabor!$H$23="Annual",MOD(C2379-IF(Nonlabor!$E$23="Core",Nonlabor!$F$23,MAX(Nonlabor!$F$23,IF(Nonlabor!$E$23="AI",Assumptions!$D$24,Assumptions!$D$25))),12)=0))),IF(Nonlabor!$I$23="Fixed",1,IF(Nonlabor!$I$23="Seats",ROUNDUP('Monthly Base'!I39,0),IF(Nonlabor!$I$23="Customers",'Monthly Base'!D39,IF(Nonlabor!$I$23="NewCustomers",'Monthly Base'!C39,IF(Nonlabor!$I$23="StorageGB",'Monthly Base'!G39,IF(Nonlabor!$I$23="LogGB",'Monthly Base'!H39,IF(Nonlabor!$I$23="RequestsM",'Monthly Base'!F39,IF(Nonlabor!$I$23="InputM",'Monthly Base'!D39*Assumptions!$D$22/1000000,IF(Nonlabor!$I$23="OutputM",'Monthly Base'!D39*Assumptions!$D$23/1000000,0))))))))),0)</f>
        <v>1.5</v>
      </c>
      <c r="F2379" s="10" t="n">
        <f aca="false">Nonlabor!$J$23*(1+Assumptions!$D$9)^INT((C2379-1)/12)</f>
        <v>318.27</v>
      </c>
      <c r="G2379" s="10" t="n">
        <f aca="false">E2379*F2379</f>
        <v>477.405</v>
      </c>
      <c r="H2379" s="10" t="n">
        <f aca="false">IF(OR(Nonlabor!$L$23="Quote required",Nonlabor!$L$23="Unverified"),G2379,0)</f>
        <v>0</v>
      </c>
      <c r="I2379" s="10" t="n">
        <f aca="false">IF(Nonlabor!$E$23="Core",0,G2379)</f>
        <v>0</v>
      </c>
      <c r="J2379" s="23" t="str">
        <f aca="false">Nonlabor!$B$23</f>
        <v>ONBOARD</v>
      </c>
    </row>
    <row r="2380" customFormat="false" ht="15" hidden="false" customHeight="false" outlineLevel="0" collapsed="false">
      <c r="A2380" s="6" t="s">
        <v>4</v>
      </c>
      <c r="B2380" s="6" t="s">
        <v>57</v>
      </c>
      <c r="C2380" s="6" t="n">
        <v>35</v>
      </c>
      <c r="D2380" s="25" t="n">
        <f aca="false">EDATE('Start Here'!$B$6,C2380-1)</f>
        <v>47362</v>
      </c>
      <c r="E2380" s="11" t="n">
        <f aca="false">IF(AND(OR(Nonlabor!$D$23="Both",Nonlabor!$D$23='Start Here'!$B$9),IF(Nonlabor!$E$23="Core",1,IF(Nonlabor!$E$23="AI",'Start Here'!$B$7,'Start Here'!$B$8))=1,C2380&gt;=IF(Nonlabor!$E$23="Core",Nonlabor!$F$23,MAX(Nonlabor!$F$23,IF(Nonlabor!$E$23="AI",Assumptions!$D$24,Assumptions!$D$25))),C2380&lt;=Nonlabor!$G$23,OR(Nonlabor!$H$23="Monthly",AND(Nonlabor!$H$23="Once",C2380=IF(Nonlabor!$E$23="Core",Nonlabor!$F$23,MAX(Nonlabor!$F$23,IF(Nonlabor!$E$23="AI",Assumptions!$D$24,Assumptions!$D$25)))),AND(Nonlabor!$H$23="Annual",MOD(C2380-IF(Nonlabor!$E$23="Core",Nonlabor!$F$23,MAX(Nonlabor!$F$23,IF(Nonlabor!$E$23="AI",Assumptions!$D$24,Assumptions!$D$25))),12)=0))),IF(Nonlabor!$I$23="Fixed",1,IF(Nonlabor!$I$23="Seats",ROUNDUP('Monthly Base'!I40,0),IF(Nonlabor!$I$23="Customers",'Monthly Base'!D40,IF(Nonlabor!$I$23="NewCustomers",'Monthly Base'!C40,IF(Nonlabor!$I$23="StorageGB",'Monthly Base'!G40,IF(Nonlabor!$I$23="LogGB",'Monthly Base'!H40,IF(Nonlabor!$I$23="RequestsM",'Monthly Base'!F40,IF(Nonlabor!$I$23="InputM",'Monthly Base'!D40*Assumptions!$D$22/1000000,IF(Nonlabor!$I$23="OutputM",'Monthly Base'!D40*Assumptions!$D$23/1000000,0))))))))),0)</f>
        <v>1.5</v>
      </c>
      <c r="F2380" s="10" t="n">
        <f aca="false">Nonlabor!$J$23*(1+Assumptions!$D$9)^INT((C2380-1)/12)</f>
        <v>318.27</v>
      </c>
      <c r="G2380" s="10" t="n">
        <f aca="false">E2380*F2380</f>
        <v>477.405</v>
      </c>
      <c r="H2380" s="10" t="n">
        <f aca="false">IF(OR(Nonlabor!$L$23="Quote required",Nonlabor!$L$23="Unverified"),G2380,0)</f>
        <v>0</v>
      </c>
      <c r="I2380" s="10" t="n">
        <f aca="false">IF(Nonlabor!$E$23="Core",0,G2380)</f>
        <v>0</v>
      </c>
      <c r="J2380" s="23" t="str">
        <f aca="false">Nonlabor!$B$23</f>
        <v>ONBOARD</v>
      </c>
    </row>
    <row r="2381" customFormat="false" ht="15" hidden="false" customHeight="false" outlineLevel="0" collapsed="false">
      <c r="A2381" s="6" t="s">
        <v>4</v>
      </c>
      <c r="B2381" s="6" t="s">
        <v>57</v>
      </c>
      <c r="C2381" s="6" t="n">
        <v>36</v>
      </c>
      <c r="D2381" s="25" t="n">
        <f aca="false">EDATE('Start Here'!$B$6,C2381-1)</f>
        <v>47392</v>
      </c>
      <c r="E2381" s="11" t="n">
        <f aca="false">IF(AND(OR(Nonlabor!$D$23="Both",Nonlabor!$D$23='Start Here'!$B$9),IF(Nonlabor!$E$23="Core",1,IF(Nonlabor!$E$23="AI",'Start Here'!$B$7,'Start Here'!$B$8))=1,C2381&gt;=IF(Nonlabor!$E$23="Core",Nonlabor!$F$23,MAX(Nonlabor!$F$23,IF(Nonlabor!$E$23="AI",Assumptions!$D$24,Assumptions!$D$25))),C2381&lt;=Nonlabor!$G$23,OR(Nonlabor!$H$23="Monthly",AND(Nonlabor!$H$23="Once",C2381=IF(Nonlabor!$E$23="Core",Nonlabor!$F$23,MAX(Nonlabor!$F$23,IF(Nonlabor!$E$23="AI",Assumptions!$D$24,Assumptions!$D$25)))),AND(Nonlabor!$H$23="Annual",MOD(C2381-IF(Nonlabor!$E$23="Core",Nonlabor!$F$23,MAX(Nonlabor!$F$23,IF(Nonlabor!$E$23="AI",Assumptions!$D$24,Assumptions!$D$25))),12)=0))),IF(Nonlabor!$I$23="Fixed",1,IF(Nonlabor!$I$23="Seats",ROUNDUP('Monthly Base'!I41,0),IF(Nonlabor!$I$23="Customers",'Monthly Base'!D41,IF(Nonlabor!$I$23="NewCustomers",'Monthly Base'!C41,IF(Nonlabor!$I$23="StorageGB",'Monthly Base'!G41,IF(Nonlabor!$I$23="LogGB",'Monthly Base'!H41,IF(Nonlabor!$I$23="RequestsM",'Monthly Base'!F41,IF(Nonlabor!$I$23="InputM",'Monthly Base'!D41*Assumptions!$D$22/1000000,IF(Nonlabor!$I$23="OutputM",'Monthly Base'!D41*Assumptions!$D$23/1000000,0))))))))),0)</f>
        <v>1.5</v>
      </c>
      <c r="F2381" s="10" t="n">
        <f aca="false">Nonlabor!$J$23*(1+Assumptions!$D$9)^INT((C2381-1)/12)</f>
        <v>318.27</v>
      </c>
      <c r="G2381" s="10" t="n">
        <f aca="false">E2381*F2381</f>
        <v>477.405</v>
      </c>
      <c r="H2381" s="10" t="n">
        <f aca="false">IF(OR(Nonlabor!$L$23="Quote required",Nonlabor!$L$23="Unverified"),G2381,0)</f>
        <v>0</v>
      </c>
      <c r="I2381" s="10" t="n">
        <f aca="false">IF(Nonlabor!$E$23="Core",0,G2381)</f>
        <v>0</v>
      </c>
      <c r="J2381" s="23" t="str">
        <f aca="false">Nonlabor!$B$23</f>
        <v>ONBOARD</v>
      </c>
    </row>
    <row r="2382" customFormat="false" ht="15" hidden="false" customHeight="false" outlineLevel="0" collapsed="false">
      <c r="A2382" s="6" t="s">
        <v>4</v>
      </c>
      <c r="B2382" s="6" t="s">
        <v>57</v>
      </c>
      <c r="C2382" s="6" t="n">
        <v>37</v>
      </c>
      <c r="D2382" s="25" t="n">
        <f aca="false">EDATE('Start Here'!$B$6,C2382-1)</f>
        <v>47423</v>
      </c>
      <c r="E2382" s="11" t="n">
        <f aca="false">IF(AND(OR(Nonlabor!$D$23="Both",Nonlabor!$D$23='Start Here'!$B$9),IF(Nonlabor!$E$23="Core",1,IF(Nonlabor!$E$23="AI",'Start Here'!$B$7,'Start Here'!$B$8))=1,C2382&gt;=IF(Nonlabor!$E$23="Core",Nonlabor!$F$23,MAX(Nonlabor!$F$23,IF(Nonlabor!$E$23="AI",Assumptions!$D$24,Assumptions!$D$25))),C2382&lt;=Nonlabor!$G$23,OR(Nonlabor!$H$23="Monthly",AND(Nonlabor!$H$23="Once",C2382=IF(Nonlabor!$E$23="Core",Nonlabor!$F$23,MAX(Nonlabor!$F$23,IF(Nonlabor!$E$23="AI",Assumptions!$D$24,Assumptions!$D$25)))),AND(Nonlabor!$H$23="Annual",MOD(C2382-IF(Nonlabor!$E$23="Core",Nonlabor!$F$23,MAX(Nonlabor!$F$23,IF(Nonlabor!$E$23="AI",Assumptions!$D$24,Assumptions!$D$25))),12)=0))),IF(Nonlabor!$I$23="Fixed",1,IF(Nonlabor!$I$23="Seats",ROUNDUP('Monthly Base'!I42,0),IF(Nonlabor!$I$23="Customers",'Monthly Base'!D42,IF(Nonlabor!$I$23="NewCustomers",'Monthly Base'!C42,IF(Nonlabor!$I$23="StorageGB",'Monthly Base'!G42,IF(Nonlabor!$I$23="LogGB",'Monthly Base'!H42,IF(Nonlabor!$I$23="RequestsM",'Monthly Base'!F42,IF(Nonlabor!$I$23="InputM",'Monthly Base'!D42*Assumptions!$D$22/1000000,IF(Nonlabor!$I$23="OutputM",'Monthly Base'!D42*Assumptions!$D$23/1000000,0))))))))),0)</f>
        <v>2.25</v>
      </c>
      <c r="F2382" s="10" t="n">
        <f aca="false">Nonlabor!$J$23*(1+Assumptions!$D$9)^INT((C2382-1)/12)</f>
        <v>327.8181</v>
      </c>
      <c r="G2382" s="10" t="n">
        <f aca="false">E2382*F2382</f>
        <v>737.590725</v>
      </c>
      <c r="H2382" s="10" t="n">
        <f aca="false">IF(OR(Nonlabor!$L$23="Quote required",Nonlabor!$L$23="Unverified"),G2382,0)</f>
        <v>0</v>
      </c>
      <c r="I2382" s="10" t="n">
        <f aca="false">IF(Nonlabor!$E$23="Core",0,G2382)</f>
        <v>0</v>
      </c>
      <c r="J2382" s="23" t="str">
        <f aca="false">Nonlabor!$B$23</f>
        <v>ONBOARD</v>
      </c>
    </row>
    <row r="2383" customFormat="false" ht="15" hidden="false" customHeight="false" outlineLevel="0" collapsed="false">
      <c r="A2383" s="6" t="s">
        <v>4</v>
      </c>
      <c r="B2383" s="6" t="s">
        <v>57</v>
      </c>
      <c r="C2383" s="6" t="n">
        <v>38</v>
      </c>
      <c r="D2383" s="25" t="n">
        <f aca="false">EDATE('Start Here'!$B$6,C2383-1)</f>
        <v>47453</v>
      </c>
      <c r="E2383" s="11" t="n">
        <f aca="false">IF(AND(OR(Nonlabor!$D$23="Both",Nonlabor!$D$23='Start Here'!$B$9),IF(Nonlabor!$E$23="Core",1,IF(Nonlabor!$E$23="AI",'Start Here'!$B$7,'Start Here'!$B$8))=1,C2383&gt;=IF(Nonlabor!$E$23="Core",Nonlabor!$F$23,MAX(Nonlabor!$F$23,IF(Nonlabor!$E$23="AI",Assumptions!$D$24,Assumptions!$D$25))),C2383&lt;=Nonlabor!$G$23,OR(Nonlabor!$H$23="Monthly",AND(Nonlabor!$H$23="Once",C2383=IF(Nonlabor!$E$23="Core",Nonlabor!$F$23,MAX(Nonlabor!$F$23,IF(Nonlabor!$E$23="AI",Assumptions!$D$24,Assumptions!$D$25)))),AND(Nonlabor!$H$23="Annual",MOD(C2383-IF(Nonlabor!$E$23="Core",Nonlabor!$F$23,MAX(Nonlabor!$F$23,IF(Nonlabor!$E$23="AI",Assumptions!$D$24,Assumptions!$D$25))),12)=0))),IF(Nonlabor!$I$23="Fixed",1,IF(Nonlabor!$I$23="Seats",ROUNDUP('Monthly Base'!I43,0),IF(Nonlabor!$I$23="Customers",'Monthly Base'!D43,IF(Nonlabor!$I$23="NewCustomers",'Monthly Base'!C43,IF(Nonlabor!$I$23="StorageGB",'Monthly Base'!G43,IF(Nonlabor!$I$23="LogGB",'Monthly Base'!H43,IF(Nonlabor!$I$23="RequestsM",'Monthly Base'!F43,IF(Nonlabor!$I$23="InputM",'Monthly Base'!D43*Assumptions!$D$22/1000000,IF(Nonlabor!$I$23="OutputM",'Monthly Base'!D43*Assumptions!$D$23/1000000,0))))))))),0)</f>
        <v>2.25</v>
      </c>
      <c r="F2383" s="10" t="n">
        <f aca="false">Nonlabor!$J$23*(1+Assumptions!$D$9)^INT((C2383-1)/12)</f>
        <v>327.8181</v>
      </c>
      <c r="G2383" s="10" t="n">
        <f aca="false">E2383*F2383</f>
        <v>737.590725</v>
      </c>
      <c r="H2383" s="10" t="n">
        <f aca="false">IF(OR(Nonlabor!$L$23="Quote required",Nonlabor!$L$23="Unverified"),G2383,0)</f>
        <v>0</v>
      </c>
      <c r="I2383" s="10" t="n">
        <f aca="false">IF(Nonlabor!$E$23="Core",0,G2383)</f>
        <v>0</v>
      </c>
      <c r="J2383" s="23" t="str">
        <f aca="false">Nonlabor!$B$23</f>
        <v>ONBOARD</v>
      </c>
    </row>
    <row r="2384" customFormat="false" ht="15" hidden="false" customHeight="false" outlineLevel="0" collapsed="false">
      <c r="A2384" s="6" t="s">
        <v>4</v>
      </c>
      <c r="B2384" s="6" t="s">
        <v>57</v>
      </c>
      <c r="C2384" s="6" t="n">
        <v>39</v>
      </c>
      <c r="D2384" s="25" t="n">
        <f aca="false">EDATE('Start Here'!$B$6,C2384-1)</f>
        <v>47484</v>
      </c>
      <c r="E2384" s="11" t="n">
        <f aca="false">IF(AND(OR(Nonlabor!$D$23="Both",Nonlabor!$D$23='Start Here'!$B$9),IF(Nonlabor!$E$23="Core",1,IF(Nonlabor!$E$23="AI",'Start Here'!$B$7,'Start Here'!$B$8))=1,C2384&gt;=IF(Nonlabor!$E$23="Core",Nonlabor!$F$23,MAX(Nonlabor!$F$23,IF(Nonlabor!$E$23="AI",Assumptions!$D$24,Assumptions!$D$25))),C2384&lt;=Nonlabor!$G$23,OR(Nonlabor!$H$23="Monthly",AND(Nonlabor!$H$23="Once",C2384=IF(Nonlabor!$E$23="Core",Nonlabor!$F$23,MAX(Nonlabor!$F$23,IF(Nonlabor!$E$23="AI",Assumptions!$D$24,Assumptions!$D$25)))),AND(Nonlabor!$H$23="Annual",MOD(C2384-IF(Nonlabor!$E$23="Core",Nonlabor!$F$23,MAX(Nonlabor!$F$23,IF(Nonlabor!$E$23="AI",Assumptions!$D$24,Assumptions!$D$25))),12)=0))),IF(Nonlabor!$I$23="Fixed",1,IF(Nonlabor!$I$23="Seats",ROUNDUP('Monthly Base'!I44,0),IF(Nonlabor!$I$23="Customers",'Monthly Base'!D44,IF(Nonlabor!$I$23="NewCustomers",'Monthly Base'!C44,IF(Nonlabor!$I$23="StorageGB",'Monthly Base'!G44,IF(Nonlabor!$I$23="LogGB",'Monthly Base'!H44,IF(Nonlabor!$I$23="RequestsM",'Monthly Base'!F44,IF(Nonlabor!$I$23="InputM",'Monthly Base'!D44*Assumptions!$D$22/1000000,IF(Nonlabor!$I$23="OutputM",'Monthly Base'!D44*Assumptions!$D$23/1000000,0))))))))),0)</f>
        <v>2.25</v>
      </c>
      <c r="F2384" s="10" t="n">
        <f aca="false">Nonlabor!$J$23*(1+Assumptions!$D$9)^INT((C2384-1)/12)</f>
        <v>327.8181</v>
      </c>
      <c r="G2384" s="10" t="n">
        <f aca="false">E2384*F2384</f>
        <v>737.590725</v>
      </c>
      <c r="H2384" s="10" t="n">
        <f aca="false">IF(OR(Nonlabor!$L$23="Quote required",Nonlabor!$L$23="Unverified"),G2384,0)</f>
        <v>0</v>
      </c>
      <c r="I2384" s="10" t="n">
        <f aca="false">IF(Nonlabor!$E$23="Core",0,G2384)</f>
        <v>0</v>
      </c>
      <c r="J2384" s="23" t="str">
        <f aca="false">Nonlabor!$B$23</f>
        <v>ONBOARD</v>
      </c>
    </row>
    <row r="2385" customFormat="false" ht="15" hidden="false" customHeight="false" outlineLevel="0" collapsed="false">
      <c r="A2385" s="6" t="s">
        <v>4</v>
      </c>
      <c r="B2385" s="6" t="s">
        <v>57</v>
      </c>
      <c r="C2385" s="6" t="n">
        <v>40</v>
      </c>
      <c r="D2385" s="25" t="n">
        <f aca="false">EDATE('Start Here'!$B$6,C2385-1)</f>
        <v>47515</v>
      </c>
      <c r="E2385" s="11" t="n">
        <f aca="false">IF(AND(OR(Nonlabor!$D$23="Both",Nonlabor!$D$23='Start Here'!$B$9),IF(Nonlabor!$E$23="Core",1,IF(Nonlabor!$E$23="AI",'Start Here'!$B$7,'Start Here'!$B$8))=1,C2385&gt;=IF(Nonlabor!$E$23="Core",Nonlabor!$F$23,MAX(Nonlabor!$F$23,IF(Nonlabor!$E$23="AI",Assumptions!$D$24,Assumptions!$D$25))),C2385&lt;=Nonlabor!$G$23,OR(Nonlabor!$H$23="Monthly",AND(Nonlabor!$H$23="Once",C2385=IF(Nonlabor!$E$23="Core",Nonlabor!$F$23,MAX(Nonlabor!$F$23,IF(Nonlabor!$E$23="AI",Assumptions!$D$24,Assumptions!$D$25)))),AND(Nonlabor!$H$23="Annual",MOD(C2385-IF(Nonlabor!$E$23="Core",Nonlabor!$F$23,MAX(Nonlabor!$F$23,IF(Nonlabor!$E$23="AI",Assumptions!$D$24,Assumptions!$D$25))),12)=0))),IF(Nonlabor!$I$23="Fixed",1,IF(Nonlabor!$I$23="Seats",ROUNDUP('Monthly Base'!I45,0),IF(Nonlabor!$I$23="Customers",'Monthly Base'!D45,IF(Nonlabor!$I$23="NewCustomers",'Monthly Base'!C45,IF(Nonlabor!$I$23="StorageGB",'Monthly Base'!G45,IF(Nonlabor!$I$23="LogGB",'Monthly Base'!H45,IF(Nonlabor!$I$23="RequestsM",'Monthly Base'!F45,IF(Nonlabor!$I$23="InputM",'Monthly Base'!D45*Assumptions!$D$22/1000000,IF(Nonlabor!$I$23="OutputM",'Monthly Base'!D45*Assumptions!$D$23/1000000,0))))))))),0)</f>
        <v>2.25</v>
      </c>
      <c r="F2385" s="10" t="n">
        <f aca="false">Nonlabor!$J$23*(1+Assumptions!$D$9)^INT((C2385-1)/12)</f>
        <v>327.8181</v>
      </c>
      <c r="G2385" s="10" t="n">
        <f aca="false">E2385*F2385</f>
        <v>737.590725</v>
      </c>
      <c r="H2385" s="10" t="n">
        <f aca="false">IF(OR(Nonlabor!$L$23="Quote required",Nonlabor!$L$23="Unverified"),G2385,0)</f>
        <v>0</v>
      </c>
      <c r="I2385" s="10" t="n">
        <f aca="false">IF(Nonlabor!$E$23="Core",0,G2385)</f>
        <v>0</v>
      </c>
      <c r="J2385" s="23" t="str">
        <f aca="false">Nonlabor!$B$23</f>
        <v>ONBOARD</v>
      </c>
    </row>
    <row r="2386" customFormat="false" ht="15" hidden="false" customHeight="false" outlineLevel="0" collapsed="false">
      <c r="A2386" s="6" t="s">
        <v>4</v>
      </c>
      <c r="B2386" s="6" t="s">
        <v>57</v>
      </c>
      <c r="C2386" s="6" t="n">
        <v>41</v>
      </c>
      <c r="D2386" s="25" t="n">
        <f aca="false">EDATE('Start Here'!$B$6,C2386-1)</f>
        <v>47543</v>
      </c>
      <c r="E2386" s="11" t="n">
        <f aca="false">IF(AND(OR(Nonlabor!$D$23="Both",Nonlabor!$D$23='Start Here'!$B$9),IF(Nonlabor!$E$23="Core",1,IF(Nonlabor!$E$23="AI",'Start Here'!$B$7,'Start Here'!$B$8))=1,C2386&gt;=IF(Nonlabor!$E$23="Core",Nonlabor!$F$23,MAX(Nonlabor!$F$23,IF(Nonlabor!$E$23="AI",Assumptions!$D$24,Assumptions!$D$25))),C2386&lt;=Nonlabor!$G$23,OR(Nonlabor!$H$23="Monthly",AND(Nonlabor!$H$23="Once",C2386=IF(Nonlabor!$E$23="Core",Nonlabor!$F$23,MAX(Nonlabor!$F$23,IF(Nonlabor!$E$23="AI",Assumptions!$D$24,Assumptions!$D$25)))),AND(Nonlabor!$H$23="Annual",MOD(C2386-IF(Nonlabor!$E$23="Core",Nonlabor!$F$23,MAX(Nonlabor!$F$23,IF(Nonlabor!$E$23="AI",Assumptions!$D$24,Assumptions!$D$25))),12)=0))),IF(Nonlabor!$I$23="Fixed",1,IF(Nonlabor!$I$23="Seats",ROUNDUP('Monthly Base'!I46,0),IF(Nonlabor!$I$23="Customers",'Monthly Base'!D46,IF(Nonlabor!$I$23="NewCustomers",'Monthly Base'!C46,IF(Nonlabor!$I$23="StorageGB",'Monthly Base'!G46,IF(Nonlabor!$I$23="LogGB",'Monthly Base'!H46,IF(Nonlabor!$I$23="RequestsM",'Monthly Base'!F46,IF(Nonlabor!$I$23="InputM",'Monthly Base'!D46*Assumptions!$D$22/1000000,IF(Nonlabor!$I$23="OutputM",'Monthly Base'!D46*Assumptions!$D$23/1000000,0))))))))),0)</f>
        <v>2.25</v>
      </c>
      <c r="F2386" s="10" t="n">
        <f aca="false">Nonlabor!$J$23*(1+Assumptions!$D$9)^INT((C2386-1)/12)</f>
        <v>327.8181</v>
      </c>
      <c r="G2386" s="10" t="n">
        <f aca="false">E2386*F2386</f>
        <v>737.590725</v>
      </c>
      <c r="H2386" s="10" t="n">
        <f aca="false">IF(OR(Nonlabor!$L$23="Quote required",Nonlabor!$L$23="Unverified"),G2386,0)</f>
        <v>0</v>
      </c>
      <c r="I2386" s="10" t="n">
        <f aca="false">IF(Nonlabor!$E$23="Core",0,G2386)</f>
        <v>0</v>
      </c>
      <c r="J2386" s="23" t="str">
        <f aca="false">Nonlabor!$B$23</f>
        <v>ONBOARD</v>
      </c>
    </row>
    <row r="2387" customFormat="false" ht="15" hidden="false" customHeight="false" outlineLevel="0" collapsed="false">
      <c r="A2387" s="6" t="s">
        <v>4</v>
      </c>
      <c r="B2387" s="6" t="s">
        <v>57</v>
      </c>
      <c r="C2387" s="6" t="n">
        <v>42</v>
      </c>
      <c r="D2387" s="25" t="n">
        <f aca="false">EDATE('Start Here'!$B$6,C2387-1)</f>
        <v>47574</v>
      </c>
      <c r="E2387" s="11" t="n">
        <f aca="false">IF(AND(OR(Nonlabor!$D$23="Both",Nonlabor!$D$23='Start Here'!$B$9),IF(Nonlabor!$E$23="Core",1,IF(Nonlabor!$E$23="AI",'Start Here'!$B$7,'Start Here'!$B$8))=1,C2387&gt;=IF(Nonlabor!$E$23="Core",Nonlabor!$F$23,MAX(Nonlabor!$F$23,IF(Nonlabor!$E$23="AI",Assumptions!$D$24,Assumptions!$D$25))),C2387&lt;=Nonlabor!$G$23,OR(Nonlabor!$H$23="Monthly",AND(Nonlabor!$H$23="Once",C2387=IF(Nonlabor!$E$23="Core",Nonlabor!$F$23,MAX(Nonlabor!$F$23,IF(Nonlabor!$E$23="AI",Assumptions!$D$24,Assumptions!$D$25)))),AND(Nonlabor!$H$23="Annual",MOD(C2387-IF(Nonlabor!$E$23="Core",Nonlabor!$F$23,MAX(Nonlabor!$F$23,IF(Nonlabor!$E$23="AI",Assumptions!$D$24,Assumptions!$D$25))),12)=0))),IF(Nonlabor!$I$23="Fixed",1,IF(Nonlabor!$I$23="Seats",ROUNDUP('Monthly Base'!I47,0),IF(Nonlabor!$I$23="Customers",'Monthly Base'!D47,IF(Nonlabor!$I$23="NewCustomers",'Monthly Base'!C47,IF(Nonlabor!$I$23="StorageGB",'Monthly Base'!G47,IF(Nonlabor!$I$23="LogGB",'Monthly Base'!H47,IF(Nonlabor!$I$23="RequestsM",'Monthly Base'!F47,IF(Nonlabor!$I$23="InputM",'Monthly Base'!D47*Assumptions!$D$22/1000000,IF(Nonlabor!$I$23="OutputM",'Monthly Base'!D47*Assumptions!$D$23/1000000,0))))))))),0)</f>
        <v>2.25</v>
      </c>
      <c r="F2387" s="10" t="n">
        <f aca="false">Nonlabor!$J$23*(1+Assumptions!$D$9)^INT((C2387-1)/12)</f>
        <v>327.8181</v>
      </c>
      <c r="G2387" s="10" t="n">
        <f aca="false">E2387*F2387</f>
        <v>737.590725</v>
      </c>
      <c r="H2387" s="10" t="n">
        <f aca="false">IF(OR(Nonlabor!$L$23="Quote required",Nonlabor!$L$23="Unverified"),G2387,0)</f>
        <v>0</v>
      </c>
      <c r="I2387" s="10" t="n">
        <f aca="false">IF(Nonlabor!$E$23="Core",0,G2387)</f>
        <v>0</v>
      </c>
      <c r="J2387" s="23" t="str">
        <f aca="false">Nonlabor!$B$23</f>
        <v>ONBOARD</v>
      </c>
    </row>
    <row r="2388" customFormat="false" ht="15" hidden="false" customHeight="false" outlineLevel="0" collapsed="false">
      <c r="A2388" s="6" t="s">
        <v>4</v>
      </c>
      <c r="B2388" s="6" t="s">
        <v>57</v>
      </c>
      <c r="C2388" s="6" t="n">
        <v>43</v>
      </c>
      <c r="D2388" s="25" t="n">
        <f aca="false">EDATE('Start Here'!$B$6,C2388-1)</f>
        <v>47604</v>
      </c>
      <c r="E2388" s="11" t="n">
        <f aca="false">IF(AND(OR(Nonlabor!$D$23="Both",Nonlabor!$D$23='Start Here'!$B$9),IF(Nonlabor!$E$23="Core",1,IF(Nonlabor!$E$23="AI",'Start Here'!$B$7,'Start Here'!$B$8))=1,C2388&gt;=IF(Nonlabor!$E$23="Core",Nonlabor!$F$23,MAX(Nonlabor!$F$23,IF(Nonlabor!$E$23="AI",Assumptions!$D$24,Assumptions!$D$25))),C2388&lt;=Nonlabor!$G$23,OR(Nonlabor!$H$23="Monthly",AND(Nonlabor!$H$23="Once",C2388=IF(Nonlabor!$E$23="Core",Nonlabor!$F$23,MAX(Nonlabor!$F$23,IF(Nonlabor!$E$23="AI",Assumptions!$D$24,Assumptions!$D$25)))),AND(Nonlabor!$H$23="Annual",MOD(C2388-IF(Nonlabor!$E$23="Core",Nonlabor!$F$23,MAX(Nonlabor!$F$23,IF(Nonlabor!$E$23="AI",Assumptions!$D$24,Assumptions!$D$25))),12)=0))),IF(Nonlabor!$I$23="Fixed",1,IF(Nonlabor!$I$23="Seats",ROUNDUP('Monthly Base'!I48,0),IF(Nonlabor!$I$23="Customers",'Monthly Base'!D48,IF(Nonlabor!$I$23="NewCustomers",'Monthly Base'!C48,IF(Nonlabor!$I$23="StorageGB",'Monthly Base'!G48,IF(Nonlabor!$I$23="LogGB",'Monthly Base'!H48,IF(Nonlabor!$I$23="RequestsM",'Monthly Base'!F48,IF(Nonlabor!$I$23="InputM",'Monthly Base'!D48*Assumptions!$D$22/1000000,IF(Nonlabor!$I$23="OutputM",'Monthly Base'!D48*Assumptions!$D$23/1000000,0))))))))),0)</f>
        <v>2.25</v>
      </c>
      <c r="F2388" s="10" t="n">
        <f aca="false">Nonlabor!$J$23*(1+Assumptions!$D$9)^INT((C2388-1)/12)</f>
        <v>327.8181</v>
      </c>
      <c r="G2388" s="10" t="n">
        <f aca="false">E2388*F2388</f>
        <v>737.590725</v>
      </c>
      <c r="H2388" s="10" t="n">
        <f aca="false">IF(OR(Nonlabor!$L$23="Quote required",Nonlabor!$L$23="Unverified"),G2388,0)</f>
        <v>0</v>
      </c>
      <c r="I2388" s="10" t="n">
        <f aca="false">IF(Nonlabor!$E$23="Core",0,G2388)</f>
        <v>0</v>
      </c>
      <c r="J2388" s="23" t="str">
        <f aca="false">Nonlabor!$B$23</f>
        <v>ONBOARD</v>
      </c>
    </row>
    <row r="2389" customFormat="false" ht="15" hidden="false" customHeight="false" outlineLevel="0" collapsed="false">
      <c r="A2389" s="6" t="s">
        <v>4</v>
      </c>
      <c r="B2389" s="6" t="s">
        <v>57</v>
      </c>
      <c r="C2389" s="6" t="n">
        <v>44</v>
      </c>
      <c r="D2389" s="25" t="n">
        <f aca="false">EDATE('Start Here'!$B$6,C2389-1)</f>
        <v>47635</v>
      </c>
      <c r="E2389" s="11" t="n">
        <f aca="false">IF(AND(OR(Nonlabor!$D$23="Both",Nonlabor!$D$23='Start Here'!$B$9),IF(Nonlabor!$E$23="Core",1,IF(Nonlabor!$E$23="AI",'Start Here'!$B$7,'Start Here'!$B$8))=1,C2389&gt;=IF(Nonlabor!$E$23="Core",Nonlabor!$F$23,MAX(Nonlabor!$F$23,IF(Nonlabor!$E$23="AI",Assumptions!$D$24,Assumptions!$D$25))),C2389&lt;=Nonlabor!$G$23,OR(Nonlabor!$H$23="Monthly",AND(Nonlabor!$H$23="Once",C2389=IF(Nonlabor!$E$23="Core",Nonlabor!$F$23,MAX(Nonlabor!$F$23,IF(Nonlabor!$E$23="AI",Assumptions!$D$24,Assumptions!$D$25)))),AND(Nonlabor!$H$23="Annual",MOD(C2389-IF(Nonlabor!$E$23="Core",Nonlabor!$F$23,MAX(Nonlabor!$F$23,IF(Nonlabor!$E$23="AI",Assumptions!$D$24,Assumptions!$D$25))),12)=0))),IF(Nonlabor!$I$23="Fixed",1,IF(Nonlabor!$I$23="Seats",ROUNDUP('Monthly Base'!I49,0),IF(Nonlabor!$I$23="Customers",'Monthly Base'!D49,IF(Nonlabor!$I$23="NewCustomers",'Monthly Base'!C49,IF(Nonlabor!$I$23="StorageGB",'Monthly Base'!G49,IF(Nonlabor!$I$23="LogGB",'Monthly Base'!H49,IF(Nonlabor!$I$23="RequestsM",'Monthly Base'!F49,IF(Nonlabor!$I$23="InputM",'Monthly Base'!D49*Assumptions!$D$22/1000000,IF(Nonlabor!$I$23="OutputM",'Monthly Base'!D49*Assumptions!$D$23/1000000,0))))))))),0)</f>
        <v>2.25</v>
      </c>
      <c r="F2389" s="10" t="n">
        <f aca="false">Nonlabor!$J$23*(1+Assumptions!$D$9)^INT((C2389-1)/12)</f>
        <v>327.8181</v>
      </c>
      <c r="G2389" s="10" t="n">
        <f aca="false">E2389*F2389</f>
        <v>737.590725</v>
      </c>
      <c r="H2389" s="10" t="n">
        <f aca="false">IF(OR(Nonlabor!$L$23="Quote required",Nonlabor!$L$23="Unverified"),G2389,0)</f>
        <v>0</v>
      </c>
      <c r="I2389" s="10" t="n">
        <f aca="false">IF(Nonlabor!$E$23="Core",0,G2389)</f>
        <v>0</v>
      </c>
      <c r="J2389" s="23" t="str">
        <f aca="false">Nonlabor!$B$23</f>
        <v>ONBOARD</v>
      </c>
    </row>
    <row r="2390" customFormat="false" ht="15" hidden="false" customHeight="false" outlineLevel="0" collapsed="false">
      <c r="A2390" s="6" t="s">
        <v>4</v>
      </c>
      <c r="B2390" s="6" t="s">
        <v>57</v>
      </c>
      <c r="C2390" s="6" t="n">
        <v>45</v>
      </c>
      <c r="D2390" s="25" t="n">
        <f aca="false">EDATE('Start Here'!$B$6,C2390-1)</f>
        <v>47665</v>
      </c>
      <c r="E2390" s="11" t="n">
        <f aca="false">IF(AND(OR(Nonlabor!$D$23="Both",Nonlabor!$D$23='Start Here'!$B$9),IF(Nonlabor!$E$23="Core",1,IF(Nonlabor!$E$23="AI",'Start Here'!$B$7,'Start Here'!$B$8))=1,C2390&gt;=IF(Nonlabor!$E$23="Core",Nonlabor!$F$23,MAX(Nonlabor!$F$23,IF(Nonlabor!$E$23="AI",Assumptions!$D$24,Assumptions!$D$25))),C2390&lt;=Nonlabor!$G$23,OR(Nonlabor!$H$23="Monthly",AND(Nonlabor!$H$23="Once",C2390=IF(Nonlabor!$E$23="Core",Nonlabor!$F$23,MAX(Nonlabor!$F$23,IF(Nonlabor!$E$23="AI",Assumptions!$D$24,Assumptions!$D$25)))),AND(Nonlabor!$H$23="Annual",MOD(C2390-IF(Nonlabor!$E$23="Core",Nonlabor!$F$23,MAX(Nonlabor!$F$23,IF(Nonlabor!$E$23="AI",Assumptions!$D$24,Assumptions!$D$25))),12)=0))),IF(Nonlabor!$I$23="Fixed",1,IF(Nonlabor!$I$23="Seats",ROUNDUP('Monthly Base'!I50,0),IF(Nonlabor!$I$23="Customers",'Monthly Base'!D50,IF(Nonlabor!$I$23="NewCustomers",'Monthly Base'!C50,IF(Nonlabor!$I$23="StorageGB",'Monthly Base'!G50,IF(Nonlabor!$I$23="LogGB",'Monthly Base'!H50,IF(Nonlabor!$I$23="RequestsM",'Monthly Base'!F50,IF(Nonlabor!$I$23="InputM",'Monthly Base'!D50*Assumptions!$D$22/1000000,IF(Nonlabor!$I$23="OutputM",'Monthly Base'!D50*Assumptions!$D$23/1000000,0))))))))),0)</f>
        <v>2.25</v>
      </c>
      <c r="F2390" s="10" t="n">
        <f aca="false">Nonlabor!$J$23*(1+Assumptions!$D$9)^INT((C2390-1)/12)</f>
        <v>327.8181</v>
      </c>
      <c r="G2390" s="10" t="n">
        <f aca="false">E2390*F2390</f>
        <v>737.590725</v>
      </c>
      <c r="H2390" s="10" t="n">
        <f aca="false">IF(OR(Nonlabor!$L$23="Quote required",Nonlabor!$L$23="Unverified"),G2390,0)</f>
        <v>0</v>
      </c>
      <c r="I2390" s="10" t="n">
        <f aca="false">IF(Nonlabor!$E$23="Core",0,G2390)</f>
        <v>0</v>
      </c>
      <c r="J2390" s="23" t="str">
        <f aca="false">Nonlabor!$B$23</f>
        <v>ONBOARD</v>
      </c>
    </row>
    <row r="2391" customFormat="false" ht="15" hidden="false" customHeight="false" outlineLevel="0" collapsed="false">
      <c r="A2391" s="6" t="s">
        <v>4</v>
      </c>
      <c r="B2391" s="6" t="s">
        <v>57</v>
      </c>
      <c r="C2391" s="6" t="n">
        <v>46</v>
      </c>
      <c r="D2391" s="25" t="n">
        <f aca="false">EDATE('Start Here'!$B$6,C2391-1)</f>
        <v>47696</v>
      </c>
      <c r="E2391" s="11" t="n">
        <f aca="false">IF(AND(OR(Nonlabor!$D$23="Both",Nonlabor!$D$23='Start Here'!$B$9),IF(Nonlabor!$E$23="Core",1,IF(Nonlabor!$E$23="AI",'Start Here'!$B$7,'Start Here'!$B$8))=1,C2391&gt;=IF(Nonlabor!$E$23="Core",Nonlabor!$F$23,MAX(Nonlabor!$F$23,IF(Nonlabor!$E$23="AI",Assumptions!$D$24,Assumptions!$D$25))),C2391&lt;=Nonlabor!$G$23,OR(Nonlabor!$H$23="Monthly",AND(Nonlabor!$H$23="Once",C2391=IF(Nonlabor!$E$23="Core",Nonlabor!$F$23,MAX(Nonlabor!$F$23,IF(Nonlabor!$E$23="AI",Assumptions!$D$24,Assumptions!$D$25)))),AND(Nonlabor!$H$23="Annual",MOD(C2391-IF(Nonlabor!$E$23="Core",Nonlabor!$F$23,MAX(Nonlabor!$F$23,IF(Nonlabor!$E$23="AI",Assumptions!$D$24,Assumptions!$D$25))),12)=0))),IF(Nonlabor!$I$23="Fixed",1,IF(Nonlabor!$I$23="Seats",ROUNDUP('Monthly Base'!I51,0),IF(Nonlabor!$I$23="Customers",'Monthly Base'!D51,IF(Nonlabor!$I$23="NewCustomers",'Monthly Base'!C51,IF(Nonlabor!$I$23="StorageGB",'Monthly Base'!G51,IF(Nonlabor!$I$23="LogGB",'Monthly Base'!H51,IF(Nonlabor!$I$23="RequestsM",'Monthly Base'!F51,IF(Nonlabor!$I$23="InputM",'Monthly Base'!D51*Assumptions!$D$22/1000000,IF(Nonlabor!$I$23="OutputM",'Monthly Base'!D51*Assumptions!$D$23/1000000,0))))))))),0)</f>
        <v>2.25</v>
      </c>
      <c r="F2391" s="10" t="n">
        <f aca="false">Nonlabor!$J$23*(1+Assumptions!$D$9)^INT((C2391-1)/12)</f>
        <v>327.8181</v>
      </c>
      <c r="G2391" s="10" t="n">
        <f aca="false">E2391*F2391</f>
        <v>737.590725</v>
      </c>
      <c r="H2391" s="10" t="n">
        <f aca="false">IF(OR(Nonlabor!$L$23="Quote required",Nonlabor!$L$23="Unverified"),G2391,0)</f>
        <v>0</v>
      </c>
      <c r="I2391" s="10" t="n">
        <f aca="false">IF(Nonlabor!$E$23="Core",0,G2391)</f>
        <v>0</v>
      </c>
      <c r="J2391" s="23" t="str">
        <f aca="false">Nonlabor!$B$23</f>
        <v>ONBOARD</v>
      </c>
    </row>
    <row r="2392" customFormat="false" ht="15" hidden="false" customHeight="false" outlineLevel="0" collapsed="false">
      <c r="A2392" s="6" t="s">
        <v>4</v>
      </c>
      <c r="B2392" s="6" t="s">
        <v>57</v>
      </c>
      <c r="C2392" s="6" t="n">
        <v>47</v>
      </c>
      <c r="D2392" s="25" t="n">
        <f aca="false">EDATE('Start Here'!$B$6,C2392-1)</f>
        <v>47727</v>
      </c>
      <c r="E2392" s="11" t="n">
        <f aca="false">IF(AND(OR(Nonlabor!$D$23="Both",Nonlabor!$D$23='Start Here'!$B$9),IF(Nonlabor!$E$23="Core",1,IF(Nonlabor!$E$23="AI",'Start Here'!$B$7,'Start Here'!$B$8))=1,C2392&gt;=IF(Nonlabor!$E$23="Core",Nonlabor!$F$23,MAX(Nonlabor!$F$23,IF(Nonlabor!$E$23="AI",Assumptions!$D$24,Assumptions!$D$25))),C2392&lt;=Nonlabor!$G$23,OR(Nonlabor!$H$23="Monthly",AND(Nonlabor!$H$23="Once",C2392=IF(Nonlabor!$E$23="Core",Nonlabor!$F$23,MAX(Nonlabor!$F$23,IF(Nonlabor!$E$23="AI",Assumptions!$D$24,Assumptions!$D$25)))),AND(Nonlabor!$H$23="Annual",MOD(C2392-IF(Nonlabor!$E$23="Core",Nonlabor!$F$23,MAX(Nonlabor!$F$23,IF(Nonlabor!$E$23="AI",Assumptions!$D$24,Assumptions!$D$25))),12)=0))),IF(Nonlabor!$I$23="Fixed",1,IF(Nonlabor!$I$23="Seats",ROUNDUP('Monthly Base'!I52,0),IF(Nonlabor!$I$23="Customers",'Monthly Base'!D52,IF(Nonlabor!$I$23="NewCustomers",'Monthly Base'!C52,IF(Nonlabor!$I$23="StorageGB",'Monthly Base'!G52,IF(Nonlabor!$I$23="LogGB",'Monthly Base'!H52,IF(Nonlabor!$I$23="RequestsM",'Monthly Base'!F52,IF(Nonlabor!$I$23="InputM",'Monthly Base'!D52*Assumptions!$D$22/1000000,IF(Nonlabor!$I$23="OutputM",'Monthly Base'!D52*Assumptions!$D$23/1000000,0))))))))),0)</f>
        <v>2.25</v>
      </c>
      <c r="F2392" s="10" t="n">
        <f aca="false">Nonlabor!$J$23*(1+Assumptions!$D$9)^INT((C2392-1)/12)</f>
        <v>327.8181</v>
      </c>
      <c r="G2392" s="10" t="n">
        <f aca="false">E2392*F2392</f>
        <v>737.590725</v>
      </c>
      <c r="H2392" s="10" t="n">
        <f aca="false">IF(OR(Nonlabor!$L$23="Quote required",Nonlabor!$L$23="Unverified"),G2392,0)</f>
        <v>0</v>
      </c>
      <c r="I2392" s="10" t="n">
        <f aca="false">IF(Nonlabor!$E$23="Core",0,G2392)</f>
        <v>0</v>
      </c>
      <c r="J2392" s="23" t="str">
        <f aca="false">Nonlabor!$B$23</f>
        <v>ONBOARD</v>
      </c>
    </row>
    <row r="2393" customFormat="false" ht="15" hidden="false" customHeight="false" outlineLevel="0" collapsed="false">
      <c r="A2393" s="6" t="s">
        <v>4</v>
      </c>
      <c r="B2393" s="6" t="s">
        <v>57</v>
      </c>
      <c r="C2393" s="6" t="n">
        <v>48</v>
      </c>
      <c r="D2393" s="25" t="n">
        <f aca="false">EDATE('Start Here'!$B$6,C2393-1)</f>
        <v>47757</v>
      </c>
      <c r="E2393" s="11" t="n">
        <f aca="false">IF(AND(OR(Nonlabor!$D$23="Both",Nonlabor!$D$23='Start Here'!$B$9),IF(Nonlabor!$E$23="Core",1,IF(Nonlabor!$E$23="AI",'Start Here'!$B$7,'Start Here'!$B$8))=1,C2393&gt;=IF(Nonlabor!$E$23="Core",Nonlabor!$F$23,MAX(Nonlabor!$F$23,IF(Nonlabor!$E$23="AI",Assumptions!$D$24,Assumptions!$D$25))),C2393&lt;=Nonlabor!$G$23,OR(Nonlabor!$H$23="Monthly",AND(Nonlabor!$H$23="Once",C2393=IF(Nonlabor!$E$23="Core",Nonlabor!$F$23,MAX(Nonlabor!$F$23,IF(Nonlabor!$E$23="AI",Assumptions!$D$24,Assumptions!$D$25)))),AND(Nonlabor!$H$23="Annual",MOD(C2393-IF(Nonlabor!$E$23="Core",Nonlabor!$F$23,MAX(Nonlabor!$F$23,IF(Nonlabor!$E$23="AI",Assumptions!$D$24,Assumptions!$D$25))),12)=0))),IF(Nonlabor!$I$23="Fixed",1,IF(Nonlabor!$I$23="Seats",ROUNDUP('Monthly Base'!I53,0),IF(Nonlabor!$I$23="Customers",'Monthly Base'!D53,IF(Nonlabor!$I$23="NewCustomers",'Monthly Base'!C53,IF(Nonlabor!$I$23="StorageGB",'Monthly Base'!G53,IF(Nonlabor!$I$23="LogGB",'Monthly Base'!H53,IF(Nonlabor!$I$23="RequestsM",'Monthly Base'!F53,IF(Nonlabor!$I$23="InputM",'Monthly Base'!D53*Assumptions!$D$22/1000000,IF(Nonlabor!$I$23="OutputM",'Monthly Base'!D53*Assumptions!$D$23/1000000,0))))))))),0)</f>
        <v>2.25</v>
      </c>
      <c r="F2393" s="10" t="n">
        <f aca="false">Nonlabor!$J$23*(1+Assumptions!$D$9)^INT((C2393-1)/12)</f>
        <v>327.8181</v>
      </c>
      <c r="G2393" s="10" t="n">
        <f aca="false">E2393*F2393</f>
        <v>737.590725</v>
      </c>
      <c r="H2393" s="10" t="n">
        <f aca="false">IF(OR(Nonlabor!$L$23="Quote required",Nonlabor!$L$23="Unverified"),G2393,0)</f>
        <v>0</v>
      </c>
      <c r="I2393" s="10" t="n">
        <f aca="false">IF(Nonlabor!$E$23="Core",0,G2393)</f>
        <v>0</v>
      </c>
      <c r="J2393" s="23" t="str">
        <f aca="false">Nonlabor!$B$23</f>
        <v>ONBOARD</v>
      </c>
    </row>
    <row r="2394" customFormat="false" ht="15" hidden="false" customHeight="false" outlineLevel="0" collapsed="false">
      <c r="A2394" s="6" t="s">
        <v>4</v>
      </c>
      <c r="B2394" s="6" t="s">
        <v>57</v>
      </c>
      <c r="C2394" s="6" t="n">
        <v>49</v>
      </c>
      <c r="D2394" s="25" t="n">
        <f aca="false">EDATE('Start Here'!$B$6,C2394-1)</f>
        <v>47788</v>
      </c>
      <c r="E2394" s="11" t="n">
        <f aca="false">IF(AND(OR(Nonlabor!$D$23="Both",Nonlabor!$D$23='Start Here'!$B$9),IF(Nonlabor!$E$23="Core",1,IF(Nonlabor!$E$23="AI",'Start Here'!$B$7,'Start Here'!$B$8))=1,C2394&gt;=IF(Nonlabor!$E$23="Core",Nonlabor!$F$23,MAX(Nonlabor!$F$23,IF(Nonlabor!$E$23="AI",Assumptions!$D$24,Assumptions!$D$25))),C2394&lt;=Nonlabor!$G$23,OR(Nonlabor!$H$23="Monthly",AND(Nonlabor!$H$23="Once",C2394=IF(Nonlabor!$E$23="Core",Nonlabor!$F$23,MAX(Nonlabor!$F$23,IF(Nonlabor!$E$23="AI",Assumptions!$D$24,Assumptions!$D$25)))),AND(Nonlabor!$H$23="Annual",MOD(C2394-IF(Nonlabor!$E$23="Core",Nonlabor!$F$23,MAX(Nonlabor!$F$23,IF(Nonlabor!$E$23="AI",Assumptions!$D$24,Assumptions!$D$25))),12)=0))),IF(Nonlabor!$I$23="Fixed",1,IF(Nonlabor!$I$23="Seats",ROUNDUP('Monthly Base'!I54,0),IF(Nonlabor!$I$23="Customers",'Monthly Base'!D54,IF(Nonlabor!$I$23="NewCustomers",'Monthly Base'!C54,IF(Nonlabor!$I$23="StorageGB",'Monthly Base'!G54,IF(Nonlabor!$I$23="LogGB",'Monthly Base'!H54,IF(Nonlabor!$I$23="RequestsM",'Monthly Base'!F54,IF(Nonlabor!$I$23="InputM",'Monthly Base'!D54*Assumptions!$D$22/1000000,IF(Nonlabor!$I$23="OutputM",'Monthly Base'!D54*Assumptions!$D$23/1000000,0))))))))),0)</f>
        <v>3.375</v>
      </c>
      <c r="F2394" s="10" t="n">
        <f aca="false">Nonlabor!$J$23*(1+Assumptions!$D$9)^INT((C2394-1)/12)</f>
        <v>337.652643</v>
      </c>
      <c r="G2394" s="10" t="n">
        <f aca="false">E2394*F2394</f>
        <v>1139.577670125</v>
      </c>
      <c r="H2394" s="10" t="n">
        <f aca="false">IF(OR(Nonlabor!$L$23="Quote required",Nonlabor!$L$23="Unverified"),G2394,0)</f>
        <v>0</v>
      </c>
      <c r="I2394" s="10" t="n">
        <f aca="false">IF(Nonlabor!$E$23="Core",0,G2394)</f>
        <v>0</v>
      </c>
      <c r="J2394" s="23" t="str">
        <f aca="false">Nonlabor!$B$23</f>
        <v>ONBOARD</v>
      </c>
    </row>
    <row r="2395" customFormat="false" ht="15" hidden="false" customHeight="false" outlineLevel="0" collapsed="false">
      <c r="A2395" s="6" t="s">
        <v>4</v>
      </c>
      <c r="B2395" s="6" t="s">
        <v>57</v>
      </c>
      <c r="C2395" s="6" t="n">
        <v>50</v>
      </c>
      <c r="D2395" s="25" t="n">
        <f aca="false">EDATE('Start Here'!$B$6,C2395-1)</f>
        <v>47818</v>
      </c>
      <c r="E2395" s="11" t="n">
        <f aca="false">IF(AND(OR(Nonlabor!$D$23="Both",Nonlabor!$D$23='Start Here'!$B$9),IF(Nonlabor!$E$23="Core",1,IF(Nonlabor!$E$23="AI",'Start Here'!$B$7,'Start Here'!$B$8))=1,C2395&gt;=IF(Nonlabor!$E$23="Core",Nonlabor!$F$23,MAX(Nonlabor!$F$23,IF(Nonlabor!$E$23="AI",Assumptions!$D$24,Assumptions!$D$25))),C2395&lt;=Nonlabor!$G$23,OR(Nonlabor!$H$23="Monthly",AND(Nonlabor!$H$23="Once",C2395=IF(Nonlabor!$E$23="Core",Nonlabor!$F$23,MAX(Nonlabor!$F$23,IF(Nonlabor!$E$23="AI",Assumptions!$D$24,Assumptions!$D$25)))),AND(Nonlabor!$H$23="Annual",MOD(C2395-IF(Nonlabor!$E$23="Core",Nonlabor!$F$23,MAX(Nonlabor!$F$23,IF(Nonlabor!$E$23="AI",Assumptions!$D$24,Assumptions!$D$25))),12)=0))),IF(Nonlabor!$I$23="Fixed",1,IF(Nonlabor!$I$23="Seats",ROUNDUP('Monthly Base'!I55,0),IF(Nonlabor!$I$23="Customers",'Monthly Base'!D55,IF(Nonlabor!$I$23="NewCustomers",'Monthly Base'!C55,IF(Nonlabor!$I$23="StorageGB",'Monthly Base'!G55,IF(Nonlabor!$I$23="LogGB",'Monthly Base'!H55,IF(Nonlabor!$I$23="RequestsM",'Monthly Base'!F55,IF(Nonlabor!$I$23="InputM",'Monthly Base'!D55*Assumptions!$D$22/1000000,IF(Nonlabor!$I$23="OutputM",'Monthly Base'!D55*Assumptions!$D$23/1000000,0))))))))),0)</f>
        <v>3.375</v>
      </c>
      <c r="F2395" s="10" t="n">
        <f aca="false">Nonlabor!$J$23*(1+Assumptions!$D$9)^INT((C2395-1)/12)</f>
        <v>337.652643</v>
      </c>
      <c r="G2395" s="10" t="n">
        <f aca="false">E2395*F2395</f>
        <v>1139.577670125</v>
      </c>
      <c r="H2395" s="10" t="n">
        <f aca="false">IF(OR(Nonlabor!$L$23="Quote required",Nonlabor!$L$23="Unverified"),G2395,0)</f>
        <v>0</v>
      </c>
      <c r="I2395" s="10" t="n">
        <f aca="false">IF(Nonlabor!$E$23="Core",0,G2395)</f>
        <v>0</v>
      </c>
      <c r="J2395" s="23" t="str">
        <f aca="false">Nonlabor!$B$23</f>
        <v>ONBOARD</v>
      </c>
    </row>
    <row r="2396" customFormat="false" ht="15" hidden="false" customHeight="false" outlineLevel="0" collapsed="false">
      <c r="A2396" s="6" t="s">
        <v>4</v>
      </c>
      <c r="B2396" s="6" t="s">
        <v>57</v>
      </c>
      <c r="C2396" s="6" t="n">
        <v>51</v>
      </c>
      <c r="D2396" s="25" t="n">
        <f aca="false">EDATE('Start Here'!$B$6,C2396-1)</f>
        <v>47849</v>
      </c>
      <c r="E2396" s="11" t="n">
        <f aca="false">IF(AND(OR(Nonlabor!$D$23="Both",Nonlabor!$D$23='Start Here'!$B$9),IF(Nonlabor!$E$23="Core",1,IF(Nonlabor!$E$23="AI",'Start Here'!$B$7,'Start Here'!$B$8))=1,C2396&gt;=IF(Nonlabor!$E$23="Core",Nonlabor!$F$23,MAX(Nonlabor!$F$23,IF(Nonlabor!$E$23="AI",Assumptions!$D$24,Assumptions!$D$25))),C2396&lt;=Nonlabor!$G$23,OR(Nonlabor!$H$23="Monthly",AND(Nonlabor!$H$23="Once",C2396=IF(Nonlabor!$E$23="Core",Nonlabor!$F$23,MAX(Nonlabor!$F$23,IF(Nonlabor!$E$23="AI",Assumptions!$D$24,Assumptions!$D$25)))),AND(Nonlabor!$H$23="Annual",MOD(C2396-IF(Nonlabor!$E$23="Core",Nonlabor!$F$23,MAX(Nonlabor!$F$23,IF(Nonlabor!$E$23="AI",Assumptions!$D$24,Assumptions!$D$25))),12)=0))),IF(Nonlabor!$I$23="Fixed",1,IF(Nonlabor!$I$23="Seats",ROUNDUP('Monthly Base'!I56,0),IF(Nonlabor!$I$23="Customers",'Monthly Base'!D56,IF(Nonlabor!$I$23="NewCustomers",'Monthly Base'!C56,IF(Nonlabor!$I$23="StorageGB",'Monthly Base'!G56,IF(Nonlabor!$I$23="LogGB",'Monthly Base'!H56,IF(Nonlabor!$I$23="RequestsM",'Monthly Base'!F56,IF(Nonlabor!$I$23="InputM",'Monthly Base'!D56*Assumptions!$D$22/1000000,IF(Nonlabor!$I$23="OutputM",'Monthly Base'!D56*Assumptions!$D$23/1000000,0))))))))),0)</f>
        <v>3.375</v>
      </c>
      <c r="F2396" s="10" t="n">
        <f aca="false">Nonlabor!$J$23*(1+Assumptions!$D$9)^INT((C2396-1)/12)</f>
        <v>337.652643</v>
      </c>
      <c r="G2396" s="10" t="n">
        <f aca="false">E2396*F2396</f>
        <v>1139.577670125</v>
      </c>
      <c r="H2396" s="10" t="n">
        <f aca="false">IF(OR(Nonlabor!$L$23="Quote required",Nonlabor!$L$23="Unverified"),G2396,0)</f>
        <v>0</v>
      </c>
      <c r="I2396" s="10" t="n">
        <f aca="false">IF(Nonlabor!$E$23="Core",0,G2396)</f>
        <v>0</v>
      </c>
      <c r="J2396" s="23" t="str">
        <f aca="false">Nonlabor!$B$23</f>
        <v>ONBOARD</v>
      </c>
    </row>
    <row r="2397" customFormat="false" ht="15" hidden="false" customHeight="false" outlineLevel="0" collapsed="false">
      <c r="A2397" s="6" t="s">
        <v>4</v>
      </c>
      <c r="B2397" s="6" t="s">
        <v>57</v>
      </c>
      <c r="C2397" s="6" t="n">
        <v>52</v>
      </c>
      <c r="D2397" s="25" t="n">
        <f aca="false">EDATE('Start Here'!$B$6,C2397-1)</f>
        <v>47880</v>
      </c>
      <c r="E2397" s="11" t="n">
        <f aca="false">IF(AND(OR(Nonlabor!$D$23="Both",Nonlabor!$D$23='Start Here'!$B$9),IF(Nonlabor!$E$23="Core",1,IF(Nonlabor!$E$23="AI",'Start Here'!$B$7,'Start Here'!$B$8))=1,C2397&gt;=IF(Nonlabor!$E$23="Core",Nonlabor!$F$23,MAX(Nonlabor!$F$23,IF(Nonlabor!$E$23="AI",Assumptions!$D$24,Assumptions!$D$25))),C2397&lt;=Nonlabor!$G$23,OR(Nonlabor!$H$23="Monthly",AND(Nonlabor!$H$23="Once",C2397=IF(Nonlabor!$E$23="Core",Nonlabor!$F$23,MAX(Nonlabor!$F$23,IF(Nonlabor!$E$23="AI",Assumptions!$D$24,Assumptions!$D$25)))),AND(Nonlabor!$H$23="Annual",MOD(C2397-IF(Nonlabor!$E$23="Core",Nonlabor!$F$23,MAX(Nonlabor!$F$23,IF(Nonlabor!$E$23="AI",Assumptions!$D$24,Assumptions!$D$25))),12)=0))),IF(Nonlabor!$I$23="Fixed",1,IF(Nonlabor!$I$23="Seats",ROUNDUP('Monthly Base'!I57,0),IF(Nonlabor!$I$23="Customers",'Monthly Base'!D57,IF(Nonlabor!$I$23="NewCustomers",'Monthly Base'!C57,IF(Nonlabor!$I$23="StorageGB",'Monthly Base'!G57,IF(Nonlabor!$I$23="LogGB",'Monthly Base'!H57,IF(Nonlabor!$I$23="RequestsM",'Monthly Base'!F57,IF(Nonlabor!$I$23="InputM",'Monthly Base'!D57*Assumptions!$D$22/1000000,IF(Nonlabor!$I$23="OutputM",'Monthly Base'!D57*Assumptions!$D$23/1000000,0))))))))),0)</f>
        <v>3.375</v>
      </c>
      <c r="F2397" s="10" t="n">
        <f aca="false">Nonlabor!$J$23*(1+Assumptions!$D$9)^INT((C2397-1)/12)</f>
        <v>337.652643</v>
      </c>
      <c r="G2397" s="10" t="n">
        <f aca="false">E2397*F2397</f>
        <v>1139.577670125</v>
      </c>
      <c r="H2397" s="10" t="n">
        <f aca="false">IF(OR(Nonlabor!$L$23="Quote required",Nonlabor!$L$23="Unverified"),G2397,0)</f>
        <v>0</v>
      </c>
      <c r="I2397" s="10" t="n">
        <f aca="false">IF(Nonlabor!$E$23="Core",0,G2397)</f>
        <v>0</v>
      </c>
      <c r="J2397" s="23" t="str">
        <f aca="false">Nonlabor!$B$23</f>
        <v>ONBOARD</v>
      </c>
    </row>
    <row r="2398" customFormat="false" ht="15" hidden="false" customHeight="false" outlineLevel="0" collapsed="false">
      <c r="A2398" s="6" t="s">
        <v>4</v>
      </c>
      <c r="B2398" s="6" t="s">
        <v>57</v>
      </c>
      <c r="C2398" s="6" t="n">
        <v>53</v>
      </c>
      <c r="D2398" s="25" t="n">
        <f aca="false">EDATE('Start Here'!$B$6,C2398-1)</f>
        <v>47908</v>
      </c>
      <c r="E2398" s="11" t="n">
        <f aca="false">IF(AND(OR(Nonlabor!$D$23="Both",Nonlabor!$D$23='Start Here'!$B$9),IF(Nonlabor!$E$23="Core",1,IF(Nonlabor!$E$23="AI",'Start Here'!$B$7,'Start Here'!$B$8))=1,C2398&gt;=IF(Nonlabor!$E$23="Core",Nonlabor!$F$23,MAX(Nonlabor!$F$23,IF(Nonlabor!$E$23="AI",Assumptions!$D$24,Assumptions!$D$25))),C2398&lt;=Nonlabor!$G$23,OR(Nonlabor!$H$23="Monthly",AND(Nonlabor!$H$23="Once",C2398=IF(Nonlabor!$E$23="Core",Nonlabor!$F$23,MAX(Nonlabor!$F$23,IF(Nonlabor!$E$23="AI",Assumptions!$D$24,Assumptions!$D$25)))),AND(Nonlabor!$H$23="Annual",MOD(C2398-IF(Nonlabor!$E$23="Core",Nonlabor!$F$23,MAX(Nonlabor!$F$23,IF(Nonlabor!$E$23="AI",Assumptions!$D$24,Assumptions!$D$25))),12)=0))),IF(Nonlabor!$I$23="Fixed",1,IF(Nonlabor!$I$23="Seats",ROUNDUP('Monthly Base'!I58,0),IF(Nonlabor!$I$23="Customers",'Monthly Base'!D58,IF(Nonlabor!$I$23="NewCustomers",'Monthly Base'!C58,IF(Nonlabor!$I$23="StorageGB",'Monthly Base'!G58,IF(Nonlabor!$I$23="LogGB",'Monthly Base'!H58,IF(Nonlabor!$I$23="RequestsM",'Monthly Base'!F58,IF(Nonlabor!$I$23="InputM",'Monthly Base'!D58*Assumptions!$D$22/1000000,IF(Nonlabor!$I$23="OutputM",'Monthly Base'!D58*Assumptions!$D$23/1000000,0))))))))),0)</f>
        <v>3.375</v>
      </c>
      <c r="F2398" s="10" t="n">
        <f aca="false">Nonlabor!$J$23*(1+Assumptions!$D$9)^INT((C2398-1)/12)</f>
        <v>337.652643</v>
      </c>
      <c r="G2398" s="10" t="n">
        <f aca="false">E2398*F2398</f>
        <v>1139.577670125</v>
      </c>
      <c r="H2398" s="10" t="n">
        <f aca="false">IF(OR(Nonlabor!$L$23="Quote required",Nonlabor!$L$23="Unverified"),G2398,0)</f>
        <v>0</v>
      </c>
      <c r="I2398" s="10" t="n">
        <f aca="false">IF(Nonlabor!$E$23="Core",0,G2398)</f>
        <v>0</v>
      </c>
      <c r="J2398" s="23" t="str">
        <f aca="false">Nonlabor!$B$23</f>
        <v>ONBOARD</v>
      </c>
    </row>
    <row r="2399" customFormat="false" ht="15" hidden="false" customHeight="false" outlineLevel="0" collapsed="false">
      <c r="A2399" s="6" t="s">
        <v>4</v>
      </c>
      <c r="B2399" s="6" t="s">
        <v>57</v>
      </c>
      <c r="C2399" s="6" t="n">
        <v>54</v>
      </c>
      <c r="D2399" s="25" t="n">
        <f aca="false">EDATE('Start Here'!$B$6,C2399-1)</f>
        <v>47939</v>
      </c>
      <c r="E2399" s="11" t="n">
        <f aca="false">IF(AND(OR(Nonlabor!$D$23="Both",Nonlabor!$D$23='Start Here'!$B$9),IF(Nonlabor!$E$23="Core",1,IF(Nonlabor!$E$23="AI",'Start Here'!$B$7,'Start Here'!$B$8))=1,C2399&gt;=IF(Nonlabor!$E$23="Core",Nonlabor!$F$23,MAX(Nonlabor!$F$23,IF(Nonlabor!$E$23="AI",Assumptions!$D$24,Assumptions!$D$25))),C2399&lt;=Nonlabor!$G$23,OR(Nonlabor!$H$23="Monthly",AND(Nonlabor!$H$23="Once",C2399=IF(Nonlabor!$E$23="Core",Nonlabor!$F$23,MAX(Nonlabor!$F$23,IF(Nonlabor!$E$23="AI",Assumptions!$D$24,Assumptions!$D$25)))),AND(Nonlabor!$H$23="Annual",MOD(C2399-IF(Nonlabor!$E$23="Core",Nonlabor!$F$23,MAX(Nonlabor!$F$23,IF(Nonlabor!$E$23="AI",Assumptions!$D$24,Assumptions!$D$25))),12)=0))),IF(Nonlabor!$I$23="Fixed",1,IF(Nonlabor!$I$23="Seats",ROUNDUP('Monthly Base'!I59,0),IF(Nonlabor!$I$23="Customers",'Monthly Base'!D59,IF(Nonlabor!$I$23="NewCustomers",'Monthly Base'!C59,IF(Nonlabor!$I$23="StorageGB",'Monthly Base'!G59,IF(Nonlabor!$I$23="LogGB",'Monthly Base'!H59,IF(Nonlabor!$I$23="RequestsM",'Monthly Base'!F59,IF(Nonlabor!$I$23="InputM",'Monthly Base'!D59*Assumptions!$D$22/1000000,IF(Nonlabor!$I$23="OutputM",'Monthly Base'!D59*Assumptions!$D$23/1000000,0))))))))),0)</f>
        <v>3.375</v>
      </c>
      <c r="F2399" s="10" t="n">
        <f aca="false">Nonlabor!$J$23*(1+Assumptions!$D$9)^INT((C2399-1)/12)</f>
        <v>337.652643</v>
      </c>
      <c r="G2399" s="10" t="n">
        <f aca="false">E2399*F2399</f>
        <v>1139.577670125</v>
      </c>
      <c r="H2399" s="10" t="n">
        <f aca="false">IF(OR(Nonlabor!$L$23="Quote required",Nonlabor!$L$23="Unverified"),G2399,0)</f>
        <v>0</v>
      </c>
      <c r="I2399" s="10" t="n">
        <f aca="false">IF(Nonlabor!$E$23="Core",0,G2399)</f>
        <v>0</v>
      </c>
      <c r="J2399" s="23" t="str">
        <f aca="false">Nonlabor!$B$23</f>
        <v>ONBOARD</v>
      </c>
    </row>
    <row r="2400" customFormat="false" ht="15" hidden="false" customHeight="false" outlineLevel="0" collapsed="false">
      <c r="A2400" s="6" t="s">
        <v>4</v>
      </c>
      <c r="B2400" s="6" t="s">
        <v>57</v>
      </c>
      <c r="C2400" s="6" t="n">
        <v>55</v>
      </c>
      <c r="D2400" s="25" t="n">
        <f aca="false">EDATE('Start Here'!$B$6,C2400-1)</f>
        <v>47969</v>
      </c>
      <c r="E2400" s="11" t="n">
        <f aca="false">IF(AND(OR(Nonlabor!$D$23="Both",Nonlabor!$D$23='Start Here'!$B$9),IF(Nonlabor!$E$23="Core",1,IF(Nonlabor!$E$23="AI",'Start Here'!$B$7,'Start Here'!$B$8))=1,C2400&gt;=IF(Nonlabor!$E$23="Core",Nonlabor!$F$23,MAX(Nonlabor!$F$23,IF(Nonlabor!$E$23="AI",Assumptions!$D$24,Assumptions!$D$25))),C2400&lt;=Nonlabor!$G$23,OR(Nonlabor!$H$23="Monthly",AND(Nonlabor!$H$23="Once",C2400=IF(Nonlabor!$E$23="Core",Nonlabor!$F$23,MAX(Nonlabor!$F$23,IF(Nonlabor!$E$23="AI",Assumptions!$D$24,Assumptions!$D$25)))),AND(Nonlabor!$H$23="Annual",MOD(C2400-IF(Nonlabor!$E$23="Core",Nonlabor!$F$23,MAX(Nonlabor!$F$23,IF(Nonlabor!$E$23="AI",Assumptions!$D$24,Assumptions!$D$25))),12)=0))),IF(Nonlabor!$I$23="Fixed",1,IF(Nonlabor!$I$23="Seats",ROUNDUP('Monthly Base'!I60,0),IF(Nonlabor!$I$23="Customers",'Monthly Base'!D60,IF(Nonlabor!$I$23="NewCustomers",'Monthly Base'!C60,IF(Nonlabor!$I$23="StorageGB",'Monthly Base'!G60,IF(Nonlabor!$I$23="LogGB",'Monthly Base'!H60,IF(Nonlabor!$I$23="RequestsM",'Monthly Base'!F60,IF(Nonlabor!$I$23="InputM",'Monthly Base'!D60*Assumptions!$D$22/1000000,IF(Nonlabor!$I$23="OutputM",'Monthly Base'!D60*Assumptions!$D$23/1000000,0))))))))),0)</f>
        <v>3.375</v>
      </c>
      <c r="F2400" s="10" t="n">
        <f aca="false">Nonlabor!$J$23*(1+Assumptions!$D$9)^INT((C2400-1)/12)</f>
        <v>337.652643</v>
      </c>
      <c r="G2400" s="10" t="n">
        <f aca="false">E2400*F2400</f>
        <v>1139.577670125</v>
      </c>
      <c r="H2400" s="10" t="n">
        <f aca="false">IF(OR(Nonlabor!$L$23="Quote required",Nonlabor!$L$23="Unverified"),G2400,0)</f>
        <v>0</v>
      </c>
      <c r="I2400" s="10" t="n">
        <f aca="false">IF(Nonlabor!$E$23="Core",0,G2400)</f>
        <v>0</v>
      </c>
      <c r="J2400" s="23" t="str">
        <f aca="false">Nonlabor!$B$23</f>
        <v>ONBOARD</v>
      </c>
    </row>
    <row r="2401" customFormat="false" ht="15" hidden="false" customHeight="false" outlineLevel="0" collapsed="false">
      <c r="A2401" s="6" t="s">
        <v>4</v>
      </c>
      <c r="B2401" s="6" t="s">
        <v>57</v>
      </c>
      <c r="C2401" s="6" t="n">
        <v>56</v>
      </c>
      <c r="D2401" s="25" t="n">
        <f aca="false">EDATE('Start Here'!$B$6,C2401-1)</f>
        <v>48000</v>
      </c>
      <c r="E2401" s="11" t="n">
        <f aca="false">IF(AND(OR(Nonlabor!$D$23="Both",Nonlabor!$D$23='Start Here'!$B$9),IF(Nonlabor!$E$23="Core",1,IF(Nonlabor!$E$23="AI",'Start Here'!$B$7,'Start Here'!$B$8))=1,C2401&gt;=IF(Nonlabor!$E$23="Core",Nonlabor!$F$23,MAX(Nonlabor!$F$23,IF(Nonlabor!$E$23="AI",Assumptions!$D$24,Assumptions!$D$25))),C2401&lt;=Nonlabor!$G$23,OR(Nonlabor!$H$23="Monthly",AND(Nonlabor!$H$23="Once",C2401=IF(Nonlabor!$E$23="Core",Nonlabor!$F$23,MAX(Nonlabor!$F$23,IF(Nonlabor!$E$23="AI",Assumptions!$D$24,Assumptions!$D$25)))),AND(Nonlabor!$H$23="Annual",MOD(C2401-IF(Nonlabor!$E$23="Core",Nonlabor!$F$23,MAX(Nonlabor!$F$23,IF(Nonlabor!$E$23="AI",Assumptions!$D$24,Assumptions!$D$25))),12)=0))),IF(Nonlabor!$I$23="Fixed",1,IF(Nonlabor!$I$23="Seats",ROUNDUP('Monthly Base'!I61,0),IF(Nonlabor!$I$23="Customers",'Monthly Base'!D61,IF(Nonlabor!$I$23="NewCustomers",'Monthly Base'!C61,IF(Nonlabor!$I$23="StorageGB",'Monthly Base'!G61,IF(Nonlabor!$I$23="LogGB",'Monthly Base'!H61,IF(Nonlabor!$I$23="RequestsM",'Monthly Base'!F61,IF(Nonlabor!$I$23="InputM",'Monthly Base'!D61*Assumptions!$D$22/1000000,IF(Nonlabor!$I$23="OutputM",'Monthly Base'!D61*Assumptions!$D$23/1000000,0))))))))),0)</f>
        <v>3.375</v>
      </c>
      <c r="F2401" s="10" t="n">
        <f aca="false">Nonlabor!$J$23*(1+Assumptions!$D$9)^INT((C2401-1)/12)</f>
        <v>337.652643</v>
      </c>
      <c r="G2401" s="10" t="n">
        <f aca="false">E2401*F2401</f>
        <v>1139.577670125</v>
      </c>
      <c r="H2401" s="10" t="n">
        <f aca="false">IF(OR(Nonlabor!$L$23="Quote required",Nonlabor!$L$23="Unverified"),G2401,0)</f>
        <v>0</v>
      </c>
      <c r="I2401" s="10" t="n">
        <f aca="false">IF(Nonlabor!$E$23="Core",0,G2401)</f>
        <v>0</v>
      </c>
      <c r="J2401" s="23" t="str">
        <f aca="false">Nonlabor!$B$23</f>
        <v>ONBOARD</v>
      </c>
    </row>
    <row r="2402" customFormat="false" ht="15" hidden="false" customHeight="false" outlineLevel="0" collapsed="false">
      <c r="A2402" s="6" t="s">
        <v>4</v>
      </c>
      <c r="B2402" s="6" t="s">
        <v>57</v>
      </c>
      <c r="C2402" s="6" t="n">
        <v>57</v>
      </c>
      <c r="D2402" s="25" t="n">
        <f aca="false">EDATE('Start Here'!$B$6,C2402-1)</f>
        <v>48030</v>
      </c>
      <c r="E2402" s="11" t="n">
        <f aca="false">IF(AND(OR(Nonlabor!$D$23="Both",Nonlabor!$D$23='Start Here'!$B$9),IF(Nonlabor!$E$23="Core",1,IF(Nonlabor!$E$23="AI",'Start Here'!$B$7,'Start Here'!$B$8))=1,C2402&gt;=IF(Nonlabor!$E$23="Core",Nonlabor!$F$23,MAX(Nonlabor!$F$23,IF(Nonlabor!$E$23="AI",Assumptions!$D$24,Assumptions!$D$25))),C2402&lt;=Nonlabor!$G$23,OR(Nonlabor!$H$23="Monthly",AND(Nonlabor!$H$23="Once",C2402=IF(Nonlabor!$E$23="Core",Nonlabor!$F$23,MAX(Nonlabor!$F$23,IF(Nonlabor!$E$23="AI",Assumptions!$D$24,Assumptions!$D$25)))),AND(Nonlabor!$H$23="Annual",MOD(C2402-IF(Nonlabor!$E$23="Core",Nonlabor!$F$23,MAX(Nonlabor!$F$23,IF(Nonlabor!$E$23="AI",Assumptions!$D$24,Assumptions!$D$25))),12)=0))),IF(Nonlabor!$I$23="Fixed",1,IF(Nonlabor!$I$23="Seats",ROUNDUP('Monthly Base'!I62,0),IF(Nonlabor!$I$23="Customers",'Monthly Base'!D62,IF(Nonlabor!$I$23="NewCustomers",'Monthly Base'!C62,IF(Nonlabor!$I$23="StorageGB",'Monthly Base'!G62,IF(Nonlabor!$I$23="LogGB",'Monthly Base'!H62,IF(Nonlabor!$I$23="RequestsM",'Monthly Base'!F62,IF(Nonlabor!$I$23="InputM",'Monthly Base'!D62*Assumptions!$D$22/1000000,IF(Nonlabor!$I$23="OutputM",'Monthly Base'!D62*Assumptions!$D$23/1000000,0))))))))),0)</f>
        <v>3.375</v>
      </c>
      <c r="F2402" s="10" t="n">
        <f aca="false">Nonlabor!$J$23*(1+Assumptions!$D$9)^INT((C2402-1)/12)</f>
        <v>337.652643</v>
      </c>
      <c r="G2402" s="10" t="n">
        <f aca="false">E2402*F2402</f>
        <v>1139.577670125</v>
      </c>
      <c r="H2402" s="10" t="n">
        <f aca="false">IF(OR(Nonlabor!$L$23="Quote required",Nonlabor!$L$23="Unverified"),G2402,0)</f>
        <v>0</v>
      </c>
      <c r="I2402" s="10" t="n">
        <f aca="false">IF(Nonlabor!$E$23="Core",0,G2402)</f>
        <v>0</v>
      </c>
      <c r="J2402" s="23" t="str">
        <f aca="false">Nonlabor!$B$23</f>
        <v>ONBOARD</v>
      </c>
    </row>
    <row r="2403" customFormat="false" ht="15" hidden="false" customHeight="false" outlineLevel="0" collapsed="false">
      <c r="A2403" s="6" t="s">
        <v>4</v>
      </c>
      <c r="B2403" s="6" t="s">
        <v>57</v>
      </c>
      <c r="C2403" s="6" t="n">
        <v>58</v>
      </c>
      <c r="D2403" s="25" t="n">
        <f aca="false">EDATE('Start Here'!$B$6,C2403-1)</f>
        <v>48061</v>
      </c>
      <c r="E2403" s="11" t="n">
        <f aca="false">IF(AND(OR(Nonlabor!$D$23="Both",Nonlabor!$D$23='Start Here'!$B$9),IF(Nonlabor!$E$23="Core",1,IF(Nonlabor!$E$23="AI",'Start Here'!$B$7,'Start Here'!$B$8))=1,C2403&gt;=IF(Nonlabor!$E$23="Core",Nonlabor!$F$23,MAX(Nonlabor!$F$23,IF(Nonlabor!$E$23="AI",Assumptions!$D$24,Assumptions!$D$25))),C2403&lt;=Nonlabor!$G$23,OR(Nonlabor!$H$23="Monthly",AND(Nonlabor!$H$23="Once",C2403=IF(Nonlabor!$E$23="Core",Nonlabor!$F$23,MAX(Nonlabor!$F$23,IF(Nonlabor!$E$23="AI",Assumptions!$D$24,Assumptions!$D$25)))),AND(Nonlabor!$H$23="Annual",MOD(C2403-IF(Nonlabor!$E$23="Core",Nonlabor!$F$23,MAX(Nonlabor!$F$23,IF(Nonlabor!$E$23="AI",Assumptions!$D$24,Assumptions!$D$25))),12)=0))),IF(Nonlabor!$I$23="Fixed",1,IF(Nonlabor!$I$23="Seats",ROUNDUP('Monthly Base'!I63,0),IF(Nonlabor!$I$23="Customers",'Monthly Base'!D63,IF(Nonlabor!$I$23="NewCustomers",'Monthly Base'!C63,IF(Nonlabor!$I$23="StorageGB",'Monthly Base'!G63,IF(Nonlabor!$I$23="LogGB",'Monthly Base'!H63,IF(Nonlabor!$I$23="RequestsM",'Monthly Base'!F63,IF(Nonlabor!$I$23="InputM",'Monthly Base'!D63*Assumptions!$D$22/1000000,IF(Nonlabor!$I$23="OutputM",'Monthly Base'!D63*Assumptions!$D$23/1000000,0))))))))),0)</f>
        <v>3.375</v>
      </c>
      <c r="F2403" s="10" t="n">
        <f aca="false">Nonlabor!$J$23*(1+Assumptions!$D$9)^INT((C2403-1)/12)</f>
        <v>337.652643</v>
      </c>
      <c r="G2403" s="10" t="n">
        <f aca="false">E2403*F2403</f>
        <v>1139.577670125</v>
      </c>
      <c r="H2403" s="10" t="n">
        <f aca="false">IF(OR(Nonlabor!$L$23="Quote required",Nonlabor!$L$23="Unverified"),G2403,0)</f>
        <v>0</v>
      </c>
      <c r="I2403" s="10" t="n">
        <f aca="false">IF(Nonlabor!$E$23="Core",0,G2403)</f>
        <v>0</v>
      </c>
      <c r="J2403" s="23" t="str">
        <f aca="false">Nonlabor!$B$23</f>
        <v>ONBOARD</v>
      </c>
    </row>
    <row r="2404" customFormat="false" ht="15" hidden="false" customHeight="false" outlineLevel="0" collapsed="false">
      <c r="A2404" s="6" t="s">
        <v>4</v>
      </c>
      <c r="B2404" s="6" t="s">
        <v>57</v>
      </c>
      <c r="C2404" s="6" t="n">
        <v>59</v>
      </c>
      <c r="D2404" s="25" t="n">
        <f aca="false">EDATE('Start Here'!$B$6,C2404-1)</f>
        <v>48092</v>
      </c>
      <c r="E2404" s="11" t="n">
        <f aca="false">IF(AND(OR(Nonlabor!$D$23="Both",Nonlabor!$D$23='Start Here'!$B$9),IF(Nonlabor!$E$23="Core",1,IF(Nonlabor!$E$23="AI",'Start Here'!$B$7,'Start Here'!$B$8))=1,C2404&gt;=IF(Nonlabor!$E$23="Core",Nonlabor!$F$23,MAX(Nonlabor!$F$23,IF(Nonlabor!$E$23="AI",Assumptions!$D$24,Assumptions!$D$25))),C2404&lt;=Nonlabor!$G$23,OR(Nonlabor!$H$23="Monthly",AND(Nonlabor!$H$23="Once",C2404=IF(Nonlabor!$E$23="Core",Nonlabor!$F$23,MAX(Nonlabor!$F$23,IF(Nonlabor!$E$23="AI",Assumptions!$D$24,Assumptions!$D$25)))),AND(Nonlabor!$H$23="Annual",MOD(C2404-IF(Nonlabor!$E$23="Core",Nonlabor!$F$23,MAX(Nonlabor!$F$23,IF(Nonlabor!$E$23="AI",Assumptions!$D$24,Assumptions!$D$25))),12)=0))),IF(Nonlabor!$I$23="Fixed",1,IF(Nonlabor!$I$23="Seats",ROUNDUP('Monthly Base'!I64,0),IF(Nonlabor!$I$23="Customers",'Monthly Base'!D64,IF(Nonlabor!$I$23="NewCustomers",'Monthly Base'!C64,IF(Nonlabor!$I$23="StorageGB",'Monthly Base'!G64,IF(Nonlabor!$I$23="LogGB",'Monthly Base'!H64,IF(Nonlabor!$I$23="RequestsM",'Monthly Base'!F64,IF(Nonlabor!$I$23="InputM",'Monthly Base'!D64*Assumptions!$D$22/1000000,IF(Nonlabor!$I$23="OutputM",'Monthly Base'!D64*Assumptions!$D$23/1000000,0))))))))),0)</f>
        <v>3.375</v>
      </c>
      <c r="F2404" s="10" t="n">
        <f aca="false">Nonlabor!$J$23*(1+Assumptions!$D$9)^INT((C2404-1)/12)</f>
        <v>337.652643</v>
      </c>
      <c r="G2404" s="10" t="n">
        <f aca="false">E2404*F2404</f>
        <v>1139.577670125</v>
      </c>
      <c r="H2404" s="10" t="n">
        <f aca="false">IF(OR(Nonlabor!$L$23="Quote required",Nonlabor!$L$23="Unverified"),G2404,0)</f>
        <v>0</v>
      </c>
      <c r="I2404" s="10" t="n">
        <f aca="false">IF(Nonlabor!$E$23="Core",0,G2404)</f>
        <v>0</v>
      </c>
      <c r="J2404" s="23" t="str">
        <f aca="false">Nonlabor!$B$23</f>
        <v>ONBOARD</v>
      </c>
    </row>
    <row r="2405" customFormat="false" ht="15" hidden="false" customHeight="false" outlineLevel="0" collapsed="false">
      <c r="A2405" s="6" t="s">
        <v>4</v>
      </c>
      <c r="B2405" s="6" t="s">
        <v>57</v>
      </c>
      <c r="C2405" s="6" t="n">
        <v>60</v>
      </c>
      <c r="D2405" s="25" t="n">
        <f aca="false">EDATE('Start Here'!$B$6,C2405-1)</f>
        <v>48122</v>
      </c>
      <c r="E2405" s="11" t="n">
        <f aca="false">IF(AND(OR(Nonlabor!$D$23="Both",Nonlabor!$D$23='Start Here'!$B$9),IF(Nonlabor!$E$23="Core",1,IF(Nonlabor!$E$23="AI",'Start Here'!$B$7,'Start Here'!$B$8))=1,C2405&gt;=IF(Nonlabor!$E$23="Core",Nonlabor!$F$23,MAX(Nonlabor!$F$23,IF(Nonlabor!$E$23="AI",Assumptions!$D$24,Assumptions!$D$25))),C2405&lt;=Nonlabor!$G$23,OR(Nonlabor!$H$23="Monthly",AND(Nonlabor!$H$23="Once",C2405=IF(Nonlabor!$E$23="Core",Nonlabor!$F$23,MAX(Nonlabor!$F$23,IF(Nonlabor!$E$23="AI",Assumptions!$D$24,Assumptions!$D$25)))),AND(Nonlabor!$H$23="Annual",MOD(C2405-IF(Nonlabor!$E$23="Core",Nonlabor!$F$23,MAX(Nonlabor!$F$23,IF(Nonlabor!$E$23="AI",Assumptions!$D$24,Assumptions!$D$25))),12)=0))),IF(Nonlabor!$I$23="Fixed",1,IF(Nonlabor!$I$23="Seats",ROUNDUP('Monthly Base'!I65,0),IF(Nonlabor!$I$23="Customers",'Monthly Base'!D65,IF(Nonlabor!$I$23="NewCustomers",'Monthly Base'!C65,IF(Nonlabor!$I$23="StorageGB",'Monthly Base'!G65,IF(Nonlabor!$I$23="LogGB",'Monthly Base'!H65,IF(Nonlabor!$I$23="RequestsM",'Monthly Base'!F65,IF(Nonlabor!$I$23="InputM",'Monthly Base'!D65*Assumptions!$D$22/1000000,IF(Nonlabor!$I$23="OutputM",'Monthly Base'!D65*Assumptions!$D$23/1000000,0))))))))),0)</f>
        <v>3.375</v>
      </c>
      <c r="F2405" s="10" t="n">
        <f aca="false">Nonlabor!$J$23*(1+Assumptions!$D$9)^INT((C2405-1)/12)</f>
        <v>337.652643</v>
      </c>
      <c r="G2405" s="10" t="n">
        <f aca="false">E2405*F2405</f>
        <v>1139.577670125</v>
      </c>
      <c r="H2405" s="10" t="n">
        <f aca="false">IF(OR(Nonlabor!$L$23="Quote required",Nonlabor!$L$23="Unverified"),G2405,0)</f>
        <v>0</v>
      </c>
      <c r="I2405" s="10" t="n">
        <f aca="false">IF(Nonlabor!$E$23="Core",0,G2405)</f>
        <v>0</v>
      </c>
      <c r="J2405" s="23" t="str">
        <f aca="false">Nonlabor!$B$23</f>
        <v>ONBOARD</v>
      </c>
    </row>
    <row r="2406" customFormat="false" ht="15" hidden="false" customHeight="false" outlineLevel="0" collapsed="false">
      <c r="A2406" s="6" t="s">
        <v>4</v>
      </c>
      <c r="B2406" s="6" t="s">
        <v>428</v>
      </c>
      <c r="C2406" s="6" t="n">
        <v>1</v>
      </c>
      <c r="D2406" s="25" t="n">
        <f aca="false">EDATE('Start Here'!$B$6,C2406-1)</f>
        <v>46327</v>
      </c>
      <c r="E2406" s="23" t="n">
        <f aca="false">IF(AND(OR(Nonlabor!$D$24="Both",Nonlabor!$D$24='Start Here'!$B$9),IF(Nonlabor!$E$24="Core",1,IF(Nonlabor!$E$24="AI",'Start Here'!$B$7,'Start Here'!$B$8))=1,C2406&gt;=IF(Nonlabor!$E$24="Core",Nonlabor!$F$24,MAX(Nonlabor!$F$24,IF(Nonlabor!$E$24="AI",Assumptions!$D$24,Assumptions!$D$25))),C2406&lt;=Nonlabor!$G$24,OR(Nonlabor!$H$24="Monthly",AND(Nonlabor!$H$24="Once",C2406=IF(Nonlabor!$E$24="Core",Nonlabor!$F$24,MAX(Nonlabor!$F$24,IF(Nonlabor!$E$24="AI",Assumptions!$D$24,Assumptions!$D$25)))),AND(Nonlabor!$H$24="Annual",MOD(C2406-IF(Nonlabor!$E$24="Core",Nonlabor!$F$24,MAX(Nonlabor!$F$24,IF(Nonlabor!$E$24="AI",Assumptions!$D$24,Assumptions!$D$25))),12)=0))),IF(Nonlabor!$I$24="Fixed",1,IF(Nonlabor!$I$24="Seats",ROUNDUP('Monthly Base'!I6,0),IF(Nonlabor!$I$24="Customers",'Monthly Base'!D6,IF(Nonlabor!$I$24="NewCustomers",'Monthly Base'!C6,IF(Nonlabor!$I$24="StorageGB",'Monthly Base'!G6,IF(Nonlabor!$I$24="LogGB",'Monthly Base'!H6,IF(Nonlabor!$I$24="RequestsM",'Monthly Base'!F6,IF(Nonlabor!$I$24="InputM",'Monthly Base'!D6*Assumptions!$D$22/1000000,IF(Nonlabor!$I$24="OutputM",'Monthly Base'!D6*Assumptions!$D$23/1000000,0))))))))),0)</f>
        <v>0</v>
      </c>
      <c r="F2406" s="10" t="n">
        <f aca="false">Nonlabor!$J$24*(1+Assumptions!$D$9)^INT((C2406-1)/12)</f>
        <v>0.4</v>
      </c>
      <c r="G2406" s="10" t="n">
        <f aca="false">E2406*F2406</f>
        <v>0</v>
      </c>
      <c r="H2406" s="10" t="n">
        <f aca="false">IF(OR(Nonlabor!$L$24="Quote required",Nonlabor!$L$24="Unverified"),G2406,0)</f>
        <v>0</v>
      </c>
      <c r="I2406" s="10" t="n">
        <f aca="false">IF(Nonlabor!$E$24="Core",0,G2406)</f>
        <v>0</v>
      </c>
      <c r="J2406" s="23" t="str">
        <f aca="false">Nonlabor!$B$24</f>
        <v>AI</v>
      </c>
    </row>
    <row r="2407" customFormat="false" ht="15" hidden="false" customHeight="false" outlineLevel="0" collapsed="false">
      <c r="A2407" s="6" t="s">
        <v>4</v>
      </c>
      <c r="B2407" s="6" t="s">
        <v>428</v>
      </c>
      <c r="C2407" s="6" t="n">
        <v>2</v>
      </c>
      <c r="D2407" s="25" t="n">
        <f aca="false">EDATE('Start Here'!$B$6,C2407-1)</f>
        <v>46357</v>
      </c>
      <c r="E2407" s="23" t="n">
        <f aca="false">IF(AND(OR(Nonlabor!$D$24="Both",Nonlabor!$D$24='Start Here'!$B$9),IF(Nonlabor!$E$24="Core",1,IF(Nonlabor!$E$24="AI",'Start Here'!$B$7,'Start Here'!$B$8))=1,C2407&gt;=IF(Nonlabor!$E$24="Core",Nonlabor!$F$24,MAX(Nonlabor!$F$24,IF(Nonlabor!$E$24="AI",Assumptions!$D$24,Assumptions!$D$25))),C2407&lt;=Nonlabor!$G$24,OR(Nonlabor!$H$24="Monthly",AND(Nonlabor!$H$24="Once",C2407=IF(Nonlabor!$E$24="Core",Nonlabor!$F$24,MAX(Nonlabor!$F$24,IF(Nonlabor!$E$24="AI",Assumptions!$D$24,Assumptions!$D$25)))),AND(Nonlabor!$H$24="Annual",MOD(C2407-IF(Nonlabor!$E$24="Core",Nonlabor!$F$24,MAX(Nonlabor!$F$24,IF(Nonlabor!$E$24="AI",Assumptions!$D$24,Assumptions!$D$25))),12)=0))),IF(Nonlabor!$I$24="Fixed",1,IF(Nonlabor!$I$24="Seats",ROUNDUP('Monthly Base'!I7,0),IF(Nonlabor!$I$24="Customers",'Monthly Base'!D7,IF(Nonlabor!$I$24="NewCustomers",'Monthly Base'!C7,IF(Nonlabor!$I$24="StorageGB",'Monthly Base'!G7,IF(Nonlabor!$I$24="LogGB",'Monthly Base'!H7,IF(Nonlabor!$I$24="RequestsM",'Monthly Base'!F7,IF(Nonlabor!$I$24="InputM",'Monthly Base'!D7*Assumptions!$D$22/1000000,IF(Nonlabor!$I$24="OutputM",'Monthly Base'!D7*Assumptions!$D$23/1000000,0))))))))),0)</f>
        <v>0</v>
      </c>
      <c r="F2407" s="10" t="n">
        <f aca="false">Nonlabor!$J$24*(1+Assumptions!$D$9)^INT((C2407-1)/12)</f>
        <v>0.4</v>
      </c>
      <c r="G2407" s="10" t="n">
        <f aca="false">E2407*F2407</f>
        <v>0</v>
      </c>
      <c r="H2407" s="10" t="n">
        <f aca="false">IF(OR(Nonlabor!$L$24="Quote required",Nonlabor!$L$24="Unverified"),G2407,0)</f>
        <v>0</v>
      </c>
      <c r="I2407" s="10" t="n">
        <f aca="false">IF(Nonlabor!$E$24="Core",0,G2407)</f>
        <v>0</v>
      </c>
      <c r="J2407" s="23" t="str">
        <f aca="false">Nonlabor!$B$24</f>
        <v>AI</v>
      </c>
    </row>
    <row r="2408" customFormat="false" ht="15" hidden="false" customHeight="false" outlineLevel="0" collapsed="false">
      <c r="A2408" s="6" t="s">
        <v>4</v>
      </c>
      <c r="B2408" s="6" t="s">
        <v>428</v>
      </c>
      <c r="C2408" s="6" t="n">
        <v>3</v>
      </c>
      <c r="D2408" s="25" t="n">
        <f aca="false">EDATE('Start Here'!$B$6,C2408-1)</f>
        <v>46388</v>
      </c>
      <c r="E2408" s="23" t="n">
        <f aca="false">IF(AND(OR(Nonlabor!$D$24="Both",Nonlabor!$D$24='Start Here'!$B$9),IF(Nonlabor!$E$24="Core",1,IF(Nonlabor!$E$24="AI",'Start Here'!$B$7,'Start Here'!$B$8))=1,C2408&gt;=IF(Nonlabor!$E$24="Core",Nonlabor!$F$24,MAX(Nonlabor!$F$24,IF(Nonlabor!$E$24="AI",Assumptions!$D$24,Assumptions!$D$25))),C2408&lt;=Nonlabor!$G$24,OR(Nonlabor!$H$24="Monthly",AND(Nonlabor!$H$24="Once",C2408=IF(Nonlabor!$E$24="Core",Nonlabor!$F$24,MAX(Nonlabor!$F$24,IF(Nonlabor!$E$24="AI",Assumptions!$D$24,Assumptions!$D$25)))),AND(Nonlabor!$H$24="Annual",MOD(C2408-IF(Nonlabor!$E$24="Core",Nonlabor!$F$24,MAX(Nonlabor!$F$24,IF(Nonlabor!$E$24="AI",Assumptions!$D$24,Assumptions!$D$25))),12)=0))),IF(Nonlabor!$I$24="Fixed",1,IF(Nonlabor!$I$24="Seats",ROUNDUP('Monthly Base'!I8,0),IF(Nonlabor!$I$24="Customers",'Monthly Base'!D8,IF(Nonlabor!$I$24="NewCustomers",'Monthly Base'!C8,IF(Nonlabor!$I$24="StorageGB",'Monthly Base'!G8,IF(Nonlabor!$I$24="LogGB",'Monthly Base'!H8,IF(Nonlabor!$I$24="RequestsM",'Monthly Base'!F8,IF(Nonlabor!$I$24="InputM",'Monthly Base'!D8*Assumptions!$D$22/1000000,IF(Nonlabor!$I$24="OutputM",'Monthly Base'!D8*Assumptions!$D$23/1000000,0))))))))),0)</f>
        <v>0</v>
      </c>
      <c r="F2408" s="10" t="n">
        <f aca="false">Nonlabor!$J$24*(1+Assumptions!$D$9)^INT((C2408-1)/12)</f>
        <v>0.4</v>
      </c>
      <c r="G2408" s="10" t="n">
        <f aca="false">E2408*F2408</f>
        <v>0</v>
      </c>
      <c r="H2408" s="10" t="n">
        <f aca="false">IF(OR(Nonlabor!$L$24="Quote required",Nonlabor!$L$24="Unverified"),G2408,0)</f>
        <v>0</v>
      </c>
      <c r="I2408" s="10" t="n">
        <f aca="false">IF(Nonlabor!$E$24="Core",0,G2408)</f>
        <v>0</v>
      </c>
      <c r="J2408" s="23" t="str">
        <f aca="false">Nonlabor!$B$24</f>
        <v>AI</v>
      </c>
    </row>
    <row r="2409" customFormat="false" ht="15" hidden="false" customHeight="false" outlineLevel="0" collapsed="false">
      <c r="A2409" s="6" t="s">
        <v>4</v>
      </c>
      <c r="B2409" s="6" t="s">
        <v>428</v>
      </c>
      <c r="C2409" s="6" t="n">
        <v>4</v>
      </c>
      <c r="D2409" s="25" t="n">
        <f aca="false">EDATE('Start Here'!$B$6,C2409-1)</f>
        <v>46419</v>
      </c>
      <c r="E2409" s="23" t="n">
        <f aca="false">IF(AND(OR(Nonlabor!$D$24="Both",Nonlabor!$D$24='Start Here'!$B$9),IF(Nonlabor!$E$24="Core",1,IF(Nonlabor!$E$24="AI",'Start Here'!$B$7,'Start Here'!$B$8))=1,C2409&gt;=IF(Nonlabor!$E$24="Core",Nonlabor!$F$24,MAX(Nonlabor!$F$24,IF(Nonlabor!$E$24="AI",Assumptions!$D$24,Assumptions!$D$25))),C2409&lt;=Nonlabor!$G$24,OR(Nonlabor!$H$24="Monthly",AND(Nonlabor!$H$24="Once",C2409=IF(Nonlabor!$E$24="Core",Nonlabor!$F$24,MAX(Nonlabor!$F$24,IF(Nonlabor!$E$24="AI",Assumptions!$D$24,Assumptions!$D$25)))),AND(Nonlabor!$H$24="Annual",MOD(C2409-IF(Nonlabor!$E$24="Core",Nonlabor!$F$24,MAX(Nonlabor!$F$24,IF(Nonlabor!$E$24="AI",Assumptions!$D$24,Assumptions!$D$25))),12)=0))),IF(Nonlabor!$I$24="Fixed",1,IF(Nonlabor!$I$24="Seats",ROUNDUP('Monthly Base'!I9,0),IF(Nonlabor!$I$24="Customers",'Monthly Base'!D9,IF(Nonlabor!$I$24="NewCustomers",'Monthly Base'!C9,IF(Nonlabor!$I$24="StorageGB",'Monthly Base'!G9,IF(Nonlabor!$I$24="LogGB",'Monthly Base'!H9,IF(Nonlabor!$I$24="RequestsM",'Monthly Base'!F9,IF(Nonlabor!$I$24="InputM",'Monthly Base'!D9*Assumptions!$D$22/1000000,IF(Nonlabor!$I$24="OutputM",'Monthly Base'!D9*Assumptions!$D$23/1000000,0))))))))),0)</f>
        <v>0</v>
      </c>
      <c r="F2409" s="10" t="n">
        <f aca="false">Nonlabor!$J$24*(1+Assumptions!$D$9)^INT((C2409-1)/12)</f>
        <v>0.4</v>
      </c>
      <c r="G2409" s="10" t="n">
        <f aca="false">E2409*F2409</f>
        <v>0</v>
      </c>
      <c r="H2409" s="10" t="n">
        <f aca="false">IF(OR(Nonlabor!$L$24="Quote required",Nonlabor!$L$24="Unverified"),G2409,0)</f>
        <v>0</v>
      </c>
      <c r="I2409" s="10" t="n">
        <f aca="false">IF(Nonlabor!$E$24="Core",0,G2409)</f>
        <v>0</v>
      </c>
      <c r="J2409" s="23" t="str">
        <f aca="false">Nonlabor!$B$24</f>
        <v>AI</v>
      </c>
    </row>
    <row r="2410" customFormat="false" ht="15" hidden="false" customHeight="false" outlineLevel="0" collapsed="false">
      <c r="A2410" s="6" t="s">
        <v>4</v>
      </c>
      <c r="B2410" s="6" t="s">
        <v>428</v>
      </c>
      <c r="C2410" s="6" t="n">
        <v>5</v>
      </c>
      <c r="D2410" s="25" t="n">
        <f aca="false">EDATE('Start Here'!$B$6,C2410-1)</f>
        <v>46447</v>
      </c>
      <c r="E2410" s="23" t="n">
        <f aca="false">IF(AND(OR(Nonlabor!$D$24="Both",Nonlabor!$D$24='Start Here'!$B$9),IF(Nonlabor!$E$24="Core",1,IF(Nonlabor!$E$24="AI",'Start Here'!$B$7,'Start Here'!$B$8))=1,C2410&gt;=IF(Nonlabor!$E$24="Core",Nonlabor!$F$24,MAX(Nonlabor!$F$24,IF(Nonlabor!$E$24="AI",Assumptions!$D$24,Assumptions!$D$25))),C2410&lt;=Nonlabor!$G$24,OR(Nonlabor!$H$24="Monthly",AND(Nonlabor!$H$24="Once",C2410=IF(Nonlabor!$E$24="Core",Nonlabor!$F$24,MAX(Nonlabor!$F$24,IF(Nonlabor!$E$24="AI",Assumptions!$D$24,Assumptions!$D$25)))),AND(Nonlabor!$H$24="Annual",MOD(C2410-IF(Nonlabor!$E$24="Core",Nonlabor!$F$24,MAX(Nonlabor!$F$24,IF(Nonlabor!$E$24="AI",Assumptions!$D$24,Assumptions!$D$25))),12)=0))),IF(Nonlabor!$I$24="Fixed",1,IF(Nonlabor!$I$24="Seats",ROUNDUP('Monthly Base'!I10,0),IF(Nonlabor!$I$24="Customers",'Monthly Base'!D10,IF(Nonlabor!$I$24="NewCustomers",'Monthly Base'!C10,IF(Nonlabor!$I$24="StorageGB",'Monthly Base'!G10,IF(Nonlabor!$I$24="LogGB",'Monthly Base'!H10,IF(Nonlabor!$I$24="RequestsM",'Monthly Base'!F10,IF(Nonlabor!$I$24="InputM",'Monthly Base'!D10*Assumptions!$D$22/1000000,IF(Nonlabor!$I$24="OutputM",'Monthly Base'!D10*Assumptions!$D$23/1000000,0))))))))),0)</f>
        <v>0</v>
      </c>
      <c r="F2410" s="10" t="n">
        <f aca="false">Nonlabor!$J$24*(1+Assumptions!$D$9)^INT((C2410-1)/12)</f>
        <v>0.4</v>
      </c>
      <c r="G2410" s="10" t="n">
        <f aca="false">E2410*F2410</f>
        <v>0</v>
      </c>
      <c r="H2410" s="10" t="n">
        <f aca="false">IF(OR(Nonlabor!$L$24="Quote required",Nonlabor!$L$24="Unverified"),G2410,0)</f>
        <v>0</v>
      </c>
      <c r="I2410" s="10" t="n">
        <f aca="false">IF(Nonlabor!$E$24="Core",0,G2410)</f>
        <v>0</v>
      </c>
      <c r="J2410" s="23" t="str">
        <f aca="false">Nonlabor!$B$24</f>
        <v>AI</v>
      </c>
    </row>
    <row r="2411" customFormat="false" ht="15" hidden="false" customHeight="false" outlineLevel="0" collapsed="false">
      <c r="A2411" s="6" t="s">
        <v>4</v>
      </c>
      <c r="B2411" s="6" t="s">
        <v>428</v>
      </c>
      <c r="C2411" s="6" t="n">
        <v>6</v>
      </c>
      <c r="D2411" s="25" t="n">
        <f aca="false">EDATE('Start Here'!$B$6,C2411-1)</f>
        <v>46478</v>
      </c>
      <c r="E2411" s="23" t="n">
        <f aca="false">IF(AND(OR(Nonlabor!$D$24="Both",Nonlabor!$D$24='Start Here'!$B$9),IF(Nonlabor!$E$24="Core",1,IF(Nonlabor!$E$24="AI",'Start Here'!$B$7,'Start Here'!$B$8))=1,C2411&gt;=IF(Nonlabor!$E$24="Core",Nonlabor!$F$24,MAX(Nonlabor!$F$24,IF(Nonlabor!$E$24="AI",Assumptions!$D$24,Assumptions!$D$25))),C2411&lt;=Nonlabor!$G$24,OR(Nonlabor!$H$24="Monthly",AND(Nonlabor!$H$24="Once",C2411=IF(Nonlabor!$E$24="Core",Nonlabor!$F$24,MAX(Nonlabor!$F$24,IF(Nonlabor!$E$24="AI",Assumptions!$D$24,Assumptions!$D$25)))),AND(Nonlabor!$H$24="Annual",MOD(C2411-IF(Nonlabor!$E$24="Core",Nonlabor!$F$24,MAX(Nonlabor!$F$24,IF(Nonlabor!$E$24="AI",Assumptions!$D$24,Assumptions!$D$25))),12)=0))),IF(Nonlabor!$I$24="Fixed",1,IF(Nonlabor!$I$24="Seats",ROUNDUP('Monthly Base'!I11,0),IF(Nonlabor!$I$24="Customers",'Monthly Base'!D11,IF(Nonlabor!$I$24="NewCustomers",'Monthly Base'!C11,IF(Nonlabor!$I$24="StorageGB",'Monthly Base'!G11,IF(Nonlabor!$I$24="LogGB",'Monthly Base'!H11,IF(Nonlabor!$I$24="RequestsM",'Monthly Base'!F11,IF(Nonlabor!$I$24="InputM",'Monthly Base'!D11*Assumptions!$D$22/1000000,IF(Nonlabor!$I$24="OutputM",'Monthly Base'!D11*Assumptions!$D$23/1000000,0))))))))),0)</f>
        <v>0</v>
      </c>
      <c r="F2411" s="10" t="n">
        <f aca="false">Nonlabor!$J$24*(1+Assumptions!$D$9)^INT((C2411-1)/12)</f>
        <v>0.4</v>
      </c>
      <c r="G2411" s="10" t="n">
        <f aca="false">E2411*F2411</f>
        <v>0</v>
      </c>
      <c r="H2411" s="10" t="n">
        <f aca="false">IF(OR(Nonlabor!$L$24="Quote required",Nonlabor!$L$24="Unverified"),G2411,0)</f>
        <v>0</v>
      </c>
      <c r="I2411" s="10" t="n">
        <f aca="false">IF(Nonlabor!$E$24="Core",0,G2411)</f>
        <v>0</v>
      </c>
      <c r="J2411" s="23" t="str">
        <f aca="false">Nonlabor!$B$24</f>
        <v>AI</v>
      </c>
    </row>
    <row r="2412" customFormat="false" ht="15" hidden="false" customHeight="false" outlineLevel="0" collapsed="false">
      <c r="A2412" s="6" t="s">
        <v>4</v>
      </c>
      <c r="B2412" s="6" t="s">
        <v>428</v>
      </c>
      <c r="C2412" s="6" t="n">
        <v>7</v>
      </c>
      <c r="D2412" s="25" t="n">
        <f aca="false">EDATE('Start Here'!$B$6,C2412-1)</f>
        <v>46508</v>
      </c>
      <c r="E2412" s="23" t="n">
        <f aca="false">IF(AND(OR(Nonlabor!$D$24="Both",Nonlabor!$D$24='Start Here'!$B$9),IF(Nonlabor!$E$24="Core",1,IF(Nonlabor!$E$24="AI",'Start Here'!$B$7,'Start Here'!$B$8))=1,C2412&gt;=IF(Nonlabor!$E$24="Core",Nonlabor!$F$24,MAX(Nonlabor!$F$24,IF(Nonlabor!$E$24="AI",Assumptions!$D$24,Assumptions!$D$25))),C2412&lt;=Nonlabor!$G$24,OR(Nonlabor!$H$24="Monthly",AND(Nonlabor!$H$24="Once",C2412=IF(Nonlabor!$E$24="Core",Nonlabor!$F$24,MAX(Nonlabor!$F$24,IF(Nonlabor!$E$24="AI",Assumptions!$D$24,Assumptions!$D$25)))),AND(Nonlabor!$H$24="Annual",MOD(C2412-IF(Nonlabor!$E$24="Core",Nonlabor!$F$24,MAX(Nonlabor!$F$24,IF(Nonlabor!$E$24="AI",Assumptions!$D$24,Assumptions!$D$25))),12)=0))),IF(Nonlabor!$I$24="Fixed",1,IF(Nonlabor!$I$24="Seats",ROUNDUP('Monthly Base'!I12,0),IF(Nonlabor!$I$24="Customers",'Monthly Base'!D12,IF(Nonlabor!$I$24="NewCustomers",'Monthly Base'!C12,IF(Nonlabor!$I$24="StorageGB",'Monthly Base'!G12,IF(Nonlabor!$I$24="LogGB",'Monthly Base'!H12,IF(Nonlabor!$I$24="RequestsM",'Monthly Base'!F12,IF(Nonlabor!$I$24="InputM",'Monthly Base'!D12*Assumptions!$D$22/1000000,IF(Nonlabor!$I$24="OutputM",'Monthly Base'!D12*Assumptions!$D$23/1000000,0))))))))),0)</f>
        <v>0</v>
      </c>
      <c r="F2412" s="10" t="n">
        <f aca="false">Nonlabor!$J$24*(1+Assumptions!$D$9)^INT((C2412-1)/12)</f>
        <v>0.4</v>
      </c>
      <c r="G2412" s="10" t="n">
        <f aca="false">E2412*F2412</f>
        <v>0</v>
      </c>
      <c r="H2412" s="10" t="n">
        <f aca="false">IF(OR(Nonlabor!$L$24="Quote required",Nonlabor!$L$24="Unverified"),G2412,0)</f>
        <v>0</v>
      </c>
      <c r="I2412" s="10" t="n">
        <f aca="false">IF(Nonlabor!$E$24="Core",0,G2412)</f>
        <v>0</v>
      </c>
      <c r="J2412" s="23" t="str">
        <f aca="false">Nonlabor!$B$24</f>
        <v>AI</v>
      </c>
    </row>
    <row r="2413" customFormat="false" ht="15" hidden="false" customHeight="false" outlineLevel="0" collapsed="false">
      <c r="A2413" s="6" t="s">
        <v>4</v>
      </c>
      <c r="B2413" s="6" t="s">
        <v>428</v>
      </c>
      <c r="C2413" s="6" t="n">
        <v>8</v>
      </c>
      <c r="D2413" s="25" t="n">
        <f aca="false">EDATE('Start Here'!$B$6,C2413-1)</f>
        <v>46539</v>
      </c>
      <c r="E2413" s="23" t="n">
        <f aca="false">IF(AND(OR(Nonlabor!$D$24="Both",Nonlabor!$D$24='Start Here'!$B$9),IF(Nonlabor!$E$24="Core",1,IF(Nonlabor!$E$24="AI",'Start Here'!$B$7,'Start Here'!$B$8))=1,C2413&gt;=IF(Nonlabor!$E$24="Core",Nonlabor!$F$24,MAX(Nonlabor!$F$24,IF(Nonlabor!$E$24="AI",Assumptions!$D$24,Assumptions!$D$25))),C2413&lt;=Nonlabor!$G$24,OR(Nonlabor!$H$24="Monthly",AND(Nonlabor!$H$24="Once",C2413=IF(Nonlabor!$E$24="Core",Nonlabor!$F$24,MAX(Nonlabor!$F$24,IF(Nonlabor!$E$24="AI",Assumptions!$D$24,Assumptions!$D$25)))),AND(Nonlabor!$H$24="Annual",MOD(C2413-IF(Nonlabor!$E$24="Core",Nonlabor!$F$24,MAX(Nonlabor!$F$24,IF(Nonlabor!$E$24="AI",Assumptions!$D$24,Assumptions!$D$25))),12)=0))),IF(Nonlabor!$I$24="Fixed",1,IF(Nonlabor!$I$24="Seats",ROUNDUP('Monthly Base'!I13,0),IF(Nonlabor!$I$24="Customers",'Monthly Base'!D13,IF(Nonlabor!$I$24="NewCustomers",'Monthly Base'!C13,IF(Nonlabor!$I$24="StorageGB",'Monthly Base'!G13,IF(Nonlabor!$I$24="LogGB",'Monthly Base'!H13,IF(Nonlabor!$I$24="RequestsM",'Monthly Base'!F13,IF(Nonlabor!$I$24="InputM",'Monthly Base'!D13*Assumptions!$D$22/1000000,IF(Nonlabor!$I$24="OutputM",'Monthly Base'!D13*Assumptions!$D$23/1000000,0))))))))),0)</f>
        <v>0</v>
      </c>
      <c r="F2413" s="10" t="n">
        <f aca="false">Nonlabor!$J$24*(1+Assumptions!$D$9)^INT((C2413-1)/12)</f>
        <v>0.4</v>
      </c>
      <c r="G2413" s="10" t="n">
        <f aca="false">E2413*F2413</f>
        <v>0</v>
      </c>
      <c r="H2413" s="10" t="n">
        <f aca="false">IF(OR(Nonlabor!$L$24="Quote required",Nonlabor!$L$24="Unverified"),G2413,0)</f>
        <v>0</v>
      </c>
      <c r="I2413" s="10" t="n">
        <f aca="false">IF(Nonlabor!$E$24="Core",0,G2413)</f>
        <v>0</v>
      </c>
      <c r="J2413" s="23" t="str">
        <f aca="false">Nonlabor!$B$24</f>
        <v>AI</v>
      </c>
    </row>
    <row r="2414" customFormat="false" ht="15" hidden="false" customHeight="false" outlineLevel="0" collapsed="false">
      <c r="A2414" s="6" t="s">
        <v>4</v>
      </c>
      <c r="B2414" s="6" t="s">
        <v>428</v>
      </c>
      <c r="C2414" s="6" t="n">
        <v>9</v>
      </c>
      <c r="D2414" s="25" t="n">
        <f aca="false">EDATE('Start Here'!$B$6,C2414-1)</f>
        <v>46569</v>
      </c>
      <c r="E2414" s="23" t="n">
        <f aca="false">IF(AND(OR(Nonlabor!$D$24="Both",Nonlabor!$D$24='Start Here'!$B$9),IF(Nonlabor!$E$24="Core",1,IF(Nonlabor!$E$24="AI",'Start Here'!$B$7,'Start Here'!$B$8))=1,C2414&gt;=IF(Nonlabor!$E$24="Core",Nonlabor!$F$24,MAX(Nonlabor!$F$24,IF(Nonlabor!$E$24="AI",Assumptions!$D$24,Assumptions!$D$25))),C2414&lt;=Nonlabor!$G$24,OR(Nonlabor!$H$24="Monthly",AND(Nonlabor!$H$24="Once",C2414=IF(Nonlabor!$E$24="Core",Nonlabor!$F$24,MAX(Nonlabor!$F$24,IF(Nonlabor!$E$24="AI",Assumptions!$D$24,Assumptions!$D$25)))),AND(Nonlabor!$H$24="Annual",MOD(C2414-IF(Nonlabor!$E$24="Core",Nonlabor!$F$24,MAX(Nonlabor!$F$24,IF(Nonlabor!$E$24="AI",Assumptions!$D$24,Assumptions!$D$25))),12)=0))),IF(Nonlabor!$I$24="Fixed",1,IF(Nonlabor!$I$24="Seats",ROUNDUP('Monthly Base'!I14,0),IF(Nonlabor!$I$24="Customers",'Monthly Base'!D14,IF(Nonlabor!$I$24="NewCustomers",'Monthly Base'!C14,IF(Nonlabor!$I$24="StorageGB",'Monthly Base'!G14,IF(Nonlabor!$I$24="LogGB",'Monthly Base'!H14,IF(Nonlabor!$I$24="RequestsM",'Monthly Base'!F14,IF(Nonlabor!$I$24="InputM",'Monthly Base'!D14*Assumptions!$D$22/1000000,IF(Nonlabor!$I$24="OutputM",'Monthly Base'!D14*Assumptions!$D$23/1000000,0))))))))),0)</f>
        <v>0</v>
      </c>
      <c r="F2414" s="10" t="n">
        <f aca="false">Nonlabor!$J$24*(1+Assumptions!$D$9)^INT((C2414-1)/12)</f>
        <v>0.4</v>
      </c>
      <c r="G2414" s="10" t="n">
        <f aca="false">E2414*F2414</f>
        <v>0</v>
      </c>
      <c r="H2414" s="10" t="n">
        <f aca="false">IF(OR(Nonlabor!$L$24="Quote required",Nonlabor!$L$24="Unverified"),G2414,0)</f>
        <v>0</v>
      </c>
      <c r="I2414" s="10" t="n">
        <f aca="false">IF(Nonlabor!$E$24="Core",0,G2414)</f>
        <v>0</v>
      </c>
      <c r="J2414" s="23" t="str">
        <f aca="false">Nonlabor!$B$24</f>
        <v>AI</v>
      </c>
    </row>
    <row r="2415" customFormat="false" ht="15" hidden="false" customHeight="false" outlineLevel="0" collapsed="false">
      <c r="A2415" s="6" t="s">
        <v>4</v>
      </c>
      <c r="B2415" s="6" t="s">
        <v>428</v>
      </c>
      <c r="C2415" s="6" t="n">
        <v>10</v>
      </c>
      <c r="D2415" s="25" t="n">
        <f aca="false">EDATE('Start Here'!$B$6,C2415-1)</f>
        <v>46600</v>
      </c>
      <c r="E2415" s="23" t="n">
        <f aca="false">IF(AND(OR(Nonlabor!$D$24="Both",Nonlabor!$D$24='Start Here'!$B$9),IF(Nonlabor!$E$24="Core",1,IF(Nonlabor!$E$24="AI",'Start Here'!$B$7,'Start Here'!$B$8))=1,C2415&gt;=IF(Nonlabor!$E$24="Core",Nonlabor!$F$24,MAX(Nonlabor!$F$24,IF(Nonlabor!$E$24="AI",Assumptions!$D$24,Assumptions!$D$25))),C2415&lt;=Nonlabor!$G$24,OR(Nonlabor!$H$24="Monthly",AND(Nonlabor!$H$24="Once",C2415=IF(Nonlabor!$E$24="Core",Nonlabor!$F$24,MAX(Nonlabor!$F$24,IF(Nonlabor!$E$24="AI",Assumptions!$D$24,Assumptions!$D$25)))),AND(Nonlabor!$H$24="Annual",MOD(C2415-IF(Nonlabor!$E$24="Core",Nonlabor!$F$24,MAX(Nonlabor!$F$24,IF(Nonlabor!$E$24="AI",Assumptions!$D$24,Assumptions!$D$25))),12)=0))),IF(Nonlabor!$I$24="Fixed",1,IF(Nonlabor!$I$24="Seats",ROUNDUP('Monthly Base'!I15,0),IF(Nonlabor!$I$24="Customers",'Monthly Base'!D15,IF(Nonlabor!$I$24="NewCustomers",'Monthly Base'!C15,IF(Nonlabor!$I$24="StorageGB",'Monthly Base'!G15,IF(Nonlabor!$I$24="LogGB",'Monthly Base'!H15,IF(Nonlabor!$I$24="RequestsM",'Monthly Base'!F15,IF(Nonlabor!$I$24="InputM",'Monthly Base'!D15*Assumptions!$D$22/1000000,IF(Nonlabor!$I$24="OutputM",'Monthly Base'!D15*Assumptions!$D$23/1000000,0))))))))),0)</f>
        <v>0</v>
      </c>
      <c r="F2415" s="10" t="n">
        <f aca="false">Nonlabor!$J$24*(1+Assumptions!$D$9)^INT((C2415-1)/12)</f>
        <v>0.4</v>
      </c>
      <c r="G2415" s="10" t="n">
        <f aca="false">E2415*F2415</f>
        <v>0</v>
      </c>
      <c r="H2415" s="10" t="n">
        <f aca="false">IF(OR(Nonlabor!$L$24="Quote required",Nonlabor!$L$24="Unverified"),G2415,0)</f>
        <v>0</v>
      </c>
      <c r="I2415" s="10" t="n">
        <f aca="false">IF(Nonlabor!$E$24="Core",0,G2415)</f>
        <v>0</v>
      </c>
      <c r="J2415" s="23" t="str">
        <f aca="false">Nonlabor!$B$24</f>
        <v>AI</v>
      </c>
    </row>
    <row r="2416" customFormat="false" ht="15" hidden="false" customHeight="false" outlineLevel="0" collapsed="false">
      <c r="A2416" s="6" t="s">
        <v>4</v>
      </c>
      <c r="B2416" s="6" t="s">
        <v>428</v>
      </c>
      <c r="C2416" s="6" t="n">
        <v>11</v>
      </c>
      <c r="D2416" s="25" t="n">
        <f aca="false">EDATE('Start Here'!$B$6,C2416-1)</f>
        <v>46631</v>
      </c>
      <c r="E2416" s="23" t="n">
        <f aca="false">IF(AND(OR(Nonlabor!$D$24="Both",Nonlabor!$D$24='Start Here'!$B$9),IF(Nonlabor!$E$24="Core",1,IF(Nonlabor!$E$24="AI",'Start Here'!$B$7,'Start Here'!$B$8))=1,C2416&gt;=IF(Nonlabor!$E$24="Core",Nonlabor!$F$24,MAX(Nonlabor!$F$24,IF(Nonlabor!$E$24="AI",Assumptions!$D$24,Assumptions!$D$25))),C2416&lt;=Nonlabor!$G$24,OR(Nonlabor!$H$24="Monthly",AND(Nonlabor!$H$24="Once",C2416=IF(Nonlabor!$E$24="Core",Nonlabor!$F$24,MAX(Nonlabor!$F$24,IF(Nonlabor!$E$24="AI",Assumptions!$D$24,Assumptions!$D$25)))),AND(Nonlabor!$H$24="Annual",MOD(C2416-IF(Nonlabor!$E$24="Core",Nonlabor!$F$24,MAX(Nonlabor!$F$24,IF(Nonlabor!$E$24="AI",Assumptions!$D$24,Assumptions!$D$25))),12)=0))),IF(Nonlabor!$I$24="Fixed",1,IF(Nonlabor!$I$24="Seats",ROUNDUP('Monthly Base'!I16,0),IF(Nonlabor!$I$24="Customers",'Monthly Base'!D16,IF(Nonlabor!$I$24="NewCustomers",'Monthly Base'!C16,IF(Nonlabor!$I$24="StorageGB",'Monthly Base'!G16,IF(Nonlabor!$I$24="LogGB",'Monthly Base'!H16,IF(Nonlabor!$I$24="RequestsM",'Monthly Base'!F16,IF(Nonlabor!$I$24="InputM",'Monthly Base'!D16*Assumptions!$D$22/1000000,IF(Nonlabor!$I$24="OutputM",'Monthly Base'!D16*Assumptions!$D$23/1000000,0))))))))),0)</f>
        <v>0</v>
      </c>
      <c r="F2416" s="10" t="n">
        <f aca="false">Nonlabor!$J$24*(1+Assumptions!$D$9)^INT((C2416-1)/12)</f>
        <v>0.4</v>
      </c>
      <c r="G2416" s="10" t="n">
        <f aca="false">E2416*F2416</f>
        <v>0</v>
      </c>
      <c r="H2416" s="10" t="n">
        <f aca="false">IF(OR(Nonlabor!$L$24="Quote required",Nonlabor!$L$24="Unverified"),G2416,0)</f>
        <v>0</v>
      </c>
      <c r="I2416" s="10" t="n">
        <f aca="false">IF(Nonlabor!$E$24="Core",0,G2416)</f>
        <v>0</v>
      </c>
      <c r="J2416" s="23" t="str">
        <f aca="false">Nonlabor!$B$24</f>
        <v>AI</v>
      </c>
    </row>
    <row r="2417" customFormat="false" ht="15" hidden="false" customHeight="false" outlineLevel="0" collapsed="false">
      <c r="A2417" s="6" t="s">
        <v>4</v>
      </c>
      <c r="B2417" s="6" t="s">
        <v>428</v>
      </c>
      <c r="C2417" s="6" t="n">
        <v>12</v>
      </c>
      <c r="D2417" s="25" t="n">
        <f aca="false">EDATE('Start Here'!$B$6,C2417-1)</f>
        <v>46661</v>
      </c>
      <c r="E2417" s="23" t="n">
        <f aca="false">IF(AND(OR(Nonlabor!$D$24="Both",Nonlabor!$D$24='Start Here'!$B$9),IF(Nonlabor!$E$24="Core",1,IF(Nonlabor!$E$24="AI",'Start Here'!$B$7,'Start Here'!$B$8))=1,C2417&gt;=IF(Nonlabor!$E$24="Core",Nonlabor!$F$24,MAX(Nonlabor!$F$24,IF(Nonlabor!$E$24="AI",Assumptions!$D$24,Assumptions!$D$25))),C2417&lt;=Nonlabor!$G$24,OR(Nonlabor!$H$24="Monthly",AND(Nonlabor!$H$24="Once",C2417=IF(Nonlabor!$E$24="Core",Nonlabor!$F$24,MAX(Nonlabor!$F$24,IF(Nonlabor!$E$24="AI",Assumptions!$D$24,Assumptions!$D$25)))),AND(Nonlabor!$H$24="Annual",MOD(C2417-IF(Nonlabor!$E$24="Core",Nonlabor!$F$24,MAX(Nonlabor!$F$24,IF(Nonlabor!$E$24="AI",Assumptions!$D$24,Assumptions!$D$25))),12)=0))),IF(Nonlabor!$I$24="Fixed",1,IF(Nonlabor!$I$24="Seats",ROUNDUP('Monthly Base'!I17,0),IF(Nonlabor!$I$24="Customers",'Monthly Base'!D17,IF(Nonlabor!$I$24="NewCustomers",'Monthly Base'!C17,IF(Nonlabor!$I$24="StorageGB",'Monthly Base'!G17,IF(Nonlabor!$I$24="LogGB",'Monthly Base'!H17,IF(Nonlabor!$I$24="RequestsM",'Monthly Base'!F17,IF(Nonlabor!$I$24="InputM",'Monthly Base'!D17*Assumptions!$D$22/1000000,IF(Nonlabor!$I$24="OutputM",'Monthly Base'!D17*Assumptions!$D$23/1000000,0))))))))),0)</f>
        <v>0</v>
      </c>
      <c r="F2417" s="10" t="n">
        <f aca="false">Nonlabor!$J$24*(1+Assumptions!$D$9)^INT((C2417-1)/12)</f>
        <v>0.4</v>
      </c>
      <c r="G2417" s="10" t="n">
        <f aca="false">E2417*F2417</f>
        <v>0</v>
      </c>
      <c r="H2417" s="10" t="n">
        <f aca="false">IF(OR(Nonlabor!$L$24="Quote required",Nonlabor!$L$24="Unverified"),G2417,0)</f>
        <v>0</v>
      </c>
      <c r="I2417" s="10" t="n">
        <f aca="false">IF(Nonlabor!$E$24="Core",0,G2417)</f>
        <v>0</v>
      </c>
      <c r="J2417" s="23" t="str">
        <f aca="false">Nonlabor!$B$24</f>
        <v>AI</v>
      </c>
    </row>
    <row r="2418" customFormat="false" ht="15" hidden="false" customHeight="false" outlineLevel="0" collapsed="false">
      <c r="A2418" s="6" t="s">
        <v>4</v>
      </c>
      <c r="B2418" s="6" t="s">
        <v>428</v>
      </c>
      <c r="C2418" s="6" t="n">
        <v>13</v>
      </c>
      <c r="D2418" s="25" t="n">
        <f aca="false">EDATE('Start Here'!$B$6,C2418-1)</f>
        <v>46692</v>
      </c>
      <c r="E2418" s="23" t="n">
        <f aca="false">IF(AND(OR(Nonlabor!$D$24="Both",Nonlabor!$D$24='Start Here'!$B$9),IF(Nonlabor!$E$24="Core",1,IF(Nonlabor!$E$24="AI",'Start Here'!$B$7,'Start Here'!$B$8))=1,C2418&gt;=IF(Nonlabor!$E$24="Core",Nonlabor!$F$24,MAX(Nonlabor!$F$24,IF(Nonlabor!$E$24="AI",Assumptions!$D$24,Assumptions!$D$25))),C2418&lt;=Nonlabor!$G$24,OR(Nonlabor!$H$24="Monthly",AND(Nonlabor!$H$24="Once",C2418=IF(Nonlabor!$E$24="Core",Nonlabor!$F$24,MAX(Nonlabor!$F$24,IF(Nonlabor!$E$24="AI",Assumptions!$D$24,Assumptions!$D$25)))),AND(Nonlabor!$H$24="Annual",MOD(C2418-IF(Nonlabor!$E$24="Core",Nonlabor!$F$24,MAX(Nonlabor!$F$24,IF(Nonlabor!$E$24="AI",Assumptions!$D$24,Assumptions!$D$25))),12)=0))),IF(Nonlabor!$I$24="Fixed",1,IF(Nonlabor!$I$24="Seats",ROUNDUP('Monthly Base'!I18,0),IF(Nonlabor!$I$24="Customers",'Monthly Base'!D18,IF(Nonlabor!$I$24="NewCustomers",'Monthly Base'!C18,IF(Nonlabor!$I$24="StorageGB",'Monthly Base'!G18,IF(Nonlabor!$I$24="LogGB",'Monthly Base'!H18,IF(Nonlabor!$I$24="RequestsM",'Monthly Base'!F18,IF(Nonlabor!$I$24="InputM",'Monthly Base'!D18*Assumptions!$D$22/1000000,IF(Nonlabor!$I$24="OutputM",'Monthly Base'!D18*Assumptions!$D$23/1000000,0))))))))),0)</f>
        <v>0</v>
      </c>
      <c r="F2418" s="10" t="n">
        <f aca="false">Nonlabor!$J$24*(1+Assumptions!$D$9)^INT((C2418-1)/12)</f>
        <v>0.412</v>
      </c>
      <c r="G2418" s="10" t="n">
        <f aca="false">E2418*F2418</f>
        <v>0</v>
      </c>
      <c r="H2418" s="10" t="n">
        <f aca="false">IF(OR(Nonlabor!$L$24="Quote required",Nonlabor!$L$24="Unverified"),G2418,0)</f>
        <v>0</v>
      </c>
      <c r="I2418" s="10" t="n">
        <f aca="false">IF(Nonlabor!$E$24="Core",0,G2418)</f>
        <v>0</v>
      </c>
      <c r="J2418" s="23" t="str">
        <f aca="false">Nonlabor!$B$24</f>
        <v>AI</v>
      </c>
    </row>
    <row r="2419" customFormat="false" ht="15" hidden="false" customHeight="false" outlineLevel="0" collapsed="false">
      <c r="A2419" s="6" t="s">
        <v>4</v>
      </c>
      <c r="B2419" s="6" t="s">
        <v>428</v>
      </c>
      <c r="C2419" s="6" t="n">
        <v>14</v>
      </c>
      <c r="D2419" s="25" t="n">
        <f aca="false">EDATE('Start Here'!$B$6,C2419-1)</f>
        <v>46722</v>
      </c>
      <c r="E2419" s="23" t="n">
        <f aca="false">IF(AND(OR(Nonlabor!$D$24="Both",Nonlabor!$D$24='Start Here'!$B$9),IF(Nonlabor!$E$24="Core",1,IF(Nonlabor!$E$24="AI",'Start Here'!$B$7,'Start Here'!$B$8))=1,C2419&gt;=IF(Nonlabor!$E$24="Core",Nonlabor!$F$24,MAX(Nonlabor!$F$24,IF(Nonlabor!$E$24="AI",Assumptions!$D$24,Assumptions!$D$25))),C2419&lt;=Nonlabor!$G$24,OR(Nonlabor!$H$24="Monthly",AND(Nonlabor!$H$24="Once",C2419=IF(Nonlabor!$E$24="Core",Nonlabor!$F$24,MAX(Nonlabor!$F$24,IF(Nonlabor!$E$24="AI",Assumptions!$D$24,Assumptions!$D$25)))),AND(Nonlabor!$H$24="Annual",MOD(C2419-IF(Nonlabor!$E$24="Core",Nonlabor!$F$24,MAX(Nonlabor!$F$24,IF(Nonlabor!$E$24="AI",Assumptions!$D$24,Assumptions!$D$25))),12)=0))),IF(Nonlabor!$I$24="Fixed",1,IF(Nonlabor!$I$24="Seats",ROUNDUP('Monthly Base'!I19,0),IF(Nonlabor!$I$24="Customers",'Monthly Base'!D19,IF(Nonlabor!$I$24="NewCustomers",'Monthly Base'!C19,IF(Nonlabor!$I$24="StorageGB",'Monthly Base'!G19,IF(Nonlabor!$I$24="LogGB",'Monthly Base'!H19,IF(Nonlabor!$I$24="RequestsM",'Monthly Base'!F19,IF(Nonlabor!$I$24="InputM",'Monthly Base'!D19*Assumptions!$D$22/1000000,IF(Nonlabor!$I$24="OutputM",'Monthly Base'!D19*Assumptions!$D$23/1000000,0))))))))),0)</f>
        <v>0</v>
      </c>
      <c r="F2419" s="10" t="n">
        <f aca="false">Nonlabor!$J$24*(1+Assumptions!$D$9)^INT((C2419-1)/12)</f>
        <v>0.412</v>
      </c>
      <c r="G2419" s="10" t="n">
        <f aca="false">E2419*F2419</f>
        <v>0</v>
      </c>
      <c r="H2419" s="10" t="n">
        <f aca="false">IF(OR(Nonlabor!$L$24="Quote required",Nonlabor!$L$24="Unverified"),G2419,0)</f>
        <v>0</v>
      </c>
      <c r="I2419" s="10" t="n">
        <f aca="false">IF(Nonlabor!$E$24="Core",0,G2419)</f>
        <v>0</v>
      </c>
      <c r="J2419" s="23" t="str">
        <f aca="false">Nonlabor!$B$24</f>
        <v>AI</v>
      </c>
    </row>
    <row r="2420" customFormat="false" ht="15" hidden="false" customHeight="false" outlineLevel="0" collapsed="false">
      <c r="A2420" s="6" t="s">
        <v>4</v>
      </c>
      <c r="B2420" s="6" t="s">
        <v>428</v>
      </c>
      <c r="C2420" s="6" t="n">
        <v>15</v>
      </c>
      <c r="D2420" s="25" t="n">
        <f aca="false">EDATE('Start Here'!$B$6,C2420-1)</f>
        <v>46753</v>
      </c>
      <c r="E2420" s="23" t="n">
        <f aca="false">IF(AND(OR(Nonlabor!$D$24="Both",Nonlabor!$D$24='Start Here'!$B$9),IF(Nonlabor!$E$24="Core",1,IF(Nonlabor!$E$24="AI",'Start Here'!$B$7,'Start Here'!$B$8))=1,C2420&gt;=IF(Nonlabor!$E$24="Core",Nonlabor!$F$24,MAX(Nonlabor!$F$24,IF(Nonlabor!$E$24="AI",Assumptions!$D$24,Assumptions!$D$25))),C2420&lt;=Nonlabor!$G$24,OR(Nonlabor!$H$24="Monthly",AND(Nonlabor!$H$24="Once",C2420=IF(Nonlabor!$E$24="Core",Nonlabor!$F$24,MAX(Nonlabor!$F$24,IF(Nonlabor!$E$24="AI",Assumptions!$D$24,Assumptions!$D$25)))),AND(Nonlabor!$H$24="Annual",MOD(C2420-IF(Nonlabor!$E$24="Core",Nonlabor!$F$24,MAX(Nonlabor!$F$24,IF(Nonlabor!$E$24="AI",Assumptions!$D$24,Assumptions!$D$25))),12)=0))),IF(Nonlabor!$I$24="Fixed",1,IF(Nonlabor!$I$24="Seats",ROUNDUP('Monthly Base'!I20,0),IF(Nonlabor!$I$24="Customers",'Monthly Base'!D20,IF(Nonlabor!$I$24="NewCustomers",'Monthly Base'!C20,IF(Nonlabor!$I$24="StorageGB",'Monthly Base'!G20,IF(Nonlabor!$I$24="LogGB",'Monthly Base'!H20,IF(Nonlabor!$I$24="RequestsM",'Monthly Base'!F20,IF(Nonlabor!$I$24="InputM",'Monthly Base'!D20*Assumptions!$D$22/1000000,IF(Nonlabor!$I$24="OutputM",'Monthly Base'!D20*Assumptions!$D$23/1000000,0))))))))),0)</f>
        <v>0</v>
      </c>
      <c r="F2420" s="10" t="n">
        <f aca="false">Nonlabor!$J$24*(1+Assumptions!$D$9)^INT((C2420-1)/12)</f>
        <v>0.412</v>
      </c>
      <c r="G2420" s="10" t="n">
        <f aca="false">E2420*F2420</f>
        <v>0</v>
      </c>
      <c r="H2420" s="10" t="n">
        <f aca="false">IF(OR(Nonlabor!$L$24="Quote required",Nonlabor!$L$24="Unverified"),G2420,0)</f>
        <v>0</v>
      </c>
      <c r="I2420" s="10" t="n">
        <f aca="false">IF(Nonlabor!$E$24="Core",0,G2420)</f>
        <v>0</v>
      </c>
      <c r="J2420" s="23" t="str">
        <f aca="false">Nonlabor!$B$24</f>
        <v>AI</v>
      </c>
    </row>
    <row r="2421" customFormat="false" ht="15" hidden="false" customHeight="false" outlineLevel="0" collapsed="false">
      <c r="A2421" s="6" t="s">
        <v>4</v>
      </c>
      <c r="B2421" s="6" t="s">
        <v>428</v>
      </c>
      <c r="C2421" s="6" t="n">
        <v>16</v>
      </c>
      <c r="D2421" s="25" t="n">
        <f aca="false">EDATE('Start Here'!$B$6,C2421-1)</f>
        <v>46784</v>
      </c>
      <c r="E2421" s="23" t="n">
        <f aca="false">IF(AND(OR(Nonlabor!$D$24="Both",Nonlabor!$D$24='Start Here'!$B$9),IF(Nonlabor!$E$24="Core",1,IF(Nonlabor!$E$24="AI",'Start Here'!$B$7,'Start Here'!$B$8))=1,C2421&gt;=IF(Nonlabor!$E$24="Core",Nonlabor!$F$24,MAX(Nonlabor!$F$24,IF(Nonlabor!$E$24="AI",Assumptions!$D$24,Assumptions!$D$25))),C2421&lt;=Nonlabor!$G$24,OR(Nonlabor!$H$24="Monthly",AND(Nonlabor!$H$24="Once",C2421=IF(Nonlabor!$E$24="Core",Nonlabor!$F$24,MAX(Nonlabor!$F$24,IF(Nonlabor!$E$24="AI",Assumptions!$D$24,Assumptions!$D$25)))),AND(Nonlabor!$H$24="Annual",MOD(C2421-IF(Nonlabor!$E$24="Core",Nonlabor!$F$24,MAX(Nonlabor!$F$24,IF(Nonlabor!$E$24="AI",Assumptions!$D$24,Assumptions!$D$25))),12)=0))),IF(Nonlabor!$I$24="Fixed",1,IF(Nonlabor!$I$24="Seats",ROUNDUP('Monthly Base'!I21,0),IF(Nonlabor!$I$24="Customers",'Monthly Base'!D21,IF(Nonlabor!$I$24="NewCustomers",'Monthly Base'!C21,IF(Nonlabor!$I$24="StorageGB",'Monthly Base'!G21,IF(Nonlabor!$I$24="LogGB",'Monthly Base'!H21,IF(Nonlabor!$I$24="RequestsM",'Monthly Base'!F21,IF(Nonlabor!$I$24="InputM",'Monthly Base'!D21*Assumptions!$D$22/1000000,IF(Nonlabor!$I$24="OutputM",'Monthly Base'!D21*Assumptions!$D$23/1000000,0))))))))),0)</f>
        <v>0</v>
      </c>
      <c r="F2421" s="10" t="n">
        <f aca="false">Nonlabor!$J$24*(1+Assumptions!$D$9)^INT((C2421-1)/12)</f>
        <v>0.412</v>
      </c>
      <c r="G2421" s="10" t="n">
        <f aca="false">E2421*F2421</f>
        <v>0</v>
      </c>
      <c r="H2421" s="10" t="n">
        <f aca="false">IF(OR(Nonlabor!$L$24="Quote required",Nonlabor!$L$24="Unverified"),G2421,0)</f>
        <v>0</v>
      </c>
      <c r="I2421" s="10" t="n">
        <f aca="false">IF(Nonlabor!$E$24="Core",0,G2421)</f>
        <v>0</v>
      </c>
      <c r="J2421" s="23" t="str">
        <f aca="false">Nonlabor!$B$24</f>
        <v>AI</v>
      </c>
    </row>
    <row r="2422" customFormat="false" ht="15" hidden="false" customHeight="false" outlineLevel="0" collapsed="false">
      <c r="A2422" s="6" t="s">
        <v>4</v>
      </c>
      <c r="B2422" s="6" t="s">
        <v>428</v>
      </c>
      <c r="C2422" s="6" t="n">
        <v>17</v>
      </c>
      <c r="D2422" s="25" t="n">
        <f aca="false">EDATE('Start Here'!$B$6,C2422-1)</f>
        <v>46813</v>
      </c>
      <c r="E2422" s="23" t="n">
        <f aca="false">IF(AND(OR(Nonlabor!$D$24="Both",Nonlabor!$D$24='Start Here'!$B$9),IF(Nonlabor!$E$24="Core",1,IF(Nonlabor!$E$24="AI",'Start Here'!$B$7,'Start Here'!$B$8))=1,C2422&gt;=IF(Nonlabor!$E$24="Core",Nonlabor!$F$24,MAX(Nonlabor!$F$24,IF(Nonlabor!$E$24="AI",Assumptions!$D$24,Assumptions!$D$25))),C2422&lt;=Nonlabor!$G$24,OR(Nonlabor!$H$24="Monthly",AND(Nonlabor!$H$24="Once",C2422=IF(Nonlabor!$E$24="Core",Nonlabor!$F$24,MAX(Nonlabor!$F$24,IF(Nonlabor!$E$24="AI",Assumptions!$D$24,Assumptions!$D$25)))),AND(Nonlabor!$H$24="Annual",MOD(C2422-IF(Nonlabor!$E$24="Core",Nonlabor!$F$24,MAX(Nonlabor!$F$24,IF(Nonlabor!$E$24="AI",Assumptions!$D$24,Assumptions!$D$25))),12)=0))),IF(Nonlabor!$I$24="Fixed",1,IF(Nonlabor!$I$24="Seats",ROUNDUP('Monthly Base'!I22,0),IF(Nonlabor!$I$24="Customers",'Monthly Base'!D22,IF(Nonlabor!$I$24="NewCustomers",'Monthly Base'!C22,IF(Nonlabor!$I$24="StorageGB",'Monthly Base'!G22,IF(Nonlabor!$I$24="LogGB",'Monthly Base'!H22,IF(Nonlabor!$I$24="RequestsM",'Monthly Base'!F22,IF(Nonlabor!$I$24="InputM",'Monthly Base'!D22*Assumptions!$D$22/1000000,IF(Nonlabor!$I$24="OutputM",'Monthly Base'!D22*Assumptions!$D$23/1000000,0))))))))),0)</f>
        <v>0</v>
      </c>
      <c r="F2422" s="10" t="n">
        <f aca="false">Nonlabor!$J$24*(1+Assumptions!$D$9)^INT((C2422-1)/12)</f>
        <v>0.412</v>
      </c>
      <c r="G2422" s="10" t="n">
        <f aca="false">E2422*F2422</f>
        <v>0</v>
      </c>
      <c r="H2422" s="10" t="n">
        <f aca="false">IF(OR(Nonlabor!$L$24="Quote required",Nonlabor!$L$24="Unverified"),G2422,0)</f>
        <v>0</v>
      </c>
      <c r="I2422" s="10" t="n">
        <f aca="false">IF(Nonlabor!$E$24="Core",0,G2422)</f>
        <v>0</v>
      </c>
      <c r="J2422" s="23" t="str">
        <f aca="false">Nonlabor!$B$24</f>
        <v>AI</v>
      </c>
    </row>
    <row r="2423" customFormat="false" ht="15" hidden="false" customHeight="false" outlineLevel="0" collapsed="false">
      <c r="A2423" s="6" t="s">
        <v>4</v>
      </c>
      <c r="B2423" s="6" t="s">
        <v>428</v>
      </c>
      <c r="C2423" s="6" t="n">
        <v>18</v>
      </c>
      <c r="D2423" s="25" t="n">
        <f aca="false">EDATE('Start Here'!$B$6,C2423-1)</f>
        <v>46844</v>
      </c>
      <c r="E2423" s="23" t="n">
        <f aca="false">IF(AND(OR(Nonlabor!$D$24="Both",Nonlabor!$D$24='Start Here'!$B$9),IF(Nonlabor!$E$24="Core",1,IF(Nonlabor!$E$24="AI",'Start Here'!$B$7,'Start Here'!$B$8))=1,C2423&gt;=IF(Nonlabor!$E$24="Core",Nonlabor!$F$24,MAX(Nonlabor!$F$24,IF(Nonlabor!$E$24="AI",Assumptions!$D$24,Assumptions!$D$25))),C2423&lt;=Nonlabor!$G$24,OR(Nonlabor!$H$24="Monthly",AND(Nonlabor!$H$24="Once",C2423=IF(Nonlabor!$E$24="Core",Nonlabor!$F$24,MAX(Nonlabor!$F$24,IF(Nonlabor!$E$24="AI",Assumptions!$D$24,Assumptions!$D$25)))),AND(Nonlabor!$H$24="Annual",MOD(C2423-IF(Nonlabor!$E$24="Core",Nonlabor!$F$24,MAX(Nonlabor!$F$24,IF(Nonlabor!$E$24="AI",Assumptions!$D$24,Assumptions!$D$25))),12)=0))),IF(Nonlabor!$I$24="Fixed",1,IF(Nonlabor!$I$24="Seats",ROUNDUP('Monthly Base'!I23,0),IF(Nonlabor!$I$24="Customers",'Monthly Base'!D23,IF(Nonlabor!$I$24="NewCustomers",'Monthly Base'!C23,IF(Nonlabor!$I$24="StorageGB",'Monthly Base'!G23,IF(Nonlabor!$I$24="LogGB",'Monthly Base'!H23,IF(Nonlabor!$I$24="RequestsM",'Monthly Base'!F23,IF(Nonlabor!$I$24="InputM",'Monthly Base'!D23*Assumptions!$D$22/1000000,IF(Nonlabor!$I$24="OutputM",'Monthly Base'!D23*Assumptions!$D$23/1000000,0))))))))),0)</f>
        <v>0</v>
      </c>
      <c r="F2423" s="10" t="n">
        <f aca="false">Nonlabor!$J$24*(1+Assumptions!$D$9)^INT((C2423-1)/12)</f>
        <v>0.412</v>
      </c>
      <c r="G2423" s="10" t="n">
        <f aca="false">E2423*F2423</f>
        <v>0</v>
      </c>
      <c r="H2423" s="10" t="n">
        <f aca="false">IF(OR(Nonlabor!$L$24="Quote required",Nonlabor!$L$24="Unverified"),G2423,0)</f>
        <v>0</v>
      </c>
      <c r="I2423" s="10" t="n">
        <f aca="false">IF(Nonlabor!$E$24="Core",0,G2423)</f>
        <v>0</v>
      </c>
      <c r="J2423" s="23" t="str">
        <f aca="false">Nonlabor!$B$24</f>
        <v>AI</v>
      </c>
    </row>
    <row r="2424" customFormat="false" ht="15" hidden="false" customHeight="false" outlineLevel="0" collapsed="false">
      <c r="A2424" s="6" t="s">
        <v>4</v>
      </c>
      <c r="B2424" s="6" t="s">
        <v>428</v>
      </c>
      <c r="C2424" s="6" t="n">
        <v>19</v>
      </c>
      <c r="D2424" s="25" t="n">
        <f aca="false">EDATE('Start Here'!$B$6,C2424-1)</f>
        <v>46874</v>
      </c>
      <c r="E2424" s="23" t="n">
        <f aca="false">IF(AND(OR(Nonlabor!$D$24="Both",Nonlabor!$D$24='Start Here'!$B$9),IF(Nonlabor!$E$24="Core",1,IF(Nonlabor!$E$24="AI",'Start Here'!$B$7,'Start Here'!$B$8))=1,C2424&gt;=IF(Nonlabor!$E$24="Core",Nonlabor!$F$24,MAX(Nonlabor!$F$24,IF(Nonlabor!$E$24="AI",Assumptions!$D$24,Assumptions!$D$25))),C2424&lt;=Nonlabor!$G$24,OR(Nonlabor!$H$24="Monthly",AND(Nonlabor!$H$24="Once",C2424=IF(Nonlabor!$E$24="Core",Nonlabor!$F$24,MAX(Nonlabor!$F$24,IF(Nonlabor!$E$24="AI",Assumptions!$D$24,Assumptions!$D$25)))),AND(Nonlabor!$H$24="Annual",MOD(C2424-IF(Nonlabor!$E$24="Core",Nonlabor!$F$24,MAX(Nonlabor!$F$24,IF(Nonlabor!$E$24="AI",Assumptions!$D$24,Assumptions!$D$25))),12)=0))),IF(Nonlabor!$I$24="Fixed",1,IF(Nonlabor!$I$24="Seats",ROUNDUP('Monthly Base'!I24,0),IF(Nonlabor!$I$24="Customers",'Monthly Base'!D24,IF(Nonlabor!$I$24="NewCustomers",'Monthly Base'!C24,IF(Nonlabor!$I$24="StorageGB",'Monthly Base'!G24,IF(Nonlabor!$I$24="LogGB",'Monthly Base'!H24,IF(Nonlabor!$I$24="RequestsM",'Monthly Base'!F24,IF(Nonlabor!$I$24="InputM",'Monthly Base'!D24*Assumptions!$D$22/1000000,IF(Nonlabor!$I$24="OutputM",'Monthly Base'!D24*Assumptions!$D$23/1000000,0))))))))),0)</f>
        <v>0</v>
      </c>
      <c r="F2424" s="10" t="n">
        <f aca="false">Nonlabor!$J$24*(1+Assumptions!$D$9)^INT((C2424-1)/12)</f>
        <v>0.412</v>
      </c>
      <c r="G2424" s="10" t="n">
        <f aca="false">E2424*F2424</f>
        <v>0</v>
      </c>
      <c r="H2424" s="10" t="n">
        <f aca="false">IF(OR(Nonlabor!$L$24="Quote required",Nonlabor!$L$24="Unverified"),G2424,0)</f>
        <v>0</v>
      </c>
      <c r="I2424" s="10" t="n">
        <f aca="false">IF(Nonlabor!$E$24="Core",0,G2424)</f>
        <v>0</v>
      </c>
      <c r="J2424" s="23" t="str">
        <f aca="false">Nonlabor!$B$24</f>
        <v>AI</v>
      </c>
    </row>
    <row r="2425" customFormat="false" ht="15" hidden="false" customHeight="false" outlineLevel="0" collapsed="false">
      <c r="A2425" s="6" t="s">
        <v>4</v>
      </c>
      <c r="B2425" s="6" t="s">
        <v>428</v>
      </c>
      <c r="C2425" s="6" t="n">
        <v>20</v>
      </c>
      <c r="D2425" s="25" t="n">
        <f aca="false">EDATE('Start Here'!$B$6,C2425-1)</f>
        <v>46905</v>
      </c>
      <c r="E2425" s="23" t="n">
        <f aca="false">IF(AND(OR(Nonlabor!$D$24="Both",Nonlabor!$D$24='Start Here'!$B$9),IF(Nonlabor!$E$24="Core",1,IF(Nonlabor!$E$24="AI",'Start Here'!$B$7,'Start Here'!$B$8))=1,C2425&gt;=IF(Nonlabor!$E$24="Core",Nonlabor!$F$24,MAX(Nonlabor!$F$24,IF(Nonlabor!$E$24="AI",Assumptions!$D$24,Assumptions!$D$25))),C2425&lt;=Nonlabor!$G$24,OR(Nonlabor!$H$24="Monthly",AND(Nonlabor!$H$24="Once",C2425=IF(Nonlabor!$E$24="Core",Nonlabor!$F$24,MAX(Nonlabor!$F$24,IF(Nonlabor!$E$24="AI",Assumptions!$D$24,Assumptions!$D$25)))),AND(Nonlabor!$H$24="Annual",MOD(C2425-IF(Nonlabor!$E$24="Core",Nonlabor!$F$24,MAX(Nonlabor!$F$24,IF(Nonlabor!$E$24="AI",Assumptions!$D$24,Assumptions!$D$25))),12)=0))),IF(Nonlabor!$I$24="Fixed",1,IF(Nonlabor!$I$24="Seats",ROUNDUP('Monthly Base'!I25,0),IF(Nonlabor!$I$24="Customers",'Monthly Base'!D25,IF(Nonlabor!$I$24="NewCustomers",'Monthly Base'!C25,IF(Nonlabor!$I$24="StorageGB",'Monthly Base'!G25,IF(Nonlabor!$I$24="LogGB",'Monthly Base'!H25,IF(Nonlabor!$I$24="RequestsM",'Monthly Base'!F25,IF(Nonlabor!$I$24="InputM",'Monthly Base'!D25*Assumptions!$D$22/1000000,IF(Nonlabor!$I$24="OutputM",'Monthly Base'!D25*Assumptions!$D$23/1000000,0))))))))),0)</f>
        <v>0</v>
      </c>
      <c r="F2425" s="10" t="n">
        <f aca="false">Nonlabor!$J$24*(1+Assumptions!$D$9)^INT((C2425-1)/12)</f>
        <v>0.412</v>
      </c>
      <c r="G2425" s="10" t="n">
        <f aca="false">E2425*F2425</f>
        <v>0</v>
      </c>
      <c r="H2425" s="10" t="n">
        <f aca="false">IF(OR(Nonlabor!$L$24="Quote required",Nonlabor!$L$24="Unverified"),G2425,0)</f>
        <v>0</v>
      </c>
      <c r="I2425" s="10" t="n">
        <f aca="false">IF(Nonlabor!$E$24="Core",0,G2425)</f>
        <v>0</v>
      </c>
      <c r="J2425" s="23" t="str">
        <f aca="false">Nonlabor!$B$24</f>
        <v>AI</v>
      </c>
    </row>
    <row r="2426" customFormat="false" ht="15" hidden="false" customHeight="false" outlineLevel="0" collapsed="false">
      <c r="A2426" s="6" t="s">
        <v>4</v>
      </c>
      <c r="B2426" s="6" t="s">
        <v>428</v>
      </c>
      <c r="C2426" s="6" t="n">
        <v>21</v>
      </c>
      <c r="D2426" s="25" t="n">
        <f aca="false">EDATE('Start Here'!$B$6,C2426-1)</f>
        <v>46935</v>
      </c>
      <c r="E2426" s="23" t="n">
        <f aca="false">IF(AND(OR(Nonlabor!$D$24="Both",Nonlabor!$D$24='Start Here'!$B$9),IF(Nonlabor!$E$24="Core",1,IF(Nonlabor!$E$24="AI",'Start Here'!$B$7,'Start Here'!$B$8))=1,C2426&gt;=IF(Nonlabor!$E$24="Core",Nonlabor!$F$24,MAX(Nonlabor!$F$24,IF(Nonlabor!$E$24="AI",Assumptions!$D$24,Assumptions!$D$25))),C2426&lt;=Nonlabor!$G$24,OR(Nonlabor!$H$24="Monthly",AND(Nonlabor!$H$24="Once",C2426=IF(Nonlabor!$E$24="Core",Nonlabor!$F$24,MAX(Nonlabor!$F$24,IF(Nonlabor!$E$24="AI",Assumptions!$D$24,Assumptions!$D$25)))),AND(Nonlabor!$H$24="Annual",MOD(C2426-IF(Nonlabor!$E$24="Core",Nonlabor!$F$24,MAX(Nonlabor!$F$24,IF(Nonlabor!$E$24="AI",Assumptions!$D$24,Assumptions!$D$25))),12)=0))),IF(Nonlabor!$I$24="Fixed",1,IF(Nonlabor!$I$24="Seats",ROUNDUP('Monthly Base'!I26,0),IF(Nonlabor!$I$24="Customers",'Monthly Base'!D26,IF(Nonlabor!$I$24="NewCustomers",'Monthly Base'!C26,IF(Nonlabor!$I$24="StorageGB",'Monthly Base'!G26,IF(Nonlabor!$I$24="LogGB",'Monthly Base'!H26,IF(Nonlabor!$I$24="RequestsM",'Monthly Base'!F26,IF(Nonlabor!$I$24="InputM",'Monthly Base'!D26*Assumptions!$D$22/1000000,IF(Nonlabor!$I$24="OutputM",'Monthly Base'!D26*Assumptions!$D$23/1000000,0))))))))),0)</f>
        <v>0</v>
      </c>
      <c r="F2426" s="10" t="n">
        <f aca="false">Nonlabor!$J$24*(1+Assumptions!$D$9)^INT((C2426-1)/12)</f>
        <v>0.412</v>
      </c>
      <c r="G2426" s="10" t="n">
        <f aca="false">E2426*F2426</f>
        <v>0</v>
      </c>
      <c r="H2426" s="10" t="n">
        <f aca="false">IF(OR(Nonlabor!$L$24="Quote required",Nonlabor!$L$24="Unverified"),G2426,0)</f>
        <v>0</v>
      </c>
      <c r="I2426" s="10" t="n">
        <f aca="false">IF(Nonlabor!$E$24="Core",0,G2426)</f>
        <v>0</v>
      </c>
      <c r="J2426" s="23" t="str">
        <f aca="false">Nonlabor!$B$24</f>
        <v>AI</v>
      </c>
    </row>
    <row r="2427" customFormat="false" ht="15" hidden="false" customHeight="false" outlineLevel="0" collapsed="false">
      <c r="A2427" s="6" t="s">
        <v>4</v>
      </c>
      <c r="B2427" s="6" t="s">
        <v>428</v>
      </c>
      <c r="C2427" s="6" t="n">
        <v>22</v>
      </c>
      <c r="D2427" s="25" t="n">
        <f aca="false">EDATE('Start Here'!$B$6,C2427-1)</f>
        <v>46966</v>
      </c>
      <c r="E2427" s="23" t="n">
        <f aca="false">IF(AND(OR(Nonlabor!$D$24="Both",Nonlabor!$D$24='Start Here'!$B$9),IF(Nonlabor!$E$24="Core",1,IF(Nonlabor!$E$24="AI",'Start Here'!$B$7,'Start Here'!$B$8))=1,C2427&gt;=IF(Nonlabor!$E$24="Core",Nonlabor!$F$24,MAX(Nonlabor!$F$24,IF(Nonlabor!$E$24="AI",Assumptions!$D$24,Assumptions!$D$25))),C2427&lt;=Nonlabor!$G$24,OR(Nonlabor!$H$24="Monthly",AND(Nonlabor!$H$24="Once",C2427=IF(Nonlabor!$E$24="Core",Nonlabor!$F$24,MAX(Nonlabor!$F$24,IF(Nonlabor!$E$24="AI",Assumptions!$D$24,Assumptions!$D$25)))),AND(Nonlabor!$H$24="Annual",MOD(C2427-IF(Nonlabor!$E$24="Core",Nonlabor!$F$24,MAX(Nonlabor!$F$24,IF(Nonlabor!$E$24="AI",Assumptions!$D$24,Assumptions!$D$25))),12)=0))),IF(Nonlabor!$I$24="Fixed",1,IF(Nonlabor!$I$24="Seats",ROUNDUP('Monthly Base'!I27,0),IF(Nonlabor!$I$24="Customers",'Monthly Base'!D27,IF(Nonlabor!$I$24="NewCustomers",'Monthly Base'!C27,IF(Nonlabor!$I$24="StorageGB",'Monthly Base'!G27,IF(Nonlabor!$I$24="LogGB",'Monthly Base'!H27,IF(Nonlabor!$I$24="RequestsM",'Monthly Base'!F27,IF(Nonlabor!$I$24="InputM",'Monthly Base'!D27*Assumptions!$D$22/1000000,IF(Nonlabor!$I$24="OutputM",'Monthly Base'!D27*Assumptions!$D$23/1000000,0))))))))),0)</f>
        <v>0</v>
      </c>
      <c r="F2427" s="10" t="n">
        <f aca="false">Nonlabor!$J$24*(1+Assumptions!$D$9)^INT((C2427-1)/12)</f>
        <v>0.412</v>
      </c>
      <c r="G2427" s="10" t="n">
        <f aca="false">E2427*F2427</f>
        <v>0</v>
      </c>
      <c r="H2427" s="10" t="n">
        <f aca="false">IF(OR(Nonlabor!$L$24="Quote required",Nonlabor!$L$24="Unverified"),G2427,0)</f>
        <v>0</v>
      </c>
      <c r="I2427" s="10" t="n">
        <f aca="false">IF(Nonlabor!$E$24="Core",0,G2427)</f>
        <v>0</v>
      </c>
      <c r="J2427" s="23" t="str">
        <f aca="false">Nonlabor!$B$24</f>
        <v>AI</v>
      </c>
    </row>
    <row r="2428" customFormat="false" ht="15" hidden="false" customHeight="false" outlineLevel="0" collapsed="false">
      <c r="A2428" s="6" t="s">
        <v>4</v>
      </c>
      <c r="B2428" s="6" t="s">
        <v>428</v>
      </c>
      <c r="C2428" s="6" t="n">
        <v>23</v>
      </c>
      <c r="D2428" s="25" t="n">
        <f aca="false">EDATE('Start Here'!$B$6,C2428-1)</f>
        <v>46997</v>
      </c>
      <c r="E2428" s="23" t="n">
        <f aca="false">IF(AND(OR(Nonlabor!$D$24="Both",Nonlabor!$D$24='Start Here'!$B$9),IF(Nonlabor!$E$24="Core",1,IF(Nonlabor!$E$24="AI",'Start Here'!$B$7,'Start Here'!$B$8))=1,C2428&gt;=IF(Nonlabor!$E$24="Core",Nonlabor!$F$24,MAX(Nonlabor!$F$24,IF(Nonlabor!$E$24="AI",Assumptions!$D$24,Assumptions!$D$25))),C2428&lt;=Nonlabor!$G$24,OR(Nonlabor!$H$24="Monthly",AND(Nonlabor!$H$24="Once",C2428=IF(Nonlabor!$E$24="Core",Nonlabor!$F$24,MAX(Nonlabor!$F$24,IF(Nonlabor!$E$24="AI",Assumptions!$D$24,Assumptions!$D$25)))),AND(Nonlabor!$H$24="Annual",MOD(C2428-IF(Nonlabor!$E$24="Core",Nonlabor!$F$24,MAX(Nonlabor!$F$24,IF(Nonlabor!$E$24="AI",Assumptions!$D$24,Assumptions!$D$25))),12)=0))),IF(Nonlabor!$I$24="Fixed",1,IF(Nonlabor!$I$24="Seats",ROUNDUP('Monthly Base'!I28,0),IF(Nonlabor!$I$24="Customers",'Monthly Base'!D28,IF(Nonlabor!$I$24="NewCustomers",'Monthly Base'!C28,IF(Nonlabor!$I$24="StorageGB",'Monthly Base'!G28,IF(Nonlabor!$I$24="LogGB",'Monthly Base'!H28,IF(Nonlabor!$I$24="RequestsM",'Monthly Base'!F28,IF(Nonlabor!$I$24="InputM",'Monthly Base'!D28*Assumptions!$D$22/1000000,IF(Nonlabor!$I$24="OutputM",'Monthly Base'!D28*Assumptions!$D$23/1000000,0))))))))),0)</f>
        <v>0</v>
      </c>
      <c r="F2428" s="10" t="n">
        <f aca="false">Nonlabor!$J$24*(1+Assumptions!$D$9)^INT((C2428-1)/12)</f>
        <v>0.412</v>
      </c>
      <c r="G2428" s="10" t="n">
        <f aca="false">E2428*F2428</f>
        <v>0</v>
      </c>
      <c r="H2428" s="10" t="n">
        <f aca="false">IF(OR(Nonlabor!$L$24="Quote required",Nonlabor!$L$24="Unverified"),G2428,0)</f>
        <v>0</v>
      </c>
      <c r="I2428" s="10" t="n">
        <f aca="false">IF(Nonlabor!$E$24="Core",0,G2428)</f>
        <v>0</v>
      </c>
      <c r="J2428" s="23" t="str">
        <f aca="false">Nonlabor!$B$24</f>
        <v>AI</v>
      </c>
    </row>
    <row r="2429" customFormat="false" ht="15" hidden="false" customHeight="false" outlineLevel="0" collapsed="false">
      <c r="A2429" s="6" t="s">
        <v>4</v>
      </c>
      <c r="B2429" s="6" t="s">
        <v>428</v>
      </c>
      <c r="C2429" s="6" t="n">
        <v>24</v>
      </c>
      <c r="D2429" s="25" t="n">
        <f aca="false">EDATE('Start Here'!$B$6,C2429-1)</f>
        <v>47027</v>
      </c>
      <c r="E2429" s="23" t="n">
        <f aca="false">IF(AND(OR(Nonlabor!$D$24="Both",Nonlabor!$D$24='Start Here'!$B$9),IF(Nonlabor!$E$24="Core",1,IF(Nonlabor!$E$24="AI",'Start Here'!$B$7,'Start Here'!$B$8))=1,C2429&gt;=IF(Nonlabor!$E$24="Core",Nonlabor!$F$24,MAX(Nonlabor!$F$24,IF(Nonlabor!$E$24="AI",Assumptions!$D$24,Assumptions!$D$25))),C2429&lt;=Nonlabor!$G$24,OR(Nonlabor!$H$24="Monthly",AND(Nonlabor!$H$24="Once",C2429=IF(Nonlabor!$E$24="Core",Nonlabor!$F$24,MAX(Nonlabor!$F$24,IF(Nonlabor!$E$24="AI",Assumptions!$D$24,Assumptions!$D$25)))),AND(Nonlabor!$H$24="Annual",MOD(C2429-IF(Nonlabor!$E$24="Core",Nonlabor!$F$24,MAX(Nonlabor!$F$24,IF(Nonlabor!$E$24="AI",Assumptions!$D$24,Assumptions!$D$25))),12)=0))),IF(Nonlabor!$I$24="Fixed",1,IF(Nonlabor!$I$24="Seats",ROUNDUP('Monthly Base'!I29,0),IF(Nonlabor!$I$24="Customers",'Monthly Base'!D29,IF(Nonlabor!$I$24="NewCustomers",'Monthly Base'!C29,IF(Nonlabor!$I$24="StorageGB",'Monthly Base'!G29,IF(Nonlabor!$I$24="LogGB",'Monthly Base'!H29,IF(Nonlabor!$I$24="RequestsM",'Monthly Base'!F29,IF(Nonlabor!$I$24="InputM",'Monthly Base'!D29*Assumptions!$D$22/1000000,IF(Nonlabor!$I$24="OutputM",'Monthly Base'!D29*Assumptions!$D$23/1000000,0))))))))),0)</f>
        <v>0</v>
      </c>
      <c r="F2429" s="10" t="n">
        <f aca="false">Nonlabor!$J$24*(1+Assumptions!$D$9)^INT((C2429-1)/12)</f>
        <v>0.412</v>
      </c>
      <c r="G2429" s="10" t="n">
        <f aca="false">E2429*F2429</f>
        <v>0</v>
      </c>
      <c r="H2429" s="10" t="n">
        <f aca="false">IF(OR(Nonlabor!$L$24="Quote required",Nonlabor!$L$24="Unverified"),G2429,0)</f>
        <v>0</v>
      </c>
      <c r="I2429" s="10" t="n">
        <f aca="false">IF(Nonlabor!$E$24="Core",0,G2429)</f>
        <v>0</v>
      </c>
      <c r="J2429" s="23" t="str">
        <f aca="false">Nonlabor!$B$24</f>
        <v>AI</v>
      </c>
    </row>
    <row r="2430" customFormat="false" ht="15" hidden="false" customHeight="false" outlineLevel="0" collapsed="false">
      <c r="A2430" s="6" t="s">
        <v>4</v>
      </c>
      <c r="B2430" s="6" t="s">
        <v>428</v>
      </c>
      <c r="C2430" s="6" t="n">
        <v>25</v>
      </c>
      <c r="D2430" s="25" t="n">
        <f aca="false">EDATE('Start Here'!$B$6,C2430-1)</f>
        <v>47058</v>
      </c>
      <c r="E2430" s="23" t="n">
        <f aca="false">IF(AND(OR(Nonlabor!$D$24="Both",Nonlabor!$D$24='Start Here'!$B$9),IF(Nonlabor!$E$24="Core",1,IF(Nonlabor!$E$24="AI",'Start Here'!$B$7,'Start Here'!$B$8))=1,C2430&gt;=IF(Nonlabor!$E$24="Core",Nonlabor!$F$24,MAX(Nonlabor!$F$24,IF(Nonlabor!$E$24="AI",Assumptions!$D$24,Assumptions!$D$25))),C2430&lt;=Nonlabor!$G$24,OR(Nonlabor!$H$24="Monthly",AND(Nonlabor!$H$24="Once",C2430=IF(Nonlabor!$E$24="Core",Nonlabor!$F$24,MAX(Nonlabor!$F$24,IF(Nonlabor!$E$24="AI",Assumptions!$D$24,Assumptions!$D$25)))),AND(Nonlabor!$H$24="Annual",MOD(C2430-IF(Nonlabor!$E$24="Core",Nonlabor!$F$24,MAX(Nonlabor!$F$24,IF(Nonlabor!$E$24="AI",Assumptions!$D$24,Assumptions!$D$25))),12)=0))),IF(Nonlabor!$I$24="Fixed",1,IF(Nonlabor!$I$24="Seats",ROUNDUP('Monthly Base'!I30,0),IF(Nonlabor!$I$24="Customers",'Monthly Base'!D30,IF(Nonlabor!$I$24="NewCustomers",'Monthly Base'!C30,IF(Nonlabor!$I$24="StorageGB",'Monthly Base'!G30,IF(Nonlabor!$I$24="LogGB",'Monthly Base'!H30,IF(Nonlabor!$I$24="RequestsM",'Monthly Base'!F30,IF(Nonlabor!$I$24="InputM",'Monthly Base'!D30*Assumptions!$D$22/1000000,IF(Nonlabor!$I$24="OutputM",'Monthly Base'!D30*Assumptions!$D$23/1000000,0))))))))),0)</f>
        <v>0</v>
      </c>
      <c r="F2430" s="10" t="n">
        <f aca="false">Nonlabor!$J$24*(1+Assumptions!$D$9)^INT((C2430-1)/12)</f>
        <v>0.42436</v>
      </c>
      <c r="G2430" s="10" t="n">
        <f aca="false">E2430*F2430</f>
        <v>0</v>
      </c>
      <c r="H2430" s="10" t="n">
        <f aca="false">IF(OR(Nonlabor!$L$24="Quote required",Nonlabor!$L$24="Unverified"),G2430,0)</f>
        <v>0</v>
      </c>
      <c r="I2430" s="10" t="n">
        <f aca="false">IF(Nonlabor!$E$24="Core",0,G2430)</f>
        <v>0</v>
      </c>
      <c r="J2430" s="23" t="str">
        <f aca="false">Nonlabor!$B$24</f>
        <v>AI</v>
      </c>
    </row>
    <row r="2431" customFormat="false" ht="15" hidden="false" customHeight="false" outlineLevel="0" collapsed="false">
      <c r="A2431" s="6" t="s">
        <v>4</v>
      </c>
      <c r="B2431" s="6" t="s">
        <v>428</v>
      </c>
      <c r="C2431" s="6" t="n">
        <v>26</v>
      </c>
      <c r="D2431" s="25" t="n">
        <f aca="false">EDATE('Start Here'!$B$6,C2431-1)</f>
        <v>47088</v>
      </c>
      <c r="E2431" s="23" t="n">
        <f aca="false">IF(AND(OR(Nonlabor!$D$24="Both",Nonlabor!$D$24='Start Here'!$B$9),IF(Nonlabor!$E$24="Core",1,IF(Nonlabor!$E$24="AI",'Start Here'!$B$7,'Start Here'!$B$8))=1,C2431&gt;=IF(Nonlabor!$E$24="Core",Nonlabor!$F$24,MAX(Nonlabor!$F$24,IF(Nonlabor!$E$24="AI",Assumptions!$D$24,Assumptions!$D$25))),C2431&lt;=Nonlabor!$G$24,OR(Nonlabor!$H$24="Monthly",AND(Nonlabor!$H$24="Once",C2431=IF(Nonlabor!$E$24="Core",Nonlabor!$F$24,MAX(Nonlabor!$F$24,IF(Nonlabor!$E$24="AI",Assumptions!$D$24,Assumptions!$D$25)))),AND(Nonlabor!$H$24="Annual",MOD(C2431-IF(Nonlabor!$E$24="Core",Nonlabor!$F$24,MAX(Nonlabor!$F$24,IF(Nonlabor!$E$24="AI",Assumptions!$D$24,Assumptions!$D$25))),12)=0))),IF(Nonlabor!$I$24="Fixed",1,IF(Nonlabor!$I$24="Seats",ROUNDUP('Monthly Base'!I31,0),IF(Nonlabor!$I$24="Customers",'Monthly Base'!D31,IF(Nonlabor!$I$24="NewCustomers",'Monthly Base'!C31,IF(Nonlabor!$I$24="StorageGB",'Monthly Base'!G31,IF(Nonlabor!$I$24="LogGB",'Monthly Base'!H31,IF(Nonlabor!$I$24="RequestsM",'Monthly Base'!F31,IF(Nonlabor!$I$24="InputM",'Monthly Base'!D31*Assumptions!$D$22/1000000,IF(Nonlabor!$I$24="OutputM",'Monthly Base'!D31*Assumptions!$D$23/1000000,0))))))))),0)</f>
        <v>0</v>
      </c>
      <c r="F2431" s="10" t="n">
        <f aca="false">Nonlabor!$J$24*(1+Assumptions!$D$9)^INT((C2431-1)/12)</f>
        <v>0.42436</v>
      </c>
      <c r="G2431" s="10" t="n">
        <f aca="false">E2431*F2431</f>
        <v>0</v>
      </c>
      <c r="H2431" s="10" t="n">
        <f aca="false">IF(OR(Nonlabor!$L$24="Quote required",Nonlabor!$L$24="Unverified"),G2431,0)</f>
        <v>0</v>
      </c>
      <c r="I2431" s="10" t="n">
        <f aca="false">IF(Nonlabor!$E$24="Core",0,G2431)</f>
        <v>0</v>
      </c>
      <c r="J2431" s="23" t="str">
        <f aca="false">Nonlabor!$B$24</f>
        <v>AI</v>
      </c>
    </row>
    <row r="2432" customFormat="false" ht="15" hidden="false" customHeight="false" outlineLevel="0" collapsed="false">
      <c r="A2432" s="6" t="s">
        <v>4</v>
      </c>
      <c r="B2432" s="6" t="s">
        <v>428</v>
      </c>
      <c r="C2432" s="6" t="n">
        <v>27</v>
      </c>
      <c r="D2432" s="25" t="n">
        <f aca="false">EDATE('Start Here'!$B$6,C2432-1)</f>
        <v>47119</v>
      </c>
      <c r="E2432" s="23" t="n">
        <f aca="false">IF(AND(OR(Nonlabor!$D$24="Both",Nonlabor!$D$24='Start Here'!$B$9),IF(Nonlabor!$E$24="Core",1,IF(Nonlabor!$E$24="AI",'Start Here'!$B$7,'Start Here'!$B$8))=1,C2432&gt;=IF(Nonlabor!$E$24="Core",Nonlabor!$F$24,MAX(Nonlabor!$F$24,IF(Nonlabor!$E$24="AI",Assumptions!$D$24,Assumptions!$D$25))),C2432&lt;=Nonlabor!$G$24,OR(Nonlabor!$H$24="Monthly",AND(Nonlabor!$H$24="Once",C2432=IF(Nonlabor!$E$24="Core",Nonlabor!$F$24,MAX(Nonlabor!$F$24,IF(Nonlabor!$E$24="AI",Assumptions!$D$24,Assumptions!$D$25)))),AND(Nonlabor!$H$24="Annual",MOD(C2432-IF(Nonlabor!$E$24="Core",Nonlabor!$F$24,MAX(Nonlabor!$F$24,IF(Nonlabor!$E$24="AI",Assumptions!$D$24,Assumptions!$D$25))),12)=0))),IF(Nonlabor!$I$24="Fixed",1,IF(Nonlabor!$I$24="Seats",ROUNDUP('Monthly Base'!I32,0),IF(Nonlabor!$I$24="Customers",'Monthly Base'!D32,IF(Nonlabor!$I$24="NewCustomers",'Monthly Base'!C32,IF(Nonlabor!$I$24="StorageGB",'Monthly Base'!G32,IF(Nonlabor!$I$24="LogGB",'Monthly Base'!H32,IF(Nonlabor!$I$24="RequestsM",'Monthly Base'!F32,IF(Nonlabor!$I$24="InputM",'Monthly Base'!D32*Assumptions!$D$22/1000000,IF(Nonlabor!$I$24="OutputM",'Monthly Base'!D32*Assumptions!$D$23/1000000,0))))))))),0)</f>
        <v>0</v>
      </c>
      <c r="F2432" s="10" t="n">
        <f aca="false">Nonlabor!$J$24*(1+Assumptions!$D$9)^INT((C2432-1)/12)</f>
        <v>0.42436</v>
      </c>
      <c r="G2432" s="10" t="n">
        <f aca="false">E2432*F2432</f>
        <v>0</v>
      </c>
      <c r="H2432" s="10" t="n">
        <f aca="false">IF(OR(Nonlabor!$L$24="Quote required",Nonlabor!$L$24="Unverified"),G2432,0)</f>
        <v>0</v>
      </c>
      <c r="I2432" s="10" t="n">
        <f aca="false">IF(Nonlabor!$E$24="Core",0,G2432)</f>
        <v>0</v>
      </c>
      <c r="J2432" s="23" t="str">
        <f aca="false">Nonlabor!$B$24</f>
        <v>AI</v>
      </c>
    </row>
    <row r="2433" customFormat="false" ht="15" hidden="false" customHeight="false" outlineLevel="0" collapsed="false">
      <c r="A2433" s="6" t="s">
        <v>4</v>
      </c>
      <c r="B2433" s="6" t="s">
        <v>428</v>
      </c>
      <c r="C2433" s="6" t="n">
        <v>28</v>
      </c>
      <c r="D2433" s="25" t="n">
        <f aca="false">EDATE('Start Here'!$B$6,C2433-1)</f>
        <v>47150</v>
      </c>
      <c r="E2433" s="23" t="n">
        <f aca="false">IF(AND(OR(Nonlabor!$D$24="Both",Nonlabor!$D$24='Start Here'!$B$9),IF(Nonlabor!$E$24="Core",1,IF(Nonlabor!$E$24="AI",'Start Here'!$B$7,'Start Here'!$B$8))=1,C2433&gt;=IF(Nonlabor!$E$24="Core",Nonlabor!$F$24,MAX(Nonlabor!$F$24,IF(Nonlabor!$E$24="AI",Assumptions!$D$24,Assumptions!$D$25))),C2433&lt;=Nonlabor!$G$24,OR(Nonlabor!$H$24="Monthly",AND(Nonlabor!$H$24="Once",C2433=IF(Nonlabor!$E$24="Core",Nonlabor!$F$24,MAX(Nonlabor!$F$24,IF(Nonlabor!$E$24="AI",Assumptions!$D$24,Assumptions!$D$25)))),AND(Nonlabor!$H$24="Annual",MOD(C2433-IF(Nonlabor!$E$24="Core",Nonlabor!$F$24,MAX(Nonlabor!$F$24,IF(Nonlabor!$E$24="AI",Assumptions!$D$24,Assumptions!$D$25))),12)=0))),IF(Nonlabor!$I$24="Fixed",1,IF(Nonlabor!$I$24="Seats",ROUNDUP('Monthly Base'!I33,0),IF(Nonlabor!$I$24="Customers",'Monthly Base'!D33,IF(Nonlabor!$I$24="NewCustomers",'Monthly Base'!C33,IF(Nonlabor!$I$24="StorageGB",'Monthly Base'!G33,IF(Nonlabor!$I$24="LogGB",'Monthly Base'!H33,IF(Nonlabor!$I$24="RequestsM",'Monthly Base'!F33,IF(Nonlabor!$I$24="InputM",'Monthly Base'!D33*Assumptions!$D$22/1000000,IF(Nonlabor!$I$24="OutputM",'Monthly Base'!D33*Assumptions!$D$23/1000000,0))))))))),0)</f>
        <v>0</v>
      </c>
      <c r="F2433" s="10" t="n">
        <f aca="false">Nonlabor!$J$24*(1+Assumptions!$D$9)^INT((C2433-1)/12)</f>
        <v>0.42436</v>
      </c>
      <c r="G2433" s="10" t="n">
        <f aca="false">E2433*F2433</f>
        <v>0</v>
      </c>
      <c r="H2433" s="10" t="n">
        <f aca="false">IF(OR(Nonlabor!$L$24="Quote required",Nonlabor!$L$24="Unverified"),G2433,0)</f>
        <v>0</v>
      </c>
      <c r="I2433" s="10" t="n">
        <f aca="false">IF(Nonlabor!$E$24="Core",0,G2433)</f>
        <v>0</v>
      </c>
      <c r="J2433" s="23" t="str">
        <f aca="false">Nonlabor!$B$24</f>
        <v>AI</v>
      </c>
    </row>
    <row r="2434" customFormat="false" ht="15" hidden="false" customHeight="false" outlineLevel="0" collapsed="false">
      <c r="A2434" s="6" t="s">
        <v>4</v>
      </c>
      <c r="B2434" s="6" t="s">
        <v>428</v>
      </c>
      <c r="C2434" s="6" t="n">
        <v>29</v>
      </c>
      <c r="D2434" s="25" t="n">
        <f aca="false">EDATE('Start Here'!$B$6,C2434-1)</f>
        <v>47178</v>
      </c>
      <c r="E2434" s="23" t="n">
        <f aca="false">IF(AND(OR(Nonlabor!$D$24="Both",Nonlabor!$D$24='Start Here'!$B$9),IF(Nonlabor!$E$24="Core",1,IF(Nonlabor!$E$24="AI",'Start Here'!$B$7,'Start Here'!$B$8))=1,C2434&gt;=IF(Nonlabor!$E$24="Core",Nonlabor!$F$24,MAX(Nonlabor!$F$24,IF(Nonlabor!$E$24="AI",Assumptions!$D$24,Assumptions!$D$25))),C2434&lt;=Nonlabor!$G$24,OR(Nonlabor!$H$24="Monthly",AND(Nonlabor!$H$24="Once",C2434=IF(Nonlabor!$E$24="Core",Nonlabor!$F$24,MAX(Nonlabor!$F$24,IF(Nonlabor!$E$24="AI",Assumptions!$D$24,Assumptions!$D$25)))),AND(Nonlabor!$H$24="Annual",MOD(C2434-IF(Nonlabor!$E$24="Core",Nonlabor!$F$24,MAX(Nonlabor!$F$24,IF(Nonlabor!$E$24="AI",Assumptions!$D$24,Assumptions!$D$25))),12)=0))),IF(Nonlabor!$I$24="Fixed",1,IF(Nonlabor!$I$24="Seats",ROUNDUP('Monthly Base'!I34,0),IF(Nonlabor!$I$24="Customers",'Monthly Base'!D34,IF(Nonlabor!$I$24="NewCustomers",'Monthly Base'!C34,IF(Nonlabor!$I$24="StorageGB",'Monthly Base'!G34,IF(Nonlabor!$I$24="LogGB",'Monthly Base'!H34,IF(Nonlabor!$I$24="RequestsM",'Monthly Base'!F34,IF(Nonlabor!$I$24="InputM",'Monthly Base'!D34*Assumptions!$D$22/1000000,IF(Nonlabor!$I$24="OutputM",'Monthly Base'!D34*Assumptions!$D$23/1000000,0))))))))),0)</f>
        <v>0</v>
      </c>
      <c r="F2434" s="10" t="n">
        <f aca="false">Nonlabor!$J$24*(1+Assumptions!$D$9)^INT((C2434-1)/12)</f>
        <v>0.42436</v>
      </c>
      <c r="G2434" s="10" t="n">
        <f aca="false">E2434*F2434</f>
        <v>0</v>
      </c>
      <c r="H2434" s="10" t="n">
        <f aca="false">IF(OR(Nonlabor!$L$24="Quote required",Nonlabor!$L$24="Unverified"),G2434,0)</f>
        <v>0</v>
      </c>
      <c r="I2434" s="10" t="n">
        <f aca="false">IF(Nonlabor!$E$24="Core",0,G2434)</f>
        <v>0</v>
      </c>
      <c r="J2434" s="23" t="str">
        <f aca="false">Nonlabor!$B$24</f>
        <v>AI</v>
      </c>
    </row>
    <row r="2435" customFormat="false" ht="15" hidden="false" customHeight="false" outlineLevel="0" collapsed="false">
      <c r="A2435" s="6" t="s">
        <v>4</v>
      </c>
      <c r="B2435" s="6" t="s">
        <v>428</v>
      </c>
      <c r="C2435" s="6" t="n">
        <v>30</v>
      </c>
      <c r="D2435" s="25" t="n">
        <f aca="false">EDATE('Start Here'!$B$6,C2435-1)</f>
        <v>47209</v>
      </c>
      <c r="E2435" s="23" t="n">
        <f aca="false">IF(AND(OR(Nonlabor!$D$24="Both",Nonlabor!$D$24='Start Here'!$B$9),IF(Nonlabor!$E$24="Core",1,IF(Nonlabor!$E$24="AI",'Start Here'!$B$7,'Start Here'!$B$8))=1,C2435&gt;=IF(Nonlabor!$E$24="Core",Nonlabor!$F$24,MAX(Nonlabor!$F$24,IF(Nonlabor!$E$24="AI",Assumptions!$D$24,Assumptions!$D$25))),C2435&lt;=Nonlabor!$G$24,OR(Nonlabor!$H$24="Monthly",AND(Nonlabor!$H$24="Once",C2435=IF(Nonlabor!$E$24="Core",Nonlabor!$F$24,MAX(Nonlabor!$F$24,IF(Nonlabor!$E$24="AI",Assumptions!$D$24,Assumptions!$D$25)))),AND(Nonlabor!$H$24="Annual",MOD(C2435-IF(Nonlabor!$E$24="Core",Nonlabor!$F$24,MAX(Nonlabor!$F$24,IF(Nonlabor!$E$24="AI",Assumptions!$D$24,Assumptions!$D$25))),12)=0))),IF(Nonlabor!$I$24="Fixed",1,IF(Nonlabor!$I$24="Seats",ROUNDUP('Monthly Base'!I35,0),IF(Nonlabor!$I$24="Customers",'Monthly Base'!D35,IF(Nonlabor!$I$24="NewCustomers",'Monthly Base'!C35,IF(Nonlabor!$I$24="StorageGB",'Monthly Base'!G35,IF(Nonlabor!$I$24="LogGB",'Monthly Base'!H35,IF(Nonlabor!$I$24="RequestsM",'Monthly Base'!F35,IF(Nonlabor!$I$24="InputM",'Monthly Base'!D35*Assumptions!$D$22/1000000,IF(Nonlabor!$I$24="OutputM",'Monthly Base'!D35*Assumptions!$D$23/1000000,0))))))))),0)</f>
        <v>0</v>
      </c>
      <c r="F2435" s="10" t="n">
        <f aca="false">Nonlabor!$J$24*(1+Assumptions!$D$9)^INT((C2435-1)/12)</f>
        <v>0.42436</v>
      </c>
      <c r="G2435" s="10" t="n">
        <f aca="false">E2435*F2435</f>
        <v>0</v>
      </c>
      <c r="H2435" s="10" t="n">
        <f aca="false">IF(OR(Nonlabor!$L$24="Quote required",Nonlabor!$L$24="Unverified"),G2435,0)</f>
        <v>0</v>
      </c>
      <c r="I2435" s="10" t="n">
        <f aca="false">IF(Nonlabor!$E$24="Core",0,G2435)</f>
        <v>0</v>
      </c>
      <c r="J2435" s="23" t="str">
        <f aca="false">Nonlabor!$B$24</f>
        <v>AI</v>
      </c>
    </row>
    <row r="2436" customFormat="false" ht="15" hidden="false" customHeight="false" outlineLevel="0" collapsed="false">
      <c r="A2436" s="6" t="s">
        <v>4</v>
      </c>
      <c r="B2436" s="6" t="s">
        <v>428</v>
      </c>
      <c r="C2436" s="6" t="n">
        <v>31</v>
      </c>
      <c r="D2436" s="25" t="n">
        <f aca="false">EDATE('Start Here'!$B$6,C2436-1)</f>
        <v>47239</v>
      </c>
      <c r="E2436" s="23" t="n">
        <f aca="false">IF(AND(OR(Nonlabor!$D$24="Both",Nonlabor!$D$24='Start Here'!$B$9),IF(Nonlabor!$E$24="Core",1,IF(Nonlabor!$E$24="AI",'Start Here'!$B$7,'Start Here'!$B$8))=1,C2436&gt;=IF(Nonlabor!$E$24="Core",Nonlabor!$F$24,MAX(Nonlabor!$F$24,IF(Nonlabor!$E$24="AI",Assumptions!$D$24,Assumptions!$D$25))),C2436&lt;=Nonlabor!$G$24,OR(Nonlabor!$H$24="Monthly",AND(Nonlabor!$H$24="Once",C2436=IF(Nonlabor!$E$24="Core",Nonlabor!$F$24,MAX(Nonlabor!$F$24,IF(Nonlabor!$E$24="AI",Assumptions!$D$24,Assumptions!$D$25)))),AND(Nonlabor!$H$24="Annual",MOD(C2436-IF(Nonlabor!$E$24="Core",Nonlabor!$F$24,MAX(Nonlabor!$F$24,IF(Nonlabor!$E$24="AI",Assumptions!$D$24,Assumptions!$D$25))),12)=0))),IF(Nonlabor!$I$24="Fixed",1,IF(Nonlabor!$I$24="Seats",ROUNDUP('Monthly Base'!I36,0),IF(Nonlabor!$I$24="Customers",'Monthly Base'!D36,IF(Nonlabor!$I$24="NewCustomers",'Monthly Base'!C36,IF(Nonlabor!$I$24="StorageGB",'Monthly Base'!G36,IF(Nonlabor!$I$24="LogGB",'Monthly Base'!H36,IF(Nonlabor!$I$24="RequestsM",'Monthly Base'!F36,IF(Nonlabor!$I$24="InputM",'Monthly Base'!D36*Assumptions!$D$22/1000000,IF(Nonlabor!$I$24="OutputM",'Monthly Base'!D36*Assumptions!$D$23/1000000,0))))))))),0)</f>
        <v>0</v>
      </c>
      <c r="F2436" s="10" t="n">
        <f aca="false">Nonlabor!$J$24*(1+Assumptions!$D$9)^INT((C2436-1)/12)</f>
        <v>0.42436</v>
      </c>
      <c r="G2436" s="10" t="n">
        <f aca="false">E2436*F2436</f>
        <v>0</v>
      </c>
      <c r="H2436" s="10" t="n">
        <f aca="false">IF(OR(Nonlabor!$L$24="Quote required",Nonlabor!$L$24="Unverified"),G2436,0)</f>
        <v>0</v>
      </c>
      <c r="I2436" s="10" t="n">
        <f aca="false">IF(Nonlabor!$E$24="Core",0,G2436)</f>
        <v>0</v>
      </c>
      <c r="J2436" s="23" t="str">
        <f aca="false">Nonlabor!$B$24</f>
        <v>AI</v>
      </c>
    </row>
    <row r="2437" customFormat="false" ht="15" hidden="false" customHeight="false" outlineLevel="0" collapsed="false">
      <c r="A2437" s="6" t="s">
        <v>4</v>
      </c>
      <c r="B2437" s="6" t="s">
        <v>428</v>
      </c>
      <c r="C2437" s="6" t="n">
        <v>32</v>
      </c>
      <c r="D2437" s="25" t="n">
        <f aca="false">EDATE('Start Here'!$B$6,C2437-1)</f>
        <v>47270</v>
      </c>
      <c r="E2437" s="23" t="n">
        <f aca="false">IF(AND(OR(Nonlabor!$D$24="Both",Nonlabor!$D$24='Start Here'!$B$9),IF(Nonlabor!$E$24="Core",1,IF(Nonlabor!$E$24="AI",'Start Here'!$B$7,'Start Here'!$B$8))=1,C2437&gt;=IF(Nonlabor!$E$24="Core",Nonlabor!$F$24,MAX(Nonlabor!$F$24,IF(Nonlabor!$E$24="AI",Assumptions!$D$24,Assumptions!$D$25))),C2437&lt;=Nonlabor!$G$24,OR(Nonlabor!$H$24="Monthly",AND(Nonlabor!$H$24="Once",C2437=IF(Nonlabor!$E$24="Core",Nonlabor!$F$24,MAX(Nonlabor!$F$24,IF(Nonlabor!$E$24="AI",Assumptions!$D$24,Assumptions!$D$25)))),AND(Nonlabor!$H$24="Annual",MOD(C2437-IF(Nonlabor!$E$24="Core",Nonlabor!$F$24,MAX(Nonlabor!$F$24,IF(Nonlabor!$E$24="AI",Assumptions!$D$24,Assumptions!$D$25))),12)=0))),IF(Nonlabor!$I$24="Fixed",1,IF(Nonlabor!$I$24="Seats",ROUNDUP('Monthly Base'!I37,0),IF(Nonlabor!$I$24="Customers",'Monthly Base'!D37,IF(Nonlabor!$I$24="NewCustomers",'Monthly Base'!C37,IF(Nonlabor!$I$24="StorageGB",'Monthly Base'!G37,IF(Nonlabor!$I$24="LogGB",'Monthly Base'!H37,IF(Nonlabor!$I$24="RequestsM",'Monthly Base'!F37,IF(Nonlabor!$I$24="InputM",'Monthly Base'!D37*Assumptions!$D$22/1000000,IF(Nonlabor!$I$24="OutputM",'Monthly Base'!D37*Assumptions!$D$23/1000000,0))))))))),0)</f>
        <v>0</v>
      </c>
      <c r="F2437" s="10" t="n">
        <f aca="false">Nonlabor!$J$24*(1+Assumptions!$D$9)^INT((C2437-1)/12)</f>
        <v>0.42436</v>
      </c>
      <c r="G2437" s="10" t="n">
        <f aca="false">E2437*F2437</f>
        <v>0</v>
      </c>
      <c r="H2437" s="10" t="n">
        <f aca="false">IF(OR(Nonlabor!$L$24="Quote required",Nonlabor!$L$24="Unverified"),G2437,0)</f>
        <v>0</v>
      </c>
      <c r="I2437" s="10" t="n">
        <f aca="false">IF(Nonlabor!$E$24="Core",0,G2437)</f>
        <v>0</v>
      </c>
      <c r="J2437" s="23" t="str">
        <f aca="false">Nonlabor!$B$24</f>
        <v>AI</v>
      </c>
    </row>
    <row r="2438" customFormat="false" ht="15" hidden="false" customHeight="false" outlineLevel="0" collapsed="false">
      <c r="A2438" s="6" t="s">
        <v>4</v>
      </c>
      <c r="B2438" s="6" t="s">
        <v>428</v>
      </c>
      <c r="C2438" s="6" t="n">
        <v>33</v>
      </c>
      <c r="D2438" s="25" t="n">
        <f aca="false">EDATE('Start Here'!$B$6,C2438-1)</f>
        <v>47300</v>
      </c>
      <c r="E2438" s="23" t="n">
        <f aca="false">IF(AND(OR(Nonlabor!$D$24="Both",Nonlabor!$D$24='Start Here'!$B$9),IF(Nonlabor!$E$24="Core",1,IF(Nonlabor!$E$24="AI",'Start Here'!$B$7,'Start Here'!$B$8))=1,C2438&gt;=IF(Nonlabor!$E$24="Core",Nonlabor!$F$24,MAX(Nonlabor!$F$24,IF(Nonlabor!$E$24="AI",Assumptions!$D$24,Assumptions!$D$25))),C2438&lt;=Nonlabor!$G$24,OR(Nonlabor!$H$24="Monthly",AND(Nonlabor!$H$24="Once",C2438=IF(Nonlabor!$E$24="Core",Nonlabor!$F$24,MAX(Nonlabor!$F$24,IF(Nonlabor!$E$24="AI",Assumptions!$D$24,Assumptions!$D$25)))),AND(Nonlabor!$H$24="Annual",MOD(C2438-IF(Nonlabor!$E$24="Core",Nonlabor!$F$24,MAX(Nonlabor!$F$24,IF(Nonlabor!$E$24="AI",Assumptions!$D$24,Assumptions!$D$25))),12)=0))),IF(Nonlabor!$I$24="Fixed",1,IF(Nonlabor!$I$24="Seats",ROUNDUP('Monthly Base'!I38,0),IF(Nonlabor!$I$24="Customers",'Monthly Base'!D38,IF(Nonlabor!$I$24="NewCustomers",'Monthly Base'!C38,IF(Nonlabor!$I$24="StorageGB",'Monthly Base'!G38,IF(Nonlabor!$I$24="LogGB",'Monthly Base'!H38,IF(Nonlabor!$I$24="RequestsM",'Monthly Base'!F38,IF(Nonlabor!$I$24="InputM",'Monthly Base'!D38*Assumptions!$D$22/1000000,IF(Nonlabor!$I$24="OutputM",'Monthly Base'!D38*Assumptions!$D$23/1000000,0))))))))),0)</f>
        <v>0</v>
      </c>
      <c r="F2438" s="10" t="n">
        <f aca="false">Nonlabor!$J$24*(1+Assumptions!$D$9)^INT((C2438-1)/12)</f>
        <v>0.42436</v>
      </c>
      <c r="G2438" s="10" t="n">
        <f aca="false">E2438*F2438</f>
        <v>0</v>
      </c>
      <c r="H2438" s="10" t="n">
        <f aca="false">IF(OR(Nonlabor!$L$24="Quote required",Nonlabor!$L$24="Unverified"),G2438,0)</f>
        <v>0</v>
      </c>
      <c r="I2438" s="10" t="n">
        <f aca="false">IF(Nonlabor!$E$24="Core",0,G2438)</f>
        <v>0</v>
      </c>
      <c r="J2438" s="23" t="str">
        <f aca="false">Nonlabor!$B$24</f>
        <v>AI</v>
      </c>
    </row>
    <row r="2439" customFormat="false" ht="15" hidden="false" customHeight="false" outlineLevel="0" collapsed="false">
      <c r="A2439" s="6" t="s">
        <v>4</v>
      </c>
      <c r="B2439" s="6" t="s">
        <v>428</v>
      </c>
      <c r="C2439" s="6" t="n">
        <v>34</v>
      </c>
      <c r="D2439" s="25" t="n">
        <f aca="false">EDATE('Start Here'!$B$6,C2439-1)</f>
        <v>47331</v>
      </c>
      <c r="E2439" s="23" t="n">
        <f aca="false">IF(AND(OR(Nonlabor!$D$24="Both",Nonlabor!$D$24='Start Here'!$B$9),IF(Nonlabor!$E$24="Core",1,IF(Nonlabor!$E$24="AI",'Start Here'!$B$7,'Start Here'!$B$8))=1,C2439&gt;=IF(Nonlabor!$E$24="Core",Nonlabor!$F$24,MAX(Nonlabor!$F$24,IF(Nonlabor!$E$24="AI",Assumptions!$D$24,Assumptions!$D$25))),C2439&lt;=Nonlabor!$G$24,OR(Nonlabor!$H$24="Monthly",AND(Nonlabor!$H$24="Once",C2439=IF(Nonlabor!$E$24="Core",Nonlabor!$F$24,MAX(Nonlabor!$F$24,IF(Nonlabor!$E$24="AI",Assumptions!$D$24,Assumptions!$D$25)))),AND(Nonlabor!$H$24="Annual",MOD(C2439-IF(Nonlabor!$E$24="Core",Nonlabor!$F$24,MAX(Nonlabor!$F$24,IF(Nonlabor!$E$24="AI",Assumptions!$D$24,Assumptions!$D$25))),12)=0))),IF(Nonlabor!$I$24="Fixed",1,IF(Nonlabor!$I$24="Seats",ROUNDUP('Monthly Base'!I39,0),IF(Nonlabor!$I$24="Customers",'Monthly Base'!D39,IF(Nonlabor!$I$24="NewCustomers",'Monthly Base'!C39,IF(Nonlabor!$I$24="StorageGB",'Monthly Base'!G39,IF(Nonlabor!$I$24="LogGB",'Monthly Base'!H39,IF(Nonlabor!$I$24="RequestsM",'Monthly Base'!F39,IF(Nonlabor!$I$24="InputM",'Monthly Base'!D39*Assumptions!$D$22/1000000,IF(Nonlabor!$I$24="OutputM",'Monthly Base'!D39*Assumptions!$D$23/1000000,0))))))))),0)</f>
        <v>0</v>
      </c>
      <c r="F2439" s="10" t="n">
        <f aca="false">Nonlabor!$J$24*(1+Assumptions!$D$9)^INT((C2439-1)/12)</f>
        <v>0.42436</v>
      </c>
      <c r="G2439" s="10" t="n">
        <f aca="false">E2439*F2439</f>
        <v>0</v>
      </c>
      <c r="H2439" s="10" t="n">
        <f aca="false">IF(OR(Nonlabor!$L$24="Quote required",Nonlabor!$L$24="Unverified"),G2439,0)</f>
        <v>0</v>
      </c>
      <c r="I2439" s="10" t="n">
        <f aca="false">IF(Nonlabor!$E$24="Core",0,G2439)</f>
        <v>0</v>
      </c>
      <c r="J2439" s="23" t="str">
        <f aca="false">Nonlabor!$B$24</f>
        <v>AI</v>
      </c>
    </row>
    <row r="2440" customFormat="false" ht="15" hidden="false" customHeight="false" outlineLevel="0" collapsed="false">
      <c r="A2440" s="6" t="s">
        <v>4</v>
      </c>
      <c r="B2440" s="6" t="s">
        <v>428</v>
      </c>
      <c r="C2440" s="6" t="n">
        <v>35</v>
      </c>
      <c r="D2440" s="25" t="n">
        <f aca="false">EDATE('Start Here'!$B$6,C2440-1)</f>
        <v>47362</v>
      </c>
      <c r="E2440" s="23" t="n">
        <f aca="false">IF(AND(OR(Nonlabor!$D$24="Both",Nonlabor!$D$24='Start Here'!$B$9),IF(Nonlabor!$E$24="Core",1,IF(Nonlabor!$E$24="AI",'Start Here'!$B$7,'Start Here'!$B$8))=1,C2440&gt;=IF(Nonlabor!$E$24="Core",Nonlabor!$F$24,MAX(Nonlabor!$F$24,IF(Nonlabor!$E$24="AI",Assumptions!$D$24,Assumptions!$D$25))),C2440&lt;=Nonlabor!$G$24,OR(Nonlabor!$H$24="Monthly",AND(Nonlabor!$H$24="Once",C2440=IF(Nonlabor!$E$24="Core",Nonlabor!$F$24,MAX(Nonlabor!$F$24,IF(Nonlabor!$E$24="AI",Assumptions!$D$24,Assumptions!$D$25)))),AND(Nonlabor!$H$24="Annual",MOD(C2440-IF(Nonlabor!$E$24="Core",Nonlabor!$F$24,MAX(Nonlabor!$F$24,IF(Nonlabor!$E$24="AI",Assumptions!$D$24,Assumptions!$D$25))),12)=0))),IF(Nonlabor!$I$24="Fixed",1,IF(Nonlabor!$I$24="Seats",ROUNDUP('Monthly Base'!I40,0),IF(Nonlabor!$I$24="Customers",'Monthly Base'!D40,IF(Nonlabor!$I$24="NewCustomers",'Monthly Base'!C40,IF(Nonlabor!$I$24="StorageGB",'Monthly Base'!G40,IF(Nonlabor!$I$24="LogGB",'Monthly Base'!H40,IF(Nonlabor!$I$24="RequestsM",'Monthly Base'!F40,IF(Nonlabor!$I$24="InputM",'Monthly Base'!D40*Assumptions!$D$22/1000000,IF(Nonlabor!$I$24="OutputM",'Monthly Base'!D40*Assumptions!$D$23/1000000,0))))))))),0)</f>
        <v>0</v>
      </c>
      <c r="F2440" s="10" t="n">
        <f aca="false">Nonlabor!$J$24*(1+Assumptions!$D$9)^INT((C2440-1)/12)</f>
        <v>0.42436</v>
      </c>
      <c r="G2440" s="10" t="n">
        <f aca="false">E2440*F2440</f>
        <v>0</v>
      </c>
      <c r="H2440" s="10" t="n">
        <f aca="false">IF(OR(Nonlabor!$L$24="Quote required",Nonlabor!$L$24="Unverified"),G2440,0)</f>
        <v>0</v>
      </c>
      <c r="I2440" s="10" t="n">
        <f aca="false">IF(Nonlabor!$E$24="Core",0,G2440)</f>
        <v>0</v>
      </c>
      <c r="J2440" s="23" t="str">
        <f aca="false">Nonlabor!$B$24</f>
        <v>AI</v>
      </c>
    </row>
    <row r="2441" customFormat="false" ht="15" hidden="false" customHeight="false" outlineLevel="0" collapsed="false">
      <c r="A2441" s="6" t="s">
        <v>4</v>
      </c>
      <c r="B2441" s="6" t="s">
        <v>428</v>
      </c>
      <c r="C2441" s="6" t="n">
        <v>36</v>
      </c>
      <c r="D2441" s="25" t="n">
        <f aca="false">EDATE('Start Here'!$B$6,C2441-1)</f>
        <v>47392</v>
      </c>
      <c r="E2441" s="23" t="n">
        <f aca="false">IF(AND(OR(Nonlabor!$D$24="Both",Nonlabor!$D$24='Start Here'!$B$9),IF(Nonlabor!$E$24="Core",1,IF(Nonlabor!$E$24="AI",'Start Here'!$B$7,'Start Here'!$B$8))=1,C2441&gt;=IF(Nonlabor!$E$24="Core",Nonlabor!$F$24,MAX(Nonlabor!$F$24,IF(Nonlabor!$E$24="AI",Assumptions!$D$24,Assumptions!$D$25))),C2441&lt;=Nonlabor!$G$24,OR(Nonlabor!$H$24="Monthly",AND(Nonlabor!$H$24="Once",C2441=IF(Nonlabor!$E$24="Core",Nonlabor!$F$24,MAX(Nonlabor!$F$24,IF(Nonlabor!$E$24="AI",Assumptions!$D$24,Assumptions!$D$25)))),AND(Nonlabor!$H$24="Annual",MOD(C2441-IF(Nonlabor!$E$24="Core",Nonlabor!$F$24,MAX(Nonlabor!$F$24,IF(Nonlabor!$E$24="AI",Assumptions!$D$24,Assumptions!$D$25))),12)=0))),IF(Nonlabor!$I$24="Fixed",1,IF(Nonlabor!$I$24="Seats",ROUNDUP('Monthly Base'!I41,0),IF(Nonlabor!$I$24="Customers",'Monthly Base'!D41,IF(Nonlabor!$I$24="NewCustomers",'Monthly Base'!C41,IF(Nonlabor!$I$24="StorageGB",'Monthly Base'!G41,IF(Nonlabor!$I$24="LogGB",'Monthly Base'!H41,IF(Nonlabor!$I$24="RequestsM",'Monthly Base'!F41,IF(Nonlabor!$I$24="InputM",'Monthly Base'!D41*Assumptions!$D$22/1000000,IF(Nonlabor!$I$24="OutputM",'Monthly Base'!D41*Assumptions!$D$23/1000000,0))))))))),0)</f>
        <v>0</v>
      </c>
      <c r="F2441" s="10" t="n">
        <f aca="false">Nonlabor!$J$24*(1+Assumptions!$D$9)^INT((C2441-1)/12)</f>
        <v>0.42436</v>
      </c>
      <c r="G2441" s="10" t="n">
        <f aca="false">E2441*F2441</f>
        <v>0</v>
      </c>
      <c r="H2441" s="10" t="n">
        <f aca="false">IF(OR(Nonlabor!$L$24="Quote required",Nonlabor!$L$24="Unverified"),G2441,0)</f>
        <v>0</v>
      </c>
      <c r="I2441" s="10" t="n">
        <f aca="false">IF(Nonlabor!$E$24="Core",0,G2441)</f>
        <v>0</v>
      </c>
      <c r="J2441" s="23" t="str">
        <f aca="false">Nonlabor!$B$24</f>
        <v>AI</v>
      </c>
    </row>
    <row r="2442" customFormat="false" ht="15" hidden="false" customHeight="false" outlineLevel="0" collapsed="false">
      <c r="A2442" s="6" t="s">
        <v>4</v>
      </c>
      <c r="B2442" s="6" t="s">
        <v>428</v>
      </c>
      <c r="C2442" s="6" t="n">
        <v>37</v>
      </c>
      <c r="D2442" s="25" t="n">
        <f aca="false">EDATE('Start Here'!$B$6,C2442-1)</f>
        <v>47423</v>
      </c>
      <c r="E2442" s="23" t="n">
        <f aca="false">IF(AND(OR(Nonlabor!$D$24="Both",Nonlabor!$D$24='Start Here'!$B$9),IF(Nonlabor!$E$24="Core",1,IF(Nonlabor!$E$24="AI",'Start Here'!$B$7,'Start Here'!$B$8))=1,C2442&gt;=IF(Nonlabor!$E$24="Core",Nonlabor!$F$24,MAX(Nonlabor!$F$24,IF(Nonlabor!$E$24="AI",Assumptions!$D$24,Assumptions!$D$25))),C2442&lt;=Nonlabor!$G$24,OR(Nonlabor!$H$24="Monthly",AND(Nonlabor!$H$24="Once",C2442=IF(Nonlabor!$E$24="Core",Nonlabor!$F$24,MAX(Nonlabor!$F$24,IF(Nonlabor!$E$24="AI",Assumptions!$D$24,Assumptions!$D$25)))),AND(Nonlabor!$H$24="Annual",MOD(C2442-IF(Nonlabor!$E$24="Core",Nonlabor!$F$24,MAX(Nonlabor!$F$24,IF(Nonlabor!$E$24="AI",Assumptions!$D$24,Assumptions!$D$25))),12)=0))),IF(Nonlabor!$I$24="Fixed",1,IF(Nonlabor!$I$24="Seats",ROUNDUP('Monthly Base'!I42,0),IF(Nonlabor!$I$24="Customers",'Monthly Base'!D42,IF(Nonlabor!$I$24="NewCustomers",'Monthly Base'!C42,IF(Nonlabor!$I$24="StorageGB",'Monthly Base'!G42,IF(Nonlabor!$I$24="LogGB",'Monthly Base'!H42,IF(Nonlabor!$I$24="RequestsM",'Monthly Base'!F42,IF(Nonlabor!$I$24="InputM",'Monthly Base'!D42*Assumptions!$D$22/1000000,IF(Nonlabor!$I$24="OutputM",'Monthly Base'!D42*Assumptions!$D$23/1000000,0))))))))),0)</f>
        <v>0</v>
      </c>
      <c r="F2442" s="10" t="n">
        <f aca="false">Nonlabor!$J$24*(1+Assumptions!$D$9)^INT((C2442-1)/12)</f>
        <v>0.4370908</v>
      </c>
      <c r="G2442" s="10" t="n">
        <f aca="false">E2442*F2442</f>
        <v>0</v>
      </c>
      <c r="H2442" s="10" t="n">
        <f aca="false">IF(OR(Nonlabor!$L$24="Quote required",Nonlabor!$L$24="Unverified"),G2442,0)</f>
        <v>0</v>
      </c>
      <c r="I2442" s="10" t="n">
        <f aca="false">IF(Nonlabor!$E$24="Core",0,G2442)</f>
        <v>0</v>
      </c>
      <c r="J2442" s="23" t="str">
        <f aca="false">Nonlabor!$B$24</f>
        <v>AI</v>
      </c>
    </row>
    <row r="2443" customFormat="false" ht="15" hidden="false" customHeight="false" outlineLevel="0" collapsed="false">
      <c r="A2443" s="6" t="s">
        <v>4</v>
      </c>
      <c r="B2443" s="6" t="s">
        <v>428</v>
      </c>
      <c r="C2443" s="6" t="n">
        <v>38</v>
      </c>
      <c r="D2443" s="25" t="n">
        <f aca="false">EDATE('Start Here'!$B$6,C2443-1)</f>
        <v>47453</v>
      </c>
      <c r="E2443" s="23" t="n">
        <f aca="false">IF(AND(OR(Nonlabor!$D$24="Both",Nonlabor!$D$24='Start Here'!$B$9),IF(Nonlabor!$E$24="Core",1,IF(Nonlabor!$E$24="AI",'Start Here'!$B$7,'Start Here'!$B$8))=1,C2443&gt;=IF(Nonlabor!$E$24="Core",Nonlabor!$F$24,MAX(Nonlabor!$F$24,IF(Nonlabor!$E$24="AI",Assumptions!$D$24,Assumptions!$D$25))),C2443&lt;=Nonlabor!$G$24,OR(Nonlabor!$H$24="Monthly",AND(Nonlabor!$H$24="Once",C2443=IF(Nonlabor!$E$24="Core",Nonlabor!$F$24,MAX(Nonlabor!$F$24,IF(Nonlabor!$E$24="AI",Assumptions!$D$24,Assumptions!$D$25)))),AND(Nonlabor!$H$24="Annual",MOD(C2443-IF(Nonlabor!$E$24="Core",Nonlabor!$F$24,MAX(Nonlabor!$F$24,IF(Nonlabor!$E$24="AI",Assumptions!$D$24,Assumptions!$D$25))),12)=0))),IF(Nonlabor!$I$24="Fixed",1,IF(Nonlabor!$I$24="Seats",ROUNDUP('Monthly Base'!I43,0),IF(Nonlabor!$I$24="Customers",'Monthly Base'!D43,IF(Nonlabor!$I$24="NewCustomers",'Monthly Base'!C43,IF(Nonlabor!$I$24="StorageGB",'Monthly Base'!G43,IF(Nonlabor!$I$24="LogGB",'Monthly Base'!H43,IF(Nonlabor!$I$24="RequestsM",'Monthly Base'!F43,IF(Nonlabor!$I$24="InputM",'Monthly Base'!D43*Assumptions!$D$22/1000000,IF(Nonlabor!$I$24="OutputM",'Monthly Base'!D43*Assumptions!$D$23/1000000,0))))))))),0)</f>
        <v>0</v>
      </c>
      <c r="F2443" s="10" t="n">
        <f aca="false">Nonlabor!$J$24*(1+Assumptions!$D$9)^INT((C2443-1)/12)</f>
        <v>0.4370908</v>
      </c>
      <c r="G2443" s="10" t="n">
        <f aca="false">E2443*F2443</f>
        <v>0</v>
      </c>
      <c r="H2443" s="10" t="n">
        <f aca="false">IF(OR(Nonlabor!$L$24="Quote required",Nonlabor!$L$24="Unverified"),G2443,0)</f>
        <v>0</v>
      </c>
      <c r="I2443" s="10" t="n">
        <f aca="false">IF(Nonlabor!$E$24="Core",0,G2443)</f>
        <v>0</v>
      </c>
      <c r="J2443" s="23" t="str">
        <f aca="false">Nonlabor!$B$24</f>
        <v>AI</v>
      </c>
    </row>
    <row r="2444" customFormat="false" ht="15" hidden="false" customHeight="false" outlineLevel="0" collapsed="false">
      <c r="A2444" s="6" t="s">
        <v>4</v>
      </c>
      <c r="B2444" s="6" t="s">
        <v>428</v>
      </c>
      <c r="C2444" s="6" t="n">
        <v>39</v>
      </c>
      <c r="D2444" s="25" t="n">
        <f aca="false">EDATE('Start Here'!$B$6,C2444-1)</f>
        <v>47484</v>
      </c>
      <c r="E2444" s="23" t="n">
        <f aca="false">IF(AND(OR(Nonlabor!$D$24="Both",Nonlabor!$D$24='Start Here'!$B$9),IF(Nonlabor!$E$24="Core",1,IF(Nonlabor!$E$24="AI",'Start Here'!$B$7,'Start Here'!$B$8))=1,C2444&gt;=IF(Nonlabor!$E$24="Core",Nonlabor!$F$24,MAX(Nonlabor!$F$24,IF(Nonlabor!$E$24="AI",Assumptions!$D$24,Assumptions!$D$25))),C2444&lt;=Nonlabor!$G$24,OR(Nonlabor!$H$24="Monthly",AND(Nonlabor!$H$24="Once",C2444=IF(Nonlabor!$E$24="Core",Nonlabor!$F$24,MAX(Nonlabor!$F$24,IF(Nonlabor!$E$24="AI",Assumptions!$D$24,Assumptions!$D$25)))),AND(Nonlabor!$H$24="Annual",MOD(C2444-IF(Nonlabor!$E$24="Core",Nonlabor!$F$24,MAX(Nonlabor!$F$24,IF(Nonlabor!$E$24="AI",Assumptions!$D$24,Assumptions!$D$25))),12)=0))),IF(Nonlabor!$I$24="Fixed",1,IF(Nonlabor!$I$24="Seats",ROUNDUP('Monthly Base'!I44,0),IF(Nonlabor!$I$24="Customers",'Monthly Base'!D44,IF(Nonlabor!$I$24="NewCustomers",'Monthly Base'!C44,IF(Nonlabor!$I$24="StorageGB",'Monthly Base'!G44,IF(Nonlabor!$I$24="LogGB",'Monthly Base'!H44,IF(Nonlabor!$I$24="RequestsM",'Monthly Base'!F44,IF(Nonlabor!$I$24="InputM",'Monthly Base'!D44*Assumptions!$D$22/1000000,IF(Nonlabor!$I$24="OutputM",'Monthly Base'!D44*Assumptions!$D$23/1000000,0))))))))),0)</f>
        <v>0</v>
      </c>
      <c r="F2444" s="10" t="n">
        <f aca="false">Nonlabor!$J$24*(1+Assumptions!$D$9)^INT((C2444-1)/12)</f>
        <v>0.4370908</v>
      </c>
      <c r="G2444" s="10" t="n">
        <f aca="false">E2444*F2444</f>
        <v>0</v>
      </c>
      <c r="H2444" s="10" t="n">
        <f aca="false">IF(OR(Nonlabor!$L$24="Quote required",Nonlabor!$L$24="Unverified"),G2444,0)</f>
        <v>0</v>
      </c>
      <c r="I2444" s="10" t="n">
        <f aca="false">IF(Nonlabor!$E$24="Core",0,G2444)</f>
        <v>0</v>
      </c>
      <c r="J2444" s="23" t="str">
        <f aca="false">Nonlabor!$B$24</f>
        <v>AI</v>
      </c>
    </row>
    <row r="2445" customFormat="false" ht="15" hidden="false" customHeight="false" outlineLevel="0" collapsed="false">
      <c r="A2445" s="6" t="s">
        <v>4</v>
      </c>
      <c r="B2445" s="6" t="s">
        <v>428</v>
      </c>
      <c r="C2445" s="6" t="n">
        <v>40</v>
      </c>
      <c r="D2445" s="25" t="n">
        <f aca="false">EDATE('Start Here'!$B$6,C2445-1)</f>
        <v>47515</v>
      </c>
      <c r="E2445" s="23" t="n">
        <f aca="false">IF(AND(OR(Nonlabor!$D$24="Both",Nonlabor!$D$24='Start Here'!$B$9),IF(Nonlabor!$E$24="Core",1,IF(Nonlabor!$E$24="AI",'Start Here'!$B$7,'Start Here'!$B$8))=1,C2445&gt;=IF(Nonlabor!$E$24="Core",Nonlabor!$F$24,MAX(Nonlabor!$F$24,IF(Nonlabor!$E$24="AI",Assumptions!$D$24,Assumptions!$D$25))),C2445&lt;=Nonlabor!$G$24,OR(Nonlabor!$H$24="Monthly",AND(Nonlabor!$H$24="Once",C2445=IF(Nonlabor!$E$24="Core",Nonlabor!$F$24,MAX(Nonlabor!$F$24,IF(Nonlabor!$E$24="AI",Assumptions!$D$24,Assumptions!$D$25)))),AND(Nonlabor!$H$24="Annual",MOD(C2445-IF(Nonlabor!$E$24="Core",Nonlabor!$F$24,MAX(Nonlabor!$F$24,IF(Nonlabor!$E$24="AI",Assumptions!$D$24,Assumptions!$D$25))),12)=0))),IF(Nonlabor!$I$24="Fixed",1,IF(Nonlabor!$I$24="Seats",ROUNDUP('Monthly Base'!I45,0),IF(Nonlabor!$I$24="Customers",'Monthly Base'!D45,IF(Nonlabor!$I$24="NewCustomers",'Monthly Base'!C45,IF(Nonlabor!$I$24="StorageGB",'Monthly Base'!G45,IF(Nonlabor!$I$24="LogGB",'Monthly Base'!H45,IF(Nonlabor!$I$24="RequestsM",'Monthly Base'!F45,IF(Nonlabor!$I$24="InputM",'Monthly Base'!D45*Assumptions!$D$22/1000000,IF(Nonlabor!$I$24="OutputM",'Monthly Base'!D45*Assumptions!$D$23/1000000,0))))))))),0)</f>
        <v>0</v>
      </c>
      <c r="F2445" s="10" t="n">
        <f aca="false">Nonlabor!$J$24*(1+Assumptions!$D$9)^INT((C2445-1)/12)</f>
        <v>0.4370908</v>
      </c>
      <c r="G2445" s="10" t="n">
        <f aca="false">E2445*F2445</f>
        <v>0</v>
      </c>
      <c r="H2445" s="10" t="n">
        <f aca="false">IF(OR(Nonlabor!$L$24="Quote required",Nonlabor!$L$24="Unverified"),G2445,0)</f>
        <v>0</v>
      </c>
      <c r="I2445" s="10" t="n">
        <f aca="false">IF(Nonlabor!$E$24="Core",0,G2445)</f>
        <v>0</v>
      </c>
      <c r="J2445" s="23" t="str">
        <f aca="false">Nonlabor!$B$24</f>
        <v>AI</v>
      </c>
    </row>
    <row r="2446" customFormat="false" ht="15" hidden="false" customHeight="false" outlineLevel="0" collapsed="false">
      <c r="A2446" s="6" t="s">
        <v>4</v>
      </c>
      <c r="B2446" s="6" t="s">
        <v>428</v>
      </c>
      <c r="C2446" s="6" t="n">
        <v>41</v>
      </c>
      <c r="D2446" s="25" t="n">
        <f aca="false">EDATE('Start Here'!$B$6,C2446-1)</f>
        <v>47543</v>
      </c>
      <c r="E2446" s="23" t="n">
        <f aca="false">IF(AND(OR(Nonlabor!$D$24="Both",Nonlabor!$D$24='Start Here'!$B$9),IF(Nonlabor!$E$24="Core",1,IF(Nonlabor!$E$24="AI",'Start Here'!$B$7,'Start Here'!$B$8))=1,C2446&gt;=IF(Nonlabor!$E$24="Core",Nonlabor!$F$24,MAX(Nonlabor!$F$24,IF(Nonlabor!$E$24="AI",Assumptions!$D$24,Assumptions!$D$25))),C2446&lt;=Nonlabor!$G$24,OR(Nonlabor!$H$24="Monthly",AND(Nonlabor!$H$24="Once",C2446=IF(Nonlabor!$E$24="Core",Nonlabor!$F$24,MAX(Nonlabor!$F$24,IF(Nonlabor!$E$24="AI",Assumptions!$D$24,Assumptions!$D$25)))),AND(Nonlabor!$H$24="Annual",MOD(C2446-IF(Nonlabor!$E$24="Core",Nonlabor!$F$24,MAX(Nonlabor!$F$24,IF(Nonlabor!$E$24="AI",Assumptions!$D$24,Assumptions!$D$25))),12)=0))),IF(Nonlabor!$I$24="Fixed",1,IF(Nonlabor!$I$24="Seats",ROUNDUP('Monthly Base'!I46,0),IF(Nonlabor!$I$24="Customers",'Monthly Base'!D46,IF(Nonlabor!$I$24="NewCustomers",'Monthly Base'!C46,IF(Nonlabor!$I$24="StorageGB",'Monthly Base'!G46,IF(Nonlabor!$I$24="LogGB",'Monthly Base'!H46,IF(Nonlabor!$I$24="RequestsM",'Monthly Base'!F46,IF(Nonlabor!$I$24="InputM",'Monthly Base'!D46*Assumptions!$D$22/1000000,IF(Nonlabor!$I$24="OutputM",'Monthly Base'!D46*Assumptions!$D$23/1000000,0))))))))),0)</f>
        <v>0</v>
      </c>
      <c r="F2446" s="10" t="n">
        <f aca="false">Nonlabor!$J$24*(1+Assumptions!$D$9)^INT((C2446-1)/12)</f>
        <v>0.4370908</v>
      </c>
      <c r="G2446" s="10" t="n">
        <f aca="false">E2446*F2446</f>
        <v>0</v>
      </c>
      <c r="H2446" s="10" t="n">
        <f aca="false">IF(OR(Nonlabor!$L$24="Quote required",Nonlabor!$L$24="Unverified"),G2446,0)</f>
        <v>0</v>
      </c>
      <c r="I2446" s="10" t="n">
        <f aca="false">IF(Nonlabor!$E$24="Core",0,G2446)</f>
        <v>0</v>
      </c>
      <c r="J2446" s="23" t="str">
        <f aca="false">Nonlabor!$B$24</f>
        <v>AI</v>
      </c>
    </row>
    <row r="2447" customFormat="false" ht="15" hidden="false" customHeight="false" outlineLevel="0" collapsed="false">
      <c r="A2447" s="6" t="s">
        <v>4</v>
      </c>
      <c r="B2447" s="6" t="s">
        <v>428</v>
      </c>
      <c r="C2447" s="6" t="n">
        <v>42</v>
      </c>
      <c r="D2447" s="25" t="n">
        <f aca="false">EDATE('Start Here'!$B$6,C2447-1)</f>
        <v>47574</v>
      </c>
      <c r="E2447" s="23" t="n">
        <f aca="false">IF(AND(OR(Nonlabor!$D$24="Both",Nonlabor!$D$24='Start Here'!$B$9),IF(Nonlabor!$E$24="Core",1,IF(Nonlabor!$E$24="AI",'Start Here'!$B$7,'Start Here'!$B$8))=1,C2447&gt;=IF(Nonlabor!$E$24="Core",Nonlabor!$F$24,MAX(Nonlabor!$F$24,IF(Nonlabor!$E$24="AI",Assumptions!$D$24,Assumptions!$D$25))),C2447&lt;=Nonlabor!$G$24,OR(Nonlabor!$H$24="Monthly",AND(Nonlabor!$H$24="Once",C2447=IF(Nonlabor!$E$24="Core",Nonlabor!$F$24,MAX(Nonlabor!$F$24,IF(Nonlabor!$E$24="AI",Assumptions!$D$24,Assumptions!$D$25)))),AND(Nonlabor!$H$24="Annual",MOD(C2447-IF(Nonlabor!$E$24="Core",Nonlabor!$F$24,MAX(Nonlabor!$F$24,IF(Nonlabor!$E$24="AI",Assumptions!$D$24,Assumptions!$D$25))),12)=0))),IF(Nonlabor!$I$24="Fixed",1,IF(Nonlabor!$I$24="Seats",ROUNDUP('Monthly Base'!I47,0),IF(Nonlabor!$I$24="Customers",'Monthly Base'!D47,IF(Nonlabor!$I$24="NewCustomers",'Monthly Base'!C47,IF(Nonlabor!$I$24="StorageGB",'Monthly Base'!G47,IF(Nonlabor!$I$24="LogGB",'Monthly Base'!H47,IF(Nonlabor!$I$24="RequestsM",'Monthly Base'!F47,IF(Nonlabor!$I$24="InputM",'Monthly Base'!D47*Assumptions!$D$22/1000000,IF(Nonlabor!$I$24="OutputM",'Monthly Base'!D47*Assumptions!$D$23/1000000,0))))))))),0)</f>
        <v>0</v>
      </c>
      <c r="F2447" s="10" t="n">
        <f aca="false">Nonlabor!$J$24*(1+Assumptions!$D$9)^INT((C2447-1)/12)</f>
        <v>0.4370908</v>
      </c>
      <c r="G2447" s="10" t="n">
        <f aca="false">E2447*F2447</f>
        <v>0</v>
      </c>
      <c r="H2447" s="10" t="n">
        <f aca="false">IF(OR(Nonlabor!$L$24="Quote required",Nonlabor!$L$24="Unverified"),G2447,0)</f>
        <v>0</v>
      </c>
      <c r="I2447" s="10" t="n">
        <f aca="false">IF(Nonlabor!$E$24="Core",0,G2447)</f>
        <v>0</v>
      </c>
      <c r="J2447" s="23" t="str">
        <f aca="false">Nonlabor!$B$24</f>
        <v>AI</v>
      </c>
    </row>
    <row r="2448" customFormat="false" ht="15" hidden="false" customHeight="false" outlineLevel="0" collapsed="false">
      <c r="A2448" s="6" t="s">
        <v>4</v>
      </c>
      <c r="B2448" s="6" t="s">
        <v>428</v>
      </c>
      <c r="C2448" s="6" t="n">
        <v>43</v>
      </c>
      <c r="D2448" s="25" t="n">
        <f aca="false">EDATE('Start Here'!$B$6,C2448-1)</f>
        <v>47604</v>
      </c>
      <c r="E2448" s="23" t="n">
        <f aca="false">IF(AND(OR(Nonlabor!$D$24="Both",Nonlabor!$D$24='Start Here'!$B$9),IF(Nonlabor!$E$24="Core",1,IF(Nonlabor!$E$24="AI",'Start Here'!$B$7,'Start Here'!$B$8))=1,C2448&gt;=IF(Nonlabor!$E$24="Core",Nonlabor!$F$24,MAX(Nonlabor!$F$24,IF(Nonlabor!$E$24="AI",Assumptions!$D$24,Assumptions!$D$25))),C2448&lt;=Nonlabor!$G$24,OR(Nonlabor!$H$24="Monthly",AND(Nonlabor!$H$24="Once",C2448=IF(Nonlabor!$E$24="Core",Nonlabor!$F$24,MAX(Nonlabor!$F$24,IF(Nonlabor!$E$24="AI",Assumptions!$D$24,Assumptions!$D$25)))),AND(Nonlabor!$H$24="Annual",MOD(C2448-IF(Nonlabor!$E$24="Core",Nonlabor!$F$24,MAX(Nonlabor!$F$24,IF(Nonlabor!$E$24="AI",Assumptions!$D$24,Assumptions!$D$25))),12)=0))),IF(Nonlabor!$I$24="Fixed",1,IF(Nonlabor!$I$24="Seats",ROUNDUP('Monthly Base'!I48,0),IF(Nonlabor!$I$24="Customers",'Monthly Base'!D48,IF(Nonlabor!$I$24="NewCustomers",'Monthly Base'!C48,IF(Nonlabor!$I$24="StorageGB",'Monthly Base'!G48,IF(Nonlabor!$I$24="LogGB",'Monthly Base'!H48,IF(Nonlabor!$I$24="RequestsM",'Monthly Base'!F48,IF(Nonlabor!$I$24="InputM",'Monthly Base'!D48*Assumptions!$D$22/1000000,IF(Nonlabor!$I$24="OutputM",'Monthly Base'!D48*Assumptions!$D$23/1000000,0))))))))),0)</f>
        <v>0</v>
      </c>
      <c r="F2448" s="10" t="n">
        <f aca="false">Nonlabor!$J$24*(1+Assumptions!$D$9)^INT((C2448-1)/12)</f>
        <v>0.4370908</v>
      </c>
      <c r="G2448" s="10" t="n">
        <f aca="false">E2448*F2448</f>
        <v>0</v>
      </c>
      <c r="H2448" s="10" t="n">
        <f aca="false">IF(OR(Nonlabor!$L$24="Quote required",Nonlabor!$L$24="Unverified"),G2448,0)</f>
        <v>0</v>
      </c>
      <c r="I2448" s="10" t="n">
        <f aca="false">IF(Nonlabor!$E$24="Core",0,G2448)</f>
        <v>0</v>
      </c>
      <c r="J2448" s="23" t="str">
        <f aca="false">Nonlabor!$B$24</f>
        <v>AI</v>
      </c>
    </row>
    <row r="2449" customFormat="false" ht="15" hidden="false" customHeight="false" outlineLevel="0" collapsed="false">
      <c r="A2449" s="6" t="s">
        <v>4</v>
      </c>
      <c r="B2449" s="6" t="s">
        <v>428</v>
      </c>
      <c r="C2449" s="6" t="n">
        <v>44</v>
      </c>
      <c r="D2449" s="25" t="n">
        <f aca="false">EDATE('Start Here'!$B$6,C2449-1)</f>
        <v>47635</v>
      </c>
      <c r="E2449" s="23" t="n">
        <f aca="false">IF(AND(OR(Nonlabor!$D$24="Both",Nonlabor!$D$24='Start Here'!$B$9),IF(Nonlabor!$E$24="Core",1,IF(Nonlabor!$E$24="AI",'Start Here'!$B$7,'Start Here'!$B$8))=1,C2449&gt;=IF(Nonlabor!$E$24="Core",Nonlabor!$F$24,MAX(Nonlabor!$F$24,IF(Nonlabor!$E$24="AI",Assumptions!$D$24,Assumptions!$D$25))),C2449&lt;=Nonlabor!$G$24,OR(Nonlabor!$H$24="Monthly",AND(Nonlabor!$H$24="Once",C2449=IF(Nonlabor!$E$24="Core",Nonlabor!$F$24,MAX(Nonlabor!$F$24,IF(Nonlabor!$E$24="AI",Assumptions!$D$24,Assumptions!$D$25)))),AND(Nonlabor!$H$24="Annual",MOD(C2449-IF(Nonlabor!$E$24="Core",Nonlabor!$F$24,MAX(Nonlabor!$F$24,IF(Nonlabor!$E$24="AI",Assumptions!$D$24,Assumptions!$D$25))),12)=0))),IF(Nonlabor!$I$24="Fixed",1,IF(Nonlabor!$I$24="Seats",ROUNDUP('Monthly Base'!I49,0),IF(Nonlabor!$I$24="Customers",'Monthly Base'!D49,IF(Nonlabor!$I$24="NewCustomers",'Monthly Base'!C49,IF(Nonlabor!$I$24="StorageGB",'Monthly Base'!G49,IF(Nonlabor!$I$24="LogGB",'Monthly Base'!H49,IF(Nonlabor!$I$24="RequestsM",'Monthly Base'!F49,IF(Nonlabor!$I$24="InputM",'Monthly Base'!D49*Assumptions!$D$22/1000000,IF(Nonlabor!$I$24="OutputM",'Monthly Base'!D49*Assumptions!$D$23/1000000,0))))))))),0)</f>
        <v>0</v>
      </c>
      <c r="F2449" s="10" t="n">
        <f aca="false">Nonlabor!$J$24*(1+Assumptions!$D$9)^INT((C2449-1)/12)</f>
        <v>0.4370908</v>
      </c>
      <c r="G2449" s="10" t="n">
        <f aca="false">E2449*F2449</f>
        <v>0</v>
      </c>
      <c r="H2449" s="10" t="n">
        <f aca="false">IF(OR(Nonlabor!$L$24="Quote required",Nonlabor!$L$24="Unverified"),G2449,0)</f>
        <v>0</v>
      </c>
      <c r="I2449" s="10" t="n">
        <f aca="false">IF(Nonlabor!$E$24="Core",0,G2449)</f>
        <v>0</v>
      </c>
      <c r="J2449" s="23" t="str">
        <f aca="false">Nonlabor!$B$24</f>
        <v>AI</v>
      </c>
    </row>
    <row r="2450" customFormat="false" ht="15" hidden="false" customHeight="false" outlineLevel="0" collapsed="false">
      <c r="A2450" s="6" t="s">
        <v>4</v>
      </c>
      <c r="B2450" s="6" t="s">
        <v>428</v>
      </c>
      <c r="C2450" s="6" t="n">
        <v>45</v>
      </c>
      <c r="D2450" s="25" t="n">
        <f aca="false">EDATE('Start Here'!$B$6,C2450-1)</f>
        <v>47665</v>
      </c>
      <c r="E2450" s="23" t="n">
        <f aca="false">IF(AND(OR(Nonlabor!$D$24="Both",Nonlabor!$D$24='Start Here'!$B$9),IF(Nonlabor!$E$24="Core",1,IF(Nonlabor!$E$24="AI",'Start Here'!$B$7,'Start Here'!$B$8))=1,C2450&gt;=IF(Nonlabor!$E$24="Core",Nonlabor!$F$24,MAX(Nonlabor!$F$24,IF(Nonlabor!$E$24="AI",Assumptions!$D$24,Assumptions!$D$25))),C2450&lt;=Nonlabor!$G$24,OR(Nonlabor!$H$24="Monthly",AND(Nonlabor!$H$24="Once",C2450=IF(Nonlabor!$E$24="Core",Nonlabor!$F$24,MAX(Nonlabor!$F$24,IF(Nonlabor!$E$24="AI",Assumptions!$D$24,Assumptions!$D$25)))),AND(Nonlabor!$H$24="Annual",MOD(C2450-IF(Nonlabor!$E$24="Core",Nonlabor!$F$24,MAX(Nonlabor!$F$24,IF(Nonlabor!$E$24="AI",Assumptions!$D$24,Assumptions!$D$25))),12)=0))),IF(Nonlabor!$I$24="Fixed",1,IF(Nonlabor!$I$24="Seats",ROUNDUP('Monthly Base'!I50,0),IF(Nonlabor!$I$24="Customers",'Monthly Base'!D50,IF(Nonlabor!$I$24="NewCustomers",'Monthly Base'!C50,IF(Nonlabor!$I$24="StorageGB",'Monthly Base'!G50,IF(Nonlabor!$I$24="LogGB",'Monthly Base'!H50,IF(Nonlabor!$I$24="RequestsM",'Monthly Base'!F50,IF(Nonlabor!$I$24="InputM",'Monthly Base'!D50*Assumptions!$D$22/1000000,IF(Nonlabor!$I$24="OutputM",'Monthly Base'!D50*Assumptions!$D$23/1000000,0))))))))),0)</f>
        <v>0</v>
      </c>
      <c r="F2450" s="10" t="n">
        <f aca="false">Nonlabor!$J$24*(1+Assumptions!$D$9)^INT((C2450-1)/12)</f>
        <v>0.4370908</v>
      </c>
      <c r="G2450" s="10" t="n">
        <f aca="false">E2450*F2450</f>
        <v>0</v>
      </c>
      <c r="H2450" s="10" t="n">
        <f aca="false">IF(OR(Nonlabor!$L$24="Quote required",Nonlabor!$L$24="Unverified"),G2450,0)</f>
        <v>0</v>
      </c>
      <c r="I2450" s="10" t="n">
        <f aca="false">IF(Nonlabor!$E$24="Core",0,G2450)</f>
        <v>0</v>
      </c>
      <c r="J2450" s="23" t="str">
        <f aca="false">Nonlabor!$B$24</f>
        <v>AI</v>
      </c>
    </row>
    <row r="2451" customFormat="false" ht="15" hidden="false" customHeight="false" outlineLevel="0" collapsed="false">
      <c r="A2451" s="6" t="s">
        <v>4</v>
      </c>
      <c r="B2451" s="6" t="s">
        <v>428</v>
      </c>
      <c r="C2451" s="6" t="n">
        <v>46</v>
      </c>
      <c r="D2451" s="25" t="n">
        <f aca="false">EDATE('Start Here'!$B$6,C2451-1)</f>
        <v>47696</v>
      </c>
      <c r="E2451" s="23" t="n">
        <f aca="false">IF(AND(OR(Nonlabor!$D$24="Both",Nonlabor!$D$24='Start Here'!$B$9),IF(Nonlabor!$E$24="Core",1,IF(Nonlabor!$E$24="AI",'Start Here'!$B$7,'Start Here'!$B$8))=1,C2451&gt;=IF(Nonlabor!$E$24="Core",Nonlabor!$F$24,MAX(Nonlabor!$F$24,IF(Nonlabor!$E$24="AI",Assumptions!$D$24,Assumptions!$D$25))),C2451&lt;=Nonlabor!$G$24,OR(Nonlabor!$H$24="Monthly",AND(Nonlabor!$H$24="Once",C2451=IF(Nonlabor!$E$24="Core",Nonlabor!$F$24,MAX(Nonlabor!$F$24,IF(Nonlabor!$E$24="AI",Assumptions!$D$24,Assumptions!$D$25)))),AND(Nonlabor!$H$24="Annual",MOD(C2451-IF(Nonlabor!$E$24="Core",Nonlabor!$F$24,MAX(Nonlabor!$F$24,IF(Nonlabor!$E$24="AI",Assumptions!$D$24,Assumptions!$D$25))),12)=0))),IF(Nonlabor!$I$24="Fixed",1,IF(Nonlabor!$I$24="Seats",ROUNDUP('Monthly Base'!I51,0),IF(Nonlabor!$I$24="Customers",'Monthly Base'!D51,IF(Nonlabor!$I$24="NewCustomers",'Monthly Base'!C51,IF(Nonlabor!$I$24="StorageGB",'Monthly Base'!G51,IF(Nonlabor!$I$24="LogGB",'Monthly Base'!H51,IF(Nonlabor!$I$24="RequestsM",'Monthly Base'!F51,IF(Nonlabor!$I$24="InputM",'Monthly Base'!D51*Assumptions!$D$22/1000000,IF(Nonlabor!$I$24="OutputM",'Monthly Base'!D51*Assumptions!$D$23/1000000,0))))))))),0)</f>
        <v>0</v>
      </c>
      <c r="F2451" s="10" t="n">
        <f aca="false">Nonlabor!$J$24*(1+Assumptions!$D$9)^INT((C2451-1)/12)</f>
        <v>0.4370908</v>
      </c>
      <c r="G2451" s="10" t="n">
        <f aca="false">E2451*F2451</f>
        <v>0</v>
      </c>
      <c r="H2451" s="10" t="n">
        <f aca="false">IF(OR(Nonlabor!$L$24="Quote required",Nonlabor!$L$24="Unverified"),G2451,0)</f>
        <v>0</v>
      </c>
      <c r="I2451" s="10" t="n">
        <f aca="false">IF(Nonlabor!$E$24="Core",0,G2451)</f>
        <v>0</v>
      </c>
      <c r="J2451" s="23" t="str">
        <f aca="false">Nonlabor!$B$24</f>
        <v>AI</v>
      </c>
    </row>
    <row r="2452" customFormat="false" ht="15" hidden="false" customHeight="false" outlineLevel="0" collapsed="false">
      <c r="A2452" s="6" t="s">
        <v>4</v>
      </c>
      <c r="B2452" s="6" t="s">
        <v>428</v>
      </c>
      <c r="C2452" s="6" t="n">
        <v>47</v>
      </c>
      <c r="D2452" s="25" t="n">
        <f aca="false">EDATE('Start Here'!$B$6,C2452-1)</f>
        <v>47727</v>
      </c>
      <c r="E2452" s="23" t="n">
        <f aca="false">IF(AND(OR(Nonlabor!$D$24="Both",Nonlabor!$D$24='Start Here'!$B$9),IF(Nonlabor!$E$24="Core",1,IF(Nonlabor!$E$24="AI",'Start Here'!$B$7,'Start Here'!$B$8))=1,C2452&gt;=IF(Nonlabor!$E$24="Core",Nonlabor!$F$24,MAX(Nonlabor!$F$24,IF(Nonlabor!$E$24="AI",Assumptions!$D$24,Assumptions!$D$25))),C2452&lt;=Nonlabor!$G$24,OR(Nonlabor!$H$24="Monthly",AND(Nonlabor!$H$24="Once",C2452=IF(Nonlabor!$E$24="Core",Nonlabor!$F$24,MAX(Nonlabor!$F$24,IF(Nonlabor!$E$24="AI",Assumptions!$D$24,Assumptions!$D$25)))),AND(Nonlabor!$H$24="Annual",MOD(C2452-IF(Nonlabor!$E$24="Core",Nonlabor!$F$24,MAX(Nonlabor!$F$24,IF(Nonlabor!$E$24="AI",Assumptions!$D$24,Assumptions!$D$25))),12)=0))),IF(Nonlabor!$I$24="Fixed",1,IF(Nonlabor!$I$24="Seats",ROUNDUP('Monthly Base'!I52,0),IF(Nonlabor!$I$24="Customers",'Monthly Base'!D52,IF(Nonlabor!$I$24="NewCustomers",'Monthly Base'!C52,IF(Nonlabor!$I$24="StorageGB",'Monthly Base'!G52,IF(Nonlabor!$I$24="LogGB",'Monthly Base'!H52,IF(Nonlabor!$I$24="RequestsM",'Monthly Base'!F52,IF(Nonlabor!$I$24="InputM",'Monthly Base'!D52*Assumptions!$D$22/1000000,IF(Nonlabor!$I$24="OutputM",'Monthly Base'!D52*Assumptions!$D$23/1000000,0))))))))),0)</f>
        <v>0</v>
      </c>
      <c r="F2452" s="10" t="n">
        <f aca="false">Nonlabor!$J$24*(1+Assumptions!$D$9)^INT((C2452-1)/12)</f>
        <v>0.4370908</v>
      </c>
      <c r="G2452" s="10" t="n">
        <f aca="false">E2452*F2452</f>
        <v>0</v>
      </c>
      <c r="H2452" s="10" t="n">
        <f aca="false">IF(OR(Nonlabor!$L$24="Quote required",Nonlabor!$L$24="Unverified"),G2452,0)</f>
        <v>0</v>
      </c>
      <c r="I2452" s="10" t="n">
        <f aca="false">IF(Nonlabor!$E$24="Core",0,G2452)</f>
        <v>0</v>
      </c>
      <c r="J2452" s="23" t="str">
        <f aca="false">Nonlabor!$B$24</f>
        <v>AI</v>
      </c>
    </row>
    <row r="2453" customFormat="false" ht="15" hidden="false" customHeight="false" outlineLevel="0" collapsed="false">
      <c r="A2453" s="6" t="s">
        <v>4</v>
      </c>
      <c r="B2453" s="6" t="s">
        <v>428</v>
      </c>
      <c r="C2453" s="6" t="n">
        <v>48</v>
      </c>
      <c r="D2453" s="25" t="n">
        <f aca="false">EDATE('Start Here'!$B$6,C2453-1)</f>
        <v>47757</v>
      </c>
      <c r="E2453" s="23" t="n">
        <f aca="false">IF(AND(OR(Nonlabor!$D$24="Both",Nonlabor!$D$24='Start Here'!$B$9),IF(Nonlabor!$E$24="Core",1,IF(Nonlabor!$E$24="AI",'Start Here'!$B$7,'Start Here'!$B$8))=1,C2453&gt;=IF(Nonlabor!$E$24="Core",Nonlabor!$F$24,MAX(Nonlabor!$F$24,IF(Nonlabor!$E$24="AI",Assumptions!$D$24,Assumptions!$D$25))),C2453&lt;=Nonlabor!$G$24,OR(Nonlabor!$H$24="Monthly",AND(Nonlabor!$H$24="Once",C2453=IF(Nonlabor!$E$24="Core",Nonlabor!$F$24,MAX(Nonlabor!$F$24,IF(Nonlabor!$E$24="AI",Assumptions!$D$24,Assumptions!$D$25)))),AND(Nonlabor!$H$24="Annual",MOD(C2453-IF(Nonlabor!$E$24="Core",Nonlabor!$F$24,MAX(Nonlabor!$F$24,IF(Nonlabor!$E$24="AI",Assumptions!$D$24,Assumptions!$D$25))),12)=0))),IF(Nonlabor!$I$24="Fixed",1,IF(Nonlabor!$I$24="Seats",ROUNDUP('Monthly Base'!I53,0),IF(Nonlabor!$I$24="Customers",'Monthly Base'!D53,IF(Nonlabor!$I$24="NewCustomers",'Monthly Base'!C53,IF(Nonlabor!$I$24="StorageGB",'Monthly Base'!G53,IF(Nonlabor!$I$24="LogGB",'Monthly Base'!H53,IF(Nonlabor!$I$24="RequestsM",'Monthly Base'!F53,IF(Nonlabor!$I$24="InputM",'Monthly Base'!D53*Assumptions!$D$22/1000000,IF(Nonlabor!$I$24="OutputM",'Monthly Base'!D53*Assumptions!$D$23/1000000,0))))))))),0)</f>
        <v>0</v>
      </c>
      <c r="F2453" s="10" t="n">
        <f aca="false">Nonlabor!$J$24*(1+Assumptions!$D$9)^INT((C2453-1)/12)</f>
        <v>0.4370908</v>
      </c>
      <c r="G2453" s="10" t="n">
        <f aca="false">E2453*F2453</f>
        <v>0</v>
      </c>
      <c r="H2453" s="10" t="n">
        <f aca="false">IF(OR(Nonlabor!$L$24="Quote required",Nonlabor!$L$24="Unverified"),G2453,0)</f>
        <v>0</v>
      </c>
      <c r="I2453" s="10" t="n">
        <f aca="false">IF(Nonlabor!$E$24="Core",0,G2453)</f>
        <v>0</v>
      </c>
      <c r="J2453" s="23" t="str">
        <f aca="false">Nonlabor!$B$24</f>
        <v>AI</v>
      </c>
    </row>
    <row r="2454" customFormat="false" ht="15" hidden="false" customHeight="false" outlineLevel="0" collapsed="false">
      <c r="A2454" s="6" t="s">
        <v>4</v>
      </c>
      <c r="B2454" s="6" t="s">
        <v>428</v>
      </c>
      <c r="C2454" s="6" t="n">
        <v>49</v>
      </c>
      <c r="D2454" s="25" t="n">
        <f aca="false">EDATE('Start Here'!$B$6,C2454-1)</f>
        <v>47788</v>
      </c>
      <c r="E2454" s="23" t="n">
        <f aca="false">IF(AND(OR(Nonlabor!$D$24="Both",Nonlabor!$D$24='Start Here'!$B$9),IF(Nonlabor!$E$24="Core",1,IF(Nonlabor!$E$24="AI",'Start Here'!$B$7,'Start Here'!$B$8))=1,C2454&gt;=IF(Nonlabor!$E$24="Core",Nonlabor!$F$24,MAX(Nonlabor!$F$24,IF(Nonlabor!$E$24="AI",Assumptions!$D$24,Assumptions!$D$25))),C2454&lt;=Nonlabor!$G$24,OR(Nonlabor!$H$24="Monthly",AND(Nonlabor!$H$24="Once",C2454=IF(Nonlabor!$E$24="Core",Nonlabor!$F$24,MAX(Nonlabor!$F$24,IF(Nonlabor!$E$24="AI",Assumptions!$D$24,Assumptions!$D$25)))),AND(Nonlabor!$H$24="Annual",MOD(C2454-IF(Nonlabor!$E$24="Core",Nonlabor!$F$24,MAX(Nonlabor!$F$24,IF(Nonlabor!$E$24="AI",Assumptions!$D$24,Assumptions!$D$25))),12)=0))),IF(Nonlabor!$I$24="Fixed",1,IF(Nonlabor!$I$24="Seats",ROUNDUP('Monthly Base'!I54,0),IF(Nonlabor!$I$24="Customers",'Monthly Base'!D54,IF(Nonlabor!$I$24="NewCustomers",'Monthly Base'!C54,IF(Nonlabor!$I$24="StorageGB",'Monthly Base'!G54,IF(Nonlabor!$I$24="LogGB",'Monthly Base'!H54,IF(Nonlabor!$I$24="RequestsM",'Monthly Base'!F54,IF(Nonlabor!$I$24="InputM",'Monthly Base'!D54*Assumptions!$D$22/1000000,IF(Nonlabor!$I$24="OutputM",'Monthly Base'!D54*Assumptions!$D$23/1000000,0))))))))),0)</f>
        <v>0</v>
      </c>
      <c r="F2454" s="10" t="n">
        <f aca="false">Nonlabor!$J$24*(1+Assumptions!$D$9)^INT((C2454-1)/12)</f>
        <v>0.450203524</v>
      </c>
      <c r="G2454" s="10" t="n">
        <f aca="false">E2454*F2454</f>
        <v>0</v>
      </c>
      <c r="H2454" s="10" t="n">
        <f aca="false">IF(OR(Nonlabor!$L$24="Quote required",Nonlabor!$L$24="Unverified"),G2454,0)</f>
        <v>0</v>
      </c>
      <c r="I2454" s="10" t="n">
        <f aca="false">IF(Nonlabor!$E$24="Core",0,G2454)</f>
        <v>0</v>
      </c>
      <c r="J2454" s="23" t="str">
        <f aca="false">Nonlabor!$B$24</f>
        <v>AI</v>
      </c>
    </row>
    <row r="2455" customFormat="false" ht="15" hidden="false" customHeight="false" outlineLevel="0" collapsed="false">
      <c r="A2455" s="6" t="s">
        <v>4</v>
      </c>
      <c r="B2455" s="6" t="s">
        <v>428</v>
      </c>
      <c r="C2455" s="6" t="n">
        <v>50</v>
      </c>
      <c r="D2455" s="25" t="n">
        <f aca="false">EDATE('Start Here'!$B$6,C2455-1)</f>
        <v>47818</v>
      </c>
      <c r="E2455" s="23" t="n">
        <f aca="false">IF(AND(OR(Nonlabor!$D$24="Both",Nonlabor!$D$24='Start Here'!$B$9),IF(Nonlabor!$E$24="Core",1,IF(Nonlabor!$E$24="AI",'Start Here'!$B$7,'Start Here'!$B$8))=1,C2455&gt;=IF(Nonlabor!$E$24="Core",Nonlabor!$F$24,MAX(Nonlabor!$F$24,IF(Nonlabor!$E$24="AI",Assumptions!$D$24,Assumptions!$D$25))),C2455&lt;=Nonlabor!$G$24,OR(Nonlabor!$H$24="Monthly",AND(Nonlabor!$H$24="Once",C2455=IF(Nonlabor!$E$24="Core",Nonlabor!$F$24,MAX(Nonlabor!$F$24,IF(Nonlabor!$E$24="AI",Assumptions!$D$24,Assumptions!$D$25)))),AND(Nonlabor!$H$24="Annual",MOD(C2455-IF(Nonlabor!$E$24="Core",Nonlabor!$F$24,MAX(Nonlabor!$F$24,IF(Nonlabor!$E$24="AI",Assumptions!$D$24,Assumptions!$D$25))),12)=0))),IF(Nonlabor!$I$24="Fixed",1,IF(Nonlabor!$I$24="Seats",ROUNDUP('Monthly Base'!I55,0),IF(Nonlabor!$I$24="Customers",'Monthly Base'!D55,IF(Nonlabor!$I$24="NewCustomers",'Monthly Base'!C55,IF(Nonlabor!$I$24="StorageGB",'Monthly Base'!G55,IF(Nonlabor!$I$24="LogGB",'Monthly Base'!H55,IF(Nonlabor!$I$24="RequestsM",'Monthly Base'!F55,IF(Nonlabor!$I$24="InputM",'Monthly Base'!D55*Assumptions!$D$22/1000000,IF(Nonlabor!$I$24="OutputM",'Monthly Base'!D55*Assumptions!$D$23/1000000,0))))))))),0)</f>
        <v>0</v>
      </c>
      <c r="F2455" s="10" t="n">
        <f aca="false">Nonlabor!$J$24*(1+Assumptions!$D$9)^INT((C2455-1)/12)</f>
        <v>0.450203524</v>
      </c>
      <c r="G2455" s="10" t="n">
        <f aca="false">E2455*F2455</f>
        <v>0</v>
      </c>
      <c r="H2455" s="10" t="n">
        <f aca="false">IF(OR(Nonlabor!$L$24="Quote required",Nonlabor!$L$24="Unverified"),G2455,0)</f>
        <v>0</v>
      </c>
      <c r="I2455" s="10" t="n">
        <f aca="false">IF(Nonlabor!$E$24="Core",0,G2455)</f>
        <v>0</v>
      </c>
      <c r="J2455" s="23" t="str">
        <f aca="false">Nonlabor!$B$24</f>
        <v>AI</v>
      </c>
    </row>
    <row r="2456" customFormat="false" ht="15" hidden="false" customHeight="false" outlineLevel="0" collapsed="false">
      <c r="A2456" s="6" t="s">
        <v>4</v>
      </c>
      <c r="B2456" s="6" t="s">
        <v>428</v>
      </c>
      <c r="C2456" s="6" t="n">
        <v>51</v>
      </c>
      <c r="D2456" s="25" t="n">
        <f aca="false">EDATE('Start Here'!$B$6,C2456-1)</f>
        <v>47849</v>
      </c>
      <c r="E2456" s="23" t="n">
        <f aca="false">IF(AND(OR(Nonlabor!$D$24="Both",Nonlabor!$D$24='Start Here'!$B$9),IF(Nonlabor!$E$24="Core",1,IF(Nonlabor!$E$24="AI",'Start Here'!$B$7,'Start Here'!$B$8))=1,C2456&gt;=IF(Nonlabor!$E$24="Core",Nonlabor!$F$24,MAX(Nonlabor!$F$24,IF(Nonlabor!$E$24="AI",Assumptions!$D$24,Assumptions!$D$25))),C2456&lt;=Nonlabor!$G$24,OR(Nonlabor!$H$24="Monthly",AND(Nonlabor!$H$24="Once",C2456=IF(Nonlabor!$E$24="Core",Nonlabor!$F$24,MAX(Nonlabor!$F$24,IF(Nonlabor!$E$24="AI",Assumptions!$D$24,Assumptions!$D$25)))),AND(Nonlabor!$H$24="Annual",MOD(C2456-IF(Nonlabor!$E$24="Core",Nonlabor!$F$24,MAX(Nonlabor!$F$24,IF(Nonlabor!$E$24="AI",Assumptions!$D$24,Assumptions!$D$25))),12)=0))),IF(Nonlabor!$I$24="Fixed",1,IF(Nonlabor!$I$24="Seats",ROUNDUP('Monthly Base'!I56,0),IF(Nonlabor!$I$24="Customers",'Monthly Base'!D56,IF(Nonlabor!$I$24="NewCustomers",'Monthly Base'!C56,IF(Nonlabor!$I$24="StorageGB",'Monthly Base'!G56,IF(Nonlabor!$I$24="LogGB",'Monthly Base'!H56,IF(Nonlabor!$I$24="RequestsM",'Monthly Base'!F56,IF(Nonlabor!$I$24="InputM",'Monthly Base'!D56*Assumptions!$D$22/1000000,IF(Nonlabor!$I$24="OutputM",'Monthly Base'!D56*Assumptions!$D$23/1000000,0))))))))),0)</f>
        <v>0</v>
      </c>
      <c r="F2456" s="10" t="n">
        <f aca="false">Nonlabor!$J$24*(1+Assumptions!$D$9)^INT((C2456-1)/12)</f>
        <v>0.450203524</v>
      </c>
      <c r="G2456" s="10" t="n">
        <f aca="false">E2456*F2456</f>
        <v>0</v>
      </c>
      <c r="H2456" s="10" t="n">
        <f aca="false">IF(OR(Nonlabor!$L$24="Quote required",Nonlabor!$L$24="Unverified"),G2456,0)</f>
        <v>0</v>
      </c>
      <c r="I2456" s="10" t="n">
        <f aca="false">IF(Nonlabor!$E$24="Core",0,G2456)</f>
        <v>0</v>
      </c>
      <c r="J2456" s="23" t="str">
        <f aca="false">Nonlabor!$B$24</f>
        <v>AI</v>
      </c>
    </row>
    <row r="2457" customFormat="false" ht="15" hidden="false" customHeight="false" outlineLevel="0" collapsed="false">
      <c r="A2457" s="6" t="s">
        <v>4</v>
      </c>
      <c r="B2457" s="6" t="s">
        <v>428</v>
      </c>
      <c r="C2457" s="6" t="n">
        <v>52</v>
      </c>
      <c r="D2457" s="25" t="n">
        <f aca="false">EDATE('Start Here'!$B$6,C2457-1)</f>
        <v>47880</v>
      </c>
      <c r="E2457" s="23" t="n">
        <f aca="false">IF(AND(OR(Nonlabor!$D$24="Both",Nonlabor!$D$24='Start Here'!$B$9),IF(Nonlabor!$E$24="Core",1,IF(Nonlabor!$E$24="AI",'Start Here'!$B$7,'Start Here'!$B$8))=1,C2457&gt;=IF(Nonlabor!$E$24="Core",Nonlabor!$F$24,MAX(Nonlabor!$F$24,IF(Nonlabor!$E$24="AI",Assumptions!$D$24,Assumptions!$D$25))),C2457&lt;=Nonlabor!$G$24,OR(Nonlabor!$H$24="Monthly",AND(Nonlabor!$H$24="Once",C2457=IF(Nonlabor!$E$24="Core",Nonlabor!$F$24,MAX(Nonlabor!$F$24,IF(Nonlabor!$E$24="AI",Assumptions!$D$24,Assumptions!$D$25)))),AND(Nonlabor!$H$24="Annual",MOD(C2457-IF(Nonlabor!$E$24="Core",Nonlabor!$F$24,MAX(Nonlabor!$F$24,IF(Nonlabor!$E$24="AI",Assumptions!$D$24,Assumptions!$D$25))),12)=0))),IF(Nonlabor!$I$24="Fixed",1,IF(Nonlabor!$I$24="Seats",ROUNDUP('Monthly Base'!I57,0),IF(Nonlabor!$I$24="Customers",'Monthly Base'!D57,IF(Nonlabor!$I$24="NewCustomers",'Monthly Base'!C57,IF(Nonlabor!$I$24="StorageGB",'Monthly Base'!G57,IF(Nonlabor!$I$24="LogGB",'Monthly Base'!H57,IF(Nonlabor!$I$24="RequestsM",'Monthly Base'!F57,IF(Nonlabor!$I$24="InputM",'Monthly Base'!D57*Assumptions!$D$22/1000000,IF(Nonlabor!$I$24="OutputM",'Monthly Base'!D57*Assumptions!$D$23/1000000,0))))))))),0)</f>
        <v>0</v>
      </c>
      <c r="F2457" s="10" t="n">
        <f aca="false">Nonlabor!$J$24*(1+Assumptions!$D$9)^INT((C2457-1)/12)</f>
        <v>0.450203524</v>
      </c>
      <c r="G2457" s="10" t="n">
        <f aca="false">E2457*F2457</f>
        <v>0</v>
      </c>
      <c r="H2457" s="10" t="n">
        <f aca="false">IF(OR(Nonlabor!$L$24="Quote required",Nonlabor!$L$24="Unverified"),G2457,0)</f>
        <v>0</v>
      </c>
      <c r="I2457" s="10" t="n">
        <f aca="false">IF(Nonlabor!$E$24="Core",0,G2457)</f>
        <v>0</v>
      </c>
      <c r="J2457" s="23" t="str">
        <f aca="false">Nonlabor!$B$24</f>
        <v>AI</v>
      </c>
    </row>
    <row r="2458" customFormat="false" ht="15" hidden="false" customHeight="false" outlineLevel="0" collapsed="false">
      <c r="A2458" s="6" t="s">
        <v>4</v>
      </c>
      <c r="B2458" s="6" t="s">
        <v>428</v>
      </c>
      <c r="C2458" s="6" t="n">
        <v>53</v>
      </c>
      <c r="D2458" s="25" t="n">
        <f aca="false">EDATE('Start Here'!$B$6,C2458-1)</f>
        <v>47908</v>
      </c>
      <c r="E2458" s="23" t="n">
        <f aca="false">IF(AND(OR(Nonlabor!$D$24="Both",Nonlabor!$D$24='Start Here'!$B$9),IF(Nonlabor!$E$24="Core",1,IF(Nonlabor!$E$24="AI",'Start Here'!$B$7,'Start Here'!$B$8))=1,C2458&gt;=IF(Nonlabor!$E$24="Core",Nonlabor!$F$24,MAX(Nonlabor!$F$24,IF(Nonlabor!$E$24="AI",Assumptions!$D$24,Assumptions!$D$25))),C2458&lt;=Nonlabor!$G$24,OR(Nonlabor!$H$24="Monthly",AND(Nonlabor!$H$24="Once",C2458=IF(Nonlabor!$E$24="Core",Nonlabor!$F$24,MAX(Nonlabor!$F$24,IF(Nonlabor!$E$24="AI",Assumptions!$D$24,Assumptions!$D$25)))),AND(Nonlabor!$H$24="Annual",MOD(C2458-IF(Nonlabor!$E$24="Core",Nonlabor!$F$24,MAX(Nonlabor!$F$24,IF(Nonlabor!$E$24="AI",Assumptions!$D$24,Assumptions!$D$25))),12)=0))),IF(Nonlabor!$I$24="Fixed",1,IF(Nonlabor!$I$24="Seats",ROUNDUP('Monthly Base'!I58,0),IF(Nonlabor!$I$24="Customers",'Monthly Base'!D58,IF(Nonlabor!$I$24="NewCustomers",'Monthly Base'!C58,IF(Nonlabor!$I$24="StorageGB",'Monthly Base'!G58,IF(Nonlabor!$I$24="LogGB",'Monthly Base'!H58,IF(Nonlabor!$I$24="RequestsM",'Monthly Base'!F58,IF(Nonlabor!$I$24="InputM",'Monthly Base'!D58*Assumptions!$D$22/1000000,IF(Nonlabor!$I$24="OutputM",'Monthly Base'!D58*Assumptions!$D$23/1000000,0))))))))),0)</f>
        <v>0</v>
      </c>
      <c r="F2458" s="10" t="n">
        <f aca="false">Nonlabor!$J$24*(1+Assumptions!$D$9)^INT((C2458-1)/12)</f>
        <v>0.450203524</v>
      </c>
      <c r="G2458" s="10" t="n">
        <f aca="false">E2458*F2458</f>
        <v>0</v>
      </c>
      <c r="H2458" s="10" t="n">
        <f aca="false">IF(OR(Nonlabor!$L$24="Quote required",Nonlabor!$L$24="Unverified"),G2458,0)</f>
        <v>0</v>
      </c>
      <c r="I2458" s="10" t="n">
        <f aca="false">IF(Nonlabor!$E$24="Core",0,G2458)</f>
        <v>0</v>
      </c>
      <c r="J2458" s="23" t="str">
        <f aca="false">Nonlabor!$B$24</f>
        <v>AI</v>
      </c>
    </row>
    <row r="2459" customFormat="false" ht="15" hidden="false" customHeight="false" outlineLevel="0" collapsed="false">
      <c r="A2459" s="6" t="s">
        <v>4</v>
      </c>
      <c r="B2459" s="6" t="s">
        <v>428</v>
      </c>
      <c r="C2459" s="6" t="n">
        <v>54</v>
      </c>
      <c r="D2459" s="25" t="n">
        <f aca="false">EDATE('Start Here'!$B$6,C2459-1)</f>
        <v>47939</v>
      </c>
      <c r="E2459" s="23" t="n">
        <f aca="false">IF(AND(OR(Nonlabor!$D$24="Both",Nonlabor!$D$24='Start Here'!$B$9),IF(Nonlabor!$E$24="Core",1,IF(Nonlabor!$E$24="AI",'Start Here'!$B$7,'Start Here'!$B$8))=1,C2459&gt;=IF(Nonlabor!$E$24="Core",Nonlabor!$F$24,MAX(Nonlabor!$F$24,IF(Nonlabor!$E$24="AI",Assumptions!$D$24,Assumptions!$D$25))),C2459&lt;=Nonlabor!$G$24,OR(Nonlabor!$H$24="Monthly",AND(Nonlabor!$H$24="Once",C2459=IF(Nonlabor!$E$24="Core",Nonlabor!$F$24,MAX(Nonlabor!$F$24,IF(Nonlabor!$E$24="AI",Assumptions!$D$24,Assumptions!$D$25)))),AND(Nonlabor!$H$24="Annual",MOD(C2459-IF(Nonlabor!$E$24="Core",Nonlabor!$F$24,MAX(Nonlabor!$F$24,IF(Nonlabor!$E$24="AI",Assumptions!$D$24,Assumptions!$D$25))),12)=0))),IF(Nonlabor!$I$24="Fixed",1,IF(Nonlabor!$I$24="Seats",ROUNDUP('Monthly Base'!I59,0),IF(Nonlabor!$I$24="Customers",'Monthly Base'!D59,IF(Nonlabor!$I$24="NewCustomers",'Monthly Base'!C59,IF(Nonlabor!$I$24="StorageGB",'Monthly Base'!G59,IF(Nonlabor!$I$24="LogGB",'Monthly Base'!H59,IF(Nonlabor!$I$24="RequestsM",'Monthly Base'!F59,IF(Nonlabor!$I$24="InputM",'Monthly Base'!D59*Assumptions!$D$22/1000000,IF(Nonlabor!$I$24="OutputM",'Monthly Base'!D59*Assumptions!$D$23/1000000,0))))))))),0)</f>
        <v>0</v>
      </c>
      <c r="F2459" s="10" t="n">
        <f aca="false">Nonlabor!$J$24*(1+Assumptions!$D$9)^INT((C2459-1)/12)</f>
        <v>0.450203524</v>
      </c>
      <c r="G2459" s="10" t="n">
        <f aca="false">E2459*F2459</f>
        <v>0</v>
      </c>
      <c r="H2459" s="10" t="n">
        <f aca="false">IF(OR(Nonlabor!$L$24="Quote required",Nonlabor!$L$24="Unverified"),G2459,0)</f>
        <v>0</v>
      </c>
      <c r="I2459" s="10" t="n">
        <f aca="false">IF(Nonlabor!$E$24="Core",0,G2459)</f>
        <v>0</v>
      </c>
      <c r="J2459" s="23" t="str">
        <f aca="false">Nonlabor!$B$24</f>
        <v>AI</v>
      </c>
    </row>
    <row r="2460" customFormat="false" ht="15" hidden="false" customHeight="false" outlineLevel="0" collapsed="false">
      <c r="A2460" s="6" t="s">
        <v>4</v>
      </c>
      <c r="B2460" s="6" t="s">
        <v>428</v>
      </c>
      <c r="C2460" s="6" t="n">
        <v>55</v>
      </c>
      <c r="D2460" s="25" t="n">
        <f aca="false">EDATE('Start Here'!$B$6,C2460-1)</f>
        <v>47969</v>
      </c>
      <c r="E2460" s="23" t="n">
        <f aca="false">IF(AND(OR(Nonlabor!$D$24="Both",Nonlabor!$D$24='Start Here'!$B$9),IF(Nonlabor!$E$24="Core",1,IF(Nonlabor!$E$24="AI",'Start Here'!$B$7,'Start Here'!$B$8))=1,C2460&gt;=IF(Nonlabor!$E$24="Core",Nonlabor!$F$24,MAX(Nonlabor!$F$24,IF(Nonlabor!$E$24="AI",Assumptions!$D$24,Assumptions!$D$25))),C2460&lt;=Nonlabor!$G$24,OR(Nonlabor!$H$24="Monthly",AND(Nonlabor!$H$24="Once",C2460=IF(Nonlabor!$E$24="Core",Nonlabor!$F$24,MAX(Nonlabor!$F$24,IF(Nonlabor!$E$24="AI",Assumptions!$D$24,Assumptions!$D$25)))),AND(Nonlabor!$H$24="Annual",MOD(C2460-IF(Nonlabor!$E$24="Core",Nonlabor!$F$24,MAX(Nonlabor!$F$24,IF(Nonlabor!$E$24="AI",Assumptions!$D$24,Assumptions!$D$25))),12)=0))),IF(Nonlabor!$I$24="Fixed",1,IF(Nonlabor!$I$24="Seats",ROUNDUP('Monthly Base'!I60,0),IF(Nonlabor!$I$24="Customers",'Monthly Base'!D60,IF(Nonlabor!$I$24="NewCustomers",'Monthly Base'!C60,IF(Nonlabor!$I$24="StorageGB",'Monthly Base'!G60,IF(Nonlabor!$I$24="LogGB",'Monthly Base'!H60,IF(Nonlabor!$I$24="RequestsM",'Monthly Base'!F60,IF(Nonlabor!$I$24="InputM",'Monthly Base'!D60*Assumptions!$D$22/1000000,IF(Nonlabor!$I$24="OutputM",'Monthly Base'!D60*Assumptions!$D$23/1000000,0))))))))),0)</f>
        <v>0</v>
      </c>
      <c r="F2460" s="10" t="n">
        <f aca="false">Nonlabor!$J$24*(1+Assumptions!$D$9)^INT((C2460-1)/12)</f>
        <v>0.450203524</v>
      </c>
      <c r="G2460" s="10" t="n">
        <f aca="false">E2460*F2460</f>
        <v>0</v>
      </c>
      <c r="H2460" s="10" t="n">
        <f aca="false">IF(OR(Nonlabor!$L$24="Quote required",Nonlabor!$L$24="Unverified"),G2460,0)</f>
        <v>0</v>
      </c>
      <c r="I2460" s="10" t="n">
        <f aca="false">IF(Nonlabor!$E$24="Core",0,G2460)</f>
        <v>0</v>
      </c>
      <c r="J2460" s="23" t="str">
        <f aca="false">Nonlabor!$B$24</f>
        <v>AI</v>
      </c>
    </row>
    <row r="2461" customFormat="false" ht="15" hidden="false" customHeight="false" outlineLevel="0" collapsed="false">
      <c r="A2461" s="6" t="s">
        <v>4</v>
      </c>
      <c r="B2461" s="6" t="s">
        <v>428</v>
      </c>
      <c r="C2461" s="6" t="n">
        <v>56</v>
      </c>
      <c r="D2461" s="25" t="n">
        <f aca="false">EDATE('Start Here'!$B$6,C2461-1)</f>
        <v>48000</v>
      </c>
      <c r="E2461" s="23" t="n">
        <f aca="false">IF(AND(OR(Nonlabor!$D$24="Both",Nonlabor!$D$24='Start Here'!$B$9),IF(Nonlabor!$E$24="Core",1,IF(Nonlabor!$E$24="AI",'Start Here'!$B$7,'Start Here'!$B$8))=1,C2461&gt;=IF(Nonlabor!$E$24="Core",Nonlabor!$F$24,MAX(Nonlabor!$F$24,IF(Nonlabor!$E$24="AI",Assumptions!$D$24,Assumptions!$D$25))),C2461&lt;=Nonlabor!$G$24,OR(Nonlabor!$H$24="Monthly",AND(Nonlabor!$H$24="Once",C2461=IF(Nonlabor!$E$24="Core",Nonlabor!$F$24,MAX(Nonlabor!$F$24,IF(Nonlabor!$E$24="AI",Assumptions!$D$24,Assumptions!$D$25)))),AND(Nonlabor!$H$24="Annual",MOD(C2461-IF(Nonlabor!$E$24="Core",Nonlabor!$F$24,MAX(Nonlabor!$F$24,IF(Nonlabor!$E$24="AI",Assumptions!$D$24,Assumptions!$D$25))),12)=0))),IF(Nonlabor!$I$24="Fixed",1,IF(Nonlabor!$I$24="Seats",ROUNDUP('Monthly Base'!I61,0),IF(Nonlabor!$I$24="Customers",'Monthly Base'!D61,IF(Nonlabor!$I$24="NewCustomers",'Monthly Base'!C61,IF(Nonlabor!$I$24="StorageGB",'Monthly Base'!G61,IF(Nonlabor!$I$24="LogGB",'Monthly Base'!H61,IF(Nonlabor!$I$24="RequestsM",'Monthly Base'!F61,IF(Nonlabor!$I$24="InputM",'Monthly Base'!D61*Assumptions!$D$22/1000000,IF(Nonlabor!$I$24="OutputM",'Monthly Base'!D61*Assumptions!$D$23/1000000,0))))))))),0)</f>
        <v>0</v>
      </c>
      <c r="F2461" s="10" t="n">
        <f aca="false">Nonlabor!$J$24*(1+Assumptions!$D$9)^INT((C2461-1)/12)</f>
        <v>0.450203524</v>
      </c>
      <c r="G2461" s="10" t="n">
        <f aca="false">E2461*F2461</f>
        <v>0</v>
      </c>
      <c r="H2461" s="10" t="n">
        <f aca="false">IF(OR(Nonlabor!$L$24="Quote required",Nonlabor!$L$24="Unverified"),G2461,0)</f>
        <v>0</v>
      </c>
      <c r="I2461" s="10" t="n">
        <f aca="false">IF(Nonlabor!$E$24="Core",0,G2461)</f>
        <v>0</v>
      </c>
      <c r="J2461" s="23" t="str">
        <f aca="false">Nonlabor!$B$24</f>
        <v>AI</v>
      </c>
    </row>
    <row r="2462" customFormat="false" ht="15" hidden="false" customHeight="false" outlineLevel="0" collapsed="false">
      <c r="A2462" s="6" t="s">
        <v>4</v>
      </c>
      <c r="B2462" s="6" t="s">
        <v>428</v>
      </c>
      <c r="C2462" s="6" t="n">
        <v>57</v>
      </c>
      <c r="D2462" s="25" t="n">
        <f aca="false">EDATE('Start Here'!$B$6,C2462-1)</f>
        <v>48030</v>
      </c>
      <c r="E2462" s="23" t="n">
        <f aca="false">IF(AND(OR(Nonlabor!$D$24="Both",Nonlabor!$D$24='Start Here'!$B$9),IF(Nonlabor!$E$24="Core",1,IF(Nonlabor!$E$24="AI",'Start Here'!$B$7,'Start Here'!$B$8))=1,C2462&gt;=IF(Nonlabor!$E$24="Core",Nonlabor!$F$24,MAX(Nonlabor!$F$24,IF(Nonlabor!$E$24="AI",Assumptions!$D$24,Assumptions!$D$25))),C2462&lt;=Nonlabor!$G$24,OR(Nonlabor!$H$24="Monthly",AND(Nonlabor!$H$24="Once",C2462=IF(Nonlabor!$E$24="Core",Nonlabor!$F$24,MAX(Nonlabor!$F$24,IF(Nonlabor!$E$24="AI",Assumptions!$D$24,Assumptions!$D$25)))),AND(Nonlabor!$H$24="Annual",MOD(C2462-IF(Nonlabor!$E$24="Core",Nonlabor!$F$24,MAX(Nonlabor!$F$24,IF(Nonlabor!$E$24="AI",Assumptions!$D$24,Assumptions!$D$25))),12)=0))),IF(Nonlabor!$I$24="Fixed",1,IF(Nonlabor!$I$24="Seats",ROUNDUP('Monthly Base'!I62,0),IF(Nonlabor!$I$24="Customers",'Monthly Base'!D62,IF(Nonlabor!$I$24="NewCustomers",'Monthly Base'!C62,IF(Nonlabor!$I$24="StorageGB",'Monthly Base'!G62,IF(Nonlabor!$I$24="LogGB",'Monthly Base'!H62,IF(Nonlabor!$I$24="RequestsM",'Monthly Base'!F62,IF(Nonlabor!$I$24="InputM",'Monthly Base'!D62*Assumptions!$D$22/1000000,IF(Nonlabor!$I$24="OutputM",'Monthly Base'!D62*Assumptions!$D$23/1000000,0))))))))),0)</f>
        <v>0</v>
      </c>
      <c r="F2462" s="10" t="n">
        <f aca="false">Nonlabor!$J$24*(1+Assumptions!$D$9)^INT((C2462-1)/12)</f>
        <v>0.450203524</v>
      </c>
      <c r="G2462" s="10" t="n">
        <f aca="false">E2462*F2462</f>
        <v>0</v>
      </c>
      <c r="H2462" s="10" t="n">
        <f aca="false">IF(OR(Nonlabor!$L$24="Quote required",Nonlabor!$L$24="Unverified"),G2462,0)</f>
        <v>0</v>
      </c>
      <c r="I2462" s="10" t="n">
        <f aca="false">IF(Nonlabor!$E$24="Core",0,G2462)</f>
        <v>0</v>
      </c>
      <c r="J2462" s="23" t="str">
        <f aca="false">Nonlabor!$B$24</f>
        <v>AI</v>
      </c>
    </row>
    <row r="2463" customFormat="false" ht="15" hidden="false" customHeight="false" outlineLevel="0" collapsed="false">
      <c r="A2463" s="6" t="s">
        <v>4</v>
      </c>
      <c r="B2463" s="6" t="s">
        <v>428</v>
      </c>
      <c r="C2463" s="6" t="n">
        <v>58</v>
      </c>
      <c r="D2463" s="25" t="n">
        <f aca="false">EDATE('Start Here'!$B$6,C2463-1)</f>
        <v>48061</v>
      </c>
      <c r="E2463" s="23" t="n">
        <f aca="false">IF(AND(OR(Nonlabor!$D$24="Both",Nonlabor!$D$24='Start Here'!$B$9),IF(Nonlabor!$E$24="Core",1,IF(Nonlabor!$E$24="AI",'Start Here'!$B$7,'Start Here'!$B$8))=1,C2463&gt;=IF(Nonlabor!$E$24="Core",Nonlabor!$F$24,MAX(Nonlabor!$F$24,IF(Nonlabor!$E$24="AI",Assumptions!$D$24,Assumptions!$D$25))),C2463&lt;=Nonlabor!$G$24,OR(Nonlabor!$H$24="Monthly",AND(Nonlabor!$H$24="Once",C2463=IF(Nonlabor!$E$24="Core",Nonlabor!$F$24,MAX(Nonlabor!$F$24,IF(Nonlabor!$E$24="AI",Assumptions!$D$24,Assumptions!$D$25)))),AND(Nonlabor!$H$24="Annual",MOD(C2463-IF(Nonlabor!$E$24="Core",Nonlabor!$F$24,MAX(Nonlabor!$F$24,IF(Nonlabor!$E$24="AI",Assumptions!$D$24,Assumptions!$D$25))),12)=0))),IF(Nonlabor!$I$24="Fixed",1,IF(Nonlabor!$I$24="Seats",ROUNDUP('Monthly Base'!I63,0),IF(Nonlabor!$I$24="Customers",'Monthly Base'!D63,IF(Nonlabor!$I$24="NewCustomers",'Monthly Base'!C63,IF(Nonlabor!$I$24="StorageGB",'Monthly Base'!G63,IF(Nonlabor!$I$24="LogGB",'Monthly Base'!H63,IF(Nonlabor!$I$24="RequestsM",'Monthly Base'!F63,IF(Nonlabor!$I$24="InputM",'Monthly Base'!D63*Assumptions!$D$22/1000000,IF(Nonlabor!$I$24="OutputM",'Monthly Base'!D63*Assumptions!$D$23/1000000,0))))))))),0)</f>
        <v>0</v>
      </c>
      <c r="F2463" s="10" t="n">
        <f aca="false">Nonlabor!$J$24*(1+Assumptions!$D$9)^INT((C2463-1)/12)</f>
        <v>0.450203524</v>
      </c>
      <c r="G2463" s="10" t="n">
        <f aca="false">E2463*F2463</f>
        <v>0</v>
      </c>
      <c r="H2463" s="10" t="n">
        <f aca="false">IF(OR(Nonlabor!$L$24="Quote required",Nonlabor!$L$24="Unverified"),G2463,0)</f>
        <v>0</v>
      </c>
      <c r="I2463" s="10" t="n">
        <f aca="false">IF(Nonlabor!$E$24="Core",0,G2463)</f>
        <v>0</v>
      </c>
      <c r="J2463" s="23" t="str">
        <f aca="false">Nonlabor!$B$24</f>
        <v>AI</v>
      </c>
    </row>
    <row r="2464" customFormat="false" ht="15" hidden="false" customHeight="false" outlineLevel="0" collapsed="false">
      <c r="A2464" s="6" t="s">
        <v>4</v>
      </c>
      <c r="B2464" s="6" t="s">
        <v>428</v>
      </c>
      <c r="C2464" s="6" t="n">
        <v>59</v>
      </c>
      <c r="D2464" s="25" t="n">
        <f aca="false">EDATE('Start Here'!$B$6,C2464-1)</f>
        <v>48092</v>
      </c>
      <c r="E2464" s="23" t="n">
        <f aca="false">IF(AND(OR(Nonlabor!$D$24="Both",Nonlabor!$D$24='Start Here'!$B$9),IF(Nonlabor!$E$24="Core",1,IF(Nonlabor!$E$24="AI",'Start Here'!$B$7,'Start Here'!$B$8))=1,C2464&gt;=IF(Nonlabor!$E$24="Core",Nonlabor!$F$24,MAX(Nonlabor!$F$24,IF(Nonlabor!$E$24="AI",Assumptions!$D$24,Assumptions!$D$25))),C2464&lt;=Nonlabor!$G$24,OR(Nonlabor!$H$24="Monthly",AND(Nonlabor!$H$24="Once",C2464=IF(Nonlabor!$E$24="Core",Nonlabor!$F$24,MAX(Nonlabor!$F$24,IF(Nonlabor!$E$24="AI",Assumptions!$D$24,Assumptions!$D$25)))),AND(Nonlabor!$H$24="Annual",MOD(C2464-IF(Nonlabor!$E$24="Core",Nonlabor!$F$24,MAX(Nonlabor!$F$24,IF(Nonlabor!$E$24="AI",Assumptions!$D$24,Assumptions!$D$25))),12)=0))),IF(Nonlabor!$I$24="Fixed",1,IF(Nonlabor!$I$24="Seats",ROUNDUP('Monthly Base'!I64,0),IF(Nonlabor!$I$24="Customers",'Monthly Base'!D64,IF(Nonlabor!$I$24="NewCustomers",'Monthly Base'!C64,IF(Nonlabor!$I$24="StorageGB",'Monthly Base'!G64,IF(Nonlabor!$I$24="LogGB",'Monthly Base'!H64,IF(Nonlabor!$I$24="RequestsM",'Monthly Base'!F64,IF(Nonlabor!$I$24="InputM",'Monthly Base'!D64*Assumptions!$D$22/1000000,IF(Nonlabor!$I$24="OutputM",'Monthly Base'!D64*Assumptions!$D$23/1000000,0))))))))),0)</f>
        <v>0</v>
      </c>
      <c r="F2464" s="10" t="n">
        <f aca="false">Nonlabor!$J$24*(1+Assumptions!$D$9)^INT((C2464-1)/12)</f>
        <v>0.450203524</v>
      </c>
      <c r="G2464" s="10" t="n">
        <f aca="false">E2464*F2464</f>
        <v>0</v>
      </c>
      <c r="H2464" s="10" t="n">
        <f aca="false">IF(OR(Nonlabor!$L$24="Quote required",Nonlabor!$L$24="Unverified"),G2464,0)</f>
        <v>0</v>
      </c>
      <c r="I2464" s="10" t="n">
        <f aca="false">IF(Nonlabor!$E$24="Core",0,G2464)</f>
        <v>0</v>
      </c>
      <c r="J2464" s="23" t="str">
        <f aca="false">Nonlabor!$B$24</f>
        <v>AI</v>
      </c>
    </row>
    <row r="2465" customFormat="false" ht="15" hidden="false" customHeight="false" outlineLevel="0" collapsed="false">
      <c r="A2465" s="6" t="s">
        <v>4</v>
      </c>
      <c r="B2465" s="6" t="s">
        <v>428</v>
      </c>
      <c r="C2465" s="6" t="n">
        <v>60</v>
      </c>
      <c r="D2465" s="25" t="n">
        <f aca="false">EDATE('Start Here'!$B$6,C2465-1)</f>
        <v>48122</v>
      </c>
      <c r="E2465" s="23" t="n">
        <f aca="false">IF(AND(OR(Nonlabor!$D$24="Both",Nonlabor!$D$24='Start Here'!$B$9),IF(Nonlabor!$E$24="Core",1,IF(Nonlabor!$E$24="AI",'Start Here'!$B$7,'Start Here'!$B$8))=1,C2465&gt;=IF(Nonlabor!$E$24="Core",Nonlabor!$F$24,MAX(Nonlabor!$F$24,IF(Nonlabor!$E$24="AI",Assumptions!$D$24,Assumptions!$D$25))),C2465&lt;=Nonlabor!$G$24,OR(Nonlabor!$H$24="Monthly",AND(Nonlabor!$H$24="Once",C2465=IF(Nonlabor!$E$24="Core",Nonlabor!$F$24,MAX(Nonlabor!$F$24,IF(Nonlabor!$E$24="AI",Assumptions!$D$24,Assumptions!$D$25)))),AND(Nonlabor!$H$24="Annual",MOD(C2465-IF(Nonlabor!$E$24="Core",Nonlabor!$F$24,MAX(Nonlabor!$F$24,IF(Nonlabor!$E$24="AI",Assumptions!$D$24,Assumptions!$D$25))),12)=0))),IF(Nonlabor!$I$24="Fixed",1,IF(Nonlabor!$I$24="Seats",ROUNDUP('Monthly Base'!I65,0),IF(Nonlabor!$I$24="Customers",'Monthly Base'!D65,IF(Nonlabor!$I$24="NewCustomers",'Monthly Base'!C65,IF(Nonlabor!$I$24="StorageGB",'Monthly Base'!G65,IF(Nonlabor!$I$24="LogGB",'Monthly Base'!H65,IF(Nonlabor!$I$24="RequestsM",'Monthly Base'!F65,IF(Nonlabor!$I$24="InputM",'Monthly Base'!D65*Assumptions!$D$22/1000000,IF(Nonlabor!$I$24="OutputM",'Monthly Base'!D65*Assumptions!$D$23/1000000,0))))))))),0)</f>
        <v>0</v>
      </c>
      <c r="F2465" s="10" t="n">
        <f aca="false">Nonlabor!$J$24*(1+Assumptions!$D$9)^INT((C2465-1)/12)</f>
        <v>0.450203524</v>
      </c>
      <c r="G2465" s="10" t="n">
        <f aca="false">E2465*F2465</f>
        <v>0</v>
      </c>
      <c r="H2465" s="10" t="n">
        <f aca="false">IF(OR(Nonlabor!$L$24="Quote required",Nonlabor!$L$24="Unverified"),G2465,0)</f>
        <v>0</v>
      </c>
      <c r="I2465" s="10" t="n">
        <f aca="false">IF(Nonlabor!$E$24="Core",0,G2465)</f>
        <v>0</v>
      </c>
      <c r="J2465" s="23" t="str">
        <f aca="false">Nonlabor!$B$24</f>
        <v>AI</v>
      </c>
    </row>
    <row r="2466" customFormat="false" ht="15" hidden="false" customHeight="false" outlineLevel="0" collapsed="false">
      <c r="A2466" s="6" t="s">
        <v>4</v>
      </c>
      <c r="B2466" s="6" t="s">
        <v>432</v>
      </c>
      <c r="C2466" s="6" t="n">
        <v>1</v>
      </c>
      <c r="D2466" s="25" t="n">
        <f aca="false">EDATE('Start Here'!$B$6,C2466-1)</f>
        <v>46327</v>
      </c>
      <c r="E2466" s="23" t="n">
        <f aca="false">IF(AND(OR(Nonlabor!$D$25="Both",Nonlabor!$D$25='Start Here'!$B$9),IF(Nonlabor!$E$25="Core",1,IF(Nonlabor!$E$25="AI",'Start Here'!$B$7,'Start Here'!$B$8))=1,C2466&gt;=IF(Nonlabor!$E$25="Core",Nonlabor!$F$25,MAX(Nonlabor!$F$25,IF(Nonlabor!$E$25="AI",Assumptions!$D$24,Assumptions!$D$25))),C2466&lt;=Nonlabor!$G$25,OR(Nonlabor!$H$25="Monthly",AND(Nonlabor!$H$25="Once",C2466=IF(Nonlabor!$E$25="Core",Nonlabor!$F$25,MAX(Nonlabor!$F$25,IF(Nonlabor!$E$25="AI",Assumptions!$D$24,Assumptions!$D$25)))),AND(Nonlabor!$H$25="Annual",MOD(C2466-IF(Nonlabor!$E$25="Core",Nonlabor!$F$25,MAX(Nonlabor!$F$25,IF(Nonlabor!$E$25="AI",Assumptions!$D$24,Assumptions!$D$25))),12)=0))),IF(Nonlabor!$I$25="Fixed",1,IF(Nonlabor!$I$25="Seats",ROUNDUP('Monthly Base'!I6,0),IF(Nonlabor!$I$25="Customers",'Monthly Base'!D6,IF(Nonlabor!$I$25="NewCustomers",'Monthly Base'!C6,IF(Nonlabor!$I$25="StorageGB",'Monthly Base'!G6,IF(Nonlabor!$I$25="LogGB",'Monthly Base'!H6,IF(Nonlabor!$I$25="RequestsM",'Monthly Base'!F6,IF(Nonlabor!$I$25="InputM",'Monthly Base'!D6*Assumptions!$D$22/1000000,IF(Nonlabor!$I$25="OutputM",'Monthly Base'!D6*Assumptions!$D$23/1000000,0))))))))),0)</f>
        <v>0</v>
      </c>
      <c r="F2466" s="10" t="n">
        <f aca="false">Nonlabor!$J$25*(1+Assumptions!$D$9)^INT((C2466-1)/12)</f>
        <v>1.6</v>
      </c>
      <c r="G2466" s="10" t="n">
        <f aca="false">E2466*F2466</f>
        <v>0</v>
      </c>
      <c r="H2466" s="10" t="n">
        <f aca="false">IF(OR(Nonlabor!$L$25="Quote required",Nonlabor!$L$25="Unverified"),G2466,0)</f>
        <v>0</v>
      </c>
      <c r="I2466" s="10" t="n">
        <f aca="false">IF(Nonlabor!$E$25="Core",0,G2466)</f>
        <v>0</v>
      </c>
      <c r="J2466" s="23" t="str">
        <f aca="false">Nonlabor!$B$25</f>
        <v>AI</v>
      </c>
    </row>
    <row r="2467" customFormat="false" ht="15" hidden="false" customHeight="false" outlineLevel="0" collapsed="false">
      <c r="A2467" s="6" t="s">
        <v>4</v>
      </c>
      <c r="B2467" s="6" t="s">
        <v>432</v>
      </c>
      <c r="C2467" s="6" t="n">
        <v>2</v>
      </c>
      <c r="D2467" s="25" t="n">
        <f aca="false">EDATE('Start Here'!$B$6,C2467-1)</f>
        <v>46357</v>
      </c>
      <c r="E2467" s="23" t="n">
        <f aca="false">IF(AND(OR(Nonlabor!$D$25="Both",Nonlabor!$D$25='Start Here'!$B$9),IF(Nonlabor!$E$25="Core",1,IF(Nonlabor!$E$25="AI",'Start Here'!$B$7,'Start Here'!$B$8))=1,C2467&gt;=IF(Nonlabor!$E$25="Core",Nonlabor!$F$25,MAX(Nonlabor!$F$25,IF(Nonlabor!$E$25="AI",Assumptions!$D$24,Assumptions!$D$25))),C2467&lt;=Nonlabor!$G$25,OR(Nonlabor!$H$25="Monthly",AND(Nonlabor!$H$25="Once",C2467=IF(Nonlabor!$E$25="Core",Nonlabor!$F$25,MAX(Nonlabor!$F$25,IF(Nonlabor!$E$25="AI",Assumptions!$D$24,Assumptions!$D$25)))),AND(Nonlabor!$H$25="Annual",MOD(C2467-IF(Nonlabor!$E$25="Core",Nonlabor!$F$25,MAX(Nonlabor!$F$25,IF(Nonlabor!$E$25="AI",Assumptions!$D$24,Assumptions!$D$25))),12)=0))),IF(Nonlabor!$I$25="Fixed",1,IF(Nonlabor!$I$25="Seats",ROUNDUP('Monthly Base'!I7,0),IF(Nonlabor!$I$25="Customers",'Monthly Base'!D7,IF(Nonlabor!$I$25="NewCustomers",'Monthly Base'!C7,IF(Nonlabor!$I$25="StorageGB",'Monthly Base'!G7,IF(Nonlabor!$I$25="LogGB",'Monthly Base'!H7,IF(Nonlabor!$I$25="RequestsM",'Monthly Base'!F7,IF(Nonlabor!$I$25="InputM",'Monthly Base'!D7*Assumptions!$D$22/1000000,IF(Nonlabor!$I$25="OutputM",'Monthly Base'!D7*Assumptions!$D$23/1000000,0))))))))),0)</f>
        <v>0</v>
      </c>
      <c r="F2467" s="10" t="n">
        <f aca="false">Nonlabor!$J$25*(1+Assumptions!$D$9)^INT((C2467-1)/12)</f>
        <v>1.6</v>
      </c>
      <c r="G2467" s="10" t="n">
        <f aca="false">E2467*F2467</f>
        <v>0</v>
      </c>
      <c r="H2467" s="10" t="n">
        <f aca="false">IF(OR(Nonlabor!$L$25="Quote required",Nonlabor!$L$25="Unverified"),G2467,0)</f>
        <v>0</v>
      </c>
      <c r="I2467" s="10" t="n">
        <f aca="false">IF(Nonlabor!$E$25="Core",0,G2467)</f>
        <v>0</v>
      </c>
      <c r="J2467" s="23" t="str">
        <f aca="false">Nonlabor!$B$25</f>
        <v>AI</v>
      </c>
    </row>
    <row r="2468" customFormat="false" ht="15" hidden="false" customHeight="false" outlineLevel="0" collapsed="false">
      <c r="A2468" s="6" t="s">
        <v>4</v>
      </c>
      <c r="B2468" s="6" t="s">
        <v>432</v>
      </c>
      <c r="C2468" s="6" t="n">
        <v>3</v>
      </c>
      <c r="D2468" s="25" t="n">
        <f aca="false">EDATE('Start Here'!$B$6,C2468-1)</f>
        <v>46388</v>
      </c>
      <c r="E2468" s="23" t="n">
        <f aca="false">IF(AND(OR(Nonlabor!$D$25="Both",Nonlabor!$D$25='Start Here'!$B$9),IF(Nonlabor!$E$25="Core",1,IF(Nonlabor!$E$25="AI",'Start Here'!$B$7,'Start Here'!$B$8))=1,C2468&gt;=IF(Nonlabor!$E$25="Core",Nonlabor!$F$25,MAX(Nonlabor!$F$25,IF(Nonlabor!$E$25="AI",Assumptions!$D$24,Assumptions!$D$25))),C2468&lt;=Nonlabor!$G$25,OR(Nonlabor!$H$25="Monthly",AND(Nonlabor!$H$25="Once",C2468=IF(Nonlabor!$E$25="Core",Nonlabor!$F$25,MAX(Nonlabor!$F$25,IF(Nonlabor!$E$25="AI",Assumptions!$D$24,Assumptions!$D$25)))),AND(Nonlabor!$H$25="Annual",MOD(C2468-IF(Nonlabor!$E$25="Core",Nonlabor!$F$25,MAX(Nonlabor!$F$25,IF(Nonlabor!$E$25="AI",Assumptions!$D$24,Assumptions!$D$25))),12)=0))),IF(Nonlabor!$I$25="Fixed",1,IF(Nonlabor!$I$25="Seats",ROUNDUP('Monthly Base'!I8,0),IF(Nonlabor!$I$25="Customers",'Monthly Base'!D8,IF(Nonlabor!$I$25="NewCustomers",'Monthly Base'!C8,IF(Nonlabor!$I$25="StorageGB",'Monthly Base'!G8,IF(Nonlabor!$I$25="LogGB",'Monthly Base'!H8,IF(Nonlabor!$I$25="RequestsM",'Monthly Base'!F8,IF(Nonlabor!$I$25="InputM",'Monthly Base'!D8*Assumptions!$D$22/1000000,IF(Nonlabor!$I$25="OutputM",'Monthly Base'!D8*Assumptions!$D$23/1000000,0))))))))),0)</f>
        <v>0</v>
      </c>
      <c r="F2468" s="10" t="n">
        <f aca="false">Nonlabor!$J$25*(1+Assumptions!$D$9)^INT((C2468-1)/12)</f>
        <v>1.6</v>
      </c>
      <c r="G2468" s="10" t="n">
        <f aca="false">E2468*F2468</f>
        <v>0</v>
      </c>
      <c r="H2468" s="10" t="n">
        <f aca="false">IF(OR(Nonlabor!$L$25="Quote required",Nonlabor!$L$25="Unverified"),G2468,0)</f>
        <v>0</v>
      </c>
      <c r="I2468" s="10" t="n">
        <f aca="false">IF(Nonlabor!$E$25="Core",0,G2468)</f>
        <v>0</v>
      </c>
      <c r="J2468" s="23" t="str">
        <f aca="false">Nonlabor!$B$25</f>
        <v>AI</v>
      </c>
    </row>
    <row r="2469" customFormat="false" ht="15" hidden="false" customHeight="false" outlineLevel="0" collapsed="false">
      <c r="A2469" s="6" t="s">
        <v>4</v>
      </c>
      <c r="B2469" s="6" t="s">
        <v>432</v>
      </c>
      <c r="C2469" s="6" t="n">
        <v>4</v>
      </c>
      <c r="D2469" s="25" t="n">
        <f aca="false">EDATE('Start Here'!$B$6,C2469-1)</f>
        <v>46419</v>
      </c>
      <c r="E2469" s="23" t="n">
        <f aca="false">IF(AND(OR(Nonlabor!$D$25="Both",Nonlabor!$D$25='Start Here'!$B$9),IF(Nonlabor!$E$25="Core",1,IF(Nonlabor!$E$25="AI",'Start Here'!$B$7,'Start Here'!$B$8))=1,C2469&gt;=IF(Nonlabor!$E$25="Core",Nonlabor!$F$25,MAX(Nonlabor!$F$25,IF(Nonlabor!$E$25="AI",Assumptions!$D$24,Assumptions!$D$25))),C2469&lt;=Nonlabor!$G$25,OR(Nonlabor!$H$25="Monthly",AND(Nonlabor!$H$25="Once",C2469=IF(Nonlabor!$E$25="Core",Nonlabor!$F$25,MAX(Nonlabor!$F$25,IF(Nonlabor!$E$25="AI",Assumptions!$D$24,Assumptions!$D$25)))),AND(Nonlabor!$H$25="Annual",MOD(C2469-IF(Nonlabor!$E$25="Core",Nonlabor!$F$25,MAX(Nonlabor!$F$25,IF(Nonlabor!$E$25="AI",Assumptions!$D$24,Assumptions!$D$25))),12)=0))),IF(Nonlabor!$I$25="Fixed",1,IF(Nonlabor!$I$25="Seats",ROUNDUP('Monthly Base'!I9,0),IF(Nonlabor!$I$25="Customers",'Monthly Base'!D9,IF(Nonlabor!$I$25="NewCustomers",'Monthly Base'!C9,IF(Nonlabor!$I$25="StorageGB",'Monthly Base'!G9,IF(Nonlabor!$I$25="LogGB",'Monthly Base'!H9,IF(Nonlabor!$I$25="RequestsM",'Monthly Base'!F9,IF(Nonlabor!$I$25="InputM",'Monthly Base'!D9*Assumptions!$D$22/1000000,IF(Nonlabor!$I$25="OutputM",'Monthly Base'!D9*Assumptions!$D$23/1000000,0))))))))),0)</f>
        <v>0</v>
      </c>
      <c r="F2469" s="10" t="n">
        <f aca="false">Nonlabor!$J$25*(1+Assumptions!$D$9)^INT((C2469-1)/12)</f>
        <v>1.6</v>
      </c>
      <c r="G2469" s="10" t="n">
        <f aca="false">E2469*F2469</f>
        <v>0</v>
      </c>
      <c r="H2469" s="10" t="n">
        <f aca="false">IF(OR(Nonlabor!$L$25="Quote required",Nonlabor!$L$25="Unverified"),G2469,0)</f>
        <v>0</v>
      </c>
      <c r="I2469" s="10" t="n">
        <f aca="false">IF(Nonlabor!$E$25="Core",0,G2469)</f>
        <v>0</v>
      </c>
      <c r="J2469" s="23" t="str">
        <f aca="false">Nonlabor!$B$25</f>
        <v>AI</v>
      </c>
    </row>
    <row r="2470" customFormat="false" ht="15" hidden="false" customHeight="false" outlineLevel="0" collapsed="false">
      <c r="A2470" s="6" t="s">
        <v>4</v>
      </c>
      <c r="B2470" s="6" t="s">
        <v>432</v>
      </c>
      <c r="C2470" s="6" t="n">
        <v>5</v>
      </c>
      <c r="D2470" s="25" t="n">
        <f aca="false">EDATE('Start Here'!$B$6,C2470-1)</f>
        <v>46447</v>
      </c>
      <c r="E2470" s="23" t="n">
        <f aca="false">IF(AND(OR(Nonlabor!$D$25="Both",Nonlabor!$D$25='Start Here'!$B$9),IF(Nonlabor!$E$25="Core",1,IF(Nonlabor!$E$25="AI",'Start Here'!$B$7,'Start Here'!$B$8))=1,C2470&gt;=IF(Nonlabor!$E$25="Core",Nonlabor!$F$25,MAX(Nonlabor!$F$25,IF(Nonlabor!$E$25="AI",Assumptions!$D$24,Assumptions!$D$25))),C2470&lt;=Nonlabor!$G$25,OR(Nonlabor!$H$25="Monthly",AND(Nonlabor!$H$25="Once",C2470=IF(Nonlabor!$E$25="Core",Nonlabor!$F$25,MAX(Nonlabor!$F$25,IF(Nonlabor!$E$25="AI",Assumptions!$D$24,Assumptions!$D$25)))),AND(Nonlabor!$H$25="Annual",MOD(C2470-IF(Nonlabor!$E$25="Core",Nonlabor!$F$25,MAX(Nonlabor!$F$25,IF(Nonlabor!$E$25="AI",Assumptions!$D$24,Assumptions!$D$25))),12)=0))),IF(Nonlabor!$I$25="Fixed",1,IF(Nonlabor!$I$25="Seats",ROUNDUP('Monthly Base'!I10,0),IF(Nonlabor!$I$25="Customers",'Monthly Base'!D10,IF(Nonlabor!$I$25="NewCustomers",'Monthly Base'!C10,IF(Nonlabor!$I$25="StorageGB",'Monthly Base'!G10,IF(Nonlabor!$I$25="LogGB",'Monthly Base'!H10,IF(Nonlabor!$I$25="RequestsM",'Monthly Base'!F10,IF(Nonlabor!$I$25="InputM",'Monthly Base'!D10*Assumptions!$D$22/1000000,IF(Nonlabor!$I$25="OutputM",'Monthly Base'!D10*Assumptions!$D$23/1000000,0))))))))),0)</f>
        <v>0</v>
      </c>
      <c r="F2470" s="10" t="n">
        <f aca="false">Nonlabor!$J$25*(1+Assumptions!$D$9)^INT((C2470-1)/12)</f>
        <v>1.6</v>
      </c>
      <c r="G2470" s="10" t="n">
        <f aca="false">E2470*F2470</f>
        <v>0</v>
      </c>
      <c r="H2470" s="10" t="n">
        <f aca="false">IF(OR(Nonlabor!$L$25="Quote required",Nonlabor!$L$25="Unverified"),G2470,0)</f>
        <v>0</v>
      </c>
      <c r="I2470" s="10" t="n">
        <f aca="false">IF(Nonlabor!$E$25="Core",0,G2470)</f>
        <v>0</v>
      </c>
      <c r="J2470" s="23" t="str">
        <f aca="false">Nonlabor!$B$25</f>
        <v>AI</v>
      </c>
    </row>
    <row r="2471" customFormat="false" ht="15" hidden="false" customHeight="false" outlineLevel="0" collapsed="false">
      <c r="A2471" s="6" t="s">
        <v>4</v>
      </c>
      <c r="B2471" s="6" t="s">
        <v>432</v>
      </c>
      <c r="C2471" s="6" t="n">
        <v>6</v>
      </c>
      <c r="D2471" s="25" t="n">
        <f aca="false">EDATE('Start Here'!$B$6,C2471-1)</f>
        <v>46478</v>
      </c>
      <c r="E2471" s="23" t="n">
        <f aca="false">IF(AND(OR(Nonlabor!$D$25="Both",Nonlabor!$D$25='Start Here'!$B$9),IF(Nonlabor!$E$25="Core",1,IF(Nonlabor!$E$25="AI",'Start Here'!$B$7,'Start Here'!$B$8))=1,C2471&gt;=IF(Nonlabor!$E$25="Core",Nonlabor!$F$25,MAX(Nonlabor!$F$25,IF(Nonlabor!$E$25="AI",Assumptions!$D$24,Assumptions!$D$25))),C2471&lt;=Nonlabor!$G$25,OR(Nonlabor!$H$25="Monthly",AND(Nonlabor!$H$25="Once",C2471=IF(Nonlabor!$E$25="Core",Nonlabor!$F$25,MAX(Nonlabor!$F$25,IF(Nonlabor!$E$25="AI",Assumptions!$D$24,Assumptions!$D$25)))),AND(Nonlabor!$H$25="Annual",MOD(C2471-IF(Nonlabor!$E$25="Core",Nonlabor!$F$25,MAX(Nonlabor!$F$25,IF(Nonlabor!$E$25="AI",Assumptions!$D$24,Assumptions!$D$25))),12)=0))),IF(Nonlabor!$I$25="Fixed",1,IF(Nonlabor!$I$25="Seats",ROUNDUP('Monthly Base'!I11,0),IF(Nonlabor!$I$25="Customers",'Monthly Base'!D11,IF(Nonlabor!$I$25="NewCustomers",'Monthly Base'!C11,IF(Nonlabor!$I$25="StorageGB",'Monthly Base'!G11,IF(Nonlabor!$I$25="LogGB",'Monthly Base'!H11,IF(Nonlabor!$I$25="RequestsM",'Monthly Base'!F11,IF(Nonlabor!$I$25="InputM",'Monthly Base'!D11*Assumptions!$D$22/1000000,IF(Nonlabor!$I$25="OutputM",'Monthly Base'!D11*Assumptions!$D$23/1000000,0))))))))),0)</f>
        <v>0</v>
      </c>
      <c r="F2471" s="10" t="n">
        <f aca="false">Nonlabor!$J$25*(1+Assumptions!$D$9)^INT((C2471-1)/12)</f>
        <v>1.6</v>
      </c>
      <c r="G2471" s="10" t="n">
        <f aca="false">E2471*F2471</f>
        <v>0</v>
      </c>
      <c r="H2471" s="10" t="n">
        <f aca="false">IF(OR(Nonlabor!$L$25="Quote required",Nonlabor!$L$25="Unverified"),G2471,0)</f>
        <v>0</v>
      </c>
      <c r="I2471" s="10" t="n">
        <f aca="false">IF(Nonlabor!$E$25="Core",0,G2471)</f>
        <v>0</v>
      </c>
      <c r="J2471" s="23" t="str">
        <f aca="false">Nonlabor!$B$25</f>
        <v>AI</v>
      </c>
    </row>
    <row r="2472" customFormat="false" ht="15" hidden="false" customHeight="false" outlineLevel="0" collapsed="false">
      <c r="A2472" s="6" t="s">
        <v>4</v>
      </c>
      <c r="B2472" s="6" t="s">
        <v>432</v>
      </c>
      <c r="C2472" s="6" t="n">
        <v>7</v>
      </c>
      <c r="D2472" s="25" t="n">
        <f aca="false">EDATE('Start Here'!$B$6,C2472-1)</f>
        <v>46508</v>
      </c>
      <c r="E2472" s="23" t="n">
        <f aca="false">IF(AND(OR(Nonlabor!$D$25="Both",Nonlabor!$D$25='Start Here'!$B$9),IF(Nonlabor!$E$25="Core",1,IF(Nonlabor!$E$25="AI",'Start Here'!$B$7,'Start Here'!$B$8))=1,C2472&gt;=IF(Nonlabor!$E$25="Core",Nonlabor!$F$25,MAX(Nonlabor!$F$25,IF(Nonlabor!$E$25="AI",Assumptions!$D$24,Assumptions!$D$25))),C2472&lt;=Nonlabor!$G$25,OR(Nonlabor!$H$25="Monthly",AND(Nonlabor!$H$25="Once",C2472=IF(Nonlabor!$E$25="Core",Nonlabor!$F$25,MAX(Nonlabor!$F$25,IF(Nonlabor!$E$25="AI",Assumptions!$D$24,Assumptions!$D$25)))),AND(Nonlabor!$H$25="Annual",MOD(C2472-IF(Nonlabor!$E$25="Core",Nonlabor!$F$25,MAX(Nonlabor!$F$25,IF(Nonlabor!$E$25="AI",Assumptions!$D$24,Assumptions!$D$25))),12)=0))),IF(Nonlabor!$I$25="Fixed",1,IF(Nonlabor!$I$25="Seats",ROUNDUP('Monthly Base'!I12,0),IF(Nonlabor!$I$25="Customers",'Monthly Base'!D12,IF(Nonlabor!$I$25="NewCustomers",'Monthly Base'!C12,IF(Nonlabor!$I$25="StorageGB",'Monthly Base'!G12,IF(Nonlabor!$I$25="LogGB",'Monthly Base'!H12,IF(Nonlabor!$I$25="RequestsM",'Monthly Base'!F12,IF(Nonlabor!$I$25="InputM",'Monthly Base'!D12*Assumptions!$D$22/1000000,IF(Nonlabor!$I$25="OutputM",'Monthly Base'!D12*Assumptions!$D$23/1000000,0))))))))),0)</f>
        <v>0</v>
      </c>
      <c r="F2472" s="10" t="n">
        <f aca="false">Nonlabor!$J$25*(1+Assumptions!$D$9)^INT((C2472-1)/12)</f>
        <v>1.6</v>
      </c>
      <c r="G2472" s="10" t="n">
        <f aca="false">E2472*F2472</f>
        <v>0</v>
      </c>
      <c r="H2472" s="10" t="n">
        <f aca="false">IF(OR(Nonlabor!$L$25="Quote required",Nonlabor!$L$25="Unverified"),G2472,0)</f>
        <v>0</v>
      </c>
      <c r="I2472" s="10" t="n">
        <f aca="false">IF(Nonlabor!$E$25="Core",0,G2472)</f>
        <v>0</v>
      </c>
      <c r="J2472" s="23" t="str">
        <f aca="false">Nonlabor!$B$25</f>
        <v>AI</v>
      </c>
    </row>
    <row r="2473" customFormat="false" ht="15" hidden="false" customHeight="false" outlineLevel="0" collapsed="false">
      <c r="A2473" s="6" t="s">
        <v>4</v>
      </c>
      <c r="B2473" s="6" t="s">
        <v>432</v>
      </c>
      <c r="C2473" s="6" t="n">
        <v>8</v>
      </c>
      <c r="D2473" s="25" t="n">
        <f aca="false">EDATE('Start Here'!$B$6,C2473-1)</f>
        <v>46539</v>
      </c>
      <c r="E2473" s="23" t="n">
        <f aca="false">IF(AND(OR(Nonlabor!$D$25="Both",Nonlabor!$D$25='Start Here'!$B$9),IF(Nonlabor!$E$25="Core",1,IF(Nonlabor!$E$25="AI",'Start Here'!$B$7,'Start Here'!$B$8))=1,C2473&gt;=IF(Nonlabor!$E$25="Core",Nonlabor!$F$25,MAX(Nonlabor!$F$25,IF(Nonlabor!$E$25="AI",Assumptions!$D$24,Assumptions!$D$25))),C2473&lt;=Nonlabor!$G$25,OR(Nonlabor!$H$25="Monthly",AND(Nonlabor!$H$25="Once",C2473=IF(Nonlabor!$E$25="Core",Nonlabor!$F$25,MAX(Nonlabor!$F$25,IF(Nonlabor!$E$25="AI",Assumptions!$D$24,Assumptions!$D$25)))),AND(Nonlabor!$H$25="Annual",MOD(C2473-IF(Nonlabor!$E$25="Core",Nonlabor!$F$25,MAX(Nonlabor!$F$25,IF(Nonlabor!$E$25="AI",Assumptions!$D$24,Assumptions!$D$25))),12)=0))),IF(Nonlabor!$I$25="Fixed",1,IF(Nonlabor!$I$25="Seats",ROUNDUP('Monthly Base'!I13,0),IF(Nonlabor!$I$25="Customers",'Monthly Base'!D13,IF(Nonlabor!$I$25="NewCustomers",'Monthly Base'!C13,IF(Nonlabor!$I$25="StorageGB",'Monthly Base'!G13,IF(Nonlabor!$I$25="LogGB",'Monthly Base'!H13,IF(Nonlabor!$I$25="RequestsM",'Monthly Base'!F13,IF(Nonlabor!$I$25="InputM",'Monthly Base'!D13*Assumptions!$D$22/1000000,IF(Nonlabor!$I$25="OutputM",'Monthly Base'!D13*Assumptions!$D$23/1000000,0))))))))),0)</f>
        <v>0</v>
      </c>
      <c r="F2473" s="10" t="n">
        <f aca="false">Nonlabor!$J$25*(1+Assumptions!$D$9)^INT((C2473-1)/12)</f>
        <v>1.6</v>
      </c>
      <c r="G2473" s="10" t="n">
        <f aca="false">E2473*F2473</f>
        <v>0</v>
      </c>
      <c r="H2473" s="10" t="n">
        <f aca="false">IF(OR(Nonlabor!$L$25="Quote required",Nonlabor!$L$25="Unverified"),G2473,0)</f>
        <v>0</v>
      </c>
      <c r="I2473" s="10" t="n">
        <f aca="false">IF(Nonlabor!$E$25="Core",0,G2473)</f>
        <v>0</v>
      </c>
      <c r="J2473" s="23" t="str">
        <f aca="false">Nonlabor!$B$25</f>
        <v>AI</v>
      </c>
    </row>
    <row r="2474" customFormat="false" ht="15" hidden="false" customHeight="false" outlineLevel="0" collapsed="false">
      <c r="A2474" s="6" t="s">
        <v>4</v>
      </c>
      <c r="B2474" s="6" t="s">
        <v>432</v>
      </c>
      <c r="C2474" s="6" t="n">
        <v>9</v>
      </c>
      <c r="D2474" s="25" t="n">
        <f aca="false">EDATE('Start Here'!$B$6,C2474-1)</f>
        <v>46569</v>
      </c>
      <c r="E2474" s="23" t="n">
        <f aca="false">IF(AND(OR(Nonlabor!$D$25="Both",Nonlabor!$D$25='Start Here'!$B$9),IF(Nonlabor!$E$25="Core",1,IF(Nonlabor!$E$25="AI",'Start Here'!$B$7,'Start Here'!$B$8))=1,C2474&gt;=IF(Nonlabor!$E$25="Core",Nonlabor!$F$25,MAX(Nonlabor!$F$25,IF(Nonlabor!$E$25="AI",Assumptions!$D$24,Assumptions!$D$25))),C2474&lt;=Nonlabor!$G$25,OR(Nonlabor!$H$25="Monthly",AND(Nonlabor!$H$25="Once",C2474=IF(Nonlabor!$E$25="Core",Nonlabor!$F$25,MAX(Nonlabor!$F$25,IF(Nonlabor!$E$25="AI",Assumptions!$D$24,Assumptions!$D$25)))),AND(Nonlabor!$H$25="Annual",MOD(C2474-IF(Nonlabor!$E$25="Core",Nonlabor!$F$25,MAX(Nonlabor!$F$25,IF(Nonlabor!$E$25="AI",Assumptions!$D$24,Assumptions!$D$25))),12)=0))),IF(Nonlabor!$I$25="Fixed",1,IF(Nonlabor!$I$25="Seats",ROUNDUP('Monthly Base'!I14,0),IF(Nonlabor!$I$25="Customers",'Monthly Base'!D14,IF(Nonlabor!$I$25="NewCustomers",'Monthly Base'!C14,IF(Nonlabor!$I$25="StorageGB",'Monthly Base'!G14,IF(Nonlabor!$I$25="LogGB",'Monthly Base'!H14,IF(Nonlabor!$I$25="RequestsM",'Monthly Base'!F14,IF(Nonlabor!$I$25="InputM",'Monthly Base'!D14*Assumptions!$D$22/1000000,IF(Nonlabor!$I$25="OutputM",'Monthly Base'!D14*Assumptions!$D$23/1000000,0))))))))),0)</f>
        <v>0</v>
      </c>
      <c r="F2474" s="10" t="n">
        <f aca="false">Nonlabor!$J$25*(1+Assumptions!$D$9)^INT((C2474-1)/12)</f>
        <v>1.6</v>
      </c>
      <c r="G2474" s="10" t="n">
        <f aca="false">E2474*F2474</f>
        <v>0</v>
      </c>
      <c r="H2474" s="10" t="n">
        <f aca="false">IF(OR(Nonlabor!$L$25="Quote required",Nonlabor!$L$25="Unverified"),G2474,0)</f>
        <v>0</v>
      </c>
      <c r="I2474" s="10" t="n">
        <f aca="false">IF(Nonlabor!$E$25="Core",0,G2474)</f>
        <v>0</v>
      </c>
      <c r="J2474" s="23" t="str">
        <f aca="false">Nonlabor!$B$25</f>
        <v>AI</v>
      </c>
    </row>
    <row r="2475" customFormat="false" ht="15" hidden="false" customHeight="false" outlineLevel="0" collapsed="false">
      <c r="A2475" s="6" t="s">
        <v>4</v>
      </c>
      <c r="B2475" s="6" t="s">
        <v>432</v>
      </c>
      <c r="C2475" s="6" t="n">
        <v>10</v>
      </c>
      <c r="D2475" s="25" t="n">
        <f aca="false">EDATE('Start Here'!$B$6,C2475-1)</f>
        <v>46600</v>
      </c>
      <c r="E2475" s="23" t="n">
        <f aca="false">IF(AND(OR(Nonlabor!$D$25="Both",Nonlabor!$D$25='Start Here'!$B$9),IF(Nonlabor!$E$25="Core",1,IF(Nonlabor!$E$25="AI",'Start Here'!$B$7,'Start Here'!$B$8))=1,C2475&gt;=IF(Nonlabor!$E$25="Core",Nonlabor!$F$25,MAX(Nonlabor!$F$25,IF(Nonlabor!$E$25="AI",Assumptions!$D$24,Assumptions!$D$25))),C2475&lt;=Nonlabor!$G$25,OR(Nonlabor!$H$25="Monthly",AND(Nonlabor!$H$25="Once",C2475=IF(Nonlabor!$E$25="Core",Nonlabor!$F$25,MAX(Nonlabor!$F$25,IF(Nonlabor!$E$25="AI",Assumptions!$D$24,Assumptions!$D$25)))),AND(Nonlabor!$H$25="Annual",MOD(C2475-IF(Nonlabor!$E$25="Core",Nonlabor!$F$25,MAX(Nonlabor!$F$25,IF(Nonlabor!$E$25="AI",Assumptions!$D$24,Assumptions!$D$25))),12)=0))),IF(Nonlabor!$I$25="Fixed",1,IF(Nonlabor!$I$25="Seats",ROUNDUP('Monthly Base'!I15,0),IF(Nonlabor!$I$25="Customers",'Monthly Base'!D15,IF(Nonlabor!$I$25="NewCustomers",'Monthly Base'!C15,IF(Nonlabor!$I$25="StorageGB",'Monthly Base'!G15,IF(Nonlabor!$I$25="LogGB",'Monthly Base'!H15,IF(Nonlabor!$I$25="RequestsM",'Monthly Base'!F15,IF(Nonlabor!$I$25="InputM",'Monthly Base'!D15*Assumptions!$D$22/1000000,IF(Nonlabor!$I$25="OutputM",'Monthly Base'!D15*Assumptions!$D$23/1000000,0))))))))),0)</f>
        <v>0</v>
      </c>
      <c r="F2475" s="10" t="n">
        <f aca="false">Nonlabor!$J$25*(1+Assumptions!$D$9)^INT((C2475-1)/12)</f>
        <v>1.6</v>
      </c>
      <c r="G2475" s="10" t="n">
        <f aca="false">E2475*F2475</f>
        <v>0</v>
      </c>
      <c r="H2475" s="10" t="n">
        <f aca="false">IF(OR(Nonlabor!$L$25="Quote required",Nonlabor!$L$25="Unverified"),G2475,0)</f>
        <v>0</v>
      </c>
      <c r="I2475" s="10" t="n">
        <f aca="false">IF(Nonlabor!$E$25="Core",0,G2475)</f>
        <v>0</v>
      </c>
      <c r="J2475" s="23" t="str">
        <f aca="false">Nonlabor!$B$25</f>
        <v>AI</v>
      </c>
    </row>
    <row r="2476" customFormat="false" ht="15" hidden="false" customHeight="false" outlineLevel="0" collapsed="false">
      <c r="A2476" s="6" t="s">
        <v>4</v>
      </c>
      <c r="B2476" s="6" t="s">
        <v>432</v>
      </c>
      <c r="C2476" s="6" t="n">
        <v>11</v>
      </c>
      <c r="D2476" s="25" t="n">
        <f aca="false">EDATE('Start Here'!$B$6,C2476-1)</f>
        <v>46631</v>
      </c>
      <c r="E2476" s="23" t="n">
        <f aca="false">IF(AND(OR(Nonlabor!$D$25="Both",Nonlabor!$D$25='Start Here'!$B$9),IF(Nonlabor!$E$25="Core",1,IF(Nonlabor!$E$25="AI",'Start Here'!$B$7,'Start Here'!$B$8))=1,C2476&gt;=IF(Nonlabor!$E$25="Core",Nonlabor!$F$25,MAX(Nonlabor!$F$25,IF(Nonlabor!$E$25="AI",Assumptions!$D$24,Assumptions!$D$25))),C2476&lt;=Nonlabor!$G$25,OR(Nonlabor!$H$25="Monthly",AND(Nonlabor!$H$25="Once",C2476=IF(Nonlabor!$E$25="Core",Nonlabor!$F$25,MAX(Nonlabor!$F$25,IF(Nonlabor!$E$25="AI",Assumptions!$D$24,Assumptions!$D$25)))),AND(Nonlabor!$H$25="Annual",MOD(C2476-IF(Nonlabor!$E$25="Core",Nonlabor!$F$25,MAX(Nonlabor!$F$25,IF(Nonlabor!$E$25="AI",Assumptions!$D$24,Assumptions!$D$25))),12)=0))),IF(Nonlabor!$I$25="Fixed",1,IF(Nonlabor!$I$25="Seats",ROUNDUP('Monthly Base'!I16,0),IF(Nonlabor!$I$25="Customers",'Monthly Base'!D16,IF(Nonlabor!$I$25="NewCustomers",'Monthly Base'!C16,IF(Nonlabor!$I$25="StorageGB",'Monthly Base'!G16,IF(Nonlabor!$I$25="LogGB",'Monthly Base'!H16,IF(Nonlabor!$I$25="RequestsM",'Monthly Base'!F16,IF(Nonlabor!$I$25="InputM",'Monthly Base'!D16*Assumptions!$D$22/1000000,IF(Nonlabor!$I$25="OutputM",'Monthly Base'!D16*Assumptions!$D$23/1000000,0))))))))),0)</f>
        <v>0</v>
      </c>
      <c r="F2476" s="10" t="n">
        <f aca="false">Nonlabor!$J$25*(1+Assumptions!$D$9)^INT((C2476-1)/12)</f>
        <v>1.6</v>
      </c>
      <c r="G2476" s="10" t="n">
        <f aca="false">E2476*F2476</f>
        <v>0</v>
      </c>
      <c r="H2476" s="10" t="n">
        <f aca="false">IF(OR(Nonlabor!$L$25="Quote required",Nonlabor!$L$25="Unverified"),G2476,0)</f>
        <v>0</v>
      </c>
      <c r="I2476" s="10" t="n">
        <f aca="false">IF(Nonlabor!$E$25="Core",0,G2476)</f>
        <v>0</v>
      </c>
      <c r="J2476" s="23" t="str">
        <f aca="false">Nonlabor!$B$25</f>
        <v>AI</v>
      </c>
    </row>
    <row r="2477" customFormat="false" ht="15" hidden="false" customHeight="false" outlineLevel="0" collapsed="false">
      <c r="A2477" s="6" t="s">
        <v>4</v>
      </c>
      <c r="B2477" s="6" t="s">
        <v>432</v>
      </c>
      <c r="C2477" s="6" t="n">
        <v>12</v>
      </c>
      <c r="D2477" s="25" t="n">
        <f aca="false">EDATE('Start Here'!$B$6,C2477-1)</f>
        <v>46661</v>
      </c>
      <c r="E2477" s="23" t="n">
        <f aca="false">IF(AND(OR(Nonlabor!$D$25="Both",Nonlabor!$D$25='Start Here'!$B$9),IF(Nonlabor!$E$25="Core",1,IF(Nonlabor!$E$25="AI",'Start Here'!$B$7,'Start Here'!$B$8))=1,C2477&gt;=IF(Nonlabor!$E$25="Core",Nonlabor!$F$25,MAX(Nonlabor!$F$25,IF(Nonlabor!$E$25="AI",Assumptions!$D$24,Assumptions!$D$25))),C2477&lt;=Nonlabor!$G$25,OR(Nonlabor!$H$25="Monthly",AND(Nonlabor!$H$25="Once",C2477=IF(Nonlabor!$E$25="Core",Nonlabor!$F$25,MAX(Nonlabor!$F$25,IF(Nonlabor!$E$25="AI",Assumptions!$D$24,Assumptions!$D$25)))),AND(Nonlabor!$H$25="Annual",MOD(C2477-IF(Nonlabor!$E$25="Core",Nonlabor!$F$25,MAX(Nonlabor!$F$25,IF(Nonlabor!$E$25="AI",Assumptions!$D$24,Assumptions!$D$25))),12)=0))),IF(Nonlabor!$I$25="Fixed",1,IF(Nonlabor!$I$25="Seats",ROUNDUP('Monthly Base'!I17,0),IF(Nonlabor!$I$25="Customers",'Monthly Base'!D17,IF(Nonlabor!$I$25="NewCustomers",'Monthly Base'!C17,IF(Nonlabor!$I$25="StorageGB",'Monthly Base'!G17,IF(Nonlabor!$I$25="LogGB",'Monthly Base'!H17,IF(Nonlabor!$I$25="RequestsM",'Monthly Base'!F17,IF(Nonlabor!$I$25="InputM",'Monthly Base'!D17*Assumptions!$D$22/1000000,IF(Nonlabor!$I$25="OutputM",'Monthly Base'!D17*Assumptions!$D$23/1000000,0))))))))),0)</f>
        <v>0</v>
      </c>
      <c r="F2477" s="10" t="n">
        <f aca="false">Nonlabor!$J$25*(1+Assumptions!$D$9)^INT((C2477-1)/12)</f>
        <v>1.6</v>
      </c>
      <c r="G2477" s="10" t="n">
        <f aca="false">E2477*F2477</f>
        <v>0</v>
      </c>
      <c r="H2477" s="10" t="n">
        <f aca="false">IF(OR(Nonlabor!$L$25="Quote required",Nonlabor!$L$25="Unverified"),G2477,0)</f>
        <v>0</v>
      </c>
      <c r="I2477" s="10" t="n">
        <f aca="false">IF(Nonlabor!$E$25="Core",0,G2477)</f>
        <v>0</v>
      </c>
      <c r="J2477" s="23" t="str">
        <f aca="false">Nonlabor!$B$25</f>
        <v>AI</v>
      </c>
    </row>
    <row r="2478" customFormat="false" ht="15" hidden="false" customHeight="false" outlineLevel="0" collapsed="false">
      <c r="A2478" s="6" t="s">
        <v>4</v>
      </c>
      <c r="B2478" s="6" t="s">
        <v>432</v>
      </c>
      <c r="C2478" s="6" t="n">
        <v>13</v>
      </c>
      <c r="D2478" s="25" t="n">
        <f aca="false">EDATE('Start Here'!$B$6,C2478-1)</f>
        <v>46692</v>
      </c>
      <c r="E2478" s="23" t="n">
        <f aca="false">IF(AND(OR(Nonlabor!$D$25="Both",Nonlabor!$D$25='Start Here'!$B$9),IF(Nonlabor!$E$25="Core",1,IF(Nonlabor!$E$25="AI",'Start Here'!$B$7,'Start Here'!$B$8))=1,C2478&gt;=IF(Nonlabor!$E$25="Core",Nonlabor!$F$25,MAX(Nonlabor!$F$25,IF(Nonlabor!$E$25="AI",Assumptions!$D$24,Assumptions!$D$25))),C2478&lt;=Nonlabor!$G$25,OR(Nonlabor!$H$25="Monthly",AND(Nonlabor!$H$25="Once",C2478=IF(Nonlabor!$E$25="Core",Nonlabor!$F$25,MAX(Nonlabor!$F$25,IF(Nonlabor!$E$25="AI",Assumptions!$D$24,Assumptions!$D$25)))),AND(Nonlabor!$H$25="Annual",MOD(C2478-IF(Nonlabor!$E$25="Core",Nonlabor!$F$25,MAX(Nonlabor!$F$25,IF(Nonlabor!$E$25="AI",Assumptions!$D$24,Assumptions!$D$25))),12)=0))),IF(Nonlabor!$I$25="Fixed",1,IF(Nonlabor!$I$25="Seats",ROUNDUP('Monthly Base'!I18,0),IF(Nonlabor!$I$25="Customers",'Monthly Base'!D18,IF(Nonlabor!$I$25="NewCustomers",'Monthly Base'!C18,IF(Nonlabor!$I$25="StorageGB",'Monthly Base'!G18,IF(Nonlabor!$I$25="LogGB",'Monthly Base'!H18,IF(Nonlabor!$I$25="RequestsM",'Monthly Base'!F18,IF(Nonlabor!$I$25="InputM",'Monthly Base'!D18*Assumptions!$D$22/1000000,IF(Nonlabor!$I$25="OutputM",'Monthly Base'!D18*Assumptions!$D$23/1000000,0))))))))),0)</f>
        <v>0</v>
      </c>
      <c r="F2478" s="10" t="n">
        <f aca="false">Nonlabor!$J$25*(1+Assumptions!$D$9)^INT((C2478-1)/12)</f>
        <v>1.648</v>
      </c>
      <c r="G2478" s="10" t="n">
        <f aca="false">E2478*F2478</f>
        <v>0</v>
      </c>
      <c r="H2478" s="10" t="n">
        <f aca="false">IF(OR(Nonlabor!$L$25="Quote required",Nonlabor!$L$25="Unverified"),G2478,0)</f>
        <v>0</v>
      </c>
      <c r="I2478" s="10" t="n">
        <f aca="false">IF(Nonlabor!$E$25="Core",0,G2478)</f>
        <v>0</v>
      </c>
      <c r="J2478" s="23" t="str">
        <f aca="false">Nonlabor!$B$25</f>
        <v>AI</v>
      </c>
    </row>
    <row r="2479" customFormat="false" ht="15" hidden="false" customHeight="false" outlineLevel="0" collapsed="false">
      <c r="A2479" s="6" t="s">
        <v>4</v>
      </c>
      <c r="B2479" s="6" t="s">
        <v>432</v>
      </c>
      <c r="C2479" s="6" t="n">
        <v>14</v>
      </c>
      <c r="D2479" s="25" t="n">
        <f aca="false">EDATE('Start Here'!$B$6,C2479-1)</f>
        <v>46722</v>
      </c>
      <c r="E2479" s="23" t="n">
        <f aca="false">IF(AND(OR(Nonlabor!$D$25="Both",Nonlabor!$D$25='Start Here'!$B$9),IF(Nonlabor!$E$25="Core",1,IF(Nonlabor!$E$25="AI",'Start Here'!$B$7,'Start Here'!$B$8))=1,C2479&gt;=IF(Nonlabor!$E$25="Core",Nonlabor!$F$25,MAX(Nonlabor!$F$25,IF(Nonlabor!$E$25="AI",Assumptions!$D$24,Assumptions!$D$25))),C2479&lt;=Nonlabor!$G$25,OR(Nonlabor!$H$25="Monthly",AND(Nonlabor!$H$25="Once",C2479=IF(Nonlabor!$E$25="Core",Nonlabor!$F$25,MAX(Nonlabor!$F$25,IF(Nonlabor!$E$25="AI",Assumptions!$D$24,Assumptions!$D$25)))),AND(Nonlabor!$H$25="Annual",MOD(C2479-IF(Nonlabor!$E$25="Core",Nonlabor!$F$25,MAX(Nonlabor!$F$25,IF(Nonlabor!$E$25="AI",Assumptions!$D$24,Assumptions!$D$25))),12)=0))),IF(Nonlabor!$I$25="Fixed",1,IF(Nonlabor!$I$25="Seats",ROUNDUP('Monthly Base'!I19,0),IF(Nonlabor!$I$25="Customers",'Monthly Base'!D19,IF(Nonlabor!$I$25="NewCustomers",'Monthly Base'!C19,IF(Nonlabor!$I$25="StorageGB",'Monthly Base'!G19,IF(Nonlabor!$I$25="LogGB",'Monthly Base'!H19,IF(Nonlabor!$I$25="RequestsM",'Monthly Base'!F19,IF(Nonlabor!$I$25="InputM",'Monthly Base'!D19*Assumptions!$D$22/1000000,IF(Nonlabor!$I$25="OutputM",'Monthly Base'!D19*Assumptions!$D$23/1000000,0))))))))),0)</f>
        <v>0</v>
      </c>
      <c r="F2479" s="10" t="n">
        <f aca="false">Nonlabor!$J$25*(1+Assumptions!$D$9)^INT((C2479-1)/12)</f>
        <v>1.648</v>
      </c>
      <c r="G2479" s="10" t="n">
        <f aca="false">E2479*F2479</f>
        <v>0</v>
      </c>
      <c r="H2479" s="10" t="n">
        <f aca="false">IF(OR(Nonlabor!$L$25="Quote required",Nonlabor!$L$25="Unverified"),G2479,0)</f>
        <v>0</v>
      </c>
      <c r="I2479" s="10" t="n">
        <f aca="false">IF(Nonlabor!$E$25="Core",0,G2479)</f>
        <v>0</v>
      </c>
      <c r="J2479" s="23" t="str">
        <f aca="false">Nonlabor!$B$25</f>
        <v>AI</v>
      </c>
    </row>
    <row r="2480" customFormat="false" ht="15" hidden="false" customHeight="false" outlineLevel="0" collapsed="false">
      <c r="A2480" s="6" t="s">
        <v>4</v>
      </c>
      <c r="B2480" s="6" t="s">
        <v>432</v>
      </c>
      <c r="C2480" s="6" t="n">
        <v>15</v>
      </c>
      <c r="D2480" s="25" t="n">
        <f aca="false">EDATE('Start Here'!$B$6,C2480-1)</f>
        <v>46753</v>
      </c>
      <c r="E2480" s="23" t="n">
        <f aca="false">IF(AND(OR(Nonlabor!$D$25="Both",Nonlabor!$D$25='Start Here'!$B$9),IF(Nonlabor!$E$25="Core",1,IF(Nonlabor!$E$25="AI",'Start Here'!$B$7,'Start Here'!$B$8))=1,C2480&gt;=IF(Nonlabor!$E$25="Core",Nonlabor!$F$25,MAX(Nonlabor!$F$25,IF(Nonlabor!$E$25="AI",Assumptions!$D$24,Assumptions!$D$25))),C2480&lt;=Nonlabor!$G$25,OR(Nonlabor!$H$25="Monthly",AND(Nonlabor!$H$25="Once",C2480=IF(Nonlabor!$E$25="Core",Nonlabor!$F$25,MAX(Nonlabor!$F$25,IF(Nonlabor!$E$25="AI",Assumptions!$D$24,Assumptions!$D$25)))),AND(Nonlabor!$H$25="Annual",MOD(C2480-IF(Nonlabor!$E$25="Core",Nonlabor!$F$25,MAX(Nonlabor!$F$25,IF(Nonlabor!$E$25="AI",Assumptions!$D$24,Assumptions!$D$25))),12)=0))),IF(Nonlabor!$I$25="Fixed",1,IF(Nonlabor!$I$25="Seats",ROUNDUP('Monthly Base'!I20,0),IF(Nonlabor!$I$25="Customers",'Monthly Base'!D20,IF(Nonlabor!$I$25="NewCustomers",'Monthly Base'!C20,IF(Nonlabor!$I$25="StorageGB",'Monthly Base'!G20,IF(Nonlabor!$I$25="LogGB",'Monthly Base'!H20,IF(Nonlabor!$I$25="RequestsM",'Monthly Base'!F20,IF(Nonlabor!$I$25="InputM",'Monthly Base'!D20*Assumptions!$D$22/1000000,IF(Nonlabor!$I$25="OutputM",'Monthly Base'!D20*Assumptions!$D$23/1000000,0))))))))),0)</f>
        <v>0</v>
      </c>
      <c r="F2480" s="10" t="n">
        <f aca="false">Nonlabor!$J$25*(1+Assumptions!$D$9)^INT((C2480-1)/12)</f>
        <v>1.648</v>
      </c>
      <c r="G2480" s="10" t="n">
        <f aca="false">E2480*F2480</f>
        <v>0</v>
      </c>
      <c r="H2480" s="10" t="n">
        <f aca="false">IF(OR(Nonlabor!$L$25="Quote required",Nonlabor!$L$25="Unverified"),G2480,0)</f>
        <v>0</v>
      </c>
      <c r="I2480" s="10" t="n">
        <f aca="false">IF(Nonlabor!$E$25="Core",0,G2480)</f>
        <v>0</v>
      </c>
      <c r="J2480" s="23" t="str">
        <f aca="false">Nonlabor!$B$25</f>
        <v>AI</v>
      </c>
    </row>
    <row r="2481" customFormat="false" ht="15" hidden="false" customHeight="false" outlineLevel="0" collapsed="false">
      <c r="A2481" s="6" t="s">
        <v>4</v>
      </c>
      <c r="B2481" s="6" t="s">
        <v>432</v>
      </c>
      <c r="C2481" s="6" t="n">
        <v>16</v>
      </c>
      <c r="D2481" s="25" t="n">
        <f aca="false">EDATE('Start Here'!$B$6,C2481-1)</f>
        <v>46784</v>
      </c>
      <c r="E2481" s="23" t="n">
        <f aca="false">IF(AND(OR(Nonlabor!$D$25="Both",Nonlabor!$D$25='Start Here'!$B$9),IF(Nonlabor!$E$25="Core",1,IF(Nonlabor!$E$25="AI",'Start Here'!$B$7,'Start Here'!$B$8))=1,C2481&gt;=IF(Nonlabor!$E$25="Core",Nonlabor!$F$25,MAX(Nonlabor!$F$25,IF(Nonlabor!$E$25="AI",Assumptions!$D$24,Assumptions!$D$25))),C2481&lt;=Nonlabor!$G$25,OR(Nonlabor!$H$25="Monthly",AND(Nonlabor!$H$25="Once",C2481=IF(Nonlabor!$E$25="Core",Nonlabor!$F$25,MAX(Nonlabor!$F$25,IF(Nonlabor!$E$25="AI",Assumptions!$D$24,Assumptions!$D$25)))),AND(Nonlabor!$H$25="Annual",MOD(C2481-IF(Nonlabor!$E$25="Core",Nonlabor!$F$25,MAX(Nonlabor!$F$25,IF(Nonlabor!$E$25="AI",Assumptions!$D$24,Assumptions!$D$25))),12)=0))),IF(Nonlabor!$I$25="Fixed",1,IF(Nonlabor!$I$25="Seats",ROUNDUP('Monthly Base'!I21,0),IF(Nonlabor!$I$25="Customers",'Monthly Base'!D21,IF(Nonlabor!$I$25="NewCustomers",'Monthly Base'!C21,IF(Nonlabor!$I$25="StorageGB",'Monthly Base'!G21,IF(Nonlabor!$I$25="LogGB",'Monthly Base'!H21,IF(Nonlabor!$I$25="RequestsM",'Monthly Base'!F21,IF(Nonlabor!$I$25="InputM",'Monthly Base'!D21*Assumptions!$D$22/1000000,IF(Nonlabor!$I$25="OutputM",'Monthly Base'!D21*Assumptions!$D$23/1000000,0))))))))),0)</f>
        <v>0</v>
      </c>
      <c r="F2481" s="10" t="n">
        <f aca="false">Nonlabor!$J$25*(1+Assumptions!$D$9)^INT((C2481-1)/12)</f>
        <v>1.648</v>
      </c>
      <c r="G2481" s="10" t="n">
        <f aca="false">E2481*F2481</f>
        <v>0</v>
      </c>
      <c r="H2481" s="10" t="n">
        <f aca="false">IF(OR(Nonlabor!$L$25="Quote required",Nonlabor!$L$25="Unverified"),G2481,0)</f>
        <v>0</v>
      </c>
      <c r="I2481" s="10" t="n">
        <f aca="false">IF(Nonlabor!$E$25="Core",0,G2481)</f>
        <v>0</v>
      </c>
      <c r="J2481" s="23" t="str">
        <f aca="false">Nonlabor!$B$25</f>
        <v>AI</v>
      </c>
    </row>
    <row r="2482" customFormat="false" ht="15" hidden="false" customHeight="false" outlineLevel="0" collapsed="false">
      <c r="A2482" s="6" t="s">
        <v>4</v>
      </c>
      <c r="B2482" s="6" t="s">
        <v>432</v>
      </c>
      <c r="C2482" s="6" t="n">
        <v>17</v>
      </c>
      <c r="D2482" s="25" t="n">
        <f aca="false">EDATE('Start Here'!$B$6,C2482-1)</f>
        <v>46813</v>
      </c>
      <c r="E2482" s="23" t="n">
        <f aca="false">IF(AND(OR(Nonlabor!$D$25="Both",Nonlabor!$D$25='Start Here'!$B$9),IF(Nonlabor!$E$25="Core",1,IF(Nonlabor!$E$25="AI",'Start Here'!$B$7,'Start Here'!$B$8))=1,C2482&gt;=IF(Nonlabor!$E$25="Core",Nonlabor!$F$25,MAX(Nonlabor!$F$25,IF(Nonlabor!$E$25="AI",Assumptions!$D$24,Assumptions!$D$25))),C2482&lt;=Nonlabor!$G$25,OR(Nonlabor!$H$25="Monthly",AND(Nonlabor!$H$25="Once",C2482=IF(Nonlabor!$E$25="Core",Nonlabor!$F$25,MAX(Nonlabor!$F$25,IF(Nonlabor!$E$25="AI",Assumptions!$D$24,Assumptions!$D$25)))),AND(Nonlabor!$H$25="Annual",MOD(C2482-IF(Nonlabor!$E$25="Core",Nonlabor!$F$25,MAX(Nonlabor!$F$25,IF(Nonlabor!$E$25="AI",Assumptions!$D$24,Assumptions!$D$25))),12)=0))),IF(Nonlabor!$I$25="Fixed",1,IF(Nonlabor!$I$25="Seats",ROUNDUP('Monthly Base'!I22,0),IF(Nonlabor!$I$25="Customers",'Monthly Base'!D22,IF(Nonlabor!$I$25="NewCustomers",'Monthly Base'!C22,IF(Nonlabor!$I$25="StorageGB",'Monthly Base'!G22,IF(Nonlabor!$I$25="LogGB",'Monthly Base'!H22,IF(Nonlabor!$I$25="RequestsM",'Monthly Base'!F22,IF(Nonlabor!$I$25="InputM",'Monthly Base'!D22*Assumptions!$D$22/1000000,IF(Nonlabor!$I$25="OutputM",'Monthly Base'!D22*Assumptions!$D$23/1000000,0))))))))),0)</f>
        <v>0</v>
      </c>
      <c r="F2482" s="10" t="n">
        <f aca="false">Nonlabor!$J$25*(1+Assumptions!$D$9)^INT((C2482-1)/12)</f>
        <v>1.648</v>
      </c>
      <c r="G2482" s="10" t="n">
        <f aca="false">E2482*F2482</f>
        <v>0</v>
      </c>
      <c r="H2482" s="10" t="n">
        <f aca="false">IF(OR(Nonlabor!$L$25="Quote required",Nonlabor!$L$25="Unverified"),G2482,0)</f>
        <v>0</v>
      </c>
      <c r="I2482" s="10" t="n">
        <f aca="false">IF(Nonlabor!$E$25="Core",0,G2482)</f>
        <v>0</v>
      </c>
      <c r="J2482" s="23" t="str">
        <f aca="false">Nonlabor!$B$25</f>
        <v>AI</v>
      </c>
    </row>
    <row r="2483" customFormat="false" ht="15" hidden="false" customHeight="false" outlineLevel="0" collapsed="false">
      <c r="A2483" s="6" t="s">
        <v>4</v>
      </c>
      <c r="B2483" s="6" t="s">
        <v>432</v>
      </c>
      <c r="C2483" s="6" t="n">
        <v>18</v>
      </c>
      <c r="D2483" s="25" t="n">
        <f aca="false">EDATE('Start Here'!$B$6,C2483-1)</f>
        <v>46844</v>
      </c>
      <c r="E2483" s="23" t="n">
        <f aca="false">IF(AND(OR(Nonlabor!$D$25="Both",Nonlabor!$D$25='Start Here'!$B$9),IF(Nonlabor!$E$25="Core",1,IF(Nonlabor!$E$25="AI",'Start Here'!$B$7,'Start Here'!$B$8))=1,C2483&gt;=IF(Nonlabor!$E$25="Core",Nonlabor!$F$25,MAX(Nonlabor!$F$25,IF(Nonlabor!$E$25="AI",Assumptions!$D$24,Assumptions!$D$25))),C2483&lt;=Nonlabor!$G$25,OR(Nonlabor!$H$25="Monthly",AND(Nonlabor!$H$25="Once",C2483=IF(Nonlabor!$E$25="Core",Nonlabor!$F$25,MAX(Nonlabor!$F$25,IF(Nonlabor!$E$25="AI",Assumptions!$D$24,Assumptions!$D$25)))),AND(Nonlabor!$H$25="Annual",MOD(C2483-IF(Nonlabor!$E$25="Core",Nonlabor!$F$25,MAX(Nonlabor!$F$25,IF(Nonlabor!$E$25="AI",Assumptions!$D$24,Assumptions!$D$25))),12)=0))),IF(Nonlabor!$I$25="Fixed",1,IF(Nonlabor!$I$25="Seats",ROUNDUP('Monthly Base'!I23,0),IF(Nonlabor!$I$25="Customers",'Monthly Base'!D23,IF(Nonlabor!$I$25="NewCustomers",'Monthly Base'!C23,IF(Nonlabor!$I$25="StorageGB",'Monthly Base'!G23,IF(Nonlabor!$I$25="LogGB",'Monthly Base'!H23,IF(Nonlabor!$I$25="RequestsM",'Monthly Base'!F23,IF(Nonlabor!$I$25="InputM",'Monthly Base'!D23*Assumptions!$D$22/1000000,IF(Nonlabor!$I$25="OutputM",'Monthly Base'!D23*Assumptions!$D$23/1000000,0))))))))),0)</f>
        <v>0</v>
      </c>
      <c r="F2483" s="10" t="n">
        <f aca="false">Nonlabor!$J$25*(1+Assumptions!$D$9)^INT((C2483-1)/12)</f>
        <v>1.648</v>
      </c>
      <c r="G2483" s="10" t="n">
        <f aca="false">E2483*F2483</f>
        <v>0</v>
      </c>
      <c r="H2483" s="10" t="n">
        <f aca="false">IF(OR(Nonlabor!$L$25="Quote required",Nonlabor!$L$25="Unverified"),G2483,0)</f>
        <v>0</v>
      </c>
      <c r="I2483" s="10" t="n">
        <f aca="false">IF(Nonlabor!$E$25="Core",0,G2483)</f>
        <v>0</v>
      </c>
      <c r="J2483" s="23" t="str">
        <f aca="false">Nonlabor!$B$25</f>
        <v>AI</v>
      </c>
    </row>
    <row r="2484" customFormat="false" ht="15" hidden="false" customHeight="false" outlineLevel="0" collapsed="false">
      <c r="A2484" s="6" t="s">
        <v>4</v>
      </c>
      <c r="B2484" s="6" t="s">
        <v>432</v>
      </c>
      <c r="C2484" s="6" t="n">
        <v>19</v>
      </c>
      <c r="D2484" s="25" t="n">
        <f aca="false">EDATE('Start Here'!$B$6,C2484-1)</f>
        <v>46874</v>
      </c>
      <c r="E2484" s="23" t="n">
        <f aca="false">IF(AND(OR(Nonlabor!$D$25="Both",Nonlabor!$D$25='Start Here'!$B$9),IF(Nonlabor!$E$25="Core",1,IF(Nonlabor!$E$25="AI",'Start Here'!$B$7,'Start Here'!$B$8))=1,C2484&gt;=IF(Nonlabor!$E$25="Core",Nonlabor!$F$25,MAX(Nonlabor!$F$25,IF(Nonlabor!$E$25="AI",Assumptions!$D$24,Assumptions!$D$25))),C2484&lt;=Nonlabor!$G$25,OR(Nonlabor!$H$25="Monthly",AND(Nonlabor!$H$25="Once",C2484=IF(Nonlabor!$E$25="Core",Nonlabor!$F$25,MAX(Nonlabor!$F$25,IF(Nonlabor!$E$25="AI",Assumptions!$D$24,Assumptions!$D$25)))),AND(Nonlabor!$H$25="Annual",MOD(C2484-IF(Nonlabor!$E$25="Core",Nonlabor!$F$25,MAX(Nonlabor!$F$25,IF(Nonlabor!$E$25="AI",Assumptions!$D$24,Assumptions!$D$25))),12)=0))),IF(Nonlabor!$I$25="Fixed",1,IF(Nonlabor!$I$25="Seats",ROUNDUP('Monthly Base'!I24,0),IF(Nonlabor!$I$25="Customers",'Monthly Base'!D24,IF(Nonlabor!$I$25="NewCustomers",'Monthly Base'!C24,IF(Nonlabor!$I$25="StorageGB",'Monthly Base'!G24,IF(Nonlabor!$I$25="LogGB",'Monthly Base'!H24,IF(Nonlabor!$I$25="RequestsM",'Monthly Base'!F24,IF(Nonlabor!$I$25="InputM",'Monthly Base'!D24*Assumptions!$D$22/1000000,IF(Nonlabor!$I$25="OutputM",'Monthly Base'!D24*Assumptions!$D$23/1000000,0))))))))),0)</f>
        <v>0</v>
      </c>
      <c r="F2484" s="10" t="n">
        <f aca="false">Nonlabor!$J$25*(1+Assumptions!$D$9)^INT((C2484-1)/12)</f>
        <v>1.648</v>
      </c>
      <c r="G2484" s="10" t="n">
        <f aca="false">E2484*F2484</f>
        <v>0</v>
      </c>
      <c r="H2484" s="10" t="n">
        <f aca="false">IF(OR(Nonlabor!$L$25="Quote required",Nonlabor!$L$25="Unverified"),G2484,0)</f>
        <v>0</v>
      </c>
      <c r="I2484" s="10" t="n">
        <f aca="false">IF(Nonlabor!$E$25="Core",0,G2484)</f>
        <v>0</v>
      </c>
      <c r="J2484" s="23" t="str">
        <f aca="false">Nonlabor!$B$25</f>
        <v>AI</v>
      </c>
    </row>
    <row r="2485" customFormat="false" ht="15" hidden="false" customHeight="false" outlineLevel="0" collapsed="false">
      <c r="A2485" s="6" t="s">
        <v>4</v>
      </c>
      <c r="B2485" s="6" t="s">
        <v>432</v>
      </c>
      <c r="C2485" s="6" t="n">
        <v>20</v>
      </c>
      <c r="D2485" s="25" t="n">
        <f aca="false">EDATE('Start Here'!$B$6,C2485-1)</f>
        <v>46905</v>
      </c>
      <c r="E2485" s="23" t="n">
        <f aca="false">IF(AND(OR(Nonlabor!$D$25="Both",Nonlabor!$D$25='Start Here'!$B$9),IF(Nonlabor!$E$25="Core",1,IF(Nonlabor!$E$25="AI",'Start Here'!$B$7,'Start Here'!$B$8))=1,C2485&gt;=IF(Nonlabor!$E$25="Core",Nonlabor!$F$25,MAX(Nonlabor!$F$25,IF(Nonlabor!$E$25="AI",Assumptions!$D$24,Assumptions!$D$25))),C2485&lt;=Nonlabor!$G$25,OR(Nonlabor!$H$25="Monthly",AND(Nonlabor!$H$25="Once",C2485=IF(Nonlabor!$E$25="Core",Nonlabor!$F$25,MAX(Nonlabor!$F$25,IF(Nonlabor!$E$25="AI",Assumptions!$D$24,Assumptions!$D$25)))),AND(Nonlabor!$H$25="Annual",MOD(C2485-IF(Nonlabor!$E$25="Core",Nonlabor!$F$25,MAX(Nonlabor!$F$25,IF(Nonlabor!$E$25="AI",Assumptions!$D$24,Assumptions!$D$25))),12)=0))),IF(Nonlabor!$I$25="Fixed",1,IF(Nonlabor!$I$25="Seats",ROUNDUP('Monthly Base'!I25,0),IF(Nonlabor!$I$25="Customers",'Monthly Base'!D25,IF(Nonlabor!$I$25="NewCustomers",'Monthly Base'!C25,IF(Nonlabor!$I$25="StorageGB",'Monthly Base'!G25,IF(Nonlabor!$I$25="LogGB",'Monthly Base'!H25,IF(Nonlabor!$I$25="RequestsM",'Monthly Base'!F25,IF(Nonlabor!$I$25="InputM",'Monthly Base'!D25*Assumptions!$D$22/1000000,IF(Nonlabor!$I$25="OutputM",'Monthly Base'!D25*Assumptions!$D$23/1000000,0))))))))),0)</f>
        <v>0</v>
      </c>
      <c r="F2485" s="10" t="n">
        <f aca="false">Nonlabor!$J$25*(1+Assumptions!$D$9)^INT((C2485-1)/12)</f>
        <v>1.648</v>
      </c>
      <c r="G2485" s="10" t="n">
        <f aca="false">E2485*F2485</f>
        <v>0</v>
      </c>
      <c r="H2485" s="10" t="n">
        <f aca="false">IF(OR(Nonlabor!$L$25="Quote required",Nonlabor!$L$25="Unverified"),G2485,0)</f>
        <v>0</v>
      </c>
      <c r="I2485" s="10" t="n">
        <f aca="false">IF(Nonlabor!$E$25="Core",0,G2485)</f>
        <v>0</v>
      </c>
      <c r="J2485" s="23" t="str">
        <f aca="false">Nonlabor!$B$25</f>
        <v>AI</v>
      </c>
    </row>
    <row r="2486" customFormat="false" ht="15" hidden="false" customHeight="false" outlineLevel="0" collapsed="false">
      <c r="A2486" s="6" t="s">
        <v>4</v>
      </c>
      <c r="B2486" s="6" t="s">
        <v>432</v>
      </c>
      <c r="C2486" s="6" t="n">
        <v>21</v>
      </c>
      <c r="D2486" s="25" t="n">
        <f aca="false">EDATE('Start Here'!$B$6,C2486-1)</f>
        <v>46935</v>
      </c>
      <c r="E2486" s="23" t="n">
        <f aca="false">IF(AND(OR(Nonlabor!$D$25="Both",Nonlabor!$D$25='Start Here'!$B$9),IF(Nonlabor!$E$25="Core",1,IF(Nonlabor!$E$25="AI",'Start Here'!$B$7,'Start Here'!$B$8))=1,C2486&gt;=IF(Nonlabor!$E$25="Core",Nonlabor!$F$25,MAX(Nonlabor!$F$25,IF(Nonlabor!$E$25="AI",Assumptions!$D$24,Assumptions!$D$25))),C2486&lt;=Nonlabor!$G$25,OR(Nonlabor!$H$25="Monthly",AND(Nonlabor!$H$25="Once",C2486=IF(Nonlabor!$E$25="Core",Nonlabor!$F$25,MAX(Nonlabor!$F$25,IF(Nonlabor!$E$25="AI",Assumptions!$D$24,Assumptions!$D$25)))),AND(Nonlabor!$H$25="Annual",MOD(C2486-IF(Nonlabor!$E$25="Core",Nonlabor!$F$25,MAX(Nonlabor!$F$25,IF(Nonlabor!$E$25="AI",Assumptions!$D$24,Assumptions!$D$25))),12)=0))),IF(Nonlabor!$I$25="Fixed",1,IF(Nonlabor!$I$25="Seats",ROUNDUP('Monthly Base'!I26,0),IF(Nonlabor!$I$25="Customers",'Monthly Base'!D26,IF(Nonlabor!$I$25="NewCustomers",'Monthly Base'!C26,IF(Nonlabor!$I$25="StorageGB",'Monthly Base'!G26,IF(Nonlabor!$I$25="LogGB",'Monthly Base'!H26,IF(Nonlabor!$I$25="RequestsM",'Monthly Base'!F26,IF(Nonlabor!$I$25="InputM",'Monthly Base'!D26*Assumptions!$D$22/1000000,IF(Nonlabor!$I$25="OutputM",'Monthly Base'!D26*Assumptions!$D$23/1000000,0))))))))),0)</f>
        <v>0</v>
      </c>
      <c r="F2486" s="10" t="n">
        <f aca="false">Nonlabor!$J$25*(1+Assumptions!$D$9)^INT((C2486-1)/12)</f>
        <v>1.648</v>
      </c>
      <c r="G2486" s="10" t="n">
        <f aca="false">E2486*F2486</f>
        <v>0</v>
      </c>
      <c r="H2486" s="10" t="n">
        <f aca="false">IF(OR(Nonlabor!$L$25="Quote required",Nonlabor!$L$25="Unverified"),G2486,0)</f>
        <v>0</v>
      </c>
      <c r="I2486" s="10" t="n">
        <f aca="false">IF(Nonlabor!$E$25="Core",0,G2486)</f>
        <v>0</v>
      </c>
      <c r="J2486" s="23" t="str">
        <f aca="false">Nonlabor!$B$25</f>
        <v>AI</v>
      </c>
    </row>
    <row r="2487" customFormat="false" ht="15" hidden="false" customHeight="false" outlineLevel="0" collapsed="false">
      <c r="A2487" s="6" t="s">
        <v>4</v>
      </c>
      <c r="B2487" s="6" t="s">
        <v>432</v>
      </c>
      <c r="C2487" s="6" t="n">
        <v>22</v>
      </c>
      <c r="D2487" s="25" t="n">
        <f aca="false">EDATE('Start Here'!$B$6,C2487-1)</f>
        <v>46966</v>
      </c>
      <c r="E2487" s="23" t="n">
        <f aca="false">IF(AND(OR(Nonlabor!$D$25="Both",Nonlabor!$D$25='Start Here'!$B$9),IF(Nonlabor!$E$25="Core",1,IF(Nonlabor!$E$25="AI",'Start Here'!$B$7,'Start Here'!$B$8))=1,C2487&gt;=IF(Nonlabor!$E$25="Core",Nonlabor!$F$25,MAX(Nonlabor!$F$25,IF(Nonlabor!$E$25="AI",Assumptions!$D$24,Assumptions!$D$25))),C2487&lt;=Nonlabor!$G$25,OR(Nonlabor!$H$25="Monthly",AND(Nonlabor!$H$25="Once",C2487=IF(Nonlabor!$E$25="Core",Nonlabor!$F$25,MAX(Nonlabor!$F$25,IF(Nonlabor!$E$25="AI",Assumptions!$D$24,Assumptions!$D$25)))),AND(Nonlabor!$H$25="Annual",MOD(C2487-IF(Nonlabor!$E$25="Core",Nonlabor!$F$25,MAX(Nonlabor!$F$25,IF(Nonlabor!$E$25="AI",Assumptions!$D$24,Assumptions!$D$25))),12)=0))),IF(Nonlabor!$I$25="Fixed",1,IF(Nonlabor!$I$25="Seats",ROUNDUP('Monthly Base'!I27,0),IF(Nonlabor!$I$25="Customers",'Monthly Base'!D27,IF(Nonlabor!$I$25="NewCustomers",'Monthly Base'!C27,IF(Nonlabor!$I$25="StorageGB",'Monthly Base'!G27,IF(Nonlabor!$I$25="LogGB",'Monthly Base'!H27,IF(Nonlabor!$I$25="RequestsM",'Monthly Base'!F27,IF(Nonlabor!$I$25="InputM",'Monthly Base'!D27*Assumptions!$D$22/1000000,IF(Nonlabor!$I$25="OutputM",'Monthly Base'!D27*Assumptions!$D$23/1000000,0))))))))),0)</f>
        <v>0</v>
      </c>
      <c r="F2487" s="10" t="n">
        <f aca="false">Nonlabor!$J$25*(1+Assumptions!$D$9)^INT((C2487-1)/12)</f>
        <v>1.648</v>
      </c>
      <c r="G2487" s="10" t="n">
        <f aca="false">E2487*F2487</f>
        <v>0</v>
      </c>
      <c r="H2487" s="10" t="n">
        <f aca="false">IF(OR(Nonlabor!$L$25="Quote required",Nonlabor!$L$25="Unverified"),G2487,0)</f>
        <v>0</v>
      </c>
      <c r="I2487" s="10" t="n">
        <f aca="false">IF(Nonlabor!$E$25="Core",0,G2487)</f>
        <v>0</v>
      </c>
      <c r="J2487" s="23" t="str">
        <f aca="false">Nonlabor!$B$25</f>
        <v>AI</v>
      </c>
    </row>
    <row r="2488" customFormat="false" ht="15" hidden="false" customHeight="false" outlineLevel="0" collapsed="false">
      <c r="A2488" s="6" t="s">
        <v>4</v>
      </c>
      <c r="B2488" s="6" t="s">
        <v>432</v>
      </c>
      <c r="C2488" s="6" t="n">
        <v>23</v>
      </c>
      <c r="D2488" s="25" t="n">
        <f aca="false">EDATE('Start Here'!$B$6,C2488-1)</f>
        <v>46997</v>
      </c>
      <c r="E2488" s="23" t="n">
        <f aca="false">IF(AND(OR(Nonlabor!$D$25="Both",Nonlabor!$D$25='Start Here'!$B$9),IF(Nonlabor!$E$25="Core",1,IF(Nonlabor!$E$25="AI",'Start Here'!$B$7,'Start Here'!$B$8))=1,C2488&gt;=IF(Nonlabor!$E$25="Core",Nonlabor!$F$25,MAX(Nonlabor!$F$25,IF(Nonlabor!$E$25="AI",Assumptions!$D$24,Assumptions!$D$25))),C2488&lt;=Nonlabor!$G$25,OR(Nonlabor!$H$25="Monthly",AND(Nonlabor!$H$25="Once",C2488=IF(Nonlabor!$E$25="Core",Nonlabor!$F$25,MAX(Nonlabor!$F$25,IF(Nonlabor!$E$25="AI",Assumptions!$D$24,Assumptions!$D$25)))),AND(Nonlabor!$H$25="Annual",MOD(C2488-IF(Nonlabor!$E$25="Core",Nonlabor!$F$25,MAX(Nonlabor!$F$25,IF(Nonlabor!$E$25="AI",Assumptions!$D$24,Assumptions!$D$25))),12)=0))),IF(Nonlabor!$I$25="Fixed",1,IF(Nonlabor!$I$25="Seats",ROUNDUP('Monthly Base'!I28,0),IF(Nonlabor!$I$25="Customers",'Monthly Base'!D28,IF(Nonlabor!$I$25="NewCustomers",'Monthly Base'!C28,IF(Nonlabor!$I$25="StorageGB",'Monthly Base'!G28,IF(Nonlabor!$I$25="LogGB",'Monthly Base'!H28,IF(Nonlabor!$I$25="RequestsM",'Monthly Base'!F28,IF(Nonlabor!$I$25="InputM",'Monthly Base'!D28*Assumptions!$D$22/1000000,IF(Nonlabor!$I$25="OutputM",'Monthly Base'!D28*Assumptions!$D$23/1000000,0))))))))),0)</f>
        <v>0</v>
      </c>
      <c r="F2488" s="10" t="n">
        <f aca="false">Nonlabor!$J$25*(1+Assumptions!$D$9)^INT((C2488-1)/12)</f>
        <v>1.648</v>
      </c>
      <c r="G2488" s="10" t="n">
        <f aca="false">E2488*F2488</f>
        <v>0</v>
      </c>
      <c r="H2488" s="10" t="n">
        <f aca="false">IF(OR(Nonlabor!$L$25="Quote required",Nonlabor!$L$25="Unverified"),G2488,0)</f>
        <v>0</v>
      </c>
      <c r="I2488" s="10" t="n">
        <f aca="false">IF(Nonlabor!$E$25="Core",0,G2488)</f>
        <v>0</v>
      </c>
      <c r="J2488" s="23" t="str">
        <f aca="false">Nonlabor!$B$25</f>
        <v>AI</v>
      </c>
    </row>
    <row r="2489" customFormat="false" ht="15" hidden="false" customHeight="false" outlineLevel="0" collapsed="false">
      <c r="A2489" s="6" t="s">
        <v>4</v>
      </c>
      <c r="B2489" s="6" t="s">
        <v>432</v>
      </c>
      <c r="C2489" s="6" t="n">
        <v>24</v>
      </c>
      <c r="D2489" s="25" t="n">
        <f aca="false">EDATE('Start Here'!$B$6,C2489-1)</f>
        <v>47027</v>
      </c>
      <c r="E2489" s="23" t="n">
        <f aca="false">IF(AND(OR(Nonlabor!$D$25="Both",Nonlabor!$D$25='Start Here'!$B$9),IF(Nonlabor!$E$25="Core",1,IF(Nonlabor!$E$25="AI",'Start Here'!$B$7,'Start Here'!$B$8))=1,C2489&gt;=IF(Nonlabor!$E$25="Core",Nonlabor!$F$25,MAX(Nonlabor!$F$25,IF(Nonlabor!$E$25="AI",Assumptions!$D$24,Assumptions!$D$25))),C2489&lt;=Nonlabor!$G$25,OR(Nonlabor!$H$25="Monthly",AND(Nonlabor!$H$25="Once",C2489=IF(Nonlabor!$E$25="Core",Nonlabor!$F$25,MAX(Nonlabor!$F$25,IF(Nonlabor!$E$25="AI",Assumptions!$D$24,Assumptions!$D$25)))),AND(Nonlabor!$H$25="Annual",MOD(C2489-IF(Nonlabor!$E$25="Core",Nonlabor!$F$25,MAX(Nonlabor!$F$25,IF(Nonlabor!$E$25="AI",Assumptions!$D$24,Assumptions!$D$25))),12)=0))),IF(Nonlabor!$I$25="Fixed",1,IF(Nonlabor!$I$25="Seats",ROUNDUP('Monthly Base'!I29,0),IF(Nonlabor!$I$25="Customers",'Monthly Base'!D29,IF(Nonlabor!$I$25="NewCustomers",'Monthly Base'!C29,IF(Nonlabor!$I$25="StorageGB",'Monthly Base'!G29,IF(Nonlabor!$I$25="LogGB",'Monthly Base'!H29,IF(Nonlabor!$I$25="RequestsM",'Monthly Base'!F29,IF(Nonlabor!$I$25="InputM",'Monthly Base'!D29*Assumptions!$D$22/1000000,IF(Nonlabor!$I$25="OutputM",'Monthly Base'!D29*Assumptions!$D$23/1000000,0))))))))),0)</f>
        <v>0</v>
      </c>
      <c r="F2489" s="10" t="n">
        <f aca="false">Nonlabor!$J$25*(1+Assumptions!$D$9)^INT((C2489-1)/12)</f>
        <v>1.648</v>
      </c>
      <c r="G2489" s="10" t="n">
        <f aca="false">E2489*F2489</f>
        <v>0</v>
      </c>
      <c r="H2489" s="10" t="n">
        <f aca="false">IF(OR(Nonlabor!$L$25="Quote required",Nonlabor!$L$25="Unverified"),G2489,0)</f>
        <v>0</v>
      </c>
      <c r="I2489" s="10" t="n">
        <f aca="false">IF(Nonlabor!$E$25="Core",0,G2489)</f>
        <v>0</v>
      </c>
      <c r="J2489" s="23" t="str">
        <f aca="false">Nonlabor!$B$25</f>
        <v>AI</v>
      </c>
    </row>
    <row r="2490" customFormat="false" ht="15" hidden="false" customHeight="false" outlineLevel="0" collapsed="false">
      <c r="A2490" s="6" t="s">
        <v>4</v>
      </c>
      <c r="B2490" s="6" t="s">
        <v>432</v>
      </c>
      <c r="C2490" s="6" t="n">
        <v>25</v>
      </c>
      <c r="D2490" s="25" t="n">
        <f aca="false">EDATE('Start Here'!$B$6,C2490-1)</f>
        <v>47058</v>
      </c>
      <c r="E2490" s="23" t="n">
        <f aca="false">IF(AND(OR(Nonlabor!$D$25="Both",Nonlabor!$D$25='Start Here'!$B$9),IF(Nonlabor!$E$25="Core",1,IF(Nonlabor!$E$25="AI",'Start Here'!$B$7,'Start Here'!$B$8))=1,C2490&gt;=IF(Nonlabor!$E$25="Core",Nonlabor!$F$25,MAX(Nonlabor!$F$25,IF(Nonlabor!$E$25="AI",Assumptions!$D$24,Assumptions!$D$25))),C2490&lt;=Nonlabor!$G$25,OR(Nonlabor!$H$25="Monthly",AND(Nonlabor!$H$25="Once",C2490=IF(Nonlabor!$E$25="Core",Nonlabor!$F$25,MAX(Nonlabor!$F$25,IF(Nonlabor!$E$25="AI",Assumptions!$D$24,Assumptions!$D$25)))),AND(Nonlabor!$H$25="Annual",MOD(C2490-IF(Nonlabor!$E$25="Core",Nonlabor!$F$25,MAX(Nonlabor!$F$25,IF(Nonlabor!$E$25="AI",Assumptions!$D$24,Assumptions!$D$25))),12)=0))),IF(Nonlabor!$I$25="Fixed",1,IF(Nonlabor!$I$25="Seats",ROUNDUP('Monthly Base'!I30,0),IF(Nonlabor!$I$25="Customers",'Monthly Base'!D30,IF(Nonlabor!$I$25="NewCustomers",'Monthly Base'!C30,IF(Nonlabor!$I$25="StorageGB",'Monthly Base'!G30,IF(Nonlabor!$I$25="LogGB",'Monthly Base'!H30,IF(Nonlabor!$I$25="RequestsM",'Monthly Base'!F30,IF(Nonlabor!$I$25="InputM",'Monthly Base'!D30*Assumptions!$D$22/1000000,IF(Nonlabor!$I$25="OutputM",'Monthly Base'!D30*Assumptions!$D$23/1000000,0))))))))),0)</f>
        <v>0</v>
      </c>
      <c r="F2490" s="10" t="n">
        <f aca="false">Nonlabor!$J$25*(1+Assumptions!$D$9)^INT((C2490-1)/12)</f>
        <v>1.69744</v>
      </c>
      <c r="G2490" s="10" t="n">
        <f aca="false">E2490*F2490</f>
        <v>0</v>
      </c>
      <c r="H2490" s="10" t="n">
        <f aca="false">IF(OR(Nonlabor!$L$25="Quote required",Nonlabor!$L$25="Unverified"),G2490,0)</f>
        <v>0</v>
      </c>
      <c r="I2490" s="10" t="n">
        <f aca="false">IF(Nonlabor!$E$25="Core",0,G2490)</f>
        <v>0</v>
      </c>
      <c r="J2490" s="23" t="str">
        <f aca="false">Nonlabor!$B$25</f>
        <v>AI</v>
      </c>
    </row>
    <row r="2491" customFormat="false" ht="15" hidden="false" customHeight="false" outlineLevel="0" collapsed="false">
      <c r="A2491" s="6" t="s">
        <v>4</v>
      </c>
      <c r="B2491" s="6" t="s">
        <v>432</v>
      </c>
      <c r="C2491" s="6" t="n">
        <v>26</v>
      </c>
      <c r="D2491" s="25" t="n">
        <f aca="false">EDATE('Start Here'!$B$6,C2491-1)</f>
        <v>47088</v>
      </c>
      <c r="E2491" s="23" t="n">
        <f aca="false">IF(AND(OR(Nonlabor!$D$25="Both",Nonlabor!$D$25='Start Here'!$B$9),IF(Nonlabor!$E$25="Core",1,IF(Nonlabor!$E$25="AI",'Start Here'!$B$7,'Start Here'!$B$8))=1,C2491&gt;=IF(Nonlabor!$E$25="Core",Nonlabor!$F$25,MAX(Nonlabor!$F$25,IF(Nonlabor!$E$25="AI",Assumptions!$D$24,Assumptions!$D$25))),C2491&lt;=Nonlabor!$G$25,OR(Nonlabor!$H$25="Monthly",AND(Nonlabor!$H$25="Once",C2491=IF(Nonlabor!$E$25="Core",Nonlabor!$F$25,MAX(Nonlabor!$F$25,IF(Nonlabor!$E$25="AI",Assumptions!$D$24,Assumptions!$D$25)))),AND(Nonlabor!$H$25="Annual",MOD(C2491-IF(Nonlabor!$E$25="Core",Nonlabor!$F$25,MAX(Nonlabor!$F$25,IF(Nonlabor!$E$25="AI",Assumptions!$D$24,Assumptions!$D$25))),12)=0))),IF(Nonlabor!$I$25="Fixed",1,IF(Nonlabor!$I$25="Seats",ROUNDUP('Monthly Base'!I31,0),IF(Nonlabor!$I$25="Customers",'Monthly Base'!D31,IF(Nonlabor!$I$25="NewCustomers",'Monthly Base'!C31,IF(Nonlabor!$I$25="StorageGB",'Monthly Base'!G31,IF(Nonlabor!$I$25="LogGB",'Monthly Base'!H31,IF(Nonlabor!$I$25="RequestsM",'Monthly Base'!F31,IF(Nonlabor!$I$25="InputM",'Monthly Base'!D31*Assumptions!$D$22/1000000,IF(Nonlabor!$I$25="OutputM",'Monthly Base'!D31*Assumptions!$D$23/1000000,0))))))))),0)</f>
        <v>0</v>
      </c>
      <c r="F2491" s="10" t="n">
        <f aca="false">Nonlabor!$J$25*(1+Assumptions!$D$9)^INT((C2491-1)/12)</f>
        <v>1.69744</v>
      </c>
      <c r="G2491" s="10" t="n">
        <f aca="false">E2491*F2491</f>
        <v>0</v>
      </c>
      <c r="H2491" s="10" t="n">
        <f aca="false">IF(OR(Nonlabor!$L$25="Quote required",Nonlabor!$L$25="Unverified"),G2491,0)</f>
        <v>0</v>
      </c>
      <c r="I2491" s="10" t="n">
        <f aca="false">IF(Nonlabor!$E$25="Core",0,G2491)</f>
        <v>0</v>
      </c>
      <c r="J2491" s="23" t="str">
        <f aca="false">Nonlabor!$B$25</f>
        <v>AI</v>
      </c>
    </row>
    <row r="2492" customFormat="false" ht="15" hidden="false" customHeight="false" outlineLevel="0" collapsed="false">
      <c r="A2492" s="6" t="s">
        <v>4</v>
      </c>
      <c r="B2492" s="6" t="s">
        <v>432</v>
      </c>
      <c r="C2492" s="6" t="n">
        <v>27</v>
      </c>
      <c r="D2492" s="25" t="n">
        <f aca="false">EDATE('Start Here'!$B$6,C2492-1)</f>
        <v>47119</v>
      </c>
      <c r="E2492" s="23" t="n">
        <f aca="false">IF(AND(OR(Nonlabor!$D$25="Both",Nonlabor!$D$25='Start Here'!$B$9),IF(Nonlabor!$E$25="Core",1,IF(Nonlabor!$E$25="AI",'Start Here'!$B$7,'Start Here'!$B$8))=1,C2492&gt;=IF(Nonlabor!$E$25="Core",Nonlabor!$F$25,MAX(Nonlabor!$F$25,IF(Nonlabor!$E$25="AI",Assumptions!$D$24,Assumptions!$D$25))),C2492&lt;=Nonlabor!$G$25,OR(Nonlabor!$H$25="Monthly",AND(Nonlabor!$H$25="Once",C2492=IF(Nonlabor!$E$25="Core",Nonlabor!$F$25,MAX(Nonlabor!$F$25,IF(Nonlabor!$E$25="AI",Assumptions!$D$24,Assumptions!$D$25)))),AND(Nonlabor!$H$25="Annual",MOD(C2492-IF(Nonlabor!$E$25="Core",Nonlabor!$F$25,MAX(Nonlabor!$F$25,IF(Nonlabor!$E$25="AI",Assumptions!$D$24,Assumptions!$D$25))),12)=0))),IF(Nonlabor!$I$25="Fixed",1,IF(Nonlabor!$I$25="Seats",ROUNDUP('Monthly Base'!I32,0),IF(Nonlabor!$I$25="Customers",'Monthly Base'!D32,IF(Nonlabor!$I$25="NewCustomers",'Monthly Base'!C32,IF(Nonlabor!$I$25="StorageGB",'Monthly Base'!G32,IF(Nonlabor!$I$25="LogGB",'Monthly Base'!H32,IF(Nonlabor!$I$25="RequestsM",'Monthly Base'!F32,IF(Nonlabor!$I$25="InputM",'Monthly Base'!D32*Assumptions!$D$22/1000000,IF(Nonlabor!$I$25="OutputM",'Monthly Base'!D32*Assumptions!$D$23/1000000,0))))))))),0)</f>
        <v>0</v>
      </c>
      <c r="F2492" s="10" t="n">
        <f aca="false">Nonlabor!$J$25*(1+Assumptions!$D$9)^INT((C2492-1)/12)</f>
        <v>1.69744</v>
      </c>
      <c r="G2492" s="10" t="n">
        <f aca="false">E2492*F2492</f>
        <v>0</v>
      </c>
      <c r="H2492" s="10" t="n">
        <f aca="false">IF(OR(Nonlabor!$L$25="Quote required",Nonlabor!$L$25="Unverified"),G2492,0)</f>
        <v>0</v>
      </c>
      <c r="I2492" s="10" t="n">
        <f aca="false">IF(Nonlabor!$E$25="Core",0,G2492)</f>
        <v>0</v>
      </c>
      <c r="J2492" s="23" t="str">
        <f aca="false">Nonlabor!$B$25</f>
        <v>AI</v>
      </c>
    </row>
    <row r="2493" customFormat="false" ht="15" hidden="false" customHeight="false" outlineLevel="0" collapsed="false">
      <c r="A2493" s="6" t="s">
        <v>4</v>
      </c>
      <c r="B2493" s="6" t="s">
        <v>432</v>
      </c>
      <c r="C2493" s="6" t="n">
        <v>28</v>
      </c>
      <c r="D2493" s="25" t="n">
        <f aca="false">EDATE('Start Here'!$B$6,C2493-1)</f>
        <v>47150</v>
      </c>
      <c r="E2493" s="23" t="n">
        <f aca="false">IF(AND(OR(Nonlabor!$D$25="Both",Nonlabor!$D$25='Start Here'!$B$9),IF(Nonlabor!$E$25="Core",1,IF(Nonlabor!$E$25="AI",'Start Here'!$B$7,'Start Here'!$B$8))=1,C2493&gt;=IF(Nonlabor!$E$25="Core",Nonlabor!$F$25,MAX(Nonlabor!$F$25,IF(Nonlabor!$E$25="AI",Assumptions!$D$24,Assumptions!$D$25))),C2493&lt;=Nonlabor!$G$25,OR(Nonlabor!$H$25="Monthly",AND(Nonlabor!$H$25="Once",C2493=IF(Nonlabor!$E$25="Core",Nonlabor!$F$25,MAX(Nonlabor!$F$25,IF(Nonlabor!$E$25="AI",Assumptions!$D$24,Assumptions!$D$25)))),AND(Nonlabor!$H$25="Annual",MOD(C2493-IF(Nonlabor!$E$25="Core",Nonlabor!$F$25,MAX(Nonlabor!$F$25,IF(Nonlabor!$E$25="AI",Assumptions!$D$24,Assumptions!$D$25))),12)=0))),IF(Nonlabor!$I$25="Fixed",1,IF(Nonlabor!$I$25="Seats",ROUNDUP('Monthly Base'!I33,0),IF(Nonlabor!$I$25="Customers",'Monthly Base'!D33,IF(Nonlabor!$I$25="NewCustomers",'Monthly Base'!C33,IF(Nonlabor!$I$25="StorageGB",'Monthly Base'!G33,IF(Nonlabor!$I$25="LogGB",'Monthly Base'!H33,IF(Nonlabor!$I$25="RequestsM",'Monthly Base'!F33,IF(Nonlabor!$I$25="InputM",'Monthly Base'!D33*Assumptions!$D$22/1000000,IF(Nonlabor!$I$25="OutputM",'Monthly Base'!D33*Assumptions!$D$23/1000000,0))))))))),0)</f>
        <v>0</v>
      </c>
      <c r="F2493" s="10" t="n">
        <f aca="false">Nonlabor!$J$25*(1+Assumptions!$D$9)^INT((C2493-1)/12)</f>
        <v>1.69744</v>
      </c>
      <c r="G2493" s="10" t="n">
        <f aca="false">E2493*F2493</f>
        <v>0</v>
      </c>
      <c r="H2493" s="10" t="n">
        <f aca="false">IF(OR(Nonlabor!$L$25="Quote required",Nonlabor!$L$25="Unverified"),G2493,0)</f>
        <v>0</v>
      </c>
      <c r="I2493" s="10" t="n">
        <f aca="false">IF(Nonlabor!$E$25="Core",0,G2493)</f>
        <v>0</v>
      </c>
      <c r="J2493" s="23" t="str">
        <f aca="false">Nonlabor!$B$25</f>
        <v>AI</v>
      </c>
    </row>
    <row r="2494" customFormat="false" ht="15" hidden="false" customHeight="false" outlineLevel="0" collapsed="false">
      <c r="A2494" s="6" t="s">
        <v>4</v>
      </c>
      <c r="B2494" s="6" t="s">
        <v>432</v>
      </c>
      <c r="C2494" s="6" t="n">
        <v>29</v>
      </c>
      <c r="D2494" s="25" t="n">
        <f aca="false">EDATE('Start Here'!$B$6,C2494-1)</f>
        <v>47178</v>
      </c>
      <c r="E2494" s="23" t="n">
        <f aca="false">IF(AND(OR(Nonlabor!$D$25="Both",Nonlabor!$D$25='Start Here'!$B$9),IF(Nonlabor!$E$25="Core",1,IF(Nonlabor!$E$25="AI",'Start Here'!$B$7,'Start Here'!$B$8))=1,C2494&gt;=IF(Nonlabor!$E$25="Core",Nonlabor!$F$25,MAX(Nonlabor!$F$25,IF(Nonlabor!$E$25="AI",Assumptions!$D$24,Assumptions!$D$25))),C2494&lt;=Nonlabor!$G$25,OR(Nonlabor!$H$25="Monthly",AND(Nonlabor!$H$25="Once",C2494=IF(Nonlabor!$E$25="Core",Nonlabor!$F$25,MAX(Nonlabor!$F$25,IF(Nonlabor!$E$25="AI",Assumptions!$D$24,Assumptions!$D$25)))),AND(Nonlabor!$H$25="Annual",MOD(C2494-IF(Nonlabor!$E$25="Core",Nonlabor!$F$25,MAX(Nonlabor!$F$25,IF(Nonlabor!$E$25="AI",Assumptions!$D$24,Assumptions!$D$25))),12)=0))),IF(Nonlabor!$I$25="Fixed",1,IF(Nonlabor!$I$25="Seats",ROUNDUP('Monthly Base'!I34,0),IF(Nonlabor!$I$25="Customers",'Monthly Base'!D34,IF(Nonlabor!$I$25="NewCustomers",'Monthly Base'!C34,IF(Nonlabor!$I$25="StorageGB",'Monthly Base'!G34,IF(Nonlabor!$I$25="LogGB",'Monthly Base'!H34,IF(Nonlabor!$I$25="RequestsM",'Monthly Base'!F34,IF(Nonlabor!$I$25="InputM",'Monthly Base'!D34*Assumptions!$D$22/1000000,IF(Nonlabor!$I$25="OutputM",'Monthly Base'!D34*Assumptions!$D$23/1000000,0))))))))),0)</f>
        <v>0</v>
      </c>
      <c r="F2494" s="10" t="n">
        <f aca="false">Nonlabor!$J$25*(1+Assumptions!$D$9)^INT((C2494-1)/12)</f>
        <v>1.69744</v>
      </c>
      <c r="G2494" s="10" t="n">
        <f aca="false">E2494*F2494</f>
        <v>0</v>
      </c>
      <c r="H2494" s="10" t="n">
        <f aca="false">IF(OR(Nonlabor!$L$25="Quote required",Nonlabor!$L$25="Unverified"),G2494,0)</f>
        <v>0</v>
      </c>
      <c r="I2494" s="10" t="n">
        <f aca="false">IF(Nonlabor!$E$25="Core",0,G2494)</f>
        <v>0</v>
      </c>
      <c r="J2494" s="23" t="str">
        <f aca="false">Nonlabor!$B$25</f>
        <v>AI</v>
      </c>
    </row>
    <row r="2495" customFormat="false" ht="15" hidden="false" customHeight="false" outlineLevel="0" collapsed="false">
      <c r="A2495" s="6" t="s">
        <v>4</v>
      </c>
      <c r="B2495" s="6" t="s">
        <v>432</v>
      </c>
      <c r="C2495" s="6" t="n">
        <v>30</v>
      </c>
      <c r="D2495" s="25" t="n">
        <f aca="false">EDATE('Start Here'!$B$6,C2495-1)</f>
        <v>47209</v>
      </c>
      <c r="E2495" s="23" t="n">
        <f aca="false">IF(AND(OR(Nonlabor!$D$25="Both",Nonlabor!$D$25='Start Here'!$B$9),IF(Nonlabor!$E$25="Core",1,IF(Nonlabor!$E$25="AI",'Start Here'!$B$7,'Start Here'!$B$8))=1,C2495&gt;=IF(Nonlabor!$E$25="Core",Nonlabor!$F$25,MAX(Nonlabor!$F$25,IF(Nonlabor!$E$25="AI",Assumptions!$D$24,Assumptions!$D$25))),C2495&lt;=Nonlabor!$G$25,OR(Nonlabor!$H$25="Monthly",AND(Nonlabor!$H$25="Once",C2495=IF(Nonlabor!$E$25="Core",Nonlabor!$F$25,MAX(Nonlabor!$F$25,IF(Nonlabor!$E$25="AI",Assumptions!$D$24,Assumptions!$D$25)))),AND(Nonlabor!$H$25="Annual",MOD(C2495-IF(Nonlabor!$E$25="Core",Nonlabor!$F$25,MAX(Nonlabor!$F$25,IF(Nonlabor!$E$25="AI",Assumptions!$D$24,Assumptions!$D$25))),12)=0))),IF(Nonlabor!$I$25="Fixed",1,IF(Nonlabor!$I$25="Seats",ROUNDUP('Monthly Base'!I35,0),IF(Nonlabor!$I$25="Customers",'Monthly Base'!D35,IF(Nonlabor!$I$25="NewCustomers",'Monthly Base'!C35,IF(Nonlabor!$I$25="StorageGB",'Monthly Base'!G35,IF(Nonlabor!$I$25="LogGB",'Monthly Base'!H35,IF(Nonlabor!$I$25="RequestsM",'Monthly Base'!F35,IF(Nonlabor!$I$25="InputM",'Monthly Base'!D35*Assumptions!$D$22/1000000,IF(Nonlabor!$I$25="OutputM",'Monthly Base'!D35*Assumptions!$D$23/1000000,0))))))))),0)</f>
        <v>0</v>
      </c>
      <c r="F2495" s="10" t="n">
        <f aca="false">Nonlabor!$J$25*(1+Assumptions!$D$9)^INT((C2495-1)/12)</f>
        <v>1.69744</v>
      </c>
      <c r="G2495" s="10" t="n">
        <f aca="false">E2495*F2495</f>
        <v>0</v>
      </c>
      <c r="H2495" s="10" t="n">
        <f aca="false">IF(OR(Nonlabor!$L$25="Quote required",Nonlabor!$L$25="Unverified"),G2495,0)</f>
        <v>0</v>
      </c>
      <c r="I2495" s="10" t="n">
        <f aca="false">IF(Nonlabor!$E$25="Core",0,G2495)</f>
        <v>0</v>
      </c>
      <c r="J2495" s="23" t="str">
        <f aca="false">Nonlabor!$B$25</f>
        <v>AI</v>
      </c>
    </row>
    <row r="2496" customFormat="false" ht="15" hidden="false" customHeight="false" outlineLevel="0" collapsed="false">
      <c r="A2496" s="6" t="s">
        <v>4</v>
      </c>
      <c r="B2496" s="6" t="s">
        <v>432</v>
      </c>
      <c r="C2496" s="6" t="n">
        <v>31</v>
      </c>
      <c r="D2496" s="25" t="n">
        <f aca="false">EDATE('Start Here'!$B$6,C2496-1)</f>
        <v>47239</v>
      </c>
      <c r="E2496" s="23" t="n">
        <f aca="false">IF(AND(OR(Nonlabor!$D$25="Both",Nonlabor!$D$25='Start Here'!$B$9),IF(Nonlabor!$E$25="Core",1,IF(Nonlabor!$E$25="AI",'Start Here'!$B$7,'Start Here'!$B$8))=1,C2496&gt;=IF(Nonlabor!$E$25="Core",Nonlabor!$F$25,MAX(Nonlabor!$F$25,IF(Nonlabor!$E$25="AI",Assumptions!$D$24,Assumptions!$D$25))),C2496&lt;=Nonlabor!$G$25,OR(Nonlabor!$H$25="Monthly",AND(Nonlabor!$H$25="Once",C2496=IF(Nonlabor!$E$25="Core",Nonlabor!$F$25,MAX(Nonlabor!$F$25,IF(Nonlabor!$E$25="AI",Assumptions!$D$24,Assumptions!$D$25)))),AND(Nonlabor!$H$25="Annual",MOD(C2496-IF(Nonlabor!$E$25="Core",Nonlabor!$F$25,MAX(Nonlabor!$F$25,IF(Nonlabor!$E$25="AI",Assumptions!$D$24,Assumptions!$D$25))),12)=0))),IF(Nonlabor!$I$25="Fixed",1,IF(Nonlabor!$I$25="Seats",ROUNDUP('Monthly Base'!I36,0),IF(Nonlabor!$I$25="Customers",'Monthly Base'!D36,IF(Nonlabor!$I$25="NewCustomers",'Monthly Base'!C36,IF(Nonlabor!$I$25="StorageGB",'Monthly Base'!G36,IF(Nonlabor!$I$25="LogGB",'Monthly Base'!H36,IF(Nonlabor!$I$25="RequestsM",'Monthly Base'!F36,IF(Nonlabor!$I$25="InputM",'Monthly Base'!D36*Assumptions!$D$22/1000000,IF(Nonlabor!$I$25="OutputM",'Monthly Base'!D36*Assumptions!$D$23/1000000,0))))))))),0)</f>
        <v>0</v>
      </c>
      <c r="F2496" s="10" t="n">
        <f aca="false">Nonlabor!$J$25*(1+Assumptions!$D$9)^INT((C2496-1)/12)</f>
        <v>1.69744</v>
      </c>
      <c r="G2496" s="10" t="n">
        <f aca="false">E2496*F2496</f>
        <v>0</v>
      </c>
      <c r="H2496" s="10" t="n">
        <f aca="false">IF(OR(Nonlabor!$L$25="Quote required",Nonlabor!$L$25="Unverified"),G2496,0)</f>
        <v>0</v>
      </c>
      <c r="I2496" s="10" t="n">
        <f aca="false">IF(Nonlabor!$E$25="Core",0,G2496)</f>
        <v>0</v>
      </c>
      <c r="J2496" s="23" t="str">
        <f aca="false">Nonlabor!$B$25</f>
        <v>AI</v>
      </c>
    </row>
    <row r="2497" customFormat="false" ht="15" hidden="false" customHeight="false" outlineLevel="0" collapsed="false">
      <c r="A2497" s="6" t="s">
        <v>4</v>
      </c>
      <c r="B2497" s="6" t="s">
        <v>432</v>
      </c>
      <c r="C2497" s="6" t="n">
        <v>32</v>
      </c>
      <c r="D2497" s="25" t="n">
        <f aca="false">EDATE('Start Here'!$B$6,C2497-1)</f>
        <v>47270</v>
      </c>
      <c r="E2497" s="23" t="n">
        <f aca="false">IF(AND(OR(Nonlabor!$D$25="Both",Nonlabor!$D$25='Start Here'!$B$9),IF(Nonlabor!$E$25="Core",1,IF(Nonlabor!$E$25="AI",'Start Here'!$B$7,'Start Here'!$B$8))=1,C2497&gt;=IF(Nonlabor!$E$25="Core",Nonlabor!$F$25,MAX(Nonlabor!$F$25,IF(Nonlabor!$E$25="AI",Assumptions!$D$24,Assumptions!$D$25))),C2497&lt;=Nonlabor!$G$25,OR(Nonlabor!$H$25="Monthly",AND(Nonlabor!$H$25="Once",C2497=IF(Nonlabor!$E$25="Core",Nonlabor!$F$25,MAX(Nonlabor!$F$25,IF(Nonlabor!$E$25="AI",Assumptions!$D$24,Assumptions!$D$25)))),AND(Nonlabor!$H$25="Annual",MOD(C2497-IF(Nonlabor!$E$25="Core",Nonlabor!$F$25,MAX(Nonlabor!$F$25,IF(Nonlabor!$E$25="AI",Assumptions!$D$24,Assumptions!$D$25))),12)=0))),IF(Nonlabor!$I$25="Fixed",1,IF(Nonlabor!$I$25="Seats",ROUNDUP('Monthly Base'!I37,0),IF(Nonlabor!$I$25="Customers",'Monthly Base'!D37,IF(Nonlabor!$I$25="NewCustomers",'Monthly Base'!C37,IF(Nonlabor!$I$25="StorageGB",'Monthly Base'!G37,IF(Nonlabor!$I$25="LogGB",'Monthly Base'!H37,IF(Nonlabor!$I$25="RequestsM",'Monthly Base'!F37,IF(Nonlabor!$I$25="InputM",'Monthly Base'!D37*Assumptions!$D$22/1000000,IF(Nonlabor!$I$25="OutputM",'Monthly Base'!D37*Assumptions!$D$23/1000000,0))))))))),0)</f>
        <v>0</v>
      </c>
      <c r="F2497" s="10" t="n">
        <f aca="false">Nonlabor!$J$25*(1+Assumptions!$D$9)^INT((C2497-1)/12)</f>
        <v>1.69744</v>
      </c>
      <c r="G2497" s="10" t="n">
        <f aca="false">E2497*F2497</f>
        <v>0</v>
      </c>
      <c r="H2497" s="10" t="n">
        <f aca="false">IF(OR(Nonlabor!$L$25="Quote required",Nonlabor!$L$25="Unverified"),G2497,0)</f>
        <v>0</v>
      </c>
      <c r="I2497" s="10" t="n">
        <f aca="false">IF(Nonlabor!$E$25="Core",0,G2497)</f>
        <v>0</v>
      </c>
      <c r="J2497" s="23" t="str">
        <f aca="false">Nonlabor!$B$25</f>
        <v>AI</v>
      </c>
    </row>
    <row r="2498" customFormat="false" ht="15" hidden="false" customHeight="false" outlineLevel="0" collapsed="false">
      <c r="A2498" s="6" t="s">
        <v>4</v>
      </c>
      <c r="B2498" s="6" t="s">
        <v>432</v>
      </c>
      <c r="C2498" s="6" t="n">
        <v>33</v>
      </c>
      <c r="D2498" s="25" t="n">
        <f aca="false">EDATE('Start Here'!$B$6,C2498-1)</f>
        <v>47300</v>
      </c>
      <c r="E2498" s="23" t="n">
        <f aca="false">IF(AND(OR(Nonlabor!$D$25="Both",Nonlabor!$D$25='Start Here'!$B$9),IF(Nonlabor!$E$25="Core",1,IF(Nonlabor!$E$25="AI",'Start Here'!$B$7,'Start Here'!$B$8))=1,C2498&gt;=IF(Nonlabor!$E$25="Core",Nonlabor!$F$25,MAX(Nonlabor!$F$25,IF(Nonlabor!$E$25="AI",Assumptions!$D$24,Assumptions!$D$25))),C2498&lt;=Nonlabor!$G$25,OR(Nonlabor!$H$25="Monthly",AND(Nonlabor!$H$25="Once",C2498=IF(Nonlabor!$E$25="Core",Nonlabor!$F$25,MAX(Nonlabor!$F$25,IF(Nonlabor!$E$25="AI",Assumptions!$D$24,Assumptions!$D$25)))),AND(Nonlabor!$H$25="Annual",MOD(C2498-IF(Nonlabor!$E$25="Core",Nonlabor!$F$25,MAX(Nonlabor!$F$25,IF(Nonlabor!$E$25="AI",Assumptions!$D$24,Assumptions!$D$25))),12)=0))),IF(Nonlabor!$I$25="Fixed",1,IF(Nonlabor!$I$25="Seats",ROUNDUP('Monthly Base'!I38,0),IF(Nonlabor!$I$25="Customers",'Monthly Base'!D38,IF(Nonlabor!$I$25="NewCustomers",'Monthly Base'!C38,IF(Nonlabor!$I$25="StorageGB",'Monthly Base'!G38,IF(Nonlabor!$I$25="LogGB",'Monthly Base'!H38,IF(Nonlabor!$I$25="RequestsM",'Monthly Base'!F38,IF(Nonlabor!$I$25="InputM",'Monthly Base'!D38*Assumptions!$D$22/1000000,IF(Nonlabor!$I$25="OutputM",'Monthly Base'!D38*Assumptions!$D$23/1000000,0))))))))),0)</f>
        <v>0</v>
      </c>
      <c r="F2498" s="10" t="n">
        <f aca="false">Nonlabor!$J$25*(1+Assumptions!$D$9)^INT((C2498-1)/12)</f>
        <v>1.69744</v>
      </c>
      <c r="G2498" s="10" t="n">
        <f aca="false">E2498*F2498</f>
        <v>0</v>
      </c>
      <c r="H2498" s="10" t="n">
        <f aca="false">IF(OR(Nonlabor!$L$25="Quote required",Nonlabor!$L$25="Unverified"),G2498,0)</f>
        <v>0</v>
      </c>
      <c r="I2498" s="10" t="n">
        <f aca="false">IF(Nonlabor!$E$25="Core",0,G2498)</f>
        <v>0</v>
      </c>
      <c r="J2498" s="23" t="str">
        <f aca="false">Nonlabor!$B$25</f>
        <v>AI</v>
      </c>
    </row>
    <row r="2499" customFormat="false" ht="15" hidden="false" customHeight="false" outlineLevel="0" collapsed="false">
      <c r="A2499" s="6" t="s">
        <v>4</v>
      </c>
      <c r="B2499" s="6" t="s">
        <v>432</v>
      </c>
      <c r="C2499" s="6" t="n">
        <v>34</v>
      </c>
      <c r="D2499" s="25" t="n">
        <f aca="false">EDATE('Start Here'!$B$6,C2499-1)</f>
        <v>47331</v>
      </c>
      <c r="E2499" s="23" t="n">
        <f aca="false">IF(AND(OR(Nonlabor!$D$25="Both",Nonlabor!$D$25='Start Here'!$B$9),IF(Nonlabor!$E$25="Core",1,IF(Nonlabor!$E$25="AI",'Start Here'!$B$7,'Start Here'!$B$8))=1,C2499&gt;=IF(Nonlabor!$E$25="Core",Nonlabor!$F$25,MAX(Nonlabor!$F$25,IF(Nonlabor!$E$25="AI",Assumptions!$D$24,Assumptions!$D$25))),C2499&lt;=Nonlabor!$G$25,OR(Nonlabor!$H$25="Monthly",AND(Nonlabor!$H$25="Once",C2499=IF(Nonlabor!$E$25="Core",Nonlabor!$F$25,MAX(Nonlabor!$F$25,IF(Nonlabor!$E$25="AI",Assumptions!$D$24,Assumptions!$D$25)))),AND(Nonlabor!$H$25="Annual",MOD(C2499-IF(Nonlabor!$E$25="Core",Nonlabor!$F$25,MAX(Nonlabor!$F$25,IF(Nonlabor!$E$25="AI",Assumptions!$D$24,Assumptions!$D$25))),12)=0))),IF(Nonlabor!$I$25="Fixed",1,IF(Nonlabor!$I$25="Seats",ROUNDUP('Monthly Base'!I39,0),IF(Nonlabor!$I$25="Customers",'Monthly Base'!D39,IF(Nonlabor!$I$25="NewCustomers",'Monthly Base'!C39,IF(Nonlabor!$I$25="StorageGB",'Monthly Base'!G39,IF(Nonlabor!$I$25="LogGB",'Monthly Base'!H39,IF(Nonlabor!$I$25="RequestsM",'Monthly Base'!F39,IF(Nonlabor!$I$25="InputM",'Monthly Base'!D39*Assumptions!$D$22/1000000,IF(Nonlabor!$I$25="OutputM",'Monthly Base'!D39*Assumptions!$D$23/1000000,0))))))))),0)</f>
        <v>0</v>
      </c>
      <c r="F2499" s="10" t="n">
        <f aca="false">Nonlabor!$J$25*(1+Assumptions!$D$9)^INT((C2499-1)/12)</f>
        <v>1.69744</v>
      </c>
      <c r="G2499" s="10" t="n">
        <f aca="false">E2499*F2499</f>
        <v>0</v>
      </c>
      <c r="H2499" s="10" t="n">
        <f aca="false">IF(OR(Nonlabor!$L$25="Quote required",Nonlabor!$L$25="Unverified"),G2499,0)</f>
        <v>0</v>
      </c>
      <c r="I2499" s="10" t="n">
        <f aca="false">IF(Nonlabor!$E$25="Core",0,G2499)</f>
        <v>0</v>
      </c>
      <c r="J2499" s="23" t="str">
        <f aca="false">Nonlabor!$B$25</f>
        <v>AI</v>
      </c>
    </row>
    <row r="2500" customFormat="false" ht="15" hidden="false" customHeight="false" outlineLevel="0" collapsed="false">
      <c r="A2500" s="6" t="s">
        <v>4</v>
      </c>
      <c r="B2500" s="6" t="s">
        <v>432</v>
      </c>
      <c r="C2500" s="6" t="n">
        <v>35</v>
      </c>
      <c r="D2500" s="25" t="n">
        <f aca="false">EDATE('Start Here'!$B$6,C2500-1)</f>
        <v>47362</v>
      </c>
      <c r="E2500" s="23" t="n">
        <f aca="false">IF(AND(OR(Nonlabor!$D$25="Both",Nonlabor!$D$25='Start Here'!$B$9),IF(Nonlabor!$E$25="Core",1,IF(Nonlabor!$E$25="AI",'Start Here'!$B$7,'Start Here'!$B$8))=1,C2500&gt;=IF(Nonlabor!$E$25="Core",Nonlabor!$F$25,MAX(Nonlabor!$F$25,IF(Nonlabor!$E$25="AI",Assumptions!$D$24,Assumptions!$D$25))),C2500&lt;=Nonlabor!$G$25,OR(Nonlabor!$H$25="Monthly",AND(Nonlabor!$H$25="Once",C2500=IF(Nonlabor!$E$25="Core",Nonlabor!$F$25,MAX(Nonlabor!$F$25,IF(Nonlabor!$E$25="AI",Assumptions!$D$24,Assumptions!$D$25)))),AND(Nonlabor!$H$25="Annual",MOD(C2500-IF(Nonlabor!$E$25="Core",Nonlabor!$F$25,MAX(Nonlabor!$F$25,IF(Nonlabor!$E$25="AI",Assumptions!$D$24,Assumptions!$D$25))),12)=0))),IF(Nonlabor!$I$25="Fixed",1,IF(Nonlabor!$I$25="Seats",ROUNDUP('Monthly Base'!I40,0),IF(Nonlabor!$I$25="Customers",'Monthly Base'!D40,IF(Nonlabor!$I$25="NewCustomers",'Monthly Base'!C40,IF(Nonlabor!$I$25="StorageGB",'Monthly Base'!G40,IF(Nonlabor!$I$25="LogGB",'Monthly Base'!H40,IF(Nonlabor!$I$25="RequestsM",'Monthly Base'!F40,IF(Nonlabor!$I$25="InputM",'Monthly Base'!D40*Assumptions!$D$22/1000000,IF(Nonlabor!$I$25="OutputM",'Monthly Base'!D40*Assumptions!$D$23/1000000,0))))))))),0)</f>
        <v>0</v>
      </c>
      <c r="F2500" s="10" t="n">
        <f aca="false">Nonlabor!$J$25*(1+Assumptions!$D$9)^INT((C2500-1)/12)</f>
        <v>1.69744</v>
      </c>
      <c r="G2500" s="10" t="n">
        <f aca="false">E2500*F2500</f>
        <v>0</v>
      </c>
      <c r="H2500" s="10" t="n">
        <f aca="false">IF(OR(Nonlabor!$L$25="Quote required",Nonlabor!$L$25="Unverified"),G2500,0)</f>
        <v>0</v>
      </c>
      <c r="I2500" s="10" t="n">
        <f aca="false">IF(Nonlabor!$E$25="Core",0,G2500)</f>
        <v>0</v>
      </c>
      <c r="J2500" s="23" t="str">
        <f aca="false">Nonlabor!$B$25</f>
        <v>AI</v>
      </c>
    </row>
    <row r="2501" customFormat="false" ht="15" hidden="false" customHeight="false" outlineLevel="0" collapsed="false">
      <c r="A2501" s="6" t="s">
        <v>4</v>
      </c>
      <c r="B2501" s="6" t="s">
        <v>432</v>
      </c>
      <c r="C2501" s="6" t="n">
        <v>36</v>
      </c>
      <c r="D2501" s="25" t="n">
        <f aca="false">EDATE('Start Here'!$B$6,C2501-1)</f>
        <v>47392</v>
      </c>
      <c r="E2501" s="23" t="n">
        <f aca="false">IF(AND(OR(Nonlabor!$D$25="Both",Nonlabor!$D$25='Start Here'!$B$9),IF(Nonlabor!$E$25="Core",1,IF(Nonlabor!$E$25="AI",'Start Here'!$B$7,'Start Here'!$B$8))=1,C2501&gt;=IF(Nonlabor!$E$25="Core",Nonlabor!$F$25,MAX(Nonlabor!$F$25,IF(Nonlabor!$E$25="AI",Assumptions!$D$24,Assumptions!$D$25))),C2501&lt;=Nonlabor!$G$25,OR(Nonlabor!$H$25="Monthly",AND(Nonlabor!$H$25="Once",C2501=IF(Nonlabor!$E$25="Core",Nonlabor!$F$25,MAX(Nonlabor!$F$25,IF(Nonlabor!$E$25="AI",Assumptions!$D$24,Assumptions!$D$25)))),AND(Nonlabor!$H$25="Annual",MOD(C2501-IF(Nonlabor!$E$25="Core",Nonlabor!$F$25,MAX(Nonlabor!$F$25,IF(Nonlabor!$E$25="AI",Assumptions!$D$24,Assumptions!$D$25))),12)=0))),IF(Nonlabor!$I$25="Fixed",1,IF(Nonlabor!$I$25="Seats",ROUNDUP('Monthly Base'!I41,0),IF(Nonlabor!$I$25="Customers",'Monthly Base'!D41,IF(Nonlabor!$I$25="NewCustomers",'Monthly Base'!C41,IF(Nonlabor!$I$25="StorageGB",'Monthly Base'!G41,IF(Nonlabor!$I$25="LogGB",'Monthly Base'!H41,IF(Nonlabor!$I$25="RequestsM",'Monthly Base'!F41,IF(Nonlabor!$I$25="InputM",'Monthly Base'!D41*Assumptions!$D$22/1000000,IF(Nonlabor!$I$25="OutputM",'Monthly Base'!D41*Assumptions!$D$23/1000000,0))))))))),0)</f>
        <v>0</v>
      </c>
      <c r="F2501" s="10" t="n">
        <f aca="false">Nonlabor!$J$25*(1+Assumptions!$D$9)^INT((C2501-1)/12)</f>
        <v>1.69744</v>
      </c>
      <c r="G2501" s="10" t="n">
        <f aca="false">E2501*F2501</f>
        <v>0</v>
      </c>
      <c r="H2501" s="10" t="n">
        <f aca="false">IF(OR(Nonlabor!$L$25="Quote required",Nonlabor!$L$25="Unverified"),G2501,0)</f>
        <v>0</v>
      </c>
      <c r="I2501" s="10" t="n">
        <f aca="false">IF(Nonlabor!$E$25="Core",0,G2501)</f>
        <v>0</v>
      </c>
      <c r="J2501" s="23" t="str">
        <f aca="false">Nonlabor!$B$25</f>
        <v>AI</v>
      </c>
    </row>
    <row r="2502" customFormat="false" ht="15" hidden="false" customHeight="false" outlineLevel="0" collapsed="false">
      <c r="A2502" s="6" t="s">
        <v>4</v>
      </c>
      <c r="B2502" s="6" t="s">
        <v>432</v>
      </c>
      <c r="C2502" s="6" t="n">
        <v>37</v>
      </c>
      <c r="D2502" s="25" t="n">
        <f aca="false">EDATE('Start Here'!$B$6,C2502-1)</f>
        <v>47423</v>
      </c>
      <c r="E2502" s="23" t="n">
        <f aca="false">IF(AND(OR(Nonlabor!$D$25="Both",Nonlabor!$D$25='Start Here'!$B$9),IF(Nonlabor!$E$25="Core",1,IF(Nonlabor!$E$25="AI",'Start Here'!$B$7,'Start Here'!$B$8))=1,C2502&gt;=IF(Nonlabor!$E$25="Core",Nonlabor!$F$25,MAX(Nonlabor!$F$25,IF(Nonlabor!$E$25="AI",Assumptions!$D$24,Assumptions!$D$25))),C2502&lt;=Nonlabor!$G$25,OR(Nonlabor!$H$25="Monthly",AND(Nonlabor!$H$25="Once",C2502=IF(Nonlabor!$E$25="Core",Nonlabor!$F$25,MAX(Nonlabor!$F$25,IF(Nonlabor!$E$25="AI",Assumptions!$D$24,Assumptions!$D$25)))),AND(Nonlabor!$H$25="Annual",MOD(C2502-IF(Nonlabor!$E$25="Core",Nonlabor!$F$25,MAX(Nonlabor!$F$25,IF(Nonlabor!$E$25="AI",Assumptions!$D$24,Assumptions!$D$25))),12)=0))),IF(Nonlabor!$I$25="Fixed",1,IF(Nonlabor!$I$25="Seats",ROUNDUP('Monthly Base'!I42,0),IF(Nonlabor!$I$25="Customers",'Monthly Base'!D42,IF(Nonlabor!$I$25="NewCustomers",'Monthly Base'!C42,IF(Nonlabor!$I$25="StorageGB",'Monthly Base'!G42,IF(Nonlabor!$I$25="LogGB",'Monthly Base'!H42,IF(Nonlabor!$I$25="RequestsM",'Monthly Base'!F42,IF(Nonlabor!$I$25="InputM",'Monthly Base'!D42*Assumptions!$D$22/1000000,IF(Nonlabor!$I$25="OutputM",'Monthly Base'!D42*Assumptions!$D$23/1000000,0))))))))),0)</f>
        <v>0</v>
      </c>
      <c r="F2502" s="10" t="n">
        <f aca="false">Nonlabor!$J$25*(1+Assumptions!$D$9)^INT((C2502-1)/12)</f>
        <v>1.7483632</v>
      </c>
      <c r="G2502" s="10" t="n">
        <f aca="false">E2502*F2502</f>
        <v>0</v>
      </c>
      <c r="H2502" s="10" t="n">
        <f aca="false">IF(OR(Nonlabor!$L$25="Quote required",Nonlabor!$L$25="Unverified"),G2502,0)</f>
        <v>0</v>
      </c>
      <c r="I2502" s="10" t="n">
        <f aca="false">IF(Nonlabor!$E$25="Core",0,G2502)</f>
        <v>0</v>
      </c>
      <c r="J2502" s="23" t="str">
        <f aca="false">Nonlabor!$B$25</f>
        <v>AI</v>
      </c>
    </row>
    <row r="2503" customFormat="false" ht="15" hidden="false" customHeight="false" outlineLevel="0" collapsed="false">
      <c r="A2503" s="6" t="s">
        <v>4</v>
      </c>
      <c r="B2503" s="6" t="s">
        <v>432</v>
      </c>
      <c r="C2503" s="6" t="n">
        <v>38</v>
      </c>
      <c r="D2503" s="25" t="n">
        <f aca="false">EDATE('Start Here'!$B$6,C2503-1)</f>
        <v>47453</v>
      </c>
      <c r="E2503" s="23" t="n">
        <f aca="false">IF(AND(OR(Nonlabor!$D$25="Both",Nonlabor!$D$25='Start Here'!$B$9),IF(Nonlabor!$E$25="Core",1,IF(Nonlabor!$E$25="AI",'Start Here'!$B$7,'Start Here'!$B$8))=1,C2503&gt;=IF(Nonlabor!$E$25="Core",Nonlabor!$F$25,MAX(Nonlabor!$F$25,IF(Nonlabor!$E$25="AI",Assumptions!$D$24,Assumptions!$D$25))),C2503&lt;=Nonlabor!$G$25,OR(Nonlabor!$H$25="Monthly",AND(Nonlabor!$H$25="Once",C2503=IF(Nonlabor!$E$25="Core",Nonlabor!$F$25,MAX(Nonlabor!$F$25,IF(Nonlabor!$E$25="AI",Assumptions!$D$24,Assumptions!$D$25)))),AND(Nonlabor!$H$25="Annual",MOD(C2503-IF(Nonlabor!$E$25="Core",Nonlabor!$F$25,MAX(Nonlabor!$F$25,IF(Nonlabor!$E$25="AI",Assumptions!$D$24,Assumptions!$D$25))),12)=0))),IF(Nonlabor!$I$25="Fixed",1,IF(Nonlabor!$I$25="Seats",ROUNDUP('Monthly Base'!I43,0),IF(Nonlabor!$I$25="Customers",'Monthly Base'!D43,IF(Nonlabor!$I$25="NewCustomers",'Monthly Base'!C43,IF(Nonlabor!$I$25="StorageGB",'Monthly Base'!G43,IF(Nonlabor!$I$25="LogGB",'Monthly Base'!H43,IF(Nonlabor!$I$25="RequestsM",'Monthly Base'!F43,IF(Nonlabor!$I$25="InputM",'Monthly Base'!D43*Assumptions!$D$22/1000000,IF(Nonlabor!$I$25="OutputM",'Monthly Base'!D43*Assumptions!$D$23/1000000,0))))))))),0)</f>
        <v>0</v>
      </c>
      <c r="F2503" s="10" t="n">
        <f aca="false">Nonlabor!$J$25*(1+Assumptions!$D$9)^INT((C2503-1)/12)</f>
        <v>1.7483632</v>
      </c>
      <c r="G2503" s="10" t="n">
        <f aca="false">E2503*F2503</f>
        <v>0</v>
      </c>
      <c r="H2503" s="10" t="n">
        <f aca="false">IF(OR(Nonlabor!$L$25="Quote required",Nonlabor!$L$25="Unverified"),G2503,0)</f>
        <v>0</v>
      </c>
      <c r="I2503" s="10" t="n">
        <f aca="false">IF(Nonlabor!$E$25="Core",0,G2503)</f>
        <v>0</v>
      </c>
      <c r="J2503" s="23" t="str">
        <f aca="false">Nonlabor!$B$25</f>
        <v>AI</v>
      </c>
    </row>
    <row r="2504" customFormat="false" ht="15" hidden="false" customHeight="false" outlineLevel="0" collapsed="false">
      <c r="A2504" s="6" t="s">
        <v>4</v>
      </c>
      <c r="B2504" s="6" t="s">
        <v>432</v>
      </c>
      <c r="C2504" s="6" t="n">
        <v>39</v>
      </c>
      <c r="D2504" s="25" t="n">
        <f aca="false">EDATE('Start Here'!$B$6,C2504-1)</f>
        <v>47484</v>
      </c>
      <c r="E2504" s="23" t="n">
        <f aca="false">IF(AND(OR(Nonlabor!$D$25="Both",Nonlabor!$D$25='Start Here'!$B$9),IF(Nonlabor!$E$25="Core",1,IF(Nonlabor!$E$25="AI",'Start Here'!$B$7,'Start Here'!$B$8))=1,C2504&gt;=IF(Nonlabor!$E$25="Core",Nonlabor!$F$25,MAX(Nonlabor!$F$25,IF(Nonlabor!$E$25="AI",Assumptions!$D$24,Assumptions!$D$25))),C2504&lt;=Nonlabor!$G$25,OR(Nonlabor!$H$25="Monthly",AND(Nonlabor!$H$25="Once",C2504=IF(Nonlabor!$E$25="Core",Nonlabor!$F$25,MAX(Nonlabor!$F$25,IF(Nonlabor!$E$25="AI",Assumptions!$D$24,Assumptions!$D$25)))),AND(Nonlabor!$H$25="Annual",MOD(C2504-IF(Nonlabor!$E$25="Core",Nonlabor!$F$25,MAX(Nonlabor!$F$25,IF(Nonlabor!$E$25="AI",Assumptions!$D$24,Assumptions!$D$25))),12)=0))),IF(Nonlabor!$I$25="Fixed",1,IF(Nonlabor!$I$25="Seats",ROUNDUP('Monthly Base'!I44,0),IF(Nonlabor!$I$25="Customers",'Monthly Base'!D44,IF(Nonlabor!$I$25="NewCustomers",'Monthly Base'!C44,IF(Nonlabor!$I$25="StorageGB",'Monthly Base'!G44,IF(Nonlabor!$I$25="LogGB",'Monthly Base'!H44,IF(Nonlabor!$I$25="RequestsM",'Monthly Base'!F44,IF(Nonlabor!$I$25="InputM",'Monthly Base'!D44*Assumptions!$D$22/1000000,IF(Nonlabor!$I$25="OutputM",'Monthly Base'!D44*Assumptions!$D$23/1000000,0))))))))),0)</f>
        <v>0</v>
      </c>
      <c r="F2504" s="10" t="n">
        <f aca="false">Nonlabor!$J$25*(1+Assumptions!$D$9)^INT((C2504-1)/12)</f>
        <v>1.7483632</v>
      </c>
      <c r="G2504" s="10" t="n">
        <f aca="false">E2504*F2504</f>
        <v>0</v>
      </c>
      <c r="H2504" s="10" t="n">
        <f aca="false">IF(OR(Nonlabor!$L$25="Quote required",Nonlabor!$L$25="Unverified"),G2504,0)</f>
        <v>0</v>
      </c>
      <c r="I2504" s="10" t="n">
        <f aca="false">IF(Nonlabor!$E$25="Core",0,G2504)</f>
        <v>0</v>
      </c>
      <c r="J2504" s="23" t="str">
        <f aca="false">Nonlabor!$B$25</f>
        <v>AI</v>
      </c>
    </row>
    <row r="2505" customFormat="false" ht="15" hidden="false" customHeight="false" outlineLevel="0" collapsed="false">
      <c r="A2505" s="6" t="s">
        <v>4</v>
      </c>
      <c r="B2505" s="6" t="s">
        <v>432</v>
      </c>
      <c r="C2505" s="6" t="n">
        <v>40</v>
      </c>
      <c r="D2505" s="25" t="n">
        <f aca="false">EDATE('Start Here'!$B$6,C2505-1)</f>
        <v>47515</v>
      </c>
      <c r="E2505" s="23" t="n">
        <f aca="false">IF(AND(OR(Nonlabor!$D$25="Both",Nonlabor!$D$25='Start Here'!$B$9),IF(Nonlabor!$E$25="Core",1,IF(Nonlabor!$E$25="AI",'Start Here'!$B$7,'Start Here'!$B$8))=1,C2505&gt;=IF(Nonlabor!$E$25="Core",Nonlabor!$F$25,MAX(Nonlabor!$F$25,IF(Nonlabor!$E$25="AI",Assumptions!$D$24,Assumptions!$D$25))),C2505&lt;=Nonlabor!$G$25,OR(Nonlabor!$H$25="Monthly",AND(Nonlabor!$H$25="Once",C2505=IF(Nonlabor!$E$25="Core",Nonlabor!$F$25,MAX(Nonlabor!$F$25,IF(Nonlabor!$E$25="AI",Assumptions!$D$24,Assumptions!$D$25)))),AND(Nonlabor!$H$25="Annual",MOD(C2505-IF(Nonlabor!$E$25="Core",Nonlabor!$F$25,MAX(Nonlabor!$F$25,IF(Nonlabor!$E$25="AI",Assumptions!$D$24,Assumptions!$D$25))),12)=0))),IF(Nonlabor!$I$25="Fixed",1,IF(Nonlabor!$I$25="Seats",ROUNDUP('Monthly Base'!I45,0),IF(Nonlabor!$I$25="Customers",'Monthly Base'!D45,IF(Nonlabor!$I$25="NewCustomers",'Monthly Base'!C45,IF(Nonlabor!$I$25="StorageGB",'Monthly Base'!G45,IF(Nonlabor!$I$25="LogGB",'Monthly Base'!H45,IF(Nonlabor!$I$25="RequestsM",'Monthly Base'!F45,IF(Nonlabor!$I$25="InputM",'Monthly Base'!D45*Assumptions!$D$22/1000000,IF(Nonlabor!$I$25="OutputM",'Monthly Base'!D45*Assumptions!$D$23/1000000,0))))))))),0)</f>
        <v>0</v>
      </c>
      <c r="F2505" s="10" t="n">
        <f aca="false">Nonlabor!$J$25*(1+Assumptions!$D$9)^INT((C2505-1)/12)</f>
        <v>1.7483632</v>
      </c>
      <c r="G2505" s="10" t="n">
        <f aca="false">E2505*F2505</f>
        <v>0</v>
      </c>
      <c r="H2505" s="10" t="n">
        <f aca="false">IF(OR(Nonlabor!$L$25="Quote required",Nonlabor!$L$25="Unverified"),G2505,0)</f>
        <v>0</v>
      </c>
      <c r="I2505" s="10" t="n">
        <f aca="false">IF(Nonlabor!$E$25="Core",0,G2505)</f>
        <v>0</v>
      </c>
      <c r="J2505" s="23" t="str">
        <f aca="false">Nonlabor!$B$25</f>
        <v>AI</v>
      </c>
    </row>
    <row r="2506" customFormat="false" ht="15" hidden="false" customHeight="false" outlineLevel="0" collapsed="false">
      <c r="A2506" s="6" t="s">
        <v>4</v>
      </c>
      <c r="B2506" s="6" t="s">
        <v>432</v>
      </c>
      <c r="C2506" s="6" t="n">
        <v>41</v>
      </c>
      <c r="D2506" s="25" t="n">
        <f aca="false">EDATE('Start Here'!$B$6,C2506-1)</f>
        <v>47543</v>
      </c>
      <c r="E2506" s="23" t="n">
        <f aca="false">IF(AND(OR(Nonlabor!$D$25="Both",Nonlabor!$D$25='Start Here'!$B$9),IF(Nonlabor!$E$25="Core",1,IF(Nonlabor!$E$25="AI",'Start Here'!$B$7,'Start Here'!$B$8))=1,C2506&gt;=IF(Nonlabor!$E$25="Core",Nonlabor!$F$25,MAX(Nonlabor!$F$25,IF(Nonlabor!$E$25="AI",Assumptions!$D$24,Assumptions!$D$25))),C2506&lt;=Nonlabor!$G$25,OR(Nonlabor!$H$25="Monthly",AND(Nonlabor!$H$25="Once",C2506=IF(Nonlabor!$E$25="Core",Nonlabor!$F$25,MAX(Nonlabor!$F$25,IF(Nonlabor!$E$25="AI",Assumptions!$D$24,Assumptions!$D$25)))),AND(Nonlabor!$H$25="Annual",MOD(C2506-IF(Nonlabor!$E$25="Core",Nonlabor!$F$25,MAX(Nonlabor!$F$25,IF(Nonlabor!$E$25="AI",Assumptions!$D$24,Assumptions!$D$25))),12)=0))),IF(Nonlabor!$I$25="Fixed",1,IF(Nonlabor!$I$25="Seats",ROUNDUP('Monthly Base'!I46,0),IF(Nonlabor!$I$25="Customers",'Monthly Base'!D46,IF(Nonlabor!$I$25="NewCustomers",'Monthly Base'!C46,IF(Nonlabor!$I$25="StorageGB",'Monthly Base'!G46,IF(Nonlabor!$I$25="LogGB",'Monthly Base'!H46,IF(Nonlabor!$I$25="RequestsM",'Monthly Base'!F46,IF(Nonlabor!$I$25="InputM",'Monthly Base'!D46*Assumptions!$D$22/1000000,IF(Nonlabor!$I$25="OutputM",'Monthly Base'!D46*Assumptions!$D$23/1000000,0))))))))),0)</f>
        <v>0</v>
      </c>
      <c r="F2506" s="10" t="n">
        <f aca="false">Nonlabor!$J$25*(1+Assumptions!$D$9)^INT((C2506-1)/12)</f>
        <v>1.7483632</v>
      </c>
      <c r="G2506" s="10" t="n">
        <f aca="false">E2506*F2506</f>
        <v>0</v>
      </c>
      <c r="H2506" s="10" t="n">
        <f aca="false">IF(OR(Nonlabor!$L$25="Quote required",Nonlabor!$L$25="Unverified"),G2506,0)</f>
        <v>0</v>
      </c>
      <c r="I2506" s="10" t="n">
        <f aca="false">IF(Nonlabor!$E$25="Core",0,G2506)</f>
        <v>0</v>
      </c>
      <c r="J2506" s="23" t="str">
        <f aca="false">Nonlabor!$B$25</f>
        <v>AI</v>
      </c>
    </row>
    <row r="2507" customFormat="false" ht="15" hidden="false" customHeight="false" outlineLevel="0" collapsed="false">
      <c r="A2507" s="6" t="s">
        <v>4</v>
      </c>
      <c r="B2507" s="6" t="s">
        <v>432</v>
      </c>
      <c r="C2507" s="6" t="n">
        <v>42</v>
      </c>
      <c r="D2507" s="25" t="n">
        <f aca="false">EDATE('Start Here'!$B$6,C2507-1)</f>
        <v>47574</v>
      </c>
      <c r="E2507" s="23" t="n">
        <f aca="false">IF(AND(OR(Nonlabor!$D$25="Both",Nonlabor!$D$25='Start Here'!$B$9),IF(Nonlabor!$E$25="Core",1,IF(Nonlabor!$E$25="AI",'Start Here'!$B$7,'Start Here'!$B$8))=1,C2507&gt;=IF(Nonlabor!$E$25="Core",Nonlabor!$F$25,MAX(Nonlabor!$F$25,IF(Nonlabor!$E$25="AI",Assumptions!$D$24,Assumptions!$D$25))),C2507&lt;=Nonlabor!$G$25,OR(Nonlabor!$H$25="Monthly",AND(Nonlabor!$H$25="Once",C2507=IF(Nonlabor!$E$25="Core",Nonlabor!$F$25,MAX(Nonlabor!$F$25,IF(Nonlabor!$E$25="AI",Assumptions!$D$24,Assumptions!$D$25)))),AND(Nonlabor!$H$25="Annual",MOD(C2507-IF(Nonlabor!$E$25="Core",Nonlabor!$F$25,MAX(Nonlabor!$F$25,IF(Nonlabor!$E$25="AI",Assumptions!$D$24,Assumptions!$D$25))),12)=0))),IF(Nonlabor!$I$25="Fixed",1,IF(Nonlabor!$I$25="Seats",ROUNDUP('Monthly Base'!I47,0),IF(Nonlabor!$I$25="Customers",'Monthly Base'!D47,IF(Nonlabor!$I$25="NewCustomers",'Monthly Base'!C47,IF(Nonlabor!$I$25="StorageGB",'Monthly Base'!G47,IF(Nonlabor!$I$25="LogGB",'Monthly Base'!H47,IF(Nonlabor!$I$25="RequestsM",'Monthly Base'!F47,IF(Nonlabor!$I$25="InputM",'Monthly Base'!D47*Assumptions!$D$22/1000000,IF(Nonlabor!$I$25="OutputM",'Monthly Base'!D47*Assumptions!$D$23/1000000,0))))))))),0)</f>
        <v>0</v>
      </c>
      <c r="F2507" s="10" t="n">
        <f aca="false">Nonlabor!$J$25*(1+Assumptions!$D$9)^INT((C2507-1)/12)</f>
        <v>1.7483632</v>
      </c>
      <c r="G2507" s="10" t="n">
        <f aca="false">E2507*F2507</f>
        <v>0</v>
      </c>
      <c r="H2507" s="10" t="n">
        <f aca="false">IF(OR(Nonlabor!$L$25="Quote required",Nonlabor!$L$25="Unverified"),G2507,0)</f>
        <v>0</v>
      </c>
      <c r="I2507" s="10" t="n">
        <f aca="false">IF(Nonlabor!$E$25="Core",0,G2507)</f>
        <v>0</v>
      </c>
      <c r="J2507" s="23" t="str">
        <f aca="false">Nonlabor!$B$25</f>
        <v>AI</v>
      </c>
    </row>
    <row r="2508" customFormat="false" ht="15" hidden="false" customHeight="false" outlineLevel="0" collapsed="false">
      <c r="A2508" s="6" t="s">
        <v>4</v>
      </c>
      <c r="B2508" s="6" t="s">
        <v>432</v>
      </c>
      <c r="C2508" s="6" t="n">
        <v>43</v>
      </c>
      <c r="D2508" s="25" t="n">
        <f aca="false">EDATE('Start Here'!$B$6,C2508-1)</f>
        <v>47604</v>
      </c>
      <c r="E2508" s="23" t="n">
        <f aca="false">IF(AND(OR(Nonlabor!$D$25="Both",Nonlabor!$D$25='Start Here'!$B$9),IF(Nonlabor!$E$25="Core",1,IF(Nonlabor!$E$25="AI",'Start Here'!$B$7,'Start Here'!$B$8))=1,C2508&gt;=IF(Nonlabor!$E$25="Core",Nonlabor!$F$25,MAX(Nonlabor!$F$25,IF(Nonlabor!$E$25="AI",Assumptions!$D$24,Assumptions!$D$25))),C2508&lt;=Nonlabor!$G$25,OR(Nonlabor!$H$25="Monthly",AND(Nonlabor!$H$25="Once",C2508=IF(Nonlabor!$E$25="Core",Nonlabor!$F$25,MAX(Nonlabor!$F$25,IF(Nonlabor!$E$25="AI",Assumptions!$D$24,Assumptions!$D$25)))),AND(Nonlabor!$H$25="Annual",MOD(C2508-IF(Nonlabor!$E$25="Core",Nonlabor!$F$25,MAX(Nonlabor!$F$25,IF(Nonlabor!$E$25="AI",Assumptions!$D$24,Assumptions!$D$25))),12)=0))),IF(Nonlabor!$I$25="Fixed",1,IF(Nonlabor!$I$25="Seats",ROUNDUP('Monthly Base'!I48,0),IF(Nonlabor!$I$25="Customers",'Monthly Base'!D48,IF(Nonlabor!$I$25="NewCustomers",'Monthly Base'!C48,IF(Nonlabor!$I$25="StorageGB",'Monthly Base'!G48,IF(Nonlabor!$I$25="LogGB",'Monthly Base'!H48,IF(Nonlabor!$I$25="RequestsM",'Monthly Base'!F48,IF(Nonlabor!$I$25="InputM",'Monthly Base'!D48*Assumptions!$D$22/1000000,IF(Nonlabor!$I$25="OutputM",'Monthly Base'!D48*Assumptions!$D$23/1000000,0))))))))),0)</f>
        <v>0</v>
      </c>
      <c r="F2508" s="10" t="n">
        <f aca="false">Nonlabor!$J$25*(1+Assumptions!$D$9)^INT((C2508-1)/12)</f>
        <v>1.7483632</v>
      </c>
      <c r="G2508" s="10" t="n">
        <f aca="false">E2508*F2508</f>
        <v>0</v>
      </c>
      <c r="H2508" s="10" t="n">
        <f aca="false">IF(OR(Nonlabor!$L$25="Quote required",Nonlabor!$L$25="Unverified"),G2508,0)</f>
        <v>0</v>
      </c>
      <c r="I2508" s="10" t="n">
        <f aca="false">IF(Nonlabor!$E$25="Core",0,G2508)</f>
        <v>0</v>
      </c>
      <c r="J2508" s="23" t="str">
        <f aca="false">Nonlabor!$B$25</f>
        <v>AI</v>
      </c>
    </row>
    <row r="2509" customFormat="false" ht="15" hidden="false" customHeight="false" outlineLevel="0" collapsed="false">
      <c r="A2509" s="6" t="s">
        <v>4</v>
      </c>
      <c r="B2509" s="6" t="s">
        <v>432</v>
      </c>
      <c r="C2509" s="6" t="n">
        <v>44</v>
      </c>
      <c r="D2509" s="25" t="n">
        <f aca="false">EDATE('Start Here'!$B$6,C2509-1)</f>
        <v>47635</v>
      </c>
      <c r="E2509" s="23" t="n">
        <f aca="false">IF(AND(OR(Nonlabor!$D$25="Both",Nonlabor!$D$25='Start Here'!$B$9),IF(Nonlabor!$E$25="Core",1,IF(Nonlabor!$E$25="AI",'Start Here'!$B$7,'Start Here'!$B$8))=1,C2509&gt;=IF(Nonlabor!$E$25="Core",Nonlabor!$F$25,MAX(Nonlabor!$F$25,IF(Nonlabor!$E$25="AI",Assumptions!$D$24,Assumptions!$D$25))),C2509&lt;=Nonlabor!$G$25,OR(Nonlabor!$H$25="Monthly",AND(Nonlabor!$H$25="Once",C2509=IF(Nonlabor!$E$25="Core",Nonlabor!$F$25,MAX(Nonlabor!$F$25,IF(Nonlabor!$E$25="AI",Assumptions!$D$24,Assumptions!$D$25)))),AND(Nonlabor!$H$25="Annual",MOD(C2509-IF(Nonlabor!$E$25="Core",Nonlabor!$F$25,MAX(Nonlabor!$F$25,IF(Nonlabor!$E$25="AI",Assumptions!$D$24,Assumptions!$D$25))),12)=0))),IF(Nonlabor!$I$25="Fixed",1,IF(Nonlabor!$I$25="Seats",ROUNDUP('Monthly Base'!I49,0),IF(Nonlabor!$I$25="Customers",'Monthly Base'!D49,IF(Nonlabor!$I$25="NewCustomers",'Monthly Base'!C49,IF(Nonlabor!$I$25="StorageGB",'Monthly Base'!G49,IF(Nonlabor!$I$25="LogGB",'Monthly Base'!H49,IF(Nonlabor!$I$25="RequestsM",'Monthly Base'!F49,IF(Nonlabor!$I$25="InputM",'Monthly Base'!D49*Assumptions!$D$22/1000000,IF(Nonlabor!$I$25="OutputM",'Monthly Base'!D49*Assumptions!$D$23/1000000,0))))))))),0)</f>
        <v>0</v>
      </c>
      <c r="F2509" s="10" t="n">
        <f aca="false">Nonlabor!$J$25*(1+Assumptions!$D$9)^INT((C2509-1)/12)</f>
        <v>1.7483632</v>
      </c>
      <c r="G2509" s="10" t="n">
        <f aca="false">E2509*F2509</f>
        <v>0</v>
      </c>
      <c r="H2509" s="10" t="n">
        <f aca="false">IF(OR(Nonlabor!$L$25="Quote required",Nonlabor!$L$25="Unverified"),G2509,0)</f>
        <v>0</v>
      </c>
      <c r="I2509" s="10" t="n">
        <f aca="false">IF(Nonlabor!$E$25="Core",0,G2509)</f>
        <v>0</v>
      </c>
      <c r="J2509" s="23" t="str">
        <f aca="false">Nonlabor!$B$25</f>
        <v>AI</v>
      </c>
    </row>
    <row r="2510" customFormat="false" ht="15" hidden="false" customHeight="false" outlineLevel="0" collapsed="false">
      <c r="A2510" s="6" t="s">
        <v>4</v>
      </c>
      <c r="B2510" s="6" t="s">
        <v>432</v>
      </c>
      <c r="C2510" s="6" t="n">
        <v>45</v>
      </c>
      <c r="D2510" s="25" t="n">
        <f aca="false">EDATE('Start Here'!$B$6,C2510-1)</f>
        <v>47665</v>
      </c>
      <c r="E2510" s="23" t="n">
        <f aca="false">IF(AND(OR(Nonlabor!$D$25="Both",Nonlabor!$D$25='Start Here'!$B$9),IF(Nonlabor!$E$25="Core",1,IF(Nonlabor!$E$25="AI",'Start Here'!$B$7,'Start Here'!$B$8))=1,C2510&gt;=IF(Nonlabor!$E$25="Core",Nonlabor!$F$25,MAX(Nonlabor!$F$25,IF(Nonlabor!$E$25="AI",Assumptions!$D$24,Assumptions!$D$25))),C2510&lt;=Nonlabor!$G$25,OR(Nonlabor!$H$25="Monthly",AND(Nonlabor!$H$25="Once",C2510=IF(Nonlabor!$E$25="Core",Nonlabor!$F$25,MAX(Nonlabor!$F$25,IF(Nonlabor!$E$25="AI",Assumptions!$D$24,Assumptions!$D$25)))),AND(Nonlabor!$H$25="Annual",MOD(C2510-IF(Nonlabor!$E$25="Core",Nonlabor!$F$25,MAX(Nonlabor!$F$25,IF(Nonlabor!$E$25="AI",Assumptions!$D$24,Assumptions!$D$25))),12)=0))),IF(Nonlabor!$I$25="Fixed",1,IF(Nonlabor!$I$25="Seats",ROUNDUP('Monthly Base'!I50,0),IF(Nonlabor!$I$25="Customers",'Monthly Base'!D50,IF(Nonlabor!$I$25="NewCustomers",'Monthly Base'!C50,IF(Nonlabor!$I$25="StorageGB",'Monthly Base'!G50,IF(Nonlabor!$I$25="LogGB",'Monthly Base'!H50,IF(Nonlabor!$I$25="RequestsM",'Monthly Base'!F50,IF(Nonlabor!$I$25="InputM",'Monthly Base'!D50*Assumptions!$D$22/1000000,IF(Nonlabor!$I$25="OutputM",'Monthly Base'!D50*Assumptions!$D$23/1000000,0))))))))),0)</f>
        <v>0</v>
      </c>
      <c r="F2510" s="10" t="n">
        <f aca="false">Nonlabor!$J$25*(1+Assumptions!$D$9)^INT((C2510-1)/12)</f>
        <v>1.7483632</v>
      </c>
      <c r="G2510" s="10" t="n">
        <f aca="false">E2510*F2510</f>
        <v>0</v>
      </c>
      <c r="H2510" s="10" t="n">
        <f aca="false">IF(OR(Nonlabor!$L$25="Quote required",Nonlabor!$L$25="Unverified"),G2510,0)</f>
        <v>0</v>
      </c>
      <c r="I2510" s="10" t="n">
        <f aca="false">IF(Nonlabor!$E$25="Core",0,G2510)</f>
        <v>0</v>
      </c>
      <c r="J2510" s="23" t="str">
        <f aca="false">Nonlabor!$B$25</f>
        <v>AI</v>
      </c>
    </row>
    <row r="2511" customFormat="false" ht="15" hidden="false" customHeight="false" outlineLevel="0" collapsed="false">
      <c r="A2511" s="6" t="s">
        <v>4</v>
      </c>
      <c r="B2511" s="6" t="s">
        <v>432</v>
      </c>
      <c r="C2511" s="6" t="n">
        <v>46</v>
      </c>
      <c r="D2511" s="25" t="n">
        <f aca="false">EDATE('Start Here'!$B$6,C2511-1)</f>
        <v>47696</v>
      </c>
      <c r="E2511" s="23" t="n">
        <f aca="false">IF(AND(OR(Nonlabor!$D$25="Both",Nonlabor!$D$25='Start Here'!$B$9),IF(Nonlabor!$E$25="Core",1,IF(Nonlabor!$E$25="AI",'Start Here'!$B$7,'Start Here'!$B$8))=1,C2511&gt;=IF(Nonlabor!$E$25="Core",Nonlabor!$F$25,MAX(Nonlabor!$F$25,IF(Nonlabor!$E$25="AI",Assumptions!$D$24,Assumptions!$D$25))),C2511&lt;=Nonlabor!$G$25,OR(Nonlabor!$H$25="Monthly",AND(Nonlabor!$H$25="Once",C2511=IF(Nonlabor!$E$25="Core",Nonlabor!$F$25,MAX(Nonlabor!$F$25,IF(Nonlabor!$E$25="AI",Assumptions!$D$24,Assumptions!$D$25)))),AND(Nonlabor!$H$25="Annual",MOD(C2511-IF(Nonlabor!$E$25="Core",Nonlabor!$F$25,MAX(Nonlabor!$F$25,IF(Nonlabor!$E$25="AI",Assumptions!$D$24,Assumptions!$D$25))),12)=0))),IF(Nonlabor!$I$25="Fixed",1,IF(Nonlabor!$I$25="Seats",ROUNDUP('Monthly Base'!I51,0),IF(Nonlabor!$I$25="Customers",'Monthly Base'!D51,IF(Nonlabor!$I$25="NewCustomers",'Monthly Base'!C51,IF(Nonlabor!$I$25="StorageGB",'Monthly Base'!G51,IF(Nonlabor!$I$25="LogGB",'Monthly Base'!H51,IF(Nonlabor!$I$25="RequestsM",'Monthly Base'!F51,IF(Nonlabor!$I$25="InputM",'Monthly Base'!D51*Assumptions!$D$22/1000000,IF(Nonlabor!$I$25="OutputM",'Monthly Base'!D51*Assumptions!$D$23/1000000,0))))))))),0)</f>
        <v>0</v>
      </c>
      <c r="F2511" s="10" t="n">
        <f aca="false">Nonlabor!$J$25*(1+Assumptions!$D$9)^INT((C2511-1)/12)</f>
        <v>1.7483632</v>
      </c>
      <c r="G2511" s="10" t="n">
        <f aca="false">E2511*F2511</f>
        <v>0</v>
      </c>
      <c r="H2511" s="10" t="n">
        <f aca="false">IF(OR(Nonlabor!$L$25="Quote required",Nonlabor!$L$25="Unverified"),G2511,0)</f>
        <v>0</v>
      </c>
      <c r="I2511" s="10" t="n">
        <f aca="false">IF(Nonlabor!$E$25="Core",0,G2511)</f>
        <v>0</v>
      </c>
      <c r="J2511" s="23" t="str">
        <f aca="false">Nonlabor!$B$25</f>
        <v>AI</v>
      </c>
    </row>
    <row r="2512" customFormat="false" ht="15" hidden="false" customHeight="false" outlineLevel="0" collapsed="false">
      <c r="A2512" s="6" t="s">
        <v>4</v>
      </c>
      <c r="B2512" s="6" t="s">
        <v>432</v>
      </c>
      <c r="C2512" s="6" t="n">
        <v>47</v>
      </c>
      <c r="D2512" s="25" t="n">
        <f aca="false">EDATE('Start Here'!$B$6,C2512-1)</f>
        <v>47727</v>
      </c>
      <c r="E2512" s="23" t="n">
        <f aca="false">IF(AND(OR(Nonlabor!$D$25="Both",Nonlabor!$D$25='Start Here'!$B$9),IF(Nonlabor!$E$25="Core",1,IF(Nonlabor!$E$25="AI",'Start Here'!$B$7,'Start Here'!$B$8))=1,C2512&gt;=IF(Nonlabor!$E$25="Core",Nonlabor!$F$25,MAX(Nonlabor!$F$25,IF(Nonlabor!$E$25="AI",Assumptions!$D$24,Assumptions!$D$25))),C2512&lt;=Nonlabor!$G$25,OR(Nonlabor!$H$25="Monthly",AND(Nonlabor!$H$25="Once",C2512=IF(Nonlabor!$E$25="Core",Nonlabor!$F$25,MAX(Nonlabor!$F$25,IF(Nonlabor!$E$25="AI",Assumptions!$D$24,Assumptions!$D$25)))),AND(Nonlabor!$H$25="Annual",MOD(C2512-IF(Nonlabor!$E$25="Core",Nonlabor!$F$25,MAX(Nonlabor!$F$25,IF(Nonlabor!$E$25="AI",Assumptions!$D$24,Assumptions!$D$25))),12)=0))),IF(Nonlabor!$I$25="Fixed",1,IF(Nonlabor!$I$25="Seats",ROUNDUP('Monthly Base'!I52,0),IF(Nonlabor!$I$25="Customers",'Monthly Base'!D52,IF(Nonlabor!$I$25="NewCustomers",'Monthly Base'!C52,IF(Nonlabor!$I$25="StorageGB",'Monthly Base'!G52,IF(Nonlabor!$I$25="LogGB",'Monthly Base'!H52,IF(Nonlabor!$I$25="RequestsM",'Monthly Base'!F52,IF(Nonlabor!$I$25="InputM",'Monthly Base'!D52*Assumptions!$D$22/1000000,IF(Nonlabor!$I$25="OutputM",'Monthly Base'!D52*Assumptions!$D$23/1000000,0))))))))),0)</f>
        <v>0</v>
      </c>
      <c r="F2512" s="10" t="n">
        <f aca="false">Nonlabor!$J$25*(1+Assumptions!$D$9)^INT((C2512-1)/12)</f>
        <v>1.7483632</v>
      </c>
      <c r="G2512" s="10" t="n">
        <f aca="false">E2512*F2512</f>
        <v>0</v>
      </c>
      <c r="H2512" s="10" t="n">
        <f aca="false">IF(OR(Nonlabor!$L$25="Quote required",Nonlabor!$L$25="Unverified"),G2512,0)</f>
        <v>0</v>
      </c>
      <c r="I2512" s="10" t="n">
        <f aca="false">IF(Nonlabor!$E$25="Core",0,G2512)</f>
        <v>0</v>
      </c>
      <c r="J2512" s="23" t="str">
        <f aca="false">Nonlabor!$B$25</f>
        <v>AI</v>
      </c>
    </row>
    <row r="2513" customFormat="false" ht="15" hidden="false" customHeight="false" outlineLevel="0" collapsed="false">
      <c r="A2513" s="6" t="s">
        <v>4</v>
      </c>
      <c r="B2513" s="6" t="s">
        <v>432</v>
      </c>
      <c r="C2513" s="6" t="n">
        <v>48</v>
      </c>
      <c r="D2513" s="25" t="n">
        <f aca="false">EDATE('Start Here'!$B$6,C2513-1)</f>
        <v>47757</v>
      </c>
      <c r="E2513" s="23" t="n">
        <f aca="false">IF(AND(OR(Nonlabor!$D$25="Both",Nonlabor!$D$25='Start Here'!$B$9),IF(Nonlabor!$E$25="Core",1,IF(Nonlabor!$E$25="AI",'Start Here'!$B$7,'Start Here'!$B$8))=1,C2513&gt;=IF(Nonlabor!$E$25="Core",Nonlabor!$F$25,MAX(Nonlabor!$F$25,IF(Nonlabor!$E$25="AI",Assumptions!$D$24,Assumptions!$D$25))),C2513&lt;=Nonlabor!$G$25,OR(Nonlabor!$H$25="Monthly",AND(Nonlabor!$H$25="Once",C2513=IF(Nonlabor!$E$25="Core",Nonlabor!$F$25,MAX(Nonlabor!$F$25,IF(Nonlabor!$E$25="AI",Assumptions!$D$24,Assumptions!$D$25)))),AND(Nonlabor!$H$25="Annual",MOD(C2513-IF(Nonlabor!$E$25="Core",Nonlabor!$F$25,MAX(Nonlabor!$F$25,IF(Nonlabor!$E$25="AI",Assumptions!$D$24,Assumptions!$D$25))),12)=0))),IF(Nonlabor!$I$25="Fixed",1,IF(Nonlabor!$I$25="Seats",ROUNDUP('Monthly Base'!I53,0),IF(Nonlabor!$I$25="Customers",'Monthly Base'!D53,IF(Nonlabor!$I$25="NewCustomers",'Monthly Base'!C53,IF(Nonlabor!$I$25="StorageGB",'Monthly Base'!G53,IF(Nonlabor!$I$25="LogGB",'Monthly Base'!H53,IF(Nonlabor!$I$25="RequestsM",'Monthly Base'!F53,IF(Nonlabor!$I$25="InputM",'Monthly Base'!D53*Assumptions!$D$22/1000000,IF(Nonlabor!$I$25="OutputM",'Monthly Base'!D53*Assumptions!$D$23/1000000,0))))))))),0)</f>
        <v>0</v>
      </c>
      <c r="F2513" s="10" t="n">
        <f aca="false">Nonlabor!$J$25*(1+Assumptions!$D$9)^INT((C2513-1)/12)</f>
        <v>1.7483632</v>
      </c>
      <c r="G2513" s="10" t="n">
        <f aca="false">E2513*F2513</f>
        <v>0</v>
      </c>
      <c r="H2513" s="10" t="n">
        <f aca="false">IF(OR(Nonlabor!$L$25="Quote required",Nonlabor!$L$25="Unverified"),G2513,0)</f>
        <v>0</v>
      </c>
      <c r="I2513" s="10" t="n">
        <f aca="false">IF(Nonlabor!$E$25="Core",0,G2513)</f>
        <v>0</v>
      </c>
      <c r="J2513" s="23" t="str">
        <f aca="false">Nonlabor!$B$25</f>
        <v>AI</v>
      </c>
    </row>
    <row r="2514" customFormat="false" ht="15" hidden="false" customHeight="false" outlineLevel="0" collapsed="false">
      <c r="A2514" s="6" t="s">
        <v>4</v>
      </c>
      <c r="B2514" s="6" t="s">
        <v>432</v>
      </c>
      <c r="C2514" s="6" t="n">
        <v>49</v>
      </c>
      <c r="D2514" s="25" t="n">
        <f aca="false">EDATE('Start Here'!$B$6,C2514-1)</f>
        <v>47788</v>
      </c>
      <c r="E2514" s="23" t="n">
        <f aca="false">IF(AND(OR(Nonlabor!$D$25="Both",Nonlabor!$D$25='Start Here'!$B$9),IF(Nonlabor!$E$25="Core",1,IF(Nonlabor!$E$25="AI",'Start Here'!$B$7,'Start Here'!$B$8))=1,C2514&gt;=IF(Nonlabor!$E$25="Core",Nonlabor!$F$25,MAX(Nonlabor!$F$25,IF(Nonlabor!$E$25="AI",Assumptions!$D$24,Assumptions!$D$25))),C2514&lt;=Nonlabor!$G$25,OR(Nonlabor!$H$25="Monthly",AND(Nonlabor!$H$25="Once",C2514=IF(Nonlabor!$E$25="Core",Nonlabor!$F$25,MAX(Nonlabor!$F$25,IF(Nonlabor!$E$25="AI",Assumptions!$D$24,Assumptions!$D$25)))),AND(Nonlabor!$H$25="Annual",MOD(C2514-IF(Nonlabor!$E$25="Core",Nonlabor!$F$25,MAX(Nonlabor!$F$25,IF(Nonlabor!$E$25="AI",Assumptions!$D$24,Assumptions!$D$25))),12)=0))),IF(Nonlabor!$I$25="Fixed",1,IF(Nonlabor!$I$25="Seats",ROUNDUP('Monthly Base'!I54,0),IF(Nonlabor!$I$25="Customers",'Monthly Base'!D54,IF(Nonlabor!$I$25="NewCustomers",'Monthly Base'!C54,IF(Nonlabor!$I$25="StorageGB",'Monthly Base'!G54,IF(Nonlabor!$I$25="LogGB",'Monthly Base'!H54,IF(Nonlabor!$I$25="RequestsM",'Monthly Base'!F54,IF(Nonlabor!$I$25="InputM",'Monthly Base'!D54*Assumptions!$D$22/1000000,IF(Nonlabor!$I$25="OutputM",'Monthly Base'!D54*Assumptions!$D$23/1000000,0))))))))),0)</f>
        <v>0</v>
      </c>
      <c r="F2514" s="10" t="n">
        <f aca="false">Nonlabor!$J$25*(1+Assumptions!$D$9)^INT((C2514-1)/12)</f>
        <v>1.800814096</v>
      </c>
      <c r="G2514" s="10" t="n">
        <f aca="false">E2514*F2514</f>
        <v>0</v>
      </c>
      <c r="H2514" s="10" t="n">
        <f aca="false">IF(OR(Nonlabor!$L$25="Quote required",Nonlabor!$L$25="Unverified"),G2514,0)</f>
        <v>0</v>
      </c>
      <c r="I2514" s="10" t="n">
        <f aca="false">IF(Nonlabor!$E$25="Core",0,G2514)</f>
        <v>0</v>
      </c>
      <c r="J2514" s="23" t="str">
        <f aca="false">Nonlabor!$B$25</f>
        <v>AI</v>
      </c>
    </row>
    <row r="2515" customFormat="false" ht="15" hidden="false" customHeight="false" outlineLevel="0" collapsed="false">
      <c r="A2515" s="6" t="s">
        <v>4</v>
      </c>
      <c r="B2515" s="6" t="s">
        <v>432</v>
      </c>
      <c r="C2515" s="6" t="n">
        <v>50</v>
      </c>
      <c r="D2515" s="25" t="n">
        <f aca="false">EDATE('Start Here'!$B$6,C2515-1)</f>
        <v>47818</v>
      </c>
      <c r="E2515" s="23" t="n">
        <f aca="false">IF(AND(OR(Nonlabor!$D$25="Both",Nonlabor!$D$25='Start Here'!$B$9),IF(Nonlabor!$E$25="Core",1,IF(Nonlabor!$E$25="AI",'Start Here'!$B$7,'Start Here'!$B$8))=1,C2515&gt;=IF(Nonlabor!$E$25="Core",Nonlabor!$F$25,MAX(Nonlabor!$F$25,IF(Nonlabor!$E$25="AI",Assumptions!$D$24,Assumptions!$D$25))),C2515&lt;=Nonlabor!$G$25,OR(Nonlabor!$H$25="Monthly",AND(Nonlabor!$H$25="Once",C2515=IF(Nonlabor!$E$25="Core",Nonlabor!$F$25,MAX(Nonlabor!$F$25,IF(Nonlabor!$E$25="AI",Assumptions!$D$24,Assumptions!$D$25)))),AND(Nonlabor!$H$25="Annual",MOD(C2515-IF(Nonlabor!$E$25="Core",Nonlabor!$F$25,MAX(Nonlabor!$F$25,IF(Nonlabor!$E$25="AI",Assumptions!$D$24,Assumptions!$D$25))),12)=0))),IF(Nonlabor!$I$25="Fixed",1,IF(Nonlabor!$I$25="Seats",ROUNDUP('Monthly Base'!I55,0),IF(Nonlabor!$I$25="Customers",'Monthly Base'!D55,IF(Nonlabor!$I$25="NewCustomers",'Monthly Base'!C55,IF(Nonlabor!$I$25="StorageGB",'Monthly Base'!G55,IF(Nonlabor!$I$25="LogGB",'Monthly Base'!H55,IF(Nonlabor!$I$25="RequestsM",'Monthly Base'!F55,IF(Nonlabor!$I$25="InputM",'Monthly Base'!D55*Assumptions!$D$22/1000000,IF(Nonlabor!$I$25="OutputM",'Monthly Base'!D55*Assumptions!$D$23/1000000,0))))))))),0)</f>
        <v>0</v>
      </c>
      <c r="F2515" s="10" t="n">
        <f aca="false">Nonlabor!$J$25*(1+Assumptions!$D$9)^INT((C2515-1)/12)</f>
        <v>1.800814096</v>
      </c>
      <c r="G2515" s="10" t="n">
        <f aca="false">E2515*F2515</f>
        <v>0</v>
      </c>
      <c r="H2515" s="10" t="n">
        <f aca="false">IF(OR(Nonlabor!$L$25="Quote required",Nonlabor!$L$25="Unverified"),G2515,0)</f>
        <v>0</v>
      </c>
      <c r="I2515" s="10" t="n">
        <f aca="false">IF(Nonlabor!$E$25="Core",0,G2515)</f>
        <v>0</v>
      </c>
      <c r="J2515" s="23" t="str">
        <f aca="false">Nonlabor!$B$25</f>
        <v>AI</v>
      </c>
    </row>
    <row r="2516" customFormat="false" ht="15" hidden="false" customHeight="false" outlineLevel="0" collapsed="false">
      <c r="A2516" s="6" t="s">
        <v>4</v>
      </c>
      <c r="B2516" s="6" t="s">
        <v>432</v>
      </c>
      <c r="C2516" s="6" t="n">
        <v>51</v>
      </c>
      <c r="D2516" s="25" t="n">
        <f aca="false">EDATE('Start Here'!$B$6,C2516-1)</f>
        <v>47849</v>
      </c>
      <c r="E2516" s="23" t="n">
        <f aca="false">IF(AND(OR(Nonlabor!$D$25="Both",Nonlabor!$D$25='Start Here'!$B$9),IF(Nonlabor!$E$25="Core",1,IF(Nonlabor!$E$25="AI",'Start Here'!$B$7,'Start Here'!$B$8))=1,C2516&gt;=IF(Nonlabor!$E$25="Core",Nonlabor!$F$25,MAX(Nonlabor!$F$25,IF(Nonlabor!$E$25="AI",Assumptions!$D$24,Assumptions!$D$25))),C2516&lt;=Nonlabor!$G$25,OR(Nonlabor!$H$25="Monthly",AND(Nonlabor!$H$25="Once",C2516=IF(Nonlabor!$E$25="Core",Nonlabor!$F$25,MAX(Nonlabor!$F$25,IF(Nonlabor!$E$25="AI",Assumptions!$D$24,Assumptions!$D$25)))),AND(Nonlabor!$H$25="Annual",MOD(C2516-IF(Nonlabor!$E$25="Core",Nonlabor!$F$25,MAX(Nonlabor!$F$25,IF(Nonlabor!$E$25="AI",Assumptions!$D$24,Assumptions!$D$25))),12)=0))),IF(Nonlabor!$I$25="Fixed",1,IF(Nonlabor!$I$25="Seats",ROUNDUP('Monthly Base'!I56,0),IF(Nonlabor!$I$25="Customers",'Monthly Base'!D56,IF(Nonlabor!$I$25="NewCustomers",'Monthly Base'!C56,IF(Nonlabor!$I$25="StorageGB",'Monthly Base'!G56,IF(Nonlabor!$I$25="LogGB",'Monthly Base'!H56,IF(Nonlabor!$I$25="RequestsM",'Monthly Base'!F56,IF(Nonlabor!$I$25="InputM",'Monthly Base'!D56*Assumptions!$D$22/1000000,IF(Nonlabor!$I$25="OutputM",'Monthly Base'!D56*Assumptions!$D$23/1000000,0))))))))),0)</f>
        <v>0</v>
      </c>
      <c r="F2516" s="10" t="n">
        <f aca="false">Nonlabor!$J$25*(1+Assumptions!$D$9)^INT((C2516-1)/12)</f>
        <v>1.800814096</v>
      </c>
      <c r="G2516" s="10" t="n">
        <f aca="false">E2516*F2516</f>
        <v>0</v>
      </c>
      <c r="H2516" s="10" t="n">
        <f aca="false">IF(OR(Nonlabor!$L$25="Quote required",Nonlabor!$L$25="Unverified"),G2516,0)</f>
        <v>0</v>
      </c>
      <c r="I2516" s="10" t="n">
        <f aca="false">IF(Nonlabor!$E$25="Core",0,G2516)</f>
        <v>0</v>
      </c>
      <c r="J2516" s="23" t="str">
        <f aca="false">Nonlabor!$B$25</f>
        <v>AI</v>
      </c>
    </row>
    <row r="2517" customFormat="false" ht="15" hidden="false" customHeight="false" outlineLevel="0" collapsed="false">
      <c r="A2517" s="6" t="s">
        <v>4</v>
      </c>
      <c r="B2517" s="6" t="s">
        <v>432</v>
      </c>
      <c r="C2517" s="6" t="n">
        <v>52</v>
      </c>
      <c r="D2517" s="25" t="n">
        <f aca="false">EDATE('Start Here'!$B$6,C2517-1)</f>
        <v>47880</v>
      </c>
      <c r="E2517" s="23" t="n">
        <f aca="false">IF(AND(OR(Nonlabor!$D$25="Both",Nonlabor!$D$25='Start Here'!$B$9),IF(Nonlabor!$E$25="Core",1,IF(Nonlabor!$E$25="AI",'Start Here'!$B$7,'Start Here'!$B$8))=1,C2517&gt;=IF(Nonlabor!$E$25="Core",Nonlabor!$F$25,MAX(Nonlabor!$F$25,IF(Nonlabor!$E$25="AI",Assumptions!$D$24,Assumptions!$D$25))),C2517&lt;=Nonlabor!$G$25,OR(Nonlabor!$H$25="Monthly",AND(Nonlabor!$H$25="Once",C2517=IF(Nonlabor!$E$25="Core",Nonlabor!$F$25,MAX(Nonlabor!$F$25,IF(Nonlabor!$E$25="AI",Assumptions!$D$24,Assumptions!$D$25)))),AND(Nonlabor!$H$25="Annual",MOD(C2517-IF(Nonlabor!$E$25="Core",Nonlabor!$F$25,MAX(Nonlabor!$F$25,IF(Nonlabor!$E$25="AI",Assumptions!$D$24,Assumptions!$D$25))),12)=0))),IF(Nonlabor!$I$25="Fixed",1,IF(Nonlabor!$I$25="Seats",ROUNDUP('Monthly Base'!I57,0),IF(Nonlabor!$I$25="Customers",'Monthly Base'!D57,IF(Nonlabor!$I$25="NewCustomers",'Monthly Base'!C57,IF(Nonlabor!$I$25="StorageGB",'Monthly Base'!G57,IF(Nonlabor!$I$25="LogGB",'Monthly Base'!H57,IF(Nonlabor!$I$25="RequestsM",'Monthly Base'!F57,IF(Nonlabor!$I$25="InputM",'Monthly Base'!D57*Assumptions!$D$22/1000000,IF(Nonlabor!$I$25="OutputM",'Monthly Base'!D57*Assumptions!$D$23/1000000,0))))))))),0)</f>
        <v>0</v>
      </c>
      <c r="F2517" s="10" t="n">
        <f aca="false">Nonlabor!$J$25*(1+Assumptions!$D$9)^INT((C2517-1)/12)</f>
        <v>1.800814096</v>
      </c>
      <c r="G2517" s="10" t="n">
        <f aca="false">E2517*F2517</f>
        <v>0</v>
      </c>
      <c r="H2517" s="10" t="n">
        <f aca="false">IF(OR(Nonlabor!$L$25="Quote required",Nonlabor!$L$25="Unverified"),G2517,0)</f>
        <v>0</v>
      </c>
      <c r="I2517" s="10" t="n">
        <f aca="false">IF(Nonlabor!$E$25="Core",0,G2517)</f>
        <v>0</v>
      </c>
      <c r="J2517" s="23" t="str">
        <f aca="false">Nonlabor!$B$25</f>
        <v>AI</v>
      </c>
    </row>
    <row r="2518" customFormat="false" ht="15" hidden="false" customHeight="false" outlineLevel="0" collapsed="false">
      <c r="A2518" s="6" t="s">
        <v>4</v>
      </c>
      <c r="B2518" s="6" t="s">
        <v>432</v>
      </c>
      <c r="C2518" s="6" t="n">
        <v>53</v>
      </c>
      <c r="D2518" s="25" t="n">
        <f aca="false">EDATE('Start Here'!$B$6,C2518-1)</f>
        <v>47908</v>
      </c>
      <c r="E2518" s="23" t="n">
        <f aca="false">IF(AND(OR(Nonlabor!$D$25="Both",Nonlabor!$D$25='Start Here'!$B$9),IF(Nonlabor!$E$25="Core",1,IF(Nonlabor!$E$25="AI",'Start Here'!$B$7,'Start Here'!$B$8))=1,C2518&gt;=IF(Nonlabor!$E$25="Core",Nonlabor!$F$25,MAX(Nonlabor!$F$25,IF(Nonlabor!$E$25="AI",Assumptions!$D$24,Assumptions!$D$25))),C2518&lt;=Nonlabor!$G$25,OR(Nonlabor!$H$25="Monthly",AND(Nonlabor!$H$25="Once",C2518=IF(Nonlabor!$E$25="Core",Nonlabor!$F$25,MAX(Nonlabor!$F$25,IF(Nonlabor!$E$25="AI",Assumptions!$D$24,Assumptions!$D$25)))),AND(Nonlabor!$H$25="Annual",MOD(C2518-IF(Nonlabor!$E$25="Core",Nonlabor!$F$25,MAX(Nonlabor!$F$25,IF(Nonlabor!$E$25="AI",Assumptions!$D$24,Assumptions!$D$25))),12)=0))),IF(Nonlabor!$I$25="Fixed",1,IF(Nonlabor!$I$25="Seats",ROUNDUP('Monthly Base'!I58,0),IF(Nonlabor!$I$25="Customers",'Monthly Base'!D58,IF(Nonlabor!$I$25="NewCustomers",'Monthly Base'!C58,IF(Nonlabor!$I$25="StorageGB",'Monthly Base'!G58,IF(Nonlabor!$I$25="LogGB",'Monthly Base'!H58,IF(Nonlabor!$I$25="RequestsM",'Monthly Base'!F58,IF(Nonlabor!$I$25="InputM",'Monthly Base'!D58*Assumptions!$D$22/1000000,IF(Nonlabor!$I$25="OutputM",'Monthly Base'!D58*Assumptions!$D$23/1000000,0))))))))),0)</f>
        <v>0</v>
      </c>
      <c r="F2518" s="10" t="n">
        <f aca="false">Nonlabor!$J$25*(1+Assumptions!$D$9)^INT((C2518-1)/12)</f>
        <v>1.800814096</v>
      </c>
      <c r="G2518" s="10" t="n">
        <f aca="false">E2518*F2518</f>
        <v>0</v>
      </c>
      <c r="H2518" s="10" t="n">
        <f aca="false">IF(OR(Nonlabor!$L$25="Quote required",Nonlabor!$L$25="Unverified"),G2518,0)</f>
        <v>0</v>
      </c>
      <c r="I2518" s="10" t="n">
        <f aca="false">IF(Nonlabor!$E$25="Core",0,G2518)</f>
        <v>0</v>
      </c>
      <c r="J2518" s="23" t="str">
        <f aca="false">Nonlabor!$B$25</f>
        <v>AI</v>
      </c>
    </row>
    <row r="2519" customFormat="false" ht="15" hidden="false" customHeight="false" outlineLevel="0" collapsed="false">
      <c r="A2519" s="6" t="s">
        <v>4</v>
      </c>
      <c r="B2519" s="6" t="s">
        <v>432</v>
      </c>
      <c r="C2519" s="6" t="n">
        <v>54</v>
      </c>
      <c r="D2519" s="25" t="n">
        <f aca="false">EDATE('Start Here'!$B$6,C2519-1)</f>
        <v>47939</v>
      </c>
      <c r="E2519" s="23" t="n">
        <f aca="false">IF(AND(OR(Nonlabor!$D$25="Both",Nonlabor!$D$25='Start Here'!$B$9),IF(Nonlabor!$E$25="Core",1,IF(Nonlabor!$E$25="AI",'Start Here'!$B$7,'Start Here'!$B$8))=1,C2519&gt;=IF(Nonlabor!$E$25="Core",Nonlabor!$F$25,MAX(Nonlabor!$F$25,IF(Nonlabor!$E$25="AI",Assumptions!$D$24,Assumptions!$D$25))),C2519&lt;=Nonlabor!$G$25,OR(Nonlabor!$H$25="Monthly",AND(Nonlabor!$H$25="Once",C2519=IF(Nonlabor!$E$25="Core",Nonlabor!$F$25,MAX(Nonlabor!$F$25,IF(Nonlabor!$E$25="AI",Assumptions!$D$24,Assumptions!$D$25)))),AND(Nonlabor!$H$25="Annual",MOD(C2519-IF(Nonlabor!$E$25="Core",Nonlabor!$F$25,MAX(Nonlabor!$F$25,IF(Nonlabor!$E$25="AI",Assumptions!$D$24,Assumptions!$D$25))),12)=0))),IF(Nonlabor!$I$25="Fixed",1,IF(Nonlabor!$I$25="Seats",ROUNDUP('Monthly Base'!I59,0),IF(Nonlabor!$I$25="Customers",'Monthly Base'!D59,IF(Nonlabor!$I$25="NewCustomers",'Monthly Base'!C59,IF(Nonlabor!$I$25="StorageGB",'Monthly Base'!G59,IF(Nonlabor!$I$25="LogGB",'Monthly Base'!H59,IF(Nonlabor!$I$25="RequestsM",'Monthly Base'!F59,IF(Nonlabor!$I$25="InputM",'Monthly Base'!D59*Assumptions!$D$22/1000000,IF(Nonlabor!$I$25="OutputM",'Monthly Base'!D59*Assumptions!$D$23/1000000,0))))))))),0)</f>
        <v>0</v>
      </c>
      <c r="F2519" s="10" t="n">
        <f aca="false">Nonlabor!$J$25*(1+Assumptions!$D$9)^INT((C2519-1)/12)</f>
        <v>1.800814096</v>
      </c>
      <c r="G2519" s="10" t="n">
        <f aca="false">E2519*F2519</f>
        <v>0</v>
      </c>
      <c r="H2519" s="10" t="n">
        <f aca="false">IF(OR(Nonlabor!$L$25="Quote required",Nonlabor!$L$25="Unverified"),G2519,0)</f>
        <v>0</v>
      </c>
      <c r="I2519" s="10" t="n">
        <f aca="false">IF(Nonlabor!$E$25="Core",0,G2519)</f>
        <v>0</v>
      </c>
      <c r="J2519" s="23" t="str">
        <f aca="false">Nonlabor!$B$25</f>
        <v>AI</v>
      </c>
    </row>
    <row r="2520" customFormat="false" ht="15" hidden="false" customHeight="false" outlineLevel="0" collapsed="false">
      <c r="A2520" s="6" t="s">
        <v>4</v>
      </c>
      <c r="B2520" s="6" t="s">
        <v>432</v>
      </c>
      <c r="C2520" s="6" t="n">
        <v>55</v>
      </c>
      <c r="D2520" s="25" t="n">
        <f aca="false">EDATE('Start Here'!$B$6,C2520-1)</f>
        <v>47969</v>
      </c>
      <c r="E2520" s="23" t="n">
        <f aca="false">IF(AND(OR(Nonlabor!$D$25="Both",Nonlabor!$D$25='Start Here'!$B$9),IF(Nonlabor!$E$25="Core",1,IF(Nonlabor!$E$25="AI",'Start Here'!$B$7,'Start Here'!$B$8))=1,C2520&gt;=IF(Nonlabor!$E$25="Core",Nonlabor!$F$25,MAX(Nonlabor!$F$25,IF(Nonlabor!$E$25="AI",Assumptions!$D$24,Assumptions!$D$25))),C2520&lt;=Nonlabor!$G$25,OR(Nonlabor!$H$25="Monthly",AND(Nonlabor!$H$25="Once",C2520=IF(Nonlabor!$E$25="Core",Nonlabor!$F$25,MAX(Nonlabor!$F$25,IF(Nonlabor!$E$25="AI",Assumptions!$D$24,Assumptions!$D$25)))),AND(Nonlabor!$H$25="Annual",MOD(C2520-IF(Nonlabor!$E$25="Core",Nonlabor!$F$25,MAX(Nonlabor!$F$25,IF(Nonlabor!$E$25="AI",Assumptions!$D$24,Assumptions!$D$25))),12)=0))),IF(Nonlabor!$I$25="Fixed",1,IF(Nonlabor!$I$25="Seats",ROUNDUP('Monthly Base'!I60,0),IF(Nonlabor!$I$25="Customers",'Monthly Base'!D60,IF(Nonlabor!$I$25="NewCustomers",'Monthly Base'!C60,IF(Nonlabor!$I$25="StorageGB",'Monthly Base'!G60,IF(Nonlabor!$I$25="LogGB",'Monthly Base'!H60,IF(Nonlabor!$I$25="RequestsM",'Monthly Base'!F60,IF(Nonlabor!$I$25="InputM",'Monthly Base'!D60*Assumptions!$D$22/1000000,IF(Nonlabor!$I$25="OutputM",'Monthly Base'!D60*Assumptions!$D$23/1000000,0))))))))),0)</f>
        <v>0</v>
      </c>
      <c r="F2520" s="10" t="n">
        <f aca="false">Nonlabor!$J$25*(1+Assumptions!$D$9)^INT((C2520-1)/12)</f>
        <v>1.800814096</v>
      </c>
      <c r="G2520" s="10" t="n">
        <f aca="false">E2520*F2520</f>
        <v>0</v>
      </c>
      <c r="H2520" s="10" t="n">
        <f aca="false">IF(OR(Nonlabor!$L$25="Quote required",Nonlabor!$L$25="Unverified"),G2520,0)</f>
        <v>0</v>
      </c>
      <c r="I2520" s="10" t="n">
        <f aca="false">IF(Nonlabor!$E$25="Core",0,G2520)</f>
        <v>0</v>
      </c>
      <c r="J2520" s="23" t="str">
        <f aca="false">Nonlabor!$B$25</f>
        <v>AI</v>
      </c>
    </row>
    <row r="2521" customFormat="false" ht="15" hidden="false" customHeight="false" outlineLevel="0" collapsed="false">
      <c r="A2521" s="6" t="s">
        <v>4</v>
      </c>
      <c r="B2521" s="6" t="s">
        <v>432</v>
      </c>
      <c r="C2521" s="6" t="n">
        <v>56</v>
      </c>
      <c r="D2521" s="25" t="n">
        <f aca="false">EDATE('Start Here'!$B$6,C2521-1)</f>
        <v>48000</v>
      </c>
      <c r="E2521" s="23" t="n">
        <f aca="false">IF(AND(OR(Nonlabor!$D$25="Both",Nonlabor!$D$25='Start Here'!$B$9),IF(Nonlabor!$E$25="Core",1,IF(Nonlabor!$E$25="AI",'Start Here'!$B$7,'Start Here'!$B$8))=1,C2521&gt;=IF(Nonlabor!$E$25="Core",Nonlabor!$F$25,MAX(Nonlabor!$F$25,IF(Nonlabor!$E$25="AI",Assumptions!$D$24,Assumptions!$D$25))),C2521&lt;=Nonlabor!$G$25,OR(Nonlabor!$H$25="Monthly",AND(Nonlabor!$H$25="Once",C2521=IF(Nonlabor!$E$25="Core",Nonlabor!$F$25,MAX(Nonlabor!$F$25,IF(Nonlabor!$E$25="AI",Assumptions!$D$24,Assumptions!$D$25)))),AND(Nonlabor!$H$25="Annual",MOD(C2521-IF(Nonlabor!$E$25="Core",Nonlabor!$F$25,MAX(Nonlabor!$F$25,IF(Nonlabor!$E$25="AI",Assumptions!$D$24,Assumptions!$D$25))),12)=0))),IF(Nonlabor!$I$25="Fixed",1,IF(Nonlabor!$I$25="Seats",ROUNDUP('Monthly Base'!I61,0),IF(Nonlabor!$I$25="Customers",'Monthly Base'!D61,IF(Nonlabor!$I$25="NewCustomers",'Monthly Base'!C61,IF(Nonlabor!$I$25="StorageGB",'Monthly Base'!G61,IF(Nonlabor!$I$25="LogGB",'Monthly Base'!H61,IF(Nonlabor!$I$25="RequestsM",'Monthly Base'!F61,IF(Nonlabor!$I$25="InputM",'Monthly Base'!D61*Assumptions!$D$22/1000000,IF(Nonlabor!$I$25="OutputM",'Monthly Base'!D61*Assumptions!$D$23/1000000,0))))))))),0)</f>
        <v>0</v>
      </c>
      <c r="F2521" s="10" t="n">
        <f aca="false">Nonlabor!$J$25*(1+Assumptions!$D$9)^INT((C2521-1)/12)</f>
        <v>1.800814096</v>
      </c>
      <c r="G2521" s="10" t="n">
        <f aca="false">E2521*F2521</f>
        <v>0</v>
      </c>
      <c r="H2521" s="10" t="n">
        <f aca="false">IF(OR(Nonlabor!$L$25="Quote required",Nonlabor!$L$25="Unverified"),G2521,0)</f>
        <v>0</v>
      </c>
      <c r="I2521" s="10" t="n">
        <f aca="false">IF(Nonlabor!$E$25="Core",0,G2521)</f>
        <v>0</v>
      </c>
      <c r="J2521" s="23" t="str">
        <f aca="false">Nonlabor!$B$25</f>
        <v>AI</v>
      </c>
    </row>
    <row r="2522" customFormat="false" ht="15" hidden="false" customHeight="false" outlineLevel="0" collapsed="false">
      <c r="A2522" s="6" t="s">
        <v>4</v>
      </c>
      <c r="B2522" s="6" t="s">
        <v>432</v>
      </c>
      <c r="C2522" s="6" t="n">
        <v>57</v>
      </c>
      <c r="D2522" s="25" t="n">
        <f aca="false">EDATE('Start Here'!$B$6,C2522-1)</f>
        <v>48030</v>
      </c>
      <c r="E2522" s="23" t="n">
        <f aca="false">IF(AND(OR(Nonlabor!$D$25="Both",Nonlabor!$D$25='Start Here'!$B$9),IF(Nonlabor!$E$25="Core",1,IF(Nonlabor!$E$25="AI",'Start Here'!$B$7,'Start Here'!$B$8))=1,C2522&gt;=IF(Nonlabor!$E$25="Core",Nonlabor!$F$25,MAX(Nonlabor!$F$25,IF(Nonlabor!$E$25="AI",Assumptions!$D$24,Assumptions!$D$25))),C2522&lt;=Nonlabor!$G$25,OR(Nonlabor!$H$25="Monthly",AND(Nonlabor!$H$25="Once",C2522=IF(Nonlabor!$E$25="Core",Nonlabor!$F$25,MAX(Nonlabor!$F$25,IF(Nonlabor!$E$25="AI",Assumptions!$D$24,Assumptions!$D$25)))),AND(Nonlabor!$H$25="Annual",MOD(C2522-IF(Nonlabor!$E$25="Core",Nonlabor!$F$25,MAX(Nonlabor!$F$25,IF(Nonlabor!$E$25="AI",Assumptions!$D$24,Assumptions!$D$25))),12)=0))),IF(Nonlabor!$I$25="Fixed",1,IF(Nonlabor!$I$25="Seats",ROUNDUP('Monthly Base'!I62,0),IF(Nonlabor!$I$25="Customers",'Monthly Base'!D62,IF(Nonlabor!$I$25="NewCustomers",'Monthly Base'!C62,IF(Nonlabor!$I$25="StorageGB",'Monthly Base'!G62,IF(Nonlabor!$I$25="LogGB",'Monthly Base'!H62,IF(Nonlabor!$I$25="RequestsM",'Monthly Base'!F62,IF(Nonlabor!$I$25="InputM",'Monthly Base'!D62*Assumptions!$D$22/1000000,IF(Nonlabor!$I$25="OutputM",'Monthly Base'!D62*Assumptions!$D$23/1000000,0))))))))),0)</f>
        <v>0</v>
      </c>
      <c r="F2522" s="10" t="n">
        <f aca="false">Nonlabor!$J$25*(1+Assumptions!$D$9)^INT((C2522-1)/12)</f>
        <v>1.800814096</v>
      </c>
      <c r="G2522" s="10" t="n">
        <f aca="false">E2522*F2522</f>
        <v>0</v>
      </c>
      <c r="H2522" s="10" t="n">
        <f aca="false">IF(OR(Nonlabor!$L$25="Quote required",Nonlabor!$L$25="Unverified"),G2522,0)</f>
        <v>0</v>
      </c>
      <c r="I2522" s="10" t="n">
        <f aca="false">IF(Nonlabor!$E$25="Core",0,G2522)</f>
        <v>0</v>
      </c>
      <c r="J2522" s="23" t="str">
        <f aca="false">Nonlabor!$B$25</f>
        <v>AI</v>
      </c>
    </row>
    <row r="2523" customFormat="false" ht="15" hidden="false" customHeight="false" outlineLevel="0" collapsed="false">
      <c r="A2523" s="6" t="s">
        <v>4</v>
      </c>
      <c r="B2523" s="6" t="s">
        <v>432</v>
      </c>
      <c r="C2523" s="6" t="n">
        <v>58</v>
      </c>
      <c r="D2523" s="25" t="n">
        <f aca="false">EDATE('Start Here'!$B$6,C2523-1)</f>
        <v>48061</v>
      </c>
      <c r="E2523" s="23" t="n">
        <f aca="false">IF(AND(OR(Nonlabor!$D$25="Both",Nonlabor!$D$25='Start Here'!$B$9),IF(Nonlabor!$E$25="Core",1,IF(Nonlabor!$E$25="AI",'Start Here'!$B$7,'Start Here'!$B$8))=1,C2523&gt;=IF(Nonlabor!$E$25="Core",Nonlabor!$F$25,MAX(Nonlabor!$F$25,IF(Nonlabor!$E$25="AI",Assumptions!$D$24,Assumptions!$D$25))),C2523&lt;=Nonlabor!$G$25,OR(Nonlabor!$H$25="Monthly",AND(Nonlabor!$H$25="Once",C2523=IF(Nonlabor!$E$25="Core",Nonlabor!$F$25,MAX(Nonlabor!$F$25,IF(Nonlabor!$E$25="AI",Assumptions!$D$24,Assumptions!$D$25)))),AND(Nonlabor!$H$25="Annual",MOD(C2523-IF(Nonlabor!$E$25="Core",Nonlabor!$F$25,MAX(Nonlabor!$F$25,IF(Nonlabor!$E$25="AI",Assumptions!$D$24,Assumptions!$D$25))),12)=0))),IF(Nonlabor!$I$25="Fixed",1,IF(Nonlabor!$I$25="Seats",ROUNDUP('Monthly Base'!I63,0),IF(Nonlabor!$I$25="Customers",'Monthly Base'!D63,IF(Nonlabor!$I$25="NewCustomers",'Monthly Base'!C63,IF(Nonlabor!$I$25="StorageGB",'Monthly Base'!G63,IF(Nonlabor!$I$25="LogGB",'Monthly Base'!H63,IF(Nonlabor!$I$25="RequestsM",'Monthly Base'!F63,IF(Nonlabor!$I$25="InputM",'Monthly Base'!D63*Assumptions!$D$22/1000000,IF(Nonlabor!$I$25="OutputM",'Monthly Base'!D63*Assumptions!$D$23/1000000,0))))))))),0)</f>
        <v>0</v>
      </c>
      <c r="F2523" s="10" t="n">
        <f aca="false">Nonlabor!$J$25*(1+Assumptions!$D$9)^INT((C2523-1)/12)</f>
        <v>1.800814096</v>
      </c>
      <c r="G2523" s="10" t="n">
        <f aca="false">E2523*F2523</f>
        <v>0</v>
      </c>
      <c r="H2523" s="10" t="n">
        <f aca="false">IF(OR(Nonlabor!$L$25="Quote required",Nonlabor!$L$25="Unverified"),G2523,0)</f>
        <v>0</v>
      </c>
      <c r="I2523" s="10" t="n">
        <f aca="false">IF(Nonlabor!$E$25="Core",0,G2523)</f>
        <v>0</v>
      </c>
      <c r="J2523" s="23" t="str">
        <f aca="false">Nonlabor!$B$25</f>
        <v>AI</v>
      </c>
    </row>
    <row r="2524" customFormat="false" ht="15" hidden="false" customHeight="false" outlineLevel="0" collapsed="false">
      <c r="A2524" s="6" t="s">
        <v>4</v>
      </c>
      <c r="B2524" s="6" t="s">
        <v>432</v>
      </c>
      <c r="C2524" s="6" t="n">
        <v>59</v>
      </c>
      <c r="D2524" s="25" t="n">
        <f aca="false">EDATE('Start Here'!$B$6,C2524-1)</f>
        <v>48092</v>
      </c>
      <c r="E2524" s="23" t="n">
        <f aca="false">IF(AND(OR(Nonlabor!$D$25="Both",Nonlabor!$D$25='Start Here'!$B$9),IF(Nonlabor!$E$25="Core",1,IF(Nonlabor!$E$25="AI",'Start Here'!$B$7,'Start Here'!$B$8))=1,C2524&gt;=IF(Nonlabor!$E$25="Core",Nonlabor!$F$25,MAX(Nonlabor!$F$25,IF(Nonlabor!$E$25="AI",Assumptions!$D$24,Assumptions!$D$25))),C2524&lt;=Nonlabor!$G$25,OR(Nonlabor!$H$25="Monthly",AND(Nonlabor!$H$25="Once",C2524=IF(Nonlabor!$E$25="Core",Nonlabor!$F$25,MAX(Nonlabor!$F$25,IF(Nonlabor!$E$25="AI",Assumptions!$D$24,Assumptions!$D$25)))),AND(Nonlabor!$H$25="Annual",MOD(C2524-IF(Nonlabor!$E$25="Core",Nonlabor!$F$25,MAX(Nonlabor!$F$25,IF(Nonlabor!$E$25="AI",Assumptions!$D$24,Assumptions!$D$25))),12)=0))),IF(Nonlabor!$I$25="Fixed",1,IF(Nonlabor!$I$25="Seats",ROUNDUP('Monthly Base'!I64,0),IF(Nonlabor!$I$25="Customers",'Monthly Base'!D64,IF(Nonlabor!$I$25="NewCustomers",'Monthly Base'!C64,IF(Nonlabor!$I$25="StorageGB",'Monthly Base'!G64,IF(Nonlabor!$I$25="LogGB",'Monthly Base'!H64,IF(Nonlabor!$I$25="RequestsM",'Monthly Base'!F64,IF(Nonlabor!$I$25="InputM",'Monthly Base'!D64*Assumptions!$D$22/1000000,IF(Nonlabor!$I$25="OutputM",'Monthly Base'!D64*Assumptions!$D$23/1000000,0))))))))),0)</f>
        <v>0</v>
      </c>
      <c r="F2524" s="10" t="n">
        <f aca="false">Nonlabor!$J$25*(1+Assumptions!$D$9)^INT((C2524-1)/12)</f>
        <v>1.800814096</v>
      </c>
      <c r="G2524" s="10" t="n">
        <f aca="false">E2524*F2524</f>
        <v>0</v>
      </c>
      <c r="H2524" s="10" t="n">
        <f aca="false">IF(OR(Nonlabor!$L$25="Quote required",Nonlabor!$L$25="Unverified"),G2524,0)</f>
        <v>0</v>
      </c>
      <c r="I2524" s="10" t="n">
        <f aca="false">IF(Nonlabor!$E$25="Core",0,G2524)</f>
        <v>0</v>
      </c>
      <c r="J2524" s="23" t="str">
        <f aca="false">Nonlabor!$B$25</f>
        <v>AI</v>
      </c>
    </row>
    <row r="2525" customFormat="false" ht="15" hidden="false" customHeight="false" outlineLevel="0" collapsed="false">
      <c r="A2525" s="6" t="s">
        <v>4</v>
      </c>
      <c r="B2525" s="6" t="s">
        <v>432</v>
      </c>
      <c r="C2525" s="6" t="n">
        <v>60</v>
      </c>
      <c r="D2525" s="25" t="n">
        <f aca="false">EDATE('Start Here'!$B$6,C2525-1)</f>
        <v>48122</v>
      </c>
      <c r="E2525" s="23" t="n">
        <f aca="false">IF(AND(OR(Nonlabor!$D$25="Both",Nonlabor!$D$25='Start Here'!$B$9),IF(Nonlabor!$E$25="Core",1,IF(Nonlabor!$E$25="AI",'Start Here'!$B$7,'Start Here'!$B$8))=1,C2525&gt;=IF(Nonlabor!$E$25="Core",Nonlabor!$F$25,MAX(Nonlabor!$F$25,IF(Nonlabor!$E$25="AI",Assumptions!$D$24,Assumptions!$D$25))),C2525&lt;=Nonlabor!$G$25,OR(Nonlabor!$H$25="Monthly",AND(Nonlabor!$H$25="Once",C2525=IF(Nonlabor!$E$25="Core",Nonlabor!$F$25,MAX(Nonlabor!$F$25,IF(Nonlabor!$E$25="AI",Assumptions!$D$24,Assumptions!$D$25)))),AND(Nonlabor!$H$25="Annual",MOD(C2525-IF(Nonlabor!$E$25="Core",Nonlabor!$F$25,MAX(Nonlabor!$F$25,IF(Nonlabor!$E$25="AI",Assumptions!$D$24,Assumptions!$D$25))),12)=0))),IF(Nonlabor!$I$25="Fixed",1,IF(Nonlabor!$I$25="Seats",ROUNDUP('Monthly Base'!I65,0),IF(Nonlabor!$I$25="Customers",'Monthly Base'!D65,IF(Nonlabor!$I$25="NewCustomers",'Monthly Base'!C65,IF(Nonlabor!$I$25="StorageGB",'Monthly Base'!G65,IF(Nonlabor!$I$25="LogGB",'Monthly Base'!H65,IF(Nonlabor!$I$25="RequestsM",'Monthly Base'!F65,IF(Nonlabor!$I$25="InputM",'Monthly Base'!D65*Assumptions!$D$22/1000000,IF(Nonlabor!$I$25="OutputM",'Monthly Base'!D65*Assumptions!$D$23/1000000,0))))))))),0)</f>
        <v>0</v>
      </c>
      <c r="F2525" s="10" t="n">
        <f aca="false">Nonlabor!$J$25*(1+Assumptions!$D$9)^INT((C2525-1)/12)</f>
        <v>1.800814096</v>
      </c>
      <c r="G2525" s="10" t="n">
        <f aca="false">E2525*F2525</f>
        <v>0</v>
      </c>
      <c r="H2525" s="10" t="n">
        <f aca="false">IF(OR(Nonlabor!$L$25="Quote required",Nonlabor!$L$25="Unverified"),G2525,0)</f>
        <v>0</v>
      </c>
      <c r="I2525" s="10" t="n">
        <f aca="false">IF(Nonlabor!$E$25="Core",0,G2525)</f>
        <v>0</v>
      </c>
      <c r="J2525" s="23" t="str">
        <f aca="false">Nonlabor!$B$25</f>
        <v>AI</v>
      </c>
    </row>
    <row r="2526" customFormat="false" ht="15" hidden="false" customHeight="false" outlineLevel="0" collapsed="false">
      <c r="A2526" s="6" t="s">
        <v>4</v>
      </c>
      <c r="B2526" s="6" t="s">
        <v>436</v>
      </c>
      <c r="C2526" s="6" t="n">
        <v>1</v>
      </c>
      <c r="D2526" s="25" t="n">
        <f aca="false">EDATE('Start Here'!$B$6,C2526-1)</f>
        <v>46327</v>
      </c>
      <c r="E2526" s="23" t="n">
        <f aca="false">IF(AND(OR(Nonlabor!$D$26="Both",Nonlabor!$D$26='Start Here'!$B$9),IF(Nonlabor!$E$26="Core",1,IF(Nonlabor!$E$26="AI",'Start Here'!$B$7,'Start Here'!$B$8))=1,C2526&gt;=IF(Nonlabor!$E$26="Core",Nonlabor!$F$26,MAX(Nonlabor!$F$26,IF(Nonlabor!$E$26="AI",Assumptions!$D$24,Assumptions!$D$25))),C2526&lt;=Nonlabor!$G$26,OR(Nonlabor!$H$26="Monthly",AND(Nonlabor!$H$26="Once",C2526=IF(Nonlabor!$E$26="Core",Nonlabor!$F$26,MAX(Nonlabor!$F$26,IF(Nonlabor!$E$26="AI",Assumptions!$D$24,Assumptions!$D$25)))),AND(Nonlabor!$H$26="Annual",MOD(C2526-IF(Nonlabor!$E$26="Core",Nonlabor!$F$26,MAX(Nonlabor!$F$26,IF(Nonlabor!$E$26="AI",Assumptions!$D$24,Assumptions!$D$25))),12)=0))),IF(Nonlabor!$I$26="Fixed",1,IF(Nonlabor!$I$26="Seats",ROUNDUP('Monthly Base'!I6,0),IF(Nonlabor!$I$26="Customers",'Monthly Base'!D6,IF(Nonlabor!$I$26="NewCustomers",'Monthly Base'!C6,IF(Nonlabor!$I$26="StorageGB",'Monthly Base'!G6,IF(Nonlabor!$I$26="LogGB",'Monthly Base'!H6,IF(Nonlabor!$I$26="RequestsM",'Monthly Base'!F6,IF(Nonlabor!$I$26="InputM",'Monthly Base'!D6*Assumptions!$D$22/1000000,IF(Nonlabor!$I$26="OutputM",'Monthly Base'!D6*Assumptions!$D$23/1000000,0))))))))),0)</f>
        <v>0</v>
      </c>
      <c r="F2526" s="10" t="n">
        <f aca="false">Nonlabor!$J$26*(1+Assumptions!$D$9)^INT((C2526-1)/12)</f>
        <v>15000</v>
      </c>
      <c r="G2526" s="10" t="n">
        <f aca="false">E2526*F2526</f>
        <v>0</v>
      </c>
      <c r="H2526" s="10" t="n">
        <f aca="false">IF(OR(Nonlabor!$L$26="Quote required",Nonlabor!$L$26="Unverified"),G2526,0)</f>
        <v>0</v>
      </c>
      <c r="I2526" s="10" t="n">
        <f aca="false">IF(Nonlabor!$E$26="Core",0,G2526)</f>
        <v>0</v>
      </c>
      <c r="J2526" s="23" t="str">
        <f aca="false">Nonlabor!$B$26</f>
        <v>AI</v>
      </c>
    </row>
    <row r="2527" customFormat="false" ht="15" hidden="false" customHeight="false" outlineLevel="0" collapsed="false">
      <c r="A2527" s="6" t="s">
        <v>4</v>
      </c>
      <c r="B2527" s="6" t="s">
        <v>436</v>
      </c>
      <c r="C2527" s="6" t="n">
        <v>2</v>
      </c>
      <c r="D2527" s="25" t="n">
        <f aca="false">EDATE('Start Here'!$B$6,C2527-1)</f>
        <v>46357</v>
      </c>
      <c r="E2527" s="23" t="n">
        <f aca="false">IF(AND(OR(Nonlabor!$D$26="Both",Nonlabor!$D$26='Start Here'!$B$9),IF(Nonlabor!$E$26="Core",1,IF(Nonlabor!$E$26="AI",'Start Here'!$B$7,'Start Here'!$B$8))=1,C2527&gt;=IF(Nonlabor!$E$26="Core",Nonlabor!$F$26,MAX(Nonlabor!$F$26,IF(Nonlabor!$E$26="AI",Assumptions!$D$24,Assumptions!$D$25))),C2527&lt;=Nonlabor!$G$26,OR(Nonlabor!$H$26="Monthly",AND(Nonlabor!$H$26="Once",C2527=IF(Nonlabor!$E$26="Core",Nonlabor!$F$26,MAX(Nonlabor!$F$26,IF(Nonlabor!$E$26="AI",Assumptions!$D$24,Assumptions!$D$25)))),AND(Nonlabor!$H$26="Annual",MOD(C2527-IF(Nonlabor!$E$26="Core",Nonlabor!$F$26,MAX(Nonlabor!$F$26,IF(Nonlabor!$E$26="AI",Assumptions!$D$24,Assumptions!$D$25))),12)=0))),IF(Nonlabor!$I$26="Fixed",1,IF(Nonlabor!$I$26="Seats",ROUNDUP('Monthly Base'!I7,0),IF(Nonlabor!$I$26="Customers",'Monthly Base'!D7,IF(Nonlabor!$I$26="NewCustomers",'Monthly Base'!C7,IF(Nonlabor!$I$26="StorageGB",'Monthly Base'!G7,IF(Nonlabor!$I$26="LogGB",'Monthly Base'!H7,IF(Nonlabor!$I$26="RequestsM",'Monthly Base'!F7,IF(Nonlabor!$I$26="InputM",'Monthly Base'!D7*Assumptions!$D$22/1000000,IF(Nonlabor!$I$26="OutputM",'Monthly Base'!D7*Assumptions!$D$23/1000000,0))))))))),0)</f>
        <v>0</v>
      </c>
      <c r="F2527" s="10" t="n">
        <f aca="false">Nonlabor!$J$26*(1+Assumptions!$D$9)^INT((C2527-1)/12)</f>
        <v>15000</v>
      </c>
      <c r="G2527" s="10" t="n">
        <f aca="false">E2527*F2527</f>
        <v>0</v>
      </c>
      <c r="H2527" s="10" t="n">
        <f aca="false">IF(OR(Nonlabor!$L$26="Quote required",Nonlabor!$L$26="Unverified"),G2527,0)</f>
        <v>0</v>
      </c>
      <c r="I2527" s="10" t="n">
        <f aca="false">IF(Nonlabor!$E$26="Core",0,G2527)</f>
        <v>0</v>
      </c>
      <c r="J2527" s="23" t="str">
        <f aca="false">Nonlabor!$B$26</f>
        <v>AI</v>
      </c>
    </row>
    <row r="2528" customFormat="false" ht="15" hidden="false" customHeight="false" outlineLevel="0" collapsed="false">
      <c r="A2528" s="6" t="s">
        <v>4</v>
      </c>
      <c r="B2528" s="6" t="s">
        <v>436</v>
      </c>
      <c r="C2528" s="6" t="n">
        <v>3</v>
      </c>
      <c r="D2528" s="25" t="n">
        <f aca="false">EDATE('Start Here'!$B$6,C2528-1)</f>
        <v>46388</v>
      </c>
      <c r="E2528" s="23" t="n">
        <f aca="false">IF(AND(OR(Nonlabor!$D$26="Both",Nonlabor!$D$26='Start Here'!$B$9),IF(Nonlabor!$E$26="Core",1,IF(Nonlabor!$E$26="AI",'Start Here'!$B$7,'Start Here'!$B$8))=1,C2528&gt;=IF(Nonlabor!$E$26="Core",Nonlabor!$F$26,MAX(Nonlabor!$F$26,IF(Nonlabor!$E$26="AI",Assumptions!$D$24,Assumptions!$D$25))),C2528&lt;=Nonlabor!$G$26,OR(Nonlabor!$H$26="Monthly",AND(Nonlabor!$H$26="Once",C2528=IF(Nonlabor!$E$26="Core",Nonlabor!$F$26,MAX(Nonlabor!$F$26,IF(Nonlabor!$E$26="AI",Assumptions!$D$24,Assumptions!$D$25)))),AND(Nonlabor!$H$26="Annual",MOD(C2528-IF(Nonlabor!$E$26="Core",Nonlabor!$F$26,MAX(Nonlabor!$F$26,IF(Nonlabor!$E$26="AI",Assumptions!$D$24,Assumptions!$D$25))),12)=0))),IF(Nonlabor!$I$26="Fixed",1,IF(Nonlabor!$I$26="Seats",ROUNDUP('Monthly Base'!I8,0),IF(Nonlabor!$I$26="Customers",'Monthly Base'!D8,IF(Nonlabor!$I$26="NewCustomers",'Monthly Base'!C8,IF(Nonlabor!$I$26="StorageGB",'Monthly Base'!G8,IF(Nonlabor!$I$26="LogGB",'Monthly Base'!H8,IF(Nonlabor!$I$26="RequestsM",'Monthly Base'!F8,IF(Nonlabor!$I$26="InputM",'Monthly Base'!D8*Assumptions!$D$22/1000000,IF(Nonlabor!$I$26="OutputM",'Monthly Base'!D8*Assumptions!$D$23/1000000,0))))))))),0)</f>
        <v>0</v>
      </c>
      <c r="F2528" s="10" t="n">
        <f aca="false">Nonlabor!$J$26*(1+Assumptions!$D$9)^INT((C2528-1)/12)</f>
        <v>15000</v>
      </c>
      <c r="G2528" s="10" t="n">
        <f aca="false">E2528*F2528</f>
        <v>0</v>
      </c>
      <c r="H2528" s="10" t="n">
        <f aca="false">IF(OR(Nonlabor!$L$26="Quote required",Nonlabor!$L$26="Unverified"),G2528,0)</f>
        <v>0</v>
      </c>
      <c r="I2528" s="10" t="n">
        <f aca="false">IF(Nonlabor!$E$26="Core",0,G2528)</f>
        <v>0</v>
      </c>
      <c r="J2528" s="23" t="str">
        <f aca="false">Nonlabor!$B$26</f>
        <v>AI</v>
      </c>
    </row>
    <row r="2529" customFormat="false" ht="15" hidden="false" customHeight="false" outlineLevel="0" collapsed="false">
      <c r="A2529" s="6" t="s">
        <v>4</v>
      </c>
      <c r="B2529" s="6" t="s">
        <v>436</v>
      </c>
      <c r="C2529" s="6" t="n">
        <v>4</v>
      </c>
      <c r="D2529" s="25" t="n">
        <f aca="false">EDATE('Start Here'!$B$6,C2529-1)</f>
        <v>46419</v>
      </c>
      <c r="E2529" s="23" t="n">
        <f aca="false">IF(AND(OR(Nonlabor!$D$26="Both",Nonlabor!$D$26='Start Here'!$B$9),IF(Nonlabor!$E$26="Core",1,IF(Nonlabor!$E$26="AI",'Start Here'!$B$7,'Start Here'!$B$8))=1,C2529&gt;=IF(Nonlabor!$E$26="Core",Nonlabor!$F$26,MAX(Nonlabor!$F$26,IF(Nonlabor!$E$26="AI",Assumptions!$D$24,Assumptions!$D$25))),C2529&lt;=Nonlabor!$G$26,OR(Nonlabor!$H$26="Monthly",AND(Nonlabor!$H$26="Once",C2529=IF(Nonlabor!$E$26="Core",Nonlabor!$F$26,MAX(Nonlabor!$F$26,IF(Nonlabor!$E$26="AI",Assumptions!$D$24,Assumptions!$D$25)))),AND(Nonlabor!$H$26="Annual",MOD(C2529-IF(Nonlabor!$E$26="Core",Nonlabor!$F$26,MAX(Nonlabor!$F$26,IF(Nonlabor!$E$26="AI",Assumptions!$D$24,Assumptions!$D$25))),12)=0))),IF(Nonlabor!$I$26="Fixed",1,IF(Nonlabor!$I$26="Seats",ROUNDUP('Monthly Base'!I9,0),IF(Nonlabor!$I$26="Customers",'Monthly Base'!D9,IF(Nonlabor!$I$26="NewCustomers",'Monthly Base'!C9,IF(Nonlabor!$I$26="StorageGB",'Monthly Base'!G9,IF(Nonlabor!$I$26="LogGB",'Monthly Base'!H9,IF(Nonlabor!$I$26="RequestsM",'Monthly Base'!F9,IF(Nonlabor!$I$26="InputM",'Monthly Base'!D9*Assumptions!$D$22/1000000,IF(Nonlabor!$I$26="OutputM",'Monthly Base'!D9*Assumptions!$D$23/1000000,0))))))))),0)</f>
        <v>0</v>
      </c>
      <c r="F2529" s="10" t="n">
        <f aca="false">Nonlabor!$J$26*(1+Assumptions!$D$9)^INT((C2529-1)/12)</f>
        <v>15000</v>
      </c>
      <c r="G2529" s="10" t="n">
        <f aca="false">E2529*F2529</f>
        <v>0</v>
      </c>
      <c r="H2529" s="10" t="n">
        <f aca="false">IF(OR(Nonlabor!$L$26="Quote required",Nonlabor!$L$26="Unverified"),G2529,0)</f>
        <v>0</v>
      </c>
      <c r="I2529" s="10" t="n">
        <f aca="false">IF(Nonlabor!$E$26="Core",0,G2529)</f>
        <v>0</v>
      </c>
      <c r="J2529" s="23" t="str">
        <f aca="false">Nonlabor!$B$26</f>
        <v>AI</v>
      </c>
    </row>
    <row r="2530" customFormat="false" ht="15" hidden="false" customHeight="false" outlineLevel="0" collapsed="false">
      <c r="A2530" s="6" t="s">
        <v>4</v>
      </c>
      <c r="B2530" s="6" t="s">
        <v>436</v>
      </c>
      <c r="C2530" s="6" t="n">
        <v>5</v>
      </c>
      <c r="D2530" s="25" t="n">
        <f aca="false">EDATE('Start Here'!$B$6,C2530-1)</f>
        <v>46447</v>
      </c>
      <c r="E2530" s="23" t="n">
        <f aca="false">IF(AND(OR(Nonlabor!$D$26="Both",Nonlabor!$D$26='Start Here'!$B$9),IF(Nonlabor!$E$26="Core",1,IF(Nonlabor!$E$26="AI",'Start Here'!$B$7,'Start Here'!$B$8))=1,C2530&gt;=IF(Nonlabor!$E$26="Core",Nonlabor!$F$26,MAX(Nonlabor!$F$26,IF(Nonlabor!$E$26="AI",Assumptions!$D$24,Assumptions!$D$25))),C2530&lt;=Nonlabor!$G$26,OR(Nonlabor!$H$26="Monthly",AND(Nonlabor!$H$26="Once",C2530=IF(Nonlabor!$E$26="Core",Nonlabor!$F$26,MAX(Nonlabor!$F$26,IF(Nonlabor!$E$26="AI",Assumptions!$D$24,Assumptions!$D$25)))),AND(Nonlabor!$H$26="Annual",MOD(C2530-IF(Nonlabor!$E$26="Core",Nonlabor!$F$26,MAX(Nonlabor!$F$26,IF(Nonlabor!$E$26="AI",Assumptions!$D$24,Assumptions!$D$25))),12)=0))),IF(Nonlabor!$I$26="Fixed",1,IF(Nonlabor!$I$26="Seats",ROUNDUP('Monthly Base'!I10,0),IF(Nonlabor!$I$26="Customers",'Monthly Base'!D10,IF(Nonlabor!$I$26="NewCustomers",'Monthly Base'!C10,IF(Nonlabor!$I$26="StorageGB",'Monthly Base'!G10,IF(Nonlabor!$I$26="LogGB",'Monthly Base'!H10,IF(Nonlabor!$I$26="RequestsM",'Monthly Base'!F10,IF(Nonlabor!$I$26="InputM",'Monthly Base'!D10*Assumptions!$D$22/1000000,IF(Nonlabor!$I$26="OutputM",'Monthly Base'!D10*Assumptions!$D$23/1000000,0))))))))),0)</f>
        <v>0</v>
      </c>
      <c r="F2530" s="10" t="n">
        <f aca="false">Nonlabor!$J$26*(1+Assumptions!$D$9)^INT((C2530-1)/12)</f>
        <v>15000</v>
      </c>
      <c r="G2530" s="10" t="n">
        <f aca="false">E2530*F2530</f>
        <v>0</v>
      </c>
      <c r="H2530" s="10" t="n">
        <f aca="false">IF(OR(Nonlabor!$L$26="Quote required",Nonlabor!$L$26="Unverified"),G2530,0)</f>
        <v>0</v>
      </c>
      <c r="I2530" s="10" t="n">
        <f aca="false">IF(Nonlabor!$E$26="Core",0,G2530)</f>
        <v>0</v>
      </c>
      <c r="J2530" s="23" t="str">
        <f aca="false">Nonlabor!$B$26</f>
        <v>AI</v>
      </c>
    </row>
    <row r="2531" customFormat="false" ht="15" hidden="false" customHeight="false" outlineLevel="0" collapsed="false">
      <c r="A2531" s="6" t="s">
        <v>4</v>
      </c>
      <c r="B2531" s="6" t="s">
        <v>436</v>
      </c>
      <c r="C2531" s="6" t="n">
        <v>6</v>
      </c>
      <c r="D2531" s="25" t="n">
        <f aca="false">EDATE('Start Here'!$B$6,C2531-1)</f>
        <v>46478</v>
      </c>
      <c r="E2531" s="23" t="n">
        <f aca="false">IF(AND(OR(Nonlabor!$D$26="Both",Nonlabor!$D$26='Start Here'!$B$9),IF(Nonlabor!$E$26="Core",1,IF(Nonlabor!$E$26="AI",'Start Here'!$B$7,'Start Here'!$B$8))=1,C2531&gt;=IF(Nonlabor!$E$26="Core",Nonlabor!$F$26,MAX(Nonlabor!$F$26,IF(Nonlabor!$E$26="AI",Assumptions!$D$24,Assumptions!$D$25))),C2531&lt;=Nonlabor!$G$26,OR(Nonlabor!$H$26="Monthly",AND(Nonlabor!$H$26="Once",C2531=IF(Nonlabor!$E$26="Core",Nonlabor!$F$26,MAX(Nonlabor!$F$26,IF(Nonlabor!$E$26="AI",Assumptions!$D$24,Assumptions!$D$25)))),AND(Nonlabor!$H$26="Annual",MOD(C2531-IF(Nonlabor!$E$26="Core",Nonlabor!$F$26,MAX(Nonlabor!$F$26,IF(Nonlabor!$E$26="AI",Assumptions!$D$24,Assumptions!$D$25))),12)=0))),IF(Nonlabor!$I$26="Fixed",1,IF(Nonlabor!$I$26="Seats",ROUNDUP('Monthly Base'!I11,0),IF(Nonlabor!$I$26="Customers",'Monthly Base'!D11,IF(Nonlabor!$I$26="NewCustomers",'Monthly Base'!C11,IF(Nonlabor!$I$26="StorageGB",'Monthly Base'!G11,IF(Nonlabor!$I$26="LogGB",'Monthly Base'!H11,IF(Nonlabor!$I$26="RequestsM",'Monthly Base'!F11,IF(Nonlabor!$I$26="InputM",'Monthly Base'!D11*Assumptions!$D$22/1000000,IF(Nonlabor!$I$26="OutputM",'Monthly Base'!D11*Assumptions!$D$23/1000000,0))))))))),0)</f>
        <v>0</v>
      </c>
      <c r="F2531" s="10" t="n">
        <f aca="false">Nonlabor!$J$26*(1+Assumptions!$D$9)^INT((C2531-1)/12)</f>
        <v>15000</v>
      </c>
      <c r="G2531" s="10" t="n">
        <f aca="false">E2531*F2531</f>
        <v>0</v>
      </c>
      <c r="H2531" s="10" t="n">
        <f aca="false">IF(OR(Nonlabor!$L$26="Quote required",Nonlabor!$L$26="Unverified"),G2531,0)</f>
        <v>0</v>
      </c>
      <c r="I2531" s="10" t="n">
        <f aca="false">IF(Nonlabor!$E$26="Core",0,G2531)</f>
        <v>0</v>
      </c>
      <c r="J2531" s="23" t="str">
        <f aca="false">Nonlabor!$B$26</f>
        <v>AI</v>
      </c>
    </row>
    <row r="2532" customFormat="false" ht="15" hidden="false" customHeight="false" outlineLevel="0" collapsed="false">
      <c r="A2532" s="6" t="s">
        <v>4</v>
      </c>
      <c r="B2532" s="6" t="s">
        <v>436</v>
      </c>
      <c r="C2532" s="6" t="n">
        <v>7</v>
      </c>
      <c r="D2532" s="25" t="n">
        <f aca="false">EDATE('Start Here'!$B$6,C2532-1)</f>
        <v>46508</v>
      </c>
      <c r="E2532" s="23" t="n">
        <f aca="false">IF(AND(OR(Nonlabor!$D$26="Both",Nonlabor!$D$26='Start Here'!$B$9),IF(Nonlabor!$E$26="Core",1,IF(Nonlabor!$E$26="AI",'Start Here'!$B$7,'Start Here'!$B$8))=1,C2532&gt;=IF(Nonlabor!$E$26="Core",Nonlabor!$F$26,MAX(Nonlabor!$F$26,IF(Nonlabor!$E$26="AI",Assumptions!$D$24,Assumptions!$D$25))),C2532&lt;=Nonlabor!$G$26,OR(Nonlabor!$H$26="Monthly",AND(Nonlabor!$H$26="Once",C2532=IF(Nonlabor!$E$26="Core",Nonlabor!$F$26,MAX(Nonlabor!$F$26,IF(Nonlabor!$E$26="AI",Assumptions!$D$24,Assumptions!$D$25)))),AND(Nonlabor!$H$26="Annual",MOD(C2532-IF(Nonlabor!$E$26="Core",Nonlabor!$F$26,MAX(Nonlabor!$F$26,IF(Nonlabor!$E$26="AI",Assumptions!$D$24,Assumptions!$D$25))),12)=0))),IF(Nonlabor!$I$26="Fixed",1,IF(Nonlabor!$I$26="Seats",ROUNDUP('Monthly Base'!I12,0),IF(Nonlabor!$I$26="Customers",'Monthly Base'!D12,IF(Nonlabor!$I$26="NewCustomers",'Monthly Base'!C12,IF(Nonlabor!$I$26="StorageGB",'Monthly Base'!G12,IF(Nonlabor!$I$26="LogGB",'Monthly Base'!H12,IF(Nonlabor!$I$26="RequestsM",'Monthly Base'!F12,IF(Nonlabor!$I$26="InputM",'Monthly Base'!D12*Assumptions!$D$22/1000000,IF(Nonlabor!$I$26="OutputM",'Monthly Base'!D12*Assumptions!$D$23/1000000,0))))))))),0)</f>
        <v>0</v>
      </c>
      <c r="F2532" s="10" t="n">
        <f aca="false">Nonlabor!$J$26*(1+Assumptions!$D$9)^INT((C2532-1)/12)</f>
        <v>15000</v>
      </c>
      <c r="G2532" s="10" t="n">
        <f aca="false">E2532*F2532</f>
        <v>0</v>
      </c>
      <c r="H2532" s="10" t="n">
        <f aca="false">IF(OR(Nonlabor!$L$26="Quote required",Nonlabor!$L$26="Unverified"),G2532,0)</f>
        <v>0</v>
      </c>
      <c r="I2532" s="10" t="n">
        <f aca="false">IF(Nonlabor!$E$26="Core",0,G2532)</f>
        <v>0</v>
      </c>
      <c r="J2532" s="23" t="str">
        <f aca="false">Nonlabor!$B$26</f>
        <v>AI</v>
      </c>
    </row>
    <row r="2533" customFormat="false" ht="15" hidden="false" customHeight="false" outlineLevel="0" collapsed="false">
      <c r="A2533" s="6" t="s">
        <v>4</v>
      </c>
      <c r="B2533" s="6" t="s">
        <v>436</v>
      </c>
      <c r="C2533" s="6" t="n">
        <v>8</v>
      </c>
      <c r="D2533" s="25" t="n">
        <f aca="false">EDATE('Start Here'!$B$6,C2533-1)</f>
        <v>46539</v>
      </c>
      <c r="E2533" s="23" t="n">
        <f aca="false">IF(AND(OR(Nonlabor!$D$26="Both",Nonlabor!$D$26='Start Here'!$B$9),IF(Nonlabor!$E$26="Core",1,IF(Nonlabor!$E$26="AI",'Start Here'!$B$7,'Start Here'!$B$8))=1,C2533&gt;=IF(Nonlabor!$E$26="Core",Nonlabor!$F$26,MAX(Nonlabor!$F$26,IF(Nonlabor!$E$26="AI",Assumptions!$D$24,Assumptions!$D$25))),C2533&lt;=Nonlabor!$G$26,OR(Nonlabor!$H$26="Monthly",AND(Nonlabor!$H$26="Once",C2533=IF(Nonlabor!$E$26="Core",Nonlabor!$F$26,MAX(Nonlabor!$F$26,IF(Nonlabor!$E$26="AI",Assumptions!$D$24,Assumptions!$D$25)))),AND(Nonlabor!$H$26="Annual",MOD(C2533-IF(Nonlabor!$E$26="Core",Nonlabor!$F$26,MAX(Nonlabor!$F$26,IF(Nonlabor!$E$26="AI",Assumptions!$D$24,Assumptions!$D$25))),12)=0))),IF(Nonlabor!$I$26="Fixed",1,IF(Nonlabor!$I$26="Seats",ROUNDUP('Monthly Base'!I13,0),IF(Nonlabor!$I$26="Customers",'Monthly Base'!D13,IF(Nonlabor!$I$26="NewCustomers",'Monthly Base'!C13,IF(Nonlabor!$I$26="StorageGB",'Monthly Base'!G13,IF(Nonlabor!$I$26="LogGB",'Monthly Base'!H13,IF(Nonlabor!$I$26="RequestsM",'Monthly Base'!F13,IF(Nonlabor!$I$26="InputM",'Monthly Base'!D13*Assumptions!$D$22/1000000,IF(Nonlabor!$I$26="OutputM",'Monthly Base'!D13*Assumptions!$D$23/1000000,0))))))))),0)</f>
        <v>0</v>
      </c>
      <c r="F2533" s="10" t="n">
        <f aca="false">Nonlabor!$J$26*(1+Assumptions!$D$9)^INT((C2533-1)/12)</f>
        <v>15000</v>
      </c>
      <c r="G2533" s="10" t="n">
        <f aca="false">E2533*F2533</f>
        <v>0</v>
      </c>
      <c r="H2533" s="10" t="n">
        <f aca="false">IF(OR(Nonlabor!$L$26="Quote required",Nonlabor!$L$26="Unverified"),G2533,0)</f>
        <v>0</v>
      </c>
      <c r="I2533" s="10" t="n">
        <f aca="false">IF(Nonlabor!$E$26="Core",0,G2533)</f>
        <v>0</v>
      </c>
      <c r="J2533" s="23" t="str">
        <f aca="false">Nonlabor!$B$26</f>
        <v>AI</v>
      </c>
    </row>
    <row r="2534" customFormat="false" ht="15" hidden="false" customHeight="false" outlineLevel="0" collapsed="false">
      <c r="A2534" s="6" t="s">
        <v>4</v>
      </c>
      <c r="B2534" s="6" t="s">
        <v>436</v>
      </c>
      <c r="C2534" s="6" t="n">
        <v>9</v>
      </c>
      <c r="D2534" s="25" t="n">
        <f aca="false">EDATE('Start Here'!$B$6,C2534-1)</f>
        <v>46569</v>
      </c>
      <c r="E2534" s="23" t="n">
        <f aca="false">IF(AND(OR(Nonlabor!$D$26="Both",Nonlabor!$D$26='Start Here'!$B$9),IF(Nonlabor!$E$26="Core",1,IF(Nonlabor!$E$26="AI",'Start Here'!$B$7,'Start Here'!$B$8))=1,C2534&gt;=IF(Nonlabor!$E$26="Core",Nonlabor!$F$26,MAX(Nonlabor!$F$26,IF(Nonlabor!$E$26="AI",Assumptions!$D$24,Assumptions!$D$25))),C2534&lt;=Nonlabor!$G$26,OR(Nonlabor!$H$26="Monthly",AND(Nonlabor!$H$26="Once",C2534=IF(Nonlabor!$E$26="Core",Nonlabor!$F$26,MAX(Nonlabor!$F$26,IF(Nonlabor!$E$26="AI",Assumptions!$D$24,Assumptions!$D$25)))),AND(Nonlabor!$H$26="Annual",MOD(C2534-IF(Nonlabor!$E$26="Core",Nonlabor!$F$26,MAX(Nonlabor!$F$26,IF(Nonlabor!$E$26="AI",Assumptions!$D$24,Assumptions!$D$25))),12)=0))),IF(Nonlabor!$I$26="Fixed",1,IF(Nonlabor!$I$26="Seats",ROUNDUP('Monthly Base'!I14,0),IF(Nonlabor!$I$26="Customers",'Monthly Base'!D14,IF(Nonlabor!$I$26="NewCustomers",'Monthly Base'!C14,IF(Nonlabor!$I$26="StorageGB",'Monthly Base'!G14,IF(Nonlabor!$I$26="LogGB",'Monthly Base'!H14,IF(Nonlabor!$I$26="RequestsM",'Monthly Base'!F14,IF(Nonlabor!$I$26="InputM",'Monthly Base'!D14*Assumptions!$D$22/1000000,IF(Nonlabor!$I$26="OutputM",'Monthly Base'!D14*Assumptions!$D$23/1000000,0))))))))),0)</f>
        <v>0</v>
      </c>
      <c r="F2534" s="10" t="n">
        <f aca="false">Nonlabor!$J$26*(1+Assumptions!$D$9)^INT((C2534-1)/12)</f>
        <v>15000</v>
      </c>
      <c r="G2534" s="10" t="n">
        <f aca="false">E2534*F2534</f>
        <v>0</v>
      </c>
      <c r="H2534" s="10" t="n">
        <f aca="false">IF(OR(Nonlabor!$L$26="Quote required",Nonlabor!$L$26="Unverified"),G2534,0)</f>
        <v>0</v>
      </c>
      <c r="I2534" s="10" t="n">
        <f aca="false">IF(Nonlabor!$E$26="Core",0,G2534)</f>
        <v>0</v>
      </c>
      <c r="J2534" s="23" t="str">
        <f aca="false">Nonlabor!$B$26</f>
        <v>AI</v>
      </c>
    </row>
    <row r="2535" customFormat="false" ht="15" hidden="false" customHeight="false" outlineLevel="0" collapsed="false">
      <c r="A2535" s="6" t="s">
        <v>4</v>
      </c>
      <c r="B2535" s="6" t="s">
        <v>436</v>
      </c>
      <c r="C2535" s="6" t="n">
        <v>10</v>
      </c>
      <c r="D2535" s="25" t="n">
        <f aca="false">EDATE('Start Here'!$B$6,C2535-1)</f>
        <v>46600</v>
      </c>
      <c r="E2535" s="23" t="n">
        <f aca="false">IF(AND(OR(Nonlabor!$D$26="Both",Nonlabor!$D$26='Start Here'!$B$9),IF(Nonlabor!$E$26="Core",1,IF(Nonlabor!$E$26="AI",'Start Here'!$B$7,'Start Here'!$B$8))=1,C2535&gt;=IF(Nonlabor!$E$26="Core",Nonlabor!$F$26,MAX(Nonlabor!$F$26,IF(Nonlabor!$E$26="AI",Assumptions!$D$24,Assumptions!$D$25))),C2535&lt;=Nonlabor!$G$26,OR(Nonlabor!$H$26="Monthly",AND(Nonlabor!$H$26="Once",C2535=IF(Nonlabor!$E$26="Core",Nonlabor!$F$26,MAX(Nonlabor!$F$26,IF(Nonlabor!$E$26="AI",Assumptions!$D$24,Assumptions!$D$25)))),AND(Nonlabor!$H$26="Annual",MOD(C2535-IF(Nonlabor!$E$26="Core",Nonlabor!$F$26,MAX(Nonlabor!$F$26,IF(Nonlabor!$E$26="AI",Assumptions!$D$24,Assumptions!$D$25))),12)=0))),IF(Nonlabor!$I$26="Fixed",1,IF(Nonlabor!$I$26="Seats",ROUNDUP('Monthly Base'!I15,0),IF(Nonlabor!$I$26="Customers",'Monthly Base'!D15,IF(Nonlabor!$I$26="NewCustomers",'Monthly Base'!C15,IF(Nonlabor!$I$26="StorageGB",'Monthly Base'!G15,IF(Nonlabor!$I$26="LogGB",'Monthly Base'!H15,IF(Nonlabor!$I$26="RequestsM",'Monthly Base'!F15,IF(Nonlabor!$I$26="InputM",'Monthly Base'!D15*Assumptions!$D$22/1000000,IF(Nonlabor!$I$26="OutputM",'Monthly Base'!D15*Assumptions!$D$23/1000000,0))))))))),0)</f>
        <v>0</v>
      </c>
      <c r="F2535" s="10" t="n">
        <f aca="false">Nonlabor!$J$26*(1+Assumptions!$D$9)^INT((C2535-1)/12)</f>
        <v>15000</v>
      </c>
      <c r="G2535" s="10" t="n">
        <f aca="false">E2535*F2535</f>
        <v>0</v>
      </c>
      <c r="H2535" s="10" t="n">
        <f aca="false">IF(OR(Nonlabor!$L$26="Quote required",Nonlabor!$L$26="Unverified"),G2535,0)</f>
        <v>0</v>
      </c>
      <c r="I2535" s="10" t="n">
        <f aca="false">IF(Nonlabor!$E$26="Core",0,G2535)</f>
        <v>0</v>
      </c>
      <c r="J2535" s="23" t="str">
        <f aca="false">Nonlabor!$B$26</f>
        <v>AI</v>
      </c>
    </row>
    <row r="2536" customFormat="false" ht="15" hidden="false" customHeight="false" outlineLevel="0" collapsed="false">
      <c r="A2536" s="6" t="s">
        <v>4</v>
      </c>
      <c r="B2536" s="6" t="s">
        <v>436</v>
      </c>
      <c r="C2536" s="6" t="n">
        <v>11</v>
      </c>
      <c r="D2536" s="25" t="n">
        <f aca="false">EDATE('Start Here'!$B$6,C2536-1)</f>
        <v>46631</v>
      </c>
      <c r="E2536" s="23" t="n">
        <f aca="false">IF(AND(OR(Nonlabor!$D$26="Both",Nonlabor!$D$26='Start Here'!$B$9),IF(Nonlabor!$E$26="Core",1,IF(Nonlabor!$E$26="AI",'Start Here'!$B$7,'Start Here'!$B$8))=1,C2536&gt;=IF(Nonlabor!$E$26="Core",Nonlabor!$F$26,MAX(Nonlabor!$F$26,IF(Nonlabor!$E$26="AI",Assumptions!$D$24,Assumptions!$D$25))),C2536&lt;=Nonlabor!$G$26,OR(Nonlabor!$H$26="Monthly",AND(Nonlabor!$H$26="Once",C2536=IF(Nonlabor!$E$26="Core",Nonlabor!$F$26,MAX(Nonlabor!$F$26,IF(Nonlabor!$E$26="AI",Assumptions!$D$24,Assumptions!$D$25)))),AND(Nonlabor!$H$26="Annual",MOD(C2536-IF(Nonlabor!$E$26="Core",Nonlabor!$F$26,MAX(Nonlabor!$F$26,IF(Nonlabor!$E$26="AI",Assumptions!$D$24,Assumptions!$D$25))),12)=0))),IF(Nonlabor!$I$26="Fixed",1,IF(Nonlabor!$I$26="Seats",ROUNDUP('Monthly Base'!I16,0),IF(Nonlabor!$I$26="Customers",'Monthly Base'!D16,IF(Nonlabor!$I$26="NewCustomers",'Monthly Base'!C16,IF(Nonlabor!$I$26="StorageGB",'Monthly Base'!G16,IF(Nonlabor!$I$26="LogGB",'Monthly Base'!H16,IF(Nonlabor!$I$26="RequestsM",'Monthly Base'!F16,IF(Nonlabor!$I$26="InputM",'Monthly Base'!D16*Assumptions!$D$22/1000000,IF(Nonlabor!$I$26="OutputM",'Monthly Base'!D16*Assumptions!$D$23/1000000,0))))))))),0)</f>
        <v>0</v>
      </c>
      <c r="F2536" s="10" t="n">
        <f aca="false">Nonlabor!$J$26*(1+Assumptions!$D$9)^INT((C2536-1)/12)</f>
        <v>15000</v>
      </c>
      <c r="G2536" s="10" t="n">
        <f aca="false">E2536*F2536</f>
        <v>0</v>
      </c>
      <c r="H2536" s="10" t="n">
        <f aca="false">IF(OR(Nonlabor!$L$26="Quote required",Nonlabor!$L$26="Unverified"),G2536,0)</f>
        <v>0</v>
      </c>
      <c r="I2536" s="10" t="n">
        <f aca="false">IF(Nonlabor!$E$26="Core",0,G2536)</f>
        <v>0</v>
      </c>
      <c r="J2536" s="23" t="str">
        <f aca="false">Nonlabor!$B$26</f>
        <v>AI</v>
      </c>
    </row>
    <row r="2537" customFormat="false" ht="15" hidden="false" customHeight="false" outlineLevel="0" collapsed="false">
      <c r="A2537" s="6" t="s">
        <v>4</v>
      </c>
      <c r="B2537" s="6" t="s">
        <v>436</v>
      </c>
      <c r="C2537" s="6" t="n">
        <v>12</v>
      </c>
      <c r="D2537" s="25" t="n">
        <f aca="false">EDATE('Start Here'!$B$6,C2537-1)</f>
        <v>46661</v>
      </c>
      <c r="E2537" s="23" t="n">
        <f aca="false">IF(AND(OR(Nonlabor!$D$26="Both",Nonlabor!$D$26='Start Here'!$B$9),IF(Nonlabor!$E$26="Core",1,IF(Nonlabor!$E$26="AI",'Start Here'!$B$7,'Start Here'!$B$8))=1,C2537&gt;=IF(Nonlabor!$E$26="Core",Nonlabor!$F$26,MAX(Nonlabor!$F$26,IF(Nonlabor!$E$26="AI",Assumptions!$D$24,Assumptions!$D$25))),C2537&lt;=Nonlabor!$G$26,OR(Nonlabor!$H$26="Monthly",AND(Nonlabor!$H$26="Once",C2537=IF(Nonlabor!$E$26="Core",Nonlabor!$F$26,MAX(Nonlabor!$F$26,IF(Nonlabor!$E$26="AI",Assumptions!$D$24,Assumptions!$D$25)))),AND(Nonlabor!$H$26="Annual",MOD(C2537-IF(Nonlabor!$E$26="Core",Nonlabor!$F$26,MAX(Nonlabor!$F$26,IF(Nonlabor!$E$26="AI",Assumptions!$D$24,Assumptions!$D$25))),12)=0))),IF(Nonlabor!$I$26="Fixed",1,IF(Nonlabor!$I$26="Seats",ROUNDUP('Monthly Base'!I17,0),IF(Nonlabor!$I$26="Customers",'Monthly Base'!D17,IF(Nonlabor!$I$26="NewCustomers",'Monthly Base'!C17,IF(Nonlabor!$I$26="StorageGB",'Monthly Base'!G17,IF(Nonlabor!$I$26="LogGB",'Monthly Base'!H17,IF(Nonlabor!$I$26="RequestsM",'Monthly Base'!F17,IF(Nonlabor!$I$26="InputM",'Monthly Base'!D17*Assumptions!$D$22/1000000,IF(Nonlabor!$I$26="OutputM",'Monthly Base'!D17*Assumptions!$D$23/1000000,0))))))))),0)</f>
        <v>0</v>
      </c>
      <c r="F2537" s="10" t="n">
        <f aca="false">Nonlabor!$J$26*(1+Assumptions!$D$9)^INT((C2537-1)/12)</f>
        <v>15000</v>
      </c>
      <c r="G2537" s="10" t="n">
        <f aca="false">E2537*F2537</f>
        <v>0</v>
      </c>
      <c r="H2537" s="10" t="n">
        <f aca="false">IF(OR(Nonlabor!$L$26="Quote required",Nonlabor!$L$26="Unverified"),G2537,0)</f>
        <v>0</v>
      </c>
      <c r="I2537" s="10" t="n">
        <f aca="false">IF(Nonlabor!$E$26="Core",0,G2537)</f>
        <v>0</v>
      </c>
      <c r="J2537" s="23" t="str">
        <f aca="false">Nonlabor!$B$26</f>
        <v>AI</v>
      </c>
    </row>
    <row r="2538" customFormat="false" ht="15" hidden="false" customHeight="false" outlineLevel="0" collapsed="false">
      <c r="A2538" s="6" t="s">
        <v>4</v>
      </c>
      <c r="B2538" s="6" t="s">
        <v>436</v>
      </c>
      <c r="C2538" s="6" t="n">
        <v>13</v>
      </c>
      <c r="D2538" s="25" t="n">
        <f aca="false">EDATE('Start Here'!$B$6,C2538-1)</f>
        <v>46692</v>
      </c>
      <c r="E2538" s="23" t="n">
        <f aca="false">IF(AND(OR(Nonlabor!$D$26="Both",Nonlabor!$D$26='Start Here'!$B$9),IF(Nonlabor!$E$26="Core",1,IF(Nonlabor!$E$26="AI",'Start Here'!$B$7,'Start Here'!$B$8))=1,C2538&gt;=IF(Nonlabor!$E$26="Core",Nonlabor!$F$26,MAX(Nonlabor!$F$26,IF(Nonlabor!$E$26="AI",Assumptions!$D$24,Assumptions!$D$25))),C2538&lt;=Nonlabor!$G$26,OR(Nonlabor!$H$26="Monthly",AND(Nonlabor!$H$26="Once",C2538=IF(Nonlabor!$E$26="Core",Nonlabor!$F$26,MAX(Nonlabor!$F$26,IF(Nonlabor!$E$26="AI",Assumptions!$D$24,Assumptions!$D$25)))),AND(Nonlabor!$H$26="Annual",MOD(C2538-IF(Nonlabor!$E$26="Core",Nonlabor!$F$26,MAX(Nonlabor!$F$26,IF(Nonlabor!$E$26="AI",Assumptions!$D$24,Assumptions!$D$25))),12)=0))),IF(Nonlabor!$I$26="Fixed",1,IF(Nonlabor!$I$26="Seats",ROUNDUP('Monthly Base'!I18,0),IF(Nonlabor!$I$26="Customers",'Monthly Base'!D18,IF(Nonlabor!$I$26="NewCustomers",'Monthly Base'!C18,IF(Nonlabor!$I$26="StorageGB",'Monthly Base'!G18,IF(Nonlabor!$I$26="LogGB",'Monthly Base'!H18,IF(Nonlabor!$I$26="RequestsM",'Monthly Base'!F18,IF(Nonlabor!$I$26="InputM",'Monthly Base'!D18*Assumptions!$D$22/1000000,IF(Nonlabor!$I$26="OutputM",'Monthly Base'!D18*Assumptions!$D$23/1000000,0))))))))),0)</f>
        <v>0</v>
      </c>
      <c r="F2538" s="10" t="n">
        <f aca="false">Nonlabor!$J$26*(1+Assumptions!$D$9)^INT((C2538-1)/12)</f>
        <v>15450</v>
      </c>
      <c r="G2538" s="10" t="n">
        <f aca="false">E2538*F2538</f>
        <v>0</v>
      </c>
      <c r="H2538" s="10" t="n">
        <f aca="false">IF(OR(Nonlabor!$L$26="Quote required",Nonlabor!$L$26="Unverified"),G2538,0)</f>
        <v>0</v>
      </c>
      <c r="I2538" s="10" t="n">
        <f aca="false">IF(Nonlabor!$E$26="Core",0,G2538)</f>
        <v>0</v>
      </c>
      <c r="J2538" s="23" t="str">
        <f aca="false">Nonlabor!$B$26</f>
        <v>AI</v>
      </c>
    </row>
    <row r="2539" customFormat="false" ht="15" hidden="false" customHeight="false" outlineLevel="0" collapsed="false">
      <c r="A2539" s="6" t="s">
        <v>4</v>
      </c>
      <c r="B2539" s="6" t="s">
        <v>436</v>
      </c>
      <c r="C2539" s="6" t="n">
        <v>14</v>
      </c>
      <c r="D2539" s="25" t="n">
        <f aca="false">EDATE('Start Here'!$B$6,C2539-1)</f>
        <v>46722</v>
      </c>
      <c r="E2539" s="23" t="n">
        <f aca="false">IF(AND(OR(Nonlabor!$D$26="Both",Nonlabor!$D$26='Start Here'!$B$9),IF(Nonlabor!$E$26="Core",1,IF(Nonlabor!$E$26="AI",'Start Here'!$B$7,'Start Here'!$B$8))=1,C2539&gt;=IF(Nonlabor!$E$26="Core",Nonlabor!$F$26,MAX(Nonlabor!$F$26,IF(Nonlabor!$E$26="AI",Assumptions!$D$24,Assumptions!$D$25))),C2539&lt;=Nonlabor!$G$26,OR(Nonlabor!$H$26="Monthly",AND(Nonlabor!$H$26="Once",C2539=IF(Nonlabor!$E$26="Core",Nonlabor!$F$26,MAX(Nonlabor!$F$26,IF(Nonlabor!$E$26="AI",Assumptions!$D$24,Assumptions!$D$25)))),AND(Nonlabor!$H$26="Annual",MOD(C2539-IF(Nonlabor!$E$26="Core",Nonlabor!$F$26,MAX(Nonlabor!$F$26,IF(Nonlabor!$E$26="AI",Assumptions!$D$24,Assumptions!$D$25))),12)=0))),IF(Nonlabor!$I$26="Fixed",1,IF(Nonlabor!$I$26="Seats",ROUNDUP('Monthly Base'!I19,0),IF(Nonlabor!$I$26="Customers",'Monthly Base'!D19,IF(Nonlabor!$I$26="NewCustomers",'Monthly Base'!C19,IF(Nonlabor!$I$26="StorageGB",'Monthly Base'!G19,IF(Nonlabor!$I$26="LogGB",'Monthly Base'!H19,IF(Nonlabor!$I$26="RequestsM",'Monthly Base'!F19,IF(Nonlabor!$I$26="InputM",'Monthly Base'!D19*Assumptions!$D$22/1000000,IF(Nonlabor!$I$26="OutputM",'Monthly Base'!D19*Assumptions!$D$23/1000000,0))))))))),0)</f>
        <v>0</v>
      </c>
      <c r="F2539" s="10" t="n">
        <f aca="false">Nonlabor!$J$26*(1+Assumptions!$D$9)^INT((C2539-1)/12)</f>
        <v>15450</v>
      </c>
      <c r="G2539" s="10" t="n">
        <f aca="false">E2539*F2539</f>
        <v>0</v>
      </c>
      <c r="H2539" s="10" t="n">
        <f aca="false">IF(OR(Nonlabor!$L$26="Quote required",Nonlabor!$L$26="Unverified"),G2539,0)</f>
        <v>0</v>
      </c>
      <c r="I2539" s="10" t="n">
        <f aca="false">IF(Nonlabor!$E$26="Core",0,G2539)</f>
        <v>0</v>
      </c>
      <c r="J2539" s="23" t="str">
        <f aca="false">Nonlabor!$B$26</f>
        <v>AI</v>
      </c>
    </row>
    <row r="2540" customFormat="false" ht="15" hidden="false" customHeight="false" outlineLevel="0" collapsed="false">
      <c r="A2540" s="6" t="s">
        <v>4</v>
      </c>
      <c r="B2540" s="6" t="s">
        <v>436</v>
      </c>
      <c r="C2540" s="6" t="n">
        <v>15</v>
      </c>
      <c r="D2540" s="25" t="n">
        <f aca="false">EDATE('Start Here'!$B$6,C2540-1)</f>
        <v>46753</v>
      </c>
      <c r="E2540" s="23" t="n">
        <f aca="false">IF(AND(OR(Nonlabor!$D$26="Both",Nonlabor!$D$26='Start Here'!$B$9),IF(Nonlabor!$E$26="Core",1,IF(Nonlabor!$E$26="AI",'Start Here'!$B$7,'Start Here'!$B$8))=1,C2540&gt;=IF(Nonlabor!$E$26="Core",Nonlabor!$F$26,MAX(Nonlabor!$F$26,IF(Nonlabor!$E$26="AI",Assumptions!$D$24,Assumptions!$D$25))),C2540&lt;=Nonlabor!$G$26,OR(Nonlabor!$H$26="Monthly",AND(Nonlabor!$H$26="Once",C2540=IF(Nonlabor!$E$26="Core",Nonlabor!$F$26,MAX(Nonlabor!$F$26,IF(Nonlabor!$E$26="AI",Assumptions!$D$24,Assumptions!$D$25)))),AND(Nonlabor!$H$26="Annual",MOD(C2540-IF(Nonlabor!$E$26="Core",Nonlabor!$F$26,MAX(Nonlabor!$F$26,IF(Nonlabor!$E$26="AI",Assumptions!$D$24,Assumptions!$D$25))),12)=0))),IF(Nonlabor!$I$26="Fixed",1,IF(Nonlabor!$I$26="Seats",ROUNDUP('Monthly Base'!I20,0),IF(Nonlabor!$I$26="Customers",'Monthly Base'!D20,IF(Nonlabor!$I$26="NewCustomers",'Monthly Base'!C20,IF(Nonlabor!$I$26="StorageGB",'Monthly Base'!G20,IF(Nonlabor!$I$26="LogGB",'Monthly Base'!H20,IF(Nonlabor!$I$26="RequestsM",'Monthly Base'!F20,IF(Nonlabor!$I$26="InputM",'Monthly Base'!D20*Assumptions!$D$22/1000000,IF(Nonlabor!$I$26="OutputM",'Monthly Base'!D20*Assumptions!$D$23/1000000,0))))))))),0)</f>
        <v>0</v>
      </c>
      <c r="F2540" s="10" t="n">
        <f aca="false">Nonlabor!$J$26*(1+Assumptions!$D$9)^INT((C2540-1)/12)</f>
        <v>15450</v>
      </c>
      <c r="G2540" s="10" t="n">
        <f aca="false">E2540*F2540</f>
        <v>0</v>
      </c>
      <c r="H2540" s="10" t="n">
        <f aca="false">IF(OR(Nonlabor!$L$26="Quote required",Nonlabor!$L$26="Unverified"),G2540,0)</f>
        <v>0</v>
      </c>
      <c r="I2540" s="10" t="n">
        <f aca="false">IF(Nonlabor!$E$26="Core",0,G2540)</f>
        <v>0</v>
      </c>
      <c r="J2540" s="23" t="str">
        <f aca="false">Nonlabor!$B$26</f>
        <v>AI</v>
      </c>
    </row>
    <row r="2541" customFormat="false" ht="15" hidden="false" customHeight="false" outlineLevel="0" collapsed="false">
      <c r="A2541" s="6" t="s">
        <v>4</v>
      </c>
      <c r="B2541" s="6" t="s">
        <v>436</v>
      </c>
      <c r="C2541" s="6" t="n">
        <v>16</v>
      </c>
      <c r="D2541" s="25" t="n">
        <f aca="false">EDATE('Start Here'!$B$6,C2541-1)</f>
        <v>46784</v>
      </c>
      <c r="E2541" s="23" t="n">
        <f aca="false">IF(AND(OR(Nonlabor!$D$26="Both",Nonlabor!$D$26='Start Here'!$B$9),IF(Nonlabor!$E$26="Core",1,IF(Nonlabor!$E$26="AI",'Start Here'!$B$7,'Start Here'!$B$8))=1,C2541&gt;=IF(Nonlabor!$E$26="Core",Nonlabor!$F$26,MAX(Nonlabor!$F$26,IF(Nonlabor!$E$26="AI",Assumptions!$D$24,Assumptions!$D$25))),C2541&lt;=Nonlabor!$G$26,OR(Nonlabor!$H$26="Monthly",AND(Nonlabor!$H$26="Once",C2541=IF(Nonlabor!$E$26="Core",Nonlabor!$F$26,MAX(Nonlabor!$F$26,IF(Nonlabor!$E$26="AI",Assumptions!$D$24,Assumptions!$D$25)))),AND(Nonlabor!$H$26="Annual",MOD(C2541-IF(Nonlabor!$E$26="Core",Nonlabor!$F$26,MAX(Nonlabor!$F$26,IF(Nonlabor!$E$26="AI",Assumptions!$D$24,Assumptions!$D$25))),12)=0))),IF(Nonlabor!$I$26="Fixed",1,IF(Nonlabor!$I$26="Seats",ROUNDUP('Monthly Base'!I21,0),IF(Nonlabor!$I$26="Customers",'Monthly Base'!D21,IF(Nonlabor!$I$26="NewCustomers",'Monthly Base'!C21,IF(Nonlabor!$I$26="StorageGB",'Monthly Base'!G21,IF(Nonlabor!$I$26="LogGB",'Monthly Base'!H21,IF(Nonlabor!$I$26="RequestsM",'Monthly Base'!F21,IF(Nonlabor!$I$26="InputM",'Monthly Base'!D21*Assumptions!$D$22/1000000,IF(Nonlabor!$I$26="OutputM",'Monthly Base'!D21*Assumptions!$D$23/1000000,0))))))))),0)</f>
        <v>0</v>
      </c>
      <c r="F2541" s="10" t="n">
        <f aca="false">Nonlabor!$J$26*(1+Assumptions!$D$9)^INT((C2541-1)/12)</f>
        <v>15450</v>
      </c>
      <c r="G2541" s="10" t="n">
        <f aca="false">E2541*F2541</f>
        <v>0</v>
      </c>
      <c r="H2541" s="10" t="n">
        <f aca="false">IF(OR(Nonlabor!$L$26="Quote required",Nonlabor!$L$26="Unverified"),G2541,0)</f>
        <v>0</v>
      </c>
      <c r="I2541" s="10" t="n">
        <f aca="false">IF(Nonlabor!$E$26="Core",0,G2541)</f>
        <v>0</v>
      </c>
      <c r="J2541" s="23" t="str">
        <f aca="false">Nonlabor!$B$26</f>
        <v>AI</v>
      </c>
    </row>
    <row r="2542" customFormat="false" ht="15" hidden="false" customHeight="false" outlineLevel="0" collapsed="false">
      <c r="A2542" s="6" t="s">
        <v>4</v>
      </c>
      <c r="B2542" s="6" t="s">
        <v>436</v>
      </c>
      <c r="C2542" s="6" t="n">
        <v>17</v>
      </c>
      <c r="D2542" s="25" t="n">
        <f aca="false">EDATE('Start Here'!$B$6,C2542-1)</f>
        <v>46813</v>
      </c>
      <c r="E2542" s="23" t="n">
        <f aca="false">IF(AND(OR(Nonlabor!$D$26="Both",Nonlabor!$D$26='Start Here'!$B$9),IF(Nonlabor!$E$26="Core",1,IF(Nonlabor!$E$26="AI",'Start Here'!$B$7,'Start Here'!$B$8))=1,C2542&gt;=IF(Nonlabor!$E$26="Core",Nonlabor!$F$26,MAX(Nonlabor!$F$26,IF(Nonlabor!$E$26="AI",Assumptions!$D$24,Assumptions!$D$25))),C2542&lt;=Nonlabor!$G$26,OR(Nonlabor!$H$26="Monthly",AND(Nonlabor!$H$26="Once",C2542=IF(Nonlabor!$E$26="Core",Nonlabor!$F$26,MAX(Nonlabor!$F$26,IF(Nonlabor!$E$26="AI",Assumptions!$D$24,Assumptions!$D$25)))),AND(Nonlabor!$H$26="Annual",MOD(C2542-IF(Nonlabor!$E$26="Core",Nonlabor!$F$26,MAX(Nonlabor!$F$26,IF(Nonlabor!$E$26="AI",Assumptions!$D$24,Assumptions!$D$25))),12)=0))),IF(Nonlabor!$I$26="Fixed",1,IF(Nonlabor!$I$26="Seats",ROUNDUP('Monthly Base'!I22,0),IF(Nonlabor!$I$26="Customers",'Monthly Base'!D22,IF(Nonlabor!$I$26="NewCustomers",'Monthly Base'!C22,IF(Nonlabor!$I$26="StorageGB",'Monthly Base'!G22,IF(Nonlabor!$I$26="LogGB",'Monthly Base'!H22,IF(Nonlabor!$I$26="RequestsM",'Monthly Base'!F22,IF(Nonlabor!$I$26="InputM",'Monthly Base'!D22*Assumptions!$D$22/1000000,IF(Nonlabor!$I$26="OutputM",'Monthly Base'!D22*Assumptions!$D$23/1000000,0))))))))),0)</f>
        <v>0</v>
      </c>
      <c r="F2542" s="10" t="n">
        <f aca="false">Nonlabor!$J$26*(1+Assumptions!$D$9)^INT((C2542-1)/12)</f>
        <v>15450</v>
      </c>
      <c r="G2542" s="10" t="n">
        <f aca="false">E2542*F2542</f>
        <v>0</v>
      </c>
      <c r="H2542" s="10" t="n">
        <f aca="false">IF(OR(Nonlabor!$L$26="Quote required",Nonlabor!$L$26="Unverified"),G2542,0)</f>
        <v>0</v>
      </c>
      <c r="I2542" s="10" t="n">
        <f aca="false">IF(Nonlabor!$E$26="Core",0,G2542)</f>
        <v>0</v>
      </c>
      <c r="J2542" s="23" t="str">
        <f aca="false">Nonlabor!$B$26</f>
        <v>AI</v>
      </c>
    </row>
    <row r="2543" customFormat="false" ht="15" hidden="false" customHeight="false" outlineLevel="0" collapsed="false">
      <c r="A2543" s="6" t="s">
        <v>4</v>
      </c>
      <c r="B2543" s="6" t="s">
        <v>436</v>
      </c>
      <c r="C2543" s="6" t="n">
        <v>18</v>
      </c>
      <c r="D2543" s="25" t="n">
        <f aca="false">EDATE('Start Here'!$B$6,C2543-1)</f>
        <v>46844</v>
      </c>
      <c r="E2543" s="23" t="n">
        <f aca="false">IF(AND(OR(Nonlabor!$D$26="Both",Nonlabor!$D$26='Start Here'!$B$9),IF(Nonlabor!$E$26="Core",1,IF(Nonlabor!$E$26="AI",'Start Here'!$B$7,'Start Here'!$B$8))=1,C2543&gt;=IF(Nonlabor!$E$26="Core",Nonlabor!$F$26,MAX(Nonlabor!$F$26,IF(Nonlabor!$E$26="AI",Assumptions!$D$24,Assumptions!$D$25))),C2543&lt;=Nonlabor!$G$26,OR(Nonlabor!$H$26="Monthly",AND(Nonlabor!$H$26="Once",C2543=IF(Nonlabor!$E$26="Core",Nonlabor!$F$26,MAX(Nonlabor!$F$26,IF(Nonlabor!$E$26="AI",Assumptions!$D$24,Assumptions!$D$25)))),AND(Nonlabor!$H$26="Annual",MOD(C2543-IF(Nonlabor!$E$26="Core",Nonlabor!$F$26,MAX(Nonlabor!$F$26,IF(Nonlabor!$E$26="AI",Assumptions!$D$24,Assumptions!$D$25))),12)=0))),IF(Nonlabor!$I$26="Fixed",1,IF(Nonlabor!$I$26="Seats",ROUNDUP('Monthly Base'!I23,0),IF(Nonlabor!$I$26="Customers",'Monthly Base'!D23,IF(Nonlabor!$I$26="NewCustomers",'Monthly Base'!C23,IF(Nonlabor!$I$26="StorageGB",'Monthly Base'!G23,IF(Nonlabor!$I$26="LogGB",'Monthly Base'!H23,IF(Nonlabor!$I$26="RequestsM",'Monthly Base'!F23,IF(Nonlabor!$I$26="InputM",'Monthly Base'!D23*Assumptions!$D$22/1000000,IF(Nonlabor!$I$26="OutputM",'Monthly Base'!D23*Assumptions!$D$23/1000000,0))))))))),0)</f>
        <v>0</v>
      </c>
      <c r="F2543" s="10" t="n">
        <f aca="false">Nonlabor!$J$26*(1+Assumptions!$D$9)^INT((C2543-1)/12)</f>
        <v>15450</v>
      </c>
      <c r="G2543" s="10" t="n">
        <f aca="false">E2543*F2543</f>
        <v>0</v>
      </c>
      <c r="H2543" s="10" t="n">
        <f aca="false">IF(OR(Nonlabor!$L$26="Quote required",Nonlabor!$L$26="Unverified"),G2543,0)</f>
        <v>0</v>
      </c>
      <c r="I2543" s="10" t="n">
        <f aca="false">IF(Nonlabor!$E$26="Core",0,G2543)</f>
        <v>0</v>
      </c>
      <c r="J2543" s="23" t="str">
        <f aca="false">Nonlabor!$B$26</f>
        <v>AI</v>
      </c>
    </row>
    <row r="2544" customFormat="false" ht="15" hidden="false" customHeight="false" outlineLevel="0" collapsed="false">
      <c r="A2544" s="6" t="s">
        <v>4</v>
      </c>
      <c r="B2544" s="6" t="s">
        <v>436</v>
      </c>
      <c r="C2544" s="6" t="n">
        <v>19</v>
      </c>
      <c r="D2544" s="25" t="n">
        <f aca="false">EDATE('Start Here'!$B$6,C2544-1)</f>
        <v>46874</v>
      </c>
      <c r="E2544" s="23" t="n">
        <f aca="false">IF(AND(OR(Nonlabor!$D$26="Both",Nonlabor!$D$26='Start Here'!$B$9),IF(Nonlabor!$E$26="Core",1,IF(Nonlabor!$E$26="AI",'Start Here'!$B$7,'Start Here'!$B$8))=1,C2544&gt;=IF(Nonlabor!$E$26="Core",Nonlabor!$F$26,MAX(Nonlabor!$F$26,IF(Nonlabor!$E$26="AI",Assumptions!$D$24,Assumptions!$D$25))),C2544&lt;=Nonlabor!$G$26,OR(Nonlabor!$H$26="Monthly",AND(Nonlabor!$H$26="Once",C2544=IF(Nonlabor!$E$26="Core",Nonlabor!$F$26,MAX(Nonlabor!$F$26,IF(Nonlabor!$E$26="AI",Assumptions!$D$24,Assumptions!$D$25)))),AND(Nonlabor!$H$26="Annual",MOD(C2544-IF(Nonlabor!$E$26="Core",Nonlabor!$F$26,MAX(Nonlabor!$F$26,IF(Nonlabor!$E$26="AI",Assumptions!$D$24,Assumptions!$D$25))),12)=0))),IF(Nonlabor!$I$26="Fixed",1,IF(Nonlabor!$I$26="Seats",ROUNDUP('Monthly Base'!I24,0),IF(Nonlabor!$I$26="Customers",'Monthly Base'!D24,IF(Nonlabor!$I$26="NewCustomers",'Monthly Base'!C24,IF(Nonlabor!$I$26="StorageGB",'Monthly Base'!G24,IF(Nonlabor!$I$26="LogGB",'Monthly Base'!H24,IF(Nonlabor!$I$26="RequestsM",'Monthly Base'!F24,IF(Nonlabor!$I$26="InputM",'Monthly Base'!D24*Assumptions!$D$22/1000000,IF(Nonlabor!$I$26="OutputM",'Monthly Base'!D24*Assumptions!$D$23/1000000,0))))))))),0)</f>
        <v>0</v>
      </c>
      <c r="F2544" s="10" t="n">
        <f aca="false">Nonlabor!$J$26*(1+Assumptions!$D$9)^INT((C2544-1)/12)</f>
        <v>15450</v>
      </c>
      <c r="G2544" s="10" t="n">
        <f aca="false">E2544*F2544</f>
        <v>0</v>
      </c>
      <c r="H2544" s="10" t="n">
        <f aca="false">IF(OR(Nonlabor!$L$26="Quote required",Nonlabor!$L$26="Unverified"),G2544,0)</f>
        <v>0</v>
      </c>
      <c r="I2544" s="10" t="n">
        <f aca="false">IF(Nonlabor!$E$26="Core",0,G2544)</f>
        <v>0</v>
      </c>
      <c r="J2544" s="23" t="str">
        <f aca="false">Nonlabor!$B$26</f>
        <v>AI</v>
      </c>
    </row>
    <row r="2545" customFormat="false" ht="15" hidden="false" customHeight="false" outlineLevel="0" collapsed="false">
      <c r="A2545" s="6" t="s">
        <v>4</v>
      </c>
      <c r="B2545" s="6" t="s">
        <v>436</v>
      </c>
      <c r="C2545" s="6" t="n">
        <v>20</v>
      </c>
      <c r="D2545" s="25" t="n">
        <f aca="false">EDATE('Start Here'!$B$6,C2545-1)</f>
        <v>46905</v>
      </c>
      <c r="E2545" s="23" t="n">
        <f aca="false">IF(AND(OR(Nonlabor!$D$26="Both",Nonlabor!$D$26='Start Here'!$B$9),IF(Nonlabor!$E$26="Core",1,IF(Nonlabor!$E$26="AI",'Start Here'!$B$7,'Start Here'!$B$8))=1,C2545&gt;=IF(Nonlabor!$E$26="Core",Nonlabor!$F$26,MAX(Nonlabor!$F$26,IF(Nonlabor!$E$26="AI",Assumptions!$D$24,Assumptions!$D$25))),C2545&lt;=Nonlabor!$G$26,OR(Nonlabor!$H$26="Monthly",AND(Nonlabor!$H$26="Once",C2545=IF(Nonlabor!$E$26="Core",Nonlabor!$F$26,MAX(Nonlabor!$F$26,IF(Nonlabor!$E$26="AI",Assumptions!$D$24,Assumptions!$D$25)))),AND(Nonlabor!$H$26="Annual",MOD(C2545-IF(Nonlabor!$E$26="Core",Nonlabor!$F$26,MAX(Nonlabor!$F$26,IF(Nonlabor!$E$26="AI",Assumptions!$D$24,Assumptions!$D$25))),12)=0))),IF(Nonlabor!$I$26="Fixed",1,IF(Nonlabor!$I$26="Seats",ROUNDUP('Monthly Base'!I25,0),IF(Nonlabor!$I$26="Customers",'Monthly Base'!D25,IF(Nonlabor!$I$26="NewCustomers",'Monthly Base'!C25,IF(Nonlabor!$I$26="StorageGB",'Monthly Base'!G25,IF(Nonlabor!$I$26="LogGB",'Monthly Base'!H25,IF(Nonlabor!$I$26="RequestsM",'Monthly Base'!F25,IF(Nonlabor!$I$26="InputM",'Monthly Base'!D25*Assumptions!$D$22/1000000,IF(Nonlabor!$I$26="OutputM",'Monthly Base'!D25*Assumptions!$D$23/1000000,0))))))))),0)</f>
        <v>0</v>
      </c>
      <c r="F2545" s="10" t="n">
        <f aca="false">Nonlabor!$J$26*(1+Assumptions!$D$9)^INT((C2545-1)/12)</f>
        <v>15450</v>
      </c>
      <c r="G2545" s="10" t="n">
        <f aca="false">E2545*F2545</f>
        <v>0</v>
      </c>
      <c r="H2545" s="10" t="n">
        <f aca="false">IF(OR(Nonlabor!$L$26="Quote required",Nonlabor!$L$26="Unverified"),G2545,0)</f>
        <v>0</v>
      </c>
      <c r="I2545" s="10" t="n">
        <f aca="false">IF(Nonlabor!$E$26="Core",0,G2545)</f>
        <v>0</v>
      </c>
      <c r="J2545" s="23" t="str">
        <f aca="false">Nonlabor!$B$26</f>
        <v>AI</v>
      </c>
    </row>
    <row r="2546" customFormat="false" ht="15" hidden="false" customHeight="false" outlineLevel="0" collapsed="false">
      <c r="A2546" s="6" t="s">
        <v>4</v>
      </c>
      <c r="B2546" s="6" t="s">
        <v>436</v>
      </c>
      <c r="C2546" s="6" t="n">
        <v>21</v>
      </c>
      <c r="D2546" s="25" t="n">
        <f aca="false">EDATE('Start Here'!$B$6,C2546-1)</f>
        <v>46935</v>
      </c>
      <c r="E2546" s="23" t="n">
        <f aca="false">IF(AND(OR(Nonlabor!$D$26="Both",Nonlabor!$D$26='Start Here'!$B$9),IF(Nonlabor!$E$26="Core",1,IF(Nonlabor!$E$26="AI",'Start Here'!$B$7,'Start Here'!$B$8))=1,C2546&gt;=IF(Nonlabor!$E$26="Core",Nonlabor!$F$26,MAX(Nonlabor!$F$26,IF(Nonlabor!$E$26="AI",Assumptions!$D$24,Assumptions!$D$25))),C2546&lt;=Nonlabor!$G$26,OR(Nonlabor!$H$26="Monthly",AND(Nonlabor!$H$26="Once",C2546=IF(Nonlabor!$E$26="Core",Nonlabor!$F$26,MAX(Nonlabor!$F$26,IF(Nonlabor!$E$26="AI",Assumptions!$D$24,Assumptions!$D$25)))),AND(Nonlabor!$H$26="Annual",MOD(C2546-IF(Nonlabor!$E$26="Core",Nonlabor!$F$26,MAX(Nonlabor!$F$26,IF(Nonlabor!$E$26="AI",Assumptions!$D$24,Assumptions!$D$25))),12)=0))),IF(Nonlabor!$I$26="Fixed",1,IF(Nonlabor!$I$26="Seats",ROUNDUP('Monthly Base'!I26,0),IF(Nonlabor!$I$26="Customers",'Monthly Base'!D26,IF(Nonlabor!$I$26="NewCustomers",'Monthly Base'!C26,IF(Nonlabor!$I$26="StorageGB",'Monthly Base'!G26,IF(Nonlabor!$I$26="LogGB",'Monthly Base'!H26,IF(Nonlabor!$I$26="RequestsM",'Monthly Base'!F26,IF(Nonlabor!$I$26="InputM",'Monthly Base'!D26*Assumptions!$D$22/1000000,IF(Nonlabor!$I$26="OutputM",'Monthly Base'!D26*Assumptions!$D$23/1000000,0))))))))),0)</f>
        <v>0</v>
      </c>
      <c r="F2546" s="10" t="n">
        <f aca="false">Nonlabor!$J$26*(1+Assumptions!$D$9)^INT((C2546-1)/12)</f>
        <v>15450</v>
      </c>
      <c r="G2546" s="10" t="n">
        <f aca="false">E2546*F2546</f>
        <v>0</v>
      </c>
      <c r="H2546" s="10" t="n">
        <f aca="false">IF(OR(Nonlabor!$L$26="Quote required",Nonlabor!$L$26="Unverified"),G2546,0)</f>
        <v>0</v>
      </c>
      <c r="I2546" s="10" t="n">
        <f aca="false">IF(Nonlabor!$E$26="Core",0,G2546)</f>
        <v>0</v>
      </c>
      <c r="J2546" s="23" t="str">
        <f aca="false">Nonlabor!$B$26</f>
        <v>AI</v>
      </c>
    </row>
    <row r="2547" customFormat="false" ht="15" hidden="false" customHeight="false" outlineLevel="0" collapsed="false">
      <c r="A2547" s="6" t="s">
        <v>4</v>
      </c>
      <c r="B2547" s="6" t="s">
        <v>436</v>
      </c>
      <c r="C2547" s="6" t="n">
        <v>22</v>
      </c>
      <c r="D2547" s="25" t="n">
        <f aca="false">EDATE('Start Here'!$B$6,C2547-1)</f>
        <v>46966</v>
      </c>
      <c r="E2547" s="23" t="n">
        <f aca="false">IF(AND(OR(Nonlabor!$D$26="Both",Nonlabor!$D$26='Start Here'!$B$9),IF(Nonlabor!$E$26="Core",1,IF(Nonlabor!$E$26="AI",'Start Here'!$B$7,'Start Here'!$B$8))=1,C2547&gt;=IF(Nonlabor!$E$26="Core",Nonlabor!$F$26,MAX(Nonlabor!$F$26,IF(Nonlabor!$E$26="AI",Assumptions!$D$24,Assumptions!$D$25))),C2547&lt;=Nonlabor!$G$26,OR(Nonlabor!$H$26="Monthly",AND(Nonlabor!$H$26="Once",C2547=IF(Nonlabor!$E$26="Core",Nonlabor!$F$26,MAX(Nonlabor!$F$26,IF(Nonlabor!$E$26="AI",Assumptions!$D$24,Assumptions!$D$25)))),AND(Nonlabor!$H$26="Annual",MOD(C2547-IF(Nonlabor!$E$26="Core",Nonlabor!$F$26,MAX(Nonlabor!$F$26,IF(Nonlabor!$E$26="AI",Assumptions!$D$24,Assumptions!$D$25))),12)=0))),IF(Nonlabor!$I$26="Fixed",1,IF(Nonlabor!$I$26="Seats",ROUNDUP('Monthly Base'!I27,0),IF(Nonlabor!$I$26="Customers",'Monthly Base'!D27,IF(Nonlabor!$I$26="NewCustomers",'Monthly Base'!C27,IF(Nonlabor!$I$26="StorageGB",'Monthly Base'!G27,IF(Nonlabor!$I$26="LogGB",'Monthly Base'!H27,IF(Nonlabor!$I$26="RequestsM",'Monthly Base'!F27,IF(Nonlabor!$I$26="InputM",'Monthly Base'!D27*Assumptions!$D$22/1000000,IF(Nonlabor!$I$26="OutputM",'Monthly Base'!D27*Assumptions!$D$23/1000000,0))))))))),0)</f>
        <v>0</v>
      </c>
      <c r="F2547" s="10" t="n">
        <f aca="false">Nonlabor!$J$26*(1+Assumptions!$D$9)^INT((C2547-1)/12)</f>
        <v>15450</v>
      </c>
      <c r="G2547" s="10" t="n">
        <f aca="false">E2547*F2547</f>
        <v>0</v>
      </c>
      <c r="H2547" s="10" t="n">
        <f aca="false">IF(OR(Nonlabor!$L$26="Quote required",Nonlabor!$L$26="Unverified"),G2547,0)</f>
        <v>0</v>
      </c>
      <c r="I2547" s="10" t="n">
        <f aca="false">IF(Nonlabor!$E$26="Core",0,G2547)</f>
        <v>0</v>
      </c>
      <c r="J2547" s="23" t="str">
        <f aca="false">Nonlabor!$B$26</f>
        <v>AI</v>
      </c>
    </row>
    <row r="2548" customFormat="false" ht="15" hidden="false" customHeight="false" outlineLevel="0" collapsed="false">
      <c r="A2548" s="6" t="s">
        <v>4</v>
      </c>
      <c r="B2548" s="6" t="s">
        <v>436</v>
      </c>
      <c r="C2548" s="6" t="n">
        <v>23</v>
      </c>
      <c r="D2548" s="25" t="n">
        <f aca="false">EDATE('Start Here'!$B$6,C2548-1)</f>
        <v>46997</v>
      </c>
      <c r="E2548" s="23" t="n">
        <f aca="false">IF(AND(OR(Nonlabor!$D$26="Both",Nonlabor!$D$26='Start Here'!$B$9),IF(Nonlabor!$E$26="Core",1,IF(Nonlabor!$E$26="AI",'Start Here'!$B$7,'Start Here'!$B$8))=1,C2548&gt;=IF(Nonlabor!$E$26="Core",Nonlabor!$F$26,MAX(Nonlabor!$F$26,IF(Nonlabor!$E$26="AI",Assumptions!$D$24,Assumptions!$D$25))),C2548&lt;=Nonlabor!$G$26,OR(Nonlabor!$H$26="Monthly",AND(Nonlabor!$H$26="Once",C2548=IF(Nonlabor!$E$26="Core",Nonlabor!$F$26,MAX(Nonlabor!$F$26,IF(Nonlabor!$E$26="AI",Assumptions!$D$24,Assumptions!$D$25)))),AND(Nonlabor!$H$26="Annual",MOD(C2548-IF(Nonlabor!$E$26="Core",Nonlabor!$F$26,MAX(Nonlabor!$F$26,IF(Nonlabor!$E$26="AI",Assumptions!$D$24,Assumptions!$D$25))),12)=0))),IF(Nonlabor!$I$26="Fixed",1,IF(Nonlabor!$I$26="Seats",ROUNDUP('Monthly Base'!I28,0),IF(Nonlabor!$I$26="Customers",'Monthly Base'!D28,IF(Nonlabor!$I$26="NewCustomers",'Monthly Base'!C28,IF(Nonlabor!$I$26="StorageGB",'Monthly Base'!G28,IF(Nonlabor!$I$26="LogGB",'Monthly Base'!H28,IF(Nonlabor!$I$26="RequestsM",'Monthly Base'!F28,IF(Nonlabor!$I$26="InputM",'Monthly Base'!D28*Assumptions!$D$22/1000000,IF(Nonlabor!$I$26="OutputM",'Monthly Base'!D28*Assumptions!$D$23/1000000,0))))))))),0)</f>
        <v>0</v>
      </c>
      <c r="F2548" s="10" t="n">
        <f aca="false">Nonlabor!$J$26*(1+Assumptions!$D$9)^INT((C2548-1)/12)</f>
        <v>15450</v>
      </c>
      <c r="G2548" s="10" t="n">
        <f aca="false">E2548*F2548</f>
        <v>0</v>
      </c>
      <c r="H2548" s="10" t="n">
        <f aca="false">IF(OR(Nonlabor!$L$26="Quote required",Nonlabor!$L$26="Unverified"),G2548,0)</f>
        <v>0</v>
      </c>
      <c r="I2548" s="10" t="n">
        <f aca="false">IF(Nonlabor!$E$26="Core",0,G2548)</f>
        <v>0</v>
      </c>
      <c r="J2548" s="23" t="str">
        <f aca="false">Nonlabor!$B$26</f>
        <v>AI</v>
      </c>
    </row>
    <row r="2549" customFormat="false" ht="15" hidden="false" customHeight="false" outlineLevel="0" collapsed="false">
      <c r="A2549" s="6" t="s">
        <v>4</v>
      </c>
      <c r="B2549" s="6" t="s">
        <v>436</v>
      </c>
      <c r="C2549" s="6" t="n">
        <v>24</v>
      </c>
      <c r="D2549" s="25" t="n">
        <f aca="false">EDATE('Start Here'!$B$6,C2549-1)</f>
        <v>47027</v>
      </c>
      <c r="E2549" s="23" t="n">
        <f aca="false">IF(AND(OR(Nonlabor!$D$26="Both",Nonlabor!$D$26='Start Here'!$B$9),IF(Nonlabor!$E$26="Core",1,IF(Nonlabor!$E$26="AI",'Start Here'!$B$7,'Start Here'!$B$8))=1,C2549&gt;=IF(Nonlabor!$E$26="Core",Nonlabor!$F$26,MAX(Nonlabor!$F$26,IF(Nonlabor!$E$26="AI",Assumptions!$D$24,Assumptions!$D$25))),C2549&lt;=Nonlabor!$G$26,OR(Nonlabor!$H$26="Monthly",AND(Nonlabor!$H$26="Once",C2549=IF(Nonlabor!$E$26="Core",Nonlabor!$F$26,MAX(Nonlabor!$F$26,IF(Nonlabor!$E$26="AI",Assumptions!$D$24,Assumptions!$D$25)))),AND(Nonlabor!$H$26="Annual",MOD(C2549-IF(Nonlabor!$E$26="Core",Nonlabor!$F$26,MAX(Nonlabor!$F$26,IF(Nonlabor!$E$26="AI",Assumptions!$D$24,Assumptions!$D$25))),12)=0))),IF(Nonlabor!$I$26="Fixed",1,IF(Nonlabor!$I$26="Seats",ROUNDUP('Monthly Base'!I29,0),IF(Nonlabor!$I$26="Customers",'Monthly Base'!D29,IF(Nonlabor!$I$26="NewCustomers",'Monthly Base'!C29,IF(Nonlabor!$I$26="StorageGB",'Monthly Base'!G29,IF(Nonlabor!$I$26="LogGB",'Monthly Base'!H29,IF(Nonlabor!$I$26="RequestsM",'Monthly Base'!F29,IF(Nonlabor!$I$26="InputM",'Monthly Base'!D29*Assumptions!$D$22/1000000,IF(Nonlabor!$I$26="OutputM",'Monthly Base'!D29*Assumptions!$D$23/1000000,0))))))))),0)</f>
        <v>0</v>
      </c>
      <c r="F2549" s="10" t="n">
        <f aca="false">Nonlabor!$J$26*(1+Assumptions!$D$9)^INT((C2549-1)/12)</f>
        <v>15450</v>
      </c>
      <c r="G2549" s="10" t="n">
        <f aca="false">E2549*F2549</f>
        <v>0</v>
      </c>
      <c r="H2549" s="10" t="n">
        <f aca="false">IF(OR(Nonlabor!$L$26="Quote required",Nonlabor!$L$26="Unverified"),G2549,0)</f>
        <v>0</v>
      </c>
      <c r="I2549" s="10" t="n">
        <f aca="false">IF(Nonlabor!$E$26="Core",0,G2549)</f>
        <v>0</v>
      </c>
      <c r="J2549" s="23" t="str">
        <f aca="false">Nonlabor!$B$26</f>
        <v>AI</v>
      </c>
    </row>
    <row r="2550" customFormat="false" ht="15" hidden="false" customHeight="false" outlineLevel="0" collapsed="false">
      <c r="A2550" s="6" t="s">
        <v>4</v>
      </c>
      <c r="B2550" s="6" t="s">
        <v>436</v>
      </c>
      <c r="C2550" s="6" t="n">
        <v>25</v>
      </c>
      <c r="D2550" s="25" t="n">
        <f aca="false">EDATE('Start Here'!$B$6,C2550-1)</f>
        <v>47058</v>
      </c>
      <c r="E2550" s="23" t="n">
        <f aca="false">IF(AND(OR(Nonlabor!$D$26="Both",Nonlabor!$D$26='Start Here'!$B$9),IF(Nonlabor!$E$26="Core",1,IF(Nonlabor!$E$26="AI",'Start Here'!$B$7,'Start Here'!$B$8))=1,C2550&gt;=IF(Nonlabor!$E$26="Core",Nonlabor!$F$26,MAX(Nonlabor!$F$26,IF(Nonlabor!$E$26="AI",Assumptions!$D$24,Assumptions!$D$25))),C2550&lt;=Nonlabor!$G$26,OR(Nonlabor!$H$26="Monthly",AND(Nonlabor!$H$26="Once",C2550=IF(Nonlabor!$E$26="Core",Nonlabor!$F$26,MAX(Nonlabor!$F$26,IF(Nonlabor!$E$26="AI",Assumptions!$D$24,Assumptions!$D$25)))),AND(Nonlabor!$H$26="Annual",MOD(C2550-IF(Nonlabor!$E$26="Core",Nonlabor!$F$26,MAX(Nonlabor!$F$26,IF(Nonlabor!$E$26="AI",Assumptions!$D$24,Assumptions!$D$25))),12)=0))),IF(Nonlabor!$I$26="Fixed",1,IF(Nonlabor!$I$26="Seats",ROUNDUP('Monthly Base'!I30,0),IF(Nonlabor!$I$26="Customers",'Monthly Base'!D30,IF(Nonlabor!$I$26="NewCustomers",'Monthly Base'!C30,IF(Nonlabor!$I$26="StorageGB",'Monthly Base'!G30,IF(Nonlabor!$I$26="LogGB",'Monthly Base'!H30,IF(Nonlabor!$I$26="RequestsM",'Monthly Base'!F30,IF(Nonlabor!$I$26="InputM",'Monthly Base'!D30*Assumptions!$D$22/1000000,IF(Nonlabor!$I$26="OutputM",'Monthly Base'!D30*Assumptions!$D$23/1000000,0))))))))),0)</f>
        <v>0</v>
      </c>
      <c r="F2550" s="10" t="n">
        <f aca="false">Nonlabor!$J$26*(1+Assumptions!$D$9)^INT((C2550-1)/12)</f>
        <v>15913.5</v>
      </c>
      <c r="G2550" s="10" t="n">
        <f aca="false">E2550*F2550</f>
        <v>0</v>
      </c>
      <c r="H2550" s="10" t="n">
        <f aca="false">IF(OR(Nonlabor!$L$26="Quote required",Nonlabor!$L$26="Unverified"),G2550,0)</f>
        <v>0</v>
      </c>
      <c r="I2550" s="10" t="n">
        <f aca="false">IF(Nonlabor!$E$26="Core",0,G2550)</f>
        <v>0</v>
      </c>
      <c r="J2550" s="23" t="str">
        <f aca="false">Nonlabor!$B$26</f>
        <v>AI</v>
      </c>
    </row>
    <row r="2551" customFormat="false" ht="15" hidden="false" customHeight="false" outlineLevel="0" collapsed="false">
      <c r="A2551" s="6" t="s">
        <v>4</v>
      </c>
      <c r="B2551" s="6" t="s">
        <v>436</v>
      </c>
      <c r="C2551" s="6" t="n">
        <v>26</v>
      </c>
      <c r="D2551" s="25" t="n">
        <f aca="false">EDATE('Start Here'!$B$6,C2551-1)</f>
        <v>47088</v>
      </c>
      <c r="E2551" s="23" t="n">
        <f aca="false">IF(AND(OR(Nonlabor!$D$26="Both",Nonlabor!$D$26='Start Here'!$B$9),IF(Nonlabor!$E$26="Core",1,IF(Nonlabor!$E$26="AI",'Start Here'!$B$7,'Start Here'!$B$8))=1,C2551&gt;=IF(Nonlabor!$E$26="Core",Nonlabor!$F$26,MAX(Nonlabor!$F$26,IF(Nonlabor!$E$26="AI",Assumptions!$D$24,Assumptions!$D$25))),C2551&lt;=Nonlabor!$G$26,OR(Nonlabor!$H$26="Monthly",AND(Nonlabor!$H$26="Once",C2551=IF(Nonlabor!$E$26="Core",Nonlabor!$F$26,MAX(Nonlabor!$F$26,IF(Nonlabor!$E$26="AI",Assumptions!$D$24,Assumptions!$D$25)))),AND(Nonlabor!$H$26="Annual",MOD(C2551-IF(Nonlabor!$E$26="Core",Nonlabor!$F$26,MAX(Nonlabor!$F$26,IF(Nonlabor!$E$26="AI",Assumptions!$D$24,Assumptions!$D$25))),12)=0))),IF(Nonlabor!$I$26="Fixed",1,IF(Nonlabor!$I$26="Seats",ROUNDUP('Monthly Base'!I31,0),IF(Nonlabor!$I$26="Customers",'Monthly Base'!D31,IF(Nonlabor!$I$26="NewCustomers",'Monthly Base'!C31,IF(Nonlabor!$I$26="StorageGB",'Monthly Base'!G31,IF(Nonlabor!$I$26="LogGB",'Monthly Base'!H31,IF(Nonlabor!$I$26="RequestsM",'Monthly Base'!F31,IF(Nonlabor!$I$26="InputM",'Monthly Base'!D31*Assumptions!$D$22/1000000,IF(Nonlabor!$I$26="OutputM",'Monthly Base'!D31*Assumptions!$D$23/1000000,0))))))))),0)</f>
        <v>0</v>
      </c>
      <c r="F2551" s="10" t="n">
        <f aca="false">Nonlabor!$J$26*(1+Assumptions!$D$9)^INT((C2551-1)/12)</f>
        <v>15913.5</v>
      </c>
      <c r="G2551" s="10" t="n">
        <f aca="false">E2551*F2551</f>
        <v>0</v>
      </c>
      <c r="H2551" s="10" t="n">
        <f aca="false">IF(OR(Nonlabor!$L$26="Quote required",Nonlabor!$L$26="Unverified"),G2551,0)</f>
        <v>0</v>
      </c>
      <c r="I2551" s="10" t="n">
        <f aca="false">IF(Nonlabor!$E$26="Core",0,G2551)</f>
        <v>0</v>
      </c>
      <c r="J2551" s="23" t="str">
        <f aca="false">Nonlabor!$B$26</f>
        <v>AI</v>
      </c>
    </row>
    <row r="2552" customFormat="false" ht="15" hidden="false" customHeight="false" outlineLevel="0" collapsed="false">
      <c r="A2552" s="6" t="s">
        <v>4</v>
      </c>
      <c r="B2552" s="6" t="s">
        <v>436</v>
      </c>
      <c r="C2552" s="6" t="n">
        <v>27</v>
      </c>
      <c r="D2552" s="25" t="n">
        <f aca="false">EDATE('Start Here'!$B$6,C2552-1)</f>
        <v>47119</v>
      </c>
      <c r="E2552" s="23" t="n">
        <f aca="false">IF(AND(OR(Nonlabor!$D$26="Both",Nonlabor!$D$26='Start Here'!$B$9),IF(Nonlabor!$E$26="Core",1,IF(Nonlabor!$E$26="AI",'Start Here'!$B$7,'Start Here'!$B$8))=1,C2552&gt;=IF(Nonlabor!$E$26="Core",Nonlabor!$F$26,MAX(Nonlabor!$F$26,IF(Nonlabor!$E$26="AI",Assumptions!$D$24,Assumptions!$D$25))),C2552&lt;=Nonlabor!$G$26,OR(Nonlabor!$H$26="Monthly",AND(Nonlabor!$H$26="Once",C2552=IF(Nonlabor!$E$26="Core",Nonlabor!$F$26,MAX(Nonlabor!$F$26,IF(Nonlabor!$E$26="AI",Assumptions!$D$24,Assumptions!$D$25)))),AND(Nonlabor!$H$26="Annual",MOD(C2552-IF(Nonlabor!$E$26="Core",Nonlabor!$F$26,MAX(Nonlabor!$F$26,IF(Nonlabor!$E$26="AI",Assumptions!$D$24,Assumptions!$D$25))),12)=0))),IF(Nonlabor!$I$26="Fixed",1,IF(Nonlabor!$I$26="Seats",ROUNDUP('Monthly Base'!I32,0),IF(Nonlabor!$I$26="Customers",'Monthly Base'!D32,IF(Nonlabor!$I$26="NewCustomers",'Monthly Base'!C32,IF(Nonlabor!$I$26="StorageGB",'Monthly Base'!G32,IF(Nonlabor!$I$26="LogGB",'Monthly Base'!H32,IF(Nonlabor!$I$26="RequestsM",'Monthly Base'!F32,IF(Nonlabor!$I$26="InputM",'Monthly Base'!D32*Assumptions!$D$22/1000000,IF(Nonlabor!$I$26="OutputM",'Monthly Base'!D32*Assumptions!$D$23/1000000,0))))))))),0)</f>
        <v>0</v>
      </c>
      <c r="F2552" s="10" t="n">
        <f aca="false">Nonlabor!$J$26*(1+Assumptions!$D$9)^INT((C2552-1)/12)</f>
        <v>15913.5</v>
      </c>
      <c r="G2552" s="10" t="n">
        <f aca="false">E2552*F2552</f>
        <v>0</v>
      </c>
      <c r="H2552" s="10" t="n">
        <f aca="false">IF(OR(Nonlabor!$L$26="Quote required",Nonlabor!$L$26="Unverified"),G2552,0)</f>
        <v>0</v>
      </c>
      <c r="I2552" s="10" t="n">
        <f aca="false">IF(Nonlabor!$E$26="Core",0,G2552)</f>
        <v>0</v>
      </c>
      <c r="J2552" s="23" t="str">
        <f aca="false">Nonlabor!$B$26</f>
        <v>AI</v>
      </c>
    </row>
    <row r="2553" customFormat="false" ht="15" hidden="false" customHeight="false" outlineLevel="0" collapsed="false">
      <c r="A2553" s="6" t="s">
        <v>4</v>
      </c>
      <c r="B2553" s="6" t="s">
        <v>436</v>
      </c>
      <c r="C2553" s="6" t="n">
        <v>28</v>
      </c>
      <c r="D2553" s="25" t="n">
        <f aca="false">EDATE('Start Here'!$B$6,C2553-1)</f>
        <v>47150</v>
      </c>
      <c r="E2553" s="23" t="n">
        <f aca="false">IF(AND(OR(Nonlabor!$D$26="Both",Nonlabor!$D$26='Start Here'!$B$9),IF(Nonlabor!$E$26="Core",1,IF(Nonlabor!$E$26="AI",'Start Here'!$B$7,'Start Here'!$B$8))=1,C2553&gt;=IF(Nonlabor!$E$26="Core",Nonlabor!$F$26,MAX(Nonlabor!$F$26,IF(Nonlabor!$E$26="AI",Assumptions!$D$24,Assumptions!$D$25))),C2553&lt;=Nonlabor!$G$26,OR(Nonlabor!$H$26="Monthly",AND(Nonlabor!$H$26="Once",C2553=IF(Nonlabor!$E$26="Core",Nonlabor!$F$26,MAX(Nonlabor!$F$26,IF(Nonlabor!$E$26="AI",Assumptions!$D$24,Assumptions!$D$25)))),AND(Nonlabor!$H$26="Annual",MOD(C2553-IF(Nonlabor!$E$26="Core",Nonlabor!$F$26,MAX(Nonlabor!$F$26,IF(Nonlabor!$E$26="AI",Assumptions!$D$24,Assumptions!$D$25))),12)=0))),IF(Nonlabor!$I$26="Fixed",1,IF(Nonlabor!$I$26="Seats",ROUNDUP('Monthly Base'!I33,0),IF(Nonlabor!$I$26="Customers",'Monthly Base'!D33,IF(Nonlabor!$I$26="NewCustomers",'Monthly Base'!C33,IF(Nonlabor!$I$26="StorageGB",'Monthly Base'!G33,IF(Nonlabor!$I$26="LogGB",'Monthly Base'!H33,IF(Nonlabor!$I$26="RequestsM",'Monthly Base'!F33,IF(Nonlabor!$I$26="InputM",'Monthly Base'!D33*Assumptions!$D$22/1000000,IF(Nonlabor!$I$26="OutputM",'Monthly Base'!D33*Assumptions!$D$23/1000000,0))))))))),0)</f>
        <v>0</v>
      </c>
      <c r="F2553" s="10" t="n">
        <f aca="false">Nonlabor!$J$26*(1+Assumptions!$D$9)^INT((C2553-1)/12)</f>
        <v>15913.5</v>
      </c>
      <c r="G2553" s="10" t="n">
        <f aca="false">E2553*F2553</f>
        <v>0</v>
      </c>
      <c r="H2553" s="10" t="n">
        <f aca="false">IF(OR(Nonlabor!$L$26="Quote required",Nonlabor!$L$26="Unverified"),G2553,0)</f>
        <v>0</v>
      </c>
      <c r="I2553" s="10" t="n">
        <f aca="false">IF(Nonlabor!$E$26="Core",0,G2553)</f>
        <v>0</v>
      </c>
      <c r="J2553" s="23" t="str">
        <f aca="false">Nonlabor!$B$26</f>
        <v>AI</v>
      </c>
    </row>
    <row r="2554" customFormat="false" ht="15" hidden="false" customHeight="false" outlineLevel="0" collapsed="false">
      <c r="A2554" s="6" t="s">
        <v>4</v>
      </c>
      <c r="B2554" s="6" t="s">
        <v>436</v>
      </c>
      <c r="C2554" s="6" t="n">
        <v>29</v>
      </c>
      <c r="D2554" s="25" t="n">
        <f aca="false">EDATE('Start Here'!$B$6,C2554-1)</f>
        <v>47178</v>
      </c>
      <c r="E2554" s="23" t="n">
        <f aca="false">IF(AND(OR(Nonlabor!$D$26="Both",Nonlabor!$D$26='Start Here'!$B$9),IF(Nonlabor!$E$26="Core",1,IF(Nonlabor!$E$26="AI",'Start Here'!$B$7,'Start Here'!$B$8))=1,C2554&gt;=IF(Nonlabor!$E$26="Core",Nonlabor!$F$26,MAX(Nonlabor!$F$26,IF(Nonlabor!$E$26="AI",Assumptions!$D$24,Assumptions!$D$25))),C2554&lt;=Nonlabor!$G$26,OR(Nonlabor!$H$26="Monthly",AND(Nonlabor!$H$26="Once",C2554=IF(Nonlabor!$E$26="Core",Nonlabor!$F$26,MAX(Nonlabor!$F$26,IF(Nonlabor!$E$26="AI",Assumptions!$D$24,Assumptions!$D$25)))),AND(Nonlabor!$H$26="Annual",MOD(C2554-IF(Nonlabor!$E$26="Core",Nonlabor!$F$26,MAX(Nonlabor!$F$26,IF(Nonlabor!$E$26="AI",Assumptions!$D$24,Assumptions!$D$25))),12)=0))),IF(Nonlabor!$I$26="Fixed",1,IF(Nonlabor!$I$26="Seats",ROUNDUP('Monthly Base'!I34,0),IF(Nonlabor!$I$26="Customers",'Monthly Base'!D34,IF(Nonlabor!$I$26="NewCustomers",'Monthly Base'!C34,IF(Nonlabor!$I$26="StorageGB",'Monthly Base'!G34,IF(Nonlabor!$I$26="LogGB",'Monthly Base'!H34,IF(Nonlabor!$I$26="RequestsM",'Monthly Base'!F34,IF(Nonlabor!$I$26="InputM",'Monthly Base'!D34*Assumptions!$D$22/1000000,IF(Nonlabor!$I$26="OutputM",'Monthly Base'!D34*Assumptions!$D$23/1000000,0))))))))),0)</f>
        <v>0</v>
      </c>
      <c r="F2554" s="10" t="n">
        <f aca="false">Nonlabor!$J$26*(1+Assumptions!$D$9)^INT((C2554-1)/12)</f>
        <v>15913.5</v>
      </c>
      <c r="G2554" s="10" t="n">
        <f aca="false">E2554*F2554</f>
        <v>0</v>
      </c>
      <c r="H2554" s="10" t="n">
        <f aca="false">IF(OR(Nonlabor!$L$26="Quote required",Nonlabor!$L$26="Unverified"),G2554,0)</f>
        <v>0</v>
      </c>
      <c r="I2554" s="10" t="n">
        <f aca="false">IF(Nonlabor!$E$26="Core",0,G2554)</f>
        <v>0</v>
      </c>
      <c r="J2554" s="23" t="str">
        <f aca="false">Nonlabor!$B$26</f>
        <v>AI</v>
      </c>
    </row>
    <row r="2555" customFormat="false" ht="15" hidden="false" customHeight="false" outlineLevel="0" collapsed="false">
      <c r="A2555" s="6" t="s">
        <v>4</v>
      </c>
      <c r="B2555" s="6" t="s">
        <v>436</v>
      </c>
      <c r="C2555" s="6" t="n">
        <v>30</v>
      </c>
      <c r="D2555" s="25" t="n">
        <f aca="false">EDATE('Start Here'!$B$6,C2555-1)</f>
        <v>47209</v>
      </c>
      <c r="E2555" s="23" t="n">
        <f aca="false">IF(AND(OR(Nonlabor!$D$26="Both",Nonlabor!$D$26='Start Here'!$B$9),IF(Nonlabor!$E$26="Core",1,IF(Nonlabor!$E$26="AI",'Start Here'!$B$7,'Start Here'!$B$8))=1,C2555&gt;=IF(Nonlabor!$E$26="Core",Nonlabor!$F$26,MAX(Nonlabor!$F$26,IF(Nonlabor!$E$26="AI",Assumptions!$D$24,Assumptions!$D$25))),C2555&lt;=Nonlabor!$G$26,OR(Nonlabor!$H$26="Monthly",AND(Nonlabor!$H$26="Once",C2555=IF(Nonlabor!$E$26="Core",Nonlabor!$F$26,MAX(Nonlabor!$F$26,IF(Nonlabor!$E$26="AI",Assumptions!$D$24,Assumptions!$D$25)))),AND(Nonlabor!$H$26="Annual",MOD(C2555-IF(Nonlabor!$E$26="Core",Nonlabor!$F$26,MAX(Nonlabor!$F$26,IF(Nonlabor!$E$26="AI",Assumptions!$D$24,Assumptions!$D$25))),12)=0))),IF(Nonlabor!$I$26="Fixed",1,IF(Nonlabor!$I$26="Seats",ROUNDUP('Monthly Base'!I35,0),IF(Nonlabor!$I$26="Customers",'Monthly Base'!D35,IF(Nonlabor!$I$26="NewCustomers",'Monthly Base'!C35,IF(Nonlabor!$I$26="StorageGB",'Monthly Base'!G35,IF(Nonlabor!$I$26="LogGB",'Monthly Base'!H35,IF(Nonlabor!$I$26="RequestsM",'Monthly Base'!F35,IF(Nonlabor!$I$26="InputM",'Monthly Base'!D35*Assumptions!$D$22/1000000,IF(Nonlabor!$I$26="OutputM",'Monthly Base'!D35*Assumptions!$D$23/1000000,0))))))))),0)</f>
        <v>0</v>
      </c>
      <c r="F2555" s="10" t="n">
        <f aca="false">Nonlabor!$J$26*(1+Assumptions!$D$9)^INT((C2555-1)/12)</f>
        <v>15913.5</v>
      </c>
      <c r="G2555" s="10" t="n">
        <f aca="false">E2555*F2555</f>
        <v>0</v>
      </c>
      <c r="H2555" s="10" t="n">
        <f aca="false">IF(OR(Nonlabor!$L$26="Quote required",Nonlabor!$L$26="Unverified"),G2555,0)</f>
        <v>0</v>
      </c>
      <c r="I2555" s="10" t="n">
        <f aca="false">IF(Nonlabor!$E$26="Core",0,G2555)</f>
        <v>0</v>
      </c>
      <c r="J2555" s="23" t="str">
        <f aca="false">Nonlabor!$B$26</f>
        <v>AI</v>
      </c>
    </row>
    <row r="2556" customFormat="false" ht="15" hidden="false" customHeight="false" outlineLevel="0" collapsed="false">
      <c r="A2556" s="6" t="s">
        <v>4</v>
      </c>
      <c r="B2556" s="6" t="s">
        <v>436</v>
      </c>
      <c r="C2556" s="6" t="n">
        <v>31</v>
      </c>
      <c r="D2556" s="25" t="n">
        <f aca="false">EDATE('Start Here'!$B$6,C2556-1)</f>
        <v>47239</v>
      </c>
      <c r="E2556" s="23" t="n">
        <f aca="false">IF(AND(OR(Nonlabor!$D$26="Both",Nonlabor!$D$26='Start Here'!$B$9),IF(Nonlabor!$E$26="Core",1,IF(Nonlabor!$E$26="AI",'Start Here'!$B$7,'Start Here'!$B$8))=1,C2556&gt;=IF(Nonlabor!$E$26="Core",Nonlabor!$F$26,MAX(Nonlabor!$F$26,IF(Nonlabor!$E$26="AI",Assumptions!$D$24,Assumptions!$D$25))),C2556&lt;=Nonlabor!$G$26,OR(Nonlabor!$H$26="Monthly",AND(Nonlabor!$H$26="Once",C2556=IF(Nonlabor!$E$26="Core",Nonlabor!$F$26,MAX(Nonlabor!$F$26,IF(Nonlabor!$E$26="AI",Assumptions!$D$24,Assumptions!$D$25)))),AND(Nonlabor!$H$26="Annual",MOD(C2556-IF(Nonlabor!$E$26="Core",Nonlabor!$F$26,MAX(Nonlabor!$F$26,IF(Nonlabor!$E$26="AI",Assumptions!$D$24,Assumptions!$D$25))),12)=0))),IF(Nonlabor!$I$26="Fixed",1,IF(Nonlabor!$I$26="Seats",ROUNDUP('Monthly Base'!I36,0),IF(Nonlabor!$I$26="Customers",'Monthly Base'!D36,IF(Nonlabor!$I$26="NewCustomers",'Monthly Base'!C36,IF(Nonlabor!$I$26="StorageGB",'Monthly Base'!G36,IF(Nonlabor!$I$26="LogGB",'Monthly Base'!H36,IF(Nonlabor!$I$26="RequestsM",'Monthly Base'!F36,IF(Nonlabor!$I$26="InputM",'Monthly Base'!D36*Assumptions!$D$22/1000000,IF(Nonlabor!$I$26="OutputM",'Monthly Base'!D36*Assumptions!$D$23/1000000,0))))))))),0)</f>
        <v>0</v>
      </c>
      <c r="F2556" s="10" t="n">
        <f aca="false">Nonlabor!$J$26*(1+Assumptions!$D$9)^INT((C2556-1)/12)</f>
        <v>15913.5</v>
      </c>
      <c r="G2556" s="10" t="n">
        <f aca="false">E2556*F2556</f>
        <v>0</v>
      </c>
      <c r="H2556" s="10" t="n">
        <f aca="false">IF(OR(Nonlabor!$L$26="Quote required",Nonlabor!$L$26="Unverified"),G2556,0)</f>
        <v>0</v>
      </c>
      <c r="I2556" s="10" t="n">
        <f aca="false">IF(Nonlabor!$E$26="Core",0,G2556)</f>
        <v>0</v>
      </c>
      <c r="J2556" s="23" t="str">
        <f aca="false">Nonlabor!$B$26</f>
        <v>AI</v>
      </c>
    </row>
    <row r="2557" customFormat="false" ht="15" hidden="false" customHeight="false" outlineLevel="0" collapsed="false">
      <c r="A2557" s="6" t="s">
        <v>4</v>
      </c>
      <c r="B2557" s="6" t="s">
        <v>436</v>
      </c>
      <c r="C2557" s="6" t="n">
        <v>32</v>
      </c>
      <c r="D2557" s="25" t="n">
        <f aca="false">EDATE('Start Here'!$B$6,C2557-1)</f>
        <v>47270</v>
      </c>
      <c r="E2557" s="23" t="n">
        <f aca="false">IF(AND(OR(Nonlabor!$D$26="Both",Nonlabor!$D$26='Start Here'!$B$9),IF(Nonlabor!$E$26="Core",1,IF(Nonlabor!$E$26="AI",'Start Here'!$B$7,'Start Here'!$B$8))=1,C2557&gt;=IF(Nonlabor!$E$26="Core",Nonlabor!$F$26,MAX(Nonlabor!$F$26,IF(Nonlabor!$E$26="AI",Assumptions!$D$24,Assumptions!$D$25))),C2557&lt;=Nonlabor!$G$26,OR(Nonlabor!$H$26="Monthly",AND(Nonlabor!$H$26="Once",C2557=IF(Nonlabor!$E$26="Core",Nonlabor!$F$26,MAX(Nonlabor!$F$26,IF(Nonlabor!$E$26="AI",Assumptions!$D$24,Assumptions!$D$25)))),AND(Nonlabor!$H$26="Annual",MOD(C2557-IF(Nonlabor!$E$26="Core",Nonlabor!$F$26,MAX(Nonlabor!$F$26,IF(Nonlabor!$E$26="AI",Assumptions!$D$24,Assumptions!$D$25))),12)=0))),IF(Nonlabor!$I$26="Fixed",1,IF(Nonlabor!$I$26="Seats",ROUNDUP('Monthly Base'!I37,0),IF(Nonlabor!$I$26="Customers",'Monthly Base'!D37,IF(Nonlabor!$I$26="NewCustomers",'Monthly Base'!C37,IF(Nonlabor!$I$26="StorageGB",'Monthly Base'!G37,IF(Nonlabor!$I$26="LogGB",'Monthly Base'!H37,IF(Nonlabor!$I$26="RequestsM",'Monthly Base'!F37,IF(Nonlabor!$I$26="InputM",'Monthly Base'!D37*Assumptions!$D$22/1000000,IF(Nonlabor!$I$26="OutputM",'Monthly Base'!D37*Assumptions!$D$23/1000000,0))))))))),0)</f>
        <v>0</v>
      </c>
      <c r="F2557" s="10" t="n">
        <f aca="false">Nonlabor!$J$26*(1+Assumptions!$D$9)^INT((C2557-1)/12)</f>
        <v>15913.5</v>
      </c>
      <c r="G2557" s="10" t="n">
        <f aca="false">E2557*F2557</f>
        <v>0</v>
      </c>
      <c r="H2557" s="10" t="n">
        <f aca="false">IF(OR(Nonlabor!$L$26="Quote required",Nonlabor!$L$26="Unverified"),G2557,0)</f>
        <v>0</v>
      </c>
      <c r="I2557" s="10" t="n">
        <f aca="false">IF(Nonlabor!$E$26="Core",0,G2557)</f>
        <v>0</v>
      </c>
      <c r="J2557" s="23" t="str">
        <f aca="false">Nonlabor!$B$26</f>
        <v>AI</v>
      </c>
    </row>
    <row r="2558" customFormat="false" ht="15" hidden="false" customHeight="false" outlineLevel="0" collapsed="false">
      <c r="A2558" s="6" t="s">
        <v>4</v>
      </c>
      <c r="B2558" s="6" t="s">
        <v>436</v>
      </c>
      <c r="C2558" s="6" t="n">
        <v>33</v>
      </c>
      <c r="D2558" s="25" t="n">
        <f aca="false">EDATE('Start Here'!$B$6,C2558-1)</f>
        <v>47300</v>
      </c>
      <c r="E2558" s="23" t="n">
        <f aca="false">IF(AND(OR(Nonlabor!$D$26="Both",Nonlabor!$D$26='Start Here'!$B$9),IF(Nonlabor!$E$26="Core",1,IF(Nonlabor!$E$26="AI",'Start Here'!$B$7,'Start Here'!$B$8))=1,C2558&gt;=IF(Nonlabor!$E$26="Core",Nonlabor!$F$26,MAX(Nonlabor!$F$26,IF(Nonlabor!$E$26="AI",Assumptions!$D$24,Assumptions!$D$25))),C2558&lt;=Nonlabor!$G$26,OR(Nonlabor!$H$26="Monthly",AND(Nonlabor!$H$26="Once",C2558=IF(Nonlabor!$E$26="Core",Nonlabor!$F$26,MAX(Nonlabor!$F$26,IF(Nonlabor!$E$26="AI",Assumptions!$D$24,Assumptions!$D$25)))),AND(Nonlabor!$H$26="Annual",MOD(C2558-IF(Nonlabor!$E$26="Core",Nonlabor!$F$26,MAX(Nonlabor!$F$26,IF(Nonlabor!$E$26="AI",Assumptions!$D$24,Assumptions!$D$25))),12)=0))),IF(Nonlabor!$I$26="Fixed",1,IF(Nonlabor!$I$26="Seats",ROUNDUP('Monthly Base'!I38,0),IF(Nonlabor!$I$26="Customers",'Monthly Base'!D38,IF(Nonlabor!$I$26="NewCustomers",'Monthly Base'!C38,IF(Nonlabor!$I$26="StorageGB",'Monthly Base'!G38,IF(Nonlabor!$I$26="LogGB",'Monthly Base'!H38,IF(Nonlabor!$I$26="RequestsM",'Monthly Base'!F38,IF(Nonlabor!$I$26="InputM",'Monthly Base'!D38*Assumptions!$D$22/1000000,IF(Nonlabor!$I$26="OutputM",'Monthly Base'!D38*Assumptions!$D$23/1000000,0))))))))),0)</f>
        <v>0</v>
      </c>
      <c r="F2558" s="10" t="n">
        <f aca="false">Nonlabor!$J$26*(1+Assumptions!$D$9)^INT((C2558-1)/12)</f>
        <v>15913.5</v>
      </c>
      <c r="G2558" s="10" t="n">
        <f aca="false">E2558*F2558</f>
        <v>0</v>
      </c>
      <c r="H2558" s="10" t="n">
        <f aca="false">IF(OR(Nonlabor!$L$26="Quote required",Nonlabor!$L$26="Unverified"),G2558,0)</f>
        <v>0</v>
      </c>
      <c r="I2558" s="10" t="n">
        <f aca="false">IF(Nonlabor!$E$26="Core",0,G2558)</f>
        <v>0</v>
      </c>
      <c r="J2558" s="23" t="str">
        <f aca="false">Nonlabor!$B$26</f>
        <v>AI</v>
      </c>
    </row>
    <row r="2559" customFormat="false" ht="15" hidden="false" customHeight="false" outlineLevel="0" collapsed="false">
      <c r="A2559" s="6" t="s">
        <v>4</v>
      </c>
      <c r="B2559" s="6" t="s">
        <v>436</v>
      </c>
      <c r="C2559" s="6" t="n">
        <v>34</v>
      </c>
      <c r="D2559" s="25" t="n">
        <f aca="false">EDATE('Start Here'!$B$6,C2559-1)</f>
        <v>47331</v>
      </c>
      <c r="E2559" s="23" t="n">
        <f aca="false">IF(AND(OR(Nonlabor!$D$26="Both",Nonlabor!$D$26='Start Here'!$B$9),IF(Nonlabor!$E$26="Core",1,IF(Nonlabor!$E$26="AI",'Start Here'!$B$7,'Start Here'!$B$8))=1,C2559&gt;=IF(Nonlabor!$E$26="Core",Nonlabor!$F$26,MAX(Nonlabor!$F$26,IF(Nonlabor!$E$26="AI",Assumptions!$D$24,Assumptions!$D$25))),C2559&lt;=Nonlabor!$G$26,OR(Nonlabor!$H$26="Monthly",AND(Nonlabor!$H$26="Once",C2559=IF(Nonlabor!$E$26="Core",Nonlabor!$F$26,MAX(Nonlabor!$F$26,IF(Nonlabor!$E$26="AI",Assumptions!$D$24,Assumptions!$D$25)))),AND(Nonlabor!$H$26="Annual",MOD(C2559-IF(Nonlabor!$E$26="Core",Nonlabor!$F$26,MAX(Nonlabor!$F$26,IF(Nonlabor!$E$26="AI",Assumptions!$D$24,Assumptions!$D$25))),12)=0))),IF(Nonlabor!$I$26="Fixed",1,IF(Nonlabor!$I$26="Seats",ROUNDUP('Monthly Base'!I39,0),IF(Nonlabor!$I$26="Customers",'Monthly Base'!D39,IF(Nonlabor!$I$26="NewCustomers",'Monthly Base'!C39,IF(Nonlabor!$I$26="StorageGB",'Monthly Base'!G39,IF(Nonlabor!$I$26="LogGB",'Monthly Base'!H39,IF(Nonlabor!$I$26="RequestsM",'Monthly Base'!F39,IF(Nonlabor!$I$26="InputM",'Monthly Base'!D39*Assumptions!$D$22/1000000,IF(Nonlabor!$I$26="OutputM",'Monthly Base'!D39*Assumptions!$D$23/1000000,0))))))))),0)</f>
        <v>0</v>
      </c>
      <c r="F2559" s="10" t="n">
        <f aca="false">Nonlabor!$J$26*(1+Assumptions!$D$9)^INT((C2559-1)/12)</f>
        <v>15913.5</v>
      </c>
      <c r="G2559" s="10" t="n">
        <f aca="false">E2559*F2559</f>
        <v>0</v>
      </c>
      <c r="H2559" s="10" t="n">
        <f aca="false">IF(OR(Nonlabor!$L$26="Quote required",Nonlabor!$L$26="Unverified"),G2559,0)</f>
        <v>0</v>
      </c>
      <c r="I2559" s="10" t="n">
        <f aca="false">IF(Nonlabor!$E$26="Core",0,G2559)</f>
        <v>0</v>
      </c>
      <c r="J2559" s="23" t="str">
        <f aca="false">Nonlabor!$B$26</f>
        <v>AI</v>
      </c>
    </row>
    <row r="2560" customFormat="false" ht="15" hidden="false" customHeight="false" outlineLevel="0" collapsed="false">
      <c r="A2560" s="6" t="s">
        <v>4</v>
      </c>
      <c r="B2560" s="6" t="s">
        <v>436</v>
      </c>
      <c r="C2560" s="6" t="n">
        <v>35</v>
      </c>
      <c r="D2560" s="25" t="n">
        <f aca="false">EDATE('Start Here'!$B$6,C2560-1)</f>
        <v>47362</v>
      </c>
      <c r="E2560" s="23" t="n">
        <f aca="false">IF(AND(OR(Nonlabor!$D$26="Both",Nonlabor!$D$26='Start Here'!$B$9),IF(Nonlabor!$E$26="Core",1,IF(Nonlabor!$E$26="AI",'Start Here'!$B$7,'Start Here'!$B$8))=1,C2560&gt;=IF(Nonlabor!$E$26="Core",Nonlabor!$F$26,MAX(Nonlabor!$F$26,IF(Nonlabor!$E$26="AI",Assumptions!$D$24,Assumptions!$D$25))),C2560&lt;=Nonlabor!$G$26,OR(Nonlabor!$H$26="Monthly",AND(Nonlabor!$H$26="Once",C2560=IF(Nonlabor!$E$26="Core",Nonlabor!$F$26,MAX(Nonlabor!$F$26,IF(Nonlabor!$E$26="AI",Assumptions!$D$24,Assumptions!$D$25)))),AND(Nonlabor!$H$26="Annual",MOD(C2560-IF(Nonlabor!$E$26="Core",Nonlabor!$F$26,MAX(Nonlabor!$F$26,IF(Nonlabor!$E$26="AI",Assumptions!$D$24,Assumptions!$D$25))),12)=0))),IF(Nonlabor!$I$26="Fixed",1,IF(Nonlabor!$I$26="Seats",ROUNDUP('Monthly Base'!I40,0),IF(Nonlabor!$I$26="Customers",'Monthly Base'!D40,IF(Nonlabor!$I$26="NewCustomers",'Monthly Base'!C40,IF(Nonlabor!$I$26="StorageGB",'Monthly Base'!G40,IF(Nonlabor!$I$26="LogGB",'Monthly Base'!H40,IF(Nonlabor!$I$26="RequestsM",'Monthly Base'!F40,IF(Nonlabor!$I$26="InputM",'Monthly Base'!D40*Assumptions!$D$22/1000000,IF(Nonlabor!$I$26="OutputM",'Monthly Base'!D40*Assumptions!$D$23/1000000,0))))))))),0)</f>
        <v>0</v>
      </c>
      <c r="F2560" s="10" t="n">
        <f aca="false">Nonlabor!$J$26*(1+Assumptions!$D$9)^INT((C2560-1)/12)</f>
        <v>15913.5</v>
      </c>
      <c r="G2560" s="10" t="n">
        <f aca="false">E2560*F2560</f>
        <v>0</v>
      </c>
      <c r="H2560" s="10" t="n">
        <f aca="false">IF(OR(Nonlabor!$L$26="Quote required",Nonlabor!$L$26="Unverified"),G2560,0)</f>
        <v>0</v>
      </c>
      <c r="I2560" s="10" t="n">
        <f aca="false">IF(Nonlabor!$E$26="Core",0,G2560)</f>
        <v>0</v>
      </c>
      <c r="J2560" s="23" t="str">
        <f aca="false">Nonlabor!$B$26</f>
        <v>AI</v>
      </c>
    </row>
    <row r="2561" customFormat="false" ht="15" hidden="false" customHeight="false" outlineLevel="0" collapsed="false">
      <c r="A2561" s="6" t="s">
        <v>4</v>
      </c>
      <c r="B2561" s="6" t="s">
        <v>436</v>
      </c>
      <c r="C2561" s="6" t="n">
        <v>36</v>
      </c>
      <c r="D2561" s="25" t="n">
        <f aca="false">EDATE('Start Here'!$B$6,C2561-1)</f>
        <v>47392</v>
      </c>
      <c r="E2561" s="23" t="n">
        <f aca="false">IF(AND(OR(Nonlabor!$D$26="Both",Nonlabor!$D$26='Start Here'!$B$9),IF(Nonlabor!$E$26="Core",1,IF(Nonlabor!$E$26="AI",'Start Here'!$B$7,'Start Here'!$B$8))=1,C2561&gt;=IF(Nonlabor!$E$26="Core",Nonlabor!$F$26,MAX(Nonlabor!$F$26,IF(Nonlabor!$E$26="AI",Assumptions!$D$24,Assumptions!$D$25))),C2561&lt;=Nonlabor!$G$26,OR(Nonlabor!$H$26="Monthly",AND(Nonlabor!$H$26="Once",C2561=IF(Nonlabor!$E$26="Core",Nonlabor!$F$26,MAX(Nonlabor!$F$26,IF(Nonlabor!$E$26="AI",Assumptions!$D$24,Assumptions!$D$25)))),AND(Nonlabor!$H$26="Annual",MOD(C2561-IF(Nonlabor!$E$26="Core",Nonlabor!$F$26,MAX(Nonlabor!$F$26,IF(Nonlabor!$E$26="AI",Assumptions!$D$24,Assumptions!$D$25))),12)=0))),IF(Nonlabor!$I$26="Fixed",1,IF(Nonlabor!$I$26="Seats",ROUNDUP('Monthly Base'!I41,0),IF(Nonlabor!$I$26="Customers",'Monthly Base'!D41,IF(Nonlabor!$I$26="NewCustomers",'Monthly Base'!C41,IF(Nonlabor!$I$26="StorageGB",'Monthly Base'!G41,IF(Nonlabor!$I$26="LogGB",'Monthly Base'!H41,IF(Nonlabor!$I$26="RequestsM",'Monthly Base'!F41,IF(Nonlabor!$I$26="InputM",'Monthly Base'!D41*Assumptions!$D$22/1000000,IF(Nonlabor!$I$26="OutputM",'Monthly Base'!D41*Assumptions!$D$23/1000000,0))))))))),0)</f>
        <v>0</v>
      </c>
      <c r="F2561" s="10" t="n">
        <f aca="false">Nonlabor!$J$26*(1+Assumptions!$D$9)^INT((C2561-1)/12)</f>
        <v>15913.5</v>
      </c>
      <c r="G2561" s="10" t="n">
        <f aca="false">E2561*F2561</f>
        <v>0</v>
      </c>
      <c r="H2561" s="10" t="n">
        <f aca="false">IF(OR(Nonlabor!$L$26="Quote required",Nonlabor!$L$26="Unverified"),G2561,0)</f>
        <v>0</v>
      </c>
      <c r="I2561" s="10" t="n">
        <f aca="false">IF(Nonlabor!$E$26="Core",0,G2561)</f>
        <v>0</v>
      </c>
      <c r="J2561" s="23" t="str">
        <f aca="false">Nonlabor!$B$26</f>
        <v>AI</v>
      </c>
    </row>
    <row r="2562" customFormat="false" ht="15" hidden="false" customHeight="false" outlineLevel="0" collapsed="false">
      <c r="A2562" s="6" t="s">
        <v>4</v>
      </c>
      <c r="B2562" s="6" t="s">
        <v>436</v>
      </c>
      <c r="C2562" s="6" t="n">
        <v>37</v>
      </c>
      <c r="D2562" s="25" t="n">
        <f aca="false">EDATE('Start Here'!$B$6,C2562-1)</f>
        <v>47423</v>
      </c>
      <c r="E2562" s="23" t="n">
        <f aca="false">IF(AND(OR(Nonlabor!$D$26="Both",Nonlabor!$D$26='Start Here'!$B$9),IF(Nonlabor!$E$26="Core",1,IF(Nonlabor!$E$26="AI",'Start Here'!$B$7,'Start Here'!$B$8))=1,C2562&gt;=IF(Nonlabor!$E$26="Core",Nonlabor!$F$26,MAX(Nonlabor!$F$26,IF(Nonlabor!$E$26="AI",Assumptions!$D$24,Assumptions!$D$25))),C2562&lt;=Nonlabor!$G$26,OR(Nonlabor!$H$26="Monthly",AND(Nonlabor!$H$26="Once",C2562=IF(Nonlabor!$E$26="Core",Nonlabor!$F$26,MAX(Nonlabor!$F$26,IF(Nonlabor!$E$26="AI",Assumptions!$D$24,Assumptions!$D$25)))),AND(Nonlabor!$H$26="Annual",MOD(C2562-IF(Nonlabor!$E$26="Core",Nonlabor!$F$26,MAX(Nonlabor!$F$26,IF(Nonlabor!$E$26="AI",Assumptions!$D$24,Assumptions!$D$25))),12)=0))),IF(Nonlabor!$I$26="Fixed",1,IF(Nonlabor!$I$26="Seats",ROUNDUP('Monthly Base'!I42,0),IF(Nonlabor!$I$26="Customers",'Monthly Base'!D42,IF(Nonlabor!$I$26="NewCustomers",'Monthly Base'!C42,IF(Nonlabor!$I$26="StorageGB",'Monthly Base'!G42,IF(Nonlabor!$I$26="LogGB",'Monthly Base'!H42,IF(Nonlabor!$I$26="RequestsM",'Monthly Base'!F42,IF(Nonlabor!$I$26="InputM",'Monthly Base'!D42*Assumptions!$D$22/1000000,IF(Nonlabor!$I$26="OutputM",'Monthly Base'!D42*Assumptions!$D$23/1000000,0))))))))),0)</f>
        <v>0</v>
      </c>
      <c r="F2562" s="10" t="n">
        <f aca="false">Nonlabor!$J$26*(1+Assumptions!$D$9)^INT((C2562-1)/12)</f>
        <v>16390.905</v>
      </c>
      <c r="G2562" s="10" t="n">
        <f aca="false">E2562*F2562</f>
        <v>0</v>
      </c>
      <c r="H2562" s="10" t="n">
        <f aca="false">IF(OR(Nonlabor!$L$26="Quote required",Nonlabor!$L$26="Unverified"),G2562,0)</f>
        <v>0</v>
      </c>
      <c r="I2562" s="10" t="n">
        <f aca="false">IF(Nonlabor!$E$26="Core",0,G2562)</f>
        <v>0</v>
      </c>
      <c r="J2562" s="23" t="str">
        <f aca="false">Nonlabor!$B$26</f>
        <v>AI</v>
      </c>
    </row>
    <row r="2563" customFormat="false" ht="15" hidden="false" customHeight="false" outlineLevel="0" collapsed="false">
      <c r="A2563" s="6" t="s">
        <v>4</v>
      </c>
      <c r="B2563" s="6" t="s">
        <v>436</v>
      </c>
      <c r="C2563" s="6" t="n">
        <v>38</v>
      </c>
      <c r="D2563" s="25" t="n">
        <f aca="false">EDATE('Start Here'!$B$6,C2563-1)</f>
        <v>47453</v>
      </c>
      <c r="E2563" s="23" t="n">
        <f aca="false">IF(AND(OR(Nonlabor!$D$26="Both",Nonlabor!$D$26='Start Here'!$B$9),IF(Nonlabor!$E$26="Core",1,IF(Nonlabor!$E$26="AI",'Start Here'!$B$7,'Start Here'!$B$8))=1,C2563&gt;=IF(Nonlabor!$E$26="Core",Nonlabor!$F$26,MAX(Nonlabor!$F$26,IF(Nonlabor!$E$26="AI",Assumptions!$D$24,Assumptions!$D$25))),C2563&lt;=Nonlabor!$G$26,OR(Nonlabor!$H$26="Monthly",AND(Nonlabor!$H$26="Once",C2563=IF(Nonlabor!$E$26="Core",Nonlabor!$F$26,MAX(Nonlabor!$F$26,IF(Nonlabor!$E$26="AI",Assumptions!$D$24,Assumptions!$D$25)))),AND(Nonlabor!$H$26="Annual",MOD(C2563-IF(Nonlabor!$E$26="Core",Nonlabor!$F$26,MAX(Nonlabor!$F$26,IF(Nonlabor!$E$26="AI",Assumptions!$D$24,Assumptions!$D$25))),12)=0))),IF(Nonlabor!$I$26="Fixed",1,IF(Nonlabor!$I$26="Seats",ROUNDUP('Monthly Base'!I43,0),IF(Nonlabor!$I$26="Customers",'Monthly Base'!D43,IF(Nonlabor!$I$26="NewCustomers",'Monthly Base'!C43,IF(Nonlabor!$I$26="StorageGB",'Monthly Base'!G43,IF(Nonlabor!$I$26="LogGB",'Monthly Base'!H43,IF(Nonlabor!$I$26="RequestsM",'Monthly Base'!F43,IF(Nonlabor!$I$26="InputM",'Monthly Base'!D43*Assumptions!$D$22/1000000,IF(Nonlabor!$I$26="OutputM",'Monthly Base'!D43*Assumptions!$D$23/1000000,0))))))))),0)</f>
        <v>0</v>
      </c>
      <c r="F2563" s="10" t="n">
        <f aca="false">Nonlabor!$J$26*(1+Assumptions!$D$9)^INT((C2563-1)/12)</f>
        <v>16390.905</v>
      </c>
      <c r="G2563" s="10" t="n">
        <f aca="false">E2563*F2563</f>
        <v>0</v>
      </c>
      <c r="H2563" s="10" t="n">
        <f aca="false">IF(OR(Nonlabor!$L$26="Quote required",Nonlabor!$L$26="Unverified"),G2563,0)</f>
        <v>0</v>
      </c>
      <c r="I2563" s="10" t="n">
        <f aca="false">IF(Nonlabor!$E$26="Core",0,G2563)</f>
        <v>0</v>
      </c>
      <c r="J2563" s="23" t="str">
        <f aca="false">Nonlabor!$B$26</f>
        <v>AI</v>
      </c>
    </row>
    <row r="2564" customFormat="false" ht="15" hidden="false" customHeight="false" outlineLevel="0" collapsed="false">
      <c r="A2564" s="6" t="s">
        <v>4</v>
      </c>
      <c r="B2564" s="6" t="s">
        <v>436</v>
      </c>
      <c r="C2564" s="6" t="n">
        <v>39</v>
      </c>
      <c r="D2564" s="25" t="n">
        <f aca="false">EDATE('Start Here'!$B$6,C2564-1)</f>
        <v>47484</v>
      </c>
      <c r="E2564" s="23" t="n">
        <f aca="false">IF(AND(OR(Nonlabor!$D$26="Both",Nonlabor!$D$26='Start Here'!$B$9),IF(Nonlabor!$E$26="Core",1,IF(Nonlabor!$E$26="AI",'Start Here'!$B$7,'Start Here'!$B$8))=1,C2564&gt;=IF(Nonlabor!$E$26="Core",Nonlabor!$F$26,MAX(Nonlabor!$F$26,IF(Nonlabor!$E$26="AI",Assumptions!$D$24,Assumptions!$D$25))),C2564&lt;=Nonlabor!$G$26,OR(Nonlabor!$H$26="Monthly",AND(Nonlabor!$H$26="Once",C2564=IF(Nonlabor!$E$26="Core",Nonlabor!$F$26,MAX(Nonlabor!$F$26,IF(Nonlabor!$E$26="AI",Assumptions!$D$24,Assumptions!$D$25)))),AND(Nonlabor!$H$26="Annual",MOD(C2564-IF(Nonlabor!$E$26="Core",Nonlabor!$F$26,MAX(Nonlabor!$F$26,IF(Nonlabor!$E$26="AI",Assumptions!$D$24,Assumptions!$D$25))),12)=0))),IF(Nonlabor!$I$26="Fixed",1,IF(Nonlabor!$I$26="Seats",ROUNDUP('Monthly Base'!I44,0),IF(Nonlabor!$I$26="Customers",'Monthly Base'!D44,IF(Nonlabor!$I$26="NewCustomers",'Monthly Base'!C44,IF(Nonlabor!$I$26="StorageGB",'Monthly Base'!G44,IF(Nonlabor!$I$26="LogGB",'Monthly Base'!H44,IF(Nonlabor!$I$26="RequestsM",'Monthly Base'!F44,IF(Nonlabor!$I$26="InputM",'Monthly Base'!D44*Assumptions!$D$22/1000000,IF(Nonlabor!$I$26="OutputM",'Monthly Base'!D44*Assumptions!$D$23/1000000,0))))))))),0)</f>
        <v>0</v>
      </c>
      <c r="F2564" s="10" t="n">
        <f aca="false">Nonlabor!$J$26*(1+Assumptions!$D$9)^INT((C2564-1)/12)</f>
        <v>16390.905</v>
      </c>
      <c r="G2564" s="10" t="n">
        <f aca="false">E2564*F2564</f>
        <v>0</v>
      </c>
      <c r="H2564" s="10" t="n">
        <f aca="false">IF(OR(Nonlabor!$L$26="Quote required",Nonlabor!$L$26="Unverified"),G2564,0)</f>
        <v>0</v>
      </c>
      <c r="I2564" s="10" t="n">
        <f aca="false">IF(Nonlabor!$E$26="Core",0,G2564)</f>
        <v>0</v>
      </c>
      <c r="J2564" s="23" t="str">
        <f aca="false">Nonlabor!$B$26</f>
        <v>AI</v>
      </c>
    </row>
    <row r="2565" customFormat="false" ht="15" hidden="false" customHeight="false" outlineLevel="0" collapsed="false">
      <c r="A2565" s="6" t="s">
        <v>4</v>
      </c>
      <c r="B2565" s="6" t="s">
        <v>436</v>
      </c>
      <c r="C2565" s="6" t="n">
        <v>40</v>
      </c>
      <c r="D2565" s="25" t="n">
        <f aca="false">EDATE('Start Here'!$B$6,C2565-1)</f>
        <v>47515</v>
      </c>
      <c r="E2565" s="23" t="n">
        <f aca="false">IF(AND(OR(Nonlabor!$D$26="Both",Nonlabor!$D$26='Start Here'!$B$9),IF(Nonlabor!$E$26="Core",1,IF(Nonlabor!$E$26="AI",'Start Here'!$B$7,'Start Here'!$B$8))=1,C2565&gt;=IF(Nonlabor!$E$26="Core",Nonlabor!$F$26,MAX(Nonlabor!$F$26,IF(Nonlabor!$E$26="AI",Assumptions!$D$24,Assumptions!$D$25))),C2565&lt;=Nonlabor!$G$26,OR(Nonlabor!$H$26="Monthly",AND(Nonlabor!$H$26="Once",C2565=IF(Nonlabor!$E$26="Core",Nonlabor!$F$26,MAX(Nonlabor!$F$26,IF(Nonlabor!$E$26="AI",Assumptions!$D$24,Assumptions!$D$25)))),AND(Nonlabor!$H$26="Annual",MOD(C2565-IF(Nonlabor!$E$26="Core",Nonlabor!$F$26,MAX(Nonlabor!$F$26,IF(Nonlabor!$E$26="AI",Assumptions!$D$24,Assumptions!$D$25))),12)=0))),IF(Nonlabor!$I$26="Fixed",1,IF(Nonlabor!$I$26="Seats",ROUNDUP('Monthly Base'!I45,0),IF(Nonlabor!$I$26="Customers",'Monthly Base'!D45,IF(Nonlabor!$I$26="NewCustomers",'Monthly Base'!C45,IF(Nonlabor!$I$26="StorageGB",'Monthly Base'!G45,IF(Nonlabor!$I$26="LogGB",'Monthly Base'!H45,IF(Nonlabor!$I$26="RequestsM",'Monthly Base'!F45,IF(Nonlabor!$I$26="InputM",'Monthly Base'!D45*Assumptions!$D$22/1000000,IF(Nonlabor!$I$26="OutputM",'Monthly Base'!D45*Assumptions!$D$23/1000000,0))))))))),0)</f>
        <v>0</v>
      </c>
      <c r="F2565" s="10" t="n">
        <f aca="false">Nonlabor!$J$26*(1+Assumptions!$D$9)^INT((C2565-1)/12)</f>
        <v>16390.905</v>
      </c>
      <c r="G2565" s="10" t="n">
        <f aca="false">E2565*F2565</f>
        <v>0</v>
      </c>
      <c r="H2565" s="10" t="n">
        <f aca="false">IF(OR(Nonlabor!$L$26="Quote required",Nonlabor!$L$26="Unverified"),G2565,0)</f>
        <v>0</v>
      </c>
      <c r="I2565" s="10" t="n">
        <f aca="false">IF(Nonlabor!$E$26="Core",0,G2565)</f>
        <v>0</v>
      </c>
      <c r="J2565" s="23" t="str">
        <f aca="false">Nonlabor!$B$26</f>
        <v>AI</v>
      </c>
    </row>
    <row r="2566" customFormat="false" ht="15" hidden="false" customHeight="false" outlineLevel="0" collapsed="false">
      <c r="A2566" s="6" t="s">
        <v>4</v>
      </c>
      <c r="B2566" s="6" t="s">
        <v>436</v>
      </c>
      <c r="C2566" s="6" t="n">
        <v>41</v>
      </c>
      <c r="D2566" s="25" t="n">
        <f aca="false">EDATE('Start Here'!$B$6,C2566-1)</f>
        <v>47543</v>
      </c>
      <c r="E2566" s="23" t="n">
        <f aca="false">IF(AND(OR(Nonlabor!$D$26="Both",Nonlabor!$D$26='Start Here'!$B$9),IF(Nonlabor!$E$26="Core",1,IF(Nonlabor!$E$26="AI",'Start Here'!$B$7,'Start Here'!$B$8))=1,C2566&gt;=IF(Nonlabor!$E$26="Core",Nonlabor!$F$26,MAX(Nonlabor!$F$26,IF(Nonlabor!$E$26="AI",Assumptions!$D$24,Assumptions!$D$25))),C2566&lt;=Nonlabor!$G$26,OR(Nonlabor!$H$26="Monthly",AND(Nonlabor!$H$26="Once",C2566=IF(Nonlabor!$E$26="Core",Nonlabor!$F$26,MAX(Nonlabor!$F$26,IF(Nonlabor!$E$26="AI",Assumptions!$D$24,Assumptions!$D$25)))),AND(Nonlabor!$H$26="Annual",MOD(C2566-IF(Nonlabor!$E$26="Core",Nonlabor!$F$26,MAX(Nonlabor!$F$26,IF(Nonlabor!$E$26="AI",Assumptions!$D$24,Assumptions!$D$25))),12)=0))),IF(Nonlabor!$I$26="Fixed",1,IF(Nonlabor!$I$26="Seats",ROUNDUP('Monthly Base'!I46,0),IF(Nonlabor!$I$26="Customers",'Monthly Base'!D46,IF(Nonlabor!$I$26="NewCustomers",'Monthly Base'!C46,IF(Nonlabor!$I$26="StorageGB",'Monthly Base'!G46,IF(Nonlabor!$I$26="LogGB",'Monthly Base'!H46,IF(Nonlabor!$I$26="RequestsM",'Monthly Base'!F46,IF(Nonlabor!$I$26="InputM",'Monthly Base'!D46*Assumptions!$D$22/1000000,IF(Nonlabor!$I$26="OutputM",'Monthly Base'!D46*Assumptions!$D$23/1000000,0))))))))),0)</f>
        <v>0</v>
      </c>
      <c r="F2566" s="10" t="n">
        <f aca="false">Nonlabor!$J$26*(1+Assumptions!$D$9)^INT((C2566-1)/12)</f>
        <v>16390.905</v>
      </c>
      <c r="G2566" s="10" t="n">
        <f aca="false">E2566*F2566</f>
        <v>0</v>
      </c>
      <c r="H2566" s="10" t="n">
        <f aca="false">IF(OR(Nonlabor!$L$26="Quote required",Nonlabor!$L$26="Unverified"),G2566,0)</f>
        <v>0</v>
      </c>
      <c r="I2566" s="10" t="n">
        <f aca="false">IF(Nonlabor!$E$26="Core",0,G2566)</f>
        <v>0</v>
      </c>
      <c r="J2566" s="23" t="str">
        <f aca="false">Nonlabor!$B$26</f>
        <v>AI</v>
      </c>
    </row>
    <row r="2567" customFormat="false" ht="15" hidden="false" customHeight="false" outlineLevel="0" collapsed="false">
      <c r="A2567" s="6" t="s">
        <v>4</v>
      </c>
      <c r="B2567" s="6" t="s">
        <v>436</v>
      </c>
      <c r="C2567" s="6" t="n">
        <v>42</v>
      </c>
      <c r="D2567" s="25" t="n">
        <f aca="false">EDATE('Start Here'!$B$6,C2567-1)</f>
        <v>47574</v>
      </c>
      <c r="E2567" s="23" t="n">
        <f aca="false">IF(AND(OR(Nonlabor!$D$26="Both",Nonlabor!$D$26='Start Here'!$B$9),IF(Nonlabor!$E$26="Core",1,IF(Nonlabor!$E$26="AI",'Start Here'!$B$7,'Start Here'!$B$8))=1,C2567&gt;=IF(Nonlabor!$E$26="Core",Nonlabor!$F$26,MAX(Nonlabor!$F$26,IF(Nonlabor!$E$26="AI",Assumptions!$D$24,Assumptions!$D$25))),C2567&lt;=Nonlabor!$G$26,OR(Nonlabor!$H$26="Monthly",AND(Nonlabor!$H$26="Once",C2567=IF(Nonlabor!$E$26="Core",Nonlabor!$F$26,MAX(Nonlabor!$F$26,IF(Nonlabor!$E$26="AI",Assumptions!$D$24,Assumptions!$D$25)))),AND(Nonlabor!$H$26="Annual",MOD(C2567-IF(Nonlabor!$E$26="Core",Nonlabor!$F$26,MAX(Nonlabor!$F$26,IF(Nonlabor!$E$26="AI",Assumptions!$D$24,Assumptions!$D$25))),12)=0))),IF(Nonlabor!$I$26="Fixed",1,IF(Nonlabor!$I$26="Seats",ROUNDUP('Monthly Base'!I47,0),IF(Nonlabor!$I$26="Customers",'Monthly Base'!D47,IF(Nonlabor!$I$26="NewCustomers",'Monthly Base'!C47,IF(Nonlabor!$I$26="StorageGB",'Monthly Base'!G47,IF(Nonlabor!$I$26="LogGB",'Monthly Base'!H47,IF(Nonlabor!$I$26="RequestsM",'Monthly Base'!F47,IF(Nonlabor!$I$26="InputM",'Monthly Base'!D47*Assumptions!$D$22/1000000,IF(Nonlabor!$I$26="OutputM",'Monthly Base'!D47*Assumptions!$D$23/1000000,0))))))))),0)</f>
        <v>0</v>
      </c>
      <c r="F2567" s="10" t="n">
        <f aca="false">Nonlabor!$J$26*(1+Assumptions!$D$9)^INT((C2567-1)/12)</f>
        <v>16390.905</v>
      </c>
      <c r="G2567" s="10" t="n">
        <f aca="false">E2567*F2567</f>
        <v>0</v>
      </c>
      <c r="H2567" s="10" t="n">
        <f aca="false">IF(OR(Nonlabor!$L$26="Quote required",Nonlabor!$L$26="Unverified"),G2567,0)</f>
        <v>0</v>
      </c>
      <c r="I2567" s="10" t="n">
        <f aca="false">IF(Nonlabor!$E$26="Core",0,G2567)</f>
        <v>0</v>
      </c>
      <c r="J2567" s="23" t="str">
        <f aca="false">Nonlabor!$B$26</f>
        <v>AI</v>
      </c>
    </row>
    <row r="2568" customFormat="false" ht="15" hidden="false" customHeight="false" outlineLevel="0" collapsed="false">
      <c r="A2568" s="6" t="s">
        <v>4</v>
      </c>
      <c r="B2568" s="6" t="s">
        <v>436</v>
      </c>
      <c r="C2568" s="6" t="n">
        <v>43</v>
      </c>
      <c r="D2568" s="25" t="n">
        <f aca="false">EDATE('Start Here'!$B$6,C2568-1)</f>
        <v>47604</v>
      </c>
      <c r="E2568" s="23" t="n">
        <f aca="false">IF(AND(OR(Nonlabor!$D$26="Both",Nonlabor!$D$26='Start Here'!$B$9),IF(Nonlabor!$E$26="Core",1,IF(Nonlabor!$E$26="AI",'Start Here'!$B$7,'Start Here'!$B$8))=1,C2568&gt;=IF(Nonlabor!$E$26="Core",Nonlabor!$F$26,MAX(Nonlabor!$F$26,IF(Nonlabor!$E$26="AI",Assumptions!$D$24,Assumptions!$D$25))),C2568&lt;=Nonlabor!$G$26,OR(Nonlabor!$H$26="Monthly",AND(Nonlabor!$H$26="Once",C2568=IF(Nonlabor!$E$26="Core",Nonlabor!$F$26,MAX(Nonlabor!$F$26,IF(Nonlabor!$E$26="AI",Assumptions!$D$24,Assumptions!$D$25)))),AND(Nonlabor!$H$26="Annual",MOD(C2568-IF(Nonlabor!$E$26="Core",Nonlabor!$F$26,MAX(Nonlabor!$F$26,IF(Nonlabor!$E$26="AI",Assumptions!$D$24,Assumptions!$D$25))),12)=0))),IF(Nonlabor!$I$26="Fixed",1,IF(Nonlabor!$I$26="Seats",ROUNDUP('Monthly Base'!I48,0),IF(Nonlabor!$I$26="Customers",'Monthly Base'!D48,IF(Nonlabor!$I$26="NewCustomers",'Monthly Base'!C48,IF(Nonlabor!$I$26="StorageGB",'Monthly Base'!G48,IF(Nonlabor!$I$26="LogGB",'Monthly Base'!H48,IF(Nonlabor!$I$26="RequestsM",'Monthly Base'!F48,IF(Nonlabor!$I$26="InputM",'Monthly Base'!D48*Assumptions!$D$22/1000000,IF(Nonlabor!$I$26="OutputM",'Monthly Base'!D48*Assumptions!$D$23/1000000,0))))))))),0)</f>
        <v>0</v>
      </c>
      <c r="F2568" s="10" t="n">
        <f aca="false">Nonlabor!$J$26*(1+Assumptions!$D$9)^INT((C2568-1)/12)</f>
        <v>16390.905</v>
      </c>
      <c r="G2568" s="10" t="n">
        <f aca="false">E2568*F2568</f>
        <v>0</v>
      </c>
      <c r="H2568" s="10" t="n">
        <f aca="false">IF(OR(Nonlabor!$L$26="Quote required",Nonlabor!$L$26="Unverified"),G2568,0)</f>
        <v>0</v>
      </c>
      <c r="I2568" s="10" t="n">
        <f aca="false">IF(Nonlabor!$E$26="Core",0,G2568)</f>
        <v>0</v>
      </c>
      <c r="J2568" s="23" t="str">
        <f aca="false">Nonlabor!$B$26</f>
        <v>AI</v>
      </c>
    </row>
    <row r="2569" customFormat="false" ht="15" hidden="false" customHeight="false" outlineLevel="0" collapsed="false">
      <c r="A2569" s="6" t="s">
        <v>4</v>
      </c>
      <c r="B2569" s="6" t="s">
        <v>436</v>
      </c>
      <c r="C2569" s="6" t="n">
        <v>44</v>
      </c>
      <c r="D2569" s="25" t="n">
        <f aca="false">EDATE('Start Here'!$B$6,C2569-1)</f>
        <v>47635</v>
      </c>
      <c r="E2569" s="23" t="n">
        <f aca="false">IF(AND(OR(Nonlabor!$D$26="Both",Nonlabor!$D$26='Start Here'!$B$9),IF(Nonlabor!$E$26="Core",1,IF(Nonlabor!$E$26="AI",'Start Here'!$B$7,'Start Here'!$B$8))=1,C2569&gt;=IF(Nonlabor!$E$26="Core",Nonlabor!$F$26,MAX(Nonlabor!$F$26,IF(Nonlabor!$E$26="AI",Assumptions!$D$24,Assumptions!$D$25))),C2569&lt;=Nonlabor!$G$26,OR(Nonlabor!$H$26="Monthly",AND(Nonlabor!$H$26="Once",C2569=IF(Nonlabor!$E$26="Core",Nonlabor!$F$26,MAX(Nonlabor!$F$26,IF(Nonlabor!$E$26="AI",Assumptions!$D$24,Assumptions!$D$25)))),AND(Nonlabor!$H$26="Annual",MOD(C2569-IF(Nonlabor!$E$26="Core",Nonlabor!$F$26,MAX(Nonlabor!$F$26,IF(Nonlabor!$E$26="AI",Assumptions!$D$24,Assumptions!$D$25))),12)=0))),IF(Nonlabor!$I$26="Fixed",1,IF(Nonlabor!$I$26="Seats",ROUNDUP('Monthly Base'!I49,0),IF(Nonlabor!$I$26="Customers",'Monthly Base'!D49,IF(Nonlabor!$I$26="NewCustomers",'Monthly Base'!C49,IF(Nonlabor!$I$26="StorageGB",'Monthly Base'!G49,IF(Nonlabor!$I$26="LogGB",'Monthly Base'!H49,IF(Nonlabor!$I$26="RequestsM",'Monthly Base'!F49,IF(Nonlabor!$I$26="InputM",'Monthly Base'!D49*Assumptions!$D$22/1000000,IF(Nonlabor!$I$26="OutputM",'Monthly Base'!D49*Assumptions!$D$23/1000000,0))))))))),0)</f>
        <v>0</v>
      </c>
      <c r="F2569" s="10" t="n">
        <f aca="false">Nonlabor!$J$26*(1+Assumptions!$D$9)^INT((C2569-1)/12)</f>
        <v>16390.905</v>
      </c>
      <c r="G2569" s="10" t="n">
        <f aca="false">E2569*F2569</f>
        <v>0</v>
      </c>
      <c r="H2569" s="10" t="n">
        <f aca="false">IF(OR(Nonlabor!$L$26="Quote required",Nonlabor!$L$26="Unverified"),G2569,0)</f>
        <v>0</v>
      </c>
      <c r="I2569" s="10" t="n">
        <f aca="false">IF(Nonlabor!$E$26="Core",0,G2569)</f>
        <v>0</v>
      </c>
      <c r="J2569" s="23" t="str">
        <f aca="false">Nonlabor!$B$26</f>
        <v>AI</v>
      </c>
    </row>
    <row r="2570" customFormat="false" ht="15" hidden="false" customHeight="false" outlineLevel="0" collapsed="false">
      <c r="A2570" s="6" t="s">
        <v>4</v>
      </c>
      <c r="B2570" s="6" t="s">
        <v>436</v>
      </c>
      <c r="C2570" s="6" t="n">
        <v>45</v>
      </c>
      <c r="D2570" s="25" t="n">
        <f aca="false">EDATE('Start Here'!$B$6,C2570-1)</f>
        <v>47665</v>
      </c>
      <c r="E2570" s="23" t="n">
        <f aca="false">IF(AND(OR(Nonlabor!$D$26="Both",Nonlabor!$D$26='Start Here'!$B$9),IF(Nonlabor!$E$26="Core",1,IF(Nonlabor!$E$26="AI",'Start Here'!$B$7,'Start Here'!$B$8))=1,C2570&gt;=IF(Nonlabor!$E$26="Core",Nonlabor!$F$26,MAX(Nonlabor!$F$26,IF(Nonlabor!$E$26="AI",Assumptions!$D$24,Assumptions!$D$25))),C2570&lt;=Nonlabor!$G$26,OR(Nonlabor!$H$26="Monthly",AND(Nonlabor!$H$26="Once",C2570=IF(Nonlabor!$E$26="Core",Nonlabor!$F$26,MAX(Nonlabor!$F$26,IF(Nonlabor!$E$26="AI",Assumptions!$D$24,Assumptions!$D$25)))),AND(Nonlabor!$H$26="Annual",MOD(C2570-IF(Nonlabor!$E$26="Core",Nonlabor!$F$26,MAX(Nonlabor!$F$26,IF(Nonlabor!$E$26="AI",Assumptions!$D$24,Assumptions!$D$25))),12)=0))),IF(Nonlabor!$I$26="Fixed",1,IF(Nonlabor!$I$26="Seats",ROUNDUP('Monthly Base'!I50,0),IF(Nonlabor!$I$26="Customers",'Monthly Base'!D50,IF(Nonlabor!$I$26="NewCustomers",'Monthly Base'!C50,IF(Nonlabor!$I$26="StorageGB",'Monthly Base'!G50,IF(Nonlabor!$I$26="LogGB",'Monthly Base'!H50,IF(Nonlabor!$I$26="RequestsM",'Monthly Base'!F50,IF(Nonlabor!$I$26="InputM",'Monthly Base'!D50*Assumptions!$D$22/1000000,IF(Nonlabor!$I$26="OutputM",'Monthly Base'!D50*Assumptions!$D$23/1000000,0))))))))),0)</f>
        <v>0</v>
      </c>
      <c r="F2570" s="10" t="n">
        <f aca="false">Nonlabor!$J$26*(1+Assumptions!$D$9)^INT((C2570-1)/12)</f>
        <v>16390.905</v>
      </c>
      <c r="G2570" s="10" t="n">
        <f aca="false">E2570*F2570</f>
        <v>0</v>
      </c>
      <c r="H2570" s="10" t="n">
        <f aca="false">IF(OR(Nonlabor!$L$26="Quote required",Nonlabor!$L$26="Unverified"),G2570,0)</f>
        <v>0</v>
      </c>
      <c r="I2570" s="10" t="n">
        <f aca="false">IF(Nonlabor!$E$26="Core",0,G2570)</f>
        <v>0</v>
      </c>
      <c r="J2570" s="23" t="str">
        <f aca="false">Nonlabor!$B$26</f>
        <v>AI</v>
      </c>
    </row>
    <row r="2571" customFormat="false" ht="15" hidden="false" customHeight="false" outlineLevel="0" collapsed="false">
      <c r="A2571" s="6" t="s">
        <v>4</v>
      </c>
      <c r="B2571" s="6" t="s">
        <v>436</v>
      </c>
      <c r="C2571" s="6" t="n">
        <v>46</v>
      </c>
      <c r="D2571" s="25" t="n">
        <f aca="false">EDATE('Start Here'!$B$6,C2571-1)</f>
        <v>47696</v>
      </c>
      <c r="E2571" s="23" t="n">
        <f aca="false">IF(AND(OR(Nonlabor!$D$26="Both",Nonlabor!$D$26='Start Here'!$B$9),IF(Nonlabor!$E$26="Core",1,IF(Nonlabor!$E$26="AI",'Start Here'!$B$7,'Start Here'!$B$8))=1,C2571&gt;=IF(Nonlabor!$E$26="Core",Nonlabor!$F$26,MAX(Nonlabor!$F$26,IF(Nonlabor!$E$26="AI",Assumptions!$D$24,Assumptions!$D$25))),C2571&lt;=Nonlabor!$G$26,OR(Nonlabor!$H$26="Monthly",AND(Nonlabor!$H$26="Once",C2571=IF(Nonlabor!$E$26="Core",Nonlabor!$F$26,MAX(Nonlabor!$F$26,IF(Nonlabor!$E$26="AI",Assumptions!$D$24,Assumptions!$D$25)))),AND(Nonlabor!$H$26="Annual",MOD(C2571-IF(Nonlabor!$E$26="Core",Nonlabor!$F$26,MAX(Nonlabor!$F$26,IF(Nonlabor!$E$26="AI",Assumptions!$D$24,Assumptions!$D$25))),12)=0))),IF(Nonlabor!$I$26="Fixed",1,IF(Nonlabor!$I$26="Seats",ROUNDUP('Monthly Base'!I51,0),IF(Nonlabor!$I$26="Customers",'Monthly Base'!D51,IF(Nonlabor!$I$26="NewCustomers",'Monthly Base'!C51,IF(Nonlabor!$I$26="StorageGB",'Monthly Base'!G51,IF(Nonlabor!$I$26="LogGB",'Monthly Base'!H51,IF(Nonlabor!$I$26="RequestsM",'Monthly Base'!F51,IF(Nonlabor!$I$26="InputM",'Monthly Base'!D51*Assumptions!$D$22/1000000,IF(Nonlabor!$I$26="OutputM",'Monthly Base'!D51*Assumptions!$D$23/1000000,0))))))))),0)</f>
        <v>0</v>
      </c>
      <c r="F2571" s="10" t="n">
        <f aca="false">Nonlabor!$J$26*(1+Assumptions!$D$9)^INT((C2571-1)/12)</f>
        <v>16390.905</v>
      </c>
      <c r="G2571" s="10" t="n">
        <f aca="false">E2571*F2571</f>
        <v>0</v>
      </c>
      <c r="H2571" s="10" t="n">
        <f aca="false">IF(OR(Nonlabor!$L$26="Quote required",Nonlabor!$L$26="Unverified"),G2571,0)</f>
        <v>0</v>
      </c>
      <c r="I2571" s="10" t="n">
        <f aca="false">IF(Nonlabor!$E$26="Core",0,G2571)</f>
        <v>0</v>
      </c>
      <c r="J2571" s="23" t="str">
        <f aca="false">Nonlabor!$B$26</f>
        <v>AI</v>
      </c>
    </row>
    <row r="2572" customFormat="false" ht="15" hidden="false" customHeight="false" outlineLevel="0" collapsed="false">
      <c r="A2572" s="6" t="s">
        <v>4</v>
      </c>
      <c r="B2572" s="6" t="s">
        <v>436</v>
      </c>
      <c r="C2572" s="6" t="n">
        <v>47</v>
      </c>
      <c r="D2572" s="25" t="n">
        <f aca="false">EDATE('Start Here'!$B$6,C2572-1)</f>
        <v>47727</v>
      </c>
      <c r="E2572" s="23" t="n">
        <f aca="false">IF(AND(OR(Nonlabor!$D$26="Both",Nonlabor!$D$26='Start Here'!$B$9),IF(Nonlabor!$E$26="Core",1,IF(Nonlabor!$E$26="AI",'Start Here'!$B$7,'Start Here'!$B$8))=1,C2572&gt;=IF(Nonlabor!$E$26="Core",Nonlabor!$F$26,MAX(Nonlabor!$F$26,IF(Nonlabor!$E$26="AI",Assumptions!$D$24,Assumptions!$D$25))),C2572&lt;=Nonlabor!$G$26,OR(Nonlabor!$H$26="Monthly",AND(Nonlabor!$H$26="Once",C2572=IF(Nonlabor!$E$26="Core",Nonlabor!$F$26,MAX(Nonlabor!$F$26,IF(Nonlabor!$E$26="AI",Assumptions!$D$24,Assumptions!$D$25)))),AND(Nonlabor!$H$26="Annual",MOD(C2572-IF(Nonlabor!$E$26="Core",Nonlabor!$F$26,MAX(Nonlabor!$F$26,IF(Nonlabor!$E$26="AI",Assumptions!$D$24,Assumptions!$D$25))),12)=0))),IF(Nonlabor!$I$26="Fixed",1,IF(Nonlabor!$I$26="Seats",ROUNDUP('Monthly Base'!I52,0),IF(Nonlabor!$I$26="Customers",'Monthly Base'!D52,IF(Nonlabor!$I$26="NewCustomers",'Monthly Base'!C52,IF(Nonlabor!$I$26="StorageGB",'Monthly Base'!G52,IF(Nonlabor!$I$26="LogGB",'Monthly Base'!H52,IF(Nonlabor!$I$26="RequestsM",'Monthly Base'!F52,IF(Nonlabor!$I$26="InputM",'Monthly Base'!D52*Assumptions!$D$22/1000000,IF(Nonlabor!$I$26="OutputM",'Monthly Base'!D52*Assumptions!$D$23/1000000,0))))))))),0)</f>
        <v>0</v>
      </c>
      <c r="F2572" s="10" t="n">
        <f aca="false">Nonlabor!$J$26*(1+Assumptions!$D$9)^INT((C2572-1)/12)</f>
        <v>16390.905</v>
      </c>
      <c r="G2572" s="10" t="n">
        <f aca="false">E2572*F2572</f>
        <v>0</v>
      </c>
      <c r="H2572" s="10" t="n">
        <f aca="false">IF(OR(Nonlabor!$L$26="Quote required",Nonlabor!$L$26="Unverified"),G2572,0)</f>
        <v>0</v>
      </c>
      <c r="I2572" s="10" t="n">
        <f aca="false">IF(Nonlabor!$E$26="Core",0,G2572)</f>
        <v>0</v>
      </c>
      <c r="J2572" s="23" t="str">
        <f aca="false">Nonlabor!$B$26</f>
        <v>AI</v>
      </c>
    </row>
    <row r="2573" customFormat="false" ht="15" hidden="false" customHeight="false" outlineLevel="0" collapsed="false">
      <c r="A2573" s="6" t="s">
        <v>4</v>
      </c>
      <c r="B2573" s="6" t="s">
        <v>436</v>
      </c>
      <c r="C2573" s="6" t="n">
        <v>48</v>
      </c>
      <c r="D2573" s="25" t="n">
        <f aca="false">EDATE('Start Here'!$B$6,C2573-1)</f>
        <v>47757</v>
      </c>
      <c r="E2573" s="23" t="n">
        <f aca="false">IF(AND(OR(Nonlabor!$D$26="Both",Nonlabor!$D$26='Start Here'!$B$9),IF(Nonlabor!$E$26="Core",1,IF(Nonlabor!$E$26="AI",'Start Here'!$B$7,'Start Here'!$B$8))=1,C2573&gt;=IF(Nonlabor!$E$26="Core",Nonlabor!$F$26,MAX(Nonlabor!$F$26,IF(Nonlabor!$E$26="AI",Assumptions!$D$24,Assumptions!$D$25))),C2573&lt;=Nonlabor!$G$26,OR(Nonlabor!$H$26="Monthly",AND(Nonlabor!$H$26="Once",C2573=IF(Nonlabor!$E$26="Core",Nonlabor!$F$26,MAX(Nonlabor!$F$26,IF(Nonlabor!$E$26="AI",Assumptions!$D$24,Assumptions!$D$25)))),AND(Nonlabor!$H$26="Annual",MOD(C2573-IF(Nonlabor!$E$26="Core",Nonlabor!$F$26,MAX(Nonlabor!$F$26,IF(Nonlabor!$E$26="AI",Assumptions!$D$24,Assumptions!$D$25))),12)=0))),IF(Nonlabor!$I$26="Fixed",1,IF(Nonlabor!$I$26="Seats",ROUNDUP('Monthly Base'!I53,0),IF(Nonlabor!$I$26="Customers",'Monthly Base'!D53,IF(Nonlabor!$I$26="NewCustomers",'Monthly Base'!C53,IF(Nonlabor!$I$26="StorageGB",'Monthly Base'!G53,IF(Nonlabor!$I$26="LogGB",'Monthly Base'!H53,IF(Nonlabor!$I$26="RequestsM",'Monthly Base'!F53,IF(Nonlabor!$I$26="InputM",'Monthly Base'!D53*Assumptions!$D$22/1000000,IF(Nonlabor!$I$26="OutputM",'Monthly Base'!D53*Assumptions!$D$23/1000000,0))))))))),0)</f>
        <v>0</v>
      </c>
      <c r="F2573" s="10" t="n">
        <f aca="false">Nonlabor!$J$26*(1+Assumptions!$D$9)^INT((C2573-1)/12)</f>
        <v>16390.905</v>
      </c>
      <c r="G2573" s="10" t="n">
        <f aca="false">E2573*F2573</f>
        <v>0</v>
      </c>
      <c r="H2573" s="10" t="n">
        <f aca="false">IF(OR(Nonlabor!$L$26="Quote required",Nonlabor!$L$26="Unverified"),G2573,0)</f>
        <v>0</v>
      </c>
      <c r="I2573" s="10" t="n">
        <f aca="false">IF(Nonlabor!$E$26="Core",0,G2573)</f>
        <v>0</v>
      </c>
      <c r="J2573" s="23" t="str">
        <f aca="false">Nonlabor!$B$26</f>
        <v>AI</v>
      </c>
    </row>
    <row r="2574" customFormat="false" ht="15" hidden="false" customHeight="false" outlineLevel="0" collapsed="false">
      <c r="A2574" s="6" t="s">
        <v>4</v>
      </c>
      <c r="B2574" s="6" t="s">
        <v>436</v>
      </c>
      <c r="C2574" s="6" t="n">
        <v>49</v>
      </c>
      <c r="D2574" s="25" t="n">
        <f aca="false">EDATE('Start Here'!$B$6,C2574-1)</f>
        <v>47788</v>
      </c>
      <c r="E2574" s="23" t="n">
        <f aca="false">IF(AND(OR(Nonlabor!$D$26="Both",Nonlabor!$D$26='Start Here'!$B$9),IF(Nonlabor!$E$26="Core",1,IF(Nonlabor!$E$26="AI",'Start Here'!$B$7,'Start Here'!$B$8))=1,C2574&gt;=IF(Nonlabor!$E$26="Core",Nonlabor!$F$26,MAX(Nonlabor!$F$26,IF(Nonlabor!$E$26="AI",Assumptions!$D$24,Assumptions!$D$25))),C2574&lt;=Nonlabor!$G$26,OR(Nonlabor!$H$26="Monthly",AND(Nonlabor!$H$26="Once",C2574=IF(Nonlabor!$E$26="Core",Nonlabor!$F$26,MAX(Nonlabor!$F$26,IF(Nonlabor!$E$26="AI",Assumptions!$D$24,Assumptions!$D$25)))),AND(Nonlabor!$H$26="Annual",MOD(C2574-IF(Nonlabor!$E$26="Core",Nonlabor!$F$26,MAX(Nonlabor!$F$26,IF(Nonlabor!$E$26="AI",Assumptions!$D$24,Assumptions!$D$25))),12)=0))),IF(Nonlabor!$I$26="Fixed",1,IF(Nonlabor!$I$26="Seats",ROUNDUP('Monthly Base'!I54,0),IF(Nonlabor!$I$26="Customers",'Monthly Base'!D54,IF(Nonlabor!$I$26="NewCustomers",'Monthly Base'!C54,IF(Nonlabor!$I$26="StorageGB",'Monthly Base'!G54,IF(Nonlabor!$I$26="LogGB",'Monthly Base'!H54,IF(Nonlabor!$I$26="RequestsM",'Monthly Base'!F54,IF(Nonlabor!$I$26="InputM",'Monthly Base'!D54*Assumptions!$D$22/1000000,IF(Nonlabor!$I$26="OutputM",'Monthly Base'!D54*Assumptions!$D$23/1000000,0))))))))),0)</f>
        <v>0</v>
      </c>
      <c r="F2574" s="10" t="n">
        <f aca="false">Nonlabor!$J$26*(1+Assumptions!$D$9)^INT((C2574-1)/12)</f>
        <v>16882.63215</v>
      </c>
      <c r="G2574" s="10" t="n">
        <f aca="false">E2574*F2574</f>
        <v>0</v>
      </c>
      <c r="H2574" s="10" t="n">
        <f aca="false">IF(OR(Nonlabor!$L$26="Quote required",Nonlabor!$L$26="Unverified"),G2574,0)</f>
        <v>0</v>
      </c>
      <c r="I2574" s="10" t="n">
        <f aca="false">IF(Nonlabor!$E$26="Core",0,G2574)</f>
        <v>0</v>
      </c>
      <c r="J2574" s="23" t="str">
        <f aca="false">Nonlabor!$B$26</f>
        <v>AI</v>
      </c>
    </row>
    <row r="2575" customFormat="false" ht="15" hidden="false" customHeight="false" outlineLevel="0" collapsed="false">
      <c r="A2575" s="6" t="s">
        <v>4</v>
      </c>
      <c r="B2575" s="6" t="s">
        <v>436</v>
      </c>
      <c r="C2575" s="6" t="n">
        <v>50</v>
      </c>
      <c r="D2575" s="25" t="n">
        <f aca="false">EDATE('Start Here'!$B$6,C2575-1)</f>
        <v>47818</v>
      </c>
      <c r="E2575" s="23" t="n">
        <f aca="false">IF(AND(OR(Nonlabor!$D$26="Both",Nonlabor!$D$26='Start Here'!$B$9),IF(Nonlabor!$E$26="Core",1,IF(Nonlabor!$E$26="AI",'Start Here'!$B$7,'Start Here'!$B$8))=1,C2575&gt;=IF(Nonlabor!$E$26="Core",Nonlabor!$F$26,MAX(Nonlabor!$F$26,IF(Nonlabor!$E$26="AI",Assumptions!$D$24,Assumptions!$D$25))),C2575&lt;=Nonlabor!$G$26,OR(Nonlabor!$H$26="Monthly",AND(Nonlabor!$H$26="Once",C2575=IF(Nonlabor!$E$26="Core",Nonlabor!$F$26,MAX(Nonlabor!$F$26,IF(Nonlabor!$E$26="AI",Assumptions!$D$24,Assumptions!$D$25)))),AND(Nonlabor!$H$26="Annual",MOD(C2575-IF(Nonlabor!$E$26="Core",Nonlabor!$F$26,MAX(Nonlabor!$F$26,IF(Nonlabor!$E$26="AI",Assumptions!$D$24,Assumptions!$D$25))),12)=0))),IF(Nonlabor!$I$26="Fixed",1,IF(Nonlabor!$I$26="Seats",ROUNDUP('Monthly Base'!I55,0),IF(Nonlabor!$I$26="Customers",'Monthly Base'!D55,IF(Nonlabor!$I$26="NewCustomers",'Monthly Base'!C55,IF(Nonlabor!$I$26="StorageGB",'Monthly Base'!G55,IF(Nonlabor!$I$26="LogGB",'Monthly Base'!H55,IF(Nonlabor!$I$26="RequestsM",'Monthly Base'!F55,IF(Nonlabor!$I$26="InputM",'Monthly Base'!D55*Assumptions!$D$22/1000000,IF(Nonlabor!$I$26="OutputM",'Monthly Base'!D55*Assumptions!$D$23/1000000,0))))))))),0)</f>
        <v>0</v>
      </c>
      <c r="F2575" s="10" t="n">
        <f aca="false">Nonlabor!$J$26*(1+Assumptions!$D$9)^INT((C2575-1)/12)</f>
        <v>16882.63215</v>
      </c>
      <c r="G2575" s="10" t="n">
        <f aca="false">E2575*F2575</f>
        <v>0</v>
      </c>
      <c r="H2575" s="10" t="n">
        <f aca="false">IF(OR(Nonlabor!$L$26="Quote required",Nonlabor!$L$26="Unverified"),G2575,0)</f>
        <v>0</v>
      </c>
      <c r="I2575" s="10" t="n">
        <f aca="false">IF(Nonlabor!$E$26="Core",0,G2575)</f>
        <v>0</v>
      </c>
      <c r="J2575" s="23" t="str">
        <f aca="false">Nonlabor!$B$26</f>
        <v>AI</v>
      </c>
    </row>
    <row r="2576" customFormat="false" ht="15" hidden="false" customHeight="false" outlineLevel="0" collapsed="false">
      <c r="A2576" s="6" t="s">
        <v>4</v>
      </c>
      <c r="B2576" s="6" t="s">
        <v>436</v>
      </c>
      <c r="C2576" s="6" t="n">
        <v>51</v>
      </c>
      <c r="D2576" s="25" t="n">
        <f aca="false">EDATE('Start Here'!$B$6,C2576-1)</f>
        <v>47849</v>
      </c>
      <c r="E2576" s="23" t="n">
        <f aca="false">IF(AND(OR(Nonlabor!$D$26="Both",Nonlabor!$D$26='Start Here'!$B$9),IF(Nonlabor!$E$26="Core",1,IF(Nonlabor!$E$26="AI",'Start Here'!$B$7,'Start Here'!$B$8))=1,C2576&gt;=IF(Nonlabor!$E$26="Core",Nonlabor!$F$26,MAX(Nonlabor!$F$26,IF(Nonlabor!$E$26="AI",Assumptions!$D$24,Assumptions!$D$25))),C2576&lt;=Nonlabor!$G$26,OR(Nonlabor!$H$26="Monthly",AND(Nonlabor!$H$26="Once",C2576=IF(Nonlabor!$E$26="Core",Nonlabor!$F$26,MAX(Nonlabor!$F$26,IF(Nonlabor!$E$26="AI",Assumptions!$D$24,Assumptions!$D$25)))),AND(Nonlabor!$H$26="Annual",MOD(C2576-IF(Nonlabor!$E$26="Core",Nonlabor!$F$26,MAX(Nonlabor!$F$26,IF(Nonlabor!$E$26="AI",Assumptions!$D$24,Assumptions!$D$25))),12)=0))),IF(Nonlabor!$I$26="Fixed",1,IF(Nonlabor!$I$26="Seats",ROUNDUP('Monthly Base'!I56,0),IF(Nonlabor!$I$26="Customers",'Monthly Base'!D56,IF(Nonlabor!$I$26="NewCustomers",'Monthly Base'!C56,IF(Nonlabor!$I$26="StorageGB",'Monthly Base'!G56,IF(Nonlabor!$I$26="LogGB",'Monthly Base'!H56,IF(Nonlabor!$I$26="RequestsM",'Monthly Base'!F56,IF(Nonlabor!$I$26="InputM",'Monthly Base'!D56*Assumptions!$D$22/1000000,IF(Nonlabor!$I$26="OutputM",'Monthly Base'!D56*Assumptions!$D$23/1000000,0))))))))),0)</f>
        <v>0</v>
      </c>
      <c r="F2576" s="10" t="n">
        <f aca="false">Nonlabor!$J$26*(1+Assumptions!$D$9)^INT((C2576-1)/12)</f>
        <v>16882.63215</v>
      </c>
      <c r="G2576" s="10" t="n">
        <f aca="false">E2576*F2576</f>
        <v>0</v>
      </c>
      <c r="H2576" s="10" t="n">
        <f aca="false">IF(OR(Nonlabor!$L$26="Quote required",Nonlabor!$L$26="Unverified"),G2576,0)</f>
        <v>0</v>
      </c>
      <c r="I2576" s="10" t="n">
        <f aca="false">IF(Nonlabor!$E$26="Core",0,G2576)</f>
        <v>0</v>
      </c>
      <c r="J2576" s="23" t="str">
        <f aca="false">Nonlabor!$B$26</f>
        <v>AI</v>
      </c>
    </row>
    <row r="2577" customFormat="false" ht="15" hidden="false" customHeight="false" outlineLevel="0" collapsed="false">
      <c r="A2577" s="6" t="s">
        <v>4</v>
      </c>
      <c r="B2577" s="6" t="s">
        <v>436</v>
      </c>
      <c r="C2577" s="6" t="n">
        <v>52</v>
      </c>
      <c r="D2577" s="25" t="n">
        <f aca="false">EDATE('Start Here'!$B$6,C2577-1)</f>
        <v>47880</v>
      </c>
      <c r="E2577" s="23" t="n">
        <f aca="false">IF(AND(OR(Nonlabor!$D$26="Both",Nonlabor!$D$26='Start Here'!$B$9),IF(Nonlabor!$E$26="Core",1,IF(Nonlabor!$E$26="AI",'Start Here'!$B$7,'Start Here'!$B$8))=1,C2577&gt;=IF(Nonlabor!$E$26="Core",Nonlabor!$F$26,MAX(Nonlabor!$F$26,IF(Nonlabor!$E$26="AI",Assumptions!$D$24,Assumptions!$D$25))),C2577&lt;=Nonlabor!$G$26,OR(Nonlabor!$H$26="Monthly",AND(Nonlabor!$H$26="Once",C2577=IF(Nonlabor!$E$26="Core",Nonlabor!$F$26,MAX(Nonlabor!$F$26,IF(Nonlabor!$E$26="AI",Assumptions!$D$24,Assumptions!$D$25)))),AND(Nonlabor!$H$26="Annual",MOD(C2577-IF(Nonlabor!$E$26="Core",Nonlabor!$F$26,MAX(Nonlabor!$F$26,IF(Nonlabor!$E$26="AI",Assumptions!$D$24,Assumptions!$D$25))),12)=0))),IF(Nonlabor!$I$26="Fixed",1,IF(Nonlabor!$I$26="Seats",ROUNDUP('Monthly Base'!I57,0),IF(Nonlabor!$I$26="Customers",'Monthly Base'!D57,IF(Nonlabor!$I$26="NewCustomers",'Monthly Base'!C57,IF(Nonlabor!$I$26="StorageGB",'Monthly Base'!G57,IF(Nonlabor!$I$26="LogGB",'Monthly Base'!H57,IF(Nonlabor!$I$26="RequestsM",'Monthly Base'!F57,IF(Nonlabor!$I$26="InputM",'Monthly Base'!D57*Assumptions!$D$22/1000000,IF(Nonlabor!$I$26="OutputM",'Monthly Base'!D57*Assumptions!$D$23/1000000,0))))))))),0)</f>
        <v>0</v>
      </c>
      <c r="F2577" s="10" t="n">
        <f aca="false">Nonlabor!$J$26*(1+Assumptions!$D$9)^INT((C2577-1)/12)</f>
        <v>16882.63215</v>
      </c>
      <c r="G2577" s="10" t="n">
        <f aca="false">E2577*F2577</f>
        <v>0</v>
      </c>
      <c r="H2577" s="10" t="n">
        <f aca="false">IF(OR(Nonlabor!$L$26="Quote required",Nonlabor!$L$26="Unverified"),G2577,0)</f>
        <v>0</v>
      </c>
      <c r="I2577" s="10" t="n">
        <f aca="false">IF(Nonlabor!$E$26="Core",0,G2577)</f>
        <v>0</v>
      </c>
      <c r="J2577" s="23" t="str">
        <f aca="false">Nonlabor!$B$26</f>
        <v>AI</v>
      </c>
    </row>
    <row r="2578" customFormat="false" ht="15" hidden="false" customHeight="false" outlineLevel="0" collapsed="false">
      <c r="A2578" s="6" t="s">
        <v>4</v>
      </c>
      <c r="B2578" s="6" t="s">
        <v>436</v>
      </c>
      <c r="C2578" s="6" t="n">
        <v>53</v>
      </c>
      <c r="D2578" s="25" t="n">
        <f aca="false">EDATE('Start Here'!$B$6,C2578-1)</f>
        <v>47908</v>
      </c>
      <c r="E2578" s="23" t="n">
        <f aca="false">IF(AND(OR(Nonlabor!$D$26="Both",Nonlabor!$D$26='Start Here'!$B$9),IF(Nonlabor!$E$26="Core",1,IF(Nonlabor!$E$26="AI",'Start Here'!$B$7,'Start Here'!$B$8))=1,C2578&gt;=IF(Nonlabor!$E$26="Core",Nonlabor!$F$26,MAX(Nonlabor!$F$26,IF(Nonlabor!$E$26="AI",Assumptions!$D$24,Assumptions!$D$25))),C2578&lt;=Nonlabor!$G$26,OR(Nonlabor!$H$26="Monthly",AND(Nonlabor!$H$26="Once",C2578=IF(Nonlabor!$E$26="Core",Nonlabor!$F$26,MAX(Nonlabor!$F$26,IF(Nonlabor!$E$26="AI",Assumptions!$D$24,Assumptions!$D$25)))),AND(Nonlabor!$H$26="Annual",MOD(C2578-IF(Nonlabor!$E$26="Core",Nonlabor!$F$26,MAX(Nonlabor!$F$26,IF(Nonlabor!$E$26="AI",Assumptions!$D$24,Assumptions!$D$25))),12)=0))),IF(Nonlabor!$I$26="Fixed",1,IF(Nonlabor!$I$26="Seats",ROUNDUP('Monthly Base'!I58,0),IF(Nonlabor!$I$26="Customers",'Monthly Base'!D58,IF(Nonlabor!$I$26="NewCustomers",'Monthly Base'!C58,IF(Nonlabor!$I$26="StorageGB",'Monthly Base'!G58,IF(Nonlabor!$I$26="LogGB",'Monthly Base'!H58,IF(Nonlabor!$I$26="RequestsM",'Monthly Base'!F58,IF(Nonlabor!$I$26="InputM",'Monthly Base'!D58*Assumptions!$D$22/1000000,IF(Nonlabor!$I$26="OutputM",'Monthly Base'!D58*Assumptions!$D$23/1000000,0))))))))),0)</f>
        <v>0</v>
      </c>
      <c r="F2578" s="10" t="n">
        <f aca="false">Nonlabor!$J$26*(1+Assumptions!$D$9)^INT((C2578-1)/12)</f>
        <v>16882.63215</v>
      </c>
      <c r="G2578" s="10" t="n">
        <f aca="false">E2578*F2578</f>
        <v>0</v>
      </c>
      <c r="H2578" s="10" t="n">
        <f aca="false">IF(OR(Nonlabor!$L$26="Quote required",Nonlabor!$L$26="Unverified"),G2578,0)</f>
        <v>0</v>
      </c>
      <c r="I2578" s="10" t="n">
        <f aca="false">IF(Nonlabor!$E$26="Core",0,G2578)</f>
        <v>0</v>
      </c>
      <c r="J2578" s="23" t="str">
        <f aca="false">Nonlabor!$B$26</f>
        <v>AI</v>
      </c>
    </row>
    <row r="2579" customFormat="false" ht="15" hidden="false" customHeight="false" outlineLevel="0" collapsed="false">
      <c r="A2579" s="6" t="s">
        <v>4</v>
      </c>
      <c r="B2579" s="6" t="s">
        <v>436</v>
      </c>
      <c r="C2579" s="6" t="n">
        <v>54</v>
      </c>
      <c r="D2579" s="25" t="n">
        <f aca="false">EDATE('Start Here'!$B$6,C2579-1)</f>
        <v>47939</v>
      </c>
      <c r="E2579" s="23" t="n">
        <f aca="false">IF(AND(OR(Nonlabor!$D$26="Both",Nonlabor!$D$26='Start Here'!$B$9),IF(Nonlabor!$E$26="Core",1,IF(Nonlabor!$E$26="AI",'Start Here'!$B$7,'Start Here'!$B$8))=1,C2579&gt;=IF(Nonlabor!$E$26="Core",Nonlabor!$F$26,MAX(Nonlabor!$F$26,IF(Nonlabor!$E$26="AI",Assumptions!$D$24,Assumptions!$D$25))),C2579&lt;=Nonlabor!$G$26,OR(Nonlabor!$H$26="Monthly",AND(Nonlabor!$H$26="Once",C2579=IF(Nonlabor!$E$26="Core",Nonlabor!$F$26,MAX(Nonlabor!$F$26,IF(Nonlabor!$E$26="AI",Assumptions!$D$24,Assumptions!$D$25)))),AND(Nonlabor!$H$26="Annual",MOD(C2579-IF(Nonlabor!$E$26="Core",Nonlabor!$F$26,MAX(Nonlabor!$F$26,IF(Nonlabor!$E$26="AI",Assumptions!$D$24,Assumptions!$D$25))),12)=0))),IF(Nonlabor!$I$26="Fixed",1,IF(Nonlabor!$I$26="Seats",ROUNDUP('Monthly Base'!I59,0),IF(Nonlabor!$I$26="Customers",'Monthly Base'!D59,IF(Nonlabor!$I$26="NewCustomers",'Monthly Base'!C59,IF(Nonlabor!$I$26="StorageGB",'Monthly Base'!G59,IF(Nonlabor!$I$26="LogGB",'Monthly Base'!H59,IF(Nonlabor!$I$26="RequestsM",'Monthly Base'!F59,IF(Nonlabor!$I$26="InputM",'Monthly Base'!D59*Assumptions!$D$22/1000000,IF(Nonlabor!$I$26="OutputM",'Monthly Base'!D59*Assumptions!$D$23/1000000,0))))))))),0)</f>
        <v>0</v>
      </c>
      <c r="F2579" s="10" t="n">
        <f aca="false">Nonlabor!$J$26*(1+Assumptions!$D$9)^INT((C2579-1)/12)</f>
        <v>16882.63215</v>
      </c>
      <c r="G2579" s="10" t="n">
        <f aca="false">E2579*F2579</f>
        <v>0</v>
      </c>
      <c r="H2579" s="10" t="n">
        <f aca="false">IF(OR(Nonlabor!$L$26="Quote required",Nonlabor!$L$26="Unverified"),G2579,0)</f>
        <v>0</v>
      </c>
      <c r="I2579" s="10" t="n">
        <f aca="false">IF(Nonlabor!$E$26="Core",0,G2579)</f>
        <v>0</v>
      </c>
      <c r="J2579" s="23" t="str">
        <f aca="false">Nonlabor!$B$26</f>
        <v>AI</v>
      </c>
    </row>
    <row r="2580" customFormat="false" ht="15" hidden="false" customHeight="false" outlineLevel="0" collapsed="false">
      <c r="A2580" s="6" t="s">
        <v>4</v>
      </c>
      <c r="B2580" s="6" t="s">
        <v>436</v>
      </c>
      <c r="C2580" s="6" t="n">
        <v>55</v>
      </c>
      <c r="D2580" s="25" t="n">
        <f aca="false">EDATE('Start Here'!$B$6,C2580-1)</f>
        <v>47969</v>
      </c>
      <c r="E2580" s="23" t="n">
        <f aca="false">IF(AND(OR(Nonlabor!$D$26="Both",Nonlabor!$D$26='Start Here'!$B$9),IF(Nonlabor!$E$26="Core",1,IF(Nonlabor!$E$26="AI",'Start Here'!$B$7,'Start Here'!$B$8))=1,C2580&gt;=IF(Nonlabor!$E$26="Core",Nonlabor!$F$26,MAX(Nonlabor!$F$26,IF(Nonlabor!$E$26="AI",Assumptions!$D$24,Assumptions!$D$25))),C2580&lt;=Nonlabor!$G$26,OR(Nonlabor!$H$26="Monthly",AND(Nonlabor!$H$26="Once",C2580=IF(Nonlabor!$E$26="Core",Nonlabor!$F$26,MAX(Nonlabor!$F$26,IF(Nonlabor!$E$26="AI",Assumptions!$D$24,Assumptions!$D$25)))),AND(Nonlabor!$H$26="Annual",MOD(C2580-IF(Nonlabor!$E$26="Core",Nonlabor!$F$26,MAX(Nonlabor!$F$26,IF(Nonlabor!$E$26="AI",Assumptions!$D$24,Assumptions!$D$25))),12)=0))),IF(Nonlabor!$I$26="Fixed",1,IF(Nonlabor!$I$26="Seats",ROUNDUP('Monthly Base'!I60,0),IF(Nonlabor!$I$26="Customers",'Monthly Base'!D60,IF(Nonlabor!$I$26="NewCustomers",'Monthly Base'!C60,IF(Nonlabor!$I$26="StorageGB",'Monthly Base'!G60,IF(Nonlabor!$I$26="LogGB",'Monthly Base'!H60,IF(Nonlabor!$I$26="RequestsM",'Monthly Base'!F60,IF(Nonlabor!$I$26="InputM",'Monthly Base'!D60*Assumptions!$D$22/1000000,IF(Nonlabor!$I$26="OutputM",'Monthly Base'!D60*Assumptions!$D$23/1000000,0))))))))),0)</f>
        <v>0</v>
      </c>
      <c r="F2580" s="10" t="n">
        <f aca="false">Nonlabor!$J$26*(1+Assumptions!$D$9)^INT((C2580-1)/12)</f>
        <v>16882.63215</v>
      </c>
      <c r="G2580" s="10" t="n">
        <f aca="false">E2580*F2580</f>
        <v>0</v>
      </c>
      <c r="H2580" s="10" t="n">
        <f aca="false">IF(OR(Nonlabor!$L$26="Quote required",Nonlabor!$L$26="Unverified"),G2580,0)</f>
        <v>0</v>
      </c>
      <c r="I2580" s="10" t="n">
        <f aca="false">IF(Nonlabor!$E$26="Core",0,G2580)</f>
        <v>0</v>
      </c>
      <c r="J2580" s="23" t="str">
        <f aca="false">Nonlabor!$B$26</f>
        <v>AI</v>
      </c>
    </row>
    <row r="2581" customFormat="false" ht="15" hidden="false" customHeight="false" outlineLevel="0" collapsed="false">
      <c r="A2581" s="6" t="s">
        <v>4</v>
      </c>
      <c r="B2581" s="6" t="s">
        <v>436</v>
      </c>
      <c r="C2581" s="6" t="n">
        <v>56</v>
      </c>
      <c r="D2581" s="25" t="n">
        <f aca="false">EDATE('Start Here'!$B$6,C2581-1)</f>
        <v>48000</v>
      </c>
      <c r="E2581" s="23" t="n">
        <f aca="false">IF(AND(OR(Nonlabor!$D$26="Both",Nonlabor!$D$26='Start Here'!$B$9),IF(Nonlabor!$E$26="Core",1,IF(Nonlabor!$E$26="AI",'Start Here'!$B$7,'Start Here'!$B$8))=1,C2581&gt;=IF(Nonlabor!$E$26="Core",Nonlabor!$F$26,MAX(Nonlabor!$F$26,IF(Nonlabor!$E$26="AI",Assumptions!$D$24,Assumptions!$D$25))),C2581&lt;=Nonlabor!$G$26,OR(Nonlabor!$H$26="Monthly",AND(Nonlabor!$H$26="Once",C2581=IF(Nonlabor!$E$26="Core",Nonlabor!$F$26,MAX(Nonlabor!$F$26,IF(Nonlabor!$E$26="AI",Assumptions!$D$24,Assumptions!$D$25)))),AND(Nonlabor!$H$26="Annual",MOD(C2581-IF(Nonlabor!$E$26="Core",Nonlabor!$F$26,MAX(Nonlabor!$F$26,IF(Nonlabor!$E$26="AI",Assumptions!$D$24,Assumptions!$D$25))),12)=0))),IF(Nonlabor!$I$26="Fixed",1,IF(Nonlabor!$I$26="Seats",ROUNDUP('Monthly Base'!I61,0),IF(Nonlabor!$I$26="Customers",'Monthly Base'!D61,IF(Nonlabor!$I$26="NewCustomers",'Monthly Base'!C61,IF(Nonlabor!$I$26="StorageGB",'Monthly Base'!G61,IF(Nonlabor!$I$26="LogGB",'Monthly Base'!H61,IF(Nonlabor!$I$26="RequestsM",'Monthly Base'!F61,IF(Nonlabor!$I$26="InputM",'Monthly Base'!D61*Assumptions!$D$22/1000000,IF(Nonlabor!$I$26="OutputM",'Monthly Base'!D61*Assumptions!$D$23/1000000,0))))))))),0)</f>
        <v>0</v>
      </c>
      <c r="F2581" s="10" t="n">
        <f aca="false">Nonlabor!$J$26*(1+Assumptions!$D$9)^INT((C2581-1)/12)</f>
        <v>16882.63215</v>
      </c>
      <c r="G2581" s="10" t="n">
        <f aca="false">E2581*F2581</f>
        <v>0</v>
      </c>
      <c r="H2581" s="10" t="n">
        <f aca="false">IF(OR(Nonlabor!$L$26="Quote required",Nonlabor!$L$26="Unverified"),G2581,0)</f>
        <v>0</v>
      </c>
      <c r="I2581" s="10" t="n">
        <f aca="false">IF(Nonlabor!$E$26="Core",0,G2581)</f>
        <v>0</v>
      </c>
      <c r="J2581" s="23" t="str">
        <f aca="false">Nonlabor!$B$26</f>
        <v>AI</v>
      </c>
    </row>
    <row r="2582" customFormat="false" ht="15" hidden="false" customHeight="false" outlineLevel="0" collapsed="false">
      <c r="A2582" s="6" t="s">
        <v>4</v>
      </c>
      <c r="B2582" s="6" t="s">
        <v>436</v>
      </c>
      <c r="C2582" s="6" t="n">
        <v>57</v>
      </c>
      <c r="D2582" s="25" t="n">
        <f aca="false">EDATE('Start Here'!$B$6,C2582-1)</f>
        <v>48030</v>
      </c>
      <c r="E2582" s="23" t="n">
        <f aca="false">IF(AND(OR(Nonlabor!$D$26="Both",Nonlabor!$D$26='Start Here'!$B$9),IF(Nonlabor!$E$26="Core",1,IF(Nonlabor!$E$26="AI",'Start Here'!$B$7,'Start Here'!$B$8))=1,C2582&gt;=IF(Nonlabor!$E$26="Core",Nonlabor!$F$26,MAX(Nonlabor!$F$26,IF(Nonlabor!$E$26="AI",Assumptions!$D$24,Assumptions!$D$25))),C2582&lt;=Nonlabor!$G$26,OR(Nonlabor!$H$26="Monthly",AND(Nonlabor!$H$26="Once",C2582=IF(Nonlabor!$E$26="Core",Nonlabor!$F$26,MAX(Nonlabor!$F$26,IF(Nonlabor!$E$26="AI",Assumptions!$D$24,Assumptions!$D$25)))),AND(Nonlabor!$H$26="Annual",MOD(C2582-IF(Nonlabor!$E$26="Core",Nonlabor!$F$26,MAX(Nonlabor!$F$26,IF(Nonlabor!$E$26="AI",Assumptions!$D$24,Assumptions!$D$25))),12)=0))),IF(Nonlabor!$I$26="Fixed",1,IF(Nonlabor!$I$26="Seats",ROUNDUP('Monthly Base'!I62,0),IF(Nonlabor!$I$26="Customers",'Monthly Base'!D62,IF(Nonlabor!$I$26="NewCustomers",'Monthly Base'!C62,IF(Nonlabor!$I$26="StorageGB",'Monthly Base'!G62,IF(Nonlabor!$I$26="LogGB",'Monthly Base'!H62,IF(Nonlabor!$I$26="RequestsM",'Monthly Base'!F62,IF(Nonlabor!$I$26="InputM",'Monthly Base'!D62*Assumptions!$D$22/1000000,IF(Nonlabor!$I$26="OutputM",'Monthly Base'!D62*Assumptions!$D$23/1000000,0))))))))),0)</f>
        <v>0</v>
      </c>
      <c r="F2582" s="10" t="n">
        <f aca="false">Nonlabor!$J$26*(1+Assumptions!$D$9)^INT((C2582-1)/12)</f>
        <v>16882.63215</v>
      </c>
      <c r="G2582" s="10" t="n">
        <f aca="false">E2582*F2582</f>
        <v>0</v>
      </c>
      <c r="H2582" s="10" t="n">
        <f aca="false">IF(OR(Nonlabor!$L$26="Quote required",Nonlabor!$L$26="Unverified"),G2582,0)</f>
        <v>0</v>
      </c>
      <c r="I2582" s="10" t="n">
        <f aca="false">IF(Nonlabor!$E$26="Core",0,G2582)</f>
        <v>0</v>
      </c>
      <c r="J2582" s="23" t="str">
        <f aca="false">Nonlabor!$B$26</f>
        <v>AI</v>
      </c>
    </row>
    <row r="2583" customFormat="false" ht="15" hidden="false" customHeight="false" outlineLevel="0" collapsed="false">
      <c r="A2583" s="6" t="s">
        <v>4</v>
      </c>
      <c r="B2583" s="6" t="s">
        <v>436</v>
      </c>
      <c r="C2583" s="6" t="n">
        <v>58</v>
      </c>
      <c r="D2583" s="25" t="n">
        <f aca="false">EDATE('Start Here'!$B$6,C2583-1)</f>
        <v>48061</v>
      </c>
      <c r="E2583" s="23" t="n">
        <f aca="false">IF(AND(OR(Nonlabor!$D$26="Both",Nonlabor!$D$26='Start Here'!$B$9),IF(Nonlabor!$E$26="Core",1,IF(Nonlabor!$E$26="AI",'Start Here'!$B$7,'Start Here'!$B$8))=1,C2583&gt;=IF(Nonlabor!$E$26="Core",Nonlabor!$F$26,MAX(Nonlabor!$F$26,IF(Nonlabor!$E$26="AI",Assumptions!$D$24,Assumptions!$D$25))),C2583&lt;=Nonlabor!$G$26,OR(Nonlabor!$H$26="Monthly",AND(Nonlabor!$H$26="Once",C2583=IF(Nonlabor!$E$26="Core",Nonlabor!$F$26,MAX(Nonlabor!$F$26,IF(Nonlabor!$E$26="AI",Assumptions!$D$24,Assumptions!$D$25)))),AND(Nonlabor!$H$26="Annual",MOD(C2583-IF(Nonlabor!$E$26="Core",Nonlabor!$F$26,MAX(Nonlabor!$F$26,IF(Nonlabor!$E$26="AI",Assumptions!$D$24,Assumptions!$D$25))),12)=0))),IF(Nonlabor!$I$26="Fixed",1,IF(Nonlabor!$I$26="Seats",ROUNDUP('Monthly Base'!I63,0),IF(Nonlabor!$I$26="Customers",'Monthly Base'!D63,IF(Nonlabor!$I$26="NewCustomers",'Monthly Base'!C63,IF(Nonlabor!$I$26="StorageGB",'Monthly Base'!G63,IF(Nonlabor!$I$26="LogGB",'Monthly Base'!H63,IF(Nonlabor!$I$26="RequestsM",'Monthly Base'!F63,IF(Nonlabor!$I$26="InputM",'Monthly Base'!D63*Assumptions!$D$22/1000000,IF(Nonlabor!$I$26="OutputM",'Monthly Base'!D63*Assumptions!$D$23/1000000,0))))))))),0)</f>
        <v>0</v>
      </c>
      <c r="F2583" s="10" t="n">
        <f aca="false">Nonlabor!$J$26*(1+Assumptions!$D$9)^INT((C2583-1)/12)</f>
        <v>16882.63215</v>
      </c>
      <c r="G2583" s="10" t="n">
        <f aca="false">E2583*F2583</f>
        <v>0</v>
      </c>
      <c r="H2583" s="10" t="n">
        <f aca="false">IF(OR(Nonlabor!$L$26="Quote required",Nonlabor!$L$26="Unverified"),G2583,0)</f>
        <v>0</v>
      </c>
      <c r="I2583" s="10" t="n">
        <f aca="false">IF(Nonlabor!$E$26="Core",0,G2583)</f>
        <v>0</v>
      </c>
      <c r="J2583" s="23" t="str">
        <f aca="false">Nonlabor!$B$26</f>
        <v>AI</v>
      </c>
    </row>
    <row r="2584" customFormat="false" ht="15" hidden="false" customHeight="false" outlineLevel="0" collapsed="false">
      <c r="A2584" s="6" t="s">
        <v>4</v>
      </c>
      <c r="B2584" s="6" t="s">
        <v>436</v>
      </c>
      <c r="C2584" s="6" t="n">
        <v>59</v>
      </c>
      <c r="D2584" s="25" t="n">
        <f aca="false">EDATE('Start Here'!$B$6,C2584-1)</f>
        <v>48092</v>
      </c>
      <c r="E2584" s="23" t="n">
        <f aca="false">IF(AND(OR(Nonlabor!$D$26="Both",Nonlabor!$D$26='Start Here'!$B$9),IF(Nonlabor!$E$26="Core",1,IF(Nonlabor!$E$26="AI",'Start Here'!$B$7,'Start Here'!$B$8))=1,C2584&gt;=IF(Nonlabor!$E$26="Core",Nonlabor!$F$26,MAX(Nonlabor!$F$26,IF(Nonlabor!$E$26="AI",Assumptions!$D$24,Assumptions!$D$25))),C2584&lt;=Nonlabor!$G$26,OR(Nonlabor!$H$26="Monthly",AND(Nonlabor!$H$26="Once",C2584=IF(Nonlabor!$E$26="Core",Nonlabor!$F$26,MAX(Nonlabor!$F$26,IF(Nonlabor!$E$26="AI",Assumptions!$D$24,Assumptions!$D$25)))),AND(Nonlabor!$H$26="Annual",MOD(C2584-IF(Nonlabor!$E$26="Core",Nonlabor!$F$26,MAX(Nonlabor!$F$26,IF(Nonlabor!$E$26="AI",Assumptions!$D$24,Assumptions!$D$25))),12)=0))),IF(Nonlabor!$I$26="Fixed",1,IF(Nonlabor!$I$26="Seats",ROUNDUP('Monthly Base'!I64,0),IF(Nonlabor!$I$26="Customers",'Monthly Base'!D64,IF(Nonlabor!$I$26="NewCustomers",'Monthly Base'!C64,IF(Nonlabor!$I$26="StorageGB",'Monthly Base'!G64,IF(Nonlabor!$I$26="LogGB",'Monthly Base'!H64,IF(Nonlabor!$I$26="RequestsM",'Monthly Base'!F64,IF(Nonlabor!$I$26="InputM",'Monthly Base'!D64*Assumptions!$D$22/1000000,IF(Nonlabor!$I$26="OutputM",'Monthly Base'!D64*Assumptions!$D$23/1000000,0))))))))),0)</f>
        <v>0</v>
      </c>
      <c r="F2584" s="10" t="n">
        <f aca="false">Nonlabor!$J$26*(1+Assumptions!$D$9)^INT((C2584-1)/12)</f>
        <v>16882.63215</v>
      </c>
      <c r="G2584" s="10" t="n">
        <f aca="false">E2584*F2584</f>
        <v>0</v>
      </c>
      <c r="H2584" s="10" t="n">
        <f aca="false">IF(OR(Nonlabor!$L$26="Quote required",Nonlabor!$L$26="Unverified"),G2584,0)</f>
        <v>0</v>
      </c>
      <c r="I2584" s="10" t="n">
        <f aca="false">IF(Nonlabor!$E$26="Core",0,G2584)</f>
        <v>0</v>
      </c>
      <c r="J2584" s="23" t="str">
        <f aca="false">Nonlabor!$B$26</f>
        <v>AI</v>
      </c>
    </row>
    <row r="2585" customFormat="false" ht="15" hidden="false" customHeight="false" outlineLevel="0" collapsed="false">
      <c r="A2585" s="6" t="s">
        <v>4</v>
      </c>
      <c r="B2585" s="6" t="s">
        <v>436</v>
      </c>
      <c r="C2585" s="6" t="n">
        <v>60</v>
      </c>
      <c r="D2585" s="25" t="n">
        <f aca="false">EDATE('Start Here'!$B$6,C2585-1)</f>
        <v>48122</v>
      </c>
      <c r="E2585" s="23" t="n">
        <f aca="false">IF(AND(OR(Nonlabor!$D$26="Both",Nonlabor!$D$26='Start Here'!$B$9),IF(Nonlabor!$E$26="Core",1,IF(Nonlabor!$E$26="AI",'Start Here'!$B$7,'Start Here'!$B$8))=1,C2585&gt;=IF(Nonlabor!$E$26="Core",Nonlabor!$F$26,MAX(Nonlabor!$F$26,IF(Nonlabor!$E$26="AI",Assumptions!$D$24,Assumptions!$D$25))),C2585&lt;=Nonlabor!$G$26,OR(Nonlabor!$H$26="Monthly",AND(Nonlabor!$H$26="Once",C2585=IF(Nonlabor!$E$26="Core",Nonlabor!$F$26,MAX(Nonlabor!$F$26,IF(Nonlabor!$E$26="AI",Assumptions!$D$24,Assumptions!$D$25)))),AND(Nonlabor!$H$26="Annual",MOD(C2585-IF(Nonlabor!$E$26="Core",Nonlabor!$F$26,MAX(Nonlabor!$F$26,IF(Nonlabor!$E$26="AI",Assumptions!$D$24,Assumptions!$D$25))),12)=0))),IF(Nonlabor!$I$26="Fixed",1,IF(Nonlabor!$I$26="Seats",ROUNDUP('Monthly Base'!I65,0),IF(Nonlabor!$I$26="Customers",'Monthly Base'!D65,IF(Nonlabor!$I$26="NewCustomers",'Monthly Base'!C65,IF(Nonlabor!$I$26="StorageGB",'Monthly Base'!G65,IF(Nonlabor!$I$26="LogGB",'Monthly Base'!H65,IF(Nonlabor!$I$26="RequestsM",'Monthly Base'!F65,IF(Nonlabor!$I$26="InputM",'Monthly Base'!D65*Assumptions!$D$22/1000000,IF(Nonlabor!$I$26="OutputM",'Monthly Base'!D65*Assumptions!$D$23/1000000,0))))))))),0)</f>
        <v>0</v>
      </c>
      <c r="F2585" s="10" t="n">
        <f aca="false">Nonlabor!$J$26*(1+Assumptions!$D$9)^INT((C2585-1)/12)</f>
        <v>16882.63215</v>
      </c>
      <c r="G2585" s="10" t="n">
        <f aca="false">E2585*F2585</f>
        <v>0</v>
      </c>
      <c r="H2585" s="10" t="n">
        <f aca="false">IF(OR(Nonlabor!$L$26="Quote required",Nonlabor!$L$26="Unverified"),G2585,0)</f>
        <v>0</v>
      </c>
      <c r="I2585" s="10" t="n">
        <f aca="false">IF(Nonlabor!$E$26="Core",0,G2585)</f>
        <v>0</v>
      </c>
      <c r="J2585" s="23" t="str">
        <f aca="false">Nonlabor!$B$26</f>
        <v>AI</v>
      </c>
    </row>
    <row r="2586" customFormat="false" ht="15" hidden="false" customHeight="false" outlineLevel="0" collapsed="false">
      <c r="A2586" s="6" t="s">
        <v>4</v>
      </c>
      <c r="B2586" s="6" t="s">
        <v>439</v>
      </c>
      <c r="C2586" s="6" t="n">
        <v>1</v>
      </c>
      <c r="D2586" s="25" t="n">
        <f aca="false">EDATE('Start Here'!$B$6,C2586-1)</f>
        <v>46327</v>
      </c>
      <c r="E2586" s="23" t="n">
        <f aca="false">IF(AND(OR(Nonlabor!$D$27="Both",Nonlabor!$D$27='Start Here'!$B$9),IF(Nonlabor!$E$27="Core",1,IF(Nonlabor!$E$27="AI",'Start Here'!$B$7,'Start Here'!$B$8))=1,C2586&gt;=IF(Nonlabor!$E$27="Core",Nonlabor!$F$27,MAX(Nonlabor!$F$27,IF(Nonlabor!$E$27="AI",Assumptions!$D$24,Assumptions!$D$25))),C2586&lt;=Nonlabor!$G$27,OR(Nonlabor!$H$27="Monthly",AND(Nonlabor!$H$27="Once",C2586=IF(Nonlabor!$E$27="Core",Nonlabor!$F$27,MAX(Nonlabor!$F$27,IF(Nonlabor!$E$27="AI",Assumptions!$D$24,Assumptions!$D$25)))),AND(Nonlabor!$H$27="Annual",MOD(C2586-IF(Nonlabor!$E$27="Core",Nonlabor!$F$27,MAX(Nonlabor!$F$27,IF(Nonlabor!$E$27="AI",Assumptions!$D$24,Assumptions!$D$25))),12)=0))),IF(Nonlabor!$I$27="Fixed",1,IF(Nonlabor!$I$27="Seats",ROUNDUP('Monthly Base'!I6,0),IF(Nonlabor!$I$27="Customers",'Monthly Base'!D6,IF(Nonlabor!$I$27="NewCustomers",'Monthly Base'!C6,IF(Nonlabor!$I$27="StorageGB",'Monthly Base'!G6,IF(Nonlabor!$I$27="LogGB",'Monthly Base'!H6,IF(Nonlabor!$I$27="RequestsM",'Monthly Base'!F6,IF(Nonlabor!$I$27="InputM",'Monthly Base'!D6*Assumptions!$D$22/1000000,IF(Nonlabor!$I$27="OutputM",'Monthly Base'!D6*Assumptions!$D$23/1000000,0))))))))),0)</f>
        <v>0</v>
      </c>
      <c r="F2586" s="10" t="n">
        <f aca="false">Nonlabor!$J$27*(1+Assumptions!$D$9)^INT((C2586-1)/12)</f>
        <v>40000</v>
      </c>
      <c r="G2586" s="10" t="n">
        <f aca="false">E2586*F2586</f>
        <v>0</v>
      </c>
      <c r="H2586" s="10" t="n">
        <f aca="false">IF(OR(Nonlabor!$L$27="Quote required",Nonlabor!$L$27="Unverified"),G2586,0)</f>
        <v>0</v>
      </c>
      <c r="I2586" s="10" t="n">
        <f aca="false">IF(Nonlabor!$E$27="Core",0,G2586)</f>
        <v>0</v>
      </c>
      <c r="J2586" s="23" t="str">
        <f aca="false">Nonlabor!$B$27</f>
        <v>CTMS</v>
      </c>
    </row>
    <row r="2587" customFormat="false" ht="15" hidden="false" customHeight="false" outlineLevel="0" collapsed="false">
      <c r="A2587" s="6" t="s">
        <v>4</v>
      </c>
      <c r="B2587" s="6" t="s">
        <v>439</v>
      </c>
      <c r="C2587" s="6" t="n">
        <v>2</v>
      </c>
      <c r="D2587" s="25" t="n">
        <f aca="false">EDATE('Start Here'!$B$6,C2587-1)</f>
        <v>46357</v>
      </c>
      <c r="E2587" s="23" t="n">
        <f aca="false">IF(AND(OR(Nonlabor!$D$27="Both",Nonlabor!$D$27='Start Here'!$B$9),IF(Nonlabor!$E$27="Core",1,IF(Nonlabor!$E$27="AI",'Start Here'!$B$7,'Start Here'!$B$8))=1,C2587&gt;=IF(Nonlabor!$E$27="Core",Nonlabor!$F$27,MAX(Nonlabor!$F$27,IF(Nonlabor!$E$27="AI",Assumptions!$D$24,Assumptions!$D$25))),C2587&lt;=Nonlabor!$G$27,OR(Nonlabor!$H$27="Monthly",AND(Nonlabor!$H$27="Once",C2587=IF(Nonlabor!$E$27="Core",Nonlabor!$F$27,MAX(Nonlabor!$F$27,IF(Nonlabor!$E$27="AI",Assumptions!$D$24,Assumptions!$D$25)))),AND(Nonlabor!$H$27="Annual",MOD(C2587-IF(Nonlabor!$E$27="Core",Nonlabor!$F$27,MAX(Nonlabor!$F$27,IF(Nonlabor!$E$27="AI",Assumptions!$D$24,Assumptions!$D$25))),12)=0))),IF(Nonlabor!$I$27="Fixed",1,IF(Nonlabor!$I$27="Seats",ROUNDUP('Monthly Base'!I7,0),IF(Nonlabor!$I$27="Customers",'Monthly Base'!D7,IF(Nonlabor!$I$27="NewCustomers",'Monthly Base'!C7,IF(Nonlabor!$I$27="StorageGB",'Monthly Base'!G7,IF(Nonlabor!$I$27="LogGB",'Monthly Base'!H7,IF(Nonlabor!$I$27="RequestsM",'Monthly Base'!F7,IF(Nonlabor!$I$27="InputM",'Monthly Base'!D7*Assumptions!$D$22/1000000,IF(Nonlabor!$I$27="OutputM",'Monthly Base'!D7*Assumptions!$D$23/1000000,0))))))))),0)</f>
        <v>0</v>
      </c>
      <c r="F2587" s="10" t="n">
        <f aca="false">Nonlabor!$J$27*(1+Assumptions!$D$9)^INT((C2587-1)/12)</f>
        <v>40000</v>
      </c>
      <c r="G2587" s="10" t="n">
        <f aca="false">E2587*F2587</f>
        <v>0</v>
      </c>
      <c r="H2587" s="10" t="n">
        <f aca="false">IF(OR(Nonlabor!$L$27="Quote required",Nonlabor!$L$27="Unverified"),G2587,0)</f>
        <v>0</v>
      </c>
      <c r="I2587" s="10" t="n">
        <f aca="false">IF(Nonlabor!$E$27="Core",0,G2587)</f>
        <v>0</v>
      </c>
      <c r="J2587" s="23" t="str">
        <f aca="false">Nonlabor!$B$27</f>
        <v>CTMS</v>
      </c>
    </row>
    <row r="2588" customFormat="false" ht="15" hidden="false" customHeight="false" outlineLevel="0" collapsed="false">
      <c r="A2588" s="6" t="s">
        <v>4</v>
      </c>
      <c r="B2588" s="6" t="s">
        <v>439</v>
      </c>
      <c r="C2588" s="6" t="n">
        <v>3</v>
      </c>
      <c r="D2588" s="25" t="n">
        <f aca="false">EDATE('Start Here'!$B$6,C2588-1)</f>
        <v>46388</v>
      </c>
      <c r="E2588" s="23" t="n">
        <f aca="false">IF(AND(OR(Nonlabor!$D$27="Both",Nonlabor!$D$27='Start Here'!$B$9),IF(Nonlabor!$E$27="Core",1,IF(Nonlabor!$E$27="AI",'Start Here'!$B$7,'Start Here'!$B$8))=1,C2588&gt;=IF(Nonlabor!$E$27="Core",Nonlabor!$F$27,MAX(Nonlabor!$F$27,IF(Nonlabor!$E$27="AI",Assumptions!$D$24,Assumptions!$D$25))),C2588&lt;=Nonlabor!$G$27,OR(Nonlabor!$H$27="Monthly",AND(Nonlabor!$H$27="Once",C2588=IF(Nonlabor!$E$27="Core",Nonlabor!$F$27,MAX(Nonlabor!$F$27,IF(Nonlabor!$E$27="AI",Assumptions!$D$24,Assumptions!$D$25)))),AND(Nonlabor!$H$27="Annual",MOD(C2588-IF(Nonlabor!$E$27="Core",Nonlabor!$F$27,MAX(Nonlabor!$F$27,IF(Nonlabor!$E$27="AI",Assumptions!$D$24,Assumptions!$D$25))),12)=0))),IF(Nonlabor!$I$27="Fixed",1,IF(Nonlabor!$I$27="Seats",ROUNDUP('Monthly Base'!I8,0),IF(Nonlabor!$I$27="Customers",'Monthly Base'!D8,IF(Nonlabor!$I$27="NewCustomers",'Monthly Base'!C8,IF(Nonlabor!$I$27="StorageGB",'Monthly Base'!G8,IF(Nonlabor!$I$27="LogGB",'Monthly Base'!H8,IF(Nonlabor!$I$27="RequestsM",'Monthly Base'!F8,IF(Nonlabor!$I$27="InputM",'Monthly Base'!D8*Assumptions!$D$22/1000000,IF(Nonlabor!$I$27="OutputM",'Monthly Base'!D8*Assumptions!$D$23/1000000,0))))))))),0)</f>
        <v>0</v>
      </c>
      <c r="F2588" s="10" t="n">
        <f aca="false">Nonlabor!$J$27*(1+Assumptions!$D$9)^INT((C2588-1)/12)</f>
        <v>40000</v>
      </c>
      <c r="G2588" s="10" t="n">
        <f aca="false">E2588*F2588</f>
        <v>0</v>
      </c>
      <c r="H2588" s="10" t="n">
        <f aca="false">IF(OR(Nonlabor!$L$27="Quote required",Nonlabor!$L$27="Unverified"),G2588,0)</f>
        <v>0</v>
      </c>
      <c r="I2588" s="10" t="n">
        <f aca="false">IF(Nonlabor!$E$27="Core",0,G2588)</f>
        <v>0</v>
      </c>
      <c r="J2588" s="23" t="str">
        <f aca="false">Nonlabor!$B$27</f>
        <v>CTMS</v>
      </c>
    </row>
    <row r="2589" customFormat="false" ht="15" hidden="false" customHeight="false" outlineLevel="0" collapsed="false">
      <c r="A2589" s="6" t="s">
        <v>4</v>
      </c>
      <c r="B2589" s="6" t="s">
        <v>439</v>
      </c>
      <c r="C2589" s="6" t="n">
        <v>4</v>
      </c>
      <c r="D2589" s="25" t="n">
        <f aca="false">EDATE('Start Here'!$B$6,C2589-1)</f>
        <v>46419</v>
      </c>
      <c r="E2589" s="23" t="n">
        <f aca="false">IF(AND(OR(Nonlabor!$D$27="Both",Nonlabor!$D$27='Start Here'!$B$9),IF(Nonlabor!$E$27="Core",1,IF(Nonlabor!$E$27="AI",'Start Here'!$B$7,'Start Here'!$B$8))=1,C2589&gt;=IF(Nonlabor!$E$27="Core",Nonlabor!$F$27,MAX(Nonlabor!$F$27,IF(Nonlabor!$E$27="AI",Assumptions!$D$24,Assumptions!$D$25))),C2589&lt;=Nonlabor!$G$27,OR(Nonlabor!$H$27="Monthly",AND(Nonlabor!$H$27="Once",C2589=IF(Nonlabor!$E$27="Core",Nonlabor!$F$27,MAX(Nonlabor!$F$27,IF(Nonlabor!$E$27="AI",Assumptions!$D$24,Assumptions!$D$25)))),AND(Nonlabor!$H$27="Annual",MOD(C2589-IF(Nonlabor!$E$27="Core",Nonlabor!$F$27,MAX(Nonlabor!$F$27,IF(Nonlabor!$E$27="AI",Assumptions!$D$24,Assumptions!$D$25))),12)=0))),IF(Nonlabor!$I$27="Fixed",1,IF(Nonlabor!$I$27="Seats",ROUNDUP('Monthly Base'!I9,0),IF(Nonlabor!$I$27="Customers",'Monthly Base'!D9,IF(Nonlabor!$I$27="NewCustomers",'Monthly Base'!C9,IF(Nonlabor!$I$27="StorageGB",'Monthly Base'!G9,IF(Nonlabor!$I$27="LogGB",'Monthly Base'!H9,IF(Nonlabor!$I$27="RequestsM",'Monthly Base'!F9,IF(Nonlabor!$I$27="InputM",'Monthly Base'!D9*Assumptions!$D$22/1000000,IF(Nonlabor!$I$27="OutputM",'Monthly Base'!D9*Assumptions!$D$23/1000000,0))))))))),0)</f>
        <v>0</v>
      </c>
      <c r="F2589" s="10" t="n">
        <f aca="false">Nonlabor!$J$27*(1+Assumptions!$D$9)^INT((C2589-1)/12)</f>
        <v>40000</v>
      </c>
      <c r="G2589" s="10" t="n">
        <f aca="false">E2589*F2589</f>
        <v>0</v>
      </c>
      <c r="H2589" s="10" t="n">
        <f aca="false">IF(OR(Nonlabor!$L$27="Quote required",Nonlabor!$L$27="Unverified"),G2589,0)</f>
        <v>0</v>
      </c>
      <c r="I2589" s="10" t="n">
        <f aca="false">IF(Nonlabor!$E$27="Core",0,G2589)</f>
        <v>0</v>
      </c>
      <c r="J2589" s="23" t="str">
        <f aca="false">Nonlabor!$B$27</f>
        <v>CTMS</v>
      </c>
    </row>
    <row r="2590" customFormat="false" ht="15" hidden="false" customHeight="false" outlineLevel="0" collapsed="false">
      <c r="A2590" s="6" t="s">
        <v>4</v>
      </c>
      <c r="B2590" s="6" t="s">
        <v>439</v>
      </c>
      <c r="C2590" s="6" t="n">
        <v>5</v>
      </c>
      <c r="D2590" s="25" t="n">
        <f aca="false">EDATE('Start Here'!$B$6,C2590-1)</f>
        <v>46447</v>
      </c>
      <c r="E2590" s="23" t="n">
        <f aca="false">IF(AND(OR(Nonlabor!$D$27="Both",Nonlabor!$D$27='Start Here'!$B$9),IF(Nonlabor!$E$27="Core",1,IF(Nonlabor!$E$27="AI",'Start Here'!$B$7,'Start Here'!$B$8))=1,C2590&gt;=IF(Nonlabor!$E$27="Core",Nonlabor!$F$27,MAX(Nonlabor!$F$27,IF(Nonlabor!$E$27="AI",Assumptions!$D$24,Assumptions!$D$25))),C2590&lt;=Nonlabor!$G$27,OR(Nonlabor!$H$27="Monthly",AND(Nonlabor!$H$27="Once",C2590=IF(Nonlabor!$E$27="Core",Nonlabor!$F$27,MAX(Nonlabor!$F$27,IF(Nonlabor!$E$27="AI",Assumptions!$D$24,Assumptions!$D$25)))),AND(Nonlabor!$H$27="Annual",MOD(C2590-IF(Nonlabor!$E$27="Core",Nonlabor!$F$27,MAX(Nonlabor!$F$27,IF(Nonlabor!$E$27="AI",Assumptions!$D$24,Assumptions!$D$25))),12)=0))),IF(Nonlabor!$I$27="Fixed",1,IF(Nonlabor!$I$27="Seats",ROUNDUP('Monthly Base'!I10,0),IF(Nonlabor!$I$27="Customers",'Monthly Base'!D10,IF(Nonlabor!$I$27="NewCustomers",'Monthly Base'!C10,IF(Nonlabor!$I$27="StorageGB",'Monthly Base'!G10,IF(Nonlabor!$I$27="LogGB",'Monthly Base'!H10,IF(Nonlabor!$I$27="RequestsM",'Monthly Base'!F10,IF(Nonlabor!$I$27="InputM",'Monthly Base'!D10*Assumptions!$D$22/1000000,IF(Nonlabor!$I$27="OutputM",'Monthly Base'!D10*Assumptions!$D$23/1000000,0))))))))),0)</f>
        <v>0</v>
      </c>
      <c r="F2590" s="10" t="n">
        <f aca="false">Nonlabor!$J$27*(1+Assumptions!$D$9)^INT((C2590-1)/12)</f>
        <v>40000</v>
      </c>
      <c r="G2590" s="10" t="n">
        <f aca="false">E2590*F2590</f>
        <v>0</v>
      </c>
      <c r="H2590" s="10" t="n">
        <f aca="false">IF(OR(Nonlabor!$L$27="Quote required",Nonlabor!$L$27="Unverified"),G2590,0)</f>
        <v>0</v>
      </c>
      <c r="I2590" s="10" t="n">
        <f aca="false">IF(Nonlabor!$E$27="Core",0,G2590)</f>
        <v>0</v>
      </c>
      <c r="J2590" s="23" t="str">
        <f aca="false">Nonlabor!$B$27</f>
        <v>CTMS</v>
      </c>
    </row>
    <row r="2591" customFormat="false" ht="15" hidden="false" customHeight="false" outlineLevel="0" collapsed="false">
      <c r="A2591" s="6" t="s">
        <v>4</v>
      </c>
      <c r="B2591" s="6" t="s">
        <v>439</v>
      </c>
      <c r="C2591" s="6" t="n">
        <v>6</v>
      </c>
      <c r="D2591" s="25" t="n">
        <f aca="false">EDATE('Start Here'!$B$6,C2591-1)</f>
        <v>46478</v>
      </c>
      <c r="E2591" s="23" t="n">
        <f aca="false">IF(AND(OR(Nonlabor!$D$27="Both",Nonlabor!$D$27='Start Here'!$B$9),IF(Nonlabor!$E$27="Core",1,IF(Nonlabor!$E$27="AI",'Start Here'!$B$7,'Start Here'!$B$8))=1,C2591&gt;=IF(Nonlabor!$E$27="Core",Nonlabor!$F$27,MAX(Nonlabor!$F$27,IF(Nonlabor!$E$27="AI",Assumptions!$D$24,Assumptions!$D$25))),C2591&lt;=Nonlabor!$G$27,OR(Nonlabor!$H$27="Monthly",AND(Nonlabor!$H$27="Once",C2591=IF(Nonlabor!$E$27="Core",Nonlabor!$F$27,MAX(Nonlabor!$F$27,IF(Nonlabor!$E$27="AI",Assumptions!$D$24,Assumptions!$D$25)))),AND(Nonlabor!$H$27="Annual",MOD(C2591-IF(Nonlabor!$E$27="Core",Nonlabor!$F$27,MAX(Nonlabor!$F$27,IF(Nonlabor!$E$27="AI",Assumptions!$D$24,Assumptions!$D$25))),12)=0))),IF(Nonlabor!$I$27="Fixed",1,IF(Nonlabor!$I$27="Seats",ROUNDUP('Monthly Base'!I11,0),IF(Nonlabor!$I$27="Customers",'Monthly Base'!D11,IF(Nonlabor!$I$27="NewCustomers",'Monthly Base'!C11,IF(Nonlabor!$I$27="StorageGB",'Monthly Base'!G11,IF(Nonlabor!$I$27="LogGB",'Monthly Base'!H11,IF(Nonlabor!$I$27="RequestsM",'Monthly Base'!F11,IF(Nonlabor!$I$27="InputM",'Monthly Base'!D11*Assumptions!$D$22/1000000,IF(Nonlabor!$I$27="OutputM",'Monthly Base'!D11*Assumptions!$D$23/1000000,0))))))))),0)</f>
        <v>0</v>
      </c>
      <c r="F2591" s="10" t="n">
        <f aca="false">Nonlabor!$J$27*(1+Assumptions!$D$9)^INT((C2591-1)/12)</f>
        <v>40000</v>
      </c>
      <c r="G2591" s="10" t="n">
        <f aca="false">E2591*F2591</f>
        <v>0</v>
      </c>
      <c r="H2591" s="10" t="n">
        <f aca="false">IF(OR(Nonlabor!$L$27="Quote required",Nonlabor!$L$27="Unverified"),G2591,0)</f>
        <v>0</v>
      </c>
      <c r="I2591" s="10" t="n">
        <f aca="false">IF(Nonlabor!$E$27="Core",0,G2591)</f>
        <v>0</v>
      </c>
      <c r="J2591" s="23" t="str">
        <f aca="false">Nonlabor!$B$27</f>
        <v>CTMS</v>
      </c>
    </row>
    <row r="2592" customFormat="false" ht="15" hidden="false" customHeight="false" outlineLevel="0" collapsed="false">
      <c r="A2592" s="6" t="s">
        <v>4</v>
      </c>
      <c r="B2592" s="6" t="s">
        <v>439</v>
      </c>
      <c r="C2592" s="6" t="n">
        <v>7</v>
      </c>
      <c r="D2592" s="25" t="n">
        <f aca="false">EDATE('Start Here'!$B$6,C2592-1)</f>
        <v>46508</v>
      </c>
      <c r="E2592" s="23" t="n">
        <f aca="false">IF(AND(OR(Nonlabor!$D$27="Both",Nonlabor!$D$27='Start Here'!$B$9),IF(Nonlabor!$E$27="Core",1,IF(Nonlabor!$E$27="AI",'Start Here'!$B$7,'Start Here'!$B$8))=1,C2592&gt;=IF(Nonlabor!$E$27="Core",Nonlabor!$F$27,MAX(Nonlabor!$F$27,IF(Nonlabor!$E$27="AI",Assumptions!$D$24,Assumptions!$D$25))),C2592&lt;=Nonlabor!$G$27,OR(Nonlabor!$H$27="Monthly",AND(Nonlabor!$H$27="Once",C2592=IF(Nonlabor!$E$27="Core",Nonlabor!$F$27,MAX(Nonlabor!$F$27,IF(Nonlabor!$E$27="AI",Assumptions!$D$24,Assumptions!$D$25)))),AND(Nonlabor!$H$27="Annual",MOD(C2592-IF(Nonlabor!$E$27="Core",Nonlabor!$F$27,MAX(Nonlabor!$F$27,IF(Nonlabor!$E$27="AI",Assumptions!$D$24,Assumptions!$D$25))),12)=0))),IF(Nonlabor!$I$27="Fixed",1,IF(Nonlabor!$I$27="Seats",ROUNDUP('Monthly Base'!I12,0),IF(Nonlabor!$I$27="Customers",'Monthly Base'!D12,IF(Nonlabor!$I$27="NewCustomers",'Monthly Base'!C12,IF(Nonlabor!$I$27="StorageGB",'Monthly Base'!G12,IF(Nonlabor!$I$27="LogGB",'Monthly Base'!H12,IF(Nonlabor!$I$27="RequestsM",'Monthly Base'!F12,IF(Nonlabor!$I$27="InputM",'Monthly Base'!D12*Assumptions!$D$22/1000000,IF(Nonlabor!$I$27="OutputM",'Monthly Base'!D12*Assumptions!$D$23/1000000,0))))))))),0)</f>
        <v>0</v>
      </c>
      <c r="F2592" s="10" t="n">
        <f aca="false">Nonlabor!$J$27*(1+Assumptions!$D$9)^INT((C2592-1)/12)</f>
        <v>40000</v>
      </c>
      <c r="G2592" s="10" t="n">
        <f aca="false">E2592*F2592</f>
        <v>0</v>
      </c>
      <c r="H2592" s="10" t="n">
        <f aca="false">IF(OR(Nonlabor!$L$27="Quote required",Nonlabor!$L$27="Unverified"),G2592,0)</f>
        <v>0</v>
      </c>
      <c r="I2592" s="10" t="n">
        <f aca="false">IF(Nonlabor!$E$27="Core",0,G2592)</f>
        <v>0</v>
      </c>
      <c r="J2592" s="23" t="str">
        <f aca="false">Nonlabor!$B$27</f>
        <v>CTMS</v>
      </c>
    </row>
    <row r="2593" customFormat="false" ht="15" hidden="false" customHeight="false" outlineLevel="0" collapsed="false">
      <c r="A2593" s="6" t="s">
        <v>4</v>
      </c>
      <c r="B2593" s="6" t="s">
        <v>439</v>
      </c>
      <c r="C2593" s="6" t="n">
        <v>8</v>
      </c>
      <c r="D2593" s="25" t="n">
        <f aca="false">EDATE('Start Here'!$B$6,C2593-1)</f>
        <v>46539</v>
      </c>
      <c r="E2593" s="23" t="n">
        <f aca="false">IF(AND(OR(Nonlabor!$D$27="Both",Nonlabor!$D$27='Start Here'!$B$9),IF(Nonlabor!$E$27="Core",1,IF(Nonlabor!$E$27="AI",'Start Here'!$B$7,'Start Here'!$B$8))=1,C2593&gt;=IF(Nonlabor!$E$27="Core",Nonlabor!$F$27,MAX(Nonlabor!$F$27,IF(Nonlabor!$E$27="AI",Assumptions!$D$24,Assumptions!$D$25))),C2593&lt;=Nonlabor!$G$27,OR(Nonlabor!$H$27="Monthly",AND(Nonlabor!$H$27="Once",C2593=IF(Nonlabor!$E$27="Core",Nonlabor!$F$27,MAX(Nonlabor!$F$27,IF(Nonlabor!$E$27="AI",Assumptions!$D$24,Assumptions!$D$25)))),AND(Nonlabor!$H$27="Annual",MOD(C2593-IF(Nonlabor!$E$27="Core",Nonlabor!$F$27,MAX(Nonlabor!$F$27,IF(Nonlabor!$E$27="AI",Assumptions!$D$24,Assumptions!$D$25))),12)=0))),IF(Nonlabor!$I$27="Fixed",1,IF(Nonlabor!$I$27="Seats",ROUNDUP('Monthly Base'!I13,0),IF(Nonlabor!$I$27="Customers",'Monthly Base'!D13,IF(Nonlabor!$I$27="NewCustomers",'Monthly Base'!C13,IF(Nonlabor!$I$27="StorageGB",'Monthly Base'!G13,IF(Nonlabor!$I$27="LogGB",'Monthly Base'!H13,IF(Nonlabor!$I$27="RequestsM",'Monthly Base'!F13,IF(Nonlabor!$I$27="InputM",'Monthly Base'!D13*Assumptions!$D$22/1000000,IF(Nonlabor!$I$27="OutputM",'Monthly Base'!D13*Assumptions!$D$23/1000000,0))))))))),0)</f>
        <v>0</v>
      </c>
      <c r="F2593" s="10" t="n">
        <f aca="false">Nonlabor!$J$27*(1+Assumptions!$D$9)^INT((C2593-1)/12)</f>
        <v>40000</v>
      </c>
      <c r="G2593" s="10" t="n">
        <f aca="false">E2593*F2593</f>
        <v>0</v>
      </c>
      <c r="H2593" s="10" t="n">
        <f aca="false">IF(OR(Nonlabor!$L$27="Quote required",Nonlabor!$L$27="Unverified"),G2593,0)</f>
        <v>0</v>
      </c>
      <c r="I2593" s="10" t="n">
        <f aca="false">IF(Nonlabor!$E$27="Core",0,G2593)</f>
        <v>0</v>
      </c>
      <c r="J2593" s="23" t="str">
        <f aca="false">Nonlabor!$B$27</f>
        <v>CTMS</v>
      </c>
    </row>
    <row r="2594" customFormat="false" ht="15" hidden="false" customHeight="false" outlineLevel="0" collapsed="false">
      <c r="A2594" s="6" t="s">
        <v>4</v>
      </c>
      <c r="B2594" s="6" t="s">
        <v>439</v>
      </c>
      <c r="C2594" s="6" t="n">
        <v>9</v>
      </c>
      <c r="D2594" s="25" t="n">
        <f aca="false">EDATE('Start Here'!$B$6,C2594-1)</f>
        <v>46569</v>
      </c>
      <c r="E2594" s="23" t="n">
        <f aca="false">IF(AND(OR(Nonlabor!$D$27="Both",Nonlabor!$D$27='Start Here'!$B$9),IF(Nonlabor!$E$27="Core",1,IF(Nonlabor!$E$27="AI",'Start Here'!$B$7,'Start Here'!$B$8))=1,C2594&gt;=IF(Nonlabor!$E$27="Core",Nonlabor!$F$27,MAX(Nonlabor!$F$27,IF(Nonlabor!$E$27="AI",Assumptions!$D$24,Assumptions!$D$25))),C2594&lt;=Nonlabor!$G$27,OR(Nonlabor!$H$27="Monthly",AND(Nonlabor!$H$27="Once",C2594=IF(Nonlabor!$E$27="Core",Nonlabor!$F$27,MAX(Nonlabor!$F$27,IF(Nonlabor!$E$27="AI",Assumptions!$D$24,Assumptions!$D$25)))),AND(Nonlabor!$H$27="Annual",MOD(C2594-IF(Nonlabor!$E$27="Core",Nonlabor!$F$27,MAX(Nonlabor!$F$27,IF(Nonlabor!$E$27="AI",Assumptions!$D$24,Assumptions!$D$25))),12)=0))),IF(Nonlabor!$I$27="Fixed",1,IF(Nonlabor!$I$27="Seats",ROUNDUP('Monthly Base'!I14,0),IF(Nonlabor!$I$27="Customers",'Monthly Base'!D14,IF(Nonlabor!$I$27="NewCustomers",'Monthly Base'!C14,IF(Nonlabor!$I$27="StorageGB",'Monthly Base'!G14,IF(Nonlabor!$I$27="LogGB",'Monthly Base'!H14,IF(Nonlabor!$I$27="RequestsM",'Monthly Base'!F14,IF(Nonlabor!$I$27="InputM",'Monthly Base'!D14*Assumptions!$D$22/1000000,IF(Nonlabor!$I$27="OutputM",'Monthly Base'!D14*Assumptions!$D$23/1000000,0))))))))),0)</f>
        <v>0</v>
      </c>
      <c r="F2594" s="10" t="n">
        <f aca="false">Nonlabor!$J$27*(1+Assumptions!$D$9)^INT((C2594-1)/12)</f>
        <v>40000</v>
      </c>
      <c r="G2594" s="10" t="n">
        <f aca="false">E2594*F2594</f>
        <v>0</v>
      </c>
      <c r="H2594" s="10" t="n">
        <f aca="false">IF(OR(Nonlabor!$L$27="Quote required",Nonlabor!$L$27="Unverified"),G2594,0)</f>
        <v>0</v>
      </c>
      <c r="I2594" s="10" t="n">
        <f aca="false">IF(Nonlabor!$E$27="Core",0,G2594)</f>
        <v>0</v>
      </c>
      <c r="J2594" s="23" t="str">
        <f aca="false">Nonlabor!$B$27</f>
        <v>CTMS</v>
      </c>
    </row>
    <row r="2595" customFormat="false" ht="15" hidden="false" customHeight="false" outlineLevel="0" collapsed="false">
      <c r="A2595" s="6" t="s">
        <v>4</v>
      </c>
      <c r="B2595" s="6" t="s">
        <v>439</v>
      </c>
      <c r="C2595" s="6" t="n">
        <v>10</v>
      </c>
      <c r="D2595" s="25" t="n">
        <f aca="false">EDATE('Start Here'!$B$6,C2595-1)</f>
        <v>46600</v>
      </c>
      <c r="E2595" s="23" t="n">
        <f aca="false">IF(AND(OR(Nonlabor!$D$27="Both",Nonlabor!$D$27='Start Here'!$B$9),IF(Nonlabor!$E$27="Core",1,IF(Nonlabor!$E$27="AI",'Start Here'!$B$7,'Start Here'!$B$8))=1,C2595&gt;=IF(Nonlabor!$E$27="Core",Nonlabor!$F$27,MAX(Nonlabor!$F$27,IF(Nonlabor!$E$27="AI",Assumptions!$D$24,Assumptions!$D$25))),C2595&lt;=Nonlabor!$G$27,OR(Nonlabor!$H$27="Monthly",AND(Nonlabor!$H$27="Once",C2595=IF(Nonlabor!$E$27="Core",Nonlabor!$F$27,MAX(Nonlabor!$F$27,IF(Nonlabor!$E$27="AI",Assumptions!$D$24,Assumptions!$D$25)))),AND(Nonlabor!$H$27="Annual",MOD(C2595-IF(Nonlabor!$E$27="Core",Nonlabor!$F$27,MAX(Nonlabor!$F$27,IF(Nonlabor!$E$27="AI",Assumptions!$D$24,Assumptions!$D$25))),12)=0))),IF(Nonlabor!$I$27="Fixed",1,IF(Nonlabor!$I$27="Seats",ROUNDUP('Monthly Base'!I15,0),IF(Nonlabor!$I$27="Customers",'Monthly Base'!D15,IF(Nonlabor!$I$27="NewCustomers",'Monthly Base'!C15,IF(Nonlabor!$I$27="StorageGB",'Monthly Base'!G15,IF(Nonlabor!$I$27="LogGB",'Monthly Base'!H15,IF(Nonlabor!$I$27="RequestsM",'Monthly Base'!F15,IF(Nonlabor!$I$27="InputM",'Monthly Base'!D15*Assumptions!$D$22/1000000,IF(Nonlabor!$I$27="OutputM",'Monthly Base'!D15*Assumptions!$D$23/1000000,0))))))))),0)</f>
        <v>0</v>
      </c>
      <c r="F2595" s="10" t="n">
        <f aca="false">Nonlabor!$J$27*(1+Assumptions!$D$9)^INT((C2595-1)/12)</f>
        <v>40000</v>
      </c>
      <c r="G2595" s="10" t="n">
        <f aca="false">E2595*F2595</f>
        <v>0</v>
      </c>
      <c r="H2595" s="10" t="n">
        <f aca="false">IF(OR(Nonlabor!$L$27="Quote required",Nonlabor!$L$27="Unverified"),G2595,0)</f>
        <v>0</v>
      </c>
      <c r="I2595" s="10" t="n">
        <f aca="false">IF(Nonlabor!$E$27="Core",0,G2595)</f>
        <v>0</v>
      </c>
      <c r="J2595" s="23" t="str">
        <f aca="false">Nonlabor!$B$27</f>
        <v>CTMS</v>
      </c>
    </row>
    <row r="2596" customFormat="false" ht="15" hidden="false" customHeight="false" outlineLevel="0" collapsed="false">
      <c r="A2596" s="6" t="s">
        <v>4</v>
      </c>
      <c r="B2596" s="6" t="s">
        <v>439</v>
      </c>
      <c r="C2596" s="6" t="n">
        <v>11</v>
      </c>
      <c r="D2596" s="25" t="n">
        <f aca="false">EDATE('Start Here'!$B$6,C2596-1)</f>
        <v>46631</v>
      </c>
      <c r="E2596" s="23" t="n">
        <f aca="false">IF(AND(OR(Nonlabor!$D$27="Both",Nonlabor!$D$27='Start Here'!$B$9),IF(Nonlabor!$E$27="Core",1,IF(Nonlabor!$E$27="AI",'Start Here'!$B$7,'Start Here'!$B$8))=1,C2596&gt;=IF(Nonlabor!$E$27="Core",Nonlabor!$F$27,MAX(Nonlabor!$F$27,IF(Nonlabor!$E$27="AI",Assumptions!$D$24,Assumptions!$D$25))),C2596&lt;=Nonlabor!$G$27,OR(Nonlabor!$H$27="Monthly",AND(Nonlabor!$H$27="Once",C2596=IF(Nonlabor!$E$27="Core",Nonlabor!$F$27,MAX(Nonlabor!$F$27,IF(Nonlabor!$E$27="AI",Assumptions!$D$24,Assumptions!$D$25)))),AND(Nonlabor!$H$27="Annual",MOD(C2596-IF(Nonlabor!$E$27="Core",Nonlabor!$F$27,MAX(Nonlabor!$F$27,IF(Nonlabor!$E$27="AI",Assumptions!$D$24,Assumptions!$D$25))),12)=0))),IF(Nonlabor!$I$27="Fixed",1,IF(Nonlabor!$I$27="Seats",ROUNDUP('Monthly Base'!I16,0),IF(Nonlabor!$I$27="Customers",'Monthly Base'!D16,IF(Nonlabor!$I$27="NewCustomers",'Monthly Base'!C16,IF(Nonlabor!$I$27="StorageGB",'Monthly Base'!G16,IF(Nonlabor!$I$27="LogGB",'Monthly Base'!H16,IF(Nonlabor!$I$27="RequestsM",'Monthly Base'!F16,IF(Nonlabor!$I$27="InputM",'Monthly Base'!D16*Assumptions!$D$22/1000000,IF(Nonlabor!$I$27="OutputM",'Monthly Base'!D16*Assumptions!$D$23/1000000,0))))))))),0)</f>
        <v>0</v>
      </c>
      <c r="F2596" s="10" t="n">
        <f aca="false">Nonlabor!$J$27*(1+Assumptions!$D$9)^INT((C2596-1)/12)</f>
        <v>40000</v>
      </c>
      <c r="G2596" s="10" t="n">
        <f aca="false">E2596*F2596</f>
        <v>0</v>
      </c>
      <c r="H2596" s="10" t="n">
        <f aca="false">IF(OR(Nonlabor!$L$27="Quote required",Nonlabor!$L$27="Unverified"),G2596,0)</f>
        <v>0</v>
      </c>
      <c r="I2596" s="10" t="n">
        <f aca="false">IF(Nonlabor!$E$27="Core",0,G2596)</f>
        <v>0</v>
      </c>
      <c r="J2596" s="23" t="str">
        <f aca="false">Nonlabor!$B$27</f>
        <v>CTMS</v>
      </c>
    </row>
    <row r="2597" customFormat="false" ht="15" hidden="false" customHeight="false" outlineLevel="0" collapsed="false">
      <c r="A2597" s="6" t="s">
        <v>4</v>
      </c>
      <c r="B2597" s="6" t="s">
        <v>439</v>
      </c>
      <c r="C2597" s="6" t="n">
        <v>12</v>
      </c>
      <c r="D2597" s="25" t="n">
        <f aca="false">EDATE('Start Here'!$B$6,C2597-1)</f>
        <v>46661</v>
      </c>
      <c r="E2597" s="23" t="n">
        <f aca="false">IF(AND(OR(Nonlabor!$D$27="Both",Nonlabor!$D$27='Start Here'!$B$9),IF(Nonlabor!$E$27="Core",1,IF(Nonlabor!$E$27="AI",'Start Here'!$B$7,'Start Here'!$B$8))=1,C2597&gt;=IF(Nonlabor!$E$27="Core",Nonlabor!$F$27,MAX(Nonlabor!$F$27,IF(Nonlabor!$E$27="AI",Assumptions!$D$24,Assumptions!$D$25))),C2597&lt;=Nonlabor!$G$27,OR(Nonlabor!$H$27="Monthly",AND(Nonlabor!$H$27="Once",C2597=IF(Nonlabor!$E$27="Core",Nonlabor!$F$27,MAX(Nonlabor!$F$27,IF(Nonlabor!$E$27="AI",Assumptions!$D$24,Assumptions!$D$25)))),AND(Nonlabor!$H$27="Annual",MOD(C2597-IF(Nonlabor!$E$27="Core",Nonlabor!$F$27,MAX(Nonlabor!$F$27,IF(Nonlabor!$E$27="AI",Assumptions!$D$24,Assumptions!$D$25))),12)=0))),IF(Nonlabor!$I$27="Fixed",1,IF(Nonlabor!$I$27="Seats",ROUNDUP('Monthly Base'!I17,0),IF(Nonlabor!$I$27="Customers",'Monthly Base'!D17,IF(Nonlabor!$I$27="NewCustomers",'Monthly Base'!C17,IF(Nonlabor!$I$27="StorageGB",'Monthly Base'!G17,IF(Nonlabor!$I$27="LogGB",'Monthly Base'!H17,IF(Nonlabor!$I$27="RequestsM",'Monthly Base'!F17,IF(Nonlabor!$I$27="InputM",'Monthly Base'!D17*Assumptions!$D$22/1000000,IF(Nonlabor!$I$27="OutputM",'Monthly Base'!D17*Assumptions!$D$23/1000000,0))))))))),0)</f>
        <v>0</v>
      </c>
      <c r="F2597" s="10" t="n">
        <f aca="false">Nonlabor!$J$27*(1+Assumptions!$D$9)^INT((C2597-1)/12)</f>
        <v>40000</v>
      </c>
      <c r="G2597" s="10" t="n">
        <f aca="false">E2597*F2597</f>
        <v>0</v>
      </c>
      <c r="H2597" s="10" t="n">
        <f aca="false">IF(OR(Nonlabor!$L$27="Quote required",Nonlabor!$L$27="Unverified"),G2597,0)</f>
        <v>0</v>
      </c>
      <c r="I2597" s="10" t="n">
        <f aca="false">IF(Nonlabor!$E$27="Core",0,G2597)</f>
        <v>0</v>
      </c>
      <c r="J2597" s="23" t="str">
        <f aca="false">Nonlabor!$B$27</f>
        <v>CTMS</v>
      </c>
    </row>
    <row r="2598" customFormat="false" ht="15" hidden="false" customHeight="false" outlineLevel="0" collapsed="false">
      <c r="A2598" s="6" t="s">
        <v>4</v>
      </c>
      <c r="B2598" s="6" t="s">
        <v>439</v>
      </c>
      <c r="C2598" s="6" t="n">
        <v>13</v>
      </c>
      <c r="D2598" s="25" t="n">
        <f aca="false">EDATE('Start Here'!$B$6,C2598-1)</f>
        <v>46692</v>
      </c>
      <c r="E2598" s="23" t="n">
        <f aca="false">IF(AND(OR(Nonlabor!$D$27="Both",Nonlabor!$D$27='Start Here'!$B$9),IF(Nonlabor!$E$27="Core",1,IF(Nonlabor!$E$27="AI",'Start Here'!$B$7,'Start Here'!$B$8))=1,C2598&gt;=IF(Nonlabor!$E$27="Core",Nonlabor!$F$27,MAX(Nonlabor!$F$27,IF(Nonlabor!$E$27="AI",Assumptions!$D$24,Assumptions!$D$25))),C2598&lt;=Nonlabor!$G$27,OR(Nonlabor!$H$27="Monthly",AND(Nonlabor!$H$27="Once",C2598=IF(Nonlabor!$E$27="Core",Nonlabor!$F$27,MAX(Nonlabor!$F$27,IF(Nonlabor!$E$27="AI",Assumptions!$D$24,Assumptions!$D$25)))),AND(Nonlabor!$H$27="Annual",MOD(C2598-IF(Nonlabor!$E$27="Core",Nonlabor!$F$27,MAX(Nonlabor!$F$27,IF(Nonlabor!$E$27="AI",Assumptions!$D$24,Assumptions!$D$25))),12)=0))),IF(Nonlabor!$I$27="Fixed",1,IF(Nonlabor!$I$27="Seats",ROUNDUP('Monthly Base'!I18,0),IF(Nonlabor!$I$27="Customers",'Monthly Base'!D18,IF(Nonlabor!$I$27="NewCustomers",'Monthly Base'!C18,IF(Nonlabor!$I$27="StorageGB",'Monthly Base'!G18,IF(Nonlabor!$I$27="LogGB",'Monthly Base'!H18,IF(Nonlabor!$I$27="RequestsM",'Monthly Base'!F18,IF(Nonlabor!$I$27="InputM",'Monthly Base'!D18*Assumptions!$D$22/1000000,IF(Nonlabor!$I$27="OutputM",'Monthly Base'!D18*Assumptions!$D$23/1000000,0))))))))),0)</f>
        <v>0</v>
      </c>
      <c r="F2598" s="10" t="n">
        <f aca="false">Nonlabor!$J$27*(1+Assumptions!$D$9)^INT((C2598-1)/12)</f>
        <v>41200</v>
      </c>
      <c r="G2598" s="10" t="n">
        <f aca="false">E2598*F2598</f>
        <v>0</v>
      </c>
      <c r="H2598" s="10" t="n">
        <f aca="false">IF(OR(Nonlabor!$L$27="Quote required",Nonlabor!$L$27="Unverified"),G2598,0)</f>
        <v>0</v>
      </c>
      <c r="I2598" s="10" t="n">
        <f aca="false">IF(Nonlabor!$E$27="Core",0,G2598)</f>
        <v>0</v>
      </c>
      <c r="J2598" s="23" t="str">
        <f aca="false">Nonlabor!$B$27</f>
        <v>CTMS</v>
      </c>
    </row>
    <row r="2599" customFormat="false" ht="15" hidden="false" customHeight="false" outlineLevel="0" collapsed="false">
      <c r="A2599" s="6" t="s">
        <v>4</v>
      </c>
      <c r="B2599" s="6" t="s">
        <v>439</v>
      </c>
      <c r="C2599" s="6" t="n">
        <v>14</v>
      </c>
      <c r="D2599" s="25" t="n">
        <f aca="false">EDATE('Start Here'!$B$6,C2599-1)</f>
        <v>46722</v>
      </c>
      <c r="E2599" s="23" t="n">
        <f aca="false">IF(AND(OR(Nonlabor!$D$27="Both",Nonlabor!$D$27='Start Here'!$B$9),IF(Nonlabor!$E$27="Core",1,IF(Nonlabor!$E$27="AI",'Start Here'!$B$7,'Start Here'!$B$8))=1,C2599&gt;=IF(Nonlabor!$E$27="Core",Nonlabor!$F$27,MAX(Nonlabor!$F$27,IF(Nonlabor!$E$27="AI",Assumptions!$D$24,Assumptions!$D$25))),C2599&lt;=Nonlabor!$G$27,OR(Nonlabor!$H$27="Monthly",AND(Nonlabor!$H$27="Once",C2599=IF(Nonlabor!$E$27="Core",Nonlabor!$F$27,MAX(Nonlabor!$F$27,IF(Nonlabor!$E$27="AI",Assumptions!$D$24,Assumptions!$D$25)))),AND(Nonlabor!$H$27="Annual",MOD(C2599-IF(Nonlabor!$E$27="Core",Nonlabor!$F$27,MAX(Nonlabor!$F$27,IF(Nonlabor!$E$27="AI",Assumptions!$D$24,Assumptions!$D$25))),12)=0))),IF(Nonlabor!$I$27="Fixed",1,IF(Nonlabor!$I$27="Seats",ROUNDUP('Monthly Base'!I19,0),IF(Nonlabor!$I$27="Customers",'Monthly Base'!D19,IF(Nonlabor!$I$27="NewCustomers",'Monthly Base'!C19,IF(Nonlabor!$I$27="StorageGB",'Monthly Base'!G19,IF(Nonlabor!$I$27="LogGB",'Monthly Base'!H19,IF(Nonlabor!$I$27="RequestsM",'Monthly Base'!F19,IF(Nonlabor!$I$27="InputM",'Monthly Base'!D19*Assumptions!$D$22/1000000,IF(Nonlabor!$I$27="OutputM",'Monthly Base'!D19*Assumptions!$D$23/1000000,0))))))))),0)</f>
        <v>0</v>
      </c>
      <c r="F2599" s="10" t="n">
        <f aca="false">Nonlabor!$J$27*(1+Assumptions!$D$9)^INT((C2599-1)/12)</f>
        <v>41200</v>
      </c>
      <c r="G2599" s="10" t="n">
        <f aca="false">E2599*F2599</f>
        <v>0</v>
      </c>
      <c r="H2599" s="10" t="n">
        <f aca="false">IF(OR(Nonlabor!$L$27="Quote required",Nonlabor!$L$27="Unverified"),G2599,0)</f>
        <v>0</v>
      </c>
      <c r="I2599" s="10" t="n">
        <f aca="false">IF(Nonlabor!$E$27="Core",0,G2599)</f>
        <v>0</v>
      </c>
      <c r="J2599" s="23" t="str">
        <f aca="false">Nonlabor!$B$27</f>
        <v>CTMS</v>
      </c>
    </row>
    <row r="2600" customFormat="false" ht="15" hidden="false" customHeight="false" outlineLevel="0" collapsed="false">
      <c r="A2600" s="6" t="s">
        <v>4</v>
      </c>
      <c r="B2600" s="6" t="s">
        <v>439</v>
      </c>
      <c r="C2600" s="6" t="n">
        <v>15</v>
      </c>
      <c r="D2600" s="25" t="n">
        <f aca="false">EDATE('Start Here'!$B$6,C2600-1)</f>
        <v>46753</v>
      </c>
      <c r="E2600" s="23" t="n">
        <f aca="false">IF(AND(OR(Nonlabor!$D$27="Both",Nonlabor!$D$27='Start Here'!$B$9),IF(Nonlabor!$E$27="Core",1,IF(Nonlabor!$E$27="AI",'Start Here'!$B$7,'Start Here'!$B$8))=1,C2600&gt;=IF(Nonlabor!$E$27="Core",Nonlabor!$F$27,MAX(Nonlabor!$F$27,IF(Nonlabor!$E$27="AI",Assumptions!$D$24,Assumptions!$D$25))),C2600&lt;=Nonlabor!$G$27,OR(Nonlabor!$H$27="Monthly",AND(Nonlabor!$H$27="Once",C2600=IF(Nonlabor!$E$27="Core",Nonlabor!$F$27,MAX(Nonlabor!$F$27,IF(Nonlabor!$E$27="AI",Assumptions!$D$24,Assumptions!$D$25)))),AND(Nonlabor!$H$27="Annual",MOD(C2600-IF(Nonlabor!$E$27="Core",Nonlabor!$F$27,MAX(Nonlabor!$F$27,IF(Nonlabor!$E$27="AI",Assumptions!$D$24,Assumptions!$D$25))),12)=0))),IF(Nonlabor!$I$27="Fixed",1,IF(Nonlabor!$I$27="Seats",ROUNDUP('Monthly Base'!I20,0),IF(Nonlabor!$I$27="Customers",'Monthly Base'!D20,IF(Nonlabor!$I$27="NewCustomers",'Monthly Base'!C20,IF(Nonlabor!$I$27="StorageGB",'Monthly Base'!G20,IF(Nonlabor!$I$27="LogGB",'Monthly Base'!H20,IF(Nonlabor!$I$27="RequestsM",'Monthly Base'!F20,IF(Nonlabor!$I$27="InputM",'Monthly Base'!D20*Assumptions!$D$22/1000000,IF(Nonlabor!$I$27="OutputM",'Monthly Base'!D20*Assumptions!$D$23/1000000,0))))))))),0)</f>
        <v>0</v>
      </c>
      <c r="F2600" s="10" t="n">
        <f aca="false">Nonlabor!$J$27*(1+Assumptions!$D$9)^INT((C2600-1)/12)</f>
        <v>41200</v>
      </c>
      <c r="G2600" s="10" t="n">
        <f aca="false">E2600*F2600</f>
        <v>0</v>
      </c>
      <c r="H2600" s="10" t="n">
        <f aca="false">IF(OR(Nonlabor!$L$27="Quote required",Nonlabor!$L$27="Unverified"),G2600,0)</f>
        <v>0</v>
      </c>
      <c r="I2600" s="10" t="n">
        <f aca="false">IF(Nonlabor!$E$27="Core",0,G2600)</f>
        <v>0</v>
      </c>
      <c r="J2600" s="23" t="str">
        <f aca="false">Nonlabor!$B$27</f>
        <v>CTMS</v>
      </c>
    </row>
    <row r="2601" customFormat="false" ht="15" hidden="false" customHeight="false" outlineLevel="0" collapsed="false">
      <c r="A2601" s="6" t="s">
        <v>4</v>
      </c>
      <c r="B2601" s="6" t="s">
        <v>439</v>
      </c>
      <c r="C2601" s="6" t="n">
        <v>16</v>
      </c>
      <c r="D2601" s="25" t="n">
        <f aca="false">EDATE('Start Here'!$B$6,C2601-1)</f>
        <v>46784</v>
      </c>
      <c r="E2601" s="23" t="n">
        <f aca="false">IF(AND(OR(Nonlabor!$D$27="Both",Nonlabor!$D$27='Start Here'!$B$9),IF(Nonlabor!$E$27="Core",1,IF(Nonlabor!$E$27="AI",'Start Here'!$B$7,'Start Here'!$B$8))=1,C2601&gt;=IF(Nonlabor!$E$27="Core",Nonlabor!$F$27,MAX(Nonlabor!$F$27,IF(Nonlabor!$E$27="AI",Assumptions!$D$24,Assumptions!$D$25))),C2601&lt;=Nonlabor!$G$27,OR(Nonlabor!$H$27="Monthly",AND(Nonlabor!$H$27="Once",C2601=IF(Nonlabor!$E$27="Core",Nonlabor!$F$27,MAX(Nonlabor!$F$27,IF(Nonlabor!$E$27="AI",Assumptions!$D$24,Assumptions!$D$25)))),AND(Nonlabor!$H$27="Annual",MOD(C2601-IF(Nonlabor!$E$27="Core",Nonlabor!$F$27,MAX(Nonlabor!$F$27,IF(Nonlabor!$E$27="AI",Assumptions!$D$24,Assumptions!$D$25))),12)=0))),IF(Nonlabor!$I$27="Fixed",1,IF(Nonlabor!$I$27="Seats",ROUNDUP('Monthly Base'!I21,0),IF(Nonlabor!$I$27="Customers",'Monthly Base'!D21,IF(Nonlabor!$I$27="NewCustomers",'Monthly Base'!C21,IF(Nonlabor!$I$27="StorageGB",'Monthly Base'!G21,IF(Nonlabor!$I$27="LogGB",'Monthly Base'!H21,IF(Nonlabor!$I$27="RequestsM",'Monthly Base'!F21,IF(Nonlabor!$I$27="InputM",'Monthly Base'!D21*Assumptions!$D$22/1000000,IF(Nonlabor!$I$27="OutputM",'Monthly Base'!D21*Assumptions!$D$23/1000000,0))))))))),0)</f>
        <v>0</v>
      </c>
      <c r="F2601" s="10" t="n">
        <f aca="false">Nonlabor!$J$27*(1+Assumptions!$D$9)^INT((C2601-1)/12)</f>
        <v>41200</v>
      </c>
      <c r="G2601" s="10" t="n">
        <f aca="false">E2601*F2601</f>
        <v>0</v>
      </c>
      <c r="H2601" s="10" t="n">
        <f aca="false">IF(OR(Nonlabor!$L$27="Quote required",Nonlabor!$L$27="Unverified"),G2601,0)</f>
        <v>0</v>
      </c>
      <c r="I2601" s="10" t="n">
        <f aca="false">IF(Nonlabor!$E$27="Core",0,G2601)</f>
        <v>0</v>
      </c>
      <c r="J2601" s="23" t="str">
        <f aca="false">Nonlabor!$B$27</f>
        <v>CTMS</v>
      </c>
    </row>
    <row r="2602" customFormat="false" ht="15" hidden="false" customHeight="false" outlineLevel="0" collapsed="false">
      <c r="A2602" s="6" t="s">
        <v>4</v>
      </c>
      <c r="B2602" s="6" t="s">
        <v>439</v>
      </c>
      <c r="C2602" s="6" t="n">
        <v>17</v>
      </c>
      <c r="D2602" s="25" t="n">
        <f aca="false">EDATE('Start Here'!$B$6,C2602-1)</f>
        <v>46813</v>
      </c>
      <c r="E2602" s="23" t="n">
        <f aca="false">IF(AND(OR(Nonlabor!$D$27="Both",Nonlabor!$D$27='Start Here'!$B$9),IF(Nonlabor!$E$27="Core",1,IF(Nonlabor!$E$27="AI",'Start Here'!$B$7,'Start Here'!$B$8))=1,C2602&gt;=IF(Nonlabor!$E$27="Core",Nonlabor!$F$27,MAX(Nonlabor!$F$27,IF(Nonlabor!$E$27="AI",Assumptions!$D$24,Assumptions!$D$25))),C2602&lt;=Nonlabor!$G$27,OR(Nonlabor!$H$27="Monthly",AND(Nonlabor!$H$27="Once",C2602=IF(Nonlabor!$E$27="Core",Nonlabor!$F$27,MAX(Nonlabor!$F$27,IF(Nonlabor!$E$27="AI",Assumptions!$D$24,Assumptions!$D$25)))),AND(Nonlabor!$H$27="Annual",MOD(C2602-IF(Nonlabor!$E$27="Core",Nonlabor!$F$27,MAX(Nonlabor!$F$27,IF(Nonlabor!$E$27="AI",Assumptions!$D$24,Assumptions!$D$25))),12)=0))),IF(Nonlabor!$I$27="Fixed",1,IF(Nonlabor!$I$27="Seats",ROUNDUP('Monthly Base'!I22,0),IF(Nonlabor!$I$27="Customers",'Monthly Base'!D22,IF(Nonlabor!$I$27="NewCustomers",'Monthly Base'!C22,IF(Nonlabor!$I$27="StorageGB",'Monthly Base'!G22,IF(Nonlabor!$I$27="LogGB",'Monthly Base'!H22,IF(Nonlabor!$I$27="RequestsM",'Monthly Base'!F22,IF(Nonlabor!$I$27="InputM",'Monthly Base'!D22*Assumptions!$D$22/1000000,IF(Nonlabor!$I$27="OutputM",'Monthly Base'!D22*Assumptions!$D$23/1000000,0))))))))),0)</f>
        <v>0</v>
      </c>
      <c r="F2602" s="10" t="n">
        <f aca="false">Nonlabor!$J$27*(1+Assumptions!$D$9)^INT((C2602-1)/12)</f>
        <v>41200</v>
      </c>
      <c r="G2602" s="10" t="n">
        <f aca="false">E2602*F2602</f>
        <v>0</v>
      </c>
      <c r="H2602" s="10" t="n">
        <f aca="false">IF(OR(Nonlabor!$L$27="Quote required",Nonlabor!$L$27="Unverified"),G2602,0)</f>
        <v>0</v>
      </c>
      <c r="I2602" s="10" t="n">
        <f aca="false">IF(Nonlabor!$E$27="Core",0,G2602)</f>
        <v>0</v>
      </c>
      <c r="J2602" s="23" t="str">
        <f aca="false">Nonlabor!$B$27</f>
        <v>CTMS</v>
      </c>
    </row>
    <row r="2603" customFormat="false" ht="15" hidden="false" customHeight="false" outlineLevel="0" collapsed="false">
      <c r="A2603" s="6" t="s">
        <v>4</v>
      </c>
      <c r="B2603" s="6" t="s">
        <v>439</v>
      </c>
      <c r="C2603" s="6" t="n">
        <v>18</v>
      </c>
      <c r="D2603" s="25" t="n">
        <f aca="false">EDATE('Start Here'!$B$6,C2603-1)</f>
        <v>46844</v>
      </c>
      <c r="E2603" s="23" t="n">
        <f aca="false">IF(AND(OR(Nonlabor!$D$27="Both",Nonlabor!$D$27='Start Here'!$B$9),IF(Nonlabor!$E$27="Core",1,IF(Nonlabor!$E$27="AI",'Start Here'!$B$7,'Start Here'!$B$8))=1,C2603&gt;=IF(Nonlabor!$E$27="Core",Nonlabor!$F$27,MAX(Nonlabor!$F$27,IF(Nonlabor!$E$27="AI",Assumptions!$D$24,Assumptions!$D$25))),C2603&lt;=Nonlabor!$G$27,OR(Nonlabor!$H$27="Monthly",AND(Nonlabor!$H$27="Once",C2603=IF(Nonlabor!$E$27="Core",Nonlabor!$F$27,MAX(Nonlabor!$F$27,IF(Nonlabor!$E$27="AI",Assumptions!$D$24,Assumptions!$D$25)))),AND(Nonlabor!$H$27="Annual",MOD(C2603-IF(Nonlabor!$E$27="Core",Nonlabor!$F$27,MAX(Nonlabor!$F$27,IF(Nonlabor!$E$27="AI",Assumptions!$D$24,Assumptions!$D$25))),12)=0))),IF(Nonlabor!$I$27="Fixed",1,IF(Nonlabor!$I$27="Seats",ROUNDUP('Monthly Base'!I23,0),IF(Nonlabor!$I$27="Customers",'Monthly Base'!D23,IF(Nonlabor!$I$27="NewCustomers",'Monthly Base'!C23,IF(Nonlabor!$I$27="StorageGB",'Monthly Base'!G23,IF(Nonlabor!$I$27="LogGB",'Monthly Base'!H23,IF(Nonlabor!$I$27="RequestsM",'Monthly Base'!F23,IF(Nonlabor!$I$27="InputM",'Monthly Base'!D23*Assumptions!$D$22/1000000,IF(Nonlabor!$I$27="OutputM",'Monthly Base'!D23*Assumptions!$D$23/1000000,0))))))))),0)</f>
        <v>0</v>
      </c>
      <c r="F2603" s="10" t="n">
        <f aca="false">Nonlabor!$J$27*(1+Assumptions!$D$9)^INT((C2603-1)/12)</f>
        <v>41200</v>
      </c>
      <c r="G2603" s="10" t="n">
        <f aca="false">E2603*F2603</f>
        <v>0</v>
      </c>
      <c r="H2603" s="10" t="n">
        <f aca="false">IF(OR(Nonlabor!$L$27="Quote required",Nonlabor!$L$27="Unverified"),G2603,0)</f>
        <v>0</v>
      </c>
      <c r="I2603" s="10" t="n">
        <f aca="false">IF(Nonlabor!$E$27="Core",0,G2603)</f>
        <v>0</v>
      </c>
      <c r="J2603" s="23" t="str">
        <f aca="false">Nonlabor!$B$27</f>
        <v>CTMS</v>
      </c>
    </row>
    <row r="2604" customFormat="false" ht="15" hidden="false" customHeight="false" outlineLevel="0" collapsed="false">
      <c r="A2604" s="6" t="s">
        <v>4</v>
      </c>
      <c r="B2604" s="6" t="s">
        <v>439</v>
      </c>
      <c r="C2604" s="6" t="n">
        <v>19</v>
      </c>
      <c r="D2604" s="25" t="n">
        <f aca="false">EDATE('Start Here'!$B$6,C2604-1)</f>
        <v>46874</v>
      </c>
      <c r="E2604" s="23" t="n">
        <f aca="false">IF(AND(OR(Nonlabor!$D$27="Both",Nonlabor!$D$27='Start Here'!$B$9),IF(Nonlabor!$E$27="Core",1,IF(Nonlabor!$E$27="AI",'Start Here'!$B$7,'Start Here'!$B$8))=1,C2604&gt;=IF(Nonlabor!$E$27="Core",Nonlabor!$F$27,MAX(Nonlabor!$F$27,IF(Nonlabor!$E$27="AI",Assumptions!$D$24,Assumptions!$D$25))),C2604&lt;=Nonlabor!$G$27,OR(Nonlabor!$H$27="Monthly",AND(Nonlabor!$H$27="Once",C2604=IF(Nonlabor!$E$27="Core",Nonlabor!$F$27,MAX(Nonlabor!$F$27,IF(Nonlabor!$E$27="AI",Assumptions!$D$24,Assumptions!$D$25)))),AND(Nonlabor!$H$27="Annual",MOD(C2604-IF(Nonlabor!$E$27="Core",Nonlabor!$F$27,MAX(Nonlabor!$F$27,IF(Nonlabor!$E$27="AI",Assumptions!$D$24,Assumptions!$D$25))),12)=0))),IF(Nonlabor!$I$27="Fixed",1,IF(Nonlabor!$I$27="Seats",ROUNDUP('Monthly Base'!I24,0),IF(Nonlabor!$I$27="Customers",'Monthly Base'!D24,IF(Nonlabor!$I$27="NewCustomers",'Monthly Base'!C24,IF(Nonlabor!$I$27="StorageGB",'Monthly Base'!G24,IF(Nonlabor!$I$27="LogGB",'Monthly Base'!H24,IF(Nonlabor!$I$27="RequestsM",'Monthly Base'!F24,IF(Nonlabor!$I$27="InputM",'Monthly Base'!D24*Assumptions!$D$22/1000000,IF(Nonlabor!$I$27="OutputM",'Monthly Base'!D24*Assumptions!$D$23/1000000,0))))))))),0)</f>
        <v>0</v>
      </c>
      <c r="F2604" s="10" t="n">
        <f aca="false">Nonlabor!$J$27*(1+Assumptions!$D$9)^INT((C2604-1)/12)</f>
        <v>41200</v>
      </c>
      <c r="G2604" s="10" t="n">
        <f aca="false">E2604*F2604</f>
        <v>0</v>
      </c>
      <c r="H2604" s="10" t="n">
        <f aca="false">IF(OR(Nonlabor!$L$27="Quote required",Nonlabor!$L$27="Unverified"),G2604,0)</f>
        <v>0</v>
      </c>
      <c r="I2604" s="10" t="n">
        <f aca="false">IF(Nonlabor!$E$27="Core",0,G2604)</f>
        <v>0</v>
      </c>
      <c r="J2604" s="23" t="str">
        <f aca="false">Nonlabor!$B$27</f>
        <v>CTMS</v>
      </c>
    </row>
    <row r="2605" customFormat="false" ht="15" hidden="false" customHeight="false" outlineLevel="0" collapsed="false">
      <c r="A2605" s="6" t="s">
        <v>4</v>
      </c>
      <c r="B2605" s="6" t="s">
        <v>439</v>
      </c>
      <c r="C2605" s="6" t="n">
        <v>20</v>
      </c>
      <c r="D2605" s="25" t="n">
        <f aca="false">EDATE('Start Here'!$B$6,C2605-1)</f>
        <v>46905</v>
      </c>
      <c r="E2605" s="23" t="n">
        <f aca="false">IF(AND(OR(Nonlabor!$D$27="Both",Nonlabor!$D$27='Start Here'!$B$9),IF(Nonlabor!$E$27="Core",1,IF(Nonlabor!$E$27="AI",'Start Here'!$B$7,'Start Here'!$B$8))=1,C2605&gt;=IF(Nonlabor!$E$27="Core",Nonlabor!$F$27,MAX(Nonlabor!$F$27,IF(Nonlabor!$E$27="AI",Assumptions!$D$24,Assumptions!$D$25))),C2605&lt;=Nonlabor!$G$27,OR(Nonlabor!$H$27="Monthly",AND(Nonlabor!$H$27="Once",C2605=IF(Nonlabor!$E$27="Core",Nonlabor!$F$27,MAX(Nonlabor!$F$27,IF(Nonlabor!$E$27="AI",Assumptions!$D$24,Assumptions!$D$25)))),AND(Nonlabor!$H$27="Annual",MOD(C2605-IF(Nonlabor!$E$27="Core",Nonlabor!$F$27,MAX(Nonlabor!$F$27,IF(Nonlabor!$E$27="AI",Assumptions!$D$24,Assumptions!$D$25))),12)=0))),IF(Nonlabor!$I$27="Fixed",1,IF(Nonlabor!$I$27="Seats",ROUNDUP('Monthly Base'!I25,0),IF(Nonlabor!$I$27="Customers",'Monthly Base'!D25,IF(Nonlabor!$I$27="NewCustomers",'Monthly Base'!C25,IF(Nonlabor!$I$27="StorageGB",'Monthly Base'!G25,IF(Nonlabor!$I$27="LogGB",'Monthly Base'!H25,IF(Nonlabor!$I$27="RequestsM",'Monthly Base'!F25,IF(Nonlabor!$I$27="InputM",'Monthly Base'!D25*Assumptions!$D$22/1000000,IF(Nonlabor!$I$27="OutputM",'Monthly Base'!D25*Assumptions!$D$23/1000000,0))))))))),0)</f>
        <v>0</v>
      </c>
      <c r="F2605" s="10" t="n">
        <f aca="false">Nonlabor!$J$27*(1+Assumptions!$D$9)^INT((C2605-1)/12)</f>
        <v>41200</v>
      </c>
      <c r="G2605" s="10" t="n">
        <f aca="false">E2605*F2605</f>
        <v>0</v>
      </c>
      <c r="H2605" s="10" t="n">
        <f aca="false">IF(OR(Nonlabor!$L$27="Quote required",Nonlabor!$L$27="Unverified"),G2605,0)</f>
        <v>0</v>
      </c>
      <c r="I2605" s="10" t="n">
        <f aca="false">IF(Nonlabor!$E$27="Core",0,G2605)</f>
        <v>0</v>
      </c>
      <c r="J2605" s="23" t="str">
        <f aca="false">Nonlabor!$B$27</f>
        <v>CTMS</v>
      </c>
    </row>
    <row r="2606" customFormat="false" ht="15" hidden="false" customHeight="false" outlineLevel="0" collapsed="false">
      <c r="A2606" s="6" t="s">
        <v>4</v>
      </c>
      <c r="B2606" s="6" t="s">
        <v>439</v>
      </c>
      <c r="C2606" s="6" t="n">
        <v>21</v>
      </c>
      <c r="D2606" s="25" t="n">
        <f aca="false">EDATE('Start Here'!$B$6,C2606-1)</f>
        <v>46935</v>
      </c>
      <c r="E2606" s="23" t="n">
        <f aca="false">IF(AND(OR(Nonlabor!$D$27="Both",Nonlabor!$D$27='Start Here'!$B$9),IF(Nonlabor!$E$27="Core",1,IF(Nonlabor!$E$27="AI",'Start Here'!$B$7,'Start Here'!$B$8))=1,C2606&gt;=IF(Nonlabor!$E$27="Core",Nonlabor!$F$27,MAX(Nonlabor!$F$27,IF(Nonlabor!$E$27="AI",Assumptions!$D$24,Assumptions!$D$25))),C2606&lt;=Nonlabor!$G$27,OR(Nonlabor!$H$27="Monthly",AND(Nonlabor!$H$27="Once",C2606=IF(Nonlabor!$E$27="Core",Nonlabor!$F$27,MAX(Nonlabor!$F$27,IF(Nonlabor!$E$27="AI",Assumptions!$D$24,Assumptions!$D$25)))),AND(Nonlabor!$H$27="Annual",MOD(C2606-IF(Nonlabor!$E$27="Core",Nonlabor!$F$27,MAX(Nonlabor!$F$27,IF(Nonlabor!$E$27="AI",Assumptions!$D$24,Assumptions!$D$25))),12)=0))),IF(Nonlabor!$I$27="Fixed",1,IF(Nonlabor!$I$27="Seats",ROUNDUP('Monthly Base'!I26,0),IF(Nonlabor!$I$27="Customers",'Monthly Base'!D26,IF(Nonlabor!$I$27="NewCustomers",'Monthly Base'!C26,IF(Nonlabor!$I$27="StorageGB",'Monthly Base'!G26,IF(Nonlabor!$I$27="LogGB",'Monthly Base'!H26,IF(Nonlabor!$I$27="RequestsM",'Monthly Base'!F26,IF(Nonlabor!$I$27="InputM",'Monthly Base'!D26*Assumptions!$D$22/1000000,IF(Nonlabor!$I$27="OutputM",'Monthly Base'!D26*Assumptions!$D$23/1000000,0))))))))),0)</f>
        <v>0</v>
      </c>
      <c r="F2606" s="10" t="n">
        <f aca="false">Nonlabor!$J$27*(1+Assumptions!$D$9)^INT((C2606-1)/12)</f>
        <v>41200</v>
      </c>
      <c r="G2606" s="10" t="n">
        <f aca="false">E2606*F2606</f>
        <v>0</v>
      </c>
      <c r="H2606" s="10" t="n">
        <f aca="false">IF(OR(Nonlabor!$L$27="Quote required",Nonlabor!$L$27="Unverified"),G2606,0)</f>
        <v>0</v>
      </c>
      <c r="I2606" s="10" t="n">
        <f aca="false">IF(Nonlabor!$E$27="Core",0,G2606)</f>
        <v>0</v>
      </c>
      <c r="J2606" s="23" t="str">
        <f aca="false">Nonlabor!$B$27</f>
        <v>CTMS</v>
      </c>
    </row>
    <row r="2607" customFormat="false" ht="15" hidden="false" customHeight="false" outlineLevel="0" collapsed="false">
      <c r="A2607" s="6" t="s">
        <v>4</v>
      </c>
      <c r="B2607" s="6" t="s">
        <v>439</v>
      </c>
      <c r="C2607" s="6" t="n">
        <v>22</v>
      </c>
      <c r="D2607" s="25" t="n">
        <f aca="false">EDATE('Start Here'!$B$6,C2607-1)</f>
        <v>46966</v>
      </c>
      <c r="E2607" s="23" t="n">
        <f aca="false">IF(AND(OR(Nonlabor!$D$27="Both",Nonlabor!$D$27='Start Here'!$B$9),IF(Nonlabor!$E$27="Core",1,IF(Nonlabor!$E$27="AI",'Start Here'!$B$7,'Start Here'!$B$8))=1,C2607&gt;=IF(Nonlabor!$E$27="Core",Nonlabor!$F$27,MAX(Nonlabor!$F$27,IF(Nonlabor!$E$27="AI",Assumptions!$D$24,Assumptions!$D$25))),C2607&lt;=Nonlabor!$G$27,OR(Nonlabor!$H$27="Monthly",AND(Nonlabor!$H$27="Once",C2607=IF(Nonlabor!$E$27="Core",Nonlabor!$F$27,MAX(Nonlabor!$F$27,IF(Nonlabor!$E$27="AI",Assumptions!$D$24,Assumptions!$D$25)))),AND(Nonlabor!$H$27="Annual",MOD(C2607-IF(Nonlabor!$E$27="Core",Nonlabor!$F$27,MAX(Nonlabor!$F$27,IF(Nonlabor!$E$27="AI",Assumptions!$D$24,Assumptions!$D$25))),12)=0))),IF(Nonlabor!$I$27="Fixed",1,IF(Nonlabor!$I$27="Seats",ROUNDUP('Monthly Base'!I27,0),IF(Nonlabor!$I$27="Customers",'Monthly Base'!D27,IF(Nonlabor!$I$27="NewCustomers",'Monthly Base'!C27,IF(Nonlabor!$I$27="StorageGB",'Monthly Base'!G27,IF(Nonlabor!$I$27="LogGB",'Monthly Base'!H27,IF(Nonlabor!$I$27="RequestsM",'Monthly Base'!F27,IF(Nonlabor!$I$27="InputM",'Monthly Base'!D27*Assumptions!$D$22/1000000,IF(Nonlabor!$I$27="OutputM",'Monthly Base'!D27*Assumptions!$D$23/1000000,0))))))))),0)</f>
        <v>0</v>
      </c>
      <c r="F2607" s="10" t="n">
        <f aca="false">Nonlabor!$J$27*(1+Assumptions!$D$9)^INT((C2607-1)/12)</f>
        <v>41200</v>
      </c>
      <c r="G2607" s="10" t="n">
        <f aca="false">E2607*F2607</f>
        <v>0</v>
      </c>
      <c r="H2607" s="10" t="n">
        <f aca="false">IF(OR(Nonlabor!$L$27="Quote required",Nonlabor!$L$27="Unverified"),G2607,0)</f>
        <v>0</v>
      </c>
      <c r="I2607" s="10" t="n">
        <f aca="false">IF(Nonlabor!$E$27="Core",0,G2607)</f>
        <v>0</v>
      </c>
      <c r="J2607" s="23" t="str">
        <f aca="false">Nonlabor!$B$27</f>
        <v>CTMS</v>
      </c>
    </row>
    <row r="2608" customFormat="false" ht="15" hidden="false" customHeight="false" outlineLevel="0" collapsed="false">
      <c r="A2608" s="6" t="s">
        <v>4</v>
      </c>
      <c r="B2608" s="6" t="s">
        <v>439</v>
      </c>
      <c r="C2608" s="6" t="n">
        <v>23</v>
      </c>
      <c r="D2608" s="25" t="n">
        <f aca="false">EDATE('Start Here'!$B$6,C2608-1)</f>
        <v>46997</v>
      </c>
      <c r="E2608" s="23" t="n">
        <f aca="false">IF(AND(OR(Nonlabor!$D$27="Both",Nonlabor!$D$27='Start Here'!$B$9),IF(Nonlabor!$E$27="Core",1,IF(Nonlabor!$E$27="AI",'Start Here'!$B$7,'Start Here'!$B$8))=1,C2608&gt;=IF(Nonlabor!$E$27="Core",Nonlabor!$F$27,MAX(Nonlabor!$F$27,IF(Nonlabor!$E$27="AI",Assumptions!$D$24,Assumptions!$D$25))),C2608&lt;=Nonlabor!$G$27,OR(Nonlabor!$H$27="Monthly",AND(Nonlabor!$H$27="Once",C2608=IF(Nonlabor!$E$27="Core",Nonlabor!$F$27,MAX(Nonlabor!$F$27,IF(Nonlabor!$E$27="AI",Assumptions!$D$24,Assumptions!$D$25)))),AND(Nonlabor!$H$27="Annual",MOD(C2608-IF(Nonlabor!$E$27="Core",Nonlabor!$F$27,MAX(Nonlabor!$F$27,IF(Nonlabor!$E$27="AI",Assumptions!$D$24,Assumptions!$D$25))),12)=0))),IF(Nonlabor!$I$27="Fixed",1,IF(Nonlabor!$I$27="Seats",ROUNDUP('Monthly Base'!I28,0),IF(Nonlabor!$I$27="Customers",'Monthly Base'!D28,IF(Nonlabor!$I$27="NewCustomers",'Monthly Base'!C28,IF(Nonlabor!$I$27="StorageGB",'Monthly Base'!G28,IF(Nonlabor!$I$27="LogGB",'Monthly Base'!H28,IF(Nonlabor!$I$27="RequestsM",'Monthly Base'!F28,IF(Nonlabor!$I$27="InputM",'Monthly Base'!D28*Assumptions!$D$22/1000000,IF(Nonlabor!$I$27="OutputM",'Monthly Base'!D28*Assumptions!$D$23/1000000,0))))))))),0)</f>
        <v>0</v>
      </c>
      <c r="F2608" s="10" t="n">
        <f aca="false">Nonlabor!$J$27*(1+Assumptions!$D$9)^INT((C2608-1)/12)</f>
        <v>41200</v>
      </c>
      <c r="G2608" s="10" t="n">
        <f aca="false">E2608*F2608</f>
        <v>0</v>
      </c>
      <c r="H2608" s="10" t="n">
        <f aca="false">IF(OR(Nonlabor!$L$27="Quote required",Nonlabor!$L$27="Unverified"),G2608,0)</f>
        <v>0</v>
      </c>
      <c r="I2608" s="10" t="n">
        <f aca="false">IF(Nonlabor!$E$27="Core",0,G2608)</f>
        <v>0</v>
      </c>
      <c r="J2608" s="23" t="str">
        <f aca="false">Nonlabor!$B$27</f>
        <v>CTMS</v>
      </c>
    </row>
    <row r="2609" customFormat="false" ht="15" hidden="false" customHeight="false" outlineLevel="0" collapsed="false">
      <c r="A2609" s="6" t="s">
        <v>4</v>
      </c>
      <c r="B2609" s="6" t="s">
        <v>439</v>
      </c>
      <c r="C2609" s="6" t="n">
        <v>24</v>
      </c>
      <c r="D2609" s="25" t="n">
        <f aca="false">EDATE('Start Here'!$B$6,C2609-1)</f>
        <v>47027</v>
      </c>
      <c r="E2609" s="23" t="n">
        <f aca="false">IF(AND(OR(Nonlabor!$D$27="Both",Nonlabor!$D$27='Start Here'!$B$9),IF(Nonlabor!$E$27="Core",1,IF(Nonlabor!$E$27="AI",'Start Here'!$B$7,'Start Here'!$B$8))=1,C2609&gt;=IF(Nonlabor!$E$27="Core",Nonlabor!$F$27,MAX(Nonlabor!$F$27,IF(Nonlabor!$E$27="AI",Assumptions!$D$24,Assumptions!$D$25))),C2609&lt;=Nonlabor!$G$27,OR(Nonlabor!$H$27="Monthly",AND(Nonlabor!$H$27="Once",C2609=IF(Nonlabor!$E$27="Core",Nonlabor!$F$27,MAX(Nonlabor!$F$27,IF(Nonlabor!$E$27="AI",Assumptions!$D$24,Assumptions!$D$25)))),AND(Nonlabor!$H$27="Annual",MOD(C2609-IF(Nonlabor!$E$27="Core",Nonlabor!$F$27,MAX(Nonlabor!$F$27,IF(Nonlabor!$E$27="AI",Assumptions!$D$24,Assumptions!$D$25))),12)=0))),IF(Nonlabor!$I$27="Fixed",1,IF(Nonlabor!$I$27="Seats",ROUNDUP('Monthly Base'!I29,0),IF(Nonlabor!$I$27="Customers",'Monthly Base'!D29,IF(Nonlabor!$I$27="NewCustomers",'Monthly Base'!C29,IF(Nonlabor!$I$27="StorageGB",'Monthly Base'!G29,IF(Nonlabor!$I$27="LogGB",'Monthly Base'!H29,IF(Nonlabor!$I$27="RequestsM",'Monthly Base'!F29,IF(Nonlabor!$I$27="InputM",'Monthly Base'!D29*Assumptions!$D$22/1000000,IF(Nonlabor!$I$27="OutputM",'Monthly Base'!D29*Assumptions!$D$23/1000000,0))))))))),0)</f>
        <v>0</v>
      </c>
      <c r="F2609" s="10" t="n">
        <f aca="false">Nonlabor!$J$27*(1+Assumptions!$D$9)^INT((C2609-1)/12)</f>
        <v>41200</v>
      </c>
      <c r="G2609" s="10" t="n">
        <f aca="false">E2609*F2609</f>
        <v>0</v>
      </c>
      <c r="H2609" s="10" t="n">
        <f aca="false">IF(OR(Nonlabor!$L$27="Quote required",Nonlabor!$L$27="Unverified"),G2609,0)</f>
        <v>0</v>
      </c>
      <c r="I2609" s="10" t="n">
        <f aca="false">IF(Nonlabor!$E$27="Core",0,G2609)</f>
        <v>0</v>
      </c>
      <c r="J2609" s="23" t="str">
        <f aca="false">Nonlabor!$B$27</f>
        <v>CTMS</v>
      </c>
    </row>
    <row r="2610" customFormat="false" ht="15" hidden="false" customHeight="false" outlineLevel="0" collapsed="false">
      <c r="A2610" s="6" t="s">
        <v>4</v>
      </c>
      <c r="B2610" s="6" t="s">
        <v>439</v>
      </c>
      <c r="C2610" s="6" t="n">
        <v>25</v>
      </c>
      <c r="D2610" s="25" t="n">
        <f aca="false">EDATE('Start Here'!$B$6,C2610-1)</f>
        <v>47058</v>
      </c>
      <c r="E2610" s="23" t="n">
        <f aca="false">IF(AND(OR(Nonlabor!$D$27="Both",Nonlabor!$D$27='Start Here'!$B$9),IF(Nonlabor!$E$27="Core",1,IF(Nonlabor!$E$27="AI",'Start Here'!$B$7,'Start Here'!$B$8))=1,C2610&gt;=IF(Nonlabor!$E$27="Core",Nonlabor!$F$27,MAX(Nonlabor!$F$27,IF(Nonlabor!$E$27="AI",Assumptions!$D$24,Assumptions!$D$25))),C2610&lt;=Nonlabor!$G$27,OR(Nonlabor!$H$27="Monthly",AND(Nonlabor!$H$27="Once",C2610=IF(Nonlabor!$E$27="Core",Nonlabor!$F$27,MAX(Nonlabor!$F$27,IF(Nonlabor!$E$27="AI",Assumptions!$D$24,Assumptions!$D$25)))),AND(Nonlabor!$H$27="Annual",MOD(C2610-IF(Nonlabor!$E$27="Core",Nonlabor!$F$27,MAX(Nonlabor!$F$27,IF(Nonlabor!$E$27="AI",Assumptions!$D$24,Assumptions!$D$25))),12)=0))),IF(Nonlabor!$I$27="Fixed",1,IF(Nonlabor!$I$27="Seats",ROUNDUP('Monthly Base'!I30,0),IF(Nonlabor!$I$27="Customers",'Monthly Base'!D30,IF(Nonlabor!$I$27="NewCustomers",'Monthly Base'!C30,IF(Nonlabor!$I$27="StorageGB",'Monthly Base'!G30,IF(Nonlabor!$I$27="LogGB",'Monthly Base'!H30,IF(Nonlabor!$I$27="RequestsM",'Monthly Base'!F30,IF(Nonlabor!$I$27="InputM",'Monthly Base'!D30*Assumptions!$D$22/1000000,IF(Nonlabor!$I$27="OutputM",'Monthly Base'!D30*Assumptions!$D$23/1000000,0))))))))),0)</f>
        <v>0</v>
      </c>
      <c r="F2610" s="10" t="n">
        <f aca="false">Nonlabor!$J$27*(1+Assumptions!$D$9)^INT((C2610-1)/12)</f>
        <v>42436</v>
      </c>
      <c r="G2610" s="10" t="n">
        <f aca="false">E2610*F2610</f>
        <v>0</v>
      </c>
      <c r="H2610" s="10" t="n">
        <f aca="false">IF(OR(Nonlabor!$L$27="Quote required",Nonlabor!$L$27="Unverified"),G2610,0)</f>
        <v>0</v>
      </c>
      <c r="I2610" s="10" t="n">
        <f aca="false">IF(Nonlabor!$E$27="Core",0,G2610)</f>
        <v>0</v>
      </c>
      <c r="J2610" s="23" t="str">
        <f aca="false">Nonlabor!$B$27</f>
        <v>CTMS</v>
      </c>
    </row>
    <row r="2611" customFormat="false" ht="15" hidden="false" customHeight="false" outlineLevel="0" collapsed="false">
      <c r="A2611" s="6" t="s">
        <v>4</v>
      </c>
      <c r="B2611" s="6" t="s">
        <v>439</v>
      </c>
      <c r="C2611" s="6" t="n">
        <v>26</v>
      </c>
      <c r="D2611" s="25" t="n">
        <f aca="false">EDATE('Start Here'!$B$6,C2611-1)</f>
        <v>47088</v>
      </c>
      <c r="E2611" s="23" t="n">
        <f aca="false">IF(AND(OR(Nonlabor!$D$27="Both",Nonlabor!$D$27='Start Here'!$B$9),IF(Nonlabor!$E$27="Core",1,IF(Nonlabor!$E$27="AI",'Start Here'!$B$7,'Start Here'!$B$8))=1,C2611&gt;=IF(Nonlabor!$E$27="Core",Nonlabor!$F$27,MAX(Nonlabor!$F$27,IF(Nonlabor!$E$27="AI",Assumptions!$D$24,Assumptions!$D$25))),C2611&lt;=Nonlabor!$G$27,OR(Nonlabor!$H$27="Monthly",AND(Nonlabor!$H$27="Once",C2611=IF(Nonlabor!$E$27="Core",Nonlabor!$F$27,MAX(Nonlabor!$F$27,IF(Nonlabor!$E$27="AI",Assumptions!$D$24,Assumptions!$D$25)))),AND(Nonlabor!$H$27="Annual",MOD(C2611-IF(Nonlabor!$E$27="Core",Nonlabor!$F$27,MAX(Nonlabor!$F$27,IF(Nonlabor!$E$27="AI",Assumptions!$D$24,Assumptions!$D$25))),12)=0))),IF(Nonlabor!$I$27="Fixed",1,IF(Nonlabor!$I$27="Seats",ROUNDUP('Monthly Base'!I31,0),IF(Nonlabor!$I$27="Customers",'Monthly Base'!D31,IF(Nonlabor!$I$27="NewCustomers",'Monthly Base'!C31,IF(Nonlabor!$I$27="StorageGB",'Monthly Base'!G31,IF(Nonlabor!$I$27="LogGB",'Monthly Base'!H31,IF(Nonlabor!$I$27="RequestsM",'Monthly Base'!F31,IF(Nonlabor!$I$27="InputM",'Monthly Base'!D31*Assumptions!$D$22/1000000,IF(Nonlabor!$I$27="OutputM",'Monthly Base'!D31*Assumptions!$D$23/1000000,0))))))))),0)</f>
        <v>0</v>
      </c>
      <c r="F2611" s="10" t="n">
        <f aca="false">Nonlabor!$J$27*(1+Assumptions!$D$9)^INT((C2611-1)/12)</f>
        <v>42436</v>
      </c>
      <c r="G2611" s="10" t="n">
        <f aca="false">E2611*F2611</f>
        <v>0</v>
      </c>
      <c r="H2611" s="10" t="n">
        <f aca="false">IF(OR(Nonlabor!$L$27="Quote required",Nonlabor!$L$27="Unverified"),G2611,0)</f>
        <v>0</v>
      </c>
      <c r="I2611" s="10" t="n">
        <f aca="false">IF(Nonlabor!$E$27="Core",0,G2611)</f>
        <v>0</v>
      </c>
      <c r="J2611" s="23" t="str">
        <f aca="false">Nonlabor!$B$27</f>
        <v>CTMS</v>
      </c>
    </row>
    <row r="2612" customFormat="false" ht="15" hidden="false" customHeight="false" outlineLevel="0" collapsed="false">
      <c r="A2612" s="6" t="s">
        <v>4</v>
      </c>
      <c r="B2612" s="6" t="s">
        <v>439</v>
      </c>
      <c r="C2612" s="6" t="n">
        <v>27</v>
      </c>
      <c r="D2612" s="25" t="n">
        <f aca="false">EDATE('Start Here'!$B$6,C2612-1)</f>
        <v>47119</v>
      </c>
      <c r="E2612" s="23" t="n">
        <f aca="false">IF(AND(OR(Nonlabor!$D$27="Both",Nonlabor!$D$27='Start Here'!$B$9),IF(Nonlabor!$E$27="Core",1,IF(Nonlabor!$E$27="AI",'Start Here'!$B$7,'Start Here'!$B$8))=1,C2612&gt;=IF(Nonlabor!$E$27="Core",Nonlabor!$F$27,MAX(Nonlabor!$F$27,IF(Nonlabor!$E$27="AI",Assumptions!$D$24,Assumptions!$D$25))),C2612&lt;=Nonlabor!$G$27,OR(Nonlabor!$H$27="Monthly",AND(Nonlabor!$H$27="Once",C2612=IF(Nonlabor!$E$27="Core",Nonlabor!$F$27,MAX(Nonlabor!$F$27,IF(Nonlabor!$E$27="AI",Assumptions!$D$24,Assumptions!$D$25)))),AND(Nonlabor!$H$27="Annual",MOD(C2612-IF(Nonlabor!$E$27="Core",Nonlabor!$F$27,MAX(Nonlabor!$F$27,IF(Nonlabor!$E$27="AI",Assumptions!$D$24,Assumptions!$D$25))),12)=0))),IF(Nonlabor!$I$27="Fixed",1,IF(Nonlabor!$I$27="Seats",ROUNDUP('Monthly Base'!I32,0),IF(Nonlabor!$I$27="Customers",'Monthly Base'!D32,IF(Nonlabor!$I$27="NewCustomers",'Monthly Base'!C32,IF(Nonlabor!$I$27="StorageGB",'Monthly Base'!G32,IF(Nonlabor!$I$27="LogGB",'Monthly Base'!H32,IF(Nonlabor!$I$27="RequestsM",'Monthly Base'!F32,IF(Nonlabor!$I$27="InputM",'Monthly Base'!D32*Assumptions!$D$22/1000000,IF(Nonlabor!$I$27="OutputM",'Monthly Base'!D32*Assumptions!$D$23/1000000,0))))))))),0)</f>
        <v>0</v>
      </c>
      <c r="F2612" s="10" t="n">
        <f aca="false">Nonlabor!$J$27*(1+Assumptions!$D$9)^INT((C2612-1)/12)</f>
        <v>42436</v>
      </c>
      <c r="G2612" s="10" t="n">
        <f aca="false">E2612*F2612</f>
        <v>0</v>
      </c>
      <c r="H2612" s="10" t="n">
        <f aca="false">IF(OR(Nonlabor!$L$27="Quote required",Nonlabor!$L$27="Unverified"),G2612,0)</f>
        <v>0</v>
      </c>
      <c r="I2612" s="10" t="n">
        <f aca="false">IF(Nonlabor!$E$27="Core",0,G2612)</f>
        <v>0</v>
      </c>
      <c r="J2612" s="23" t="str">
        <f aca="false">Nonlabor!$B$27</f>
        <v>CTMS</v>
      </c>
    </row>
    <row r="2613" customFormat="false" ht="15" hidden="false" customHeight="false" outlineLevel="0" collapsed="false">
      <c r="A2613" s="6" t="s">
        <v>4</v>
      </c>
      <c r="B2613" s="6" t="s">
        <v>439</v>
      </c>
      <c r="C2613" s="6" t="n">
        <v>28</v>
      </c>
      <c r="D2613" s="25" t="n">
        <f aca="false">EDATE('Start Here'!$B$6,C2613-1)</f>
        <v>47150</v>
      </c>
      <c r="E2613" s="23" t="n">
        <f aca="false">IF(AND(OR(Nonlabor!$D$27="Both",Nonlabor!$D$27='Start Here'!$B$9),IF(Nonlabor!$E$27="Core",1,IF(Nonlabor!$E$27="AI",'Start Here'!$B$7,'Start Here'!$B$8))=1,C2613&gt;=IF(Nonlabor!$E$27="Core",Nonlabor!$F$27,MAX(Nonlabor!$F$27,IF(Nonlabor!$E$27="AI",Assumptions!$D$24,Assumptions!$D$25))),C2613&lt;=Nonlabor!$G$27,OR(Nonlabor!$H$27="Monthly",AND(Nonlabor!$H$27="Once",C2613=IF(Nonlabor!$E$27="Core",Nonlabor!$F$27,MAX(Nonlabor!$F$27,IF(Nonlabor!$E$27="AI",Assumptions!$D$24,Assumptions!$D$25)))),AND(Nonlabor!$H$27="Annual",MOD(C2613-IF(Nonlabor!$E$27="Core",Nonlabor!$F$27,MAX(Nonlabor!$F$27,IF(Nonlabor!$E$27="AI",Assumptions!$D$24,Assumptions!$D$25))),12)=0))),IF(Nonlabor!$I$27="Fixed",1,IF(Nonlabor!$I$27="Seats",ROUNDUP('Monthly Base'!I33,0),IF(Nonlabor!$I$27="Customers",'Monthly Base'!D33,IF(Nonlabor!$I$27="NewCustomers",'Monthly Base'!C33,IF(Nonlabor!$I$27="StorageGB",'Monthly Base'!G33,IF(Nonlabor!$I$27="LogGB",'Monthly Base'!H33,IF(Nonlabor!$I$27="RequestsM",'Monthly Base'!F33,IF(Nonlabor!$I$27="InputM",'Monthly Base'!D33*Assumptions!$D$22/1000000,IF(Nonlabor!$I$27="OutputM",'Monthly Base'!D33*Assumptions!$D$23/1000000,0))))))))),0)</f>
        <v>0</v>
      </c>
      <c r="F2613" s="10" t="n">
        <f aca="false">Nonlabor!$J$27*(1+Assumptions!$D$9)^INT((C2613-1)/12)</f>
        <v>42436</v>
      </c>
      <c r="G2613" s="10" t="n">
        <f aca="false">E2613*F2613</f>
        <v>0</v>
      </c>
      <c r="H2613" s="10" t="n">
        <f aca="false">IF(OR(Nonlabor!$L$27="Quote required",Nonlabor!$L$27="Unverified"),G2613,0)</f>
        <v>0</v>
      </c>
      <c r="I2613" s="10" t="n">
        <f aca="false">IF(Nonlabor!$E$27="Core",0,G2613)</f>
        <v>0</v>
      </c>
      <c r="J2613" s="23" t="str">
        <f aca="false">Nonlabor!$B$27</f>
        <v>CTMS</v>
      </c>
    </row>
    <row r="2614" customFormat="false" ht="15" hidden="false" customHeight="false" outlineLevel="0" collapsed="false">
      <c r="A2614" s="6" t="s">
        <v>4</v>
      </c>
      <c r="B2614" s="6" t="s">
        <v>439</v>
      </c>
      <c r="C2614" s="6" t="n">
        <v>29</v>
      </c>
      <c r="D2614" s="25" t="n">
        <f aca="false">EDATE('Start Here'!$B$6,C2614-1)</f>
        <v>47178</v>
      </c>
      <c r="E2614" s="23" t="n">
        <f aca="false">IF(AND(OR(Nonlabor!$D$27="Both",Nonlabor!$D$27='Start Here'!$B$9),IF(Nonlabor!$E$27="Core",1,IF(Nonlabor!$E$27="AI",'Start Here'!$B$7,'Start Here'!$B$8))=1,C2614&gt;=IF(Nonlabor!$E$27="Core",Nonlabor!$F$27,MAX(Nonlabor!$F$27,IF(Nonlabor!$E$27="AI",Assumptions!$D$24,Assumptions!$D$25))),C2614&lt;=Nonlabor!$G$27,OR(Nonlabor!$H$27="Monthly",AND(Nonlabor!$H$27="Once",C2614=IF(Nonlabor!$E$27="Core",Nonlabor!$F$27,MAX(Nonlabor!$F$27,IF(Nonlabor!$E$27="AI",Assumptions!$D$24,Assumptions!$D$25)))),AND(Nonlabor!$H$27="Annual",MOD(C2614-IF(Nonlabor!$E$27="Core",Nonlabor!$F$27,MAX(Nonlabor!$F$27,IF(Nonlabor!$E$27="AI",Assumptions!$D$24,Assumptions!$D$25))),12)=0))),IF(Nonlabor!$I$27="Fixed",1,IF(Nonlabor!$I$27="Seats",ROUNDUP('Monthly Base'!I34,0),IF(Nonlabor!$I$27="Customers",'Monthly Base'!D34,IF(Nonlabor!$I$27="NewCustomers",'Monthly Base'!C34,IF(Nonlabor!$I$27="StorageGB",'Monthly Base'!G34,IF(Nonlabor!$I$27="LogGB",'Monthly Base'!H34,IF(Nonlabor!$I$27="RequestsM",'Monthly Base'!F34,IF(Nonlabor!$I$27="InputM",'Monthly Base'!D34*Assumptions!$D$22/1000000,IF(Nonlabor!$I$27="OutputM",'Monthly Base'!D34*Assumptions!$D$23/1000000,0))))))))),0)</f>
        <v>0</v>
      </c>
      <c r="F2614" s="10" t="n">
        <f aca="false">Nonlabor!$J$27*(1+Assumptions!$D$9)^INT((C2614-1)/12)</f>
        <v>42436</v>
      </c>
      <c r="G2614" s="10" t="n">
        <f aca="false">E2614*F2614</f>
        <v>0</v>
      </c>
      <c r="H2614" s="10" t="n">
        <f aca="false">IF(OR(Nonlabor!$L$27="Quote required",Nonlabor!$L$27="Unverified"),G2614,0)</f>
        <v>0</v>
      </c>
      <c r="I2614" s="10" t="n">
        <f aca="false">IF(Nonlabor!$E$27="Core",0,G2614)</f>
        <v>0</v>
      </c>
      <c r="J2614" s="23" t="str">
        <f aca="false">Nonlabor!$B$27</f>
        <v>CTMS</v>
      </c>
    </row>
    <row r="2615" customFormat="false" ht="15" hidden="false" customHeight="false" outlineLevel="0" collapsed="false">
      <c r="A2615" s="6" t="s">
        <v>4</v>
      </c>
      <c r="B2615" s="6" t="s">
        <v>439</v>
      </c>
      <c r="C2615" s="6" t="n">
        <v>30</v>
      </c>
      <c r="D2615" s="25" t="n">
        <f aca="false">EDATE('Start Here'!$B$6,C2615-1)</f>
        <v>47209</v>
      </c>
      <c r="E2615" s="23" t="n">
        <f aca="false">IF(AND(OR(Nonlabor!$D$27="Both",Nonlabor!$D$27='Start Here'!$B$9),IF(Nonlabor!$E$27="Core",1,IF(Nonlabor!$E$27="AI",'Start Here'!$B$7,'Start Here'!$B$8))=1,C2615&gt;=IF(Nonlabor!$E$27="Core",Nonlabor!$F$27,MAX(Nonlabor!$F$27,IF(Nonlabor!$E$27="AI",Assumptions!$D$24,Assumptions!$D$25))),C2615&lt;=Nonlabor!$G$27,OR(Nonlabor!$H$27="Monthly",AND(Nonlabor!$H$27="Once",C2615=IF(Nonlabor!$E$27="Core",Nonlabor!$F$27,MAX(Nonlabor!$F$27,IF(Nonlabor!$E$27="AI",Assumptions!$D$24,Assumptions!$D$25)))),AND(Nonlabor!$H$27="Annual",MOD(C2615-IF(Nonlabor!$E$27="Core",Nonlabor!$F$27,MAX(Nonlabor!$F$27,IF(Nonlabor!$E$27="AI",Assumptions!$D$24,Assumptions!$D$25))),12)=0))),IF(Nonlabor!$I$27="Fixed",1,IF(Nonlabor!$I$27="Seats",ROUNDUP('Monthly Base'!I35,0),IF(Nonlabor!$I$27="Customers",'Monthly Base'!D35,IF(Nonlabor!$I$27="NewCustomers",'Monthly Base'!C35,IF(Nonlabor!$I$27="StorageGB",'Monthly Base'!G35,IF(Nonlabor!$I$27="LogGB",'Monthly Base'!H35,IF(Nonlabor!$I$27="RequestsM",'Monthly Base'!F35,IF(Nonlabor!$I$27="InputM",'Monthly Base'!D35*Assumptions!$D$22/1000000,IF(Nonlabor!$I$27="OutputM",'Monthly Base'!D35*Assumptions!$D$23/1000000,0))))))))),0)</f>
        <v>0</v>
      </c>
      <c r="F2615" s="10" t="n">
        <f aca="false">Nonlabor!$J$27*(1+Assumptions!$D$9)^INT((C2615-1)/12)</f>
        <v>42436</v>
      </c>
      <c r="G2615" s="10" t="n">
        <f aca="false">E2615*F2615</f>
        <v>0</v>
      </c>
      <c r="H2615" s="10" t="n">
        <f aca="false">IF(OR(Nonlabor!$L$27="Quote required",Nonlabor!$L$27="Unverified"),G2615,0)</f>
        <v>0</v>
      </c>
      <c r="I2615" s="10" t="n">
        <f aca="false">IF(Nonlabor!$E$27="Core",0,G2615)</f>
        <v>0</v>
      </c>
      <c r="J2615" s="23" t="str">
        <f aca="false">Nonlabor!$B$27</f>
        <v>CTMS</v>
      </c>
    </row>
    <row r="2616" customFormat="false" ht="15" hidden="false" customHeight="false" outlineLevel="0" collapsed="false">
      <c r="A2616" s="6" t="s">
        <v>4</v>
      </c>
      <c r="B2616" s="6" t="s">
        <v>439</v>
      </c>
      <c r="C2616" s="6" t="n">
        <v>31</v>
      </c>
      <c r="D2616" s="25" t="n">
        <f aca="false">EDATE('Start Here'!$B$6,C2616-1)</f>
        <v>47239</v>
      </c>
      <c r="E2616" s="23" t="n">
        <f aca="false">IF(AND(OR(Nonlabor!$D$27="Both",Nonlabor!$D$27='Start Here'!$B$9),IF(Nonlabor!$E$27="Core",1,IF(Nonlabor!$E$27="AI",'Start Here'!$B$7,'Start Here'!$B$8))=1,C2616&gt;=IF(Nonlabor!$E$27="Core",Nonlabor!$F$27,MAX(Nonlabor!$F$27,IF(Nonlabor!$E$27="AI",Assumptions!$D$24,Assumptions!$D$25))),C2616&lt;=Nonlabor!$G$27,OR(Nonlabor!$H$27="Monthly",AND(Nonlabor!$H$27="Once",C2616=IF(Nonlabor!$E$27="Core",Nonlabor!$F$27,MAX(Nonlabor!$F$27,IF(Nonlabor!$E$27="AI",Assumptions!$D$24,Assumptions!$D$25)))),AND(Nonlabor!$H$27="Annual",MOD(C2616-IF(Nonlabor!$E$27="Core",Nonlabor!$F$27,MAX(Nonlabor!$F$27,IF(Nonlabor!$E$27="AI",Assumptions!$D$24,Assumptions!$D$25))),12)=0))),IF(Nonlabor!$I$27="Fixed",1,IF(Nonlabor!$I$27="Seats",ROUNDUP('Monthly Base'!I36,0),IF(Nonlabor!$I$27="Customers",'Monthly Base'!D36,IF(Nonlabor!$I$27="NewCustomers",'Monthly Base'!C36,IF(Nonlabor!$I$27="StorageGB",'Monthly Base'!G36,IF(Nonlabor!$I$27="LogGB",'Monthly Base'!H36,IF(Nonlabor!$I$27="RequestsM",'Monthly Base'!F36,IF(Nonlabor!$I$27="InputM",'Monthly Base'!D36*Assumptions!$D$22/1000000,IF(Nonlabor!$I$27="OutputM",'Monthly Base'!D36*Assumptions!$D$23/1000000,0))))))))),0)</f>
        <v>0</v>
      </c>
      <c r="F2616" s="10" t="n">
        <f aca="false">Nonlabor!$J$27*(1+Assumptions!$D$9)^INT((C2616-1)/12)</f>
        <v>42436</v>
      </c>
      <c r="G2616" s="10" t="n">
        <f aca="false">E2616*F2616</f>
        <v>0</v>
      </c>
      <c r="H2616" s="10" t="n">
        <f aca="false">IF(OR(Nonlabor!$L$27="Quote required",Nonlabor!$L$27="Unverified"),G2616,0)</f>
        <v>0</v>
      </c>
      <c r="I2616" s="10" t="n">
        <f aca="false">IF(Nonlabor!$E$27="Core",0,G2616)</f>
        <v>0</v>
      </c>
      <c r="J2616" s="23" t="str">
        <f aca="false">Nonlabor!$B$27</f>
        <v>CTMS</v>
      </c>
    </row>
    <row r="2617" customFormat="false" ht="15" hidden="false" customHeight="false" outlineLevel="0" collapsed="false">
      <c r="A2617" s="6" t="s">
        <v>4</v>
      </c>
      <c r="B2617" s="6" t="s">
        <v>439</v>
      </c>
      <c r="C2617" s="6" t="n">
        <v>32</v>
      </c>
      <c r="D2617" s="25" t="n">
        <f aca="false">EDATE('Start Here'!$B$6,C2617-1)</f>
        <v>47270</v>
      </c>
      <c r="E2617" s="23" t="n">
        <f aca="false">IF(AND(OR(Nonlabor!$D$27="Both",Nonlabor!$D$27='Start Here'!$B$9),IF(Nonlabor!$E$27="Core",1,IF(Nonlabor!$E$27="AI",'Start Here'!$B$7,'Start Here'!$B$8))=1,C2617&gt;=IF(Nonlabor!$E$27="Core",Nonlabor!$F$27,MAX(Nonlabor!$F$27,IF(Nonlabor!$E$27="AI",Assumptions!$D$24,Assumptions!$D$25))),C2617&lt;=Nonlabor!$G$27,OR(Nonlabor!$H$27="Monthly",AND(Nonlabor!$H$27="Once",C2617=IF(Nonlabor!$E$27="Core",Nonlabor!$F$27,MAX(Nonlabor!$F$27,IF(Nonlabor!$E$27="AI",Assumptions!$D$24,Assumptions!$D$25)))),AND(Nonlabor!$H$27="Annual",MOD(C2617-IF(Nonlabor!$E$27="Core",Nonlabor!$F$27,MAX(Nonlabor!$F$27,IF(Nonlabor!$E$27="AI",Assumptions!$D$24,Assumptions!$D$25))),12)=0))),IF(Nonlabor!$I$27="Fixed",1,IF(Nonlabor!$I$27="Seats",ROUNDUP('Monthly Base'!I37,0),IF(Nonlabor!$I$27="Customers",'Monthly Base'!D37,IF(Nonlabor!$I$27="NewCustomers",'Monthly Base'!C37,IF(Nonlabor!$I$27="StorageGB",'Monthly Base'!G37,IF(Nonlabor!$I$27="LogGB",'Monthly Base'!H37,IF(Nonlabor!$I$27="RequestsM",'Monthly Base'!F37,IF(Nonlabor!$I$27="InputM",'Monthly Base'!D37*Assumptions!$D$22/1000000,IF(Nonlabor!$I$27="OutputM",'Monthly Base'!D37*Assumptions!$D$23/1000000,0))))))))),0)</f>
        <v>0</v>
      </c>
      <c r="F2617" s="10" t="n">
        <f aca="false">Nonlabor!$J$27*(1+Assumptions!$D$9)^INT((C2617-1)/12)</f>
        <v>42436</v>
      </c>
      <c r="G2617" s="10" t="n">
        <f aca="false">E2617*F2617</f>
        <v>0</v>
      </c>
      <c r="H2617" s="10" t="n">
        <f aca="false">IF(OR(Nonlabor!$L$27="Quote required",Nonlabor!$L$27="Unverified"),G2617,0)</f>
        <v>0</v>
      </c>
      <c r="I2617" s="10" t="n">
        <f aca="false">IF(Nonlabor!$E$27="Core",0,G2617)</f>
        <v>0</v>
      </c>
      <c r="J2617" s="23" t="str">
        <f aca="false">Nonlabor!$B$27</f>
        <v>CTMS</v>
      </c>
    </row>
    <row r="2618" customFormat="false" ht="15" hidden="false" customHeight="false" outlineLevel="0" collapsed="false">
      <c r="A2618" s="6" t="s">
        <v>4</v>
      </c>
      <c r="B2618" s="6" t="s">
        <v>439</v>
      </c>
      <c r="C2618" s="6" t="n">
        <v>33</v>
      </c>
      <c r="D2618" s="25" t="n">
        <f aca="false">EDATE('Start Here'!$B$6,C2618-1)</f>
        <v>47300</v>
      </c>
      <c r="E2618" s="23" t="n">
        <f aca="false">IF(AND(OR(Nonlabor!$D$27="Both",Nonlabor!$D$27='Start Here'!$B$9),IF(Nonlabor!$E$27="Core",1,IF(Nonlabor!$E$27="AI",'Start Here'!$B$7,'Start Here'!$B$8))=1,C2618&gt;=IF(Nonlabor!$E$27="Core",Nonlabor!$F$27,MAX(Nonlabor!$F$27,IF(Nonlabor!$E$27="AI",Assumptions!$D$24,Assumptions!$D$25))),C2618&lt;=Nonlabor!$G$27,OR(Nonlabor!$H$27="Monthly",AND(Nonlabor!$H$27="Once",C2618=IF(Nonlabor!$E$27="Core",Nonlabor!$F$27,MAX(Nonlabor!$F$27,IF(Nonlabor!$E$27="AI",Assumptions!$D$24,Assumptions!$D$25)))),AND(Nonlabor!$H$27="Annual",MOD(C2618-IF(Nonlabor!$E$27="Core",Nonlabor!$F$27,MAX(Nonlabor!$F$27,IF(Nonlabor!$E$27="AI",Assumptions!$D$24,Assumptions!$D$25))),12)=0))),IF(Nonlabor!$I$27="Fixed",1,IF(Nonlabor!$I$27="Seats",ROUNDUP('Monthly Base'!I38,0),IF(Nonlabor!$I$27="Customers",'Monthly Base'!D38,IF(Nonlabor!$I$27="NewCustomers",'Monthly Base'!C38,IF(Nonlabor!$I$27="StorageGB",'Monthly Base'!G38,IF(Nonlabor!$I$27="LogGB",'Monthly Base'!H38,IF(Nonlabor!$I$27="RequestsM",'Monthly Base'!F38,IF(Nonlabor!$I$27="InputM",'Monthly Base'!D38*Assumptions!$D$22/1000000,IF(Nonlabor!$I$27="OutputM",'Monthly Base'!D38*Assumptions!$D$23/1000000,0))))))))),0)</f>
        <v>0</v>
      </c>
      <c r="F2618" s="10" t="n">
        <f aca="false">Nonlabor!$J$27*(1+Assumptions!$D$9)^INT((C2618-1)/12)</f>
        <v>42436</v>
      </c>
      <c r="G2618" s="10" t="n">
        <f aca="false">E2618*F2618</f>
        <v>0</v>
      </c>
      <c r="H2618" s="10" t="n">
        <f aca="false">IF(OR(Nonlabor!$L$27="Quote required",Nonlabor!$L$27="Unverified"),G2618,0)</f>
        <v>0</v>
      </c>
      <c r="I2618" s="10" t="n">
        <f aca="false">IF(Nonlabor!$E$27="Core",0,G2618)</f>
        <v>0</v>
      </c>
      <c r="J2618" s="23" t="str">
        <f aca="false">Nonlabor!$B$27</f>
        <v>CTMS</v>
      </c>
    </row>
    <row r="2619" customFormat="false" ht="15" hidden="false" customHeight="false" outlineLevel="0" collapsed="false">
      <c r="A2619" s="6" t="s">
        <v>4</v>
      </c>
      <c r="B2619" s="6" t="s">
        <v>439</v>
      </c>
      <c r="C2619" s="6" t="n">
        <v>34</v>
      </c>
      <c r="D2619" s="25" t="n">
        <f aca="false">EDATE('Start Here'!$B$6,C2619-1)</f>
        <v>47331</v>
      </c>
      <c r="E2619" s="23" t="n">
        <f aca="false">IF(AND(OR(Nonlabor!$D$27="Both",Nonlabor!$D$27='Start Here'!$B$9),IF(Nonlabor!$E$27="Core",1,IF(Nonlabor!$E$27="AI",'Start Here'!$B$7,'Start Here'!$B$8))=1,C2619&gt;=IF(Nonlabor!$E$27="Core",Nonlabor!$F$27,MAX(Nonlabor!$F$27,IF(Nonlabor!$E$27="AI",Assumptions!$D$24,Assumptions!$D$25))),C2619&lt;=Nonlabor!$G$27,OR(Nonlabor!$H$27="Monthly",AND(Nonlabor!$H$27="Once",C2619=IF(Nonlabor!$E$27="Core",Nonlabor!$F$27,MAX(Nonlabor!$F$27,IF(Nonlabor!$E$27="AI",Assumptions!$D$24,Assumptions!$D$25)))),AND(Nonlabor!$H$27="Annual",MOD(C2619-IF(Nonlabor!$E$27="Core",Nonlabor!$F$27,MAX(Nonlabor!$F$27,IF(Nonlabor!$E$27="AI",Assumptions!$D$24,Assumptions!$D$25))),12)=0))),IF(Nonlabor!$I$27="Fixed",1,IF(Nonlabor!$I$27="Seats",ROUNDUP('Monthly Base'!I39,0),IF(Nonlabor!$I$27="Customers",'Monthly Base'!D39,IF(Nonlabor!$I$27="NewCustomers",'Monthly Base'!C39,IF(Nonlabor!$I$27="StorageGB",'Monthly Base'!G39,IF(Nonlabor!$I$27="LogGB",'Monthly Base'!H39,IF(Nonlabor!$I$27="RequestsM",'Monthly Base'!F39,IF(Nonlabor!$I$27="InputM",'Monthly Base'!D39*Assumptions!$D$22/1000000,IF(Nonlabor!$I$27="OutputM",'Monthly Base'!D39*Assumptions!$D$23/1000000,0))))))))),0)</f>
        <v>0</v>
      </c>
      <c r="F2619" s="10" t="n">
        <f aca="false">Nonlabor!$J$27*(1+Assumptions!$D$9)^INT((C2619-1)/12)</f>
        <v>42436</v>
      </c>
      <c r="G2619" s="10" t="n">
        <f aca="false">E2619*F2619</f>
        <v>0</v>
      </c>
      <c r="H2619" s="10" t="n">
        <f aca="false">IF(OR(Nonlabor!$L$27="Quote required",Nonlabor!$L$27="Unverified"),G2619,0)</f>
        <v>0</v>
      </c>
      <c r="I2619" s="10" t="n">
        <f aca="false">IF(Nonlabor!$E$27="Core",0,G2619)</f>
        <v>0</v>
      </c>
      <c r="J2619" s="23" t="str">
        <f aca="false">Nonlabor!$B$27</f>
        <v>CTMS</v>
      </c>
    </row>
    <row r="2620" customFormat="false" ht="15" hidden="false" customHeight="false" outlineLevel="0" collapsed="false">
      <c r="A2620" s="6" t="s">
        <v>4</v>
      </c>
      <c r="B2620" s="6" t="s">
        <v>439</v>
      </c>
      <c r="C2620" s="6" t="n">
        <v>35</v>
      </c>
      <c r="D2620" s="25" t="n">
        <f aca="false">EDATE('Start Here'!$B$6,C2620-1)</f>
        <v>47362</v>
      </c>
      <c r="E2620" s="23" t="n">
        <f aca="false">IF(AND(OR(Nonlabor!$D$27="Both",Nonlabor!$D$27='Start Here'!$B$9),IF(Nonlabor!$E$27="Core",1,IF(Nonlabor!$E$27="AI",'Start Here'!$B$7,'Start Here'!$B$8))=1,C2620&gt;=IF(Nonlabor!$E$27="Core",Nonlabor!$F$27,MAX(Nonlabor!$F$27,IF(Nonlabor!$E$27="AI",Assumptions!$D$24,Assumptions!$D$25))),C2620&lt;=Nonlabor!$G$27,OR(Nonlabor!$H$27="Monthly",AND(Nonlabor!$H$27="Once",C2620=IF(Nonlabor!$E$27="Core",Nonlabor!$F$27,MAX(Nonlabor!$F$27,IF(Nonlabor!$E$27="AI",Assumptions!$D$24,Assumptions!$D$25)))),AND(Nonlabor!$H$27="Annual",MOD(C2620-IF(Nonlabor!$E$27="Core",Nonlabor!$F$27,MAX(Nonlabor!$F$27,IF(Nonlabor!$E$27="AI",Assumptions!$D$24,Assumptions!$D$25))),12)=0))),IF(Nonlabor!$I$27="Fixed",1,IF(Nonlabor!$I$27="Seats",ROUNDUP('Monthly Base'!I40,0),IF(Nonlabor!$I$27="Customers",'Monthly Base'!D40,IF(Nonlabor!$I$27="NewCustomers",'Monthly Base'!C40,IF(Nonlabor!$I$27="StorageGB",'Monthly Base'!G40,IF(Nonlabor!$I$27="LogGB",'Monthly Base'!H40,IF(Nonlabor!$I$27="RequestsM",'Monthly Base'!F40,IF(Nonlabor!$I$27="InputM",'Monthly Base'!D40*Assumptions!$D$22/1000000,IF(Nonlabor!$I$27="OutputM",'Monthly Base'!D40*Assumptions!$D$23/1000000,0))))))))),0)</f>
        <v>0</v>
      </c>
      <c r="F2620" s="10" t="n">
        <f aca="false">Nonlabor!$J$27*(1+Assumptions!$D$9)^INT((C2620-1)/12)</f>
        <v>42436</v>
      </c>
      <c r="G2620" s="10" t="n">
        <f aca="false">E2620*F2620</f>
        <v>0</v>
      </c>
      <c r="H2620" s="10" t="n">
        <f aca="false">IF(OR(Nonlabor!$L$27="Quote required",Nonlabor!$L$27="Unverified"),G2620,0)</f>
        <v>0</v>
      </c>
      <c r="I2620" s="10" t="n">
        <f aca="false">IF(Nonlabor!$E$27="Core",0,G2620)</f>
        <v>0</v>
      </c>
      <c r="J2620" s="23" t="str">
        <f aca="false">Nonlabor!$B$27</f>
        <v>CTMS</v>
      </c>
    </row>
    <row r="2621" customFormat="false" ht="15" hidden="false" customHeight="false" outlineLevel="0" collapsed="false">
      <c r="A2621" s="6" t="s">
        <v>4</v>
      </c>
      <c r="B2621" s="6" t="s">
        <v>439</v>
      </c>
      <c r="C2621" s="6" t="n">
        <v>36</v>
      </c>
      <c r="D2621" s="25" t="n">
        <f aca="false">EDATE('Start Here'!$B$6,C2621-1)</f>
        <v>47392</v>
      </c>
      <c r="E2621" s="23" t="n">
        <f aca="false">IF(AND(OR(Nonlabor!$D$27="Both",Nonlabor!$D$27='Start Here'!$B$9),IF(Nonlabor!$E$27="Core",1,IF(Nonlabor!$E$27="AI",'Start Here'!$B$7,'Start Here'!$B$8))=1,C2621&gt;=IF(Nonlabor!$E$27="Core",Nonlabor!$F$27,MAX(Nonlabor!$F$27,IF(Nonlabor!$E$27="AI",Assumptions!$D$24,Assumptions!$D$25))),C2621&lt;=Nonlabor!$G$27,OR(Nonlabor!$H$27="Monthly",AND(Nonlabor!$H$27="Once",C2621=IF(Nonlabor!$E$27="Core",Nonlabor!$F$27,MAX(Nonlabor!$F$27,IF(Nonlabor!$E$27="AI",Assumptions!$D$24,Assumptions!$D$25)))),AND(Nonlabor!$H$27="Annual",MOD(C2621-IF(Nonlabor!$E$27="Core",Nonlabor!$F$27,MAX(Nonlabor!$F$27,IF(Nonlabor!$E$27="AI",Assumptions!$D$24,Assumptions!$D$25))),12)=0))),IF(Nonlabor!$I$27="Fixed",1,IF(Nonlabor!$I$27="Seats",ROUNDUP('Monthly Base'!I41,0),IF(Nonlabor!$I$27="Customers",'Monthly Base'!D41,IF(Nonlabor!$I$27="NewCustomers",'Monthly Base'!C41,IF(Nonlabor!$I$27="StorageGB",'Monthly Base'!G41,IF(Nonlabor!$I$27="LogGB",'Monthly Base'!H41,IF(Nonlabor!$I$27="RequestsM",'Monthly Base'!F41,IF(Nonlabor!$I$27="InputM",'Monthly Base'!D41*Assumptions!$D$22/1000000,IF(Nonlabor!$I$27="OutputM",'Monthly Base'!D41*Assumptions!$D$23/1000000,0))))))))),0)</f>
        <v>0</v>
      </c>
      <c r="F2621" s="10" t="n">
        <f aca="false">Nonlabor!$J$27*(1+Assumptions!$D$9)^INT((C2621-1)/12)</f>
        <v>42436</v>
      </c>
      <c r="G2621" s="10" t="n">
        <f aca="false">E2621*F2621</f>
        <v>0</v>
      </c>
      <c r="H2621" s="10" t="n">
        <f aca="false">IF(OR(Nonlabor!$L$27="Quote required",Nonlabor!$L$27="Unverified"),G2621,0)</f>
        <v>0</v>
      </c>
      <c r="I2621" s="10" t="n">
        <f aca="false">IF(Nonlabor!$E$27="Core",0,G2621)</f>
        <v>0</v>
      </c>
      <c r="J2621" s="23" t="str">
        <f aca="false">Nonlabor!$B$27</f>
        <v>CTMS</v>
      </c>
    </row>
    <row r="2622" customFormat="false" ht="15" hidden="false" customHeight="false" outlineLevel="0" collapsed="false">
      <c r="A2622" s="6" t="s">
        <v>4</v>
      </c>
      <c r="B2622" s="6" t="s">
        <v>439</v>
      </c>
      <c r="C2622" s="6" t="n">
        <v>37</v>
      </c>
      <c r="D2622" s="25" t="n">
        <f aca="false">EDATE('Start Here'!$B$6,C2622-1)</f>
        <v>47423</v>
      </c>
      <c r="E2622" s="23" t="n">
        <f aca="false">IF(AND(OR(Nonlabor!$D$27="Both",Nonlabor!$D$27='Start Here'!$B$9),IF(Nonlabor!$E$27="Core",1,IF(Nonlabor!$E$27="AI",'Start Here'!$B$7,'Start Here'!$B$8))=1,C2622&gt;=IF(Nonlabor!$E$27="Core",Nonlabor!$F$27,MAX(Nonlabor!$F$27,IF(Nonlabor!$E$27="AI",Assumptions!$D$24,Assumptions!$D$25))),C2622&lt;=Nonlabor!$G$27,OR(Nonlabor!$H$27="Monthly",AND(Nonlabor!$H$27="Once",C2622=IF(Nonlabor!$E$27="Core",Nonlabor!$F$27,MAX(Nonlabor!$F$27,IF(Nonlabor!$E$27="AI",Assumptions!$D$24,Assumptions!$D$25)))),AND(Nonlabor!$H$27="Annual",MOD(C2622-IF(Nonlabor!$E$27="Core",Nonlabor!$F$27,MAX(Nonlabor!$F$27,IF(Nonlabor!$E$27="AI",Assumptions!$D$24,Assumptions!$D$25))),12)=0))),IF(Nonlabor!$I$27="Fixed",1,IF(Nonlabor!$I$27="Seats",ROUNDUP('Monthly Base'!I42,0),IF(Nonlabor!$I$27="Customers",'Monthly Base'!D42,IF(Nonlabor!$I$27="NewCustomers",'Monthly Base'!C42,IF(Nonlabor!$I$27="StorageGB",'Monthly Base'!G42,IF(Nonlabor!$I$27="LogGB",'Monthly Base'!H42,IF(Nonlabor!$I$27="RequestsM",'Monthly Base'!F42,IF(Nonlabor!$I$27="InputM",'Monthly Base'!D42*Assumptions!$D$22/1000000,IF(Nonlabor!$I$27="OutputM",'Monthly Base'!D42*Assumptions!$D$23/1000000,0))))))))),0)</f>
        <v>0</v>
      </c>
      <c r="F2622" s="10" t="n">
        <f aca="false">Nonlabor!$J$27*(1+Assumptions!$D$9)^INT((C2622-1)/12)</f>
        <v>43709.08</v>
      </c>
      <c r="G2622" s="10" t="n">
        <f aca="false">E2622*F2622</f>
        <v>0</v>
      </c>
      <c r="H2622" s="10" t="n">
        <f aca="false">IF(OR(Nonlabor!$L$27="Quote required",Nonlabor!$L$27="Unverified"),G2622,0)</f>
        <v>0</v>
      </c>
      <c r="I2622" s="10" t="n">
        <f aca="false">IF(Nonlabor!$E$27="Core",0,G2622)</f>
        <v>0</v>
      </c>
      <c r="J2622" s="23" t="str">
        <f aca="false">Nonlabor!$B$27</f>
        <v>CTMS</v>
      </c>
    </row>
    <row r="2623" customFormat="false" ht="15" hidden="false" customHeight="false" outlineLevel="0" collapsed="false">
      <c r="A2623" s="6" t="s">
        <v>4</v>
      </c>
      <c r="B2623" s="6" t="s">
        <v>439</v>
      </c>
      <c r="C2623" s="6" t="n">
        <v>38</v>
      </c>
      <c r="D2623" s="25" t="n">
        <f aca="false">EDATE('Start Here'!$B$6,C2623-1)</f>
        <v>47453</v>
      </c>
      <c r="E2623" s="23" t="n">
        <f aca="false">IF(AND(OR(Nonlabor!$D$27="Both",Nonlabor!$D$27='Start Here'!$B$9),IF(Nonlabor!$E$27="Core",1,IF(Nonlabor!$E$27="AI",'Start Here'!$B$7,'Start Here'!$B$8))=1,C2623&gt;=IF(Nonlabor!$E$27="Core",Nonlabor!$F$27,MAX(Nonlabor!$F$27,IF(Nonlabor!$E$27="AI",Assumptions!$D$24,Assumptions!$D$25))),C2623&lt;=Nonlabor!$G$27,OR(Nonlabor!$H$27="Monthly",AND(Nonlabor!$H$27="Once",C2623=IF(Nonlabor!$E$27="Core",Nonlabor!$F$27,MAX(Nonlabor!$F$27,IF(Nonlabor!$E$27="AI",Assumptions!$D$24,Assumptions!$D$25)))),AND(Nonlabor!$H$27="Annual",MOD(C2623-IF(Nonlabor!$E$27="Core",Nonlabor!$F$27,MAX(Nonlabor!$F$27,IF(Nonlabor!$E$27="AI",Assumptions!$D$24,Assumptions!$D$25))),12)=0))),IF(Nonlabor!$I$27="Fixed",1,IF(Nonlabor!$I$27="Seats",ROUNDUP('Monthly Base'!I43,0),IF(Nonlabor!$I$27="Customers",'Monthly Base'!D43,IF(Nonlabor!$I$27="NewCustomers",'Monthly Base'!C43,IF(Nonlabor!$I$27="StorageGB",'Monthly Base'!G43,IF(Nonlabor!$I$27="LogGB",'Monthly Base'!H43,IF(Nonlabor!$I$27="RequestsM",'Monthly Base'!F43,IF(Nonlabor!$I$27="InputM",'Monthly Base'!D43*Assumptions!$D$22/1000000,IF(Nonlabor!$I$27="OutputM",'Monthly Base'!D43*Assumptions!$D$23/1000000,0))))))))),0)</f>
        <v>0</v>
      </c>
      <c r="F2623" s="10" t="n">
        <f aca="false">Nonlabor!$J$27*(1+Assumptions!$D$9)^INT((C2623-1)/12)</f>
        <v>43709.08</v>
      </c>
      <c r="G2623" s="10" t="n">
        <f aca="false">E2623*F2623</f>
        <v>0</v>
      </c>
      <c r="H2623" s="10" t="n">
        <f aca="false">IF(OR(Nonlabor!$L$27="Quote required",Nonlabor!$L$27="Unverified"),G2623,0)</f>
        <v>0</v>
      </c>
      <c r="I2623" s="10" t="n">
        <f aca="false">IF(Nonlabor!$E$27="Core",0,G2623)</f>
        <v>0</v>
      </c>
      <c r="J2623" s="23" t="str">
        <f aca="false">Nonlabor!$B$27</f>
        <v>CTMS</v>
      </c>
    </row>
    <row r="2624" customFormat="false" ht="15" hidden="false" customHeight="false" outlineLevel="0" collapsed="false">
      <c r="A2624" s="6" t="s">
        <v>4</v>
      </c>
      <c r="B2624" s="6" t="s">
        <v>439</v>
      </c>
      <c r="C2624" s="6" t="n">
        <v>39</v>
      </c>
      <c r="D2624" s="25" t="n">
        <f aca="false">EDATE('Start Here'!$B$6,C2624-1)</f>
        <v>47484</v>
      </c>
      <c r="E2624" s="23" t="n">
        <f aca="false">IF(AND(OR(Nonlabor!$D$27="Both",Nonlabor!$D$27='Start Here'!$B$9),IF(Nonlabor!$E$27="Core",1,IF(Nonlabor!$E$27="AI",'Start Here'!$B$7,'Start Here'!$B$8))=1,C2624&gt;=IF(Nonlabor!$E$27="Core",Nonlabor!$F$27,MAX(Nonlabor!$F$27,IF(Nonlabor!$E$27="AI",Assumptions!$D$24,Assumptions!$D$25))),C2624&lt;=Nonlabor!$G$27,OR(Nonlabor!$H$27="Monthly",AND(Nonlabor!$H$27="Once",C2624=IF(Nonlabor!$E$27="Core",Nonlabor!$F$27,MAX(Nonlabor!$F$27,IF(Nonlabor!$E$27="AI",Assumptions!$D$24,Assumptions!$D$25)))),AND(Nonlabor!$H$27="Annual",MOD(C2624-IF(Nonlabor!$E$27="Core",Nonlabor!$F$27,MAX(Nonlabor!$F$27,IF(Nonlabor!$E$27="AI",Assumptions!$D$24,Assumptions!$D$25))),12)=0))),IF(Nonlabor!$I$27="Fixed",1,IF(Nonlabor!$I$27="Seats",ROUNDUP('Monthly Base'!I44,0),IF(Nonlabor!$I$27="Customers",'Monthly Base'!D44,IF(Nonlabor!$I$27="NewCustomers",'Monthly Base'!C44,IF(Nonlabor!$I$27="StorageGB",'Monthly Base'!G44,IF(Nonlabor!$I$27="LogGB",'Monthly Base'!H44,IF(Nonlabor!$I$27="RequestsM",'Monthly Base'!F44,IF(Nonlabor!$I$27="InputM",'Monthly Base'!D44*Assumptions!$D$22/1000000,IF(Nonlabor!$I$27="OutputM",'Monthly Base'!D44*Assumptions!$D$23/1000000,0))))))))),0)</f>
        <v>0</v>
      </c>
      <c r="F2624" s="10" t="n">
        <f aca="false">Nonlabor!$J$27*(1+Assumptions!$D$9)^INT((C2624-1)/12)</f>
        <v>43709.08</v>
      </c>
      <c r="G2624" s="10" t="n">
        <f aca="false">E2624*F2624</f>
        <v>0</v>
      </c>
      <c r="H2624" s="10" t="n">
        <f aca="false">IF(OR(Nonlabor!$L$27="Quote required",Nonlabor!$L$27="Unverified"),G2624,0)</f>
        <v>0</v>
      </c>
      <c r="I2624" s="10" t="n">
        <f aca="false">IF(Nonlabor!$E$27="Core",0,G2624)</f>
        <v>0</v>
      </c>
      <c r="J2624" s="23" t="str">
        <f aca="false">Nonlabor!$B$27</f>
        <v>CTMS</v>
      </c>
    </row>
    <row r="2625" customFormat="false" ht="15" hidden="false" customHeight="false" outlineLevel="0" collapsed="false">
      <c r="A2625" s="6" t="s">
        <v>4</v>
      </c>
      <c r="B2625" s="6" t="s">
        <v>439</v>
      </c>
      <c r="C2625" s="6" t="n">
        <v>40</v>
      </c>
      <c r="D2625" s="25" t="n">
        <f aca="false">EDATE('Start Here'!$B$6,C2625-1)</f>
        <v>47515</v>
      </c>
      <c r="E2625" s="23" t="n">
        <f aca="false">IF(AND(OR(Nonlabor!$D$27="Both",Nonlabor!$D$27='Start Here'!$B$9),IF(Nonlabor!$E$27="Core",1,IF(Nonlabor!$E$27="AI",'Start Here'!$B$7,'Start Here'!$B$8))=1,C2625&gt;=IF(Nonlabor!$E$27="Core",Nonlabor!$F$27,MAX(Nonlabor!$F$27,IF(Nonlabor!$E$27="AI",Assumptions!$D$24,Assumptions!$D$25))),C2625&lt;=Nonlabor!$G$27,OR(Nonlabor!$H$27="Monthly",AND(Nonlabor!$H$27="Once",C2625=IF(Nonlabor!$E$27="Core",Nonlabor!$F$27,MAX(Nonlabor!$F$27,IF(Nonlabor!$E$27="AI",Assumptions!$D$24,Assumptions!$D$25)))),AND(Nonlabor!$H$27="Annual",MOD(C2625-IF(Nonlabor!$E$27="Core",Nonlabor!$F$27,MAX(Nonlabor!$F$27,IF(Nonlabor!$E$27="AI",Assumptions!$D$24,Assumptions!$D$25))),12)=0))),IF(Nonlabor!$I$27="Fixed",1,IF(Nonlabor!$I$27="Seats",ROUNDUP('Monthly Base'!I45,0),IF(Nonlabor!$I$27="Customers",'Monthly Base'!D45,IF(Nonlabor!$I$27="NewCustomers",'Monthly Base'!C45,IF(Nonlabor!$I$27="StorageGB",'Monthly Base'!G45,IF(Nonlabor!$I$27="LogGB",'Monthly Base'!H45,IF(Nonlabor!$I$27="RequestsM",'Monthly Base'!F45,IF(Nonlabor!$I$27="InputM",'Monthly Base'!D45*Assumptions!$D$22/1000000,IF(Nonlabor!$I$27="OutputM",'Monthly Base'!D45*Assumptions!$D$23/1000000,0))))))))),0)</f>
        <v>0</v>
      </c>
      <c r="F2625" s="10" t="n">
        <f aca="false">Nonlabor!$J$27*(1+Assumptions!$D$9)^INT((C2625-1)/12)</f>
        <v>43709.08</v>
      </c>
      <c r="G2625" s="10" t="n">
        <f aca="false">E2625*F2625</f>
        <v>0</v>
      </c>
      <c r="H2625" s="10" t="n">
        <f aca="false">IF(OR(Nonlabor!$L$27="Quote required",Nonlabor!$L$27="Unverified"),G2625,0)</f>
        <v>0</v>
      </c>
      <c r="I2625" s="10" t="n">
        <f aca="false">IF(Nonlabor!$E$27="Core",0,G2625)</f>
        <v>0</v>
      </c>
      <c r="J2625" s="23" t="str">
        <f aca="false">Nonlabor!$B$27</f>
        <v>CTMS</v>
      </c>
    </row>
    <row r="2626" customFormat="false" ht="15" hidden="false" customHeight="false" outlineLevel="0" collapsed="false">
      <c r="A2626" s="6" t="s">
        <v>4</v>
      </c>
      <c r="B2626" s="6" t="s">
        <v>439</v>
      </c>
      <c r="C2626" s="6" t="n">
        <v>41</v>
      </c>
      <c r="D2626" s="25" t="n">
        <f aca="false">EDATE('Start Here'!$B$6,C2626-1)</f>
        <v>47543</v>
      </c>
      <c r="E2626" s="23" t="n">
        <f aca="false">IF(AND(OR(Nonlabor!$D$27="Both",Nonlabor!$D$27='Start Here'!$B$9),IF(Nonlabor!$E$27="Core",1,IF(Nonlabor!$E$27="AI",'Start Here'!$B$7,'Start Here'!$B$8))=1,C2626&gt;=IF(Nonlabor!$E$27="Core",Nonlabor!$F$27,MAX(Nonlabor!$F$27,IF(Nonlabor!$E$27="AI",Assumptions!$D$24,Assumptions!$D$25))),C2626&lt;=Nonlabor!$G$27,OR(Nonlabor!$H$27="Monthly",AND(Nonlabor!$H$27="Once",C2626=IF(Nonlabor!$E$27="Core",Nonlabor!$F$27,MAX(Nonlabor!$F$27,IF(Nonlabor!$E$27="AI",Assumptions!$D$24,Assumptions!$D$25)))),AND(Nonlabor!$H$27="Annual",MOD(C2626-IF(Nonlabor!$E$27="Core",Nonlabor!$F$27,MAX(Nonlabor!$F$27,IF(Nonlabor!$E$27="AI",Assumptions!$D$24,Assumptions!$D$25))),12)=0))),IF(Nonlabor!$I$27="Fixed",1,IF(Nonlabor!$I$27="Seats",ROUNDUP('Monthly Base'!I46,0),IF(Nonlabor!$I$27="Customers",'Monthly Base'!D46,IF(Nonlabor!$I$27="NewCustomers",'Monthly Base'!C46,IF(Nonlabor!$I$27="StorageGB",'Monthly Base'!G46,IF(Nonlabor!$I$27="LogGB",'Monthly Base'!H46,IF(Nonlabor!$I$27="RequestsM",'Monthly Base'!F46,IF(Nonlabor!$I$27="InputM",'Monthly Base'!D46*Assumptions!$D$22/1000000,IF(Nonlabor!$I$27="OutputM",'Monthly Base'!D46*Assumptions!$D$23/1000000,0))))))))),0)</f>
        <v>0</v>
      </c>
      <c r="F2626" s="10" t="n">
        <f aca="false">Nonlabor!$J$27*(1+Assumptions!$D$9)^INT((C2626-1)/12)</f>
        <v>43709.08</v>
      </c>
      <c r="G2626" s="10" t="n">
        <f aca="false">E2626*F2626</f>
        <v>0</v>
      </c>
      <c r="H2626" s="10" t="n">
        <f aca="false">IF(OR(Nonlabor!$L$27="Quote required",Nonlabor!$L$27="Unverified"),G2626,0)</f>
        <v>0</v>
      </c>
      <c r="I2626" s="10" t="n">
        <f aca="false">IF(Nonlabor!$E$27="Core",0,G2626)</f>
        <v>0</v>
      </c>
      <c r="J2626" s="23" t="str">
        <f aca="false">Nonlabor!$B$27</f>
        <v>CTMS</v>
      </c>
    </row>
    <row r="2627" customFormat="false" ht="15" hidden="false" customHeight="false" outlineLevel="0" collapsed="false">
      <c r="A2627" s="6" t="s">
        <v>4</v>
      </c>
      <c r="B2627" s="6" t="s">
        <v>439</v>
      </c>
      <c r="C2627" s="6" t="n">
        <v>42</v>
      </c>
      <c r="D2627" s="25" t="n">
        <f aca="false">EDATE('Start Here'!$B$6,C2627-1)</f>
        <v>47574</v>
      </c>
      <c r="E2627" s="23" t="n">
        <f aca="false">IF(AND(OR(Nonlabor!$D$27="Both",Nonlabor!$D$27='Start Here'!$B$9),IF(Nonlabor!$E$27="Core",1,IF(Nonlabor!$E$27="AI",'Start Here'!$B$7,'Start Here'!$B$8))=1,C2627&gt;=IF(Nonlabor!$E$27="Core",Nonlabor!$F$27,MAX(Nonlabor!$F$27,IF(Nonlabor!$E$27="AI",Assumptions!$D$24,Assumptions!$D$25))),C2627&lt;=Nonlabor!$G$27,OR(Nonlabor!$H$27="Monthly",AND(Nonlabor!$H$27="Once",C2627=IF(Nonlabor!$E$27="Core",Nonlabor!$F$27,MAX(Nonlabor!$F$27,IF(Nonlabor!$E$27="AI",Assumptions!$D$24,Assumptions!$D$25)))),AND(Nonlabor!$H$27="Annual",MOD(C2627-IF(Nonlabor!$E$27="Core",Nonlabor!$F$27,MAX(Nonlabor!$F$27,IF(Nonlabor!$E$27="AI",Assumptions!$D$24,Assumptions!$D$25))),12)=0))),IF(Nonlabor!$I$27="Fixed",1,IF(Nonlabor!$I$27="Seats",ROUNDUP('Monthly Base'!I47,0),IF(Nonlabor!$I$27="Customers",'Monthly Base'!D47,IF(Nonlabor!$I$27="NewCustomers",'Monthly Base'!C47,IF(Nonlabor!$I$27="StorageGB",'Monthly Base'!G47,IF(Nonlabor!$I$27="LogGB",'Monthly Base'!H47,IF(Nonlabor!$I$27="RequestsM",'Monthly Base'!F47,IF(Nonlabor!$I$27="InputM",'Monthly Base'!D47*Assumptions!$D$22/1000000,IF(Nonlabor!$I$27="OutputM",'Monthly Base'!D47*Assumptions!$D$23/1000000,0))))))))),0)</f>
        <v>0</v>
      </c>
      <c r="F2627" s="10" t="n">
        <f aca="false">Nonlabor!$J$27*(1+Assumptions!$D$9)^INT((C2627-1)/12)</f>
        <v>43709.08</v>
      </c>
      <c r="G2627" s="10" t="n">
        <f aca="false">E2627*F2627</f>
        <v>0</v>
      </c>
      <c r="H2627" s="10" t="n">
        <f aca="false">IF(OR(Nonlabor!$L$27="Quote required",Nonlabor!$L$27="Unverified"),G2627,0)</f>
        <v>0</v>
      </c>
      <c r="I2627" s="10" t="n">
        <f aca="false">IF(Nonlabor!$E$27="Core",0,G2627)</f>
        <v>0</v>
      </c>
      <c r="J2627" s="23" t="str">
        <f aca="false">Nonlabor!$B$27</f>
        <v>CTMS</v>
      </c>
    </row>
    <row r="2628" customFormat="false" ht="15" hidden="false" customHeight="false" outlineLevel="0" collapsed="false">
      <c r="A2628" s="6" t="s">
        <v>4</v>
      </c>
      <c r="B2628" s="6" t="s">
        <v>439</v>
      </c>
      <c r="C2628" s="6" t="n">
        <v>43</v>
      </c>
      <c r="D2628" s="25" t="n">
        <f aca="false">EDATE('Start Here'!$B$6,C2628-1)</f>
        <v>47604</v>
      </c>
      <c r="E2628" s="23" t="n">
        <f aca="false">IF(AND(OR(Nonlabor!$D$27="Both",Nonlabor!$D$27='Start Here'!$B$9),IF(Nonlabor!$E$27="Core",1,IF(Nonlabor!$E$27="AI",'Start Here'!$B$7,'Start Here'!$B$8))=1,C2628&gt;=IF(Nonlabor!$E$27="Core",Nonlabor!$F$27,MAX(Nonlabor!$F$27,IF(Nonlabor!$E$27="AI",Assumptions!$D$24,Assumptions!$D$25))),C2628&lt;=Nonlabor!$G$27,OR(Nonlabor!$H$27="Monthly",AND(Nonlabor!$H$27="Once",C2628=IF(Nonlabor!$E$27="Core",Nonlabor!$F$27,MAX(Nonlabor!$F$27,IF(Nonlabor!$E$27="AI",Assumptions!$D$24,Assumptions!$D$25)))),AND(Nonlabor!$H$27="Annual",MOD(C2628-IF(Nonlabor!$E$27="Core",Nonlabor!$F$27,MAX(Nonlabor!$F$27,IF(Nonlabor!$E$27="AI",Assumptions!$D$24,Assumptions!$D$25))),12)=0))),IF(Nonlabor!$I$27="Fixed",1,IF(Nonlabor!$I$27="Seats",ROUNDUP('Monthly Base'!I48,0),IF(Nonlabor!$I$27="Customers",'Monthly Base'!D48,IF(Nonlabor!$I$27="NewCustomers",'Monthly Base'!C48,IF(Nonlabor!$I$27="StorageGB",'Monthly Base'!G48,IF(Nonlabor!$I$27="LogGB",'Monthly Base'!H48,IF(Nonlabor!$I$27="RequestsM",'Monthly Base'!F48,IF(Nonlabor!$I$27="InputM",'Monthly Base'!D48*Assumptions!$D$22/1000000,IF(Nonlabor!$I$27="OutputM",'Monthly Base'!D48*Assumptions!$D$23/1000000,0))))))))),0)</f>
        <v>0</v>
      </c>
      <c r="F2628" s="10" t="n">
        <f aca="false">Nonlabor!$J$27*(1+Assumptions!$D$9)^INT((C2628-1)/12)</f>
        <v>43709.08</v>
      </c>
      <c r="G2628" s="10" t="n">
        <f aca="false">E2628*F2628</f>
        <v>0</v>
      </c>
      <c r="H2628" s="10" t="n">
        <f aca="false">IF(OR(Nonlabor!$L$27="Quote required",Nonlabor!$L$27="Unverified"),G2628,0)</f>
        <v>0</v>
      </c>
      <c r="I2628" s="10" t="n">
        <f aca="false">IF(Nonlabor!$E$27="Core",0,G2628)</f>
        <v>0</v>
      </c>
      <c r="J2628" s="23" t="str">
        <f aca="false">Nonlabor!$B$27</f>
        <v>CTMS</v>
      </c>
    </row>
    <row r="2629" customFormat="false" ht="15" hidden="false" customHeight="false" outlineLevel="0" collapsed="false">
      <c r="A2629" s="6" t="s">
        <v>4</v>
      </c>
      <c r="B2629" s="6" t="s">
        <v>439</v>
      </c>
      <c r="C2629" s="6" t="n">
        <v>44</v>
      </c>
      <c r="D2629" s="25" t="n">
        <f aca="false">EDATE('Start Here'!$B$6,C2629-1)</f>
        <v>47635</v>
      </c>
      <c r="E2629" s="23" t="n">
        <f aca="false">IF(AND(OR(Nonlabor!$D$27="Both",Nonlabor!$D$27='Start Here'!$B$9),IF(Nonlabor!$E$27="Core",1,IF(Nonlabor!$E$27="AI",'Start Here'!$B$7,'Start Here'!$B$8))=1,C2629&gt;=IF(Nonlabor!$E$27="Core",Nonlabor!$F$27,MAX(Nonlabor!$F$27,IF(Nonlabor!$E$27="AI",Assumptions!$D$24,Assumptions!$D$25))),C2629&lt;=Nonlabor!$G$27,OR(Nonlabor!$H$27="Monthly",AND(Nonlabor!$H$27="Once",C2629=IF(Nonlabor!$E$27="Core",Nonlabor!$F$27,MAX(Nonlabor!$F$27,IF(Nonlabor!$E$27="AI",Assumptions!$D$24,Assumptions!$D$25)))),AND(Nonlabor!$H$27="Annual",MOD(C2629-IF(Nonlabor!$E$27="Core",Nonlabor!$F$27,MAX(Nonlabor!$F$27,IF(Nonlabor!$E$27="AI",Assumptions!$D$24,Assumptions!$D$25))),12)=0))),IF(Nonlabor!$I$27="Fixed",1,IF(Nonlabor!$I$27="Seats",ROUNDUP('Monthly Base'!I49,0),IF(Nonlabor!$I$27="Customers",'Monthly Base'!D49,IF(Nonlabor!$I$27="NewCustomers",'Monthly Base'!C49,IF(Nonlabor!$I$27="StorageGB",'Monthly Base'!G49,IF(Nonlabor!$I$27="LogGB",'Monthly Base'!H49,IF(Nonlabor!$I$27="RequestsM",'Monthly Base'!F49,IF(Nonlabor!$I$27="InputM",'Monthly Base'!D49*Assumptions!$D$22/1000000,IF(Nonlabor!$I$27="OutputM",'Monthly Base'!D49*Assumptions!$D$23/1000000,0))))))))),0)</f>
        <v>0</v>
      </c>
      <c r="F2629" s="10" t="n">
        <f aca="false">Nonlabor!$J$27*(1+Assumptions!$D$9)^INT((C2629-1)/12)</f>
        <v>43709.08</v>
      </c>
      <c r="G2629" s="10" t="n">
        <f aca="false">E2629*F2629</f>
        <v>0</v>
      </c>
      <c r="H2629" s="10" t="n">
        <f aca="false">IF(OR(Nonlabor!$L$27="Quote required",Nonlabor!$L$27="Unverified"),G2629,0)</f>
        <v>0</v>
      </c>
      <c r="I2629" s="10" t="n">
        <f aca="false">IF(Nonlabor!$E$27="Core",0,G2629)</f>
        <v>0</v>
      </c>
      <c r="J2629" s="23" t="str">
        <f aca="false">Nonlabor!$B$27</f>
        <v>CTMS</v>
      </c>
    </row>
    <row r="2630" customFormat="false" ht="15" hidden="false" customHeight="false" outlineLevel="0" collapsed="false">
      <c r="A2630" s="6" t="s">
        <v>4</v>
      </c>
      <c r="B2630" s="6" t="s">
        <v>439</v>
      </c>
      <c r="C2630" s="6" t="n">
        <v>45</v>
      </c>
      <c r="D2630" s="25" t="n">
        <f aca="false">EDATE('Start Here'!$B$6,C2630-1)</f>
        <v>47665</v>
      </c>
      <c r="E2630" s="23" t="n">
        <f aca="false">IF(AND(OR(Nonlabor!$D$27="Both",Nonlabor!$D$27='Start Here'!$B$9),IF(Nonlabor!$E$27="Core",1,IF(Nonlabor!$E$27="AI",'Start Here'!$B$7,'Start Here'!$B$8))=1,C2630&gt;=IF(Nonlabor!$E$27="Core",Nonlabor!$F$27,MAX(Nonlabor!$F$27,IF(Nonlabor!$E$27="AI",Assumptions!$D$24,Assumptions!$D$25))),C2630&lt;=Nonlabor!$G$27,OR(Nonlabor!$H$27="Monthly",AND(Nonlabor!$H$27="Once",C2630=IF(Nonlabor!$E$27="Core",Nonlabor!$F$27,MAX(Nonlabor!$F$27,IF(Nonlabor!$E$27="AI",Assumptions!$D$24,Assumptions!$D$25)))),AND(Nonlabor!$H$27="Annual",MOD(C2630-IF(Nonlabor!$E$27="Core",Nonlabor!$F$27,MAX(Nonlabor!$F$27,IF(Nonlabor!$E$27="AI",Assumptions!$D$24,Assumptions!$D$25))),12)=0))),IF(Nonlabor!$I$27="Fixed",1,IF(Nonlabor!$I$27="Seats",ROUNDUP('Monthly Base'!I50,0),IF(Nonlabor!$I$27="Customers",'Monthly Base'!D50,IF(Nonlabor!$I$27="NewCustomers",'Monthly Base'!C50,IF(Nonlabor!$I$27="StorageGB",'Monthly Base'!G50,IF(Nonlabor!$I$27="LogGB",'Monthly Base'!H50,IF(Nonlabor!$I$27="RequestsM",'Monthly Base'!F50,IF(Nonlabor!$I$27="InputM",'Monthly Base'!D50*Assumptions!$D$22/1000000,IF(Nonlabor!$I$27="OutputM",'Monthly Base'!D50*Assumptions!$D$23/1000000,0))))))))),0)</f>
        <v>0</v>
      </c>
      <c r="F2630" s="10" t="n">
        <f aca="false">Nonlabor!$J$27*(1+Assumptions!$D$9)^INT((C2630-1)/12)</f>
        <v>43709.08</v>
      </c>
      <c r="G2630" s="10" t="n">
        <f aca="false">E2630*F2630</f>
        <v>0</v>
      </c>
      <c r="H2630" s="10" t="n">
        <f aca="false">IF(OR(Nonlabor!$L$27="Quote required",Nonlabor!$L$27="Unverified"),G2630,0)</f>
        <v>0</v>
      </c>
      <c r="I2630" s="10" t="n">
        <f aca="false">IF(Nonlabor!$E$27="Core",0,G2630)</f>
        <v>0</v>
      </c>
      <c r="J2630" s="23" t="str">
        <f aca="false">Nonlabor!$B$27</f>
        <v>CTMS</v>
      </c>
    </row>
    <row r="2631" customFormat="false" ht="15" hidden="false" customHeight="false" outlineLevel="0" collapsed="false">
      <c r="A2631" s="6" t="s">
        <v>4</v>
      </c>
      <c r="B2631" s="6" t="s">
        <v>439</v>
      </c>
      <c r="C2631" s="6" t="n">
        <v>46</v>
      </c>
      <c r="D2631" s="25" t="n">
        <f aca="false">EDATE('Start Here'!$B$6,C2631-1)</f>
        <v>47696</v>
      </c>
      <c r="E2631" s="23" t="n">
        <f aca="false">IF(AND(OR(Nonlabor!$D$27="Both",Nonlabor!$D$27='Start Here'!$B$9),IF(Nonlabor!$E$27="Core",1,IF(Nonlabor!$E$27="AI",'Start Here'!$B$7,'Start Here'!$B$8))=1,C2631&gt;=IF(Nonlabor!$E$27="Core",Nonlabor!$F$27,MAX(Nonlabor!$F$27,IF(Nonlabor!$E$27="AI",Assumptions!$D$24,Assumptions!$D$25))),C2631&lt;=Nonlabor!$G$27,OR(Nonlabor!$H$27="Monthly",AND(Nonlabor!$H$27="Once",C2631=IF(Nonlabor!$E$27="Core",Nonlabor!$F$27,MAX(Nonlabor!$F$27,IF(Nonlabor!$E$27="AI",Assumptions!$D$24,Assumptions!$D$25)))),AND(Nonlabor!$H$27="Annual",MOD(C2631-IF(Nonlabor!$E$27="Core",Nonlabor!$F$27,MAX(Nonlabor!$F$27,IF(Nonlabor!$E$27="AI",Assumptions!$D$24,Assumptions!$D$25))),12)=0))),IF(Nonlabor!$I$27="Fixed",1,IF(Nonlabor!$I$27="Seats",ROUNDUP('Monthly Base'!I51,0),IF(Nonlabor!$I$27="Customers",'Monthly Base'!D51,IF(Nonlabor!$I$27="NewCustomers",'Monthly Base'!C51,IF(Nonlabor!$I$27="StorageGB",'Monthly Base'!G51,IF(Nonlabor!$I$27="LogGB",'Monthly Base'!H51,IF(Nonlabor!$I$27="RequestsM",'Monthly Base'!F51,IF(Nonlabor!$I$27="InputM",'Monthly Base'!D51*Assumptions!$D$22/1000000,IF(Nonlabor!$I$27="OutputM",'Monthly Base'!D51*Assumptions!$D$23/1000000,0))))))))),0)</f>
        <v>0</v>
      </c>
      <c r="F2631" s="10" t="n">
        <f aca="false">Nonlabor!$J$27*(1+Assumptions!$D$9)^INT((C2631-1)/12)</f>
        <v>43709.08</v>
      </c>
      <c r="G2631" s="10" t="n">
        <f aca="false">E2631*F2631</f>
        <v>0</v>
      </c>
      <c r="H2631" s="10" t="n">
        <f aca="false">IF(OR(Nonlabor!$L$27="Quote required",Nonlabor!$L$27="Unverified"),G2631,0)</f>
        <v>0</v>
      </c>
      <c r="I2631" s="10" t="n">
        <f aca="false">IF(Nonlabor!$E$27="Core",0,G2631)</f>
        <v>0</v>
      </c>
      <c r="J2631" s="23" t="str">
        <f aca="false">Nonlabor!$B$27</f>
        <v>CTMS</v>
      </c>
    </row>
    <row r="2632" customFormat="false" ht="15" hidden="false" customHeight="false" outlineLevel="0" collapsed="false">
      <c r="A2632" s="6" t="s">
        <v>4</v>
      </c>
      <c r="B2632" s="6" t="s">
        <v>439</v>
      </c>
      <c r="C2632" s="6" t="n">
        <v>47</v>
      </c>
      <c r="D2632" s="25" t="n">
        <f aca="false">EDATE('Start Here'!$B$6,C2632-1)</f>
        <v>47727</v>
      </c>
      <c r="E2632" s="23" t="n">
        <f aca="false">IF(AND(OR(Nonlabor!$D$27="Both",Nonlabor!$D$27='Start Here'!$B$9),IF(Nonlabor!$E$27="Core",1,IF(Nonlabor!$E$27="AI",'Start Here'!$B$7,'Start Here'!$B$8))=1,C2632&gt;=IF(Nonlabor!$E$27="Core",Nonlabor!$F$27,MAX(Nonlabor!$F$27,IF(Nonlabor!$E$27="AI",Assumptions!$D$24,Assumptions!$D$25))),C2632&lt;=Nonlabor!$G$27,OR(Nonlabor!$H$27="Monthly",AND(Nonlabor!$H$27="Once",C2632=IF(Nonlabor!$E$27="Core",Nonlabor!$F$27,MAX(Nonlabor!$F$27,IF(Nonlabor!$E$27="AI",Assumptions!$D$24,Assumptions!$D$25)))),AND(Nonlabor!$H$27="Annual",MOD(C2632-IF(Nonlabor!$E$27="Core",Nonlabor!$F$27,MAX(Nonlabor!$F$27,IF(Nonlabor!$E$27="AI",Assumptions!$D$24,Assumptions!$D$25))),12)=0))),IF(Nonlabor!$I$27="Fixed",1,IF(Nonlabor!$I$27="Seats",ROUNDUP('Monthly Base'!I52,0),IF(Nonlabor!$I$27="Customers",'Monthly Base'!D52,IF(Nonlabor!$I$27="NewCustomers",'Monthly Base'!C52,IF(Nonlabor!$I$27="StorageGB",'Monthly Base'!G52,IF(Nonlabor!$I$27="LogGB",'Monthly Base'!H52,IF(Nonlabor!$I$27="RequestsM",'Monthly Base'!F52,IF(Nonlabor!$I$27="InputM",'Monthly Base'!D52*Assumptions!$D$22/1000000,IF(Nonlabor!$I$27="OutputM",'Monthly Base'!D52*Assumptions!$D$23/1000000,0))))))))),0)</f>
        <v>0</v>
      </c>
      <c r="F2632" s="10" t="n">
        <f aca="false">Nonlabor!$J$27*(1+Assumptions!$D$9)^INT((C2632-1)/12)</f>
        <v>43709.08</v>
      </c>
      <c r="G2632" s="10" t="n">
        <f aca="false">E2632*F2632</f>
        <v>0</v>
      </c>
      <c r="H2632" s="10" t="n">
        <f aca="false">IF(OR(Nonlabor!$L$27="Quote required",Nonlabor!$L$27="Unverified"),G2632,0)</f>
        <v>0</v>
      </c>
      <c r="I2632" s="10" t="n">
        <f aca="false">IF(Nonlabor!$E$27="Core",0,G2632)</f>
        <v>0</v>
      </c>
      <c r="J2632" s="23" t="str">
        <f aca="false">Nonlabor!$B$27</f>
        <v>CTMS</v>
      </c>
    </row>
    <row r="2633" customFormat="false" ht="15" hidden="false" customHeight="false" outlineLevel="0" collapsed="false">
      <c r="A2633" s="6" t="s">
        <v>4</v>
      </c>
      <c r="B2633" s="6" t="s">
        <v>439</v>
      </c>
      <c r="C2633" s="6" t="n">
        <v>48</v>
      </c>
      <c r="D2633" s="25" t="n">
        <f aca="false">EDATE('Start Here'!$B$6,C2633-1)</f>
        <v>47757</v>
      </c>
      <c r="E2633" s="23" t="n">
        <f aca="false">IF(AND(OR(Nonlabor!$D$27="Both",Nonlabor!$D$27='Start Here'!$B$9),IF(Nonlabor!$E$27="Core",1,IF(Nonlabor!$E$27="AI",'Start Here'!$B$7,'Start Here'!$B$8))=1,C2633&gt;=IF(Nonlabor!$E$27="Core",Nonlabor!$F$27,MAX(Nonlabor!$F$27,IF(Nonlabor!$E$27="AI",Assumptions!$D$24,Assumptions!$D$25))),C2633&lt;=Nonlabor!$G$27,OR(Nonlabor!$H$27="Monthly",AND(Nonlabor!$H$27="Once",C2633=IF(Nonlabor!$E$27="Core",Nonlabor!$F$27,MAX(Nonlabor!$F$27,IF(Nonlabor!$E$27="AI",Assumptions!$D$24,Assumptions!$D$25)))),AND(Nonlabor!$H$27="Annual",MOD(C2633-IF(Nonlabor!$E$27="Core",Nonlabor!$F$27,MAX(Nonlabor!$F$27,IF(Nonlabor!$E$27="AI",Assumptions!$D$24,Assumptions!$D$25))),12)=0))),IF(Nonlabor!$I$27="Fixed",1,IF(Nonlabor!$I$27="Seats",ROUNDUP('Monthly Base'!I53,0),IF(Nonlabor!$I$27="Customers",'Monthly Base'!D53,IF(Nonlabor!$I$27="NewCustomers",'Monthly Base'!C53,IF(Nonlabor!$I$27="StorageGB",'Monthly Base'!G53,IF(Nonlabor!$I$27="LogGB",'Monthly Base'!H53,IF(Nonlabor!$I$27="RequestsM",'Monthly Base'!F53,IF(Nonlabor!$I$27="InputM",'Monthly Base'!D53*Assumptions!$D$22/1000000,IF(Nonlabor!$I$27="OutputM",'Monthly Base'!D53*Assumptions!$D$23/1000000,0))))))))),0)</f>
        <v>0</v>
      </c>
      <c r="F2633" s="10" t="n">
        <f aca="false">Nonlabor!$J$27*(1+Assumptions!$D$9)^INT((C2633-1)/12)</f>
        <v>43709.08</v>
      </c>
      <c r="G2633" s="10" t="n">
        <f aca="false">E2633*F2633</f>
        <v>0</v>
      </c>
      <c r="H2633" s="10" t="n">
        <f aca="false">IF(OR(Nonlabor!$L$27="Quote required",Nonlabor!$L$27="Unverified"),G2633,0)</f>
        <v>0</v>
      </c>
      <c r="I2633" s="10" t="n">
        <f aca="false">IF(Nonlabor!$E$27="Core",0,G2633)</f>
        <v>0</v>
      </c>
      <c r="J2633" s="23" t="str">
        <f aca="false">Nonlabor!$B$27</f>
        <v>CTMS</v>
      </c>
    </row>
    <row r="2634" customFormat="false" ht="15" hidden="false" customHeight="false" outlineLevel="0" collapsed="false">
      <c r="A2634" s="6" t="s">
        <v>4</v>
      </c>
      <c r="B2634" s="6" t="s">
        <v>439</v>
      </c>
      <c r="C2634" s="6" t="n">
        <v>49</v>
      </c>
      <c r="D2634" s="25" t="n">
        <f aca="false">EDATE('Start Here'!$B$6,C2634-1)</f>
        <v>47788</v>
      </c>
      <c r="E2634" s="23" t="n">
        <f aca="false">IF(AND(OR(Nonlabor!$D$27="Both",Nonlabor!$D$27='Start Here'!$B$9),IF(Nonlabor!$E$27="Core",1,IF(Nonlabor!$E$27="AI",'Start Here'!$B$7,'Start Here'!$B$8))=1,C2634&gt;=IF(Nonlabor!$E$27="Core",Nonlabor!$F$27,MAX(Nonlabor!$F$27,IF(Nonlabor!$E$27="AI",Assumptions!$D$24,Assumptions!$D$25))),C2634&lt;=Nonlabor!$G$27,OR(Nonlabor!$H$27="Monthly",AND(Nonlabor!$H$27="Once",C2634=IF(Nonlabor!$E$27="Core",Nonlabor!$F$27,MAX(Nonlabor!$F$27,IF(Nonlabor!$E$27="AI",Assumptions!$D$24,Assumptions!$D$25)))),AND(Nonlabor!$H$27="Annual",MOD(C2634-IF(Nonlabor!$E$27="Core",Nonlabor!$F$27,MAX(Nonlabor!$F$27,IF(Nonlabor!$E$27="AI",Assumptions!$D$24,Assumptions!$D$25))),12)=0))),IF(Nonlabor!$I$27="Fixed",1,IF(Nonlabor!$I$27="Seats",ROUNDUP('Monthly Base'!I54,0),IF(Nonlabor!$I$27="Customers",'Monthly Base'!D54,IF(Nonlabor!$I$27="NewCustomers",'Monthly Base'!C54,IF(Nonlabor!$I$27="StorageGB",'Monthly Base'!G54,IF(Nonlabor!$I$27="LogGB",'Monthly Base'!H54,IF(Nonlabor!$I$27="RequestsM",'Monthly Base'!F54,IF(Nonlabor!$I$27="InputM",'Monthly Base'!D54*Assumptions!$D$22/1000000,IF(Nonlabor!$I$27="OutputM",'Monthly Base'!D54*Assumptions!$D$23/1000000,0))))))))),0)</f>
        <v>0</v>
      </c>
      <c r="F2634" s="10" t="n">
        <f aca="false">Nonlabor!$J$27*(1+Assumptions!$D$9)^INT((C2634-1)/12)</f>
        <v>45020.3524</v>
      </c>
      <c r="G2634" s="10" t="n">
        <f aca="false">E2634*F2634</f>
        <v>0</v>
      </c>
      <c r="H2634" s="10" t="n">
        <f aca="false">IF(OR(Nonlabor!$L$27="Quote required",Nonlabor!$L$27="Unverified"),G2634,0)</f>
        <v>0</v>
      </c>
      <c r="I2634" s="10" t="n">
        <f aca="false">IF(Nonlabor!$E$27="Core",0,G2634)</f>
        <v>0</v>
      </c>
      <c r="J2634" s="23" t="str">
        <f aca="false">Nonlabor!$B$27</f>
        <v>CTMS</v>
      </c>
    </row>
    <row r="2635" customFormat="false" ht="15" hidden="false" customHeight="false" outlineLevel="0" collapsed="false">
      <c r="A2635" s="6" t="s">
        <v>4</v>
      </c>
      <c r="B2635" s="6" t="s">
        <v>439</v>
      </c>
      <c r="C2635" s="6" t="n">
        <v>50</v>
      </c>
      <c r="D2635" s="25" t="n">
        <f aca="false">EDATE('Start Here'!$B$6,C2635-1)</f>
        <v>47818</v>
      </c>
      <c r="E2635" s="23" t="n">
        <f aca="false">IF(AND(OR(Nonlabor!$D$27="Both",Nonlabor!$D$27='Start Here'!$B$9),IF(Nonlabor!$E$27="Core",1,IF(Nonlabor!$E$27="AI",'Start Here'!$B$7,'Start Here'!$B$8))=1,C2635&gt;=IF(Nonlabor!$E$27="Core",Nonlabor!$F$27,MAX(Nonlabor!$F$27,IF(Nonlabor!$E$27="AI",Assumptions!$D$24,Assumptions!$D$25))),C2635&lt;=Nonlabor!$G$27,OR(Nonlabor!$H$27="Monthly",AND(Nonlabor!$H$27="Once",C2635=IF(Nonlabor!$E$27="Core",Nonlabor!$F$27,MAX(Nonlabor!$F$27,IF(Nonlabor!$E$27="AI",Assumptions!$D$24,Assumptions!$D$25)))),AND(Nonlabor!$H$27="Annual",MOD(C2635-IF(Nonlabor!$E$27="Core",Nonlabor!$F$27,MAX(Nonlabor!$F$27,IF(Nonlabor!$E$27="AI",Assumptions!$D$24,Assumptions!$D$25))),12)=0))),IF(Nonlabor!$I$27="Fixed",1,IF(Nonlabor!$I$27="Seats",ROUNDUP('Monthly Base'!I55,0),IF(Nonlabor!$I$27="Customers",'Monthly Base'!D55,IF(Nonlabor!$I$27="NewCustomers",'Monthly Base'!C55,IF(Nonlabor!$I$27="StorageGB",'Monthly Base'!G55,IF(Nonlabor!$I$27="LogGB",'Monthly Base'!H55,IF(Nonlabor!$I$27="RequestsM",'Monthly Base'!F55,IF(Nonlabor!$I$27="InputM",'Monthly Base'!D55*Assumptions!$D$22/1000000,IF(Nonlabor!$I$27="OutputM",'Monthly Base'!D55*Assumptions!$D$23/1000000,0))))))))),0)</f>
        <v>0</v>
      </c>
      <c r="F2635" s="10" t="n">
        <f aca="false">Nonlabor!$J$27*(1+Assumptions!$D$9)^INT((C2635-1)/12)</f>
        <v>45020.3524</v>
      </c>
      <c r="G2635" s="10" t="n">
        <f aca="false">E2635*F2635</f>
        <v>0</v>
      </c>
      <c r="H2635" s="10" t="n">
        <f aca="false">IF(OR(Nonlabor!$L$27="Quote required",Nonlabor!$L$27="Unverified"),G2635,0)</f>
        <v>0</v>
      </c>
      <c r="I2635" s="10" t="n">
        <f aca="false">IF(Nonlabor!$E$27="Core",0,G2635)</f>
        <v>0</v>
      </c>
      <c r="J2635" s="23" t="str">
        <f aca="false">Nonlabor!$B$27</f>
        <v>CTMS</v>
      </c>
    </row>
    <row r="2636" customFormat="false" ht="15" hidden="false" customHeight="false" outlineLevel="0" collapsed="false">
      <c r="A2636" s="6" t="s">
        <v>4</v>
      </c>
      <c r="B2636" s="6" t="s">
        <v>439</v>
      </c>
      <c r="C2636" s="6" t="n">
        <v>51</v>
      </c>
      <c r="D2636" s="25" t="n">
        <f aca="false">EDATE('Start Here'!$B$6,C2636-1)</f>
        <v>47849</v>
      </c>
      <c r="E2636" s="23" t="n">
        <f aca="false">IF(AND(OR(Nonlabor!$D$27="Both",Nonlabor!$D$27='Start Here'!$B$9),IF(Nonlabor!$E$27="Core",1,IF(Nonlabor!$E$27="AI",'Start Here'!$B$7,'Start Here'!$B$8))=1,C2636&gt;=IF(Nonlabor!$E$27="Core",Nonlabor!$F$27,MAX(Nonlabor!$F$27,IF(Nonlabor!$E$27="AI",Assumptions!$D$24,Assumptions!$D$25))),C2636&lt;=Nonlabor!$G$27,OR(Nonlabor!$H$27="Monthly",AND(Nonlabor!$H$27="Once",C2636=IF(Nonlabor!$E$27="Core",Nonlabor!$F$27,MAX(Nonlabor!$F$27,IF(Nonlabor!$E$27="AI",Assumptions!$D$24,Assumptions!$D$25)))),AND(Nonlabor!$H$27="Annual",MOD(C2636-IF(Nonlabor!$E$27="Core",Nonlabor!$F$27,MAX(Nonlabor!$F$27,IF(Nonlabor!$E$27="AI",Assumptions!$D$24,Assumptions!$D$25))),12)=0))),IF(Nonlabor!$I$27="Fixed",1,IF(Nonlabor!$I$27="Seats",ROUNDUP('Monthly Base'!I56,0),IF(Nonlabor!$I$27="Customers",'Monthly Base'!D56,IF(Nonlabor!$I$27="NewCustomers",'Monthly Base'!C56,IF(Nonlabor!$I$27="StorageGB",'Monthly Base'!G56,IF(Nonlabor!$I$27="LogGB",'Monthly Base'!H56,IF(Nonlabor!$I$27="RequestsM",'Monthly Base'!F56,IF(Nonlabor!$I$27="InputM",'Monthly Base'!D56*Assumptions!$D$22/1000000,IF(Nonlabor!$I$27="OutputM",'Monthly Base'!D56*Assumptions!$D$23/1000000,0))))))))),0)</f>
        <v>0</v>
      </c>
      <c r="F2636" s="10" t="n">
        <f aca="false">Nonlabor!$J$27*(1+Assumptions!$D$9)^INT((C2636-1)/12)</f>
        <v>45020.3524</v>
      </c>
      <c r="G2636" s="10" t="n">
        <f aca="false">E2636*F2636</f>
        <v>0</v>
      </c>
      <c r="H2636" s="10" t="n">
        <f aca="false">IF(OR(Nonlabor!$L$27="Quote required",Nonlabor!$L$27="Unverified"),G2636,0)</f>
        <v>0</v>
      </c>
      <c r="I2636" s="10" t="n">
        <f aca="false">IF(Nonlabor!$E$27="Core",0,G2636)</f>
        <v>0</v>
      </c>
      <c r="J2636" s="23" t="str">
        <f aca="false">Nonlabor!$B$27</f>
        <v>CTMS</v>
      </c>
    </row>
    <row r="2637" customFormat="false" ht="15" hidden="false" customHeight="false" outlineLevel="0" collapsed="false">
      <c r="A2637" s="6" t="s">
        <v>4</v>
      </c>
      <c r="B2637" s="6" t="s">
        <v>439</v>
      </c>
      <c r="C2637" s="6" t="n">
        <v>52</v>
      </c>
      <c r="D2637" s="25" t="n">
        <f aca="false">EDATE('Start Here'!$B$6,C2637-1)</f>
        <v>47880</v>
      </c>
      <c r="E2637" s="23" t="n">
        <f aca="false">IF(AND(OR(Nonlabor!$D$27="Both",Nonlabor!$D$27='Start Here'!$B$9),IF(Nonlabor!$E$27="Core",1,IF(Nonlabor!$E$27="AI",'Start Here'!$B$7,'Start Here'!$B$8))=1,C2637&gt;=IF(Nonlabor!$E$27="Core",Nonlabor!$F$27,MAX(Nonlabor!$F$27,IF(Nonlabor!$E$27="AI",Assumptions!$D$24,Assumptions!$D$25))),C2637&lt;=Nonlabor!$G$27,OR(Nonlabor!$H$27="Monthly",AND(Nonlabor!$H$27="Once",C2637=IF(Nonlabor!$E$27="Core",Nonlabor!$F$27,MAX(Nonlabor!$F$27,IF(Nonlabor!$E$27="AI",Assumptions!$D$24,Assumptions!$D$25)))),AND(Nonlabor!$H$27="Annual",MOD(C2637-IF(Nonlabor!$E$27="Core",Nonlabor!$F$27,MAX(Nonlabor!$F$27,IF(Nonlabor!$E$27="AI",Assumptions!$D$24,Assumptions!$D$25))),12)=0))),IF(Nonlabor!$I$27="Fixed",1,IF(Nonlabor!$I$27="Seats",ROUNDUP('Monthly Base'!I57,0),IF(Nonlabor!$I$27="Customers",'Monthly Base'!D57,IF(Nonlabor!$I$27="NewCustomers",'Monthly Base'!C57,IF(Nonlabor!$I$27="StorageGB",'Monthly Base'!G57,IF(Nonlabor!$I$27="LogGB",'Monthly Base'!H57,IF(Nonlabor!$I$27="RequestsM",'Monthly Base'!F57,IF(Nonlabor!$I$27="InputM",'Monthly Base'!D57*Assumptions!$D$22/1000000,IF(Nonlabor!$I$27="OutputM",'Monthly Base'!D57*Assumptions!$D$23/1000000,0))))))))),0)</f>
        <v>0</v>
      </c>
      <c r="F2637" s="10" t="n">
        <f aca="false">Nonlabor!$J$27*(1+Assumptions!$D$9)^INT((C2637-1)/12)</f>
        <v>45020.3524</v>
      </c>
      <c r="G2637" s="10" t="n">
        <f aca="false">E2637*F2637</f>
        <v>0</v>
      </c>
      <c r="H2637" s="10" t="n">
        <f aca="false">IF(OR(Nonlabor!$L$27="Quote required",Nonlabor!$L$27="Unverified"),G2637,0)</f>
        <v>0</v>
      </c>
      <c r="I2637" s="10" t="n">
        <f aca="false">IF(Nonlabor!$E$27="Core",0,G2637)</f>
        <v>0</v>
      </c>
      <c r="J2637" s="23" t="str">
        <f aca="false">Nonlabor!$B$27</f>
        <v>CTMS</v>
      </c>
    </row>
    <row r="2638" customFormat="false" ht="15" hidden="false" customHeight="false" outlineLevel="0" collapsed="false">
      <c r="A2638" s="6" t="s">
        <v>4</v>
      </c>
      <c r="B2638" s="6" t="s">
        <v>439</v>
      </c>
      <c r="C2638" s="6" t="n">
        <v>53</v>
      </c>
      <c r="D2638" s="25" t="n">
        <f aca="false">EDATE('Start Here'!$B$6,C2638-1)</f>
        <v>47908</v>
      </c>
      <c r="E2638" s="23" t="n">
        <f aca="false">IF(AND(OR(Nonlabor!$D$27="Both",Nonlabor!$D$27='Start Here'!$B$9),IF(Nonlabor!$E$27="Core",1,IF(Nonlabor!$E$27="AI",'Start Here'!$B$7,'Start Here'!$B$8))=1,C2638&gt;=IF(Nonlabor!$E$27="Core",Nonlabor!$F$27,MAX(Nonlabor!$F$27,IF(Nonlabor!$E$27="AI",Assumptions!$D$24,Assumptions!$D$25))),C2638&lt;=Nonlabor!$G$27,OR(Nonlabor!$H$27="Monthly",AND(Nonlabor!$H$27="Once",C2638=IF(Nonlabor!$E$27="Core",Nonlabor!$F$27,MAX(Nonlabor!$F$27,IF(Nonlabor!$E$27="AI",Assumptions!$D$24,Assumptions!$D$25)))),AND(Nonlabor!$H$27="Annual",MOD(C2638-IF(Nonlabor!$E$27="Core",Nonlabor!$F$27,MAX(Nonlabor!$F$27,IF(Nonlabor!$E$27="AI",Assumptions!$D$24,Assumptions!$D$25))),12)=0))),IF(Nonlabor!$I$27="Fixed",1,IF(Nonlabor!$I$27="Seats",ROUNDUP('Monthly Base'!I58,0),IF(Nonlabor!$I$27="Customers",'Monthly Base'!D58,IF(Nonlabor!$I$27="NewCustomers",'Monthly Base'!C58,IF(Nonlabor!$I$27="StorageGB",'Monthly Base'!G58,IF(Nonlabor!$I$27="LogGB",'Monthly Base'!H58,IF(Nonlabor!$I$27="RequestsM",'Monthly Base'!F58,IF(Nonlabor!$I$27="InputM",'Monthly Base'!D58*Assumptions!$D$22/1000000,IF(Nonlabor!$I$27="OutputM",'Monthly Base'!D58*Assumptions!$D$23/1000000,0))))))))),0)</f>
        <v>0</v>
      </c>
      <c r="F2638" s="10" t="n">
        <f aca="false">Nonlabor!$J$27*(1+Assumptions!$D$9)^INT((C2638-1)/12)</f>
        <v>45020.3524</v>
      </c>
      <c r="G2638" s="10" t="n">
        <f aca="false">E2638*F2638</f>
        <v>0</v>
      </c>
      <c r="H2638" s="10" t="n">
        <f aca="false">IF(OR(Nonlabor!$L$27="Quote required",Nonlabor!$L$27="Unverified"),G2638,0)</f>
        <v>0</v>
      </c>
      <c r="I2638" s="10" t="n">
        <f aca="false">IF(Nonlabor!$E$27="Core",0,G2638)</f>
        <v>0</v>
      </c>
      <c r="J2638" s="23" t="str">
        <f aca="false">Nonlabor!$B$27</f>
        <v>CTMS</v>
      </c>
    </row>
    <row r="2639" customFormat="false" ht="15" hidden="false" customHeight="false" outlineLevel="0" collapsed="false">
      <c r="A2639" s="6" t="s">
        <v>4</v>
      </c>
      <c r="B2639" s="6" t="s">
        <v>439</v>
      </c>
      <c r="C2639" s="6" t="n">
        <v>54</v>
      </c>
      <c r="D2639" s="25" t="n">
        <f aca="false">EDATE('Start Here'!$B$6,C2639-1)</f>
        <v>47939</v>
      </c>
      <c r="E2639" s="23" t="n">
        <f aca="false">IF(AND(OR(Nonlabor!$D$27="Both",Nonlabor!$D$27='Start Here'!$B$9),IF(Nonlabor!$E$27="Core",1,IF(Nonlabor!$E$27="AI",'Start Here'!$B$7,'Start Here'!$B$8))=1,C2639&gt;=IF(Nonlabor!$E$27="Core",Nonlabor!$F$27,MAX(Nonlabor!$F$27,IF(Nonlabor!$E$27="AI",Assumptions!$D$24,Assumptions!$D$25))),C2639&lt;=Nonlabor!$G$27,OR(Nonlabor!$H$27="Monthly",AND(Nonlabor!$H$27="Once",C2639=IF(Nonlabor!$E$27="Core",Nonlabor!$F$27,MAX(Nonlabor!$F$27,IF(Nonlabor!$E$27="AI",Assumptions!$D$24,Assumptions!$D$25)))),AND(Nonlabor!$H$27="Annual",MOD(C2639-IF(Nonlabor!$E$27="Core",Nonlabor!$F$27,MAX(Nonlabor!$F$27,IF(Nonlabor!$E$27="AI",Assumptions!$D$24,Assumptions!$D$25))),12)=0))),IF(Nonlabor!$I$27="Fixed",1,IF(Nonlabor!$I$27="Seats",ROUNDUP('Monthly Base'!I59,0),IF(Nonlabor!$I$27="Customers",'Monthly Base'!D59,IF(Nonlabor!$I$27="NewCustomers",'Monthly Base'!C59,IF(Nonlabor!$I$27="StorageGB",'Monthly Base'!G59,IF(Nonlabor!$I$27="LogGB",'Monthly Base'!H59,IF(Nonlabor!$I$27="RequestsM",'Monthly Base'!F59,IF(Nonlabor!$I$27="InputM",'Monthly Base'!D59*Assumptions!$D$22/1000000,IF(Nonlabor!$I$27="OutputM",'Monthly Base'!D59*Assumptions!$D$23/1000000,0))))))))),0)</f>
        <v>0</v>
      </c>
      <c r="F2639" s="10" t="n">
        <f aca="false">Nonlabor!$J$27*(1+Assumptions!$D$9)^INT((C2639-1)/12)</f>
        <v>45020.3524</v>
      </c>
      <c r="G2639" s="10" t="n">
        <f aca="false">E2639*F2639</f>
        <v>0</v>
      </c>
      <c r="H2639" s="10" t="n">
        <f aca="false">IF(OR(Nonlabor!$L$27="Quote required",Nonlabor!$L$27="Unverified"),G2639,0)</f>
        <v>0</v>
      </c>
      <c r="I2639" s="10" t="n">
        <f aca="false">IF(Nonlabor!$E$27="Core",0,G2639)</f>
        <v>0</v>
      </c>
      <c r="J2639" s="23" t="str">
        <f aca="false">Nonlabor!$B$27</f>
        <v>CTMS</v>
      </c>
    </row>
    <row r="2640" customFormat="false" ht="15" hidden="false" customHeight="false" outlineLevel="0" collapsed="false">
      <c r="A2640" s="6" t="s">
        <v>4</v>
      </c>
      <c r="B2640" s="6" t="s">
        <v>439</v>
      </c>
      <c r="C2640" s="6" t="n">
        <v>55</v>
      </c>
      <c r="D2640" s="25" t="n">
        <f aca="false">EDATE('Start Here'!$B$6,C2640-1)</f>
        <v>47969</v>
      </c>
      <c r="E2640" s="23" t="n">
        <f aca="false">IF(AND(OR(Nonlabor!$D$27="Both",Nonlabor!$D$27='Start Here'!$B$9),IF(Nonlabor!$E$27="Core",1,IF(Nonlabor!$E$27="AI",'Start Here'!$B$7,'Start Here'!$B$8))=1,C2640&gt;=IF(Nonlabor!$E$27="Core",Nonlabor!$F$27,MAX(Nonlabor!$F$27,IF(Nonlabor!$E$27="AI",Assumptions!$D$24,Assumptions!$D$25))),C2640&lt;=Nonlabor!$G$27,OR(Nonlabor!$H$27="Monthly",AND(Nonlabor!$H$27="Once",C2640=IF(Nonlabor!$E$27="Core",Nonlabor!$F$27,MAX(Nonlabor!$F$27,IF(Nonlabor!$E$27="AI",Assumptions!$D$24,Assumptions!$D$25)))),AND(Nonlabor!$H$27="Annual",MOD(C2640-IF(Nonlabor!$E$27="Core",Nonlabor!$F$27,MAX(Nonlabor!$F$27,IF(Nonlabor!$E$27="AI",Assumptions!$D$24,Assumptions!$D$25))),12)=0))),IF(Nonlabor!$I$27="Fixed",1,IF(Nonlabor!$I$27="Seats",ROUNDUP('Monthly Base'!I60,0),IF(Nonlabor!$I$27="Customers",'Monthly Base'!D60,IF(Nonlabor!$I$27="NewCustomers",'Monthly Base'!C60,IF(Nonlabor!$I$27="StorageGB",'Monthly Base'!G60,IF(Nonlabor!$I$27="LogGB",'Monthly Base'!H60,IF(Nonlabor!$I$27="RequestsM",'Monthly Base'!F60,IF(Nonlabor!$I$27="InputM",'Monthly Base'!D60*Assumptions!$D$22/1000000,IF(Nonlabor!$I$27="OutputM",'Monthly Base'!D60*Assumptions!$D$23/1000000,0))))))))),0)</f>
        <v>0</v>
      </c>
      <c r="F2640" s="10" t="n">
        <f aca="false">Nonlabor!$J$27*(1+Assumptions!$D$9)^INT((C2640-1)/12)</f>
        <v>45020.3524</v>
      </c>
      <c r="G2640" s="10" t="n">
        <f aca="false">E2640*F2640</f>
        <v>0</v>
      </c>
      <c r="H2640" s="10" t="n">
        <f aca="false">IF(OR(Nonlabor!$L$27="Quote required",Nonlabor!$L$27="Unverified"),G2640,0)</f>
        <v>0</v>
      </c>
      <c r="I2640" s="10" t="n">
        <f aca="false">IF(Nonlabor!$E$27="Core",0,G2640)</f>
        <v>0</v>
      </c>
      <c r="J2640" s="23" t="str">
        <f aca="false">Nonlabor!$B$27</f>
        <v>CTMS</v>
      </c>
    </row>
    <row r="2641" customFormat="false" ht="15" hidden="false" customHeight="false" outlineLevel="0" collapsed="false">
      <c r="A2641" s="6" t="s">
        <v>4</v>
      </c>
      <c r="B2641" s="6" t="s">
        <v>439</v>
      </c>
      <c r="C2641" s="6" t="n">
        <v>56</v>
      </c>
      <c r="D2641" s="25" t="n">
        <f aca="false">EDATE('Start Here'!$B$6,C2641-1)</f>
        <v>48000</v>
      </c>
      <c r="E2641" s="23" t="n">
        <f aca="false">IF(AND(OR(Nonlabor!$D$27="Both",Nonlabor!$D$27='Start Here'!$B$9),IF(Nonlabor!$E$27="Core",1,IF(Nonlabor!$E$27="AI",'Start Here'!$B$7,'Start Here'!$B$8))=1,C2641&gt;=IF(Nonlabor!$E$27="Core",Nonlabor!$F$27,MAX(Nonlabor!$F$27,IF(Nonlabor!$E$27="AI",Assumptions!$D$24,Assumptions!$D$25))),C2641&lt;=Nonlabor!$G$27,OR(Nonlabor!$H$27="Monthly",AND(Nonlabor!$H$27="Once",C2641=IF(Nonlabor!$E$27="Core",Nonlabor!$F$27,MAX(Nonlabor!$F$27,IF(Nonlabor!$E$27="AI",Assumptions!$D$24,Assumptions!$D$25)))),AND(Nonlabor!$H$27="Annual",MOD(C2641-IF(Nonlabor!$E$27="Core",Nonlabor!$F$27,MAX(Nonlabor!$F$27,IF(Nonlabor!$E$27="AI",Assumptions!$D$24,Assumptions!$D$25))),12)=0))),IF(Nonlabor!$I$27="Fixed",1,IF(Nonlabor!$I$27="Seats",ROUNDUP('Monthly Base'!I61,0),IF(Nonlabor!$I$27="Customers",'Monthly Base'!D61,IF(Nonlabor!$I$27="NewCustomers",'Monthly Base'!C61,IF(Nonlabor!$I$27="StorageGB",'Monthly Base'!G61,IF(Nonlabor!$I$27="LogGB",'Monthly Base'!H61,IF(Nonlabor!$I$27="RequestsM",'Monthly Base'!F61,IF(Nonlabor!$I$27="InputM",'Monthly Base'!D61*Assumptions!$D$22/1000000,IF(Nonlabor!$I$27="OutputM",'Monthly Base'!D61*Assumptions!$D$23/1000000,0))))))))),0)</f>
        <v>0</v>
      </c>
      <c r="F2641" s="10" t="n">
        <f aca="false">Nonlabor!$J$27*(1+Assumptions!$D$9)^INT((C2641-1)/12)</f>
        <v>45020.3524</v>
      </c>
      <c r="G2641" s="10" t="n">
        <f aca="false">E2641*F2641</f>
        <v>0</v>
      </c>
      <c r="H2641" s="10" t="n">
        <f aca="false">IF(OR(Nonlabor!$L$27="Quote required",Nonlabor!$L$27="Unverified"),G2641,0)</f>
        <v>0</v>
      </c>
      <c r="I2641" s="10" t="n">
        <f aca="false">IF(Nonlabor!$E$27="Core",0,G2641)</f>
        <v>0</v>
      </c>
      <c r="J2641" s="23" t="str">
        <f aca="false">Nonlabor!$B$27</f>
        <v>CTMS</v>
      </c>
    </row>
    <row r="2642" customFormat="false" ht="15" hidden="false" customHeight="false" outlineLevel="0" collapsed="false">
      <c r="A2642" s="6" t="s">
        <v>4</v>
      </c>
      <c r="B2642" s="6" t="s">
        <v>439</v>
      </c>
      <c r="C2642" s="6" t="n">
        <v>57</v>
      </c>
      <c r="D2642" s="25" t="n">
        <f aca="false">EDATE('Start Here'!$B$6,C2642-1)</f>
        <v>48030</v>
      </c>
      <c r="E2642" s="23" t="n">
        <f aca="false">IF(AND(OR(Nonlabor!$D$27="Both",Nonlabor!$D$27='Start Here'!$B$9),IF(Nonlabor!$E$27="Core",1,IF(Nonlabor!$E$27="AI",'Start Here'!$B$7,'Start Here'!$B$8))=1,C2642&gt;=IF(Nonlabor!$E$27="Core",Nonlabor!$F$27,MAX(Nonlabor!$F$27,IF(Nonlabor!$E$27="AI",Assumptions!$D$24,Assumptions!$D$25))),C2642&lt;=Nonlabor!$G$27,OR(Nonlabor!$H$27="Monthly",AND(Nonlabor!$H$27="Once",C2642=IF(Nonlabor!$E$27="Core",Nonlabor!$F$27,MAX(Nonlabor!$F$27,IF(Nonlabor!$E$27="AI",Assumptions!$D$24,Assumptions!$D$25)))),AND(Nonlabor!$H$27="Annual",MOD(C2642-IF(Nonlabor!$E$27="Core",Nonlabor!$F$27,MAX(Nonlabor!$F$27,IF(Nonlabor!$E$27="AI",Assumptions!$D$24,Assumptions!$D$25))),12)=0))),IF(Nonlabor!$I$27="Fixed",1,IF(Nonlabor!$I$27="Seats",ROUNDUP('Monthly Base'!I62,0),IF(Nonlabor!$I$27="Customers",'Monthly Base'!D62,IF(Nonlabor!$I$27="NewCustomers",'Monthly Base'!C62,IF(Nonlabor!$I$27="StorageGB",'Monthly Base'!G62,IF(Nonlabor!$I$27="LogGB",'Monthly Base'!H62,IF(Nonlabor!$I$27="RequestsM",'Monthly Base'!F62,IF(Nonlabor!$I$27="InputM",'Monthly Base'!D62*Assumptions!$D$22/1000000,IF(Nonlabor!$I$27="OutputM",'Monthly Base'!D62*Assumptions!$D$23/1000000,0))))))))),0)</f>
        <v>0</v>
      </c>
      <c r="F2642" s="10" t="n">
        <f aca="false">Nonlabor!$J$27*(1+Assumptions!$D$9)^INT((C2642-1)/12)</f>
        <v>45020.3524</v>
      </c>
      <c r="G2642" s="10" t="n">
        <f aca="false">E2642*F2642</f>
        <v>0</v>
      </c>
      <c r="H2642" s="10" t="n">
        <f aca="false">IF(OR(Nonlabor!$L$27="Quote required",Nonlabor!$L$27="Unverified"),G2642,0)</f>
        <v>0</v>
      </c>
      <c r="I2642" s="10" t="n">
        <f aca="false">IF(Nonlabor!$E$27="Core",0,G2642)</f>
        <v>0</v>
      </c>
      <c r="J2642" s="23" t="str">
        <f aca="false">Nonlabor!$B$27</f>
        <v>CTMS</v>
      </c>
    </row>
    <row r="2643" customFormat="false" ht="15" hidden="false" customHeight="false" outlineLevel="0" collapsed="false">
      <c r="A2643" s="6" t="s">
        <v>4</v>
      </c>
      <c r="B2643" s="6" t="s">
        <v>439</v>
      </c>
      <c r="C2643" s="6" t="n">
        <v>58</v>
      </c>
      <c r="D2643" s="25" t="n">
        <f aca="false">EDATE('Start Here'!$B$6,C2643-1)</f>
        <v>48061</v>
      </c>
      <c r="E2643" s="23" t="n">
        <f aca="false">IF(AND(OR(Nonlabor!$D$27="Both",Nonlabor!$D$27='Start Here'!$B$9),IF(Nonlabor!$E$27="Core",1,IF(Nonlabor!$E$27="AI",'Start Here'!$B$7,'Start Here'!$B$8))=1,C2643&gt;=IF(Nonlabor!$E$27="Core",Nonlabor!$F$27,MAX(Nonlabor!$F$27,IF(Nonlabor!$E$27="AI",Assumptions!$D$24,Assumptions!$D$25))),C2643&lt;=Nonlabor!$G$27,OR(Nonlabor!$H$27="Monthly",AND(Nonlabor!$H$27="Once",C2643=IF(Nonlabor!$E$27="Core",Nonlabor!$F$27,MAX(Nonlabor!$F$27,IF(Nonlabor!$E$27="AI",Assumptions!$D$24,Assumptions!$D$25)))),AND(Nonlabor!$H$27="Annual",MOD(C2643-IF(Nonlabor!$E$27="Core",Nonlabor!$F$27,MAX(Nonlabor!$F$27,IF(Nonlabor!$E$27="AI",Assumptions!$D$24,Assumptions!$D$25))),12)=0))),IF(Nonlabor!$I$27="Fixed",1,IF(Nonlabor!$I$27="Seats",ROUNDUP('Monthly Base'!I63,0),IF(Nonlabor!$I$27="Customers",'Monthly Base'!D63,IF(Nonlabor!$I$27="NewCustomers",'Monthly Base'!C63,IF(Nonlabor!$I$27="StorageGB",'Monthly Base'!G63,IF(Nonlabor!$I$27="LogGB",'Monthly Base'!H63,IF(Nonlabor!$I$27="RequestsM",'Monthly Base'!F63,IF(Nonlabor!$I$27="InputM",'Monthly Base'!D63*Assumptions!$D$22/1000000,IF(Nonlabor!$I$27="OutputM",'Monthly Base'!D63*Assumptions!$D$23/1000000,0))))))))),0)</f>
        <v>0</v>
      </c>
      <c r="F2643" s="10" t="n">
        <f aca="false">Nonlabor!$J$27*(1+Assumptions!$D$9)^INT((C2643-1)/12)</f>
        <v>45020.3524</v>
      </c>
      <c r="G2643" s="10" t="n">
        <f aca="false">E2643*F2643</f>
        <v>0</v>
      </c>
      <c r="H2643" s="10" t="n">
        <f aca="false">IF(OR(Nonlabor!$L$27="Quote required",Nonlabor!$L$27="Unverified"),G2643,0)</f>
        <v>0</v>
      </c>
      <c r="I2643" s="10" t="n">
        <f aca="false">IF(Nonlabor!$E$27="Core",0,G2643)</f>
        <v>0</v>
      </c>
      <c r="J2643" s="23" t="str">
        <f aca="false">Nonlabor!$B$27</f>
        <v>CTMS</v>
      </c>
    </row>
    <row r="2644" customFormat="false" ht="15" hidden="false" customHeight="false" outlineLevel="0" collapsed="false">
      <c r="A2644" s="6" t="s">
        <v>4</v>
      </c>
      <c r="B2644" s="6" t="s">
        <v>439</v>
      </c>
      <c r="C2644" s="6" t="n">
        <v>59</v>
      </c>
      <c r="D2644" s="25" t="n">
        <f aca="false">EDATE('Start Here'!$B$6,C2644-1)</f>
        <v>48092</v>
      </c>
      <c r="E2644" s="23" t="n">
        <f aca="false">IF(AND(OR(Nonlabor!$D$27="Both",Nonlabor!$D$27='Start Here'!$B$9),IF(Nonlabor!$E$27="Core",1,IF(Nonlabor!$E$27="AI",'Start Here'!$B$7,'Start Here'!$B$8))=1,C2644&gt;=IF(Nonlabor!$E$27="Core",Nonlabor!$F$27,MAX(Nonlabor!$F$27,IF(Nonlabor!$E$27="AI",Assumptions!$D$24,Assumptions!$D$25))),C2644&lt;=Nonlabor!$G$27,OR(Nonlabor!$H$27="Monthly",AND(Nonlabor!$H$27="Once",C2644=IF(Nonlabor!$E$27="Core",Nonlabor!$F$27,MAX(Nonlabor!$F$27,IF(Nonlabor!$E$27="AI",Assumptions!$D$24,Assumptions!$D$25)))),AND(Nonlabor!$H$27="Annual",MOD(C2644-IF(Nonlabor!$E$27="Core",Nonlabor!$F$27,MAX(Nonlabor!$F$27,IF(Nonlabor!$E$27="AI",Assumptions!$D$24,Assumptions!$D$25))),12)=0))),IF(Nonlabor!$I$27="Fixed",1,IF(Nonlabor!$I$27="Seats",ROUNDUP('Monthly Base'!I64,0),IF(Nonlabor!$I$27="Customers",'Monthly Base'!D64,IF(Nonlabor!$I$27="NewCustomers",'Monthly Base'!C64,IF(Nonlabor!$I$27="StorageGB",'Monthly Base'!G64,IF(Nonlabor!$I$27="LogGB",'Monthly Base'!H64,IF(Nonlabor!$I$27="RequestsM",'Monthly Base'!F64,IF(Nonlabor!$I$27="InputM",'Monthly Base'!D64*Assumptions!$D$22/1000000,IF(Nonlabor!$I$27="OutputM",'Monthly Base'!D64*Assumptions!$D$23/1000000,0))))))))),0)</f>
        <v>0</v>
      </c>
      <c r="F2644" s="10" t="n">
        <f aca="false">Nonlabor!$J$27*(1+Assumptions!$D$9)^INT((C2644-1)/12)</f>
        <v>45020.3524</v>
      </c>
      <c r="G2644" s="10" t="n">
        <f aca="false">E2644*F2644</f>
        <v>0</v>
      </c>
      <c r="H2644" s="10" t="n">
        <f aca="false">IF(OR(Nonlabor!$L$27="Quote required",Nonlabor!$L$27="Unverified"),G2644,0)</f>
        <v>0</v>
      </c>
      <c r="I2644" s="10" t="n">
        <f aca="false">IF(Nonlabor!$E$27="Core",0,G2644)</f>
        <v>0</v>
      </c>
      <c r="J2644" s="23" t="str">
        <f aca="false">Nonlabor!$B$27</f>
        <v>CTMS</v>
      </c>
    </row>
    <row r="2645" customFormat="false" ht="15" hidden="false" customHeight="false" outlineLevel="0" collapsed="false">
      <c r="A2645" s="6" t="s">
        <v>4</v>
      </c>
      <c r="B2645" s="6" t="s">
        <v>439</v>
      </c>
      <c r="C2645" s="6" t="n">
        <v>60</v>
      </c>
      <c r="D2645" s="25" t="n">
        <f aca="false">EDATE('Start Here'!$B$6,C2645-1)</f>
        <v>48122</v>
      </c>
      <c r="E2645" s="23" t="n">
        <f aca="false">IF(AND(OR(Nonlabor!$D$27="Both",Nonlabor!$D$27='Start Here'!$B$9),IF(Nonlabor!$E$27="Core",1,IF(Nonlabor!$E$27="AI",'Start Here'!$B$7,'Start Here'!$B$8))=1,C2645&gt;=IF(Nonlabor!$E$27="Core",Nonlabor!$F$27,MAX(Nonlabor!$F$27,IF(Nonlabor!$E$27="AI",Assumptions!$D$24,Assumptions!$D$25))),C2645&lt;=Nonlabor!$G$27,OR(Nonlabor!$H$27="Monthly",AND(Nonlabor!$H$27="Once",C2645=IF(Nonlabor!$E$27="Core",Nonlabor!$F$27,MAX(Nonlabor!$F$27,IF(Nonlabor!$E$27="AI",Assumptions!$D$24,Assumptions!$D$25)))),AND(Nonlabor!$H$27="Annual",MOD(C2645-IF(Nonlabor!$E$27="Core",Nonlabor!$F$27,MAX(Nonlabor!$F$27,IF(Nonlabor!$E$27="AI",Assumptions!$D$24,Assumptions!$D$25))),12)=0))),IF(Nonlabor!$I$27="Fixed",1,IF(Nonlabor!$I$27="Seats",ROUNDUP('Monthly Base'!I65,0),IF(Nonlabor!$I$27="Customers",'Monthly Base'!D65,IF(Nonlabor!$I$27="NewCustomers",'Monthly Base'!C65,IF(Nonlabor!$I$27="StorageGB",'Monthly Base'!G65,IF(Nonlabor!$I$27="LogGB",'Monthly Base'!H65,IF(Nonlabor!$I$27="RequestsM",'Monthly Base'!F65,IF(Nonlabor!$I$27="InputM",'Monthly Base'!D65*Assumptions!$D$22/1000000,IF(Nonlabor!$I$27="OutputM",'Monthly Base'!D65*Assumptions!$D$23/1000000,0))))))))),0)</f>
        <v>0</v>
      </c>
      <c r="F2645" s="10" t="n">
        <f aca="false">Nonlabor!$J$27*(1+Assumptions!$D$9)^INT((C2645-1)/12)</f>
        <v>45020.3524</v>
      </c>
      <c r="G2645" s="10" t="n">
        <f aca="false">E2645*F2645</f>
        <v>0</v>
      </c>
      <c r="H2645" s="10" t="n">
        <f aca="false">IF(OR(Nonlabor!$L$27="Quote required",Nonlabor!$L$27="Unverified"),G2645,0)</f>
        <v>0</v>
      </c>
      <c r="I2645" s="10" t="n">
        <f aca="false">IF(Nonlabor!$E$27="Core",0,G2645)</f>
        <v>0</v>
      </c>
      <c r="J2645" s="23" t="str">
        <f aca="false">Nonlabor!$B$27</f>
        <v>CTMS</v>
      </c>
    </row>
    <row r="2646" customFormat="false" ht="15" hidden="false" customHeight="false" outlineLevel="0" collapsed="false">
      <c r="A2646" s="6" t="s">
        <v>73</v>
      </c>
      <c r="B2646" s="6" t="s">
        <v>368</v>
      </c>
      <c r="C2646" s="6" t="n">
        <v>1</v>
      </c>
      <c r="D2646" s="25" t="n">
        <f aca="false">EDATE('Start Here'!$B$6,C2646-1)</f>
        <v>46327</v>
      </c>
      <c r="E2646" s="23" t="n">
        <f aca="false">IF(AND(OR(Nonlabor!$D$6="Both",Nonlabor!$D$6='Start Here'!$B$9),IF(Nonlabor!$E$6="Core",1,IF(Nonlabor!$E$6="AI",'Start Here'!$B$7,'Start Here'!$B$8))=1,C2646&gt;=IF(Nonlabor!$E$6="Core",Nonlabor!$F$6,MAX(Nonlabor!$F$6,IF(Nonlabor!$E$6="AI",Assumptions!$E$24,Assumptions!$E$25))),C2646&lt;=Nonlabor!$G$6,OR(Nonlabor!$H$6="Monthly",AND(Nonlabor!$H$6="Once",C2646=IF(Nonlabor!$E$6="Core",Nonlabor!$F$6,MAX(Nonlabor!$F$6,IF(Nonlabor!$E$6="AI",Assumptions!$E$24,Assumptions!$E$25)))),AND(Nonlabor!$H$6="Annual",MOD(C2646-IF(Nonlabor!$E$6="Core",Nonlabor!$F$6,MAX(Nonlabor!$F$6,IF(Nonlabor!$E$6="AI",Assumptions!$E$24,Assumptions!$E$25))),12)=0))),IF(Nonlabor!$I$6="Fixed",1,IF(Nonlabor!$I$6="Seats",ROUNDUP('Monthly Growth'!I6,0),IF(Nonlabor!$I$6="Customers",'Monthly Growth'!D6,IF(Nonlabor!$I$6="NewCustomers",'Monthly Growth'!C6,IF(Nonlabor!$I$6="StorageGB",'Monthly Growth'!G6,IF(Nonlabor!$I$6="LogGB",'Monthly Growth'!H6,IF(Nonlabor!$I$6="RequestsM",'Monthly Growth'!F6,IF(Nonlabor!$I$6="InputM",'Monthly Growth'!D6*Assumptions!$E$22/1000000,IF(Nonlabor!$I$6="OutputM",'Monthly Growth'!D6*Assumptions!$E$23/1000000,0))))))))),0)</f>
        <v>1</v>
      </c>
      <c r="F2646" s="10" t="n">
        <f aca="false">Nonlabor!$J$6*(1+Assumptions!$E$9)^INT((C2646-1)/12)</f>
        <v>400</v>
      </c>
      <c r="G2646" s="10" t="n">
        <f aca="false">E2646*F2646</f>
        <v>400</v>
      </c>
      <c r="H2646" s="10" t="n">
        <f aca="false">IF(OR(Nonlabor!$L$6="Quote required",Nonlabor!$L$6="Unverified"),G2646,0)</f>
        <v>400</v>
      </c>
      <c r="I2646" s="10" t="n">
        <f aca="false">IF(Nonlabor!$E$6="Core",0,G2646)</f>
        <v>0</v>
      </c>
      <c r="J2646" s="23" t="str">
        <f aca="false">Nonlabor!$B$6</f>
        <v>INFRA</v>
      </c>
    </row>
    <row r="2647" customFormat="false" ht="15" hidden="false" customHeight="false" outlineLevel="0" collapsed="false">
      <c r="A2647" s="6" t="s">
        <v>73</v>
      </c>
      <c r="B2647" s="6" t="s">
        <v>368</v>
      </c>
      <c r="C2647" s="6" t="n">
        <v>2</v>
      </c>
      <c r="D2647" s="25" t="n">
        <f aca="false">EDATE('Start Here'!$B$6,C2647-1)</f>
        <v>46357</v>
      </c>
      <c r="E2647" s="23" t="n">
        <f aca="false">IF(AND(OR(Nonlabor!$D$6="Both",Nonlabor!$D$6='Start Here'!$B$9),IF(Nonlabor!$E$6="Core",1,IF(Nonlabor!$E$6="AI",'Start Here'!$B$7,'Start Here'!$B$8))=1,C2647&gt;=IF(Nonlabor!$E$6="Core",Nonlabor!$F$6,MAX(Nonlabor!$F$6,IF(Nonlabor!$E$6="AI",Assumptions!$E$24,Assumptions!$E$25))),C2647&lt;=Nonlabor!$G$6,OR(Nonlabor!$H$6="Monthly",AND(Nonlabor!$H$6="Once",C2647=IF(Nonlabor!$E$6="Core",Nonlabor!$F$6,MAX(Nonlabor!$F$6,IF(Nonlabor!$E$6="AI",Assumptions!$E$24,Assumptions!$E$25)))),AND(Nonlabor!$H$6="Annual",MOD(C2647-IF(Nonlabor!$E$6="Core",Nonlabor!$F$6,MAX(Nonlabor!$F$6,IF(Nonlabor!$E$6="AI",Assumptions!$E$24,Assumptions!$E$25))),12)=0))),IF(Nonlabor!$I$6="Fixed",1,IF(Nonlabor!$I$6="Seats",ROUNDUP('Monthly Growth'!I7,0),IF(Nonlabor!$I$6="Customers",'Monthly Growth'!D7,IF(Nonlabor!$I$6="NewCustomers",'Monthly Growth'!C7,IF(Nonlabor!$I$6="StorageGB",'Monthly Growth'!G7,IF(Nonlabor!$I$6="LogGB",'Monthly Growth'!H7,IF(Nonlabor!$I$6="RequestsM",'Monthly Growth'!F7,IF(Nonlabor!$I$6="InputM",'Monthly Growth'!D7*Assumptions!$E$22/1000000,IF(Nonlabor!$I$6="OutputM",'Monthly Growth'!D7*Assumptions!$E$23/1000000,0))))))))),0)</f>
        <v>1</v>
      </c>
      <c r="F2647" s="10" t="n">
        <f aca="false">Nonlabor!$J$6*(1+Assumptions!$E$9)^INT((C2647-1)/12)</f>
        <v>400</v>
      </c>
      <c r="G2647" s="10" t="n">
        <f aca="false">E2647*F2647</f>
        <v>400</v>
      </c>
      <c r="H2647" s="10" t="n">
        <f aca="false">IF(OR(Nonlabor!$L$6="Quote required",Nonlabor!$L$6="Unverified"),G2647,0)</f>
        <v>400</v>
      </c>
      <c r="I2647" s="10" t="n">
        <f aca="false">IF(Nonlabor!$E$6="Core",0,G2647)</f>
        <v>0</v>
      </c>
      <c r="J2647" s="23" t="str">
        <f aca="false">Nonlabor!$B$6</f>
        <v>INFRA</v>
      </c>
    </row>
    <row r="2648" customFormat="false" ht="15" hidden="false" customHeight="false" outlineLevel="0" collapsed="false">
      <c r="A2648" s="6" t="s">
        <v>73</v>
      </c>
      <c r="B2648" s="6" t="s">
        <v>368</v>
      </c>
      <c r="C2648" s="6" t="n">
        <v>3</v>
      </c>
      <c r="D2648" s="25" t="n">
        <f aca="false">EDATE('Start Here'!$B$6,C2648-1)</f>
        <v>46388</v>
      </c>
      <c r="E2648" s="23" t="n">
        <f aca="false">IF(AND(OR(Nonlabor!$D$6="Both",Nonlabor!$D$6='Start Here'!$B$9),IF(Nonlabor!$E$6="Core",1,IF(Nonlabor!$E$6="AI",'Start Here'!$B$7,'Start Here'!$B$8))=1,C2648&gt;=IF(Nonlabor!$E$6="Core",Nonlabor!$F$6,MAX(Nonlabor!$F$6,IF(Nonlabor!$E$6="AI",Assumptions!$E$24,Assumptions!$E$25))),C2648&lt;=Nonlabor!$G$6,OR(Nonlabor!$H$6="Monthly",AND(Nonlabor!$H$6="Once",C2648=IF(Nonlabor!$E$6="Core",Nonlabor!$F$6,MAX(Nonlabor!$F$6,IF(Nonlabor!$E$6="AI",Assumptions!$E$24,Assumptions!$E$25)))),AND(Nonlabor!$H$6="Annual",MOD(C2648-IF(Nonlabor!$E$6="Core",Nonlabor!$F$6,MAX(Nonlabor!$F$6,IF(Nonlabor!$E$6="AI",Assumptions!$E$24,Assumptions!$E$25))),12)=0))),IF(Nonlabor!$I$6="Fixed",1,IF(Nonlabor!$I$6="Seats",ROUNDUP('Monthly Growth'!I8,0),IF(Nonlabor!$I$6="Customers",'Monthly Growth'!D8,IF(Nonlabor!$I$6="NewCustomers",'Monthly Growth'!C8,IF(Nonlabor!$I$6="StorageGB",'Monthly Growth'!G8,IF(Nonlabor!$I$6="LogGB",'Monthly Growth'!H8,IF(Nonlabor!$I$6="RequestsM",'Monthly Growth'!F8,IF(Nonlabor!$I$6="InputM",'Monthly Growth'!D8*Assumptions!$E$22/1000000,IF(Nonlabor!$I$6="OutputM",'Monthly Growth'!D8*Assumptions!$E$23/1000000,0))))))))),0)</f>
        <v>1</v>
      </c>
      <c r="F2648" s="10" t="n">
        <f aca="false">Nonlabor!$J$6*(1+Assumptions!$E$9)^INT((C2648-1)/12)</f>
        <v>400</v>
      </c>
      <c r="G2648" s="10" t="n">
        <f aca="false">E2648*F2648</f>
        <v>400</v>
      </c>
      <c r="H2648" s="10" t="n">
        <f aca="false">IF(OR(Nonlabor!$L$6="Quote required",Nonlabor!$L$6="Unverified"),G2648,0)</f>
        <v>400</v>
      </c>
      <c r="I2648" s="10" t="n">
        <f aca="false">IF(Nonlabor!$E$6="Core",0,G2648)</f>
        <v>0</v>
      </c>
      <c r="J2648" s="23" t="str">
        <f aca="false">Nonlabor!$B$6</f>
        <v>INFRA</v>
      </c>
    </row>
    <row r="2649" customFormat="false" ht="15" hidden="false" customHeight="false" outlineLevel="0" collapsed="false">
      <c r="A2649" s="6" t="s">
        <v>73</v>
      </c>
      <c r="B2649" s="6" t="s">
        <v>368</v>
      </c>
      <c r="C2649" s="6" t="n">
        <v>4</v>
      </c>
      <c r="D2649" s="25" t="n">
        <f aca="false">EDATE('Start Here'!$B$6,C2649-1)</f>
        <v>46419</v>
      </c>
      <c r="E2649" s="23" t="n">
        <f aca="false">IF(AND(OR(Nonlabor!$D$6="Both",Nonlabor!$D$6='Start Here'!$B$9),IF(Nonlabor!$E$6="Core",1,IF(Nonlabor!$E$6="AI",'Start Here'!$B$7,'Start Here'!$B$8))=1,C2649&gt;=IF(Nonlabor!$E$6="Core",Nonlabor!$F$6,MAX(Nonlabor!$F$6,IF(Nonlabor!$E$6="AI",Assumptions!$E$24,Assumptions!$E$25))),C2649&lt;=Nonlabor!$G$6,OR(Nonlabor!$H$6="Monthly",AND(Nonlabor!$H$6="Once",C2649=IF(Nonlabor!$E$6="Core",Nonlabor!$F$6,MAX(Nonlabor!$F$6,IF(Nonlabor!$E$6="AI",Assumptions!$E$24,Assumptions!$E$25)))),AND(Nonlabor!$H$6="Annual",MOD(C2649-IF(Nonlabor!$E$6="Core",Nonlabor!$F$6,MAX(Nonlabor!$F$6,IF(Nonlabor!$E$6="AI",Assumptions!$E$24,Assumptions!$E$25))),12)=0))),IF(Nonlabor!$I$6="Fixed",1,IF(Nonlabor!$I$6="Seats",ROUNDUP('Monthly Growth'!I9,0),IF(Nonlabor!$I$6="Customers",'Monthly Growth'!D9,IF(Nonlabor!$I$6="NewCustomers",'Monthly Growth'!C9,IF(Nonlabor!$I$6="StorageGB",'Monthly Growth'!G9,IF(Nonlabor!$I$6="LogGB",'Monthly Growth'!H9,IF(Nonlabor!$I$6="RequestsM",'Monthly Growth'!F9,IF(Nonlabor!$I$6="InputM",'Monthly Growth'!D9*Assumptions!$E$22/1000000,IF(Nonlabor!$I$6="OutputM",'Monthly Growth'!D9*Assumptions!$E$23/1000000,0))))))))),0)</f>
        <v>1</v>
      </c>
      <c r="F2649" s="10" t="n">
        <f aca="false">Nonlabor!$J$6*(1+Assumptions!$E$9)^INT((C2649-1)/12)</f>
        <v>400</v>
      </c>
      <c r="G2649" s="10" t="n">
        <f aca="false">E2649*F2649</f>
        <v>400</v>
      </c>
      <c r="H2649" s="10" t="n">
        <f aca="false">IF(OR(Nonlabor!$L$6="Quote required",Nonlabor!$L$6="Unverified"),G2649,0)</f>
        <v>400</v>
      </c>
      <c r="I2649" s="10" t="n">
        <f aca="false">IF(Nonlabor!$E$6="Core",0,G2649)</f>
        <v>0</v>
      </c>
      <c r="J2649" s="23" t="str">
        <f aca="false">Nonlabor!$B$6</f>
        <v>INFRA</v>
      </c>
    </row>
    <row r="2650" customFormat="false" ht="15" hidden="false" customHeight="false" outlineLevel="0" collapsed="false">
      <c r="A2650" s="6" t="s">
        <v>73</v>
      </c>
      <c r="B2650" s="6" t="s">
        <v>368</v>
      </c>
      <c r="C2650" s="6" t="n">
        <v>5</v>
      </c>
      <c r="D2650" s="25" t="n">
        <f aca="false">EDATE('Start Here'!$B$6,C2650-1)</f>
        <v>46447</v>
      </c>
      <c r="E2650" s="23" t="n">
        <f aca="false">IF(AND(OR(Nonlabor!$D$6="Both",Nonlabor!$D$6='Start Here'!$B$9),IF(Nonlabor!$E$6="Core",1,IF(Nonlabor!$E$6="AI",'Start Here'!$B$7,'Start Here'!$B$8))=1,C2650&gt;=IF(Nonlabor!$E$6="Core",Nonlabor!$F$6,MAX(Nonlabor!$F$6,IF(Nonlabor!$E$6="AI",Assumptions!$E$24,Assumptions!$E$25))),C2650&lt;=Nonlabor!$G$6,OR(Nonlabor!$H$6="Monthly",AND(Nonlabor!$H$6="Once",C2650=IF(Nonlabor!$E$6="Core",Nonlabor!$F$6,MAX(Nonlabor!$F$6,IF(Nonlabor!$E$6="AI",Assumptions!$E$24,Assumptions!$E$25)))),AND(Nonlabor!$H$6="Annual",MOD(C2650-IF(Nonlabor!$E$6="Core",Nonlabor!$F$6,MAX(Nonlabor!$F$6,IF(Nonlabor!$E$6="AI",Assumptions!$E$24,Assumptions!$E$25))),12)=0))),IF(Nonlabor!$I$6="Fixed",1,IF(Nonlabor!$I$6="Seats",ROUNDUP('Monthly Growth'!I10,0),IF(Nonlabor!$I$6="Customers",'Monthly Growth'!D10,IF(Nonlabor!$I$6="NewCustomers",'Monthly Growth'!C10,IF(Nonlabor!$I$6="StorageGB",'Monthly Growth'!G10,IF(Nonlabor!$I$6="LogGB",'Monthly Growth'!H10,IF(Nonlabor!$I$6="RequestsM",'Monthly Growth'!F10,IF(Nonlabor!$I$6="InputM",'Monthly Growth'!D10*Assumptions!$E$22/1000000,IF(Nonlabor!$I$6="OutputM",'Monthly Growth'!D10*Assumptions!$E$23/1000000,0))))))))),0)</f>
        <v>1</v>
      </c>
      <c r="F2650" s="10" t="n">
        <f aca="false">Nonlabor!$J$6*(1+Assumptions!$E$9)^INT((C2650-1)/12)</f>
        <v>400</v>
      </c>
      <c r="G2650" s="10" t="n">
        <f aca="false">E2650*F2650</f>
        <v>400</v>
      </c>
      <c r="H2650" s="10" t="n">
        <f aca="false">IF(OR(Nonlabor!$L$6="Quote required",Nonlabor!$L$6="Unverified"),G2650,0)</f>
        <v>400</v>
      </c>
      <c r="I2650" s="10" t="n">
        <f aca="false">IF(Nonlabor!$E$6="Core",0,G2650)</f>
        <v>0</v>
      </c>
      <c r="J2650" s="23" t="str">
        <f aca="false">Nonlabor!$B$6</f>
        <v>INFRA</v>
      </c>
    </row>
    <row r="2651" customFormat="false" ht="15" hidden="false" customHeight="false" outlineLevel="0" collapsed="false">
      <c r="A2651" s="6" t="s">
        <v>73</v>
      </c>
      <c r="B2651" s="6" t="s">
        <v>368</v>
      </c>
      <c r="C2651" s="6" t="n">
        <v>6</v>
      </c>
      <c r="D2651" s="25" t="n">
        <f aca="false">EDATE('Start Here'!$B$6,C2651-1)</f>
        <v>46478</v>
      </c>
      <c r="E2651" s="23" t="n">
        <f aca="false">IF(AND(OR(Nonlabor!$D$6="Both",Nonlabor!$D$6='Start Here'!$B$9),IF(Nonlabor!$E$6="Core",1,IF(Nonlabor!$E$6="AI",'Start Here'!$B$7,'Start Here'!$B$8))=1,C2651&gt;=IF(Nonlabor!$E$6="Core",Nonlabor!$F$6,MAX(Nonlabor!$F$6,IF(Nonlabor!$E$6="AI",Assumptions!$E$24,Assumptions!$E$25))),C2651&lt;=Nonlabor!$G$6,OR(Nonlabor!$H$6="Monthly",AND(Nonlabor!$H$6="Once",C2651=IF(Nonlabor!$E$6="Core",Nonlabor!$F$6,MAX(Nonlabor!$F$6,IF(Nonlabor!$E$6="AI",Assumptions!$E$24,Assumptions!$E$25)))),AND(Nonlabor!$H$6="Annual",MOD(C2651-IF(Nonlabor!$E$6="Core",Nonlabor!$F$6,MAX(Nonlabor!$F$6,IF(Nonlabor!$E$6="AI",Assumptions!$E$24,Assumptions!$E$25))),12)=0))),IF(Nonlabor!$I$6="Fixed",1,IF(Nonlabor!$I$6="Seats",ROUNDUP('Monthly Growth'!I11,0),IF(Nonlabor!$I$6="Customers",'Monthly Growth'!D11,IF(Nonlabor!$I$6="NewCustomers",'Monthly Growth'!C11,IF(Nonlabor!$I$6="StorageGB",'Monthly Growth'!G11,IF(Nonlabor!$I$6="LogGB",'Monthly Growth'!H11,IF(Nonlabor!$I$6="RequestsM",'Monthly Growth'!F11,IF(Nonlabor!$I$6="InputM",'Monthly Growth'!D11*Assumptions!$E$22/1000000,IF(Nonlabor!$I$6="OutputM",'Monthly Growth'!D11*Assumptions!$E$23/1000000,0))))))))),0)</f>
        <v>1</v>
      </c>
      <c r="F2651" s="10" t="n">
        <f aca="false">Nonlabor!$J$6*(1+Assumptions!$E$9)^INT((C2651-1)/12)</f>
        <v>400</v>
      </c>
      <c r="G2651" s="10" t="n">
        <f aca="false">E2651*F2651</f>
        <v>400</v>
      </c>
      <c r="H2651" s="10" t="n">
        <f aca="false">IF(OR(Nonlabor!$L$6="Quote required",Nonlabor!$L$6="Unverified"),G2651,0)</f>
        <v>400</v>
      </c>
      <c r="I2651" s="10" t="n">
        <f aca="false">IF(Nonlabor!$E$6="Core",0,G2651)</f>
        <v>0</v>
      </c>
      <c r="J2651" s="23" t="str">
        <f aca="false">Nonlabor!$B$6</f>
        <v>INFRA</v>
      </c>
    </row>
    <row r="2652" customFormat="false" ht="15" hidden="false" customHeight="false" outlineLevel="0" collapsed="false">
      <c r="A2652" s="6" t="s">
        <v>73</v>
      </c>
      <c r="B2652" s="6" t="s">
        <v>368</v>
      </c>
      <c r="C2652" s="6" t="n">
        <v>7</v>
      </c>
      <c r="D2652" s="25" t="n">
        <f aca="false">EDATE('Start Here'!$B$6,C2652-1)</f>
        <v>46508</v>
      </c>
      <c r="E2652" s="23" t="n">
        <f aca="false">IF(AND(OR(Nonlabor!$D$6="Both",Nonlabor!$D$6='Start Here'!$B$9),IF(Nonlabor!$E$6="Core",1,IF(Nonlabor!$E$6="AI",'Start Here'!$B$7,'Start Here'!$B$8))=1,C2652&gt;=IF(Nonlabor!$E$6="Core",Nonlabor!$F$6,MAX(Nonlabor!$F$6,IF(Nonlabor!$E$6="AI",Assumptions!$E$24,Assumptions!$E$25))),C2652&lt;=Nonlabor!$G$6,OR(Nonlabor!$H$6="Monthly",AND(Nonlabor!$H$6="Once",C2652=IF(Nonlabor!$E$6="Core",Nonlabor!$F$6,MAX(Nonlabor!$F$6,IF(Nonlabor!$E$6="AI",Assumptions!$E$24,Assumptions!$E$25)))),AND(Nonlabor!$H$6="Annual",MOD(C2652-IF(Nonlabor!$E$6="Core",Nonlabor!$F$6,MAX(Nonlabor!$F$6,IF(Nonlabor!$E$6="AI",Assumptions!$E$24,Assumptions!$E$25))),12)=0))),IF(Nonlabor!$I$6="Fixed",1,IF(Nonlabor!$I$6="Seats",ROUNDUP('Monthly Growth'!I12,0),IF(Nonlabor!$I$6="Customers",'Monthly Growth'!D12,IF(Nonlabor!$I$6="NewCustomers",'Monthly Growth'!C12,IF(Nonlabor!$I$6="StorageGB",'Monthly Growth'!G12,IF(Nonlabor!$I$6="LogGB",'Monthly Growth'!H12,IF(Nonlabor!$I$6="RequestsM",'Monthly Growth'!F12,IF(Nonlabor!$I$6="InputM",'Monthly Growth'!D12*Assumptions!$E$22/1000000,IF(Nonlabor!$I$6="OutputM",'Monthly Growth'!D12*Assumptions!$E$23/1000000,0))))))))),0)</f>
        <v>1</v>
      </c>
      <c r="F2652" s="10" t="n">
        <f aca="false">Nonlabor!$J$6*(1+Assumptions!$E$9)^INT((C2652-1)/12)</f>
        <v>400</v>
      </c>
      <c r="G2652" s="10" t="n">
        <f aca="false">E2652*F2652</f>
        <v>400</v>
      </c>
      <c r="H2652" s="10" t="n">
        <f aca="false">IF(OR(Nonlabor!$L$6="Quote required",Nonlabor!$L$6="Unverified"),G2652,0)</f>
        <v>400</v>
      </c>
      <c r="I2652" s="10" t="n">
        <f aca="false">IF(Nonlabor!$E$6="Core",0,G2652)</f>
        <v>0</v>
      </c>
      <c r="J2652" s="23" t="str">
        <f aca="false">Nonlabor!$B$6</f>
        <v>INFRA</v>
      </c>
    </row>
    <row r="2653" customFormat="false" ht="15" hidden="false" customHeight="false" outlineLevel="0" collapsed="false">
      <c r="A2653" s="6" t="s">
        <v>73</v>
      </c>
      <c r="B2653" s="6" t="s">
        <v>368</v>
      </c>
      <c r="C2653" s="6" t="n">
        <v>8</v>
      </c>
      <c r="D2653" s="25" t="n">
        <f aca="false">EDATE('Start Here'!$B$6,C2653-1)</f>
        <v>46539</v>
      </c>
      <c r="E2653" s="23" t="n">
        <f aca="false">IF(AND(OR(Nonlabor!$D$6="Both",Nonlabor!$D$6='Start Here'!$B$9),IF(Nonlabor!$E$6="Core",1,IF(Nonlabor!$E$6="AI",'Start Here'!$B$7,'Start Here'!$B$8))=1,C2653&gt;=IF(Nonlabor!$E$6="Core",Nonlabor!$F$6,MAX(Nonlabor!$F$6,IF(Nonlabor!$E$6="AI",Assumptions!$E$24,Assumptions!$E$25))),C2653&lt;=Nonlabor!$G$6,OR(Nonlabor!$H$6="Monthly",AND(Nonlabor!$H$6="Once",C2653=IF(Nonlabor!$E$6="Core",Nonlabor!$F$6,MAX(Nonlabor!$F$6,IF(Nonlabor!$E$6="AI",Assumptions!$E$24,Assumptions!$E$25)))),AND(Nonlabor!$H$6="Annual",MOD(C2653-IF(Nonlabor!$E$6="Core",Nonlabor!$F$6,MAX(Nonlabor!$F$6,IF(Nonlabor!$E$6="AI",Assumptions!$E$24,Assumptions!$E$25))),12)=0))),IF(Nonlabor!$I$6="Fixed",1,IF(Nonlabor!$I$6="Seats",ROUNDUP('Monthly Growth'!I13,0),IF(Nonlabor!$I$6="Customers",'Monthly Growth'!D13,IF(Nonlabor!$I$6="NewCustomers",'Monthly Growth'!C13,IF(Nonlabor!$I$6="StorageGB",'Monthly Growth'!G13,IF(Nonlabor!$I$6="LogGB",'Monthly Growth'!H13,IF(Nonlabor!$I$6="RequestsM",'Monthly Growth'!F13,IF(Nonlabor!$I$6="InputM",'Monthly Growth'!D13*Assumptions!$E$22/1000000,IF(Nonlabor!$I$6="OutputM",'Monthly Growth'!D13*Assumptions!$E$23/1000000,0))))))))),0)</f>
        <v>1</v>
      </c>
      <c r="F2653" s="10" t="n">
        <f aca="false">Nonlabor!$J$6*(1+Assumptions!$E$9)^INT((C2653-1)/12)</f>
        <v>400</v>
      </c>
      <c r="G2653" s="10" t="n">
        <f aca="false">E2653*F2653</f>
        <v>400</v>
      </c>
      <c r="H2653" s="10" t="n">
        <f aca="false">IF(OR(Nonlabor!$L$6="Quote required",Nonlabor!$L$6="Unverified"),G2653,0)</f>
        <v>400</v>
      </c>
      <c r="I2653" s="10" t="n">
        <f aca="false">IF(Nonlabor!$E$6="Core",0,G2653)</f>
        <v>0</v>
      </c>
      <c r="J2653" s="23" t="str">
        <f aca="false">Nonlabor!$B$6</f>
        <v>INFRA</v>
      </c>
    </row>
    <row r="2654" customFormat="false" ht="15" hidden="false" customHeight="false" outlineLevel="0" collapsed="false">
      <c r="A2654" s="6" t="s">
        <v>73</v>
      </c>
      <c r="B2654" s="6" t="s">
        <v>368</v>
      </c>
      <c r="C2654" s="6" t="n">
        <v>9</v>
      </c>
      <c r="D2654" s="25" t="n">
        <f aca="false">EDATE('Start Here'!$B$6,C2654-1)</f>
        <v>46569</v>
      </c>
      <c r="E2654" s="23" t="n">
        <f aca="false">IF(AND(OR(Nonlabor!$D$6="Both",Nonlabor!$D$6='Start Here'!$B$9),IF(Nonlabor!$E$6="Core",1,IF(Nonlabor!$E$6="AI",'Start Here'!$B$7,'Start Here'!$B$8))=1,C2654&gt;=IF(Nonlabor!$E$6="Core",Nonlabor!$F$6,MAX(Nonlabor!$F$6,IF(Nonlabor!$E$6="AI",Assumptions!$E$24,Assumptions!$E$25))),C2654&lt;=Nonlabor!$G$6,OR(Nonlabor!$H$6="Monthly",AND(Nonlabor!$H$6="Once",C2654=IF(Nonlabor!$E$6="Core",Nonlabor!$F$6,MAX(Nonlabor!$F$6,IF(Nonlabor!$E$6="AI",Assumptions!$E$24,Assumptions!$E$25)))),AND(Nonlabor!$H$6="Annual",MOD(C2654-IF(Nonlabor!$E$6="Core",Nonlabor!$F$6,MAX(Nonlabor!$F$6,IF(Nonlabor!$E$6="AI",Assumptions!$E$24,Assumptions!$E$25))),12)=0))),IF(Nonlabor!$I$6="Fixed",1,IF(Nonlabor!$I$6="Seats",ROUNDUP('Monthly Growth'!I14,0),IF(Nonlabor!$I$6="Customers",'Monthly Growth'!D14,IF(Nonlabor!$I$6="NewCustomers",'Monthly Growth'!C14,IF(Nonlabor!$I$6="StorageGB",'Monthly Growth'!G14,IF(Nonlabor!$I$6="LogGB",'Monthly Growth'!H14,IF(Nonlabor!$I$6="RequestsM",'Monthly Growth'!F14,IF(Nonlabor!$I$6="InputM",'Monthly Growth'!D14*Assumptions!$E$22/1000000,IF(Nonlabor!$I$6="OutputM",'Monthly Growth'!D14*Assumptions!$E$23/1000000,0))))))))),0)</f>
        <v>1</v>
      </c>
      <c r="F2654" s="10" t="n">
        <f aca="false">Nonlabor!$J$6*(1+Assumptions!$E$9)^INT((C2654-1)/12)</f>
        <v>400</v>
      </c>
      <c r="G2654" s="10" t="n">
        <f aca="false">E2654*F2654</f>
        <v>400</v>
      </c>
      <c r="H2654" s="10" t="n">
        <f aca="false">IF(OR(Nonlabor!$L$6="Quote required",Nonlabor!$L$6="Unverified"),G2654,0)</f>
        <v>400</v>
      </c>
      <c r="I2654" s="10" t="n">
        <f aca="false">IF(Nonlabor!$E$6="Core",0,G2654)</f>
        <v>0</v>
      </c>
      <c r="J2654" s="23" t="str">
        <f aca="false">Nonlabor!$B$6</f>
        <v>INFRA</v>
      </c>
    </row>
    <row r="2655" customFormat="false" ht="15" hidden="false" customHeight="false" outlineLevel="0" collapsed="false">
      <c r="A2655" s="6" t="s">
        <v>73</v>
      </c>
      <c r="B2655" s="6" t="s">
        <v>368</v>
      </c>
      <c r="C2655" s="6" t="n">
        <v>10</v>
      </c>
      <c r="D2655" s="25" t="n">
        <f aca="false">EDATE('Start Here'!$B$6,C2655-1)</f>
        <v>46600</v>
      </c>
      <c r="E2655" s="23" t="n">
        <f aca="false">IF(AND(OR(Nonlabor!$D$6="Both",Nonlabor!$D$6='Start Here'!$B$9),IF(Nonlabor!$E$6="Core",1,IF(Nonlabor!$E$6="AI",'Start Here'!$B$7,'Start Here'!$B$8))=1,C2655&gt;=IF(Nonlabor!$E$6="Core",Nonlabor!$F$6,MAX(Nonlabor!$F$6,IF(Nonlabor!$E$6="AI",Assumptions!$E$24,Assumptions!$E$25))),C2655&lt;=Nonlabor!$G$6,OR(Nonlabor!$H$6="Monthly",AND(Nonlabor!$H$6="Once",C2655=IF(Nonlabor!$E$6="Core",Nonlabor!$F$6,MAX(Nonlabor!$F$6,IF(Nonlabor!$E$6="AI",Assumptions!$E$24,Assumptions!$E$25)))),AND(Nonlabor!$H$6="Annual",MOD(C2655-IF(Nonlabor!$E$6="Core",Nonlabor!$F$6,MAX(Nonlabor!$F$6,IF(Nonlabor!$E$6="AI",Assumptions!$E$24,Assumptions!$E$25))),12)=0))),IF(Nonlabor!$I$6="Fixed",1,IF(Nonlabor!$I$6="Seats",ROUNDUP('Monthly Growth'!I15,0),IF(Nonlabor!$I$6="Customers",'Monthly Growth'!D15,IF(Nonlabor!$I$6="NewCustomers",'Monthly Growth'!C15,IF(Nonlabor!$I$6="StorageGB",'Monthly Growth'!G15,IF(Nonlabor!$I$6="LogGB",'Monthly Growth'!H15,IF(Nonlabor!$I$6="RequestsM",'Monthly Growth'!F15,IF(Nonlabor!$I$6="InputM",'Monthly Growth'!D15*Assumptions!$E$22/1000000,IF(Nonlabor!$I$6="OutputM",'Monthly Growth'!D15*Assumptions!$E$23/1000000,0))))))))),0)</f>
        <v>1</v>
      </c>
      <c r="F2655" s="10" t="n">
        <f aca="false">Nonlabor!$J$6*(1+Assumptions!$E$9)^INT((C2655-1)/12)</f>
        <v>400</v>
      </c>
      <c r="G2655" s="10" t="n">
        <f aca="false">E2655*F2655</f>
        <v>400</v>
      </c>
      <c r="H2655" s="10" t="n">
        <f aca="false">IF(OR(Nonlabor!$L$6="Quote required",Nonlabor!$L$6="Unverified"),G2655,0)</f>
        <v>400</v>
      </c>
      <c r="I2655" s="10" t="n">
        <f aca="false">IF(Nonlabor!$E$6="Core",0,G2655)</f>
        <v>0</v>
      </c>
      <c r="J2655" s="23" t="str">
        <f aca="false">Nonlabor!$B$6</f>
        <v>INFRA</v>
      </c>
    </row>
    <row r="2656" customFormat="false" ht="15" hidden="false" customHeight="false" outlineLevel="0" collapsed="false">
      <c r="A2656" s="6" t="s">
        <v>73</v>
      </c>
      <c r="B2656" s="6" t="s">
        <v>368</v>
      </c>
      <c r="C2656" s="6" t="n">
        <v>11</v>
      </c>
      <c r="D2656" s="25" t="n">
        <f aca="false">EDATE('Start Here'!$B$6,C2656-1)</f>
        <v>46631</v>
      </c>
      <c r="E2656" s="23" t="n">
        <f aca="false">IF(AND(OR(Nonlabor!$D$6="Both",Nonlabor!$D$6='Start Here'!$B$9),IF(Nonlabor!$E$6="Core",1,IF(Nonlabor!$E$6="AI",'Start Here'!$B$7,'Start Here'!$B$8))=1,C2656&gt;=IF(Nonlabor!$E$6="Core",Nonlabor!$F$6,MAX(Nonlabor!$F$6,IF(Nonlabor!$E$6="AI",Assumptions!$E$24,Assumptions!$E$25))),C2656&lt;=Nonlabor!$G$6,OR(Nonlabor!$H$6="Monthly",AND(Nonlabor!$H$6="Once",C2656=IF(Nonlabor!$E$6="Core",Nonlabor!$F$6,MAX(Nonlabor!$F$6,IF(Nonlabor!$E$6="AI",Assumptions!$E$24,Assumptions!$E$25)))),AND(Nonlabor!$H$6="Annual",MOD(C2656-IF(Nonlabor!$E$6="Core",Nonlabor!$F$6,MAX(Nonlabor!$F$6,IF(Nonlabor!$E$6="AI",Assumptions!$E$24,Assumptions!$E$25))),12)=0))),IF(Nonlabor!$I$6="Fixed",1,IF(Nonlabor!$I$6="Seats",ROUNDUP('Monthly Growth'!I16,0),IF(Nonlabor!$I$6="Customers",'Monthly Growth'!D16,IF(Nonlabor!$I$6="NewCustomers",'Monthly Growth'!C16,IF(Nonlabor!$I$6="StorageGB",'Monthly Growth'!G16,IF(Nonlabor!$I$6="LogGB",'Monthly Growth'!H16,IF(Nonlabor!$I$6="RequestsM",'Monthly Growth'!F16,IF(Nonlabor!$I$6="InputM",'Monthly Growth'!D16*Assumptions!$E$22/1000000,IF(Nonlabor!$I$6="OutputM",'Monthly Growth'!D16*Assumptions!$E$23/1000000,0))))))))),0)</f>
        <v>1</v>
      </c>
      <c r="F2656" s="10" t="n">
        <f aca="false">Nonlabor!$J$6*(1+Assumptions!$E$9)^INT((C2656-1)/12)</f>
        <v>400</v>
      </c>
      <c r="G2656" s="10" t="n">
        <f aca="false">E2656*F2656</f>
        <v>400</v>
      </c>
      <c r="H2656" s="10" t="n">
        <f aca="false">IF(OR(Nonlabor!$L$6="Quote required",Nonlabor!$L$6="Unverified"),G2656,0)</f>
        <v>400</v>
      </c>
      <c r="I2656" s="10" t="n">
        <f aca="false">IF(Nonlabor!$E$6="Core",0,G2656)</f>
        <v>0</v>
      </c>
      <c r="J2656" s="23" t="str">
        <f aca="false">Nonlabor!$B$6</f>
        <v>INFRA</v>
      </c>
    </row>
    <row r="2657" customFormat="false" ht="15" hidden="false" customHeight="false" outlineLevel="0" collapsed="false">
      <c r="A2657" s="6" t="s">
        <v>73</v>
      </c>
      <c r="B2657" s="6" t="s">
        <v>368</v>
      </c>
      <c r="C2657" s="6" t="n">
        <v>12</v>
      </c>
      <c r="D2657" s="25" t="n">
        <f aca="false">EDATE('Start Here'!$B$6,C2657-1)</f>
        <v>46661</v>
      </c>
      <c r="E2657" s="23" t="n">
        <f aca="false">IF(AND(OR(Nonlabor!$D$6="Both",Nonlabor!$D$6='Start Here'!$B$9),IF(Nonlabor!$E$6="Core",1,IF(Nonlabor!$E$6="AI",'Start Here'!$B$7,'Start Here'!$B$8))=1,C2657&gt;=IF(Nonlabor!$E$6="Core",Nonlabor!$F$6,MAX(Nonlabor!$F$6,IF(Nonlabor!$E$6="AI",Assumptions!$E$24,Assumptions!$E$25))),C2657&lt;=Nonlabor!$G$6,OR(Nonlabor!$H$6="Monthly",AND(Nonlabor!$H$6="Once",C2657=IF(Nonlabor!$E$6="Core",Nonlabor!$F$6,MAX(Nonlabor!$F$6,IF(Nonlabor!$E$6="AI",Assumptions!$E$24,Assumptions!$E$25)))),AND(Nonlabor!$H$6="Annual",MOD(C2657-IF(Nonlabor!$E$6="Core",Nonlabor!$F$6,MAX(Nonlabor!$F$6,IF(Nonlabor!$E$6="AI",Assumptions!$E$24,Assumptions!$E$25))),12)=0))),IF(Nonlabor!$I$6="Fixed",1,IF(Nonlabor!$I$6="Seats",ROUNDUP('Monthly Growth'!I17,0),IF(Nonlabor!$I$6="Customers",'Monthly Growth'!D17,IF(Nonlabor!$I$6="NewCustomers",'Monthly Growth'!C17,IF(Nonlabor!$I$6="StorageGB",'Monthly Growth'!G17,IF(Nonlabor!$I$6="LogGB",'Monthly Growth'!H17,IF(Nonlabor!$I$6="RequestsM",'Monthly Growth'!F17,IF(Nonlabor!$I$6="InputM",'Monthly Growth'!D17*Assumptions!$E$22/1000000,IF(Nonlabor!$I$6="OutputM",'Monthly Growth'!D17*Assumptions!$E$23/1000000,0))))))))),0)</f>
        <v>1</v>
      </c>
      <c r="F2657" s="10" t="n">
        <f aca="false">Nonlabor!$J$6*(1+Assumptions!$E$9)^INT((C2657-1)/12)</f>
        <v>400</v>
      </c>
      <c r="G2657" s="10" t="n">
        <f aca="false">E2657*F2657</f>
        <v>400</v>
      </c>
      <c r="H2657" s="10" t="n">
        <f aca="false">IF(OR(Nonlabor!$L$6="Quote required",Nonlabor!$L$6="Unverified"),G2657,0)</f>
        <v>400</v>
      </c>
      <c r="I2657" s="10" t="n">
        <f aca="false">IF(Nonlabor!$E$6="Core",0,G2657)</f>
        <v>0</v>
      </c>
      <c r="J2657" s="23" t="str">
        <f aca="false">Nonlabor!$B$6</f>
        <v>INFRA</v>
      </c>
    </row>
    <row r="2658" customFormat="false" ht="15" hidden="false" customHeight="false" outlineLevel="0" collapsed="false">
      <c r="A2658" s="6" t="s">
        <v>73</v>
      </c>
      <c r="B2658" s="6" t="s">
        <v>368</v>
      </c>
      <c r="C2658" s="6" t="n">
        <v>13</v>
      </c>
      <c r="D2658" s="25" t="n">
        <f aca="false">EDATE('Start Here'!$B$6,C2658-1)</f>
        <v>46692</v>
      </c>
      <c r="E2658" s="23" t="n">
        <f aca="false">IF(AND(OR(Nonlabor!$D$6="Both",Nonlabor!$D$6='Start Here'!$B$9),IF(Nonlabor!$E$6="Core",1,IF(Nonlabor!$E$6="AI",'Start Here'!$B$7,'Start Here'!$B$8))=1,C2658&gt;=IF(Nonlabor!$E$6="Core",Nonlabor!$F$6,MAX(Nonlabor!$F$6,IF(Nonlabor!$E$6="AI",Assumptions!$E$24,Assumptions!$E$25))),C2658&lt;=Nonlabor!$G$6,OR(Nonlabor!$H$6="Monthly",AND(Nonlabor!$H$6="Once",C2658=IF(Nonlabor!$E$6="Core",Nonlabor!$F$6,MAX(Nonlabor!$F$6,IF(Nonlabor!$E$6="AI",Assumptions!$E$24,Assumptions!$E$25)))),AND(Nonlabor!$H$6="Annual",MOD(C2658-IF(Nonlabor!$E$6="Core",Nonlabor!$F$6,MAX(Nonlabor!$F$6,IF(Nonlabor!$E$6="AI",Assumptions!$E$24,Assumptions!$E$25))),12)=0))),IF(Nonlabor!$I$6="Fixed",1,IF(Nonlabor!$I$6="Seats",ROUNDUP('Monthly Growth'!I18,0),IF(Nonlabor!$I$6="Customers",'Monthly Growth'!D18,IF(Nonlabor!$I$6="NewCustomers",'Monthly Growth'!C18,IF(Nonlabor!$I$6="StorageGB",'Monthly Growth'!G18,IF(Nonlabor!$I$6="LogGB",'Monthly Growth'!H18,IF(Nonlabor!$I$6="RequestsM",'Monthly Growth'!F18,IF(Nonlabor!$I$6="InputM",'Monthly Growth'!D18*Assumptions!$E$22/1000000,IF(Nonlabor!$I$6="OutputM",'Monthly Growth'!D18*Assumptions!$E$23/1000000,0))))))))),0)</f>
        <v>1</v>
      </c>
      <c r="F2658" s="10" t="n">
        <f aca="false">Nonlabor!$J$6*(1+Assumptions!$E$9)^INT((C2658-1)/12)</f>
        <v>416</v>
      </c>
      <c r="G2658" s="10" t="n">
        <f aca="false">E2658*F2658</f>
        <v>416</v>
      </c>
      <c r="H2658" s="10" t="n">
        <f aca="false">IF(OR(Nonlabor!$L$6="Quote required",Nonlabor!$L$6="Unverified"),G2658,0)</f>
        <v>416</v>
      </c>
      <c r="I2658" s="10" t="n">
        <f aca="false">IF(Nonlabor!$E$6="Core",0,G2658)</f>
        <v>0</v>
      </c>
      <c r="J2658" s="23" t="str">
        <f aca="false">Nonlabor!$B$6</f>
        <v>INFRA</v>
      </c>
    </row>
    <row r="2659" customFormat="false" ht="15" hidden="false" customHeight="false" outlineLevel="0" collapsed="false">
      <c r="A2659" s="6" t="s">
        <v>73</v>
      </c>
      <c r="B2659" s="6" t="s">
        <v>368</v>
      </c>
      <c r="C2659" s="6" t="n">
        <v>14</v>
      </c>
      <c r="D2659" s="25" t="n">
        <f aca="false">EDATE('Start Here'!$B$6,C2659-1)</f>
        <v>46722</v>
      </c>
      <c r="E2659" s="23" t="n">
        <f aca="false">IF(AND(OR(Nonlabor!$D$6="Both",Nonlabor!$D$6='Start Here'!$B$9),IF(Nonlabor!$E$6="Core",1,IF(Nonlabor!$E$6="AI",'Start Here'!$B$7,'Start Here'!$B$8))=1,C2659&gt;=IF(Nonlabor!$E$6="Core",Nonlabor!$F$6,MAX(Nonlabor!$F$6,IF(Nonlabor!$E$6="AI",Assumptions!$E$24,Assumptions!$E$25))),C2659&lt;=Nonlabor!$G$6,OR(Nonlabor!$H$6="Monthly",AND(Nonlabor!$H$6="Once",C2659=IF(Nonlabor!$E$6="Core",Nonlabor!$F$6,MAX(Nonlabor!$F$6,IF(Nonlabor!$E$6="AI",Assumptions!$E$24,Assumptions!$E$25)))),AND(Nonlabor!$H$6="Annual",MOD(C2659-IF(Nonlabor!$E$6="Core",Nonlabor!$F$6,MAX(Nonlabor!$F$6,IF(Nonlabor!$E$6="AI",Assumptions!$E$24,Assumptions!$E$25))),12)=0))),IF(Nonlabor!$I$6="Fixed",1,IF(Nonlabor!$I$6="Seats",ROUNDUP('Monthly Growth'!I19,0),IF(Nonlabor!$I$6="Customers",'Monthly Growth'!D19,IF(Nonlabor!$I$6="NewCustomers",'Monthly Growth'!C19,IF(Nonlabor!$I$6="StorageGB",'Monthly Growth'!G19,IF(Nonlabor!$I$6="LogGB",'Monthly Growth'!H19,IF(Nonlabor!$I$6="RequestsM",'Monthly Growth'!F19,IF(Nonlabor!$I$6="InputM",'Monthly Growth'!D19*Assumptions!$E$22/1000000,IF(Nonlabor!$I$6="OutputM",'Monthly Growth'!D19*Assumptions!$E$23/1000000,0))))))))),0)</f>
        <v>1</v>
      </c>
      <c r="F2659" s="10" t="n">
        <f aca="false">Nonlabor!$J$6*(1+Assumptions!$E$9)^INT((C2659-1)/12)</f>
        <v>416</v>
      </c>
      <c r="G2659" s="10" t="n">
        <f aca="false">E2659*F2659</f>
        <v>416</v>
      </c>
      <c r="H2659" s="10" t="n">
        <f aca="false">IF(OR(Nonlabor!$L$6="Quote required",Nonlabor!$L$6="Unverified"),G2659,0)</f>
        <v>416</v>
      </c>
      <c r="I2659" s="10" t="n">
        <f aca="false">IF(Nonlabor!$E$6="Core",0,G2659)</f>
        <v>0</v>
      </c>
      <c r="J2659" s="23" t="str">
        <f aca="false">Nonlabor!$B$6</f>
        <v>INFRA</v>
      </c>
    </row>
    <row r="2660" customFormat="false" ht="15" hidden="false" customHeight="false" outlineLevel="0" collapsed="false">
      <c r="A2660" s="6" t="s">
        <v>73</v>
      </c>
      <c r="B2660" s="6" t="s">
        <v>368</v>
      </c>
      <c r="C2660" s="6" t="n">
        <v>15</v>
      </c>
      <c r="D2660" s="25" t="n">
        <f aca="false">EDATE('Start Here'!$B$6,C2660-1)</f>
        <v>46753</v>
      </c>
      <c r="E2660" s="23" t="n">
        <f aca="false">IF(AND(OR(Nonlabor!$D$6="Both",Nonlabor!$D$6='Start Here'!$B$9),IF(Nonlabor!$E$6="Core",1,IF(Nonlabor!$E$6="AI",'Start Here'!$B$7,'Start Here'!$B$8))=1,C2660&gt;=IF(Nonlabor!$E$6="Core",Nonlabor!$F$6,MAX(Nonlabor!$F$6,IF(Nonlabor!$E$6="AI",Assumptions!$E$24,Assumptions!$E$25))),C2660&lt;=Nonlabor!$G$6,OR(Nonlabor!$H$6="Monthly",AND(Nonlabor!$H$6="Once",C2660=IF(Nonlabor!$E$6="Core",Nonlabor!$F$6,MAX(Nonlabor!$F$6,IF(Nonlabor!$E$6="AI",Assumptions!$E$24,Assumptions!$E$25)))),AND(Nonlabor!$H$6="Annual",MOD(C2660-IF(Nonlabor!$E$6="Core",Nonlabor!$F$6,MAX(Nonlabor!$F$6,IF(Nonlabor!$E$6="AI",Assumptions!$E$24,Assumptions!$E$25))),12)=0))),IF(Nonlabor!$I$6="Fixed",1,IF(Nonlabor!$I$6="Seats",ROUNDUP('Monthly Growth'!I20,0),IF(Nonlabor!$I$6="Customers",'Monthly Growth'!D20,IF(Nonlabor!$I$6="NewCustomers",'Monthly Growth'!C20,IF(Nonlabor!$I$6="StorageGB",'Monthly Growth'!G20,IF(Nonlabor!$I$6="LogGB",'Monthly Growth'!H20,IF(Nonlabor!$I$6="RequestsM",'Monthly Growth'!F20,IF(Nonlabor!$I$6="InputM",'Monthly Growth'!D20*Assumptions!$E$22/1000000,IF(Nonlabor!$I$6="OutputM",'Monthly Growth'!D20*Assumptions!$E$23/1000000,0))))))))),0)</f>
        <v>1</v>
      </c>
      <c r="F2660" s="10" t="n">
        <f aca="false">Nonlabor!$J$6*(1+Assumptions!$E$9)^INT((C2660-1)/12)</f>
        <v>416</v>
      </c>
      <c r="G2660" s="10" t="n">
        <f aca="false">E2660*F2660</f>
        <v>416</v>
      </c>
      <c r="H2660" s="10" t="n">
        <f aca="false">IF(OR(Nonlabor!$L$6="Quote required",Nonlabor!$L$6="Unverified"),G2660,0)</f>
        <v>416</v>
      </c>
      <c r="I2660" s="10" t="n">
        <f aca="false">IF(Nonlabor!$E$6="Core",0,G2660)</f>
        <v>0</v>
      </c>
      <c r="J2660" s="23" t="str">
        <f aca="false">Nonlabor!$B$6</f>
        <v>INFRA</v>
      </c>
    </row>
    <row r="2661" customFormat="false" ht="15" hidden="false" customHeight="false" outlineLevel="0" collapsed="false">
      <c r="A2661" s="6" t="s">
        <v>73</v>
      </c>
      <c r="B2661" s="6" t="s">
        <v>368</v>
      </c>
      <c r="C2661" s="6" t="n">
        <v>16</v>
      </c>
      <c r="D2661" s="25" t="n">
        <f aca="false">EDATE('Start Here'!$B$6,C2661-1)</f>
        <v>46784</v>
      </c>
      <c r="E2661" s="23" t="n">
        <f aca="false">IF(AND(OR(Nonlabor!$D$6="Both",Nonlabor!$D$6='Start Here'!$B$9),IF(Nonlabor!$E$6="Core",1,IF(Nonlabor!$E$6="AI",'Start Here'!$B$7,'Start Here'!$B$8))=1,C2661&gt;=IF(Nonlabor!$E$6="Core",Nonlabor!$F$6,MAX(Nonlabor!$F$6,IF(Nonlabor!$E$6="AI",Assumptions!$E$24,Assumptions!$E$25))),C2661&lt;=Nonlabor!$G$6,OR(Nonlabor!$H$6="Monthly",AND(Nonlabor!$H$6="Once",C2661=IF(Nonlabor!$E$6="Core",Nonlabor!$F$6,MAX(Nonlabor!$F$6,IF(Nonlabor!$E$6="AI",Assumptions!$E$24,Assumptions!$E$25)))),AND(Nonlabor!$H$6="Annual",MOD(C2661-IF(Nonlabor!$E$6="Core",Nonlabor!$F$6,MAX(Nonlabor!$F$6,IF(Nonlabor!$E$6="AI",Assumptions!$E$24,Assumptions!$E$25))),12)=0))),IF(Nonlabor!$I$6="Fixed",1,IF(Nonlabor!$I$6="Seats",ROUNDUP('Monthly Growth'!I21,0),IF(Nonlabor!$I$6="Customers",'Monthly Growth'!D21,IF(Nonlabor!$I$6="NewCustomers",'Monthly Growth'!C21,IF(Nonlabor!$I$6="StorageGB",'Monthly Growth'!G21,IF(Nonlabor!$I$6="LogGB",'Monthly Growth'!H21,IF(Nonlabor!$I$6="RequestsM",'Monthly Growth'!F21,IF(Nonlabor!$I$6="InputM",'Monthly Growth'!D21*Assumptions!$E$22/1000000,IF(Nonlabor!$I$6="OutputM",'Monthly Growth'!D21*Assumptions!$E$23/1000000,0))))))))),0)</f>
        <v>1</v>
      </c>
      <c r="F2661" s="10" t="n">
        <f aca="false">Nonlabor!$J$6*(1+Assumptions!$E$9)^INT((C2661-1)/12)</f>
        <v>416</v>
      </c>
      <c r="G2661" s="10" t="n">
        <f aca="false">E2661*F2661</f>
        <v>416</v>
      </c>
      <c r="H2661" s="10" t="n">
        <f aca="false">IF(OR(Nonlabor!$L$6="Quote required",Nonlabor!$L$6="Unverified"),G2661,0)</f>
        <v>416</v>
      </c>
      <c r="I2661" s="10" t="n">
        <f aca="false">IF(Nonlabor!$E$6="Core",0,G2661)</f>
        <v>0</v>
      </c>
      <c r="J2661" s="23" t="str">
        <f aca="false">Nonlabor!$B$6</f>
        <v>INFRA</v>
      </c>
    </row>
    <row r="2662" customFormat="false" ht="15" hidden="false" customHeight="false" outlineLevel="0" collapsed="false">
      <c r="A2662" s="6" t="s">
        <v>73</v>
      </c>
      <c r="B2662" s="6" t="s">
        <v>368</v>
      </c>
      <c r="C2662" s="6" t="n">
        <v>17</v>
      </c>
      <c r="D2662" s="25" t="n">
        <f aca="false">EDATE('Start Here'!$B$6,C2662-1)</f>
        <v>46813</v>
      </c>
      <c r="E2662" s="23" t="n">
        <f aca="false">IF(AND(OR(Nonlabor!$D$6="Both",Nonlabor!$D$6='Start Here'!$B$9),IF(Nonlabor!$E$6="Core",1,IF(Nonlabor!$E$6="AI",'Start Here'!$B$7,'Start Here'!$B$8))=1,C2662&gt;=IF(Nonlabor!$E$6="Core",Nonlabor!$F$6,MAX(Nonlabor!$F$6,IF(Nonlabor!$E$6="AI",Assumptions!$E$24,Assumptions!$E$25))),C2662&lt;=Nonlabor!$G$6,OR(Nonlabor!$H$6="Monthly",AND(Nonlabor!$H$6="Once",C2662=IF(Nonlabor!$E$6="Core",Nonlabor!$F$6,MAX(Nonlabor!$F$6,IF(Nonlabor!$E$6="AI",Assumptions!$E$24,Assumptions!$E$25)))),AND(Nonlabor!$H$6="Annual",MOD(C2662-IF(Nonlabor!$E$6="Core",Nonlabor!$F$6,MAX(Nonlabor!$F$6,IF(Nonlabor!$E$6="AI",Assumptions!$E$24,Assumptions!$E$25))),12)=0))),IF(Nonlabor!$I$6="Fixed",1,IF(Nonlabor!$I$6="Seats",ROUNDUP('Monthly Growth'!I22,0),IF(Nonlabor!$I$6="Customers",'Monthly Growth'!D22,IF(Nonlabor!$I$6="NewCustomers",'Monthly Growth'!C22,IF(Nonlabor!$I$6="StorageGB",'Monthly Growth'!G22,IF(Nonlabor!$I$6="LogGB",'Monthly Growth'!H22,IF(Nonlabor!$I$6="RequestsM",'Monthly Growth'!F22,IF(Nonlabor!$I$6="InputM",'Monthly Growth'!D22*Assumptions!$E$22/1000000,IF(Nonlabor!$I$6="OutputM",'Monthly Growth'!D22*Assumptions!$E$23/1000000,0))))))))),0)</f>
        <v>1</v>
      </c>
      <c r="F2662" s="10" t="n">
        <f aca="false">Nonlabor!$J$6*(1+Assumptions!$E$9)^INT((C2662-1)/12)</f>
        <v>416</v>
      </c>
      <c r="G2662" s="10" t="n">
        <f aca="false">E2662*F2662</f>
        <v>416</v>
      </c>
      <c r="H2662" s="10" t="n">
        <f aca="false">IF(OR(Nonlabor!$L$6="Quote required",Nonlabor!$L$6="Unverified"),G2662,0)</f>
        <v>416</v>
      </c>
      <c r="I2662" s="10" t="n">
        <f aca="false">IF(Nonlabor!$E$6="Core",0,G2662)</f>
        <v>0</v>
      </c>
      <c r="J2662" s="23" t="str">
        <f aca="false">Nonlabor!$B$6</f>
        <v>INFRA</v>
      </c>
    </row>
    <row r="2663" customFormat="false" ht="15" hidden="false" customHeight="false" outlineLevel="0" collapsed="false">
      <c r="A2663" s="6" t="s">
        <v>73</v>
      </c>
      <c r="B2663" s="6" t="s">
        <v>368</v>
      </c>
      <c r="C2663" s="6" t="n">
        <v>18</v>
      </c>
      <c r="D2663" s="25" t="n">
        <f aca="false">EDATE('Start Here'!$B$6,C2663-1)</f>
        <v>46844</v>
      </c>
      <c r="E2663" s="23" t="n">
        <f aca="false">IF(AND(OR(Nonlabor!$D$6="Both",Nonlabor!$D$6='Start Here'!$B$9),IF(Nonlabor!$E$6="Core",1,IF(Nonlabor!$E$6="AI",'Start Here'!$B$7,'Start Here'!$B$8))=1,C2663&gt;=IF(Nonlabor!$E$6="Core",Nonlabor!$F$6,MAX(Nonlabor!$F$6,IF(Nonlabor!$E$6="AI",Assumptions!$E$24,Assumptions!$E$25))),C2663&lt;=Nonlabor!$G$6,OR(Nonlabor!$H$6="Monthly",AND(Nonlabor!$H$6="Once",C2663=IF(Nonlabor!$E$6="Core",Nonlabor!$F$6,MAX(Nonlabor!$F$6,IF(Nonlabor!$E$6="AI",Assumptions!$E$24,Assumptions!$E$25)))),AND(Nonlabor!$H$6="Annual",MOD(C2663-IF(Nonlabor!$E$6="Core",Nonlabor!$F$6,MAX(Nonlabor!$F$6,IF(Nonlabor!$E$6="AI",Assumptions!$E$24,Assumptions!$E$25))),12)=0))),IF(Nonlabor!$I$6="Fixed",1,IF(Nonlabor!$I$6="Seats",ROUNDUP('Monthly Growth'!I23,0),IF(Nonlabor!$I$6="Customers",'Monthly Growth'!D23,IF(Nonlabor!$I$6="NewCustomers",'Monthly Growth'!C23,IF(Nonlabor!$I$6="StorageGB",'Monthly Growth'!G23,IF(Nonlabor!$I$6="LogGB",'Monthly Growth'!H23,IF(Nonlabor!$I$6="RequestsM",'Monthly Growth'!F23,IF(Nonlabor!$I$6="InputM",'Monthly Growth'!D23*Assumptions!$E$22/1000000,IF(Nonlabor!$I$6="OutputM",'Monthly Growth'!D23*Assumptions!$E$23/1000000,0))))))))),0)</f>
        <v>1</v>
      </c>
      <c r="F2663" s="10" t="n">
        <f aca="false">Nonlabor!$J$6*(1+Assumptions!$E$9)^INT((C2663-1)/12)</f>
        <v>416</v>
      </c>
      <c r="G2663" s="10" t="n">
        <f aca="false">E2663*F2663</f>
        <v>416</v>
      </c>
      <c r="H2663" s="10" t="n">
        <f aca="false">IF(OR(Nonlabor!$L$6="Quote required",Nonlabor!$L$6="Unverified"),G2663,0)</f>
        <v>416</v>
      </c>
      <c r="I2663" s="10" t="n">
        <f aca="false">IF(Nonlabor!$E$6="Core",0,G2663)</f>
        <v>0</v>
      </c>
      <c r="J2663" s="23" t="str">
        <f aca="false">Nonlabor!$B$6</f>
        <v>INFRA</v>
      </c>
    </row>
    <row r="2664" customFormat="false" ht="15" hidden="false" customHeight="false" outlineLevel="0" collapsed="false">
      <c r="A2664" s="6" t="s">
        <v>73</v>
      </c>
      <c r="B2664" s="6" t="s">
        <v>368</v>
      </c>
      <c r="C2664" s="6" t="n">
        <v>19</v>
      </c>
      <c r="D2664" s="25" t="n">
        <f aca="false">EDATE('Start Here'!$B$6,C2664-1)</f>
        <v>46874</v>
      </c>
      <c r="E2664" s="23" t="n">
        <f aca="false">IF(AND(OR(Nonlabor!$D$6="Both",Nonlabor!$D$6='Start Here'!$B$9),IF(Nonlabor!$E$6="Core",1,IF(Nonlabor!$E$6="AI",'Start Here'!$B$7,'Start Here'!$B$8))=1,C2664&gt;=IF(Nonlabor!$E$6="Core",Nonlabor!$F$6,MAX(Nonlabor!$F$6,IF(Nonlabor!$E$6="AI",Assumptions!$E$24,Assumptions!$E$25))),C2664&lt;=Nonlabor!$G$6,OR(Nonlabor!$H$6="Monthly",AND(Nonlabor!$H$6="Once",C2664=IF(Nonlabor!$E$6="Core",Nonlabor!$F$6,MAX(Nonlabor!$F$6,IF(Nonlabor!$E$6="AI",Assumptions!$E$24,Assumptions!$E$25)))),AND(Nonlabor!$H$6="Annual",MOD(C2664-IF(Nonlabor!$E$6="Core",Nonlabor!$F$6,MAX(Nonlabor!$F$6,IF(Nonlabor!$E$6="AI",Assumptions!$E$24,Assumptions!$E$25))),12)=0))),IF(Nonlabor!$I$6="Fixed",1,IF(Nonlabor!$I$6="Seats",ROUNDUP('Monthly Growth'!I24,0),IF(Nonlabor!$I$6="Customers",'Monthly Growth'!D24,IF(Nonlabor!$I$6="NewCustomers",'Monthly Growth'!C24,IF(Nonlabor!$I$6="StorageGB",'Monthly Growth'!G24,IF(Nonlabor!$I$6="LogGB",'Monthly Growth'!H24,IF(Nonlabor!$I$6="RequestsM",'Monthly Growth'!F24,IF(Nonlabor!$I$6="InputM",'Monthly Growth'!D24*Assumptions!$E$22/1000000,IF(Nonlabor!$I$6="OutputM",'Monthly Growth'!D24*Assumptions!$E$23/1000000,0))))))))),0)</f>
        <v>1</v>
      </c>
      <c r="F2664" s="10" t="n">
        <f aca="false">Nonlabor!$J$6*(1+Assumptions!$E$9)^INT((C2664-1)/12)</f>
        <v>416</v>
      </c>
      <c r="G2664" s="10" t="n">
        <f aca="false">E2664*F2664</f>
        <v>416</v>
      </c>
      <c r="H2664" s="10" t="n">
        <f aca="false">IF(OR(Nonlabor!$L$6="Quote required",Nonlabor!$L$6="Unverified"),G2664,0)</f>
        <v>416</v>
      </c>
      <c r="I2664" s="10" t="n">
        <f aca="false">IF(Nonlabor!$E$6="Core",0,G2664)</f>
        <v>0</v>
      </c>
      <c r="J2664" s="23" t="str">
        <f aca="false">Nonlabor!$B$6</f>
        <v>INFRA</v>
      </c>
    </row>
    <row r="2665" customFormat="false" ht="15" hidden="false" customHeight="false" outlineLevel="0" collapsed="false">
      <c r="A2665" s="6" t="s">
        <v>73</v>
      </c>
      <c r="B2665" s="6" t="s">
        <v>368</v>
      </c>
      <c r="C2665" s="6" t="n">
        <v>20</v>
      </c>
      <c r="D2665" s="25" t="n">
        <f aca="false">EDATE('Start Here'!$B$6,C2665-1)</f>
        <v>46905</v>
      </c>
      <c r="E2665" s="23" t="n">
        <f aca="false">IF(AND(OR(Nonlabor!$D$6="Both",Nonlabor!$D$6='Start Here'!$B$9),IF(Nonlabor!$E$6="Core",1,IF(Nonlabor!$E$6="AI",'Start Here'!$B$7,'Start Here'!$B$8))=1,C2665&gt;=IF(Nonlabor!$E$6="Core",Nonlabor!$F$6,MAX(Nonlabor!$F$6,IF(Nonlabor!$E$6="AI",Assumptions!$E$24,Assumptions!$E$25))),C2665&lt;=Nonlabor!$G$6,OR(Nonlabor!$H$6="Monthly",AND(Nonlabor!$H$6="Once",C2665=IF(Nonlabor!$E$6="Core",Nonlabor!$F$6,MAX(Nonlabor!$F$6,IF(Nonlabor!$E$6="AI",Assumptions!$E$24,Assumptions!$E$25)))),AND(Nonlabor!$H$6="Annual",MOD(C2665-IF(Nonlabor!$E$6="Core",Nonlabor!$F$6,MAX(Nonlabor!$F$6,IF(Nonlabor!$E$6="AI",Assumptions!$E$24,Assumptions!$E$25))),12)=0))),IF(Nonlabor!$I$6="Fixed",1,IF(Nonlabor!$I$6="Seats",ROUNDUP('Monthly Growth'!I25,0),IF(Nonlabor!$I$6="Customers",'Monthly Growth'!D25,IF(Nonlabor!$I$6="NewCustomers",'Monthly Growth'!C25,IF(Nonlabor!$I$6="StorageGB",'Monthly Growth'!G25,IF(Nonlabor!$I$6="LogGB",'Monthly Growth'!H25,IF(Nonlabor!$I$6="RequestsM",'Monthly Growth'!F25,IF(Nonlabor!$I$6="InputM",'Monthly Growth'!D25*Assumptions!$E$22/1000000,IF(Nonlabor!$I$6="OutputM",'Monthly Growth'!D25*Assumptions!$E$23/1000000,0))))))))),0)</f>
        <v>1</v>
      </c>
      <c r="F2665" s="10" t="n">
        <f aca="false">Nonlabor!$J$6*(1+Assumptions!$E$9)^INT((C2665-1)/12)</f>
        <v>416</v>
      </c>
      <c r="G2665" s="10" t="n">
        <f aca="false">E2665*F2665</f>
        <v>416</v>
      </c>
      <c r="H2665" s="10" t="n">
        <f aca="false">IF(OR(Nonlabor!$L$6="Quote required",Nonlabor!$L$6="Unverified"),G2665,0)</f>
        <v>416</v>
      </c>
      <c r="I2665" s="10" t="n">
        <f aca="false">IF(Nonlabor!$E$6="Core",0,G2665)</f>
        <v>0</v>
      </c>
      <c r="J2665" s="23" t="str">
        <f aca="false">Nonlabor!$B$6</f>
        <v>INFRA</v>
      </c>
    </row>
    <row r="2666" customFormat="false" ht="15" hidden="false" customHeight="false" outlineLevel="0" collapsed="false">
      <c r="A2666" s="6" t="s">
        <v>73</v>
      </c>
      <c r="B2666" s="6" t="s">
        <v>368</v>
      </c>
      <c r="C2666" s="6" t="n">
        <v>21</v>
      </c>
      <c r="D2666" s="25" t="n">
        <f aca="false">EDATE('Start Here'!$B$6,C2666-1)</f>
        <v>46935</v>
      </c>
      <c r="E2666" s="23" t="n">
        <f aca="false">IF(AND(OR(Nonlabor!$D$6="Both",Nonlabor!$D$6='Start Here'!$B$9),IF(Nonlabor!$E$6="Core",1,IF(Nonlabor!$E$6="AI",'Start Here'!$B$7,'Start Here'!$B$8))=1,C2666&gt;=IF(Nonlabor!$E$6="Core",Nonlabor!$F$6,MAX(Nonlabor!$F$6,IF(Nonlabor!$E$6="AI",Assumptions!$E$24,Assumptions!$E$25))),C2666&lt;=Nonlabor!$G$6,OR(Nonlabor!$H$6="Monthly",AND(Nonlabor!$H$6="Once",C2666=IF(Nonlabor!$E$6="Core",Nonlabor!$F$6,MAX(Nonlabor!$F$6,IF(Nonlabor!$E$6="AI",Assumptions!$E$24,Assumptions!$E$25)))),AND(Nonlabor!$H$6="Annual",MOD(C2666-IF(Nonlabor!$E$6="Core",Nonlabor!$F$6,MAX(Nonlabor!$F$6,IF(Nonlabor!$E$6="AI",Assumptions!$E$24,Assumptions!$E$25))),12)=0))),IF(Nonlabor!$I$6="Fixed",1,IF(Nonlabor!$I$6="Seats",ROUNDUP('Monthly Growth'!I26,0),IF(Nonlabor!$I$6="Customers",'Monthly Growth'!D26,IF(Nonlabor!$I$6="NewCustomers",'Monthly Growth'!C26,IF(Nonlabor!$I$6="StorageGB",'Monthly Growth'!G26,IF(Nonlabor!$I$6="LogGB",'Monthly Growth'!H26,IF(Nonlabor!$I$6="RequestsM",'Monthly Growth'!F26,IF(Nonlabor!$I$6="InputM",'Monthly Growth'!D26*Assumptions!$E$22/1000000,IF(Nonlabor!$I$6="OutputM",'Monthly Growth'!D26*Assumptions!$E$23/1000000,0))))))))),0)</f>
        <v>1</v>
      </c>
      <c r="F2666" s="10" t="n">
        <f aca="false">Nonlabor!$J$6*(1+Assumptions!$E$9)^INT((C2666-1)/12)</f>
        <v>416</v>
      </c>
      <c r="G2666" s="10" t="n">
        <f aca="false">E2666*F2666</f>
        <v>416</v>
      </c>
      <c r="H2666" s="10" t="n">
        <f aca="false">IF(OR(Nonlabor!$L$6="Quote required",Nonlabor!$L$6="Unverified"),G2666,0)</f>
        <v>416</v>
      </c>
      <c r="I2666" s="10" t="n">
        <f aca="false">IF(Nonlabor!$E$6="Core",0,G2666)</f>
        <v>0</v>
      </c>
      <c r="J2666" s="23" t="str">
        <f aca="false">Nonlabor!$B$6</f>
        <v>INFRA</v>
      </c>
    </row>
    <row r="2667" customFormat="false" ht="15" hidden="false" customHeight="false" outlineLevel="0" collapsed="false">
      <c r="A2667" s="6" t="s">
        <v>73</v>
      </c>
      <c r="B2667" s="6" t="s">
        <v>368</v>
      </c>
      <c r="C2667" s="6" t="n">
        <v>22</v>
      </c>
      <c r="D2667" s="25" t="n">
        <f aca="false">EDATE('Start Here'!$B$6,C2667-1)</f>
        <v>46966</v>
      </c>
      <c r="E2667" s="23" t="n">
        <f aca="false">IF(AND(OR(Nonlabor!$D$6="Both",Nonlabor!$D$6='Start Here'!$B$9),IF(Nonlabor!$E$6="Core",1,IF(Nonlabor!$E$6="AI",'Start Here'!$B$7,'Start Here'!$B$8))=1,C2667&gt;=IF(Nonlabor!$E$6="Core",Nonlabor!$F$6,MAX(Nonlabor!$F$6,IF(Nonlabor!$E$6="AI",Assumptions!$E$24,Assumptions!$E$25))),C2667&lt;=Nonlabor!$G$6,OR(Nonlabor!$H$6="Monthly",AND(Nonlabor!$H$6="Once",C2667=IF(Nonlabor!$E$6="Core",Nonlabor!$F$6,MAX(Nonlabor!$F$6,IF(Nonlabor!$E$6="AI",Assumptions!$E$24,Assumptions!$E$25)))),AND(Nonlabor!$H$6="Annual",MOD(C2667-IF(Nonlabor!$E$6="Core",Nonlabor!$F$6,MAX(Nonlabor!$F$6,IF(Nonlabor!$E$6="AI",Assumptions!$E$24,Assumptions!$E$25))),12)=0))),IF(Nonlabor!$I$6="Fixed",1,IF(Nonlabor!$I$6="Seats",ROUNDUP('Monthly Growth'!I27,0),IF(Nonlabor!$I$6="Customers",'Monthly Growth'!D27,IF(Nonlabor!$I$6="NewCustomers",'Monthly Growth'!C27,IF(Nonlabor!$I$6="StorageGB",'Monthly Growth'!G27,IF(Nonlabor!$I$6="LogGB",'Monthly Growth'!H27,IF(Nonlabor!$I$6="RequestsM",'Monthly Growth'!F27,IF(Nonlabor!$I$6="InputM",'Monthly Growth'!D27*Assumptions!$E$22/1000000,IF(Nonlabor!$I$6="OutputM",'Monthly Growth'!D27*Assumptions!$E$23/1000000,0))))))))),0)</f>
        <v>1</v>
      </c>
      <c r="F2667" s="10" t="n">
        <f aca="false">Nonlabor!$J$6*(1+Assumptions!$E$9)^INT((C2667-1)/12)</f>
        <v>416</v>
      </c>
      <c r="G2667" s="10" t="n">
        <f aca="false">E2667*F2667</f>
        <v>416</v>
      </c>
      <c r="H2667" s="10" t="n">
        <f aca="false">IF(OR(Nonlabor!$L$6="Quote required",Nonlabor!$L$6="Unverified"),G2667,0)</f>
        <v>416</v>
      </c>
      <c r="I2667" s="10" t="n">
        <f aca="false">IF(Nonlabor!$E$6="Core",0,G2667)</f>
        <v>0</v>
      </c>
      <c r="J2667" s="23" t="str">
        <f aca="false">Nonlabor!$B$6</f>
        <v>INFRA</v>
      </c>
    </row>
    <row r="2668" customFormat="false" ht="15" hidden="false" customHeight="false" outlineLevel="0" collapsed="false">
      <c r="A2668" s="6" t="s">
        <v>73</v>
      </c>
      <c r="B2668" s="6" t="s">
        <v>368</v>
      </c>
      <c r="C2668" s="6" t="n">
        <v>23</v>
      </c>
      <c r="D2668" s="25" t="n">
        <f aca="false">EDATE('Start Here'!$B$6,C2668-1)</f>
        <v>46997</v>
      </c>
      <c r="E2668" s="23" t="n">
        <f aca="false">IF(AND(OR(Nonlabor!$D$6="Both",Nonlabor!$D$6='Start Here'!$B$9),IF(Nonlabor!$E$6="Core",1,IF(Nonlabor!$E$6="AI",'Start Here'!$B$7,'Start Here'!$B$8))=1,C2668&gt;=IF(Nonlabor!$E$6="Core",Nonlabor!$F$6,MAX(Nonlabor!$F$6,IF(Nonlabor!$E$6="AI",Assumptions!$E$24,Assumptions!$E$25))),C2668&lt;=Nonlabor!$G$6,OR(Nonlabor!$H$6="Monthly",AND(Nonlabor!$H$6="Once",C2668=IF(Nonlabor!$E$6="Core",Nonlabor!$F$6,MAX(Nonlabor!$F$6,IF(Nonlabor!$E$6="AI",Assumptions!$E$24,Assumptions!$E$25)))),AND(Nonlabor!$H$6="Annual",MOD(C2668-IF(Nonlabor!$E$6="Core",Nonlabor!$F$6,MAX(Nonlabor!$F$6,IF(Nonlabor!$E$6="AI",Assumptions!$E$24,Assumptions!$E$25))),12)=0))),IF(Nonlabor!$I$6="Fixed",1,IF(Nonlabor!$I$6="Seats",ROUNDUP('Monthly Growth'!I28,0),IF(Nonlabor!$I$6="Customers",'Monthly Growth'!D28,IF(Nonlabor!$I$6="NewCustomers",'Monthly Growth'!C28,IF(Nonlabor!$I$6="StorageGB",'Monthly Growth'!G28,IF(Nonlabor!$I$6="LogGB",'Monthly Growth'!H28,IF(Nonlabor!$I$6="RequestsM",'Monthly Growth'!F28,IF(Nonlabor!$I$6="InputM",'Monthly Growth'!D28*Assumptions!$E$22/1000000,IF(Nonlabor!$I$6="OutputM",'Monthly Growth'!D28*Assumptions!$E$23/1000000,0))))))))),0)</f>
        <v>1</v>
      </c>
      <c r="F2668" s="10" t="n">
        <f aca="false">Nonlabor!$J$6*(1+Assumptions!$E$9)^INT((C2668-1)/12)</f>
        <v>416</v>
      </c>
      <c r="G2668" s="10" t="n">
        <f aca="false">E2668*F2668</f>
        <v>416</v>
      </c>
      <c r="H2668" s="10" t="n">
        <f aca="false">IF(OR(Nonlabor!$L$6="Quote required",Nonlabor!$L$6="Unverified"),G2668,0)</f>
        <v>416</v>
      </c>
      <c r="I2668" s="10" t="n">
        <f aca="false">IF(Nonlabor!$E$6="Core",0,G2668)</f>
        <v>0</v>
      </c>
      <c r="J2668" s="23" t="str">
        <f aca="false">Nonlabor!$B$6</f>
        <v>INFRA</v>
      </c>
    </row>
    <row r="2669" customFormat="false" ht="15" hidden="false" customHeight="false" outlineLevel="0" collapsed="false">
      <c r="A2669" s="6" t="s">
        <v>73</v>
      </c>
      <c r="B2669" s="6" t="s">
        <v>368</v>
      </c>
      <c r="C2669" s="6" t="n">
        <v>24</v>
      </c>
      <c r="D2669" s="25" t="n">
        <f aca="false">EDATE('Start Here'!$B$6,C2669-1)</f>
        <v>47027</v>
      </c>
      <c r="E2669" s="23" t="n">
        <f aca="false">IF(AND(OR(Nonlabor!$D$6="Both",Nonlabor!$D$6='Start Here'!$B$9),IF(Nonlabor!$E$6="Core",1,IF(Nonlabor!$E$6="AI",'Start Here'!$B$7,'Start Here'!$B$8))=1,C2669&gt;=IF(Nonlabor!$E$6="Core",Nonlabor!$F$6,MAX(Nonlabor!$F$6,IF(Nonlabor!$E$6="AI",Assumptions!$E$24,Assumptions!$E$25))),C2669&lt;=Nonlabor!$G$6,OR(Nonlabor!$H$6="Monthly",AND(Nonlabor!$H$6="Once",C2669=IF(Nonlabor!$E$6="Core",Nonlabor!$F$6,MAX(Nonlabor!$F$6,IF(Nonlabor!$E$6="AI",Assumptions!$E$24,Assumptions!$E$25)))),AND(Nonlabor!$H$6="Annual",MOD(C2669-IF(Nonlabor!$E$6="Core",Nonlabor!$F$6,MAX(Nonlabor!$F$6,IF(Nonlabor!$E$6="AI",Assumptions!$E$24,Assumptions!$E$25))),12)=0))),IF(Nonlabor!$I$6="Fixed",1,IF(Nonlabor!$I$6="Seats",ROUNDUP('Monthly Growth'!I29,0),IF(Nonlabor!$I$6="Customers",'Monthly Growth'!D29,IF(Nonlabor!$I$6="NewCustomers",'Monthly Growth'!C29,IF(Nonlabor!$I$6="StorageGB",'Monthly Growth'!G29,IF(Nonlabor!$I$6="LogGB",'Monthly Growth'!H29,IF(Nonlabor!$I$6="RequestsM",'Monthly Growth'!F29,IF(Nonlabor!$I$6="InputM",'Monthly Growth'!D29*Assumptions!$E$22/1000000,IF(Nonlabor!$I$6="OutputM",'Monthly Growth'!D29*Assumptions!$E$23/1000000,0))))))))),0)</f>
        <v>1</v>
      </c>
      <c r="F2669" s="10" t="n">
        <f aca="false">Nonlabor!$J$6*(1+Assumptions!$E$9)^INT((C2669-1)/12)</f>
        <v>416</v>
      </c>
      <c r="G2669" s="10" t="n">
        <f aca="false">E2669*F2669</f>
        <v>416</v>
      </c>
      <c r="H2669" s="10" t="n">
        <f aca="false">IF(OR(Nonlabor!$L$6="Quote required",Nonlabor!$L$6="Unverified"),G2669,0)</f>
        <v>416</v>
      </c>
      <c r="I2669" s="10" t="n">
        <f aca="false">IF(Nonlabor!$E$6="Core",0,G2669)</f>
        <v>0</v>
      </c>
      <c r="J2669" s="23" t="str">
        <f aca="false">Nonlabor!$B$6</f>
        <v>INFRA</v>
      </c>
    </row>
    <row r="2670" customFormat="false" ht="15" hidden="false" customHeight="false" outlineLevel="0" collapsed="false">
      <c r="A2670" s="6" t="s">
        <v>73</v>
      </c>
      <c r="B2670" s="6" t="s">
        <v>368</v>
      </c>
      <c r="C2670" s="6" t="n">
        <v>25</v>
      </c>
      <c r="D2670" s="25" t="n">
        <f aca="false">EDATE('Start Here'!$B$6,C2670-1)</f>
        <v>47058</v>
      </c>
      <c r="E2670" s="23" t="n">
        <f aca="false">IF(AND(OR(Nonlabor!$D$6="Both",Nonlabor!$D$6='Start Here'!$B$9),IF(Nonlabor!$E$6="Core",1,IF(Nonlabor!$E$6="AI",'Start Here'!$B$7,'Start Here'!$B$8))=1,C2670&gt;=IF(Nonlabor!$E$6="Core",Nonlabor!$F$6,MAX(Nonlabor!$F$6,IF(Nonlabor!$E$6="AI",Assumptions!$E$24,Assumptions!$E$25))),C2670&lt;=Nonlabor!$G$6,OR(Nonlabor!$H$6="Monthly",AND(Nonlabor!$H$6="Once",C2670=IF(Nonlabor!$E$6="Core",Nonlabor!$F$6,MAX(Nonlabor!$F$6,IF(Nonlabor!$E$6="AI",Assumptions!$E$24,Assumptions!$E$25)))),AND(Nonlabor!$H$6="Annual",MOD(C2670-IF(Nonlabor!$E$6="Core",Nonlabor!$F$6,MAX(Nonlabor!$F$6,IF(Nonlabor!$E$6="AI",Assumptions!$E$24,Assumptions!$E$25))),12)=0))),IF(Nonlabor!$I$6="Fixed",1,IF(Nonlabor!$I$6="Seats",ROUNDUP('Monthly Growth'!I30,0),IF(Nonlabor!$I$6="Customers",'Monthly Growth'!D30,IF(Nonlabor!$I$6="NewCustomers",'Monthly Growth'!C30,IF(Nonlabor!$I$6="StorageGB",'Monthly Growth'!G30,IF(Nonlabor!$I$6="LogGB",'Monthly Growth'!H30,IF(Nonlabor!$I$6="RequestsM",'Monthly Growth'!F30,IF(Nonlabor!$I$6="InputM",'Monthly Growth'!D30*Assumptions!$E$22/1000000,IF(Nonlabor!$I$6="OutputM",'Monthly Growth'!D30*Assumptions!$E$23/1000000,0))))))))),0)</f>
        <v>1</v>
      </c>
      <c r="F2670" s="10" t="n">
        <f aca="false">Nonlabor!$J$6*(1+Assumptions!$E$9)^INT((C2670-1)/12)</f>
        <v>432.64</v>
      </c>
      <c r="G2670" s="10" t="n">
        <f aca="false">E2670*F2670</f>
        <v>432.64</v>
      </c>
      <c r="H2670" s="10" t="n">
        <f aca="false">IF(OR(Nonlabor!$L$6="Quote required",Nonlabor!$L$6="Unverified"),G2670,0)</f>
        <v>432.64</v>
      </c>
      <c r="I2670" s="10" t="n">
        <f aca="false">IF(Nonlabor!$E$6="Core",0,G2670)</f>
        <v>0</v>
      </c>
      <c r="J2670" s="23" t="str">
        <f aca="false">Nonlabor!$B$6</f>
        <v>INFRA</v>
      </c>
    </row>
    <row r="2671" customFormat="false" ht="15" hidden="false" customHeight="false" outlineLevel="0" collapsed="false">
      <c r="A2671" s="6" t="s">
        <v>73</v>
      </c>
      <c r="B2671" s="6" t="s">
        <v>368</v>
      </c>
      <c r="C2671" s="6" t="n">
        <v>26</v>
      </c>
      <c r="D2671" s="25" t="n">
        <f aca="false">EDATE('Start Here'!$B$6,C2671-1)</f>
        <v>47088</v>
      </c>
      <c r="E2671" s="23" t="n">
        <f aca="false">IF(AND(OR(Nonlabor!$D$6="Both",Nonlabor!$D$6='Start Here'!$B$9),IF(Nonlabor!$E$6="Core",1,IF(Nonlabor!$E$6="AI",'Start Here'!$B$7,'Start Here'!$B$8))=1,C2671&gt;=IF(Nonlabor!$E$6="Core",Nonlabor!$F$6,MAX(Nonlabor!$F$6,IF(Nonlabor!$E$6="AI",Assumptions!$E$24,Assumptions!$E$25))),C2671&lt;=Nonlabor!$G$6,OR(Nonlabor!$H$6="Monthly",AND(Nonlabor!$H$6="Once",C2671=IF(Nonlabor!$E$6="Core",Nonlabor!$F$6,MAX(Nonlabor!$F$6,IF(Nonlabor!$E$6="AI",Assumptions!$E$24,Assumptions!$E$25)))),AND(Nonlabor!$H$6="Annual",MOD(C2671-IF(Nonlabor!$E$6="Core",Nonlabor!$F$6,MAX(Nonlabor!$F$6,IF(Nonlabor!$E$6="AI",Assumptions!$E$24,Assumptions!$E$25))),12)=0))),IF(Nonlabor!$I$6="Fixed",1,IF(Nonlabor!$I$6="Seats",ROUNDUP('Monthly Growth'!I31,0),IF(Nonlabor!$I$6="Customers",'Monthly Growth'!D31,IF(Nonlabor!$I$6="NewCustomers",'Monthly Growth'!C31,IF(Nonlabor!$I$6="StorageGB",'Monthly Growth'!G31,IF(Nonlabor!$I$6="LogGB",'Monthly Growth'!H31,IF(Nonlabor!$I$6="RequestsM",'Monthly Growth'!F31,IF(Nonlabor!$I$6="InputM",'Monthly Growth'!D31*Assumptions!$E$22/1000000,IF(Nonlabor!$I$6="OutputM",'Monthly Growth'!D31*Assumptions!$E$23/1000000,0))))))))),0)</f>
        <v>1</v>
      </c>
      <c r="F2671" s="10" t="n">
        <f aca="false">Nonlabor!$J$6*(1+Assumptions!$E$9)^INT((C2671-1)/12)</f>
        <v>432.64</v>
      </c>
      <c r="G2671" s="10" t="n">
        <f aca="false">E2671*F2671</f>
        <v>432.64</v>
      </c>
      <c r="H2671" s="10" t="n">
        <f aca="false">IF(OR(Nonlabor!$L$6="Quote required",Nonlabor!$L$6="Unverified"),G2671,0)</f>
        <v>432.64</v>
      </c>
      <c r="I2671" s="10" t="n">
        <f aca="false">IF(Nonlabor!$E$6="Core",0,G2671)</f>
        <v>0</v>
      </c>
      <c r="J2671" s="23" t="str">
        <f aca="false">Nonlabor!$B$6</f>
        <v>INFRA</v>
      </c>
    </row>
    <row r="2672" customFormat="false" ht="15" hidden="false" customHeight="false" outlineLevel="0" collapsed="false">
      <c r="A2672" s="6" t="s">
        <v>73</v>
      </c>
      <c r="B2672" s="6" t="s">
        <v>368</v>
      </c>
      <c r="C2672" s="6" t="n">
        <v>27</v>
      </c>
      <c r="D2672" s="25" t="n">
        <f aca="false">EDATE('Start Here'!$B$6,C2672-1)</f>
        <v>47119</v>
      </c>
      <c r="E2672" s="23" t="n">
        <f aca="false">IF(AND(OR(Nonlabor!$D$6="Both",Nonlabor!$D$6='Start Here'!$B$9),IF(Nonlabor!$E$6="Core",1,IF(Nonlabor!$E$6="AI",'Start Here'!$B$7,'Start Here'!$B$8))=1,C2672&gt;=IF(Nonlabor!$E$6="Core",Nonlabor!$F$6,MAX(Nonlabor!$F$6,IF(Nonlabor!$E$6="AI",Assumptions!$E$24,Assumptions!$E$25))),C2672&lt;=Nonlabor!$G$6,OR(Nonlabor!$H$6="Monthly",AND(Nonlabor!$H$6="Once",C2672=IF(Nonlabor!$E$6="Core",Nonlabor!$F$6,MAX(Nonlabor!$F$6,IF(Nonlabor!$E$6="AI",Assumptions!$E$24,Assumptions!$E$25)))),AND(Nonlabor!$H$6="Annual",MOD(C2672-IF(Nonlabor!$E$6="Core",Nonlabor!$F$6,MAX(Nonlabor!$F$6,IF(Nonlabor!$E$6="AI",Assumptions!$E$24,Assumptions!$E$25))),12)=0))),IF(Nonlabor!$I$6="Fixed",1,IF(Nonlabor!$I$6="Seats",ROUNDUP('Monthly Growth'!I32,0),IF(Nonlabor!$I$6="Customers",'Monthly Growth'!D32,IF(Nonlabor!$I$6="NewCustomers",'Monthly Growth'!C32,IF(Nonlabor!$I$6="StorageGB",'Monthly Growth'!G32,IF(Nonlabor!$I$6="LogGB",'Monthly Growth'!H32,IF(Nonlabor!$I$6="RequestsM",'Monthly Growth'!F32,IF(Nonlabor!$I$6="InputM",'Monthly Growth'!D32*Assumptions!$E$22/1000000,IF(Nonlabor!$I$6="OutputM",'Monthly Growth'!D32*Assumptions!$E$23/1000000,0))))))))),0)</f>
        <v>1</v>
      </c>
      <c r="F2672" s="10" t="n">
        <f aca="false">Nonlabor!$J$6*(1+Assumptions!$E$9)^INT((C2672-1)/12)</f>
        <v>432.64</v>
      </c>
      <c r="G2672" s="10" t="n">
        <f aca="false">E2672*F2672</f>
        <v>432.64</v>
      </c>
      <c r="H2672" s="10" t="n">
        <f aca="false">IF(OR(Nonlabor!$L$6="Quote required",Nonlabor!$L$6="Unverified"),G2672,0)</f>
        <v>432.64</v>
      </c>
      <c r="I2672" s="10" t="n">
        <f aca="false">IF(Nonlabor!$E$6="Core",0,G2672)</f>
        <v>0</v>
      </c>
      <c r="J2672" s="23" t="str">
        <f aca="false">Nonlabor!$B$6</f>
        <v>INFRA</v>
      </c>
    </row>
    <row r="2673" customFormat="false" ht="15" hidden="false" customHeight="false" outlineLevel="0" collapsed="false">
      <c r="A2673" s="6" t="s">
        <v>73</v>
      </c>
      <c r="B2673" s="6" t="s">
        <v>368</v>
      </c>
      <c r="C2673" s="6" t="n">
        <v>28</v>
      </c>
      <c r="D2673" s="25" t="n">
        <f aca="false">EDATE('Start Here'!$B$6,C2673-1)</f>
        <v>47150</v>
      </c>
      <c r="E2673" s="23" t="n">
        <f aca="false">IF(AND(OR(Nonlabor!$D$6="Both",Nonlabor!$D$6='Start Here'!$B$9),IF(Nonlabor!$E$6="Core",1,IF(Nonlabor!$E$6="AI",'Start Here'!$B$7,'Start Here'!$B$8))=1,C2673&gt;=IF(Nonlabor!$E$6="Core",Nonlabor!$F$6,MAX(Nonlabor!$F$6,IF(Nonlabor!$E$6="AI",Assumptions!$E$24,Assumptions!$E$25))),C2673&lt;=Nonlabor!$G$6,OR(Nonlabor!$H$6="Monthly",AND(Nonlabor!$H$6="Once",C2673=IF(Nonlabor!$E$6="Core",Nonlabor!$F$6,MAX(Nonlabor!$F$6,IF(Nonlabor!$E$6="AI",Assumptions!$E$24,Assumptions!$E$25)))),AND(Nonlabor!$H$6="Annual",MOD(C2673-IF(Nonlabor!$E$6="Core",Nonlabor!$F$6,MAX(Nonlabor!$F$6,IF(Nonlabor!$E$6="AI",Assumptions!$E$24,Assumptions!$E$25))),12)=0))),IF(Nonlabor!$I$6="Fixed",1,IF(Nonlabor!$I$6="Seats",ROUNDUP('Monthly Growth'!I33,0),IF(Nonlabor!$I$6="Customers",'Monthly Growth'!D33,IF(Nonlabor!$I$6="NewCustomers",'Monthly Growth'!C33,IF(Nonlabor!$I$6="StorageGB",'Monthly Growth'!G33,IF(Nonlabor!$I$6="LogGB",'Monthly Growth'!H33,IF(Nonlabor!$I$6="RequestsM",'Monthly Growth'!F33,IF(Nonlabor!$I$6="InputM",'Monthly Growth'!D33*Assumptions!$E$22/1000000,IF(Nonlabor!$I$6="OutputM",'Monthly Growth'!D33*Assumptions!$E$23/1000000,0))))))))),0)</f>
        <v>1</v>
      </c>
      <c r="F2673" s="10" t="n">
        <f aca="false">Nonlabor!$J$6*(1+Assumptions!$E$9)^INT((C2673-1)/12)</f>
        <v>432.64</v>
      </c>
      <c r="G2673" s="10" t="n">
        <f aca="false">E2673*F2673</f>
        <v>432.64</v>
      </c>
      <c r="H2673" s="10" t="n">
        <f aca="false">IF(OR(Nonlabor!$L$6="Quote required",Nonlabor!$L$6="Unverified"),G2673,0)</f>
        <v>432.64</v>
      </c>
      <c r="I2673" s="10" t="n">
        <f aca="false">IF(Nonlabor!$E$6="Core",0,G2673)</f>
        <v>0</v>
      </c>
      <c r="J2673" s="23" t="str">
        <f aca="false">Nonlabor!$B$6</f>
        <v>INFRA</v>
      </c>
    </row>
    <row r="2674" customFormat="false" ht="15" hidden="false" customHeight="false" outlineLevel="0" collapsed="false">
      <c r="A2674" s="6" t="s">
        <v>73</v>
      </c>
      <c r="B2674" s="6" t="s">
        <v>368</v>
      </c>
      <c r="C2674" s="6" t="n">
        <v>29</v>
      </c>
      <c r="D2674" s="25" t="n">
        <f aca="false">EDATE('Start Here'!$B$6,C2674-1)</f>
        <v>47178</v>
      </c>
      <c r="E2674" s="23" t="n">
        <f aca="false">IF(AND(OR(Nonlabor!$D$6="Both",Nonlabor!$D$6='Start Here'!$B$9),IF(Nonlabor!$E$6="Core",1,IF(Nonlabor!$E$6="AI",'Start Here'!$B$7,'Start Here'!$B$8))=1,C2674&gt;=IF(Nonlabor!$E$6="Core",Nonlabor!$F$6,MAX(Nonlabor!$F$6,IF(Nonlabor!$E$6="AI",Assumptions!$E$24,Assumptions!$E$25))),C2674&lt;=Nonlabor!$G$6,OR(Nonlabor!$H$6="Monthly",AND(Nonlabor!$H$6="Once",C2674=IF(Nonlabor!$E$6="Core",Nonlabor!$F$6,MAX(Nonlabor!$F$6,IF(Nonlabor!$E$6="AI",Assumptions!$E$24,Assumptions!$E$25)))),AND(Nonlabor!$H$6="Annual",MOD(C2674-IF(Nonlabor!$E$6="Core",Nonlabor!$F$6,MAX(Nonlabor!$F$6,IF(Nonlabor!$E$6="AI",Assumptions!$E$24,Assumptions!$E$25))),12)=0))),IF(Nonlabor!$I$6="Fixed",1,IF(Nonlabor!$I$6="Seats",ROUNDUP('Monthly Growth'!I34,0),IF(Nonlabor!$I$6="Customers",'Monthly Growth'!D34,IF(Nonlabor!$I$6="NewCustomers",'Monthly Growth'!C34,IF(Nonlabor!$I$6="StorageGB",'Monthly Growth'!G34,IF(Nonlabor!$I$6="LogGB",'Monthly Growth'!H34,IF(Nonlabor!$I$6="RequestsM",'Monthly Growth'!F34,IF(Nonlabor!$I$6="InputM",'Monthly Growth'!D34*Assumptions!$E$22/1000000,IF(Nonlabor!$I$6="OutputM",'Monthly Growth'!D34*Assumptions!$E$23/1000000,0))))))))),0)</f>
        <v>1</v>
      </c>
      <c r="F2674" s="10" t="n">
        <f aca="false">Nonlabor!$J$6*(1+Assumptions!$E$9)^INT((C2674-1)/12)</f>
        <v>432.64</v>
      </c>
      <c r="G2674" s="10" t="n">
        <f aca="false">E2674*F2674</f>
        <v>432.64</v>
      </c>
      <c r="H2674" s="10" t="n">
        <f aca="false">IF(OR(Nonlabor!$L$6="Quote required",Nonlabor!$L$6="Unverified"),G2674,0)</f>
        <v>432.64</v>
      </c>
      <c r="I2674" s="10" t="n">
        <f aca="false">IF(Nonlabor!$E$6="Core",0,G2674)</f>
        <v>0</v>
      </c>
      <c r="J2674" s="23" t="str">
        <f aca="false">Nonlabor!$B$6</f>
        <v>INFRA</v>
      </c>
    </row>
    <row r="2675" customFormat="false" ht="15" hidden="false" customHeight="false" outlineLevel="0" collapsed="false">
      <c r="A2675" s="6" t="s">
        <v>73</v>
      </c>
      <c r="B2675" s="6" t="s">
        <v>368</v>
      </c>
      <c r="C2675" s="6" t="n">
        <v>30</v>
      </c>
      <c r="D2675" s="25" t="n">
        <f aca="false">EDATE('Start Here'!$B$6,C2675-1)</f>
        <v>47209</v>
      </c>
      <c r="E2675" s="23" t="n">
        <f aca="false">IF(AND(OR(Nonlabor!$D$6="Both",Nonlabor!$D$6='Start Here'!$B$9),IF(Nonlabor!$E$6="Core",1,IF(Nonlabor!$E$6="AI",'Start Here'!$B$7,'Start Here'!$B$8))=1,C2675&gt;=IF(Nonlabor!$E$6="Core",Nonlabor!$F$6,MAX(Nonlabor!$F$6,IF(Nonlabor!$E$6="AI",Assumptions!$E$24,Assumptions!$E$25))),C2675&lt;=Nonlabor!$G$6,OR(Nonlabor!$H$6="Monthly",AND(Nonlabor!$H$6="Once",C2675=IF(Nonlabor!$E$6="Core",Nonlabor!$F$6,MAX(Nonlabor!$F$6,IF(Nonlabor!$E$6="AI",Assumptions!$E$24,Assumptions!$E$25)))),AND(Nonlabor!$H$6="Annual",MOD(C2675-IF(Nonlabor!$E$6="Core",Nonlabor!$F$6,MAX(Nonlabor!$F$6,IF(Nonlabor!$E$6="AI",Assumptions!$E$24,Assumptions!$E$25))),12)=0))),IF(Nonlabor!$I$6="Fixed",1,IF(Nonlabor!$I$6="Seats",ROUNDUP('Monthly Growth'!I35,0),IF(Nonlabor!$I$6="Customers",'Monthly Growth'!D35,IF(Nonlabor!$I$6="NewCustomers",'Monthly Growth'!C35,IF(Nonlabor!$I$6="StorageGB",'Monthly Growth'!G35,IF(Nonlabor!$I$6="LogGB",'Monthly Growth'!H35,IF(Nonlabor!$I$6="RequestsM",'Monthly Growth'!F35,IF(Nonlabor!$I$6="InputM",'Monthly Growth'!D35*Assumptions!$E$22/1000000,IF(Nonlabor!$I$6="OutputM",'Monthly Growth'!D35*Assumptions!$E$23/1000000,0))))))))),0)</f>
        <v>1</v>
      </c>
      <c r="F2675" s="10" t="n">
        <f aca="false">Nonlabor!$J$6*(1+Assumptions!$E$9)^INT((C2675-1)/12)</f>
        <v>432.64</v>
      </c>
      <c r="G2675" s="10" t="n">
        <f aca="false">E2675*F2675</f>
        <v>432.64</v>
      </c>
      <c r="H2675" s="10" t="n">
        <f aca="false">IF(OR(Nonlabor!$L$6="Quote required",Nonlabor!$L$6="Unverified"),G2675,0)</f>
        <v>432.64</v>
      </c>
      <c r="I2675" s="10" t="n">
        <f aca="false">IF(Nonlabor!$E$6="Core",0,G2675)</f>
        <v>0</v>
      </c>
      <c r="J2675" s="23" t="str">
        <f aca="false">Nonlabor!$B$6</f>
        <v>INFRA</v>
      </c>
    </row>
    <row r="2676" customFormat="false" ht="15" hidden="false" customHeight="false" outlineLevel="0" collapsed="false">
      <c r="A2676" s="6" t="s">
        <v>73</v>
      </c>
      <c r="B2676" s="6" t="s">
        <v>368</v>
      </c>
      <c r="C2676" s="6" t="n">
        <v>31</v>
      </c>
      <c r="D2676" s="25" t="n">
        <f aca="false">EDATE('Start Here'!$B$6,C2676-1)</f>
        <v>47239</v>
      </c>
      <c r="E2676" s="23" t="n">
        <f aca="false">IF(AND(OR(Nonlabor!$D$6="Both",Nonlabor!$D$6='Start Here'!$B$9),IF(Nonlabor!$E$6="Core",1,IF(Nonlabor!$E$6="AI",'Start Here'!$B$7,'Start Here'!$B$8))=1,C2676&gt;=IF(Nonlabor!$E$6="Core",Nonlabor!$F$6,MAX(Nonlabor!$F$6,IF(Nonlabor!$E$6="AI",Assumptions!$E$24,Assumptions!$E$25))),C2676&lt;=Nonlabor!$G$6,OR(Nonlabor!$H$6="Monthly",AND(Nonlabor!$H$6="Once",C2676=IF(Nonlabor!$E$6="Core",Nonlabor!$F$6,MAX(Nonlabor!$F$6,IF(Nonlabor!$E$6="AI",Assumptions!$E$24,Assumptions!$E$25)))),AND(Nonlabor!$H$6="Annual",MOD(C2676-IF(Nonlabor!$E$6="Core",Nonlabor!$F$6,MAX(Nonlabor!$F$6,IF(Nonlabor!$E$6="AI",Assumptions!$E$24,Assumptions!$E$25))),12)=0))),IF(Nonlabor!$I$6="Fixed",1,IF(Nonlabor!$I$6="Seats",ROUNDUP('Monthly Growth'!I36,0),IF(Nonlabor!$I$6="Customers",'Monthly Growth'!D36,IF(Nonlabor!$I$6="NewCustomers",'Monthly Growth'!C36,IF(Nonlabor!$I$6="StorageGB",'Monthly Growth'!G36,IF(Nonlabor!$I$6="LogGB",'Monthly Growth'!H36,IF(Nonlabor!$I$6="RequestsM",'Monthly Growth'!F36,IF(Nonlabor!$I$6="InputM",'Monthly Growth'!D36*Assumptions!$E$22/1000000,IF(Nonlabor!$I$6="OutputM",'Monthly Growth'!D36*Assumptions!$E$23/1000000,0))))))))),0)</f>
        <v>1</v>
      </c>
      <c r="F2676" s="10" t="n">
        <f aca="false">Nonlabor!$J$6*(1+Assumptions!$E$9)^INT((C2676-1)/12)</f>
        <v>432.64</v>
      </c>
      <c r="G2676" s="10" t="n">
        <f aca="false">E2676*F2676</f>
        <v>432.64</v>
      </c>
      <c r="H2676" s="10" t="n">
        <f aca="false">IF(OR(Nonlabor!$L$6="Quote required",Nonlabor!$L$6="Unverified"),G2676,0)</f>
        <v>432.64</v>
      </c>
      <c r="I2676" s="10" t="n">
        <f aca="false">IF(Nonlabor!$E$6="Core",0,G2676)</f>
        <v>0</v>
      </c>
      <c r="J2676" s="23" t="str">
        <f aca="false">Nonlabor!$B$6</f>
        <v>INFRA</v>
      </c>
    </row>
    <row r="2677" customFormat="false" ht="15" hidden="false" customHeight="false" outlineLevel="0" collapsed="false">
      <c r="A2677" s="6" t="s">
        <v>73</v>
      </c>
      <c r="B2677" s="6" t="s">
        <v>368</v>
      </c>
      <c r="C2677" s="6" t="n">
        <v>32</v>
      </c>
      <c r="D2677" s="25" t="n">
        <f aca="false">EDATE('Start Here'!$B$6,C2677-1)</f>
        <v>47270</v>
      </c>
      <c r="E2677" s="23" t="n">
        <f aca="false">IF(AND(OR(Nonlabor!$D$6="Both",Nonlabor!$D$6='Start Here'!$B$9),IF(Nonlabor!$E$6="Core",1,IF(Nonlabor!$E$6="AI",'Start Here'!$B$7,'Start Here'!$B$8))=1,C2677&gt;=IF(Nonlabor!$E$6="Core",Nonlabor!$F$6,MAX(Nonlabor!$F$6,IF(Nonlabor!$E$6="AI",Assumptions!$E$24,Assumptions!$E$25))),C2677&lt;=Nonlabor!$G$6,OR(Nonlabor!$H$6="Monthly",AND(Nonlabor!$H$6="Once",C2677=IF(Nonlabor!$E$6="Core",Nonlabor!$F$6,MAX(Nonlabor!$F$6,IF(Nonlabor!$E$6="AI",Assumptions!$E$24,Assumptions!$E$25)))),AND(Nonlabor!$H$6="Annual",MOD(C2677-IF(Nonlabor!$E$6="Core",Nonlabor!$F$6,MAX(Nonlabor!$F$6,IF(Nonlabor!$E$6="AI",Assumptions!$E$24,Assumptions!$E$25))),12)=0))),IF(Nonlabor!$I$6="Fixed",1,IF(Nonlabor!$I$6="Seats",ROUNDUP('Monthly Growth'!I37,0),IF(Nonlabor!$I$6="Customers",'Monthly Growth'!D37,IF(Nonlabor!$I$6="NewCustomers",'Monthly Growth'!C37,IF(Nonlabor!$I$6="StorageGB",'Monthly Growth'!G37,IF(Nonlabor!$I$6="LogGB",'Monthly Growth'!H37,IF(Nonlabor!$I$6="RequestsM",'Monthly Growth'!F37,IF(Nonlabor!$I$6="InputM",'Monthly Growth'!D37*Assumptions!$E$22/1000000,IF(Nonlabor!$I$6="OutputM",'Monthly Growth'!D37*Assumptions!$E$23/1000000,0))))))))),0)</f>
        <v>1</v>
      </c>
      <c r="F2677" s="10" t="n">
        <f aca="false">Nonlabor!$J$6*(1+Assumptions!$E$9)^INT((C2677-1)/12)</f>
        <v>432.64</v>
      </c>
      <c r="G2677" s="10" t="n">
        <f aca="false">E2677*F2677</f>
        <v>432.64</v>
      </c>
      <c r="H2677" s="10" t="n">
        <f aca="false">IF(OR(Nonlabor!$L$6="Quote required",Nonlabor!$L$6="Unverified"),G2677,0)</f>
        <v>432.64</v>
      </c>
      <c r="I2677" s="10" t="n">
        <f aca="false">IF(Nonlabor!$E$6="Core",0,G2677)</f>
        <v>0</v>
      </c>
      <c r="J2677" s="23" t="str">
        <f aca="false">Nonlabor!$B$6</f>
        <v>INFRA</v>
      </c>
    </row>
    <row r="2678" customFormat="false" ht="15" hidden="false" customHeight="false" outlineLevel="0" collapsed="false">
      <c r="A2678" s="6" t="s">
        <v>73</v>
      </c>
      <c r="B2678" s="6" t="s">
        <v>368</v>
      </c>
      <c r="C2678" s="6" t="n">
        <v>33</v>
      </c>
      <c r="D2678" s="25" t="n">
        <f aca="false">EDATE('Start Here'!$B$6,C2678-1)</f>
        <v>47300</v>
      </c>
      <c r="E2678" s="23" t="n">
        <f aca="false">IF(AND(OR(Nonlabor!$D$6="Both",Nonlabor!$D$6='Start Here'!$B$9),IF(Nonlabor!$E$6="Core",1,IF(Nonlabor!$E$6="AI",'Start Here'!$B$7,'Start Here'!$B$8))=1,C2678&gt;=IF(Nonlabor!$E$6="Core",Nonlabor!$F$6,MAX(Nonlabor!$F$6,IF(Nonlabor!$E$6="AI",Assumptions!$E$24,Assumptions!$E$25))),C2678&lt;=Nonlabor!$G$6,OR(Nonlabor!$H$6="Monthly",AND(Nonlabor!$H$6="Once",C2678=IF(Nonlabor!$E$6="Core",Nonlabor!$F$6,MAX(Nonlabor!$F$6,IF(Nonlabor!$E$6="AI",Assumptions!$E$24,Assumptions!$E$25)))),AND(Nonlabor!$H$6="Annual",MOD(C2678-IF(Nonlabor!$E$6="Core",Nonlabor!$F$6,MAX(Nonlabor!$F$6,IF(Nonlabor!$E$6="AI",Assumptions!$E$24,Assumptions!$E$25))),12)=0))),IF(Nonlabor!$I$6="Fixed",1,IF(Nonlabor!$I$6="Seats",ROUNDUP('Monthly Growth'!I38,0),IF(Nonlabor!$I$6="Customers",'Monthly Growth'!D38,IF(Nonlabor!$I$6="NewCustomers",'Monthly Growth'!C38,IF(Nonlabor!$I$6="StorageGB",'Monthly Growth'!G38,IF(Nonlabor!$I$6="LogGB",'Monthly Growth'!H38,IF(Nonlabor!$I$6="RequestsM",'Monthly Growth'!F38,IF(Nonlabor!$I$6="InputM",'Monthly Growth'!D38*Assumptions!$E$22/1000000,IF(Nonlabor!$I$6="OutputM",'Monthly Growth'!D38*Assumptions!$E$23/1000000,0))))))))),0)</f>
        <v>1</v>
      </c>
      <c r="F2678" s="10" t="n">
        <f aca="false">Nonlabor!$J$6*(1+Assumptions!$E$9)^INT((C2678-1)/12)</f>
        <v>432.64</v>
      </c>
      <c r="G2678" s="10" t="n">
        <f aca="false">E2678*F2678</f>
        <v>432.64</v>
      </c>
      <c r="H2678" s="10" t="n">
        <f aca="false">IF(OR(Nonlabor!$L$6="Quote required",Nonlabor!$L$6="Unverified"),G2678,0)</f>
        <v>432.64</v>
      </c>
      <c r="I2678" s="10" t="n">
        <f aca="false">IF(Nonlabor!$E$6="Core",0,G2678)</f>
        <v>0</v>
      </c>
      <c r="J2678" s="23" t="str">
        <f aca="false">Nonlabor!$B$6</f>
        <v>INFRA</v>
      </c>
    </row>
    <row r="2679" customFormat="false" ht="15" hidden="false" customHeight="false" outlineLevel="0" collapsed="false">
      <c r="A2679" s="6" t="s">
        <v>73</v>
      </c>
      <c r="B2679" s="6" t="s">
        <v>368</v>
      </c>
      <c r="C2679" s="6" t="n">
        <v>34</v>
      </c>
      <c r="D2679" s="25" t="n">
        <f aca="false">EDATE('Start Here'!$B$6,C2679-1)</f>
        <v>47331</v>
      </c>
      <c r="E2679" s="23" t="n">
        <f aca="false">IF(AND(OR(Nonlabor!$D$6="Both",Nonlabor!$D$6='Start Here'!$B$9),IF(Nonlabor!$E$6="Core",1,IF(Nonlabor!$E$6="AI",'Start Here'!$B$7,'Start Here'!$B$8))=1,C2679&gt;=IF(Nonlabor!$E$6="Core",Nonlabor!$F$6,MAX(Nonlabor!$F$6,IF(Nonlabor!$E$6="AI",Assumptions!$E$24,Assumptions!$E$25))),C2679&lt;=Nonlabor!$G$6,OR(Nonlabor!$H$6="Monthly",AND(Nonlabor!$H$6="Once",C2679=IF(Nonlabor!$E$6="Core",Nonlabor!$F$6,MAX(Nonlabor!$F$6,IF(Nonlabor!$E$6="AI",Assumptions!$E$24,Assumptions!$E$25)))),AND(Nonlabor!$H$6="Annual",MOD(C2679-IF(Nonlabor!$E$6="Core",Nonlabor!$F$6,MAX(Nonlabor!$F$6,IF(Nonlabor!$E$6="AI",Assumptions!$E$24,Assumptions!$E$25))),12)=0))),IF(Nonlabor!$I$6="Fixed",1,IF(Nonlabor!$I$6="Seats",ROUNDUP('Monthly Growth'!I39,0),IF(Nonlabor!$I$6="Customers",'Monthly Growth'!D39,IF(Nonlabor!$I$6="NewCustomers",'Monthly Growth'!C39,IF(Nonlabor!$I$6="StorageGB",'Monthly Growth'!G39,IF(Nonlabor!$I$6="LogGB",'Monthly Growth'!H39,IF(Nonlabor!$I$6="RequestsM",'Monthly Growth'!F39,IF(Nonlabor!$I$6="InputM",'Monthly Growth'!D39*Assumptions!$E$22/1000000,IF(Nonlabor!$I$6="OutputM",'Monthly Growth'!D39*Assumptions!$E$23/1000000,0))))))))),0)</f>
        <v>1</v>
      </c>
      <c r="F2679" s="10" t="n">
        <f aca="false">Nonlabor!$J$6*(1+Assumptions!$E$9)^INT((C2679-1)/12)</f>
        <v>432.64</v>
      </c>
      <c r="G2679" s="10" t="n">
        <f aca="false">E2679*F2679</f>
        <v>432.64</v>
      </c>
      <c r="H2679" s="10" t="n">
        <f aca="false">IF(OR(Nonlabor!$L$6="Quote required",Nonlabor!$L$6="Unverified"),G2679,0)</f>
        <v>432.64</v>
      </c>
      <c r="I2679" s="10" t="n">
        <f aca="false">IF(Nonlabor!$E$6="Core",0,G2679)</f>
        <v>0</v>
      </c>
      <c r="J2679" s="23" t="str">
        <f aca="false">Nonlabor!$B$6</f>
        <v>INFRA</v>
      </c>
    </row>
    <row r="2680" customFormat="false" ht="15" hidden="false" customHeight="false" outlineLevel="0" collapsed="false">
      <c r="A2680" s="6" t="s">
        <v>73</v>
      </c>
      <c r="B2680" s="6" t="s">
        <v>368</v>
      </c>
      <c r="C2680" s="6" t="n">
        <v>35</v>
      </c>
      <c r="D2680" s="25" t="n">
        <f aca="false">EDATE('Start Here'!$B$6,C2680-1)</f>
        <v>47362</v>
      </c>
      <c r="E2680" s="23" t="n">
        <f aca="false">IF(AND(OR(Nonlabor!$D$6="Both",Nonlabor!$D$6='Start Here'!$B$9),IF(Nonlabor!$E$6="Core",1,IF(Nonlabor!$E$6="AI",'Start Here'!$B$7,'Start Here'!$B$8))=1,C2680&gt;=IF(Nonlabor!$E$6="Core",Nonlabor!$F$6,MAX(Nonlabor!$F$6,IF(Nonlabor!$E$6="AI",Assumptions!$E$24,Assumptions!$E$25))),C2680&lt;=Nonlabor!$G$6,OR(Nonlabor!$H$6="Monthly",AND(Nonlabor!$H$6="Once",C2680=IF(Nonlabor!$E$6="Core",Nonlabor!$F$6,MAX(Nonlabor!$F$6,IF(Nonlabor!$E$6="AI",Assumptions!$E$24,Assumptions!$E$25)))),AND(Nonlabor!$H$6="Annual",MOD(C2680-IF(Nonlabor!$E$6="Core",Nonlabor!$F$6,MAX(Nonlabor!$F$6,IF(Nonlabor!$E$6="AI",Assumptions!$E$24,Assumptions!$E$25))),12)=0))),IF(Nonlabor!$I$6="Fixed",1,IF(Nonlabor!$I$6="Seats",ROUNDUP('Monthly Growth'!I40,0),IF(Nonlabor!$I$6="Customers",'Monthly Growth'!D40,IF(Nonlabor!$I$6="NewCustomers",'Monthly Growth'!C40,IF(Nonlabor!$I$6="StorageGB",'Monthly Growth'!G40,IF(Nonlabor!$I$6="LogGB",'Monthly Growth'!H40,IF(Nonlabor!$I$6="RequestsM",'Monthly Growth'!F40,IF(Nonlabor!$I$6="InputM",'Monthly Growth'!D40*Assumptions!$E$22/1000000,IF(Nonlabor!$I$6="OutputM",'Monthly Growth'!D40*Assumptions!$E$23/1000000,0))))))))),0)</f>
        <v>1</v>
      </c>
      <c r="F2680" s="10" t="n">
        <f aca="false">Nonlabor!$J$6*(1+Assumptions!$E$9)^INT((C2680-1)/12)</f>
        <v>432.64</v>
      </c>
      <c r="G2680" s="10" t="n">
        <f aca="false">E2680*F2680</f>
        <v>432.64</v>
      </c>
      <c r="H2680" s="10" t="n">
        <f aca="false">IF(OR(Nonlabor!$L$6="Quote required",Nonlabor!$L$6="Unverified"),G2680,0)</f>
        <v>432.64</v>
      </c>
      <c r="I2680" s="10" t="n">
        <f aca="false">IF(Nonlabor!$E$6="Core",0,G2680)</f>
        <v>0</v>
      </c>
      <c r="J2680" s="23" t="str">
        <f aca="false">Nonlabor!$B$6</f>
        <v>INFRA</v>
      </c>
    </row>
    <row r="2681" customFormat="false" ht="15" hidden="false" customHeight="false" outlineLevel="0" collapsed="false">
      <c r="A2681" s="6" t="s">
        <v>73</v>
      </c>
      <c r="B2681" s="6" t="s">
        <v>368</v>
      </c>
      <c r="C2681" s="6" t="n">
        <v>36</v>
      </c>
      <c r="D2681" s="25" t="n">
        <f aca="false">EDATE('Start Here'!$B$6,C2681-1)</f>
        <v>47392</v>
      </c>
      <c r="E2681" s="23" t="n">
        <f aca="false">IF(AND(OR(Nonlabor!$D$6="Both",Nonlabor!$D$6='Start Here'!$B$9),IF(Nonlabor!$E$6="Core",1,IF(Nonlabor!$E$6="AI",'Start Here'!$B$7,'Start Here'!$B$8))=1,C2681&gt;=IF(Nonlabor!$E$6="Core",Nonlabor!$F$6,MAX(Nonlabor!$F$6,IF(Nonlabor!$E$6="AI",Assumptions!$E$24,Assumptions!$E$25))),C2681&lt;=Nonlabor!$G$6,OR(Nonlabor!$H$6="Monthly",AND(Nonlabor!$H$6="Once",C2681=IF(Nonlabor!$E$6="Core",Nonlabor!$F$6,MAX(Nonlabor!$F$6,IF(Nonlabor!$E$6="AI",Assumptions!$E$24,Assumptions!$E$25)))),AND(Nonlabor!$H$6="Annual",MOD(C2681-IF(Nonlabor!$E$6="Core",Nonlabor!$F$6,MAX(Nonlabor!$F$6,IF(Nonlabor!$E$6="AI",Assumptions!$E$24,Assumptions!$E$25))),12)=0))),IF(Nonlabor!$I$6="Fixed",1,IF(Nonlabor!$I$6="Seats",ROUNDUP('Monthly Growth'!I41,0),IF(Nonlabor!$I$6="Customers",'Monthly Growth'!D41,IF(Nonlabor!$I$6="NewCustomers",'Monthly Growth'!C41,IF(Nonlabor!$I$6="StorageGB",'Monthly Growth'!G41,IF(Nonlabor!$I$6="LogGB",'Monthly Growth'!H41,IF(Nonlabor!$I$6="RequestsM",'Monthly Growth'!F41,IF(Nonlabor!$I$6="InputM",'Monthly Growth'!D41*Assumptions!$E$22/1000000,IF(Nonlabor!$I$6="OutputM",'Monthly Growth'!D41*Assumptions!$E$23/1000000,0))))))))),0)</f>
        <v>1</v>
      </c>
      <c r="F2681" s="10" t="n">
        <f aca="false">Nonlabor!$J$6*(1+Assumptions!$E$9)^INT((C2681-1)/12)</f>
        <v>432.64</v>
      </c>
      <c r="G2681" s="10" t="n">
        <f aca="false">E2681*F2681</f>
        <v>432.64</v>
      </c>
      <c r="H2681" s="10" t="n">
        <f aca="false">IF(OR(Nonlabor!$L$6="Quote required",Nonlabor!$L$6="Unverified"),G2681,0)</f>
        <v>432.64</v>
      </c>
      <c r="I2681" s="10" t="n">
        <f aca="false">IF(Nonlabor!$E$6="Core",0,G2681)</f>
        <v>0</v>
      </c>
      <c r="J2681" s="23" t="str">
        <f aca="false">Nonlabor!$B$6</f>
        <v>INFRA</v>
      </c>
    </row>
    <row r="2682" customFormat="false" ht="15" hidden="false" customHeight="false" outlineLevel="0" collapsed="false">
      <c r="A2682" s="6" t="s">
        <v>73</v>
      </c>
      <c r="B2682" s="6" t="s">
        <v>368</v>
      </c>
      <c r="C2682" s="6" t="n">
        <v>37</v>
      </c>
      <c r="D2682" s="25" t="n">
        <f aca="false">EDATE('Start Here'!$B$6,C2682-1)</f>
        <v>47423</v>
      </c>
      <c r="E2682" s="23" t="n">
        <f aca="false">IF(AND(OR(Nonlabor!$D$6="Both",Nonlabor!$D$6='Start Here'!$B$9),IF(Nonlabor!$E$6="Core",1,IF(Nonlabor!$E$6="AI",'Start Here'!$B$7,'Start Here'!$B$8))=1,C2682&gt;=IF(Nonlabor!$E$6="Core",Nonlabor!$F$6,MAX(Nonlabor!$F$6,IF(Nonlabor!$E$6="AI",Assumptions!$E$24,Assumptions!$E$25))),C2682&lt;=Nonlabor!$G$6,OR(Nonlabor!$H$6="Monthly",AND(Nonlabor!$H$6="Once",C2682=IF(Nonlabor!$E$6="Core",Nonlabor!$F$6,MAX(Nonlabor!$F$6,IF(Nonlabor!$E$6="AI",Assumptions!$E$24,Assumptions!$E$25)))),AND(Nonlabor!$H$6="Annual",MOD(C2682-IF(Nonlabor!$E$6="Core",Nonlabor!$F$6,MAX(Nonlabor!$F$6,IF(Nonlabor!$E$6="AI",Assumptions!$E$24,Assumptions!$E$25))),12)=0))),IF(Nonlabor!$I$6="Fixed",1,IF(Nonlabor!$I$6="Seats",ROUNDUP('Monthly Growth'!I42,0),IF(Nonlabor!$I$6="Customers",'Monthly Growth'!D42,IF(Nonlabor!$I$6="NewCustomers",'Monthly Growth'!C42,IF(Nonlabor!$I$6="StorageGB",'Monthly Growth'!G42,IF(Nonlabor!$I$6="LogGB",'Monthly Growth'!H42,IF(Nonlabor!$I$6="RequestsM",'Monthly Growth'!F42,IF(Nonlabor!$I$6="InputM",'Monthly Growth'!D42*Assumptions!$E$22/1000000,IF(Nonlabor!$I$6="OutputM",'Monthly Growth'!D42*Assumptions!$E$23/1000000,0))))))))),0)</f>
        <v>1</v>
      </c>
      <c r="F2682" s="10" t="n">
        <f aca="false">Nonlabor!$J$6*(1+Assumptions!$E$9)^INT((C2682-1)/12)</f>
        <v>449.9456</v>
      </c>
      <c r="G2682" s="10" t="n">
        <f aca="false">E2682*F2682</f>
        <v>449.9456</v>
      </c>
      <c r="H2682" s="10" t="n">
        <f aca="false">IF(OR(Nonlabor!$L$6="Quote required",Nonlabor!$L$6="Unverified"),G2682,0)</f>
        <v>449.9456</v>
      </c>
      <c r="I2682" s="10" t="n">
        <f aca="false">IF(Nonlabor!$E$6="Core",0,G2682)</f>
        <v>0</v>
      </c>
      <c r="J2682" s="23" t="str">
        <f aca="false">Nonlabor!$B$6</f>
        <v>INFRA</v>
      </c>
    </row>
    <row r="2683" customFormat="false" ht="15" hidden="false" customHeight="false" outlineLevel="0" collapsed="false">
      <c r="A2683" s="6" t="s">
        <v>73</v>
      </c>
      <c r="B2683" s="6" t="s">
        <v>368</v>
      </c>
      <c r="C2683" s="6" t="n">
        <v>38</v>
      </c>
      <c r="D2683" s="25" t="n">
        <f aca="false">EDATE('Start Here'!$B$6,C2683-1)</f>
        <v>47453</v>
      </c>
      <c r="E2683" s="23" t="n">
        <f aca="false">IF(AND(OR(Nonlabor!$D$6="Both",Nonlabor!$D$6='Start Here'!$B$9),IF(Nonlabor!$E$6="Core",1,IF(Nonlabor!$E$6="AI",'Start Here'!$B$7,'Start Here'!$B$8))=1,C2683&gt;=IF(Nonlabor!$E$6="Core",Nonlabor!$F$6,MAX(Nonlabor!$F$6,IF(Nonlabor!$E$6="AI",Assumptions!$E$24,Assumptions!$E$25))),C2683&lt;=Nonlabor!$G$6,OR(Nonlabor!$H$6="Monthly",AND(Nonlabor!$H$6="Once",C2683=IF(Nonlabor!$E$6="Core",Nonlabor!$F$6,MAX(Nonlabor!$F$6,IF(Nonlabor!$E$6="AI",Assumptions!$E$24,Assumptions!$E$25)))),AND(Nonlabor!$H$6="Annual",MOD(C2683-IF(Nonlabor!$E$6="Core",Nonlabor!$F$6,MAX(Nonlabor!$F$6,IF(Nonlabor!$E$6="AI",Assumptions!$E$24,Assumptions!$E$25))),12)=0))),IF(Nonlabor!$I$6="Fixed",1,IF(Nonlabor!$I$6="Seats",ROUNDUP('Monthly Growth'!I43,0),IF(Nonlabor!$I$6="Customers",'Monthly Growth'!D43,IF(Nonlabor!$I$6="NewCustomers",'Monthly Growth'!C43,IF(Nonlabor!$I$6="StorageGB",'Monthly Growth'!G43,IF(Nonlabor!$I$6="LogGB",'Monthly Growth'!H43,IF(Nonlabor!$I$6="RequestsM",'Monthly Growth'!F43,IF(Nonlabor!$I$6="InputM",'Monthly Growth'!D43*Assumptions!$E$22/1000000,IF(Nonlabor!$I$6="OutputM",'Monthly Growth'!D43*Assumptions!$E$23/1000000,0))))))))),0)</f>
        <v>1</v>
      </c>
      <c r="F2683" s="10" t="n">
        <f aca="false">Nonlabor!$J$6*(1+Assumptions!$E$9)^INT((C2683-1)/12)</f>
        <v>449.9456</v>
      </c>
      <c r="G2683" s="10" t="n">
        <f aca="false">E2683*F2683</f>
        <v>449.9456</v>
      </c>
      <c r="H2683" s="10" t="n">
        <f aca="false">IF(OR(Nonlabor!$L$6="Quote required",Nonlabor!$L$6="Unverified"),G2683,0)</f>
        <v>449.9456</v>
      </c>
      <c r="I2683" s="10" t="n">
        <f aca="false">IF(Nonlabor!$E$6="Core",0,G2683)</f>
        <v>0</v>
      </c>
      <c r="J2683" s="23" t="str">
        <f aca="false">Nonlabor!$B$6</f>
        <v>INFRA</v>
      </c>
    </row>
    <row r="2684" customFormat="false" ht="15" hidden="false" customHeight="false" outlineLevel="0" collapsed="false">
      <c r="A2684" s="6" t="s">
        <v>73</v>
      </c>
      <c r="B2684" s="6" t="s">
        <v>368</v>
      </c>
      <c r="C2684" s="6" t="n">
        <v>39</v>
      </c>
      <c r="D2684" s="25" t="n">
        <f aca="false">EDATE('Start Here'!$B$6,C2684-1)</f>
        <v>47484</v>
      </c>
      <c r="E2684" s="23" t="n">
        <f aca="false">IF(AND(OR(Nonlabor!$D$6="Both",Nonlabor!$D$6='Start Here'!$B$9),IF(Nonlabor!$E$6="Core",1,IF(Nonlabor!$E$6="AI",'Start Here'!$B$7,'Start Here'!$B$8))=1,C2684&gt;=IF(Nonlabor!$E$6="Core",Nonlabor!$F$6,MAX(Nonlabor!$F$6,IF(Nonlabor!$E$6="AI",Assumptions!$E$24,Assumptions!$E$25))),C2684&lt;=Nonlabor!$G$6,OR(Nonlabor!$H$6="Monthly",AND(Nonlabor!$H$6="Once",C2684=IF(Nonlabor!$E$6="Core",Nonlabor!$F$6,MAX(Nonlabor!$F$6,IF(Nonlabor!$E$6="AI",Assumptions!$E$24,Assumptions!$E$25)))),AND(Nonlabor!$H$6="Annual",MOD(C2684-IF(Nonlabor!$E$6="Core",Nonlabor!$F$6,MAX(Nonlabor!$F$6,IF(Nonlabor!$E$6="AI",Assumptions!$E$24,Assumptions!$E$25))),12)=0))),IF(Nonlabor!$I$6="Fixed",1,IF(Nonlabor!$I$6="Seats",ROUNDUP('Monthly Growth'!I44,0),IF(Nonlabor!$I$6="Customers",'Monthly Growth'!D44,IF(Nonlabor!$I$6="NewCustomers",'Monthly Growth'!C44,IF(Nonlabor!$I$6="StorageGB",'Monthly Growth'!G44,IF(Nonlabor!$I$6="LogGB",'Monthly Growth'!H44,IF(Nonlabor!$I$6="RequestsM",'Monthly Growth'!F44,IF(Nonlabor!$I$6="InputM",'Monthly Growth'!D44*Assumptions!$E$22/1000000,IF(Nonlabor!$I$6="OutputM",'Monthly Growth'!D44*Assumptions!$E$23/1000000,0))))))))),0)</f>
        <v>1</v>
      </c>
      <c r="F2684" s="10" t="n">
        <f aca="false">Nonlabor!$J$6*(1+Assumptions!$E$9)^INT((C2684-1)/12)</f>
        <v>449.9456</v>
      </c>
      <c r="G2684" s="10" t="n">
        <f aca="false">E2684*F2684</f>
        <v>449.9456</v>
      </c>
      <c r="H2684" s="10" t="n">
        <f aca="false">IF(OR(Nonlabor!$L$6="Quote required",Nonlabor!$L$6="Unverified"),G2684,0)</f>
        <v>449.9456</v>
      </c>
      <c r="I2684" s="10" t="n">
        <f aca="false">IF(Nonlabor!$E$6="Core",0,G2684)</f>
        <v>0</v>
      </c>
      <c r="J2684" s="23" t="str">
        <f aca="false">Nonlabor!$B$6</f>
        <v>INFRA</v>
      </c>
    </row>
    <row r="2685" customFormat="false" ht="15" hidden="false" customHeight="false" outlineLevel="0" collapsed="false">
      <c r="A2685" s="6" t="s">
        <v>73</v>
      </c>
      <c r="B2685" s="6" t="s">
        <v>368</v>
      </c>
      <c r="C2685" s="6" t="n">
        <v>40</v>
      </c>
      <c r="D2685" s="25" t="n">
        <f aca="false">EDATE('Start Here'!$B$6,C2685-1)</f>
        <v>47515</v>
      </c>
      <c r="E2685" s="23" t="n">
        <f aca="false">IF(AND(OR(Nonlabor!$D$6="Both",Nonlabor!$D$6='Start Here'!$B$9),IF(Nonlabor!$E$6="Core",1,IF(Nonlabor!$E$6="AI",'Start Here'!$B$7,'Start Here'!$B$8))=1,C2685&gt;=IF(Nonlabor!$E$6="Core",Nonlabor!$F$6,MAX(Nonlabor!$F$6,IF(Nonlabor!$E$6="AI",Assumptions!$E$24,Assumptions!$E$25))),C2685&lt;=Nonlabor!$G$6,OR(Nonlabor!$H$6="Monthly",AND(Nonlabor!$H$6="Once",C2685=IF(Nonlabor!$E$6="Core",Nonlabor!$F$6,MAX(Nonlabor!$F$6,IF(Nonlabor!$E$6="AI",Assumptions!$E$24,Assumptions!$E$25)))),AND(Nonlabor!$H$6="Annual",MOD(C2685-IF(Nonlabor!$E$6="Core",Nonlabor!$F$6,MAX(Nonlabor!$F$6,IF(Nonlabor!$E$6="AI",Assumptions!$E$24,Assumptions!$E$25))),12)=0))),IF(Nonlabor!$I$6="Fixed",1,IF(Nonlabor!$I$6="Seats",ROUNDUP('Monthly Growth'!I45,0),IF(Nonlabor!$I$6="Customers",'Monthly Growth'!D45,IF(Nonlabor!$I$6="NewCustomers",'Monthly Growth'!C45,IF(Nonlabor!$I$6="StorageGB",'Monthly Growth'!G45,IF(Nonlabor!$I$6="LogGB",'Monthly Growth'!H45,IF(Nonlabor!$I$6="RequestsM",'Monthly Growth'!F45,IF(Nonlabor!$I$6="InputM",'Monthly Growth'!D45*Assumptions!$E$22/1000000,IF(Nonlabor!$I$6="OutputM",'Monthly Growth'!D45*Assumptions!$E$23/1000000,0))))))))),0)</f>
        <v>1</v>
      </c>
      <c r="F2685" s="10" t="n">
        <f aca="false">Nonlabor!$J$6*(1+Assumptions!$E$9)^INT((C2685-1)/12)</f>
        <v>449.9456</v>
      </c>
      <c r="G2685" s="10" t="n">
        <f aca="false">E2685*F2685</f>
        <v>449.9456</v>
      </c>
      <c r="H2685" s="10" t="n">
        <f aca="false">IF(OR(Nonlabor!$L$6="Quote required",Nonlabor!$L$6="Unverified"),G2685,0)</f>
        <v>449.9456</v>
      </c>
      <c r="I2685" s="10" t="n">
        <f aca="false">IF(Nonlabor!$E$6="Core",0,G2685)</f>
        <v>0</v>
      </c>
      <c r="J2685" s="23" t="str">
        <f aca="false">Nonlabor!$B$6</f>
        <v>INFRA</v>
      </c>
    </row>
    <row r="2686" customFormat="false" ht="15" hidden="false" customHeight="false" outlineLevel="0" collapsed="false">
      <c r="A2686" s="6" t="s">
        <v>73</v>
      </c>
      <c r="B2686" s="6" t="s">
        <v>368</v>
      </c>
      <c r="C2686" s="6" t="n">
        <v>41</v>
      </c>
      <c r="D2686" s="25" t="n">
        <f aca="false">EDATE('Start Here'!$B$6,C2686-1)</f>
        <v>47543</v>
      </c>
      <c r="E2686" s="23" t="n">
        <f aca="false">IF(AND(OR(Nonlabor!$D$6="Both",Nonlabor!$D$6='Start Here'!$B$9),IF(Nonlabor!$E$6="Core",1,IF(Nonlabor!$E$6="AI",'Start Here'!$B$7,'Start Here'!$B$8))=1,C2686&gt;=IF(Nonlabor!$E$6="Core",Nonlabor!$F$6,MAX(Nonlabor!$F$6,IF(Nonlabor!$E$6="AI",Assumptions!$E$24,Assumptions!$E$25))),C2686&lt;=Nonlabor!$G$6,OR(Nonlabor!$H$6="Monthly",AND(Nonlabor!$H$6="Once",C2686=IF(Nonlabor!$E$6="Core",Nonlabor!$F$6,MAX(Nonlabor!$F$6,IF(Nonlabor!$E$6="AI",Assumptions!$E$24,Assumptions!$E$25)))),AND(Nonlabor!$H$6="Annual",MOD(C2686-IF(Nonlabor!$E$6="Core",Nonlabor!$F$6,MAX(Nonlabor!$F$6,IF(Nonlabor!$E$6="AI",Assumptions!$E$24,Assumptions!$E$25))),12)=0))),IF(Nonlabor!$I$6="Fixed",1,IF(Nonlabor!$I$6="Seats",ROUNDUP('Monthly Growth'!I46,0),IF(Nonlabor!$I$6="Customers",'Monthly Growth'!D46,IF(Nonlabor!$I$6="NewCustomers",'Monthly Growth'!C46,IF(Nonlabor!$I$6="StorageGB",'Monthly Growth'!G46,IF(Nonlabor!$I$6="LogGB",'Monthly Growth'!H46,IF(Nonlabor!$I$6="RequestsM",'Monthly Growth'!F46,IF(Nonlabor!$I$6="InputM",'Monthly Growth'!D46*Assumptions!$E$22/1000000,IF(Nonlabor!$I$6="OutputM",'Monthly Growth'!D46*Assumptions!$E$23/1000000,0))))))))),0)</f>
        <v>1</v>
      </c>
      <c r="F2686" s="10" t="n">
        <f aca="false">Nonlabor!$J$6*(1+Assumptions!$E$9)^INT((C2686-1)/12)</f>
        <v>449.9456</v>
      </c>
      <c r="G2686" s="10" t="n">
        <f aca="false">E2686*F2686</f>
        <v>449.9456</v>
      </c>
      <c r="H2686" s="10" t="n">
        <f aca="false">IF(OR(Nonlabor!$L$6="Quote required",Nonlabor!$L$6="Unverified"),G2686,0)</f>
        <v>449.9456</v>
      </c>
      <c r="I2686" s="10" t="n">
        <f aca="false">IF(Nonlabor!$E$6="Core",0,G2686)</f>
        <v>0</v>
      </c>
      <c r="J2686" s="23" t="str">
        <f aca="false">Nonlabor!$B$6</f>
        <v>INFRA</v>
      </c>
    </row>
    <row r="2687" customFormat="false" ht="15" hidden="false" customHeight="false" outlineLevel="0" collapsed="false">
      <c r="A2687" s="6" t="s">
        <v>73</v>
      </c>
      <c r="B2687" s="6" t="s">
        <v>368</v>
      </c>
      <c r="C2687" s="6" t="n">
        <v>42</v>
      </c>
      <c r="D2687" s="25" t="n">
        <f aca="false">EDATE('Start Here'!$B$6,C2687-1)</f>
        <v>47574</v>
      </c>
      <c r="E2687" s="23" t="n">
        <f aca="false">IF(AND(OR(Nonlabor!$D$6="Both",Nonlabor!$D$6='Start Here'!$B$9),IF(Nonlabor!$E$6="Core",1,IF(Nonlabor!$E$6="AI",'Start Here'!$B$7,'Start Here'!$B$8))=1,C2687&gt;=IF(Nonlabor!$E$6="Core",Nonlabor!$F$6,MAX(Nonlabor!$F$6,IF(Nonlabor!$E$6="AI",Assumptions!$E$24,Assumptions!$E$25))),C2687&lt;=Nonlabor!$G$6,OR(Nonlabor!$H$6="Monthly",AND(Nonlabor!$H$6="Once",C2687=IF(Nonlabor!$E$6="Core",Nonlabor!$F$6,MAX(Nonlabor!$F$6,IF(Nonlabor!$E$6="AI",Assumptions!$E$24,Assumptions!$E$25)))),AND(Nonlabor!$H$6="Annual",MOD(C2687-IF(Nonlabor!$E$6="Core",Nonlabor!$F$6,MAX(Nonlabor!$F$6,IF(Nonlabor!$E$6="AI",Assumptions!$E$24,Assumptions!$E$25))),12)=0))),IF(Nonlabor!$I$6="Fixed",1,IF(Nonlabor!$I$6="Seats",ROUNDUP('Monthly Growth'!I47,0),IF(Nonlabor!$I$6="Customers",'Monthly Growth'!D47,IF(Nonlabor!$I$6="NewCustomers",'Monthly Growth'!C47,IF(Nonlabor!$I$6="StorageGB",'Monthly Growth'!G47,IF(Nonlabor!$I$6="LogGB",'Monthly Growth'!H47,IF(Nonlabor!$I$6="RequestsM",'Monthly Growth'!F47,IF(Nonlabor!$I$6="InputM",'Monthly Growth'!D47*Assumptions!$E$22/1000000,IF(Nonlabor!$I$6="OutputM",'Monthly Growth'!D47*Assumptions!$E$23/1000000,0))))))))),0)</f>
        <v>1</v>
      </c>
      <c r="F2687" s="10" t="n">
        <f aca="false">Nonlabor!$J$6*(1+Assumptions!$E$9)^INT((C2687-1)/12)</f>
        <v>449.9456</v>
      </c>
      <c r="G2687" s="10" t="n">
        <f aca="false">E2687*F2687</f>
        <v>449.9456</v>
      </c>
      <c r="H2687" s="10" t="n">
        <f aca="false">IF(OR(Nonlabor!$L$6="Quote required",Nonlabor!$L$6="Unverified"),G2687,0)</f>
        <v>449.9456</v>
      </c>
      <c r="I2687" s="10" t="n">
        <f aca="false">IF(Nonlabor!$E$6="Core",0,G2687)</f>
        <v>0</v>
      </c>
      <c r="J2687" s="23" t="str">
        <f aca="false">Nonlabor!$B$6</f>
        <v>INFRA</v>
      </c>
    </row>
    <row r="2688" customFormat="false" ht="15" hidden="false" customHeight="false" outlineLevel="0" collapsed="false">
      <c r="A2688" s="6" t="s">
        <v>73</v>
      </c>
      <c r="B2688" s="6" t="s">
        <v>368</v>
      </c>
      <c r="C2688" s="6" t="n">
        <v>43</v>
      </c>
      <c r="D2688" s="25" t="n">
        <f aca="false">EDATE('Start Here'!$B$6,C2688-1)</f>
        <v>47604</v>
      </c>
      <c r="E2688" s="23" t="n">
        <f aca="false">IF(AND(OR(Nonlabor!$D$6="Both",Nonlabor!$D$6='Start Here'!$B$9),IF(Nonlabor!$E$6="Core",1,IF(Nonlabor!$E$6="AI",'Start Here'!$B$7,'Start Here'!$B$8))=1,C2688&gt;=IF(Nonlabor!$E$6="Core",Nonlabor!$F$6,MAX(Nonlabor!$F$6,IF(Nonlabor!$E$6="AI",Assumptions!$E$24,Assumptions!$E$25))),C2688&lt;=Nonlabor!$G$6,OR(Nonlabor!$H$6="Monthly",AND(Nonlabor!$H$6="Once",C2688=IF(Nonlabor!$E$6="Core",Nonlabor!$F$6,MAX(Nonlabor!$F$6,IF(Nonlabor!$E$6="AI",Assumptions!$E$24,Assumptions!$E$25)))),AND(Nonlabor!$H$6="Annual",MOD(C2688-IF(Nonlabor!$E$6="Core",Nonlabor!$F$6,MAX(Nonlabor!$F$6,IF(Nonlabor!$E$6="AI",Assumptions!$E$24,Assumptions!$E$25))),12)=0))),IF(Nonlabor!$I$6="Fixed",1,IF(Nonlabor!$I$6="Seats",ROUNDUP('Monthly Growth'!I48,0),IF(Nonlabor!$I$6="Customers",'Monthly Growth'!D48,IF(Nonlabor!$I$6="NewCustomers",'Monthly Growth'!C48,IF(Nonlabor!$I$6="StorageGB",'Monthly Growth'!G48,IF(Nonlabor!$I$6="LogGB",'Monthly Growth'!H48,IF(Nonlabor!$I$6="RequestsM",'Monthly Growth'!F48,IF(Nonlabor!$I$6="InputM",'Monthly Growth'!D48*Assumptions!$E$22/1000000,IF(Nonlabor!$I$6="OutputM",'Monthly Growth'!D48*Assumptions!$E$23/1000000,0))))))))),0)</f>
        <v>1</v>
      </c>
      <c r="F2688" s="10" t="n">
        <f aca="false">Nonlabor!$J$6*(1+Assumptions!$E$9)^INT((C2688-1)/12)</f>
        <v>449.9456</v>
      </c>
      <c r="G2688" s="10" t="n">
        <f aca="false">E2688*F2688</f>
        <v>449.9456</v>
      </c>
      <c r="H2688" s="10" t="n">
        <f aca="false">IF(OR(Nonlabor!$L$6="Quote required",Nonlabor!$L$6="Unverified"),G2688,0)</f>
        <v>449.9456</v>
      </c>
      <c r="I2688" s="10" t="n">
        <f aca="false">IF(Nonlabor!$E$6="Core",0,G2688)</f>
        <v>0</v>
      </c>
      <c r="J2688" s="23" t="str">
        <f aca="false">Nonlabor!$B$6</f>
        <v>INFRA</v>
      </c>
    </row>
    <row r="2689" customFormat="false" ht="15" hidden="false" customHeight="false" outlineLevel="0" collapsed="false">
      <c r="A2689" s="6" t="s">
        <v>73</v>
      </c>
      <c r="B2689" s="6" t="s">
        <v>368</v>
      </c>
      <c r="C2689" s="6" t="n">
        <v>44</v>
      </c>
      <c r="D2689" s="25" t="n">
        <f aca="false">EDATE('Start Here'!$B$6,C2689-1)</f>
        <v>47635</v>
      </c>
      <c r="E2689" s="23" t="n">
        <f aca="false">IF(AND(OR(Nonlabor!$D$6="Both",Nonlabor!$D$6='Start Here'!$B$9),IF(Nonlabor!$E$6="Core",1,IF(Nonlabor!$E$6="AI",'Start Here'!$B$7,'Start Here'!$B$8))=1,C2689&gt;=IF(Nonlabor!$E$6="Core",Nonlabor!$F$6,MAX(Nonlabor!$F$6,IF(Nonlabor!$E$6="AI",Assumptions!$E$24,Assumptions!$E$25))),C2689&lt;=Nonlabor!$G$6,OR(Nonlabor!$H$6="Monthly",AND(Nonlabor!$H$6="Once",C2689=IF(Nonlabor!$E$6="Core",Nonlabor!$F$6,MAX(Nonlabor!$F$6,IF(Nonlabor!$E$6="AI",Assumptions!$E$24,Assumptions!$E$25)))),AND(Nonlabor!$H$6="Annual",MOD(C2689-IF(Nonlabor!$E$6="Core",Nonlabor!$F$6,MAX(Nonlabor!$F$6,IF(Nonlabor!$E$6="AI",Assumptions!$E$24,Assumptions!$E$25))),12)=0))),IF(Nonlabor!$I$6="Fixed",1,IF(Nonlabor!$I$6="Seats",ROUNDUP('Monthly Growth'!I49,0),IF(Nonlabor!$I$6="Customers",'Monthly Growth'!D49,IF(Nonlabor!$I$6="NewCustomers",'Monthly Growth'!C49,IF(Nonlabor!$I$6="StorageGB",'Monthly Growth'!G49,IF(Nonlabor!$I$6="LogGB",'Monthly Growth'!H49,IF(Nonlabor!$I$6="RequestsM",'Monthly Growth'!F49,IF(Nonlabor!$I$6="InputM",'Monthly Growth'!D49*Assumptions!$E$22/1000000,IF(Nonlabor!$I$6="OutputM",'Monthly Growth'!D49*Assumptions!$E$23/1000000,0))))))))),0)</f>
        <v>1</v>
      </c>
      <c r="F2689" s="10" t="n">
        <f aca="false">Nonlabor!$J$6*(1+Assumptions!$E$9)^INT((C2689-1)/12)</f>
        <v>449.9456</v>
      </c>
      <c r="G2689" s="10" t="n">
        <f aca="false">E2689*F2689</f>
        <v>449.9456</v>
      </c>
      <c r="H2689" s="10" t="n">
        <f aca="false">IF(OR(Nonlabor!$L$6="Quote required",Nonlabor!$L$6="Unverified"),G2689,0)</f>
        <v>449.9456</v>
      </c>
      <c r="I2689" s="10" t="n">
        <f aca="false">IF(Nonlabor!$E$6="Core",0,G2689)</f>
        <v>0</v>
      </c>
      <c r="J2689" s="23" t="str">
        <f aca="false">Nonlabor!$B$6</f>
        <v>INFRA</v>
      </c>
    </row>
    <row r="2690" customFormat="false" ht="15" hidden="false" customHeight="false" outlineLevel="0" collapsed="false">
      <c r="A2690" s="6" t="s">
        <v>73</v>
      </c>
      <c r="B2690" s="6" t="s">
        <v>368</v>
      </c>
      <c r="C2690" s="6" t="n">
        <v>45</v>
      </c>
      <c r="D2690" s="25" t="n">
        <f aca="false">EDATE('Start Here'!$B$6,C2690-1)</f>
        <v>47665</v>
      </c>
      <c r="E2690" s="23" t="n">
        <f aca="false">IF(AND(OR(Nonlabor!$D$6="Both",Nonlabor!$D$6='Start Here'!$B$9),IF(Nonlabor!$E$6="Core",1,IF(Nonlabor!$E$6="AI",'Start Here'!$B$7,'Start Here'!$B$8))=1,C2690&gt;=IF(Nonlabor!$E$6="Core",Nonlabor!$F$6,MAX(Nonlabor!$F$6,IF(Nonlabor!$E$6="AI",Assumptions!$E$24,Assumptions!$E$25))),C2690&lt;=Nonlabor!$G$6,OR(Nonlabor!$H$6="Monthly",AND(Nonlabor!$H$6="Once",C2690=IF(Nonlabor!$E$6="Core",Nonlabor!$F$6,MAX(Nonlabor!$F$6,IF(Nonlabor!$E$6="AI",Assumptions!$E$24,Assumptions!$E$25)))),AND(Nonlabor!$H$6="Annual",MOD(C2690-IF(Nonlabor!$E$6="Core",Nonlabor!$F$6,MAX(Nonlabor!$F$6,IF(Nonlabor!$E$6="AI",Assumptions!$E$24,Assumptions!$E$25))),12)=0))),IF(Nonlabor!$I$6="Fixed",1,IF(Nonlabor!$I$6="Seats",ROUNDUP('Monthly Growth'!I50,0),IF(Nonlabor!$I$6="Customers",'Monthly Growth'!D50,IF(Nonlabor!$I$6="NewCustomers",'Monthly Growth'!C50,IF(Nonlabor!$I$6="StorageGB",'Monthly Growth'!G50,IF(Nonlabor!$I$6="LogGB",'Monthly Growth'!H50,IF(Nonlabor!$I$6="RequestsM",'Monthly Growth'!F50,IF(Nonlabor!$I$6="InputM",'Monthly Growth'!D50*Assumptions!$E$22/1000000,IF(Nonlabor!$I$6="OutputM",'Monthly Growth'!D50*Assumptions!$E$23/1000000,0))))))))),0)</f>
        <v>1</v>
      </c>
      <c r="F2690" s="10" t="n">
        <f aca="false">Nonlabor!$J$6*(1+Assumptions!$E$9)^INT((C2690-1)/12)</f>
        <v>449.9456</v>
      </c>
      <c r="G2690" s="10" t="n">
        <f aca="false">E2690*F2690</f>
        <v>449.9456</v>
      </c>
      <c r="H2690" s="10" t="n">
        <f aca="false">IF(OR(Nonlabor!$L$6="Quote required",Nonlabor!$L$6="Unverified"),G2690,0)</f>
        <v>449.9456</v>
      </c>
      <c r="I2690" s="10" t="n">
        <f aca="false">IF(Nonlabor!$E$6="Core",0,G2690)</f>
        <v>0</v>
      </c>
      <c r="J2690" s="23" t="str">
        <f aca="false">Nonlabor!$B$6</f>
        <v>INFRA</v>
      </c>
    </row>
    <row r="2691" customFormat="false" ht="15" hidden="false" customHeight="false" outlineLevel="0" collapsed="false">
      <c r="A2691" s="6" t="s">
        <v>73</v>
      </c>
      <c r="B2691" s="6" t="s">
        <v>368</v>
      </c>
      <c r="C2691" s="6" t="n">
        <v>46</v>
      </c>
      <c r="D2691" s="25" t="n">
        <f aca="false">EDATE('Start Here'!$B$6,C2691-1)</f>
        <v>47696</v>
      </c>
      <c r="E2691" s="23" t="n">
        <f aca="false">IF(AND(OR(Nonlabor!$D$6="Both",Nonlabor!$D$6='Start Here'!$B$9),IF(Nonlabor!$E$6="Core",1,IF(Nonlabor!$E$6="AI",'Start Here'!$B$7,'Start Here'!$B$8))=1,C2691&gt;=IF(Nonlabor!$E$6="Core",Nonlabor!$F$6,MAX(Nonlabor!$F$6,IF(Nonlabor!$E$6="AI",Assumptions!$E$24,Assumptions!$E$25))),C2691&lt;=Nonlabor!$G$6,OR(Nonlabor!$H$6="Monthly",AND(Nonlabor!$H$6="Once",C2691=IF(Nonlabor!$E$6="Core",Nonlabor!$F$6,MAX(Nonlabor!$F$6,IF(Nonlabor!$E$6="AI",Assumptions!$E$24,Assumptions!$E$25)))),AND(Nonlabor!$H$6="Annual",MOD(C2691-IF(Nonlabor!$E$6="Core",Nonlabor!$F$6,MAX(Nonlabor!$F$6,IF(Nonlabor!$E$6="AI",Assumptions!$E$24,Assumptions!$E$25))),12)=0))),IF(Nonlabor!$I$6="Fixed",1,IF(Nonlabor!$I$6="Seats",ROUNDUP('Monthly Growth'!I51,0),IF(Nonlabor!$I$6="Customers",'Monthly Growth'!D51,IF(Nonlabor!$I$6="NewCustomers",'Monthly Growth'!C51,IF(Nonlabor!$I$6="StorageGB",'Monthly Growth'!G51,IF(Nonlabor!$I$6="LogGB",'Monthly Growth'!H51,IF(Nonlabor!$I$6="RequestsM",'Monthly Growth'!F51,IF(Nonlabor!$I$6="InputM",'Monthly Growth'!D51*Assumptions!$E$22/1000000,IF(Nonlabor!$I$6="OutputM",'Monthly Growth'!D51*Assumptions!$E$23/1000000,0))))))))),0)</f>
        <v>1</v>
      </c>
      <c r="F2691" s="10" t="n">
        <f aca="false">Nonlabor!$J$6*(1+Assumptions!$E$9)^INT((C2691-1)/12)</f>
        <v>449.9456</v>
      </c>
      <c r="G2691" s="10" t="n">
        <f aca="false">E2691*F2691</f>
        <v>449.9456</v>
      </c>
      <c r="H2691" s="10" t="n">
        <f aca="false">IF(OR(Nonlabor!$L$6="Quote required",Nonlabor!$L$6="Unverified"),G2691,0)</f>
        <v>449.9456</v>
      </c>
      <c r="I2691" s="10" t="n">
        <f aca="false">IF(Nonlabor!$E$6="Core",0,G2691)</f>
        <v>0</v>
      </c>
      <c r="J2691" s="23" t="str">
        <f aca="false">Nonlabor!$B$6</f>
        <v>INFRA</v>
      </c>
    </row>
    <row r="2692" customFormat="false" ht="15" hidden="false" customHeight="false" outlineLevel="0" collapsed="false">
      <c r="A2692" s="6" t="s">
        <v>73</v>
      </c>
      <c r="B2692" s="6" t="s">
        <v>368</v>
      </c>
      <c r="C2692" s="6" t="n">
        <v>47</v>
      </c>
      <c r="D2692" s="25" t="n">
        <f aca="false">EDATE('Start Here'!$B$6,C2692-1)</f>
        <v>47727</v>
      </c>
      <c r="E2692" s="23" t="n">
        <f aca="false">IF(AND(OR(Nonlabor!$D$6="Both",Nonlabor!$D$6='Start Here'!$B$9),IF(Nonlabor!$E$6="Core",1,IF(Nonlabor!$E$6="AI",'Start Here'!$B$7,'Start Here'!$B$8))=1,C2692&gt;=IF(Nonlabor!$E$6="Core",Nonlabor!$F$6,MAX(Nonlabor!$F$6,IF(Nonlabor!$E$6="AI",Assumptions!$E$24,Assumptions!$E$25))),C2692&lt;=Nonlabor!$G$6,OR(Nonlabor!$H$6="Monthly",AND(Nonlabor!$H$6="Once",C2692=IF(Nonlabor!$E$6="Core",Nonlabor!$F$6,MAX(Nonlabor!$F$6,IF(Nonlabor!$E$6="AI",Assumptions!$E$24,Assumptions!$E$25)))),AND(Nonlabor!$H$6="Annual",MOD(C2692-IF(Nonlabor!$E$6="Core",Nonlabor!$F$6,MAX(Nonlabor!$F$6,IF(Nonlabor!$E$6="AI",Assumptions!$E$24,Assumptions!$E$25))),12)=0))),IF(Nonlabor!$I$6="Fixed",1,IF(Nonlabor!$I$6="Seats",ROUNDUP('Monthly Growth'!I52,0),IF(Nonlabor!$I$6="Customers",'Monthly Growth'!D52,IF(Nonlabor!$I$6="NewCustomers",'Monthly Growth'!C52,IF(Nonlabor!$I$6="StorageGB",'Monthly Growth'!G52,IF(Nonlabor!$I$6="LogGB",'Monthly Growth'!H52,IF(Nonlabor!$I$6="RequestsM",'Monthly Growth'!F52,IF(Nonlabor!$I$6="InputM",'Monthly Growth'!D52*Assumptions!$E$22/1000000,IF(Nonlabor!$I$6="OutputM",'Monthly Growth'!D52*Assumptions!$E$23/1000000,0))))))))),0)</f>
        <v>1</v>
      </c>
      <c r="F2692" s="10" t="n">
        <f aca="false">Nonlabor!$J$6*(1+Assumptions!$E$9)^INT((C2692-1)/12)</f>
        <v>449.9456</v>
      </c>
      <c r="G2692" s="10" t="n">
        <f aca="false">E2692*F2692</f>
        <v>449.9456</v>
      </c>
      <c r="H2692" s="10" t="n">
        <f aca="false">IF(OR(Nonlabor!$L$6="Quote required",Nonlabor!$L$6="Unverified"),G2692,0)</f>
        <v>449.9456</v>
      </c>
      <c r="I2692" s="10" t="n">
        <f aca="false">IF(Nonlabor!$E$6="Core",0,G2692)</f>
        <v>0</v>
      </c>
      <c r="J2692" s="23" t="str">
        <f aca="false">Nonlabor!$B$6</f>
        <v>INFRA</v>
      </c>
    </row>
    <row r="2693" customFormat="false" ht="15" hidden="false" customHeight="false" outlineLevel="0" collapsed="false">
      <c r="A2693" s="6" t="s">
        <v>73</v>
      </c>
      <c r="B2693" s="6" t="s">
        <v>368</v>
      </c>
      <c r="C2693" s="6" t="n">
        <v>48</v>
      </c>
      <c r="D2693" s="25" t="n">
        <f aca="false">EDATE('Start Here'!$B$6,C2693-1)</f>
        <v>47757</v>
      </c>
      <c r="E2693" s="23" t="n">
        <f aca="false">IF(AND(OR(Nonlabor!$D$6="Both",Nonlabor!$D$6='Start Here'!$B$9),IF(Nonlabor!$E$6="Core",1,IF(Nonlabor!$E$6="AI",'Start Here'!$B$7,'Start Here'!$B$8))=1,C2693&gt;=IF(Nonlabor!$E$6="Core",Nonlabor!$F$6,MAX(Nonlabor!$F$6,IF(Nonlabor!$E$6="AI",Assumptions!$E$24,Assumptions!$E$25))),C2693&lt;=Nonlabor!$G$6,OR(Nonlabor!$H$6="Monthly",AND(Nonlabor!$H$6="Once",C2693=IF(Nonlabor!$E$6="Core",Nonlabor!$F$6,MAX(Nonlabor!$F$6,IF(Nonlabor!$E$6="AI",Assumptions!$E$24,Assumptions!$E$25)))),AND(Nonlabor!$H$6="Annual",MOD(C2693-IF(Nonlabor!$E$6="Core",Nonlabor!$F$6,MAX(Nonlabor!$F$6,IF(Nonlabor!$E$6="AI",Assumptions!$E$24,Assumptions!$E$25))),12)=0))),IF(Nonlabor!$I$6="Fixed",1,IF(Nonlabor!$I$6="Seats",ROUNDUP('Monthly Growth'!I53,0),IF(Nonlabor!$I$6="Customers",'Monthly Growth'!D53,IF(Nonlabor!$I$6="NewCustomers",'Monthly Growth'!C53,IF(Nonlabor!$I$6="StorageGB",'Monthly Growth'!G53,IF(Nonlabor!$I$6="LogGB",'Monthly Growth'!H53,IF(Nonlabor!$I$6="RequestsM",'Monthly Growth'!F53,IF(Nonlabor!$I$6="InputM",'Monthly Growth'!D53*Assumptions!$E$22/1000000,IF(Nonlabor!$I$6="OutputM",'Monthly Growth'!D53*Assumptions!$E$23/1000000,0))))))))),0)</f>
        <v>1</v>
      </c>
      <c r="F2693" s="10" t="n">
        <f aca="false">Nonlabor!$J$6*(1+Assumptions!$E$9)^INT((C2693-1)/12)</f>
        <v>449.9456</v>
      </c>
      <c r="G2693" s="10" t="n">
        <f aca="false">E2693*F2693</f>
        <v>449.9456</v>
      </c>
      <c r="H2693" s="10" t="n">
        <f aca="false">IF(OR(Nonlabor!$L$6="Quote required",Nonlabor!$L$6="Unverified"),G2693,0)</f>
        <v>449.9456</v>
      </c>
      <c r="I2693" s="10" t="n">
        <f aca="false">IF(Nonlabor!$E$6="Core",0,G2693)</f>
        <v>0</v>
      </c>
      <c r="J2693" s="23" t="str">
        <f aca="false">Nonlabor!$B$6</f>
        <v>INFRA</v>
      </c>
    </row>
    <row r="2694" customFormat="false" ht="15" hidden="false" customHeight="false" outlineLevel="0" collapsed="false">
      <c r="A2694" s="6" t="s">
        <v>73</v>
      </c>
      <c r="B2694" s="6" t="s">
        <v>368</v>
      </c>
      <c r="C2694" s="6" t="n">
        <v>49</v>
      </c>
      <c r="D2694" s="25" t="n">
        <f aca="false">EDATE('Start Here'!$B$6,C2694-1)</f>
        <v>47788</v>
      </c>
      <c r="E2694" s="23" t="n">
        <f aca="false">IF(AND(OR(Nonlabor!$D$6="Both",Nonlabor!$D$6='Start Here'!$B$9),IF(Nonlabor!$E$6="Core",1,IF(Nonlabor!$E$6="AI",'Start Here'!$B$7,'Start Here'!$B$8))=1,C2694&gt;=IF(Nonlabor!$E$6="Core",Nonlabor!$F$6,MAX(Nonlabor!$F$6,IF(Nonlabor!$E$6="AI",Assumptions!$E$24,Assumptions!$E$25))),C2694&lt;=Nonlabor!$G$6,OR(Nonlabor!$H$6="Monthly",AND(Nonlabor!$H$6="Once",C2694=IF(Nonlabor!$E$6="Core",Nonlabor!$F$6,MAX(Nonlabor!$F$6,IF(Nonlabor!$E$6="AI",Assumptions!$E$24,Assumptions!$E$25)))),AND(Nonlabor!$H$6="Annual",MOD(C2694-IF(Nonlabor!$E$6="Core",Nonlabor!$F$6,MAX(Nonlabor!$F$6,IF(Nonlabor!$E$6="AI",Assumptions!$E$24,Assumptions!$E$25))),12)=0))),IF(Nonlabor!$I$6="Fixed",1,IF(Nonlabor!$I$6="Seats",ROUNDUP('Monthly Growth'!I54,0),IF(Nonlabor!$I$6="Customers",'Monthly Growth'!D54,IF(Nonlabor!$I$6="NewCustomers",'Monthly Growth'!C54,IF(Nonlabor!$I$6="StorageGB",'Monthly Growth'!G54,IF(Nonlabor!$I$6="LogGB",'Monthly Growth'!H54,IF(Nonlabor!$I$6="RequestsM",'Monthly Growth'!F54,IF(Nonlabor!$I$6="InputM",'Monthly Growth'!D54*Assumptions!$E$22/1000000,IF(Nonlabor!$I$6="OutputM",'Monthly Growth'!D54*Assumptions!$E$23/1000000,0))))))))),0)</f>
        <v>1</v>
      </c>
      <c r="F2694" s="10" t="n">
        <f aca="false">Nonlabor!$J$6*(1+Assumptions!$E$9)^INT((C2694-1)/12)</f>
        <v>467.943424</v>
      </c>
      <c r="G2694" s="10" t="n">
        <f aca="false">E2694*F2694</f>
        <v>467.943424</v>
      </c>
      <c r="H2694" s="10" t="n">
        <f aca="false">IF(OR(Nonlabor!$L$6="Quote required",Nonlabor!$L$6="Unverified"),G2694,0)</f>
        <v>467.943424</v>
      </c>
      <c r="I2694" s="10" t="n">
        <f aca="false">IF(Nonlabor!$E$6="Core",0,G2694)</f>
        <v>0</v>
      </c>
      <c r="J2694" s="23" t="str">
        <f aca="false">Nonlabor!$B$6</f>
        <v>INFRA</v>
      </c>
    </row>
    <row r="2695" customFormat="false" ht="15" hidden="false" customHeight="false" outlineLevel="0" collapsed="false">
      <c r="A2695" s="6" t="s">
        <v>73</v>
      </c>
      <c r="B2695" s="6" t="s">
        <v>368</v>
      </c>
      <c r="C2695" s="6" t="n">
        <v>50</v>
      </c>
      <c r="D2695" s="25" t="n">
        <f aca="false">EDATE('Start Here'!$B$6,C2695-1)</f>
        <v>47818</v>
      </c>
      <c r="E2695" s="23" t="n">
        <f aca="false">IF(AND(OR(Nonlabor!$D$6="Both",Nonlabor!$D$6='Start Here'!$B$9),IF(Nonlabor!$E$6="Core",1,IF(Nonlabor!$E$6="AI",'Start Here'!$B$7,'Start Here'!$B$8))=1,C2695&gt;=IF(Nonlabor!$E$6="Core",Nonlabor!$F$6,MAX(Nonlabor!$F$6,IF(Nonlabor!$E$6="AI",Assumptions!$E$24,Assumptions!$E$25))),C2695&lt;=Nonlabor!$G$6,OR(Nonlabor!$H$6="Monthly",AND(Nonlabor!$H$6="Once",C2695=IF(Nonlabor!$E$6="Core",Nonlabor!$F$6,MAX(Nonlabor!$F$6,IF(Nonlabor!$E$6="AI",Assumptions!$E$24,Assumptions!$E$25)))),AND(Nonlabor!$H$6="Annual",MOD(C2695-IF(Nonlabor!$E$6="Core",Nonlabor!$F$6,MAX(Nonlabor!$F$6,IF(Nonlabor!$E$6="AI",Assumptions!$E$24,Assumptions!$E$25))),12)=0))),IF(Nonlabor!$I$6="Fixed",1,IF(Nonlabor!$I$6="Seats",ROUNDUP('Monthly Growth'!I55,0),IF(Nonlabor!$I$6="Customers",'Monthly Growth'!D55,IF(Nonlabor!$I$6="NewCustomers",'Monthly Growth'!C55,IF(Nonlabor!$I$6="StorageGB",'Monthly Growth'!G55,IF(Nonlabor!$I$6="LogGB",'Monthly Growth'!H55,IF(Nonlabor!$I$6="RequestsM",'Monthly Growth'!F55,IF(Nonlabor!$I$6="InputM",'Monthly Growth'!D55*Assumptions!$E$22/1000000,IF(Nonlabor!$I$6="OutputM",'Monthly Growth'!D55*Assumptions!$E$23/1000000,0))))))))),0)</f>
        <v>1</v>
      </c>
      <c r="F2695" s="10" t="n">
        <f aca="false">Nonlabor!$J$6*(1+Assumptions!$E$9)^INT((C2695-1)/12)</f>
        <v>467.943424</v>
      </c>
      <c r="G2695" s="10" t="n">
        <f aca="false">E2695*F2695</f>
        <v>467.943424</v>
      </c>
      <c r="H2695" s="10" t="n">
        <f aca="false">IF(OR(Nonlabor!$L$6="Quote required",Nonlabor!$L$6="Unverified"),G2695,0)</f>
        <v>467.943424</v>
      </c>
      <c r="I2695" s="10" t="n">
        <f aca="false">IF(Nonlabor!$E$6="Core",0,G2695)</f>
        <v>0</v>
      </c>
      <c r="J2695" s="23" t="str">
        <f aca="false">Nonlabor!$B$6</f>
        <v>INFRA</v>
      </c>
    </row>
    <row r="2696" customFormat="false" ht="15" hidden="false" customHeight="false" outlineLevel="0" collapsed="false">
      <c r="A2696" s="6" t="s">
        <v>73</v>
      </c>
      <c r="B2696" s="6" t="s">
        <v>368</v>
      </c>
      <c r="C2696" s="6" t="n">
        <v>51</v>
      </c>
      <c r="D2696" s="25" t="n">
        <f aca="false">EDATE('Start Here'!$B$6,C2696-1)</f>
        <v>47849</v>
      </c>
      <c r="E2696" s="23" t="n">
        <f aca="false">IF(AND(OR(Nonlabor!$D$6="Both",Nonlabor!$D$6='Start Here'!$B$9),IF(Nonlabor!$E$6="Core",1,IF(Nonlabor!$E$6="AI",'Start Here'!$B$7,'Start Here'!$B$8))=1,C2696&gt;=IF(Nonlabor!$E$6="Core",Nonlabor!$F$6,MAX(Nonlabor!$F$6,IF(Nonlabor!$E$6="AI",Assumptions!$E$24,Assumptions!$E$25))),C2696&lt;=Nonlabor!$G$6,OR(Nonlabor!$H$6="Monthly",AND(Nonlabor!$H$6="Once",C2696=IF(Nonlabor!$E$6="Core",Nonlabor!$F$6,MAX(Nonlabor!$F$6,IF(Nonlabor!$E$6="AI",Assumptions!$E$24,Assumptions!$E$25)))),AND(Nonlabor!$H$6="Annual",MOD(C2696-IF(Nonlabor!$E$6="Core",Nonlabor!$F$6,MAX(Nonlabor!$F$6,IF(Nonlabor!$E$6="AI",Assumptions!$E$24,Assumptions!$E$25))),12)=0))),IF(Nonlabor!$I$6="Fixed",1,IF(Nonlabor!$I$6="Seats",ROUNDUP('Monthly Growth'!I56,0),IF(Nonlabor!$I$6="Customers",'Monthly Growth'!D56,IF(Nonlabor!$I$6="NewCustomers",'Monthly Growth'!C56,IF(Nonlabor!$I$6="StorageGB",'Monthly Growth'!G56,IF(Nonlabor!$I$6="LogGB",'Monthly Growth'!H56,IF(Nonlabor!$I$6="RequestsM",'Monthly Growth'!F56,IF(Nonlabor!$I$6="InputM",'Monthly Growth'!D56*Assumptions!$E$22/1000000,IF(Nonlabor!$I$6="OutputM",'Monthly Growth'!D56*Assumptions!$E$23/1000000,0))))))))),0)</f>
        <v>1</v>
      </c>
      <c r="F2696" s="10" t="n">
        <f aca="false">Nonlabor!$J$6*(1+Assumptions!$E$9)^INT((C2696-1)/12)</f>
        <v>467.943424</v>
      </c>
      <c r="G2696" s="10" t="n">
        <f aca="false">E2696*F2696</f>
        <v>467.943424</v>
      </c>
      <c r="H2696" s="10" t="n">
        <f aca="false">IF(OR(Nonlabor!$L$6="Quote required",Nonlabor!$L$6="Unverified"),G2696,0)</f>
        <v>467.943424</v>
      </c>
      <c r="I2696" s="10" t="n">
        <f aca="false">IF(Nonlabor!$E$6="Core",0,G2696)</f>
        <v>0</v>
      </c>
      <c r="J2696" s="23" t="str">
        <f aca="false">Nonlabor!$B$6</f>
        <v>INFRA</v>
      </c>
    </row>
    <row r="2697" customFormat="false" ht="15" hidden="false" customHeight="false" outlineLevel="0" collapsed="false">
      <c r="A2697" s="6" t="s">
        <v>73</v>
      </c>
      <c r="B2697" s="6" t="s">
        <v>368</v>
      </c>
      <c r="C2697" s="6" t="n">
        <v>52</v>
      </c>
      <c r="D2697" s="25" t="n">
        <f aca="false">EDATE('Start Here'!$B$6,C2697-1)</f>
        <v>47880</v>
      </c>
      <c r="E2697" s="23" t="n">
        <f aca="false">IF(AND(OR(Nonlabor!$D$6="Both",Nonlabor!$D$6='Start Here'!$B$9),IF(Nonlabor!$E$6="Core",1,IF(Nonlabor!$E$6="AI",'Start Here'!$B$7,'Start Here'!$B$8))=1,C2697&gt;=IF(Nonlabor!$E$6="Core",Nonlabor!$F$6,MAX(Nonlabor!$F$6,IF(Nonlabor!$E$6="AI",Assumptions!$E$24,Assumptions!$E$25))),C2697&lt;=Nonlabor!$G$6,OR(Nonlabor!$H$6="Monthly",AND(Nonlabor!$H$6="Once",C2697=IF(Nonlabor!$E$6="Core",Nonlabor!$F$6,MAX(Nonlabor!$F$6,IF(Nonlabor!$E$6="AI",Assumptions!$E$24,Assumptions!$E$25)))),AND(Nonlabor!$H$6="Annual",MOD(C2697-IF(Nonlabor!$E$6="Core",Nonlabor!$F$6,MAX(Nonlabor!$F$6,IF(Nonlabor!$E$6="AI",Assumptions!$E$24,Assumptions!$E$25))),12)=0))),IF(Nonlabor!$I$6="Fixed",1,IF(Nonlabor!$I$6="Seats",ROUNDUP('Monthly Growth'!I57,0),IF(Nonlabor!$I$6="Customers",'Monthly Growth'!D57,IF(Nonlabor!$I$6="NewCustomers",'Monthly Growth'!C57,IF(Nonlabor!$I$6="StorageGB",'Monthly Growth'!G57,IF(Nonlabor!$I$6="LogGB",'Monthly Growth'!H57,IF(Nonlabor!$I$6="RequestsM",'Monthly Growth'!F57,IF(Nonlabor!$I$6="InputM",'Monthly Growth'!D57*Assumptions!$E$22/1000000,IF(Nonlabor!$I$6="OutputM",'Monthly Growth'!D57*Assumptions!$E$23/1000000,0))))))))),0)</f>
        <v>1</v>
      </c>
      <c r="F2697" s="10" t="n">
        <f aca="false">Nonlabor!$J$6*(1+Assumptions!$E$9)^INT((C2697-1)/12)</f>
        <v>467.943424</v>
      </c>
      <c r="G2697" s="10" t="n">
        <f aca="false">E2697*F2697</f>
        <v>467.943424</v>
      </c>
      <c r="H2697" s="10" t="n">
        <f aca="false">IF(OR(Nonlabor!$L$6="Quote required",Nonlabor!$L$6="Unverified"),G2697,0)</f>
        <v>467.943424</v>
      </c>
      <c r="I2697" s="10" t="n">
        <f aca="false">IF(Nonlabor!$E$6="Core",0,G2697)</f>
        <v>0</v>
      </c>
      <c r="J2697" s="23" t="str">
        <f aca="false">Nonlabor!$B$6</f>
        <v>INFRA</v>
      </c>
    </row>
    <row r="2698" customFormat="false" ht="15" hidden="false" customHeight="false" outlineLevel="0" collapsed="false">
      <c r="A2698" s="6" t="s">
        <v>73</v>
      </c>
      <c r="B2698" s="6" t="s">
        <v>368</v>
      </c>
      <c r="C2698" s="6" t="n">
        <v>53</v>
      </c>
      <c r="D2698" s="25" t="n">
        <f aca="false">EDATE('Start Here'!$B$6,C2698-1)</f>
        <v>47908</v>
      </c>
      <c r="E2698" s="23" t="n">
        <f aca="false">IF(AND(OR(Nonlabor!$D$6="Both",Nonlabor!$D$6='Start Here'!$B$9),IF(Nonlabor!$E$6="Core",1,IF(Nonlabor!$E$6="AI",'Start Here'!$B$7,'Start Here'!$B$8))=1,C2698&gt;=IF(Nonlabor!$E$6="Core",Nonlabor!$F$6,MAX(Nonlabor!$F$6,IF(Nonlabor!$E$6="AI",Assumptions!$E$24,Assumptions!$E$25))),C2698&lt;=Nonlabor!$G$6,OR(Nonlabor!$H$6="Monthly",AND(Nonlabor!$H$6="Once",C2698=IF(Nonlabor!$E$6="Core",Nonlabor!$F$6,MAX(Nonlabor!$F$6,IF(Nonlabor!$E$6="AI",Assumptions!$E$24,Assumptions!$E$25)))),AND(Nonlabor!$H$6="Annual",MOD(C2698-IF(Nonlabor!$E$6="Core",Nonlabor!$F$6,MAX(Nonlabor!$F$6,IF(Nonlabor!$E$6="AI",Assumptions!$E$24,Assumptions!$E$25))),12)=0))),IF(Nonlabor!$I$6="Fixed",1,IF(Nonlabor!$I$6="Seats",ROUNDUP('Monthly Growth'!I58,0),IF(Nonlabor!$I$6="Customers",'Monthly Growth'!D58,IF(Nonlabor!$I$6="NewCustomers",'Monthly Growth'!C58,IF(Nonlabor!$I$6="StorageGB",'Monthly Growth'!G58,IF(Nonlabor!$I$6="LogGB",'Monthly Growth'!H58,IF(Nonlabor!$I$6="RequestsM",'Monthly Growth'!F58,IF(Nonlabor!$I$6="InputM",'Monthly Growth'!D58*Assumptions!$E$22/1000000,IF(Nonlabor!$I$6="OutputM",'Monthly Growth'!D58*Assumptions!$E$23/1000000,0))))))))),0)</f>
        <v>1</v>
      </c>
      <c r="F2698" s="10" t="n">
        <f aca="false">Nonlabor!$J$6*(1+Assumptions!$E$9)^INT((C2698-1)/12)</f>
        <v>467.943424</v>
      </c>
      <c r="G2698" s="10" t="n">
        <f aca="false">E2698*F2698</f>
        <v>467.943424</v>
      </c>
      <c r="H2698" s="10" t="n">
        <f aca="false">IF(OR(Nonlabor!$L$6="Quote required",Nonlabor!$L$6="Unverified"),G2698,0)</f>
        <v>467.943424</v>
      </c>
      <c r="I2698" s="10" t="n">
        <f aca="false">IF(Nonlabor!$E$6="Core",0,G2698)</f>
        <v>0</v>
      </c>
      <c r="J2698" s="23" t="str">
        <f aca="false">Nonlabor!$B$6</f>
        <v>INFRA</v>
      </c>
    </row>
    <row r="2699" customFormat="false" ht="15" hidden="false" customHeight="false" outlineLevel="0" collapsed="false">
      <c r="A2699" s="6" t="s">
        <v>73</v>
      </c>
      <c r="B2699" s="6" t="s">
        <v>368</v>
      </c>
      <c r="C2699" s="6" t="n">
        <v>54</v>
      </c>
      <c r="D2699" s="25" t="n">
        <f aca="false">EDATE('Start Here'!$B$6,C2699-1)</f>
        <v>47939</v>
      </c>
      <c r="E2699" s="23" t="n">
        <f aca="false">IF(AND(OR(Nonlabor!$D$6="Both",Nonlabor!$D$6='Start Here'!$B$9),IF(Nonlabor!$E$6="Core",1,IF(Nonlabor!$E$6="AI",'Start Here'!$B$7,'Start Here'!$B$8))=1,C2699&gt;=IF(Nonlabor!$E$6="Core",Nonlabor!$F$6,MAX(Nonlabor!$F$6,IF(Nonlabor!$E$6="AI",Assumptions!$E$24,Assumptions!$E$25))),C2699&lt;=Nonlabor!$G$6,OR(Nonlabor!$H$6="Monthly",AND(Nonlabor!$H$6="Once",C2699=IF(Nonlabor!$E$6="Core",Nonlabor!$F$6,MAX(Nonlabor!$F$6,IF(Nonlabor!$E$6="AI",Assumptions!$E$24,Assumptions!$E$25)))),AND(Nonlabor!$H$6="Annual",MOD(C2699-IF(Nonlabor!$E$6="Core",Nonlabor!$F$6,MAX(Nonlabor!$F$6,IF(Nonlabor!$E$6="AI",Assumptions!$E$24,Assumptions!$E$25))),12)=0))),IF(Nonlabor!$I$6="Fixed",1,IF(Nonlabor!$I$6="Seats",ROUNDUP('Monthly Growth'!I59,0),IF(Nonlabor!$I$6="Customers",'Monthly Growth'!D59,IF(Nonlabor!$I$6="NewCustomers",'Monthly Growth'!C59,IF(Nonlabor!$I$6="StorageGB",'Monthly Growth'!G59,IF(Nonlabor!$I$6="LogGB",'Monthly Growth'!H59,IF(Nonlabor!$I$6="RequestsM",'Monthly Growth'!F59,IF(Nonlabor!$I$6="InputM",'Monthly Growth'!D59*Assumptions!$E$22/1000000,IF(Nonlabor!$I$6="OutputM",'Monthly Growth'!D59*Assumptions!$E$23/1000000,0))))))))),0)</f>
        <v>1</v>
      </c>
      <c r="F2699" s="10" t="n">
        <f aca="false">Nonlabor!$J$6*(1+Assumptions!$E$9)^INT((C2699-1)/12)</f>
        <v>467.943424</v>
      </c>
      <c r="G2699" s="10" t="n">
        <f aca="false">E2699*F2699</f>
        <v>467.943424</v>
      </c>
      <c r="H2699" s="10" t="n">
        <f aca="false">IF(OR(Nonlabor!$L$6="Quote required",Nonlabor!$L$6="Unverified"),G2699,0)</f>
        <v>467.943424</v>
      </c>
      <c r="I2699" s="10" t="n">
        <f aca="false">IF(Nonlabor!$E$6="Core",0,G2699)</f>
        <v>0</v>
      </c>
      <c r="J2699" s="23" t="str">
        <f aca="false">Nonlabor!$B$6</f>
        <v>INFRA</v>
      </c>
    </row>
    <row r="2700" customFormat="false" ht="15" hidden="false" customHeight="false" outlineLevel="0" collapsed="false">
      <c r="A2700" s="6" t="s">
        <v>73</v>
      </c>
      <c r="B2700" s="6" t="s">
        <v>368</v>
      </c>
      <c r="C2700" s="6" t="n">
        <v>55</v>
      </c>
      <c r="D2700" s="25" t="n">
        <f aca="false">EDATE('Start Here'!$B$6,C2700-1)</f>
        <v>47969</v>
      </c>
      <c r="E2700" s="23" t="n">
        <f aca="false">IF(AND(OR(Nonlabor!$D$6="Both",Nonlabor!$D$6='Start Here'!$B$9),IF(Nonlabor!$E$6="Core",1,IF(Nonlabor!$E$6="AI",'Start Here'!$B$7,'Start Here'!$B$8))=1,C2700&gt;=IF(Nonlabor!$E$6="Core",Nonlabor!$F$6,MAX(Nonlabor!$F$6,IF(Nonlabor!$E$6="AI",Assumptions!$E$24,Assumptions!$E$25))),C2700&lt;=Nonlabor!$G$6,OR(Nonlabor!$H$6="Monthly",AND(Nonlabor!$H$6="Once",C2700=IF(Nonlabor!$E$6="Core",Nonlabor!$F$6,MAX(Nonlabor!$F$6,IF(Nonlabor!$E$6="AI",Assumptions!$E$24,Assumptions!$E$25)))),AND(Nonlabor!$H$6="Annual",MOD(C2700-IF(Nonlabor!$E$6="Core",Nonlabor!$F$6,MAX(Nonlabor!$F$6,IF(Nonlabor!$E$6="AI",Assumptions!$E$24,Assumptions!$E$25))),12)=0))),IF(Nonlabor!$I$6="Fixed",1,IF(Nonlabor!$I$6="Seats",ROUNDUP('Monthly Growth'!I60,0),IF(Nonlabor!$I$6="Customers",'Monthly Growth'!D60,IF(Nonlabor!$I$6="NewCustomers",'Monthly Growth'!C60,IF(Nonlabor!$I$6="StorageGB",'Monthly Growth'!G60,IF(Nonlabor!$I$6="LogGB",'Monthly Growth'!H60,IF(Nonlabor!$I$6="RequestsM",'Monthly Growth'!F60,IF(Nonlabor!$I$6="InputM",'Monthly Growth'!D60*Assumptions!$E$22/1000000,IF(Nonlabor!$I$6="OutputM",'Monthly Growth'!D60*Assumptions!$E$23/1000000,0))))))))),0)</f>
        <v>1</v>
      </c>
      <c r="F2700" s="10" t="n">
        <f aca="false">Nonlabor!$J$6*(1+Assumptions!$E$9)^INT((C2700-1)/12)</f>
        <v>467.943424</v>
      </c>
      <c r="G2700" s="10" t="n">
        <f aca="false">E2700*F2700</f>
        <v>467.943424</v>
      </c>
      <c r="H2700" s="10" t="n">
        <f aca="false">IF(OR(Nonlabor!$L$6="Quote required",Nonlabor!$L$6="Unverified"),G2700,0)</f>
        <v>467.943424</v>
      </c>
      <c r="I2700" s="10" t="n">
        <f aca="false">IF(Nonlabor!$E$6="Core",0,G2700)</f>
        <v>0</v>
      </c>
      <c r="J2700" s="23" t="str">
        <f aca="false">Nonlabor!$B$6</f>
        <v>INFRA</v>
      </c>
    </row>
    <row r="2701" customFormat="false" ht="15" hidden="false" customHeight="false" outlineLevel="0" collapsed="false">
      <c r="A2701" s="6" t="s">
        <v>73</v>
      </c>
      <c r="B2701" s="6" t="s">
        <v>368</v>
      </c>
      <c r="C2701" s="6" t="n">
        <v>56</v>
      </c>
      <c r="D2701" s="25" t="n">
        <f aca="false">EDATE('Start Here'!$B$6,C2701-1)</f>
        <v>48000</v>
      </c>
      <c r="E2701" s="23" t="n">
        <f aca="false">IF(AND(OR(Nonlabor!$D$6="Both",Nonlabor!$D$6='Start Here'!$B$9),IF(Nonlabor!$E$6="Core",1,IF(Nonlabor!$E$6="AI",'Start Here'!$B$7,'Start Here'!$B$8))=1,C2701&gt;=IF(Nonlabor!$E$6="Core",Nonlabor!$F$6,MAX(Nonlabor!$F$6,IF(Nonlabor!$E$6="AI",Assumptions!$E$24,Assumptions!$E$25))),C2701&lt;=Nonlabor!$G$6,OR(Nonlabor!$H$6="Monthly",AND(Nonlabor!$H$6="Once",C2701=IF(Nonlabor!$E$6="Core",Nonlabor!$F$6,MAX(Nonlabor!$F$6,IF(Nonlabor!$E$6="AI",Assumptions!$E$24,Assumptions!$E$25)))),AND(Nonlabor!$H$6="Annual",MOD(C2701-IF(Nonlabor!$E$6="Core",Nonlabor!$F$6,MAX(Nonlabor!$F$6,IF(Nonlabor!$E$6="AI",Assumptions!$E$24,Assumptions!$E$25))),12)=0))),IF(Nonlabor!$I$6="Fixed",1,IF(Nonlabor!$I$6="Seats",ROUNDUP('Monthly Growth'!I61,0),IF(Nonlabor!$I$6="Customers",'Monthly Growth'!D61,IF(Nonlabor!$I$6="NewCustomers",'Monthly Growth'!C61,IF(Nonlabor!$I$6="StorageGB",'Monthly Growth'!G61,IF(Nonlabor!$I$6="LogGB",'Monthly Growth'!H61,IF(Nonlabor!$I$6="RequestsM",'Monthly Growth'!F61,IF(Nonlabor!$I$6="InputM",'Monthly Growth'!D61*Assumptions!$E$22/1000000,IF(Nonlabor!$I$6="OutputM",'Monthly Growth'!D61*Assumptions!$E$23/1000000,0))))))))),0)</f>
        <v>1</v>
      </c>
      <c r="F2701" s="10" t="n">
        <f aca="false">Nonlabor!$J$6*(1+Assumptions!$E$9)^INT((C2701-1)/12)</f>
        <v>467.943424</v>
      </c>
      <c r="G2701" s="10" t="n">
        <f aca="false">E2701*F2701</f>
        <v>467.943424</v>
      </c>
      <c r="H2701" s="10" t="n">
        <f aca="false">IF(OR(Nonlabor!$L$6="Quote required",Nonlabor!$L$6="Unverified"),G2701,0)</f>
        <v>467.943424</v>
      </c>
      <c r="I2701" s="10" t="n">
        <f aca="false">IF(Nonlabor!$E$6="Core",0,G2701)</f>
        <v>0</v>
      </c>
      <c r="J2701" s="23" t="str">
        <f aca="false">Nonlabor!$B$6</f>
        <v>INFRA</v>
      </c>
    </row>
    <row r="2702" customFormat="false" ht="15" hidden="false" customHeight="false" outlineLevel="0" collapsed="false">
      <c r="A2702" s="6" t="s">
        <v>73</v>
      </c>
      <c r="B2702" s="6" t="s">
        <v>368</v>
      </c>
      <c r="C2702" s="6" t="n">
        <v>57</v>
      </c>
      <c r="D2702" s="25" t="n">
        <f aca="false">EDATE('Start Here'!$B$6,C2702-1)</f>
        <v>48030</v>
      </c>
      <c r="E2702" s="23" t="n">
        <f aca="false">IF(AND(OR(Nonlabor!$D$6="Both",Nonlabor!$D$6='Start Here'!$B$9),IF(Nonlabor!$E$6="Core",1,IF(Nonlabor!$E$6="AI",'Start Here'!$B$7,'Start Here'!$B$8))=1,C2702&gt;=IF(Nonlabor!$E$6="Core",Nonlabor!$F$6,MAX(Nonlabor!$F$6,IF(Nonlabor!$E$6="AI",Assumptions!$E$24,Assumptions!$E$25))),C2702&lt;=Nonlabor!$G$6,OR(Nonlabor!$H$6="Monthly",AND(Nonlabor!$H$6="Once",C2702=IF(Nonlabor!$E$6="Core",Nonlabor!$F$6,MAX(Nonlabor!$F$6,IF(Nonlabor!$E$6="AI",Assumptions!$E$24,Assumptions!$E$25)))),AND(Nonlabor!$H$6="Annual",MOD(C2702-IF(Nonlabor!$E$6="Core",Nonlabor!$F$6,MAX(Nonlabor!$F$6,IF(Nonlabor!$E$6="AI",Assumptions!$E$24,Assumptions!$E$25))),12)=0))),IF(Nonlabor!$I$6="Fixed",1,IF(Nonlabor!$I$6="Seats",ROUNDUP('Monthly Growth'!I62,0),IF(Nonlabor!$I$6="Customers",'Monthly Growth'!D62,IF(Nonlabor!$I$6="NewCustomers",'Monthly Growth'!C62,IF(Nonlabor!$I$6="StorageGB",'Monthly Growth'!G62,IF(Nonlabor!$I$6="LogGB",'Monthly Growth'!H62,IF(Nonlabor!$I$6="RequestsM",'Monthly Growth'!F62,IF(Nonlabor!$I$6="InputM",'Monthly Growth'!D62*Assumptions!$E$22/1000000,IF(Nonlabor!$I$6="OutputM",'Monthly Growth'!D62*Assumptions!$E$23/1000000,0))))))))),0)</f>
        <v>1</v>
      </c>
      <c r="F2702" s="10" t="n">
        <f aca="false">Nonlabor!$J$6*(1+Assumptions!$E$9)^INT((C2702-1)/12)</f>
        <v>467.943424</v>
      </c>
      <c r="G2702" s="10" t="n">
        <f aca="false">E2702*F2702</f>
        <v>467.943424</v>
      </c>
      <c r="H2702" s="10" t="n">
        <f aca="false">IF(OR(Nonlabor!$L$6="Quote required",Nonlabor!$L$6="Unverified"),G2702,0)</f>
        <v>467.943424</v>
      </c>
      <c r="I2702" s="10" t="n">
        <f aca="false">IF(Nonlabor!$E$6="Core",0,G2702)</f>
        <v>0</v>
      </c>
      <c r="J2702" s="23" t="str">
        <f aca="false">Nonlabor!$B$6</f>
        <v>INFRA</v>
      </c>
    </row>
    <row r="2703" customFormat="false" ht="15" hidden="false" customHeight="false" outlineLevel="0" collapsed="false">
      <c r="A2703" s="6" t="s">
        <v>73</v>
      </c>
      <c r="B2703" s="6" t="s">
        <v>368</v>
      </c>
      <c r="C2703" s="6" t="n">
        <v>58</v>
      </c>
      <c r="D2703" s="25" t="n">
        <f aca="false">EDATE('Start Here'!$B$6,C2703-1)</f>
        <v>48061</v>
      </c>
      <c r="E2703" s="23" t="n">
        <f aca="false">IF(AND(OR(Nonlabor!$D$6="Both",Nonlabor!$D$6='Start Here'!$B$9),IF(Nonlabor!$E$6="Core",1,IF(Nonlabor!$E$6="AI",'Start Here'!$B$7,'Start Here'!$B$8))=1,C2703&gt;=IF(Nonlabor!$E$6="Core",Nonlabor!$F$6,MAX(Nonlabor!$F$6,IF(Nonlabor!$E$6="AI",Assumptions!$E$24,Assumptions!$E$25))),C2703&lt;=Nonlabor!$G$6,OR(Nonlabor!$H$6="Monthly",AND(Nonlabor!$H$6="Once",C2703=IF(Nonlabor!$E$6="Core",Nonlabor!$F$6,MAX(Nonlabor!$F$6,IF(Nonlabor!$E$6="AI",Assumptions!$E$24,Assumptions!$E$25)))),AND(Nonlabor!$H$6="Annual",MOD(C2703-IF(Nonlabor!$E$6="Core",Nonlabor!$F$6,MAX(Nonlabor!$F$6,IF(Nonlabor!$E$6="AI",Assumptions!$E$24,Assumptions!$E$25))),12)=0))),IF(Nonlabor!$I$6="Fixed",1,IF(Nonlabor!$I$6="Seats",ROUNDUP('Monthly Growth'!I63,0),IF(Nonlabor!$I$6="Customers",'Monthly Growth'!D63,IF(Nonlabor!$I$6="NewCustomers",'Monthly Growth'!C63,IF(Nonlabor!$I$6="StorageGB",'Monthly Growth'!G63,IF(Nonlabor!$I$6="LogGB",'Monthly Growth'!H63,IF(Nonlabor!$I$6="RequestsM",'Monthly Growth'!F63,IF(Nonlabor!$I$6="InputM",'Monthly Growth'!D63*Assumptions!$E$22/1000000,IF(Nonlabor!$I$6="OutputM",'Monthly Growth'!D63*Assumptions!$E$23/1000000,0))))))))),0)</f>
        <v>1</v>
      </c>
      <c r="F2703" s="10" t="n">
        <f aca="false">Nonlabor!$J$6*(1+Assumptions!$E$9)^INT((C2703-1)/12)</f>
        <v>467.943424</v>
      </c>
      <c r="G2703" s="10" t="n">
        <f aca="false">E2703*F2703</f>
        <v>467.943424</v>
      </c>
      <c r="H2703" s="10" t="n">
        <f aca="false">IF(OR(Nonlabor!$L$6="Quote required",Nonlabor!$L$6="Unverified"),G2703,0)</f>
        <v>467.943424</v>
      </c>
      <c r="I2703" s="10" t="n">
        <f aca="false">IF(Nonlabor!$E$6="Core",0,G2703)</f>
        <v>0</v>
      </c>
      <c r="J2703" s="23" t="str">
        <f aca="false">Nonlabor!$B$6</f>
        <v>INFRA</v>
      </c>
    </row>
    <row r="2704" customFormat="false" ht="15" hidden="false" customHeight="false" outlineLevel="0" collapsed="false">
      <c r="A2704" s="6" t="s">
        <v>73</v>
      </c>
      <c r="B2704" s="6" t="s">
        <v>368</v>
      </c>
      <c r="C2704" s="6" t="n">
        <v>59</v>
      </c>
      <c r="D2704" s="25" t="n">
        <f aca="false">EDATE('Start Here'!$B$6,C2704-1)</f>
        <v>48092</v>
      </c>
      <c r="E2704" s="23" t="n">
        <f aca="false">IF(AND(OR(Nonlabor!$D$6="Both",Nonlabor!$D$6='Start Here'!$B$9),IF(Nonlabor!$E$6="Core",1,IF(Nonlabor!$E$6="AI",'Start Here'!$B$7,'Start Here'!$B$8))=1,C2704&gt;=IF(Nonlabor!$E$6="Core",Nonlabor!$F$6,MAX(Nonlabor!$F$6,IF(Nonlabor!$E$6="AI",Assumptions!$E$24,Assumptions!$E$25))),C2704&lt;=Nonlabor!$G$6,OR(Nonlabor!$H$6="Monthly",AND(Nonlabor!$H$6="Once",C2704=IF(Nonlabor!$E$6="Core",Nonlabor!$F$6,MAX(Nonlabor!$F$6,IF(Nonlabor!$E$6="AI",Assumptions!$E$24,Assumptions!$E$25)))),AND(Nonlabor!$H$6="Annual",MOD(C2704-IF(Nonlabor!$E$6="Core",Nonlabor!$F$6,MAX(Nonlabor!$F$6,IF(Nonlabor!$E$6="AI",Assumptions!$E$24,Assumptions!$E$25))),12)=0))),IF(Nonlabor!$I$6="Fixed",1,IF(Nonlabor!$I$6="Seats",ROUNDUP('Monthly Growth'!I64,0),IF(Nonlabor!$I$6="Customers",'Monthly Growth'!D64,IF(Nonlabor!$I$6="NewCustomers",'Monthly Growth'!C64,IF(Nonlabor!$I$6="StorageGB",'Monthly Growth'!G64,IF(Nonlabor!$I$6="LogGB",'Monthly Growth'!H64,IF(Nonlabor!$I$6="RequestsM",'Monthly Growth'!F64,IF(Nonlabor!$I$6="InputM",'Monthly Growth'!D64*Assumptions!$E$22/1000000,IF(Nonlabor!$I$6="OutputM",'Monthly Growth'!D64*Assumptions!$E$23/1000000,0))))))))),0)</f>
        <v>1</v>
      </c>
      <c r="F2704" s="10" t="n">
        <f aca="false">Nonlabor!$J$6*(1+Assumptions!$E$9)^INT((C2704-1)/12)</f>
        <v>467.943424</v>
      </c>
      <c r="G2704" s="10" t="n">
        <f aca="false">E2704*F2704</f>
        <v>467.943424</v>
      </c>
      <c r="H2704" s="10" t="n">
        <f aca="false">IF(OR(Nonlabor!$L$6="Quote required",Nonlabor!$L$6="Unverified"),G2704,0)</f>
        <v>467.943424</v>
      </c>
      <c r="I2704" s="10" t="n">
        <f aca="false">IF(Nonlabor!$E$6="Core",0,G2704)</f>
        <v>0</v>
      </c>
      <c r="J2704" s="23" t="str">
        <f aca="false">Nonlabor!$B$6</f>
        <v>INFRA</v>
      </c>
    </row>
    <row r="2705" customFormat="false" ht="15" hidden="false" customHeight="false" outlineLevel="0" collapsed="false">
      <c r="A2705" s="6" t="s">
        <v>73</v>
      </c>
      <c r="B2705" s="6" t="s">
        <v>368</v>
      </c>
      <c r="C2705" s="6" t="n">
        <v>60</v>
      </c>
      <c r="D2705" s="25" t="n">
        <f aca="false">EDATE('Start Here'!$B$6,C2705-1)</f>
        <v>48122</v>
      </c>
      <c r="E2705" s="23" t="n">
        <f aca="false">IF(AND(OR(Nonlabor!$D$6="Both",Nonlabor!$D$6='Start Here'!$B$9),IF(Nonlabor!$E$6="Core",1,IF(Nonlabor!$E$6="AI",'Start Here'!$B$7,'Start Here'!$B$8))=1,C2705&gt;=IF(Nonlabor!$E$6="Core",Nonlabor!$F$6,MAX(Nonlabor!$F$6,IF(Nonlabor!$E$6="AI",Assumptions!$E$24,Assumptions!$E$25))),C2705&lt;=Nonlabor!$G$6,OR(Nonlabor!$H$6="Monthly",AND(Nonlabor!$H$6="Once",C2705=IF(Nonlabor!$E$6="Core",Nonlabor!$F$6,MAX(Nonlabor!$F$6,IF(Nonlabor!$E$6="AI",Assumptions!$E$24,Assumptions!$E$25)))),AND(Nonlabor!$H$6="Annual",MOD(C2705-IF(Nonlabor!$E$6="Core",Nonlabor!$F$6,MAX(Nonlabor!$F$6,IF(Nonlabor!$E$6="AI",Assumptions!$E$24,Assumptions!$E$25))),12)=0))),IF(Nonlabor!$I$6="Fixed",1,IF(Nonlabor!$I$6="Seats",ROUNDUP('Monthly Growth'!I65,0),IF(Nonlabor!$I$6="Customers",'Monthly Growth'!D65,IF(Nonlabor!$I$6="NewCustomers",'Monthly Growth'!C65,IF(Nonlabor!$I$6="StorageGB",'Monthly Growth'!G65,IF(Nonlabor!$I$6="LogGB",'Monthly Growth'!H65,IF(Nonlabor!$I$6="RequestsM",'Monthly Growth'!F65,IF(Nonlabor!$I$6="InputM",'Monthly Growth'!D65*Assumptions!$E$22/1000000,IF(Nonlabor!$I$6="OutputM",'Monthly Growth'!D65*Assumptions!$E$23/1000000,0))))))))),0)</f>
        <v>1</v>
      </c>
      <c r="F2705" s="10" t="n">
        <f aca="false">Nonlabor!$J$6*(1+Assumptions!$E$9)^INT((C2705-1)/12)</f>
        <v>467.943424</v>
      </c>
      <c r="G2705" s="10" t="n">
        <f aca="false">E2705*F2705</f>
        <v>467.943424</v>
      </c>
      <c r="H2705" s="10" t="n">
        <f aca="false">IF(OR(Nonlabor!$L$6="Quote required",Nonlabor!$L$6="Unverified"),G2705,0)</f>
        <v>467.943424</v>
      </c>
      <c r="I2705" s="10" t="n">
        <f aca="false">IF(Nonlabor!$E$6="Core",0,G2705)</f>
        <v>0</v>
      </c>
      <c r="J2705" s="23" t="str">
        <f aca="false">Nonlabor!$B$6</f>
        <v>INFRA</v>
      </c>
    </row>
    <row r="2706" customFormat="false" ht="15" hidden="false" customHeight="false" outlineLevel="0" collapsed="false">
      <c r="A2706" s="6" t="s">
        <v>73</v>
      </c>
      <c r="B2706" s="6" t="s">
        <v>373</v>
      </c>
      <c r="C2706" s="6" t="n">
        <v>1</v>
      </c>
      <c r="D2706" s="25" t="n">
        <f aca="false">EDATE('Start Here'!$B$6,C2706-1)</f>
        <v>46327</v>
      </c>
      <c r="E2706" s="23" t="n">
        <f aca="false">IF(AND(OR(Nonlabor!$D$7="Both",Nonlabor!$D$7='Start Here'!$B$9),IF(Nonlabor!$E$7="Core",1,IF(Nonlabor!$E$7="AI",'Start Here'!$B$7,'Start Here'!$B$8))=1,C2706&gt;=IF(Nonlabor!$E$7="Core",Nonlabor!$F$7,MAX(Nonlabor!$F$7,IF(Nonlabor!$E$7="AI",Assumptions!$E$24,Assumptions!$E$25))),C2706&lt;=Nonlabor!$G$7,OR(Nonlabor!$H$7="Monthly",AND(Nonlabor!$H$7="Once",C2706=IF(Nonlabor!$E$7="Core",Nonlabor!$F$7,MAX(Nonlabor!$F$7,IF(Nonlabor!$E$7="AI",Assumptions!$E$24,Assumptions!$E$25)))),AND(Nonlabor!$H$7="Annual",MOD(C2706-IF(Nonlabor!$E$7="Core",Nonlabor!$F$7,MAX(Nonlabor!$F$7,IF(Nonlabor!$E$7="AI",Assumptions!$E$24,Assumptions!$E$25))),12)=0))),IF(Nonlabor!$I$7="Fixed",1,IF(Nonlabor!$I$7="Seats",ROUNDUP('Monthly Growth'!I6,0),IF(Nonlabor!$I$7="Customers",'Monthly Growth'!D6,IF(Nonlabor!$I$7="NewCustomers",'Monthly Growth'!C6,IF(Nonlabor!$I$7="StorageGB",'Monthly Growth'!G6,IF(Nonlabor!$I$7="LogGB",'Monthly Growth'!H6,IF(Nonlabor!$I$7="RequestsM",'Monthly Growth'!F6,IF(Nonlabor!$I$7="InputM",'Monthly Growth'!D6*Assumptions!$E$22/1000000,IF(Nonlabor!$I$7="OutputM",'Monthly Growth'!D6*Assumptions!$E$23/1000000,0))))))))),0)</f>
        <v>1</v>
      </c>
      <c r="F2706" s="10" t="n">
        <f aca="false">Nonlabor!$J$7*(1+Assumptions!$E$9)^INT((C2706-1)/12)</f>
        <v>600</v>
      </c>
      <c r="G2706" s="10" t="n">
        <f aca="false">E2706*F2706</f>
        <v>600</v>
      </c>
      <c r="H2706" s="10" t="n">
        <f aca="false">IF(OR(Nonlabor!$L$7="Quote required",Nonlabor!$L$7="Unverified"),G2706,0)</f>
        <v>600</v>
      </c>
      <c r="I2706" s="10" t="n">
        <f aca="false">IF(Nonlabor!$E$7="Core",0,G2706)</f>
        <v>0</v>
      </c>
      <c r="J2706" s="23" t="str">
        <f aca="false">Nonlabor!$B$7</f>
        <v>INFRA</v>
      </c>
    </row>
    <row r="2707" customFormat="false" ht="15" hidden="false" customHeight="false" outlineLevel="0" collapsed="false">
      <c r="A2707" s="6" t="s">
        <v>73</v>
      </c>
      <c r="B2707" s="6" t="s">
        <v>373</v>
      </c>
      <c r="C2707" s="6" t="n">
        <v>2</v>
      </c>
      <c r="D2707" s="25" t="n">
        <f aca="false">EDATE('Start Here'!$B$6,C2707-1)</f>
        <v>46357</v>
      </c>
      <c r="E2707" s="23" t="n">
        <f aca="false">IF(AND(OR(Nonlabor!$D$7="Both",Nonlabor!$D$7='Start Here'!$B$9),IF(Nonlabor!$E$7="Core",1,IF(Nonlabor!$E$7="AI",'Start Here'!$B$7,'Start Here'!$B$8))=1,C2707&gt;=IF(Nonlabor!$E$7="Core",Nonlabor!$F$7,MAX(Nonlabor!$F$7,IF(Nonlabor!$E$7="AI",Assumptions!$E$24,Assumptions!$E$25))),C2707&lt;=Nonlabor!$G$7,OR(Nonlabor!$H$7="Monthly",AND(Nonlabor!$H$7="Once",C2707=IF(Nonlabor!$E$7="Core",Nonlabor!$F$7,MAX(Nonlabor!$F$7,IF(Nonlabor!$E$7="AI",Assumptions!$E$24,Assumptions!$E$25)))),AND(Nonlabor!$H$7="Annual",MOD(C2707-IF(Nonlabor!$E$7="Core",Nonlabor!$F$7,MAX(Nonlabor!$F$7,IF(Nonlabor!$E$7="AI",Assumptions!$E$24,Assumptions!$E$25))),12)=0))),IF(Nonlabor!$I$7="Fixed",1,IF(Nonlabor!$I$7="Seats",ROUNDUP('Monthly Growth'!I7,0),IF(Nonlabor!$I$7="Customers",'Monthly Growth'!D7,IF(Nonlabor!$I$7="NewCustomers",'Monthly Growth'!C7,IF(Nonlabor!$I$7="StorageGB",'Monthly Growth'!G7,IF(Nonlabor!$I$7="LogGB",'Monthly Growth'!H7,IF(Nonlabor!$I$7="RequestsM",'Monthly Growth'!F7,IF(Nonlabor!$I$7="InputM",'Monthly Growth'!D7*Assumptions!$E$22/1000000,IF(Nonlabor!$I$7="OutputM",'Monthly Growth'!D7*Assumptions!$E$23/1000000,0))))))))),0)</f>
        <v>1</v>
      </c>
      <c r="F2707" s="10" t="n">
        <f aca="false">Nonlabor!$J$7*(1+Assumptions!$E$9)^INT((C2707-1)/12)</f>
        <v>600</v>
      </c>
      <c r="G2707" s="10" t="n">
        <f aca="false">E2707*F2707</f>
        <v>600</v>
      </c>
      <c r="H2707" s="10" t="n">
        <f aca="false">IF(OR(Nonlabor!$L$7="Quote required",Nonlabor!$L$7="Unverified"),G2707,0)</f>
        <v>600</v>
      </c>
      <c r="I2707" s="10" t="n">
        <f aca="false">IF(Nonlabor!$E$7="Core",0,G2707)</f>
        <v>0</v>
      </c>
      <c r="J2707" s="23" t="str">
        <f aca="false">Nonlabor!$B$7</f>
        <v>INFRA</v>
      </c>
    </row>
    <row r="2708" customFormat="false" ht="15" hidden="false" customHeight="false" outlineLevel="0" collapsed="false">
      <c r="A2708" s="6" t="s">
        <v>73</v>
      </c>
      <c r="B2708" s="6" t="s">
        <v>373</v>
      </c>
      <c r="C2708" s="6" t="n">
        <v>3</v>
      </c>
      <c r="D2708" s="25" t="n">
        <f aca="false">EDATE('Start Here'!$B$6,C2708-1)</f>
        <v>46388</v>
      </c>
      <c r="E2708" s="23" t="n">
        <f aca="false">IF(AND(OR(Nonlabor!$D$7="Both",Nonlabor!$D$7='Start Here'!$B$9),IF(Nonlabor!$E$7="Core",1,IF(Nonlabor!$E$7="AI",'Start Here'!$B$7,'Start Here'!$B$8))=1,C2708&gt;=IF(Nonlabor!$E$7="Core",Nonlabor!$F$7,MAX(Nonlabor!$F$7,IF(Nonlabor!$E$7="AI",Assumptions!$E$24,Assumptions!$E$25))),C2708&lt;=Nonlabor!$G$7,OR(Nonlabor!$H$7="Monthly",AND(Nonlabor!$H$7="Once",C2708=IF(Nonlabor!$E$7="Core",Nonlabor!$F$7,MAX(Nonlabor!$F$7,IF(Nonlabor!$E$7="AI",Assumptions!$E$24,Assumptions!$E$25)))),AND(Nonlabor!$H$7="Annual",MOD(C2708-IF(Nonlabor!$E$7="Core",Nonlabor!$F$7,MAX(Nonlabor!$F$7,IF(Nonlabor!$E$7="AI",Assumptions!$E$24,Assumptions!$E$25))),12)=0))),IF(Nonlabor!$I$7="Fixed",1,IF(Nonlabor!$I$7="Seats",ROUNDUP('Monthly Growth'!I8,0),IF(Nonlabor!$I$7="Customers",'Monthly Growth'!D8,IF(Nonlabor!$I$7="NewCustomers",'Monthly Growth'!C8,IF(Nonlabor!$I$7="StorageGB",'Monthly Growth'!G8,IF(Nonlabor!$I$7="LogGB",'Monthly Growth'!H8,IF(Nonlabor!$I$7="RequestsM",'Monthly Growth'!F8,IF(Nonlabor!$I$7="InputM",'Monthly Growth'!D8*Assumptions!$E$22/1000000,IF(Nonlabor!$I$7="OutputM",'Monthly Growth'!D8*Assumptions!$E$23/1000000,0))))))))),0)</f>
        <v>1</v>
      </c>
      <c r="F2708" s="10" t="n">
        <f aca="false">Nonlabor!$J$7*(1+Assumptions!$E$9)^INT((C2708-1)/12)</f>
        <v>600</v>
      </c>
      <c r="G2708" s="10" t="n">
        <f aca="false">E2708*F2708</f>
        <v>600</v>
      </c>
      <c r="H2708" s="10" t="n">
        <f aca="false">IF(OR(Nonlabor!$L$7="Quote required",Nonlabor!$L$7="Unverified"),G2708,0)</f>
        <v>600</v>
      </c>
      <c r="I2708" s="10" t="n">
        <f aca="false">IF(Nonlabor!$E$7="Core",0,G2708)</f>
        <v>0</v>
      </c>
      <c r="J2708" s="23" t="str">
        <f aca="false">Nonlabor!$B$7</f>
        <v>INFRA</v>
      </c>
    </row>
    <row r="2709" customFormat="false" ht="15" hidden="false" customHeight="false" outlineLevel="0" collapsed="false">
      <c r="A2709" s="6" t="s">
        <v>73</v>
      </c>
      <c r="B2709" s="6" t="s">
        <v>373</v>
      </c>
      <c r="C2709" s="6" t="n">
        <v>4</v>
      </c>
      <c r="D2709" s="25" t="n">
        <f aca="false">EDATE('Start Here'!$B$6,C2709-1)</f>
        <v>46419</v>
      </c>
      <c r="E2709" s="23" t="n">
        <f aca="false">IF(AND(OR(Nonlabor!$D$7="Both",Nonlabor!$D$7='Start Here'!$B$9),IF(Nonlabor!$E$7="Core",1,IF(Nonlabor!$E$7="AI",'Start Here'!$B$7,'Start Here'!$B$8))=1,C2709&gt;=IF(Nonlabor!$E$7="Core",Nonlabor!$F$7,MAX(Nonlabor!$F$7,IF(Nonlabor!$E$7="AI",Assumptions!$E$24,Assumptions!$E$25))),C2709&lt;=Nonlabor!$G$7,OR(Nonlabor!$H$7="Monthly",AND(Nonlabor!$H$7="Once",C2709=IF(Nonlabor!$E$7="Core",Nonlabor!$F$7,MAX(Nonlabor!$F$7,IF(Nonlabor!$E$7="AI",Assumptions!$E$24,Assumptions!$E$25)))),AND(Nonlabor!$H$7="Annual",MOD(C2709-IF(Nonlabor!$E$7="Core",Nonlabor!$F$7,MAX(Nonlabor!$F$7,IF(Nonlabor!$E$7="AI",Assumptions!$E$24,Assumptions!$E$25))),12)=0))),IF(Nonlabor!$I$7="Fixed",1,IF(Nonlabor!$I$7="Seats",ROUNDUP('Monthly Growth'!I9,0),IF(Nonlabor!$I$7="Customers",'Monthly Growth'!D9,IF(Nonlabor!$I$7="NewCustomers",'Monthly Growth'!C9,IF(Nonlabor!$I$7="StorageGB",'Monthly Growth'!G9,IF(Nonlabor!$I$7="LogGB",'Monthly Growth'!H9,IF(Nonlabor!$I$7="RequestsM",'Monthly Growth'!F9,IF(Nonlabor!$I$7="InputM",'Monthly Growth'!D9*Assumptions!$E$22/1000000,IF(Nonlabor!$I$7="OutputM",'Monthly Growth'!D9*Assumptions!$E$23/1000000,0))))))))),0)</f>
        <v>1</v>
      </c>
      <c r="F2709" s="10" t="n">
        <f aca="false">Nonlabor!$J$7*(1+Assumptions!$E$9)^INT((C2709-1)/12)</f>
        <v>600</v>
      </c>
      <c r="G2709" s="10" t="n">
        <f aca="false">E2709*F2709</f>
        <v>600</v>
      </c>
      <c r="H2709" s="10" t="n">
        <f aca="false">IF(OR(Nonlabor!$L$7="Quote required",Nonlabor!$L$7="Unverified"),G2709,0)</f>
        <v>600</v>
      </c>
      <c r="I2709" s="10" t="n">
        <f aca="false">IF(Nonlabor!$E$7="Core",0,G2709)</f>
        <v>0</v>
      </c>
      <c r="J2709" s="23" t="str">
        <f aca="false">Nonlabor!$B$7</f>
        <v>INFRA</v>
      </c>
    </row>
    <row r="2710" customFormat="false" ht="15" hidden="false" customHeight="false" outlineLevel="0" collapsed="false">
      <c r="A2710" s="6" t="s">
        <v>73</v>
      </c>
      <c r="B2710" s="6" t="s">
        <v>373</v>
      </c>
      <c r="C2710" s="6" t="n">
        <v>5</v>
      </c>
      <c r="D2710" s="25" t="n">
        <f aca="false">EDATE('Start Here'!$B$6,C2710-1)</f>
        <v>46447</v>
      </c>
      <c r="E2710" s="23" t="n">
        <f aca="false">IF(AND(OR(Nonlabor!$D$7="Both",Nonlabor!$D$7='Start Here'!$B$9),IF(Nonlabor!$E$7="Core",1,IF(Nonlabor!$E$7="AI",'Start Here'!$B$7,'Start Here'!$B$8))=1,C2710&gt;=IF(Nonlabor!$E$7="Core",Nonlabor!$F$7,MAX(Nonlabor!$F$7,IF(Nonlabor!$E$7="AI",Assumptions!$E$24,Assumptions!$E$25))),C2710&lt;=Nonlabor!$G$7,OR(Nonlabor!$H$7="Monthly",AND(Nonlabor!$H$7="Once",C2710=IF(Nonlabor!$E$7="Core",Nonlabor!$F$7,MAX(Nonlabor!$F$7,IF(Nonlabor!$E$7="AI",Assumptions!$E$24,Assumptions!$E$25)))),AND(Nonlabor!$H$7="Annual",MOD(C2710-IF(Nonlabor!$E$7="Core",Nonlabor!$F$7,MAX(Nonlabor!$F$7,IF(Nonlabor!$E$7="AI",Assumptions!$E$24,Assumptions!$E$25))),12)=0))),IF(Nonlabor!$I$7="Fixed",1,IF(Nonlabor!$I$7="Seats",ROUNDUP('Monthly Growth'!I10,0),IF(Nonlabor!$I$7="Customers",'Monthly Growth'!D10,IF(Nonlabor!$I$7="NewCustomers",'Monthly Growth'!C10,IF(Nonlabor!$I$7="StorageGB",'Monthly Growth'!G10,IF(Nonlabor!$I$7="LogGB",'Monthly Growth'!H10,IF(Nonlabor!$I$7="RequestsM",'Monthly Growth'!F10,IF(Nonlabor!$I$7="InputM",'Monthly Growth'!D10*Assumptions!$E$22/1000000,IF(Nonlabor!$I$7="OutputM",'Monthly Growth'!D10*Assumptions!$E$23/1000000,0))))))))),0)</f>
        <v>1</v>
      </c>
      <c r="F2710" s="10" t="n">
        <f aca="false">Nonlabor!$J$7*(1+Assumptions!$E$9)^INT((C2710-1)/12)</f>
        <v>600</v>
      </c>
      <c r="G2710" s="10" t="n">
        <f aca="false">E2710*F2710</f>
        <v>600</v>
      </c>
      <c r="H2710" s="10" t="n">
        <f aca="false">IF(OR(Nonlabor!$L$7="Quote required",Nonlabor!$L$7="Unverified"),G2710,0)</f>
        <v>600</v>
      </c>
      <c r="I2710" s="10" t="n">
        <f aca="false">IF(Nonlabor!$E$7="Core",0,G2710)</f>
        <v>0</v>
      </c>
      <c r="J2710" s="23" t="str">
        <f aca="false">Nonlabor!$B$7</f>
        <v>INFRA</v>
      </c>
    </row>
    <row r="2711" customFormat="false" ht="15" hidden="false" customHeight="false" outlineLevel="0" collapsed="false">
      <c r="A2711" s="6" t="s">
        <v>73</v>
      </c>
      <c r="B2711" s="6" t="s">
        <v>373</v>
      </c>
      <c r="C2711" s="6" t="n">
        <v>6</v>
      </c>
      <c r="D2711" s="25" t="n">
        <f aca="false">EDATE('Start Here'!$B$6,C2711-1)</f>
        <v>46478</v>
      </c>
      <c r="E2711" s="23" t="n">
        <f aca="false">IF(AND(OR(Nonlabor!$D$7="Both",Nonlabor!$D$7='Start Here'!$B$9),IF(Nonlabor!$E$7="Core",1,IF(Nonlabor!$E$7="AI",'Start Here'!$B$7,'Start Here'!$B$8))=1,C2711&gt;=IF(Nonlabor!$E$7="Core",Nonlabor!$F$7,MAX(Nonlabor!$F$7,IF(Nonlabor!$E$7="AI",Assumptions!$E$24,Assumptions!$E$25))),C2711&lt;=Nonlabor!$G$7,OR(Nonlabor!$H$7="Monthly",AND(Nonlabor!$H$7="Once",C2711=IF(Nonlabor!$E$7="Core",Nonlabor!$F$7,MAX(Nonlabor!$F$7,IF(Nonlabor!$E$7="AI",Assumptions!$E$24,Assumptions!$E$25)))),AND(Nonlabor!$H$7="Annual",MOD(C2711-IF(Nonlabor!$E$7="Core",Nonlabor!$F$7,MAX(Nonlabor!$F$7,IF(Nonlabor!$E$7="AI",Assumptions!$E$24,Assumptions!$E$25))),12)=0))),IF(Nonlabor!$I$7="Fixed",1,IF(Nonlabor!$I$7="Seats",ROUNDUP('Monthly Growth'!I11,0),IF(Nonlabor!$I$7="Customers",'Monthly Growth'!D11,IF(Nonlabor!$I$7="NewCustomers",'Monthly Growth'!C11,IF(Nonlabor!$I$7="StorageGB",'Monthly Growth'!G11,IF(Nonlabor!$I$7="LogGB",'Monthly Growth'!H11,IF(Nonlabor!$I$7="RequestsM",'Monthly Growth'!F11,IF(Nonlabor!$I$7="InputM",'Monthly Growth'!D11*Assumptions!$E$22/1000000,IF(Nonlabor!$I$7="OutputM",'Monthly Growth'!D11*Assumptions!$E$23/1000000,0))))))))),0)</f>
        <v>1</v>
      </c>
      <c r="F2711" s="10" t="n">
        <f aca="false">Nonlabor!$J$7*(1+Assumptions!$E$9)^INT((C2711-1)/12)</f>
        <v>600</v>
      </c>
      <c r="G2711" s="10" t="n">
        <f aca="false">E2711*F2711</f>
        <v>600</v>
      </c>
      <c r="H2711" s="10" t="n">
        <f aca="false">IF(OR(Nonlabor!$L$7="Quote required",Nonlabor!$L$7="Unverified"),G2711,0)</f>
        <v>600</v>
      </c>
      <c r="I2711" s="10" t="n">
        <f aca="false">IF(Nonlabor!$E$7="Core",0,G2711)</f>
        <v>0</v>
      </c>
      <c r="J2711" s="23" t="str">
        <f aca="false">Nonlabor!$B$7</f>
        <v>INFRA</v>
      </c>
    </row>
    <row r="2712" customFormat="false" ht="15" hidden="false" customHeight="false" outlineLevel="0" collapsed="false">
      <c r="A2712" s="6" t="s">
        <v>73</v>
      </c>
      <c r="B2712" s="6" t="s">
        <v>373</v>
      </c>
      <c r="C2712" s="6" t="n">
        <v>7</v>
      </c>
      <c r="D2712" s="25" t="n">
        <f aca="false">EDATE('Start Here'!$B$6,C2712-1)</f>
        <v>46508</v>
      </c>
      <c r="E2712" s="23" t="n">
        <f aca="false">IF(AND(OR(Nonlabor!$D$7="Both",Nonlabor!$D$7='Start Here'!$B$9),IF(Nonlabor!$E$7="Core",1,IF(Nonlabor!$E$7="AI",'Start Here'!$B$7,'Start Here'!$B$8))=1,C2712&gt;=IF(Nonlabor!$E$7="Core",Nonlabor!$F$7,MAX(Nonlabor!$F$7,IF(Nonlabor!$E$7="AI",Assumptions!$E$24,Assumptions!$E$25))),C2712&lt;=Nonlabor!$G$7,OR(Nonlabor!$H$7="Monthly",AND(Nonlabor!$H$7="Once",C2712=IF(Nonlabor!$E$7="Core",Nonlabor!$F$7,MAX(Nonlabor!$F$7,IF(Nonlabor!$E$7="AI",Assumptions!$E$24,Assumptions!$E$25)))),AND(Nonlabor!$H$7="Annual",MOD(C2712-IF(Nonlabor!$E$7="Core",Nonlabor!$F$7,MAX(Nonlabor!$F$7,IF(Nonlabor!$E$7="AI",Assumptions!$E$24,Assumptions!$E$25))),12)=0))),IF(Nonlabor!$I$7="Fixed",1,IF(Nonlabor!$I$7="Seats",ROUNDUP('Monthly Growth'!I12,0),IF(Nonlabor!$I$7="Customers",'Monthly Growth'!D12,IF(Nonlabor!$I$7="NewCustomers",'Monthly Growth'!C12,IF(Nonlabor!$I$7="StorageGB",'Monthly Growth'!G12,IF(Nonlabor!$I$7="LogGB",'Monthly Growth'!H12,IF(Nonlabor!$I$7="RequestsM",'Monthly Growth'!F12,IF(Nonlabor!$I$7="InputM",'Monthly Growth'!D12*Assumptions!$E$22/1000000,IF(Nonlabor!$I$7="OutputM",'Monthly Growth'!D12*Assumptions!$E$23/1000000,0))))))))),0)</f>
        <v>1</v>
      </c>
      <c r="F2712" s="10" t="n">
        <f aca="false">Nonlabor!$J$7*(1+Assumptions!$E$9)^INT((C2712-1)/12)</f>
        <v>600</v>
      </c>
      <c r="G2712" s="10" t="n">
        <f aca="false">E2712*F2712</f>
        <v>600</v>
      </c>
      <c r="H2712" s="10" t="n">
        <f aca="false">IF(OR(Nonlabor!$L$7="Quote required",Nonlabor!$L$7="Unverified"),G2712,0)</f>
        <v>600</v>
      </c>
      <c r="I2712" s="10" t="n">
        <f aca="false">IF(Nonlabor!$E$7="Core",0,G2712)</f>
        <v>0</v>
      </c>
      <c r="J2712" s="23" t="str">
        <f aca="false">Nonlabor!$B$7</f>
        <v>INFRA</v>
      </c>
    </row>
    <row r="2713" customFormat="false" ht="15" hidden="false" customHeight="false" outlineLevel="0" collapsed="false">
      <c r="A2713" s="6" t="s">
        <v>73</v>
      </c>
      <c r="B2713" s="6" t="s">
        <v>373</v>
      </c>
      <c r="C2713" s="6" t="n">
        <v>8</v>
      </c>
      <c r="D2713" s="25" t="n">
        <f aca="false">EDATE('Start Here'!$B$6,C2713-1)</f>
        <v>46539</v>
      </c>
      <c r="E2713" s="23" t="n">
        <f aca="false">IF(AND(OR(Nonlabor!$D$7="Both",Nonlabor!$D$7='Start Here'!$B$9),IF(Nonlabor!$E$7="Core",1,IF(Nonlabor!$E$7="AI",'Start Here'!$B$7,'Start Here'!$B$8))=1,C2713&gt;=IF(Nonlabor!$E$7="Core",Nonlabor!$F$7,MAX(Nonlabor!$F$7,IF(Nonlabor!$E$7="AI",Assumptions!$E$24,Assumptions!$E$25))),C2713&lt;=Nonlabor!$G$7,OR(Nonlabor!$H$7="Monthly",AND(Nonlabor!$H$7="Once",C2713=IF(Nonlabor!$E$7="Core",Nonlabor!$F$7,MAX(Nonlabor!$F$7,IF(Nonlabor!$E$7="AI",Assumptions!$E$24,Assumptions!$E$25)))),AND(Nonlabor!$H$7="Annual",MOD(C2713-IF(Nonlabor!$E$7="Core",Nonlabor!$F$7,MAX(Nonlabor!$F$7,IF(Nonlabor!$E$7="AI",Assumptions!$E$24,Assumptions!$E$25))),12)=0))),IF(Nonlabor!$I$7="Fixed",1,IF(Nonlabor!$I$7="Seats",ROUNDUP('Monthly Growth'!I13,0),IF(Nonlabor!$I$7="Customers",'Monthly Growth'!D13,IF(Nonlabor!$I$7="NewCustomers",'Monthly Growth'!C13,IF(Nonlabor!$I$7="StorageGB",'Monthly Growth'!G13,IF(Nonlabor!$I$7="LogGB",'Monthly Growth'!H13,IF(Nonlabor!$I$7="RequestsM",'Monthly Growth'!F13,IF(Nonlabor!$I$7="InputM",'Monthly Growth'!D13*Assumptions!$E$22/1000000,IF(Nonlabor!$I$7="OutputM",'Monthly Growth'!D13*Assumptions!$E$23/1000000,0))))))))),0)</f>
        <v>1</v>
      </c>
      <c r="F2713" s="10" t="n">
        <f aca="false">Nonlabor!$J$7*(1+Assumptions!$E$9)^INT((C2713-1)/12)</f>
        <v>600</v>
      </c>
      <c r="G2713" s="10" t="n">
        <f aca="false">E2713*F2713</f>
        <v>600</v>
      </c>
      <c r="H2713" s="10" t="n">
        <f aca="false">IF(OR(Nonlabor!$L$7="Quote required",Nonlabor!$L$7="Unverified"),G2713,0)</f>
        <v>600</v>
      </c>
      <c r="I2713" s="10" t="n">
        <f aca="false">IF(Nonlabor!$E$7="Core",0,G2713)</f>
        <v>0</v>
      </c>
      <c r="J2713" s="23" t="str">
        <f aca="false">Nonlabor!$B$7</f>
        <v>INFRA</v>
      </c>
    </row>
    <row r="2714" customFormat="false" ht="15" hidden="false" customHeight="false" outlineLevel="0" collapsed="false">
      <c r="A2714" s="6" t="s">
        <v>73</v>
      </c>
      <c r="B2714" s="6" t="s">
        <v>373</v>
      </c>
      <c r="C2714" s="6" t="n">
        <v>9</v>
      </c>
      <c r="D2714" s="25" t="n">
        <f aca="false">EDATE('Start Here'!$B$6,C2714-1)</f>
        <v>46569</v>
      </c>
      <c r="E2714" s="23" t="n">
        <f aca="false">IF(AND(OR(Nonlabor!$D$7="Both",Nonlabor!$D$7='Start Here'!$B$9),IF(Nonlabor!$E$7="Core",1,IF(Nonlabor!$E$7="AI",'Start Here'!$B$7,'Start Here'!$B$8))=1,C2714&gt;=IF(Nonlabor!$E$7="Core",Nonlabor!$F$7,MAX(Nonlabor!$F$7,IF(Nonlabor!$E$7="AI",Assumptions!$E$24,Assumptions!$E$25))),C2714&lt;=Nonlabor!$G$7,OR(Nonlabor!$H$7="Monthly",AND(Nonlabor!$H$7="Once",C2714=IF(Nonlabor!$E$7="Core",Nonlabor!$F$7,MAX(Nonlabor!$F$7,IF(Nonlabor!$E$7="AI",Assumptions!$E$24,Assumptions!$E$25)))),AND(Nonlabor!$H$7="Annual",MOD(C2714-IF(Nonlabor!$E$7="Core",Nonlabor!$F$7,MAX(Nonlabor!$F$7,IF(Nonlabor!$E$7="AI",Assumptions!$E$24,Assumptions!$E$25))),12)=0))),IF(Nonlabor!$I$7="Fixed",1,IF(Nonlabor!$I$7="Seats",ROUNDUP('Monthly Growth'!I14,0),IF(Nonlabor!$I$7="Customers",'Monthly Growth'!D14,IF(Nonlabor!$I$7="NewCustomers",'Monthly Growth'!C14,IF(Nonlabor!$I$7="StorageGB",'Monthly Growth'!G14,IF(Nonlabor!$I$7="LogGB",'Monthly Growth'!H14,IF(Nonlabor!$I$7="RequestsM",'Monthly Growth'!F14,IF(Nonlabor!$I$7="InputM",'Monthly Growth'!D14*Assumptions!$E$22/1000000,IF(Nonlabor!$I$7="OutputM",'Monthly Growth'!D14*Assumptions!$E$23/1000000,0))))))))),0)</f>
        <v>1</v>
      </c>
      <c r="F2714" s="10" t="n">
        <f aca="false">Nonlabor!$J$7*(1+Assumptions!$E$9)^INT((C2714-1)/12)</f>
        <v>600</v>
      </c>
      <c r="G2714" s="10" t="n">
        <f aca="false">E2714*F2714</f>
        <v>600</v>
      </c>
      <c r="H2714" s="10" t="n">
        <f aca="false">IF(OR(Nonlabor!$L$7="Quote required",Nonlabor!$L$7="Unverified"),G2714,0)</f>
        <v>600</v>
      </c>
      <c r="I2714" s="10" t="n">
        <f aca="false">IF(Nonlabor!$E$7="Core",0,G2714)</f>
        <v>0</v>
      </c>
      <c r="J2714" s="23" t="str">
        <f aca="false">Nonlabor!$B$7</f>
        <v>INFRA</v>
      </c>
    </row>
    <row r="2715" customFormat="false" ht="15" hidden="false" customHeight="false" outlineLevel="0" collapsed="false">
      <c r="A2715" s="6" t="s">
        <v>73</v>
      </c>
      <c r="B2715" s="6" t="s">
        <v>373</v>
      </c>
      <c r="C2715" s="6" t="n">
        <v>10</v>
      </c>
      <c r="D2715" s="25" t="n">
        <f aca="false">EDATE('Start Here'!$B$6,C2715-1)</f>
        <v>46600</v>
      </c>
      <c r="E2715" s="23" t="n">
        <f aca="false">IF(AND(OR(Nonlabor!$D$7="Both",Nonlabor!$D$7='Start Here'!$B$9),IF(Nonlabor!$E$7="Core",1,IF(Nonlabor!$E$7="AI",'Start Here'!$B$7,'Start Here'!$B$8))=1,C2715&gt;=IF(Nonlabor!$E$7="Core",Nonlabor!$F$7,MAX(Nonlabor!$F$7,IF(Nonlabor!$E$7="AI",Assumptions!$E$24,Assumptions!$E$25))),C2715&lt;=Nonlabor!$G$7,OR(Nonlabor!$H$7="Monthly",AND(Nonlabor!$H$7="Once",C2715=IF(Nonlabor!$E$7="Core",Nonlabor!$F$7,MAX(Nonlabor!$F$7,IF(Nonlabor!$E$7="AI",Assumptions!$E$24,Assumptions!$E$25)))),AND(Nonlabor!$H$7="Annual",MOD(C2715-IF(Nonlabor!$E$7="Core",Nonlabor!$F$7,MAX(Nonlabor!$F$7,IF(Nonlabor!$E$7="AI",Assumptions!$E$24,Assumptions!$E$25))),12)=0))),IF(Nonlabor!$I$7="Fixed",1,IF(Nonlabor!$I$7="Seats",ROUNDUP('Monthly Growth'!I15,0),IF(Nonlabor!$I$7="Customers",'Monthly Growth'!D15,IF(Nonlabor!$I$7="NewCustomers",'Monthly Growth'!C15,IF(Nonlabor!$I$7="StorageGB",'Monthly Growth'!G15,IF(Nonlabor!$I$7="LogGB",'Monthly Growth'!H15,IF(Nonlabor!$I$7="RequestsM",'Monthly Growth'!F15,IF(Nonlabor!$I$7="InputM",'Monthly Growth'!D15*Assumptions!$E$22/1000000,IF(Nonlabor!$I$7="OutputM",'Monthly Growth'!D15*Assumptions!$E$23/1000000,0))))))))),0)</f>
        <v>1</v>
      </c>
      <c r="F2715" s="10" t="n">
        <f aca="false">Nonlabor!$J$7*(1+Assumptions!$E$9)^INT((C2715-1)/12)</f>
        <v>600</v>
      </c>
      <c r="G2715" s="10" t="n">
        <f aca="false">E2715*F2715</f>
        <v>600</v>
      </c>
      <c r="H2715" s="10" t="n">
        <f aca="false">IF(OR(Nonlabor!$L$7="Quote required",Nonlabor!$L$7="Unverified"),G2715,0)</f>
        <v>600</v>
      </c>
      <c r="I2715" s="10" t="n">
        <f aca="false">IF(Nonlabor!$E$7="Core",0,G2715)</f>
        <v>0</v>
      </c>
      <c r="J2715" s="23" t="str">
        <f aca="false">Nonlabor!$B$7</f>
        <v>INFRA</v>
      </c>
    </row>
    <row r="2716" customFormat="false" ht="15" hidden="false" customHeight="false" outlineLevel="0" collapsed="false">
      <c r="A2716" s="6" t="s">
        <v>73</v>
      </c>
      <c r="B2716" s="6" t="s">
        <v>373</v>
      </c>
      <c r="C2716" s="6" t="n">
        <v>11</v>
      </c>
      <c r="D2716" s="25" t="n">
        <f aca="false">EDATE('Start Here'!$B$6,C2716-1)</f>
        <v>46631</v>
      </c>
      <c r="E2716" s="23" t="n">
        <f aca="false">IF(AND(OR(Nonlabor!$D$7="Both",Nonlabor!$D$7='Start Here'!$B$9),IF(Nonlabor!$E$7="Core",1,IF(Nonlabor!$E$7="AI",'Start Here'!$B$7,'Start Here'!$B$8))=1,C2716&gt;=IF(Nonlabor!$E$7="Core",Nonlabor!$F$7,MAX(Nonlabor!$F$7,IF(Nonlabor!$E$7="AI",Assumptions!$E$24,Assumptions!$E$25))),C2716&lt;=Nonlabor!$G$7,OR(Nonlabor!$H$7="Monthly",AND(Nonlabor!$H$7="Once",C2716=IF(Nonlabor!$E$7="Core",Nonlabor!$F$7,MAX(Nonlabor!$F$7,IF(Nonlabor!$E$7="AI",Assumptions!$E$24,Assumptions!$E$25)))),AND(Nonlabor!$H$7="Annual",MOD(C2716-IF(Nonlabor!$E$7="Core",Nonlabor!$F$7,MAX(Nonlabor!$F$7,IF(Nonlabor!$E$7="AI",Assumptions!$E$24,Assumptions!$E$25))),12)=0))),IF(Nonlabor!$I$7="Fixed",1,IF(Nonlabor!$I$7="Seats",ROUNDUP('Monthly Growth'!I16,0),IF(Nonlabor!$I$7="Customers",'Monthly Growth'!D16,IF(Nonlabor!$I$7="NewCustomers",'Monthly Growth'!C16,IF(Nonlabor!$I$7="StorageGB",'Monthly Growth'!G16,IF(Nonlabor!$I$7="LogGB",'Monthly Growth'!H16,IF(Nonlabor!$I$7="RequestsM",'Monthly Growth'!F16,IF(Nonlabor!$I$7="InputM",'Monthly Growth'!D16*Assumptions!$E$22/1000000,IF(Nonlabor!$I$7="OutputM",'Monthly Growth'!D16*Assumptions!$E$23/1000000,0))))))))),0)</f>
        <v>1</v>
      </c>
      <c r="F2716" s="10" t="n">
        <f aca="false">Nonlabor!$J$7*(1+Assumptions!$E$9)^INT((C2716-1)/12)</f>
        <v>600</v>
      </c>
      <c r="G2716" s="10" t="n">
        <f aca="false">E2716*F2716</f>
        <v>600</v>
      </c>
      <c r="H2716" s="10" t="n">
        <f aca="false">IF(OR(Nonlabor!$L$7="Quote required",Nonlabor!$L$7="Unverified"),G2716,0)</f>
        <v>600</v>
      </c>
      <c r="I2716" s="10" t="n">
        <f aca="false">IF(Nonlabor!$E$7="Core",0,G2716)</f>
        <v>0</v>
      </c>
      <c r="J2716" s="23" t="str">
        <f aca="false">Nonlabor!$B$7</f>
        <v>INFRA</v>
      </c>
    </row>
    <row r="2717" customFormat="false" ht="15" hidden="false" customHeight="false" outlineLevel="0" collapsed="false">
      <c r="A2717" s="6" t="s">
        <v>73</v>
      </c>
      <c r="B2717" s="6" t="s">
        <v>373</v>
      </c>
      <c r="C2717" s="6" t="n">
        <v>12</v>
      </c>
      <c r="D2717" s="25" t="n">
        <f aca="false">EDATE('Start Here'!$B$6,C2717-1)</f>
        <v>46661</v>
      </c>
      <c r="E2717" s="23" t="n">
        <f aca="false">IF(AND(OR(Nonlabor!$D$7="Both",Nonlabor!$D$7='Start Here'!$B$9),IF(Nonlabor!$E$7="Core",1,IF(Nonlabor!$E$7="AI",'Start Here'!$B$7,'Start Here'!$B$8))=1,C2717&gt;=IF(Nonlabor!$E$7="Core",Nonlabor!$F$7,MAX(Nonlabor!$F$7,IF(Nonlabor!$E$7="AI",Assumptions!$E$24,Assumptions!$E$25))),C2717&lt;=Nonlabor!$G$7,OR(Nonlabor!$H$7="Monthly",AND(Nonlabor!$H$7="Once",C2717=IF(Nonlabor!$E$7="Core",Nonlabor!$F$7,MAX(Nonlabor!$F$7,IF(Nonlabor!$E$7="AI",Assumptions!$E$24,Assumptions!$E$25)))),AND(Nonlabor!$H$7="Annual",MOD(C2717-IF(Nonlabor!$E$7="Core",Nonlabor!$F$7,MAX(Nonlabor!$F$7,IF(Nonlabor!$E$7="AI",Assumptions!$E$24,Assumptions!$E$25))),12)=0))),IF(Nonlabor!$I$7="Fixed",1,IF(Nonlabor!$I$7="Seats",ROUNDUP('Monthly Growth'!I17,0),IF(Nonlabor!$I$7="Customers",'Monthly Growth'!D17,IF(Nonlabor!$I$7="NewCustomers",'Monthly Growth'!C17,IF(Nonlabor!$I$7="StorageGB",'Monthly Growth'!G17,IF(Nonlabor!$I$7="LogGB",'Monthly Growth'!H17,IF(Nonlabor!$I$7="RequestsM",'Monthly Growth'!F17,IF(Nonlabor!$I$7="InputM",'Monthly Growth'!D17*Assumptions!$E$22/1000000,IF(Nonlabor!$I$7="OutputM",'Monthly Growth'!D17*Assumptions!$E$23/1000000,0))))))))),0)</f>
        <v>1</v>
      </c>
      <c r="F2717" s="10" t="n">
        <f aca="false">Nonlabor!$J$7*(1+Assumptions!$E$9)^INT((C2717-1)/12)</f>
        <v>600</v>
      </c>
      <c r="G2717" s="10" t="n">
        <f aca="false">E2717*F2717</f>
        <v>600</v>
      </c>
      <c r="H2717" s="10" t="n">
        <f aca="false">IF(OR(Nonlabor!$L$7="Quote required",Nonlabor!$L$7="Unverified"),G2717,0)</f>
        <v>600</v>
      </c>
      <c r="I2717" s="10" t="n">
        <f aca="false">IF(Nonlabor!$E$7="Core",0,G2717)</f>
        <v>0</v>
      </c>
      <c r="J2717" s="23" t="str">
        <f aca="false">Nonlabor!$B$7</f>
        <v>INFRA</v>
      </c>
    </row>
    <row r="2718" customFormat="false" ht="15" hidden="false" customHeight="false" outlineLevel="0" collapsed="false">
      <c r="A2718" s="6" t="s">
        <v>73</v>
      </c>
      <c r="B2718" s="6" t="s">
        <v>373</v>
      </c>
      <c r="C2718" s="6" t="n">
        <v>13</v>
      </c>
      <c r="D2718" s="25" t="n">
        <f aca="false">EDATE('Start Here'!$B$6,C2718-1)</f>
        <v>46692</v>
      </c>
      <c r="E2718" s="23" t="n">
        <f aca="false">IF(AND(OR(Nonlabor!$D$7="Both",Nonlabor!$D$7='Start Here'!$B$9),IF(Nonlabor!$E$7="Core",1,IF(Nonlabor!$E$7="AI",'Start Here'!$B$7,'Start Here'!$B$8))=1,C2718&gt;=IF(Nonlabor!$E$7="Core",Nonlabor!$F$7,MAX(Nonlabor!$F$7,IF(Nonlabor!$E$7="AI",Assumptions!$E$24,Assumptions!$E$25))),C2718&lt;=Nonlabor!$G$7,OR(Nonlabor!$H$7="Monthly",AND(Nonlabor!$H$7="Once",C2718=IF(Nonlabor!$E$7="Core",Nonlabor!$F$7,MAX(Nonlabor!$F$7,IF(Nonlabor!$E$7="AI",Assumptions!$E$24,Assumptions!$E$25)))),AND(Nonlabor!$H$7="Annual",MOD(C2718-IF(Nonlabor!$E$7="Core",Nonlabor!$F$7,MAX(Nonlabor!$F$7,IF(Nonlabor!$E$7="AI",Assumptions!$E$24,Assumptions!$E$25))),12)=0))),IF(Nonlabor!$I$7="Fixed",1,IF(Nonlabor!$I$7="Seats",ROUNDUP('Monthly Growth'!I18,0),IF(Nonlabor!$I$7="Customers",'Monthly Growth'!D18,IF(Nonlabor!$I$7="NewCustomers",'Monthly Growth'!C18,IF(Nonlabor!$I$7="StorageGB",'Monthly Growth'!G18,IF(Nonlabor!$I$7="LogGB",'Monthly Growth'!H18,IF(Nonlabor!$I$7="RequestsM",'Monthly Growth'!F18,IF(Nonlabor!$I$7="InputM",'Monthly Growth'!D18*Assumptions!$E$22/1000000,IF(Nonlabor!$I$7="OutputM",'Monthly Growth'!D18*Assumptions!$E$23/1000000,0))))))))),0)</f>
        <v>1</v>
      </c>
      <c r="F2718" s="10" t="n">
        <f aca="false">Nonlabor!$J$7*(1+Assumptions!$E$9)^INT((C2718-1)/12)</f>
        <v>624</v>
      </c>
      <c r="G2718" s="10" t="n">
        <f aca="false">E2718*F2718</f>
        <v>624</v>
      </c>
      <c r="H2718" s="10" t="n">
        <f aca="false">IF(OR(Nonlabor!$L$7="Quote required",Nonlabor!$L$7="Unverified"),G2718,0)</f>
        <v>624</v>
      </c>
      <c r="I2718" s="10" t="n">
        <f aca="false">IF(Nonlabor!$E$7="Core",0,G2718)</f>
        <v>0</v>
      </c>
      <c r="J2718" s="23" t="str">
        <f aca="false">Nonlabor!$B$7</f>
        <v>INFRA</v>
      </c>
    </row>
    <row r="2719" customFormat="false" ht="15" hidden="false" customHeight="false" outlineLevel="0" collapsed="false">
      <c r="A2719" s="6" t="s">
        <v>73</v>
      </c>
      <c r="B2719" s="6" t="s">
        <v>373</v>
      </c>
      <c r="C2719" s="6" t="n">
        <v>14</v>
      </c>
      <c r="D2719" s="25" t="n">
        <f aca="false">EDATE('Start Here'!$B$6,C2719-1)</f>
        <v>46722</v>
      </c>
      <c r="E2719" s="23" t="n">
        <f aca="false">IF(AND(OR(Nonlabor!$D$7="Both",Nonlabor!$D$7='Start Here'!$B$9),IF(Nonlabor!$E$7="Core",1,IF(Nonlabor!$E$7="AI",'Start Here'!$B$7,'Start Here'!$B$8))=1,C2719&gt;=IF(Nonlabor!$E$7="Core",Nonlabor!$F$7,MAX(Nonlabor!$F$7,IF(Nonlabor!$E$7="AI",Assumptions!$E$24,Assumptions!$E$25))),C2719&lt;=Nonlabor!$G$7,OR(Nonlabor!$H$7="Monthly",AND(Nonlabor!$H$7="Once",C2719=IF(Nonlabor!$E$7="Core",Nonlabor!$F$7,MAX(Nonlabor!$F$7,IF(Nonlabor!$E$7="AI",Assumptions!$E$24,Assumptions!$E$25)))),AND(Nonlabor!$H$7="Annual",MOD(C2719-IF(Nonlabor!$E$7="Core",Nonlabor!$F$7,MAX(Nonlabor!$F$7,IF(Nonlabor!$E$7="AI",Assumptions!$E$24,Assumptions!$E$25))),12)=0))),IF(Nonlabor!$I$7="Fixed",1,IF(Nonlabor!$I$7="Seats",ROUNDUP('Monthly Growth'!I19,0),IF(Nonlabor!$I$7="Customers",'Monthly Growth'!D19,IF(Nonlabor!$I$7="NewCustomers",'Monthly Growth'!C19,IF(Nonlabor!$I$7="StorageGB",'Monthly Growth'!G19,IF(Nonlabor!$I$7="LogGB",'Monthly Growth'!H19,IF(Nonlabor!$I$7="RequestsM",'Monthly Growth'!F19,IF(Nonlabor!$I$7="InputM",'Monthly Growth'!D19*Assumptions!$E$22/1000000,IF(Nonlabor!$I$7="OutputM",'Monthly Growth'!D19*Assumptions!$E$23/1000000,0))))))))),0)</f>
        <v>1</v>
      </c>
      <c r="F2719" s="10" t="n">
        <f aca="false">Nonlabor!$J$7*(1+Assumptions!$E$9)^INT((C2719-1)/12)</f>
        <v>624</v>
      </c>
      <c r="G2719" s="10" t="n">
        <f aca="false">E2719*F2719</f>
        <v>624</v>
      </c>
      <c r="H2719" s="10" t="n">
        <f aca="false">IF(OR(Nonlabor!$L$7="Quote required",Nonlabor!$L$7="Unverified"),G2719,0)</f>
        <v>624</v>
      </c>
      <c r="I2719" s="10" t="n">
        <f aca="false">IF(Nonlabor!$E$7="Core",0,G2719)</f>
        <v>0</v>
      </c>
      <c r="J2719" s="23" t="str">
        <f aca="false">Nonlabor!$B$7</f>
        <v>INFRA</v>
      </c>
    </row>
    <row r="2720" customFormat="false" ht="15" hidden="false" customHeight="false" outlineLevel="0" collapsed="false">
      <c r="A2720" s="6" t="s">
        <v>73</v>
      </c>
      <c r="B2720" s="6" t="s">
        <v>373</v>
      </c>
      <c r="C2720" s="6" t="n">
        <v>15</v>
      </c>
      <c r="D2720" s="25" t="n">
        <f aca="false">EDATE('Start Here'!$B$6,C2720-1)</f>
        <v>46753</v>
      </c>
      <c r="E2720" s="23" t="n">
        <f aca="false">IF(AND(OR(Nonlabor!$D$7="Both",Nonlabor!$D$7='Start Here'!$B$9),IF(Nonlabor!$E$7="Core",1,IF(Nonlabor!$E$7="AI",'Start Here'!$B$7,'Start Here'!$B$8))=1,C2720&gt;=IF(Nonlabor!$E$7="Core",Nonlabor!$F$7,MAX(Nonlabor!$F$7,IF(Nonlabor!$E$7="AI",Assumptions!$E$24,Assumptions!$E$25))),C2720&lt;=Nonlabor!$G$7,OR(Nonlabor!$H$7="Monthly",AND(Nonlabor!$H$7="Once",C2720=IF(Nonlabor!$E$7="Core",Nonlabor!$F$7,MAX(Nonlabor!$F$7,IF(Nonlabor!$E$7="AI",Assumptions!$E$24,Assumptions!$E$25)))),AND(Nonlabor!$H$7="Annual",MOD(C2720-IF(Nonlabor!$E$7="Core",Nonlabor!$F$7,MAX(Nonlabor!$F$7,IF(Nonlabor!$E$7="AI",Assumptions!$E$24,Assumptions!$E$25))),12)=0))),IF(Nonlabor!$I$7="Fixed",1,IF(Nonlabor!$I$7="Seats",ROUNDUP('Monthly Growth'!I20,0),IF(Nonlabor!$I$7="Customers",'Monthly Growth'!D20,IF(Nonlabor!$I$7="NewCustomers",'Monthly Growth'!C20,IF(Nonlabor!$I$7="StorageGB",'Monthly Growth'!G20,IF(Nonlabor!$I$7="LogGB",'Monthly Growth'!H20,IF(Nonlabor!$I$7="RequestsM",'Monthly Growth'!F20,IF(Nonlabor!$I$7="InputM",'Monthly Growth'!D20*Assumptions!$E$22/1000000,IF(Nonlabor!$I$7="OutputM",'Monthly Growth'!D20*Assumptions!$E$23/1000000,0))))))))),0)</f>
        <v>1</v>
      </c>
      <c r="F2720" s="10" t="n">
        <f aca="false">Nonlabor!$J$7*(1+Assumptions!$E$9)^INT((C2720-1)/12)</f>
        <v>624</v>
      </c>
      <c r="G2720" s="10" t="n">
        <f aca="false">E2720*F2720</f>
        <v>624</v>
      </c>
      <c r="H2720" s="10" t="n">
        <f aca="false">IF(OR(Nonlabor!$L$7="Quote required",Nonlabor!$L$7="Unverified"),G2720,0)</f>
        <v>624</v>
      </c>
      <c r="I2720" s="10" t="n">
        <f aca="false">IF(Nonlabor!$E$7="Core",0,G2720)</f>
        <v>0</v>
      </c>
      <c r="J2720" s="23" t="str">
        <f aca="false">Nonlabor!$B$7</f>
        <v>INFRA</v>
      </c>
    </row>
    <row r="2721" customFormat="false" ht="15" hidden="false" customHeight="false" outlineLevel="0" collapsed="false">
      <c r="A2721" s="6" t="s">
        <v>73</v>
      </c>
      <c r="B2721" s="6" t="s">
        <v>373</v>
      </c>
      <c r="C2721" s="6" t="n">
        <v>16</v>
      </c>
      <c r="D2721" s="25" t="n">
        <f aca="false">EDATE('Start Here'!$B$6,C2721-1)</f>
        <v>46784</v>
      </c>
      <c r="E2721" s="23" t="n">
        <f aca="false">IF(AND(OR(Nonlabor!$D$7="Both",Nonlabor!$D$7='Start Here'!$B$9),IF(Nonlabor!$E$7="Core",1,IF(Nonlabor!$E$7="AI",'Start Here'!$B$7,'Start Here'!$B$8))=1,C2721&gt;=IF(Nonlabor!$E$7="Core",Nonlabor!$F$7,MAX(Nonlabor!$F$7,IF(Nonlabor!$E$7="AI",Assumptions!$E$24,Assumptions!$E$25))),C2721&lt;=Nonlabor!$G$7,OR(Nonlabor!$H$7="Monthly",AND(Nonlabor!$H$7="Once",C2721=IF(Nonlabor!$E$7="Core",Nonlabor!$F$7,MAX(Nonlabor!$F$7,IF(Nonlabor!$E$7="AI",Assumptions!$E$24,Assumptions!$E$25)))),AND(Nonlabor!$H$7="Annual",MOD(C2721-IF(Nonlabor!$E$7="Core",Nonlabor!$F$7,MAX(Nonlabor!$F$7,IF(Nonlabor!$E$7="AI",Assumptions!$E$24,Assumptions!$E$25))),12)=0))),IF(Nonlabor!$I$7="Fixed",1,IF(Nonlabor!$I$7="Seats",ROUNDUP('Monthly Growth'!I21,0),IF(Nonlabor!$I$7="Customers",'Monthly Growth'!D21,IF(Nonlabor!$I$7="NewCustomers",'Monthly Growth'!C21,IF(Nonlabor!$I$7="StorageGB",'Monthly Growth'!G21,IF(Nonlabor!$I$7="LogGB",'Monthly Growth'!H21,IF(Nonlabor!$I$7="RequestsM",'Monthly Growth'!F21,IF(Nonlabor!$I$7="InputM",'Monthly Growth'!D21*Assumptions!$E$22/1000000,IF(Nonlabor!$I$7="OutputM",'Monthly Growth'!D21*Assumptions!$E$23/1000000,0))))))))),0)</f>
        <v>1</v>
      </c>
      <c r="F2721" s="10" t="n">
        <f aca="false">Nonlabor!$J$7*(1+Assumptions!$E$9)^INT((C2721-1)/12)</f>
        <v>624</v>
      </c>
      <c r="G2721" s="10" t="n">
        <f aca="false">E2721*F2721</f>
        <v>624</v>
      </c>
      <c r="H2721" s="10" t="n">
        <f aca="false">IF(OR(Nonlabor!$L$7="Quote required",Nonlabor!$L$7="Unverified"),G2721,0)</f>
        <v>624</v>
      </c>
      <c r="I2721" s="10" t="n">
        <f aca="false">IF(Nonlabor!$E$7="Core",0,G2721)</f>
        <v>0</v>
      </c>
      <c r="J2721" s="23" t="str">
        <f aca="false">Nonlabor!$B$7</f>
        <v>INFRA</v>
      </c>
    </row>
    <row r="2722" customFormat="false" ht="15" hidden="false" customHeight="false" outlineLevel="0" collapsed="false">
      <c r="A2722" s="6" t="s">
        <v>73</v>
      </c>
      <c r="B2722" s="6" t="s">
        <v>373</v>
      </c>
      <c r="C2722" s="6" t="n">
        <v>17</v>
      </c>
      <c r="D2722" s="25" t="n">
        <f aca="false">EDATE('Start Here'!$B$6,C2722-1)</f>
        <v>46813</v>
      </c>
      <c r="E2722" s="23" t="n">
        <f aca="false">IF(AND(OR(Nonlabor!$D$7="Both",Nonlabor!$D$7='Start Here'!$B$9),IF(Nonlabor!$E$7="Core",1,IF(Nonlabor!$E$7="AI",'Start Here'!$B$7,'Start Here'!$B$8))=1,C2722&gt;=IF(Nonlabor!$E$7="Core",Nonlabor!$F$7,MAX(Nonlabor!$F$7,IF(Nonlabor!$E$7="AI",Assumptions!$E$24,Assumptions!$E$25))),C2722&lt;=Nonlabor!$G$7,OR(Nonlabor!$H$7="Monthly",AND(Nonlabor!$H$7="Once",C2722=IF(Nonlabor!$E$7="Core",Nonlabor!$F$7,MAX(Nonlabor!$F$7,IF(Nonlabor!$E$7="AI",Assumptions!$E$24,Assumptions!$E$25)))),AND(Nonlabor!$H$7="Annual",MOD(C2722-IF(Nonlabor!$E$7="Core",Nonlabor!$F$7,MAX(Nonlabor!$F$7,IF(Nonlabor!$E$7="AI",Assumptions!$E$24,Assumptions!$E$25))),12)=0))),IF(Nonlabor!$I$7="Fixed",1,IF(Nonlabor!$I$7="Seats",ROUNDUP('Monthly Growth'!I22,0),IF(Nonlabor!$I$7="Customers",'Monthly Growth'!D22,IF(Nonlabor!$I$7="NewCustomers",'Monthly Growth'!C22,IF(Nonlabor!$I$7="StorageGB",'Monthly Growth'!G22,IF(Nonlabor!$I$7="LogGB",'Monthly Growth'!H22,IF(Nonlabor!$I$7="RequestsM",'Monthly Growth'!F22,IF(Nonlabor!$I$7="InputM",'Monthly Growth'!D22*Assumptions!$E$22/1000000,IF(Nonlabor!$I$7="OutputM",'Monthly Growth'!D22*Assumptions!$E$23/1000000,0))))))))),0)</f>
        <v>1</v>
      </c>
      <c r="F2722" s="10" t="n">
        <f aca="false">Nonlabor!$J$7*(1+Assumptions!$E$9)^INT((C2722-1)/12)</f>
        <v>624</v>
      </c>
      <c r="G2722" s="10" t="n">
        <f aca="false">E2722*F2722</f>
        <v>624</v>
      </c>
      <c r="H2722" s="10" t="n">
        <f aca="false">IF(OR(Nonlabor!$L$7="Quote required",Nonlabor!$L$7="Unverified"),G2722,0)</f>
        <v>624</v>
      </c>
      <c r="I2722" s="10" t="n">
        <f aca="false">IF(Nonlabor!$E$7="Core",0,G2722)</f>
        <v>0</v>
      </c>
      <c r="J2722" s="23" t="str">
        <f aca="false">Nonlabor!$B$7</f>
        <v>INFRA</v>
      </c>
    </row>
    <row r="2723" customFormat="false" ht="15" hidden="false" customHeight="false" outlineLevel="0" collapsed="false">
      <c r="A2723" s="6" t="s">
        <v>73</v>
      </c>
      <c r="B2723" s="6" t="s">
        <v>373</v>
      </c>
      <c r="C2723" s="6" t="n">
        <v>18</v>
      </c>
      <c r="D2723" s="25" t="n">
        <f aca="false">EDATE('Start Here'!$B$6,C2723-1)</f>
        <v>46844</v>
      </c>
      <c r="E2723" s="23" t="n">
        <f aca="false">IF(AND(OR(Nonlabor!$D$7="Both",Nonlabor!$D$7='Start Here'!$B$9),IF(Nonlabor!$E$7="Core",1,IF(Nonlabor!$E$7="AI",'Start Here'!$B$7,'Start Here'!$B$8))=1,C2723&gt;=IF(Nonlabor!$E$7="Core",Nonlabor!$F$7,MAX(Nonlabor!$F$7,IF(Nonlabor!$E$7="AI",Assumptions!$E$24,Assumptions!$E$25))),C2723&lt;=Nonlabor!$G$7,OR(Nonlabor!$H$7="Monthly",AND(Nonlabor!$H$7="Once",C2723=IF(Nonlabor!$E$7="Core",Nonlabor!$F$7,MAX(Nonlabor!$F$7,IF(Nonlabor!$E$7="AI",Assumptions!$E$24,Assumptions!$E$25)))),AND(Nonlabor!$H$7="Annual",MOD(C2723-IF(Nonlabor!$E$7="Core",Nonlabor!$F$7,MAX(Nonlabor!$F$7,IF(Nonlabor!$E$7="AI",Assumptions!$E$24,Assumptions!$E$25))),12)=0))),IF(Nonlabor!$I$7="Fixed",1,IF(Nonlabor!$I$7="Seats",ROUNDUP('Monthly Growth'!I23,0),IF(Nonlabor!$I$7="Customers",'Monthly Growth'!D23,IF(Nonlabor!$I$7="NewCustomers",'Monthly Growth'!C23,IF(Nonlabor!$I$7="StorageGB",'Monthly Growth'!G23,IF(Nonlabor!$I$7="LogGB",'Monthly Growth'!H23,IF(Nonlabor!$I$7="RequestsM",'Monthly Growth'!F23,IF(Nonlabor!$I$7="InputM",'Monthly Growth'!D23*Assumptions!$E$22/1000000,IF(Nonlabor!$I$7="OutputM",'Monthly Growth'!D23*Assumptions!$E$23/1000000,0))))))))),0)</f>
        <v>1</v>
      </c>
      <c r="F2723" s="10" t="n">
        <f aca="false">Nonlabor!$J$7*(1+Assumptions!$E$9)^INT((C2723-1)/12)</f>
        <v>624</v>
      </c>
      <c r="G2723" s="10" t="n">
        <f aca="false">E2723*F2723</f>
        <v>624</v>
      </c>
      <c r="H2723" s="10" t="n">
        <f aca="false">IF(OR(Nonlabor!$L$7="Quote required",Nonlabor!$L$7="Unverified"),G2723,0)</f>
        <v>624</v>
      </c>
      <c r="I2723" s="10" t="n">
        <f aca="false">IF(Nonlabor!$E$7="Core",0,G2723)</f>
        <v>0</v>
      </c>
      <c r="J2723" s="23" t="str">
        <f aca="false">Nonlabor!$B$7</f>
        <v>INFRA</v>
      </c>
    </row>
    <row r="2724" customFormat="false" ht="15" hidden="false" customHeight="false" outlineLevel="0" collapsed="false">
      <c r="A2724" s="6" t="s">
        <v>73</v>
      </c>
      <c r="B2724" s="6" t="s">
        <v>373</v>
      </c>
      <c r="C2724" s="6" t="n">
        <v>19</v>
      </c>
      <c r="D2724" s="25" t="n">
        <f aca="false">EDATE('Start Here'!$B$6,C2724-1)</f>
        <v>46874</v>
      </c>
      <c r="E2724" s="23" t="n">
        <f aca="false">IF(AND(OR(Nonlabor!$D$7="Both",Nonlabor!$D$7='Start Here'!$B$9),IF(Nonlabor!$E$7="Core",1,IF(Nonlabor!$E$7="AI",'Start Here'!$B$7,'Start Here'!$B$8))=1,C2724&gt;=IF(Nonlabor!$E$7="Core",Nonlabor!$F$7,MAX(Nonlabor!$F$7,IF(Nonlabor!$E$7="AI",Assumptions!$E$24,Assumptions!$E$25))),C2724&lt;=Nonlabor!$G$7,OR(Nonlabor!$H$7="Monthly",AND(Nonlabor!$H$7="Once",C2724=IF(Nonlabor!$E$7="Core",Nonlabor!$F$7,MAX(Nonlabor!$F$7,IF(Nonlabor!$E$7="AI",Assumptions!$E$24,Assumptions!$E$25)))),AND(Nonlabor!$H$7="Annual",MOD(C2724-IF(Nonlabor!$E$7="Core",Nonlabor!$F$7,MAX(Nonlabor!$F$7,IF(Nonlabor!$E$7="AI",Assumptions!$E$24,Assumptions!$E$25))),12)=0))),IF(Nonlabor!$I$7="Fixed",1,IF(Nonlabor!$I$7="Seats",ROUNDUP('Monthly Growth'!I24,0),IF(Nonlabor!$I$7="Customers",'Monthly Growth'!D24,IF(Nonlabor!$I$7="NewCustomers",'Monthly Growth'!C24,IF(Nonlabor!$I$7="StorageGB",'Monthly Growth'!G24,IF(Nonlabor!$I$7="LogGB",'Monthly Growth'!H24,IF(Nonlabor!$I$7="RequestsM",'Monthly Growth'!F24,IF(Nonlabor!$I$7="InputM",'Monthly Growth'!D24*Assumptions!$E$22/1000000,IF(Nonlabor!$I$7="OutputM",'Monthly Growth'!D24*Assumptions!$E$23/1000000,0))))))))),0)</f>
        <v>1</v>
      </c>
      <c r="F2724" s="10" t="n">
        <f aca="false">Nonlabor!$J$7*(1+Assumptions!$E$9)^INT((C2724-1)/12)</f>
        <v>624</v>
      </c>
      <c r="G2724" s="10" t="n">
        <f aca="false">E2724*F2724</f>
        <v>624</v>
      </c>
      <c r="H2724" s="10" t="n">
        <f aca="false">IF(OR(Nonlabor!$L$7="Quote required",Nonlabor!$L$7="Unverified"),G2724,0)</f>
        <v>624</v>
      </c>
      <c r="I2724" s="10" t="n">
        <f aca="false">IF(Nonlabor!$E$7="Core",0,G2724)</f>
        <v>0</v>
      </c>
      <c r="J2724" s="23" t="str">
        <f aca="false">Nonlabor!$B$7</f>
        <v>INFRA</v>
      </c>
    </row>
    <row r="2725" customFormat="false" ht="15" hidden="false" customHeight="false" outlineLevel="0" collapsed="false">
      <c r="A2725" s="6" t="s">
        <v>73</v>
      </c>
      <c r="B2725" s="6" t="s">
        <v>373</v>
      </c>
      <c r="C2725" s="6" t="n">
        <v>20</v>
      </c>
      <c r="D2725" s="25" t="n">
        <f aca="false">EDATE('Start Here'!$B$6,C2725-1)</f>
        <v>46905</v>
      </c>
      <c r="E2725" s="23" t="n">
        <f aca="false">IF(AND(OR(Nonlabor!$D$7="Both",Nonlabor!$D$7='Start Here'!$B$9),IF(Nonlabor!$E$7="Core",1,IF(Nonlabor!$E$7="AI",'Start Here'!$B$7,'Start Here'!$B$8))=1,C2725&gt;=IF(Nonlabor!$E$7="Core",Nonlabor!$F$7,MAX(Nonlabor!$F$7,IF(Nonlabor!$E$7="AI",Assumptions!$E$24,Assumptions!$E$25))),C2725&lt;=Nonlabor!$G$7,OR(Nonlabor!$H$7="Monthly",AND(Nonlabor!$H$7="Once",C2725=IF(Nonlabor!$E$7="Core",Nonlabor!$F$7,MAX(Nonlabor!$F$7,IF(Nonlabor!$E$7="AI",Assumptions!$E$24,Assumptions!$E$25)))),AND(Nonlabor!$H$7="Annual",MOD(C2725-IF(Nonlabor!$E$7="Core",Nonlabor!$F$7,MAX(Nonlabor!$F$7,IF(Nonlabor!$E$7="AI",Assumptions!$E$24,Assumptions!$E$25))),12)=0))),IF(Nonlabor!$I$7="Fixed",1,IF(Nonlabor!$I$7="Seats",ROUNDUP('Monthly Growth'!I25,0),IF(Nonlabor!$I$7="Customers",'Monthly Growth'!D25,IF(Nonlabor!$I$7="NewCustomers",'Monthly Growth'!C25,IF(Nonlabor!$I$7="StorageGB",'Monthly Growth'!G25,IF(Nonlabor!$I$7="LogGB",'Monthly Growth'!H25,IF(Nonlabor!$I$7="RequestsM",'Monthly Growth'!F25,IF(Nonlabor!$I$7="InputM",'Monthly Growth'!D25*Assumptions!$E$22/1000000,IF(Nonlabor!$I$7="OutputM",'Monthly Growth'!D25*Assumptions!$E$23/1000000,0))))))))),0)</f>
        <v>1</v>
      </c>
      <c r="F2725" s="10" t="n">
        <f aca="false">Nonlabor!$J$7*(1+Assumptions!$E$9)^INT((C2725-1)/12)</f>
        <v>624</v>
      </c>
      <c r="G2725" s="10" t="n">
        <f aca="false">E2725*F2725</f>
        <v>624</v>
      </c>
      <c r="H2725" s="10" t="n">
        <f aca="false">IF(OR(Nonlabor!$L$7="Quote required",Nonlabor!$L$7="Unverified"),G2725,0)</f>
        <v>624</v>
      </c>
      <c r="I2725" s="10" t="n">
        <f aca="false">IF(Nonlabor!$E$7="Core",0,G2725)</f>
        <v>0</v>
      </c>
      <c r="J2725" s="23" t="str">
        <f aca="false">Nonlabor!$B$7</f>
        <v>INFRA</v>
      </c>
    </row>
    <row r="2726" customFormat="false" ht="15" hidden="false" customHeight="false" outlineLevel="0" collapsed="false">
      <c r="A2726" s="6" t="s">
        <v>73</v>
      </c>
      <c r="B2726" s="6" t="s">
        <v>373</v>
      </c>
      <c r="C2726" s="6" t="n">
        <v>21</v>
      </c>
      <c r="D2726" s="25" t="n">
        <f aca="false">EDATE('Start Here'!$B$6,C2726-1)</f>
        <v>46935</v>
      </c>
      <c r="E2726" s="23" t="n">
        <f aca="false">IF(AND(OR(Nonlabor!$D$7="Both",Nonlabor!$D$7='Start Here'!$B$9),IF(Nonlabor!$E$7="Core",1,IF(Nonlabor!$E$7="AI",'Start Here'!$B$7,'Start Here'!$B$8))=1,C2726&gt;=IF(Nonlabor!$E$7="Core",Nonlabor!$F$7,MAX(Nonlabor!$F$7,IF(Nonlabor!$E$7="AI",Assumptions!$E$24,Assumptions!$E$25))),C2726&lt;=Nonlabor!$G$7,OR(Nonlabor!$H$7="Monthly",AND(Nonlabor!$H$7="Once",C2726=IF(Nonlabor!$E$7="Core",Nonlabor!$F$7,MAX(Nonlabor!$F$7,IF(Nonlabor!$E$7="AI",Assumptions!$E$24,Assumptions!$E$25)))),AND(Nonlabor!$H$7="Annual",MOD(C2726-IF(Nonlabor!$E$7="Core",Nonlabor!$F$7,MAX(Nonlabor!$F$7,IF(Nonlabor!$E$7="AI",Assumptions!$E$24,Assumptions!$E$25))),12)=0))),IF(Nonlabor!$I$7="Fixed",1,IF(Nonlabor!$I$7="Seats",ROUNDUP('Monthly Growth'!I26,0),IF(Nonlabor!$I$7="Customers",'Monthly Growth'!D26,IF(Nonlabor!$I$7="NewCustomers",'Monthly Growth'!C26,IF(Nonlabor!$I$7="StorageGB",'Monthly Growth'!G26,IF(Nonlabor!$I$7="LogGB",'Monthly Growth'!H26,IF(Nonlabor!$I$7="RequestsM",'Monthly Growth'!F26,IF(Nonlabor!$I$7="InputM",'Monthly Growth'!D26*Assumptions!$E$22/1000000,IF(Nonlabor!$I$7="OutputM",'Monthly Growth'!D26*Assumptions!$E$23/1000000,0))))))))),0)</f>
        <v>1</v>
      </c>
      <c r="F2726" s="10" t="n">
        <f aca="false">Nonlabor!$J$7*(1+Assumptions!$E$9)^INT((C2726-1)/12)</f>
        <v>624</v>
      </c>
      <c r="G2726" s="10" t="n">
        <f aca="false">E2726*F2726</f>
        <v>624</v>
      </c>
      <c r="H2726" s="10" t="n">
        <f aca="false">IF(OR(Nonlabor!$L$7="Quote required",Nonlabor!$L$7="Unverified"),G2726,0)</f>
        <v>624</v>
      </c>
      <c r="I2726" s="10" t="n">
        <f aca="false">IF(Nonlabor!$E$7="Core",0,G2726)</f>
        <v>0</v>
      </c>
      <c r="J2726" s="23" t="str">
        <f aca="false">Nonlabor!$B$7</f>
        <v>INFRA</v>
      </c>
    </row>
    <row r="2727" customFormat="false" ht="15" hidden="false" customHeight="false" outlineLevel="0" collapsed="false">
      <c r="A2727" s="6" t="s">
        <v>73</v>
      </c>
      <c r="B2727" s="6" t="s">
        <v>373</v>
      </c>
      <c r="C2727" s="6" t="n">
        <v>22</v>
      </c>
      <c r="D2727" s="25" t="n">
        <f aca="false">EDATE('Start Here'!$B$6,C2727-1)</f>
        <v>46966</v>
      </c>
      <c r="E2727" s="23" t="n">
        <f aca="false">IF(AND(OR(Nonlabor!$D$7="Both",Nonlabor!$D$7='Start Here'!$B$9),IF(Nonlabor!$E$7="Core",1,IF(Nonlabor!$E$7="AI",'Start Here'!$B$7,'Start Here'!$B$8))=1,C2727&gt;=IF(Nonlabor!$E$7="Core",Nonlabor!$F$7,MAX(Nonlabor!$F$7,IF(Nonlabor!$E$7="AI",Assumptions!$E$24,Assumptions!$E$25))),C2727&lt;=Nonlabor!$G$7,OR(Nonlabor!$H$7="Monthly",AND(Nonlabor!$H$7="Once",C2727=IF(Nonlabor!$E$7="Core",Nonlabor!$F$7,MAX(Nonlabor!$F$7,IF(Nonlabor!$E$7="AI",Assumptions!$E$24,Assumptions!$E$25)))),AND(Nonlabor!$H$7="Annual",MOD(C2727-IF(Nonlabor!$E$7="Core",Nonlabor!$F$7,MAX(Nonlabor!$F$7,IF(Nonlabor!$E$7="AI",Assumptions!$E$24,Assumptions!$E$25))),12)=0))),IF(Nonlabor!$I$7="Fixed",1,IF(Nonlabor!$I$7="Seats",ROUNDUP('Monthly Growth'!I27,0),IF(Nonlabor!$I$7="Customers",'Monthly Growth'!D27,IF(Nonlabor!$I$7="NewCustomers",'Monthly Growth'!C27,IF(Nonlabor!$I$7="StorageGB",'Monthly Growth'!G27,IF(Nonlabor!$I$7="LogGB",'Monthly Growth'!H27,IF(Nonlabor!$I$7="RequestsM",'Monthly Growth'!F27,IF(Nonlabor!$I$7="InputM",'Monthly Growth'!D27*Assumptions!$E$22/1000000,IF(Nonlabor!$I$7="OutputM",'Monthly Growth'!D27*Assumptions!$E$23/1000000,0))))))))),0)</f>
        <v>1</v>
      </c>
      <c r="F2727" s="10" t="n">
        <f aca="false">Nonlabor!$J$7*(1+Assumptions!$E$9)^INT((C2727-1)/12)</f>
        <v>624</v>
      </c>
      <c r="G2727" s="10" t="n">
        <f aca="false">E2727*F2727</f>
        <v>624</v>
      </c>
      <c r="H2727" s="10" t="n">
        <f aca="false">IF(OR(Nonlabor!$L$7="Quote required",Nonlabor!$L$7="Unverified"),G2727,0)</f>
        <v>624</v>
      </c>
      <c r="I2727" s="10" t="n">
        <f aca="false">IF(Nonlabor!$E$7="Core",0,G2727)</f>
        <v>0</v>
      </c>
      <c r="J2727" s="23" t="str">
        <f aca="false">Nonlabor!$B$7</f>
        <v>INFRA</v>
      </c>
    </row>
    <row r="2728" customFormat="false" ht="15" hidden="false" customHeight="false" outlineLevel="0" collapsed="false">
      <c r="A2728" s="6" t="s">
        <v>73</v>
      </c>
      <c r="B2728" s="6" t="s">
        <v>373</v>
      </c>
      <c r="C2728" s="6" t="n">
        <v>23</v>
      </c>
      <c r="D2728" s="25" t="n">
        <f aca="false">EDATE('Start Here'!$B$6,C2728-1)</f>
        <v>46997</v>
      </c>
      <c r="E2728" s="23" t="n">
        <f aca="false">IF(AND(OR(Nonlabor!$D$7="Both",Nonlabor!$D$7='Start Here'!$B$9),IF(Nonlabor!$E$7="Core",1,IF(Nonlabor!$E$7="AI",'Start Here'!$B$7,'Start Here'!$B$8))=1,C2728&gt;=IF(Nonlabor!$E$7="Core",Nonlabor!$F$7,MAX(Nonlabor!$F$7,IF(Nonlabor!$E$7="AI",Assumptions!$E$24,Assumptions!$E$25))),C2728&lt;=Nonlabor!$G$7,OR(Nonlabor!$H$7="Monthly",AND(Nonlabor!$H$7="Once",C2728=IF(Nonlabor!$E$7="Core",Nonlabor!$F$7,MAX(Nonlabor!$F$7,IF(Nonlabor!$E$7="AI",Assumptions!$E$24,Assumptions!$E$25)))),AND(Nonlabor!$H$7="Annual",MOD(C2728-IF(Nonlabor!$E$7="Core",Nonlabor!$F$7,MAX(Nonlabor!$F$7,IF(Nonlabor!$E$7="AI",Assumptions!$E$24,Assumptions!$E$25))),12)=0))),IF(Nonlabor!$I$7="Fixed",1,IF(Nonlabor!$I$7="Seats",ROUNDUP('Monthly Growth'!I28,0),IF(Nonlabor!$I$7="Customers",'Monthly Growth'!D28,IF(Nonlabor!$I$7="NewCustomers",'Monthly Growth'!C28,IF(Nonlabor!$I$7="StorageGB",'Monthly Growth'!G28,IF(Nonlabor!$I$7="LogGB",'Monthly Growth'!H28,IF(Nonlabor!$I$7="RequestsM",'Monthly Growth'!F28,IF(Nonlabor!$I$7="InputM",'Monthly Growth'!D28*Assumptions!$E$22/1000000,IF(Nonlabor!$I$7="OutputM",'Monthly Growth'!D28*Assumptions!$E$23/1000000,0))))))))),0)</f>
        <v>1</v>
      </c>
      <c r="F2728" s="10" t="n">
        <f aca="false">Nonlabor!$J$7*(1+Assumptions!$E$9)^INT((C2728-1)/12)</f>
        <v>624</v>
      </c>
      <c r="G2728" s="10" t="n">
        <f aca="false">E2728*F2728</f>
        <v>624</v>
      </c>
      <c r="H2728" s="10" t="n">
        <f aca="false">IF(OR(Nonlabor!$L$7="Quote required",Nonlabor!$L$7="Unverified"),G2728,0)</f>
        <v>624</v>
      </c>
      <c r="I2728" s="10" t="n">
        <f aca="false">IF(Nonlabor!$E$7="Core",0,G2728)</f>
        <v>0</v>
      </c>
      <c r="J2728" s="23" t="str">
        <f aca="false">Nonlabor!$B$7</f>
        <v>INFRA</v>
      </c>
    </row>
    <row r="2729" customFormat="false" ht="15" hidden="false" customHeight="false" outlineLevel="0" collapsed="false">
      <c r="A2729" s="6" t="s">
        <v>73</v>
      </c>
      <c r="B2729" s="6" t="s">
        <v>373</v>
      </c>
      <c r="C2729" s="6" t="n">
        <v>24</v>
      </c>
      <c r="D2729" s="25" t="n">
        <f aca="false">EDATE('Start Here'!$B$6,C2729-1)</f>
        <v>47027</v>
      </c>
      <c r="E2729" s="23" t="n">
        <f aca="false">IF(AND(OR(Nonlabor!$D$7="Both",Nonlabor!$D$7='Start Here'!$B$9),IF(Nonlabor!$E$7="Core",1,IF(Nonlabor!$E$7="AI",'Start Here'!$B$7,'Start Here'!$B$8))=1,C2729&gt;=IF(Nonlabor!$E$7="Core",Nonlabor!$F$7,MAX(Nonlabor!$F$7,IF(Nonlabor!$E$7="AI",Assumptions!$E$24,Assumptions!$E$25))),C2729&lt;=Nonlabor!$G$7,OR(Nonlabor!$H$7="Monthly",AND(Nonlabor!$H$7="Once",C2729=IF(Nonlabor!$E$7="Core",Nonlabor!$F$7,MAX(Nonlabor!$F$7,IF(Nonlabor!$E$7="AI",Assumptions!$E$24,Assumptions!$E$25)))),AND(Nonlabor!$H$7="Annual",MOD(C2729-IF(Nonlabor!$E$7="Core",Nonlabor!$F$7,MAX(Nonlabor!$F$7,IF(Nonlabor!$E$7="AI",Assumptions!$E$24,Assumptions!$E$25))),12)=0))),IF(Nonlabor!$I$7="Fixed",1,IF(Nonlabor!$I$7="Seats",ROUNDUP('Monthly Growth'!I29,0),IF(Nonlabor!$I$7="Customers",'Monthly Growth'!D29,IF(Nonlabor!$I$7="NewCustomers",'Monthly Growth'!C29,IF(Nonlabor!$I$7="StorageGB",'Monthly Growth'!G29,IF(Nonlabor!$I$7="LogGB",'Monthly Growth'!H29,IF(Nonlabor!$I$7="RequestsM",'Monthly Growth'!F29,IF(Nonlabor!$I$7="InputM",'Monthly Growth'!D29*Assumptions!$E$22/1000000,IF(Nonlabor!$I$7="OutputM",'Monthly Growth'!D29*Assumptions!$E$23/1000000,0))))))))),0)</f>
        <v>1</v>
      </c>
      <c r="F2729" s="10" t="n">
        <f aca="false">Nonlabor!$J$7*(1+Assumptions!$E$9)^INT((C2729-1)/12)</f>
        <v>624</v>
      </c>
      <c r="G2729" s="10" t="n">
        <f aca="false">E2729*F2729</f>
        <v>624</v>
      </c>
      <c r="H2729" s="10" t="n">
        <f aca="false">IF(OR(Nonlabor!$L$7="Quote required",Nonlabor!$L$7="Unverified"),G2729,0)</f>
        <v>624</v>
      </c>
      <c r="I2729" s="10" t="n">
        <f aca="false">IF(Nonlabor!$E$7="Core",0,G2729)</f>
        <v>0</v>
      </c>
      <c r="J2729" s="23" t="str">
        <f aca="false">Nonlabor!$B$7</f>
        <v>INFRA</v>
      </c>
    </row>
    <row r="2730" customFormat="false" ht="15" hidden="false" customHeight="false" outlineLevel="0" collapsed="false">
      <c r="A2730" s="6" t="s">
        <v>73</v>
      </c>
      <c r="B2730" s="6" t="s">
        <v>373</v>
      </c>
      <c r="C2730" s="6" t="n">
        <v>25</v>
      </c>
      <c r="D2730" s="25" t="n">
        <f aca="false">EDATE('Start Here'!$B$6,C2730-1)</f>
        <v>47058</v>
      </c>
      <c r="E2730" s="23" t="n">
        <f aca="false">IF(AND(OR(Nonlabor!$D$7="Both",Nonlabor!$D$7='Start Here'!$B$9),IF(Nonlabor!$E$7="Core",1,IF(Nonlabor!$E$7="AI",'Start Here'!$B$7,'Start Here'!$B$8))=1,C2730&gt;=IF(Nonlabor!$E$7="Core",Nonlabor!$F$7,MAX(Nonlabor!$F$7,IF(Nonlabor!$E$7="AI",Assumptions!$E$24,Assumptions!$E$25))),C2730&lt;=Nonlabor!$G$7,OR(Nonlabor!$H$7="Monthly",AND(Nonlabor!$H$7="Once",C2730=IF(Nonlabor!$E$7="Core",Nonlabor!$F$7,MAX(Nonlabor!$F$7,IF(Nonlabor!$E$7="AI",Assumptions!$E$24,Assumptions!$E$25)))),AND(Nonlabor!$H$7="Annual",MOD(C2730-IF(Nonlabor!$E$7="Core",Nonlabor!$F$7,MAX(Nonlabor!$F$7,IF(Nonlabor!$E$7="AI",Assumptions!$E$24,Assumptions!$E$25))),12)=0))),IF(Nonlabor!$I$7="Fixed",1,IF(Nonlabor!$I$7="Seats",ROUNDUP('Monthly Growth'!I30,0),IF(Nonlabor!$I$7="Customers",'Monthly Growth'!D30,IF(Nonlabor!$I$7="NewCustomers",'Monthly Growth'!C30,IF(Nonlabor!$I$7="StorageGB",'Monthly Growth'!G30,IF(Nonlabor!$I$7="LogGB",'Monthly Growth'!H30,IF(Nonlabor!$I$7="RequestsM",'Monthly Growth'!F30,IF(Nonlabor!$I$7="InputM",'Monthly Growth'!D30*Assumptions!$E$22/1000000,IF(Nonlabor!$I$7="OutputM",'Monthly Growth'!D30*Assumptions!$E$23/1000000,0))))))))),0)</f>
        <v>1</v>
      </c>
      <c r="F2730" s="10" t="n">
        <f aca="false">Nonlabor!$J$7*(1+Assumptions!$E$9)^INT((C2730-1)/12)</f>
        <v>648.96</v>
      </c>
      <c r="G2730" s="10" t="n">
        <f aca="false">E2730*F2730</f>
        <v>648.96</v>
      </c>
      <c r="H2730" s="10" t="n">
        <f aca="false">IF(OR(Nonlabor!$L$7="Quote required",Nonlabor!$L$7="Unverified"),G2730,0)</f>
        <v>648.96</v>
      </c>
      <c r="I2730" s="10" t="n">
        <f aca="false">IF(Nonlabor!$E$7="Core",0,G2730)</f>
        <v>0</v>
      </c>
      <c r="J2730" s="23" t="str">
        <f aca="false">Nonlabor!$B$7</f>
        <v>INFRA</v>
      </c>
    </row>
    <row r="2731" customFormat="false" ht="15" hidden="false" customHeight="false" outlineLevel="0" collapsed="false">
      <c r="A2731" s="6" t="s">
        <v>73</v>
      </c>
      <c r="B2731" s="6" t="s">
        <v>373</v>
      </c>
      <c r="C2731" s="6" t="n">
        <v>26</v>
      </c>
      <c r="D2731" s="25" t="n">
        <f aca="false">EDATE('Start Here'!$B$6,C2731-1)</f>
        <v>47088</v>
      </c>
      <c r="E2731" s="23" t="n">
        <f aca="false">IF(AND(OR(Nonlabor!$D$7="Both",Nonlabor!$D$7='Start Here'!$B$9),IF(Nonlabor!$E$7="Core",1,IF(Nonlabor!$E$7="AI",'Start Here'!$B$7,'Start Here'!$B$8))=1,C2731&gt;=IF(Nonlabor!$E$7="Core",Nonlabor!$F$7,MAX(Nonlabor!$F$7,IF(Nonlabor!$E$7="AI",Assumptions!$E$24,Assumptions!$E$25))),C2731&lt;=Nonlabor!$G$7,OR(Nonlabor!$H$7="Monthly",AND(Nonlabor!$H$7="Once",C2731=IF(Nonlabor!$E$7="Core",Nonlabor!$F$7,MAX(Nonlabor!$F$7,IF(Nonlabor!$E$7="AI",Assumptions!$E$24,Assumptions!$E$25)))),AND(Nonlabor!$H$7="Annual",MOD(C2731-IF(Nonlabor!$E$7="Core",Nonlabor!$F$7,MAX(Nonlabor!$F$7,IF(Nonlabor!$E$7="AI",Assumptions!$E$24,Assumptions!$E$25))),12)=0))),IF(Nonlabor!$I$7="Fixed",1,IF(Nonlabor!$I$7="Seats",ROUNDUP('Monthly Growth'!I31,0),IF(Nonlabor!$I$7="Customers",'Monthly Growth'!D31,IF(Nonlabor!$I$7="NewCustomers",'Monthly Growth'!C31,IF(Nonlabor!$I$7="StorageGB",'Monthly Growth'!G31,IF(Nonlabor!$I$7="LogGB",'Monthly Growth'!H31,IF(Nonlabor!$I$7="RequestsM",'Monthly Growth'!F31,IF(Nonlabor!$I$7="InputM",'Monthly Growth'!D31*Assumptions!$E$22/1000000,IF(Nonlabor!$I$7="OutputM",'Monthly Growth'!D31*Assumptions!$E$23/1000000,0))))))))),0)</f>
        <v>1</v>
      </c>
      <c r="F2731" s="10" t="n">
        <f aca="false">Nonlabor!$J$7*(1+Assumptions!$E$9)^INT((C2731-1)/12)</f>
        <v>648.96</v>
      </c>
      <c r="G2731" s="10" t="n">
        <f aca="false">E2731*F2731</f>
        <v>648.96</v>
      </c>
      <c r="H2731" s="10" t="n">
        <f aca="false">IF(OR(Nonlabor!$L$7="Quote required",Nonlabor!$L$7="Unverified"),G2731,0)</f>
        <v>648.96</v>
      </c>
      <c r="I2731" s="10" t="n">
        <f aca="false">IF(Nonlabor!$E$7="Core",0,G2731)</f>
        <v>0</v>
      </c>
      <c r="J2731" s="23" t="str">
        <f aca="false">Nonlabor!$B$7</f>
        <v>INFRA</v>
      </c>
    </row>
    <row r="2732" customFormat="false" ht="15" hidden="false" customHeight="false" outlineLevel="0" collapsed="false">
      <c r="A2732" s="6" t="s">
        <v>73</v>
      </c>
      <c r="B2732" s="6" t="s">
        <v>373</v>
      </c>
      <c r="C2732" s="6" t="n">
        <v>27</v>
      </c>
      <c r="D2732" s="25" t="n">
        <f aca="false">EDATE('Start Here'!$B$6,C2732-1)</f>
        <v>47119</v>
      </c>
      <c r="E2732" s="23" t="n">
        <f aca="false">IF(AND(OR(Nonlabor!$D$7="Both",Nonlabor!$D$7='Start Here'!$B$9),IF(Nonlabor!$E$7="Core",1,IF(Nonlabor!$E$7="AI",'Start Here'!$B$7,'Start Here'!$B$8))=1,C2732&gt;=IF(Nonlabor!$E$7="Core",Nonlabor!$F$7,MAX(Nonlabor!$F$7,IF(Nonlabor!$E$7="AI",Assumptions!$E$24,Assumptions!$E$25))),C2732&lt;=Nonlabor!$G$7,OR(Nonlabor!$H$7="Monthly",AND(Nonlabor!$H$7="Once",C2732=IF(Nonlabor!$E$7="Core",Nonlabor!$F$7,MAX(Nonlabor!$F$7,IF(Nonlabor!$E$7="AI",Assumptions!$E$24,Assumptions!$E$25)))),AND(Nonlabor!$H$7="Annual",MOD(C2732-IF(Nonlabor!$E$7="Core",Nonlabor!$F$7,MAX(Nonlabor!$F$7,IF(Nonlabor!$E$7="AI",Assumptions!$E$24,Assumptions!$E$25))),12)=0))),IF(Nonlabor!$I$7="Fixed",1,IF(Nonlabor!$I$7="Seats",ROUNDUP('Monthly Growth'!I32,0),IF(Nonlabor!$I$7="Customers",'Monthly Growth'!D32,IF(Nonlabor!$I$7="NewCustomers",'Monthly Growth'!C32,IF(Nonlabor!$I$7="StorageGB",'Monthly Growth'!G32,IF(Nonlabor!$I$7="LogGB",'Monthly Growth'!H32,IF(Nonlabor!$I$7="RequestsM",'Monthly Growth'!F32,IF(Nonlabor!$I$7="InputM",'Monthly Growth'!D32*Assumptions!$E$22/1000000,IF(Nonlabor!$I$7="OutputM",'Monthly Growth'!D32*Assumptions!$E$23/1000000,0))))))))),0)</f>
        <v>1</v>
      </c>
      <c r="F2732" s="10" t="n">
        <f aca="false">Nonlabor!$J$7*(1+Assumptions!$E$9)^INT((C2732-1)/12)</f>
        <v>648.96</v>
      </c>
      <c r="G2732" s="10" t="n">
        <f aca="false">E2732*F2732</f>
        <v>648.96</v>
      </c>
      <c r="H2732" s="10" t="n">
        <f aca="false">IF(OR(Nonlabor!$L$7="Quote required",Nonlabor!$L$7="Unverified"),G2732,0)</f>
        <v>648.96</v>
      </c>
      <c r="I2732" s="10" t="n">
        <f aca="false">IF(Nonlabor!$E$7="Core",0,G2732)</f>
        <v>0</v>
      </c>
      <c r="J2732" s="23" t="str">
        <f aca="false">Nonlabor!$B$7</f>
        <v>INFRA</v>
      </c>
    </row>
    <row r="2733" customFormat="false" ht="15" hidden="false" customHeight="false" outlineLevel="0" collapsed="false">
      <c r="A2733" s="6" t="s">
        <v>73</v>
      </c>
      <c r="B2733" s="6" t="s">
        <v>373</v>
      </c>
      <c r="C2733" s="6" t="n">
        <v>28</v>
      </c>
      <c r="D2733" s="25" t="n">
        <f aca="false">EDATE('Start Here'!$B$6,C2733-1)</f>
        <v>47150</v>
      </c>
      <c r="E2733" s="23" t="n">
        <f aca="false">IF(AND(OR(Nonlabor!$D$7="Both",Nonlabor!$D$7='Start Here'!$B$9),IF(Nonlabor!$E$7="Core",1,IF(Nonlabor!$E$7="AI",'Start Here'!$B$7,'Start Here'!$B$8))=1,C2733&gt;=IF(Nonlabor!$E$7="Core",Nonlabor!$F$7,MAX(Nonlabor!$F$7,IF(Nonlabor!$E$7="AI",Assumptions!$E$24,Assumptions!$E$25))),C2733&lt;=Nonlabor!$G$7,OR(Nonlabor!$H$7="Monthly",AND(Nonlabor!$H$7="Once",C2733=IF(Nonlabor!$E$7="Core",Nonlabor!$F$7,MAX(Nonlabor!$F$7,IF(Nonlabor!$E$7="AI",Assumptions!$E$24,Assumptions!$E$25)))),AND(Nonlabor!$H$7="Annual",MOD(C2733-IF(Nonlabor!$E$7="Core",Nonlabor!$F$7,MAX(Nonlabor!$F$7,IF(Nonlabor!$E$7="AI",Assumptions!$E$24,Assumptions!$E$25))),12)=0))),IF(Nonlabor!$I$7="Fixed",1,IF(Nonlabor!$I$7="Seats",ROUNDUP('Monthly Growth'!I33,0),IF(Nonlabor!$I$7="Customers",'Monthly Growth'!D33,IF(Nonlabor!$I$7="NewCustomers",'Monthly Growth'!C33,IF(Nonlabor!$I$7="StorageGB",'Monthly Growth'!G33,IF(Nonlabor!$I$7="LogGB",'Monthly Growth'!H33,IF(Nonlabor!$I$7="RequestsM",'Monthly Growth'!F33,IF(Nonlabor!$I$7="InputM",'Monthly Growth'!D33*Assumptions!$E$22/1000000,IF(Nonlabor!$I$7="OutputM",'Monthly Growth'!D33*Assumptions!$E$23/1000000,0))))))))),0)</f>
        <v>1</v>
      </c>
      <c r="F2733" s="10" t="n">
        <f aca="false">Nonlabor!$J$7*(1+Assumptions!$E$9)^INT((C2733-1)/12)</f>
        <v>648.96</v>
      </c>
      <c r="G2733" s="10" t="n">
        <f aca="false">E2733*F2733</f>
        <v>648.96</v>
      </c>
      <c r="H2733" s="10" t="n">
        <f aca="false">IF(OR(Nonlabor!$L$7="Quote required",Nonlabor!$L$7="Unverified"),G2733,0)</f>
        <v>648.96</v>
      </c>
      <c r="I2733" s="10" t="n">
        <f aca="false">IF(Nonlabor!$E$7="Core",0,G2733)</f>
        <v>0</v>
      </c>
      <c r="J2733" s="23" t="str">
        <f aca="false">Nonlabor!$B$7</f>
        <v>INFRA</v>
      </c>
    </row>
    <row r="2734" customFormat="false" ht="15" hidden="false" customHeight="false" outlineLevel="0" collapsed="false">
      <c r="A2734" s="6" t="s">
        <v>73</v>
      </c>
      <c r="B2734" s="6" t="s">
        <v>373</v>
      </c>
      <c r="C2734" s="6" t="n">
        <v>29</v>
      </c>
      <c r="D2734" s="25" t="n">
        <f aca="false">EDATE('Start Here'!$B$6,C2734-1)</f>
        <v>47178</v>
      </c>
      <c r="E2734" s="23" t="n">
        <f aca="false">IF(AND(OR(Nonlabor!$D$7="Both",Nonlabor!$D$7='Start Here'!$B$9),IF(Nonlabor!$E$7="Core",1,IF(Nonlabor!$E$7="AI",'Start Here'!$B$7,'Start Here'!$B$8))=1,C2734&gt;=IF(Nonlabor!$E$7="Core",Nonlabor!$F$7,MAX(Nonlabor!$F$7,IF(Nonlabor!$E$7="AI",Assumptions!$E$24,Assumptions!$E$25))),C2734&lt;=Nonlabor!$G$7,OR(Nonlabor!$H$7="Monthly",AND(Nonlabor!$H$7="Once",C2734=IF(Nonlabor!$E$7="Core",Nonlabor!$F$7,MAX(Nonlabor!$F$7,IF(Nonlabor!$E$7="AI",Assumptions!$E$24,Assumptions!$E$25)))),AND(Nonlabor!$H$7="Annual",MOD(C2734-IF(Nonlabor!$E$7="Core",Nonlabor!$F$7,MAX(Nonlabor!$F$7,IF(Nonlabor!$E$7="AI",Assumptions!$E$24,Assumptions!$E$25))),12)=0))),IF(Nonlabor!$I$7="Fixed",1,IF(Nonlabor!$I$7="Seats",ROUNDUP('Monthly Growth'!I34,0),IF(Nonlabor!$I$7="Customers",'Monthly Growth'!D34,IF(Nonlabor!$I$7="NewCustomers",'Monthly Growth'!C34,IF(Nonlabor!$I$7="StorageGB",'Monthly Growth'!G34,IF(Nonlabor!$I$7="LogGB",'Monthly Growth'!H34,IF(Nonlabor!$I$7="RequestsM",'Monthly Growth'!F34,IF(Nonlabor!$I$7="InputM",'Monthly Growth'!D34*Assumptions!$E$22/1000000,IF(Nonlabor!$I$7="OutputM",'Monthly Growth'!D34*Assumptions!$E$23/1000000,0))))))))),0)</f>
        <v>1</v>
      </c>
      <c r="F2734" s="10" t="n">
        <f aca="false">Nonlabor!$J$7*(1+Assumptions!$E$9)^INT((C2734-1)/12)</f>
        <v>648.96</v>
      </c>
      <c r="G2734" s="10" t="n">
        <f aca="false">E2734*F2734</f>
        <v>648.96</v>
      </c>
      <c r="H2734" s="10" t="n">
        <f aca="false">IF(OR(Nonlabor!$L$7="Quote required",Nonlabor!$L$7="Unverified"),G2734,0)</f>
        <v>648.96</v>
      </c>
      <c r="I2734" s="10" t="n">
        <f aca="false">IF(Nonlabor!$E$7="Core",0,G2734)</f>
        <v>0</v>
      </c>
      <c r="J2734" s="23" t="str">
        <f aca="false">Nonlabor!$B$7</f>
        <v>INFRA</v>
      </c>
    </row>
    <row r="2735" customFormat="false" ht="15" hidden="false" customHeight="false" outlineLevel="0" collapsed="false">
      <c r="A2735" s="6" t="s">
        <v>73</v>
      </c>
      <c r="B2735" s="6" t="s">
        <v>373</v>
      </c>
      <c r="C2735" s="6" t="n">
        <v>30</v>
      </c>
      <c r="D2735" s="25" t="n">
        <f aca="false">EDATE('Start Here'!$B$6,C2735-1)</f>
        <v>47209</v>
      </c>
      <c r="E2735" s="23" t="n">
        <f aca="false">IF(AND(OR(Nonlabor!$D$7="Both",Nonlabor!$D$7='Start Here'!$B$9),IF(Nonlabor!$E$7="Core",1,IF(Nonlabor!$E$7="AI",'Start Here'!$B$7,'Start Here'!$B$8))=1,C2735&gt;=IF(Nonlabor!$E$7="Core",Nonlabor!$F$7,MAX(Nonlabor!$F$7,IF(Nonlabor!$E$7="AI",Assumptions!$E$24,Assumptions!$E$25))),C2735&lt;=Nonlabor!$G$7,OR(Nonlabor!$H$7="Monthly",AND(Nonlabor!$H$7="Once",C2735=IF(Nonlabor!$E$7="Core",Nonlabor!$F$7,MAX(Nonlabor!$F$7,IF(Nonlabor!$E$7="AI",Assumptions!$E$24,Assumptions!$E$25)))),AND(Nonlabor!$H$7="Annual",MOD(C2735-IF(Nonlabor!$E$7="Core",Nonlabor!$F$7,MAX(Nonlabor!$F$7,IF(Nonlabor!$E$7="AI",Assumptions!$E$24,Assumptions!$E$25))),12)=0))),IF(Nonlabor!$I$7="Fixed",1,IF(Nonlabor!$I$7="Seats",ROUNDUP('Monthly Growth'!I35,0),IF(Nonlabor!$I$7="Customers",'Monthly Growth'!D35,IF(Nonlabor!$I$7="NewCustomers",'Monthly Growth'!C35,IF(Nonlabor!$I$7="StorageGB",'Monthly Growth'!G35,IF(Nonlabor!$I$7="LogGB",'Monthly Growth'!H35,IF(Nonlabor!$I$7="RequestsM",'Monthly Growth'!F35,IF(Nonlabor!$I$7="InputM",'Monthly Growth'!D35*Assumptions!$E$22/1000000,IF(Nonlabor!$I$7="OutputM",'Monthly Growth'!D35*Assumptions!$E$23/1000000,0))))))))),0)</f>
        <v>1</v>
      </c>
      <c r="F2735" s="10" t="n">
        <f aca="false">Nonlabor!$J$7*(1+Assumptions!$E$9)^INT((C2735-1)/12)</f>
        <v>648.96</v>
      </c>
      <c r="G2735" s="10" t="n">
        <f aca="false">E2735*F2735</f>
        <v>648.96</v>
      </c>
      <c r="H2735" s="10" t="n">
        <f aca="false">IF(OR(Nonlabor!$L$7="Quote required",Nonlabor!$L$7="Unverified"),G2735,0)</f>
        <v>648.96</v>
      </c>
      <c r="I2735" s="10" t="n">
        <f aca="false">IF(Nonlabor!$E$7="Core",0,G2735)</f>
        <v>0</v>
      </c>
      <c r="J2735" s="23" t="str">
        <f aca="false">Nonlabor!$B$7</f>
        <v>INFRA</v>
      </c>
    </row>
    <row r="2736" customFormat="false" ht="15" hidden="false" customHeight="false" outlineLevel="0" collapsed="false">
      <c r="A2736" s="6" t="s">
        <v>73</v>
      </c>
      <c r="B2736" s="6" t="s">
        <v>373</v>
      </c>
      <c r="C2736" s="6" t="n">
        <v>31</v>
      </c>
      <c r="D2736" s="25" t="n">
        <f aca="false">EDATE('Start Here'!$B$6,C2736-1)</f>
        <v>47239</v>
      </c>
      <c r="E2736" s="23" t="n">
        <f aca="false">IF(AND(OR(Nonlabor!$D$7="Both",Nonlabor!$D$7='Start Here'!$B$9),IF(Nonlabor!$E$7="Core",1,IF(Nonlabor!$E$7="AI",'Start Here'!$B$7,'Start Here'!$B$8))=1,C2736&gt;=IF(Nonlabor!$E$7="Core",Nonlabor!$F$7,MAX(Nonlabor!$F$7,IF(Nonlabor!$E$7="AI",Assumptions!$E$24,Assumptions!$E$25))),C2736&lt;=Nonlabor!$G$7,OR(Nonlabor!$H$7="Monthly",AND(Nonlabor!$H$7="Once",C2736=IF(Nonlabor!$E$7="Core",Nonlabor!$F$7,MAX(Nonlabor!$F$7,IF(Nonlabor!$E$7="AI",Assumptions!$E$24,Assumptions!$E$25)))),AND(Nonlabor!$H$7="Annual",MOD(C2736-IF(Nonlabor!$E$7="Core",Nonlabor!$F$7,MAX(Nonlabor!$F$7,IF(Nonlabor!$E$7="AI",Assumptions!$E$24,Assumptions!$E$25))),12)=0))),IF(Nonlabor!$I$7="Fixed",1,IF(Nonlabor!$I$7="Seats",ROUNDUP('Monthly Growth'!I36,0),IF(Nonlabor!$I$7="Customers",'Monthly Growth'!D36,IF(Nonlabor!$I$7="NewCustomers",'Monthly Growth'!C36,IF(Nonlabor!$I$7="StorageGB",'Monthly Growth'!G36,IF(Nonlabor!$I$7="LogGB",'Monthly Growth'!H36,IF(Nonlabor!$I$7="RequestsM",'Monthly Growth'!F36,IF(Nonlabor!$I$7="InputM",'Monthly Growth'!D36*Assumptions!$E$22/1000000,IF(Nonlabor!$I$7="OutputM",'Monthly Growth'!D36*Assumptions!$E$23/1000000,0))))))))),0)</f>
        <v>1</v>
      </c>
      <c r="F2736" s="10" t="n">
        <f aca="false">Nonlabor!$J$7*(1+Assumptions!$E$9)^INT((C2736-1)/12)</f>
        <v>648.96</v>
      </c>
      <c r="G2736" s="10" t="n">
        <f aca="false">E2736*F2736</f>
        <v>648.96</v>
      </c>
      <c r="H2736" s="10" t="n">
        <f aca="false">IF(OR(Nonlabor!$L$7="Quote required",Nonlabor!$L$7="Unverified"),G2736,0)</f>
        <v>648.96</v>
      </c>
      <c r="I2736" s="10" t="n">
        <f aca="false">IF(Nonlabor!$E$7="Core",0,G2736)</f>
        <v>0</v>
      </c>
      <c r="J2736" s="23" t="str">
        <f aca="false">Nonlabor!$B$7</f>
        <v>INFRA</v>
      </c>
    </row>
    <row r="2737" customFormat="false" ht="15" hidden="false" customHeight="false" outlineLevel="0" collapsed="false">
      <c r="A2737" s="6" t="s">
        <v>73</v>
      </c>
      <c r="B2737" s="6" t="s">
        <v>373</v>
      </c>
      <c r="C2737" s="6" t="n">
        <v>32</v>
      </c>
      <c r="D2737" s="25" t="n">
        <f aca="false">EDATE('Start Here'!$B$6,C2737-1)</f>
        <v>47270</v>
      </c>
      <c r="E2737" s="23" t="n">
        <f aca="false">IF(AND(OR(Nonlabor!$D$7="Both",Nonlabor!$D$7='Start Here'!$B$9),IF(Nonlabor!$E$7="Core",1,IF(Nonlabor!$E$7="AI",'Start Here'!$B$7,'Start Here'!$B$8))=1,C2737&gt;=IF(Nonlabor!$E$7="Core",Nonlabor!$F$7,MAX(Nonlabor!$F$7,IF(Nonlabor!$E$7="AI",Assumptions!$E$24,Assumptions!$E$25))),C2737&lt;=Nonlabor!$G$7,OR(Nonlabor!$H$7="Monthly",AND(Nonlabor!$H$7="Once",C2737=IF(Nonlabor!$E$7="Core",Nonlabor!$F$7,MAX(Nonlabor!$F$7,IF(Nonlabor!$E$7="AI",Assumptions!$E$24,Assumptions!$E$25)))),AND(Nonlabor!$H$7="Annual",MOD(C2737-IF(Nonlabor!$E$7="Core",Nonlabor!$F$7,MAX(Nonlabor!$F$7,IF(Nonlabor!$E$7="AI",Assumptions!$E$24,Assumptions!$E$25))),12)=0))),IF(Nonlabor!$I$7="Fixed",1,IF(Nonlabor!$I$7="Seats",ROUNDUP('Monthly Growth'!I37,0),IF(Nonlabor!$I$7="Customers",'Monthly Growth'!D37,IF(Nonlabor!$I$7="NewCustomers",'Monthly Growth'!C37,IF(Nonlabor!$I$7="StorageGB",'Monthly Growth'!G37,IF(Nonlabor!$I$7="LogGB",'Monthly Growth'!H37,IF(Nonlabor!$I$7="RequestsM",'Monthly Growth'!F37,IF(Nonlabor!$I$7="InputM",'Monthly Growth'!D37*Assumptions!$E$22/1000000,IF(Nonlabor!$I$7="OutputM",'Monthly Growth'!D37*Assumptions!$E$23/1000000,0))))))))),0)</f>
        <v>1</v>
      </c>
      <c r="F2737" s="10" t="n">
        <f aca="false">Nonlabor!$J$7*(1+Assumptions!$E$9)^INT((C2737-1)/12)</f>
        <v>648.96</v>
      </c>
      <c r="G2737" s="10" t="n">
        <f aca="false">E2737*F2737</f>
        <v>648.96</v>
      </c>
      <c r="H2737" s="10" t="n">
        <f aca="false">IF(OR(Nonlabor!$L$7="Quote required",Nonlabor!$L$7="Unverified"),G2737,0)</f>
        <v>648.96</v>
      </c>
      <c r="I2737" s="10" t="n">
        <f aca="false">IF(Nonlabor!$E$7="Core",0,G2737)</f>
        <v>0</v>
      </c>
      <c r="J2737" s="23" t="str">
        <f aca="false">Nonlabor!$B$7</f>
        <v>INFRA</v>
      </c>
    </row>
    <row r="2738" customFormat="false" ht="15" hidden="false" customHeight="false" outlineLevel="0" collapsed="false">
      <c r="A2738" s="6" t="s">
        <v>73</v>
      </c>
      <c r="B2738" s="6" t="s">
        <v>373</v>
      </c>
      <c r="C2738" s="6" t="n">
        <v>33</v>
      </c>
      <c r="D2738" s="25" t="n">
        <f aca="false">EDATE('Start Here'!$B$6,C2738-1)</f>
        <v>47300</v>
      </c>
      <c r="E2738" s="23" t="n">
        <f aca="false">IF(AND(OR(Nonlabor!$D$7="Both",Nonlabor!$D$7='Start Here'!$B$9),IF(Nonlabor!$E$7="Core",1,IF(Nonlabor!$E$7="AI",'Start Here'!$B$7,'Start Here'!$B$8))=1,C2738&gt;=IF(Nonlabor!$E$7="Core",Nonlabor!$F$7,MAX(Nonlabor!$F$7,IF(Nonlabor!$E$7="AI",Assumptions!$E$24,Assumptions!$E$25))),C2738&lt;=Nonlabor!$G$7,OR(Nonlabor!$H$7="Monthly",AND(Nonlabor!$H$7="Once",C2738=IF(Nonlabor!$E$7="Core",Nonlabor!$F$7,MAX(Nonlabor!$F$7,IF(Nonlabor!$E$7="AI",Assumptions!$E$24,Assumptions!$E$25)))),AND(Nonlabor!$H$7="Annual",MOD(C2738-IF(Nonlabor!$E$7="Core",Nonlabor!$F$7,MAX(Nonlabor!$F$7,IF(Nonlabor!$E$7="AI",Assumptions!$E$24,Assumptions!$E$25))),12)=0))),IF(Nonlabor!$I$7="Fixed",1,IF(Nonlabor!$I$7="Seats",ROUNDUP('Monthly Growth'!I38,0),IF(Nonlabor!$I$7="Customers",'Monthly Growth'!D38,IF(Nonlabor!$I$7="NewCustomers",'Monthly Growth'!C38,IF(Nonlabor!$I$7="StorageGB",'Monthly Growth'!G38,IF(Nonlabor!$I$7="LogGB",'Monthly Growth'!H38,IF(Nonlabor!$I$7="RequestsM",'Monthly Growth'!F38,IF(Nonlabor!$I$7="InputM",'Monthly Growth'!D38*Assumptions!$E$22/1000000,IF(Nonlabor!$I$7="OutputM",'Monthly Growth'!D38*Assumptions!$E$23/1000000,0))))))))),0)</f>
        <v>1</v>
      </c>
      <c r="F2738" s="10" t="n">
        <f aca="false">Nonlabor!$J$7*(1+Assumptions!$E$9)^INT((C2738-1)/12)</f>
        <v>648.96</v>
      </c>
      <c r="G2738" s="10" t="n">
        <f aca="false">E2738*F2738</f>
        <v>648.96</v>
      </c>
      <c r="H2738" s="10" t="n">
        <f aca="false">IF(OR(Nonlabor!$L$7="Quote required",Nonlabor!$L$7="Unverified"),G2738,0)</f>
        <v>648.96</v>
      </c>
      <c r="I2738" s="10" t="n">
        <f aca="false">IF(Nonlabor!$E$7="Core",0,G2738)</f>
        <v>0</v>
      </c>
      <c r="J2738" s="23" t="str">
        <f aca="false">Nonlabor!$B$7</f>
        <v>INFRA</v>
      </c>
    </row>
    <row r="2739" customFormat="false" ht="15" hidden="false" customHeight="false" outlineLevel="0" collapsed="false">
      <c r="A2739" s="6" t="s">
        <v>73</v>
      </c>
      <c r="B2739" s="6" t="s">
        <v>373</v>
      </c>
      <c r="C2739" s="6" t="n">
        <v>34</v>
      </c>
      <c r="D2739" s="25" t="n">
        <f aca="false">EDATE('Start Here'!$B$6,C2739-1)</f>
        <v>47331</v>
      </c>
      <c r="E2739" s="23" t="n">
        <f aca="false">IF(AND(OR(Nonlabor!$D$7="Both",Nonlabor!$D$7='Start Here'!$B$9),IF(Nonlabor!$E$7="Core",1,IF(Nonlabor!$E$7="AI",'Start Here'!$B$7,'Start Here'!$B$8))=1,C2739&gt;=IF(Nonlabor!$E$7="Core",Nonlabor!$F$7,MAX(Nonlabor!$F$7,IF(Nonlabor!$E$7="AI",Assumptions!$E$24,Assumptions!$E$25))),C2739&lt;=Nonlabor!$G$7,OR(Nonlabor!$H$7="Monthly",AND(Nonlabor!$H$7="Once",C2739=IF(Nonlabor!$E$7="Core",Nonlabor!$F$7,MAX(Nonlabor!$F$7,IF(Nonlabor!$E$7="AI",Assumptions!$E$24,Assumptions!$E$25)))),AND(Nonlabor!$H$7="Annual",MOD(C2739-IF(Nonlabor!$E$7="Core",Nonlabor!$F$7,MAX(Nonlabor!$F$7,IF(Nonlabor!$E$7="AI",Assumptions!$E$24,Assumptions!$E$25))),12)=0))),IF(Nonlabor!$I$7="Fixed",1,IF(Nonlabor!$I$7="Seats",ROUNDUP('Monthly Growth'!I39,0),IF(Nonlabor!$I$7="Customers",'Monthly Growth'!D39,IF(Nonlabor!$I$7="NewCustomers",'Monthly Growth'!C39,IF(Nonlabor!$I$7="StorageGB",'Monthly Growth'!G39,IF(Nonlabor!$I$7="LogGB",'Monthly Growth'!H39,IF(Nonlabor!$I$7="RequestsM",'Monthly Growth'!F39,IF(Nonlabor!$I$7="InputM",'Monthly Growth'!D39*Assumptions!$E$22/1000000,IF(Nonlabor!$I$7="OutputM",'Monthly Growth'!D39*Assumptions!$E$23/1000000,0))))))))),0)</f>
        <v>1</v>
      </c>
      <c r="F2739" s="10" t="n">
        <f aca="false">Nonlabor!$J$7*(1+Assumptions!$E$9)^INT((C2739-1)/12)</f>
        <v>648.96</v>
      </c>
      <c r="G2739" s="10" t="n">
        <f aca="false">E2739*F2739</f>
        <v>648.96</v>
      </c>
      <c r="H2739" s="10" t="n">
        <f aca="false">IF(OR(Nonlabor!$L$7="Quote required",Nonlabor!$L$7="Unverified"),G2739,0)</f>
        <v>648.96</v>
      </c>
      <c r="I2739" s="10" t="n">
        <f aca="false">IF(Nonlabor!$E$7="Core",0,G2739)</f>
        <v>0</v>
      </c>
      <c r="J2739" s="23" t="str">
        <f aca="false">Nonlabor!$B$7</f>
        <v>INFRA</v>
      </c>
    </row>
    <row r="2740" customFormat="false" ht="15" hidden="false" customHeight="false" outlineLevel="0" collapsed="false">
      <c r="A2740" s="6" t="s">
        <v>73</v>
      </c>
      <c r="B2740" s="6" t="s">
        <v>373</v>
      </c>
      <c r="C2740" s="6" t="n">
        <v>35</v>
      </c>
      <c r="D2740" s="25" t="n">
        <f aca="false">EDATE('Start Here'!$B$6,C2740-1)</f>
        <v>47362</v>
      </c>
      <c r="E2740" s="23" t="n">
        <f aca="false">IF(AND(OR(Nonlabor!$D$7="Both",Nonlabor!$D$7='Start Here'!$B$9),IF(Nonlabor!$E$7="Core",1,IF(Nonlabor!$E$7="AI",'Start Here'!$B$7,'Start Here'!$B$8))=1,C2740&gt;=IF(Nonlabor!$E$7="Core",Nonlabor!$F$7,MAX(Nonlabor!$F$7,IF(Nonlabor!$E$7="AI",Assumptions!$E$24,Assumptions!$E$25))),C2740&lt;=Nonlabor!$G$7,OR(Nonlabor!$H$7="Monthly",AND(Nonlabor!$H$7="Once",C2740=IF(Nonlabor!$E$7="Core",Nonlabor!$F$7,MAX(Nonlabor!$F$7,IF(Nonlabor!$E$7="AI",Assumptions!$E$24,Assumptions!$E$25)))),AND(Nonlabor!$H$7="Annual",MOD(C2740-IF(Nonlabor!$E$7="Core",Nonlabor!$F$7,MAX(Nonlabor!$F$7,IF(Nonlabor!$E$7="AI",Assumptions!$E$24,Assumptions!$E$25))),12)=0))),IF(Nonlabor!$I$7="Fixed",1,IF(Nonlabor!$I$7="Seats",ROUNDUP('Monthly Growth'!I40,0),IF(Nonlabor!$I$7="Customers",'Monthly Growth'!D40,IF(Nonlabor!$I$7="NewCustomers",'Monthly Growth'!C40,IF(Nonlabor!$I$7="StorageGB",'Monthly Growth'!G40,IF(Nonlabor!$I$7="LogGB",'Monthly Growth'!H40,IF(Nonlabor!$I$7="RequestsM",'Monthly Growth'!F40,IF(Nonlabor!$I$7="InputM",'Monthly Growth'!D40*Assumptions!$E$22/1000000,IF(Nonlabor!$I$7="OutputM",'Monthly Growth'!D40*Assumptions!$E$23/1000000,0))))))))),0)</f>
        <v>1</v>
      </c>
      <c r="F2740" s="10" t="n">
        <f aca="false">Nonlabor!$J$7*(1+Assumptions!$E$9)^INT((C2740-1)/12)</f>
        <v>648.96</v>
      </c>
      <c r="G2740" s="10" t="n">
        <f aca="false">E2740*F2740</f>
        <v>648.96</v>
      </c>
      <c r="H2740" s="10" t="n">
        <f aca="false">IF(OR(Nonlabor!$L$7="Quote required",Nonlabor!$L$7="Unverified"),G2740,0)</f>
        <v>648.96</v>
      </c>
      <c r="I2740" s="10" t="n">
        <f aca="false">IF(Nonlabor!$E$7="Core",0,G2740)</f>
        <v>0</v>
      </c>
      <c r="J2740" s="23" t="str">
        <f aca="false">Nonlabor!$B$7</f>
        <v>INFRA</v>
      </c>
    </row>
    <row r="2741" customFormat="false" ht="15" hidden="false" customHeight="false" outlineLevel="0" collapsed="false">
      <c r="A2741" s="6" t="s">
        <v>73</v>
      </c>
      <c r="B2741" s="6" t="s">
        <v>373</v>
      </c>
      <c r="C2741" s="6" t="n">
        <v>36</v>
      </c>
      <c r="D2741" s="25" t="n">
        <f aca="false">EDATE('Start Here'!$B$6,C2741-1)</f>
        <v>47392</v>
      </c>
      <c r="E2741" s="23" t="n">
        <f aca="false">IF(AND(OR(Nonlabor!$D$7="Both",Nonlabor!$D$7='Start Here'!$B$9),IF(Nonlabor!$E$7="Core",1,IF(Nonlabor!$E$7="AI",'Start Here'!$B$7,'Start Here'!$B$8))=1,C2741&gt;=IF(Nonlabor!$E$7="Core",Nonlabor!$F$7,MAX(Nonlabor!$F$7,IF(Nonlabor!$E$7="AI",Assumptions!$E$24,Assumptions!$E$25))),C2741&lt;=Nonlabor!$G$7,OR(Nonlabor!$H$7="Monthly",AND(Nonlabor!$H$7="Once",C2741=IF(Nonlabor!$E$7="Core",Nonlabor!$F$7,MAX(Nonlabor!$F$7,IF(Nonlabor!$E$7="AI",Assumptions!$E$24,Assumptions!$E$25)))),AND(Nonlabor!$H$7="Annual",MOD(C2741-IF(Nonlabor!$E$7="Core",Nonlabor!$F$7,MAX(Nonlabor!$F$7,IF(Nonlabor!$E$7="AI",Assumptions!$E$24,Assumptions!$E$25))),12)=0))),IF(Nonlabor!$I$7="Fixed",1,IF(Nonlabor!$I$7="Seats",ROUNDUP('Monthly Growth'!I41,0),IF(Nonlabor!$I$7="Customers",'Monthly Growth'!D41,IF(Nonlabor!$I$7="NewCustomers",'Monthly Growth'!C41,IF(Nonlabor!$I$7="StorageGB",'Monthly Growth'!G41,IF(Nonlabor!$I$7="LogGB",'Monthly Growth'!H41,IF(Nonlabor!$I$7="RequestsM",'Monthly Growth'!F41,IF(Nonlabor!$I$7="InputM",'Monthly Growth'!D41*Assumptions!$E$22/1000000,IF(Nonlabor!$I$7="OutputM",'Monthly Growth'!D41*Assumptions!$E$23/1000000,0))))))))),0)</f>
        <v>1</v>
      </c>
      <c r="F2741" s="10" t="n">
        <f aca="false">Nonlabor!$J$7*(1+Assumptions!$E$9)^INT((C2741-1)/12)</f>
        <v>648.96</v>
      </c>
      <c r="G2741" s="10" t="n">
        <f aca="false">E2741*F2741</f>
        <v>648.96</v>
      </c>
      <c r="H2741" s="10" t="n">
        <f aca="false">IF(OR(Nonlabor!$L$7="Quote required",Nonlabor!$L$7="Unverified"),G2741,0)</f>
        <v>648.96</v>
      </c>
      <c r="I2741" s="10" t="n">
        <f aca="false">IF(Nonlabor!$E$7="Core",0,G2741)</f>
        <v>0</v>
      </c>
      <c r="J2741" s="23" t="str">
        <f aca="false">Nonlabor!$B$7</f>
        <v>INFRA</v>
      </c>
    </row>
    <row r="2742" customFormat="false" ht="15" hidden="false" customHeight="false" outlineLevel="0" collapsed="false">
      <c r="A2742" s="6" t="s">
        <v>73</v>
      </c>
      <c r="B2742" s="6" t="s">
        <v>373</v>
      </c>
      <c r="C2742" s="6" t="n">
        <v>37</v>
      </c>
      <c r="D2742" s="25" t="n">
        <f aca="false">EDATE('Start Here'!$B$6,C2742-1)</f>
        <v>47423</v>
      </c>
      <c r="E2742" s="23" t="n">
        <f aca="false">IF(AND(OR(Nonlabor!$D$7="Both",Nonlabor!$D$7='Start Here'!$B$9),IF(Nonlabor!$E$7="Core",1,IF(Nonlabor!$E$7="AI",'Start Here'!$B$7,'Start Here'!$B$8))=1,C2742&gt;=IF(Nonlabor!$E$7="Core",Nonlabor!$F$7,MAX(Nonlabor!$F$7,IF(Nonlabor!$E$7="AI",Assumptions!$E$24,Assumptions!$E$25))),C2742&lt;=Nonlabor!$G$7,OR(Nonlabor!$H$7="Monthly",AND(Nonlabor!$H$7="Once",C2742=IF(Nonlabor!$E$7="Core",Nonlabor!$F$7,MAX(Nonlabor!$F$7,IF(Nonlabor!$E$7="AI",Assumptions!$E$24,Assumptions!$E$25)))),AND(Nonlabor!$H$7="Annual",MOD(C2742-IF(Nonlabor!$E$7="Core",Nonlabor!$F$7,MAX(Nonlabor!$F$7,IF(Nonlabor!$E$7="AI",Assumptions!$E$24,Assumptions!$E$25))),12)=0))),IF(Nonlabor!$I$7="Fixed",1,IF(Nonlabor!$I$7="Seats",ROUNDUP('Monthly Growth'!I42,0),IF(Nonlabor!$I$7="Customers",'Monthly Growth'!D42,IF(Nonlabor!$I$7="NewCustomers",'Monthly Growth'!C42,IF(Nonlabor!$I$7="StorageGB",'Monthly Growth'!G42,IF(Nonlabor!$I$7="LogGB",'Monthly Growth'!H42,IF(Nonlabor!$I$7="RequestsM",'Monthly Growth'!F42,IF(Nonlabor!$I$7="InputM",'Monthly Growth'!D42*Assumptions!$E$22/1000000,IF(Nonlabor!$I$7="OutputM",'Monthly Growth'!D42*Assumptions!$E$23/1000000,0))))))))),0)</f>
        <v>1</v>
      </c>
      <c r="F2742" s="10" t="n">
        <f aca="false">Nonlabor!$J$7*(1+Assumptions!$E$9)^INT((C2742-1)/12)</f>
        <v>674.9184</v>
      </c>
      <c r="G2742" s="10" t="n">
        <f aca="false">E2742*F2742</f>
        <v>674.9184</v>
      </c>
      <c r="H2742" s="10" t="n">
        <f aca="false">IF(OR(Nonlabor!$L$7="Quote required",Nonlabor!$L$7="Unverified"),G2742,0)</f>
        <v>674.9184</v>
      </c>
      <c r="I2742" s="10" t="n">
        <f aca="false">IF(Nonlabor!$E$7="Core",0,G2742)</f>
        <v>0</v>
      </c>
      <c r="J2742" s="23" t="str">
        <f aca="false">Nonlabor!$B$7</f>
        <v>INFRA</v>
      </c>
    </row>
    <row r="2743" customFormat="false" ht="15" hidden="false" customHeight="false" outlineLevel="0" collapsed="false">
      <c r="A2743" s="6" t="s">
        <v>73</v>
      </c>
      <c r="B2743" s="6" t="s">
        <v>373</v>
      </c>
      <c r="C2743" s="6" t="n">
        <v>38</v>
      </c>
      <c r="D2743" s="25" t="n">
        <f aca="false">EDATE('Start Here'!$B$6,C2743-1)</f>
        <v>47453</v>
      </c>
      <c r="E2743" s="23" t="n">
        <f aca="false">IF(AND(OR(Nonlabor!$D$7="Both",Nonlabor!$D$7='Start Here'!$B$9),IF(Nonlabor!$E$7="Core",1,IF(Nonlabor!$E$7="AI",'Start Here'!$B$7,'Start Here'!$B$8))=1,C2743&gt;=IF(Nonlabor!$E$7="Core",Nonlabor!$F$7,MAX(Nonlabor!$F$7,IF(Nonlabor!$E$7="AI",Assumptions!$E$24,Assumptions!$E$25))),C2743&lt;=Nonlabor!$G$7,OR(Nonlabor!$H$7="Monthly",AND(Nonlabor!$H$7="Once",C2743=IF(Nonlabor!$E$7="Core",Nonlabor!$F$7,MAX(Nonlabor!$F$7,IF(Nonlabor!$E$7="AI",Assumptions!$E$24,Assumptions!$E$25)))),AND(Nonlabor!$H$7="Annual",MOD(C2743-IF(Nonlabor!$E$7="Core",Nonlabor!$F$7,MAX(Nonlabor!$F$7,IF(Nonlabor!$E$7="AI",Assumptions!$E$24,Assumptions!$E$25))),12)=0))),IF(Nonlabor!$I$7="Fixed",1,IF(Nonlabor!$I$7="Seats",ROUNDUP('Monthly Growth'!I43,0),IF(Nonlabor!$I$7="Customers",'Monthly Growth'!D43,IF(Nonlabor!$I$7="NewCustomers",'Monthly Growth'!C43,IF(Nonlabor!$I$7="StorageGB",'Monthly Growth'!G43,IF(Nonlabor!$I$7="LogGB",'Monthly Growth'!H43,IF(Nonlabor!$I$7="RequestsM",'Monthly Growth'!F43,IF(Nonlabor!$I$7="InputM",'Monthly Growth'!D43*Assumptions!$E$22/1000000,IF(Nonlabor!$I$7="OutputM",'Monthly Growth'!D43*Assumptions!$E$23/1000000,0))))))))),0)</f>
        <v>1</v>
      </c>
      <c r="F2743" s="10" t="n">
        <f aca="false">Nonlabor!$J$7*(1+Assumptions!$E$9)^INT((C2743-1)/12)</f>
        <v>674.9184</v>
      </c>
      <c r="G2743" s="10" t="n">
        <f aca="false">E2743*F2743</f>
        <v>674.9184</v>
      </c>
      <c r="H2743" s="10" t="n">
        <f aca="false">IF(OR(Nonlabor!$L$7="Quote required",Nonlabor!$L$7="Unverified"),G2743,0)</f>
        <v>674.9184</v>
      </c>
      <c r="I2743" s="10" t="n">
        <f aca="false">IF(Nonlabor!$E$7="Core",0,G2743)</f>
        <v>0</v>
      </c>
      <c r="J2743" s="23" t="str">
        <f aca="false">Nonlabor!$B$7</f>
        <v>INFRA</v>
      </c>
    </row>
    <row r="2744" customFormat="false" ht="15" hidden="false" customHeight="false" outlineLevel="0" collapsed="false">
      <c r="A2744" s="6" t="s">
        <v>73</v>
      </c>
      <c r="B2744" s="6" t="s">
        <v>373</v>
      </c>
      <c r="C2744" s="6" t="n">
        <v>39</v>
      </c>
      <c r="D2744" s="25" t="n">
        <f aca="false">EDATE('Start Here'!$B$6,C2744-1)</f>
        <v>47484</v>
      </c>
      <c r="E2744" s="23" t="n">
        <f aca="false">IF(AND(OR(Nonlabor!$D$7="Both",Nonlabor!$D$7='Start Here'!$B$9),IF(Nonlabor!$E$7="Core",1,IF(Nonlabor!$E$7="AI",'Start Here'!$B$7,'Start Here'!$B$8))=1,C2744&gt;=IF(Nonlabor!$E$7="Core",Nonlabor!$F$7,MAX(Nonlabor!$F$7,IF(Nonlabor!$E$7="AI",Assumptions!$E$24,Assumptions!$E$25))),C2744&lt;=Nonlabor!$G$7,OR(Nonlabor!$H$7="Monthly",AND(Nonlabor!$H$7="Once",C2744=IF(Nonlabor!$E$7="Core",Nonlabor!$F$7,MAX(Nonlabor!$F$7,IF(Nonlabor!$E$7="AI",Assumptions!$E$24,Assumptions!$E$25)))),AND(Nonlabor!$H$7="Annual",MOD(C2744-IF(Nonlabor!$E$7="Core",Nonlabor!$F$7,MAX(Nonlabor!$F$7,IF(Nonlabor!$E$7="AI",Assumptions!$E$24,Assumptions!$E$25))),12)=0))),IF(Nonlabor!$I$7="Fixed",1,IF(Nonlabor!$I$7="Seats",ROUNDUP('Monthly Growth'!I44,0),IF(Nonlabor!$I$7="Customers",'Monthly Growth'!D44,IF(Nonlabor!$I$7="NewCustomers",'Monthly Growth'!C44,IF(Nonlabor!$I$7="StorageGB",'Monthly Growth'!G44,IF(Nonlabor!$I$7="LogGB",'Monthly Growth'!H44,IF(Nonlabor!$I$7="RequestsM",'Monthly Growth'!F44,IF(Nonlabor!$I$7="InputM",'Monthly Growth'!D44*Assumptions!$E$22/1000000,IF(Nonlabor!$I$7="OutputM",'Monthly Growth'!D44*Assumptions!$E$23/1000000,0))))))))),0)</f>
        <v>1</v>
      </c>
      <c r="F2744" s="10" t="n">
        <f aca="false">Nonlabor!$J$7*(1+Assumptions!$E$9)^INT((C2744-1)/12)</f>
        <v>674.9184</v>
      </c>
      <c r="G2744" s="10" t="n">
        <f aca="false">E2744*F2744</f>
        <v>674.9184</v>
      </c>
      <c r="H2744" s="10" t="n">
        <f aca="false">IF(OR(Nonlabor!$L$7="Quote required",Nonlabor!$L$7="Unverified"),G2744,0)</f>
        <v>674.9184</v>
      </c>
      <c r="I2744" s="10" t="n">
        <f aca="false">IF(Nonlabor!$E$7="Core",0,G2744)</f>
        <v>0</v>
      </c>
      <c r="J2744" s="23" t="str">
        <f aca="false">Nonlabor!$B$7</f>
        <v>INFRA</v>
      </c>
    </row>
    <row r="2745" customFormat="false" ht="15" hidden="false" customHeight="false" outlineLevel="0" collapsed="false">
      <c r="A2745" s="6" t="s">
        <v>73</v>
      </c>
      <c r="B2745" s="6" t="s">
        <v>373</v>
      </c>
      <c r="C2745" s="6" t="n">
        <v>40</v>
      </c>
      <c r="D2745" s="25" t="n">
        <f aca="false">EDATE('Start Here'!$B$6,C2745-1)</f>
        <v>47515</v>
      </c>
      <c r="E2745" s="23" t="n">
        <f aca="false">IF(AND(OR(Nonlabor!$D$7="Both",Nonlabor!$D$7='Start Here'!$B$9),IF(Nonlabor!$E$7="Core",1,IF(Nonlabor!$E$7="AI",'Start Here'!$B$7,'Start Here'!$B$8))=1,C2745&gt;=IF(Nonlabor!$E$7="Core",Nonlabor!$F$7,MAX(Nonlabor!$F$7,IF(Nonlabor!$E$7="AI",Assumptions!$E$24,Assumptions!$E$25))),C2745&lt;=Nonlabor!$G$7,OR(Nonlabor!$H$7="Monthly",AND(Nonlabor!$H$7="Once",C2745=IF(Nonlabor!$E$7="Core",Nonlabor!$F$7,MAX(Nonlabor!$F$7,IF(Nonlabor!$E$7="AI",Assumptions!$E$24,Assumptions!$E$25)))),AND(Nonlabor!$H$7="Annual",MOD(C2745-IF(Nonlabor!$E$7="Core",Nonlabor!$F$7,MAX(Nonlabor!$F$7,IF(Nonlabor!$E$7="AI",Assumptions!$E$24,Assumptions!$E$25))),12)=0))),IF(Nonlabor!$I$7="Fixed",1,IF(Nonlabor!$I$7="Seats",ROUNDUP('Monthly Growth'!I45,0),IF(Nonlabor!$I$7="Customers",'Monthly Growth'!D45,IF(Nonlabor!$I$7="NewCustomers",'Monthly Growth'!C45,IF(Nonlabor!$I$7="StorageGB",'Monthly Growth'!G45,IF(Nonlabor!$I$7="LogGB",'Monthly Growth'!H45,IF(Nonlabor!$I$7="RequestsM",'Monthly Growth'!F45,IF(Nonlabor!$I$7="InputM",'Monthly Growth'!D45*Assumptions!$E$22/1000000,IF(Nonlabor!$I$7="OutputM",'Monthly Growth'!D45*Assumptions!$E$23/1000000,0))))))))),0)</f>
        <v>1</v>
      </c>
      <c r="F2745" s="10" t="n">
        <f aca="false">Nonlabor!$J$7*(1+Assumptions!$E$9)^INT((C2745-1)/12)</f>
        <v>674.9184</v>
      </c>
      <c r="G2745" s="10" t="n">
        <f aca="false">E2745*F2745</f>
        <v>674.9184</v>
      </c>
      <c r="H2745" s="10" t="n">
        <f aca="false">IF(OR(Nonlabor!$L$7="Quote required",Nonlabor!$L$7="Unverified"),G2745,0)</f>
        <v>674.9184</v>
      </c>
      <c r="I2745" s="10" t="n">
        <f aca="false">IF(Nonlabor!$E$7="Core",0,G2745)</f>
        <v>0</v>
      </c>
      <c r="J2745" s="23" t="str">
        <f aca="false">Nonlabor!$B$7</f>
        <v>INFRA</v>
      </c>
    </row>
    <row r="2746" customFormat="false" ht="15" hidden="false" customHeight="false" outlineLevel="0" collapsed="false">
      <c r="A2746" s="6" t="s">
        <v>73</v>
      </c>
      <c r="B2746" s="6" t="s">
        <v>373</v>
      </c>
      <c r="C2746" s="6" t="n">
        <v>41</v>
      </c>
      <c r="D2746" s="25" t="n">
        <f aca="false">EDATE('Start Here'!$B$6,C2746-1)</f>
        <v>47543</v>
      </c>
      <c r="E2746" s="23" t="n">
        <f aca="false">IF(AND(OR(Nonlabor!$D$7="Both",Nonlabor!$D$7='Start Here'!$B$9),IF(Nonlabor!$E$7="Core",1,IF(Nonlabor!$E$7="AI",'Start Here'!$B$7,'Start Here'!$B$8))=1,C2746&gt;=IF(Nonlabor!$E$7="Core",Nonlabor!$F$7,MAX(Nonlabor!$F$7,IF(Nonlabor!$E$7="AI",Assumptions!$E$24,Assumptions!$E$25))),C2746&lt;=Nonlabor!$G$7,OR(Nonlabor!$H$7="Monthly",AND(Nonlabor!$H$7="Once",C2746=IF(Nonlabor!$E$7="Core",Nonlabor!$F$7,MAX(Nonlabor!$F$7,IF(Nonlabor!$E$7="AI",Assumptions!$E$24,Assumptions!$E$25)))),AND(Nonlabor!$H$7="Annual",MOD(C2746-IF(Nonlabor!$E$7="Core",Nonlabor!$F$7,MAX(Nonlabor!$F$7,IF(Nonlabor!$E$7="AI",Assumptions!$E$24,Assumptions!$E$25))),12)=0))),IF(Nonlabor!$I$7="Fixed",1,IF(Nonlabor!$I$7="Seats",ROUNDUP('Monthly Growth'!I46,0),IF(Nonlabor!$I$7="Customers",'Monthly Growth'!D46,IF(Nonlabor!$I$7="NewCustomers",'Monthly Growth'!C46,IF(Nonlabor!$I$7="StorageGB",'Monthly Growth'!G46,IF(Nonlabor!$I$7="LogGB",'Monthly Growth'!H46,IF(Nonlabor!$I$7="RequestsM",'Monthly Growth'!F46,IF(Nonlabor!$I$7="InputM",'Monthly Growth'!D46*Assumptions!$E$22/1000000,IF(Nonlabor!$I$7="OutputM",'Monthly Growth'!D46*Assumptions!$E$23/1000000,0))))))))),0)</f>
        <v>1</v>
      </c>
      <c r="F2746" s="10" t="n">
        <f aca="false">Nonlabor!$J$7*(1+Assumptions!$E$9)^INT((C2746-1)/12)</f>
        <v>674.9184</v>
      </c>
      <c r="G2746" s="10" t="n">
        <f aca="false">E2746*F2746</f>
        <v>674.9184</v>
      </c>
      <c r="H2746" s="10" t="n">
        <f aca="false">IF(OR(Nonlabor!$L$7="Quote required",Nonlabor!$L$7="Unverified"),G2746,0)</f>
        <v>674.9184</v>
      </c>
      <c r="I2746" s="10" t="n">
        <f aca="false">IF(Nonlabor!$E$7="Core",0,G2746)</f>
        <v>0</v>
      </c>
      <c r="J2746" s="23" t="str">
        <f aca="false">Nonlabor!$B$7</f>
        <v>INFRA</v>
      </c>
    </row>
    <row r="2747" customFormat="false" ht="15" hidden="false" customHeight="false" outlineLevel="0" collapsed="false">
      <c r="A2747" s="6" t="s">
        <v>73</v>
      </c>
      <c r="B2747" s="6" t="s">
        <v>373</v>
      </c>
      <c r="C2747" s="6" t="n">
        <v>42</v>
      </c>
      <c r="D2747" s="25" t="n">
        <f aca="false">EDATE('Start Here'!$B$6,C2747-1)</f>
        <v>47574</v>
      </c>
      <c r="E2747" s="23" t="n">
        <f aca="false">IF(AND(OR(Nonlabor!$D$7="Both",Nonlabor!$D$7='Start Here'!$B$9),IF(Nonlabor!$E$7="Core",1,IF(Nonlabor!$E$7="AI",'Start Here'!$B$7,'Start Here'!$B$8))=1,C2747&gt;=IF(Nonlabor!$E$7="Core",Nonlabor!$F$7,MAX(Nonlabor!$F$7,IF(Nonlabor!$E$7="AI",Assumptions!$E$24,Assumptions!$E$25))),C2747&lt;=Nonlabor!$G$7,OR(Nonlabor!$H$7="Monthly",AND(Nonlabor!$H$7="Once",C2747=IF(Nonlabor!$E$7="Core",Nonlabor!$F$7,MAX(Nonlabor!$F$7,IF(Nonlabor!$E$7="AI",Assumptions!$E$24,Assumptions!$E$25)))),AND(Nonlabor!$H$7="Annual",MOD(C2747-IF(Nonlabor!$E$7="Core",Nonlabor!$F$7,MAX(Nonlabor!$F$7,IF(Nonlabor!$E$7="AI",Assumptions!$E$24,Assumptions!$E$25))),12)=0))),IF(Nonlabor!$I$7="Fixed",1,IF(Nonlabor!$I$7="Seats",ROUNDUP('Monthly Growth'!I47,0),IF(Nonlabor!$I$7="Customers",'Monthly Growth'!D47,IF(Nonlabor!$I$7="NewCustomers",'Monthly Growth'!C47,IF(Nonlabor!$I$7="StorageGB",'Monthly Growth'!G47,IF(Nonlabor!$I$7="LogGB",'Monthly Growth'!H47,IF(Nonlabor!$I$7="RequestsM",'Monthly Growth'!F47,IF(Nonlabor!$I$7="InputM",'Monthly Growth'!D47*Assumptions!$E$22/1000000,IF(Nonlabor!$I$7="OutputM",'Monthly Growth'!D47*Assumptions!$E$23/1000000,0))))))))),0)</f>
        <v>1</v>
      </c>
      <c r="F2747" s="10" t="n">
        <f aca="false">Nonlabor!$J$7*(1+Assumptions!$E$9)^INT((C2747-1)/12)</f>
        <v>674.9184</v>
      </c>
      <c r="G2747" s="10" t="n">
        <f aca="false">E2747*F2747</f>
        <v>674.9184</v>
      </c>
      <c r="H2747" s="10" t="n">
        <f aca="false">IF(OR(Nonlabor!$L$7="Quote required",Nonlabor!$L$7="Unverified"),G2747,0)</f>
        <v>674.9184</v>
      </c>
      <c r="I2747" s="10" t="n">
        <f aca="false">IF(Nonlabor!$E$7="Core",0,G2747)</f>
        <v>0</v>
      </c>
      <c r="J2747" s="23" t="str">
        <f aca="false">Nonlabor!$B$7</f>
        <v>INFRA</v>
      </c>
    </row>
    <row r="2748" customFormat="false" ht="15" hidden="false" customHeight="false" outlineLevel="0" collapsed="false">
      <c r="A2748" s="6" t="s">
        <v>73</v>
      </c>
      <c r="B2748" s="6" t="s">
        <v>373</v>
      </c>
      <c r="C2748" s="6" t="n">
        <v>43</v>
      </c>
      <c r="D2748" s="25" t="n">
        <f aca="false">EDATE('Start Here'!$B$6,C2748-1)</f>
        <v>47604</v>
      </c>
      <c r="E2748" s="23" t="n">
        <f aca="false">IF(AND(OR(Nonlabor!$D$7="Both",Nonlabor!$D$7='Start Here'!$B$9),IF(Nonlabor!$E$7="Core",1,IF(Nonlabor!$E$7="AI",'Start Here'!$B$7,'Start Here'!$B$8))=1,C2748&gt;=IF(Nonlabor!$E$7="Core",Nonlabor!$F$7,MAX(Nonlabor!$F$7,IF(Nonlabor!$E$7="AI",Assumptions!$E$24,Assumptions!$E$25))),C2748&lt;=Nonlabor!$G$7,OR(Nonlabor!$H$7="Monthly",AND(Nonlabor!$H$7="Once",C2748=IF(Nonlabor!$E$7="Core",Nonlabor!$F$7,MAX(Nonlabor!$F$7,IF(Nonlabor!$E$7="AI",Assumptions!$E$24,Assumptions!$E$25)))),AND(Nonlabor!$H$7="Annual",MOD(C2748-IF(Nonlabor!$E$7="Core",Nonlabor!$F$7,MAX(Nonlabor!$F$7,IF(Nonlabor!$E$7="AI",Assumptions!$E$24,Assumptions!$E$25))),12)=0))),IF(Nonlabor!$I$7="Fixed",1,IF(Nonlabor!$I$7="Seats",ROUNDUP('Monthly Growth'!I48,0),IF(Nonlabor!$I$7="Customers",'Monthly Growth'!D48,IF(Nonlabor!$I$7="NewCustomers",'Monthly Growth'!C48,IF(Nonlabor!$I$7="StorageGB",'Monthly Growth'!G48,IF(Nonlabor!$I$7="LogGB",'Monthly Growth'!H48,IF(Nonlabor!$I$7="RequestsM",'Monthly Growth'!F48,IF(Nonlabor!$I$7="InputM",'Monthly Growth'!D48*Assumptions!$E$22/1000000,IF(Nonlabor!$I$7="OutputM",'Monthly Growth'!D48*Assumptions!$E$23/1000000,0))))))))),0)</f>
        <v>1</v>
      </c>
      <c r="F2748" s="10" t="n">
        <f aca="false">Nonlabor!$J$7*(1+Assumptions!$E$9)^INT((C2748-1)/12)</f>
        <v>674.9184</v>
      </c>
      <c r="G2748" s="10" t="n">
        <f aca="false">E2748*F2748</f>
        <v>674.9184</v>
      </c>
      <c r="H2748" s="10" t="n">
        <f aca="false">IF(OR(Nonlabor!$L$7="Quote required",Nonlabor!$L$7="Unverified"),G2748,0)</f>
        <v>674.9184</v>
      </c>
      <c r="I2748" s="10" t="n">
        <f aca="false">IF(Nonlabor!$E$7="Core",0,G2748)</f>
        <v>0</v>
      </c>
      <c r="J2748" s="23" t="str">
        <f aca="false">Nonlabor!$B$7</f>
        <v>INFRA</v>
      </c>
    </row>
    <row r="2749" customFormat="false" ht="15" hidden="false" customHeight="false" outlineLevel="0" collapsed="false">
      <c r="A2749" s="6" t="s">
        <v>73</v>
      </c>
      <c r="B2749" s="6" t="s">
        <v>373</v>
      </c>
      <c r="C2749" s="6" t="n">
        <v>44</v>
      </c>
      <c r="D2749" s="25" t="n">
        <f aca="false">EDATE('Start Here'!$B$6,C2749-1)</f>
        <v>47635</v>
      </c>
      <c r="E2749" s="23" t="n">
        <f aca="false">IF(AND(OR(Nonlabor!$D$7="Both",Nonlabor!$D$7='Start Here'!$B$9),IF(Nonlabor!$E$7="Core",1,IF(Nonlabor!$E$7="AI",'Start Here'!$B$7,'Start Here'!$B$8))=1,C2749&gt;=IF(Nonlabor!$E$7="Core",Nonlabor!$F$7,MAX(Nonlabor!$F$7,IF(Nonlabor!$E$7="AI",Assumptions!$E$24,Assumptions!$E$25))),C2749&lt;=Nonlabor!$G$7,OR(Nonlabor!$H$7="Monthly",AND(Nonlabor!$H$7="Once",C2749=IF(Nonlabor!$E$7="Core",Nonlabor!$F$7,MAX(Nonlabor!$F$7,IF(Nonlabor!$E$7="AI",Assumptions!$E$24,Assumptions!$E$25)))),AND(Nonlabor!$H$7="Annual",MOD(C2749-IF(Nonlabor!$E$7="Core",Nonlabor!$F$7,MAX(Nonlabor!$F$7,IF(Nonlabor!$E$7="AI",Assumptions!$E$24,Assumptions!$E$25))),12)=0))),IF(Nonlabor!$I$7="Fixed",1,IF(Nonlabor!$I$7="Seats",ROUNDUP('Monthly Growth'!I49,0),IF(Nonlabor!$I$7="Customers",'Monthly Growth'!D49,IF(Nonlabor!$I$7="NewCustomers",'Monthly Growth'!C49,IF(Nonlabor!$I$7="StorageGB",'Monthly Growth'!G49,IF(Nonlabor!$I$7="LogGB",'Monthly Growth'!H49,IF(Nonlabor!$I$7="RequestsM",'Monthly Growth'!F49,IF(Nonlabor!$I$7="InputM",'Monthly Growth'!D49*Assumptions!$E$22/1000000,IF(Nonlabor!$I$7="OutputM",'Monthly Growth'!D49*Assumptions!$E$23/1000000,0))))))))),0)</f>
        <v>1</v>
      </c>
      <c r="F2749" s="10" t="n">
        <f aca="false">Nonlabor!$J$7*(1+Assumptions!$E$9)^INT((C2749-1)/12)</f>
        <v>674.9184</v>
      </c>
      <c r="G2749" s="10" t="n">
        <f aca="false">E2749*F2749</f>
        <v>674.9184</v>
      </c>
      <c r="H2749" s="10" t="n">
        <f aca="false">IF(OR(Nonlabor!$L$7="Quote required",Nonlabor!$L$7="Unverified"),G2749,0)</f>
        <v>674.9184</v>
      </c>
      <c r="I2749" s="10" t="n">
        <f aca="false">IF(Nonlabor!$E$7="Core",0,G2749)</f>
        <v>0</v>
      </c>
      <c r="J2749" s="23" t="str">
        <f aca="false">Nonlabor!$B$7</f>
        <v>INFRA</v>
      </c>
    </row>
    <row r="2750" customFormat="false" ht="15" hidden="false" customHeight="false" outlineLevel="0" collapsed="false">
      <c r="A2750" s="6" t="s">
        <v>73</v>
      </c>
      <c r="B2750" s="6" t="s">
        <v>373</v>
      </c>
      <c r="C2750" s="6" t="n">
        <v>45</v>
      </c>
      <c r="D2750" s="25" t="n">
        <f aca="false">EDATE('Start Here'!$B$6,C2750-1)</f>
        <v>47665</v>
      </c>
      <c r="E2750" s="23" t="n">
        <f aca="false">IF(AND(OR(Nonlabor!$D$7="Both",Nonlabor!$D$7='Start Here'!$B$9),IF(Nonlabor!$E$7="Core",1,IF(Nonlabor!$E$7="AI",'Start Here'!$B$7,'Start Here'!$B$8))=1,C2750&gt;=IF(Nonlabor!$E$7="Core",Nonlabor!$F$7,MAX(Nonlabor!$F$7,IF(Nonlabor!$E$7="AI",Assumptions!$E$24,Assumptions!$E$25))),C2750&lt;=Nonlabor!$G$7,OR(Nonlabor!$H$7="Monthly",AND(Nonlabor!$H$7="Once",C2750=IF(Nonlabor!$E$7="Core",Nonlabor!$F$7,MAX(Nonlabor!$F$7,IF(Nonlabor!$E$7="AI",Assumptions!$E$24,Assumptions!$E$25)))),AND(Nonlabor!$H$7="Annual",MOD(C2750-IF(Nonlabor!$E$7="Core",Nonlabor!$F$7,MAX(Nonlabor!$F$7,IF(Nonlabor!$E$7="AI",Assumptions!$E$24,Assumptions!$E$25))),12)=0))),IF(Nonlabor!$I$7="Fixed",1,IF(Nonlabor!$I$7="Seats",ROUNDUP('Monthly Growth'!I50,0),IF(Nonlabor!$I$7="Customers",'Monthly Growth'!D50,IF(Nonlabor!$I$7="NewCustomers",'Monthly Growth'!C50,IF(Nonlabor!$I$7="StorageGB",'Monthly Growth'!G50,IF(Nonlabor!$I$7="LogGB",'Monthly Growth'!H50,IF(Nonlabor!$I$7="RequestsM",'Monthly Growth'!F50,IF(Nonlabor!$I$7="InputM",'Monthly Growth'!D50*Assumptions!$E$22/1000000,IF(Nonlabor!$I$7="OutputM",'Monthly Growth'!D50*Assumptions!$E$23/1000000,0))))))))),0)</f>
        <v>1</v>
      </c>
      <c r="F2750" s="10" t="n">
        <f aca="false">Nonlabor!$J$7*(1+Assumptions!$E$9)^INT((C2750-1)/12)</f>
        <v>674.9184</v>
      </c>
      <c r="G2750" s="10" t="n">
        <f aca="false">E2750*F2750</f>
        <v>674.9184</v>
      </c>
      <c r="H2750" s="10" t="n">
        <f aca="false">IF(OR(Nonlabor!$L$7="Quote required",Nonlabor!$L$7="Unverified"),G2750,0)</f>
        <v>674.9184</v>
      </c>
      <c r="I2750" s="10" t="n">
        <f aca="false">IF(Nonlabor!$E$7="Core",0,G2750)</f>
        <v>0</v>
      </c>
      <c r="J2750" s="23" t="str">
        <f aca="false">Nonlabor!$B$7</f>
        <v>INFRA</v>
      </c>
    </row>
    <row r="2751" customFormat="false" ht="15" hidden="false" customHeight="false" outlineLevel="0" collapsed="false">
      <c r="A2751" s="6" t="s">
        <v>73</v>
      </c>
      <c r="B2751" s="6" t="s">
        <v>373</v>
      </c>
      <c r="C2751" s="6" t="n">
        <v>46</v>
      </c>
      <c r="D2751" s="25" t="n">
        <f aca="false">EDATE('Start Here'!$B$6,C2751-1)</f>
        <v>47696</v>
      </c>
      <c r="E2751" s="23" t="n">
        <f aca="false">IF(AND(OR(Nonlabor!$D$7="Both",Nonlabor!$D$7='Start Here'!$B$9),IF(Nonlabor!$E$7="Core",1,IF(Nonlabor!$E$7="AI",'Start Here'!$B$7,'Start Here'!$B$8))=1,C2751&gt;=IF(Nonlabor!$E$7="Core",Nonlabor!$F$7,MAX(Nonlabor!$F$7,IF(Nonlabor!$E$7="AI",Assumptions!$E$24,Assumptions!$E$25))),C2751&lt;=Nonlabor!$G$7,OR(Nonlabor!$H$7="Monthly",AND(Nonlabor!$H$7="Once",C2751=IF(Nonlabor!$E$7="Core",Nonlabor!$F$7,MAX(Nonlabor!$F$7,IF(Nonlabor!$E$7="AI",Assumptions!$E$24,Assumptions!$E$25)))),AND(Nonlabor!$H$7="Annual",MOD(C2751-IF(Nonlabor!$E$7="Core",Nonlabor!$F$7,MAX(Nonlabor!$F$7,IF(Nonlabor!$E$7="AI",Assumptions!$E$24,Assumptions!$E$25))),12)=0))),IF(Nonlabor!$I$7="Fixed",1,IF(Nonlabor!$I$7="Seats",ROUNDUP('Monthly Growth'!I51,0),IF(Nonlabor!$I$7="Customers",'Monthly Growth'!D51,IF(Nonlabor!$I$7="NewCustomers",'Monthly Growth'!C51,IF(Nonlabor!$I$7="StorageGB",'Monthly Growth'!G51,IF(Nonlabor!$I$7="LogGB",'Monthly Growth'!H51,IF(Nonlabor!$I$7="RequestsM",'Monthly Growth'!F51,IF(Nonlabor!$I$7="InputM",'Monthly Growth'!D51*Assumptions!$E$22/1000000,IF(Nonlabor!$I$7="OutputM",'Monthly Growth'!D51*Assumptions!$E$23/1000000,0))))))))),0)</f>
        <v>1</v>
      </c>
      <c r="F2751" s="10" t="n">
        <f aca="false">Nonlabor!$J$7*(1+Assumptions!$E$9)^INT((C2751-1)/12)</f>
        <v>674.9184</v>
      </c>
      <c r="G2751" s="10" t="n">
        <f aca="false">E2751*F2751</f>
        <v>674.9184</v>
      </c>
      <c r="H2751" s="10" t="n">
        <f aca="false">IF(OR(Nonlabor!$L$7="Quote required",Nonlabor!$L$7="Unverified"),G2751,0)</f>
        <v>674.9184</v>
      </c>
      <c r="I2751" s="10" t="n">
        <f aca="false">IF(Nonlabor!$E$7="Core",0,G2751)</f>
        <v>0</v>
      </c>
      <c r="J2751" s="23" t="str">
        <f aca="false">Nonlabor!$B$7</f>
        <v>INFRA</v>
      </c>
    </row>
    <row r="2752" customFormat="false" ht="15" hidden="false" customHeight="false" outlineLevel="0" collapsed="false">
      <c r="A2752" s="6" t="s">
        <v>73</v>
      </c>
      <c r="B2752" s="6" t="s">
        <v>373</v>
      </c>
      <c r="C2752" s="6" t="n">
        <v>47</v>
      </c>
      <c r="D2752" s="25" t="n">
        <f aca="false">EDATE('Start Here'!$B$6,C2752-1)</f>
        <v>47727</v>
      </c>
      <c r="E2752" s="23" t="n">
        <f aca="false">IF(AND(OR(Nonlabor!$D$7="Both",Nonlabor!$D$7='Start Here'!$B$9),IF(Nonlabor!$E$7="Core",1,IF(Nonlabor!$E$7="AI",'Start Here'!$B$7,'Start Here'!$B$8))=1,C2752&gt;=IF(Nonlabor!$E$7="Core",Nonlabor!$F$7,MAX(Nonlabor!$F$7,IF(Nonlabor!$E$7="AI",Assumptions!$E$24,Assumptions!$E$25))),C2752&lt;=Nonlabor!$G$7,OR(Nonlabor!$H$7="Monthly",AND(Nonlabor!$H$7="Once",C2752=IF(Nonlabor!$E$7="Core",Nonlabor!$F$7,MAX(Nonlabor!$F$7,IF(Nonlabor!$E$7="AI",Assumptions!$E$24,Assumptions!$E$25)))),AND(Nonlabor!$H$7="Annual",MOD(C2752-IF(Nonlabor!$E$7="Core",Nonlabor!$F$7,MAX(Nonlabor!$F$7,IF(Nonlabor!$E$7="AI",Assumptions!$E$24,Assumptions!$E$25))),12)=0))),IF(Nonlabor!$I$7="Fixed",1,IF(Nonlabor!$I$7="Seats",ROUNDUP('Monthly Growth'!I52,0),IF(Nonlabor!$I$7="Customers",'Monthly Growth'!D52,IF(Nonlabor!$I$7="NewCustomers",'Monthly Growth'!C52,IF(Nonlabor!$I$7="StorageGB",'Monthly Growth'!G52,IF(Nonlabor!$I$7="LogGB",'Monthly Growth'!H52,IF(Nonlabor!$I$7="RequestsM",'Monthly Growth'!F52,IF(Nonlabor!$I$7="InputM",'Monthly Growth'!D52*Assumptions!$E$22/1000000,IF(Nonlabor!$I$7="OutputM",'Monthly Growth'!D52*Assumptions!$E$23/1000000,0))))))))),0)</f>
        <v>1</v>
      </c>
      <c r="F2752" s="10" t="n">
        <f aca="false">Nonlabor!$J$7*(1+Assumptions!$E$9)^INT((C2752-1)/12)</f>
        <v>674.9184</v>
      </c>
      <c r="G2752" s="10" t="n">
        <f aca="false">E2752*F2752</f>
        <v>674.9184</v>
      </c>
      <c r="H2752" s="10" t="n">
        <f aca="false">IF(OR(Nonlabor!$L$7="Quote required",Nonlabor!$L$7="Unverified"),G2752,0)</f>
        <v>674.9184</v>
      </c>
      <c r="I2752" s="10" t="n">
        <f aca="false">IF(Nonlabor!$E$7="Core",0,G2752)</f>
        <v>0</v>
      </c>
      <c r="J2752" s="23" t="str">
        <f aca="false">Nonlabor!$B$7</f>
        <v>INFRA</v>
      </c>
    </row>
    <row r="2753" customFormat="false" ht="15" hidden="false" customHeight="false" outlineLevel="0" collapsed="false">
      <c r="A2753" s="6" t="s">
        <v>73</v>
      </c>
      <c r="B2753" s="6" t="s">
        <v>373</v>
      </c>
      <c r="C2753" s="6" t="n">
        <v>48</v>
      </c>
      <c r="D2753" s="25" t="n">
        <f aca="false">EDATE('Start Here'!$B$6,C2753-1)</f>
        <v>47757</v>
      </c>
      <c r="E2753" s="23" t="n">
        <f aca="false">IF(AND(OR(Nonlabor!$D$7="Both",Nonlabor!$D$7='Start Here'!$B$9),IF(Nonlabor!$E$7="Core",1,IF(Nonlabor!$E$7="AI",'Start Here'!$B$7,'Start Here'!$B$8))=1,C2753&gt;=IF(Nonlabor!$E$7="Core",Nonlabor!$F$7,MAX(Nonlabor!$F$7,IF(Nonlabor!$E$7="AI",Assumptions!$E$24,Assumptions!$E$25))),C2753&lt;=Nonlabor!$G$7,OR(Nonlabor!$H$7="Monthly",AND(Nonlabor!$H$7="Once",C2753=IF(Nonlabor!$E$7="Core",Nonlabor!$F$7,MAX(Nonlabor!$F$7,IF(Nonlabor!$E$7="AI",Assumptions!$E$24,Assumptions!$E$25)))),AND(Nonlabor!$H$7="Annual",MOD(C2753-IF(Nonlabor!$E$7="Core",Nonlabor!$F$7,MAX(Nonlabor!$F$7,IF(Nonlabor!$E$7="AI",Assumptions!$E$24,Assumptions!$E$25))),12)=0))),IF(Nonlabor!$I$7="Fixed",1,IF(Nonlabor!$I$7="Seats",ROUNDUP('Monthly Growth'!I53,0),IF(Nonlabor!$I$7="Customers",'Monthly Growth'!D53,IF(Nonlabor!$I$7="NewCustomers",'Monthly Growth'!C53,IF(Nonlabor!$I$7="StorageGB",'Monthly Growth'!G53,IF(Nonlabor!$I$7="LogGB",'Monthly Growth'!H53,IF(Nonlabor!$I$7="RequestsM",'Monthly Growth'!F53,IF(Nonlabor!$I$7="InputM",'Monthly Growth'!D53*Assumptions!$E$22/1000000,IF(Nonlabor!$I$7="OutputM",'Monthly Growth'!D53*Assumptions!$E$23/1000000,0))))))))),0)</f>
        <v>1</v>
      </c>
      <c r="F2753" s="10" t="n">
        <f aca="false">Nonlabor!$J$7*(1+Assumptions!$E$9)^INT((C2753-1)/12)</f>
        <v>674.9184</v>
      </c>
      <c r="G2753" s="10" t="n">
        <f aca="false">E2753*F2753</f>
        <v>674.9184</v>
      </c>
      <c r="H2753" s="10" t="n">
        <f aca="false">IF(OR(Nonlabor!$L$7="Quote required",Nonlabor!$L$7="Unverified"),G2753,0)</f>
        <v>674.9184</v>
      </c>
      <c r="I2753" s="10" t="n">
        <f aca="false">IF(Nonlabor!$E$7="Core",0,G2753)</f>
        <v>0</v>
      </c>
      <c r="J2753" s="23" t="str">
        <f aca="false">Nonlabor!$B$7</f>
        <v>INFRA</v>
      </c>
    </row>
    <row r="2754" customFormat="false" ht="15" hidden="false" customHeight="false" outlineLevel="0" collapsed="false">
      <c r="A2754" s="6" t="s">
        <v>73</v>
      </c>
      <c r="B2754" s="6" t="s">
        <v>373</v>
      </c>
      <c r="C2754" s="6" t="n">
        <v>49</v>
      </c>
      <c r="D2754" s="25" t="n">
        <f aca="false">EDATE('Start Here'!$B$6,C2754-1)</f>
        <v>47788</v>
      </c>
      <c r="E2754" s="23" t="n">
        <f aca="false">IF(AND(OR(Nonlabor!$D$7="Both",Nonlabor!$D$7='Start Here'!$B$9),IF(Nonlabor!$E$7="Core",1,IF(Nonlabor!$E$7="AI",'Start Here'!$B$7,'Start Here'!$B$8))=1,C2754&gt;=IF(Nonlabor!$E$7="Core",Nonlabor!$F$7,MAX(Nonlabor!$F$7,IF(Nonlabor!$E$7="AI",Assumptions!$E$24,Assumptions!$E$25))),C2754&lt;=Nonlabor!$G$7,OR(Nonlabor!$H$7="Monthly",AND(Nonlabor!$H$7="Once",C2754=IF(Nonlabor!$E$7="Core",Nonlabor!$F$7,MAX(Nonlabor!$F$7,IF(Nonlabor!$E$7="AI",Assumptions!$E$24,Assumptions!$E$25)))),AND(Nonlabor!$H$7="Annual",MOD(C2754-IF(Nonlabor!$E$7="Core",Nonlabor!$F$7,MAX(Nonlabor!$F$7,IF(Nonlabor!$E$7="AI",Assumptions!$E$24,Assumptions!$E$25))),12)=0))),IF(Nonlabor!$I$7="Fixed",1,IF(Nonlabor!$I$7="Seats",ROUNDUP('Monthly Growth'!I54,0),IF(Nonlabor!$I$7="Customers",'Monthly Growth'!D54,IF(Nonlabor!$I$7="NewCustomers",'Monthly Growth'!C54,IF(Nonlabor!$I$7="StorageGB",'Monthly Growth'!G54,IF(Nonlabor!$I$7="LogGB",'Monthly Growth'!H54,IF(Nonlabor!$I$7="RequestsM",'Monthly Growth'!F54,IF(Nonlabor!$I$7="InputM",'Monthly Growth'!D54*Assumptions!$E$22/1000000,IF(Nonlabor!$I$7="OutputM",'Monthly Growth'!D54*Assumptions!$E$23/1000000,0))))))))),0)</f>
        <v>1</v>
      </c>
      <c r="F2754" s="10" t="n">
        <f aca="false">Nonlabor!$J$7*(1+Assumptions!$E$9)^INT((C2754-1)/12)</f>
        <v>701.915136</v>
      </c>
      <c r="G2754" s="10" t="n">
        <f aca="false">E2754*F2754</f>
        <v>701.915136</v>
      </c>
      <c r="H2754" s="10" t="n">
        <f aca="false">IF(OR(Nonlabor!$L$7="Quote required",Nonlabor!$L$7="Unverified"),G2754,0)</f>
        <v>701.915136</v>
      </c>
      <c r="I2754" s="10" t="n">
        <f aca="false">IF(Nonlabor!$E$7="Core",0,G2754)</f>
        <v>0</v>
      </c>
      <c r="J2754" s="23" t="str">
        <f aca="false">Nonlabor!$B$7</f>
        <v>INFRA</v>
      </c>
    </row>
    <row r="2755" customFormat="false" ht="15" hidden="false" customHeight="false" outlineLevel="0" collapsed="false">
      <c r="A2755" s="6" t="s">
        <v>73</v>
      </c>
      <c r="B2755" s="6" t="s">
        <v>373</v>
      </c>
      <c r="C2755" s="6" t="n">
        <v>50</v>
      </c>
      <c r="D2755" s="25" t="n">
        <f aca="false">EDATE('Start Here'!$B$6,C2755-1)</f>
        <v>47818</v>
      </c>
      <c r="E2755" s="23" t="n">
        <f aca="false">IF(AND(OR(Nonlabor!$D$7="Both",Nonlabor!$D$7='Start Here'!$B$9),IF(Nonlabor!$E$7="Core",1,IF(Nonlabor!$E$7="AI",'Start Here'!$B$7,'Start Here'!$B$8))=1,C2755&gt;=IF(Nonlabor!$E$7="Core",Nonlabor!$F$7,MAX(Nonlabor!$F$7,IF(Nonlabor!$E$7="AI",Assumptions!$E$24,Assumptions!$E$25))),C2755&lt;=Nonlabor!$G$7,OR(Nonlabor!$H$7="Monthly",AND(Nonlabor!$H$7="Once",C2755=IF(Nonlabor!$E$7="Core",Nonlabor!$F$7,MAX(Nonlabor!$F$7,IF(Nonlabor!$E$7="AI",Assumptions!$E$24,Assumptions!$E$25)))),AND(Nonlabor!$H$7="Annual",MOD(C2755-IF(Nonlabor!$E$7="Core",Nonlabor!$F$7,MAX(Nonlabor!$F$7,IF(Nonlabor!$E$7="AI",Assumptions!$E$24,Assumptions!$E$25))),12)=0))),IF(Nonlabor!$I$7="Fixed",1,IF(Nonlabor!$I$7="Seats",ROUNDUP('Monthly Growth'!I55,0),IF(Nonlabor!$I$7="Customers",'Monthly Growth'!D55,IF(Nonlabor!$I$7="NewCustomers",'Monthly Growth'!C55,IF(Nonlabor!$I$7="StorageGB",'Monthly Growth'!G55,IF(Nonlabor!$I$7="LogGB",'Monthly Growth'!H55,IF(Nonlabor!$I$7="RequestsM",'Monthly Growth'!F55,IF(Nonlabor!$I$7="InputM",'Monthly Growth'!D55*Assumptions!$E$22/1000000,IF(Nonlabor!$I$7="OutputM",'Monthly Growth'!D55*Assumptions!$E$23/1000000,0))))))))),0)</f>
        <v>1</v>
      </c>
      <c r="F2755" s="10" t="n">
        <f aca="false">Nonlabor!$J$7*(1+Assumptions!$E$9)^INT((C2755-1)/12)</f>
        <v>701.915136</v>
      </c>
      <c r="G2755" s="10" t="n">
        <f aca="false">E2755*F2755</f>
        <v>701.915136</v>
      </c>
      <c r="H2755" s="10" t="n">
        <f aca="false">IF(OR(Nonlabor!$L$7="Quote required",Nonlabor!$L$7="Unverified"),G2755,0)</f>
        <v>701.915136</v>
      </c>
      <c r="I2755" s="10" t="n">
        <f aca="false">IF(Nonlabor!$E$7="Core",0,G2755)</f>
        <v>0</v>
      </c>
      <c r="J2755" s="23" t="str">
        <f aca="false">Nonlabor!$B$7</f>
        <v>INFRA</v>
      </c>
    </row>
    <row r="2756" customFormat="false" ht="15" hidden="false" customHeight="false" outlineLevel="0" collapsed="false">
      <c r="A2756" s="6" t="s">
        <v>73</v>
      </c>
      <c r="B2756" s="6" t="s">
        <v>373</v>
      </c>
      <c r="C2756" s="6" t="n">
        <v>51</v>
      </c>
      <c r="D2756" s="25" t="n">
        <f aca="false">EDATE('Start Here'!$B$6,C2756-1)</f>
        <v>47849</v>
      </c>
      <c r="E2756" s="23" t="n">
        <f aca="false">IF(AND(OR(Nonlabor!$D$7="Both",Nonlabor!$D$7='Start Here'!$B$9),IF(Nonlabor!$E$7="Core",1,IF(Nonlabor!$E$7="AI",'Start Here'!$B$7,'Start Here'!$B$8))=1,C2756&gt;=IF(Nonlabor!$E$7="Core",Nonlabor!$F$7,MAX(Nonlabor!$F$7,IF(Nonlabor!$E$7="AI",Assumptions!$E$24,Assumptions!$E$25))),C2756&lt;=Nonlabor!$G$7,OR(Nonlabor!$H$7="Monthly",AND(Nonlabor!$H$7="Once",C2756=IF(Nonlabor!$E$7="Core",Nonlabor!$F$7,MAX(Nonlabor!$F$7,IF(Nonlabor!$E$7="AI",Assumptions!$E$24,Assumptions!$E$25)))),AND(Nonlabor!$H$7="Annual",MOD(C2756-IF(Nonlabor!$E$7="Core",Nonlabor!$F$7,MAX(Nonlabor!$F$7,IF(Nonlabor!$E$7="AI",Assumptions!$E$24,Assumptions!$E$25))),12)=0))),IF(Nonlabor!$I$7="Fixed",1,IF(Nonlabor!$I$7="Seats",ROUNDUP('Monthly Growth'!I56,0),IF(Nonlabor!$I$7="Customers",'Monthly Growth'!D56,IF(Nonlabor!$I$7="NewCustomers",'Monthly Growth'!C56,IF(Nonlabor!$I$7="StorageGB",'Monthly Growth'!G56,IF(Nonlabor!$I$7="LogGB",'Monthly Growth'!H56,IF(Nonlabor!$I$7="RequestsM",'Monthly Growth'!F56,IF(Nonlabor!$I$7="InputM",'Monthly Growth'!D56*Assumptions!$E$22/1000000,IF(Nonlabor!$I$7="OutputM",'Monthly Growth'!D56*Assumptions!$E$23/1000000,0))))))))),0)</f>
        <v>1</v>
      </c>
      <c r="F2756" s="10" t="n">
        <f aca="false">Nonlabor!$J$7*(1+Assumptions!$E$9)^INT((C2756-1)/12)</f>
        <v>701.915136</v>
      </c>
      <c r="G2756" s="10" t="n">
        <f aca="false">E2756*F2756</f>
        <v>701.915136</v>
      </c>
      <c r="H2756" s="10" t="n">
        <f aca="false">IF(OR(Nonlabor!$L$7="Quote required",Nonlabor!$L$7="Unverified"),G2756,0)</f>
        <v>701.915136</v>
      </c>
      <c r="I2756" s="10" t="n">
        <f aca="false">IF(Nonlabor!$E$7="Core",0,G2756)</f>
        <v>0</v>
      </c>
      <c r="J2756" s="23" t="str">
        <f aca="false">Nonlabor!$B$7</f>
        <v>INFRA</v>
      </c>
    </row>
    <row r="2757" customFormat="false" ht="15" hidden="false" customHeight="false" outlineLevel="0" collapsed="false">
      <c r="A2757" s="6" t="s">
        <v>73</v>
      </c>
      <c r="B2757" s="6" t="s">
        <v>373</v>
      </c>
      <c r="C2757" s="6" t="n">
        <v>52</v>
      </c>
      <c r="D2757" s="25" t="n">
        <f aca="false">EDATE('Start Here'!$B$6,C2757-1)</f>
        <v>47880</v>
      </c>
      <c r="E2757" s="23" t="n">
        <f aca="false">IF(AND(OR(Nonlabor!$D$7="Both",Nonlabor!$D$7='Start Here'!$B$9),IF(Nonlabor!$E$7="Core",1,IF(Nonlabor!$E$7="AI",'Start Here'!$B$7,'Start Here'!$B$8))=1,C2757&gt;=IF(Nonlabor!$E$7="Core",Nonlabor!$F$7,MAX(Nonlabor!$F$7,IF(Nonlabor!$E$7="AI",Assumptions!$E$24,Assumptions!$E$25))),C2757&lt;=Nonlabor!$G$7,OR(Nonlabor!$H$7="Monthly",AND(Nonlabor!$H$7="Once",C2757=IF(Nonlabor!$E$7="Core",Nonlabor!$F$7,MAX(Nonlabor!$F$7,IF(Nonlabor!$E$7="AI",Assumptions!$E$24,Assumptions!$E$25)))),AND(Nonlabor!$H$7="Annual",MOD(C2757-IF(Nonlabor!$E$7="Core",Nonlabor!$F$7,MAX(Nonlabor!$F$7,IF(Nonlabor!$E$7="AI",Assumptions!$E$24,Assumptions!$E$25))),12)=0))),IF(Nonlabor!$I$7="Fixed",1,IF(Nonlabor!$I$7="Seats",ROUNDUP('Monthly Growth'!I57,0),IF(Nonlabor!$I$7="Customers",'Monthly Growth'!D57,IF(Nonlabor!$I$7="NewCustomers",'Monthly Growth'!C57,IF(Nonlabor!$I$7="StorageGB",'Monthly Growth'!G57,IF(Nonlabor!$I$7="LogGB",'Monthly Growth'!H57,IF(Nonlabor!$I$7="RequestsM",'Monthly Growth'!F57,IF(Nonlabor!$I$7="InputM",'Monthly Growth'!D57*Assumptions!$E$22/1000000,IF(Nonlabor!$I$7="OutputM",'Monthly Growth'!D57*Assumptions!$E$23/1000000,0))))))))),0)</f>
        <v>1</v>
      </c>
      <c r="F2757" s="10" t="n">
        <f aca="false">Nonlabor!$J$7*(1+Assumptions!$E$9)^INT((C2757-1)/12)</f>
        <v>701.915136</v>
      </c>
      <c r="G2757" s="10" t="n">
        <f aca="false">E2757*F2757</f>
        <v>701.915136</v>
      </c>
      <c r="H2757" s="10" t="n">
        <f aca="false">IF(OR(Nonlabor!$L$7="Quote required",Nonlabor!$L$7="Unverified"),G2757,0)</f>
        <v>701.915136</v>
      </c>
      <c r="I2757" s="10" t="n">
        <f aca="false">IF(Nonlabor!$E$7="Core",0,G2757)</f>
        <v>0</v>
      </c>
      <c r="J2757" s="23" t="str">
        <f aca="false">Nonlabor!$B$7</f>
        <v>INFRA</v>
      </c>
    </row>
    <row r="2758" customFormat="false" ht="15" hidden="false" customHeight="false" outlineLevel="0" collapsed="false">
      <c r="A2758" s="6" t="s">
        <v>73</v>
      </c>
      <c r="B2758" s="6" t="s">
        <v>373</v>
      </c>
      <c r="C2758" s="6" t="n">
        <v>53</v>
      </c>
      <c r="D2758" s="25" t="n">
        <f aca="false">EDATE('Start Here'!$B$6,C2758-1)</f>
        <v>47908</v>
      </c>
      <c r="E2758" s="23" t="n">
        <f aca="false">IF(AND(OR(Nonlabor!$D$7="Both",Nonlabor!$D$7='Start Here'!$B$9),IF(Nonlabor!$E$7="Core",1,IF(Nonlabor!$E$7="AI",'Start Here'!$B$7,'Start Here'!$B$8))=1,C2758&gt;=IF(Nonlabor!$E$7="Core",Nonlabor!$F$7,MAX(Nonlabor!$F$7,IF(Nonlabor!$E$7="AI",Assumptions!$E$24,Assumptions!$E$25))),C2758&lt;=Nonlabor!$G$7,OR(Nonlabor!$H$7="Monthly",AND(Nonlabor!$H$7="Once",C2758=IF(Nonlabor!$E$7="Core",Nonlabor!$F$7,MAX(Nonlabor!$F$7,IF(Nonlabor!$E$7="AI",Assumptions!$E$24,Assumptions!$E$25)))),AND(Nonlabor!$H$7="Annual",MOD(C2758-IF(Nonlabor!$E$7="Core",Nonlabor!$F$7,MAX(Nonlabor!$F$7,IF(Nonlabor!$E$7="AI",Assumptions!$E$24,Assumptions!$E$25))),12)=0))),IF(Nonlabor!$I$7="Fixed",1,IF(Nonlabor!$I$7="Seats",ROUNDUP('Monthly Growth'!I58,0),IF(Nonlabor!$I$7="Customers",'Monthly Growth'!D58,IF(Nonlabor!$I$7="NewCustomers",'Monthly Growth'!C58,IF(Nonlabor!$I$7="StorageGB",'Monthly Growth'!G58,IF(Nonlabor!$I$7="LogGB",'Monthly Growth'!H58,IF(Nonlabor!$I$7="RequestsM",'Monthly Growth'!F58,IF(Nonlabor!$I$7="InputM",'Monthly Growth'!D58*Assumptions!$E$22/1000000,IF(Nonlabor!$I$7="OutputM",'Monthly Growth'!D58*Assumptions!$E$23/1000000,0))))))))),0)</f>
        <v>1</v>
      </c>
      <c r="F2758" s="10" t="n">
        <f aca="false">Nonlabor!$J$7*(1+Assumptions!$E$9)^INT((C2758-1)/12)</f>
        <v>701.915136</v>
      </c>
      <c r="G2758" s="10" t="n">
        <f aca="false">E2758*F2758</f>
        <v>701.915136</v>
      </c>
      <c r="H2758" s="10" t="n">
        <f aca="false">IF(OR(Nonlabor!$L$7="Quote required",Nonlabor!$L$7="Unverified"),G2758,0)</f>
        <v>701.915136</v>
      </c>
      <c r="I2758" s="10" t="n">
        <f aca="false">IF(Nonlabor!$E$7="Core",0,G2758)</f>
        <v>0</v>
      </c>
      <c r="J2758" s="23" t="str">
        <f aca="false">Nonlabor!$B$7</f>
        <v>INFRA</v>
      </c>
    </row>
    <row r="2759" customFormat="false" ht="15" hidden="false" customHeight="false" outlineLevel="0" collapsed="false">
      <c r="A2759" s="6" t="s">
        <v>73</v>
      </c>
      <c r="B2759" s="6" t="s">
        <v>373</v>
      </c>
      <c r="C2759" s="6" t="n">
        <v>54</v>
      </c>
      <c r="D2759" s="25" t="n">
        <f aca="false">EDATE('Start Here'!$B$6,C2759-1)</f>
        <v>47939</v>
      </c>
      <c r="E2759" s="23" t="n">
        <f aca="false">IF(AND(OR(Nonlabor!$D$7="Both",Nonlabor!$D$7='Start Here'!$B$9),IF(Nonlabor!$E$7="Core",1,IF(Nonlabor!$E$7="AI",'Start Here'!$B$7,'Start Here'!$B$8))=1,C2759&gt;=IF(Nonlabor!$E$7="Core",Nonlabor!$F$7,MAX(Nonlabor!$F$7,IF(Nonlabor!$E$7="AI",Assumptions!$E$24,Assumptions!$E$25))),C2759&lt;=Nonlabor!$G$7,OR(Nonlabor!$H$7="Monthly",AND(Nonlabor!$H$7="Once",C2759=IF(Nonlabor!$E$7="Core",Nonlabor!$F$7,MAX(Nonlabor!$F$7,IF(Nonlabor!$E$7="AI",Assumptions!$E$24,Assumptions!$E$25)))),AND(Nonlabor!$H$7="Annual",MOD(C2759-IF(Nonlabor!$E$7="Core",Nonlabor!$F$7,MAX(Nonlabor!$F$7,IF(Nonlabor!$E$7="AI",Assumptions!$E$24,Assumptions!$E$25))),12)=0))),IF(Nonlabor!$I$7="Fixed",1,IF(Nonlabor!$I$7="Seats",ROUNDUP('Monthly Growth'!I59,0),IF(Nonlabor!$I$7="Customers",'Monthly Growth'!D59,IF(Nonlabor!$I$7="NewCustomers",'Monthly Growth'!C59,IF(Nonlabor!$I$7="StorageGB",'Monthly Growth'!G59,IF(Nonlabor!$I$7="LogGB",'Monthly Growth'!H59,IF(Nonlabor!$I$7="RequestsM",'Monthly Growth'!F59,IF(Nonlabor!$I$7="InputM",'Monthly Growth'!D59*Assumptions!$E$22/1000000,IF(Nonlabor!$I$7="OutputM",'Monthly Growth'!D59*Assumptions!$E$23/1000000,0))))))))),0)</f>
        <v>1</v>
      </c>
      <c r="F2759" s="10" t="n">
        <f aca="false">Nonlabor!$J$7*(1+Assumptions!$E$9)^INT((C2759-1)/12)</f>
        <v>701.915136</v>
      </c>
      <c r="G2759" s="10" t="n">
        <f aca="false">E2759*F2759</f>
        <v>701.915136</v>
      </c>
      <c r="H2759" s="10" t="n">
        <f aca="false">IF(OR(Nonlabor!$L$7="Quote required",Nonlabor!$L$7="Unverified"),G2759,0)</f>
        <v>701.915136</v>
      </c>
      <c r="I2759" s="10" t="n">
        <f aca="false">IF(Nonlabor!$E$7="Core",0,G2759)</f>
        <v>0</v>
      </c>
      <c r="J2759" s="23" t="str">
        <f aca="false">Nonlabor!$B$7</f>
        <v>INFRA</v>
      </c>
    </row>
    <row r="2760" customFormat="false" ht="15" hidden="false" customHeight="false" outlineLevel="0" collapsed="false">
      <c r="A2760" s="6" t="s">
        <v>73</v>
      </c>
      <c r="B2760" s="6" t="s">
        <v>373</v>
      </c>
      <c r="C2760" s="6" t="n">
        <v>55</v>
      </c>
      <c r="D2760" s="25" t="n">
        <f aca="false">EDATE('Start Here'!$B$6,C2760-1)</f>
        <v>47969</v>
      </c>
      <c r="E2760" s="23" t="n">
        <f aca="false">IF(AND(OR(Nonlabor!$D$7="Both",Nonlabor!$D$7='Start Here'!$B$9),IF(Nonlabor!$E$7="Core",1,IF(Nonlabor!$E$7="AI",'Start Here'!$B$7,'Start Here'!$B$8))=1,C2760&gt;=IF(Nonlabor!$E$7="Core",Nonlabor!$F$7,MAX(Nonlabor!$F$7,IF(Nonlabor!$E$7="AI",Assumptions!$E$24,Assumptions!$E$25))),C2760&lt;=Nonlabor!$G$7,OR(Nonlabor!$H$7="Monthly",AND(Nonlabor!$H$7="Once",C2760=IF(Nonlabor!$E$7="Core",Nonlabor!$F$7,MAX(Nonlabor!$F$7,IF(Nonlabor!$E$7="AI",Assumptions!$E$24,Assumptions!$E$25)))),AND(Nonlabor!$H$7="Annual",MOD(C2760-IF(Nonlabor!$E$7="Core",Nonlabor!$F$7,MAX(Nonlabor!$F$7,IF(Nonlabor!$E$7="AI",Assumptions!$E$24,Assumptions!$E$25))),12)=0))),IF(Nonlabor!$I$7="Fixed",1,IF(Nonlabor!$I$7="Seats",ROUNDUP('Monthly Growth'!I60,0),IF(Nonlabor!$I$7="Customers",'Monthly Growth'!D60,IF(Nonlabor!$I$7="NewCustomers",'Monthly Growth'!C60,IF(Nonlabor!$I$7="StorageGB",'Monthly Growth'!G60,IF(Nonlabor!$I$7="LogGB",'Monthly Growth'!H60,IF(Nonlabor!$I$7="RequestsM",'Monthly Growth'!F60,IF(Nonlabor!$I$7="InputM",'Monthly Growth'!D60*Assumptions!$E$22/1000000,IF(Nonlabor!$I$7="OutputM",'Monthly Growth'!D60*Assumptions!$E$23/1000000,0))))))))),0)</f>
        <v>1</v>
      </c>
      <c r="F2760" s="10" t="n">
        <f aca="false">Nonlabor!$J$7*(1+Assumptions!$E$9)^INT((C2760-1)/12)</f>
        <v>701.915136</v>
      </c>
      <c r="G2760" s="10" t="n">
        <f aca="false">E2760*F2760</f>
        <v>701.915136</v>
      </c>
      <c r="H2760" s="10" t="n">
        <f aca="false">IF(OR(Nonlabor!$L$7="Quote required",Nonlabor!$L$7="Unverified"),G2760,0)</f>
        <v>701.915136</v>
      </c>
      <c r="I2760" s="10" t="n">
        <f aca="false">IF(Nonlabor!$E$7="Core",0,G2760)</f>
        <v>0</v>
      </c>
      <c r="J2760" s="23" t="str">
        <f aca="false">Nonlabor!$B$7</f>
        <v>INFRA</v>
      </c>
    </row>
    <row r="2761" customFormat="false" ht="15" hidden="false" customHeight="false" outlineLevel="0" collapsed="false">
      <c r="A2761" s="6" t="s">
        <v>73</v>
      </c>
      <c r="B2761" s="6" t="s">
        <v>373</v>
      </c>
      <c r="C2761" s="6" t="n">
        <v>56</v>
      </c>
      <c r="D2761" s="25" t="n">
        <f aca="false">EDATE('Start Here'!$B$6,C2761-1)</f>
        <v>48000</v>
      </c>
      <c r="E2761" s="23" t="n">
        <f aca="false">IF(AND(OR(Nonlabor!$D$7="Both",Nonlabor!$D$7='Start Here'!$B$9),IF(Nonlabor!$E$7="Core",1,IF(Nonlabor!$E$7="AI",'Start Here'!$B$7,'Start Here'!$B$8))=1,C2761&gt;=IF(Nonlabor!$E$7="Core",Nonlabor!$F$7,MAX(Nonlabor!$F$7,IF(Nonlabor!$E$7="AI",Assumptions!$E$24,Assumptions!$E$25))),C2761&lt;=Nonlabor!$G$7,OR(Nonlabor!$H$7="Monthly",AND(Nonlabor!$H$7="Once",C2761=IF(Nonlabor!$E$7="Core",Nonlabor!$F$7,MAX(Nonlabor!$F$7,IF(Nonlabor!$E$7="AI",Assumptions!$E$24,Assumptions!$E$25)))),AND(Nonlabor!$H$7="Annual",MOD(C2761-IF(Nonlabor!$E$7="Core",Nonlabor!$F$7,MAX(Nonlabor!$F$7,IF(Nonlabor!$E$7="AI",Assumptions!$E$24,Assumptions!$E$25))),12)=0))),IF(Nonlabor!$I$7="Fixed",1,IF(Nonlabor!$I$7="Seats",ROUNDUP('Monthly Growth'!I61,0),IF(Nonlabor!$I$7="Customers",'Monthly Growth'!D61,IF(Nonlabor!$I$7="NewCustomers",'Monthly Growth'!C61,IF(Nonlabor!$I$7="StorageGB",'Monthly Growth'!G61,IF(Nonlabor!$I$7="LogGB",'Monthly Growth'!H61,IF(Nonlabor!$I$7="RequestsM",'Monthly Growth'!F61,IF(Nonlabor!$I$7="InputM",'Monthly Growth'!D61*Assumptions!$E$22/1000000,IF(Nonlabor!$I$7="OutputM",'Monthly Growth'!D61*Assumptions!$E$23/1000000,0))))))))),0)</f>
        <v>1</v>
      </c>
      <c r="F2761" s="10" t="n">
        <f aca="false">Nonlabor!$J$7*(1+Assumptions!$E$9)^INT((C2761-1)/12)</f>
        <v>701.915136</v>
      </c>
      <c r="G2761" s="10" t="n">
        <f aca="false">E2761*F2761</f>
        <v>701.915136</v>
      </c>
      <c r="H2761" s="10" t="n">
        <f aca="false">IF(OR(Nonlabor!$L$7="Quote required",Nonlabor!$L$7="Unverified"),G2761,0)</f>
        <v>701.915136</v>
      </c>
      <c r="I2761" s="10" t="n">
        <f aca="false">IF(Nonlabor!$E$7="Core",0,G2761)</f>
        <v>0</v>
      </c>
      <c r="J2761" s="23" t="str">
        <f aca="false">Nonlabor!$B$7</f>
        <v>INFRA</v>
      </c>
    </row>
    <row r="2762" customFormat="false" ht="15" hidden="false" customHeight="false" outlineLevel="0" collapsed="false">
      <c r="A2762" s="6" t="s">
        <v>73</v>
      </c>
      <c r="B2762" s="6" t="s">
        <v>373</v>
      </c>
      <c r="C2762" s="6" t="n">
        <v>57</v>
      </c>
      <c r="D2762" s="25" t="n">
        <f aca="false">EDATE('Start Here'!$B$6,C2762-1)</f>
        <v>48030</v>
      </c>
      <c r="E2762" s="23" t="n">
        <f aca="false">IF(AND(OR(Nonlabor!$D$7="Both",Nonlabor!$D$7='Start Here'!$B$9),IF(Nonlabor!$E$7="Core",1,IF(Nonlabor!$E$7="AI",'Start Here'!$B$7,'Start Here'!$B$8))=1,C2762&gt;=IF(Nonlabor!$E$7="Core",Nonlabor!$F$7,MAX(Nonlabor!$F$7,IF(Nonlabor!$E$7="AI",Assumptions!$E$24,Assumptions!$E$25))),C2762&lt;=Nonlabor!$G$7,OR(Nonlabor!$H$7="Monthly",AND(Nonlabor!$H$7="Once",C2762=IF(Nonlabor!$E$7="Core",Nonlabor!$F$7,MAX(Nonlabor!$F$7,IF(Nonlabor!$E$7="AI",Assumptions!$E$24,Assumptions!$E$25)))),AND(Nonlabor!$H$7="Annual",MOD(C2762-IF(Nonlabor!$E$7="Core",Nonlabor!$F$7,MAX(Nonlabor!$F$7,IF(Nonlabor!$E$7="AI",Assumptions!$E$24,Assumptions!$E$25))),12)=0))),IF(Nonlabor!$I$7="Fixed",1,IF(Nonlabor!$I$7="Seats",ROUNDUP('Monthly Growth'!I62,0),IF(Nonlabor!$I$7="Customers",'Monthly Growth'!D62,IF(Nonlabor!$I$7="NewCustomers",'Monthly Growth'!C62,IF(Nonlabor!$I$7="StorageGB",'Monthly Growth'!G62,IF(Nonlabor!$I$7="LogGB",'Monthly Growth'!H62,IF(Nonlabor!$I$7="RequestsM",'Monthly Growth'!F62,IF(Nonlabor!$I$7="InputM",'Monthly Growth'!D62*Assumptions!$E$22/1000000,IF(Nonlabor!$I$7="OutputM",'Monthly Growth'!D62*Assumptions!$E$23/1000000,0))))))))),0)</f>
        <v>1</v>
      </c>
      <c r="F2762" s="10" t="n">
        <f aca="false">Nonlabor!$J$7*(1+Assumptions!$E$9)^INT((C2762-1)/12)</f>
        <v>701.915136</v>
      </c>
      <c r="G2762" s="10" t="n">
        <f aca="false">E2762*F2762</f>
        <v>701.915136</v>
      </c>
      <c r="H2762" s="10" t="n">
        <f aca="false">IF(OR(Nonlabor!$L$7="Quote required",Nonlabor!$L$7="Unverified"),G2762,0)</f>
        <v>701.915136</v>
      </c>
      <c r="I2762" s="10" t="n">
        <f aca="false">IF(Nonlabor!$E$7="Core",0,G2762)</f>
        <v>0</v>
      </c>
      <c r="J2762" s="23" t="str">
        <f aca="false">Nonlabor!$B$7</f>
        <v>INFRA</v>
      </c>
    </row>
    <row r="2763" customFormat="false" ht="15" hidden="false" customHeight="false" outlineLevel="0" collapsed="false">
      <c r="A2763" s="6" t="s">
        <v>73</v>
      </c>
      <c r="B2763" s="6" t="s">
        <v>373</v>
      </c>
      <c r="C2763" s="6" t="n">
        <v>58</v>
      </c>
      <c r="D2763" s="25" t="n">
        <f aca="false">EDATE('Start Here'!$B$6,C2763-1)</f>
        <v>48061</v>
      </c>
      <c r="E2763" s="23" t="n">
        <f aca="false">IF(AND(OR(Nonlabor!$D$7="Both",Nonlabor!$D$7='Start Here'!$B$9),IF(Nonlabor!$E$7="Core",1,IF(Nonlabor!$E$7="AI",'Start Here'!$B$7,'Start Here'!$B$8))=1,C2763&gt;=IF(Nonlabor!$E$7="Core",Nonlabor!$F$7,MAX(Nonlabor!$F$7,IF(Nonlabor!$E$7="AI",Assumptions!$E$24,Assumptions!$E$25))),C2763&lt;=Nonlabor!$G$7,OR(Nonlabor!$H$7="Monthly",AND(Nonlabor!$H$7="Once",C2763=IF(Nonlabor!$E$7="Core",Nonlabor!$F$7,MAX(Nonlabor!$F$7,IF(Nonlabor!$E$7="AI",Assumptions!$E$24,Assumptions!$E$25)))),AND(Nonlabor!$H$7="Annual",MOD(C2763-IF(Nonlabor!$E$7="Core",Nonlabor!$F$7,MAX(Nonlabor!$F$7,IF(Nonlabor!$E$7="AI",Assumptions!$E$24,Assumptions!$E$25))),12)=0))),IF(Nonlabor!$I$7="Fixed",1,IF(Nonlabor!$I$7="Seats",ROUNDUP('Monthly Growth'!I63,0),IF(Nonlabor!$I$7="Customers",'Monthly Growth'!D63,IF(Nonlabor!$I$7="NewCustomers",'Monthly Growth'!C63,IF(Nonlabor!$I$7="StorageGB",'Monthly Growth'!G63,IF(Nonlabor!$I$7="LogGB",'Monthly Growth'!H63,IF(Nonlabor!$I$7="RequestsM",'Monthly Growth'!F63,IF(Nonlabor!$I$7="InputM",'Monthly Growth'!D63*Assumptions!$E$22/1000000,IF(Nonlabor!$I$7="OutputM",'Monthly Growth'!D63*Assumptions!$E$23/1000000,0))))))))),0)</f>
        <v>1</v>
      </c>
      <c r="F2763" s="10" t="n">
        <f aca="false">Nonlabor!$J$7*(1+Assumptions!$E$9)^INT((C2763-1)/12)</f>
        <v>701.915136</v>
      </c>
      <c r="G2763" s="10" t="n">
        <f aca="false">E2763*F2763</f>
        <v>701.915136</v>
      </c>
      <c r="H2763" s="10" t="n">
        <f aca="false">IF(OR(Nonlabor!$L$7="Quote required",Nonlabor!$L$7="Unverified"),G2763,0)</f>
        <v>701.915136</v>
      </c>
      <c r="I2763" s="10" t="n">
        <f aca="false">IF(Nonlabor!$E$7="Core",0,G2763)</f>
        <v>0</v>
      </c>
      <c r="J2763" s="23" t="str">
        <f aca="false">Nonlabor!$B$7</f>
        <v>INFRA</v>
      </c>
    </row>
    <row r="2764" customFormat="false" ht="15" hidden="false" customHeight="false" outlineLevel="0" collapsed="false">
      <c r="A2764" s="6" t="s">
        <v>73</v>
      </c>
      <c r="B2764" s="6" t="s">
        <v>373</v>
      </c>
      <c r="C2764" s="6" t="n">
        <v>59</v>
      </c>
      <c r="D2764" s="25" t="n">
        <f aca="false">EDATE('Start Here'!$B$6,C2764-1)</f>
        <v>48092</v>
      </c>
      <c r="E2764" s="23" t="n">
        <f aca="false">IF(AND(OR(Nonlabor!$D$7="Both",Nonlabor!$D$7='Start Here'!$B$9),IF(Nonlabor!$E$7="Core",1,IF(Nonlabor!$E$7="AI",'Start Here'!$B$7,'Start Here'!$B$8))=1,C2764&gt;=IF(Nonlabor!$E$7="Core",Nonlabor!$F$7,MAX(Nonlabor!$F$7,IF(Nonlabor!$E$7="AI",Assumptions!$E$24,Assumptions!$E$25))),C2764&lt;=Nonlabor!$G$7,OR(Nonlabor!$H$7="Monthly",AND(Nonlabor!$H$7="Once",C2764=IF(Nonlabor!$E$7="Core",Nonlabor!$F$7,MAX(Nonlabor!$F$7,IF(Nonlabor!$E$7="AI",Assumptions!$E$24,Assumptions!$E$25)))),AND(Nonlabor!$H$7="Annual",MOD(C2764-IF(Nonlabor!$E$7="Core",Nonlabor!$F$7,MAX(Nonlabor!$F$7,IF(Nonlabor!$E$7="AI",Assumptions!$E$24,Assumptions!$E$25))),12)=0))),IF(Nonlabor!$I$7="Fixed",1,IF(Nonlabor!$I$7="Seats",ROUNDUP('Monthly Growth'!I64,0),IF(Nonlabor!$I$7="Customers",'Monthly Growth'!D64,IF(Nonlabor!$I$7="NewCustomers",'Monthly Growth'!C64,IF(Nonlabor!$I$7="StorageGB",'Monthly Growth'!G64,IF(Nonlabor!$I$7="LogGB",'Monthly Growth'!H64,IF(Nonlabor!$I$7="RequestsM",'Monthly Growth'!F64,IF(Nonlabor!$I$7="InputM",'Monthly Growth'!D64*Assumptions!$E$22/1000000,IF(Nonlabor!$I$7="OutputM",'Monthly Growth'!D64*Assumptions!$E$23/1000000,0))))))))),0)</f>
        <v>1</v>
      </c>
      <c r="F2764" s="10" t="n">
        <f aca="false">Nonlabor!$J$7*(1+Assumptions!$E$9)^INT((C2764-1)/12)</f>
        <v>701.915136</v>
      </c>
      <c r="G2764" s="10" t="n">
        <f aca="false">E2764*F2764</f>
        <v>701.915136</v>
      </c>
      <c r="H2764" s="10" t="n">
        <f aca="false">IF(OR(Nonlabor!$L$7="Quote required",Nonlabor!$L$7="Unverified"),G2764,0)</f>
        <v>701.915136</v>
      </c>
      <c r="I2764" s="10" t="n">
        <f aca="false">IF(Nonlabor!$E$7="Core",0,G2764)</f>
        <v>0</v>
      </c>
      <c r="J2764" s="23" t="str">
        <f aca="false">Nonlabor!$B$7</f>
        <v>INFRA</v>
      </c>
    </row>
    <row r="2765" customFormat="false" ht="15" hidden="false" customHeight="false" outlineLevel="0" collapsed="false">
      <c r="A2765" s="6" t="s">
        <v>73</v>
      </c>
      <c r="B2765" s="6" t="s">
        <v>373</v>
      </c>
      <c r="C2765" s="6" t="n">
        <v>60</v>
      </c>
      <c r="D2765" s="25" t="n">
        <f aca="false">EDATE('Start Here'!$B$6,C2765-1)</f>
        <v>48122</v>
      </c>
      <c r="E2765" s="23" t="n">
        <f aca="false">IF(AND(OR(Nonlabor!$D$7="Both",Nonlabor!$D$7='Start Here'!$B$9),IF(Nonlabor!$E$7="Core",1,IF(Nonlabor!$E$7="AI",'Start Here'!$B$7,'Start Here'!$B$8))=1,C2765&gt;=IF(Nonlabor!$E$7="Core",Nonlabor!$F$7,MAX(Nonlabor!$F$7,IF(Nonlabor!$E$7="AI",Assumptions!$E$24,Assumptions!$E$25))),C2765&lt;=Nonlabor!$G$7,OR(Nonlabor!$H$7="Monthly",AND(Nonlabor!$H$7="Once",C2765=IF(Nonlabor!$E$7="Core",Nonlabor!$F$7,MAX(Nonlabor!$F$7,IF(Nonlabor!$E$7="AI",Assumptions!$E$24,Assumptions!$E$25)))),AND(Nonlabor!$H$7="Annual",MOD(C2765-IF(Nonlabor!$E$7="Core",Nonlabor!$F$7,MAX(Nonlabor!$F$7,IF(Nonlabor!$E$7="AI",Assumptions!$E$24,Assumptions!$E$25))),12)=0))),IF(Nonlabor!$I$7="Fixed",1,IF(Nonlabor!$I$7="Seats",ROUNDUP('Monthly Growth'!I65,0),IF(Nonlabor!$I$7="Customers",'Monthly Growth'!D65,IF(Nonlabor!$I$7="NewCustomers",'Monthly Growth'!C65,IF(Nonlabor!$I$7="StorageGB",'Monthly Growth'!G65,IF(Nonlabor!$I$7="LogGB",'Monthly Growth'!H65,IF(Nonlabor!$I$7="RequestsM",'Monthly Growth'!F65,IF(Nonlabor!$I$7="InputM",'Monthly Growth'!D65*Assumptions!$E$22/1000000,IF(Nonlabor!$I$7="OutputM",'Monthly Growth'!D65*Assumptions!$E$23/1000000,0))))))))),0)</f>
        <v>1</v>
      </c>
      <c r="F2765" s="10" t="n">
        <f aca="false">Nonlabor!$J$7*(1+Assumptions!$E$9)^INT((C2765-1)/12)</f>
        <v>701.915136</v>
      </c>
      <c r="G2765" s="10" t="n">
        <f aca="false">E2765*F2765</f>
        <v>701.915136</v>
      </c>
      <c r="H2765" s="10" t="n">
        <f aca="false">IF(OR(Nonlabor!$L$7="Quote required",Nonlabor!$L$7="Unverified"),G2765,0)</f>
        <v>701.915136</v>
      </c>
      <c r="I2765" s="10" t="n">
        <f aca="false">IF(Nonlabor!$E$7="Core",0,G2765)</f>
        <v>0</v>
      </c>
      <c r="J2765" s="23" t="str">
        <f aca="false">Nonlabor!$B$7</f>
        <v>INFRA</v>
      </c>
    </row>
    <row r="2766" customFormat="false" ht="15" hidden="false" customHeight="false" outlineLevel="0" collapsed="false">
      <c r="A2766" s="6" t="s">
        <v>73</v>
      </c>
      <c r="B2766" s="6" t="s">
        <v>376</v>
      </c>
      <c r="C2766" s="6" t="n">
        <v>1</v>
      </c>
      <c r="D2766" s="25" t="n">
        <f aca="false">EDATE('Start Here'!$B$6,C2766-1)</f>
        <v>46327</v>
      </c>
      <c r="E2766" s="23" t="n">
        <f aca="false">IF(AND(OR(Nonlabor!$D$8="Both",Nonlabor!$D$8='Start Here'!$B$9),IF(Nonlabor!$E$8="Core",1,IF(Nonlabor!$E$8="AI",'Start Here'!$B$7,'Start Here'!$B$8))=1,C2766&gt;=IF(Nonlabor!$E$8="Core",Nonlabor!$F$8,MAX(Nonlabor!$F$8,IF(Nonlabor!$E$8="AI",Assumptions!$E$24,Assumptions!$E$25))),C2766&lt;=Nonlabor!$G$8,OR(Nonlabor!$H$8="Monthly",AND(Nonlabor!$H$8="Once",C2766=IF(Nonlabor!$E$8="Core",Nonlabor!$F$8,MAX(Nonlabor!$F$8,IF(Nonlabor!$E$8="AI",Assumptions!$E$24,Assumptions!$E$25)))),AND(Nonlabor!$H$8="Annual",MOD(C2766-IF(Nonlabor!$E$8="Core",Nonlabor!$F$8,MAX(Nonlabor!$F$8,IF(Nonlabor!$E$8="AI",Assumptions!$E$24,Assumptions!$E$25))),12)=0))),IF(Nonlabor!$I$8="Fixed",1,IF(Nonlabor!$I$8="Seats",ROUNDUP('Monthly Growth'!I6,0),IF(Nonlabor!$I$8="Customers",'Monthly Growth'!D6,IF(Nonlabor!$I$8="NewCustomers",'Monthly Growth'!C6,IF(Nonlabor!$I$8="StorageGB",'Monthly Growth'!G6,IF(Nonlabor!$I$8="LogGB",'Monthly Growth'!H6,IF(Nonlabor!$I$8="RequestsM",'Monthly Growth'!F6,IF(Nonlabor!$I$8="InputM",'Monthly Growth'!D6*Assumptions!$E$22/1000000,IF(Nonlabor!$I$8="OutputM",'Monthly Growth'!D6*Assumptions!$E$23/1000000,0))))))))),0)</f>
        <v>0</v>
      </c>
      <c r="F2766" s="10" t="n">
        <f aca="false">Nonlabor!$J$8*(1+Assumptions!$E$9)^INT((C2766-1)/12)</f>
        <v>1100</v>
      </c>
      <c r="G2766" s="10" t="n">
        <f aca="false">E2766*F2766</f>
        <v>0</v>
      </c>
      <c r="H2766" s="10" t="n">
        <f aca="false">IF(OR(Nonlabor!$L$8="Quote required",Nonlabor!$L$8="Unverified"),G2766,0)</f>
        <v>0</v>
      </c>
      <c r="I2766" s="10" t="n">
        <f aca="false">IF(Nonlabor!$E$8="Core",0,G2766)</f>
        <v>0</v>
      </c>
      <c r="J2766" s="23" t="str">
        <f aca="false">Nonlabor!$B$8</f>
        <v>INFRA</v>
      </c>
    </row>
    <row r="2767" customFormat="false" ht="15" hidden="false" customHeight="false" outlineLevel="0" collapsed="false">
      <c r="A2767" s="6" t="s">
        <v>73</v>
      </c>
      <c r="B2767" s="6" t="s">
        <v>376</v>
      </c>
      <c r="C2767" s="6" t="n">
        <v>2</v>
      </c>
      <c r="D2767" s="25" t="n">
        <f aca="false">EDATE('Start Here'!$B$6,C2767-1)</f>
        <v>46357</v>
      </c>
      <c r="E2767" s="23" t="n">
        <f aca="false">IF(AND(OR(Nonlabor!$D$8="Both",Nonlabor!$D$8='Start Here'!$B$9),IF(Nonlabor!$E$8="Core",1,IF(Nonlabor!$E$8="AI",'Start Here'!$B$7,'Start Here'!$B$8))=1,C2767&gt;=IF(Nonlabor!$E$8="Core",Nonlabor!$F$8,MAX(Nonlabor!$F$8,IF(Nonlabor!$E$8="AI",Assumptions!$E$24,Assumptions!$E$25))),C2767&lt;=Nonlabor!$G$8,OR(Nonlabor!$H$8="Monthly",AND(Nonlabor!$H$8="Once",C2767=IF(Nonlabor!$E$8="Core",Nonlabor!$F$8,MAX(Nonlabor!$F$8,IF(Nonlabor!$E$8="AI",Assumptions!$E$24,Assumptions!$E$25)))),AND(Nonlabor!$H$8="Annual",MOD(C2767-IF(Nonlabor!$E$8="Core",Nonlabor!$F$8,MAX(Nonlabor!$F$8,IF(Nonlabor!$E$8="AI",Assumptions!$E$24,Assumptions!$E$25))),12)=0))),IF(Nonlabor!$I$8="Fixed",1,IF(Nonlabor!$I$8="Seats",ROUNDUP('Monthly Growth'!I7,0),IF(Nonlabor!$I$8="Customers",'Monthly Growth'!D7,IF(Nonlabor!$I$8="NewCustomers",'Monthly Growth'!C7,IF(Nonlabor!$I$8="StorageGB",'Monthly Growth'!G7,IF(Nonlabor!$I$8="LogGB",'Monthly Growth'!H7,IF(Nonlabor!$I$8="RequestsM",'Monthly Growth'!F7,IF(Nonlabor!$I$8="InputM",'Monthly Growth'!D7*Assumptions!$E$22/1000000,IF(Nonlabor!$I$8="OutputM",'Monthly Growth'!D7*Assumptions!$E$23/1000000,0))))))))),0)</f>
        <v>0</v>
      </c>
      <c r="F2767" s="10" t="n">
        <f aca="false">Nonlabor!$J$8*(1+Assumptions!$E$9)^INT((C2767-1)/12)</f>
        <v>1100</v>
      </c>
      <c r="G2767" s="10" t="n">
        <f aca="false">E2767*F2767</f>
        <v>0</v>
      </c>
      <c r="H2767" s="10" t="n">
        <f aca="false">IF(OR(Nonlabor!$L$8="Quote required",Nonlabor!$L$8="Unverified"),G2767,0)</f>
        <v>0</v>
      </c>
      <c r="I2767" s="10" t="n">
        <f aca="false">IF(Nonlabor!$E$8="Core",0,G2767)</f>
        <v>0</v>
      </c>
      <c r="J2767" s="23" t="str">
        <f aca="false">Nonlabor!$B$8</f>
        <v>INFRA</v>
      </c>
    </row>
    <row r="2768" customFormat="false" ht="15" hidden="false" customHeight="false" outlineLevel="0" collapsed="false">
      <c r="A2768" s="6" t="s">
        <v>73</v>
      </c>
      <c r="B2768" s="6" t="s">
        <v>376</v>
      </c>
      <c r="C2768" s="6" t="n">
        <v>3</v>
      </c>
      <c r="D2768" s="25" t="n">
        <f aca="false">EDATE('Start Here'!$B$6,C2768-1)</f>
        <v>46388</v>
      </c>
      <c r="E2768" s="23" t="n">
        <f aca="false">IF(AND(OR(Nonlabor!$D$8="Both",Nonlabor!$D$8='Start Here'!$B$9),IF(Nonlabor!$E$8="Core",1,IF(Nonlabor!$E$8="AI",'Start Here'!$B$7,'Start Here'!$B$8))=1,C2768&gt;=IF(Nonlabor!$E$8="Core",Nonlabor!$F$8,MAX(Nonlabor!$F$8,IF(Nonlabor!$E$8="AI",Assumptions!$E$24,Assumptions!$E$25))),C2768&lt;=Nonlabor!$G$8,OR(Nonlabor!$H$8="Monthly",AND(Nonlabor!$H$8="Once",C2768=IF(Nonlabor!$E$8="Core",Nonlabor!$F$8,MAX(Nonlabor!$F$8,IF(Nonlabor!$E$8="AI",Assumptions!$E$24,Assumptions!$E$25)))),AND(Nonlabor!$H$8="Annual",MOD(C2768-IF(Nonlabor!$E$8="Core",Nonlabor!$F$8,MAX(Nonlabor!$F$8,IF(Nonlabor!$E$8="AI",Assumptions!$E$24,Assumptions!$E$25))),12)=0))),IF(Nonlabor!$I$8="Fixed",1,IF(Nonlabor!$I$8="Seats",ROUNDUP('Monthly Growth'!I8,0),IF(Nonlabor!$I$8="Customers",'Monthly Growth'!D8,IF(Nonlabor!$I$8="NewCustomers",'Monthly Growth'!C8,IF(Nonlabor!$I$8="StorageGB",'Monthly Growth'!G8,IF(Nonlabor!$I$8="LogGB",'Monthly Growth'!H8,IF(Nonlabor!$I$8="RequestsM",'Monthly Growth'!F8,IF(Nonlabor!$I$8="InputM",'Monthly Growth'!D8*Assumptions!$E$22/1000000,IF(Nonlabor!$I$8="OutputM",'Monthly Growth'!D8*Assumptions!$E$23/1000000,0))))))))),0)</f>
        <v>0</v>
      </c>
      <c r="F2768" s="10" t="n">
        <f aca="false">Nonlabor!$J$8*(1+Assumptions!$E$9)^INT((C2768-1)/12)</f>
        <v>1100</v>
      </c>
      <c r="G2768" s="10" t="n">
        <f aca="false">E2768*F2768</f>
        <v>0</v>
      </c>
      <c r="H2768" s="10" t="n">
        <f aca="false">IF(OR(Nonlabor!$L$8="Quote required",Nonlabor!$L$8="Unverified"),G2768,0)</f>
        <v>0</v>
      </c>
      <c r="I2768" s="10" t="n">
        <f aca="false">IF(Nonlabor!$E$8="Core",0,G2768)</f>
        <v>0</v>
      </c>
      <c r="J2768" s="23" t="str">
        <f aca="false">Nonlabor!$B$8</f>
        <v>INFRA</v>
      </c>
    </row>
    <row r="2769" customFormat="false" ht="15" hidden="false" customHeight="false" outlineLevel="0" collapsed="false">
      <c r="A2769" s="6" t="s">
        <v>73</v>
      </c>
      <c r="B2769" s="6" t="s">
        <v>376</v>
      </c>
      <c r="C2769" s="6" t="n">
        <v>4</v>
      </c>
      <c r="D2769" s="25" t="n">
        <f aca="false">EDATE('Start Here'!$B$6,C2769-1)</f>
        <v>46419</v>
      </c>
      <c r="E2769" s="23" t="n">
        <f aca="false">IF(AND(OR(Nonlabor!$D$8="Both",Nonlabor!$D$8='Start Here'!$B$9),IF(Nonlabor!$E$8="Core",1,IF(Nonlabor!$E$8="AI",'Start Here'!$B$7,'Start Here'!$B$8))=1,C2769&gt;=IF(Nonlabor!$E$8="Core",Nonlabor!$F$8,MAX(Nonlabor!$F$8,IF(Nonlabor!$E$8="AI",Assumptions!$E$24,Assumptions!$E$25))),C2769&lt;=Nonlabor!$G$8,OR(Nonlabor!$H$8="Monthly",AND(Nonlabor!$H$8="Once",C2769=IF(Nonlabor!$E$8="Core",Nonlabor!$F$8,MAX(Nonlabor!$F$8,IF(Nonlabor!$E$8="AI",Assumptions!$E$24,Assumptions!$E$25)))),AND(Nonlabor!$H$8="Annual",MOD(C2769-IF(Nonlabor!$E$8="Core",Nonlabor!$F$8,MAX(Nonlabor!$F$8,IF(Nonlabor!$E$8="AI",Assumptions!$E$24,Assumptions!$E$25))),12)=0))),IF(Nonlabor!$I$8="Fixed",1,IF(Nonlabor!$I$8="Seats",ROUNDUP('Monthly Growth'!I9,0),IF(Nonlabor!$I$8="Customers",'Monthly Growth'!D9,IF(Nonlabor!$I$8="NewCustomers",'Monthly Growth'!C9,IF(Nonlabor!$I$8="StorageGB",'Monthly Growth'!G9,IF(Nonlabor!$I$8="LogGB",'Monthly Growth'!H9,IF(Nonlabor!$I$8="RequestsM",'Monthly Growth'!F9,IF(Nonlabor!$I$8="InputM",'Monthly Growth'!D9*Assumptions!$E$22/1000000,IF(Nonlabor!$I$8="OutputM",'Monthly Growth'!D9*Assumptions!$E$23/1000000,0))))))))),0)</f>
        <v>0</v>
      </c>
      <c r="F2769" s="10" t="n">
        <f aca="false">Nonlabor!$J$8*(1+Assumptions!$E$9)^INT((C2769-1)/12)</f>
        <v>1100</v>
      </c>
      <c r="G2769" s="10" t="n">
        <f aca="false">E2769*F2769</f>
        <v>0</v>
      </c>
      <c r="H2769" s="10" t="n">
        <f aca="false">IF(OR(Nonlabor!$L$8="Quote required",Nonlabor!$L$8="Unverified"),G2769,0)</f>
        <v>0</v>
      </c>
      <c r="I2769" s="10" t="n">
        <f aca="false">IF(Nonlabor!$E$8="Core",0,G2769)</f>
        <v>0</v>
      </c>
      <c r="J2769" s="23" t="str">
        <f aca="false">Nonlabor!$B$8</f>
        <v>INFRA</v>
      </c>
    </row>
    <row r="2770" customFormat="false" ht="15" hidden="false" customHeight="false" outlineLevel="0" collapsed="false">
      <c r="A2770" s="6" t="s">
        <v>73</v>
      </c>
      <c r="B2770" s="6" t="s">
        <v>376</v>
      </c>
      <c r="C2770" s="6" t="n">
        <v>5</v>
      </c>
      <c r="D2770" s="25" t="n">
        <f aca="false">EDATE('Start Here'!$B$6,C2770-1)</f>
        <v>46447</v>
      </c>
      <c r="E2770" s="23" t="n">
        <f aca="false">IF(AND(OR(Nonlabor!$D$8="Both",Nonlabor!$D$8='Start Here'!$B$9),IF(Nonlabor!$E$8="Core",1,IF(Nonlabor!$E$8="AI",'Start Here'!$B$7,'Start Here'!$B$8))=1,C2770&gt;=IF(Nonlabor!$E$8="Core",Nonlabor!$F$8,MAX(Nonlabor!$F$8,IF(Nonlabor!$E$8="AI",Assumptions!$E$24,Assumptions!$E$25))),C2770&lt;=Nonlabor!$G$8,OR(Nonlabor!$H$8="Monthly",AND(Nonlabor!$H$8="Once",C2770=IF(Nonlabor!$E$8="Core",Nonlabor!$F$8,MAX(Nonlabor!$F$8,IF(Nonlabor!$E$8="AI",Assumptions!$E$24,Assumptions!$E$25)))),AND(Nonlabor!$H$8="Annual",MOD(C2770-IF(Nonlabor!$E$8="Core",Nonlabor!$F$8,MAX(Nonlabor!$F$8,IF(Nonlabor!$E$8="AI",Assumptions!$E$24,Assumptions!$E$25))),12)=0))),IF(Nonlabor!$I$8="Fixed",1,IF(Nonlabor!$I$8="Seats",ROUNDUP('Monthly Growth'!I10,0),IF(Nonlabor!$I$8="Customers",'Monthly Growth'!D10,IF(Nonlabor!$I$8="NewCustomers",'Monthly Growth'!C10,IF(Nonlabor!$I$8="StorageGB",'Monthly Growth'!G10,IF(Nonlabor!$I$8="LogGB",'Monthly Growth'!H10,IF(Nonlabor!$I$8="RequestsM",'Monthly Growth'!F10,IF(Nonlabor!$I$8="InputM",'Monthly Growth'!D10*Assumptions!$E$22/1000000,IF(Nonlabor!$I$8="OutputM",'Monthly Growth'!D10*Assumptions!$E$23/1000000,0))))))))),0)</f>
        <v>0</v>
      </c>
      <c r="F2770" s="10" t="n">
        <f aca="false">Nonlabor!$J$8*(1+Assumptions!$E$9)^INT((C2770-1)/12)</f>
        <v>1100</v>
      </c>
      <c r="G2770" s="10" t="n">
        <f aca="false">E2770*F2770</f>
        <v>0</v>
      </c>
      <c r="H2770" s="10" t="n">
        <f aca="false">IF(OR(Nonlabor!$L$8="Quote required",Nonlabor!$L$8="Unverified"),G2770,0)</f>
        <v>0</v>
      </c>
      <c r="I2770" s="10" t="n">
        <f aca="false">IF(Nonlabor!$E$8="Core",0,G2770)</f>
        <v>0</v>
      </c>
      <c r="J2770" s="23" t="str">
        <f aca="false">Nonlabor!$B$8</f>
        <v>INFRA</v>
      </c>
    </row>
    <row r="2771" customFormat="false" ht="15" hidden="false" customHeight="false" outlineLevel="0" collapsed="false">
      <c r="A2771" s="6" t="s">
        <v>73</v>
      </c>
      <c r="B2771" s="6" t="s">
        <v>376</v>
      </c>
      <c r="C2771" s="6" t="n">
        <v>6</v>
      </c>
      <c r="D2771" s="25" t="n">
        <f aca="false">EDATE('Start Here'!$B$6,C2771-1)</f>
        <v>46478</v>
      </c>
      <c r="E2771" s="23" t="n">
        <f aca="false">IF(AND(OR(Nonlabor!$D$8="Both",Nonlabor!$D$8='Start Here'!$B$9),IF(Nonlabor!$E$8="Core",1,IF(Nonlabor!$E$8="AI",'Start Here'!$B$7,'Start Here'!$B$8))=1,C2771&gt;=IF(Nonlabor!$E$8="Core",Nonlabor!$F$8,MAX(Nonlabor!$F$8,IF(Nonlabor!$E$8="AI",Assumptions!$E$24,Assumptions!$E$25))),C2771&lt;=Nonlabor!$G$8,OR(Nonlabor!$H$8="Monthly",AND(Nonlabor!$H$8="Once",C2771=IF(Nonlabor!$E$8="Core",Nonlabor!$F$8,MAX(Nonlabor!$F$8,IF(Nonlabor!$E$8="AI",Assumptions!$E$24,Assumptions!$E$25)))),AND(Nonlabor!$H$8="Annual",MOD(C2771-IF(Nonlabor!$E$8="Core",Nonlabor!$F$8,MAX(Nonlabor!$F$8,IF(Nonlabor!$E$8="AI",Assumptions!$E$24,Assumptions!$E$25))),12)=0))),IF(Nonlabor!$I$8="Fixed",1,IF(Nonlabor!$I$8="Seats",ROUNDUP('Monthly Growth'!I11,0),IF(Nonlabor!$I$8="Customers",'Monthly Growth'!D11,IF(Nonlabor!$I$8="NewCustomers",'Monthly Growth'!C11,IF(Nonlabor!$I$8="StorageGB",'Monthly Growth'!G11,IF(Nonlabor!$I$8="LogGB",'Monthly Growth'!H11,IF(Nonlabor!$I$8="RequestsM",'Monthly Growth'!F11,IF(Nonlabor!$I$8="InputM",'Monthly Growth'!D11*Assumptions!$E$22/1000000,IF(Nonlabor!$I$8="OutputM",'Monthly Growth'!D11*Assumptions!$E$23/1000000,0))))))))),0)</f>
        <v>0</v>
      </c>
      <c r="F2771" s="10" t="n">
        <f aca="false">Nonlabor!$J$8*(1+Assumptions!$E$9)^INT((C2771-1)/12)</f>
        <v>1100</v>
      </c>
      <c r="G2771" s="10" t="n">
        <f aca="false">E2771*F2771</f>
        <v>0</v>
      </c>
      <c r="H2771" s="10" t="n">
        <f aca="false">IF(OR(Nonlabor!$L$8="Quote required",Nonlabor!$L$8="Unverified"),G2771,0)</f>
        <v>0</v>
      </c>
      <c r="I2771" s="10" t="n">
        <f aca="false">IF(Nonlabor!$E$8="Core",0,G2771)</f>
        <v>0</v>
      </c>
      <c r="J2771" s="23" t="str">
        <f aca="false">Nonlabor!$B$8</f>
        <v>INFRA</v>
      </c>
    </row>
    <row r="2772" customFormat="false" ht="15" hidden="false" customHeight="false" outlineLevel="0" collapsed="false">
      <c r="A2772" s="6" t="s">
        <v>73</v>
      </c>
      <c r="B2772" s="6" t="s">
        <v>376</v>
      </c>
      <c r="C2772" s="6" t="n">
        <v>7</v>
      </c>
      <c r="D2772" s="25" t="n">
        <f aca="false">EDATE('Start Here'!$B$6,C2772-1)</f>
        <v>46508</v>
      </c>
      <c r="E2772" s="23" t="n">
        <f aca="false">IF(AND(OR(Nonlabor!$D$8="Both",Nonlabor!$D$8='Start Here'!$B$9),IF(Nonlabor!$E$8="Core",1,IF(Nonlabor!$E$8="AI",'Start Here'!$B$7,'Start Here'!$B$8))=1,C2772&gt;=IF(Nonlabor!$E$8="Core",Nonlabor!$F$8,MAX(Nonlabor!$F$8,IF(Nonlabor!$E$8="AI",Assumptions!$E$24,Assumptions!$E$25))),C2772&lt;=Nonlabor!$G$8,OR(Nonlabor!$H$8="Monthly",AND(Nonlabor!$H$8="Once",C2772=IF(Nonlabor!$E$8="Core",Nonlabor!$F$8,MAX(Nonlabor!$F$8,IF(Nonlabor!$E$8="AI",Assumptions!$E$24,Assumptions!$E$25)))),AND(Nonlabor!$H$8="Annual",MOD(C2772-IF(Nonlabor!$E$8="Core",Nonlabor!$F$8,MAX(Nonlabor!$F$8,IF(Nonlabor!$E$8="AI",Assumptions!$E$24,Assumptions!$E$25))),12)=0))),IF(Nonlabor!$I$8="Fixed",1,IF(Nonlabor!$I$8="Seats",ROUNDUP('Monthly Growth'!I12,0),IF(Nonlabor!$I$8="Customers",'Monthly Growth'!D12,IF(Nonlabor!$I$8="NewCustomers",'Monthly Growth'!C12,IF(Nonlabor!$I$8="StorageGB",'Monthly Growth'!G12,IF(Nonlabor!$I$8="LogGB",'Monthly Growth'!H12,IF(Nonlabor!$I$8="RequestsM",'Monthly Growth'!F12,IF(Nonlabor!$I$8="InputM",'Monthly Growth'!D12*Assumptions!$E$22/1000000,IF(Nonlabor!$I$8="OutputM",'Monthly Growth'!D12*Assumptions!$E$23/1000000,0))))))))),0)</f>
        <v>0</v>
      </c>
      <c r="F2772" s="10" t="n">
        <f aca="false">Nonlabor!$J$8*(1+Assumptions!$E$9)^INT((C2772-1)/12)</f>
        <v>1100</v>
      </c>
      <c r="G2772" s="10" t="n">
        <f aca="false">E2772*F2772</f>
        <v>0</v>
      </c>
      <c r="H2772" s="10" t="n">
        <f aca="false">IF(OR(Nonlabor!$L$8="Quote required",Nonlabor!$L$8="Unverified"),G2772,0)</f>
        <v>0</v>
      </c>
      <c r="I2772" s="10" t="n">
        <f aca="false">IF(Nonlabor!$E$8="Core",0,G2772)</f>
        <v>0</v>
      </c>
      <c r="J2772" s="23" t="str">
        <f aca="false">Nonlabor!$B$8</f>
        <v>INFRA</v>
      </c>
    </row>
    <row r="2773" customFormat="false" ht="15" hidden="false" customHeight="false" outlineLevel="0" collapsed="false">
      <c r="A2773" s="6" t="s">
        <v>73</v>
      </c>
      <c r="B2773" s="6" t="s">
        <v>376</v>
      </c>
      <c r="C2773" s="6" t="n">
        <v>8</v>
      </c>
      <c r="D2773" s="25" t="n">
        <f aca="false">EDATE('Start Here'!$B$6,C2773-1)</f>
        <v>46539</v>
      </c>
      <c r="E2773" s="23" t="n">
        <f aca="false">IF(AND(OR(Nonlabor!$D$8="Both",Nonlabor!$D$8='Start Here'!$B$9),IF(Nonlabor!$E$8="Core",1,IF(Nonlabor!$E$8="AI",'Start Here'!$B$7,'Start Here'!$B$8))=1,C2773&gt;=IF(Nonlabor!$E$8="Core",Nonlabor!$F$8,MAX(Nonlabor!$F$8,IF(Nonlabor!$E$8="AI",Assumptions!$E$24,Assumptions!$E$25))),C2773&lt;=Nonlabor!$G$8,OR(Nonlabor!$H$8="Monthly",AND(Nonlabor!$H$8="Once",C2773=IF(Nonlabor!$E$8="Core",Nonlabor!$F$8,MAX(Nonlabor!$F$8,IF(Nonlabor!$E$8="AI",Assumptions!$E$24,Assumptions!$E$25)))),AND(Nonlabor!$H$8="Annual",MOD(C2773-IF(Nonlabor!$E$8="Core",Nonlabor!$F$8,MAX(Nonlabor!$F$8,IF(Nonlabor!$E$8="AI",Assumptions!$E$24,Assumptions!$E$25))),12)=0))),IF(Nonlabor!$I$8="Fixed",1,IF(Nonlabor!$I$8="Seats",ROUNDUP('Monthly Growth'!I13,0),IF(Nonlabor!$I$8="Customers",'Monthly Growth'!D13,IF(Nonlabor!$I$8="NewCustomers",'Monthly Growth'!C13,IF(Nonlabor!$I$8="StorageGB",'Monthly Growth'!G13,IF(Nonlabor!$I$8="LogGB",'Monthly Growth'!H13,IF(Nonlabor!$I$8="RequestsM",'Monthly Growth'!F13,IF(Nonlabor!$I$8="InputM",'Monthly Growth'!D13*Assumptions!$E$22/1000000,IF(Nonlabor!$I$8="OutputM",'Monthly Growth'!D13*Assumptions!$E$23/1000000,0))))))))),0)</f>
        <v>0</v>
      </c>
      <c r="F2773" s="10" t="n">
        <f aca="false">Nonlabor!$J$8*(1+Assumptions!$E$9)^INT((C2773-1)/12)</f>
        <v>1100</v>
      </c>
      <c r="G2773" s="10" t="n">
        <f aca="false">E2773*F2773</f>
        <v>0</v>
      </c>
      <c r="H2773" s="10" t="n">
        <f aca="false">IF(OR(Nonlabor!$L$8="Quote required",Nonlabor!$L$8="Unverified"),G2773,0)</f>
        <v>0</v>
      </c>
      <c r="I2773" s="10" t="n">
        <f aca="false">IF(Nonlabor!$E$8="Core",0,G2773)</f>
        <v>0</v>
      </c>
      <c r="J2773" s="23" t="str">
        <f aca="false">Nonlabor!$B$8</f>
        <v>INFRA</v>
      </c>
    </row>
    <row r="2774" customFormat="false" ht="15" hidden="false" customHeight="false" outlineLevel="0" collapsed="false">
      <c r="A2774" s="6" t="s">
        <v>73</v>
      </c>
      <c r="B2774" s="6" t="s">
        <v>376</v>
      </c>
      <c r="C2774" s="6" t="n">
        <v>9</v>
      </c>
      <c r="D2774" s="25" t="n">
        <f aca="false">EDATE('Start Here'!$B$6,C2774-1)</f>
        <v>46569</v>
      </c>
      <c r="E2774" s="23" t="n">
        <f aca="false">IF(AND(OR(Nonlabor!$D$8="Both",Nonlabor!$D$8='Start Here'!$B$9),IF(Nonlabor!$E$8="Core",1,IF(Nonlabor!$E$8="AI",'Start Here'!$B$7,'Start Here'!$B$8))=1,C2774&gt;=IF(Nonlabor!$E$8="Core",Nonlabor!$F$8,MAX(Nonlabor!$F$8,IF(Nonlabor!$E$8="AI",Assumptions!$E$24,Assumptions!$E$25))),C2774&lt;=Nonlabor!$G$8,OR(Nonlabor!$H$8="Monthly",AND(Nonlabor!$H$8="Once",C2774=IF(Nonlabor!$E$8="Core",Nonlabor!$F$8,MAX(Nonlabor!$F$8,IF(Nonlabor!$E$8="AI",Assumptions!$E$24,Assumptions!$E$25)))),AND(Nonlabor!$H$8="Annual",MOD(C2774-IF(Nonlabor!$E$8="Core",Nonlabor!$F$8,MAX(Nonlabor!$F$8,IF(Nonlabor!$E$8="AI",Assumptions!$E$24,Assumptions!$E$25))),12)=0))),IF(Nonlabor!$I$8="Fixed",1,IF(Nonlabor!$I$8="Seats",ROUNDUP('Monthly Growth'!I14,0),IF(Nonlabor!$I$8="Customers",'Monthly Growth'!D14,IF(Nonlabor!$I$8="NewCustomers",'Monthly Growth'!C14,IF(Nonlabor!$I$8="StorageGB",'Monthly Growth'!G14,IF(Nonlabor!$I$8="LogGB",'Monthly Growth'!H14,IF(Nonlabor!$I$8="RequestsM",'Monthly Growth'!F14,IF(Nonlabor!$I$8="InputM",'Monthly Growth'!D14*Assumptions!$E$22/1000000,IF(Nonlabor!$I$8="OutputM",'Monthly Growth'!D14*Assumptions!$E$23/1000000,0))))))))),0)</f>
        <v>0</v>
      </c>
      <c r="F2774" s="10" t="n">
        <f aca="false">Nonlabor!$J$8*(1+Assumptions!$E$9)^INT((C2774-1)/12)</f>
        <v>1100</v>
      </c>
      <c r="G2774" s="10" t="n">
        <f aca="false">E2774*F2774</f>
        <v>0</v>
      </c>
      <c r="H2774" s="10" t="n">
        <f aca="false">IF(OR(Nonlabor!$L$8="Quote required",Nonlabor!$L$8="Unverified"),G2774,0)</f>
        <v>0</v>
      </c>
      <c r="I2774" s="10" t="n">
        <f aca="false">IF(Nonlabor!$E$8="Core",0,G2774)</f>
        <v>0</v>
      </c>
      <c r="J2774" s="23" t="str">
        <f aca="false">Nonlabor!$B$8</f>
        <v>INFRA</v>
      </c>
    </row>
    <row r="2775" customFormat="false" ht="15" hidden="false" customHeight="false" outlineLevel="0" collapsed="false">
      <c r="A2775" s="6" t="s">
        <v>73</v>
      </c>
      <c r="B2775" s="6" t="s">
        <v>376</v>
      </c>
      <c r="C2775" s="6" t="n">
        <v>10</v>
      </c>
      <c r="D2775" s="25" t="n">
        <f aca="false">EDATE('Start Here'!$B$6,C2775-1)</f>
        <v>46600</v>
      </c>
      <c r="E2775" s="23" t="n">
        <f aca="false">IF(AND(OR(Nonlabor!$D$8="Both",Nonlabor!$D$8='Start Here'!$B$9),IF(Nonlabor!$E$8="Core",1,IF(Nonlabor!$E$8="AI",'Start Here'!$B$7,'Start Here'!$B$8))=1,C2775&gt;=IF(Nonlabor!$E$8="Core",Nonlabor!$F$8,MAX(Nonlabor!$F$8,IF(Nonlabor!$E$8="AI",Assumptions!$E$24,Assumptions!$E$25))),C2775&lt;=Nonlabor!$G$8,OR(Nonlabor!$H$8="Monthly",AND(Nonlabor!$H$8="Once",C2775=IF(Nonlabor!$E$8="Core",Nonlabor!$F$8,MAX(Nonlabor!$F$8,IF(Nonlabor!$E$8="AI",Assumptions!$E$24,Assumptions!$E$25)))),AND(Nonlabor!$H$8="Annual",MOD(C2775-IF(Nonlabor!$E$8="Core",Nonlabor!$F$8,MAX(Nonlabor!$F$8,IF(Nonlabor!$E$8="AI",Assumptions!$E$24,Assumptions!$E$25))),12)=0))),IF(Nonlabor!$I$8="Fixed",1,IF(Nonlabor!$I$8="Seats",ROUNDUP('Monthly Growth'!I15,0),IF(Nonlabor!$I$8="Customers",'Monthly Growth'!D15,IF(Nonlabor!$I$8="NewCustomers",'Monthly Growth'!C15,IF(Nonlabor!$I$8="StorageGB",'Monthly Growth'!G15,IF(Nonlabor!$I$8="LogGB",'Monthly Growth'!H15,IF(Nonlabor!$I$8="RequestsM",'Monthly Growth'!F15,IF(Nonlabor!$I$8="InputM",'Monthly Growth'!D15*Assumptions!$E$22/1000000,IF(Nonlabor!$I$8="OutputM",'Monthly Growth'!D15*Assumptions!$E$23/1000000,0))))))))),0)</f>
        <v>0</v>
      </c>
      <c r="F2775" s="10" t="n">
        <f aca="false">Nonlabor!$J$8*(1+Assumptions!$E$9)^INT((C2775-1)/12)</f>
        <v>1100</v>
      </c>
      <c r="G2775" s="10" t="n">
        <f aca="false">E2775*F2775</f>
        <v>0</v>
      </c>
      <c r="H2775" s="10" t="n">
        <f aca="false">IF(OR(Nonlabor!$L$8="Quote required",Nonlabor!$L$8="Unverified"),G2775,0)</f>
        <v>0</v>
      </c>
      <c r="I2775" s="10" t="n">
        <f aca="false">IF(Nonlabor!$E$8="Core",0,G2775)</f>
        <v>0</v>
      </c>
      <c r="J2775" s="23" t="str">
        <f aca="false">Nonlabor!$B$8</f>
        <v>INFRA</v>
      </c>
    </row>
    <row r="2776" customFormat="false" ht="15" hidden="false" customHeight="false" outlineLevel="0" collapsed="false">
      <c r="A2776" s="6" t="s">
        <v>73</v>
      </c>
      <c r="B2776" s="6" t="s">
        <v>376</v>
      </c>
      <c r="C2776" s="6" t="n">
        <v>11</v>
      </c>
      <c r="D2776" s="25" t="n">
        <f aca="false">EDATE('Start Here'!$B$6,C2776-1)</f>
        <v>46631</v>
      </c>
      <c r="E2776" s="23" t="n">
        <f aca="false">IF(AND(OR(Nonlabor!$D$8="Both",Nonlabor!$D$8='Start Here'!$B$9),IF(Nonlabor!$E$8="Core",1,IF(Nonlabor!$E$8="AI",'Start Here'!$B$7,'Start Here'!$B$8))=1,C2776&gt;=IF(Nonlabor!$E$8="Core",Nonlabor!$F$8,MAX(Nonlabor!$F$8,IF(Nonlabor!$E$8="AI",Assumptions!$E$24,Assumptions!$E$25))),C2776&lt;=Nonlabor!$G$8,OR(Nonlabor!$H$8="Monthly",AND(Nonlabor!$H$8="Once",C2776=IF(Nonlabor!$E$8="Core",Nonlabor!$F$8,MAX(Nonlabor!$F$8,IF(Nonlabor!$E$8="AI",Assumptions!$E$24,Assumptions!$E$25)))),AND(Nonlabor!$H$8="Annual",MOD(C2776-IF(Nonlabor!$E$8="Core",Nonlabor!$F$8,MAX(Nonlabor!$F$8,IF(Nonlabor!$E$8="AI",Assumptions!$E$24,Assumptions!$E$25))),12)=0))),IF(Nonlabor!$I$8="Fixed",1,IF(Nonlabor!$I$8="Seats",ROUNDUP('Monthly Growth'!I16,0),IF(Nonlabor!$I$8="Customers",'Monthly Growth'!D16,IF(Nonlabor!$I$8="NewCustomers",'Monthly Growth'!C16,IF(Nonlabor!$I$8="StorageGB",'Monthly Growth'!G16,IF(Nonlabor!$I$8="LogGB",'Monthly Growth'!H16,IF(Nonlabor!$I$8="RequestsM",'Monthly Growth'!F16,IF(Nonlabor!$I$8="InputM",'Monthly Growth'!D16*Assumptions!$E$22/1000000,IF(Nonlabor!$I$8="OutputM",'Monthly Growth'!D16*Assumptions!$E$23/1000000,0))))))))),0)</f>
        <v>0</v>
      </c>
      <c r="F2776" s="10" t="n">
        <f aca="false">Nonlabor!$J$8*(1+Assumptions!$E$9)^INT((C2776-1)/12)</f>
        <v>1100</v>
      </c>
      <c r="G2776" s="10" t="n">
        <f aca="false">E2776*F2776</f>
        <v>0</v>
      </c>
      <c r="H2776" s="10" t="n">
        <f aca="false">IF(OR(Nonlabor!$L$8="Quote required",Nonlabor!$L$8="Unverified"),G2776,0)</f>
        <v>0</v>
      </c>
      <c r="I2776" s="10" t="n">
        <f aca="false">IF(Nonlabor!$E$8="Core",0,G2776)</f>
        <v>0</v>
      </c>
      <c r="J2776" s="23" t="str">
        <f aca="false">Nonlabor!$B$8</f>
        <v>INFRA</v>
      </c>
    </row>
    <row r="2777" customFormat="false" ht="15" hidden="false" customHeight="false" outlineLevel="0" collapsed="false">
      <c r="A2777" s="6" t="s">
        <v>73</v>
      </c>
      <c r="B2777" s="6" t="s">
        <v>376</v>
      </c>
      <c r="C2777" s="6" t="n">
        <v>12</v>
      </c>
      <c r="D2777" s="25" t="n">
        <f aca="false">EDATE('Start Here'!$B$6,C2777-1)</f>
        <v>46661</v>
      </c>
      <c r="E2777" s="23" t="n">
        <f aca="false">IF(AND(OR(Nonlabor!$D$8="Both",Nonlabor!$D$8='Start Here'!$B$9),IF(Nonlabor!$E$8="Core",1,IF(Nonlabor!$E$8="AI",'Start Here'!$B$7,'Start Here'!$B$8))=1,C2777&gt;=IF(Nonlabor!$E$8="Core",Nonlabor!$F$8,MAX(Nonlabor!$F$8,IF(Nonlabor!$E$8="AI",Assumptions!$E$24,Assumptions!$E$25))),C2777&lt;=Nonlabor!$G$8,OR(Nonlabor!$H$8="Monthly",AND(Nonlabor!$H$8="Once",C2777=IF(Nonlabor!$E$8="Core",Nonlabor!$F$8,MAX(Nonlabor!$F$8,IF(Nonlabor!$E$8="AI",Assumptions!$E$24,Assumptions!$E$25)))),AND(Nonlabor!$H$8="Annual",MOD(C2777-IF(Nonlabor!$E$8="Core",Nonlabor!$F$8,MAX(Nonlabor!$F$8,IF(Nonlabor!$E$8="AI",Assumptions!$E$24,Assumptions!$E$25))),12)=0))),IF(Nonlabor!$I$8="Fixed",1,IF(Nonlabor!$I$8="Seats",ROUNDUP('Monthly Growth'!I17,0),IF(Nonlabor!$I$8="Customers",'Monthly Growth'!D17,IF(Nonlabor!$I$8="NewCustomers",'Monthly Growth'!C17,IF(Nonlabor!$I$8="StorageGB",'Monthly Growth'!G17,IF(Nonlabor!$I$8="LogGB",'Monthly Growth'!H17,IF(Nonlabor!$I$8="RequestsM",'Monthly Growth'!F17,IF(Nonlabor!$I$8="InputM",'Monthly Growth'!D17*Assumptions!$E$22/1000000,IF(Nonlabor!$I$8="OutputM",'Monthly Growth'!D17*Assumptions!$E$23/1000000,0))))))))),0)</f>
        <v>0</v>
      </c>
      <c r="F2777" s="10" t="n">
        <f aca="false">Nonlabor!$J$8*(1+Assumptions!$E$9)^INT((C2777-1)/12)</f>
        <v>1100</v>
      </c>
      <c r="G2777" s="10" t="n">
        <f aca="false">E2777*F2777</f>
        <v>0</v>
      </c>
      <c r="H2777" s="10" t="n">
        <f aca="false">IF(OR(Nonlabor!$L$8="Quote required",Nonlabor!$L$8="Unverified"),G2777,0)</f>
        <v>0</v>
      </c>
      <c r="I2777" s="10" t="n">
        <f aca="false">IF(Nonlabor!$E$8="Core",0,G2777)</f>
        <v>0</v>
      </c>
      <c r="J2777" s="23" t="str">
        <f aca="false">Nonlabor!$B$8</f>
        <v>INFRA</v>
      </c>
    </row>
    <row r="2778" customFormat="false" ht="15" hidden="false" customHeight="false" outlineLevel="0" collapsed="false">
      <c r="A2778" s="6" t="s">
        <v>73</v>
      </c>
      <c r="B2778" s="6" t="s">
        <v>376</v>
      </c>
      <c r="C2778" s="6" t="n">
        <v>13</v>
      </c>
      <c r="D2778" s="25" t="n">
        <f aca="false">EDATE('Start Here'!$B$6,C2778-1)</f>
        <v>46692</v>
      </c>
      <c r="E2778" s="23" t="n">
        <f aca="false">IF(AND(OR(Nonlabor!$D$8="Both",Nonlabor!$D$8='Start Here'!$B$9),IF(Nonlabor!$E$8="Core",1,IF(Nonlabor!$E$8="AI",'Start Here'!$B$7,'Start Here'!$B$8))=1,C2778&gt;=IF(Nonlabor!$E$8="Core",Nonlabor!$F$8,MAX(Nonlabor!$F$8,IF(Nonlabor!$E$8="AI",Assumptions!$E$24,Assumptions!$E$25))),C2778&lt;=Nonlabor!$G$8,OR(Nonlabor!$H$8="Monthly",AND(Nonlabor!$H$8="Once",C2778=IF(Nonlabor!$E$8="Core",Nonlabor!$F$8,MAX(Nonlabor!$F$8,IF(Nonlabor!$E$8="AI",Assumptions!$E$24,Assumptions!$E$25)))),AND(Nonlabor!$H$8="Annual",MOD(C2778-IF(Nonlabor!$E$8="Core",Nonlabor!$F$8,MAX(Nonlabor!$F$8,IF(Nonlabor!$E$8="AI",Assumptions!$E$24,Assumptions!$E$25))),12)=0))),IF(Nonlabor!$I$8="Fixed",1,IF(Nonlabor!$I$8="Seats",ROUNDUP('Monthly Growth'!I18,0),IF(Nonlabor!$I$8="Customers",'Monthly Growth'!D18,IF(Nonlabor!$I$8="NewCustomers",'Monthly Growth'!C18,IF(Nonlabor!$I$8="StorageGB",'Monthly Growth'!G18,IF(Nonlabor!$I$8="LogGB",'Monthly Growth'!H18,IF(Nonlabor!$I$8="RequestsM",'Monthly Growth'!F18,IF(Nonlabor!$I$8="InputM",'Monthly Growth'!D18*Assumptions!$E$22/1000000,IF(Nonlabor!$I$8="OutputM",'Monthly Growth'!D18*Assumptions!$E$23/1000000,0))))))))),0)</f>
        <v>0</v>
      </c>
      <c r="F2778" s="10" t="n">
        <f aca="false">Nonlabor!$J$8*(1+Assumptions!$E$9)^INT((C2778-1)/12)</f>
        <v>1144</v>
      </c>
      <c r="G2778" s="10" t="n">
        <f aca="false">E2778*F2778</f>
        <v>0</v>
      </c>
      <c r="H2778" s="10" t="n">
        <f aca="false">IF(OR(Nonlabor!$L$8="Quote required",Nonlabor!$L$8="Unverified"),G2778,0)</f>
        <v>0</v>
      </c>
      <c r="I2778" s="10" t="n">
        <f aca="false">IF(Nonlabor!$E$8="Core",0,G2778)</f>
        <v>0</v>
      </c>
      <c r="J2778" s="23" t="str">
        <f aca="false">Nonlabor!$B$8</f>
        <v>INFRA</v>
      </c>
    </row>
    <row r="2779" customFormat="false" ht="15" hidden="false" customHeight="false" outlineLevel="0" collapsed="false">
      <c r="A2779" s="6" t="s">
        <v>73</v>
      </c>
      <c r="B2779" s="6" t="s">
        <v>376</v>
      </c>
      <c r="C2779" s="6" t="n">
        <v>14</v>
      </c>
      <c r="D2779" s="25" t="n">
        <f aca="false">EDATE('Start Here'!$B$6,C2779-1)</f>
        <v>46722</v>
      </c>
      <c r="E2779" s="23" t="n">
        <f aca="false">IF(AND(OR(Nonlabor!$D$8="Both",Nonlabor!$D$8='Start Here'!$B$9),IF(Nonlabor!$E$8="Core",1,IF(Nonlabor!$E$8="AI",'Start Here'!$B$7,'Start Here'!$B$8))=1,C2779&gt;=IF(Nonlabor!$E$8="Core",Nonlabor!$F$8,MAX(Nonlabor!$F$8,IF(Nonlabor!$E$8="AI",Assumptions!$E$24,Assumptions!$E$25))),C2779&lt;=Nonlabor!$G$8,OR(Nonlabor!$H$8="Monthly",AND(Nonlabor!$H$8="Once",C2779=IF(Nonlabor!$E$8="Core",Nonlabor!$F$8,MAX(Nonlabor!$F$8,IF(Nonlabor!$E$8="AI",Assumptions!$E$24,Assumptions!$E$25)))),AND(Nonlabor!$H$8="Annual",MOD(C2779-IF(Nonlabor!$E$8="Core",Nonlabor!$F$8,MAX(Nonlabor!$F$8,IF(Nonlabor!$E$8="AI",Assumptions!$E$24,Assumptions!$E$25))),12)=0))),IF(Nonlabor!$I$8="Fixed",1,IF(Nonlabor!$I$8="Seats",ROUNDUP('Monthly Growth'!I19,0),IF(Nonlabor!$I$8="Customers",'Monthly Growth'!D19,IF(Nonlabor!$I$8="NewCustomers",'Monthly Growth'!C19,IF(Nonlabor!$I$8="StorageGB",'Monthly Growth'!G19,IF(Nonlabor!$I$8="LogGB",'Monthly Growth'!H19,IF(Nonlabor!$I$8="RequestsM",'Monthly Growth'!F19,IF(Nonlabor!$I$8="InputM",'Monthly Growth'!D19*Assumptions!$E$22/1000000,IF(Nonlabor!$I$8="OutputM",'Monthly Growth'!D19*Assumptions!$E$23/1000000,0))))))))),0)</f>
        <v>0</v>
      </c>
      <c r="F2779" s="10" t="n">
        <f aca="false">Nonlabor!$J$8*(1+Assumptions!$E$9)^INT((C2779-1)/12)</f>
        <v>1144</v>
      </c>
      <c r="G2779" s="10" t="n">
        <f aca="false">E2779*F2779</f>
        <v>0</v>
      </c>
      <c r="H2779" s="10" t="n">
        <f aca="false">IF(OR(Nonlabor!$L$8="Quote required",Nonlabor!$L$8="Unverified"),G2779,0)</f>
        <v>0</v>
      </c>
      <c r="I2779" s="10" t="n">
        <f aca="false">IF(Nonlabor!$E$8="Core",0,G2779)</f>
        <v>0</v>
      </c>
      <c r="J2779" s="23" t="str">
        <f aca="false">Nonlabor!$B$8</f>
        <v>INFRA</v>
      </c>
    </row>
    <row r="2780" customFormat="false" ht="15" hidden="false" customHeight="false" outlineLevel="0" collapsed="false">
      <c r="A2780" s="6" t="s">
        <v>73</v>
      </c>
      <c r="B2780" s="6" t="s">
        <v>376</v>
      </c>
      <c r="C2780" s="6" t="n">
        <v>15</v>
      </c>
      <c r="D2780" s="25" t="n">
        <f aca="false">EDATE('Start Here'!$B$6,C2780-1)</f>
        <v>46753</v>
      </c>
      <c r="E2780" s="23" t="n">
        <f aca="false">IF(AND(OR(Nonlabor!$D$8="Both",Nonlabor!$D$8='Start Here'!$B$9),IF(Nonlabor!$E$8="Core",1,IF(Nonlabor!$E$8="AI",'Start Here'!$B$7,'Start Here'!$B$8))=1,C2780&gt;=IF(Nonlabor!$E$8="Core",Nonlabor!$F$8,MAX(Nonlabor!$F$8,IF(Nonlabor!$E$8="AI",Assumptions!$E$24,Assumptions!$E$25))),C2780&lt;=Nonlabor!$G$8,OR(Nonlabor!$H$8="Monthly",AND(Nonlabor!$H$8="Once",C2780=IF(Nonlabor!$E$8="Core",Nonlabor!$F$8,MAX(Nonlabor!$F$8,IF(Nonlabor!$E$8="AI",Assumptions!$E$24,Assumptions!$E$25)))),AND(Nonlabor!$H$8="Annual",MOD(C2780-IF(Nonlabor!$E$8="Core",Nonlabor!$F$8,MAX(Nonlabor!$F$8,IF(Nonlabor!$E$8="AI",Assumptions!$E$24,Assumptions!$E$25))),12)=0))),IF(Nonlabor!$I$8="Fixed",1,IF(Nonlabor!$I$8="Seats",ROUNDUP('Monthly Growth'!I20,0),IF(Nonlabor!$I$8="Customers",'Monthly Growth'!D20,IF(Nonlabor!$I$8="NewCustomers",'Monthly Growth'!C20,IF(Nonlabor!$I$8="StorageGB",'Monthly Growth'!G20,IF(Nonlabor!$I$8="LogGB",'Monthly Growth'!H20,IF(Nonlabor!$I$8="RequestsM",'Monthly Growth'!F20,IF(Nonlabor!$I$8="InputM",'Monthly Growth'!D20*Assumptions!$E$22/1000000,IF(Nonlabor!$I$8="OutputM",'Monthly Growth'!D20*Assumptions!$E$23/1000000,0))))))))),0)</f>
        <v>0</v>
      </c>
      <c r="F2780" s="10" t="n">
        <f aca="false">Nonlabor!$J$8*(1+Assumptions!$E$9)^INT((C2780-1)/12)</f>
        <v>1144</v>
      </c>
      <c r="G2780" s="10" t="n">
        <f aca="false">E2780*F2780</f>
        <v>0</v>
      </c>
      <c r="H2780" s="10" t="n">
        <f aca="false">IF(OR(Nonlabor!$L$8="Quote required",Nonlabor!$L$8="Unverified"),G2780,0)</f>
        <v>0</v>
      </c>
      <c r="I2780" s="10" t="n">
        <f aca="false">IF(Nonlabor!$E$8="Core",0,G2780)</f>
        <v>0</v>
      </c>
      <c r="J2780" s="23" t="str">
        <f aca="false">Nonlabor!$B$8</f>
        <v>INFRA</v>
      </c>
    </row>
    <row r="2781" customFormat="false" ht="15" hidden="false" customHeight="false" outlineLevel="0" collapsed="false">
      <c r="A2781" s="6" t="s">
        <v>73</v>
      </c>
      <c r="B2781" s="6" t="s">
        <v>376</v>
      </c>
      <c r="C2781" s="6" t="n">
        <v>16</v>
      </c>
      <c r="D2781" s="25" t="n">
        <f aca="false">EDATE('Start Here'!$B$6,C2781-1)</f>
        <v>46784</v>
      </c>
      <c r="E2781" s="23" t="n">
        <f aca="false">IF(AND(OR(Nonlabor!$D$8="Both",Nonlabor!$D$8='Start Here'!$B$9),IF(Nonlabor!$E$8="Core",1,IF(Nonlabor!$E$8="AI",'Start Here'!$B$7,'Start Here'!$B$8))=1,C2781&gt;=IF(Nonlabor!$E$8="Core",Nonlabor!$F$8,MAX(Nonlabor!$F$8,IF(Nonlabor!$E$8="AI",Assumptions!$E$24,Assumptions!$E$25))),C2781&lt;=Nonlabor!$G$8,OR(Nonlabor!$H$8="Monthly",AND(Nonlabor!$H$8="Once",C2781=IF(Nonlabor!$E$8="Core",Nonlabor!$F$8,MAX(Nonlabor!$F$8,IF(Nonlabor!$E$8="AI",Assumptions!$E$24,Assumptions!$E$25)))),AND(Nonlabor!$H$8="Annual",MOD(C2781-IF(Nonlabor!$E$8="Core",Nonlabor!$F$8,MAX(Nonlabor!$F$8,IF(Nonlabor!$E$8="AI",Assumptions!$E$24,Assumptions!$E$25))),12)=0))),IF(Nonlabor!$I$8="Fixed",1,IF(Nonlabor!$I$8="Seats",ROUNDUP('Monthly Growth'!I21,0),IF(Nonlabor!$I$8="Customers",'Monthly Growth'!D21,IF(Nonlabor!$I$8="NewCustomers",'Monthly Growth'!C21,IF(Nonlabor!$I$8="StorageGB",'Monthly Growth'!G21,IF(Nonlabor!$I$8="LogGB",'Monthly Growth'!H21,IF(Nonlabor!$I$8="RequestsM",'Monthly Growth'!F21,IF(Nonlabor!$I$8="InputM",'Monthly Growth'!D21*Assumptions!$E$22/1000000,IF(Nonlabor!$I$8="OutputM",'Monthly Growth'!D21*Assumptions!$E$23/1000000,0))))))))),0)</f>
        <v>0</v>
      </c>
      <c r="F2781" s="10" t="n">
        <f aca="false">Nonlabor!$J$8*(1+Assumptions!$E$9)^INT((C2781-1)/12)</f>
        <v>1144</v>
      </c>
      <c r="G2781" s="10" t="n">
        <f aca="false">E2781*F2781</f>
        <v>0</v>
      </c>
      <c r="H2781" s="10" t="n">
        <f aca="false">IF(OR(Nonlabor!$L$8="Quote required",Nonlabor!$L$8="Unverified"),G2781,0)</f>
        <v>0</v>
      </c>
      <c r="I2781" s="10" t="n">
        <f aca="false">IF(Nonlabor!$E$8="Core",0,G2781)</f>
        <v>0</v>
      </c>
      <c r="J2781" s="23" t="str">
        <f aca="false">Nonlabor!$B$8</f>
        <v>INFRA</v>
      </c>
    </row>
    <row r="2782" customFormat="false" ht="15" hidden="false" customHeight="false" outlineLevel="0" collapsed="false">
      <c r="A2782" s="6" t="s">
        <v>73</v>
      </c>
      <c r="B2782" s="6" t="s">
        <v>376</v>
      </c>
      <c r="C2782" s="6" t="n">
        <v>17</v>
      </c>
      <c r="D2782" s="25" t="n">
        <f aca="false">EDATE('Start Here'!$B$6,C2782-1)</f>
        <v>46813</v>
      </c>
      <c r="E2782" s="23" t="n">
        <f aca="false">IF(AND(OR(Nonlabor!$D$8="Both",Nonlabor!$D$8='Start Here'!$B$9),IF(Nonlabor!$E$8="Core",1,IF(Nonlabor!$E$8="AI",'Start Here'!$B$7,'Start Here'!$B$8))=1,C2782&gt;=IF(Nonlabor!$E$8="Core",Nonlabor!$F$8,MAX(Nonlabor!$F$8,IF(Nonlabor!$E$8="AI",Assumptions!$E$24,Assumptions!$E$25))),C2782&lt;=Nonlabor!$G$8,OR(Nonlabor!$H$8="Monthly",AND(Nonlabor!$H$8="Once",C2782=IF(Nonlabor!$E$8="Core",Nonlabor!$F$8,MAX(Nonlabor!$F$8,IF(Nonlabor!$E$8="AI",Assumptions!$E$24,Assumptions!$E$25)))),AND(Nonlabor!$H$8="Annual",MOD(C2782-IF(Nonlabor!$E$8="Core",Nonlabor!$F$8,MAX(Nonlabor!$F$8,IF(Nonlabor!$E$8="AI",Assumptions!$E$24,Assumptions!$E$25))),12)=0))),IF(Nonlabor!$I$8="Fixed",1,IF(Nonlabor!$I$8="Seats",ROUNDUP('Monthly Growth'!I22,0),IF(Nonlabor!$I$8="Customers",'Monthly Growth'!D22,IF(Nonlabor!$I$8="NewCustomers",'Monthly Growth'!C22,IF(Nonlabor!$I$8="StorageGB",'Monthly Growth'!G22,IF(Nonlabor!$I$8="LogGB",'Monthly Growth'!H22,IF(Nonlabor!$I$8="RequestsM",'Monthly Growth'!F22,IF(Nonlabor!$I$8="InputM",'Monthly Growth'!D22*Assumptions!$E$22/1000000,IF(Nonlabor!$I$8="OutputM",'Monthly Growth'!D22*Assumptions!$E$23/1000000,0))))))))),0)</f>
        <v>0</v>
      </c>
      <c r="F2782" s="10" t="n">
        <f aca="false">Nonlabor!$J$8*(1+Assumptions!$E$9)^INT((C2782-1)/12)</f>
        <v>1144</v>
      </c>
      <c r="G2782" s="10" t="n">
        <f aca="false">E2782*F2782</f>
        <v>0</v>
      </c>
      <c r="H2782" s="10" t="n">
        <f aca="false">IF(OR(Nonlabor!$L$8="Quote required",Nonlabor!$L$8="Unverified"),G2782,0)</f>
        <v>0</v>
      </c>
      <c r="I2782" s="10" t="n">
        <f aca="false">IF(Nonlabor!$E$8="Core",0,G2782)</f>
        <v>0</v>
      </c>
      <c r="J2782" s="23" t="str">
        <f aca="false">Nonlabor!$B$8</f>
        <v>INFRA</v>
      </c>
    </row>
    <row r="2783" customFormat="false" ht="15" hidden="false" customHeight="false" outlineLevel="0" collapsed="false">
      <c r="A2783" s="6" t="s">
        <v>73</v>
      </c>
      <c r="B2783" s="6" t="s">
        <v>376</v>
      </c>
      <c r="C2783" s="6" t="n">
        <v>18</v>
      </c>
      <c r="D2783" s="25" t="n">
        <f aca="false">EDATE('Start Here'!$B$6,C2783-1)</f>
        <v>46844</v>
      </c>
      <c r="E2783" s="23" t="n">
        <f aca="false">IF(AND(OR(Nonlabor!$D$8="Both",Nonlabor!$D$8='Start Here'!$B$9),IF(Nonlabor!$E$8="Core",1,IF(Nonlabor!$E$8="AI",'Start Here'!$B$7,'Start Here'!$B$8))=1,C2783&gt;=IF(Nonlabor!$E$8="Core",Nonlabor!$F$8,MAX(Nonlabor!$F$8,IF(Nonlabor!$E$8="AI",Assumptions!$E$24,Assumptions!$E$25))),C2783&lt;=Nonlabor!$G$8,OR(Nonlabor!$H$8="Monthly",AND(Nonlabor!$H$8="Once",C2783=IF(Nonlabor!$E$8="Core",Nonlabor!$F$8,MAX(Nonlabor!$F$8,IF(Nonlabor!$E$8="AI",Assumptions!$E$24,Assumptions!$E$25)))),AND(Nonlabor!$H$8="Annual",MOD(C2783-IF(Nonlabor!$E$8="Core",Nonlabor!$F$8,MAX(Nonlabor!$F$8,IF(Nonlabor!$E$8="AI",Assumptions!$E$24,Assumptions!$E$25))),12)=0))),IF(Nonlabor!$I$8="Fixed",1,IF(Nonlabor!$I$8="Seats",ROUNDUP('Monthly Growth'!I23,0),IF(Nonlabor!$I$8="Customers",'Monthly Growth'!D23,IF(Nonlabor!$I$8="NewCustomers",'Monthly Growth'!C23,IF(Nonlabor!$I$8="StorageGB",'Monthly Growth'!G23,IF(Nonlabor!$I$8="LogGB",'Monthly Growth'!H23,IF(Nonlabor!$I$8="RequestsM",'Monthly Growth'!F23,IF(Nonlabor!$I$8="InputM",'Monthly Growth'!D23*Assumptions!$E$22/1000000,IF(Nonlabor!$I$8="OutputM",'Monthly Growth'!D23*Assumptions!$E$23/1000000,0))))))))),0)</f>
        <v>0</v>
      </c>
      <c r="F2783" s="10" t="n">
        <f aca="false">Nonlabor!$J$8*(1+Assumptions!$E$9)^INT((C2783-1)/12)</f>
        <v>1144</v>
      </c>
      <c r="G2783" s="10" t="n">
        <f aca="false">E2783*F2783</f>
        <v>0</v>
      </c>
      <c r="H2783" s="10" t="n">
        <f aca="false">IF(OR(Nonlabor!$L$8="Quote required",Nonlabor!$L$8="Unverified"),G2783,0)</f>
        <v>0</v>
      </c>
      <c r="I2783" s="10" t="n">
        <f aca="false">IF(Nonlabor!$E$8="Core",0,G2783)</f>
        <v>0</v>
      </c>
      <c r="J2783" s="23" t="str">
        <f aca="false">Nonlabor!$B$8</f>
        <v>INFRA</v>
      </c>
    </row>
    <row r="2784" customFormat="false" ht="15" hidden="false" customHeight="false" outlineLevel="0" collapsed="false">
      <c r="A2784" s="6" t="s">
        <v>73</v>
      </c>
      <c r="B2784" s="6" t="s">
        <v>376</v>
      </c>
      <c r="C2784" s="6" t="n">
        <v>19</v>
      </c>
      <c r="D2784" s="25" t="n">
        <f aca="false">EDATE('Start Here'!$B$6,C2784-1)</f>
        <v>46874</v>
      </c>
      <c r="E2784" s="23" t="n">
        <f aca="false">IF(AND(OR(Nonlabor!$D$8="Both",Nonlabor!$D$8='Start Here'!$B$9),IF(Nonlabor!$E$8="Core",1,IF(Nonlabor!$E$8="AI",'Start Here'!$B$7,'Start Here'!$B$8))=1,C2784&gt;=IF(Nonlabor!$E$8="Core",Nonlabor!$F$8,MAX(Nonlabor!$F$8,IF(Nonlabor!$E$8="AI",Assumptions!$E$24,Assumptions!$E$25))),C2784&lt;=Nonlabor!$G$8,OR(Nonlabor!$H$8="Monthly",AND(Nonlabor!$H$8="Once",C2784=IF(Nonlabor!$E$8="Core",Nonlabor!$F$8,MAX(Nonlabor!$F$8,IF(Nonlabor!$E$8="AI",Assumptions!$E$24,Assumptions!$E$25)))),AND(Nonlabor!$H$8="Annual",MOD(C2784-IF(Nonlabor!$E$8="Core",Nonlabor!$F$8,MAX(Nonlabor!$F$8,IF(Nonlabor!$E$8="AI",Assumptions!$E$24,Assumptions!$E$25))),12)=0))),IF(Nonlabor!$I$8="Fixed",1,IF(Nonlabor!$I$8="Seats",ROUNDUP('Monthly Growth'!I24,0),IF(Nonlabor!$I$8="Customers",'Monthly Growth'!D24,IF(Nonlabor!$I$8="NewCustomers",'Monthly Growth'!C24,IF(Nonlabor!$I$8="StorageGB",'Monthly Growth'!G24,IF(Nonlabor!$I$8="LogGB",'Monthly Growth'!H24,IF(Nonlabor!$I$8="RequestsM",'Monthly Growth'!F24,IF(Nonlabor!$I$8="InputM",'Monthly Growth'!D24*Assumptions!$E$22/1000000,IF(Nonlabor!$I$8="OutputM",'Monthly Growth'!D24*Assumptions!$E$23/1000000,0))))))))),0)</f>
        <v>0</v>
      </c>
      <c r="F2784" s="10" t="n">
        <f aca="false">Nonlabor!$J$8*(1+Assumptions!$E$9)^INT((C2784-1)/12)</f>
        <v>1144</v>
      </c>
      <c r="G2784" s="10" t="n">
        <f aca="false">E2784*F2784</f>
        <v>0</v>
      </c>
      <c r="H2784" s="10" t="n">
        <f aca="false">IF(OR(Nonlabor!$L$8="Quote required",Nonlabor!$L$8="Unverified"),G2784,0)</f>
        <v>0</v>
      </c>
      <c r="I2784" s="10" t="n">
        <f aca="false">IF(Nonlabor!$E$8="Core",0,G2784)</f>
        <v>0</v>
      </c>
      <c r="J2784" s="23" t="str">
        <f aca="false">Nonlabor!$B$8</f>
        <v>INFRA</v>
      </c>
    </row>
    <row r="2785" customFormat="false" ht="15" hidden="false" customHeight="false" outlineLevel="0" collapsed="false">
      <c r="A2785" s="6" t="s">
        <v>73</v>
      </c>
      <c r="B2785" s="6" t="s">
        <v>376</v>
      </c>
      <c r="C2785" s="6" t="n">
        <v>20</v>
      </c>
      <c r="D2785" s="25" t="n">
        <f aca="false">EDATE('Start Here'!$B$6,C2785-1)</f>
        <v>46905</v>
      </c>
      <c r="E2785" s="23" t="n">
        <f aca="false">IF(AND(OR(Nonlabor!$D$8="Both",Nonlabor!$D$8='Start Here'!$B$9),IF(Nonlabor!$E$8="Core",1,IF(Nonlabor!$E$8="AI",'Start Here'!$B$7,'Start Here'!$B$8))=1,C2785&gt;=IF(Nonlabor!$E$8="Core",Nonlabor!$F$8,MAX(Nonlabor!$F$8,IF(Nonlabor!$E$8="AI",Assumptions!$E$24,Assumptions!$E$25))),C2785&lt;=Nonlabor!$G$8,OR(Nonlabor!$H$8="Monthly",AND(Nonlabor!$H$8="Once",C2785=IF(Nonlabor!$E$8="Core",Nonlabor!$F$8,MAX(Nonlabor!$F$8,IF(Nonlabor!$E$8="AI",Assumptions!$E$24,Assumptions!$E$25)))),AND(Nonlabor!$H$8="Annual",MOD(C2785-IF(Nonlabor!$E$8="Core",Nonlabor!$F$8,MAX(Nonlabor!$F$8,IF(Nonlabor!$E$8="AI",Assumptions!$E$24,Assumptions!$E$25))),12)=0))),IF(Nonlabor!$I$8="Fixed",1,IF(Nonlabor!$I$8="Seats",ROUNDUP('Monthly Growth'!I25,0),IF(Nonlabor!$I$8="Customers",'Monthly Growth'!D25,IF(Nonlabor!$I$8="NewCustomers",'Monthly Growth'!C25,IF(Nonlabor!$I$8="StorageGB",'Monthly Growth'!G25,IF(Nonlabor!$I$8="LogGB",'Monthly Growth'!H25,IF(Nonlabor!$I$8="RequestsM",'Monthly Growth'!F25,IF(Nonlabor!$I$8="InputM",'Monthly Growth'!D25*Assumptions!$E$22/1000000,IF(Nonlabor!$I$8="OutputM",'Monthly Growth'!D25*Assumptions!$E$23/1000000,0))))))))),0)</f>
        <v>0</v>
      </c>
      <c r="F2785" s="10" t="n">
        <f aca="false">Nonlabor!$J$8*(1+Assumptions!$E$9)^INT((C2785-1)/12)</f>
        <v>1144</v>
      </c>
      <c r="G2785" s="10" t="n">
        <f aca="false">E2785*F2785</f>
        <v>0</v>
      </c>
      <c r="H2785" s="10" t="n">
        <f aca="false">IF(OR(Nonlabor!$L$8="Quote required",Nonlabor!$L$8="Unverified"),G2785,0)</f>
        <v>0</v>
      </c>
      <c r="I2785" s="10" t="n">
        <f aca="false">IF(Nonlabor!$E$8="Core",0,G2785)</f>
        <v>0</v>
      </c>
      <c r="J2785" s="23" t="str">
        <f aca="false">Nonlabor!$B$8</f>
        <v>INFRA</v>
      </c>
    </row>
    <row r="2786" customFormat="false" ht="15" hidden="false" customHeight="false" outlineLevel="0" collapsed="false">
      <c r="A2786" s="6" t="s">
        <v>73</v>
      </c>
      <c r="B2786" s="6" t="s">
        <v>376</v>
      </c>
      <c r="C2786" s="6" t="n">
        <v>21</v>
      </c>
      <c r="D2786" s="25" t="n">
        <f aca="false">EDATE('Start Here'!$B$6,C2786-1)</f>
        <v>46935</v>
      </c>
      <c r="E2786" s="23" t="n">
        <f aca="false">IF(AND(OR(Nonlabor!$D$8="Both",Nonlabor!$D$8='Start Here'!$B$9),IF(Nonlabor!$E$8="Core",1,IF(Nonlabor!$E$8="AI",'Start Here'!$B$7,'Start Here'!$B$8))=1,C2786&gt;=IF(Nonlabor!$E$8="Core",Nonlabor!$F$8,MAX(Nonlabor!$F$8,IF(Nonlabor!$E$8="AI",Assumptions!$E$24,Assumptions!$E$25))),C2786&lt;=Nonlabor!$G$8,OR(Nonlabor!$H$8="Monthly",AND(Nonlabor!$H$8="Once",C2786=IF(Nonlabor!$E$8="Core",Nonlabor!$F$8,MAX(Nonlabor!$F$8,IF(Nonlabor!$E$8="AI",Assumptions!$E$24,Assumptions!$E$25)))),AND(Nonlabor!$H$8="Annual",MOD(C2786-IF(Nonlabor!$E$8="Core",Nonlabor!$F$8,MAX(Nonlabor!$F$8,IF(Nonlabor!$E$8="AI",Assumptions!$E$24,Assumptions!$E$25))),12)=0))),IF(Nonlabor!$I$8="Fixed",1,IF(Nonlabor!$I$8="Seats",ROUNDUP('Monthly Growth'!I26,0),IF(Nonlabor!$I$8="Customers",'Monthly Growth'!D26,IF(Nonlabor!$I$8="NewCustomers",'Monthly Growth'!C26,IF(Nonlabor!$I$8="StorageGB",'Monthly Growth'!G26,IF(Nonlabor!$I$8="LogGB",'Monthly Growth'!H26,IF(Nonlabor!$I$8="RequestsM",'Monthly Growth'!F26,IF(Nonlabor!$I$8="InputM",'Monthly Growth'!D26*Assumptions!$E$22/1000000,IF(Nonlabor!$I$8="OutputM",'Monthly Growth'!D26*Assumptions!$E$23/1000000,0))))))))),0)</f>
        <v>0</v>
      </c>
      <c r="F2786" s="10" t="n">
        <f aca="false">Nonlabor!$J$8*(1+Assumptions!$E$9)^INT((C2786-1)/12)</f>
        <v>1144</v>
      </c>
      <c r="G2786" s="10" t="n">
        <f aca="false">E2786*F2786</f>
        <v>0</v>
      </c>
      <c r="H2786" s="10" t="n">
        <f aca="false">IF(OR(Nonlabor!$L$8="Quote required",Nonlabor!$L$8="Unverified"),G2786,0)</f>
        <v>0</v>
      </c>
      <c r="I2786" s="10" t="n">
        <f aca="false">IF(Nonlabor!$E$8="Core",0,G2786)</f>
        <v>0</v>
      </c>
      <c r="J2786" s="23" t="str">
        <f aca="false">Nonlabor!$B$8</f>
        <v>INFRA</v>
      </c>
    </row>
    <row r="2787" customFormat="false" ht="15" hidden="false" customHeight="false" outlineLevel="0" collapsed="false">
      <c r="A2787" s="6" t="s">
        <v>73</v>
      </c>
      <c r="B2787" s="6" t="s">
        <v>376</v>
      </c>
      <c r="C2787" s="6" t="n">
        <v>22</v>
      </c>
      <c r="D2787" s="25" t="n">
        <f aca="false">EDATE('Start Here'!$B$6,C2787-1)</f>
        <v>46966</v>
      </c>
      <c r="E2787" s="23" t="n">
        <f aca="false">IF(AND(OR(Nonlabor!$D$8="Both",Nonlabor!$D$8='Start Here'!$B$9),IF(Nonlabor!$E$8="Core",1,IF(Nonlabor!$E$8="AI",'Start Here'!$B$7,'Start Here'!$B$8))=1,C2787&gt;=IF(Nonlabor!$E$8="Core",Nonlabor!$F$8,MAX(Nonlabor!$F$8,IF(Nonlabor!$E$8="AI",Assumptions!$E$24,Assumptions!$E$25))),C2787&lt;=Nonlabor!$G$8,OR(Nonlabor!$H$8="Monthly",AND(Nonlabor!$H$8="Once",C2787=IF(Nonlabor!$E$8="Core",Nonlabor!$F$8,MAX(Nonlabor!$F$8,IF(Nonlabor!$E$8="AI",Assumptions!$E$24,Assumptions!$E$25)))),AND(Nonlabor!$H$8="Annual",MOD(C2787-IF(Nonlabor!$E$8="Core",Nonlabor!$F$8,MAX(Nonlabor!$F$8,IF(Nonlabor!$E$8="AI",Assumptions!$E$24,Assumptions!$E$25))),12)=0))),IF(Nonlabor!$I$8="Fixed",1,IF(Nonlabor!$I$8="Seats",ROUNDUP('Monthly Growth'!I27,0),IF(Nonlabor!$I$8="Customers",'Monthly Growth'!D27,IF(Nonlabor!$I$8="NewCustomers",'Monthly Growth'!C27,IF(Nonlabor!$I$8="StorageGB",'Monthly Growth'!G27,IF(Nonlabor!$I$8="LogGB",'Monthly Growth'!H27,IF(Nonlabor!$I$8="RequestsM",'Monthly Growth'!F27,IF(Nonlabor!$I$8="InputM",'Monthly Growth'!D27*Assumptions!$E$22/1000000,IF(Nonlabor!$I$8="OutputM",'Monthly Growth'!D27*Assumptions!$E$23/1000000,0))))))))),0)</f>
        <v>0</v>
      </c>
      <c r="F2787" s="10" t="n">
        <f aca="false">Nonlabor!$J$8*(1+Assumptions!$E$9)^INT((C2787-1)/12)</f>
        <v>1144</v>
      </c>
      <c r="G2787" s="10" t="n">
        <f aca="false">E2787*F2787</f>
        <v>0</v>
      </c>
      <c r="H2787" s="10" t="n">
        <f aca="false">IF(OR(Nonlabor!$L$8="Quote required",Nonlabor!$L$8="Unverified"),G2787,0)</f>
        <v>0</v>
      </c>
      <c r="I2787" s="10" t="n">
        <f aca="false">IF(Nonlabor!$E$8="Core",0,G2787)</f>
        <v>0</v>
      </c>
      <c r="J2787" s="23" t="str">
        <f aca="false">Nonlabor!$B$8</f>
        <v>INFRA</v>
      </c>
    </row>
    <row r="2788" customFormat="false" ht="15" hidden="false" customHeight="false" outlineLevel="0" collapsed="false">
      <c r="A2788" s="6" t="s">
        <v>73</v>
      </c>
      <c r="B2788" s="6" t="s">
        <v>376</v>
      </c>
      <c r="C2788" s="6" t="n">
        <v>23</v>
      </c>
      <c r="D2788" s="25" t="n">
        <f aca="false">EDATE('Start Here'!$B$6,C2788-1)</f>
        <v>46997</v>
      </c>
      <c r="E2788" s="23" t="n">
        <f aca="false">IF(AND(OR(Nonlabor!$D$8="Both",Nonlabor!$D$8='Start Here'!$B$9),IF(Nonlabor!$E$8="Core",1,IF(Nonlabor!$E$8="AI",'Start Here'!$B$7,'Start Here'!$B$8))=1,C2788&gt;=IF(Nonlabor!$E$8="Core",Nonlabor!$F$8,MAX(Nonlabor!$F$8,IF(Nonlabor!$E$8="AI",Assumptions!$E$24,Assumptions!$E$25))),C2788&lt;=Nonlabor!$G$8,OR(Nonlabor!$H$8="Monthly",AND(Nonlabor!$H$8="Once",C2788=IF(Nonlabor!$E$8="Core",Nonlabor!$F$8,MAX(Nonlabor!$F$8,IF(Nonlabor!$E$8="AI",Assumptions!$E$24,Assumptions!$E$25)))),AND(Nonlabor!$H$8="Annual",MOD(C2788-IF(Nonlabor!$E$8="Core",Nonlabor!$F$8,MAX(Nonlabor!$F$8,IF(Nonlabor!$E$8="AI",Assumptions!$E$24,Assumptions!$E$25))),12)=0))),IF(Nonlabor!$I$8="Fixed",1,IF(Nonlabor!$I$8="Seats",ROUNDUP('Monthly Growth'!I28,0),IF(Nonlabor!$I$8="Customers",'Monthly Growth'!D28,IF(Nonlabor!$I$8="NewCustomers",'Monthly Growth'!C28,IF(Nonlabor!$I$8="StorageGB",'Monthly Growth'!G28,IF(Nonlabor!$I$8="LogGB",'Monthly Growth'!H28,IF(Nonlabor!$I$8="RequestsM",'Monthly Growth'!F28,IF(Nonlabor!$I$8="InputM",'Monthly Growth'!D28*Assumptions!$E$22/1000000,IF(Nonlabor!$I$8="OutputM",'Monthly Growth'!D28*Assumptions!$E$23/1000000,0))))))))),0)</f>
        <v>0</v>
      </c>
      <c r="F2788" s="10" t="n">
        <f aca="false">Nonlabor!$J$8*(1+Assumptions!$E$9)^INT((C2788-1)/12)</f>
        <v>1144</v>
      </c>
      <c r="G2788" s="10" t="n">
        <f aca="false">E2788*F2788</f>
        <v>0</v>
      </c>
      <c r="H2788" s="10" t="n">
        <f aca="false">IF(OR(Nonlabor!$L$8="Quote required",Nonlabor!$L$8="Unverified"),G2788,0)</f>
        <v>0</v>
      </c>
      <c r="I2788" s="10" t="n">
        <f aca="false">IF(Nonlabor!$E$8="Core",0,G2788)</f>
        <v>0</v>
      </c>
      <c r="J2788" s="23" t="str">
        <f aca="false">Nonlabor!$B$8</f>
        <v>INFRA</v>
      </c>
    </row>
    <row r="2789" customFormat="false" ht="15" hidden="false" customHeight="false" outlineLevel="0" collapsed="false">
      <c r="A2789" s="6" t="s">
        <v>73</v>
      </c>
      <c r="B2789" s="6" t="s">
        <v>376</v>
      </c>
      <c r="C2789" s="6" t="n">
        <v>24</v>
      </c>
      <c r="D2789" s="25" t="n">
        <f aca="false">EDATE('Start Here'!$B$6,C2789-1)</f>
        <v>47027</v>
      </c>
      <c r="E2789" s="23" t="n">
        <f aca="false">IF(AND(OR(Nonlabor!$D$8="Both",Nonlabor!$D$8='Start Here'!$B$9),IF(Nonlabor!$E$8="Core",1,IF(Nonlabor!$E$8="AI",'Start Here'!$B$7,'Start Here'!$B$8))=1,C2789&gt;=IF(Nonlabor!$E$8="Core",Nonlabor!$F$8,MAX(Nonlabor!$F$8,IF(Nonlabor!$E$8="AI",Assumptions!$E$24,Assumptions!$E$25))),C2789&lt;=Nonlabor!$G$8,OR(Nonlabor!$H$8="Monthly",AND(Nonlabor!$H$8="Once",C2789=IF(Nonlabor!$E$8="Core",Nonlabor!$F$8,MAX(Nonlabor!$F$8,IF(Nonlabor!$E$8="AI",Assumptions!$E$24,Assumptions!$E$25)))),AND(Nonlabor!$H$8="Annual",MOD(C2789-IF(Nonlabor!$E$8="Core",Nonlabor!$F$8,MAX(Nonlabor!$F$8,IF(Nonlabor!$E$8="AI",Assumptions!$E$24,Assumptions!$E$25))),12)=0))),IF(Nonlabor!$I$8="Fixed",1,IF(Nonlabor!$I$8="Seats",ROUNDUP('Monthly Growth'!I29,0),IF(Nonlabor!$I$8="Customers",'Monthly Growth'!D29,IF(Nonlabor!$I$8="NewCustomers",'Monthly Growth'!C29,IF(Nonlabor!$I$8="StorageGB",'Monthly Growth'!G29,IF(Nonlabor!$I$8="LogGB",'Monthly Growth'!H29,IF(Nonlabor!$I$8="RequestsM",'Monthly Growth'!F29,IF(Nonlabor!$I$8="InputM",'Monthly Growth'!D29*Assumptions!$E$22/1000000,IF(Nonlabor!$I$8="OutputM",'Monthly Growth'!D29*Assumptions!$E$23/1000000,0))))))))),0)</f>
        <v>0</v>
      </c>
      <c r="F2789" s="10" t="n">
        <f aca="false">Nonlabor!$J$8*(1+Assumptions!$E$9)^INT((C2789-1)/12)</f>
        <v>1144</v>
      </c>
      <c r="G2789" s="10" t="n">
        <f aca="false">E2789*F2789</f>
        <v>0</v>
      </c>
      <c r="H2789" s="10" t="n">
        <f aca="false">IF(OR(Nonlabor!$L$8="Quote required",Nonlabor!$L$8="Unverified"),G2789,0)</f>
        <v>0</v>
      </c>
      <c r="I2789" s="10" t="n">
        <f aca="false">IF(Nonlabor!$E$8="Core",0,G2789)</f>
        <v>0</v>
      </c>
      <c r="J2789" s="23" t="str">
        <f aca="false">Nonlabor!$B$8</f>
        <v>INFRA</v>
      </c>
    </row>
    <row r="2790" customFormat="false" ht="15" hidden="false" customHeight="false" outlineLevel="0" collapsed="false">
      <c r="A2790" s="6" t="s">
        <v>73</v>
      </c>
      <c r="B2790" s="6" t="s">
        <v>376</v>
      </c>
      <c r="C2790" s="6" t="n">
        <v>25</v>
      </c>
      <c r="D2790" s="25" t="n">
        <f aca="false">EDATE('Start Here'!$B$6,C2790-1)</f>
        <v>47058</v>
      </c>
      <c r="E2790" s="23" t="n">
        <f aca="false">IF(AND(OR(Nonlabor!$D$8="Both",Nonlabor!$D$8='Start Here'!$B$9),IF(Nonlabor!$E$8="Core",1,IF(Nonlabor!$E$8="AI",'Start Here'!$B$7,'Start Here'!$B$8))=1,C2790&gt;=IF(Nonlabor!$E$8="Core",Nonlabor!$F$8,MAX(Nonlabor!$F$8,IF(Nonlabor!$E$8="AI",Assumptions!$E$24,Assumptions!$E$25))),C2790&lt;=Nonlabor!$G$8,OR(Nonlabor!$H$8="Monthly",AND(Nonlabor!$H$8="Once",C2790=IF(Nonlabor!$E$8="Core",Nonlabor!$F$8,MAX(Nonlabor!$F$8,IF(Nonlabor!$E$8="AI",Assumptions!$E$24,Assumptions!$E$25)))),AND(Nonlabor!$H$8="Annual",MOD(C2790-IF(Nonlabor!$E$8="Core",Nonlabor!$F$8,MAX(Nonlabor!$F$8,IF(Nonlabor!$E$8="AI",Assumptions!$E$24,Assumptions!$E$25))),12)=0))),IF(Nonlabor!$I$8="Fixed",1,IF(Nonlabor!$I$8="Seats",ROUNDUP('Monthly Growth'!I30,0),IF(Nonlabor!$I$8="Customers",'Monthly Growth'!D30,IF(Nonlabor!$I$8="NewCustomers",'Monthly Growth'!C30,IF(Nonlabor!$I$8="StorageGB",'Monthly Growth'!G30,IF(Nonlabor!$I$8="LogGB",'Monthly Growth'!H30,IF(Nonlabor!$I$8="RequestsM",'Monthly Growth'!F30,IF(Nonlabor!$I$8="InputM",'Monthly Growth'!D30*Assumptions!$E$22/1000000,IF(Nonlabor!$I$8="OutputM",'Monthly Growth'!D30*Assumptions!$E$23/1000000,0))))))))),0)</f>
        <v>0</v>
      </c>
      <c r="F2790" s="10" t="n">
        <f aca="false">Nonlabor!$J$8*(1+Assumptions!$E$9)^INT((C2790-1)/12)</f>
        <v>1189.76</v>
      </c>
      <c r="G2790" s="10" t="n">
        <f aca="false">E2790*F2790</f>
        <v>0</v>
      </c>
      <c r="H2790" s="10" t="n">
        <f aca="false">IF(OR(Nonlabor!$L$8="Quote required",Nonlabor!$L$8="Unverified"),G2790,0)</f>
        <v>0</v>
      </c>
      <c r="I2790" s="10" t="n">
        <f aca="false">IF(Nonlabor!$E$8="Core",0,G2790)</f>
        <v>0</v>
      </c>
      <c r="J2790" s="23" t="str">
        <f aca="false">Nonlabor!$B$8</f>
        <v>INFRA</v>
      </c>
    </row>
    <row r="2791" customFormat="false" ht="15" hidden="false" customHeight="false" outlineLevel="0" collapsed="false">
      <c r="A2791" s="6" t="s">
        <v>73</v>
      </c>
      <c r="B2791" s="6" t="s">
        <v>376</v>
      </c>
      <c r="C2791" s="6" t="n">
        <v>26</v>
      </c>
      <c r="D2791" s="25" t="n">
        <f aca="false">EDATE('Start Here'!$B$6,C2791-1)</f>
        <v>47088</v>
      </c>
      <c r="E2791" s="23" t="n">
        <f aca="false">IF(AND(OR(Nonlabor!$D$8="Both",Nonlabor!$D$8='Start Here'!$B$9),IF(Nonlabor!$E$8="Core",1,IF(Nonlabor!$E$8="AI",'Start Here'!$B$7,'Start Here'!$B$8))=1,C2791&gt;=IF(Nonlabor!$E$8="Core",Nonlabor!$F$8,MAX(Nonlabor!$F$8,IF(Nonlabor!$E$8="AI",Assumptions!$E$24,Assumptions!$E$25))),C2791&lt;=Nonlabor!$G$8,OR(Nonlabor!$H$8="Monthly",AND(Nonlabor!$H$8="Once",C2791=IF(Nonlabor!$E$8="Core",Nonlabor!$F$8,MAX(Nonlabor!$F$8,IF(Nonlabor!$E$8="AI",Assumptions!$E$24,Assumptions!$E$25)))),AND(Nonlabor!$H$8="Annual",MOD(C2791-IF(Nonlabor!$E$8="Core",Nonlabor!$F$8,MAX(Nonlabor!$F$8,IF(Nonlabor!$E$8="AI",Assumptions!$E$24,Assumptions!$E$25))),12)=0))),IF(Nonlabor!$I$8="Fixed",1,IF(Nonlabor!$I$8="Seats",ROUNDUP('Monthly Growth'!I31,0),IF(Nonlabor!$I$8="Customers",'Monthly Growth'!D31,IF(Nonlabor!$I$8="NewCustomers",'Monthly Growth'!C31,IF(Nonlabor!$I$8="StorageGB",'Monthly Growth'!G31,IF(Nonlabor!$I$8="LogGB",'Monthly Growth'!H31,IF(Nonlabor!$I$8="RequestsM",'Monthly Growth'!F31,IF(Nonlabor!$I$8="InputM",'Monthly Growth'!D31*Assumptions!$E$22/1000000,IF(Nonlabor!$I$8="OutputM",'Monthly Growth'!D31*Assumptions!$E$23/1000000,0))))))))),0)</f>
        <v>0</v>
      </c>
      <c r="F2791" s="10" t="n">
        <f aca="false">Nonlabor!$J$8*(1+Assumptions!$E$9)^INT((C2791-1)/12)</f>
        <v>1189.76</v>
      </c>
      <c r="G2791" s="10" t="n">
        <f aca="false">E2791*F2791</f>
        <v>0</v>
      </c>
      <c r="H2791" s="10" t="n">
        <f aca="false">IF(OR(Nonlabor!$L$8="Quote required",Nonlabor!$L$8="Unverified"),G2791,0)</f>
        <v>0</v>
      </c>
      <c r="I2791" s="10" t="n">
        <f aca="false">IF(Nonlabor!$E$8="Core",0,G2791)</f>
        <v>0</v>
      </c>
      <c r="J2791" s="23" t="str">
        <f aca="false">Nonlabor!$B$8</f>
        <v>INFRA</v>
      </c>
    </row>
    <row r="2792" customFormat="false" ht="15" hidden="false" customHeight="false" outlineLevel="0" collapsed="false">
      <c r="A2792" s="6" t="s">
        <v>73</v>
      </c>
      <c r="B2792" s="6" t="s">
        <v>376</v>
      </c>
      <c r="C2792" s="6" t="n">
        <v>27</v>
      </c>
      <c r="D2792" s="25" t="n">
        <f aca="false">EDATE('Start Here'!$B$6,C2792-1)</f>
        <v>47119</v>
      </c>
      <c r="E2792" s="23" t="n">
        <f aca="false">IF(AND(OR(Nonlabor!$D$8="Both",Nonlabor!$D$8='Start Here'!$B$9),IF(Nonlabor!$E$8="Core",1,IF(Nonlabor!$E$8="AI",'Start Here'!$B$7,'Start Here'!$B$8))=1,C2792&gt;=IF(Nonlabor!$E$8="Core",Nonlabor!$F$8,MAX(Nonlabor!$F$8,IF(Nonlabor!$E$8="AI",Assumptions!$E$24,Assumptions!$E$25))),C2792&lt;=Nonlabor!$G$8,OR(Nonlabor!$H$8="Monthly",AND(Nonlabor!$H$8="Once",C2792=IF(Nonlabor!$E$8="Core",Nonlabor!$F$8,MAX(Nonlabor!$F$8,IF(Nonlabor!$E$8="AI",Assumptions!$E$24,Assumptions!$E$25)))),AND(Nonlabor!$H$8="Annual",MOD(C2792-IF(Nonlabor!$E$8="Core",Nonlabor!$F$8,MAX(Nonlabor!$F$8,IF(Nonlabor!$E$8="AI",Assumptions!$E$24,Assumptions!$E$25))),12)=0))),IF(Nonlabor!$I$8="Fixed",1,IF(Nonlabor!$I$8="Seats",ROUNDUP('Monthly Growth'!I32,0),IF(Nonlabor!$I$8="Customers",'Monthly Growth'!D32,IF(Nonlabor!$I$8="NewCustomers",'Monthly Growth'!C32,IF(Nonlabor!$I$8="StorageGB",'Monthly Growth'!G32,IF(Nonlabor!$I$8="LogGB",'Monthly Growth'!H32,IF(Nonlabor!$I$8="RequestsM",'Monthly Growth'!F32,IF(Nonlabor!$I$8="InputM",'Monthly Growth'!D32*Assumptions!$E$22/1000000,IF(Nonlabor!$I$8="OutputM",'Monthly Growth'!D32*Assumptions!$E$23/1000000,0))))))))),0)</f>
        <v>0</v>
      </c>
      <c r="F2792" s="10" t="n">
        <f aca="false">Nonlabor!$J$8*(1+Assumptions!$E$9)^INT((C2792-1)/12)</f>
        <v>1189.76</v>
      </c>
      <c r="G2792" s="10" t="n">
        <f aca="false">E2792*F2792</f>
        <v>0</v>
      </c>
      <c r="H2792" s="10" t="n">
        <f aca="false">IF(OR(Nonlabor!$L$8="Quote required",Nonlabor!$L$8="Unverified"),G2792,0)</f>
        <v>0</v>
      </c>
      <c r="I2792" s="10" t="n">
        <f aca="false">IF(Nonlabor!$E$8="Core",0,G2792)</f>
        <v>0</v>
      </c>
      <c r="J2792" s="23" t="str">
        <f aca="false">Nonlabor!$B$8</f>
        <v>INFRA</v>
      </c>
    </row>
    <row r="2793" customFormat="false" ht="15" hidden="false" customHeight="false" outlineLevel="0" collapsed="false">
      <c r="A2793" s="6" t="s">
        <v>73</v>
      </c>
      <c r="B2793" s="6" t="s">
        <v>376</v>
      </c>
      <c r="C2793" s="6" t="n">
        <v>28</v>
      </c>
      <c r="D2793" s="25" t="n">
        <f aca="false">EDATE('Start Here'!$B$6,C2793-1)</f>
        <v>47150</v>
      </c>
      <c r="E2793" s="23" t="n">
        <f aca="false">IF(AND(OR(Nonlabor!$D$8="Both",Nonlabor!$D$8='Start Here'!$B$9),IF(Nonlabor!$E$8="Core",1,IF(Nonlabor!$E$8="AI",'Start Here'!$B$7,'Start Here'!$B$8))=1,C2793&gt;=IF(Nonlabor!$E$8="Core",Nonlabor!$F$8,MAX(Nonlabor!$F$8,IF(Nonlabor!$E$8="AI",Assumptions!$E$24,Assumptions!$E$25))),C2793&lt;=Nonlabor!$G$8,OR(Nonlabor!$H$8="Monthly",AND(Nonlabor!$H$8="Once",C2793=IF(Nonlabor!$E$8="Core",Nonlabor!$F$8,MAX(Nonlabor!$F$8,IF(Nonlabor!$E$8="AI",Assumptions!$E$24,Assumptions!$E$25)))),AND(Nonlabor!$H$8="Annual",MOD(C2793-IF(Nonlabor!$E$8="Core",Nonlabor!$F$8,MAX(Nonlabor!$F$8,IF(Nonlabor!$E$8="AI",Assumptions!$E$24,Assumptions!$E$25))),12)=0))),IF(Nonlabor!$I$8="Fixed",1,IF(Nonlabor!$I$8="Seats",ROUNDUP('Monthly Growth'!I33,0),IF(Nonlabor!$I$8="Customers",'Monthly Growth'!D33,IF(Nonlabor!$I$8="NewCustomers",'Monthly Growth'!C33,IF(Nonlabor!$I$8="StorageGB",'Monthly Growth'!G33,IF(Nonlabor!$I$8="LogGB",'Monthly Growth'!H33,IF(Nonlabor!$I$8="RequestsM",'Monthly Growth'!F33,IF(Nonlabor!$I$8="InputM",'Monthly Growth'!D33*Assumptions!$E$22/1000000,IF(Nonlabor!$I$8="OutputM",'Monthly Growth'!D33*Assumptions!$E$23/1000000,0))))))))),0)</f>
        <v>0</v>
      </c>
      <c r="F2793" s="10" t="n">
        <f aca="false">Nonlabor!$J$8*(1+Assumptions!$E$9)^INT((C2793-1)/12)</f>
        <v>1189.76</v>
      </c>
      <c r="G2793" s="10" t="n">
        <f aca="false">E2793*F2793</f>
        <v>0</v>
      </c>
      <c r="H2793" s="10" t="n">
        <f aca="false">IF(OR(Nonlabor!$L$8="Quote required",Nonlabor!$L$8="Unverified"),G2793,0)</f>
        <v>0</v>
      </c>
      <c r="I2793" s="10" t="n">
        <f aca="false">IF(Nonlabor!$E$8="Core",0,G2793)</f>
        <v>0</v>
      </c>
      <c r="J2793" s="23" t="str">
        <f aca="false">Nonlabor!$B$8</f>
        <v>INFRA</v>
      </c>
    </row>
    <row r="2794" customFormat="false" ht="15" hidden="false" customHeight="false" outlineLevel="0" collapsed="false">
      <c r="A2794" s="6" t="s">
        <v>73</v>
      </c>
      <c r="B2794" s="6" t="s">
        <v>376</v>
      </c>
      <c r="C2794" s="6" t="n">
        <v>29</v>
      </c>
      <c r="D2794" s="25" t="n">
        <f aca="false">EDATE('Start Here'!$B$6,C2794-1)</f>
        <v>47178</v>
      </c>
      <c r="E2794" s="23" t="n">
        <f aca="false">IF(AND(OR(Nonlabor!$D$8="Both",Nonlabor!$D$8='Start Here'!$B$9),IF(Nonlabor!$E$8="Core",1,IF(Nonlabor!$E$8="AI",'Start Here'!$B$7,'Start Here'!$B$8))=1,C2794&gt;=IF(Nonlabor!$E$8="Core",Nonlabor!$F$8,MAX(Nonlabor!$F$8,IF(Nonlabor!$E$8="AI",Assumptions!$E$24,Assumptions!$E$25))),C2794&lt;=Nonlabor!$G$8,OR(Nonlabor!$H$8="Monthly",AND(Nonlabor!$H$8="Once",C2794=IF(Nonlabor!$E$8="Core",Nonlabor!$F$8,MAX(Nonlabor!$F$8,IF(Nonlabor!$E$8="AI",Assumptions!$E$24,Assumptions!$E$25)))),AND(Nonlabor!$H$8="Annual",MOD(C2794-IF(Nonlabor!$E$8="Core",Nonlabor!$F$8,MAX(Nonlabor!$F$8,IF(Nonlabor!$E$8="AI",Assumptions!$E$24,Assumptions!$E$25))),12)=0))),IF(Nonlabor!$I$8="Fixed",1,IF(Nonlabor!$I$8="Seats",ROUNDUP('Monthly Growth'!I34,0),IF(Nonlabor!$I$8="Customers",'Monthly Growth'!D34,IF(Nonlabor!$I$8="NewCustomers",'Monthly Growth'!C34,IF(Nonlabor!$I$8="StorageGB",'Monthly Growth'!G34,IF(Nonlabor!$I$8="LogGB",'Monthly Growth'!H34,IF(Nonlabor!$I$8="RequestsM",'Monthly Growth'!F34,IF(Nonlabor!$I$8="InputM",'Monthly Growth'!D34*Assumptions!$E$22/1000000,IF(Nonlabor!$I$8="OutputM",'Monthly Growth'!D34*Assumptions!$E$23/1000000,0))))))))),0)</f>
        <v>0</v>
      </c>
      <c r="F2794" s="10" t="n">
        <f aca="false">Nonlabor!$J$8*(1+Assumptions!$E$9)^INT((C2794-1)/12)</f>
        <v>1189.76</v>
      </c>
      <c r="G2794" s="10" t="n">
        <f aca="false">E2794*F2794</f>
        <v>0</v>
      </c>
      <c r="H2794" s="10" t="n">
        <f aca="false">IF(OR(Nonlabor!$L$8="Quote required",Nonlabor!$L$8="Unverified"),G2794,0)</f>
        <v>0</v>
      </c>
      <c r="I2794" s="10" t="n">
        <f aca="false">IF(Nonlabor!$E$8="Core",0,G2794)</f>
        <v>0</v>
      </c>
      <c r="J2794" s="23" t="str">
        <f aca="false">Nonlabor!$B$8</f>
        <v>INFRA</v>
      </c>
    </row>
    <row r="2795" customFormat="false" ht="15" hidden="false" customHeight="false" outlineLevel="0" collapsed="false">
      <c r="A2795" s="6" t="s">
        <v>73</v>
      </c>
      <c r="B2795" s="6" t="s">
        <v>376</v>
      </c>
      <c r="C2795" s="6" t="n">
        <v>30</v>
      </c>
      <c r="D2795" s="25" t="n">
        <f aca="false">EDATE('Start Here'!$B$6,C2795-1)</f>
        <v>47209</v>
      </c>
      <c r="E2795" s="23" t="n">
        <f aca="false">IF(AND(OR(Nonlabor!$D$8="Both",Nonlabor!$D$8='Start Here'!$B$9),IF(Nonlabor!$E$8="Core",1,IF(Nonlabor!$E$8="AI",'Start Here'!$B$7,'Start Here'!$B$8))=1,C2795&gt;=IF(Nonlabor!$E$8="Core",Nonlabor!$F$8,MAX(Nonlabor!$F$8,IF(Nonlabor!$E$8="AI",Assumptions!$E$24,Assumptions!$E$25))),C2795&lt;=Nonlabor!$G$8,OR(Nonlabor!$H$8="Monthly",AND(Nonlabor!$H$8="Once",C2795=IF(Nonlabor!$E$8="Core",Nonlabor!$F$8,MAX(Nonlabor!$F$8,IF(Nonlabor!$E$8="AI",Assumptions!$E$24,Assumptions!$E$25)))),AND(Nonlabor!$H$8="Annual",MOD(C2795-IF(Nonlabor!$E$8="Core",Nonlabor!$F$8,MAX(Nonlabor!$F$8,IF(Nonlabor!$E$8="AI",Assumptions!$E$24,Assumptions!$E$25))),12)=0))),IF(Nonlabor!$I$8="Fixed",1,IF(Nonlabor!$I$8="Seats",ROUNDUP('Monthly Growth'!I35,0),IF(Nonlabor!$I$8="Customers",'Monthly Growth'!D35,IF(Nonlabor!$I$8="NewCustomers",'Monthly Growth'!C35,IF(Nonlabor!$I$8="StorageGB",'Monthly Growth'!G35,IF(Nonlabor!$I$8="LogGB",'Monthly Growth'!H35,IF(Nonlabor!$I$8="RequestsM",'Monthly Growth'!F35,IF(Nonlabor!$I$8="InputM",'Monthly Growth'!D35*Assumptions!$E$22/1000000,IF(Nonlabor!$I$8="OutputM",'Monthly Growth'!D35*Assumptions!$E$23/1000000,0))))))))),0)</f>
        <v>0</v>
      </c>
      <c r="F2795" s="10" t="n">
        <f aca="false">Nonlabor!$J$8*(1+Assumptions!$E$9)^INT((C2795-1)/12)</f>
        <v>1189.76</v>
      </c>
      <c r="G2795" s="10" t="n">
        <f aca="false">E2795*F2795</f>
        <v>0</v>
      </c>
      <c r="H2795" s="10" t="n">
        <f aca="false">IF(OR(Nonlabor!$L$8="Quote required",Nonlabor!$L$8="Unverified"),G2795,0)</f>
        <v>0</v>
      </c>
      <c r="I2795" s="10" t="n">
        <f aca="false">IF(Nonlabor!$E$8="Core",0,G2795)</f>
        <v>0</v>
      </c>
      <c r="J2795" s="23" t="str">
        <f aca="false">Nonlabor!$B$8</f>
        <v>INFRA</v>
      </c>
    </row>
    <row r="2796" customFormat="false" ht="15" hidden="false" customHeight="false" outlineLevel="0" collapsed="false">
      <c r="A2796" s="6" t="s">
        <v>73</v>
      </c>
      <c r="B2796" s="6" t="s">
        <v>376</v>
      </c>
      <c r="C2796" s="6" t="n">
        <v>31</v>
      </c>
      <c r="D2796" s="25" t="n">
        <f aca="false">EDATE('Start Here'!$B$6,C2796-1)</f>
        <v>47239</v>
      </c>
      <c r="E2796" s="23" t="n">
        <f aca="false">IF(AND(OR(Nonlabor!$D$8="Both",Nonlabor!$D$8='Start Here'!$B$9),IF(Nonlabor!$E$8="Core",1,IF(Nonlabor!$E$8="AI",'Start Here'!$B$7,'Start Here'!$B$8))=1,C2796&gt;=IF(Nonlabor!$E$8="Core",Nonlabor!$F$8,MAX(Nonlabor!$F$8,IF(Nonlabor!$E$8="AI",Assumptions!$E$24,Assumptions!$E$25))),C2796&lt;=Nonlabor!$G$8,OR(Nonlabor!$H$8="Monthly",AND(Nonlabor!$H$8="Once",C2796=IF(Nonlabor!$E$8="Core",Nonlabor!$F$8,MAX(Nonlabor!$F$8,IF(Nonlabor!$E$8="AI",Assumptions!$E$24,Assumptions!$E$25)))),AND(Nonlabor!$H$8="Annual",MOD(C2796-IF(Nonlabor!$E$8="Core",Nonlabor!$F$8,MAX(Nonlabor!$F$8,IF(Nonlabor!$E$8="AI",Assumptions!$E$24,Assumptions!$E$25))),12)=0))),IF(Nonlabor!$I$8="Fixed",1,IF(Nonlabor!$I$8="Seats",ROUNDUP('Monthly Growth'!I36,0),IF(Nonlabor!$I$8="Customers",'Monthly Growth'!D36,IF(Nonlabor!$I$8="NewCustomers",'Monthly Growth'!C36,IF(Nonlabor!$I$8="StorageGB",'Monthly Growth'!G36,IF(Nonlabor!$I$8="LogGB",'Monthly Growth'!H36,IF(Nonlabor!$I$8="RequestsM",'Monthly Growth'!F36,IF(Nonlabor!$I$8="InputM",'Monthly Growth'!D36*Assumptions!$E$22/1000000,IF(Nonlabor!$I$8="OutputM",'Monthly Growth'!D36*Assumptions!$E$23/1000000,0))))))))),0)</f>
        <v>0</v>
      </c>
      <c r="F2796" s="10" t="n">
        <f aca="false">Nonlabor!$J$8*(1+Assumptions!$E$9)^INT((C2796-1)/12)</f>
        <v>1189.76</v>
      </c>
      <c r="G2796" s="10" t="n">
        <f aca="false">E2796*F2796</f>
        <v>0</v>
      </c>
      <c r="H2796" s="10" t="n">
        <f aca="false">IF(OR(Nonlabor!$L$8="Quote required",Nonlabor!$L$8="Unverified"),G2796,0)</f>
        <v>0</v>
      </c>
      <c r="I2796" s="10" t="n">
        <f aca="false">IF(Nonlabor!$E$8="Core",0,G2796)</f>
        <v>0</v>
      </c>
      <c r="J2796" s="23" t="str">
        <f aca="false">Nonlabor!$B$8</f>
        <v>INFRA</v>
      </c>
    </row>
    <row r="2797" customFormat="false" ht="15" hidden="false" customHeight="false" outlineLevel="0" collapsed="false">
      <c r="A2797" s="6" t="s">
        <v>73</v>
      </c>
      <c r="B2797" s="6" t="s">
        <v>376</v>
      </c>
      <c r="C2797" s="6" t="n">
        <v>32</v>
      </c>
      <c r="D2797" s="25" t="n">
        <f aca="false">EDATE('Start Here'!$B$6,C2797-1)</f>
        <v>47270</v>
      </c>
      <c r="E2797" s="23" t="n">
        <f aca="false">IF(AND(OR(Nonlabor!$D$8="Both",Nonlabor!$D$8='Start Here'!$B$9),IF(Nonlabor!$E$8="Core",1,IF(Nonlabor!$E$8="AI",'Start Here'!$B$7,'Start Here'!$B$8))=1,C2797&gt;=IF(Nonlabor!$E$8="Core",Nonlabor!$F$8,MAX(Nonlabor!$F$8,IF(Nonlabor!$E$8="AI",Assumptions!$E$24,Assumptions!$E$25))),C2797&lt;=Nonlabor!$G$8,OR(Nonlabor!$H$8="Monthly",AND(Nonlabor!$H$8="Once",C2797=IF(Nonlabor!$E$8="Core",Nonlabor!$F$8,MAX(Nonlabor!$F$8,IF(Nonlabor!$E$8="AI",Assumptions!$E$24,Assumptions!$E$25)))),AND(Nonlabor!$H$8="Annual",MOD(C2797-IF(Nonlabor!$E$8="Core",Nonlabor!$F$8,MAX(Nonlabor!$F$8,IF(Nonlabor!$E$8="AI",Assumptions!$E$24,Assumptions!$E$25))),12)=0))),IF(Nonlabor!$I$8="Fixed",1,IF(Nonlabor!$I$8="Seats",ROUNDUP('Monthly Growth'!I37,0),IF(Nonlabor!$I$8="Customers",'Monthly Growth'!D37,IF(Nonlabor!$I$8="NewCustomers",'Monthly Growth'!C37,IF(Nonlabor!$I$8="StorageGB",'Monthly Growth'!G37,IF(Nonlabor!$I$8="LogGB",'Monthly Growth'!H37,IF(Nonlabor!$I$8="RequestsM",'Monthly Growth'!F37,IF(Nonlabor!$I$8="InputM",'Monthly Growth'!D37*Assumptions!$E$22/1000000,IF(Nonlabor!$I$8="OutputM",'Monthly Growth'!D37*Assumptions!$E$23/1000000,0))))))))),0)</f>
        <v>0</v>
      </c>
      <c r="F2797" s="10" t="n">
        <f aca="false">Nonlabor!$J$8*(1+Assumptions!$E$9)^INT((C2797-1)/12)</f>
        <v>1189.76</v>
      </c>
      <c r="G2797" s="10" t="n">
        <f aca="false">E2797*F2797</f>
        <v>0</v>
      </c>
      <c r="H2797" s="10" t="n">
        <f aca="false">IF(OR(Nonlabor!$L$8="Quote required",Nonlabor!$L$8="Unverified"),G2797,0)</f>
        <v>0</v>
      </c>
      <c r="I2797" s="10" t="n">
        <f aca="false">IF(Nonlabor!$E$8="Core",0,G2797)</f>
        <v>0</v>
      </c>
      <c r="J2797" s="23" t="str">
        <f aca="false">Nonlabor!$B$8</f>
        <v>INFRA</v>
      </c>
    </row>
    <row r="2798" customFormat="false" ht="15" hidden="false" customHeight="false" outlineLevel="0" collapsed="false">
      <c r="A2798" s="6" t="s">
        <v>73</v>
      </c>
      <c r="B2798" s="6" t="s">
        <v>376</v>
      </c>
      <c r="C2798" s="6" t="n">
        <v>33</v>
      </c>
      <c r="D2798" s="25" t="n">
        <f aca="false">EDATE('Start Here'!$B$6,C2798-1)</f>
        <v>47300</v>
      </c>
      <c r="E2798" s="23" t="n">
        <f aca="false">IF(AND(OR(Nonlabor!$D$8="Both",Nonlabor!$D$8='Start Here'!$B$9),IF(Nonlabor!$E$8="Core",1,IF(Nonlabor!$E$8="AI",'Start Here'!$B$7,'Start Here'!$B$8))=1,C2798&gt;=IF(Nonlabor!$E$8="Core",Nonlabor!$F$8,MAX(Nonlabor!$F$8,IF(Nonlabor!$E$8="AI",Assumptions!$E$24,Assumptions!$E$25))),C2798&lt;=Nonlabor!$G$8,OR(Nonlabor!$H$8="Monthly",AND(Nonlabor!$H$8="Once",C2798=IF(Nonlabor!$E$8="Core",Nonlabor!$F$8,MAX(Nonlabor!$F$8,IF(Nonlabor!$E$8="AI",Assumptions!$E$24,Assumptions!$E$25)))),AND(Nonlabor!$H$8="Annual",MOD(C2798-IF(Nonlabor!$E$8="Core",Nonlabor!$F$8,MAX(Nonlabor!$F$8,IF(Nonlabor!$E$8="AI",Assumptions!$E$24,Assumptions!$E$25))),12)=0))),IF(Nonlabor!$I$8="Fixed",1,IF(Nonlabor!$I$8="Seats",ROUNDUP('Monthly Growth'!I38,0),IF(Nonlabor!$I$8="Customers",'Monthly Growth'!D38,IF(Nonlabor!$I$8="NewCustomers",'Monthly Growth'!C38,IF(Nonlabor!$I$8="StorageGB",'Monthly Growth'!G38,IF(Nonlabor!$I$8="LogGB",'Monthly Growth'!H38,IF(Nonlabor!$I$8="RequestsM",'Monthly Growth'!F38,IF(Nonlabor!$I$8="InputM",'Monthly Growth'!D38*Assumptions!$E$22/1000000,IF(Nonlabor!$I$8="OutputM",'Monthly Growth'!D38*Assumptions!$E$23/1000000,0))))))))),0)</f>
        <v>0</v>
      </c>
      <c r="F2798" s="10" t="n">
        <f aca="false">Nonlabor!$J$8*(1+Assumptions!$E$9)^INT((C2798-1)/12)</f>
        <v>1189.76</v>
      </c>
      <c r="G2798" s="10" t="n">
        <f aca="false">E2798*F2798</f>
        <v>0</v>
      </c>
      <c r="H2798" s="10" t="n">
        <f aca="false">IF(OR(Nonlabor!$L$8="Quote required",Nonlabor!$L$8="Unverified"),G2798,0)</f>
        <v>0</v>
      </c>
      <c r="I2798" s="10" t="n">
        <f aca="false">IF(Nonlabor!$E$8="Core",0,G2798)</f>
        <v>0</v>
      </c>
      <c r="J2798" s="23" t="str">
        <f aca="false">Nonlabor!$B$8</f>
        <v>INFRA</v>
      </c>
    </row>
    <row r="2799" customFormat="false" ht="15" hidden="false" customHeight="false" outlineLevel="0" collapsed="false">
      <c r="A2799" s="6" t="s">
        <v>73</v>
      </c>
      <c r="B2799" s="6" t="s">
        <v>376</v>
      </c>
      <c r="C2799" s="6" t="n">
        <v>34</v>
      </c>
      <c r="D2799" s="25" t="n">
        <f aca="false">EDATE('Start Here'!$B$6,C2799-1)</f>
        <v>47331</v>
      </c>
      <c r="E2799" s="23" t="n">
        <f aca="false">IF(AND(OR(Nonlabor!$D$8="Both",Nonlabor!$D$8='Start Here'!$B$9),IF(Nonlabor!$E$8="Core",1,IF(Nonlabor!$E$8="AI",'Start Here'!$B$7,'Start Here'!$B$8))=1,C2799&gt;=IF(Nonlabor!$E$8="Core",Nonlabor!$F$8,MAX(Nonlabor!$F$8,IF(Nonlabor!$E$8="AI",Assumptions!$E$24,Assumptions!$E$25))),C2799&lt;=Nonlabor!$G$8,OR(Nonlabor!$H$8="Monthly",AND(Nonlabor!$H$8="Once",C2799=IF(Nonlabor!$E$8="Core",Nonlabor!$F$8,MAX(Nonlabor!$F$8,IF(Nonlabor!$E$8="AI",Assumptions!$E$24,Assumptions!$E$25)))),AND(Nonlabor!$H$8="Annual",MOD(C2799-IF(Nonlabor!$E$8="Core",Nonlabor!$F$8,MAX(Nonlabor!$F$8,IF(Nonlabor!$E$8="AI",Assumptions!$E$24,Assumptions!$E$25))),12)=0))),IF(Nonlabor!$I$8="Fixed",1,IF(Nonlabor!$I$8="Seats",ROUNDUP('Monthly Growth'!I39,0),IF(Nonlabor!$I$8="Customers",'Monthly Growth'!D39,IF(Nonlabor!$I$8="NewCustomers",'Monthly Growth'!C39,IF(Nonlabor!$I$8="StorageGB",'Monthly Growth'!G39,IF(Nonlabor!$I$8="LogGB",'Monthly Growth'!H39,IF(Nonlabor!$I$8="RequestsM",'Monthly Growth'!F39,IF(Nonlabor!$I$8="InputM",'Monthly Growth'!D39*Assumptions!$E$22/1000000,IF(Nonlabor!$I$8="OutputM",'Monthly Growth'!D39*Assumptions!$E$23/1000000,0))))))))),0)</f>
        <v>0</v>
      </c>
      <c r="F2799" s="10" t="n">
        <f aca="false">Nonlabor!$J$8*(1+Assumptions!$E$9)^INT((C2799-1)/12)</f>
        <v>1189.76</v>
      </c>
      <c r="G2799" s="10" t="n">
        <f aca="false">E2799*F2799</f>
        <v>0</v>
      </c>
      <c r="H2799" s="10" t="n">
        <f aca="false">IF(OR(Nonlabor!$L$8="Quote required",Nonlabor!$L$8="Unverified"),G2799,0)</f>
        <v>0</v>
      </c>
      <c r="I2799" s="10" t="n">
        <f aca="false">IF(Nonlabor!$E$8="Core",0,G2799)</f>
        <v>0</v>
      </c>
      <c r="J2799" s="23" t="str">
        <f aca="false">Nonlabor!$B$8</f>
        <v>INFRA</v>
      </c>
    </row>
    <row r="2800" customFormat="false" ht="15" hidden="false" customHeight="false" outlineLevel="0" collapsed="false">
      <c r="A2800" s="6" t="s">
        <v>73</v>
      </c>
      <c r="B2800" s="6" t="s">
        <v>376</v>
      </c>
      <c r="C2800" s="6" t="n">
        <v>35</v>
      </c>
      <c r="D2800" s="25" t="n">
        <f aca="false">EDATE('Start Here'!$B$6,C2800-1)</f>
        <v>47362</v>
      </c>
      <c r="E2800" s="23" t="n">
        <f aca="false">IF(AND(OR(Nonlabor!$D$8="Both",Nonlabor!$D$8='Start Here'!$B$9),IF(Nonlabor!$E$8="Core",1,IF(Nonlabor!$E$8="AI",'Start Here'!$B$7,'Start Here'!$B$8))=1,C2800&gt;=IF(Nonlabor!$E$8="Core",Nonlabor!$F$8,MAX(Nonlabor!$F$8,IF(Nonlabor!$E$8="AI",Assumptions!$E$24,Assumptions!$E$25))),C2800&lt;=Nonlabor!$G$8,OR(Nonlabor!$H$8="Monthly",AND(Nonlabor!$H$8="Once",C2800=IF(Nonlabor!$E$8="Core",Nonlabor!$F$8,MAX(Nonlabor!$F$8,IF(Nonlabor!$E$8="AI",Assumptions!$E$24,Assumptions!$E$25)))),AND(Nonlabor!$H$8="Annual",MOD(C2800-IF(Nonlabor!$E$8="Core",Nonlabor!$F$8,MAX(Nonlabor!$F$8,IF(Nonlabor!$E$8="AI",Assumptions!$E$24,Assumptions!$E$25))),12)=0))),IF(Nonlabor!$I$8="Fixed",1,IF(Nonlabor!$I$8="Seats",ROUNDUP('Monthly Growth'!I40,0),IF(Nonlabor!$I$8="Customers",'Monthly Growth'!D40,IF(Nonlabor!$I$8="NewCustomers",'Monthly Growth'!C40,IF(Nonlabor!$I$8="StorageGB",'Monthly Growth'!G40,IF(Nonlabor!$I$8="LogGB",'Monthly Growth'!H40,IF(Nonlabor!$I$8="RequestsM",'Monthly Growth'!F40,IF(Nonlabor!$I$8="InputM",'Monthly Growth'!D40*Assumptions!$E$22/1000000,IF(Nonlabor!$I$8="OutputM",'Monthly Growth'!D40*Assumptions!$E$23/1000000,0))))))))),0)</f>
        <v>0</v>
      </c>
      <c r="F2800" s="10" t="n">
        <f aca="false">Nonlabor!$J$8*(1+Assumptions!$E$9)^INT((C2800-1)/12)</f>
        <v>1189.76</v>
      </c>
      <c r="G2800" s="10" t="n">
        <f aca="false">E2800*F2800</f>
        <v>0</v>
      </c>
      <c r="H2800" s="10" t="n">
        <f aca="false">IF(OR(Nonlabor!$L$8="Quote required",Nonlabor!$L$8="Unverified"),G2800,0)</f>
        <v>0</v>
      </c>
      <c r="I2800" s="10" t="n">
        <f aca="false">IF(Nonlabor!$E$8="Core",0,G2800)</f>
        <v>0</v>
      </c>
      <c r="J2800" s="23" t="str">
        <f aca="false">Nonlabor!$B$8</f>
        <v>INFRA</v>
      </c>
    </row>
    <row r="2801" customFormat="false" ht="15" hidden="false" customHeight="false" outlineLevel="0" collapsed="false">
      <c r="A2801" s="6" t="s">
        <v>73</v>
      </c>
      <c r="B2801" s="6" t="s">
        <v>376</v>
      </c>
      <c r="C2801" s="6" t="n">
        <v>36</v>
      </c>
      <c r="D2801" s="25" t="n">
        <f aca="false">EDATE('Start Here'!$B$6,C2801-1)</f>
        <v>47392</v>
      </c>
      <c r="E2801" s="23" t="n">
        <f aca="false">IF(AND(OR(Nonlabor!$D$8="Both",Nonlabor!$D$8='Start Here'!$B$9),IF(Nonlabor!$E$8="Core",1,IF(Nonlabor!$E$8="AI",'Start Here'!$B$7,'Start Here'!$B$8))=1,C2801&gt;=IF(Nonlabor!$E$8="Core",Nonlabor!$F$8,MAX(Nonlabor!$F$8,IF(Nonlabor!$E$8="AI",Assumptions!$E$24,Assumptions!$E$25))),C2801&lt;=Nonlabor!$G$8,OR(Nonlabor!$H$8="Monthly",AND(Nonlabor!$H$8="Once",C2801=IF(Nonlabor!$E$8="Core",Nonlabor!$F$8,MAX(Nonlabor!$F$8,IF(Nonlabor!$E$8="AI",Assumptions!$E$24,Assumptions!$E$25)))),AND(Nonlabor!$H$8="Annual",MOD(C2801-IF(Nonlabor!$E$8="Core",Nonlabor!$F$8,MAX(Nonlabor!$F$8,IF(Nonlabor!$E$8="AI",Assumptions!$E$24,Assumptions!$E$25))),12)=0))),IF(Nonlabor!$I$8="Fixed",1,IF(Nonlabor!$I$8="Seats",ROUNDUP('Monthly Growth'!I41,0),IF(Nonlabor!$I$8="Customers",'Monthly Growth'!D41,IF(Nonlabor!$I$8="NewCustomers",'Monthly Growth'!C41,IF(Nonlabor!$I$8="StorageGB",'Monthly Growth'!G41,IF(Nonlabor!$I$8="LogGB",'Monthly Growth'!H41,IF(Nonlabor!$I$8="RequestsM",'Monthly Growth'!F41,IF(Nonlabor!$I$8="InputM",'Monthly Growth'!D41*Assumptions!$E$22/1000000,IF(Nonlabor!$I$8="OutputM",'Monthly Growth'!D41*Assumptions!$E$23/1000000,0))))))))),0)</f>
        <v>0</v>
      </c>
      <c r="F2801" s="10" t="n">
        <f aca="false">Nonlabor!$J$8*(1+Assumptions!$E$9)^INT((C2801-1)/12)</f>
        <v>1189.76</v>
      </c>
      <c r="G2801" s="10" t="n">
        <f aca="false">E2801*F2801</f>
        <v>0</v>
      </c>
      <c r="H2801" s="10" t="n">
        <f aca="false">IF(OR(Nonlabor!$L$8="Quote required",Nonlabor!$L$8="Unverified"),G2801,0)</f>
        <v>0</v>
      </c>
      <c r="I2801" s="10" t="n">
        <f aca="false">IF(Nonlabor!$E$8="Core",0,G2801)</f>
        <v>0</v>
      </c>
      <c r="J2801" s="23" t="str">
        <f aca="false">Nonlabor!$B$8</f>
        <v>INFRA</v>
      </c>
    </row>
    <row r="2802" customFormat="false" ht="15" hidden="false" customHeight="false" outlineLevel="0" collapsed="false">
      <c r="A2802" s="6" t="s">
        <v>73</v>
      </c>
      <c r="B2802" s="6" t="s">
        <v>376</v>
      </c>
      <c r="C2802" s="6" t="n">
        <v>37</v>
      </c>
      <c r="D2802" s="25" t="n">
        <f aca="false">EDATE('Start Here'!$B$6,C2802-1)</f>
        <v>47423</v>
      </c>
      <c r="E2802" s="23" t="n">
        <f aca="false">IF(AND(OR(Nonlabor!$D$8="Both",Nonlabor!$D$8='Start Here'!$B$9),IF(Nonlabor!$E$8="Core",1,IF(Nonlabor!$E$8="AI",'Start Here'!$B$7,'Start Here'!$B$8))=1,C2802&gt;=IF(Nonlabor!$E$8="Core",Nonlabor!$F$8,MAX(Nonlabor!$F$8,IF(Nonlabor!$E$8="AI",Assumptions!$E$24,Assumptions!$E$25))),C2802&lt;=Nonlabor!$G$8,OR(Nonlabor!$H$8="Monthly",AND(Nonlabor!$H$8="Once",C2802=IF(Nonlabor!$E$8="Core",Nonlabor!$F$8,MAX(Nonlabor!$F$8,IF(Nonlabor!$E$8="AI",Assumptions!$E$24,Assumptions!$E$25)))),AND(Nonlabor!$H$8="Annual",MOD(C2802-IF(Nonlabor!$E$8="Core",Nonlabor!$F$8,MAX(Nonlabor!$F$8,IF(Nonlabor!$E$8="AI",Assumptions!$E$24,Assumptions!$E$25))),12)=0))),IF(Nonlabor!$I$8="Fixed",1,IF(Nonlabor!$I$8="Seats",ROUNDUP('Monthly Growth'!I42,0),IF(Nonlabor!$I$8="Customers",'Monthly Growth'!D42,IF(Nonlabor!$I$8="NewCustomers",'Monthly Growth'!C42,IF(Nonlabor!$I$8="StorageGB",'Monthly Growth'!G42,IF(Nonlabor!$I$8="LogGB",'Monthly Growth'!H42,IF(Nonlabor!$I$8="RequestsM",'Monthly Growth'!F42,IF(Nonlabor!$I$8="InputM",'Monthly Growth'!D42*Assumptions!$E$22/1000000,IF(Nonlabor!$I$8="OutputM",'Monthly Growth'!D42*Assumptions!$E$23/1000000,0))))))))),0)</f>
        <v>0</v>
      </c>
      <c r="F2802" s="10" t="n">
        <f aca="false">Nonlabor!$J$8*(1+Assumptions!$E$9)^INT((C2802-1)/12)</f>
        <v>1237.3504</v>
      </c>
      <c r="G2802" s="10" t="n">
        <f aca="false">E2802*F2802</f>
        <v>0</v>
      </c>
      <c r="H2802" s="10" t="n">
        <f aca="false">IF(OR(Nonlabor!$L$8="Quote required",Nonlabor!$L$8="Unverified"),G2802,0)</f>
        <v>0</v>
      </c>
      <c r="I2802" s="10" t="n">
        <f aca="false">IF(Nonlabor!$E$8="Core",0,G2802)</f>
        <v>0</v>
      </c>
      <c r="J2802" s="23" t="str">
        <f aca="false">Nonlabor!$B$8</f>
        <v>INFRA</v>
      </c>
    </row>
    <row r="2803" customFormat="false" ht="15" hidden="false" customHeight="false" outlineLevel="0" collapsed="false">
      <c r="A2803" s="6" t="s">
        <v>73</v>
      </c>
      <c r="B2803" s="6" t="s">
        <v>376</v>
      </c>
      <c r="C2803" s="6" t="n">
        <v>38</v>
      </c>
      <c r="D2803" s="25" t="n">
        <f aca="false">EDATE('Start Here'!$B$6,C2803-1)</f>
        <v>47453</v>
      </c>
      <c r="E2803" s="23" t="n">
        <f aca="false">IF(AND(OR(Nonlabor!$D$8="Both",Nonlabor!$D$8='Start Here'!$B$9),IF(Nonlabor!$E$8="Core",1,IF(Nonlabor!$E$8="AI",'Start Here'!$B$7,'Start Here'!$B$8))=1,C2803&gt;=IF(Nonlabor!$E$8="Core",Nonlabor!$F$8,MAX(Nonlabor!$F$8,IF(Nonlabor!$E$8="AI",Assumptions!$E$24,Assumptions!$E$25))),C2803&lt;=Nonlabor!$G$8,OR(Nonlabor!$H$8="Monthly",AND(Nonlabor!$H$8="Once",C2803=IF(Nonlabor!$E$8="Core",Nonlabor!$F$8,MAX(Nonlabor!$F$8,IF(Nonlabor!$E$8="AI",Assumptions!$E$24,Assumptions!$E$25)))),AND(Nonlabor!$H$8="Annual",MOD(C2803-IF(Nonlabor!$E$8="Core",Nonlabor!$F$8,MAX(Nonlabor!$F$8,IF(Nonlabor!$E$8="AI",Assumptions!$E$24,Assumptions!$E$25))),12)=0))),IF(Nonlabor!$I$8="Fixed",1,IF(Nonlabor!$I$8="Seats",ROUNDUP('Monthly Growth'!I43,0),IF(Nonlabor!$I$8="Customers",'Monthly Growth'!D43,IF(Nonlabor!$I$8="NewCustomers",'Monthly Growth'!C43,IF(Nonlabor!$I$8="StorageGB",'Monthly Growth'!G43,IF(Nonlabor!$I$8="LogGB",'Monthly Growth'!H43,IF(Nonlabor!$I$8="RequestsM",'Monthly Growth'!F43,IF(Nonlabor!$I$8="InputM",'Monthly Growth'!D43*Assumptions!$E$22/1000000,IF(Nonlabor!$I$8="OutputM",'Monthly Growth'!D43*Assumptions!$E$23/1000000,0))))))))),0)</f>
        <v>0</v>
      </c>
      <c r="F2803" s="10" t="n">
        <f aca="false">Nonlabor!$J$8*(1+Assumptions!$E$9)^INT((C2803-1)/12)</f>
        <v>1237.3504</v>
      </c>
      <c r="G2803" s="10" t="n">
        <f aca="false">E2803*F2803</f>
        <v>0</v>
      </c>
      <c r="H2803" s="10" t="n">
        <f aca="false">IF(OR(Nonlabor!$L$8="Quote required",Nonlabor!$L$8="Unverified"),G2803,0)</f>
        <v>0</v>
      </c>
      <c r="I2803" s="10" t="n">
        <f aca="false">IF(Nonlabor!$E$8="Core",0,G2803)</f>
        <v>0</v>
      </c>
      <c r="J2803" s="23" t="str">
        <f aca="false">Nonlabor!$B$8</f>
        <v>INFRA</v>
      </c>
    </row>
    <row r="2804" customFormat="false" ht="15" hidden="false" customHeight="false" outlineLevel="0" collapsed="false">
      <c r="A2804" s="6" t="s">
        <v>73</v>
      </c>
      <c r="B2804" s="6" t="s">
        <v>376</v>
      </c>
      <c r="C2804" s="6" t="n">
        <v>39</v>
      </c>
      <c r="D2804" s="25" t="n">
        <f aca="false">EDATE('Start Here'!$B$6,C2804-1)</f>
        <v>47484</v>
      </c>
      <c r="E2804" s="23" t="n">
        <f aca="false">IF(AND(OR(Nonlabor!$D$8="Both",Nonlabor!$D$8='Start Here'!$B$9),IF(Nonlabor!$E$8="Core",1,IF(Nonlabor!$E$8="AI",'Start Here'!$B$7,'Start Here'!$B$8))=1,C2804&gt;=IF(Nonlabor!$E$8="Core",Nonlabor!$F$8,MAX(Nonlabor!$F$8,IF(Nonlabor!$E$8="AI",Assumptions!$E$24,Assumptions!$E$25))),C2804&lt;=Nonlabor!$G$8,OR(Nonlabor!$H$8="Monthly",AND(Nonlabor!$H$8="Once",C2804=IF(Nonlabor!$E$8="Core",Nonlabor!$F$8,MAX(Nonlabor!$F$8,IF(Nonlabor!$E$8="AI",Assumptions!$E$24,Assumptions!$E$25)))),AND(Nonlabor!$H$8="Annual",MOD(C2804-IF(Nonlabor!$E$8="Core",Nonlabor!$F$8,MAX(Nonlabor!$F$8,IF(Nonlabor!$E$8="AI",Assumptions!$E$24,Assumptions!$E$25))),12)=0))),IF(Nonlabor!$I$8="Fixed",1,IF(Nonlabor!$I$8="Seats",ROUNDUP('Monthly Growth'!I44,0),IF(Nonlabor!$I$8="Customers",'Monthly Growth'!D44,IF(Nonlabor!$I$8="NewCustomers",'Monthly Growth'!C44,IF(Nonlabor!$I$8="StorageGB",'Monthly Growth'!G44,IF(Nonlabor!$I$8="LogGB",'Monthly Growth'!H44,IF(Nonlabor!$I$8="RequestsM",'Monthly Growth'!F44,IF(Nonlabor!$I$8="InputM",'Monthly Growth'!D44*Assumptions!$E$22/1000000,IF(Nonlabor!$I$8="OutputM",'Monthly Growth'!D44*Assumptions!$E$23/1000000,0))))))))),0)</f>
        <v>0</v>
      </c>
      <c r="F2804" s="10" t="n">
        <f aca="false">Nonlabor!$J$8*(1+Assumptions!$E$9)^INT((C2804-1)/12)</f>
        <v>1237.3504</v>
      </c>
      <c r="G2804" s="10" t="n">
        <f aca="false">E2804*F2804</f>
        <v>0</v>
      </c>
      <c r="H2804" s="10" t="n">
        <f aca="false">IF(OR(Nonlabor!$L$8="Quote required",Nonlabor!$L$8="Unverified"),G2804,0)</f>
        <v>0</v>
      </c>
      <c r="I2804" s="10" t="n">
        <f aca="false">IF(Nonlabor!$E$8="Core",0,G2804)</f>
        <v>0</v>
      </c>
      <c r="J2804" s="23" t="str">
        <f aca="false">Nonlabor!$B$8</f>
        <v>INFRA</v>
      </c>
    </row>
    <row r="2805" customFormat="false" ht="15" hidden="false" customHeight="false" outlineLevel="0" collapsed="false">
      <c r="A2805" s="6" t="s">
        <v>73</v>
      </c>
      <c r="B2805" s="6" t="s">
        <v>376</v>
      </c>
      <c r="C2805" s="6" t="n">
        <v>40</v>
      </c>
      <c r="D2805" s="25" t="n">
        <f aca="false">EDATE('Start Here'!$B$6,C2805-1)</f>
        <v>47515</v>
      </c>
      <c r="E2805" s="23" t="n">
        <f aca="false">IF(AND(OR(Nonlabor!$D$8="Both",Nonlabor!$D$8='Start Here'!$B$9),IF(Nonlabor!$E$8="Core",1,IF(Nonlabor!$E$8="AI",'Start Here'!$B$7,'Start Here'!$B$8))=1,C2805&gt;=IF(Nonlabor!$E$8="Core",Nonlabor!$F$8,MAX(Nonlabor!$F$8,IF(Nonlabor!$E$8="AI",Assumptions!$E$24,Assumptions!$E$25))),C2805&lt;=Nonlabor!$G$8,OR(Nonlabor!$H$8="Monthly",AND(Nonlabor!$H$8="Once",C2805=IF(Nonlabor!$E$8="Core",Nonlabor!$F$8,MAX(Nonlabor!$F$8,IF(Nonlabor!$E$8="AI",Assumptions!$E$24,Assumptions!$E$25)))),AND(Nonlabor!$H$8="Annual",MOD(C2805-IF(Nonlabor!$E$8="Core",Nonlabor!$F$8,MAX(Nonlabor!$F$8,IF(Nonlabor!$E$8="AI",Assumptions!$E$24,Assumptions!$E$25))),12)=0))),IF(Nonlabor!$I$8="Fixed",1,IF(Nonlabor!$I$8="Seats",ROUNDUP('Monthly Growth'!I45,0),IF(Nonlabor!$I$8="Customers",'Monthly Growth'!D45,IF(Nonlabor!$I$8="NewCustomers",'Monthly Growth'!C45,IF(Nonlabor!$I$8="StorageGB",'Monthly Growth'!G45,IF(Nonlabor!$I$8="LogGB",'Monthly Growth'!H45,IF(Nonlabor!$I$8="RequestsM",'Monthly Growth'!F45,IF(Nonlabor!$I$8="InputM",'Monthly Growth'!D45*Assumptions!$E$22/1000000,IF(Nonlabor!$I$8="OutputM",'Monthly Growth'!D45*Assumptions!$E$23/1000000,0))))))))),0)</f>
        <v>0</v>
      </c>
      <c r="F2805" s="10" t="n">
        <f aca="false">Nonlabor!$J$8*(1+Assumptions!$E$9)^INT((C2805-1)/12)</f>
        <v>1237.3504</v>
      </c>
      <c r="G2805" s="10" t="n">
        <f aca="false">E2805*F2805</f>
        <v>0</v>
      </c>
      <c r="H2805" s="10" t="n">
        <f aca="false">IF(OR(Nonlabor!$L$8="Quote required",Nonlabor!$L$8="Unverified"),G2805,0)</f>
        <v>0</v>
      </c>
      <c r="I2805" s="10" t="n">
        <f aca="false">IF(Nonlabor!$E$8="Core",0,G2805)</f>
        <v>0</v>
      </c>
      <c r="J2805" s="23" t="str">
        <f aca="false">Nonlabor!$B$8</f>
        <v>INFRA</v>
      </c>
    </row>
    <row r="2806" customFormat="false" ht="15" hidden="false" customHeight="false" outlineLevel="0" collapsed="false">
      <c r="A2806" s="6" t="s">
        <v>73</v>
      </c>
      <c r="B2806" s="6" t="s">
        <v>376</v>
      </c>
      <c r="C2806" s="6" t="n">
        <v>41</v>
      </c>
      <c r="D2806" s="25" t="n">
        <f aca="false">EDATE('Start Here'!$B$6,C2806-1)</f>
        <v>47543</v>
      </c>
      <c r="E2806" s="23" t="n">
        <f aca="false">IF(AND(OR(Nonlabor!$D$8="Both",Nonlabor!$D$8='Start Here'!$B$9),IF(Nonlabor!$E$8="Core",1,IF(Nonlabor!$E$8="AI",'Start Here'!$B$7,'Start Here'!$B$8))=1,C2806&gt;=IF(Nonlabor!$E$8="Core",Nonlabor!$F$8,MAX(Nonlabor!$F$8,IF(Nonlabor!$E$8="AI",Assumptions!$E$24,Assumptions!$E$25))),C2806&lt;=Nonlabor!$G$8,OR(Nonlabor!$H$8="Monthly",AND(Nonlabor!$H$8="Once",C2806=IF(Nonlabor!$E$8="Core",Nonlabor!$F$8,MAX(Nonlabor!$F$8,IF(Nonlabor!$E$8="AI",Assumptions!$E$24,Assumptions!$E$25)))),AND(Nonlabor!$H$8="Annual",MOD(C2806-IF(Nonlabor!$E$8="Core",Nonlabor!$F$8,MAX(Nonlabor!$F$8,IF(Nonlabor!$E$8="AI",Assumptions!$E$24,Assumptions!$E$25))),12)=0))),IF(Nonlabor!$I$8="Fixed",1,IF(Nonlabor!$I$8="Seats",ROUNDUP('Monthly Growth'!I46,0),IF(Nonlabor!$I$8="Customers",'Monthly Growth'!D46,IF(Nonlabor!$I$8="NewCustomers",'Monthly Growth'!C46,IF(Nonlabor!$I$8="StorageGB",'Monthly Growth'!G46,IF(Nonlabor!$I$8="LogGB",'Monthly Growth'!H46,IF(Nonlabor!$I$8="RequestsM",'Monthly Growth'!F46,IF(Nonlabor!$I$8="InputM",'Monthly Growth'!D46*Assumptions!$E$22/1000000,IF(Nonlabor!$I$8="OutputM",'Monthly Growth'!D46*Assumptions!$E$23/1000000,0))))))))),0)</f>
        <v>0</v>
      </c>
      <c r="F2806" s="10" t="n">
        <f aca="false">Nonlabor!$J$8*(1+Assumptions!$E$9)^INT((C2806-1)/12)</f>
        <v>1237.3504</v>
      </c>
      <c r="G2806" s="10" t="n">
        <f aca="false">E2806*F2806</f>
        <v>0</v>
      </c>
      <c r="H2806" s="10" t="n">
        <f aca="false">IF(OR(Nonlabor!$L$8="Quote required",Nonlabor!$L$8="Unverified"),G2806,0)</f>
        <v>0</v>
      </c>
      <c r="I2806" s="10" t="n">
        <f aca="false">IF(Nonlabor!$E$8="Core",0,G2806)</f>
        <v>0</v>
      </c>
      <c r="J2806" s="23" t="str">
        <f aca="false">Nonlabor!$B$8</f>
        <v>INFRA</v>
      </c>
    </row>
    <row r="2807" customFormat="false" ht="15" hidden="false" customHeight="false" outlineLevel="0" collapsed="false">
      <c r="A2807" s="6" t="s">
        <v>73</v>
      </c>
      <c r="B2807" s="6" t="s">
        <v>376</v>
      </c>
      <c r="C2807" s="6" t="n">
        <v>42</v>
      </c>
      <c r="D2807" s="25" t="n">
        <f aca="false">EDATE('Start Here'!$B$6,C2807-1)</f>
        <v>47574</v>
      </c>
      <c r="E2807" s="23" t="n">
        <f aca="false">IF(AND(OR(Nonlabor!$D$8="Both",Nonlabor!$D$8='Start Here'!$B$9),IF(Nonlabor!$E$8="Core",1,IF(Nonlabor!$E$8="AI",'Start Here'!$B$7,'Start Here'!$B$8))=1,C2807&gt;=IF(Nonlabor!$E$8="Core",Nonlabor!$F$8,MAX(Nonlabor!$F$8,IF(Nonlabor!$E$8="AI",Assumptions!$E$24,Assumptions!$E$25))),C2807&lt;=Nonlabor!$G$8,OR(Nonlabor!$H$8="Monthly",AND(Nonlabor!$H$8="Once",C2807=IF(Nonlabor!$E$8="Core",Nonlabor!$F$8,MAX(Nonlabor!$F$8,IF(Nonlabor!$E$8="AI",Assumptions!$E$24,Assumptions!$E$25)))),AND(Nonlabor!$H$8="Annual",MOD(C2807-IF(Nonlabor!$E$8="Core",Nonlabor!$F$8,MAX(Nonlabor!$F$8,IF(Nonlabor!$E$8="AI",Assumptions!$E$24,Assumptions!$E$25))),12)=0))),IF(Nonlabor!$I$8="Fixed",1,IF(Nonlabor!$I$8="Seats",ROUNDUP('Monthly Growth'!I47,0),IF(Nonlabor!$I$8="Customers",'Monthly Growth'!D47,IF(Nonlabor!$I$8="NewCustomers",'Monthly Growth'!C47,IF(Nonlabor!$I$8="StorageGB",'Monthly Growth'!G47,IF(Nonlabor!$I$8="LogGB",'Monthly Growth'!H47,IF(Nonlabor!$I$8="RequestsM",'Monthly Growth'!F47,IF(Nonlabor!$I$8="InputM",'Monthly Growth'!D47*Assumptions!$E$22/1000000,IF(Nonlabor!$I$8="OutputM",'Monthly Growth'!D47*Assumptions!$E$23/1000000,0))))))))),0)</f>
        <v>0</v>
      </c>
      <c r="F2807" s="10" t="n">
        <f aca="false">Nonlabor!$J$8*(1+Assumptions!$E$9)^INT((C2807-1)/12)</f>
        <v>1237.3504</v>
      </c>
      <c r="G2807" s="10" t="n">
        <f aca="false">E2807*F2807</f>
        <v>0</v>
      </c>
      <c r="H2807" s="10" t="n">
        <f aca="false">IF(OR(Nonlabor!$L$8="Quote required",Nonlabor!$L$8="Unverified"),G2807,0)</f>
        <v>0</v>
      </c>
      <c r="I2807" s="10" t="n">
        <f aca="false">IF(Nonlabor!$E$8="Core",0,G2807)</f>
        <v>0</v>
      </c>
      <c r="J2807" s="23" t="str">
        <f aca="false">Nonlabor!$B$8</f>
        <v>INFRA</v>
      </c>
    </row>
    <row r="2808" customFormat="false" ht="15" hidden="false" customHeight="false" outlineLevel="0" collapsed="false">
      <c r="A2808" s="6" t="s">
        <v>73</v>
      </c>
      <c r="B2808" s="6" t="s">
        <v>376</v>
      </c>
      <c r="C2808" s="6" t="n">
        <v>43</v>
      </c>
      <c r="D2808" s="25" t="n">
        <f aca="false">EDATE('Start Here'!$B$6,C2808-1)</f>
        <v>47604</v>
      </c>
      <c r="E2808" s="23" t="n">
        <f aca="false">IF(AND(OR(Nonlabor!$D$8="Both",Nonlabor!$D$8='Start Here'!$B$9),IF(Nonlabor!$E$8="Core",1,IF(Nonlabor!$E$8="AI",'Start Here'!$B$7,'Start Here'!$B$8))=1,C2808&gt;=IF(Nonlabor!$E$8="Core",Nonlabor!$F$8,MAX(Nonlabor!$F$8,IF(Nonlabor!$E$8="AI",Assumptions!$E$24,Assumptions!$E$25))),C2808&lt;=Nonlabor!$G$8,OR(Nonlabor!$H$8="Monthly",AND(Nonlabor!$H$8="Once",C2808=IF(Nonlabor!$E$8="Core",Nonlabor!$F$8,MAX(Nonlabor!$F$8,IF(Nonlabor!$E$8="AI",Assumptions!$E$24,Assumptions!$E$25)))),AND(Nonlabor!$H$8="Annual",MOD(C2808-IF(Nonlabor!$E$8="Core",Nonlabor!$F$8,MAX(Nonlabor!$F$8,IF(Nonlabor!$E$8="AI",Assumptions!$E$24,Assumptions!$E$25))),12)=0))),IF(Nonlabor!$I$8="Fixed",1,IF(Nonlabor!$I$8="Seats",ROUNDUP('Monthly Growth'!I48,0),IF(Nonlabor!$I$8="Customers",'Monthly Growth'!D48,IF(Nonlabor!$I$8="NewCustomers",'Monthly Growth'!C48,IF(Nonlabor!$I$8="StorageGB",'Monthly Growth'!G48,IF(Nonlabor!$I$8="LogGB",'Monthly Growth'!H48,IF(Nonlabor!$I$8="RequestsM",'Monthly Growth'!F48,IF(Nonlabor!$I$8="InputM",'Monthly Growth'!D48*Assumptions!$E$22/1000000,IF(Nonlabor!$I$8="OutputM",'Monthly Growth'!D48*Assumptions!$E$23/1000000,0))))))))),0)</f>
        <v>0</v>
      </c>
      <c r="F2808" s="10" t="n">
        <f aca="false">Nonlabor!$J$8*(1+Assumptions!$E$9)^INT((C2808-1)/12)</f>
        <v>1237.3504</v>
      </c>
      <c r="G2808" s="10" t="n">
        <f aca="false">E2808*F2808</f>
        <v>0</v>
      </c>
      <c r="H2808" s="10" t="n">
        <f aca="false">IF(OR(Nonlabor!$L$8="Quote required",Nonlabor!$L$8="Unverified"),G2808,0)</f>
        <v>0</v>
      </c>
      <c r="I2808" s="10" t="n">
        <f aca="false">IF(Nonlabor!$E$8="Core",0,G2808)</f>
        <v>0</v>
      </c>
      <c r="J2808" s="23" t="str">
        <f aca="false">Nonlabor!$B$8</f>
        <v>INFRA</v>
      </c>
    </row>
    <row r="2809" customFormat="false" ht="15" hidden="false" customHeight="false" outlineLevel="0" collapsed="false">
      <c r="A2809" s="6" t="s">
        <v>73</v>
      </c>
      <c r="B2809" s="6" t="s">
        <v>376</v>
      </c>
      <c r="C2809" s="6" t="n">
        <v>44</v>
      </c>
      <c r="D2809" s="25" t="n">
        <f aca="false">EDATE('Start Here'!$B$6,C2809-1)</f>
        <v>47635</v>
      </c>
      <c r="E2809" s="23" t="n">
        <f aca="false">IF(AND(OR(Nonlabor!$D$8="Both",Nonlabor!$D$8='Start Here'!$B$9),IF(Nonlabor!$E$8="Core",1,IF(Nonlabor!$E$8="AI",'Start Here'!$B$7,'Start Here'!$B$8))=1,C2809&gt;=IF(Nonlabor!$E$8="Core",Nonlabor!$F$8,MAX(Nonlabor!$F$8,IF(Nonlabor!$E$8="AI",Assumptions!$E$24,Assumptions!$E$25))),C2809&lt;=Nonlabor!$G$8,OR(Nonlabor!$H$8="Monthly",AND(Nonlabor!$H$8="Once",C2809=IF(Nonlabor!$E$8="Core",Nonlabor!$F$8,MAX(Nonlabor!$F$8,IF(Nonlabor!$E$8="AI",Assumptions!$E$24,Assumptions!$E$25)))),AND(Nonlabor!$H$8="Annual",MOD(C2809-IF(Nonlabor!$E$8="Core",Nonlabor!$F$8,MAX(Nonlabor!$F$8,IF(Nonlabor!$E$8="AI",Assumptions!$E$24,Assumptions!$E$25))),12)=0))),IF(Nonlabor!$I$8="Fixed",1,IF(Nonlabor!$I$8="Seats",ROUNDUP('Monthly Growth'!I49,0),IF(Nonlabor!$I$8="Customers",'Monthly Growth'!D49,IF(Nonlabor!$I$8="NewCustomers",'Monthly Growth'!C49,IF(Nonlabor!$I$8="StorageGB",'Monthly Growth'!G49,IF(Nonlabor!$I$8="LogGB",'Monthly Growth'!H49,IF(Nonlabor!$I$8="RequestsM",'Monthly Growth'!F49,IF(Nonlabor!$I$8="InputM",'Monthly Growth'!D49*Assumptions!$E$22/1000000,IF(Nonlabor!$I$8="OutputM",'Monthly Growth'!D49*Assumptions!$E$23/1000000,0))))))))),0)</f>
        <v>0</v>
      </c>
      <c r="F2809" s="10" t="n">
        <f aca="false">Nonlabor!$J$8*(1+Assumptions!$E$9)^INT((C2809-1)/12)</f>
        <v>1237.3504</v>
      </c>
      <c r="G2809" s="10" t="n">
        <f aca="false">E2809*F2809</f>
        <v>0</v>
      </c>
      <c r="H2809" s="10" t="n">
        <f aca="false">IF(OR(Nonlabor!$L$8="Quote required",Nonlabor!$L$8="Unverified"),G2809,0)</f>
        <v>0</v>
      </c>
      <c r="I2809" s="10" t="n">
        <f aca="false">IF(Nonlabor!$E$8="Core",0,G2809)</f>
        <v>0</v>
      </c>
      <c r="J2809" s="23" t="str">
        <f aca="false">Nonlabor!$B$8</f>
        <v>INFRA</v>
      </c>
    </row>
    <row r="2810" customFormat="false" ht="15" hidden="false" customHeight="false" outlineLevel="0" collapsed="false">
      <c r="A2810" s="6" t="s">
        <v>73</v>
      </c>
      <c r="B2810" s="6" t="s">
        <v>376</v>
      </c>
      <c r="C2810" s="6" t="n">
        <v>45</v>
      </c>
      <c r="D2810" s="25" t="n">
        <f aca="false">EDATE('Start Here'!$B$6,C2810-1)</f>
        <v>47665</v>
      </c>
      <c r="E2810" s="23" t="n">
        <f aca="false">IF(AND(OR(Nonlabor!$D$8="Both",Nonlabor!$D$8='Start Here'!$B$9),IF(Nonlabor!$E$8="Core",1,IF(Nonlabor!$E$8="AI",'Start Here'!$B$7,'Start Here'!$B$8))=1,C2810&gt;=IF(Nonlabor!$E$8="Core",Nonlabor!$F$8,MAX(Nonlabor!$F$8,IF(Nonlabor!$E$8="AI",Assumptions!$E$24,Assumptions!$E$25))),C2810&lt;=Nonlabor!$G$8,OR(Nonlabor!$H$8="Monthly",AND(Nonlabor!$H$8="Once",C2810=IF(Nonlabor!$E$8="Core",Nonlabor!$F$8,MAX(Nonlabor!$F$8,IF(Nonlabor!$E$8="AI",Assumptions!$E$24,Assumptions!$E$25)))),AND(Nonlabor!$H$8="Annual",MOD(C2810-IF(Nonlabor!$E$8="Core",Nonlabor!$F$8,MAX(Nonlabor!$F$8,IF(Nonlabor!$E$8="AI",Assumptions!$E$24,Assumptions!$E$25))),12)=0))),IF(Nonlabor!$I$8="Fixed",1,IF(Nonlabor!$I$8="Seats",ROUNDUP('Monthly Growth'!I50,0),IF(Nonlabor!$I$8="Customers",'Monthly Growth'!D50,IF(Nonlabor!$I$8="NewCustomers",'Monthly Growth'!C50,IF(Nonlabor!$I$8="StorageGB",'Monthly Growth'!G50,IF(Nonlabor!$I$8="LogGB",'Monthly Growth'!H50,IF(Nonlabor!$I$8="RequestsM",'Monthly Growth'!F50,IF(Nonlabor!$I$8="InputM",'Monthly Growth'!D50*Assumptions!$E$22/1000000,IF(Nonlabor!$I$8="OutputM",'Monthly Growth'!D50*Assumptions!$E$23/1000000,0))))))))),0)</f>
        <v>0</v>
      </c>
      <c r="F2810" s="10" t="n">
        <f aca="false">Nonlabor!$J$8*(1+Assumptions!$E$9)^INT((C2810-1)/12)</f>
        <v>1237.3504</v>
      </c>
      <c r="G2810" s="10" t="n">
        <f aca="false">E2810*F2810</f>
        <v>0</v>
      </c>
      <c r="H2810" s="10" t="n">
        <f aca="false">IF(OR(Nonlabor!$L$8="Quote required",Nonlabor!$L$8="Unverified"),G2810,0)</f>
        <v>0</v>
      </c>
      <c r="I2810" s="10" t="n">
        <f aca="false">IF(Nonlabor!$E$8="Core",0,G2810)</f>
        <v>0</v>
      </c>
      <c r="J2810" s="23" t="str">
        <f aca="false">Nonlabor!$B$8</f>
        <v>INFRA</v>
      </c>
    </row>
    <row r="2811" customFormat="false" ht="15" hidden="false" customHeight="false" outlineLevel="0" collapsed="false">
      <c r="A2811" s="6" t="s">
        <v>73</v>
      </c>
      <c r="B2811" s="6" t="s">
        <v>376</v>
      </c>
      <c r="C2811" s="6" t="n">
        <v>46</v>
      </c>
      <c r="D2811" s="25" t="n">
        <f aca="false">EDATE('Start Here'!$B$6,C2811-1)</f>
        <v>47696</v>
      </c>
      <c r="E2811" s="23" t="n">
        <f aca="false">IF(AND(OR(Nonlabor!$D$8="Both",Nonlabor!$D$8='Start Here'!$B$9),IF(Nonlabor!$E$8="Core",1,IF(Nonlabor!$E$8="AI",'Start Here'!$B$7,'Start Here'!$B$8))=1,C2811&gt;=IF(Nonlabor!$E$8="Core",Nonlabor!$F$8,MAX(Nonlabor!$F$8,IF(Nonlabor!$E$8="AI",Assumptions!$E$24,Assumptions!$E$25))),C2811&lt;=Nonlabor!$G$8,OR(Nonlabor!$H$8="Monthly",AND(Nonlabor!$H$8="Once",C2811=IF(Nonlabor!$E$8="Core",Nonlabor!$F$8,MAX(Nonlabor!$F$8,IF(Nonlabor!$E$8="AI",Assumptions!$E$24,Assumptions!$E$25)))),AND(Nonlabor!$H$8="Annual",MOD(C2811-IF(Nonlabor!$E$8="Core",Nonlabor!$F$8,MAX(Nonlabor!$F$8,IF(Nonlabor!$E$8="AI",Assumptions!$E$24,Assumptions!$E$25))),12)=0))),IF(Nonlabor!$I$8="Fixed",1,IF(Nonlabor!$I$8="Seats",ROUNDUP('Monthly Growth'!I51,0),IF(Nonlabor!$I$8="Customers",'Monthly Growth'!D51,IF(Nonlabor!$I$8="NewCustomers",'Monthly Growth'!C51,IF(Nonlabor!$I$8="StorageGB",'Monthly Growth'!G51,IF(Nonlabor!$I$8="LogGB",'Monthly Growth'!H51,IF(Nonlabor!$I$8="RequestsM",'Monthly Growth'!F51,IF(Nonlabor!$I$8="InputM",'Monthly Growth'!D51*Assumptions!$E$22/1000000,IF(Nonlabor!$I$8="OutputM",'Monthly Growth'!D51*Assumptions!$E$23/1000000,0))))))))),0)</f>
        <v>0</v>
      </c>
      <c r="F2811" s="10" t="n">
        <f aca="false">Nonlabor!$J$8*(1+Assumptions!$E$9)^INT((C2811-1)/12)</f>
        <v>1237.3504</v>
      </c>
      <c r="G2811" s="10" t="n">
        <f aca="false">E2811*F2811</f>
        <v>0</v>
      </c>
      <c r="H2811" s="10" t="n">
        <f aca="false">IF(OR(Nonlabor!$L$8="Quote required",Nonlabor!$L$8="Unverified"),G2811,0)</f>
        <v>0</v>
      </c>
      <c r="I2811" s="10" t="n">
        <f aca="false">IF(Nonlabor!$E$8="Core",0,G2811)</f>
        <v>0</v>
      </c>
      <c r="J2811" s="23" t="str">
        <f aca="false">Nonlabor!$B$8</f>
        <v>INFRA</v>
      </c>
    </row>
    <row r="2812" customFormat="false" ht="15" hidden="false" customHeight="false" outlineLevel="0" collapsed="false">
      <c r="A2812" s="6" t="s">
        <v>73</v>
      </c>
      <c r="B2812" s="6" t="s">
        <v>376</v>
      </c>
      <c r="C2812" s="6" t="n">
        <v>47</v>
      </c>
      <c r="D2812" s="25" t="n">
        <f aca="false">EDATE('Start Here'!$B$6,C2812-1)</f>
        <v>47727</v>
      </c>
      <c r="E2812" s="23" t="n">
        <f aca="false">IF(AND(OR(Nonlabor!$D$8="Both",Nonlabor!$D$8='Start Here'!$B$9),IF(Nonlabor!$E$8="Core",1,IF(Nonlabor!$E$8="AI",'Start Here'!$B$7,'Start Here'!$B$8))=1,C2812&gt;=IF(Nonlabor!$E$8="Core",Nonlabor!$F$8,MAX(Nonlabor!$F$8,IF(Nonlabor!$E$8="AI",Assumptions!$E$24,Assumptions!$E$25))),C2812&lt;=Nonlabor!$G$8,OR(Nonlabor!$H$8="Monthly",AND(Nonlabor!$H$8="Once",C2812=IF(Nonlabor!$E$8="Core",Nonlabor!$F$8,MAX(Nonlabor!$F$8,IF(Nonlabor!$E$8="AI",Assumptions!$E$24,Assumptions!$E$25)))),AND(Nonlabor!$H$8="Annual",MOD(C2812-IF(Nonlabor!$E$8="Core",Nonlabor!$F$8,MAX(Nonlabor!$F$8,IF(Nonlabor!$E$8="AI",Assumptions!$E$24,Assumptions!$E$25))),12)=0))),IF(Nonlabor!$I$8="Fixed",1,IF(Nonlabor!$I$8="Seats",ROUNDUP('Monthly Growth'!I52,0),IF(Nonlabor!$I$8="Customers",'Monthly Growth'!D52,IF(Nonlabor!$I$8="NewCustomers",'Monthly Growth'!C52,IF(Nonlabor!$I$8="StorageGB",'Monthly Growth'!G52,IF(Nonlabor!$I$8="LogGB",'Monthly Growth'!H52,IF(Nonlabor!$I$8="RequestsM",'Monthly Growth'!F52,IF(Nonlabor!$I$8="InputM",'Monthly Growth'!D52*Assumptions!$E$22/1000000,IF(Nonlabor!$I$8="OutputM",'Monthly Growth'!D52*Assumptions!$E$23/1000000,0))))))))),0)</f>
        <v>0</v>
      </c>
      <c r="F2812" s="10" t="n">
        <f aca="false">Nonlabor!$J$8*(1+Assumptions!$E$9)^INT((C2812-1)/12)</f>
        <v>1237.3504</v>
      </c>
      <c r="G2812" s="10" t="n">
        <f aca="false">E2812*F2812</f>
        <v>0</v>
      </c>
      <c r="H2812" s="10" t="n">
        <f aca="false">IF(OR(Nonlabor!$L$8="Quote required",Nonlabor!$L$8="Unverified"),G2812,0)</f>
        <v>0</v>
      </c>
      <c r="I2812" s="10" t="n">
        <f aca="false">IF(Nonlabor!$E$8="Core",0,G2812)</f>
        <v>0</v>
      </c>
      <c r="J2812" s="23" t="str">
        <f aca="false">Nonlabor!$B$8</f>
        <v>INFRA</v>
      </c>
    </row>
    <row r="2813" customFormat="false" ht="15" hidden="false" customHeight="false" outlineLevel="0" collapsed="false">
      <c r="A2813" s="6" t="s">
        <v>73</v>
      </c>
      <c r="B2813" s="6" t="s">
        <v>376</v>
      </c>
      <c r="C2813" s="6" t="n">
        <v>48</v>
      </c>
      <c r="D2813" s="25" t="n">
        <f aca="false">EDATE('Start Here'!$B$6,C2813-1)</f>
        <v>47757</v>
      </c>
      <c r="E2813" s="23" t="n">
        <f aca="false">IF(AND(OR(Nonlabor!$D$8="Both",Nonlabor!$D$8='Start Here'!$B$9),IF(Nonlabor!$E$8="Core",1,IF(Nonlabor!$E$8="AI",'Start Here'!$B$7,'Start Here'!$B$8))=1,C2813&gt;=IF(Nonlabor!$E$8="Core",Nonlabor!$F$8,MAX(Nonlabor!$F$8,IF(Nonlabor!$E$8="AI",Assumptions!$E$24,Assumptions!$E$25))),C2813&lt;=Nonlabor!$G$8,OR(Nonlabor!$H$8="Monthly",AND(Nonlabor!$H$8="Once",C2813=IF(Nonlabor!$E$8="Core",Nonlabor!$F$8,MAX(Nonlabor!$F$8,IF(Nonlabor!$E$8="AI",Assumptions!$E$24,Assumptions!$E$25)))),AND(Nonlabor!$H$8="Annual",MOD(C2813-IF(Nonlabor!$E$8="Core",Nonlabor!$F$8,MAX(Nonlabor!$F$8,IF(Nonlabor!$E$8="AI",Assumptions!$E$24,Assumptions!$E$25))),12)=0))),IF(Nonlabor!$I$8="Fixed",1,IF(Nonlabor!$I$8="Seats",ROUNDUP('Monthly Growth'!I53,0),IF(Nonlabor!$I$8="Customers",'Monthly Growth'!D53,IF(Nonlabor!$I$8="NewCustomers",'Monthly Growth'!C53,IF(Nonlabor!$I$8="StorageGB",'Monthly Growth'!G53,IF(Nonlabor!$I$8="LogGB",'Monthly Growth'!H53,IF(Nonlabor!$I$8="RequestsM",'Monthly Growth'!F53,IF(Nonlabor!$I$8="InputM",'Monthly Growth'!D53*Assumptions!$E$22/1000000,IF(Nonlabor!$I$8="OutputM",'Monthly Growth'!D53*Assumptions!$E$23/1000000,0))))))))),0)</f>
        <v>0</v>
      </c>
      <c r="F2813" s="10" t="n">
        <f aca="false">Nonlabor!$J$8*(1+Assumptions!$E$9)^INT((C2813-1)/12)</f>
        <v>1237.3504</v>
      </c>
      <c r="G2813" s="10" t="n">
        <f aca="false">E2813*F2813</f>
        <v>0</v>
      </c>
      <c r="H2813" s="10" t="n">
        <f aca="false">IF(OR(Nonlabor!$L$8="Quote required",Nonlabor!$L$8="Unverified"),G2813,0)</f>
        <v>0</v>
      </c>
      <c r="I2813" s="10" t="n">
        <f aca="false">IF(Nonlabor!$E$8="Core",0,G2813)</f>
        <v>0</v>
      </c>
      <c r="J2813" s="23" t="str">
        <f aca="false">Nonlabor!$B$8</f>
        <v>INFRA</v>
      </c>
    </row>
    <row r="2814" customFormat="false" ht="15" hidden="false" customHeight="false" outlineLevel="0" collapsed="false">
      <c r="A2814" s="6" t="s">
        <v>73</v>
      </c>
      <c r="B2814" s="6" t="s">
        <v>376</v>
      </c>
      <c r="C2814" s="6" t="n">
        <v>49</v>
      </c>
      <c r="D2814" s="25" t="n">
        <f aca="false">EDATE('Start Here'!$B$6,C2814-1)</f>
        <v>47788</v>
      </c>
      <c r="E2814" s="23" t="n">
        <f aca="false">IF(AND(OR(Nonlabor!$D$8="Both",Nonlabor!$D$8='Start Here'!$B$9),IF(Nonlabor!$E$8="Core",1,IF(Nonlabor!$E$8="AI",'Start Here'!$B$7,'Start Here'!$B$8))=1,C2814&gt;=IF(Nonlabor!$E$8="Core",Nonlabor!$F$8,MAX(Nonlabor!$F$8,IF(Nonlabor!$E$8="AI",Assumptions!$E$24,Assumptions!$E$25))),C2814&lt;=Nonlabor!$G$8,OR(Nonlabor!$H$8="Monthly",AND(Nonlabor!$H$8="Once",C2814=IF(Nonlabor!$E$8="Core",Nonlabor!$F$8,MAX(Nonlabor!$F$8,IF(Nonlabor!$E$8="AI",Assumptions!$E$24,Assumptions!$E$25)))),AND(Nonlabor!$H$8="Annual",MOD(C2814-IF(Nonlabor!$E$8="Core",Nonlabor!$F$8,MAX(Nonlabor!$F$8,IF(Nonlabor!$E$8="AI",Assumptions!$E$24,Assumptions!$E$25))),12)=0))),IF(Nonlabor!$I$8="Fixed",1,IF(Nonlabor!$I$8="Seats",ROUNDUP('Monthly Growth'!I54,0),IF(Nonlabor!$I$8="Customers",'Monthly Growth'!D54,IF(Nonlabor!$I$8="NewCustomers",'Monthly Growth'!C54,IF(Nonlabor!$I$8="StorageGB",'Monthly Growth'!G54,IF(Nonlabor!$I$8="LogGB",'Monthly Growth'!H54,IF(Nonlabor!$I$8="RequestsM",'Monthly Growth'!F54,IF(Nonlabor!$I$8="InputM",'Monthly Growth'!D54*Assumptions!$E$22/1000000,IF(Nonlabor!$I$8="OutputM",'Monthly Growth'!D54*Assumptions!$E$23/1000000,0))))))))),0)</f>
        <v>0</v>
      </c>
      <c r="F2814" s="10" t="n">
        <f aca="false">Nonlabor!$J$8*(1+Assumptions!$E$9)^INT((C2814-1)/12)</f>
        <v>1286.844416</v>
      </c>
      <c r="G2814" s="10" t="n">
        <f aca="false">E2814*F2814</f>
        <v>0</v>
      </c>
      <c r="H2814" s="10" t="n">
        <f aca="false">IF(OR(Nonlabor!$L$8="Quote required",Nonlabor!$L$8="Unverified"),G2814,0)</f>
        <v>0</v>
      </c>
      <c r="I2814" s="10" t="n">
        <f aca="false">IF(Nonlabor!$E$8="Core",0,G2814)</f>
        <v>0</v>
      </c>
      <c r="J2814" s="23" t="str">
        <f aca="false">Nonlabor!$B$8</f>
        <v>INFRA</v>
      </c>
    </row>
    <row r="2815" customFormat="false" ht="15" hidden="false" customHeight="false" outlineLevel="0" collapsed="false">
      <c r="A2815" s="6" t="s">
        <v>73</v>
      </c>
      <c r="B2815" s="6" t="s">
        <v>376</v>
      </c>
      <c r="C2815" s="6" t="n">
        <v>50</v>
      </c>
      <c r="D2815" s="25" t="n">
        <f aca="false">EDATE('Start Here'!$B$6,C2815-1)</f>
        <v>47818</v>
      </c>
      <c r="E2815" s="23" t="n">
        <f aca="false">IF(AND(OR(Nonlabor!$D$8="Both",Nonlabor!$D$8='Start Here'!$B$9),IF(Nonlabor!$E$8="Core",1,IF(Nonlabor!$E$8="AI",'Start Here'!$B$7,'Start Here'!$B$8))=1,C2815&gt;=IF(Nonlabor!$E$8="Core",Nonlabor!$F$8,MAX(Nonlabor!$F$8,IF(Nonlabor!$E$8="AI",Assumptions!$E$24,Assumptions!$E$25))),C2815&lt;=Nonlabor!$G$8,OR(Nonlabor!$H$8="Monthly",AND(Nonlabor!$H$8="Once",C2815=IF(Nonlabor!$E$8="Core",Nonlabor!$F$8,MAX(Nonlabor!$F$8,IF(Nonlabor!$E$8="AI",Assumptions!$E$24,Assumptions!$E$25)))),AND(Nonlabor!$H$8="Annual",MOD(C2815-IF(Nonlabor!$E$8="Core",Nonlabor!$F$8,MAX(Nonlabor!$F$8,IF(Nonlabor!$E$8="AI",Assumptions!$E$24,Assumptions!$E$25))),12)=0))),IF(Nonlabor!$I$8="Fixed",1,IF(Nonlabor!$I$8="Seats",ROUNDUP('Monthly Growth'!I55,0),IF(Nonlabor!$I$8="Customers",'Monthly Growth'!D55,IF(Nonlabor!$I$8="NewCustomers",'Monthly Growth'!C55,IF(Nonlabor!$I$8="StorageGB",'Monthly Growth'!G55,IF(Nonlabor!$I$8="LogGB",'Monthly Growth'!H55,IF(Nonlabor!$I$8="RequestsM",'Monthly Growth'!F55,IF(Nonlabor!$I$8="InputM",'Monthly Growth'!D55*Assumptions!$E$22/1000000,IF(Nonlabor!$I$8="OutputM",'Monthly Growth'!D55*Assumptions!$E$23/1000000,0))))))))),0)</f>
        <v>0</v>
      </c>
      <c r="F2815" s="10" t="n">
        <f aca="false">Nonlabor!$J$8*(1+Assumptions!$E$9)^INT((C2815-1)/12)</f>
        <v>1286.844416</v>
      </c>
      <c r="G2815" s="10" t="n">
        <f aca="false">E2815*F2815</f>
        <v>0</v>
      </c>
      <c r="H2815" s="10" t="n">
        <f aca="false">IF(OR(Nonlabor!$L$8="Quote required",Nonlabor!$L$8="Unverified"),G2815,0)</f>
        <v>0</v>
      </c>
      <c r="I2815" s="10" t="n">
        <f aca="false">IF(Nonlabor!$E$8="Core",0,G2815)</f>
        <v>0</v>
      </c>
      <c r="J2815" s="23" t="str">
        <f aca="false">Nonlabor!$B$8</f>
        <v>INFRA</v>
      </c>
    </row>
    <row r="2816" customFormat="false" ht="15" hidden="false" customHeight="false" outlineLevel="0" collapsed="false">
      <c r="A2816" s="6" t="s">
        <v>73</v>
      </c>
      <c r="B2816" s="6" t="s">
        <v>376</v>
      </c>
      <c r="C2816" s="6" t="n">
        <v>51</v>
      </c>
      <c r="D2816" s="25" t="n">
        <f aca="false">EDATE('Start Here'!$B$6,C2816-1)</f>
        <v>47849</v>
      </c>
      <c r="E2816" s="23" t="n">
        <f aca="false">IF(AND(OR(Nonlabor!$D$8="Both",Nonlabor!$D$8='Start Here'!$B$9),IF(Nonlabor!$E$8="Core",1,IF(Nonlabor!$E$8="AI",'Start Here'!$B$7,'Start Here'!$B$8))=1,C2816&gt;=IF(Nonlabor!$E$8="Core",Nonlabor!$F$8,MAX(Nonlabor!$F$8,IF(Nonlabor!$E$8="AI",Assumptions!$E$24,Assumptions!$E$25))),C2816&lt;=Nonlabor!$G$8,OR(Nonlabor!$H$8="Monthly",AND(Nonlabor!$H$8="Once",C2816=IF(Nonlabor!$E$8="Core",Nonlabor!$F$8,MAX(Nonlabor!$F$8,IF(Nonlabor!$E$8="AI",Assumptions!$E$24,Assumptions!$E$25)))),AND(Nonlabor!$H$8="Annual",MOD(C2816-IF(Nonlabor!$E$8="Core",Nonlabor!$F$8,MAX(Nonlabor!$F$8,IF(Nonlabor!$E$8="AI",Assumptions!$E$24,Assumptions!$E$25))),12)=0))),IF(Nonlabor!$I$8="Fixed",1,IF(Nonlabor!$I$8="Seats",ROUNDUP('Monthly Growth'!I56,0),IF(Nonlabor!$I$8="Customers",'Monthly Growth'!D56,IF(Nonlabor!$I$8="NewCustomers",'Monthly Growth'!C56,IF(Nonlabor!$I$8="StorageGB",'Monthly Growth'!G56,IF(Nonlabor!$I$8="LogGB",'Monthly Growth'!H56,IF(Nonlabor!$I$8="RequestsM",'Monthly Growth'!F56,IF(Nonlabor!$I$8="InputM",'Monthly Growth'!D56*Assumptions!$E$22/1000000,IF(Nonlabor!$I$8="OutputM",'Monthly Growth'!D56*Assumptions!$E$23/1000000,0))))))))),0)</f>
        <v>0</v>
      </c>
      <c r="F2816" s="10" t="n">
        <f aca="false">Nonlabor!$J$8*(1+Assumptions!$E$9)^INT((C2816-1)/12)</f>
        <v>1286.844416</v>
      </c>
      <c r="G2816" s="10" t="n">
        <f aca="false">E2816*F2816</f>
        <v>0</v>
      </c>
      <c r="H2816" s="10" t="n">
        <f aca="false">IF(OR(Nonlabor!$L$8="Quote required",Nonlabor!$L$8="Unverified"),G2816,0)</f>
        <v>0</v>
      </c>
      <c r="I2816" s="10" t="n">
        <f aca="false">IF(Nonlabor!$E$8="Core",0,G2816)</f>
        <v>0</v>
      </c>
      <c r="J2816" s="23" t="str">
        <f aca="false">Nonlabor!$B$8</f>
        <v>INFRA</v>
      </c>
    </row>
    <row r="2817" customFormat="false" ht="15" hidden="false" customHeight="false" outlineLevel="0" collapsed="false">
      <c r="A2817" s="6" t="s">
        <v>73</v>
      </c>
      <c r="B2817" s="6" t="s">
        <v>376</v>
      </c>
      <c r="C2817" s="6" t="n">
        <v>52</v>
      </c>
      <c r="D2817" s="25" t="n">
        <f aca="false">EDATE('Start Here'!$B$6,C2817-1)</f>
        <v>47880</v>
      </c>
      <c r="E2817" s="23" t="n">
        <f aca="false">IF(AND(OR(Nonlabor!$D$8="Both",Nonlabor!$D$8='Start Here'!$B$9),IF(Nonlabor!$E$8="Core",1,IF(Nonlabor!$E$8="AI",'Start Here'!$B$7,'Start Here'!$B$8))=1,C2817&gt;=IF(Nonlabor!$E$8="Core",Nonlabor!$F$8,MAX(Nonlabor!$F$8,IF(Nonlabor!$E$8="AI",Assumptions!$E$24,Assumptions!$E$25))),C2817&lt;=Nonlabor!$G$8,OR(Nonlabor!$H$8="Monthly",AND(Nonlabor!$H$8="Once",C2817=IF(Nonlabor!$E$8="Core",Nonlabor!$F$8,MAX(Nonlabor!$F$8,IF(Nonlabor!$E$8="AI",Assumptions!$E$24,Assumptions!$E$25)))),AND(Nonlabor!$H$8="Annual",MOD(C2817-IF(Nonlabor!$E$8="Core",Nonlabor!$F$8,MAX(Nonlabor!$F$8,IF(Nonlabor!$E$8="AI",Assumptions!$E$24,Assumptions!$E$25))),12)=0))),IF(Nonlabor!$I$8="Fixed",1,IF(Nonlabor!$I$8="Seats",ROUNDUP('Monthly Growth'!I57,0),IF(Nonlabor!$I$8="Customers",'Monthly Growth'!D57,IF(Nonlabor!$I$8="NewCustomers",'Monthly Growth'!C57,IF(Nonlabor!$I$8="StorageGB",'Monthly Growth'!G57,IF(Nonlabor!$I$8="LogGB",'Monthly Growth'!H57,IF(Nonlabor!$I$8="RequestsM",'Monthly Growth'!F57,IF(Nonlabor!$I$8="InputM",'Monthly Growth'!D57*Assumptions!$E$22/1000000,IF(Nonlabor!$I$8="OutputM",'Monthly Growth'!D57*Assumptions!$E$23/1000000,0))))))))),0)</f>
        <v>0</v>
      </c>
      <c r="F2817" s="10" t="n">
        <f aca="false">Nonlabor!$J$8*(1+Assumptions!$E$9)^INT((C2817-1)/12)</f>
        <v>1286.844416</v>
      </c>
      <c r="G2817" s="10" t="n">
        <f aca="false">E2817*F2817</f>
        <v>0</v>
      </c>
      <c r="H2817" s="10" t="n">
        <f aca="false">IF(OR(Nonlabor!$L$8="Quote required",Nonlabor!$L$8="Unverified"),G2817,0)</f>
        <v>0</v>
      </c>
      <c r="I2817" s="10" t="n">
        <f aca="false">IF(Nonlabor!$E$8="Core",0,G2817)</f>
        <v>0</v>
      </c>
      <c r="J2817" s="23" t="str">
        <f aca="false">Nonlabor!$B$8</f>
        <v>INFRA</v>
      </c>
    </row>
    <row r="2818" customFormat="false" ht="15" hidden="false" customHeight="false" outlineLevel="0" collapsed="false">
      <c r="A2818" s="6" t="s">
        <v>73</v>
      </c>
      <c r="B2818" s="6" t="s">
        <v>376</v>
      </c>
      <c r="C2818" s="6" t="n">
        <v>53</v>
      </c>
      <c r="D2818" s="25" t="n">
        <f aca="false">EDATE('Start Here'!$B$6,C2818-1)</f>
        <v>47908</v>
      </c>
      <c r="E2818" s="23" t="n">
        <f aca="false">IF(AND(OR(Nonlabor!$D$8="Both",Nonlabor!$D$8='Start Here'!$B$9),IF(Nonlabor!$E$8="Core",1,IF(Nonlabor!$E$8="AI",'Start Here'!$B$7,'Start Here'!$B$8))=1,C2818&gt;=IF(Nonlabor!$E$8="Core",Nonlabor!$F$8,MAX(Nonlabor!$F$8,IF(Nonlabor!$E$8="AI",Assumptions!$E$24,Assumptions!$E$25))),C2818&lt;=Nonlabor!$G$8,OR(Nonlabor!$H$8="Monthly",AND(Nonlabor!$H$8="Once",C2818=IF(Nonlabor!$E$8="Core",Nonlabor!$F$8,MAX(Nonlabor!$F$8,IF(Nonlabor!$E$8="AI",Assumptions!$E$24,Assumptions!$E$25)))),AND(Nonlabor!$H$8="Annual",MOD(C2818-IF(Nonlabor!$E$8="Core",Nonlabor!$F$8,MAX(Nonlabor!$F$8,IF(Nonlabor!$E$8="AI",Assumptions!$E$24,Assumptions!$E$25))),12)=0))),IF(Nonlabor!$I$8="Fixed",1,IF(Nonlabor!$I$8="Seats",ROUNDUP('Monthly Growth'!I58,0),IF(Nonlabor!$I$8="Customers",'Monthly Growth'!D58,IF(Nonlabor!$I$8="NewCustomers",'Monthly Growth'!C58,IF(Nonlabor!$I$8="StorageGB",'Monthly Growth'!G58,IF(Nonlabor!$I$8="LogGB",'Monthly Growth'!H58,IF(Nonlabor!$I$8="RequestsM",'Monthly Growth'!F58,IF(Nonlabor!$I$8="InputM",'Monthly Growth'!D58*Assumptions!$E$22/1000000,IF(Nonlabor!$I$8="OutputM",'Monthly Growth'!D58*Assumptions!$E$23/1000000,0))))))))),0)</f>
        <v>0</v>
      </c>
      <c r="F2818" s="10" t="n">
        <f aca="false">Nonlabor!$J$8*(1+Assumptions!$E$9)^INT((C2818-1)/12)</f>
        <v>1286.844416</v>
      </c>
      <c r="G2818" s="10" t="n">
        <f aca="false">E2818*F2818</f>
        <v>0</v>
      </c>
      <c r="H2818" s="10" t="n">
        <f aca="false">IF(OR(Nonlabor!$L$8="Quote required",Nonlabor!$L$8="Unverified"),G2818,0)</f>
        <v>0</v>
      </c>
      <c r="I2818" s="10" t="n">
        <f aca="false">IF(Nonlabor!$E$8="Core",0,G2818)</f>
        <v>0</v>
      </c>
      <c r="J2818" s="23" t="str">
        <f aca="false">Nonlabor!$B$8</f>
        <v>INFRA</v>
      </c>
    </row>
    <row r="2819" customFormat="false" ht="15" hidden="false" customHeight="false" outlineLevel="0" collapsed="false">
      <c r="A2819" s="6" t="s">
        <v>73</v>
      </c>
      <c r="B2819" s="6" t="s">
        <v>376</v>
      </c>
      <c r="C2819" s="6" t="n">
        <v>54</v>
      </c>
      <c r="D2819" s="25" t="n">
        <f aca="false">EDATE('Start Here'!$B$6,C2819-1)</f>
        <v>47939</v>
      </c>
      <c r="E2819" s="23" t="n">
        <f aca="false">IF(AND(OR(Nonlabor!$D$8="Both",Nonlabor!$D$8='Start Here'!$B$9),IF(Nonlabor!$E$8="Core",1,IF(Nonlabor!$E$8="AI",'Start Here'!$B$7,'Start Here'!$B$8))=1,C2819&gt;=IF(Nonlabor!$E$8="Core",Nonlabor!$F$8,MAX(Nonlabor!$F$8,IF(Nonlabor!$E$8="AI",Assumptions!$E$24,Assumptions!$E$25))),C2819&lt;=Nonlabor!$G$8,OR(Nonlabor!$H$8="Monthly",AND(Nonlabor!$H$8="Once",C2819=IF(Nonlabor!$E$8="Core",Nonlabor!$F$8,MAX(Nonlabor!$F$8,IF(Nonlabor!$E$8="AI",Assumptions!$E$24,Assumptions!$E$25)))),AND(Nonlabor!$H$8="Annual",MOD(C2819-IF(Nonlabor!$E$8="Core",Nonlabor!$F$8,MAX(Nonlabor!$F$8,IF(Nonlabor!$E$8="AI",Assumptions!$E$24,Assumptions!$E$25))),12)=0))),IF(Nonlabor!$I$8="Fixed",1,IF(Nonlabor!$I$8="Seats",ROUNDUP('Monthly Growth'!I59,0),IF(Nonlabor!$I$8="Customers",'Monthly Growth'!D59,IF(Nonlabor!$I$8="NewCustomers",'Monthly Growth'!C59,IF(Nonlabor!$I$8="StorageGB",'Monthly Growth'!G59,IF(Nonlabor!$I$8="LogGB",'Monthly Growth'!H59,IF(Nonlabor!$I$8="RequestsM",'Monthly Growth'!F59,IF(Nonlabor!$I$8="InputM",'Monthly Growth'!D59*Assumptions!$E$22/1000000,IF(Nonlabor!$I$8="OutputM",'Monthly Growth'!D59*Assumptions!$E$23/1000000,0))))))))),0)</f>
        <v>0</v>
      </c>
      <c r="F2819" s="10" t="n">
        <f aca="false">Nonlabor!$J$8*(1+Assumptions!$E$9)^INT((C2819-1)/12)</f>
        <v>1286.844416</v>
      </c>
      <c r="G2819" s="10" t="n">
        <f aca="false">E2819*F2819</f>
        <v>0</v>
      </c>
      <c r="H2819" s="10" t="n">
        <f aca="false">IF(OR(Nonlabor!$L$8="Quote required",Nonlabor!$L$8="Unverified"),G2819,0)</f>
        <v>0</v>
      </c>
      <c r="I2819" s="10" t="n">
        <f aca="false">IF(Nonlabor!$E$8="Core",0,G2819)</f>
        <v>0</v>
      </c>
      <c r="J2819" s="23" t="str">
        <f aca="false">Nonlabor!$B$8</f>
        <v>INFRA</v>
      </c>
    </row>
    <row r="2820" customFormat="false" ht="15" hidden="false" customHeight="false" outlineLevel="0" collapsed="false">
      <c r="A2820" s="6" t="s">
        <v>73</v>
      </c>
      <c r="B2820" s="6" t="s">
        <v>376</v>
      </c>
      <c r="C2820" s="6" t="n">
        <v>55</v>
      </c>
      <c r="D2820" s="25" t="n">
        <f aca="false">EDATE('Start Here'!$B$6,C2820-1)</f>
        <v>47969</v>
      </c>
      <c r="E2820" s="23" t="n">
        <f aca="false">IF(AND(OR(Nonlabor!$D$8="Both",Nonlabor!$D$8='Start Here'!$B$9),IF(Nonlabor!$E$8="Core",1,IF(Nonlabor!$E$8="AI",'Start Here'!$B$7,'Start Here'!$B$8))=1,C2820&gt;=IF(Nonlabor!$E$8="Core",Nonlabor!$F$8,MAX(Nonlabor!$F$8,IF(Nonlabor!$E$8="AI",Assumptions!$E$24,Assumptions!$E$25))),C2820&lt;=Nonlabor!$G$8,OR(Nonlabor!$H$8="Monthly",AND(Nonlabor!$H$8="Once",C2820=IF(Nonlabor!$E$8="Core",Nonlabor!$F$8,MAX(Nonlabor!$F$8,IF(Nonlabor!$E$8="AI",Assumptions!$E$24,Assumptions!$E$25)))),AND(Nonlabor!$H$8="Annual",MOD(C2820-IF(Nonlabor!$E$8="Core",Nonlabor!$F$8,MAX(Nonlabor!$F$8,IF(Nonlabor!$E$8="AI",Assumptions!$E$24,Assumptions!$E$25))),12)=0))),IF(Nonlabor!$I$8="Fixed",1,IF(Nonlabor!$I$8="Seats",ROUNDUP('Monthly Growth'!I60,0),IF(Nonlabor!$I$8="Customers",'Monthly Growth'!D60,IF(Nonlabor!$I$8="NewCustomers",'Monthly Growth'!C60,IF(Nonlabor!$I$8="StorageGB",'Monthly Growth'!G60,IF(Nonlabor!$I$8="LogGB",'Monthly Growth'!H60,IF(Nonlabor!$I$8="RequestsM",'Monthly Growth'!F60,IF(Nonlabor!$I$8="InputM",'Monthly Growth'!D60*Assumptions!$E$22/1000000,IF(Nonlabor!$I$8="OutputM",'Monthly Growth'!D60*Assumptions!$E$23/1000000,0))))))))),0)</f>
        <v>0</v>
      </c>
      <c r="F2820" s="10" t="n">
        <f aca="false">Nonlabor!$J$8*(1+Assumptions!$E$9)^INT((C2820-1)/12)</f>
        <v>1286.844416</v>
      </c>
      <c r="G2820" s="10" t="n">
        <f aca="false">E2820*F2820</f>
        <v>0</v>
      </c>
      <c r="H2820" s="10" t="n">
        <f aca="false">IF(OR(Nonlabor!$L$8="Quote required",Nonlabor!$L$8="Unverified"),G2820,0)</f>
        <v>0</v>
      </c>
      <c r="I2820" s="10" t="n">
        <f aca="false">IF(Nonlabor!$E$8="Core",0,G2820)</f>
        <v>0</v>
      </c>
      <c r="J2820" s="23" t="str">
        <f aca="false">Nonlabor!$B$8</f>
        <v>INFRA</v>
      </c>
    </row>
    <row r="2821" customFormat="false" ht="15" hidden="false" customHeight="false" outlineLevel="0" collapsed="false">
      <c r="A2821" s="6" t="s">
        <v>73</v>
      </c>
      <c r="B2821" s="6" t="s">
        <v>376</v>
      </c>
      <c r="C2821" s="6" t="n">
        <v>56</v>
      </c>
      <c r="D2821" s="25" t="n">
        <f aca="false">EDATE('Start Here'!$B$6,C2821-1)</f>
        <v>48000</v>
      </c>
      <c r="E2821" s="23" t="n">
        <f aca="false">IF(AND(OR(Nonlabor!$D$8="Both",Nonlabor!$D$8='Start Here'!$B$9),IF(Nonlabor!$E$8="Core",1,IF(Nonlabor!$E$8="AI",'Start Here'!$B$7,'Start Here'!$B$8))=1,C2821&gt;=IF(Nonlabor!$E$8="Core",Nonlabor!$F$8,MAX(Nonlabor!$F$8,IF(Nonlabor!$E$8="AI",Assumptions!$E$24,Assumptions!$E$25))),C2821&lt;=Nonlabor!$G$8,OR(Nonlabor!$H$8="Monthly",AND(Nonlabor!$H$8="Once",C2821=IF(Nonlabor!$E$8="Core",Nonlabor!$F$8,MAX(Nonlabor!$F$8,IF(Nonlabor!$E$8="AI",Assumptions!$E$24,Assumptions!$E$25)))),AND(Nonlabor!$H$8="Annual",MOD(C2821-IF(Nonlabor!$E$8="Core",Nonlabor!$F$8,MAX(Nonlabor!$F$8,IF(Nonlabor!$E$8="AI",Assumptions!$E$24,Assumptions!$E$25))),12)=0))),IF(Nonlabor!$I$8="Fixed",1,IF(Nonlabor!$I$8="Seats",ROUNDUP('Monthly Growth'!I61,0),IF(Nonlabor!$I$8="Customers",'Monthly Growth'!D61,IF(Nonlabor!$I$8="NewCustomers",'Monthly Growth'!C61,IF(Nonlabor!$I$8="StorageGB",'Monthly Growth'!G61,IF(Nonlabor!$I$8="LogGB",'Monthly Growth'!H61,IF(Nonlabor!$I$8="RequestsM",'Monthly Growth'!F61,IF(Nonlabor!$I$8="InputM",'Monthly Growth'!D61*Assumptions!$E$22/1000000,IF(Nonlabor!$I$8="OutputM",'Monthly Growth'!D61*Assumptions!$E$23/1000000,0))))))))),0)</f>
        <v>0</v>
      </c>
      <c r="F2821" s="10" t="n">
        <f aca="false">Nonlabor!$J$8*(1+Assumptions!$E$9)^INT((C2821-1)/12)</f>
        <v>1286.844416</v>
      </c>
      <c r="G2821" s="10" t="n">
        <f aca="false">E2821*F2821</f>
        <v>0</v>
      </c>
      <c r="H2821" s="10" t="n">
        <f aca="false">IF(OR(Nonlabor!$L$8="Quote required",Nonlabor!$L$8="Unverified"),G2821,0)</f>
        <v>0</v>
      </c>
      <c r="I2821" s="10" t="n">
        <f aca="false">IF(Nonlabor!$E$8="Core",0,G2821)</f>
        <v>0</v>
      </c>
      <c r="J2821" s="23" t="str">
        <f aca="false">Nonlabor!$B$8</f>
        <v>INFRA</v>
      </c>
    </row>
    <row r="2822" customFormat="false" ht="15" hidden="false" customHeight="false" outlineLevel="0" collapsed="false">
      <c r="A2822" s="6" t="s">
        <v>73</v>
      </c>
      <c r="B2822" s="6" t="s">
        <v>376</v>
      </c>
      <c r="C2822" s="6" t="n">
        <v>57</v>
      </c>
      <c r="D2822" s="25" t="n">
        <f aca="false">EDATE('Start Here'!$B$6,C2822-1)</f>
        <v>48030</v>
      </c>
      <c r="E2822" s="23" t="n">
        <f aca="false">IF(AND(OR(Nonlabor!$D$8="Both",Nonlabor!$D$8='Start Here'!$B$9),IF(Nonlabor!$E$8="Core",1,IF(Nonlabor!$E$8="AI",'Start Here'!$B$7,'Start Here'!$B$8))=1,C2822&gt;=IF(Nonlabor!$E$8="Core",Nonlabor!$F$8,MAX(Nonlabor!$F$8,IF(Nonlabor!$E$8="AI",Assumptions!$E$24,Assumptions!$E$25))),C2822&lt;=Nonlabor!$G$8,OR(Nonlabor!$H$8="Monthly",AND(Nonlabor!$H$8="Once",C2822=IF(Nonlabor!$E$8="Core",Nonlabor!$F$8,MAX(Nonlabor!$F$8,IF(Nonlabor!$E$8="AI",Assumptions!$E$24,Assumptions!$E$25)))),AND(Nonlabor!$H$8="Annual",MOD(C2822-IF(Nonlabor!$E$8="Core",Nonlabor!$F$8,MAX(Nonlabor!$F$8,IF(Nonlabor!$E$8="AI",Assumptions!$E$24,Assumptions!$E$25))),12)=0))),IF(Nonlabor!$I$8="Fixed",1,IF(Nonlabor!$I$8="Seats",ROUNDUP('Monthly Growth'!I62,0),IF(Nonlabor!$I$8="Customers",'Monthly Growth'!D62,IF(Nonlabor!$I$8="NewCustomers",'Monthly Growth'!C62,IF(Nonlabor!$I$8="StorageGB",'Monthly Growth'!G62,IF(Nonlabor!$I$8="LogGB",'Monthly Growth'!H62,IF(Nonlabor!$I$8="RequestsM",'Monthly Growth'!F62,IF(Nonlabor!$I$8="InputM",'Monthly Growth'!D62*Assumptions!$E$22/1000000,IF(Nonlabor!$I$8="OutputM",'Monthly Growth'!D62*Assumptions!$E$23/1000000,0))))))))),0)</f>
        <v>0</v>
      </c>
      <c r="F2822" s="10" t="n">
        <f aca="false">Nonlabor!$J$8*(1+Assumptions!$E$9)^INT((C2822-1)/12)</f>
        <v>1286.844416</v>
      </c>
      <c r="G2822" s="10" t="n">
        <f aca="false">E2822*F2822</f>
        <v>0</v>
      </c>
      <c r="H2822" s="10" t="n">
        <f aca="false">IF(OR(Nonlabor!$L$8="Quote required",Nonlabor!$L$8="Unverified"),G2822,0)</f>
        <v>0</v>
      </c>
      <c r="I2822" s="10" t="n">
        <f aca="false">IF(Nonlabor!$E$8="Core",0,G2822)</f>
        <v>0</v>
      </c>
      <c r="J2822" s="23" t="str">
        <f aca="false">Nonlabor!$B$8</f>
        <v>INFRA</v>
      </c>
    </row>
    <row r="2823" customFormat="false" ht="15" hidden="false" customHeight="false" outlineLevel="0" collapsed="false">
      <c r="A2823" s="6" t="s">
        <v>73</v>
      </c>
      <c r="B2823" s="6" t="s">
        <v>376</v>
      </c>
      <c r="C2823" s="6" t="n">
        <v>58</v>
      </c>
      <c r="D2823" s="25" t="n">
        <f aca="false">EDATE('Start Here'!$B$6,C2823-1)</f>
        <v>48061</v>
      </c>
      <c r="E2823" s="23" t="n">
        <f aca="false">IF(AND(OR(Nonlabor!$D$8="Both",Nonlabor!$D$8='Start Here'!$B$9),IF(Nonlabor!$E$8="Core",1,IF(Nonlabor!$E$8="AI",'Start Here'!$B$7,'Start Here'!$B$8))=1,C2823&gt;=IF(Nonlabor!$E$8="Core",Nonlabor!$F$8,MAX(Nonlabor!$F$8,IF(Nonlabor!$E$8="AI",Assumptions!$E$24,Assumptions!$E$25))),C2823&lt;=Nonlabor!$G$8,OR(Nonlabor!$H$8="Monthly",AND(Nonlabor!$H$8="Once",C2823=IF(Nonlabor!$E$8="Core",Nonlabor!$F$8,MAX(Nonlabor!$F$8,IF(Nonlabor!$E$8="AI",Assumptions!$E$24,Assumptions!$E$25)))),AND(Nonlabor!$H$8="Annual",MOD(C2823-IF(Nonlabor!$E$8="Core",Nonlabor!$F$8,MAX(Nonlabor!$F$8,IF(Nonlabor!$E$8="AI",Assumptions!$E$24,Assumptions!$E$25))),12)=0))),IF(Nonlabor!$I$8="Fixed",1,IF(Nonlabor!$I$8="Seats",ROUNDUP('Monthly Growth'!I63,0),IF(Nonlabor!$I$8="Customers",'Monthly Growth'!D63,IF(Nonlabor!$I$8="NewCustomers",'Monthly Growth'!C63,IF(Nonlabor!$I$8="StorageGB",'Monthly Growth'!G63,IF(Nonlabor!$I$8="LogGB",'Monthly Growth'!H63,IF(Nonlabor!$I$8="RequestsM",'Monthly Growth'!F63,IF(Nonlabor!$I$8="InputM",'Monthly Growth'!D63*Assumptions!$E$22/1000000,IF(Nonlabor!$I$8="OutputM",'Monthly Growth'!D63*Assumptions!$E$23/1000000,0))))))))),0)</f>
        <v>0</v>
      </c>
      <c r="F2823" s="10" t="n">
        <f aca="false">Nonlabor!$J$8*(1+Assumptions!$E$9)^INT((C2823-1)/12)</f>
        <v>1286.844416</v>
      </c>
      <c r="G2823" s="10" t="n">
        <f aca="false">E2823*F2823</f>
        <v>0</v>
      </c>
      <c r="H2823" s="10" t="n">
        <f aca="false">IF(OR(Nonlabor!$L$8="Quote required",Nonlabor!$L$8="Unverified"),G2823,0)</f>
        <v>0</v>
      </c>
      <c r="I2823" s="10" t="n">
        <f aca="false">IF(Nonlabor!$E$8="Core",0,G2823)</f>
        <v>0</v>
      </c>
      <c r="J2823" s="23" t="str">
        <f aca="false">Nonlabor!$B$8</f>
        <v>INFRA</v>
      </c>
    </row>
    <row r="2824" customFormat="false" ht="15" hidden="false" customHeight="false" outlineLevel="0" collapsed="false">
      <c r="A2824" s="6" t="s">
        <v>73</v>
      </c>
      <c r="B2824" s="6" t="s">
        <v>376</v>
      </c>
      <c r="C2824" s="6" t="n">
        <v>59</v>
      </c>
      <c r="D2824" s="25" t="n">
        <f aca="false">EDATE('Start Here'!$B$6,C2824-1)</f>
        <v>48092</v>
      </c>
      <c r="E2824" s="23" t="n">
        <f aca="false">IF(AND(OR(Nonlabor!$D$8="Both",Nonlabor!$D$8='Start Here'!$B$9),IF(Nonlabor!$E$8="Core",1,IF(Nonlabor!$E$8="AI",'Start Here'!$B$7,'Start Here'!$B$8))=1,C2824&gt;=IF(Nonlabor!$E$8="Core",Nonlabor!$F$8,MAX(Nonlabor!$F$8,IF(Nonlabor!$E$8="AI",Assumptions!$E$24,Assumptions!$E$25))),C2824&lt;=Nonlabor!$G$8,OR(Nonlabor!$H$8="Monthly",AND(Nonlabor!$H$8="Once",C2824=IF(Nonlabor!$E$8="Core",Nonlabor!$F$8,MAX(Nonlabor!$F$8,IF(Nonlabor!$E$8="AI",Assumptions!$E$24,Assumptions!$E$25)))),AND(Nonlabor!$H$8="Annual",MOD(C2824-IF(Nonlabor!$E$8="Core",Nonlabor!$F$8,MAX(Nonlabor!$F$8,IF(Nonlabor!$E$8="AI",Assumptions!$E$24,Assumptions!$E$25))),12)=0))),IF(Nonlabor!$I$8="Fixed",1,IF(Nonlabor!$I$8="Seats",ROUNDUP('Monthly Growth'!I64,0),IF(Nonlabor!$I$8="Customers",'Monthly Growth'!D64,IF(Nonlabor!$I$8="NewCustomers",'Monthly Growth'!C64,IF(Nonlabor!$I$8="StorageGB",'Monthly Growth'!G64,IF(Nonlabor!$I$8="LogGB",'Monthly Growth'!H64,IF(Nonlabor!$I$8="RequestsM",'Monthly Growth'!F64,IF(Nonlabor!$I$8="InputM",'Monthly Growth'!D64*Assumptions!$E$22/1000000,IF(Nonlabor!$I$8="OutputM",'Monthly Growth'!D64*Assumptions!$E$23/1000000,0))))))))),0)</f>
        <v>0</v>
      </c>
      <c r="F2824" s="10" t="n">
        <f aca="false">Nonlabor!$J$8*(1+Assumptions!$E$9)^INT((C2824-1)/12)</f>
        <v>1286.844416</v>
      </c>
      <c r="G2824" s="10" t="n">
        <f aca="false">E2824*F2824</f>
        <v>0</v>
      </c>
      <c r="H2824" s="10" t="n">
        <f aca="false">IF(OR(Nonlabor!$L$8="Quote required",Nonlabor!$L$8="Unverified"),G2824,0)</f>
        <v>0</v>
      </c>
      <c r="I2824" s="10" t="n">
        <f aca="false">IF(Nonlabor!$E$8="Core",0,G2824)</f>
        <v>0</v>
      </c>
      <c r="J2824" s="23" t="str">
        <f aca="false">Nonlabor!$B$8</f>
        <v>INFRA</v>
      </c>
    </row>
    <row r="2825" customFormat="false" ht="15" hidden="false" customHeight="false" outlineLevel="0" collapsed="false">
      <c r="A2825" s="6" t="s">
        <v>73</v>
      </c>
      <c r="B2825" s="6" t="s">
        <v>376</v>
      </c>
      <c r="C2825" s="6" t="n">
        <v>60</v>
      </c>
      <c r="D2825" s="25" t="n">
        <f aca="false">EDATE('Start Here'!$B$6,C2825-1)</f>
        <v>48122</v>
      </c>
      <c r="E2825" s="23" t="n">
        <f aca="false">IF(AND(OR(Nonlabor!$D$8="Both",Nonlabor!$D$8='Start Here'!$B$9),IF(Nonlabor!$E$8="Core",1,IF(Nonlabor!$E$8="AI",'Start Here'!$B$7,'Start Here'!$B$8))=1,C2825&gt;=IF(Nonlabor!$E$8="Core",Nonlabor!$F$8,MAX(Nonlabor!$F$8,IF(Nonlabor!$E$8="AI",Assumptions!$E$24,Assumptions!$E$25))),C2825&lt;=Nonlabor!$G$8,OR(Nonlabor!$H$8="Monthly",AND(Nonlabor!$H$8="Once",C2825=IF(Nonlabor!$E$8="Core",Nonlabor!$F$8,MAX(Nonlabor!$F$8,IF(Nonlabor!$E$8="AI",Assumptions!$E$24,Assumptions!$E$25)))),AND(Nonlabor!$H$8="Annual",MOD(C2825-IF(Nonlabor!$E$8="Core",Nonlabor!$F$8,MAX(Nonlabor!$F$8,IF(Nonlabor!$E$8="AI",Assumptions!$E$24,Assumptions!$E$25))),12)=0))),IF(Nonlabor!$I$8="Fixed",1,IF(Nonlabor!$I$8="Seats",ROUNDUP('Monthly Growth'!I65,0),IF(Nonlabor!$I$8="Customers",'Monthly Growth'!D65,IF(Nonlabor!$I$8="NewCustomers",'Monthly Growth'!C65,IF(Nonlabor!$I$8="StorageGB",'Monthly Growth'!G65,IF(Nonlabor!$I$8="LogGB",'Monthly Growth'!H65,IF(Nonlabor!$I$8="RequestsM",'Monthly Growth'!F65,IF(Nonlabor!$I$8="InputM",'Monthly Growth'!D65*Assumptions!$E$22/1000000,IF(Nonlabor!$I$8="OutputM",'Monthly Growth'!D65*Assumptions!$E$23/1000000,0))))))))),0)</f>
        <v>0</v>
      </c>
      <c r="F2825" s="10" t="n">
        <f aca="false">Nonlabor!$J$8*(1+Assumptions!$E$9)^INT((C2825-1)/12)</f>
        <v>1286.844416</v>
      </c>
      <c r="G2825" s="10" t="n">
        <f aca="false">E2825*F2825</f>
        <v>0</v>
      </c>
      <c r="H2825" s="10" t="n">
        <f aca="false">IF(OR(Nonlabor!$L$8="Quote required",Nonlabor!$L$8="Unverified"),G2825,0)</f>
        <v>0</v>
      </c>
      <c r="I2825" s="10" t="n">
        <f aca="false">IF(Nonlabor!$E$8="Core",0,G2825)</f>
        <v>0</v>
      </c>
      <c r="J2825" s="23" t="str">
        <f aca="false">Nonlabor!$B$8</f>
        <v>INFRA</v>
      </c>
    </row>
    <row r="2826" customFormat="false" ht="15" hidden="false" customHeight="false" outlineLevel="0" collapsed="false">
      <c r="A2826" s="6" t="s">
        <v>73</v>
      </c>
      <c r="B2826" s="6" t="s">
        <v>379</v>
      </c>
      <c r="C2826" s="6" t="n">
        <v>1</v>
      </c>
      <c r="D2826" s="25" t="n">
        <f aca="false">EDATE('Start Here'!$B$6,C2826-1)</f>
        <v>46327</v>
      </c>
      <c r="E2826" s="23" t="n">
        <f aca="false">IF(AND(OR(Nonlabor!$D$9="Both",Nonlabor!$D$9='Start Here'!$B$9),IF(Nonlabor!$E$9="Core",1,IF(Nonlabor!$E$9="AI",'Start Here'!$B$7,'Start Here'!$B$8))=1,C2826&gt;=IF(Nonlabor!$E$9="Core",Nonlabor!$F$9,MAX(Nonlabor!$F$9,IF(Nonlabor!$E$9="AI",Assumptions!$E$24,Assumptions!$E$25))),C2826&lt;=Nonlabor!$G$9,OR(Nonlabor!$H$9="Monthly",AND(Nonlabor!$H$9="Once",C2826=IF(Nonlabor!$E$9="Core",Nonlabor!$F$9,MAX(Nonlabor!$F$9,IF(Nonlabor!$E$9="AI",Assumptions!$E$24,Assumptions!$E$25)))),AND(Nonlabor!$H$9="Annual",MOD(C2826-IF(Nonlabor!$E$9="Core",Nonlabor!$F$9,MAX(Nonlabor!$F$9,IF(Nonlabor!$E$9="AI",Assumptions!$E$24,Assumptions!$E$25))),12)=0))),IF(Nonlabor!$I$9="Fixed",1,IF(Nonlabor!$I$9="Seats",ROUNDUP('Monthly Growth'!I6,0),IF(Nonlabor!$I$9="Customers",'Monthly Growth'!D6,IF(Nonlabor!$I$9="NewCustomers",'Monthly Growth'!C6,IF(Nonlabor!$I$9="StorageGB",'Monthly Growth'!G6,IF(Nonlabor!$I$9="LogGB",'Monthly Growth'!H6,IF(Nonlabor!$I$9="RequestsM",'Monthly Growth'!F6,IF(Nonlabor!$I$9="InputM",'Monthly Growth'!D6*Assumptions!$E$22/1000000,IF(Nonlabor!$I$9="OutputM",'Monthly Growth'!D6*Assumptions!$E$23/1000000,0))))))))),0)</f>
        <v>1</v>
      </c>
      <c r="F2826" s="10" t="n">
        <f aca="false">Nonlabor!$J$9*(1+Assumptions!$E$9)^INT((C2826-1)/12)</f>
        <v>250</v>
      </c>
      <c r="G2826" s="10" t="n">
        <f aca="false">E2826*F2826</f>
        <v>250</v>
      </c>
      <c r="H2826" s="10" t="n">
        <f aca="false">IF(OR(Nonlabor!$L$9="Quote required",Nonlabor!$L$9="Unverified"),G2826,0)</f>
        <v>250</v>
      </c>
      <c r="I2826" s="10" t="n">
        <f aca="false">IF(Nonlabor!$E$9="Core",0,G2826)</f>
        <v>0</v>
      </c>
      <c r="J2826" s="23" t="str">
        <f aca="false">Nonlabor!$B$9</f>
        <v>INFRA</v>
      </c>
    </row>
    <row r="2827" customFormat="false" ht="15" hidden="false" customHeight="false" outlineLevel="0" collapsed="false">
      <c r="A2827" s="6" t="s">
        <v>73</v>
      </c>
      <c r="B2827" s="6" t="s">
        <v>379</v>
      </c>
      <c r="C2827" s="6" t="n">
        <v>2</v>
      </c>
      <c r="D2827" s="25" t="n">
        <f aca="false">EDATE('Start Here'!$B$6,C2827-1)</f>
        <v>46357</v>
      </c>
      <c r="E2827" s="23" t="n">
        <f aca="false">IF(AND(OR(Nonlabor!$D$9="Both",Nonlabor!$D$9='Start Here'!$B$9),IF(Nonlabor!$E$9="Core",1,IF(Nonlabor!$E$9="AI",'Start Here'!$B$7,'Start Here'!$B$8))=1,C2827&gt;=IF(Nonlabor!$E$9="Core",Nonlabor!$F$9,MAX(Nonlabor!$F$9,IF(Nonlabor!$E$9="AI",Assumptions!$E$24,Assumptions!$E$25))),C2827&lt;=Nonlabor!$G$9,OR(Nonlabor!$H$9="Monthly",AND(Nonlabor!$H$9="Once",C2827=IF(Nonlabor!$E$9="Core",Nonlabor!$F$9,MAX(Nonlabor!$F$9,IF(Nonlabor!$E$9="AI",Assumptions!$E$24,Assumptions!$E$25)))),AND(Nonlabor!$H$9="Annual",MOD(C2827-IF(Nonlabor!$E$9="Core",Nonlabor!$F$9,MAX(Nonlabor!$F$9,IF(Nonlabor!$E$9="AI",Assumptions!$E$24,Assumptions!$E$25))),12)=0))),IF(Nonlabor!$I$9="Fixed",1,IF(Nonlabor!$I$9="Seats",ROUNDUP('Monthly Growth'!I7,0),IF(Nonlabor!$I$9="Customers",'Monthly Growth'!D7,IF(Nonlabor!$I$9="NewCustomers",'Monthly Growth'!C7,IF(Nonlabor!$I$9="StorageGB",'Monthly Growth'!G7,IF(Nonlabor!$I$9="LogGB",'Monthly Growth'!H7,IF(Nonlabor!$I$9="RequestsM",'Monthly Growth'!F7,IF(Nonlabor!$I$9="InputM",'Monthly Growth'!D7*Assumptions!$E$22/1000000,IF(Nonlabor!$I$9="OutputM",'Monthly Growth'!D7*Assumptions!$E$23/1000000,0))))))))),0)</f>
        <v>1</v>
      </c>
      <c r="F2827" s="10" t="n">
        <f aca="false">Nonlabor!$J$9*(1+Assumptions!$E$9)^INT((C2827-1)/12)</f>
        <v>250</v>
      </c>
      <c r="G2827" s="10" t="n">
        <f aca="false">E2827*F2827</f>
        <v>250</v>
      </c>
      <c r="H2827" s="10" t="n">
        <f aca="false">IF(OR(Nonlabor!$L$9="Quote required",Nonlabor!$L$9="Unverified"),G2827,0)</f>
        <v>250</v>
      </c>
      <c r="I2827" s="10" t="n">
        <f aca="false">IF(Nonlabor!$E$9="Core",0,G2827)</f>
        <v>0</v>
      </c>
      <c r="J2827" s="23" t="str">
        <f aca="false">Nonlabor!$B$9</f>
        <v>INFRA</v>
      </c>
    </row>
    <row r="2828" customFormat="false" ht="15" hidden="false" customHeight="false" outlineLevel="0" collapsed="false">
      <c r="A2828" s="6" t="s">
        <v>73</v>
      </c>
      <c r="B2828" s="6" t="s">
        <v>379</v>
      </c>
      <c r="C2828" s="6" t="n">
        <v>3</v>
      </c>
      <c r="D2828" s="25" t="n">
        <f aca="false">EDATE('Start Here'!$B$6,C2828-1)</f>
        <v>46388</v>
      </c>
      <c r="E2828" s="23" t="n">
        <f aca="false">IF(AND(OR(Nonlabor!$D$9="Both",Nonlabor!$D$9='Start Here'!$B$9),IF(Nonlabor!$E$9="Core",1,IF(Nonlabor!$E$9="AI",'Start Here'!$B$7,'Start Here'!$B$8))=1,C2828&gt;=IF(Nonlabor!$E$9="Core",Nonlabor!$F$9,MAX(Nonlabor!$F$9,IF(Nonlabor!$E$9="AI",Assumptions!$E$24,Assumptions!$E$25))),C2828&lt;=Nonlabor!$G$9,OR(Nonlabor!$H$9="Monthly",AND(Nonlabor!$H$9="Once",C2828=IF(Nonlabor!$E$9="Core",Nonlabor!$F$9,MAX(Nonlabor!$F$9,IF(Nonlabor!$E$9="AI",Assumptions!$E$24,Assumptions!$E$25)))),AND(Nonlabor!$H$9="Annual",MOD(C2828-IF(Nonlabor!$E$9="Core",Nonlabor!$F$9,MAX(Nonlabor!$F$9,IF(Nonlabor!$E$9="AI",Assumptions!$E$24,Assumptions!$E$25))),12)=0))),IF(Nonlabor!$I$9="Fixed",1,IF(Nonlabor!$I$9="Seats",ROUNDUP('Monthly Growth'!I8,0),IF(Nonlabor!$I$9="Customers",'Monthly Growth'!D8,IF(Nonlabor!$I$9="NewCustomers",'Monthly Growth'!C8,IF(Nonlabor!$I$9="StorageGB",'Monthly Growth'!G8,IF(Nonlabor!$I$9="LogGB",'Monthly Growth'!H8,IF(Nonlabor!$I$9="RequestsM",'Monthly Growth'!F8,IF(Nonlabor!$I$9="InputM",'Monthly Growth'!D8*Assumptions!$E$22/1000000,IF(Nonlabor!$I$9="OutputM",'Monthly Growth'!D8*Assumptions!$E$23/1000000,0))))))))),0)</f>
        <v>1</v>
      </c>
      <c r="F2828" s="10" t="n">
        <f aca="false">Nonlabor!$J$9*(1+Assumptions!$E$9)^INT((C2828-1)/12)</f>
        <v>250</v>
      </c>
      <c r="G2828" s="10" t="n">
        <f aca="false">E2828*F2828</f>
        <v>250</v>
      </c>
      <c r="H2828" s="10" t="n">
        <f aca="false">IF(OR(Nonlabor!$L$9="Quote required",Nonlabor!$L$9="Unverified"),G2828,0)</f>
        <v>250</v>
      </c>
      <c r="I2828" s="10" t="n">
        <f aca="false">IF(Nonlabor!$E$9="Core",0,G2828)</f>
        <v>0</v>
      </c>
      <c r="J2828" s="23" t="str">
        <f aca="false">Nonlabor!$B$9</f>
        <v>INFRA</v>
      </c>
    </row>
    <row r="2829" customFormat="false" ht="15" hidden="false" customHeight="false" outlineLevel="0" collapsed="false">
      <c r="A2829" s="6" t="s">
        <v>73</v>
      </c>
      <c r="B2829" s="6" t="s">
        <v>379</v>
      </c>
      <c r="C2829" s="6" t="n">
        <v>4</v>
      </c>
      <c r="D2829" s="25" t="n">
        <f aca="false">EDATE('Start Here'!$B$6,C2829-1)</f>
        <v>46419</v>
      </c>
      <c r="E2829" s="23" t="n">
        <f aca="false">IF(AND(OR(Nonlabor!$D$9="Both",Nonlabor!$D$9='Start Here'!$B$9),IF(Nonlabor!$E$9="Core",1,IF(Nonlabor!$E$9="AI",'Start Here'!$B$7,'Start Here'!$B$8))=1,C2829&gt;=IF(Nonlabor!$E$9="Core",Nonlabor!$F$9,MAX(Nonlabor!$F$9,IF(Nonlabor!$E$9="AI",Assumptions!$E$24,Assumptions!$E$25))),C2829&lt;=Nonlabor!$G$9,OR(Nonlabor!$H$9="Monthly",AND(Nonlabor!$H$9="Once",C2829=IF(Nonlabor!$E$9="Core",Nonlabor!$F$9,MAX(Nonlabor!$F$9,IF(Nonlabor!$E$9="AI",Assumptions!$E$24,Assumptions!$E$25)))),AND(Nonlabor!$H$9="Annual",MOD(C2829-IF(Nonlabor!$E$9="Core",Nonlabor!$F$9,MAX(Nonlabor!$F$9,IF(Nonlabor!$E$9="AI",Assumptions!$E$24,Assumptions!$E$25))),12)=0))),IF(Nonlabor!$I$9="Fixed",1,IF(Nonlabor!$I$9="Seats",ROUNDUP('Monthly Growth'!I9,0),IF(Nonlabor!$I$9="Customers",'Monthly Growth'!D9,IF(Nonlabor!$I$9="NewCustomers",'Monthly Growth'!C9,IF(Nonlabor!$I$9="StorageGB",'Monthly Growth'!G9,IF(Nonlabor!$I$9="LogGB",'Monthly Growth'!H9,IF(Nonlabor!$I$9="RequestsM",'Monthly Growth'!F9,IF(Nonlabor!$I$9="InputM",'Monthly Growth'!D9*Assumptions!$E$22/1000000,IF(Nonlabor!$I$9="OutputM",'Monthly Growth'!D9*Assumptions!$E$23/1000000,0))))))))),0)</f>
        <v>1</v>
      </c>
      <c r="F2829" s="10" t="n">
        <f aca="false">Nonlabor!$J$9*(1+Assumptions!$E$9)^INT((C2829-1)/12)</f>
        <v>250</v>
      </c>
      <c r="G2829" s="10" t="n">
        <f aca="false">E2829*F2829</f>
        <v>250</v>
      </c>
      <c r="H2829" s="10" t="n">
        <f aca="false">IF(OR(Nonlabor!$L$9="Quote required",Nonlabor!$L$9="Unverified"),G2829,0)</f>
        <v>250</v>
      </c>
      <c r="I2829" s="10" t="n">
        <f aca="false">IF(Nonlabor!$E$9="Core",0,G2829)</f>
        <v>0</v>
      </c>
      <c r="J2829" s="23" t="str">
        <f aca="false">Nonlabor!$B$9</f>
        <v>INFRA</v>
      </c>
    </row>
    <row r="2830" customFormat="false" ht="15" hidden="false" customHeight="false" outlineLevel="0" collapsed="false">
      <c r="A2830" s="6" t="s">
        <v>73</v>
      </c>
      <c r="B2830" s="6" t="s">
        <v>379</v>
      </c>
      <c r="C2830" s="6" t="n">
        <v>5</v>
      </c>
      <c r="D2830" s="25" t="n">
        <f aca="false">EDATE('Start Here'!$B$6,C2830-1)</f>
        <v>46447</v>
      </c>
      <c r="E2830" s="23" t="n">
        <f aca="false">IF(AND(OR(Nonlabor!$D$9="Both",Nonlabor!$D$9='Start Here'!$B$9),IF(Nonlabor!$E$9="Core",1,IF(Nonlabor!$E$9="AI",'Start Here'!$B$7,'Start Here'!$B$8))=1,C2830&gt;=IF(Nonlabor!$E$9="Core",Nonlabor!$F$9,MAX(Nonlabor!$F$9,IF(Nonlabor!$E$9="AI",Assumptions!$E$24,Assumptions!$E$25))),C2830&lt;=Nonlabor!$G$9,OR(Nonlabor!$H$9="Monthly",AND(Nonlabor!$H$9="Once",C2830=IF(Nonlabor!$E$9="Core",Nonlabor!$F$9,MAX(Nonlabor!$F$9,IF(Nonlabor!$E$9="AI",Assumptions!$E$24,Assumptions!$E$25)))),AND(Nonlabor!$H$9="Annual",MOD(C2830-IF(Nonlabor!$E$9="Core",Nonlabor!$F$9,MAX(Nonlabor!$F$9,IF(Nonlabor!$E$9="AI",Assumptions!$E$24,Assumptions!$E$25))),12)=0))),IF(Nonlabor!$I$9="Fixed",1,IF(Nonlabor!$I$9="Seats",ROUNDUP('Monthly Growth'!I10,0),IF(Nonlabor!$I$9="Customers",'Monthly Growth'!D10,IF(Nonlabor!$I$9="NewCustomers",'Monthly Growth'!C10,IF(Nonlabor!$I$9="StorageGB",'Monthly Growth'!G10,IF(Nonlabor!$I$9="LogGB",'Monthly Growth'!H10,IF(Nonlabor!$I$9="RequestsM",'Monthly Growth'!F10,IF(Nonlabor!$I$9="InputM",'Monthly Growth'!D10*Assumptions!$E$22/1000000,IF(Nonlabor!$I$9="OutputM",'Monthly Growth'!D10*Assumptions!$E$23/1000000,0))))))))),0)</f>
        <v>1</v>
      </c>
      <c r="F2830" s="10" t="n">
        <f aca="false">Nonlabor!$J$9*(1+Assumptions!$E$9)^INT((C2830-1)/12)</f>
        <v>250</v>
      </c>
      <c r="G2830" s="10" t="n">
        <f aca="false">E2830*F2830</f>
        <v>250</v>
      </c>
      <c r="H2830" s="10" t="n">
        <f aca="false">IF(OR(Nonlabor!$L$9="Quote required",Nonlabor!$L$9="Unverified"),G2830,0)</f>
        <v>250</v>
      </c>
      <c r="I2830" s="10" t="n">
        <f aca="false">IF(Nonlabor!$E$9="Core",0,G2830)</f>
        <v>0</v>
      </c>
      <c r="J2830" s="23" t="str">
        <f aca="false">Nonlabor!$B$9</f>
        <v>INFRA</v>
      </c>
    </row>
    <row r="2831" customFormat="false" ht="15" hidden="false" customHeight="false" outlineLevel="0" collapsed="false">
      <c r="A2831" s="6" t="s">
        <v>73</v>
      </c>
      <c r="B2831" s="6" t="s">
        <v>379</v>
      </c>
      <c r="C2831" s="6" t="n">
        <v>6</v>
      </c>
      <c r="D2831" s="25" t="n">
        <f aca="false">EDATE('Start Here'!$B$6,C2831-1)</f>
        <v>46478</v>
      </c>
      <c r="E2831" s="23" t="n">
        <f aca="false">IF(AND(OR(Nonlabor!$D$9="Both",Nonlabor!$D$9='Start Here'!$B$9),IF(Nonlabor!$E$9="Core",1,IF(Nonlabor!$E$9="AI",'Start Here'!$B$7,'Start Here'!$B$8))=1,C2831&gt;=IF(Nonlabor!$E$9="Core",Nonlabor!$F$9,MAX(Nonlabor!$F$9,IF(Nonlabor!$E$9="AI",Assumptions!$E$24,Assumptions!$E$25))),C2831&lt;=Nonlabor!$G$9,OR(Nonlabor!$H$9="Monthly",AND(Nonlabor!$H$9="Once",C2831=IF(Nonlabor!$E$9="Core",Nonlabor!$F$9,MAX(Nonlabor!$F$9,IF(Nonlabor!$E$9="AI",Assumptions!$E$24,Assumptions!$E$25)))),AND(Nonlabor!$H$9="Annual",MOD(C2831-IF(Nonlabor!$E$9="Core",Nonlabor!$F$9,MAX(Nonlabor!$F$9,IF(Nonlabor!$E$9="AI",Assumptions!$E$24,Assumptions!$E$25))),12)=0))),IF(Nonlabor!$I$9="Fixed",1,IF(Nonlabor!$I$9="Seats",ROUNDUP('Monthly Growth'!I11,0),IF(Nonlabor!$I$9="Customers",'Monthly Growth'!D11,IF(Nonlabor!$I$9="NewCustomers",'Monthly Growth'!C11,IF(Nonlabor!$I$9="StorageGB",'Monthly Growth'!G11,IF(Nonlabor!$I$9="LogGB",'Monthly Growth'!H11,IF(Nonlabor!$I$9="RequestsM",'Monthly Growth'!F11,IF(Nonlabor!$I$9="InputM",'Monthly Growth'!D11*Assumptions!$E$22/1000000,IF(Nonlabor!$I$9="OutputM",'Monthly Growth'!D11*Assumptions!$E$23/1000000,0))))))))),0)</f>
        <v>1</v>
      </c>
      <c r="F2831" s="10" t="n">
        <f aca="false">Nonlabor!$J$9*(1+Assumptions!$E$9)^INT((C2831-1)/12)</f>
        <v>250</v>
      </c>
      <c r="G2831" s="10" t="n">
        <f aca="false">E2831*F2831</f>
        <v>250</v>
      </c>
      <c r="H2831" s="10" t="n">
        <f aca="false">IF(OR(Nonlabor!$L$9="Quote required",Nonlabor!$L$9="Unverified"),G2831,0)</f>
        <v>250</v>
      </c>
      <c r="I2831" s="10" t="n">
        <f aca="false">IF(Nonlabor!$E$9="Core",0,G2831)</f>
        <v>0</v>
      </c>
      <c r="J2831" s="23" t="str">
        <f aca="false">Nonlabor!$B$9</f>
        <v>INFRA</v>
      </c>
    </row>
    <row r="2832" customFormat="false" ht="15" hidden="false" customHeight="false" outlineLevel="0" collapsed="false">
      <c r="A2832" s="6" t="s">
        <v>73</v>
      </c>
      <c r="B2832" s="6" t="s">
        <v>379</v>
      </c>
      <c r="C2832" s="6" t="n">
        <v>7</v>
      </c>
      <c r="D2832" s="25" t="n">
        <f aca="false">EDATE('Start Here'!$B$6,C2832-1)</f>
        <v>46508</v>
      </c>
      <c r="E2832" s="23" t="n">
        <f aca="false">IF(AND(OR(Nonlabor!$D$9="Both",Nonlabor!$D$9='Start Here'!$B$9),IF(Nonlabor!$E$9="Core",1,IF(Nonlabor!$E$9="AI",'Start Here'!$B$7,'Start Here'!$B$8))=1,C2832&gt;=IF(Nonlabor!$E$9="Core",Nonlabor!$F$9,MAX(Nonlabor!$F$9,IF(Nonlabor!$E$9="AI",Assumptions!$E$24,Assumptions!$E$25))),C2832&lt;=Nonlabor!$G$9,OR(Nonlabor!$H$9="Monthly",AND(Nonlabor!$H$9="Once",C2832=IF(Nonlabor!$E$9="Core",Nonlabor!$F$9,MAX(Nonlabor!$F$9,IF(Nonlabor!$E$9="AI",Assumptions!$E$24,Assumptions!$E$25)))),AND(Nonlabor!$H$9="Annual",MOD(C2832-IF(Nonlabor!$E$9="Core",Nonlabor!$F$9,MAX(Nonlabor!$F$9,IF(Nonlabor!$E$9="AI",Assumptions!$E$24,Assumptions!$E$25))),12)=0))),IF(Nonlabor!$I$9="Fixed",1,IF(Nonlabor!$I$9="Seats",ROUNDUP('Monthly Growth'!I12,0),IF(Nonlabor!$I$9="Customers",'Monthly Growth'!D12,IF(Nonlabor!$I$9="NewCustomers",'Monthly Growth'!C12,IF(Nonlabor!$I$9="StorageGB",'Monthly Growth'!G12,IF(Nonlabor!$I$9="LogGB",'Monthly Growth'!H12,IF(Nonlabor!$I$9="RequestsM",'Monthly Growth'!F12,IF(Nonlabor!$I$9="InputM",'Monthly Growth'!D12*Assumptions!$E$22/1000000,IF(Nonlabor!$I$9="OutputM",'Monthly Growth'!D12*Assumptions!$E$23/1000000,0))))))))),0)</f>
        <v>1</v>
      </c>
      <c r="F2832" s="10" t="n">
        <f aca="false">Nonlabor!$J$9*(1+Assumptions!$E$9)^INT((C2832-1)/12)</f>
        <v>250</v>
      </c>
      <c r="G2832" s="10" t="n">
        <f aca="false">E2832*F2832</f>
        <v>250</v>
      </c>
      <c r="H2832" s="10" t="n">
        <f aca="false">IF(OR(Nonlabor!$L$9="Quote required",Nonlabor!$L$9="Unverified"),G2832,0)</f>
        <v>250</v>
      </c>
      <c r="I2832" s="10" t="n">
        <f aca="false">IF(Nonlabor!$E$9="Core",0,G2832)</f>
        <v>0</v>
      </c>
      <c r="J2832" s="23" t="str">
        <f aca="false">Nonlabor!$B$9</f>
        <v>INFRA</v>
      </c>
    </row>
    <row r="2833" customFormat="false" ht="15" hidden="false" customHeight="false" outlineLevel="0" collapsed="false">
      <c r="A2833" s="6" t="s">
        <v>73</v>
      </c>
      <c r="B2833" s="6" t="s">
        <v>379</v>
      </c>
      <c r="C2833" s="6" t="n">
        <v>8</v>
      </c>
      <c r="D2833" s="25" t="n">
        <f aca="false">EDATE('Start Here'!$B$6,C2833-1)</f>
        <v>46539</v>
      </c>
      <c r="E2833" s="23" t="n">
        <f aca="false">IF(AND(OR(Nonlabor!$D$9="Both",Nonlabor!$D$9='Start Here'!$B$9),IF(Nonlabor!$E$9="Core",1,IF(Nonlabor!$E$9="AI",'Start Here'!$B$7,'Start Here'!$B$8))=1,C2833&gt;=IF(Nonlabor!$E$9="Core",Nonlabor!$F$9,MAX(Nonlabor!$F$9,IF(Nonlabor!$E$9="AI",Assumptions!$E$24,Assumptions!$E$25))),C2833&lt;=Nonlabor!$G$9,OR(Nonlabor!$H$9="Monthly",AND(Nonlabor!$H$9="Once",C2833=IF(Nonlabor!$E$9="Core",Nonlabor!$F$9,MAX(Nonlabor!$F$9,IF(Nonlabor!$E$9="AI",Assumptions!$E$24,Assumptions!$E$25)))),AND(Nonlabor!$H$9="Annual",MOD(C2833-IF(Nonlabor!$E$9="Core",Nonlabor!$F$9,MAX(Nonlabor!$F$9,IF(Nonlabor!$E$9="AI",Assumptions!$E$24,Assumptions!$E$25))),12)=0))),IF(Nonlabor!$I$9="Fixed",1,IF(Nonlabor!$I$9="Seats",ROUNDUP('Monthly Growth'!I13,0),IF(Nonlabor!$I$9="Customers",'Monthly Growth'!D13,IF(Nonlabor!$I$9="NewCustomers",'Monthly Growth'!C13,IF(Nonlabor!$I$9="StorageGB",'Monthly Growth'!G13,IF(Nonlabor!$I$9="LogGB",'Monthly Growth'!H13,IF(Nonlabor!$I$9="RequestsM",'Monthly Growth'!F13,IF(Nonlabor!$I$9="InputM",'Monthly Growth'!D13*Assumptions!$E$22/1000000,IF(Nonlabor!$I$9="OutputM",'Monthly Growth'!D13*Assumptions!$E$23/1000000,0))))))))),0)</f>
        <v>1</v>
      </c>
      <c r="F2833" s="10" t="n">
        <f aca="false">Nonlabor!$J$9*(1+Assumptions!$E$9)^INT((C2833-1)/12)</f>
        <v>250</v>
      </c>
      <c r="G2833" s="10" t="n">
        <f aca="false">E2833*F2833</f>
        <v>250</v>
      </c>
      <c r="H2833" s="10" t="n">
        <f aca="false">IF(OR(Nonlabor!$L$9="Quote required",Nonlabor!$L$9="Unverified"),G2833,0)</f>
        <v>250</v>
      </c>
      <c r="I2833" s="10" t="n">
        <f aca="false">IF(Nonlabor!$E$9="Core",0,G2833)</f>
        <v>0</v>
      </c>
      <c r="J2833" s="23" t="str">
        <f aca="false">Nonlabor!$B$9</f>
        <v>INFRA</v>
      </c>
    </row>
    <row r="2834" customFormat="false" ht="15" hidden="false" customHeight="false" outlineLevel="0" collapsed="false">
      <c r="A2834" s="6" t="s">
        <v>73</v>
      </c>
      <c r="B2834" s="6" t="s">
        <v>379</v>
      </c>
      <c r="C2834" s="6" t="n">
        <v>9</v>
      </c>
      <c r="D2834" s="25" t="n">
        <f aca="false">EDATE('Start Here'!$B$6,C2834-1)</f>
        <v>46569</v>
      </c>
      <c r="E2834" s="23" t="n">
        <f aca="false">IF(AND(OR(Nonlabor!$D$9="Both",Nonlabor!$D$9='Start Here'!$B$9),IF(Nonlabor!$E$9="Core",1,IF(Nonlabor!$E$9="AI",'Start Here'!$B$7,'Start Here'!$B$8))=1,C2834&gt;=IF(Nonlabor!$E$9="Core",Nonlabor!$F$9,MAX(Nonlabor!$F$9,IF(Nonlabor!$E$9="AI",Assumptions!$E$24,Assumptions!$E$25))),C2834&lt;=Nonlabor!$G$9,OR(Nonlabor!$H$9="Monthly",AND(Nonlabor!$H$9="Once",C2834=IF(Nonlabor!$E$9="Core",Nonlabor!$F$9,MAX(Nonlabor!$F$9,IF(Nonlabor!$E$9="AI",Assumptions!$E$24,Assumptions!$E$25)))),AND(Nonlabor!$H$9="Annual",MOD(C2834-IF(Nonlabor!$E$9="Core",Nonlabor!$F$9,MAX(Nonlabor!$F$9,IF(Nonlabor!$E$9="AI",Assumptions!$E$24,Assumptions!$E$25))),12)=0))),IF(Nonlabor!$I$9="Fixed",1,IF(Nonlabor!$I$9="Seats",ROUNDUP('Monthly Growth'!I14,0),IF(Nonlabor!$I$9="Customers",'Monthly Growth'!D14,IF(Nonlabor!$I$9="NewCustomers",'Monthly Growth'!C14,IF(Nonlabor!$I$9="StorageGB",'Monthly Growth'!G14,IF(Nonlabor!$I$9="LogGB",'Monthly Growth'!H14,IF(Nonlabor!$I$9="RequestsM",'Monthly Growth'!F14,IF(Nonlabor!$I$9="InputM",'Monthly Growth'!D14*Assumptions!$E$22/1000000,IF(Nonlabor!$I$9="OutputM",'Monthly Growth'!D14*Assumptions!$E$23/1000000,0))))))))),0)</f>
        <v>1</v>
      </c>
      <c r="F2834" s="10" t="n">
        <f aca="false">Nonlabor!$J$9*(1+Assumptions!$E$9)^INT((C2834-1)/12)</f>
        <v>250</v>
      </c>
      <c r="G2834" s="10" t="n">
        <f aca="false">E2834*F2834</f>
        <v>250</v>
      </c>
      <c r="H2834" s="10" t="n">
        <f aca="false">IF(OR(Nonlabor!$L$9="Quote required",Nonlabor!$L$9="Unverified"),G2834,0)</f>
        <v>250</v>
      </c>
      <c r="I2834" s="10" t="n">
        <f aca="false">IF(Nonlabor!$E$9="Core",0,G2834)</f>
        <v>0</v>
      </c>
      <c r="J2834" s="23" t="str">
        <f aca="false">Nonlabor!$B$9</f>
        <v>INFRA</v>
      </c>
    </row>
    <row r="2835" customFormat="false" ht="15" hidden="false" customHeight="false" outlineLevel="0" collapsed="false">
      <c r="A2835" s="6" t="s">
        <v>73</v>
      </c>
      <c r="B2835" s="6" t="s">
        <v>379</v>
      </c>
      <c r="C2835" s="6" t="n">
        <v>10</v>
      </c>
      <c r="D2835" s="25" t="n">
        <f aca="false">EDATE('Start Here'!$B$6,C2835-1)</f>
        <v>46600</v>
      </c>
      <c r="E2835" s="23" t="n">
        <f aca="false">IF(AND(OR(Nonlabor!$D$9="Both",Nonlabor!$D$9='Start Here'!$B$9),IF(Nonlabor!$E$9="Core",1,IF(Nonlabor!$E$9="AI",'Start Here'!$B$7,'Start Here'!$B$8))=1,C2835&gt;=IF(Nonlabor!$E$9="Core",Nonlabor!$F$9,MAX(Nonlabor!$F$9,IF(Nonlabor!$E$9="AI",Assumptions!$E$24,Assumptions!$E$25))),C2835&lt;=Nonlabor!$G$9,OR(Nonlabor!$H$9="Monthly",AND(Nonlabor!$H$9="Once",C2835=IF(Nonlabor!$E$9="Core",Nonlabor!$F$9,MAX(Nonlabor!$F$9,IF(Nonlabor!$E$9="AI",Assumptions!$E$24,Assumptions!$E$25)))),AND(Nonlabor!$H$9="Annual",MOD(C2835-IF(Nonlabor!$E$9="Core",Nonlabor!$F$9,MAX(Nonlabor!$F$9,IF(Nonlabor!$E$9="AI",Assumptions!$E$24,Assumptions!$E$25))),12)=0))),IF(Nonlabor!$I$9="Fixed",1,IF(Nonlabor!$I$9="Seats",ROUNDUP('Monthly Growth'!I15,0),IF(Nonlabor!$I$9="Customers",'Monthly Growth'!D15,IF(Nonlabor!$I$9="NewCustomers",'Monthly Growth'!C15,IF(Nonlabor!$I$9="StorageGB",'Monthly Growth'!G15,IF(Nonlabor!$I$9="LogGB",'Monthly Growth'!H15,IF(Nonlabor!$I$9="RequestsM",'Monthly Growth'!F15,IF(Nonlabor!$I$9="InputM",'Monthly Growth'!D15*Assumptions!$E$22/1000000,IF(Nonlabor!$I$9="OutputM",'Monthly Growth'!D15*Assumptions!$E$23/1000000,0))))))))),0)</f>
        <v>1</v>
      </c>
      <c r="F2835" s="10" t="n">
        <f aca="false">Nonlabor!$J$9*(1+Assumptions!$E$9)^INT((C2835-1)/12)</f>
        <v>250</v>
      </c>
      <c r="G2835" s="10" t="n">
        <f aca="false">E2835*F2835</f>
        <v>250</v>
      </c>
      <c r="H2835" s="10" t="n">
        <f aca="false">IF(OR(Nonlabor!$L$9="Quote required",Nonlabor!$L$9="Unverified"),G2835,0)</f>
        <v>250</v>
      </c>
      <c r="I2835" s="10" t="n">
        <f aca="false">IF(Nonlabor!$E$9="Core",0,G2835)</f>
        <v>0</v>
      </c>
      <c r="J2835" s="23" t="str">
        <f aca="false">Nonlabor!$B$9</f>
        <v>INFRA</v>
      </c>
    </row>
    <row r="2836" customFormat="false" ht="15" hidden="false" customHeight="false" outlineLevel="0" collapsed="false">
      <c r="A2836" s="6" t="s">
        <v>73</v>
      </c>
      <c r="B2836" s="6" t="s">
        <v>379</v>
      </c>
      <c r="C2836" s="6" t="n">
        <v>11</v>
      </c>
      <c r="D2836" s="25" t="n">
        <f aca="false">EDATE('Start Here'!$B$6,C2836-1)</f>
        <v>46631</v>
      </c>
      <c r="E2836" s="23" t="n">
        <f aca="false">IF(AND(OR(Nonlabor!$D$9="Both",Nonlabor!$D$9='Start Here'!$B$9),IF(Nonlabor!$E$9="Core",1,IF(Nonlabor!$E$9="AI",'Start Here'!$B$7,'Start Here'!$B$8))=1,C2836&gt;=IF(Nonlabor!$E$9="Core",Nonlabor!$F$9,MAX(Nonlabor!$F$9,IF(Nonlabor!$E$9="AI",Assumptions!$E$24,Assumptions!$E$25))),C2836&lt;=Nonlabor!$G$9,OR(Nonlabor!$H$9="Monthly",AND(Nonlabor!$H$9="Once",C2836=IF(Nonlabor!$E$9="Core",Nonlabor!$F$9,MAX(Nonlabor!$F$9,IF(Nonlabor!$E$9="AI",Assumptions!$E$24,Assumptions!$E$25)))),AND(Nonlabor!$H$9="Annual",MOD(C2836-IF(Nonlabor!$E$9="Core",Nonlabor!$F$9,MAX(Nonlabor!$F$9,IF(Nonlabor!$E$9="AI",Assumptions!$E$24,Assumptions!$E$25))),12)=0))),IF(Nonlabor!$I$9="Fixed",1,IF(Nonlabor!$I$9="Seats",ROUNDUP('Monthly Growth'!I16,0),IF(Nonlabor!$I$9="Customers",'Monthly Growth'!D16,IF(Nonlabor!$I$9="NewCustomers",'Monthly Growth'!C16,IF(Nonlabor!$I$9="StorageGB",'Monthly Growth'!G16,IF(Nonlabor!$I$9="LogGB",'Monthly Growth'!H16,IF(Nonlabor!$I$9="RequestsM",'Monthly Growth'!F16,IF(Nonlabor!$I$9="InputM",'Monthly Growth'!D16*Assumptions!$E$22/1000000,IF(Nonlabor!$I$9="OutputM",'Monthly Growth'!D16*Assumptions!$E$23/1000000,0))))))))),0)</f>
        <v>1</v>
      </c>
      <c r="F2836" s="10" t="n">
        <f aca="false">Nonlabor!$J$9*(1+Assumptions!$E$9)^INT((C2836-1)/12)</f>
        <v>250</v>
      </c>
      <c r="G2836" s="10" t="n">
        <f aca="false">E2836*F2836</f>
        <v>250</v>
      </c>
      <c r="H2836" s="10" t="n">
        <f aca="false">IF(OR(Nonlabor!$L$9="Quote required",Nonlabor!$L$9="Unverified"),G2836,0)</f>
        <v>250</v>
      </c>
      <c r="I2836" s="10" t="n">
        <f aca="false">IF(Nonlabor!$E$9="Core",0,G2836)</f>
        <v>0</v>
      </c>
      <c r="J2836" s="23" t="str">
        <f aca="false">Nonlabor!$B$9</f>
        <v>INFRA</v>
      </c>
    </row>
    <row r="2837" customFormat="false" ht="15" hidden="false" customHeight="false" outlineLevel="0" collapsed="false">
      <c r="A2837" s="6" t="s">
        <v>73</v>
      </c>
      <c r="B2837" s="6" t="s">
        <v>379</v>
      </c>
      <c r="C2837" s="6" t="n">
        <v>12</v>
      </c>
      <c r="D2837" s="25" t="n">
        <f aca="false">EDATE('Start Here'!$B$6,C2837-1)</f>
        <v>46661</v>
      </c>
      <c r="E2837" s="23" t="n">
        <f aca="false">IF(AND(OR(Nonlabor!$D$9="Both",Nonlabor!$D$9='Start Here'!$B$9),IF(Nonlabor!$E$9="Core",1,IF(Nonlabor!$E$9="AI",'Start Here'!$B$7,'Start Here'!$B$8))=1,C2837&gt;=IF(Nonlabor!$E$9="Core",Nonlabor!$F$9,MAX(Nonlabor!$F$9,IF(Nonlabor!$E$9="AI",Assumptions!$E$24,Assumptions!$E$25))),C2837&lt;=Nonlabor!$G$9,OR(Nonlabor!$H$9="Monthly",AND(Nonlabor!$H$9="Once",C2837=IF(Nonlabor!$E$9="Core",Nonlabor!$F$9,MAX(Nonlabor!$F$9,IF(Nonlabor!$E$9="AI",Assumptions!$E$24,Assumptions!$E$25)))),AND(Nonlabor!$H$9="Annual",MOD(C2837-IF(Nonlabor!$E$9="Core",Nonlabor!$F$9,MAX(Nonlabor!$F$9,IF(Nonlabor!$E$9="AI",Assumptions!$E$24,Assumptions!$E$25))),12)=0))),IF(Nonlabor!$I$9="Fixed",1,IF(Nonlabor!$I$9="Seats",ROUNDUP('Monthly Growth'!I17,0),IF(Nonlabor!$I$9="Customers",'Monthly Growth'!D17,IF(Nonlabor!$I$9="NewCustomers",'Monthly Growth'!C17,IF(Nonlabor!$I$9="StorageGB",'Monthly Growth'!G17,IF(Nonlabor!$I$9="LogGB",'Monthly Growth'!H17,IF(Nonlabor!$I$9="RequestsM",'Monthly Growth'!F17,IF(Nonlabor!$I$9="InputM",'Monthly Growth'!D17*Assumptions!$E$22/1000000,IF(Nonlabor!$I$9="OutputM",'Monthly Growth'!D17*Assumptions!$E$23/1000000,0))))))))),0)</f>
        <v>1</v>
      </c>
      <c r="F2837" s="10" t="n">
        <f aca="false">Nonlabor!$J$9*(1+Assumptions!$E$9)^INT((C2837-1)/12)</f>
        <v>250</v>
      </c>
      <c r="G2837" s="10" t="n">
        <f aca="false">E2837*F2837</f>
        <v>250</v>
      </c>
      <c r="H2837" s="10" t="n">
        <f aca="false">IF(OR(Nonlabor!$L$9="Quote required",Nonlabor!$L$9="Unverified"),G2837,0)</f>
        <v>250</v>
      </c>
      <c r="I2837" s="10" t="n">
        <f aca="false">IF(Nonlabor!$E$9="Core",0,G2837)</f>
        <v>0</v>
      </c>
      <c r="J2837" s="23" t="str">
        <f aca="false">Nonlabor!$B$9</f>
        <v>INFRA</v>
      </c>
    </row>
    <row r="2838" customFormat="false" ht="15" hidden="false" customHeight="false" outlineLevel="0" collapsed="false">
      <c r="A2838" s="6" t="s">
        <v>73</v>
      </c>
      <c r="B2838" s="6" t="s">
        <v>379</v>
      </c>
      <c r="C2838" s="6" t="n">
        <v>13</v>
      </c>
      <c r="D2838" s="25" t="n">
        <f aca="false">EDATE('Start Here'!$B$6,C2838-1)</f>
        <v>46692</v>
      </c>
      <c r="E2838" s="23" t="n">
        <f aca="false">IF(AND(OR(Nonlabor!$D$9="Both",Nonlabor!$D$9='Start Here'!$B$9),IF(Nonlabor!$E$9="Core",1,IF(Nonlabor!$E$9="AI",'Start Here'!$B$7,'Start Here'!$B$8))=1,C2838&gt;=IF(Nonlabor!$E$9="Core",Nonlabor!$F$9,MAX(Nonlabor!$F$9,IF(Nonlabor!$E$9="AI",Assumptions!$E$24,Assumptions!$E$25))),C2838&lt;=Nonlabor!$G$9,OR(Nonlabor!$H$9="Monthly",AND(Nonlabor!$H$9="Once",C2838=IF(Nonlabor!$E$9="Core",Nonlabor!$F$9,MAX(Nonlabor!$F$9,IF(Nonlabor!$E$9="AI",Assumptions!$E$24,Assumptions!$E$25)))),AND(Nonlabor!$H$9="Annual",MOD(C2838-IF(Nonlabor!$E$9="Core",Nonlabor!$F$9,MAX(Nonlabor!$F$9,IF(Nonlabor!$E$9="AI",Assumptions!$E$24,Assumptions!$E$25))),12)=0))),IF(Nonlabor!$I$9="Fixed",1,IF(Nonlabor!$I$9="Seats",ROUNDUP('Monthly Growth'!I18,0),IF(Nonlabor!$I$9="Customers",'Monthly Growth'!D18,IF(Nonlabor!$I$9="NewCustomers",'Monthly Growth'!C18,IF(Nonlabor!$I$9="StorageGB",'Monthly Growth'!G18,IF(Nonlabor!$I$9="LogGB",'Monthly Growth'!H18,IF(Nonlabor!$I$9="RequestsM",'Monthly Growth'!F18,IF(Nonlabor!$I$9="InputM",'Monthly Growth'!D18*Assumptions!$E$22/1000000,IF(Nonlabor!$I$9="OutputM",'Monthly Growth'!D18*Assumptions!$E$23/1000000,0))))))))),0)</f>
        <v>1</v>
      </c>
      <c r="F2838" s="10" t="n">
        <f aca="false">Nonlabor!$J$9*(1+Assumptions!$E$9)^INT((C2838-1)/12)</f>
        <v>260</v>
      </c>
      <c r="G2838" s="10" t="n">
        <f aca="false">E2838*F2838</f>
        <v>260</v>
      </c>
      <c r="H2838" s="10" t="n">
        <f aca="false">IF(OR(Nonlabor!$L$9="Quote required",Nonlabor!$L$9="Unverified"),G2838,0)</f>
        <v>260</v>
      </c>
      <c r="I2838" s="10" t="n">
        <f aca="false">IF(Nonlabor!$E$9="Core",0,G2838)</f>
        <v>0</v>
      </c>
      <c r="J2838" s="23" t="str">
        <f aca="false">Nonlabor!$B$9</f>
        <v>INFRA</v>
      </c>
    </row>
    <row r="2839" customFormat="false" ht="15" hidden="false" customHeight="false" outlineLevel="0" collapsed="false">
      <c r="A2839" s="6" t="s">
        <v>73</v>
      </c>
      <c r="B2839" s="6" t="s">
        <v>379</v>
      </c>
      <c r="C2839" s="6" t="n">
        <v>14</v>
      </c>
      <c r="D2839" s="25" t="n">
        <f aca="false">EDATE('Start Here'!$B$6,C2839-1)</f>
        <v>46722</v>
      </c>
      <c r="E2839" s="23" t="n">
        <f aca="false">IF(AND(OR(Nonlabor!$D$9="Both",Nonlabor!$D$9='Start Here'!$B$9),IF(Nonlabor!$E$9="Core",1,IF(Nonlabor!$E$9="AI",'Start Here'!$B$7,'Start Here'!$B$8))=1,C2839&gt;=IF(Nonlabor!$E$9="Core",Nonlabor!$F$9,MAX(Nonlabor!$F$9,IF(Nonlabor!$E$9="AI",Assumptions!$E$24,Assumptions!$E$25))),C2839&lt;=Nonlabor!$G$9,OR(Nonlabor!$H$9="Monthly",AND(Nonlabor!$H$9="Once",C2839=IF(Nonlabor!$E$9="Core",Nonlabor!$F$9,MAX(Nonlabor!$F$9,IF(Nonlabor!$E$9="AI",Assumptions!$E$24,Assumptions!$E$25)))),AND(Nonlabor!$H$9="Annual",MOD(C2839-IF(Nonlabor!$E$9="Core",Nonlabor!$F$9,MAX(Nonlabor!$F$9,IF(Nonlabor!$E$9="AI",Assumptions!$E$24,Assumptions!$E$25))),12)=0))),IF(Nonlabor!$I$9="Fixed",1,IF(Nonlabor!$I$9="Seats",ROUNDUP('Monthly Growth'!I19,0),IF(Nonlabor!$I$9="Customers",'Monthly Growth'!D19,IF(Nonlabor!$I$9="NewCustomers",'Monthly Growth'!C19,IF(Nonlabor!$I$9="StorageGB",'Monthly Growth'!G19,IF(Nonlabor!$I$9="LogGB",'Monthly Growth'!H19,IF(Nonlabor!$I$9="RequestsM",'Monthly Growth'!F19,IF(Nonlabor!$I$9="InputM",'Monthly Growth'!D19*Assumptions!$E$22/1000000,IF(Nonlabor!$I$9="OutputM",'Monthly Growth'!D19*Assumptions!$E$23/1000000,0))))))))),0)</f>
        <v>1</v>
      </c>
      <c r="F2839" s="10" t="n">
        <f aca="false">Nonlabor!$J$9*(1+Assumptions!$E$9)^INT((C2839-1)/12)</f>
        <v>260</v>
      </c>
      <c r="G2839" s="10" t="n">
        <f aca="false">E2839*F2839</f>
        <v>260</v>
      </c>
      <c r="H2839" s="10" t="n">
        <f aca="false">IF(OR(Nonlabor!$L$9="Quote required",Nonlabor!$L$9="Unverified"),G2839,0)</f>
        <v>260</v>
      </c>
      <c r="I2839" s="10" t="n">
        <f aca="false">IF(Nonlabor!$E$9="Core",0,G2839)</f>
        <v>0</v>
      </c>
      <c r="J2839" s="23" t="str">
        <f aca="false">Nonlabor!$B$9</f>
        <v>INFRA</v>
      </c>
    </row>
    <row r="2840" customFormat="false" ht="15" hidden="false" customHeight="false" outlineLevel="0" collapsed="false">
      <c r="A2840" s="6" t="s">
        <v>73</v>
      </c>
      <c r="B2840" s="6" t="s">
        <v>379</v>
      </c>
      <c r="C2840" s="6" t="n">
        <v>15</v>
      </c>
      <c r="D2840" s="25" t="n">
        <f aca="false">EDATE('Start Here'!$B$6,C2840-1)</f>
        <v>46753</v>
      </c>
      <c r="E2840" s="23" t="n">
        <f aca="false">IF(AND(OR(Nonlabor!$D$9="Both",Nonlabor!$D$9='Start Here'!$B$9),IF(Nonlabor!$E$9="Core",1,IF(Nonlabor!$E$9="AI",'Start Here'!$B$7,'Start Here'!$B$8))=1,C2840&gt;=IF(Nonlabor!$E$9="Core",Nonlabor!$F$9,MAX(Nonlabor!$F$9,IF(Nonlabor!$E$9="AI",Assumptions!$E$24,Assumptions!$E$25))),C2840&lt;=Nonlabor!$G$9,OR(Nonlabor!$H$9="Monthly",AND(Nonlabor!$H$9="Once",C2840=IF(Nonlabor!$E$9="Core",Nonlabor!$F$9,MAX(Nonlabor!$F$9,IF(Nonlabor!$E$9="AI",Assumptions!$E$24,Assumptions!$E$25)))),AND(Nonlabor!$H$9="Annual",MOD(C2840-IF(Nonlabor!$E$9="Core",Nonlabor!$F$9,MAX(Nonlabor!$F$9,IF(Nonlabor!$E$9="AI",Assumptions!$E$24,Assumptions!$E$25))),12)=0))),IF(Nonlabor!$I$9="Fixed",1,IF(Nonlabor!$I$9="Seats",ROUNDUP('Monthly Growth'!I20,0),IF(Nonlabor!$I$9="Customers",'Monthly Growth'!D20,IF(Nonlabor!$I$9="NewCustomers",'Monthly Growth'!C20,IF(Nonlabor!$I$9="StorageGB",'Monthly Growth'!G20,IF(Nonlabor!$I$9="LogGB",'Monthly Growth'!H20,IF(Nonlabor!$I$9="RequestsM",'Monthly Growth'!F20,IF(Nonlabor!$I$9="InputM",'Monthly Growth'!D20*Assumptions!$E$22/1000000,IF(Nonlabor!$I$9="OutputM",'Monthly Growth'!D20*Assumptions!$E$23/1000000,0))))))))),0)</f>
        <v>1</v>
      </c>
      <c r="F2840" s="10" t="n">
        <f aca="false">Nonlabor!$J$9*(1+Assumptions!$E$9)^INT((C2840-1)/12)</f>
        <v>260</v>
      </c>
      <c r="G2840" s="10" t="n">
        <f aca="false">E2840*F2840</f>
        <v>260</v>
      </c>
      <c r="H2840" s="10" t="n">
        <f aca="false">IF(OR(Nonlabor!$L$9="Quote required",Nonlabor!$L$9="Unverified"),G2840,0)</f>
        <v>260</v>
      </c>
      <c r="I2840" s="10" t="n">
        <f aca="false">IF(Nonlabor!$E$9="Core",0,G2840)</f>
        <v>0</v>
      </c>
      <c r="J2840" s="23" t="str">
        <f aca="false">Nonlabor!$B$9</f>
        <v>INFRA</v>
      </c>
    </row>
    <row r="2841" customFormat="false" ht="15" hidden="false" customHeight="false" outlineLevel="0" collapsed="false">
      <c r="A2841" s="6" t="s">
        <v>73</v>
      </c>
      <c r="B2841" s="6" t="s">
        <v>379</v>
      </c>
      <c r="C2841" s="6" t="n">
        <v>16</v>
      </c>
      <c r="D2841" s="25" t="n">
        <f aca="false">EDATE('Start Here'!$B$6,C2841-1)</f>
        <v>46784</v>
      </c>
      <c r="E2841" s="23" t="n">
        <f aca="false">IF(AND(OR(Nonlabor!$D$9="Both",Nonlabor!$D$9='Start Here'!$B$9),IF(Nonlabor!$E$9="Core",1,IF(Nonlabor!$E$9="AI",'Start Here'!$B$7,'Start Here'!$B$8))=1,C2841&gt;=IF(Nonlabor!$E$9="Core",Nonlabor!$F$9,MAX(Nonlabor!$F$9,IF(Nonlabor!$E$9="AI",Assumptions!$E$24,Assumptions!$E$25))),C2841&lt;=Nonlabor!$G$9,OR(Nonlabor!$H$9="Monthly",AND(Nonlabor!$H$9="Once",C2841=IF(Nonlabor!$E$9="Core",Nonlabor!$F$9,MAX(Nonlabor!$F$9,IF(Nonlabor!$E$9="AI",Assumptions!$E$24,Assumptions!$E$25)))),AND(Nonlabor!$H$9="Annual",MOD(C2841-IF(Nonlabor!$E$9="Core",Nonlabor!$F$9,MAX(Nonlabor!$F$9,IF(Nonlabor!$E$9="AI",Assumptions!$E$24,Assumptions!$E$25))),12)=0))),IF(Nonlabor!$I$9="Fixed",1,IF(Nonlabor!$I$9="Seats",ROUNDUP('Monthly Growth'!I21,0),IF(Nonlabor!$I$9="Customers",'Monthly Growth'!D21,IF(Nonlabor!$I$9="NewCustomers",'Monthly Growth'!C21,IF(Nonlabor!$I$9="StorageGB",'Monthly Growth'!G21,IF(Nonlabor!$I$9="LogGB",'Monthly Growth'!H21,IF(Nonlabor!$I$9="RequestsM",'Monthly Growth'!F21,IF(Nonlabor!$I$9="InputM",'Monthly Growth'!D21*Assumptions!$E$22/1000000,IF(Nonlabor!$I$9="OutputM",'Monthly Growth'!D21*Assumptions!$E$23/1000000,0))))))))),0)</f>
        <v>1</v>
      </c>
      <c r="F2841" s="10" t="n">
        <f aca="false">Nonlabor!$J$9*(1+Assumptions!$E$9)^INT((C2841-1)/12)</f>
        <v>260</v>
      </c>
      <c r="G2841" s="10" t="n">
        <f aca="false">E2841*F2841</f>
        <v>260</v>
      </c>
      <c r="H2841" s="10" t="n">
        <f aca="false">IF(OR(Nonlabor!$L$9="Quote required",Nonlabor!$L$9="Unverified"),G2841,0)</f>
        <v>260</v>
      </c>
      <c r="I2841" s="10" t="n">
        <f aca="false">IF(Nonlabor!$E$9="Core",0,G2841)</f>
        <v>0</v>
      </c>
      <c r="J2841" s="23" t="str">
        <f aca="false">Nonlabor!$B$9</f>
        <v>INFRA</v>
      </c>
    </row>
    <row r="2842" customFormat="false" ht="15" hidden="false" customHeight="false" outlineLevel="0" collapsed="false">
      <c r="A2842" s="6" t="s">
        <v>73</v>
      </c>
      <c r="B2842" s="6" t="s">
        <v>379</v>
      </c>
      <c r="C2842" s="6" t="n">
        <v>17</v>
      </c>
      <c r="D2842" s="25" t="n">
        <f aca="false">EDATE('Start Here'!$B$6,C2842-1)</f>
        <v>46813</v>
      </c>
      <c r="E2842" s="23" t="n">
        <f aca="false">IF(AND(OR(Nonlabor!$D$9="Both",Nonlabor!$D$9='Start Here'!$B$9),IF(Nonlabor!$E$9="Core",1,IF(Nonlabor!$E$9="AI",'Start Here'!$B$7,'Start Here'!$B$8))=1,C2842&gt;=IF(Nonlabor!$E$9="Core",Nonlabor!$F$9,MAX(Nonlabor!$F$9,IF(Nonlabor!$E$9="AI",Assumptions!$E$24,Assumptions!$E$25))),C2842&lt;=Nonlabor!$G$9,OR(Nonlabor!$H$9="Monthly",AND(Nonlabor!$H$9="Once",C2842=IF(Nonlabor!$E$9="Core",Nonlabor!$F$9,MAX(Nonlabor!$F$9,IF(Nonlabor!$E$9="AI",Assumptions!$E$24,Assumptions!$E$25)))),AND(Nonlabor!$H$9="Annual",MOD(C2842-IF(Nonlabor!$E$9="Core",Nonlabor!$F$9,MAX(Nonlabor!$F$9,IF(Nonlabor!$E$9="AI",Assumptions!$E$24,Assumptions!$E$25))),12)=0))),IF(Nonlabor!$I$9="Fixed",1,IF(Nonlabor!$I$9="Seats",ROUNDUP('Monthly Growth'!I22,0),IF(Nonlabor!$I$9="Customers",'Monthly Growth'!D22,IF(Nonlabor!$I$9="NewCustomers",'Monthly Growth'!C22,IF(Nonlabor!$I$9="StorageGB",'Monthly Growth'!G22,IF(Nonlabor!$I$9="LogGB",'Monthly Growth'!H22,IF(Nonlabor!$I$9="RequestsM",'Monthly Growth'!F22,IF(Nonlabor!$I$9="InputM",'Monthly Growth'!D22*Assumptions!$E$22/1000000,IF(Nonlabor!$I$9="OutputM",'Monthly Growth'!D22*Assumptions!$E$23/1000000,0))))))))),0)</f>
        <v>1</v>
      </c>
      <c r="F2842" s="10" t="n">
        <f aca="false">Nonlabor!$J$9*(1+Assumptions!$E$9)^INT((C2842-1)/12)</f>
        <v>260</v>
      </c>
      <c r="G2842" s="10" t="n">
        <f aca="false">E2842*F2842</f>
        <v>260</v>
      </c>
      <c r="H2842" s="10" t="n">
        <f aca="false">IF(OR(Nonlabor!$L$9="Quote required",Nonlabor!$L$9="Unverified"),G2842,0)</f>
        <v>260</v>
      </c>
      <c r="I2842" s="10" t="n">
        <f aca="false">IF(Nonlabor!$E$9="Core",0,G2842)</f>
        <v>0</v>
      </c>
      <c r="J2842" s="23" t="str">
        <f aca="false">Nonlabor!$B$9</f>
        <v>INFRA</v>
      </c>
    </row>
    <row r="2843" customFormat="false" ht="15" hidden="false" customHeight="false" outlineLevel="0" collapsed="false">
      <c r="A2843" s="6" t="s">
        <v>73</v>
      </c>
      <c r="B2843" s="6" t="s">
        <v>379</v>
      </c>
      <c r="C2843" s="6" t="n">
        <v>18</v>
      </c>
      <c r="D2843" s="25" t="n">
        <f aca="false">EDATE('Start Here'!$B$6,C2843-1)</f>
        <v>46844</v>
      </c>
      <c r="E2843" s="23" t="n">
        <f aca="false">IF(AND(OR(Nonlabor!$D$9="Both",Nonlabor!$D$9='Start Here'!$B$9),IF(Nonlabor!$E$9="Core",1,IF(Nonlabor!$E$9="AI",'Start Here'!$B$7,'Start Here'!$B$8))=1,C2843&gt;=IF(Nonlabor!$E$9="Core",Nonlabor!$F$9,MAX(Nonlabor!$F$9,IF(Nonlabor!$E$9="AI",Assumptions!$E$24,Assumptions!$E$25))),C2843&lt;=Nonlabor!$G$9,OR(Nonlabor!$H$9="Monthly",AND(Nonlabor!$H$9="Once",C2843=IF(Nonlabor!$E$9="Core",Nonlabor!$F$9,MAX(Nonlabor!$F$9,IF(Nonlabor!$E$9="AI",Assumptions!$E$24,Assumptions!$E$25)))),AND(Nonlabor!$H$9="Annual",MOD(C2843-IF(Nonlabor!$E$9="Core",Nonlabor!$F$9,MAX(Nonlabor!$F$9,IF(Nonlabor!$E$9="AI",Assumptions!$E$24,Assumptions!$E$25))),12)=0))),IF(Nonlabor!$I$9="Fixed",1,IF(Nonlabor!$I$9="Seats",ROUNDUP('Monthly Growth'!I23,0),IF(Nonlabor!$I$9="Customers",'Monthly Growth'!D23,IF(Nonlabor!$I$9="NewCustomers",'Monthly Growth'!C23,IF(Nonlabor!$I$9="StorageGB",'Monthly Growth'!G23,IF(Nonlabor!$I$9="LogGB",'Monthly Growth'!H23,IF(Nonlabor!$I$9="RequestsM",'Monthly Growth'!F23,IF(Nonlabor!$I$9="InputM",'Monthly Growth'!D23*Assumptions!$E$22/1000000,IF(Nonlabor!$I$9="OutputM",'Monthly Growth'!D23*Assumptions!$E$23/1000000,0))))))))),0)</f>
        <v>1</v>
      </c>
      <c r="F2843" s="10" t="n">
        <f aca="false">Nonlabor!$J$9*(1+Assumptions!$E$9)^INT((C2843-1)/12)</f>
        <v>260</v>
      </c>
      <c r="G2843" s="10" t="n">
        <f aca="false">E2843*F2843</f>
        <v>260</v>
      </c>
      <c r="H2843" s="10" t="n">
        <f aca="false">IF(OR(Nonlabor!$L$9="Quote required",Nonlabor!$L$9="Unverified"),G2843,0)</f>
        <v>260</v>
      </c>
      <c r="I2843" s="10" t="n">
        <f aca="false">IF(Nonlabor!$E$9="Core",0,G2843)</f>
        <v>0</v>
      </c>
      <c r="J2843" s="23" t="str">
        <f aca="false">Nonlabor!$B$9</f>
        <v>INFRA</v>
      </c>
    </row>
    <row r="2844" customFormat="false" ht="15" hidden="false" customHeight="false" outlineLevel="0" collapsed="false">
      <c r="A2844" s="6" t="s">
        <v>73</v>
      </c>
      <c r="B2844" s="6" t="s">
        <v>379</v>
      </c>
      <c r="C2844" s="6" t="n">
        <v>19</v>
      </c>
      <c r="D2844" s="25" t="n">
        <f aca="false">EDATE('Start Here'!$B$6,C2844-1)</f>
        <v>46874</v>
      </c>
      <c r="E2844" s="23" t="n">
        <f aca="false">IF(AND(OR(Nonlabor!$D$9="Both",Nonlabor!$D$9='Start Here'!$B$9),IF(Nonlabor!$E$9="Core",1,IF(Nonlabor!$E$9="AI",'Start Here'!$B$7,'Start Here'!$B$8))=1,C2844&gt;=IF(Nonlabor!$E$9="Core",Nonlabor!$F$9,MAX(Nonlabor!$F$9,IF(Nonlabor!$E$9="AI",Assumptions!$E$24,Assumptions!$E$25))),C2844&lt;=Nonlabor!$G$9,OR(Nonlabor!$H$9="Monthly",AND(Nonlabor!$H$9="Once",C2844=IF(Nonlabor!$E$9="Core",Nonlabor!$F$9,MAX(Nonlabor!$F$9,IF(Nonlabor!$E$9="AI",Assumptions!$E$24,Assumptions!$E$25)))),AND(Nonlabor!$H$9="Annual",MOD(C2844-IF(Nonlabor!$E$9="Core",Nonlabor!$F$9,MAX(Nonlabor!$F$9,IF(Nonlabor!$E$9="AI",Assumptions!$E$24,Assumptions!$E$25))),12)=0))),IF(Nonlabor!$I$9="Fixed",1,IF(Nonlabor!$I$9="Seats",ROUNDUP('Monthly Growth'!I24,0),IF(Nonlabor!$I$9="Customers",'Monthly Growth'!D24,IF(Nonlabor!$I$9="NewCustomers",'Monthly Growth'!C24,IF(Nonlabor!$I$9="StorageGB",'Monthly Growth'!G24,IF(Nonlabor!$I$9="LogGB",'Monthly Growth'!H24,IF(Nonlabor!$I$9="RequestsM",'Monthly Growth'!F24,IF(Nonlabor!$I$9="InputM",'Monthly Growth'!D24*Assumptions!$E$22/1000000,IF(Nonlabor!$I$9="OutputM",'Monthly Growth'!D24*Assumptions!$E$23/1000000,0))))))))),0)</f>
        <v>1</v>
      </c>
      <c r="F2844" s="10" t="n">
        <f aca="false">Nonlabor!$J$9*(1+Assumptions!$E$9)^INT((C2844-1)/12)</f>
        <v>260</v>
      </c>
      <c r="G2844" s="10" t="n">
        <f aca="false">E2844*F2844</f>
        <v>260</v>
      </c>
      <c r="H2844" s="10" t="n">
        <f aca="false">IF(OR(Nonlabor!$L$9="Quote required",Nonlabor!$L$9="Unverified"),G2844,0)</f>
        <v>260</v>
      </c>
      <c r="I2844" s="10" t="n">
        <f aca="false">IF(Nonlabor!$E$9="Core",0,G2844)</f>
        <v>0</v>
      </c>
      <c r="J2844" s="23" t="str">
        <f aca="false">Nonlabor!$B$9</f>
        <v>INFRA</v>
      </c>
    </row>
    <row r="2845" customFormat="false" ht="15" hidden="false" customHeight="false" outlineLevel="0" collapsed="false">
      <c r="A2845" s="6" t="s">
        <v>73</v>
      </c>
      <c r="B2845" s="6" t="s">
        <v>379</v>
      </c>
      <c r="C2845" s="6" t="n">
        <v>20</v>
      </c>
      <c r="D2845" s="25" t="n">
        <f aca="false">EDATE('Start Here'!$B$6,C2845-1)</f>
        <v>46905</v>
      </c>
      <c r="E2845" s="23" t="n">
        <f aca="false">IF(AND(OR(Nonlabor!$D$9="Both",Nonlabor!$D$9='Start Here'!$B$9),IF(Nonlabor!$E$9="Core",1,IF(Nonlabor!$E$9="AI",'Start Here'!$B$7,'Start Here'!$B$8))=1,C2845&gt;=IF(Nonlabor!$E$9="Core",Nonlabor!$F$9,MAX(Nonlabor!$F$9,IF(Nonlabor!$E$9="AI",Assumptions!$E$24,Assumptions!$E$25))),C2845&lt;=Nonlabor!$G$9,OR(Nonlabor!$H$9="Monthly",AND(Nonlabor!$H$9="Once",C2845=IF(Nonlabor!$E$9="Core",Nonlabor!$F$9,MAX(Nonlabor!$F$9,IF(Nonlabor!$E$9="AI",Assumptions!$E$24,Assumptions!$E$25)))),AND(Nonlabor!$H$9="Annual",MOD(C2845-IF(Nonlabor!$E$9="Core",Nonlabor!$F$9,MAX(Nonlabor!$F$9,IF(Nonlabor!$E$9="AI",Assumptions!$E$24,Assumptions!$E$25))),12)=0))),IF(Nonlabor!$I$9="Fixed",1,IF(Nonlabor!$I$9="Seats",ROUNDUP('Monthly Growth'!I25,0),IF(Nonlabor!$I$9="Customers",'Monthly Growth'!D25,IF(Nonlabor!$I$9="NewCustomers",'Monthly Growth'!C25,IF(Nonlabor!$I$9="StorageGB",'Monthly Growth'!G25,IF(Nonlabor!$I$9="LogGB",'Monthly Growth'!H25,IF(Nonlabor!$I$9="RequestsM",'Monthly Growth'!F25,IF(Nonlabor!$I$9="InputM",'Monthly Growth'!D25*Assumptions!$E$22/1000000,IF(Nonlabor!$I$9="OutputM",'Monthly Growth'!D25*Assumptions!$E$23/1000000,0))))))))),0)</f>
        <v>1</v>
      </c>
      <c r="F2845" s="10" t="n">
        <f aca="false">Nonlabor!$J$9*(1+Assumptions!$E$9)^INT((C2845-1)/12)</f>
        <v>260</v>
      </c>
      <c r="G2845" s="10" t="n">
        <f aca="false">E2845*F2845</f>
        <v>260</v>
      </c>
      <c r="H2845" s="10" t="n">
        <f aca="false">IF(OR(Nonlabor!$L$9="Quote required",Nonlabor!$L$9="Unverified"),G2845,0)</f>
        <v>260</v>
      </c>
      <c r="I2845" s="10" t="n">
        <f aca="false">IF(Nonlabor!$E$9="Core",0,G2845)</f>
        <v>0</v>
      </c>
      <c r="J2845" s="23" t="str">
        <f aca="false">Nonlabor!$B$9</f>
        <v>INFRA</v>
      </c>
    </row>
    <row r="2846" customFormat="false" ht="15" hidden="false" customHeight="false" outlineLevel="0" collapsed="false">
      <c r="A2846" s="6" t="s">
        <v>73</v>
      </c>
      <c r="B2846" s="6" t="s">
        <v>379</v>
      </c>
      <c r="C2846" s="6" t="n">
        <v>21</v>
      </c>
      <c r="D2846" s="25" t="n">
        <f aca="false">EDATE('Start Here'!$B$6,C2846-1)</f>
        <v>46935</v>
      </c>
      <c r="E2846" s="23" t="n">
        <f aca="false">IF(AND(OR(Nonlabor!$D$9="Both",Nonlabor!$D$9='Start Here'!$B$9),IF(Nonlabor!$E$9="Core",1,IF(Nonlabor!$E$9="AI",'Start Here'!$B$7,'Start Here'!$B$8))=1,C2846&gt;=IF(Nonlabor!$E$9="Core",Nonlabor!$F$9,MAX(Nonlabor!$F$9,IF(Nonlabor!$E$9="AI",Assumptions!$E$24,Assumptions!$E$25))),C2846&lt;=Nonlabor!$G$9,OR(Nonlabor!$H$9="Monthly",AND(Nonlabor!$H$9="Once",C2846=IF(Nonlabor!$E$9="Core",Nonlabor!$F$9,MAX(Nonlabor!$F$9,IF(Nonlabor!$E$9="AI",Assumptions!$E$24,Assumptions!$E$25)))),AND(Nonlabor!$H$9="Annual",MOD(C2846-IF(Nonlabor!$E$9="Core",Nonlabor!$F$9,MAX(Nonlabor!$F$9,IF(Nonlabor!$E$9="AI",Assumptions!$E$24,Assumptions!$E$25))),12)=0))),IF(Nonlabor!$I$9="Fixed",1,IF(Nonlabor!$I$9="Seats",ROUNDUP('Monthly Growth'!I26,0),IF(Nonlabor!$I$9="Customers",'Monthly Growth'!D26,IF(Nonlabor!$I$9="NewCustomers",'Monthly Growth'!C26,IF(Nonlabor!$I$9="StorageGB",'Monthly Growth'!G26,IF(Nonlabor!$I$9="LogGB",'Monthly Growth'!H26,IF(Nonlabor!$I$9="RequestsM",'Monthly Growth'!F26,IF(Nonlabor!$I$9="InputM",'Monthly Growth'!D26*Assumptions!$E$22/1000000,IF(Nonlabor!$I$9="OutputM",'Monthly Growth'!D26*Assumptions!$E$23/1000000,0))))))))),0)</f>
        <v>1</v>
      </c>
      <c r="F2846" s="10" t="n">
        <f aca="false">Nonlabor!$J$9*(1+Assumptions!$E$9)^INT((C2846-1)/12)</f>
        <v>260</v>
      </c>
      <c r="G2846" s="10" t="n">
        <f aca="false">E2846*F2846</f>
        <v>260</v>
      </c>
      <c r="H2846" s="10" t="n">
        <f aca="false">IF(OR(Nonlabor!$L$9="Quote required",Nonlabor!$L$9="Unverified"),G2846,0)</f>
        <v>260</v>
      </c>
      <c r="I2846" s="10" t="n">
        <f aca="false">IF(Nonlabor!$E$9="Core",0,G2846)</f>
        <v>0</v>
      </c>
      <c r="J2846" s="23" t="str">
        <f aca="false">Nonlabor!$B$9</f>
        <v>INFRA</v>
      </c>
    </row>
    <row r="2847" customFormat="false" ht="15" hidden="false" customHeight="false" outlineLevel="0" collapsed="false">
      <c r="A2847" s="6" t="s">
        <v>73</v>
      </c>
      <c r="B2847" s="6" t="s">
        <v>379</v>
      </c>
      <c r="C2847" s="6" t="n">
        <v>22</v>
      </c>
      <c r="D2847" s="25" t="n">
        <f aca="false">EDATE('Start Here'!$B$6,C2847-1)</f>
        <v>46966</v>
      </c>
      <c r="E2847" s="23" t="n">
        <f aca="false">IF(AND(OR(Nonlabor!$D$9="Both",Nonlabor!$D$9='Start Here'!$B$9),IF(Nonlabor!$E$9="Core",1,IF(Nonlabor!$E$9="AI",'Start Here'!$B$7,'Start Here'!$B$8))=1,C2847&gt;=IF(Nonlabor!$E$9="Core",Nonlabor!$F$9,MAX(Nonlabor!$F$9,IF(Nonlabor!$E$9="AI",Assumptions!$E$24,Assumptions!$E$25))),C2847&lt;=Nonlabor!$G$9,OR(Nonlabor!$H$9="Monthly",AND(Nonlabor!$H$9="Once",C2847=IF(Nonlabor!$E$9="Core",Nonlabor!$F$9,MAX(Nonlabor!$F$9,IF(Nonlabor!$E$9="AI",Assumptions!$E$24,Assumptions!$E$25)))),AND(Nonlabor!$H$9="Annual",MOD(C2847-IF(Nonlabor!$E$9="Core",Nonlabor!$F$9,MAX(Nonlabor!$F$9,IF(Nonlabor!$E$9="AI",Assumptions!$E$24,Assumptions!$E$25))),12)=0))),IF(Nonlabor!$I$9="Fixed",1,IF(Nonlabor!$I$9="Seats",ROUNDUP('Monthly Growth'!I27,0),IF(Nonlabor!$I$9="Customers",'Monthly Growth'!D27,IF(Nonlabor!$I$9="NewCustomers",'Monthly Growth'!C27,IF(Nonlabor!$I$9="StorageGB",'Monthly Growth'!G27,IF(Nonlabor!$I$9="LogGB",'Monthly Growth'!H27,IF(Nonlabor!$I$9="RequestsM",'Monthly Growth'!F27,IF(Nonlabor!$I$9="InputM",'Monthly Growth'!D27*Assumptions!$E$22/1000000,IF(Nonlabor!$I$9="OutputM",'Monthly Growth'!D27*Assumptions!$E$23/1000000,0))))))))),0)</f>
        <v>1</v>
      </c>
      <c r="F2847" s="10" t="n">
        <f aca="false">Nonlabor!$J$9*(1+Assumptions!$E$9)^INT((C2847-1)/12)</f>
        <v>260</v>
      </c>
      <c r="G2847" s="10" t="n">
        <f aca="false">E2847*F2847</f>
        <v>260</v>
      </c>
      <c r="H2847" s="10" t="n">
        <f aca="false">IF(OR(Nonlabor!$L$9="Quote required",Nonlabor!$L$9="Unverified"),G2847,0)</f>
        <v>260</v>
      </c>
      <c r="I2847" s="10" t="n">
        <f aca="false">IF(Nonlabor!$E$9="Core",0,G2847)</f>
        <v>0</v>
      </c>
      <c r="J2847" s="23" t="str">
        <f aca="false">Nonlabor!$B$9</f>
        <v>INFRA</v>
      </c>
    </row>
    <row r="2848" customFormat="false" ht="15" hidden="false" customHeight="false" outlineLevel="0" collapsed="false">
      <c r="A2848" s="6" t="s">
        <v>73</v>
      </c>
      <c r="B2848" s="6" t="s">
        <v>379</v>
      </c>
      <c r="C2848" s="6" t="n">
        <v>23</v>
      </c>
      <c r="D2848" s="25" t="n">
        <f aca="false">EDATE('Start Here'!$B$6,C2848-1)</f>
        <v>46997</v>
      </c>
      <c r="E2848" s="23" t="n">
        <f aca="false">IF(AND(OR(Nonlabor!$D$9="Both",Nonlabor!$D$9='Start Here'!$B$9),IF(Nonlabor!$E$9="Core",1,IF(Nonlabor!$E$9="AI",'Start Here'!$B$7,'Start Here'!$B$8))=1,C2848&gt;=IF(Nonlabor!$E$9="Core",Nonlabor!$F$9,MAX(Nonlabor!$F$9,IF(Nonlabor!$E$9="AI",Assumptions!$E$24,Assumptions!$E$25))),C2848&lt;=Nonlabor!$G$9,OR(Nonlabor!$H$9="Monthly",AND(Nonlabor!$H$9="Once",C2848=IF(Nonlabor!$E$9="Core",Nonlabor!$F$9,MAX(Nonlabor!$F$9,IF(Nonlabor!$E$9="AI",Assumptions!$E$24,Assumptions!$E$25)))),AND(Nonlabor!$H$9="Annual",MOD(C2848-IF(Nonlabor!$E$9="Core",Nonlabor!$F$9,MAX(Nonlabor!$F$9,IF(Nonlabor!$E$9="AI",Assumptions!$E$24,Assumptions!$E$25))),12)=0))),IF(Nonlabor!$I$9="Fixed",1,IF(Nonlabor!$I$9="Seats",ROUNDUP('Monthly Growth'!I28,0),IF(Nonlabor!$I$9="Customers",'Monthly Growth'!D28,IF(Nonlabor!$I$9="NewCustomers",'Monthly Growth'!C28,IF(Nonlabor!$I$9="StorageGB",'Monthly Growth'!G28,IF(Nonlabor!$I$9="LogGB",'Monthly Growth'!H28,IF(Nonlabor!$I$9="RequestsM",'Monthly Growth'!F28,IF(Nonlabor!$I$9="InputM",'Monthly Growth'!D28*Assumptions!$E$22/1000000,IF(Nonlabor!$I$9="OutputM",'Monthly Growth'!D28*Assumptions!$E$23/1000000,0))))))))),0)</f>
        <v>1</v>
      </c>
      <c r="F2848" s="10" t="n">
        <f aca="false">Nonlabor!$J$9*(1+Assumptions!$E$9)^INT((C2848-1)/12)</f>
        <v>260</v>
      </c>
      <c r="G2848" s="10" t="n">
        <f aca="false">E2848*F2848</f>
        <v>260</v>
      </c>
      <c r="H2848" s="10" t="n">
        <f aca="false">IF(OR(Nonlabor!$L$9="Quote required",Nonlabor!$L$9="Unverified"),G2848,0)</f>
        <v>260</v>
      </c>
      <c r="I2848" s="10" t="n">
        <f aca="false">IF(Nonlabor!$E$9="Core",0,G2848)</f>
        <v>0</v>
      </c>
      <c r="J2848" s="23" t="str">
        <f aca="false">Nonlabor!$B$9</f>
        <v>INFRA</v>
      </c>
    </row>
    <row r="2849" customFormat="false" ht="15" hidden="false" customHeight="false" outlineLevel="0" collapsed="false">
      <c r="A2849" s="6" t="s">
        <v>73</v>
      </c>
      <c r="B2849" s="6" t="s">
        <v>379</v>
      </c>
      <c r="C2849" s="6" t="n">
        <v>24</v>
      </c>
      <c r="D2849" s="25" t="n">
        <f aca="false">EDATE('Start Here'!$B$6,C2849-1)</f>
        <v>47027</v>
      </c>
      <c r="E2849" s="23" t="n">
        <f aca="false">IF(AND(OR(Nonlabor!$D$9="Both",Nonlabor!$D$9='Start Here'!$B$9),IF(Nonlabor!$E$9="Core",1,IF(Nonlabor!$E$9="AI",'Start Here'!$B$7,'Start Here'!$B$8))=1,C2849&gt;=IF(Nonlabor!$E$9="Core",Nonlabor!$F$9,MAX(Nonlabor!$F$9,IF(Nonlabor!$E$9="AI",Assumptions!$E$24,Assumptions!$E$25))),C2849&lt;=Nonlabor!$G$9,OR(Nonlabor!$H$9="Monthly",AND(Nonlabor!$H$9="Once",C2849=IF(Nonlabor!$E$9="Core",Nonlabor!$F$9,MAX(Nonlabor!$F$9,IF(Nonlabor!$E$9="AI",Assumptions!$E$24,Assumptions!$E$25)))),AND(Nonlabor!$H$9="Annual",MOD(C2849-IF(Nonlabor!$E$9="Core",Nonlabor!$F$9,MAX(Nonlabor!$F$9,IF(Nonlabor!$E$9="AI",Assumptions!$E$24,Assumptions!$E$25))),12)=0))),IF(Nonlabor!$I$9="Fixed",1,IF(Nonlabor!$I$9="Seats",ROUNDUP('Monthly Growth'!I29,0),IF(Nonlabor!$I$9="Customers",'Monthly Growth'!D29,IF(Nonlabor!$I$9="NewCustomers",'Monthly Growth'!C29,IF(Nonlabor!$I$9="StorageGB",'Monthly Growth'!G29,IF(Nonlabor!$I$9="LogGB",'Monthly Growth'!H29,IF(Nonlabor!$I$9="RequestsM",'Monthly Growth'!F29,IF(Nonlabor!$I$9="InputM",'Monthly Growth'!D29*Assumptions!$E$22/1000000,IF(Nonlabor!$I$9="OutputM",'Monthly Growth'!D29*Assumptions!$E$23/1000000,0))))))))),0)</f>
        <v>1</v>
      </c>
      <c r="F2849" s="10" t="n">
        <f aca="false">Nonlabor!$J$9*(1+Assumptions!$E$9)^INT((C2849-1)/12)</f>
        <v>260</v>
      </c>
      <c r="G2849" s="10" t="n">
        <f aca="false">E2849*F2849</f>
        <v>260</v>
      </c>
      <c r="H2849" s="10" t="n">
        <f aca="false">IF(OR(Nonlabor!$L$9="Quote required",Nonlabor!$L$9="Unverified"),G2849,0)</f>
        <v>260</v>
      </c>
      <c r="I2849" s="10" t="n">
        <f aca="false">IF(Nonlabor!$E$9="Core",0,G2849)</f>
        <v>0</v>
      </c>
      <c r="J2849" s="23" t="str">
        <f aca="false">Nonlabor!$B$9</f>
        <v>INFRA</v>
      </c>
    </row>
    <row r="2850" customFormat="false" ht="15" hidden="false" customHeight="false" outlineLevel="0" collapsed="false">
      <c r="A2850" s="6" t="s">
        <v>73</v>
      </c>
      <c r="B2850" s="6" t="s">
        <v>379</v>
      </c>
      <c r="C2850" s="6" t="n">
        <v>25</v>
      </c>
      <c r="D2850" s="25" t="n">
        <f aca="false">EDATE('Start Here'!$B$6,C2850-1)</f>
        <v>47058</v>
      </c>
      <c r="E2850" s="23" t="n">
        <f aca="false">IF(AND(OR(Nonlabor!$D$9="Both",Nonlabor!$D$9='Start Here'!$B$9),IF(Nonlabor!$E$9="Core",1,IF(Nonlabor!$E$9="AI",'Start Here'!$B$7,'Start Here'!$B$8))=1,C2850&gt;=IF(Nonlabor!$E$9="Core",Nonlabor!$F$9,MAX(Nonlabor!$F$9,IF(Nonlabor!$E$9="AI",Assumptions!$E$24,Assumptions!$E$25))),C2850&lt;=Nonlabor!$G$9,OR(Nonlabor!$H$9="Monthly",AND(Nonlabor!$H$9="Once",C2850=IF(Nonlabor!$E$9="Core",Nonlabor!$F$9,MAX(Nonlabor!$F$9,IF(Nonlabor!$E$9="AI",Assumptions!$E$24,Assumptions!$E$25)))),AND(Nonlabor!$H$9="Annual",MOD(C2850-IF(Nonlabor!$E$9="Core",Nonlabor!$F$9,MAX(Nonlabor!$F$9,IF(Nonlabor!$E$9="AI",Assumptions!$E$24,Assumptions!$E$25))),12)=0))),IF(Nonlabor!$I$9="Fixed",1,IF(Nonlabor!$I$9="Seats",ROUNDUP('Monthly Growth'!I30,0),IF(Nonlabor!$I$9="Customers",'Monthly Growth'!D30,IF(Nonlabor!$I$9="NewCustomers",'Monthly Growth'!C30,IF(Nonlabor!$I$9="StorageGB",'Monthly Growth'!G30,IF(Nonlabor!$I$9="LogGB",'Monthly Growth'!H30,IF(Nonlabor!$I$9="RequestsM",'Monthly Growth'!F30,IF(Nonlabor!$I$9="InputM",'Monthly Growth'!D30*Assumptions!$E$22/1000000,IF(Nonlabor!$I$9="OutputM",'Monthly Growth'!D30*Assumptions!$E$23/1000000,0))))))))),0)</f>
        <v>1</v>
      </c>
      <c r="F2850" s="10" t="n">
        <f aca="false">Nonlabor!$J$9*(1+Assumptions!$E$9)^INT((C2850-1)/12)</f>
        <v>270.4</v>
      </c>
      <c r="G2850" s="10" t="n">
        <f aca="false">E2850*F2850</f>
        <v>270.4</v>
      </c>
      <c r="H2850" s="10" t="n">
        <f aca="false">IF(OR(Nonlabor!$L$9="Quote required",Nonlabor!$L$9="Unverified"),G2850,0)</f>
        <v>270.4</v>
      </c>
      <c r="I2850" s="10" t="n">
        <f aca="false">IF(Nonlabor!$E$9="Core",0,G2850)</f>
        <v>0</v>
      </c>
      <c r="J2850" s="23" t="str">
        <f aca="false">Nonlabor!$B$9</f>
        <v>INFRA</v>
      </c>
    </row>
    <row r="2851" customFormat="false" ht="15" hidden="false" customHeight="false" outlineLevel="0" collapsed="false">
      <c r="A2851" s="6" t="s">
        <v>73</v>
      </c>
      <c r="B2851" s="6" t="s">
        <v>379</v>
      </c>
      <c r="C2851" s="6" t="n">
        <v>26</v>
      </c>
      <c r="D2851" s="25" t="n">
        <f aca="false">EDATE('Start Here'!$B$6,C2851-1)</f>
        <v>47088</v>
      </c>
      <c r="E2851" s="23" t="n">
        <f aca="false">IF(AND(OR(Nonlabor!$D$9="Both",Nonlabor!$D$9='Start Here'!$B$9),IF(Nonlabor!$E$9="Core",1,IF(Nonlabor!$E$9="AI",'Start Here'!$B$7,'Start Here'!$B$8))=1,C2851&gt;=IF(Nonlabor!$E$9="Core",Nonlabor!$F$9,MAX(Nonlabor!$F$9,IF(Nonlabor!$E$9="AI",Assumptions!$E$24,Assumptions!$E$25))),C2851&lt;=Nonlabor!$G$9,OR(Nonlabor!$H$9="Monthly",AND(Nonlabor!$H$9="Once",C2851=IF(Nonlabor!$E$9="Core",Nonlabor!$F$9,MAX(Nonlabor!$F$9,IF(Nonlabor!$E$9="AI",Assumptions!$E$24,Assumptions!$E$25)))),AND(Nonlabor!$H$9="Annual",MOD(C2851-IF(Nonlabor!$E$9="Core",Nonlabor!$F$9,MAX(Nonlabor!$F$9,IF(Nonlabor!$E$9="AI",Assumptions!$E$24,Assumptions!$E$25))),12)=0))),IF(Nonlabor!$I$9="Fixed",1,IF(Nonlabor!$I$9="Seats",ROUNDUP('Monthly Growth'!I31,0),IF(Nonlabor!$I$9="Customers",'Monthly Growth'!D31,IF(Nonlabor!$I$9="NewCustomers",'Monthly Growth'!C31,IF(Nonlabor!$I$9="StorageGB",'Monthly Growth'!G31,IF(Nonlabor!$I$9="LogGB",'Monthly Growth'!H31,IF(Nonlabor!$I$9="RequestsM",'Monthly Growth'!F31,IF(Nonlabor!$I$9="InputM",'Monthly Growth'!D31*Assumptions!$E$22/1000000,IF(Nonlabor!$I$9="OutputM",'Monthly Growth'!D31*Assumptions!$E$23/1000000,0))))))))),0)</f>
        <v>1</v>
      </c>
      <c r="F2851" s="10" t="n">
        <f aca="false">Nonlabor!$J$9*(1+Assumptions!$E$9)^INT((C2851-1)/12)</f>
        <v>270.4</v>
      </c>
      <c r="G2851" s="10" t="n">
        <f aca="false">E2851*F2851</f>
        <v>270.4</v>
      </c>
      <c r="H2851" s="10" t="n">
        <f aca="false">IF(OR(Nonlabor!$L$9="Quote required",Nonlabor!$L$9="Unverified"),G2851,0)</f>
        <v>270.4</v>
      </c>
      <c r="I2851" s="10" t="n">
        <f aca="false">IF(Nonlabor!$E$9="Core",0,G2851)</f>
        <v>0</v>
      </c>
      <c r="J2851" s="23" t="str">
        <f aca="false">Nonlabor!$B$9</f>
        <v>INFRA</v>
      </c>
    </row>
    <row r="2852" customFormat="false" ht="15" hidden="false" customHeight="false" outlineLevel="0" collapsed="false">
      <c r="A2852" s="6" t="s">
        <v>73</v>
      </c>
      <c r="B2852" s="6" t="s">
        <v>379</v>
      </c>
      <c r="C2852" s="6" t="n">
        <v>27</v>
      </c>
      <c r="D2852" s="25" t="n">
        <f aca="false">EDATE('Start Here'!$B$6,C2852-1)</f>
        <v>47119</v>
      </c>
      <c r="E2852" s="23" t="n">
        <f aca="false">IF(AND(OR(Nonlabor!$D$9="Both",Nonlabor!$D$9='Start Here'!$B$9),IF(Nonlabor!$E$9="Core",1,IF(Nonlabor!$E$9="AI",'Start Here'!$B$7,'Start Here'!$B$8))=1,C2852&gt;=IF(Nonlabor!$E$9="Core",Nonlabor!$F$9,MAX(Nonlabor!$F$9,IF(Nonlabor!$E$9="AI",Assumptions!$E$24,Assumptions!$E$25))),C2852&lt;=Nonlabor!$G$9,OR(Nonlabor!$H$9="Monthly",AND(Nonlabor!$H$9="Once",C2852=IF(Nonlabor!$E$9="Core",Nonlabor!$F$9,MAX(Nonlabor!$F$9,IF(Nonlabor!$E$9="AI",Assumptions!$E$24,Assumptions!$E$25)))),AND(Nonlabor!$H$9="Annual",MOD(C2852-IF(Nonlabor!$E$9="Core",Nonlabor!$F$9,MAX(Nonlabor!$F$9,IF(Nonlabor!$E$9="AI",Assumptions!$E$24,Assumptions!$E$25))),12)=0))),IF(Nonlabor!$I$9="Fixed",1,IF(Nonlabor!$I$9="Seats",ROUNDUP('Monthly Growth'!I32,0),IF(Nonlabor!$I$9="Customers",'Monthly Growth'!D32,IF(Nonlabor!$I$9="NewCustomers",'Monthly Growth'!C32,IF(Nonlabor!$I$9="StorageGB",'Monthly Growth'!G32,IF(Nonlabor!$I$9="LogGB",'Monthly Growth'!H32,IF(Nonlabor!$I$9="RequestsM",'Monthly Growth'!F32,IF(Nonlabor!$I$9="InputM",'Monthly Growth'!D32*Assumptions!$E$22/1000000,IF(Nonlabor!$I$9="OutputM",'Monthly Growth'!D32*Assumptions!$E$23/1000000,0))))))))),0)</f>
        <v>1</v>
      </c>
      <c r="F2852" s="10" t="n">
        <f aca="false">Nonlabor!$J$9*(1+Assumptions!$E$9)^INT((C2852-1)/12)</f>
        <v>270.4</v>
      </c>
      <c r="G2852" s="10" t="n">
        <f aca="false">E2852*F2852</f>
        <v>270.4</v>
      </c>
      <c r="H2852" s="10" t="n">
        <f aca="false">IF(OR(Nonlabor!$L$9="Quote required",Nonlabor!$L$9="Unverified"),G2852,0)</f>
        <v>270.4</v>
      </c>
      <c r="I2852" s="10" t="n">
        <f aca="false">IF(Nonlabor!$E$9="Core",0,G2852)</f>
        <v>0</v>
      </c>
      <c r="J2852" s="23" t="str">
        <f aca="false">Nonlabor!$B$9</f>
        <v>INFRA</v>
      </c>
    </row>
    <row r="2853" customFormat="false" ht="15" hidden="false" customHeight="false" outlineLevel="0" collapsed="false">
      <c r="A2853" s="6" t="s">
        <v>73</v>
      </c>
      <c r="B2853" s="6" t="s">
        <v>379</v>
      </c>
      <c r="C2853" s="6" t="n">
        <v>28</v>
      </c>
      <c r="D2853" s="25" t="n">
        <f aca="false">EDATE('Start Here'!$B$6,C2853-1)</f>
        <v>47150</v>
      </c>
      <c r="E2853" s="23" t="n">
        <f aca="false">IF(AND(OR(Nonlabor!$D$9="Both",Nonlabor!$D$9='Start Here'!$B$9),IF(Nonlabor!$E$9="Core",1,IF(Nonlabor!$E$9="AI",'Start Here'!$B$7,'Start Here'!$B$8))=1,C2853&gt;=IF(Nonlabor!$E$9="Core",Nonlabor!$F$9,MAX(Nonlabor!$F$9,IF(Nonlabor!$E$9="AI",Assumptions!$E$24,Assumptions!$E$25))),C2853&lt;=Nonlabor!$G$9,OR(Nonlabor!$H$9="Monthly",AND(Nonlabor!$H$9="Once",C2853=IF(Nonlabor!$E$9="Core",Nonlabor!$F$9,MAX(Nonlabor!$F$9,IF(Nonlabor!$E$9="AI",Assumptions!$E$24,Assumptions!$E$25)))),AND(Nonlabor!$H$9="Annual",MOD(C2853-IF(Nonlabor!$E$9="Core",Nonlabor!$F$9,MAX(Nonlabor!$F$9,IF(Nonlabor!$E$9="AI",Assumptions!$E$24,Assumptions!$E$25))),12)=0))),IF(Nonlabor!$I$9="Fixed",1,IF(Nonlabor!$I$9="Seats",ROUNDUP('Monthly Growth'!I33,0),IF(Nonlabor!$I$9="Customers",'Monthly Growth'!D33,IF(Nonlabor!$I$9="NewCustomers",'Monthly Growth'!C33,IF(Nonlabor!$I$9="StorageGB",'Monthly Growth'!G33,IF(Nonlabor!$I$9="LogGB",'Monthly Growth'!H33,IF(Nonlabor!$I$9="RequestsM",'Monthly Growth'!F33,IF(Nonlabor!$I$9="InputM",'Monthly Growth'!D33*Assumptions!$E$22/1000000,IF(Nonlabor!$I$9="OutputM",'Monthly Growth'!D33*Assumptions!$E$23/1000000,0))))))))),0)</f>
        <v>1</v>
      </c>
      <c r="F2853" s="10" t="n">
        <f aca="false">Nonlabor!$J$9*(1+Assumptions!$E$9)^INT((C2853-1)/12)</f>
        <v>270.4</v>
      </c>
      <c r="G2853" s="10" t="n">
        <f aca="false">E2853*F2853</f>
        <v>270.4</v>
      </c>
      <c r="H2853" s="10" t="n">
        <f aca="false">IF(OR(Nonlabor!$L$9="Quote required",Nonlabor!$L$9="Unverified"),G2853,0)</f>
        <v>270.4</v>
      </c>
      <c r="I2853" s="10" t="n">
        <f aca="false">IF(Nonlabor!$E$9="Core",0,G2853)</f>
        <v>0</v>
      </c>
      <c r="J2853" s="23" t="str">
        <f aca="false">Nonlabor!$B$9</f>
        <v>INFRA</v>
      </c>
    </row>
    <row r="2854" customFormat="false" ht="15" hidden="false" customHeight="false" outlineLevel="0" collapsed="false">
      <c r="A2854" s="6" t="s">
        <v>73</v>
      </c>
      <c r="B2854" s="6" t="s">
        <v>379</v>
      </c>
      <c r="C2854" s="6" t="n">
        <v>29</v>
      </c>
      <c r="D2854" s="25" t="n">
        <f aca="false">EDATE('Start Here'!$B$6,C2854-1)</f>
        <v>47178</v>
      </c>
      <c r="E2854" s="23" t="n">
        <f aca="false">IF(AND(OR(Nonlabor!$D$9="Both",Nonlabor!$D$9='Start Here'!$B$9),IF(Nonlabor!$E$9="Core",1,IF(Nonlabor!$E$9="AI",'Start Here'!$B$7,'Start Here'!$B$8))=1,C2854&gt;=IF(Nonlabor!$E$9="Core",Nonlabor!$F$9,MAX(Nonlabor!$F$9,IF(Nonlabor!$E$9="AI",Assumptions!$E$24,Assumptions!$E$25))),C2854&lt;=Nonlabor!$G$9,OR(Nonlabor!$H$9="Monthly",AND(Nonlabor!$H$9="Once",C2854=IF(Nonlabor!$E$9="Core",Nonlabor!$F$9,MAX(Nonlabor!$F$9,IF(Nonlabor!$E$9="AI",Assumptions!$E$24,Assumptions!$E$25)))),AND(Nonlabor!$H$9="Annual",MOD(C2854-IF(Nonlabor!$E$9="Core",Nonlabor!$F$9,MAX(Nonlabor!$F$9,IF(Nonlabor!$E$9="AI",Assumptions!$E$24,Assumptions!$E$25))),12)=0))),IF(Nonlabor!$I$9="Fixed",1,IF(Nonlabor!$I$9="Seats",ROUNDUP('Monthly Growth'!I34,0),IF(Nonlabor!$I$9="Customers",'Monthly Growth'!D34,IF(Nonlabor!$I$9="NewCustomers",'Monthly Growth'!C34,IF(Nonlabor!$I$9="StorageGB",'Monthly Growth'!G34,IF(Nonlabor!$I$9="LogGB",'Monthly Growth'!H34,IF(Nonlabor!$I$9="RequestsM",'Monthly Growth'!F34,IF(Nonlabor!$I$9="InputM",'Monthly Growth'!D34*Assumptions!$E$22/1000000,IF(Nonlabor!$I$9="OutputM",'Monthly Growth'!D34*Assumptions!$E$23/1000000,0))))))))),0)</f>
        <v>1</v>
      </c>
      <c r="F2854" s="10" t="n">
        <f aca="false">Nonlabor!$J$9*(1+Assumptions!$E$9)^INT((C2854-1)/12)</f>
        <v>270.4</v>
      </c>
      <c r="G2854" s="10" t="n">
        <f aca="false">E2854*F2854</f>
        <v>270.4</v>
      </c>
      <c r="H2854" s="10" t="n">
        <f aca="false">IF(OR(Nonlabor!$L$9="Quote required",Nonlabor!$L$9="Unverified"),G2854,0)</f>
        <v>270.4</v>
      </c>
      <c r="I2854" s="10" t="n">
        <f aca="false">IF(Nonlabor!$E$9="Core",0,G2854)</f>
        <v>0</v>
      </c>
      <c r="J2854" s="23" t="str">
        <f aca="false">Nonlabor!$B$9</f>
        <v>INFRA</v>
      </c>
    </row>
    <row r="2855" customFormat="false" ht="15" hidden="false" customHeight="false" outlineLevel="0" collapsed="false">
      <c r="A2855" s="6" t="s">
        <v>73</v>
      </c>
      <c r="B2855" s="6" t="s">
        <v>379</v>
      </c>
      <c r="C2855" s="6" t="n">
        <v>30</v>
      </c>
      <c r="D2855" s="25" t="n">
        <f aca="false">EDATE('Start Here'!$B$6,C2855-1)</f>
        <v>47209</v>
      </c>
      <c r="E2855" s="23" t="n">
        <f aca="false">IF(AND(OR(Nonlabor!$D$9="Both",Nonlabor!$D$9='Start Here'!$B$9),IF(Nonlabor!$E$9="Core",1,IF(Nonlabor!$E$9="AI",'Start Here'!$B$7,'Start Here'!$B$8))=1,C2855&gt;=IF(Nonlabor!$E$9="Core",Nonlabor!$F$9,MAX(Nonlabor!$F$9,IF(Nonlabor!$E$9="AI",Assumptions!$E$24,Assumptions!$E$25))),C2855&lt;=Nonlabor!$G$9,OR(Nonlabor!$H$9="Monthly",AND(Nonlabor!$H$9="Once",C2855=IF(Nonlabor!$E$9="Core",Nonlabor!$F$9,MAX(Nonlabor!$F$9,IF(Nonlabor!$E$9="AI",Assumptions!$E$24,Assumptions!$E$25)))),AND(Nonlabor!$H$9="Annual",MOD(C2855-IF(Nonlabor!$E$9="Core",Nonlabor!$F$9,MAX(Nonlabor!$F$9,IF(Nonlabor!$E$9="AI",Assumptions!$E$24,Assumptions!$E$25))),12)=0))),IF(Nonlabor!$I$9="Fixed",1,IF(Nonlabor!$I$9="Seats",ROUNDUP('Monthly Growth'!I35,0),IF(Nonlabor!$I$9="Customers",'Monthly Growth'!D35,IF(Nonlabor!$I$9="NewCustomers",'Monthly Growth'!C35,IF(Nonlabor!$I$9="StorageGB",'Monthly Growth'!G35,IF(Nonlabor!$I$9="LogGB",'Monthly Growth'!H35,IF(Nonlabor!$I$9="RequestsM",'Monthly Growth'!F35,IF(Nonlabor!$I$9="InputM",'Monthly Growth'!D35*Assumptions!$E$22/1000000,IF(Nonlabor!$I$9="OutputM",'Monthly Growth'!D35*Assumptions!$E$23/1000000,0))))))))),0)</f>
        <v>1</v>
      </c>
      <c r="F2855" s="10" t="n">
        <f aca="false">Nonlabor!$J$9*(1+Assumptions!$E$9)^INT((C2855-1)/12)</f>
        <v>270.4</v>
      </c>
      <c r="G2855" s="10" t="n">
        <f aca="false">E2855*F2855</f>
        <v>270.4</v>
      </c>
      <c r="H2855" s="10" t="n">
        <f aca="false">IF(OR(Nonlabor!$L$9="Quote required",Nonlabor!$L$9="Unverified"),G2855,0)</f>
        <v>270.4</v>
      </c>
      <c r="I2855" s="10" t="n">
        <f aca="false">IF(Nonlabor!$E$9="Core",0,G2855)</f>
        <v>0</v>
      </c>
      <c r="J2855" s="23" t="str">
        <f aca="false">Nonlabor!$B$9</f>
        <v>INFRA</v>
      </c>
    </row>
    <row r="2856" customFormat="false" ht="15" hidden="false" customHeight="false" outlineLevel="0" collapsed="false">
      <c r="A2856" s="6" t="s">
        <v>73</v>
      </c>
      <c r="B2856" s="6" t="s">
        <v>379</v>
      </c>
      <c r="C2856" s="6" t="n">
        <v>31</v>
      </c>
      <c r="D2856" s="25" t="n">
        <f aca="false">EDATE('Start Here'!$B$6,C2856-1)</f>
        <v>47239</v>
      </c>
      <c r="E2856" s="23" t="n">
        <f aca="false">IF(AND(OR(Nonlabor!$D$9="Both",Nonlabor!$D$9='Start Here'!$B$9),IF(Nonlabor!$E$9="Core",1,IF(Nonlabor!$E$9="AI",'Start Here'!$B$7,'Start Here'!$B$8))=1,C2856&gt;=IF(Nonlabor!$E$9="Core",Nonlabor!$F$9,MAX(Nonlabor!$F$9,IF(Nonlabor!$E$9="AI",Assumptions!$E$24,Assumptions!$E$25))),C2856&lt;=Nonlabor!$G$9,OR(Nonlabor!$H$9="Monthly",AND(Nonlabor!$H$9="Once",C2856=IF(Nonlabor!$E$9="Core",Nonlabor!$F$9,MAX(Nonlabor!$F$9,IF(Nonlabor!$E$9="AI",Assumptions!$E$24,Assumptions!$E$25)))),AND(Nonlabor!$H$9="Annual",MOD(C2856-IF(Nonlabor!$E$9="Core",Nonlabor!$F$9,MAX(Nonlabor!$F$9,IF(Nonlabor!$E$9="AI",Assumptions!$E$24,Assumptions!$E$25))),12)=0))),IF(Nonlabor!$I$9="Fixed",1,IF(Nonlabor!$I$9="Seats",ROUNDUP('Monthly Growth'!I36,0),IF(Nonlabor!$I$9="Customers",'Monthly Growth'!D36,IF(Nonlabor!$I$9="NewCustomers",'Monthly Growth'!C36,IF(Nonlabor!$I$9="StorageGB",'Monthly Growth'!G36,IF(Nonlabor!$I$9="LogGB",'Monthly Growth'!H36,IF(Nonlabor!$I$9="RequestsM",'Monthly Growth'!F36,IF(Nonlabor!$I$9="InputM",'Monthly Growth'!D36*Assumptions!$E$22/1000000,IF(Nonlabor!$I$9="OutputM",'Monthly Growth'!D36*Assumptions!$E$23/1000000,0))))))))),0)</f>
        <v>1</v>
      </c>
      <c r="F2856" s="10" t="n">
        <f aca="false">Nonlabor!$J$9*(1+Assumptions!$E$9)^INT((C2856-1)/12)</f>
        <v>270.4</v>
      </c>
      <c r="G2856" s="10" t="n">
        <f aca="false">E2856*F2856</f>
        <v>270.4</v>
      </c>
      <c r="H2856" s="10" t="n">
        <f aca="false">IF(OR(Nonlabor!$L$9="Quote required",Nonlabor!$L$9="Unverified"),G2856,0)</f>
        <v>270.4</v>
      </c>
      <c r="I2856" s="10" t="n">
        <f aca="false">IF(Nonlabor!$E$9="Core",0,G2856)</f>
        <v>0</v>
      </c>
      <c r="J2856" s="23" t="str">
        <f aca="false">Nonlabor!$B$9</f>
        <v>INFRA</v>
      </c>
    </row>
    <row r="2857" customFormat="false" ht="15" hidden="false" customHeight="false" outlineLevel="0" collapsed="false">
      <c r="A2857" s="6" t="s">
        <v>73</v>
      </c>
      <c r="B2857" s="6" t="s">
        <v>379</v>
      </c>
      <c r="C2857" s="6" t="n">
        <v>32</v>
      </c>
      <c r="D2857" s="25" t="n">
        <f aca="false">EDATE('Start Here'!$B$6,C2857-1)</f>
        <v>47270</v>
      </c>
      <c r="E2857" s="23" t="n">
        <f aca="false">IF(AND(OR(Nonlabor!$D$9="Both",Nonlabor!$D$9='Start Here'!$B$9),IF(Nonlabor!$E$9="Core",1,IF(Nonlabor!$E$9="AI",'Start Here'!$B$7,'Start Here'!$B$8))=1,C2857&gt;=IF(Nonlabor!$E$9="Core",Nonlabor!$F$9,MAX(Nonlabor!$F$9,IF(Nonlabor!$E$9="AI",Assumptions!$E$24,Assumptions!$E$25))),C2857&lt;=Nonlabor!$G$9,OR(Nonlabor!$H$9="Monthly",AND(Nonlabor!$H$9="Once",C2857=IF(Nonlabor!$E$9="Core",Nonlabor!$F$9,MAX(Nonlabor!$F$9,IF(Nonlabor!$E$9="AI",Assumptions!$E$24,Assumptions!$E$25)))),AND(Nonlabor!$H$9="Annual",MOD(C2857-IF(Nonlabor!$E$9="Core",Nonlabor!$F$9,MAX(Nonlabor!$F$9,IF(Nonlabor!$E$9="AI",Assumptions!$E$24,Assumptions!$E$25))),12)=0))),IF(Nonlabor!$I$9="Fixed",1,IF(Nonlabor!$I$9="Seats",ROUNDUP('Monthly Growth'!I37,0),IF(Nonlabor!$I$9="Customers",'Monthly Growth'!D37,IF(Nonlabor!$I$9="NewCustomers",'Monthly Growth'!C37,IF(Nonlabor!$I$9="StorageGB",'Monthly Growth'!G37,IF(Nonlabor!$I$9="LogGB",'Monthly Growth'!H37,IF(Nonlabor!$I$9="RequestsM",'Monthly Growth'!F37,IF(Nonlabor!$I$9="InputM",'Monthly Growth'!D37*Assumptions!$E$22/1000000,IF(Nonlabor!$I$9="OutputM",'Monthly Growth'!D37*Assumptions!$E$23/1000000,0))))))))),0)</f>
        <v>1</v>
      </c>
      <c r="F2857" s="10" t="n">
        <f aca="false">Nonlabor!$J$9*(1+Assumptions!$E$9)^INT((C2857-1)/12)</f>
        <v>270.4</v>
      </c>
      <c r="G2857" s="10" t="n">
        <f aca="false">E2857*F2857</f>
        <v>270.4</v>
      </c>
      <c r="H2857" s="10" t="n">
        <f aca="false">IF(OR(Nonlabor!$L$9="Quote required",Nonlabor!$L$9="Unverified"),G2857,0)</f>
        <v>270.4</v>
      </c>
      <c r="I2857" s="10" t="n">
        <f aca="false">IF(Nonlabor!$E$9="Core",0,G2857)</f>
        <v>0</v>
      </c>
      <c r="J2857" s="23" t="str">
        <f aca="false">Nonlabor!$B$9</f>
        <v>INFRA</v>
      </c>
    </row>
    <row r="2858" customFormat="false" ht="15" hidden="false" customHeight="false" outlineLevel="0" collapsed="false">
      <c r="A2858" s="6" t="s">
        <v>73</v>
      </c>
      <c r="B2858" s="6" t="s">
        <v>379</v>
      </c>
      <c r="C2858" s="6" t="n">
        <v>33</v>
      </c>
      <c r="D2858" s="25" t="n">
        <f aca="false">EDATE('Start Here'!$B$6,C2858-1)</f>
        <v>47300</v>
      </c>
      <c r="E2858" s="23" t="n">
        <f aca="false">IF(AND(OR(Nonlabor!$D$9="Both",Nonlabor!$D$9='Start Here'!$B$9),IF(Nonlabor!$E$9="Core",1,IF(Nonlabor!$E$9="AI",'Start Here'!$B$7,'Start Here'!$B$8))=1,C2858&gt;=IF(Nonlabor!$E$9="Core",Nonlabor!$F$9,MAX(Nonlabor!$F$9,IF(Nonlabor!$E$9="AI",Assumptions!$E$24,Assumptions!$E$25))),C2858&lt;=Nonlabor!$G$9,OR(Nonlabor!$H$9="Monthly",AND(Nonlabor!$H$9="Once",C2858=IF(Nonlabor!$E$9="Core",Nonlabor!$F$9,MAX(Nonlabor!$F$9,IF(Nonlabor!$E$9="AI",Assumptions!$E$24,Assumptions!$E$25)))),AND(Nonlabor!$H$9="Annual",MOD(C2858-IF(Nonlabor!$E$9="Core",Nonlabor!$F$9,MAX(Nonlabor!$F$9,IF(Nonlabor!$E$9="AI",Assumptions!$E$24,Assumptions!$E$25))),12)=0))),IF(Nonlabor!$I$9="Fixed",1,IF(Nonlabor!$I$9="Seats",ROUNDUP('Monthly Growth'!I38,0),IF(Nonlabor!$I$9="Customers",'Monthly Growth'!D38,IF(Nonlabor!$I$9="NewCustomers",'Monthly Growth'!C38,IF(Nonlabor!$I$9="StorageGB",'Monthly Growth'!G38,IF(Nonlabor!$I$9="LogGB",'Monthly Growth'!H38,IF(Nonlabor!$I$9="RequestsM",'Monthly Growth'!F38,IF(Nonlabor!$I$9="InputM",'Monthly Growth'!D38*Assumptions!$E$22/1000000,IF(Nonlabor!$I$9="OutputM",'Monthly Growth'!D38*Assumptions!$E$23/1000000,0))))))))),0)</f>
        <v>1</v>
      </c>
      <c r="F2858" s="10" t="n">
        <f aca="false">Nonlabor!$J$9*(1+Assumptions!$E$9)^INT((C2858-1)/12)</f>
        <v>270.4</v>
      </c>
      <c r="G2858" s="10" t="n">
        <f aca="false">E2858*F2858</f>
        <v>270.4</v>
      </c>
      <c r="H2858" s="10" t="n">
        <f aca="false">IF(OR(Nonlabor!$L$9="Quote required",Nonlabor!$L$9="Unverified"),G2858,0)</f>
        <v>270.4</v>
      </c>
      <c r="I2858" s="10" t="n">
        <f aca="false">IF(Nonlabor!$E$9="Core",0,G2858)</f>
        <v>0</v>
      </c>
      <c r="J2858" s="23" t="str">
        <f aca="false">Nonlabor!$B$9</f>
        <v>INFRA</v>
      </c>
    </row>
    <row r="2859" customFormat="false" ht="15" hidden="false" customHeight="false" outlineLevel="0" collapsed="false">
      <c r="A2859" s="6" t="s">
        <v>73</v>
      </c>
      <c r="B2859" s="6" t="s">
        <v>379</v>
      </c>
      <c r="C2859" s="6" t="n">
        <v>34</v>
      </c>
      <c r="D2859" s="25" t="n">
        <f aca="false">EDATE('Start Here'!$B$6,C2859-1)</f>
        <v>47331</v>
      </c>
      <c r="E2859" s="23" t="n">
        <f aca="false">IF(AND(OR(Nonlabor!$D$9="Both",Nonlabor!$D$9='Start Here'!$B$9),IF(Nonlabor!$E$9="Core",1,IF(Nonlabor!$E$9="AI",'Start Here'!$B$7,'Start Here'!$B$8))=1,C2859&gt;=IF(Nonlabor!$E$9="Core",Nonlabor!$F$9,MAX(Nonlabor!$F$9,IF(Nonlabor!$E$9="AI",Assumptions!$E$24,Assumptions!$E$25))),C2859&lt;=Nonlabor!$G$9,OR(Nonlabor!$H$9="Monthly",AND(Nonlabor!$H$9="Once",C2859=IF(Nonlabor!$E$9="Core",Nonlabor!$F$9,MAX(Nonlabor!$F$9,IF(Nonlabor!$E$9="AI",Assumptions!$E$24,Assumptions!$E$25)))),AND(Nonlabor!$H$9="Annual",MOD(C2859-IF(Nonlabor!$E$9="Core",Nonlabor!$F$9,MAX(Nonlabor!$F$9,IF(Nonlabor!$E$9="AI",Assumptions!$E$24,Assumptions!$E$25))),12)=0))),IF(Nonlabor!$I$9="Fixed",1,IF(Nonlabor!$I$9="Seats",ROUNDUP('Monthly Growth'!I39,0),IF(Nonlabor!$I$9="Customers",'Monthly Growth'!D39,IF(Nonlabor!$I$9="NewCustomers",'Monthly Growth'!C39,IF(Nonlabor!$I$9="StorageGB",'Monthly Growth'!G39,IF(Nonlabor!$I$9="LogGB",'Monthly Growth'!H39,IF(Nonlabor!$I$9="RequestsM",'Monthly Growth'!F39,IF(Nonlabor!$I$9="InputM",'Monthly Growth'!D39*Assumptions!$E$22/1000000,IF(Nonlabor!$I$9="OutputM",'Monthly Growth'!D39*Assumptions!$E$23/1000000,0))))))))),0)</f>
        <v>1</v>
      </c>
      <c r="F2859" s="10" t="n">
        <f aca="false">Nonlabor!$J$9*(1+Assumptions!$E$9)^INT((C2859-1)/12)</f>
        <v>270.4</v>
      </c>
      <c r="G2859" s="10" t="n">
        <f aca="false">E2859*F2859</f>
        <v>270.4</v>
      </c>
      <c r="H2859" s="10" t="n">
        <f aca="false">IF(OR(Nonlabor!$L$9="Quote required",Nonlabor!$L$9="Unverified"),G2859,0)</f>
        <v>270.4</v>
      </c>
      <c r="I2859" s="10" t="n">
        <f aca="false">IF(Nonlabor!$E$9="Core",0,G2859)</f>
        <v>0</v>
      </c>
      <c r="J2859" s="23" t="str">
        <f aca="false">Nonlabor!$B$9</f>
        <v>INFRA</v>
      </c>
    </row>
    <row r="2860" customFormat="false" ht="15" hidden="false" customHeight="false" outlineLevel="0" collapsed="false">
      <c r="A2860" s="6" t="s">
        <v>73</v>
      </c>
      <c r="B2860" s="6" t="s">
        <v>379</v>
      </c>
      <c r="C2860" s="6" t="n">
        <v>35</v>
      </c>
      <c r="D2860" s="25" t="n">
        <f aca="false">EDATE('Start Here'!$B$6,C2860-1)</f>
        <v>47362</v>
      </c>
      <c r="E2860" s="23" t="n">
        <f aca="false">IF(AND(OR(Nonlabor!$D$9="Both",Nonlabor!$D$9='Start Here'!$B$9),IF(Nonlabor!$E$9="Core",1,IF(Nonlabor!$E$9="AI",'Start Here'!$B$7,'Start Here'!$B$8))=1,C2860&gt;=IF(Nonlabor!$E$9="Core",Nonlabor!$F$9,MAX(Nonlabor!$F$9,IF(Nonlabor!$E$9="AI",Assumptions!$E$24,Assumptions!$E$25))),C2860&lt;=Nonlabor!$G$9,OR(Nonlabor!$H$9="Monthly",AND(Nonlabor!$H$9="Once",C2860=IF(Nonlabor!$E$9="Core",Nonlabor!$F$9,MAX(Nonlabor!$F$9,IF(Nonlabor!$E$9="AI",Assumptions!$E$24,Assumptions!$E$25)))),AND(Nonlabor!$H$9="Annual",MOD(C2860-IF(Nonlabor!$E$9="Core",Nonlabor!$F$9,MAX(Nonlabor!$F$9,IF(Nonlabor!$E$9="AI",Assumptions!$E$24,Assumptions!$E$25))),12)=0))),IF(Nonlabor!$I$9="Fixed",1,IF(Nonlabor!$I$9="Seats",ROUNDUP('Monthly Growth'!I40,0),IF(Nonlabor!$I$9="Customers",'Monthly Growth'!D40,IF(Nonlabor!$I$9="NewCustomers",'Monthly Growth'!C40,IF(Nonlabor!$I$9="StorageGB",'Monthly Growth'!G40,IF(Nonlabor!$I$9="LogGB",'Monthly Growth'!H40,IF(Nonlabor!$I$9="RequestsM",'Monthly Growth'!F40,IF(Nonlabor!$I$9="InputM",'Monthly Growth'!D40*Assumptions!$E$22/1000000,IF(Nonlabor!$I$9="OutputM",'Monthly Growth'!D40*Assumptions!$E$23/1000000,0))))))))),0)</f>
        <v>1</v>
      </c>
      <c r="F2860" s="10" t="n">
        <f aca="false">Nonlabor!$J$9*(1+Assumptions!$E$9)^INT((C2860-1)/12)</f>
        <v>270.4</v>
      </c>
      <c r="G2860" s="10" t="n">
        <f aca="false">E2860*F2860</f>
        <v>270.4</v>
      </c>
      <c r="H2860" s="10" t="n">
        <f aca="false">IF(OR(Nonlabor!$L$9="Quote required",Nonlabor!$L$9="Unverified"),G2860,0)</f>
        <v>270.4</v>
      </c>
      <c r="I2860" s="10" t="n">
        <f aca="false">IF(Nonlabor!$E$9="Core",0,G2860)</f>
        <v>0</v>
      </c>
      <c r="J2860" s="23" t="str">
        <f aca="false">Nonlabor!$B$9</f>
        <v>INFRA</v>
      </c>
    </row>
    <row r="2861" customFormat="false" ht="15" hidden="false" customHeight="false" outlineLevel="0" collapsed="false">
      <c r="A2861" s="6" t="s">
        <v>73</v>
      </c>
      <c r="B2861" s="6" t="s">
        <v>379</v>
      </c>
      <c r="C2861" s="6" t="n">
        <v>36</v>
      </c>
      <c r="D2861" s="25" t="n">
        <f aca="false">EDATE('Start Here'!$B$6,C2861-1)</f>
        <v>47392</v>
      </c>
      <c r="E2861" s="23" t="n">
        <f aca="false">IF(AND(OR(Nonlabor!$D$9="Both",Nonlabor!$D$9='Start Here'!$B$9),IF(Nonlabor!$E$9="Core",1,IF(Nonlabor!$E$9="AI",'Start Here'!$B$7,'Start Here'!$B$8))=1,C2861&gt;=IF(Nonlabor!$E$9="Core",Nonlabor!$F$9,MAX(Nonlabor!$F$9,IF(Nonlabor!$E$9="AI",Assumptions!$E$24,Assumptions!$E$25))),C2861&lt;=Nonlabor!$G$9,OR(Nonlabor!$H$9="Monthly",AND(Nonlabor!$H$9="Once",C2861=IF(Nonlabor!$E$9="Core",Nonlabor!$F$9,MAX(Nonlabor!$F$9,IF(Nonlabor!$E$9="AI",Assumptions!$E$24,Assumptions!$E$25)))),AND(Nonlabor!$H$9="Annual",MOD(C2861-IF(Nonlabor!$E$9="Core",Nonlabor!$F$9,MAX(Nonlabor!$F$9,IF(Nonlabor!$E$9="AI",Assumptions!$E$24,Assumptions!$E$25))),12)=0))),IF(Nonlabor!$I$9="Fixed",1,IF(Nonlabor!$I$9="Seats",ROUNDUP('Monthly Growth'!I41,0),IF(Nonlabor!$I$9="Customers",'Monthly Growth'!D41,IF(Nonlabor!$I$9="NewCustomers",'Monthly Growth'!C41,IF(Nonlabor!$I$9="StorageGB",'Monthly Growth'!G41,IF(Nonlabor!$I$9="LogGB",'Monthly Growth'!H41,IF(Nonlabor!$I$9="RequestsM",'Monthly Growth'!F41,IF(Nonlabor!$I$9="InputM",'Monthly Growth'!D41*Assumptions!$E$22/1000000,IF(Nonlabor!$I$9="OutputM",'Monthly Growth'!D41*Assumptions!$E$23/1000000,0))))))))),0)</f>
        <v>1</v>
      </c>
      <c r="F2861" s="10" t="n">
        <f aca="false">Nonlabor!$J$9*(1+Assumptions!$E$9)^INT((C2861-1)/12)</f>
        <v>270.4</v>
      </c>
      <c r="G2861" s="10" t="n">
        <f aca="false">E2861*F2861</f>
        <v>270.4</v>
      </c>
      <c r="H2861" s="10" t="n">
        <f aca="false">IF(OR(Nonlabor!$L$9="Quote required",Nonlabor!$L$9="Unverified"),G2861,0)</f>
        <v>270.4</v>
      </c>
      <c r="I2861" s="10" t="n">
        <f aca="false">IF(Nonlabor!$E$9="Core",0,G2861)</f>
        <v>0</v>
      </c>
      <c r="J2861" s="23" t="str">
        <f aca="false">Nonlabor!$B$9</f>
        <v>INFRA</v>
      </c>
    </row>
    <row r="2862" customFormat="false" ht="15" hidden="false" customHeight="false" outlineLevel="0" collapsed="false">
      <c r="A2862" s="6" t="s">
        <v>73</v>
      </c>
      <c r="B2862" s="6" t="s">
        <v>379</v>
      </c>
      <c r="C2862" s="6" t="n">
        <v>37</v>
      </c>
      <c r="D2862" s="25" t="n">
        <f aca="false">EDATE('Start Here'!$B$6,C2862-1)</f>
        <v>47423</v>
      </c>
      <c r="E2862" s="23" t="n">
        <f aca="false">IF(AND(OR(Nonlabor!$D$9="Both",Nonlabor!$D$9='Start Here'!$B$9),IF(Nonlabor!$E$9="Core",1,IF(Nonlabor!$E$9="AI",'Start Here'!$B$7,'Start Here'!$B$8))=1,C2862&gt;=IF(Nonlabor!$E$9="Core",Nonlabor!$F$9,MAX(Nonlabor!$F$9,IF(Nonlabor!$E$9="AI",Assumptions!$E$24,Assumptions!$E$25))),C2862&lt;=Nonlabor!$G$9,OR(Nonlabor!$H$9="Monthly",AND(Nonlabor!$H$9="Once",C2862=IF(Nonlabor!$E$9="Core",Nonlabor!$F$9,MAX(Nonlabor!$F$9,IF(Nonlabor!$E$9="AI",Assumptions!$E$24,Assumptions!$E$25)))),AND(Nonlabor!$H$9="Annual",MOD(C2862-IF(Nonlabor!$E$9="Core",Nonlabor!$F$9,MAX(Nonlabor!$F$9,IF(Nonlabor!$E$9="AI",Assumptions!$E$24,Assumptions!$E$25))),12)=0))),IF(Nonlabor!$I$9="Fixed",1,IF(Nonlabor!$I$9="Seats",ROUNDUP('Monthly Growth'!I42,0),IF(Nonlabor!$I$9="Customers",'Monthly Growth'!D42,IF(Nonlabor!$I$9="NewCustomers",'Monthly Growth'!C42,IF(Nonlabor!$I$9="StorageGB",'Monthly Growth'!G42,IF(Nonlabor!$I$9="LogGB",'Monthly Growth'!H42,IF(Nonlabor!$I$9="RequestsM",'Monthly Growth'!F42,IF(Nonlabor!$I$9="InputM",'Monthly Growth'!D42*Assumptions!$E$22/1000000,IF(Nonlabor!$I$9="OutputM",'Monthly Growth'!D42*Assumptions!$E$23/1000000,0))))))))),0)</f>
        <v>1</v>
      </c>
      <c r="F2862" s="10" t="n">
        <f aca="false">Nonlabor!$J$9*(1+Assumptions!$E$9)^INT((C2862-1)/12)</f>
        <v>281.216</v>
      </c>
      <c r="G2862" s="10" t="n">
        <f aca="false">E2862*F2862</f>
        <v>281.216</v>
      </c>
      <c r="H2862" s="10" t="n">
        <f aca="false">IF(OR(Nonlabor!$L$9="Quote required",Nonlabor!$L$9="Unverified"),G2862,0)</f>
        <v>281.216</v>
      </c>
      <c r="I2862" s="10" t="n">
        <f aca="false">IF(Nonlabor!$E$9="Core",0,G2862)</f>
        <v>0</v>
      </c>
      <c r="J2862" s="23" t="str">
        <f aca="false">Nonlabor!$B$9</f>
        <v>INFRA</v>
      </c>
    </row>
    <row r="2863" customFormat="false" ht="15" hidden="false" customHeight="false" outlineLevel="0" collapsed="false">
      <c r="A2863" s="6" t="s">
        <v>73</v>
      </c>
      <c r="B2863" s="6" t="s">
        <v>379</v>
      </c>
      <c r="C2863" s="6" t="n">
        <v>38</v>
      </c>
      <c r="D2863" s="25" t="n">
        <f aca="false">EDATE('Start Here'!$B$6,C2863-1)</f>
        <v>47453</v>
      </c>
      <c r="E2863" s="23" t="n">
        <f aca="false">IF(AND(OR(Nonlabor!$D$9="Both",Nonlabor!$D$9='Start Here'!$B$9),IF(Nonlabor!$E$9="Core",1,IF(Nonlabor!$E$9="AI",'Start Here'!$B$7,'Start Here'!$B$8))=1,C2863&gt;=IF(Nonlabor!$E$9="Core",Nonlabor!$F$9,MAX(Nonlabor!$F$9,IF(Nonlabor!$E$9="AI",Assumptions!$E$24,Assumptions!$E$25))),C2863&lt;=Nonlabor!$G$9,OR(Nonlabor!$H$9="Monthly",AND(Nonlabor!$H$9="Once",C2863=IF(Nonlabor!$E$9="Core",Nonlabor!$F$9,MAX(Nonlabor!$F$9,IF(Nonlabor!$E$9="AI",Assumptions!$E$24,Assumptions!$E$25)))),AND(Nonlabor!$H$9="Annual",MOD(C2863-IF(Nonlabor!$E$9="Core",Nonlabor!$F$9,MAX(Nonlabor!$F$9,IF(Nonlabor!$E$9="AI",Assumptions!$E$24,Assumptions!$E$25))),12)=0))),IF(Nonlabor!$I$9="Fixed",1,IF(Nonlabor!$I$9="Seats",ROUNDUP('Monthly Growth'!I43,0),IF(Nonlabor!$I$9="Customers",'Monthly Growth'!D43,IF(Nonlabor!$I$9="NewCustomers",'Monthly Growth'!C43,IF(Nonlabor!$I$9="StorageGB",'Monthly Growth'!G43,IF(Nonlabor!$I$9="LogGB",'Monthly Growth'!H43,IF(Nonlabor!$I$9="RequestsM",'Monthly Growth'!F43,IF(Nonlabor!$I$9="InputM",'Monthly Growth'!D43*Assumptions!$E$22/1000000,IF(Nonlabor!$I$9="OutputM",'Monthly Growth'!D43*Assumptions!$E$23/1000000,0))))))))),0)</f>
        <v>1</v>
      </c>
      <c r="F2863" s="10" t="n">
        <f aca="false">Nonlabor!$J$9*(1+Assumptions!$E$9)^INT((C2863-1)/12)</f>
        <v>281.216</v>
      </c>
      <c r="G2863" s="10" t="n">
        <f aca="false">E2863*F2863</f>
        <v>281.216</v>
      </c>
      <c r="H2863" s="10" t="n">
        <f aca="false">IF(OR(Nonlabor!$L$9="Quote required",Nonlabor!$L$9="Unverified"),G2863,0)</f>
        <v>281.216</v>
      </c>
      <c r="I2863" s="10" t="n">
        <f aca="false">IF(Nonlabor!$E$9="Core",0,G2863)</f>
        <v>0</v>
      </c>
      <c r="J2863" s="23" t="str">
        <f aca="false">Nonlabor!$B$9</f>
        <v>INFRA</v>
      </c>
    </row>
    <row r="2864" customFormat="false" ht="15" hidden="false" customHeight="false" outlineLevel="0" collapsed="false">
      <c r="A2864" s="6" t="s">
        <v>73</v>
      </c>
      <c r="B2864" s="6" t="s">
        <v>379</v>
      </c>
      <c r="C2864" s="6" t="n">
        <v>39</v>
      </c>
      <c r="D2864" s="25" t="n">
        <f aca="false">EDATE('Start Here'!$B$6,C2864-1)</f>
        <v>47484</v>
      </c>
      <c r="E2864" s="23" t="n">
        <f aca="false">IF(AND(OR(Nonlabor!$D$9="Both",Nonlabor!$D$9='Start Here'!$B$9),IF(Nonlabor!$E$9="Core",1,IF(Nonlabor!$E$9="AI",'Start Here'!$B$7,'Start Here'!$B$8))=1,C2864&gt;=IF(Nonlabor!$E$9="Core",Nonlabor!$F$9,MAX(Nonlabor!$F$9,IF(Nonlabor!$E$9="AI",Assumptions!$E$24,Assumptions!$E$25))),C2864&lt;=Nonlabor!$G$9,OR(Nonlabor!$H$9="Monthly",AND(Nonlabor!$H$9="Once",C2864=IF(Nonlabor!$E$9="Core",Nonlabor!$F$9,MAX(Nonlabor!$F$9,IF(Nonlabor!$E$9="AI",Assumptions!$E$24,Assumptions!$E$25)))),AND(Nonlabor!$H$9="Annual",MOD(C2864-IF(Nonlabor!$E$9="Core",Nonlabor!$F$9,MAX(Nonlabor!$F$9,IF(Nonlabor!$E$9="AI",Assumptions!$E$24,Assumptions!$E$25))),12)=0))),IF(Nonlabor!$I$9="Fixed",1,IF(Nonlabor!$I$9="Seats",ROUNDUP('Monthly Growth'!I44,0),IF(Nonlabor!$I$9="Customers",'Monthly Growth'!D44,IF(Nonlabor!$I$9="NewCustomers",'Monthly Growth'!C44,IF(Nonlabor!$I$9="StorageGB",'Monthly Growth'!G44,IF(Nonlabor!$I$9="LogGB",'Monthly Growth'!H44,IF(Nonlabor!$I$9="RequestsM",'Monthly Growth'!F44,IF(Nonlabor!$I$9="InputM",'Monthly Growth'!D44*Assumptions!$E$22/1000000,IF(Nonlabor!$I$9="OutputM",'Monthly Growth'!D44*Assumptions!$E$23/1000000,0))))))))),0)</f>
        <v>1</v>
      </c>
      <c r="F2864" s="10" t="n">
        <f aca="false">Nonlabor!$J$9*(1+Assumptions!$E$9)^INT((C2864-1)/12)</f>
        <v>281.216</v>
      </c>
      <c r="G2864" s="10" t="n">
        <f aca="false">E2864*F2864</f>
        <v>281.216</v>
      </c>
      <c r="H2864" s="10" t="n">
        <f aca="false">IF(OR(Nonlabor!$L$9="Quote required",Nonlabor!$L$9="Unverified"),G2864,0)</f>
        <v>281.216</v>
      </c>
      <c r="I2864" s="10" t="n">
        <f aca="false">IF(Nonlabor!$E$9="Core",0,G2864)</f>
        <v>0</v>
      </c>
      <c r="J2864" s="23" t="str">
        <f aca="false">Nonlabor!$B$9</f>
        <v>INFRA</v>
      </c>
    </row>
    <row r="2865" customFormat="false" ht="15" hidden="false" customHeight="false" outlineLevel="0" collapsed="false">
      <c r="A2865" s="6" t="s">
        <v>73</v>
      </c>
      <c r="B2865" s="6" t="s">
        <v>379</v>
      </c>
      <c r="C2865" s="6" t="n">
        <v>40</v>
      </c>
      <c r="D2865" s="25" t="n">
        <f aca="false">EDATE('Start Here'!$B$6,C2865-1)</f>
        <v>47515</v>
      </c>
      <c r="E2865" s="23" t="n">
        <f aca="false">IF(AND(OR(Nonlabor!$D$9="Both",Nonlabor!$D$9='Start Here'!$B$9),IF(Nonlabor!$E$9="Core",1,IF(Nonlabor!$E$9="AI",'Start Here'!$B$7,'Start Here'!$B$8))=1,C2865&gt;=IF(Nonlabor!$E$9="Core",Nonlabor!$F$9,MAX(Nonlabor!$F$9,IF(Nonlabor!$E$9="AI",Assumptions!$E$24,Assumptions!$E$25))),C2865&lt;=Nonlabor!$G$9,OR(Nonlabor!$H$9="Monthly",AND(Nonlabor!$H$9="Once",C2865=IF(Nonlabor!$E$9="Core",Nonlabor!$F$9,MAX(Nonlabor!$F$9,IF(Nonlabor!$E$9="AI",Assumptions!$E$24,Assumptions!$E$25)))),AND(Nonlabor!$H$9="Annual",MOD(C2865-IF(Nonlabor!$E$9="Core",Nonlabor!$F$9,MAX(Nonlabor!$F$9,IF(Nonlabor!$E$9="AI",Assumptions!$E$24,Assumptions!$E$25))),12)=0))),IF(Nonlabor!$I$9="Fixed",1,IF(Nonlabor!$I$9="Seats",ROUNDUP('Monthly Growth'!I45,0),IF(Nonlabor!$I$9="Customers",'Monthly Growth'!D45,IF(Nonlabor!$I$9="NewCustomers",'Monthly Growth'!C45,IF(Nonlabor!$I$9="StorageGB",'Monthly Growth'!G45,IF(Nonlabor!$I$9="LogGB",'Monthly Growth'!H45,IF(Nonlabor!$I$9="RequestsM",'Monthly Growth'!F45,IF(Nonlabor!$I$9="InputM",'Monthly Growth'!D45*Assumptions!$E$22/1000000,IF(Nonlabor!$I$9="OutputM",'Monthly Growth'!D45*Assumptions!$E$23/1000000,0))))))))),0)</f>
        <v>1</v>
      </c>
      <c r="F2865" s="10" t="n">
        <f aca="false">Nonlabor!$J$9*(1+Assumptions!$E$9)^INT((C2865-1)/12)</f>
        <v>281.216</v>
      </c>
      <c r="G2865" s="10" t="n">
        <f aca="false">E2865*F2865</f>
        <v>281.216</v>
      </c>
      <c r="H2865" s="10" t="n">
        <f aca="false">IF(OR(Nonlabor!$L$9="Quote required",Nonlabor!$L$9="Unverified"),G2865,0)</f>
        <v>281.216</v>
      </c>
      <c r="I2865" s="10" t="n">
        <f aca="false">IF(Nonlabor!$E$9="Core",0,G2865)</f>
        <v>0</v>
      </c>
      <c r="J2865" s="23" t="str">
        <f aca="false">Nonlabor!$B$9</f>
        <v>INFRA</v>
      </c>
    </row>
    <row r="2866" customFormat="false" ht="15" hidden="false" customHeight="false" outlineLevel="0" collapsed="false">
      <c r="A2866" s="6" t="s">
        <v>73</v>
      </c>
      <c r="B2866" s="6" t="s">
        <v>379</v>
      </c>
      <c r="C2866" s="6" t="n">
        <v>41</v>
      </c>
      <c r="D2866" s="25" t="n">
        <f aca="false">EDATE('Start Here'!$B$6,C2866-1)</f>
        <v>47543</v>
      </c>
      <c r="E2866" s="23" t="n">
        <f aca="false">IF(AND(OR(Nonlabor!$D$9="Both",Nonlabor!$D$9='Start Here'!$B$9),IF(Nonlabor!$E$9="Core",1,IF(Nonlabor!$E$9="AI",'Start Here'!$B$7,'Start Here'!$B$8))=1,C2866&gt;=IF(Nonlabor!$E$9="Core",Nonlabor!$F$9,MAX(Nonlabor!$F$9,IF(Nonlabor!$E$9="AI",Assumptions!$E$24,Assumptions!$E$25))),C2866&lt;=Nonlabor!$G$9,OR(Nonlabor!$H$9="Monthly",AND(Nonlabor!$H$9="Once",C2866=IF(Nonlabor!$E$9="Core",Nonlabor!$F$9,MAX(Nonlabor!$F$9,IF(Nonlabor!$E$9="AI",Assumptions!$E$24,Assumptions!$E$25)))),AND(Nonlabor!$H$9="Annual",MOD(C2866-IF(Nonlabor!$E$9="Core",Nonlabor!$F$9,MAX(Nonlabor!$F$9,IF(Nonlabor!$E$9="AI",Assumptions!$E$24,Assumptions!$E$25))),12)=0))),IF(Nonlabor!$I$9="Fixed",1,IF(Nonlabor!$I$9="Seats",ROUNDUP('Monthly Growth'!I46,0),IF(Nonlabor!$I$9="Customers",'Monthly Growth'!D46,IF(Nonlabor!$I$9="NewCustomers",'Monthly Growth'!C46,IF(Nonlabor!$I$9="StorageGB",'Monthly Growth'!G46,IF(Nonlabor!$I$9="LogGB",'Monthly Growth'!H46,IF(Nonlabor!$I$9="RequestsM",'Monthly Growth'!F46,IF(Nonlabor!$I$9="InputM",'Monthly Growth'!D46*Assumptions!$E$22/1000000,IF(Nonlabor!$I$9="OutputM",'Monthly Growth'!D46*Assumptions!$E$23/1000000,0))))))))),0)</f>
        <v>1</v>
      </c>
      <c r="F2866" s="10" t="n">
        <f aca="false">Nonlabor!$J$9*(1+Assumptions!$E$9)^INT((C2866-1)/12)</f>
        <v>281.216</v>
      </c>
      <c r="G2866" s="10" t="n">
        <f aca="false">E2866*F2866</f>
        <v>281.216</v>
      </c>
      <c r="H2866" s="10" t="n">
        <f aca="false">IF(OR(Nonlabor!$L$9="Quote required",Nonlabor!$L$9="Unverified"),G2866,0)</f>
        <v>281.216</v>
      </c>
      <c r="I2866" s="10" t="n">
        <f aca="false">IF(Nonlabor!$E$9="Core",0,G2866)</f>
        <v>0</v>
      </c>
      <c r="J2866" s="23" t="str">
        <f aca="false">Nonlabor!$B$9</f>
        <v>INFRA</v>
      </c>
    </row>
    <row r="2867" customFormat="false" ht="15" hidden="false" customHeight="false" outlineLevel="0" collapsed="false">
      <c r="A2867" s="6" t="s">
        <v>73</v>
      </c>
      <c r="B2867" s="6" t="s">
        <v>379</v>
      </c>
      <c r="C2867" s="6" t="n">
        <v>42</v>
      </c>
      <c r="D2867" s="25" t="n">
        <f aca="false">EDATE('Start Here'!$B$6,C2867-1)</f>
        <v>47574</v>
      </c>
      <c r="E2867" s="23" t="n">
        <f aca="false">IF(AND(OR(Nonlabor!$D$9="Both",Nonlabor!$D$9='Start Here'!$B$9),IF(Nonlabor!$E$9="Core",1,IF(Nonlabor!$E$9="AI",'Start Here'!$B$7,'Start Here'!$B$8))=1,C2867&gt;=IF(Nonlabor!$E$9="Core",Nonlabor!$F$9,MAX(Nonlabor!$F$9,IF(Nonlabor!$E$9="AI",Assumptions!$E$24,Assumptions!$E$25))),C2867&lt;=Nonlabor!$G$9,OR(Nonlabor!$H$9="Monthly",AND(Nonlabor!$H$9="Once",C2867=IF(Nonlabor!$E$9="Core",Nonlabor!$F$9,MAX(Nonlabor!$F$9,IF(Nonlabor!$E$9="AI",Assumptions!$E$24,Assumptions!$E$25)))),AND(Nonlabor!$H$9="Annual",MOD(C2867-IF(Nonlabor!$E$9="Core",Nonlabor!$F$9,MAX(Nonlabor!$F$9,IF(Nonlabor!$E$9="AI",Assumptions!$E$24,Assumptions!$E$25))),12)=0))),IF(Nonlabor!$I$9="Fixed",1,IF(Nonlabor!$I$9="Seats",ROUNDUP('Monthly Growth'!I47,0),IF(Nonlabor!$I$9="Customers",'Monthly Growth'!D47,IF(Nonlabor!$I$9="NewCustomers",'Monthly Growth'!C47,IF(Nonlabor!$I$9="StorageGB",'Monthly Growth'!G47,IF(Nonlabor!$I$9="LogGB",'Monthly Growth'!H47,IF(Nonlabor!$I$9="RequestsM",'Monthly Growth'!F47,IF(Nonlabor!$I$9="InputM",'Monthly Growth'!D47*Assumptions!$E$22/1000000,IF(Nonlabor!$I$9="OutputM",'Monthly Growth'!D47*Assumptions!$E$23/1000000,0))))))))),0)</f>
        <v>1</v>
      </c>
      <c r="F2867" s="10" t="n">
        <f aca="false">Nonlabor!$J$9*(1+Assumptions!$E$9)^INT((C2867-1)/12)</f>
        <v>281.216</v>
      </c>
      <c r="G2867" s="10" t="n">
        <f aca="false">E2867*F2867</f>
        <v>281.216</v>
      </c>
      <c r="H2867" s="10" t="n">
        <f aca="false">IF(OR(Nonlabor!$L$9="Quote required",Nonlabor!$L$9="Unverified"),G2867,0)</f>
        <v>281.216</v>
      </c>
      <c r="I2867" s="10" t="n">
        <f aca="false">IF(Nonlabor!$E$9="Core",0,G2867)</f>
        <v>0</v>
      </c>
      <c r="J2867" s="23" t="str">
        <f aca="false">Nonlabor!$B$9</f>
        <v>INFRA</v>
      </c>
    </row>
    <row r="2868" customFormat="false" ht="15" hidden="false" customHeight="false" outlineLevel="0" collapsed="false">
      <c r="A2868" s="6" t="s">
        <v>73</v>
      </c>
      <c r="B2868" s="6" t="s">
        <v>379</v>
      </c>
      <c r="C2868" s="6" t="n">
        <v>43</v>
      </c>
      <c r="D2868" s="25" t="n">
        <f aca="false">EDATE('Start Here'!$B$6,C2868-1)</f>
        <v>47604</v>
      </c>
      <c r="E2868" s="23" t="n">
        <f aca="false">IF(AND(OR(Nonlabor!$D$9="Both",Nonlabor!$D$9='Start Here'!$B$9),IF(Nonlabor!$E$9="Core",1,IF(Nonlabor!$E$9="AI",'Start Here'!$B$7,'Start Here'!$B$8))=1,C2868&gt;=IF(Nonlabor!$E$9="Core",Nonlabor!$F$9,MAX(Nonlabor!$F$9,IF(Nonlabor!$E$9="AI",Assumptions!$E$24,Assumptions!$E$25))),C2868&lt;=Nonlabor!$G$9,OR(Nonlabor!$H$9="Monthly",AND(Nonlabor!$H$9="Once",C2868=IF(Nonlabor!$E$9="Core",Nonlabor!$F$9,MAX(Nonlabor!$F$9,IF(Nonlabor!$E$9="AI",Assumptions!$E$24,Assumptions!$E$25)))),AND(Nonlabor!$H$9="Annual",MOD(C2868-IF(Nonlabor!$E$9="Core",Nonlabor!$F$9,MAX(Nonlabor!$F$9,IF(Nonlabor!$E$9="AI",Assumptions!$E$24,Assumptions!$E$25))),12)=0))),IF(Nonlabor!$I$9="Fixed",1,IF(Nonlabor!$I$9="Seats",ROUNDUP('Monthly Growth'!I48,0),IF(Nonlabor!$I$9="Customers",'Monthly Growth'!D48,IF(Nonlabor!$I$9="NewCustomers",'Monthly Growth'!C48,IF(Nonlabor!$I$9="StorageGB",'Monthly Growth'!G48,IF(Nonlabor!$I$9="LogGB",'Monthly Growth'!H48,IF(Nonlabor!$I$9="RequestsM",'Monthly Growth'!F48,IF(Nonlabor!$I$9="InputM",'Monthly Growth'!D48*Assumptions!$E$22/1000000,IF(Nonlabor!$I$9="OutputM",'Monthly Growth'!D48*Assumptions!$E$23/1000000,0))))))))),0)</f>
        <v>1</v>
      </c>
      <c r="F2868" s="10" t="n">
        <f aca="false">Nonlabor!$J$9*(1+Assumptions!$E$9)^INT((C2868-1)/12)</f>
        <v>281.216</v>
      </c>
      <c r="G2868" s="10" t="n">
        <f aca="false">E2868*F2868</f>
        <v>281.216</v>
      </c>
      <c r="H2868" s="10" t="n">
        <f aca="false">IF(OR(Nonlabor!$L$9="Quote required",Nonlabor!$L$9="Unverified"),G2868,0)</f>
        <v>281.216</v>
      </c>
      <c r="I2868" s="10" t="n">
        <f aca="false">IF(Nonlabor!$E$9="Core",0,G2868)</f>
        <v>0</v>
      </c>
      <c r="J2868" s="23" t="str">
        <f aca="false">Nonlabor!$B$9</f>
        <v>INFRA</v>
      </c>
    </row>
    <row r="2869" customFormat="false" ht="15" hidden="false" customHeight="false" outlineLevel="0" collapsed="false">
      <c r="A2869" s="6" t="s">
        <v>73</v>
      </c>
      <c r="B2869" s="6" t="s">
        <v>379</v>
      </c>
      <c r="C2869" s="6" t="n">
        <v>44</v>
      </c>
      <c r="D2869" s="25" t="n">
        <f aca="false">EDATE('Start Here'!$B$6,C2869-1)</f>
        <v>47635</v>
      </c>
      <c r="E2869" s="23" t="n">
        <f aca="false">IF(AND(OR(Nonlabor!$D$9="Both",Nonlabor!$D$9='Start Here'!$B$9),IF(Nonlabor!$E$9="Core",1,IF(Nonlabor!$E$9="AI",'Start Here'!$B$7,'Start Here'!$B$8))=1,C2869&gt;=IF(Nonlabor!$E$9="Core",Nonlabor!$F$9,MAX(Nonlabor!$F$9,IF(Nonlabor!$E$9="AI",Assumptions!$E$24,Assumptions!$E$25))),C2869&lt;=Nonlabor!$G$9,OR(Nonlabor!$H$9="Monthly",AND(Nonlabor!$H$9="Once",C2869=IF(Nonlabor!$E$9="Core",Nonlabor!$F$9,MAX(Nonlabor!$F$9,IF(Nonlabor!$E$9="AI",Assumptions!$E$24,Assumptions!$E$25)))),AND(Nonlabor!$H$9="Annual",MOD(C2869-IF(Nonlabor!$E$9="Core",Nonlabor!$F$9,MAX(Nonlabor!$F$9,IF(Nonlabor!$E$9="AI",Assumptions!$E$24,Assumptions!$E$25))),12)=0))),IF(Nonlabor!$I$9="Fixed",1,IF(Nonlabor!$I$9="Seats",ROUNDUP('Monthly Growth'!I49,0),IF(Nonlabor!$I$9="Customers",'Monthly Growth'!D49,IF(Nonlabor!$I$9="NewCustomers",'Monthly Growth'!C49,IF(Nonlabor!$I$9="StorageGB",'Monthly Growth'!G49,IF(Nonlabor!$I$9="LogGB",'Monthly Growth'!H49,IF(Nonlabor!$I$9="RequestsM",'Monthly Growth'!F49,IF(Nonlabor!$I$9="InputM",'Monthly Growth'!D49*Assumptions!$E$22/1000000,IF(Nonlabor!$I$9="OutputM",'Monthly Growth'!D49*Assumptions!$E$23/1000000,0))))))))),0)</f>
        <v>1</v>
      </c>
      <c r="F2869" s="10" t="n">
        <f aca="false">Nonlabor!$J$9*(1+Assumptions!$E$9)^INT((C2869-1)/12)</f>
        <v>281.216</v>
      </c>
      <c r="G2869" s="10" t="n">
        <f aca="false">E2869*F2869</f>
        <v>281.216</v>
      </c>
      <c r="H2869" s="10" t="n">
        <f aca="false">IF(OR(Nonlabor!$L$9="Quote required",Nonlabor!$L$9="Unverified"),G2869,0)</f>
        <v>281.216</v>
      </c>
      <c r="I2869" s="10" t="n">
        <f aca="false">IF(Nonlabor!$E$9="Core",0,G2869)</f>
        <v>0</v>
      </c>
      <c r="J2869" s="23" t="str">
        <f aca="false">Nonlabor!$B$9</f>
        <v>INFRA</v>
      </c>
    </row>
    <row r="2870" customFormat="false" ht="15" hidden="false" customHeight="false" outlineLevel="0" collapsed="false">
      <c r="A2870" s="6" t="s">
        <v>73</v>
      </c>
      <c r="B2870" s="6" t="s">
        <v>379</v>
      </c>
      <c r="C2870" s="6" t="n">
        <v>45</v>
      </c>
      <c r="D2870" s="25" t="n">
        <f aca="false">EDATE('Start Here'!$B$6,C2870-1)</f>
        <v>47665</v>
      </c>
      <c r="E2870" s="23" t="n">
        <f aca="false">IF(AND(OR(Nonlabor!$D$9="Both",Nonlabor!$D$9='Start Here'!$B$9),IF(Nonlabor!$E$9="Core",1,IF(Nonlabor!$E$9="AI",'Start Here'!$B$7,'Start Here'!$B$8))=1,C2870&gt;=IF(Nonlabor!$E$9="Core",Nonlabor!$F$9,MAX(Nonlabor!$F$9,IF(Nonlabor!$E$9="AI",Assumptions!$E$24,Assumptions!$E$25))),C2870&lt;=Nonlabor!$G$9,OR(Nonlabor!$H$9="Monthly",AND(Nonlabor!$H$9="Once",C2870=IF(Nonlabor!$E$9="Core",Nonlabor!$F$9,MAX(Nonlabor!$F$9,IF(Nonlabor!$E$9="AI",Assumptions!$E$24,Assumptions!$E$25)))),AND(Nonlabor!$H$9="Annual",MOD(C2870-IF(Nonlabor!$E$9="Core",Nonlabor!$F$9,MAX(Nonlabor!$F$9,IF(Nonlabor!$E$9="AI",Assumptions!$E$24,Assumptions!$E$25))),12)=0))),IF(Nonlabor!$I$9="Fixed",1,IF(Nonlabor!$I$9="Seats",ROUNDUP('Monthly Growth'!I50,0),IF(Nonlabor!$I$9="Customers",'Monthly Growth'!D50,IF(Nonlabor!$I$9="NewCustomers",'Monthly Growth'!C50,IF(Nonlabor!$I$9="StorageGB",'Monthly Growth'!G50,IF(Nonlabor!$I$9="LogGB",'Monthly Growth'!H50,IF(Nonlabor!$I$9="RequestsM",'Monthly Growth'!F50,IF(Nonlabor!$I$9="InputM",'Monthly Growth'!D50*Assumptions!$E$22/1000000,IF(Nonlabor!$I$9="OutputM",'Monthly Growth'!D50*Assumptions!$E$23/1000000,0))))))))),0)</f>
        <v>1</v>
      </c>
      <c r="F2870" s="10" t="n">
        <f aca="false">Nonlabor!$J$9*(1+Assumptions!$E$9)^INT((C2870-1)/12)</f>
        <v>281.216</v>
      </c>
      <c r="G2870" s="10" t="n">
        <f aca="false">E2870*F2870</f>
        <v>281.216</v>
      </c>
      <c r="H2870" s="10" t="n">
        <f aca="false">IF(OR(Nonlabor!$L$9="Quote required",Nonlabor!$L$9="Unverified"),G2870,0)</f>
        <v>281.216</v>
      </c>
      <c r="I2870" s="10" t="n">
        <f aca="false">IF(Nonlabor!$E$9="Core",0,G2870)</f>
        <v>0</v>
      </c>
      <c r="J2870" s="23" t="str">
        <f aca="false">Nonlabor!$B$9</f>
        <v>INFRA</v>
      </c>
    </row>
    <row r="2871" customFormat="false" ht="15" hidden="false" customHeight="false" outlineLevel="0" collapsed="false">
      <c r="A2871" s="6" t="s">
        <v>73</v>
      </c>
      <c r="B2871" s="6" t="s">
        <v>379</v>
      </c>
      <c r="C2871" s="6" t="n">
        <v>46</v>
      </c>
      <c r="D2871" s="25" t="n">
        <f aca="false">EDATE('Start Here'!$B$6,C2871-1)</f>
        <v>47696</v>
      </c>
      <c r="E2871" s="23" t="n">
        <f aca="false">IF(AND(OR(Nonlabor!$D$9="Both",Nonlabor!$D$9='Start Here'!$B$9),IF(Nonlabor!$E$9="Core",1,IF(Nonlabor!$E$9="AI",'Start Here'!$B$7,'Start Here'!$B$8))=1,C2871&gt;=IF(Nonlabor!$E$9="Core",Nonlabor!$F$9,MAX(Nonlabor!$F$9,IF(Nonlabor!$E$9="AI",Assumptions!$E$24,Assumptions!$E$25))),C2871&lt;=Nonlabor!$G$9,OR(Nonlabor!$H$9="Monthly",AND(Nonlabor!$H$9="Once",C2871=IF(Nonlabor!$E$9="Core",Nonlabor!$F$9,MAX(Nonlabor!$F$9,IF(Nonlabor!$E$9="AI",Assumptions!$E$24,Assumptions!$E$25)))),AND(Nonlabor!$H$9="Annual",MOD(C2871-IF(Nonlabor!$E$9="Core",Nonlabor!$F$9,MAX(Nonlabor!$F$9,IF(Nonlabor!$E$9="AI",Assumptions!$E$24,Assumptions!$E$25))),12)=0))),IF(Nonlabor!$I$9="Fixed",1,IF(Nonlabor!$I$9="Seats",ROUNDUP('Monthly Growth'!I51,0),IF(Nonlabor!$I$9="Customers",'Monthly Growth'!D51,IF(Nonlabor!$I$9="NewCustomers",'Monthly Growth'!C51,IF(Nonlabor!$I$9="StorageGB",'Monthly Growth'!G51,IF(Nonlabor!$I$9="LogGB",'Monthly Growth'!H51,IF(Nonlabor!$I$9="RequestsM",'Monthly Growth'!F51,IF(Nonlabor!$I$9="InputM",'Monthly Growth'!D51*Assumptions!$E$22/1000000,IF(Nonlabor!$I$9="OutputM",'Monthly Growth'!D51*Assumptions!$E$23/1000000,0))))))))),0)</f>
        <v>1</v>
      </c>
      <c r="F2871" s="10" t="n">
        <f aca="false">Nonlabor!$J$9*(1+Assumptions!$E$9)^INT((C2871-1)/12)</f>
        <v>281.216</v>
      </c>
      <c r="G2871" s="10" t="n">
        <f aca="false">E2871*F2871</f>
        <v>281.216</v>
      </c>
      <c r="H2871" s="10" t="n">
        <f aca="false">IF(OR(Nonlabor!$L$9="Quote required",Nonlabor!$L$9="Unverified"),G2871,0)</f>
        <v>281.216</v>
      </c>
      <c r="I2871" s="10" t="n">
        <f aca="false">IF(Nonlabor!$E$9="Core",0,G2871)</f>
        <v>0</v>
      </c>
      <c r="J2871" s="23" t="str">
        <f aca="false">Nonlabor!$B$9</f>
        <v>INFRA</v>
      </c>
    </row>
    <row r="2872" customFormat="false" ht="15" hidden="false" customHeight="false" outlineLevel="0" collapsed="false">
      <c r="A2872" s="6" t="s">
        <v>73</v>
      </c>
      <c r="B2872" s="6" t="s">
        <v>379</v>
      </c>
      <c r="C2872" s="6" t="n">
        <v>47</v>
      </c>
      <c r="D2872" s="25" t="n">
        <f aca="false">EDATE('Start Here'!$B$6,C2872-1)</f>
        <v>47727</v>
      </c>
      <c r="E2872" s="23" t="n">
        <f aca="false">IF(AND(OR(Nonlabor!$D$9="Both",Nonlabor!$D$9='Start Here'!$B$9),IF(Nonlabor!$E$9="Core",1,IF(Nonlabor!$E$9="AI",'Start Here'!$B$7,'Start Here'!$B$8))=1,C2872&gt;=IF(Nonlabor!$E$9="Core",Nonlabor!$F$9,MAX(Nonlabor!$F$9,IF(Nonlabor!$E$9="AI",Assumptions!$E$24,Assumptions!$E$25))),C2872&lt;=Nonlabor!$G$9,OR(Nonlabor!$H$9="Monthly",AND(Nonlabor!$H$9="Once",C2872=IF(Nonlabor!$E$9="Core",Nonlabor!$F$9,MAX(Nonlabor!$F$9,IF(Nonlabor!$E$9="AI",Assumptions!$E$24,Assumptions!$E$25)))),AND(Nonlabor!$H$9="Annual",MOD(C2872-IF(Nonlabor!$E$9="Core",Nonlabor!$F$9,MAX(Nonlabor!$F$9,IF(Nonlabor!$E$9="AI",Assumptions!$E$24,Assumptions!$E$25))),12)=0))),IF(Nonlabor!$I$9="Fixed",1,IF(Nonlabor!$I$9="Seats",ROUNDUP('Monthly Growth'!I52,0),IF(Nonlabor!$I$9="Customers",'Monthly Growth'!D52,IF(Nonlabor!$I$9="NewCustomers",'Monthly Growth'!C52,IF(Nonlabor!$I$9="StorageGB",'Monthly Growth'!G52,IF(Nonlabor!$I$9="LogGB",'Monthly Growth'!H52,IF(Nonlabor!$I$9="RequestsM",'Monthly Growth'!F52,IF(Nonlabor!$I$9="InputM",'Monthly Growth'!D52*Assumptions!$E$22/1000000,IF(Nonlabor!$I$9="OutputM",'Monthly Growth'!D52*Assumptions!$E$23/1000000,0))))))))),0)</f>
        <v>1</v>
      </c>
      <c r="F2872" s="10" t="n">
        <f aca="false">Nonlabor!$J$9*(1+Assumptions!$E$9)^INT((C2872-1)/12)</f>
        <v>281.216</v>
      </c>
      <c r="G2872" s="10" t="n">
        <f aca="false">E2872*F2872</f>
        <v>281.216</v>
      </c>
      <c r="H2872" s="10" t="n">
        <f aca="false">IF(OR(Nonlabor!$L$9="Quote required",Nonlabor!$L$9="Unverified"),G2872,0)</f>
        <v>281.216</v>
      </c>
      <c r="I2872" s="10" t="n">
        <f aca="false">IF(Nonlabor!$E$9="Core",0,G2872)</f>
        <v>0</v>
      </c>
      <c r="J2872" s="23" t="str">
        <f aca="false">Nonlabor!$B$9</f>
        <v>INFRA</v>
      </c>
    </row>
    <row r="2873" customFormat="false" ht="15" hidden="false" customHeight="false" outlineLevel="0" collapsed="false">
      <c r="A2873" s="6" t="s">
        <v>73</v>
      </c>
      <c r="B2873" s="6" t="s">
        <v>379</v>
      </c>
      <c r="C2873" s="6" t="n">
        <v>48</v>
      </c>
      <c r="D2873" s="25" t="n">
        <f aca="false">EDATE('Start Here'!$B$6,C2873-1)</f>
        <v>47757</v>
      </c>
      <c r="E2873" s="23" t="n">
        <f aca="false">IF(AND(OR(Nonlabor!$D$9="Both",Nonlabor!$D$9='Start Here'!$B$9),IF(Nonlabor!$E$9="Core",1,IF(Nonlabor!$E$9="AI",'Start Here'!$B$7,'Start Here'!$B$8))=1,C2873&gt;=IF(Nonlabor!$E$9="Core",Nonlabor!$F$9,MAX(Nonlabor!$F$9,IF(Nonlabor!$E$9="AI",Assumptions!$E$24,Assumptions!$E$25))),C2873&lt;=Nonlabor!$G$9,OR(Nonlabor!$H$9="Monthly",AND(Nonlabor!$H$9="Once",C2873=IF(Nonlabor!$E$9="Core",Nonlabor!$F$9,MAX(Nonlabor!$F$9,IF(Nonlabor!$E$9="AI",Assumptions!$E$24,Assumptions!$E$25)))),AND(Nonlabor!$H$9="Annual",MOD(C2873-IF(Nonlabor!$E$9="Core",Nonlabor!$F$9,MAX(Nonlabor!$F$9,IF(Nonlabor!$E$9="AI",Assumptions!$E$24,Assumptions!$E$25))),12)=0))),IF(Nonlabor!$I$9="Fixed",1,IF(Nonlabor!$I$9="Seats",ROUNDUP('Monthly Growth'!I53,0),IF(Nonlabor!$I$9="Customers",'Monthly Growth'!D53,IF(Nonlabor!$I$9="NewCustomers",'Monthly Growth'!C53,IF(Nonlabor!$I$9="StorageGB",'Monthly Growth'!G53,IF(Nonlabor!$I$9="LogGB",'Monthly Growth'!H53,IF(Nonlabor!$I$9="RequestsM",'Monthly Growth'!F53,IF(Nonlabor!$I$9="InputM",'Monthly Growth'!D53*Assumptions!$E$22/1000000,IF(Nonlabor!$I$9="OutputM",'Monthly Growth'!D53*Assumptions!$E$23/1000000,0))))))))),0)</f>
        <v>1</v>
      </c>
      <c r="F2873" s="10" t="n">
        <f aca="false">Nonlabor!$J$9*(1+Assumptions!$E$9)^INT((C2873-1)/12)</f>
        <v>281.216</v>
      </c>
      <c r="G2873" s="10" t="n">
        <f aca="false">E2873*F2873</f>
        <v>281.216</v>
      </c>
      <c r="H2873" s="10" t="n">
        <f aca="false">IF(OR(Nonlabor!$L$9="Quote required",Nonlabor!$L$9="Unverified"),G2873,0)</f>
        <v>281.216</v>
      </c>
      <c r="I2873" s="10" t="n">
        <f aca="false">IF(Nonlabor!$E$9="Core",0,G2873)</f>
        <v>0</v>
      </c>
      <c r="J2873" s="23" t="str">
        <f aca="false">Nonlabor!$B$9</f>
        <v>INFRA</v>
      </c>
    </row>
    <row r="2874" customFormat="false" ht="15" hidden="false" customHeight="false" outlineLevel="0" collapsed="false">
      <c r="A2874" s="6" t="s">
        <v>73</v>
      </c>
      <c r="B2874" s="6" t="s">
        <v>379</v>
      </c>
      <c r="C2874" s="6" t="n">
        <v>49</v>
      </c>
      <c r="D2874" s="25" t="n">
        <f aca="false">EDATE('Start Here'!$B$6,C2874-1)</f>
        <v>47788</v>
      </c>
      <c r="E2874" s="23" t="n">
        <f aca="false">IF(AND(OR(Nonlabor!$D$9="Both",Nonlabor!$D$9='Start Here'!$B$9),IF(Nonlabor!$E$9="Core",1,IF(Nonlabor!$E$9="AI",'Start Here'!$B$7,'Start Here'!$B$8))=1,C2874&gt;=IF(Nonlabor!$E$9="Core",Nonlabor!$F$9,MAX(Nonlabor!$F$9,IF(Nonlabor!$E$9="AI",Assumptions!$E$24,Assumptions!$E$25))),C2874&lt;=Nonlabor!$G$9,OR(Nonlabor!$H$9="Monthly",AND(Nonlabor!$H$9="Once",C2874=IF(Nonlabor!$E$9="Core",Nonlabor!$F$9,MAX(Nonlabor!$F$9,IF(Nonlabor!$E$9="AI",Assumptions!$E$24,Assumptions!$E$25)))),AND(Nonlabor!$H$9="Annual",MOD(C2874-IF(Nonlabor!$E$9="Core",Nonlabor!$F$9,MAX(Nonlabor!$F$9,IF(Nonlabor!$E$9="AI",Assumptions!$E$24,Assumptions!$E$25))),12)=0))),IF(Nonlabor!$I$9="Fixed",1,IF(Nonlabor!$I$9="Seats",ROUNDUP('Monthly Growth'!I54,0),IF(Nonlabor!$I$9="Customers",'Monthly Growth'!D54,IF(Nonlabor!$I$9="NewCustomers",'Monthly Growth'!C54,IF(Nonlabor!$I$9="StorageGB",'Monthly Growth'!G54,IF(Nonlabor!$I$9="LogGB",'Monthly Growth'!H54,IF(Nonlabor!$I$9="RequestsM",'Monthly Growth'!F54,IF(Nonlabor!$I$9="InputM",'Monthly Growth'!D54*Assumptions!$E$22/1000000,IF(Nonlabor!$I$9="OutputM",'Monthly Growth'!D54*Assumptions!$E$23/1000000,0))))))))),0)</f>
        <v>1</v>
      </c>
      <c r="F2874" s="10" t="n">
        <f aca="false">Nonlabor!$J$9*(1+Assumptions!$E$9)^INT((C2874-1)/12)</f>
        <v>292.46464</v>
      </c>
      <c r="G2874" s="10" t="n">
        <f aca="false">E2874*F2874</f>
        <v>292.46464</v>
      </c>
      <c r="H2874" s="10" t="n">
        <f aca="false">IF(OR(Nonlabor!$L$9="Quote required",Nonlabor!$L$9="Unverified"),G2874,0)</f>
        <v>292.46464</v>
      </c>
      <c r="I2874" s="10" t="n">
        <f aca="false">IF(Nonlabor!$E$9="Core",0,G2874)</f>
        <v>0</v>
      </c>
      <c r="J2874" s="23" t="str">
        <f aca="false">Nonlabor!$B$9</f>
        <v>INFRA</v>
      </c>
    </row>
    <row r="2875" customFormat="false" ht="15" hidden="false" customHeight="false" outlineLevel="0" collapsed="false">
      <c r="A2875" s="6" t="s">
        <v>73</v>
      </c>
      <c r="B2875" s="6" t="s">
        <v>379</v>
      </c>
      <c r="C2875" s="6" t="n">
        <v>50</v>
      </c>
      <c r="D2875" s="25" t="n">
        <f aca="false">EDATE('Start Here'!$B$6,C2875-1)</f>
        <v>47818</v>
      </c>
      <c r="E2875" s="23" t="n">
        <f aca="false">IF(AND(OR(Nonlabor!$D$9="Both",Nonlabor!$D$9='Start Here'!$B$9),IF(Nonlabor!$E$9="Core",1,IF(Nonlabor!$E$9="AI",'Start Here'!$B$7,'Start Here'!$B$8))=1,C2875&gt;=IF(Nonlabor!$E$9="Core",Nonlabor!$F$9,MAX(Nonlabor!$F$9,IF(Nonlabor!$E$9="AI",Assumptions!$E$24,Assumptions!$E$25))),C2875&lt;=Nonlabor!$G$9,OR(Nonlabor!$H$9="Monthly",AND(Nonlabor!$H$9="Once",C2875=IF(Nonlabor!$E$9="Core",Nonlabor!$F$9,MAX(Nonlabor!$F$9,IF(Nonlabor!$E$9="AI",Assumptions!$E$24,Assumptions!$E$25)))),AND(Nonlabor!$H$9="Annual",MOD(C2875-IF(Nonlabor!$E$9="Core",Nonlabor!$F$9,MAX(Nonlabor!$F$9,IF(Nonlabor!$E$9="AI",Assumptions!$E$24,Assumptions!$E$25))),12)=0))),IF(Nonlabor!$I$9="Fixed",1,IF(Nonlabor!$I$9="Seats",ROUNDUP('Monthly Growth'!I55,0),IF(Nonlabor!$I$9="Customers",'Monthly Growth'!D55,IF(Nonlabor!$I$9="NewCustomers",'Monthly Growth'!C55,IF(Nonlabor!$I$9="StorageGB",'Monthly Growth'!G55,IF(Nonlabor!$I$9="LogGB",'Monthly Growth'!H55,IF(Nonlabor!$I$9="RequestsM",'Monthly Growth'!F55,IF(Nonlabor!$I$9="InputM",'Monthly Growth'!D55*Assumptions!$E$22/1000000,IF(Nonlabor!$I$9="OutputM",'Monthly Growth'!D55*Assumptions!$E$23/1000000,0))))))))),0)</f>
        <v>1</v>
      </c>
      <c r="F2875" s="10" t="n">
        <f aca="false">Nonlabor!$J$9*(1+Assumptions!$E$9)^INT((C2875-1)/12)</f>
        <v>292.46464</v>
      </c>
      <c r="G2875" s="10" t="n">
        <f aca="false">E2875*F2875</f>
        <v>292.46464</v>
      </c>
      <c r="H2875" s="10" t="n">
        <f aca="false">IF(OR(Nonlabor!$L$9="Quote required",Nonlabor!$L$9="Unverified"),G2875,0)</f>
        <v>292.46464</v>
      </c>
      <c r="I2875" s="10" t="n">
        <f aca="false">IF(Nonlabor!$E$9="Core",0,G2875)</f>
        <v>0</v>
      </c>
      <c r="J2875" s="23" t="str">
        <f aca="false">Nonlabor!$B$9</f>
        <v>INFRA</v>
      </c>
    </row>
    <row r="2876" customFormat="false" ht="15" hidden="false" customHeight="false" outlineLevel="0" collapsed="false">
      <c r="A2876" s="6" t="s">
        <v>73</v>
      </c>
      <c r="B2876" s="6" t="s">
        <v>379</v>
      </c>
      <c r="C2876" s="6" t="n">
        <v>51</v>
      </c>
      <c r="D2876" s="25" t="n">
        <f aca="false">EDATE('Start Here'!$B$6,C2876-1)</f>
        <v>47849</v>
      </c>
      <c r="E2876" s="23" t="n">
        <f aca="false">IF(AND(OR(Nonlabor!$D$9="Both",Nonlabor!$D$9='Start Here'!$B$9),IF(Nonlabor!$E$9="Core",1,IF(Nonlabor!$E$9="AI",'Start Here'!$B$7,'Start Here'!$B$8))=1,C2876&gt;=IF(Nonlabor!$E$9="Core",Nonlabor!$F$9,MAX(Nonlabor!$F$9,IF(Nonlabor!$E$9="AI",Assumptions!$E$24,Assumptions!$E$25))),C2876&lt;=Nonlabor!$G$9,OR(Nonlabor!$H$9="Monthly",AND(Nonlabor!$H$9="Once",C2876=IF(Nonlabor!$E$9="Core",Nonlabor!$F$9,MAX(Nonlabor!$F$9,IF(Nonlabor!$E$9="AI",Assumptions!$E$24,Assumptions!$E$25)))),AND(Nonlabor!$H$9="Annual",MOD(C2876-IF(Nonlabor!$E$9="Core",Nonlabor!$F$9,MAX(Nonlabor!$F$9,IF(Nonlabor!$E$9="AI",Assumptions!$E$24,Assumptions!$E$25))),12)=0))),IF(Nonlabor!$I$9="Fixed",1,IF(Nonlabor!$I$9="Seats",ROUNDUP('Monthly Growth'!I56,0),IF(Nonlabor!$I$9="Customers",'Monthly Growth'!D56,IF(Nonlabor!$I$9="NewCustomers",'Monthly Growth'!C56,IF(Nonlabor!$I$9="StorageGB",'Monthly Growth'!G56,IF(Nonlabor!$I$9="LogGB",'Monthly Growth'!H56,IF(Nonlabor!$I$9="RequestsM",'Monthly Growth'!F56,IF(Nonlabor!$I$9="InputM",'Monthly Growth'!D56*Assumptions!$E$22/1000000,IF(Nonlabor!$I$9="OutputM",'Monthly Growth'!D56*Assumptions!$E$23/1000000,0))))))))),0)</f>
        <v>1</v>
      </c>
      <c r="F2876" s="10" t="n">
        <f aca="false">Nonlabor!$J$9*(1+Assumptions!$E$9)^INT((C2876-1)/12)</f>
        <v>292.46464</v>
      </c>
      <c r="G2876" s="10" t="n">
        <f aca="false">E2876*F2876</f>
        <v>292.46464</v>
      </c>
      <c r="H2876" s="10" t="n">
        <f aca="false">IF(OR(Nonlabor!$L$9="Quote required",Nonlabor!$L$9="Unverified"),G2876,0)</f>
        <v>292.46464</v>
      </c>
      <c r="I2876" s="10" t="n">
        <f aca="false">IF(Nonlabor!$E$9="Core",0,G2876)</f>
        <v>0</v>
      </c>
      <c r="J2876" s="23" t="str">
        <f aca="false">Nonlabor!$B$9</f>
        <v>INFRA</v>
      </c>
    </row>
    <row r="2877" customFormat="false" ht="15" hidden="false" customHeight="false" outlineLevel="0" collapsed="false">
      <c r="A2877" s="6" t="s">
        <v>73</v>
      </c>
      <c r="B2877" s="6" t="s">
        <v>379</v>
      </c>
      <c r="C2877" s="6" t="n">
        <v>52</v>
      </c>
      <c r="D2877" s="25" t="n">
        <f aca="false">EDATE('Start Here'!$B$6,C2877-1)</f>
        <v>47880</v>
      </c>
      <c r="E2877" s="23" t="n">
        <f aca="false">IF(AND(OR(Nonlabor!$D$9="Both",Nonlabor!$D$9='Start Here'!$B$9),IF(Nonlabor!$E$9="Core",1,IF(Nonlabor!$E$9="AI",'Start Here'!$B$7,'Start Here'!$B$8))=1,C2877&gt;=IF(Nonlabor!$E$9="Core",Nonlabor!$F$9,MAX(Nonlabor!$F$9,IF(Nonlabor!$E$9="AI",Assumptions!$E$24,Assumptions!$E$25))),C2877&lt;=Nonlabor!$G$9,OR(Nonlabor!$H$9="Monthly",AND(Nonlabor!$H$9="Once",C2877=IF(Nonlabor!$E$9="Core",Nonlabor!$F$9,MAX(Nonlabor!$F$9,IF(Nonlabor!$E$9="AI",Assumptions!$E$24,Assumptions!$E$25)))),AND(Nonlabor!$H$9="Annual",MOD(C2877-IF(Nonlabor!$E$9="Core",Nonlabor!$F$9,MAX(Nonlabor!$F$9,IF(Nonlabor!$E$9="AI",Assumptions!$E$24,Assumptions!$E$25))),12)=0))),IF(Nonlabor!$I$9="Fixed",1,IF(Nonlabor!$I$9="Seats",ROUNDUP('Monthly Growth'!I57,0),IF(Nonlabor!$I$9="Customers",'Monthly Growth'!D57,IF(Nonlabor!$I$9="NewCustomers",'Monthly Growth'!C57,IF(Nonlabor!$I$9="StorageGB",'Monthly Growth'!G57,IF(Nonlabor!$I$9="LogGB",'Monthly Growth'!H57,IF(Nonlabor!$I$9="RequestsM",'Monthly Growth'!F57,IF(Nonlabor!$I$9="InputM",'Monthly Growth'!D57*Assumptions!$E$22/1000000,IF(Nonlabor!$I$9="OutputM",'Monthly Growth'!D57*Assumptions!$E$23/1000000,0))))))))),0)</f>
        <v>1</v>
      </c>
      <c r="F2877" s="10" t="n">
        <f aca="false">Nonlabor!$J$9*(1+Assumptions!$E$9)^INT((C2877-1)/12)</f>
        <v>292.46464</v>
      </c>
      <c r="G2877" s="10" t="n">
        <f aca="false">E2877*F2877</f>
        <v>292.46464</v>
      </c>
      <c r="H2877" s="10" t="n">
        <f aca="false">IF(OR(Nonlabor!$L$9="Quote required",Nonlabor!$L$9="Unverified"),G2877,0)</f>
        <v>292.46464</v>
      </c>
      <c r="I2877" s="10" t="n">
        <f aca="false">IF(Nonlabor!$E$9="Core",0,G2877)</f>
        <v>0</v>
      </c>
      <c r="J2877" s="23" t="str">
        <f aca="false">Nonlabor!$B$9</f>
        <v>INFRA</v>
      </c>
    </row>
    <row r="2878" customFormat="false" ht="15" hidden="false" customHeight="false" outlineLevel="0" collapsed="false">
      <c r="A2878" s="6" t="s">
        <v>73</v>
      </c>
      <c r="B2878" s="6" t="s">
        <v>379</v>
      </c>
      <c r="C2878" s="6" t="n">
        <v>53</v>
      </c>
      <c r="D2878" s="25" t="n">
        <f aca="false">EDATE('Start Here'!$B$6,C2878-1)</f>
        <v>47908</v>
      </c>
      <c r="E2878" s="23" t="n">
        <f aca="false">IF(AND(OR(Nonlabor!$D$9="Both",Nonlabor!$D$9='Start Here'!$B$9),IF(Nonlabor!$E$9="Core",1,IF(Nonlabor!$E$9="AI",'Start Here'!$B$7,'Start Here'!$B$8))=1,C2878&gt;=IF(Nonlabor!$E$9="Core",Nonlabor!$F$9,MAX(Nonlabor!$F$9,IF(Nonlabor!$E$9="AI",Assumptions!$E$24,Assumptions!$E$25))),C2878&lt;=Nonlabor!$G$9,OR(Nonlabor!$H$9="Monthly",AND(Nonlabor!$H$9="Once",C2878=IF(Nonlabor!$E$9="Core",Nonlabor!$F$9,MAX(Nonlabor!$F$9,IF(Nonlabor!$E$9="AI",Assumptions!$E$24,Assumptions!$E$25)))),AND(Nonlabor!$H$9="Annual",MOD(C2878-IF(Nonlabor!$E$9="Core",Nonlabor!$F$9,MAX(Nonlabor!$F$9,IF(Nonlabor!$E$9="AI",Assumptions!$E$24,Assumptions!$E$25))),12)=0))),IF(Nonlabor!$I$9="Fixed",1,IF(Nonlabor!$I$9="Seats",ROUNDUP('Monthly Growth'!I58,0),IF(Nonlabor!$I$9="Customers",'Monthly Growth'!D58,IF(Nonlabor!$I$9="NewCustomers",'Monthly Growth'!C58,IF(Nonlabor!$I$9="StorageGB",'Monthly Growth'!G58,IF(Nonlabor!$I$9="LogGB",'Monthly Growth'!H58,IF(Nonlabor!$I$9="RequestsM",'Monthly Growth'!F58,IF(Nonlabor!$I$9="InputM",'Monthly Growth'!D58*Assumptions!$E$22/1000000,IF(Nonlabor!$I$9="OutputM",'Monthly Growth'!D58*Assumptions!$E$23/1000000,0))))))))),0)</f>
        <v>1</v>
      </c>
      <c r="F2878" s="10" t="n">
        <f aca="false">Nonlabor!$J$9*(1+Assumptions!$E$9)^INT((C2878-1)/12)</f>
        <v>292.46464</v>
      </c>
      <c r="G2878" s="10" t="n">
        <f aca="false">E2878*F2878</f>
        <v>292.46464</v>
      </c>
      <c r="H2878" s="10" t="n">
        <f aca="false">IF(OR(Nonlabor!$L$9="Quote required",Nonlabor!$L$9="Unverified"),G2878,0)</f>
        <v>292.46464</v>
      </c>
      <c r="I2878" s="10" t="n">
        <f aca="false">IF(Nonlabor!$E$9="Core",0,G2878)</f>
        <v>0</v>
      </c>
      <c r="J2878" s="23" t="str">
        <f aca="false">Nonlabor!$B$9</f>
        <v>INFRA</v>
      </c>
    </row>
    <row r="2879" customFormat="false" ht="15" hidden="false" customHeight="false" outlineLevel="0" collapsed="false">
      <c r="A2879" s="6" t="s">
        <v>73</v>
      </c>
      <c r="B2879" s="6" t="s">
        <v>379</v>
      </c>
      <c r="C2879" s="6" t="n">
        <v>54</v>
      </c>
      <c r="D2879" s="25" t="n">
        <f aca="false">EDATE('Start Here'!$B$6,C2879-1)</f>
        <v>47939</v>
      </c>
      <c r="E2879" s="23" t="n">
        <f aca="false">IF(AND(OR(Nonlabor!$D$9="Both",Nonlabor!$D$9='Start Here'!$B$9),IF(Nonlabor!$E$9="Core",1,IF(Nonlabor!$E$9="AI",'Start Here'!$B$7,'Start Here'!$B$8))=1,C2879&gt;=IF(Nonlabor!$E$9="Core",Nonlabor!$F$9,MAX(Nonlabor!$F$9,IF(Nonlabor!$E$9="AI",Assumptions!$E$24,Assumptions!$E$25))),C2879&lt;=Nonlabor!$G$9,OR(Nonlabor!$H$9="Monthly",AND(Nonlabor!$H$9="Once",C2879=IF(Nonlabor!$E$9="Core",Nonlabor!$F$9,MAX(Nonlabor!$F$9,IF(Nonlabor!$E$9="AI",Assumptions!$E$24,Assumptions!$E$25)))),AND(Nonlabor!$H$9="Annual",MOD(C2879-IF(Nonlabor!$E$9="Core",Nonlabor!$F$9,MAX(Nonlabor!$F$9,IF(Nonlabor!$E$9="AI",Assumptions!$E$24,Assumptions!$E$25))),12)=0))),IF(Nonlabor!$I$9="Fixed",1,IF(Nonlabor!$I$9="Seats",ROUNDUP('Monthly Growth'!I59,0),IF(Nonlabor!$I$9="Customers",'Monthly Growth'!D59,IF(Nonlabor!$I$9="NewCustomers",'Monthly Growth'!C59,IF(Nonlabor!$I$9="StorageGB",'Monthly Growth'!G59,IF(Nonlabor!$I$9="LogGB",'Monthly Growth'!H59,IF(Nonlabor!$I$9="RequestsM",'Monthly Growth'!F59,IF(Nonlabor!$I$9="InputM",'Monthly Growth'!D59*Assumptions!$E$22/1000000,IF(Nonlabor!$I$9="OutputM",'Monthly Growth'!D59*Assumptions!$E$23/1000000,0))))))))),0)</f>
        <v>1</v>
      </c>
      <c r="F2879" s="10" t="n">
        <f aca="false">Nonlabor!$J$9*(1+Assumptions!$E$9)^INT((C2879-1)/12)</f>
        <v>292.46464</v>
      </c>
      <c r="G2879" s="10" t="n">
        <f aca="false">E2879*F2879</f>
        <v>292.46464</v>
      </c>
      <c r="H2879" s="10" t="n">
        <f aca="false">IF(OR(Nonlabor!$L$9="Quote required",Nonlabor!$L$9="Unverified"),G2879,0)</f>
        <v>292.46464</v>
      </c>
      <c r="I2879" s="10" t="n">
        <f aca="false">IF(Nonlabor!$E$9="Core",0,G2879)</f>
        <v>0</v>
      </c>
      <c r="J2879" s="23" t="str">
        <f aca="false">Nonlabor!$B$9</f>
        <v>INFRA</v>
      </c>
    </row>
    <row r="2880" customFormat="false" ht="15" hidden="false" customHeight="false" outlineLevel="0" collapsed="false">
      <c r="A2880" s="6" t="s">
        <v>73</v>
      </c>
      <c r="B2880" s="6" t="s">
        <v>379</v>
      </c>
      <c r="C2880" s="6" t="n">
        <v>55</v>
      </c>
      <c r="D2880" s="25" t="n">
        <f aca="false">EDATE('Start Here'!$B$6,C2880-1)</f>
        <v>47969</v>
      </c>
      <c r="E2880" s="23" t="n">
        <f aca="false">IF(AND(OR(Nonlabor!$D$9="Both",Nonlabor!$D$9='Start Here'!$B$9),IF(Nonlabor!$E$9="Core",1,IF(Nonlabor!$E$9="AI",'Start Here'!$B$7,'Start Here'!$B$8))=1,C2880&gt;=IF(Nonlabor!$E$9="Core",Nonlabor!$F$9,MAX(Nonlabor!$F$9,IF(Nonlabor!$E$9="AI",Assumptions!$E$24,Assumptions!$E$25))),C2880&lt;=Nonlabor!$G$9,OR(Nonlabor!$H$9="Monthly",AND(Nonlabor!$H$9="Once",C2880=IF(Nonlabor!$E$9="Core",Nonlabor!$F$9,MAX(Nonlabor!$F$9,IF(Nonlabor!$E$9="AI",Assumptions!$E$24,Assumptions!$E$25)))),AND(Nonlabor!$H$9="Annual",MOD(C2880-IF(Nonlabor!$E$9="Core",Nonlabor!$F$9,MAX(Nonlabor!$F$9,IF(Nonlabor!$E$9="AI",Assumptions!$E$24,Assumptions!$E$25))),12)=0))),IF(Nonlabor!$I$9="Fixed",1,IF(Nonlabor!$I$9="Seats",ROUNDUP('Monthly Growth'!I60,0),IF(Nonlabor!$I$9="Customers",'Monthly Growth'!D60,IF(Nonlabor!$I$9="NewCustomers",'Monthly Growth'!C60,IF(Nonlabor!$I$9="StorageGB",'Monthly Growth'!G60,IF(Nonlabor!$I$9="LogGB",'Monthly Growth'!H60,IF(Nonlabor!$I$9="RequestsM",'Monthly Growth'!F60,IF(Nonlabor!$I$9="InputM",'Monthly Growth'!D60*Assumptions!$E$22/1000000,IF(Nonlabor!$I$9="OutputM",'Monthly Growth'!D60*Assumptions!$E$23/1000000,0))))))))),0)</f>
        <v>1</v>
      </c>
      <c r="F2880" s="10" t="n">
        <f aca="false">Nonlabor!$J$9*(1+Assumptions!$E$9)^INT((C2880-1)/12)</f>
        <v>292.46464</v>
      </c>
      <c r="G2880" s="10" t="n">
        <f aca="false">E2880*F2880</f>
        <v>292.46464</v>
      </c>
      <c r="H2880" s="10" t="n">
        <f aca="false">IF(OR(Nonlabor!$L$9="Quote required",Nonlabor!$L$9="Unverified"),G2880,0)</f>
        <v>292.46464</v>
      </c>
      <c r="I2880" s="10" t="n">
        <f aca="false">IF(Nonlabor!$E$9="Core",0,G2880)</f>
        <v>0</v>
      </c>
      <c r="J2880" s="23" t="str">
        <f aca="false">Nonlabor!$B$9</f>
        <v>INFRA</v>
      </c>
    </row>
    <row r="2881" customFormat="false" ht="15" hidden="false" customHeight="false" outlineLevel="0" collapsed="false">
      <c r="A2881" s="6" t="s">
        <v>73</v>
      </c>
      <c r="B2881" s="6" t="s">
        <v>379</v>
      </c>
      <c r="C2881" s="6" t="n">
        <v>56</v>
      </c>
      <c r="D2881" s="25" t="n">
        <f aca="false">EDATE('Start Here'!$B$6,C2881-1)</f>
        <v>48000</v>
      </c>
      <c r="E2881" s="23" t="n">
        <f aca="false">IF(AND(OR(Nonlabor!$D$9="Both",Nonlabor!$D$9='Start Here'!$B$9),IF(Nonlabor!$E$9="Core",1,IF(Nonlabor!$E$9="AI",'Start Here'!$B$7,'Start Here'!$B$8))=1,C2881&gt;=IF(Nonlabor!$E$9="Core",Nonlabor!$F$9,MAX(Nonlabor!$F$9,IF(Nonlabor!$E$9="AI",Assumptions!$E$24,Assumptions!$E$25))),C2881&lt;=Nonlabor!$G$9,OR(Nonlabor!$H$9="Monthly",AND(Nonlabor!$H$9="Once",C2881=IF(Nonlabor!$E$9="Core",Nonlabor!$F$9,MAX(Nonlabor!$F$9,IF(Nonlabor!$E$9="AI",Assumptions!$E$24,Assumptions!$E$25)))),AND(Nonlabor!$H$9="Annual",MOD(C2881-IF(Nonlabor!$E$9="Core",Nonlabor!$F$9,MAX(Nonlabor!$F$9,IF(Nonlabor!$E$9="AI",Assumptions!$E$24,Assumptions!$E$25))),12)=0))),IF(Nonlabor!$I$9="Fixed",1,IF(Nonlabor!$I$9="Seats",ROUNDUP('Monthly Growth'!I61,0),IF(Nonlabor!$I$9="Customers",'Monthly Growth'!D61,IF(Nonlabor!$I$9="NewCustomers",'Monthly Growth'!C61,IF(Nonlabor!$I$9="StorageGB",'Monthly Growth'!G61,IF(Nonlabor!$I$9="LogGB",'Monthly Growth'!H61,IF(Nonlabor!$I$9="RequestsM",'Monthly Growth'!F61,IF(Nonlabor!$I$9="InputM",'Monthly Growth'!D61*Assumptions!$E$22/1000000,IF(Nonlabor!$I$9="OutputM",'Monthly Growth'!D61*Assumptions!$E$23/1000000,0))))))))),0)</f>
        <v>1</v>
      </c>
      <c r="F2881" s="10" t="n">
        <f aca="false">Nonlabor!$J$9*(1+Assumptions!$E$9)^INT((C2881-1)/12)</f>
        <v>292.46464</v>
      </c>
      <c r="G2881" s="10" t="n">
        <f aca="false">E2881*F2881</f>
        <v>292.46464</v>
      </c>
      <c r="H2881" s="10" t="n">
        <f aca="false">IF(OR(Nonlabor!$L$9="Quote required",Nonlabor!$L$9="Unverified"),G2881,0)</f>
        <v>292.46464</v>
      </c>
      <c r="I2881" s="10" t="n">
        <f aca="false">IF(Nonlabor!$E$9="Core",0,G2881)</f>
        <v>0</v>
      </c>
      <c r="J2881" s="23" t="str">
        <f aca="false">Nonlabor!$B$9</f>
        <v>INFRA</v>
      </c>
    </row>
    <row r="2882" customFormat="false" ht="15" hidden="false" customHeight="false" outlineLevel="0" collapsed="false">
      <c r="A2882" s="6" t="s">
        <v>73</v>
      </c>
      <c r="B2882" s="6" t="s">
        <v>379</v>
      </c>
      <c r="C2882" s="6" t="n">
        <v>57</v>
      </c>
      <c r="D2882" s="25" t="n">
        <f aca="false">EDATE('Start Here'!$B$6,C2882-1)</f>
        <v>48030</v>
      </c>
      <c r="E2882" s="23" t="n">
        <f aca="false">IF(AND(OR(Nonlabor!$D$9="Both",Nonlabor!$D$9='Start Here'!$B$9),IF(Nonlabor!$E$9="Core",1,IF(Nonlabor!$E$9="AI",'Start Here'!$B$7,'Start Here'!$B$8))=1,C2882&gt;=IF(Nonlabor!$E$9="Core",Nonlabor!$F$9,MAX(Nonlabor!$F$9,IF(Nonlabor!$E$9="AI",Assumptions!$E$24,Assumptions!$E$25))),C2882&lt;=Nonlabor!$G$9,OR(Nonlabor!$H$9="Monthly",AND(Nonlabor!$H$9="Once",C2882=IF(Nonlabor!$E$9="Core",Nonlabor!$F$9,MAX(Nonlabor!$F$9,IF(Nonlabor!$E$9="AI",Assumptions!$E$24,Assumptions!$E$25)))),AND(Nonlabor!$H$9="Annual",MOD(C2882-IF(Nonlabor!$E$9="Core",Nonlabor!$F$9,MAX(Nonlabor!$F$9,IF(Nonlabor!$E$9="AI",Assumptions!$E$24,Assumptions!$E$25))),12)=0))),IF(Nonlabor!$I$9="Fixed",1,IF(Nonlabor!$I$9="Seats",ROUNDUP('Monthly Growth'!I62,0),IF(Nonlabor!$I$9="Customers",'Monthly Growth'!D62,IF(Nonlabor!$I$9="NewCustomers",'Monthly Growth'!C62,IF(Nonlabor!$I$9="StorageGB",'Monthly Growth'!G62,IF(Nonlabor!$I$9="LogGB",'Monthly Growth'!H62,IF(Nonlabor!$I$9="RequestsM",'Monthly Growth'!F62,IF(Nonlabor!$I$9="InputM",'Monthly Growth'!D62*Assumptions!$E$22/1000000,IF(Nonlabor!$I$9="OutputM",'Monthly Growth'!D62*Assumptions!$E$23/1000000,0))))))))),0)</f>
        <v>1</v>
      </c>
      <c r="F2882" s="10" t="n">
        <f aca="false">Nonlabor!$J$9*(1+Assumptions!$E$9)^INT((C2882-1)/12)</f>
        <v>292.46464</v>
      </c>
      <c r="G2882" s="10" t="n">
        <f aca="false">E2882*F2882</f>
        <v>292.46464</v>
      </c>
      <c r="H2882" s="10" t="n">
        <f aca="false">IF(OR(Nonlabor!$L$9="Quote required",Nonlabor!$L$9="Unverified"),G2882,0)</f>
        <v>292.46464</v>
      </c>
      <c r="I2882" s="10" t="n">
        <f aca="false">IF(Nonlabor!$E$9="Core",0,G2882)</f>
        <v>0</v>
      </c>
      <c r="J2882" s="23" t="str">
        <f aca="false">Nonlabor!$B$9</f>
        <v>INFRA</v>
      </c>
    </row>
    <row r="2883" customFormat="false" ht="15" hidden="false" customHeight="false" outlineLevel="0" collapsed="false">
      <c r="A2883" s="6" t="s">
        <v>73</v>
      </c>
      <c r="B2883" s="6" t="s">
        <v>379</v>
      </c>
      <c r="C2883" s="6" t="n">
        <v>58</v>
      </c>
      <c r="D2883" s="25" t="n">
        <f aca="false">EDATE('Start Here'!$B$6,C2883-1)</f>
        <v>48061</v>
      </c>
      <c r="E2883" s="23" t="n">
        <f aca="false">IF(AND(OR(Nonlabor!$D$9="Both",Nonlabor!$D$9='Start Here'!$B$9),IF(Nonlabor!$E$9="Core",1,IF(Nonlabor!$E$9="AI",'Start Here'!$B$7,'Start Here'!$B$8))=1,C2883&gt;=IF(Nonlabor!$E$9="Core",Nonlabor!$F$9,MAX(Nonlabor!$F$9,IF(Nonlabor!$E$9="AI",Assumptions!$E$24,Assumptions!$E$25))),C2883&lt;=Nonlabor!$G$9,OR(Nonlabor!$H$9="Monthly",AND(Nonlabor!$H$9="Once",C2883=IF(Nonlabor!$E$9="Core",Nonlabor!$F$9,MAX(Nonlabor!$F$9,IF(Nonlabor!$E$9="AI",Assumptions!$E$24,Assumptions!$E$25)))),AND(Nonlabor!$H$9="Annual",MOD(C2883-IF(Nonlabor!$E$9="Core",Nonlabor!$F$9,MAX(Nonlabor!$F$9,IF(Nonlabor!$E$9="AI",Assumptions!$E$24,Assumptions!$E$25))),12)=0))),IF(Nonlabor!$I$9="Fixed",1,IF(Nonlabor!$I$9="Seats",ROUNDUP('Monthly Growth'!I63,0),IF(Nonlabor!$I$9="Customers",'Monthly Growth'!D63,IF(Nonlabor!$I$9="NewCustomers",'Monthly Growth'!C63,IF(Nonlabor!$I$9="StorageGB",'Monthly Growth'!G63,IF(Nonlabor!$I$9="LogGB",'Monthly Growth'!H63,IF(Nonlabor!$I$9="RequestsM",'Monthly Growth'!F63,IF(Nonlabor!$I$9="InputM",'Monthly Growth'!D63*Assumptions!$E$22/1000000,IF(Nonlabor!$I$9="OutputM",'Monthly Growth'!D63*Assumptions!$E$23/1000000,0))))))))),0)</f>
        <v>1</v>
      </c>
      <c r="F2883" s="10" t="n">
        <f aca="false">Nonlabor!$J$9*(1+Assumptions!$E$9)^INT((C2883-1)/12)</f>
        <v>292.46464</v>
      </c>
      <c r="G2883" s="10" t="n">
        <f aca="false">E2883*F2883</f>
        <v>292.46464</v>
      </c>
      <c r="H2883" s="10" t="n">
        <f aca="false">IF(OR(Nonlabor!$L$9="Quote required",Nonlabor!$L$9="Unverified"),G2883,0)</f>
        <v>292.46464</v>
      </c>
      <c r="I2883" s="10" t="n">
        <f aca="false">IF(Nonlabor!$E$9="Core",0,G2883)</f>
        <v>0</v>
      </c>
      <c r="J2883" s="23" t="str">
        <f aca="false">Nonlabor!$B$9</f>
        <v>INFRA</v>
      </c>
    </row>
    <row r="2884" customFormat="false" ht="15" hidden="false" customHeight="false" outlineLevel="0" collapsed="false">
      <c r="A2884" s="6" t="s">
        <v>73</v>
      </c>
      <c r="B2884" s="6" t="s">
        <v>379</v>
      </c>
      <c r="C2884" s="6" t="n">
        <v>59</v>
      </c>
      <c r="D2884" s="25" t="n">
        <f aca="false">EDATE('Start Here'!$B$6,C2884-1)</f>
        <v>48092</v>
      </c>
      <c r="E2884" s="23" t="n">
        <f aca="false">IF(AND(OR(Nonlabor!$D$9="Both",Nonlabor!$D$9='Start Here'!$B$9),IF(Nonlabor!$E$9="Core",1,IF(Nonlabor!$E$9="AI",'Start Here'!$B$7,'Start Here'!$B$8))=1,C2884&gt;=IF(Nonlabor!$E$9="Core",Nonlabor!$F$9,MAX(Nonlabor!$F$9,IF(Nonlabor!$E$9="AI",Assumptions!$E$24,Assumptions!$E$25))),C2884&lt;=Nonlabor!$G$9,OR(Nonlabor!$H$9="Monthly",AND(Nonlabor!$H$9="Once",C2884=IF(Nonlabor!$E$9="Core",Nonlabor!$F$9,MAX(Nonlabor!$F$9,IF(Nonlabor!$E$9="AI",Assumptions!$E$24,Assumptions!$E$25)))),AND(Nonlabor!$H$9="Annual",MOD(C2884-IF(Nonlabor!$E$9="Core",Nonlabor!$F$9,MAX(Nonlabor!$F$9,IF(Nonlabor!$E$9="AI",Assumptions!$E$24,Assumptions!$E$25))),12)=0))),IF(Nonlabor!$I$9="Fixed",1,IF(Nonlabor!$I$9="Seats",ROUNDUP('Monthly Growth'!I64,0),IF(Nonlabor!$I$9="Customers",'Monthly Growth'!D64,IF(Nonlabor!$I$9="NewCustomers",'Monthly Growth'!C64,IF(Nonlabor!$I$9="StorageGB",'Monthly Growth'!G64,IF(Nonlabor!$I$9="LogGB",'Monthly Growth'!H64,IF(Nonlabor!$I$9="RequestsM",'Monthly Growth'!F64,IF(Nonlabor!$I$9="InputM",'Monthly Growth'!D64*Assumptions!$E$22/1000000,IF(Nonlabor!$I$9="OutputM",'Monthly Growth'!D64*Assumptions!$E$23/1000000,0))))))))),0)</f>
        <v>1</v>
      </c>
      <c r="F2884" s="10" t="n">
        <f aca="false">Nonlabor!$J$9*(1+Assumptions!$E$9)^INT((C2884-1)/12)</f>
        <v>292.46464</v>
      </c>
      <c r="G2884" s="10" t="n">
        <f aca="false">E2884*F2884</f>
        <v>292.46464</v>
      </c>
      <c r="H2884" s="10" t="n">
        <f aca="false">IF(OR(Nonlabor!$L$9="Quote required",Nonlabor!$L$9="Unverified"),G2884,0)</f>
        <v>292.46464</v>
      </c>
      <c r="I2884" s="10" t="n">
        <f aca="false">IF(Nonlabor!$E$9="Core",0,G2884)</f>
        <v>0</v>
      </c>
      <c r="J2884" s="23" t="str">
        <f aca="false">Nonlabor!$B$9</f>
        <v>INFRA</v>
      </c>
    </row>
    <row r="2885" customFormat="false" ht="15" hidden="false" customHeight="false" outlineLevel="0" collapsed="false">
      <c r="A2885" s="6" t="s">
        <v>73</v>
      </c>
      <c r="B2885" s="6" t="s">
        <v>379</v>
      </c>
      <c r="C2885" s="6" t="n">
        <v>60</v>
      </c>
      <c r="D2885" s="25" t="n">
        <f aca="false">EDATE('Start Here'!$B$6,C2885-1)</f>
        <v>48122</v>
      </c>
      <c r="E2885" s="23" t="n">
        <f aca="false">IF(AND(OR(Nonlabor!$D$9="Both",Nonlabor!$D$9='Start Here'!$B$9),IF(Nonlabor!$E$9="Core",1,IF(Nonlabor!$E$9="AI",'Start Here'!$B$7,'Start Here'!$B$8))=1,C2885&gt;=IF(Nonlabor!$E$9="Core",Nonlabor!$F$9,MAX(Nonlabor!$F$9,IF(Nonlabor!$E$9="AI",Assumptions!$E$24,Assumptions!$E$25))),C2885&lt;=Nonlabor!$G$9,OR(Nonlabor!$H$9="Monthly",AND(Nonlabor!$H$9="Once",C2885=IF(Nonlabor!$E$9="Core",Nonlabor!$F$9,MAX(Nonlabor!$F$9,IF(Nonlabor!$E$9="AI",Assumptions!$E$24,Assumptions!$E$25)))),AND(Nonlabor!$H$9="Annual",MOD(C2885-IF(Nonlabor!$E$9="Core",Nonlabor!$F$9,MAX(Nonlabor!$F$9,IF(Nonlabor!$E$9="AI",Assumptions!$E$24,Assumptions!$E$25))),12)=0))),IF(Nonlabor!$I$9="Fixed",1,IF(Nonlabor!$I$9="Seats",ROUNDUP('Monthly Growth'!I65,0),IF(Nonlabor!$I$9="Customers",'Monthly Growth'!D65,IF(Nonlabor!$I$9="NewCustomers",'Monthly Growth'!C65,IF(Nonlabor!$I$9="StorageGB",'Monthly Growth'!G65,IF(Nonlabor!$I$9="LogGB",'Monthly Growth'!H65,IF(Nonlabor!$I$9="RequestsM",'Monthly Growth'!F65,IF(Nonlabor!$I$9="InputM",'Monthly Growth'!D65*Assumptions!$E$22/1000000,IF(Nonlabor!$I$9="OutputM",'Monthly Growth'!D65*Assumptions!$E$23/1000000,0))))))))),0)</f>
        <v>1</v>
      </c>
      <c r="F2885" s="10" t="n">
        <f aca="false">Nonlabor!$J$9*(1+Assumptions!$E$9)^INT((C2885-1)/12)</f>
        <v>292.46464</v>
      </c>
      <c r="G2885" s="10" t="n">
        <f aca="false">E2885*F2885</f>
        <v>292.46464</v>
      </c>
      <c r="H2885" s="10" t="n">
        <f aca="false">IF(OR(Nonlabor!$L$9="Quote required",Nonlabor!$L$9="Unverified"),G2885,0)</f>
        <v>292.46464</v>
      </c>
      <c r="I2885" s="10" t="n">
        <f aca="false">IF(Nonlabor!$E$9="Core",0,G2885)</f>
        <v>0</v>
      </c>
      <c r="J2885" s="23" t="str">
        <f aca="false">Nonlabor!$B$9</f>
        <v>INFRA</v>
      </c>
    </row>
    <row r="2886" customFormat="false" ht="15" hidden="false" customHeight="false" outlineLevel="0" collapsed="false">
      <c r="A2886" s="6" t="s">
        <v>73</v>
      </c>
      <c r="B2886" s="6" t="s">
        <v>383</v>
      </c>
      <c r="C2886" s="6" t="n">
        <v>1</v>
      </c>
      <c r="D2886" s="25" t="n">
        <f aca="false">EDATE('Start Here'!$B$6,C2886-1)</f>
        <v>46327</v>
      </c>
      <c r="E2886" s="11" t="n">
        <f aca="false">IF(AND(OR(Nonlabor!$D$10="Both",Nonlabor!$D$10='Start Here'!$B$9),IF(Nonlabor!$E$10="Core",1,IF(Nonlabor!$E$10="AI",'Start Here'!$B$7,'Start Here'!$B$8))=1,C2886&gt;=IF(Nonlabor!$E$10="Core",Nonlabor!$F$10,MAX(Nonlabor!$F$10,IF(Nonlabor!$E$10="AI",Assumptions!$E$24,Assumptions!$E$25))),C2886&lt;=Nonlabor!$G$10,OR(Nonlabor!$H$10="Monthly",AND(Nonlabor!$H$10="Once",C2886=IF(Nonlabor!$E$10="Core",Nonlabor!$F$10,MAX(Nonlabor!$F$10,IF(Nonlabor!$E$10="AI",Assumptions!$E$24,Assumptions!$E$25)))),AND(Nonlabor!$H$10="Annual",MOD(C2886-IF(Nonlabor!$E$10="Core",Nonlabor!$F$10,MAX(Nonlabor!$F$10,IF(Nonlabor!$E$10="AI",Assumptions!$E$24,Assumptions!$E$25))),12)=0))),IF(Nonlabor!$I$10="Fixed",1,IF(Nonlabor!$I$10="Seats",ROUNDUP('Monthly Growth'!I6,0),IF(Nonlabor!$I$10="Customers",'Monthly Growth'!D6,IF(Nonlabor!$I$10="NewCustomers",'Monthly Growth'!C6,IF(Nonlabor!$I$10="StorageGB",'Monthly Growth'!G6,IF(Nonlabor!$I$10="LogGB",'Monthly Growth'!H6,IF(Nonlabor!$I$10="RequestsM",'Monthly Growth'!F6,IF(Nonlabor!$I$10="InputM",'Monthly Growth'!D6*Assumptions!$E$22/1000000,IF(Nonlabor!$I$10="OutputM",'Monthly Growth'!D6*Assumptions!$E$23/1000000,0))))))))),0)</f>
        <v>0</v>
      </c>
      <c r="F2886" s="10" t="n">
        <f aca="false">Nonlabor!$J$10*(1+Assumptions!$E$9)^INT((C2886-1)/12)</f>
        <v>0.15</v>
      </c>
      <c r="G2886" s="10" t="n">
        <f aca="false">E2886*F2886</f>
        <v>0</v>
      </c>
      <c r="H2886" s="10" t="n">
        <f aca="false">IF(OR(Nonlabor!$L$10="Quote required",Nonlabor!$L$10="Unverified"),G2886,0)</f>
        <v>0</v>
      </c>
      <c r="I2886" s="10" t="n">
        <f aca="false">IF(Nonlabor!$E$10="Core",0,G2886)</f>
        <v>0</v>
      </c>
      <c r="J2886" s="23" t="str">
        <f aca="false">Nonlabor!$B$10</f>
        <v>INFRA</v>
      </c>
    </row>
    <row r="2887" customFormat="false" ht="15" hidden="false" customHeight="false" outlineLevel="0" collapsed="false">
      <c r="A2887" s="6" t="s">
        <v>73</v>
      </c>
      <c r="B2887" s="6" t="s">
        <v>383</v>
      </c>
      <c r="C2887" s="6" t="n">
        <v>2</v>
      </c>
      <c r="D2887" s="25" t="n">
        <f aca="false">EDATE('Start Here'!$B$6,C2887-1)</f>
        <v>46357</v>
      </c>
      <c r="E2887" s="11" t="n">
        <f aca="false">IF(AND(OR(Nonlabor!$D$10="Both",Nonlabor!$D$10='Start Here'!$B$9),IF(Nonlabor!$E$10="Core",1,IF(Nonlabor!$E$10="AI",'Start Here'!$B$7,'Start Here'!$B$8))=1,C2887&gt;=IF(Nonlabor!$E$10="Core",Nonlabor!$F$10,MAX(Nonlabor!$F$10,IF(Nonlabor!$E$10="AI",Assumptions!$E$24,Assumptions!$E$25))),C2887&lt;=Nonlabor!$G$10,OR(Nonlabor!$H$10="Monthly",AND(Nonlabor!$H$10="Once",C2887=IF(Nonlabor!$E$10="Core",Nonlabor!$F$10,MAX(Nonlabor!$F$10,IF(Nonlabor!$E$10="AI",Assumptions!$E$24,Assumptions!$E$25)))),AND(Nonlabor!$H$10="Annual",MOD(C2887-IF(Nonlabor!$E$10="Core",Nonlabor!$F$10,MAX(Nonlabor!$F$10,IF(Nonlabor!$E$10="AI",Assumptions!$E$24,Assumptions!$E$25))),12)=0))),IF(Nonlabor!$I$10="Fixed",1,IF(Nonlabor!$I$10="Seats",ROUNDUP('Monthly Growth'!I7,0),IF(Nonlabor!$I$10="Customers",'Monthly Growth'!D7,IF(Nonlabor!$I$10="NewCustomers",'Monthly Growth'!C7,IF(Nonlabor!$I$10="StorageGB",'Monthly Growth'!G7,IF(Nonlabor!$I$10="LogGB",'Monthly Growth'!H7,IF(Nonlabor!$I$10="RequestsM",'Monthly Growth'!F7,IF(Nonlabor!$I$10="InputM",'Monthly Growth'!D7*Assumptions!$E$22/1000000,IF(Nonlabor!$I$10="OutputM",'Monthly Growth'!D7*Assumptions!$E$23/1000000,0))))))))),0)</f>
        <v>0</v>
      </c>
      <c r="F2887" s="10" t="n">
        <f aca="false">Nonlabor!$J$10*(1+Assumptions!$E$9)^INT((C2887-1)/12)</f>
        <v>0.15</v>
      </c>
      <c r="G2887" s="10" t="n">
        <f aca="false">E2887*F2887</f>
        <v>0</v>
      </c>
      <c r="H2887" s="10" t="n">
        <f aca="false">IF(OR(Nonlabor!$L$10="Quote required",Nonlabor!$L$10="Unverified"),G2887,0)</f>
        <v>0</v>
      </c>
      <c r="I2887" s="10" t="n">
        <f aca="false">IF(Nonlabor!$E$10="Core",0,G2887)</f>
        <v>0</v>
      </c>
      <c r="J2887" s="23" t="str">
        <f aca="false">Nonlabor!$B$10</f>
        <v>INFRA</v>
      </c>
    </row>
    <row r="2888" customFormat="false" ht="15" hidden="false" customHeight="false" outlineLevel="0" collapsed="false">
      <c r="A2888" s="6" t="s">
        <v>73</v>
      </c>
      <c r="B2888" s="6" t="s">
        <v>383</v>
      </c>
      <c r="C2888" s="6" t="n">
        <v>3</v>
      </c>
      <c r="D2888" s="25" t="n">
        <f aca="false">EDATE('Start Here'!$B$6,C2888-1)</f>
        <v>46388</v>
      </c>
      <c r="E2888" s="11" t="n">
        <f aca="false">IF(AND(OR(Nonlabor!$D$10="Both",Nonlabor!$D$10='Start Here'!$B$9),IF(Nonlabor!$E$10="Core",1,IF(Nonlabor!$E$10="AI",'Start Here'!$B$7,'Start Here'!$B$8))=1,C2888&gt;=IF(Nonlabor!$E$10="Core",Nonlabor!$F$10,MAX(Nonlabor!$F$10,IF(Nonlabor!$E$10="AI",Assumptions!$E$24,Assumptions!$E$25))),C2888&lt;=Nonlabor!$G$10,OR(Nonlabor!$H$10="Monthly",AND(Nonlabor!$H$10="Once",C2888=IF(Nonlabor!$E$10="Core",Nonlabor!$F$10,MAX(Nonlabor!$F$10,IF(Nonlabor!$E$10="AI",Assumptions!$E$24,Assumptions!$E$25)))),AND(Nonlabor!$H$10="Annual",MOD(C2888-IF(Nonlabor!$E$10="Core",Nonlabor!$F$10,MAX(Nonlabor!$F$10,IF(Nonlabor!$E$10="AI",Assumptions!$E$24,Assumptions!$E$25))),12)=0))),IF(Nonlabor!$I$10="Fixed",1,IF(Nonlabor!$I$10="Seats",ROUNDUP('Monthly Growth'!I8,0),IF(Nonlabor!$I$10="Customers",'Monthly Growth'!D8,IF(Nonlabor!$I$10="NewCustomers",'Monthly Growth'!C8,IF(Nonlabor!$I$10="StorageGB",'Monthly Growth'!G8,IF(Nonlabor!$I$10="LogGB",'Monthly Growth'!H8,IF(Nonlabor!$I$10="RequestsM",'Monthly Growth'!F8,IF(Nonlabor!$I$10="InputM",'Monthly Growth'!D8*Assumptions!$E$22/1000000,IF(Nonlabor!$I$10="OutputM",'Monthly Growth'!D8*Assumptions!$E$23/1000000,0))))))))),0)</f>
        <v>0</v>
      </c>
      <c r="F2888" s="10" t="n">
        <f aca="false">Nonlabor!$J$10*(1+Assumptions!$E$9)^INT((C2888-1)/12)</f>
        <v>0.15</v>
      </c>
      <c r="G2888" s="10" t="n">
        <f aca="false">E2888*F2888</f>
        <v>0</v>
      </c>
      <c r="H2888" s="10" t="n">
        <f aca="false">IF(OR(Nonlabor!$L$10="Quote required",Nonlabor!$L$10="Unverified"),G2888,0)</f>
        <v>0</v>
      </c>
      <c r="I2888" s="10" t="n">
        <f aca="false">IF(Nonlabor!$E$10="Core",0,G2888)</f>
        <v>0</v>
      </c>
      <c r="J2888" s="23" t="str">
        <f aca="false">Nonlabor!$B$10</f>
        <v>INFRA</v>
      </c>
    </row>
    <row r="2889" customFormat="false" ht="15" hidden="false" customHeight="false" outlineLevel="0" collapsed="false">
      <c r="A2889" s="6" t="s">
        <v>73</v>
      </c>
      <c r="B2889" s="6" t="s">
        <v>383</v>
      </c>
      <c r="C2889" s="6" t="n">
        <v>4</v>
      </c>
      <c r="D2889" s="25" t="n">
        <f aca="false">EDATE('Start Here'!$B$6,C2889-1)</f>
        <v>46419</v>
      </c>
      <c r="E2889" s="11" t="n">
        <f aca="false">IF(AND(OR(Nonlabor!$D$10="Both",Nonlabor!$D$10='Start Here'!$B$9),IF(Nonlabor!$E$10="Core",1,IF(Nonlabor!$E$10="AI",'Start Here'!$B$7,'Start Here'!$B$8))=1,C2889&gt;=IF(Nonlabor!$E$10="Core",Nonlabor!$F$10,MAX(Nonlabor!$F$10,IF(Nonlabor!$E$10="AI",Assumptions!$E$24,Assumptions!$E$25))),C2889&lt;=Nonlabor!$G$10,OR(Nonlabor!$H$10="Monthly",AND(Nonlabor!$H$10="Once",C2889=IF(Nonlabor!$E$10="Core",Nonlabor!$F$10,MAX(Nonlabor!$F$10,IF(Nonlabor!$E$10="AI",Assumptions!$E$24,Assumptions!$E$25)))),AND(Nonlabor!$H$10="Annual",MOD(C2889-IF(Nonlabor!$E$10="Core",Nonlabor!$F$10,MAX(Nonlabor!$F$10,IF(Nonlabor!$E$10="AI",Assumptions!$E$24,Assumptions!$E$25))),12)=0))),IF(Nonlabor!$I$10="Fixed",1,IF(Nonlabor!$I$10="Seats",ROUNDUP('Monthly Growth'!I9,0),IF(Nonlabor!$I$10="Customers",'Monthly Growth'!D9,IF(Nonlabor!$I$10="NewCustomers",'Monthly Growth'!C9,IF(Nonlabor!$I$10="StorageGB",'Monthly Growth'!G9,IF(Nonlabor!$I$10="LogGB",'Monthly Growth'!H9,IF(Nonlabor!$I$10="RequestsM",'Monthly Growth'!F9,IF(Nonlabor!$I$10="InputM",'Monthly Growth'!D9*Assumptions!$E$22/1000000,IF(Nonlabor!$I$10="OutputM",'Monthly Growth'!D9*Assumptions!$E$23/1000000,0))))))))),0)</f>
        <v>0</v>
      </c>
      <c r="F2889" s="10" t="n">
        <f aca="false">Nonlabor!$J$10*(1+Assumptions!$E$9)^INT((C2889-1)/12)</f>
        <v>0.15</v>
      </c>
      <c r="G2889" s="10" t="n">
        <f aca="false">E2889*F2889</f>
        <v>0</v>
      </c>
      <c r="H2889" s="10" t="n">
        <f aca="false">IF(OR(Nonlabor!$L$10="Quote required",Nonlabor!$L$10="Unverified"),G2889,0)</f>
        <v>0</v>
      </c>
      <c r="I2889" s="10" t="n">
        <f aca="false">IF(Nonlabor!$E$10="Core",0,G2889)</f>
        <v>0</v>
      </c>
      <c r="J2889" s="23" t="str">
        <f aca="false">Nonlabor!$B$10</f>
        <v>INFRA</v>
      </c>
    </row>
    <row r="2890" customFormat="false" ht="15" hidden="false" customHeight="false" outlineLevel="0" collapsed="false">
      <c r="A2890" s="6" t="s">
        <v>73</v>
      </c>
      <c r="B2890" s="6" t="s">
        <v>383</v>
      </c>
      <c r="C2890" s="6" t="n">
        <v>5</v>
      </c>
      <c r="D2890" s="25" t="n">
        <f aca="false">EDATE('Start Here'!$B$6,C2890-1)</f>
        <v>46447</v>
      </c>
      <c r="E2890" s="11" t="n">
        <f aca="false">IF(AND(OR(Nonlabor!$D$10="Both",Nonlabor!$D$10='Start Here'!$B$9),IF(Nonlabor!$E$10="Core",1,IF(Nonlabor!$E$10="AI",'Start Here'!$B$7,'Start Here'!$B$8))=1,C2890&gt;=IF(Nonlabor!$E$10="Core",Nonlabor!$F$10,MAX(Nonlabor!$F$10,IF(Nonlabor!$E$10="AI",Assumptions!$E$24,Assumptions!$E$25))),C2890&lt;=Nonlabor!$G$10,OR(Nonlabor!$H$10="Monthly",AND(Nonlabor!$H$10="Once",C2890=IF(Nonlabor!$E$10="Core",Nonlabor!$F$10,MAX(Nonlabor!$F$10,IF(Nonlabor!$E$10="AI",Assumptions!$E$24,Assumptions!$E$25)))),AND(Nonlabor!$H$10="Annual",MOD(C2890-IF(Nonlabor!$E$10="Core",Nonlabor!$F$10,MAX(Nonlabor!$F$10,IF(Nonlabor!$E$10="AI",Assumptions!$E$24,Assumptions!$E$25))),12)=0))),IF(Nonlabor!$I$10="Fixed",1,IF(Nonlabor!$I$10="Seats",ROUNDUP('Monthly Growth'!I10,0),IF(Nonlabor!$I$10="Customers",'Monthly Growth'!D10,IF(Nonlabor!$I$10="NewCustomers",'Monthly Growth'!C10,IF(Nonlabor!$I$10="StorageGB",'Monthly Growth'!G10,IF(Nonlabor!$I$10="LogGB",'Monthly Growth'!H10,IF(Nonlabor!$I$10="RequestsM",'Monthly Growth'!F10,IF(Nonlabor!$I$10="InputM",'Monthly Growth'!D10*Assumptions!$E$22/1000000,IF(Nonlabor!$I$10="OutputM",'Monthly Growth'!D10*Assumptions!$E$23/1000000,0))))))))),0)</f>
        <v>0</v>
      </c>
      <c r="F2890" s="10" t="n">
        <f aca="false">Nonlabor!$J$10*(1+Assumptions!$E$9)^INT((C2890-1)/12)</f>
        <v>0.15</v>
      </c>
      <c r="G2890" s="10" t="n">
        <f aca="false">E2890*F2890</f>
        <v>0</v>
      </c>
      <c r="H2890" s="10" t="n">
        <f aca="false">IF(OR(Nonlabor!$L$10="Quote required",Nonlabor!$L$10="Unverified"),G2890,0)</f>
        <v>0</v>
      </c>
      <c r="I2890" s="10" t="n">
        <f aca="false">IF(Nonlabor!$E$10="Core",0,G2890)</f>
        <v>0</v>
      </c>
      <c r="J2890" s="23" t="str">
        <f aca="false">Nonlabor!$B$10</f>
        <v>INFRA</v>
      </c>
    </row>
    <row r="2891" customFormat="false" ht="15" hidden="false" customHeight="false" outlineLevel="0" collapsed="false">
      <c r="A2891" s="6" t="s">
        <v>73</v>
      </c>
      <c r="B2891" s="6" t="s">
        <v>383</v>
      </c>
      <c r="C2891" s="6" t="n">
        <v>6</v>
      </c>
      <c r="D2891" s="25" t="n">
        <f aca="false">EDATE('Start Here'!$B$6,C2891-1)</f>
        <v>46478</v>
      </c>
      <c r="E2891" s="11" t="n">
        <f aca="false">IF(AND(OR(Nonlabor!$D$10="Both",Nonlabor!$D$10='Start Here'!$B$9),IF(Nonlabor!$E$10="Core",1,IF(Nonlabor!$E$10="AI",'Start Here'!$B$7,'Start Here'!$B$8))=1,C2891&gt;=IF(Nonlabor!$E$10="Core",Nonlabor!$F$10,MAX(Nonlabor!$F$10,IF(Nonlabor!$E$10="AI",Assumptions!$E$24,Assumptions!$E$25))),C2891&lt;=Nonlabor!$G$10,OR(Nonlabor!$H$10="Monthly",AND(Nonlabor!$H$10="Once",C2891=IF(Nonlabor!$E$10="Core",Nonlabor!$F$10,MAX(Nonlabor!$F$10,IF(Nonlabor!$E$10="AI",Assumptions!$E$24,Assumptions!$E$25)))),AND(Nonlabor!$H$10="Annual",MOD(C2891-IF(Nonlabor!$E$10="Core",Nonlabor!$F$10,MAX(Nonlabor!$F$10,IF(Nonlabor!$E$10="AI",Assumptions!$E$24,Assumptions!$E$25))),12)=0))),IF(Nonlabor!$I$10="Fixed",1,IF(Nonlabor!$I$10="Seats",ROUNDUP('Monthly Growth'!I11,0),IF(Nonlabor!$I$10="Customers",'Monthly Growth'!D11,IF(Nonlabor!$I$10="NewCustomers",'Monthly Growth'!C11,IF(Nonlabor!$I$10="StorageGB",'Monthly Growth'!G11,IF(Nonlabor!$I$10="LogGB",'Monthly Growth'!H11,IF(Nonlabor!$I$10="RequestsM",'Monthly Growth'!F11,IF(Nonlabor!$I$10="InputM",'Monthly Growth'!D11*Assumptions!$E$22/1000000,IF(Nonlabor!$I$10="OutputM",'Monthly Growth'!D11*Assumptions!$E$23/1000000,0))))))))),0)</f>
        <v>0</v>
      </c>
      <c r="F2891" s="10" t="n">
        <f aca="false">Nonlabor!$J$10*(1+Assumptions!$E$9)^INT((C2891-1)/12)</f>
        <v>0.15</v>
      </c>
      <c r="G2891" s="10" t="n">
        <f aca="false">E2891*F2891</f>
        <v>0</v>
      </c>
      <c r="H2891" s="10" t="n">
        <f aca="false">IF(OR(Nonlabor!$L$10="Quote required",Nonlabor!$L$10="Unverified"),G2891,0)</f>
        <v>0</v>
      </c>
      <c r="I2891" s="10" t="n">
        <f aca="false">IF(Nonlabor!$E$10="Core",0,G2891)</f>
        <v>0</v>
      </c>
      <c r="J2891" s="23" t="str">
        <f aca="false">Nonlabor!$B$10</f>
        <v>INFRA</v>
      </c>
    </row>
    <row r="2892" customFormat="false" ht="15" hidden="false" customHeight="false" outlineLevel="0" collapsed="false">
      <c r="A2892" s="6" t="s">
        <v>73</v>
      </c>
      <c r="B2892" s="6" t="s">
        <v>383</v>
      </c>
      <c r="C2892" s="6" t="n">
        <v>7</v>
      </c>
      <c r="D2892" s="25" t="n">
        <f aca="false">EDATE('Start Here'!$B$6,C2892-1)</f>
        <v>46508</v>
      </c>
      <c r="E2892" s="11" t="n">
        <f aca="false">IF(AND(OR(Nonlabor!$D$10="Both",Nonlabor!$D$10='Start Here'!$B$9),IF(Nonlabor!$E$10="Core",1,IF(Nonlabor!$E$10="AI",'Start Here'!$B$7,'Start Here'!$B$8))=1,C2892&gt;=IF(Nonlabor!$E$10="Core",Nonlabor!$F$10,MAX(Nonlabor!$F$10,IF(Nonlabor!$E$10="AI",Assumptions!$E$24,Assumptions!$E$25))),C2892&lt;=Nonlabor!$G$10,OR(Nonlabor!$H$10="Monthly",AND(Nonlabor!$H$10="Once",C2892=IF(Nonlabor!$E$10="Core",Nonlabor!$F$10,MAX(Nonlabor!$F$10,IF(Nonlabor!$E$10="AI",Assumptions!$E$24,Assumptions!$E$25)))),AND(Nonlabor!$H$10="Annual",MOD(C2892-IF(Nonlabor!$E$10="Core",Nonlabor!$F$10,MAX(Nonlabor!$F$10,IF(Nonlabor!$E$10="AI",Assumptions!$E$24,Assumptions!$E$25))),12)=0))),IF(Nonlabor!$I$10="Fixed",1,IF(Nonlabor!$I$10="Seats",ROUNDUP('Monthly Growth'!I12,0),IF(Nonlabor!$I$10="Customers",'Monthly Growth'!D12,IF(Nonlabor!$I$10="NewCustomers",'Monthly Growth'!C12,IF(Nonlabor!$I$10="StorageGB",'Monthly Growth'!G12,IF(Nonlabor!$I$10="LogGB",'Monthly Growth'!H12,IF(Nonlabor!$I$10="RequestsM",'Monthly Growth'!F12,IF(Nonlabor!$I$10="InputM",'Monthly Growth'!D12*Assumptions!$E$22/1000000,IF(Nonlabor!$I$10="OutputM",'Monthly Growth'!D12*Assumptions!$E$23/1000000,0))))))))),0)</f>
        <v>0</v>
      </c>
      <c r="F2892" s="10" t="n">
        <f aca="false">Nonlabor!$J$10*(1+Assumptions!$E$9)^INT((C2892-1)/12)</f>
        <v>0.15</v>
      </c>
      <c r="G2892" s="10" t="n">
        <f aca="false">E2892*F2892</f>
        <v>0</v>
      </c>
      <c r="H2892" s="10" t="n">
        <f aca="false">IF(OR(Nonlabor!$L$10="Quote required",Nonlabor!$L$10="Unverified"),G2892,0)</f>
        <v>0</v>
      </c>
      <c r="I2892" s="10" t="n">
        <f aca="false">IF(Nonlabor!$E$10="Core",0,G2892)</f>
        <v>0</v>
      </c>
      <c r="J2892" s="23" t="str">
        <f aca="false">Nonlabor!$B$10</f>
        <v>INFRA</v>
      </c>
    </row>
    <row r="2893" customFormat="false" ht="15" hidden="false" customHeight="false" outlineLevel="0" collapsed="false">
      <c r="A2893" s="6" t="s">
        <v>73</v>
      </c>
      <c r="B2893" s="6" t="s">
        <v>383</v>
      </c>
      <c r="C2893" s="6" t="n">
        <v>8</v>
      </c>
      <c r="D2893" s="25" t="n">
        <f aca="false">EDATE('Start Here'!$B$6,C2893-1)</f>
        <v>46539</v>
      </c>
      <c r="E2893" s="11" t="n">
        <f aca="false">IF(AND(OR(Nonlabor!$D$10="Both",Nonlabor!$D$10='Start Here'!$B$9),IF(Nonlabor!$E$10="Core",1,IF(Nonlabor!$E$10="AI",'Start Here'!$B$7,'Start Here'!$B$8))=1,C2893&gt;=IF(Nonlabor!$E$10="Core",Nonlabor!$F$10,MAX(Nonlabor!$F$10,IF(Nonlabor!$E$10="AI",Assumptions!$E$24,Assumptions!$E$25))),C2893&lt;=Nonlabor!$G$10,OR(Nonlabor!$H$10="Monthly",AND(Nonlabor!$H$10="Once",C2893=IF(Nonlabor!$E$10="Core",Nonlabor!$F$10,MAX(Nonlabor!$F$10,IF(Nonlabor!$E$10="AI",Assumptions!$E$24,Assumptions!$E$25)))),AND(Nonlabor!$H$10="Annual",MOD(C2893-IF(Nonlabor!$E$10="Core",Nonlabor!$F$10,MAX(Nonlabor!$F$10,IF(Nonlabor!$E$10="AI",Assumptions!$E$24,Assumptions!$E$25))),12)=0))),IF(Nonlabor!$I$10="Fixed",1,IF(Nonlabor!$I$10="Seats",ROUNDUP('Monthly Growth'!I13,0),IF(Nonlabor!$I$10="Customers",'Monthly Growth'!D13,IF(Nonlabor!$I$10="NewCustomers",'Monthly Growth'!C13,IF(Nonlabor!$I$10="StorageGB",'Monthly Growth'!G13,IF(Nonlabor!$I$10="LogGB",'Monthly Growth'!H13,IF(Nonlabor!$I$10="RequestsM",'Monthly Growth'!F13,IF(Nonlabor!$I$10="InputM",'Monthly Growth'!D13*Assumptions!$E$22/1000000,IF(Nonlabor!$I$10="OutputM",'Monthly Growth'!D13*Assumptions!$E$23/1000000,0))))))))),0)</f>
        <v>0</v>
      </c>
      <c r="F2893" s="10" t="n">
        <f aca="false">Nonlabor!$J$10*(1+Assumptions!$E$9)^INT((C2893-1)/12)</f>
        <v>0.15</v>
      </c>
      <c r="G2893" s="10" t="n">
        <f aca="false">E2893*F2893</f>
        <v>0</v>
      </c>
      <c r="H2893" s="10" t="n">
        <f aca="false">IF(OR(Nonlabor!$L$10="Quote required",Nonlabor!$L$10="Unverified"),G2893,0)</f>
        <v>0</v>
      </c>
      <c r="I2893" s="10" t="n">
        <f aca="false">IF(Nonlabor!$E$10="Core",0,G2893)</f>
        <v>0</v>
      </c>
      <c r="J2893" s="23" t="str">
        <f aca="false">Nonlabor!$B$10</f>
        <v>INFRA</v>
      </c>
    </row>
    <row r="2894" customFormat="false" ht="15" hidden="false" customHeight="false" outlineLevel="0" collapsed="false">
      <c r="A2894" s="6" t="s">
        <v>73</v>
      </c>
      <c r="B2894" s="6" t="s">
        <v>383</v>
      </c>
      <c r="C2894" s="6" t="n">
        <v>9</v>
      </c>
      <c r="D2894" s="25" t="n">
        <f aca="false">EDATE('Start Here'!$B$6,C2894-1)</f>
        <v>46569</v>
      </c>
      <c r="E2894" s="11" t="n">
        <f aca="false">IF(AND(OR(Nonlabor!$D$10="Both",Nonlabor!$D$10='Start Here'!$B$9),IF(Nonlabor!$E$10="Core",1,IF(Nonlabor!$E$10="AI",'Start Here'!$B$7,'Start Here'!$B$8))=1,C2894&gt;=IF(Nonlabor!$E$10="Core",Nonlabor!$F$10,MAX(Nonlabor!$F$10,IF(Nonlabor!$E$10="AI",Assumptions!$E$24,Assumptions!$E$25))),C2894&lt;=Nonlabor!$G$10,OR(Nonlabor!$H$10="Monthly",AND(Nonlabor!$H$10="Once",C2894=IF(Nonlabor!$E$10="Core",Nonlabor!$F$10,MAX(Nonlabor!$F$10,IF(Nonlabor!$E$10="AI",Assumptions!$E$24,Assumptions!$E$25)))),AND(Nonlabor!$H$10="Annual",MOD(C2894-IF(Nonlabor!$E$10="Core",Nonlabor!$F$10,MAX(Nonlabor!$F$10,IF(Nonlabor!$E$10="AI",Assumptions!$E$24,Assumptions!$E$25))),12)=0))),IF(Nonlabor!$I$10="Fixed",1,IF(Nonlabor!$I$10="Seats",ROUNDUP('Monthly Growth'!I14,0),IF(Nonlabor!$I$10="Customers",'Monthly Growth'!D14,IF(Nonlabor!$I$10="NewCustomers",'Monthly Growth'!C14,IF(Nonlabor!$I$10="StorageGB",'Monthly Growth'!G14,IF(Nonlabor!$I$10="LogGB",'Monthly Growth'!H14,IF(Nonlabor!$I$10="RequestsM",'Monthly Growth'!F14,IF(Nonlabor!$I$10="InputM",'Monthly Growth'!D14*Assumptions!$E$22/1000000,IF(Nonlabor!$I$10="OutputM",'Monthly Growth'!D14*Assumptions!$E$23/1000000,0))))))))),0)</f>
        <v>0</v>
      </c>
      <c r="F2894" s="10" t="n">
        <f aca="false">Nonlabor!$J$10*(1+Assumptions!$E$9)^INT((C2894-1)/12)</f>
        <v>0.15</v>
      </c>
      <c r="G2894" s="10" t="n">
        <f aca="false">E2894*F2894</f>
        <v>0</v>
      </c>
      <c r="H2894" s="10" t="n">
        <f aca="false">IF(OR(Nonlabor!$L$10="Quote required",Nonlabor!$L$10="Unverified"),G2894,0)</f>
        <v>0</v>
      </c>
      <c r="I2894" s="10" t="n">
        <f aca="false">IF(Nonlabor!$E$10="Core",0,G2894)</f>
        <v>0</v>
      </c>
      <c r="J2894" s="23" t="str">
        <f aca="false">Nonlabor!$B$10</f>
        <v>INFRA</v>
      </c>
    </row>
    <row r="2895" customFormat="false" ht="15" hidden="false" customHeight="false" outlineLevel="0" collapsed="false">
      <c r="A2895" s="6" t="s">
        <v>73</v>
      </c>
      <c r="B2895" s="6" t="s">
        <v>383</v>
      </c>
      <c r="C2895" s="6" t="n">
        <v>10</v>
      </c>
      <c r="D2895" s="25" t="n">
        <f aca="false">EDATE('Start Here'!$B$6,C2895-1)</f>
        <v>46600</v>
      </c>
      <c r="E2895" s="11" t="n">
        <f aca="false">IF(AND(OR(Nonlabor!$D$10="Both",Nonlabor!$D$10='Start Here'!$B$9),IF(Nonlabor!$E$10="Core",1,IF(Nonlabor!$E$10="AI",'Start Here'!$B$7,'Start Here'!$B$8))=1,C2895&gt;=IF(Nonlabor!$E$10="Core",Nonlabor!$F$10,MAX(Nonlabor!$F$10,IF(Nonlabor!$E$10="AI",Assumptions!$E$24,Assumptions!$E$25))),C2895&lt;=Nonlabor!$G$10,OR(Nonlabor!$H$10="Monthly",AND(Nonlabor!$H$10="Once",C2895=IF(Nonlabor!$E$10="Core",Nonlabor!$F$10,MAX(Nonlabor!$F$10,IF(Nonlabor!$E$10="AI",Assumptions!$E$24,Assumptions!$E$25)))),AND(Nonlabor!$H$10="Annual",MOD(C2895-IF(Nonlabor!$E$10="Core",Nonlabor!$F$10,MAX(Nonlabor!$F$10,IF(Nonlabor!$E$10="AI",Assumptions!$E$24,Assumptions!$E$25))),12)=0))),IF(Nonlabor!$I$10="Fixed",1,IF(Nonlabor!$I$10="Seats",ROUNDUP('Monthly Growth'!I15,0),IF(Nonlabor!$I$10="Customers",'Monthly Growth'!D15,IF(Nonlabor!$I$10="NewCustomers",'Monthly Growth'!C15,IF(Nonlabor!$I$10="StorageGB",'Monthly Growth'!G15,IF(Nonlabor!$I$10="LogGB",'Monthly Growth'!H15,IF(Nonlabor!$I$10="RequestsM",'Monthly Growth'!F15,IF(Nonlabor!$I$10="InputM",'Monthly Growth'!D15*Assumptions!$E$22/1000000,IF(Nonlabor!$I$10="OutputM",'Monthly Growth'!D15*Assumptions!$E$23/1000000,0))))))))),0)</f>
        <v>0</v>
      </c>
      <c r="F2895" s="10" t="n">
        <f aca="false">Nonlabor!$J$10*(1+Assumptions!$E$9)^INT((C2895-1)/12)</f>
        <v>0.15</v>
      </c>
      <c r="G2895" s="10" t="n">
        <f aca="false">E2895*F2895</f>
        <v>0</v>
      </c>
      <c r="H2895" s="10" t="n">
        <f aca="false">IF(OR(Nonlabor!$L$10="Quote required",Nonlabor!$L$10="Unverified"),G2895,0)</f>
        <v>0</v>
      </c>
      <c r="I2895" s="10" t="n">
        <f aca="false">IF(Nonlabor!$E$10="Core",0,G2895)</f>
        <v>0</v>
      </c>
      <c r="J2895" s="23" t="str">
        <f aca="false">Nonlabor!$B$10</f>
        <v>INFRA</v>
      </c>
    </row>
    <row r="2896" customFormat="false" ht="15" hidden="false" customHeight="false" outlineLevel="0" collapsed="false">
      <c r="A2896" s="6" t="s">
        <v>73</v>
      </c>
      <c r="B2896" s="6" t="s">
        <v>383</v>
      </c>
      <c r="C2896" s="6" t="n">
        <v>11</v>
      </c>
      <c r="D2896" s="25" t="n">
        <f aca="false">EDATE('Start Here'!$B$6,C2896-1)</f>
        <v>46631</v>
      </c>
      <c r="E2896" s="11" t="n">
        <f aca="false">IF(AND(OR(Nonlabor!$D$10="Both",Nonlabor!$D$10='Start Here'!$B$9),IF(Nonlabor!$E$10="Core",1,IF(Nonlabor!$E$10="AI",'Start Here'!$B$7,'Start Here'!$B$8))=1,C2896&gt;=IF(Nonlabor!$E$10="Core",Nonlabor!$F$10,MAX(Nonlabor!$F$10,IF(Nonlabor!$E$10="AI",Assumptions!$E$24,Assumptions!$E$25))),C2896&lt;=Nonlabor!$G$10,OR(Nonlabor!$H$10="Monthly",AND(Nonlabor!$H$10="Once",C2896=IF(Nonlabor!$E$10="Core",Nonlabor!$F$10,MAX(Nonlabor!$F$10,IF(Nonlabor!$E$10="AI",Assumptions!$E$24,Assumptions!$E$25)))),AND(Nonlabor!$H$10="Annual",MOD(C2896-IF(Nonlabor!$E$10="Core",Nonlabor!$F$10,MAX(Nonlabor!$F$10,IF(Nonlabor!$E$10="AI",Assumptions!$E$24,Assumptions!$E$25))),12)=0))),IF(Nonlabor!$I$10="Fixed",1,IF(Nonlabor!$I$10="Seats",ROUNDUP('Monthly Growth'!I16,0),IF(Nonlabor!$I$10="Customers",'Monthly Growth'!D16,IF(Nonlabor!$I$10="NewCustomers",'Monthly Growth'!C16,IF(Nonlabor!$I$10="StorageGB",'Monthly Growth'!G16,IF(Nonlabor!$I$10="LogGB",'Monthly Growth'!H16,IF(Nonlabor!$I$10="RequestsM",'Monthly Growth'!F16,IF(Nonlabor!$I$10="InputM",'Monthly Growth'!D16*Assumptions!$E$22/1000000,IF(Nonlabor!$I$10="OutputM",'Monthly Growth'!D16*Assumptions!$E$23/1000000,0))))))))),0)</f>
        <v>0</v>
      </c>
      <c r="F2896" s="10" t="n">
        <f aca="false">Nonlabor!$J$10*(1+Assumptions!$E$9)^INT((C2896-1)/12)</f>
        <v>0.15</v>
      </c>
      <c r="G2896" s="10" t="n">
        <f aca="false">E2896*F2896</f>
        <v>0</v>
      </c>
      <c r="H2896" s="10" t="n">
        <f aca="false">IF(OR(Nonlabor!$L$10="Quote required",Nonlabor!$L$10="Unverified"),G2896,0)</f>
        <v>0</v>
      </c>
      <c r="I2896" s="10" t="n">
        <f aca="false">IF(Nonlabor!$E$10="Core",0,G2896)</f>
        <v>0</v>
      </c>
      <c r="J2896" s="23" t="str">
        <f aca="false">Nonlabor!$B$10</f>
        <v>INFRA</v>
      </c>
    </row>
    <row r="2897" customFormat="false" ht="15" hidden="false" customHeight="false" outlineLevel="0" collapsed="false">
      <c r="A2897" s="6" t="s">
        <v>73</v>
      </c>
      <c r="B2897" s="6" t="s">
        <v>383</v>
      </c>
      <c r="C2897" s="6" t="n">
        <v>12</v>
      </c>
      <c r="D2897" s="25" t="n">
        <f aca="false">EDATE('Start Here'!$B$6,C2897-1)</f>
        <v>46661</v>
      </c>
      <c r="E2897" s="11" t="n">
        <f aca="false">IF(AND(OR(Nonlabor!$D$10="Both",Nonlabor!$D$10='Start Here'!$B$9),IF(Nonlabor!$E$10="Core",1,IF(Nonlabor!$E$10="AI",'Start Here'!$B$7,'Start Here'!$B$8))=1,C2897&gt;=IF(Nonlabor!$E$10="Core",Nonlabor!$F$10,MAX(Nonlabor!$F$10,IF(Nonlabor!$E$10="AI",Assumptions!$E$24,Assumptions!$E$25))),C2897&lt;=Nonlabor!$G$10,OR(Nonlabor!$H$10="Monthly",AND(Nonlabor!$H$10="Once",C2897=IF(Nonlabor!$E$10="Core",Nonlabor!$F$10,MAX(Nonlabor!$F$10,IF(Nonlabor!$E$10="AI",Assumptions!$E$24,Assumptions!$E$25)))),AND(Nonlabor!$H$10="Annual",MOD(C2897-IF(Nonlabor!$E$10="Core",Nonlabor!$F$10,MAX(Nonlabor!$F$10,IF(Nonlabor!$E$10="AI",Assumptions!$E$24,Assumptions!$E$25))),12)=0))),IF(Nonlabor!$I$10="Fixed",1,IF(Nonlabor!$I$10="Seats",ROUNDUP('Monthly Growth'!I17,0),IF(Nonlabor!$I$10="Customers",'Monthly Growth'!D17,IF(Nonlabor!$I$10="NewCustomers",'Monthly Growth'!C17,IF(Nonlabor!$I$10="StorageGB",'Monthly Growth'!G17,IF(Nonlabor!$I$10="LogGB",'Monthly Growth'!H17,IF(Nonlabor!$I$10="RequestsM",'Monthly Growth'!F17,IF(Nonlabor!$I$10="InputM",'Monthly Growth'!D17*Assumptions!$E$22/1000000,IF(Nonlabor!$I$10="OutputM",'Monthly Growth'!D17*Assumptions!$E$23/1000000,0))))))))),0)</f>
        <v>20</v>
      </c>
      <c r="F2897" s="10" t="n">
        <f aca="false">Nonlabor!$J$10*(1+Assumptions!$E$9)^INT((C2897-1)/12)</f>
        <v>0.15</v>
      </c>
      <c r="G2897" s="10" t="n">
        <f aca="false">E2897*F2897</f>
        <v>3</v>
      </c>
      <c r="H2897" s="10" t="n">
        <f aca="false">IF(OR(Nonlabor!$L$10="Quote required",Nonlabor!$L$10="Unverified"),G2897,0)</f>
        <v>0</v>
      </c>
      <c r="I2897" s="10" t="n">
        <f aca="false">IF(Nonlabor!$E$10="Core",0,G2897)</f>
        <v>0</v>
      </c>
      <c r="J2897" s="23" t="str">
        <f aca="false">Nonlabor!$B$10</f>
        <v>INFRA</v>
      </c>
    </row>
    <row r="2898" customFormat="false" ht="15" hidden="false" customHeight="false" outlineLevel="0" collapsed="false">
      <c r="A2898" s="6" t="s">
        <v>73</v>
      </c>
      <c r="B2898" s="6" t="s">
        <v>383</v>
      </c>
      <c r="C2898" s="6" t="n">
        <v>13</v>
      </c>
      <c r="D2898" s="25" t="n">
        <f aca="false">EDATE('Start Here'!$B$6,C2898-1)</f>
        <v>46692</v>
      </c>
      <c r="E2898" s="11" t="n">
        <f aca="false">IF(AND(OR(Nonlabor!$D$10="Both",Nonlabor!$D$10='Start Here'!$B$9),IF(Nonlabor!$E$10="Core",1,IF(Nonlabor!$E$10="AI",'Start Here'!$B$7,'Start Here'!$B$8))=1,C2898&gt;=IF(Nonlabor!$E$10="Core",Nonlabor!$F$10,MAX(Nonlabor!$F$10,IF(Nonlabor!$E$10="AI",Assumptions!$E$24,Assumptions!$E$25))),C2898&lt;=Nonlabor!$G$10,OR(Nonlabor!$H$10="Monthly",AND(Nonlabor!$H$10="Once",C2898=IF(Nonlabor!$E$10="Core",Nonlabor!$F$10,MAX(Nonlabor!$F$10,IF(Nonlabor!$E$10="AI",Assumptions!$E$24,Assumptions!$E$25)))),AND(Nonlabor!$H$10="Annual",MOD(C2898-IF(Nonlabor!$E$10="Core",Nonlabor!$F$10,MAX(Nonlabor!$F$10,IF(Nonlabor!$E$10="AI",Assumptions!$E$24,Assumptions!$E$25))),12)=0))),IF(Nonlabor!$I$10="Fixed",1,IF(Nonlabor!$I$10="Seats",ROUNDUP('Monthly Growth'!I18,0),IF(Nonlabor!$I$10="Customers",'Monthly Growth'!D18,IF(Nonlabor!$I$10="NewCustomers",'Monthly Growth'!C18,IF(Nonlabor!$I$10="StorageGB",'Monthly Growth'!G18,IF(Nonlabor!$I$10="LogGB",'Monthly Growth'!H18,IF(Nonlabor!$I$10="RequestsM",'Monthly Growth'!F18,IF(Nonlabor!$I$10="InputM",'Monthly Growth'!D18*Assumptions!$E$22/1000000,IF(Nonlabor!$I$10="OutputM",'Monthly Growth'!D18*Assumptions!$E$23/1000000,0))))))))),0)</f>
        <v>39.8</v>
      </c>
      <c r="F2898" s="10" t="n">
        <f aca="false">Nonlabor!$J$10*(1+Assumptions!$E$9)^INT((C2898-1)/12)</f>
        <v>0.156</v>
      </c>
      <c r="G2898" s="10" t="n">
        <f aca="false">E2898*F2898</f>
        <v>6.2088</v>
      </c>
      <c r="H2898" s="10" t="n">
        <f aca="false">IF(OR(Nonlabor!$L$10="Quote required",Nonlabor!$L$10="Unverified"),G2898,0)</f>
        <v>0</v>
      </c>
      <c r="I2898" s="10" t="n">
        <f aca="false">IF(Nonlabor!$E$10="Core",0,G2898)</f>
        <v>0</v>
      </c>
      <c r="J2898" s="23" t="str">
        <f aca="false">Nonlabor!$B$10</f>
        <v>INFRA</v>
      </c>
    </row>
    <row r="2899" customFormat="false" ht="15" hidden="false" customHeight="false" outlineLevel="0" collapsed="false">
      <c r="A2899" s="6" t="s">
        <v>73</v>
      </c>
      <c r="B2899" s="6" t="s">
        <v>383</v>
      </c>
      <c r="C2899" s="6" t="n">
        <v>14</v>
      </c>
      <c r="D2899" s="25" t="n">
        <f aca="false">EDATE('Start Here'!$B$6,C2899-1)</f>
        <v>46722</v>
      </c>
      <c r="E2899" s="11" t="n">
        <f aca="false">IF(AND(OR(Nonlabor!$D$10="Both",Nonlabor!$D$10='Start Here'!$B$9),IF(Nonlabor!$E$10="Core",1,IF(Nonlabor!$E$10="AI",'Start Here'!$B$7,'Start Here'!$B$8))=1,C2899&gt;=IF(Nonlabor!$E$10="Core",Nonlabor!$F$10,MAX(Nonlabor!$F$10,IF(Nonlabor!$E$10="AI",Assumptions!$E$24,Assumptions!$E$25))),C2899&lt;=Nonlabor!$G$10,OR(Nonlabor!$H$10="Monthly",AND(Nonlabor!$H$10="Once",C2899=IF(Nonlabor!$E$10="Core",Nonlabor!$F$10,MAX(Nonlabor!$F$10,IF(Nonlabor!$E$10="AI",Assumptions!$E$24,Assumptions!$E$25)))),AND(Nonlabor!$H$10="Annual",MOD(C2899-IF(Nonlabor!$E$10="Core",Nonlabor!$F$10,MAX(Nonlabor!$F$10,IF(Nonlabor!$E$10="AI",Assumptions!$E$24,Assumptions!$E$25))),12)=0))),IF(Nonlabor!$I$10="Fixed",1,IF(Nonlabor!$I$10="Seats",ROUNDUP('Monthly Growth'!I19,0),IF(Nonlabor!$I$10="Customers",'Monthly Growth'!D19,IF(Nonlabor!$I$10="NewCustomers",'Monthly Growth'!C19,IF(Nonlabor!$I$10="StorageGB",'Monthly Growth'!G19,IF(Nonlabor!$I$10="LogGB",'Monthly Growth'!H19,IF(Nonlabor!$I$10="RequestsM",'Monthly Growth'!F19,IF(Nonlabor!$I$10="InputM",'Monthly Growth'!D19*Assumptions!$E$22/1000000,IF(Nonlabor!$I$10="OutputM",'Monthly Growth'!D19*Assumptions!$E$23/1000000,0))))))))),0)</f>
        <v>59.402</v>
      </c>
      <c r="F2899" s="10" t="n">
        <f aca="false">Nonlabor!$J$10*(1+Assumptions!$E$9)^INT((C2899-1)/12)</f>
        <v>0.156</v>
      </c>
      <c r="G2899" s="10" t="n">
        <f aca="false">E2899*F2899</f>
        <v>9.266712</v>
      </c>
      <c r="H2899" s="10" t="n">
        <f aca="false">IF(OR(Nonlabor!$L$10="Quote required",Nonlabor!$L$10="Unverified"),G2899,0)</f>
        <v>0</v>
      </c>
      <c r="I2899" s="10" t="n">
        <f aca="false">IF(Nonlabor!$E$10="Core",0,G2899)</f>
        <v>0</v>
      </c>
      <c r="J2899" s="23" t="str">
        <f aca="false">Nonlabor!$B$10</f>
        <v>INFRA</v>
      </c>
    </row>
    <row r="2900" customFormat="false" ht="15" hidden="false" customHeight="false" outlineLevel="0" collapsed="false">
      <c r="A2900" s="6" t="s">
        <v>73</v>
      </c>
      <c r="B2900" s="6" t="s">
        <v>383</v>
      </c>
      <c r="C2900" s="6" t="n">
        <v>15</v>
      </c>
      <c r="D2900" s="25" t="n">
        <f aca="false">EDATE('Start Here'!$B$6,C2900-1)</f>
        <v>46753</v>
      </c>
      <c r="E2900" s="11" t="n">
        <f aca="false">IF(AND(OR(Nonlabor!$D$10="Both",Nonlabor!$D$10='Start Here'!$B$9),IF(Nonlabor!$E$10="Core",1,IF(Nonlabor!$E$10="AI",'Start Here'!$B$7,'Start Here'!$B$8))=1,C2900&gt;=IF(Nonlabor!$E$10="Core",Nonlabor!$F$10,MAX(Nonlabor!$F$10,IF(Nonlabor!$E$10="AI",Assumptions!$E$24,Assumptions!$E$25))),C2900&lt;=Nonlabor!$G$10,OR(Nonlabor!$H$10="Monthly",AND(Nonlabor!$H$10="Once",C2900=IF(Nonlabor!$E$10="Core",Nonlabor!$F$10,MAX(Nonlabor!$F$10,IF(Nonlabor!$E$10="AI",Assumptions!$E$24,Assumptions!$E$25)))),AND(Nonlabor!$H$10="Annual",MOD(C2900-IF(Nonlabor!$E$10="Core",Nonlabor!$F$10,MAX(Nonlabor!$F$10,IF(Nonlabor!$E$10="AI",Assumptions!$E$24,Assumptions!$E$25))),12)=0))),IF(Nonlabor!$I$10="Fixed",1,IF(Nonlabor!$I$10="Seats",ROUNDUP('Monthly Growth'!I20,0),IF(Nonlabor!$I$10="Customers",'Monthly Growth'!D20,IF(Nonlabor!$I$10="NewCustomers",'Monthly Growth'!C20,IF(Nonlabor!$I$10="StorageGB",'Monthly Growth'!G20,IF(Nonlabor!$I$10="LogGB",'Monthly Growth'!H20,IF(Nonlabor!$I$10="RequestsM",'Monthly Growth'!F20,IF(Nonlabor!$I$10="InputM",'Monthly Growth'!D20*Assumptions!$E$22/1000000,IF(Nonlabor!$I$10="OutputM",'Monthly Growth'!D20*Assumptions!$E$23/1000000,0))))))))),0)</f>
        <v>78.80798</v>
      </c>
      <c r="F2900" s="10" t="n">
        <f aca="false">Nonlabor!$J$10*(1+Assumptions!$E$9)^INT((C2900-1)/12)</f>
        <v>0.156</v>
      </c>
      <c r="G2900" s="10" t="n">
        <f aca="false">E2900*F2900</f>
        <v>12.29404488</v>
      </c>
      <c r="H2900" s="10" t="n">
        <f aca="false">IF(OR(Nonlabor!$L$10="Quote required",Nonlabor!$L$10="Unverified"),G2900,0)</f>
        <v>0</v>
      </c>
      <c r="I2900" s="10" t="n">
        <f aca="false">IF(Nonlabor!$E$10="Core",0,G2900)</f>
        <v>0</v>
      </c>
      <c r="J2900" s="23" t="str">
        <f aca="false">Nonlabor!$B$10</f>
        <v>INFRA</v>
      </c>
    </row>
    <row r="2901" customFormat="false" ht="15" hidden="false" customHeight="false" outlineLevel="0" collapsed="false">
      <c r="A2901" s="6" t="s">
        <v>73</v>
      </c>
      <c r="B2901" s="6" t="s">
        <v>383</v>
      </c>
      <c r="C2901" s="6" t="n">
        <v>16</v>
      </c>
      <c r="D2901" s="25" t="n">
        <f aca="false">EDATE('Start Here'!$B$6,C2901-1)</f>
        <v>46784</v>
      </c>
      <c r="E2901" s="11" t="n">
        <f aca="false">IF(AND(OR(Nonlabor!$D$10="Both",Nonlabor!$D$10='Start Here'!$B$9),IF(Nonlabor!$E$10="Core",1,IF(Nonlabor!$E$10="AI",'Start Here'!$B$7,'Start Here'!$B$8))=1,C2901&gt;=IF(Nonlabor!$E$10="Core",Nonlabor!$F$10,MAX(Nonlabor!$F$10,IF(Nonlabor!$E$10="AI",Assumptions!$E$24,Assumptions!$E$25))),C2901&lt;=Nonlabor!$G$10,OR(Nonlabor!$H$10="Monthly",AND(Nonlabor!$H$10="Once",C2901=IF(Nonlabor!$E$10="Core",Nonlabor!$F$10,MAX(Nonlabor!$F$10,IF(Nonlabor!$E$10="AI",Assumptions!$E$24,Assumptions!$E$25)))),AND(Nonlabor!$H$10="Annual",MOD(C2901-IF(Nonlabor!$E$10="Core",Nonlabor!$F$10,MAX(Nonlabor!$F$10,IF(Nonlabor!$E$10="AI",Assumptions!$E$24,Assumptions!$E$25))),12)=0))),IF(Nonlabor!$I$10="Fixed",1,IF(Nonlabor!$I$10="Seats",ROUNDUP('Monthly Growth'!I21,0),IF(Nonlabor!$I$10="Customers",'Monthly Growth'!D21,IF(Nonlabor!$I$10="NewCustomers",'Monthly Growth'!C21,IF(Nonlabor!$I$10="StorageGB",'Monthly Growth'!G21,IF(Nonlabor!$I$10="LogGB",'Monthly Growth'!H21,IF(Nonlabor!$I$10="RequestsM",'Monthly Growth'!F21,IF(Nonlabor!$I$10="InputM",'Monthly Growth'!D21*Assumptions!$E$22/1000000,IF(Nonlabor!$I$10="OutputM",'Monthly Growth'!D21*Assumptions!$E$23/1000000,0))))))))),0)</f>
        <v>98.0199002</v>
      </c>
      <c r="F2901" s="10" t="n">
        <f aca="false">Nonlabor!$J$10*(1+Assumptions!$E$9)^INT((C2901-1)/12)</f>
        <v>0.156</v>
      </c>
      <c r="G2901" s="10" t="n">
        <f aca="false">E2901*F2901</f>
        <v>15.2911044312</v>
      </c>
      <c r="H2901" s="10" t="n">
        <f aca="false">IF(OR(Nonlabor!$L$10="Quote required",Nonlabor!$L$10="Unverified"),G2901,0)</f>
        <v>0</v>
      </c>
      <c r="I2901" s="10" t="n">
        <f aca="false">IF(Nonlabor!$E$10="Core",0,G2901)</f>
        <v>0</v>
      </c>
      <c r="J2901" s="23" t="str">
        <f aca="false">Nonlabor!$B$10</f>
        <v>INFRA</v>
      </c>
    </row>
    <row r="2902" customFormat="false" ht="15" hidden="false" customHeight="false" outlineLevel="0" collapsed="false">
      <c r="A2902" s="6" t="s">
        <v>73</v>
      </c>
      <c r="B2902" s="6" t="s">
        <v>383</v>
      </c>
      <c r="C2902" s="6" t="n">
        <v>17</v>
      </c>
      <c r="D2902" s="25" t="n">
        <f aca="false">EDATE('Start Here'!$B$6,C2902-1)</f>
        <v>46813</v>
      </c>
      <c r="E2902" s="11" t="n">
        <f aca="false">IF(AND(OR(Nonlabor!$D$10="Both",Nonlabor!$D$10='Start Here'!$B$9),IF(Nonlabor!$E$10="Core",1,IF(Nonlabor!$E$10="AI",'Start Here'!$B$7,'Start Here'!$B$8))=1,C2902&gt;=IF(Nonlabor!$E$10="Core",Nonlabor!$F$10,MAX(Nonlabor!$F$10,IF(Nonlabor!$E$10="AI",Assumptions!$E$24,Assumptions!$E$25))),C2902&lt;=Nonlabor!$G$10,OR(Nonlabor!$H$10="Monthly",AND(Nonlabor!$H$10="Once",C2902=IF(Nonlabor!$E$10="Core",Nonlabor!$F$10,MAX(Nonlabor!$F$10,IF(Nonlabor!$E$10="AI",Assumptions!$E$24,Assumptions!$E$25)))),AND(Nonlabor!$H$10="Annual",MOD(C2902-IF(Nonlabor!$E$10="Core",Nonlabor!$F$10,MAX(Nonlabor!$F$10,IF(Nonlabor!$E$10="AI",Assumptions!$E$24,Assumptions!$E$25))),12)=0))),IF(Nonlabor!$I$10="Fixed",1,IF(Nonlabor!$I$10="Seats",ROUNDUP('Monthly Growth'!I22,0),IF(Nonlabor!$I$10="Customers",'Monthly Growth'!D22,IF(Nonlabor!$I$10="NewCustomers",'Monthly Growth'!C22,IF(Nonlabor!$I$10="StorageGB",'Monthly Growth'!G22,IF(Nonlabor!$I$10="LogGB",'Monthly Growth'!H22,IF(Nonlabor!$I$10="RequestsM",'Monthly Growth'!F22,IF(Nonlabor!$I$10="InputM",'Monthly Growth'!D22*Assumptions!$E$22/1000000,IF(Nonlabor!$I$10="OutputM",'Monthly Growth'!D22*Assumptions!$E$23/1000000,0))))))))),0)</f>
        <v>117.039701198</v>
      </c>
      <c r="F2902" s="10" t="n">
        <f aca="false">Nonlabor!$J$10*(1+Assumptions!$E$9)^INT((C2902-1)/12)</f>
        <v>0.156</v>
      </c>
      <c r="G2902" s="10" t="n">
        <f aca="false">E2902*F2902</f>
        <v>18.258193386888</v>
      </c>
      <c r="H2902" s="10" t="n">
        <f aca="false">IF(OR(Nonlabor!$L$10="Quote required",Nonlabor!$L$10="Unverified"),G2902,0)</f>
        <v>0</v>
      </c>
      <c r="I2902" s="10" t="n">
        <f aca="false">IF(Nonlabor!$E$10="Core",0,G2902)</f>
        <v>0</v>
      </c>
      <c r="J2902" s="23" t="str">
        <f aca="false">Nonlabor!$B$10</f>
        <v>INFRA</v>
      </c>
    </row>
    <row r="2903" customFormat="false" ht="15" hidden="false" customHeight="false" outlineLevel="0" collapsed="false">
      <c r="A2903" s="6" t="s">
        <v>73</v>
      </c>
      <c r="B2903" s="6" t="s">
        <v>383</v>
      </c>
      <c r="C2903" s="6" t="n">
        <v>18</v>
      </c>
      <c r="D2903" s="25" t="n">
        <f aca="false">EDATE('Start Here'!$B$6,C2903-1)</f>
        <v>46844</v>
      </c>
      <c r="E2903" s="11" t="n">
        <f aca="false">IF(AND(OR(Nonlabor!$D$10="Both",Nonlabor!$D$10='Start Here'!$B$9),IF(Nonlabor!$E$10="Core",1,IF(Nonlabor!$E$10="AI",'Start Here'!$B$7,'Start Here'!$B$8))=1,C2903&gt;=IF(Nonlabor!$E$10="Core",Nonlabor!$F$10,MAX(Nonlabor!$F$10,IF(Nonlabor!$E$10="AI",Assumptions!$E$24,Assumptions!$E$25))),C2903&lt;=Nonlabor!$G$10,OR(Nonlabor!$H$10="Monthly",AND(Nonlabor!$H$10="Once",C2903=IF(Nonlabor!$E$10="Core",Nonlabor!$F$10,MAX(Nonlabor!$F$10,IF(Nonlabor!$E$10="AI",Assumptions!$E$24,Assumptions!$E$25)))),AND(Nonlabor!$H$10="Annual",MOD(C2903-IF(Nonlabor!$E$10="Core",Nonlabor!$F$10,MAX(Nonlabor!$F$10,IF(Nonlabor!$E$10="AI",Assumptions!$E$24,Assumptions!$E$25))),12)=0))),IF(Nonlabor!$I$10="Fixed",1,IF(Nonlabor!$I$10="Seats",ROUNDUP('Monthly Growth'!I23,0),IF(Nonlabor!$I$10="Customers",'Monthly Growth'!D23,IF(Nonlabor!$I$10="NewCustomers",'Monthly Growth'!C23,IF(Nonlabor!$I$10="StorageGB",'Monthly Growth'!G23,IF(Nonlabor!$I$10="LogGB",'Monthly Growth'!H23,IF(Nonlabor!$I$10="RequestsM",'Monthly Growth'!F23,IF(Nonlabor!$I$10="InputM",'Monthly Growth'!D23*Assumptions!$E$22/1000000,IF(Nonlabor!$I$10="OutputM",'Monthly Growth'!D23*Assumptions!$E$23/1000000,0))))))))),0)</f>
        <v>135.86930418602</v>
      </c>
      <c r="F2903" s="10" t="n">
        <f aca="false">Nonlabor!$J$10*(1+Assumptions!$E$9)^INT((C2903-1)/12)</f>
        <v>0.156</v>
      </c>
      <c r="G2903" s="10" t="n">
        <f aca="false">E2903*F2903</f>
        <v>21.1956114530191</v>
      </c>
      <c r="H2903" s="10" t="n">
        <f aca="false">IF(OR(Nonlabor!$L$10="Quote required",Nonlabor!$L$10="Unverified"),G2903,0)</f>
        <v>0</v>
      </c>
      <c r="I2903" s="10" t="n">
        <f aca="false">IF(Nonlabor!$E$10="Core",0,G2903)</f>
        <v>0</v>
      </c>
      <c r="J2903" s="23" t="str">
        <f aca="false">Nonlabor!$B$10</f>
        <v>INFRA</v>
      </c>
    </row>
    <row r="2904" customFormat="false" ht="15" hidden="false" customHeight="false" outlineLevel="0" collapsed="false">
      <c r="A2904" s="6" t="s">
        <v>73</v>
      </c>
      <c r="B2904" s="6" t="s">
        <v>383</v>
      </c>
      <c r="C2904" s="6" t="n">
        <v>19</v>
      </c>
      <c r="D2904" s="25" t="n">
        <f aca="false">EDATE('Start Here'!$B$6,C2904-1)</f>
        <v>46874</v>
      </c>
      <c r="E2904" s="11" t="n">
        <f aca="false">IF(AND(OR(Nonlabor!$D$10="Both",Nonlabor!$D$10='Start Here'!$B$9),IF(Nonlabor!$E$10="Core",1,IF(Nonlabor!$E$10="AI",'Start Here'!$B$7,'Start Here'!$B$8))=1,C2904&gt;=IF(Nonlabor!$E$10="Core",Nonlabor!$F$10,MAX(Nonlabor!$F$10,IF(Nonlabor!$E$10="AI",Assumptions!$E$24,Assumptions!$E$25))),C2904&lt;=Nonlabor!$G$10,OR(Nonlabor!$H$10="Monthly",AND(Nonlabor!$H$10="Once",C2904=IF(Nonlabor!$E$10="Core",Nonlabor!$F$10,MAX(Nonlabor!$F$10,IF(Nonlabor!$E$10="AI",Assumptions!$E$24,Assumptions!$E$25)))),AND(Nonlabor!$H$10="Annual",MOD(C2904-IF(Nonlabor!$E$10="Core",Nonlabor!$F$10,MAX(Nonlabor!$F$10,IF(Nonlabor!$E$10="AI",Assumptions!$E$24,Assumptions!$E$25))),12)=0))),IF(Nonlabor!$I$10="Fixed",1,IF(Nonlabor!$I$10="Seats",ROUNDUP('Monthly Growth'!I24,0),IF(Nonlabor!$I$10="Customers",'Monthly Growth'!D24,IF(Nonlabor!$I$10="NewCustomers",'Monthly Growth'!C24,IF(Nonlabor!$I$10="StorageGB",'Monthly Growth'!G24,IF(Nonlabor!$I$10="LogGB",'Monthly Growth'!H24,IF(Nonlabor!$I$10="RequestsM",'Monthly Growth'!F24,IF(Nonlabor!$I$10="InputM",'Monthly Growth'!D24*Assumptions!$E$22/1000000,IF(Nonlabor!$I$10="OutputM",'Monthly Growth'!D24*Assumptions!$E$23/1000000,0))))))))),0)</f>
        <v>154.51061114416</v>
      </c>
      <c r="F2904" s="10" t="n">
        <f aca="false">Nonlabor!$J$10*(1+Assumptions!$E$9)^INT((C2904-1)/12)</f>
        <v>0.156</v>
      </c>
      <c r="G2904" s="10" t="n">
        <f aca="false">E2904*F2904</f>
        <v>24.1036553384889</v>
      </c>
      <c r="H2904" s="10" t="n">
        <f aca="false">IF(OR(Nonlabor!$L$10="Quote required",Nonlabor!$L$10="Unverified"),G2904,0)</f>
        <v>0</v>
      </c>
      <c r="I2904" s="10" t="n">
        <f aca="false">IF(Nonlabor!$E$10="Core",0,G2904)</f>
        <v>0</v>
      </c>
      <c r="J2904" s="23" t="str">
        <f aca="false">Nonlabor!$B$10</f>
        <v>INFRA</v>
      </c>
    </row>
    <row r="2905" customFormat="false" ht="15" hidden="false" customHeight="false" outlineLevel="0" collapsed="false">
      <c r="A2905" s="6" t="s">
        <v>73</v>
      </c>
      <c r="B2905" s="6" t="s">
        <v>383</v>
      </c>
      <c r="C2905" s="6" t="n">
        <v>20</v>
      </c>
      <c r="D2905" s="25" t="n">
        <f aca="false">EDATE('Start Here'!$B$6,C2905-1)</f>
        <v>46905</v>
      </c>
      <c r="E2905" s="11" t="n">
        <f aca="false">IF(AND(OR(Nonlabor!$D$10="Both",Nonlabor!$D$10='Start Here'!$B$9),IF(Nonlabor!$E$10="Core",1,IF(Nonlabor!$E$10="AI",'Start Here'!$B$7,'Start Here'!$B$8))=1,C2905&gt;=IF(Nonlabor!$E$10="Core",Nonlabor!$F$10,MAX(Nonlabor!$F$10,IF(Nonlabor!$E$10="AI",Assumptions!$E$24,Assumptions!$E$25))),C2905&lt;=Nonlabor!$G$10,OR(Nonlabor!$H$10="Monthly",AND(Nonlabor!$H$10="Once",C2905=IF(Nonlabor!$E$10="Core",Nonlabor!$F$10,MAX(Nonlabor!$F$10,IF(Nonlabor!$E$10="AI",Assumptions!$E$24,Assumptions!$E$25)))),AND(Nonlabor!$H$10="Annual",MOD(C2905-IF(Nonlabor!$E$10="Core",Nonlabor!$F$10,MAX(Nonlabor!$F$10,IF(Nonlabor!$E$10="AI",Assumptions!$E$24,Assumptions!$E$25))),12)=0))),IF(Nonlabor!$I$10="Fixed",1,IF(Nonlabor!$I$10="Seats",ROUNDUP('Monthly Growth'!I25,0),IF(Nonlabor!$I$10="Customers",'Monthly Growth'!D25,IF(Nonlabor!$I$10="NewCustomers",'Monthly Growth'!C25,IF(Nonlabor!$I$10="StorageGB",'Monthly Growth'!G25,IF(Nonlabor!$I$10="LogGB",'Monthly Growth'!H25,IF(Nonlabor!$I$10="RequestsM",'Monthly Growth'!F25,IF(Nonlabor!$I$10="InputM",'Monthly Growth'!D25*Assumptions!$E$22/1000000,IF(Nonlabor!$I$10="OutputM",'Monthly Growth'!D25*Assumptions!$E$23/1000000,0))))))))),0)</f>
        <v>172.965505032718</v>
      </c>
      <c r="F2905" s="10" t="n">
        <f aca="false">Nonlabor!$J$10*(1+Assumptions!$E$9)^INT((C2905-1)/12)</f>
        <v>0.156</v>
      </c>
      <c r="G2905" s="10" t="n">
        <f aca="false">E2905*F2905</f>
        <v>26.982618785104</v>
      </c>
      <c r="H2905" s="10" t="n">
        <f aca="false">IF(OR(Nonlabor!$L$10="Quote required",Nonlabor!$L$10="Unverified"),G2905,0)</f>
        <v>0</v>
      </c>
      <c r="I2905" s="10" t="n">
        <f aca="false">IF(Nonlabor!$E$10="Core",0,G2905)</f>
        <v>0</v>
      </c>
      <c r="J2905" s="23" t="str">
        <f aca="false">Nonlabor!$B$10</f>
        <v>INFRA</v>
      </c>
    </row>
    <row r="2906" customFormat="false" ht="15" hidden="false" customHeight="false" outlineLevel="0" collapsed="false">
      <c r="A2906" s="6" t="s">
        <v>73</v>
      </c>
      <c r="B2906" s="6" t="s">
        <v>383</v>
      </c>
      <c r="C2906" s="6" t="n">
        <v>21</v>
      </c>
      <c r="D2906" s="25" t="n">
        <f aca="false">EDATE('Start Here'!$B$6,C2906-1)</f>
        <v>46935</v>
      </c>
      <c r="E2906" s="11" t="n">
        <f aca="false">IF(AND(OR(Nonlabor!$D$10="Both",Nonlabor!$D$10='Start Here'!$B$9),IF(Nonlabor!$E$10="Core",1,IF(Nonlabor!$E$10="AI",'Start Here'!$B$7,'Start Here'!$B$8))=1,C2906&gt;=IF(Nonlabor!$E$10="Core",Nonlabor!$F$10,MAX(Nonlabor!$F$10,IF(Nonlabor!$E$10="AI",Assumptions!$E$24,Assumptions!$E$25))),C2906&lt;=Nonlabor!$G$10,OR(Nonlabor!$H$10="Monthly",AND(Nonlabor!$H$10="Once",C2906=IF(Nonlabor!$E$10="Core",Nonlabor!$F$10,MAX(Nonlabor!$F$10,IF(Nonlabor!$E$10="AI",Assumptions!$E$24,Assumptions!$E$25)))),AND(Nonlabor!$H$10="Annual",MOD(C2906-IF(Nonlabor!$E$10="Core",Nonlabor!$F$10,MAX(Nonlabor!$F$10,IF(Nonlabor!$E$10="AI",Assumptions!$E$24,Assumptions!$E$25))),12)=0))),IF(Nonlabor!$I$10="Fixed",1,IF(Nonlabor!$I$10="Seats",ROUNDUP('Monthly Growth'!I26,0),IF(Nonlabor!$I$10="Customers",'Monthly Growth'!D26,IF(Nonlabor!$I$10="NewCustomers",'Monthly Growth'!C26,IF(Nonlabor!$I$10="StorageGB",'Monthly Growth'!G26,IF(Nonlabor!$I$10="LogGB",'Monthly Growth'!H26,IF(Nonlabor!$I$10="RequestsM",'Monthly Growth'!F26,IF(Nonlabor!$I$10="InputM",'Monthly Growth'!D26*Assumptions!$E$22/1000000,IF(Nonlabor!$I$10="OutputM",'Monthly Growth'!D26*Assumptions!$E$23/1000000,0))))))))),0)</f>
        <v>191.235849982391</v>
      </c>
      <c r="F2906" s="10" t="n">
        <f aca="false">Nonlabor!$J$10*(1+Assumptions!$E$9)^INT((C2906-1)/12)</f>
        <v>0.156</v>
      </c>
      <c r="G2906" s="10" t="n">
        <f aca="false">E2906*F2906</f>
        <v>29.832792597253</v>
      </c>
      <c r="H2906" s="10" t="n">
        <f aca="false">IF(OR(Nonlabor!$L$10="Quote required",Nonlabor!$L$10="Unverified"),G2906,0)</f>
        <v>0</v>
      </c>
      <c r="I2906" s="10" t="n">
        <f aca="false">IF(Nonlabor!$E$10="Core",0,G2906)</f>
        <v>0</v>
      </c>
      <c r="J2906" s="23" t="str">
        <f aca="false">Nonlabor!$B$10</f>
        <v>INFRA</v>
      </c>
    </row>
    <row r="2907" customFormat="false" ht="15" hidden="false" customHeight="false" outlineLevel="0" collapsed="false">
      <c r="A2907" s="6" t="s">
        <v>73</v>
      </c>
      <c r="B2907" s="6" t="s">
        <v>383</v>
      </c>
      <c r="C2907" s="6" t="n">
        <v>22</v>
      </c>
      <c r="D2907" s="25" t="n">
        <f aca="false">EDATE('Start Here'!$B$6,C2907-1)</f>
        <v>46966</v>
      </c>
      <c r="E2907" s="11" t="n">
        <f aca="false">IF(AND(OR(Nonlabor!$D$10="Both",Nonlabor!$D$10='Start Here'!$B$9),IF(Nonlabor!$E$10="Core",1,IF(Nonlabor!$E$10="AI",'Start Here'!$B$7,'Start Here'!$B$8))=1,C2907&gt;=IF(Nonlabor!$E$10="Core",Nonlabor!$F$10,MAX(Nonlabor!$F$10,IF(Nonlabor!$E$10="AI",Assumptions!$E$24,Assumptions!$E$25))),C2907&lt;=Nonlabor!$G$10,OR(Nonlabor!$H$10="Monthly",AND(Nonlabor!$H$10="Once",C2907=IF(Nonlabor!$E$10="Core",Nonlabor!$F$10,MAX(Nonlabor!$F$10,IF(Nonlabor!$E$10="AI",Assumptions!$E$24,Assumptions!$E$25)))),AND(Nonlabor!$H$10="Annual",MOD(C2907-IF(Nonlabor!$E$10="Core",Nonlabor!$F$10,MAX(Nonlabor!$F$10,IF(Nonlabor!$E$10="AI",Assumptions!$E$24,Assumptions!$E$25))),12)=0))),IF(Nonlabor!$I$10="Fixed",1,IF(Nonlabor!$I$10="Seats",ROUNDUP('Monthly Growth'!I27,0),IF(Nonlabor!$I$10="Customers",'Monthly Growth'!D27,IF(Nonlabor!$I$10="NewCustomers",'Monthly Growth'!C27,IF(Nonlabor!$I$10="StorageGB",'Monthly Growth'!G27,IF(Nonlabor!$I$10="LogGB",'Monthly Growth'!H27,IF(Nonlabor!$I$10="RequestsM",'Monthly Growth'!F27,IF(Nonlabor!$I$10="InputM",'Monthly Growth'!D27*Assumptions!$E$22/1000000,IF(Nonlabor!$I$10="OutputM",'Monthly Growth'!D27*Assumptions!$E$23/1000000,0))))))))),0)</f>
        <v>209.323491482567</v>
      </c>
      <c r="F2907" s="10" t="n">
        <f aca="false">Nonlabor!$J$10*(1+Assumptions!$E$9)^INT((C2907-1)/12)</f>
        <v>0.156</v>
      </c>
      <c r="G2907" s="10" t="n">
        <f aca="false">E2907*F2907</f>
        <v>32.6544646712805</v>
      </c>
      <c r="H2907" s="10" t="n">
        <f aca="false">IF(OR(Nonlabor!$L$10="Quote required",Nonlabor!$L$10="Unverified"),G2907,0)</f>
        <v>0</v>
      </c>
      <c r="I2907" s="10" t="n">
        <f aca="false">IF(Nonlabor!$E$10="Core",0,G2907)</f>
        <v>0</v>
      </c>
      <c r="J2907" s="23" t="str">
        <f aca="false">Nonlabor!$B$10</f>
        <v>INFRA</v>
      </c>
    </row>
    <row r="2908" customFormat="false" ht="15" hidden="false" customHeight="false" outlineLevel="0" collapsed="false">
      <c r="A2908" s="6" t="s">
        <v>73</v>
      </c>
      <c r="B2908" s="6" t="s">
        <v>383</v>
      </c>
      <c r="C2908" s="6" t="n">
        <v>23</v>
      </c>
      <c r="D2908" s="25" t="n">
        <f aca="false">EDATE('Start Here'!$B$6,C2908-1)</f>
        <v>46997</v>
      </c>
      <c r="E2908" s="11" t="n">
        <f aca="false">IF(AND(OR(Nonlabor!$D$10="Both",Nonlabor!$D$10='Start Here'!$B$9),IF(Nonlabor!$E$10="Core",1,IF(Nonlabor!$E$10="AI",'Start Here'!$B$7,'Start Here'!$B$8))=1,C2908&gt;=IF(Nonlabor!$E$10="Core",Nonlabor!$F$10,MAX(Nonlabor!$F$10,IF(Nonlabor!$E$10="AI",Assumptions!$E$24,Assumptions!$E$25))),C2908&lt;=Nonlabor!$G$10,OR(Nonlabor!$H$10="Monthly",AND(Nonlabor!$H$10="Once",C2908=IF(Nonlabor!$E$10="Core",Nonlabor!$F$10,MAX(Nonlabor!$F$10,IF(Nonlabor!$E$10="AI",Assumptions!$E$24,Assumptions!$E$25)))),AND(Nonlabor!$H$10="Annual",MOD(C2908-IF(Nonlabor!$E$10="Core",Nonlabor!$F$10,MAX(Nonlabor!$F$10,IF(Nonlabor!$E$10="AI",Assumptions!$E$24,Assumptions!$E$25))),12)=0))),IF(Nonlabor!$I$10="Fixed",1,IF(Nonlabor!$I$10="Seats",ROUNDUP('Monthly Growth'!I28,0),IF(Nonlabor!$I$10="Customers",'Monthly Growth'!D28,IF(Nonlabor!$I$10="NewCustomers",'Monthly Growth'!C28,IF(Nonlabor!$I$10="StorageGB",'Monthly Growth'!G28,IF(Nonlabor!$I$10="LogGB",'Monthly Growth'!H28,IF(Nonlabor!$I$10="RequestsM",'Monthly Growth'!F28,IF(Nonlabor!$I$10="InputM",'Monthly Growth'!D28*Assumptions!$E$22/1000000,IF(Nonlabor!$I$10="OutputM",'Monthly Growth'!D28*Assumptions!$E$23/1000000,0))))))))),0)</f>
        <v>227.230256567741</v>
      </c>
      <c r="F2908" s="10" t="n">
        <f aca="false">Nonlabor!$J$10*(1+Assumptions!$E$9)^INT((C2908-1)/12)</f>
        <v>0.156</v>
      </c>
      <c r="G2908" s="10" t="n">
        <f aca="false">E2908*F2908</f>
        <v>35.4479200245677</v>
      </c>
      <c r="H2908" s="10" t="n">
        <f aca="false">IF(OR(Nonlabor!$L$10="Quote required",Nonlabor!$L$10="Unverified"),G2908,0)</f>
        <v>0</v>
      </c>
      <c r="I2908" s="10" t="n">
        <f aca="false">IF(Nonlabor!$E$10="Core",0,G2908)</f>
        <v>0</v>
      </c>
      <c r="J2908" s="23" t="str">
        <f aca="false">Nonlabor!$B$10</f>
        <v>INFRA</v>
      </c>
    </row>
    <row r="2909" customFormat="false" ht="15" hidden="false" customHeight="false" outlineLevel="0" collapsed="false">
      <c r="A2909" s="6" t="s">
        <v>73</v>
      </c>
      <c r="B2909" s="6" t="s">
        <v>383</v>
      </c>
      <c r="C2909" s="6" t="n">
        <v>24</v>
      </c>
      <c r="D2909" s="25" t="n">
        <f aca="false">EDATE('Start Here'!$B$6,C2909-1)</f>
        <v>47027</v>
      </c>
      <c r="E2909" s="11" t="n">
        <f aca="false">IF(AND(OR(Nonlabor!$D$10="Both",Nonlabor!$D$10='Start Here'!$B$9),IF(Nonlabor!$E$10="Core",1,IF(Nonlabor!$E$10="AI",'Start Here'!$B$7,'Start Here'!$B$8))=1,C2909&gt;=IF(Nonlabor!$E$10="Core",Nonlabor!$F$10,MAX(Nonlabor!$F$10,IF(Nonlabor!$E$10="AI",Assumptions!$E$24,Assumptions!$E$25))),C2909&lt;=Nonlabor!$G$10,OR(Nonlabor!$H$10="Monthly",AND(Nonlabor!$H$10="Once",C2909=IF(Nonlabor!$E$10="Core",Nonlabor!$F$10,MAX(Nonlabor!$F$10,IF(Nonlabor!$E$10="AI",Assumptions!$E$24,Assumptions!$E$25)))),AND(Nonlabor!$H$10="Annual",MOD(C2909-IF(Nonlabor!$E$10="Core",Nonlabor!$F$10,MAX(Nonlabor!$F$10,IF(Nonlabor!$E$10="AI",Assumptions!$E$24,Assumptions!$E$25))),12)=0))),IF(Nonlabor!$I$10="Fixed",1,IF(Nonlabor!$I$10="Seats",ROUNDUP('Monthly Growth'!I29,0),IF(Nonlabor!$I$10="Customers",'Monthly Growth'!D29,IF(Nonlabor!$I$10="NewCustomers",'Monthly Growth'!C29,IF(Nonlabor!$I$10="StorageGB",'Monthly Growth'!G29,IF(Nonlabor!$I$10="LogGB",'Monthly Growth'!H29,IF(Nonlabor!$I$10="RequestsM",'Monthly Growth'!F29,IF(Nonlabor!$I$10="InputM",'Monthly Growth'!D29*Assumptions!$E$22/1000000,IF(Nonlabor!$I$10="OutputM",'Monthly Growth'!D29*Assumptions!$E$23/1000000,0))))))))),0)</f>
        <v>258.957954002064</v>
      </c>
      <c r="F2909" s="10" t="n">
        <f aca="false">Nonlabor!$J$10*(1+Assumptions!$E$9)^INT((C2909-1)/12)</f>
        <v>0.156</v>
      </c>
      <c r="G2909" s="10" t="n">
        <f aca="false">E2909*F2909</f>
        <v>40.397440824322</v>
      </c>
      <c r="H2909" s="10" t="n">
        <f aca="false">IF(OR(Nonlabor!$L$10="Quote required",Nonlabor!$L$10="Unverified"),G2909,0)</f>
        <v>0</v>
      </c>
      <c r="I2909" s="10" t="n">
        <f aca="false">IF(Nonlabor!$E$10="Core",0,G2909)</f>
        <v>0</v>
      </c>
      <c r="J2909" s="23" t="str">
        <f aca="false">Nonlabor!$B$10</f>
        <v>INFRA</v>
      </c>
    </row>
    <row r="2910" customFormat="false" ht="15" hidden="false" customHeight="false" outlineLevel="0" collapsed="false">
      <c r="A2910" s="6" t="s">
        <v>73</v>
      </c>
      <c r="B2910" s="6" t="s">
        <v>383</v>
      </c>
      <c r="C2910" s="6" t="n">
        <v>25</v>
      </c>
      <c r="D2910" s="25" t="n">
        <f aca="false">EDATE('Start Here'!$B$6,C2910-1)</f>
        <v>47058</v>
      </c>
      <c r="E2910" s="11" t="n">
        <f aca="false">IF(AND(OR(Nonlabor!$D$10="Both",Nonlabor!$D$10='Start Here'!$B$9),IF(Nonlabor!$E$10="Core",1,IF(Nonlabor!$E$10="AI",'Start Here'!$B$7,'Start Here'!$B$8))=1,C2910&gt;=IF(Nonlabor!$E$10="Core",Nonlabor!$F$10,MAX(Nonlabor!$F$10,IF(Nonlabor!$E$10="AI",Assumptions!$E$24,Assumptions!$E$25))),C2910&lt;=Nonlabor!$G$10,OR(Nonlabor!$H$10="Monthly",AND(Nonlabor!$H$10="Once",C2910=IF(Nonlabor!$E$10="Core",Nonlabor!$F$10,MAX(Nonlabor!$F$10,IF(Nonlabor!$E$10="AI",Assumptions!$E$24,Assumptions!$E$25)))),AND(Nonlabor!$H$10="Annual",MOD(C2910-IF(Nonlabor!$E$10="Core",Nonlabor!$F$10,MAX(Nonlabor!$F$10,IF(Nonlabor!$E$10="AI",Assumptions!$E$24,Assumptions!$E$25))),12)=0))),IF(Nonlabor!$I$10="Fixed",1,IF(Nonlabor!$I$10="Seats",ROUNDUP('Monthly Growth'!I30,0),IF(Nonlabor!$I$10="Customers",'Monthly Growth'!D30,IF(Nonlabor!$I$10="NewCustomers",'Monthly Growth'!C30,IF(Nonlabor!$I$10="StorageGB",'Monthly Growth'!G30,IF(Nonlabor!$I$10="LogGB",'Monthly Growth'!H30,IF(Nonlabor!$I$10="RequestsM",'Monthly Growth'!F30,IF(Nonlabor!$I$10="InputM",'Monthly Growth'!D30*Assumptions!$E$22/1000000,IF(Nonlabor!$I$10="OutputM",'Monthly Growth'!D30*Assumptions!$E$23/1000000,0))))))))),0)</f>
        <v>290.368374462043</v>
      </c>
      <c r="F2910" s="10" t="n">
        <f aca="false">Nonlabor!$J$10*(1+Assumptions!$E$9)^INT((C2910-1)/12)</f>
        <v>0.16224</v>
      </c>
      <c r="G2910" s="10" t="n">
        <f aca="false">E2910*F2910</f>
        <v>47.1093650727219</v>
      </c>
      <c r="H2910" s="10" t="n">
        <f aca="false">IF(OR(Nonlabor!$L$10="Quote required",Nonlabor!$L$10="Unverified"),G2910,0)</f>
        <v>0</v>
      </c>
      <c r="I2910" s="10" t="n">
        <f aca="false">IF(Nonlabor!$E$10="Core",0,G2910)</f>
        <v>0</v>
      </c>
      <c r="J2910" s="23" t="str">
        <f aca="false">Nonlabor!$B$10</f>
        <v>INFRA</v>
      </c>
    </row>
    <row r="2911" customFormat="false" ht="15" hidden="false" customHeight="false" outlineLevel="0" collapsed="false">
      <c r="A2911" s="6" t="s">
        <v>73</v>
      </c>
      <c r="B2911" s="6" t="s">
        <v>383</v>
      </c>
      <c r="C2911" s="6" t="n">
        <v>26</v>
      </c>
      <c r="D2911" s="25" t="n">
        <f aca="false">EDATE('Start Here'!$B$6,C2911-1)</f>
        <v>47088</v>
      </c>
      <c r="E2911" s="11" t="n">
        <f aca="false">IF(AND(OR(Nonlabor!$D$10="Both",Nonlabor!$D$10='Start Here'!$B$9),IF(Nonlabor!$E$10="Core",1,IF(Nonlabor!$E$10="AI",'Start Here'!$B$7,'Start Here'!$B$8))=1,C2911&gt;=IF(Nonlabor!$E$10="Core",Nonlabor!$F$10,MAX(Nonlabor!$F$10,IF(Nonlabor!$E$10="AI",Assumptions!$E$24,Assumptions!$E$25))),C2911&lt;=Nonlabor!$G$10,OR(Nonlabor!$H$10="Monthly",AND(Nonlabor!$H$10="Once",C2911=IF(Nonlabor!$E$10="Core",Nonlabor!$F$10,MAX(Nonlabor!$F$10,IF(Nonlabor!$E$10="AI",Assumptions!$E$24,Assumptions!$E$25)))),AND(Nonlabor!$H$10="Annual",MOD(C2911-IF(Nonlabor!$E$10="Core",Nonlabor!$F$10,MAX(Nonlabor!$F$10,IF(Nonlabor!$E$10="AI",Assumptions!$E$24,Assumptions!$E$25))),12)=0))),IF(Nonlabor!$I$10="Fixed",1,IF(Nonlabor!$I$10="Seats",ROUNDUP('Monthly Growth'!I31,0),IF(Nonlabor!$I$10="Customers",'Monthly Growth'!D31,IF(Nonlabor!$I$10="NewCustomers",'Monthly Growth'!C31,IF(Nonlabor!$I$10="StorageGB",'Monthly Growth'!G31,IF(Nonlabor!$I$10="LogGB",'Monthly Growth'!H31,IF(Nonlabor!$I$10="RequestsM",'Monthly Growth'!F31,IF(Nonlabor!$I$10="InputM",'Monthly Growth'!D31*Assumptions!$E$22/1000000,IF(Nonlabor!$I$10="OutputM",'Monthly Growth'!D31*Assumptions!$E$23/1000000,0))))))))),0)</f>
        <v>321.464690717423</v>
      </c>
      <c r="F2911" s="10" t="n">
        <f aca="false">Nonlabor!$J$10*(1+Assumptions!$E$9)^INT((C2911-1)/12)</f>
        <v>0.16224</v>
      </c>
      <c r="G2911" s="10" t="n">
        <f aca="false">E2911*F2911</f>
        <v>52.1544314219947</v>
      </c>
      <c r="H2911" s="10" t="n">
        <f aca="false">IF(OR(Nonlabor!$L$10="Quote required",Nonlabor!$L$10="Unverified"),G2911,0)</f>
        <v>0</v>
      </c>
      <c r="I2911" s="10" t="n">
        <f aca="false">IF(Nonlabor!$E$10="Core",0,G2911)</f>
        <v>0</v>
      </c>
      <c r="J2911" s="23" t="str">
        <f aca="false">Nonlabor!$B$10</f>
        <v>INFRA</v>
      </c>
    </row>
    <row r="2912" customFormat="false" ht="15" hidden="false" customHeight="false" outlineLevel="0" collapsed="false">
      <c r="A2912" s="6" t="s">
        <v>73</v>
      </c>
      <c r="B2912" s="6" t="s">
        <v>383</v>
      </c>
      <c r="C2912" s="6" t="n">
        <v>27</v>
      </c>
      <c r="D2912" s="25" t="n">
        <f aca="false">EDATE('Start Here'!$B$6,C2912-1)</f>
        <v>47119</v>
      </c>
      <c r="E2912" s="11" t="n">
        <f aca="false">IF(AND(OR(Nonlabor!$D$10="Both",Nonlabor!$D$10='Start Here'!$B$9),IF(Nonlabor!$E$10="Core",1,IF(Nonlabor!$E$10="AI",'Start Here'!$B$7,'Start Here'!$B$8))=1,C2912&gt;=IF(Nonlabor!$E$10="Core",Nonlabor!$F$10,MAX(Nonlabor!$F$10,IF(Nonlabor!$E$10="AI",Assumptions!$E$24,Assumptions!$E$25))),C2912&lt;=Nonlabor!$G$10,OR(Nonlabor!$H$10="Monthly",AND(Nonlabor!$H$10="Once",C2912=IF(Nonlabor!$E$10="Core",Nonlabor!$F$10,MAX(Nonlabor!$F$10,IF(Nonlabor!$E$10="AI",Assumptions!$E$24,Assumptions!$E$25)))),AND(Nonlabor!$H$10="Annual",MOD(C2912-IF(Nonlabor!$E$10="Core",Nonlabor!$F$10,MAX(Nonlabor!$F$10,IF(Nonlabor!$E$10="AI",Assumptions!$E$24,Assumptions!$E$25))),12)=0))),IF(Nonlabor!$I$10="Fixed",1,IF(Nonlabor!$I$10="Seats",ROUNDUP('Monthly Growth'!I32,0),IF(Nonlabor!$I$10="Customers",'Monthly Growth'!D32,IF(Nonlabor!$I$10="NewCustomers",'Monthly Growth'!C32,IF(Nonlabor!$I$10="StorageGB",'Monthly Growth'!G32,IF(Nonlabor!$I$10="LogGB",'Monthly Growth'!H32,IF(Nonlabor!$I$10="RequestsM",'Monthly Growth'!F32,IF(Nonlabor!$I$10="InputM",'Monthly Growth'!D32*Assumptions!$E$22/1000000,IF(Nonlabor!$I$10="OutputM",'Monthly Growth'!D32*Assumptions!$E$23/1000000,0))))))))),0)</f>
        <v>352.250043810249</v>
      </c>
      <c r="F2912" s="10" t="n">
        <f aca="false">Nonlabor!$J$10*(1+Assumptions!$E$9)^INT((C2912-1)/12)</f>
        <v>0.16224</v>
      </c>
      <c r="G2912" s="10" t="n">
        <f aca="false">E2912*F2912</f>
        <v>57.1490471077748</v>
      </c>
      <c r="H2912" s="10" t="n">
        <f aca="false">IF(OR(Nonlabor!$L$10="Quote required",Nonlabor!$L$10="Unverified"),G2912,0)</f>
        <v>0</v>
      </c>
      <c r="I2912" s="10" t="n">
        <f aca="false">IF(Nonlabor!$E$10="Core",0,G2912)</f>
        <v>0</v>
      </c>
      <c r="J2912" s="23" t="str">
        <f aca="false">Nonlabor!$B$10</f>
        <v>INFRA</v>
      </c>
    </row>
    <row r="2913" customFormat="false" ht="15" hidden="false" customHeight="false" outlineLevel="0" collapsed="false">
      <c r="A2913" s="6" t="s">
        <v>73</v>
      </c>
      <c r="B2913" s="6" t="s">
        <v>383</v>
      </c>
      <c r="C2913" s="6" t="n">
        <v>28</v>
      </c>
      <c r="D2913" s="25" t="n">
        <f aca="false">EDATE('Start Here'!$B$6,C2913-1)</f>
        <v>47150</v>
      </c>
      <c r="E2913" s="11" t="n">
        <f aca="false">IF(AND(OR(Nonlabor!$D$10="Both",Nonlabor!$D$10='Start Here'!$B$9),IF(Nonlabor!$E$10="Core",1,IF(Nonlabor!$E$10="AI",'Start Here'!$B$7,'Start Here'!$B$8))=1,C2913&gt;=IF(Nonlabor!$E$10="Core",Nonlabor!$F$10,MAX(Nonlabor!$F$10,IF(Nonlabor!$E$10="AI",Assumptions!$E$24,Assumptions!$E$25))),C2913&lt;=Nonlabor!$G$10,OR(Nonlabor!$H$10="Monthly",AND(Nonlabor!$H$10="Once",C2913=IF(Nonlabor!$E$10="Core",Nonlabor!$F$10,MAX(Nonlabor!$F$10,IF(Nonlabor!$E$10="AI",Assumptions!$E$24,Assumptions!$E$25)))),AND(Nonlabor!$H$10="Annual",MOD(C2913-IF(Nonlabor!$E$10="Core",Nonlabor!$F$10,MAX(Nonlabor!$F$10,IF(Nonlabor!$E$10="AI",Assumptions!$E$24,Assumptions!$E$25))),12)=0))),IF(Nonlabor!$I$10="Fixed",1,IF(Nonlabor!$I$10="Seats",ROUNDUP('Monthly Growth'!I33,0),IF(Nonlabor!$I$10="Customers",'Monthly Growth'!D33,IF(Nonlabor!$I$10="NewCustomers",'Monthly Growth'!C33,IF(Nonlabor!$I$10="StorageGB",'Monthly Growth'!G33,IF(Nonlabor!$I$10="LogGB",'Monthly Growth'!H33,IF(Nonlabor!$I$10="RequestsM",'Monthly Growth'!F33,IF(Nonlabor!$I$10="InputM",'Monthly Growth'!D33*Assumptions!$E$22/1000000,IF(Nonlabor!$I$10="OutputM",'Monthly Growth'!D33*Assumptions!$E$23/1000000,0))))))))),0)</f>
        <v>382.727543372146</v>
      </c>
      <c r="F2913" s="10" t="n">
        <f aca="false">Nonlabor!$J$10*(1+Assumptions!$E$9)^INT((C2913-1)/12)</f>
        <v>0.16224</v>
      </c>
      <c r="G2913" s="10" t="n">
        <f aca="false">E2913*F2913</f>
        <v>62.093716636697</v>
      </c>
      <c r="H2913" s="10" t="n">
        <f aca="false">IF(OR(Nonlabor!$L$10="Quote required",Nonlabor!$L$10="Unverified"),G2913,0)</f>
        <v>0</v>
      </c>
      <c r="I2913" s="10" t="n">
        <f aca="false">IF(Nonlabor!$E$10="Core",0,G2913)</f>
        <v>0</v>
      </c>
      <c r="J2913" s="23" t="str">
        <f aca="false">Nonlabor!$B$10</f>
        <v>INFRA</v>
      </c>
    </row>
    <row r="2914" customFormat="false" ht="15" hidden="false" customHeight="false" outlineLevel="0" collapsed="false">
      <c r="A2914" s="6" t="s">
        <v>73</v>
      </c>
      <c r="B2914" s="6" t="s">
        <v>383</v>
      </c>
      <c r="C2914" s="6" t="n">
        <v>29</v>
      </c>
      <c r="D2914" s="25" t="n">
        <f aca="false">EDATE('Start Here'!$B$6,C2914-1)</f>
        <v>47178</v>
      </c>
      <c r="E2914" s="11" t="n">
        <f aca="false">IF(AND(OR(Nonlabor!$D$10="Both",Nonlabor!$D$10='Start Here'!$B$9),IF(Nonlabor!$E$10="Core",1,IF(Nonlabor!$E$10="AI",'Start Here'!$B$7,'Start Here'!$B$8))=1,C2914&gt;=IF(Nonlabor!$E$10="Core",Nonlabor!$F$10,MAX(Nonlabor!$F$10,IF(Nonlabor!$E$10="AI",Assumptions!$E$24,Assumptions!$E$25))),C2914&lt;=Nonlabor!$G$10,OR(Nonlabor!$H$10="Monthly",AND(Nonlabor!$H$10="Once",C2914=IF(Nonlabor!$E$10="Core",Nonlabor!$F$10,MAX(Nonlabor!$F$10,IF(Nonlabor!$E$10="AI",Assumptions!$E$24,Assumptions!$E$25)))),AND(Nonlabor!$H$10="Annual",MOD(C2914-IF(Nonlabor!$E$10="Core",Nonlabor!$F$10,MAX(Nonlabor!$F$10,IF(Nonlabor!$E$10="AI",Assumptions!$E$24,Assumptions!$E$25))),12)=0))),IF(Nonlabor!$I$10="Fixed",1,IF(Nonlabor!$I$10="Seats",ROUNDUP('Monthly Growth'!I34,0),IF(Nonlabor!$I$10="Customers",'Monthly Growth'!D34,IF(Nonlabor!$I$10="NewCustomers",'Monthly Growth'!C34,IF(Nonlabor!$I$10="StorageGB",'Monthly Growth'!G34,IF(Nonlabor!$I$10="LogGB",'Monthly Growth'!H34,IF(Nonlabor!$I$10="RequestsM",'Monthly Growth'!F34,IF(Nonlabor!$I$10="InputM",'Monthly Growth'!D34*Assumptions!$E$22/1000000,IF(Nonlabor!$I$10="OutputM",'Monthly Growth'!D34*Assumptions!$E$23/1000000,0))))))))),0)</f>
        <v>412.900267938425</v>
      </c>
      <c r="F2914" s="10" t="n">
        <f aca="false">Nonlabor!$J$10*(1+Assumptions!$E$9)^INT((C2914-1)/12)</f>
        <v>0.16224</v>
      </c>
      <c r="G2914" s="10" t="n">
        <f aca="false">E2914*F2914</f>
        <v>66.98893947033</v>
      </c>
      <c r="H2914" s="10" t="n">
        <f aca="false">IF(OR(Nonlabor!$L$10="Quote required",Nonlabor!$L$10="Unverified"),G2914,0)</f>
        <v>0</v>
      </c>
      <c r="I2914" s="10" t="n">
        <f aca="false">IF(Nonlabor!$E$10="Core",0,G2914)</f>
        <v>0</v>
      </c>
      <c r="J2914" s="23" t="str">
        <f aca="false">Nonlabor!$B$10</f>
        <v>INFRA</v>
      </c>
    </row>
    <row r="2915" customFormat="false" ht="15" hidden="false" customHeight="false" outlineLevel="0" collapsed="false">
      <c r="A2915" s="6" t="s">
        <v>73</v>
      </c>
      <c r="B2915" s="6" t="s">
        <v>383</v>
      </c>
      <c r="C2915" s="6" t="n">
        <v>30</v>
      </c>
      <c r="D2915" s="25" t="n">
        <f aca="false">EDATE('Start Here'!$B$6,C2915-1)</f>
        <v>47209</v>
      </c>
      <c r="E2915" s="11" t="n">
        <f aca="false">IF(AND(OR(Nonlabor!$D$10="Both",Nonlabor!$D$10='Start Here'!$B$9),IF(Nonlabor!$E$10="Core",1,IF(Nonlabor!$E$10="AI",'Start Here'!$B$7,'Start Here'!$B$8))=1,C2915&gt;=IF(Nonlabor!$E$10="Core",Nonlabor!$F$10,MAX(Nonlabor!$F$10,IF(Nonlabor!$E$10="AI",Assumptions!$E$24,Assumptions!$E$25))),C2915&lt;=Nonlabor!$G$10,OR(Nonlabor!$H$10="Monthly",AND(Nonlabor!$H$10="Once",C2915=IF(Nonlabor!$E$10="Core",Nonlabor!$F$10,MAX(Nonlabor!$F$10,IF(Nonlabor!$E$10="AI",Assumptions!$E$24,Assumptions!$E$25)))),AND(Nonlabor!$H$10="Annual",MOD(C2915-IF(Nonlabor!$E$10="Core",Nonlabor!$F$10,MAX(Nonlabor!$F$10,IF(Nonlabor!$E$10="AI",Assumptions!$E$24,Assumptions!$E$25))),12)=0))),IF(Nonlabor!$I$10="Fixed",1,IF(Nonlabor!$I$10="Seats",ROUNDUP('Monthly Growth'!I35,0),IF(Nonlabor!$I$10="Customers",'Monthly Growth'!D35,IF(Nonlabor!$I$10="NewCustomers",'Monthly Growth'!C35,IF(Nonlabor!$I$10="StorageGB",'Monthly Growth'!G35,IF(Nonlabor!$I$10="LogGB",'Monthly Growth'!H35,IF(Nonlabor!$I$10="RequestsM",'Monthly Growth'!F35,IF(Nonlabor!$I$10="InputM",'Monthly Growth'!D35*Assumptions!$E$22/1000000,IF(Nonlabor!$I$10="OutputM",'Monthly Growth'!D35*Assumptions!$E$23/1000000,0))))))))),0)</f>
        <v>442.77126525904</v>
      </c>
      <c r="F2915" s="10" t="n">
        <f aca="false">Nonlabor!$J$10*(1+Assumptions!$E$9)^INT((C2915-1)/12)</f>
        <v>0.16224</v>
      </c>
      <c r="G2915" s="10" t="n">
        <f aca="false">E2915*F2915</f>
        <v>71.8352100756267</v>
      </c>
      <c r="H2915" s="10" t="n">
        <f aca="false">IF(OR(Nonlabor!$L$10="Quote required",Nonlabor!$L$10="Unverified"),G2915,0)</f>
        <v>0</v>
      </c>
      <c r="I2915" s="10" t="n">
        <f aca="false">IF(Nonlabor!$E$10="Core",0,G2915)</f>
        <v>0</v>
      </c>
      <c r="J2915" s="23" t="str">
        <f aca="false">Nonlabor!$B$10</f>
        <v>INFRA</v>
      </c>
    </row>
    <row r="2916" customFormat="false" ht="15" hidden="false" customHeight="false" outlineLevel="0" collapsed="false">
      <c r="A2916" s="6" t="s">
        <v>73</v>
      </c>
      <c r="B2916" s="6" t="s">
        <v>383</v>
      </c>
      <c r="C2916" s="6" t="n">
        <v>31</v>
      </c>
      <c r="D2916" s="25" t="n">
        <f aca="false">EDATE('Start Here'!$B$6,C2916-1)</f>
        <v>47239</v>
      </c>
      <c r="E2916" s="11" t="n">
        <f aca="false">IF(AND(OR(Nonlabor!$D$10="Both",Nonlabor!$D$10='Start Here'!$B$9),IF(Nonlabor!$E$10="Core",1,IF(Nonlabor!$E$10="AI",'Start Here'!$B$7,'Start Here'!$B$8))=1,C2916&gt;=IF(Nonlabor!$E$10="Core",Nonlabor!$F$10,MAX(Nonlabor!$F$10,IF(Nonlabor!$E$10="AI",Assumptions!$E$24,Assumptions!$E$25))),C2916&lt;=Nonlabor!$G$10,OR(Nonlabor!$H$10="Monthly",AND(Nonlabor!$H$10="Once",C2916=IF(Nonlabor!$E$10="Core",Nonlabor!$F$10,MAX(Nonlabor!$F$10,IF(Nonlabor!$E$10="AI",Assumptions!$E$24,Assumptions!$E$25)))),AND(Nonlabor!$H$10="Annual",MOD(C2916-IF(Nonlabor!$E$10="Core",Nonlabor!$F$10,MAX(Nonlabor!$F$10,IF(Nonlabor!$E$10="AI",Assumptions!$E$24,Assumptions!$E$25))),12)=0))),IF(Nonlabor!$I$10="Fixed",1,IF(Nonlabor!$I$10="Seats",ROUNDUP('Monthly Growth'!I36,0),IF(Nonlabor!$I$10="Customers",'Monthly Growth'!D36,IF(Nonlabor!$I$10="NewCustomers",'Monthly Growth'!C36,IF(Nonlabor!$I$10="StorageGB",'Monthly Growth'!G36,IF(Nonlabor!$I$10="LogGB",'Monthly Growth'!H36,IF(Nonlabor!$I$10="RequestsM",'Monthly Growth'!F36,IF(Nonlabor!$I$10="InputM",'Monthly Growth'!D36*Assumptions!$E$22/1000000,IF(Nonlabor!$I$10="OutputM",'Monthly Growth'!D36*Assumptions!$E$23/1000000,0))))))))),0)</f>
        <v>472.34355260645</v>
      </c>
      <c r="F2916" s="10" t="n">
        <f aca="false">Nonlabor!$J$10*(1+Assumptions!$E$9)^INT((C2916-1)/12)</f>
        <v>0.16224</v>
      </c>
      <c r="G2916" s="10" t="n">
        <f aca="false">E2916*F2916</f>
        <v>76.6330179748705</v>
      </c>
      <c r="H2916" s="10" t="n">
        <f aca="false">IF(OR(Nonlabor!$L$10="Quote required",Nonlabor!$L$10="Unverified"),G2916,0)</f>
        <v>0</v>
      </c>
      <c r="I2916" s="10" t="n">
        <f aca="false">IF(Nonlabor!$E$10="Core",0,G2916)</f>
        <v>0</v>
      </c>
      <c r="J2916" s="23" t="str">
        <f aca="false">Nonlabor!$B$10</f>
        <v>INFRA</v>
      </c>
    </row>
    <row r="2917" customFormat="false" ht="15" hidden="false" customHeight="false" outlineLevel="0" collapsed="false">
      <c r="A2917" s="6" t="s">
        <v>73</v>
      </c>
      <c r="B2917" s="6" t="s">
        <v>383</v>
      </c>
      <c r="C2917" s="6" t="n">
        <v>32</v>
      </c>
      <c r="D2917" s="25" t="n">
        <f aca="false">EDATE('Start Here'!$B$6,C2917-1)</f>
        <v>47270</v>
      </c>
      <c r="E2917" s="11" t="n">
        <f aca="false">IF(AND(OR(Nonlabor!$D$10="Both",Nonlabor!$D$10='Start Here'!$B$9),IF(Nonlabor!$E$10="Core",1,IF(Nonlabor!$E$10="AI",'Start Here'!$B$7,'Start Here'!$B$8))=1,C2917&gt;=IF(Nonlabor!$E$10="Core",Nonlabor!$F$10,MAX(Nonlabor!$F$10,IF(Nonlabor!$E$10="AI",Assumptions!$E$24,Assumptions!$E$25))),C2917&lt;=Nonlabor!$G$10,OR(Nonlabor!$H$10="Monthly",AND(Nonlabor!$H$10="Once",C2917=IF(Nonlabor!$E$10="Core",Nonlabor!$F$10,MAX(Nonlabor!$F$10,IF(Nonlabor!$E$10="AI",Assumptions!$E$24,Assumptions!$E$25)))),AND(Nonlabor!$H$10="Annual",MOD(C2917-IF(Nonlabor!$E$10="Core",Nonlabor!$F$10,MAX(Nonlabor!$F$10,IF(Nonlabor!$E$10="AI",Assumptions!$E$24,Assumptions!$E$25))),12)=0))),IF(Nonlabor!$I$10="Fixed",1,IF(Nonlabor!$I$10="Seats",ROUNDUP('Monthly Growth'!I37,0),IF(Nonlabor!$I$10="Customers",'Monthly Growth'!D37,IF(Nonlabor!$I$10="NewCustomers",'Monthly Growth'!C37,IF(Nonlabor!$I$10="StorageGB",'Monthly Growth'!G37,IF(Nonlabor!$I$10="LogGB",'Monthly Growth'!H37,IF(Nonlabor!$I$10="RequestsM",'Monthly Growth'!F37,IF(Nonlabor!$I$10="InputM",'Monthly Growth'!D37*Assumptions!$E$22/1000000,IF(Nonlabor!$I$10="OutputM",'Monthly Growth'!D37*Assumptions!$E$23/1000000,0))))))))),0)</f>
        <v>501.620117080386</v>
      </c>
      <c r="F2917" s="10" t="n">
        <f aca="false">Nonlabor!$J$10*(1+Assumptions!$E$9)^INT((C2917-1)/12)</f>
        <v>0.16224</v>
      </c>
      <c r="G2917" s="10" t="n">
        <f aca="false">E2917*F2917</f>
        <v>81.3828477951218</v>
      </c>
      <c r="H2917" s="10" t="n">
        <f aca="false">IF(OR(Nonlabor!$L$10="Quote required",Nonlabor!$L$10="Unverified"),G2917,0)</f>
        <v>0</v>
      </c>
      <c r="I2917" s="10" t="n">
        <f aca="false">IF(Nonlabor!$E$10="Core",0,G2917)</f>
        <v>0</v>
      </c>
      <c r="J2917" s="23" t="str">
        <f aca="false">Nonlabor!$B$10</f>
        <v>INFRA</v>
      </c>
    </row>
    <row r="2918" customFormat="false" ht="15" hidden="false" customHeight="false" outlineLevel="0" collapsed="false">
      <c r="A2918" s="6" t="s">
        <v>73</v>
      </c>
      <c r="B2918" s="6" t="s">
        <v>383</v>
      </c>
      <c r="C2918" s="6" t="n">
        <v>33</v>
      </c>
      <c r="D2918" s="25" t="n">
        <f aca="false">EDATE('Start Here'!$B$6,C2918-1)</f>
        <v>47300</v>
      </c>
      <c r="E2918" s="11" t="n">
        <f aca="false">IF(AND(OR(Nonlabor!$D$10="Both",Nonlabor!$D$10='Start Here'!$B$9),IF(Nonlabor!$E$10="Core",1,IF(Nonlabor!$E$10="AI",'Start Here'!$B$7,'Start Here'!$B$8))=1,C2918&gt;=IF(Nonlabor!$E$10="Core",Nonlabor!$F$10,MAX(Nonlabor!$F$10,IF(Nonlabor!$E$10="AI",Assumptions!$E$24,Assumptions!$E$25))),C2918&lt;=Nonlabor!$G$10,OR(Nonlabor!$H$10="Monthly",AND(Nonlabor!$H$10="Once",C2918=IF(Nonlabor!$E$10="Core",Nonlabor!$F$10,MAX(Nonlabor!$F$10,IF(Nonlabor!$E$10="AI",Assumptions!$E$24,Assumptions!$E$25)))),AND(Nonlabor!$H$10="Annual",MOD(C2918-IF(Nonlabor!$E$10="Core",Nonlabor!$F$10,MAX(Nonlabor!$F$10,IF(Nonlabor!$E$10="AI",Assumptions!$E$24,Assumptions!$E$25))),12)=0))),IF(Nonlabor!$I$10="Fixed",1,IF(Nonlabor!$I$10="Seats",ROUNDUP('Monthly Growth'!I38,0),IF(Nonlabor!$I$10="Customers",'Monthly Growth'!D38,IF(Nonlabor!$I$10="NewCustomers",'Monthly Growth'!C38,IF(Nonlabor!$I$10="StorageGB",'Monthly Growth'!G38,IF(Nonlabor!$I$10="LogGB",'Monthly Growth'!H38,IF(Nonlabor!$I$10="RequestsM",'Monthly Growth'!F38,IF(Nonlabor!$I$10="InputM",'Monthly Growth'!D38*Assumptions!$E$22/1000000,IF(Nonlabor!$I$10="OutputM",'Monthly Growth'!D38*Assumptions!$E$23/1000000,0))))))))),0)</f>
        <v>530.603915909582</v>
      </c>
      <c r="F2918" s="10" t="n">
        <f aca="false">Nonlabor!$J$10*(1+Assumptions!$E$9)^INT((C2918-1)/12)</f>
        <v>0.16224</v>
      </c>
      <c r="G2918" s="10" t="n">
        <f aca="false">E2918*F2918</f>
        <v>86.0851793171705</v>
      </c>
      <c r="H2918" s="10" t="n">
        <f aca="false">IF(OR(Nonlabor!$L$10="Quote required",Nonlabor!$L$10="Unverified"),G2918,0)</f>
        <v>0</v>
      </c>
      <c r="I2918" s="10" t="n">
        <f aca="false">IF(Nonlabor!$E$10="Core",0,G2918)</f>
        <v>0</v>
      </c>
      <c r="J2918" s="23" t="str">
        <f aca="false">Nonlabor!$B$10</f>
        <v>INFRA</v>
      </c>
    </row>
    <row r="2919" customFormat="false" ht="15" hidden="false" customHeight="false" outlineLevel="0" collapsed="false">
      <c r="A2919" s="6" t="s">
        <v>73</v>
      </c>
      <c r="B2919" s="6" t="s">
        <v>383</v>
      </c>
      <c r="C2919" s="6" t="n">
        <v>34</v>
      </c>
      <c r="D2919" s="25" t="n">
        <f aca="false">EDATE('Start Here'!$B$6,C2919-1)</f>
        <v>47331</v>
      </c>
      <c r="E2919" s="11" t="n">
        <f aca="false">IF(AND(OR(Nonlabor!$D$10="Both",Nonlabor!$D$10='Start Here'!$B$9),IF(Nonlabor!$E$10="Core",1,IF(Nonlabor!$E$10="AI",'Start Here'!$B$7,'Start Here'!$B$8))=1,C2919&gt;=IF(Nonlabor!$E$10="Core",Nonlabor!$F$10,MAX(Nonlabor!$F$10,IF(Nonlabor!$E$10="AI",Assumptions!$E$24,Assumptions!$E$25))),C2919&lt;=Nonlabor!$G$10,OR(Nonlabor!$H$10="Monthly",AND(Nonlabor!$H$10="Once",C2919=IF(Nonlabor!$E$10="Core",Nonlabor!$F$10,MAX(Nonlabor!$F$10,IF(Nonlabor!$E$10="AI",Assumptions!$E$24,Assumptions!$E$25)))),AND(Nonlabor!$H$10="Annual",MOD(C2919-IF(Nonlabor!$E$10="Core",Nonlabor!$F$10,MAX(Nonlabor!$F$10,IF(Nonlabor!$E$10="AI",Assumptions!$E$24,Assumptions!$E$25))),12)=0))),IF(Nonlabor!$I$10="Fixed",1,IF(Nonlabor!$I$10="Seats",ROUNDUP('Monthly Growth'!I39,0),IF(Nonlabor!$I$10="Customers",'Monthly Growth'!D39,IF(Nonlabor!$I$10="NewCustomers",'Monthly Growth'!C39,IF(Nonlabor!$I$10="StorageGB",'Monthly Growth'!G39,IF(Nonlabor!$I$10="LogGB",'Monthly Growth'!H39,IF(Nonlabor!$I$10="RequestsM",'Monthly Growth'!F39,IF(Nonlabor!$I$10="InputM",'Monthly Growth'!D39*Assumptions!$E$22/1000000,IF(Nonlabor!$I$10="OutputM",'Monthly Growth'!D39*Assumptions!$E$23/1000000,0))))))))),0)</f>
        <v>559.297876750486</v>
      </c>
      <c r="F2919" s="10" t="n">
        <f aca="false">Nonlabor!$J$10*(1+Assumptions!$E$9)^INT((C2919-1)/12)</f>
        <v>0.16224</v>
      </c>
      <c r="G2919" s="10" t="n">
        <f aca="false">E2919*F2919</f>
        <v>90.7404875239988</v>
      </c>
      <c r="H2919" s="10" t="n">
        <f aca="false">IF(OR(Nonlabor!$L$10="Quote required",Nonlabor!$L$10="Unverified"),G2919,0)</f>
        <v>0</v>
      </c>
      <c r="I2919" s="10" t="n">
        <f aca="false">IF(Nonlabor!$E$10="Core",0,G2919)</f>
        <v>0</v>
      </c>
      <c r="J2919" s="23" t="str">
        <f aca="false">Nonlabor!$B$10</f>
        <v>INFRA</v>
      </c>
    </row>
    <row r="2920" customFormat="false" ht="15" hidden="false" customHeight="false" outlineLevel="0" collapsed="false">
      <c r="A2920" s="6" t="s">
        <v>73</v>
      </c>
      <c r="B2920" s="6" t="s">
        <v>383</v>
      </c>
      <c r="C2920" s="6" t="n">
        <v>35</v>
      </c>
      <c r="D2920" s="25" t="n">
        <f aca="false">EDATE('Start Here'!$B$6,C2920-1)</f>
        <v>47362</v>
      </c>
      <c r="E2920" s="11" t="n">
        <f aca="false">IF(AND(OR(Nonlabor!$D$10="Both",Nonlabor!$D$10='Start Here'!$B$9),IF(Nonlabor!$E$10="Core",1,IF(Nonlabor!$E$10="AI",'Start Here'!$B$7,'Start Here'!$B$8))=1,C2920&gt;=IF(Nonlabor!$E$10="Core",Nonlabor!$F$10,MAX(Nonlabor!$F$10,IF(Nonlabor!$E$10="AI",Assumptions!$E$24,Assumptions!$E$25))),C2920&lt;=Nonlabor!$G$10,OR(Nonlabor!$H$10="Monthly",AND(Nonlabor!$H$10="Once",C2920=IF(Nonlabor!$E$10="Core",Nonlabor!$F$10,MAX(Nonlabor!$F$10,IF(Nonlabor!$E$10="AI",Assumptions!$E$24,Assumptions!$E$25)))),AND(Nonlabor!$H$10="Annual",MOD(C2920-IF(Nonlabor!$E$10="Core",Nonlabor!$F$10,MAX(Nonlabor!$F$10,IF(Nonlabor!$E$10="AI",Assumptions!$E$24,Assumptions!$E$25))),12)=0))),IF(Nonlabor!$I$10="Fixed",1,IF(Nonlabor!$I$10="Seats",ROUNDUP('Monthly Growth'!I40,0),IF(Nonlabor!$I$10="Customers",'Monthly Growth'!D40,IF(Nonlabor!$I$10="NewCustomers",'Monthly Growth'!C40,IF(Nonlabor!$I$10="StorageGB",'Monthly Growth'!G40,IF(Nonlabor!$I$10="LogGB",'Monthly Growth'!H40,IF(Nonlabor!$I$10="RequestsM",'Monthly Growth'!F40,IF(Nonlabor!$I$10="InputM",'Monthly Growth'!D40*Assumptions!$E$22/1000000,IF(Nonlabor!$I$10="OutputM",'Monthly Growth'!D40*Assumptions!$E$23/1000000,0))))))))),0)</f>
        <v>587.704897982981</v>
      </c>
      <c r="F2920" s="10" t="n">
        <f aca="false">Nonlabor!$J$10*(1+Assumptions!$E$9)^INT((C2920-1)/12)</f>
        <v>0.16224</v>
      </c>
      <c r="G2920" s="10" t="n">
        <f aca="false">E2920*F2920</f>
        <v>95.3492426487588</v>
      </c>
      <c r="H2920" s="10" t="n">
        <f aca="false">IF(OR(Nonlabor!$L$10="Quote required",Nonlabor!$L$10="Unverified"),G2920,0)</f>
        <v>0</v>
      </c>
      <c r="I2920" s="10" t="n">
        <f aca="false">IF(Nonlabor!$E$10="Core",0,G2920)</f>
        <v>0</v>
      </c>
      <c r="J2920" s="23" t="str">
        <f aca="false">Nonlabor!$B$10</f>
        <v>INFRA</v>
      </c>
    </row>
    <row r="2921" customFormat="false" ht="15" hidden="false" customHeight="false" outlineLevel="0" collapsed="false">
      <c r="A2921" s="6" t="s">
        <v>73</v>
      </c>
      <c r="B2921" s="6" t="s">
        <v>383</v>
      </c>
      <c r="C2921" s="6" t="n">
        <v>36</v>
      </c>
      <c r="D2921" s="25" t="n">
        <f aca="false">EDATE('Start Here'!$B$6,C2921-1)</f>
        <v>47392</v>
      </c>
      <c r="E2921" s="11" t="n">
        <f aca="false">IF(AND(OR(Nonlabor!$D$10="Both",Nonlabor!$D$10='Start Here'!$B$9),IF(Nonlabor!$E$10="Core",1,IF(Nonlabor!$E$10="AI",'Start Here'!$B$7,'Start Here'!$B$8))=1,C2921&gt;=IF(Nonlabor!$E$10="Core",Nonlabor!$F$10,MAX(Nonlabor!$F$10,IF(Nonlabor!$E$10="AI",Assumptions!$E$24,Assumptions!$E$25))),C2921&lt;=Nonlabor!$G$10,OR(Nonlabor!$H$10="Monthly",AND(Nonlabor!$H$10="Once",C2921=IF(Nonlabor!$E$10="Core",Nonlabor!$F$10,MAX(Nonlabor!$F$10,IF(Nonlabor!$E$10="AI",Assumptions!$E$24,Assumptions!$E$25)))),AND(Nonlabor!$H$10="Annual",MOD(C2921-IF(Nonlabor!$E$10="Core",Nonlabor!$F$10,MAX(Nonlabor!$F$10,IF(Nonlabor!$E$10="AI",Assumptions!$E$24,Assumptions!$E$25))),12)=0))),IF(Nonlabor!$I$10="Fixed",1,IF(Nonlabor!$I$10="Seats",ROUNDUP('Monthly Growth'!I41,0),IF(Nonlabor!$I$10="Customers",'Monthly Growth'!D41,IF(Nonlabor!$I$10="NewCustomers",'Monthly Growth'!C41,IF(Nonlabor!$I$10="StorageGB",'Monthly Growth'!G41,IF(Nonlabor!$I$10="LogGB",'Monthly Growth'!H41,IF(Nonlabor!$I$10="RequestsM",'Monthly Growth'!F41,IF(Nonlabor!$I$10="InputM",'Monthly Growth'!D41*Assumptions!$E$22/1000000,IF(Nonlabor!$I$10="OutputM",'Monthly Growth'!D41*Assumptions!$E$23/1000000,0))))))))),0)</f>
        <v>639.627849003151</v>
      </c>
      <c r="F2921" s="10" t="n">
        <f aca="false">Nonlabor!$J$10*(1+Assumptions!$E$9)^INT((C2921-1)/12)</f>
        <v>0.16224</v>
      </c>
      <c r="G2921" s="10" t="n">
        <f aca="false">E2921*F2921</f>
        <v>103.773222222271</v>
      </c>
      <c r="H2921" s="10" t="n">
        <f aca="false">IF(OR(Nonlabor!$L$10="Quote required",Nonlabor!$L$10="Unverified"),G2921,0)</f>
        <v>0</v>
      </c>
      <c r="I2921" s="10" t="n">
        <f aca="false">IF(Nonlabor!$E$10="Core",0,G2921)</f>
        <v>0</v>
      </c>
      <c r="J2921" s="23" t="str">
        <f aca="false">Nonlabor!$B$10</f>
        <v>INFRA</v>
      </c>
    </row>
    <row r="2922" customFormat="false" ht="15" hidden="false" customHeight="false" outlineLevel="0" collapsed="false">
      <c r="A2922" s="6" t="s">
        <v>73</v>
      </c>
      <c r="B2922" s="6" t="s">
        <v>383</v>
      </c>
      <c r="C2922" s="6" t="n">
        <v>37</v>
      </c>
      <c r="D2922" s="25" t="n">
        <f aca="false">EDATE('Start Here'!$B$6,C2922-1)</f>
        <v>47423</v>
      </c>
      <c r="E2922" s="11" t="n">
        <f aca="false">IF(AND(OR(Nonlabor!$D$10="Both",Nonlabor!$D$10='Start Here'!$B$9),IF(Nonlabor!$E$10="Core",1,IF(Nonlabor!$E$10="AI",'Start Here'!$B$7,'Start Here'!$B$8))=1,C2922&gt;=IF(Nonlabor!$E$10="Core",Nonlabor!$F$10,MAX(Nonlabor!$F$10,IF(Nonlabor!$E$10="AI",Assumptions!$E$24,Assumptions!$E$25))),C2922&lt;=Nonlabor!$G$10,OR(Nonlabor!$H$10="Monthly",AND(Nonlabor!$H$10="Once",C2922=IF(Nonlabor!$E$10="Core",Nonlabor!$F$10,MAX(Nonlabor!$F$10,IF(Nonlabor!$E$10="AI",Assumptions!$E$24,Assumptions!$E$25)))),AND(Nonlabor!$H$10="Annual",MOD(C2922-IF(Nonlabor!$E$10="Core",Nonlabor!$F$10,MAX(Nonlabor!$F$10,IF(Nonlabor!$E$10="AI",Assumptions!$E$24,Assumptions!$E$25))),12)=0))),IF(Nonlabor!$I$10="Fixed",1,IF(Nonlabor!$I$10="Seats",ROUNDUP('Monthly Growth'!I42,0),IF(Nonlabor!$I$10="Customers",'Monthly Growth'!D42,IF(Nonlabor!$I$10="NewCustomers",'Monthly Growth'!C42,IF(Nonlabor!$I$10="StorageGB",'Monthly Growth'!G42,IF(Nonlabor!$I$10="LogGB",'Monthly Growth'!H42,IF(Nonlabor!$I$10="RequestsM",'Monthly Growth'!F42,IF(Nonlabor!$I$10="InputM",'Monthly Growth'!D42*Assumptions!$E$22/1000000,IF(Nonlabor!$I$10="OutputM",'Monthly Growth'!D42*Assumptions!$E$23/1000000,0))))))))),0)</f>
        <v>691.03157051312</v>
      </c>
      <c r="F2922" s="10" t="n">
        <f aca="false">Nonlabor!$J$10*(1+Assumptions!$E$9)^INT((C2922-1)/12)</f>
        <v>0.1687296</v>
      </c>
      <c r="G2922" s="10" t="n">
        <f aca="false">E2922*F2922</f>
        <v>116.59748048005</v>
      </c>
      <c r="H2922" s="10" t="n">
        <f aca="false">IF(OR(Nonlabor!$L$10="Quote required",Nonlabor!$L$10="Unverified"),G2922,0)</f>
        <v>0</v>
      </c>
      <c r="I2922" s="10" t="n">
        <f aca="false">IF(Nonlabor!$E$10="Core",0,G2922)</f>
        <v>0</v>
      </c>
      <c r="J2922" s="23" t="str">
        <f aca="false">Nonlabor!$B$10</f>
        <v>INFRA</v>
      </c>
    </row>
    <row r="2923" customFormat="false" ht="15" hidden="false" customHeight="false" outlineLevel="0" collapsed="false">
      <c r="A2923" s="6" t="s">
        <v>73</v>
      </c>
      <c r="B2923" s="6" t="s">
        <v>383</v>
      </c>
      <c r="C2923" s="6" t="n">
        <v>38</v>
      </c>
      <c r="D2923" s="25" t="n">
        <f aca="false">EDATE('Start Here'!$B$6,C2923-1)</f>
        <v>47453</v>
      </c>
      <c r="E2923" s="11" t="n">
        <f aca="false">IF(AND(OR(Nonlabor!$D$10="Both",Nonlabor!$D$10='Start Here'!$B$9),IF(Nonlabor!$E$10="Core",1,IF(Nonlabor!$E$10="AI",'Start Here'!$B$7,'Start Here'!$B$8))=1,C2923&gt;=IF(Nonlabor!$E$10="Core",Nonlabor!$F$10,MAX(Nonlabor!$F$10,IF(Nonlabor!$E$10="AI",Assumptions!$E$24,Assumptions!$E$25))),C2923&lt;=Nonlabor!$G$10,OR(Nonlabor!$H$10="Monthly",AND(Nonlabor!$H$10="Once",C2923=IF(Nonlabor!$E$10="Core",Nonlabor!$F$10,MAX(Nonlabor!$F$10,IF(Nonlabor!$E$10="AI",Assumptions!$E$24,Assumptions!$E$25)))),AND(Nonlabor!$H$10="Annual",MOD(C2923-IF(Nonlabor!$E$10="Core",Nonlabor!$F$10,MAX(Nonlabor!$F$10,IF(Nonlabor!$E$10="AI",Assumptions!$E$24,Assumptions!$E$25))),12)=0))),IF(Nonlabor!$I$10="Fixed",1,IF(Nonlabor!$I$10="Seats",ROUNDUP('Monthly Growth'!I43,0),IF(Nonlabor!$I$10="Customers",'Monthly Growth'!D43,IF(Nonlabor!$I$10="NewCustomers",'Monthly Growth'!C43,IF(Nonlabor!$I$10="StorageGB",'Monthly Growth'!G43,IF(Nonlabor!$I$10="LogGB",'Monthly Growth'!H43,IF(Nonlabor!$I$10="RequestsM",'Monthly Growth'!F43,IF(Nonlabor!$I$10="InputM",'Monthly Growth'!D43*Assumptions!$E$22/1000000,IF(Nonlabor!$I$10="OutputM",'Monthly Growth'!D43*Assumptions!$E$23/1000000,0))))))))),0)</f>
        <v>741.921254807988</v>
      </c>
      <c r="F2923" s="10" t="n">
        <f aca="false">Nonlabor!$J$10*(1+Assumptions!$E$9)^INT((C2923-1)/12)</f>
        <v>0.1687296</v>
      </c>
      <c r="G2923" s="10" t="n">
        <f aca="false">E2923*F2923</f>
        <v>125.18407655525</v>
      </c>
      <c r="H2923" s="10" t="n">
        <f aca="false">IF(OR(Nonlabor!$L$10="Quote required",Nonlabor!$L$10="Unverified"),G2923,0)</f>
        <v>0</v>
      </c>
      <c r="I2923" s="10" t="n">
        <f aca="false">IF(Nonlabor!$E$10="Core",0,G2923)</f>
        <v>0</v>
      </c>
      <c r="J2923" s="23" t="str">
        <f aca="false">Nonlabor!$B$10</f>
        <v>INFRA</v>
      </c>
    </row>
    <row r="2924" customFormat="false" ht="15" hidden="false" customHeight="false" outlineLevel="0" collapsed="false">
      <c r="A2924" s="6" t="s">
        <v>73</v>
      </c>
      <c r="B2924" s="6" t="s">
        <v>383</v>
      </c>
      <c r="C2924" s="6" t="n">
        <v>39</v>
      </c>
      <c r="D2924" s="25" t="n">
        <f aca="false">EDATE('Start Here'!$B$6,C2924-1)</f>
        <v>47484</v>
      </c>
      <c r="E2924" s="11" t="n">
        <f aca="false">IF(AND(OR(Nonlabor!$D$10="Both",Nonlabor!$D$10='Start Here'!$B$9),IF(Nonlabor!$E$10="Core",1,IF(Nonlabor!$E$10="AI",'Start Here'!$B$7,'Start Here'!$B$8))=1,C2924&gt;=IF(Nonlabor!$E$10="Core",Nonlabor!$F$10,MAX(Nonlabor!$F$10,IF(Nonlabor!$E$10="AI",Assumptions!$E$24,Assumptions!$E$25))),C2924&lt;=Nonlabor!$G$10,OR(Nonlabor!$H$10="Monthly",AND(Nonlabor!$H$10="Once",C2924=IF(Nonlabor!$E$10="Core",Nonlabor!$F$10,MAX(Nonlabor!$F$10,IF(Nonlabor!$E$10="AI",Assumptions!$E$24,Assumptions!$E$25)))),AND(Nonlabor!$H$10="Annual",MOD(C2924-IF(Nonlabor!$E$10="Core",Nonlabor!$F$10,MAX(Nonlabor!$F$10,IF(Nonlabor!$E$10="AI",Assumptions!$E$24,Assumptions!$E$25))),12)=0))),IF(Nonlabor!$I$10="Fixed",1,IF(Nonlabor!$I$10="Seats",ROUNDUP('Monthly Growth'!I44,0),IF(Nonlabor!$I$10="Customers",'Monthly Growth'!D44,IF(Nonlabor!$I$10="NewCustomers",'Monthly Growth'!C44,IF(Nonlabor!$I$10="StorageGB",'Monthly Growth'!G44,IF(Nonlabor!$I$10="LogGB",'Monthly Growth'!H44,IF(Nonlabor!$I$10="RequestsM",'Monthly Growth'!F44,IF(Nonlabor!$I$10="InputM",'Monthly Growth'!D44*Assumptions!$E$22/1000000,IF(Nonlabor!$I$10="OutputM",'Monthly Growth'!D44*Assumptions!$E$23/1000000,0))))))))),0)</f>
        <v>792.302042259909</v>
      </c>
      <c r="F2924" s="10" t="n">
        <f aca="false">Nonlabor!$J$10*(1+Assumptions!$E$9)^INT((C2924-1)/12)</f>
        <v>0.1687296</v>
      </c>
      <c r="G2924" s="10" t="n">
        <f aca="false">E2924*F2924</f>
        <v>133.684806669697</v>
      </c>
      <c r="H2924" s="10" t="n">
        <f aca="false">IF(OR(Nonlabor!$L$10="Quote required",Nonlabor!$L$10="Unverified"),G2924,0)</f>
        <v>0</v>
      </c>
      <c r="I2924" s="10" t="n">
        <f aca="false">IF(Nonlabor!$E$10="Core",0,G2924)</f>
        <v>0</v>
      </c>
      <c r="J2924" s="23" t="str">
        <f aca="false">Nonlabor!$B$10</f>
        <v>INFRA</v>
      </c>
    </row>
    <row r="2925" customFormat="false" ht="15" hidden="false" customHeight="false" outlineLevel="0" collapsed="false">
      <c r="A2925" s="6" t="s">
        <v>73</v>
      </c>
      <c r="B2925" s="6" t="s">
        <v>383</v>
      </c>
      <c r="C2925" s="6" t="n">
        <v>40</v>
      </c>
      <c r="D2925" s="25" t="n">
        <f aca="false">EDATE('Start Here'!$B$6,C2925-1)</f>
        <v>47515</v>
      </c>
      <c r="E2925" s="11" t="n">
        <f aca="false">IF(AND(OR(Nonlabor!$D$10="Both",Nonlabor!$D$10='Start Here'!$B$9),IF(Nonlabor!$E$10="Core",1,IF(Nonlabor!$E$10="AI",'Start Here'!$B$7,'Start Here'!$B$8))=1,C2925&gt;=IF(Nonlabor!$E$10="Core",Nonlabor!$F$10,MAX(Nonlabor!$F$10,IF(Nonlabor!$E$10="AI",Assumptions!$E$24,Assumptions!$E$25))),C2925&lt;=Nonlabor!$G$10,OR(Nonlabor!$H$10="Monthly",AND(Nonlabor!$H$10="Once",C2925=IF(Nonlabor!$E$10="Core",Nonlabor!$F$10,MAX(Nonlabor!$F$10,IF(Nonlabor!$E$10="AI",Assumptions!$E$24,Assumptions!$E$25)))),AND(Nonlabor!$H$10="Annual",MOD(C2925-IF(Nonlabor!$E$10="Core",Nonlabor!$F$10,MAX(Nonlabor!$F$10,IF(Nonlabor!$E$10="AI",Assumptions!$E$24,Assumptions!$E$25))),12)=0))),IF(Nonlabor!$I$10="Fixed",1,IF(Nonlabor!$I$10="Seats",ROUNDUP('Monthly Growth'!I45,0),IF(Nonlabor!$I$10="Customers",'Monthly Growth'!D45,IF(Nonlabor!$I$10="NewCustomers",'Monthly Growth'!C45,IF(Nonlabor!$I$10="StorageGB",'Monthly Growth'!G45,IF(Nonlabor!$I$10="LogGB",'Monthly Growth'!H45,IF(Nonlabor!$I$10="RequestsM",'Monthly Growth'!F45,IF(Nonlabor!$I$10="InputM",'Monthly Growth'!D45*Assumptions!$E$22/1000000,IF(Nonlabor!$I$10="OutputM",'Monthly Growth'!D45*Assumptions!$E$23/1000000,0))))))))),0)</f>
        <v>842.179021837309</v>
      </c>
      <c r="F2925" s="10" t="n">
        <f aca="false">Nonlabor!$J$10*(1+Assumptions!$E$9)^INT((C2925-1)/12)</f>
        <v>0.1687296</v>
      </c>
      <c r="G2925" s="10" t="n">
        <f aca="false">E2925*F2925</f>
        <v>142.100529483</v>
      </c>
      <c r="H2925" s="10" t="n">
        <f aca="false">IF(OR(Nonlabor!$L$10="Quote required",Nonlabor!$L$10="Unverified"),G2925,0)</f>
        <v>0</v>
      </c>
      <c r="I2925" s="10" t="n">
        <f aca="false">IF(Nonlabor!$E$10="Core",0,G2925)</f>
        <v>0</v>
      </c>
      <c r="J2925" s="23" t="str">
        <f aca="false">Nonlabor!$B$10</f>
        <v>INFRA</v>
      </c>
    </row>
    <row r="2926" customFormat="false" ht="15" hidden="false" customHeight="false" outlineLevel="0" collapsed="false">
      <c r="A2926" s="6" t="s">
        <v>73</v>
      </c>
      <c r="B2926" s="6" t="s">
        <v>383</v>
      </c>
      <c r="C2926" s="6" t="n">
        <v>41</v>
      </c>
      <c r="D2926" s="25" t="n">
        <f aca="false">EDATE('Start Here'!$B$6,C2926-1)</f>
        <v>47543</v>
      </c>
      <c r="E2926" s="11" t="n">
        <f aca="false">IF(AND(OR(Nonlabor!$D$10="Both",Nonlabor!$D$10='Start Here'!$B$9),IF(Nonlabor!$E$10="Core",1,IF(Nonlabor!$E$10="AI",'Start Here'!$B$7,'Start Here'!$B$8))=1,C2926&gt;=IF(Nonlabor!$E$10="Core",Nonlabor!$F$10,MAX(Nonlabor!$F$10,IF(Nonlabor!$E$10="AI",Assumptions!$E$24,Assumptions!$E$25))),C2926&lt;=Nonlabor!$G$10,OR(Nonlabor!$H$10="Monthly",AND(Nonlabor!$H$10="Once",C2926=IF(Nonlabor!$E$10="Core",Nonlabor!$F$10,MAX(Nonlabor!$F$10,IF(Nonlabor!$E$10="AI",Assumptions!$E$24,Assumptions!$E$25)))),AND(Nonlabor!$H$10="Annual",MOD(C2926-IF(Nonlabor!$E$10="Core",Nonlabor!$F$10,MAX(Nonlabor!$F$10,IF(Nonlabor!$E$10="AI",Assumptions!$E$24,Assumptions!$E$25))),12)=0))),IF(Nonlabor!$I$10="Fixed",1,IF(Nonlabor!$I$10="Seats",ROUNDUP('Monthly Growth'!I46,0),IF(Nonlabor!$I$10="Customers",'Monthly Growth'!D46,IF(Nonlabor!$I$10="NewCustomers",'Monthly Growth'!C46,IF(Nonlabor!$I$10="StorageGB",'Monthly Growth'!G46,IF(Nonlabor!$I$10="LogGB",'Monthly Growth'!H46,IF(Nonlabor!$I$10="RequestsM",'Monthly Growth'!F46,IF(Nonlabor!$I$10="InputM",'Monthly Growth'!D46*Assumptions!$E$22/1000000,IF(Nonlabor!$I$10="OutputM",'Monthly Growth'!D46*Assumptions!$E$23/1000000,0))))))))),0)</f>
        <v>891.557231618936</v>
      </c>
      <c r="F2926" s="10" t="n">
        <f aca="false">Nonlabor!$J$10*(1+Assumptions!$E$9)^INT((C2926-1)/12)</f>
        <v>0.1687296</v>
      </c>
      <c r="G2926" s="10" t="n">
        <f aca="false">E2926*F2926</f>
        <v>150.432095068171</v>
      </c>
      <c r="H2926" s="10" t="n">
        <f aca="false">IF(OR(Nonlabor!$L$10="Quote required",Nonlabor!$L$10="Unverified"),G2926,0)</f>
        <v>0</v>
      </c>
      <c r="I2926" s="10" t="n">
        <f aca="false">IF(Nonlabor!$E$10="Core",0,G2926)</f>
        <v>0</v>
      </c>
      <c r="J2926" s="23" t="str">
        <f aca="false">Nonlabor!$B$10</f>
        <v>INFRA</v>
      </c>
    </row>
    <row r="2927" customFormat="false" ht="15" hidden="false" customHeight="false" outlineLevel="0" collapsed="false">
      <c r="A2927" s="6" t="s">
        <v>73</v>
      </c>
      <c r="B2927" s="6" t="s">
        <v>383</v>
      </c>
      <c r="C2927" s="6" t="n">
        <v>42</v>
      </c>
      <c r="D2927" s="25" t="n">
        <f aca="false">EDATE('Start Here'!$B$6,C2927-1)</f>
        <v>47574</v>
      </c>
      <c r="E2927" s="11" t="n">
        <f aca="false">IF(AND(OR(Nonlabor!$D$10="Both",Nonlabor!$D$10='Start Here'!$B$9),IF(Nonlabor!$E$10="Core",1,IF(Nonlabor!$E$10="AI",'Start Here'!$B$7,'Start Here'!$B$8))=1,C2927&gt;=IF(Nonlabor!$E$10="Core",Nonlabor!$F$10,MAX(Nonlabor!$F$10,IF(Nonlabor!$E$10="AI",Assumptions!$E$24,Assumptions!$E$25))),C2927&lt;=Nonlabor!$G$10,OR(Nonlabor!$H$10="Monthly",AND(Nonlabor!$H$10="Once",C2927=IF(Nonlabor!$E$10="Core",Nonlabor!$F$10,MAX(Nonlabor!$F$10,IF(Nonlabor!$E$10="AI",Assumptions!$E$24,Assumptions!$E$25)))),AND(Nonlabor!$H$10="Annual",MOD(C2927-IF(Nonlabor!$E$10="Core",Nonlabor!$F$10,MAX(Nonlabor!$F$10,IF(Nonlabor!$E$10="AI",Assumptions!$E$24,Assumptions!$E$25))),12)=0))),IF(Nonlabor!$I$10="Fixed",1,IF(Nonlabor!$I$10="Seats",ROUNDUP('Monthly Growth'!I47,0),IF(Nonlabor!$I$10="Customers",'Monthly Growth'!D47,IF(Nonlabor!$I$10="NewCustomers",'Monthly Growth'!C47,IF(Nonlabor!$I$10="StorageGB",'Monthly Growth'!G47,IF(Nonlabor!$I$10="LogGB",'Monthly Growth'!H47,IF(Nonlabor!$I$10="RequestsM",'Monthly Growth'!F47,IF(Nonlabor!$I$10="InputM",'Monthly Growth'!D47*Assumptions!$E$22/1000000,IF(Nonlabor!$I$10="OutputM",'Monthly Growth'!D47*Assumptions!$E$23/1000000,0))))))))),0)</f>
        <v>940.441659302747</v>
      </c>
      <c r="F2927" s="10" t="n">
        <f aca="false">Nonlabor!$J$10*(1+Assumptions!$E$9)^INT((C2927-1)/12)</f>
        <v>0.1687296</v>
      </c>
      <c r="G2927" s="10" t="n">
        <f aca="false">E2927*F2927</f>
        <v>158.680344997489</v>
      </c>
      <c r="H2927" s="10" t="n">
        <f aca="false">IF(OR(Nonlabor!$L$10="Quote required",Nonlabor!$L$10="Unverified"),G2927,0)</f>
        <v>0</v>
      </c>
      <c r="I2927" s="10" t="n">
        <f aca="false">IF(Nonlabor!$E$10="Core",0,G2927)</f>
        <v>0</v>
      </c>
      <c r="J2927" s="23" t="str">
        <f aca="false">Nonlabor!$B$10</f>
        <v>INFRA</v>
      </c>
    </row>
    <row r="2928" customFormat="false" ht="15" hidden="false" customHeight="false" outlineLevel="0" collapsed="false">
      <c r="A2928" s="6" t="s">
        <v>73</v>
      </c>
      <c r="B2928" s="6" t="s">
        <v>383</v>
      </c>
      <c r="C2928" s="6" t="n">
        <v>43</v>
      </c>
      <c r="D2928" s="25" t="n">
        <f aca="false">EDATE('Start Here'!$B$6,C2928-1)</f>
        <v>47604</v>
      </c>
      <c r="E2928" s="11" t="n">
        <f aca="false">IF(AND(OR(Nonlabor!$D$10="Both",Nonlabor!$D$10='Start Here'!$B$9),IF(Nonlabor!$E$10="Core",1,IF(Nonlabor!$E$10="AI",'Start Here'!$B$7,'Start Here'!$B$8))=1,C2928&gt;=IF(Nonlabor!$E$10="Core",Nonlabor!$F$10,MAX(Nonlabor!$F$10,IF(Nonlabor!$E$10="AI",Assumptions!$E$24,Assumptions!$E$25))),C2928&lt;=Nonlabor!$G$10,OR(Nonlabor!$H$10="Monthly",AND(Nonlabor!$H$10="Once",C2928=IF(Nonlabor!$E$10="Core",Nonlabor!$F$10,MAX(Nonlabor!$F$10,IF(Nonlabor!$E$10="AI",Assumptions!$E$24,Assumptions!$E$25)))),AND(Nonlabor!$H$10="Annual",MOD(C2928-IF(Nonlabor!$E$10="Core",Nonlabor!$F$10,MAX(Nonlabor!$F$10,IF(Nonlabor!$E$10="AI",Assumptions!$E$24,Assumptions!$E$25))),12)=0))),IF(Nonlabor!$I$10="Fixed",1,IF(Nonlabor!$I$10="Seats",ROUNDUP('Monthly Growth'!I48,0),IF(Nonlabor!$I$10="Customers",'Monthly Growth'!D48,IF(Nonlabor!$I$10="NewCustomers",'Monthly Growth'!C48,IF(Nonlabor!$I$10="StorageGB",'Monthly Growth'!G48,IF(Nonlabor!$I$10="LogGB",'Monthly Growth'!H48,IF(Nonlabor!$I$10="RequestsM",'Monthly Growth'!F48,IF(Nonlabor!$I$10="InputM",'Monthly Growth'!D48*Assumptions!$E$22/1000000,IF(Nonlabor!$I$10="OutputM",'Monthly Growth'!D48*Assumptions!$E$23/1000000,0))))))))),0)</f>
        <v>988.83724270972</v>
      </c>
      <c r="F2928" s="10" t="n">
        <f aca="false">Nonlabor!$J$10*(1+Assumptions!$E$9)^INT((C2928-1)/12)</f>
        <v>0.1687296</v>
      </c>
      <c r="G2928" s="10" t="n">
        <f aca="false">E2928*F2928</f>
        <v>166.846112427514</v>
      </c>
      <c r="H2928" s="10" t="n">
        <f aca="false">IF(OR(Nonlabor!$L$10="Quote required",Nonlabor!$L$10="Unverified"),G2928,0)</f>
        <v>0</v>
      </c>
      <c r="I2928" s="10" t="n">
        <f aca="false">IF(Nonlabor!$E$10="Core",0,G2928)</f>
        <v>0</v>
      </c>
      <c r="J2928" s="23" t="str">
        <f aca="false">Nonlabor!$B$10</f>
        <v>INFRA</v>
      </c>
    </row>
    <row r="2929" customFormat="false" ht="15" hidden="false" customHeight="false" outlineLevel="0" collapsed="false">
      <c r="A2929" s="6" t="s">
        <v>73</v>
      </c>
      <c r="B2929" s="6" t="s">
        <v>383</v>
      </c>
      <c r="C2929" s="6" t="n">
        <v>44</v>
      </c>
      <c r="D2929" s="25" t="n">
        <f aca="false">EDATE('Start Here'!$B$6,C2929-1)</f>
        <v>47635</v>
      </c>
      <c r="E2929" s="11" t="n">
        <f aca="false">IF(AND(OR(Nonlabor!$D$10="Both",Nonlabor!$D$10='Start Here'!$B$9),IF(Nonlabor!$E$10="Core",1,IF(Nonlabor!$E$10="AI",'Start Here'!$B$7,'Start Here'!$B$8))=1,C2929&gt;=IF(Nonlabor!$E$10="Core",Nonlabor!$F$10,MAX(Nonlabor!$F$10,IF(Nonlabor!$E$10="AI",Assumptions!$E$24,Assumptions!$E$25))),C2929&lt;=Nonlabor!$G$10,OR(Nonlabor!$H$10="Monthly",AND(Nonlabor!$H$10="Once",C2929=IF(Nonlabor!$E$10="Core",Nonlabor!$F$10,MAX(Nonlabor!$F$10,IF(Nonlabor!$E$10="AI",Assumptions!$E$24,Assumptions!$E$25)))),AND(Nonlabor!$H$10="Annual",MOD(C2929-IF(Nonlabor!$E$10="Core",Nonlabor!$F$10,MAX(Nonlabor!$F$10,IF(Nonlabor!$E$10="AI",Assumptions!$E$24,Assumptions!$E$25))),12)=0))),IF(Nonlabor!$I$10="Fixed",1,IF(Nonlabor!$I$10="Seats",ROUNDUP('Monthly Growth'!I49,0),IF(Nonlabor!$I$10="Customers",'Monthly Growth'!D49,IF(Nonlabor!$I$10="NewCustomers",'Monthly Growth'!C49,IF(Nonlabor!$I$10="StorageGB",'Monthly Growth'!G49,IF(Nonlabor!$I$10="LogGB",'Monthly Growth'!H49,IF(Nonlabor!$I$10="RequestsM",'Monthly Growth'!F49,IF(Nonlabor!$I$10="InputM",'Monthly Growth'!D49*Assumptions!$E$22/1000000,IF(Nonlabor!$I$10="OutputM",'Monthly Growth'!D49*Assumptions!$E$23/1000000,0))))))))),0)</f>
        <v>1036.74887028262</v>
      </c>
      <c r="F2929" s="10" t="n">
        <f aca="false">Nonlabor!$J$10*(1+Assumptions!$E$9)^INT((C2929-1)/12)</f>
        <v>0.1687296</v>
      </c>
      <c r="G2929" s="10" t="n">
        <f aca="false">E2929*F2929</f>
        <v>174.930222183239</v>
      </c>
      <c r="H2929" s="10" t="n">
        <f aca="false">IF(OR(Nonlabor!$L$10="Quote required",Nonlabor!$L$10="Unverified"),G2929,0)</f>
        <v>0</v>
      </c>
      <c r="I2929" s="10" t="n">
        <f aca="false">IF(Nonlabor!$E$10="Core",0,G2929)</f>
        <v>0</v>
      </c>
      <c r="J2929" s="23" t="str">
        <f aca="false">Nonlabor!$B$10</f>
        <v>INFRA</v>
      </c>
    </row>
    <row r="2930" customFormat="false" ht="15" hidden="false" customHeight="false" outlineLevel="0" collapsed="false">
      <c r="A2930" s="6" t="s">
        <v>73</v>
      </c>
      <c r="B2930" s="6" t="s">
        <v>383</v>
      </c>
      <c r="C2930" s="6" t="n">
        <v>45</v>
      </c>
      <c r="D2930" s="25" t="n">
        <f aca="false">EDATE('Start Here'!$B$6,C2930-1)</f>
        <v>47665</v>
      </c>
      <c r="E2930" s="11" t="n">
        <f aca="false">IF(AND(OR(Nonlabor!$D$10="Both",Nonlabor!$D$10='Start Here'!$B$9),IF(Nonlabor!$E$10="Core",1,IF(Nonlabor!$E$10="AI",'Start Here'!$B$7,'Start Here'!$B$8))=1,C2930&gt;=IF(Nonlabor!$E$10="Core",Nonlabor!$F$10,MAX(Nonlabor!$F$10,IF(Nonlabor!$E$10="AI",Assumptions!$E$24,Assumptions!$E$25))),C2930&lt;=Nonlabor!$G$10,OR(Nonlabor!$H$10="Monthly",AND(Nonlabor!$H$10="Once",C2930=IF(Nonlabor!$E$10="Core",Nonlabor!$F$10,MAX(Nonlabor!$F$10,IF(Nonlabor!$E$10="AI",Assumptions!$E$24,Assumptions!$E$25)))),AND(Nonlabor!$H$10="Annual",MOD(C2930-IF(Nonlabor!$E$10="Core",Nonlabor!$F$10,MAX(Nonlabor!$F$10,IF(Nonlabor!$E$10="AI",Assumptions!$E$24,Assumptions!$E$25))),12)=0))),IF(Nonlabor!$I$10="Fixed",1,IF(Nonlabor!$I$10="Seats",ROUNDUP('Monthly Growth'!I50,0),IF(Nonlabor!$I$10="Customers",'Monthly Growth'!D50,IF(Nonlabor!$I$10="NewCustomers",'Monthly Growth'!C50,IF(Nonlabor!$I$10="StorageGB",'Monthly Growth'!G50,IF(Nonlabor!$I$10="LogGB",'Monthly Growth'!H50,IF(Nonlabor!$I$10="RequestsM",'Monthly Growth'!F50,IF(Nonlabor!$I$10="InputM",'Monthly Growth'!D50*Assumptions!$E$22/1000000,IF(Nonlabor!$I$10="OutputM",'Monthly Growth'!D50*Assumptions!$E$23/1000000,0))))))))),0)</f>
        <v>1084.1813815798</v>
      </c>
      <c r="F2930" s="10" t="n">
        <f aca="false">Nonlabor!$J$10*(1+Assumptions!$E$9)^INT((C2930-1)/12)</f>
        <v>0.1687296</v>
      </c>
      <c r="G2930" s="10" t="n">
        <f aca="false">E2930*F2930</f>
        <v>182.933490841406</v>
      </c>
      <c r="H2930" s="10" t="n">
        <f aca="false">IF(OR(Nonlabor!$L$10="Quote required",Nonlabor!$L$10="Unverified"),G2930,0)</f>
        <v>0</v>
      </c>
      <c r="I2930" s="10" t="n">
        <f aca="false">IF(Nonlabor!$E$10="Core",0,G2930)</f>
        <v>0</v>
      </c>
      <c r="J2930" s="23" t="str">
        <f aca="false">Nonlabor!$B$10</f>
        <v>INFRA</v>
      </c>
    </row>
    <row r="2931" customFormat="false" ht="15" hidden="false" customHeight="false" outlineLevel="0" collapsed="false">
      <c r="A2931" s="6" t="s">
        <v>73</v>
      </c>
      <c r="B2931" s="6" t="s">
        <v>383</v>
      </c>
      <c r="C2931" s="6" t="n">
        <v>46</v>
      </c>
      <c r="D2931" s="25" t="n">
        <f aca="false">EDATE('Start Here'!$B$6,C2931-1)</f>
        <v>47696</v>
      </c>
      <c r="E2931" s="11" t="n">
        <f aca="false">IF(AND(OR(Nonlabor!$D$10="Both",Nonlabor!$D$10='Start Here'!$B$9),IF(Nonlabor!$E$10="Core",1,IF(Nonlabor!$E$10="AI",'Start Here'!$B$7,'Start Here'!$B$8))=1,C2931&gt;=IF(Nonlabor!$E$10="Core",Nonlabor!$F$10,MAX(Nonlabor!$F$10,IF(Nonlabor!$E$10="AI",Assumptions!$E$24,Assumptions!$E$25))),C2931&lt;=Nonlabor!$G$10,OR(Nonlabor!$H$10="Monthly",AND(Nonlabor!$H$10="Once",C2931=IF(Nonlabor!$E$10="Core",Nonlabor!$F$10,MAX(Nonlabor!$F$10,IF(Nonlabor!$E$10="AI",Assumptions!$E$24,Assumptions!$E$25)))),AND(Nonlabor!$H$10="Annual",MOD(C2931-IF(Nonlabor!$E$10="Core",Nonlabor!$F$10,MAX(Nonlabor!$F$10,IF(Nonlabor!$E$10="AI",Assumptions!$E$24,Assumptions!$E$25))),12)=0))),IF(Nonlabor!$I$10="Fixed",1,IF(Nonlabor!$I$10="Seats",ROUNDUP('Monthly Growth'!I51,0),IF(Nonlabor!$I$10="Customers",'Monthly Growth'!D51,IF(Nonlabor!$I$10="NewCustomers",'Monthly Growth'!C51,IF(Nonlabor!$I$10="StorageGB",'Monthly Growth'!G51,IF(Nonlabor!$I$10="LogGB",'Monthly Growth'!H51,IF(Nonlabor!$I$10="RequestsM",'Monthly Growth'!F51,IF(Nonlabor!$I$10="InputM",'Monthly Growth'!D51*Assumptions!$E$22/1000000,IF(Nonlabor!$I$10="OutputM",'Monthly Growth'!D51*Assumptions!$E$23/1000000,0))))))))),0)</f>
        <v>1131.139567764</v>
      </c>
      <c r="F2931" s="10" t="n">
        <f aca="false">Nonlabor!$J$10*(1+Assumptions!$E$9)^INT((C2931-1)/12)</f>
        <v>0.1687296</v>
      </c>
      <c r="G2931" s="10" t="n">
        <f aca="false">E2931*F2931</f>
        <v>190.856726812992</v>
      </c>
      <c r="H2931" s="10" t="n">
        <f aca="false">IF(OR(Nonlabor!$L$10="Quote required",Nonlabor!$L$10="Unverified"),G2931,0)</f>
        <v>0</v>
      </c>
      <c r="I2931" s="10" t="n">
        <f aca="false">IF(Nonlabor!$E$10="Core",0,G2931)</f>
        <v>0</v>
      </c>
      <c r="J2931" s="23" t="str">
        <f aca="false">Nonlabor!$B$10</f>
        <v>INFRA</v>
      </c>
    </row>
    <row r="2932" customFormat="false" ht="15" hidden="false" customHeight="false" outlineLevel="0" collapsed="false">
      <c r="A2932" s="6" t="s">
        <v>73</v>
      </c>
      <c r="B2932" s="6" t="s">
        <v>383</v>
      </c>
      <c r="C2932" s="6" t="n">
        <v>47</v>
      </c>
      <c r="D2932" s="25" t="n">
        <f aca="false">EDATE('Start Here'!$B$6,C2932-1)</f>
        <v>47727</v>
      </c>
      <c r="E2932" s="11" t="n">
        <f aca="false">IF(AND(OR(Nonlabor!$D$10="Both",Nonlabor!$D$10='Start Here'!$B$9),IF(Nonlabor!$E$10="Core",1,IF(Nonlabor!$E$10="AI",'Start Here'!$B$7,'Start Here'!$B$8))=1,C2932&gt;=IF(Nonlabor!$E$10="Core",Nonlabor!$F$10,MAX(Nonlabor!$F$10,IF(Nonlabor!$E$10="AI",Assumptions!$E$24,Assumptions!$E$25))),C2932&lt;=Nonlabor!$G$10,OR(Nonlabor!$H$10="Monthly",AND(Nonlabor!$H$10="Once",C2932=IF(Nonlabor!$E$10="Core",Nonlabor!$F$10,MAX(Nonlabor!$F$10,IF(Nonlabor!$E$10="AI",Assumptions!$E$24,Assumptions!$E$25)))),AND(Nonlabor!$H$10="Annual",MOD(C2932-IF(Nonlabor!$E$10="Core",Nonlabor!$F$10,MAX(Nonlabor!$F$10,IF(Nonlabor!$E$10="AI",Assumptions!$E$24,Assumptions!$E$25))),12)=0))),IF(Nonlabor!$I$10="Fixed",1,IF(Nonlabor!$I$10="Seats",ROUNDUP('Monthly Growth'!I52,0),IF(Nonlabor!$I$10="Customers",'Monthly Growth'!D52,IF(Nonlabor!$I$10="NewCustomers",'Monthly Growth'!C52,IF(Nonlabor!$I$10="StorageGB",'Monthly Growth'!G52,IF(Nonlabor!$I$10="LogGB",'Monthly Growth'!H52,IF(Nonlabor!$I$10="RequestsM",'Monthly Growth'!F52,IF(Nonlabor!$I$10="InputM",'Monthly Growth'!D52*Assumptions!$E$22/1000000,IF(Nonlabor!$I$10="OutputM",'Monthly Growth'!D52*Assumptions!$E$23/1000000,0))))))))),0)</f>
        <v>1177.62817208636</v>
      </c>
      <c r="F2932" s="10" t="n">
        <f aca="false">Nonlabor!$J$10*(1+Assumptions!$E$9)^INT((C2932-1)/12)</f>
        <v>0.1687296</v>
      </c>
      <c r="G2932" s="10" t="n">
        <f aca="false">E2932*F2932</f>
        <v>198.700730424862</v>
      </c>
      <c r="H2932" s="10" t="n">
        <f aca="false">IF(OR(Nonlabor!$L$10="Quote required",Nonlabor!$L$10="Unverified"),G2932,0)</f>
        <v>0</v>
      </c>
      <c r="I2932" s="10" t="n">
        <f aca="false">IF(Nonlabor!$E$10="Core",0,G2932)</f>
        <v>0</v>
      </c>
      <c r="J2932" s="23" t="str">
        <f aca="false">Nonlabor!$B$10</f>
        <v>INFRA</v>
      </c>
    </row>
    <row r="2933" customFormat="false" ht="15" hidden="false" customHeight="false" outlineLevel="0" collapsed="false">
      <c r="A2933" s="6" t="s">
        <v>73</v>
      </c>
      <c r="B2933" s="6" t="s">
        <v>383</v>
      </c>
      <c r="C2933" s="6" t="n">
        <v>48</v>
      </c>
      <c r="D2933" s="25" t="n">
        <f aca="false">EDATE('Start Here'!$B$6,C2933-1)</f>
        <v>47757</v>
      </c>
      <c r="E2933" s="11" t="n">
        <f aca="false">IF(AND(OR(Nonlabor!$D$10="Both",Nonlabor!$D$10='Start Here'!$B$9),IF(Nonlabor!$E$10="Core",1,IF(Nonlabor!$E$10="AI",'Start Here'!$B$7,'Start Here'!$B$8))=1,C2933&gt;=IF(Nonlabor!$E$10="Core",Nonlabor!$F$10,MAX(Nonlabor!$F$10,IF(Nonlabor!$E$10="AI",Assumptions!$E$24,Assumptions!$E$25))),C2933&lt;=Nonlabor!$G$10,OR(Nonlabor!$H$10="Monthly",AND(Nonlabor!$H$10="Once",C2933=IF(Nonlabor!$E$10="Core",Nonlabor!$F$10,MAX(Nonlabor!$F$10,IF(Nonlabor!$E$10="AI",Assumptions!$E$24,Assumptions!$E$25)))),AND(Nonlabor!$H$10="Annual",MOD(C2933-IF(Nonlabor!$E$10="Core",Nonlabor!$F$10,MAX(Nonlabor!$F$10,IF(Nonlabor!$E$10="AI",Assumptions!$E$24,Assumptions!$E$25))),12)=0))),IF(Nonlabor!$I$10="Fixed",1,IF(Nonlabor!$I$10="Seats",ROUNDUP('Monthly Growth'!I53,0),IF(Nonlabor!$I$10="Customers",'Monthly Growth'!D53,IF(Nonlabor!$I$10="NewCustomers",'Monthly Growth'!C53,IF(Nonlabor!$I$10="StorageGB",'Monthly Growth'!G53,IF(Nonlabor!$I$10="LogGB",'Monthly Growth'!H53,IF(Nonlabor!$I$10="RequestsM",'Monthly Growth'!F53,IF(Nonlabor!$I$10="InputM",'Monthly Growth'!D53*Assumptions!$E$22/1000000,IF(Nonlabor!$I$10="OutputM",'Monthly Growth'!D53*Assumptions!$E$23/1000000,0))))))))),0)</f>
        <v>1264.11189036549</v>
      </c>
      <c r="F2933" s="10" t="n">
        <f aca="false">Nonlabor!$J$10*(1+Assumptions!$E$9)^INT((C2933-1)/12)</f>
        <v>0.1687296</v>
      </c>
      <c r="G2933" s="10" t="n">
        <f aca="false">E2933*F2933</f>
        <v>213.293093616614</v>
      </c>
      <c r="H2933" s="10" t="n">
        <f aca="false">IF(OR(Nonlabor!$L$10="Quote required",Nonlabor!$L$10="Unverified"),G2933,0)</f>
        <v>0</v>
      </c>
      <c r="I2933" s="10" t="n">
        <f aca="false">IF(Nonlabor!$E$10="Core",0,G2933)</f>
        <v>0</v>
      </c>
      <c r="J2933" s="23" t="str">
        <f aca="false">Nonlabor!$B$10</f>
        <v>INFRA</v>
      </c>
    </row>
    <row r="2934" customFormat="false" ht="15" hidden="false" customHeight="false" outlineLevel="0" collapsed="false">
      <c r="A2934" s="6" t="s">
        <v>73</v>
      </c>
      <c r="B2934" s="6" t="s">
        <v>383</v>
      </c>
      <c r="C2934" s="6" t="n">
        <v>49</v>
      </c>
      <c r="D2934" s="25" t="n">
        <f aca="false">EDATE('Start Here'!$B$6,C2934-1)</f>
        <v>47788</v>
      </c>
      <c r="E2934" s="11" t="n">
        <f aca="false">IF(AND(OR(Nonlabor!$D$10="Both",Nonlabor!$D$10='Start Here'!$B$9),IF(Nonlabor!$E$10="Core",1,IF(Nonlabor!$E$10="AI",'Start Here'!$B$7,'Start Here'!$B$8))=1,C2934&gt;=IF(Nonlabor!$E$10="Core",Nonlabor!$F$10,MAX(Nonlabor!$F$10,IF(Nonlabor!$E$10="AI",Assumptions!$E$24,Assumptions!$E$25))),C2934&lt;=Nonlabor!$G$10,OR(Nonlabor!$H$10="Monthly",AND(Nonlabor!$H$10="Once",C2934=IF(Nonlabor!$E$10="Core",Nonlabor!$F$10,MAX(Nonlabor!$F$10,IF(Nonlabor!$E$10="AI",Assumptions!$E$24,Assumptions!$E$25)))),AND(Nonlabor!$H$10="Annual",MOD(C2934-IF(Nonlabor!$E$10="Core",Nonlabor!$F$10,MAX(Nonlabor!$F$10,IF(Nonlabor!$E$10="AI",Assumptions!$E$24,Assumptions!$E$25))),12)=0))),IF(Nonlabor!$I$10="Fixed",1,IF(Nonlabor!$I$10="Seats",ROUNDUP('Monthly Growth'!I54,0),IF(Nonlabor!$I$10="Customers",'Monthly Growth'!D54,IF(Nonlabor!$I$10="NewCustomers",'Monthly Growth'!C54,IF(Nonlabor!$I$10="StorageGB",'Monthly Growth'!G54,IF(Nonlabor!$I$10="LogGB",'Monthly Growth'!H54,IF(Nonlabor!$I$10="RequestsM",'Monthly Growth'!F54,IF(Nonlabor!$I$10="InputM",'Monthly Growth'!D54*Assumptions!$E$22/1000000,IF(Nonlabor!$I$10="OutputM",'Monthly Growth'!D54*Assumptions!$E$23/1000000,0))))))))),0)</f>
        <v>1349.73077146184</v>
      </c>
      <c r="F2934" s="10" t="n">
        <f aca="false">Nonlabor!$J$10*(1+Assumptions!$E$9)^INT((C2934-1)/12)</f>
        <v>0.175478784</v>
      </c>
      <c r="G2934" s="10" t="n">
        <f aca="false">E2934*F2934</f>
        <v>236.849114503506</v>
      </c>
      <c r="H2934" s="10" t="n">
        <f aca="false">IF(OR(Nonlabor!$L$10="Quote required",Nonlabor!$L$10="Unverified"),G2934,0)</f>
        <v>0</v>
      </c>
      <c r="I2934" s="10" t="n">
        <f aca="false">IF(Nonlabor!$E$10="Core",0,G2934)</f>
        <v>0</v>
      </c>
      <c r="J2934" s="23" t="str">
        <f aca="false">Nonlabor!$B$10</f>
        <v>INFRA</v>
      </c>
    </row>
    <row r="2935" customFormat="false" ht="15" hidden="false" customHeight="false" outlineLevel="0" collapsed="false">
      <c r="A2935" s="6" t="s">
        <v>73</v>
      </c>
      <c r="B2935" s="6" t="s">
        <v>383</v>
      </c>
      <c r="C2935" s="6" t="n">
        <v>50</v>
      </c>
      <c r="D2935" s="25" t="n">
        <f aca="false">EDATE('Start Here'!$B$6,C2935-1)</f>
        <v>47818</v>
      </c>
      <c r="E2935" s="11" t="n">
        <f aca="false">IF(AND(OR(Nonlabor!$D$10="Both",Nonlabor!$D$10='Start Here'!$B$9),IF(Nonlabor!$E$10="Core",1,IF(Nonlabor!$E$10="AI",'Start Here'!$B$7,'Start Here'!$B$8))=1,C2935&gt;=IF(Nonlabor!$E$10="Core",Nonlabor!$F$10,MAX(Nonlabor!$F$10,IF(Nonlabor!$E$10="AI",Assumptions!$E$24,Assumptions!$E$25))),C2935&lt;=Nonlabor!$G$10,OR(Nonlabor!$H$10="Monthly",AND(Nonlabor!$H$10="Once",C2935=IF(Nonlabor!$E$10="Core",Nonlabor!$F$10,MAX(Nonlabor!$F$10,IF(Nonlabor!$E$10="AI",Assumptions!$E$24,Assumptions!$E$25)))),AND(Nonlabor!$H$10="Annual",MOD(C2935-IF(Nonlabor!$E$10="Core",Nonlabor!$F$10,MAX(Nonlabor!$F$10,IF(Nonlabor!$E$10="AI",Assumptions!$E$24,Assumptions!$E$25))),12)=0))),IF(Nonlabor!$I$10="Fixed",1,IF(Nonlabor!$I$10="Seats",ROUNDUP('Monthly Growth'!I55,0),IF(Nonlabor!$I$10="Customers",'Monthly Growth'!D55,IF(Nonlabor!$I$10="NewCustomers",'Monthly Growth'!C55,IF(Nonlabor!$I$10="StorageGB",'Monthly Growth'!G55,IF(Nonlabor!$I$10="LogGB",'Monthly Growth'!H55,IF(Nonlabor!$I$10="RequestsM",'Monthly Growth'!F55,IF(Nonlabor!$I$10="InputM",'Monthly Growth'!D55*Assumptions!$E$22/1000000,IF(Nonlabor!$I$10="OutputM",'Monthly Growth'!D55*Assumptions!$E$23/1000000,0))))))))),0)</f>
        <v>1434.49346374722</v>
      </c>
      <c r="F2935" s="10" t="n">
        <f aca="false">Nonlabor!$J$10*(1+Assumptions!$E$9)^INT((C2935-1)/12)</f>
        <v>0.175478784</v>
      </c>
      <c r="G2935" s="10" t="n">
        <f aca="false">E2935*F2935</f>
        <v>251.72316867431</v>
      </c>
      <c r="H2935" s="10" t="n">
        <f aca="false">IF(OR(Nonlabor!$L$10="Quote required",Nonlabor!$L$10="Unverified"),G2935,0)</f>
        <v>0</v>
      </c>
      <c r="I2935" s="10" t="n">
        <f aca="false">IF(Nonlabor!$E$10="Core",0,G2935)</f>
        <v>0</v>
      </c>
      <c r="J2935" s="23" t="str">
        <f aca="false">Nonlabor!$B$10</f>
        <v>INFRA</v>
      </c>
    </row>
    <row r="2936" customFormat="false" ht="15" hidden="false" customHeight="false" outlineLevel="0" collapsed="false">
      <c r="A2936" s="6" t="s">
        <v>73</v>
      </c>
      <c r="B2936" s="6" t="s">
        <v>383</v>
      </c>
      <c r="C2936" s="6" t="n">
        <v>51</v>
      </c>
      <c r="D2936" s="25" t="n">
        <f aca="false">EDATE('Start Here'!$B$6,C2936-1)</f>
        <v>47849</v>
      </c>
      <c r="E2936" s="11" t="n">
        <f aca="false">IF(AND(OR(Nonlabor!$D$10="Both",Nonlabor!$D$10='Start Here'!$B$9),IF(Nonlabor!$E$10="Core",1,IF(Nonlabor!$E$10="AI",'Start Here'!$B$7,'Start Here'!$B$8))=1,C2936&gt;=IF(Nonlabor!$E$10="Core",Nonlabor!$F$10,MAX(Nonlabor!$F$10,IF(Nonlabor!$E$10="AI",Assumptions!$E$24,Assumptions!$E$25))),C2936&lt;=Nonlabor!$G$10,OR(Nonlabor!$H$10="Monthly",AND(Nonlabor!$H$10="Once",C2936=IF(Nonlabor!$E$10="Core",Nonlabor!$F$10,MAX(Nonlabor!$F$10,IF(Nonlabor!$E$10="AI",Assumptions!$E$24,Assumptions!$E$25)))),AND(Nonlabor!$H$10="Annual",MOD(C2936-IF(Nonlabor!$E$10="Core",Nonlabor!$F$10,MAX(Nonlabor!$F$10,IF(Nonlabor!$E$10="AI",Assumptions!$E$24,Assumptions!$E$25))),12)=0))),IF(Nonlabor!$I$10="Fixed",1,IF(Nonlabor!$I$10="Seats",ROUNDUP('Monthly Growth'!I56,0),IF(Nonlabor!$I$10="Customers",'Monthly Growth'!D56,IF(Nonlabor!$I$10="NewCustomers",'Monthly Growth'!C56,IF(Nonlabor!$I$10="StorageGB",'Monthly Growth'!G56,IF(Nonlabor!$I$10="LogGB",'Monthly Growth'!H56,IF(Nonlabor!$I$10="RequestsM",'Monthly Growth'!F56,IF(Nonlabor!$I$10="InputM",'Monthly Growth'!D56*Assumptions!$E$22/1000000,IF(Nonlabor!$I$10="OutputM",'Monthly Growth'!D56*Assumptions!$E$23/1000000,0))))))))),0)</f>
        <v>1518.40852910975</v>
      </c>
      <c r="F2936" s="10" t="n">
        <f aca="false">Nonlabor!$J$10*(1+Assumptions!$E$9)^INT((C2936-1)/12)</f>
        <v>0.175478784</v>
      </c>
      <c r="G2936" s="10" t="n">
        <f aca="false">E2936*F2936</f>
        <v>266.448482303407</v>
      </c>
      <c r="H2936" s="10" t="n">
        <f aca="false">IF(OR(Nonlabor!$L$10="Quote required",Nonlabor!$L$10="Unverified"),G2936,0)</f>
        <v>0</v>
      </c>
      <c r="I2936" s="10" t="n">
        <f aca="false">IF(Nonlabor!$E$10="Core",0,G2936)</f>
        <v>0</v>
      </c>
      <c r="J2936" s="23" t="str">
        <f aca="false">Nonlabor!$B$10</f>
        <v>INFRA</v>
      </c>
    </row>
    <row r="2937" customFormat="false" ht="15" hidden="false" customHeight="false" outlineLevel="0" collapsed="false">
      <c r="A2937" s="6" t="s">
        <v>73</v>
      </c>
      <c r="B2937" s="6" t="s">
        <v>383</v>
      </c>
      <c r="C2937" s="6" t="n">
        <v>52</v>
      </c>
      <c r="D2937" s="25" t="n">
        <f aca="false">EDATE('Start Here'!$B$6,C2937-1)</f>
        <v>47880</v>
      </c>
      <c r="E2937" s="11" t="n">
        <f aca="false">IF(AND(OR(Nonlabor!$D$10="Both",Nonlabor!$D$10='Start Here'!$B$9),IF(Nonlabor!$E$10="Core",1,IF(Nonlabor!$E$10="AI",'Start Here'!$B$7,'Start Here'!$B$8))=1,C2937&gt;=IF(Nonlabor!$E$10="Core",Nonlabor!$F$10,MAX(Nonlabor!$F$10,IF(Nonlabor!$E$10="AI",Assumptions!$E$24,Assumptions!$E$25))),C2937&lt;=Nonlabor!$G$10,OR(Nonlabor!$H$10="Monthly",AND(Nonlabor!$H$10="Once",C2937=IF(Nonlabor!$E$10="Core",Nonlabor!$F$10,MAX(Nonlabor!$F$10,IF(Nonlabor!$E$10="AI",Assumptions!$E$24,Assumptions!$E$25)))),AND(Nonlabor!$H$10="Annual",MOD(C2937-IF(Nonlabor!$E$10="Core",Nonlabor!$F$10,MAX(Nonlabor!$F$10,IF(Nonlabor!$E$10="AI",Assumptions!$E$24,Assumptions!$E$25))),12)=0))),IF(Nonlabor!$I$10="Fixed",1,IF(Nonlabor!$I$10="Seats",ROUNDUP('Monthly Growth'!I57,0),IF(Nonlabor!$I$10="Customers",'Monthly Growth'!D57,IF(Nonlabor!$I$10="NewCustomers",'Monthly Growth'!C57,IF(Nonlabor!$I$10="StorageGB",'Monthly Growth'!G57,IF(Nonlabor!$I$10="LogGB",'Monthly Growth'!H57,IF(Nonlabor!$I$10="RequestsM",'Monthly Growth'!F57,IF(Nonlabor!$I$10="InputM",'Monthly Growth'!D57*Assumptions!$E$22/1000000,IF(Nonlabor!$I$10="OutputM",'Monthly Growth'!D57*Assumptions!$E$23/1000000,0))))))))),0)</f>
        <v>1601.48444381865</v>
      </c>
      <c r="F2937" s="10" t="n">
        <f aca="false">Nonlabor!$J$10*(1+Assumptions!$E$9)^INT((C2937-1)/12)</f>
        <v>0.175478784</v>
      </c>
      <c r="G2937" s="10" t="n">
        <f aca="false">E2937*F2937</f>
        <v>281.026542796213</v>
      </c>
      <c r="H2937" s="10" t="n">
        <f aca="false">IF(OR(Nonlabor!$L$10="Quote required",Nonlabor!$L$10="Unverified"),G2937,0)</f>
        <v>0</v>
      </c>
      <c r="I2937" s="10" t="n">
        <f aca="false">IF(Nonlabor!$E$10="Core",0,G2937)</f>
        <v>0</v>
      </c>
      <c r="J2937" s="23" t="str">
        <f aca="false">Nonlabor!$B$10</f>
        <v>INFRA</v>
      </c>
    </row>
    <row r="2938" customFormat="false" ht="15" hidden="false" customHeight="false" outlineLevel="0" collapsed="false">
      <c r="A2938" s="6" t="s">
        <v>73</v>
      </c>
      <c r="B2938" s="6" t="s">
        <v>383</v>
      </c>
      <c r="C2938" s="6" t="n">
        <v>53</v>
      </c>
      <c r="D2938" s="25" t="n">
        <f aca="false">EDATE('Start Here'!$B$6,C2938-1)</f>
        <v>47908</v>
      </c>
      <c r="E2938" s="11" t="n">
        <f aca="false">IF(AND(OR(Nonlabor!$D$10="Both",Nonlabor!$D$10='Start Here'!$B$9),IF(Nonlabor!$E$10="Core",1,IF(Nonlabor!$E$10="AI",'Start Here'!$B$7,'Start Here'!$B$8))=1,C2938&gt;=IF(Nonlabor!$E$10="Core",Nonlabor!$F$10,MAX(Nonlabor!$F$10,IF(Nonlabor!$E$10="AI",Assumptions!$E$24,Assumptions!$E$25))),C2938&lt;=Nonlabor!$G$10,OR(Nonlabor!$H$10="Monthly",AND(Nonlabor!$H$10="Once",C2938=IF(Nonlabor!$E$10="Core",Nonlabor!$F$10,MAX(Nonlabor!$F$10,IF(Nonlabor!$E$10="AI",Assumptions!$E$24,Assumptions!$E$25)))),AND(Nonlabor!$H$10="Annual",MOD(C2938-IF(Nonlabor!$E$10="Core",Nonlabor!$F$10,MAX(Nonlabor!$F$10,IF(Nonlabor!$E$10="AI",Assumptions!$E$24,Assumptions!$E$25))),12)=0))),IF(Nonlabor!$I$10="Fixed",1,IF(Nonlabor!$I$10="Seats",ROUNDUP('Monthly Growth'!I58,0),IF(Nonlabor!$I$10="Customers",'Monthly Growth'!D58,IF(Nonlabor!$I$10="NewCustomers",'Monthly Growth'!C58,IF(Nonlabor!$I$10="StorageGB",'Monthly Growth'!G58,IF(Nonlabor!$I$10="LogGB",'Monthly Growth'!H58,IF(Nonlabor!$I$10="RequestsM",'Monthly Growth'!F58,IF(Nonlabor!$I$10="InputM",'Monthly Growth'!D58*Assumptions!$E$22/1000000,IF(Nonlabor!$I$10="OutputM",'Monthly Growth'!D58*Assumptions!$E$23/1000000,0))))))))),0)</f>
        <v>1683.72959938046</v>
      </c>
      <c r="F2938" s="10" t="n">
        <f aca="false">Nonlabor!$J$10*(1+Assumptions!$E$9)^INT((C2938-1)/12)</f>
        <v>0.175478784</v>
      </c>
      <c r="G2938" s="10" t="n">
        <f aca="false">E2938*F2938</f>
        <v>295.458822684091</v>
      </c>
      <c r="H2938" s="10" t="n">
        <f aca="false">IF(OR(Nonlabor!$L$10="Quote required",Nonlabor!$L$10="Unverified"),G2938,0)</f>
        <v>0</v>
      </c>
      <c r="I2938" s="10" t="n">
        <f aca="false">IF(Nonlabor!$E$10="Core",0,G2938)</f>
        <v>0</v>
      </c>
      <c r="J2938" s="23" t="str">
        <f aca="false">Nonlabor!$B$10</f>
        <v>INFRA</v>
      </c>
    </row>
    <row r="2939" customFormat="false" ht="15" hidden="false" customHeight="false" outlineLevel="0" collapsed="false">
      <c r="A2939" s="6" t="s">
        <v>73</v>
      </c>
      <c r="B2939" s="6" t="s">
        <v>383</v>
      </c>
      <c r="C2939" s="6" t="n">
        <v>54</v>
      </c>
      <c r="D2939" s="25" t="n">
        <f aca="false">EDATE('Start Here'!$B$6,C2939-1)</f>
        <v>47939</v>
      </c>
      <c r="E2939" s="11" t="n">
        <f aca="false">IF(AND(OR(Nonlabor!$D$10="Both",Nonlabor!$D$10='Start Here'!$B$9),IF(Nonlabor!$E$10="Core",1,IF(Nonlabor!$E$10="AI",'Start Here'!$B$7,'Start Here'!$B$8))=1,C2939&gt;=IF(Nonlabor!$E$10="Core",Nonlabor!$F$10,MAX(Nonlabor!$F$10,IF(Nonlabor!$E$10="AI",Assumptions!$E$24,Assumptions!$E$25))),C2939&lt;=Nonlabor!$G$10,OR(Nonlabor!$H$10="Monthly",AND(Nonlabor!$H$10="Once",C2939=IF(Nonlabor!$E$10="Core",Nonlabor!$F$10,MAX(Nonlabor!$F$10,IF(Nonlabor!$E$10="AI",Assumptions!$E$24,Assumptions!$E$25)))),AND(Nonlabor!$H$10="Annual",MOD(C2939-IF(Nonlabor!$E$10="Core",Nonlabor!$F$10,MAX(Nonlabor!$F$10,IF(Nonlabor!$E$10="AI",Assumptions!$E$24,Assumptions!$E$25))),12)=0))),IF(Nonlabor!$I$10="Fixed",1,IF(Nonlabor!$I$10="Seats",ROUNDUP('Monthly Growth'!I59,0),IF(Nonlabor!$I$10="Customers",'Monthly Growth'!D59,IF(Nonlabor!$I$10="NewCustomers",'Monthly Growth'!C59,IF(Nonlabor!$I$10="StorageGB",'Monthly Growth'!G59,IF(Nonlabor!$I$10="LogGB",'Monthly Growth'!H59,IF(Nonlabor!$I$10="RequestsM",'Monthly Growth'!F59,IF(Nonlabor!$I$10="InputM",'Monthly Growth'!D59*Assumptions!$E$22/1000000,IF(Nonlabor!$I$10="OutputM",'Monthly Growth'!D59*Assumptions!$E$23/1000000,0))))))))),0)</f>
        <v>1765.15230338666</v>
      </c>
      <c r="F2939" s="10" t="n">
        <f aca="false">Nonlabor!$J$10*(1+Assumptions!$E$9)^INT((C2939-1)/12)</f>
        <v>0.175478784</v>
      </c>
      <c r="G2939" s="10" t="n">
        <f aca="false">E2939*F2939</f>
        <v>309.74677977309</v>
      </c>
      <c r="H2939" s="10" t="n">
        <f aca="false">IF(OR(Nonlabor!$L$10="Quote required",Nonlabor!$L$10="Unverified"),G2939,0)</f>
        <v>0</v>
      </c>
      <c r="I2939" s="10" t="n">
        <f aca="false">IF(Nonlabor!$E$10="Core",0,G2939)</f>
        <v>0</v>
      </c>
      <c r="J2939" s="23" t="str">
        <f aca="false">Nonlabor!$B$10</f>
        <v>INFRA</v>
      </c>
    </row>
    <row r="2940" customFormat="false" ht="15" hidden="false" customHeight="false" outlineLevel="0" collapsed="false">
      <c r="A2940" s="6" t="s">
        <v>73</v>
      </c>
      <c r="B2940" s="6" t="s">
        <v>383</v>
      </c>
      <c r="C2940" s="6" t="n">
        <v>55</v>
      </c>
      <c r="D2940" s="25" t="n">
        <f aca="false">EDATE('Start Here'!$B$6,C2940-1)</f>
        <v>47969</v>
      </c>
      <c r="E2940" s="11" t="n">
        <f aca="false">IF(AND(OR(Nonlabor!$D$10="Both",Nonlabor!$D$10='Start Here'!$B$9),IF(Nonlabor!$E$10="Core",1,IF(Nonlabor!$E$10="AI",'Start Here'!$B$7,'Start Here'!$B$8))=1,C2940&gt;=IF(Nonlabor!$E$10="Core",Nonlabor!$F$10,MAX(Nonlabor!$F$10,IF(Nonlabor!$E$10="AI",Assumptions!$E$24,Assumptions!$E$25))),C2940&lt;=Nonlabor!$G$10,OR(Nonlabor!$H$10="Monthly",AND(Nonlabor!$H$10="Once",C2940=IF(Nonlabor!$E$10="Core",Nonlabor!$F$10,MAX(Nonlabor!$F$10,IF(Nonlabor!$E$10="AI",Assumptions!$E$24,Assumptions!$E$25)))),AND(Nonlabor!$H$10="Annual",MOD(C2940-IF(Nonlabor!$E$10="Core",Nonlabor!$F$10,MAX(Nonlabor!$F$10,IF(Nonlabor!$E$10="AI",Assumptions!$E$24,Assumptions!$E$25))),12)=0))),IF(Nonlabor!$I$10="Fixed",1,IF(Nonlabor!$I$10="Seats",ROUNDUP('Monthly Growth'!I60,0),IF(Nonlabor!$I$10="Customers",'Monthly Growth'!D60,IF(Nonlabor!$I$10="NewCustomers",'Monthly Growth'!C60,IF(Nonlabor!$I$10="StorageGB",'Monthly Growth'!G60,IF(Nonlabor!$I$10="LogGB",'Monthly Growth'!H60,IF(Nonlabor!$I$10="RequestsM",'Monthly Growth'!F60,IF(Nonlabor!$I$10="InputM",'Monthly Growth'!D60*Assumptions!$E$22/1000000,IF(Nonlabor!$I$10="OutputM",'Monthly Growth'!D60*Assumptions!$E$23/1000000,0))))))))),0)</f>
        <v>1845.76078035279</v>
      </c>
      <c r="F2940" s="10" t="n">
        <f aca="false">Nonlabor!$J$10*(1+Assumptions!$E$9)^INT((C2940-1)/12)</f>
        <v>0.175478784</v>
      </c>
      <c r="G2940" s="10" t="n">
        <f aca="false">E2940*F2940</f>
        <v>323.891857291199</v>
      </c>
      <c r="H2940" s="10" t="n">
        <f aca="false">IF(OR(Nonlabor!$L$10="Quote required",Nonlabor!$L$10="Unverified"),G2940,0)</f>
        <v>0</v>
      </c>
      <c r="I2940" s="10" t="n">
        <f aca="false">IF(Nonlabor!$E$10="Core",0,G2940)</f>
        <v>0</v>
      </c>
      <c r="J2940" s="23" t="str">
        <f aca="false">Nonlabor!$B$10</f>
        <v>INFRA</v>
      </c>
    </row>
    <row r="2941" customFormat="false" ht="15" hidden="false" customHeight="false" outlineLevel="0" collapsed="false">
      <c r="A2941" s="6" t="s">
        <v>73</v>
      </c>
      <c r="B2941" s="6" t="s">
        <v>383</v>
      </c>
      <c r="C2941" s="6" t="n">
        <v>56</v>
      </c>
      <c r="D2941" s="25" t="n">
        <f aca="false">EDATE('Start Here'!$B$6,C2941-1)</f>
        <v>48000</v>
      </c>
      <c r="E2941" s="11" t="n">
        <f aca="false">IF(AND(OR(Nonlabor!$D$10="Both",Nonlabor!$D$10='Start Here'!$B$9),IF(Nonlabor!$E$10="Core",1,IF(Nonlabor!$E$10="AI",'Start Here'!$B$7,'Start Here'!$B$8))=1,C2941&gt;=IF(Nonlabor!$E$10="Core",Nonlabor!$F$10,MAX(Nonlabor!$F$10,IF(Nonlabor!$E$10="AI",Assumptions!$E$24,Assumptions!$E$25))),C2941&lt;=Nonlabor!$G$10,OR(Nonlabor!$H$10="Monthly",AND(Nonlabor!$H$10="Once",C2941=IF(Nonlabor!$E$10="Core",Nonlabor!$F$10,MAX(Nonlabor!$F$10,IF(Nonlabor!$E$10="AI",Assumptions!$E$24,Assumptions!$E$25)))),AND(Nonlabor!$H$10="Annual",MOD(C2941-IF(Nonlabor!$E$10="Core",Nonlabor!$F$10,MAX(Nonlabor!$F$10,IF(Nonlabor!$E$10="AI",Assumptions!$E$24,Assumptions!$E$25))),12)=0))),IF(Nonlabor!$I$10="Fixed",1,IF(Nonlabor!$I$10="Seats",ROUNDUP('Monthly Growth'!I61,0),IF(Nonlabor!$I$10="Customers",'Monthly Growth'!D61,IF(Nonlabor!$I$10="NewCustomers",'Monthly Growth'!C61,IF(Nonlabor!$I$10="StorageGB",'Monthly Growth'!G61,IF(Nonlabor!$I$10="LogGB",'Monthly Growth'!H61,IF(Nonlabor!$I$10="RequestsM",'Monthly Growth'!F61,IF(Nonlabor!$I$10="InputM",'Monthly Growth'!D61*Assumptions!$E$22/1000000,IF(Nonlabor!$I$10="OutputM",'Monthly Growth'!D61*Assumptions!$E$23/1000000,0))))))))),0)</f>
        <v>1925.56317254927</v>
      </c>
      <c r="F2941" s="10" t="n">
        <f aca="false">Nonlabor!$J$10*(1+Assumptions!$E$9)^INT((C2941-1)/12)</f>
        <v>0.175478784</v>
      </c>
      <c r="G2941" s="10" t="n">
        <f aca="false">E2941*F2941</f>
        <v>337.895484034127</v>
      </c>
      <c r="H2941" s="10" t="n">
        <f aca="false">IF(OR(Nonlabor!$L$10="Quote required",Nonlabor!$L$10="Unverified"),G2941,0)</f>
        <v>0</v>
      </c>
      <c r="I2941" s="10" t="n">
        <f aca="false">IF(Nonlabor!$E$10="Core",0,G2941)</f>
        <v>0</v>
      </c>
      <c r="J2941" s="23" t="str">
        <f aca="false">Nonlabor!$B$10</f>
        <v>INFRA</v>
      </c>
    </row>
    <row r="2942" customFormat="false" ht="15" hidden="false" customHeight="false" outlineLevel="0" collapsed="false">
      <c r="A2942" s="6" t="s">
        <v>73</v>
      </c>
      <c r="B2942" s="6" t="s">
        <v>383</v>
      </c>
      <c r="C2942" s="6" t="n">
        <v>57</v>
      </c>
      <c r="D2942" s="25" t="n">
        <f aca="false">EDATE('Start Here'!$B$6,C2942-1)</f>
        <v>48030</v>
      </c>
      <c r="E2942" s="11" t="n">
        <f aca="false">IF(AND(OR(Nonlabor!$D$10="Both",Nonlabor!$D$10='Start Here'!$B$9),IF(Nonlabor!$E$10="Core",1,IF(Nonlabor!$E$10="AI",'Start Here'!$B$7,'Start Here'!$B$8))=1,C2942&gt;=IF(Nonlabor!$E$10="Core",Nonlabor!$F$10,MAX(Nonlabor!$F$10,IF(Nonlabor!$E$10="AI",Assumptions!$E$24,Assumptions!$E$25))),C2942&lt;=Nonlabor!$G$10,OR(Nonlabor!$H$10="Monthly",AND(Nonlabor!$H$10="Once",C2942=IF(Nonlabor!$E$10="Core",Nonlabor!$F$10,MAX(Nonlabor!$F$10,IF(Nonlabor!$E$10="AI",Assumptions!$E$24,Assumptions!$E$25)))),AND(Nonlabor!$H$10="Annual",MOD(C2942-IF(Nonlabor!$E$10="Core",Nonlabor!$F$10,MAX(Nonlabor!$F$10,IF(Nonlabor!$E$10="AI",Assumptions!$E$24,Assumptions!$E$25))),12)=0))),IF(Nonlabor!$I$10="Fixed",1,IF(Nonlabor!$I$10="Seats",ROUNDUP('Monthly Growth'!I62,0),IF(Nonlabor!$I$10="Customers",'Monthly Growth'!D62,IF(Nonlabor!$I$10="NewCustomers",'Monthly Growth'!C62,IF(Nonlabor!$I$10="StorageGB",'Monthly Growth'!G62,IF(Nonlabor!$I$10="LogGB",'Monthly Growth'!H62,IF(Nonlabor!$I$10="RequestsM",'Monthly Growth'!F62,IF(Nonlabor!$I$10="InputM",'Monthly Growth'!D62*Assumptions!$E$22/1000000,IF(Nonlabor!$I$10="OutputM",'Monthly Growth'!D62*Assumptions!$E$23/1000000,0))))))))),0)</f>
        <v>2004.56754082377</v>
      </c>
      <c r="F2942" s="10" t="n">
        <f aca="false">Nonlabor!$J$10*(1+Assumptions!$E$9)^INT((C2942-1)/12)</f>
        <v>0.175478784</v>
      </c>
      <c r="G2942" s="10" t="n">
        <f aca="false">E2942*F2942</f>
        <v>351.759074509626</v>
      </c>
      <c r="H2942" s="10" t="n">
        <f aca="false">IF(OR(Nonlabor!$L$10="Quote required",Nonlabor!$L$10="Unverified"),G2942,0)</f>
        <v>0</v>
      </c>
      <c r="I2942" s="10" t="n">
        <f aca="false">IF(Nonlabor!$E$10="Core",0,G2942)</f>
        <v>0</v>
      </c>
      <c r="J2942" s="23" t="str">
        <f aca="false">Nonlabor!$B$10</f>
        <v>INFRA</v>
      </c>
    </row>
    <row r="2943" customFormat="false" ht="15" hidden="false" customHeight="false" outlineLevel="0" collapsed="false">
      <c r="A2943" s="6" t="s">
        <v>73</v>
      </c>
      <c r="B2943" s="6" t="s">
        <v>383</v>
      </c>
      <c r="C2943" s="6" t="n">
        <v>58</v>
      </c>
      <c r="D2943" s="25" t="n">
        <f aca="false">EDATE('Start Here'!$B$6,C2943-1)</f>
        <v>48061</v>
      </c>
      <c r="E2943" s="11" t="n">
        <f aca="false">IF(AND(OR(Nonlabor!$D$10="Both",Nonlabor!$D$10='Start Here'!$B$9),IF(Nonlabor!$E$10="Core",1,IF(Nonlabor!$E$10="AI",'Start Here'!$B$7,'Start Here'!$B$8))=1,C2943&gt;=IF(Nonlabor!$E$10="Core",Nonlabor!$F$10,MAX(Nonlabor!$F$10,IF(Nonlabor!$E$10="AI",Assumptions!$E$24,Assumptions!$E$25))),C2943&lt;=Nonlabor!$G$10,OR(Nonlabor!$H$10="Monthly",AND(Nonlabor!$H$10="Once",C2943=IF(Nonlabor!$E$10="Core",Nonlabor!$F$10,MAX(Nonlabor!$F$10,IF(Nonlabor!$E$10="AI",Assumptions!$E$24,Assumptions!$E$25)))),AND(Nonlabor!$H$10="Annual",MOD(C2943-IF(Nonlabor!$E$10="Core",Nonlabor!$F$10,MAX(Nonlabor!$F$10,IF(Nonlabor!$E$10="AI",Assumptions!$E$24,Assumptions!$E$25))),12)=0))),IF(Nonlabor!$I$10="Fixed",1,IF(Nonlabor!$I$10="Seats",ROUNDUP('Monthly Growth'!I63,0),IF(Nonlabor!$I$10="Customers",'Monthly Growth'!D63,IF(Nonlabor!$I$10="NewCustomers",'Monthly Growth'!C63,IF(Nonlabor!$I$10="StorageGB",'Monthly Growth'!G63,IF(Nonlabor!$I$10="LogGB",'Monthly Growth'!H63,IF(Nonlabor!$I$10="RequestsM",'Monthly Growth'!F63,IF(Nonlabor!$I$10="InputM",'Monthly Growth'!D63*Assumptions!$E$22/1000000,IF(Nonlabor!$I$10="OutputM",'Monthly Growth'!D63*Assumptions!$E$23/1000000,0))))))))),0)</f>
        <v>2082.78186541553</v>
      </c>
      <c r="F2943" s="10" t="n">
        <f aca="false">Nonlabor!$J$10*(1+Assumptions!$E$9)^INT((C2943-1)/12)</f>
        <v>0.175478784</v>
      </c>
      <c r="G2943" s="10" t="n">
        <f aca="false">E2943*F2943</f>
        <v>365.48402908037</v>
      </c>
      <c r="H2943" s="10" t="n">
        <f aca="false">IF(OR(Nonlabor!$L$10="Quote required",Nonlabor!$L$10="Unverified"),G2943,0)</f>
        <v>0</v>
      </c>
      <c r="I2943" s="10" t="n">
        <f aca="false">IF(Nonlabor!$E$10="Core",0,G2943)</f>
        <v>0</v>
      </c>
      <c r="J2943" s="23" t="str">
        <f aca="false">Nonlabor!$B$10</f>
        <v>INFRA</v>
      </c>
    </row>
    <row r="2944" customFormat="false" ht="15" hidden="false" customHeight="false" outlineLevel="0" collapsed="false">
      <c r="A2944" s="6" t="s">
        <v>73</v>
      </c>
      <c r="B2944" s="6" t="s">
        <v>383</v>
      </c>
      <c r="C2944" s="6" t="n">
        <v>59</v>
      </c>
      <c r="D2944" s="25" t="n">
        <f aca="false">EDATE('Start Here'!$B$6,C2944-1)</f>
        <v>48092</v>
      </c>
      <c r="E2944" s="11" t="n">
        <f aca="false">IF(AND(OR(Nonlabor!$D$10="Both",Nonlabor!$D$10='Start Here'!$B$9),IF(Nonlabor!$E$10="Core",1,IF(Nonlabor!$E$10="AI",'Start Here'!$B$7,'Start Here'!$B$8))=1,C2944&gt;=IF(Nonlabor!$E$10="Core",Nonlabor!$F$10,MAX(Nonlabor!$F$10,IF(Nonlabor!$E$10="AI",Assumptions!$E$24,Assumptions!$E$25))),C2944&lt;=Nonlabor!$G$10,OR(Nonlabor!$H$10="Monthly",AND(Nonlabor!$H$10="Once",C2944=IF(Nonlabor!$E$10="Core",Nonlabor!$F$10,MAX(Nonlabor!$F$10,IF(Nonlabor!$E$10="AI",Assumptions!$E$24,Assumptions!$E$25)))),AND(Nonlabor!$H$10="Annual",MOD(C2944-IF(Nonlabor!$E$10="Core",Nonlabor!$F$10,MAX(Nonlabor!$F$10,IF(Nonlabor!$E$10="AI",Assumptions!$E$24,Assumptions!$E$25))),12)=0))),IF(Nonlabor!$I$10="Fixed",1,IF(Nonlabor!$I$10="Seats",ROUNDUP('Monthly Growth'!I64,0),IF(Nonlabor!$I$10="Customers",'Monthly Growth'!D64,IF(Nonlabor!$I$10="NewCustomers",'Monthly Growth'!C64,IF(Nonlabor!$I$10="StorageGB",'Monthly Growth'!G64,IF(Nonlabor!$I$10="LogGB",'Monthly Growth'!H64,IF(Nonlabor!$I$10="RequestsM",'Monthly Growth'!F64,IF(Nonlabor!$I$10="InputM",'Monthly Growth'!D64*Assumptions!$E$22/1000000,IF(Nonlabor!$I$10="OutputM",'Monthly Growth'!D64*Assumptions!$E$23/1000000,0))))))))),0)</f>
        <v>2160.21404676138</v>
      </c>
      <c r="F2944" s="10" t="n">
        <f aca="false">Nonlabor!$J$10*(1+Assumptions!$E$9)^INT((C2944-1)/12)</f>
        <v>0.175478784</v>
      </c>
      <c r="G2944" s="10" t="n">
        <f aca="false">E2944*F2944</f>
        <v>379.071734105406</v>
      </c>
      <c r="H2944" s="10" t="n">
        <f aca="false">IF(OR(Nonlabor!$L$10="Quote required",Nonlabor!$L$10="Unverified"),G2944,0)</f>
        <v>0</v>
      </c>
      <c r="I2944" s="10" t="n">
        <f aca="false">IF(Nonlabor!$E$10="Core",0,G2944)</f>
        <v>0</v>
      </c>
      <c r="J2944" s="23" t="str">
        <f aca="false">Nonlabor!$B$10</f>
        <v>INFRA</v>
      </c>
    </row>
    <row r="2945" customFormat="false" ht="15" hidden="false" customHeight="false" outlineLevel="0" collapsed="false">
      <c r="A2945" s="6" t="s">
        <v>73</v>
      </c>
      <c r="B2945" s="6" t="s">
        <v>383</v>
      </c>
      <c r="C2945" s="6" t="n">
        <v>60</v>
      </c>
      <c r="D2945" s="25" t="n">
        <f aca="false">EDATE('Start Here'!$B$6,C2945-1)</f>
        <v>48122</v>
      </c>
      <c r="E2945" s="11" t="n">
        <f aca="false">IF(AND(OR(Nonlabor!$D$10="Both",Nonlabor!$D$10='Start Here'!$B$9),IF(Nonlabor!$E$10="Core",1,IF(Nonlabor!$E$10="AI",'Start Here'!$B$7,'Start Here'!$B$8))=1,C2945&gt;=IF(Nonlabor!$E$10="Core",Nonlabor!$F$10,MAX(Nonlabor!$F$10,IF(Nonlabor!$E$10="AI",Assumptions!$E$24,Assumptions!$E$25))),C2945&lt;=Nonlabor!$G$10,OR(Nonlabor!$H$10="Monthly",AND(Nonlabor!$H$10="Once",C2945=IF(Nonlabor!$E$10="Core",Nonlabor!$F$10,MAX(Nonlabor!$F$10,IF(Nonlabor!$E$10="AI",Assumptions!$E$24,Assumptions!$E$25)))),AND(Nonlabor!$H$10="Annual",MOD(C2945-IF(Nonlabor!$E$10="Core",Nonlabor!$F$10,MAX(Nonlabor!$F$10,IF(Nonlabor!$E$10="AI",Assumptions!$E$24,Assumptions!$E$25))),12)=0))),IF(Nonlabor!$I$10="Fixed",1,IF(Nonlabor!$I$10="Seats",ROUNDUP('Monthly Growth'!I65,0),IF(Nonlabor!$I$10="Customers",'Monthly Growth'!D65,IF(Nonlabor!$I$10="NewCustomers",'Monthly Growth'!C65,IF(Nonlabor!$I$10="StorageGB",'Monthly Growth'!G65,IF(Nonlabor!$I$10="LogGB",'Monthly Growth'!H65,IF(Nonlabor!$I$10="RequestsM",'Monthly Growth'!F65,IF(Nonlabor!$I$10="InputM",'Monthly Growth'!D65*Assumptions!$E$22/1000000,IF(Nonlabor!$I$10="OutputM",'Monthly Growth'!D65*Assumptions!$E$23/1000000,0))))))))),0)</f>
        <v>2305.65390629377</v>
      </c>
      <c r="F2945" s="10" t="n">
        <f aca="false">Nonlabor!$J$10*(1+Assumptions!$E$9)^INT((C2945-1)/12)</f>
        <v>0.175478784</v>
      </c>
      <c r="G2945" s="10" t="n">
        <f aca="false">E2945*F2945</f>
        <v>404.59334380128</v>
      </c>
      <c r="H2945" s="10" t="n">
        <f aca="false">IF(OR(Nonlabor!$L$10="Quote required",Nonlabor!$L$10="Unverified"),G2945,0)</f>
        <v>0</v>
      </c>
      <c r="I2945" s="10" t="n">
        <f aca="false">IF(Nonlabor!$E$10="Core",0,G2945)</f>
        <v>0</v>
      </c>
      <c r="J2945" s="23" t="str">
        <f aca="false">Nonlabor!$B$10</f>
        <v>INFRA</v>
      </c>
    </row>
    <row r="2946" customFormat="false" ht="15" hidden="false" customHeight="false" outlineLevel="0" collapsed="false">
      <c r="A2946" s="6" t="s">
        <v>73</v>
      </c>
      <c r="B2946" s="6" t="s">
        <v>387</v>
      </c>
      <c r="C2946" s="6" t="n">
        <v>1</v>
      </c>
      <c r="D2946" s="25" t="n">
        <f aca="false">EDATE('Start Here'!$B$6,C2946-1)</f>
        <v>46327</v>
      </c>
      <c r="E2946" s="11" t="n">
        <f aca="false">IF(AND(OR(Nonlabor!$D$11="Both",Nonlabor!$D$11='Start Here'!$B$9),IF(Nonlabor!$E$11="Core",1,IF(Nonlabor!$E$11="AI",'Start Here'!$B$7,'Start Here'!$B$8))=1,C2946&gt;=IF(Nonlabor!$E$11="Core",Nonlabor!$F$11,MAX(Nonlabor!$F$11,IF(Nonlabor!$E$11="AI",Assumptions!$E$24,Assumptions!$E$25))),C2946&lt;=Nonlabor!$G$11,OR(Nonlabor!$H$11="Monthly",AND(Nonlabor!$H$11="Once",C2946=IF(Nonlabor!$E$11="Core",Nonlabor!$F$11,MAX(Nonlabor!$F$11,IF(Nonlabor!$E$11="AI",Assumptions!$E$24,Assumptions!$E$25)))),AND(Nonlabor!$H$11="Annual",MOD(C2946-IF(Nonlabor!$E$11="Core",Nonlabor!$F$11,MAX(Nonlabor!$F$11,IF(Nonlabor!$E$11="AI",Assumptions!$E$24,Assumptions!$E$25))),12)=0))),IF(Nonlabor!$I$11="Fixed",1,IF(Nonlabor!$I$11="Seats",ROUNDUP('Monthly Growth'!I6,0),IF(Nonlabor!$I$11="Customers",'Monthly Growth'!D6,IF(Nonlabor!$I$11="NewCustomers",'Monthly Growth'!C6,IF(Nonlabor!$I$11="StorageGB",'Monthly Growth'!G6,IF(Nonlabor!$I$11="LogGB",'Monthly Growth'!H6,IF(Nonlabor!$I$11="RequestsM",'Monthly Growth'!F6,IF(Nonlabor!$I$11="InputM",'Monthly Growth'!D6*Assumptions!$E$22/1000000,IF(Nonlabor!$I$11="OutputM",'Monthly Growth'!D6*Assumptions!$E$23/1000000,0))))))))),0)</f>
        <v>0</v>
      </c>
      <c r="F2946" s="10" t="n">
        <f aca="false">Nonlabor!$J$11*(1+Assumptions!$E$9)^INT((C2946-1)/12)</f>
        <v>5</v>
      </c>
      <c r="G2946" s="10" t="n">
        <f aca="false">E2946*F2946</f>
        <v>0</v>
      </c>
      <c r="H2946" s="10" t="n">
        <f aca="false">IF(OR(Nonlabor!$L$11="Quote required",Nonlabor!$L$11="Unverified"),G2946,0)</f>
        <v>0</v>
      </c>
      <c r="I2946" s="10" t="n">
        <f aca="false">IF(Nonlabor!$E$11="Core",0,G2946)</f>
        <v>0</v>
      </c>
      <c r="J2946" s="23" t="str">
        <f aca="false">Nonlabor!$B$11</f>
        <v>INFRA</v>
      </c>
    </row>
    <row r="2947" customFormat="false" ht="15" hidden="false" customHeight="false" outlineLevel="0" collapsed="false">
      <c r="A2947" s="6" t="s">
        <v>73</v>
      </c>
      <c r="B2947" s="6" t="s">
        <v>387</v>
      </c>
      <c r="C2947" s="6" t="n">
        <v>2</v>
      </c>
      <c r="D2947" s="25" t="n">
        <f aca="false">EDATE('Start Here'!$B$6,C2947-1)</f>
        <v>46357</v>
      </c>
      <c r="E2947" s="11" t="n">
        <f aca="false">IF(AND(OR(Nonlabor!$D$11="Both",Nonlabor!$D$11='Start Here'!$B$9),IF(Nonlabor!$E$11="Core",1,IF(Nonlabor!$E$11="AI",'Start Here'!$B$7,'Start Here'!$B$8))=1,C2947&gt;=IF(Nonlabor!$E$11="Core",Nonlabor!$F$11,MAX(Nonlabor!$F$11,IF(Nonlabor!$E$11="AI",Assumptions!$E$24,Assumptions!$E$25))),C2947&lt;=Nonlabor!$G$11,OR(Nonlabor!$H$11="Monthly",AND(Nonlabor!$H$11="Once",C2947=IF(Nonlabor!$E$11="Core",Nonlabor!$F$11,MAX(Nonlabor!$F$11,IF(Nonlabor!$E$11="AI",Assumptions!$E$24,Assumptions!$E$25)))),AND(Nonlabor!$H$11="Annual",MOD(C2947-IF(Nonlabor!$E$11="Core",Nonlabor!$F$11,MAX(Nonlabor!$F$11,IF(Nonlabor!$E$11="AI",Assumptions!$E$24,Assumptions!$E$25))),12)=0))),IF(Nonlabor!$I$11="Fixed",1,IF(Nonlabor!$I$11="Seats",ROUNDUP('Monthly Growth'!I7,0),IF(Nonlabor!$I$11="Customers",'Monthly Growth'!D7,IF(Nonlabor!$I$11="NewCustomers",'Monthly Growth'!C7,IF(Nonlabor!$I$11="StorageGB",'Monthly Growth'!G7,IF(Nonlabor!$I$11="LogGB",'Monthly Growth'!H7,IF(Nonlabor!$I$11="RequestsM",'Monthly Growth'!F7,IF(Nonlabor!$I$11="InputM",'Monthly Growth'!D7*Assumptions!$E$22/1000000,IF(Nonlabor!$I$11="OutputM",'Monthly Growth'!D7*Assumptions!$E$23/1000000,0))))))))),0)</f>
        <v>0</v>
      </c>
      <c r="F2947" s="10" t="n">
        <f aca="false">Nonlabor!$J$11*(1+Assumptions!$E$9)^INT((C2947-1)/12)</f>
        <v>5</v>
      </c>
      <c r="G2947" s="10" t="n">
        <f aca="false">E2947*F2947</f>
        <v>0</v>
      </c>
      <c r="H2947" s="10" t="n">
        <f aca="false">IF(OR(Nonlabor!$L$11="Quote required",Nonlabor!$L$11="Unverified"),G2947,0)</f>
        <v>0</v>
      </c>
      <c r="I2947" s="10" t="n">
        <f aca="false">IF(Nonlabor!$E$11="Core",0,G2947)</f>
        <v>0</v>
      </c>
      <c r="J2947" s="23" t="str">
        <f aca="false">Nonlabor!$B$11</f>
        <v>INFRA</v>
      </c>
    </row>
    <row r="2948" customFormat="false" ht="15" hidden="false" customHeight="false" outlineLevel="0" collapsed="false">
      <c r="A2948" s="6" t="s">
        <v>73</v>
      </c>
      <c r="B2948" s="6" t="s">
        <v>387</v>
      </c>
      <c r="C2948" s="6" t="n">
        <v>3</v>
      </c>
      <c r="D2948" s="25" t="n">
        <f aca="false">EDATE('Start Here'!$B$6,C2948-1)</f>
        <v>46388</v>
      </c>
      <c r="E2948" s="11" t="n">
        <f aca="false">IF(AND(OR(Nonlabor!$D$11="Both",Nonlabor!$D$11='Start Here'!$B$9),IF(Nonlabor!$E$11="Core",1,IF(Nonlabor!$E$11="AI",'Start Here'!$B$7,'Start Here'!$B$8))=1,C2948&gt;=IF(Nonlabor!$E$11="Core",Nonlabor!$F$11,MAX(Nonlabor!$F$11,IF(Nonlabor!$E$11="AI",Assumptions!$E$24,Assumptions!$E$25))),C2948&lt;=Nonlabor!$G$11,OR(Nonlabor!$H$11="Monthly",AND(Nonlabor!$H$11="Once",C2948=IF(Nonlabor!$E$11="Core",Nonlabor!$F$11,MAX(Nonlabor!$F$11,IF(Nonlabor!$E$11="AI",Assumptions!$E$24,Assumptions!$E$25)))),AND(Nonlabor!$H$11="Annual",MOD(C2948-IF(Nonlabor!$E$11="Core",Nonlabor!$F$11,MAX(Nonlabor!$F$11,IF(Nonlabor!$E$11="AI",Assumptions!$E$24,Assumptions!$E$25))),12)=0))),IF(Nonlabor!$I$11="Fixed",1,IF(Nonlabor!$I$11="Seats",ROUNDUP('Monthly Growth'!I8,0),IF(Nonlabor!$I$11="Customers",'Monthly Growth'!D8,IF(Nonlabor!$I$11="NewCustomers",'Monthly Growth'!C8,IF(Nonlabor!$I$11="StorageGB",'Monthly Growth'!G8,IF(Nonlabor!$I$11="LogGB",'Monthly Growth'!H8,IF(Nonlabor!$I$11="RequestsM",'Monthly Growth'!F8,IF(Nonlabor!$I$11="InputM",'Monthly Growth'!D8*Assumptions!$E$22/1000000,IF(Nonlabor!$I$11="OutputM",'Monthly Growth'!D8*Assumptions!$E$23/1000000,0))))))))),0)</f>
        <v>0</v>
      </c>
      <c r="F2948" s="10" t="n">
        <f aca="false">Nonlabor!$J$11*(1+Assumptions!$E$9)^INT((C2948-1)/12)</f>
        <v>5</v>
      </c>
      <c r="G2948" s="10" t="n">
        <f aca="false">E2948*F2948</f>
        <v>0</v>
      </c>
      <c r="H2948" s="10" t="n">
        <f aca="false">IF(OR(Nonlabor!$L$11="Quote required",Nonlabor!$L$11="Unverified"),G2948,0)</f>
        <v>0</v>
      </c>
      <c r="I2948" s="10" t="n">
        <f aca="false">IF(Nonlabor!$E$11="Core",0,G2948)</f>
        <v>0</v>
      </c>
      <c r="J2948" s="23" t="str">
        <f aca="false">Nonlabor!$B$11</f>
        <v>INFRA</v>
      </c>
    </row>
    <row r="2949" customFormat="false" ht="15" hidden="false" customHeight="false" outlineLevel="0" collapsed="false">
      <c r="A2949" s="6" t="s">
        <v>73</v>
      </c>
      <c r="B2949" s="6" t="s">
        <v>387</v>
      </c>
      <c r="C2949" s="6" t="n">
        <v>4</v>
      </c>
      <c r="D2949" s="25" t="n">
        <f aca="false">EDATE('Start Here'!$B$6,C2949-1)</f>
        <v>46419</v>
      </c>
      <c r="E2949" s="11" t="n">
        <f aca="false">IF(AND(OR(Nonlabor!$D$11="Both",Nonlabor!$D$11='Start Here'!$B$9),IF(Nonlabor!$E$11="Core",1,IF(Nonlabor!$E$11="AI",'Start Here'!$B$7,'Start Here'!$B$8))=1,C2949&gt;=IF(Nonlabor!$E$11="Core",Nonlabor!$F$11,MAX(Nonlabor!$F$11,IF(Nonlabor!$E$11="AI",Assumptions!$E$24,Assumptions!$E$25))),C2949&lt;=Nonlabor!$G$11,OR(Nonlabor!$H$11="Monthly",AND(Nonlabor!$H$11="Once",C2949=IF(Nonlabor!$E$11="Core",Nonlabor!$F$11,MAX(Nonlabor!$F$11,IF(Nonlabor!$E$11="AI",Assumptions!$E$24,Assumptions!$E$25)))),AND(Nonlabor!$H$11="Annual",MOD(C2949-IF(Nonlabor!$E$11="Core",Nonlabor!$F$11,MAX(Nonlabor!$F$11,IF(Nonlabor!$E$11="AI",Assumptions!$E$24,Assumptions!$E$25))),12)=0))),IF(Nonlabor!$I$11="Fixed",1,IF(Nonlabor!$I$11="Seats",ROUNDUP('Monthly Growth'!I9,0),IF(Nonlabor!$I$11="Customers",'Monthly Growth'!D9,IF(Nonlabor!$I$11="NewCustomers",'Monthly Growth'!C9,IF(Nonlabor!$I$11="StorageGB",'Monthly Growth'!G9,IF(Nonlabor!$I$11="LogGB",'Monthly Growth'!H9,IF(Nonlabor!$I$11="RequestsM",'Monthly Growth'!F9,IF(Nonlabor!$I$11="InputM",'Monthly Growth'!D9*Assumptions!$E$22/1000000,IF(Nonlabor!$I$11="OutputM",'Monthly Growth'!D9*Assumptions!$E$23/1000000,0))))))))),0)</f>
        <v>0</v>
      </c>
      <c r="F2949" s="10" t="n">
        <f aca="false">Nonlabor!$J$11*(1+Assumptions!$E$9)^INT((C2949-1)/12)</f>
        <v>5</v>
      </c>
      <c r="G2949" s="10" t="n">
        <f aca="false">E2949*F2949</f>
        <v>0</v>
      </c>
      <c r="H2949" s="10" t="n">
        <f aca="false">IF(OR(Nonlabor!$L$11="Quote required",Nonlabor!$L$11="Unverified"),G2949,0)</f>
        <v>0</v>
      </c>
      <c r="I2949" s="10" t="n">
        <f aca="false">IF(Nonlabor!$E$11="Core",0,G2949)</f>
        <v>0</v>
      </c>
      <c r="J2949" s="23" t="str">
        <f aca="false">Nonlabor!$B$11</f>
        <v>INFRA</v>
      </c>
    </row>
    <row r="2950" customFormat="false" ht="15" hidden="false" customHeight="false" outlineLevel="0" collapsed="false">
      <c r="A2950" s="6" t="s">
        <v>73</v>
      </c>
      <c r="B2950" s="6" t="s">
        <v>387</v>
      </c>
      <c r="C2950" s="6" t="n">
        <v>5</v>
      </c>
      <c r="D2950" s="25" t="n">
        <f aca="false">EDATE('Start Here'!$B$6,C2950-1)</f>
        <v>46447</v>
      </c>
      <c r="E2950" s="11" t="n">
        <f aca="false">IF(AND(OR(Nonlabor!$D$11="Both",Nonlabor!$D$11='Start Here'!$B$9),IF(Nonlabor!$E$11="Core",1,IF(Nonlabor!$E$11="AI",'Start Here'!$B$7,'Start Here'!$B$8))=1,C2950&gt;=IF(Nonlabor!$E$11="Core",Nonlabor!$F$11,MAX(Nonlabor!$F$11,IF(Nonlabor!$E$11="AI",Assumptions!$E$24,Assumptions!$E$25))),C2950&lt;=Nonlabor!$G$11,OR(Nonlabor!$H$11="Monthly",AND(Nonlabor!$H$11="Once",C2950=IF(Nonlabor!$E$11="Core",Nonlabor!$F$11,MAX(Nonlabor!$F$11,IF(Nonlabor!$E$11="AI",Assumptions!$E$24,Assumptions!$E$25)))),AND(Nonlabor!$H$11="Annual",MOD(C2950-IF(Nonlabor!$E$11="Core",Nonlabor!$F$11,MAX(Nonlabor!$F$11,IF(Nonlabor!$E$11="AI",Assumptions!$E$24,Assumptions!$E$25))),12)=0))),IF(Nonlabor!$I$11="Fixed",1,IF(Nonlabor!$I$11="Seats",ROUNDUP('Monthly Growth'!I10,0),IF(Nonlabor!$I$11="Customers",'Monthly Growth'!D10,IF(Nonlabor!$I$11="NewCustomers",'Monthly Growth'!C10,IF(Nonlabor!$I$11="StorageGB",'Monthly Growth'!G10,IF(Nonlabor!$I$11="LogGB",'Monthly Growth'!H10,IF(Nonlabor!$I$11="RequestsM",'Monthly Growth'!F10,IF(Nonlabor!$I$11="InputM",'Monthly Growth'!D10*Assumptions!$E$22/1000000,IF(Nonlabor!$I$11="OutputM",'Monthly Growth'!D10*Assumptions!$E$23/1000000,0))))))))),0)</f>
        <v>0</v>
      </c>
      <c r="F2950" s="10" t="n">
        <f aca="false">Nonlabor!$J$11*(1+Assumptions!$E$9)^INT((C2950-1)/12)</f>
        <v>5</v>
      </c>
      <c r="G2950" s="10" t="n">
        <f aca="false">E2950*F2950</f>
        <v>0</v>
      </c>
      <c r="H2950" s="10" t="n">
        <f aca="false">IF(OR(Nonlabor!$L$11="Quote required",Nonlabor!$L$11="Unverified"),G2950,0)</f>
        <v>0</v>
      </c>
      <c r="I2950" s="10" t="n">
        <f aca="false">IF(Nonlabor!$E$11="Core",0,G2950)</f>
        <v>0</v>
      </c>
      <c r="J2950" s="23" t="str">
        <f aca="false">Nonlabor!$B$11</f>
        <v>INFRA</v>
      </c>
    </row>
    <row r="2951" customFormat="false" ht="15" hidden="false" customHeight="false" outlineLevel="0" collapsed="false">
      <c r="A2951" s="6" t="s">
        <v>73</v>
      </c>
      <c r="B2951" s="6" t="s">
        <v>387</v>
      </c>
      <c r="C2951" s="6" t="n">
        <v>6</v>
      </c>
      <c r="D2951" s="25" t="n">
        <f aca="false">EDATE('Start Here'!$B$6,C2951-1)</f>
        <v>46478</v>
      </c>
      <c r="E2951" s="11" t="n">
        <f aca="false">IF(AND(OR(Nonlabor!$D$11="Both",Nonlabor!$D$11='Start Here'!$B$9),IF(Nonlabor!$E$11="Core",1,IF(Nonlabor!$E$11="AI",'Start Here'!$B$7,'Start Here'!$B$8))=1,C2951&gt;=IF(Nonlabor!$E$11="Core",Nonlabor!$F$11,MAX(Nonlabor!$F$11,IF(Nonlabor!$E$11="AI",Assumptions!$E$24,Assumptions!$E$25))),C2951&lt;=Nonlabor!$G$11,OR(Nonlabor!$H$11="Monthly",AND(Nonlabor!$H$11="Once",C2951=IF(Nonlabor!$E$11="Core",Nonlabor!$F$11,MAX(Nonlabor!$F$11,IF(Nonlabor!$E$11="AI",Assumptions!$E$24,Assumptions!$E$25)))),AND(Nonlabor!$H$11="Annual",MOD(C2951-IF(Nonlabor!$E$11="Core",Nonlabor!$F$11,MAX(Nonlabor!$F$11,IF(Nonlabor!$E$11="AI",Assumptions!$E$24,Assumptions!$E$25))),12)=0))),IF(Nonlabor!$I$11="Fixed",1,IF(Nonlabor!$I$11="Seats",ROUNDUP('Monthly Growth'!I11,0),IF(Nonlabor!$I$11="Customers",'Monthly Growth'!D11,IF(Nonlabor!$I$11="NewCustomers",'Monthly Growth'!C11,IF(Nonlabor!$I$11="StorageGB",'Monthly Growth'!G11,IF(Nonlabor!$I$11="LogGB",'Monthly Growth'!H11,IF(Nonlabor!$I$11="RequestsM",'Monthly Growth'!F11,IF(Nonlabor!$I$11="InputM",'Monthly Growth'!D11*Assumptions!$E$22/1000000,IF(Nonlabor!$I$11="OutputM",'Monthly Growth'!D11*Assumptions!$E$23/1000000,0))))))))),0)</f>
        <v>0</v>
      </c>
      <c r="F2951" s="10" t="n">
        <f aca="false">Nonlabor!$J$11*(1+Assumptions!$E$9)^INT((C2951-1)/12)</f>
        <v>5</v>
      </c>
      <c r="G2951" s="10" t="n">
        <f aca="false">E2951*F2951</f>
        <v>0</v>
      </c>
      <c r="H2951" s="10" t="n">
        <f aca="false">IF(OR(Nonlabor!$L$11="Quote required",Nonlabor!$L$11="Unverified"),G2951,0)</f>
        <v>0</v>
      </c>
      <c r="I2951" s="10" t="n">
        <f aca="false">IF(Nonlabor!$E$11="Core",0,G2951)</f>
        <v>0</v>
      </c>
      <c r="J2951" s="23" t="str">
        <f aca="false">Nonlabor!$B$11</f>
        <v>INFRA</v>
      </c>
    </row>
    <row r="2952" customFormat="false" ht="15" hidden="false" customHeight="false" outlineLevel="0" collapsed="false">
      <c r="A2952" s="6" t="s">
        <v>73</v>
      </c>
      <c r="B2952" s="6" t="s">
        <v>387</v>
      </c>
      <c r="C2952" s="6" t="n">
        <v>7</v>
      </c>
      <c r="D2952" s="25" t="n">
        <f aca="false">EDATE('Start Here'!$B$6,C2952-1)</f>
        <v>46508</v>
      </c>
      <c r="E2952" s="11" t="n">
        <f aca="false">IF(AND(OR(Nonlabor!$D$11="Both",Nonlabor!$D$11='Start Here'!$B$9),IF(Nonlabor!$E$11="Core",1,IF(Nonlabor!$E$11="AI",'Start Here'!$B$7,'Start Here'!$B$8))=1,C2952&gt;=IF(Nonlabor!$E$11="Core",Nonlabor!$F$11,MAX(Nonlabor!$F$11,IF(Nonlabor!$E$11="AI",Assumptions!$E$24,Assumptions!$E$25))),C2952&lt;=Nonlabor!$G$11,OR(Nonlabor!$H$11="Monthly",AND(Nonlabor!$H$11="Once",C2952=IF(Nonlabor!$E$11="Core",Nonlabor!$F$11,MAX(Nonlabor!$F$11,IF(Nonlabor!$E$11="AI",Assumptions!$E$24,Assumptions!$E$25)))),AND(Nonlabor!$H$11="Annual",MOD(C2952-IF(Nonlabor!$E$11="Core",Nonlabor!$F$11,MAX(Nonlabor!$F$11,IF(Nonlabor!$E$11="AI",Assumptions!$E$24,Assumptions!$E$25))),12)=0))),IF(Nonlabor!$I$11="Fixed",1,IF(Nonlabor!$I$11="Seats",ROUNDUP('Monthly Growth'!I12,0),IF(Nonlabor!$I$11="Customers",'Monthly Growth'!D12,IF(Nonlabor!$I$11="NewCustomers",'Monthly Growth'!C12,IF(Nonlabor!$I$11="StorageGB",'Monthly Growth'!G12,IF(Nonlabor!$I$11="LogGB",'Monthly Growth'!H12,IF(Nonlabor!$I$11="RequestsM",'Monthly Growth'!F12,IF(Nonlabor!$I$11="InputM",'Monthly Growth'!D12*Assumptions!$E$22/1000000,IF(Nonlabor!$I$11="OutputM",'Monthly Growth'!D12*Assumptions!$E$23/1000000,0))))))))),0)</f>
        <v>0</v>
      </c>
      <c r="F2952" s="10" t="n">
        <f aca="false">Nonlabor!$J$11*(1+Assumptions!$E$9)^INT((C2952-1)/12)</f>
        <v>5</v>
      </c>
      <c r="G2952" s="10" t="n">
        <f aca="false">E2952*F2952</f>
        <v>0</v>
      </c>
      <c r="H2952" s="10" t="n">
        <f aca="false">IF(OR(Nonlabor!$L$11="Quote required",Nonlabor!$L$11="Unverified"),G2952,0)</f>
        <v>0</v>
      </c>
      <c r="I2952" s="10" t="n">
        <f aca="false">IF(Nonlabor!$E$11="Core",0,G2952)</f>
        <v>0</v>
      </c>
      <c r="J2952" s="23" t="str">
        <f aca="false">Nonlabor!$B$11</f>
        <v>INFRA</v>
      </c>
    </row>
    <row r="2953" customFormat="false" ht="15" hidden="false" customHeight="false" outlineLevel="0" collapsed="false">
      <c r="A2953" s="6" t="s">
        <v>73</v>
      </c>
      <c r="B2953" s="6" t="s">
        <v>387</v>
      </c>
      <c r="C2953" s="6" t="n">
        <v>8</v>
      </c>
      <c r="D2953" s="25" t="n">
        <f aca="false">EDATE('Start Here'!$B$6,C2953-1)</f>
        <v>46539</v>
      </c>
      <c r="E2953" s="11" t="n">
        <f aca="false">IF(AND(OR(Nonlabor!$D$11="Both",Nonlabor!$D$11='Start Here'!$B$9),IF(Nonlabor!$E$11="Core",1,IF(Nonlabor!$E$11="AI",'Start Here'!$B$7,'Start Here'!$B$8))=1,C2953&gt;=IF(Nonlabor!$E$11="Core",Nonlabor!$F$11,MAX(Nonlabor!$F$11,IF(Nonlabor!$E$11="AI",Assumptions!$E$24,Assumptions!$E$25))),C2953&lt;=Nonlabor!$G$11,OR(Nonlabor!$H$11="Monthly",AND(Nonlabor!$H$11="Once",C2953=IF(Nonlabor!$E$11="Core",Nonlabor!$F$11,MAX(Nonlabor!$F$11,IF(Nonlabor!$E$11="AI",Assumptions!$E$24,Assumptions!$E$25)))),AND(Nonlabor!$H$11="Annual",MOD(C2953-IF(Nonlabor!$E$11="Core",Nonlabor!$F$11,MAX(Nonlabor!$F$11,IF(Nonlabor!$E$11="AI",Assumptions!$E$24,Assumptions!$E$25))),12)=0))),IF(Nonlabor!$I$11="Fixed",1,IF(Nonlabor!$I$11="Seats",ROUNDUP('Monthly Growth'!I13,0),IF(Nonlabor!$I$11="Customers",'Monthly Growth'!D13,IF(Nonlabor!$I$11="NewCustomers",'Monthly Growth'!C13,IF(Nonlabor!$I$11="StorageGB",'Monthly Growth'!G13,IF(Nonlabor!$I$11="LogGB",'Monthly Growth'!H13,IF(Nonlabor!$I$11="RequestsM",'Monthly Growth'!F13,IF(Nonlabor!$I$11="InputM",'Monthly Growth'!D13*Assumptions!$E$22/1000000,IF(Nonlabor!$I$11="OutputM",'Monthly Growth'!D13*Assumptions!$E$23/1000000,0))))))))),0)</f>
        <v>0</v>
      </c>
      <c r="F2953" s="10" t="n">
        <f aca="false">Nonlabor!$J$11*(1+Assumptions!$E$9)^INT((C2953-1)/12)</f>
        <v>5</v>
      </c>
      <c r="G2953" s="10" t="n">
        <f aca="false">E2953*F2953</f>
        <v>0</v>
      </c>
      <c r="H2953" s="10" t="n">
        <f aca="false">IF(OR(Nonlabor!$L$11="Quote required",Nonlabor!$L$11="Unverified"),G2953,0)</f>
        <v>0</v>
      </c>
      <c r="I2953" s="10" t="n">
        <f aca="false">IF(Nonlabor!$E$11="Core",0,G2953)</f>
        <v>0</v>
      </c>
      <c r="J2953" s="23" t="str">
        <f aca="false">Nonlabor!$B$11</f>
        <v>INFRA</v>
      </c>
    </row>
    <row r="2954" customFormat="false" ht="15" hidden="false" customHeight="false" outlineLevel="0" collapsed="false">
      <c r="A2954" s="6" t="s">
        <v>73</v>
      </c>
      <c r="B2954" s="6" t="s">
        <v>387</v>
      </c>
      <c r="C2954" s="6" t="n">
        <v>9</v>
      </c>
      <c r="D2954" s="25" t="n">
        <f aca="false">EDATE('Start Here'!$B$6,C2954-1)</f>
        <v>46569</v>
      </c>
      <c r="E2954" s="11" t="n">
        <f aca="false">IF(AND(OR(Nonlabor!$D$11="Both",Nonlabor!$D$11='Start Here'!$B$9),IF(Nonlabor!$E$11="Core",1,IF(Nonlabor!$E$11="AI",'Start Here'!$B$7,'Start Here'!$B$8))=1,C2954&gt;=IF(Nonlabor!$E$11="Core",Nonlabor!$F$11,MAX(Nonlabor!$F$11,IF(Nonlabor!$E$11="AI",Assumptions!$E$24,Assumptions!$E$25))),C2954&lt;=Nonlabor!$G$11,OR(Nonlabor!$H$11="Monthly",AND(Nonlabor!$H$11="Once",C2954=IF(Nonlabor!$E$11="Core",Nonlabor!$F$11,MAX(Nonlabor!$F$11,IF(Nonlabor!$E$11="AI",Assumptions!$E$24,Assumptions!$E$25)))),AND(Nonlabor!$H$11="Annual",MOD(C2954-IF(Nonlabor!$E$11="Core",Nonlabor!$F$11,MAX(Nonlabor!$F$11,IF(Nonlabor!$E$11="AI",Assumptions!$E$24,Assumptions!$E$25))),12)=0))),IF(Nonlabor!$I$11="Fixed",1,IF(Nonlabor!$I$11="Seats",ROUNDUP('Monthly Growth'!I14,0),IF(Nonlabor!$I$11="Customers",'Monthly Growth'!D14,IF(Nonlabor!$I$11="NewCustomers",'Monthly Growth'!C14,IF(Nonlabor!$I$11="StorageGB",'Monthly Growth'!G14,IF(Nonlabor!$I$11="LogGB",'Monthly Growth'!H14,IF(Nonlabor!$I$11="RequestsM",'Monthly Growth'!F14,IF(Nonlabor!$I$11="InputM",'Monthly Growth'!D14*Assumptions!$E$22/1000000,IF(Nonlabor!$I$11="OutputM",'Monthly Growth'!D14*Assumptions!$E$23/1000000,0))))))))),0)</f>
        <v>0</v>
      </c>
      <c r="F2954" s="10" t="n">
        <f aca="false">Nonlabor!$J$11*(1+Assumptions!$E$9)^INT((C2954-1)/12)</f>
        <v>5</v>
      </c>
      <c r="G2954" s="10" t="n">
        <f aca="false">E2954*F2954</f>
        <v>0</v>
      </c>
      <c r="H2954" s="10" t="n">
        <f aca="false">IF(OR(Nonlabor!$L$11="Quote required",Nonlabor!$L$11="Unverified"),G2954,0)</f>
        <v>0</v>
      </c>
      <c r="I2954" s="10" t="n">
        <f aca="false">IF(Nonlabor!$E$11="Core",0,G2954)</f>
        <v>0</v>
      </c>
      <c r="J2954" s="23" t="str">
        <f aca="false">Nonlabor!$B$11</f>
        <v>INFRA</v>
      </c>
    </row>
    <row r="2955" customFormat="false" ht="15" hidden="false" customHeight="false" outlineLevel="0" collapsed="false">
      <c r="A2955" s="6" t="s">
        <v>73</v>
      </c>
      <c r="B2955" s="6" t="s">
        <v>387</v>
      </c>
      <c r="C2955" s="6" t="n">
        <v>10</v>
      </c>
      <c r="D2955" s="25" t="n">
        <f aca="false">EDATE('Start Here'!$B$6,C2955-1)</f>
        <v>46600</v>
      </c>
      <c r="E2955" s="11" t="n">
        <f aca="false">IF(AND(OR(Nonlabor!$D$11="Both",Nonlabor!$D$11='Start Here'!$B$9),IF(Nonlabor!$E$11="Core",1,IF(Nonlabor!$E$11="AI",'Start Here'!$B$7,'Start Here'!$B$8))=1,C2955&gt;=IF(Nonlabor!$E$11="Core",Nonlabor!$F$11,MAX(Nonlabor!$F$11,IF(Nonlabor!$E$11="AI",Assumptions!$E$24,Assumptions!$E$25))),C2955&lt;=Nonlabor!$G$11,OR(Nonlabor!$H$11="Monthly",AND(Nonlabor!$H$11="Once",C2955=IF(Nonlabor!$E$11="Core",Nonlabor!$F$11,MAX(Nonlabor!$F$11,IF(Nonlabor!$E$11="AI",Assumptions!$E$24,Assumptions!$E$25)))),AND(Nonlabor!$H$11="Annual",MOD(C2955-IF(Nonlabor!$E$11="Core",Nonlabor!$F$11,MAX(Nonlabor!$F$11,IF(Nonlabor!$E$11="AI",Assumptions!$E$24,Assumptions!$E$25))),12)=0))),IF(Nonlabor!$I$11="Fixed",1,IF(Nonlabor!$I$11="Seats",ROUNDUP('Monthly Growth'!I15,0),IF(Nonlabor!$I$11="Customers",'Monthly Growth'!D15,IF(Nonlabor!$I$11="NewCustomers",'Monthly Growth'!C15,IF(Nonlabor!$I$11="StorageGB",'Monthly Growth'!G15,IF(Nonlabor!$I$11="LogGB",'Monthly Growth'!H15,IF(Nonlabor!$I$11="RequestsM",'Monthly Growth'!F15,IF(Nonlabor!$I$11="InputM",'Monthly Growth'!D15*Assumptions!$E$22/1000000,IF(Nonlabor!$I$11="OutputM",'Monthly Growth'!D15*Assumptions!$E$23/1000000,0))))))))),0)</f>
        <v>0</v>
      </c>
      <c r="F2955" s="10" t="n">
        <f aca="false">Nonlabor!$J$11*(1+Assumptions!$E$9)^INT((C2955-1)/12)</f>
        <v>5</v>
      </c>
      <c r="G2955" s="10" t="n">
        <f aca="false">E2955*F2955</f>
        <v>0</v>
      </c>
      <c r="H2955" s="10" t="n">
        <f aca="false">IF(OR(Nonlabor!$L$11="Quote required",Nonlabor!$L$11="Unverified"),G2955,0)</f>
        <v>0</v>
      </c>
      <c r="I2955" s="10" t="n">
        <f aca="false">IF(Nonlabor!$E$11="Core",0,G2955)</f>
        <v>0</v>
      </c>
      <c r="J2955" s="23" t="str">
        <f aca="false">Nonlabor!$B$11</f>
        <v>INFRA</v>
      </c>
    </row>
    <row r="2956" customFormat="false" ht="15" hidden="false" customHeight="false" outlineLevel="0" collapsed="false">
      <c r="A2956" s="6" t="s">
        <v>73</v>
      </c>
      <c r="B2956" s="6" t="s">
        <v>387</v>
      </c>
      <c r="C2956" s="6" t="n">
        <v>11</v>
      </c>
      <c r="D2956" s="25" t="n">
        <f aca="false">EDATE('Start Here'!$B$6,C2956-1)</f>
        <v>46631</v>
      </c>
      <c r="E2956" s="11" t="n">
        <f aca="false">IF(AND(OR(Nonlabor!$D$11="Both",Nonlabor!$D$11='Start Here'!$B$9),IF(Nonlabor!$E$11="Core",1,IF(Nonlabor!$E$11="AI",'Start Here'!$B$7,'Start Here'!$B$8))=1,C2956&gt;=IF(Nonlabor!$E$11="Core",Nonlabor!$F$11,MAX(Nonlabor!$F$11,IF(Nonlabor!$E$11="AI",Assumptions!$E$24,Assumptions!$E$25))),C2956&lt;=Nonlabor!$G$11,OR(Nonlabor!$H$11="Monthly",AND(Nonlabor!$H$11="Once",C2956=IF(Nonlabor!$E$11="Core",Nonlabor!$F$11,MAX(Nonlabor!$F$11,IF(Nonlabor!$E$11="AI",Assumptions!$E$24,Assumptions!$E$25)))),AND(Nonlabor!$H$11="Annual",MOD(C2956-IF(Nonlabor!$E$11="Core",Nonlabor!$F$11,MAX(Nonlabor!$F$11,IF(Nonlabor!$E$11="AI",Assumptions!$E$24,Assumptions!$E$25))),12)=0))),IF(Nonlabor!$I$11="Fixed",1,IF(Nonlabor!$I$11="Seats",ROUNDUP('Monthly Growth'!I16,0),IF(Nonlabor!$I$11="Customers",'Monthly Growth'!D16,IF(Nonlabor!$I$11="NewCustomers",'Monthly Growth'!C16,IF(Nonlabor!$I$11="StorageGB",'Monthly Growth'!G16,IF(Nonlabor!$I$11="LogGB",'Monthly Growth'!H16,IF(Nonlabor!$I$11="RequestsM",'Monthly Growth'!F16,IF(Nonlabor!$I$11="InputM",'Monthly Growth'!D16*Assumptions!$E$22/1000000,IF(Nonlabor!$I$11="OutputM",'Monthly Growth'!D16*Assumptions!$E$23/1000000,0))))))))),0)</f>
        <v>0</v>
      </c>
      <c r="F2956" s="10" t="n">
        <f aca="false">Nonlabor!$J$11*(1+Assumptions!$E$9)^INT((C2956-1)/12)</f>
        <v>5</v>
      </c>
      <c r="G2956" s="10" t="n">
        <f aca="false">E2956*F2956</f>
        <v>0</v>
      </c>
      <c r="H2956" s="10" t="n">
        <f aca="false">IF(OR(Nonlabor!$L$11="Quote required",Nonlabor!$L$11="Unverified"),G2956,0)</f>
        <v>0</v>
      </c>
      <c r="I2956" s="10" t="n">
        <f aca="false">IF(Nonlabor!$E$11="Core",0,G2956)</f>
        <v>0</v>
      </c>
      <c r="J2956" s="23" t="str">
        <f aca="false">Nonlabor!$B$11</f>
        <v>INFRA</v>
      </c>
    </row>
    <row r="2957" customFormat="false" ht="15" hidden="false" customHeight="false" outlineLevel="0" collapsed="false">
      <c r="A2957" s="6" t="s">
        <v>73</v>
      </c>
      <c r="B2957" s="6" t="s">
        <v>387</v>
      </c>
      <c r="C2957" s="6" t="n">
        <v>12</v>
      </c>
      <c r="D2957" s="25" t="n">
        <f aca="false">EDATE('Start Here'!$B$6,C2957-1)</f>
        <v>46661</v>
      </c>
      <c r="E2957" s="11" t="n">
        <f aca="false">IF(AND(OR(Nonlabor!$D$11="Both",Nonlabor!$D$11='Start Here'!$B$9),IF(Nonlabor!$E$11="Core",1,IF(Nonlabor!$E$11="AI",'Start Here'!$B$7,'Start Here'!$B$8))=1,C2957&gt;=IF(Nonlabor!$E$11="Core",Nonlabor!$F$11,MAX(Nonlabor!$F$11,IF(Nonlabor!$E$11="AI",Assumptions!$E$24,Assumptions!$E$25))),C2957&lt;=Nonlabor!$G$11,OR(Nonlabor!$H$11="Monthly",AND(Nonlabor!$H$11="Once",C2957=IF(Nonlabor!$E$11="Core",Nonlabor!$F$11,MAX(Nonlabor!$F$11,IF(Nonlabor!$E$11="AI",Assumptions!$E$24,Assumptions!$E$25)))),AND(Nonlabor!$H$11="Annual",MOD(C2957-IF(Nonlabor!$E$11="Core",Nonlabor!$F$11,MAX(Nonlabor!$F$11,IF(Nonlabor!$E$11="AI",Assumptions!$E$24,Assumptions!$E$25))),12)=0))),IF(Nonlabor!$I$11="Fixed",1,IF(Nonlabor!$I$11="Seats",ROUNDUP('Monthly Growth'!I17,0),IF(Nonlabor!$I$11="Customers",'Monthly Growth'!D17,IF(Nonlabor!$I$11="NewCustomers",'Monthly Growth'!C17,IF(Nonlabor!$I$11="StorageGB",'Monthly Growth'!G17,IF(Nonlabor!$I$11="LogGB",'Monthly Growth'!H17,IF(Nonlabor!$I$11="RequestsM",'Monthly Growth'!F17,IF(Nonlabor!$I$11="InputM",'Monthly Growth'!D17*Assumptions!$E$22/1000000,IF(Nonlabor!$I$11="OutputM",'Monthly Growth'!D17*Assumptions!$E$23/1000000,0))))))))),0)</f>
        <v>4</v>
      </c>
      <c r="F2957" s="10" t="n">
        <f aca="false">Nonlabor!$J$11*(1+Assumptions!$E$9)^INT((C2957-1)/12)</f>
        <v>5</v>
      </c>
      <c r="G2957" s="10" t="n">
        <f aca="false">E2957*F2957</f>
        <v>20</v>
      </c>
      <c r="H2957" s="10" t="n">
        <f aca="false">IF(OR(Nonlabor!$L$11="Quote required",Nonlabor!$L$11="Unverified"),G2957,0)</f>
        <v>0</v>
      </c>
      <c r="I2957" s="10" t="n">
        <f aca="false">IF(Nonlabor!$E$11="Core",0,G2957)</f>
        <v>0</v>
      </c>
      <c r="J2957" s="23" t="str">
        <f aca="false">Nonlabor!$B$11</f>
        <v>INFRA</v>
      </c>
    </row>
    <row r="2958" customFormat="false" ht="15" hidden="false" customHeight="false" outlineLevel="0" collapsed="false">
      <c r="A2958" s="6" t="s">
        <v>73</v>
      </c>
      <c r="B2958" s="6" t="s">
        <v>387</v>
      </c>
      <c r="C2958" s="6" t="n">
        <v>13</v>
      </c>
      <c r="D2958" s="25" t="n">
        <f aca="false">EDATE('Start Here'!$B$6,C2958-1)</f>
        <v>46692</v>
      </c>
      <c r="E2958" s="11" t="n">
        <f aca="false">IF(AND(OR(Nonlabor!$D$11="Both",Nonlabor!$D$11='Start Here'!$B$9),IF(Nonlabor!$E$11="Core",1,IF(Nonlabor!$E$11="AI",'Start Here'!$B$7,'Start Here'!$B$8))=1,C2958&gt;=IF(Nonlabor!$E$11="Core",Nonlabor!$F$11,MAX(Nonlabor!$F$11,IF(Nonlabor!$E$11="AI",Assumptions!$E$24,Assumptions!$E$25))),C2958&lt;=Nonlabor!$G$11,OR(Nonlabor!$H$11="Monthly",AND(Nonlabor!$H$11="Once",C2958=IF(Nonlabor!$E$11="Core",Nonlabor!$F$11,MAX(Nonlabor!$F$11,IF(Nonlabor!$E$11="AI",Assumptions!$E$24,Assumptions!$E$25)))),AND(Nonlabor!$H$11="Annual",MOD(C2958-IF(Nonlabor!$E$11="Core",Nonlabor!$F$11,MAX(Nonlabor!$F$11,IF(Nonlabor!$E$11="AI",Assumptions!$E$24,Assumptions!$E$25))),12)=0))),IF(Nonlabor!$I$11="Fixed",1,IF(Nonlabor!$I$11="Seats",ROUNDUP('Monthly Growth'!I18,0),IF(Nonlabor!$I$11="Customers",'Monthly Growth'!D18,IF(Nonlabor!$I$11="NewCustomers",'Monthly Growth'!C18,IF(Nonlabor!$I$11="StorageGB",'Monthly Growth'!G18,IF(Nonlabor!$I$11="LogGB",'Monthly Growth'!H18,IF(Nonlabor!$I$11="RequestsM",'Monthly Growth'!F18,IF(Nonlabor!$I$11="InputM",'Monthly Growth'!D18*Assumptions!$E$22/1000000,IF(Nonlabor!$I$11="OutputM",'Monthly Growth'!D18*Assumptions!$E$23/1000000,0))))))))),0)</f>
        <v>7.96</v>
      </c>
      <c r="F2958" s="10" t="n">
        <f aca="false">Nonlabor!$J$11*(1+Assumptions!$E$9)^INT((C2958-1)/12)</f>
        <v>5.2</v>
      </c>
      <c r="G2958" s="10" t="n">
        <f aca="false">E2958*F2958</f>
        <v>41.392</v>
      </c>
      <c r="H2958" s="10" t="n">
        <f aca="false">IF(OR(Nonlabor!$L$11="Quote required",Nonlabor!$L$11="Unverified"),G2958,0)</f>
        <v>0</v>
      </c>
      <c r="I2958" s="10" t="n">
        <f aca="false">IF(Nonlabor!$E$11="Core",0,G2958)</f>
        <v>0</v>
      </c>
      <c r="J2958" s="23" t="str">
        <f aca="false">Nonlabor!$B$11</f>
        <v>INFRA</v>
      </c>
    </row>
    <row r="2959" customFormat="false" ht="15" hidden="false" customHeight="false" outlineLevel="0" collapsed="false">
      <c r="A2959" s="6" t="s">
        <v>73</v>
      </c>
      <c r="B2959" s="6" t="s">
        <v>387</v>
      </c>
      <c r="C2959" s="6" t="n">
        <v>14</v>
      </c>
      <c r="D2959" s="25" t="n">
        <f aca="false">EDATE('Start Here'!$B$6,C2959-1)</f>
        <v>46722</v>
      </c>
      <c r="E2959" s="11" t="n">
        <f aca="false">IF(AND(OR(Nonlabor!$D$11="Both",Nonlabor!$D$11='Start Here'!$B$9),IF(Nonlabor!$E$11="Core",1,IF(Nonlabor!$E$11="AI",'Start Here'!$B$7,'Start Here'!$B$8))=1,C2959&gt;=IF(Nonlabor!$E$11="Core",Nonlabor!$F$11,MAX(Nonlabor!$F$11,IF(Nonlabor!$E$11="AI",Assumptions!$E$24,Assumptions!$E$25))),C2959&lt;=Nonlabor!$G$11,OR(Nonlabor!$H$11="Monthly",AND(Nonlabor!$H$11="Once",C2959=IF(Nonlabor!$E$11="Core",Nonlabor!$F$11,MAX(Nonlabor!$F$11,IF(Nonlabor!$E$11="AI",Assumptions!$E$24,Assumptions!$E$25)))),AND(Nonlabor!$H$11="Annual",MOD(C2959-IF(Nonlabor!$E$11="Core",Nonlabor!$F$11,MAX(Nonlabor!$F$11,IF(Nonlabor!$E$11="AI",Assumptions!$E$24,Assumptions!$E$25))),12)=0))),IF(Nonlabor!$I$11="Fixed",1,IF(Nonlabor!$I$11="Seats",ROUNDUP('Monthly Growth'!I19,0),IF(Nonlabor!$I$11="Customers",'Monthly Growth'!D19,IF(Nonlabor!$I$11="NewCustomers",'Monthly Growth'!C19,IF(Nonlabor!$I$11="StorageGB",'Monthly Growth'!G19,IF(Nonlabor!$I$11="LogGB",'Monthly Growth'!H19,IF(Nonlabor!$I$11="RequestsM",'Monthly Growth'!F19,IF(Nonlabor!$I$11="InputM",'Monthly Growth'!D19*Assumptions!$E$22/1000000,IF(Nonlabor!$I$11="OutputM",'Monthly Growth'!D19*Assumptions!$E$23/1000000,0))))))))),0)</f>
        <v>11.8804</v>
      </c>
      <c r="F2959" s="10" t="n">
        <f aca="false">Nonlabor!$J$11*(1+Assumptions!$E$9)^INT((C2959-1)/12)</f>
        <v>5.2</v>
      </c>
      <c r="G2959" s="10" t="n">
        <f aca="false">E2959*F2959</f>
        <v>61.77808</v>
      </c>
      <c r="H2959" s="10" t="n">
        <f aca="false">IF(OR(Nonlabor!$L$11="Quote required",Nonlabor!$L$11="Unverified"),G2959,0)</f>
        <v>0</v>
      </c>
      <c r="I2959" s="10" t="n">
        <f aca="false">IF(Nonlabor!$E$11="Core",0,G2959)</f>
        <v>0</v>
      </c>
      <c r="J2959" s="23" t="str">
        <f aca="false">Nonlabor!$B$11</f>
        <v>INFRA</v>
      </c>
    </row>
    <row r="2960" customFormat="false" ht="15" hidden="false" customHeight="false" outlineLevel="0" collapsed="false">
      <c r="A2960" s="6" t="s">
        <v>73</v>
      </c>
      <c r="B2960" s="6" t="s">
        <v>387</v>
      </c>
      <c r="C2960" s="6" t="n">
        <v>15</v>
      </c>
      <c r="D2960" s="25" t="n">
        <f aca="false">EDATE('Start Here'!$B$6,C2960-1)</f>
        <v>46753</v>
      </c>
      <c r="E2960" s="11" t="n">
        <f aca="false">IF(AND(OR(Nonlabor!$D$11="Both",Nonlabor!$D$11='Start Here'!$B$9),IF(Nonlabor!$E$11="Core",1,IF(Nonlabor!$E$11="AI",'Start Here'!$B$7,'Start Here'!$B$8))=1,C2960&gt;=IF(Nonlabor!$E$11="Core",Nonlabor!$F$11,MAX(Nonlabor!$F$11,IF(Nonlabor!$E$11="AI",Assumptions!$E$24,Assumptions!$E$25))),C2960&lt;=Nonlabor!$G$11,OR(Nonlabor!$H$11="Monthly",AND(Nonlabor!$H$11="Once",C2960=IF(Nonlabor!$E$11="Core",Nonlabor!$F$11,MAX(Nonlabor!$F$11,IF(Nonlabor!$E$11="AI",Assumptions!$E$24,Assumptions!$E$25)))),AND(Nonlabor!$H$11="Annual",MOD(C2960-IF(Nonlabor!$E$11="Core",Nonlabor!$F$11,MAX(Nonlabor!$F$11,IF(Nonlabor!$E$11="AI",Assumptions!$E$24,Assumptions!$E$25))),12)=0))),IF(Nonlabor!$I$11="Fixed",1,IF(Nonlabor!$I$11="Seats",ROUNDUP('Monthly Growth'!I20,0),IF(Nonlabor!$I$11="Customers",'Monthly Growth'!D20,IF(Nonlabor!$I$11="NewCustomers",'Monthly Growth'!C20,IF(Nonlabor!$I$11="StorageGB",'Monthly Growth'!G20,IF(Nonlabor!$I$11="LogGB",'Monthly Growth'!H20,IF(Nonlabor!$I$11="RequestsM",'Monthly Growth'!F20,IF(Nonlabor!$I$11="InputM",'Monthly Growth'!D20*Assumptions!$E$22/1000000,IF(Nonlabor!$I$11="OutputM",'Monthly Growth'!D20*Assumptions!$E$23/1000000,0))))))))),0)</f>
        <v>15.761596</v>
      </c>
      <c r="F2960" s="10" t="n">
        <f aca="false">Nonlabor!$J$11*(1+Assumptions!$E$9)^INT((C2960-1)/12)</f>
        <v>5.2</v>
      </c>
      <c r="G2960" s="10" t="n">
        <f aca="false">E2960*F2960</f>
        <v>81.9602992</v>
      </c>
      <c r="H2960" s="10" t="n">
        <f aca="false">IF(OR(Nonlabor!$L$11="Quote required",Nonlabor!$L$11="Unverified"),G2960,0)</f>
        <v>0</v>
      </c>
      <c r="I2960" s="10" t="n">
        <f aca="false">IF(Nonlabor!$E$11="Core",0,G2960)</f>
        <v>0</v>
      </c>
      <c r="J2960" s="23" t="str">
        <f aca="false">Nonlabor!$B$11</f>
        <v>INFRA</v>
      </c>
    </row>
    <row r="2961" customFormat="false" ht="15" hidden="false" customHeight="false" outlineLevel="0" collapsed="false">
      <c r="A2961" s="6" t="s">
        <v>73</v>
      </c>
      <c r="B2961" s="6" t="s">
        <v>387</v>
      </c>
      <c r="C2961" s="6" t="n">
        <v>16</v>
      </c>
      <c r="D2961" s="25" t="n">
        <f aca="false">EDATE('Start Here'!$B$6,C2961-1)</f>
        <v>46784</v>
      </c>
      <c r="E2961" s="11" t="n">
        <f aca="false">IF(AND(OR(Nonlabor!$D$11="Both",Nonlabor!$D$11='Start Here'!$B$9),IF(Nonlabor!$E$11="Core",1,IF(Nonlabor!$E$11="AI",'Start Here'!$B$7,'Start Here'!$B$8))=1,C2961&gt;=IF(Nonlabor!$E$11="Core",Nonlabor!$F$11,MAX(Nonlabor!$F$11,IF(Nonlabor!$E$11="AI",Assumptions!$E$24,Assumptions!$E$25))),C2961&lt;=Nonlabor!$G$11,OR(Nonlabor!$H$11="Monthly",AND(Nonlabor!$H$11="Once",C2961=IF(Nonlabor!$E$11="Core",Nonlabor!$F$11,MAX(Nonlabor!$F$11,IF(Nonlabor!$E$11="AI",Assumptions!$E$24,Assumptions!$E$25)))),AND(Nonlabor!$H$11="Annual",MOD(C2961-IF(Nonlabor!$E$11="Core",Nonlabor!$F$11,MAX(Nonlabor!$F$11,IF(Nonlabor!$E$11="AI",Assumptions!$E$24,Assumptions!$E$25))),12)=0))),IF(Nonlabor!$I$11="Fixed",1,IF(Nonlabor!$I$11="Seats",ROUNDUP('Monthly Growth'!I21,0),IF(Nonlabor!$I$11="Customers",'Monthly Growth'!D21,IF(Nonlabor!$I$11="NewCustomers",'Monthly Growth'!C21,IF(Nonlabor!$I$11="StorageGB",'Monthly Growth'!G21,IF(Nonlabor!$I$11="LogGB",'Monthly Growth'!H21,IF(Nonlabor!$I$11="RequestsM",'Monthly Growth'!F21,IF(Nonlabor!$I$11="InputM",'Monthly Growth'!D21*Assumptions!$E$22/1000000,IF(Nonlabor!$I$11="OutputM",'Monthly Growth'!D21*Assumptions!$E$23/1000000,0))))))))),0)</f>
        <v>19.60398004</v>
      </c>
      <c r="F2961" s="10" t="n">
        <f aca="false">Nonlabor!$J$11*(1+Assumptions!$E$9)^INT((C2961-1)/12)</f>
        <v>5.2</v>
      </c>
      <c r="G2961" s="10" t="n">
        <f aca="false">E2961*F2961</f>
        <v>101.940696208</v>
      </c>
      <c r="H2961" s="10" t="n">
        <f aca="false">IF(OR(Nonlabor!$L$11="Quote required",Nonlabor!$L$11="Unverified"),G2961,0)</f>
        <v>0</v>
      </c>
      <c r="I2961" s="10" t="n">
        <f aca="false">IF(Nonlabor!$E$11="Core",0,G2961)</f>
        <v>0</v>
      </c>
      <c r="J2961" s="23" t="str">
        <f aca="false">Nonlabor!$B$11</f>
        <v>INFRA</v>
      </c>
    </row>
    <row r="2962" customFormat="false" ht="15" hidden="false" customHeight="false" outlineLevel="0" collapsed="false">
      <c r="A2962" s="6" t="s">
        <v>73</v>
      </c>
      <c r="B2962" s="6" t="s">
        <v>387</v>
      </c>
      <c r="C2962" s="6" t="n">
        <v>17</v>
      </c>
      <c r="D2962" s="25" t="n">
        <f aca="false">EDATE('Start Here'!$B$6,C2962-1)</f>
        <v>46813</v>
      </c>
      <c r="E2962" s="11" t="n">
        <f aca="false">IF(AND(OR(Nonlabor!$D$11="Both",Nonlabor!$D$11='Start Here'!$B$9),IF(Nonlabor!$E$11="Core",1,IF(Nonlabor!$E$11="AI",'Start Here'!$B$7,'Start Here'!$B$8))=1,C2962&gt;=IF(Nonlabor!$E$11="Core",Nonlabor!$F$11,MAX(Nonlabor!$F$11,IF(Nonlabor!$E$11="AI",Assumptions!$E$24,Assumptions!$E$25))),C2962&lt;=Nonlabor!$G$11,OR(Nonlabor!$H$11="Monthly",AND(Nonlabor!$H$11="Once",C2962=IF(Nonlabor!$E$11="Core",Nonlabor!$F$11,MAX(Nonlabor!$F$11,IF(Nonlabor!$E$11="AI",Assumptions!$E$24,Assumptions!$E$25)))),AND(Nonlabor!$H$11="Annual",MOD(C2962-IF(Nonlabor!$E$11="Core",Nonlabor!$F$11,MAX(Nonlabor!$F$11,IF(Nonlabor!$E$11="AI",Assumptions!$E$24,Assumptions!$E$25))),12)=0))),IF(Nonlabor!$I$11="Fixed",1,IF(Nonlabor!$I$11="Seats",ROUNDUP('Monthly Growth'!I22,0),IF(Nonlabor!$I$11="Customers",'Monthly Growth'!D22,IF(Nonlabor!$I$11="NewCustomers",'Monthly Growth'!C22,IF(Nonlabor!$I$11="StorageGB",'Monthly Growth'!G22,IF(Nonlabor!$I$11="LogGB",'Monthly Growth'!H22,IF(Nonlabor!$I$11="RequestsM",'Monthly Growth'!F22,IF(Nonlabor!$I$11="InputM",'Monthly Growth'!D22*Assumptions!$E$22/1000000,IF(Nonlabor!$I$11="OutputM",'Monthly Growth'!D22*Assumptions!$E$23/1000000,0))))))))),0)</f>
        <v>23.4079402396</v>
      </c>
      <c r="F2962" s="10" t="n">
        <f aca="false">Nonlabor!$J$11*(1+Assumptions!$E$9)^INT((C2962-1)/12)</f>
        <v>5.2</v>
      </c>
      <c r="G2962" s="10" t="n">
        <f aca="false">E2962*F2962</f>
        <v>121.72128924592</v>
      </c>
      <c r="H2962" s="10" t="n">
        <f aca="false">IF(OR(Nonlabor!$L$11="Quote required",Nonlabor!$L$11="Unverified"),G2962,0)</f>
        <v>0</v>
      </c>
      <c r="I2962" s="10" t="n">
        <f aca="false">IF(Nonlabor!$E$11="Core",0,G2962)</f>
        <v>0</v>
      </c>
      <c r="J2962" s="23" t="str">
        <f aca="false">Nonlabor!$B$11</f>
        <v>INFRA</v>
      </c>
    </row>
    <row r="2963" customFormat="false" ht="15" hidden="false" customHeight="false" outlineLevel="0" collapsed="false">
      <c r="A2963" s="6" t="s">
        <v>73</v>
      </c>
      <c r="B2963" s="6" t="s">
        <v>387</v>
      </c>
      <c r="C2963" s="6" t="n">
        <v>18</v>
      </c>
      <c r="D2963" s="25" t="n">
        <f aca="false">EDATE('Start Here'!$B$6,C2963-1)</f>
        <v>46844</v>
      </c>
      <c r="E2963" s="11" t="n">
        <f aca="false">IF(AND(OR(Nonlabor!$D$11="Both",Nonlabor!$D$11='Start Here'!$B$9),IF(Nonlabor!$E$11="Core",1,IF(Nonlabor!$E$11="AI",'Start Here'!$B$7,'Start Here'!$B$8))=1,C2963&gt;=IF(Nonlabor!$E$11="Core",Nonlabor!$F$11,MAX(Nonlabor!$F$11,IF(Nonlabor!$E$11="AI",Assumptions!$E$24,Assumptions!$E$25))),C2963&lt;=Nonlabor!$G$11,OR(Nonlabor!$H$11="Monthly",AND(Nonlabor!$H$11="Once",C2963=IF(Nonlabor!$E$11="Core",Nonlabor!$F$11,MAX(Nonlabor!$F$11,IF(Nonlabor!$E$11="AI",Assumptions!$E$24,Assumptions!$E$25)))),AND(Nonlabor!$H$11="Annual",MOD(C2963-IF(Nonlabor!$E$11="Core",Nonlabor!$F$11,MAX(Nonlabor!$F$11,IF(Nonlabor!$E$11="AI",Assumptions!$E$24,Assumptions!$E$25))),12)=0))),IF(Nonlabor!$I$11="Fixed",1,IF(Nonlabor!$I$11="Seats",ROUNDUP('Monthly Growth'!I23,0),IF(Nonlabor!$I$11="Customers",'Monthly Growth'!D23,IF(Nonlabor!$I$11="NewCustomers",'Monthly Growth'!C23,IF(Nonlabor!$I$11="StorageGB",'Monthly Growth'!G23,IF(Nonlabor!$I$11="LogGB",'Monthly Growth'!H23,IF(Nonlabor!$I$11="RequestsM",'Monthly Growth'!F23,IF(Nonlabor!$I$11="InputM",'Monthly Growth'!D23*Assumptions!$E$22/1000000,IF(Nonlabor!$I$11="OutputM",'Monthly Growth'!D23*Assumptions!$E$23/1000000,0))))))))),0)</f>
        <v>27.173860837204</v>
      </c>
      <c r="F2963" s="10" t="n">
        <f aca="false">Nonlabor!$J$11*(1+Assumptions!$E$9)^INT((C2963-1)/12)</f>
        <v>5.2</v>
      </c>
      <c r="G2963" s="10" t="n">
        <f aca="false">E2963*F2963</f>
        <v>141.304076353461</v>
      </c>
      <c r="H2963" s="10" t="n">
        <f aca="false">IF(OR(Nonlabor!$L$11="Quote required",Nonlabor!$L$11="Unverified"),G2963,0)</f>
        <v>0</v>
      </c>
      <c r="I2963" s="10" t="n">
        <f aca="false">IF(Nonlabor!$E$11="Core",0,G2963)</f>
        <v>0</v>
      </c>
      <c r="J2963" s="23" t="str">
        <f aca="false">Nonlabor!$B$11</f>
        <v>INFRA</v>
      </c>
    </row>
    <row r="2964" customFormat="false" ht="15" hidden="false" customHeight="false" outlineLevel="0" collapsed="false">
      <c r="A2964" s="6" t="s">
        <v>73</v>
      </c>
      <c r="B2964" s="6" t="s">
        <v>387</v>
      </c>
      <c r="C2964" s="6" t="n">
        <v>19</v>
      </c>
      <c r="D2964" s="25" t="n">
        <f aca="false">EDATE('Start Here'!$B$6,C2964-1)</f>
        <v>46874</v>
      </c>
      <c r="E2964" s="11" t="n">
        <f aca="false">IF(AND(OR(Nonlabor!$D$11="Both",Nonlabor!$D$11='Start Here'!$B$9),IF(Nonlabor!$E$11="Core",1,IF(Nonlabor!$E$11="AI",'Start Here'!$B$7,'Start Here'!$B$8))=1,C2964&gt;=IF(Nonlabor!$E$11="Core",Nonlabor!$F$11,MAX(Nonlabor!$F$11,IF(Nonlabor!$E$11="AI",Assumptions!$E$24,Assumptions!$E$25))),C2964&lt;=Nonlabor!$G$11,OR(Nonlabor!$H$11="Monthly",AND(Nonlabor!$H$11="Once",C2964=IF(Nonlabor!$E$11="Core",Nonlabor!$F$11,MAX(Nonlabor!$F$11,IF(Nonlabor!$E$11="AI",Assumptions!$E$24,Assumptions!$E$25)))),AND(Nonlabor!$H$11="Annual",MOD(C2964-IF(Nonlabor!$E$11="Core",Nonlabor!$F$11,MAX(Nonlabor!$F$11,IF(Nonlabor!$E$11="AI",Assumptions!$E$24,Assumptions!$E$25))),12)=0))),IF(Nonlabor!$I$11="Fixed",1,IF(Nonlabor!$I$11="Seats",ROUNDUP('Monthly Growth'!I24,0),IF(Nonlabor!$I$11="Customers",'Monthly Growth'!D24,IF(Nonlabor!$I$11="NewCustomers",'Monthly Growth'!C24,IF(Nonlabor!$I$11="StorageGB",'Monthly Growth'!G24,IF(Nonlabor!$I$11="LogGB",'Monthly Growth'!H24,IF(Nonlabor!$I$11="RequestsM",'Monthly Growth'!F24,IF(Nonlabor!$I$11="InputM",'Monthly Growth'!D24*Assumptions!$E$22/1000000,IF(Nonlabor!$I$11="OutputM",'Monthly Growth'!D24*Assumptions!$E$23/1000000,0))))))))),0)</f>
        <v>30.902122228832</v>
      </c>
      <c r="F2964" s="10" t="n">
        <f aca="false">Nonlabor!$J$11*(1+Assumptions!$E$9)^INT((C2964-1)/12)</f>
        <v>5.2</v>
      </c>
      <c r="G2964" s="10" t="n">
        <f aca="false">E2964*F2964</f>
        <v>160.691035589926</v>
      </c>
      <c r="H2964" s="10" t="n">
        <f aca="false">IF(OR(Nonlabor!$L$11="Quote required",Nonlabor!$L$11="Unverified"),G2964,0)</f>
        <v>0</v>
      </c>
      <c r="I2964" s="10" t="n">
        <f aca="false">IF(Nonlabor!$E$11="Core",0,G2964)</f>
        <v>0</v>
      </c>
      <c r="J2964" s="23" t="str">
        <f aca="false">Nonlabor!$B$11</f>
        <v>INFRA</v>
      </c>
    </row>
    <row r="2965" customFormat="false" ht="15" hidden="false" customHeight="false" outlineLevel="0" collapsed="false">
      <c r="A2965" s="6" t="s">
        <v>73</v>
      </c>
      <c r="B2965" s="6" t="s">
        <v>387</v>
      </c>
      <c r="C2965" s="6" t="n">
        <v>20</v>
      </c>
      <c r="D2965" s="25" t="n">
        <f aca="false">EDATE('Start Here'!$B$6,C2965-1)</f>
        <v>46905</v>
      </c>
      <c r="E2965" s="11" t="n">
        <f aca="false">IF(AND(OR(Nonlabor!$D$11="Both",Nonlabor!$D$11='Start Here'!$B$9),IF(Nonlabor!$E$11="Core",1,IF(Nonlabor!$E$11="AI",'Start Here'!$B$7,'Start Here'!$B$8))=1,C2965&gt;=IF(Nonlabor!$E$11="Core",Nonlabor!$F$11,MAX(Nonlabor!$F$11,IF(Nonlabor!$E$11="AI",Assumptions!$E$24,Assumptions!$E$25))),C2965&lt;=Nonlabor!$G$11,OR(Nonlabor!$H$11="Monthly",AND(Nonlabor!$H$11="Once",C2965=IF(Nonlabor!$E$11="Core",Nonlabor!$F$11,MAX(Nonlabor!$F$11,IF(Nonlabor!$E$11="AI",Assumptions!$E$24,Assumptions!$E$25)))),AND(Nonlabor!$H$11="Annual",MOD(C2965-IF(Nonlabor!$E$11="Core",Nonlabor!$F$11,MAX(Nonlabor!$F$11,IF(Nonlabor!$E$11="AI",Assumptions!$E$24,Assumptions!$E$25))),12)=0))),IF(Nonlabor!$I$11="Fixed",1,IF(Nonlabor!$I$11="Seats",ROUNDUP('Monthly Growth'!I25,0),IF(Nonlabor!$I$11="Customers",'Monthly Growth'!D25,IF(Nonlabor!$I$11="NewCustomers",'Monthly Growth'!C25,IF(Nonlabor!$I$11="StorageGB",'Monthly Growth'!G25,IF(Nonlabor!$I$11="LogGB",'Monthly Growth'!H25,IF(Nonlabor!$I$11="RequestsM",'Monthly Growth'!F25,IF(Nonlabor!$I$11="InputM",'Monthly Growth'!D25*Assumptions!$E$22/1000000,IF(Nonlabor!$I$11="OutputM",'Monthly Growth'!D25*Assumptions!$E$23/1000000,0))))))))),0)</f>
        <v>34.5931010065436</v>
      </c>
      <c r="F2965" s="10" t="n">
        <f aca="false">Nonlabor!$J$11*(1+Assumptions!$E$9)^INT((C2965-1)/12)</f>
        <v>5.2</v>
      </c>
      <c r="G2965" s="10" t="n">
        <f aca="false">E2965*F2965</f>
        <v>179.884125234027</v>
      </c>
      <c r="H2965" s="10" t="n">
        <f aca="false">IF(OR(Nonlabor!$L$11="Quote required",Nonlabor!$L$11="Unverified"),G2965,0)</f>
        <v>0</v>
      </c>
      <c r="I2965" s="10" t="n">
        <f aca="false">IF(Nonlabor!$E$11="Core",0,G2965)</f>
        <v>0</v>
      </c>
      <c r="J2965" s="23" t="str">
        <f aca="false">Nonlabor!$B$11</f>
        <v>INFRA</v>
      </c>
    </row>
    <row r="2966" customFormat="false" ht="15" hidden="false" customHeight="false" outlineLevel="0" collapsed="false">
      <c r="A2966" s="6" t="s">
        <v>73</v>
      </c>
      <c r="B2966" s="6" t="s">
        <v>387</v>
      </c>
      <c r="C2966" s="6" t="n">
        <v>21</v>
      </c>
      <c r="D2966" s="25" t="n">
        <f aca="false">EDATE('Start Here'!$B$6,C2966-1)</f>
        <v>46935</v>
      </c>
      <c r="E2966" s="11" t="n">
        <f aca="false">IF(AND(OR(Nonlabor!$D$11="Both",Nonlabor!$D$11='Start Here'!$B$9),IF(Nonlabor!$E$11="Core",1,IF(Nonlabor!$E$11="AI",'Start Here'!$B$7,'Start Here'!$B$8))=1,C2966&gt;=IF(Nonlabor!$E$11="Core",Nonlabor!$F$11,MAX(Nonlabor!$F$11,IF(Nonlabor!$E$11="AI",Assumptions!$E$24,Assumptions!$E$25))),C2966&lt;=Nonlabor!$G$11,OR(Nonlabor!$H$11="Monthly",AND(Nonlabor!$H$11="Once",C2966=IF(Nonlabor!$E$11="Core",Nonlabor!$F$11,MAX(Nonlabor!$F$11,IF(Nonlabor!$E$11="AI",Assumptions!$E$24,Assumptions!$E$25)))),AND(Nonlabor!$H$11="Annual",MOD(C2966-IF(Nonlabor!$E$11="Core",Nonlabor!$F$11,MAX(Nonlabor!$F$11,IF(Nonlabor!$E$11="AI",Assumptions!$E$24,Assumptions!$E$25))),12)=0))),IF(Nonlabor!$I$11="Fixed",1,IF(Nonlabor!$I$11="Seats",ROUNDUP('Monthly Growth'!I26,0),IF(Nonlabor!$I$11="Customers",'Monthly Growth'!D26,IF(Nonlabor!$I$11="NewCustomers",'Monthly Growth'!C26,IF(Nonlabor!$I$11="StorageGB",'Monthly Growth'!G26,IF(Nonlabor!$I$11="LogGB",'Monthly Growth'!H26,IF(Nonlabor!$I$11="RequestsM",'Monthly Growth'!F26,IF(Nonlabor!$I$11="InputM",'Monthly Growth'!D26*Assumptions!$E$22/1000000,IF(Nonlabor!$I$11="OutputM",'Monthly Growth'!D26*Assumptions!$E$23/1000000,0))))))))),0)</f>
        <v>38.2471699964782</v>
      </c>
      <c r="F2966" s="10" t="n">
        <f aca="false">Nonlabor!$J$11*(1+Assumptions!$E$9)^INT((C2966-1)/12)</f>
        <v>5.2</v>
      </c>
      <c r="G2966" s="10" t="n">
        <f aca="false">E2966*F2966</f>
        <v>198.885283981687</v>
      </c>
      <c r="H2966" s="10" t="n">
        <f aca="false">IF(OR(Nonlabor!$L$11="Quote required",Nonlabor!$L$11="Unverified"),G2966,0)</f>
        <v>0</v>
      </c>
      <c r="I2966" s="10" t="n">
        <f aca="false">IF(Nonlabor!$E$11="Core",0,G2966)</f>
        <v>0</v>
      </c>
      <c r="J2966" s="23" t="str">
        <f aca="false">Nonlabor!$B$11</f>
        <v>INFRA</v>
      </c>
    </row>
    <row r="2967" customFormat="false" ht="15" hidden="false" customHeight="false" outlineLevel="0" collapsed="false">
      <c r="A2967" s="6" t="s">
        <v>73</v>
      </c>
      <c r="B2967" s="6" t="s">
        <v>387</v>
      </c>
      <c r="C2967" s="6" t="n">
        <v>22</v>
      </c>
      <c r="D2967" s="25" t="n">
        <f aca="false">EDATE('Start Here'!$B$6,C2967-1)</f>
        <v>46966</v>
      </c>
      <c r="E2967" s="11" t="n">
        <f aca="false">IF(AND(OR(Nonlabor!$D$11="Both",Nonlabor!$D$11='Start Here'!$B$9),IF(Nonlabor!$E$11="Core",1,IF(Nonlabor!$E$11="AI",'Start Here'!$B$7,'Start Here'!$B$8))=1,C2967&gt;=IF(Nonlabor!$E$11="Core",Nonlabor!$F$11,MAX(Nonlabor!$F$11,IF(Nonlabor!$E$11="AI",Assumptions!$E$24,Assumptions!$E$25))),C2967&lt;=Nonlabor!$G$11,OR(Nonlabor!$H$11="Monthly",AND(Nonlabor!$H$11="Once",C2967=IF(Nonlabor!$E$11="Core",Nonlabor!$F$11,MAX(Nonlabor!$F$11,IF(Nonlabor!$E$11="AI",Assumptions!$E$24,Assumptions!$E$25)))),AND(Nonlabor!$H$11="Annual",MOD(C2967-IF(Nonlabor!$E$11="Core",Nonlabor!$F$11,MAX(Nonlabor!$F$11,IF(Nonlabor!$E$11="AI",Assumptions!$E$24,Assumptions!$E$25))),12)=0))),IF(Nonlabor!$I$11="Fixed",1,IF(Nonlabor!$I$11="Seats",ROUNDUP('Monthly Growth'!I27,0),IF(Nonlabor!$I$11="Customers",'Monthly Growth'!D27,IF(Nonlabor!$I$11="NewCustomers",'Monthly Growth'!C27,IF(Nonlabor!$I$11="StorageGB",'Monthly Growth'!G27,IF(Nonlabor!$I$11="LogGB",'Monthly Growth'!H27,IF(Nonlabor!$I$11="RequestsM",'Monthly Growth'!F27,IF(Nonlabor!$I$11="InputM",'Monthly Growth'!D27*Assumptions!$E$22/1000000,IF(Nonlabor!$I$11="OutputM",'Monthly Growth'!D27*Assumptions!$E$23/1000000,0))))))))),0)</f>
        <v>41.8646982965134</v>
      </c>
      <c r="F2967" s="10" t="n">
        <f aca="false">Nonlabor!$J$11*(1+Assumptions!$E$9)^INT((C2967-1)/12)</f>
        <v>5.2</v>
      </c>
      <c r="G2967" s="10" t="n">
        <f aca="false">E2967*F2967</f>
        <v>217.69643114187</v>
      </c>
      <c r="H2967" s="10" t="n">
        <f aca="false">IF(OR(Nonlabor!$L$11="Quote required",Nonlabor!$L$11="Unverified"),G2967,0)</f>
        <v>0</v>
      </c>
      <c r="I2967" s="10" t="n">
        <f aca="false">IF(Nonlabor!$E$11="Core",0,G2967)</f>
        <v>0</v>
      </c>
      <c r="J2967" s="23" t="str">
        <f aca="false">Nonlabor!$B$11</f>
        <v>INFRA</v>
      </c>
    </row>
    <row r="2968" customFormat="false" ht="15" hidden="false" customHeight="false" outlineLevel="0" collapsed="false">
      <c r="A2968" s="6" t="s">
        <v>73</v>
      </c>
      <c r="B2968" s="6" t="s">
        <v>387</v>
      </c>
      <c r="C2968" s="6" t="n">
        <v>23</v>
      </c>
      <c r="D2968" s="25" t="n">
        <f aca="false">EDATE('Start Here'!$B$6,C2968-1)</f>
        <v>46997</v>
      </c>
      <c r="E2968" s="11" t="n">
        <f aca="false">IF(AND(OR(Nonlabor!$D$11="Both",Nonlabor!$D$11='Start Here'!$B$9),IF(Nonlabor!$E$11="Core",1,IF(Nonlabor!$E$11="AI",'Start Here'!$B$7,'Start Here'!$B$8))=1,C2968&gt;=IF(Nonlabor!$E$11="Core",Nonlabor!$F$11,MAX(Nonlabor!$F$11,IF(Nonlabor!$E$11="AI",Assumptions!$E$24,Assumptions!$E$25))),C2968&lt;=Nonlabor!$G$11,OR(Nonlabor!$H$11="Monthly",AND(Nonlabor!$H$11="Once",C2968=IF(Nonlabor!$E$11="Core",Nonlabor!$F$11,MAX(Nonlabor!$F$11,IF(Nonlabor!$E$11="AI",Assumptions!$E$24,Assumptions!$E$25)))),AND(Nonlabor!$H$11="Annual",MOD(C2968-IF(Nonlabor!$E$11="Core",Nonlabor!$F$11,MAX(Nonlabor!$F$11,IF(Nonlabor!$E$11="AI",Assumptions!$E$24,Assumptions!$E$25))),12)=0))),IF(Nonlabor!$I$11="Fixed",1,IF(Nonlabor!$I$11="Seats",ROUNDUP('Monthly Growth'!I28,0),IF(Nonlabor!$I$11="Customers",'Monthly Growth'!D28,IF(Nonlabor!$I$11="NewCustomers",'Monthly Growth'!C28,IF(Nonlabor!$I$11="StorageGB",'Monthly Growth'!G28,IF(Nonlabor!$I$11="LogGB",'Monthly Growth'!H28,IF(Nonlabor!$I$11="RequestsM",'Monthly Growth'!F28,IF(Nonlabor!$I$11="InputM",'Monthly Growth'!D28*Assumptions!$E$22/1000000,IF(Nonlabor!$I$11="OutputM",'Monthly Growth'!D28*Assumptions!$E$23/1000000,0))))))))),0)</f>
        <v>45.4460513135483</v>
      </c>
      <c r="F2968" s="10" t="n">
        <f aca="false">Nonlabor!$J$11*(1+Assumptions!$E$9)^INT((C2968-1)/12)</f>
        <v>5.2</v>
      </c>
      <c r="G2968" s="10" t="n">
        <f aca="false">E2968*F2968</f>
        <v>236.319466830451</v>
      </c>
      <c r="H2968" s="10" t="n">
        <f aca="false">IF(OR(Nonlabor!$L$11="Quote required",Nonlabor!$L$11="Unverified"),G2968,0)</f>
        <v>0</v>
      </c>
      <c r="I2968" s="10" t="n">
        <f aca="false">IF(Nonlabor!$E$11="Core",0,G2968)</f>
        <v>0</v>
      </c>
      <c r="J2968" s="23" t="str">
        <f aca="false">Nonlabor!$B$11</f>
        <v>INFRA</v>
      </c>
    </row>
    <row r="2969" customFormat="false" ht="15" hidden="false" customHeight="false" outlineLevel="0" collapsed="false">
      <c r="A2969" s="6" t="s">
        <v>73</v>
      </c>
      <c r="B2969" s="6" t="s">
        <v>387</v>
      </c>
      <c r="C2969" s="6" t="n">
        <v>24</v>
      </c>
      <c r="D2969" s="25" t="n">
        <f aca="false">EDATE('Start Here'!$B$6,C2969-1)</f>
        <v>47027</v>
      </c>
      <c r="E2969" s="11" t="n">
        <f aca="false">IF(AND(OR(Nonlabor!$D$11="Both",Nonlabor!$D$11='Start Here'!$B$9),IF(Nonlabor!$E$11="Core",1,IF(Nonlabor!$E$11="AI",'Start Here'!$B$7,'Start Here'!$B$8))=1,C2969&gt;=IF(Nonlabor!$E$11="Core",Nonlabor!$F$11,MAX(Nonlabor!$F$11,IF(Nonlabor!$E$11="AI",Assumptions!$E$24,Assumptions!$E$25))),C2969&lt;=Nonlabor!$G$11,OR(Nonlabor!$H$11="Monthly",AND(Nonlabor!$H$11="Once",C2969=IF(Nonlabor!$E$11="Core",Nonlabor!$F$11,MAX(Nonlabor!$F$11,IF(Nonlabor!$E$11="AI",Assumptions!$E$24,Assumptions!$E$25)))),AND(Nonlabor!$H$11="Annual",MOD(C2969-IF(Nonlabor!$E$11="Core",Nonlabor!$F$11,MAX(Nonlabor!$F$11,IF(Nonlabor!$E$11="AI",Assumptions!$E$24,Assumptions!$E$25))),12)=0))),IF(Nonlabor!$I$11="Fixed",1,IF(Nonlabor!$I$11="Seats",ROUNDUP('Monthly Growth'!I29,0),IF(Nonlabor!$I$11="Customers",'Monthly Growth'!D29,IF(Nonlabor!$I$11="NewCustomers",'Monthly Growth'!C29,IF(Nonlabor!$I$11="StorageGB",'Monthly Growth'!G29,IF(Nonlabor!$I$11="LogGB",'Monthly Growth'!H29,IF(Nonlabor!$I$11="RequestsM",'Monthly Growth'!F29,IF(Nonlabor!$I$11="InputM",'Monthly Growth'!D29*Assumptions!$E$22/1000000,IF(Nonlabor!$I$11="OutputM",'Monthly Growth'!D29*Assumptions!$E$23/1000000,0))))))))),0)</f>
        <v>51.7915908004128</v>
      </c>
      <c r="F2969" s="10" t="n">
        <f aca="false">Nonlabor!$J$11*(1+Assumptions!$E$9)^INT((C2969-1)/12)</f>
        <v>5.2</v>
      </c>
      <c r="G2969" s="10" t="n">
        <f aca="false">E2969*F2969</f>
        <v>269.316272162147</v>
      </c>
      <c r="H2969" s="10" t="n">
        <f aca="false">IF(OR(Nonlabor!$L$11="Quote required",Nonlabor!$L$11="Unverified"),G2969,0)</f>
        <v>0</v>
      </c>
      <c r="I2969" s="10" t="n">
        <f aca="false">IF(Nonlabor!$E$11="Core",0,G2969)</f>
        <v>0</v>
      </c>
      <c r="J2969" s="23" t="str">
        <f aca="false">Nonlabor!$B$11</f>
        <v>INFRA</v>
      </c>
    </row>
    <row r="2970" customFormat="false" ht="15" hidden="false" customHeight="false" outlineLevel="0" collapsed="false">
      <c r="A2970" s="6" t="s">
        <v>73</v>
      </c>
      <c r="B2970" s="6" t="s">
        <v>387</v>
      </c>
      <c r="C2970" s="6" t="n">
        <v>25</v>
      </c>
      <c r="D2970" s="25" t="n">
        <f aca="false">EDATE('Start Here'!$B$6,C2970-1)</f>
        <v>47058</v>
      </c>
      <c r="E2970" s="11" t="n">
        <f aca="false">IF(AND(OR(Nonlabor!$D$11="Both",Nonlabor!$D$11='Start Here'!$B$9),IF(Nonlabor!$E$11="Core",1,IF(Nonlabor!$E$11="AI",'Start Here'!$B$7,'Start Here'!$B$8))=1,C2970&gt;=IF(Nonlabor!$E$11="Core",Nonlabor!$F$11,MAX(Nonlabor!$F$11,IF(Nonlabor!$E$11="AI",Assumptions!$E$24,Assumptions!$E$25))),C2970&lt;=Nonlabor!$G$11,OR(Nonlabor!$H$11="Monthly",AND(Nonlabor!$H$11="Once",C2970=IF(Nonlabor!$E$11="Core",Nonlabor!$F$11,MAX(Nonlabor!$F$11,IF(Nonlabor!$E$11="AI",Assumptions!$E$24,Assumptions!$E$25)))),AND(Nonlabor!$H$11="Annual",MOD(C2970-IF(Nonlabor!$E$11="Core",Nonlabor!$F$11,MAX(Nonlabor!$F$11,IF(Nonlabor!$E$11="AI",Assumptions!$E$24,Assumptions!$E$25))),12)=0))),IF(Nonlabor!$I$11="Fixed",1,IF(Nonlabor!$I$11="Seats",ROUNDUP('Monthly Growth'!I30,0),IF(Nonlabor!$I$11="Customers",'Monthly Growth'!D30,IF(Nonlabor!$I$11="NewCustomers",'Monthly Growth'!C30,IF(Nonlabor!$I$11="StorageGB",'Monthly Growth'!G30,IF(Nonlabor!$I$11="LogGB",'Monthly Growth'!H30,IF(Nonlabor!$I$11="RequestsM",'Monthly Growth'!F30,IF(Nonlabor!$I$11="InputM",'Monthly Growth'!D30*Assumptions!$E$22/1000000,IF(Nonlabor!$I$11="OutputM",'Monthly Growth'!D30*Assumptions!$E$23/1000000,0))))))))),0)</f>
        <v>58.0736748924087</v>
      </c>
      <c r="F2970" s="10" t="n">
        <f aca="false">Nonlabor!$J$11*(1+Assumptions!$E$9)^INT((C2970-1)/12)</f>
        <v>5.408</v>
      </c>
      <c r="G2970" s="10" t="n">
        <f aca="false">E2970*F2970</f>
        <v>314.062433818146</v>
      </c>
      <c r="H2970" s="10" t="n">
        <f aca="false">IF(OR(Nonlabor!$L$11="Quote required",Nonlabor!$L$11="Unverified"),G2970,0)</f>
        <v>0</v>
      </c>
      <c r="I2970" s="10" t="n">
        <f aca="false">IF(Nonlabor!$E$11="Core",0,G2970)</f>
        <v>0</v>
      </c>
      <c r="J2970" s="23" t="str">
        <f aca="false">Nonlabor!$B$11</f>
        <v>INFRA</v>
      </c>
    </row>
    <row r="2971" customFormat="false" ht="15" hidden="false" customHeight="false" outlineLevel="0" collapsed="false">
      <c r="A2971" s="6" t="s">
        <v>73</v>
      </c>
      <c r="B2971" s="6" t="s">
        <v>387</v>
      </c>
      <c r="C2971" s="6" t="n">
        <v>26</v>
      </c>
      <c r="D2971" s="25" t="n">
        <f aca="false">EDATE('Start Here'!$B$6,C2971-1)</f>
        <v>47088</v>
      </c>
      <c r="E2971" s="11" t="n">
        <f aca="false">IF(AND(OR(Nonlabor!$D$11="Both",Nonlabor!$D$11='Start Here'!$B$9),IF(Nonlabor!$E$11="Core",1,IF(Nonlabor!$E$11="AI",'Start Here'!$B$7,'Start Here'!$B$8))=1,C2971&gt;=IF(Nonlabor!$E$11="Core",Nonlabor!$F$11,MAX(Nonlabor!$F$11,IF(Nonlabor!$E$11="AI",Assumptions!$E$24,Assumptions!$E$25))),C2971&lt;=Nonlabor!$G$11,OR(Nonlabor!$H$11="Monthly",AND(Nonlabor!$H$11="Once",C2971=IF(Nonlabor!$E$11="Core",Nonlabor!$F$11,MAX(Nonlabor!$F$11,IF(Nonlabor!$E$11="AI",Assumptions!$E$24,Assumptions!$E$25)))),AND(Nonlabor!$H$11="Annual",MOD(C2971-IF(Nonlabor!$E$11="Core",Nonlabor!$F$11,MAX(Nonlabor!$F$11,IF(Nonlabor!$E$11="AI",Assumptions!$E$24,Assumptions!$E$25))),12)=0))),IF(Nonlabor!$I$11="Fixed",1,IF(Nonlabor!$I$11="Seats",ROUNDUP('Monthly Growth'!I31,0),IF(Nonlabor!$I$11="Customers",'Monthly Growth'!D31,IF(Nonlabor!$I$11="NewCustomers",'Monthly Growth'!C31,IF(Nonlabor!$I$11="StorageGB",'Monthly Growth'!G31,IF(Nonlabor!$I$11="LogGB",'Monthly Growth'!H31,IF(Nonlabor!$I$11="RequestsM",'Monthly Growth'!F31,IF(Nonlabor!$I$11="InputM",'Monthly Growth'!D31*Assumptions!$E$22/1000000,IF(Nonlabor!$I$11="OutputM",'Monthly Growth'!D31*Assumptions!$E$23/1000000,0))))))))),0)</f>
        <v>64.2929381434846</v>
      </c>
      <c r="F2971" s="10" t="n">
        <f aca="false">Nonlabor!$J$11*(1+Assumptions!$E$9)^INT((C2971-1)/12)</f>
        <v>5.408</v>
      </c>
      <c r="G2971" s="10" t="n">
        <f aca="false">E2971*F2971</f>
        <v>347.696209479965</v>
      </c>
      <c r="H2971" s="10" t="n">
        <f aca="false">IF(OR(Nonlabor!$L$11="Quote required",Nonlabor!$L$11="Unverified"),G2971,0)</f>
        <v>0</v>
      </c>
      <c r="I2971" s="10" t="n">
        <f aca="false">IF(Nonlabor!$E$11="Core",0,G2971)</f>
        <v>0</v>
      </c>
      <c r="J2971" s="23" t="str">
        <f aca="false">Nonlabor!$B$11</f>
        <v>INFRA</v>
      </c>
    </row>
    <row r="2972" customFormat="false" ht="15" hidden="false" customHeight="false" outlineLevel="0" collapsed="false">
      <c r="A2972" s="6" t="s">
        <v>73</v>
      </c>
      <c r="B2972" s="6" t="s">
        <v>387</v>
      </c>
      <c r="C2972" s="6" t="n">
        <v>27</v>
      </c>
      <c r="D2972" s="25" t="n">
        <f aca="false">EDATE('Start Here'!$B$6,C2972-1)</f>
        <v>47119</v>
      </c>
      <c r="E2972" s="11" t="n">
        <f aca="false">IF(AND(OR(Nonlabor!$D$11="Both",Nonlabor!$D$11='Start Here'!$B$9),IF(Nonlabor!$E$11="Core",1,IF(Nonlabor!$E$11="AI",'Start Here'!$B$7,'Start Here'!$B$8))=1,C2972&gt;=IF(Nonlabor!$E$11="Core",Nonlabor!$F$11,MAX(Nonlabor!$F$11,IF(Nonlabor!$E$11="AI",Assumptions!$E$24,Assumptions!$E$25))),C2972&lt;=Nonlabor!$G$11,OR(Nonlabor!$H$11="Monthly",AND(Nonlabor!$H$11="Once",C2972=IF(Nonlabor!$E$11="Core",Nonlabor!$F$11,MAX(Nonlabor!$F$11,IF(Nonlabor!$E$11="AI",Assumptions!$E$24,Assumptions!$E$25)))),AND(Nonlabor!$H$11="Annual",MOD(C2972-IF(Nonlabor!$E$11="Core",Nonlabor!$F$11,MAX(Nonlabor!$F$11,IF(Nonlabor!$E$11="AI",Assumptions!$E$24,Assumptions!$E$25))),12)=0))),IF(Nonlabor!$I$11="Fixed",1,IF(Nonlabor!$I$11="Seats",ROUNDUP('Monthly Growth'!I32,0),IF(Nonlabor!$I$11="Customers",'Monthly Growth'!D32,IF(Nonlabor!$I$11="NewCustomers",'Monthly Growth'!C32,IF(Nonlabor!$I$11="StorageGB",'Monthly Growth'!G32,IF(Nonlabor!$I$11="LogGB",'Monthly Growth'!H32,IF(Nonlabor!$I$11="RequestsM",'Monthly Growth'!F32,IF(Nonlabor!$I$11="InputM",'Monthly Growth'!D32*Assumptions!$E$22/1000000,IF(Nonlabor!$I$11="OutputM",'Monthly Growth'!D32*Assumptions!$E$23/1000000,0))))))))),0)</f>
        <v>70.4500087620498</v>
      </c>
      <c r="F2972" s="10" t="n">
        <f aca="false">Nonlabor!$J$11*(1+Assumptions!$E$9)^INT((C2972-1)/12)</f>
        <v>5.408</v>
      </c>
      <c r="G2972" s="10" t="n">
        <f aca="false">E2972*F2972</f>
        <v>380.993647385165</v>
      </c>
      <c r="H2972" s="10" t="n">
        <f aca="false">IF(OR(Nonlabor!$L$11="Quote required",Nonlabor!$L$11="Unverified"),G2972,0)</f>
        <v>0</v>
      </c>
      <c r="I2972" s="10" t="n">
        <f aca="false">IF(Nonlabor!$E$11="Core",0,G2972)</f>
        <v>0</v>
      </c>
      <c r="J2972" s="23" t="str">
        <f aca="false">Nonlabor!$B$11</f>
        <v>INFRA</v>
      </c>
    </row>
    <row r="2973" customFormat="false" ht="15" hidden="false" customHeight="false" outlineLevel="0" collapsed="false">
      <c r="A2973" s="6" t="s">
        <v>73</v>
      </c>
      <c r="B2973" s="6" t="s">
        <v>387</v>
      </c>
      <c r="C2973" s="6" t="n">
        <v>28</v>
      </c>
      <c r="D2973" s="25" t="n">
        <f aca="false">EDATE('Start Here'!$B$6,C2973-1)</f>
        <v>47150</v>
      </c>
      <c r="E2973" s="11" t="n">
        <f aca="false">IF(AND(OR(Nonlabor!$D$11="Both",Nonlabor!$D$11='Start Here'!$B$9),IF(Nonlabor!$E$11="Core",1,IF(Nonlabor!$E$11="AI",'Start Here'!$B$7,'Start Here'!$B$8))=1,C2973&gt;=IF(Nonlabor!$E$11="Core",Nonlabor!$F$11,MAX(Nonlabor!$F$11,IF(Nonlabor!$E$11="AI",Assumptions!$E$24,Assumptions!$E$25))),C2973&lt;=Nonlabor!$G$11,OR(Nonlabor!$H$11="Monthly",AND(Nonlabor!$H$11="Once",C2973=IF(Nonlabor!$E$11="Core",Nonlabor!$F$11,MAX(Nonlabor!$F$11,IF(Nonlabor!$E$11="AI",Assumptions!$E$24,Assumptions!$E$25)))),AND(Nonlabor!$H$11="Annual",MOD(C2973-IF(Nonlabor!$E$11="Core",Nonlabor!$F$11,MAX(Nonlabor!$F$11,IF(Nonlabor!$E$11="AI",Assumptions!$E$24,Assumptions!$E$25))),12)=0))),IF(Nonlabor!$I$11="Fixed",1,IF(Nonlabor!$I$11="Seats",ROUNDUP('Monthly Growth'!I33,0),IF(Nonlabor!$I$11="Customers",'Monthly Growth'!D33,IF(Nonlabor!$I$11="NewCustomers",'Monthly Growth'!C33,IF(Nonlabor!$I$11="StorageGB",'Monthly Growth'!G33,IF(Nonlabor!$I$11="LogGB",'Monthly Growth'!H33,IF(Nonlabor!$I$11="RequestsM",'Monthly Growth'!F33,IF(Nonlabor!$I$11="InputM",'Monthly Growth'!D33*Assumptions!$E$22/1000000,IF(Nonlabor!$I$11="OutputM",'Monthly Growth'!D33*Assumptions!$E$23/1000000,0))))))))),0)</f>
        <v>76.5455086744292</v>
      </c>
      <c r="F2973" s="10" t="n">
        <f aca="false">Nonlabor!$J$11*(1+Assumptions!$E$9)^INT((C2973-1)/12)</f>
        <v>5.408</v>
      </c>
      <c r="G2973" s="10" t="n">
        <f aca="false">E2973*F2973</f>
        <v>413.958110911313</v>
      </c>
      <c r="H2973" s="10" t="n">
        <f aca="false">IF(OR(Nonlabor!$L$11="Quote required",Nonlabor!$L$11="Unverified"),G2973,0)</f>
        <v>0</v>
      </c>
      <c r="I2973" s="10" t="n">
        <f aca="false">IF(Nonlabor!$E$11="Core",0,G2973)</f>
        <v>0</v>
      </c>
      <c r="J2973" s="23" t="str">
        <f aca="false">Nonlabor!$B$11</f>
        <v>INFRA</v>
      </c>
    </row>
    <row r="2974" customFormat="false" ht="15" hidden="false" customHeight="false" outlineLevel="0" collapsed="false">
      <c r="A2974" s="6" t="s">
        <v>73</v>
      </c>
      <c r="B2974" s="6" t="s">
        <v>387</v>
      </c>
      <c r="C2974" s="6" t="n">
        <v>29</v>
      </c>
      <c r="D2974" s="25" t="n">
        <f aca="false">EDATE('Start Here'!$B$6,C2974-1)</f>
        <v>47178</v>
      </c>
      <c r="E2974" s="11" t="n">
        <f aca="false">IF(AND(OR(Nonlabor!$D$11="Both",Nonlabor!$D$11='Start Here'!$B$9),IF(Nonlabor!$E$11="Core",1,IF(Nonlabor!$E$11="AI",'Start Here'!$B$7,'Start Here'!$B$8))=1,C2974&gt;=IF(Nonlabor!$E$11="Core",Nonlabor!$F$11,MAX(Nonlabor!$F$11,IF(Nonlabor!$E$11="AI",Assumptions!$E$24,Assumptions!$E$25))),C2974&lt;=Nonlabor!$G$11,OR(Nonlabor!$H$11="Monthly",AND(Nonlabor!$H$11="Once",C2974=IF(Nonlabor!$E$11="Core",Nonlabor!$F$11,MAX(Nonlabor!$F$11,IF(Nonlabor!$E$11="AI",Assumptions!$E$24,Assumptions!$E$25)))),AND(Nonlabor!$H$11="Annual",MOD(C2974-IF(Nonlabor!$E$11="Core",Nonlabor!$F$11,MAX(Nonlabor!$F$11,IF(Nonlabor!$E$11="AI",Assumptions!$E$24,Assumptions!$E$25))),12)=0))),IF(Nonlabor!$I$11="Fixed",1,IF(Nonlabor!$I$11="Seats",ROUNDUP('Monthly Growth'!I34,0),IF(Nonlabor!$I$11="Customers",'Monthly Growth'!D34,IF(Nonlabor!$I$11="NewCustomers",'Monthly Growth'!C34,IF(Nonlabor!$I$11="StorageGB",'Monthly Growth'!G34,IF(Nonlabor!$I$11="LogGB",'Monthly Growth'!H34,IF(Nonlabor!$I$11="RequestsM",'Monthly Growth'!F34,IF(Nonlabor!$I$11="InputM",'Monthly Growth'!D34*Assumptions!$E$22/1000000,IF(Nonlabor!$I$11="OutputM",'Monthly Growth'!D34*Assumptions!$E$23/1000000,0))))))))),0)</f>
        <v>82.5800535876849</v>
      </c>
      <c r="F2974" s="10" t="n">
        <f aca="false">Nonlabor!$J$11*(1+Assumptions!$E$9)^INT((C2974-1)/12)</f>
        <v>5.408</v>
      </c>
      <c r="G2974" s="10" t="n">
        <f aca="false">E2974*F2974</f>
        <v>446.5929298022</v>
      </c>
      <c r="H2974" s="10" t="n">
        <f aca="false">IF(OR(Nonlabor!$L$11="Quote required",Nonlabor!$L$11="Unverified"),G2974,0)</f>
        <v>0</v>
      </c>
      <c r="I2974" s="10" t="n">
        <f aca="false">IF(Nonlabor!$E$11="Core",0,G2974)</f>
        <v>0</v>
      </c>
      <c r="J2974" s="23" t="str">
        <f aca="false">Nonlabor!$B$11</f>
        <v>INFRA</v>
      </c>
    </row>
    <row r="2975" customFormat="false" ht="15" hidden="false" customHeight="false" outlineLevel="0" collapsed="false">
      <c r="A2975" s="6" t="s">
        <v>73</v>
      </c>
      <c r="B2975" s="6" t="s">
        <v>387</v>
      </c>
      <c r="C2975" s="6" t="n">
        <v>30</v>
      </c>
      <c r="D2975" s="25" t="n">
        <f aca="false">EDATE('Start Here'!$B$6,C2975-1)</f>
        <v>47209</v>
      </c>
      <c r="E2975" s="11" t="n">
        <f aca="false">IF(AND(OR(Nonlabor!$D$11="Both",Nonlabor!$D$11='Start Here'!$B$9),IF(Nonlabor!$E$11="Core",1,IF(Nonlabor!$E$11="AI",'Start Here'!$B$7,'Start Here'!$B$8))=1,C2975&gt;=IF(Nonlabor!$E$11="Core",Nonlabor!$F$11,MAX(Nonlabor!$F$11,IF(Nonlabor!$E$11="AI",Assumptions!$E$24,Assumptions!$E$25))),C2975&lt;=Nonlabor!$G$11,OR(Nonlabor!$H$11="Monthly",AND(Nonlabor!$H$11="Once",C2975=IF(Nonlabor!$E$11="Core",Nonlabor!$F$11,MAX(Nonlabor!$F$11,IF(Nonlabor!$E$11="AI",Assumptions!$E$24,Assumptions!$E$25)))),AND(Nonlabor!$H$11="Annual",MOD(C2975-IF(Nonlabor!$E$11="Core",Nonlabor!$F$11,MAX(Nonlabor!$F$11,IF(Nonlabor!$E$11="AI",Assumptions!$E$24,Assumptions!$E$25))),12)=0))),IF(Nonlabor!$I$11="Fixed",1,IF(Nonlabor!$I$11="Seats",ROUNDUP('Monthly Growth'!I35,0),IF(Nonlabor!$I$11="Customers",'Monthly Growth'!D35,IF(Nonlabor!$I$11="NewCustomers",'Monthly Growth'!C35,IF(Nonlabor!$I$11="StorageGB",'Monthly Growth'!G35,IF(Nonlabor!$I$11="LogGB",'Monthly Growth'!H35,IF(Nonlabor!$I$11="RequestsM",'Monthly Growth'!F35,IF(Nonlabor!$I$11="InputM",'Monthly Growth'!D35*Assumptions!$E$22/1000000,IF(Nonlabor!$I$11="OutputM",'Monthly Growth'!D35*Assumptions!$E$23/1000000,0))))))))),0)</f>
        <v>88.5542530518081</v>
      </c>
      <c r="F2975" s="10" t="n">
        <f aca="false">Nonlabor!$J$11*(1+Assumptions!$E$9)^INT((C2975-1)/12)</f>
        <v>5.408</v>
      </c>
      <c r="G2975" s="10" t="n">
        <f aca="false">E2975*F2975</f>
        <v>478.901400504178</v>
      </c>
      <c r="H2975" s="10" t="n">
        <f aca="false">IF(OR(Nonlabor!$L$11="Quote required",Nonlabor!$L$11="Unverified"),G2975,0)</f>
        <v>0</v>
      </c>
      <c r="I2975" s="10" t="n">
        <f aca="false">IF(Nonlabor!$E$11="Core",0,G2975)</f>
        <v>0</v>
      </c>
      <c r="J2975" s="23" t="str">
        <f aca="false">Nonlabor!$B$11</f>
        <v>INFRA</v>
      </c>
    </row>
    <row r="2976" customFormat="false" ht="15" hidden="false" customHeight="false" outlineLevel="0" collapsed="false">
      <c r="A2976" s="6" t="s">
        <v>73</v>
      </c>
      <c r="B2976" s="6" t="s">
        <v>387</v>
      </c>
      <c r="C2976" s="6" t="n">
        <v>31</v>
      </c>
      <c r="D2976" s="25" t="n">
        <f aca="false">EDATE('Start Here'!$B$6,C2976-1)</f>
        <v>47239</v>
      </c>
      <c r="E2976" s="11" t="n">
        <f aca="false">IF(AND(OR(Nonlabor!$D$11="Both",Nonlabor!$D$11='Start Here'!$B$9),IF(Nonlabor!$E$11="Core",1,IF(Nonlabor!$E$11="AI",'Start Here'!$B$7,'Start Here'!$B$8))=1,C2976&gt;=IF(Nonlabor!$E$11="Core",Nonlabor!$F$11,MAX(Nonlabor!$F$11,IF(Nonlabor!$E$11="AI",Assumptions!$E$24,Assumptions!$E$25))),C2976&lt;=Nonlabor!$G$11,OR(Nonlabor!$H$11="Monthly",AND(Nonlabor!$H$11="Once",C2976=IF(Nonlabor!$E$11="Core",Nonlabor!$F$11,MAX(Nonlabor!$F$11,IF(Nonlabor!$E$11="AI",Assumptions!$E$24,Assumptions!$E$25)))),AND(Nonlabor!$H$11="Annual",MOD(C2976-IF(Nonlabor!$E$11="Core",Nonlabor!$F$11,MAX(Nonlabor!$F$11,IF(Nonlabor!$E$11="AI",Assumptions!$E$24,Assumptions!$E$25))),12)=0))),IF(Nonlabor!$I$11="Fixed",1,IF(Nonlabor!$I$11="Seats",ROUNDUP('Monthly Growth'!I36,0),IF(Nonlabor!$I$11="Customers",'Monthly Growth'!D36,IF(Nonlabor!$I$11="NewCustomers",'Monthly Growth'!C36,IF(Nonlabor!$I$11="StorageGB",'Monthly Growth'!G36,IF(Nonlabor!$I$11="LogGB",'Monthly Growth'!H36,IF(Nonlabor!$I$11="RequestsM",'Monthly Growth'!F36,IF(Nonlabor!$I$11="InputM",'Monthly Growth'!D36*Assumptions!$E$22/1000000,IF(Nonlabor!$I$11="OutputM",'Monthly Growth'!D36*Assumptions!$E$23/1000000,0))))))))),0)</f>
        <v>94.46871052129</v>
      </c>
      <c r="F2976" s="10" t="n">
        <f aca="false">Nonlabor!$J$11*(1+Assumptions!$E$9)^INT((C2976-1)/12)</f>
        <v>5.408</v>
      </c>
      <c r="G2976" s="10" t="n">
        <f aca="false">E2976*F2976</f>
        <v>510.886786499136</v>
      </c>
      <c r="H2976" s="10" t="n">
        <f aca="false">IF(OR(Nonlabor!$L$11="Quote required",Nonlabor!$L$11="Unverified"),G2976,0)</f>
        <v>0</v>
      </c>
      <c r="I2976" s="10" t="n">
        <f aca="false">IF(Nonlabor!$E$11="Core",0,G2976)</f>
        <v>0</v>
      </c>
      <c r="J2976" s="23" t="str">
        <f aca="false">Nonlabor!$B$11</f>
        <v>INFRA</v>
      </c>
    </row>
    <row r="2977" customFormat="false" ht="15" hidden="false" customHeight="false" outlineLevel="0" collapsed="false">
      <c r="A2977" s="6" t="s">
        <v>73</v>
      </c>
      <c r="B2977" s="6" t="s">
        <v>387</v>
      </c>
      <c r="C2977" s="6" t="n">
        <v>32</v>
      </c>
      <c r="D2977" s="25" t="n">
        <f aca="false">EDATE('Start Here'!$B$6,C2977-1)</f>
        <v>47270</v>
      </c>
      <c r="E2977" s="11" t="n">
        <f aca="false">IF(AND(OR(Nonlabor!$D$11="Both",Nonlabor!$D$11='Start Here'!$B$9),IF(Nonlabor!$E$11="Core",1,IF(Nonlabor!$E$11="AI",'Start Here'!$B$7,'Start Here'!$B$8))=1,C2977&gt;=IF(Nonlabor!$E$11="Core",Nonlabor!$F$11,MAX(Nonlabor!$F$11,IF(Nonlabor!$E$11="AI",Assumptions!$E$24,Assumptions!$E$25))),C2977&lt;=Nonlabor!$G$11,OR(Nonlabor!$H$11="Monthly",AND(Nonlabor!$H$11="Once",C2977=IF(Nonlabor!$E$11="Core",Nonlabor!$F$11,MAX(Nonlabor!$F$11,IF(Nonlabor!$E$11="AI",Assumptions!$E$24,Assumptions!$E$25)))),AND(Nonlabor!$H$11="Annual",MOD(C2977-IF(Nonlabor!$E$11="Core",Nonlabor!$F$11,MAX(Nonlabor!$F$11,IF(Nonlabor!$E$11="AI",Assumptions!$E$24,Assumptions!$E$25))),12)=0))),IF(Nonlabor!$I$11="Fixed",1,IF(Nonlabor!$I$11="Seats",ROUNDUP('Monthly Growth'!I37,0),IF(Nonlabor!$I$11="Customers",'Monthly Growth'!D37,IF(Nonlabor!$I$11="NewCustomers",'Monthly Growth'!C37,IF(Nonlabor!$I$11="StorageGB",'Monthly Growth'!G37,IF(Nonlabor!$I$11="LogGB",'Monthly Growth'!H37,IF(Nonlabor!$I$11="RequestsM",'Monthly Growth'!F37,IF(Nonlabor!$I$11="InputM",'Monthly Growth'!D37*Assumptions!$E$22/1000000,IF(Nonlabor!$I$11="OutputM",'Monthly Growth'!D37*Assumptions!$E$23/1000000,0))))))))),0)</f>
        <v>100.324023416077</v>
      </c>
      <c r="F2977" s="10" t="n">
        <f aca="false">Nonlabor!$J$11*(1+Assumptions!$E$9)^INT((C2977-1)/12)</f>
        <v>5.408</v>
      </c>
      <c r="G2977" s="10" t="n">
        <f aca="false">E2977*F2977</f>
        <v>542.552318634145</v>
      </c>
      <c r="H2977" s="10" t="n">
        <f aca="false">IF(OR(Nonlabor!$L$11="Quote required",Nonlabor!$L$11="Unverified"),G2977,0)</f>
        <v>0</v>
      </c>
      <c r="I2977" s="10" t="n">
        <f aca="false">IF(Nonlabor!$E$11="Core",0,G2977)</f>
        <v>0</v>
      </c>
      <c r="J2977" s="23" t="str">
        <f aca="false">Nonlabor!$B$11</f>
        <v>INFRA</v>
      </c>
    </row>
    <row r="2978" customFormat="false" ht="15" hidden="false" customHeight="false" outlineLevel="0" collapsed="false">
      <c r="A2978" s="6" t="s">
        <v>73</v>
      </c>
      <c r="B2978" s="6" t="s">
        <v>387</v>
      </c>
      <c r="C2978" s="6" t="n">
        <v>33</v>
      </c>
      <c r="D2978" s="25" t="n">
        <f aca="false">EDATE('Start Here'!$B$6,C2978-1)</f>
        <v>47300</v>
      </c>
      <c r="E2978" s="11" t="n">
        <f aca="false">IF(AND(OR(Nonlabor!$D$11="Both",Nonlabor!$D$11='Start Here'!$B$9),IF(Nonlabor!$E$11="Core",1,IF(Nonlabor!$E$11="AI",'Start Here'!$B$7,'Start Here'!$B$8))=1,C2978&gt;=IF(Nonlabor!$E$11="Core",Nonlabor!$F$11,MAX(Nonlabor!$F$11,IF(Nonlabor!$E$11="AI",Assumptions!$E$24,Assumptions!$E$25))),C2978&lt;=Nonlabor!$G$11,OR(Nonlabor!$H$11="Monthly",AND(Nonlabor!$H$11="Once",C2978=IF(Nonlabor!$E$11="Core",Nonlabor!$F$11,MAX(Nonlabor!$F$11,IF(Nonlabor!$E$11="AI",Assumptions!$E$24,Assumptions!$E$25)))),AND(Nonlabor!$H$11="Annual",MOD(C2978-IF(Nonlabor!$E$11="Core",Nonlabor!$F$11,MAX(Nonlabor!$F$11,IF(Nonlabor!$E$11="AI",Assumptions!$E$24,Assumptions!$E$25))),12)=0))),IF(Nonlabor!$I$11="Fixed",1,IF(Nonlabor!$I$11="Seats",ROUNDUP('Monthly Growth'!I38,0),IF(Nonlabor!$I$11="Customers",'Monthly Growth'!D38,IF(Nonlabor!$I$11="NewCustomers",'Monthly Growth'!C38,IF(Nonlabor!$I$11="StorageGB",'Monthly Growth'!G38,IF(Nonlabor!$I$11="LogGB",'Monthly Growth'!H38,IF(Nonlabor!$I$11="RequestsM",'Monthly Growth'!F38,IF(Nonlabor!$I$11="InputM",'Monthly Growth'!D38*Assumptions!$E$22/1000000,IF(Nonlabor!$I$11="OutputM",'Monthly Growth'!D38*Assumptions!$E$23/1000000,0))))))))),0)</f>
        <v>106.120783181916</v>
      </c>
      <c r="F2978" s="10" t="n">
        <f aca="false">Nonlabor!$J$11*(1+Assumptions!$E$9)^INT((C2978-1)/12)</f>
        <v>5.408</v>
      </c>
      <c r="G2978" s="10" t="n">
        <f aca="false">E2978*F2978</f>
        <v>573.901195447804</v>
      </c>
      <c r="H2978" s="10" t="n">
        <f aca="false">IF(OR(Nonlabor!$L$11="Quote required",Nonlabor!$L$11="Unverified"),G2978,0)</f>
        <v>0</v>
      </c>
      <c r="I2978" s="10" t="n">
        <f aca="false">IF(Nonlabor!$E$11="Core",0,G2978)</f>
        <v>0</v>
      </c>
      <c r="J2978" s="23" t="str">
        <f aca="false">Nonlabor!$B$11</f>
        <v>INFRA</v>
      </c>
    </row>
    <row r="2979" customFormat="false" ht="15" hidden="false" customHeight="false" outlineLevel="0" collapsed="false">
      <c r="A2979" s="6" t="s">
        <v>73</v>
      </c>
      <c r="B2979" s="6" t="s">
        <v>387</v>
      </c>
      <c r="C2979" s="6" t="n">
        <v>34</v>
      </c>
      <c r="D2979" s="25" t="n">
        <f aca="false">EDATE('Start Here'!$B$6,C2979-1)</f>
        <v>47331</v>
      </c>
      <c r="E2979" s="11" t="n">
        <f aca="false">IF(AND(OR(Nonlabor!$D$11="Both",Nonlabor!$D$11='Start Here'!$B$9),IF(Nonlabor!$E$11="Core",1,IF(Nonlabor!$E$11="AI",'Start Here'!$B$7,'Start Here'!$B$8))=1,C2979&gt;=IF(Nonlabor!$E$11="Core",Nonlabor!$F$11,MAX(Nonlabor!$F$11,IF(Nonlabor!$E$11="AI",Assumptions!$E$24,Assumptions!$E$25))),C2979&lt;=Nonlabor!$G$11,OR(Nonlabor!$H$11="Monthly",AND(Nonlabor!$H$11="Once",C2979=IF(Nonlabor!$E$11="Core",Nonlabor!$F$11,MAX(Nonlabor!$F$11,IF(Nonlabor!$E$11="AI",Assumptions!$E$24,Assumptions!$E$25)))),AND(Nonlabor!$H$11="Annual",MOD(C2979-IF(Nonlabor!$E$11="Core",Nonlabor!$F$11,MAX(Nonlabor!$F$11,IF(Nonlabor!$E$11="AI",Assumptions!$E$24,Assumptions!$E$25))),12)=0))),IF(Nonlabor!$I$11="Fixed",1,IF(Nonlabor!$I$11="Seats",ROUNDUP('Monthly Growth'!I39,0),IF(Nonlabor!$I$11="Customers",'Monthly Growth'!D39,IF(Nonlabor!$I$11="NewCustomers",'Monthly Growth'!C39,IF(Nonlabor!$I$11="StorageGB",'Monthly Growth'!G39,IF(Nonlabor!$I$11="LogGB",'Monthly Growth'!H39,IF(Nonlabor!$I$11="RequestsM",'Monthly Growth'!F39,IF(Nonlabor!$I$11="InputM",'Monthly Growth'!D39*Assumptions!$E$22/1000000,IF(Nonlabor!$I$11="OutputM",'Monthly Growth'!D39*Assumptions!$E$23/1000000,0))))))))),0)</f>
        <v>111.859575350097</v>
      </c>
      <c r="F2979" s="10" t="n">
        <f aca="false">Nonlabor!$J$11*(1+Assumptions!$E$9)^INT((C2979-1)/12)</f>
        <v>5.408</v>
      </c>
      <c r="G2979" s="10" t="n">
        <f aca="false">E2979*F2979</f>
        <v>604.936583493325</v>
      </c>
      <c r="H2979" s="10" t="n">
        <f aca="false">IF(OR(Nonlabor!$L$11="Quote required",Nonlabor!$L$11="Unverified"),G2979,0)</f>
        <v>0</v>
      </c>
      <c r="I2979" s="10" t="n">
        <f aca="false">IF(Nonlabor!$E$11="Core",0,G2979)</f>
        <v>0</v>
      </c>
      <c r="J2979" s="23" t="str">
        <f aca="false">Nonlabor!$B$11</f>
        <v>INFRA</v>
      </c>
    </row>
    <row r="2980" customFormat="false" ht="15" hidden="false" customHeight="false" outlineLevel="0" collapsed="false">
      <c r="A2980" s="6" t="s">
        <v>73</v>
      </c>
      <c r="B2980" s="6" t="s">
        <v>387</v>
      </c>
      <c r="C2980" s="6" t="n">
        <v>35</v>
      </c>
      <c r="D2980" s="25" t="n">
        <f aca="false">EDATE('Start Here'!$B$6,C2980-1)</f>
        <v>47362</v>
      </c>
      <c r="E2980" s="11" t="n">
        <f aca="false">IF(AND(OR(Nonlabor!$D$11="Both",Nonlabor!$D$11='Start Here'!$B$9),IF(Nonlabor!$E$11="Core",1,IF(Nonlabor!$E$11="AI",'Start Here'!$B$7,'Start Here'!$B$8))=1,C2980&gt;=IF(Nonlabor!$E$11="Core",Nonlabor!$F$11,MAX(Nonlabor!$F$11,IF(Nonlabor!$E$11="AI",Assumptions!$E$24,Assumptions!$E$25))),C2980&lt;=Nonlabor!$G$11,OR(Nonlabor!$H$11="Monthly",AND(Nonlabor!$H$11="Once",C2980=IF(Nonlabor!$E$11="Core",Nonlabor!$F$11,MAX(Nonlabor!$F$11,IF(Nonlabor!$E$11="AI",Assumptions!$E$24,Assumptions!$E$25)))),AND(Nonlabor!$H$11="Annual",MOD(C2980-IF(Nonlabor!$E$11="Core",Nonlabor!$F$11,MAX(Nonlabor!$F$11,IF(Nonlabor!$E$11="AI",Assumptions!$E$24,Assumptions!$E$25))),12)=0))),IF(Nonlabor!$I$11="Fixed",1,IF(Nonlabor!$I$11="Seats",ROUNDUP('Monthly Growth'!I40,0),IF(Nonlabor!$I$11="Customers",'Monthly Growth'!D40,IF(Nonlabor!$I$11="NewCustomers",'Monthly Growth'!C40,IF(Nonlabor!$I$11="StorageGB",'Monthly Growth'!G40,IF(Nonlabor!$I$11="LogGB",'Monthly Growth'!H40,IF(Nonlabor!$I$11="RequestsM",'Monthly Growth'!F40,IF(Nonlabor!$I$11="InputM",'Monthly Growth'!D40*Assumptions!$E$22/1000000,IF(Nonlabor!$I$11="OutputM",'Monthly Growth'!D40*Assumptions!$E$23/1000000,0))))))))),0)</f>
        <v>117.540979596596</v>
      </c>
      <c r="F2980" s="10" t="n">
        <f aca="false">Nonlabor!$J$11*(1+Assumptions!$E$9)^INT((C2980-1)/12)</f>
        <v>5.408</v>
      </c>
      <c r="G2980" s="10" t="n">
        <f aca="false">E2980*F2980</f>
        <v>635.661617658392</v>
      </c>
      <c r="H2980" s="10" t="n">
        <f aca="false">IF(OR(Nonlabor!$L$11="Quote required",Nonlabor!$L$11="Unverified"),G2980,0)</f>
        <v>0</v>
      </c>
      <c r="I2980" s="10" t="n">
        <f aca="false">IF(Nonlabor!$E$11="Core",0,G2980)</f>
        <v>0</v>
      </c>
      <c r="J2980" s="23" t="str">
        <f aca="false">Nonlabor!$B$11</f>
        <v>INFRA</v>
      </c>
    </row>
    <row r="2981" customFormat="false" ht="15" hidden="false" customHeight="false" outlineLevel="0" collapsed="false">
      <c r="A2981" s="6" t="s">
        <v>73</v>
      </c>
      <c r="B2981" s="6" t="s">
        <v>387</v>
      </c>
      <c r="C2981" s="6" t="n">
        <v>36</v>
      </c>
      <c r="D2981" s="25" t="n">
        <f aca="false">EDATE('Start Here'!$B$6,C2981-1)</f>
        <v>47392</v>
      </c>
      <c r="E2981" s="11" t="n">
        <f aca="false">IF(AND(OR(Nonlabor!$D$11="Both",Nonlabor!$D$11='Start Here'!$B$9),IF(Nonlabor!$E$11="Core",1,IF(Nonlabor!$E$11="AI",'Start Here'!$B$7,'Start Here'!$B$8))=1,C2981&gt;=IF(Nonlabor!$E$11="Core",Nonlabor!$F$11,MAX(Nonlabor!$F$11,IF(Nonlabor!$E$11="AI",Assumptions!$E$24,Assumptions!$E$25))),C2981&lt;=Nonlabor!$G$11,OR(Nonlabor!$H$11="Monthly",AND(Nonlabor!$H$11="Once",C2981=IF(Nonlabor!$E$11="Core",Nonlabor!$F$11,MAX(Nonlabor!$F$11,IF(Nonlabor!$E$11="AI",Assumptions!$E$24,Assumptions!$E$25)))),AND(Nonlabor!$H$11="Annual",MOD(C2981-IF(Nonlabor!$E$11="Core",Nonlabor!$F$11,MAX(Nonlabor!$F$11,IF(Nonlabor!$E$11="AI",Assumptions!$E$24,Assumptions!$E$25))),12)=0))),IF(Nonlabor!$I$11="Fixed",1,IF(Nonlabor!$I$11="Seats",ROUNDUP('Monthly Growth'!I41,0),IF(Nonlabor!$I$11="Customers",'Monthly Growth'!D41,IF(Nonlabor!$I$11="NewCustomers",'Monthly Growth'!C41,IF(Nonlabor!$I$11="StorageGB",'Monthly Growth'!G41,IF(Nonlabor!$I$11="LogGB",'Monthly Growth'!H41,IF(Nonlabor!$I$11="RequestsM",'Monthly Growth'!F41,IF(Nonlabor!$I$11="InputM",'Monthly Growth'!D41*Assumptions!$E$22/1000000,IF(Nonlabor!$I$11="OutputM",'Monthly Growth'!D41*Assumptions!$E$23/1000000,0))))))))),0)</f>
        <v>127.92556980063</v>
      </c>
      <c r="F2981" s="10" t="n">
        <f aca="false">Nonlabor!$J$11*(1+Assumptions!$E$9)^INT((C2981-1)/12)</f>
        <v>5.408</v>
      </c>
      <c r="G2981" s="10" t="n">
        <f aca="false">E2981*F2981</f>
        <v>691.821481481808</v>
      </c>
      <c r="H2981" s="10" t="n">
        <f aca="false">IF(OR(Nonlabor!$L$11="Quote required",Nonlabor!$L$11="Unverified"),G2981,0)</f>
        <v>0</v>
      </c>
      <c r="I2981" s="10" t="n">
        <f aca="false">IF(Nonlabor!$E$11="Core",0,G2981)</f>
        <v>0</v>
      </c>
      <c r="J2981" s="23" t="str">
        <f aca="false">Nonlabor!$B$11</f>
        <v>INFRA</v>
      </c>
    </row>
    <row r="2982" customFormat="false" ht="15" hidden="false" customHeight="false" outlineLevel="0" collapsed="false">
      <c r="A2982" s="6" t="s">
        <v>73</v>
      </c>
      <c r="B2982" s="6" t="s">
        <v>387</v>
      </c>
      <c r="C2982" s="6" t="n">
        <v>37</v>
      </c>
      <c r="D2982" s="25" t="n">
        <f aca="false">EDATE('Start Here'!$B$6,C2982-1)</f>
        <v>47423</v>
      </c>
      <c r="E2982" s="11" t="n">
        <f aca="false">IF(AND(OR(Nonlabor!$D$11="Both",Nonlabor!$D$11='Start Here'!$B$9),IF(Nonlabor!$E$11="Core",1,IF(Nonlabor!$E$11="AI",'Start Here'!$B$7,'Start Here'!$B$8))=1,C2982&gt;=IF(Nonlabor!$E$11="Core",Nonlabor!$F$11,MAX(Nonlabor!$F$11,IF(Nonlabor!$E$11="AI",Assumptions!$E$24,Assumptions!$E$25))),C2982&lt;=Nonlabor!$G$11,OR(Nonlabor!$H$11="Monthly",AND(Nonlabor!$H$11="Once",C2982=IF(Nonlabor!$E$11="Core",Nonlabor!$F$11,MAX(Nonlabor!$F$11,IF(Nonlabor!$E$11="AI",Assumptions!$E$24,Assumptions!$E$25)))),AND(Nonlabor!$H$11="Annual",MOD(C2982-IF(Nonlabor!$E$11="Core",Nonlabor!$F$11,MAX(Nonlabor!$F$11,IF(Nonlabor!$E$11="AI",Assumptions!$E$24,Assumptions!$E$25))),12)=0))),IF(Nonlabor!$I$11="Fixed",1,IF(Nonlabor!$I$11="Seats",ROUNDUP('Monthly Growth'!I42,0),IF(Nonlabor!$I$11="Customers",'Monthly Growth'!D42,IF(Nonlabor!$I$11="NewCustomers",'Monthly Growth'!C42,IF(Nonlabor!$I$11="StorageGB",'Monthly Growth'!G42,IF(Nonlabor!$I$11="LogGB",'Monthly Growth'!H42,IF(Nonlabor!$I$11="RequestsM",'Monthly Growth'!F42,IF(Nonlabor!$I$11="InputM",'Monthly Growth'!D42*Assumptions!$E$22/1000000,IF(Nonlabor!$I$11="OutputM",'Monthly Growth'!D42*Assumptions!$E$23/1000000,0))))))))),0)</f>
        <v>138.206314102624</v>
      </c>
      <c r="F2982" s="10" t="n">
        <f aca="false">Nonlabor!$J$11*(1+Assumptions!$E$9)^INT((C2982-1)/12)</f>
        <v>5.62432</v>
      </c>
      <c r="G2982" s="10" t="n">
        <f aca="false">E2982*F2982</f>
        <v>777.31653653367</v>
      </c>
      <c r="H2982" s="10" t="n">
        <f aca="false">IF(OR(Nonlabor!$L$11="Quote required",Nonlabor!$L$11="Unverified"),G2982,0)</f>
        <v>0</v>
      </c>
      <c r="I2982" s="10" t="n">
        <f aca="false">IF(Nonlabor!$E$11="Core",0,G2982)</f>
        <v>0</v>
      </c>
      <c r="J2982" s="23" t="str">
        <f aca="false">Nonlabor!$B$11</f>
        <v>INFRA</v>
      </c>
    </row>
    <row r="2983" customFormat="false" ht="15" hidden="false" customHeight="false" outlineLevel="0" collapsed="false">
      <c r="A2983" s="6" t="s">
        <v>73</v>
      </c>
      <c r="B2983" s="6" t="s">
        <v>387</v>
      </c>
      <c r="C2983" s="6" t="n">
        <v>38</v>
      </c>
      <c r="D2983" s="25" t="n">
        <f aca="false">EDATE('Start Here'!$B$6,C2983-1)</f>
        <v>47453</v>
      </c>
      <c r="E2983" s="11" t="n">
        <f aca="false">IF(AND(OR(Nonlabor!$D$11="Both",Nonlabor!$D$11='Start Here'!$B$9),IF(Nonlabor!$E$11="Core",1,IF(Nonlabor!$E$11="AI",'Start Here'!$B$7,'Start Here'!$B$8))=1,C2983&gt;=IF(Nonlabor!$E$11="Core",Nonlabor!$F$11,MAX(Nonlabor!$F$11,IF(Nonlabor!$E$11="AI",Assumptions!$E$24,Assumptions!$E$25))),C2983&lt;=Nonlabor!$G$11,OR(Nonlabor!$H$11="Monthly",AND(Nonlabor!$H$11="Once",C2983=IF(Nonlabor!$E$11="Core",Nonlabor!$F$11,MAX(Nonlabor!$F$11,IF(Nonlabor!$E$11="AI",Assumptions!$E$24,Assumptions!$E$25)))),AND(Nonlabor!$H$11="Annual",MOD(C2983-IF(Nonlabor!$E$11="Core",Nonlabor!$F$11,MAX(Nonlabor!$F$11,IF(Nonlabor!$E$11="AI",Assumptions!$E$24,Assumptions!$E$25))),12)=0))),IF(Nonlabor!$I$11="Fixed",1,IF(Nonlabor!$I$11="Seats",ROUNDUP('Monthly Growth'!I43,0),IF(Nonlabor!$I$11="Customers",'Monthly Growth'!D43,IF(Nonlabor!$I$11="NewCustomers",'Monthly Growth'!C43,IF(Nonlabor!$I$11="StorageGB",'Monthly Growth'!G43,IF(Nonlabor!$I$11="LogGB",'Monthly Growth'!H43,IF(Nonlabor!$I$11="RequestsM",'Monthly Growth'!F43,IF(Nonlabor!$I$11="InputM",'Monthly Growth'!D43*Assumptions!$E$22/1000000,IF(Nonlabor!$I$11="OutputM",'Monthly Growth'!D43*Assumptions!$E$23/1000000,0))))))))),0)</f>
        <v>148.384250961598</v>
      </c>
      <c r="F2983" s="10" t="n">
        <f aca="false">Nonlabor!$J$11*(1+Assumptions!$E$9)^INT((C2983-1)/12)</f>
        <v>5.62432</v>
      </c>
      <c r="G2983" s="10" t="n">
        <f aca="false">E2983*F2983</f>
        <v>834.560510368333</v>
      </c>
      <c r="H2983" s="10" t="n">
        <f aca="false">IF(OR(Nonlabor!$L$11="Quote required",Nonlabor!$L$11="Unverified"),G2983,0)</f>
        <v>0</v>
      </c>
      <c r="I2983" s="10" t="n">
        <f aca="false">IF(Nonlabor!$E$11="Core",0,G2983)</f>
        <v>0</v>
      </c>
      <c r="J2983" s="23" t="str">
        <f aca="false">Nonlabor!$B$11</f>
        <v>INFRA</v>
      </c>
    </row>
    <row r="2984" customFormat="false" ht="15" hidden="false" customHeight="false" outlineLevel="0" collapsed="false">
      <c r="A2984" s="6" t="s">
        <v>73</v>
      </c>
      <c r="B2984" s="6" t="s">
        <v>387</v>
      </c>
      <c r="C2984" s="6" t="n">
        <v>39</v>
      </c>
      <c r="D2984" s="25" t="n">
        <f aca="false">EDATE('Start Here'!$B$6,C2984-1)</f>
        <v>47484</v>
      </c>
      <c r="E2984" s="11" t="n">
        <f aca="false">IF(AND(OR(Nonlabor!$D$11="Both",Nonlabor!$D$11='Start Here'!$B$9),IF(Nonlabor!$E$11="Core",1,IF(Nonlabor!$E$11="AI",'Start Here'!$B$7,'Start Here'!$B$8))=1,C2984&gt;=IF(Nonlabor!$E$11="Core",Nonlabor!$F$11,MAX(Nonlabor!$F$11,IF(Nonlabor!$E$11="AI",Assumptions!$E$24,Assumptions!$E$25))),C2984&lt;=Nonlabor!$G$11,OR(Nonlabor!$H$11="Monthly",AND(Nonlabor!$H$11="Once",C2984=IF(Nonlabor!$E$11="Core",Nonlabor!$F$11,MAX(Nonlabor!$F$11,IF(Nonlabor!$E$11="AI",Assumptions!$E$24,Assumptions!$E$25)))),AND(Nonlabor!$H$11="Annual",MOD(C2984-IF(Nonlabor!$E$11="Core",Nonlabor!$F$11,MAX(Nonlabor!$F$11,IF(Nonlabor!$E$11="AI",Assumptions!$E$24,Assumptions!$E$25))),12)=0))),IF(Nonlabor!$I$11="Fixed",1,IF(Nonlabor!$I$11="Seats",ROUNDUP('Monthly Growth'!I44,0),IF(Nonlabor!$I$11="Customers",'Monthly Growth'!D44,IF(Nonlabor!$I$11="NewCustomers",'Monthly Growth'!C44,IF(Nonlabor!$I$11="StorageGB",'Monthly Growth'!G44,IF(Nonlabor!$I$11="LogGB",'Monthly Growth'!H44,IF(Nonlabor!$I$11="RequestsM",'Monthly Growth'!F44,IF(Nonlabor!$I$11="InputM",'Monthly Growth'!D44*Assumptions!$E$22/1000000,IF(Nonlabor!$I$11="OutputM",'Monthly Growth'!D44*Assumptions!$E$23/1000000,0))))))))),0)</f>
        <v>158.460408451982</v>
      </c>
      <c r="F2984" s="10" t="n">
        <f aca="false">Nonlabor!$J$11*(1+Assumptions!$E$9)^INT((C2984-1)/12)</f>
        <v>5.62432</v>
      </c>
      <c r="G2984" s="10" t="n">
        <f aca="false">E2984*F2984</f>
        <v>891.23204446465</v>
      </c>
      <c r="H2984" s="10" t="n">
        <f aca="false">IF(OR(Nonlabor!$L$11="Quote required",Nonlabor!$L$11="Unverified"),G2984,0)</f>
        <v>0</v>
      </c>
      <c r="I2984" s="10" t="n">
        <f aca="false">IF(Nonlabor!$E$11="Core",0,G2984)</f>
        <v>0</v>
      </c>
      <c r="J2984" s="23" t="str">
        <f aca="false">Nonlabor!$B$11</f>
        <v>INFRA</v>
      </c>
    </row>
    <row r="2985" customFormat="false" ht="15" hidden="false" customHeight="false" outlineLevel="0" collapsed="false">
      <c r="A2985" s="6" t="s">
        <v>73</v>
      </c>
      <c r="B2985" s="6" t="s">
        <v>387</v>
      </c>
      <c r="C2985" s="6" t="n">
        <v>40</v>
      </c>
      <c r="D2985" s="25" t="n">
        <f aca="false">EDATE('Start Here'!$B$6,C2985-1)</f>
        <v>47515</v>
      </c>
      <c r="E2985" s="11" t="n">
        <f aca="false">IF(AND(OR(Nonlabor!$D$11="Both",Nonlabor!$D$11='Start Here'!$B$9),IF(Nonlabor!$E$11="Core",1,IF(Nonlabor!$E$11="AI",'Start Here'!$B$7,'Start Here'!$B$8))=1,C2985&gt;=IF(Nonlabor!$E$11="Core",Nonlabor!$F$11,MAX(Nonlabor!$F$11,IF(Nonlabor!$E$11="AI",Assumptions!$E$24,Assumptions!$E$25))),C2985&lt;=Nonlabor!$G$11,OR(Nonlabor!$H$11="Monthly",AND(Nonlabor!$H$11="Once",C2985=IF(Nonlabor!$E$11="Core",Nonlabor!$F$11,MAX(Nonlabor!$F$11,IF(Nonlabor!$E$11="AI",Assumptions!$E$24,Assumptions!$E$25)))),AND(Nonlabor!$H$11="Annual",MOD(C2985-IF(Nonlabor!$E$11="Core",Nonlabor!$F$11,MAX(Nonlabor!$F$11,IF(Nonlabor!$E$11="AI",Assumptions!$E$24,Assumptions!$E$25))),12)=0))),IF(Nonlabor!$I$11="Fixed",1,IF(Nonlabor!$I$11="Seats",ROUNDUP('Monthly Growth'!I45,0),IF(Nonlabor!$I$11="Customers",'Monthly Growth'!D45,IF(Nonlabor!$I$11="NewCustomers",'Monthly Growth'!C45,IF(Nonlabor!$I$11="StorageGB",'Monthly Growth'!G45,IF(Nonlabor!$I$11="LogGB",'Monthly Growth'!H45,IF(Nonlabor!$I$11="RequestsM",'Monthly Growth'!F45,IF(Nonlabor!$I$11="InputM",'Monthly Growth'!D45*Assumptions!$E$22/1000000,IF(Nonlabor!$I$11="OutputM",'Monthly Growth'!D45*Assumptions!$E$23/1000000,0))))))))),0)</f>
        <v>168.435804367462</v>
      </c>
      <c r="F2985" s="10" t="n">
        <f aca="false">Nonlabor!$J$11*(1+Assumptions!$E$9)^INT((C2985-1)/12)</f>
        <v>5.62432</v>
      </c>
      <c r="G2985" s="10" t="n">
        <f aca="false">E2985*F2985</f>
        <v>947.336863220003</v>
      </c>
      <c r="H2985" s="10" t="n">
        <f aca="false">IF(OR(Nonlabor!$L$11="Quote required",Nonlabor!$L$11="Unverified"),G2985,0)</f>
        <v>0</v>
      </c>
      <c r="I2985" s="10" t="n">
        <f aca="false">IF(Nonlabor!$E$11="Core",0,G2985)</f>
        <v>0</v>
      </c>
      <c r="J2985" s="23" t="str">
        <f aca="false">Nonlabor!$B$11</f>
        <v>INFRA</v>
      </c>
    </row>
    <row r="2986" customFormat="false" ht="15" hidden="false" customHeight="false" outlineLevel="0" collapsed="false">
      <c r="A2986" s="6" t="s">
        <v>73</v>
      </c>
      <c r="B2986" s="6" t="s">
        <v>387</v>
      </c>
      <c r="C2986" s="6" t="n">
        <v>41</v>
      </c>
      <c r="D2986" s="25" t="n">
        <f aca="false">EDATE('Start Here'!$B$6,C2986-1)</f>
        <v>47543</v>
      </c>
      <c r="E2986" s="11" t="n">
        <f aca="false">IF(AND(OR(Nonlabor!$D$11="Both",Nonlabor!$D$11='Start Here'!$B$9),IF(Nonlabor!$E$11="Core",1,IF(Nonlabor!$E$11="AI",'Start Here'!$B$7,'Start Here'!$B$8))=1,C2986&gt;=IF(Nonlabor!$E$11="Core",Nonlabor!$F$11,MAX(Nonlabor!$F$11,IF(Nonlabor!$E$11="AI",Assumptions!$E$24,Assumptions!$E$25))),C2986&lt;=Nonlabor!$G$11,OR(Nonlabor!$H$11="Monthly",AND(Nonlabor!$H$11="Once",C2986=IF(Nonlabor!$E$11="Core",Nonlabor!$F$11,MAX(Nonlabor!$F$11,IF(Nonlabor!$E$11="AI",Assumptions!$E$24,Assumptions!$E$25)))),AND(Nonlabor!$H$11="Annual",MOD(C2986-IF(Nonlabor!$E$11="Core",Nonlabor!$F$11,MAX(Nonlabor!$F$11,IF(Nonlabor!$E$11="AI",Assumptions!$E$24,Assumptions!$E$25))),12)=0))),IF(Nonlabor!$I$11="Fixed",1,IF(Nonlabor!$I$11="Seats",ROUNDUP('Monthly Growth'!I46,0),IF(Nonlabor!$I$11="Customers",'Monthly Growth'!D46,IF(Nonlabor!$I$11="NewCustomers",'Monthly Growth'!C46,IF(Nonlabor!$I$11="StorageGB",'Monthly Growth'!G46,IF(Nonlabor!$I$11="LogGB",'Monthly Growth'!H46,IF(Nonlabor!$I$11="RequestsM",'Monthly Growth'!F46,IF(Nonlabor!$I$11="InputM",'Monthly Growth'!D46*Assumptions!$E$22/1000000,IF(Nonlabor!$I$11="OutputM",'Monthly Growth'!D46*Assumptions!$E$23/1000000,0))))))))),0)</f>
        <v>178.311446323787</v>
      </c>
      <c r="F2986" s="10" t="n">
        <f aca="false">Nonlabor!$J$11*(1+Assumptions!$E$9)^INT((C2986-1)/12)</f>
        <v>5.62432</v>
      </c>
      <c r="G2986" s="10" t="n">
        <f aca="false">E2986*F2986</f>
        <v>1002.8806337878</v>
      </c>
      <c r="H2986" s="10" t="n">
        <f aca="false">IF(OR(Nonlabor!$L$11="Quote required",Nonlabor!$L$11="Unverified"),G2986,0)</f>
        <v>0</v>
      </c>
      <c r="I2986" s="10" t="n">
        <f aca="false">IF(Nonlabor!$E$11="Core",0,G2986)</f>
        <v>0</v>
      </c>
      <c r="J2986" s="23" t="str">
        <f aca="false">Nonlabor!$B$11</f>
        <v>INFRA</v>
      </c>
    </row>
    <row r="2987" customFormat="false" ht="15" hidden="false" customHeight="false" outlineLevel="0" collapsed="false">
      <c r="A2987" s="6" t="s">
        <v>73</v>
      </c>
      <c r="B2987" s="6" t="s">
        <v>387</v>
      </c>
      <c r="C2987" s="6" t="n">
        <v>42</v>
      </c>
      <c r="D2987" s="25" t="n">
        <f aca="false">EDATE('Start Here'!$B$6,C2987-1)</f>
        <v>47574</v>
      </c>
      <c r="E2987" s="11" t="n">
        <f aca="false">IF(AND(OR(Nonlabor!$D$11="Both",Nonlabor!$D$11='Start Here'!$B$9),IF(Nonlabor!$E$11="Core",1,IF(Nonlabor!$E$11="AI",'Start Here'!$B$7,'Start Here'!$B$8))=1,C2987&gt;=IF(Nonlabor!$E$11="Core",Nonlabor!$F$11,MAX(Nonlabor!$F$11,IF(Nonlabor!$E$11="AI",Assumptions!$E$24,Assumptions!$E$25))),C2987&lt;=Nonlabor!$G$11,OR(Nonlabor!$H$11="Monthly",AND(Nonlabor!$H$11="Once",C2987=IF(Nonlabor!$E$11="Core",Nonlabor!$F$11,MAX(Nonlabor!$F$11,IF(Nonlabor!$E$11="AI",Assumptions!$E$24,Assumptions!$E$25)))),AND(Nonlabor!$H$11="Annual",MOD(C2987-IF(Nonlabor!$E$11="Core",Nonlabor!$F$11,MAX(Nonlabor!$F$11,IF(Nonlabor!$E$11="AI",Assumptions!$E$24,Assumptions!$E$25))),12)=0))),IF(Nonlabor!$I$11="Fixed",1,IF(Nonlabor!$I$11="Seats",ROUNDUP('Monthly Growth'!I47,0),IF(Nonlabor!$I$11="Customers",'Monthly Growth'!D47,IF(Nonlabor!$I$11="NewCustomers",'Monthly Growth'!C47,IF(Nonlabor!$I$11="StorageGB",'Monthly Growth'!G47,IF(Nonlabor!$I$11="LogGB",'Monthly Growth'!H47,IF(Nonlabor!$I$11="RequestsM",'Monthly Growth'!F47,IF(Nonlabor!$I$11="InputM",'Monthly Growth'!D47*Assumptions!$E$22/1000000,IF(Nonlabor!$I$11="OutputM",'Monthly Growth'!D47*Assumptions!$E$23/1000000,0))))))))),0)</f>
        <v>188.088331860549</v>
      </c>
      <c r="F2987" s="10" t="n">
        <f aca="false">Nonlabor!$J$11*(1+Assumptions!$E$9)^INT((C2987-1)/12)</f>
        <v>5.62432</v>
      </c>
      <c r="G2987" s="10" t="n">
        <f aca="false">E2987*F2987</f>
        <v>1057.86896664993</v>
      </c>
      <c r="H2987" s="10" t="n">
        <f aca="false">IF(OR(Nonlabor!$L$11="Quote required",Nonlabor!$L$11="Unverified"),G2987,0)</f>
        <v>0</v>
      </c>
      <c r="I2987" s="10" t="n">
        <f aca="false">IF(Nonlabor!$E$11="Core",0,G2987)</f>
        <v>0</v>
      </c>
      <c r="J2987" s="23" t="str">
        <f aca="false">Nonlabor!$B$11</f>
        <v>INFRA</v>
      </c>
    </row>
    <row r="2988" customFormat="false" ht="15" hidden="false" customHeight="false" outlineLevel="0" collapsed="false">
      <c r="A2988" s="6" t="s">
        <v>73</v>
      </c>
      <c r="B2988" s="6" t="s">
        <v>387</v>
      </c>
      <c r="C2988" s="6" t="n">
        <v>43</v>
      </c>
      <c r="D2988" s="25" t="n">
        <f aca="false">EDATE('Start Here'!$B$6,C2988-1)</f>
        <v>47604</v>
      </c>
      <c r="E2988" s="11" t="n">
        <f aca="false">IF(AND(OR(Nonlabor!$D$11="Both",Nonlabor!$D$11='Start Here'!$B$9),IF(Nonlabor!$E$11="Core",1,IF(Nonlabor!$E$11="AI",'Start Here'!$B$7,'Start Here'!$B$8))=1,C2988&gt;=IF(Nonlabor!$E$11="Core",Nonlabor!$F$11,MAX(Nonlabor!$F$11,IF(Nonlabor!$E$11="AI",Assumptions!$E$24,Assumptions!$E$25))),C2988&lt;=Nonlabor!$G$11,OR(Nonlabor!$H$11="Monthly",AND(Nonlabor!$H$11="Once",C2988=IF(Nonlabor!$E$11="Core",Nonlabor!$F$11,MAX(Nonlabor!$F$11,IF(Nonlabor!$E$11="AI",Assumptions!$E$24,Assumptions!$E$25)))),AND(Nonlabor!$H$11="Annual",MOD(C2988-IF(Nonlabor!$E$11="Core",Nonlabor!$F$11,MAX(Nonlabor!$F$11,IF(Nonlabor!$E$11="AI",Assumptions!$E$24,Assumptions!$E$25))),12)=0))),IF(Nonlabor!$I$11="Fixed",1,IF(Nonlabor!$I$11="Seats",ROUNDUP('Monthly Growth'!I48,0),IF(Nonlabor!$I$11="Customers",'Monthly Growth'!D48,IF(Nonlabor!$I$11="NewCustomers",'Monthly Growth'!C48,IF(Nonlabor!$I$11="StorageGB",'Monthly Growth'!G48,IF(Nonlabor!$I$11="LogGB",'Monthly Growth'!H48,IF(Nonlabor!$I$11="RequestsM",'Monthly Growth'!F48,IF(Nonlabor!$I$11="InputM",'Monthly Growth'!D48*Assumptions!$E$22/1000000,IF(Nonlabor!$I$11="OutputM",'Monthly Growth'!D48*Assumptions!$E$23/1000000,0))))))))),0)</f>
        <v>197.767448541944</v>
      </c>
      <c r="F2988" s="10" t="n">
        <f aca="false">Nonlabor!$J$11*(1+Assumptions!$E$9)^INT((C2988-1)/12)</f>
        <v>5.62432</v>
      </c>
      <c r="G2988" s="10" t="n">
        <f aca="false">E2988*F2988</f>
        <v>1112.30741618343</v>
      </c>
      <c r="H2988" s="10" t="n">
        <f aca="false">IF(OR(Nonlabor!$L$11="Quote required",Nonlabor!$L$11="Unverified"),G2988,0)</f>
        <v>0</v>
      </c>
      <c r="I2988" s="10" t="n">
        <f aca="false">IF(Nonlabor!$E$11="Core",0,G2988)</f>
        <v>0</v>
      </c>
      <c r="J2988" s="23" t="str">
        <f aca="false">Nonlabor!$B$11</f>
        <v>INFRA</v>
      </c>
    </row>
    <row r="2989" customFormat="false" ht="15" hidden="false" customHeight="false" outlineLevel="0" collapsed="false">
      <c r="A2989" s="6" t="s">
        <v>73</v>
      </c>
      <c r="B2989" s="6" t="s">
        <v>387</v>
      </c>
      <c r="C2989" s="6" t="n">
        <v>44</v>
      </c>
      <c r="D2989" s="25" t="n">
        <f aca="false">EDATE('Start Here'!$B$6,C2989-1)</f>
        <v>47635</v>
      </c>
      <c r="E2989" s="11" t="n">
        <f aca="false">IF(AND(OR(Nonlabor!$D$11="Both",Nonlabor!$D$11='Start Here'!$B$9),IF(Nonlabor!$E$11="Core",1,IF(Nonlabor!$E$11="AI",'Start Here'!$B$7,'Start Here'!$B$8))=1,C2989&gt;=IF(Nonlabor!$E$11="Core",Nonlabor!$F$11,MAX(Nonlabor!$F$11,IF(Nonlabor!$E$11="AI",Assumptions!$E$24,Assumptions!$E$25))),C2989&lt;=Nonlabor!$G$11,OR(Nonlabor!$H$11="Monthly",AND(Nonlabor!$H$11="Once",C2989=IF(Nonlabor!$E$11="Core",Nonlabor!$F$11,MAX(Nonlabor!$F$11,IF(Nonlabor!$E$11="AI",Assumptions!$E$24,Assumptions!$E$25)))),AND(Nonlabor!$H$11="Annual",MOD(C2989-IF(Nonlabor!$E$11="Core",Nonlabor!$F$11,MAX(Nonlabor!$F$11,IF(Nonlabor!$E$11="AI",Assumptions!$E$24,Assumptions!$E$25))),12)=0))),IF(Nonlabor!$I$11="Fixed",1,IF(Nonlabor!$I$11="Seats",ROUNDUP('Monthly Growth'!I49,0),IF(Nonlabor!$I$11="Customers",'Monthly Growth'!D49,IF(Nonlabor!$I$11="NewCustomers",'Monthly Growth'!C49,IF(Nonlabor!$I$11="StorageGB",'Monthly Growth'!G49,IF(Nonlabor!$I$11="LogGB",'Monthly Growth'!H49,IF(Nonlabor!$I$11="RequestsM",'Monthly Growth'!F49,IF(Nonlabor!$I$11="InputM",'Monthly Growth'!D49*Assumptions!$E$22/1000000,IF(Nonlabor!$I$11="OutputM",'Monthly Growth'!D49*Assumptions!$E$23/1000000,0))))))))),0)</f>
        <v>207.349774056524</v>
      </c>
      <c r="F2989" s="10" t="n">
        <f aca="false">Nonlabor!$J$11*(1+Assumptions!$E$9)^INT((C2989-1)/12)</f>
        <v>5.62432</v>
      </c>
      <c r="G2989" s="10" t="n">
        <f aca="false">E2989*F2989</f>
        <v>1166.20148122159</v>
      </c>
      <c r="H2989" s="10" t="n">
        <f aca="false">IF(OR(Nonlabor!$L$11="Quote required",Nonlabor!$L$11="Unverified"),G2989,0)</f>
        <v>0</v>
      </c>
      <c r="I2989" s="10" t="n">
        <f aca="false">IF(Nonlabor!$E$11="Core",0,G2989)</f>
        <v>0</v>
      </c>
      <c r="J2989" s="23" t="str">
        <f aca="false">Nonlabor!$B$11</f>
        <v>INFRA</v>
      </c>
    </row>
    <row r="2990" customFormat="false" ht="15" hidden="false" customHeight="false" outlineLevel="0" collapsed="false">
      <c r="A2990" s="6" t="s">
        <v>73</v>
      </c>
      <c r="B2990" s="6" t="s">
        <v>387</v>
      </c>
      <c r="C2990" s="6" t="n">
        <v>45</v>
      </c>
      <c r="D2990" s="25" t="n">
        <f aca="false">EDATE('Start Here'!$B$6,C2990-1)</f>
        <v>47665</v>
      </c>
      <c r="E2990" s="11" t="n">
        <f aca="false">IF(AND(OR(Nonlabor!$D$11="Both",Nonlabor!$D$11='Start Here'!$B$9),IF(Nonlabor!$E$11="Core",1,IF(Nonlabor!$E$11="AI",'Start Here'!$B$7,'Start Here'!$B$8))=1,C2990&gt;=IF(Nonlabor!$E$11="Core",Nonlabor!$F$11,MAX(Nonlabor!$F$11,IF(Nonlabor!$E$11="AI",Assumptions!$E$24,Assumptions!$E$25))),C2990&lt;=Nonlabor!$G$11,OR(Nonlabor!$H$11="Monthly",AND(Nonlabor!$H$11="Once",C2990=IF(Nonlabor!$E$11="Core",Nonlabor!$F$11,MAX(Nonlabor!$F$11,IF(Nonlabor!$E$11="AI",Assumptions!$E$24,Assumptions!$E$25)))),AND(Nonlabor!$H$11="Annual",MOD(C2990-IF(Nonlabor!$E$11="Core",Nonlabor!$F$11,MAX(Nonlabor!$F$11,IF(Nonlabor!$E$11="AI",Assumptions!$E$24,Assumptions!$E$25))),12)=0))),IF(Nonlabor!$I$11="Fixed",1,IF(Nonlabor!$I$11="Seats",ROUNDUP('Monthly Growth'!I50,0),IF(Nonlabor!$I$11="Customers",'Monthly Growth'!D50,IF(Nonlabor!$I$11="NewCustomers",'Monthly Growth'!C50,IF(Nonlabor!$I$11="StorageGB",'Monthly Growth'!G50,IF(Nonlabor!$I$11="LogGB",'Monthly Growth'!H50,IF(Nonlabor!$I$11="RequestsM",'Monthly Growth'!F50,IF(Nonlabor!$I$11="InputM",'Monthly Growth'!D50*Assumptions!$E$22/1000000,IF(Nonlabor!$I$11="OutputM",'Monthly Growth'!D50*Assumptions!$E$23/1000000,0))))))))),0)</f>
        <v>216.836276315959</v>
      </c>
      <c r="F2990" s="10" t="n">
        <f aca="false">Nonlabor!$J$11*(1+Assumptions!$E$9)^INT((C2990-1)/12)</f>
        <v>5.62432</v>
      </c>
      <c r="G2990" s="10" t="n">
        <f aca="false">E2990*F2990</f>
        <v>1219.55660560938</v>
      </c>
      <c r="H2990" s="10" t="n">
        <f aca="false">IF(OR(Nonlabor!$L$11="Quote required",Nonlabor!$L$11="Unverified"),G2990,0)</f>
        <v>0</v>
      </c>
      <c r="I2990" s="10" t="n">
        <f aca="false">IF(Nonlabor!$E$11="Core",0,G2990)</f>
        <v>0</v>
      </c>
      <c r="J2990" s="23" t="str">
        <f aca="false">Nonlabor!$B$11</f>
        <v>INFRA</v>
      </c>
    </row>
    <row r="2991" customFormat="false" ht="15" hidden="false" customHeight="false" outlineLevel="0" collapsed="false">
      <c r="A2991" s="6" t="s">
        <v>73</v>
      </c>
      <c r="B2991" s="6" t="s">
        <v>387</v>
      </c>
      <c r="C2991" s="6" t="n">
        <v>46</v>
      </c>
      <c r="D2991" s="25" t="n">
        <f aca="false">EDATE('Start Here'!$B$6,C2991-1)</f>
        <v>47696</v>
      </c>
      <c r="E2991" s="11" t="n">
        <f aca="false">IF(AND(OR(Nonlabor!$D$11="Both",Nonlabor!$D$11='Start Here'!$B$9),IF(Nonlabor!$E$11="Core",1,IF(Nonlabor!$E$11="AI",'Start Here'!$B$7,'Start Here'!$B$8))=1,C2991&gt;=IF(Nonlabor!$E$11="Core",Nonlabor!$F$11,MAX(Nonlabor!$F$11,IF(Nonlabor!$E$11="AI",Assumptions!$E$24,Assumptions!$E$25))),C2991&lt;=Nonlabor!$G$11,OR(Nonlabor!$H$11="Monthly",AND(Nonlabor!$H$11="Once",C2991=IF(Nonlabor!$E$11="Core",Nonlabor!$F$11,MAX(Nonlabor!$F$11,IF(Nonlabor!$E$11="AI",Assumptions!$E$24,Assumptions!$E$25)))),AND(Nonlabor!$H$11="Annual",MOD(C2991-IF(Nonlabor!$E$11="Core",Nonlabor!$F$11,MAX(Nonlabor!$F$11,IF(Nonlabor!$E$11="AI",Assumptions!$E$24,Assumptions!$E$25))),12)=0))),IF(Nonlabor!$I$11="Fixed",1,IF(Nonlabor!$I$11="Seats",ROUNDUP('Monthly Growth'!I51,0),IF(Nonlabor!$I$11="Customers",'Monthly Growth'!D51,IF(Nonlabor!$I$11="NewCustomers",'Monthly Growth'!C51,IF(Nonlabor!$I$11="StorageGB",'Monthly Growth'!G51,IF(Nonlabor!$I$11="LogGB",'Monthly Growth'!H51,IF(Nonlabor!$I$11="RequestsM",'Monthly Growth'!F51,IF(Nonlabor!$I$11="InputM",'Monthly Growth'!D51*Assumptions!$E$22/1000000,IF(Nonlabor!$I$11="OutputM",'Monthly Growth'!D51*Assumptions!$E$23/1000000,0))))))))),0)</f>
        <v>226.2279135528</v>
      </c>
      <c r="F2991" s="10" t="n">
        <f aca="false">Nonlabor!$J$11*(1+Assumptions!$E$9)^INT((C2991-1)/12)</f>
        <v>5.62432</v>
      </c>
      <c r="G2991" s="10" t="n">
        <f aca="false">E2991*F2991</f>
        <v>1272.37817875328</v>
      </c>
      <c r="H2991" s="10" t="n">
        <f aca="false">IF(OR(Nonlabor!$L$11="Quote required",Nonlabor!$L$11="Unverified"),G2991,0)</f>
        <v>0</v>
      </c>
      <c r="I2991" s="10" t="n">
        <f aca="false">IF(Nonlabor!$E$11="Core",0,G2991)</f>
        <v>0</v>
      </c>
      <c r="J2991" s="23" t="str">
        <f aca="false">Nonlabor!$B$11</f>
        <v>INFRA</v>
      </c>
    </row>
    <row r="2992" customFormat="false" ht="15" hidden="false" customHeight="false" outlineLevel="0" collapsed="false">
      <c r="A2992" s="6" t="s">
        <v>73</v>
      </c>
      <c r="B2992" s="6" t="s">
        <v>387</v>
      </c>
      <c r="C2992" s="6" t="n">
        <v>47</v>
      </c>
      <c r="D2992" s="25" t="n">
        <f aca="false">EDATE('Start Here'!$B$6,C2992-1)</f>
        <v>47727</v>
      </c>
      <c r="E2992" s="11" t="n">
        <f aca="false">IF(AND(OR(Nonlabor!$D$11="Both",Nonlabor!$D$11='Start Here'!$B$9),IF(Nonlabor!$E$11="Core",1,IF(Nonlabor!$E$11="AI",'Start Here'!$B$7,'Start Here'!$B$8))=1,C2992&gt;=IF(Nonlabor!$E$11="Core",Nonlabor!$F$11,MAX(Nonlabor!$F$11,IF(Nonlabor!$E$11="AI",Assumptions!$E$24,Assumptions!$E$25))),C2992&lt;=Nonlabor!$G$11,OR(Nonlabor!$H$11="Monthly",AND(Nonlabor!$H$11="Once",C2992=IF(Nonlabor!$E$11="Core",Nonlabor!$F$11,MAX(Nonlabor!$F$11,IF(Nonlabor!$E$11="AI",Assumptions!$E$24,Assumptions!$E$25)))),AND(Nonlabor!$H$11="Annual",MOD(C2992-IF(Nonlabor!$E$11="Core",Nonlabor!$F$11,MAX(Nonlabor!$F$11,IF(Nonlabor!$E$11="AI",Assumptions!$E$24,Assumptions!$E$25))),12)=0))),IF(Nonlabor!$I$11="Fixed",1,IF(Nonlabor!$I$11="Seats",ROUNDUP('Monthly Growth'!I52,0),IF(Nonlabor!$I$11="Customers",'Monthly Growth'!D52,IF(Nonlabor!$I$11="NewCustomers",'Monthly Growth'!C52,IF(Nonlabor!$I$11="StorageGB",'Monthly Growth'!G52,IF(Nonlabor!$I$11="LogGB",'Monthly Growth'!H52,IF(Nonlabor!$I$11="RequestsM",'Monthly Growth'!F52,IF(Nonlabor!$I$11="InputM",'Monthly Growth'!D52*Assumptions!$E$22/1000000,IF(Nonlabor!$I$11="OutputM",'Monthly Growth'!D52*Assumptions!$E$23/1000000,0))))))))),0)</f>
        <v>235.525634417272</v>
      </c>
      <c r="F2992" s="10" t="n">
        <f aca="false">Nonlabor!$J$11*(1+Assumptions!$E$9)^INT((C2992-1)/12)</f>
        <v>5.62432</v>
      </c>
      <c r="G2992" s="10" t="n">
        <f aca="false">E2992*F2992</f>
        <v>1324.67153616575</v>
      </c>
      <c r="H2992" s="10" t="n">
        <f aca="false">IF(OR(Nonlabor!$L$11="Quote required",Nonlabor!$L$11="Unverified"),G2992,0)</f>
        <v>0</v>
      </c>
      <c r="I2992" s="10" t="n">
        <f aca="false">IF(Nonlabor!$E$11="Core",0,G2992)</f>
        <v>0</v>
      </c>
      <c r="J2992" s="23" t="str">
        <f aca="false">Nonlabor!$B$11</f>
        <v>INFRA</v>
      </c>
    </row>
    <row r="2993" customFormat="false" ht="15" hidden="false" customHeight="false" outlineLevel="0" collapsed="false">
      <c r="A2993" s="6" t="s">
        <v>73</v>
      </c>
      <c r="B2993" s="6" t="s">
        <v>387</v>
      </c>
      <c r="C2993" s="6" t="n">
        <v>48</v>
      </c>
      <c r="D2993" s="25" t="n">
        <f aca="false">EDATE('Start Here'!$B$6,C2993-1)</f>
        <v>47757</v>
      </c>
      <c r="E2993" s="11" t="n">
        <f aca="false">IF(AND(OR(Nonlabor!$D$11="Both",Nonlabor!$D$11='Start Here'!$B$9),IF(Nonlabor!$E$11="Core",1,IF(Nonlabor!$E$11="AI",'Start Here'!$B$7,'Start Here'!$B$8))=1,C2993&gt;=IF(Nonlabor!$E$11="Core",Nonlabor!$F$11,MAX(Nonlabor!$F$11,IF(Nonlabor!$E$11="AI",Assumptions!$E$24,Assumptions!$E$25))),C2993&lt;=Nonlabor!$G$11,OR(Nonlabor!$H$11="Monthly",AND(Nonlabor!$H$11="Once",C2993=IF(Nonlabor!$E$11="Core",Nonlabor!$F$11,MAX(Nonlabor!$F$11,IF(Nonlabor!$E$11="AI",Assumptions!$E$24,Assumptions!$E$25)))),AND(Nonlabor!$H$11="Annual",MOD(C2993-IF(Nonlabor!$E$11="Core",Nonlabor!$F$11,MAX(Nonlabor!$F$11,IF(Nonlabor!$E$11="AI",Assumptions!$E$24,Assumptions!$E$25))),12)=0))),IF(Nonlabor!$I$11="Fixed",1,IF(Nonlabor!$I$11="Seats",ROUNDUP('Monthly Growth'!I53,0),IF(Nonlabor!$I$11="Customers",'Monthly Growth'!D53,IF(Nonlabor!$I$11="NewCustomers",'Monthly Growth'!C53,IF(Nonlabor!$I$11="StorageGB",'Monthly Growth'!G53,IF(Nonlabor!$I$11="LogGB",'Monthly Growth'!H53,IF(Nonlabor!$I$11="RequestsM",'Monthly Growth'!F53,IF(Nonlabor!$I$11="InputM",'Monthly Growth'!D53*Assumptions!$E$22/1000000,IF(Nonlabor!$I$11="OutputM",'Monthly Growth'!D53*Assumptions!$E$23/1000000,0))))))))),0)</f>
        <v>252.822378073099</v>
      </c>
      <c r="F2993" s="10" t="n">
        <f aca="false">Nonlabor!$J$11*(1+Assumptions!$E$9)^INT((C2993-1)/12)</f>
        <v>5.62432</v>
      </c>
      <c r="G2993" s="10" t="n">
        <f aca="false">E2993*F2993</f>
        <v>1421.95395744409</v>
      </c>
      <c r="H2993" s="10" t="n">
        <f aca="false">IF(OR(Nonlabor!$L$11="Quote required",Nonlabor!$L$11="Unverified"),G2993,0)</f>
        <v>0</v>
      </c>
      <c r="I2993" s="10" t="n">
        <f aca="false">IF(Nonlabor!$E$11="Core",0,G2993)</f>
        <v>0</v>
      </c>
      <c r="J2993" s="23" t="str">
        <f aca="false">Nonlabor!$B$11</f>
        <v>INFRA</v>
      </c>
    </row>
    <row r="2994" customFormat="false" ht="15" hidden="false" customHeight="false" outlineLevel="0" collapsed="false">
      <c r="A2994" s="6" t="s">
        <v>73</v>
      </c>
      <c r="B2994" s="6" t="s">
        <v>387</v>
      </c>
      <c r="C2994" s="6" t="n">
        <v>49</v>
      </c>
      <c r="D2994" s="25" t="n">
        <f aca="false">EDATE('Start Here'!$B$6,C2994-1)</f>
        <v>47788</v>
      </c>
      <c r="E2994" s="11" t="n">
        <f aca="false">IF(AND(OR(Nonlabor!$D$11="Both",Nonlabor!$D$11='Start Here'!$B$9),IF(Nonlabor!$E$11="Core",1,IF(Nonlabor!$E$11="AI",'Start Here'!$B$7,'Start Here'!$B$8))=1,C2994&gt;=IF(Nonlabor!$E$11="Core",Nonlabor!$F$11,MAX(Nonlabor!$F$11,IF(Nonlabor!$E$11="AI",Assumptions!$E$24,Assumptions!$E$25))),C2994&lt;=Nonlabor!$G$11,OR(Nonlabor!$H$11="Monthly",AND(Nonlabor!$H$11="Once",C2994=IF(Nonlabor!$E$11="Core",Nonlabor!$F$11,MAX(Nonlabor!$F$11,IF(Nonlabor!$E$11="AI",Assumptions!$E$24,Assumptions!$E$25)))),AND(Nonlabor!$H$11="Annual",MOD(C2994-IF(Nonlabor!$E$11="Core",Nonlabor!$F$11,MAX(Nonlabor!$F$11,IF(Nonlabor!$E$11="AI",Assumptions!$E$24,Assumptions!$E$25))),12)=0))),IF(Nonlabor!$I$11="Fixed",1,IF(Nonlabor!$I$11="Seats",ROUNDUP('Monthly Growth'!I54,0),IF(Nonlabor!$I$11="Customers",'Monthly Growth'!D54,IF(Nonlabor!$I$11="NewCustomers",'Monthly Growth'!C54,IF(Nonlabor!$I$11="StorageGB",'Monthly Growth'!G54,IF(Nonlabor!$I$11="LogGB",'Monthly Growth'!H54,IF(Nonlabor!$I$11="RequestsM",'Monthly Growth'!F54,IF(Nonlabor!$I$11="InputM",'Monthly Growth'!D54*Assumptions!$E$22/1000000,IF(Nonlabor!$I$11="OutputM",'Monthly Growth'!D54*Assumptions!$E$23/1000000,0))))))))),0)</f>
        <v>269.946154292368</v>
      </c>
      <c r="F2994" s="10" t="n">
        <f aca="false">Nonlabor!$J$11*(1+Assumptions!$E$9)^INT((C2994-1)/12)</f>
        <v>5.8492928</v>
      </c>
      <c r="G2994" s="10" t="n">
        <f aca="false">E2994*F2994</f>
        <v>1578.99409669004</v>
      </c>
      <c r="H2994" s="10" t="n">
        <f aca="false">IF(OR(Nonlabor!$L$11="Quote required",Nonlabor!$L$11="Unverified"),G2994,0)</f>
        <v>0</v>
      </c>
      <c r="I2994" s="10" t="n">
        <f aca="false">IF(Nonlabor!$E$11="Core",0,G2994)</f>
        <v>0</v>
      </c>
      <c r="J2994" s="23" t="str">
        <f aca="false">Nonlabor!$B$11</f>
        <v>INFRA</v>
      </c>
    </row>
    <row r="2995" customFormat="false" ht="15" hidden="false" customHeight="false" outlineLevel="0" collapsed="false">
      <c r="A2995" s="6" t="s">
        <v>73</v>
      </c>
      <c r="B2995" s="6" t="s">
        <v>387</v>
      </c>
      <c r="C2995" s="6" t="n">
        <v>50</v>
      </c>
      <c r="D2995" s="25" t="n">
        <f aca="false">EDATE('Start Here'!$B$6,C2995-1)</f>
        <v>47818</v>
      </c>
      <c r="E2995" s="11" t="n">
        <f aca="false">IF(AND(OR(Nonlabor!$D$11="Both",Nonlabor!$D$11='Start Here'!$B$9),IF(Nonlabor!$E$11="Core",1,IF(Nonlabor!$E$11="AI",'Start Here'!$B$7,'Start Here'!$B$8))=1,C2995&gt;=IF(Nonlabor!$E$11="Core",Nonlabor!$F$11,MAX(Nonlabor!$F$11,IF(Nonlabor!$E$11="AI",Assumptions!$E$24,Assumptions!$E$25))),C2995&lt;=Nonlabor!$G$11,OR(Nonlabor!$H$11="Monthly",AND(Nonlabor!$H$11="Once",C2995=IF(Nonlabor!$E$11="Core",Nonlabor!$F$11,MAX(Nonlabor!$F$11,IF(Nonlabor!$E$11="AI",Assumptions!$E$24,Assumptions!$E$25)))),AND(Nonlabor!$H$11="Annual",MOD(C2995-IF(Nonlabor!$E$11="Core",Nonlabor!$F$11,MAX(Nonlabor!$F$11,IF(Nonlabor!$E$11="AI",Assumptions!$E$24,Assumptions!$E$25))),12)=0))),IF(Nonlabor!$I$11="Fixed",1,IF(Nonlabor!$I$11="Seats",ROUNDUP('Monthly Growth'!I55,0),IF(Nonlabor!$I$11="Customers",'Monthly Growth'!D55,IF(Nonlabor!$I$11="NewCustomers",'Monthly Growth'!C55,IF(Nonlabor!$I$11="StorageGB",'Monthly Growth'!G55,IF(Nonlabor!$I$11="LogGB",'Monthly Growth'!H55,IF(Nonlabor!$I$11="RequestsM",'Monthly Growth'!F55,IF(Nonlabor!$I$11="InputM",'Monthly Growth'!D55*Assumptions!$E$22/1000000,IF(Nonlabor!$I$11="OutputM",'Monthly Growth'!D55*Assumptions!$E$23/1000000,0))))))))),0)</f>
        <v>286.898692749444</v>
      </c>
      <c r="F2995" s="10" t="n">
        <f aca="false">Nonlabor!$J$11*(1+Assumptions!$E$9)^INT((C2995-1)/12)</f>
        <v>5.8492928</v>
      </c>
      <c r="G2995" s="10" t="n">
        <f aca="false">E2995*F2995</f>
        <v>1678.15445782874</v>
      </c>
      <c r="H2995" s="10" t="n">
        <f aca="false">IF(OR(Nonlabor!$L$11="Quote required",Nonlabor!$L$11="Unverified"),G2995,0)</f>
        <v>0</v>
      </c>
      <c r="I2995" s="10" t="n">
        <f aca="false">IF(Nonlabor!$E$11="Core",0,G2995)</f>
        <v>0</v>
      </c>
      <c r="J2995" s="23" t="str">
        <f aca="false">Nonlabor!$B$11</f>
        <v>INFRA</v>
      </c>
    </row>
    <row r="2996" customFormat="false" ht="15" hidden="false" customHeight="false" outlineLevel="0" collapsed="false">
      <c r="A2996" s="6" t="s">
        <v>73</v>
      </c>
      <c r="B2996" s="6" t="s">
        <v>387</v>
      </c>
      <c r="C2996" s="6" t="n">
        <v>51</v>
      </c>
      <c r="D2996" s="25" t="n">
        <f aca="false">EDATE('Start Here'!$B$6,C2996-1)</f>
        <v>47849</v>
      </c>
      <c r="E2996" s="11" t="n">
        <f aca="false">IF(AND(OR(Nonlabor!$D$11="Both",Nonlabor!$D$11='Start Here'!$B$9),IF(Nonlabor!$E$11="Core",1,IF(Nonlabor!$E$11="AI",'Start Here'!$B$7,'Start Here'!$B$8))=1,C2996&gt;=IF(Nonlabor!$E$11="Core",Nonlabor!$F$11,MAX(Nonlabor!$F$11,IF(Nonlabor!$E$11="AI",Assumptions!$E$24,Assumptions!$E$25))),C2996&lt;=Nonlabor!$G$11,OR(Nonlabor!$H$11="Monthly",AND(Nonlabor!$H$11="Once",C2996=IF(Nonlabor!$E$11="Core",Nonlabor!$F$11,MAX(Nonlabor!$F$11,IF(Nonlabor!$E$11="AI",Assumptions!$E$24,Assumptions!$E$25)))),AND(Nonlabor!$H$11="Annual",MOD(C2996-IF(Nonlabor!$E$11="Core",Nonlabor!$F$11,MAX(Nonlabor!$F$11,IF(Nonlabor!$E$11="AI",Assumptions!$E$24,Assumptions!$E$25))),12)=0))),IF(Nonlabor!$I$11="Fixed",1,IF(Nonlabor!$I$11="Seats",ROUNDUP('Monthly Growth'!I56,0),IF(Nonlabor!$I$11="Customers",'Monthly Growth'!D56,IF(Nonlabor!$I$11="NewCustomers",'Monthly Growth'!C56,IF(Nonlabor!$I$11="StorageGB",'Monthly Growth'!G56,IF(Nonlabor!$I$11="LogGB",'Monthly Growth'!H56,IF(Nonlabor!$I$11="RequestsM",'Monthly Growth'!F56,IF(Nonlabor!$I$11="InputM",'Monthly Growth'!D56*Assumptions!$E$22/1000000,IF(Nonlabor!$I$11="OutputM",'Monthly Growth'!D56*Assumptions!$E$23/1000000,0))))))))),0)</f>
        <v>303.68170582195</v>
      </c>
      <c r="F2996" s="10" t="n">
        <f aca="false">Nonlabor!$J$11*(1+Assumptions!$E$9)^INT((C2996-1)/12)</f>
        <v>5.8492928</v>
      </c>
      <c r="G2996" s="10" t="n">
        <f aca="false">E2996*F2996</f>
        <v>1776.32321535605</v>
      </c>
      <c r="H2996" s="10" t="n">
        <f aca="false">IF(OR(Nonlabor!$L$11="Quote required",Nonlabor!$L$11="Unverified"),G2996,0)</f>
        <v>0</v>
      </c>
      <c r="I2996" s="10" t="n">
        <f aca="false">IF(Nonlabor!$E$11="Core",0,G2996)</f>
        <v>0</v>
      </c>
      <c r="J2996" s="23" t="str">
        <f aca="false">Nonlabor!$B$11</f>
        <v>INFRA</v>
      </c>
    </row>
    <row r="2997" customFormat="false" ht="15" hidden="false" customHeight="false" outlineLevel="0" collapsed="false">
      <c r="A2997" s="6" t="s">
        <v>73</v>
      </c>
      <c r="B2997" s="6" t="s">
        <v>387</v>
      </c>
      <c r="C2997" s="6" t="n">
        <v>52</v>
      </c>
      <c r="D2997" s="25" t="n">
        <f aca="false">EDATE('Start Here'!$B$6,C2997-1)</f>
        <v>47880</v>
      </c>
      <c r="E2997" s="11" t="n">
        <f aca="false">IF(AND(OR(Nonlabor!$D$11="Both",Nonlabor!$D$11='Start Here'!$B$9),IF(Nonlabor!$E$11="Core",1,IF(Nonlabor!$E$11="AI",'Start Here'!$B$7,'Start Here'!$B$8))=1,C2997&gt;=IF(Nonlabor!$E$11="Core",Nonlabor!$F$11,MAX(Nonlabor!$F$11,IF(Nonlabor!$E$11="AI",Assumptions!$E$24,Assumptions!$E$25))),C2997&lt;=Nonlabor!$G$11,OR(Nonlabor!$H$11="Monthly",AND(Nonlabor!$H$11="Once",C2997=IF(Nonlabor!$E$11="Core",Nonlabor!$F$11,MAX(Nonlabor!$F$11,IF(Nonlabor!$E$11="AI",Assumptions!$E$24,Assumptions!$E$25)))),AND(Nonlabor!$H$11="Annual",MOD(C2997-IF(Nonlabor!$E$11="Core",Nonlabor!$F$11,MAX(Nonlabor!$F$11,IF(Nonlabor!$E$11="AI",Assumptions!$E$24,Assumptions!$E$25))),12)=0))),IF(Nonlabor!$I$11="Fixed",1,IF(Nonlabor!$I$11="Seats",ROUNDUP('Monthly Growth'!I57,0),IF(Nonlabor!$I$11="Customers",'Monthly Growth'!D57,IF(Nonlabor!$I$11="NewCustomers",'Monthly Growth'!C57,IF(Nonlabor!$I$11="StorageGB",'Monthly Growth'!G57,IF(Nonlabor!$I$11="LogGB",'Monthly Growth'!H57,IF(Nonlabor!$I$11="RequestsM",'Monthly Growth'!F57,IF(Nonlabor!$I$11="InputM",'Monthly Growth'!D57*Assumptions!$E$22/1000000,IF(Nonlabor!$I$11="OutputM",'Monthly Growth'!D57*Assumptions!$E$23/1000000,0))))))))),0)</f>
        <v>320.29688876373</v>
      </c>
      <c r="F2997" s="10" t="n">
        <f aca="false">Nonlabor!$J$11*(1+Assumptions!$E$9)^INT((C2997-1)/12)</f>
        <v>5.8492928</v>
      </c>
      <c r="G2997" s="10" t="n">
        <f aca="false">E2997*F2997</f>
        <v>1873.51028530809</v>
      </c>
      <c r="H2997" s="10" t="n">
        <f aca="false">IF(OR(Nonlabor!$L$11="Quote required",Nonlabor!$L$11="Unverified"),G2997,0)</f>
        <v>0</v>
      </c>
      <c r="I2997" s="10" t="n">
        <f aca="false">IF(Nonlabor!$E$11="Core",0,G2997)</f>
        <v>0</v>
      </c>
      <c r="J2997" s="23" t="str">
        <f aca="false">Nonlabor!$B$11</f>
        <v>INFRA</v>
      </c>
    </row>
    <row r="2998" customFormat="false" ht="15" hidden="false" customHeight="false" outlineLevel="0" collapsed="false">
      <c r="A2998" s="6" t="s">
        <v>73</v>
      </c>
      <c r="B2998" s="6" t="s">
        <v>387</v>
      </c>
      <c r="C2998" s="6" t="n">
        <v>53</v>
      </c>
      <c r="D2998" s="25" t="n">
        <f aca="false">EDATE('Start Here'!$B$6,C2998-1)</f>
        <v>47908</v>
      </c>
      <c r="E2998" s="11" t="n">
        <f aca="false">IF(AND(OR(Nonlabor!$D$11="Both",Nonlabor!$D$11='Start Here'!$B$9),IF(Nonlabor!$E$11="Core",1,IF(Nonlabor!$E$11="AI",'Start Here'!$B$7,'Start Here'!$B$8))=1,C2998&gt;=IF(Nonlabor!$E$11="Core",Nonlabor!$F$11,MAX(Nonlabor!$F$11,IF(Nonlabor!$E$11="AI",Assumptions!$E$24,Assumptions!$E$25))),C2998&lt;=Nonlabor!$G$11,OR(Nonlabor!$H$11="Monthly",AND(Nonlabor!$H$11="Once",C2998=IF(Nonlabor!$E$11="Core",Nonlabor!$F$11,MAX(Nonlabor!$F$11,IF(Nonlabor!$E$11="AI",Assumptions!$E$24,Assumptions!$E$25)))),AND(Nonlabor!$H$11="Annual",MOD(C2998-IF(Nonlabor!$E$11="Core",Nonlabor!$F$11,MAX(Nonlabor!$F$11,IF(Nonlabor!$E$11="AI",Assumptions!$E$24,Assumptions!$E$25))),12)=0))),IF(Nonlabor!$I$11="Fixed",1,IF(Nonlabor!$I$11="Seats",ROUNDUP('Monthly Growth'!I58,0),IF(Nonlabor!$I$11="Customers",'Monthly Growth'!D58,IF(Nonlabor!$I$11="NewCustomers",'Monthly Growth'!C58,IF(Nonlabor!$I$11="StorageGB",'Monthly Growth'!G58,IF(Nonlabor!$I$11="LogGB",'Monthly Growth'!H58,IF(Nonlabor!$I$11="RequestsM",'Monthly Growth'!F58,IF(Nonlabor!$I$11="InputM",'Monthly Growth'!D58*Assumptions!$E$22/1000000,IF(Nonlabor!$I$11="OutputM",'Monthly Growth'!D58*Assumptions!$E$23/1000000,0))))))))),0)</f>
        <v>336.745919876093</v>
      </c>
      <c r="F2998" s="10" t="n">
        <f aca="false">Nonlabor!$J$11*(1+Assumptions!$E$9)^INT((C2998-1)/12)</f>
        <v>5.8492928</v>
      </c>
      <c r="G2998" s="10" t="n">
        <f aca="false">E2998*F2998</f>
        <v>1969.72548456061</v>
      </c>
      <c r="H2998" s="10" t="n">
        <f aca="false">IF(OR(Nonlabor!$L$11="Quote required",Nonlabor!$L$11="Unverified"),G2998,0)</f>
        <v>0</v>
      </c>
      <c r="I2998" s="10" t="n">
        <f aca="false">IF(Nonlabor!$E$11="Core",0,G2998)</f>
        <v>0</v>
      </c>
      <c r="J2998" s="23" t="str">
        <f aca="false">Nonlabor!$B$11</f>
        <v>INFRA</v>
      </c>
    </row>
    <row r="2999" customFormat="false" ht="15" hidden="false" customHeight="false" outlineLevel="0" collapsed="false">
      <c r="A2999" s="6" t="s">
        <v>73</v>
      </c>
      <c r="B2999" s="6" t="s">
        <v>387</v>
      </c>
      <c r="C2999" s="6" t="n">
        <v>54</v>
      </c>
      <c r="D2999" s="25" t="n">
        <f aca="false">EDATE('Start Here'!$B$6,C2999-1)</f>
        <v>47939</v>
      </c>
      <c r="E2999" s="11" t="n">
        <f aca="false">IF(AND(OR(Nonlabor!$D$11="Both",Nonlabor!$D$11='Start Here'!$B$9),IF(Nonlabor!$E$11="Core",1,IF(Nonlabor!$E$11="AI",'Start Here'!$B$7,'Start Here'!$B$8))=1,C2999&gt;=IF(Nonlabor!$E$11="Core",Nonlabor!$F$11,MAX(Nonlabor!$F$11,IF(Nonlabor!$E$11="AI",Assumptions!$E$24,Assumptions!$E$25))),C2999&lt;=Nonlabor!$G$11,OR(Nonlabor!$H$11="Monthly",AND(Nonlabor!$H$11="Once",C2999=IF(Nonlabor!$E$11="Core",Nonlabor!$F$11,MAX(Nonlabor!$F$11,IF(Nonlabor!$E$11="AI",Assumptions!$E$24,Assumptions!$E$25)))),AND(Nonlabor!$H$11="Annual",MOD(C2999-IF(Nonlabor!$E$11="Core",Nonlabor!$F$11,MAX(Nonlabor!$F$11,IF(Nonlabor!$E$11="AI",Assumptions!$E$24,Assumptions!$E$25))),12)=0))),IF(Nonlabor!$I$11="Fixed",1,IF(Nonlabor!$I$11="Seats",ROUNDUP('Monthly Growth'!I59,0),IF(Nonlabor!$I$11="Customers",'Monthly Growth'!D59,IF(Nonlabor!$I$11="NewCustomers",'Monthly Growth'!C59,IF(Nonlabor!$I$11="StorageGB",'Monthly Growth'!G59,IF(Nonlabor!$I$11="LogGB",'Monthly Growth'!H59,IF(Nonlabor!$I$11="RequestsM",'Monthly Growth'!F59,IF(Nonlabor!$I$11="InputM",'Monthly Growth'!D59*Assumptions!$E$22/1000000,IF(Nonlabor!$I$11="OutputM",'Monthly Growth'!D59*Assumptions!$E$23/1000000,0))))))))),0)</f>
        <v>353.030460677332</v>
      </c>
      <c r="F2999" s="10" t="n">
        <f aca="false">Nonlabor!$J$11*(1+Assumptions!$E$9)^INT((C2999-1)/12)</f>
        <v>5.8492928</v>
      </c>
      <c r="G2999" s="10" t="n">
        <f aca="false">E2999*F2999</f>
        <v>2064.9785318206</v>
      </c>
      <c r="H2999" s="10" t="n">
        <f aca="false">IF(OR(Nonlabor!$L$11="Quote required",Nonlabor!$L$11="Unverified"),G2999,0)</f>
        <v>0</v>
      </c>
      <c r="I2999" s="10" t="n">
        <f aca="false">IF(Nonlabor!$E$11="Core",0,G2999)</f>
        <v>0</v>
      </c>
      <c r="J2999" s="23" t="str">
        <f aca="false">Nonlabor!$B$11</f>
        <v>INFRA</v>
      </c>
    </row>
    <row r="3000" customFormat="false" ht="15" hidden="false" customHeight="false" outlineLevel="0" collapsed="false">
      <c r="A3000" s="6" t="s">
        <v>73</v>
      </c>
      <c r="B3000" s="6" t="s">
        <v>387</v>
      </c>
      <c r="C3000" s="6" t="n">
        <v>55</v>
      </c>
      <c r="D3000" s="25" t="n">
        <f aca="false">EDATE('Start Here'!$B$6,C3000-1)</f>
        <v>47969</v>
      </c>
      <c r="E3000" s="11" t="n">
        <f aca="false">IF(AND(OR(Nonlabor!$D$11="Both",Nonlabor!$D$11='Start Here'!$B$9),IF(Nonlabor!$E$11="Core",1,IF(Nonlabor!$E$11="AI",'Start Here'!$B$7,'Start Here'!$B$8))=1,C3000&gt;=IF(Nonlabor!$E$11="Core",Nonlabor!$F$11,MAX(Nonlabor!$F$11,IF(Nonlabor!$E$11="AI",Assumptions!$E$24,Assumptions!$E$25))),C3000&lt;=Nonlabor!$G$11,OR(Nonlabor!$H$11="Monthly",AND(Nonlabor!$H$11="Once",C3000=IF(Nonlabor!$E$11="Core",Nonlabor!$F$11,MAX(Nonlabor!$F$11,IF(Nonlabor!$E$11="AI",Assumptions!$E$24,Assumptions!$E$25)))),AND(Nonlabor!$H$11="Annual",MOD(C3000-IF(Nonlabor!$E$11="Core",Nonlabor!$F$11,MAX(Nonlabor!$F$11,IF(Nonlabor!$E$11="AI",Assumptions!$E$24,Assumptions!$E$25))),12)=0))),IF(Nonlabor!$I$11="Fixed",1,IF(Nonlabor!$I$11="Seats",ROUNDUP('Monthly Growth'!I60,0),IF(Nonlabor!$I$11="Customers",'Monthly Growth'!D60,IF(Nonlabor!$I$11="NewCustomers",'Monthly Growth'!C60,IF(Nonlabor!$I$11="StorageGB",'Monthly Growth'!G60,IF(Nonlabor!$I$11="LogGB",'Monthly Growth'!H60,IF(Nonlabor!$I$11="RequestsM",'Monthly Growth'!F60,IF(Nonlabor!$I$11="InputM",'Monthly Growth'!D60*Assumptions!$E$22/1000000,IF(Nonlabor!$I$11="OutputM",'Monthly Growth'!D60*Assumptions!$E$23/1000000,0))))))))),0)</f>
        <v>369.152156070559</v>
      </c>
      <c r="F3000" s="10" t="n">
        <f aca="false">Nonlabor!$J$11*(1+Assumptions!$E$9)^INT((C3000-1)/12)</f>
        <v>5.8492928</v>
      </c>
      <c r="G3000" s="10" t="n">
        <f aca="false">E3000*F3000</f>
        <v>2159.279048608</v>
      </c>
      <c r="H3000" s="10" t="n">
        <f aca="false">IF(OR(Nonlabor!$L$11="Quote required",Nonlabor!$L$11="Unverified"),G3000,0)</f>
        <v>0</v>
      </c>
      <c r="I3000" s="10" t="n">
        <f aca="false">IF(Nonlabor!$E$11="Core",0,G3000)</f>
        <v>0</v>
      </c>
      <c r="J3000" s="23" t="str">
        <f aca="false">Nonlabor!$B$11</f>
        <v>INFRA</v>
      </c>
    </row>
    <row r="3001" customFormat="false" ht="15" hidden="false" customHeight="false" outlineLevel="0" collapsed="false">
      <c r="A3001" s="6" t="s">
        <v>73</v>
      </c>
      <c r="B3001" s="6" t="s">
        <v>387</v>
      </c>
      <c r="C3001" s="6" t="n">
        <v>56</v>
      </c>
      <c r="D3001" s="25" t="n">
        <f aca="false">EDATE('Start Here'!$B$6,C3001-1)</f>
        <v>48000</v>
      </c>
      <c r="E3001" s="11" t="n">
        <f aca="false">IF(AND(OR(Nonlabor!$D$11="Both",Nonlabor!$D$11='Start Here'!$B$9),IF(Nonlabor!$E$11="Core",1,IF(Nonlabor!$E$11="AI",'Start Here'!$B$7,'Start Here'!$B$8))=1,C3001&gt;=IF(Nonlabor!$E$11="Core",Nonlabor!$F$11,MAX(Nonlabor!$F$11,IF(Nonlabor!$E$11="AI",Assumptions!$E$24,Assumptions!$E$25))),C3001&lt;=Nonlabor!$G$11,OR(Nonlabor!$H$11="Monthly",AND(Nonlabor!$H$11="Once",C3001=IF(Nonlabor!$E$11="Core",Nonlabor!$F$11,MAX(Nonlabor!$F$11,IF(Nonlabor!$E$11="AI",Assumptions!$E$24,Assumptions!$E$25)))),AND(Nonlabor!$H$11="Annual",MOD(C3001-IF(Nonlabor!$E$11="Core",Nonlabor!$F$11,MAX(Nonlabor!$F$11,IF(Nonlabor!$E$11="AI",Assumptions!$E$24,Assumptions!$E$25))),12)=0))),IF(Nonlabor!$I$11="Fixed",1,IF(Nonlabor!$I$11="Seats",ROUNDUP('Monthly Growth'!I61,0),IF(Nonlabor!$I$11="Customers",'Monthly Growth'!D61,IF(Nonlabor!$I$11="NewCustomers",'Monthly Growth'!C61,IF(Nonlabor!$I$11="StorageGB",'Monthly Growth'!G61,IF(Nonlabor!$I$11="LogGB",'Monthly Growth'!H61,IF(Nonlabor!$I$11="RequestsM",'Monthly Growth'!F61,IF(Nonlabor!$I$11="InputM",'Monthly Growth'!D61*Assumptions!$E$22/1000000,IF(Nonlabor!$I$11="OutputM",'Monthly Growth'!D61*Assumptions!$E$23/1000000,0))))))))),0)</f>
        <v>385.112634509853</v>
      </c>
      <c r="F3001" s="10" t="n">
        <f aca="false">Nonlabor!$J$11*(1+Assumptions!$E$9)^INT((C3001-1)/12)</f>
        <v>5.8492928</v>
      </c>
      <c r="G3001" s="10" t="n">
        <f aca="false">E3001*F3001</f>
        <v>2252.63656022751</v>
      </c>
      <c r="H3001" s="10" t="n">
        <f aca="false">IF(OR(Nonlabor!$L$11="Quote required",Nonlabor!$L$11="Unverified"),G3001,0)</f>
        <v>0</v>
      </c>
      <c r="I3001" s="10" t="n">
        <f aca="false">IF(Nonlabor!$E$11="Core",0,G3001)</f>
        <v>0</v>
      </c>
      <c r="J3001" s="23" t="str">
        <f aca="false">Nonlabor!$B$11</f>
        <v>INFRA</v>
      </c>
    </row>
    <row r="3002" customFormat="false" ht="15" hidden="false" customHeight="false" outlineLevel="0" collapsed="false">
      <c r="A3002" s="6" t="s">
        <v>73</v>
      </c>
      <c r="B3002" s="6" t="s">
        <v>387</v>
      </c>
      <c r="C3002" s="6" t="n">
        <v>57</v>
      </c>
      <c r="D3002" s="25" t="n">
        <f aca="false">EDATE('Start Here'!$B$6,C3002-1)</f>
        <v>48030</v>
      </c>
      <c r="E3002" s="11" t="n">
        <f aca="false">IF(AND(OR(Nonlabor!$D$11="Both",Nonlabor!$D$11='Start Here'!$B$9),IF(Nonlabor!$E$11="Core",1,IF(Nonlabor!$E$11="AI",'Start Here'!$B$7,'Start Here'!$B$8))=1,C3002&gt;=IF(Nonlabor!$E$11="Core",Nonlabor!$F$11,MAX(Nonlabor!$F$11,IF(Nonlabor!$E$11="AI",Assumptions!$E$24,Assumptions!$E$25))),C3002&lt;=Nonlabor!$G$11,OR(Nonlabor!$H$11="Monthly",AND(Nonlabor!$H$11="Once",C3002=IF(Nonlabor!$E$11="Core",Nonlabor!$F$11,MAX(Nonlabor!$F$11,IF(Nonlabor!$E$11="AI",Assumptions!$E$24,Assumptions!$E$25)))),AND(Nonlabor!$H$11="Annual",MOD(C3002-IF(Nonlabor!$E$11="Core",Nonlabor!$F$11,MAX(Nonlabor!$F$11,IF(Nonlabor!$E$11="AI",Assumptions!$E$24,Assumptions!$E$25))),12)=0))),IF(Nonlabor!$I$11="Fixed",1,IF(Nonlabor!$I$11="Seats",ROUNDUP('Monthly Growth'!I62,0),IF(Nonlabor!$I$11="Customers",'Monthly Growth'!D62,IF(Nonlabor!$I$11="NewCustomers",'Monthly Growth'!C62,IF(Nonlabor!$I$11="StorageGB",'Monthly Growth'!G62,IF(Nonlabor!$I$11="LogGB",'Monthly Growth'!H62,IF(Nonlabor!$I$11="RequestsM",'Monthly Growth'!F62,IF(Nonlabor!$I$11="InputM",'Monthly Growth'!D62*Assumptions!$E$22/1000000,IF(Nonlabor!$I$11="OutputM",'Monthly Growth'!D62*Assumptions!$E$23/1000000,0))))))))),0)</f>
        <v>400.913508164754</v>
      </c>
      <c r="F3002" s="10" t="n">
        <f aca="false">Nonlabor!$J$11*(1+Assumptions!$E$9)^INT((C3002-1)/12)</f>
        <v>5.8492928</v>
      </c>
      <c r="G3002" s="10" t="n">
        <f aca="false">E3002*F3002</f>
        <v>2345.06049673084</v>
      </c>
      <c r="H3002" s="10" t="n">
        <f aca="false">IF(OR(Nonlabor!$L$11="Quote required",Nonlabor!$L$11="Unverified"),G3002,0)</f>
        <v>0</v>
      </c>
      <c r="I3002" s="10" t="n">
        <f aca="false">IF(Nonlabor!$E$11="Core",0,G3002)</f>
        <v>0</v>
      </c>
      <c r="J3002" s="23" t="str">
        <f aca="false">Nonlabor!$B$11</f>
        <v>INFRA</v>
      </c>
    </row>
    <row r="3003" customFormat="false" ht="15" hidden="false" customHeight="false" outlineLevel="0" collapsed="false">
      <c r="A3003" s="6" t="s">
        <v>73</v>
      </c>
      <c r="B3003" s="6" t="s">
        <v>387</v>
      </c>
      <c r="C3003" s="6" t="n">
        <v>58</v>
      </c>
      <c r="D3003" s="25" t="n">
        <f aca="false">EDATE('Start Here'!$B$6,C3003-1)</f>
        <v>48061</v>
      </c>
      <c r="E3003" s="11" t="n">
        <f aca="false">IF(AND(OR(Nonlabor!$D$11="Both",Nonlabor!$D$11='Start Here'!$B$9),IF(Nonlabor!$E$11="Core",1,IF(Nonlabor!$E$11="AI",'Start Here'!$B$7,'Start Here'!$B$8))=1,C3003&gt;=IF(Nonlabor!$E$11="Core",Nonlabor!$F$11,MAX(Nonlabor!$F$11,IF(Nonlabor!$E$11="AI",Assumptions!$E$24,Assumptions!$E$25))),C3003&lt;=Nonlabor!$G$11,OR(Nonlabor!$H$11="Monthly",AND(Nonlabor!$H$11="Once",C3003=IF(Nonlabor!$E$11="Core",Nonlabor!$F$11,MAX(Nonlabor!$F$11,IF(Nonlabor!$E$11="AI",Assumptions!$E$24,Assumptions!$E$25)))),AND(Nonlabor!$H$11="Annual",MOD(C3003-IF(Nonlabor!$E$11="Core",Nonlabor!$F$11,MAX(Nonlabor!$F$11,IF(Nonlabor!$E$11="AI",Assumptions!$E$24,Assumptions!$E$25))),12)=0))),IF(Nonlabor!$I$11="Fixed",1,IF(Nonlabor!$I$11="Seats",ROUNDUP('Monthly Growth'!I63,0),IF(Nonlabor!$I$11="Customers",'Monthly Growth'!D63,IF(Nonlabor!$I$11="NewCustomers",'Monthly Growth'!C63,IF(Nonlabor!$I$11="StorageGB",'Monthly Growth'!G63,IF(Nonlabor!$I$11="LogGB",'Monthly Growth'!H63,IF(Nonlabor!$I$11="RequestsM",'Monthly Growth'!F63,IF(Nonlabor!$I$11="InputM",'Monthly Growth'!D63*Assumptions!$E$22/1000000,IF(Nonlabor!$I$11="OutputM",'Monthly Growth'!D63*Assumptions!$E$23/1000000,0))))))))),0)</f>
        <v>416.556373083107</v>
      </c>
      <c r="F3003" s="10" t="n">
        <f aca="false">Nonlabor!$J$11*(1+Assumptions!$E$9)^INT((C3003-1)/12)</f>
        <v>5.8492928</v>
      </c>
      <c r="G3003" s="10" t="n">
        <f aca="false">E3003*F3003</f>
        <v>2436.56019386913</v>
      </c>
      <c r="H3003" s="10" t="n">
        <f aca="false">IF(OR(Nonlabor!$L$11="Quote required",Nonlabor!$L$11="Unverified"),G3003,0)</f>
        <v>0</v>
      </c>
      <c r="I3003" s="10" t="n">
        <f aca="false">IF(Nonlabor!$E$11="Core",0,G3003)</f>
        <v>0</v>
      </c>
      <c r="J3003" s="23" t="str">
        <f aca="false">Nonlabor!$B$11</f>
        <v>INFRA</v>
      </c>
    </row>
    <row r="3004" customFormat="false" ht="15" hidden="false" customHeight="false" outlineLevel="0" collapsed="false">
      <c r="A3004" s="6" t="s">
        <v>73</v>
      </c>
      <c r="B3004" s="6" t="s">
        <v>387</v>
      </c>
      <c r="C3004" s="6" t="n">
        <v>59</v>
      </c>
      <c r="D3004" s="25" t="n">
        <f aca="false">EDATE('Start Here'!$B$6,C3004-1)</f>
        <v>48092</v>
      </c>
      <c r="E3004" s="11" t="n">
        <f aca="false">IF(AND(OR(Nonlabor!$D$11="Both",Nonlabor!$D$11='Start Here'!$B$9),IF(Nonlabor!$E$11="Core",1,IF(Nonlabor!$E$11="AI",'Start Here'!$B$7,'Start Here'!$B$8))=1,C3004&gt;=IF(Nonlabor!$E$11="Core",Nonlabor!$F$11,MAX(Nonlabor!$F$11,IF(Nonlabor!$E$11="AI",Assumptions!$E$24,Assumptions!$E$25))),C3004&lt;=Nonlabor!$G$11,OR(Nonlabor!$H$11="Monthly",AND(Nonlabor!$H$11="Once",C3004=IF(Nonlabor!$E$11="Core",Nonlabor!$F$11,MAX(Nonlabor!$F$11,IF(Nonlabor!$E$11="AI",Assumptions!$E$24,Assumptions!$E$25)))),AND(Nonlabor!$H$11="Annual",MOD(C3004-IF(Nonlabor!$E$11="Core",Nonlabor!$F$11,MAX(Nonlabor!$F$11,IF(Nonlabor!$E$11="AI",Assumptions!$E$24,Assumptions!$E$25))),12)=0))),IF(Nonlabor!$I$11="Fixed",1,IF(Nonlabor!$I$11="Seats",ROUNDUP('Monthly Growth'!I64,0),IF(Nonlabor!$I$11="Customers",'Monthly Growth'!D64,IF(Nonlabor!$I$11="NewCustomers",'Monthly Growth'!C64,IF(Nonlabor!$I$11="StorageGB",'Monthly Growth'!G64,IF(Nonlabor!$I$11="LogGB",'Monthly Growth'!H64,IF(Nonlabor!$I$11="RequestsM",'Monthly Growth'!F64,IF(Nonlabor!$I$11="InputM",'Monthly Growth'!D64*Assumptions!$E$22/1000000,IF(Nonlabor!$I$11="OutputM",'Monthly Growth'!D64*Assumptions!$E$23/1000000,0))))))))),0)</f>
        <v>432.042809352276</v>
      </c>
      <c r="F3004" s="10" t="n">
        <f aca="false">Nonlabor!$J$11*(1+Assumptions!$E$9)^INT((C3004-1)/12)</f>
        <v>5.8492928</v>
      </c>
      <c r="G3004" s="10" t="n">
        <f aca="false">E3004*F3004</f>
        <v>2527.14489403604</v>
      </c>
      <c r="H3004" s="10" t="n">
        <f aca="false">IF(OR(Nonlabor!$L$11="Quote required",Nonlabor!$L$11="Unverified"),G3004,0)</f>
        <v>0</v>
      </c>
      <c r="I3004" s="10" t="n">
        <f aca="false">IF(Nonlabor!$E$11="Core",0,G3004)</f>
        <v>0</v>
      </c>
      <c r="J3004" s="23" t="str">
        <f aca="false">Nonlabor!$B$11</f>
        <v>INFRA</v>
      </c>
    </row>
    <row r="3005" customFormat="false" ht="15" hidden="false" customHeight="false" outlineLevel="0" collapsed="false">
      <c r="A3005" s="6" t="s">
        <v>73</v>
      </c>
      <c r="B3005" s="6" t="s">
        <v>387</v>
      </c>
      <c r="C3005" s="6" t="n">
        <v>60</v>
      </c>
      <c r="D3005" s="25" t="n">
        <f aca="false">EDATE('Start Here'!$B$6,C3005-1)</f>
        <v>48122</v>
      </c>
      <c r="E3005" s="11" t="n">
        <f aca="false">IF(AND(OR(Nonlabor!$D$11="Both",Nonlabor!$D$11='Start Here'!$B$9),IF(Nonlabor!$E$11="Core",1,IF(Nonlabor!$E$11="AI",'Start Here'!$B$7,'Start Here'!$B$8))=1,C3005&gt;=IF(Nonlabor!$E$11="Core",Nonlabor!$F$11,MAX(Nonlabor!$F$11,IF(Nonlabor!$E$11="AI",Assumptions!$E$24,Assumptions!$E$25))),C3005&lt;=Nonlabor!$G$11,OR(Nonlabor!$H$11="Monthly",AND(Nonlabor!$H$11="Once",C3005=IF(Nonlabor!$E$11="Core",Nonlabor!$F$11,MAX(Nonlabor!$F$11,IF(Nonlabor!$E$11="AI",Assumptions!$E$24,Assumptions!$E$25)))),AND(Nonlabor!$H$11="Annual",MOD(C3005-IF(Nonlabor!$E$11="Core",Nonlabor!$F$11,MAX(Nonlabor!$F$11,IF(Nonlabor!$E$11="AI",Assumptions!$E$24,Assumptions!$E$25))),12)=0))),IF(Nonlabor!$I$11="Fixed",1,IF(Nonlabor!$I$11="Seats",ROUNDUP('Monthly Growth'!I65,0),IF(Nonlabor!$I$11="Customers",'Monthly Growth'!D65,IF(Nonlabor!$I$11="NewCustomers",'Monthly Growth'!C65,IF(Nonlabor!$I$11="StorageGB",'Monthly Growth'!G65,IF(Nonlabor!$I$11="LogGB",'Monthly Growth'!H65,IF(Nonlabor!$I$11="RequestsM",'Monthly Growth'!F65,IF(Nonlabor!$I$11="InputM",'Monthly Growth'!D65*Assumptions!$E$22/1000000,IF(Nonlabor!$I$11="OutputM",'Monthly Growth'!D65*Assumptions!$E$23/1000000,0))))))))),0)</f>
        <v>461.130781258753</v>
      </c>
      <c r="F3005" s="10" t="n">
        <f aca="false">Nonlabor!$J$11*(1+Assumptions!$E$9)^INT((C3005-1)/12)</f>
        <v>5.8492928</v>
      </c>
      <c r="G3005" s="10" t="n">
        <f aca="false">E3005*F3005</f>
        <v>2697.2889586752</v>
      </c>
      <c r="H3005" s="10" t="n">
        <f aca="false">IF(OR(Nonlabor!$L$11="Quote required",Nonlabor!$L$11="Unverified"),G3005,0)</f>
        <v>0</v>
      </c>
      <c r="I3005" s="10" t="n">
        <f aca="false">IF(Nonlabor!$E$11="Core",0,G3005)</f>
        <v>0</v>
      </c>
      <c r="J3005" s="23" t="str">
        <f aca="false">Nonlabor!$B$11</f>
        <v>INFRA</v>
      </c>
    </row>
    <row r="3006" customFormat="false" ht="15" hidden="false" customHeight="false" outlineLevel="0" collapsed="false">
      <c r="A3006" s="6" t="s">
        <v>73</v>
      </c>
      <c r="B3006" s="6" t="s">
        <v>391</v>
      </c>
      <c r="C3006" s="6" t="n">
        <v>1</v>
      </c>
      <c r="D3006" s="25" t="n">
        <f aca="false">EDATE('Start Here'!$B$6,C3006-1)</f>
        <v>46327</v>
      </c>
      <c r="E3006" s="11" t="n">
        <f aca="false">IF(AND(OR(Nonlabor!$D$12="Both",Nonlabor!$D$12='Start Here'!$B$9),IF(Nonlabor!$E$12="Core",1,IF(Nonlabor!$E$12="AI",'Start Here'!$B$7,'Start Here'!$B$8))=1,C3006&gt;=IF(Nonlabor!$E$12="Core",Nonlabor!$F$12,MAX(Nonlabor!$F$12,IF(Nonlabor!$E$12="AI",Assumptions!$E$24,Assumptions!$E$25))),C3006&lt;=Nonlabor!$G$12,OR(Nonlabor!$H$12="Monthly",AND(Nonlabor!$H$12="Once",C3006=IF(Nonlabor!$E$12="Core",Nonlabor!$F$12,MAX(Nonlabor!$F$12,IF(Nonlabor!$E$12="AI",Assumptions!$E$24,Assumptions!$E$25)))),AND(Nonlabor!$H$12="Annual",MOD(C3006-IF(Nonlabor!$E$12="Core",Nonlabor!$F$12,MAX(Nonlabor!$F$12,IF(Nonlabor!$E$12="AI",Assumptions!$E$24,Assumptions!$E$25))),12)=0))),IF(Nonlabor!$I$12="Fixed",1,IF(Nonlabor!$I$12="Seats",ROUNDUP('Monthly Growth'!I6,0),IF(Nonlabor!$I$12="Customers",'Monthly Growth'!D6,IF(Nonlabor!$I$12="NewCustomers",'Monthly Growth'!C6,IF(Nonlabor!$I$12="StorageGB",'Monthly Growth'!G6,IF(Nonlabor!$I$12="LogGB",'Monthly Growth'!H6,IF(Nonlabor!$I$12="RequestsM",'Monthly Growth'!F6,IF(Nonlabor!$I$12="InputM",'Monthly Growth'!D6*Assumptions!$E$22/1000000,IF(Nonlabor!$I$12="OutputM",'Monthly Growth'!D6*Assumptions!$E$23/1000000,0))))))))),0)</f>
        <v>0</v>
      </c>
      <c r="F3006" s="10" t="n">
        <f aca="false">Nonlabor!$J$12*(1+Assumptions!$E$9)^INT((C3006-1)/12)</f>
        <v>30</v>
      </c>
      <c r="G3006" s="10" t="n">
        <f aca="false">E3006*F3006</f>
        <v>0</v>
      </c>
      <c r="H3006" s="10" t="n">
        <f aca="false">IF(OR(Nonlabor!$L$12="Quote required",Nonlabor!$L$12="Unverified"),G3006,0)</f>
        <v>0</v>
      </c>
      <c r="I3006" s="10" t="n">
        <f aca="false">IF(Nonlabor!$E$12="Core",0,G3006)</f>
        <v>0</v>
      </c>
      <c r="J3006" s="23" t="str">
        <f aca="false">Nonlabor!$B$12</f>
        <v>INFRA</v>
      </c>
    </row>
    <row r="3007" customFormat="false" ht="15" hidden="false" customHeight="false" outlineLevel="0" collapsed="false">
      <c r="A3007" s="6" t="s">
        <v>73</v>
      </c>
      <c r="B3007" s="6" t="s">
        <v>391</v>
      </c>
      <c r="C3007" s="6" t="n">
        <v>2</v>
      </c>
      <c r="D3007" s="25" t="n">
        <f aca="false">EDATE('Start Here'!$B$6,C3007-1)</f>
        <v>46357</v>
      </c>
      <c r="E3007" s="11" t="n">
        <f aca="false">IF(AND(OR(Nonlabor!$D$12="Both",Nonlabor!$D$12='Start Here'!$B$9),IF(Nonlabor!$E$12="Core",1,IF(Nonlabor!$E$12="AI",'Start Here'!$B$7,'Start Here'!$B$8))=1,C3007&gt;=IF(Nonlabor!$E$12="Core",Nonlabor!$F$12,MAX(Nonlabor!$F$12,IF(Nonlabor!$E$12="AI",Assumptions!$E$24,Assumptions!$E$25))),C3007&lt;=Nonlabor!$G$12,OR(Nonlabor!$H$12="Monthly",AND(Nonlabor!$H$12="Once",C3007=IF(Nonlabor!$E$12="Core",Nonlabor!$F$12,MAX(Nonlabor!$F$12,IF(Nonlabor!$E$12="AI",Assumptions!$E$24,Assumptions!$E$25)))),AND(Nonlabor!$H$12="Annual",MOD(C3007-IF(Nonlabor!$E$12="Core",Nonlabor!$F$12,MAX(Nonlabor!$F$12,IF(Nonlabor!$E$12="AI",Assumptions!$E$24,Assumptions!$E$25))),12)=0))),IF(Nonlabor!$I$12="Fixed",1,IF(Nonlabor!$I$12="Seats",ROUNDUP('Monthly Growth'!I7,0),IF(Nonlabor!$I$12="Customers",'Monthly Growth'!D7,IF(Nonlabor!$I$12="NewCustomers",'Monthly Growth'!C7,IF(Nonlabor!$I$12="StorageGB",'Monthly Growth'!G7,IF(Nonlabor!$I$12="LogGB",'Monthly Growth'!H7,IF(Nonlabor!$I$12="RequestsM",'Monthly Growth'!F7,IF(Nonlabor!$I$12="InputM",'Monthly Growth'!D7*Assumptions!$E$22/1000000,IF(Nonlabor!$I$12="OutputM",'Monthly Growth'!D7*Assumptions!$E$23/1000000,0))))))))),0)</f>
        <v>0</v>
      </c>
      <c r="F3007" s="10" t="n">
        <f aca="false">Nonlabor!$J$12*(1+Assumptions!$E$9)^INT((C3007-1)/12)</f>
        <v>30</v>
      </c>
      <c r="G3007" s="10" t="n">
        <f aca="false">E3007*F3007</f>
        <v>0</v>
      </c>
      <c r="H3007" s="10" t="n">
        <f aca="false">IF(OR(Nonlabor!$L$12="Quote required",Nonlabor!$L$12="Unverified"),G3007,0)</f>
        <v>0</v>
      </c>
      <c r="I3007" s="10" t="n">
        <f aca="false">IF(Nonlabor!$E$12="Core",0,G3007)</f>
        <v>0</v>
      </c>
      <c r="J3007" s="23" t="str">
        <f aca="false">Nonlabor!$B$12</f>
        <v>INFRA</v>
      </c>
    </row>
    <row r="3008" customFormat="false" ht="15" hidden="false" customHeight="false" outlineLevel="0" collapsed="false">
      <c r="A3008" s="6" t="s">
        <v>73</v>
      </c>
      <c r="B3008" s="6" t="s">
        <v>391</v>
      </c>
      <c r="C3008" s="6" t="n">
        <v>3</v>
      </c>
      <c r="D3008" s="25" t="n">
        <f aca="false">EDATE('Start Here'!$B$6,C3008-1)</f>
        <v>46388</v>
      </c>
      <c r="E3008" s="11" t="n">
        <f aca="false">IF(AND(OR(Nonlabor!$D$12="Both",Nonlabor!$D$12='Start Here'!$B$9),IF(Nonlabor!$E$12="Core",1,IF(Nonlabor!$E$12="AI",'Start Here'!$B$7,'Start Here'!$B$8))=1,C3008&gt;=IF(Nonlabor!$E$12="Core",Nonlabor!$F$12,MAX(Nonlabor!$F$12,IF(Nonlabor!$E$12="AI",Assumptions!$E$24,Assumptions!$E$25))),C3008&lt;=Nonlabor!$G$12,OR(Nonlabor!$H$12="Monthly",AND(Nonlabor!$H$12="Once",C3008=IF(Nonlabor!$E$12="Core",Nonlabor!$F$12,MAX(Nonlabor!$F$12,IF(Nonlabor!$E$12="AI",Assumptions!$E$24,Assumptions!$E$25)))),AND(Nonlabor!$H$12="Annual",MOD(C3008-IF(Nonlabor!$E$12="Core",Nonlabor!$F$12,MAX(Nonlabor!$F$12,IF(Nonlabor!$E$12="AI",Assumptions!$E$24,Assumptions!$E$25))),12)=0))),IF(Nonlabor!$I$12="Fixed",1,IF(Nonlabor!$I$12="Seats",ROUNDUP('Monthly Growth'!I8,0),IF(Nonlabor!$I$12="Customers",'Monthly Growth'!D8,IF(Nonlabor!$I$12="NewCustomers",'Monthly Growth'!C8,IF(Nonlabor!$I$12="StorageGB",'Monthly Growth'!G8,IF(Nonlabor!$I$12="LogGB",'Monthly Growth'!H8,IF(Nonlabor!$I$12="RequestsM",'Monthly Growth'!F8,IF(Nonlabor!$I$12="InputM",'Monthly Growth'!D8*Assumptions!$E$22/1000000,IF(Nonlabor!$I$12="OutputM",'Monthly Growth'!D8*Assumptions!$E$23/1000000,0))))))))),0)</f>
        <v>0</v>
      </c>
      <c r="F3008" s="10" t="n">
        <f aca="false">Nonlabor!$J$12*(1+Assumptions!$E$9)^INT((C3008-1)/12)</f>
        <v>30</v>
      </c>
      <c r="G3008" s="10" t="n">
        <f aca="false">E3008*F3008</f>
        <v>0</v>
      </c>
      <c r="H3008" s="10" t="n">
        <f aca="false">IF(OR(Nonlabor!$L$12="Quote required",Nonlabor!$L$12="Unverified"),G3008,0)</f>
        <v>0</v>
      </c>
      <c r="I3008" s="10" t="n">
        <f aca="false">IF(Nonlabor!$E$12="Core",0,G3008)</f>
        <v>0</v>
      </c>
      <c r="J3008" s="23" t="str">
        <f aca="false">Nonlabor!$B$12</f>
        <v>INFRA</v>
      </c>
    </row>
    <row r="3009" customFormat="false" ht="15" hidden="false" customHeight="false" outlineLevel="0" collapsed="false">
      <c r="A3009" s="6" t="s">
        <v>73</v>
      </c>
      <c r="B3009" s="6" t="s">
        <v>391</v>
      </c>
      <c r="C3009" s="6" t="n">
        <v>4</v>
      </c>
      <c r="D3009" s="25" t="n">
        <f aca="false">EDATE('Start Here'!$B$6,C3009-1)</f>
        <v>46419</v>
      </c>
      <c r="E3009" s="11" t="n">
        <f aca="false">IF(AND(OR(Nonlabor!$D$12="Both",Nonlabor!$D$12='Start Here'!$B$9),IF(Nonlabor!$E$12="Core",1,IF(Nonlabor!$E$12="AI",'Start Here'!$B$7,'Start Here'!$B$8))=1,C3009&gt;=IF(Nonlabor!$E$12="Core",Nonlabor!$F$12,MAX(Nonlabor!$F$12,IF(Nonlabor!$E$12="AI",Assumptions!$E$24,Assumptions!$E$25))),C3009&lt;=Nonlabor!$G$12,OR(Nonlabor!$H$12="Monthly",AND(Nonlabor!$H$12="Once",C3009=IF(Nonlabor!$E$12="Core",Nonlabor!$F$12,MAX(Nonlabor!$F$12,IF(Nonlabor!$E$12="AI",Assumptions!$E$24,Assumptions!$E$25)))),AND(Nonlabor!$H$12="Annual",MOD(C3009-IF(Nonlabor!$E$12="Core",Nonlabor!$F$12,MAX(Nonlabor!$F$12,IF(Nonlabor!$E$12="AI",Assumptions!$E$24,Assumptions!$E$25))),12)=0))),IF(Nonlabor!$I$12="Fixed",1,IF(Nonlabor!$I$12="Seats",ROUNDUP('Monthly Growth'!I9,0),IF(Nonlabor!$I$12="Customers",'Monthly Growth'!D9,IF(Nonlabor!$I$12="NewCustomers",'Monthly Growth'!C9,IF(Nonlabor!$I$12="StorageGB",'Monthly Growth'!G9,IF(Nonlabor!$I$12="LogGB",'Monthly Growth'!H9,IF(Nonlabor!$I$12="RequestsM",'Monthly Growth'!F9,IF(Nonlabor!$I$12="InputM",'Monthly Growth'!D9*Assumptions!$E$22/1000000,IF(Nonlabor!$I$12="OutputM",'Monthly Growth'!D9*Assumptions!$E$23/1000000,0))))))))),0)</f>
        <v>0</v>
      </c>
      <c r="F3009" s="10" t="n">
        <f aca="false">Nonlabor!$J$12*(1+Assumptions!$E$9)^INT((C3009-1)/12)</f>
        <v>30</v>
      </c>
      <c r="G3009" s="10" t="n">
        <f aca="false">E3009*F3009</f>
        <v>0</v>
      </c>
      <c r="H3009" s="10" t="n">
        <f aca="false">IF(OR(Nonlabor!$L$12="Quote required",Nonlabor!$L$12="Unverified"),G3009,0)</f>
        <v>0</v>
      </c>
      <c r="I3009" s="10" t="n">
        <f aca="false">IF(Nonlabor!$E$12="Core",0,G3009)</f>
        <v>0</v>
      </c>
      <c r="J3009" s="23" t="str">
        <f aca="false">Nonlabor!$B$12</f>
        <v>INFRA</v>
      </c>
    </row>
    <row r="3010" customFormat="false" ht="15" hidden="false" customHeight="false" outlineLevel="0" collapsed="false">
      <c r="A3010" s="6" t="s">
        <v>73</v>
      </c>
      <c r="B3010" s="6" t="s">
        <v>391</v>
      </c>
      <c r="C3010" s="6" t="n">
        <v>5</v>
      </c>
      <c r="D3010" s="25" t="n">
        <f aca="false">EDATE('Start Here'!$B$6,C3010-1)</f>
        <v>46447</v>
      </c>
      <c r="E3010" s="11" t="n">
        <f aca="false">IF(AND(OR(Nonlabor!$D$12="Both",Nonlabor!$D$12='Start Here'!$B$9),IF(Nonlabor!$E$12="Core",1,IF(Nonlabor!$E$12="AI",'Start Here'!$B$7,'Start Here'!$B$8))=1,C3010&gt;=IF(Nonlabor!$E$12="Core",Nonlabor!$F$12,MAX(Nonlabor!$F$12,IF(Nonlabor!$E$12="AI",Assumptions!$E$24,Assumptions!$E$25))),C3010&lt;=Nonlabor!$G$12,OR(Nonlabor!$H$12="Monthly",AND(Nonlabor!$H$12="Once",C3010=IF(Nonlabor!$E$12="Core",Nonlabor!$F$12,MAX(Nonlabor!$F$12,IF(Nonlabor!$E$12="AI",Assumptions!$E$24,Assumptions!$E$25)))),AND(Nonlabor!$H$12="Annual",MOD(C3010-IF(Nonlabor!$E$12="Core",Nonlabor!$F$12,MAX(Nonlabor!$F$12,IF(Nonlabor!$E$12="AI",Assumptions!$E$24,Assumptions!$E$25))),12)=0))),IF(Nonlabor!$I$12="Fixed",1,IF(Nonlabor!$I$12="Seats",ROUNDUP('Monthly Growth'!I10,0),IF(Nonlabor!$I$12="Customers",'Monthly Growth'!D10,IF(Nonlabor!$I$12="NewCustomers",'Monthly Growth'!C10,IF(Nonlabor!$I$12="StorageGB",'Monthly Growth'!G10,IF(Nonlabor!$I$12="LogGB",'Monthly Growth'!H10,IF(Nonlabor!$I$12="RequestsM",'Monthly Growth'!F10,IF(Nonlabor!$I$12="InputM",'Monthly Growth'!D10*Assumptions!$E$22/1000000,IF(Nonlabor!$I$12="OutputM",'Monthly Growth'!D10*Assumptions!$E$23/1000000,0))))))))),0)</f>
        <v>0</v>
      </c>
      <c r="F3010" s="10" t="n">
        <f aca="false">Nonlabor!$J$12*(1+Assumptions!$E$9)^INT((C3010-1)/12)</f>
        <v>30</v>
      </c>
      <c r="G3010" s="10" t="n">
        <f aca="false">E3010*F3010</f>
        <v>0</v>
      </c>
      <c r="H3010" s="10" t="n">
        <f aca="false">IF(OR(Nonlabor!$L$12="Quote required",Nonlabor!$L$12="Unverified"),G3010,0)</f>
        <v>0</v>
      </c>
      <c r="I3010" s="10" t="n">
        <f aca="false">IF(Nonlabor!$E$12="Core",0,G3010)</f>
        <v>0</v>
      </c>
      <c r="J3010" s="23" t="str">
        <f aca="false">Nonlabor!$B$12</f>
        <v>INFRA</v>
      </c>
    </row>
    <row r="3011" customFormat="false" ht="15" hidden="false" customHeight="false" outlineLevel="0" collapsed="false">
      <c r="A3011" s="6" t="s">
        <v>73</v>
      </c>
      <c r="B3011" s="6" t="s">
        <v>391</v>
      </c>
      <c r="C3011" s="6" t="n">
        <v>6</v>
      </c>
      <c r="D3011" s="25" t="n">
        <f aca="false">EDATE('Start Here'!$B$6,C3011-1)</f>
        <v>46478</v>
      </c>
      <c r="E3011" s="11" t="n">
        <f aca="false">IF(AND(OR(Nonlabor!$D$12="Both",Nonlabor!$D$12='Start Here'!$B$9),IF(Nonlabor!$E$12="Core",1,IF(Nonlabor!$E$12="AI",'Start Here'!$B$7,'Start Here'!$B$8))=1,C3011&gt;=IF(Nonlabor!$E$12="Core",Nonlabor!$F$12,MAX(Nonlabor!$F$12,IF(Nonlabor!$E$12="AI",Assumptions!$E$24,Assumptions!$E$25))),C3011&lt;=Nonlabor!$G$12,OR(Nonlabor!$H$12="Monthly",AND(Nonlabor!$H$12="Once",C3011=IF(Nonlabor!$E$12="Core",Nonlabor!$F$12,MAX(Nonlabor!$F$12,IF(Nonlabor!$E$12="AI",Assumptions!$E$24,Assumptions!$E$25)))),AND(Nonlabor!$H$12="Annual",MOD(C3011-IF(Nonlabor!$E$12="Core",Nonlabor!$F$12,MAX(Nonlabor!$F$12,IF(Nonlabor!$E$12="AI",Assumptions!$E$24,Assumptions!$E$25))),12)=0))),IF(Nonlabor!$I$12="Fixed",1,IF(Nonlabor!$I$12="Seats",ROUNDUP('Monthly Growth'!I11,0),IF(Nonlabor!$I$12="Customers",'Monthly Growth'!D11,IF(Nonlabor!$I$12="NewCustomers",'Monthly Growth'!C11,IF(Nonlabor!$I$12="StorageGB",'Monthly Growth'!G11,IF(Nonlabor!$I$12="LogGB",'Monthly Growth'!H11,IF(Nonlabor!$I$12="RequestsM",'Monthly Growth'!F11,IF(Nonlabor!$I$12="InputM",'Monthly Growth'!D11*Assumptions!$E$22/1000000,IF(Nonlabor!$I$12="OutputM",'Monthly Growth'!D11*Assumptions!$E$23/1000000,0))))))))),0)</f>
        <v>0</v>
      </c>
      <c r="F3011" s="10" t="n">
        <f aca="false">Nonlabor!$J$12*(1+Assumptions!$E$9)^INT((C3011-1)/12)</f>
        <v>30</v>
      </c>
      <c r="G3011" s="10" t="n">
        <f aca="false">E3011*F3011</f>
        <v>0</v>
      </c>
      <c r="H3011" s="10" t="n">
        <f aca="false">IF(OR(Nonlabor!$L$12="Quote required",Nonlabor!$L$12="Unverified"),G3011,0)</f>
        <v>0</v>
      </c>
      <c r="I3011" s="10" t="n">
        <f aca="false">IF(Nonlabor!$E$12="Core",0,G3011)</f>
        <v>0</v>
      </c>
      <c r="J3011" s="23" t="str">
        <f aca="false">Nonlabor!$B$12</f>
        <v>INFRA</v>
      </c>
    </row>
    <row r="3012" customFormat="false" ht="15" hidden="false" customHeight="false" outlineLevel="0" collapsed="false">
      <c r="A3012" s="6" t="s">
        <v>73</v>
      </c>
      <c r="B3012" s="6" t="s">
        <v>391</v>
      </c>
      <c r="C3012" s="6" t="n">
        <v>7</v>
      </c>
      <c r="D3012" s="25" t="n">
        <f aca="false">EDATE('Start Here'!$B$6,C3012-1)</f>
        <v>46508</v>
      </c>
      <c r="E3012" s="11" t="n">
        <f aca="false">IF(AND(OR(Nonlabor!$D$12="Both",Nonlabor!$D$12='Start Here'!$B$9),IF(Nonlabor!$E$12="Core",1,IF(Nonlabor!$E$12="AI",'Start Here'!$B$7,'Start Here'!$B$8))=1,C3012&gt;=IF(Nonlabor!$E$12="Core",Nonlabor!$F$12,MAX(Nonlabor!$F$12,IF(Nonlabor!$E$12="AI",Assumptions!$E$24,Assumptions!$E$25))),C3012&lt;=Nonlabor!$G$12,OR(Nonlabor!$H$12="Monthly",AND(Nonlabor!$H$12="Once",C3012=IF(Nonlabor!$E$12="Core",Nonlabor!$F$12,MAX(Nonlabor!$F$12,IF(Nonlabor!$E$12="AI",Assumptions!$E$24,Assumptions!$E$25)))),AND(Nonlabor!$H$12="Annual",MOD(C3012-IF(Nonlabor!$E$12="Core",Nonlabor!$F$12,MAX(Nonlabor!$F$12,IF(Nonlabor!$E$12="AI",Assumptions!$E$24,Assumptions!$E$25))),12)=0))),IF(Nonlabor!$I$12="Fixed",1,IF(Nonlabor!$I$12="Seats",ROUNDUP('Monthly Growth'!I12,0),IF(Nonlabor!$I$12="Customers",'Monthly Growth'!D12,IF(Nonlabor!$I$12="NewCustomers",'Monthly Growth'!C12,IF(Nonlabor!$I$12="StorageGB",'Monthly Growth'!G12,IF(Nonlabor!$I$12="LogGB",'Monthly Growth'!H12,IF(Nonlabor!$I$12="RequestsM",'Monthly Growth'!F12,IF(Nonlabor!$I$12="InputM",'Monthly Growth'!D12*Assumptions!$E$22/1000000,IF(Nonlabor!$I$12="OutputM",'Monthly Growth'!D12*Assumptions!$E$23/1000000,0))))))))),0)</f>
        <v>0</v>
      </c>
      <c r="F3012" s="10" t="n">
        <f aca="false">Nonlabor!$J$12*(1+Assumptions!$E$9)^INT((C3012-1)/12)</f>
        <v>30</v>
      </c>
      <c r="G3012" s="10" t="n">
        <f aca="false">E3012*F3012</f>
        <v>0</v>
      </c>
      <c r="H3012" s="10" t="n">
        <f aca="false">IF(OR(Nonlabor!$L$12="Quote required",Nonlabor!$L$12="Unverified"),G3012,0)</f>
        <v>0</v>
      </c>
      <c r="I3012" s="10" t="n">
        <f aca="false">IF(Nonlabor!$E$12="Core",0,G3012)</f>
        <v>0</v>
      </c>
      <c r="J3012" s="23" t="str">
        <f aca="false">Nonlabor!$B$12</f>
        <v>INFRA</v>
      </c>
    </row>
    <row r="3013" customFormat="false" ht="15" hidden="false" customHeight="false" outlineLevel="0" collapsed="false">
      <c r="A3013" s="6" t="s">
        <v>73</v>
      </c>
      <c r="B3013" s="6" t="s">
        <v>391</v>
      </c>
      <c r="C3013" s="6" t="n">
        <v>8</v>
      </c>
      <c r="D3013" s="25" t="n">
        <f aca="false">EDATE('Start Here'!$B$6,C3013-1)</f>
        <v>46539</v>
      </c>
      <c r="E3013" s="11" t="n">
        <f aca="false">IF(AND(OR(Nonlabor!$D$12="Both",Nonlabor!$D$12='Start Here'!$B$9),IF(Nonlabor!$E$12="Core",1,IF(Nonlabor!$E$12="AI",'Start Here'!$B$7,'Start Here'!$B$8))=1,C3013&gt;=IF(Nonlabor!$E$12="Core",Nonlabor!$F$12,MAX(Nonlabor!$F$12,IF(Nonlabor!$E$12="AI",Assumptions!$E$24,Assumptions!$E$25))),C3013&lt;=Nonlabor!$G$12,OR(Nonlabor!$H$12="Monthly",AND(Nonlabor!$H$12="Once",C3013=IF(Nonlabor!$E$12="Core",Nonlabor!$F$12,MAX(Nonlabor!$F$12,IF(Nonlabor!$E$12="AI",Assumptions!$E$24,Assumptions!$E$25)))),AND(Nonlabor!$H$12="Annual",MOD(C3013-IF(Nonlabor!$E$12="Core",Nonlabor!$F$12,MAX(Nonlabor!$F$12,IF(Nonlabor!$E$12="AI",Assumptions!$E$24,Assumptions!$E$25))),12)=0))),IF(Nonlabor!$I$12="Fixed",1,IF(Nonlabor!$I$12="Seats",ROUNDUP('Monthly Growth'!I13,0),IF(Nonlabor!$I$12="Customers",'Monthly Growth'!D13,IF(Nonlabor!$I$12="NewCustomers",'Monthly Growth'!C13,IF(Nonlabor!$I$12="StorageGB",'Monthly Growth'!G13,IF(Nonlabor!$I$12="LogGB",'Monthly Growth'!H13,IF(Nonlabor!$I$12="RequestsM",'Monthly Growth'!F13,IF(Nonlabor!$I$12="InputM",'Monthly Growth'!D13*Assumptions!$E$22/1000000,IF(Nonlabor!$I$12="OutputM",'Monthly Growth'!D13*Assumptions!$E$23/1000000,0))))))))),0)</f>
        <v>0</v>
      </c>
      <c r="F3013" s="10" t="n">
        <f aca="false">Nonlabor!$J$12*(1+Assumptions!$E$9)^INT((C3013-1)/12)</f>
        <v>30</v>
      </c>
      <c r="G3013" s="10" t="n">
        <f aca="false">E3013*F3013</f>
        <v>0</v>
      </c>
      <c r="H3013" s="10" t="n">
        <f aca="false">IF(OR(Nonlabor!$L$12="Quote required",Nonlabor!$L$12="Unverified"),G3013,0)</f>
        <v>0</v>
      </c>
      <c r="I3013" s="10" t="n">
        <f aca="false">IF(Nonlabor!$E$12="Core",0,G3013)</f>
        <v>0</v>
      </c>
      <c r="J3013" s="23" t="str">
        <f aca="false">Nonlabor!$B$12</f>
        <v>INFRA</v>
      </c>
    </row>
    <row r="3014" customFormat="false" ht="15" hidden="false" customHeight="false" outlineLevel="0" collapsed="false">
      <c r="A3014" s="6" t="s">
        <v>73</v>
      </c>
      <c r="B3014" s="6" t="s">
        <v>391</v>
      </c>
      <c r="C3014" s="6" t="n">
        <v>9</v>
      </c>
      <c r="D3014" s="25" t="n">
        <f aca="false">EDATE('Start Here'!$B$6,C3014-1)</f>
        <v>46569</v>
      </c>
      <c r="E3014" s="11" t="n">
        <f aca="false">IF(AND(OR(Nonlabor!$D$12="Both",Nonlabor!$D$12='Start Here'!$B$9),IF(Nonlabor!$E$12="Core",1,IF(Nonlabor!$E$12="AI",'Start Here'!$B$7,'Start Here'!$B$8))=1,C3014&gt;=IF(Nonlabor!$E$12="Core",Nonlabor!$F$12,MAX(Nonlabor!$F$12,IF(Nonlabor!$E$12="AI",Assumptions!$E$24,Assumptions!$E$25))),C3014&lt;=Nonlabor!$G$12,OR(Nonlabor!$H$12="Monthly",AND(Nonlabor!$H$12="Once",C3014=IF(Nonlabor!$E$12="Core",Nonlabor!$F$12,MAX(Nonlabor!$F$12,IF(Nonlabor!$E$12="AI",Assumptions!$E$24,Assumptions!$E$25)))),AND(Nonlabor!$H$12="Annual",MOD(C3014-IF(Nonlabor!$E$12="Core",Nonlabor!$F$12,MAX(Nonlabor!$F$12,IF(Nonlabor!$E$12="AI",Assumptions!$E$24,Assumptions!$E$25))),12)=0))),IF(Nonlabor!$I$12="Fixed",1,IF(Nonlabor!$I$12="Seats",ROUNDUP('Monthly Growth'!I14,0),IF(Nonlabor!$I$12="Customers",'Monthly Growth'!D14,IF(Nonlabor!$I$12="NewCustomers",'Monthly Growth'!C14,IF(Nonlabor!$I$12="StorageGB",'Monthly Growth'!G14,IF(Nonlabor!$I$12="LogGB",'Monthly Growth'!H14,IF(Nonlabor!$I$12="RequestsM",'Monthly Growth'!F14,IF(Nonlabor!$I$12="InputM",'Monthly Growth'!D14*Assumptions!$E$22/1000000,IF(Nonlabor!$I$12="OutputM",'Monthly Growth'!D14*Assumptions!$E$23/1000000,0))))))))),0)</f>
        <v>0</v>
      </c>
      <c r="F3014" s="10" t="n">
        <f aca="false">Nonlabor!$J$12*(1+Assumptions!$E$9)^INT((C3014-1)/12)</f>
        <v>30</v>
      </c>
      <c r="G3014" s="10" t="n">
        <f aca="false">E3014*F3014</f>
        <v>0</v>
      </c>
      <c r="H3014" s="10" t="n">
        <f aca="false">IF(OR(Nonlabor!$L$12="Quote required",Nonlabor!$L$12="Unverified"),G3014,0)</f>
        <v>0</v>
      </c>
      <c r="I3014" s="10" t="n">
        <f aca="false">IF(Nonlabor!$E$12="Core",0,G3014)</f>
        <v>0</v>
      </c>
      <c r="J3014" s="23" t="str">
        <f aca="false">Nonlabor!$B$12</f>
        <v>INFRA</v>
      </c>
    </row>
    <row r="3015" customFormat="false" ht="15" hidden="false" customHeight="false" outlineLevel="0" collapsed="false">
      <c r="A3015" s="6" t="s">
        <v>73</v>
      </c>
      <c r="B3015" s="6" t="s">
        <v>391</v>
      </c>
      <c r="C3015" s="6" t="n">
        <v>10</v>
      </c>
      <c r="D3015" s="25" t="n">
        <f aca="false">EDATE('Start Here'!$B$6,C3015-1)</f>
        <v>46600</v>
      </c>
      <c r="E3015" s="11" t="n">
        <f aca="false">IF(AND(OR(Nonlabor!$D$12="Both",Nonlabor!$D$12='Start Here'!$B$9),IF(Nonlabor!$E$12="Core",1,IF(Nonlabor!$E$12="AI",'Start Here'!$B$7,'Start Here'!$B$8))=1,C3015&gt;=IF(Nonlabor!$E$12="Core",Nonlabor!$F$12,MAX(Nonlabor!$F$12,IF(Nonlabor!$E$12="AI",Assumptions!$E$24,Assumptions!$E$25))),C3015&lt;=Nonlabor!$G$12,OR(Nonlabor!$H$12="Monthly",AND(Nonlabor!$H$12="Once",C3015=IF(Nonlabor!$E$12="Core",Nonlabor!$F$12,MAX(Nonlabor!$F$12,IF(Nonlabor!$E$12="AI",Assumptions!$E$24,Assumptions!$E$25)))),AND(Nonlabor!$H$12="Annual",MOD(C3015-IF(Nonlabor!$E$12="Core",Nonlabor!$F$12,MAX(Nonlabor!$F$12,IF(Nonlabor!$E$12="AI",Assumptions!$E$24,Assumptions!$E$25))),12)=0))),IF(Nonlabor!$I$12="Fixed",1,IF(Nonlabor!$I$12="Seats",ROUNDUP('Monthly Growth'!I15,0),IF(Nonlabor!$I$12="Customers",'Monthly Growth'!D15,IF(Nonlabor!$I$12="NewCustomers",'Monthly Growth'!C15,IF(Nonlabor!$I$12="StorageGB",'Monthly Growth'!G15,IF(Nonlabor!$I$12="LogGB",'Monthly Growth'!H15,IF(Nonlabor!$I$12="RequestsM",'Monthly Growth'!F15,IF(Nonlabor!$I$12="InputM",'Monthly Growth'!D15*Assumptions!$E$22/1000000,IF(Nonlabor!$I$12="OutputM",'Monthly Growth'!D15*Assumptions!$E$23/1000000,0))))))))),0)</f>
        <v>0</v>
      </c>
      <c r="F3015" s="10" t="n">
        <f aca="false">Nonlabor!$J$12*(1+Assumptions!$E$9)^INT((C3015-1)/12)</f>
        <v>30</v>
      </c>
      <c r="G3015" s="10" t="n">
        <f aca="false">E3015*F3015</f>
        <v>0</v>
      </c>
      <c r="H3015" s="10" t="n">
        <f aca="false">IF(OR(Nonlabor!$L$12="Quote required",Nonlabor!$L$12="Unverified"),G3015,0)</f>
        <v>0</v>
      </c>
      <c r="I3015" s="10" t="n">
        <f aca="false">IF(Nonlabor!$E$12="Core",0,G3015)</f>
        <v>0</v>
      </c>
      <c r="J3015" s="23" t="str">
        <f aca="false">Nonlabor!$B$12</f>
        <v>INFRA</v>
      </c>
    </row>
    <row r="3016" customFormat="false" ht="15" hidden="false" customHeight="false" outlineLevel="0" collapsed="false">
      <c r="A3016" s="6" t="s">
        <v>73</v>
      </c>
      <c r="B3016" s="6" t="s">
        <v>391</v>
      </c>
      <c r="C3016" s="6" t="n">
        <v>11</v>
      </c>
      <c r="D3016" s="25" t="n">
        <f aca="false">EDATE('Start Here'!$B$6,C3016-1)</f>
        <v>46631</v>
      </c>
      <c r="E3016" s="11" t="n">
        <f aca="false">IF(AND(OR(Nonlabor!$D$12="Both",Nonlabor!$D$12='Start Here'!$B$9),IF(Nonlabor!$E$12="Core",1,IF(Nonlabor!$E$12="AI",'Start Here'!$B$7,'Start Here'!$B$8))=1,C3016&gt;=IF(Nonlabor!$E$12="Core",Nonlabor!$F$12,MAX(Nonlabor!$F$12,IF(Nonlabor!$E$12="AI",Assumptions!$E$24,Assumptions!$E$25))),C3016&lt;=Nonlabor!$G$12,OR(Nonlabor!$H$12="Monthly",AND(Nonlabor!$H$12="Once",C3016=IF(Nonlabor!$E$12="Core",Nonlabor!$F$12,MAX(Nonlabor!$F$12,IF(Nonlabor!$E$12="AI",Assumptions!$E$24,Assumptions!$E$25)))),AND(Nonlabor!$H$12="Annual",MOD(C3016-IF(Nonlabor!$E$12="Core",Nonlabor!$F$12,MAX(Nonlabor!$F$12,IF(Nonlabor!$E$12="AI",Assumptions!$E$24,Assumptions!$E$25))),12)=0))),IF(Nonlabor!$I$12="Fixed",1,IF(Nonlabor!$I$12="Seats",ROUNDUP('Monthly Growth'!I16,0),IF(Nonlabor!$I$12="Customers",'Monthly Growth'!D16,IF(Nonlabor!$I$12="NewCustomers",'Monthly Growth'!C16,IF(Nonlabor!$I$12="StorageGB",'Monthly Growth'!G16,IF(Nonlabor!$I$12="LogGB",'Monthly Growth'!H16,IF(Nonlabor!$I$12="RequestsM",'Monthly Growth'!F16,IF(Nonlabor!$I$12="InputM",'Monthly Growth'!D16*Assumptions!$E$22/1000000,IF(Nonlabor!$I$12="OutputM",'Monthly Growth'!D16*Assumptions!$E$23/1000000,0))))))))),0)</f>
        <v>0</v>
      </c>
      <c r="F3016" s="10" t="n">
        <f aca="false">Nonlabor!$J$12*(1+Assumptions!$E$9)^INT((C3016-1)/12)</f>
        <v>30</v>
      </c>
      <c r="G3016" s="10" t="n">
        <f aca="false">E3016*F3016</f>
        <v>0</v>
      </c>
      <c r="H3016" s="10" t="n">
        <f aca="false">IF(OR(Nonlabor!$L$12="Quote required",Nonlabor!$L$12="Unverified"),G3016,0)</f>
        <v>0</v>
      </c>
      <c r="I3016" s="10" t="n">
        <f aca="false">IF(Nonlabor!$E$12="Core",0,G3016)</f>
        <v>0</v>
      </c>
      <c r="J3016" s="23" t="str">
        <f aca="false">Nonlabor!$B$12</f>
        <v>INFRA</v>
      </c>
    </row>
    <row r="3017" customFormat="false" ht="15" hidden="false" customHeight="false" outlineLevel="0" collapsed="false">
      <c r="A3017" s="6" t="s">
        <v>73</v>
      </c>
      <c r="B3017" s="6" t="s">
        <v>391</v>
      </c>
      <c r="C3017" s="6" t="n">
        <v>12</v>
      </c>
      <c r="D3017" s="25" t="n">
        <f aca="false">EDATE('Start Here'!$B$6,C3017-1)</f>
        <v>46661</v>
      </c>
      <c r="E3017" s="11" t="n">
        <f aca="false">IF(AND(OR(Nonlabor!$D$12="Both",Nonlabor!$D$12='Start Here'!$B$9),IF(Nonlabor!$E$12="Core",1,IF(Nonlabor!$E$12="AI",'Start Here'!$B$7,'Start Here'!$B$8))=1,C3017&gt;=IF(Nonlabor!$E$12="Core",Nonlabor!$F$12,MAX(Nonlabor!$F$12,IF(Nonlabor!$E$12="AI",Assumptions!$E$24,Assumptions!$E$25))),C3017&lt;=Nonlabor!$G$12,OR(Nonlabor!$H$12="Monthly",AND(Nonlabor!$H$12="Once",C3017=IF(Nonlabor!$E$12="Core",Nonlabor!$F$12,MAX(Nonlabor!$F$12,IF(Nonlabor!$E$12="AI",Assumptions!$E$24,Assumptions!$E$25)))),AND(Nonlabor!$H$12="Annual",MOD(C3017-IF(Nonlabor!$E$12="Core",Nonlabor!$F$12,MAX(Nonlabor!$F$12,IF(Nonlabor!$E$12="AI",Assumptions!$E$24,Assumptions!$E$25))),12)=0))),IF(Nonlabor!$I$12="Fixed",1,IF(Nonlabor!$I$12="Seats",ROUNDUP('Monthly Growth'!I17,0),IF(Nonlabor!$I$12="Customers",'Monthly Growth'!D17,IF(Nonlabor!$I$12="NewCustomers",'Monthly Growth'!C17,IF(Nonlabor!$I$12="StorageGB",'Monthly Growth'!G17,IF(Nonlabor!$I$12="LogGB",'Monthly Growth'!H17,IF(Nonlabor!$I$12="RequestsM",'Monthly Growth'!F17,IF(Nonlabor!$I$12="InputM",'Monthly Growth'!D17*Assumptions!$E$22/1000000,IF(Nonlabor!$I$12="OutputM",'Monthly Growth'!D17*Assumptions!$E$23/1000000,0))))))))),0)</f>
        <v>0.375</v>
      </c>
      <c r="F3017" s="10" t="n">
        <f aca="false">Nonlabor!$J$12*(1+Assumptions!$E$9)^INT((C3017-1)/12)</f>
        <v>30</v>
      </c>
      <c r="G3017" s="10" t="n">
        <f aca="false">E3017*F3017</f>
        <v>11.25</v>
      </c>
      <c r="H3017" s="10" t="n">
        <f aca="false">IF(OR(Nonlabor!$L$12="Quote required",Nonlabor!$L$12="Unverified"),G3017,0)</f>
        <v>0</v>
      </c>
      <c r="I3017" s="10" t="n">
        <f aca="false">IF(Nonlabor!$E$12="Core",0,G3017)</f>
        <v>0</v>
      </c>
      <c r="J3017" s="23" t="str">
        <f aca="false">Nonlabor!$B$12</f>
        <v>INFRA</v>
      </c>
    </row>
    <row r="3018" customFormat="false" ht="15" hidden="false" customHeight="false" outlineLevel="0" collapsed="false">
      <c r="A3018" s="6" t="s">
        <v>73</v>
      </c>
      <c r="B3018" s="6" t="s">
        <v>391</v>
      </c>
      <c r="C3018" s="6" t="n">
        <v>13</v>
      </c>
      <c r="D3018" s="25" t="n">
        <f aca="false">EDATE('Start Here'!$B$6,C3018-1)</f>
        <v>46692</v>
      </c>
      <c r="E3018" s="11" t="n">
        <f aca="false">IF(AND(OR(Nonlabor!$D$12="Both",Nonlabor!$D$12='Start Here'!$B$9),IF(Nonlabor!$E$12="Core",1,IF(Nonlabor!$E$12="AI",'Start Here'!$B$7,'Start Here'!$B$8))=1,C3018&gt;=IF(Nonlabor!$E$12="Core",Nonlabor!$F$12,MAX(Nonlabor!$F$12,IF(Nonlabor!$E$12="AI",Assumptions!$E$24,Assumptions!$E$25))),C3018&lt;=Nonlabor!$G$12,OR(Nonlabor!$H$12="Monthly",AND(Nonlabor!$H$12="Once",C3018=IF(Nonlabor!$E$12="Core",Nonlabor!$F$12,MAX(Nonlabor!$F$12,IF(Nonlabor!$E$12="AI",Assumptions!$E$24,Assumptions!$E$25)))),AND(Nonlabor!$H$12="Annual",MOD(C3018-IF(Nonlabor!$E$12="Core",Nonlabor!$F$12,MAX(Nonlabor!$F$12,IF(Nonlabor!$E$12="AI",Assumptions!$E$24,Assumptions!$E$25))),12)=0))),IF(Nonlabor!$I$12="Fixed",1,IF(Nonlabor!$I$12="Seats",ROUNDUP('Monthly Growth'!I18,0),IF(Nonlabor!$I$12="Customers",'Monthly Growth'!D18,IF(Nonlabor!$I$12="NewCustomers",'Monthly Growth'!C18,IF(Nonlabor!$I$12="StorageGB",'Monthly Growth'!G18,IF(Nonlabor!$I$12="LogGB",'Monthly Growth'!H18,IF(Nonlabor!$I$12="RequestsM",'Monthly Growth'!F18,IF(Nonlabor!$I$12="InputM",'Monthly Growth'!D18*Assumptions!$E$22/1000000,IF(Nonlabor!$I$12="OutputM",'Monthly Growth'!D18*Assumptions!$E$23/1000000,0))))))))),0)</f>
        <v>0.74625</v>
      </c>
      <c r="F3018" s="10" t="n">
        <f aca="false">Nonlabor!$J$12*(1+Assumptions!$E$9)^INT((C3018-1)/12)</f>
        <v>31.2</v>
      </c>
      <c r="G3018" s="10" t="n">
        <f aca="false">E3018*F3018</f>
        <v>23.283</v>
      </c>
      <c r="H3018" s="10" t="n">
        <f aca="false">IF(OR(Nonlabor!$L$12="Quote required",Nonlabor!$L$12="Unverified"),G3018,0)</f>
        <v>0</v>
      </c>
      <c r="I3018" s="10" t="n">
        <f aca="false">IF(Nonlabor!$E$12="Core",0,G3018)</f>
        <v>0</v>
      </c>
      <c r="J3018" s="23" t="str">
        <f aca="false">Nonlabor!$B$12</f>
        <v>INFRA</v>
      </c>
    </row>
    <row r="3019" customFormat="false" ht="15" hidden="false" customHeight="false" outlineLevel="0" collapsed="false">
      <c r="A3019" s="6" t="s">
        <v>73</v>
      </c>
      <c r="B3019" s="6" t="s">
        <v>391</v>
      </c>
      <c r="C3019" s="6" t="n">
        <v>14</v>
      </c>
      <c r="D3019" s="25" t="n">
        <f aca="false">EDATE('Start Here'!$B$6,C3019-1)</f>
        <v>46722</v>
      </c>
      <c r="E3019" s="11" t="n">
        <f aca="false">IF(AND(OR(Nonlabor!$D$12="Both",Nonlabor!$D$12='Start Here'!$B$9),IF(Nonlabor!$E$12="Core",1,IF(Nonlabor!$E$12="AI",'Start Here'!$B$7,'Start Here'!$B$8))=1,C3019&gt;=IF(Nonlabor!$E$12="Core",Nonlabor!$F$12,MAX(Nonlabor!$F$12,IF(Nonlabor!$E$12="AI",Assumptions!$E$24,Assumptions!$E$25))),C3019&lt;=Nonlabor!$G$12,OR(Nonlabor!$H$12="Monthly",AND(Nonlabor!$H$12="Once",C3019=IF(Nonlabor!$E$12="Core",Nonlabor!$F$12,MAX(Nonlabor!$F$12,IF(Nonlabor!$E$12="AI",Assumptions!$E$24,Assumptions!$E$25)))),AND(Nonlabor!$H$12="Annual",MOD(C3019-IF(Nonlabor!$E$12="Core",Nonlabor!$F$12,MAX(Nonlabor!$F$12,IF(Nonlabor!$E$12="AI",Assumptions!$E$24,Assumptions!$E$25))),12)=0))),IF(Nonlabor!$I$12="Fixed",1,IF(Nonlabor!$I$12="Seats",ROUNDUP('Monthly Growth'!I19,0),IF(Nonlabor!$I$12="Customers",'Monthly Growth'!D19,IF(Nonlabor!$I$12="NewCustomers",'Monthly Growth'!C19,IF(Nonlabor!$I$12="StorageGB",'Monthly Growth'!G19,IF(Nonlabor!$I$12="LogGB",'Monthly Growth'!H19,IF(Nonlabor!$I$12="RequestsM",'Monthly Growth'!F19,IF(Nonlabor!$I$12="InputM",'Monthly Growth'!D19*Assumptions!$E$22/1000000,IF(Nonlabor!$I$12="OutputM",'Monthly Growth'!D19*Assumptions!$E$23/1000000,0))))))))),0)</f>
        <v>1.1137875</v>
      </c>
      <c r="F3019" s="10" t="n">
        <f aca="false">Nonlabor!$J$12*(1+Assumptions!$E$9)^INT((C3019-1)/12)</f>
        <v>31.2</v>
      </c>
      <c r="G3019" s="10" t="n">
        <f aca="false">E3019*F3019</f>
        <v>34.75017</v>
      </c>
      <c r="H3019" s="10" t="n">
        <f aca="false">IF(OR(Nonlabor!$L$12="Quote required",Nonlabor!$L$12="Unverified"),G3019,0)</f>
        <v>0</v>
      </c>
      <c r="I3019" s="10" t="n">
        <f aca="false">IF(Nonlabor!$E$12="Core",0,G3019)</f>
        <v>0</v>
      </c>
      <c r="J3019" s="23" t="str">
        <f aca="false">Nonlabor!$B$12</f>
        <v>INFRA</v>
      </c>
    </row>
    <row r="3020" customFormat="false" ht="15" hidden="false" customHeight="false" outlineLevel="0" collapsed="false">
      <c r="A3020" s="6" t="s">
        <v>73</v>
      </c>
      <c r="B3020" s="6" t="s">
        <v>391</v>
      </c>
      <c r="C3020" s="6" t="n">
        <v>15</v>
      </c>
      <c r="D3020" s="25" t="n">
        <f aca="false">EDATE('Start Here'!$B$6,C3020-1)</f>
        <v>46753</v>
      </c>
      <c r="E3020" s="11" t="n">
        <f aca="false">IF(AND(OR(Nonlabor!$D$12="Both",Nonlabor!$D$12='Start Here'!$B$9),IF(Nonlabor!$E$12="Core",1,IF(Nonlabor!$E$12="AI",'Start Here'!$B$7,'Start Here'!$B$8))=1,C3020&gt;=IF(Nonlabor!$E$12="Core",Nonlabor!$F$12,MAX(Nonlabor!$F$12,IF(Nonlabor!$E$12="AI",Assumptions!$E$24,Assumptions!$E$25))),C3020&lt;=Nonlabor!$G$12,OR(Nonlabor!$H$12="Monthly",AND(Nonlabor!$H$12="Once",C3020=IF(Nonlabor!$E$12="Core",Nonlabor!$F$12,MAX(Nonlabor!$F$12,IF(Nonlabor!$E$12="AI",Assumptions!$E$24,Assumptions!$E$25)))),AND(Nonlabor!$H$12="Annual",MOD(C3020-IF(Nonlabor!$E$12="Core",Nonlabor!$F$12,MAX(Nonlabor!$F$12,IF(Nonlabor!$E$12="AI",Assumptions!$E$24,Assumptions!$E$25))),12)=0))),IF(Nonlabor!$I$12="Fixed",1,IF(Nonlabor!$I$12="Seats",ROUNDUP('Monthly Growth'!I20,0),IF(Nonlabor!$I$12="Customers",'Monthly Growth'!D20,IF(Nonlabor!$I$12="NewCustomers",'Monthly Growth'!C20,IF(Nonlabor!$I$12="StorageGB",'Monthly Growth'!G20,IF(Nonlabor!$I$12="LogGB",'Monthly Growth'!H20,IF(Nonlabor!$I$12="RequestsM",'Monthly Growth'!F20,IF(Nonlabor!$I$12="InputM",'Monthly Growth'!D20*Assumptions!$E$22/1000000,IF(Nonlabor!$I$12="OutputM",'Monthly Growth'!D20*Assumptions!$E$23/1000000,0))))))))),0)</f>
        <v>1.477649625</v>
      </c>
      <c r="F3020" s="10" t="n">
        <f aca="false">Nonlabor!$J$12*(1+Assumptions!$E$9)^INT((C3020-1)/12)</f>
        <v>31.2</v>
      </c>
      <c r="G3020" s="10" t="n">
        <f aca="false">E3020*F3020</f>
        <v>46.1026683</v>
      </c>
      <c r="H3020" s="10" t="n">
        <f aca="false">IF(OR(Nonlabor!$L$12="Quote required",Nonlabor!$L$12="Unverified"),G3020,0)</f>
        <v>0</v>
      </c>
      <c r="I3020" s="10" t="n">
        <f aca="false">IF(Nonlabor!$E$12="Core",0,G3020)</f>
        <v>0</v>
      </c>
      <c r="J3020" s="23" t="str">
        <f aca="false">Nonlabor!$B$12</f>
        <v>INFRA</v>
      </c>
    </row>
    <row r="3021" customFormat="false" ht="15" hidden="false" customHeight="false" outlineLevel="0" collapsed="false">
      <c r="A3021" s="6" t="s">
        <v>73</v>
      </c>
      <c r="B3021" s="6" t="s">
        <v>391</v>
      </c>
      <c r="C3021" s="6" t="n">
        <v>16</v>
      </c>
      <c r="D3021" s="25" t="n">
        <f aca="false">EDATE('Start Here'!$B$6,C3021-1)</f>
        <v>46784</v>
      </c>
      <c r="E3021" s="11" t="n">
        <f aca="false">IF(AND(OR(Nonlabor!$D$12="Both",Nonlabor!$D$12='Start Here'!$B$9),IF(Nonlabor!$E$12="Core",1,IF(Nonlabor!$E$12="AI",'Start Here'!$B$7,'Start Here'!$B$8))=1,C3021&gt;=IF(Nonlabor!$E$12="Core",Nonlabor!$F$12,MAX(Nonlabor!$F$12,IF(Nonlabor!$E$12="AI",Assumptions!$E$24,Assumptions!$E$25))),C3021&lt;=Nonlabor!$G$12,OR(Nonlabor!$H$12="Monthly",AND(Nonlabor!$H$12="Once",C3021=IF(Nonlabor!$E$12="Core",Nonlabor!$F$12,MAX(Nonlabor!$F$12,IF(Nonlabor!$E$12="AI",Assumptions!$E$24,Assumptions!$E$25)))),AND(Nonlabor!$H$12="Annual",MOD(C3021-IF(Nonlabor!$E$12="Core",Nonlabor!$F$12,MAX(Nonlabor!$F$12,IF(Nonlabor!$E$12="AI",Assumptions!$E$24,Assumptions!$E$25))),12)=0))),IF(Nonlabor!$I$12="Fixed",1,IF(Nonlabor!$I$12="Seats",ROUNDUP('Monthly Growth'!I21,0),IF(Nonlabor!$I$12="Customers",'Monthly Growth'!D21,IF(Nonlabor!$I$12="NewCustomers",'Monthly Growth'!C21,IF(Nonlabor!$I$12="StorageGB",'Monthly Growth'!G21,IF(Nonlabor!$I$12="LogGB",'Monthly Growth'!H21,IF(Nonlabor!$I$12="RequestsM",'Monthly Growth'!F21,IF(Nonlabor!$I$12="InputM",'Monthly Growth'!D21*Assumptions!$E$22/1000000,IF(Nonlabor!$I$12="OutputM",'Monthly Growth'!D21*Assumptions!$E$23/1000000,0))))))))),0)</f>
        <v>1.83787312875</v>
      </c>
      <c r="F3021" s="10" t="n">
        <f aca="false">Nonlabor!$J$12*(1+Assumptions!$E$9)^INT((C3021-1)/12)</f>
        <v>31.2</v>
      </c>
      <c r="G3021" s="10" t="n">
        <f aca="false">E3021*F3021</f>
        <v>57.341641617</v>
      </c>
      <c r="H3021" s="10" t="n">
        <f aca="false">IF(OR(Nonlabor!$L$12="Quote required",Nonlabor!$L$12="Unverified"),G3021,0)</f>
        <v>0</v>
      </c>
      <c r="I3021" s="10" t="n">
        <f aca="false">IF(Nonlabor!$E$12="Core",0,G3021)</f>
        <v>0</v>
      </c>
      <c r="J3021" s="23" t="str">
        <f aca="false">Nonlabor!$B$12</f>
        <v>INFRA</v>
      </c>
    </row>
    <row r="3022" customFormat="false" ht="15" hidden="false" customHeight="false" outlineLevel="0" collapsed="false">
      <c r="A3022" s="6" t="s">
        <v>73</v>
      </c>
      <c r="B3022" s="6" t="s">
        <v>391</v>
      </c>
      <c r="C3022" s="6" t="n">
        <v>17</v>
      </c>
      <c r="D3022" s="25" t="n">
        <f aca="false">EDATE('Start Here'!$B$6,C3022-1)</f>
        <v>46813</v>
      </c>
      <c r="E3022" s="11" t="n">
        <f aca="false">IF(AND(OR(Nonlabor!$D$12="Both",Nonlabor!$D$12='Start Here'!$B$9),IF(Nonlabor!$E$12="Core",1,IF(Nonlabor!$E$12="AI",'Start Here'!$B$7,'Start Here'!$B$8))=1,C3022&gt;=IF(Nonlabor!$E$12="Core",Nonlabor!$F$12,MAX(Nonlabor!$F$12,IF(Nonlabor!$E$12="AI",Assumptions!$E$24,Assumptions!$E$25))),C3022&lt;=Nonlabor!$G$12,OR(Nonlabor!$H$12="Monthly",AND(Nonlabor!$H$12="Once",C3022=IF(Nonlabor!$E$12="Core",Nonlabor!$F$12,MAX(Nonlabor!$F$12,IF(Nonlabor!$E$12="AI",Assumptions!$E$24,Assumptions!$E$25)))),AND(Nonlabor!$H$12="Annual",MOD(C3022-IF(Nonlabor!$E$12="Core",Nonlabor!$F$12,MAX(Nonlabor!$F$12,IF(Nonlabor!$E$12="AI",Assumptions!$E$24,Assumptions!$E$25))),12)=0))),IF(Nonlabor!$I$12="Fixed",1,IF(Nonlabor!$I$12="Seats",ROUNDUP('Monthly Growth'!I22,0),IF(Nonlabor!$I$12="Customers",'Monthly Growth'!D22,IF(Nonlabor!$I$12="NewCustomers",'Monthly Growth'!C22,IF(Nonlabor!$I$12="StorageGB",'Monthly Growth'!G22,IF(Nonlabor!$I$12="LogGB",'Monthly Growth'!H22,IF(Nonlabor!$I$12="RequestsM",'Monthly Growth'!F22,IF(Nonlabor!$I$12="InputM",'Monthly Growth'!D22*Assumptions!$E$22/1000000,IF(Nonlabor!$I$12="OutputM",'Monthly Growth'!D22*Assumptions!$E$23/1000000,0))))))))),0)</f>
        <v>2.1944943974625</v>
      </c>
      <c r="F3022" s="10" t="n">
        <f aca="false">Nonlabor!$J$12*(1+Assumptions!$E$9)^INT((C3022-1)/12)</f>
        <v>31.2</v>
      </c>
      <c r="G3022" s="10" t="n">
        <f aca="false">E3022*F3022</f>
        <v>68.46822520083</v>
      </c>
      <c r="H3022" s="10" t="n">
        <f aca="false">IF(OR(Nonlabor!$L$12="Quote required",Nonlabor!$L$12="Unverified"),G3022,0)</f>
        <v>0</v>
      </c>
      <c r="I3022" s="10" t="n">
        <f aca="false">IF(Nonlabor!$E$12="Core",0,G3022)</f>
        <v>0</v>
      </c>
      <c r="J3022" s="23" t="str">
        <f aca="false">Nonlabor!$B$12</f>
        <v>INFRA</v>
      </c>
    </row>
    <row r="3023" customFormat="false" ht="15" hidden="false" customHeight="false" outlineLevel="0" collapsed="false">
      <c r="A3023" s="6" t="s">
        <v>73</v>
      </c>
      <c r="B3023" s="6" t="s">
        <v>391</v>
      </c>
      <c r="C3023" s="6" t="n">
        <v>18</v>
      </c>
      <c r="D3023" s="25" t="n">
        <f aca="false">EDATE('Start Here'!$B$6,C3023-1)</f>
        <v>46844</v>
      </c>
      <c r="E3023" s="11" t="n">
        <f aca="false">IF(AND(OR(Nonlabor!$D$12="Both",Nonlabor!$D$12='Start Here'!$B$9),IF(Nonlabor!$E$12="Core",1,IF(Nonlabor!$E$12="AI",'Start Here'!$B$7,'Start Here'!$B$8))=1,C3023&gt;=IF(Nonlabor!$E$12="Core",Nonlabor!$F$12,MAX(Nonlabor!$F$12,IF(Nonlabor!$E$12="AI",Assumptions!$E$24,Assumptions!$E$25))),C3023&lt;=Nonlabor!$G$12,OR(Nonlabor!$H$12="Monthly",AND(Nonlabor!$H$12="Once",C3023=IF(Nonlabor!$E$12="Core",Nonlabor!$F$12,MAX(Nonlabor!$F$12,IF(Nonlabor!$E$12="AI",Assumptions!$E$24,Assumptions!$E$25)))),AND(Nonlabor!$H$12="Annual",MOD(C3023-IF(Nonlabor!$E$12="Core",Nonlabor!$F$12,MAX(Nonlabor!$F$12,IF(Nonlabor!$E$12="AI",Assumptions!$E$24,Assumptions!$E$25))),12)=0))),IF(Nonlabor!$I$12="Fixed",1,IF(Nonlabor!$I$12="Seats",ROUNDUP('Monthly Growth'!I23,0),IF(Nonlabor!$I$12="Customers",'Monthly Growth'!D23,IF(Nonlabor!$I$12="NewCustomers",'Monthly Growth'!C23,IF(Nonlabor!$I$12="StorageGB",'Monthly Growth'!G23,IF(Nonlabor!$I$12="LogGB",'Monthly Growth'!H23,IF(Nonlabor!$I$12="RequestsM",'Monthly Growth'!F23,IF(Nonlabor!$I$12="InputM",'Monthly Growth'!D23*Assumptions!$E$22/1000000,IF(Nonlabor!$I$12="OutputM",'Monthly Growth'!D23*Assumptions!$E$23/1000000,0))))))))),0)</f>
        <v>2.54754945348788</v>
      </c>
      <c r="F3023" s="10" t="n">
        <f aca="false">Nonlabor!$J$12*(1+Assumptions!$E$9)^INT((C3023-1)/12)</f>
        <v>31.2</v>
      </c>
      <c r="G3023" s="10" t="n">
        <f aca="false">E3023*F3023</f>
        <v>79.4835429488217</v>
      </c>
      <c r="H3023" s="10" t="n">
        <f aca="false">IF(OR(Nonlabor!$L$12="Quote required",Nonlabor!$L$12="Unverified"),G3023,0)</f>
        <v>0</v>
      </c>
      <c r="I3023" s="10" t="n">
        <f aca="false">IF(Nonlabor!$E$12="Core",0,G3023)</f>
        <v>0</v>
      </c>
      <c r="J3023" s="23" t="str">
        <f aca="false">Nonlabor!$B$12</f>
        <v>INFRA</v>
      </c>
    </row>
    <row r="3024" customFormat="false" ht="15" hidden="false" customHeight="false" outlineLevel="0" collapsed="false">
      <c r="A3024" s="6" t="s">
        <v>73</v>
      </c>
      <c r="B3024" s="6" t="s">
        <v>391</v>
      </c>
      <c r="C3024" s="6" t="n">
        <v>19</v>
      </c>
      <c r="D3024" s="25" t="n">
        <f aca="false">EDATE('Start Here'!$B$6,C3024-1)</f>
        <v>46874</v>
      </c>
      <c r="E3024" s="11" t="n">
        <f aca="false">IF(AND(OR(Nonlabor!$D$12="Both",Nonlabor!$D$12='Start Here'!$B$9),IF(Nonlabor!$E$12="Core",1,IF(Nonlabor!$E$12="AI",'Start Here'!$B$7,'Start Here'!$B$8))=1,C3024&gt;=IF(Nonlabor!$E$12="Core",Nonlabor!$F$12,MAX(Nonlabor!$F$12,IF(Nonlabor!$E$12="AI",Assumptions!$E$24,Assumptions!$E$25))),C3024&lt;=Nonlabor!$G$12,OR(Nonlabor!$H$12="Monthly",AND(Nonlabor!$H$12="Once",C3024=IF(Nonlabor!$E$12="Core",Nonlabor!$F$12,MAX(Nonlabor!$F$12,IF(Nonlabor!$E$12="AI",Assumptions!$E$24,Assumptions!$E$25)))),AND(Nonlabor!$H$12="Annual",MOD(C3024-IF(Nonlabor!$E$12="Core",Nonlabor!$F$12,MAX(Nonlabor!$F$12,IF(Nonlabor!$E$12="AI",Assumptions!$E$24,Assumptions!$E$25))),12)=0))),IF(Nonlabor!$I$12="Fixed",1,IF(Nonlabor!$I$12="Seats",ROUNDUP('Monthly Growth'!I24,0),IF(Nonlabor!$I$12="Customers",'Monthly Growth'!D24,IF(Nonlabor!$I$12="NewCustomers",'Monthly Growth'!C24,IF(Nonlabor!$I$12="StorageGB",'Monthly Growth'!G24,IF(Nonlabor!$I$12="LogGB",'Monthly Growth'!H24,IF(Nonlabor!$I$12="RequestsM",'Monthly Growth'!F24,IF(Nonlabor!$I$12="InputM",'Monthly Growth'!D24*Assumptions!$E$22/1000000,IF(Nonlabor!$I$12="OutputM",'Monthly Growth'!D24*Assumptions!$E$23/1000000,0))))))))),0)</f>
        <v>2.897073958953</v>
      </c>
      <c r="F3024" s="10" t="n">
        <f aca="false">Nonlabor!$J$12*(1+Assumptions!$E$9)^INT((C3024-1)/12)</f>
        <v>31.2</v>
      </c>
      <c r="G3024" s="10" t="n">
        <f aca="false">E3024*F3024</f>
        <v>90.3887075193335</v>
      </c>
      <c r="H3024" s="10" t="n">
        <f aca="false">IF(OR(Nonlabor!$L$12="Quote required",Nonlabor!$L$12="Unverified"),G3024,0)</f>
        <v>0</v>
      </c>
      <c r="I3024" s="10" t="n">
        <f aca="false">IF(Nonlabor!$E$12="Core",0,G3024)</f>
        <v>0</v>
      </c>
      <c r="J3024" s="23" t="str">
        <f aca="false">Nonlabor!$B$12</f>
        <v>INFRA</v>
      </c>
    </row>
    <row r="3025" customFormat="false" ht="15" hidden="false" customHeight="false" outlineLevel="0" collapsed="false">
      <c r="A3025" s="6" t="s">
        <v>73</v>
      </c>
      <c r="B3025" s="6" t="s">
        <v>391</v>
      </c>
      <c r="C3025" s="6" t="n">
        <v>20</v>
      </c>
      <c r="D3025" s="25" t="n">
        <f aca="false">EDATE('Start Here'!$B$6,C3025-1)</f>
        <v>46905</v>
      </c>
      <c r="E3025" s="11" t="n">
        <f aca="false">IF(AND(OR(Nonlabor!$D$12="Both",Nonlabor!$D$12='Start Here'!$B$9),IF(Nonlabor!$E$12="Core",1,IF(Nonlabor!$E$12="AI",'Start Here'!$B$7,'Start Here'!$B$8))=1,C3025&gt;=IF(Nonlabor!$E$12="Core",Nonlabor!$F$12,MAX(Nonlabor!$F$12,IF(Nonlabor!$E$12="AI",Assumptions!$E$24,Assumptions!$E$25))),C3025&lt;=Nonlabor!$G$12,OR(Nonlabor!$H$12="Monthly",AND(Nonlabor!$H$12="Once",C3025=IF(Nonlabor!$E$12="Core",Nonlabor!$F$12,MAX(Nonlabor!$F$12,IF(Nonlabor!$E$12="AI",Assumptions!$E$24,Assumptions!$E$25)))),AND(Nonlabor!$H$12="Annual",MOD(C3025-IF(Nonlabor!$E$12="Core",Nonlabor!$F$12,MAX(Nonlabor!$F$12,IF(Nonlabor!$E$12="AI",Assumptions!$E$24,Assumptions!$E$25))),12)=0))),IF(Nonlabor!$I$12="Fixed",1,IF(Nonlabor!$I$12="Seats",ROUNDUP('Monthly Growth'!I25,0),IF(Nonlabor!$I$12="Customers",'Monthly Growth'!D25,IF(Nonlabor!$I$12="NewCustomers",'Monthly Growth'!C25,IF(Nonlabor!$I$12="StorageGB",'Monthly Growth'!G25,IF(Nonlabor!$I$12="LogGB",'Monthly Growth'!H25,IF(Nonlabor!$I$12="RequestsM",'Monthly Growth'!F25,IF(Nonlabor!$I$12="InputM",'Monthly Growth'!D25*Assumptions!$E$22/1000000,IF(Nonlabor!$I$12="OutputM",'Monthly Growth'!D25*Assumptions!$E$23/1000000,0))))))))),0)</f>
        <v>3.24310321936347</v>
      </c>
      <c r="F3025" s="10" t="n">
        <f aca="false">Nonlabor!$J$12*(1+Assumptions!$E$9)^INT((C3025-1)/12)</f>
        <v>31.2</v>
      </c>
      <c r="G3025" s="10" t="n">
        <f aca="false">E3025*F3025</f>
        <v>101.18482044414</v>
      </c>
      <c r="H3025" s="10" t="n">
        <f aca="false">IF(OR(Nonlabor!$L$12="Quote required",Nonlabor!$L$12="Unverified"),G3025,0)</f>
        <v>0</v>
      </c>
      <c r="I3025" s="10" t="n">
        <f aca="false">IF(Nonlabor!$E$12="Core",0,G3025)</f>
        <v>0</v>
      </c>
      <c r="J3025" s="23" t="str">
        <f aca="false">Nonlabor!$B$12</f>
        <v>INFRA</v>
      </c>
    </row>
    <row r="3026" customFormat="false" ht="15" hidden="false" customHeight="false" outlineLevel="0" collapsed="false">
      <c r="A3026" s="6" t="s">
        <v>73</v>
      </c>
      <c r="B3026" s="6" t="s">
        <v>391</v>
      </c>
      <c r="C3026" s="6" t="n">
        <v>21</v>
      </c>
      <c r="D3026" s="25" t="n">
        <f aca="false">EDATE('Start Here'!$B$6,C3026-1)</f>
        <v>46935</v>
      </c>
      <c r="E3026" s="11" t="n">
        <f aca="false">IF(AND(OR(Nonlabor!$D$12="Both",Nonlabor!$D$12='Start Here'!$B$9),IF(Nonlabor!$E$12="Core",1,IF(Nonlabor!$E$12="AI",'Start Here'!$B$7,'Start Here'!$B$8))=1,C3026&gt;=IF(Nonlabor!$E$12="Core",Nonlabor!$F$12,MAX(Nonlabor!$F$12,IF(Nonlabor!$E$12="AI",Assumptions!$E$24,Assumptions!$E$25))),C3026&lt;=Nonlabor!$G$12,OR(Nonlabor!$H$12="Monthly",AND(Nonlabor!$H$12="Once",C3026=IF(Nonlabor!$E$12="Core",Nonlabor!$F$12,MAX(Nonlabor!$F$12,IF(Nonlabor!$E$12="AI",Assumptions!$E$24,Assumptions!$E$25)))),AND(Nonlabor!$H$12="Annual",MOD(C3026-IF(Nonlabor!$E$12="Core",Nonlabor!$F$12,MAX(Nonlabor!$F$12,IF(Nonlabor!$E$12="AI",Assumptions!$E$24,Assumptions!$E$25))),12)=0))),IF(Nonlabor!$I$12="Fixed",1,IF(Nonlabor!$I$12="Seats",ROUNDUP('Monthly Growth'!I26,0),IF(Nonlabor!$I$12="Customers",'Monthly Growth'!D26,IF(Nonlabor!$I$12="NewCustomers",'Monthly Growth'!C26,IF(Nonlabor!$I$12="StorageGB",'Monthly Growth'!G26,IF(Nonlabor!$I$12="LogGB",'Monthly Growth'!H26,IF(Nonlabor!$I$12="RequestsM",'Monthly Growth'!F26,IF(Nonlabor!$I$12="InputM",'Monthly Growth'!D26*Assumptions!$E$22/1000000,IF(Nonlabor!$I$12="OutputM",'Monthly Growth'!D26*Assumptions!$E$23/1000000,0))))))))),0)</f>
        <v>3.58567218716983</v>
      </c>
      <c r="F3026" s="10" t="n">
        <f aca="false">Nonlabor!$J$12*(1+Assumptions!$E$9)^INT((C3026-1)/12)</f>
        <v>31.2</v>
      </c>
      <c r="G3026" s="10" t="n">
        <f aca="false">E3026*F3026</f>
        <v>111.872972239699</v>
      </c>
      <c r="H3026" s="10" t="n">
        <f aca="false">IF(OR(Nonlabor!$L$12="Quote required",Nonlabor!$L$12="Unverified"),G3026,0)</f>
        <v>0</v>
      </c>
      <c r="I3026" s="10" t="n">
        <f aca="false">IF(Nonlabor!$E$12="Core",0,G3026)</f>
        <v>0</v>
      </c>
      <c r="J3026" s="23" t="str">
        <f aca="false">Nonlabor!$B$12</f>
        <v>INFRA</v>
      </c>
    </row>
    <row r="3027" customFormat="false" ht="15" hidden="false" customHeight="false" outlineLevel="0" collapsed="false">
      <c r="A3027" s="6" t="s">
        <v>73</v>
      </c>
      <c r="B3027" s="6" t="s">
        <v>391</v>
      </c>
      <c r="C3027" s="6" t="n">
        <v>22</v>
      </c>
      <c r="D3027" s="25" t="n">
        <f aca="false">EDATE('Start Here'!$B$6,C3027-1)</f>
        <v>46966</v>
      </c>
      <c r="E3027" s="11" t="n">
        <f aca="false">IF(AND(OR(Nonlabor!$D$12="Both",Nonlabor!$D$12='Start Here'!$B$9),IF(Nonlabor!$E$12="Core",1,IF(Nonlabor!$E$12="AI",'Start Here'!$B$7,'Start Here'!$B$8))=1,C3027&gt;=IF(Nonlabor!$E$12="Core",Nonlabor!$F$12,MAX(Nonlabor!$F$12,IF(Nonlabor!$E$12="AI",Assumptions!$E$24,Assumptions!$E$25))),C3027&lt;=Nonlabor!$G$12,OR(Nonlabor!$H$12="Monthly",AND(Nonlabor!$H$12="Once",C3027=IF(Nonlabor!$E$12="Core",Nonlabor!$F$12,MAX(Nonlabor!$F$12,IF(Nonlabor!$E$12="AI",Assumptions!$E$24,Assumptions!$E$25)))),AND(Nonlabor!$H$12="Annual",MOD(C3027-IF(Nonlabor!$E$12="Core",Nonlabor!$F$12,MAX(Nonlabor!$F$12,IF(Nonlabor!$E$12="AI",Assumptions!$E$24,Assumptions!$E$25))),12)=0))),IF(Nonlabor!$I$12="Fixed",1,IF(Nonlabor!$I$12="Seats",ROUNDUP('Monthly Growth'!I27,0),IF(Nonlabor!$I$12="Customers",'Monthly Growth'!D27,IF(Nonlabor!$I$12="NewCustomers",'Monthly Growth'!C27,IF(Nonlabor!$I$12="StorageGB",'Monthly Growth'!G27,IF(Nonlabor!$I$12="LogGB",'Monthly Growth'!H27,IF(Nonlabor!$I$12="RequestsM",'Monthly Growth'!F27,IF(Nonlabor!$I$12="InputM",'Monthly Growth'!D27*Assumptions!$E$22/1000000,IF(Nonlabor!$I$12="OutputM",'Monthly Growth'!D27*Assumptions!$E$23/1000000,0))))))))),0)</f>
        <v>3.92481546529813</v>
      </c>
      <c r="F3027" s="10" t="n">
        <f aca="false">Nonlabor!$J$12*(1+Assumptions!$E$9)^INT((C3027-1)/12)</f>
        <v>31.2</v>
      </c>
      <c r="G3027" s="10" t="n">
        <f aca="false">E3027*F3027</f>
        <v>122.454242517302</v>
      </c>
      <c r="H3027" s="10" t="n">
        <f aca="false">IF(OR(Nonlabor!$L$12="Quote required",Nonlabor!$L$12="Unverified"),G3027,0)</f>
        <v>0</v>
      </c>
      <c r="I3027" s="10" t="n">
        <f aca="false">IF(Nonlabor!$E$12="Core",0,G3027)</f>
        <v>0</v>
      </c>
      <c r="J3027" s="23" t="str">
        <f aca="false">Nonlabor!$B$12</f>
        <v>INFRA</v>
      </c>
    </row>
    <row r="3028" customFormat="false" ht="15" hidden="false" customHeight="false" outlineLevel="0" collapsed="false">
      <c r="A3028" s="6" t="s">
        <v>73</v>
      </c>
      <c r="B3028" s="6" t="s">
        <v>391</v>
      </c>
      <c r="C3028" s="6" t="n">
        <v>23</v>
      </c>
      <c r="D3028" s="25" t="n">
        <f aca="false">EDATE('Start Here'!$B$6,C3028-1)</f>
        <v>46997</v>
      </c>
      <c r="E3028" s="11" t="n">
        <f aca="false">IF(AND(OR(Nonlabor!$D$12="Both",Nonlabor!$D$12='Start Here'!$B$9),IF(Nonlabor!$E$12="Core",1,IF(Nonlabor!$E$12="AI",'Start Here'!$B$7,'Start Here'!$B$8))=1,C3028&gt;=IF(Nonlabor!$E$12="Core",Nonlabor!$F$12,MAX(Nonlabor!$F$12,IF(Nonlabor!$E$12="AI",Assumptions!$E$24,Assumptions!$E$25))),C3028&lt;=Nonlabor!$G$12,OR(Nonlabor!$H$12="Monthly",AND(Nonlabor!$H$12="Once",C3028=IF(Nonlabor!$E$12="Core",Nonlabor!$F$12,MAX(Nonlabor!$F$12,IF(Nonlabor!$E$12="AI",Assumptions!$E$24,Assumptions!$E$25)))),AND(Nonlabor!$H$12="Annual",MOD(C3028-IF(Nonlabor!$E$12="Core",Nonlabor!$F$12,MAX(Nonlabor!$F$12,IF(Nonlabor!$E$12="AI",Assumptions!$E$24,Assumptions!$E$25))),12)=0))),IF(Nonlabor!$I$12="Fixed",1,IF(Nonlabor!$I$12="Seats",ROUNDUP('Monthly Growth'!I28,0),IF(Nonlabor!$I$12="Customers",'Monthly Growth'!D28,IF(Nonlabor!$I$12="NewCustomers",'Monthly Growth'!C28,IF(Nonlabor!$I$12="StorageGB",'Monthly Growth'!G28,IF(Nonlabor!$I$12="LogGB",'Monthly Growth'!H28,IF(Nonlabor!$I$12="RequestsM",'Monthly Growth'!F28,IF(Nonlabor!$I$12="InputM",'Monthly Growth'!D28*Assumptions!$E$22/1000000,IF(Nonlabor!$I$12="OutputM",'Monthly Growth'!D28*Assumptions!$E$23/1000000,0))))))))),0)</f>
        <v>4.26056731064515</v>
      </c>
      <c r="F3028" s="10" t="n">
        <f aca="false">Nonlabor!$J$12*(1+Assumptions!$E$9)^INT((C3028-1)/12)</f>
        <v>31.2</v>
      </c>
      <c r="G3028" s="10" t="n">
        <f aca="false">E3028*F3028</f>
        <v>132.929700092129</v>
      </c>
      <c r="H3028" s="10" t="n">
        <f aca="false">IF(OR(Nonlabor!$L$12="Quote required",Nonlabor!$L$12="Unverified"),G3028,0)</f>
        <v>0</v>
      </c>
      <c r="I3028" s="10" t="n">
        <f aca="false">IF(Nonlabor!$E$12="Core",0,G3028)</f>
        <v>0</v>
      </c>
      <c r="J3028" s="23" t="str">
        <f aca="false">Nonlabor!$B$12</f>
        <v>INFRA</v>
      </c>
    </row>
    <row r="3029" customFormat="false" ht="15" hidden="false" customHeight="false" outlineLevel="0" collapsed="false">
      <c r="A3029" s="6" t="s">
        <v>73</v>
      </c>
      <c r="B3029" s="6" t="s">
        <v>391</v>
      </c>
      <c r="C3029" s="6" t="n">
        <v>24</v>
      </c>
      <c r="D3029" s="25" t="n">
        <f aca="false">EDATE('Start Here'!$B$6,C3029-1)</f>
        <v>47027</v>
      </c>
      <c r="E3029" s="11" t="n">
        <f aca="false">IF(AND(OR(Nonlabor!$D$12="Both",Nonlabor!$D$12='Start Here'!$B$9),IF(Nonlabor!$E$12="Core",1,IF(Nonlabor!$E$12="AI",'Start Here'!$B$7,'Start Here'!$B$8))=1,C3029&gt;=IF(Nonlabor!$E$12="Core",Nonlabor!$F$12,MAX(Nonlabor!$F$12,IF(Nonlabor!$E$12="AI",Assumptions!$E$24,Assumptions!$E$25))),C3029&lt;=Nonlabor!$G$12,OR(Nonlabor!$H$12="Monthly",AND(Nonlabor!$H$12="Once",C3029=IF(Nonlabor!$E$12="Core",Nonlabor!$F$12,MAX(Nonlabor!$F$12,IF(Nonlabor!$E$12="AI",Assumptions!$E$24,Assumptions!$E$25)))),AND(Nonlabor!$H$12="Annual",MOD(C3029-IF(Nonlabor!$E$12="Core",Nonlabor!$F$12,MAX(Nonlabor!$F$12,IF(Nonlabor!$E$12="AI",Assumptions!$E$24,Assumptions!$E$25))),12)=0))),IF(Nonlabor!$I$12="Fixed",1,IF(Nonlabor!$I$12="Seats",ROUNDUP('Monthly Growth'!I29,0),IF(Nonlabor!$I$12="Customers",'Monthly Growth'!D29,IF(Nonlabor!$I$12="NewCustomers",'Monthly Growth'!C29,IF(Nonlabor!$I$12="StorageGB",'Monthly Growth'!G29,IF(Nonlabor!$I$12="LogGB",'Monthly Growth'!H29,IF(Nonlabor!$I$12="RequestsM",'Monthly Growth'!F29,IF(Nonlabor!$I$12="InputM",'Monthly Growth'!D29*Assumptions!$E$22/1000000,IF(Nonlabor!$I$12="OutputM",'Monthly Growth'!D29*Assumptions!$E$23/1000000,0))))))))),0)</f>
        <v>4.8554616375387</v>
      </c>
      <c r="F3029" s="10" t="n">
        <f aca="false">Nonlabor!$J$12*(1+Assumptions!$E$9)^INT((C3029-1)/12)</f>
        <v>31.2</v>
      </c>
      <c r="G3029" s="10" t="n">
        <f aca="false">E3029*F3029</f>
        <v>151.490403091208</v>
      </c>
      <c r="H3029" s="10" t="n">
        <f aca="false">IF(OR(Nonlabor!$L$12="Quote required",Nonlabor!$L$12="Unverified"),G3029,0)</f>
        <v>0</v>
      </c>
      <c r="I3029" s="10" t="n">
        <f aca="false">IF(Nonlabor!$E$12="Core",0,G3029)</f>
        <v>0</v>
      </c>
      <c r="J3029" s="23" t="str">
        <f aca="false">Nonlabor!$B$12</f>
        <v>INFRA</v>
      </c>
    </row>
    <row r="3030" customFormat="false" ht="15" hidden="false" customHeight="false" outlineLevel="0" collapsed="false">
      <c r="A3030" s="6" t="s">
        <v>73</v>
      </c>
      <c r="B3030" s="6" t="s">
        <v>391</v>
      </c>
      <c r="C3030" s="6" t="n">
        <v>25</v>
      </c>
      <c r="D3030" s="25" t="n">
        <f aca="false">EDATE('Start Here'!$B$6,C3030-1)</f>
        <v>47058</v>
      </c>
      <c r="E3030" s="11" t="n">
        <f aca="false">IF(AND(OR(Nonlabor!$D$12="Both",Nonlabor!$D$12='Start Here'!$B$9),IF(Nonlabor!$E$12="Core",1,IF(Nonlabor!$E$12="AI",'Start Here'!$B$7,'Start Here'!$B$8))=1,C3030&gt;=IF(Nonlabor!$E$12="Core",Nonlabor!$F$12,MAX(Nonlabor!$F$12,IF(Nonlabor!$E$12="AI",Assumptions!$E$24,Assumptions!$E$25))),C3030&lt;=Nonlabor!$G$12,OR(Nonlabor!$H$12="Monthly",AND(Nonlabor!$H$12="Once",C3030=IF(Nonlabor!$E$12="Core",Nonlabor!$F$12,MAX(Nonlabor!$F$12,IF(Nonlabor!$E$12="AI",Assumptions!$E$24,Assumptions!$E$25)))),AND(Nonlabor!$H$12="Annual",MOD(C3030-IF(Nonlabor!$E$12="Core",Nonlabor!$F$12,MAX(Nonlabor!$F$12,IF(Nonlabor!$E$12="AI",Assumptions!$E$24,Assumptions!$E$25))),12)=0))),IF(Nonlabor!$I$12="Fixed",1,IF(Nonlabor!$I$12="Seats",ROUNDUP('Monthly Growth'!I30,0),IF(Nonlabor!$I$12="Customers",'Monthly Growth'!D30,IF(Nonlabor!$I$12="NewCustomers",'Monthly Growth'!C30,IF(Nonlabor!$I$12="StorageGB",'Monthly Growth'!G30,IF(Nonlabor!$I$12="LogGB",'Monthly Growth'!H30,IF(Nonlabor!$I$12="RequestsM",'Monthly Growth'!F30,IF(Nonlabor!$I$12="InputM",'Monthly Growth'!D30*Assumptions!$E$22/1000000,IF(Nonlabor!$I$12="OutputM",'Monthly Growth'!D30*Assumptions!$E$23/1000000,0))))))))),0)</f>
        <v>5.44440702116331</v>
      </c>
      <c r="F3030" s="10" t="n">
        <f aca="false">Nonlabor!$J$12*(1+Assumptions!$E$9)^INT((C3030-1)/12)</f>
        <v>32.448</v>
      </c>
      <c r="G3030" s="10" t="n">
        <f aca="false">E3030*F3030</f>
        <v>176.660119022707</v>
      </c>
      <c r="H3030" s="10" t="n">
        <f aca="false">IF(OR(Nonlabor!$L$12="Quote required",Nonlabor!$L$12="Unverified"),G3030,0)</f>
        <v>0</v>
      </c>
      <c r="I3030" s="10" t="n">
        <f aca="false">IF(Nonlabor!$E$12="Core",0,G3030)</f>
        <v>0</v>
      </c>
      <c r="J3030" s="23" t="str">
        <f aca="false">Nonlabor!$B$12</f>
        <v>INFRA</v>
      </c>
    </row>
    <row r="3031" customFormat="false" ht="15" hidden="false" customHeight="false" outlineLevel="0" collapsed="false">
      <c r="A3031" s="6" t="s">
        <v>73</v>
      </c>
      <c r="B3031" s="6" t="s">
        <v>391</v>
      </c>
      <c r="C3031" s="6" t="n">
        <v>26</v>
      </c>
      <c r="D3031" s="25" t="n">
        <f aca="false">EDATE('Start Here'!$B$6,C3031-1)</f>
        <v>47088</v>
      </c>
      <c r="E3031" s="11" t="n">
        <f aca="false">IF(AND(OR(Nonlabor!$D$12="Both",Nonlabor!$D$12='Start Here'!$B$9),IF(Nonlabor!$E$12="Core",1,IF(Nonlabor!$E$12="AI",'Start Here'!$B$7,'Start Here'!$B$8))=1,C3031&gt;=IF(Nonlabor!$E$12="Core",Nonlabor!$F$12,MAX(Nonlabor!$F$12,IF(Nonlabor!$E$12="AI",Assumptions!$E$24,Assumptions!$E$25))),C3031&lt;=Nonlabor!$G$12,OR(Nonlabor!$H$12="Monthly",AND(Nonlabor!$H$12="Once",C3031=IF(Nonlabor!$E$12="Core",Nonlabor!$F$12,MAX(Nonlabor!$F$12,IF(Nonlabor!$E$12="AI",Assumptions!$E$24,Assumptions!$E$25)))),AND(Nonlabor!$H$12="Annual",MOD(C3031-IF(Nonlabor!$E$12="Core",Nonlabor!$F$12,MAX(Nonlabor!$F$12,IF(Nonlabor!$E$12="AI",Assumptions!$E$24,Assumptions!$E$25))),12)=0))),IF(Nonlabor!$I$12="Fixed",1,IF(Nonlabor!$I$12="Seats",ROUNDUP('Monthly Growth'!I31,0),IF(Nonlabor!$I$12="Customers",'Monthly Growth'!D31,IF(Nonlabor!$I$12="NewCustomers",'Monthly Growth'!C31,IF(Nonlabor!$I$12="StorageGB",'Monthly Growth'!G31,IF(Nonlabor!$I$12="LogGB",'Monthly Growth'!H31,IF(Nonlabor!$I$12="RequestsM",'Monthly Growth'!F31,IF(Nonlabor!$I$12="InputM",'Monthly Growth'!D31*Assumptions!$E$22/1000000,IF(Nonlabor!$I$12="OutputM",'Monthly Growth'!D31*Assumptions!$E$23/1000000,0))))))))),0)</f>
        <v>6.02746295095168</v>
      </c>
      <c r="F3031" s="10" t="n">
        <f aca="false">Nonlabor!$J$12*(1+Assumptions!$E$9)^INT((C3031-1)/12)</f>
        <v>32.448</v>
      </c>
      <c r="G3031" s="10" t="n">
        <f aca="false">E3031*F3031</f>
        <v>195.57911783248</v>
      </c>
      <c r="H3031" s="10" t="n">
        <f aca="false">IF(OR(Nonlabor!$L$12="Quote required",Nonlabor!$L$12="Unverified"),G3031,0)</f>
        <v>0</v>
      </c>
      <c r="I3031" s="10" t="n">
        <f aca="false">IF(Nonlabor!$E$12="Core",0,G3031)</f>
        <v>0</v>
      </c>
      <c r="J3031" s="23" t="str">
        <f aca="false">Nonlabor!$B$12</f>
        <v>INFRA</v>
      </c>
    </row>
    <row r="3032" customFormat="false" ht="15" hidden="false" customHeight="false" outlineLevel="0" collapsed="false">
      <c r="A3032" s="6" t="s">
        <v>73</v>
      </c>
      <c r="B3032" s="6" t="s">
        <v>391</v>
      </c>
      <c r="C3032" s="6" t="n">
        <v>27</v>
      </c>
      <c r="D3032" s="25" t="n">
        <f aca="false">EDATE('Start Here'!$B$6,C3032-1)</f>
        <v>47119</v>
      </c>
      <c r="E3032" s="11" t="n">
        <f aca="false">IF(AND(OR(Nonlabor!$D$12="Both",Nonlabor!$D$12='Start Here'!$B$9),IF(Nonlabor!$E$12="Core",1,IF(Nonlabor!$E$12="AI",'Start Here'!$B$7,'Start Here'!$B$8))=1,C3032&gt;=IF(Nonlabor!$E$12="Core",Nonlabor!$F$12,MAX(Nonlabor!$F$12,IF(Nonlabor!$E$12="AI",Assumptions!$E$24,Assumptions!$E$25))),C3032&lt;=Nonlabor!$G$12,OR(Nonlabor!$H$12="Monthly",AND(Nonlabor!$H$12="Once",C3032=IF(Nonlabor!$E$12="Core",Nonlabor!$F$12,MAX(Nonlabor!$F$12,IF(Nonlabor!$E$12="AI",Assumptions!$E$24,Assumptions!$E$25)))),AND(Nonlabor!$H$12="Annual",MOD(C3032-IF(Nonlabor!$E$12="Core",Nonlabor!$F$12,MAX(Nonlabor!$F$12,IF(Nonlabor!$E$12="AI",Assumptions!$E$24,Assumptions!$E$25))),12)=0))),IF(Nonlabor!$I$12="Fixed",1,IF(Nonlabor!$I$12="Seats",ROUNDUP('Monthly Growth'!I32,0),IF(Nonlabor!$I$12="Customers",'Monthly Growth'!D32,IF(Nonlabor!$I$12="NewCustomers",'Monthly Growth'!C32,IF(Nonlabor!$I$12="StorageGB",'Monthly Growth'!G32,IF(Nonlabor!$I$12="LogGB",'Monthly Growth'!H32,IF(Nonlabor!$I$12="RequestsM",'Monthly Growth'!F32,IF(Nonlabor!$I$12="InputM",'Monthly Growth'!D32*Assumptions!$E$22/1000000,IF(Nonlabor!$I$12="OutputM",'Monthly Growth'!D32*Assumptions!$E$23/1000000,0))))))))),0)</f>
        <v>6.60468832144217</v>
      </c>
      <c r="F3032" s="10" t="n">
        <f aca="false">Nonlabor!$J$12*(1+Assumptions!$E$9)^INT((C3032-1)/12)</f>
        <v>32.448</v>
      </c>
      <c r="G3032" s="10" t="n">
        <f aca="false">E3032*F3032</f>
        <v>214.308926654155</v>
      </c>
      <c r="H3032" s="10" t="n">
        <f aca="false">IF(OR(Nonlabor!$L$12="Quote required",Nonlabor!$L$12="Unverified"),G3032,0)</f>
        <v>0</v>
      </c>
      <c r="I3032" s="10" t="n">
        <f aca="false">IF(Nonlabor!$E$12="Core",0,G3032)</f>
        <v>0</v>
      </c>
      <c r="J3032" s="23" t="str">
        <f aca="false">Nonlabor!$B$12</f>
        <v>INFRA</v>
      </c>
    </row>
    <row r="3033" customFormat="false" ht="15" hidden="false" customHeight="false" outlineLevel="0" collapsed="false">
      <c r="A3033" s="6" t="s">
        <v>73</v>
      </c>
      <c r="B3033" s="6" t="s">
        <v>391</v>
      </c>
      <c r="C3033" s="6" t="n">
        <v>28</v>
      </c>
      <c r="D3033" s="25" t="n">
        <f aca="false">EDATE('Start Here'!$B$6,C3033-1)</f>
        <v>47150</v>
      </c>
      <c r="E3033" s="11" t="n">
        <f aca="false">IF(AND(OR(Nonlabor!$D$12="Both",Nonlabor!$D$12='Start Here'!$B$9),IF(Nonlabor!$E$12="Core",1,IF(Nonlabor!$E$12="AI",'Start Here'!$B$7,'Start Here'!$B$8))=1,C3033&gt;=IF(Nonlabor!$E$12="Core",Nonlabor!$F$12,MAX(Nonlabor!$F$12,IF(Nonlabor!$E$12="AI",Assumptions!$E$24,Assumptions!$E$25))),C3033&lt;=Nonlabor!$G$12,OR(Nonlabor!$H$12="Monthly",AND(Nonlabor!$H$12="Once",C3033=IF(Nonlabor!$E$12="Core",Nonlabor!$F$12,MAX(Nonlabor!$F$12,IF(Nonlabor!$E$12="AI",Assumptions!$E$24,Assumptions!$E$25)))),AND(Nonlabor!$H$12="Annual",MOD(C3033-IF(Nonlabor!$E$12="Core",Nonlabor!$F$12,MAX(Nonlabor!$F$12,IF(Nonlabor!$E$12="AI",Assumptions!$E$24,Assumptions!$E$25))),12)=0))),IF(Nonlabor!$I$12="Fixed",1,IF(Nonlabor!$I$12="Seats",ROUNDUP('Monthly Growth'!I33,0),IF(Nonlabor!$I$12="Customers",'Monthly Growth'!D33,IF(Nonlabor!$I$12="NewCustomers",'Monthly Growth'!C33,IF(Nonlabor!$I$12="StorageGB",'Monthly Growth'!G33,IF(Nonlabor!$I$12="LogGB",'Monthly Growth'!H33,IF(Nonlabor!$I$12="RequestsM",'Monthly Growth'!F33,IF(Nonlabor!$I$12="InputM",'Monthly Growth'!D33*Assumptions!$E$22/1000000,IF(Nonlabor!$I$12="OutputM",'Monthly Growth'!D33*Assumptions!$E$23/1000000,0))))))))),0)</f>
        <v>7.17614143822774</v>
      </c>
      <c r="F3033" s="10" t="n">
        <f aca="false">Nonlabor!$J$12*(1+Assumptions!$E$9)^INT((C3033-1)/12)</f>
        <v>32.448</v>
      </c>
      <c r="G3033" s="10" t="n">
        <f aca="false">E3033*F3033</f>
        <v>232.851437387614</v>
      </c>
      <c r="H3033" s="10" t="n">
        <f aca="false">IF(OR(Nonlabor!$L$12="Quote required",Nonlabor!$L$12="Unverified"),G3033,0)</f>
        <v>0</v>
      </c>
      <c r="I3033" s="10" t="n">
        <f aca="false">IF(Nonlabor!$E$12="Core",0,G3033)</f>
        <v>0</v>
      </c>
      <c r="J3033" s="23" t="str">
        <f aca="false">Nonlabor!$B$12</f>
        <v>INFRA</v>
      </c>
    </row>
    <row r="3034" customFormat="false" ht="15" hidden="false" customHeight="false" outlineLevel="0" collapsed="false">
      <c r="A3034" s="6" t="s">
        <v>73</v>
      </c>
      <c r="B3034" s="6" t="s">
        <v>391</v>
      </c>
      <c r="C3034" s="6" t="n">
        <v>29</v>
      </c>
      <c r="D3034" s="25" t="n">
        <f aca="false">EDATE('Start Here'!$B$6,C3034-1)</f>
        <v>47178</v>
      </c>
      <c r="E3034" s="11" t="n">
        <f aca="false">IF(AND(OR(Nonlabor!$D$12="Both",Nonlabor!$D$12='Start Here'!$B$9),IF(Nonlabor!$E$12="Core",1,IF(Nonlabor!$E$12="AI",'Start Here'!$B$7,'Start Here'!$B$8))=1,C3034&gt;=IF(Nonlabor!$E$12="Core",Nonlabor!$F$12,MAX(Nonlabor!$F$12,IF(Nonlabor!$E$12="AI",Assumptions!$E$24,Assumptions!$E$25))),C3034&lt;=Nonlabor!$G$12,OR(Nonlabor!$H$12="Monthly",AND(Nonlabor!$H$12="Once",C3034=IF(Nonlabor!$E$12="Core",Nonlabor!$F$12,MAX(Nonlabor!$F$12,IF(Nonlabor!$E$12="AI",Assumptions!$E$24,Assumptions!$E$25)))),AND(Nonlabor!$H$12="Annual",MOD(C3034-IF(Nonlabor!$E$12="Core",Nonlabor!$F$12,MAX(Nonlabor!$F$12,IF(Nonlabor!$E$12="AI",Assumptions!$E$24,Assumptions!$E$25))),12)=0))),IF(Nonlabor!$I$12="Fixed",1,IF(Nonlabor!$I$12="Seats",ROUNDUP('Monthly Growth'!I34,0),IF(Nonlabor!$I$12="Customers",'Monthly Growth'!D34,IF(Nonlabor!$I$12="NewCustomers",'Monthly Growth'!C34,IF(Nonlabor!$I$12="StorageGB",'Monthly Growth'!G34,IF(Nonlabor!$I$12="LogGB",'Monthly Growth'!H34,IF(Nonlabor!$I$12="RequestsM",'Monthly Growth'!F34,IF(Nonlabor!$I$12="InputM",'Monthly Growth'!D34*Assumptions!$E$22/1000000,IF(Nonlabor!$I$12="OutputM",'Monthly Growth'!D34*Assumptions!$E$23/1000000,0))))))))),0)</f>
        <v>7.74188002384546</v>
      </c>
      <c r="F3034" s="10" t="n">
        <f aca="false">Nonlabor!$J$12*(1+Assumptions!$E$9)^INT((C3034-1)/12)</f>
        <v>32.448</v>
      </c>
      <c r="G3034" s="10" t="n">
        <f aca="false">E3034*F3034</f>
        <v>251.208523013738</v>
      </c>
      <c r="H3034" s="10" t="n">
        <f aca="false">IF(OR(Nonlabor!$L$12="Quote required",Nonlabor!$L$12="Unverified"),G3034,0)</f>
        <v>0</v>
      </c>
      <c r="I3034" s="10" t="n">
        <f aca="false">IF(Nonlabor!$E$12="Core",0,G3034)</f>
        <v>0</v>
      </c>
      <c r="J3034" s="23" t="str">
        <f aca="false">Nonlabor!$B$12</f>
        <v>INFRA</v>
      </c>
    </row>
    <row r="3035" customFormat="false" ht="15" hidden="false" customHeight="false" outlineLevel="0" collapsed="false">
      <c r="A3035" s="6" t="s">
        <v>73</v>
      </c>
      <c r="B3035" s="6" t="s">
        <v>391</v>
      </c>
      <c r="C3035" s="6" t="n">
        <v>30</v>
      </c>
      <c r="D3035" s="25" t="n">
        <f aca="false">EDATE('Start Here'!$B$6,C3035-1)</f>
        <v>47209</v>
      </c>
      <c r="E3035" s="11" t="n">
        <f aca="false">IF(AND(OR(Nonlabor!$D$12="Both",Nonlabor!$D$12='Start Here'!$B$9),IF(Nonlabor!$E$12="Core",1,IF(Nonlabor!$E$12="AI",'Start Here'!$B$7,'Start Here'!$B$8))=1,C3035&gt;=IF(Nonlabor!$E$12="Core",Nonlabor!$F$12,MAX(Nonlabor!$F$12,IF(Nonlabor!$E$12="AI",Assumptions!$E$24,Assumptions!$E$25))),C3035&lt;=Nonlabor!$G$12,OR(Nonlabor!$H$12="Monthly",AND(Nonlabor!$H$12="Once",C3035=IF(Nonlabor!$E$12="Core",Nonlabor!$F$12,MAX(Nonlabor!$F$12,IF(Nonlabor!$E$12="AI",Assumptions!$E$24,Assumptions!$E$25)))),AND(Nonlabor!$H$12="Annual",MOD(C3035-IF(Nonlabor!$E$12="Core",Nonlabor!$F$12,MAX(Nonlabor!$F$12,IF(Nonlabor!$E$12="AI",Assumptions!$E$24,Assumptions!$E$25))),12)=0))),IF(Nonlabor!$I$12="Fixed",1,IF(Nonlabor!$I$12="Seats",ROUNDUP('Monthly Growth'!I35,0),IF(Nonlabor!$I$12="Customers",'Monthly Growth'!D35,IF(Nonlabor!$I$12="NewCustomers",'Monthly Growth'!C35,IF(Nonlabor!$I$12="StorageGB",'Monthly Growth'!G35,IF(Nonlabor!$I$12="LogGB",'Monthly Growth'!H35,IF(Nonlabor!$I$12="RequestsM",'Monthly Growth'!F35,IF(Nonlabor!$I$12="InputM",'Monthly Growth'!D35*Assumptions!$E$22/1000000,IF(Nonlabor!$I$12="OutputM",'Monthly Growth'!D35*Assumptions!$E$23/1000000,0))))))))),0)</f>
        <v>8.30196122360701</v>
      </c>
      <c r="F3035" s="10" t="n">
        <f aca="false">Nonlabor!$J$12*(1+Assumptions!$E$9)^INT((C3035-1)/12)</f>
        <v>32.448</v>
      </c>
      <c r="G3035" s="10" t="n">
        <f aca="false">E3035*F3035</f>
        <v>269.3820377836</v>
      </c>
      <c r="H3035" s="10" t="n">
        <f aca="false">IF(OR(Nonlabor!$L$12="Quote required",Nonlabor!$L$12="Unverified"),G3035,0)</f>
        <v>0</v>
      </c>
      <c r="I3035" s="10" t="n">
        <f aca="false">IF(Nonlabor!$E$12="Core",0,G3035)</f>
        <v>0</v>
      </c>
      <c r="J3035" s="23" t="str">
        <f aca="false">Nonlabor!$B$12</f>
        <v>INFRA</v>
      </c>
    </row>
    <row r="3036" customFormat="false" ht="15" hidden="false" customHeight="false" outlineLevel="0" collapsed="false">
      <c r="A3036" s="6" t="s">
        <v>73</v>
      </c>
      <c r="B3036" s="6" t="s">
        <v>391</v>
      </c>
      <c r="C3036" s="6" t="n">
        <v>31</v>
      </c>
      <c r="D3036" s="25" t="n">
        <f aca="false">EDATE('Start Here'!$B$6,C3036-1)</f>
        <v>47239</v>
      </c>
      <c r="E3036" s="11" t="n">
        <f aca="false">IF(AND(OR(Nonlabor!$D$12="Both",Nonlabor!$D$12='Start Here'!$B$9),IF(Nonlabor!$E$12="Core",1,IF(Nonlabor!$E$12="AI",'Start Here'!$B$7,'Start Here'!$B$8))=1,C3036&gt;=IF(Nonlabor!$E$12="Core",Nonlabor!$F$12,MAX(Nonlabor!$F$12,IF(Nonlabor!$E$12="AI",Assumptions!$E$24,Assumptions!$E$25))),C3036&lt;=Nonlabor!$G$12,OR(Nonlabor!$H$12="Monthly",AND(Nonlabor!$H$12="Once",C3036=IF(Nonlabor!$E$12="Core",Nonlabor!$F$12,MAX(Nonlabor!$F$12,IF(Nonlabor!$E$12="AI",Assumptions!$E$24,Assumptions!$E$25)))),AND(Nonlabor!$H$12="Annual",MOD(C3036-IF(Nonlabor!$E$12="Core",Nonlabor!$F$12,MAX(Nonlabor!$F$12,IF(Nonlabor!$E$12="AI",Assumptions!$E$24,Assumptions!$E$25))),12)=0))),IF(Nonlabor!$I$12="Fixed",1,IF(Nonlabor!$I$12="Seats",ROUNDUP('Monthly Growth'!I36,0),IF(Nonlabor!$I$12="Customers",'Monthly Growth'!D36,IF(Nonlabor!$I$12="NewCustomers",'Monthly Growth'!C36,IF(Nonlabor!$I$12="StorageGB",'Monthly Growth'!G36,IF(Nonlabor!$I$12="LogGB",'Monthly Growth'!H36,IF(Nonlabor!$I$12="RequestsM",'Monthly Growth'!F36,IF(Nonlabor!$I$12="InputM",'Monthly Growth'!D36*Assumptions!$E$22/1000000,IF(Nonlabor!$I$12="OutputM",'Monthly Growth'!D36*Assumptions!$E$23/1000000,0))))))))),0)</f>
        <v>8.85644161137094</v>
      </c>
      <c r="F3036" s="10" t="n">
        <f aca="false">Nonlabor!$J$12*(1+Assumptions!$E$9)^INT((C3036-1)/12)</f>
        <v>32.448</v>
      </c>
      <c r="G3036" s="10" t="n">
        <f aca="false">E3036*F3036</f>
        <v>287.373817405764</v>
      </c>
      <c r="H3036" s="10" t="n">
        <f aca="false">IF(OR(Nonlabor!$L$12="Quote required",Nonlabor!$L$12="Unverified"),G3036,0)</f>
        <v>0</v>
      </c>
      <c r="I3036" s="10" t="n">
        <f aca="false">IF(Nonlabor!$E$12="Core",0,G3036)</f>
        <v>0</v>
      </c>
      <c r="J3036" s="23" t="str">
        <f aca="false">Nonlabor!$B$12</f>
        <v>INFRA</v>
      </c>
    </row>
    <row r="3037" customFormat="false" ht="15" hidden="false" customHeight="false" outlineLevel="0" collapsed="false">
      <c r="A3037" s="6" t="s">
        <v>73</v>
      </c>
      <c r="B3037" s="6" t="s">
        <v>391</v>
      </c>
      <c r="C3037" s="6" t="n">
        <v>32</v>
      </c>
      <c r="D3037" s="25" t="n">
        <f aca="false">EDATE('Start Here'!$B$6,C3037-1)</f>
        <v>47270</v>
      </c>
      <c r="E3037" s="11" t="n">
        <f aca="false">IF(AND(OR(Nonlabor!$D$12="Both",Nonlabor!$D$12='Start Here'!$B$9),IF(Nonlabor!$E$12="Core",1,IF(Nonlabor!$E$12="AI",'Start Here'!$B$7,'Start Here'!$B$8))=1,C3037&gt;=IF(Nonlabor!$E$12="Core",Nonlabor!$F$12,MAX(Nonlabor!$F$12,IF(Nonlabor!$E$12="AI",Assumptions!$E$24,Assumptions!$E$25))),C3037&lt;=Nonlabor!$G$12,OR(Nonlabor!$H$12="Monthly",AND(Nonlabor!$H$12="Once",C3037=IF(Nonlabor!$E$12="Core",Nonlabor!$F$12,MAX(Nonlabor!$F$12,IF(Nonlabor!$E$12="AI",Assumptions!$E$24,Assumptions!$E$25)))),AND(Nonlabor!$H$12="Annual",MOD(C3037-IF(Nonlabor!$E$12="Core",Nonlabor!$F$12,MAX(Nonlabor!$F$12,IF(Nonlabor!$E$12="AI",Assumptions!$E$24,Assumptions!$E$25))),12)=0))),IF(Nonlabor!$I$12="Fixed",1,IF(Nonlabor!$I$12="Seats",ROUNDUP('Monthly Growth'!I37,0),IF(Nonlabor!$I$12="Customers",'Monthly Growth'!D37,IF(Nonlabor!$I$12="NewCustomers",'Monthly Growth'!C37,IF(Nonlabor!$I$12="StorageGB",'Monthly Growth'!G37,IF(Nonlabor!$I$12="LogGB",'Monthly Growth'!H37,IF(Nonlabor!$I$12="RequestsM",'Monthly Growth'!F37,IF(Nonlabor!$I$12="InputM",'Monthly Growth'!D37*Assumptions!$E$22/1000000,IF(Nonlabor!$I$12="OutputM",'Monthly Growth'!D37*Assumptions!$E$23/1000000,0))))))))),0)</f>
        <v>9.40537719525723</v>
      </c>
      <c r="F3037" s="10" t="n">
        <f aca="false">Nonlabor!$J$12*(1+Assumptions!$E$9)^INT((C3037-1)/12)</f>
        <v>32.448</v>
      </c>
      <c r="G3037" s="10" t="n">
        <f aca="false">E3037*F3037</f>
        <v>305.185679231706</v>
      </c>
      <c r="H3037" s="10" t="n">
        <f aca="false">IF(OR(Nonlabor!$L$12="Quote required",Nonlabor!$L$12="Unverified"),G3037,0)</f>
        <v>0</v>
      </c>
      <c r="I3037" s="10" t="n">
        <f aca="false">IF(Nonlabor!$E$12="Core",0,G3037)</f>
        <v>0</v>
      </c>
      <c r="J3037" s="23" t="str">
        <f aca="false">Nonlabor!$B$12</f>
        <v>INFRA</v>
      </c>
    </row>
    <row r="3038" customFormat="false" ht="15" hidden="false" customHeight="false" outlineLevel="0" collapsed="false">
      <c r="A3038" s="6" t="s">
        <v>73</v>
      </c>
      <c r="B3038" s="6" t="s">
        <v>391</v>
      </c>
      <c r="C3038" s="6" t="n">
        <v>33</v>
      </c>
      <c r="D3038" s="25" t="n">
        <f aca="false">EDATE('Start Here'!$B$6,C3038-1)</f>
        <v>47300</v>
      </c>
      <c r="E3038" s="11" t="n">
        <f aca="false">IF(AND(OR(Nonlabor!$D$12="Both",Nonlabor!$D$12='Start Here'!$B$9),IF(Nonlabor!$E$12="Core",1,IF(Nonlabor!$E$12="AI",'Start Here'!$B$7,'Start Here'!$B$8))=1,C3038&gt;=IF(Nonlabor!$E$12="Core",Nonlabor!$F$12,MAX(Nonlabor!$F$12,IF(Nonlabor!$E$12="AI",Assumptions!$E$24,Assumptions!$E$25))),C3038&lt;=Nonlabor!$G$12,OR(Nonlabor!$H$12="Monthly",AND(Nonlabor!$H$12="Once",C3038=IF(Nonlabor!$E$12="Core",Nonlabor!$F$12,MAX(Nonlabor!$F$12,IF(Nonlabor!$E$12="AI",Assumptions!$E$24,Assumptions!$E$25)))),AND(Nonlabor!$H$12="Annual",MOD(C3038-IF(Nonlabor!$E$12="Core",Nonlabor!$F$12,MAX(Nonlabor!$F$12,IF(Nonlabor!$E$12="AI",Assumptions!$E$24,Assumptions!$E$25))),12)=0))),IF(Nonlabor!$I$12="Fixed",1,IF(Nonlabor!$I$12="Seats",ROUNDUP('Monthly Growth'!I38,0),IF(Nonlabor!$I$12="Customers",'Monthly Growth'!D38,IF(Nonlabor!$I$12="NewCustomers",'Monthly Growth'!C38,IF(Nonlabor!$I$12="StorageGB",'Monthly Growth'!G38,IF(Nonlabor!$I$12="LogGB",'Monthly Growth'!H38,IF(Nonlabor!$I$12="RequestsM",'Monthly Growth'!F38,IF(Nonlabor!$I$12="InputM",'Monthly Growth'!D38*Assumptions!$E$22/1000000,IF(Nonlabor!$I$12="OutputM",'Monthly Growth'!D38*Assumptions!$E$23/1000000,0))))))))),0)</f>
        <v>9.94882342330465</v>
      </c>
      <c r="F3038" s="10" t="n">
        <f aca="false">Nonlabor!$J$12*(1+Assumptions!$E$9)^INT((C3038-1)/12)</f>
        <v>32.448</v>
      </c>
      <c r="G3038" s="10" t="n">
        <f aca="false">E3038*F3038</f>
        <v>322.819422439389</v>
      </c>
      <c r="H3038" s="10" t="n">
        <f aca="false">IF(OR(Nonlabor!$L$12="Quote required",Nonlabor!$L$12="Unverified"),G3038,0)</f>
        <v>0</v>
      </c>
      <c r="I3038" s="10" t="n">
        <f aca="false">IF(Nonlabor!$E$12="Core",0,G3038)</f>
        <v>0</v>
      </c>
      <c r="J3038" s="23" t="str">
        <f aca="false">Nonlabor!$B$12</f>
        <v>INFRA</v>
      </c>
    </row>
    <row r="3039" customFormat="false" ht="15" hidden="false" customHeight="false" outlineLevel="0" collapsed="false">
      <c r="A3039" s="6" t="s">
        <v>73</v>
      </c>
      <c r="B3039" s="6" t="s">
        <v>391</v>
      </c>
      <c r="C3039" s="6" t="n">
        <v>34</v>
      </c>
      <c r="D3039" s="25" t="n">
        <f aca="false">EDATE('Start Here'!$B$6,C3039-1)</f>
        <v>47331</v>
      </c>
      <c r="E3039" s="11" t="n">
        <f aca="false">IF(AND(OR(Nonlabor!$D$12="Both",Nonlabor!$D$12='Start Here'!$B$9),IF(Nonlabor!$E$12="Core",1,IF(Nonlabor!$E$12="AI",'Start Here'!$B$7,'Start Here'!$B$8))=1,C3039&gt;=IF(Nonlabor!$E$12="Core",Nonlabor!$F$12,MAX(Nonlabor!$F$12,IF(Nonlabor!$E$12="AI",Assumptions!$E$24,Assumptions!$E$25))),C3039&lt;=Nonlabor!$G$12,OR(Nonlabor!$H$12="Monthly",AND(Nonlabor!$H$12="Once",C3039=IF(Nonlabor!$E$12="Core",Nonlabor!$F$12,MAX(Nonlabor!$F$12,IF(Nonlabor!$E$12="AI",Assumptions!$E$24,Assumptions!$E$25)))),AND(Nonlabor!$H$12="Annual",MOD(C3039-IF(Nonlabor!$E$12="Core",Nonlabor!$F$12,MAX(Nonlabor!$F$12,IF(Nonlabor!$E$12="AI",Assumptions!$E$24,Assumptions!$E$25))),12)=0))),IF(Nonlabor!$I$12="Fixed",1,IF(Nonlabor!$I$12="Seats",ROUNDUP('Monthly Growth'!I39,0),IF(Nonlabor!$I$12="Customers",'Monthly Growth'!D39,IF(Nonlabor!$I$12="NewCustomers",'Monthly Growth'!C39,IF(Nonlabor!$I$12="StorageGB",'Monthly Growth'!G39,IF(Nonlabor!$I$12="LogGB",'Monthly Growth'!H39,IF(Nonlabor!$I$12="RequestsM",'Monthly Growth'!F39,IF(Nonlabor!$I$12="InputM",'Monthly Growth'!D39*Assumptions!$E$22/1000000,IF(Nonlabor!$I$12="OutputM",'Monthly Growth'!D39*Assumptions!$E$23/1000000,0))))))))),0)</f>
        <v>10.4868351890716</v>
      </c>
      <c r="F3039" s="10" t="n">
        <f aca="false">Nonlabor!$J$12*(1+Assumptions!$E$9)^INT((C3039-1)/12)</f>
        <v>32.448</v>
      </c>
      <c r="G3039" s="10" t="n">
        <f aca="false">E3039*F3039</f>
        <v>340.276828214996</v>
      </c>
      <c r="H3039" s="10" t="n">
        <f aca="false">IF(OR(Nonlabor!$L$12="Quote required",Nonlabor!$L$12="Unverified"),G3039,0)</f>
        <v>0</v>
      </c>
      <c r="I3039" s="10" t="n">
        <f aca="false">IF(Nonlabor!$E$12="Core",0,G3039)</f>
        <v>0</v>
      </c>
      <c r="J3039" s="23" t="str">
        <f aca="false">Nonlabor!$B$12</f>
        <v>INFRA</v>
      </c>
    </row>
    <row r="3040" customFormat="false" ht="15" hidden="false" customHeight="false" outlineLevel="0" collapsed="false">
      <c r="A3040" s="6" t="s">
        <v>73</v>
      </c>
      <c r="B3040" s="6" t="s">
        <v>391</v>
      </c>
      <c r="C3040" s="6" t="n">
        <v>35</v>
      </c>
      <c r="D3040" s="25" t="n">
        <f aca="false">EDATE('Start Here'!$B$6,C3040-1)</f>
        <v>47362</v>
      </c>
      <c r="E3040" s="11" t="n">
        <f aca="false">IF(AND(OR(Nonlabor!$D$12="Both",Nonlabor!$D$12='Start Here'!$B$9),IF(Nonlabor!$E$12="Core",1,IF(Nonlabor!$E$12="AI",'Start Here'!$B$7,'Start Here'!$B$8))=1,C3040&gt;=IF(Nonlabor!$E$12="Core",Nonlabor!$F$12,MAX(Nonlabor!$F$12,IF(Nonlabor!$E$12="AI",Assumptions!$E$24,Assumptions!$E$25))),C3040&lt;=Nonlabor!$G$12,OR(Nonlabor!$H$12="Monthly",AND(Nonlabor!$H$12="Once",C3040=IF(Nonlabor!$E$12="Core",Nonlabor!$F$12,MAX(Nonlabor!$F$12,IF(Nonlabor!$E$12="AI",Assumptions!$E$24,Assumptions!$E$25)))),AND(Nonlabor!$H$12="Annual",MOD(C3040-IF(Nonlabor!$E$12="Core",Nonlabor!$F$12,MAX(Nonlabor!$F$12,IF(Nonlabor!$E$12="AI",Assumptions!$E$24,Assumptions!$E$25))),12)=0))),IF(Nonlabor!$I$12="Fixed",1,IF(Nonlabor!$I$12="Seats",ROUNDUP('Monthly Growth'!I40,0),IF(Nonlabor!$I$12="Customers",'Monthly Growth'!D40,IF(Nonlabor!$I$12="NewCustomers",'Monthly Growth'!C40,IF(Nonlabor!$I$12="StorageGB",'Monthly Growth'!G40,IF(Nonlabor!$I$12="LogGB",'Monthly Growth'!H40,IF(Nonlabor!$I$12="RequestsM",'Monthly Growth'!F40,IF(Nonlabor!$I$12="InputM",'Monthly Growth'!D40*Assumptions!$E$22/1000000,IF(Nonlabor!$I$12="OutputM",'Monthly Growth'!D40*Assumptions!$E$23/1000000,0))))))))),0)</f>
        <v>11.0194668371809</v>
      </c>
      <c r="F3040" s="10" t="n">
        <f aca="false">Nonlabor!$J$12*(1+Assumptions!$E$9)^INT((C3040-1)/12)</f>
        <v>32.448</v>
      </c>
      <c r="G3040" s="10" t="n">
        <f aca="false">E3040*F3040</f>
        <v>357.559659932846</v>
      </c>
      <c r="H3040" s="10" t="n">
        <f aca="false">IF(OR(Nonlabor!$L$12="Quote required",Nonlabor!$L$12="Unverified"),G3040,0)</f>
        <v>0</v>
      </c>
      <c r="I3040" s="10" t="n">
        <f aca="false">IF(Nonlabor!$E$12="Core",0,G3040)</f>
        <v>0</v>
      </c>
      <c r="J3040" s="23" t="str">
        <f aca="false">Nonlabor!$B$12</f>
        <v>INFRA</v>
      </c>
    </row>
    <row r="3041" customFormat="false" ht="15" hidden="false" customHeight="false" outlineLevel="0" collapsed="false">
      <c r="A3041" s="6" t="s">
        <v>73</v>
      </c>
      <c r="B3041" s="6" t="s">
        <v>391</v>
      </c>
      <c r="C3041" s="6" t="n">
        <v>36</v>
      </c>
      <c r="D3041" s="25" t="n">
        <f aca="false">EDATE('Start Here'!$B$6,C3041-1)</f>
        <v>47392</v>
      </c>
      <c r="E3041" s="11" t="n">
        <f aca="false">IF(AND(OR(Nonlabor!$D$12="Both",Nonlabor!$D$12='Start Here'!$B$9),IF(Nonlabor!$E$12="Core",1,IF(Nonlabor!$E$12="AI",'Start Here'!$B$7,'Start Here'!$B$8))=1,C3041&gt;=IF(Nonlabor!$E$12="Core",Nonlabor!$F$12,MAX(Nonlabor!$F$12,IF(Nonlabor!$E$12="AI",Assumptions!$E$24,Assumptions!$E$25))),C3041&lt;=Nonlabor!$G$12,OR(Nonlabor!$H$12="Monthly",AND(Nonlabor!$H$12="Once",C3041=IF(Nonlabor!$E$12="Core",Nonlabor!$F$12,MAX(Nonlabor!$F$12,IF(Nonlabor!$E$12="AI",Assumptions!$E$24,Assumptions!$E$25)))),AND(Nonlabor!$H$12="Annual",MOD(C3041-IF(Nonlabor!$E$12="Core",Nonlabor!$F$12,MAX(Nonlabor!$F$12,IF(Nonlabor!$E$12="AI",Assumptions!$E$24,Assumptions!$E$25))),12)=0))),IF(Nonlabor!$I$12="Fixed",1,IF(Nonlabor!$I$12="Seats",ROUNDUP('Monthly Growth'!I41,0),IF(Nonlabor!$I$12="Customers",'Monthly Growth'!D41,IF(Nonlabor!$I$12="NewCustomers",'Monthly Growth'!C41,IF(Nonlabor!$I$12="StorageGB",'Monthly Growth'!G41,IF(Nonlabor!$I$12="LogGB",'Monthly Growth'!H41,IF(Nonlabor!$I$12="RequestsM",'Monthly Growth'!F41,IF(Nonlabor!$I$12="InputM",'Monthly Growth'!D41*Assumptions!$E$22/1000000,IF(Nonlabor!$I$12="OutputM",'Monthly Growth'!D41*Assumptions!$E$23/1000000,0))))))))),0)</f>
        <v>11.9930221688091</v>
      </c>
      <c r="F3041" s="10" t="n">
        <f aca="false">Nonlabor!$J$12*(1+Assumptions!$E$9)^INT((C3041-1)/12)</f>
        <v>32.448</v>
      </c>
      <c r="G3041" s="10" t="n">
        <f aca="false">E3041*F3041</f>
        <v>389.149583333517</v>
      </c>
      <c r="H3041" s="10" t="n">
        <f aca="false">IF(OR(Nonlabor!$L$12="Quote required",Nonlabor!$L$12="Unverified"),G3041,0)</f>
        <v>0</v>
      </c>
      <c r="I3041" s="10" t="n">
        <f aca="false">IF(Nonlabor!$E$12="Core",0,G3041)</f>
        <v>0</v>
      </c>
      <c r="J3041" s="23" t="str">
        <f aca="false">Nonlabor!$B$12</f>
        <v>INFRA</v>
      </c>
    </row>
    <row r="3042" customFormat="false" ht="15" hidden="false" customHeight="false" outlineLevel="0" collapsed="false">
      <c r="A3042" s="6" t="s">
        <v>73</v>
      </c>
      <c r="B3042" s="6" t="s">
        <v>391</v>
      </c>
      <c r="C3042" s="6" t="n">
        <v>37</v>
      </c>
      <c r="D3042" s="25" t="n">
        <f aca="false">EDATE('Start Here'!$B$6,C3042-1)</f>
        <v>47423</v>
      </c>
      <c r="E3042" s="11" t="n">
        <f aca="false">IF(AND(OR(Nonlabor!$D$12="Both",Nonlabor!$D$12='Start Here'!$B$9),IF(Nonlabor!$E$12="Core",1,IF(Nonlabor!$E$12="AI",'Start Here'!$B$7,'Start Here'!$B$8))=1,C3042&gt;=IF(Nonlabor!$E$12="Core",Nonlabor!$F$12,MAX(Nonlabor!$F$12,IF(Nonlabor!$E$12="AI",Assumptions!$E$24,Assumptions!$E$25))),C3042&lt;=Nonlabor!$G$12,OR(Nonlabor!$H$12="Monthly",AND(Nonlabor!$H$12="Once",C3042=IF(Nonlabor!$E$12="Core",Nonlabor!$F$12,MAX(Nonlabor!$F$12,IF(Nonlabor!$E$12="AI",Assumptions!$E$24,Assumptions!$E$25)))),AND(Nonlabor!$H$12="Annual",MOD(C3042-IF(Nonlabor!$E$12="Core",Nonlabor!$F$12,MAX(Nonlabor!$F$12,IF(Nonlabor!$E$12="AI",Assumptions!$E$24,Assumptions!$E$25))),12)=0))),IF(Nonlabor!$I$12="Fixed",1,IF(Nonlabor!$I$12="Seats",ROUNDUP('Monthly Growth'!I42,0),IF(Nonlabor!$I$12="Customers",'Monthly Growth'!D42,IF(Nonlabor!$I$12="NewCustomers",'Monthly Growth'!C42,IF(Nonlabor!$I$12="StorageGB",'Monthly Growth'!G42,IF(Nonlabor!$I$12="LogGB",'Monthly Growth'!H42,IF(Nonlabor!$I$12="RequestsM",'Monthly Growth'!F42,IF(Nonlabor!$I$12="InputM",'Monthly Growth'!D42*Assumptions!$E$22/1000000,IF(Nonlabor!$I$12="OutputM",'Monthly Growth'!D42*Assumptions!$E$23/1000000,0))))))))),0)</f>
        <v>12.956841947121</v>
      </c>
      <c r="F3042" s="10" t="n">
        <f aca="false">Nonlabor!$J$12*(1+Assumptions!$E$9)^INT((C3042-1)/12)</f>
        <v>33.74592</v>
      </c>
      <c r="G3042" s="10" t="n">
        <f aca="false">E3042*F3042</f>
        <v>437.240551800189</v>
      </c>
      <c r="H3042" s="10" t="n">
        <f aca="false">IF(OR(Nonlabor!$L$12="Quote required",Nonlabor!$L$12="Unverified"),G3042,0)</f>
        <v>0</v>
      </c>
      <c r="I3042" s="10" t="n">
        <f aca="false">IF(Nonlabor!$E$12="Core",0,G3042)</f>
        <v>0</v>
      </c>
      <c r="J3042" s="23" t="str">
        <f aca="false">Nonlabor!$B$12</f>
        <v>INFRA</v>
      </c>
    </row>
    <row r="3043" customFormat="false" ht="15" hidden="false" customHeight="false" outlineLevel="0" collapsed="false">
      <c r="A3043" s="6" t="s">
        <v>73</v>
      </c>
      <c r="B3043" s="6" t="s">
        <v>391</v>
      </c>
      <c r="C3043" s="6" t="n">
        <v>38</v>
      </c>
      <c r="D3043" s="25" t="n">
        <f aca="false">EDATE('Start Here'!$B$6,C3043-1)</f>
        <v>47453</v>
      </c>
      <c r="E3043" s="11" t="n">
        <f aca="false">IF(AND(OR(Nonlabor!$D$12="Both",Nonlabor!$D$12='Start Here'!$B$9),IF(Nonlabor!$E$12="Core",1,IF(Nonlabor!$E$12="AI",'Start Here'!$B$7,'Start Here'!$B$8))=1,C3043&gt;=IF(Nonlabor!$E$12="Core",Nonlabor!$F$12,MAX(Nonlabor!$F$12,IF(Nonlabor!$E$12="AI",Assumptions!$E$24,Assumptions!$E$25))),C3043&lt;=Nonlabor!$G$12,OR(Nonlabor!$H$12="Monthly",AND(Nonlabor!$H$12="Once",C3043=IF(Nonlabor!$E$12="Core",Nonlabor!$F$12,MAX(Nonlabor!$F$12,IF(Nonlabor!$E$12="AI",Assumptions!$E$24,Assumptions!$E$25)))),AND(Nonlabor!$H$12="Annual",MOD(C3043-IF(Nonlabor!$E$12="Core",Nonlabor!$F$12,MAX(Nonlabor!$F$12,IF(Nonlabor!$E$12="AI",Assumptions!$E$24,Assumptions!$E$25))),12)=0))),IF(Nonlabor!$I$12="Fixed",1,IF(Nonlabor!$I$12="Seats",ROUNDUP('Monthly Growth'!I43,0),IF(Nonlabor!$I$12="Customers",'Monthly Growth'!D43,IF(Nonlabor!$I$12="NewCustomers",'Monthly Growth'!C43,IF(Nonlabor!$I$12="StorageGB",'Monthly Growth'!G43,IF(Nonlabor!$I$12="LogGB",'Monthly Growth'!H43,IF(Nonlabor!$I$12="RequestsM",'Monthly Growth'!F43,IF(Nonlabor!$I$12="InputM",'Monthly Growth'!D43*Assumptions!$E$22/1000000,IF(Nonlabor!$I$12="OutputM",'Monthly Growth'!D43*Assumptions!$E$23/1000000,0))))))))),0)</f>
        <v>13.9110235276498</v>
      </c>
      <c r="F3043" s="10" t="n">
        <f aca="false">Nonlabor!$J$12*(1+Assumptions!$E$9)^INT((C3043-1)/12)</f>
        <v>33.74592</v>
      </c>
      <c r="G3043" s="10" t="n">
        <f aca="false">E3043*F3043</f>
        <v>469.440287082187</v>
      </c>
      <c r="H3043" s="10" t="n">
        <f aca="false">IF(OR(Nonlabor!$L$12="Quote required",Nonlabor!$L$12="Unverified"),G3043,0)</f>
        <v>0</v>
      </c>
      <c r="I3043" s="10" t="n">
        <f aca="false">IF(Nonlabor!$E$12="Core",0,G3043)</f>
        <v>0</v>
      </c>
      <c r="J3043" s="23" t="str">
        <f aca="false">Nonlabor!$B$12</f>
        <v>INFRA</v>
      </c>
    </row>
    <row r="3044" customFormat="false" ht="15" hidden="false" customHeight="false" outlineLevel="0" collapsed="false">
      <c r="A3044" s="6" t="s">
        <v>73</v>
      </c>
      <c r="B3044" s="6" t="s">
        <v>391</v>
      </c>
      <c r="C3044" s="6" t="n">
        <v>39</v>
      </c>
      <c r="D3044" s="25" t="n">
        <f aca="false">EDATE('Start Here'!$B$6,C3044-1)</f>
        <v>47484</v>
      </c>
      <c r="E3044" s="11" t="n">
        <f aca="false">IF(AND(OR(Nonlabor!$D$12="Both",Nonlabor!$D$12='Start Here'!$B$9),IF(Nonlabor!$E$12="Core",1,IF(Nonlabor!$E$12="AI",'Start Here'!$B$7,'Start Here'!$B$8))=1,C3044&gt;=IF(Nonlabor!$E$12="Core",Nonlabor!$F$12,MAX(Nonlabor!$F$12,IF(Nonlabor!$E$12="AI",Assumptions!$E$24,Assumptions!$E$25))),C3044&lt;=Nonlabor!$G$12,OR(Nonlabor!$H$12="Monthly",AND(Nonlabor!$H$12="Once",C3044=IF(Nonlabor!$E$12="Core",Nonlabor!$F$12,MAX(Nonlabor!$F$12,IF(Nonlabor!$E$12="AI",Assumptions!$E$24,Assumptions!$E$25)))),AND(Nonlabor!$H$12="Annual",MOD(C3044-IF(Nonlabor!$E$12="Core",Nonlabor!$F$12,MAX(Nonlabor!$F$12,IF(Nonlabor!$E$12="AI",Assumptions!$E$24,Assumptions!$E$25))),12)=0))),IF(Nonlabor!$I$12="Fixed",1,IF(Nonlabor!$I$12="Seats",ROUNDUP('Monthly Growth'!I44,0),IF(Nonlabor!$I$12="Customers",'Monthly Growth'!D44,IF(Nonlabor!$I$12="NewCustomers",'Monthly Growth'!C44,IF(Nonlabor!$I$12="StorageGB",'Monthly Growth'!G44,IF(Nonlabor!$I$12="LogGB",'Monthly Growth'!H44,IF(Nonlabor!$I$12="RequestsM",'Monthly Growth'!F44,IF(Nonlabor!$I$12="InputM",'Monthly Growth'!D44*Assumptions!$E$22/1000000,IF(Nonlabor!$I$12="OutputM",'Monthly Growth'!D44*Assumptions!$E$23/1000000,0))))))))),0)</f>
        <v>14.8556632923733</v>
      </c>
      <c r="F3044" s="10" t="n">
        <f aca="false">Nonlabor!$J$12*(1+Assumptions!$E$9)^INT((C3044-1)/12)</f>
        <v>33.74592</v>
      </c>
      <c r="G3044" s="10" t="n">
        <f aca="false">E3044*F3044</f>
        <v>501.318025011366</v>
      </c>
      <c r="H3044" s="10" t="n">
        <f aca="false">IF(OR(Nonlabor!$L$12="Quote required",Nonlabor!$L$12="Unverified"),G3044,0)</f>
        <v>0</v>
      </c>
      <c r="I3044" s="10" t="n">
        <f aca="false">IF(Nonlabor!$E$12="Core",0,G3044)</f>
        <v>0</v>
      </c>
      <c r="J3044" s="23" t="str">
        <f aca="false">Nonlabor!$B$12</f>
        <v>INFRA</v>
      </c>
    </row>
    <row r="3045" customFormat="false" ht="15" hidden="false" customHeight="false" outlineLevel="0" collapsed="false">
      <c r="A3045" s="6" t="s">
        <v>73</v>
      </c>
      <c r="B3045" s="6" t="s">
        <v>391</v>
      </c>
      <c r="C3045" s="6" t="n">
        <v>40</v>
      </c>
      <c r="D3045" s="25" t="n">
        <f aca="false">EDATE('Start Here'!$B$6,C3045-1)</f>
        <v>47515</v>
      </c>
      <c r="E3045" s="11" t="n">
        <f aca="false">IF(AND(OR(Nonlabor!$D$12="Both",Nonlabor!$D$12='Start Here'!$B$9),IF(Nonlabor!$E$12="Core",1,IF(Nonlabor!$E$12="AI",'Start Here'!$B$7,'Start Here'!$B$8))=1,C3045&gt;=IF(Nonlabor!$E$12="Core",Nonlabor!$F$12,MAX(Nonlabor!$F$12,IF(Nonlabor!$E$12="AI",Assumptions!$E$24,Assumptions!$E$25))),C3045&lt;=Nonlabor!$G$12,OR(Nonlabor!$H$12="Monthly",AND(Nonlabor!$H$12="Once",C3045=IF(Nonlabor!$E$12="Core",Nonlabor!$F$12,MAX(Nonlabor!$F$12,IF(Nonlabor!$E$12="AI",Assumptions!$E$24,Assumptions!$E$25)))),AND(Nonlabor!$H$12="Annual",MOD(C3045-IF(Nonlabor!$E$12="Core",Nonlabor!$F$12,MAX(Nonlabor!$F$12,IF(Nonlabor!$E$12="AI",Assumptions!$E$24,Assumptions!$E$25))),12)=0))),IF(Nonlabor!$I$12="Fixed",1,IF(Nonlabor!$I$12="Seats",ROUNDUP('Monthly Growth'!I45,0),IF(Nonlabor!$I$12="Customers",'Monthly Growth'!D45,IF(Nonlabor!$I$12="NewCustomers",'Monthly Growth'!C45,IF(Nonlabor!$I$12="StorageGB",'Monthly Growth'!G45,IF(Nonlabor!$I$12="LogGB",'Monthly Growth'!H45,IF(Nonlabor!$I$12="RequestsM",'Monthly Growth'!F45,IF(Nonlabor!$I$12="InputM",'Monthly Growth'!D45*Assumptions!$E$22/1000000,IF(Nonlabor!$I$12="OutputM",'Monthly Growth'!D45*Assumptions!$E$23/1000000,0))))))))),0)</f>
        <v>15.7908566594496</v>
      </c>
      <c r="F3045" s="10" t="n">
        <f aca="false">Nonlabor!$J$12*(1+Assumptions!$E$9)^INT((C3045-1)/12)</f>
        <v>33.74592</v>
      </c>
      <c r="G3045" s="10" t="n">
        <f aca="false">E3045*F3045</f>
        <v>532.876985561252</v>
      </c>
      <c r="H3045" s="10" t="n">
        <f aca="false">IF(OR(Nonlabor!$L$12="Quote required",Nonlabor!$L$12="Unverified"),G3045,0)</f>
        <v>0</v>
      </c>
      <c r="I3045" s="10" t="n">
        <f aca="false">IF(Nonlabor!$E$12="Core",0,G3045)</f>
        <v>0</v>
      </c>
      <c r="J3045" s="23" t="str">
        <f aca="false">Nonlabor!$B$12</f>
        <v>INFRA</v>
      </c>
    </row>
    <row r="3046" customFormat="false" ht="15" hidden="false" customHeight="false" outlineLevel="0" collapsed="false">
      <c r="A3046" s="6" t="s">
        <v>73</v>
      </c>
      <c r="B3046" s="6" t="s">
        <v>391</v>
      </c>
      <c r="C3046" s="6" t="n">
        <v>41</v>
      </c>
      <c r="D3046" s="25" t="n">
        <f aca="false">EDATE('Start Here'!$B$6,C3046-1)</f>
        <v>47543</v>
      </c>
      <c r="E3046" s="11" t="n">
        <f aca="false">IF(AND(OR(Nonlabor!$D$12="Both",Nonlabor!$D$12='Start Here'!$B$9),IF(Nonlabor!$E$12="Core",1,IF(Nonlabor!$E$12="AI",'Start Here'!$B$7,'Start Here'!$B$8))=1,C3046&gt;=IF(Nonlabor!$E$12="Core",Nonlabor!$F$12,MAX(Nonlabor!$F$12,IF(Nonlabor!$E$12="AI",Assumptions!$E$24,Assumptions!$E$25))),C3046&lt;=Nonlabor!$G$12,OR(Nonlabor!$H$12="Monthly",AND(Nonlabor!$H$12="Once",C3046=IF(Nonlabor!$E$12="Core",Nonlabor!$F$12,MAX(Nonlabor!$F$12,IF(Nonlabor!$E$12="AI",Assumptions!$E$24,Assumptions!$E$25)))),AND(Nonlabor!$H$12="Annual",MOD(C3046-IF(Nonlabor!$E$12="Core",Nonlabor!$F$12,MAX(Nonlabor!$F$12,IF(Nonlabor!$E$12="AI",Assumptions!$E$24,Assumptions!$E$25))),12)=0))),IF(Nonlabor!$I$12="Fixed",1,IF(Nonlabor!$I$12="Seats",ROUNDUP('Monthly Growth'!I46,0),IF(Nonlabor!$I$12="Customers",'Monthly Growth'!D46,IF(Nonlabor!$I$12="NewCustomers",'Monthly Growth'!C46,IF(Nonlabor!$I$12="StorageGB",'Monthly Growth'!G46,IF(Nonlabor!$I$12="LogGB",'Monthly Growth'!H46,IF(Nonlabor!$I$12="RequestsM",'Monthly Growth'!F46,IF(Nonlabor!$I$12="InputM",'Monthly Growth'!D46*Assumptions!$E$22/1000000,IF(Nonlabor!$I$12="OutputM",'Monthly Growth'!D46*Assumptions!$E$23/1000000,0))))))))),0)</f>
        <v>16.7166980928551</v>
      </c>
      <c r="F3046" s="10" t="n">
        <f aca="false">Nonlabor!$J$12*(1+Assumptions!$E$9)^INT((C3046-1)/12)</f>
        <v>33.74592</v>
      </c>
      <c r="G3046" s="10" t="n">
        <f aca="false">E3046*F3046</f>
        <v>564.120356505639</v>
      </c>
      <c r="H3046" s="10" t="n">
        <f aca="false">IF(OR(Nonlabor!$L$12="Quote required",Nonlabor!$L$12="Unverified"),G3046,0)</f>
        <v>0</v>
      </c>
      <c r="I3046" s="10" t="n">
        <f aca="false">IF(Nonlabor!$E$12="Core",0,G3046)</f>
        <v>0</v>
      </c>
      <c r="J3046" s="23" t="str">
        <f aca="false">Nonlabor!$B$12</f>
        <v>INFRA</v>
      </c>
    </row>
    <row r="3047" customFormat="false" ht="15" hidden="false" customHeight="false" outlineLevel="0" collapsed="false">
      <c r="A3047" s="6" t="s">
        <v>73</v>
      </c>
      <c r="B3047" s="6" t="s">
        <v>391</v>
      </c>
      <c r="C3047" s="6" t="n">
        <v>42</v>
      </c>
      <c r="D3047" s="25" t="n">
        <f aca="false">EDATE('Start Here'!$B$6,C3047-1)</f>
        <v>47574</v>
      </c>
      <c r="E3047" s="11" t="n">
        <f aca="false">IF(AND(OR(Nonlabor!$D$12="Both",Nonlabor!$D$12='Start Here'!$B$9),IF(Nonlabor!$E$12="Core",1,IF(Nonlabor!$E$12="AI",'Start Here'!$B$7,'Start Here'!$B$8))=1,C3047&gt;=IF(Nonlabor!$E$12="Core",Nonlabor!$F$12,MAX(Nonlabor!$F$12,IF(Nonlabor!$E$12="AI",Assumptions!$E$24,Assumptions!$E$25))),C3047&lt;=Nonlabor!$G$12,OR(Nonlabor!$H$12="Monthly",AND(Nonlabor!$H$12="Once",C3047=IF(Nonlabor!$E$12="Core",Nonlabor!$F$12,MAX(Nonlabor!$F$12,IF(Nonlabor!$E$12="AI",Assumptions!$E$24,Assumptions!$E$25)))),AND(Nonlabor!$H$12="Annual",MOD(C3047-IF(Nonlabor!$E$12="Core",Nonlabor!$F$12,MAX(Nonlabor!$F$12,IF(Nonlabor!$E$12="AI",Assumptions!$E$24,Assumptions!$E$25))),12)=0))),IF(Nonlabor!$I$12="Fixed",1,IF(Nonlabor!$I$12="Seats",ROUNDUP('Monthly Growth'!I47,0),IF(Nonlabor!$I$12="Customers",'Monthly Growth'!D47,IF(Nonlabor!$I$12="NewCustomers",'Monthly Growth'!C47,IF(Nonlabor!$I$12="StorageGB",'Monthly Growth'!G47,IF(Nonlabor!$I$12="LogGB",'Monthly Growth'!H47,IF(Nonlabor!$I$12="RequestsM",'Monthly Growth'!F47,IF(Nonlabor!$I$12="InputM",'Monthly Growth'!D47*Assumptions!$E$22/1000000,IF(Nonlabor!$I$12="OutputM",'Monthly Growth'!D47*Assumptions!$E$23/1000000,0))))))))),0)</f>
        <v>17.6332811119265</v>
      </c>
      <c r="F3047" s="10" t="n">
        <f aca="false">Nonlabor!$J$12*(1+Assumptions!$E$9)^INT((C3047-1)/12)</f>
        <v>33.74592</v>
      </c>
      <c r="G3047" s="10" t="n">
        <f aca="false">E3047*F3047</f>
        <v>595.051293740583</v>
      </c>
      <c r="H3047" s="10" t="n">
        <f aca="false">IF(OR(Nonlabor!$L$12="Quote required",Nonlabor!$L$12="Unverified"),G3047,0)</f>
        <v>0</v>
      </c>
      <c r="I3047" s="10" t="n">
        <f aca="false">IF(Nonlabor!$E$12="Core",0,G3047)</f>
        <v>0</v>
      </c>
      <c r="J3047" s="23" t="str">
        <f aca="false">Nonlabor!$B$12</f>
        <v>INFRA</v>
      </c>
    </row>
    <row r="3048" customFormat="false" ht="15" hidden="false" customHeight="false" outlineLevel="0" collapsed="false">
      <c r="A3048" s="6" t="s">
        <v>73</v>
      </c>
      <c r="B3048" s="6" t="s">
        <v>391</v>
      </c>
      <c r="C3048" s="6" t="n">
        <v>43</v>
      </c>
      <c r="D3048" s="25" t="n">
        <f aca="false">EDATE('Start Here'!$B$6,C3048-1)</f>
        <v>47604</v>
      </c>
      <c r="E3048" s="11" t="n">
        <f aca="false">IF(AND(OR(Nonlabor!$D$12="Both",Nonlabor!$D$12='Start Here'!$B$9),IF(Nonlabor!$E$12="Core",1,IF(Nonlabor!$E$12="AI",'Start Here'!$B$7,'Start Here'!$B$8))=1,C3048&gt;=IF(Nonlabor!$E$12="Core",Nonlabor!$F$12,MAX(Nonlabor!$F$12,IF(Nonlabor!$E$12="AI",Assumptions!$E$24,Assumptions!$E$25))),C3048&lt;=Nonlabor!$G$12,OR(Nonlabor!$H$12="Monthly",AND(Nonlabor!$H$12="Once",C3048=IF(Nonlabor!$E$12="Core",Nonlabor!$F$12,MAX(Nonlabor!$F$12,IF(Nonlabor!$E$12="AI",Assumptions!$E$24,Assumptions!$E$25)))),AND(Nonlabor!$H$12="Annual",MOD(C3048-IF(Nonlabor!$E$12="Core",Nonlabor!$F$12,MAX(Nonlabor!$F$12,IF(Nonlabor!$E$12="AI",Assumptions!$E$24,Assumptions!$E$25))),12)=0))),IF(Nonlabor!$I$12="Fixed",1,IF(Nonlabor!$I$12="Seats",ROUNDUP('Monthly Growth'!I48,0),IF(Nonlabor!$I$12="Customers",'Monthly Growth'!D48,IF(Nonlabor!$I$12="NewCustomers",'Monthly Growth'!C48,IF(Nonlabor!$I$12="StorageGB",'Monthly Growth'!G48,IF(Nonlabor!$I$12="LogGB",'Monthly Growth'!H48,IF(Nonlabor!$I$12="RequestsM",'Monthly Growth'!F48,IF(Nonlabor!$I$12="InputM",'Monthly Growth'!D48*Assumptions!$E$22/1000000,IF(Nonlabor!$I$12="OutputM",'Monthly Growth'!D48*Assumptions!$E$23/1000000,0))))))))),0)</f>
        <v>18.5406983008072</v>
      </c>
      <c r="F3048" s="10" t="n">
        <f aca="false">Nonlabor!$J$12*(1+Assumptions!$E$9)^INT((C3048-1)/12)</f>
        <v>33.74592</v>
      </c>
      <c r="G3048" s="10" t="n">
        <f aca="false">E3048*F3048</f>
        <v>625.672921603177</v>
      </c>
      <c r="H3048" s="10" t="n">
        <f aca="false">IF(OR(Nonlabor!$L$12="Quote required",Nonlabor!$L$12="Unverified"),G3048,0)</f>
        <v>0</v>
      </c>
      <c r="I3048" s="10" t="n">
        <f aca="false">IF(Nonlabor!$E$12="Core",0,G3048)</f>
        <v>0</v>
      </c>
      <c r="J3048" s="23" t="str">
        <f aca="false">Nonlabor!$B$12</f>
        <v>INFRA</v>
      </c>
    </row>
    <row r="3049" customFormat="false" ht="15" hidden="false" customHeight="false" outlineLevel="0" collapsed="false">
      <c r="A3049" s="6" t="s">
        <v>73</v>
      </c>
      <c r="B3049" s="6" t="s">
        <v>391</v>
      </c>
      <c r="C3049" s="6" t="n">
        <v>44</v>
      </c>
      <c r="D3049" s="25" t="n">
        <f aca="false">EDATE('Start Here'!$B$6,C3049-1)</f>
        <v>47635</v>
      </c>
      <c r="E3049" s="11" t="n">
        <f aca="false">IF(AND(OR(Nonlabor!$D$12="Both",Nonlabor!$D$12='Start Here'!$B$9),IF(Nonlabor!$E$12="Core",1,IF(Nonlabor!$E$12="AI",'Start Here'!$B$7,'Start Here'!$B$8))=1,C3049&gt;=IF(Nonlabor!$E$12="Core",Nonlabor!$F$12,MAX(Nonlabor!$F$12,IF(Nonlabor!$E$12="AI",Assumptions!$E$24,Assumptions!$E$25))),C3049&lt;=Nonlabor!$G$12,OR(Nonlabor!$H$12="Monthly",AND(Nonlabor!$H$12="Once",C3049=IF(Nonlabor!$E$12="Core",Nonlabor!$F$12,MAX(Nonlabor!$F$12,IF(Nonlabor!$E$12="AI",Assumptions!$E$24,Assumptions!$E$25)))),AND(Nonlabor!$H$12="Annual",MOD(C3049-IF(Nonlabor!$E$12="Core",Nonlabor!$F$12,MAX(Nonlabor!$F$12,IF(Nonlabor!$E$12="AI",Assumptions!$E$24,Assumptions!$E$25))),12)=0))),IF(Nonlabor!$I$12="Fixed",1,IF(Nonlabor!$I$12="Seats",ROUNDUP('Monthly Growth'!I49,0),IF(Nonlabor!$I$12="Customers",'Monthly Growth'!D49,IF(Nonlabor!$I$12="NewCustomers",'Monthly Growth'!C49,IF(Nonlabor!$I$12="StorageGB",'Monthly Growth'!G49,IF(Nonlabor!$I$12="LogGB",'Monthly Growth'!H49,IF(Nonlabor!$I$12="RequestsM",'Monthly Growth'!F49,IF(Nonlabor!$I$12="InputM",'Monthly Growth'!D49*Assumptions!$E$22/1000000,IF(Nonlabor!$I$12="OutputM",'Monthly Growth'!D49*Assumptions!$E$23/1000000,0))))))))),0)</f>
        <v>19.4390413177992</v>
      </c>
      <c r="F3049" s="10" t="n">
        <f aca="false">Nonlabor!$J$12*(1+Assumptions!$E$9)^INT((C3049-1)/12)</f>
        <v>33.74592</v>
      </c>
      <c r="G3049" s="10" t="n">
        <f aca="false">E3049*F3049</f>
        <v>655.988333187146</v>
      </c>
      <c r="H3049" s="10" t="n">
        <f aca="false">IF(OR(Nonlabor!$L$12="Quote required",Nonlabor!$L$12="Unverified"),G3049,0)</f>
        <v>0</v>
      </c>
      <c r="I3049" s="10" t="n">
        <f aca="false">IF(Nonlabor!$E$12="Core",0,G3049)</f>
        <v>0</v>
      </c>
      <c r="J3049" s="23" t="str">
        <f aca="false">Nonlabor!$B$12</f>
        <v>INFRA</v>
      </c>
    </row>
    <row r="3050" customFormat="false" ht="15" hidden="false" customHeight="false" outlineLevel="0" collapsed="false">
      <c r="A3050" s="6" t="s">
        <v>73</v>
      </c>
      <c r="B3050" s="6" t="s">
        <v>391</v>
      </c>
      <c r="C3050" s="6" t="n">
        <v>45</v>
      </c>
      <c r="D3050" s="25" t="n">
        <f aca="false">EDATE('Start Here'!$B$6,C3050-1)</f>
        <v>47665</v>
      </c>
      <c r="E3050" s="11" t="n">
        <f aca="false">IF(AND(OR(Nonlabor!$D$12="Both",Nonlabor!$D$12='Start Here'!$B$9),IF(Nonlabor!$E$12="Core",1,IF(Nonlabor!$E$12="AI",'Start Here'!$B$7,'Start Here'!$B$8))=1,C3050&gt;=IF(Nonlabor!$E$12="Core",Nonlabor!$F$12,MAX(Nonlabor!$F$12,IF(Nonlabor!$E$12="AI",Assumptions!$E$24,Assumptions!$E$25))),C3050&lt;=Nonlabor!$G$12,OR(Nonlabor!$H$12="Monthly",AND(Nonlabor!$H$12="Once",C3050=IF(Nonlabor!$E$12="Core",Nonlabor!$F$12,MAX(Nonlabor!$F$12,IF(Nonlabor!$E$12="AI",Assumptions!$E$24,Assumptions!$E$25)))),AND(Nonlabor!$H$12="Annual",MOD(C3050-IF(Nonlabor!$E$12="Core",Nonlabor!$F$12,MAX(Nonlabor!$F$12,IF(Nonlabor!$E$12="AI",Assumptions!$E$24,Assumptions!$E$25))),12)=0))),IF(Nonlabor!$I$12="Fixed",1,IF(Nonlabor!$I$12="Seats",ROUNDUP('Monthly Growth'!I50,0),IF(Nonlabor!$I$12="Customers",'Monthly Growth'!D50,IF(Nonlabor!$I$12="NewCustomers",'Monthly Growth'!C50,IF(Nonlabor!$I$12="StorageGB",'Monthly Growth'!G50,IF(Nonlabor!$I$12="LogGB",'Monthly Growth'!H50,IF(Nonlabor!$I$12="RequestsM",'Monthly Growth'!F50,IF(Nonlabor!$I$12="InputM",'Monthly Growth'!D50*Assumptions!$E$22/1000000,IF(Nonlabor!$I$12="OutputM",'Monthly Growth'!D50*Assumptions!$E$23/1000000,0))))))))),0)</f>
        <v>20.3284009046212</v>
      </c>
      <c r="F3050" s="10" t="n">
        <f aca="false">Nonlabor!$J$12*(1+Assumptions!$E$9)^INT((C3050-1)/12)</f>
        <v>33.74592</v>
      </c>
      <c r="G3050" s="10" t="n">
        <f aca="false">E3050*F3050</f>
        <v>686.000590655274</v>
      </c>
      <c r="H3050" s="10" t="n">
        <f aca="false">IF(OR(Nonlabor!$L$12="Quote required",Nonlabor!$L$12="Unverified"),G3050,0)</f>
        <v>0</v>
      </c>
      <c r="I3050" s="10" t="n">
        <f aca="false">IF(Nonlabor!$E$12="Core",0,G3050)</f>
        <v>0</v>
      </c>
      <c r="J3050" s="23" t="str">
        <f aca="false">Nonlabor!$B$12</f>
        <v>INFRA</v>
      </c>
    </row>
    <row r="3051" customFormat="false" ht="15" hidden="false" customHeight="false" outlineLevel="0" collapsed="false">
      <c r="A3051" s="6" t="s">
        <v>73</v>
      </c>
      <c r="B3051" s="6" t="s">
        <v>391</v>
      </c>
      <c r="C3051" s="6" t="n">
        <v>46</v>
      </c>
      <c r="D3051" s="25" t="n">
        <f aca="false">EDATE('Start Here'!$B$6,C3051-1)</f>
        <v>47696</v>
      </c>
      <c r="E3051" s="11" t="n">
        <f aca="false">IF(AND(OR(Nonlabor!$D$12="Both",Nonlabor!$D$12='Start Here'!$B$9),IF(Nonlabor!$E$12="Core",1,IF(Nonlabor!$E$12="AI",'Start Here'!$B$7,'Start Here'!$B$8))=1,C3051&gt;=IF(Nonlabor!$E$12="Core",Nonlabor!$F$12,MAX(Nonlabor!$F$12,IF(Nonlabor!$E$12="AI",Assumptions!$E$24,Assumptions!$E$25))),C3051&lt;=Nonlabor!$G$12,OR(Nonlabor!$H$12="Monthly",AND(Nonlabor!$H$12="Once",C3051=IF(Nonlabor!$E$12="Core",Nonlabor!$F$12,MAX(Nonlabor!$F$12,IF(Nonlabor!$E$12="AI",Assumptions!$E$24,Assumptions!$E$25)))),AND(Nonlabor!$H$12="Annual",MOD(C3051-IF(Nonlabor!$E$12="Core",Nonlabor!$F$12,MAX(Nonlabor!$F$12,IF(Nonlabor!$E$12="AI",Assumptions!$E$24,Assumptions!$E$25))),12)=0))),IF(Nonlabor!$I$12="Fixed",1,IF(Nonlabor!$I$12="Seats",ROUNDUP('Monthly Growth'!I51,0),IF(Nonlabor!$I$12="Customers",'Monthly Growth'!D51,IF(Nonlabor!$I$12="NewCustomers",'Monthly Growth'!C51,IF(Nonlabor!$I$12="StorageGB",'Monthly Growth'!G51,IF(Nonlabor!$I$12="LogGB",'Monthly Growth'!H51,IF(Nonlabor!$I$12="RequestsM",'Monthly Growth'!F51,IF(Nonlabor!$I$12="InputM",'Monthly Growth'!D51*Assumptions!$E$22/1000000,IF(Nonlabor!$I$12="OutputM",'Monthly Growth'!D51*Assumptions!$E$23/1000000,0))))))))),0)</f>
        <v>21.208866895575</v>
      </c>
      <c r="F3051" s="10" t="n">
        <f aca="false">Nonlabor!$J$12*(1+Assumptions!$E$9)^INT((C3051-1)/12)</f>
        <v>33.74592</v>
      </c>
      <c r="G3051" s="10" t="n">
        <f aca="false">E3051*F3051</f>
        <v>715.712725548721</v>
      </c>
      <c r="H3051" s="10" t="n">
        <f aca="false">IF(OR(Nonlabor!$L$12="Quote required",Nonlabor!$L$12="Unverified"),G3051,0)</f>
        <v>0</v>
      </c>
      <c r="I3051" s="10" t="n">
        <f aca="false">IF(Nonlabor!$E$12="Core",0,G3051)</f>
        <v>0</v>
      </c>
      <c r="J3051" s="23" t="str">
        <f aca="false">Nonlabor!$B$12</f>
        <v>INFRA</v>
      </c>
    </row>
    <row r="3052" customFormat="false" ht="15" hidden="false" customHeight="false" outlineLevel="0" collapsed="false">
      <c r="A3052" s="6" t="s">
        <v>73</v>
      </c>
      <c r="B3052" s="6" t="s">
        <v>391</v>
      </c>
      <c r="C3052" s="6" t="n">
        <v>47</v>
      </c>
      <c r="D3052" s="25" t="n">
        <f aca="false">EDATE('Start Here'!$B$6,C3052-1)</f>
        <v>47727</v>
      </c>
      <c r="E3052" s="11" t="n">
        <f aca="false">IF(AND(OR(Nonlabor!$D$12="Both",Nonlabor!$D$12='Start Here'!$B$9),IF(Nonlabor!$E$12="Core",1,IF(Nonlabor!$E$12="AI",'Start Here'!$B$7,'Start Here'!$B$8))=1,C3052&gt;=IF(Nonlabor!$E$12="Core",Nonlabor!$F$12,MAX(Nonlabor!$F$12,IF(Nonlabor!$E$12="AI",Assumptions!$E$24,Assumptions!$E$25))),C3052&lt;=Nonlabor!$G$12,OR(Nonlabor!$H$12="Monthly",AND(Nonlabor!$H$12="Once",C3052=IF(Nonlabor!$E$12="Core",Nonlabor!$F$12,MAX(Nonlabor!$F$12,IF(Nonlabor!$E$12="AI",Assumptions!$E$24,Assumptions!$E$25)))),AND(Nonlabor!$H$12="Annual",MOD(C3052-IF(Nonlabor!$E$12="Core",Nonlabor!$F$12,MAX(Nonlabor!$F$12,IF(Nonlabor!$E$12="AI",Assumptions!$E$24,Assumptions!$E$25))),12)=0))),IF(Nonlabor!$I$12="Fixed",1,IF(Nonlabor!$I$12="Seats",ROUNDUP('Monthly Growth'!I52,0),IF(Nonlabor!$I$12="Customers",'Monthly Growth'!D52,IF(Nonlabor!$I$12="NewCustomers",'Monthly Growth'!C52,IF(Nonlabor!$I$12="StorageGB",'Monthly Growth'!G52,IF(Nonlabor!$I$12="LogGB",'Monthly Growth'!H52,IF(Nonlabor!$I$12="RequestsM",'Monthly Growth'!F52,IF(Nonlabor!$I$12="InputM",'Monthly Growth'!D52*Assumptions!$E$22/1000000,IF(Nonlabor!$I$12="OutputM",'Monthly Growth'!D52*Assumptions!$E$23/1000000,0))))))))),0)</f>
        <v>22.0805282266192</v>
      </c>
      <c r="F3052" s="10" t="n">
        <f aca="false">Nonlabor!$J$12*(1+Assumptions!$E$9)^INT((C3052-1)/12)</f>
        <v>33.74592</v>
      </c>
      <c r="G3052" s="10" t="n">
        <f aca="false">E3052*F3052</f>
        <v>745.127739093234</v>
      </c>
      <c r="H3052" s="10" t="n">
        <f aca="false">IF(OR(Nonlabor!$L$12="Quote required",Nonlabor!$L$12="Unverified"),G3052,0)</f>
        <v>0</v>
      </c>
      <c r="I3052" s="10" t="n">
        <f aca="false">IF(Nonlabor!$E$12="Core",0,G3052)</f>
        <v>0</v>
      </c>
      <c r="J3052" s="23" t="str">
        <f aca="false">Nonlabor!$B$12</f>
        <v>INFRA</v>
      </c>
    </row>
    <row r="3053" customFormat="false" ht="15" hidden="false" customHeight="false" outlineLevel="0" collapsed="false">
      <c r="A3053" s="6" t="s">
        <v>73</v>
      </c>
      <c r="B3053" s="6" t="s">
        <v>391</v>
      </c>
      <c r="C3053" s="6" t="n">
        <v>48</v>
      </c>
      <c r="D3053" s="25" t="n">
        <f aca="false">EDATE('Start Here'!$B$6,C3053-1)</f>
        <v>47757</v>
      </c>
      <c r="E3053" s="11" t="n">
        <f aca="false">IF(AND(OR(Nonlabor!$D$12="Both",Nonlabor!$D$12='Start Here'!$B$9),IF(Nonlabor!$E$12="Core",1,IF(Nonlabor!$E$12="AI",'Start Here'!$B$7,'Start Here'!$B$8))=1,C3053&gt;=IF(Nonlabor!$E$12="Core",Nonlabor!$F$12,MAX(Nonlabor!$F$12,IF(Nonlabor!$E$12="AI",Assumptions!$E$24,Assumptions!$E$25))),C3053&lt;=Nonlabor!$G$12,OR(Nonlabor!$H$12="Monthly",AND(Nonlabor!$H$12="Once",C3053=IF(Nonlabor!$E$12="Core",Nonlabor!$F$12,MAX(Nonlabor!$F$12,IF(Nonlabor!$E$12="AI",Assumptions!$E$24,Assumptions!$E$25)))),AND(Nonlabor!$H$12="Annual",MOD(C3053-IF(Nonlabor!$E$12="Core",Nonlabor!$F$12,MAX(Nonlabor!$F$12,IF(Nonlabor!$E$12="AI",Assumptions!$E$24,Assumptions!$E$25))),12)=0))),IF(Nonlabor!$I$12="Fixed",1,IF(Nonlabor!$I$12="Seats",ROUNDUP('Monthly Growth'!I53,0),IF(Nonlabor!$I$12="Customers",'Monthly Growth'!D53,IF(Nonlabor!$I$12="NewCustomers",'Monthly Growth'!C53,IF(Nonlabor!$I$12="StorageGB",'Monthly Growth'!G53,IF(Nonlabor!$I$12="LogGB",'Monthly Growth'!H53,IF(Nonlabor!$I$12="RequestsM",'Monthly Growth'!F53,IF(Nonlabor!$I$12="InputM",'Monthly Growth'!D53*Assumptions!$E$22/1000000,IF(Nonlabor!$I$12="OutputM",'Monthly Growth'!D53*Assumptions!$E$23/1000000,0))))))))),0)</f>
        <v>23.702097944353</v>
      </c>
      <c r="F3053" s="10" t="n">
        <f aca="false">Nonlabor!$J$12*(1+Assumptions!$E$9)^INT((C3053-1)/12)</f>
        <v>33.74592</v>
      </c>
      <c r="G3053" s="10" t="n">
        <f aca="false">E3053*F3053</f>
        <v>799.849101062302</v>
      </c>
      <c r="H3053" s="10" t="n">
        <f aca="false">IF(OR(Nonlabor!$L$12="Quote required",Nonlabor!$L$12="Unverified"),G3053,0)</f>
        <v>0</v>
      </c>
      <c r="I3053" s="10" t="n">
        <f aca="false">IF(Nonlabor!$E$12="Core",0,G3053)</f>
        <v>0</v>
      </c>
      <c r="J3053" s="23" t="str">
        <f aca="false">Nonlabor!$B$12</f>
        <v>INFRA</v>
      </c>
    </row>
    <row r="3054" customFormat="false" ht="15" hidden="false" customHeight="false" outlineLevel="0" collapsed="false">
      <c r="A3054" s="6" t="s">
        <v>73</v>
      </c>
      <c r="B3054" s="6" t="s">
        <v>391</v>
      </c>
      <c r="C3054" s="6" t="n">
        <v>49</v>
      </c>
      <c r="D3054" s="25" t="n">
        <f aca="false">EDATE('Start Here'!$B$6,C3054-1)</f>
        <v>47788</v>
      </c>
      <c r="E3054" s="11" t="n">
        <f aca="false">IF(AND(OR(Nonlabor!$D$12="Both",Nonlabor!$D$12='Start Here'!$B$9),IF(Nonlabor!$E$12="Core",1,IF(Nonlabor!$E$12="AI",'Start Here'!$B$7,'Start Here'!$B$8))=1,C3054&gt;=IF(Nonlabor!$E$12="Core",Nonlabor!$F$12,MAX(Nonlabor!$F$12,IF(Nonlabor!$E$12="AI",Assumptions!$E$24,Assumptions!$E$25))),C3054&lt;=Nonlabor!$G$12,OR(Nonlabor!$H$12="Monthly",AND(Nonlabor!$H$12="Once",C3054=IF(Nonlabor!$E$12="Core",Nonlabor!$F$12,MAX(Nonlabor!$F$12,IF(Nonlabor!$E$12="AI",Assumptions!$E$24,Assumptions!$E$25)))),AND(Nonlabor!$H$12="Annual",MOD(C3054-IF(Nonlabor!$E$12="Core",Nonlabor!$F$12,MAX(Nonlabor!$F$12,IF(Nonlabor!$E$12="AI",Assumptions!$E$24,Assumptions!$E$25))),12)=0))),IF(Nonlabor!$I$12="Fixed",1,IF(Nonlabor!$I$12="Seats",ROUNDUP('Monthly Growth'!I54,0),IF(Nonlabor!$I$12="Customers",'Monthly Growth'!D54,IF(Nonlabor!$I$12="NewCustomers",'Monthly Growth'!C54,IF(Nonlabor!$I$12="StorageGB",'Monthly Growth'!G54,IF(Nonlabor!$I$12="LogGB",'Monthly Growth'!H54,IF(Nonlabor!$I$12="RequestsM",'Monthly Growth'!F54,IF(Nonlabor!$I$12="InputM",'Monthly Growth'!D54*Assumptions!$E$22/1000000,IF(Nonlabor!$I$12="OutputM",'Monthly Growth'!D54*Assumptions!$E$23/1000000,0))))))))),0)</f>
        <v>25.3074519649095</v>
      </c>
      <c r="F3054" s="10" t="n">
        <f aca="false">Nonlabor!$J$12*(1+Assumptions!$E$9)^INT((C3054-1)/12)</f>
        <v>35.0957568</v>
      </c>
      <c r="G3054" s="10" t="n">
        <f aca="false">E3054*F3054</f>
        <v>888.184179388146</v>
      </c>
      <c r="H3054" s="10" t="n">
        <f aca="false">IF(OR(Nonlabor!$L$12="Quote required",Nonlabor!$L$12="Unverified"),G3054,0)</f>
        <v>0</v>
      </c>
      <c r="I3054" s="10" t="n">
        <f aca="false">IF(Nonlabor!$E$12="Core",0,G3054)</f>
        <v>0</v>
      </c>
      <c r="J3054" s="23" t="str">
        <f aca="false">Nonlabor!$B$12</f>
        <v>INFRA</v>
      </c>
    </row>
    <row r="3055" customFormat="false" ht="15" hidden="false" customHeight="false" outlineLevel="0" collapsed="false">
      <c r="A3055" s="6" t="s">
        <v>73</v>
      </c>
      <c r="B3055" s="6" t="s">
        <v>391</v>
      </c>
      <c r="C3055" s="6" t="n">
        <v>50</v>
      </c>
      <c r="D3055" s="25" t="n">
        <f aca="false">EDATE('Start Here'!$B$6,C3055-1)</f>
        <v>47818</v>
      </c>
      <c r="E3055" s="11" t="n">
        <f aca="false">IF(AND(OR(Nonlabor!$D$12="Both",Nonlabor!$D$12='Start Here'!$B$9),IF(Nonlabor!$E$12="Core",1,IF(Nonlabor!$E$12="AI",'Start Here'!$B$7,'Start Here'!$B$8))=1,C3055&gt;=IF(Nonlabor!$E$12="Core",Nonlabor!$F$12,MAX(Nonlabor!$F$12,IF(Nonlabor!$E$12="AI",Assumptions!$E$24,Assumptions!$E$25))),C3055&lt;=Nonlabor!$G$12,OR(Nonlabor!$H$12="Monthly",AND(Nonlabor!$H$12="Once",C3055=IF(Nonlabor!$E$12="Core",Nonlabor!$F$12,MAX(Nonlabor!$F$12,IF(Nonlabor!$E$12="AI",Assumptions!$E$24,Assumptions!$E$25)))),AND(Nonlabor!$H$12="Annual",MOD(C3055-IF(Nonlabor!$E$12="Core",Nonlabor!$F$12,MAX(Nonlabor!$F$12,IF(Nonlabor!$E$12="AI",Assumptions!$E$24,Assumptions!$E$25))),12)=0))),IF(Nonlabor!$I$12="Fixed",1,IF(Nonlabor!$I$12="Seats",ROUNDUP('Monthly Growth'!I55,0),IF(Nonlabor!$I$12="Customers",'Monthly Growth'!D55,IF(Nonlabor!$I$12="NewCustomers",'Monthly Growth'!C55,IF(Nonlabor!$I$12="StorageGB",'Monthly Growth'!G55,IF(Nonlabor!$I$12="LogGB",'Monthly Growth'!H55,IF(Nonlabor!$I$12="RequestsM",'Monthly Growth'!F55,IF(Nonlabor!$I$12="InputM",'Monthly Growth'!D55*Assumptions!$E$22/1000000,IF(Nonlabor!$I$12="OutputM",'Monthly Growth'!D55*Assumptions!$E$23/1000000,0))))))))),0)</f>
        <v>26.8967524452604</v>
      </c>
      <c r="F3055" s="10" t="n">
        <f aca="false">Nonlabor!$J$12*(1+Assumptions!$E$9)^INT((C3055-1)/12)</f>
        <v>35.0957568</v>
      </c>
      <c r="G3055" s="10" t="n">
        <f aca="false">E3055*F3055</f>
        <v>943.961882528664</v>
      </c>
      <c r="H3055" s="10" t="n">
        <f aca="false">IF(OR(Nonlabor!$L$12="Quote required",Nonlabor!$L$12="Unverified"),G3055,0)</f>
        <v>0</v>
      </c>
      <c r="I3055" s="10" t="n">
        <f aca="false">IF(Nonlabor!$E$12="Core",0,G3055)</f>
        <v>0</v>
      </c>
      <c r="J3055" s="23" t="str">
        <f aca="false">Nonlabor!$B$12</f>
        <v>INFRA</v>
      </c>
    </row>
    <row r="3056" customFormat="false" ht="15" hidden="false" customHeight="false" outlineLevel="0" collapsed="false">
      <c r="A3056" s="6" t="s">
        <v>73</v>
      </c>
      <c r="B3056" s="6" t="s">
        <v>391</v>
      </c>
      <c r="C3056" s="6" t="n">
        <v>51</v>
      </c>
      <c r="D3056" s="25" t="n">
        <f aca="false">EDATE('Start Here'!$B$6,C3056-1)</f>
        <v>47849</v>
      </c>
      <c r="E3056" s="11" t="n">
        <f aca="false">IF(AND(OR(Nonlabor!$D$12="Both",Nonlabor!$D$12='Start Here'!$B$9),IF(Nonlabor!$E$12="Core",1,IF(Nonlabor!$E$12="AI",'Start Here'!$B$7,'Start Here'!$B$8))=1,C3056&gt;=IF(Nonlabor!$E$12="Core",Nonlabor!$F$12,MAX(Nonlabor!$F$12,IF(Nonlabor!$E$12="AI",Assumptions!$E$24,Assumptions!$E$25))),C3056&lt;=Nonlabor!$G$12,OR(Nonlabor!$H$12="Monthly",AND(Nonlabor!$H$12="Once",C3056=IF(Nonlabor!$E$12="Core",Nonlabor!$F$12,MAX(Nonlabor!$F$12,IF(Nonlabor!$E$12="AI",Assumptions!$E$24,Assumptions!$E$25)))),AND(Nonlabor!$H$12="Annual",MOD(C3056-IF(Nonlabor!$E$12="Core",Nonlabor!$F$12,MAX(Nonlabor!$F$12,IF(Nonlabor!$E$12="AI",Assumptions!$E$24,Assumptions!$E$25))),12)=0))),IF(Nonlabor!$I$12="Fixed",1,IF(Nonlabor!$I$12="Seats",ROUNDUP('Monthly Growth'!I56,0),IF(Nonlabor!$I$12="Customers",'Monthly Growth'!D56,IF(Nonlabor!$I$12="NewCustomers",'Monthly Growth'!C56,IF(Nonlabor!$I$12="StorageGB",'Monthly Growth'!G56,IF(Nonlabor!$I$12="LogGB",'Monthly Growth'!H56,IF(Nonlabor!$I$12="RequestsM",'Monthly Growth'!F56,IF(Nonlabor!$I$12="InputM",'Monthly Growth'!D56*Assumptions!$E$22/1000000,IF(Nonlabor!$I$12="OutputM",'Monthly Growth'!D56*Assumptions!$E$23/1000000,0))))))))),0)</f>
        <v>28.4701599208078</v>
      </c>
      <c r="F3056" s="10" t="n">
        <f aca="false">Nonlabor!$J$12*(1+Assumptions!$E$9)^INT((C3056-1)/12)</f>
        <v>35.0957568</v>
      </c>
      <c r="G3056" s="10" t="n">
        <f aca="false">E3056*F3056</f>
        <v>999.181808637778</v>
      </c>
      <c r="H3056" s="10" t="n">
        <f aca="false">IF(OR(Nonlabor!$L$12="Quote required",Nonlabor!$L$12="Unverified"),G3056,0)</f>
        <v>0</v>
      </c>
      <c r="I3056" s="10" t="n">
        <f aca="false">IF(Nonlabor!$E$12="Core",0,G3056)</f>
        <v>0</v>
      </c>
      <c r="J3056" s="23" t="str">
        <f aca="false">Nonlabor!$B$12</f>
        <v>INFRA</v>
      </c>
    </row>
    <row r="3057" customFormat="false" ht="15" hidden="false" customHeight="false" outlineLevel="0" collapsed="false">
      <c r="A3057" s="6" t="s">
        <v>73</v>
      </c>
      <c r="B3057" s="6" t="s">
        <v>391</v>
      </c>
      <c r="C3057" s="6" t="n">
        <v>52</v>
      </c>
      <c r="D3057" s="25" t="n">
        <f aca="false">EDATE('Start Here'!$B$6,C3057-1)</f>
        <v>47880</v>
      </c>
      <c r="E3057" s="11" t="n">
        <f aca="false">IF(AND(OR(Nonlabor!$D$12="Both",Nonlabor!$D$12='Start Here'!$B$9),IF(Nonlabor!$E$12="Core",1,IF(Nonlabor!$E$12="AI",'Start Here'!$B$7,'Start Here'!$B$8))=1,C3057&gt;=IF(Nonlabor!$E$12="Core",Nonlabor!$F$12,MAX(Nonlabor!$F$12,IF(Nonlabor!$E$12="AI",Assumptions!$E$24,Assumptions!$E$25))),C3057&lt;=Nonlabor!$G$12,OR(Nonlabor!$H$12="Monthly",AND(Nonlabor!$H$12="Once",C3057=IF(Nonlabor!$E$12="Core",Nonlabor!$F$12,MAX(Nonlabor!$F$12,IF(Nonlabor!$E$12="AI",Assumptions!$E$24,Assumptions!$E$25)))),AND(Nonlabor!$H$12="Annual",MOD(C3057-IF(Nonlabor!$E$12="Core",Nonlabor!$F$12,MAX(Nonlabor!$F$12,IF(Nonlabor!$E$12="AI",Assumptions!$E$24,Assumptions!$E$25))),12)=0))),IF(Nonlabor!$I$12="Fixed",1,IF(Nonlabor!$I$12="Seats",ROUNDUP('Monthly Growth'!I57,0),IF(Nonlabor!$I$12="Customers",'Monthly Growth'!D57,IF(Nonlabor!$I$12="NewCustomers",'Monthly Growth'!C57,IF(Nonlabor!$I$12="StorageGB",'Monthly Growth'!G57,IF(Nonlabor!$I$12="LogGB",'Monthly Growth'!H57,IF(Nonlabor!$I$12="RequestsM",'Monthly Growth'!F57,IF(Nonlabor!$I$12="InputM",'Monthly Growth'!D57*Assumptions!$E$22/1000000,IF(Nonlabor!$I$12="OutputM",'Monthly Growth'!D57*Assumptions!$E$23/1000000,0))))))))),0)</f>
        <v>30.0278333215997</v>
      </c>
      <c r="F3057" s="10" t="n">
        <f aca="false">Nonlabor!$J$12*(1+Assumptions!$E$9)^INT((C3057-1)/12)</f>
        <v>35.0957568</v>
      </c>
      <c r="G3057" s="10" t="n">
        <f aca="false">E3057*F3057</f>
        <v>1053.8495354858</v>
      </c>
      <c r="H3057" s="10" t="n">
        <f aca="false">IF(OR(Nonlabor!$L$12="Quote required",Nonlabor!$L$12="Unverified"),G3057,0)</f>
        <v>0</v>
      </c>
      <c r="I3057" s="10" t="n">
        <f aca="false">IF(Nonlabor!$E$12="Core",0,G3057)</f>
        <v>0</v>
      </c>
      <c r="J3057" s="23" t="str">
        <f aca="false">Nonlabor!$B$12</f>
        <v>INFRA</v>
      </c>
    </row>
    <row r="3058" customFormat="false" ht="15" hidden="false" customHeight="false" outlineLevel="0" collapsed="false">
      <c r="A3058" s="6" t="s">
        <v>73</v>
      </c>
      <c r="B3058" s="6" t="s">
        <v>391</v>
      </c>
      <c r="C3058" s="6" t="n">
        <v>53</v>
      </c>
      <c r="D3058" s="25" t="n">
        <f aca="false">EDATE('Start Here'!$B$6,C3058-1)</f>
        <v>47908</v>
      </c>
      <c r="E3058" s="11" t="n">
        <f aca="false">IF(AND(OR(Nonlabor!$D$12="Both",Nonlabor!$D$12='Start Here'!$B$9),IF(Nonlabor!$E$12="Core",1,IF(Nonlabor!$E$12="AI",'Start Here'!$B$7,'Start Here'!$B$8))=1,C3058&gt;=IF(Nonlabor!$E$12="Core",Nonlabor!$F$12,MAX(Nonlabor!$F$12,IF(Nonlabor!$E$12="AI",Assumptions!$E$24,Assumptions!$E$25))),C3058&lt;=Nonlabor!$G$12,OR(Nonlabor!$H$12="Monthly",AND(Nonlabor!$H$12="Once",C3058=IF(Nonlabor!$E$12="Core",Nonlabor!$F$12,MAX(Nonlabor!$F$12,IF(Nonlabor!$E$12="AI",Assumptions!$E$24,Assumptions!$E$25)))),AND(Nonlabor!$H$12="Annual",MOD(C3058-IF(Nonlabor!$E$12="Core",Nonlabor!$F$12,MAX(Nonlabor!$F$12,IF(Nonlabor!$E$12="AI",Assumptions!$E$24,Assumptions!$E$25))),12)=0))),IF(Nonlabor!$I$12="Fixed",1,IF(Nonlabor!$I$12="Seats",ROUNDUP('Monthly Growth'!I58,0),IF(Nonlabor!$I$12="Customers",'Monthly Growth'!D58,IF(Nonlabor!$I$12="NewCustomers",'Monthly Growth'!C58,IF(Nonlabor!$I$12="StorageGB",'Monthly Growth'!G58,IF(Nonlabor!$I$12="LogGB",'Monthly Growth'!H58,IF(Nonlabor!$I$12="RequestsM",'Monthly Growth'!F58,IF(Nonlabor!$I$12="InputM",'Monthly Growth'!D58*Assumptions!$E$22/1000000,IF(Nonlabor!$I$12="OutputM",'Monthly Growth'!D58*Assumptions!$E$23/1000000,0))))))))),0)</f>
        <v>31.5699299883837</v>
      </c>
      <c r="F3058" s="10" t="n">
        <f aca="false">Nonlabor!$J$12*(1+Assumptions!$E$9)^INT((C3058-1)/12)</f>
        <v>35.0957568</v>
      </c>
      <c r="G3058" s="10" t="n">
        <f aca="false">E3058*F3058</f>
        <v>1107.97058506534</v>
      </c>
      <c r="H3058" s="10" t="n">
        <f aca="false">IF(OR(Nonlabor!$L$12="Quote required",Nonlabor!$L$12="Unverified"),G3058,0)</f>
        <v>0</v>
      </c>
      <c r="I3058" s="10" t="n">
        <f aca="false">IF(Nonlabor!$E$12="Core",0,G3058)</f>
        <v>0</v>
      </c>
      <c r="J3058" s="23" t="str">
        <f aca="false">Nonlabor!$B$12</f>
        <v>INFRA</v>
      </c>
    </row>
    <row r="3059" customFormat="false" ht="15" hidden="false" customHeight="false" outlineLevel="0" collapsed="false">
      <c r="A3059" s="6" t="s">
        <v>73</v>
      </c>
      <c r="B3059" s="6" t="s">
        <v>391</v>
      </c>
      <c r="C3059" s="6" t="n">
        <v>54</v>
      </c>
      <c r="D3059" s="25" t="n">
        <f aca="false">EDATE('Start Here'!$B$6,C3059-1)</f>
        <v>47939</v>
      </c>
      <c r="E3059" s="11" t="n">
        <f aca="false">IF(AND(OR(Nonlabor!$D$12="Both",Nonlabor!$D$12='Start Here'!$B$9),IF(Nonlabor!$E$12="Core",1,IF(Nonlabor!$E$12="AI",'Start Here'!$B$7,'Start Here'!$B$8))=1,C3059&gt;=IF(Nonlabor!$E$12="Core",Nonlabor!$F$12,MAX(Nonlabor!$F$12,IF(Nonlabor!$E$12="AI",Assumptions!$E$24,Assumptions!$E$25))),C3059&lt;=Nonlabor!$G$12,OR(Nonlabor!$H$12="Monthly",AND(Nonlabor!$H$12="Once",C3059=IF(Nonlabor!$E$12="Core",Nonlabor!$F$12,MAX(Nonlabor!$F$12,IF(Nonlabor!$E$12="AI",Assumptions!$E$24,Assumptions!$E$25)))),AND(Nonlabor!$H$12="Annual",MOD(C3059-IF(Nonlabor!$E$12="Core",Nonlabor!$F$12,MAX(Nonlabor!$F$12,IF(Nonlabor!$E$12="AI",Assumptions!$E$24,Assumptions!$E$25))),12)=0))),IF(Nonlabor!$I$12="Fixed",1,IF(Nonlabor!$I$12="Seats",ROUNDUP('Monthly Growth'!I59,0),IF(Nonlabor!$I$12="Customers",'Monthly Growth'!D59,IF(Nonlabor!$I$12="NewCustomers",'Monthly Growth'!C59,IF(Nonlabor!$I$12="StorageGB",'Monthly Growth'!G59,IF(Nonlabor!$I$12="LogGB",'Monthly Growth'!H59,IF(Nonlabor!$I$12="RequestsM",'Monthly Growth'!F59,IF(Nonlabor!$I$12="InputM",'Monthly Growth'!D59*Assumptions!$E$22/1000000,IF(Nonlabor!$I$12="OutputM",'Monthly Growth'!D59*Assumptions!$E$23/1000000,0))))))))),0)</f>
        <v>33.0966056884999</v>
      </c>
      <c r="F3059" s="10" t="n">
        <f aca="false">Nonlabor!$J$12*(1+Assumptions!$E$9)^INT((C3059-1)/12)</f>
        <v>35.0957568</v>
      </c>
      <c r="G3059" s="10" t="n">
        <f aca="false">E3059*F3059</f>
        <v>1161.55042414909</v>
      </c>
      <c r="H3059" s="10" t="n">
        <f aca="false">IF(OR(Nonlabor!$L$12="Quote required",Nonlabor!$L$12="Unverified"),G3059,0)</f>
        <v>0</v>
      </c>
      <c r="I3059" s="10" t="n">
        <f aca="false">IF(Nonlabor!$E$12="Core",0,G3059)</f>
        <v>0</v>
      </c>
      <c r="J3059" s="23" t="str">
        <f aca="false">Nonlabor!$B$12</f>
        <v>INFRA</v>
      </c>
    </row>
    <row r="3060" customFormat="false" ht="15" hidden="false" customHeight="false" outlineLevel="0" collapsed="false">
      <c r="A3060" s="6" t="s">
        <v>73</v>
      </c>
      <c r="B3060" s="6" t="s">
        <v>391</v>
      </c>
      <c r="C3060" s="6" t="n">
        <v>55</v>
      </c>
      <c r="D3060" s="25" t="n">
        <f aca="false">EDATE('Start Here'!$B$6,C3060-1)</f>
        <v>47969</v>
      </c>
      <c r="E3060" s="11" t="n">
        <f aca="false">IF(AND(OR(Nonlabor!$D$12="Both",Nonlabor!$D$12='Start Here'!$B$9),IF(Nonlabor!$E$12="Core",1,IF(Nonlabor!$E$12="AI",'Start Here'!$B$7,'Start Here'!$B$8))=1,C3060&gt;=IF(Nonlabor!$E$12="Core",Nonlabor!$F$12,MAX(Nonlabor!$F$12,IF(Nonlabor!$E$12="AI",Assumptions!$E$24,Assumptions!$E$25))),C3060&lt;=Nonlabor!$G$12,OR(Nonlabor!$H$12="Monthly",AND(Nonlabor!$H$12="Once",C3060=IF(Nonlabor!$E$12="Core",Nonlabor!$F$12,MAX(Nonlabor!$F$12,IF(Nonlabor!$E$12="AI",Assumptions!$E$24,Assumptions!$E$25)))),AND(Nonlabor!$H$12="Annual",MOD(C3060-IF(Nonlabor!$E$12="Core",Nonlabor!$F$12,MAX(Nonlabor!$F$12,IF(Nonlabor!$E$12="AI",Assumptions!$E$24,Assumptions!$E$25))),12)=0))),IF(Nonlabor!$I$12="Fixed",1,IF(Nonlabor!$I$12="Seats",ROUNDUP('Monthly Growth'!I60,0),IF(Nonlabor!$I$12="Customers",'Monthly Growth'!D60,IF(Nonlabor!$I$12="NewCustomers",'Monthly Growth'!C60,IF(Nonlabor!$I$12="StorageGB",'Monthly Growth'!G60,IF(Nonlabor!$I$12="LogGB",'Monthly Growth'!H60,IF(Nonlabor!$I$12="RequestsM",'Monthly Growth'!F60,IF(Nonlabor!$I$12="InputM",'Monthly Growth'!D60*Assumptions!$E$22/1000000,IF(Nonlabor!$I$12="OutputM",'Monthly Growth'!D60*Assumptions!$E$23/1000000,0))))))))),0)</f>
        <v>34.6080146316149</v>
      </c>
      <c r="F3060" s="10" t="n">
        <f aca="false">Nonlabor!$J$12*(1+Assumptions!$E$9)^INT((C3060-1)/12)</f>
        <v>35.0957568</v>
      </c>
      <c r="G3060" s="10" t="n">
        <f aca="false">E3060*F3060</f>
        <v>1214.594464842</v>
      </c>
      <c r="H3060" s="10" t="n">
        <f aca="false">IF(OR(Nonlabor!$L$12="Quote required",Nonlabor!$L$12="Unverified"),G3060,0)</f>
        <v>0</v>
      </c>
      <c r="I3060" s="10" t="n">
        <f aca="false">IF(Nonlabor!$E$12="Core",0,G3060)</f>
        <v>0</v>
      </c>
      <c r="J3060" s="23" t="str">
        <f aca="false">Nonlabor!$B$12</f>
        <v>INFRA</v>
      </c>
    </row>
    <row r="3061" customFormat="false" ht="15" hidden="false" customHeight="false" outlineLevel="0" collapsed="false">
      <c r="A3061" s="6" t="s">
        <v>73</v>
      </c>
      <c r="B3061" s="6" t="s">
        <v>391</v>
      </c>
      <c r="C3061" s="6" t="n">
        <v>56</v>
      </c>
      <c r="D3061" s="25" t="n">
        <f aca="false">EDATE('Start Here'!$B$6,C3061-1)</f>
        <v>48000</v>
      </c>
      <c r="E3061" s="11" t="n">
        <f aca="false">IF(AND(OR(Nonlabor!$D$12="Both",Nonlabor!$D$12='Start Here'!$B$9),IF(Nonlabor!$E$12="Core",1,IF(Nonlabor!$E$12="AI",'Start Here'!$B$7,'Start Here'!$B$8))=1,C3061&gt;=IF(Nonlabor!$E$12="Core",Nonlabor!$F$12,MAX(Nonlabor!$F$12,IF(Nonlabor!$E$12="AI",Assumptions!$E$24,Assumptions!$E$25))),C3061&lt;=Nonlabor!$G$12,OR(Nonlabor!$H$12="Monthly",AND(Nonlabor!$H$12="Once",C3061=IF(Nonlabor!$E$12="Core",Nonlabor!$F$12,MAX(Nonlabor!$F$12,IF(Nonlabor!$E$12="AI",Assumptions!$E$24,Assumptions!$E$25)))),AND(Nonlabor!$H$12="Annual",MOD(C3061-IF(Nonlabor!$E$12="Core",Nonlabor!$F$12,MAX(Nonlabor!$F$12,IF(Nonlabor!$E$12="AI",Assumptions!$E$24,Assumptions!$E$25))),12)=0))),IF(Nonlabor!$I$12="Fixed",1,IF(Nonlabor!$I$12="Seats",ROUNDUP('Monthly Growth'!I61,0),IF(Nonlabor!$I$12="Customers",'Monthly Growth'!D61,IF(Nonlabor!$I$12="NewCustomers",'Monthly Growth'!C61,IF(Nonlabor!$I$12="StorageGB",'Monthly Growth'!G61,IF(Nonlabor!$I$12="LogGB",'Monthly Growth'!H61,IF(Nonlabor!$I$12="RequestsM",'Monthly Growth'!F61,IF(Nonlabor!$I$12="InputM",'Monthly Growth'!D61*Assumptions!$E$22/1000000,IF(Nonlabor!$I$12="OutputM",'Monthly Growth'!D61*Assumptions!$E$23/1000000,0))))))))),0)</f>
        <v>36.1043094852987</v>
      </c>
      <c r="F3061" s="10" t="n">
        <f aca="false">Nonlabor!$J$12*(1+Assumptions!$E$9)^INT((C3061-1)/12)</f>
        <v>35.0957568</v>
      </c>
      <c r="G3061" s="10" t="n">
        <f aca="false">E3061*F3061</f>
        <v>1267.10806512798</v>
      </c>
      <c r="H3061" s="10" t="n">
        <f aca="false">IF(OR(Nonlabor!$L$12="Quote required",Nonlabor!$L$12="Unverified"),G3061,0)</f>
        <v>0</v>
      </c>
      <c r="I3061" s="10" t="n">
        <f aca="false">IF(Nonlabor!$E$12="Core",0,G3061)</f>
        <v>0</v>
      </c>
      <c r="J3061" s="23" t="str">
        <f aca="false">Nonlabor!$B$12</f>
        <v>INFRA</v>
      </c>
    </row>
    <row r="3062" customFormat="false" ht="15" hidden="false" customHeight="false" outlineLevel="0" collapsed="false">
      <c r="A3062" s="6" t="s">
        <v>73</v>
      </c>
      <c r="B3062" s="6" t="s">
        <v>391</v>
      </c>
      <c r="C3062" s="6" t="n">
        <v>57</v>
      </c>
      <c r="D3062" s="25" t="n">
        <f aca="false">EDATE('Start Here'!$B$6,C3062-1)</f>
        <v>48030</v>
      </c>
      <c r="E3062" s="11" t="n">
        <f aca="false">IF(AND(OR(Nonlabor!$D$12="Both",Nonlabor!$D$12='Start Here'!$B$9),IF(Nonlabor!$E$12="Core",1,IF(Nonlabor!$E$12="AI",'Start Here'!$B$7,'Start Here'!$B$8))=1,C3062&gt;=IF(Nonlabor!$E$12="Core",Nonlabor!$F$12,MAX(Nonlabor!$F$12,IF(Nonlabor!$E$12="AI",Assumptions!$E$24,Assumptions!$E$25))),C3062&lt;=Nonlabor!$G$12,OR(Nonlabor!$H$12="Monthly",AND(Nonlabor!$H$12="Once",C3062=IF(Nonlabor!$E$12="Core",Nonlabor!$F$12,MAX(Nonlabor!$F$12,IF(Nonlabor!$E$12="AI",Assumptions!$E$24,Assumptions!$E$25)))),AND(Nonlabor!$H$12="Annual",MOD(C3062-IF(Nonlabor!$E$12="Core",Nonlabor!$F$12,MAX(Nonlabor!$F$12,IF(Nonlabor!$E$12="AI",Assumptions!$E$24,Assumptions!$E$25))),12)=0))),IF(Nonlabor!$I$12="Fixed",1,IF(Nonlabor!$I$12="Seats",ROUNDUP('Monthly Growth'!I62,0),IF(Nonlabor!$I$12="Customers",'Monthly Growth'!D62,IF(Nonlabor!$I$12="NewCustomers",'Monthly Growth'!C62,IF(Nonlabor!$I$12="StorageGB",'Monthly Growth'!G62,IF(Nonlabor!$I$12="LogGB",'Monthly Growth'!H62,IF(Nonlabor!$I$12="RequestsM",'Monthly Growth'!F62,IF(Nonlabor!$I$12="InputM",'Monthly Growth'!D62*Assumptions!$E$22/1000000,IF(Nonlabor!$I$12="OutputM",'Monthly Growth'!D62*Assumptions!$E$23/1000000,0))))))))),0)</f>
        <v>37.5856413904457</v>
      </c>
      <c r="F3062" s="10" t="n">
        <f aca="false">Nonlabor!$J$12*(1+Assumptions!$E$9)^INT((C3062-1)/12)</f>
        <v>35.0957568</v>
      </c>
      <c r="G3062" s="10" t="n">
        <f aca="false">E3062*F3062</f>
        <v>1319.0965294111</v>
      </c>
      <c r="H3062" s="10" t="n">
        <f aca="false">IF(OR(Nonlabor!$L$12="Quote required",Nonlabor!$L$12="Unverified"),G3062,0)</f>
        <v>0</v>
      </c>
      <c r="I3062" s="10" t="n">
        <f aca="false">IF(Nonlabor!$E$12="Core",0,G3062)</f>
        <v>0</v>
      </c>
      <c r="J3062" s="23" t="str">
        <f aca="false">Nonlabor!$B$12</f>
        <v>INFRA</v>
      </c>
    </row>
    <row r="3063" customFormat="false" ht="15" hidden="false" customHeight="false" outlineLevel="0" collapsed="false">
      <c r="A3063" s="6" t="s">
        <v>73</v>
      </c>
      <c r="B3063" s="6" t="s">
        <v>391</v>
      </c>
      <c r="C3063" s="6" t="n">
        <v>58</v>
      </c>
      <c r="D3063" s="25" t="n">
        <f aca="false">EDATE('Start Here'!$B$6,C3063-1)</f>
        <v>48061</v>
      </c>
      <c r="E3063" s="11" t="n">
        <f aca="false">IF(AND(OR(Nonlabor!$D$12="Both",Nonlabor!$D$12='Start Here'!$B$9),IF(Nonlabor!$E$12="Core",1,IF(Nonlabor!$E$12="AI",'Start Here'!$B$7,'Start Here'!$B$8))=1,C3063&gt;=IF(Nonlabor!$E$12="Core",Nonlabor!$F$12,MAX(Nonlabor!$F$12,IF(Nonlabor!$E$12="AI",Assumptions!$E$24,Assumptions!$E$25))),C3063&lt;=Nonlabor!$G$12,OR(Nonlabor!$H$12="Monthly",AND(Nonlabor!$H$12="Once",C3063=IF(Nonlabor!$E$12="Core",Nonlabor!$F$12,MAX(Nonlabor!$F$12,IF(Nonlabor!$E$12="AI",Assumptions!$E$24,Assumptions!$E$25)))),AND(Nonlabor!$H$12="Annual",MOD(C3063-IF(Nonlabor!$E$12="Core",Nonlabor!$F$12,MAX(Nonlabor!$F$12,IF(Nonlabor!$E$12="AI",Assumptions!$E$24,Assumptions!$E$25))),12)=0))),IF(Nonlabor!$I$12="Fixed",1,IF(Nonlabor!$I$12="Seats",ROUNDUP('Monthly Growth'!I63,0),IF(Nonlabor!$I$12="Customers",'Monthly Growth'!D63,IF(Nonlabor!$I$12="NewCustomers",'Monthly Growth'!C63,IF(Nonlabor!$I$12="StorageGB",'Monthly Growth'!G63,IF(Nonlabor!$I$12="LogGB",'Monthly Growth'!H63,IF(Nonlabor!$I$12="RequestsM",'Monthly Growth'!F63,IF(Nonlabor!$I$12="InputM",'Monthly Growth'!D63*Assumptions!$E$22/1000000,IF(Nonlabor!$I$12="OutputM",'Monthly Growth'!D63*Assumptions!$E$23/1000000,0))))))))),0)</f>
        <v>39.0521599765413</v>
      </c>
      <c r="F3063" s="10" t="n">
        <f aca="false">Nonlabor!$J$12*(1+Assumptions!$E$9)^INT((C3063-1)/12)</f>
        <v>35.0957568</v>
      </c>
      <c r="G3063" s="10" t="n">
        <f aca="false">E3063*F3063</f>
        <v>1370.56510905139</v>
      </c>
      <c r="H3063" s="10" t="n">
        <f aca="false">IF(OR(Nonlabor!$L$12="Quote required",Nonlabor!$L$12="Unverified"),G3063,0)</f>
        <v>0</v>
      </c>
      <c r="I3063" s="10" t="n">
        <f aca="false">IF(Nonlabor!$E$12="Core",0,G3063)</f>
        <v>0</v>
      </c>
      <c r="J3063" s="23" t="str">
        <f aca="false">Nonlabor!$B$12</f>
        <v>INFRA</v>
      </c>
    </row>
    <row r="3064" customFormat="false" ht="15" hidden="false" customHeight="false" outlineLevel="0" collapsed="false">
      <c r="A3064" s="6" t="s">
        <v>73</v>
      </c>
      <c r="B3064" s="6" t="s">
        <v>391</v>
      </c>
      <c r="C3064" s="6" t="n">
        <v>59</v>
      </c>
      <c r="D3064" s="25" t="n">
        <f aca="false">EDATE('Start Here'!$B$6,C3064-1)</f>
        <v>48092</v>
      </c>
      <c r="E3064" s="11" t="n">
        <f aca="false">IF(AND(OR(Nonlabor!$D$12="Both",Nonlabor!$D$12='Start Here'!$B$9),IF(Nonlabor!$E$12="Core",1,IF(Nonlabor!$E$12="AI",'Start Here'!$B$7,'Start Here'!$B$8))=1,C3064&gt;=IF(Nonlabor!$E$12="Core",Nonlabor!$F$12,MAX(Nonlabor!$F$12,IF(Nonlabor!$E$12="AI",Assumptions!$E$24,Assumptions!$E$25))),C3064&lt;=Nonlabor!$G$12,OR(Nonlabor!$H$12="Monthly",AND(Nonlabor!$H$12="Once",C3064=IF(Nonlabor!$E$12="Core",Nonlabor!$F$12,MAX(Nonlabor!$F$12,IF(Nonlabor!$E$12="AI",Assumptions!$E$24,Assumptions!$E$25)))),AND(Nonlabor!$H$12="Annual",MOD(C3064-IF(Nonlabor!$E$12="Core",Nonlabor!$F$12,MAX(Nonlabor!$F$12,IF(Nonlabor!$E$12="AI",Assumptions!$E$24,Assumptions!$E$25))),12)=0))),IF(Nonlabor!$I$12="Fixed",1,IF(Nonlabor!$I$12="Seats",ROUNDUP('Monthly Growth'!I64,0),IF(Nonlabor!$I$12="Customers",'Monthly Growth'!D64,IF(Nonlabor!$I$12="NewCustomers",'Monthly Growth'!C64,IF(Nonlabor!$I$12="StorageGB",'Monthly Growth'!G64,IF(Nonlabor!$I$12="LogGB",'Monthly Growth'!H64,IF(Nonlabor!$I$12="RequestsM",'Monthly Growth'!F64,IF(Nonlabor!$I$12="InputM",'Monthly Growth'!D64*Assumptions!$E$22/1000000,IF(Nonlabor!$I$12="OutputM",'Monthly Growth'!D64*Assumptions!$E$23/1000000,0))))))))),0)</f>
        <v>40.5040133767758</v>
      </c>
      <c r="F3064" s="10" t="n">
        <f aca="false">Nonlabor!$J$12*(1+Assumptions!$E$9)^INT((C3064-1)/12)</f>
        <v>35.0957568</v>
      </c>
      <c r="G3064" s="10" t="n">
        <f aca="false">E3064*F3064</f>
        <v>1421.51900289527</v>
      </c>
      <c r="H3064" s="10" t="n">
        <f aca="false">IF(OR(Nonlabor!$L$12="Quote required",Nonlabor!$L$12="Unverified"),G3064,0)</f>
        <v>0</v>
      </c>
      <c r="I3064" s="10" t="n">
        <f aca="false">IF(Nonlabor!$E$12="Core",0,G3064)</f>
        <v>0</v>
      </c>
      <c r="J3064" s="23" t="str">
        <f aca="false">Nonlabor!$B$12</f>
        <v>INFRA</v>
      </c>
    </row>
    <row r="3065" customFormat="false" ht="15" hidden="false" customHeight="false" outlineLevel="0" collapsed="false">
      <c r="A3065" s="6" t="s">
        <v>73</v>
      </c>
      <c r="B3065" s="6" t="s">
        <v>391</v>
      </c>
      <c r="C3065" s="6" t="n">
        <v>60</v>
      </c>
      <c r="D3065" s="25" t="n">
        <f aca="false">EDATE('Start Here'!$B$6,C3065-1)</f>
        <v>48122</v>
      </c>
      <c r="E3065" s="11" t="n">
        <f aca="false">IF(AND(OR(Nonlabor!$D$12="Both",Nonlabor!$D$12='Start Here'!$B$9),IF(Nonlabor!$E$12="Core",1,IF(Nonlabor!$E$12="AI",'Start Here'!$B$7,'Start Here'!$B$8))=1,C3065&gt;=IF(Nonlabor!$E$12="Core",Nonlabor!$F$12,MAX(Nonlabor!$F$12,IF(Nonlabor!$E$12="AI",Assumptions!$E$24,Assumptions!$E$25))),C3065&lt;=Nonlabor!$G$12,OR(Nonlabor!$H$12="Monthly",AND(Nonlabor!$H$12="Once",C3065=IF(Nonlabor!$E$12="Core",Nonlabor!$F$12,MAX(Nonlabor!$F$12,IF(Nonlabor!$E$12="AI",Assumptions!$E$24,Assumptions!$E$25)))),AND(Nonlabor!$H$12="Annual",MOD(C3065-IF(Nonlabor!$E$12="Core",Nonlabor!$F$12,MAX(Nonlabor!$F$12,IF(Nonlabor!$E$12="AI",Assumptions!$E$24,Assumptions!$E$25))),12)=0))),IF(Nonlabor!$I$12="Fixed",1,IF(Nonlabor!$I$12="Seats",ROUNDUP('Monthly Growth'!I65,0),IF(Nonlabor!$I$12="Customers",'Monthly Growth'!D65,IF(Nonlabor!$I$12="NewCustomers",'Monthly Growth'!C65,IF(Nonlabor!$I$12="StorageGB",'Monthly Growth'!G65,IF(Nonlabor!$I$12="LogGB",'Monthly Growth'!H65,IF(Nonlabor!$I$12="RequestsM",'Monthly Growth'!F65,IF(Nonlabor!$I$12="InputM",'Monthly Growth'!D65*Assumptions!$E$22/1000000,IF(Nonlabor!$I$12="OutputM",'Monthly Growth'!D65*Assumptions!$E$23/1000000,0))))))))),0)</f>
        <v>43.2310107430081</v>
      </c>
      <c r="F3065" s="10" t="n">
        <f aca="false">Nonlabor!$J$12*(1+Assumptions!$E$9)^INT((C3065-1)/12)</f>
        <v>35.0957568</v>
      </c>
      <c r="G3065" s="10" t="n">
        <f aca="false">E3065*F3065</f>
        <v>1517.2250392548</v>
      </c>
      <c r="H3065" s="10" t="n">
        <f aca="false">IF(OR(Nonlabor!$L$12="Quote required",Nonlabor!$L$12="Unverified"),G3065,0)</f>
        <v>0</v>
      </c>
      <c r="I3065" s="10" t="n">
        <f aca="false">IF(Nonlabor!$E$12="Core",0,G3065)</f>
        <v>0</v>
      </c>
      <c r="J3065" s="23" t="str">
        <f aca="false">Nonlabor!$B$12</f>
        <v>INFRA</v>
      </c>
    </row>
    <row r="3066" customFormat="false" ht="15" hidden="false" customHeight="false" outlineLevel="0" collapsed="false">
      <c r="A3066" s="6" t="s">
        <v>73</v>
      </c>
      <c r="B3066" s="6" t="s">
        <v>395</v>
      </c>
      <c r="C3066" s="6" t="n">
        <v>1</v>
      </c>
      <c r="D3066" s="25" t="n">
        <f aca="false">EDATE('Start Here'!$B$6,C3066-1)</f>
        <v>46327</v>
      </c>
      <c r="E3066" s="23" t="n">
        <f aca="false">IF(AND(OR(Nonlabor!$D$13="Both",Nonlabor!$D$13='Start Here'!$B$9),IF(Nonlabor!$E$13="Core",1,IF(Nonlabor!$E$13="AI",'Start Here'!$B$7,'Start Here'!$B$8))=1,C3066&gt;=IF(Nonlabor!$E$13="Core",Nonlabor!$F$13,MAX(Nonlabor!$F$13,IF(Nonlabor!$E$13="AI",Assumptions!$E$24,Assumptions!$E$25))),C3066&lt;=Nonlabor!$G$13,OR(Nonlabor!$H$13="Monthly",AND(Nonlabor!$H$13="Once",C3066=IF(Nonlabor!$E$13="Core",Nonlabor!$F$13,MAX(Nonlabor!$F$13,IF(Nonlabor!$E$13="AI",Assumptions!$E$24,Assumptions!$E$25)))),AND(Nonlabor!$H$13="Annual",MOD(C3066-IF(Nonlabor!$E$13="Core",Nonlabor!$F$13,MAX(Nonlabor!$F$13,IF(Nonlabor!$E$13="AI",Assumptions!$E$24,Assumptions!$E$25))),12)=0))),IF(Nonlabor!$I$13="Fixed",1,IF(Nonlabor!$I$13="Seats",ROUNDUP('Monthly Growth'!I6,0),IF(Nonlabor!$I$13="Customers",'Monthly Growth'!D6,IF(Nonlabor!$I$13="NewCustomers",'Monthly Growth'!C6,IF(Nonlabor!$I$13="StorageGB",'Monthly Growth'!G6,IF(Nonlabor!$I$13="LogGB",'Monthly Growth'!H6,IF(Nonlabor!$I$13="RequestsM",'Monthly Growth'!F6,IF(Nonlabor!$I$13="InputM",'Monthly Growth'!D6*Assumptions!$E$22/1000000,IF(Nonlabor!$I$13="OutputM",'Monthly Growth'!D6*Assumptions!$E$23/1000000,0))))))))),0)</f>
        <v>2</v>
      </c>
      <c r="F3066" s="10" t="n">
        <f aca="false">Nonlabor!$J$13*(1+Assumptions!$E$9)^INT((C3066-1)/12)</f>
        <v>4</v>
      </c>
      <c r="G3066" s="10" t="n">
        <f aca="false">E3066*F3066</f>
        <v>8</v>
      </c>
      <c r="H3066" s="10" t="n">
        <f aca="false">IF(OR(Nonlabor!$L$13="Quote required",Nonlabor!$L$13="Unverified"),G3066,0)</f>
        <v>0</v>
      </c>
      <c r="I3066" s="10" t="n">
        <f aca="false">IF(Nonlabor!$E$13="Core",0,G3066)</f>
        <v>0</v>
      </c>
      <c r="J3066" s="23" t="str">
        <f aca="false">Nonlabor!$B$13</f>
        <v>TOOLS</v>
      </c>
    </row>
    <row r="3067" customFormat="false" ht="15" hidden="false" customHeight="false" outlineLevel="0" collapsed="false">
      <c r="A3067" s="6" t="s">
        <v>73</v>
      </c>
      <c r="B3067" s="6" t="s">
        <v>395</v>
      </c>
      <c r="C3067" s="6" t="n">
        <v>2</v>
      </c>
      <c r="D3067" s="25" t="n">
        <f aca="false">EDATE('Start Here'!$B$6,C3067-1)</f>
        <v>46357</v>
      </c>
      <c r="E3067" s="23" t="n">
        <f aca="false">IF(AND(OR(Nonlabor!$D$13="Both",Nonlabor!$D$13='Start Here'!$B$9),IF(Nonlabor!$E$13="Core",1,IF(Nonlabor!$E$13="AI",'Start Here'!$B$7,'Start Here'!$B$8))=1,C3067&gt;=IF(Nonlabor!$E$13="Core",Nonlabor!$F$13,MAX(Nonlabor!$F$13,IF(Nonlabor!$E$13="AI",Assumptions!$E$24,Assumptions!$E$25))),C3067&lt;=Nonlabor!$G$13,OR(Nonlabor!$H$13="Monthly",AND(Nonlabor!$H$13="Once",C3067=IF(Nonlabor!$E$13="Core",Nonlabor!$F$13,MAX(Nonlabor!$F$13,IF(Nonlabor!$E$13="AI",Assumptions!$E$24,Assumptions!$E$25)))),AND(Nonlabor!$H$13="Annual",MOD(C3067-IF(Nonlabor!$E$13="Core",Nonlabor!$F$13,MAX(Nonlabor!$F$13,IF(Nonlabor!$E$13="AI",Assumptions!$E$24,Assumptions!$E$25))),12)=0))),IF(Nonlabor!$I$13="Fixed",1,IF(Nonlabor!$I$13="Seats",ROUNDUP('Monthly Growth'!I7,0),IF(Nonlabor!$I$13="Customers",'Monthly Growth'!D7,IF(Nonlabor!$I$13="NewCustomers",'Monthly Growth'!C7,IF(Nonlabor!$I$13="StorageGB",'Monthly Growth'!G7,IF(Nonlabor!$I$13="LogGB",'Monthly Growth'!H7,IF(Nonlabor!$I$13="RequestsM",'Monthly Growth'!F7,IF(Nonlabor!$I$13="InputM",'Monthly Growth'!D7*Assumptions!$E$22/1000000,IF(Nonlabor!$I$13="OutputM",'Monthly Growth'!D7*Assumptions!$E$23/1000000,0))))))))),0)</f>
        <v>5</v>
      </c>
      <c r="F3067" s="10" t="n">
        <f aca="false">Nonlabor!$J$13*(1+Assumptions!$E$9)^INT((C3067-1)/12)</f>
        <v>4</v>
      </c>
      <c r="G3067" s="10" t="n">
        <f aca="false">E3067*F3067</f>
        <v>20</v>
      </c>
      <c r="H3067" s="10" t="n">
        <f aca="false">IF(OR(Nonlabor!$L$13="Quote required",Nonlabor!$L$13="Unverified"),G3067,0)</f>
        <v>0</v>
      </c>
      <c r="I3067" s="10" t="n">
        <f aca="false">IF(Nonlabor!$E$13="Core",0,G3067)</f>
        <v>0</v>
      </c>
      <c r="J3067" s="23" t="str">
        <f aca="false">Nonlabor!$B$13</f>
        <v>TOOLS</v>
      </c>
    </row>
    <row r="3068" customFormat="false" ht="15" hidden="false" customHeight="false" outlineLevel="0" collapsed="false">
      <c r="A3068" s="6" t="s">
        <v>73</v>
      </c>
      <c r="B3068" s="6" t="s">
        <v>395</v>
      </c>
      <c r="C3068" s="6" t="n">
        <v>3</v>
      </c>
      <c r="D3068" s="25" t="n">
        <f aca="false">EDATE('Start Here'!$B$6,C3068-1)</f>
        <v>46388</v>
      </c>
      <c r="E3068" s="23" t="n">
        <f aca="false">IF(AND(OR(Nonlabor!$D$13="Both",Nonlabor!$D$13='Start Here'!$B$9),IF(Nonlabor!$E$13="Core",1,IF(Nonlabor!$E$13="AI",'Start Here'!$B$7,'Start Here'!$B$8))=1,C3068&gt;=IF(Nonlabor!$E$13="Core",Nonlabor!$F$13,MAX(Nonlabor!$F$13,IF(Nonlabor!$E$13="AI",Assumptions!$E$24,Assumptions!$E$25))),C3068&lt;=Nonlabor!$G$13,OR(Nonlabor!$H$13="Monthly",AND(Nonlabor!$H$13="Once",C3068=IF(Nonlabor!$E$13="Core",Nonlabor!$F$13,MAX(Nonlabor!$F$13,IF(Nonlabor!$E$13="AI",Assumptions!$E$24,Assumptions!$E$25)))),AND(Nonlabor!$H$13="Annual",MOD(C3068-IF(Nonlabor!$E$13="Core",Nonlabor!$F$13,MAX(Nonlabor!$F$13,IF(Nonlabor!$E$13="AI",Assumptions!$E$24,Assumptions!$E$25))),12)=0))),IF(Nonlabor!$I$13="Fixed",1,IF(Nonlabor!$I$13="Seats",ROUNDUP('Monthly Growth'!I8,0),IF(Nonlabor!$I$13="Customers",'Monthly Growth'!D8,IF(Nonlabor!$I$13="NewCustomers",'Monthly Growth'!C8,IF(Nonlabor!$I$13="StorageGB",'Monthly Growth'!G8,IF(Nonlabor!$I$13="LogGB",'Monthly Growth'!H8,IF(Nonlabor!$I$13="RequestsM",'Monthly Growth'!F8,IF(Nonlabor!$I$13="InputM",'Monthly Growth'!D8*Assumptions!$E$22/1000000,IF(Nonlabor!$I$13="OutputM",'Monthly Growth'!D8*Assumptions!$E$23/1000000,0))))))))),0)</f>
        <v>6</v>
      </c>
      <c r="F3068" s="10" t="n">
        <f aca="false">Nonlabor!$J$13*(1+Assumptions!$E$9)^INT((C3068-1)/12)</f>
        <v>4</v>
      </c>
      <c r="G3068" s="10" t="n">
        <f aca="false">E3068*F3068</f>
        <v>24</v>
      </c>
      <c r="H3068" s="10" t="n">
        <f aca="false">IF(OR(Nonlabor!$L$13="Quote required",Nonlabor!$L$13="Unverified"),G3068,0)</f>
        <v>0</v>
      </c>
      <c r="I3068" s="10" t="n">
        <f aca="false">IF(Nonlabor!$E$13="Core",0,G3068)</f>
        <v>0</v>
      </c>
      <c r="J3068" s="23" t="str">
        <f aca="false">Nonlabor!$B$13</f>
        <v>TOOLS</v>
      </c>
    </row>
    <row r="3069" customFormat="false" ht="15" hidden="false" customHeight="false" outlineLevel="0" collapsed="false">
      <c r="A3069" s="6" t="s">
        <v>73</v>
      </c>
      <c r="B3069" s="6" t="s">
        <v>395</v>
      </c>
      <c r="C3069" s="6" t="n">
        <v>4</v>
      </c>
      <c r="D3069" s="25" t="n">
        <f aca="false">EDATE('Start Here'!$B$6,C3069-1)</f>
        <v>46419</v>
      </c>
      <c r="E3069" s="23" t="n">
        <f aca="false">IF(AND(OR(Nonlabor!$D$13="Both",Nonlabor!$D$13='Start Here'!$B$9),IF(Nonlabor!$E$13="Core",1,IF(Nonlabor!$E$13="AI",'Start Here'!$B$7,'Start Here'!$B$8))=1,C3069&gt;=IF(Nonlabor!$E$13="Core",Nonlabor!$F$13,MAX(Nonlabor!$F$13,IF(Nonlabor!$E$13="AI",Assumptions!$E$24,Assumptions!$E$25))),C3069&lt;=Nonlabor!$G$13,OR(Nonlabor!$H$13="Monthly",AND(Nonlabor!$H$13="Once",C3069=IF(Nonlabor!$E$13="Core",Nonlabor!$F$13,MAX(Nonlabor!$F$13,IF(Nonlabor!$E$13="AI",Assumptions!$E$24,Assumptions!$E$25)))),AND(Nonlabor!$H$13="Annual",MOD(C3069-IF(Nonlabor!$E$13="Core",Nonlabor!$F$13,MAX(Nonlabor!$F$13,IF(Nonlabor!$E$13="AI",Assumptions!$E$24,Assumptions!$E$25))),12)=0))),IF(Nonlabor!$I$13="Fixed",1,IF(Nonlabor!$I$13="Seats",ROUNDUP('Monthly Growth'!I9,0),IF(Nonlabor!$I$13="Customers",'Monthly Growth'!D9,IF(Nonlabor!$I$13="NewCustomers",'Monthly Growth'!C9,IF(Nonlabor!$I$13="StorageGB",'Monthly Growth'!G9,IF(Nonlabor!$I$13="LogGB",'Monthly Growth'!H9,IF(Nonlabor!$I$13="RequestsM",'Monthly Growth'!F9,IF(Nonlabor!$I$13="InputM",'Monthly Growth'!D9*Assumptions!$E$22/1000000,IF(Nonlabor!$I$13="OutputM",'Monthly Growth'!D9*Assumptions!$E$23/1000000,0))))))))),0)</f>
        <v>6</v>
      </c>
      <c r="F3069" s="10" t="n">
        <f aca="false">Nonlabor!$J$13*(1+Assumptions!$E$9)^INT((C3069-1)/12)</f>
        <v>4</v>
      </c>
      <c r="G3069" s="10" t="n">
        <f aca="false">E3069*F3069</f>
        <v>24</v>
      </c>
      <c r="H3069" s="10" t="n">
        <f aca="false">IF(OR(Nonlabor!$L$13="Quote required",Nonlabor!$L$13="Unverified"),G3069,0)</f>
        <v>0</v>
      </c>
      <c r="I3069" s="10" t="n">
        <f aca="false">IF(Nonlabor!$E$13="Core",0,G3069)</f>
        <v>0</v>
      </c>
      <c r="J3069" s="23" t="str">
        <f aca="false">Nonlabor!$B$13</f>
        <v>TOOLS</v>
      </c>
    </row>
    <row r="3070" customFormat="false" ht="15" hidden="false" customHeight="false" outlineLevel="0" collapsed="false">
      <c r="A3070" s="6" t="s">
        <v>73</v>
      </c>
      <c r="B3070" s="6" t="s">
        <v>395</v>
      </c>
      <c r="C3070" s="6" t="n">
        <v>5</v>
      </c>
      <c r="D3070" s="25" t="n">
        <f aca="false">EDATE('Start Here'!$B$6,C3070-1)</f>
        <v>46447</v>
      </c>
      <c r="E3070" s="23" t="n">
        <f aca="false">IF(AND(OR(Nonlabor!$D$13="Both",Nonlabor!$D$13='Start Here'!$B$9),IF(Nonlabor!$E$13="Core",1,IF(Nonlabor!$E$13="AI",'Start Here'!$B$7,'Start Here'!$B$8))=1,C3070&gt;=IF(Nonlabor!$E$13="Core",Nonlabor!$F$13,MAX(Nonlabor!$F$13,IF(Nonlabor!$E$13="AI",Assumptions!$E$24,Assumptions!$E$25))),C3070&lt;=Nonlabor!$G$13,OR(Nonlabor!$H$13="Monthly",AND(Nonlabor!$H$13="Once",C3070=IF(Nonlabor!$E$13="Core",Nonlabor!$F$13,MAX(Nonlabor!$F$13,IF(Nonlabor!$E$13="AI",Assumptions!$E$24,Assumptions!$E$25)))),AND(Nonlabor!$H$13="Annual",MOD(C3070-IF(Nonlabor!$E$13="Core",Nonlabor!$F$13,MAX(Nonlabor!$F$13,IF(Nonlabor!$E$13="AI",Assumptions!$E$24,Assumptions!$E$25))),12)=0))),IF(Nonlabor!$I$13="Fixed",1,IF(Nonlabor!$I$13="Seats",ROUNDUP('Monthly Growth'!I10,0),IF(Nonlabor!$I$13="Customers",'Monthly Growth'!D10,IF(Nonlabor!$I$13="NewCustomers",'Monthly Growth'!C10,IF(Nonlabor!$I$13="StorageGB",'Monthly Growth'!G10,IF(Nonlabor!$I$13="LogGB",'Monthly Growth'!H10,IF(Nonlabor!$I$13="RequestsM",'Monthly Growth'!F10,IF(Nonlabor!$I$13="InputM",'Monthly Growth'!D10*Assumptions!$E$22/1000000,IF(Nonlabor!$I$13="OutputM",'Monthly Growth'!D10*Assumptions!$E$23/1000000,0))))))))),0)</f>
        <v>6</v>
      </c>
      <c r="F3070" s="10" t="n">
        <f aca="false">Nonlabor!$J$13*(1+Assumptions!$E$9)^INT((C3070-1)/12)</f>
        <v>4</v>
      </c>
      <c r="G3070" s="10" t="n">
        <f aca="false">E3070*F3070</f>
        <v>24</v>
      </c>
      <c r="H3070" s="10" t="n">
        <f aca="false">IF(OR(Nonlabor!$L$13="Quote required",Nonlabor!$L$13="Unverified"),G3070,0)</f>
        <v>0</v>
      </c>
      <c r="I3070" s="10" t="n">
        <f aca="false">IF(Nonlabor!$E$13="Core",0,G3070)</f>
        <v>0</v>
      </c>
      <c r="J3070" s="23" t="str">
        <f aca="false">Nonlabor!$B$13</f>
        <v>TOOLS</v>
      </c>
    </row>
    <row r="3071" customFormat="false" ht="15" hidden="false" customHeight="false" outlineLevel="0" collapsed="false">
      <c r="A3071" s="6" t="s">
        <v>73</v>
      </c>
      <c r="B3071" s="6" t="s">
        <v>395</v>
      </c>
      <c r="C3071" s="6" t="n">
        <v>6</v>
      </c>
      <c r="D3071" s="25" t="n">
        <f aca="false">EDATE('Start Here'!$B$6,C3071-1)</f>
        <v>46478</v>
      </c>
      <c r="E3071" s="23" t="n">
        <f aca="false">IF(AND(OR(Nonlabor!$D$13="Both",Nonlabor!$D$13='Start Here'!$B$9),IF(Nonlabor!$E$13="Core",1,IF(Nonlabor!$E$13="AI",'Start Here'!$B$7,'Start Here'!$B$8))=1,C3071&gt;=IF(Nonlabor!$E$13="Core",Nonlabor!$F$13,MAX(Nonlabor!$F$13,IF(Nonlabor!$E$13="AI",Assumptions!$E$24,Assumptions!$E$25))),C3071&lt;=Nonlabor!$G$13,OR(Nonlabor!$H$13="Monthly",AND(Nonlabor!$H$13="Once",C3071=IF(Nonlabor!$E$13="Core",Nonlabor!$F$13,MAX(Nonlabor!$F$13,IF(Nonlabor!$E$13="AI",Assumptions!$E$24,Assumptions!$E$25)))),AND(Nonlabor!$H$13="Annual",MOD(C3071-IF(Nonlabor!$E$13="Core",Nonlabor!$F$13,MAX(Nonlabor!$F$13,IF(Nonlabor!$E$13="AI",Assumptions!$E$24,Assumptions!$E$25))),12)=0))),IF(Nonlabor!$I$13="Fixed",1,IF(Nonlabor!$I$13="Seats",ROUNDUP('Monthly Growth'!I11,0),IF(Nonlabor!$I$13="Customers",'Monthly Growth'!D11,IF(Nonlabor!$I$13="NewCustomers",'Monthly Growth'!C11,IF(Nonlabor!$I$13="StorageGB",'Monthly Growth'!G11,IF(Nonlabor!$I$13="LogGB",'Monthly Growth'!H11,IF(Nonlabor!$I$13="RequestsM",'Monthly Growth'!F11,IF(Nonlabor!$I$13="InputM",'Monthly Growth'!D11*Assumptions!$E$22/1000000,IF(Nonlabor!$I$13="OutputM",'Monthly Growth'!D11*Assumptions!$E$23/1000000,0))))))))),0)</f>
        <v>6</v>
      </c>
      <c r="F3071" s="10" t="n">
        <f aca="false">Nonlabor!$J$13*(1+Assumptions!$E$9)^INT((C3071-1)/12)</f>
        <v>4</v>
      </c>
      <c r="G3071" s="10" t="n">
        <f aca="false">E3071*F3071</f>
        <v>24</v>
      </c>
      <c r="H3071" s="10" t="n">
        <f aca="false">IF(OR(Nonlabor!$L$13="Quote required",Nonlabor!$L$13="Unverified"),G3071,0)</f>
        <v>0</v>
      </c>
      <c r="I3071" s="10" t="n">
        <f aca="false">IF(Nonlabor!$E$13="Core",0,G3071)</f>
        <v>0</v>
      </c>
      <c r="J3071" s="23" t="str">
        <f aca="false">Nonlabor!$B$13</f>
        <v>TOOLS</v>
      </c>
    </row>
    <row r="3072" customFormat="false" ht="15" hidden="false" customHeight="false" outlineLevel="0" collapsed="false">
      <c r="A3072" s="6" t="s">
        <v>73</v>
      </c>
      <c r="B3072" s="6" t="s">
        <v>395</v>
      </c>
      <c r="C3072" s="6" t="n">
        <v>7</v>
      </c>
      <c r="D3072" s="25" t="n">
        <f aca="false">EDATE('Start Here'!$B$6,C3072-1)</f>
        <v>46508</v>
      </c>
      <c r="E3072" s="23" t="n">
        <f aca="false">IF(AND(OR(Nonlabor!$D$13="Both",Nonlabor!$D$13='Start Here'!$B$9),IF(Nonlabor!$E$13="Core",1,IF(Nonlabor!$E$13="AI",'Start Here'!$B$7,'Start Here'!$B$8))=1,C3072&gt;=IF(Nonlabor!$E$13="Core",Nonlabor!$F$13,MAX(Nonlabor!$F$13,IF(Nonlabor!$E$13="AI",Assumptions!$E$24,Assumptions!$E$25))),C3072&lt;=Nonlabor!$G$13,OR(Nonlabor!$H$13="Monthly",AND(Nonlabor!$H$13="Once",C3072=IF(Nonlabor!$E$13="Core",Nonlabor!$F$13,MAX(Nonlabor!$F$13,IF(Nonlabor!$E$13="AI",Assumptions!$E$24,Assumptions!$E$25)))),AND(Nonlabor!$H$13="Annual",MOD(C3072-IF(Nonlabor!$E$13="Core",Nonlabor!$F$13,MAX(Nonlabor!$F$13,IF(Nonlabor!$E$13="AI",Assumptions!$E$24,Assumptions!$E$25))),12)=0))),IF(Nonlabor!$I$13="Fixed",1,IF(Nonlabor!$I$13="Seats",ROUNDUP('Monthly Growth'!I12,0),IF(Nonlabor!$I$13="Customers",'Monthly Growth'!D12,IF(Nonlabor!$I$13="NewCustomers",'Monthly Growth'!C12,IF(Nonlabor!$I$13="StorageGB",'Monthly Growth'!G12,IF(Nonlabor!$I$13="LogGB",'Monthly Growth'!H12,IF(Nonlabor!$I$13="RequestsM",'Monthly Growth'!F12,IF(Nonlabor!$I$13="InputM",'Monthly Growth'!D12*Assumptions!$E$22/1000000,IF(Nonlabor!$I$13="OutputM",'Monthly Growth'!D12*Assumptions!$E$23/1000000,0))))))))),0)</f>
        <v>8</v>
      </c>
      <c r="F3072" s="10" t="n">
        <f aca="false">Nonlabor!$J$13*(1+Assumptions!$E$9)^INT((C3072-1)/12)</f>
        <v>4</v>
      </c>
      <c r="G3072" s="10" t="n">
        <f aca="false">E3072*F3072</f>
        <v>32</v>
      </c>
      <c r="H3072" s="10" t="n">
        <f aca="false">IF(OR(Nonlabor!$L$13="Quote required",Nonlabor!$L$13="Unverified"),G3072,0)</f>
        <v>0</v>
      </c>
      <c r="I3072" s="10" t="n">
        <f aca="false">IF(Nonlabor!$E$13="Core",0,G3072)</f>
        <v>0</v>
      </c>
      <c r="J3072" s="23" t="str">
        <f aca="false">Nonlabor!$B$13</f>
        <v>TOOLS</v>
      </c>
    </row>
    <row r="3073" customFormat="false" ht="15" hidden="false" customHeight="false" outlineLevel="0" collapsed="false">
      <c r="A3073" s="6" t="s">
        <v>73</v>
      </c>
      <c r="B3073" s="6" t="s">
        <v>395</v>
      </c>
      <c r="C3073" s="6" t="n">
        <v>8</v>
      </c>
      <c r="D3073" s="25" t="n">
        <f aca="false">EDATE('Start Here'!$B$6,C3073-1)</f>
        <v>46539</v>
      </c>
      <c r="E3073" s="23" t="n">
        <f aca="false">IF(AND(OR(Nonlabor!$D$13="Both",Nonlabor!$D$13='Start Here'!$B$9),IF(Nonlabor!$E$13="Core",1,IF(Nonlabor!$E$13="AI",'Start Here'!$B$7,'Start Here'!$B$8))=1,C3073&gt;=IF(Nonlabor!$E$13="Core",Nonlabor!$F$13,MAX(Nonlabor!$F$13,IF(Nonlabor!$E$13="AI",Assumptions!$E$24,Assumptions!$E$25))),C3073&lt;=Nonlabor!$G$13,OR(Nonlabor!$H$13="Monthly",AND(Nonlabor!$H$13="Once",C3073=IF(Nonlabor!$E$13="Core",Nonlabor!$F$13,MAX(Nonlabor!$F$13,IF(Nonlabor!$E$13="AI",Assumptions!$E$24,Assumptions!$E$25)))),AND(Nonlabor!$H$13="Annual",MOD(C3073-IF(Nonlabor!$E$13="Core",Nonlabor!$F$13,MAX(Nonlabor!$F$13,IF(Nonlabor!$E$13="AI",Assumptions!$E$24,Assumptions!$E$25))),12)=0))),IF(Nonlabor!$I$13="Fixed",1,IF(Nonlabor!$I$13="Seats",ROUNDUP('Monthly Growth'!I13,0),IF(Nonlabor!$I$13="Customers",'Monthly Growth'!D13,IF(Nonlabor!$I$13="NewCustomers",'Monthly Growth'!C13,IF(Nonlabor!$I$13="StorageGB",'Monthly Growth'!G13,IF(Nonlabor!$I$13="LogGB",'Monthly Growth'!H13,IF(Nonlabor!$I$13="RequestsM",'Monthly Growth'!F13,IF(Nonlabor!$I$13="InputM",'Monthly Growth'!D13*Assumptions!$E$22/1000000,IF(Nonlabor!$I$13="OutputM",'Monthly Growth'!D13*Assumptions!$E$23/1000000,0))))))))),0)</f>
        <v>8</v>
      </c>
      <c r="F3073" s="10" t="n">
        <f aca="false">Nonlabor!$J$13*(1+Assumptions!$E$9)^INT((C3073-1)/12)</f>
        <v>4</v>
      </c>
      <c r="G3073" s="10" t="n">
        <f aca="false">E3073*F3073</f>
        <v>32</v>
      </c>
      <c r="H3073" s="10" t="n">
        <f aca="false">IF(OR(Nonlabor!$L$13="Quote required",Nonlabor!$L$13="Unverified"),G3073,0)</f>
        <v>0</v>
      </c>
      <c r="I3073" s="10" t="n">
        <f aca="false">IF(Nonlabor!$E$13="Core",0,G3073)</f>
        <v>0</v>
      </c>
      <c r="J3073" s="23" t="str">
        <f aca="false">Nonlabor!$B$13</f>
        <v>TOOLS</v>
      </c>
    </row>
    <row r="3074" customFormat="false" ht="15" hidden="false" customHeight="false" outlineLevel="0" collapsed="false">
      <c r="A3074" s="6" t="s">
        <v>73</v>
      </c>
      <c r="B3074" s="6" t="s">
        <v>395</v>
      </c>
      <c r="C3074" s="6" t="n">
        <v>9</v>
      </c>
      <c r="D3074" s="25" t="n">
        <f aca="false">EDATE('Start Here'!$B$6,C3074-1)</f>
        <v>46569</v>
      </c>
      <c r="E3074" s="23" t="n">
        <f aca="false">IF(AND(OR(Nonlabor!$D$13="Both",Nonlabor!$D$13='Start Here'!$B$9),IF(Nonlabor!$E$13="Core",1,IF(Nonlabor!$E$13="AI",'Start Here'!$B$7,'Start Here'!$B$8))=1,C3074&gt;=IF(Nonlabor!$E$13="Core",Nonlabor!$F$13,MAX(Nonlabor!$F$13,IF(Nonlabor!$E$13="AI",Assumptions!$E$24,Assumptions!$E$25))),C3074&lt;=Nonlabor!$G$13,OR(Nonlabor!$H$13="Monthly",AND(Nonlabor!$H$13="Once",C3074=IF(Nonlabor!$E$13="Core",Nonlabor!$F$13,MAX(Nonlabor!$F$13,IF(Nonlabor!$E$13="AI",Assumptions!$E$24,Assumptions!$E$25)))),AND(Nonlabor!$H$13="Annual",MOD(C3074-IF(Nonlabor!$E$13="Core",Nonlabor!$F$13,MAX(Nonlabor!$F$13,IF(Nonlabor!$E$13="AI",Assumptions!$E$24,Assumptions!$E$25))),12)=0))),IF(Nonlabor!$I$13="Fixed",1,IF(Nonlabor!$I$13="Seats",ROUNDUP('Monthly Growth'!I14,0),IF(Nonlabor!$I$13="Customers",'Monthly Growth'!D14,IF(Nonlabor!$I$13="NewCustomers",'Monthly Growth'!C14,IF(Nonlabor!$I$13="StorageGB",'Monthly Growth'!G14,IF(Nonlabor!$I$13="LogGB",'Monthly Growth'!H14,IF(Nonlabor!$I$13="RequestsM",'Monthly Growth'!F14,IF(Nonlabor!$I$13="InputM",'Monthly Growth'!D14*Assumptions!$E$22/1000000,IF(Nonlabor!$I$13="OutputM",'Monthly Growth'!D14*Assumptions!$E$23/1000000,0))))))))),0)</f>
        <v>9</v>
      </c>
      <c r="F3074" s="10" t="n">
        <f aca="false">Nonlabor!$J$13*(1+Assumptions!$E$9)^INT((C3074-1)/12)</f>
        <v>4</v>
      </c>
      <c r="G3074" s="10" t="n">
        <f aca="false">E3074*F3074</f>
        <v>36</v>
      </c>
      <c r="H3074" s="10" t="n">
        <f aca="false">IF(OR(Nonlabor!$L$13="Quote required",Nonlabor!$L$13="Unverified"),G3074,0)</f>
        <v>0</v>
      </c>
      <c r="I3074" s="10" t="n">
        <f aca="false">IF(Nonlabor!$E$13="Core",0,G3074)</f>
        <v>0</v>
      </c>
      <c r="J3074" s="23" t="str">
        <f aca="false">Nonlabor!$B$13</f>
        <v>TOOLS</v>
      </c>
    </row>
    <row r="3075" customFormat="false" ht="15" hidden="false" customHeight="false" outlineLevel="0" collapsed="false">
      <c r="A3075" s="6" t="s">
        <v>73</v>
      </c>
      <c r="B3075" s="6" t="s">
        <v>395</v>
      </c>
      <c r="C3075" s="6" t="n">
        <v>10</v>
      </c>
      <c r="D3075" s="25" t="n">
        <f aca="false">EDATE('Start Here'!$B$6,C3075-1)</f>
        <v>46600</v>
      </c>
      <c r="E3075" s="23" t="n">
        <f aca="false">IF(AND(OR(Nonlabor!$D$13="Both",Nonlabor!$D$13='Start Here'!$B$9),IF(Nonlabor!$E$13="Core",1,IF(Nonlabor!$E$13="AI",'Start Here'!$B$7,'Start Here'!$B$8))=1,C3075&gt;=IF(Nonlabor!$E$13="Core",Nonlabor!$F$13,MAX(Nonlabor!$F$13,IF(Nonlabor!$E$13="AI",Assumptions!$E$24,Assumptions!$E$25))),C3075&lt;=Nonlabor!$G$13,OR(Nonlabor!$H$13="Monthly",AND(Nonlabor!$H$13="Once",C3075=IF(Nonlabor!$E$13="Core",Nonlabor!$F$13,MAX(Nonlabor!$F$13,IF(Nonlabor!$E$13="AI",Assumptions!$E$24,Assumptions!$E$25)))),AND(Nonlabor!$H$13="Annual",MOD(C3075-IF(Nonlabor!$E$13="Core",Nonlabor!$F$13,MAX(Nonlabor!$F$13,IF(Nonlabor!$E$13="AI",Assumptions!$E$24,Assumptions!$E$25))),12)=0))),IF(Nonlabor!$I$13="Fixed",1,IF(Nonlabor!$I$13="Seats",ROUNDUP('Monthly Growth'!I15,0),IF(Nonlabor!$I$13="Customers",'Monthly Growth'!D15,IF(Nonlabor!$I$13="NewCustomers",'Monthly Growth'!C15,IF(Nonlabor!$I$13="StorageGB",'Monthly Growth'!G15,IF(Nonlabor!$I$13="LogGB",'Monthly Growth'!H15,IF(Nonlabor!$I$13="RequestsM",'Monthly Growth'!F15,IF(Nonlabor!$I$13="InputM",'Monthly Growth'!D15*Assumptions!$E$22/1000000,IF(Nonlabor!$I$13="OutputM",'Monthly Growth'!D15*Assumptions!$E$23/1000000,0))))))))),0)</f>
        <v>9</v>
      </c>
      <c r="F3075" s="10" t="n">
        <f aca="false">Nonlabor!$J$13*(1+Assumptions!$E$9)^INT((C3075-1)/12)</f>
        <v>4</v>
      </c>
      <c r="G3075" s="10" t="n">
        <f aca="false">E3075*F3075</f>
        <v>36</v>
      </c>
      <c r="H3075" s="10" t="n">
        <f aca="false">IF(OR(Nonlabor!$L$13="Quote required",Nonlabor!$L$13="Unverified"),G3075,0)</f>
        <v>0</v>
      </c>
      <c r="I3075" s="10" t="n">
        <f aca="false">IF(Nonlabor!$E$13="Core",0,G3075)</f>
        <v>0</v>
      </c>
      <c r="J3075" s="23" t="str">
        <f aca="false">Nonlabor!$B$13</f>
        <v>TOOLS</v>
      </c>
    </row>
    <row r="3076" customFormat="false" ht="15" hidden="false" customHeight="false" outlineLevel="0" collapsed="false">
      <c r="A3076" s="6" t="s">
        <v>73</v>
      </c>
      <c r="B3076" s="6" t="s">
        <v>395</v>
      </c>
      <c r="C3076" s="6" t="n">
        <v>11</v>
      </c>
      <c r="D3076" s="25" t="n">
        <f aca="false">EDATE('Start Here'!$B$6,C3076-1)</f>
        <v>46631</v>
      </c>
      <c r="E3076" s="23" t="n">
        <f aca="false">IF(AND(OR(Nonlabor!$D$13="Both",Nonlabor!$D$13='Start Here'!$B$9),IF(Nonlabor!$E$13="Core",1,IF(Nonlabor!$E$13="AI",'Start Here'!$B$7,'Start Here'!$B$8))=1,C3076&gt;=IF(Nonlabor!$E$13="Core",Nonlabor!$F$13,MAX(Nonlabor!$F$13,IF(Nonlabor!$E$13="AI",Assumptions!$E$24,Assumptions!$E$25))),C3076&lt;=Nonlabor!$G$13,OR(Nonlabor!$H$13="Monthly",AND(Nonlabor!$H$13="Once",C3076=IF(Nonlabor!$E$13="Core",Nonlabor!$F$13,MAX(Nonlabor!$F$13,IF(Nonlabor!$E$13="AI",Assumptions!$E$24,Assumptions!$E$25)))),AND(Nonlabor!$H$13="Annual",MOD(C3076-IF(Nonlabor!$E$13="Core",Nonlabor!$F$13,MAX(Nonlabor!$F$13,IF(Nonlabor!$E$13="AI",Assumptions!$E$24,Assumptions!$E$25))),12)=0))),IF(Nonlabor!$I$13="Fixed",1,IF(Nonlabor!$I$13="Seats",ROUNDUP('Monthly Growth'!I16,0),IF(Nonlabor!$I$13="Customers",'Monthly Growth'!D16,IF(Nonlabor!$I$13="NewCustomers",'Monthly Growth'!C16,IF(Nonlabor!$I$13="StorageGB",'Monthly Growth'!G16,IF(Nonlabor!$I$13="LogGB",'Monthly Growth'!H16,IF(Nonlabor!$I$13="RequestsM",'Monthly Growth'!F16,IF(Nonlabor!$I$13="InputM",'Monthly Growth'!D16*Assumptions!$E$22/1000000,IF(Nonlabor!$I$13="OutputM",'Monthly Growth'!D16*Assumptions!$E$23/1000000,0))))))))),0)</f>
        <v>9</v>
      </c>
      <c r="F3076" s="10" t="n">
        <f aca="false">Nonlabor!$J$13*(1+Assumptions!$E$9)^INT((C3076-1)/12)</f>
        <v>4</v>
      </c>
      <c r="G3076" s="10" t="n">
        <f aca="false">E3076*F3076</f>
        <v>36</v>
      </c>
      <c r="H3076" s="10" t="n">
        <f aca="false">IF(OR(Nonlabor!$L$13="Quote required",Nonlabor!$L$13="Unverified"),G3076,0)</f>
        <v>0</v>
      </c>
      <c r="I3076" s="10" t="n">
        <f aca="false">IF(Nonlabor!$E$13="Core",0,G3076)</f>
        <v>0</v>
      </c>
      <c r="J3076" s="23" t="str">
        <f aca="false">Nonlabor!$B$13</f>
        <v>TOOLS</v>
      </c>
    </row>
    <row r="3077" customFormat="false" ht="15" hidden="false" customHeight="false" outlineLevel="0" collapsed="false">
      <c r="A3077" s="6" t="s">
        <v>73</v>
      </c>
      <c r="B3077" s="6" t="s">
        <v>395</v>
      </c>
      <c r="C3077" s="6" t="n">
        <v>12</v>
      </c>
      <c r="D3077" s="25" t="n">
        <f aca="false">EDATE('Start Here'!$B$6,C3077-1)</f>
        <v>46661</v>
      </c>
      <c r="E3077" s="23" t="n">
        <f aca="false">IF(AND(OR(Nonlabor!$D$13="Both",Nonlabor!$D$13='Start Here'!$B$9),IF(Nonlabor!$E$13="Core",1,IF(Nonlabor!$E$13="AI",'Start Here'!$B$7,'Start Here'!$B$8))=1,C3077&gt;=IF(Nonlabor!$E$13="Core",Nonlabor!$F$13,MAX(Nonlabor!$F$13,IF(Nonlabor!$E$13="AI",Assumptions!$E$24,Assumptions!$E$25))),C3077&lt;=Nonlabor!$G$13,OR(Nonlabor!$H$13="Monthly",AND(Nonlabor!$H$13="Once",C3077=IF(Nonlabor!$E$13="Core",Nonlabor!$F$13,MAX(Nonlabor!$F$13,IF(Nonlabor!$E$13="AI",Assumptions!$E$24,Assumptions!$E$25)))),AND(Nonlabor!$H$13="Annual",MOD(C3077-IF(Nonlabor!$E$13="Core",Nonlabor!$F$13,MAX(Nonlabor!$F$13,IF(Nonlabor!$E$13="AI",Assumptions!$E$24,Assumptions!$E$25))),12)=0))),IF(Nonlabor!$I$13="Fixed",1,IF(Nonlabor!$I$13="Seats",ROUNDUP('Monthly Growth'!I17,0),IF(Nonlabor!$I$13="Customers",'Monthly Growth'!D17,IF(Nonlabor!$I$13="NewCustomers",'Monthly Growth'!C17,IF(Nonlabor!$I$13="StorageGB",'Monthly Growth'!G17,IF(Nonlabor!$I$13="LogGB",'Monthly Growth'!H17,IF(Nonlabor!$I$13="RequestsM",'Monthly Growth'!F17,IF(Nonlabor!$I$13="InputM",'Monthly Growth'!D17*Assumptions!$E$22/1000000,IF(Nonlabor!$I$13="OutputM",'Monthly Growth'!D17*Assumptions!$E$23/1000000,0))))))))),0)</f>
        <v>9</v>
      </c>
      <c r="F3077" s="10" t="n">
        <f aca="false">Nonlabor!$J$13*(1+Assumptions!$E$9)^INT((C3077-1)/12)</f>
        <v>4</v>
      </c>
      <c r="G3077" s="10" t="n">
        <f aca="false">E3077*F3077</f>
        <v>36</v>
      </c>
      <c r="H3077" s="10" t="n">
        <f aca="false">IF(OR(Nonlabor!$L$13="Quote required",Nonlabor!$L$13="Unverified"),G3077,0)</f>
        <v>0</v>
      </c>
      <c r="I3077" s="10" t="n">
        <f aca="false">IF(Nonlabor!$E$13="Core",0,G3077)</f>
        <v>0</v>
      </c>
      <c r="J3077" s="23" t="str">
        <f aca="false">Nonlabor!$B$13</f>
        <v>TOOLS</v>
      </c>
    </row>
    <row r="3078" customFormat="false" ht="15" hidden="false" customHeight="false" outlineLevel="0" collapsed="false">
      <c r="A3078" s="6" t="s">
        <v>73</v>
      </c>
      <c r="B3078" s="6" t="s">
        <v>395</v>
      </c>
      <c r="C3078" s="6" t="n">
        <v>13</v>
      </c>
      <c r="D3078" s="25" t="n">
        <f aca="false">EDATE('Start Here'!$B$6,C3078-1)</f>
        <v>46692</v>
      </c>
      <c r="E3078" s="23" t="n">
        <f aca="false">IF(AND(OR(Nonlabor!$D$13="Both",Nonlabor!$D$13='Start Here'!$B$9),IF(Nonlabor!$E$13="Core",1,IF(Nonlabor!$E$13="AI",'Start Here'!$B$7,'Start Here'!$B$8))=1,C3078&gt;=IF(Nonlabor!$E$13="Core",Nonlabor!$F$13,MAX(Nonlabor!$F$13,IF(Nonlabor!$E$13="AI",Assumptions!$E$24,Assumptions!$E$25))),C3078&lt;=Nonlabor!$G$13,OR(Nonlabor!$H$13="Monthly",AND(Nonlabor!$H$13="Once",C3078=IF(Nonlabor!$E$13="Core",Nonlabor!$F$13,MAX(Nonlabor!$F$13,IF(Nonlabor!$E$13="AI",Assumptions!$E$24,Assumptions!$E$25)))),AND(Nonlabor!$H$13="Annual",MOD(C3078-IF(Nonlabor!$E$13="Core",Nonlabor!$F$13,MAX(Nonlabor!$F$13,IF(Nonlabor!$E$13="AI",Assumptions!$E$24,Assumptions!$E$25))),12)=0))),IF(Nonlabor!$I$13="Fixed",1,IF(Nonlabor!$I$13="Seats",ROUNDUP('Monthly Growth'!I18,0),IF(Nonlabor!$I$13="Customers",'Monthly Growth'!D18,IF(Nonlabor!$I$13="NewCustomers",'Monthly Growth'!C18,IF(Nonlabor!$I$13="StorageGB",'Monthly Growth'!G18,IF(Nonlabor!$I$13="LogGB",'Monthly Growth'!H18,IF(Nonlabor!$I$13="RequestsM",'Monthly Growth'!F18,IF(Nonlabor!$I$13="InputM",'Monthly Growth'!D18*Assumptions!$E$22/1000000,IF(Nonlabor!$I$13="OutputM",'Monthly Growth'!D18*Assumptions!$E$23/1000000,0))))))))),0)</f>
        <v>9</v>
      </c>
      <c r="F3078" s="10" t="n">
        <f aca="false">Nonlabor!$J$13*(1+Assumptions!$E$9)^INT((C3078-1)/12)</f>
        <v>4.16</v>
      </c>
      <c r="G3078" s="10" t="n">
        <f aca="false">E3078*F3078</f>
        <v>37.44</v>
      </c>
      <c r="H3078" s="10" t="n">
        <f aca="false">IF(OR(Nonlabor!$L$13="Quote required",Nonlabor!$L$13="Unverified"),G3078,0)</f>
        <v>0</v>
      </c>
      <c r="I3078" s="10" t="n">
        <f aca="false">IF(Nonlabor!$E$13="Core",0,G3078)</f>
        <v>0</v>
      </c>
      <c r="J3078" s="23" t="str">
        <f aca="false">Nonlabor!$B$13</f>
        <v>TOOLS</v>
      </c>
    </row>
    <row r="3079" customFormat="false" ht="15" hidden="false" customHeight="false" outlineLevel="0" collapsed="false">
      <c r="A3079" s="6" t="s">
        <v>73</v>
      </c>
      <c r="B3079" s="6" t="s">
        <v>395</v>
      </c>
      <c r="C3079" s="6" t="n">
        <v>14</v>
      </c>
      <c r="D3079" s="25" t="n">
        <f aca="false">EDATE('Start Here'!$B$6,C3079-1)</f>
        <v>46722</v>
      </c>
      <c r="E3079" s="23" t="n">
        <f aca="false">IF(AND(OR(Nonlabor!$D$13="Both",Nonlabor!$D$13='Start Here'!$B$9),IF(Nonlabor!$E$13="Core",1,IF(Nonlabor!$E$13="AI",'Start Here'!$B$7,'Start Here'!$B$8))=1,C3079&gt;=IF(Nonlabor!$E$13="Core",Nonlabor!$F$13,MAX(Nonlabor!$F$13,IF(Nonlabor!$E$13="AI",Assumptions!$E$24,Assumptions!$E$25))),C3079&lt;=Nonlabor!$G$13,OR(Nonlabor!$H$13="Monthly",AND(Nonlabor!$H$13="Once",C3079=IF(Nonlabor!$E$13="Core",Nonlabor!$F$13,MAX(Nonlabor!$F$13,IF(Nonlabor!$E$13="AI",Assumptions!$E$24,Assumptions!$E$25)))),AND(Nonlabor!$H$13="Annual",MOD(C3079-IF(Nonlabor!$E$13="Core",Nonlabor!$F$13,MAX(Nonlabor!$F$13,IF(Nonlabor!$E$13="AI",Assumptions!$E$24,Assumptions!$E$25))),12)=0))),IF(Nonlabor!$I$13="Fixed",1,IF(Nonlabor!$I$13="Seats",ROUNDUP('Monthly Growth'!I19,0),IF(Nonlabor!$I$13="Customers",'Monthly Growth'!D19,IF(Nonlabor!$I$13="NewCustomers",'Monthly Growth'!C19,IF(Nonlabor!$I$13="StorageGB",'Monthly Growth'!G19,IF(Nonlabor!$I$13="LogGB",'Monthly Growth'!H19,IF(Nonlabor!$I$13="RequestsM",'Monthly Growth'!F19,IF(Nonlabor!$I$13="InputM",'Monthly Growth'!D19*Assumptions!$E$22/1000000,IF(Nonlabor!$I$13="OutputM",'Monthly Growth'!D19*Assumptions!$E$23/1000000,0))))))))),0)</f>
        <v>9</v>
      </c>
      <c r="F3079" s="10" t="n">
        <f aca="false">Nonlabor!$J$13*(1+Assumptions!$E$9)^INT((C3079-1)/12)</f>
        <v>4.16</v>
      </c>
      <c r="G3079" s="10" t="n">
        <f aca="false">E3079*F3079</f>
        <v>37.44</v>
      </c>
      <c r="H3079" s="10" t="n">
        <f aca="false">IF(OR(Nonlabor!$L$13="Quote required",Nonlabor!$L$13="Unverified"),G3079,0)</f>
        <v>0</v>
      </c>
      <c r="I3079" s="10" t="n">
        <f aca="false">IF(Nonlabor!$E$13="Core",0,G3079)</f>
        <v>0</v>
      </c>
      <c r="J3079" s="23" t="str">
        <f aca="false">Nonlabor!$B$13</f>
        <v>TOOLS</v>
      </c>
    </row>
    <row r="3080" customFormat="false" ht="15" hidden="false" customHeight="false" outlineLevel="0" collapsed="false">
      <c r="A3080" s="6" t="s">
        <v>73</v>
      </c>
      <c r="B3080" s="6" t="s">
        <v>395</v>
      </c>
      <c r="C3080" s="6" t="n">
        <v>15</v>
      </c>
      <c r="D3080" s="25" t="n">
        <f aca="false">EDATE('Start Here'!$B$6,C3080-1)</f>
        <v>46753</v>
      </c>
      <c r="E3080" s="23" t="n">
        <f aca="false">IF(AND(OR(Nonlabor!$D$13="Both",Nonlabor!$D$13='Start Here'!$B$9),IF(Nonlabor!$E$13="Core",1,IF(Nonlabor!$E$13="AI",'Start Here'!$B$7,'Start Here'!$B$8))=1,C3080&gt;=IF(Nonlabor!$E$13="Core",Nonlabor!$F$13,MAX(Nonlabor!$F$13,IF(Nonlabor!$E$13="AI",Assumptions!$E$24,Assumptions!$E$25))),C3080&lt;=Nonlabor!$G$13,OR(Nonlabor!$H$13="Monthly",AND(Nonlabor!$H$13="Once",C3080=IF(Nonlabor!$E$13="Core",Nonlabor!$F$13,MAX(Nonlabor!$F$13,IF(Nonlabor!$E$13="AI",Assumptions!$E$24,Assumptions!$E$25)))),AND(Nonlabor!$H$13="Annual",MOD(C3080-IF(Nonlabor!$E$13="Core",Nonlabor!$F$13,MAX(Nonlabor!$F$13,IF(Nonlabor!$E$13="AI",Assumptions!$E$24,Assumptions!$E$25))),12)=0))),IF(Nonlabor!$I$13="Fixed",1,IF(Nonlabor!$I$13="Seats",ROUNDUP('Monthly Growth'!I20,0),IF(Nonlabor!$I$13="Customers",'Monthly Growth'!D20,IF(Nonlabor!$I$13="NewCustomers",'Monthly Growth'!C20,IF(Nonlabor!$I$13="StorageGB",'Monthly Growth'!G20,IF(Nonlabor!$I$13="LogGB",'Monthly Growth'!H20,IF(Nonlabor!$I$13="RequestsM",'Monthly Growth'!F20,IF(Nonlabor!$I$13="InputM",'Monthly Growth'!D20*Assumptions!$E$22/1000000,IF(Nonlabor!$I$13="OutputM",'Monthly Growth'!D20*Assumptions!$E$23/1000000,0))))))))),0)</f>
        <v>9</v>
      </c>
      <c r="F3080" s="10" t="n">
        <f aca="false">Nonlabor!$J$13*(1+Assumptions!$E$9)^INT((C3080-1)/12)</f>
        <v>4.16</v>
      </c>
      <c r="G3080" s="10" t="n">
        <f aca="false">E3080*F3080</f>
        <v>37.44</v>
      </c>
      <c r="H3080" s="10" t="n">
        <f aca="false">IF(OR(Nonlabor!$L$13="Quote required",Nonlabor!$L$13="Unverified"),G3080,0)</f>
        <v>0</v>
      </c>
      <c r="I3080" s="10" t="n">
        <f aca="false">IF(Nonlabor!$E$13="Core",0,G3080)</f>
        <v>0</v>
      </c>
      <c r="J3080" s="23" t="str">
        <f aca="false">Nonlabor!$B$13</f>
        <v>TOOLS</v>
      </c>
    </row>
    <row r="3081" customFormat="false" ht="15" hidden="false" customHeight="false" outlineLevel="0" collapsed="false">
      <c r="A3081" s="6" t="s">
        <v>73</v>
      </c>
      <c r="B3081" s="6" t="s">
        <v>395</v>
      </c>
      <c r="C3081" s="6" t="n">
        <v>16</v>
      </c>
      <c r="D3081" s="25" t="n">
        <f aca="false">EDATE('Start Here'!$B$6,C3081-1)</f>
        <v>46784</v>
      </c>
      <c r="E3081" s="23" t="n">
        <f aca="false">IF(AND(OR(Nonlabor!$D$13="Both",Nonlabor!$D$13='Start Here'!$B$9),IF(Nonlabor!$E$13="Core",1,IF(Nonlabor!$E$13="AI",'Start Here'!$B$7,'Start Here'!$B$8))=1,C3081&gt;=IF(Nonlabor!$E$13="Core",Nonlabor!$F$13,MAX(Nonlabor!$F$13,IF(Nonlabor!$E$13="AI",Assumptions!$E$24,Assumptions!$E$25))),C3081&lt;=Nonlabor!$G$13,OR(Nonlabor!$H$13="Monthly",AND(Nonlabor!$H$13="Once",C3081=IF(Nonlabor!$E$13="Core",Nonlabor!$F$13,MAX(Nonlabor!$F$13,IF(Nonlabor!$E$13="AI",Assumptions!$E$24,Assumptions!$E$25)))),AND(Nonlabor!$H$13="Annual",MOD(C3081-IF(Nonlabor!$E$13="Core",Nonlabor!$F$13,MAX(Nonlabor!$F$13,IF(Nonlabor!$E$13="AI",Assumptions!$E$24,Assumptions!$E$25))),12)=0))),IF(Nonlabor!$I$13="Fixed",1,IF(Nonlabor!$I$13="Seats",ROUNDUP('Monthly Growth'!I21,0),IF(Nonlabor!$I$13="Customers",'Monthly Growth'!D21,IF(Nonlabor!$I$13="NewCustomers",'Monthly Growth'!C21,IF(Nonlabor!$I$13="StorageGB",'Monthly Growth'!G21,IF(Nonlabor!$I$13="LogGB",'Monthly Growth'!H21,IF(Nonlabor!$I$13="RequestsM",'Monthly Growth'!F21,IF(Nonlabor!$I$13="InputM",'Monthly Growth'!D21*Assumptions!$E$22/1000000,IF(Nonlabor!$I$13="OutputM",'Monthly Growth'!D21*Assumptions!$E$23/1000000,0))))))))),0)</f>
        <v>15</v>
      </c>
      <c r="F3081" s="10" t="n">
        <f aca="false">Nonlabor!$J$13*(1+Assumptions!$E$9)^INT((C3081-1)/12)</f>
        <v>4.16</v>
      </c>
      <c r="G3081" s="10" t="n">
        <f aca="false">E3081*F3081</f>
        <v>62.4</v>
      </c>
      <c r="H3081" s="10" t="n">
        <f aca="false">IF(OR(Nonlabor!$L$13="Quote required",Nonlabor!$L$13="Unverified"),G3081,0)</f>
        <v>0</v>
      </c>
      <c r="I3081" s="10" t="n">
        <f aca="false">IF(Nonlabor!$E$13="Core",0,G3081)</f>
        <v>0</v>
      </c>
      <c r="J3081" s="23" t="str">
        <f aca="false">Nonlabor!$B$13</f>
        <v>TOOLS</v>
      </c>
    </row>
    <row r="3082" customFormat="false" ht="15" hidden="false" customHeight="false" outlineLevel="0" collapsed="false">
      <c r="A3082" s="6" t="s">
        <v>73</v>
      </c>
      <c r="B3082" s="6" t="s">
        <v>395</v>
      </c>
      <c r="C3082" s="6" t="n">
        <v>17</v>
      </c>
      <c r="D3082" s="25" t="n">
        <f aca="false">EDATE('Start Here'!$B$6,C3082-1)</f>
        <v>46813</v>
      </c>
      <c r="E3082" s="23" t="n">
        <f aca="false">IF(AND(OR(Nonlabor!$D$13="Both",Nonlabor!$D$13='Start Here'!$B$9),IF(Nonlabor!$E$13="Core",1,IF(Nonlabor!$E$13="AI",'Start Here'!$B$7,'Start Here'!$B$8))=1,C3082&gt;=IF(Nonlabor!$E$13="Core",Nonlabor!$F$13,MAX(Nonlabor!$F$13,IF(Nonlabor!$E$13="AI",Assumptions!$E$24,Assumptions!$E$25))),C3082&lt;=Nonlabor!$G$13,OR(Nonlabor!$H$13="Monthly",AND(Nonlabor!$H$13="Once",C3082=IF(Nonlabor!$E$13="Core",Nonlabor!$F$13,MAX(Nonlabor!$F$13,IF(Nonlabor!$E$13="AI",Assumptions!$E$24,Assumptions!$E$25)))),AND(Nonlabor!$H$13="Annual",MOD(C3082-IF(Nonlabor!$E$13="Core",Nonlabor!$F$13,MAX(Nonlabor!$F$13,IF(Nonlabor!$E$13="AI",Assumptions!$E$24,Assumptions!$E$25))),12)=0))),IF(Nonlabor!$I$13="Fixed",1,IF(Nonlabor!$I$13="Seats",ROUNDUP('Monthly Growth'!I22,0),IF(Nonlabor!$I$13="Customers",'Monthly Growth'!D22,IF(Nonlabor!$I$13="NewCustomers",'Monthly Growth'!C22,IF(Nonlabor!$I$13="StorageGB",'Monthly Growth'!G22,IF(Nonlabor!$I$13="LogGB",'Monthly Growth'!H22,IF(Nonlabor!$I$13="RequestsM",'Monthly Growth'!F22,IF(Nonlabor!$I$13="InputM",'Monthly Growth'!D22*Assumptions!$E$22/1000000,IF(Nonlabor!$I$13="OutputM",'Monthly Growth'!D22*Assumptions!$E$23/1000000,0))))))))),0)</f>
        <v>15</v>
      </c>
      <c r="F3082" s="10" t="n">
        <f aca="false">Nonlabor!$J$13*(1+Assumptions!$E$9)^INT((C3082-1)/12)</f>
        <v>4.16</v>
      </c>
      <c r="G3082" s="10" t="n">
        <f aca="false">E3082*F3082</f>
        <v>62.4</v>
      </c>
      <c r="H3082" s="10" t="n">
        <f aca="false">IF(OR(Nonlabor!$L$13="Quote required",Nonlabor!$L$13="Unverified"),G3082,0)</f>
        <v>0</v>
      </c>
      <c r="I3082" s="10" t="n">
        <f aca="false">IF(Nonlabor!$E$13="Core",0,G3082)</f>
        <v>0</v>
      </c>
      <c r="J3082" s="23" t="str">
        <f aca="false">Nonlabor!$B$13</f>
        <v>TOOLS</v>
      </c>
    </row>
    <row r="3083" customFormat="false" ht="15" hidden="false" customHeight="false" outlineLevel="0" collapsed="false">
      <c r="A3083" s="6" t="s">
        <v>73</v>
      </c>
      <c r="B3083" s="6" t="s">
        <v>395</v>
      </c>
      <c r="C3083" s="6" t="n">
        <v>18</v>
      </c>
      <c r="D3083" s="25" t="n">
        <f aca="false">EDATE('Start Here'!$B$6,C3083-1)</f>
        <v>46844</v>
      </c>
      <c r="E3083" s="23" t="n">
        <f aca="false">IF(AND(OR(Nonlabor!$D$13="Both",Nonlabor!$D$13='Start Here'!$B$9),IF(Nonlabor!$E$13="Core",1,IF(Nonlabor!$E$13="AI",'Start Here'!$B$7,'Start Here'!$B$8))=1,C3083&gt;=IF(Nonlabor!$E$13="Core",Nonlabor!$F$13,MAX(Nonlabor!$F$13,IF(Nonlabor!$E$13="AI",Assumptions!$E$24,Assumptions!$E$25))),C3083&lt;=Nonlabor!$G$13,OR(Nonlabor!$H$13="Monthly",AND(Nonlabor!$H$13="Once",C3083=IF(Nonlabor!$E$13="Core",Nonlabor!$F$13,MAX(Nonlabor!$F$13,IF(Nonlabor!$E$13="AI",Assumptions!$E$24,Assumptions!$E$25)))),AND(Nonlabor!$H$13="Annual",MOD(C3083-IF(Nonlabor!$E$13="Core",Nonlabor!$F$13,MAX(Nonlabor!$F$13,IF(Nonlabor!$E$13="AI",Assumptions!$E$24,Assumptions!$E$25))),12)=0))),IF(Nonlabor!$I$13="Fixed",1,IF(Nonlabor!$I$13="Seats",ROUNDUP('Monthly Growth'!I23,0),IF(Nonlabor!$I$13="Customers",'Monthly Growth'!D23,IF(Nonlabor!$I$13="NewCustomers",'Monthly Growth'!C23,IF(Nonlabor!$I$13="StorageGB",'Monthly Growth'!G23,IF(Nonlabor!$I$13="LogGB",'Monthly Growth'!H23,IF(Nonlabor!$I$13="RequestsM",'Monthly Growth'!F23,IF(Nonlabor!$I$13="InputM",'Monthly Growth'!D23*Assumptions!$E$22/1000000,IF(Nonlabor!$I$13="OutputM",'Monthly Growth'!D23*Assumptions!$E$23/1000000,0))))))))),0)</f>
        <v>15</v>
      </c>
      <c r="F3083" s="10" t="n">
        <f aca="false">Nonlabor!$J$13*(1+Assumptions!$E$9)^INT((C3083-1)/12)</f>
        <v>4.16</v>
      </c>
      <c r="G3083" s="10" t="n">
        <f aca="false">E3083*F3083</f>
        <v>62.4</v>
      </c>
      <c r="H3083" s="10" t="n">
        <f aca="false">IF(OR(Nonlabor!$L$13="Quote required",Nonlabor!$L$13="Unverified"),G3083,0)</f>
        <v>0</v>
      </c>
      <c r="I3083" s="10" t="n">
        <f aca="false">IF(Nonlabor!$E$13="Core",0,G3083)</f>
        <v>0</v>
      </c>
      <c r="J3083" s="23" t="str">
        <f aca="false">Nonlabor!$B$13</f>
        <v>TOOLS</v>
      </c>
    </row>
    <row r="3084" customFormat="false" ht="15" hidden="false" customHeight="false" outlineLevel="0" collapsed="false">
      <c r="A3084" s="6" t="s">
        <v>73</v>
      </c>
      <c r="B3084" s="6" t="s">
        <v>395</v>
      </c>
      <c r="C3084" s="6" t="n">
        <v>19</v>
      </c>
      <c r="D3084" s="25" t="n">
        <f aca="false">EDATE('Start Here'!$B$6,C3084-1)</f>
        <v>46874</v>
      </c>
      <c r="E3084" s="23" t="n">
        <f aca="false">IF(AND(OR(Nonlabor!$D$13="Both",Nonlabor!$D$13='Start Here'!$B$9),IF(Nonlabor!$E$13="Core",1,IF(Nonlabor!$E$13="AI",'Start Here'!$B$7,'Start Here'!$B$8))=1,C3084&gt;=IF(Nonlabor!$E$13="Core",Nonlabor!$F$13,MAX(Nonlabor!$F$13,IF(Nonlabor!$E$13="AI",Assumptions!$E$24,Assumptions!$E$25))),C3084&lt;=Nonlabor!$G$13,OR(Nonlabor!$H$13="Monthly",AND(Nonlabor!$H$13="Once",C3084=IF(Nonlabor!$E$13="Core",Nonlabor!$F$13,MAX(Nonlabor!$F$13,IF(Nonlabor!$E$13="AI",Assumptions!$E$24,Assumptions!$E$25)))),AND(Nonlabor!$H$13="Annual",MOD(C3084-IF(Nonlabor!$E$13="Core",Nonlabor!$F$13,MAX(Nonlabor!$F$13,IF(Nonlabor!$E$13="AI",Assumptions!$E$24,Assumptions!$E$25))),12)=0))),IF(Nonlabor!$I$13="Fixed",1,IF(Nonlabor!$I$13="Seats",ROUNDUP('Monthly Growth'!I24,0),IF(Nonlabor!$I$13="Customers",'Monthly Growth'!D24,IF(Nonlabor!$I$13="NewCustomers",'Monthly Growth'!C24,IF(Nonlabor!$I$13="StorageGB",'Monthly Growth'!G24,IF(Nonlabor!$I$13="LogGB",'Monthly Growth'!H24,IF(Nonlabor!$I$13="RequestsM",'Monthly Growth'!F24,IF(Nonlabor!$I$13="InputM",'Monthly Growth'!D24*Assumptions!$E$22/1000000,IF(Nonlabor!$I$13="OutputM",'Monthly Growth'!D24*Assumptions!$E$23/1000000,0))))))))),0)</f>
        <v>15</v>
      </c>
      <c r="F3084" s="10" t="n">
        <f aca="false">Nonlabor!$J$13*(1+Assumptions!$E$9)^INT((C3084-1)/12)</f>
        <v>4.16</v>
      </c>
      <c r="G3084" s="10" t="n">
        <f aca="false">E3084*F3084</f>
        <v>62.4</v>
      </c>
      <c r="H3084" s="10" t="n">
        <f aca="false">IF(OR(Nonlabor!$L$13="Quote required",Nonlabor!$L$13="Unverified"),G3084,0)</f>
        <v>0</v>
      </c>
      <c r="I3084" s="10" t="n">
        <f aca="false">IF(Nonlabor!$E$13="Core",0,G3084)</f>
        <v>0</v>
      </c>
      <c r="J3084" s="23" t="str">
        <f aca="false">Nonlabor!$B$13</f>
        <v>TOOLS</v>
      </c>
    </row>
    <row r="3085" customFormat="false" ht="15" hidden="false" customHeight="false" outlineLevel="0" collapsed="false">
      <c r="A3085" s="6" t="s">
        <v>73</v>
      </c>
      <c r="B3085" s="6" t="s">
        <v>395</v>
      </c>
      <c r="C3085" s="6" t="n">
        <v>20</v>
      </c>
      <c r="D3085" s="25" t="n">
        <f aca="false">EDATE('Start Here'!$B$6,C3085-1)</f>
        <v>46905</v>
      </c>
      <c r="E3085" s="23" t="n">
        <f aca="false">IF(AND(OR(Nonlabor!$D$13="Both",Nonlabor!$D$13='Start Here'!$B$9),IF(Nonlabor!$E$13="Core",1,IF(Nonlabor!$E$13="AI",'Start Here'!$B$7,'Start Here'!$B$8))=1,C3085&gt;=IF(Nonlabor!$E$13="Core",Nonlabor!$F$13,MAX(Nonlabor!$F$13,IF(Nonlabor!$E$13="AI",Assumptions!$E$24,Assumptions!$E$25))),C3085&lt;=Nonlabor!$G$13,OR(Nonlabor!$H$13="Monthly",AND(Nonlabor!$H$13="Once",C3085=IF(Nonlabor!$E$13="Core",Nonlabor!$F$13,MAX(Nonlabor!$F$13,IF(Nonlabor!$E$13="AI",Assumptions!$E$24,Assumptions!$E$25)))),AND(Nonlabor!$H$13="Annual",MOD(C3085-IF(Nonlabor!$E$13="Core",Nonlabor!$F$13,MAX(Nonlabor!$F$13,IF(Nonlabor!$E$13="AI",Assumptions!$E$24,Assumptions!$E$25))),12)=0))),IF(Nonlabor!$I$13="Fixed",1,IF(Nonlabor!$I$13="Seats",ROUNDUP('Monthly Growth'!I25,0),IF(Nonlabor!$I$13="Customers",'Monthly Growth'!D25,IF(Nonlabor!$I$13="NewCustomers",'Monthly Growth'!C25,IF(Nonlabor!$I$13="StorageGB",'Monthly Growth'!G25,IF(Nonlabor!$I$13="LogGB",'Monthly Growth'!H25,IF(Nonlabor!$I$13="RequestsM",'Monthly Growth'!F25,IF(Nonlabor!$I$13="InputM",'Monthly Growth'!D25*Assumptions!$E$22/1000000,IF(Nonlabor!$I$13="OutputM",'Monthly Growth'!D25*Assumptions!$E$23/1000000,0))))))))),0)</f>
        <v>15</v>
      </c>
      <c r="F3085" s="10" t="n">
        <f aca="false">Nonlabor!$J$13*(1+Assumptions!$E$9)^INT((C3085-1)/12)</f>
        <v>4.16</v>
      </c>
      <c r="G3085" s="10" t="n">
        <f aca="false">E3085*F3085</f>
        <v>62.4</v>
      </c>
      <c r="H3085" s="10" t="n">
        <f aca="false">IF(OR(Nonlabor!$L$13="Quote required",Nonlabor!$L$13="Unverified"),G3085,0)</f>
        <v>0</v>
      </c>
      <c r="I3085" s="10" t="n">
        <f aca="false">IF(Nonlabor!$E$13="Core",0,G3085)</f>
        <v>0</v>
      </c>
      <c r="J3085" s="23" t="str">
        <f aca="false">Nonlabor!$B$13</f>
        <v>TOOLS</v>
      </c>
    </row>
    <row r="3086" customFormat="false" ht="15" hidden="false" customHeight="false" outlineLevel="0" collapsed="false">
      <c r="A3086" s="6" t="s">
        <v>73</v>
      </c>
      <c r="B3086" s="6" t="s">
        <v>395</v>
      </c>
      <c r="C3086" s="6" t="n">
        <v>21</v>
      </c>
      <c r="D3086" s="25" t="n">
        <f aca="false">EDATE('Start Here'!$B$6,C3086-1)</f>
        <v>46935</v>
      </c>
      <c r="E3086" s="23" t="n">
        <f aca="false">IF(AND(OR(Nonlabor!$D$13="Both",Nonlabor!$D$13='Start Here'!$B$9),IF(Nonlabor!$E$13="Core",1,IF(Nonlabor!$E$13="AI",'Start Here'!$B$7,'Start Here'!$B$8))=1,C3086&gt;=IF(Nonlabor!$E$13="Core",Nonlabor!$F$13,MAX(Nonlabor!$F$13,IF(Nonlabor!$E$13="AI",Assumptions!$E$24,Assumptions!$E$25))),C3086&lt;=Nonlabor!$G$13,OR(Nonlabor!$H$13="Monthly",AND(Nonlabor!$H$13="Once",C3086=IF(Nonlabor!$E$13="Core",Nonlabor!$F$13,MAX(Nonlabor!$F$13,IF(Nonlabor!$E$13="AI",Assumptions!$E$24,Assumptions!$E$25)))),AND(Nonlabor!$H$13="Annual",MOD(C3086-IF(Nonlabor!$E$13="Core",Nonlabor!$F$13,MAX(Nonlabor!$F$13,IF(Nonlabor!$E$13="AI",Assumptions!$E$24,Assumptions!$E$25))),12)=0))),IF(Nonlabor!$I$13="Fixed",1,IF(Nonlabor!$I$13="Seats",ROUNDUP('Monthly Growth'!I26,0),IF(Nonlabor!$I$13="Customers",'Monthly Growth'!D26,IF(Nonlabor!$I$13="NewCustomers",'Monthly Growth'!C26,IF(Nonlabor!$I$13="StorageGB",'Monthly Growth'!G26,IF(Nonlabor!$I$13="LogGB",'Monthly Growth'!H26,IF(Nonlabor!$I$13="RequestsM",'Monthly Growth'!F26,IF(Nonlabor!$I$13="InputM",'Monthly Growth'!D26*Assumptions!$E$22/1000000,IF(Nonlabor!$I$13="OutputM",'Monthly Growth'!D26*Assumptions!$E$23/1000000,0))))))))),0)</f>
        <v>15</v>
      </c>
      <c r="F3086" s="10" t="n">
        <f aca="false">Nonlabor!$J$13*(1+Assumptions!$E$9)^INT((C3086-1)/12)</f>
        <v>4.16</v>
      </c>
      <c r="G3086" s="10" t="n">
        <f aca="false">E3086*F3086</f>
        <v>62.4</v>
      </c>
      <c r="H3086" s="10" t="n">
        <f aca="false">IF(OR(Nonlabor!$L$13="Quote required",Nonlabor!$L$13="Unverified"),G3086,0)</f>
        <v>0</v>
      </c>
      <c r="I3086" s="10" t="n">
        <f aca="false">IF(Nonlabor!$E$13="Core",0,G3086)</f>
        <v>0</v>
      </c>
      <c r="J3086" s="23" t="str">
        <f aca="false">Nonlabor!$B$13</f>
        <v>TOOLS</v>
      </c>
    </row>
    <row r="3087" customFormat="false" ht="15" hidden="false" customHeight="false" outlineLevel="0" collapsed="false">
      <c r="A3087" s="6" t="s">
        <v>73</v>
      </c>
      <c r="B3087" s="6" t="s">
        <v>395</v>
      </c>
      <c r="C3087" s="6" t="n">
        <v>22</v>
      </c>
      <c r="D3087" s="25" t="n">
        <f aca="false">EDATE('Start Here'!$B$6,C3087-1)</f>
        <v>46966</v>
      </c>
      <c r="E3087" s="23" t="n">
        <f aca="false">IF(AND(OR(Nonlabor!$D$13="Both",Nonlabor!$D$13='Start Here'!$B$9),IF(Nonlabor!$E$13="Core",1,IF(Nonlabor!$E$13="AI",'Start Here'!$B$7,'Start Here'!$B$8))=1,C3087&gt;=IF(Nonlabor!$E$13="Core",Nonlabor!$F$13,MAX(Nonlabor!$F$13,IF(Nonlabor!$E$13="AI",Assumptions!$E$24,Assumptions!$E$25))),C3087&lt;=Nonlabor!$G$13,OR(Nonlabor!$H$13="Monthly",AND(Nonlabor!$H$13="Once",C3087=IF(Nonlabor!$E$13="Core",Nonlabor!$F$13,MAX(Nonlabor!$F$13,IF(Nonlabor!$E$13="AI",Assumptions!$E$24,Assumptions!$E$25)))),AND(Nonlabor!$H$13="Annual",MOD(C3087-IF(Nonlabor!$E$13="Core",Nonlabor!$F$13,MAX(Nonlabor!$F$13,IF(Nonlabor!$E$13="AI",Assumptions!$E$24,Assumptions!$E$25))),12)=0))),IF(Nonlabor!$I$13="Fixed",1,IF(Nonlabor!$I$13="Seats",ROUNDUP('Monthly Growth'!I27,0),IF(Nonlabor!$I$13="Customers",'Monthly Growth'!D27,IF(Nonlabor!$I$13="NewCustomers",'Monthly Growth'!C27,IF(Nonlabor!$I$13="StorageGB",'Monthly Growth'!G27,IF(Nonlabor!$I$13="LogGB",'Monthly Growth'!H27,IF(Nonlabor!$I$13="RequestsM",'Monthly Growth'!F27,IF(Nonlabor!$I$13="InputM",'Monthly Growth'!D27*Assumptions!$E$22/1000000,IF(Nonlabor!$I$13="OutputM",'Monthly Growth'!D27*Assumptions!$E$23/1000000,0))))))))),0)</f>
        <v>15</v>
      </c>
      <c r="F3087" s="10" t="n">
        <f aca="false">Nonlabor!$J$13*(1+Assumptions!$E$9)^INT((C3087-1)/12)</f>
        <v>4.16</v>
      </c>
      <c r="G3087" s="10" t="n">
        <f aca="false">E3087*F3087</f>
        <v>62.4</v>
      </c>
      <c r="H3087" s="10" t="n">
        <f aca="false">IF(OR(Nonlabor!$L$13="Quote required",Nonlabor!$L$13="Unverified"),G3087,0)</f>
        <v>0</v>
      </c>
      <c r="I3087" s="10" t="n">
        <f aca="false">IF(Nonlabor!$E$13="Core",0,G3087)</f>
        <v>0</v>
      </c>
      <c r="J3087" s="23" t="str">
        <f aca="false">Nonlabor!$B$13</f>
        <v>TOOLS</v>
      </c>
    </row>
    <row r="3088" customFormat="false" ht="15" hidden="false" customHeight="false" outlineLevel="0" collapsed="false">
      <c r="A3088" s="6" t="s">
        <v>73</v>
      </c>
      <c r="B3088" s="6" t="s">
        <v>395</v>
      </c>
      <c r="C3088" s="6" t="n">
        <v>23</v>
      </c>
      <c r="D3088" s="25" t="n">
        <f aca="false">EDATE('Start Here'!$B$6,C3088-1)</f>
        <v>46997</v>
      </c>
      <c r="E3088" s="23" t="n">
        <f aca="false">IF(AND(OR(Nonlabor!$D$13="Both",Nonlabor!$D$13='Start Here'!$B$9),IF(Nonlabor!$E$13="Core",1,IF(Nonlabor!$E$13="AI",'Start Here'!$B$7,'Start Here'!$B$8))=1,C3088&gt;=IF(Nonlabor!$E$13="Core",Nonlabor!$F$13,MAX(Nonlabor!$F$13,IF(Nonlabor!$E$13="AI",Assumptions!$E$24,Assumptions!$E$25))),C3088&lt;=Nonlabor!$G$13,OR(Nonlabor!$H$13="Monthly",AND(Nonlabor!$H$13="Once",C3088=IF(Nonlabor!$E$13="Core",Nonlabor!$F$13,MAX(Nonlabor!$F$13,IF(Nonlabor!$E$13="AI",Assumptions!$E$24,Assumptions!$E$25)))),AND(Nonlabor!$H$13="Annual",MOD(C3088-IF(Nonlabor!$E$13="Core",Nonlabor!$F$13,MAX(Nonlabor!$F$13,IF(Nonlabor!$E$13="AI",Assumptions!$E$24,Assumptions!$E$25))),12)=0))),IF(Nonlabor!$I$13="Fixed",1,IF(Nonlabor!$I$13="Seats",ROUNDUP('Monthly Growth'!I28,0),IF(Nonlabor!$I$13="Customers",'Monthly Growth'!D28,IF(Nonlabor!$I$13="NewCustomers",'Monthly Growth'!C28,IF(Nonlabor!$I$13="StorageGB",'Monthly Growth'!G28,IF(Nonlabor!$I$13="LogGB",'Monthly Growth'!H28,IF(Nonlabor!$I$13="RequestsM",'Monthly Growth'!F28,IF(Nonlabor!$I$13="InputM",'Monthly Growth'!D28*Assumptions!$E$22/1000000,IF(Nonlabor!$I$13="OutputM",'Monthly Growth'!D28*Assumptions!$E$23/1000000,0))))))))),0)</f>
        <v>15</v>
      </c>
      <c r="F3088" s="10" t="n">
        <f aca="false">Nonlabor!$J$13*(1+Assumptions!$E$9)^INT((C3088-1)/12)</f>
        <v>4.16</v>
      </c>
      <c r="G3088" s="10" t="n">
        <f aca="false">E3088*F3088</f>
        <v>62.4</v>
      </c>
      <c r="H3088" s="10" t="n">
        <f aca="false">IF(OR(Nonlabor!$L$13="Quote required",Nonlabor!$L$13="Unverified"),G3088,0)</f>
        <v>0</v>
      </c>
      <c r="I3088" s="10" t="n">
        <f aca="false">IF(Nonlabor!$E$13="Core",0,G3088)</f>
        <v>0</v>
      </c>
      <c r="J3088" s="23" t="str">
        <f aca="false">Nonlabor!$B$13</f>
        <v>TOOLS</v>
      </c>
    </row>
    <row r="3089" customFormat="false" ht="15" hidden="false" customHeight="false" outlineLevel="0" collapsed="false">
      <c r="A3089" s="6" t="s">
        <v>73</v>
      </c>
      <c r="B3089" s="6" t="s">
        <v>395</v>
      </c>
      <c r="C3089" s="6" t="n">
        <v>24</v>
      </c>
      <c r="D3089" s="25" t="n">
        <f aca="false">EDATE('Start Here'!$B$6,C3089-1)</f>
        <v>47027</v>
      </c>
      <c r="E3089" s="23" t="n">
        <f aca="false">IF(AND(OR(Nonlabor!$D$13="Both",Nonlabor!$D$13='Start Here'!$B$9),IF(Nonlabor!$E$13="Core",1,IF(Nonlabor!$E$13="AI",'Start Here'!$B$7,'Start Here'!$B$8))=1,C3089&gt;=IF(Nonlabor!$E$13="Core",Nonlabor!$F$13,MAX(Nonlabor!$F$13,IF(Nonlabor!$E$13="AI",Assumptions!$E$24,Assumptions!$E$25))),C3089&lt;=Nonlabor!$G$13,OR(Nonlabor!$H$13="Monthly",AND(Nonlabor!$H$13="Once",C3089=IF(Nonlabor!$E$13="Core",Nonlabor!$F$13,MAX(Nonlabor!$F$13,IF(Nonlabor!$E$13="AI",Assumptions!$E$24,Assumptions!$E$25)))),AND(Nonlabor!$H$13="Annual",MOD(C3089-IF(Nonlabor!$E$13="Core",Nonlabor!$F$13,MAX(Nonlabor!$F$13,IF(Nonlabor!$E$13="AI",Assumptions!$E$24,Assumptions!$E$25))),12)=0))),IF(Nonlabor!$I$13="Fixed",1,IF(Nonlabor!$I$13="Seats",ROUNDUP('Monthly Growth'!I29,0),IF(Nonlabor!$I$13="Customers",'Monthly Growth'!D29,IF(Nonlabor!$I$13="NewCustomers",'Monthly Growth'!C29,IF(Nonlabor!$I$13="StorageGB",'Monthly Growth'!G29,IF(Nonlabor!$I$13="LogGB",'Monthly Growth'!H29,IF(Nonlabor!$I$13="RequestsM",'Monthly Growth'!F29,IF(Nonlabor!$I$13="InputM",'Monthly Growth'!D29*Assumptions!$E$22/1000000,IF(Nonlabor!$I$13="OutputM",'Monthly Growth'!D29*Assumptions!$E$23/1000000,0))))))))),0)</f>
        <v>15</v>
      </c>
      <c r="F3089" s="10" t="n">
        <f aca="false">Nonlabor!$J$13*(1+Assumptions!$E$9)^INT((C3089-1)/12)</f>
        <v>4.16</v>
      </c>
      <c r="G3089" s="10" t="n">
        <f aca="false">E3089*F3089</f>
        <v>62.4</v>
      </c>
      <c r="H3089" s="10" t="n">
        <f aca="false">IF(OR(Nonlabor!$L$13="Quote required",Nonlabor!$L$13="Unverified"),G3089,0)</f>
        <v>0</v>
      </c>
      <c r="I3089" s="10" t="n">
        <f aca="false">IF(Nonlabor!$E$13="Core",0,G3089)</f>
        <v>0</v>
      </c>
      <c r="J3089" s="23" t="str">
        <f aca="false">Nonlabor!$B$13</f>
        <v>TOOLS</v>
      </c>
    </row>
    <row r="3090" customFormat="false" ht="15" hidden="false" customHeight="false" outlineLevel="0" collapsed="false">
      <c r="A3090" s="6" t="s">
        <v>73</v>
      </c>
      <c r="B3090" s="6" t="s">
        <v>395</v>
      </c>
      <c r="C3090" s="6" t="n">
        <v>25</v>
      </c>
      <c r="D3090" s="25" t="n">
        <f aca="false">EDATE('Start Here'!$B$6,C3090-1)</f>
        <v>47058</v>
      </c>
      <c r="E3090" s="23" t="n">
        <f aca="false">IF(AND(OR(Nonlabor!$D$13="Both",Nonlabor!$D$13='Start Here'!$B$9),IF(Nonlabor!$E$13="Core",1,IF(Nonlabor!$E$13="AI",'Start Here'!$B$7,'Start Here'!$B$8))=1,C3090&gt;=IF(Nonlabor!$E$13="Core",Nonlabor!$F$13,MAX(Nonlabor!$F$13,IF(Nonlabor!$E$13="AI",Assumptions!$E$24,Assumptions!$E$25))),C3090&lt;=Nonlabor!$G$13,OR(Nonlabor!$H$13="Monthly",AND(Nonlabor!$H$13="Once",C3090=IF(Nonlabor!$E$13="Core",Nonlabor!$F$13,MAX(Nonlabor!$F$13,IF(Nonlabor!$E$13="AI",Assumptions!$E$24,Assumptions!$E$25)))),AND(Nonlabor!$H$13="Annual",MOD(C3090-IF(Nonlabor!$E$13="Core",Nonlabor!$F$13,MAX(Nonlabor!$F$13,IF(Nonlabor!$E$13="AI",Assumptions!$E$24,Assumptions!$E$25))),12)=0))),IF(Nonlabor!$I$13="Fixed",1,IF(Nonlabor!$I$13="Seats",ROUNDUP('Monthly Growth'!I30,0),IF(Nonlabor!$I$13="Customers",'Monthly Growth'!D30,IF(Nonlabor!$I$13="NewCustomers",'Monthly Growth'!C30,IF(Nonlabor!$I$13="StorageGB",'Monthly Growth'!G30,IF(Nonlabor!$I$13="LogGB",'Monthly Growth'!H30,IF(Nonlabor!$I$13="RequestsM",'Monthly Growth'!F30,IF(Nonlabor!$I$13="InputM",'Monthly Growth'!D30*Assumptions!$E$22/1000000,IF(Nonlabor!$I$13="OutputM",'Monthly Growth'!D30*Assumptions!$E$23/1000000,0))))))))),0)</f>
        <v>15</v>
      </c>
      <c r="F3090" s="10" t="n">
        <f aca="false">Nonlabor!$J$13*(1+Assumptions!$E$9)^INT((C3090-1)/12)</f>
        <v>4.3264</v>
      </c>
      <c r="G3090" s="10" t="n">
        <f aca="false">E3090*F3090</f>
        <v>64.896</v>
      </c>
      <c r="H3090" s="10" t="n">
        <f aca="false">IF(OR(Nonlabor!$L$13="Quote required",Nonlabor!$L$13="Unverified"),G3090,0)</f>
        <v>0</v>
      </c>
      <c r="I3090" s="10" t="n">
        <f aca="false">IF(Nonlabor!$E$13="Core",0,G3090)</f>
        <v>0</v>
      </c>
      <c r="J3090" s="23" t="str">
        <f aca="false">Nonlabor!$B$13</f>
        <v>TOOLS</v>
      </c>
    </row>
    <row r="3091" customFormat="false" ht="15" hidden="false" customHeight="false" outlineLevel="0" collapsed="false">
      <c r="A3091" s="6" t="s">
        <v>73</v>
      </c>
      <c r="B3091" s="6" t="s">
        <v>395</v>
      </c>
      <c r="C3091" s="6" t="n">
        <v>26</v>
      </c>
      <c r="D3091" s="25" t="n">
        <f aca="false">EDATE('Start Here'!$B$6,C3091-1)</f>
        <v>47088</v>
      </c>
      <c r="E3091" s="23" t="n">
        <f aca="false">IF(AND(OR(Nonlabor!$D$13="Both",Nonlabor!$D$13='Start Here'!$B$9),IF(Nonlabor!$E$13="Core",1,IF(Nonlabor!$E$13="AI",'Start Here'!$B$7,'Start Here'!$B$8))=1,C3091&gt;=IF(Nonlabor!$E$13="Core",Nonlabor!$F$13,MAX(Nonlabor!$F$13,IF(Nonlabor!$E$13="AI",Assumptions!$E$24,Assumptions!$E$25))),C3091&lt;=Nonlabor!$G$13,OR(Nonlabor!$H$13="Monthly",AND(Nonlabor!$H$13="Once",C3091=IF(Nonlabor!$E$13="Core",Nonlabor!$F$13,MAX(Nonlabor!$F$13,IF(Nonlabor!$E$13="AI",Assumptions!$E$24,Assumptions!$E$25)))),AND(Nonlabor!$H$13="Annual",MOD(C3091-IF(Nonlabor!$E$13="Core",Nonlabor!$F$13,MAX(Nonlabor!$F$13,IF(Nonlabor!$E$13="AI",Assumptions!$E$24,Assumptions!$E$25))),12)=0))),IF(Nonlabor!$I$13="Fixed",1,IF(Nonlabor!$I$13="Seats",ROUNDUP('Monthly Growth'!I31,0),IF(Nonlabor!$I$13="Customers",'Monthly Growth'!D31,IF(Nonlabor!$I$13="NewCustomers",'Monthly Growth'!C31,IF(Nonlabor!$I$13="StorageGB",'Monthly Growth'!G31,IF(Nonlabor!$I$13="LogGB",'Monthly Growth'!H31,IF(Nonlabor!$I$13="RequestsM",'Monthly Growth'!F31,IF(Nonlabor!$I$13="InputM",'Monthly Growth'!D31*Assumptions!$E$22/1000000,IF(Nonlabor!$I$13="OutputM",'Monthly Growth'!D31*Assumptions!$E$23/1000000,0))))))))),0)</f>
        <v>15</v>
      </c>
      <c r="F3091" s="10" t="n">
        <f aca="false">Nonlabor!$J$13*(1+Assumptions!$E$9)^INT((C3091-1)/12)</f>
        <v>4.3264</v>
      </c>
      <c r="G3091" s="10" t="n">
        <f aca="false">E3091*F3091</f>
        <v>64.896</v>
      </c>
      <c r="H3091" s="10" t="n">
        <f aca="false">IF(OR(Nonlabor!$L$13="Quote required",Nonlabor!$L$13="Unverified"),G3091,0)</f>
        <v>0</v>
      </c>
      <c r="I3091" s="10" t="n">
        <f aca="false">IF(Nonlabor!$E$13="Core",0,G3091)</f>
        <v>0</v>
      </c>
      <c r="J3091" s="23" t="str">
        <f aca="false">Nonlabor!$B$13</f>
        <v>TOOLS</v>
      </c>
    </row>
    <row r="3092" customFormat="false" ht="15" hidden="false" customHeight="false" outlineLevel="0" collapsed="false">
      <c r="A3092" s="6" t="s">
        <v>73</v>
      </c>
      <c r="B3092" s="6" t="s">
        <v>395</v>
      </c>
      <c r="C3092" s="6" t="n">
        <v>27</v>
      </c>
      <c r="D3092" s="25" t="n">
        <f aca="false">EDATE('Start Here'!$B$6,C3092-1)</f>
        <v>47119</v>
      </c>
      <c r="E3092" s="23" t="n">
        <f aca="false">IF(AND(OR(Nonlabor!$D$13="Both",Nonlabor!$D$13='Start Here'!$B$9),IF(Nonlabor!$E$13="Core",1,IF(Nonlabor!$E$13="AI",'Start Here'!$B$7,'Start Here'!$B$8))=1,C3092&gt;=IF(Nonlabor!$E$13="Core",Nonlabor!$F$13,MAX(Nonlabor!$F$13,IF(Nonlabor!$E$13="AI",Assumptions!$E$24,Assumptions!$E$25))),C3092&lt;=Nonlabor!$G$13,OR(Nonlabor!$H$13="Monthly",AND(Nonlabor!$H$13="Once",C3092=IF(Nonlabor!$E$13="Core",Nonlabor!$F$13,MAX(Nonlabor!$F$13,IF(Nonlabor!$E$13="AI",Assumptions!$E$24,Assumptions!$E$25)))),AND(Nonlabor!$H$13="Annual",MOD(C3092-IF(Nonlabor!$E$13="Core",Nonlabor!$F$13,MAX(Nonlabor!$F$13,IF(Nonlabor!$E$13="AI",Assumptions!$E$24,Assumptions!$E$25))),12)=0))),IF(Nonlabor!$I$13="Fixed",1,IF(Nonlabor!$I$13="Seats",ROUNDUP('Monthly Growth'!I32,0),IF(Nonlabor!$I$13="Customers",'Monthly Growth'!D32,IF(Nonlabor!$I$13="NewCustomers",'Monthly Growth'!C32,IF(Nonlabor!$I$13="StorageGB",'Monthly Growth'!G32,IF(Nonlabor!$I$13="LogGB",'Monthly Growth'!H32,IF(Nonlabor!$I$13="RequestsM",'Monthly Growth'!F32,IF(Nonlabor!$I$13="InputM",'Monthly Growth'!D32*Assumptions!$E$22/1000000,IF(Nonlabor!$I$13="OutputM",'Monthly Growth'!D32*Assumptions!$E$23/1000000,0))))))))),0)</f>
        <v>15</v>
      </c>
      <c r="F3092" s="10" t="n">
        <f aca="false">Nonlabor!$J$13*(1+Assumptions!$E$9)^INT((C3092-1)/12)</f>
        <v>4.3264</v>
      </c>
      <c r="G3092" s="10" t="n">
        <f aca="false">E3092*F3092</f>
        <v>64.896</v>
      </c>
      <c r="H3092" s="10" t="n">
        <f aca="false">IF(OR(Nonlabor!$L$13="Quote required",Nonlabor!$L$13="Unverified"),G3092,0)</f>
        <v>0</v>
      </c>
      <c r="I3092" s="10" t="n">
        <f aca="false">IF(Nonlabor!$E$13="Core",0,G3092)</f>
        <v>0</v>
      </c>
      <c r="J3092" s="23" t="str">
        <f aca="false">Nonlabor!$B$13</f>
        <v>TOOLS</v>
      </c>
    </row>
    <row r="3093" customFormat="false" ht="15" hidden="false" customHeight="false" outlineLevel="0" collapsed="false">
      <c r="A3093" s="6" t="s">
        <v>73</v>
      </c>
      <c r="B3093" s="6" t="s">
        <v>395</v>
      </c>
      <c r="C3093" s="6" t="n">
        <v>28</v>
      </c>
      <c r="D3093" s="25" t="n">
        <f aca="false">EDATE('Start Here'!$B$6,C3093-1)</f>
        <v>47150</v>
      </c>
      <c r="E3093" s="23" t="n">
        <f aca="false">IF(AND(OR(Nonlabor!$D$13="Both",Nonlabor!$D$13='Start Here'!$B$9),IF(Nonlabor!$E$13="Core",1,IF(Nonlabor!$E$13="AI",'Start Here'!$B$7,'Start Here'!$B$8))=1,C3093&gt;=IF(Nonlabor!$E$13="Core",Nonlabor!$F$13,MAX(Nonlabor!$F$13,IF(Nonlabor!$E$13="AI",Assumptions!$E$24,Assumptions!$E$25))),C3093&lt;=Nonlabor!$G$13,OR(Nonlabor!$H$13="Monthly",AND(Nonlabor!$H$13="Once",C3093=IF(Nonlabor!$E$13="Core",Nonlabor!$F$13,MAX(Nonlabor!$F$13,IF(Nonlabor!$E$13="AI",Assumptions!$E$24,Assumptions!$E$25)))),AND(Nonlabor!$H$13="Annual",MOD(C3093-IF(Nonlabor!$E$13="Core",Nonlabor!$F$13,MAX(Nonlabor!$F$13,IF(Nonlabor!$E$13="AI",Assumptions!$E$24,Assumptions!$E$25))),12)=0))),IF(Nonlabor!$I$13="Fixed",1,IF(Nonlabor!$I$13="Seats",ROUNDUP('Monthly Growth'!I33,0),IF(Nonlabor!$I$13="Customers",'Monthly Growth'!D33,IF(Nonlabor!$I$13="NewCustomers",'Monthly Growth'!C33,IF(Nonlabor!$I$13="StorageGB",'Monthly Growth'!G33,IF(Nonlabor!$I$13="LogGB",'Monthly Growth'!H33,IF(Nonlabor!$I$13="RequestsM",'Monthly Growth'!F33,IF(Nonlabor!$I$13="InputM",'Monthly Growth'!D33*Assumptions!$E$22/1000000,IF(Nonlabor!$I$13="OutputM",'Monthly Growth'!D33*Assumptions!$E$23/1000000,0))))))))),0)</f>
        <v>15</v>
      </c>
      <c r="F3093" s="10" t="n">
        <f aca="false">Nonlabor!$J$13*(1+Assumptions!$E$9)^INT((C3093-1)/12)</f>
        <v>4.3264</v>
      </c>
      <c r="G3093" s="10" t="n">
        <f aca="false">E3093*F3093</f>
        <v>64.896</v>
      </c>
      <c r="H3093" s="10" t="n">
        <f aca="false">IF(OR(Nonlabor!$L$13="Quote required",Nonlabor!$L$13="Unverified"),G3093,0)</f>
        <v>0</v>
      </c>
      <c r="I3093" s="10" t="n">
        <f aca="false">IF(Nonlabor!$E$13="Core",0,G3093)</f>
        <v>0</v>
      </c>
      <c r="J3093" s="23" t="str">
        <f aca="false">Nonlabor!$B$13</f>
        <v>TOOLS</v>
      </c>
    </row>
    <row r="3094" customFormat="false" ht="15" hidden="false" customHeight="false" outlineLevel="0" collapsed="false">
      <c r="A3094" s="6" t="s">
        <v>73</v>
      </c>
      <c r="B3094" s="6" t="s">
        <v>395</v>
      </c>
      <c r="C3094" s="6" t="n">
        <v>29</v>
      </c>
      <c r="D3094" s="25" t="n">
        <f aca="false">EDATE('Start Here'!$B$6,C3094-1)</f>
        <v>47178</v>
      </c>
      <c r="E3094" s="23" t="n">
        <f aca="false">IF(AND(OR(Nonlabor!$D$13="Both",Nonlabor!$D$13='Start Here'!$B$9),IF(Nonlabor!$E$13="Core",1,IF(Nonlabor!$E$13="AI",'Start Here'!$B$7,'Start Here'!$B$8))=1,C3094&gt;=IF(Nonlabor!$E$13="Core",Nonlabor!$F$13,MAX(Nonlabor!$F$13,IF(Nonlabor!$E$13="AI",Assumptions!$E$24,Assumptions!$E$25))),C3094&lt;=Nonlabor!$G$13,OR(Nonlabor!$H$13="Monthly",AND(Nonlabor!$H$13="Once",C3094=IF(Nonlabor!$E$13="Core",Nonlabor!$F$13,MAX(Nonlabor!$F$13,IF(Nonlabor!$E$13="AI",Assumptions!$E$24,Assumptions!$E$25)))),AND(Nonlabor!$H$13="Annual",MOD(C3094-IF(Nonlabor!$E$13="Core",Nonlabor!$F$13,MAX(Nonlabor!$F$13,IF(Nonlabor!$E$13="AI",Assumptions!$E$24,Assumptions!$E$25))),12)=0))),IF(Nonlabor!$I$13="Fixed",1,IF(Nonlabor!$I$13="Seats",ROUNDUP('Monthly Growth'!I34,0),IF(Nonlabor!$I$13="Customers",'Monthly Growth'!D34,IF(Nonlabor!$I$13="NewCustomers",'Monthly Growth'!C34,IF(Nonlabor!$I$13="StorageGB",'Monthly Growth'!G34,IF(Nonlabor!$I$13="LogGB",'Monthly Growth'!H34,IF(Nonlabor!$I$13="RequestsM",'Monthly Growth'!F34,IF(Nonlabor!$I$13="InputM",'Monthly Growth'!D34*Assumptions!$E$22/1000000,IF(Nonlabor!$I$13="OutputM",'Monthly Growth'!D34*Assumptions!$E$23/1000000,0))))))))),0)</f>
        <v>15</v>
      </c>
      <c r="F3094" s="10" t="n">
        <f aca="false">Nonlabor!$J$13*(1+Assumptions!$E$9)^INT((C3094-1)/12)</f>
        <v>4.3264</v>
      </c>
      <c r="G3094" s="10" t="n">
        <f aca="false">E3094*F3094</f>
        <v>64.896</v>
      </c>
      <c r="H3094" s="10" t="n">
        <f aca="false">IF(OR(Nonlabor!$L$13="Quote required",Nonlabor!$L$13="Unverified"),G3094,0)</f>
        <v>0</v>
      </c>
      <c r="I3094" s="10" t="n">
        <f aca="false">IF(Nonlabor!$E$13="Core",0,G3094)</f>
        <v>0</v>
      </c>
      <c r="J3094" s="23" t="str">
        <f aca="false">Nonlabor!$B$13</f>
        <v>TOOLS</v>
      </c>
    </row>
    <row r="3095" customFormat="false" ht="15" hidden="false" customHeight="false" outlineLevel="0" collapsed="false">
      <c r="A3095" s="6" t="s">
        <v>73</v>
      </c>
      <c r="B3095" s="6" t="s">
        <v>395</v>
      </c>
      <c r="C3095" s="6" t="n">
        <v>30</v>
      </c>
      <c r="D3095" s="25" t="n">
        <f aca="false">EDATE('Start Here'!$B$6,C3095-1)</f>
        <v>47209</v>
      </c>
      <c r="E3095" s="23" t="n">
        <f aca="false">IF(AND(OR(Nonlabor!$D$13="Both",Nonlabor!$D$13='Start Here'!$B$9),IF(Nonlabor!$E$13="Core",1,IF(Nonlabor!$E$13="AI",'Start Here'!$B$7,'Start Here'!$B$8))=1,C3095&gt;=IF(Nonlabor!$E$13="Core",Nonlabor!$F$13,MAX(Nonlabor!$F$13,IF(Nonlabor!$E$13="AI",Assumptions!$E$24,Assumptions!$E$25))),C3095&lt;=Nonlabor!$G$13,OR(Nonlabor!$H$13="Monthly",AND(Nonlabor!$H$13="Once",C3095=IF(Nonlabor!$E$13="Core",Nonlabor!$F$13,MAX(Nonlabor!$F$13,IF(Nonlabor!$E$13="AI",Assumptions!$E$24,Assumptions!$E$25)))),AND(Nonlabor!$H$13="Annual",MOD(C3095-IF(Nonlabor!$E$13="Core",Nonlabor!$F$13,MAX(Nonlabor!$F$13,IF(Nonlabor!$E$13="AI",Assumptions!$E$24,Assumptions!$E$25))),12)=0))),IF(Nonlabor!$I$13="Fixed",1,IF(Nonlabor!$I$13="Seats",ROUNDUP('Monthly Growth'!I35,0),IF(Nonlabor!$I$13="Customers",'Monthly Growth'!D35,IF(Nonlabor!$I$13="NewCustomers",'Monthly Growth'!C35,IF(Nonlabor!$I$13="StorageGB",'Monthly Growth'!G35,IF(Nonlabor!$I$13="LogGB",'Monthly Growth'!H35,IF(Nonlabor!$I$13="RequestsM",'Monthly Growth'!F35,IF(Nonlabor!$I$13="InputM",'Monthly Growth'!D35*Assumptions!$E$22/1000000,IF(Nonlabor!$I$13="OutputM",'Monthly Growth'!D35*Assumptions!$E$23/1000000,0))))))))),0)</f>
        <v>15</v>
      </c>
      <c r="F3095" s="10" t="n">
        <f aca="false">Nonlabor!$J$13*(1+Assumptions!$E$9)^INT((C3095-1)/12)</f>
        <v>4.3264</v>
      </c>
      <c r="G3095" s="10" t="n">
        <f aca="false">E3095*F3095</f>
        <v>64.896</v>
      </c>
      <c r="H3095" s="10" t="n">
        <f aca="false">IF(OR(Nonlabor!$L$13="Quote required",Nonlabor!$L$13="Unverified"),G3095,0)</f>
        <v>0</v>
      </c>
      <c r="I3095" s="10" t="n">
        <f aca="false">IF(Nonlabor!$E$13="Core",0,G3095)</f>
        <v>0</v>
      </c>
      <c r="J3095" s="23" t="str">
        <f aca="false">Nonlabor!$B$13</f>
        <v>TOOLS</v>
      </c>
    </row>
    <row r="3096" customFormat="false" ht="15" hidden="false" customHeight="false" outlineLevel="0" collapsed="false">
      <c r="A3096" s="6" t="s">
        <v>73</v>
      </c>
      <c r="B3096" s="6" t="s">
        <v>395</v>
      </c>
      <c r="C3096" s="6" t="n">
        <v>31</v>
      </c>
      <c r="D3096" s="25" t="n">
        <f aca="false">EDATE('Start Here'!$B$6,C3096-1)</f>
        <v>47239</v>
      </c>
      <c r="E3096" s="23" t="n">
        <f aca="false">IF(AND(OR(Nonlabor!$D$13="Both",Nonlabor!$D$13='Start Here'!$B$9),IF(Nonlabor!$E$13="Core",1,IF(Nonlabor!$E$13="AI",'Start Here'!$B$7,'Start Here'!$B$8))=1,C3096&gt;=IF(Nonlabor!$E$13="Core",Nonlabor!$F$13,MAX(Nonlabor!$F$13,IF(Nonlabor!$E$13="AI",Assumptions!$E$24,Assumptions!$E$25))),C3096&lt;=Nonlabor!$G$13,OR(Nonlabor!$H$13="Monthly",AND(Nonlabor!$H$13="Once",C3096=IF(Nonlabor!$E$13="Core",Nonlabor!$F$13,MAX(Nonlabor!$F$13,IF(Nonlabor!$E$13="AI",Assumptions!$E$24,Assumptions!$E$25)))),AND(Nonlabor!$H$13="Annual",MOD(C3096-IF(Nonlabor!$E$13="Core",Nonlabor!$F$13,MAX(Nonlabor!$F$13,IF(Nonlabor!$E$13="AI",Assumptions!$E$24,Assumptions!$E$25))),12)=0))),IF(Nonlabor!$I$13="Fixed",1,IF(Nonlabor!$I$13="Seats",ROUNDUP('Monthly Growth'!I36,0),IF(Nonlabor!$I$13="Customers",'Monthly Growth'!D36,IF(Nonlabor!$I$13="NewCustomers",'Monthly Growth'!C36,IF(Nonlabor!$I$13="StorageGB",'Monthly Growth'!G36,IF(Nonlabor!$I$13="LogGB",'Monthly Growth'!H36,IF(Nonlabor!$I$13="RequestsM",'Monthly Growth'!F36,IF(Nonlabor!$I$13="InputM",'Monthly Growth'!D36*Assumptions!$E$22/1000000,IF(Nonlabor!$I$13="OutputM",'Monthly Growth'!D36*Assumptions!$E$23/1000000,0))))))))),0)</f>
        <v>23</v>
      </c>
      <c r="F3096" s="10" t="n">
        <f aca="false">Nonlabor!$J$13*(1+Assumptions!$E$9)^INT((C3096-1)/12)</f>
        <v>4.3264</v>
      </c>
      <c r="G3096" s="10" t="n">
        <f aca="false">E3096*F3096</f>
        <v>99.5072</v>
      </c>
      <c r="H3096" s="10" t="n">
        <f aca="false">IF(OR(Nonlabor!$L$13="Quote required",Nonlabor!$L$13="Unverified"),G3096,0)</f>
        <v>0</v>
      </c>
      <c r="I3096" s="10" t="n">
        <f aca="false">IF(Nonlabor!$E$13="Core",0,G3096)</f>
        <v>0</v>
      </c>
      <c r="J3096" s="23" t="str">
        <f aca="false">Nonlabor!$B$13</f>
        <v>TOOLS</v>
      </c>
    </row>
    <row r="3097" customFormat="false" ht="15" hidden="false" customHeight="false" outlineLevel="0" collapsed="false">
      <c r="A3097" s="6" t="s">
        <v>73</v>
      </c>
      <c r="B3097" s="6" t="s">
        <v>395</v>
      </c>
      <c r="C3097" s="6" t="n">
        <v>32</v>
      </c>
      <c r="D3097" s="25" t="n">
        <f aca="false">EDATE('Start Here'!$B$6,C3097-1)</f>
        <v>47270</v>
      </c>
      <c r="E3097" s="23" t="n">
        <f aca="false">IF(AND(OR(Nonlabor!$D$13="Both",Nonlabor!$D$13='Start Here'!$B$9),IF(Nonlabor!$E$13="Core",1,IF(Nonlabor!$E$13="AI",'Start Here'!$B$7,'Start Here'!$B$8))=1,C3097&gt;=IF(Nonlabor!$E$13="Core",Nonlabor!$F$13,MAX(Nonlabor!$F$13,IF(Nonlabor!$E$13="AI",Assumptions!$E$24,Assumptions!$E$25))),C3097&lt;=Nonlabor!$G$13,OR(Nonlabor!$H$13="Monthly",AND(Nonlabor!$H$13="Once",C3097=IF(Nonlabor!$E$13="Core",Nonlabor!$F$13,MAX(Nonlabor!$F$13,IF(Nonlabor!$E$13="AI",Assumptions!$E$24,Assumptions!$E$25)))),AND(Nonlabor!$H$13="Annual",MOD(C3097-IF(Nonlabor!$E$13="Core",Nonlabor!$F$13,MAX(Nonlabor!$F$13,IF(Nonlabor!$E$13="AI",Assumptions!$E$24,Assumptions!$E$25))),12)=0))),IF(Nonlabor!$I$13="Fixed",1,IF(Nonlabor!$I$13="Seats",ROUNDUP('Monthly Growth'!I37,0),IF(Nonlabor!$I$13="Customers",'Monthly Growth'!D37,IF(Nonlabor!$I$13="NewCustomers",'Monthly Growth'!C37,IF(Nonlabor!$I$13="StorageGB",'Monthly Growth'!G37,IF(Nonlabor!$I$13="LogGB",'Monthly Growth'!H37,IF(Nonlabor!$I$13="RequestsM",'Monthly Growth'!F37,IF(Nonlabor!$I$13="InputM",'Monthly Growth'!D37*Assumptions!$E$22/1000000,IF(Nonlabor!$I$13="OutputM",'Monthly Growth'!D37*Assumptions!$E$23/1000000,0))))))))),0)</f>
        <v>23</v>
      </c>
      <c r="F3097" s="10" t="n">
        <f aca="false">Nonlabor!$J$13*(1+Assumptions!$E$9)^INT((C3097-1)/12)</f>
        <v>4.3264</v>
      </c>
      <c r="G3097" s="10" t="n">
        <f aca="false">E3097*F3097</f>
        <v>99.5072</v>
      </c>
      <c r="H3097" s="10" t="n">
        <f aca="false">IF(OR(Nonlabor!$L$13="Quote required",Nonlabor!$L$13="Unverified"),G3097,0)</f>
        <v>0</v>
      </c>
      <c r="I3097" s="10" t="n">
        <f aca="false">IF(Nonlabor!$E$13="Core",0,G3097)</f>
        <v>0</v>
      </c>
      <c r="J3097" s="23" t="str">
        <f aca="false">Nonlabor!$B$13</f>
        <v>TOOLS</v>
      </c>
    </row>
    <row r="3098" customFormat="false" ht="15" hidden="false" customHeight="false" outlineLevel="0" collapsed="false">
      <c r="A3098" s="6" t="s">
        <v>73</v>
      </c>
      <c r="B3098" s="6" t="s">
        <v>395</v>
      </c>
      <c r="C3098" s="6" t="n">
        <v>33</v>
      </c>
      <c r="D3098" s="25" t="n">
        <f aca="false">EDATE('Start Here'!$B$6,C3098-1)</f>
        <v>47300</v>
      </c>
      <c r="E3098" s="23" t="n">
        <f aca="false">IF(AND(OR(Nonlabor!$D$13="Both",Nonlabor!$D$13='Start Here'!$B$9),IF(Nonlabor!$E$13="Core",1,IF(Nonlabor!$E$13="AI",'Start Here'!$B$7,'Start Here'!$B$8))=1,C3098&gt;=IF(Nonlabor!$E$13="Core",Nonlabor!$F$13,MAX(Nonlabor!$F$13,IF(Nonlabor!$E$13="AI",Assumptions!$E$24,Assumptions!$E$25))),C3098&lt;=Nonlabor!$G$13,OR(Nonlabor!$H$13="Monthly",AND(Nonlabor!$H$13="Once",C3098=IF(Nonlabor!$E$13="Core",Nonlabor!$F$13,MAX(Nonlabor!$F$13,IF(Nonlabor!$E$13="AI",Assumptions!$E$24,Assumptions!$E$25)))),AND(Nonlabor!$H$13="Annual",MOD(C3098-IF(Nonlabor!$E$13="Core",Nonlabor!$F$13,MAX(Nonlabor!$F$13,IF(Nonlabor!$E$13="AI",Assumptions!$E$24,Assumptions!$E$25))),12)=0))),IF(Nonlabor!$I$13="Fixed",1,IF(Nonlabor!$I$13="Seats",ROUNDUP('Monthly Growth'!I38,0),IF(Nonlabor!$I$13="Customers",'Monthly Growth'!D38,IF(Nonlabor!$I$13="NewCustomers",'Monthly Growth'!C38,IF(Nonlabor!$I$13="StorageGB",'Monthly Growth'!G38,IF(Nonlabor!$I$13="LogGB",'Monthly Growth'!H38,IF(Nonlabor!$I$13="RequestsM",'Monthly Growth'!F38,IF(Nonlabor!$I$13="InputM",'Monthly Growth'!D38*Assumptions!$E$22/1000000,IF(Nonlabor!$I$13="OutputM",'Monthly Growth'!D38*Assumptions!$E$23/1000000,0))))))))),0)</f>
        <v>23</v>
      </c>
      <c r="F3098" s="10" t="n">
        <f aca="false">Nonlabor!$J$13*(1+Assumptions!$E$9)^INT((C3098-1)/12)</f>
        <v>4.3264</v>
      </c>
      <c r="G3098" s="10" t="n">
        <f aca="false">E3098*F3098</f>
        <v>99.5072</v>
      </c>
      <c r="H3098" s="10" t="n">
        <f aca="false">IF(OR(Nonlabor!$L$13="Quote required",Nonlabor!$L$13="Unverified"),G3098,0)</f>
        <v>0</v>
      </c>
      <c r="I3098" s="10" t="n">
        <f aca="false">IF(Nonlabor!$E$13="Core",0,G3098)</f>
        <v>0</v>
      </c>
      <c r="J3098" s="23" t="str">
        <f aca="false">Nonlabor!$B$13</f>
        <v>TOOLS</v>
      </c>
    </row>
    <row r="3099" customFormat="false" ht="15" hidden="false" customHeight="false" outlineLevel="0" collapsed="false">
      <c r="A3099" s="6" t="s">
        <v>73</v>
      </c>
      <c r="B3099" s="6" t="s">
        <v>395</v>
      </c>
      <c r="C3099" s="6" t="n">
        <v>34</v>
      </c>
      <c r="D3099" s="25" t="n">
        <f aca="false">EDATE('Start Here'!$B$6,C3099-1)</f>
        <v>47331</v>
      </c>
      <c r="E3099" s="23" t="n">
        <f aca="false">IF(AND(OR(Nonlabor!$D$13="Both",Nonlabor!$D$13='Start Here'!$B$9),IF(Nonlabor!$E$13="Core",1,IF(Nonlabor!$E$13="AI",'Start Here'!$B$7,'Start Here'!$B$8))=1,C3099&gt;=IF(Nonlabor!$E$13="Core",Nonlabor!$F$13,MAX(Nonlabor!$F$13,IF(Nonlabor!$E$13="AI",Assumptions!$E$24,Assumptions!$E$25))),C3099&lt;=Nonlabor!$G$13,OR(Nonlabor!$H$13="Monthly",AND(Nonlabor!$H$13="Once",C3099=IF(Nonlabor!$E$13="Core",Nonlabor!$F$13,MAX(Nonlabor!$F$13,IF(Nonlabor!$E$13="AI",Assumptions!$E$24,Assumptions!$E$25)))),AND(Nonlabor!$H$13="Annual",MOD(C3099-IF(Nonlabor!$E$13="Core",Nonlabor!$F$13,MAX(Nonlabor!$F$13,IF(Nonlabor!$E$13="AI",Assumptions!$E$24,Assumptions!$E$25))),12)=0))),IF(Nonlabor!$I$13="Fixed",1,IF(Nonlabor!$I$13="Seats",ROUNDUP('Monthly Growth'!I39,0),IF(Nonlabor!$I$13="Customers",'Monthly Growth'!D39,IF(Nonlabor!$I$13="NewCustomers",'Monthly Growth'!C39,IF(Nonlabor!$I$13="StorageGB",'Monthly Growth'!G39,IF(Nonlabor!$I$13="LogGB",'Monthly Growth'!H39,IF(Nonlabor!$I$13="RequestsM",'Monthly Growth'!F39,IF(Nonlabor!$I$13="InputM",'Monthly Growth'!D39*Assumptions!$E$22/1000000,IF(Nonlabor!$I$13="OutputM",'Monthly Growth'!D39*Assumptions!$E$23/1000000,0))))))))),0)</f>
        <v>23</v>
      </c>
      <c r="F3099" s="10" t="n">
        <f aca="false">Nonlabor!$J$13*(1+Assumptions!$E$9)^INT((C3099-1)/12)</f>
        <v>4.3264</v>
      </c>
      <c r="G3099" s="10" t="n">
        <f aca="false">E3099*F3099</f>
        <v>99.5072</v>
      </c>
      <c r="H3099" s="10" t="n">
        <f aca="false">IF(OR(Nonlabor!$L$13="Quote required",Nonlabor!$L$13="Unverified"),G3099,0)</f>
        <v>0</v>
      </c>
      <c r="I3099" s="10" t="n">
        <f aca="false">IF(Nonlabor!$E$13="Core",0,G3099)</f>
        <v>0</v>
      </c>
      <c r="J3099" s="23" t="str">
        <f aca="false">Nonlabor!$B$13</f>
        <v>TOOLS</v>
      </c>
    </row>
    <row r="3100" customFormat="false" ht="15" hidden="false" customHeight="false" outlineLevel="0" collapsed="false">
      <c r="A3100" s="6" t="s">
        <v>73</v>
      </c>
      <c r="B3100" s="6" t="s">
        <v>395</v>
      </c>
      <c r="C3100" s="6" t="n">
        <v>35</v>
      </c>
      <c r="D3100" s="25" t="n">
        <f aca="false">EDATE('Start Here'!$B$6,C3100-1)</f>
        <v>47362</v>
      </c>
      <c r="E3100" s="23" t="n">
        <f aca="false">IF(AND(OR(Nonlabor!$D$13="Both",Nonlabor!$D$13='Start Here'!$B$9),IF(Nonlabor!$E$13="Core",1,IF(Nonlabor!$E$13="AI",'Start Here'!$B$7,'Start Here'!$B$8))=1,C3100&gt;=IF(Nonlabor!$E$13="Core",Nonlabor!$F$13,MAX(Nonlabor!$F$13,IF(Nonlabor!$E$13="AI",Assumptions!$E$24,Assumptions!$E$25))),C3100&lt;=Nonlabor!$G$13,OR(Nonlabor!$H$13="Monthly",AND(Nonlabor!$H$13="Once",C3100=IF(Nonlabor!$E$13="Core",Nonlabor!$F$13,MAX(Nonlabor!$F$13,IF(Nonlabor!$E$13="AI",Assumptions!$E$24,Assumptions!$E$25)))),AND(Nonlabor!$H$13="Annual",MOD(C3100-IF(Nonlabor!$E$13="Core",Nonlabor!$F$13,MAX(Nonlabor!$F$13,IF(Nonlabor!$E$13="AI",Assumptions!$E$24,Assumptions!$E$25))),12)=0))),IF(Nonlabor!$I$13="Fixed",1,IF(Nonlabor!$I$13="Seats",ROUNDUP('Monthly Growth'!I40,0),IF(Nonlabor!$I$13="Customers",'Monthly Growth'!D40,IF(Nonlabor!$I$13="NewCustomers",'Monthly Growth'!C40,IF(Nonlabor!$I$13="StorageGB",'Monthly Growth'!G40,IF(Nonlabor!$I$13="LogGB",'Monthly Growth'!H40,IF(Nonlabor!$I$13="RequestsM",'Monthly Growth'!F40,IF(Nonlabor!$I$13="InputM",'Monthly Growth'!D40*Assumptions!$E$22/1000000,IF(Nonlabor!$I$13="OutputM",'Monthly Growth'!D40*Assumptions!$E$23/1000000,0))))))))),0)</f>
        <v>23</v>
      </c>
      <c r="F3100" s="10" t="n">
        <f aca="false">Nonlabor!$J$13*(1+Assumptions!$E$9)^INT((C3100-1)/12)</f>
        <v>4.3264</v>
      </c>
      <c r="G3100" s="10" t="n">
        <f aca="false">E3100*F3100</f>
        <v>99.5072</v>
      </c>
      <c r="H3100" s="10" t="n">
        <f aca="false">IF(OR(Nonlabor!$L$13="Quote required",Nonlabor!$L$13="Unverified"),G3100,0)</f>
        <v>0</v>
      </c>
      <c r="I3100" s="10" t="n">
        <f aca="false">IF(Nonlabor!$E$13="Core",0,G3100)</f>
        <v>0</v>
      </c>
      <c r="J3100" s="23" t="str">
        <f aca="false">Nonlabor!$B$13</f>
        <v>TOOLS</v>
      </c>
    </row>
    <row r="3101" customFormat="false" ht="15" hidden="false" customHeight="false" outlineLevel="0" collapsed="false">
      <c r="A3101" s="6" t="s">
        <v>73</v>
      </c>
      <c r="B3101" s="6" t="s">
        <v>395</v>
      </c>
      <c r="C3101" s="6" t="n">
        <v>36</v>
      </c>
      <c r="D3101" s="25" t="n">
        <f aca="false">EDATE('Start Here'!$B$6,C3101-1)</f>
        <v>47392</v>
      </c>
      <c r="E3101" s="23" t="n">
        <f aca="false">IF(AND(OR(Nonlabor!$D$13="Both",Nonlabor!$D$13='Start Here'!$B$9),IF(Nonlabor!$E$13="Core",1,IF(Nonlabor!$E$13="AI",'Start Here'!$B$7,'Start Here'!$B$8))=1,C3101&gt;=IF(Nonlabor!$E$13="Core",Nonlabor!$F$13,MAX(Nonlabor!$F$13,IF(Nonlabor!$E$13="AI",Assumptions!$E$24,Assumptions!$E$25))),C3101&lt;=Nonlabor!$G$13,OR(Nonlabor!$H$13="Monthly",AND(Nonlabor!$H$13="Once",C3101=IF(Nonlabor!$E$13="Core",Nonlabor!$F$13,MAX(Nonlabor!$F$13,IF(Nonlabor!$E$13="AI",Assumptions!$E$24,Assumptions!$E$25)))),AND(Nonlabor!$H$13="Annual",MOD(C3101-IF(Nonlabor!$E$13="Core",Nonlabor!$F$13,MAX(Nonlabor!$F$13,IF(Nonlabor!$E$13="AI",Assumptions!$E$24,Assumptions!$E$25))),12)=0))),IF(Nonlabor!$I$13="Fixed",1,IF(Nonlabor!$I$13="Seats",ROUNDUP('Monthly Growth'!I41,0),IF(Nonlabor!$I$13="Customers",'Monthly Growth'!D41,IF(Nonlabor!$I$13="NewCustomers",'Monthly Growth'!C41,IF(Nonlabor!$I$13="StorageGB",'Monthly Growth'!G41,IF(Nonlabor!$I$13="LogGB",'Monthly Growth'!H41,IF(Nonlabor!$I$13="RequestsM",'Monthly Growth'!F41,IF(Nonlabor!$I$13="InputM",'Monthly Growth'!D41*Assumptions!$E$22/1000000,IF(Nonlabor!$I$13="OutputM",'Monthly Growth'!D41*Assumptions!$E$23/1000000,0))))))))),0)</f>
        <v>23</v>
      </c>
      <c r="F3101" s="10" t="n">
        <f aca="false">Nonlabor!$J$13*(1+Assumptions!$E$9)^INT((C3101-1)/12)</f>
        <v>4.3264</v>
      </c>
      <c r="G3101" s="10" t="n">
        <f aca="false">E3101*F3101</f>
        <v>99.5072</v>
      </c>
      <c r="H3101" s="10" t="n">
        <f aca="false">IF(OR(Nonlabor!$L$13="Quote required",Nonlabor!$L$13="Unverified"),G3101,0)</f>
        <v>0</v>
      </c>
      <c r="I3101" s="10" t="n">
        <f aca="false">IF(Nonlabor!$E$13="Core",0,G3101)</f>
        <v>0</v>
      </c>
      <c r="J3101" s="23" t="str">
        <f aca="false">Nonlabor!$B$13</f>
        <v>TOOLS</v>
      </c>
    </row>
    <row r="3102" customFormat="false" ht="15" hidden="false" customHeight="false" outlineLevel="0" collapsed="false">
      <c r="A3102" s="6" t="s">
        <v>73</v>
      </c>
      <c r="B3102" s="6" t="s">
        <v>395</v>
      </c>
      <c r="C3102" s="6" t="n">
        <v>37</v>
      </c>
      <c r="D3102" s="25" t="n">
        <f aca="false">EDATE('Start Here'!$B$6,C3102-1)</f>
        <v>47423</v>
      </c>
      <c r="E3102" s="23" t="n">
        <f aca="false">IF(AND(OR(Nonlabor!$D$13="Both",Nonlabor!$D$13='Start Here'!$B$9),IF(Nonlabor!$E$13="Core",1,IF(Nonlabor!$E$13="AI",'Start Here'!$B$7,'Start Here'!$B$8))=1,C3102&gt;=IF(Nonlabor!$E$13="Core",Nonlabor!$F$13,MAX(Nonlabor!$F$13,IF(Nonlabor!$E$13="AI",Assumptions!$E$24,Assumptions!$E$25))),C3102&lt;=Nonlabor!$G$13,OR(Nonlabor!$H$13="Monthly",AND(Nonlabor!$H$13="Once",C3102=IF(Nonlabor!$E$13="Core",Nonlabor!$F$13,MAX(Nonlabor!$F$13,IF(Nonlabor!$E$13="AI",Assumptions!$E$24,Assumptions!$E$25)))),AND(Nonlabor!$H$13="Annual",MOD(C3102-IF(Nonlabor!$E$13="Core",Nonlabor!$F$13,MAX(Nonlabor!$F$13,IF(Nonlabor!$E$13="AI",Assumptions!$E$24,Assumptions!$E$25))),12)=0))),IF(Nonlabor!$I$13="Fixed",1,IF(Nonlabor!$I$13="Seats",ROUNDUP('Monthly Growth'!I42,0),IF(Nonlabor!$I$13="Customers",'Monthly Growth'!D42,IF(Nonlabor!$I$13="NewCustomers",'Monthly Growth'!C42,IF(Nonlabor!$I$13="StorageGB",'Monthly Growth'!G42,IF(Nonlabor!$I$13="LogGB",'Monthly Growth'!H42,IF(Nonlabor!$I$13="RequestsM",'Monthly Growth'!F42,IF(Nonlabor!$I$13="InputM",'Monthly Growth'!D42*Assumptions!$E$22/1000000,IF(Nonlabor!$I$13="OutputM",'Monthly Growth'!D42*Assumptions!$E$23/1000000,0))))))))),0)</f>
        <v>23</v>
      </c>
      <c r="F3102" s="10" t="n">
        <f aca="false">Nonlabor!$J$13*(1+Assumptions!$E$9)^INT((C3102-1)/12)</f>
        <v>4.499456</v>
      </c>
      <c r="G3102" s="10" t="n">
        <f aca="false">E3102*F3102</f>
        <v>103.487488</v>
      </c>
      <c r="H3102" s="10" t="n">
        <f aca="false">IF(OR(Nonlabor!$L$13="Quote required",Nonlabor!$L$13="Unverified"),G3102,0)</f>
        <v>0</v>
      </c>
      <c r="I3102" s="10" t="n">
        <f aca="false">IF(Nonlabor!$E$13="Core",0,G3102)</f>
        <v>0</v>
      </c>
      <c r="J3102" s="23" t="str">
        <f aca="false">Nonlabor!$B$13</f>
        <v>TOOLS</v>
      </c>
    </row>
    <row r="3103" customFormat="false" ht="15" hidden="false" customHeight="false" outlineLevel="0" collapsed="false">
      <c r="A3103" s="6" t="s">
        <v>73</v>
      </c>
      <c r="B3103" s="6" t="s">
        <v>395</v>
      </c>
      <c r="C3103" s="6" t="n">
        <v>38</v>
      </c>
      <c r="D3103" s="25" t="n">
        <f aca="false">EDATE('Start Here'!$B$6,C3103-1)</f>
        <v>47453</v>
      </c>
      <c r="E3103" s="23" t="n">
        <f aca="false">IF(AND(OR(Nonlabor!$D$13="Both",Nonlabor!$D$13='Start Here'!$B$9),IF(Nonlabor!$E$13="Core",1,IF(Nonlabor!$E$13="AI",'Start Here'!$B$7,'Start Here'!$B$8))=1,C3103&gt;=IF(Nonlabor!$E$13="Core",Nonlabor!$F$13,MAX(Nonlabor!$F$13,IF(Nonlabor!$E$13="AI",Assumptions!$E$24,Assumptions!$E$25))),C3103&lt;=Nonlabor!$G$13,OR(Nonlabor!$H$13="Monthly",AND(Nonlabor!$H$13="Once",C3103=IF(Nonlabor!$E$13="Core",Nonlabor!$F$13,MAX(Nonlabor!$F$13,IF(Nonlabor!$E$13="AI",Assumptions!$E$24,Assumptions!$E$25)))),AND(Nonlabor!$H$13="Annual",MOD(C3103-IF(Nonlabor!$E$13="Core",Nonlabor!$F$13,MAX(Nonlabor!$F$13,IF(Nonlabor!$E$13="AI",Assumptions!$E$24,Assumptions!$E$25))),12)=0))),IF(Nonlabor!$I$13="Fixed",1,IF(Nonlabor!$I$13="Seats",ROUNDUP('Monthly Growth'!I43,0),IF(Nonlabor!$I$13="Customers",'Monthly Growth'!D43,IF(Nonlabor!$I$13="NewCustomers",'Monthly Growth'!C43,IF(Nonlabor!$I$13="StorageGB",'Monthly Growth'!G43,IF(Nonlabor!$I$13="LogGB",'Monthly Growth'!H43,IF(Nonlabor!$I$13="RequestsM",'Monthly Growth'!F43,IF(Nonlabor!$I$13="InputM",'Monthly Growth'!D43*Assumptions!$E$22/1000000,IF(Nonlabor!$I$13="OutputM",'Monthly Growth'!D43*Assumptions!$E$23/1000000,0))))))))),0)</f>
        <v>23</v>
      </c>
      <c r="F3103" s="10" t="n">
        <f aca="false">Nonlabor!$J$13*(1+Assumptions!$E$9)^INT((C3103-1)/12)</f>
        <v>4.499456</v>
      </c>
      <c r="G3103" s="10" t="n">
        <f aca="false">E3103*F3103</f>
        <v>103.487488</v>
      </c>
      <c r="H3103" s="10" t="n">
        <f aca="false">IF(OR(Nonlabor!$L$13="Quote required",Nonlabor!$L$13="Unverified"),G3103,0)</f>
        <v>0</v>
      </c>
      <c r="I3103" s="10" t="n">
        <f aca="false">IF(Nonlabor!$E$13="Core",0,G3103)</f>
        <v>0</v>
      </c>
      <c r="J3103" s="23" t="str">
        <f aca="false">Nonlabor!$B$13</f>
        <v>TOOLS</v>
      </c>
    </row>
    <row r="3104" customFormat="false" ht="15" hidden="false" customHeight="false" outlineLevel="0" collapsed="false">
      <c r="A3104" s="6" t="s">
        <v>73</v>
      </c>
      <c r="B3104" s="6" t="s">
        <v>395</v>
      </c>
      <c r="C3104" s="6" t="n">
        <v>39</v>
      </c>
      <c r="D3104" s="25" t="n">
        <f aca="false">EDATE('Start Here'!$B$6,C3104-1)</f>
        <v>47484</v>
      </c>
      <c r="E3104" s="23" t="n">
        <f aca="false">IF(AND(OR(Nonlabor!$D$13="Both",Nonlabor!$D$13='Start Here'!$B$9),IF(Nonlabor!$E$13="Core",1,IF(Nonlabor!$E$13="AI",'Start Here'!$B$7,'Start Here'!$B$8))=1,C3104&gt;=IF(Nonlabor!$E$13="Core",Nonlabor!$F$13,MAX(Nonlabor!$F$13,IF(Nonlabor!$E$13="AI",Assumptions!$E$24,Assumptions!$E$25))),C3104&lt;=Nonlabor!$G$13,OR(Nonlabor!$H$13="Monthly",AND(Nonlabor!$H$13="Once",C3104=IF(Nonlabor!$E$13="Core",Nonlabor!$F$13,MAX(Nonlabor!$F$13,IF(Nonlabor!$E$13="AI",Assumptions!$E$24,Assumptions!$E$25)))),AND(Nonlabor!$H$13="Annual",MOD(C3104-IF(Nonlabor!$E$13="Core",Nonlabor!$F$13,MAX(Nonlabor!$F$13,IF(Nonlabor!$E$13="AI",Assumptions!$E$24,Assumptions!$E$25))),12)=0))),IF(Nonlabor!$I$13="Fixed",1,IF(Nonlabor!$I$13="Seats",ROUNDUP('Monthly Growth'!I44,0),IF(Nonlabor!$I$13="Customers",'Monthly Growth'!D44,IF(Nonlabor!$I$13="NewCustomers",'Monthly Growth'!C44,IF(Nonlabor!$I$13="StorageGB",'Monthly Growth'!G44,IF(Nonlabor!$I$13="LogGB",'Monthly Growth'!H44,IF(Nonlabor!$I$13="RequestsM",'Monthly Growth'!F44,IF(Nonlabor!$I$13="InputM",'Monthly Growth'!D44*Assumptions!$E$22/1000000,IF(Nonlabor!$I$13="OutputM",'Monthly Growth'!D44*Assumptions!$E$23/1000000,0))))))))),0)</f>
        <v>23</v>
      </c>
      <c r="F3104" s="10" t="n">
        <f aca="false">Nonlabor!$J$13*(1+Assumptions!$E$9)^INT((C3104-1)/12)</f>
        <v>4.499456</v>
      </c>
      <c r="G3104" s="10" t="n">
        <f aca="false">E3104*F3104</f>
        <v>103.487488</v>
      </c>
      <c r="H3104" s="10" t="n">
        <f aca="false">IF(OR(Nonlabor!$L$13="Quote required",Nonlabor!$L$13="Unverified"),G3104,0)</f>
        <v>0</v>
      </c>
      <c r="I3104" s="10" t="n">
        <f aca="false">IF(Nonlabor!$E$13="Core",0,G3104)</f>
        <v>0</v>
      </c>
      <c r="J3104" s="23" t="str">
        <f aca="false">Nonlabor!$B$13</f>
        <v>TOOLS</v>
      </c>
    </row>
    <row r="3105" customFormat="false" ht="15" hidden="false" customHeight="false" outlineLevel="0" collapsed="false">
      <c r="A3105" s="6" t="s">
        <v>73</v>
      </c>
      <c r="B3105" s="6" t="s">
        <v>395</v>
      </c>
      <c r="C3105" s="6" t="n">
        <v>40</v>
      </c>
      <c r="D3105" s="25" t="n">
        <f aca="false">EDATE('Start Here'!$B$6,C3105-1)</f>
        <v>47515</v>
      </c>
      <c r="E3105" s="23" t="n">
        <f aca="false">IF(AND(OR(Nonlabor!$D$13="Both",Nonlabor!$D$13='Start Here'!$B$9),IF(Nonlabor!$E$13="Core",1,IF(Nonlabor!$E$13="AI",'Start Here'!$B$7,'Start Here'!$B$8))=1,C3105&gt;=IF(Nonlabor!$E$13="Core",Nonlabor!$F$13,MAX(Nonlabor!$F$13,IF(Nonlabor!$E$13="AI",Assumptions!$E$24,Assumptions!$E$25))),C3105&lt;=Nonlabor!$G$13,OR(Nonlabor!$H$13="Monthly",AND(Nonlabor!$H$13="Once",C3105=IF(Nonlabor!$E$13="Core",Nonlabor!$F$13,MAX(Nonlabor!$F$13,IF(Nonlabor!$E$13="AI",Assumptions!$E$24,Assumptions!$E$25)))),AND(Nonlabor!$H$13="Annual",MOD(C3105-IF(Nonlabor!$E$13="Core",Nonlabor!$F$13,MAX(Nonlabor!$F$13,IF(Nonlabor!$E$13="AI",Assumptions!$E$24,Assumptions!$E$25))),12)=0))),IF(Nonlabor!$I$13="Fixed",1,IF(Nonlabor!$I$13="Seats",ROUNDUP('Monthly Growth'!I45,0),IF(Nonlabor!$I$13="Customers",'Monthly Growth'!D45,IF(Nonlabor!$I$13="NewCustomers",'Monthly Growth'!C45,IF(Nonlabor!$I$13="StorageGB",'Monthly Growth'!G45,IF(Nonlabor!$I$13="LogGB",'Monthly Growth'!H45,IF(Nonlabor!$I$13="RequestsM",'Monthly Growth'!F45,IF(Nonlabor!$I$13="InputM",'Monthly Growth'!D45*Assumptions!$E$22/1000000,IF(Nonlabor!$I$13="OutputM",'Monthly Growth'!D45*Assumptions!$E$23/1000000,0))))))))),0)</f>
        <v>23</v>
      </c>
      <c r="F3105" s="10" t="n">
        <f aca="false">Nonlabor!$J$13*(1+Assumptions!$E$9)^INT((C3105-1)/12)</f>
        <v>4.499456</v>
      </c>
      <c r="G3105" s="10" t="n">
        <f aca="false">E3105*F3105</f>
        <v>103.487488</v>
      </c>
      <c r="H3105" s="10" t="n">
        <f aca="false">IF(OR(Nonlabor!$L$13="Quote required",Nonlabor!$L$13="Unverified"),G3105,0)</f>
        <v>0</v>
      </c>
      <c r="I3105" s="10" t="n">
        <f aca="false">IF(Nonlabor!$E$13="Core",0,G3105)</f>
        <v>0</v>
      </c>
      <c r="J3105" s="23" t="str">
        <f aca="false">Nonlabor!$B$13</f>
        <v>TOOLS</v>
      </c>
    </row>
    <row r="3106" customFormat="false" ht="15" hidden="false" customHeight="false" outlineLevel="0" collapsed="false">
      <c r="A3106" s="6" t="s">
        <v>73</v>
      </c>
      <c r="B3106" s="6" t="s">
        <v>395</v>
      </c>
      <c r="C3106" s="6" t="n">
        <v>41</v>
      </c>
      <c r="D3106" s="25" t="n">
        <f aca="false">EDATE('Start Here'!$B$6,C3106-1)</f>
        <v>47543</v>
      </c>
      <c r="E3106" s="23" t="n">
        <f aca="false">IF(AND(OR(Nonlabor!$D$13="Both",Nonlabor!$D$13='Start Here'!$B$9),IF(Nonlabor!$E$13="Core",1,IF(Nonlabor!$E$13="AI",'Start Here'!$B$7,'Start Here'!$B$8))=1,C3106&gt;=IF(Nonlabor!$E$13="Core",Nonlabor!$F$13,MAX(Nonlabor!$F$13,IF(Nonlabor!$E$13="AI",Assumptions!$E$24,Assumptions!$E$25))),C3106&lt;=Nonlabor!$G$13,OR(Nonlabor!$H$13="Monthly",AND(Nonlabor!$H$13="Once",C3106=IF(Nonlabor!$E$13="Core",Nonlabor!$F$13,MAX(Nonlabor!$F$13,IF(Nonlabor!$E$13="AI",Assumptions!$E$24,Assumptions!$E$25)))),AND(Nonlabor!$H$13="Annual",MOD(C3106-IF(Nonlabor!$E$13="Core",Nonlabor!$F$13,MAX(Nonlabor!$F$13,IF(Nonlabor!$E$13="AI",Assumptions!$E$24,Assumptions!$E$25))),12)=0))),IF(Nonlabor!$I$13="Fixed",1,IF(Nonlabor!$I$13="Seats",ROUNDUP('Monthly Growth'!I46,0),IF(Nonlabor!$I$13="Customers",'Monthly Growth'!D46,IF(Nonlabor!$I$13="NewCustomers",'Monthly Growth'!C46,IF(Nonlabor!$I$13="StorageGB",'Monthly Growth'!G46,IF(Nonlabor!$I$13="LogGB",'Monthly Growth'!H46,IF(Nonlabor!$I$13="RequestsM",'Monthly Growth'!F46,IF(Nonlabor!$I$13="InputM",'Monthly Growth'!D46*Assumptions!$E$22/1000000,IF(Nonlabor!$I$13="OutputM",'Monthly Growth'!D46*Assumptions!$E$23/1000000,0))))))))),0)</f>
        <v>23</v>
      </c>
      <c r="F3106" s="10" t="n">
        <f aca="false">Nonlabor!$J$13*(1+Assumptions!$E$9)^INT((C3106-1)/12)</f>
        <v>4.499456</v>
      </c>
      <c r="G3106" s="10" t="n">
        <f aca="false">E3106*F3106</f>
        <v>103.487488</v>
      </c>
      <c r="H3106" s="10" t="n">
        <f aca="false">IF(OR(Nonlabor!$L$13="Quote required",Nonlabor!$L$13="Unverified"),G3106,0)</f>
        <v>0</v>
      </c>
      <c r="I3106" s="10" t="n">
        <f aca="false">IF(Nonlabor!$E$13="Core",0,G3106)</f>
        <v>0</v>
      </c>
      <c r="J3106" s="23" t="str">
        <f aca="false">Nonlabor!$B$13</f>
        <v>TOOLS</v>
      </c>
    </row>
    <row r="3107" customFormat="false" ht="15" hidden="false" customHeight="false" outlineLevel="0" collapsed="false">
      <c r="A3107" s="6" t="s">
        <v>73</v>
      </c>
      <c r="B3107" s="6" t="s">
        <v>395</v>
      </c>
      <c r="C3107" s="6" t="n">
        <v>42</v>
      </c>
      <c r="D3107" s="25" t="n">
        <f aca="false">EDATE('Start Here'!$B$6,C3107-1)</f>
        <v>47574</v>
      </c>
      <c r="E3107" s="23" t="n">
        <f aca="false">IF(AND(OR(Nonlabor!$D$13="Both",Nonlabor!$D$13='Start Here'!$B$9),IF(Nonlabor!$E$13="Core",1,IF(Nonlabor!$E$13="AI",'Start Here'!$B$7,'Start Here'!$B$8))=1,C3107&gt;=IF(Nonlabor!$E$13="Core",Nonlabor!$F$13,MAX(Nonlabor!$F$13,IF(Nonlabor!$E$13="AI",Assumptions!$E$24,Assumptions!$E$25))),C3107&lt;=Nonlabor!$G$13,OR(Nonlabor!$H$13="Monthly",AND(Nonlabor!$H$13="Once",C3107=IF(Nonlabor!$E$13="Core",Nonlabor!$F$13,MAX(Nonlabor!$F$13,IF(Nonlabor!$E$13="AI",Assumptions!$E$24,Assumptions!$E$25)))),AND(Nonlabor!$H$13="Annual",MOD(C3107-IF(Nonlabor!$E$13="Core",Nonlabor!$F$13,MAX(Nonlabor!$F$13,IF(Nonlabor!$E$13="AI",Assumptions!$E$24,Assumptions!$E$25))),12)=0))),IF(Nonlabor!$I$13="Fixed",1,IF(Nonlabor!$I$13="Seats",ROUNDUP('Monthly Growth'!I47,0),IF(Nonlabor!$I$13="Customers",'Monthly Growth'!D47,IF(Nonlabor!$I$13="NewCustomers",'Monthly Growth'!C47,IF(Nonlabor!$I$13="StorageGB",'Monthly Growth'!G47,IF(Nonlabor!$I$13="LogGB",'Monthly Growth'!H47,IF(Nonlabor!$I$13="RequestsM",'Monthly Growth'!F47,IF(Nonlabor!$I$13="InputM",'Monthly Growth'!D47*Assumptions!$E$22/1000000,IF(Nonlabor!$I$13="OutputM",'Monthly Growth'!D47*Assumptions!$E$23/1000000,0))))))))),0)</f>
        <v>23</v>
      </c>
      <c r="F3107" s="10" t="n">
        <f aca="false">Nonlabor!$J$13*(1+Assumptions!$E$9)^INT((C3107-1)/12)</f>
        <v>4.499456</v>
      </c>
      <c r="G3107" s="10" t="n">
        <f aca="false">E3107*F3107</f>
        <v>103.487488</v>
      </c>
      <c r="H3107" s="10" t="n">
        <f aca="false">IF(OR(Nonlabor!$L$13="Quote required",Nonlabor!$L$13="Unverified"),G3107,0)</f>
        <v>0</v>
      </c>
      <c r="I3107" s="10" t="n">
        <f aca="false">IF(Nonlabor!$E$13="Core",0,G3107)</f>
        <v>0</v>
      </c>
      <c r="J3107" s="23" t="str">
        <f aca="false">Nonlabor!$B$13</f>
        <v>TOOLS</v>
      </c>
    </row>
    <row r="3108" customFormat="false" ht="15" hidden="false" customHeight="false" outlineLevel="0" collapsed="false">
      <c r="A3108" s="6" t="s">
        <v>73</v>
      </c>
      <c r="B3108" s="6" t="s">
        <v>395</v>
      </c>
      <c r="C3108" s="6" t="n">
        <v>43</v>
      </c>
      <c r="D3108" s="25" t="n">
        <f aca="false">EDATE('Start Here'!$B$6,C3108-1)</f>
        <v>47604</v>
      </c>
      <c r="E3108" s="23" t="n">
        <f aca="false">IF(AND(OR(Nonlabor!$D$13="Both",Nonlabor!$D$13='Start Here'!$B$9),IF(Nonlabor!$E$13="Core",1,IF(Nonlabor!$E$13="AI",'Start Here'!$B$7,'Start Here'!$B$8))=1,C3108&gt;=IF(Nonlabor!$E$13="Core",Nonlabor!$F$13,MAX(Nonlabor!$F$13,IF(Nonlabor!$E$13="AI",Assumptions!$E$24,Assumptions!$E$25))),C3108&lt;=Nonlabor!$G$13,OR(Nonlabor!$H$13="Monthly",AND(Nonlabor!$H$13="Once",C3108=IF(Nonlabor!$E$13="Core",Nonlabor!$F$13,MAX(Nonlabor!$F$13,IF(Nonlabor!$E$13="AI",Assumptions!$E$24,Assumptions!$E$25)))),AND(Nonlabor!$H$13="Annual",MOD(C3108-IF(Nonlabor!$E$13="Core",Nonlabor!$F$13,MAX(Nonlabor!$F$13,IF(Nonlabor!$E$13="AI",Assumptions!$E$24,Assumptions!$E$25))),12)=0))),IF(Nonlabor!$I$13="Fixed",1,IF(Nonlabor!$I$13="Seats",ROUNDUP('Monthly Growth'!I48,0),IF(Nonlabor!$I$13="Customers",'Monthly Growth'!D48,IF(Nonlabor!$I$13="NewCustomers",'Monthly Growth'!C48,IF(Nonlabor!$I$13="StorageGB",'Monthly Growth'!G48,IF(Nonlabor!$I$13="LogGB",'Monthly Growth'!H48,IF(Nonlabor!$I$13="RequestsM",'Monthly Growth'!F48,IF(Nonlabor!$I$13="InputM",'Monthly Growth'!D48*Assumptions!$E$22/1000000,IF(Nonlabor!$I$13="OutputM",'Monthly Growth'!D48*Assumptions!$E$23/1000000,0))))))))),0)</f>
        <v>23</v>
      </c>
      <c r="F3108" s="10" t="n">
        <f aca="false">Nonlabor!$J$13*(1+Assumptions!$E$9)^INT((C3108-1)/12)</f>
        <v>4.499456</v>
      </c>
      <c r="G3108" s="10" t="n">
        <f aca="false">E3108*F3108</f>
        <v>103.487488</v>
      </c>
      <c r="H3108" s="10" t="n">
        <f aca="false">IF(OR(Nonlabor!$L$13="Quote required",Nonlabor!$L$13="Unverified"),G3108,0)</f>
        <v>0</v>
      </c>
      <c r="I3108" s="10" t="n">
        <f aca="false">IF(Nonlabor!$E$13="Core",0,G3108)</f>
        <v>0</v>
      </c>
      <c r="J3108" s="23" t="str">
        <f aca="false">Nonlabor!$B$13</f>
        <v>TOOLS</v>
      </c>
    </row>
    <row r="3109" customFormat="false" ht="15" hidden="false" customHeight="false" outlineLevel="0" collapsed="false">
      <c r="A3109" s="6" t="s">
        <v>73</v>
      </c>
      <c r="B3109" s="6" t="s">
        <v>395</v>
      </c>
      <c r="C3109" s="6" t="n">
        <v>44</v>
      </c>
      <c r="D3109" s="25" t="n">
        <f aca="false">EDATE('Start Here'!$B$6,C3109-1)</f>
        <v>47635</v>
      </c>
      <c r="E3109" s="23" t="n">
        <f aca="false">IF(AND(OR(Nonlabor!$D$13="Both",Nonlabor!$D$13='Start Here'!$B$9),IF(Nonlabor!$E$13="Core",1,IF(Nonlabor!$E$13="AI",'Start Here'!$B$7,'Start Here'!$B$8))=1,C3109&gt;=IF(Nonlabor!$E$13="Core",Nonlabor!$F$13,MAX(Nonlabor!$F$13,IF(Nonlabor!$E$13="AI",Assumptions!$E$24,Assumptions!$E$25))),C3109&lt;=Nonlabor!$G$13,OR(Nonlabor!$H$13="Monthly",AND(Nonlabor!$H$13="Once",C3109=IF(Nonlabor!$E$13="Core",Nonlabor!$F$13,MAX(Nonlabor!$F$13,IF(Nonlabor!$E$13="AI",Assumptions!$E$24,Assumptions!$E$25)))),AND(Nonlabor!$H$13="Annual",MOD(C3109-IF(Nonlabor!$E$13="Core",Nonlabor!$F$13,MAX(Nonlabor!$F$13,IF(Nonlabor!$E$13="AI",Assumptions!$E$24,Assumptions!$E$25))),12)=0))),IF(Nonlabor!$I$13="Fixed",1,IF(Nonlabor!$I$13="Seats",ROUNDUP('Monthly Growth'!I49,0),IF(Nonlabor!$I$13="Customers",'Monthly Growth'!D49,IF(Nonlabor!$I$13="NewCustomers",'Monthly Growth'!C49,IF(Nonlabor!$I$13="StorageGB",'Monthly Growth'!G49,IF(Nonlabor!$I$13="LogGB",'Monthly Growth'!H49,IF(Nonlabor!$I$13="RequestsM",'Monthly Growth'!F49,IF(Nonlabor!$I$13="InputM",'Monthly Growth'!D49*Assumptions!$E$22/1000000,IF(Nonlabor!$I$13="OutputM",'Monthly Growth'!D49*Assumptions!$E$23/1000000,0))))))))),0)</f>
        <v>23</v>
      </c>
      <c r="F3109" s="10" t="n">
        <f aca="false">Nonlabor!$J$13*(1+Assumptions!$E$9)^INT((C3109-1)/12)</f>
        <v>4.499456</v>
      </c>
      <c r="G3109" s="10" t="n">
        <f aca="false">E3109*F3109</f>
        <v>103.487488</v>
      </c>
      <c r="H3109" s="10" t="n">
        <f aca="false">IF(OR(Nonlabor!$L$13="Quote required",Nonlabor!$L$13="Unverified"),G3109,0)</f>
        <v>0</v>
      </c>
      <c r="I3109" s="10" t="n">
        <f aca="false">IF(Nonlabor!$E$13="Core",0,G3109)</f>
        <v>0</v>
      </c>
      <c r="J3109" s="23" t="str">
        <f aca="false">Nonlabor!$B$13</f>
        <v>TOOLS</v>
      </c>
    </row>
    <row r="3110" customFormat="false" ht="15" hidden="false" customHeight="false" outlineLevel="0" collapsed="false">
      <c r="A3110" s="6" t="s">
        <v>73</v>
      </c>
      <c r="B3110" s="6" t="s">
        <v>395</v>
      </c>
      <c r="C3110" s="6" t="n">
        <v>45</v>
      </c>
      <c r="D3110" s="25" t="n">
        <f aca="false">EDATE('Start Here'!$B$6,C3110-1)</f>
        <v>47665</v>
      </c>
      <c r="E3110" s="23" t="n">
        <f aca="false">IF(AND(OR(Nonlabor!$D$13="Both",Nonlabor!$D$13='Start Here'!$B$9),IF(Nonlabor!$E$13="Core",1,IF(Nonlabor!$E$13="AI",'Start Here'!$B$7,'Start Here'!$B$8))=1,C3110&gt;=IF(Nonlabor!$E$13="Core",Nonlabor!$F$13,MAX(Nonlabor!$F$13,IF(Nonlabor!$E$13="AI",Assumptions!$E$24,Assumptions!$E$25))),C3110&lt;=Nonlabor!$G$13,OR(Nonlabor!$H$13="Monthly",AND(Nonlabor!$H$13="Once",C3110=IF(Nonlabor!$E$13="Core",Nonlabor!$F$13,MAX(Nonlabor!$F$13,IF(Nonlabor!$E$13="AI",Assumptions!$E$24,Assumptions!$E$25)))),AND(Nonlabor!$H$13="Annual",MOD(C3110-IF(Nonlabor!$E$13="Core",Nonlabor!$F$13,MAX(Nonlabor!$F$13,IF(Nonlabor!$E$13="AI",Assumptions!$E$24,Assumptions!$E$25))),12)=0))),IF(Nonlabor!$I$13="Fixed",1,IF(Nonlabor!$I$13="Seats",ROUNDUP('Monthly Growth'!I50,0),IF(Nonlabor!$I$13="Customers",'Monthly Growth'!D50,IF(Nonlabor!$I$13="NewCustomers",'Monthly Growth'!C50,IF(Nonlabor!$I$13="StorageGB",'Monthly Growth'!G50,IF(Nonlabor!$I$13="LogGB",'Monthly Growth'!H50,IF(Nonlabor!$I$13="RequestsM",'Monthly Growth'!F50,IF(Nonlabor!$I$13="InputM",'Monthly Growth'!D50*Assumptions!$E$22/1000000,IF(Nonlabor!$I$13="OutputM",'Monthly Growth'!D50*Assumptions!$E$23/1000000,0))))))))),0)</f>
        <v>23</v>
      </c>
      <c r="F3110" s="10" t="n">
        <f aca="false">Nonlabor!$J$13*(1+Assumptions!$E$9)^INT((C3110-1)/12)</f>
        <v>4.499456</v>
      </c>
      <c r="G3110" s="10" t="n">
        <f aca="false">E3110*F3110</f>
        <v>103.487488</v>
      </c>
      <c r="H3110" s="10" t="n">
        <f aca="false">IF(OR(Nonlabor!$L$13="Quote required",Nonlabor!$L$13="Unverified"),G3110,0)</f>
        <v>0</v>
      </c>
      <c r="I3110" s="10" t="n">
        <f aca="false">IF(Nonlabor!$E$13="Core",0,G3110)</f>
        <v>0</v>
      </c>
      <c r="J3110" s="23" t="str">
        <f aca="false">Nonlabor!$B$13</f>
        <v>TOOLS</v>
      </c>
    </row>
    <row r="3111" customFormat="false" ht="15" hidden="false" customHeight="false" outlineLevel="0" collapsed="false">
      <c r="A3111" s="6" t="s">
        <v>73</v>
      </c>
      <c r="B3111" s="6" t="s">
        <v>395</v>
      </c>
      <c r="C3111" s="6" t="n">
        <v>46</v>
      </c>
      <c r="D3111" s="25" t="n">
        <f aca="false">EDATE('Start Here'!$B$6,C3111-1)</f>
        <v>47696</v>
      </c>
      <c r="E3111" s="23" t="n">
        <f aca="false">IF(AND(OR(Nonlabor!$D$13="Both",Nonlabor!$D$13='Start Here'!$B$9),IF(Nonlabor!$E$13="Core",1,IF(Nonlabor!$E$13="AI",'Start Here'!$B$7,'Start Here'!$B$8))=1,C3111&gt;=IF(Nonlabor!$E$13="Core",Nonlabor!$F$13,MAX(Nonlabor!$F$13,IF(Nonlabor!$E$13="AI",Assumptions!$E$24,Assumptions!$E$25))),C3111&lt;=Nonlabor!$G$13,OR(Nonlabor!$H$13="Monthly",AND(Nonlabor!$H$13="Once",C3111=IF(Nonlabor!$E$13="Core",Nonlabor!$F$13,MAX(Nonlabor!$F$13,IF(Nonlabor!$E$13="AI",Assumptions!$E$24,Assumptions!$E$25)))),AND(Nonlabor!$H$13="Annual",MOD(C3111-IF(Nonlabor!$E$13="Core",Nonlabor!$F$13,MAX(Nonlabor!$F$13,IF(Nonlabor!$E$13="AI",Assumptions!$E$24,Assumptions!$E$25))),12)=0))),IF(Nonlabor!$I$13="Fixed",1,IF(Nonlabor!$I$13="Seats",ROUNDUP('Monthly Growth'!I51,0),IF(Nonlabor!$I$13="Customers",'Monthly Growth'!D51,IF(Nonlabor!$I$13="NewCustomers",'Monthly Growth'!C51,IF(Nonlabor!$I$13="StorageGB",'Monthly Growth'!G51,IF(Nonlabor!$I$13="LogGB",'Monthly Growth'!H51,IF(Nonlabor!$I$13="RequestsM",'Monthly Growth'!F51,IF(Nonlabor!$I$13="InputM",'Monthly Growth'!D51*Assumptions!$E$22/1000000,IF(Nonlabor!$I$13="OutputM",'Monthly Growth'!D51*Assumptions!$E$23/1000000,0))))))))),0)</f>
        <v>23</v>
      </c>
      <c r="F3111" s="10" t="n">
        <f aca="false">Nonlabor!$J$13*(1+Assumptions!$E$9)^INT((C3111-1)/12)</f>
        <v>4.499456</v>
      </c>
      <c r="G3111" s="10" t="n">
        <f aca="false">E3111*F3111</f>
        <v>103.487488</v>
      </c>
      <c r="H3111" s="10" t="n">
        <f aca="false">IF(OR(Nonlabor!$L$13="Quote required",Nonlabor!$L$13="Unverified"),G3111,0)</f>
        <v>0</v>
      </c>
      <c r="I3111" s="10" t="n">
        <f aca="false">IF(Nonlabor!$E$13="Core",0,G3111)</f>
        <v>0</v>
      </c>
      <c r="J3111" s="23" t="str">
        <f aca="false">Nonlabor!$B$13</f>
        <v>TOOLS</v>
      </c>
    </row>
    <row r="3112" customFormat="false" ht="15" hidden="false" customHeight="false" outlineLevel="0" collapsed="false">
      <c r="A3112" s="6" t="s">
        <v>73</v>
      </c>
      <c r="B3112" s="6" t="s">
        <v>395</v>
      </c>
      <c r="C3112" s="6" t="n">
        <v>47</v>
      </c>
      <c r="D3112" s="25" t="n">
        <f aca="false">EDATE('Start Here'!$B$6,C3112-1)</f>
        <v>47727</v>
      </c>
      <c r="E3112" s="23" t="n">
        <f aca="false">IF(AND(OR(Nonlabor!$D$13="Both",Nonlabor!$D$13='Start Here'!$B$9),IF(Nonlabor!$E$13="Core",1,IF(Nonlabor!$E$13="AI",'Start Here'!$B$7,'Start Here'!$B$8))=1,C3112&gt;=IF(Nonlabor!$E$13="Core",Nonlabor!$F$13,MAX(Nonlabor!$F$13,IF(Nonlabor!$E$13="AI",Assumptions!$E$24,Assumptions!$E$25))),C3112&lt;=Nonlabor!$G$13,OR(Nonlabor!$H$13="Monthly",AND(Nonlabor!$H$13="Once",C3112=IF(Nonlabor!$E$13="Core",Nonlabor!$F$13,MAX(Nonlabor!$F$13,IF(Nonlabor!$E$13="AI",Assumptions!$E$24,Assumptions!$E$25)))),AND(Nonlabor!$H$13="Annual",MOD(C3112-IF(Nonlabor!$E$13="Core",Nonlabor!$F$13,MAX(Nonlabor!$F$13,IF(Nonlabor!$E$13="AI",Assumptions!$E$24,Assumptions!$E$25))),12)=0))),IF(Nonlabor!$I$13="Fixed",1,IF(Nonlabor!$I$13="Seats",ROUNDUP('Monthly Growth'!I52,0),IF(Nonlabor!$I$13="Customers",'Monthly Growth'!D52,IF(Nonlabor!$I$13="NewCustomers",'Monthly Growth'!C52,IF(Nonlabor!$I$13="StorageGB",'Monthly Growth'!G52,IF(Nonlabor!$I$13="LogGB",'Monthly Growth'!H52,IF(Nonlabor!$I$13="RequestsM",'Monthly Growth'!F52,IF(Nonlabor!$I$13="InputM",'Monthly Growth'!D52*Assumptions!$E$22/1000000,IF(Nonlabor!$I$13="OutputM",'Monthly Growth'!D52*Assumptions!$E$23/1000000,0))))))))),0)</f>
        <v>23</v>
      </c>
      <c r="F3112" s="10" t="n">
        <f aca="false">Nonlabor!$J$13*(1+Assumptions!$E$9)^INT((C3112-1)/12)</f>
        <v>4.499456</v>
      </c>
      <c r="G3112" s="10" t="n">
        <f aca="false">E3112*F3112</f>
        <v>103.487488</v>
      </c>
      <c r="H3112" s="10" t="n">
        <f aca="false">IF(OR(Nonlabor!$L$13="Quote required",Nonlabor!$L$13="Unverified"),G3112,0)</f>
        <v>0</v>
      </c>
      <c r="I3112" s="10" t="n">
        <f aca="false">IF(Nonlabor!$E$13="Core",0,G3112)</f>
        <v>0</v>
      </c>
      <c r="J3112" s="23" t="str">
        <f aca="false">Nonlabor!$B$13</f>
        <v>TOOLS</v>
      </c>
    </row>
    <row r="3113" customFormat="false" ht="15" hidden="false" customHeight="false" outlineLevel="0" collapsed="false">
      <c r="A3113" s="6" t="s">
        <v>73</v>
      </c>
      <c r="B3113" s="6" t="s">
        <v>395</v>
      </c>
      <c r="C3113" s="6" t="n">
        <v>48</v>
      </c>
      <c r="D3113" s="25" t="n">
        <f aca="false">EDATE('Start Here'!$B$6,C3113-1)</f>
        <v>47757</v>
      </c>
      <c r="E3113" s="23" t="n">
        <f aca="false">IF(AND(OR(Nonlabor!$D$13="Both",Nonlabor!$D$13='Start Here'!$B$9),IF(Nonlabor!$E$13="Core",1,IF(Nonlabor!$E$13="AI",'Start Here'!$B$7,'Start Here'!$B$8))=1,C3113&gt;=IF(Nonlabor!$E$13="Core",Nonlabor!$F$13,MAX(Nonlabor!$F$13,IF(Nonlabor!$E$13="AI",Assumptions!$E$24,Assumptions!$E$25))),C3113&lt;=Nonlabor!$G$13,OR(Nonlabor!$H$13="Monthly",AND(Nonlabor!$H$13="Once",C3113=IF(Nonlabor!$E$13="Core",Nonlabor!$F$13,MAX(Nonlabor!$F$13,IF(Nonlabor!$E$13="AI",Assumptions!$E$24,Assumptions!$E$25)))),AND(Nonlabor!$H$13="Annual",MOD(C3113-IF(Nonlabor!$E$13="Core",Nonlabor!$F$13,MAX(Nonlabor!$F$13,IF(Nonlabor!$E$13="AI",Assumptions!$E$24,Assumptions!$E$25))),12)=0))),IF(Nonlabor!$I$13="Fixed",1,IF(Nonlabor!$I$13="Seats",ROUNDUP('Monthly Growth'!I53,0),IF(Nonlabor!$I$13="Customers",'Monthly Growth'!D53,IF(Nonlabor!$I$13="NewCustomers",'Monthly Growth'!C53,IF(Nonlabor!$I$13="StorageGB",'Monthly Growth'!G53,IF(Nonlabor!$I$13="LogGB",'Monthly Growth'!H53,IF(Nonlabor!$I$13="RequestsM",'Monthly Growth'!F53,IF(Nonlabor!$I$13="InputM",'Monthly Growth'!D53*Assumptions!$E$22/1000000,IF(Nonlabor!$I$13="OutputM",'Monthly Growth'!D53*Assumptions!$E$23/1000000,0))))))))),0)</f>
        <v>23</v>
      </c>
      <c r="F3113" s="10" t="n">
        <f aca="false">Nonlabor!$J$13*(1+Assumptions!$E$9)^INT((C3113-1)/12)</f>
        <v>4.499456</v>
      </c>
      <c r="G3113" s="10" t="n">
        <f aca="false">E3113*F3113</f>
        <v>103.487488</v>
      </c>
      <c r="H3113" s="10" t="n">
        <f aca="false">IF(OR(Nonlabor!$L$13="Quote required",Nonlabor!$L$13="Unverified"),G3113,0)</f>
        <v>0</v>
      </c>
      <c r="I3113" s="10" t="n">
        <f aca="false">IF(Nonlabor!$E$13="Core",0,G3113)</f>
        <v>0</v>
      </c>
      <c r="J3113" s="23" t="str">
        <f aca="false">Nonlabor!$B$13</f>
        <v>TOOLS</v>
      </c>
    </row>
    <row r="3114" customFormat="false" ht="15" hidden="false" customHeight="false" outlineLevel="0" collapsed="false">
      <c r="A3114" s="6" t="s">
        <v>73</v>
      </c>
      <c r="B3114" s="6" t="s">
        <v>395</v>
      </c>
      <c r="C3114" s="6" t="n">
        <v>49</v>
      </c>
      <c r="D3114" s="25" t="n">
        <f aca="false">EDATE('Start Here'!$B$6,C3114-1)</f>
        <v>47788</v>
      </c>
      <c r="E3114" s="23" t="n">
        <f aca="false">IF(AND(OR(Nonlabor!$D$13="Both",Nonlabor!$D$13='Start Here'!$B$9),IF(Nonlabor!$E$13="Core",1,IF(Nonlabor!$E$13="AI",'Start Here'!$B$7,'Start Here'!$B$8))=1,C3114&gt;=IF(Nonlabor!$E$13="Core",Nonlabor!$F$13,MAX(Nonlabor!$F$13,IF(Nonlabor!$E$13="AI",Assumptions!$E$24,Assumptions!$E$25))),C3114&lt;=Nonlabor!$G$13,OR(Nonlabor!$H$13="Monthly",AND(Nonlabor!$H$13="Once",C3114=IF(Nonlabor!$E$13="Core",Nonlabor!$F$13,MAX(Nonlabor!$F$13,IF(Nonlabor!$E$13="AI",Assumptions!$E$24,Assumptions!$E$25)))),AND(Nonlabor!$H$13="Annual",MOD(C3114-IF(Nonlabor!$E$13="Core",Nonlabor!$F$13,MAX(Nonlabor!$F$13,IF(Nonlabor!$E$13="AI",Assumptions!$E$24,Assumptions!$E$25))),12)=0))),IF(Nonlabor!$I$13="Fixed",1,IF(Nonlabor!$I$13="Seats",ROUNDUP('Monthly Growth'!I54,0),IF(Nonlabor!$I$13="Customers",'Monthly Growth'!D54,IF(Nonlabor!$I$13="NewCustomers",'Monthly Growth'!C54,IF(Nonlabor!$I$13="StorageGB",'Monthly Growth'!G54,IF(Nonlabor!$I$13="LogGB",'Monthly Growth'!H54,IF(Nonlabor!$I$13="RequestsM",'Monthly Growth'!F54,IF(Nonlabor!$I$13="InputM",'Monthly Growth'!D54*Assumptions!$E$22/1000000,IF(Nonlabor!$I$13="OutputM",'Monthly Growth'!D54*Assumptions!$E$23/1000000,0))))))))),0)</f>
        <v>23</v>
      </c>
      <c r="F3114" s="10" t="n">
        <f aca="false">Nonlabor!$J$13*(1+Assumptions!$E$9)^INT((C3114-1)/12)</f>
        <v>4.67943424</v>
      </c>
      <c r="G3114" s="10" t="n">
        <f aca="false">E3114*F3114</f>
        <v>107.62698752</v>
      </c>
      <c r="H3114" s="10" t="n">
        <f aca="false">IF(OR(Nonlabor!$L$13="Quote required",Nonlabor!$L$13="Unverified"),G3114,0)</f>
        <v>0</v>
      </c>
      <c r="I3114" s="10" t="n">
        <f aca="false">IF(Nonlabor!$E$13="Core",0,G3114)</f>
        <v>0</v>
      </c>
      <c r="J3114" s="23" t="str">
        <f aca="false">Nonlabor!$B$13</f>
        <v>TOOLS</v>
      </c>
    </row>
    <row r="3115" customFormat="false" ht="15" hidden="false" customHeight="false" outlineLevel="0" collapsed="false">
      <c r="A3115" s="6" t="s">
        <v>73</v>
      </c>
      <c r="B3115" s="6" t="s">
        <v>395</v>
      </c>
      <c r="C3115" s="6" t="n">
        <v>50</v>
      </c>
      <c r="D3115" s="25" t="n">
        <f aca="false">EDATE('Start Here'!$B$6,C3115-1)</f>
        <v>47818</v>
      </c>
      <c r="E3115" s="23" t="n">
        <f aca="false">IF(AND(OR(Nonlabor!$D$13="Both",Nonlabor!$D$13='Start Here'!$B$9),IF(Nonlabor!$E$13="Core",1,IF(Nonlabor!$E$13="AI",'Start Here'!$B$7,'Start Here'!$B$8))=1,C3115&gt;=IF(Nonlabor!$E$13="Core",Nonlabor!$F$13,MAX(Nonlabor!$F$13,IF(Nonlabor!$E$13="AI",Assumptions!$E$24,Assumptions!$E$25))),C3115&lt;=Nonlabor!$G$13,OR(Nonlabor!$H$13="Monthly",AND(Nonlabor!$H$13="Once",C3115=IF(Nonlabor!$E$13="Core",Nonlabor!$F$13,MAX(Nonlabor!$F$13,IF(Nonlabor!$E$13="AI",Assumptions!$E$24,Assumptions!$E$25)))),AND(Nonlabor!$H$13="Annual",MOD(C3115-IF(Nonlabor!$E$13="Core",Nonlabor!$F$13,MAX(Nonlabor!$F$13,IF(Nonlabor!$E$13="AI",Assumptions!$E$24,Assumptions!$E$25))),12)=0))),IF(Nonlabor!$I$13="Fixed",1,IF(Nonlabor!$I$13="Seats",ROUNDUP('Monthly Growth'!I55,0),IF(Nonlabor!$I$13="Customers",'Monthly Growth'!D55,IF(Nonlabor!$I$13="NewCustomers",'Monthly Growth'!C55,IF(Nonlabor!$I$13="StorageGB",'Monthly Growth'!G55,IF(Nonlabor!$I$13="LogGB",'Monthly Growth'!H55,IF(Nonlabor!$I$13="RequestsM",'Monthly Growth'!F55,IF(Nonlabor!$I$13="InputM",'Monthly Growth'!D55*Assumptions!$E$22/1000000,IF(Nonlabor!$I$13="OutputM",'Monthly Growth'!D55*Assumptions!$E$23/1000000,0))))))))),0)</f>
        <v>23</v>
      </c>
      <c r="F3115" s="10" t="n">
        <f aca="false">Nonlabor!$J$13*(1+Assumptions!$E$9)^INT((C3115-1)/12)</f>
        <v>4.67943424</v>
      </c>
      <c r="G3115" s="10" t="n">
        <f aca="false">E3115*F3115</f>
        <v>107.62698752</v>
      </c>
      <c r="H3115" s="10" t="n">
        <f aca="false">IF(OR(Nonlabor!$L$13="Quote required",Nonlabor!$L$13="Unverified"),G3115,0)</f>
        <v>0</v>
      </c>
      <c r="I3115" s="10" t="n">
        <f aca="false">IF(Nonlabor!$E$13="Core",0,G3115)</f>
        <v>0</v>
      </c>
      <c r="J3115" s="23" t="str">
        <f aca="false">Nonlabor!$B$13</f>
        <v>TOOLS</v>
      </c>
    </row>
    <row r="3116" customFormat="false" ht="15" hidden="false" customHeight="false" outlineLevel="0" collapsed="false">
      <c r="A3116" s="6" t="s">
        <v>73</v>
      </c>
      <c r="B3116" s="6" t="s">
        <v>395</v>
      </c>
      <c r="C3116" s="6" t="n">
        <v>51</v>
      </c>
      <c r="D3116" s="25" t="n">
        <f aca="false">EDATE('Start Here'!$B$6,C3116-1)</f>
        <v>47849</v>
      </c>
      <c r="E3116" s="23" t="n">
        <f aca="false">IF(AND(OR(Nonlabor!$D$13="Both",Nonlabor!$D$13='Start Here'!$B$9),IF(Nonlabor!$E$13="Core",1,IF(Nonlabor!$E$13="AI",'Start Here'!$B$7,'Start Here'!$B$8))=1,C3116&gt;=IF(Nonlabor!$E$13="Core",Nonlabor!$F$13,MAX(Nonlabor!$F$13,IF(Nonlabor!$E$13="AI",Assumptions!$E$24,Assumptions!$E$25))),C3116&lt;=Nonlabor!$G$13,OR(Nonlabor!$H$13="Monthly",AND(Nonlabor!$H$13="Once",C3116=IF(Nonlabor!$E$13="Core",Nonlabor!$F$13,MAX(Nonlabor!$F$13,IF(Nonlabor!$E$13="AI",Assumptions!$E$24,Assumptions!$E$25)))),AND(Nonlabor!$H$13="Annual",MOD(C3116-IF(Nonlabor!$E$13="Core",Nonlabor!$F$13,MAX(Nonlabor!$F$13,IF(Nonlabor!$E$13="AI",Assumptions!$E$24,Assumptions!$E$25))),12)=0))),IF(Nonlabor!$I$13="Fixed",1,IF(Nonlabor!$I$13="Seats",ROUNDUP('Monthly Growth'!I56,0),IF(Nonlabor!$I$13="Customers",'Monthly Growth'!D56,IF(Nonlabor!$I$13="NewCustomers",'Monthly Growth'!C56,IF(Nonlabor!$I$13="StorageGB",'Monthly Growth'!G56,IF(Nonlabor!$I$13="LogGB",'Monthly Growth'!H56,IF(Nonlabor!$I$13="RequestsM",'Monthly Growth'!F56,IF(Nonlabor!$I$13="InputM",'Monthly Growth'!D56*Assumptions!$E$22/1000000,IF(Nonlabor!$I$13="OutputM",'Monthly Growth'!D56*Assumptions!$E$23/1000000,0))))))))),0)</f>
        <v>23</v>
      </c>
      <c r="F3116" s="10" t="n">
        <f aca="false">Nonlabor!$J$13*(1+Assumptions!$E$9)^INT((C3116-1)/12)</f>
        <v>4.67943424</v>
      </c>
      <c r="G3116" s="10" t="n">
        <f aca="false">E3116*F3116</f>
        <v>107.62698752</v>
      </c>
      <c r="H3116" s="10" t="n">
        <f aca="false">IF(OR(Nonlabor!$L$13="Quote required",Nonlabor!$L$13="Unverified"),G3116,0)</f>
        <v>0</v>
      </c>
      <c r="I3116" s="10" t="n">
        <f aca="false">IF(Nonlabor!$E$13="Core",0,G3116)</f>
        <v>0</v>
      </c>
      <c r="J3116" s="23" t="str">
        <f aca="false">Nonlabor!$B$13</f>
        <v>TOOLS</v>
      </c>
    </row>
    <row r="3117" customFormat="false" ht="15" hidden="false" customHeight="false" outlineLevel="0" collapsed="false">
      <c r="A3117" s="6" t="s">
        <v>73</v>
      </c>
      <c r="B3117" s="6" t="s">
        <v>395</v>
      </c>
      <c r="C3117" s="6" t="n">
        <v>52</v>
      </c>
      <c r="D3117" s="25" t="n">
        <f aca="false">EDATE('Start Here'!$B$6,C3117-1)</f>
        <v>47880</v>
      </c>
      <c r="E3117" s="23" t="n">
        <f aca="false">IF(AND(OR(Nonlabor!$D$13="Both",Nonlabor!$D$13='Start Here'!$B$9),IF(Nonlabor!$E$13="Core",1,IF(Nonlabor!$E$13="AI",'Start Here'!$B$7,'Start Here'!$B$8))=1,C3117&gt;=IF(Nonlabor!$E$13="Core",Nonlabor!$F$13,MAX(Nonlabor!$F$13,IF(Nonlabor!$E$13="AI",Assumptions!$E$24,Assumptions!$E$25))),C3117&lt;=Nonlabor!$G$13,OR(Nonlabor!$H$13="Monthly",AND(Nonlabor!$H$13="Once",C3117=IF(Nonlabor!$E$13="Core",Nonlabor!$F$13,MAX(Nonlabor!$F$13,IF(Nonlabor!$E$13="AI",Assumptions!$E$24,Assumptions!$E$25)))),AND(Nonlabor!$H$13="Annual",MOD(C3117-IF(Nonlabor!$E$13="Core",Nonlabor!$F$13,MAX(Nonlabor!$F$13,IF(Nonlabor!$E$13="AI",Assumptions!$E$24,Assumptions!$E$25))),12)=0))),IF(Nonlabor!$I$13="Fixed",1,IF(Nonlabor!$I$13="Seats",ROUNDUP('Monthly Growth'!I57,0),IF(Nonlabor!$I$13="Customers",'Monthly Growth'!D57,IF(Nonlabor!$I$13="NewCustomers",'Monthly Growth'!C57,IF(Nonlabor!$I$13="StorageGB",'Monthly Growth'!G57,IF(Nonlabor!$I$13="LogGB",'Monthly Growth'!H57,IF(Nonlabor!$I$13="RequestsM",'Monthly Growth'!F57,IF(Nonlabor!$I$13="InputM",'Monthly Growth'!D57*Assumptions!$E$22/1000000,IF(Nonlabor!$I$13="OutputM",'Monthly Growth'!D57*Assumptions!$E$23/1000000,0))))))))),0)</f>
        <v>23</v>
      </c>
      <c r="F3117" s="10" t="n">
        <f aca="false">Nonlabor!$J$13*(1+Assumptions!$E$9)^INT((C3117-1)/12)</f>
        <v>4.67943424</v>
      </c>
      <c r="G3117" s="10" t="n">
        <f aca="false">E3117*F3117</f>
        <v>107.62698752</v>
      </c>
      <c r="H3117" s="10" t="n">
        <f aca="false">IF(OR(Nonlabor!$L$13="Quote required",Nonlabor!$L$13="Unverified"),G3117,0)</f>
        <v>0</v>
      </c>
      <c r="I3117" s="10" t="n">
        <f aca="false">IF(Nonlabor!$E$13="Core",0,G3117)</f>
        <v>0</v>
      </c>
      <c r="J3117" s="23" t="str">
        <f aca="false">Nonlabor!$B$13</f>
        <v>TOOLS</v>
      </c>
    </row>
    <row r="3118" customFormat="false" ht="15" hidden="false" customHeight="false" outlineLevel="0" collapsed="false">
      <c r="A3118" s="6" t="s">
        <v>73</v>
      </c>
      <c r="B3118" s="6" t="s">
        <v>395</v>
      </c>
      <c r="C3118" s="6" t="n">
        <v>53</v>
      </c>
      <c r="D3118" s="25" t="n">
        <f aca="false">EDATE('Start Here'!$B$6,C3118-1)</f>
        <v>47908</v>
      </c>
      <c r="E3118" s="23" t="n">
        <f aca="false">IF(AND(OR(Nonlabor!$D$13="Both",Nonlabor!$D$13='Start Here'!$B$9),IF(Nonlabor!$E$13="Core",1,IF(Nonlabor!$E$13="AI",'Start Here'!$B$7,'Start Here'!$B$8))=1,C3118&gt;=IF(Nonlabor!$E$13="Core",Nonlabor!$F$13,MAX(Nonlabor!$F$13,IF(Nonlabor!$E$13="AI",Assumptions!$E$24,Assumptions!$E$25))),C3118&lt;=Nonlabor!$G$13,OR(Nonlabor!$H$13="Monthly",AND(Nonlabor!$H$13="Once",C3118=IF(Nonlabor!$E$13="Core",Nonlabor!$F$13,MAX(Nonlabor!$F$13,IF(Nonlabor!$E$13="AI",Assumptions!$E$24,Assumptions!$E$25)))),AND(Nonlabor!$H$13="Annual",MOD(C3118-IF(Nonlabor!$E$13="Core",Nonlabor!$F$13,MAX(Nonlabor!$F$13,IF(Nonlabor!$E$13="AI",Assumptions!$E$24,Assumptions!$E$25))),12)=0))),IF(Nonlabor!$I$13="Fixed",1,IF(Nonlabor!$I$13="Seats",ROUNDUP('Monthly Growth'!I58,0),IF(Nonlabor!$I$13="Customers",'Monthly Growth'!D58,IF(Nonlabor!$I$13="NewCustomers",'Monthly Growth'!C58,IF(Nonlabor!$I$13="StorageGB",'Monthly Growth'!G58,IF(Nonlabor!$I$13="LogGB",'Monthly Growth'!H58,IF(Nonlabor!$I$13="RequestsM",'Monthly Growth'!F58,IF(Nonlabor!$I$13="InputM",'Monthly Growth'!D58*Assumptions!$E$22/1000000,IF(Nonlabor!$I$13="OutputM",'Monthly Growth'!D58*Assumptions!$E$23/1000000,0))))))))),0)</f>
        <v>23</v>
      </c>
      <c r="F3118" s="10" t="n">
        <f aca="false">Nonlabor!$J$13*(1+Assumptions!$E$9)^INT((C3118-1)/12)</f>
        <v>4.67943424</v>
      </c>
      <c r="G3118" s="10" t="n">
        <f aca="false">E3118*F3118</f>
        <v>107.62698752</v>
      </c>
      <c r="H3118" s="10" t="n">
        <f aca="false">IF(OR(Nonlabor!$L$13="Quote required",Nonlabor!$L$13="Unverified"),G3118,0)</f>
        <v>0</v>
      </c>
      <c r="I3118" s="10" t="n">
        <f aca="false">IF(Nonlabor!$E$13="Core",0,G3118)</f>
        <v>0</v>
      </c>
      <c r="J3118" s="23" t="str">
        <f aca="false">Nonlabor!$B$13</f>
        <v>TOOLS</v>
      </c>
    </row>
    <row r="3119" customFormat="false" ht="15" hidden="false" customHeight="false" outlineLevel="0" collapsed="false">
      <c r="A3119" s="6" t="s">
        <v>73</v>
      </c>
      <c r="B3119" s="6" t="s">
        <v>395</v>
      </c>
      <c r="C3119" s="6" t="n">
        <v>54</v>
      </c>
      <c r="D3119" s="25" t="n">
        <f aca="false">EDATE('Start Here'!$B$6,C3119-1)</f>
        <v>47939</v>
      </c>
      <c r="E3119" s="23" t="n">
        <f aca="false">IF(AND(OR(Nonlabor!$D$13="Both",Nonlabor!$D$13='Start Here'!$B$9),IF(Nonlabor!$E$13="Core",1,IF(Nonlabor!$E$13="AI",'Start Here'!$B$7,'Start Here'!$B$8))=1,C3119&gt;=IF(Nonlabor!$E$13="Core",Nonlabor!$F$13,MAX(Nonlabor!$F$13,IF(Nonlabor!$E$13="AI",Assumptions!$E$24,Assumptions!$E$25))),C3119&lt;=Nonlabor!$G$13,OR(Nonlabor!$H$13="Monthly",AND(Nonlabor!$H$13="Once",C3119=IF(Nonlabor!$E$13="Core",Nonlabor!$F$13,MAX(Nonlabor!$F$13,IF(Nonlabor!$E$13="AI",Assumptions!$E$24,Assumptions!$E$25)))),AND(Nonlabor!$H$13="Annual",MOD(C3119-IF(Nonlabor!$E$13="Core",Nonlabor!$F$13,MAX(Nonlabor!$F$13,IF(Nonlabor!$E$13="AI",Assumptions!$E$24,Assumptions!$E$25))),12)=0))),IF(Nonlabor!$I$13="Fixed",1,IF(Nonlabor!$I$13="Seats",ROUNDUP('Monthly Growth'!I59,0),IF(Nonlabor!$I$13="Customers",'Monthly Growth'!D59,IF(Nonlabor!$I$13="NewCustomers",'Monthly Growth'!C59,IF(Nonlabor!$I$13="StorageGB",'Monthly Growth'!G59,IF(Nonlabor!$I$13="LogGB",'Monthly Growth'!H59,IF(Nonlabor!$I$13="RequestsM",'Monthly Growth'!F59,IF(Nonlabor!$I$13="InputM",'Monthly Growth'!D59*Assumptions!$E$22/1000000,IF(Nonlabor!$I$13="OutputM",'Monthly Growth'!D59*Assumptions!$E$23/1000000,0))))))))),0)</f>
        <v>23</v>
      </c>
      <c r="F3119" s="10" t="n">
        <f aca="false">Nonlabor!$J$13*(1+Assumptions!$E$9)^INT((C3119-1)/12)</f>
        <v>4.67943424</v>
      </c>
      <c r="G3119" s="10" t="n">
        <f aca="false">E3119*F3119</f>
        <v>107.62698752</v>
      </c>
      <c r="H3119" s="10" t="n">
        <f aca="false">IF(OR(Nonlabor!$L$13="Quote required",Nonlabor!$L$13="Unverified"),G3119,0)</f>
        <v>0</v>
      </c>
      <c r="I3119" s="10" t="n">
        <f aca="false">IF(Nonlabor!$E$13="Core",0,G3119)</f>
        <v>0</v>
      </c>
      <c r="J3119" s="23" t="str">
        <f aca="false">Nonlabor!$B$13</f>
        <v>TOOLS</v>
      </c>
    </row>
    <row r="3120" customFormat="false" ht="15" hidden="false" customHeight="false" outlineLevel="0" collapsed="false">
      <c r="A3120" s="6" t="s">
        <v>73</v>
      </c>
      <c r="B3120" s="6" t="s">
        <v>395</v>
      </c>
      <c r="C3120" s="6" t="n">
        <v>55</v>
      </c>
      <c r="D3120" s="25" t="n">
        <f aca="false">EDATE('Start Here'!$B$6,C3120-1)</f>
        <v>47969</v>
      </c>
      <c r="E3120" s="23" t="n">
        <f aca="false">IF(AND(OR(Nonlabor!$D$13="Both",Nonlabor!$D$13='Start Here'!$B$9),IF(Nonlabor!$E$13="Core",1,IF(Nonlabor!$E$13="AI",'Start Here'!$B$7,'Start Here'!$B$8))=1,C3120&gt;=IF(Nonlabor!$E$13="Core",Nonlabor!$F$13,MAX(Nonlabor!$F$13,IF(Nonlabor!$E$13="AI",Assumptions!$E$24,Assumptions!$E$25))),C3120&lt;=Nonlabor!$G$13,OR(Nonlabor!$H$13="Monthly",AND(Nonlabor!$H$13="Once",C3120=IF(Nonlabor!$E$13="Core",Nonlabor!$F$13,MAX(Nonlabor!$F$13,IF(Nonlabor!$E$13="AI",Assumptions!$E$24,Assumptions!$E$25)))),AND(Nonlabor!$H$13="Annual",MOD(C3120-IF(Nonlabor!$E$13="Core",Nonlabor!$F$13,MAX(Nonlabor!$F$13,IF(Nonlabor!$E$13="AI",Assumptions!$E$24,Assumptions!$E$25))),12)=0))),IF(Nonlabor!$I$13="Fixed",1,IF(Nonlabor!$I$13="Seats",ROUNDUP('Monthly Growth'!I60,0),IF(Nonlabor!$I$13="Customers",'Monthly Growth'!D60,IF(Nonlabor!$I$13="NewCustomers",'Monthly Growth'!C60,IF(Nonlabor!$I$13="StorageGB",'Monthly Growth'!G60,IF(Nonlabor!$I$13="LogGB",'Monthly Growth'!H60,IF(Nonlabor!$I$13="RequestsM",'Monthly Growth'!F60,IF(Nonlabor!$I$13="InputM",'Monthly Growth'!D60*Assumptions!$E$22/1000000,IF(Nonlabor!$I$13="OutputM",'Monthly Growth'!D60*Assumptions!$E$23/1000000,0))))))))),0)</f>
        <v>23</v>
      </c>
      <c r="F3120" s="10" t="n">
        <f aca="false">Nonlabor!$J$13*(1+Assumptions!$E$9)^INT((C3120-1)/12)</f>
        <v>4.67943424</v>
      </c>
      <c r="G3120" s="10" t="n">
        <f aca="false">E3120*F3120</f>
        <v>107.62698752</v>
      </c>
      <c r="H3120" s="10" t="n">
        <f aca="false">IF(OR(Nonlabor!$L$13="Quote required",Nonlabor!$L$13="Unverified"),G3120,0)</f>
        <v>0</v>
      </c>
      <c r="I3120" s="10" t="n">
        <f aca="false">IF(Nonlabor!$E$13="Core",0,G3120)</f>
        <v>0</v>
      </c>
      <c r="J3120" s="23" t="str">
        <f aca="false">Nonlabor!$B$13</f>
        <v>TOOLS</v>
      </c>
    </row>
    <row r="3121" customFormat="false" ht="15" hidden="false" customHeight="false" outlineLevel="0" collapsed="false">
      <c r="A3121" s="6" t="s">
        <v>73</v>
      </c>
      <c r="B3121" s="6" t="s">
        <v>395</v>
      </c>
      <c r="C3121" s="6" t="n">
        <v>56</v>
      </c>
      <c r="D3121" s="25" t="n">
        <f aca="false">EDATE('Start Here'!$B$6,C3121-1)</f>
        <v>48000</v>
      </c>
      <c r="E3121" s="23" t="n">
        <f aca="false">IF(AND(OR(Nonlabor!$D$13="Both",Nonlabor!$D$13='Start Here'!$B$9),IF(Nonlabor!$E$13="Core",1,IF(Nonlabor!$E$13="AI",'Start Here'!$B$7,'Start Here'!$B$8))=1,C3121&gt;=IF(Nonlabor!$E$13="Core",Nonlabor!$F$13,MAX(Nonlabor!$F$13,IF(Nonlabor!$E$13="AI",Assumptions!$E$24,Assumptions!$E$25))),C3121&lt;=Nonlabor!$G$13,OR(Nonlabor!$H$13="Monthly",AND(Nonlabor!$H$13="Once",C3121=IF(Nonlabor!$E$13="Core",Nonlabor!$F$13,MAX(Nonlabor!$F$13,IF(Nonlabor!$E$13="AI",Assumptions!$E$24,Assumptions!$E$25)))),AND(Nonlabor!$H$13="Annual",MOD(C3121-IF(Nonlabor!$E$13="Core",Nonlabor!$F$13,MAX(Nonlabor!$F$13,IF(Nonlabor!$E$13="AI",Assumptions!$E$24,Assumptions!$E$25))),12)=0))),IF(Nonlabor!$I$13="Fixed",1,IF(Nonlabor!$I$13="Seats",ROUNDUP('Monthly Growth'!I61,0),IF(Nonlabor!$I$13="Customers",'Monthly Growth'!D61,IF(Nonlabor!$I$13="NewCustomers",'Monthly Growth'!C61,IF(Nonlabor!$I$13="StorageGB",'Monthly Growth'!G61,IF(Nonlabor!$I$13="LogGB",'Monthly Growth'!H61,IF(Nonlabor!$I$13="RequestsM",'Monthly Growth'!F61,IF(Nonlabor!$I$13="InputM",'Monthly Growth'!D61*Assumptions!$E$22/1000000,IF(Nonlabor!$I$13="OutputM",'Monthly Growth'!D61*Assumptions!$E$23/1000000,0))))))))),0)</f>
        <v>23</v>
      </c>
      <c r="F3121" s="10" t="n">
        <f aca="false">Nonlabor!$J$13*(1+Assumptions!$E$9)^INT((C3121-1)/12)</f>
        <v>4.67943424</v>
      </c>
      <c r="G3121" s="10" t="n">
        <f aca="false">E3121*F3121</f>
        <v>107.62698752</v>
      </c>
      <c r="H3121" s="10" t="n">
        <f aca="false">IF(OR(Nonlabor!$L$13="Quote required",Nonlabor!$L$13="Unverified"),G3121,0)</f>
        <v>0</v>
      </c>
      <c r="I3121" s="10" t="n">
        <f aca="false">IF(Nonlabor!$E$13="Core",0,G3121)</f>
        <v>0</v>
      </c>
      <c r="J3121" s="23" t="str">
        <f aca="false">Nonlabor!$B$13</f>
        <v>TOOLS</v>
      </c>
    </row>
    <row r="3122" customFormat="false" ht="15" hidden="false" customHeight="false" outlineLevel="0" collapsed="false">
      <c r="A3122" s="6" t="s">
        <v>73</v>
      </c>
      <c r="B3122" s="6" t="s">
        <v>395</v>
      </c>
      <c r="C3122" s="6" t="n">
        <v>57</v>
      </c>
      <c r="D3122" s="25" t="n">
        <f aca="false">EDATE('Start Here'!$B$6,C3122-1)</f>
        <v>48030</v>
      </c>
      <c r="E3122" s="23" t="n">
        <f aca="false">IF(AND(OR(Nonlabor!$D$13="Both",Nonlabor!$D$13='Start Here'!$B$9),IF(Nonlabor!$E$13="Core",1,IF(Nonlabor!$E$13="AI",'Start Here'!$B$7,'Start Here'!$B$8))=1,C3122&gt;=IF(Nonlabor!$E$13="Core",Nonlabor!$F$13,MAX(Nonlabor!$F$13,IF(Nonlabor!$E$13="AI",Assumptions!$E$24,Assumptions!$E$25))),C3122&lt;=Nonlabor!$G$13,OR(Nonlabor!$H$13="Monthly",AND(Nonlabor!$H$13="Once",C3122=IF(Nonlabor!$E$13="Core",Nonlabor!$F$13,MAX(Nonlabor!$F$13,IF(Nonlabor!$E$13="AI",Assumptions!$E$24,Assumptions!$E$25)))),AND(Nonlabor!$H$13="Annual",MOD(C3122-IF(Nonlabor!$E$13="Core",Nonlabor!$F$13,MAX(Nonlabor!$F$13,IF(Nonlabor!$E$13="AI",Assumptions!$E$24,Assumptions!$E$25))),12)=0))),IF(Nonlabor!$I$13="Fixed",1,IF(Nonlabor!$I$13="Seats",ROUNDUP('Monthly Growth'!I62,0),IF(Nonlabor!$I$13="Customers",'Monthly Growth'!D62,IF(Nonlabor!$I$13="NewCustomers",'Monthly Growth'!C62,IF(Nonlabor!$I$13="StorageGB",'Monthly Growth'!G62,IF(Nonlabor!$I$13="LogGB",'Monthly Growth'!H62,IF(Nonlabor!$I$13="RequestsM",'Monthly Growth'!F62,IF(Nonlabor!$I$13="InputM",'Monthly Growth'!D62*Assumptions!$E$22/1000000,IF(Nonlabor!$I$13="OutputM",'Monthly Growth'!D62*Assumptions!$E$23/1000000,0))))))))),0)</f>
        <v>23</v>
      </c>
      <c r="F3122" s="10" t="n">
        <f aca="false">Nonlabor!$J$13*(1+Assumptions!$E$9)^INT((C3122-1)/12)</f>
        <v>4.67943424</v>
      </c>
      <c r="G3122" s="10" t="n">
        <f aca="false">E3122*F3122</f>
        <v>107.62698752</v>
      </c>
      <c r="H3122" s="10" t="n">
        <f aca="false">IF(OR(Nonlabor!$L$13="Quote required",Nonlabor!$L$13="Unverified"),G3122,0)</f>
        <v>0</v>
      </c>
      <c r="I3122" s="10" t="n">
        <f aca="false">IF(Nonlabor!$E$13="Core",0,G3122)</f>
        <v>0</v>
      </c>
      <c r="J3122" s="23" t="str">
        <f aca="false">Nonlabor!$B$13</f>
        <v>TOOLS</v>
      </c>
    </row>
    <row r="3123" customFormat="false" ht="15" hidden="false" customHeight="false" outlineLevel="0" collapsed="false">
      <c r="A3123" s="6" t="s">
        <v>73</v>
      </c>
      <c r="B3123" s="6" t="s">
        <v>395</v>
      </c>
      <c r="C3123" s="6" t="n">
        <v>58</v>
      </c>
      <c r="D3123" s="25" t="n">
        <f aca="false">EDATE('Start Here'!$B$6,C3123-1)</f>
        <v>48061</v>
      </c>
      <c r="E3123" s="23" t="n">
        <f aca="false">IF(AND(OR(Nonlabor!$D$13="Both",Nonlabor!$D$13='Start Here'!$B$9),IF(Nonlabor!$E$13="Core",1,IF(Nonlabor!$E$13="AI",'Start Here'!$B$7,'Start Here'!$B$8))=1,C3123&gt;=IF(Nonlabor!$E$13="Core",Nonlabor!$F$13,MAX(Nonlabor!$F$13,IF(Nonlabor!$E$13="AI",Assumptions!$E$24,Assumptions!$E$25))),C3123&lt;=Nonlabor!$G$13,OR(Nonlabor!$H$13="Monthly",AND(Nonlabor!$H$13="Once",C3123=IF(Nonlabor!$E$13="Core",Nonlabor!$F$13,MAX(Nonlabor!$F$13,IF(Nonlabor!$E$13="AI",Assumptions!$E$24,Assumptions!$E$25)))),AND(Nonlabor!$H$13="Annual",MOD(C3123-IF(Nonlabor!$E$13="Core",Nonlabor!$F$13,MAX(Nonlabor!$F$13,IF(Nonlabor!$E$13="AI",Assumptions!$E$24,Assumptions!$E$25))),12)=0))),IF(Nonlabor!$I$13="Fixed",1,IF(Nonlabor!$I$13="Seats",ROUNDUP('Monthly Growth'!I63,0),IF(Nonlabor!$I$13="Customers",'Monthly Growth'!D63,IF(Nonlabor!$I$13="NewCustomers",'Monthly Growth'!C63,IF(Nonlabor!$I$13="StorageGB",'Monthly Growth'!G63,IF(Nonlabor!$I$13="LogGB",'Monthly Growth'!H63,IF(Nonlabor!$I$13="RequestsM",'Monthly Growth'!F63,IF(Nonlabor!$I$13="InputM",'Monthly Growth'!D63*Assumptions!$E$22/1000000,IF(Nonlabor!$I$13="OutputM",'Monthly Growth'!D63*Assumptions!$E$23/1000000,0))))))))),0)</f>
        <v>23</v>
      </c>
      <c r="F3123" s="10" t="n">
        <f aca="false">Nonlabor!$J$13*(1+Assumptions!$E$9)^INT((C3123-1)/12)</f>
        <v>4.67943424</v>
      </c>
      <c r="G3123" s="10" t="n">
        <f aca="false">E3123*F3123</f>
        <v>107.62698752</v>
      </c>
      <c r="H3123" s="10" t="n">
        <f aca="false">IF(OR(Nonlabor!$L$13="Quote required",Nonlabor!$L$13="Unverified"),G3123,0)</f>
        <v>0</v>
      </c>
      <c r="I3123" s="10" t="n">
        <f aca="false">IF(Nonlabor!$E$13="Core",0,G3123)</f>
        <v>0</v>
      </c>
      <c r="J3123" s="23" t="str">
        <f aca="false">Nonlabor!$B$13</f>
        <v>TOOLS</v>
      </c>
    </row>
    <row r="3124" customFormat="false" ht="15" hidden="false" customHeight="false" outlineLevel="0" collapsed="false">
      <c r="A3124" s="6" t="s">
        <v>73</v>
      </c>
      <c r="B3124" s="6" t="s">
        <v>395</v>
      </c>
      <c r="C3124" s="6" t="n">
        <v>59</v>
      </c>
      <c r="D3124" s="25" t="n">
        <f aca="false">EDATE('Start Here'!$B$6,C3124-1)</f>
        <v>48092</v>
      </c>
      <c r="E3124" s="23" t="n">
        <f aca="false">IF(AND(OR(Nonlabor!$D$13="Both",Nonlabor!$D$13='Start Here'!$B$9),IF(Nonlabor!$E$13="Core",1,IF(Nonlabor!$E$13="AI",'Start Here'!$B$7,'Start Here'!$B$8))=1,C3124&gt;=IF(Nonlabor!$E$13="Core",Nonlabor!$F$13,MAX(Nonlabor!$F$13,IF(Nonlabor!$E$13="AI",Assumptions!$E$24,Assumptions!$E$25))),C3124&lt;=Nonlabor!$G$13,OR(Nonlabor!$H$13="Monthly",AND(Nonlabor!$H$13="Once",C3124=IF(Nonlabor!$E$13="Core",Nonlabor!$F$13,MAX(Nonlabor!$F$13,IF(Nonlabor!$E$13="AI",Assumptions!$E$24,Assumptions!$E$25)))),AND(Nonlabor!$H$13="Annual",MOD(C3124-IF(Nonlabor!$E$13="Core",Nonlabor!$F$13,MAX(Nonlabor!$F$13,IF(Nonlabor!$E$13="AI",Assumptions!$E$24,Assumptions!$E$25))),12)=0))),IF(Nonlabor!$I$13="Fixed",1,IF(Nonlabor!$I$13="Seats",ROUNDUP('Monthly Growth'!I64,0),IF(Nonlabor!$I$13="Customers",'Monthly Growth'!D64,IF(Nonlabor!$I$13="NewCustomers",'Monthly Growth'!C64,IF(Nonlabor!$I$13="StorageGB",'Monthly Growth'!G64,IF(Nonlabor!$I$13="LogGB",'Monthly Growth'!H64,IF(Nonlabor!$I$13="RequestsM",'Monthly Growth'!F64,IF(Nonlabor!$I$13="InputM",'Monthly Growth'!D64*Assumptions!$E$22/1000000,IF(Nonlabor!$I$13="OutputM",'Monthly Growth'!D64*Assumptions!$E$23/1000000,0))))))))),0)</f>
        <v>23</v>
      </c>
      <c r="F3124" s="10" t="n">
        <f aca="false">Nonlabor!$J$13*(1+Assumptions!$E$9)^INT((C3124-1)/12)</f>
        <v>4.67943424</v>
      </c>
      <c r="G3124" s="10" t="n">
        <f aca="false">E3124*F3124</f>
        <v>107.62698752</v>
      </c>
      <c r="H3124" s="10" t="n">
        <f aca="false">IF(OR(Nonlabor!$L$13="Quote required",Nonlabor!$L$13="Unverified"),G3124,0)</f>
        <v>0</v>
      </c>
      <c r="I3124" s="10" t="n">
        <f aca="false">IF(Nonlabor!$E$13="Core",0,G3124)</f>
        <v>0</v>
      </c>
      <c r="J3124" s="23" t="str">
        <f aca="false">Nonlabor!$B$13</f>
        <v>TOOLS</v>
      </c>
    </row>
    <row r="3125" customFormat="false" ht="15" hidden="false" customHeight="false" outlineLevel="0" collapsed="false">
      <c r="A3125" s="6" t="s">
        <v>73</v>
      </c>
      <c r="B3125" s="6" t="s">
        <v>395</v>
      </c>
      <c r="C3125" s="6" t="n">
        <v>60</v>
      </c>
      <c r="D3125" s="25" t="n">
        <f aca="false">EDATE('Start Here'!$B$6,C3125-1)</f>
        <v>48122</v>
      </c>
      <c r="E3125" s="23" t="n">
        <f aca="false">IF(AND(OR(Nonlabor!$D$13="Both",Nonlabor!$D$13='Start Here'!$B$9),IF(Nonlabor!$E$13="Core",1,IF(Nonlabor!$E$13="AI",'Start Here'!$B$7,'Start Here'!$B$8))=1,C3125&gt;=IF(Nonlabor!$E$13="Core",Nonlabor!$F$13,MAX(Nonlabor!$F$13,IF(Nonlabor!$E$13="AI",Assumptions!$E$24,Assumptions!$E$25))),C3125&lt;=Nonlabor!$G$13,OR(Nonlabor!$H$13="Monthly",AND(Nonlabor!$H$13="Once",C3125=IF(Nonlabor!$E$13="Core",Nonlabor!$F$13,MAX(Nonlabor!$F$13,IF(Nonlabor!$E$13="AI",Assumptions!$E$24,Assumptions!$E$25)))),AND(Nonlabor!$H$13="Annual",MOD(C3125-IF(Nonlabor!$E$13="Core",Nonlabor!$F$13,MAX(Nonlabor!$F$13,IF(Nonlabor!$E$13="AI",Assumptions!$E$24,Assumptions!$E$25))),12)=0))),IF(Nonlabor!$I$13="Fixed",1,IF(Nonlabor!$I$13="Seats",ROUNDUP('Monthly Growth'!I65,0),IF(Nonlabor!$I$13="Customers",'Monthly Growth'!D65,IF(Nonlabor!$I$13="NewCustomers",'Monthly Growth'!C65,IF(Nonlabor!$I$13="StorageGB",'Monthly Growth'!G65,IF(Nonlabor!$I$13="LogGB",'Monthly Growth'!H65,IF(Nonlabor!$I$13="RequestsM",'Monthly Growth'!F65,IF(Nonlabor!$I$13="InputM",'Monthly Growth'!D65*Assumptions!$E$22/1000000,IF(Nonlabor!$I$13="OutputM",'Monthly Growth'!D65*Assumptions!$E$23/1000000,0))))))))),0)</f>
        <v>23</v>
      </c>
      <c r="F3125" s="10" t="n">
        <f aca="false">Nonlabor!$J$13*(1+Assumptions!$E$9)^INT((C3125-1)/12)</f>
        <v>4.67943424</v>
      </c>
      <c r="G3125" s="10" t="n">
        <f aca="false">E3125*F3125</f>
        <v>107.62698752</v>
      </c>
      <c r="H3125" s="10" t="n">
        <f aca="false">IF(OR(Nonlabor!$L$13="Quote required",Nonlabor!$L$13="Unverified"),G3125,0)</f>
        <v>0</v>
      </c>
      <c r="I3125" s="10" t="n">
        <f aca="false">IF(Nonlabor!$E$13="Core",0,G3125)</f>
        <v>0</v>
      </c>
      <c r="J3125" s="23" t="str">
        <f aca="false">Nonlabor!$B$13</f>
        <v>TOOLS</v>
      </c>
    </row>
    <row r="3126" customFormat="false" ht="15" hidden="false" customHeight="false" outlineLevel="0" collapsed="false">
      <c r="A3126" s="6" t="s">
        <v>73</v>
      </c>
      <c r="B3126" s="6" t="s">
        <v>399</v>
      </c>
      <c r="C3126" s="6" t="n">
        <v>1</v>
      </c>
      <c r="D3126" s="25" t="n">
        <f aca="false">EDATE('Start Here'!$B$6,C3126-1)</f>
        <v>46327</v>
      </c>
      <c r="E3126" s="23" t="n">
        <f aca="false">IF(AND(OR(Nonlabor!$D$14="Both",Nonlabor!$D$14='Start Here'!$B$9),IF(Nonlabor!$E$14="Core",1,IF(Nonlabor!$E$14="AI",'Start Here'!$B$7,'Start Here'!$B$8))=1,C3126&gt;=IF(Nonlabor!$E$14="Core",Nonlabor!$F$14,MAX(Nonlabor!$F$14,IF(Nonlabor!$E$14="AI",Assumptions!$E$24,Assumptions!$E$25))),C3126&lt;=Nonlabor!$G$14,OR(Nonlabor!$H$14="Monthly",AND(Nonlabor!$H$14="Once",C3126=IF(Nonlabor!$E$14="Core",Nonlabor!$F$14,MAX(Nonlabor!$F$14,IF(Nonlabor!$E$14="AI",Assumptions!$E$24,Assumptions!$E$25)))),AND(Nonlabor!$H$14="Annual",MOD(C3126-IF(Nonlabor!$E$14="Core",Nonlabor!$F$14,MAX(Nonlabor!$F$14,IF(Nonlabor!$E$14="AI",Assumptions!$E$24,Assumptions!$E$25))),12)=0))),IF(Nonlabor!$I$14="Fixed",1,IF(Nonlabor!$I$14="Seats",ROUNDUP('Monthly Growth'!I6,0),IF(Nonlabor!$I$14="Customers",'Monthly Growth'!D6,IF(Nonlabor!$I$14="NewCustomers",'Monthly Growth'!C6,IF(Nonlabor!$I$14="StorageGB",'Monthly Growth'!G6,IF(Nonlabor!$I$14="LogGB",'Monthly Growth'!H6,IF(Nonlabor!$I$14="RequestsM",'Monthly Growth'!F6,IF(Nonlabor!$I$14="InputM",'Monthly Growth'!D6*Assumptions!$E$22/1000000,IF(Nonlabor!$I$14="OutputM",'Monthly Growth'!D6*Assumptions!$E$23/1000000,0))))))))),0)</f>
        <v>2</v>
      </c>
      <c r="F3126" s="10" t="n">
        <f aca="false">Nonlabor!$J$14*(1+Assumptions!$E$9)^INT((C3126-1)/12)</f>
        <v>45</v>
      </c>
      <c r="G3126" s="10" t="n">
        <f aca="false">E3126*F3126</f>
        <v>90</v>
      </c>
      <c r="H3126" s="10" t="n">
        <f aca="false">IF(OR(Nonlabor!$L$14="Quote required",Nonlabor!$L$14="Unverified"),G3126,0)</f>
        <v>0</v>
      </c>
      <c r="I3126" s="10" t="n">
        <f aca="false">IF(Nonlabor!$E$14="Core",0,G3126)</f>
        <v>0</v>
      </c>
      <c r="J3126" s="23" t="str">
        <f aca="false">Nonlabor!$B$14</f>
        <v>TOOLS</v>
      </c>
    </row>
    <row r="3127" customFormat="false" ht="15" hidden="false" customHeight="false" outlineLevel="0" collapsed="false">
      <c r="A3127" s="6" t="s">
        <v>73</v>
      </c>
      <c r="B3127" s="6" t="s">
        <v>399</v>
      </c>
      <c r="C3127" s="6" t="n">
        <v>2</v>
      </c>
      <c r="D3127" s="25" t="n">
        <f aca="false">EDATE('Start Here'!$B$6,C3127-1)</f>
        <v>46357</v>
      </c>
      <c r="E3127" s="23" t="n">
        <f aca="false">IF(AND(OR(Nonlabor!$D$14="Both",Nonlabor!$D$14='Start Here'!$B$9),IF(Nonlabor!$E$14="Core",1,IF(Nonlabor!$E$14="AI",'Start Here'!$B$7,'Start Here'!$B$8))=1,C3127&gt;=IF(Nonlabor!$E$14="Core",Nonlabor!$F$14,MAX(Nonlabor!$F$14,IF(Nonlabor!$E$14="AI",Assumptions!$E$24,Assumptions!$E$25))),C3127&lt;=Nonlabor!$G$14,OR(Nonlabor!$H$14="Monthly",AND(Nonlabor!$H$14="Once",C3127=IF(Nonlabor!$E$14="Core",Nonlabor!$F$14,MAX(Nonlabor!$F$14,IF(Nonlabor!$E$14="AI",Assumptions!$E$24,Assumptions!$E$25)))),AND(Nonlabor!$H$14="Annual",MOD(C3127-IF(Nonlabor!$E$14="Core",Nonlabor!$F$14,MAX(Nonlabor!$F$14,IF(Nonlabor!$E$14="AI",Assumptions!$E$24,Assumptions!$E$25))),12)=0))),IF(Nonlabor!$I$14="Fixed",1,IF(Nonlabor!$I$14="Seats",ROUNDUP('Monthly Growth'!I7,0),IF(Nonlabor!$I$14="Customers",'Monthly Growth'!D7,IF(Nonlabor!$I$14="NewCustomers",'Monthly Growth'!C7,IF(Nonlabor!$I$14="StorageGB",'Monthly Growth'!G7,IF(Nonlabor!$I$14="LogGB",'Monthly Growth'!H7,IF(Nonlabor!$I$14="RequestsM",'Monthly Growth'!F7,IF(Nonlabor!$I$14="InputM",'Monthly Growth'!D7*Assumptions!$E$22/1000000,IF(Nonlabor!$I$14="OutputM",'Monthly Growth'!D7*Assumptions!$E$23/1000000,0))))))))),0)</f>
        <v>5</v>
      </c>
      <c r="F3127" s="10" t="n">
        <f aca="false">Nonlabor!$J$14*(1+Assumptions!$E$9)^INT((C3127-1)/12)</f>
        <v>45</v>
      </c>
      <c r="G3127" s="10" t="n">
        <f aca="false">E3127*F3127</f>
        <v>225</v>
      </c>
      <c r="H3127" s="10" t="n">
        <f aca="false">IF(OR(Nonlabor!$L$14="Quote required",Nonlabor!$L$14="Unverified"),G3127,0)</f>
        <v>0</v>
      </c>
      <c r="I3127" s="10" t="n">
        <f aca="false">IF(Nonlabor!$E$14="Core",0,G3127)</f>
        <v>0</v>
      </c>
      <c r="J3127" s="23" t="str">
        <f aca="false">Nonlabor!$B$14</f>
        <v>TOOLS</v>
      </c>
    </row>
    <row r="3128" customFormat="false" ht="15" hidden="false" customHeight="false" outlineLevel="0" collapsed="false">
      <c r="A3128" s="6" t="s">
        <v>73</v>
      </c>
      <c r="B3128" s="6" t="s">
        <v>399</v>
      </c>
      <c r="C3128" s="6" t="n">
        <v>3</v>
      </c>
      <c r="D3128" s="25" t="n">
        <f aca="false">EDATE('Start Here'!$B$6,C3128-1)</f>
        <v>46388</v>
      </c>
      <c r="E3128" s="23" t="n">
        <f aca="false">IF(AND(OR(Nonlabor!$D$14="Both",Nonlabor!$D$14='Start Here'!$B$9),IF(Nonlabor!$E$14="Core",1,IF(Nonlabor!$E$14="AI",'Start Here'!$B$7,'Start Here'!$B$8))=1,C3128&gt;=IF(Nonlabor!$E$14="Core",Nonlabor!$F$14,MAX(Nonlabor!$F$14,IF(Nonlabor!$E$14="AI",Assumptions!$E$24,Assumptions!$E$25))),C3128&lt;=Nonlabor!$G$14,OR(Nonlabor!$H$14="Monthly",AND(Nonlabor!$H$14="Once",C3128=IF(Nonlabor!$E$14="Core",Nonlabor!$F$14,MAX(Nonlabor!$F$14,IF(Nonlabor!$E$14="AI",Assumptions!$E$24,Assumptions!$E$25)))),AND(Nonlabor!$H$14="Annual",MOD(C3128-IF(Nonlabor!$E$14="Core",Nonlabor!$F$14,MAX(Nonlabor!$F$14,IF(Nonlabor!$E$14="AI",Assumptions!$E$24,Assumptions!$E$25))),12)=0))),IF(Nonlabor!$I$14="Fixed",1,IF(Nonlabor!$I$14="Seats",ROUNDUP('Monthly Growth'!I8,0),IF(Nonlabor!$I$14="Customers",'Monthly Growth'!D8,IF(Nonlabor!$I$14="NewCustomers",'Monthly Growth'!C8,IF(Nonlabor!$I$14="StorageGB",'Monthly Growth'!G8,IF(Nonlabor!$I$14="LogGB",'Monthly Growth'!H8,IF(Nonlabor!$I$14="RequestsM",'Monthly Growth'!F8,IF(Nonlabor!$I$14="InputM",'Monthly Growth'!D8*Assumptions!$E$22/1000000,IF(Nonlabor!$I$14="OutputM",'Monthly Growth'!D8*Assumptions!$E$23/1000000,0))))))))),0)</f>
        <v>6</v>
      </c>
      <c r="F3128" s="10" t="n">
        <f aca="false">Nonlabor!$J$14*(1+Assumptions!$E$9)^INT((C3128-1)/12)</f>
        <v>45</v>
      </c>
      <c r="G3128" s="10" t="n">
        <f aca="false">E3128*F3128</f>
        <v>270</v>
      </c>
      <c r="H3128" s="10" t="n">
        <f aca="false">IF(OR(Nonlabor!$L$14="Quote required",Nonlabor!$L$14="Unverified"),G3128,0)</f>
        <v>0</v>
      </c>
      <c r="I3128" s="10" t="n">
        <f aca="false">IF(Nonlabor!$E$14="Core",0,G3128)</f>
        <v>0</v>
      </c>
      <c r="J3128" s="23" t="str">
        <f aca="false">Nonlabor!$B$14</f>
        <v>TOOLS</v>
      </c>
    </row>
    <row r="3129" customFormat="false" ht="15" hidden="false" customHeight="false" outlineLevel="0" collapsed="false">
      <c r="A3129" s="6" t="s">
        <v>73</v>
      </c>
      <c r="B3129" s="6" t="s">
        <v>399</v>
      </c>
      <c r="C3129" s="6" t="n">
        <v>4</v>
      </c>
      <c r="D3129" s="25" t="n">
        <f aca="false">EDATE('Start Here'!$B$6,C3129-1)</f>
        <v>46419</v>
      </c>
      <c r="E3129" s="23" t="n">
        <f aca="false">IF(AND(OR(Nonlabor!$D$14="Both",Nonlabor!$D$14='Start Here'!$B$9),IF(Nonlabor!$E$14="Core",1,IF(Nonlabor!$E$14="AI",'Start Here'!$B$7,'Start Here'!$B$8))=1,C3129&gt;=IF(Nonlabor!$E$14="Core",Nonlabor!$F$14,MAX(Nonlabor!$F$14,IF(Nonlabor!$E$14="AI",Assumptions!$E$24,Assumptions!$E$25))),C3129&lt;=Nonlabor!$G$14,OR(Nonlabor!$H$14="Monthly",AND(Nonlabor!$H$14="Once",C3129=IF(Nonlabor!$E$14="Core",Nonlabor!$F$14,MAX(Nonlabor!$F$14,IF(Nonlabor!$E$14="AI",Assumptions!$E$24,Assumptions!$E$25)))),AND(Nonlabor!$H$14="Annual",MOD(C3129-IF(Nonlabor!$E$14="Core",Nonlabor!$F$14,MAX(Nonlabor!$F$14,IF(Nonlabor!$E$14="AI",Assumptions!$E$24,Assumptions!$E$25))),12)=0))),IF(Nonlabor!$I$14="Fixed",1,IF(Nonlabor!$I$14="Seats",ROUNDUP('Monthly Growth'!I9,0),IF(Nonlabor!$I$14="Customers",'Monthly Growth'!D9,IF(Nonlabor!$I$14="NewCustomers",'Monthly Growth'!C9,IF(Nonlabor!$I$14="StorageGB",'Monthly Growth'!G9,IF(Nonlabor!$I$14="LogGB",'Monthly Growth'!H9,IF(Nonlabor!$I$14="RequestsM",'Monthly Growth'!F9,IF(Nonlabor!$I$14="InputM",'Monthly Growth'!D9*Assumptions!$E$22/1000000,IF(Nonlabor!$I$14="OutputM",'Monthly Growth'!D9*Assumptions!$E$23/1000000,0))))))))),0)</f>
        <v>6</v>
      </c>
      <c r="F3129" s="10" t="n">
        <f aca="false">Nonlabor!$J$14*(1+Assumptions!$E$9)^INT((C3129-1)/12)</f>
        <v>45</v>
      </c>
      <c r="G3129" s="10" t="n">
        <f aca="false">E3129*F3129</f>
        <v>270</v>
      </c>
      <c r="H3129" s="10" t="n">
        <f aca="false">IF(OR(Nonlabor!$L$14="Quote required",Nonlabor!$L$14="Unverified"),G3129,0)</f>
        <v>0</v>
      </c>
      <c r="I3129" s="10" t="n">
        <f aca="false">IF(Nonlabor!$E$14="Core",0,G3129)</f>
        <v>0</v>
      </c>
      <c r="J3129" s="23" t="str">
        <f aca="false">Nonlabor!$B$14</f>
        <v>TOOLS</v>
      </c>
    </row>
    <row r="3130" customFormat="false" ht="15" hidden="false" customHeight="false" outlineLevel="0" collapsed="false">
      <c r="A3130" s="6" t="s">
        <v>73</v>
      </c>
      <c r="B3130" s="6" t="s">
        <v>399</v>
      </c>
      <c r="C3130" s="6" t="n">
        <v>5</v>
      </c>
      <c r="D3130" s="25" t="n">
        <f aca="false">EDATE('Start Here'!$B$6,C3130-1)</f>
        <v>46447</v>
      </c>
      <c r="E3130" s="23" t="n">
        <f aca="false">IF(AND(OR(Nonlabor!$D$14="Both",Nonlabor!$D$14='Start Here'!$B$9),IF(Nonlabor!$E$14="Core",1,IF(Nonlabor!$E$14="AI",'Start Here'!$B$7,'Start Here'!$B$8))=1,C3130&gt;=IF(Nonlabor!$E$14="Core",Nonlabor!$F$14,MAX(Nonlabor!$F$14,IF(Nonlabor!$E$14="AI",Assumptions!$E$24,Assumptions!$E$25))),C3130&lt;=Nonlabor!$G$14,OR(Nonlabor!$H$14="Monthly",AND(Nonlabor!$H$14="Once",C3130=IF(Nonlabor!$E$14="Core",Nonlabor!$F$14,MAX(Nonlabor!$F$14,IF(Nonlabor!$E$14="AI",Assumptions!$E$24,Assumptions!$E$25)))),AND(Nonlabor!$H$14="Annual",MOD(C3130-IF(Nonlabor!$E$14="Core",Nonlabor!$F$14,MAX(Nonlabor!$F$14,IF(Nonlabor!$E$14="AI",Assumptions!$E$24,Assumptions!$E$25))),12)=0))),IF(Nonlabor!$I$14="Fixed",1,IF(Nonlabor!$I$14="Seats",ROUNDUP('Monthly Growth'!I10,0),IF(Nonlabor!$I$14="Customers",'Monthly Growth'!D10,IF(Nonlabor!$I$14="NewCustomers",'Monthly Growth'!C10,IF(Nonlabor!$I$14="StorageGB",'Monthly Growth'!G10,IF(Nonlabor!$I$14="LogGB",'Monthly Growth'!H10,IF(Nonlabor!$I$14="RequestsM",'Monthly Growth'!F10,IF(Nonlabor!$I$14="InputM",'Monthly Growth'!D10*Assumptions!$E$22/1000000,IF(Nonlabor!$I$14="OutputM",'Monthly Growth'!D10*Assumptions!$E$23/1000000,0))))))))),0)</f>
        <v>6</v>
      </c>
      <c r="F3130" s="10" t="n">
        <f aca="false">Nonlabor!$J$14*(1+Assumptions!$E$9)^INT((C3130-1)/12)</f>
        <v>45</v>
      </c>
      <c r="G3130" s="10" t="n">
        <f aca="false">E3130*F3130</f>
        <v>270</v>
      </c>
      <c r="H3130" s="10" t="n">
        <f aca="false">IF(OR(Nonlabor!$L$14="Quote required",Nonlabor!$L$14="Unverified"),G3130,0)</f>
        <v>0</v>
      </c>
      <c r="I3130" s="10" t="n">
        <f aca="false">IF(Nonlabor!$E$14="Core",0,G3130)</f>
        <v>0</v>
      </c>
      <c r="J3130" s="23" t="str">
        <f aca="false">Nonlabor!$B$14</f>
        <v>TOOLS</v>
      </c>
    </row>
    <row r="3131" customFormat="false" ht="15" hidden="false" customHeight="false" outlineLevel="0" collapsed="false">
      <c r="A3131" s="6" t="s">
        <v>73</v>
      </c>
      <c r="B3131" s="6" t="s">
        <v>399</v>
      </c>
      <c r="C3131" s="6" t="n">
        <v>6</v>
      </c>
      <c r="D3131" s="25" t="n">
        <f aca="false">EDATE('Start Here'!$B$6,C3131-1)</f>
        <v>46478</v>
      </c>
      <c r="E3131" s="23" t="n">
        <f aca="false">IF(AND(OR(Nonlabor!$D$14="Both",Nonlabor!$D$14='Start Here'!$B$9),IF(Nonlabor!$E$14="Core",1,IF(Nonlabor!$E$14="AI",'Start Here'!$B$7,'Start Here'!$B$8))=1,C3131&gt;=IF(Nonlabor!$E$14="Core",Nonlabor!$F$14,MAX(Nonlabor!$F$14,IF(Nonlabor!$E$14="AI",Assumptions!$E$24,Assumptions!$E$25))),C3131&lt;=Nonlabor!$G$14,OR(Nonlabor!$H$14="Monthly",AND(Nonlabor!$H$14="Once",C3131=IF(Nonlabor!$E$14="Core",Nonlabor!$F$14,MAX(Nonlabor!$F$14,IF(Nonlabor!$E$14="AI",Assumptions!$E$24,Assumptions!$E$25)))),AND(Nonlabor!$H$14="Annual",MOD(C3131-IF(Nonlabor!$E$14="Core",Nonlabor!$F$14,MAX(Nonlabor!$F$14,IF(Nonlabor!$E$14="AI",Assumptions!$E$24,Assumptions!$E$25))),12)=0))),IF(Nonlabor!$I$14="Fixed",1,IF(Nonlabor!$I$14="Seats",ROUNDUP('Monthly Growth'!I11,0),IF(Nonlabor!$I$14="Customers",'Monthly Growth'!D11,IF(Nonlabor!$I$14="NewCustomers",'Monthly Growth'!C11,IF(Nonlabor!$I$14="StorageGB",'Monthly Growth'!G11,IF(Nonlabor!$I$14="LogGB",'Monthly Growth'!H11,IF(Nonlabor!$I$14="RequestsM",'Monthly Growth'!F11,IF(Nonlabor!$I$14="InputM",'Monthly Growth'!D11*Assumptions!$E$22/1000000,IF(Nonlabor!$I$14="OutputM",'Monthly Growth'!D11*Assumptions!$E$23/1000000,0))))))))),0)</f>
        <v>6</v>
      </c>
      <c r="F3131" s="10" t="n">
        <f aca="false">Nonlabor!$J$14*(1+Assumptions!$E$9)^INT((C3131-1)/12)</f>
        <v>45</v>
      </c>
      <c r="G3131" s="10" t="n">
        <f aca="false">E3131*F3131</f>
        <v>270</v>
      </c>
      <c r="H3131" s="10" t="n">
        <f aca="false">IF(OR(Nonlabor!$L$14="Quote required",Nonlabor!$L$14="Unverified"),G3131,0)</f>
        <v>0</v>
      </c>
      <c r="I3131" s="10" t="n">
        <f aca="false">IF(Nonlabor!$E$14="Core",0,G3131)</f>
        <v>0</v>
      </c>
      <c r="J3131" s="23" t="str">
        <f aca="false">Nonlabor!$B$14</f>
        <v>TOOLS</v>
      </c>
    </row>
    <row r="3132" customFormat="false" ht="15" hidden="false" customHeight="false" outlineLevel="0" collapsed="false">
      <c r="A3132" s="6" t="s">
        <v>73</v>
      </c>
      <c r="B3132" s="6" t="s">
        <v>399</v>
      </c>
      <c r="C3132" s="6" t="n">
        <v>7</v>
      </c>
      <c r="D3132" s="25" t="n">
        <f aca="false">EDATE('Start Here'!$B$6,C3132-1)</f>
        <v>46508</v>
      </c>
      <c r="E3132" s="23" t="n">
        <f aca="false">IF(AND(OR(Nonlabor!$D$14="Both",Nonlabor!$D$14='Start Here'!$B$9),IF(Nonlabor!$E$14="Core",1,IF(Nonlabor!$E$14="AI",'Start Here'!$B$7,'Start Here'!$B$8))=1,C3132&gt;=IF(Nonlabor!$E$14="Core",Nonlabor!$F$14,MAX(Nonlabor!$F$14,IF(Nonlabor!$E$14="AI",Assumptions!$E$24,Assumptions!$E$25))),C3132&lt;=Nonlabor!$G$14,OR(Nonlabor!$H$14="Monthly",AND(Nonlabor!$H$14="Once",C3132=IF(Nonlabor!$E$14="Core",Nonlabor!$F$14,MAX(Nonlabor!$F$14,IF(Nonlabor!$E$14="AI",Assumptions!$E$24,Assumptions!$E$25)))),AND(Nonlabor!$H$14="Annual",MOD(C3132-IF(Nonlabor!$E$14="Core",Nonlabor!$F$14,MAX(Nonlabor!$F$14,IF(Nonlabor!$E$14="AI",Assumptions!$E$24,Assumptions!$E$25))),12)=0))),IF(Nonlabor!$I$14="Fixed",1,IF(Nonlabor!$I$14="Seats",ROUNDUP('Monthly Growth'!I12,0),IF(Nonlabor!$I$14="Customers",'Monthly Growth'!D12,IF(Nonlabor!$I$14="NewCustomers",'Monthly Growth'!C12,IF(Nonlabor!$I$14="StorageGB",'Monthly Growth'!G12,IF(Nonlabor!$I$14="LogGB",'Monthly Growth'!H12,IF(Nonlabor!$I$14="RequestsM",'Monthly Growth'!F12,IF(Nonlabor!$I$14="InputM",'Monthly Growth'!D12*Assumptions!$E$22/1000000,IF(Nonlabor!$I$14="OutputM",'Monthly Growth'!D12*Assumptions!$E$23/1000000,0))))))))),0)</f>
        <v>8</v>
      </c>
      <c r="F3132" s="10" t="n">
        <f aca="false">Nonlabor!$J$14*(1+Assumptions!$E$9)^INT((C3132-1)/12)</f>
        <v>45</v>
      </c>
      <c r="G3132" s="10" t="n">
        <f aca="false">E3132*F3132</f>
        <v>360</v>
      </c>
      <c r="H3132" s="10" t="n">
        <f aca="false">IF(OR(Nonlabor!$L$14="Quote required",Nonlabor!$L$14="Unverified"),G3132,0)</f>
        <v>0</v>
      </c>
      <c r="I3132" s="10" t="n">
        <f aca="false">IF(Nonlabor!$E$14="Core",0,G3132)</f>
        <v>0</v>
      </c>
      <c r="J3132" s="23" t="str">
        <f aca="false">Nonlabor!$B$14</f>
        <v>TOOLS</v>
      </c>
    </row>
    <row r="3133" customFormat="false" ht="15" hidden="false" customHeight="false" outlineLevel="0" collapsed="false">
      <c r="A3133" s="6" t="s">
        <v>73</v>
      </c>
      <c r="B3133" s="6" t="s">
        <v>399</v>
      </c>
      <c r="C3133" s="6" t="n">
        <v>8</v>
      </c>
      <c r="D3133" s="25" t="n">
        <f aca="false">EDATE('Start Here'!$B$6,C3133-1)</f>
        <v>46539</v>
      </c>
      <c r="E3133" s="23" t="n">
        <f aca="false">IF(AND(OR(Nonlabor!$D$14="Both",Nonlabor!$D$14='Start Here'!$B$9),IF(Nonlabor!$E$14="Core",1,IF(Nonlabor!$E$14="AI",'Start Here'!$B$7,'Start Here'!$B$8))=1,C3133&gt;=IF(Nonlabor!$E$14="Core",Nonlabor!$F$14,MAX(Nonlabor!$F$14,IF(Nonlabor!$E$14="AI",Assumptions!$E$24,Assumptions!$E$25))),C3133&lt;=Nonlabor!$G$14,OR(Nonlabor!$H$14="Monthly",AND(Nonlabor!$H$14="Once",C3133=IF(Nonlabor!$E$14="Core",Nonlabor!$F$14,MAX(Nonlabor!$F$14,IF(Nonlabor!$E$14="AI",Assumptions!$E$24,Assumptions!$E$25)))),AND(Nonlabor!$H$14="Annual",MOD(C3133-IF(Nonlabor!$E$14="Core",Nonlabor!$F$14,MAX(Nonlabor!$F$14,IF(Nonlabor!$E$14="AI",Assumptions!$E$24,Assumptions!$E$25))),12)=0))),IF(Nonlabor!$I$14="Fixed",1,IF(Nonlabor!$I$14="Seats",ROUNDUP('Monthly Growth'!I13,0),IF(Nonlabor!$I$14="Customers",'Monthly Growth'!D13,IF(Nonlabor!$I$14="NewCustomers",'Monthly Growth'!C13,IF(Nonlabor!$I$14="StorageGB",'Monthly Growth'!G13,IF(Nonlabor!$I$14="LogGB",'Monthly Growth'!H13,IF(Nonlabor!$I$14="RequestsM",'Monthly Growth'!F13,IF(Nonlabor!$I$14="InputM",'Monthly Growth'!D13*Assumptions!$E$22/1000000,IF(Nonlabor!$I$14="OutputM",'Monthly Growth'!D13*Assumptions!$E$23/1000000,0))))))))),0)</f>
        <v>8</v>
      </c>
      <c r="F3133" s="10" t="n">
        <f aca="false">Nonlabor!$J$14*(1+Assumptions!$E$9)^INT((C3133-1)/12)</f>
        <v>45</v>
      </c>
      <c r="G3133" s="10" t="n">
        <f aca="false">E3133*F3133</f>
        <v>360</v>
      </c>
      <c r="H3133" s="10" t="n">
        <f aca="false">IF(OR(Nonlabor!$L$14="Quote required",Nonlabor!$L$14="Unverified"),G3133,0)</f>
        <v>0</v>
      </c>
      <c r="I3133" s="10" t="n">
        <f aca="false">IF(Nonlabor!$E$14="Core",0,G3133)</f>
        <v>0</v>
      </c>
      <c r="J3133" s="23" t="str">
        <f aca="false">Nonlabor!$B$14</f>
        <v>TOOLS</v>
      </c>
    </row>
    <row r="3134" customFormat="false" ht="15" hidden="false" customHeight="false" outlineLevel="0" collapsed="false">
      <c r="A3134" s="6" t="s">
        <v>73</v>
      </c>
      <c r="B3134" s="6" t="s">
        <v>399</v>
      </c>
      <c r="C3134" s="6" t="n">
        <v>9</v>
      </c>
      <c r="D3134" s="25" t="n">
        <f aca="false">EDATE('Start Here'!$B$6,C3134-1)</f>
        <v>46569</v>
      </c>
      <c r="E3134" s="23" t="n">
        <f aca="false">IF(AND(OR(Nonlabor!$D$14="Both",Nonlabor!$D$14='Start Here'!$B$9),IF(Nonlabor!$E$14="Core",1,IF(Nonlabor!$E$14="AI",'Start Here'!$B$7,'Start Here'!$B$8))=1,C3134&gt;=IF(Nonlabor!$E$14="Core",Nonlabor!$F$14,MAX(Nonlabor!$F$14,IF(Nonlabor!$E$14="AI",Assumptions!$E$24,Assumptions!$E$25))),C3134&lt;=Nonlabor!$G$14,OR(Nonlabor!$H$14="Monthly",AND(Nonlabor!$H$14="Once",C3134=IF(Nonlabor!$E$14="Core",Nonlabor!$F$14,MAX(Nonlabor!$F$14,IF(Nonlabor!$E$14="AI",Assumptions!$E$24,Assumptions!$E$25)))),AND(Nonlabor!$H$14="Annual",MOD(C3134-IF(Nonlabor!$E$14="Core",Nonlabor!$F$14,MAX(Nonlabor!$F$14,IF(Nonlabor!$E$14="AI",Assumptions!$E$24,Assumptions!$E$25))),12)=0))),IF(Nonlabor!$I$14="Fixed",1,IF(Nonlabor!$I$14="Seats",ROUNDUP('Monthly Growth'!I14,0),IF(Nonlabor!$I$14="Customers",'Monthly Growth'!D14,IF(Nonlabor!$I$14="NewCustomers",'Monthly Growth'!C14,IF(Nonlabor!$I$14="StorageGB",'Monthly Growth'!G14,IF(Nonlabor!$I$14="LogGB",'Monthly Growth'!H14,IF(Nonlabor!$I$14="RequestsM",'Monthly Growth'!F14,IF(Nonlabor!$I$14="InputM",'Monthly Growth'!D14*Assumptions!$E$22/1000000,IF(Nonlabor!$I$14="OutputM",'Monthly Growth'!D14*Assumptions!$E$23/1000000,0))))))))),0)</f>
        <v>9</v>
      </c>
      <c r="F3134" s="10" t="n">
        <f aca="false">Nonlabor!$J$14*(1+Assumptions!$E$9)^INT((C3134-1)/12)</f>
        <v>45</v>
      </c>
      <c r="G3134" s="10" t="n">
        <f aca="false">E3134*F3134</f>
        <v>405</v>
      </c>
      <c r="H3134" s="10" t="n">
        <f aca="false">IF(OR(Nonlabor!$L$14="Quote required",Nonlabor!$L$14="Unverified"),G3134,0)</f>
        <v>0</v>
      </c>
      <c r="I3134" s="10" t="n">
        <f aca="false">IF(Nonlabor!$E$14="Core",0,G3134)</f>
        <v>0</v>
      </c>
      <c r="J3134" s="23" t="str">
        <f aca="false">Nonlabor!$B$14</f>
        <v>TOOLS</v>
      </c>
    </row>
    <row r="3135" customFormat="false" ht="15" hidden="false" customHeight="false" outlineLevel="0" collapsed="false">
      <c r="A3135" s="6" t="s">
        <v>73</v>
      </c>
      <c r="B3135" s="6" t="s">
        <v>399</v>
      </c>
      <c r="C3135" s="6" t="n">
        <v>10</v>
      </c>
      <c r="D3135" s="25" t="n">
        <f aca="false">EDATE('Start Here'!$B$6,C3135-1)</f>
        <v>46600</v>
      </c>
      <c r="E3135" s="23" t="n">
        <f aca="false">IF(AND(OR(Nonlabor!$D$14="Both",Nonlabor!$D$14='Start Here'!$B$9),IF(Nonlabor!$E$14="Core",1,IF(Nonlabor!$E$14="AI",'Start Here'!$B$7,'Start Here'!$B$8))=1,C3135&gt;=IF(Nonlabor!$E$14="Core",Nonlabor!$F$14,MAX(Nonlabor!$F$14,IF(Nonlabor!$E$14="AI",Assumptions!$E$24,Assumptions!$E$25))),C3135&lt;=Nonlabor!$G$14,OR(Nonlabor!$H$14="Monthly",AND(Nonlabor!$H$14="Once",C3135=IF(Nonlabor!$E$14="Core",Nonlabor!$F$14,MAX(Nonlabor!$F$14,IF(Nonlabor!$E$14="AI",Assumptions!$E$24,Assumptions!$E$25)))),AND(Nonlabor!$H$14="Annual",MOD(C3135-IF(Nonlabor!$E$14="Core",Nonlabor!$F$14,MAX(Nonlabor!$F$14,IF(Nonlabor!$E$14="AI",Assumptions!$E$24,Assumptions!$E$25))),12)=0))),IF(Nonlabor!$I$14="Fixed",1,IF(Nonlabor!$I$14="Seats",ROUNDUP('Monthly Growth'!I15,0),IF(Nonlabor!$I$14="Customers",'Monthly Growth'!D15,IF(Nonlabor!$I$14="NewCustomers",'Monthly Growth'!C15,IF(Nonlabor!$I$14="StorageGB",'Monthly Growth'!G15,IF(Nonlabor!$I$14="LogGB",'Monthly Growth'!H15,IF(Nonlabor!$I$14="RequestsM",'Monthly Growth'!F15,IF(Nonlabor!$I$14="InputM",'Monthly Growth'!D15*Assumptions!$E$22/1000000,IF(Nonlabor!$I$14="OutputM",'Monthly Growth'!D15*Assumptions!$E$23/1000000,0))))))))),0)</f>
        <v>9</v>
      </c>
      <c r="F3135" s="10" t="n">
        <f aca="false">Nonlabor!$J$14*(1+Assumptions!$E$9)^INT((C3135-1)/12)</f>
        <v>45</v>
      </c>
      <c r="G3135" s="10" t="n">
        <f aca="false">E3135*F3135</f>
        <v>405</v>
      </c>
      <c r="H3135" s="10" t="n">
        <f aca="false">IF(OR(Nonlabor!$L$14="Quote required",Nonlabor!$L$14="Unverified"),G3135,0)</f>
        <v>0</v>
      </c>
      <c r="I3135" s="10" t="n">
        <f aca="false">IF(Nonlabor!$E$14="Core",0,G3135)</f>
        <v>0</v>
      </c>
      <c r="J3135" s="23" t="str">
        <f aca="false">Nonlabor!$B$14</f>
        <v>TOOLS</v>
      </c>
    </row>
    <row r="3136" customFormat="false" ht="15" hidden="false" customHeight="false" outlineLevel="0" collapsed="false">
      <c r="A3136" s="6" t="s">
        <v>73</v>
      </c>
      <c r="B3136" s="6" t="s">
        <v>399</v>
      </c>
      <c r="C3136" s="6" t="n">
        <v>11</v>
      </c>
      <c r="D3136" s="25" t="n">
        <f aca="false">EDATE('Start Here'!$B$6,C3136-1)</f>
        <v>46631</v>
      </c>
      <c r="E3136" s="23" t="n">
        <f aca="false">IF(AND(OR(Nonlabor!$D$14="Both",Nonlabor!$D$14='Start Here'!$B$9),IF(Nonlabor!$E$14="Core",1,IF(Nonlabor!$E$14="AI",'Start Here'!$B$7,'Start Here'!$B$8))=1,C3136&gt;=IF(Nonlabor!$E$14="Core",Nonlabor!$F$14,MAX(Nonlabor!$F$14,IF(Nonlabor!$E$14="AI",Assumptions!$E$24,Assumptions!$E$25))),C3136&lt;=Nonlabor!$G$14,OR(Nonlabor!$H$14="Monthly",AND(Nonlabor!$H$14="Once",C3136=IF(Nonlabor!$E$14="Core",Nonlabor!$F$14,MAX(Nonlabor!$F$14,IF(Nonlabor!$E$14="AI",Assumptions!$E$24,Assumptions!$E$25)))),AND(Nonlabor!$H$14="Annual",MOD(C3136-IF(Nonlabor!$E$14="Core",Nonlabor!$F$14,MAX(Nonlabor!$F$14,IF(Nonlabor!$E$14="AI",Assumptions!$E$24,Assumptions!$E$25))),12)=0))),IF(Nonlabor!$I$14="Fixed",1,IF(Nonlabor!$I$14="Seats",ROUNDUP('Monthly Growth'!I16,0),IF(Nonlabor!$I$14="Customers",'Monthly Growth'!D16,IF(Nonlabor!$I$14="NewCustomers",'Monthly Growth'!C16,IF(Nonlabor!$I$14="StorageGB",'Monthly Growth'!G16,IF(Nonlabor!$I$14="LogGB",'Monthly Growth'!H16,IF(Nonlabor!$I$14="RequestsM",'Monthly Growth'!F16,IF(Nonlabor!$I$14="InputM",'Monthly Growth'!D16*Assumptions!$E$22/1000000,IF(Nonlabor!$I$14="OutputM",'Monthly Growth'!D16*Assumptions!$E$23/1000000,0))))))))),0)</f>
        <v>9</v>
      </c>
      <c r="F3136" s="10" t="n">
        <f aca="false">Nonlabor!$J$14*(1+Assumptions!$E$9)^INT((C3136-1)/12)</f>
        <v>45</v>
      </c>
      <c r="G3136" s="10" t="n">
        <f aca="false">E3136*F3136</f>
        <v>405</v>
      </c>
      <c r="H3136" s="10" t="n">
        <f aca="false">IF(OR(Nonlabor!$L$14="Quote required",Nonlabor!$L$14="Unverified"),G3136,0)</f>
        <v>0</v>
      </c>
      <c r="I3136" s="10" t="n">
        <f aca="false">IF(Nonlabor!$E$14="Core",0,G3136)</f>
        <v>0</v>
      </c>
      <c r="J3136" s="23" t="str">
        <f aca="false">Nonlabor!$B$14</f>
        <v>TOOLS</v>
      </c>
    </row>
    <row r="3137" customFormat="false" ht="15" hidden="false" customHeight="false" outlineLevel="0" collapsed="false">
      <c r="A3137" s="6" t="s">
        <v>73</v>
      </c>
      <c r="B3137" s="6" t="s">
        <v>399</v>
      </c>
      <c r="C3137" s="6" t="n">
        <v>12</v>
      </c>
      <c r="D3137" s="25" t="n">
        <f aca="false">EDATE('Start Here'!$B$6,C3137-1)</f>
        <v>46661</v>
      </c>
      <c r="E3137" s="23" t="n">
        <f aca="false">IF(AND(OR(Nonlabor!$D$14="Both",Nonlabor!$D$14='Start Here'!$B$9),IF(Nonlabor!$E$14="Core",1,IF(Nonlabor!$E$14="AI",'Start Here'!$B$7,'Start Here'!$B$8))=1,C3137&gt;=IF(Nonlabor!$E$14="Core",Nonlabor!$F$14,MAX(Nonlabor!$F$14,IF(Nonlabor!$E$14="AI",Assumptions!$E$24,Assumptions!$E$25))),C3137&lt;=Nonlabor!$G$14,OR(Nonlabor!$H$14="Monthly",AND(Nonlabor!$H$14="Once",C3137=IF(Nonlabor!$E$14="Core",Nonlabor!$F$14,MAX(Nonlabor!$F$14,IF(Nonlabor!$E$14="AI",Assumptions!$E$24,Assumptions!$E$25)))),AND(Nonlabor!$H$14="Annual",MOD(C3137-IF(Nonlabor!$E$14="Core",Nonlabor!$F$14,MAX(Nonlabor!$F$14,IF(Nonlabor!$E$14="AI",Assumptions!$E$24,Assumptions!$E$25))),12)=0))),IF(Nonlabor!$I$14="Fixed",1,IF(Nonlabor!$I$14="Seats",ROUNDUP('Monthly Growth'!I17,0),IF(Nonlabor!$I$14="Customers",'Monthly Growth'!D17,IF(Nonlabor!$I$14="NewCustomers",'Monthly Growth'!C17,IF(Nonlabor!$I$14="StorageGB",'Monthly Growth'!G17,IF(Nonlabor!$I$14="LogGB",'Monthly Growth'!H17,IF(Nonlabor!$I$14="RequestsM",'Monthly Growth'!F17,IF(Nonlabor!$I$14="InputM",'Monthly Growth'!D17*Assumptions!$E$22/1000000,IF(Nonlabor!$I$14="OutputM",'Monthly Growth'!D17*Assumptions!$E$23/1000000,0))))))))),0)</f>
        <v>9</v>
      </c>
      <c r="F3137" s="10" t="n">
        <f aca="false">Nonlabor!$J$14*(1+Assumptions!$E$9)^INT((C3137-1)/12)</f>
        <v>45</v>
      </c>
      <c r="G3137" s="10" t="n">
        <f aca="false">E3137*F3137</f>
        <v>405</v>
      </c>
      <c r="H3137" s="10" t="n">
        <f aca="false">IF(OR(Nonlabor!$L$14="Quote required",Nonlabor!$L$14="Unverified"),G3137,0)</f>
        <v>0</v>
      </c>
      <c r="I3137" s="10" t="n">
        <f aca="false">IF(Nonlabor!$E$14="Core",0,G3137)</f>
        <v>0</v>
      </c>
      <c r="J3137" s="23" t="str">
        <f aca="false">Nonlabor!$B$14</f>
        <v>TOOLS</v>
      </c>
    </row>
    <row r="3138" customFormat="false" ht="15" hidden="false" customHeight="false" outlineLevel="0" collapsed="false">
      <c r="A3138" s="6" t="s">
        <v>73</v>
      </c>
      <c r="B3138" s="6" t="s">
        <v>399</v>
      </c>
      <c r="C3138" s="6" t="n">
        <v>13</v>
      </c>
      <c r="D3138" s="25" t="n">
        <f aca="false">EDATE('Start Here'!$B$6,C3138-1)</f>
        <v>46692</v>
      </c>
      <c r="E3138" s="23" t="n">
        <f aca="false">IF(AND(OR(Nonlabor!$D$14="Both",Nonlabor!$D$14='Start Here'!$B$9),IF(Nonlabor!$E$14="Core",1,IF(Nonlabor!$E$14="AI",'Start Here'!$B$7,'Start Here'!$B$8))=1,C3138&gt;=IF(Nonlabor!$E$14="Core",Nonlabor!$F$14,MAX(Nonlabor!$F$14,IF(Nonlabor!$E$14="AI",Assumptions!$E$24,Assumptions!$E$25))),C3138&lt;=Nonlabor!$G$14,OR(Nonlabor!$H$14="Monthly",AND(Nonlabor!$H$14="Once",C3138=IF(Nonlabor!$E$14="Core",Nonlabor!$F$14,MAX(Nonlabor!$F$14,IF(Nonlabor!$E$14="AI",Assumptions!$E$24,Assumptions!$E$25)))),AND(Nonlabor!$H$14="Annual",MOD(C3138-IF(Nonlabor!$E$14="Core",Nonlabor!$F$14,MAX(Nonlabor!$F$14,IF(Nonlabor!$E$14="AI",Assumptions!$E$24,Assumptions!$E$25))),12)=0))),IF(Nonlabor!$I$14="Fixed",1,IF(Nonlabor!$I$14="Seats",ROUNDUP('Monthly Growth'!I18,0),IF(Nonlabor!$I$14="Customers",'Monthly Growth'!D18,IF(Nonlabor!$I$14="NewCustomers",'Monthly Growth'!C18,IF(Nonlabor!$I$14="StorageGB",'Monthly Growth'!G18,IF(Nonlabor!$I$14="LogGB",'Monthly Growth'!H18,IF(Nonlabor!$I$14="RequestsM",'Monthly Growth'!F18,IF(Nonlabor!$I$14="InputM",'Monthly Growth'!D18*Assumptions!$E$22/1000000,IF(Nonlabor!$I$14="OutputM",'Monthly Growth'!D18*Assumptions!$E$23/1000000,0))))))))),0)</f>
        <v>9</v>
      </c>
      <c r="F3138" s="10" t="n">
        <f aca="false">Nonlabor!$J$14*(1+Assumptions!$E$9)^INT((C3138-1)/12)</f>
        <v>46.8</v>
      </c>
      <c r="G3138" s="10" t="n">
        <f aca="false">E3138*F3138</f>
        <v>421.2</v>
      </c>
      <c r="H3138" s="10" t="n">
        <f aca="false">IF(OR(Nonlabor!$L$14="Quote required",Nonlabor!$L$14="Unverified"),G3138,0)</f>
        <v>0</v>
      </c>
      <c r="I3138" s="10" t="n">
        <f aca="false">IF(Nonlabor!$E$14="Core",0,G3138)</f>
        <v>0</v>
      </c>
      <c r="J3138" s="23" t="str">
        <f aca="false">Nonlabor!$B$14</f>
        <v>TOOLS</v>
      </c>
    </row>
    <row r="3139" customFormat="false" ht="15" hidden="false" customHeight="false" outlineLevel="0" collapsed="false">
      <c r="A3139" s="6" t="s">
        <v>73</v>
      </c>
      <c r="B3139" s="6" t="s">
        <v>399</v>
      </c>
      <c r="C3139" s="6" t="n">
        <v>14</v>
      </c>
      <c r="D3139" s="25" t="n">
        <f aca="false">EDATE('Start Here'!$B$6,C3139-1)</f>
        <v>46722</v>
      </c>
      <c r="E3139" s="23" t="n">
        <f aca="false">IF(AND(OR(Nonlabor!$D$14="Both",Nonlabor!$D$14='Start Here'!$B$9),IF(Nonlabor!$E$14="Core",1,IF(Nonlabor!$E$14="AI",'Start Here'!$B$7,'Start Here'!$B$8))=1,C3139&gt;=IF(Nonlabor!$E$14="Core",Nonlabor!$F$14,MAX(Nonlabor!$F$14,IF(Nonlabor!$E$14="AI",Assumptions!$E$24,Assumptions!$E$25))),C3139&lt;=Nonlabor!$G$14,OR(Nonlabor!$H$14="Monthly",AND(Nonlabor!$H$14="Once",C3139=IF(Nonlabor!$E$14="Core",Nonlabor!$F$14,MAX(Nonlabor!$F$14,IF(Nonlabor!$E$14="AI",Assumptions!$E$24,Assumptions!$E$25)))),AND(Nonlabor!$H$14="Annual",MOD(C3139-IF(Nonlabor!$E$14="Core",Nonlabor!$F$14,MAX(Nonlabor!$F$14,IF(Nonlabor!$E$14="AI",Assumptions!$E$24,Assumptions!$E$25))),12)=0))),IF(Nonlabor!$I$14="Fixed",1,IF(Nonlabor!$I$14="Seats",ROUNDUP('Monthly Growth'!I19,0),IF(Nonlabor!$I$14="Customers",'Monthly Growth'!D19,IF(Nonlabor!$I$14="NewCustomers",'Monthly Growth'!C19,IF(Nonlabor!$I$14="StorageGB",'Monthly Growth'!G19,IF(Nonlabor!$I$14="LogGB",'Monthly Growth'!H19,IF(Nonlabor!$I$14="RequestsM",'Monthly Growth'!F19,IF(Nonlabor!$I$14="InputM",'Monthly Growth'!D19*Assumptions!$E$22/1000000,IF(Nonlabor!$I$14="OutputM",'Monthly Growth'!D19*Assumptions!$E$23/1000000,0))))))))),0)</f>
        <v>9</v>
      </c>
      <c r="F3139" s="10" t="n">
        <f aca="false">Nonlabor!$J$14*(1+Assumptions!$E$9)^INT((C3139-1)/12)</f>
        <v>46.8</v>
      </c>
      <c r="G3139" s="10" t="n">
        <f aca="false">E3139*F3139</f>
        <v>421.2</v>
      </c>
      <c r="H3139" s="10" t="n">
        <f aca="false">IF(OR(Nonlabor!$L$14="Quote required",Nonlabor!$L$14="Unverified"),G3139,0)</f>
        <v>0</v>
      </c>
      <c r="I3139" s="10" t="n">
        <f aca="false">IF(Nonlabor!$E$14="Core",0,G3139)</f>
        <v>0</v>
      </c>
      <c r="J3139" s="23" t="str">
        <f aca="false">Nonlabor!$B$14</f>
        <v>TOOLS</v>
      </c>
    </row>
    <row r="3140" customFormat="false" ht="15" hidden="false" customHeight="false" outlineLevel="0" collapsed="false">
      <c r="A3140" s="6" t="s">
        <v>73</v>
      </c>
      <c r="B3140" s="6" t="s">
        <v>399</v>
      </c>
      <c r="C3140" s="6" t="n">
        <v>15</v>
      </c>
      <c r="D3140" s="25" t="n">
        <f aca="false">EDATE('Start Here'!$B$6,C3140-1)</f>
        <v>46753</v>
      </c>
      <c r="E3140" s="23" t="n">
        <f aca="false">IF(AND(OR(Nonlabor!$D$14="Both",Nonlabor!$D$14='Start Here'!$B$9),IF(Nonlabor!$E$14="Core",1,IF(Nonlabor!$E$14="AI",'Start Here'!$B$7,'Start Here'!$B$8))=1,C3140&gt;=IF(Nonlabor!$E$14="Core",Nonlabor!$F$14,MAX(Nonlabor!$F$14,IF(Nonlabor!$E$14="AI",Assumptions!$E$24,Assumptions!$E$25))),C3140&lt;=Nonlabor!$G$14,OR(Nonlabor!$H$14="Monthly",AND(Nonlabor!$H$14="Once",C3140=IF(Nonlabor!$E$14="Core",Nonlabor!$F$14,MAX(Nonlabor!$F$14,IF(Nonlabor!$E$14="AI",Assumptions!$E$24,Assumptions!$E$25)))),AND(Nonlabor!$H$14="Annual",MOD(C3140-IF(Nonlabor!$E$14="Core",Nonlabor!$F$14,MAX(Nonlabor!$F$14,IF(Nonlabor!$E$14="AI",Assumptions!$E$24,Assumptions!$E$25))),12)=0))),IF(Nonlabor!$I$14="Fixed",1,IF(Nonlabor!$I$14="Seats",ROUNDUP('Monthly Growth'!I20,0),IF(Nonlabor!$I$14="Customers",'Monthly Growth'!D20,IF(Nonlabor!$I$14="NewCustomers",'Monthly Growth'!C20,IF(Nonlabor!$I$14="StorageGB",'Monthly Growth'!G20,IF(Nonlabor!$I$14="LogGB",'Monthly Growth'!H20,IF(Nonlabor!$I$14="RequestsM",'Monthly Growth'!F20,IF(Nonlabor!$I$14="InputM",'Monthly Growth'!D20*Assumptions!$E$22/1000000,IF(Nonlabor!$I$14="OutputM",'Monthly Growth'!D20*Assumptions!$E$23/1000000,0))))))))),0)</f>
        <v>9</v>
      </c>
      <c r="F3140" s="10" t="n">
        <f aca="false">Nonlabor!$J$14*(1+Assumptions!$E$9)^INT((C3140-1)/12)</f>
        <v>46.8</v>
      </c>
      <c r="G3140" s="10" t="n">
        <f aca="false">E3140*F3140</f>
        <v>421.2</v>
      </c>
      <c r="H3140" s="10" t="n">
        <f aca="false">IF(OR(Nonlabor!$L$14="Quote required",Nonlabor!$L$14="Unverified"),G3140,0)</f>
        <v>0</v>
      </c>
      <c r="I3140" s="10" t="n">
        <f aca="false">IF(Nonlabor!$E$14="Core",0,G3140)</f>
        <v>0</v>
      </c>
      <c r="J3140" s="23" t="str">
        <f aca="false">Nonlabor!$B$14</f>
        <v>TOOLS</v>
      </c>
    </row>
    <row r="3141" customFormat="false" ht="15" hidden="false" customHeight="false" outlineLevel="0" collapsed="false">
      <c r="A3141" s="6" t="s">
        <v>73</v>
      </c>
      <c r="B3141" s="6" t="s">
        <v>399</v>
      </c>
      <c r="C3141" s="6" t="n">
        <v>16</v>
      </c>
      <c r="D3141" s="25" t="n">
        <f aca="false">EDATE('Start Here'!$B$6,C3141-1)</f>
        <v>46784</v>
      </c>
      <c r="E3141" s="23" t="n">
        <f aca="false">IF(AND(OR(Nonlabor!$D$14="Both",Nonlabor!$D$14='Start Here'!$B$9),IF(Nonlabor!$E$14="Core",1,IF(Nonlabor!$E$14="AI",'Start Here'!$B$7,'Start Here'!$B$8))=1,C3141&gt;=IF(Nonlabor!$E$14="Core",Nonlabor!$F$14,MAX(Nonlabor!$F$14,IF(Nonlabor!$E$14="AI",Assumptions!$E$24,Assumptions!$E$25))),C3141&lt;=Nonlabor!$G$14,OR(Nonlabor!$H$14="Monthly",AND(Nonlabor!$H$14="Once",C3141=IF(Nonlabor!$E$14="Core",Nonlabor!$F$14,MAX(Nonlabor!$F$14,IF(Nonlabor!$E$14="AI",Assumptions!$E$24,Assumptions!$E$25)))),AND(Nonlabor!$H$14="Annual",MOD(C3141-IF(Nonlabor!$E$14="Core",Nonlabor!$F$14,MAX(Nonlabor!$F$14,IF(Nonlabor!$E$14="AI",Assumptions!$E$24,Assumptions!$E$25))),12)=0))),IF(Nonlabor!$I$14="Fixed",1,IF(Nonlabor!$I$14="Seats",ROUNDUP('Monthly Growth'!I21,0),IF(Nonlabor!$I$14="Customers",'Monthly Growth'!D21,IF(Nonlabor!$I$14="NewCustomers",'Monthly Growth'!C21,IF(Nonlabor!$I$14="StorageGB",'Monthly Growth'!G21,IF(Nonlabor!$I$14="LogGB",'Monthly Growth'!H21,IF(Nonlabor!$I$14="RequestsM",'Monthly Growth'!F21,IF(Nonlabor!$I$14="InputM",'Monthly Growth'!D21*Assumptions!$E$22/1000000,IF(Nonlabor!$I$14="OutputM",'Monthly Growth'!D21*Assumptions!$E$23/1000000,0))))))))),0)</f>
        <v>15</v>
      </c>
      <c r="F3141" s="10" t="n">
        <f aca="false">Nonlabor!$J$14*(1+Assumptions!$E$9)^INT((C3141-1)/12)</f>
        <v>46.8</v>
      </c>
      <c r="G3141" s="10" t="n">
        <f aca="false">E3141*F3141</f>
        <v>702</v>
      </c>
      <c r="H3141" s="10" t="n">
        <f aca="false">IF(OR(Nonlabor!$L$14="Quote required",Nonlabor!$L$14="Unverified"),G3141,0)</f>
        <v>0</v>
      </c>
      <c r="I3141" s="10" t="n">
        <f aca="false">IF(Nonlabor!$E$14="Core",0,G3141)</f>
        <v>0</v>
      </c>
      <c r="J3141" s="23" t="str">
        <f aca="false">Nonlabor!$B$14</f>
        <v>TOOLS</v>
      </c>
    </row>
    <row r="3142" customFormat="false" ht="15" hidden="false" customHeight="false" outlineLevel="0" collapsed="false">
      <c r="A3142" s="6" t="s">
        <v>73</v>
      </c>
      <c r="B3142" s="6" t="s">
        <v>399</v>
      </c>
      <c r="C3142" s="6" t="n">
        <v>17</v>
      </c>
      <c r="D3142" s="25" t="n">
        <f aca="false">EDATE('Start Here'!$B$6,C3142-1)</f>
        <v>46813</v>
      </c>
      <c r="E3142" s="23" t="n">
        <f aca="false">IF(AND(OR(Nonlabor!$D$14="Both",Nonlabor!$D$14='Start Here'!$B$9),IF(Nonlabor!$E$14="Core",1,IF(Nonlabor!$E$14="AI",'Start Here'!$B$7,'Start Here'!$B$8))=1,C3142&gt;=IF(Nonlabor!$E$14="Core",Nonlabor!$F$14,MAX(Nonlabor!$F$14,IF(Nonlabor!$E$14="AI",Assumptions!$E$24,Assumptions!$E$25))),C3142&lt;=Nonlabor!$G$14,OR(Nonlabor!$H$14="Monthly",AND(Nonlabor!$H$14="Once",C3142=IF(Nonlabor!$E$14="Core",Nonlabor!$F$14,MAX(Nonlabor!$F$14,IF(Nonlabor!$E$14="AI",Assumptions!$E$24,Assumptions!$E$25)))),AND(Nonlabor!$H$14="Annual",MOD(C3142-IF(Nonlabor!$E$14="Core",Nonlabor!$F$14,MAX(Nonlabor!$F$14,IF(Nonlabor!$E$14="AI",Assumptions!$E$24,Assumptions!$E$25))),12)=0))),IF(Nonlabor!$I$14="Fixed",1,IF(Nonlabor!$I$14="Seats",ROUNDUP('Monthly Growth'!I22,0),IF(Nonlabor!$I$14="Customers",'Monthly Growth'!D22,IF(Nonlabor!$I$14="NewCustomers",'Monthly Growth'!C22,IF(Nonlabor!$I$14="StorageGB",'Monthly Growth'!G22,IF(Nonlabor!$I$14="LogGB",'Monthly Growth'!H22,IF(Nonlabor!$I$14="RequestsM",'Monthly Growth'!F22,IF(Nonlabor!$I$14="InputM",'Monthly Growth'!D22*Assumptions!$E$22/1000000,IF(Nonlabor!$I$14="OutputM",'Monthly Growth'!D22*Assumptions!$E$23/1000000,0))))))))),0)</f>
        <v>15</v>
      </c>
      <c r="F3142" s="10" t="n">
        <f aca="false">Nonlabor!$J$14*(1+Assumptions!$E$9)^INT((C3142-1)/12)</f>
        <v>46.8</v>
      </c>
      <c r="G3142" s="10" t="n">
        <f aca="false">E3142*F3142</f>
        <v>702</v>
      </c>
      <c r="H3142" s="10" t="n">
        <f aca="false">IF(OR(Nonlabor!$L$14="Quote required",Nonlabor!$L$14="Unverified"),G3142,0)</f>
        <v>0</v>
      </c>
      <c r="I3142" s="10" t="n">
        <f aca="false">IF(Nonlabor!$E$14="Core",0,G3142)</f>
        <v>0</v>
      </c>
      <c r="J3142" s="23" t="str">
        <f aca="false">Nonlabor!$B$14</f>
        <v>TOOLS</v>
      </c>
    </row>
    <row r="3143" customFormat="false" ht="15" hidden="false" customHeight="false" outlineLevel="0" collapsed="false">
      <c r="A3143" s="6" t="s">
        <v>73</v>
      </c>
      <c r="B3143" s="6" t="s">
        <v>399</v>
      </c>
      <c r="C3143" s="6" t="n">
        <v>18</v>
      </c>
      <c r="D3143" s="25" t="n">
        <f aca="false">EDATE('Start Here'!$B$6,C3143-1)</f>
        <v>46844</v>
      </c>
      <c r="E3143" s="23" t="n">
        <f aca="false">IF(AND(OR(Nonlabor!$D$14="Both",Nonlabor!$D$14='Start Here'!$B$9),IF(Nonlabor!$E$14="Core",1,IF(Nonlabor!$E$14="AI",'Start Here'!$B$7,'Start Here'!$B$8))=1,C3143&gt;=IF(Nonlabor!$E$14="Core",Nonlabor!$F$14,MAX(Nonlabor!$F$14,IF(Nonlabor!$E$14="AI",Assumptions!$E$24,Assumptions!$E$25))),C3143&lt;=Nonlabor!$G$14,OR(Nonlabor!$H$14="Monthly",AND(Nonlabor!$H$14="Once",C3143=IF(Nonlabor!$E$14="Core",Nonlabor!$F$14,MAX(Nonlabor!$F$14,IF(Nonlabor!$E$14="AI",Assumptions!$E$24,Assumptions!$E$25)))),AND(Nonlabor!$H$14="Annual",MOD(C3143-IF(Nonlabor!$E$14="Core",Nonlabor!$F$14,MAX(Nonlabor!$F$14,IF(Nonlabor!$E$14="AI",Assumptions!$E$24,Assumptions!$E$25))),12)=0))),IF(Nonlabor!$I$14="Fixed",1,IF(Nonlabor!$I$14="Seats",ROUNDUP('Monthly Growth'!I23,0),IF(Nonlabor!$I$14="Customers",'Monthly Growth'!D23,IF(Nonlabor!$I$14="NewCustomers",'Monthly Growth'!C23,IF(Nonlabor!$I$14="StorageGB",'Monthly Growth'!G23,IF(Nonlabor!$I$14="LogGB",'Monthly Growth'!H23,IF(Nonlabor!$I$14="RequestsM",'Monthly Growth'!F23,IF(Nonlabor!$I$14="InputM",'Monthly Growth'!D23*Assumptions!$E$22/1000000,IF(Nonlabor!$I$14="OutputM",'Monthly Growth'!D23*Assumptions!$E$23/1000000,0))))))))),0)</f>
        <v>15</v>
      </c>
      <c r="F3143" s="10" t="n">
        <f aca="false">Nonlabor!$J$14*(1+Assumptions!$E$9)^INT((C3143-1)/12)</f>
        <v>46.8</v>
      </c>
      <c r="G3143" s="10" t="n">
        <f aca="false">E3143*F3143</f>
        <v>702</v>
      </c>
      <c r="H3143" s="10" t="n">
        <f aca="false">IF(OR(Nonlabor!$L$14="Quote required",Nonlabor!$L$14="Unverified"),G3143,0)</f>
        <v>0</v>
      </c>
      <c r="I3143" s="10" t="n">
        <f aca="false">IF(Nonlabor!$E$14="Core",0,G3143)</f>
        <v>0</v>
      </c>
      <c r="J3143" s="23" t="str">
        <f aca="false">Nonlabor!$B$14</f>
        <v>TOOLS</v>
      </c>
    </row>
    <row r="3144" customFormat="false" ht="15" hidden="false" customHeight="false" outlineLevel="0" collapsed="false">
      <c r="A3144" s="6" t="s">
        <v>73</v>
      </c>
      <c r="B3144" s="6" t="s">
        <v>399</v>
      </c>
      <c r="C3144" s="6" t="n">
        <v>19</v>
      </c>
      <c r="D3144" s="25" t="n">
        <f aca="false">EDATE('Start Here'!$B$6,C3144-1)</f>
        <v>46874</v>
      </c>
      <c r="E3144" s="23" t="n">
        <f aca="false">IF(AND(OR(Nonlabor!$D$14="Both",Nonlabor!$D$14='Start Here'!$B$9),IF(Nonlabor!$E$14="Core",1,IF(Nonlabor!$E$14="AI",'Start Here'!$B$7,'Start Here'!$B$8))=1,C3144&gt;=IF(Nonlabor!$E$14="Core",Nonlabor!$F$14,MAX(Nonlabor!$F$14,IF(Nonlabor!$E$14="AI",Assumptions!$E$24,Assumptions!$E$25))),C3144&lt;=Nonlabor!$G$14,OR(Nonlabor!$H$14="Monthly",AND(Nonlabor!$H$14="Once",C3144=IF(Nonlabor!$E$14="Core",Nonlabor!$F$14,MAX(Nonlabor!$F$14,IF(Nonlabor!$E$14="AI",Assumptions!$E$24,Assumptions!$E$25)))),AND(Nonlabor!$H$14="Annual",MOD(C3144-IF(Nonlabor!$E$14="Core",Nonlabor!$F$14,MAX(Nonlabor!$F$14,IF(Nonlabor!$E$14="AI",Assumptions!$E$24,Assumptions!$E$25))),12)=0))),IF(Nonlabor!$I$14="Fixed",1,IF(Nonlabor!$I$14="Seats",ROUNDUP('Monthly Growth'!I24,0),IF(Nonlabor!$I$14="Customers",'Monthly Growth'!D24,IF(Nonlabor!$I$14="NewCustomers",'Monthly Growth'!C24,IF(Nonlabor!$I$14="StorageGB",'Monthly Growth'!G24,IF(Nonlabor!$I$14="LogGB",'Monthly Growth'!H24,IF(Nonlabor!$I$14="RequestsM",'Monthly Growth'!F24,IF(Nonlabor!$I$14="InputM",'Monthly Growth'!D24*Assumptions!$E$22/1000000,IF(Nonlabor!$I$14="OutputM",'Monthly Growth'!D24*Assumptions!$E$23/1000000,0))))))))),0)</f>
        <v>15</v>
      </c>
      <c r="F3144" s="10" t="n">
        <f aca="false">Nonlabor!$J$14*(1+Assumptions!$E$9)^INT((C3144-1)/12)</f>
        <v>46.8</v>
      </c>
      <c r="G3144" s="10" t="n">
        <f aca="false">E3144*F3144</f>
        <v>702</v>
      </c>
      <c r="H3144" s="10" t="n">
        <f aca="false">IF(OR(Nonlabor!$L$14="Quote required",Nonlabor!$L$14="Unverified"),G3144,0)</f>
        <v>0</v>
      </c>
      <c r="I3144" s="10" t="n">
        <f aca="false">IF(Nonlabor!$E$14="Core",0,G3144)</f>
        <v>0</v>
      </c>
      <c r="J3144" s="23" t="str">
        <f aca="false">Nonlabor!$B$14</f>
        <v>TOOLS</v>
      </c>
    </row>
    <row r="3145" customFormat="false" ht="15" hidden="false" customHeight="false" outlineLevel="0" collapsed="false">
      <c r="A3145" s="6" t="s">
        <v>73</v>
      </c>
      <c r="B3145" s="6" t="s">
        <v>399</v>
      </c>
      <c r="C3145" s="6" t="n">
        <v>20</v>
      </c>
      <c r="D3145" s="25" t="n">
        <f aca="false">EDATE('Start Here'!$B$6,C3145-1)</f>
        <v>46905</v>
      </c>
      <c r="E3145" s="23" t="n">
        <f aca="false">IF(AND(OR(Nonlabor!$D$14="Both",Nonlabor!$D$14='Start Here'!$B$9),IF(Nonlabor!$E$14="Core",1,IF(Nonlabor!$E$14="AI",'Start Here'!$B$7,'Start Here'!$B$8))=1,C3145&gt;=IF(Nonlabor!$E$14="Core",Nonlabor!$F$14,MAX(Nonlabor!$F$14,IF(Nonlabor!$E$14="AI",Assumptions!$E$24,Assumptions!$E$25))),C3145&lt;=Nonlabor!$G$14,OR(Nonlabor!$H$14="Monthly",AND(Nonlabor!$H$14="Once",C3145=IF(Nonlabor!$E$14="Core",Nonlabor!$F$14,MAX(Nonlabor!$F$14,IF(Nonlabor!$E$14="AI",Assumptions!$E$24,Assumptions!$E$25)))),AND(Nonlabor!$H$14="Annual",MOD(C3145-IF(Nonlabor!$E$14="Core",Nonlabor!$F$14,MAX(Nonlabor!$F$14,IF(Nonlabor!$E$14="AI",Assumptions!$E$24,Assumptions!$E$25))),12)=0))),IF(Nonlabor!$I$14="Fixed",1,IF(Nonlabor!$I$14="Seats",ROUNDUP('Monthly Growth'!I25,0),IF(Nonlabor!$I$14="Customers",'Monthly Growth'!D25,IF(Nonlabor!$I$14="NewCustomers",'Monthly Growth'!C25,IF(Nonlabor!$I$14="StorageGB",'Monthly Growth'!G25,IF(Nonlabor!$I$14="LogGB",'Monthly Growth'!H25,IF(Nonlabor!$I$14="RequestsM",'Monthly Growth'!F25,IF(Nonlabor!$I$14="InputM",'Monthly Growth'!D25*Assumptions!$E$22/1000000,IF(Nonlabor!$I$14="OutputM",'Monthly Growth'!D25*Assumptions!$E$23/1000000,0))))))))),0)</f>
        <v>15</v>
      </c>
      <c r="F3145" s="10" t="n">
        <f aca="false">Nonlabor!$J$14*(1+Assumptions!$E$9)^INT((C3145-1)/12)</f>
        <v>46.8</v>
      </c>
      <c r="G3145" s="10" t="n">
        <f aca="false">E3145*F3145</f>
        <v>702</v>
      </c>
      <c r="H3145" s="10" t="n">
        <f aca="false">IF(OR(Nonlabor!$L$14="Quote required",Nonlabor!$L$14="Unverified"),G3145,0)</f>
        <v>0</v>
      </c>
      <c r="I3145" s="10" t="n">
        <f aca="false">IF(Nonlabor!$E$14="Core",0,G3145)</f>
        <v>0</v>
      </c>
      <c r="J3145" s="23" t="str">
        <f aca="false">Nonlabor!$B$14</f>
        <v>TOOLS</v>
      </c>
    </row>
    <row r="3146" customFormat="false" ht="15" hidden="false" customHeight="false" outlineLevel="0" collapsed="false">
      <c r="A3146" s="6" t="s">
        <v>73</v>
      </c>
      <c r="B3146" s="6" t="s">
        <v>399</v>
      </c>
      <c r="C3146" s="6" t="n">
        <v>21</v>
      </c>
      <c r="D3146" s="25" t="n">
        <f aca="false">EDATE('Start Here'!$B$6,C3146-1)</f>
        <v>46935</v>
      </c>
      <c r="E3146" s="23" t="n">
        <f aca="false">IF(AND(OR(Nonlabor!$D$14="Both",Nonlabor!$D$14='Start Here'!$B$9),IF(Nonlabor!$E$14="Core",1,IF(Nonlabor!$E$14="AI",'Start Here'!$B$7,'Start Here'!$B$8))=1,C3146&gt;=IF(Nonlabor!$E$14="Core",Nonlabor!$F$14,MAX(Nonlabor!$F$14,IF(Nonlabor!$E$14="AI",Assumptions!$E$24,Assumptions!$E$25))),C3146&lt;=Nonlabor!$G$14,OR(Nonlabor!$H$14="Monthly",AND(Nonlabor!$H$14="Once",C3146=IF(Nonlabor!$E$14="Core",Nonlabor!$F$14,MAX(Nonlabor!$F$14,IF(Nonlabor!$E$14="AI",Assumptions!$E$24,Assumptions!$E$25)))),AND(Nonlabor!$H$14="Annual",MOD(C3146-IF(Nonlabor!$E$14="Core",Nonlabor!$F$14,MAX(Nonlabor!$F$14,IF(Nonlabor!$E$14="AI",Assumptions!$E$24,Assumptions!$E$25))),12)=0))),IF(Nonlabor!$I$14="Fixed",1,IF(Nonlabor!$I$14="Seats",ROUNDUP('Monthly Growth'!I26,0),IF(Nonlabor!$I$14="Customers",'Monthly Growth'!D26,IF(Nonlabor!$I$14="NewCustomers",'Monthly Growth'!C26,IF(Nonlabor!$I$14="StorageGB",'Monthly Growth'!G26,IF(Nonlabor!$I$14="LogGB",'Monthly Growth'!H26,IF(Nonlabor!$I$14="RequestsM",'Monthly Growth'!F26,IF(Nonlabor!$I$14="InputM",'Monthly Growth'!D26*Assumptions!$E$22/1000000,IF(Nonlabor!$I$14="OutputM",'Monthly Growth'!D26*Assumptions!$E$23/1000000,0))))))))),0)</f>
        <v>15</v>
      </c>
      <c r="F3146" s="10" t="n">
        <f aca="false">Nonlabor!$J$14*(1+Assumptions!$E$9)^INT((C3146-1)/12)</f>
        <v>46.8</v>
      </c>
      <c r="G3146" s="10" t="n">
        <f aca="false">E3146*F3146</f>
        <v>702</v>
      </c>
      <c r="H3146" s="10" t="n">
        <f aca="false">IF(OR(Nonlabor!$L$14="Quote required",Nonlabor!$L$14="Unverified"),G3146,0)</f>
        <v>0</v>
      </c>
      <c r="I3146" s="10" t="n">
        <f aca="false">IF(Nonlabor!$E$14="Core",0,G3146)</f>
        <v>0</v>
      </c>
      <c r="J3146" s="23" t="str">
        <f aca="false">Nonlabor!$B$14</f>
        <v>TOOLS</v>
      </c>
    </row>
    <row r="3147" customFormat="false" ht="15" hidden="false" customHeight="false" outlineLevel="0" collapsed="false">
      <c r="A3147" s="6" t="s">
        <v>73</v>
      </c>
      <c r="B3147" s="6" t="s">
        <v>399</v>
      </c>
      <c r="C3147" s="6" t="n">
        <v>22</v>
      </c>
      <c r="D3147" s="25" t="n">
        <f aca="false">EDATE('Start Here'!$B$6,C3147-1)</f>
        <v>46966</v>
      </c>
      <c r="E3147" s="23" t="n">
        <f aca="false">IF(AND(OR(Nonlabor!$D$14="Both",Nonlabor!$D$14='Start Here'!$B$9),IF(Nonlabor!$E$14="Core",1,IF(Nonlabor!$E$14="AI",'Start Here'!$B$7,'Start Here'!$B$8))=1,C3147&gt;=IF(Nonlabor!$E$14="Core",Nonlabor!$F$14,MAX(Nonlabor!$F$14,IF(Nonlabor!$E$14="AI",Assumptions!$E$24,Assumptions!$E$25))),C3147&lt;=Nonlabor!$G$14,OR(Nonlabor!$H$14="Monthly",AND(Nonlabor!$H$14="Once",C3147=IF(Nonlabor!$E$14="Core",Nonlabor!$F$14,MAX(Nonlabor!$F$14,IF(Nonlabor!$E$14="AI",Assumptions!$E$24,Assumptions!$E$25)))),AND(Nonlabor!$H$14="Annual",MOD(C3147-IF(Nonlabor!$E$14="Core",Nonlabor!$F$14,MAX(Nonlabor!$F$14,IF(Nonlabor!$E$14="AI",Assumptions!$E$24,Assumptions!$E$25))),12)=0))),IF(Nonlabor!$I$14="Fixed",1,IF(Nonlabor!$I$14="Seats",ROUNDUP('Monthly Growth'!I27,0),IF(Nonlabor!$I$14="Customers",'Monthly Growth'!D27,IF(Nonlabor!$I$14="NewCustomers",'Monthly Growth'!C27,IF(Nonlabor!$I$14="StorageGB",'Monthly Growth'!G27,IF(Nonlabor!$I$14="LogGB",'Monthly Growth'!H27,IF(Nonlabor!$I$14="RequestsM",'Monthly Growth'!F27,IF(Nonlabor!$I$14="InputM",'Monthly Growth'!D27*Assumptions!$E$22/1000000,IF(Nonlabor!$I$14="OutputM",'Monthly Growth'!D27*Assumptions!$E$23/1000000,0))))))))),0)</f>
        <v>15</v>
      </c>
      <c r="F3147" s="10" t="n">
        <f aca="false">Nonlabor!$J$14*(1+Assumptions!$E$9)^INT((C3147-1)/12)</f>
        <v>46.8</v>
      </c>
      <c r="G3147" s="10" t="n">
        <f aca="false">E3147*F3147</f>
        <v>702</v>
      </c>
      <c r="H3147" s="10" t="n">
        <f aca="false">IF(OR(Nonlabor!$L$14="Quote required",Nonlabor!$L$14="Unverified"),G3147,0)</f>
        <v>0</v>
      </c>
      <c r="I3147" s="10" t="n">
        <f aca="false">IF(Nonlabor!$E$14="Core",0,G3147)</f>
        <v>0</v>
      </c>
      <c r="J3147" s="23" t="str">
        <f aca="false">Nonlabor!$B$14</f>
        <v>TOOLS</v>
      </c>
    </row>
    <row r="3148" customFormat="false" ht="15" hidden="false" customHeight="false" outlineLevel="0" collapsed="false">
      <c r="A3148" s="6" t="s">
        <v>73</v>
      </c>
      <c r="B3148" s="6" t="s">
        <v>399</v>
      </c>
      <c r="C3148" s="6" t="n">
        <v>23</v>
      </c>
      <c r="D3148" s="25" t="n">
        <f aca="false">EDATE('Start Here'!$B$6,C3148-1)</f>
        <v>46997</v>
      </c>
      <c r="E3148" s="23" t="n">
        <f aca="false">IF(AND(OR(Nonlabor!$D$14="Both",Nonlabor!$D$14='Start Here'!$B$9),IF(Nonlabor!$E$14="Core",1,IF(Nonlabor!$E$14="AI",'Start Here'!$B$7,'Start Here'!$B$8))=1,C3148&gt;=IF(Nonlabor!$E$14="Core",Nonlabor!$F$14,MAX(Nonlabor!$F$14,IF(Nonlabor!$E$14="AI",Assumptions!$E$24,Assumptions!$E$25))),C3148&lt;=Nonlabor!$G$14,OR(Nonlabor!$H$14="Monthly",AND(Nonlabor!$H$14="Once",C3148=IF(Nonlabor!$E$14="Core",Nonlabor!$F$14,MAX(Nonlabor!$F$14,IF(Nonlabor!$E$14="AI",Assumptions!$E$24,Assumptions!$E$25)))),AND(Nonlabor!$H$14="Annual",MOD(C3148-IF(Nonlabor!$E$14="Core",Nonlabor!$F$14,MAX(Nonlabor!$F$14,IF(Nonlabor!$E$14="AI",Assumptions!$E$24,Assumptions!$E$25))),12)=0))),IF(Nonlabor!$I$14="Fixed",1,IF(Nonlabor!$I$14="Seats",ROUNDUP('Monthly Growth'!I28,0),IF(Nonlabor!$I$14="Customers",'Monthly Growth'!D28,IF(Nonlabor!$I$14="NewCustomers",'Monthly Growth'!C28,IF(Nonlabor!$I$14="StorageGB",'Monthly Growth'!G28,IF(Nonlabor!$I$14="LogGB",'Monthly Growth'!H28,IF(Nonlabor!$I$14="RequestsM",'Monthly Growth'!F28,IF(Nonlabor!$I$14="InputM",'Monthly Growth'!D28*Assumptions!$E$22/1000000,IF(Nonlabor!$I$14="OutputM",'Monthly Growth'!D28*Assumptions!$E$23/1000000,0))))))))),0)</f>
        <v>15</v>
      </c>
      <c r="F3148" s="10" t="n">
        <f aca="false">Nonlabor!$J$14*(1+Assumptions!$E$9)^INT((C3148-1)/12)</f>
        <v>46.8</v>
      </c>
      <c r="G3148" s="10" t="n">
        <f aca="false">E3148*F3148</f>
        <v>702</v>
      </c>
      <c r="H3148" s="10" t="n">
        <f aca="false">IF(OR(Nonlabor!$L$14="Quote required",Nonlabor!$L$14="Unverified"),G3148,0)</f>
        <v>0</v>
      </c>
      <c r="I3148" s="10" t="n">
        <f aca="false">IF(Nonlabor!$E$14="Core",0,G3148)</f>
        <v>0</v>
      </c>
      <c r="J3148" s="23" t="str">
        <f aca="false">Nonlabor!$B$14</f>
        <v>TOOLS</v>
      </c>
    </row>
    <row r="3149" customFormat="false" ht="15" hidden="false" customHeight="false" outlineLevel="0" collapsed="false">
      <c r="A3149" s="6" t="s">
        <v>73</v>
      </c>
      <c r="B3149" s="6" t="s">
        <v>399</v>
      </c>
      <c r="C3149" s="6" t="n">
        <v>24</v>
      </c>
      <c r="D3149" s="25" t="n">
        <f aca="false">EDATE('Start Here'!$B$6,C3149-1)</f>
        <v>47027</v>
      </c>
      <c r="E3149" s="23" t="n">
        <f aca="false">IF(AND(OR(Nonlabor!$D$14="Both",Nonlabor!$D$14='Start Here'!$B$9),IF(Nonlabor!$E$14="Core",1,IF(Nonlabor!$E$14="AI",'Start Here'!$B$7,'Start Here'!$B$8))=1,C3149&gt;=IF(Nonlabor!$E$14="Core",Nonlabor!$F$14,MAX(Nonlabor!$F$14,IF(Nonlabor!$E$14="AI",Assumptions!$E$24,Assumptions!$E$25))),C3149&lt;=Nonlabor!$G$14,OR(Nonlabor!$H$14="Monthly",AND(Nonlabor!$H$14="Once",C3149=IF(Nonlabor!$E$14="Core",Nonlabor!$F$14,MAX(Nonlabor!$F$14,IF(Nonlabor!$E$14="AI",Assumptions!$E$24,Assumptions!$E$25)))),AND(Nonlabor!$H$14="Annual",MOD(C3149-IF(Nonlabor!$E$14="Core",Nonlabor!$F$14,MAX(Nonlabor!$F$14,IF(Nonlabor!$E$14="AI",Assumptions!$E$24,Assumptions!$E$25))),12)=0))),IF(Nonlabor!$I$14="Fixed",1,IF(Nonlabor!$I$14="Seats",ROUNDUP('Monthly Growth'!I29,0),IF(Nonlabor!$I$14="Customers",'Monthly Growth'!D29,IF(Nonlabor!$I$14="NewCustomers",'Monthly Growth'!C29,IF(Nonlabor!$I$14="StorageGB",'Monthly Growth'!G29,IF(Nonlabor!$I$14="LogGB",'Monthly Growth'!H29,IF(Nonlabor!$I$14="RequestsM",'Monthly Growth'!F29,IF(Nonlabor!$I$14="InputM",'Monthly Growth'!D29*Assumptions!$E$22/1000000,IF(Nonlabor!$I$14="OutputM",'Monthly Growth'!D29*Assumptions!$E$23/1000000,0))))))))),0)</f>
        <v>15</v>
      </c>
      <c r="F3149" s="10" t="n">
        <f aca="false">Nonlabor!$J$14*(1+Assumptions!$E$9)^INT((C3149-1)/12)</f>
        <v>46.8</v>
      </c>
      <c r="G3149" s="10" t="n">
        <f aca="false">E3149*F3149</f>
        <v>702</v>
      </c>
      <c r="H3149" s="10" t="n">
        <f aca="false">IF(OR(Nonlabor!$L$14="Quote required",Nonlabor!$L$14="Unverified"),G3149,0)</f>
        <v>0</v>
      </c>
      <c r="I3149" s="10" t="n">
        <f aca="false">IF(Nonlabor!$E$14="Core",0,G3149)</f>
        <v>0</v>
      </c>
      <c r="J3149" s="23" t="str">
        <f aca="false">Nonlabor!$B$14</f>
        <v>TOOLS</v>
      </c>
    </row>
    <row r="3150" customFormat="false" ht="15" hidden="false" customHeight="false" outlineLevel="0" collapsed="false">
      <c r="A3150" s="6" t="s">
        <v>73</v>
      </c>
      <c r="B3150" s="6" t="s">
        <v>399</v>
      </c>
      <c r="C3150" s="6" t="n">
        <v>25</v>
      </c>
      <c r="D3150" s="25" t="n">
        <f aca="false">EDATE('Start Here'!$B$6,C3150-1)</f>
        <v>47058</v>
      </c>
      <c r="E3150" s="23" t="n">
        <f aca="false">IF(AND(OR(Nonlabor!$D$14="Both",Nonlabor!$D$14='Start Here'!$B$9),IF(Nonlabor!$E$14="Core",1,IF(Nonlabor!$E$14="AI",'Start Here'!$B$7,'Start Here'!$B$8))=1,C3150&gt;=IF(Nonlabor!$E$14="Core",Nonlabor!$F$14,MAX(Nonlabor!$F$14,IF(Nonlabor!$E$14="AI",Assumptions!$E$24,Assumptions!$E$25))),C3150&lt;=Nonlabor!$G$14,OR(Nonlabor!$H$14="Monthly",AND(Nonlabor!$H$14="Once",C3150=IF(Nonlabor!$E$14="Core",Nonlabor!$F$14,MAX(Nonlabor!$F$14,IF(Nonlabor!$E$14="AI",Assumptions!$E$24,Assumptions!$E$25)))),AND(Nonlabor!$H$14="Annual",MOD(C3150-IF(Nonlabor!$E$14="Core",Nonlabor!$F$14,MAX(Nonlabor!$F$14,IF(Nonlabor!$E$14="AI",Assumptions!$E$24,Assumptions!$E$25))),12)=0))),IF(Nonlabor!$I$14="Fixed",1,IF(Nonlabor!$I$14="Seats",ROUNDUP('Monthly Growth'!I30,0),IF(Nonlabor!$I$14="Customers",'Monthly Growth'!D30,IF(Nonlabor!$I$14="NewCustomers",'Monthly Growth'!C30,IF(Nonlabor!$I$14="StorageGB",'Monthly Growth'!G30,IF(Nonlabor!$I$14="LogGB",'Monthly Growth'!H30,IF(Nonlabor!$I$14="RequestsM",'Monthly Growth'!F30,IF(Nonlabor!$I$14="InputM",'Monthly Growth'!D30*Assumptions!$E$22/1000000,IF(Nonlabor!$I$14="OutputM",'Monthly Growth'!D30*Assumptions!$E$23/1000000,0))))))))),0)</f>
        <v>15</v>
      </c>
      <c r="F3150" s="10" t="n">
        <f aca="false">Nonlabor!$J$14*(1+Assumptions!$E$9)^INT((C3150-1)/12)</f>
        <v>48.672</v>
      </c>
      <c r="G3150" s="10" t="n">
        <f aca="false">E3150*F3150</f>
        <v>730.08</v>
      </c>
      <c r="H3150" s="10" t="n">
        <f aca="false">IF(OR(Nonlabor!$L$14="Quote required",Nonlabor!$L$14="Unverified"),G3150,0)</f>
        <v>0</v>
      </c>
      <c r="I3150" s="10" t="n">
        <f aca="false">IF(Nonlabor!$E$14="Core",0,G3150)</f>
        <v>0</v>
      </c>
      <c r="J3150" s="23" t="str">
        <f aca="false">Nonlabor!$B$14</f>
        <v>TOOLS</v>
      </c>
    </row>
    <row r="3151" customFormat="false" ht="15" hidden="false" customHeight="false" outlineLevel="0" collapsed="false">
      <c r="A3151" s="6" t="s">
        <v>73</v>
      </c>
      <c r="B3151" s="6" t="s">
        <v>399</v>
      </c>
      <c r="C3151" s="6" t="n">
        <v>26</v>
      </c>
      <c r="D3151" s="25" t="n">
        <f aca="false">EDATE('Start Here'!$B$6,C3151-1)</f>
        <v>47088</v>
      </c>
      <c r="E3151" s="23" t="n">
        <f aca="false">IF(AND(OR(Nonlabor!$D$14="Both",Nonlabor!$D$14='Start Here'!$B$9),IF(Nonlabor!$E$14="Core",1,IF(Nonlabor!$E$14="AI",'Start Here'!$B$7,'Start Here'!$B$8))=1,C3151&gt;=IF(Nonlabor!$E$14="Core",Nonlabor!$F$14,MAX(Nonlabor!$F$14,IF(Nonlabor!$E$14="AI",Assumptions!$E$24,Assumptions!$E$25))),C3151&lt;=Nonlabor!$G$14,OR(Nonlabor!$H$14="Monthly",AND(Nonlabor!$H$14="Once",C3151=IF(Nonlabor!$E$14="Core",Nonlabor!$F$14,MAX(Nonlabor!$F$14,IF(Nonlabor!$E$14="AI",Assumptions!$E$24,Assumptions!$E$25)))),AND(Nonlabor!$H$14="Annual",MOD(C3151-IF(Nonlabor!$E$14="Core",Nonlabor!$F$14,MAX(Nonlabor!$F$14,IF(Nonlabor!$E$14="AI",Assumptions!$E$24,Assumptions!$E$25))),12)=0))),IF(Nonlabor!$I$14="Fixed",1,IF(Nonlabor!$I$14="Seats",ROUNDUP('Monthly Growth'!I31,0),IF(Nonlabor!$I$14="Customers",'Monthly Growth'!D31,IF(Nonlabor!$I$14="NewCustomers",'Monthly Growth'!C31,IF(Nonlabor!$I$14="StorageGB",'Monthly Growth'!G31,IF(Nonlabor!$I$14="LogGB",'Monthly Growth'!H31,IF(Nonlabor!$I$14="RequestsM",'Monthly Growth'!F31,IF(Nonlabor!$I$14="InputM",'Monthly Growth'!D31*Assumptions!$E$22/1000000,IF(Nonlabor!$I$14="OutputM",'Monthly Growth'!D31*Assumptions!$E$23/1000000,0))))))))),0)</f>
        <v>15</v>
      </c>
      <c r="F3151" s="10" t="n">
        <f aca="false">Nonlabor!$J$14*(1+Assumptions!$E$9)^INT((C3151-1)/12)</f>
        <v>48.672</v>
      </c>
      <c r="G3151" s="10" t="n">
        <f aca="false">E3151*F3151</f>
        <v>730.08</v>
      </c>
      <c r="H3151" s="10" t="n">
        <f aca="false">IF(OR(Nonlabor!$L$14="Quote required",Nonlabor!$L$14="Unverified"),G3151,0)</f>
        <v>0</v>
      </c>
      <c r="I3151" s="10" t="n">
        <f aca="false">IF(Nonlabor!$E$14="Core",0,G3151)</f>
        <v>0</v>
      </c>
      <c r="J3151" s="23" t="str">
        <f aca="false">Nonlabor!$B$14</f>
        <v>TOOLS</v>
      </c>
    </row>
    <row r="3152" customFormat="false" ht="15" hidden="false" customHeight="false" outlineLevel="0" collapsed="false">
      <c r="A3152" s="6" t="s">
        <v>73</v>
      </c>
      <c r="B3152" s="6" t="s">
        <v>399</v>
      </c>
      <c r="C3152" s="6" t="n">
        <v>27</v>
      </c>
      <c r="D3152" s="25" t="n">
        <f aca="false">EDATE('Start Here'!$B$6,C3152-1)</f>
        <v>47119</v>
      </c>
      <c r="E3152" s="23" t="n">
        <f aca="false">IF(AND(OR(Nonlabor!$D$14="Both",Nonlabor!$D$14='Start Here'!$B$9),IF(Nonlabor!$E$14="Core",1,IF(Nonlabor!$E$14="AI",'Start Here'!$B$7,'Start Here'!$B$8))=1,C3152&gt;=IF(Nonlabor!$E$14="Core",Nonlabor!$F$14,MAX(Nonlabor!$F$14,IF(Nonlabor!$E$14="AI",Assumptions!$E$24,Assumptions!$E$25))),C3152&lt;=Nonlabor!$G$14,OR(Nonlabor!$H$14="Monthly",AND(Nonlabor!$H$14="Once",C3152=IF(Nonlabor!$E$14="Core",Nonlabor!$F$14,MAX(Nonlabor!$F$14,IF(Nonlabor!$E$14="AI",Assumptions!$E$24,Assumptions!$E$25)))),AND(Nonlabor!$H$14="Annual",MOD(C3152-IF(Nonlabor!$E$14="Core",Nonlabor!$F$14,MAX(Nonlabor!$F$14,IF(Nonlabor!$E$14="AI",Assumptions!$E$24,Assumptions!$E$25))),12)=0))),IF(Nonlabor!$I$14="Fixed",1,IF(Nonlabor!$I$14="Seats",ROUNDUP('Monthly Growth'!I32,0),IF(Nonlabor!$I$14="Customers",'Monthly Growth'!D32,IF(Nonlabor!$I$14="NewCustomers",'Monthly Growth'!C32,IF(Nonlabor!$I$14="StorageGB",'Monthly Growth'!G32,IF(Nonlabor!$I$14="LogGB",'Monthly Growth'!H32,IF(Nonlabor!$I$14="RequestsM",'Monthly Growth'!F32,IF(Nonlabor!$I$14="InputM",'Monthly Growth'!D32*Assumptions!$E$22/1000000,IF(Nonlabor!$I$14="OutputM",'Monthly Growth'!D32*Assumptions!$E$23/1000000,0))))))))),0)</f>
        <v>15</v>
      </c>
      <c r="F3152" s="10" t="n">
        <f aca="false">Nonlabor!$J$14*(1+Assumptions!$E$9)^INT((C3152-1)/12)</f>
        <v>48.672</v>
      </c>
      <c r="G3152" s="10" t="n">
        <f aca="false">E3152*F3152</f>
        <v>730.08</v>
      </c>
      <c r="H3152" s="10" t="n">
        <f aca="false">IF(OR(Nonlabor!$L$14="Quote required",Nonlabor!$L$14="Unverified"),G3152,0)</f>
        <v>0</v>
      </c>
      <c r="I3152" s="10" t="n">
        <f aca="false">IF(Nonlabor!$E$14="Core",0,G3152)</f>
        <v>0</v>
      </c>
      <c r="J3152" s="23" t="str">
        <f aca="false">Nonlabor!$B$14</f>
        <v>TOOLS</v>
      </c>
    </row>
    <row r="3153" customFormat="false" ht="15" hidden="false" customHeight="false" outlineLevel="0" collapsed="false">
      <c r="A3153" s="6" t="s">
        <v>73</v>
      </c>
      <c r="B3153" s="6" t="s">
        <v>399</v>
      </c>
      <c r="C3153" s="6" t="n">
        <v>28</v>
      </c>
      <c r="D3153" s="25" t="n">
        <f aca="false">EDATE('Start Here'!$B$6,C3153-1)</f>
        <v>47150</v>
      </c>
      <c r="E3153" s="23" t="n">
        <f aca="false">IF(AND(OR(Nonlabor!$D$14="Both",Nonlabor!$D$14='Start Here'!$B$9),IF(Nonlabor!$E$14="Core",1,IF(Nonlabor!$E$14="AI",'Start Here'!$B$7,'Start Here'!$B$8))=1,C3153&gt;=IF(Nonlabor!$E$14="Core",Nonlabor!$F$14,MAX(Nonlabor!$F$14,IF(Nonlabor!$E$14="AI",Assumptions!$E$24,Assumptions!$E$25))),C3153&lt;=Nonlabor!$G$14,OR(Nonlabor!$H$14="Monthly",AND(Nonlabor!$H$14="Once",C3153=IF(Nonlabor!$E$14="Core",Nonlabor!$F$14,MAX(Nonlabor!$F$14,IF(Nonlabor!$E$14="AI",Assumptions!$E$24,Assumptions!$E$25)))),AND(Nonlabor!$H$14="Annual",MOD(C3153-IF(Nonlabor!$E$14="Core",Nonlabor!$F$14,MAX(Nonlabor!$F$14,IF(Nonlabor!$E$14="AI",Assumptions!$E$24,Assumptions!$E$25))),12)=0))),IF(Nonlabor!$I$14="Fixed",1,IF(Nonlabor!$I$14="Seats",ROUNDUP('Monthly Growth'!I33,0),IF(Nonlabor!$I$14="Customers",'Monthly Growth'!D33,IF(Nonlabor!$I$14="NewCustomers",'Monthly Growth'!C33,IF(Nonlabor!$I$14="StorageGB",'Monthly Growth'!G33,IF(Nonlabor!$I$14="LogGB",'Monthly Growth'!H33,IF(Nonlabor!$I$14="RequestsM",'Monthly Growth'!F33,IF(Nonlabor!$I$14="InputM",'Monthly Growth'!D33*Assumptions!$E$22/1000000,IF(Nonlabor!$I$14="OutputM",'Monthly Growth'!D33*Assumptions!$E$23/1000000,0))))))))),0)</f>
        <v>15</v>
      </c>
      <c r="F3153" s="10" t="n">
        <f aca="false">Nonlabor!$J$14*(1+Assumptions!$E$9)^INT((C3153-1)/12)</f>
        <v>48.672</v>
      </c>
      <c r="G3153" s="10" t="n">
        <f aca="false">E3153*F3153</f>
        <v>730.08</v>
      </c>
      <c r="H3153" s="10" t="n">
        <f aca="false">IF(OR(Nonlabor!$L$14="Quote required",Nonlabor!$L$14="Unverified"),G3153,0)</f>
        <v>0</v>
      </c>
      <c r="I3153" s="10" t="n">
        <f aca="false">IF(Nonlabor!$E$14="Core",0,G3153)</f>
        <v>0</v>
      </c>
      <c r="J3153" s="23" t="str">
        <f aca="false">Nonlabor!$B$14</f>
        <v>TOOLS</v>
      </c>
    </row>
    <row r="3154" customFormat="false" ht="15" hidden="false" customHeight="false" outlineLevel="0" collapsed="false">
      <c r="A3154" s="6" t="s">
        <v>73</v>
      </c>
      <c r="B3154" s="6" t="s">
        <v>399</v>
      </c>
      <c r="C3154" s="6" t="n">
        <v>29</v>
      </c>
      <c r="D3154" s="25" t="n">
        <f aca="false">EDATE('Start Here'!$B$6,C3154-1)</f>
        <v>47178</v>
      </c>
      <c r="E3154" s="23" t="n">
        <f aca="false">IF(AND(OR(Nonlabor!$D$14="Both",Nonlabor!$D$14='Start Here'!$B$9),IF(Nonlabor!$E$14="Core",1,IF(Nonlabor!$E$14="AI",'Start Here'!$B$7,'Start Here'!$B$8))=1,C3154&gt;=IF(Nonlabor!$E$14="Core",Nonlabor!$F$14,MAX(Nonlabor!$F$14,IF(Nonlabor!$E$14="AI",Assumptions!$E$24,Assumptions!$E$25))),C3154&lt;=Nonlabor!$G$14,OR(Nonlabor!$H$14="Monthly",AND(Nonlabor!$H$14="Once",C3154=IF(Nonlabor!$E$14="Core",Nonlabor!$F$14,MAX(Nonlabor!$F$14,IF(Nonlabor!$E$14="AI",Assumptions!$E$24,Assumptions!$E$25)))),AND(Nonlabor!$H$14="Annual",MOD(C3154-IF(Nonlabor!$E$14="Core",Nonlabor!$F$14,MAX(Nonlabor!$F$14,IF(Nonlabor!$E$14="AI",Assumptions!$E$24,Assumptions!$E$25))),12)=0))),IF(Nonlabor!$I$14="Fixed",1,IF(Nonlabor!$I$14="Seats",ROUNDUP('Monthly Growth'!I34,0),IF(Nonlabor!$I$14="Customers",'Monthly Growth'!D34,IF(Nonlabor!$I$14="NewCustomers",'Monthly Growth'!C34,IF(Nonlabor!$I$14="StorageGB",'Monthly Growth'!G34,IF(Nonlabor!$I$14="LogGB",'Monthly Growth'!H34,IF(Nonlabor!$I$14="RequestsM",'Monthly Growth'!F34,IF(Nonlabor!$I$14="InputM",'Monthly Growth'!D34*Assumptions!$E$22/1000000,IF(Nonlabor!$I$14="OutputM",'Monthly Growth'!D34*Assumptions!$E$23/1000000,0))))))))),0)</f>
        <v>15</v>
      </c>
      <c r="F3154" s="10" t="n">
        <f aca="false">Nonlabor!$J$14*(1+Assumptions!$E$9)^INT((C3154-1)/12)</f>
        <v>48.672</v>
      </c>
      <c r="G3154" s="10" t="n">
        <f aca="false">E3154*F3154</f>
        <v>730.08</v>
      </c>
      <c r="H3154" s="10" t="n">
        <f aca="false">IF(OR(Nonlabor!$L$14="Quote required",Nonlabor!$L$14="Unverified"),G3154,0)</f>
        <v>0</v>
      </c>
      <c r="I3154" s="10" t="n">
        <f aca="false">IF(Nonlabor!$E$14="Core",0,G3154)</f>
        <v>0</v>
      </c>
      <c r="J3154" s="23" t="str">
        <f aca="false">Nonlabor!$B$14</f>
        <v>TOOLS</v>
      </c>
    </row>
    <row r="3155" customFormat="false" ht="15" hidden="false" customHeight="false" outlineLevel="0" collapsed="false">
      <c r="A3155" s="6" t="s">
        <v>73</v>
      </c>
      <c r="B3155" s="6" t="s">
        <v>399</v>
      </c>
      <c r="C3155" s="6" t="n">
        <v>30</v>
      </c>
      <c r="D3155" s="25" t="n">
        <f aca="false">EDATE('Start Here'!$B$6,C3155-1)</f>
        <v>47209</v>
      </c>
      <c r="E3155" s="23" t="n">
        <f aca="false">IF(AND(OR(Nonlabor!$D$14="Both",Nonlabor!$D$14='Start Here'!$B$9),IF(Nonlabor!$E$14="Core",1,IF(Nonlabor!$E$14="AI",'Start Here'!$B$7,'Start Here'!$B$8))=1,C3155&gt;=IF(Nonlabor!$E$14="Core",Nonlabor!$F$14,MAX(Nonlabor!$F$14,IF(Nonlabor!$E$14="AI",Assumptions!$E$24,Assumptions!$E$25))),C3155&lt;=Nonlabor!$G$14,OR(Nonlabor!$H$14="Monthly",AND(Nonlabor!$H$14="Once",C3155=IF(Nonlabor!$E$14="Core",Nonlabor!$F$14,MAX(Nonlabor!$F$14,IF(Nonlabor!$E$14="AI",Assumptions!$E$24,Assumptions!$E$25)))),AND(Nonlabor!$H$14="Annual",MOD(C3155-IF(Nonlabor!$E$14="Core",Nonlabor!$F$14,MAX(Nonlabor!$F$14,IF(Nonlabor!$E$14="AI",Assumptions!$E$24,Assumptions!$E$25))),12)=0))),IF(Nonlabor!$I$14="Fixed",1,IF(Nonlabor!$I$14="Seats",ROUNDUP('Monthly Growth'!I35,0),IF(Nonlabor!$I$14="Customers",'Monthly Growth'!D35,IF(Nonlabor!$I$14="NewCustomers",'Monthly Growth'!C35,IF(Nonlabor!$I$14="StorageGB",'Monthly Growth'!G35,IF(Nonlabor!$I$14="LogGB",'Monthly Growth'!H35,IF(Nonlabor!$I$14="RequestsM",'Monthly Growth'!F35,IF(Nonlabor!$I$14="InputM",'Monthly Growth'!D35*Assumptions!$E$22/1000000,IF(Nonlabor!$I$14="OutputM",'Monthly Growth'!D35*Assumptions!$E$23/1000000,0))))))))),0)</f>
        <v>15</v>
      </c>
      <c r="F3155" s="10" t="n">
        <f aca="false">Nonlabor!$J$14*(1+Assumptions!$E$9)^INT((C3155-1)/12)</f>
        <v>48.672</v>
      </c>
      <c r="G3155" s="10" t="n">
        <f aca="false">E3155*F3155</f>
        <v>730.08</v>
      </c>
      <c r="H3155" s="10" t="n">
        <f aca="false">IF(OR(Nonlabor!$L$14="Quote required",Nonlabor!$L$14="Unverified"),G3155,0)</f>
        <v>0</v>
      </c>
      <c r="I3155" s="10" t="n">
        <f aca="false">IF(Nonlabor!$E$14="Core",0,G3155)</f>
        <v>0</v>
      </c>
      <c r="J3155" s="23" t="str">
        <f aca="false">Nonlabor!$B$14</f>
        <v>TOOLS</v>
      </c>
    </row>
    <row r="3156" customFormat="false" ht="15" hidden="false" customHeight="false" outlineLevel="0" collapsed="false">
      <c r="A3156" s="6" t="s">
        <v>73</v>
      </c>
      <c r="B3156" s="6" t="s">
        <v>399</v>
      </c>
      <c r="C3156" s="6" t="n">
        <v>31</v>
      </c>
      <c r="D3156" s="25" t="n">
        <f aca="false">EDATE('Start Here'!$B$6,C3156-1)</f>
        <v>47239</v>
      </c>
      <c r="E3156" s="23" t="n">
        <f aca="false">IF(AND(OR(Nonlabor!$D$14="Both",Nonlabor!$D$14='Start Here'!$B$9),IF(Nonlabor!$E$14="Core",1,IF(Nonlabor!$E$14="AI",'Start Here'!$B$7,'Start Here'!$B$8))=1,C3156&gt;=IF(Nonlabor!$E$14="Core",Nonlabor!$F$14,MAX(Nonlabor!$F$14,IF(Nonlabor!$E$14="AI",Assumptions!$E$24,Assumptions!$E$25))),C3156&lt;=Nonlabor!$G$14,OR(Nonlabor!$H$14="Monthly",AND(Nonlabor!$H$14="Once",C3156=IF(Nonlabor!$E$14="Core",Nonlabor!$F$14,MAX(Nonlabor!$F$14,IF(Nonlabor!$E$14="AI",Assumptions!$E$24,Assumptions!$E$25)))),AND(Nonlabor!$H$14="Annual",MOD(C3156-IF(Nonlabor!$E$14="Core",Nonlabor!$F$14,MAX(Nonlabor!$F$14,IF(Nonlabor!$E$14="AI",Assumptions!$E$24,Assumptions!$E$25))),12)=0))),IF(Nonlabor!$I$14="Fixed",1,IF(Nonlabor!$I$14="Seats",ROUNDUP('Monthly Growth'!I36,0),IF(Nonlabor!$I$14="Customers",'Monthly Growth'!D36,IF(Nonlabor!$I$14="NewCustomers",'Monthly Growth'!C36,IF(Nonlabor!$I$14="StorageGB",'Monthly Growth'!G36,IF(Nonlabor!$I$14="LogGB",'Monthly Growth'!H36,IF(Nonlabor!$I$14="RequestsM",'Monthly Growth'!F36,IF(Nonlabor!$I$14="InputM",'Monthly Growth'!D36*Assumptions!$E$22/1000000,IF(Nonlabor!$I$14="OutputM",'Monthly Growth'!D36*Assumptions!$E$23/1000000,0))))))))),0)</f>
        <v>23</v>
      </c>
      <c r="F3156" s="10" t="n">
        <f aca="false">Nonlabor!$J$14*(1+Assumptions!$E$9)^INT((C3156-1)/12)</f>
        <v>48.672</v>
      </c>
      <c r="G3156" s="10" t="n">
        <f aca="false">E3156*F3156</f>
        <v>1119.456</v>
      </c>
      <c r="H3156" s="10" t="n">
        <f aca="false">IF(OR(Nonlabor!$L$14="Quote required",Nonlabor!$L$14="Unverified"),G3156,0)</f>
        <v>0</v>
      </c>
      <c r="I3156" s="10" t="n">
        <f aca="false">IF(Nonlabor!$E$14="Core",0,G3156)</f>
        <v>0</v>
      </c>
      <c r="J3156" s="23" t="str">
        <f aca="false">Nonlabor!$B$14</f>
        <v>TOOLS</v>
      </c>
    </row>
    <row r="3157" customFormat="false" ht="15" hidden="false" customHeight="false" outlineLevel="0" collapsed="false">
      <c r="A3157" s="6" t="s">
        <v>73</v>
      </c>
      <c r="B3157" s="6" t="s">
        <v>399</v>
      </c>
      <c r="C3157" s="6" t="n">
        <v>32</v>
      </c>
      <c r="D3157" s="25" t="n">
        <f aca="false">EDATE('Start Here'!$B$6,C3157-1)</f>
        <v>47270</v>
      </c>
      <c r="E3157" s="23" t="n">
        <f aca="false">IF(AND(OR(Nonlabor!$D$14="Both",Nonlabor!$D$14='Start Here'!$B$9),IF(Nonlabor!$E$14="Core",1,IF(Nonlabor!$E$14="AI",'Start Here'!$B$7,'Start Here'!$B$8))=1,C3157&gt;=IF(Nonlabor!$E$14="Core",Nonlabor!$F$14,MAX(Nonlabor!$F$14,IF(Nonlabor!$E$14="AI",Assumptions!$E$24,Assumptions!$E$25))),C3157&lt;=Nonlabor!$G$14,OR(Nonlabor!$H$14="Monthly",AND(Nonlabor!$H$14="Once",C3157=IF(Nonlabor!$E$14="Core",Nonlabor!$F$14,MAX(Nonlabor!$F$14,IF(Nonlabor!$E$14="AI",Assumptions!$E$24,Assumptions!$E$25)))),AND(Nonlabor!$H$14="Annual",MOD(C3157-IF(Nonlabor!$E$14="Core",Nonlabor!$F$14,MAX(Nonlabor!$F$14,IF(Nonlabor!$E$14="AI",Assumptions!$E$24,Assumptions!$E$25))),12)=0))),IF(Nonlabor!$I$14="Fixed",1,IF(Nonlabor!$I$14="Seats",ROUNDUP('Monthly Growth'!I37,0),IF(Nonlabor!$I$14="Customers",'Monthly Growth'!D37,IF(Nonlabor!$I$14="NewCustomers",'Monthly Growth'!C37,IF(Nonlabor!$I$14="StorageGB",'Monthly Growth'!G37,IF(Nonlabor!$I$14="LogGB",'Monthly Growth'!H37,IF(Nonlabor!$I$14="RequestsM",'Monthly Growth'!F37,IF(Nonlabor!$I$14="InputM",'Monthly Growth'!D37*Assumptions!$E$22/1000000,IF(Nonlabor!$I$14="OutputM",'Monthly Growth'!D37*Assumptions!$E$23/1000000,0))))))))),0)</f>
        <v>23</v>
      </c>
      <c r="F3157" s="10" t="n">
        <f aca="false">Nonlabor!$J$14*(1+Assumptions!$E$9)^INT((C3157-1)/12)</f>
        <v>48.672</v>
      </c>
      <c r="G3157" s="10" t="n">
        <f aca="false">E3157*F3157</f>
        <v>1119.456</v>
      </c>
      <c r="H3157" s="10" t="n">
        <f aca="false">IF(OR(Nonlabor!$L$14="Quote required",Nonlabor!$L$14="Unverified"),G3157,0)</f>
        <v>0</v>
      </c>
      <c r="I3157" s="10" t="n">
        <f aca="false">IF(Nonlabor!$E$14="Core",0,G3157)</f>
        <v>0</v>
      </c>
      <c r="J3157" s="23" t="str">
        <f aca="false">Nonlabor!$B$14</f>
        <v>TOOLS</v>
      </c>
    </row>
    <row r="3158" customFormat="false" ht="15" hidden="false" customHeight="false" outlineLevel="0" collapsed="false">
      <c r="A3158" s="6" t="s">
        <v>73</v>
      </c>
      <c r="B3158" s="6" t="s">
        <v>399</v>
      </c>
      <c r="C3158" s="6" t="n">
        <v>33</v>
      </c>
      <c r="D3158" s="25" t="n">
        <f aca="false">EDATE('Start Here'!$B$6,C3158-1)</f>
        <v>47300</v>
      </c>
      <c r="E3158" s="23" t="n">
        <f aca="false">IF(AND(OR(Nonlabor!$D$14="Both",Nonlabor!$D$14='Start Here'!$B$9),IF(Nonlabor!$E$14="Core",1,IF(Nonlabor!$E$14="AI",'Start Here'!$B$7,'Start Here'!$B$8))=1,C3158&gt;=IF(Nonlabor!$E$14="Core",Nonlabor!$F$14,MAX(Nonlabor!$F$14,IF(Nonlabor!$E$14="AI",Assumptions!$E$24,Assumptions!$E$25))),C3158&lt;=Nonlabor!$G$14,OR(Nonlabor!$H$14="Monthly",AND(Nonlabor!$H$14="Once",C3158=IF(Nonlabor!$E$14="Core",Nonlabor!$F$14,MAX(Nonlabor!$F$14,IF(Nonlabor!$E$14="AI",Assumptions!$E$24,Assumptions!$E$25)))),AND(Nonlabor!$H$14="Annual",MOD(C3158-IF(Nonlabor!$E$14="Core",Nonlabor!$F$14,MAX(Nonlabor!$F$14,IF(Nonlabor!$E$14="AI",Assumptions!$E$24,Assumptions!$E$25))),12)=0))),IF(Nonlabor!$I$14="Fixed",1,IF(Nonlabor!$I$14="Seats",ROUNDUP('Monthly Growth'!I38,0),IF(Nonlabor!$I$14="Customers",'Monthly Growth'!D38,IF(Nonlabor!$I$14="NewCustomers",'Monthly Growth'!C38,IF(Nonlabor!$I$14="StorageGB",'Monthly Growth'!G38,IF(Nonlabor!$I$14="LogGB",'Monthly Growth'!H38,IF(Nonlabor!$I$14="RequestsM",'Monthly Growth'!F38,IF(Nonlabor!$I$14="InputM",'Monthly Growth'!D38*Assumptions!$E$22/1000000,IF(Nonlabor!$I$14="OutputM",'Monthly Growth'!D38*Assumptions!$E$23/1000000,0))))))))),0)</f>
        <v>23</v>
      </c>
      <c r="F3158" s="10" t="n">
        <f aca="false">Nonlabor!$J$14*(1+Assumptions!$E$9)^INT((C3158-1)/12)</f>
        <v>48.672</v>
      </c>
      <c r="G3158" s="10" t="n">
        <f aca="false">E3158*F3158</f>
        <v>1119.456</v>
      </c>
      <c r="H3158" s="10" t="n">
        <f aca="false">IF(OR(Nonlabor!$L$14="Quote required",Nonlabor!$L$14="Unverified"),G3158,0)</f>
        <v>0</v>
      </c>
      <c r="I3158" s="10" t="n">
        <f aca="false">IF(Nonlabor!$E$14="Core",0,G3158)</f>
        <v>0</v>
      </c>
      <c r="J3158" s="23" t="str">
        <f aca="false">Nonlabor!$B$14</f>
        <v>TOOLS</v>
      </c>
    </row>
    <row r="3159" customFormat="false" ht="15" hidden="false" customHeight="false" outlineLevel="0" collapsed="false">
      <c r="A3159" s="6" t="s">
        <v>73</v>
      </c>
      <c r="B3159" s="6" t="s">
        <v>399</v>
      </c>
      <c r="C3159" s="6" t="n">
        <v>34</v>
      </c>
      <c r="D3159" s="25" t="n">
        <f aca="false">EDATE('Start Here'!$B$6,C3159-1)</f>
        <v>47331</v>
      </c>
      <c r="E3159" s="23" t="n">
        <f aca="false">IF(AND(OR(Nonlabor!$D$14="Both",Nonlabor!$D$14='Start Here'!$B$9),IF(Nonlabor!$E$14="Core",1,IF(Nonlabor!$E$14="AI",'Start Here'!$B$7,'Start Here'!$B$8))=1,C3159&gt;=IF(Nonlabor!$E$14="Core",Nonlabor!$F$14,MAX(Nonlabor!$F$14,IF(Nonlabor!$E$14="AI",Assumptions!$E$24,Assumptions!$E$25))),C3159&lt;=Nonlabor!$G$14,OR(Nonlabor!$H$14="Monthly",AND(Nonlabor!$H$14="Once",C3159=IF(Nonlabor!$E$14="Core",Nonlabor!$F$14,MAX(Nonlabor!$F$14,IF(Nonlabor!$E$14="AI",Assumptions!$E$24,Assumptions!$E$25)))),AND(Nonlabor!$H$14="Annual",MOD(C3159-IF(Nonlabor!$E$14="Core",Nonlabor!$F$14,MAX(Nonlabor!$F$14,IF(Nonlabor!$E$14="AI",Assumptions!$E$24,Assumptions!$E$25))),12)=0))),IF(Nonlabor!$I$14="Fixed",1,IF(Nonlabor!$I$14="Seats",ROUNDUP('Monthly Growth'!I39,0),IF(Nonlabor!$I$14="Customers",'Monthly Growth'!D39,IF(Nonlabor!$I$14="NewCustomers",'Monthly Growth'!C39,IF(Nonlabor!$I$14="StorageGB",'Monthly Growth'!G39,IF(Nonlabor!$I$14="LogGB",'Monthly Growth'!H39,IF(Nonlabor!$I$14="RequestsM",'Monthly Growth'!F39,IF(Nonlabor!$I$14="InputM",'Monthly Growth'!D39*Assumptions!$E$22/1000000,IF(Nonlabor!$I$14="OutputM",'Monthly Growth'!D39*Assumptions!$E$23/1000000,0))))))))),0)</f>
        <v>23</v>
      </c>
      <c r="F3159" s="10" t="n">
        <f aca="false">Nonlabor!$J$14*(1+Assumptions!$E$9)^INT((C3159-1)/12)</f>
        <v>48.672</v>
      </c>
      <c r="G3159" s="10" t="n">
        <f aca="false">E3159*F3159</f>
        <v>1119.456</v>
      </c>
      <c r="H3159" s="10" t="n">
        <f aca="false">IF(OR(Nonlabor!$L$14="Quote required",Nonlabor!$L$14="Unverified"),G3159,0)</f>
        <v>0</v>
      </c>
      <c r="I3159" s="10" t="n">
        <f aca="false">IF(Nonlabor!$E$14="Core",0,G3159)</f>
        <v>0</v>
      </c>
      <c r="J3159" s="23" t="str">
        <f aca="false">Nonlabor!$B$14</f>
        <v>TOOLS</v>
      </c>
    </row>
    <row r="3160" customFormat="false" ht="15" hidden="false" customHeight="false" outlineLevel="0" collapsed="false">
      <c r="A3160" s="6" t="s">
        <v>73</v>
      </c>
      <c r="B3160" s="6" t="s">
        <v>399</v>
      </c>
      <c r="C3160" s="6" t="n">
        <v>35</v>
      </c>
      <c r="D3160" s="25" t="n">
        <f aca="false">EDATE('Start Here'!$B$6,C3160-1)</f>
        <v>47362</v>
      </c>
      <c r="E3160" s="23" t="n">
        <f aca="false">IF(AND(OR(Nonlabor!$D$14="Both",Nonlabor!$D$14='Start Here'!$B$9),IF(Nonlabor!$E$14="Core",1,IF(Nonlabor!$E$14="AI",'Start Here'!$B$7,'Start Here'!$B$8))=1,C3160&gt;=IF(Nonlabor!$E$14="Core",Nonlabor!$F$14,MAX(Nonlabor!$F$14,IF(Nonlabor!$E$14="AI",Assumptions!$E$24,Assumptions!$E$25))),C3160&lt;=Nonlabor!$G$14,OR(Nonlabor!$H$14="Monthly",AND(Nonlabor!$H$14="Once",C3160=IF(Nonlabor!$E$14="Core",Nonlabor!$F$14,MAX(Nonlabor!$F$14,IF(Nonlabor!$E$14="AI",Assumptions!$E$24,Assumptions!$E$25)))),AND(Nonlabor!$H$14="Annual",MOD(C3160-IF(Nonlabor!$E$14="Core",Nonlabor!$F$14,MAX(Nonlabor!$F$14,IF(Nonlabor!$E$14="AI",Assumptions!$E$24,Assumptions!$E$25))),12)=0))),IF(Nonlabor!$I$14="Fixed",1,IF(Nonlabor!$I$14="Seats",ROUNDUP('Monthly Growth'!I40,0),IF(Nonlabor!$I$14="Customers",'Monthly Growth'!D40,IF(Nonlabor!$I$14="NewCustomers",'Monthly Growth'!C40,IF(Nonlabor!$I$14="StorageGB",'Monthly Growth'!G40,IF(Nonlabor!$I$14="LogGB",'Monthly Growth'!H40,IF(Nonlabor!$I$14="RequestsM",'Monthly Growth'!F40,IF(Nonlabor!$I$14="InputM",'Monthly Growth'!D40*Assumptions!$E$22/1000000,IF(Nonlabor!$I$14="OutputM",'Monthly Growth'!D40*Assumptions!$E$23/1000000,0))))))))),0)</f>
        <v>23</v>
      </c>
      <c r="F3160" s="10" t="n">
        <f aca="false">Nonlabor!$J$14*(1+Assumptions!$E$9)^INT((C3160-1)/12)</f>
        <v>48.672</v>
      </c>
      <c r="G3160" s="10" t="n">
        <f aca="false">E3160*F3160</f>
        <v>1119.456</v>
      </c>
      <c r="H3160" s="10" t="n">
        <f aca="false">IF(OR(Nonlabor!$L$14="Quote required",Nonlabor!$L$14="Unverified"),G3160,0)</f>
        <v>0</v>
      </c>
      <c r="I3160" s="10" t="n">
        <f aca="false">IF(Nonlabor!$E$14="Core",0,G3160)</f>
        <v>0</v>
      </c>
      <c r="J3160" s="23" t="str">
        <f aca="false">Nonlabor!$B$14</f>
        <v>TOOLS</v>
      </c>
    </row>
    <row r="3161" customFormat="false" ht="15" hidden="false" customHeight="false" outlineLevel="0" collapsed="false">
      <c r="A3161" s="6" t="s">
        <v>73</v>
      </c>
      <c r="B3161" s="6" t="s">
        <v>399</v>
      </c>
      <c r="C3161" s="6" t="n">
        <v>36</v>
      </c>
      <c r="D3161" s="25" t="n">
        <f aca="false">EDATE('Start Here'!$B$6,C3161-1)</f>
        <v>47392</v>
      </c>
      <c r="E3161" s="23" t="n">
        <f aca="false">IF(AND(OR(Nonlabor!$D$14="Both",Nonlabor!$D$14='Start Here'!$B$9),IF(Nonlabor!$E$14="Core",1,IF(Nonlabor!$E$14="AI",'Start Here'!$B$7,'Start Here'!$B$8))=1,C3161&gt;=IF(Nonlabor!$E$14="Core",Nonlabor!$F$14,MAX(Nonlabor!$F$14,IF(Nonlabor!$E$14="AI",Assumptions!$E$24,Assumptions!$E$25))),C3161&lt;=Nonlabor!$G$14,OR(Nonlabor!$H$14="Monthly",AND(Nonlabor!$H$14="Once",C3161=IF(Nonlabor!$E$14="Core",Nonlabor!$F$14,MAX(Nonlabor!$F$14,IF(Nonlabor!$E$14="AI",Assumptions!$E$24,Assumptions!$E$25)))),AND(Nonlabor!$H$14="Annual",MOD(C3161-IF(Nonlabor!$E$14="Core",Nonlabor!$F$14,MAX(Nonlabor!$F$14,IF(Nonlabor!$E$14="AI",Assumptions!$E$24,Assumptions!$E$25))),12)=0))),IF(Nonlabor!$I$14="Fixed",1,IF(Nonlabor!$I$14="Seats",ROUNDUP('Monthly Growth'!I41,0),IF(Nonlabor!$I$14="Customers",'Monthly Growth'!D41,IF(Nonlabor!$I$14="NewCustomers",'Monthly Growth'!C41,IF(Nonlabor!$I$14="StorageGB",'Monthly Growth'!G41,IF(Nonlabor!$I$14="LogGB",'Monthly Growth'!H41,IF(Nonlabor!$I$14="RequestsM",'Monthly Growth'!F41,IF(Nonlabor!$I$14="InputM",'Monthly Growth'!D41*Assumptions!$E$22/1000000,IF(Nonlabor!$I$14="OutputM",'Monthly Growth'!D41*Assumptions!$E$23/1000000,0))))))))),0)</f>
        <v>23</v>
      </c>
      <c r="F3161" s="10" t="n">
        <f aca="false">Nonlabor!$J$14*(1+Assumptions!$E$9)^INT((C3161-1)/12)</f>
        <v>48.672</v>
      </c>
      <c r="G3161" s="10" t="n">
        <f aca="false">E3161*F3161</f>
        <v>1119.456</v>
      </c>
      <c r="H3161" s="10" t="n">
        <f aca="false">IF(OR(Nonlabor!$L$14="Quote required",Nonlabor!$L$14="Unverified"),G3161,0)</f>
        <v>0</v>
      </c>
      <c r="I3161" s="10" t="n">
        <f aca="false">IF(Nonlabor!$E$14="Core",0,G3161)</f>
        <v>0</v>
      </c>
      <c r="J3161" s="23" t="str">
        <f aca="false">Nonlabor!$B$14</f>
        <v>TOOLS</v>
      </c>
    </row>
    <row r="3162" customFormat="false" ht="15" hidden="false" customHeight="false" outlineLevel="0" collapsed="false">
      <c r="A3162" s="6" t="s">
        <v>73</v>
      </c>
      <c r="B3162" s="6" t="s">
        <v>399</v>
      </c>
      <c r="C3162" s="6" t="n">
        <v>37</v>
      </c>
      <c r="D3162" s="25" t="n">
        <f aca="false">EDATE('Start Here'!$B$6,C3162-1)</f>
        <v>47423</v>
      </c>
      <c r="E3162" s="23" t="n">
        <f aca="false">IF(AND(OR(Nonlabor!$D$14="Both",Nonlabor!$D$14='Start Here'!$B$9),IF(Nonlabor!$E$14="Core",1,IF(Nonlabor!$E$14="AI",'Start Here'!$B$7,'Start Here'!$B$8))=1,C3162&gt;=IF(Nonlabor!$E$14="Core",Nonlabor!$F$14,MAX(Nonlabor!$F$14,IF(Nonlabor!$E$14="AI",Assumptions!$E$24,Assumptions!$E$25))),C3162&lt;=Nonlabor!$G$14,OR(Nonlabor!$H$14="Monthly",AND(Nonlabor!$H$14="Once",C3162=IF(Nonlabor!$E$14="Core",Nonlabor!$F$14,MAX(Nonlabor!$F$14,IF(Nonlabor!$E$14="AI",Assumptions!$E$24,Assumptions!$E$25)))),AND(Nonlabor!$H$14="Annual",MOD(C3162-IF(Nonlabor!$E$14="Core",Nonlabor!$F$14,MAX(Nonlabor!$F$14,IF(Nonlabor!$E$14="AI",Assumptions!$E$24,Assumptions!$E$25))),12)=0))),IF(Nonlabor!$I$14="Fixed",1,IF(Nonlabor!$I$14="Seats",ROUNDUP('Monthly Growth'!I42,0),IF(Nonlabor!$I$14="Customers",'Monthly Growth'!D42,IF(Nonlabor!$I$14="NewCustomers",'Monthly Growth'!C42,IF(Nonlabor!$I$14="StorageGB",'Monthly Growth'!G42,IF(Nonlabor!$I$14="LogGB",'Monthly Growth'!H42,IF(Nonlabor!$I$14="RequestsM",'Monthly Growth'!F42,IF(Nonlabor!$I$14="InputM",'Monthly Growth'!D42*Assumptions!$E$22/1000000,IF(Nonlabor!$I$14="OutputM",'Monthly Growth'!D42*Assumptions!$E$23/1000000,0))))))))),0)</f>
        <v>23</v>
      </c>
      <c r="F3162" s="10" t="n">
        <f aca="false">Nonlabor!$J$14*(1+Assumptions!$E$9)^INT((C3162-1)/12)</f>
        <v>50.61888</v>
      </c>
      <c r="G3162" s="10" t="n">
        <f aca="false">E3162*F3162</f>
        <v>1164.23424</v>
      </c>
      <c r="H3162" s="10" t="n">
        <f aca="false">IF(OR(Nonlabor!$L$14="Quote required",Nonlabor!$L$14="Unverified"),G3162,0)</f>
        <v>0</v>
      </c>
      <c r="I3162" s="10" t="n">
        <f aca="false">IF(Nonlabor!$E$14="Core",0,G3162)</f>
        <v>0</v>
      </c>
      <c r="J3162" s="23" t="str">
        <f aca="false">Nonlabor!$B$14</f>
        <v>TOOLS</v>
      </c>
    </row>
    <row r="3163" customFormat="false" ht="15" hidden="false" customHeight="false" outlineLevel="0" collapsed="false">
      <c r="A3163" s="6" t="s">
        <v>73</v>
      </c>
      <c r="B3163" s="6" t="s">
        <v>399</v>
      </c>
      <c r="C3163" s="6" t="n">
        <v>38</v>
      </c>
      <c r="D3163" s="25" t="n">
        <f aca="false">EDATE('Start Here'!$B$6,C3163-1)</f>
        <v>47453</v>
      </c>
      <c r="E3163" s="23" t="n">
        <f aca="false">IF(AND(OR(Nonlabor!$D$14="Both",Nonlabor!$D$14='Start Here'!$B$9),IF(Nonlabor!$E$14="Core",1,IF(Nonlabor!$E$14="AI",'Start Here'!$B$7,'Start Here'!$B$8))=1,C3163&gt;=IF(Nonlabor!$E$14="Core",Nonlabor!$F$14,MAX(Nonlabor!$F$14,IF(Nonlabor!$E$14="AI",Assumptions!$E$24,Assumptions!$E$25))),C3163&lt;=Nonlabor!$G$14,OR(Nonlabor!$H$14="Monthly",AND(Nonlabor!$H$14="Once",C3163=IF(Nonlabor!$E$14="Core",Nonlabor!$F$14,MAX(Nonlabor!$F$14,IF(Nonlabor!$E$14="AI",Assumptions!$E$24,Assumptions!$E$25)))),AND(Nonlabor!$H$14="Annual",MOD(C3163-IF(Nonlabor!$E$14="Core",Nonlabor!$F$14,MAX(Nonlabor!$F$14,IF(Nonlabor!$E$14="AI",Assumptions!$E$24,Assumptions!$E$25))),12)=0))),IF(Nonlabor!$I$14="Fixed",1,IF(Nonlabor!$I$14="Seats",ROUNDUP('Monthly Growth'!I43,0),IF(Nonlabor!$I$14="Customers",'Monthly Growth'!D43,IF(Nonlabor!$I$14="NewCustomers",'Monthly Growth'!C43,IF(Nonlabor!$I$14="StorageGB",'Monthly Growth'!G43,IF(Nonlabor!$I$14="LogGB",'Monthly Growth'!H43,IF(Nonlabor!$I$14="RequestsM",'Monthly Growth'!F43,IF(Nonlabor!$I$14="InputM",'Monthly Growth'!D43*Assumptions!$E$22/1000000,IF(Nonlabor!$I$14="OutputM",'Monthly Growth'!D43*Assumptions!$E$23/1000000,0))))))))),0)</f>
        <v>23</v>
      </c>
      <c r="F3163" s="10" t="n">
        <f aca="false">Nonlabor!$J$14*(1+Assumptions!$E$9)^INT((C3163-1)/12)</f>
        <v>50.61888</v>
      </c>
      <c r="G3163" s="10" t="n">
        <f aca="false">E3163*F3163</f>
        <v>1164.23424</v>
      </c>
      <c r="H3163" s="10" t="n">
        <f aca="false">IF(OR(Nonlabor!$L$14="Quote required",Nonlabor!$L$14="Unverified"),G3163,0)</f>
        <v>0</v>
      </c>
      <c r="I3163" s="10" t="n">
        <f aca="false">IF(Nonlabor!$E$14="Core",0,G3163)</f>
        <v>0</v>
      </c>
      <c r="J3163" s="23" t="str">
        <f aca="false">Nonlabor!$B$14</f>
        <v>TOOLS</v>
      </c>
    </row>
    <row r="3164" customFormat="false" ht="15" hidden="false" customHeight="false" outlineLevel="0" collapsed="false">
      <c r="A3164" s="6" t="s">
        <v>73</v>
      </c>
      <c r="B3164" s="6" t="s">
        <v>399</v>
      </c>
      <c r="C3164" s="6" t="n">
        <v>39</v>
      </c>
      <c r="D3164" s="25" t="n">
        <f aca="false">EDATE('Start Here'!$B$6,C3164-1)</f>
        <v>47484</v>
      </c>
      <c r="E3164" s="23" t="n">
        <f aca="false">IF(AND(OR(Nonlabor!$D$14="Both",Nonlabor!$D$14='Start Here'!$B$9),IF(Nonlabor!$E$14="Core",1,IF(Nonlabor!$E$14="AI",'Start Here'!$B$7,'Start Here'!$B$8))=1,C3164&gt;=IF(Nonlabor!$E$14="Core",Nonlabor!$F$14,MAX(Nonlabor!$F$14,IF(Nonlabor!$E$14="AI",Assumptions!$E$24,Assumptions!$E$25))),C3164&lt;=Nonlabor!$G$14,OR(Nonlabor!$H$14="Monthly",AND(Nonlabor!$H$14="Once",C3164=IF(Nonlabor!$E$14="Core",Nonlabor!$F$14,MAX(Nonlabor!$F$14,IF(Nonlabor!$E$14="AI",Assumptions!$E$24,Assumptions!$E$25)))),AND(Nonlabor!$H$14="Annual",MOD(C3164-IF(Nonlabor!$E$14="Core",Nonlabor!$F$14,MAX(Nonlabor!$F$14,IF(Nonlabor!$E$14="AI",Assumptions!$E$24,Assumptions!$E$25))),12)=0))),IF(Nonlabor!$I$14="Fixed",1,IF(Nonlabor!$I$14="Seats",ROUNDUP('Monthly Growth'!I44,0),IF(Nonlabor!$I$14="Customers",'Monthly Growth'!D44,IF(Nonlabor!$I$14="NewCustomers",'Monthly Growth'!C44,IF(Nonlabor!$I$14="StorageGB",'Monthly Growth'!G44,IF(Nonlabor!$I$14="LogGB",'Monthly Growth'!H44,IF(Nonlabor!$I$14="RequestsM",'Monthly Growth'!F44,IF(Nonlabor!$I$14="InputM",'Monthly Growth'!D44*Assumptions!$E$22/1000000,IF(Nonlabor!$I$14="OutputM",'Monthly Growth'!D44*Assumptions!$E$23/1000000,0))))))))),0)</f>
        <v>23</v>
      </c>
      <c r="F3164" s="10" t="n">
        <f aca="false">Nonlabor!$J$14*(1+Assumptions!$E$9)^INT((C3164-1)/12)</f>
        <v>50.61888</v>
      </c>
      <c r="G3164" s="10" t="n">
        <f aca="false">E3164*F3164</f>
        <v>1164.23424</v>
      </c>
      <c r="H3164" s="10" t="n">
        <f aca="false">IF(OR(Nonlabor!$L$14="Quote required",Nonlabor!$L$14="Unverified"),G3164,0)</f>
        <v>0</v>
      </c>
      <c r="I3164" s="10" t="n">
        <f aca="false">IF(Nonlabor!$E$14="Core",0,G3164)</f>
        <v>0</v>
      </c>
      <c r="J3164" s="23" t="str">
        <f aca="false">Nonlabor!$B$14</f>
        <v>TOOLS</v>
      </c>
    </row>
    <row r="3165" customFormat="false" ht="15" hidden="false" customHeight="false" outlineLevel="0" collapsed="false">
      <c r="A3165" s="6" t="s">
        <v>73</v>
      </c>
      <c r="B3165" s="6" t="s">
        <v>399</v>
      </c>
      <c r="C3165" s="6" t="n">
        <v>40</v>
      </c>
      <c r="D3165" s="25" t="n">
        <f aca="false">EDATE('Start Here'!$B$6,C3165-1)</f>
        <v>47515</v>
      </c>
      <c r="E3165" s="23" t="n">
        <f aca="false">IF(AND(OR(Nonlabor!$D$14="Both",Nonlabor!$D$14='Start Here'!$B$9),IF(Nonlabor!$E$14="Core",1,IF(Nonlabor!$E$14="AI",'Start Here'!$B$7,'Start Here'!$B$8))=1,C3165&gt;=IF(Nonlabor!$E$14="Core",Nonlabor!$F$14,MAX(Nonlabor!$F$14,IF(Nonlabor!$E$14="AI",Assumptions!$E$24,Assumptions!$E$25))),C3165&lt;=Nonlabor!$G$14,OR(Nonlabor!$H$14="Monthly",AND(Nonlabor!$H$14="Once",C3165=IF(Nonlabor!$E$14="Core",Nonlabor!$F$14,MAX(Nonlabor!$F$14,IF(Nonlabor!$E$14="AI",Assumptions!$E$24,Assumptions!$E$25)))),AND(Nonlabor!$H$14="Annual",MOD(C3165-IF(Nonlabor!$E$14="Core",Nonlabor!$F$14,MAX(Nonlabor!$F$14,IF(Nonlabor!$E$14="AI",Assumptions!$E$24,Assumptions!$E$25))),12)=0))),IF(Nonlabor!$I$14="Fixed",1,IF(Nonlabor!$I$14="Seats",ROUNDUP('Monthly Growth'!I45,0),IF(Nonlabor!$I$14="Customers",'Monthly Growth'!D45,IF(Nonlabor!$I$14="NewCustomers",'Monthly Growth'!C45,IF(Nonlabor!$I$14="StorageGB",'Monthly Growth'!G45,IF(Nonlabor!$I$14="LogGB",'Monthly Growth'!H45,IF(Nonlabor!$I$14="RequestsM",'Monthly Growth'!F45,IF(Nonlabor!$I$14="InputM",'Monthly Growth'!D45*Assumptions!$E$22/1000000,IF(Nonlabor!$I$14="OutputM",'Monthly Growth'!D45*Assumptions!$E$23/1000000,0))))))))),0)</f>
        <v>23</v>
      </c>
      <c r="F3165" s="10" t="n">
        <f aca="false">Nonlabor!$J$14*(1+Assumptions!$E$9)^INT((C3165-1)/12)</f>
        <v>50.61888</v>
      </c>
      <c r="G3165" s="10" t="n">
        <f aca="false">E3165*F3165</f>
        <v>1164.23424</v>
      </c>
      <c r="H3165" s="10" t="n">
        <f aca="false">IF(OR(Nonlabor!$L$14="Quote required",Nonlabor!$L$14="Unverified"),G3165,0)</f>
        <v>0</v>
      </c>
      <c r="I3165" s="10" t="n">
        <f aca="false">IF(Nonlabor!$E$14="Core",0,G3165)</f>
        <v>0</v>
      </c>
      <c r="J3165" s="23" t="str">
        <f aca="false">Nonlabor!$B$14</f>
        <v>TOOLS</v>
      </c>
    </row>
    <row r="3166" customFormat="false" ht="15" hidden="false" customHeight="false" outlineLevel="0" collapsed="false">
      <c r="A3166" s="6" t="s">
        <v>73</v>
      </c>
      <c r="B3166" s="6" t="s">
        <v>399</v>
      </c>
      <c r="C3166" s="6" t="n">
        <v>41</v>
      </c>
      <c r="D3166" s="25" t="n">
        <f aca="false">EDATE('Start Here'!$B$6,C3166-1)</f>
        <v>47543</v>
      </c>
      <c r="E3166" s="23" t="n">
        <f aca="false">IF(AND(OR(Nonlabor!$D$14="Both",Nonlabor!$D$14='Start Here'!$B$9),IF(Nonlabor!$E$14="Core",1,IF(Nonlabor!$E$14="AI",'Start Here'!$B$7,'Start Here'!$B$8))=1,C3166&gt;=IF(Nonlabor!$E$14="Core",Nonlabor!$F$14,MAX(Nonlabor!$F$14,IF(Nonlabor!$E$14="AI",Assumptions!$E$24,Assumptions!$E$25))),C3166&lt;=Nonlabor!$G$14,OR(Nonlabor!$H$14="Monthly",AND(Nonlabor!$H$14="Once",C3166=IF(Nonlabor!$E$14="Core",Nonlabor!$F$14,MAX(Nonlabor!$F$14,IF(Nonlabor!$E$14="AI",Assumptions!$E$24,Assumptions!$E$25)))),AND(Nonlabor!$H$14="Annual",MOD(C3166-IF(Nonlabor!$E$14="Core",Nonlabor!$F$14,MAX(Nonlabor!$F$14,IF(Nonlabor!$E$14="AI",Assumptions!$E$24,Assumptions!$E$25))),12)=0))),IF(Nonlabor!$I$14="Fixed",1,IF(Nonlabor!$I$14="Seats",ROUNDUP('Monthly Growth'!I46,0),IF(Nonlabor!$I$14="Customers",'Monthly Growth'!D46,IF(Nonlabor!$I$14="NewCustomers",'Monthly Growth'!C46,IF(Nonlabor!$I$14="StorageGB",'Monthly Growth'!G46,IF(Nonlabor!$I$14="LogGB",'Monthly Growth'!H46,IF(Nonlabor!$I$14="RequestsM",'Monthly Growth'!F46,IF(Nonlabor!$I$14="InputM",'Monthly Growth'!D46*Assumptions!$E$22/1000000,IF(Nonlabor!$I$14="OutputM",'Monthly Growth'!D46*Assumptions!$E$23/1000000,0))))))))),0)</f>
        <v>23</v>
      </c>
      <c r="F3166" s="10" t="n">
        <f aca="false">Nonlabor!$J$14*(1+Assumptions!$E$9)^INT((C3166-1)/12)</f>
        <v>50.61888</v>
      </c>
      <c r="G3166" s="10" t="n">
        <f aca="false">E3166*F3166</f>
        <v>1164.23424</v>
      </c>
      <c r="H3166" s="10" t="n">
        <f aca="false">IF(OR(Nonlabor!$L$14="Quote required",Nonlabor!$L$14="Unverified"),G3166,0)</f>
        <v>0</v>
      </c>
      <c r="I3166" s="10" t="n">
        <f aca="false">IF(Nonlabor!$E$14="Core",0,G3166)</f>
        <v>0</v>
      </c>
      <c r="J3166" s="23" t="str">
        <f aca="false">Nonlabor!$B$14</f>
        <v>TOOLS</v>
      </c>
    </row>
    <row r="3167" customFormat="false" ht="15" hidden="false" customHeight="false" outlineLevel="0" collapsed="false">
      <c r="A3167" s="6" t="s">
        <v>73</v>
      </c>
      <c r="B3167" s="6" t="s">
        <v>399</v>
      </c>
      <c r="C3167" s="6" t="n">
        <v>42</v>
      </c>
      <c r="D3167" s="25" t="n">
        <f aca="false">EDATE('Start Here'!$B$6,C3167-1)</f>
        <v>47574</v>
      </c>
      <c r="E3167" s="23" t="n">
        <f aca="false">IF(AND(OR(Nonlabor!$D$14="Both",Nonlabor!$D$14='Start Here'!$B$9),IF(Nonlabor!$E$14="Core",1,IF(Nonlabor!$E$14="AI",'Start Here'!$B$7,'Start Here'!$B$8))=1,C3167&gt;=IF(Nonlabor!$E$14="Core",Nonlabor!$F$14,MAX(Nonlabor!$F$14,IF(Nonlabor!$E$14="AI",Assumptions!$E$24,Assumptions!$E$25))),C3167&lt;=Nonlabor!$G$14,OR(Nonlabor!$H$14="Monthly",AND(Nonlabor!$H$14="Once",C3167=IF(Nonlabor!$E$14="Core",Nonlabor!$F$14,MAX(Nonlabor!$F$14,IF(Nonlabor!$E$14="AI",Assumptions!$E$24,Assumptions!$E$25)))),AND(Nonlabor!$H$14="Annual",MOD(C3167-IF(Nonlabor!$E$14="Core",Nonlabor!$F$14,MAX(Nonlabor!$F$14,IF(Nonlabor!$E$14="AI",Assumptions!$E$24,Assumptions!$E$25))),12)=0))),IF(Nonlabor!$I$14="Fixed",1,IF(Nonlabor!$I$14="Seats",ROUNDUP('Monthly Growth'!I47,0),IF(Nonlabor!$I$14="Customers",'Monthly Growth'!D47,IF(Nonlabor!$I$14="NewCustomers",'Monthly Growth'!C47,IF(Nonlabor!$I$14="StorageGB",'Monthly Growth'!G47,IF(Nonlabor!$I$14="LogGB",'Monthly Growth'!H47,IF(Nonlabor!$I$14="RequestsM",'Monthly Growth'!F47,IF(Nonlabor!$I$14="InputM",'Monthly Growth'!D47*Assumptions!$E$22/1000000,IF(Nonlabor!$I$14="OutputM",'Monthly Growth'!D47*Assumptions!$E$23/1000000,0))))))))),0)</f>
        <v>23</v>
      </c>
      <c r="F3167" s="10" t="n">
        <f aca="false">Nonlabor!$J$14*(1+Assumptions!$E$9)^INT((C3167-1)/12)</f>
        <v>50.61888</v>
      </c>
      <c r="G3167" s="10" t="n">
        <f aca="false">E3167*F3167</f>
        <v>1164.23424</v>
      </c>
      <c r="H3167" s="10" t="n">
        <f aca="false">IF(OR(Nonlabor!$L$14="Quote required",Nonlabor!$L$14="Unverified"),G3167,0)</f>
        <v>0</v>
      </c>
      <c r="I3167" s="10" t="n">
        <f aca="false">IF(Nonlabor!$E$14="Core",0,G3167)</f>
        <v>0</v>
      </c>
      <c r="J3167" s="23" t="str">
        <f aca="false">Nonlabor!$B$14</f>
        <v>TOOLS</v>
      </c>
    </row>
    <row r="3168" customFormat="false" ht="15" hidden="false" customHeight="false" outlineLevel="0" collapsed="false">
      <c r="A3168" s="6" t="s">
        <v>73</v>
      </c>
      <c r="B3168" s="6" t="s">
        <v>399</v>
      </c>
      <c r="C3168" s="6" t="n">
        <v>43</v>
      </c>
      <c r="D3168" s="25" t="n">
        <f aca="false">EDATE('Start Here'!$B$6,C3168-1)</f>
        <v>47604</v>
      </c>
      <c r="E3168" s="23" t="n">
        <f aca="false">IF(AND(OR(Nonlabor!$D$14="Both",Nonlabor!$D$14='Start Here'!$B$9),IF(Nonlabor!$E$14="Core",1,IF(Nonlabor!$E$14="AI",'Start Here'!$B$7,'Start Here'!$B$8))=1,C3168&gt;=IF(Nonlabor!$E$14="Core",Nonlabor!$F$14,MAX(Nonlabor!$F$14,IF(Nonlabor!$E$14="AI",Assumptions!$E$24,Assumptions!$E$25))),C3168&lt;=Nonlabor!$G$14,OR(Nonlabor!$H$14="Monthly",AND(Nonlabor!$H$14="Once",C3168=IF(Nonlabor!$E$14="Core",Nonlabor!$F$14,MAX(Nonlabor!$F$14,IF(Nonlabor!$E$14="AI",Assumptions!$E$24,Assumptions!$E$25)))),AND(Nonlabor!$H$14="Annual",MOD(C3168-IF(Nonlabor!$E$14="Core",Nonlabor!$F$14,MAX(Nonlabor!$F$14,IF(Nonlabor!$E$14="AI",Assumptions!$E$24,Assumptions!$E$25))),12)=0))),IF(Nonlabor!$I$14="Fixed",1,IF(Nonlabor!$I$14="Seats",ROUNDUP('Monthly Growth'!I48,0),IF(Nonlabor!$I$14="Customers",'Monthly Growth'!D48,IF(Nonlabor!$I$14="NewCustomers",'Monthly Growth'!C48,IF(Nonlabor!$I$14="StorageGB",'Monthly Growth'!G48,IF(Nonlabor!$I$14="LogGB",'Monthly Growth'!H48,IF(Nonlabor!$I$14="RequestsM",'Monthly Growth'!F48,IF(Nonlabor!$I$14="InputM",'Monthly Growth'!D48*Assumptions!$E$22/1000000,IF(Nonlabor!$I$14="OutputM",'Monthly Growth'!D48*Assumptions!$E$23/1000000,0))))))))),0)</f>
        <v>23</v>
      </c>
      <c r="F3168" s="10" t="n">
        <f aca="false">Nonlabor!$J$14*(1+Assumptions!$E$9)^INT((C3168-1)/12)</f>
        <v>50.61888</v>
      </c>
      <c r="G3168" s="10" t="n">
        <f aca="false">E3168*F3168</f>
        <v>1164.23424</v>
      </c>
      <c r="H3168" s="10" t="n">
        <f aca="false">IF(OR(Nonlabor!$L$14="Quote required",Nonlabor!$L$14="Unverified"),G3168,0)</f>
        <v>0</v>
      </c>
      <c r="I3168" s="10" t="n">
        <f aca="false">IF(Nonlabor!$E$14="Core",0,G3168)</f>
        <v>0</v>
      </c>
      <c r="J3168" s="23" t="str">
        <f aca="false">Nonlabor!$B$14</f>
        <v>TOOLS</v>
      </c>
    </row>
    <row r="3169" customFormat="false" ht="15" hidden="false" customHeight="false" outlineLevel="0" collapsed="false">
      <c r="A3169" s="6" t="s">
        <v>73</v>
      </c>
      <c r="B3169" s="6" t="s">
        <v>399</v>
      </c>
      <c r="C3169" s="6" t="n">
        <v>44</v>
      </c>
      <c r="D3169" s="25" t="n">
        <f aca="false">EDATE('Start Here'!$B$6,C3169-1)</f>
        <v>47635</v>
      </c>
      <c r="E3169" s="23" t="n">
        <f aca="false">IF(AND(OR(Nonlabor!$D$14="Both",Nonlabor!$D$14='Start Here'!$B$9),IF(Nonlabor!$E$14="Core",1,IF(Nonlabor!$E$14="AI",'Start Here'!$B$7,'Start Here'!$B$8))=1,C3169&gt;=IF(Nonlabor!$E$14="Core",Nonlabor!$F$14,MAX(Nonlabor!$F$14,IF(Nonlabor!$E$14="AI",Assumptions!$E$24,Assumptions!$E$25))),C3169&lt;=Nonlabor!$G$14,OR(Nonlabor!$H$14="Monthly",AND(Nonlabor!$H$14="Once",C3169=IF(Nonlabor!$E$14="Core",Nonlabor!$F$14,MAX(Nonlabor!$F$14,IF(Nonlabor!$E$14="AI",Assumptions!$E$24,Assumptions!$E$25)))),AND(Nonlabor!$H$14="Annual",MOD(C3169-IF(Nonlabor!$E$14="Core",Nonlabor!$F$14,MAX(Nonlabor!$F$14,IF(Nonlabor!$E$14="AI",Assumptions!$E$24,Assumptions!$E$25))),12)=0))),IF(Nonlabor!$I$14="Fixed",1,IF(Nonlabor!$I$14="Seats",ROUNDUP('Monthly Growth'!I49,0),IF(Nonlabor!$I$14="Customers",'Monthly Growth'!D49,IF(Nonlabor!$I$14="NewCustomers",'Monthly Growth'!C49,IF(Nonlabor!$I$14="StorageGB",'Monthly Growth'!G49,IF(Nonlabor!$I$14="LogGB",'Monthly Growth'!H49,IF(Nonlabor!$I$14="RequestsM",'Monthly Growth'!F49,IF(Nonlabor!$I$14="InputM",'Monthly Growth'!D49*Assumptions!$E$22/1000000,IF(Nonlabor!$I$14="OutputM",'Monthly Growth'!D49*Assumptions!$E$23/1000000,0))))))))),0)</f>
        <v>23</v>
      </c>
      <c r="F3169" s="10" t="n">
        <f aca="false">Nonlabor!$J$14*(1+Assumptions!$E$9)^INT((C3169-1)/12)</f>
        <v>50.61888</v>
      </c>
      <c r="G3169" s="10" t="n">
        <f aca="false">E3169*F3169</f>
        <v>1164.23424</v>
      </c>
      <c r="H3169" s="10" t="n">
        <f aca="false">IF(OR(Nonlabor!$L$14="Quote required",Nonlabor!$L$14="Unverified"),G3169,0)</f>
        <v>0</v>
      </c>
      <c r="I3169" s="10" t="n">
        <f aca="false">IF(Nonlabor!$E$14="Core",0,G3169)</f>
        <v>0</v>
      </c>
      <c r="J3169" s="23" t="str">
        <f aca="false">Nonlabor!$B$14</f>
        <v>TOOLS</v>
      </c>
    </row>
    <row r="3170" customFormat="false" ht="15" hidden="false" customHeight="false" outlineLevel="0" collapsed="false">
      <c r="A3170" s="6" t="s">
        <v>73</v>
      </c>
      <c r="B3170" s="6" t="s">
        <v>399</v>
      </c>
      <c r="C3170" s="6" t="n">
        <v>45</v>
      </c>
      <c r="D3170" s="25" t="n">
        <f aca="false">EDATE('Start Here'!$B$6,C3170-1)</f>
        <v>47665</v>
      </c>
      <c r="E3170" s="23" t="n">
        <f aca="false">IF(AND(OR(Nonlabor!$D$14="Both",Nonlabor!$D$14='Start Here'!$B$9),IF(Nonlabor!$E$14="Core",1,IF(Nonlabor!$E$14="AI",'Start Here'!$B$7,'Start Here'!$B$8))=1,C3170&gt;=IF(Nonlabor!$E$14="Core",Nonlabor!$F$14,MAX(Nonlabor!$F$14,IF(Nonlabor!$E$14="AI",Assumptions!$E$24,Assumptions!$E$25))),C3170&lt;=Nonlabor!$G$14,OR(Nonlabor!$H$14="Monthly",AND(Nonlabor!$H$14="Once",C3170=IF(Nonlabor!$E$14="Core",Nonlabor!$F$14,MAX(Nonlabor!$F$14,IF(Nonlabor!$E$14="AI",Assumptions!$E$24,Assumptions!$E$25)))),AND(Nonlabor!$H$14="Annual",MOD(C3170-IF(Nonlabor!$E$14="Core",Nonlabor!$F$14,MAX(Nonlabor!$F$14,IF(Nonlabor!$E$14="AI",Assumptions!$E$24,Assumptions!$E$25))),12)=0))),IF(Nonlabor!$I$14="Fixed",1,IF(Nonlabor!$I$14="Seats",ROUNDUP('Monthly Growth'!I50,0),IF(Nonlabor!$I$14="Customers",'Monthly Growth'!D50,IF(Nonlabor!$I$14="NewCustomers",'Monthly Growth'!C50,IF(Nonlabor!$I$14="StorageGB",'Monthly Growth'!G50,IF(Nonlabor!$I$14="LogGB",'Monthly Growth'!H50,IF(Nonlabor!$I$14="RequestsM",'Monthly Growth'!F50,IF(Nonlabor!$I$14="InputM",'Monthly Growth'!D50*Assumptions!$E$22/1000000,IF(Nonlabor!$I$14="OutputM",'Monthly Growth'!D50*Assumptions!$E$23/1000000,0))))))))),0)</f>
        <v>23</v>
      </c>
      <c r="F3170" s="10" t="n">
        <f aca="false">Nonlabor!$J$14*(1+Assumptions!$E$9)^INT((C3170-1)/12)</f>
        <v>50.61888</v>
      </c>
      <c r="G3170" s="10" t="n">
        <f aca="false">E3170*F3170</f>
        <v>1164.23424</v>
      </c>
      <c r="H3170" s="10" t="n">
        <f aca="false">IF(OR(Nonlabor!$L$14="Quote required",Nonlabor!$L$14="Unverified"),G3170,0)</f>
        <v>0</v>
      </c>
      <c r="I3170" s="10" t="n">
        <f aca="false">IF(Nonlabor!$E$14="Core",0,G3170)</f>
        <v>0</v>
      </c>
      <c r="J3170" s="23" t="str">
        <f aca="false">Nonlabor!$B$14</f>
        <v>TOOLS</v>
      </c>
    </row>
    <row r="3171" customFormat="false" ht="15" hidden="false" customHeight="false" outlineLevel="0" collapsed="false">
      <c r="A3171" s="6" t="s">
        <v>73</v>
      </c>
      <c r="B3171" s="6" t="s">
        <v>399</v>
      </c>
      <c r="C3171" s="6" t="n">
        <v>46</v>
      </c>
      <c r="D3171" s="25" t="n">
        <f aca="false">EDATE('Start Here'!$B$6,C3171-1)</f>
        <v>47696</v>
      </c>
      <c r="E3171" s="23" t="n">
        <f aca="false">IF(AND(OR(Nonlabor!$D$14="Both",Nonlabor!$D$14='Start Here'!$B$9),IF(Nonlabor!$E$14="Core",1,IF(Nonlabor!$E$14="AI",'Start Here'!$B$7,'Start Here'!$B$8))=1,C3171&gt;=IF(Nonlabor!$E$14="Core",Nonlabor!$F$14,MAX(Nonlabor!$F$14,IF(Nonlabor!$E$14="AI",Assumptions!$E$24,Assumptions!$E$25))),C3171&lt;=Nonlabor!$G$14,OR(Nonlabor!$H$14="Monthly",AND(Nonlabor!$H$14="Once",C3171=IF(Nonlabor!$E$14="Core",Nonlabor!$F$14,MAX(Nonlabor!$F$14,IF(Nonlabor!$E$14="AI",Assumptions!$E$24,Assumptions!$E$25)))),AND(Nonlabor!$H$14="Annual",MOD(C3171-IF(Nonlabor!$E$14="Core",Nonlabor!$F$14,MAX(Nonlabor!$F$14,IF(Nonlabor!$E$14="AI",Assumptions!$E$24,Assumptions!$E$25))),12)=0))),IF(Nonlabor!$I$14="Fixed",1,IF(Nonlabor!$I$14="Seats",ROUNDUP('Monthly Growth'!I51,0),IF(Nonlabor!$I$14="Customers",'Monthly Growth'!D51,IF(Nonlabor!$I$14="NewCustomers",'Monthly Growth'!C51,IF(Nonlabor!$I$14="StorageGB",'Monthly Growth'!G51,IF(Nonlabor!$I$14="LogGB",'Monthly Growth'!H51,IF(Nonlabor!$I$14="RequestsM",'Monthly Growth'!F51,IF(Nonlabor!$I$14="InputM",'Monthly Growth'!D51*Assumptions!$E$22/1000000,IF(Nonlabor!$I$14="OutputM",'Monthly Growth'!D51*Assumptions!$E$23/1000000,0))))))))),0)</f>
        <v>23</v>
      </c>
      <c r="F3171" s="10" t="n">
        <f aca="false">Nonlabor!$J$14*(1+Assumptions!$E$9)^INT((C3171-1)/12)</f>
        <v>50.61888</v>
      </c>
      <c r="G3171" s="10" t="n">
        <f aca="false">E3171*F3171</f>
        <v>1164.23424</v>
      </c>
      <c r="H3171" s="10" t="n">
        <f aca="false">IF(OR(Nonlabor!$L$14="Quote required",Nonlabor!$L$14="Unverified"),G3171,0)</f>
        <v>0</v>
      </c>
      <c r="I3171" s="10" t="n">
        <f aca="false">IF(Nonlabor!$E$14="Core",0,G3171)</f>
        <v>0</v>
      </c>
      <c r="J3171" s="23" t="str">
        <f aca="false">Nonlabor!$B$14</f>
        <v>TOOLS</v>
      </c>
    </row>
    <row r="3172" customFormat="false" ht="15" hidden="false" customHeight="false" outlineLevel="0" collapsed="false">
      <c r="A3172" s="6" t="s">
        <v>73</v>
      </c>
      <c r="B3172" s="6" t="s">
        <v>399</v>
      </c>
      <c r="C3172" s="6" t="n">
        <v>47</v>
      </c>
      <c r="D3172" s="25" t="n">
        <f aca="false">EDATE('Start Here'!$B$6,C3172-1)</f>
        <v>47727</v>
      </c>
      <c r="E3172" s="23" t="n">
        <f aca="false">IF(AND(OR(Nonlabor!$D$14="Both",Nonlabor!$D$14='Start Here'!$B$9),IF(Nonlabor!$E$14="Core",1,IF(Nonlabor!$E$14="AI",'Start Here'!$B$7,'Start Here'!$B$8))=1,C3172&gt;=IF(Nonlabor!$E$14="Core",Nonlabor!$F$14,MAX(Nonlabor!$F$14,IF(Nonlabor!$E$14="AI",Assumptions!$E$24,Assumptions!$E$25))),C3172&lt;=Nonlabor!$G$14,OR(Nonlabor!$H$14="Monthly",AND(Nonlabor!$H$14="Once",C3172=IF(Nonlabor!$E$14="Core",Nonlabor!$F$14,MAX(Nonlabor!$F$14,IF(Nonlabor!$E$14="AI",Assumptions!$E$24,Assumptions!$E$25)))),AND(Nonlabor!$H$14="Annual",MOD(C3172-IF(Nonlabor!$E$14="Core",Nonlabor!$F$14,MAX(Nonlabor!$F$14,IF(Nonlabor!$E$14="AI",Assumptions!$E$24,Assumptions!$E$25))),12)=0))),IF(Nonlabor!$I$14="Fixed",1,IF(Nonlabor!$I$14="Seats",ROUNDUP('Monthly Growth'!I52,0),IF(Nonlabor!$I$14="Customers",'Monthly Growth'!D52,IF(Nonlabor!$I$14="NewCustomers",'Monthly Growth'!C52,IF(Nonlabor!$I$14="StorageGB",'Monthly Growth'!G52,IF(Nonlabor!$I$14="LogGB",'Monthly Growth'!H52,IF(Nonlabor!$I$14="RequestsM",'Monthly Growth'!F52,IF(Nonlabor!$I$14="InputM",'Monthly Growth'!D52*Assumptions!$E$22/1000000,IF(Nonlabor!$I$14="OutputM",'Monthly Growth'!D52*Assumptions!$E$23/1000000,0))))))))),0)</f>
        <v>23</v>
      </c>
      <c r="F3172" s="10" t="n">
        <f aca="false">Nonlabor!$J$14*(1+Assumptions!$E$9)^INT((C3172-1)/12)</f>
        <v>50.61888</v>
      </c>
      <c r="G3172" s="10" t="n">
        <f aca="false">E3172*F3172</f>
        <v>1164.23424</v>
      </c>
      <c r="H3172" s="10" t="n">
        <f aca="false">IF(OR(Nonlabor!$L$14="Quote required",Nonlabor!$L$14="Unverified"),G3172,0)</f>
        <v>0</v>
      </c>
      <c r="I3172" s="10" t="n">
        <f aca="false">IF(Nonlabor!$E$14="Core",0,G3172)</f>
        <v>0</v>
      </c>
      <c r="J3172" s="23" t="str">
        <f aca="false">Nonlabor!$B$14</f>
        <v>TOOLS</v>
      </c>
    </row>
    <row r="3173" customFormat="false" ht="15" hidden="false" customHeight="false" outlineLevel="0" collapsed="false">
      <c r="A3173" s="6" t="s">
        <v>73</v>
      </c>
      <c r="B3173" s="6" t="s">
        <v>399</v>
      </c>
      <c r="C3173" s="6" t="n">
        <v>48</v>
      </c>
      <c r="D3173" s="25" t="n">
        <f aca="false">EDATE('Start Here'!$B$6,C3173-1)</f>
        <v>47757</v>
      </c>
      <c r="E3173" s="23" t="n">
        <f aca="false">IF(AND(OR(Nonlabor!$D$14="Both",Nonlabor!$D$14='Start Here'!$B$9),IF(Nonlabor!$E$14="Core",1,IF(Nonlabor!$E$14="AI",'Start Here'!$B$7,'Start Here'!$B$8))=1,C3173&gt;=IF(Nonlabor!$E$14="Core",Nonlabor!$F$14,MAX(Nonlabor!$F$14,IF(Nonlabor!$E$14="AI",Assumptions!$E$24,Assumptions!$E$25))),C3173&lt;=Nonlabor!$G$14,OR(Nonlabor!$H$14="Monthly",AND(Nonlabor!$H$14="Once",C3173=IF(Nonlabor!$E$14="Core",Nonlabor!$F$14,MAX(Nonlabor!$F$14,IF(Nonlabor!$E$14="AI",Assumptions!$E$24,Assumptions!$E$25)))),AND(Nonlabor!$H$14="Annual",MOD(C3173-IF(Nonlabor!$E$14="Core",Nonlabor!$F$14,MAX(Nonlabor!$F$14,IF(Nonlabor!$E$14="AI",Assumptions!$E$24,Assumptions!$E$25))),12)=0))),IF(Nonlabor!$I$14="Fixed",1,IF(Nonlabor!$I$14="Seats",ROUNDUP('Monthly Growth'!I53,0),IF(Nonlabor!$I$14="Customers",'Monthly Growth'!D53,IF(Nonlabor!$I$14="NewCustomers",'Monthly Growth'!C53,IF(Nonlabor!$I$14="StorageGB",'Monthly Growth'!G53,IF(Nonlabor!$I$14="LogGB",'Monthly Growth'!H53,IF(Nonlabor!$I$14="RequestsM",'Monthly Growth'!F53,IF(Nonlabor!$I$14="InputM",'Monthly Growth'!D53*Assumptions!$E$22/1000000,IF(Nonlabor!$I$14="OutputM",'Monthly Growth'!D53*Assumptions!$E$23/1000000,0))))))))),0)</f>
        <v>23</v>
      </c>
      <c r="F3173" s="10" t="n">
        <f aca="false">Nonlabor!$J$14*(1+Assumptions!$E$9)^INT((C3173-1)/12)</f>
        <v>50.61888</v>
      </c>
      <c r="G3173" s="10" t="n">
        <f aca="false">E3173*F3173</f>
        <v>1164.23424</v>
      </c>
      <c r="H3173" s="10" t="n">
        <f aca="false">IF(OR(Nonlabor!$L$14="Quote required",Nonlabor!$L$14="Unverified"),G3173,0)</f>
        <v>0</v>
      </c>
      <c r="I3173" s="10" t="n">
        <f aca="false">IF(Nonlabor!$E$14="Core",0,G3173)</f>
        <v>0</v>
      </c>
      <c r="J3173" s="23" t="str">
        <f aca="false">Nonlabor!$B$14</f>
        <v>TOOLS</v>
      </c>
    </row>
    <row r="3174" customFormat="false" ht="15" hidden="false" customHeight="false" outlineLevel="0" collapsed="false">
      <c r="A3174" s="6" t="s">
        <v>73</v>
      </c>
      <c r="B3174" s="6" t="s">
        <v>399</v>
      </c>
      <c r="C3174" s="6" t="n">
        <v>49</v>
      </c>
      <c r="D3174" s="25" t="n">
        <f aca="false">EDATE('Start Here'!$B$6,C3174-1)</f>
        <v>47788</v>
      </c>
      <c r="E3174" s="23" t="n">
        <f aca="false">IF(AND(OR(Nonlabor!$D$14="Both",Nonlabor!$D$14='Start Here'!$B$9),IF(Nonlabor!$E$14="Core",1,IF(Nonlabor!$E$14="AI",'Start Here'!$B$7,'Start Here'!$B$8))=1,C3174&gt;=IF(Nonlabor!$E$14="Core",Nonlabor!$F$14,MAX(Nonlabor!$F$14,IF(Nonlabor!$E$14="AI",Assumptions!$E$24,Assumptions!$E$25))),C3174&lt;=Nonlabor!$G$14,OR(Nonlabor!$H$14="Monthly",AND(Nonlabor!$H$14="Once",C3174=IF(Nonlabor!$E$14="Core",Nonlabor!$F$14,MAX(Nonlabor!$F$14,IF(Nonlabor!$E$14="AI",Assumptions!$E$24,Assumptions!$E$25)))),AND(Nonlabor!$H$14="Annual",MOD(C3174-IF(Nonlabor!$E$14="Core",Nonlabor!$F$14,MAX(Nonlabor!$F$14,IF(Nonlabor!$E$14="AI",Assumptions!$E$24,Assumptions!$E$25))),12)=0))),IF(Nonlabor!$I$14="Fixed",1,IF(Nonlabor!$I$14="Seats",ROUNDUP('Monthly Growth'!I54,0),IF(Nonlabor!$I$14="Customers",'Monthly Growth'!D54,IF(Nonlabor!$I$14="NewCustomers",'Monthly Growth'!C54,IF(Nonlabor!$I$14="StorageGB",'Monthly Growth'!G54,IF(Nonlabor!$I$14="LogGB",'Monthly Growth'!H54,IF(Nonlabor!$I$14="RequestsM",'Monthly Growth'!F54,IF(Nonlabor!$I$14="InputM",'Monthly Growth'!D54*Assumptions!$E$22/1000000,IF(Nonlabor!$I$14="OutputM",'Monthly Growth'!D54*Assumptions!$E$23/1000000,0))))))))),0)</f>
        <v>23</v>
      </c>
      <c r="F3174" s="10" t="n">
        <f aca="false">Nonlabor!$J$14*(1+Assumptions!$E$9)^INT((C3174-1)/12)</f>
        <v>52.6436352</v>
      </c>
      <c r="G3174" s="10" t="n">
        <f aca="false">E3174*F3174</f>
        <v>1210.8036096</v>
      </c>
      <c r="H3174" s="10" t="n">
        <f aca="false">IF(OR(Nonlabor!$L$14="Quote required",Nonlabor!$L$14="Unverified"),G3174,0)</f>
        <v>0</v>
      </c>
      <c r="I3174" s="10" t="n">
        <f aca="false">IF(Nonlabor!$E$14="Core",0,G3174)</f>
        <v>0</v>
      </c>
      <c r="J3174" s="23" t="str">
        <f aca="false">Nonlabor!$B$14</f>
        <v>TOOLS</v>
      </c>
    </row>
    <row r="3175" customFormat="false" ht="15" hidden="false" customHeight="false" outlineLevel="0" collapsed="false">
      <c r="A3175" s="6" t="s">
        <v>73</v>
      </c>
      <c r="B3175" s="6" t="s">
        <v>399</v>
      </c>
      <c r="C3175" s="6" t="n">
        <v>50</v>
      </c>
      <c r="D3175" s="25" t="n">
        <f aca="false">EDATE('Start Here'!$B$6,C3175-1)</f>
        <v>47818</v>
      </c>
      <c r="E3175" s="23" t="n">
        <f aca="false">IF(AND(OR(Nonlabor!$D$14="Both",Nonlabor!$D$14='Start Here'!$B$9),IF(Nonlabor!$E$14="Core",1,IF(Nonlabor!$E$14="AI",'Start Here'!$B$7,'Start Here'!$B$8))=1,C3175&gt;=IF(Nonlabor!$E$14="Core",Nonlabor!$F$14,MAX(Nonlabor!$F$14,IF(Nonlabor!$E$14="AI",Assumptions!$E$24,Assumptions!$E$25))),C3175&lt;=Nonlabor!$G$14,OR(Nonlabor!$H$14="Monthly",AND(Nonlabor!$H$14="Once",C3175=IF(Nonlabor!$E$14="Core",Nonlabor!$F$14,MAX(Nonlabor!$F$14,IF(Nonlabor!$E$14="AI",Assumptions!$E$24,Assumptions!$E$25)))),AND(Nonlabor!$H$14="Annual",MOD(C3175-IF(Nonlabor!$E$14="Core",Nonlabor!$F$14,MAX(Nonlabor!$F$14,IF(Nonlabor!$E$14="AI",Assumptions!$E$24,Assumptions!$E$25))),12)=0))),IF(Nonlabor!$I$14="Fixed",1,IF(Nonlabor!$I$14="Seats",ROUNDUP('Monthly Growth'!I55,0),IF(Nonlabor!$I$14="Customers",'Monthly Growth'!D55,IF(Nonlabor!$I$14="NewCustomers",'Monthly Growth'!C55,IF(Nonlabor!$I$14="StorageGB",'Monthly Growth'!G55,IF(Nonlabor!$I$14="LogGB",'Monthly Growth'!H55,IF(Nonlabor!$I$14="RequestsM",'Monthly Growth'!F55,IF(Nonlabor!$I$14="InputM",'Monthly Growth'!D55*Assumptions!$E$22/1000000,IF(Nonlabor!$I$14="OutputM",'Monthly Growth'!D55*Assumptions!$E$23/1000000,0))))))))),0)</f>
        <v>23</v>
      </c>
      <c r="F3175" s="10" t="n">
        <f aca="false">Nonlabor!$J$14*(1+Assumptions!$E$9)^INT((C3175-1)/12)</f>
        <v>52.6436352</v>
      </c>
      <c r="G3175" s="10" t="n">
        <f aca="false">E3175*F3175</f>
        <v>1210.8036096</v>
      </c>
      <c r="H3175" s="10" t="n">
        <f aca="false">IF(OR(Nonlabor!$L$14="Quote required",Nonlabor!$L$14="Unverified"),G3175,0)</f>
        <v>0</v>
      </c>
      <c r="I3175" s="10" t="n">
        <f aca="false">IF(Nonlabor!$E$14="Core",0,G3175)</f>
        <v>0</v>
      </c>
      <c r="J3175" s="23" t="str">
        <f aca="false">Nonlabor!$B$14</f>
        <v>TOOLS</v>
      </c>
    </row>
    <row r="3176" customFormat="false" ht="15" hidden="false" customHeight="false" outlineLevel="0" collapsed="false">
      <c r="A3176" s="6" t="s">
        <v>73</v>
      </c>
      <c r="B3176" s="6" t="s">
        <v>399</v>
      </c>
      <c r="C3176" s="6" t="n">
        <v>51</v>
      </c>
      <c r="D3176" s="25" t="n">
        <f aca="false">EDATE('Start Here'!$B$6,C3176-1)</f>
        <v>47849</v>
      </c>
      <c r="E3176" s="23" t="n">
        <f aca="false">IF(AND(OR(Nonlabor!$D$14="Both",Nonlabor!$D$14='Start Here'!$B$9),IF(Nonlabor!$E$14="Core",1,IF(Nonlabor!$E$14="AI",'Start Here'!$B$7,'Start Here'!$B$8))=1,C3176&gt;=IF(Nonlabor!$E$14="Core",Nonlabor!$F$14,MAX(Nonlabor!$F$14,IF(Nonlabor!$E$14="AI",Assumptions!$E$24,Assumptions!$E$25))),C3176&lt;=Nonlabor!$G$14,OR(Nonlabor!$H$14="Monthly",AND(Nonlabor!$H$14="Once",C3176=IF(Nonlabor!$E$14="Core",Nonlabor!$F$14,MAX(Nonlabor!$F$14,IF(Nonlabor!$E$14="AI",Assumptions!$E$24,Assumptions!$E$25)))),AND(Nonlabor!$H$14="Annual",MOD(C3176-IF(Nonlabor!$E$14="Core",Nonlabor!$F$14,MAX(Nonlabor!$F$14,IF(Nonlabor!$E$14="AI",Assumptions!$E$24,Assumptions!$E$25))),12)=0))),IF(Nonlabor!$I$14="Fixed",1,IF(Nonlabor!$I$14="Seats",ROUNDUP('Monthly Growth'!I56,0),IF(Nonlabor!$I$14="Customers",'Monthly Growth'!D56,IF(Nonlabor!$I$14="NewCustomers",'Monthly Growth'!C56,IF(Nonlabor!$I$14="StorageGB",'Monthly Growth'!G56,IF(Nonlabor!$I$14="LogGB",'Monthly Growth'!H56,IF(Nonlabor!$I$14="RequestsM",'Monthly Growth'!F56,IF(Nonlabor!$I$14="InputM",'Monthly Growth'!D56*Assumptions!$E$22/1000000,IF(Nonlabor!$I$14="OutputM",'Monthly Growth'!D56*Assumptions!$E$23/1000000,0))))))))),0)</f>
        <v>23</v>
      </c>
      <c r="F3176" s="10" t="n">
        <f aca="false">Nonlabor!$J$14*(1+Assumptions!$E$9)^INT((C3176-1)/12)</f>
        <v>52.6436352</v>
      </c>
      <c r="G3176" s="10" t="n">
        <f aca="false">E3176*F3176</f>
        <v>1210.8036096</v>
      </c>
      <c r="H3176" s="10" t="n">
        <f aca="false">IF(OR(Nonlabor!$L$14="Quote required",Nonlabor!$L$14="Unverified"),G3176,0)</f>
        <v>0</v>
      </c>
      <c r="I3176" s="10" t="n">
        <f aca="false">IF(Nonlabor!$E$14="Core",0,G3176)</f>
        <v>0</v>
      </c>
      <c r="J3176" s="23" t="str">
        <f aca="false">Nonlabor!$B$14</f>
        <v>TOOLS</v>
      </c>
    </row>
    <row r="3177" customFormat="false" ht="15" hidden="false" customHeight="false" outlineLevel="0" collapsed="false">
      <c r="A3177" s="6" t="s">
        <v>73</v>
      </c>
      <c r="B3177" s="6" t="s">
        <v>399</v>
      </c>
      <c r="C3177" s="6" t="n">
        <v>52</v>
      </c>
      <c r="D3177" s="25" t="n">
        <f aca="false">EDATE('Start Here'!$B$6,C3177-1)</f>
        <v>47880</v>
      </c>
      <c r="E3177" s="23" t="n">
        <f aca="false">IF(AND(OR(Nonlabor!$D$14="Both",Nonlabor!$D$14='Start Here'!$B$9),IF(Nonlabor!$E$14="Core",1,IF(Nonlabor!$E$14="AI",'Start Here'!$B$7,'Start Here'!$B$8))=1,C3177&gt;=IF(Nonlabor!$E$14="Core",Nonlabor!$F$14,MAX(Nonlabor!$F$14,IF(Nonlabor!$E$14="AI",Assumptions!$E$24,Assumptions!$E$25))),C3177&lt;=Nonlabor!$G$14,OR(Nonlabor!$H$14="Monthly",AND(Nonlabor!$H$14="Once",C3177=IF(Nonlabor!$E$14="Core",Nonlabor!$F$14,MAX(Nonlabor!$F$14,IF(Nonlabor!$E$14="AI",Assumptions!$E$24,Assumptions!$E$25)))),AND(Nonlabor!$H$14="Annual",MOD(C3177-IF(Nonlabor!$E$14="Core",Nonlabor!$F$14,MAX(Nonlabor!$F$14,IF(Nonlabor!$E$14="AI",Assumptions!$E$24,Assumptions!$E$25))),12)=0))),IF(Nonlabor!$I$14="Fixed",1,IF(Nonlabor!$I$14="Seats",ROUNDUP('Monthly Growth'!I57,0),IF(Nonlabor!$I$14="Customers",'Monthly Growth'!D57,IF(Nonlabor!$I$14="NewCustomers",'Monthly Growth'!C57,IF(Nonlabor!$I$14="StorageGB",'Monthly Growth'!G57,IF(Nonlabor!$I$14="LogGB",'Monthly Growth'!H57,IF(Nonlabor!$I$14="RequestsM",'Monthly Growth'!F57,IF(Nonlabor!$I$14="InputM",'Monthly Growth'!D57*Assumptions!$E$22/1000000,IF(Nonlabor!$I$14="OutputM",'Monthly Growth'!D57*Assumptions!$E$23/1000000,0))))))))),0)</f>
        <v>23</v>
      </c>
      <c r="F3177" s="10" t="n">
        <f aca="false">Nonlabor!$J$14*(1+Assumptions!$E$9)^INT((C3177-1)/12)</f>
        <v>52.6436352</v>
      </c>
      <c r="G3177" s="10" t="n">
        <f aca="false">E3177*F3177</f>
        <v>1210.8036096</v>
      </c>
      <c r="H3177" s="10" t="n">
        <f aca="false">IF(OR(Nonlabor!$L$14="Quote required",Nonlabor!$L$14="Unverified"),G3177,0)</f>
        <v>0</v>
      </c>
      <c r="I3177" s="10" t="n">
        <f aca="false">IF(Nonlabor!$E$14="Core",0,G3177)</f>
        <v>0</v>
      </c>
      <c r="J3177" s="23" t="str">
        <f aca="false">Nonlabor!$B$14</f>
        <v>TOOLS</v>
      </c>
    </row>
    <row r="3178" customFormat="false" ht="15" hidden="false" customHeight="false" outlineLevel="0" collapsed="false">
      <c r="A3178" s="6" t="s">
        <v>73</v>
      </c>
      <c r="B3178" s="6" t="s">
        <v>399</v>
      </c>
      <c r="C3178" s="6" t="n">
        <v>53</v>
      </c>
      <c r="D3178" s="25" t="n">
        <f aca="false">EDATE('Start Here'!$B$6,C3178-1)</f>
        <v>47908</v>
      </c>
      <c r="E3178" s="23" t="n">
        <f aca="false">IF(AND(OR(Nonlabor!$D$14="Both",Nonlabor!$D$14='Start Here'!$B$9),IF(Nonlabor!$E$14="Core",1,IF(Nonlabor!$E$14="AI",'Start Here'!$B$7,'Start Here'!$B$8))=1,C3178&gt;=IF(Nonlabor!$E$14="Core",Nonlabor!$F$14,MAX(Nonlabor!$F$14,IF(Nonlabor!$E$14="AI",Assumptions!$E$24,Assumptions!$E$25))),C3178&lt;=Nonlabor!$G$14,OR(Nonlabor!$H$14="Monthly",AND(Nonlabor!$H$14="Once",C3178=IF(Nonlabor!$E$14="Core",Nonlabor!$F$14,MAX(Nonlabor!$F$14,IF(Nonlabor!$E$14="AI",Assumptions!$E$24,Assumptions!$E$25)))),AND(Nonlabor!$H$14="Annual",MOD(C3178-IF(Nonlabor!$E$14="Core",Nonlabor!$F$14,MAX(Nonlabor!$F$14,IF(Nonlabor!$E$14="AI",Assumptions!$E$24,Assumptions!$E$25))),12)=0))),IF(Nonlabor!$I$14="Fixed",1,IF(Nonlabor!$I$14="Seats",ROUNDUP('Monthly Growth'!I58,0),IF(Nonlabor!$I$14="Customers",'Monthly Growth'!D58,IF(Nonlabor!$I$14="NewCustomers",'Monthly Growth'!C58,IF(Nonlabor!$I$14="StorageGB",'Monthly Growth'!G58,IF(Nonlabor!$I$14="LogGB",'Monthly Growth'!H58,IF(Nonlabor!$I$14="RequestsM",'Monthly Growth'!F58,IF(Nonlabor!$I$14="InputM",'Monthly Growth'!D58*Assumptions!$E$22/1000000,IF(Nonlabor!$I$14="OutputM",'Monthly Growth'!D58*Assumptions!$E$23/1000000,0))))))))),0)</f>
        <v>23</v>
      </c>
      <c r="F3178" s="10" t="n">
        <f aca="false">Nonlabor!$J$14*(1+Assumptions!$E$9)^INT((C3178-1)/12)</f>
        <v>52.6436352</v>
      </c>
      <c r="G3178" s="10" t="n">
        <f aca="false">E3178*F3178</f>
        <v>1210.8036096</v>
      </c>
      <c r="H3178" s="10" t="n">
        <f aca="false">IF(OR(Nonlabor!$L$14="Quote required",Nonlabor!$L$14="Unverified"),G3178,0)</f>
        <v>0</v>
      </c>
      <c r="I3178" s="10" t="n">
        <f aca="false">IF(Nonlabor!$E$14="Core",0,G3178)</f>
        <v>0</v>
      </c>
      <c r="J3178" s="23" t="str">
        <f aca="false">Nonlabor!$B$14</f>
        <v>TOOLS</v>
      </c>
    </row>
    <row r="3179" customFormat="false" ht="15" hidden="false" customHeight="false" outlineLevel="0" collapsed="false">
      <c r="A3179" s="6" t="s">
        <v>73</v>
      </c>
      <c r="B3179" s="6" t="s">
        <v>399</v>
      </c>
      <c r="C3179" s="6" t="n">
        <v>54</v>
      </c>
      <c r="D3179" s="25" t="n">
        <f aca="false">EDATE('Start Here'!$B$6,C3179-1)</f>
        <v>47939</v>
      </c>
      <c r="E3179" s="23" t="n">
        <f aca="false">IF(AND(OR(Nonlabor!$D$14="Both",Nonlabor!$D$14='Start Here'!$B$9),IF(Nonlabor!$E$14="Core",1,IF(Nonlabor!$E$14="AI",'Start Here'!$B$7,'Start Here'!$B$8))=1,C3179&gt;=IF(Nonlabor!$E$14="Core",Nonlabor!$F$14,MAX(Nonlabor!$F$14,IF(Nonlabor!$E$14="AI",Assumptions!$E$24,Assumptions!$E$25))),C3179&lt;=Nonlabor!$G$14,OR(Nonlabor!$H$14="Monthly",AND(Nonlabor!$H$14="Once",C3179=IF(Nonlabor!$E$14="Core",Nonlabor!$F$14,MAX(Nonlabor!$F$14,IF(Nonlabor!$E$14="AI",Assumptions!$E$24,Assumptions!$E$25)))),AND(Nonlabor!$H$14="Annual",MOD(C3179-IF(Nonlabor!$E$14="Core",Nonlabor!$F$14,MAX(Nonlabor!$F$14,IF(Nonlabor!$E$14="AI",Assumptions!$E$24,Assumptions!$E$25))),12)=0))),IF(Nonlabor!$I$14="Fixed",1,IF(Nonlabor!$I$14="Seats",ROUNDUP('Monthly Growth'!I59,0),IF(Nonlabor!$I$14="Customers",'Monthly Growth'!D59,IF(Nonlabor!$I$14="NewCustomers",'Monthly Growth'!C59,IF(Nonlabor!$I$14="StorageGB",'Monthly Growth'!G59,IF(Nonlabor!$I$14="LogGB",'Monthly Growth'!H59,IF(Nonlabor!$I$14="RequestsM",'Monthly Growth'!F59,IF(Nonlabor!$I$14="InputM",'Monthly Growth'!D59*Assumptions!$E$22/1000000,IF(Nonlabor!$I$14="OutputM",'Monthly Growth'!D59*Assumptions!$E$23/1000000,0))))))))),0)</f>
        <v>23</v>
      </c>
      <c r="F3179" s="10" t="n">
        <f aca="false">Nonlabor!$J$14*(1+Assumptions!$E$9)^INT((C3179-1)/12)</f>
        <v>52.6436352</v>
      </c>
      <c r="G3179" s="10" t="n">
        <f aca="false">E3179*F3179</f>
        <v>1210.8036096</v>
      </c>
      <c r="H3179" s="10" t="n">
        <f aca="false">IF(OR(Nonlabor!$L$14="Quote required",Nonlabor!$L$14="Unverified"),G3179,0)</f>
        <v>0</v>
      </c>
      <c r="I3179" s="10" t="n">
        <f aca="false">IF(Nonlabor!$E$14="Core",0,G3179)</f>
        <v>0</v>
      </c>
      <c r="J3179" s="23" t="str">
        <f aca="false">Nonlabor!$B$14</f>
        <v>TOOLS</v>
      </c>
    </row>
    <row r="3180" customFormat="false" ht="15" hidden="false" customHeight="false" outlineLevel="0" collapsed="false">
      <c r="A3180" s="6" t="s">
        <v>73</v>
      </c>
      <c r="B3180" s="6" t="s">
        <v>399</v>
      </c>
      <c r="C3180" s="6" t="n">
        <v>55</v>
      </c>
      <c r="D3180" s="25" t="n">
        <f aca="false">EDATE('Start Here'!$B$6,C3180-1)</f>
        <v>47969</v>
      </c>
      <c r="E3180" s="23" t="n">
        <f aca="false">IF(AND(OR(Nonlabor!$D$14="Both",Nonlabor!$D$14='Start Here'!$B$9),IF(Nonlabor!$E$14="Core",1,IF(Nonlabor!$E$14="AI",'Start Here'!$B$7,'Start Here'!$B$8))=1,C3180&gt;=IF(Nonlabor!$E$14="Core",Nonlabor!$F$14,MAX(Nonlabor!$F$14,IF(Nonlabor!$E$14="AI",Assumptions!$E$24,Assumptions!$E$25))),C3180&lt;=Nonlabor!$G$14,OR(Nonlabor!$H$14="Monthly",AND(Nonlabor!$H$14="Once",C3180=IF(Nonlabor!$E$14="Core",Nonlabor!$F$14,MAX(Nonlabor!$F$14,IF(Nonlabor!$E$14="AI",Assumptions!$E$24,Assumptions!$E$25)))),AND(Nonlabor!$H$14="Annual",MOD(C3180-IF(Nonlabor!$E$14="Core",Nonlabor!$F$14,MAX(Nonlabor!$F$14,IF(Nonlabor!$E$14="AI",Assumptions!$E$24,Assumptions!$E$25))),12)=0))),IF(Nonlabor!$I$14="Fixed",1,IF(Nonlabor!$I$14="Seats",ROUNDUP('Monthly Growth'!I60,0),IF(Nonlabor!$I$14="Customers",'Monthly Growth'!D60,IF(Nonlabor!$I$14="NewCustomers",'Monthly Growth'!C60,IF(Nonlabor!$I$14="StorageGB",'Monthly Growth'!G60,IF(Nonlabor!$I$14="LogGB",'Monthly Growth'!H60,IF(Nonlabor!$I$14="RequestsM",'Monthly Growth'!F60,IF(Nonlabor!$I$14="InputM",'Monthly Growth'!D60*Assumptions!$E$22/1000000,IF(Nonlabor!$I$14="OutputM",'Monthly Growth'!D60*Assumptions!$E$23/1000000,0))))))))),0)</f>
        <v>23</v>
      </c>
      <c r="F3180" s="10" t="n">
        <f aca="false">Nonlabor!$J$14*(1+Assumptions!$E$9)^INT((C3180-1)/12)</f>
        <v>52.6436352</v>
      </c>
      <c r="G3180" s="10" t="n">
        <f aca="false">E3180*F3180</f>
        <v>1210.8036096</v>
      </c>
      <c r="H3180" s="10" t="n">
        <f aca="false">IF(OR(Nonlabor!$L$14="Quote required",Nonlabor!$L$14="Unverified"),G3180,0)</f>
        <v>0</v>
      </c>
      <c r="I3180" s="10" t="n">
        <f aca="false">IF(Nonlabor!$E$14="Core",0,G3180)</f>
        <v>0</v>
      </c>
      <c r="J3180" s="23" t="str">
        <f aca="false">Nonlabor!$B$14</f>
        <v>TOOLS</v>
      </c>
    </row>
    <row r="3181" customFormat="false" ht="15" hidden="false" customHeight="false" outlineLevel="0" collapsed="false">
      <c r="A3181" s="6" t="s">
        <v>73</v>
      </c>
      <c r="B3181" s="6" t="s">
        <v>399</v>
      </c>
      <c r="C3181" s="6" t="n">
        <v>56</v>
      </c>
      <c r="D3181" s="25" t="n">
        <f aca="false">EDATE('Start Here'!$B$6,C3181-1)</f>
        <v>48000</v>
      </c>
      <c r="E3181" s="23" t="n">
        <f aca="false">IF(AND(OR(Nonlabor!$D$14="Both",Nonlabor!$D$14='Start Here'!$B$9),IF(Nonlabor!$E$14="Core",1,IF(Nonlabor!$E$14="AI",'Start Here'!$B$7,'Start Here'!$B$8))=1,C3181&gt;=IF(Nonlabor!$E$14="Core",Nonlabor!$F$14,MAX(Nonlabor!$F$14,IF(Nonlabor!$E$14="AI",Assumptions!$E$24,Assumptions!$E$25))),C3181&lt;=Nonlabor!$G$14,OR(Nonlabor!$H$14="Monthly",AND(Nonlabor!$H$14="Once",C3181=IF(Nonlabor!$E$14="Core",Nonlabor!$F$14,MAX(Nonlabor!$F$14,IF(Nonlabor!$E$14="AI",Assumptions!$E$24,Assumptions!$E$25)))),AND(Nonlabor!$H$14="Annual",MOD(C3181-IF(Nonlabor!$E$14="Core",Nonlabor!$F$14,MAX(Nonlabor!$F$14,IF(Nonlabor!$E$14="AI",Assumptions!$E$24,Assumptions!$E$25))),12)=0))),IF(Nonlabor!$I$14="Fixed",1,IF(Nonlabor!$I$14="Seats",ROUNDUP('Monthly Growth'!I61,0),IF(Nonlabor!$I$14="Customers",'Monthly Growth'!D61,IF(Nonlabor!$I$14="NewCustomers",'Monthly Growth'!C61,IF(Nonlabor!$I$14="StorageGB",'Monthly Growth'!G61,IF(Nonlabor!$I$14="LogGB",'Monthly Growth'!H61,IF(Nonlabor!$I$14="RequestsM",'Monthly Growth'!F61,IF(Nonlabor!$I$14="InputM",'Monthly Growth'!D61*Assumptions!$E$22/1000000,IF(Nonlabor!$I$14="OutputM",'Monthly Growth'!D61*Assumptions!$E$23/1000000,0))))))))),0)</f>
        <v>23</v>
      </c>
      <c r="F3181" s="10" t="n">
        <f aca="false">Nonlabor!$J$14*(1+Assumptions!$E$9)^INT((C3181-1)/12)</f>
        <v>52.6436352</v>
      </c>
      <c r="G3181" s="10" t="n">
        <f aca="false">E3181*F3181</f>
        <v>1210.8036096</v>
      </c>
      <c r="H3181" s="10" t="n">
        <f aca="false">IF(OR(Nonlabor!$L$14="Quote required",Nonlabor!$L$14="Unverified"),G3181,0)</f>
        <v>0</v>
      </c>
      <c r="I3181" s="10" t="n">
        <f aca="false">IF(Nonlabor!$E$14="Core",0,G3181)</f>
        <v>0</v>
      </c>
      <c r="J3181" s="23" t="str">
        <f aca="false">Nonlabor!$B$14</f>
        <v>TOOLS</v>
      </c>
    </row>
    <row r="3182" customFormat="false" ht="15" hidden="false" customHeight="false" outlineLevel="0" collapsed="false">
      <c r="A3182" s="6" t="s">
        <v>73</v>
      </c>
      <c r="B3182" s="6" t="s">
        <v>399</v>
      </c>
      <c r="C3182" s="6" t="n">
        <v>57</v>
      </c>
      <c r="D3182" s="25" t="n">
        <f aca="false">EDATE('Start Here'!$B$6,C3182-1)</f>
        <v>48030</v>
      </c>
      <c r="E3182" s="23" t="n">
        <f aca="false">IF(AND(OR(Nonlabor!$D$14="Both",Nonlabor!$D$14='Start Here'!$B$9),IF(Nonlabor!$E$14="Core",1,IF(Nonlabor!$E$14="AI",'Start Here'!$B$7,'Start Here'!$B$8))=1,C3182&gt;=IF(Nonlabor!$E$14="Core",Nonlabor!$F$14,MAX(Nonlabor!$F$14,IF(Nonlabor!$E$14="AI",Assumptions!$E$24,Assumptions!$E$25))),C3182&lt;=Nonlabor!$G$14,OR(Nonlabor!$H$14="Monthly",AND(Nonlabor!$H$14="Once",C3182=IF(Nonlabor!$E$14="Core",Nonlabor!$F$14,MAX(Nonlabor!$F$14,IF(Nonlabor!$E$14="AI",Assumptions!$E$24,Assumptions!$E$25)))),AND(Nonlabor!$H$14="Annual",MOD(C3182-IF(Nonlabor!$E$14="Core",Nonlabor!$F$14,MAX(Nonlabor!$F$14,IF(Nonlabor!$E$14="AI",Assumptions!$E$24,Assumptions!$E$25))),12)=0))),IF(Nonlabor!$I$14="Fixed",1,IF(Nonlabor!$I$14="Seats",ROUNDUP('Monthly Growth'!I62,0),IF(Nonlabor!$I$14="Customers",'Monthly Growth'!D62,IF(Nonlabor!$I$14="NewCustomers",'Monthly Growth'!C62,IF(Nonlabor!$I$14="StorageGB",'Monthly Growth'!G62,IF(Nonlabor!$I$14="LogGB",'Monthly Growth'!H62,IF(Nonlabor!$I$14="RequestsM",'Monthly Growth'!F62,IF(Nonlabor!$I$14="InputM",'Monthly Growth'!D62*Assumptions!$E$22/1000000,IF(Nonlabor!$I$14="OutputM",'Monthly Growth'!D62*Assumptions!$E$23/1000000,0))))))))),0)</f>
        <v>23</v>
      </c>
      <c r="F3182" s="10" t="n">
        <f aca="false">Nonlabor!$J$14*(1+Assumptions!$E$9)^INT((C3182-1)/12)</f>
        <v>52.6436352</v>
      </c>
      <c r="G3182" s="10" t="n">
        <f aca="false">E3182*F3182</f>
        <v>1210.8036096</v>
      </c>
      <c r="H3182" s="10" t="n">
        <f aca="false">IF(OR(Nonlabor!$L$14="Quote required",Nonlabor!$L$14="Unverified"),G3182,0)</f>
        <v>0</v>
      </c>
      <c r="I3182" s="10" t="n">
        <f aca="false">IF(Nonlabor!$E$14="Core",0,G3182)</f>
        <v>0</v>
      </c>
      <c r="J3182" s="23" t="str">
        <f aca="false">Nonlabor!$B$14</f>
        <v>TOOLS</v>
      </c>
    </row>
    <row r="3183" customFormat="false" ht="15" hidden="false" customHeight="false" outlineLevel="0" collapsed="false">
      <c r="A3183" s="6" t="s">
        <v>73</v>
      </c>
      <c r="B3183" s="6" t="s">
        <v>399</v>
      </c>
      <c r="C3183" s="6" t="n">
        <v>58</v>
      </c>
      <c r="D3183" s="25" t="n">
        <f aca="false">EDATE('Start Here'!$B$6,C3183-1)</f>
        <v>48061</v>
      </c>
      <c r="E3183" s="23" t="n">
        <f aca="false">IF(AND(OR(Nonlabor!$D$14="Both",Nonlabor!$D$14='Start Here'!$B$9),IF(Nonlabor!$E$14="Core",1,IF(Nonlabor!$E$14="AI",'Start Here'!$B$7,'Start Here'!$B$8))=1,C3183&gt;=IF(Nonlabor!$E$14="Core",Nonlabor!$F$14,MAX(Nonlabor!$F$14,IF(Nonlabor!$E$14="AI",Assumptions!$E$24,Assumptions!$E$25))),C3183&lt;=Nonlabor!$G$14,OR(Nonlabor!$H$14="Monthly",AND(Nonlabor!$H$14="Once",C3183=IF(Nonlabor!$E$14="Core",Nonlabor!$F$14,MAX(Nonlabor!$F$14,IF(Nonlabor!$E$14="AI",Assumptions!$E$24,Assumptions!$E$25)))),AND(Nonlabor!$H$14="Annual",MOD(C3183-IF(Nonlabor!$E$14="Core",Nonlabor!$F$14,MAX(Nonlabor!$F$14,IF(Nonlabor!$E$14="AI",Assumptions!$E$24,Assumptions!$E$25))),12)=0))),IF(Nonlabor!$I$14="Fixed",1,IF(Nonlabor!$I$14="Seats",ROUNDUP('Monthly Growth'!I63,0),IF(Nonlabor!$I$14="Customers",'Monthly Growth'!D63,IF(Nonlabor!$I$14="NewCustomers",'Monthly Growth'!C63,IF(Nonlabor!$I$14="StorageGB",'Monthly Growth'!G63,IF(Nonlabor!$I$14="LogGB",'Monthly Growth'!H63,IF(Nonlabor!$I$14="RequestsM",'Monthly Growth'!F63,IF(Nonlabor!$I$14="InputM",'Monthly Growth'!D63*Assumptions!$E$22/1000000,IF(Nonlabor!$I$14="OutputM",'Monthly Growth'!D63*Assumptions!$E$23/1000000,0))))))))),0)</f>
        <v>23</v>
      </c>
      <c r="F3183" s="10" t="n">
        <f aca="false">Nonlabor!$J$14*(1+Assumptions!$E$9)^INT((C3183-1)/12)</f>
        <v>52.6436352</v>
      </c>
      <c r="G3183" s="10" t="n">
        <f aca="false">E3183*F3183</f>
        <v>1210.8036096</v>
      </c>
      <c r="H3183" s="10" t="n">
        <f aca="false">IF(OR(Nonlabor!$L$14="Quote required",Nonlabor!$L$14="Unverified"),G3183,0)</f>
        <v>0</v>
      </c>
      <c r="I3183" s="10" t="n">
        <f aca="false">IF(Nonlabor!$E$14="Core",0,G3183)</f>
        <v>0</v>
      </c>
      <c r="J3183" s="23" t="str">
        <f aca="false">Nonlabor!$B$14</f>
        <v>TOOLS</v>
      </c>
    </row>
    <row r="3184" customFormat="false" ht="15" hidden="false" customHeight="false" outlineLevel="0" collapsed="false">
      <c r="A3184" s="6" t="s">
        <v>73</v>
      </c>
      <c r="B3184" s="6" t="s">
        <v>399</v>
      </c>
      <c r="C3184" s="6" t="n">
        <v>59</v>
      </c>
      <c r="D3184" s="25" t="n">
        <f aca="false">EDATE('Start Here'!$B$6,C3184-1)</f>
        <v>48092</v>
      </c>
      <c r="E3184" s="23" t="n">
        <f aca="false">IF(AND(OR(Nonlabor!$D$14="Both",Nonlabor!$D$14='Start Here'!$B$9),IF(Nonlabor!$E$14="Core",1,IF(Nonlabor!$E$14="AI",'Start Here'!$B$7,'Start Here'!$B$8))=1,C3184&gt;=IF(Nonlabor!$E$14="Core",Nonlabor!$F$14,MAX(Nonlabor!$F$14,IF(Nonlabor!$E$14="AI",Assumptions!$E$24,Assumptions!$E$25))),C3184&lt;=Nonlabor!$G$14,OR(Nonlabor!$H$14="Monthly",AND(Nonlabor!$H$14="Once",C3184=IF(Nonlabor!$E$14="Core",Nonlabor!$F$14,MAX(Nonlabor!$F$14,IF(Nonlabor!$E$14="AI",Assumptions!$E$24,Assumptions!$E$25)))),AND(Nonlabor!$H$14="Annual",MOD(C3184-IF(Nonlabor!$E$14="Core",Nonlabor!$F$14,MAX(Nonlabor!$F$14,IF(Nonlabor!$E$14="AI",Assumptions!$E$24,Assumptions!$E$25))),12)=0))),IF(Nonlabor!$I$14="Fixed",1,IF(Nonlabor!$I$14="Seats",ROUNDUP('Monthly Growth'!I64,0),IF(Nonlabor!$I$14="Customers",'Monthly Growth'!D64,IF(Nonlabor!$I$14="NewCustomers",'Monthly Growth'!C64,IF(Nonlabor!$I$14="StorageGB",'Monthly Growth'!G64,IF(Nonlabor!$I$14="LogGB",'Monthly Growth'!H64,IF(Nonlabor!$I$14="RequestsM",'Monthly Growth'!F64,IF(Nonlabor!$I$14="InputM",'Monthly Growth'!D64*Assumptions!$E$22/1000000,IF(Nonlabor!$I$14="OutputM",'Monthly Growth'!D64*Assumptions!$E$23/1000000,0))))))))),0)</f>
        <v>23</v>
      </c>
      <c r="F3184" s="10" t="n">
        <f aca="false">Nonlabor!$J$14*(1+Assumptions!$E$9)^INT((C3184-1)/12)</f>
        <v>52.6436352</v>
      </c>
      <c r="G3184" s="10" t="n">
        <f aca="false">E3184*F3184</f>
        <v>1210.8036096</v>
      </c>
      <c r="H3184" s="10" t="n">
        <f aca="false">IF(OR(Nonlabor!$L$14="Quote required",Nonlabor!$L$14="Unverified"),G3184,0)</f>
        <v>0</v>
      </c>
      <c r="I3184" s="10" t="n">
        <f aca="false">IF(Nonlabor!$E$14="Core",0,G3184)</f>
        <v>0</v>
      </c>
      <c r="J3184" s="23" t="str">
        <f aca="false">Nonlabor!$B$14</f>
        <v>TOOLS</v>
      </c>
    </row>
    <row r="3185" customFormat="false" ht="15" hidden="false" customHeight="false" outlineLevel="0" collapsed="false">
      <c r="A3185" s="6" t="s">
        <v>73</v>
      </c>
      <c r="B3185" s="6" t="s">
        <v>399</v>
      </c>
      <c r="C3185" s="6" t="n">
        <v>60</v>
      </c>
      <c r="D3185" s="25" t="n">
        <f aca="false">EDATE('Start Here'!$B$6,C3185-1)</f>
        <v>48122</v>
      </c>
      <c r="E3185" s="23" t="n">
        <f aca="false">IF(AND(OR(Nonlabor!$D$14="Both",Nonlabor!$D$14='Start Here'!$B$9),IF(Nonlabor!$E$14="Core",1,IF(Nonlabor!$E$14="AI",'Start Here'!$B$7,'Start Here'!$B$8))=1,C3185&gt;=IF(Nonlabor!$E$14="Core",Nonlabor!$F$14,MAX(Nonlabor!$F$14,IF(Nonlabor!$E$14="AI",Assumptions!$E$24,Assumptions!$E$25))),C3185&lt;=Nonlabor!$G$14,OR(Nonlabor!$H$14="Monthly",AND(Nonlabor!$H$14="Once",C3185=IF(Nonlabor!$E$14="Core",Nonlabor!$F$14,MAX(Nonlabor!$F$14,IF(Nonlabor!$E$14="AI",Assumptions!$E$24,Assumptions!$E$25)))),AND(Nonlabor!$H$14="Annual",MOD(C3185-IF(Nonlabor!$E$14="Core",Nonlabor!$F$14,MAX(Nonlabor!$F$14,IF(Nonlabor!$E$14="AI",Assumptions!$E$24,Assumptions!$E$25))),12)=0))),IF(Nonlabor!$I$14="Fixed",1,IF(Nonlabor!$I$14="Seats",ROUNDUP('Monthly Growth'!I65,0),IF(Nonlabor!$I$14="Customers",'Monthly Growth'!D65,IF(Nonlabor!$I$14="NewCustomers",'Monthly Growth'!C65,IF(Nonlabor!$I$14="StorageGB",'Monthly Growth'!G65,IF(Nonlabor!$I$14="LogGB",'Monthly Growth'!H65,IF(Nonlabor!$I$14="RequestsM",'Monthly Growth'!F65,IF(Nonlabor!$I$14="InputM",'Monthly Growth'!D65*Assumptions!$E$22/1000000,IF(Nonlabor!$I$14="OutputM",'Monthly Growth'!D65*Assumptions!$E$23/1000000,0))))))))),0)</f>
        <v>23</v>
      </c>
      <c r="F3185" s="10" t="n">
        <f aca="false">Nonlabor!$J$14*(1+Assumptions!$E$9)^INT((C3185-1)/12)</f>
        <v>52.6436352</v>
      </c>
      <c r="G3185" s="10" t="n">
        <f aca="false">E3185*F3185</f>
        <v>1210.8036096</v>
      </c>
      <c r="H3185" s="10" t="n">
        <f aca="false">IF(OR(Nonlabor!$L$14="Quote required",Nonlabor!$L$14="Unverified"),G3185,0)</f>
        <v>0</v>
      </c>
      <c r="I3185" s="10" t="n">
        <f aca="false">IF(Nonlabor!$E$14="Core",0,G3185)</f>
        <v>0</v>
      </c>
      <c r="J3185" s="23" t="str">
        <f aca="false">Nonlabor!$B$14</f>
        <v>TOOLS</v>
      </c>
    </row>
    <row r="3186" customFormat="false" ht="15" hidden="false" customHeight="false" outlineLevel="0" collapsed="false">
      <c r="A3186" s="6" t="s">
        <v>73</v>
      </c>
      <c r="B3186" s="6" t="s">
        <v>402</v>
      </c>
      <c r="C3186" s="6" t="n">
        <v>1</v>
      </c>
      <c r="D3186" s="25" t="n">
        <f aca="false">EDATE('Start Here'!$B$6,C3186-1)</f>
        <v>46327</v>
      </c>
      <c r="E3186" s="23" t="n">
        <f aca="false">IF(AND(OR(Nonlabor!$D$15="Both",Nonlabor!$D$15='Start Here'!$B$9),IF(Nonlabor!$E$15="Core",1,IF(Nonlabor!$E$15="AI",'Start Here'!$B$7,'Start Here'!$B$8))=1,C3186&gt;=IF(Nonlabor!$E$15="Core",Nonlabor!$F$15,MAX(Nonlabor!$F$15,IF(Nonlabor!$E$15="AI",Assumptions!$E$24,Assumptions!$E$25))),C3186&lt;=Nonlabor!$G$15,OR(Nonlabor!$H$15="Monthly",AND(Nonlabor!$H$15="Once",C3186=IF(Nonlabor!$E$15="Core",Nonlabor!$F$15,MAX(Nonlabor!$F$15,IF(Nonlabor!$E$15="AI",Assumptions!$E$24,Assumptions!$E$25)))),AND(Nonlabor!$H$15="Annual",MOD(C3186-IF(Nonlabor!$E$15="Core",Nonlabor!$F$15,MAX(Nonlabor!$F$15,IF(Nonlabor!$E$15="AI",Assumptions!$E$24,Assumptions!$E$25))),12)=0))),IF(Nonlabor!$I$15="Fixed",1,IF(Nonlabor!$I$15="Seats",ROUNDUP('Monthly Growth'!I6,0),IF(Nonlabor!$I$15="Customers",'Monthly Growth'!D6,IF(Nonlabor!$I$15="NewCustomers",'Monthly Growth'!C6,IF(Nonlabor!$I$15="StorageGB",'Monthly Growth'!G6,IF(Nonlabor!$I$15="LogGB",'Monthly Growth'!H6,IF(Nonlabor!$I$15="RequestsM",'Monthly Growth'!F6,IF(Nonlabor!$I$15="InputM",'Monthly Growth'!D6*Assumptions!$E$22/1000000,IF(Nonlabor!$I$15="OutputM",'Monthly Growth'!D6*Assumptions!$E$23/1000000,0))))))))),0)</f>
        <v>0</v>
      </c>
      <c r="F3186" s="10" t="n">
        <f aca="false">Nonlabor!$J$15*(1+Assumptions!$E$9)^INT((C3186-1)/12)</f>
        <v>20000</v>
      </c>
      <c r="G3186" s="10" t="n">
        <f aca="false">E3186*F3186</f>
        <v>0</v>
      </c>
      <c r="H3186" s="10" t="n">
        <f aca="false">IF(OR(Nonlabor!$L$15="Quote required",Nonlabor!$L$15="Unverified"),G3186,0)</f>
        <v>0</v>
      </c>
      <c r="I3186" s="10" t="n">
        <f aca="false">IF(Nonlabor!$E$15="Core",0,G3186)</f>
        <v>0</v>
      </c>
      <c r="J3186" s="23" t="str">
        <f aca="false">Nonlabor!$B$15</f>
        <v>LEGAL</v>
      </c>
    </row>
    <row r="3187" customFormat="false" ht="15" hidden="false" customHeight="false" outlineLevel="0" collapsed="false">
      <c r="A3187" s="6" t="s">
        <v>73</v>
      </c>
      <c r="B3187" s="6" t="s">
        <v>402</v>
      </c>
      <c r="C3187" s="6" t="n">
        <v>2</v>
      </c>
      <c r="D3187" s="25" t="n">
        <f aca="false">EDATE('Start Here'!$B$6,C3187-1)</f>
        <v>46357</v>
      </c>
      <c r="E3187" s="23" t="n">
        <f aca="false">IF(AND(OR(Nonlabor!$D$15="Both",Nonlabor!$D$15='Start Here'!$B$9),IF(Nonlabor!$E$15="Core",1,IF(Nonlabor!$E$15="AI",'Start Here'!$B$7,'Start Here'!$B$8))=1,C3187&gt;=IF(Nonlabor!$E$15="Core",Nonlabor!$F$15,MAX(Nonlabor!$F$15,IF(Nonlabor!$E$15="AI",Assumptions!$E$24,Assumptions!$E$25))),C3187&lt;=Nonlabor!$G$15,OR(Nonlabor!$H$15="Monthly",AND(Nonlabor!$H$15="Once",C3187=IF(Nonlabor!$E$15="Core",Nonlabor!$F$15,MAX(Nonlabor!$F$15,IF(Nonlabor!$E$15="AI",Assumptions!$E$24,Assumptions!$E$25)))),AND(Nonlabor!$H$15="Annual",MOD(C3187-IF(Nonlabor!$E$15="Core",Nonlabor!$F$15,MAX(Nonlabor!$F$15,IF(Nonlabor!$E$15="AI",Assumptions!$E$24,Assumptions!$E$25))),12)=0))),IF(Nonlabor!$I$15="Fixed",1,IF(Nonlabor!$I$15="Seats",ROUNDUP('Monthly Growth'!I7,0),IF(Nonlabor!$I$15="Customers",'Monthly Growth'!D7,IF(Nonlabor!$I$15="NewCustomers",'Monthly Growth'!C7,IF(Nonlabor!$I$15="StorageGB",'Monthly Growth'!G7,IF(Nonlabor!$I$15="LogGB",'Monthly Growth'!H7,IF(Nonlabor!$I$15="RequestsM",'Monthly Growth'!F7,IF(Nonlabor!$I$15="InputM",'Monthly Growth'!D7*Assumptions!$E$22/1000000,IF(Nonlabor!$I$15="OutputM",'Monthly Growth'!D7*Assumptions!$E$23/1000000,0))))))))),0)</f>
        <v>1</v>
      </c>
      <c r="F3187" s="10" t="n">
        <f aca="false">Nonlabor!$J$15*(1+Assumptions!$E$9)^INT((C3187-1)/12)</f>
        <v>20000</v>
      </c>
      <c r="G3187" s="10" t="n">
        <f aca="false">E3187*F3187</f>
        <v>20000</v>
      </c>
      <c r="H3187" s="10" t="n">
        <f aca="false">IF(OR(Nonlabor!$L$15="Quote required",Nonlabor!$L$15="Unverified"),G3187,0)</f>
        <v>20000</v>
      </c>
      <c r="I3187" s="10" t="n">
        <f aca="false">IF(Nonlabor!$E$15="Core",0,G3187)</f>
        <v>0</v>
      </c>
      <c r="J3187" s="23" t="str">
        <f aca="false">Nonlabor!$B$15</f>
        <v>LEGAL</v>
      </c>
    </row>
    <row r="3188" customFormat="false" ht="15" hidden="false" customHeight="false" outlineLevel="0" collapsed="false">
      <c r="A3188" s="6" t="s">
        <v>73</v>
      </c>
      <c r="B3188" s="6" t="s">
        <v>402</v>
      </c>
      <c r="C3188" s="6" t="n">
        <v>3</v>
      </c>
      <c r="D3188" s="25" t="n">
        <f aca="false">EDATE('Start Here'!$B$6,C3188-1)</f>
        <v>46388</v>
      </c>
      <c r="E3188" s="23" t="n">
        <f aca="false">IF(AND(OR(Nonlabor!$D$15="Both",Nonlabor!$D$15='Start Here'!$B$9),IF(Nonlabor!$E$15="Core",1,IF(Nonlabor!$E$15="AI",'Start Here'!$B$7,'Start Here'!$B$8))=1,C3188&gt;=IF(Nonlabor!$E$15="Core",Nonlabor!$F$15,MAX(Nonlabor!$F$15,IF(Nonlabor!$E$15="AI",Assumptions!$E$24,Assumptions!$E$25))),C3188&lt;=Nonlabor!$G$15,OR(Nonlabor!$H$15="Monthly",AND(Nonlabor!$H$15="Once",C3188=IF(Nonlabor!$E$15="Core",Nonlabor!$F$15,MAX(Nonlabor!$F$15,IF(Nonlabor!$E$15="AI",Assumptions!$E$24,Assumptions!$E$25)))),AND(Nonlabor!$H$15="Annual",MOD(C3188-IF(Nonlabor!$E$15="Core",Nonlabor!$F$15,MAX(Nonlabor!$F$15,IF(Nonlabor!$E$15="AI",Assumptions!$E$24,Assumptions!$E$25))),12)=0))),IF(Nonlabor!$I$15="Fixed",1,IF(Nonlabor!$I$15="Seats",ROUNDUP('Monthly Growth'!I8,0),IF(Nonlabor!$I$15="Customers",'Monthly Growth'!D8,IF(Nonlabor!$I$15="NewCustomers",'Monthly Growth'!C8,IF(Nonlabor!$I$15="StorageGB",'Monthly Growth'!G8,IF(Nonlabor!$I$15="LogGB",'Monthly Growth'!H8,IF(Nonlabor!$I$15="RequestsM",'Monthly Growth'!F8,IF(Nonlabor!$I$15="InputM",'Monthly Growth'!D8*Assumptions!$E$22/1000000,IF(Nonlabor!$I$15="OutputM",'Monthly Growth'!D8*Assumptions!$E$23/1000000,0))))))))),0)</f>
        <v>0</v>
      </c>
      <c r="F3188" s="10" t="n">
        <f aca="false">Nonlabor!$J$15*(1+Assumptions!$E$9)^INT((C3188-1)/12)</f>
        <v>20000</v>
      </c>
      <c r="G3188" s="10" t="n">
        <f aca="false">E3188*F3188</f>
        <v>0</v>
      </c>
      <c r="H3188" s="10" t="n">
        <f aca="false">IF(OR(Nonlabor!$L$15="Quote required",Nonlabor!$L$15="Unverified"),G3188,0)</f>
        <v>0</v>
      </c>
      <c r="I3188" s="10" t="n">
        <f aca="false">IF(Nonlabor!$E$15="Core",0,G3188)</f>
        <v>0</v>
      </c>
      <c r="J3188" s="23" t="str">
        <f aca="false">Nonlabor!$B$15</f>
        <v>LEGAL</v>
      </c>
    </row>
    <row r="3189" customFormat="false" ht="15" hidden="false" customHeight="false" outlineLevel="0" collapsed="false">
      <c r="A3189" s="6" t="s">
        <v>73</v>
      </c>
      <c r="B3189" s="6" t="s">
        <v>402</v>
      </c>
      <c r="C3189" s="6" t="n">
        <v>4</v>
      </c>
      <c r="D3189" s="25" t="n">
        <f aca="false">EDATE('Start Here'!$B$6,C3189-1)</f>
        <v>46419</v>
      </c>
      <c r="E3189" s="23" t="n">
        <f aca="false">IF(AND(OR(Nonlabor!$D$15="Both",Nonlabor!$D$15='Start Here'!$B$9),IF(Nonlabor!$E$15="Core",1,IF(Nonlabor!$E$15="AI",'Start Here'!$B$7,'Start Here'!$B$8))=1,C3189&gt;=IF(Nonlabor!$E$15="Core",Nonlabor!$F$15,MAX(Nonlabor!$F$15,IF(Nonlabor!$E$15="AI",Assumptions!$E$24,Assumptions!$E$25))),C3189&lt;=Nonlabor!$G$15,OR(Nonlabor!$H$15="Monthly",AND(Nonlabor!$H$15="Once",C3189=IF(Nonlabor!$E$15="Core",Nonlabor!$F$15,MAX(Nonlabor!$F$15,IF(Nonlabor!$E$15="AI",Assumptions!$E$24,Assumptions!$E$25)))),AND(Nonlabor!$H$15="Annual",MOD(C3189-IF(Nonlabor!$E$15="Core",Nonlabor!$F$15,MAX(Nonlabor!$F$15,IF(Nonlabor!$E$15="AI",Assumptions!$E$24,Assumptions!$E$25))),12)=0))),IF(Nonlabor!$I$15="Fixed",1,IF(Nonlabor!$I$15="Seats",ROUNDUP('Monthly Growth'!I9,0),IF(Nonlabor!$I$15="Customers",'Monthly Growth'!D9,IF(Nonlabor!$I$15="NewCustomers",'Monthly Growth'!C9,IF(Nonlabor!$I$15="StorageGB",'Monthly Growth'!G9,IF(Nonlabor!$I$15="LogGB",'Monthly Growth'!H9,IF(Nonlabor!$I$15="RequestsM",'Monthly Growth'!F9,IF(Nonlabor!$I$15="InputM",'Monthly Growth'!D9*Assumptions!$E$22/1000000,IF(Nonlabor!$I$15="OutputM",'Monthly Growth'!D9*Assumptions!$E$23/1000000,0))))))))),0)</f>
        <v>0</v>
      </c>
      <c r="F3189" s="10" t="n">
        <f aca="false">Nonlabor!$J$15*(1+Assumptions!$E$9)^INT((C3189-1)/12)</f>
        <v>20000</v>
      </c>
      <c r="G3189" s="10" t="n">
        <f aca="false">E3189*F3189</f>
        <v>0</v>
      </c>
      <c r="H3189" s="10" t="n">
        <f aca="false">IF(OR(Nonlabor!$L$15="Quote required",Nonlabor!$L$15="Unverified"),G3189,0)</f>
        <v>0</v>
      </c>
      <c r="I3189" s="10" t="n">
        <f aca="false">IF(Nonlabor!$E$15="Core",0,G3189)</f>
        <v>0</v>
      </c>
      <c r="J3189" s="23" t="str">
        <f aca="false">Nonlabor!$B$15</f>
        <v>LEGAL</v>
      </c>
    </row>
    <row r="3190" customFormat="false" ht="15" hidden="false" customHeight="false" outlineLevel="0" collapsed="false">
      <c r="A3190" s="6" t="s">
        <v>73</v>
      </c>
      <c r="B3190" s="6" t="s">
        <v>402</v>
      </c>
      <c r="C3190" s="6" t="n">
        <v>5</v>
      </c>
      <c r="D3190" s="25" t="n">
        <f aca="false">EDATE('Start Here'!$B$6,C3190-1)</f>
        <v>46447</v>
      </c>
      <c r="E3190" s="23" t="n">
        <f aca="false">IF(AND(OR(Nonlabor!$D$15="Both",Nonlabor!$D$15='Start Here'!$B$9),IF(Nonlabor!$E$15="Core",1,IF(Nonlabor!$E$15="AI",'Start Here'!$B$7,'Start Here'!$B$8))=1,C3190&gt;=IF(Nonlabor!$E$15="Core",Nonlabor!$F$15,MAX(Nonlabor!$F$15,IF(Nonlabor!$E$15="AI",Assumptions!$E$24,Assumptions!$E$25))),C3190&lt;=Nonlabor!$G$15,OR(Nonlabor!$H$15="Monthly",AND(Nonlabor!$H$15="Once",C3190=IF(Nonlabor!$E$15="Core",Nonlabor!$F$15,MAX(Nonlabor!$F$15,IF(Nonlabor!$E$15="AI",Assumptions!$E$24,Assumptions!$E$25)))),AND(Nonlabor!$H$15="Annual",MOD(C3190-IF(Nonlabor!$E$15="Core",Nonlabor!$F$15,MAX(Nonlabor!$F$15,IF(Nonlabor!$E$15="AI",Assumptions!$E$24,Assumptions!$E$25))),12)=0))),IF(Nonlabor!$I$15="Fixed",1,IF(Nonlabor!$I$15="Seats",ROUNDUP('Monthly Growth'!I10,0),IF(Nonlabor!$I$15="Customers",'Monthly Growth'!D10,IF(Nonlabor!$I$15="NewCustomers",'Monthly Growth'!C10,IF(Nonlabor!$I$15="StorageGB",'Monthly Growth'!G10,IF(Nonlabor!$I$15="LogGB",'Monthly Growth'!H10,IF(Nonlabor!$I$15="RequestsM",'Monthly Growth'!F10,IF(Nonlabor!$I$15="InputM",'Monthly Growth'!D10*Assumptions!$E$22/1000000,IF(Nonlabor!$I$15="OutputM",'Monthly Growth'!D10*Assumptions!$E$23/1000000,0))))))))),0)</f>
        <v>0</v>
      </c>
      <c r="F3190" s="10" t="n">
        <f aca="false">Nonlabor!$J$15*(1+Assumptions!$E$9)^INT((C3190-1)/12)</f>
        <v>20000</v>
      </c>
      <c r="G3190" s="10" t="n">
        <f aca="false">E3190*F3190</f>
        <v>0</v>
      </c>
      <c r="H3190" s="10" t="n">
        <f aca="false">IF(OR(Nonlabor!$L$15="Quote required",Nonlabor!$L$15="Unverified"),G3190,0)</f>
        <v>0</v>
      </c>
      <c r="I3190" s="10" t="n">
        <f aca="false">IF(Nonlabor!$E$15="Core",0,G3190)</f>
        <v>0</v>
      </c>
      <c r="J3190" s="23" t="str">
        <f aca="false">Nonlabor!$B$15</f>
        <v>LEGAL</v>
      </c>
    </row>
    <row r="3191" customFormat="false" ht="15" hidden="false" customHeight="false" outlineLevel="0" collapsed="false">
      <c r="A3191" s="6" t="s">
        <v>73</v>
      </c>
      <c r="B3191" s="6" t="s">
        <v>402</v>
      </c>
      <c r="C3191" s="6" t="n">
        <v>6</v>
      </c>
      <c r="D3191" s="25" t="n">
        <f aca="false">EDATE('Start Here'!$B$6,C3191-1)</f>
        <v>46478</v>
      </c>
      <c r="E3191" s="23" t="n">
        <f aca="false">IF(AND(OR(Nonlabor!$D$15="Both",Nonlabor!$D$15='Start Here'!$B$9),IF(Nonlabor!$E$15="Core",1,IF(Nonlabor!$E$15="AI",'Start Here'!$B$7,'Start Here'!$B$8))=1,C3191&gt;=IF(Nonlabor!$E$15="Core",Nonlabor!$F$15,MAX(Nonlabor!$F$15,IF(Nonlabor!$E$15="AI",Assumptions!$E$24,Assumptions!$E$25))),C3191&lt;=Nonlabor!$G$15,OR(Nonlabor!$H$15="Monthly",AND(Nonlabor!$H$15="Once",C3191=IF(Nonlabor!$E$15="Core",Nonlabor!$F$15,MAX(Nonlabor!$F$15,IF(Nonlabor!$E$15="AI",Assumptions!$E$24,Assumptions!$E$25)))),AND(Nonlabor!$H$15="Annual",MOD(C3191-IF(Nonlabor!$E$15="Core",Nonlabor!$F$15,MAX(Nonlabor!$F$15,IF(Nonlabor!$E$15="AI",Assumptions!$E$24,Assumptions!$E$25))),12)=0))),IF(Nonlabor!$I$15="Fixed",1,IF(Nonlabor!$I$15="Seats",ROUNDUP('Monthly Growth'!I11,0),IF(Nonlabor!$I$15="Customers",'Monthly Growth'!D11,IF(Nonlabor!$I$15="NewCustomers",'Monthly Growth'!C11,IF(Nonlabor!$I$15="StorageGB",'Monthly Growth'!G11,IF(Nonlabor!$I$15="LogGB",'Monthly Growth'!H11,IF(Nonlabor!$I$15="RequestsM",'Monthly Growth'!F11,IF(Nonlabor!$I$15="InputM",'Monthly Growth'!D11*Assumptions!$E$22/1000000,IF(Nonlabor!$I$15="OutputM",'Monthly Growth'!D11*Assumptions!$E$23/1000000,0))))))))),0)</f>
        <v>0</v>
      </c>
      <c r="F3191" s="10" t="n">
        <f aca="false">Nonlabor!$J$15*(1+Assumptions!$E$9)^INT((C3191-1)/12)</f>
        <v>20000</v>
      </c>
      <c r="G3191" s="10" t="n">
        <f aca="false">E3191*F3191</f>
        <v>0</v>
      </c>
      <c r="H3191" s="10" t="n">
        <f aca="false">IF(OR(Nonlabor!$L$15="Quote required",Nonlabor!$L$15="Unverified"),G3191,0)</f>
        <v>0</v>
      </c>
      <c r="I3191" s="10" t="n">
        <f aca="false">IF(Nonlabor!$E$15="Core",0,G3191)</f>
        <v>0</v>
      </c>
      <c r="J3191" s="23" t="str">
        <f aca="false">Nonlabor!$B$15</f>
        <v>LEGAL</v>
      </c>
    </row>
    <row r="3192" customFormat="false" ht="15" hidden="false" customHeight="false" outlineLevel="0" collapsed="false">
      <c r="A3192" s="6" t="s">
        <v>73</v>
      </c>
      <c r="B3192" s="6" t="s">
        <v>402</v>
      </c>
      <c r="C3192" s="6" t="n">
        <v>7</v>
      </c>
      <c r="D3192" s="25" t="n">
        <f aca="false">EDATE('Start Here'!$B$6,C3192-1)</f>
        <v>46508</v>
      </c>
      <c r="E3192" s="23" t="n">
        <f aca="false">IF(AND(OR(Nonlabor!$D$15="Both",Nonlabor!$D$15='Start Here'!$B$9),IF(Nonlabor!$E$15="Core",1,IF(Nonlabor!$E$15="AI",'Start Here'!$B$7,'Start Here'!$B$8))=1,C3192&gt;=IF(Nonlabor!$E$15="Core",Nonlabor!$F$15,MAX(Nonlabor!$F$15,IF(Nonlabor!$E$15="AI",Assumptions!$E$24,Assumptions!$E$25))),C3192&lt;=Nonlabor!$G$15,OR(Nonlabor!$H$15="Monthly",AND(Nonlabor!$H$15="Once",C3192=IF(Nonlabor!$E$15="Core",Nonlabor!$F$15,MAX(Nonlabor!$F$15,IF(Nonlabor!$E$15="AI",Assumptions!$E$24,Assumptions!$E$25)))),AND(Nonlabor!$H$15="Annual",MOD(C3192-IF(Nonlabor!$E$15="Core",Nonlabor!$F$15,MAX(Nonlabor!$F$15,IF(Nonlabor!$E$15="AI",Assumptions!$E$24,Assumptions!$E$25))),12)=0))),IF(Nonlabor!$I$15="Fixed",1,IF(Nonlabor!$I$15="Seats",ROUNDUP('Monthly Growth'!I12,0),IF(Nonlabor!$I$15="Customers",'Monthly Growth'!D12,IF(Nonlabor!$I$15="NewCustomers",'Monthly Growth'!C12,IF(Nonlabor!$I$15="StorageGB",'Monthly Growth'!G12,IF(Nonlabor!$I$15="LogGB",'Monthly Growth'!H12,IF(Nonlabor!$I$15="RequestsM",'Monthly Growth'!F12,IF(Nonlabor!$I$15="InputM",'Monthly Growth'!D12*Assumptions!$E$22/1000000,IF(Nonlabor!$I$15="OutputM",'Monthly Growth'!D12*Assumptions!$E$23/1000000,0))))))))),0)</f>
        <v>0</v>
      </c>
      <c r="F3192" s="10" t="n">
        <f aca="false">Nonlabor!$J$15*(1+Assumptions!$E$9)^INT((C3192-1)/12)</f>
        <v>20000</v>
      </c>
      <c r="G3192" s="10" t="n">
        <f aca="false">E3192*F3192</f>
        <v>0</v>
      </c>
      <c r="H3192" s="10" t="n">
        <f aca="false">IF(OR(Nonlabor!$L$15="Quote required",Nonlabor!$L$15="Unverified"),G3192,0)</f>
        <v>0</v>
      </c>
      <c r="I3192" s="10" t="n">
        <f aca="false">IF(Nonlabor!$E$15="Core",0,G3192)</f>
        <v>0</v>
      </c>
      <c r="J3192" s="23" t="str">
        <f aca="false">Nonlabor!$B$15</f>
        <v>LEGAL</v>
      </c>
    </row>
    <row r="3193" customFormat="false" ht="15" hidden="false" customHeight="false" outlineLevel="0" collapsed="false">
      <c r="A3193" s="6" t="s">
        <v>73</v>
      </c>
      <c r="B3193" s="6" t="s">
        <v>402</v>
      </c>
      <c r="C3193" s="6" t="n">
        <v>8</v>
      </c>
      <c r="D3193" s="25" t="n">
        <f aca="false">EDATE('Start Here'!$B$6,C3193-1)</f>
        <v>46539</v>
      </c>
      <c r="E3193" s="23" t="n">
        <f aca="false">IF(AND(OR(Nonlabor!$D$15="Both",Nonlabor!$D$15='Start Here'!$B$9),IF(Nonlabor!$E$15="Core",1,IF(Nonlabor!$E$15="AI",'Start Here'!$B$7,'Start Here'!$B$8))=1,C3193&gt;=IF(Nonlabor!$E$15="Core",Nonlabor!$F$15,MAX(Nonlabor!$F$15,IF(Nonlabor!$E$15="AI",Assumptions!$E$24,Assumptions!$E$25))),C3193&lt;=Nonlabor!$G$15,OR(Nonlabor!$H$15="Monthly",AND(Nonlabor!$H$15="Once",C3193=IF(Nonlabor!$E$15="Core",Nonlabor!$F$15,MAX(Nonlabor!$F$15,IF(Nonlabor!$E$15="AI",Assumptions!$E$24,Assumptions!$E$25)))),AND(Nonlabor!$H$15="Annual",MOD(C3193-IF(Nonlabor!$E$15="Core",Nonlabor!$F$15,MAX(Nonlabor!$F$15,IF(Nonlabor!$E$15="AI",Assumptions!$E$24,Assumptions!$E$25))),12)=0))),IF(Nonlabor!$I$15="Fixed",1,IF(Nonlabor!$I$15="Seats",ROUNDUP('Monthly Growth'!I13,0),IF(Nonlabor!$I$15="Customers",'Monthly Growth'!D13,IF(Nonlabor!$I$15="NewCustomers",'Monthly Growth'!C13,IF(Nonlabor!$I$15="StorageGB",'Monthly Growth'!G13,IF(Nonlabor!$I$15="LogGB",'Monthly Growth'!H13,IF(Nonlabor!$I$15="RequestsM",'Monthly Growth'!F13,IF(Nonlabor!$I$15="InputM",'Monthly Growth'!D13*Assumptions!$E$22/1000000,IF(Nonlabor!$I$15="OutputM",'Monthly Growth'!D13*Assumptions!$E$23/1000000,0))))))))),0)</f>
        <v>0</v>
      </c>
      <c r="F3193" s="10" t="n">
        <f aca="false">Nonlabor!$J$15*(1+Assumptions!$E$9)^INT((C3193-1)/12)</f>
        <v>20000</v>
      </c>
      <c r="G3193" s="10" t="n">
        <f aca="false">E3193*F3193</f>
        <v>0</v>
      </c>
      <c r="H3193" s="10" t="n">
        <f aca="false">IF(OR(Nonlabor!$L$15="Quote required",Nonlabor!$L$15="Unverified"),G3193,0)</f>
        <v>0</v>
      </c>
      <c r="I3193" s="10" t="n">
        <f aca="false">IF(Nonlabor!$E$15="Core",0,G3193)</f>
        <v>0</v>
      </c>
      <c r="J3193" s="23" t="str">
        <f aca="false">Nonlabor!$B$15</f>
        <v>LEGAL</v>
      </c>
    </row>
    <row r="3194" customFormat="false" ht="15" hidden="false" customHeight="false" outlineLevel="0" collapsed="false">
      <c r="A3194" s="6" t="s">
        <v>73</v>
      </c>
      <c r="B3194" s="6" t="s">
        <v>402</v>
      </c>
      <c r="C3194" s="6" t="n">
        <v>9</v>
      </c>
      <c r="D3194" s="25" t="n">
        <f aca="false">EDATE('Start Here'!$B$6,C3194-1)</f>
        <v>46569</v>
      </c>
      <c r="E3194" s="23" t="n">
        <f aca="false">IF(AND(OR(Nonlabor!$D$15="Both",Nonlabor!$D$15='Start Here'!$B$9),IF(Nonlabor!$E$15="Core",1,IF(Nonlabor!$E$15="AI",'Start Here'!$B$7,'Start Here'!$B$8))=1,C3194&gt;=IF(Nonlabor!$E$15="Core",Nonlabor!$F$15,MAX(Nonlabor!$F$15,IF(Nonlabor!$E$15="AI",Assumptions!$E$24,Assumptions!$E$25))),C3194&lt;=Nonlabor!$G$15,OR(Nonlabor!$H$15="Monthly",AND(Nonlabor!$H$15="Once",C3194=IF(Nonlabor!$E$15="Core",Nonlabor!$F$15,MAX(Nonlabor!$F$15,IF(Nonlabor!$E$15="AI",Assumptions!$E$24,Assumptions!$E$25)))),AND(Nonlabor!$H$15="Annual",MOD(C3194-IF(Nonlabor!$E$15="Core",Nonlabor!$F$15,MAX(Nonlabor!$F$15,IF(Nonlabor!$E$15="AI",Assumptions!$E$24,Assumptions!$E$25))),12)=0))),IF(Nonlabor!$I$15="Fixed",1,IF(Nonlabor!$I$15="Seats",ROUNDUP('Monthly Growth'!I14,0),IF(Nonlabor!$I$15="Customers",'Monthly Growth'!D14,IF(Nonlabor!$I$15="NewCustomers",'Monthly Growth'!C14,IF(Nonlabor!$I$15="StorageGB",'Monthly Growth'!G14,IF(Nonlabor!$I$15="LogGB",'Monthly Growth'!H14,IF(Nonlabor!$I$15="RequestsM",'Monthly Growth'!F14,IF(Nonlabor!$I$15="InputM",'Monthly Growth'!D14*Assumptions!$E$22/1000000,IF(Nonlabor!$I$15="OutputM",'Monthly Growth'!D14*Assumptions!$E$23/1000000,0))))))))),0)</f>
        <v>0</v>
      </c>
      <c r="F3194" s="10" t="n">
        <f aca="false">Nonlabor!$J$15*(1+Assumptions!$E$9)^INT((C3194-1)/12)</f>
        <v>20000</v>
      </c>
      <c r="G3194" s="10" t="n">
        <f aca="false">E3194*F3194</f>
        <v>0</v>
      </c>
      <c r="H3194" s="10" t="n">
        <f aca="false">IF(OR(Nonlabor!$L$15="Quote required",Nonlabor!$L$15="Unverified"),G3194,0)</f>
        <v>0</v>
      </c>
      <c r="I3194" s="10" t="n">
        <f aca="false">IF(Nonlabor!$E$15="Core",0,G3194)</f>
        <v>0</v>
      </c>
      <c r="J3194" s="23" t="str">
        <f aca="false">Nonlabor!$B$15</f>
        <v>LEGAL</v>
      </c>
    </row>
    <row r="3195" customFormat="false" ht="15" hidden="false" customHeight="false" outlineLevel="0" collapsed="false">
      <c r="A3195" s="6" t="s">
        <v>73</v>
      </c>
      <c r="B3195" s="6" t="s">
        <v>402</v>
      </c>
      <c r="C3195" s="6" t="n">
        <v>10</v>
      </c>
      <c r="D3195" s="25" t="n">
        <f aca="false">EDATE('Start Here'!$B$6,C3195-1)</f>
        <v>46600</v>
      </c>
      <c r="E3195" s="23" t="n">
        <f aca="false">IF(AND(OR(Nonlabor!$D$15="Both",Nonlabor!$D$15='Start Here'!$B$9),IF(Nonlabor!$E$15="Core",1,IF(Nonlabor!$E$15="AI",'Start Here'!$B$7,'Start Here'!$B$8))=1,C3195&gt;=IF(Nonlabor!$E$15="Core",Nonlabor!$F$15,MAX(Nonlabor!$F$15,IF(Nonlabor!$E$15="AI",Assumptions!$E$24,Assumptions!$E$25))),C3195&lt;=Nonlabor!$G$15,OR(Nonlabor!$H$15="Monthly",AND(Nonlabor!$H$15="Once",C3195=IF(Nonlabor!$E$15="Core",Nonlabor!$F$15,MAX(Nonlabor!$F$15,IF(Nonlabor!$E$15="AI",Assumptions!$E$24,Assumptions!$E$25)))),AND(Nonlabor!$H$15="Annual",MOD(C3195-IF(Nonlabor!$E$15="Core",Nonlabor!$F$15,MAX(Nonlabor!$F$15,IF(Nonlabor!$E$15="AI",Assumptions!$E$24,Assumptions!$E$25))),12)=0))),IF(Nonlabor!$I$15="Fixed",1,IF(Nonlabor!$I$15="Seats",ROUNDUP('Monthly Growth'!I15,0),IF(Nonlabor!$I$15="Customers",'Monthly Growth'!D15,IF(Nonlabor!$I$15="NewCustomers",'Monthly Growth'!C15,IF(Nonlabor!$I$15="StorageGB",'Monthly Growth'!G15,IF(Nonlabor!$I$15="LogGB",'Monthly Growth'!H15,IF(Nonlabor!$I$15="RequestsM",'Monthly Growth'!F15,IF(Nonlabor!$I$15="InputM",'Monthly Growth'!D15*Assumptions!$E$22/1000000,IF(Nonlabor!$I$15="OutputM",'Monthly Growth'!D15*Assumptions!$E$23/1000000,0))))))))),0)</f>
        <v>0</v>
      </c>
      <c r="F3195" s="10" t="n">
        <f aca="false">Nonlabor!$J$15*(1+Assumptions!$E$9)^INT((C3195-1)/12)</f>
        <v>20000</v>
      </c>
      <c r="G3195" s="10" t="n">
        <f aca="false">E3195*F3195</f>
        <v>0</v>
      </c>
      <c r="H3195" s="10" t="n">
        <f aca="false">IF(OR(Nonlabor!$L$15="Quote required",Nonlabor!$L$15="Unverified"),G3195,0)</f>
        <v>0</v>
      </c>
      <c r="I3195" s="10" t="n">
        <f aca="false">IF(Nonlabor!$E$15="Core",0,G3195)</f>
        <v>0</v>
      </c>
      <c r="J3195" s="23" t="str">
        <f aca="false">Nonlabor!$B$15</f>
        <v>LEGAL</v>
      </c>
    </row>
    <row r="3196" customFormat="false" ht="15" hidden="false" customHeight="false" outlineLevel="0" collapsed="false">
      <c r="A3196" s="6" t="s">
        <v>73</v>
      </c>
      <c r="B3196" s="6" t="s">
        <v>402</v>
      </c>
      <c r="C3196" s="6" t="n">
        <v>11</v>
      </c>
      <c r="D3196" s="25" t="n">
        <f aca="false">EDATE('Start Here'!$B$6,C3196-1)</f>
        <v>46631</v>
      </c>
      <c r="E3196" s="23" t="n">
        <f aca="false">IF(AND(OR(Nonlabor!$D$15="Both",Nonlabor!$D$15='Start Here'!$B$9),IF(Nonlabor!$E$15="Core",1,IF(Nonlabor!$E$15="AI",'Start Here'!$B$7,'Start Here'!$B$8))=1,C3196&gt;=IF(Nonlabor!$E$15="Core",Nonlabor!$F$15,MAX(Nonlabor!$F$15,IF(Nonlabor!$E$15="AI",Assumptions!$E$24,Assumptions!$E$25))),C3196&lt;=Nonlabor!$G$15,OR(Nonlabor!$H$15="Monthly",AND(Nonlabor!$H$15="Once",C3196=IF(Nonlabor!$E$15="Core",Nonlabor!$F$15,MAX(Nonlabor!$F$15,IF(Nonlabor!$E$15="AI",Assumptions!$E$24,Assumptions!$E$25)))),AND(Nonlabor!$H$15="Annual",MOD(C3196-IF(Nonlabor!$E$15="Core",Nonlabor!$F$15,MAX(Nonlabor!$F$15,IF(Nonlabor!$E$15="AI",Assumptions!$E$24,Assumptions!$E$25))),12)=0))),IF(Nonlabor!$I$15="Fixed",1,IF(Nonlabor!$I$15="Seats",ROUNDUP('Monthly Growth'!I16,0),IF(Nonlabor!$I$15="Customers",'Monthly Growth'!D16,IF(Nonlabor!$I$15="NewCustomers",'Monthly Growth'!C16,IF(Nonlabor!$I$15="StorageGB",'Monthly Growth'!G16,IF(Nonlabor!$I$15="LogGB",'Monthly Growth'!H16,IF(Nonlabor!$I$15="RequestsM",'Monthly Growth'!F16,IF(Nonlabor!$I$15="InputM",'Monthly Growth'!D16*Assumptions!$E$22/1000000,IF(Nonlabor!$I$15="OutputM",'Monthly Growth'!D16*Assumptions!$E$23/1000000,0))))))))),0)</f>
        <v>0</v>
      </c>
      <c r="F3196" s="10" t="n">
        <f aca="false">Nonlabor!$J$15*(1+Assumptions!$E$9)^INT((C3196-1)/12)</f>
        <v>20000</v>
      </c>
      <c r="G3196" s="10" t="n">
        <f aca="false">E3196*F3196</f>
        <v>0</v>
      </c>
      <c r="H3196" s="10" t="n">
        <f aca="false">IF(OR(Nonlabor!$L$15="Quote required",Nonlabor!$L$15="Unverified"),G3196,0)</f>
        <v>0</v>
      </c>
      <c r="I3196" s="10" t="n">
        <f aca="false">IF(Nonlabor!$E$15="Core",0,G3196)</f>
        <v>0</v>
      </c>
      <c r="J3196" s="23" t="str">
        <f aca="false">Nonlabor!$B$15</f>
        <v>LEGAL</v>
      </c>
    </row>
    <row r="3197" customFormat="false" ht="15" hidden="false" customHeight="false" outlineLevel="0" collapsed="false">
      <c r="A3197" s="6" t="s">
        <v>73</v>
      </c>
      <c r="B3197" s="6" t="s">
        <v>402</v>
      </c>
      <c r="C3197" s="6" t="n">
        <v>12</v>
      </c>
      <c r="D3197" s="25" t="n">
        <f aca="false">EDATE('Start Here'!$B$6,C3197-1)</f>
        <v>46661</v>
      </c>
      <c r="E3197" s="23" t="n">
        <f aca="false">IF(AND(OR(Nonlabor!$D$15="Both",Nonlabor!$D$15='Start Here'!$B$9),IF(Nonlabor!$E$15="Core",1,IF(Nonlabor!$E$15="AI",'Start Here'!$B$7,'Start Here'!$B$8))=1,C3197&gt;=IF(Nonlabor!$E$15="Core",Nonlabor!$F$15,MAX(Nonlabor!$F$15,IF(Nonlabor!$E$15="AI",Assumptions!$E$24,Assumptions!$E$25))),C3197&lt;=Nonlabor!$G$15,OR(Nonlabor!$H$15="Monthly",AND(Nonlabor!$H$15="Once",C3197=IF(Nonlabor!$E$15="Core",Nonlabor!$F$15,MAX(Nonlabor!$F$15,IF(Nonlabor!$E$15="AI",Assumptions!$E$24,Assumptions!$E$25)))),AND(Nonlabor!$H$15="Annual",MOD(C3197-IF(Nonlabor!$E$15="Core",Nonlabor!$F$15,MAX(Nonlabor!$F$15,IF(Nonlabor!$E$15="AI",Assumptions!$E$24,Assumptions!$E$25))),12)=0))),IF(Nonlabor!$I$15="Fixed",1,IF(Nonlabor!$I$15="Seats",ROUNDUP('Monthly Growth'!I17,0),IF(Nonlabor!$I$15="Customers",'Monthly Growth'!D17,IF(Nonlabor!$I$15="NewCustomers",'Monthly Growth'!C17,IF(Nonlabor!$I$15="StorageGB",'Monthly Growth'!G17,IF(Nonlabor!$I$15="LogGB",'Monthly Growth'!H17,IF(Nonlabor!$I$15="RequestsM",'Monthly Growth'!F17,IF(Nonlabor!$I$15="InputM",'Monthly Growth'!D17*Assumptions!$E$22/1000000,IF(Nonlabor!$I$15="OutputM",'Monthly Growth'!D17*Assumptions!$E$23/1000000,0))))))))),0)</f>
        <v>0</v>
      </c>
      <c r="F3197" s="10" t="n">
        <f aca="false">Nonlabor!$J$15*(1+Assumptions!$E$9)^INT((C3197-1)/12)</f>
        <v>20000</v>
      </c>
      <c r="G3197" s="10" t="n">
        <f aca="false">E3197*F3197</f>
        <v>0</v>
      </c>
      <c r="H3197" s="10" t="n">
        <f aca="false">IF(OR(Nonlabor!$L$15="Quote required",Nonlabor!$L$15="Unverified"),G3197,0)</f>
        <v>0</v>
      </c>
      <c r="I3197" s="10" t="n">
        <f aca="false">IF(Nonlabor!$E$15="Core",0,G3197)</f>
        <v>0</v>
      </c>
      <c r="J3197" s="23" t="str">
        <f aca="false">Nonlabor!$B$15</f>
        <v>LEGAL</v>
      </c>
    </row>
    <row r="3198" customFormat="false" ht="15" hidden="false" customHeight="false" outlineLevel="0" collapsed="false">
      <c r="A3198" s="6" t="s">
        <v>73</v>
      </c>
      <c r="B3198" s="6" t="s">
        <v>402</v>
      </c>
      <c r="C3198" s="6" t="n">
        <v>13</v>
      </c>
      <c r="D3198" s="25" t="n">
        <f aca="false">EDATE('Start Here'!$B$6,C3198-1)</f>
        <v>46692</v>
      </c>
      <c r="E3198" s="23" t="n">
        <f aca="false">IF(AND(OR(Nonlabor!$D$15="Both",Nonlabor!$D$15='Start Here'!$B$9),IF(Nonlabor!$E$15="Core",1,IF(Nonlabor!$E$15="AI",'Start Here'!$B$7,'Start Here'!$B$8))=1,C3198&gt;=IF(Nonlabor!$E$15="Core",Nonlabor!$F$15,MAX(Nonlabor!$F$15,IF(Nonlabor!$E$15="AI",Assumptions!$E$24,Assumptions!$E$25))),C3198&lt;=Nonlabor!$G$15,OR(Nonlabor!$H$15="Monthly",AND(Nonlabor!$H$15="Once",C3198=IF(Nonlabor!$E$15="Core",Nonlabor!$F$15,MAX(Nonlabor!$F$15,IF(Nonlabor!$E$15="AI",Assumptions!$E$24,Assumptions!$E$25)))),AND(Nonlabor!$H$15="Annual",MOD(C3198-IF(Nonlabor!$E$15="Core",Nonlabor!$F$15,MAX(Nonlabor!$F$15,IF(Nonlabor!$E$15="AI",Assumptions!$E$24,Assumptions!$E$25))),12)=0))),IF(Nonlabor!$I$15="Fixed",1,IF(Nonlabor!$I$15="Seats",ROUNDUP('Monthly Growth'!I18,0),IF(Nonlabor!$I$15="Customers",'Monthly Growth'!D18,IF(Nonlabor!$I$15="NewCustomers",'Monthly Growth'!C18,IF(Nonlabor!$I$15="StorageGB",'Monthly Growth'!G18,IF(Nonlabor!$I$15="LogGB",'Monthly Growth'!H18,IF(Nonlabor!$I$15="RequestsM",'Monthly Growth'!F18,IF(Nonlabor!$I$15="InputM",'Monthly Growth'!D18*Assumptions!$E$22/1000000,IF(Nonlabor!$I$15="OutputM",'Monthly Growth'!D18*Assumptions!$E$23/1000000,0))))))))),0)</f>
        <v>0</v>
      </c>
      <c r="F3198" s="10" t="n">
        <f aca="false">Nonlabor!$J$15*(1+Assumptions!$E$9)^INT((C3198-1)/12)</f>
        <v>20800</v>
      </c>
      <c r="G3198" s="10" t="n">
        <f aca="false">E3198*F3198</f>
        <v>0</v>
      </c>
      <c r="H3198" s="10" t="n">
        <f aca="false">IF(OR(Nonlabor!$L$15="Quote required",Nonlabor!$L$15="Unverified"),G3198,0)</f>
        <v>0</v>
      </c>
      <c r="I3198" s="10" t="n">
        <f aca="false">IF(Nonlabor!$E$15="Core",0,G3198)</f>
        <v>0</v>
      </c>
      <c r="J3198" s="23" t="str">
        <f aca="false">Nonlabor!$B$15</f>
        <v>LEGAL</v>
      </c>
    </row>
    <row r="3199" customFormat="false" ht="15" hidden="false" customHeight="false" outlineLevel="0" collapsed="false">
      <c r="A3199" s="6" t="s">
        <v>73</v>
      </c>
      <c r="B3199" s="6" t="s">
        <v>402</v>
      </c>
      <c r="C3199" s="6" t="n">
        <v>14</v>
      </c>
      <c r="D3199" s="25" t="n">
        <f aca="false">EDATE('Start Here'!$B$6,C3199-1)</f>
        <v>46722</v>
      </c>
      <c r="E3199" s="23" t="n">
        <f aca="false">IF(AND(OR(Nonlabor!$D$15="Both",Nonlabor!$D$15='Start Here'!$B$9),IF(Nonlabor!$E$15="Core",1,IF(Nonlabor!$E$15="AI",'Start Here'!$B$7,'Start Here'!$B$8))=1,C3199&gt;=IF(Nonlabor!$E$15="Core",Nonlabor!$F$15,MAX(Nonlabor!$F$15,IF(Nonlabor!$E$15="AI",Assumptions!$E$24,Assumptions!$E$25))),C3199&lt;=Nonlabor!$G$15,OR(Nonlabor!$H$15="Monthly",AND(Nonlabor!$H$15="Once",C3199=IF(Nonlabor!$E$15="Core",Nonlabor!$F$15,MAX(Nonlabor!$F$15,IF(Nonlabor!$E$15="AI",Assumptions!$E$24,Assumptions!$E$25)))),AND(Nonlabor!$H$15="Annual",MOD(C3199-IF(Nonlabor!$E$15="Core",Nonlabor!$F$15,MAX(Nonlabor!$F$15,IF(Nonlabor!$E$15="AI",Assumptions!$E$24,Assumptions!$E$25))),12)=0))),IF(Nonlabor!$I$15="Fixed",1,IF(Nonlabor!$I$15="Seats",ROUNDUP('Monthly Growth'!I19,0),IF(Nonlabor!$I$15="Customers",'Monthly Growth'!D19,IF(Nonlabor!$I$15="NewCustomers",'Monthly Growth'!C19,IF(Nonlabor!$I$15="StorageGB",'Monthly Growth'!G19,IF(Nonlabor!$I$15="LogGB",'Monthly Growth'!H19,IF(Nonlabor!$I$15="RequestsM",'Monthly Growth'!F19,IF(Nonlabor!$I$15="InputM",'Monthly Growth'!D19*Assumptions!$E$22/1000000,IF(Nonlabor!$I$15="OutputM",'Monthly Growth'!D19*Assumptions!$E$23/1000000,0))))))))),0)</f>
        <v>0</v>
      </c>
      <c r="F3199" s="10" t="n">
        <f aca="false">Nonlabor!$J$15*(1+Assumptions!$E$9)^INT((C3199-1)/12)</f>
        <v>20800</v>
      </c>
      <c r="G3199" s="10" t="n">
        <f aca="false">E3199*F3199</f>
        <v>0</v>
      </c>
      <c r="H3199" s="10" t="n">
        <f aca="false">IF(OR(Nonlabor!$L$15="Quote required",Nonlabor!$L$15="Unverified"),G3199,0)</f>
        <v>0</v>
      </c>
      <c r="I3199" s="10" t="n">
        <f aca="false">IF(Nonlabor!$E$15="Core",0,G3199)</f>
        <v>0</v>
      </c>
      <c r="J3199" s="23" t="str">
        <f aca="false">Nonlabor!$B$15</f>
        <v>LEGAL</v>
      </c>
    </row>
    <row r="3200" customFormat="false" ht="15" hidden="false" customHeight="false" outlineLevel="0" collapsed="false">
      <c r="A3200" s="6" t="s">
        <v>73</v>
      </c>
      <c r="B3200" s="6" t="s">
        <v>402</v>
      </c>
      <c r="C3200" s="6" t="n">
        <v>15</v>
      </c>
      <c r="D3200" s="25" t="n">
        <f aca="false">EDATE('Start Here'!$B$6,C3200-1)</f>
        <v>46753</v>
      </c>
      <c r="E3200" s="23" t="n">
        <f aca="false">IF(AND(OR(Nonlabor!$D$15="Both",Nonlabor!$D$15='Start Here'!$B$9),IF(Nonlabor!$E$15="Core",1,IF(Nonlabor!$E$15="AI",'Start Here'!$B$7,'Start Here'!$B$8))=1,C3200&gt;=IF(Nonlabor!$E$15="Core",Nonlabor!$F$15,MAX(Nonlabor!$F$15,IF(Nonlabor!$E$15="AI",Assumptions!$E$24,Assumptions!$E$25))),C3200&lt;=Nonlabor!$G$15,OR(Nonlabor!$H$15="Monthly",AND(Nonlabor!$H$15="Once",C3200=IF(Nonlabor!$E$15="Core",Nonlabor!$F$15,MAX(Nonlabor!$F$15,IF(Nonlabor!$E$15="AI",Assumptions!$E$24,Assumptions!$E$25)))),AND(Nonlabor!$H$15="Annual",MOD(C3200-IF(Nonlabor!$E$15="Core",Nonlabor!$F$15,MAX(Nonlabor!$F$15,IF(Nonlabor!$E$15="AI",Assumptions!$E$24,Assumptions!$E$25))),12)=0))),IF(Nonlabor!$I$15="Fixed",1,IF(Nonlabor!$I$15="Seats",ROUNDUP('Monthly Growth'!I20,0),IF(Nonlabor!$I$15="Customers",'Monthly Growth'!D20,IF(Nonlabor!$I$15="NewCustomers",'Monthly Growth'!C20,IF(Nonlabor!$I$15="StorageGB",'Monthly Growth'!G20,IF(Nonlabor!$I$15="LogGB",'Monthly Growth'!H20,IF(Nonlabor!$I$15="RequestsM",'Monthly Growth'!F20,IF(Nonlabor!$I$15="InputM",'Monthly Growth'!D20*Assumptions!$E$22/1000000,IF(Nonlabor!$I$15="OutputM",'Monthly Growth'!D20*Assumptions!$E$23/1000000,0))))))))),0)</f>
        <v>0</v>
      </c>
      <c r="F3200" s="10" t="n">
        <f aca="false">Nonlabor!$J$15*(1+Assumptions!$E$9)^INT((C3200-1)/12)</f>
        <v>20800</v>
      </c>
      <c r="G3200" s="10" t="n">
        <f aca="false">E3200*F3200</f>
        <v>0</v>
      </c>
      <c r="H3200" s="10" t="n">
        <f aca="false">IF(OR(Nonlabor!$L$15="Quote required",Nonlabor!$L$15="Unverified"),G3200,0)</f>
        <v>0</v>
      </c>
      <c r="I3200" s="10" t="n">
        <f aca="false">IF(Nonlabor!$E$15="Core",0,G3200)</f>
        <v>0</v>
      </c>
      <c r="J3200" s="23" t="str">
        <f aca="false">Nonlabor!$B$15</f>
        <v>LEGAL</v>
      </c>
    </row>
    <row r="3201" customFormat="false" ht="15" hidden="false" customHeight="false" outlineLevel="0" collapsed="false">
      <c r="A3201" s="6" t="s">
        <v>73</v>
      </c>
      <c r="B3201" s="6" t="s">
        <v>402</v>
      </c>
      <c r="C3201" s="6" t="n">
        <v>16</v>
      </c>
      <c r="D3201" s="25" t="n">
        <f aca="false">EDATE('Start Here'!$B$6,C3201-1)</f>
        <v>46784</v>
      </c>
      <c r="E3201" s="23" t="n">
        <f aca="false">IF(AND(OR(Nonlabor!$D$15="Both",Nonlabor!$D$15='Start Here'!$B$9),IF(Nonlabor!$E$15="Core",1,IF(Nonlabor!$E$15="AI",'Start Here'!$B$7,'Start Here'!$B$8))=1,C3201&gt;=IF(Nonlabor!$E$15="Core",Nonlabor!$F$15,MAX(Nonlabor!$F$15,IF(Nonlabor!$E$15="AI",Assumptions!$E$24,Assumptions!$E$25))),C3201&lt;=Nonlabor!$G$15,OR(Nonlabor!$H$15="Monthly",AND(Nonlabor!$H$15="Once",C3201=IF(Nonlabor!$E$15="Core",Nonlabor!$F$15,MAX(Nonlabor!$F$15,IF(Nonlabor!$E$15="AI",Assumptions!$E$24,Assumptions!$E$25)))),AND(Nonlabor!$H$15="Annual",MOD(C3201-IF(Nonlabor!$E$15="Core",Nonlabor!$F$15,MAX(Nonlabor!$F$15,IF(Nonlabor!$E$15="AI",Assumptions!$E$24,Assumptions!$E$25))),12)=0))),IF(Nonlabor!$I$15="Fixed",1,IF(Nonlabor!$I$15="Seats",ROUNDUP('Monthly Growth'!I21,0),IF(Nonlabor!$I$15="Customers",'Monthly Growth'!D21,IF(Nonlabor!$I$15="NewCustomers",'Monthly Growth'!C21,IF(Nonlabor!$I$15="StorageGB",'Monthly Growth'!G21,IF(Nonlabor!$I$15="LogGB",'Monthly Growth'!H21,IF(Nonlabor!$I$15="RequestsM",'Monthly Growth'!F21,IF(Nonlabor!$I$15="InputM",'Monthly Growth'!D21*Assumptions!$E$22/1000000,IF(Nonlabor!$I$15="OutputM",'Monthly Growth'!D21*Assumptions!$E$23/1000000,0))))))))),0)</f>
        <v>0</v>
      </c>
      <c r="F3201" s="10" t="n">
        <f aca="false">Nonlabor!$J$15*(1+Assumptions!$E$9)^INT((C3201-1)/12)</f>
        <v>20800</v>
      </c>
      <c r="G3201" s="10" t="n">
        <f aca="false">E3201*F3201</f>
        <v>0</v>
      </c>
      <c r="H3201" s="10" t="n">
        <f aca="false">IF(OR(Nonlabor!$L$15="Quote required",Nonlabor!$L$15="Unverified"),G3201,0)</f>
        <v>0</v>
      </c>
      <c r="I3201" s="10" t="n">
        <f aca="false">IF(Nonlabor!$E$15="Core",0,G3201)</f>
        <v>0</v>
      </c>
      <c r="J3201" s="23" t="str">
        <f aca="false">Nonlabor!$B$15</f>
        <v>LEGAL</v>
      </c>
    </row>
    <row r="3202" customFormat="false" ht="15" hidden="false" customHeight="false" outlineLevel="0" collapsed="false">
      <c r="A3202" s="6" t="s">
        <v>73</v>
      </c>
      <c r="B3202" s="6" t="s">
        <v>402</v>
      </c>
      <c r="C3202" s="6" t="n">
        <v>17</v>
      </c>
      <c r="D3202" s="25" t="n">
        <f aca="false">EDATE('Start Here'!$B$6,C3202-1)</f>
        <v>46813</v>
      </c>
      <c r="E3202" s="23" t="n">
        <f aca="false">IF(AND(OR(Nonlabor!$D$15="Both",Nonlabor!$D$15='Start Here'!$B$9),IF(Nonlabor!$E$15="Core",1,IF(Nonlabor!$E$15="AI",'Start Here'!$B$7,'Start Here'!$B$8))=1,C3202&gt;=IF(Nonlabor!$E$15="Core",Nonlabor!$F$15,MAX(Nonlabor!$F$15,IF(Nonlabor!$E$15="AI",Assumptions!$E$24,Assumptions!$E$25))),C3202&lt;=Nonlabor!$G$15,OR(Nonlabor!$H$15="Monthly",AND(Nonlabor!$H$15="Once",C3202=IF(Nonlabor!$E$15="Core",Nonlabor!$F$15,MAX(Nonlabor!$F$15,IF(Nonlabor!$E$15="AI",Assumptions!$E$24,Assumptions!$E$25)))),AND(Nonlabor!$H$15="Annual",MOD(C3202-IF(Nonlabor!$E$15="Core",Nonlabor!$F$15,MAX(Nonlabor!$F$15,IF(Nonlabor!$E$15="AI",Assumptions!$E$24,Assumptions!$E$25))),12)=0))),IF(Nonlabor!$I$15="Fixed",1,IF(Nonlabor!$I$15="Seats",ROUNDUP('Monthly Growth'!I22,0),IF(Nonlabor!$I$15="Customers",'Monthly Growth'!D22,IF(Nonlabor!$I$15="NewCustomers",'Monthly Growth'!C22,IF(Nonlabor!$I$15="StorageGB",'Monthly Growth'!G22,IF(Nonlabor!$I$15="LogGB",'Monthly Growth'!H22,IF(Nonlabor!$I$15="RequestsM",'Monthly Growth'!F22,IF(Nonlabor!$I$15="InputM",'Monthly Growth'!D22*Assumptions!$E$22/1000000,IF(Nonlabor!$I$15="OutputM",'Monthly Growth'!D22*Assumptions!$E$23/1000000,0))))))))),0)</f>
        <v>0</v>
      </c>
      <c r="F3202" s="10" t="n">
        <f aca="false">Nonlabor!$J$15*(1+Assumptions!$E$9)^INT((C3202-1)/12)</f>
        <v>20800</v>
      </c>
      <c r="G3202" s="10" t="n">
        <f aca="false">E3202*F3202</f>
        <v>0</v>
      </c>
      <c r="H3202" s="10" t="n">
        <f aca="false">IF(OR(Nonlabor!$L$15="Quote required",Nonlabor!$L$15="Unverified"),G3202,0)</f>
        <v>0</v>
      </c>
      <c r="I3202" s="10" t="n">
        <f aca="false">IF(Nonlabor!$E$15="Core",0,G3202)</f>
        <v>0</v>
      </c>
      <c r="J3202" s="23" t="str">
        <f aca="false">Nonlabor!$B$15</f>
        <v>LEGAL</v>
      </c>
    </row>
    <row r="3203" customFormat="false" ht="15" hidden="false" customHeight="false" outlineLevel="0" collapsed="false">
      <c r="A3203" s="6" t="s">
        <v>73</v>
      </c>
      <c r="B3203" s="6" t="s">
        <v>402</v>
      </c>
      <c r="C3203" s="6" t="n">
        <v>18</v>
      </c>
      <c r="D3203" s="25" t="n">
        <f aca="false">EDATE('Start Here'!$B$6,C3203-1)</f>
        <v>46844</v>
      </c>
      <c r="E3203" s="23" t="n">
        <f aca="false">IF(AND(OR(Nonlabor!$D$15="Both",Nonlabor!$D$15='Start Here'!$B$9),IF(Nonlabor!$E$15="Core",1,IF(Nonlabor!$E$15="AI",'Start Here'!$B$7,'Start Here'!$B$8))=1,C3203&gt;=IF(Nonlabor!$E$15="Core",Nonlabor!$F$15,MAX(Nonlabor!$F$15,IF(Nonlabor!$E$15="AI",Assumptions!$E$24,Assumptions!$E$25))),C3203&lt;=Nonlabor!$G$15,OR(Nonlabor!$H$15="Monthly",AND(Nonlabor!$H$15="Once",C3203=IF(Nonlabor!$E$15="Core",Nonlabor!$F$15,MAX(Nonlabor!$F$15,IF(Nonlabor!$E$15="AI",Assumptions!$E$24,Assumptions!$E$25)))),AND(Nonlabor!$H$15="Annual",MOD(C3203-IF(Nonlabor!$E$15="Core",Nonlabor!$F$15,MAX(Nonlabor!$F$15,IF(Nonlabor!$E$15="AI",Assumptions!$E$24,Assumptions!$E$25))),12)=0))),IF(Nonlabor!$I$15="Fixed",1,IF(Nonlabor!$I$15="Seats",ROUNDUP('Monthly Growth'!I23,0),IF(Nonlabor!$I$15="Customers",'Monthly Growth'!D23,IF(Nonlabor!$I$15="NewCustomers",'Monthly Growth'!C23,IF(Nonlabor!$I$15="StorageGB",'Monthly Growth'!G23,IF(Nonlabor!$I$15="LogGB",'Monthly Growth'!H23,IF(Nonlabor!$I$15="RequestsM",'Monthly Growth'!F23,IF(Nonlabor!$I$15="InputM",'Monthly Growth'!D23*Assumptions!$E$22/1000000,IF(Nonlabor!$I$15="OutputM",'Monthly Growth'!D23*Assumptions!$E$23/1000000,0))))))))),0)</f>
        <v>0</v>
      </c>
      <c r="F3203" s="10" t="n">
        <f aca="false">Nonlabor!$J$15*(1+Assumptions!$E$9)^INT((C3203-1)/12)</f>
        <v>20800</v>
      </c>
      <c r="G3203" s="10" t="n">
        <f aca="false">E3203*F3203</f>
        <v>0</v>
      </c>
      <c r="H3203" s="10" t="n">
        <f aca="false">IF(OR(Nonlabor!$L$15="Quote required",Nonlabor!$L$15="Unverified"),G3203,0)</f>
        <v>0</v>
      </c>
      <c r="I3203" s="10" t="n">
        <f aca="false">IF(Nonlabor!$E$15="Core",0,G3203)</f>
        <v>0</v>
      </c>
      <c r="J3203" s="23" t="str">
        <f aca="false">Nonlabor!$B$15</f>
        <v>LEGAL</v>
      </c>
    </row>
    <row r="3204" customFormat="false" ht="15" hidden="false" customHeight="false" outlineLevel="0" collapsed="false">
      <c r="A3204" s="6" t="s">
        <v>73</v>
      </c>
      <c r="B3204" s="6" t="s">
        <v>402</v>
      </c>
      <c r="C3204" s="6" t="n">
        <v>19</v>
      </c>
      <c r="D3204" s="25" t="n">
        <f aca="false">EDATE('Start Here'!$B$6,C3204-1)</f>
        <v>46874</v>
      </c>
      <c r="E3204" s="23" t="n">
        <f aca="false">IF(AND(OR(Nonlabor!$D$15="Both",Nonlabor!$D$15='Start Here'!$B$9),IF(Nonlabor!$E$15="Core",1,IF(Nonlabor!$E$15="AI",'Start Here'!$B$7,'Start Here'!$B$8))=1,C3204&gt;=IF(Nonlabor!$E$15="Core",Nonlabor!$F$15,MAX(Nonlabor!$F$15,IF(Nonlabor!$E$15="AI",Assumptions!$E$24,Assumptions!$E$25))),C3204&lt;=Nonlabor!$G$15,OR(Nonlabor!$H$15="Monthly",AND(Nonlabor!$H$15="Once",C3204=IF(Nonlabor!$E$15="Core",Nonlabor!$F$15,MAX(Nonlabor!$F$15,IF(Nonlabor!$E$15="AI",Assumptions!$E$24,Assumptions!$E$25)))),AND(Nonlabor!$H$15="Annual",MOD(C3204-IF(Nonlabor!$E$15="Core",Nonlabor!$F$15,MAX(Nonlabor!$F$15,IF(Nonlabor!$E$15="AI",Assumptions!$E$24,Assumptions!$E$25))),12)=0))),IF(Nonlabor!$I$15="Fixed",1,IF(Nonlabor!$I$15="Seats",ROUNDUP('Monthly Growth'!I24,0),IF(Nonlabor!$I$15="Customers",'Monthly Growth'!D24,IF(Nonlabor!$I$15="NewCustomers",'Monthly Growth'!C24,IF(Nonlabor!$I$15="StorageGB",'Monthly Growth'!G24,IF(Nonlabor!$I$15="LogGB",'Monthly Growth'!H24,IF(Nonlabor!$I$15="RequestsM",'Monthly Growth'!F24,IF(Nonlabor!$I$15="InputM",'Monthly Growth'!D24*Assumptions!$E$22/1000000,IF(Nonlabor!$I$15="OutputM",'Monthly Growth'!D24*Assumptions!$E$23/1000000,0))))))))),0)</f>
        <v>0</v>
      </c>
      <c r="F3204" s="10" t="n">
        <f aca="false">Nonlabor!$J$15*(1+Assumptions!$E$9)^INT((C3204-1)/12)</f>
        <v>20800</v>
      </c>
      <c r="G3204" s="10" t="n">
        <f aca="false">E3204*F3204</f>
        <v>0</v>
      </c>
      <c r="H3204" s="10" t="n">
        <f aca="false">IF(OR(Nonlabor!$L$15="Quote required",Nonlabor!$L$15="Unverified"),G3204,0)</f>
        <v>0</v>
      </c>
      <c r="I3204" s="10" t="n">
        <f aca="false">IF(Nonlabor!$E$15="Core",0,G3204)</f>
        <v>0</v>
      </c>
      <c r="J3204" s="23" t="str">
        <f aca="false">Nonlabor!$B$15</f>
        <v>LEGAL</v>
      </c>
    </row>
    <row r="3205" customFormat="false" ht="15" hidden="false" customHeight="false" outlineLevel="0" collapsed="false">
      <c r="A3205" s="6" t="s">
        <v>73</v>
      </c>
      <c r="B3205" s="6" t="s">
        <v>402</v>
      </c>
      <c r="C3205" s="6" t="n">
        <v>20</v>
      </c>
      <c r="D3205" s="25" t="n">
        <f aca="false">EDATE('Start Here'!$B$6,C3205-1)</f>
        <v>46905</v>
      </c>
      <c r="E3205" s="23" t="n">
        <f aca="false">IF(AND(OR(Nonlabor!$D$15="Both",Nonlabor!$D$15='Start Here'!$B$9),IF(Nonlabor!$E$15="Core",1,IF(Nonlabor!$E$15="AI",'Start Here'!$B$7,'Start Here'!$B$8))=1,C3205&gt;=IF(Nonlabor!$E$15="Core",Nonlabor!$F$15,MAX(Nonlabor!$F$15,IF(Nonlabor!$E$15="AI",Assumptions!$E$24,Assumptions!$E$25))),C3205&lt;=Nonlabor!$G$15,OR(Nonlabor!$H$15="Monthly",AND(Nonlabor!$H$15="Once",C3205=IF(Nonlabor!$E$15="Core",Nonlabor!$F$15,MAX(Nonlabor!$F$15,IF(Nonlabor!$E$15="AI",Assumptions!$E$24,Assumptions!$E$25)))),AND(Nonlabor!$H$15="Annual",MOD(C3205-IF(Nonlabor!$E$15="Core",Nonlabor!$F$15,MAX(Nonlabor!$F$15,IF(Nonlabor!$E$15="AI",Assumptions!$E$24,Assumptions!$E$25))),12)=0))),IF(Nonlabor!$I$15="Fixed",1,IF(Nonlabor!$I$15="Seats",ROUNDUP('Monthly Growth'!I25,0),IF(Nonlabor!$I$15="Customers",'Monthly Growth'!D25,IF(Nonlabor!$I$15="NewCustomers",'Monthly Growth'!C25,IF(Nonlabor!$I$15="StorageGB",'Monthly Growth'!G25,IF(Nonlabor!$I$15="LogGB",'Monthly Growth'!H25,IF(Nonlabor!$I$15="RequestsM",'Monthly Growth'!F25,IF(Nonlabor!$I$15="InputM",'Monthly Growth'!D25*Assumptions!$E$22/1000000,IF(Nonlabor!$I$15="OutputM",'Monthly Growth'!D25*Assumptions!$E$23/1000000,0))))))))),0)</f>
        <v>0</v>
      </c>
      <c r="F3205" s="10" t="n">
        <f aca="false">Nonlabor!$J$15*(1+Assumptions!$E$9)^INT((C3205-1)/12)</f>
        <v>20800</v>
      </c>
      <c r="G3205" s="10" t="n">
        <f aca="false">E3205*F3205</f>
        <v>0</v>
      </c>
      <c r="H3205" s="10" t="n">
        <f aca="false">IF(OR(Nonlabor!$L$15="Quote required",Nonlabor!$L$15="Unverified"),G3205,0)</f>
        <v>0</v>
      </c>
      <c r="I3205" s="10" t="n">
        <f aca="false">IF(Nonlabor!$E$15="Core",0,G3205)</f>
        <v>0</v>
      </c>
      <c r="J3205" s="23" t="str">
        <f aca="false">Nonlabor!$B$15</f>
        <v>LEGAL</v>
      </c>
    </row>
    <row r="3206" customFormat="false" ht="15" hidden="false" customHeight="false" outlineLevel="0" collapsed="false">
      <c r="A3206" s="6" t="s">
        <v>73</v>
      </c>
      <c r="B3206" s="6" t="s">
        <v>402</v>
      </c>
      <c r="C3206" s="6" t="n">
        <v>21</v>
      </c>
      <c r="D3206" s="25" t="n">
        <f aca="false">EDATE('Start Here'!$B$6,C3206-1)</f>
        <v>46935</v>
      </c>
      <c r="E3206" s="23" t="n">
        <f aca="false">IF(AND(OR(Nonlabor!$D$15="Both",Nonlabor!$D$15='Start Here'!$B$9),IF(Nonlabor!$E$15="Core",1,IF(Nonlabor!$E$15="AI",'Start Here'!$B$7,'Start Here'!$B$8))=1,C3206&gt;=IF(Nonlabor!$E$15="Core",Nonlabor!$F$15,MAX(Nonlabor!$F$15,IF(Nonlabor!$E$15="AI",Assumptions!$E$24,Assumptions!$E$25))),C3206&lt;=Nonlabor!$G$15,OR(Nonlabor!$H$15="Monthly",AND(Nonlabor!$H$15="Once",C3206=IF(Nonlabor!$E$15="Core",Nonlabor!$F$15,MAX(Nonlabor!$F$15,IF(Nonlabor!$E$15="AI",Assumptions!$E$24,Assumptions!$E$25)))),AND(Nonlabor!$H$15="Annual",MOD(C3206-IF(Nonlabor!$E$15="Core",Nonlabor!$F$15,MAX(Nonlabor!$F$15,IF(Nonlabor!$E$15="AI",Assumptions!$E$24,Assumptions!$E$25))),12)=0))),IF(Nonlabor!$I$15="Fixed",1,IF(Nonlabor!$I$15="Seats",ROUNDUP('Monthly Growth'!I26,0),IF(Nonlabor!$I$15="Customers",'Monthly Growth'!D26,IF(Nonlabor!$I$15="NewCustomers",'Monthly Growth'!C26,IF(Nonlabor!$I$15="StorageGB",'Monthly Growth'!G26,IF(Nonlabor!$I$15="LogGB",'Monthly Growth'!H26,IF(Nonlabor!$I$15="RequestsM",'Monthly Growth'!F26,IF(Nonlabor!$I$15="InputM",'Monthly Growth'!D26*Assumptions!$E$22/1000000,IF(Nonlabor!$I$15="OutputM",'Monthly Growth'!D26*Assumptions!$E$23/1000000,0))))))))),0)</f>
        <v>0</v>
      </c>
      <c r="F3206" s="10" t="n">
        <f aca="false">Nonlabor!$J$15*(1+Assumptions!$E$9)^INT((C3206-1)/12)</f>
        <v>20800</v>
      </c>
      <c r="G3206" s="10" t="n">
        <f aca="false">E3206*F3206</f>
        <v>0</v>
      </c>
      <c r="H3206" s="10" t="n">
        <f aca="false">IF(OR(Nonlabor!$L$15="Quote required",Nonlabor!$L$15="Unverified"),G3206,0)</f>
        <v>0</v>
      </c>
      <c r="I3206" s="10" t="n">
        <f aca="false">IF(Nonlabor!$E$15="Core",0,G3206)</f>
        <v>0</v>
      </c>
      <c r="J3206" s="23" t="str">
        <f aca="false">Nonlabor!$B$15</f>
        <v>LEGAL</v>
      </c>
    </row>
    <row r="3207" customFormat="false" ht="15" hidden="false" customHeight="false" outlineLevel="0" collapsed="false">
      <c r="A3207" s="6" t="s">
        <v>73</v>
      </c>
      <c r="B3207" s="6" t="s">
        <v>402</v>
      </c>
      <c r="C3207" s="6" t="n">
        <v>22</v>
      </c>
      <c r="D3207" s="25" t="n">
        <f aca="false">EDATE('Start Here'!$B$6,C3207-1)</f>
        <v>46966</v>
      </c>
      <c r="E3207" s="23" t="n">
        <f aca="false">IF(AND(OR(Nonlabor!$D$15="Both",Nonlabor!$D$15='Start Here'!$B$9),IF(Nonlabor!$E$15="Core",1,IF(Nonlabor!$E$15="AI",'Start Here'!$B$7,'Start Here'!$B$8))=1,C3207&gt;=IF(Nonlabor!$E$15="Core",Nonlabor!$F$15,MAX(Nonlabor!$F$15,IF(Nonlabor!$E$15="AI",Assumptions!$E$24,Assumptions!$E$25))),C3207&lt;=Nonlabor!$G$15,OR(Nonlabor!$H$15="Monthly",AND(Nonlabor!$H$15="Once",C3207=IF(Nonlabor!$E$15="Core",Nonlabor!$F$15,MAX(Nonlabor!$F$15,IF(Nonlabor!$E$15="AI",Assumptions!$E$24,Assumptions!$E$25)))),AND(Nonlabor!$H$15="Annual",MOD(C3207-IF(Nonlabor!$E$15="Core",Nonlabor!$F$15,MAX(Nonlabor!$F$15,IF(Nonlabor!$E$15="AI",Assumptions!$E$24,Assumptions!$E$25))),12)=0))),IF(Nonlabor!$I$15="Fixed",1,IF(Nonlabor!$I$15="Seats",ROUNDUP('Monthly Growth'!I27,0),IF(Nonlabor!$I$15="Customers",'Monthly Growth'!D27,IF(Nonlabor!$I$15="NewCustomers",'Monthly Growth'!C27,IF(Nonlabor!$I$15="StorageGB",'Monthly Growth'!G27,IF(Nonlabor!$I$15="LogGB",'Monthly Growth'!H27,IF(Nonlabor!$I$15="RequestsM",'Monthly Growth'!F27,IF(Nonlabor!$I$15="InputM",'Monthly Growth'!D27*Assumptions!$E$22/1000000,IF(Nonlabor!$I$15="OutputM",'Monthly Growth'!D27*Assumptions!$E$23/1000000,0))))))))),0)</f>
        <v>0</v>
      </c>
      <c r="F3207" s="10" t="n">
        <f aca="false">Nonlabor!$J$15*(1+Assumptions!$E$9)^INT((C3207-1)/12)</f>
        <v>20800</v>
      </c>
      <c r="G3207" s="10" t="n">
        <f aca="false">E3207*F3207</f>
        <v>0</v>
      </c>
      <c r="H3207" s="10" t="n">
        <f aca="false">IF(OR(Nonlabor!$L$15="Quote required",Nonlabor!$L$15="Unverified"),G3207,0)</f>
        <v>0</v>
      </c>
      <c r="I3207" s="10" t="n">
        <f aca="false">IF(Nonlabor!$E$15="Core",0,G3207)</f>
        <v>0</v>
      </c>
      <c r="J3207" s="23" t="str">
        <f aca="false">Nonlabor!$B$15</f>
        <v>LEGAL</v>
      </c>
    </row>
    <row r="3208" customFormat="false" ht="15" hidden="false" customHeight="false" outlineLevel="0" collapsed="false">
      <c r="A3208" s="6" t="s">
        <v>73</v>
      </c>
      <c r="B3208" s="6" t="s">
        <v>402</v>
      </c>
      <c r="C3208" s="6" t="n">
        <v>23</v>
      </c>
      <c r="D3208" s="25" t="n">
        <f aca="false">EDATE('Start Here'!$B$6,C3208-1)</f>
        <v>46997</v>
      </c>
      <c r="E3208" s="23" t="n">
        <f aca="false">IF(AND(OR(Nonlabor!$D$15="Both",Nonlabor!$D$15='Start Here'!$B$9),IF(Nonlabor!$E$15="Core",1,IF(Nonlabor!$E$15="AI",'Start Here'!$B$7,'Start Here'!$B$8))=1,C3208&gt;=IF(Nonlabor!$E$15="Core",Nonlabor!$F$15,MAX(Nonlabor!$F$15,IF(Nonlabor!$E$15="AI",Assumptions!$E$24,Assumptions!$E$25))),C3208&lt;=Nonlabor!$G$15,OR(Nonlabor!$H$15="Monthly",AND(Nonlabor!$H$15="Once",C3208=IF(Nonlabor!$E$15="Core",Nonlabor!$F$15,MAX(Nonlabor!$F$15,IF(Nonlabor!$E$15="AI",Assumptions!$E$24,Assumptions!$E$25)))),AND(Nonlabor!$H$15="Annual",MOD(C3208-IF(Nonlabor!$E$15="Core",Nonlabor!$F$15,MAX(Nonlabor!$F$15,IF(Nonlabor!$E$15="AI",Assumptions!$E$24,Assumptions!$E$25))),12)=0))),IF(Nonlabor!$I$15="Fixed",1,IF(Nonlabor!$I$15="Seats",ROUNDUP('Monthly Growth'!I28,0),IF(Nonlabor!$I$15="Customers",'Monthly Growth'!D28,IF(Nonlabor!$I$15="NewCustomers",'Monthly Growth'!C28,IF(Nonlabor!$I$15="StorageGB",'Monthly Growth'!G28,IF(Nonlabor!$I$15="LogGB",'Monthly Growth'!H28,IF(Nonlabor!$I$15="RequestsM",'Monthly Growth'!F28,IF(Nonlabor!$I$15="InputM",'Monthly Growth'!D28*Assumptions!$E$22/1000000,IF(Nonlabor!$I$15="OutputM",'Monthly Growth'!D28*Assumptions!$E$23/1000000,0))))))))),0)</f>
        <v>0</v>
      </c>
      <c r="F3208" s="10" t="n">
        <f aca="false">Nonlabor!$J$15*(1+Assumptions!$E$9)^INT((C3208-1)/12)</f>
        <v>20800</v>
      </c>
      <c r="G3208" s="10" t="n">
        <f aca="false">E3208*F3208</f>
        <v>0</v>
      </c>
      <c r="H3208" s="10" t="n">
        <f aca="false">IF(OR(Nonlabor!$L$15="Quote required",Nonlabor!$L$15="Unverified"),G3208,0)</f>
        <v>0</v>
      </c>
      <c r="I3208" s="10" t="n">
        <f aca="false">IF(Nonlabor!$E$15="Core",0,G3208)</f>
        <v>0</v>
      </c>
      <c r="J3208" s="23" t="str">
        <f aca="false">Nonlabor!$B$15</f>
        <v>LEGAL</v>
      </c>
    </row>
    <row r="3209" customFormat="false" ht="15" hidden="false" customHeight="false" outlineLevel="0" collapsed="false">
      <c r="A3209" s="6" t="s">
        <v>73</v>
      </c>
      <c r="B3209" s="6" t="s">
        <v>402</v>
      </c>
      <c r="C3209" s="6" t="n">
        <v>24</v>
      </c>
      <c r="D3209" s="25" t="n">
        <f aca="false">EDATE('Start Here'!$B$6,C3209-1)</f>
        <v>47027</v>
      </c>
      <c r="E3209" s="23" t="n">
        <f aca="false">IF(AND(OR(Nonlabor!$D$15="Both",Nonlabor!$D$15='Start Here'!$B$9),IF(Nonlabor!$E$15="Core",1,IF(Nonlabor!$E$15="AI",'Start Here'!$B$7,'Start Here'!$B$8))=1,C3209&gt;=IF(Nonlabor!$E$15="Core",Nonlabor!$F$15,MAX(Nonlabor!$F$15,IF(Nonlabor!$E$15="AI",Assumptions!$E$24,Assumptions!$E$25))),C3209&lt;=Nonlabor!$G$15,OR(Nonlabor!$H$15="Monthly",AND(Nonlabor!$H$15="Once",C3209=IF(Nonlabor!$E$15="Core",Nonlabor!$F$15,MAX(Nonlabor!$F$15,IF(Nonlabor!$E$15="AI",Assumptions!$E$24,Assumptions!$E$25)))),AND(Nonlabor!$H$15="Annual",MOD(C3209-IF(Nonlabor!$E$15="Core",Nonlabor!$F$15,MAX(Nonlabor!$F$15,IF(Nonlabor!$E$15="AI",Assumptions!$E$24,Assumptions!$E$25))),12)=0))),IF(Nonlabor!$I$15="Fixed",1,IF(Nonlabor!$I$15="Seats",ROUNDUP('Monthly Growth'!I29,0),IF(Nonlabor!$I$15="Customers",'Monthly Growth'!D29,IF(Nonlabor!$I$15="NewCustomers",'Monthly Growth'!C29,IF(Nonlabor!$I$15="StorageGB",'Monthly Growth'!G29,IF(Nonlabor!$I$15="LogGB",'Monthly Growth'!H29,IF(Nonlabor!$I$15="RequestsM",'Monthly Growth'!F29,IF(Nonlabor!$I$15="InputM",'Monthly Growth'!D29*Assumptions!$E$22/1000000,IF(Nonlabor!$I$15="OutputM",'Monthly Growth'!D29*Assumptions!$E$23/1000000,0))))))))),0)</f>
        <v>0</v>
      </c>
      <c r="F3209" s="10" t="n">
        <f aca="false">Nonlabor!$J$15*(1+Assumptions!$E$9)^INT((C3209-1)/12)</f>
        <v>20800</v>
      </c>
      <c r="G3209" s="10" t="n">
        <f aca="false">E3209*F3209</f>
        <v>0</v>
      </c>
      <c r="H3209" s="10" t="n">
        <f aca="false">IF(OR(Nonlabor!$L$15="Quote required",Nonlabor!$L$15="Unverified"),G3209,0)</f>
        <v>0</v>
      </c>
      <c r="I3209" s="10" t="n">
        <f aca="false">IF(Nonlabor!$E$15="Core",0,G3209)</f>
        <v>0</v>
      </c>
      <c r="J3209" s="23" t="str">
        <f aca="false">Nonlabor!$B$15</f>
        <v>LEGAL</v>
      </c>
    </row>
    <row r="3210" customFormat="false" ht="15" hidden="false" customHeight="false" outlineLevel="0" collapsed="false">
      <c r="A3210" s="6" t="s">
        <v>73</v>
      </c>
      <c r="B3210" s="6" t="s">
        <v>402</v>
      </c>
      <c r="C3210" s="6" t="n">
        <v>25</v>
      </c>
      <c r="D3210" s="25" t="n">
        <f aca="false">EDATE('Start Here'!$B$6,C3210-1)</f>
        <v>47058</v>
      </c>
      <c r="E3210" s="23" t="n">
        <f aca="false">IF(AND(OR(Nonlabor!$D$15="Both",Nonlabor!$D$15='Start Here'!$B$9),IF(Nonlabor!$E$15="Core",1,IF(Nonlabor!$E$15="AI",'Start Here'!$B$7,'Start Here'!$B$8))=1,C3210&gt;=IF(Nonlabor!$E$15="Core",Nonlabor!$F$15,MAX(Nonlabor!$F$15,IF(Nonlabor!$E$15="AI",Assumptions!$E$24,Assumptions!$E$25))),C3210&lt;=Nonlabor!$G$15,OR(Nonlabor!$H$15="Monthly",AND(Nonlabor!$H$15="Once",C3210=IF(Nonlabor!$E$15="Core",Nonlabor!$F$15,MAX(Nonlabor!$F$15,IF(Nonlabor!$E$15="AI",Assumptions!$E$24,Assumptions!$E$25)))),AND(Nonlabor!$H$15="Annual",MOD(C3210-IF(Nonlabor!$E$15="Core",Nonlabor!$F$15,MAX(Nonlabor!$F$15,IF(Nonlabor!$E$15="AI",Assumptions!$E$24,Assumptions!$E$25))),12)=0))),IF(Nonlabor!$I$15="Fixed",1,IF(Nonlabor!$I$15="Seats",ROUNDUP('Monthly Growth'!I30,0),IF(Nonlabor!$I$15="Customers",'Monthly Growth'!D30,IF(Nonlabor!$I$15="NewCustomers",'Monthly Growth'!C30,IF(Nonlabor!$I$15="StorageGB",'Monthly Growth'!G30,IF(Nonlabor!$I$15="LogGB",'Monthly Growth'!H30,IF(Nonlabor!$I$15="RequestsM",'Monthly Growth'!F30,IF(Nonlabor!$I$15="InputM",'Monthly Growth'!D30*Assumptions!$E$22/1000000,IF(Nonlabor!$I$15="OutputM",'Monthly Growth'!D30*Assumptions!$E$23/1000000,0))))))))),0)</f>
        <v>0</v>
      </c>
      <c r="F3210" s="10" t="n">
        <f aca="false">Nonlabor!$J$15*(1+Assumptions!$E$9)^INT((C3210-1)/12)</f>
        <v>21632</v>
      </c>
      <c r="G3210" s="10" t="n">
        <f aca="false">E3210*F3210</f>
        <v>0</v>
      </c>
      <c r="H3210" s="10" t="n">
        <f aca="false">IF(OR(Nonlabor!$L$15="Quote required",Nonlabor!$L$15="Unverified"),G3210,0)</f>
        <v>0</v>
      </c>
      <c r="I3210" s="10" t="n">
        <f aca="false">IF(Nonlabor!$E$15="Core",0,G3210)</f>
        <v>0</v>
      </c>
      <c r="J3210" s="23" t="str">
        <f aca="false">Nonlabor!$B$15</f>
        <v>LEGAL</v>
      </c>
    </row>
    <row r="3211" customFormat="false" ht="15" hidden="false" customHeight="false" outlineLevel="0" collapsed="false">
      <c r="A3211" s="6" t="s">
        <v>73</v>
      </c>
      <c r="B3211" s="6" t="s">
        <v>402</v>
      </c>
      <c r="C3211" s="6" t="n">
        <v>26</v>
      </c>
      <c r="D3211" s="25" t="n">
        <f aca="false">EDATE('Start Here'!$B$6,C3211-1)</f>
        <v>47088</v>
      </c>
      <c r="E3211" s="23" t="n">
        <f aca="false">IF(AND(OR(Nonlabor!$D$15="Both",Nonlabor!$D$15='Start Here'!$B$9),IF(Nonlabor!$E$15="Core",1,IF(Nonlabor!$E$15="AI",'Start Here'!$B$7,'Start Here'!$B$8))=1,C3211&gt;=IF(Nonlabor!$E$15="Core",Nonlabor!$F$15,MAX(Nonlabor!$F$15,IF(Nonlabor!$E$15="AI",Assumptions!$E$24,Assumptions!$E$25))),C3211&lt;=Nonlabor!$G$15,OR(Nonlabor!$H$15="Monthly",AND(Nonlabor!$H$15="Once",C3211=IF(Nonlabor!$E$15="Core",Nonlabor!$F$15,MAX(Nonlabor!$F$15,IF(Nonlabor!$E$15="AI",Assumptions!$E$24,Assumptions!$E$25)))),AND(Nonlabor!$H$15="Annual",MOD(C3211-IF(Nonlabor!$E$15="Core",Nonlabor!$F$15,MAX(Nonlabor!$F$15,IF(Nonlabor!$E$15="AI",Assumptions!$E$24,Assumptions!$E$25))),12)=0))),IF(Nonlabor!$I$15="Fixed",1,IF(Nonlabor!$I$15="Seats",ROUNDUP('Monthly Growth'!I31,0),IF(Nonlabor!$I$15="Customers",'Monthly Growth'!D31,IF(Nonlabor!$I$15="NewCustomers",'Monthly Growth'!C31,IF(Nonlabor!$I$15="StorageGB",'Monthly Growth'!G31,IF(Nonlabor!$I$15="LogGB",'Monthly Growth'!H31,IF(Nonlabor!$I$15="RequestsM",'Monthly Growth'!F31,IF(Nonlabor!$I$15="InputM",'Monthly Growth'!D31*Assumptions!$E$22/1000000,IF(Nonlabor!$I$15="OutputM",'Monthly Growth'!D31*Assumptions!$E$23/1000000,0))))))))),0)</f>
        <v>0</v>
      </c>
      <c r="F3211" s="10" t="n">
        <f aca="false">Nonlabor!$J$15*(1+Assumptions!$E$9)^INT((C3211-1)/12)</f>
        <v>21632</v>
      </c>
      <c r="G3211" s="10" t="n">
        <f aca="false">E3211*F3211</f>
        <v>0</v>
      </c>
      <c r="H3211" s="10" t="n">
        <f aca="false">IF(OR(Nonlabor!$L$15="Quote required",Nonlabor!$L$15="Unverified"),G3211,0)</f>
        <v>0</v>
      </c>
      <c r="I3211" s="10" t="n">
        <f aca="false">IF(Nonlabor!$E$15="Core",0,G3211)</f>
        <v>0</v>
      </c>
      <c r="J3211" s="23" t="str">
        <f aca="false">Nonlabor!$B$15</f>
        <v>LEGAL</v>
      </c>
    </row>
    <row r="3212" customFormat="false" ht="15" hidden="false" customHeight="false" outlineLevel="0" collapsed="false">
      <c r="A3212" s="6" t="s">
        <v>73</v>
      </c>
      <c r="B3212" s="6" t="s">
        <v>402</v>
      </c>
      <c r="C3212" s="6" t="n">
        <v>27</v>
      </c>
      <c r="D3212" s="25" t="n">
        <f aca="false">EDATE('Start Here'!$B$6,C3212-1)</f>
        <v>47119</v>
      </c>
      <c r="E3212" s="23" t="n">
        <f aca="false">IF(AND(OR(Nonlabor!$D$15="Both",Nonlabor!$D$15='Start Here'!$B$9),IF(Nonlabor!$E$15="Core",1,IF(Nonlabor!$E$15="AI",'Start Here'!$B$7,'Start Here'!$B$8))=1,C3212&gt;=IF(Nonlabor!$E$15="Core",Nonlabor!$F$15,MAX(Nonlabor!$F$15,IF(Nonlabor!$E$15="AI",Assumptions!$E$24,Assumptions!$E$25))),C3212&lt;=Nonlabor!$G$15,OR(Nonlabor!$H$15="Monthly",AND(Nonlabor!$H$15="Once",C3212=IF(Nonlabor!$E$15="Core",Nonlabor!$F$15,MAX(Nonlabor!$F$15,IF(Nonlabor!$E$15="AI",Assumptions!$E$24,Assumptions!$E$25)))),AND(Nonlabor!$H$15="Annual",MOD(C3212-IF(Nonlabor!$E$15="Core",Nonlabor!$F$15,MAX(Nonlabor!$F$15,IF(Nonlabor!$E$15="AI",Assumptions!$E$24,Assumptions!$E$25))),12)=0))),IF(Nonlabor!$I$15="Fixed",1,IF(Nonlabor!$I$15="Seats",ROUNDUP('Monthly Growth'!I32,0),IF(Nonlabor!$I$15="Customers",'Monthly Growth'!D32,IF(Nonlabor!$I$15="NewCustomers",'Monthly Growth'!C32,IF(Nonlabor!$I$15="StorageGB",'Monthly Growth'!G32,IF(Nonlabor!$I$15="LogGB",'Monthly Growth'!H32,IF(Nonlabor!$I$15="RequestsM",'Monthly Growth'!F32,IF(Nonlabor!$I$15="InputM",'Monthly Growth'!D32*Assumptions!$E$22/1000000,IF(Nonlabor!$I$15="OutputM",'Monthly Growth'!D32*Assumptions!$E$23/1000000,0))))))))),0)</f>
        <v>0</v>
      </c>
      <c r="F3212" s="10" t="n">
        <f aca="false">Nonlabor!$J$15*(1+Assumptions!$E$9)^INT((C3212-1)/12)</f>
        <v>21632</v>
      </c>
      <c r="G3212" s="10" t="n">
        <f aca="false">E3212*F3212</f>
        <v>0</v>
      </c>
      <c r="H3212" s="10" t="n">
        <f aca="false">IF(OR(Nonlabor!$L$15="Quote required",Nonlabor!$L$15="Unverified"),G3212,0)</f>
        <v>0</v>
      </c>
      <c r="I3212" s="10" t="n">
        <f aca="false">IF(Nonlabor!$E$15="Core",0,G3212)</f>
        <v>0</v>
      </c>
      <c r="J3212" s="23" t="str">
        <f aca="false">Nonlabor!$B$15</f>
        <v>LEGAL</v>
      </c>
    </row>
    <row r="3213" customFormat="false" ht="15" hidden="false" customHeight="false" outlineLevel="0" collapsed="false">
      <c r="A3213" s="6" t="s">
        <v>73</v>
      </c>
      <c r="B3213" s="6" t="s">
        <v>402</v>
      </c>
      <c r="C3213" s="6" t="n">
        <v>28</v>
      </c>
      <c r="D3213" s="25" t="n">
        <f aca="false">EDATE('Start Here'!$B$6,C3213-1)</f>
        <v>47150</v>
      </c>
      <c r="E3213" s="23" t="n">
        <f aca="false">IF(AND(OR(Nonlabor!$D$15="Both",Nonlabor!$D$15='Start Here'!$B$9),IF(Nonlabor!$E$15="Core",1,IF(Nonlabor!$E$15="AI",'Start Here'!$B$7,'Start Here'!$B$8))=1,C3213&gt;=IF(Nonlabor!$E$15="Core",Nonlabor!$F$15,MAX(Nonlabor!$F$15,IF(Nonlabor!$E$15="AI",Assumptions!$E$24,Assumptions!$E$25))),C3213&lt;=Nonlabor!$G$15,OR(Nonlabor!$H$15="Monthly",AND(Nonlabor!$H$15="Once",C3213=IF(Nonlabor!$E$15="Core",Nonlabor!$F$15,MAX(Nonlabor!$F$15,IF(Nonlabor!$E$15="AI",Assumptions!$E$24,Assumptions!$E$25)))),AND(Nonlabor!$H$15="Annual",MOD(C3213-IF(Nonlabor!$E$15="Core",Nonlabor!$F$15,MAX(Nonlabor!$F$15,IF(Nonlabor!$E$15="AI",Assumptions!$E$24,Assumptions!$E$25))),12)=0))),IF(Nonlabor!$I$15="Fixed",1,IF(Nonlabor!$I$15="Seats",ROUNDUP('Monthly Growth'!I33,0),IF(Nonlabor!$I$15="Customers",'Monthly Growth'!D33,IF(Nonlabor!$I$15="NewCustomers",'Monthly Growth'!C33,IF(Nonlabor!$I$15="StorageGB",'Monthly Growth'!G33,IF(Nonlabor!$I$15="LogGB",'Monthly Growth'!H33,IF(Nonlabor!$I$15="RequestsM",'Monthly Growth'!F33,IF(Nonlabor!$I$15="InputM",'Monthly Growth'!D33*Assumptions!$E$22/1000000,IF(Nonlabor!$I$15="OutputM",'Monthly Growth'!D33*Assumptions!$E$23/1000000,0))))))))),0)</f>
        <v>0</v>
      </c>
      <c r="F3213" s="10" t="n">
        <f aca="false">Nonlabor!$J$15*(1+Assumptions!$E$9)^INT((C3213-1)/12)</f>
        <v>21632</v>
      </c>
      <c r="G3213" s="10" t="n">
        <f aca="false">E3213*F3213</f>
        <v>0</v>
      </c>
      <c r="H3213" s="10" t="n">
        <f aca="false">IF(OR(Nonlabor!$L$15="Quote required",Nonlabor!$L$15="Unverified"),G3213,0)</f>
        <v>0</v>
      </c>
      <c r="I3213" s="10" t="n">
        <f aca="false">IF(Nonlabor!$E$15="Core",0,G3213)</f>
        <v>0</v>
      </c>
      <c r="J3213" s="23" t="str">
        <f aca="false">Nonlabor!$B$15</f>
        <v>LEGAL</v>
      </c>
    </row>
    <row r="3214" customFormat="false" ht="15" hidden="false" customHeight="false" outlineLevel="0" collapsed="false">
      <c r="A3214" s="6" t="s">
        <v>73</v>
      </c>
      <c r="B3214" s="6" t="s">
        <v>402</v>
      </c>
      <c r="C3214" s="6" t="n">
        <v>29</v>
      </c>
      <c r="D3214" s="25" t="n">
        <f aca="false">EDATE('Start Here'!$B$6,C3214-1)</f>
        <v>47178</v>
      </c>
      <c r="E3214" s="23" t="n">
        <f aca="false">IF(AND(OR(Nonlabor!$D$15="Both",Nonlabor!$D$15='Start Here'!$B$9),IF(Nonlabor!$E$15="Core",1,IF(Nonlabor!$E$15="AI",'Start Here'!$B$7,'Start Here'!$B$8))=1,C3214&gt;=IF(Nonlabor!$E$15="Core",Nonlabor!$F$15,MAX(Nonlabor!$F$15,IF(Nonlabor!$E$15="AI",Assumptions!$E$24,Assumptions!$E$25))),C3214&lt;=Nonlabor!$G$15,OR(Nonlabor!$H$15="Monthly",AND(Nonlabor!$H$15="Once",C3214=IF(Nonlabor!$E$15="Core",Nonlabor!$F$15,MAX(Nonlabor!$F$15,IF(Nonlabor!$E$15="AI",Assumptions!$E$24,Assumptions!$E$25)))),AND(Nonlabor!$H$15="Annual",MOD(C3214-IF(Nonlabor!$E$15="Core",Nonlabor!$F$15,MAX(Nonlabor!$F$15,IF(Nonlabor!$E$15="AI",Assumptions!$E$24,Assumptions!$E$25))),12)=0))),IF(Nonlabor!$I$15="Fixed",1,IF(Nonlabor!$I$15="Seats",ROUNDUP('Monthly Growth'!I34,0),IF(Nonlabor!$I$15="Customers",'Monthly Growth'!D34,IF(Nonlabor!$I$15="NewCustomers",'Monthly Growth'!C34,IF(Nonlabor!$I$15="StorageGB",'Monthly Growth'!G34,IF(Nonlabor!$I$15="LogGB",'Monthly Growth'!H34,IF(Nonlabor!$I$15="RequestsM",'Monthly Growth'!F34,IF(Nonlabor!$I$15="InputM",'Monthly Growth'!D34*Assumptions!$E$22/1000000,IF(Nonlabor!$I$15="OutputM",'Monthly Growth'!D34*Assumptions!$E$23/1000000,0))))))))),0)</f>
        <v>0</v>
      </c>
      <c r="F3214" s="10" t="n">
        <f aca="false">Nonlabor!$J$15*(1+Assumptions!$E$9)^INT((C3214-1)/12)</f>
        <v>21632</v>
      </c>
      <c r="G3214" s="10" t="n">
        <f aca="false">E3214*F3214</f>
        <v>0</v>
      </c>
      <c r="H3214" s="10" t="n">
        <f aca="false">IF(OR(Nonlabor!$L$15="Quote required",Nonlabor!$L$15="Unverified"),G3214,0)</f>
        <v>0</v>
      </c>
      <c r="I3214" s="10" t="n">
        <f aca="false">IF(Nonlabor!$E$15="Core",0,G3214)</f>
        <v>0</v>
      </c>
      <c r="J3214" s="23" t="str">
        <f aca="false">Nonlabor!$B$15</f>
        <v>LEGAL</v>
      </c>
    </row>
    <row r="3215" customFormat="false" ht="15" hidden="false" customHeight="false" outlineLevel="0" collapsed="false">
      <c r="A3215" s="6" t="s">
        <v>73</v>
      </c>
      <c r="B3215" s="6" t="s">
        <v>402</v>
      </c>
      <c r="C3215" s="6" t="n">
        <v>30</v>
      </c>
      <c r="D3215" s="25" t="n">
        <f aca="false">EDATE('Start Here'!$B$6,C3215-1)</f>
        <v>47209</v>
      </c>
      <c r="E3215" s="23" t="n">
        <f aca="false">IF(AND(OR(Nonlabor!$D$15="Both",Nonlabor!$D$15='Start Here'!$B$9),IF(Nonlabor!$E$15="Core",1,IF(Nonlabor!$E$15="AI",'Start Here'!$B$7,'Start Here'!$B$8))=1,C3215&gt;=IF(Nonlabor!$E$15="Core",Nonlabor!$F$15,MAX(Nonlabor!$F$15,IF(Nonlabor!$E$15="AI",Assumptions!$E$24,Assumptions!$E$25))),C3215&lt;=Nonlabor!$G$15,OR(Nonlabor!$H$15="Monthly",AND(Nonlabor!$H$15="Once",C3215=IF(Nonlabor!$E$15="Core",Nonlabor!$F$15,MAX(Nonlabor!$F$15,IF(Nonlabor!$E$15="AI",Assumptions!$E$24,Assumptions!$E$25)))),AND(Nonlabor!$H$15="Annual",MOD(C3215-IF(Nonlabor!$E$15="Core",Nonlabor!$F$15,MAX(Nonlabor!$F$15,IF(Nonlabor!$E$15="AI",Assumptions!$E$24,Assumptions!$E$25))),12)=0))),IF(Nonlabor!$I$15="Fixed",1,IF(Nonlabor!$I$15="Seats",ROUNDUP('Monthly Growth'!I35,0),IF(Nonlabor!$I$15="Customers",'Monthly Growth'!D35,IF(Nonlabor!$I$15="NewCustomers",'Monthly Growth'!C35,IF(Nonlabor!$I$15="StorageGB",'Monthly Growth'!G35,IF(Nonlabor!$I$15="LogGB",'Monthly Growth'!H35,IF(Nonlabor!$I$15="RequestsM",'Monthly Growth'!F35,IF(Nonlabor!$I$15="InputM",'Monthly Growth'!D35*Assumptions!$E$22/1000000,IF(Nonlabor!$I$15="OutputM",'Monthly Growth'!D35*Assumptions!$E$23/1000000,0))))))))),0)</f>
        <v>0</v>
      </c>
      <c r="F3215" s="10" t="n">
        <f aca="false">Nonlabor!$J$15*(1+Assumptions!$E$9)^INT((C3215-1)/12)</f>
        <v>21632</v>
      </c>
      <c r="G3215" s="10" t="n">
        <f aca="false">E3215*F3215</f>
        <v>0</v>
      </c>
      <c r="H3215" s="10" t="n">
        <f aca="false">IF(OR(Nonlabor!$L$15="Quote required",Nonlabor!$L$15="Unverified"),G3215,0)</f>
        <v>0</v>
      </c>
      <c r="I3215" s="10" t="n">
        <f aca="false">IF(Nonlabor!$E$15="Core",0,G3215)</f>
        <v>0</v>
      </c>
      <c r="J3215" s="23" t="str">
        <f aca="false">Nonlabor!$B$15</f>
        <v>LEGAL</v>
      </c>
    </row>
    <row r="3216" customFormat="false" ht="15" hidden="false" customHeight="false" outlineLevel="0" collapsed="false">
      <c r="A3216" s="6" t="s">
        <v>73</v>
      </c>
      <c r="B3216" s="6" t="s">
        <v>402</v>
      </c>
      <c r="C3216" s="6" t="n">
        <v>31</v>
      </c>
      <c r="D3216" s="25" t="n">
        <f aca="false">EDATE('Start Here'!$B$6,C3216-1)</f>
        <v>47239</v>
      </c>
      <c r="E3216" s="23" t="n">
        <f aca="false">IF(AND(OR(Nonlabor!$D$15="Both",Nonlabor!$D$15='Start Here'!$B$9),IF(Nonlabor!$E$15="Core",1,IF(Nonlabor!$E$15="AI",'Start Here'!$B$7,'Start Here'!$B$8))=1,C3216&gt;=IF(Nonlabor!$E$15="Core",Nonlabor!$F$15,MAX(Nonlabor!$F$15,IF(Nonlabor!$E$15="AI",Assumptions!$E$24,Assumptions!$E$25))),C3216&lt;=Nonlabor!$G$15,OR(Nonlabor!$H$15="Monthly",AND(Nonlabor!$H$15="Once",C3216=IF(Nonlabor!$E$15="Core",Nonlabor!$F$15,MAX(Nonlabor!$F$15,IF(Nonlabor!$E$15="AI",Assumptions!$E$24,Assumptions!$E$25)))),AND(Nonlabor!$H$15="Annual",MOD(C3216-IF(Nonlabor!$E$15="Core",Nonlabor!$F$15,MAX(Nonlabor!$F$15,IF(Nonlabor!$E$15="AI",Assumptions!$E$24,Assumptions!$E$25))),12)=0))),IF(Nonlabor!$I$15="Fixed",1,IF(Nonlabor!$I$15="Seats",ROUNDUP('Monthly Growth'!I36,0),IF(Nonlabor!$I$15="Customers",'Monthly Growth'!D36,IF(Nonlabor!$I$15="NewCustomers",'Monthly Growth'!C36,IF(Nonlabor!$I$15="StorageGB",'Monthly Growth'!G36,IF(Nonlabor!$I$15="LogGB",'Monthly Growth'!H36,IF(Nonlabor!$I$15="RequestsM",'Monthly Growth'!F36,IF(Nonlabor!$I$15="InputM",'Monthly Growth'!D36*Assumptions!$E$22/1000000,IF(Nonlabor!$I$15="OutputM",'Monthly Growth'!D36*Assumptions!$E$23/1000000,0))))))))),0)</f>
        <v>0</v>
      </c>
      <c r="F3216" s="10" t="n">
        <f aca="false">Nonlabor!$J$15*(1+Assumptions!$E$9)^INT((C3216-1)/12)</f>
        <v>21632</v>
      </c>
      <c r="G3216" s="10" t="n">
        <f aca="false">E3216*F3216</f>
        <v>0</v>
      </c>
      <c r="H3216" s="10" t="n">
        <f aca="false">IF(OR(Nonlabor!$L$15="Quote required",Nonlabor!$L$15="Unverified"),G3216,0)</f>
        <v>0</v>
      </c>
      <c r="I3216" s="10" t="n">
        <f aca="false">IF(Nonlabor!$E$15="Core",0,G3216)</f>
        <v>0</v>
      </c>
      <c r="J3216" s="23" t="str">
        <f aca="false">Nonlabor!$B$15</f>
        <v>LEGAL</v>
      </c>
    </row>
    <row r="3217" customFormat="false" ht="15" hidden="false" customHeight="false" outlineLevel="0" collapsed="false">
      <c r="A3217" s="6" t="s">
        <v>73</v>
      </c>
      <c r="B3217" s="6" t="s">
        <v>402</v>
      </c>
      <c r="C3217" s="6" t="n">
        <v>32</v>
      </c>
      <c r="D3217" s="25" t="n">
        <f aca="false">EDATE('Start Here'!$B$6,C3217-1)</f>
        <v>47270</v>
      </c>
      <c r="E3217" s="23" t="n">
        <f aca="false">IF(AND(OR(Nonlabor!$D$15="Both",Nonlabor!$D$15='Start Here'!$B$9),IF(Nonlabor!$E$15="Core",1,IF(Nonlabor!$E$15="AI",'Start Here'!$B$7,'Start Here'!$B$8))=1,C3217&gt;=IF(Nonlabor!$E$15="Core",Nonlabor!$F$15,MAX(Nonlabor!$F$15,IF(Nonlabor!$E$15="AI",Assumptions!$E$24,Assumptions!$E$25))),C3217&lt;=Nonlabor!$G$15,OR(Nonlabor!$H$15="Monthly",AND(Nonlabor!$H$15="Once",C3217=IF(Nonlabor!$E$15="Core",Nonlabor!$F$15,MAX(Nonlabor!$F$15,IF(Nonlabor!$E$15="AI",Assumptions!$E$24,Assumptions!$E$25)))),AND(Nonlabor!$H$15="Annual",MOD(C3217-IF(Nonlabor!$E$15="Core",Nonlabor!$F$15,MAX(Nonlabor!$F$15,IF(Nonlabor!$E$15="AI",Assumptions!$E$24,Assumptions!$E$25))),12)=0))),IF(Nonlabor!$I$15="Fixed",1,IF(Nonlabor!$I$15="Seats",ROUNDUP('Monthly Growth'!I37,0),IF(Nonlabor!$I$15="Customers",'Monthly Growth'!D37,IF(Nonlabor!$I$15="NewCustomers",'Monthly Growth'!C37,IF(Nonlabor!$I$15="StorageGB",'Monthly Growth'!G37,IF(Nonlabor!$I$15="LogGB",'Monthly Growth'!H37,IF(Nonlabor!$I$15="RequestsM",'Monthly Growth'!F37,IF(Nonlabor!$I$15="InputM",'Monthly Growth'!D37*Assumptions!$E$22/1000000,IF(Nonlabor!$I$15="OutputM",'Monthly Growth'!D37*Assumptions!$E$23/1000000,0))))))))),0)</f>
        <v>0</v>
      </c>
      <c r="F3217" s="10" t="n">
        <f aca="false">Nonlabor!$J$15*(1+Assumptions!$E$9)^INT((C3217-1)/12)</f>
        <v>21632</v>
      </c>
      <c r="G3217" s="10" t="n">
        <f aca="false">E3217*F3217</f>
        <v>0</v>
      </c>
      <c r="H3217" s="10" t="n">
        <f aca="false">IF(OR(Nonlabor!$L$15="Quote required",Nonlabor!$L$15="Unverified"),G3217,0)</f>
        <v>0</v>
      </c>
      <c r="I3217" s="10" t="n">
        <f aca="false">IF(Nonlabor!$E$15="Core",0,G3217)</f>
        <v>0</v>
      </c>
      <c r="J3217" s="23" t="str">
        <f aca="false">Nonlabor!$B$15</f>
        <v>LEGAL</v>
      </c>
    </row>
    <row r="3218" customFormat="false" ht="15" hidden="false" customHeight="false" outlineLevel="0" collapsed="false">
      <c r="A3218" s="6" t="s">
        <v>73</v>
      </c>
      <c r="B3218" s="6" t="s">
        <v>402</v>
      </c>
      <c r="C3218" s="6" t="n">
        <v>33</v>
      </c>
      <c r="D3218" s="25" t="n">
        <f aca="false">EDATE('Start Here'!$B$6,C3218-1)</f>
        <v>47300</v>
      </c>
      <c r="E3218" s="23" t="n">
        <f aca="false">IF(AND(OR(Nonlabor!$D$15="Both",Nonlabor!$D$15='Start Here'!$B$9),IF(Nonlabor!$E$15="Core",1,IF(Nonlabor!$E$15="AI",'Start Here'!$B$7,'Start Here'!$B$8))=1,C3218&gt;=IF(Nonlabor!$E$15="Core",Nonlabor!$F$15,MAX(Nonlabor!$F$15,IF(Nonlabor!$E$15="AI",Assumptions!$E$24,Assumptions!$E$25))),C3218&lt;=Nonlabor!$G$15,OR(Nonlabor!$H$15="Monthly",AND(Nonlabor!$H$15="Once",C3218=IF(Nonlabor!$E$15="Core",Nonlabor!$F$15,MAX(Nonlabor!$F$15,IF(Nonlabor!$E$15="AI",Assumptions!$E$24,Assumptions!$E$25)))),AND(Nonlabor!$H$15="Annual",MOD(C3218-IF(Nonlabor!$E$15="Core",Nonlabor!$F$15,MAX(Nonlabor!$F$15,IF(Nonlabor!$E$15="AI",Assumptions!$E$24,Assumptions!$E$25))),12)=0))),IF(Nonlabor!$I$15="Fixed",1,IF(Nonlabor!$I$15="Seats",ROUNDUP('Monthly Growth'!I38,0),IF(Nonlabor!$I$15="Customers",'Monthly Growth'!D38,IF(Nonlabor!$I$15="NewCustomers",'Monthly Growth'!C38,IF(Nonlabor!$I$15="StorageGB",'Monthly Growth'!G38,IF(Nonlabor!$I$15="LogGB",'Monthly Growth'!H38,IF(Nonlabor!$I$15="RequestsM",'Monthly Growth'!F38,IF(Nonlabor!$I$15="InputM",'Monthly Growth'!D38*Assumptions!$E$22/1000000,IF(Nonlabor!$I$15="OutputM",'Monthly Growth'!D38*Assumptions!$E$23/1000000,0))))))))),0)</f>
        <v>0</v>
      </c>
      <c r="F3218" s="10" t="n">
        <f aca="false">Nonlabor!$J$15*(1+Assumptions!$E$9)^INT((C3218-1)/12)</f>
        <v>21632</v>
      </c>
      <c r="G3218" s="10" t="n">
        <f aca="false">E3218*F3218</f>
        <v>0</v>
      </c>
      <c r="H3218" s="10" t="n">
        <f aca="false">IF(OR(Nonlabor!$L$15="Quote required",Nonlabor!$L$15="Unverified"),G3218,0)</f>
        <v>0</v>
      </c>
      <c r="I3218" s="10" t="n">
        <f aca="false">IF(Nonlabor!$E$15="Core",0,G3218)</f>
        <v>0</v>
      </c>
      <c r="J3218" s="23" t="str">
        <f aca="false">Nonlabor!$B$15</f>
        <v>LEGAL</v>
      </c>
    </row>
    <row r="3219" customFormat="false" ht="15" hidden="false" customHeight="false" outlineLevel="0" collapsed="false">
      <c r="A3219" s="6" t="s">
        <v>73</v>
      </c>
      <c r="B3219" s="6" t="s">
        <v>402</v>
      </c>
      <c r="C3219" s="6" t="n">
        <v>34</v>
      </c>
      <c r="D3219" s="25" t="n">
        <f aca="false">EDATE('Start Here'!$B$6,C3219-1)</f>
        <v>47331</v>
      </c>
      <c r="E3219" s="23" t="n">
        <f aca="false">IF(AND(OR(Nonlabor!$D$15="Both",Nonlabor!$D$15='Start Here'!$B$9),IF(Nonlabor!$E$15="Core",1,IF(Nonlabor!$E$15="AI",'Start Here'!$B$7,'Start Here'!$B$8))=1,C3219&gt;=IF(Nonlabor!$E$15="Core",Nonlabor!$F$15,MAX(Nonlabor!$F$15,IF(Nonlabor!$E$15="AI",Assumptions!$E$24,Assumptions!$E$25))),C3219&lt;=Nonlabor!$G$15,OR(Nonlabor!$H$15="Monthly",AND(Nonlabor!$H$15="Once",C3219=IF(Nonlabor!$E$15="Core",Nonlabor!$F$15,MAX(Nonlabor!$F$15,IF(Nonlabor!$E$15="AI",Assumptions!$E$24,Assumptions!$E$25)))),AND(Nonlabor!$H$15="Annual",MOD(C3219-IF(Nonlabor!$E$15="Core",Nonlabor!$F$15,MAX(Nonlabor!$F$15,IF(Nonlabor!$E$15="AI",Assumptions!$E$24,Assumptions!$E$25))),12)=0))),IF(Nonlabor!$I$15="Fixed",1,IF(Nonlabor!$I$15="Seats",ROUNDUP('Monthly Growth'!I39,0),IF(Nonlabor!$I$15="Customers",'Monthly Growth'!D39,IF(Nonlabor!$I$15="NewCustomers",'Monthly Growth'!C39,IF(Nonlabor!$I$15="StorageGB",'Monthly Growth'!G39,IF(Nonlabor!$I$15="LogGB",'Monthly Growth'!H39,IF(Nonlabor!$I$15="RequestsM",'Monthly Growth'!F39,IF(Nonlabor!$I$15="InputM",'Monthly Growth'!D39*Assumptions!$E$22/1000000,IF(Nonlabor!$I$15="OutputM",'Monthly Growth'!D39*Assumptions!$E$23/1000000,0))))))))),0)</f>
        <v>0</v>
      </c>
      <c r="F3219" s="10" t="n">
        <f aca="false">Nonlabor!$J$15*(1+Assumptions!$E$9)^INT((C3219-1)/12)</f>
        <v>21632</v>
      </c>
      <c r="G3219" s="10" t="n">
        <f aca="false">E3219*F3219</f>
        <v>0</v>
      </c>
      <c r="H3219" s="10" t="n">
        <f aca="false">IF(OR(Nonlabor!$L$15="Quote required",Nonlabor!$L$15="Unverified"),G3219,0)</f>
        <v>0</v>
      </c>
      <c r="I3219" s="10" t="n">
        <f aca="false">IF(Nonlabor!$E$15="Core",0,G3219)</f>
        <v>0</v>
      </c>
      <c r="J3219" s="23" t="str">
        <f aca="false">Nonlabor!$B$15</f>
        <v>LEGAL</v>
      </c>
    </row>
    <row r="3220" customFormat="false" ht="15" hidden="false" customHeight="false" outlineLevel="0" collapsed="false">
      <c r="A3220" s="6" t="s">
        <v>73</v>
      </c>
      <c r="B3220" s="6" t="s">
        <v>402</v>
      </c>
      <c r="C3220" s="6" t="n">
        <v>35</v>
      </c>
      <c r="D3220" s="25" t="n">
        <f aca="false">EDATE('Start Here'!$B$6,C3220-1)</f>
        <v>47362</v>
      </c>
      <c r="E3220" s="23" t="n">
        <f aca="false">IF(AND(OR(Nonlabor!$D$15="Both",Nonlabor!$D$15='Start Here'!$B$9),IF(Nonlabor!$E$15="Core",1,IF(Nonlabor!$E$15="AI",'Start Here'!$B$7,'Start Here'!$B$8))=1,C3220&gt;=IF(Nonlabor!$E$15="Core",Nonlabor!$F$15,MAX(Nonlabor!$F$15,IF(Nonlabor!$E$15="AI",Assumptions!$E$24,Assumptions!$E$25))),C3220&lt;=Nonlabor!$G$15,OR(Nonlabor!$H$15="Monthly",AND(Nonlabor!$H$15="Once",C3220=IF(Nonlabor!$E$15="Core",Nonlabor!$F$15,MAX(Nonlabor!$F$15,IF(Nonlabor!$E$15="AI",Assumptions!$E$24,Assumptions!$E$25)))),AND(Nonlabor!$H$15="Annual",MOD(C3220-IF(Nonlabor!$E$15="Core",Nonlabor!$F$15,MAX(Nonlabor!$F$15,IF(Nonlabor!$E$15="AI",Assumptions!$E$24,Assumptions!$E$25))),12)=0))),IF(Nonlabor!$I$15="Fixed",1,IF(Nonlabor!$I$15="Seats",ROUNDUP('Monthly Growth'!I40,0),IF(Nonlabor!$I$15="Customers",'Monthly Growth'!D40,IF(Nonlabor!$I$15="NewCustomers",'Monthly Growth'!C40,IF(Nonlabor!$I$15="StorageGB",'Monthly Growth'!G40,IF(Nonlabor!$I$15="LogGB",'Monthly Growth'!H40,IF(Nonlabor!$I$15="RequestsM",'Monthly Growth'!F40,IF(Nonlabor!$I$15="InputM",'Monthly Growth'!D40*Assumptions!$E$22/1000000,IF(Nonlabor!$I$15="OutputM",'Monthly Growth'!D40*Assumptions!$E$23/1000000,0))))))))),0)</f>
        <v>0</v>
      </c>
      <c r="F3220" s="10" t="n">
        <f aca="false">Nonlabor!$J$15*(1+Assumptions!$E$9)^INT((C3220-1)/12)</f>
        <v>21632</v>
      </c>
      <c r="G3220" s="10" t="n">
        <f aca="false">E3220*F3220</f>
        <v>0</v>
      </c>
      <c r="H3220" s="10" t="n">
        <f aca="false">IF(OR(Nonlabor!$L$15="Quote required",Nonlabor!$L$15="Unverified"),G3220,0)</f>
        <v>0</v>
      </c>
      <c r="I3220" s="10" t="n">
        <f aca="false">IF(Nonlabor!$E$15="Core",0,G3220)</f>
        <v>0</v>
      </c>
      <c r="J3220" s="23" t="str">
        <f aca="false">Nonlabor!$B$15</f>
        <v>LEGAL</v>
      </c>
    </row>
    <row r="3221" customFormat="false" ht="15" hidden="false" customHeight="false" outlineLevel="0" collapsed="false">
      <c r="A3221" s="6" t="s">
        <v>73</v>
      </c>
      <c r="B3221" s="6" t="s">
        <v>402</v>
      </c>
      <c r="C3221" s="6" t="n">
        <v>36</v>
      </c>
      <c r="D3221" s="25" t="n">
        <f aca="false">EDATE('Start Here'!$B$6,C3221-1)</f>
        <v>47392</v>
      </c>
      <c r="E3221" s="23" t="n">
        <f aca="false">IF(AND(OR(Nonlabor!$D$15="Both",Nonlabor!$D$15='Start Here'!$B$9),IF(Nonlabor!$E$15="Core",1,IF(Nonlabor!$E$15="AI",'Start Here'!$B$7,'Start Here'!$B$8))=1,C3221&gt;=IF(Nonlabor!$E$15="Core",Nonlabor!$F$15,MAX(Nonlabor!$F$15,IF(Nonlabor!$E$15="AI",Assumptions!$E$24,Assumptions!$E$25))),C3221&lt;=Nonlabor!$G$15,OR(Nonlabor!$H$15="Monthly",AND(Nonlabor!$H$15="Once",C3221=IF(Nonlabor!$E$15="Core",Nonlabor!$F$15,MAX(Nonlabor!$F$15,IF(Nonlabor!$E$15="AI",Assumptions!$E$24,Assumptions!$E$25)))),AND(Nonlabor!$H$15="Annual",MOD(C3221-IF(Nonlabor!$E$15="Core",Nonlabor!$F$15,MAX(Nonlabor!$F$15,IF(Nonlabor!$E$15="AI",Assumptions!$E$24,Assumptions!$E$25))),12)=0))),IF(Nonlabor!$I$15="Fixed",1,IF(Nonlabor!$I$15="Seats",ROUNDUP('Monthly Growth'!I41,0),IF(Nonlabor!$I$15="Customers",'Monthly Growth'!D41,IF(Nonlabor!$I$15="NewCustomers",'Monthly Growth'!C41,IF(Nonlabor!$I$15="StorageGB",'Monthly Growth'!G41,IF(Nonlabor!$I$15="LogGB",'Monthly Growth'!H41,IF(Nonlabor!$I$15="RequestsM",'Monthly Growth'!F41,IF(Nonlabor!$I$15="InputM",'Monthly Growth'!D41*Assumptions!$E$22/1000000,IF(Nonlabor!$I$15="OutputM",'Monthly Growth'!D41*Assumptions!$E$23/1000000,0))))))))),0)</f>
        <v>0</v>
      </c>
      <c r="F3221" s="10" t="n">
        <f aca="false">Nonlabor!$J$15*(1+Assumptions!$E$9)^INT((C3221-1)/12)</f>
        <v>21632</v>
      </c>
      <c r="G3221" s="10" t="n">
        <f aca="false">E3221*F3221</f>
        <v>0</v>
      </c>
      <c r="H3221" s="10" t="n">
        <f aca="false">IF(OR(Nonlabor!$L$15="Quote required",Nonlabor!$L$15="Unverified"),G3221,0)</f>
        <v>0</v>
      </c>
      <c r="I3221" s="10" t="n">
        <f aca="false">IF(Nonlabor!$E$15="Core",0,G3221)</f>
        <v>0</v>
      </c>
      <c r="J3221" s="23" t="str">
        <f aca="false">Nonlabor!$B$15</f>
        <v>LEGAL</v>
      </c>
    </row>
    <row r="3222" customFormat="false" ht="15" hidden="false" customHeight="false" outlineLevel="0" collapsed="false">
      <c r="A3222" s="6" t="s">
        <v>73</v>
      </c>
      <c r="B3222" s="6" t="s">
        <v>402</v>
      </c>
      <c r="C3222" s="6" t="n">
        <v>37</v>
      </c>
      <c r="D3222" s="25" t="n">
        <f aca="false">EDATE('Start Here'!$B$6,C3222-1)</f>
        <v>47423</v>
      </c>
      <c r="E3222" s="23" t="n">
        <f aca="false">IF(AND(OR(Nonlabor!$D$15="Both",Nonlabor!$D$15='Start Here'!$B$9),IF(Nonlabor!$E$15="Core",1,IF(Nonlabor!$E$15="AI",'Start Here'!$B$7,'Start Here'!$B$8))=1,C3222&gt;=IF(Nonlabor!$E$15="Core",Nonlabor!$F$15,MAX(Nonlabor!$F$15,IF(Nonlabor!$E$15="AI",Assumptions!$E$24,Assumptions!$E$25))),C3222&lt;=Nonlabor!$G$15,OR(Nonlabor!$H$15="Monthly",AND(Nonlabor!$H$15="Once",C3222=IF(Nonlabor!$E$15="Core",Nonlabor!$F$15,MAX(Nonlabor!$F$15,IF(Nonlabor!$E$15="AI",Assumptions!$E$24,Assumptions!$E$25)))),AND(Nonlabor!$H$15="Annual",MOD(C3222-IF(Nonlabor!$E$15="Core",Nonlabor!$F$15,MAX(Nonlabor!$F$15,IF(Nonlabor!$E$15="AI",Assumptions!$E$24,Assumptions!$E$25))),12)=0))),IF(Nonlabor!$I$15="Fixed",1,IF(Nonlabor!$I$15="Seats",ROUNDUP('Monthly Growth'!I42,0),IF(Nonlabor!$I$15="Customers",'Monthly Growth'!D42,IF(Nonlabor!$I$15="NewCustomers",'Monthly Growth'!C42,IF(Nonlabor!$I$15="StorageGB",'Monthly Growth'!G42,IF(Nonlabor!$I$15="LogGB",'Monthly Growth'!H42,IF(Nonlabor!$I$15="RequestsM",'Monthly Growth'!F42,IF(Nonlabor!$I$15="InputM",'Monthly Growth'!D42*Assumptions!$E$22/1000000,IF(Nonlabor!$I$15="OutputM",'Monthly Growth'!D42*Assumptions!$E$23/1000000,0))))))))),0)</f>
        <v>0</v>
      </c>
      <c r="F3222" s="10" t="n">
        <f aca="false">Nonlabor!$J$15*(1+Assumptions!$E$9)^INT((C3222-1)/12)</f>
        <v>22497.28</v>
      </c>
      <c r="G3222" s="10" t="n">
        <f aca="false">E3222*F3222</f>
        <v>0</v>
      </c>
      <c r="H3222" s="10" t="n">
        <f aca="false">IF(OR(Nonlabor!$L$15="Quote required",Nonlabor!$L$15="Unverified"),G3222,0)</f>
        <v>0</v>
      </c>
      <c r="I3222" s="10" t="n">
        <f aca="false">IF(Nonlabor!$E$15="Core",0,G3222)</f>
        <v>0</v>
      </c>
      <c r="J3222" s="23" t="str">
        <f aca="false">Nonlabor!$B$15</f>
        <v>LEGAL</v>
      </c>
    </row>
    <row r="3223" customFormat="false" ht="15" hidden="false" customHeight="false" outlineLevel="0" collapsed="false">
      <c r="A3223" s="6" t="s">
        <v>73</v>
      </c>
      <c r="B3223" s="6" t="s">
        <v>402</v>
      </c>
      <c r="C3223" s="6" t="n">
        <v>38</v>
      </c>
      <c r="D3223" s="25" t="n">
        <f aca="false">EDATE('Start Here'!$B$6,C3223-1)</f>
        <v>47453</v>
      </c>
      <c r="E3223" s="23" t="n">
        <f aca="false">IF(AND(OR(Nonlabor!$D$15="Both",Nonlabor!$D$15='Start Here'!$B$9),IF(Nonlabor!$E$15="Core",1,IF(Nonlabor!$E$15="AI",'Start Here'!$B$7,'Start Here'!$B$8))=1,C3223&gt;=IF(Nonlabor!$E$15="Core",Nonlabor!$F$15,MAX(Nonlabor!$F$15,IF(Nonlabor!$E$15="AI",Assumptions!$E$24,Assumptions!$E$25))),C3223&lt;=Nonlabor!$G$15,OR(Nonlabor!$H$15="Monthly",AND(Nonlabor!$H$15="Once",C3223=IF(Nonlabor!$E$15="Core",Nonlabor!$F$15,MAX(Nonlabor!$F$15,IF(Nonlabor!$E$15="AI",Assumptions!$E$24,Assumptions!$E$25)))),AND(Nonlabor!$H$15="Annual",MOD(C3223-IF(Nonlabor!$E$15="Core",Nonlabor!$F$15,MAX(Nonlabor!$F$15,IF(Nonlabor!$E$15="AI",Assumptions!$E$24,Assumptions!$E$25))),12)=0))),IF(Nonlabor!$I$15="Fixed",1,IF(Nonlabor!$I$15="Seats",ROUNDUP('Monthly Growth'!I43,0),IF(Nonlabor!$I$15="Customers",'Monthly Growth'!D43,IF(Nonlabor!$I$15="NewCustomers",'Monthly Growth'!C43,IF(Nonlabor!$I$15="StorageGB",'Monthly Growth'!G43,IF(Nonlabor!$I$15="LogGB",'Monthly Growth'!H43,IF(Nonlabor!$I$15="RequestsM",'Monthly Growth'!F43,IF(Nonlabor!$I$15="InputM",'Monthly Growth'!D43*Assumptions!$E$22/1000000,IF(Nonlabor!$I$15="OutputM",'Monthly Growth'!D43*Assumptions!$E$23/1000000,0))))))))),0)</f>
        <v>0</v>
      </c>
      <c r="F3223" s="10" t="n">
        <f aca="false">Nonlabor!$J$15*(1+Assumptions!$E$9)^INT((C3223-1)/12)</f>
        <v>22497.28</v>
      </c>
      <c r="G3223" s="10" t="n">
        <f aca="false">E3223*F3223</f>
        <v>0</v>
      </c>
      <c r="H3223" s="10" t="n">
        <f aca="false">IF(OR(Nonlabor!$L$15="Quote required",Nonlabor!$L$15="Unverified"),G3223,0)</f>
        <v>0</v>
      </c>
      <c r="I3223" s="10" t="n">
        <f aca="false">IF(Nonlabor!$E$15="Core",0,G3223)</f>
        <v>0</v>
      </c>
      <c r="J3223" s="23" t="str">
        <f aca="false">Nonlabor!$B$15</f>
        <v>LEGAL</v>
      </c>
    </row>
    <row r="3224" customFormat="false" ht="15" hidden="false" customHeight="false" outlineLevel="0" collapsed="false">
      <c r="A3224" s="6" t="s">
        <v>73</v>
      </c>
      <c r="B3224" s="6" t="s">
        <v>402</v>
      </c>
      <c r="C3224" s="6" t="n">
        <v>39</v>
      </c>
      <c r="D3224" s="25" t="n">
        <f aca="false">EDATE('Start Here'!$B$6,C3224-1)</f>
        <v>47484</v>
      </c>
      <c r="E3224" s="23" t="n">
        <f aca="false">IF(AND(OR(Nonlabor!$D$15="Both",Nonlabor!$D$15='Start Here'!$B$9),IF(Nonlabor!$E$15="Core",1,IF(Nonlabor!$E$15="AI",'Start Here'!$B$7,'Start Here'!$B$8))=1,C3224&gt;=IF(Nonlabor!$E$15="Core",Nonlabor!$F$15,MAX(Nonlabor!$F$15,IF(Nonlabor!$E$15="AI",Assumptions!$E$24,Assumptions!$E$25))),C3224&lt;=Nonlabor!$G$15,OR(Nonlabor!$H$15="Monthly",AND(Nonlabor!$H$15="Once",C3224=IF(Nonlabor!$E$15="Core",Nonlabor!$F$15,MAX(Nonlabor!$F$15,IF(Nonlabor!$E$15="AI",Assumptions!$E$24,Assumptions!$E$25)))),AND(Nonlabor!$H$15="Annual",MOD(C3224-IF(Nonlabor!$E$15="Core",Nonlabor!$F$15,MAX(Nonlabor!$F$15,IF(Nonlabor!$E$15="AI",Assumptions!$E$24,Assumptions!$E$25))),12)=0))),IF(Nonlabor!$I$15="Fixed",1,IF(Nonlabor!$I$15="Seats",ROUNDUP('Monthly Growth'!I44,0),IF(Nonlabor!$I$15="Customers",'Monthly Growth'!D44,IF(Nonlabor!$I$15="NewCustomers",'Monthly Growth'!C44,IF(Nonlabor!$I$15="StorageGB",'Monthly Growth'!G44,IF(Nonlabor!$I$15="LogGB",'Monthly Growth'!H44,IF(Nonlabor!$I$15="RequestsM",'Monthly Growth'!F44,IF(Nonlabor!$I$15="InputM",'Monthly Growth'!D44*Assumptions!$E$22/1000000,IF(Nonlabor!$I$15="OutputM",'Monthly Growth'!D44*Assumptions!$E$23/1000000,0))))))))),0)</f>
        <v>0</v>
      </c>
      <c r="F3224" s="10" t="n">
        <f aca="false">Nonlabor!$J$15*(1+Assumptions!$E$9)^INT((C3224-1)/12)</f>
        <v>22497.28</v>
      </c>
      <c r="G3224" s="10" t="n">
        <f aca="false">E3224*F3224</f>
        <v>0</v>
      </c>
      <c r="H3224" s="10" t="n">
        <f aca="false">IF(OR(Nonlabor!$L$15="Quote required",Nonlabor!$L$15="Unverified"),G3224,0)</f>
        <v>0</v>
      </c>
      <c r="I3224" s="10" t="n">
        <f aca="false">IF(Nonlabor!$E$15="Core",0,G3224)</f>
        <v>0</v>
      </c>
      <c r="J3224" s="23" t="str">
        <f aca="false">Nonlabor!$B$15</f>
        <v>LEGAL</v>
      </c>
    </row>
    <row r="3225" customFormat="false" ht="15" hidden="false" customHeight="false" outlineLevel="0" collapsed="false">
      <c r="A3225" s="6" t="s">
        <v>73</v>
      </c>
      <c r="B3225" s="6" t="s">
        <v>402</v>
      </c>
      <c r="C3225" s="6" t="n">
        <v>40</v>
      </c>
      <c r="D3225" s="25" t="n">
        <f aca="false">EDATE('Start Here'!$B$6,C3225-1)</f>
        <v>47515</v>
      </c>
      <c r="E3225" s="23" t="n">
        <f aca="false">IF(AND(OR(Nonlabor!$D$15="Both",Nonlabor!$D$15='Start Here'!$B$9),IF(Nonlabor!$E$15="Core",1,IF(Nonlabor!$E$15="AI",'Start Here'!$B$7,'Start Here'!$B$8))=1,C3225&gt;=IF(Nonlabor!$E$15="Core",Nonlabor!$F$15,MAX(Nonlabor!$F$15,IF(Nonlabor!$E$15="AI",Assumptions!$E$24,Assumptions!$E$25))),C3225&lt;=Nonlabor!$G$15,OR(Nonlabor!$H$15="Monthly",AND(Nonlabor!$H$15="Once",C3225=IF(Nonlabor!$E$15="Core",Nonlabor!$F$15,MAX(Nonlabor!$F$15,IF(Nonlabor!$E$15="AI",Assumptions!$E$24,Assumptions!$E$25)))),AND(Nonlabor!$H$15="Annual",MOD(C3225-IF(Nonlabor!$E$15="Core",Nonlabor!$F$15,MAX(Nonlabor!$F$15,IF(Nonlabor!$E$15="AI",Assumptions!$E$24,Assumptions!$E$25))),12)=0))),IF(Nonlabor!$I$15="Fixed",1,IF(Nonlabor!$I$15="Seats",ROUNDUP('Monthly Growth'!I45,0),IF(Nonlabor!$I$15="Customers",'Monthly Growth'!D45,IF(Nonlabor!$I$15="NewCustomers",'Monthly Growth'!C45,IF(Nonlabor!$I$15="StorageGB",'Monthly Growth'!G45,IF(Nonlabor!$I$15="LogGB",'Monthly Growth'!H45,IF(Nonlabor!$I$15="RequestsM",'Monthly Growth'!F45,IF(Nonlabor!$I$15="InputM",'Monthly Growth'!D45*Assumptions!$E$22/1000000,IF(Nonlabor!$I$15="OutputM",'Monthly Growth'!D45*Assumptions!$E$23/1000000,0))))))))),0)</f>
        <v>0</v>
      </c>
      <c r="F3225" s="10" t="n">
        <f aca="false">Nonlabor!$J$15*(1+Assumptions!$E$9)^INT((C3225-1)/12)</f>
        <v>22497.28</v>
      </c>
      <c r="G3225" s="10" t="n">
        <f aca="false">E3225*F3225</f>
        <v>0</v>
      </c>
      <c r="H3225" s="10" t="n">
        <f aca="false">IF(OR(Nonlabor!$L$15="Quote required",Nonlabor!$L$15="Unverified"),G3225,0)</f>
        <v>0</v>
      </c>
      <c r="I3225" s="10" t="n">
        <f aca="false">IF(Nonlabor!$E$15="Core",0,G3225)</f>
        <v>0</v>
      </c>
      <c r="J3225" s="23" t="str">
        <f aca="false">Nonlabor!$B$15</f>
        <v>LEGAL</v>
      </c>
    </row>
    <row r="3226" customFormat="false" ht="15" hidden="false" customHeight="false" outlineLevel="0" collapsed="false">
      <c r="A3226" s="6" t="s">
        <v>73</v>
      </c>
      <c r="B3226" s="6" t="s">
        <v>402</v>
      </c>
      <c r="C3226" s="6" t="n">
        <v>41</v>
      </c>
      <c r="D3226" s="25" t="n">
        <f aca="false">EDATE('Start Here'!$B$6,C3226-1)</f>
        <v>47543</v>
      </c>
      <c r="E3226" s="23" t="n">
        <f aca="false">IF(AND(OR(Nonlabor!$D$15="Both",Nonlabor!$D$15='Start Here'!$B$9),IF(Nonlabor!$E$15="Core",1,IF(Nonlabor!$E$15="AI",'Start Here'!$B$7,'Start Here'!$B$8))=1,C3226&gt;=IF(Nonlabor!$E$15="Core",Nonlabor!$F$15,MAX(Nonlabor!$F$15,IF(Nonlabor!$E$15="AI",Assumptions!$E$24,Assumptions!$E$25))),C3226&lt;=Nonlabor!$G$15,OR(Nonlabor!$H$15="Monthly",AND(Nonlabor!$H$15="Once",C3226=IF(Nonlabor!$E$15="Core",Nonlabor!$F$15,MAX(Nonlabor!$F$15,IF(Nonlabor!$E$15="AI",Assumptions!$E$24,Assumptions!$E$25)))),AND(Nonlabor!$H$15="Annual",MOD(C3226-IF(Nonlabor!$E$15="Core",Nonlabor!$F$15,MAX(Nonlabor!$F$15,IF(Nonlabor!$E$15="AI",Assumptions!$E$24,Assumptions!$E$25))),12)=0))),IF(Nonlabor!$I$15="Fixed",1,IF(Nonlabor!$I$15="Seats",ROUNDUP('Monthly Growth'!I46,0),IF(Nonlabor!$I$15="Customers",'Monthly Growth'!D46,IF(Nonlabor!$I$15="NewCustomers",'Monthly Growth'!C46,IF(Nonlabor!$I$15="StorageGB",'Monthly Growth'!G46,IF(Nonlabor!$I$15="LogGB",'Monthly Growth'!H46,IF(Nonlabor!$I$15="RequestsM",'Monthly Growth'!F46,IF(Nonlabor!$I$15="InputM",'Monthly Growth'!D46*Assumptions!$E$22/1000000,IF(Nonlabor!$I$15="OutputM",'Monthly Growth'!D46*Assumptions!$E$23/1000000,0))))))))),0)</f>
        <v>0</v>
      </c>
      <c r="F3226" s="10" t="n">
        <f aca="false">Nonlabor!$J$15*(1+Assumptions!$E$9)^INT((C3226-1)/12)</f>
        <v>22497.28</v>
      </c>
      <c r="G3226" s="10" t="n">
        <f aca="false">E3226*F3226</f>
        <v>0</v>
      </c>
      <c r="H3226" s="10" t="n">
        <f aca="false">IF(OR(Nonlabor!$L$15="Quote required",Nonlabor!$L$15="Unverified"),G3226,0)</f>
        <v>0</v>
      </c>
      <c r="I3226" s="10" t="n">
        <f aca="false">IF(Nonlabor!$E$15="Core",0,G3226)</f>
        <v>0</v>
      </c>
      <c r="J3226" s="23" t="str">
        <f aca="false">Nonlabor!$B$15</f>
        <v>LEGAL</v>
      </c>
    </row>
    <row r="3227" customFormat="false" ht="15" hidden="false" customHeight="false" outlineLevel="0" collapsed="false">
      <c r="A3227" s="6" t="s">
        <v>73</v>
      </c>
      <c r="B3227" s="6" t="s">
        <v>402</v>
      </c>
      <c r="C3227" s="6" t="n">
        <v>42</v>
      </c>
      <c r="D3227" s="25" t="n">
        <f aca="false">EDATE('Start Here'!$B$6,C3227-1)</f>
        <v>47574</v>
      </c>
      <c r="E3227" s="23" t="n">
        <f aca="false">IF(AND(OR(Nonlabor!$D$15="Both",Nonlabor!$D$15='Start Here'!$B$9),IF(Nonlabor!$E$15="Core",1,IF(Nonlabor!$E$15="AI",'Start Here'!$B$7,'Start Here'!$B$8))=1,C3227&gt;=IF(Nonlabor!$E$15="Core",Nonlabor!$F$15,MAX(Nonlabor!$F$15,IF(Nonlabor!$E$15="AI",Assumptions!$E$24,Assumptions!$E$25))),C3227&lt;=Nonlabor!$G$15,OR(Nonlabor!$H$15="Monthly",AND(Nonlabor!$H$15="Once",C3227=IF(Nonlabor!$E$15="Core",Nonlabor!$F$15,MAX(Nonlabor!$F$15,IF(Nonlabor!$E$15="AI",Assumptions!$E$24,Assumptions!$E$25)))),AND(Nonlabor!$H$15="Annual",MOD(C3227-IF(Nonlabor!$E$15="Core",Nonlabor!$F$15,MAX(Nonlabor!$F$15,IF(Nonlabor!$E$15="AI",Assumptions!$E$24,Assumptions!$E$25))),12)=0))),IF(Nonlabor!$I$15="Fixed",1,IF(Nonlabor!$I$15="Seats",ROUNDUP('Monthly Growth'!I47,0),IF(Nonlabor!$I$15="Customers",'Monthly Growth'!D47,IF(Nonlabor!$I$15="NewCustomers",'Monthly Growth'!C47,IF(Nonlabor!$I$15="StorageGB",'Monthly Growth'!G47,IF(Nonlabor!$I$15="LogGB",'Monthly Growth'!H47,IF(Nonlabor!$I$15="RequestsM",'Monthly Growth'!F47,IF(Nonlabor!$I$15="InputM",'Monthly Growth'!D47*Assumptions!$E$22/1000000,IF(Nonlabor!$I$15="OutputM",'Monthly Growth'!D47*Assumptions!$E$23/1000000,0))))))))),0)</f>
        <v>0</v>
      </c>
      <c r="F3227" s="10" t="n">
        <f aca="false">Nonlabor!$J$15*(1+Assumptions!$E$9)^INT((C3227-1)/12)</f>
        <v>22497.28</v>
      </c>
      <c r="G3227" s="10" t="n">
        <f aca="false">E3227*F3227</f>
        <v>0</v>
      </c>
      <c r="H3227" s="10" t="n">
        <f aca="false">IF(OR(Nonlabor!$L$15="Quote required",Nonlabor!$L$15="Unverified"),G3227,0)</f>
        <v>0</v>
      </c>
      <c r="I3227" s="10" t="n">
        <f aca="false">IF(Nonlabor!$E$15="Core",0,G3227)</f>
        <v>0</v>
      </c>
      <c r="J3227" s="23" t="str">
        <f aca="false">Nonlabor!$B$15</f>
        <v>LEGAL</v>
      </c>
    </row>
    <row r="3228" customFormat="false" ht="15" hidden="false" customHeight="false" outlineLevel="0" collapsed="false">
      <c r="A3228" s="6" t="s">
        <v>73</v>
      </c>
      <c r="B3228" s="6" t="s">
        <v>402</v>
      </c>
      <c r="C3228" s="6" t="n">
        <v>43</v>
      </c>
      <c r="D3228" s="25" t="n">
        <f aca="false">EDATE('Start Here'!$B$6,C3228-1)</f>
        <v>47604</v>
      </c>
      <c r="E3228" s="23" t="n">
        <f aca="false">IF(AND(OR(Nonlabor!$D$15="Both",Nonlabor!$D$15='Start Here'!$B$9),IF(Nonlabor!$E$15="Core",1,IF(Nonlabor!$E$15="AI",'Start Here'!$B$7,'Start Here'!$B$8))=1,C3228&gt;=IF(Nonlabor!$E$15="Core",Nonlabor!$F$15,MAX(Nonlabor!$F$15,IF(Nonlabor!$E$15="AI",Assumptions!$E$24,Assumptions!$E$25))),C3228&lt;=Nonlabor!$G$15,OR(Nonlabor!$H$15="Monthly",AND(Nonlabor!$H$15="Once",C3228=IF(Nonlabor!$E$15="Core",Nonlabor!$F$15,MAX(Nonlabor!$F$15,IF(Nonlabor!$E$15="AI",Assumptions!$E$24,Assumptions!$E$25)))),AND(Nonlabor!$H$15="Annual",MOD(C3228-IF(Nonlabor!$E$15="Core",Nonlabor!$F$15,MAX(Nonlabor!$F$15,IF(Nonlabor!$E$15="AI",Assumptions!$E$24,Assumptions!$E$25))),12)=0))),IF(Nonlabor!$I$15="Fixed",1,IF(Nonlabor!$I$15="Seats",ROUNDUP('Monthly Growth'!I48,0),IF(Nonlabor!$I$15="Customers",'Monthly Growth'!D48,IF(Nonlabor!$I$15="NewCustomers",'Monthly Growth'!C48,IF(Nonlabor!$I$15="StorageGB",'Monthly Growth'!G48,IF(Nonlabor!$I$15="LogGB",'Monthly Growth'!H48,IF(Nonlabor!$I$15="RequestsM",'Monthly Growth'!F48,IF(Nonlabor!$I$15="InputM",'Monthly Growth'!D48*Assumptions!$E$22/1000000,IF(Nonlabor!$I$15="OutputM",'Monthly Growth'!D48*Assumptions!$E$23/1000000,0))))))))),0)</f>
        <v>0</v>
      </c>
      <c r="F3228" s="10" t="n">
        <f aca="false">Nonlabor!$J$15*(1+Assumptions!$E$9)^INT((C3228-1)/12)</f>
        <v>22497.28</v>
      </c>
      <c r="G3228" s="10" t="n">
        <f aca="false">E3228*F3228</f>
        <v>0</v>
      </c>
      <c r="H3228" s="10" t="n">
        <f aca="false">IF(OR(Nonlabor!$L$15="Quote required",Nonlabor!$L$15="Unverified"),G3228,0)</f>
        <v>0</v>
      </c>
      <c r="I3228" s="10" t="n">
        <f aca="false">IF(Nonlabor!$E$15="Core",0,G3228)</f>
        <v>0</v>
      </c>
      <c r="J3228" s="23" t="str">
        <f aca="false">Nonlabor!$B$15</f>
        <v>LEGAL</v>
      </c>
    </row>
    <row r="3229" customFormat="false" ht="15" hidden="false" customHeight="false" outlineLevel="0" collapsed="false">
      <c r="A3229" s="6" t="s">
        <v>73</v>
      </c>
      <c r="B3229" s="6" t="s">
        <v>402</v>
      </c>
      <c r="C3229" s="6" t="n">
        <v>44</v>
      </c>
      <c r="D3229" s="25" t="n">
        <f aca="false">EDATE('Start Here'!$B$6,C3229-1)</f>
        <v>47635</v>
      </c>
      <c r="E3229" s="23" t="n">
        <f aca="false">IF(AND(OR(Nonlabor!$D$15="Both",Nonlabor!$D$15='Start Here'!$B$9),IF(Nonlabor!$E$15="Core",1,IF(Nonlabor!$E$15="AI",'Start Here'!$B$7,'Start Here'!$B$8))=1,C3229&gt;=IF(Nonlabor!$E$15="Core",Nonlabor!$F$15,MAX(Nonlabor!$F$15,IF(Nonlabor!$E$15="AI",Assumptions!$E$24,Assumptions!$E$25))),C3229&lt;=Nonlabor!$G$15,OR(Nonlabor!$H$15="Monthly",AND(Nonlabor!$H$15="Once",C3229=IF(Nonlabor!$E$15="Core",Nonlabor!$F$15,MAX(Nonlabor!$F$15,IF(Nonlabor!$E$15="AI",Assumptions!$E$24,Assumptions!$E$25)))),AND(Nonlabor!$H$15="Annual",MOD(C3229-IF(Nonlabor!$E$15="Core",Nonlabor!$F$15,MAX(Nonlabor!$F$15,IF(Nonlabor!$E$15="AI",Assumptions!$E$24,Assumptions!$E$25))),12)=0))),IF(Nonlabor!$I$15="Fixed",1,IF(Nonlabor!$I$15="Seats",ROUNDUP('Monthly Growth'!I49,0),IF(Nonlabor!$I$15="Customers",'Monthly Growth'!D49,IF(Nonlabor!$I$15="NewCustomers",'Monthly Growth'!C49,IF(Nonlabor!$I$15="StorageGB",'Monthly Growth'!G49,IF(Nonlabor!$I$15="LogGB",'Monthly Growth'!H49,IF(Nonlabor!$I$15="RequestsM",'Monthly Growth'!F49,IF(Nonlabor!$I$15="InputM",'Monthly Growth'!D49*Assumptions!$E$22/1000000,IF(Nonlabor!$I$15="OutputM",'Monthly Growth'!D49*Assumptions!$E$23/1000000,0))))))))),0)</f>
        <v>0</v>
      </c>
      <c r="F3229" s="10" t="n">
        <f aca="false">Nonlabor!$J$15*(1+Assumptions!$E$9)^INT((C3229-1)/12)</f>
        <v>22497.28</v>
      </c>
      <c r="G3229" s="10" t="n">
        <f aca="false">E3229*F3229</f>
        <v>0</v>
      </c>
      <c r="H3229" s="10" t="n">
        <f aca="false">IF(OR(Nonlabor!$L$15="Quote required",Nonlabor!$L$15="Unverified"),G3229,0)</f>
        <v>0</v>
      </c>
      <c r="I3229" s="10" t="n">
        <f aca="false">IF(Nonlabor!$E$15="Core",0,G3229)</f>
        <v>0</v>
      </c>
      <c r="J3229" s="23" t="str">
        <f aca="false">Nonlabor!$B$15</f>
        <v>LEGAL</v>
      </c>
    </row>
    <row r="3230" customFormat="false" ht="15" hidden="false" customHeight="false" outlineLevel="0" collapsed="false">
      <c r="A3230" s="6" t="s">
        <v>73</v>
      </c>
      <c r="B3230" s="6" t="s">
        <v>402</v>
      </c>
      <c r="C3230" s="6" t="n">
        <v>45</v>
      </c>
      <c r="D3230" s="25" t="n">
        <f aca="false">EDATE('Start Here'!$B$6,C3230-1)</f>
        <v>47665</v>
      </c>
      <c r="E3230" s="23" t="n">
        <f aca="false">IF(AND(OR(Nonlabor!$D$15="Both",Nonlabor!$D$15='Start Here'!$B$9),IF(Nonlabor!$E$15="Core",1,IF(Nonlabor!$E$15="AI",'Start Here'!$B$7,'Start Here'!$B$8))=1,C3230&gt;=IF(Nonlabor!$E$15="Core",Nonlabor!$F$15,MAX(Nonlabor!$F$15,IF(Nonlabor!$E$15="AI",Assumptions!$E$24,Assumptions!$E$25))),C3230&lt;=Nonlabor!$G$15,OR(Nonlabor!$H$15="Monthly",AND(Nonlabor!$H$15="Once",C3230=IF(Nonlabor!$E$15="Core",Nonlabor!$F$15,MAX(Nonlabor!$F$15,IF(Nonlabor!$E$15="AI",Assumptions!$E$24,Assumptions!$E$25)))),AND(Nonlabor!$H$15="Annual",MOD(C3230-IF(Nonlabor!$E$15="Core",Nonlabor!$F$15,MAX(Nonlabor!$F$15,IF(Nonlabor!$E$15="AI",Assumptions!$E$24,Assumptions!$E$25))),12)=0))),IF(Nonlabor!$I$15="Fixed",1,IF(Nonlabor!$I$15="Seats",ROUNDUP('Monthly Growth'!I50,0),IF(Nonlabor!$I$15="Customers",'Monthly Growth'!D50,IF(Nonlabor!$I$15="NewCustomers",'Monthly Growth'!C50,IF(Nonlabor!$I$15="StorageGB",'Monthly Growth'!G50,IF(Nonlabor!$I$15="LogGB",'Monthly Growth'!H50,IF(Nonlabor!$I$15="RequestsM",'Monthly Growth'!F50,IF(Nonlabor!$I$15="InputM",'Monthly Growth'!D50*Assumptions!$E$22/1000000,IF(Nonlabor!$I$15="OutputM",'Monthly Growth'!D50*Assumptions!$E$23/1000000,0))))))))),0)</f>
        <v>0</v>
      </c>
      <c r="F3230" s="10" t="n">
        <f aca="false">Nonlabor!$J$15*(1+Assumptions!$E$9)^INT((C3230-1)/12)</f>
        <v>22497.28</v>
      </c>
      <c r="G3230" s="10" t="n">
        <f aca="false">E3230*F3230</f>
        <v>0</v>
      </c>
      <c r="H3230" s="10" t="n">
        <f aca="false">IF(OR(Nonlabor!$L$15="Quote required",Nonlabor!$L$15="Unverified"),G3230,0)</f>
        <v>0</v>
      </c>
      <c r="I3230" s="10" t="n">
        <f aca="false">IF(Nonlabor!$E$15="Core",0,G3230)</f>
        <v>0</v>
      </c>
      <c r="J3230" s="23" t="str">
        <f aca="false">Nonlabor!$B$15</f>
        <v>LEGAL</v>
      </c>
    </row>
    <row r="3231" customFormat="false" ht="15" hidden="false" customHeight="false" outlineLevel="0" collapsed="false">
      <c r="A3231" s="6" t="s">
        <v>73</v>
      </c>
      <c r="B3231" s="6" t="s">
        <v>402</v>
      </c>
      <c r="C3231" s="6" t="n">
        <v>46</v>
      </c>
      <c r="D3231" s="25" t="n">
        <f aca="false">EDATE('Start Here'!$B$6,C3231-1)</f>
        <v>47696</v>
      </c>
      <c r="E3231" s="23" t="n">
        <f aca="false">IF(AND(OR(Nonlabor!$D$15="Both",Nonlabor!$D$15='Start Here'!$B$9),IF(Nonlabor!$E$15="Core",1,IF(Nonlabor!$E$15="AI",'Start Here'!$B$7,'Start Here'!$B$8))=1,C3231&gt;=IF(Nonlabor!$E$15="Core",Nonlabor!$F$15,MAX(Nonlabor!$F$15,IF(Nonlabor!$E$15="AI",Assumptions!$E$24,Assumptions!$E$25))),C3231&lt;=Nonlabor!$G$15,OR(Nonlabor!$H$15="Monthly",AND(Nonlabor!$H$15="Once",C3231=IF(Nonlabor!$E$15="Core",Nonlabor!$F$15,MAX(Nonlabor!$F$15,IF(Nonlabor!$E$15="AI",Assumptions!$E$24,Assumptions!$E$25)))),AND(Nonlabor!$H$15="Annual",MOD(C3231-IF(Nonlabor!$E$15="Core",Nonlabor!$F$15,MAX(Nonlabor!$F$15,IF(Nonlabor!$E$15="AI",Assumptions!$E$24,Assumptions!$E$25))),12)=0))),IF(Nonlabor!$I$15="Fixed",1,IF(Nonlabor!$I$15="Seats",ROUNDUP('Monthly Growth'!I51,0),IF(Nonlabor!$I$15="Customers",'Monthly Growth'!D51,IF(Nonlabor!$I$15="NewCustomers",'Monthly Growth'!C51,IF(Nonlabor!$I$15="StorageGB",'Monthly Growth'!G51,IF(Nonlabor!$I$15="LogGB",'Monthly Growth'!H51,IF(Nonlabor!$I$15="RequestsM",'Monthly Growth'!F51,IF(Nonlabor!$I$15="InputM",'Monthly Growth'!D51*Assumptions!$E$22/1000000,IF(Nonlabor!$I$15="OutputM",'Monthly Growth'!D51*Assumptions!$E$23/1000000,0))))))))),0)</f>
        <v>0</v>
      </c>
      <c r="F3231" s="10" t="n">
        <f aca="false">Nonlabor!$J$15*(1+Assumptions!$E$9)^INT((C3231-1)/12)</f>
        <v>22497.28</v>
      </c>
      <c r="G3231" s="10" t="n">
        <f aca="false">E3231*F3231</f>
        <v>0</v>
      </c>
      <c r="H3231" s="10" t="n">
        <f aca="false">IF(OR(Nonlabor!$L$15="Quote required",Nonlabor!$L$15="Unverified"),G3231,0)</f>
        <v>0</v>
      </c>
      <c r="I3231" s="10" t="n">
        <f aca="false">IF(Nonlabor!$E$15="Core",0,G3231)</f>
        <v>0</v>
      </c>
      <c r="J3231" s="23" t="str">
        <f aca="false">Nonlabor!$B$15</f>
        <v>LEGAL</v>
      </c>
    </row>
    <row r="3232" customFormat="false" ht="15" hidden="false" customHeight="false" outlineLevel="0" collapsed="false">
      <c r="A3232" s="6" t="s">
        <v>73</v>
      </c>
      <c r="B3232" s="6" t="s">
        <v>402</v>
      </c>
      <c r="C3232" s="6" t="n">
        <v>47</v>
      </c>
      <c r="D3232" s="25" t="n">
        <f aca="false">EDATE('Start Here'!$B$6,C3232-1)</f>
        <v>47727</v>
      </c>
      <c r="E3232" s="23" t="n">
        <f aca="false">IF(AND(OR(Nonlabor!$D$15="Both",Nonlabor!$D$15='Start Here'!$B$9),IF(Nonlabor!$E$15="Core",1,IF(Nonlabor!$E$15="AI",'Start Here'!$B$7,'Start Here'!$B$8))=1,C3232&gt;=IF(Nonlabor!$E$15="Core",Nonlabor!$F$15,MAX(Nonlabor!$F$15,IF(Nonlabor!$E$15="AI",Assumptions!$E$24,Assumptions!$E$25))),C3232&lt;=Nonlabor!$G$15,OR(Nonlabor!$H$15="Monthly",AND(Nonlabor!$H$15="Once",C3232=IF(Nonlabor!$E$15="Core",Nonlabor!$F$15,MAX(Nonlabor!$F$15,IF(Nonlabor!$E$15="AI",Assumptions!$E$24,Assumptions!$E$25)))),AND(Nonlabor!$H$15="Annual",MOD(C3232-IF(Nonlabor!$E$15="Core",Nonlabor!$F$15,MAX(Nonlabor!$F$15,IF(Nonlabor!$E$15="AI",Assumptions!$E$24,Assumptions!$E$25))),12)=0))),IF(Nonlabor!$I$15="Fixed",1,IF(Nonlabor!$I$15="Seats",ROUNDUP('Monthly Growth'!I52,0),IF(Nonlabor!$I$15="Customers",'Monthly Growth'!D52,IF(Nonlabor!$I$15="NewCustomers",'Monthly Growth'!C52,IF(Nonlabor!$I$15="StorageGB",'Monthly Growth'!G52,IF(Nonlabor!$I$15="LogGB",'Monthly Growth'!H52,IF(Nonlabor!$I$15="RequestsM",'Monthly Growth'!F52,IF(Nonlabor!$I$15="InputM",'Monthly Growth'!D52*Assumptions!$E$22/1000000,IF(Nonlabor!$I$15="OutputM",'Monthly Growth'!D52*Assumptions!$E$23/1000000,0))))))))),0)</f>
        <v>0</v>
      </c>
      <c r="F3232" s="10" t="n">
        <f aca="false">Nonlabor!$J$15*(1+Assumptions!$E$9)^INT((C3232-1)/12)</f>
        <v>22497.28</v>
      </c>
      <c r="G3232" s="10" t="n">
        <f aca="false">E3232*F3232</f>
        <v>0</v>
      </c>
      <c r="H3232" s="10" t="n">
        <f aca="false">IF(OR(Nonlabor!$L$15="Quote required",Nonlabor!$L$15="Unverified"),G3232,0)</f>
        <v>0</v>
      </c>
      <c r="I3232" s="10" t="n">
        <f aca="false">IF(Nonlabor!$E$15="Core",0,G3232)</f>
        <v>0</v>
      </c>
      <c r="J3232" s="23" t="str">
        <f aca="false">Nonlabor!$B$15</f>
        <v>LEGAL</v>
      </c>
    </row>
    <row r="3233" customFormat="false" ht="15" hidden="false" customHeight="false" outlineLevel="0" collapsed="false">
      <c r="A3233" s="6" t="s">
        <v>73</v>
      </c>
      <c r="B3233" s="6" t="s">
        <v>402</v>
      </c>
      <c r="C3233" s="6" t="n">
        <v>48</v>
      </c>
      <c r="D3233" s="25" t="n">
        <f aca="false">EDATE('Start Here'!$B$6,C3233-1)</f>
        <v>47757</v>
      </c>
      <c r="E3233" s="23" t="n">
        <f aca="false">IF(AND(OR(Nonlabor!$D$15="Both",Nonlabor!$D$15='Start Here'!$B$9),IF(Nonlabor!$E$15="Core",1,IF(Nonlabor!$E$15="AI",'Start Here'!$B$7,'Start Here'!$B$8))=1,C3233&gt;=IF(Nonlabor!$E$15="Core",Nonlabor!$F$15,MAX(Nonlabor!$F$15,IF(Nonlabor!$E$15="AI",Assumptions!$E$24,Assumptions!$E$25))),C3233&lt;=Nonlabor!$G$15,OR(Nonlabor!$H$15="Monthly",AND(Nonlabor!$H$15="Once",C3233=IF(Nonlabor!$E$15="Core",Nonlabor!$F$15,MAX(Nonlabor!$F$15,IF(Nonlabor!$E$15="AI",Assumptions!$E$24,Assumptions!$E$25)))),AND(Nonlabor!$H$15="Annual",MOD(C3233-IF(Nonlabor!$E$15="Core",Nonlabor!$F$15,MAX(Nonlabor!$F$15,IF(Nonlabor!$E$15="AI",Assumptions!$E$24,Assumptions!$E$25))),12)=0))),IF(Nonlabor!$I$15="Fixed",1,IF(Nonlabor!$I$15="Seats",ROUNDUP('Monthly Growth'!I53,0),IF(Nonlabor!$I$15="Customers",'Monthly Growth'!D53,IF(Nonlabor!$I$15="NewCustomers",'Monthly Growth'!C53,IF(Nonlabor!$I$15="StorageGB",'Monthly Growth'!G53,IF(Nonlabor!$I$15="LogGB",'Monthly Growth'!H53,IF(Nonlabor!$I$15="RequestsM",'Monthly Growth'!F53,IF(Nonlabor!$I$15="InputM",'Monthly Growth'!D53*Assumptions!$E$22/1000000,IF(Nonlabor!$I$15="OutputM",'Monthly Growth'!D53*Assumptions!$E$23/1000000,0))))))))),0)</f>
        <v>0</v>
      </c>
      <c r="F3233" s="10" t="n">
        <f aca="false">Nonlabor!$J$15*(1+Assumptions!$E$9)^INT((C3233-1)/12)</f>
        <v>22497.28</v>
      </c>
      <c r="G3233" s="10" t="n">
        <f aca="false">E3233*F3233</f>
        <v>0</v>
      </c>
      <c r="H3233" s="10" t="n">
        <f aca="false">IF(OR(Nonlabor!$L$15="Quote required",Nonlabor!$L$15="Unverified"),G3233,0)</f>
        <v>0</v>
      </c>
      <c r="I3233" s="10" t="n">
        <f aca="false">IF(Nonlabor!$E$15="Core",0,G3233)</f>
        <v>0</v>
      </c>
      <c r="J3233" s="23" t="str">
        <f aca="false">Nonlabor!$B$15</f>
        <v>LEGAL</v>
      </c>
    </row>
    <row r="3234" customFormat="false" ht="15" hidden="false" customHeight="false" outlineLevel="0" collapsed="false">
      <c r="A3234" s="6" t="s">
        <v>73</v>
      </c>
      <c r="B3234" s="6" t="s">
        <v>402</v>
      </c>
      <c r="C3234" s="6" t="n">
        <v>49</v>
      </c>
      <c r="D3234" s="25" t="n">
        <f aca="false">EDATE('Start Here'!$B$6,C3234-1)</f>
        <v>47788</v>
      </c>
      <c r="E3234" s="23" t="n">
        <f aca="false">IF(AND(OR(Nonlabor!$D$15="Both",Nonlabor!$D$15='Start Here'!$B$9),IF(Nonlabor!$E$15="Core",1,IF(Nonlabor!$E$15="AI",'Start Here'!$B$7,'Start Here'!$B$8))=1,C3234&gt;=IF(Nonlabor!$E$15="Core",Nonlabor!$F$15,MAX(Nonlabor!$F$15,IF(Nonlabor!$E$15="AI",Assumptions!$E$24,Assumptions!$E$25))),C3234&lt;=Nonlabor!$G$15,OR(Nonlabor!$H$15="Monthly",AND(Nonlabor!$H$15="Once",C3234=IF(Nonlabor!$E$15="Core",Nonlabor!$F$15,MAX(Nonlabor!$F$15,IF(Nonlabor!$E$15="AI",Assumptions!$E$24,Assumptions!$E$25)))),AND(Nonlabor!$H$15="Annual",MOD(C3234-IF(Nonlabor!$E$15="Core",Nonlabor!$F$15,MAX(Nonlabor!$F$15,IF(Nonlabor!$E$15="AI",Assumptions!$E$24,Assumptions!$E$25))),12)=0))),IF(Nonlabor!$I$15="Fixed",1,IF(Nonlabor!$I$15="Seats",ROUNDUP('Monthly Growth'!I54,0),IF(Nonlabor!$I$15="Customers",'Monthly Growth'!D54,IF(Nonlabor!$I$15="NewCustomers",'Monthly Growth'!C54,IF(Nonlabor!$I$15="StorageGB",'Monthly Growth'!G54,IF(Nonlabor!$I$15="LogGB",'Monthly Growth'!H54,IF(Nonlabor!$I$15="RequestsM",'Monthly Growth'!F54,IF(Nonlabor!$I$15="InputM",'Monthly Growth'!D54*Assumptions!$E$22/1000000,IF(Nonlabor!$I$15="OutputM",'Monthly Growth'!D54*Assumptions!$E$23/1000000,0))))))))),0)</f>
        <v>0</v>
      </c>
      <c r="F3234" s="10" t="n">
        <f aca="false">Nonlabor!$J$15*(1+Assumptions!$E$9)^INT((C3234-1)/12)</f>
        <v>23397.1712</v>
      </c>
      <c r="G3234" s="10" t="n">
        <f aca="false">E3234*F3234</f>
        <v>0</v>
      </c>
      <c r="H3234" s="10" t="n">
        <f aca="false">IF(OR(Nonlabor!$L$15="Quote required",Nonlabor!$L$15="Unverified"),G3234,0)</f>
        <v>0</v>
      </c>
      <c r="I3234" s="10" t="n">
        <f aca="false">IF(Nonlabor!$E$15="Core",0,G3234)</f>
        <v>0</v>
      </c>
      <c r="J3234" s="23" t="str">
        <f aca="false">Nonlabor!$B$15</f>
        <v>LEGAL</v>
      </c>
    </row>
    <row r="3235" customFormat="false" ht="15" hidden="false" customHeight="false" outlineLevel="0" collapsed="false">
      <c r="A3235" s="6" t="s">
        <v>73</v>
      </c>
      <c r="B3235" s="6" t="s">
        <v>402</v>
      </c>
      <c r="C3235" s="6" t="n">
        <v>50</v>
      </c>
      <c r="D3235" s="25" t="n">
        <f aca="false">EDATE('Start Here'!$B$6,C3235-1)</f>
        <v>47818</v>
      </c>
      <c r="E3235" s="23" t="n">
        <f aca="false">IF(AND(OR(Nonlabor!$D$15="Both",Nonlabor!$D$15='Start Here'!$B$9),IF(Nonlabor!$E$15="Core",1,IF(Nonlabor!$E$15="AI",'Start Here'!$B$7,'Start Here'!$B$8))=1,C3235&gt;=IF(Nonlabor!$E$15="Core",Nonlabor!$F$15,MAX(Nonlabor!$F$15,IF(Nonlabor!$E$15="AI",Assumptions!$E$24,Assumptions!$E$25))),C3235&lt;=Nonlabor!$G$15,OR(Nonlabor!$H$15="Monthly",AND(Nonlabor!$H$15="Once",C3235=IF(Nonlabor!$E$15="Core",Nonlabor!$F$15,MAX(Nonlabor!$F$15,IF(Nonlabor!$E$15="AI",Assumptions!$E$24,Assumptions!$E$25)))),AND(Nonlabor!$H$15="Annual",MOD(C3235-IF(Nonlabor!$E$15="Core",Nonlabor!$F$15,MAX(Nonlabor!$F$15,IF(Nonlabor!$E$15="AI",Assumptions!$E$24,Assumptions!$E$25))),12)=0))),IF(Nonlabor!$I$15="Fixed",1,IF(Nonlabor!$I$15="Seats",ROUNDUP('Monthly Growth'!I55,0),IF(Nonlabor!$I$15="Customers",'Monthly Growth'!D55,IF(Nonlabor!$I$15="NewCustomers",'Monthly Growth'!C55,IF(Nonlabor!$I$15="StorageGB",'Monthly Growth'!G55,IF(Nonlabor!$I$15="LogGB",'Monthly Growth'!H55,IF(Nonlabor!$I$15="RequestsM",'Monthly Growth'!F55,IF(Nonlabor!$I$15="InputM",'Monthly Growth'!D55*Assumptions!$E$22/1000000,IF(Nonlabor!$I$15="OutputM",'Monthly Growth'!D55*Assumptions!$E$23/1000000,0))))))))),0)</f>
        <v>0</v>
      </c>
      <c r="F3235" s="10" t="n">
        <f aca="false">Nonlabor!$J$15*(1+Assumptions!$E$9)^INT((C3235-1)/12)</f>
        <v>23397.1712</v>
      </c>
      <c r="G3235" s="10" t="n">
        <f aca="false">E3235*F3235</f>
        <v>0</v>
      </c>
      <c r="H3235" s="10" t="n">
        <f aca="false">IF(OR(Nonlabor!$L$15="Quote required",Nonlabor!$L$15="Unverified"),G3235,0)</f>
        <v>0</v>
      </c>
      <c r="I3235" s="10" t="n">
        <f aca="false">IF(Nonlabor!$E$15="Core",0,G3235)</f>
        <v>0</v>
      </c>
      <c r="J3235" s="23" t="str">
        <f aca="false">Nonlabor!$B$15</f>
        <v>LEGAL</v>
      </c>
    </row>
    <row r="3236" customFormat="false" ht="15" hidden="false" customHeight="false" outlineLevel="0" collapsed="false">
      <c r="A3236" s="6" t="s">
        <v>73</v>
      </c>
      <c r="B3236" s="6" t="s">
        <v>402</v>
      </c>
      <c r="C3236" s="6" t="n">
        <v>51</v>
      </c>
      <c r="D3236" s="25" t="n">
        <f aca="false">EDATE('Start Here'!$B$6,C3236-1)</f>
        <v>47849</v>
      </c>
      <c r="E3236" s="23" t="n">
        <f aca="false">IF(AND(OR(Nonlabor!$D$15="Both",Nonlabor!$D$15='Start Here'!$B$9),IF(Nonlabor!$E$15="Core",1,IF(Nonlabor!$E$15="AI",'Start Here'!$B$7,'Start Here'!$B$8))=1,C3236&gt;=IF(Nonlabor!$E$15="Core",Nonlabor!$F$15,MAX(Nonlabor!$F$15,IF(Nonlabor!$E$15="AI",Assumptions!$E$24,Assumptions!$E$25))),C3236&lt;=Nonlabor!$G$15,OR(Nonlabor!$H$15="Monthly",AND(Nonlabor!$H$15="Once",C3236=IF(Nonlabor!$E$15="Core",Nonlabor!$F$15,MAX(Nonlabor!$F$15,IF(Nonlabor!$E$15="AI",Assumptions!$E$24,Assumptions!$E$25)))),AND(Nonlabor!$H$15="Annual",MOD(C3236-IF(Nonlabor!$E$15="Core",Nonlabor!$F$15,MAX(Nonlabor!$F$15,IF(Nonlabor!$E$15="AI",Assumptions!$E$24,Assumptions!$E$25))),12)=0))),IF(Nonlabor!$I$15="Fixed",1,IF(Nonlabor!$I$15="Seats",ROUNDUP('Monthly Growth'!I56,0),IF(Nonlabor!$I$15="Customers",'Monthly Growth'!D56,IF(Nonlabor!$I$15="NewCustomers",'Monthly Growth'!C56,IF(Nonlabor!$I$15="StorageGB",'Monthly Growth'!G56,IF(Nonlabor!$I$15="LogGB",'Monthly Growth'!H56,IF(Nonlabor!$I$15="RequestsM",'Monthly Growth'!F56,IF(Nonlabor!$I$15="InputM",'Monthly Growth'!D56*Assumptions!$E$22/1000000,IF(Nonlabor!$I$15="OutputM",'Monthly Growth'!D56*Assumptions!$E$23/1000000,0))))))))),0)</f>
        <v>0</v>
      </c>
      <c r="F3236" s="10" t="n">
        <f aca="false">Nonlabor!$J$15*(1+Assumptions!$E$9)^INT((C3236-1)/12)</f>
        <v>23397.1712</v>
      </c>
      <c r="G3236" s="10" t="n">
        <f aca="false">E3236*F3236</f>
        <v>0</v>
      </c>
      <c r="H3236" s="10" t="n">
        <f aca="false">IF(OR(Nonlabor!$L$15="Quote required",Nonlabor!$L$15="Unverified"),G3236,0)</f>
        <v>0</v>
      </c>
      <c r="I3236" s="10" t="n">
        <f aca="false">IF(Nonlabor!$E$15="Core",0,G3236)</f>
        <v>0</v>
      </c>
      <c r="J3236" s="23" t="str">
        <f aca="false">Nonlabor!$B$15</f>
        <v>LEGAL</v>
      </c>
    </row>
    <row r="3237" customFormat="false" ht="15" hidden="false" customHeight="false" outlineLevel="0" collapsed="false">
      <c r="A3237" s="6" t="s">
        <v>73</v>
      </c>
      <c r="B3237" s="6" t="s">
        <v>402</v>
      </c>
      <c r="C3237" s="6" t="n">
        <v>52</v>
      </c>
      <c r="D3237" s="25" t="n">
        <f aca="false">EDATE('Start Here'!$B$6,C3237-1)</f>
        <v>47880</v>
      </c>
      <c r="E3237" s="23" t="n">
        <f aca="false">IF(AND(OR(Nonlabor!$D$15="Both",Nonlabor!$D$15='Start Here'!$B$9),IF(Nonlabor!$E$15="Core",1,IF(Nonlabor!$E$15="AI",'Start Here'!$B$7,'Start Here'!$B$8))=1,C3237&gt;=IF(Nonlabor!$E$15="Core",Nonlabor!$F$15,MAX(Nonlabor!$F$15,IF(Nonlabor!$E$15="AI",Assumptions!$E$24,Assumptions!$E$25))),C3237&lt;=Nonlabor!$G$15,OR(Nonlabor!$H$15="Monthly",AND(Nonlabor!$H$15="Once",C3237=IF(Nonlabor!$E$15="Core",Nonlabor!$F$15,MAX(Nonlabor!$F$15,IF(Nonlabor!$E$15="AI",Assumptions!$E$24,Assumptions!$E$25)))),AND(Nonlabor!$H$15="Annual",MOD(C3237-IF(Nonlabor!$E$15="Core",Nonlabor!$F$15,MAX(Nonlabor!$F$15,IF(Nonlabor!$E$15="AI",Assumptions!$E$24,Assumptions!$E$25))),12)=0))),IF(Nonlabor!$I$15="Fixed",1,IF(Nonlabor!$I$15="Seats",ROUNDUP('Monthly Growth'!I57,0),IF(Nonlabor!$I$15="Customers",'Monthly Growth'!D57,IF(Nonlabor!$I$15="NewCustomers",'Monthly Growth'!C57,IF(Nonlabor!$I$15="StorageGB",'Monthly Growth'!G57,IF(Nonlabor!$I$15="LogGB",'Monthly Growth'!H57,IF(Nonlabor!$I$15="RequestsM",'Monthly Growth'!F57,IF(Nonlabor!$I$15="InputM",'Monthly Growth'!D57*Assumptions!$E$22/1000000,IF(Nonlabor!$I$15="OutputM",'Monthly Growth'!D57*Assumptions!$E$23/1000000,0))))))))),0)</f>
        <v>0</v>
      </c>
      <c r="F3237" s="10" t="n">
        <f aca="false">Nonlabor!$J$15*(1+Assumptions!$E$9)^INT((C3237-1)/12)</f>
        <v>23397.1712</v>
      </c>
      <c r="G3237" s="10" t="n">
        <f aca="false">E3237*F3237</f>
        <v>0</v>
      </c>
      <c r="H3237" s="10" t="n">
        <f aca="false">IF(OR(Nonlabor!$L$15="Quote required",Nonlabor!$L$15="Unverified"),G3237,0)</f>
        <v>0</v>
      </c>
      <c r="I3237" s="10" t="n">
        <f aca="false">IF(Nonlabor!$E$15="Core",0,G3237)</f>
        <v>0</v>
      </c>
      <c r="J3237" s="23" t="str">
        <f aca="false">Nonlabor!$B$15</f>
        <v>LEGAL</v>
      </c>
    </row>
    <row r="3238" customFormat="false" ht="15" hidden="false" customHeight="false" outlineLevel="0" collapsed="false">
      <c r="A3238" s="6" t="s">
        <v>73</v>
      </c>
      <c r="B3238" s="6" t="s">
        <v>402</v>
      </c>
      <c r="C3238" s="6" t="n">
        <v>53</v>
      </c>
      <c r="D3238" s="25" t="n">
        <f aca="false">EDATE('Start Here'!$B$6,C3238-1)</f>
        <v>47908</v>
      </c>
      <c r="E3238" s="23" t="n">
        <f aca="false">IF(AND(OR(Nonlabor!$D$15="Both",Nonlabor!$D$15='Start Here'!$B$9),IF(Nonlabor!$E$15="Core",1,IF(Nonlabor!$E$15="AI",'Start Here'!$B$7,'Start Here'!$B$8))=1,C3238&gt;=IF(Nonlabor!$E$15="Core",Nonlabor!$F$15,MAX(Nonlabor!$F$15,IF(Nonlabor!$E$15="AI",Assumptions!$E$24,Assumptions!$E$25))),C3238&lt;=Nonlabor!$G$15,OR(Nonlabor!$H$15="Monthly",AND(Nonlabor!$H$15="Once",C3238=IF(Nonlabor!$E$15="Core",Nonlabor!$F$15,MAX(Nonlabor!$F$15,IF(Nonlabor!$E$15="AI",Assumptions!$E$24,Assumptions!$E$25)))),AND(Nonlabor!$H$15="Annual",MOD(C3238-IF(Nonlabor!$E$15="Core",Nonlabor!$F$15,MAX(Nonlabor!$F$15,IF(Nonlabor!$E$15="AI",Assumptions!$E$24,Assumptions!$E$25))),12)=0))),IF(Nonlabor!$I$15="Fixed",1,IF(Nonlabor!$I$15="Seats",ROUNDUP('Monthly Growth'!I58,0),IF(Nonlabor!$I$15="Customers",'Monthly Growth'!D58,IF(Nonlabor!$I$15="NewCustomers",'Monthly Growth'!C58,IF(Nonlabor!$I$15="StorageGB",'Monthly Growth'!G58,IF(Nonlabor!$I$15="LogGB",'Monthly Growth'!H58,IF(Nonlabor!$I$15="RequestsM",'Monthly Growth'!F58,IF(Nonlabor!$I$15="InputM",'Monthly Growth'!D58*Assumptions!$E$22/1000000,IF(Nonlabor!$I$15="OutputM",'Monthly Growth'!D58*Assumptions!$E$23/1000000,0))))))))),0)</f>
        <v>0</v>
      </c>
      <c r="F3238" s="10" t="n">
        <f aca="false">Nonlabor!$J$15*(1+Assumptions!$E$9)^INT((C3238-1)/12)</f>
        <v>23397.1712</v>
      </c>
      <c r="G3238" s="10" t="n">
        <f aca="false">E3238*F3238</f>
        <v>0</v>
      </c>
      <c r="H3238" s="10" t="n">
        <f aca="false">IF(OR(Nonlabor!$L$15="Quote required",Nonlabor!$L$15="Unverified"),G3238,0)</f>
        <v>0</v>
      </c>
      <c r="I3238" s="10" t="n">
        <f aca="false">IF(Nonlabor!$E$15="Core",0,G3238)</f>
        <v>0</v>
      </c>
      <c r="J3238" s="23" t="str">
        <f aca="false">Nonlabor!$B$15</f>
        <v>LEGAL</v>
      </c>
    </row>
    <row r="3239" customFormat="false" ht="15" hidden="false" customHeight="false" outlineLevel="0" collapsed="false">
      <c r="A3239" s="6" t="s">
        <v>73</v>
      </c>
      <c r="B3239" s="6" t="s">
        <v>402</v>
      </c>
      <c r="C3239" s="6" t="n">
        <v>54</v>
      </c>
      <c r="D3239" s="25" t="n">
        <f aca="false">EDATE('Start Here'!$B$6,C3239-1)</f>
        <v>47939</v>
      </c>
      <c r="E3239" s="23" t="n">
        <f aca="false">IF(AND(OR(Nonlabor!$D$15="Both",Nonlabor!$D$15='Start Here'!$B$9),IF(Nonlabor!$E$15="Core",1,IF(Nonlabor!$E$15="AI",'Start Here'!$B$7,'Start Here'!$B$8))=1,C3239&gt;=IF(Nonlabor!$E$15="Core",Nonlabor!$F$15,MAX(Nonlabor!$F$15,IF(Nonlabor!$E$15="AI",Assumptions!$E$24,Assumptions!$E$25))),C3239&lt;=Nonlabor!$G$15,OR(Nonlabor!$H$15="Monthly",AND(Nonlabor!$H$15="Once",C3239=IF(Nonlabor!$E$15="Core",Nonlabor!$F$15,MAX(Nonlabor!$F$15,IF(Nonlabor!$E$15="AI",Assumptions!$E$24,Assumptions!$E$25)))),AND(Nonlabor!$H$15="Annual",MOD(C3239-IF(Nonlabor!$E$15="Core",Nonlabor!$F$15,MAX(Nonlabor!$F$15,IF(Nonlabor!$E$15="AI",Assumptions!$E$24,Assumptions!$E$25))),12)=0))),IF(Nonlabor!$I$15="Fixed",1,IF(Nonlabor!$I$15="Seats",ROUNDUP('Monthly Growth'!I59,0),IF(Nonlabor!$I$15="Customers",'Monthly Growth'!D59,IF(Nonlabor!$I$15="NewCustomers",'Monthly Growth'!C59,IF(Nonlabor!$I$15="StorageGB",'Monthly Growth'!G59,IF(Nonlabor!$I$15="LogGB",'Monthly Growth'!H59,IF(Nonlabor!$I$15="RequestsM",'Monthly Growth'!F59,IF(Nonlabor!$I$15="InputM",'Monthly Growth'!D59*Assumptions!$E$22/1000000,IF(Nonlabor!$I$15="OutputM",'Monthly Growth'!D59*Assumptions!$E$23/1000000,0))))))))),0)</f>
        <v>0</v>
      </c>
      <c r="F3239" s="10" t="n">
        <f aca="false">Nonlabor!$J$15*(1+Assumptions!$E$9)^INT((C3239-1)/12)</f>
        <v>23397.1712</v>
      </c>
      <c r="G3239" s="10" t="n">
        <f aca="false">E3239*F3239</f>
        <v>0</v>
      </c>
      <c r="H3239" s="10" t="n">
        <f aca="false">IF(OR(Nonlabor!$L$15="Quote required",Nonlabor!$L$15="Unverified"),G3239,0)</f>
        <v>0</v>
      </c>
      <c r="I3239" s="10" t="n">
        <f aca="false">IF(Nonlabor!$E$15="Core",0,G3239)</f>
        <v>0</v>
      </c>
      <c r="J3239" s="23" t="str">
        <f aca="false">Nonlabor!$B$15</f>
        <v>LEGAL</v>
      </c>
    </row>
    <row r="3240" customFormat="false" ht="15" hidden="false" customHeight="false" outlineLevel="0" collapsed="false">
      <c r="A3240" s="6" t="s">
        <v>73</v>
      </c>
      <c r="B3240" s="6" t="s">
        <v>402</v>
      </c>
      <c r="C3240" s="6" t="n">
        <v>55</v>
      </c>
      <c r="D3240" s="25" t="n">
        <f aca="false">EDATE('Start Here'!$B$6,C3240-1)</f>
        <v>47969</v>
      </c>
      <c r="E3240" s="23" t="n">
        <f aca="false">IF(AND(OR(Nonlabor!$D$15="Both",Nonlabor!$D$15='Start Here'!$B$9),IF(Nonlabor!$E$15="Core",1,IF(Nonlabor!$E$15="AI",'Start Here'!$B$7,'Start Here'!$B$8))=1,C3240&gt;=IF(Nonlabor!$E$15="Core",Nonlabor!$F$15,MAX(Nonlabor!$F$15,IF(Nonlabor!$E$15="AI",Assumptions!$E$24,Assumptions!$E$25))),C3240&lt;=Nonlabor!$G$15,OR(Nonlabor!$H$15="Monthly",AND(Nonlabor!$H$15="Once",C3240=IF(Nonlabor!$E$15="Core",Nonlabor!$F$15,MAX(Nonlabor!$F$15,IF(Nonlabor!$E$15="AI",Assumptions!$E$24,Assumptions!$E$25)))),AND(Nonlabor!$H$15="Annual",MOD(C3240-IF(Nonlabor!$E$15="Core",Nonlabor!$F$15,MAX(Nonlabor!$F$15,IF(Nonlabor!$E$15="AI",Assumptions!$E$24,Assumptions!$E$25))),12)=0))),IF(Nonlabor!$I$15="Fixed",1,IF(Nonlabor!$I$15="Seats",ROUNDUP('Monthly Growth'!I60,0),IF(Nonlabor!$I$15="Customers",'Monthly Growth'!D60,IF(Nonlabor!$I$15="NewCustomers",'Monthly Growth'!C60,IF(Nonlabor!$I$15="StorageGB",'Monthly Growth'!G60,IF(Nonlabor!$I$15="LogGB",'Monthly Growth'!H60,IF(Nonlabor!$I$15="RequestsM",'Monthly Growth'!F60,IF(Nonlabor!$I$15="InputM",'Monthly Growth'!D60*Assumptions!$E$22/1000000,IF(Nonlabor!$I$15="OutputM",'Monthly Growth'!D60*Assumptions!$E$23/1000000,0))))))))),0)</f>
        <v>0</v>
      </c>
      <c r="F3240" s="10" t="n">
        <f aca="false">Nonlabor!$J$15*(1+Assumptions!$E$9)^INT((C3240-1)/12)</f>
        <v>23397.1712</v>
      </c>
      <c r="G3240" s="10" t="n">
        <f aca="false">E3240*F3240</f>
        <v>0</v>
      </c>
      <c r="H3240" s="10" t="n">
        <f aca="false">IF(OR(Nonlabor!$L$15="Quote required",Nonlabor!$L$15="Unverified"),G3240,0)</f>
        <v>0</v>
      </c>
      <c r="I3240" s="10" t="n">
        <f aca="false">IF(Nonlabor!$E$15="Core",0,G3240)</f>
        <v>0</v>
      </c>
      <c r="J3240" s="23" t="str">
        <f aca="false">Nonlabor!$B$15</f>
        <v>LEGAL</v>
      </c>
    </row>
    <row r="3241" customFormat="false" ht="15" hidden="false" customHeight="false" outlineLevel="0" collapsed="false">
      <c r="A3241" s="6" t="s">
        <v>73</v>
      </c>
      <c r="B3241" s="6" t="s">
        <v>402</v>
      </c>
      <c r="C3241" s="6" t="n">
        <v>56</v>
      </c>
      <c r="D3241" s="25" t="n">
        <f aca="false">EDATE('Start Here'!$B$6,C3241-1)</f>
        <v>48000</v>
      </c>
      <c r="E3241" s="23" t="n">
        <f aca="false">IF(AND(OR(Nonlabor!$D$15="Both",Nonlabor!$D$15='Start Here'!$B$9),IF(Nonlabor!$E$15="Core",1,IF(Nonlabor!$E$15="AI",'Start Here'!$B$7,'Start Here'!$B$8))=1,C3241&gt;=IF(Nonlabor!$E$15="Core",Nonlabor!$F$15,MAX(Nonlabor!$F$15,IF(Nonlabor!$E$15="AI",Assumptions!$E$24,Assumptions!$E$25))),C3241&lt;=Nonlabor!$G$15,OR(Nonlabor!$H$15="Monthly",AND(Nonlabor!$H$15="Once",C3241=IF(Nonlabor!$E$15="Core",Nonlabor!$F$15,MAX(Nonlabor!$F$15,IF(Nonlabor!$E$15="AI",Assumptions!$E$24,Assumptions!$E$25)))),AND(Nonlabor!$H$15="Annual",MOD(C3241-IF(Nonlabor!$E$15="Core",Nonlabor!$F$15,MAX(Nonlabor!$F$15,IF(Nonlabor!$E$15="AI",Assumptions!$E$24,Assumptions!$E$25))),12)=0))),IF(Nonlabor!$I$15="Fixed",1,IF(Nonlabor!$I$15="Seats",ROUNDUP('Monthly Growth'!I61,0),IF(Nonlabor!$I$15="Customers",'Monthly Growth'!D61,IF(Nonlabor!$I$15="NewCustomers",'Monthly Growth'!C61,IF(Nonlabor!$I$15="StorageGB",'Monthly Growth'!G61,IF(Nonlabor!$I$15="LogGB",'Monthly Growth'!H61,IF(Nonlabor!$I$15="RequestsM",'Monthly Growth'!F61,IF(Nonlabor!$I$15="InputM",'Monthly Growth'!D61*Assumptions!$E$22/1000000,IF(Nonlabor!$I$15="OutputM",'Monthly Growth'!D61*Assumptions!$E$23/1000000,0))))))))),0)</f>
        <v>0</v>
      </c>
      <c r="F3241" s="10" t="n">
        <f aca="false">Nonlabor!$J$15*(1+Assumptions!$E$9)^INT((C3241-1)/12)</f>
        <v>23397.1712</v>
      </c>
      <c r="G3241" s="10" t="n">
        <f aca="false">E3241*F3241</f>
        <v>0</v>
      </c>
      <c r="H3241" s="10" t="n">
        <f aca="false">IF(OR(Nonlabor!$L$15="Quote required",Nonlabor!$L$15="Unverified"),G3241,0)</f>
        <v>0</v>
      </c>
      <c r="I3241" s="10" t="n">
        <f aca="false">IF(Nonlabor!$E$15="Core",0,G3241)</f>
        <v>0</v>
      </c>
      <c r="J3241" s="23" t="str">
        <f aca="false">Nonlabor!$B$15</f>
        <v>LEGAL</v>
      </c>
    </row>
    <row r="3242" customFormat="false" ht="15" hidden="false" customHeight="false" outlineLevel="0" collapsed="false">
      <c r="A3242" s="6" t="s">
        <v>73</v>
      </c>
      <c r="B3242" s="6" t="s">
        <v>402</v>
      </c>
      <c r="C3242" s="6" t="n">
        <v>57</v>
      </c>
      <c r="D3242" s="25" t="n">
        <f aca="false">EDATE('Start Here'!$B$6,C3242-1)</f>
        <v>48030</v>
      </c>
      <c r="E3242" s="23" t="n">
        <f aca="false">IF(AND(OR(Nonlabor!$D$15="Both",Nonlabor!$D$15='Start Here'!$B$9),IF(Nonlabor!$E$15="Core",1,IF(Nonlabor!$E$15="AI",'Start Here'!$B$7,'Start Here'!$B$8))=1,C3242&gt;=IF(Nonlabor!$E$15="Core",Nonlabor!$F$15,MAX(Nonlabor!$F$15,IF(Nonlabor!$E$15="AI",Assumptions!$E$24,Assumptions!$E$25))),C3242&lt;=Nonlabor!$G$15,OR(Nonlabor!$H$15="Monthly",AND(Nonlabor!$H$15="Once",C3242=IF(Nonlabor!$E$15="Core",Nonlabor!$F$15,MAX(Nonlabor!$F$15,IF(Nonlabor!$E$15="AI",Assumptions!$E$24,Assumptions!$E$25)))),AND(Nonlabor!$H$15="Annual",MOD(C3242-IF(Nonlabor!$E$15="Core",Nonlabor!$F$15,MAX(Nonlabor!$F$15,IF(Nonlabor!$E$15="AI",Assumptions!$E$24,Assumptions!$E$25))),12)=0))),IF(Nonlabor!$I$15="Fixed",1,IF(Nonlabor!$I$15="Seats",ROUNDUP('Monthly Growth'!I62,0),IF(Nonlabor!$I$15="Customers",'Monthly Growth'!D62,IF(Nonlabor!$I$15="NewCustomers",'Monthly Growth'!C62,IF(Nonlabor!$I$15="StorageGB",'Monthly Growth'!G62,IF(Nonlabor!$I$15="LogGB",'Monthly Growth'!H62,IF(Nonlabor!$I$15="RequestsM",'Monthly Growth'!F62,IF(Nonlabor!$I$15="InputM",'Monthly Growth'!D62*Assumptions!$E$22/1000000,IF(Nonlabor!$I$15="OutputM",'Monthly Growth'!D62*Assumptions!$E$23/1000000,0))))))))),0)</f>
        <v>0</v>
      </c>
      <c r="F3242" s="10" t="n">
        <f aca="false">Nonlabor!$J$15*(1+Assumptions!$E$9)^INT((C3242-1)/12)</f>
        <v>23397.1712</v>
      </c>
      <c r="G3242" s="10" t="n">
        <f aca="false">E3242*F3242</f>
        <v>0</v>
      </c>
      <c r="H3242" s="10" t="n">
        <f aca="false">IF(OR(Nonlabor!$L$15="Quote required",Nonlabor!$L$15="Unverified"),G3242,0)</f>
        <v>0</v>
      </c>
      <c r="I3242" s="10" t="n">
        <f aca="false">IF(Nonlabor!$E$15="Core",0,G3242)</f>
        <v>0</v>
      </c>
      <c r="J3242" s="23" t="str">
        <f aca="false">Nonlabor!$B$15</f>
        <v>LEGAL</v>
      </c>
    </row>
    <row r="3243" customFormat="false" ht="15" hidden="false" customHeight="false" outlineLevel="0" collapsed="false">
      <c r="A3243" s="6" t="s">
        <v>73</v>
      </c>
      <c r="B3243" s="6" t="s">
        <v>402</v>
      </c>
      <c r="C3243" s="6" t="n">
        <v>58</v>
      </c>
      <c r="D3243" s="25" t="n">
        <f aca="false">EDATE('Start Here'!$B$6,C3243-1)</f>
        <v>48061</v>
      </c>
      <c r="E3243" s="23" t="n">
        <f aca="false">IF(AND(OR(Nonlabor!$D$15="Both",Nonlabor!$D$15='Start Here'!$B$9),IF(Nonlabor!$E$15="Core",1,IF(Nonlabor!$E$15="AI",'Start Here'!$B$7,'Start Here'!$B$8))=1,C3243&gt;=IF(Nonlabor!$E$15="Core",Nonlabor!$F$15,MAX(Nonlabor!$F$15,IF(Nonlabor!$E$15="AI",Assumptions!$E$24,Assumptions!$E$25))),C3243&lt;=Nonlabor!$G$15,OR(Nonlabor!$H$15="Monthly",AND(Nonlabor!$H$15="Once",C3243=IF(Nonlabor!$E$15="Core",Nonlabor!$F$15,MAX(Nonlabor!$F$15,IF(Nonlabor!$E$15="AI",Assumptions!$E$24,Assumptions!$E$25)))),AND(Nonlabor!$H$15="Annual",MOD(C3243-IF(Nonlabor!$E$15="Core",Nonlabor!$F$15,MAX(Nonlabor!$F$15,IF(Nonlabor!$E$15="AI",Assumptions!$E$24,Assumptions!$E$25))),12)=0))),IF(Nonlabor!$I$15="Fixed",1,IF(Nonlabor!$I$15="Seats",ROUNDUP('Monthly Growth'!I63,0),IF(Nonlabor!$I$15="Customers",'Monthly Growth'!D63,IF(Nonlabor!$I$15="NewCustomers",'Monthly Growth'!C63,IF(Nonlabor!$I$15="StorageGB",'Monthly Growth'!G63,IF(Nonlabor!$I$15="LogGB",'Monthly Growth'!H63,IF(Nonlabor!$I$15="RequestsM",'Monthly Growth'!F63,IF(Nonlabor!$I$15="InputM",'Monthly Growth'!D63*Assumptions!$E$22/1000000,IF(Nonlabor!$I$15="OutputM",'Monthly Growth'!D63*Assumptions!$E$23/1000000,0))))))))),0)</f>
        <v>0</v>
      </c>
      <c r="F3243" s="10" t="n">
        <f aca="false">Nonlabor!$J$15*(1+Assumptions!$E$9)^INT((C3243-1)/12)</f>
        <v>23397.1712</v>
      </c>
      <c r="G3243" s="10" t="n">
        <f aca="false">E3243*F3243</f>
        <v>0</v>
      </c>
      <c r="H3243" s="10" t="n">
        <f aca="false">IF(OR(Nonlabor!$L$15="Quote required",Nonlabor!$L$15="Unverified"),G3243,0)</f>
        <v>0</v>
      </c>
      <c r="I3243" s="10" t="n">
        <f aca="false">IF(Nonlabor!$E$15="Core",0,G3243)</f>
        <v>0</v>
      </c>
      <c r="J3243" s="23" t="str">
        <f aca="false">Nonlabor!$B$15</f>
        <v>LEGAL</v>
      </c>
    </row>
    <row r="3244" customFormat="false" ht="15" hidden="false" customHeight="false" outlineLevel="0" collapsed="false">
      <c r="A3244" s="6" t="s">
        <v>73</v>
      </c>
      <c r="B3244" s="6" t="s">
        <v>402</v>
      </c>
      <c r="C3244" s="6" t="n">
        <v>59</v>
      </c>
      <c r="D3244" s="25" t="n">
        <f aca="false">EDATE('Start Here'!$B$6,C3244-1)</f>
        <v>48092</v>
      </c>
      <c r="E3244" s="23" t="n">
        <f aca="false">IF(AND(OR(Nonlabor!$D$15="Both",Nonlabor!$D$15='Start Here'!$B$9),IF(Nonlabor!$E$15="Core",1,IF(Nonlabor!$E$15="AI",'Start Here'!$B$7,'Start Here'!$B$8))=1,C3244&gt;=IF(Nonlabor!$E$15="Core",Nonlabor!$F$15,MAX(Nonlabor!$F$15,IF(Nonlabor!$E$15="AI",Assumptions!$E$24,Assumptions!$E$25))),C3244&lt;=Nonlabor!$G$15,OR(Nonlabor!$H$15="Monthly",AND(Nonlabor!$H$15="Once",C3244=IF(Nonlabor!$E$15="Core",Nonlabor!$F$15,MAX(Nonlabor!$F$15,IF(Nonlabor!$E$15="AI",Assumptions!$E$24,Assumptions!$E$25)))),AND(Nonlabor!$H$15="Annual",MOD(C3244-IF(Nonlabor!$E$15="Core",Nonlabor!$F$15,MAX(Nonlabor!$F$15,IF(Nonlabor!$E$15="AI",Assumptions!$E$24,Assumptions!$E$25))),12)=0))),IF(Nonlabor!$I$15="Fixed",1,IF(Nonlabor!$I$15="Seats",ROUNDUP('Monthly Growth'!I64,0),IF(Nonlabor!$I$15="Customers",'Monthly Growth'!D64,IF(Nonlabor!$I$15="NewCustomers",'Monthly Growth'!C64,IF(Nonlabor!$I$15="StorageGB",'Monthly Growth'!G64,IF(Nonlabor!$I$15="LogGB",'Monthly Growth'!H64,IF(Nonlabor!$I$15="RequestsM",'Monthly Growth'!F64,IF(Nonlabor!$I$15="InputM",'Monthly Growth'!D64*Assumptions!$E$22/1000000,IF(Nonlabor!$I$15="OutputM",'Monthly Growth'!D64*Assumptions!$E$23/1000000,0))))))))),0)</f>
        <v>0</v>
      </c>
      <c r="F3244" s="10" t="n">
        <f aca="false">Nonlabor!$J$15*(1+Assumptions!$E$9)^INT((C3244-1)/12)</f>
        <v>23397.1712</v>
      </c>
      <c r="G3244" s="10" t="n">
        <f aca="false">E3244*F3244</f>
        <v>0</v>
      </c>
      <c r="H3244" s="10" t="n">
        <f aca="false">IF(OR(Nonlabor!$L$15="Quote required",Nonlabor!$L$15="Unverified"),G3244,0)</f>
        <v>0</v>
      </c>
      <c r="I3244" s="10" t="n">
        <f aca="false">IF(Nonlabor!$E$15="Core",0,G3244)</f>
        <v>0</v>
      </c>
      <c r="J3244" s="23" t="str">
        <f aca="false">Nonlabor!$B$15</f>
        <v>LEGAL</v>
      </c>
    </row>
    <row r="3245" customFormat="false" ht="15" hidden="false" customHeight="false" outlineLevel="0" collapsed="false">
      <c r="A3245" s="6" t="s">
        <v>73</v>
      </c>
      <c r="B3245" s="6" t="s">
        <v>402</v>
      </c>
      <c r="C3245" s="6" t="n">
        <v>60</v>
      </c>
      <c r="D3245" s="25" t="n">
        <f aca="false">EDATE('Start Here'!$B$6,C3245-1)</f>
        <v>48122</v>
      </c>
      <c r="E3245" s="23" t="n">
        <f aca="false">IF(AND(OR(Nonlabor!$D$15="Both",Nonlabor!$D$15='Start Here'!$B$9),IF(Nonlabor!$E$15="Core",1,IF(Nonlabor!$E$15="AI",'Start Here'!$B$7,'Start Here'!$B$8))=1,C3245&gt;=IF(Nonlabor!$E$15="Core",Nonlabor!$F$15,MAX(Nonlabor!$F$15,IF(Nonlabor!$E$15="AI",Assumptions!$E$24,Assumptions!$E$25))),C3245&lt;=Nonlabor!$G$15,OR(Nonlabor!$H$15="Monthly",AND(Nonlabor!$H$15="Once",C3245=IF(Nonlabor!$E$15="Core",Nonlabor!$F$15,MAX(Nonlabor!$F$15,IF(Nonlabor!$E$15="AI",Assumptions!$E$24,Assumptions!$E$25)))),AND(Nonlabor!$H$15="Annual",MOD(C3245-IF(Nonlabor!$E$15="Core",Nonlabor!$F$15,MAX(Nonlabor!$F$15,IF(Nonlabor!$E$15="AI",Assumptions!$E$24,Assumptions!$E$25))),12)=0))),IF(Nonlabor!$I$15="Fixed",1,IF(Nonlabor!$I$15="Seats",ROUNDUP('Monthly Growth'!I65,0),IF(Nonlabor!$I$15="Customers",'Monthly Growth'!D65,IF(Nonlabor!$I$15="NewCustomers",'Monthly Growth'!C65,IF(Nonlabor!$I$15="StorageGB",'Monthly Growth'!G65,IF(Nonlabor!$I$15="LogGB",'Monthly Growth'!H65,IF(Nonlabor!$I$15="RequestsM",'Monthly Growth'!F65,IF(Nonlabor!$I$15="InputM",'Monthly Growth'!D65*Assumptions!$E$22/1000000,IF(Nonlabor!$I$15="OutputM",'Monthly Growth'!D65*Assumptions!$E$23/1000000,0))))))))),0)</f>
        <v>0</v>
      </c>
      <c r="F3245" s="10" t="n">
        <f aca="false">Nonlabor!$J$15*(1+Assumptions!$E$9)^INT((C3245-1)/12)</f>
        <v>23397.1712</v>
      </c>
      <c r="G3245" s="10" t="n">
        <f aca="false">E3245*F3245</f>
        <v>0</v>
      </c>
      <c r="H3245" s="10" t="n">
        <f aca="false">IF(OR(Nonlabor!$L$15="Quote required",Nonlabor!$L$15="Unverified"),G3245,0)</f>
        <v>0</v>
      </c>
      <c r="I3245" s="10" t="n">
        <f aca="false">IF(Nonlabor!$E$15="Core",0,G3245)</f>
        <v>0</v>
      </c>
      <c r="J3245" s="23" t="str">
        <f aca="false">Nonlabor!$B$15</f>
        <v>LEGAL</v>
      </c>
    </row>
    <row r="3246" customFormat="false" ht="15" hidden="false" customHeight="false" outlineLevel="0" collapsed="false">
      <c r="A3246" s="6" t="s">
        <v>73</v>
      </c>
      <c r="B3246" s="6" t="s">
        <v>406</v>
      </c>
      <c r="C3246" s="6" t="n">
        <v>1</v>
      </c>
      <c r="D3246" s="25" t="n">
        <f aca="false">EDATE('Start Here'!$B$6,C3246-1)</f>
        <v>46327</v>
      </c>
      <c r="E3246" s="23" t="n">
        <f aca="false">IF(AND(OR(Nonlabor!$D$16="Both",Nonlabor!$D$16='Start Here'!$B$9),IF(Nonlabor!$E$16="Core",1,IF(Nonlabor!$E$16="AI",'Start Here'!$B$7,'Start Here'!$B$8))=1,C3246&gt;=IF(Nonlabor!$E$16="Core",Nonlabor!$F$16,MAX(Nonlabor!$F$16,IF(Nonlabor!$E$16="AI",Assumptions!$E$24,Assumptions!$E$25))),C3246&lt;=Nonlabor!$G$16,OR(Nonlabor!$H$16="Monthly",AND(Nonlabor!$H$16="Once",C3246=IF(Nonlabor!$E$16="Core",Nonlabor!$F$16,MAX(Nonlabor!$F$16,IF(Nonlabor!$E$16="AI",Assumptions!$E$24,Assumptions!$E$25)))),AND(Nonlabor!$H$16="Annual",MOD(C3246-IF(Nonlabor!$E$16="Core",Nonlabor!$F$16,MAX(Nonlabor!$F$16,IF(Nonlabor!$E$16="AI",Assumptions!$E$24,Assumptions!$E$25))),12)=0))),IF(Nonlabor!$I$16="Fixed",1,IF(Nonlabor!$I$16="Seats",ROUNDUP('Monthly Growth'!I6,0),IF(Nonlabor!$I$16="Customers",'Monthly Growth'!D6,IF(Nonlabor!$I$16="NewCustomers",'Monthly Growth'!C6,IF(Nonlabor!$I$16="StorageGB",'Monthly Growth'!G6,IF(Nonlabor!$I$16="LogGB",'Monthly Growth'!H6,IF(Nonlabor!$I$16="RequestsM",'Monthly Growth'!F6,IF(Nonlabor!$I$16="InputM",'Monthly Growth'!D6*Assumptions!$E$22/1000000,IF(Nonlabor!$I$16="OutputM",'Monthly Growth'!D6*Assumptions!$E$23/1000000,0))))))))),0)</f>
        <v>0</v>
      </c>
      <c r="F3246" s="10" t="n">
        <f aca="false">Nonlabor!$J$16*(1+Assumptions!$E$9)^INT((C3246-1)/12)</f>
        <v>12000</v>
      </c>
      <c r="G3246" s="10" t="n">
        <f aca="false">E3246*F3246</f>
        <v>0</v>
      </c>
      <c r="H3246" s="10" t="n">
        <f aca="false">IF(OR(Nonlabor!$L$16="Quote required",Nonlabor!$L$16="Unverified"),G3246,0)</f>
        <v>0</v>
      </c>
      <c r="I3246" s="10" t="n">
        <f aca="false">IF(Nonlabor!$E$16="Core",0,G3246)</f>
        <v>0</v>
      </c>
      <c r="J3246" s="23" t="str">
        <f aca="false">Nonlabor!$B$16</f>
        <v>LEGAL</v>
      </c>
    </row>
    <row r="3247" customFormat="false" ht="15" hidden="false" customHeight="false" outlineLevel="0" collapsed="false">
      <c r="A3247" s="6" t="s">
        <v>73</v>
      </c>
      <c r="B3247" s="6" t="s">
        <v>406</v>
      </c>
      <c r="C3247" s="6" t="n">
        <v>2</v>
      </c>
      <c r="D3247" s="25" t="n">
        <f aca="false">EDATE('Start Here'!$B$6,C3247-1)</f>
        <v>46357</v>
      </c>
      <c r="E3247" s="23" t="n">
        <f aca="false">IF(AND(OR(Nonlabor!$D$16="Both",Nonlabor!$D$16='Start Here'!$B$9),IF(Nonlabor!$E$16="Core",1,IF(Nonlabor!$E$16="AI",'Start Here'!$B$7,'Start Here'!$B$8))=1,C3247&gt;=IF(Nonlabor!$E$16="Core",Nonlabor!$F$16,MAX(Nonlabor!$F$16,IF(Nonlabor!$E$16="AI",Assumptions!$E$24,Assumptions!$E$25))),C3247&lt;=Nonlabor!$G$16,OR(Nonlabor!$H$16="Monthly",AND(Nonlabor!$H$16="Once",C3247=IF(Nonlabor!$E$16="Core",Nonlabor!$F$16,MAX(Nonlabor!$F$16,IF(Nonlabor!$E$16="AI",Assumptions!$E$24,Assumptions!$E$25)))),AND(Nonlabor!$H$16="Annual",MOD(C3247-IF(Nonlabor!$E$16="Core",Nonlabor!$F$16,MAX(Nonlabor!$F$16,IF(Nonlabor!$E$16="AI",Assumptions!$E$24,Assumptions!$E$25))),12)=0))),IF(Nonlabor!$I$16="Fixed",1,IF(Nonlabor!$I$16="Seats",ROUNDUP('Monthly Growth'!I7,0),IF(Nonlabor!$I$16="Customers",'Monthly Growth'!D7,IF(Nonlabor!$I$16="NewCustomers",'Monthly Growth'!C7,IF(Nonlabor!$I$16="StorageGB",'Monthly Growth'!G7,IF(Nonlabor!$I$16="LogGB",'Monthly Growth'!H7,IF(Nonlabor!$I$16="RequestsM",'Monthly Growth'!F7,IF(Nonlabor!$I$16="InputM",'Monthly Growth'!D7*Assumptions!$E$22/1000000,IF(Nonlabor!$I$16="OutputM",'Monthly Growth'!D7*Assumptions!$E$23/1000000,0))))))))),0)</f>
        <v>0</v>
      </c>
      <c r="F3247" s="10" t="n">
        <f aca="false">Nonlabor!$J$16*(1+Assumptions!$E$9)^INT((C3247-1)/12)</f>
        <v>12000</v>
      </c>
      <c r="G3247" s="10" t="n">
        <f aca="false">E3247*F3247</f>
        <v>0</v>
      </c>
      <c r="H3247" s="10" t="n">
        <f aca="false">IF(OR(Nonlabor!$L$16="Quote required",Nonlabor!$L$16="Unverified"),G3247,0)</f>
        <v>0</v>
      </c>
      <c r="I3247" s="10" t="n">
        <f aca="false">IF(Nonlabor!$E$16="Core",0,G3247)</f>
        <v>0</v>
      </c>
      <c r="J3247" s="23" t="str">
        <f aca="false">Nonlabor!$B$16</f>
        <v>LEGAL</v>
      </c>
    </row>
    <row r="3248" customFormat="false" ht="15" hidden="false" customHeight="false" outlineLevel="0" collapsed="false">
      <c r="A3248" s="6" t="s">
        <v>73</v>
      </c>
      <c r="B3248" s="6" t="s">
        <v>406</v>
      </c>
      <c r="C3248" s="6" t="n">
        <v>3</v>
      </c>
      <c r="D3248" s="25" t="n">
        <f aca="false">EDATE('Start Here'!$B$6,C3248-1)</f>
        <v>46388</v>
      </c>
      <c r="E3248" s="23" t="n">
        <f aca="false">IF(AND(OR(Nonlabor!$D$16="Both",Nonlabor!$D$16='Start Here'!$B$9),IF(Nonlabor!$E$16="Core",1,IF(Nonlabor!$E$16="AI",'Start Here'!$B$7,'Start Here'!$B$8))=1,C3248&gt;=IF(Nonlabor!$E$16="Core",Nonlabor!$F$16,MAX(Nonlabor!$F$16,IF(Nonlabor!$E$16="AI",Assumptions!$E$24,Assumptions!$E$25))),C3248&lt;=Nonlabor!$G$16,OR(Nonlabor!$H$16="Monthly",AND(Nonlabor!$H$16="Once",C3248=IF(Nonlabor!$E$16="Core",Nonlabor!$F$16,MAX(Nonlabor!$F$16,IF(Nonlabor!$E$16="AI",Assumptions!$E$24,Assumptions!$E$25)))),AND(Nonlabor!$H$16="Annual",MOD(C3248-IF(Nonlabor!$E$16="Core",Nonlabor!$F$16,MAX(Nonlabor!$F$16,IF(Nonlabor!$E$16="AI",Assumptions!$E$24,Assumptions!$E$25))),12)=0))),IF(Nonlabor!$I$16="Fixed",1,IF(Nonlabor!$I$16="Seats",ROUNDUP('Monthly Growth'!I8,0),IF(Nonlabor!$I$16="Customers",'Monthly Growth'!D8,IF(Nonlabor!$I$16="NewCustomers",'Monthly Growth'!C8,IF(Nonlabor!$I$16="StorageGB",'Monthly Growth'!G8,IF(Nonlabor!$I$16="LogGB",'Monthly Growth'!H8,IF(Nonlabor!$I$16="RequestsM",'Monthly Growth'!F8,IF(Nonlabor!$I$16="InputM",'Monthly Growth'!D8*Assumptions!$E$22/1000000,IF(Nonlabor!$I$16="OutputM",'Monthly Growth'!D8*Assumptions!$E$23/1000000,0))))))))),0)</f>
        <v>0</v>
      </c>
      <c r="F3248" s="10" t="n">
        <f aca="false">Nonlabor!$J$16*(1+Assumptions!$E$9)^INT((C3248-1)/12)</f>
        <v>12000</v>
      </c>
      <c r="G3248" s="10" t="n">
        <f aca="false">E3248*F3248</f>
        <v>0</v>
      </c>
      <c r="H3248" s="10" t="n">
        <f aca="false">IF(OR(Nonlabor!$L$16="Quote required",Nonlabor!$L$16="Unverified"),G3248,0)</f>
        <v>0</v>
      </c>
      <c r="I3248" s="10" t="n">
        <f aca="false">IF(Nonlabor!$E$16="Core",0,G3248)</f>
        <v>0</v>
      </c>
      <c r="J3248" s="23" t="str">
        <f aca="false">Nonlabor!$B$16</f>
        <v>LEGAL</v>
      </c>
    </row>
    <row r="3249" customFormat="false" ht="15" hidden="false" customHeight="false" outlineLevel="0" collapsed="false">
      <c r="A3249" s="6" t="s">
        <v>73</v>
      </c>
      <c r="B3249" s="6" t="s">
        <v>406</v>
      </c>
      <c r="C3249" s="6" t="n">
        <v>4</v>
      </c>
      <c r="D3249" s="25" t="n">
        <f aca="false">EDATE('Start Here'!$B$6,C3249-1)</f>
        <v>46419</v>
      </c>
      <c r="E3249" s="23" t="n">
        <f aca="false">IF(AND(OR(Nonlabor!$D$16="Both",Nonlabor!$D$16='Start Here'!$B$9),IF(Nonlabor!$E$16="Core",1,IF(Nonlabor!$E$16="AI",'Start Here'!$B$7,'Start Here'!$B$8))=1,C3249&gt;=IF(Nonlabor!$E$16="Core",Nonlabor!$F$16,MAX(Nonlabor!$F$16,IF(Nonlabor!$E$16="AI",Assumptions!$E$24,Assumptions!$E$25))),C3249&lt;=Nonlabor!$G$16,OR(Nonlabor!$H$16="Monthly",AND(Nonlabor!$H$16="Once",C3249=IF(Nonlabor!$E$16="Core",Nonlabor!$F$16,MAX(Nonlabor!$F$16,IF(Nonlabor!$E$16="AI",Assumptions!$E$24,Assumptions!$E$25)))),AND(Nonlabor!$H$16="Annual",MOD(C3249-IF(Nonlabor!$E$16="Core",Nonlabor!$F$16,MAX(Nonlabor!$F$16,IF(Nonlabor!$E$16="AI",Assumptions!$E$24,Assumptions!$E$25))),12)=0))),IF(Nonlabor!$I$16="Fixed",1,IF(Nonlabor!$I$16="Seats",ROUNDUP('Monthly Growth'!I9,0),IF(Nonlabor!$I$16="Customers",'Monthly Growth'!D9,IF(Nonlabor!$I$16="NewCustomers",'Monthly Growth'!C9,IF(Nonlabor!$I$16="StorageGB",'Monthly Growth'!G9,IF(Nonlabor!$I$16="LogGB",'Monthly Growth'!H9,IF(Nonlabor!$I$16="RequestsM",'Monthly Growth'!F9,IF(Nonlabor!$I$16="InputM",'Monthly Growth'!D9*Assumptions!$E$22/1000000,IF(Nonlabor!$I$16="OutputM",'Monthly Growth'!D9*Assumptions!$E$23/1000000,0))))))))),0)</f>
        <v>0</v>
      </c>
      <c r="F3249" s="10" t="n">
        <f aca="false">Nonlabor!$J$16*(1+Assumptions!$E$9)^INT((C3249-1)/12)</f>
        <v>12000</v>
      </c>
      <c r="G3249" s="10" t="n">
        <f aca="false">E3249*F3249</f>
        <v>0</v>
      </c>
      <c r="H3249" s="10" t="n">
        <f aca="false">IF(OR(Nonlabor!$L$16="Quote required",Nonlabor!$L$16="Unverified"),G3249,0)</f>
        <v>0</v>
      </c>
      <c r="I3249" s="10" t="n">
        <f aca="false">IF(Nonlabor!$E$16="Core",0,G3249)</f>
        <v>0</v>
      </c>
      <c r="J3249" s="23" t="str">
        <f aca="false">Nonlabor!$B$16</f>
        <v>LEGAL</v>
      </c>
    </row>
    <row r="3250" customFormat="false" ht="15" hidden="false" customHeight="false" outlineLevel="0" collapsed="false">
      <c r="A3250" s="6" t="s">
        <v>73</v>
      </c>
      <c r="B3250" s="6" t="s">
        <v>406</v>
      </c>
      <c r="C3250" s="6" t="n">
        <v>5</v>
      </c>
      <c r="D3250" s="25" t="n">
        <f aca="false">EDATE('Start Here'!$B$6,C3250-1)</f>
        <v>46447</v>
      </c>
      <c r="E3250" s="23" t="n">
        <f aca="false">IF(AND(OR(Nonlabor!$D$16="Both",Nonlabor!$D$16='Start Here'!$B$9),IF(Nonlabor!$E$16="Core",1,IF(Nonlabor!$E$16="AI",'Start Here'!$B$7,'Start Here'!$B$8))=1,C3250&gt;=IF(Nonlabor!$E$16="Core",Nonlabor!$F$16,MAX(Nonlabor!$F$16,IF(Nonlabor!$E$16="AI",Assumptions!$E$24,Assumptions!$E$25))),C3250&lt;=Nonlabor!$G$16,OR(Nonlabor!$H$16="Monthly",AND(Nonlabor!$H$16="Once",C3250=IF(Nonlabor!$E$16="Core",Nonlabor!$F$16,MAX(Nonlabor!$F$16,IF(Nonlabor!$E$16="AI",Assumptions!$E$24,Assumptions!$E$25)))),AND(Nonlabor!$H$16="Annual",MOD(C3250-IF(Nonlabor!$E$16="Core",Nonlabor!$F$16,MAX(Nonlabor!$F$16,IF(Nonlabor!$E$16="AI",Assumptions!$E$24,Assumptions!$E$25))),12)=0))),IF(Nonlabor!$I$16="Fixed",1,IF(Nonlabor!$I$16="Seats",ROUNDUP('Monthly Growth'!I10,0),IF(Nonlabor!$I$16="Customers",'Monthly Growth'!D10,IF(Nonlabor!$I$16="NewCustomers",'Monthly Growth'!C10,IF(Nonlabor!$I$16="StorageGB",'Monthly Growth'!G10,IF(Nonlabor!$I$16="LogGB",'Monthly Growth'!H10,IF(Nonlabor!$I$16="RequestsM",'Monthly Growth'!F10,IF(Nonlabor!$I$16="InputM",'Monthly Growth'!D10*Assumptions!$E$22/1000000,IF(Nonlabor!$I$16="OutputM",'Monthly Growth'!D10*Assumptions!$E$23/1000000,0))))))))),0)</f>
        <v>0</v>
      </c>
      <c r="F3250" s="10" t="n">
        <f aca="false">Nonlabor!$J$16*(1+Assumptions!$E$9)^INT((C3250-1)/12)</f>
        <v>12000</v>
      </c>
      <c r="G3250" s="10" t="n">
        <f aca="false">E3250*F3250</f>
        <v>0</v>
      </c>
      <c r="H3250" s="10" t="n">
        <f aca="false">IF(OR(Nonlabor!$L$16="Quote required",Nonlabor!$L$16="Unverified"),G3250,0)</f>
        <v>0</v>
      </c>
      <c r="I3250" s="10" t="n">
        <f aca="false">IF(Nonlabor!$E$16="Core",0,G3250)</f>
        <v>0</v>
      </c>
      <c r="J3250" s="23" t="str">
        <f aca="false">Nonlabor!$B$16</f>
        <v>LEGAL</v>
      </c>
    </row>
    <row r="3251" customFormat="false" ht="15" hidden="false" customHeight="false" outlineLevel="0" collapsed="false">
      <c r="A3251" s="6" t="s">
        <v>73</v>
      </c>
      <c r="B3251" s="6" t="s">
        <v>406</v>
      </c>
      <c r="C3251" s="6" t="n">
        <v>6</v>
      </c>
      <c r="D3251" s="25" t="n">
        <f aca="false">EDATE('Start Here'!$B$6,C3251-1)</f>
        <v>46478</v>
      </c>
      <c r="E3251" s="23" t="n">
        <f aca="false">IF(AND(OR(Nonlabor!$D$16="Both",Nonlabor!$D$16='Start Here'!$B$9),IF(Nonlabor!$E$16="Core",1,IF(Nonlabor!$E$16="AI",'Start Here'!$B$7,'Start Here'!$B$8))=1,C3251&gt;=IF(Nonlabor!$E$16="Core",Nonlabor!$F$16,MAX(Nonlabor!$F$16,IF(Nonlabor!$E$16="AI",Assumptions!$E$24,Assumptions!$E$25))),C3251&lt;=Nonlabor!$G$16,OR(Nonlabor!$H$16="Monthly",AND(Nonlabor!$H$16="Once",C3251=IF(Nonlabor!$E$16="Core",Nonlabor!$F$16,MAX(Nonlabor!$F$16,IF(Nonlabor!$E$16="AI",Assumptions!$E$24,Assumptions!$E$25)))),AND(Nonlabor!$H$16="Annual",MOD(C3251-IF(Nonlabor!$E$16="Core",Nonlabor!$F$16,MAX(Nonlabor!$F$16,IF(Nonlabor!$E$16="AI",Assumptions!$E$24,Assumptions!$E$25))),12)=0))),IF(Nonlabor!$I$16="Fixed",1,IF(Nonlabor!$I$16="Seats",ROUNDUP('Monthly Growth'!I11,0),IF(Nonlabor!$I$16="Customers",'Monthly Growth'!D11,IF(Nonlabor!$I$16="NewCustomers",'Monthly Growth'!C11,IF(Nonlabor!$I$16="StorageGB",'Monthly Growth'!G11,IF(Nonlabor!$I$16="LogGB",'Monthly Growth'!H11,IF(Nonlabor!$I$16="RequestsM",'Monthly Growth'!F11,IF(Nonlabor!$I$16="InputM",'Monthly Growth'!D11*Assumptions!$E$22/1000000,IF(Nonlabor!$I$16="OutputM",'Monthly Growth'!D11*Assumptions!$E$23/1000000,0))))))))),0)</f>
        <v>0</v>
      </c>
      <c r="F3251" s="10" t="n">
        <f aca="false">Nonlabor!$J$16*(1+Assumptions!$E$9)^INT((C3251-1)/12)</f>
        <v>12000</v>
      </c>
      <c r="G3251" s="10" t="n">
        <f aca="false">E3251*F3251</f>
        <v>0</v>
      </c>
      <c r="H3251" s="10" t="n">
        <f aca="false">IF(OR(Nonlabor!$L$16="Quote required",Nonlabor!$L$16="Unverified"),G3251,0)</f>
        <v>0</v>
      </c>
      <c r="I3251" s="10" t="n">
        <f aca="false">IF(Nonlabor!$E$16="Core",0,G3251)</f>
        <v>0</v>
      </c>
      <c r="J3251" s="23" t="str">
        <f aca="false">Nonlabor!$B$16</f>
        <v>LEGAL</v>
      </c>
    </row>
    <row r="3252" customFormat="false" ht="15" hidden="false" customHeight="false" outlineLevel="0" collapsed="false">
      <c r="A3252" s="6" t="s">
        <v>73</v>
      </c>
      <c r="B3252" s="6" t="s">
        <v>406</v>
      </c>
      <c r="C3252" s="6" t="n">
        <v>7</v>
      </c>
      <c r="D3252" s="25" t="n">
        <f aca="false">EDATE('Start Here'!$B$6,C3252-1)</f>
        <v>46508</v>
      </c>
      <c r="E3252" s="23" t="n">
        <f aca="false">IF(AND(OR(Nonlabor!$D$16="Both",Nonlabor!$D$16='Start Here'!$B$9),IF(Nonlabor!$E$16="Core",1,IF(Nonlabor!$E$16="AI",'Start Here'!$B$7,'Start Here'!$B$8))=1,C3252&gt;=IF(Nonlabor!$E$16="Core",Nonlabor!$F$16,MAX(Nonlabor!$F$16,IF(Nonlabor!$E$16="AI",Assumptions!$E$24,Assumptions!$E$25))),C3252&lt;=Nonlabor!$G$16,OR(Nonlabor!$H$16="Monthly",AND(Nonlabor!$H$16="Once",C3252=IF(Nonlabor!$E$16="Core",Nonlabor!$F$16,MAX(Nonlabor!$F$16,IF(Nonlabor!$E$16="AI",Assumptions!$E$24,Assumptions!$E$25)))),AND(Nonlabor!$H$16="Annual",MOD(C3252-IF(Nonlabor!$E$16="Core",Nonlabor!$F$16,MAX(Nonlabor!$F$16,IF(Nonlabor!$E$16="AI",Assumptions!$E$24,Assumptions!$E$25))),12)=0))),IF(Nonlabor!$I$16="Fixed",1,IF(Nonlabor!$I$16="Seats",ROUNDUP('Monthly Growth'!I12,0),IF(Nonlabor!$I$16="Customers",'Monthly Growth'!D12,IF(Nonlabor!$I$16="NewCustomers",'Monthly Growth'!C12,IF(Nonlabor!$I$16="StorageGB",'Monthly Growth'!G12,IF(Nonlabor!$I$16="LogGB",'Monthly Growth'!H12,IF(Nonlabor!$I$16="RequestsM",'Monthly Growth'!F12,IF(Nonlabor!$I$16="InputM",'Monthly Growth'!D12*Assumptions!$E$22/1000000,IF(Nonlabor!$I$16="OutputM",'Monthly Growth'!D12*Assumptions!$E$23/1000000,0))))))))),0)</f>
        <v>0</v>
      </c>
      <c r="F3252" s="10" t="n">
        <f aca="false">Nonlabor!$J$16*(1+Assumptions!$E$9)^INT((C3252-1)/12)</f>
        <v>12000</v>
      </c>
      <c r="G3252" s="10" t="n">
        <f aca="false">E3252*F3252</f>
        <v>0</v>
      </c>
      <c r="H3252" s="10" t="n">
        <f aca="false">IF(OR(Nonlabor!$L$16="Quote required",Nonlabor!$L$16="Unverified"),G3252,0)</f>
        <v>0</v>
      </c>
      <c r="I3252" s="10" t="n">
        <f aca="false">IF(Nonlabor!$E$16="Core",0,G3252)</f>
        <v>0</v>
      </c>
      <c r="J3252" s="23" t="str">
        <f aca="false">Nonlabor!$B$16</f>
        <v>LEGAL</v>
      </c>
    </row>
    <row r="3253" customFormat="false" ht="15" hidden="false" customHeight="false" outlineLevel="0" collapsed="false">
      <c r="A3253" s="6" t="s">
        <v>73</v>
      </c>
      <c r="B3253" s="6" t="s">
        <v>406</v>
      </c>
      <c r="C3253" s="6" t="n">
        <v>8</v>
      </c>
      <c r="D3253" s="25" t="n">
        <f aca="false">EDATE('Start Here'!$B$6,C3253-1)</f>
        <v>46539</v>
      </c>
      <c r="E3253" s="23" t="n">
        <f aca="false">IF(AND(OR(Nonlabor!$D$16="Both",Nonlabor!$D$16='Start Here'!$B$9),IF(Nonlabor!$E$16="Core",1,IF(Nonlabor!$E$16="AI",'Start Here'!$B$7,'Start Here'!$B$8))=1,C3253&gt;=IF(Nonlabor!$E$16="Core",Nonlabor!$F$16,MAX(Nonlabor!$F$16,IF(Nonlabor!$E$16="AI",Assumptions!$E$24,Assumptions!$E$25))),C3253&lt;=Nonlabor!$G$16,OR(Nonlabor!$H$16="Monthly",AND(Nonlabor!$H$16="Once",C3253=IF(Nonlabor!$E$16="Core",Nonlabor!$F$16,MAX(Nonlabor!$F$16,IF(Nonlabor!$E$16="AI",Assumptions!$E$24,Assumptions!$E$25)))),AND(Nonlabor!$H$16="Annual",MOD(C3253-IF(Nonlabor!$E$16="Core",Nonlabor!$F$16,MAX(Nonlabor!$F$16,IF(Nonlabor!$E$16="AI",Assumptions!$E$24,Assumptions!$E$25))),12)=0))),IF(Nonlabor!$I$16="Fixed",1,IF(Nonlabor!$I$16="Seats",ROUNDUP('Monthly Growth'!I13,0),IF(Nonlabor!$I$16="Customers",'Monthly Growth'!D13,IF(Nonlabor!$I$16="NewCustomers",'Monthly Growth'!C13,IF(Nonlabor!$I$16="StorageGB",'Monthly Growth'!G13,IF(Nonlabor!$I$16="LogGB",'Monthly Growth'!H13,IF(Nonlabor!$I$16="RequestsM",'Monthly Growth'!F13,IF(Nonlabor!$I$16="InputM",'Monthly Growth'!D13*Assumptions!$E$22/1000000,IF(Nonlabor!$I$16="OutputM",'Monthly Growth'!D13*Assumptions!$E$23/1000000,0))))))))),0)</f>
        <v>0</v>
      </c>
      <c r="F3253" s="10" t="n">
        <f aca="false">Nonlabor!$J$16*(1+Assumptions!$E$9)^INT((C3253-1)/12)</f>
        <v>12000</v>
      </c>
      <c r="G3253" s="10" t="n">
        <f aca="false">E3253*F3253</f>
        <v>0</v>
      </c>
      <c r="H3253" s="10" t="n">
        <f aca="false">IF(OR(Nonlabor!$L$16="Quote required",Nonlabor!$L$16="Unverified"),G3253,0)</f>
        <v>0</v>
      </c>
      <c r="I3253" s="10" t="n">
        <f aca="false">IF(Nonlabor!$E$16="Core",0,G3253)</f>
        <v>0</v>
      </c>
      <c r="J3253" s="23" t="str">
        <f aca="false">Nonlabor!$B$16</f>
        <v>LEGAL</v>
      </c>
    </row>
    <row r="3254" customFormat="false" ht="15" hidden="false" customHeight="false" outlineLevel="0" collapsed="false">
      <c r="A3254" s="6" t="s">
        <v>73</v>
      </c>
      <c r="B3254" s="6" t="s">
        <v>406</v>
      </c>
      <c r="C3254" s="6" t="n">
        <v>9</v>
      </c>
      <c r="D3254" s="25" t="n">
        <f aca="false">EDATE('Start Here'!$B$6,C3254-1)</f>
        <v>46569</v>
      </c>
      <c r="E3254" s="23" t="n">
        <f aca="false">IF(AND(OR(Nonlabor!$D$16="Both",Nonlabor!$D$16='Start Here'!$B$9),IF(Nonlabor!$E$16="Core",1,IF(Nonlabor!$E$16="AI",'Start Here'!$B$7,'Start Here'!$B$8))=1,C3254&gt;=IF(Nonlabor!$E$16="Core",Nonlabor!$F$16,MAX(Nonlabor!$F$16,IF(Nonlabor!$E$16="AI",Assumptions!$E$24,Assumptions!$E$25))),C3254&lt;=Nonlabor!$G$16,OR(Nonlabor!$H$16="Monthly",AND(Nonlabor!$H$16="Once",C3254=IF(Nonlabor!$E$16="Core",Nonlabor!$F$16,MAX(Nonlabor!$F$16,IF(Nonlabor!$E$16="AI",Assumptions!$E$24,Assumptions!$E$25)))),AND(Nonlabor!$H$16="Annual",MOD(C3254-IF(Nonlabor!$E$16="Core",Nonlabor!$F$16,MAX(Nonlabor!$F$16,IF(Nonlabor!$E$16="AI",Assumptions!$E$24,Assumptions!$E$25))),12)=0))),IF(Nonlabor!$I$16="Fixed",1,IF(Nonlabor!$I$16="Seats",ROUNDUP('Monthly Growth'!I14,0),IF(Nonlabor!$I$16="Customers",'Monthly Growth'!D14,IF(Nonlabor!$I$16="NewCustomers",'Monthly Growth'!C14,IF(Nonlabor!$I$16="StorageGB",'Monthly Growth'!G14,IF(Nonlabor!$I$16="LogGB",'Monthly Growth'!H14,IF(Nonlabor!$I$16="RequestsM",'Monthly Growth'!F14,IF(Nonlabor!$I$16="InputM",'Monthly Growth'!D14*Assumptions!$E$22/1000000,IF(Nonlabor!$I$16="OutputM",'Monthly Growth'!D14*Assumptions!$E$23/1000000,0))))))))),0)</f>
        <v>0</v>
      </c>
      <c r="F3254" s="10" t="n">
        <f aca="false">Nonlabor!$J$16*(1+Assumptions!$E$9)^INT((C3254-1)/12)</f>
        <v>12000</v>
      </c>
      <c r="G3254" s="10" t="n">
        <f aca="false">E3254*F3254</f>
        <v>0</v>
      </c>
      <c r="H3254" s="10" t="n">
        <f aca="false">IF(OR(Nonlabor!$L$16="Quote required",Nonlabor!$L$16="Unverified"),G3254,0)</f>
        <v>0</v>
      </c>
      <c r="I3254" s="10" t="n">
        <f aca="false">IF(Nonlabor!$E$16="Core",0,G3254)</f>
        <v>0</v>
      </c>
      <c r="J3254" s="23" t="str">
        <f aca="false">Nonlabor!$B$16</f>
        <v>LEGAL</v>
      </c>
    </row>
    <row r="3255" customFormat="false" ht="15" hidden="false" customHeight="false" outlineLevel="0" collapsed="false">
      <c r="A3255" s="6" t="s">
        <v>73</v>
      </c>
      <c r="B3255" s="6" t="s">
        <v>406</v>
      </c>
      <c r="C3255" s="6" t="n">
        <v>10</v>
      </c>
      <c r="D3255" s="25" t="n">
        <f aca="false">EDATE('Start Here'!$B$6,C3255-1)</f>
        <v>46600</v>
      </c>
      <c r="E3255" s="23" t="n">
        <f aca="false">IF(AND(OR(Nonlabor!$D$16="Both",Nonlabor!$D$16='Start Here'!$B$9),IF(Nonlabor!$E$16="Core",1,IF(Nonlabor!$E$16="AI",'Start Here'!$B$7,'Start Here'!$B$8))=1,C3255&gt;=IF(Nonlabor!$E$16="Core",Nonlabor!$F$16,MAX(Nonlabor!$F$16,IF(Nonlabor!$E$16="AI",Assumptions!$E$24,Assumptions!$E$25))),C3255&lt;=Nonlabor!$G$16,OR(Nonlabor!$H$16="Monthly",AND(Nonlabor!$H$16="Once",C3255=IF(Nonlabor!$E$16="Core",Nonlabor!$F$16,MAX(Nonlabor!$F$16,IF(Nonlabor!$E$16="AI",Assumptions!$E$24,Assumptions!$E$25)))),AND(Nonlabor!$H$16="Annual",MOD(C3255-IF(Nonlabor!$E$16="Core",Nonlabor!$F$16,MAX(Nonlabor!$F$16,IF(Nonlabor!$E$16="AI",Assumptions!$E$24,Assumptions!$E$25))),12)=0))),IF(Nonlabor!$I$16="Fixed",1,IF(Nonlabor!$I$16="Seats",ROUNDUP('Monthly Growth'!I15,0),IF(Nonlabor!$I$16="Customers",'Monthly Growth'!D15,IF(Nonlabor!$I$16="NewCustomers",'Monthly Growth'!C15,IF(Nonlabor!$I$16="StorageGB",'Monthly Growth'!G15,IF(Nonlabor!$I$16="LogGB",'Monthly Growth'!H15,IF(Nonlabor!$I$16="RequestsM",'Monthly Growth'!F15,IF(Nonlabor!$I$16="InputM",'Monthly Growth'!D15*Assumptions!$E$22/1000000,IF(Nonlabor!$I$16="OutputM",'Monthly Growth'!D15*Assumptions!$E$23/1000000,0))))))))),0)</f>
        <v>0</v>
      </c>
      <c r="F3255" s="10" t="n">
        <f aca="false">Nonlabor!$J$16*(1+Assumptions!$E$9)^INT((C3255-1)/12)</f>
        <v>12000</v>
      </c>
      <c r="G3255" s="10" t="n">
        <f aca="false">E3255*F3255</f>
        <v>0</v>
      </c>
      <c r="H3255" s="10" t="n">
        <f aca="false">IF(OR(Nonlabor!$L$16="Quote required",Nonlabor!$L$16="Unverified"),G3255,0)</f>
        <v>0</v>
      </c>
      <c r="I3255" s="10" t="n">
        <f aca="false">IF(Nonlabor!$E$16="Core",0,G3255)</f>
        <v>0</v>
      </c>
      <c r="J3255" s="23" t="str">
        <f aca="false">Nonlabor!$B$16</f>
        <v>LEGAL</v>
      </c>
    </row>
    <row r="3256" customFormat="false" ht="15" hidden="false" customHeight="false" outlineLevel="0" collapsed="false">
      <c r="A3256" s="6" t="s">
        <v>73</v>
      </c>
      <c r="B3256" s="6" t="s">
        <v>406</v>
      </c>
      <c r="C3256" s="6" t="n">
        <v>11</v>
      </c>
      <c r="D3256" s="25" t="n">
        <f aca="false">EDATE('Start Here'!$B$6,C3256-1)</f>
        <v>46631</v>
      </c>
      <c r="E3256" s="23" t="n">
        <f aca="false">IF(AND(OR(Nonlabor!$D$16="Both",Nonlabor!$D$16='Start Here'!$B$9),IF(Nonlabor!$E$16="Core",1,IF(Nonlabor!$E$16="AI",'Start Here'!$B$7,'Start Here'!$B$8))=1,C3256&gt;=IF(Nonlabor!$E$16="Core",Nonlabor!$F$16,MAX(Nonlabor!$F$16,IF(Nonlabor!$E$16="AI",Assumptions!$E$24,Assumptions!$E$25))),C3256&lt;=Nonlabor!$G$16,OR(Nonlabor!$H$16="Monthly",AND(Nonlabor!$H$16="Once",C3256=IF(Nonlabor!$E$16="Core",Nonlabor!$F$16,MAX(Nonlabor!$F$16,IF(Nonlabor!$E$16="AI",Assumptions!$E$24,Assumptions!$E$25)))),AND(Nonlabor!$H$16="Annual",MOD(C3256-IF(Nonlabor!$E$16="Core",Nonlabor!$F$16,MAX(Nonlabor!$F$16,IF(Nonlabor!$E$16="AI",Assumptions!$E$24,Assumptions!$E$25))),12)=0))),IF(Nonlabor!$I$16="Fixed",1,IF(Nonlabor!$I$16="Seats",ROUNDUP('Monthly Growth'!I16,0),IF(Nonlabor!$I$16="Customers",'Monthly Growth'!D16,IF(Nonlabor!$I$16="NewCustomers",'Monthly Growth'!C16,IF(Nonlabor!$I$16="StorageGB",'Monthly Growth'!G16,IF(Nonlabor!$I$16="LogGB",'Monthly Growth'!H16,IF(Nonlabor!$I$16="RequestsM",'Monthly Growth'!F16,IF(Nonlabor!$I$16="InputM",'Monthly Growth'!D16*Assumptions!$E$22/1000000,IF(Nonlabor!$I$16="OutputM",'Monthly Growth'!D16*Assumptions!$E$23/1000000,0))))))))),0)</f>
        <v>0</v>
      </c>
      <c r="F3256" s="10" t="n">
        <f aca="false">Nonlabor!$J$16*(1+Assumptions!$E$9)^INT((C3256-1)/12)</f>
        <v>12000</v>
      </c>
      <c r="G3256" s="10" t="n">
        <f aca="false">E3256*F3256</f>
        <v>0</v>
      </c>
      <c r="H3256" s="10" t="n">
        <f aca="false">IF(OR(Nonlabor!$L$16="Quote required",Nonlabor!$L$16="Unverified"),G3256,0)</f>
        <v>0</v>
      </c>
      <c r="I3256" s="10" t="n">
        <f aca="false">IF(Nonlabor!$E$16="Core",0,G3256)</f>
        <v>0</v>
      </c>
      <c r="J3256" s="23" t="str">
        <f aca="false">Nonlabor!$B$16</f>
        <v>LEGAL</v>
      </c>
    </row>
    <row r="3257" customFormat="false" ht="15" hidden="false" customHeight="false" outlineLevel="0" collapsed="false">
      <c r="A3257" s="6" t="s">
        <v>73</v>
      </c>
      <c r="B3257" s="6" t="s">
        <v>406</v>
      </c>
      <c r="C3257" s="6" t="n">
        <v>12</v>
      </c>
      <c r="D3257" s="25" t="n">
        <f aca="false">EDATE('Start Here'!$B$6,C3257-1)</f>
        <v>46661</v>
      </c>
      <c r="E3257" s="23" t="n">
        <f aca="false">IF(AND(OR(Nonlabor!$D$16="Both",Nonlabor!$D$16='Start Here'!$B$9),IF(Nonlabor!$E$16="Core",1,IF(Nonlabor!$E$16="AI",'Start Here'!$B$7,'Start Here'!$B$8))=1,C3257&gt;=IF(Nonlabor!$E$16="Core",Nonlabor!$F$16,MAX(Nonlabor!$F$16,IF(Nonlabor!$E$16="AI",Assumptions!$E$24,Assumptions!$E$25))),C3257&lt;=Nonlabor!$G$16,OR(Nonlabor!$H$16="Monthly",AND(Nonlabor!$H$16="Once",C3257=IF(Nonlabor!$E$16="Core",Nonlabor!$F$16,MAX(Nonlabor!$F$16,IF(Nonlabor!$E$16="AI",Assumptions!$E$24,Assumptions!$E$25)))),AND(Nonlabor!$H$16="Annual",MOD(C3257-IF(Nonlabor!$E$16="Core",Nonlabor!$F$16,MAX(Nonlabor!$F$16,IF(Nonlabor!$E$16="AI",Assumptions!$E$24,Assumptions!$E$25))),12)=0))),IF(Nonlabor!$I$16="Fixed",1,IF(Nonlabor!$I$16="Seats",ROUNDUP('Monthly Growth'!I17,0),IF(Nonlabor!$I$16="Customers",'Monthly Growth'!D17,IF(Nonlabor!$I$16="NewCustomers",'Monthly Growth'!C17,IF(Nonlabor!$I$16="StorageGB",'Monthly Growth'!G17,IF(Nonlabor!$I$16="LogGB",'Monthly Growth'!H17,IF(Nonlabor!$I$16="RequestsM",'Monthly Growth'!F17,IF(Nonlabor!$I$16="InputM",'Monthly Growth'!D17*Assumptions!$E$22/1000000,IF(Nonlabor!$I$16="OutputM",'Monthly Growth'!D17*Assumptions!$E$23/1000000,0))))))))),0)</f>
        <v>0</v>
      </c>
      <c r="F3257" s="10" t="n">
        <f aca="false">Nonlabor!$J$16*(1+Assumptions!$E$9)^INT((C3257-1)/12)</f>
        <v>12000</v>
      </c>
      <c r="G3257" s="10" t="n">
        <f aca="false">E3257*F3257</f>
        <v>0</v>
      </c>
      <c r="H3257" s="10" t="n">
        <f aca="false">IF(OR(Nonlabor!$L$16="Quote required",Nonlabor!$L$16="Unverified"),G3257,0)</f>
        <v>0</v>
      </c>
      <c r="I3257" s="10" t="n">
        <f aca="false">IF(Nonlabor!$E$16="Core",0,G3257)</f>
        <v>0</v>
      </c>
      <c r="J3257" s="23" t="str">
        <f aca="false">Nonlabor!$B$16</f>
        <v>LEGAL</v>
      </c>
    </row>
    <row r="3258" customFormat="false" ht="15" hidden="false" customHeight="false" outlineLevel="0" collapsed="false">
      <c r="A3258" s="6" t="s">
        <v>73</v>
      </c>
      <c r="B3258" s="6" t="s">
        <v>406</v>
      </c>
      <c r="C3258" s="6" t="n">
        <v>13</v>
      </c>
      <c r="D3258" s="25" t="n">
        <f aca="false">EDATE('Start Here'!$B$6,C3258-1)</f>
        <v>46692</v>
      </c>
      <c r="E3258" s="23" t="n">
        <f aca="false">IF(AND(OR(Nonlabor!$D$16="Both",Nonlabor!$D$16='Start Here'!$B$9),IF(Nonlabor!$E$16="Core",1,IF(Nonlabor!$E$16="AI",'Start Here'!$B$7,'Start Here'!$B$8))=1,C3258&gt;=IF(Nonlabor!$E$16="Core",Nonlabor!$F$16,MAX(Nonlabor!$F$16,IF(Nonlabor!$E$16="AI",Assumptions!$E$24,Assumptions!$E$25))),C3258&lt;=Nonlabor!$G$16,OR(Nonlabor!$H$16="Monthly",AND(Nonlabor!$H$16="Once",C3258=IF(Nonlabor!$E$16="Core",Nonlabor!$F$16,MAX(Nonlabor!$F$16,IF(Nonlabor!$E$16="AI",Assumptions!$E$24,Assumptions!$E$25)))),AND(Nonlabor!$H$16="Annual",MOD(C3258-IF(Nonlabor!$E$16="Core",Nonlabor!$F$16,MAX(Nonlabor!$F$16,IF(Nonlabor!$E$16="AI",Assumptions!$E$24,Assumptions!$E$25))),12)=0))),IF(Nonlabor!$I$16="Fixed",1,IF(Nonlabor!$I$16="Seats",ROUNDUP('Monthly Growth'!I18,0),IF(Nonlabor!$I$16="Customers",'Monthly Growth'!D18,IF(Nonlabor!$I$16="NewCustomers",'Monthly Growth'!C18,IF(Nonlabor!$I$16="StorageGB",'Monthly Growth'!G18,IF(Nonlabor!$I$16="LogGB",'Monthly Growth'!H18,IF(Nonlabor!$I$16="RequestsM",'Monthly Growth'!F18,IF(Nonlabor!$I$16="InputM",'Monthly Growth'!D18*Assumptions!$E$22/1000000,IF(Nonlabor!$I$16="OutputM",'Monthly Growth'!D18*Assumptions!$E$23/1000000,0))))))))),0)</f>
        <v>0</v>
      </c>
      <c r="F3258" s="10" t="n">
        <f aca="false">Nonlabor!$J$16*(1+Assumptions!$E$9)^INT((C3258-1)/12)</f>
        <v>12480</v>
      </c>
      <c r="G3258" s="10" t="n">
        <f aca="false">E3258*F3258</f>
        <v>0</v>
      </c>
      <c r="H3258" s="10" t="n">
        <f aca="false">IF(OR(Nonlabor!$L$16="Quote required",Nonlabor!$L$16="Unverified"),G3258,0)</f>
        <v>0</v>
      </c>
      <c r="I3258" s="10" t="n">
        <f aca="false">IF(Nonlabor!$E$16="Core",0,G3258)</f>
        <v>0</v>
      </c>
      <c r="J3258" s="23" t="str">
        <f aca="false">Nonlabor!$B$16</f>
        <v>LEGAL</v>
      </c>
    </row>
    <row r="3259" customFormat="false" ht="15" hidden="false" customHeight="false" outlineLevel="0" collapsed="false">
      <c r="A3259" s="6" t="s">
        <v>73</v>
      </c>
      <c r="B3259" s="6" t="s">
        <v>406</v>
      </c>
      <c r="C3259" s="6" t="n">
        <v>14</v>
      </c>
      <c r="D3259" s="25" t="n">
        <f aca="false">EDATE('Start Here'!$B$6,C3259-1)</f>
        <v>46722</v>
      </c>
      <c r="E3259" s="23" t="n">
        <f aca="false">IF(AND(OR(Nonlabor!$D$16="Both",Nonlabor!$D$16='Start Here'!$B$9),IF(Nonlabor!$E$16="Core",1,IF(Nonlabor!$E$16="AI",'Start Here'!$B$7,'Start Here'!$B$8))=1,C3259&gt;=IF(Nonlabor!$E$16="Core",Nonlabor!$F$16,MAX(Nonlabor!$F$16,IF(Nonlabor!$E$16="AI",Assumptions!$E$24,Assumptions!$E$25))),C3259&lt;=Nonlabor!$G$16,OR(Nonlabor!$H$16="Monthly",AND(Nonlabor!$H$16="Once",C3259=IF(Nonlabor!$E$16="Core",Nonlabor!$F$16,MAX(Nonlabor!$F$16,IF(Nonlabor!$E$16="AI",Assumptions!$E$24,Assumptions!$E$25)))),AND(Nonlabor!$H$16="Annual",MOD(C3259-IF(Nonlabor!$E$16="Core",Nonlabor!$F$16,MAX(Nonlabor!$F$16,IF(Nonlabor!$E$16="AI",Assumptions!$E$24,Assumptions!$E$25))),12)=0))),IF(Nonlabor!$I$16="Fixed",1,IF(Nonlabor!$I$16="Seats",ROUNDUP('Monthly Growth'!I19,0),IF(Nonlabor!$I$16="Customers",'Monthly Growth'!D19,IF(Nonlabor!$I$16="NewCustomers",'Monthly Growth'!C19,IF(Nonlabor!$I$16="StorageGB",'Monthly Growth'!G19,IF(Nonlabor!$I$16="LogGB",'Monthly Growth'!H19,IF(Nonlabor!$I$16="RequestsM",'Monthly Growth'!F19,IF(Nonlabor!$I$16="InputM",'Monthly Growth'!D19*Assumptions!$E$22/1000000,IF(Nonlabor!$I$16="OutputM",'Monthly Growth'!D19*Assumptions!$E$23/1000000,0))))))))),0)</f>
        <v>1</v>
      </c>
      <c r="F3259" s="10" t="n">
        <f aca="false">Nonlabor!$J$16*(1+Assumptions!$E$9)^INT((C3259-1)/12)</f>
        <v>12480</v>
      </c>
      <c r="G3259" s="10" t="n">
        <f aca="false">E3259*F3259</f>
        <v>12480</v>
      </c>
      <c r="H3259" s="10" t="n">
        <f aca="false">IF(OR(Nonlabor!$L$16="Quote required",Nonlabor!$L$16="Unverified"),G3259,0)</f>
        <v>12480</v>
      </c>
      <c r="I3259" s="10" t="n">
        <f aca="false">IF(Nonlabor!$E$16="Core",0,G3259)</f>
        <v>0</v>
      </c>
      <c r="J3259" s="23" t="str">
        <f aca="false">Nonlabor!$B$16</f>
        <v>LEGAL</v>
      </c>
    </row>
    <row r="3260" customFormat="false" ht="15" hidden="false" customHeight="false" outlineLevel="0" collapsed="false">
      <c r="A3260" s="6" t="s">
        <v>73</v>
      </c>
      <c r="B3260" s="6" t="s">
        <v>406</v>
      </c>
      <c r="C3260" s="6" t="n">
        <v>15</v>
      </c>
      <c r="D3260" s="25" t="n">
        <f aca="false">EDATE('Start Here'!$B$6,C3260-1)</f>
        <v>46753</v>
      </c>
      <c r="E3260" s="23" t="n">
        <f aca="false">IF(AND(OR(Nonlabor!$D$16="Both",Nonlabor!$D$16='Start Here'!$B$9),IF(Nonlabor!$E$16="Core",1,IF(Nonlabor!$E$16="AI",'Start Here'!$B$7,'Start Here'!$B$8))=1,C3260&gt;=IF(Nonlabor!$E$16="Core",Nonlabor!$F$16,MAX(Nonlabor!$F$16,IF(Nonlabor!$E$16="AI",Assumptions!$E$24,Assumptions!$E$25))),C3260&lt;=Nonlabor!$G$16,OR(Nonlabor!$H$16="Monthly",AND(Nonlabor!$H$16="Once",C3260=IF(Nonlabor!$E$16="Core",Nonlabor!$F$16,MAX(Nonlabor!$F$16,IF(Nonlabor!$E$16="AI",Assumptions!$E$24,Assumptions!$E$25)))),AND(Nonlabor!$H$16="Annual",MOD(C3260-IF(Nonlabor!$E$16="Core",Nonlabor!$F$16,MAX(Nonlabor!$F$16,IF(Nonlabor!$E$16="AI",Assumptions!$E$24,Assumptions!$E$25))),12)=0))),IF(Nonlabor!$I$16="Fixed",1,IF(Nonlabor!$I$16="Seats",ROUNDUP('Monthly Growth'!I20,0),IF(Nonlabor!$I$16="Customers",'Monthly Growth'!D20,IF(Nonlabor!$I$16="NewCustomers",'Monthly Growth'!C20,IF(Nonlabor!$I$16="StorageGB",'Monthly Growth'!G20,IF(Nonlabor!$I$16="LogGB",'Monthly Growth'!H20,IF(Nonlabor!$I$16="RequestsM",'Monthly Growth'!F20,IF(Nonlabor!$I$16="InputM",'Monthly Growth'!D20*Assumptions!$E$22/1000000,IF(Nonlabor!$I$16="OutputM",'Monthly Growth'!D20*Assumptions!$E$23/1000000,0))))))))),0)</f>
        <v>0</v>
      </c>
      <c r="F3260" s="10" t="n">
        <f aca="false">Nonlabor!$J$16*(1+Assumptions!$E$9)^INT((C3260-1)/12)</f>
        <v>12480</v>
      </c>
      <c r="G3260" s="10" t="n">
        <f aca="false">E3260*F3260</f>
        <v>0</v>
      </c>
      <c r="H3260" s="10" t="n">
        <f aca="false">IF(OR(Nonlabor!$L$16="Quote required",Nonlabor!$L$16="Unverified"),G3260,0)</f>
        <v>0</v>
      </c>
      <c r="I3260" s="10" t="n">
        <f aca="false">IF(Nonlabor!$E$16="Core",0,G3260)</f>
        <v>0</v>
      </c>
      <c r="J3260" s="23" t="str">
        <f aca="false">Nonlabor!$B$16</f>
        <v>LEGAL</v>
      </c>
    </row>
    <row r="3261" customFormat="false" ht="15" hidden="false" customHeight="false" outlineLevel="0" collapsed="false">
      <c r="A3261" s="6" t="s">
        <v>73</v>
      </c>
      <c r="B3261" s="6" t="s">
        <v>406</v>
      </c>
      <c r="C3261" s="6" t="n">
        <v>16</v>
      </c>
      <c r="D3261" s="25" t="n">
        <f aca="false">EDATE('Start Here'!$B$6,C3261-1)</f>
        <v>46784</v>
      </c>
      <c r="E3261" s="23" t="n">
        <f aca="false">IF(AND(OR(Nonlabor!$D$16="Both",Nonlabor!$D$16='Start Here'!$B$9),IF(Nonlabor!$E$16="Core",1,IF(Nonlabor!$E$16="AI",'Start Here'!$B$7,'Start Here'!$B$8))=1,C3261&gt;=IF(Nonlabor!$E$16="Core",Nonlabor!$F$16,MAX(Nonlabor!$F$16,IF(Nonlabor!$E$16="AI",Assumptions!$E$24,Assumptions!$E$25))),C3261&lt;=Nonlabor!$G$16,OR(Nonlabor!$H$16="Monthly",AND(Nonlabor!$H$16="Once",C3261=IF(Nonlabor!$E$16="Core",Nonlabor!$F$16,MAX(Nonlabor!$F$16,IF(Nonlabor!$E$16="AI",Assumptions!$E$24,Assumptions!$E$25)))),AND(Nonlabor!$H$16="Annual",MOD(C3261-IF(Nonlabor!$E$16="Core",Nonlabor!$F$16,MAX(Nonlabor!$F$16,IF(Nonlabor!$E$16="AI",Assumptions!$E$24,Assumptions!$E$25))),12)=0))),IF(Nonlabor!$I$16="Fixed",1,IF(Nonlabor!$I$16="Seats",ROUNDUP('Monthly Growth'!I21,0),IF(Nonlabor!$I$16="Customers",'Monthly Growth'!D21,IF(Nonlabor!$I$16="NewCustomers",'Monthly Growth'!C21,IF(Nonlabor!$I$16="StorageGB",'Monthly Growth'!G21,IF(Nonlabor!$I$16="LogGB",'Monthly Growth'!H21,IF(Nonlabor!$I$16="RequestsM",'Monthly Growth'!F21,IF(Nonlabor!$I$16="InputM",'Monthly Growth'!D21*Assumptions!$E$22/1000000,IF(Nonlabor!$I$16="OutputM",'Monthly Growth'!D21*Assumptions!$E$23/1000000,0))))))))),0)</f>
        <v>0</v>
      </c>
      <c r="F3261" s="10" t="n">
        <f aca="false">Nonlabor!$J$16*(1+Assumptions!$E$9)^INT((C3261-1)/12)</f>
        <v>12480</v>
      </c>
      <c r="G3261" s="10" t="n">
        <f aca="false">E3261*F3261</f>
        <v>0</v>
      </c>
      <c r="H3261" s="10" t="n">
        <f aca="false">IF(OR(Nonlabor!$L$16="Quote required",Nonlabor!$L$16="Unverified"),G3261,0)</f>
        <v>0</v>
      </c>
      <c r="I3261" s="10" t="n">
        <f aca="false">IF(Nonlabor!$E$16="Core",0,G3261)</f>
        <v>0</v>
      </c>
      <c r="J3261" s="23" t="str">
        <f aca="false">Nonlabor!$B$16</f>
        <v>LEGAL</v>
      </c>
    </row>
    <row r="3262" customFormat="false" ht="15" hidden="false" customHeight="false" outlineLevel="0" collapsed="false">
      <c r="A3262" s="6" t="s">
        <v>73</v>
      </c>
      <c r="B3262" s="6" t="s">
        <v>406</v>
      </c>
      <c r="C3262" s="6" t="n">
        <v>17</v>
      </c>
      <c r="D3262" s="25" t="n">
        <f aca="false">EDATE('Start Here'!$B$6,C3262-1)</f>
        <v>46813</v>
      </c>
      <c r="E3262" s="23" t="n">
        <f aca="false">IF(AND(OR(Nonlabor!$D$16="Both",Nonlabor!$D$16='Start Here'!$B$9),IF(Nonlabor!$E$16="Core",1,IF(Nonlabor!$E$16="AI",'Start Here'!$B$7,'Start Here'!$B$8))=1,C3262&gt;=IF(Nonlabor!$E$16="Core",Nonlabor!$F$16,MAX(Nonlabor!$F$16,IF(Nonlabor!$E$16="AI",Assumptions!$E$24,Assumptions!$E$25))),C3262&lt;=Nonlabor!$G$16,OR(Nonlabor!$H$16="Monthly",AND(Nonlabor!$H$16="Once",C3262=IF(Nonlabor!$E$16="Core",Nonlabor!$F$16,MAX(Nonlabor!$F$16,IF(Nonlabor!$E$16="AI",Assumptions!$E$24,Assumptions!$E$25)))),AND(Nonlabor!$H$16="Annual",MOD(C3262-IF(Nonlabor!$E$16="Core",Nonlabor!$F$16,MAX(Nonlabor!$F$16,IF(Nonlabor!$E$16="AI",Assumptions!$E$24,Assumptions!$E$25))),12)=0))),IF(Nonlabor!$I$16="Fixed",1,IF(Nonlabor!$I$16="Seats",ROUNDUP('Monthly Growth'!I22,0),IF(Nonlabor!$I$16="Customers",'Monthly Growth'!D22,IF(Nonlabor!$I$16="NewCustomers",'Monthly Growth'!C22,IF(Nonlabor!$I$16="StorageGB",'Monthly Growth'!G22,IF(Nonlabor!$I$16="LogGB",'Monthly Growth'!H22,IF(Nonlabor!$I$16="RequestsM",'Monthly Growth'!F22,IF(Nonlabor!$I$16="InputM",'Monthly Growth'!D22*Assumptions!$E$22/1000000,IF(Nonlabor!$I$16="OutputM",'Monthly Growth'!D22*Assumptions!$E$23/1000000,0))))))))),0)</f>
        <v>0</v>
      </c>
      <c r="F3262" s="10" t="n">
        <f aca="false">Nonlabor!$J$16*(1+Assumptions!$E$9)^INT((C3262-1)/12)</f>
        <v>12480</v>
      </c>
      <c r="G3262" s="10" t="n">
        <f aca="false">E3262*F3262</f>
        <v>0</v>
      </c>
      <c r="H3262" s="10" t="n">
        <f aca="false">IF(OR(Nonlabor!$L$16="Quote required",Nonlabor!$L$16="Unverified"),G3262,0)</f>
        <v>0</v>
      </c>
      <c r="I3262" s="10" t="n">
        <f aca="false">IF(Nonlabor!$E$16="Core",0,G3262)</f>
        <v>0</v>
      </c>
      <c r="J3262" s="23" t="str">
        <f aca="false">Nonlabor!$B$16</f>
        <v>LEGAL</v>
      </c>
    </row>
    <row r="3263" customFormat="false" ht="15" hidden="false" customHeight="false" outlineLevel="0" collapsed="false">
      <c r="A3263" s="6" t="s">
        <v>73</v>
      </c>
      <c r="B3263" s="6" t="s">
        <v>406</v>
      </c>
      <c r="C3263" s="6" t="n">
        <v>18</v>
      </c>
      <c r="D3263" s="25" t="n">
        <f aca="false">EDATE('Start Here'!$B$6,C3263-1)</f>
        <v>46844</v>
      </c>
      <c r="E3263" s="23" t="n">
        <f aca="false">IF(AND(OR(Nonlabor!$D$16="Both",Nonlabor!$D$16='Start Here'!$B$9),IF(Nonlabor!$E$16="Core",1,IF(Nonlabor!$E$16="AI",'Start Here'!$B$7,'Start Here'!$B$8))=1,C3263&gt;=IF(Nonlabor!$E$16="Core",Nonlabor!$F$16,MAX(Nonlabor!$F$16,IF(Nonlabor!$E$16="AI",Assumptions!$E$24,Assumptions!$E$25))),C3263&lt;=Nonlabor!$G$16,OR(Nonlabor!$H$16="Monthly",AND(Nonlabor!$H$16="Once",C3263=IF(Nonlabor!$E$16="Core",Nonlabor!$F$16,MAX(Nonlabor!$F$16,IF(Nonlabor!$E$16="AI",Assumptions!$E$24,Assumptions!$E$25)))),AND(Nonlabor!$H$16="Annual",MOD(C3263-IF(Nonlabor!$E$16="Core",Nonlabor!$F$16,MAX(Nonlabor!$F$16,IF(Nonlabor!$E$16="AI",Assumptions!$E$24,Assumptions!$E$25))),12)=0))),IF(Nonlabor!$I$16="Fixed",1,IF(Nonlabor!$I$16="Seats",ROUNDUP('Monthly Growth'!I23,0),IF(Nonlabor!$I$16="Customers",'Monthly Growth'!D23,IF(Nonlabor!$I$16="NewCustomers",'Monthly Growth'!C23,IF(Nonlabor!$I$16="StorageGB",'Monthly Growth'!G23,IF(Nonlabor!$I$16="LogGB",'Monthly Growth'!H23,IF(Nonlabor!$I$16="RequestsM",'Monthly Growth'!F23,IF(Nonlabor!$I$16="InputM",'Monthly Growth'!D23*Assumptions!$E$22/1000000,IF(Nonlabor!$I$16="OutputM",'Monthly Growth'!D23*Assumptions!$E$23/1000000,0))))))))),0)</f>
        <v>0</v>
      </c>
      <c r="F3263" s="10" t="n">
        <f aca="false">Nonlabor!$J$16*(1+Assumptions!$E$9)^INT((C3263-1)/12)</f>
        <v>12480</v>
      </c>
      <c r="G3263" s="10" t="n">
        <f aca="false">E3263*F3263</f>
        <v>0</v>
      </c>
      <c r="H3263" s="10" t="n">
        <f aca="false">IF(OR(Nonlabor!$L$16="Quote required",Nonlabor!$L$16="Unverified"),G3263,0)</f>
        <v>0</v>
      </c>
      <c r="I3263" s="10" t="n">
        <f aca="false">IF(Nonlabor!$E$16="Core",0,G3263)</f>
        <v>0</v>
      </c>
      <c r="J3263" s="23" t="str">
        <f aca="false">Nonlabor!$B$16</f>
        <v>LEGAL</v>
      </c>
    </row>
    <row r="3264" customFormat="false" ht="15" hidden="false" customHeight="false" outlineLevel="0" collapsed="false">
      <c r="A3264" s="6" t="s">
        <v>73</v>
      </c>
      <c r="B3264" s="6" t="s">
        <v>406</v>
      </c>
      <c r="C3264" s="6" t="n">
        <v>19</v>
      </c>
      <c r="D3264" s="25" t="n">
        <f aca="false">EDATE('Start Here'!$B$6,C3264-1)</f>
        <v>46874</v>
      </c>
      <c r="E3264" s="23" t="n">
        <f aca="false">IF(AND(OR(Nonlabor!$D$16="Both",Nonlabor!$D$16='Start Here'!$B$9),IF(Nonlabor!$E$16="Core",1,IF(Nonlabor!$E$16="AI",'Start Here'!$B$7,'Start Here'!$B$8))=1,C3264&gt;=IF(Nonlabor!$E$16="Core",Nonlabor!$F$16,MAX(Nonlabor!$F$16,IF(Nonlabor!$E$16="AI",Assumptions!$E$24,Assumptions!$E$25))),C3264&lt;=Nonlabor!$G$16,OR(Nonlabor!$H$16="Monthly",AND(Nonlabor!$H$16="Once",C3264=IF(Nonlabor!$E$16="Core",Nonlabor!$F$16,MAX(Nonlabor!$F$16,IF(Nonlabor!$E$16="AI",Assumptions!$E$24,Assumptions!$E$25)))),AND(Nonlabor!$H$16="Annual",MOD(C3264-IF(Nonlabor!$E$16="Core",Nonlabor!$F$16,MAX(Nonlabor!$F$16,IF(Nonlabor!$E$16="AI",Assumptions!$E$24,Assumptions!$E$25))),12)=0))),IF(Nonlabor!$I$16="Fixed",1,IF(Nonlabor!$I$16="Seats",ROUNDUP('Monthly Growth'!I24,0),IF(Nonlabor!$I$16="Customers",'Monthly Growth'!D24,IF(Nonlabor!$I$16="NewCustomers",'Monthly Growth'!C24,IF(Nonlabor!$I$16="StorageGB",'Monthly Growth'!G24,IF(Nonlabor!$I$16="LogGB",'Monthly Growth'!H24,IF(Nonlabor!$I$16="RequestsM",'Monthly Growth'!F24,IF(Nonlabor!$I$16="InputM",'Monthly Growth'!D24*Assumptions!$E$22/1000000,IF(Nonlabor!$I$16="OutputM",'Monthly Growth'!D24*Assumptions!$E$23/1000000,0))))))))),0)</f>
        <v>0</v>
      </c>
      <c r="F3264" s="10" t="n">
        <f aca="false">Nonlabor!$J$16*(1+Assumptions!$E$9)^INT((C3264-1)/12)</f>
        <v>12480</v>
      </c>
      <c r="G3264" s="10" t="n">
        <f aca="false">E3264*F3264</f>
        <v>0</v>
      </c>
      <c r="H3264" s="10" t="n">
        <f aca="false">IF(OR(Nonlabor!$L$16="Quote required",Nonlabor!$L$16="Unverified"),G3264,0)</f>
        <v>0</v>
      </c>
      <c r="I3264" s="10" t="n">
        <f aca="false">IF(Nonlabor!$E$16="Core",0,G3264)</f>
        <v>0</v>
      </c>
      <c r="J3264" s="23" t="str">
        <f aca="false">Nonlabor!$B$16</f>
        <v>LEGAL</v>
      </c>
    </row>
    <row r="3265" customFormat="false" ht="15" hidden="false" customHeight="false" outlineLevel="0" collapsed="false">
      <c r="A3265" s="6" t="s">
        <v>73</v>
      </c>
      <c r="B3265" s="6" t="s">
        <v>406</v>
      </c>
      <c r="C3265" s="6" t="n">
        <v>20</v>
      </c>
      <c r="D3265" s="25" t="n">
        <f aca="false">EDATE('Start Here'!$B$6,C3265-1)</f>
        <v>46905</v>
      </c>
      <c r="E3265" s="23" t="n">
        <f aca="false">IF(AND(OR(Nonlabor!$D$16="Both",Nonlabor!$D$16='Start Here'!$B$9),IF(Nonlabor!$E$16="Core",1,IF(Nonlabor!$E$16="AI",'Start Here'!$B$7,'Start Here'!$B$8))=1,C3265&gt;=IF(Nonlabor!$E$16="Core",Nonlabor!$F$16,MAX(Nonlabor!$F$16,IF(Nonlabor!$E$16="AI",Assumptions!$E$24,Assumptions!$E$25))),C3265&lt;=Nonlabor!$G$16,OR(Nonlabor!$H$16="Monthly",AND(Nonlabor!$H$16="Once",C3265=IF(Nonlabor!$E$16="Core",Nonlabor!$F$16,MAX(Nonlabor!$F$16,IF(Nonlabor!$E$16="AI",Assumptions!$E$24,Assumptions!$E$25)))),AND(Nonlabor!$H$16="Annual",MOD(C3265-IF(Nonlabor!$E$16="Core",Nonlabor!$F$16,MAX(Nonlabor!$F$16,IF(Nonlabor!$E$16="AI",Assumptions!$E$24,Assumptions!$E$25))),12)=0))),IF(Nonlabor!$I$16="Fixed",1,IF(Nonlabor!$I$16="Seats",ROUNDUP('Monthly Growth'!I25,0),IF(Nonlabor!$I$16="Customers",'Monthly Growth'!D25,IF(Nonlabor!$I$16="NewCustomers",'Monthly Growth'!C25,IF(Nonlabor!$I$16="StorageGB",'Monthly Growth'!G25,IF(Nonlabor!$I$16="LogGB",'Monthly Growth'!H25,IF(Nonlabor!$I$16="RequestsM",'Monthly Growth'!F25,IF(Nonlabor!$I$16="InputM",'Monthly Growth'!D25*Assumptions!$E$22/1000000,IF(Nonlabor!$I$16="OutputM",'Monthly Growth'!D25*Assumptions!$E$23/1000000,0))))))))),0)</f>
        <v>0</v>
      </c>
      <c r="F3265" s="10" t="n">
        <f aca="false">Nonlabor!$J$16*(1+Assumptions!$E$9)^INT((C3265-1)/12)</f>
        <v>12480</v>
      </c>
      <c r="G3265" s="10" t="n">
        <f aca="false">E3265*F3265</f>
        <v>0</v>
      </c>
      <c r="H3265" s="10" t="n">
        <f aca="false">IF(OR(Nonlabor!$L$16="Quote required",Nonlabor!$L$16="Unverified"),G3265,0)</f>
        <v>0</v>
      </c>
      <c r="I3265" s="10" t="n">
        <f aca="false">IF(Nonlabor!$E$16="Core",0,G3265)</f>
        <v>0</v>
      </c>
      <c r="J3265" s="23" t="str">
        <f aca="false">Nonlabor!$B$16</f>
        <v>LEGAL</v>
      </c>
    </row>
    <row r="3266" customFormat="false" ht="15" hidden="false" customHeight="false" outlineLevel="0" collapsed="false">
      <c r="A3266" s="6" t="s">
        <v>73</v>
      </c>
      <c r="B3266" s="6" t="s">
        <v>406</v>
      </c>
      <c r="C3266" s="6" t="n">
        <v>21</v>
      </c>
      <c r="D3266" s="25" t="n">
        <f aca="false">EDATE('Start Here'!$B$6,C3266-1)</f>
        <v>46935</v>
      </c>
      <c r="E3266" s="23" t="n">
        <f aca="false">IF(AND(OR(Nonlabor!$D$16="Both",Nonlabor!$D$16='Start Here'!$B$9),IF(Nonlabor!$E$16="Core",1,IF(Nonlabor!$E$16="AI",'Start Here'!$B$7,'Start Here'!$B$8))=1,C3266&gt;=IF(Nonlabor!$E$16="Core",Nonlabor!$F$16,MAX(Nonlabor!$F$16,IF(Nonlabor!$E$16="AI",Assumptions!$E$24,Assumptions!$E$25))),C3266&lt;=Nonlabor!$G$16,OR(Nonlabor!$H$16="Monthly",AND(Nonlabor!$H$16="Once",C3266=IF(Nonlabor!$E$16="Core",Nonlabor!$F$16,MAX(Nonlabor!$F$16,IF(Nonlabor!$E$16="AI",Assumptions!$E$24,Assumptions!$E$25)))),AND(Nonlabor!$H$16="Annual",MOD(C3266-IF(Nonlabor!$E$16="Core",Nonlabor!$F$16,MAX(Nonlabor!$F$16,IF(Nonlabor!$E$16="AI",Assumptions!$E$24,Assumptions!$E$25))),12)=0))),IF(Nonlabor!$I$16="Fixed",1,IF(Nonlabor!$I$16="Seats",ROUNDUP('Monthly Growth'!I26,0),IF(Nonlabor!$I$16="Customers",'Monthly Growth'!D26,IF(Nonlabor!$I$16="NewCustomers",'Monthly Growth'!C26,IF(Nonlabor!$I$16="StorageGB",'Monthly Growth'!G26,IF(Nonlabor!$I$16="LogGB",'Monthly Growth'!H26,IF(Nonlabor!$I$16="RequestsM",'Monthly Growth'!F26,IF(Nonlabor!$I$16="InputM",'Monthly Growth'!D26*Assumptions!$E$22/1000000,IF(Nonlabor!$I$16="OutputM",'Monthly Growth'!D26*Assumptions!$E$23/1000000,0))))))))),0)</f>
        <v>0</v>
      </c>
      <c r="F3266" s="10" t="n">
        <f aca="false">Nonlabor!$J$16*(1+Assumptions!$E$9)^INT((C3266-1)/12)</f>
        <v>12480</v>
      </c>
      <c r="G3266" s="10" t="n">
        <f aca="false">E3266*F3266</f>
        <v>0</v>
      </c>
      <c r="H3266" s="10" t="n">
        <f aca="false">IF(OR(Nonlabor!$L$16="Quote required",Nonlabor!$L$16="Unverified"),G3266,0)</f>
        <v>0</v>
      </c>
      <c r="I3266" s="10" t="n">
        <f aca="false">IF(Nonlabor!$E$16="Core",0,G3266)</f>
        <v>0</v>
      </c>
      <c r="J3266" s="23" t="str">
        <f aca="false">Nonlabor!$B$16</f>
        <v>LEGAL</v>
      </c>
    </row>
    <row r="3267" customFormat="false" ht="15" hidden="false" customHeight="false" outlineLevel="0" collapsed="false">
      <c r="A3267" s="6" t="s">
        <v>73</v>
      </c>
      <c r="B3267" s="6" t="s">
        <v>406</v>
      </c>
      <c r="C3267" s="6" t="n">
        <v>22</v>
      </c>
      <c r="D3267" s="25" t="n">
        <f aca="false">EDATE('Start Here'!$B$6,C3267-1)</f>
        <v>46966</v>
      </c>
      <c r="E3267" s="23" t="n">
        <f aca="false">IF(AND(OR(Nonlabor!$D$16="Both",Nonlabor!$D$16='Start Here'!$B$9),IF(Nonlabor!$E$16="Core",1,IF(Nonlabor!$E$16="AI",'Start Here'!$B$7,'Start Here'!$B$8))=1,C3267&gt;=IF(Nonlabor!$E$16="Core",Nonlabor!$F$16,MAX(Nonlabor!$F$16,IF(Nonlabor!$E$16="AI",Assumptions!$E$24,Assumptions!$E$25))),C3267&lt;=Nonlabor!$G$16,OR(Nonlabor!$H$16="Monthly",AND(Nonlabor!$H$16="Once",C3267=IF(Nonlabor!$E$16="Core",Nonlabor!$F$16,MAX(Nonlabor!$F$16,IF(Nonlabor!$E$16="AI",Assumptions!$E$24,Assumptions!$E$25)))),AND(Nonlabor!$H$16="Annual",MOD(C3267-IF(Nonlabor!$E$16="Core",Nonlabor!$F$16,MAX(Nonlabor!$F$16,IF(Nonlabor!$E$16="AI",Assumptions!$E$24,Assumptions!$E$25))),12)=0))),IF(Nonlabor!$I$16="Fixed",1,IF(Nonlabor!$I$16="Seats",ROUNDUP('Monthly Growth'!I27,0),IF(Nonlabor!$I$16="Customers",'Monthly Growth'!D27,IF(Nonlabor!$I$16="NewCustomers",'Monthly Growth'!C27,IF(Nonlabor!$I$16="StorageGB",'Monthly Growth'!G27,IF(Nonlabor!$I$16="LogGB",'Monthly Growth'!H27,IF(Nonlabor!$I$16="RequestsM",'Monthly Growth'!F27,IF(Nonlabor!$I$16="InputM",'Monthly Growth'!D27*Assumptions!$E$22/1000000,IF(Nonlabor!$I$16="OutputM",'Monthly Growth'!D27*Assumptions!$E$23/1000000,0))))))))),0)</f>
        <v>0</v>
      </c>
      <c r="F3267" s="10" t="n">
        <f aca="false">Nonlabor!$J$16*(1+Assumptions!$E$9)^INT((C3267-1)/12)</f>
        <v>12480</v>
      </c>
      <c r="G3267" s="10" t="n">
        <f aca="false">E3267*F3267</f>
        <v>0</v>
      </c>
      <c r="H3267" s="10" t="n">
        <f aca="false">IF(OR(Nonlabor!$L$16="Quote required",Nonlabor!$L$16="Unverified"),G3267,0)</f>
        <v>0</v>
      </c>
      <c r="I3267" s="10" t="n">
        <f aca="false">IF(Nonlabor!$E$16="Core",0,G3267)</f>
        <v>0</v>
      </c>
      <c r="J3267" s="23" t="str">
        <f aca="false">Nonlabor!$B$16</f>
        <v>LEGAL</v>
      </c>
    </row>
    <row r="3268" customFormat="false" ht="15" hidden="false" customHeight="false" outlineLevel="0" collapsed="false">
      <c r="A3268" s="6" t="s">
        <v>73</v>
      </c>
      <c r="B3268" s="6" t="s">
        <v>406</v>
      </c>
      <c r="C3268" s="6" t="n">
        <v>23</v>
      </c>
      <c r="D3268" s="25" t="n">
        <f aca="false">EDATE('Start Here'!$B$6,C3268-1)</f>
        <v>46997</v>
      </c>
      <c r="E3268" s="23" t="n">
        <f aca="false">IF(AND(OR(Nonlabor!$D$16="Both",Nonlabor!$D$16='Start Here'!$B$9),IF(Nonlabor!$E$16="Core",1,IF(Nonlabor!$E$16="AI",'Start Here'!$B$7,'Start Here'!$B$8))=1,C3268&gt;=IF(Nonlabor!$E$16="Core",Nonlabor!$F$16,MAX(Nonlabor!$F$16,IF(Nonlabor!$E$16="AI",Assumptions!$E$24,Assumptions!$E$25))),C3268&lt;=Nonlabor!$G$16,OR(Nonlabor!$H$16="Monthly",AND(Nonlabor!$H$16="Once",C3268=IF(Nonlabor!$E$16="Core",Nonlabor!$F$16,MAX(Nonlabor!$F$16,IF(Nonlabor!$E$16="AI",Assumptions!$E$24,Assumptions!$E$25)))),AND(Nonlabor!$H$16="Annual",MOD(C3268-IF(Nonlabor!$E$16="Core",Nonlabor!$F$16,MAX(Nonlabor!$F$16,IF(Nonlabor!$E$16="AI",Assumptions!$E$24,Assumptions!$E$25))),12)=0))),IF(Nonlabor!$I$16="Fixed",1,IF(Nonlabor!$I$16="Seats",ROUNDUP('Monthly Growth'!I28,0),IF(Nonlabor!$I$16="Customers",'Monthly Growth'!D28,IF(Nonlabor!$I$16="NewCustomers",'Monthly Growth'!C28,IF(Nonlabor!$I$16="StorageGB",'Monthly Growth'!G28,IF(Nonlabor!$I$16="LogGB",'Monthly Growth'!H28,IF(Nonlabor!$I$16="RequestsM",'Monthly Growth'!F28,IF(Nonlabor!$I$16="InputM",'Monthly Growth'!D28*Assumptions!$E$22/1000000,IF(Nonlabor!$I$16="OutputM",'Monthly Growth'!D28*Assumptions!$E$23/1000000,0))))))))),0)</f>
        <v>0</v>
      </c>
      <c r="F3268" s="10" t="n">
        <f aca="false">Nonlabor!$J$16*(1+Assumptions!$E$9)^INT((C3268-1)/12)</f>
        <v>12480</v>
      </c>
      <c r="G3268" s="10" t="n">
        <f aca="false">E3268*F3268</f>
        <v>0</v>
      </c>
      <c r="H3268" s="10" t="n">
        <f aca="false">IF(OR(Nonlabor!$L$16="Quote required",Nonlabor!$L$16="Unverified"),G3268,0)</f>
        <v>0</v>
      </c>
      <c r="I3268" s="10" t="n">
        <f aca="false">IF(Nonlabor!$E$16="Core",0,G3268)</f>
        <v>0</v>
      </c>
      <c r="J3268" s="23" t="str">
        <f aca="false">Nonlabor!$B$16</f>
        <v>LEGAL</v>
      </c>
    </row>
    <row r="3269" customFormat="false" ht="15" hidden="false" customHeight="false" outlineLevel="0" collapsed="false">
      <c r="A3269" s="6" t="s">
        <v>73</v>
      </c>
      <c r="B3269" s="6" t="s">
        <v>406</v>
      </c>
      <c r="C3269" s="6" t="n">
        <v>24</v>
      </c>
      <c r="D3269" s="25" t="n">
        <f aca="false">EDATE('Start Here'!$B$6,C3269-1)</f>
        <v>47027</v>
      </c>
      <c r="E3269" s="23" t="n">
        <f aca="false">IF(AND(OR(Nonlabor!$D$16="Both",Nonlabor!$D$16='Start Here'!$B$9),IF(Nonlabor!$E$16="Core",1,IF(Nonlabor!$E$16="AI",'Start Here'!$B$7,'Start Here'!$B$8))=1,C3269&gt;=IF(Nonlabor!$E$16="Core",Nonlabor!$F$16,MAX(Nonlabor!$F$16,IF(Nonlabor!$E$16="AI",Assumptions!$E$24,Assumptions!$E$25))),C3269&lt;=Nonlabor!$G$16,OR(Nonlabor!$H$16="Monthly",AND(Nonlabor!$H$16="Once",C3269=IF(Nonlabor!$E$16="Core",Nonlabor!$F$16,MAX(Nonlabor!$F$16,IF(Nonlabor!$E$16="AI",Assumptions!$E$24,Assumptions!$E$25)))),AND(Nonlabor!$H$16="Annual",MOD(C3269-IF(Nonlabor!$E$16="Core",Nonlabor!$F$16,MAX(Nonlabor!$F$16,IF(Nonlabor!$E$16="AI",Assumptions!$E$24,Assumptions!$E$25))),12)=0))),IF(Nonlabor!$I$16="Fixed",1,IF(Nonlabor!$I$16="Seats",ROUNDUP('Monthly Growth'!I29,0),IF(Nonlabor!$I$16="Customers",'Monthly Growth'!D29,IF(Nonlabor!$I$16="NewCustomers",'Monthly Growth'!C29,IF(Nonlabor!$I$16="StorageGB",'Monthly Growth'!G29,IF(Nonlabor!$I$16="LogGB",'Monthly Growth'!H29,IF(Nonlabor!$I$16="RequestsM",'Monthly Growth'!F29,IF(Nonlabor!$I$16="InputM",'Monthly Growth'!D29*Assumptions!$E$22/1000000,IF(Nonlabor!$I$16="OutputM",'Monthly Growth'!D29*Assumptions!$E$23/1000000,0))))))))),0)</f>
        <v>0</v>
      </c>
      <c r="F3269" s="10" t="n">
        <f aca="false">Nonlabor!$J$16*(1+Assumptions!$E$9)^INT((C3269-1)/12)</f>
        <v>12480</v>
      </c>
      <c r="G3269" s="10" t="n">
        <f aca="false">E3269*F3269</f>
        <v>0</v>
      </c>
      <c r="H3269" s="10" t="n">
        <f aca="false">IF(OR(Nonlabor!$L$16="Quote required",Nonlabor!$L$16="Unverified"),G3269,0)</f>
        <v>0</v>
      </c>
      <c r="I3269" s="10" t="n">
        <f aca="false">IF(Nonlabor!$E$16="Core",0,G3269)</f>
        <v>0</v>
      </c>
      <c r="J3269" s="23" t="str">
        <f aca="false">Nonlabor!$B$16</f>
        <v>LEGAL</v>
      </c>
    </row>
    <row r="3270" customFormat="false" ht="15" hidden="false" customHeight="false" outlineLevel="0" collapsed="false">
      <c r="A3270" s="6" t="s">
        <v>73</v>
      </c>
      <c r="B3270" s="6" t="s">
        <v>406</v>
      </c>
      <c r="C3270" s="6" t="n">
        <v>25</v>
      </c>
      <c r="D3270" s="25" t="n">
        <f aca="false">EDATE('Start Here'!$B$6,C3270-1)</f>
        <v>47058</v>
      </c>
      <c r="E3270" s="23" t="n">
        <f aca="false">IF(AND(OR(Nonlabor!$D$16="Both",Nonlabor!$D$16='Start Here'!$B$9),IF(Nonlabor!$E$16="Core",1,IF(Nonlabor!$E$16="AI",'Start Here'!$B$7,'Start Here'!$B$8))=1,C3270&gt;=IF(Nonlabor!$E$16="Core",Nonlabor!$F$16,MAX(Nonlabor!$F$16,IF(Nonlabor!$E$16="AI",Assumptions!$E$24,Assumptions!$E$25))),C3270&lt;=Nonlabor!$G$16,OR(Nonlabor!$H$16="Monthly",AND(Nonlabor!$H$16="Once",C3270=IF(Nonlabor!$E$16="Core",Nonlabor!$F$16,MAX(Nonlabor!$F$16,IF(Nonlabor!$E$16="AI",Assumptions!$E$24,Assumptions!$E$25)))),AND(Nonlabor!$H$16="Annual",MOD(C3270-IF(Nonlabor!$E$16="Core",Nonlabor!$F$16,MAX(Nonlabor!$F$16,IF(Nonlabor!$E$16="AI",Assumptions!$E$24,Assumptions!$E$25))),12)=0))),IF(Nonlabor!$I$16="Fixed",1,IF(Nonlabor!$I$16="Seats",ROUNDUP('Monthly Growth'!I30,0),IF(Nonlabor!$I$16="Customers",'Monthly Growth'!D30,IF(Nonlabor!$I$16="NewCustomers",'Monthly Growth'!C30,IF(Nonlabor!$I$16="StorageGB",'Monthly Growth'!G30,IF(Nonlabor!$I$16="LogGB",'Monthly Growth'!H30,IF(Nonlabor!$I$16="RequestsM",'Monthly Growth'!F30,IF(Nonlabor!$I$16="InputM",'Monthly Growth'!D30*Assumptions!$E$22/1000000,IF(Nonlabor!$I$16="OutputM",'Monthly Growth'!D30*Assumptions!$E$23/1000000,0))))))))),0)</f>
        <v>0</v>
      </c>
      <c r="F3270" s="10" t="n">
        <f aca="false">Nonlabor!$J$16*(1+Assumptions!$E$9)^INT((C3270-1)/12)</f>
        <v>12979.2</v>
      </c>
      <c r="G3270" s="10" t="n">
        <f aca="false">E3270*F3270</f>
        <v>0</v>
      </c>
      <c r="H3270" s="10" t="n">
        <f aca="false">IF(OR(Nonlabor!$L$16="Quote required",Nonlabor!$L$16="Unverified"),G3270,0)</f>
        <v>0</v>
      </c>
      <c r="I3270" s="10" t="n">
        <f aca="false">IF(Nonlabor!$E$16="Core",0,G3270)</f>
        <v>0</v>
      </c>
      <c r="J3270" s="23" t="str">
        <f aca="false">Nonlabor!$B$16</f>
        <v>LEGAL</v>
      </c>
    </row>
    <row r="3271" customFormat="false" ht="15" hidden="false" customHeight="false" outlineLevel="0" collapsed="false">
      <c r="A3271" s="6" t="s">
        <v>73</v>
      </c>
      <c r="B3271" s="6" t="s">
        <v>406</v>
      </c>
      <c r="C3271" s="6" t="n">
        <v>26</v>
      </c>
      <c r="D3271" s="25" t="n">
        <f aca="false">EDATE('Start Here'!$B$6,C3271-1)</f>
        <v>47088</v>
      </c>
      <c r="E3271" s="23" t="n">
        <f aca="false">IF(AND(OR(Nonlabor!$D$16="Both",Nonlabor!$D$16='Start Here'!$B$9),IF(Nonlabor!$E$16="Core",1,IF(Nonlabor!$E$16="AI",'Start Here'!$B$7,'Start Here'!$B$8))=1,C3271&gt;=IF(Nonlabor!$E$16="Core",Nonlabor!$F$16,MAX(Nonlabor!$F$16,IF(Nonlabor!$E$16="AI",Assumptions!$E$24,Assumptions!$E$25))),C3271&lt;=Nonlabor!$G$16,OR(Nonlabor!$H$16="Monthly",AND(Nonlabor!$H$16="Once",C3271=IF(Nonlabor!$E$16="Core",Nonlabor!$F$16,MAX(Nonlabor!$F$16,IF(Nonlabor!$E$16="AI",Assumptions!$E$24,Assumptions!$E$25)))),AND(Nonlabor!$H$16="Annual",MOD(C3271-IF(Nonlabor!$E$16="Core",Nonlabor!$F$16,MAX(Nonlabor!$F$16,IF(Nonlabor!$E$16="AI",Assumptions!$E$24,Assumptions!$E$25))),12)=0))),IF(Nonlabor!$I$16="Fixed",1,IF(Nonlabor!$I$16="Seats",ROUNDUP('Monthly Growth'!I31,0),IF(Nonlabor!$I$16="Customers",'Monthly Growth'!D31,IF(Nonlabor!$I$16="NewCustomers",'Monthly Growth'!C31,IF(Nonlabor!$I$16="StorageGB",'Monthly Growth'!G31,IF(Nonlabor!$I$16="LogGB",'Monthly Growth'!H31,IF(Nonlabor!$I$16="RequestsM",'Monthly Growth'!F31,IF(Nonlabor!$I$16="InputM",'Monthly Growth'!D31*Assumptions!$E$22/1000000,IF(Nonlabor!$I$16="OutputM",'Monthly Growth'!D31*Assumptions!$E$23/1000000,0))))))))),0)</f>
        <v>1</v>
      </c>
      <c r="F3271" s="10" t="n">
        <f aca="false">Nonlabor!$J$16*(1+Assumptions!$E$9)^INT((C3271-1)/12)</f>
        <v>12979.2</v>
      </c>
      <c r="G3271" s="10" t="n">
        <f aca="false">E3271*F3271</f>
        <v>12979.2</v>
      </c>
      <c r="H3271" s="10" t="n">
        <f aca="false">IF(OR(Nonlabor!$L$16="Quote required",Nonlabor!$L$16="Unverified"),G3271,0)</f>
        <v>12979.2</v>
      </c>
      <c r="I3271" s="10" t="n">
        <f aca="false">IF(Nonlabor!$E$16="Core",0,G3271)</f>
        <v>0</v>
      </c>
      <c r="J3271" s="23" t="str">
        <f aca="false">Nonlabor!$B$16</f>
        <v>LEGAL</v>
      </c>
    </row>
    <row r="3272" customFormat="false" ht="15" hidden="false" customHeight="false" outlineLevel="0" collapsed="false">
      <c r="A3272" s="6" t="s">
        <v>73</v>
      </c>
      <c r="B3272" s="6" t="s">
        <v>406</v>
      </c>
      <c r="C3272" s="6" t="n">
        <v>27</v>
      </c>
      <c r="D3272" s="25" t="n">
        <f aca="false">EDATE('Start Here'!$B$6,C3272-1)</f>
        <v>47119</v>
      </c>
      <c r="E3272" s="23" t="n">
        <f aca="false">IF(AND(OR(Nonlabor!$D$16="Both",Nonlabor!$D$16='Start Here'!$B$9),IF(Nonlabor!$E$16="Core",1,IF(Nonlabor!$E$16="AI",'Start Here'!$B$7,'Start Here'!$B$8))=1,C3272&gt;=IF(Nonlabor!$E$16="Core",Nonlabor!$F$16,MAX(Nonlabor!$F$16,IF(Nonlabor!$E$16="AI",Assumptions!$E$24,Assumptions!$E$25))),C3272&lt;=Nonlabor!$G$16,OR(Nonlabor!$H$16="Monthly",AND(Nonlabor!$H$16="Once",C3272=IF(Nonlabor!$E$16="Core",Nonlabor!$F$16,MAX(Nonlabor!$F$16,IF(Nonlabor!$E$16="AI",Assumptions!$E$24,Assumptions!$E$25)))),AND(Nonlabor!$H$16="Annual",MOD(C3272-IF(Nonlabor!$E$16="Core",Nonlabor!$F$16,MAX(Nonlabor!$F$16,IF(Nonlabor!$E$16="AI",Assumptions!$E$24,Assumptions!$E$25))),12)=0))),IF(Nonlabor!$I$16="Fixed",1,IF(Nonlabor!$I$16="Seats",ROUNDUP('Monthly Growth'!I32,0),IF(Nonlabor!$I$16="Customers",'Monthly Growth'!D32,IF(Nonlabor!$I$16="NewCustomers",'Monthly Growth'!C32,IF(Nonlabor!$I$16="StorageGB",'Monthly Growth'!G32,IF(Nonlabor!$I$16="LogGB",'Monthly Growth'!H32,IF(Nonlabor!$I$16="RequestsM",'Monthly Growth'!F32,IF(Nonlabor!$I$16="InputM",'Monthly Growth'!D32*Assumptions!$E$22/1000000,IF(Nonlabor!$I$16="OutputM",'Monthly Growth'!D32*Assumptions!$E$23/1000000,0))))))))),0)</f>
        <v>0</v>
      </c>
      <c r="F3272" s="10" t="n">
        <f aca="false">Nonlabor!$J$16*(1+Assumptions!$E$9)^INT((C3272-1)/12)</f>
        <v>12979.2</v>
      </c>
      <c r="G3272" s="10" t="n">
        <f aca="false">E3272*F3272</f>
        <v>0</v>
      </c>
      <c r="H3272" s="10" t="n">
        <f aca="false">IF(OR(Nonlabor!$L$16="Quote required",Nonlabor!$L$16="Unverified"),G3272,0)</f>
        <v>0</v>
      </c>
      <c r="I3272" s="10" t="n">
        <f aca="false">IF(Nonlabor!$E$16="Core",0,G3272)</f>
        <v>0</v>
      </c>
      <c r="J3272" s="23" t="str">
        <f aca="false">Nonlabor!$B$16</f>
        <v>LEGAL</v>
      </c>
    </row>
    <row r="3273" customFormat="false" ht="15" hidden="false" customHeight="false" outlineLevel="0" collapsed="false">
      <c r="A3273" s="6" t="s">
        <v>73</v>
      </c>
      <c r="B3273" s="6" t="s">
        <v>406</v>
      </c>
      <c r="C3273" s="6" t="n">
        <v>28</v>
      </c>
      <c r="D3273" s="25" t="n">
        <f aca="false">EDATE('Start Here'!$B$6,C3273-1)</f>
        <v>47150</v>
      </c>
      <c r="E3273" s="23" t="n">
        <f aca="false">IF(AND(OR(Nonlabor!$D$16="Both",Nonlabor!$D$16='Start Here'!$B$9),IF(Nonlabor!$E$16="Core",1,IF(Nonlabor!$E$16="AI",'Start Here'!$B$7,'Start Here'!$B$8))=1,C3273&gt;=IF(Nonlabor!$E$16="Core",Nonlabor!$F$16,MAX(Nonlabor!$F$16,IF(Nonlabor!$E$16="AI",Assumptions!$E$24,Assumptions!$E$25))),C3273&lt;=Nonlabor!$G$16,OR(Nonlabor!$H$16="Monthly",AND(Nonlabor!$H$16="Once",C3273=IF(Nonlabor!$E$16="Core",Nonlabor!$F$16,MAX(Nonlabor!$F$16,IF(Nonlabor!$E$16="AI",Assumptions!$E$24,Assumptions!$E$25)))),AND(Nonlabor!$H$16="Annual",MOD(C3273-IF(Nonlabor!$E$16="Core",Nonlabor!$F$16,MAX(Nonlabor!$F$16,IF(Nonlabor!$E$16="AI",Assumptions!$E$24,Assumptions!$E$25))),12)=0))),IF(Nonlabor!$I$16="Fixed",1,IF(Nonlabor!$I$16="Seats",ROUNDUP('Monthly Growth'!I33,0),IF(Nonlabor!$I$16="Customers",'Monthly Growth'!D33,IF(Nonlabor!$I$16="NewCustomers",'Monthly Growth'!C33,IF(Nonlabor!$I$16="StorageGB",'Monthly Growth'!G33,IF(Nonlabor!$I$16="LogGB",'Monthly Growth'!H33,IF(Nonlabor!$I$16="RequestsM",'Monthly Growth'!F33,IF(Nonlabor!$I$16="InputM",'Monthly Growth'!D33*Assumptions!$E$22/1000000,IF(Nonlabor!$I$16="OutputM",'Monthly Growth'!D33*Assumptions!$E$23/1000000,0))))))))),0)</f>
        <v>0</v>
      </c>
      <c r="F3273" s="10" t="n">
        <f aca="false">Nonlabor!$J$16*(1+Assumptions!$E$9)^INT((C3273-1)/12)</f>
        <v>12979.2</v>
      </c>
      <c r="G3273" s="10" t="n">
        <f aca="false">E3273*F3273</f>
        <v>0</v>
      </c>
      <c r="H3273" s="10" t="n">
        <f aca="false">IF(OR(Nonlabor!$L$16="Quote required",Nonlabor!$L$16="Unverified"),G3273,0)</f>
        <v>0</v>
      </c>
      <c r="I3273" s="10" t="n">
        <f aca="false">IF(Nonlabor!$E$16="Core",0,G3273)</f>
        <v>0</v>
      </c>
      <c r="J3273" s="23" t="str">
        <f aca="false">Nonlabor!$B$16</f>
        <v>LEGAL</v>
      </c>
    </row>
    <row r="3274" customFormat="false" ht="15" hidden="false" customHeight="false" outlineLevel="0" collapsed="false">
      <c r="A3274" s="6" t="s">
        <v>73</v>
      </c>
      <c r="B3274" s="6" t="s">
        <v>406</v>
      </c>
      <c r="C3274" s="6" t="n">
        <v>29</v>
      </c>
      <c r="D3274" s="25" t="n">
        <f aca="false">EDATE('Start Here'!$B$6,C3274-1)</f>
        <v>47178</v>
      </c>
      <c r="E3274" s="23" t="n">
        <f aca="false">IF(AND(OR(Nonlabor!$D$16="Both",Nonlabor!$D$16='Start Here'!$B$9),IF(Nonlabor!$E$16="Core",1,IF(Nonlabor!$E$16="AI",'Start Here'!$B$7,'Start Here'!$B$8))=1,C3274&gt;=IF(Nonlabor!$E$16="Core",Nonlabor!$F$16,MAX(Nonlabor!$F$16,IF(Nonlabor!$E$16="AI",Assumptions!$E$24,Assumptions!$E$25))),C3274&lt;=Nonlabor!$G$16,OR(Nonlabor!$H$16="Monthly",AND(Nonlabor!$H$16="Once",C3274=IF(Nonlabor!$E$16="Core",Nonlabor!$F$16,MAX(Nonlabor!$F$16,IF(Nonlabor!$E$16="AI",Assumptions!$E$24,Assumptions!$E$25)))),AND(Nonlabor!$H$16="Annual",MOD(C3274-IF(Nonlabor!$E$16="Core",Nonlabor!$F$16,MAX(Nonlabor!$F$16,IF(Nonlabor!$E$16="AI",Assumptions!$E$24,Assumptions!$E$25))),12)=0))),IF(Nonlabor!$I$16="Fixed",1,IF(Nonlabor!$I$16="Seats",ROUNDUP('Monthly Growth'!I34,0),IF(Nonlabor!$I$16="Customers",'Monthly Growth'!D34,IF(Nonlabor!$I$16="NewCustomers",'Monthly Growth'!C34,IF(Nonlabor!$I$16="StorageGB",'Monthly Growth'!G34,IF(Nonlabor!$I$16="LogGB",'Monthly Growth'!H34,IF(Nonlabor!$I$16="RequestsM",'Monthly Growth'!F34,IF(Nonlabor!$I$16="InputM",'Monthly Growth'!D34*Assumptions!$E$22/1000000,IF(Nonlabor!$I$16="OutputM",'Monthly Growth'!D34*Assumptions!$E$23/1000000,0))))))))),0)</f>
        <v>0</v>
      </c>
      <c r="F3274" s="10" t="n">
        <f aca="false">Nonlabor!$J$16*(1+Assumptions!$E$9)^INT((C3274-1)/12)</f>
        <v>12979.2</v>
      </c>
      <c r="G3274" s="10" t="n">
        <f aca="false">E3274*F3274</f>
        <v>0</v>
      </c>
      <c r="H3274" s="10" t="n">
        <f aca="false">IF(OR(Nonlabor!$L$16="Quote required",Nonlabor!$L$16="Unverified"),G3274,0)</f>
        <v>0</v>
      </c>
      <c r="I3274" s="10" t="n">
        <f aca="false">IF(Nonlabor!$E$16="Core",0,G3274)</f>
        <v>0</v>
      </c>
      <c r="J3274" s="23" t="str">
        <f aca="false">Nonlabor!$B$16</f>
        <v>LEGAL</v>
      </c>
    </row>
    <row r="3275" customFormat="false" ht="15" hidden="false" customHeight="false" outlineLevel="0" collapsed="false">
      <c r="A3275" s="6" t="s">
        <v>73</v>
      </c>
      <c r="B3275" s="6" t="s">
        <v>406</v>
      </c>
      <c r="C3275" s="6" t="n">
        <v>30</v>
      </c>
      <c r="D3275" s="25" t="n">
        <f aca="false">EDATE('Start Here'!$B$6,C3275-1)</f>
        <v>47209</v>
      </c>
      <c r="E3275" s="23" t="n">
        <f aca="false">IF(AND(OR(Nonlabor!$D$16="Both",Nonlabor!$D$16='Start Here'!$B$9),IF(Nonlabor!$E$16="Core",1,IF(Nonlabor!$E$16="AI",'Start Here'!$B$7,'Start Here'!$B$8))=1,C3275&gt;=IF(Nonlabor!$E$16="Core",Nonlabor!$F$16,MAX(Nonlabor!$F$16,IF(Nonlabor!$E$16="AI",Assumptions!$E$24,Assumptions!$E$25))),C3275&lt;=Nonlabor!$G$16,OR(Nonlabor!$H$16="Monthly",AND(Nonlabor!$H$16="Once",C3275=IF(Nonlabor!$E$16="Core",Nonlabor!$F$16,MAX(Nonlabor!$F$16,IF(Nonlabor!$E$16="AI",Assumptions!$E$24,Assumptions!$E$25)))),AND(Nonlabor!$H$16="Annual",MOD(C3275-IF(Nonlabor!$E$16="Core",Nonlabor!$F$16,MAX(Nonlabor!$F$16,IF(Nonlabor!$E$16="AI",Assumptions!$E$24,Assumptions!$E$25))),12)=0))),IF(Nonlabor!$I$16="Fixed",1,IF(Nonlabor!$I$16="Seats",ROUNDUP('Monthly Growth'!I35,0),IF(Nonlabor!$I$16="Customers",'Monthly Growth'!D35,IF(Nonlabor!$I$16="NewCustomers",'Monthly Growth'!C35,IF(Nonlabor!$I$16="StorageGB",'Monthly Growth'!G35,IF(Nonlabor!$I$16="LogGB",'Monthly Growth'!H35,IF(Nonlabor!$I$16="RequestsM",'Monthly Growth'!F35,IF(Nonlabor!$I$16="InputM",'Monthly Growth'!D35*Assumptions!$E$22/1000000,IF(Nonlabor!$I$16="OutputM",'Monthly Growth'!D35*Assumptions!$E$23/1000000,0))))))))),0)</f>
        <v>0</v>
      </c>
      <c r="F3275" s="10" t="n">
        <f aca="false">Nonlabor!$J$16*(1+Assumptions!$E$9)^INT((C3275-1)/12)</f>
        <v>12979.2</v>
      </c>
      <c r="G3275" s="10" t="n">
        <f aca="false">E3275*F3275</f>
        <v>0</v>
      </c>
      <c r="H3275" s="10" t="n">
        <f aca="false">IF(OR(Nonlabor!$L$16="Quote required",Nonlabor!$L$16="Unverified"),G3275,0)</f>
        <v>0</v>
      </c>
      <c r="I3275" s="10" t="n">
        <f aca="false">IF(Nonlabor!$E$16="Core",0,G3275)</f>
        <v>0</v>
      </c>
      <c r="J3275" s="23" t="str">
        <f aca="false">Nonlabor!$B$16</f>
        <v>LEGAL</v>
      </c>
    </row>
    <row r="3276" customFormat="false" ht="15" hidden="false" customHeight="false" outlineLevel="0" collapsed="false">
      <c r="A3276" s="6" t="s">
        <v>73</v>
      </c>
      <c r="B3276" s="6" t="s">
        <v>406</v>
      </c>
      <c r="C3276" s="6" t="n">
        <v>31</v>
      </c>
      <c r="D3276" s="25" t="n">
        <f aca="false">EDATE('Start Here'!$B$6,C3276-1)</f>
        <v>47239</v>
      </c>
      <c r="E3276" s="23" t="n">
        <f aca="false">IF(AND(OR(Nonlabor!$D$16="Both",Nonlabor!$D$16='Start Here'!$B$9),IF(Nonlabor!$E$16="Core",1,IF(Nonlabor!$E$16="AI",'Start Here'!$B$7,'Start Here'!$B$8))=1,C3276&gt;=IF(Nonlabor!$E$16="Core",Nonlabor!$F$16,MAX(Nonlabor!$F$16,IF(Nonlabor!$E$16="AI",Assumptions!$E$24,Assumptions!$E$25))),C3276&lt;=Nonlabor!$G$16,OR(Nonlabor!$H$16="Monthly",AND(Nonlabor!$H$16="Once",C3276=IF(Nonlabor!$E$16="Core",Nonlabor!$F$16,MAX(Nonlabor!$F$16,IF(Nonlabor!$E$16="AI",Assumptions!$E$24,Assumptions!$E$25)))),AND(Nonlabor!$H$16="Annual",MOD(C3276-IF(Nonlabor!$E$16="Core",Nonlabor!$F$16,MAX(Nonlabor!$F$16,IF(Nonlabor!$E$16="AI",Assumptions!$E$24,Assumptions!$E$25))),12)=0))),IF(Nonlabor!$I$16="Fixed",1,IF(Nonlabor!$I$16="Seats",ROUNDUP('Monthly Growth'!I36,0),IF(Nonlabor!$I$16="Customers",'Monthly Growth'!D36,IF(Nonlabor!$I$16="NewCustomers",'Monthly Growth'!C36,IF(Nonlabor!$I$16="StorageGB",'Monthly Growth'!G36,IF(Nonlabor!$I$16="LogGB",'Monthly Growth'!H36,IF(Nonlabor!$I$16="RequestsM",'Monthly Growth'!F36,IF(Nonlabor!$I$16="InputM",'Monthly Growth'!D36*Assumptions!$E$22/1000000,IF(Nonlabor!$I$16="OutputM",'Monthly Growth'!D36*Assumptions!$E$23/1000000,0))))))))),0)</f>
        <v>0</v>
      </c>
      <c r="F3276" s="10" t="n">
        <f aca="false">Nonlabor!$J$16*(1+Assumptions!$E$9)^INT((C3276-1)/12)</f>
        <v>12979.2</v>
      </c>
      <c r="G3276" s="10" t="n">
        <f aca="false">E3276*F3276</f>
        <v>0</v>
      </c>
      <c r="H3276" s="10" t="n">
        <f aca="false">IF(OR(Nonlabor!$L$16="Quote required",Nonlabor!$L$16="Unverified"),G3276,0)</f>
        <v>0</v>
      </c>
      <c r="I3276" s="10" t="n">
        <f aca="false">IF(Nonlabor!$E$16="Core",0,G3276)</f>
        <v>0</v>
      </c>
      <c r="J3276" s="23" t="str">
        <f aca="false">Nonlabor!$B$16</f>
        <v>LEGAL</v>
      </c>
    </row>
    <row r="3277" customFormat="false" ht="15" hidden="false" customHeight="false" outlineLevel="0" collapsed="false">
      <c r="A3277" s="6" t="s">
        <v>73</v>
      </c>
      <c r="B3277" s="6" t="s">
        <v>406</v>
      </c>
      <c r="C3277" s="6" t="n">
        <v>32</v>
      </c>
      <c r="D3277" s="25" t="n">
        <f aca="false">EDATE('Start Here'!$B$6,C3277-1)</f>
        <v>47270</v>
      </c>
      <c r="E3277" s="23" t="n">
        <f aca="false">IF(AND(OR(Nonlabor!$D$16="Both",Nonlabor!$D$16='Start Here'!$B$9),IF(Nonlabor!$E$16="Core",1,IF(Nonlabor!$E$16="AI",'Start Here'!$B$7,'Start Here'!$B$8))=1,C3277&gt;=IF(Nonlabor!$E$16="Core",Nonlabor!$F$16,MAX(Nonlabor!$F$16,IF(Nonlabor!$E$16="AI",Assumptions!$E$24,Assumptions!$E$25))),C3277&lt;=Nonlabor!$G$16,OR(Nonlabor!$H$16="Monthly",AND(Nonlabor!$H$16="Once",C3277=IF(Nonlabor!$E$16="Core",Nonlabor!$F$16,MAX(Nonlabor!$F$16,IF(Nonlabor!$E$16="AI",Assumptions!$E$24,Assumptions!$E$25)))),AND(Nonlabor!$H$16="Annual",MOD(C3277-IF(Nonlabor!$E$16="Core",Nonlabor!$F$16,MAX(Nonlabor!$F$16,IF(Nonlabor!$E$16="AI",Assumptions!$E$24,Assumptions!$E$25))),12)=0))),IF(Nonlabor!$I$16="Fixed",1,IF(Nonlabor!$I$16="Seats",ROUNDUP('Monthly Growth'!I37,0),IF(Nonlabor!$I$16="Customers",'Monthly Growth'!D37,IF(Nonlabor!$I$16="NewCustomers",'Monthly Growth'!C37,IF(Nonlabor!$I$16="StorageGB",'Monthly Growth'!G37,IF(Nonlabor!$I$16="LogGB",'Monthly Growth'!H37,IF(Nonlabor!$I$16="RequestsM",'Monthly Growth'!F37,IF(Nonlabor!$I$16="InputM",'Monthly Growth'!D37*Assumptions!$E$22/1000000,IF(Nonlabor!$I$16="OutputM",'Monthly Growth'!D37*Assumptions!$E$23/1000000,0))))))))),0)</f>
        <v>0</v>
      </c>
      <c r="F3277" s="10" t="n">
        <f aca="false">Nonlabor!$J$16*(1+Assumptions!$E$9)^INT((C3277-1)/12)</f>
        <v>12979.2</v>
      </c>
      <c r="G3277" s="10" t="n">
        <f aca="false">E3277*F3277</f>
        <v>0</v>
      </c>
      <c r="H3277" s="10" t="n">
        <f aca="false">IF(OR(Nonlabor!$L$16="Quote required",Nonlabor!$L$16="Unverified"),G3277,0)</f>
        <v>0</v>
      </c>
      <c r="I3277" s="10" t="n">
        <f aca="false">IF(Nonlabor!$E$16="Core",0,G3277)</f>
        <v>0</v>
      </c>
      <c r="J3277" s="23" t="str">
        <f aca="false">Nonlabor!$B$16</f>
        <v>LEGAL</v>
      </c>
    </row>
    <row r="3278" customFormat="false" ht="15" hidden="false" customHeight="false" outlineLevel="0" collapsed="false">
      <c r="A3278" s="6" t="s">
        <v>73</v>
      </c>
      <c r="B3278" s="6" t="s">
        <v>406</v>
      </c>
      <c r="C3278" s="6" t="n">
        <v>33</v>
      </c>
      <c r="D3278" s="25" t="n">
        <f aca="false">EDATE('Start Here'!$B$6,C3278-1)</f>
        <v>47300</v>
      </c>
      <c r="E3278" s="23" t="n">
        <f aca="false">IF(AND(OR(Nonlabor!$D$16="Both",Nonlabor!$D$16='Start Here'!$B$9),IF(Nonlabor!$E$16="Core",1,IF(Nonlabor!$E$16="AI",'Start Here'!$B$7,'Start Here'!$B$8))=1,C3278&gt;=IF(Nonlabor!$E$16="Core",Nonlabor!$F$16,MAX(Nonlabor!$F$16,IF(Nonlabor!$E$16="AI",Assumptions!$E$24,Assumptions!$E$25))),C3278&lt;=Nonlabor!$G$16,OR(Nonlabor!$H$16="Monthly",AND(Nonlabor!$H$16="Once",C3278=IF(Nonlabor!$E$16="Core",Nonlabor!$F$16,MAX(Nonlabor!$F$16,IF(Nonlabor!$E$16="AI",Assumptions!$E$24,Assumptions!$E$25)))),AND(Nonlabor!$H$16="Annual",MOD(C3278-IF(Nonlabor!$E$16="Core",Nonlabor!$F$16,MAX(Nonlabor!$F$16,IF(Nonlabor!$E$16="AI",Assumptions!$E$24,Assumptions!$E$25))),12)=0))),IF(Nonlabor!$I$16="Fixed",1,IF(Nonlabor!$I$16="Seats",ROUNDUP('Monthly Growth'!I38,0),IF(Nonlabor!$I$16="Customers",'Monthly Growth'!D38,IF(Nonlabor!$I$16="NewCustomers",'Monthly Growth'!C38,IF(Nonlabor!$I$16="StorageGB",'Monthly Growth'!G38,IF(Nonlabor!$I$16="LogGB",'Monthly Growth'!H38,IF(Nonlabor!$I$16="RequestsM",'Monthly Growth'!F38,IF(Nonlabor!$I$16="InputM",'Monthly Growth'!D38*Assumptions!$E$22/1000000,IF(Nonlabor!$I$16="OutputM",'Monthly Growth'!D38*Assumptions!$E$23/1000000,0))))))))),0)</f>
        <v>0</v>
      </c>
      <c r="F3278" s="10" t="n">
        <f aca="false">Nonlabor!$J$16*(1+Assumptions!$E$9)^INT((C3278-1)/12)</f>
        <v>12979.2</v>
      </c>
      <c r="G3278" s="10" t="n">
        <f aca="false">E3278*F3278</f>
        <v>0</v>
      </c>
      <c r="H3278" s="10" t="n">
        <f aca="false">IF(OR(Nonlabor!$L$16="Quote required",Nonlabor!$L$16="Unverified"),G3278,0)</f>
        <v>0</v>
      </c>
      <c r="I3278" s="10" t="n">
        <f aca="false">IF(Nonlabor!$E$16="Core",0,G3278)</f>
        <v>0</v>
      </c>
      <c r="J3278" s="23" t="str">
        <f aca="false">Nonlabor!$B$16</f>
        <v>LEGAL</v>
      </c>
    </row>
    <row r="3279" customFormat="false" ht="15" hidden="false" customHeight="false" outlineLevel="0" collapsed="false">
      <c r="A3279" s="6" t="s">
        <v>73</v>
      </c>
      <c r="B3279" s="6" t="s">
        <v>406</v>
      </c>
      <c r="C3279" s="6" t="n">
        <v>34</v>
      </c>
      <c r="D3279" s="25" t="n">
        <f aca="false">EDATE('Start Here'!$B$6,C3279-1)</f>
        <v>47331</v>
      </c>
      <c r="E3279" s="23" t="n">
        <f aca="false">IF(AND(OR(Nonlabor!$D$16="Both",Nonlabor!$D$16='Start Here'!$B$9),IF(Nonlabor!$E$16="Core",1,IF(Nonlabor!$E$16="AI",'Start Here'!$B$7,'Start Here'!$B$8))=1,C3279&gt;=IF(Nonlabor!$E$16="Core",Nonlabor!$F$16,MAX(Nonlabor!$F$16,IF(Nonlabor!$E$16="AI",Assumptions!$E$24,Assumptions!$E$25))),C3279&lt;=Nonlabor!$G$16,OR(Nonlabor!$H$16="Monthly",AND(Nonlabor!$H$16="Once",C3279=IF(Nonlabor!$E$16="Core",Nonlabor!$F$16,MAX(Nonlabor!$F$16,IF(Nonlabor!$E$16="AI",Assumptions!$E$24,Assumptions!$E$25)))),AND(Nonlabor!$H$16="Annual",MOD(C3279-IF(Nonlabor!$E$16="Core",Nonlabor!$F$16,MAX(Nonlabor!$F$16,IF(Nonlabor!$E$16="AI",Assumptions!$E$24,Assumptions!$E$25))),12)=0))),IF(Nonlabor!$I$16="Fixed",1,IF(Nonlabor!$I$16="Seats",ROUNDUP('Monthly Growth'!I39,0),IF(Nonlabor!$I$16="Customers",'Monthly Growth'!D39,IF(Nonlabor!$I$16="NewCustomers",'Monthly Growth'!C39,IF(Nonlabor!$I$16="StorageGB",'Monthly Growth'!G39,IF(Nonlabor!$I$16="LogGB",'Monthly Growth'!H39,IF(Nonlabor!$I$16="RequestsM",'Monthly Growth'!F39,IF(Nonlabor!$I$16="InputM",'Monthly Growth'!D39*Assumptions!$E$22/1000000,IF(Nonlabor!$I$16="OutputM",'Monthly Growth'!D39*Assumptions!$E$23/1000000,0))))))))),0)</f>
        <v>0</v>
      </c>
      <c r="F3279" s="10" t="n">
        <f aca="false">Nonlabor!$J$16*(1+Assumptions!$E$9)^INT((C3279-1)/12)</f>
        <v>12979.2</v>
      </c>
      <c r="G3279" s="10" t="n">
        <f aca="false">E3279*F3279</f>
        <v>0</v>
      </c>
      <c r="H3279" s="10" t="n">
        <f aca="false">IF(OR(Nonlabor!$L$16="Quote required",Nonlabor!$L$16="Unverified"),G3279,0)</f>
        <v>0</v>
      </c>
      <c r="I3279" s="10" t="n">
        <f aca="false">IF(Nonlabor!$E$16="Core",0,G3279)</f>
        <v>0</v>
      </c>
      <c r="J3279" s="23" t="str">
        <f aca="false">Nonlabor!$B$16</f>
        <v>LEGAL</v>
      </c>
    </row>
    <row r="3280" customFormat="false" ht="15" hidden="false" customHeight="false" outlineLevel="0" collapsed="false">
      <c r="A3280" s="6" t="s">
        <v>73</v>
      </c>
      <c r="B3280" s="6" t="s">
        <v>406</v>
      </c>
      <c r="C3280" s="6" t="n">
        <v>35</v>
      </c>
      <c r="D3280" s="25" t="n">
        <f aca="false">EDATE('Start Here'!$B$6,C3280-1)</f>
        <v>47362</v>
      </c>
      <c r="E3280" s="23" t="n">
        <f aca="false">IF(AND(OR(Nonlabor!$D$16="Both",Nonlabor!$D$16='Start Here'!$B$9),IF(Nonlabor!$E$16="Core",1,IF(Nonlabor!$E$16="AI",'Start Here'!$B$7,'Start Here'!$B$8))=1,C3280&gt;=IF(Nonlabor!$E$16="Core",Nonlabor!$F$16,MAX(Nonlabor!$F$16,IF(Nonlabor!$E$16="AI",Assumptions!$E$24,Assumptions!$E$25))),C3280&lt;=Nonlabor!$G$16,OR(Nonlabor!$H$16="Monthly",AND(Nonlabor!$H$16="Once",C3280=IF(Nonlabor!$E$16="Core",Nonlabor!$F$16,MAX(Nonlabor!$F$16,IF(Nonlabor!$E$16="AI",Assumptions!$E$24,Assumptions!$E$25)))),AND(Nonlabor!$H$16="Annual",MOD(C3280-IF(Nonlabor!$E$16="Core",Nonlabor!$F$16,MAX(Nonlabor!$F$16,IF(Nonlabor!$E$16="AI",Assumptions!$E$24,Assumptions!$E$25))),12)=0))),IF(Nonlabor!$I$16="Fixed",1,IF(Nonlabor!$I$16="Seats",ROUNDUP('Monthly Growth'!I40,0),IF(Nonlabor!$I$16="Customers",'Monthly Growth'!D40,IF(Nonlabor!$I$16="NewCustomers",'Monthly Growth'!C40,IF(Nonlabor!$I$16="StorageGB",'Monthly Growth'!G40,IF(Nonlabor!$I$16="LogGB",'Monthly Growth'!H40,IF(Nonlabor!$I$16="RequestsM",'Monthly Growth'!F40,IF(Nonlabor!$I$16="InputM",'Monthly Growth'!D40*Assumptions!$E$22/1000000,IF(Nonlabor!$I$16="OutputM",'Monthly Growth'!D40*Assumptions!$E$23/1000000,0))))))))),0)</f>
        <v>0</v>
      </c>
      <c r="F3280" s="10" t="n">
        <f aca="false">Nonlabor!$J$16*(1+Assumptions!$E$9)^INT((C3280-1)/12)</f>
        <v>12979.2</v>
      </c>
      <c r="G3280" s="10" t="n">
        <f aca="false">E3280*F3280</f>
        <v>0</v>
      </c>
      <c r="H3280" s="10" t="n">
        <f aca="false">IF(OR(Nonlabor!$L$16="Quote required",Nonlabor!$L$16="Unverified"),G3280,0)</f>
        <v>0</v>
      </c>
      <c r="I3280" s="10" t="n">
        <f aca="false">IF(Nonlabor!$E$16="Core",0,G3280)</f>
        <v>0</v>
      </c>
      <c r="J3280" s="23" t="str">
        <f aca="false">Nonlabor!$B$16</f>
        <v>LEGAL</v>
      </c>
    </row>
    <row r="3281" customFormat="false" ht="15" hidden="false" customHeight="false" outlineLevel="0" collapsed="false">
      <c r="A3281" s="6" t="s">
        <v>73</v>
      </c>
      <c r="B3281" s="6" t="s">
        <v>406</v>
      </c>
      <c r="C3281" s="6" t="n">
        <v>36</v>
      </c>
      <c r="D3281" s="25" t="n">
        <f aca="false">EDATE('Start Here'!$B$6,C3281-1)</f>
        <v>47392</v>
      </c>
      <c r="E3281" s="23" t="n">
        <f aca="false">IF(AND(OR(Nonlabor!$D$16="Both",Nonlabor!$D$16='Start Here'!$B$9),IF(Nonlabor!$E$16="Core",1,IF(Nonlabor!$E$16="AI",'Start Here'!$B$7,'Start Here'!$B$8))=1,C3281&gt;=IF(Nonlabor!$E$16="Core",Nonlabor!$F$16,MAX(Nonlabor!$F$16,IF(Nonlabor!$E$16="AI",Assumptions!$E$24,Assumptions!$E$25))),C3281&lt;=Nonlabor!$G$16,OR(Nonlabor!$H$16="Monthly",AND(Nonlabor!$H$16="Once",C3281=IF(Nonlabor!$E$16="Core",Nonlabor!$F$16,MAX(Nonlabor!$F$16,IF(Nonlabor!$E$16="AI",Assumptions!$E$24,Assumptions!$E$25)))),AND(Nonlabor!$H$16="Annual",MOD(C3281-IF(Nonlabor!$E$16="Core",Nonlabor!$F$16,MAX(Nonlabor!$F$16,IF(Nonlabor!$E$16="AI",Assumptions!$E$24,Assumptions!$E$25))),12)=0))),IF(Nonlabor!$I$16="Fixed",1,IF(Nonlabor!$I$16="Seats",ROUNDUP('Monthly Growth'!I41,0),IF(Nonlabor!$I$16="Customers",'Monthly Growth'!D41,IF(Nonlabor!$I$16="NewCustomers",'Monthly Growth'!C41,IF(Nonlabor!$I$16="StorageGB",'Monthly Growth'!G41,IF(Nonlabor!$I$16="LogGB",'Monthly Growth'!H41,IF(Nonlabor!$I$16="RequestsM",'Monthly Growth'!F41,IF(Nonlabor!$I$16="InputM",'Monthly Growth'!D41*Assumptions!$E$22/1000000,IF(Nonlabor!$I$16="OutputM",'Monthly Growth'!D41*Assumptions!$E$23/1000000,0))))))))),0)</f>
        <v>0</v>
      </c>
      <c r="F3281" s="10" t="n">
        <f aca="false">Nonlabor!$J$16*(1+Assumptions!$E$9)^INT((C3281-1)/12)</f>
        <v>12979.2</v>
      </c>
      <c r="G3281" s="10" t="n">
        <f aca="false">E3281*F3281</f>
        <v>0</v>
      </c>
      <c r="H3281" s="10" t="n">
        <f aca="false">IF(OR(Nonlabor!$L$16="Quote required",Nonlabor!$L$16="Unverified"),G3281,0)</f>
        <v>0</v>
      </c>
      <c r="I3281" s="10" t="n">
        <f aca="false">IF(Nonlabor!$E$16="Core",0,G3281)</f>
        <v>0</v>
      </c>
      <c r="J3281" s="23" t="str">
        <f aca="false">Nonlabor!$B$16</f>
        <v>LEGAL</v>
      </c>
    </row>
    <row r="3282" customFormat="false" ht="15" hidden="false" customHeight="false" outlineLevel="0" collapsed="false">
      <c r="A3282" s="6" t="s">
        <v>73</v>
      </c>
      <c r="B3282" s="6" t="s">
        <v>406</v>
      </c>
      <c r="C3282" s="6" t="n">
        <v>37</v>
      </c>
      <c r="D3282" s="25" t="n">
        <f aca="false">EDATE('Start Here'!$B$6,C3282-1)</f>
        <v>47423</v>
      </c>
      <c r="E3282" s="23" t="n">
        <f aca="false">IF(AND(OR(Nonlabor!$D$16="Both",Nonlabor!$D$16='Start Here'!$B$9),IF(Nonlabor!$E$16="Core",1,IF(Nonlabor!$E$16="AI",'Start Here'!$B$7,'Start Here'!$B$8))=1,C3282&gt;=IF(Nonlabor!$E$16="Core",Nonlabor!$F$16,MAX(Nonlabor!$F$16,IF(Nonlabor!$E$16="AI",Assumptions!$E$24,Assumptions!$E$25))),C3282&lt;=Nonlabor!$G$16,OR(Nonlabor!$H$16="Monthly",AND(Nonlabor!$H$16="Once",C3282=IF(Nonlabor!$E$16="Core",Nonlabor!$F$16,MAX(Nonlabor!$F$16,IF(Nonlabor!$E$16="AI",Assumptions!$E$24,Assumptions!$E$25)))),AND(Nonlabor!$H$16="Annual",MOD(C3282-IF(Nonlabor!$E$16="Core",Nonlabor!$F$16,MAX(Nonlabor!$F$16,IF(Nonlabor!$E$16="AI",Assumptions!$E$24,Assumptions!$E$25))),12)=0))),IF(Nonlabor!$I$16="Fixed",1,IF(Nonlabor!$I$16="Seats",ROUNDUP('Monthly Growth'!I42,0),IF(Nonlabor!$I$16="Customers",'Monthly Growth'!D42,IF(Nonlabor!$I$16="NewCustomers",'Monthly Growth'!C42,IF(Nonlabor!$I$16="StorageGB",'Monthly Growth'!G42,IF(Nonlabor!$I$16="LogGB",'Monthly Growth'!H42,IF(Nonlabor!$I$16="RequestsM",'Monthly Growth'!F42,IF(Nonlabor!$I$16="InputM",'Monthly Growth'!D42*Assumptions!$E$22/1000000,IF(Nonlabor!$I$16="OutputM",'Monthly Growth'!D42*Assumptions!$E$23/1000000,0))))))))),0)</f>
        <v>0</v>
      </c>
      <c r="F3282" s="10" t="n">
        <f aca="false">Nonlabor!$J$16*(1+Assumptions!$E$9)^INT((C3282-1)/12)</f>
        <v>13498.368</v>
      </c>
      <c r="G3282" s="10" t="n">
        <f aca="false">E3282*F3282</f>
        <v>0</v>
      </c>
      <c r="H3282" s="10" t="n">
        <f aca="false">IF(OR(Nonlabor!$L$16="Quote required",Nonlabor!$L$16="Unverified"),G3282,0)</f>
        <v>0</v>
      </c>
      <c r="I3282" s="10" t="n">
        <f aca="false">IF(Nonlabor!$E$16="Core",0,G3282)</f>
        <v>0</v>
      </c>
      <c r="J3282" s="23" t="str">
        <f aca="false">Nonlabor!$B$16</f>
        <v>LEGAL</v>
      </c>
    </row>
    <row r="3283" customFormat="false" ht="15" hidden="false" customHeight="false" outlineLevel="0" collapsed="false">
      <c r="A3283" s="6" t="s">
        <v>73</v>
      </c>
      <c r="B3283" s="6" t="s">
        <v>406</v>
      </c>
      <c r="C3283" s="6" t="n">
        <v>38</v>
      </c>
      <c r="D3283" s="25" t="n">
        <f aca="false">EDATE('Start Here'!$B$6,C3283-1)</f>
        <v>47453</v>
      </c>
      <c r="E3283" s="23" t="n">
        <f aca="false">IF(AND(OR(Nonlabor!$D$16="Both",Nonlabor!$D$16='Start Here'!$B$9),IF(Nonlabor!$E$16="Core",1,IF(Nonlabor!$E$16="AI",'Start Here'!$B$7,'Start Here'!$B$8))=1,C3283&gt;=IF(Nonlabor!$E$16="Core",Nonlabor!$F$16,MAX(Nonlabor!$F$16,IF(Nonlabor!$E$16="AI",Assumptions!$E$24,Assumptions!$E$25))),C3283&lt;=Nonlabor!$G$16,OR(Nonlabor!$H$16="Monthly",AND(Nonlabor!$H$16="Once",C3283=IF(Nonlabor!$E$16="Core",Nonlabor!$F$16,MAX(Nonlabor!$F$16,IF(Nonlabor!$E$16="AI",Assumptions!$E$24,Assumptions!$E$25)))),AND(Nonlabor!$H$16="Annual",MOD(C3283-IF(Nonlabor!$E$16="Core",Nonlabor!$F$16,MAX(Nonlabor!$F$16,IF(Nonlabor!$E$16="AI",Assumptions!$E$24,Assumptions!$E$25))),12)=0))),IF(Nonlabor!$I$16="Fixed",1,IF(Nonlabor!$I$16="Seats",ROUNDUP('Monthly Growth'!I43,0),IF(Nonlabor!$I$16="Customers",'Monthly Growth'!D43,IF(Nonlabor!$I$16="NewCustomers",'Monthly Growth'!C43,IF(Nonlabor!$I$16="StorageGB",'Monthly Growth'!G43,IF(Nonlabor!$I$16="LogGB",'Monthly Growth'!H43,IF(Nonlabor!$I$16="RequestsM",'Monthly Growth'!F43,IF(Nonlabor!$I$16="InputM",'Monthly Growth'!D43*Assumptions!$E$22/1000000,IF(Nonlabor!$I$16="OutputM",'Monthly Growth'!D43*Assumptions!$E$23/1000000,0))))))))),0)</f>
        <v>1</v>
      </c>
      <c r="F3283" s="10" t="n">
        <f aca="false">Nonlabor!$J$16*(1+Assumptions!$E$9)^INT((C3283-1)/12)</f>
        <v>13498.368</v>
      </c>
      <c r="G3283" s="10" t="n">
        <f aca="false">E3283*F3283</f>
        <v>13498.368</v>
      </c>
      <c r="H3283" s="10" t="n">
        <f aca="false">IF(OR(Nonlabor!$L$16="Quote required",Nonlabor!$L$16="Unverified"),G3283,0)</f>
        <v>13498.368</v>
      </c>
      <c r="I3283" s="10" t="n">
        <f aca="false">IF(Nonlabor!$E$16="Core",0,G3283)</f>
        <v>0</v>
      </c>
      <c r="J3283" s="23" t="str">
        <f aca="false">Nonlabor!$B$16</f>
        <v>LEGAL</v>
      </c>
    </row>
    <row r="3284" customFormat="false" ht="15" hidden="false" customHeight="false" outlineLevel="0" collapsed="false">
      <c r="A3284" s="6" t="s">
        <v>73</v>
      </c>
      <c r="B3284" s="6" t="s">
        <v>406</v>
      </c>
      <c r="C3284" s="6" t="n">
        <v>39</v>
      </c>
      <c r="D3284" s="25" t="n">
        <f aca="false">EDATE('Start Here'!$B$6,C3284-1)</f>
        <v>47484</v>
      </c>
      <c r="E3284" s="23" t="n">
        <f aca="false">IF(AND(OR(Nonlabor!$D$16="Both",Nonlabor!$D$16='Start Here'!$B$9),IF(Nonlabor!$E$16="Core",1,IF(Nonlabor!$E$16="AI",'Start Here'!$B$7,'Start Here'!$B$8))=1,C3284&gt;=IF(Nonlabor!$E$16="Core",Nonlabor!$F$16,MAX(Nonlabor!$F$16,IF(Nonlabor!$E$16="AI",Assumptions!$E$24,Assumptions!$E$25))),C3284&lt;=Nonlabor!$G$16,OR(Nonlabor!$H$16="Monthly",AND(Nonlabor!$H$16="Once",C3284=IF(Nonlabor!$E$16="Core",Nonlabor!$F$16,MAX(Nonlabor!$F$16,IF(Nonlabor!$E$16="AI",Assumptions!$E$24,Assumptions!$E$25)))),AND(Nonlabor!$H$16="Annual",MOD(C3284-IF(Nonlabor!$E$16="Core",Nonlabor!$F$16,MAX(Nonlabor!$F$16,IF(Nonlabor!$E$16="AI",Assumptions!$E$24,Assumptions!$E$25))),12)=0))),IF(Nonlabor!$I$16="Fixed",1,IF(Nonlabor!$I$16="Seats",ROUNDUP('Monthly Growth'!I44,0),IF(Nonlabor!$I$16="Customers",'Monthly Growth'!D44,IF(Nonlabor!$I$16="NewCustomers",'Monthly Growth'!C44,IF(Nonlabor!$I$16="StorageGB",'Monthly Growth'!G44,IF(Nonlabor!$I$16="LogGB",'Monthly Growth'!H44,IF(Nonlabor!$I$16="RequestsM",'Monthly Growth'!F44,IF(Nonlabor!$I$16="InputM",'Monthly Growth'!D44*Assumptions!$E$22/1000000,IF(Nonlabor!$I$16="OutputM",'Monthly Growth'!D44*Assumptions!$E$23/1000000,0))))))))),0)</f>
        <v>0</v>
      </c>
      <c r="F3284" s="10" t="n">
        <f aca="false">Nonlabor!$J$16*(1+Assumptions!$E$9)^INT((C3284-1)/12)</f>
        <v>13498.368</v>
      </c>
      <c r="G3284" s="10" t="n">
        <f aca="false">E3284*F3284</f>
        <v>0</v>
      </c>
      <c r="H3284" s="10" t="n">
        <f aca="false">IF(OR(Nonlabor!$L$16="Quote required",Nonlabor!$L$16="Unverified"),G3284,0)</f>
        <v>0</v>
      </c>
      <c r="I3284" s="10" t="n">
        <f aca="false">IF(Nonlabor!$E$16="Core",0,G3284)</f>
        <v>0</v>
      </c>
      <c r="J3284" s="23" t="str">
        <f aca="false">Nonlabor!$B$16</f>
        <v>LEGAL</v>
      </c>
    </row>
    <row r="3285" customFormat="false" ht="15" hidden="false" customHeight="false" outlineLevel="0" collapsed="false">
      <c r="A3285" s="6" t="s">
        <v>73</v>
      </c>
      <c r="B3285" s="6" t="s">
        <v>406</v>
      </c>
      <c r="C3285" s="6" t="n">
        <v>40</v>
      </c>
      <c r="D3285" s="25" t="n">
        <f aca="false">EDATE('Start Here'!$B$6,C3285-1)</f>
        <v>47515</v>
      </c>
      <c r="E3285" s="23" t="n">
        <f aca="false">IF(AND(OR(Nonlabor!$D$16="Both",Nonlabor!$D$16='Start Here'!$B$9),IF(Nonlabor!$E$16="Core",1,IF(Nonlabor!$E$16="AI",'Start Here'!$B$7,'Start Here'!$B$8))=1,C3285&gt;=IF(Nonlabor!$E$16="Core",Nonlabor!$F$16,MAX(Nonlabor!$F$16,IF(Nonlabor!$E$16="AI",Assumptions!$E$24,Assumptions!$E$25))),C3285&lt;=Nonlabor!$G$16,OR(Nonlabor!$H$16="Monthly",AND(Nonlabor!$H$16="Once",C3285=IF(Nonlabor!$E$16="Core",Nonlabor!$F$16,MAX(Nonlabor!$F$16,IF(Nonlabor!$E$16="AI",Assumptions!$E$24,Assumptions!$E$25)))),AND(Nonlabor!$H$16="Annual",MOD(C3285-IF(Nonlabor!$E$16="Core",Nonlabor!$F$16,MAX(Nonlabor!$F$16,IF(Nonlabor!$E$16="AI",Assumptions!$E$24,Assumptions!$E$25))),12)=0))),IF(Nonlabor!$I$16="Fixed",1,IF(Nonlabor!$I$16="Seats",ROUNDUP('Monthly Growth'!I45,0),IF(Nonlabor!$I$16="Customers",'Monthly Growth'!D45,IF(Nonlabor!$I$16="NewCustomers",'Monthly Growth'!C45,IF(Nonlabor!$I$16="StorageGB",'Monthly Growth'!G45,IF(Nonlabor!$I$16="LogGB",'Monthly Growth'!H45,IF(Nonlabor!$I$16="RequestsM",'Monthly Growth'!F45,IF(Nonlabor!$I$16="InputM",'Monthly Growth'!D45*Assumptions!$E$22/1000000,IF(Nonlabor!$I$16="OutputM",'Monthly Growth'!D45*Assumptions!$E$23/1000000,0))))))))),0)</f>
        <v>0</v>
      </c>
      <c r="F3285" s="10" t="n">
        <f aca="false">Nonlabor!$J$16*(1+Assumptions!$E$9)^INT((C3285-1)/12)</f>
        <v>13498.368</v>
      </c>
      <c r="G3285" s="10" t="n">
        <f aca="false">E3285*F3285</f>
        <v>0</v>
      </c>
      <c r="H3285" s="10" t="n">
        <f aca="false">IF(OR(Nonlabor!$L$16="Quote required",Nonlabor!$L$16="Unverified"),G3285,0)</f>
        <v>0</v>
      </c>
      <c r="I3285" s="10" t="n">
        <f aca="false">IF(Nonlabor!$E$16="Core",0,G3285)</f>
        <v>0</v>
      </c>
      <c r="J3285" s="23" t="str">
        <f aca="false">Nonlabor!$B$16</f>
        <v>LEGAL</v>
      </c>
    </row>
    <row r="3286" customFormat="false" ht="15" hidden="false" customHeight="false" outlineLevel="0" collapsed="false">
      <c r="A3286" s="6" t="s">
        <v>73</v>
      </c>
      <c r="B3286" s="6" t="s">
        <v>406</v>
      </c>
      <c r="C3286" s="6" t="n">
        <v>41</v>
      </c>
      <c r="D3286" s="25" t="n">
        <f aca="false">EDATE('Start Here'!$B$6,C3286-1)</f>
        <v>47543</v>
      </c>
      <c r="E3286" s="23" t="n">
        <f aca="false">IF(AND(OR(Nonlabor!$D$16="Both",Nonlabor!$D$16='Start Here'!$B$9),IF(Nonlabor!$E$16="Core",1,IF(Nonlabor!$E$16="AI",'Start Here'!$B$7,'Start Here'!$B$8))=1,C3286&gt;=IF(Nonlabor!$E$16="Core",Nonlabor!$F$16,MAX(Nonlabor!$F$16,IF(Nonlabor!$E$16="AI",Assumptions!$E$24,Assumptions!$E$25))),C3286&lt;=Nonlabor!$G$16,OR(Nonlabor!$H$16="Monthly",AND(Nonlabor!$H$16="Once",C3286=IF(Nonlabor!$E$16="Core",Nonlabor!$F$16,MAX(Nonlabor!$F$16,IF(Nonlabor!$E$16="AI",Assumptions!$E$24,Assumptions!$E$25)))),AND(Nonlabor!$H$16="Annual",MOD(C3286-IF(Nonlabor!$E$16="Core",Nonlabor!$F$16,MAX(Nonlabor!$F$16,IF(Nonlabor!$E$16="AI",Assumptions!$E$24,Assumptions!$E$25))),12)=0))),IF(Nonlabor!$I$16="Fixed",1,IF(Nonlabor!$I$16="Seats",ROUNDUP('Monthly Growth'!I46,0),IF(Nonlabor!$I$16="Customers",'Monthly Growth'!D46,IF(Nonlabor!$I$16="NewCustomers",'Monthly Growth'!C46,IF(Nonlabor!$I$16="StorageGB",'Monthly Growth'!G46,IF(Nonlabor!$I$16="LogGB",'Monthly Growth'!H46,IF(Nonlabor!$I$16="RequestsM",'Monthly Growth'!F46,IF(Nonlabor!$I$16="InputM",'Monthly Growth'!D46*Assumptions!$E$22/1000000,IF(Nonlabor!$I$16="OutputM",'Monthly Growth'!D46*Assumptions!$E$23/1000000,0))))))))),0)</f>
        <v>0</v>
      </c>
      <c r="F3286" s="10" t="n">
        <f aca="false">Nonlabor!$J$16*(1+Assumptions!$E$9)^INT((C3286-1)/12)</f>
        <v>13498.368</v>
      </c>
      <c r="G3286" s="10" t="n">
        <f aca="false">E3286*F3286</f>
        <v>0</v>
      </c>
      <c r="H3286" s="10" t="n">
        <f aca="false">IF(OR(Nonlabor!$L$16="Quote required",Nonlabor!$L$16="Unverified"),G3286,0)</f>
        <v>0</v>
      </c>
      <c r="I3286" s="10" t="n">
        <f aca="false">IF(Nonlabor!$E$16="Core",0,G3286)</f>
        <v>0</v>
      </c>
      <c r="J3286" s="23" t="str">
        <f aca="false">Nonlabor!$B$16</f>
        <v>LEGAL</v>
      </c>
    </row>
    <row r="3287" customFormat="false" ht="15" hidden="false" customHeight="false" outlineLevel="0" collapsed="false">
      <c r="A3287" s="6" t="s">
        <v>73</v>
      </c>
      <c r="B3287" s="6" t="s">
        <v>406</v>
      </c>
      <c r="C3287" s="6" t="n">
        <v>42</v>
      </c>
      <c r="D3287" s="25" t="n">
        <f aca="false">EDATE('Start Here'!$B$6,C3287-1)</f>
        <v>47574</v>
      </c>
      <c r="E3287" s="23" t="n">
        <f aca="false">IF(AND(OR(Nonlabor!$D$16="Both",Nonlabor!$D$16='Start Here'!$B$9),IF(Nonlabor!$E$16="Core",1,IF(Nonlabor!$E$16="AI",'Start Here'!$B$7,'Start Here'!$B$8))=1,C3287&gt;=IF(Nonlabor!$E$16="Core",Nonlabor!$F$16,MAX(Nonlabor!$F$16,IF(Nonlabor!$E$16="AI",Assumptions!$E$24,Assumptions!$E$25))),C3287&lt;=Nonlabor!$G$16,OR(Nonlabor!$H$16="Monthly",AND(Nonlabor!$H$16="Once",C3287=IF(Nonlabor!$E$16="Core",Nonlabor!$F$16,MAX(Nonlabor!$F$16,IF(Nonlabor!$E$16="AI",Assumptions!$E$24,Assumptions!$E$25)))),AND(Nonlabor!$H$16="Annual",MOD(C3287-IF(Nonlabor!$E$16="Core",Nonlabor!$F$16,MAX(Nonlabor!$F$16,IF(Nonlabor!$E$16="AI",Assumptions!$E$24,Assumptions!$E$25))),12)=0))),IF(Nonlabor!$I$16="Fixed",1,IF(Nonlabor!$I$16="Seats",ROUNDUP('Monthly Growth'!I47,0),IF(Nonlabor!$I$16="Customers",'Monthly Growth'!D47,IF(Nonlabor!$I$16="NewCustomers",'Monthly Growth'!C47,IF(Nonlabor!$I$16="StorageGB",'Monthly Growth'!G47,IF(Nonlabor!$I$16="LogGB",'Monthly Growth'!H47,IF(Nonlabor!$I$16="RequestsM",'Monthly Growth'!F47,IF(Nonlabor!$I$16="InputM",'Monthly Growth'!D47*Assumptions!$E$22/1000000,IF(Nonlabor!$I$16="OutputM",'Monthly Growth'!D47*Assumptions!$E$23/1000000,0))))))))),0)</f>
        <v>0</v>
      </c>
      <c r="F3287" s="10" t="n">
        <f aca="false">Nonlabor!$J$16*(1+Assumptions!$E$9)^INT((C3287-1)/12)</f>
        <v>13498.368</v>
      </c>
      <c r="G3287" s="10" t="n">
        <f aca="false">E3287*F3287</f>
        <v>0</v>
      </c>
      <c r="H3287" s="10" t="n">
        <f aca="false">IF(OR(Nonlabor!$L$16="Quote required",Nonlabor!$L$16="Unverified"),G3287,0)</f>
        <v>0</v>
      </c>
      <c r="I3287" s="10" t="n">
        <f aca="false">IF(Nonlabor!$E$16="Core",0,G3287)</f>
        <v>0</v>
      </c>
      <c r="J3287" s="23" t="str">
        <f aca="false">Nonlabor!$B$16</f>
        <v>LEGAL</v>
      </c>
    </row>
    <row r="3288" customFormat="false" ht="15" hidden="false" customHeight="false" outlineLevel="0" collapsed="false">
      <c r="A3288" s="6" t="s">
        <v>73</v>
      </c>
      <c r="B3288" s="6" t="s">
        <v>406</v>
      </c>
      <c r="C3288" s="6" t="n">
        <v>43</v>
      </c>
      <c r="D3288" s="25" t="n">
        <f aca="false">EDATE('Start Here'!$B$6,C3288-1)</f>
        <v>47604</v>
      </c>
      <c r="E3288" s="23" t="n">
        <f aca="false">IF(AND(OR(Nonlabor!$D$16="Both",Nonlabor!$D$16='Start Here'!$B$9),IF(Nonlabor!$E$16="Core",1,IF(Nonlabor!$E$16="AI",'Start Here'!$B$7,'Start Here'!$B$8))=1,C3288&gt;=IF(Nonlabor!$E$16="Core",Nonlabor!$F$16,MAX(Nonlabor!$F$16,IF(Nonlabor!$E$16="AI",Assumptions!$E$24,Assumptions!$E$25))),C3288&lt;=Nonlabor!$G$16,OR(Nonlabor!$H$16="Monthly",AND(Nonlabor!$H$16="Once",C3288=IF(Nonlabor!$E$16="Core",Nonlabor!$F$16,MAX(Nonlabor!$F$16,IF(Nonlabor!$E$16="AI",Assumptions!$E$24,Assumptions!$E$25)))),AND(Nonlabor!$H$16="Annual",MOD(C3288-IF(Nonlabor!$E$16="Core",Nonlabor!$F$16,MAX(Nonlabor!$F$16,IF(Nonlabor!$E$16="AI",Assumptions!$E$24,Assumptions!$E$25))),12)=0))),IF(Nonlabor!$I$16="Fixed",1,IF(Nonlabor!$I$16="Seats",ROUNDUP('Monthly Growth'!I48,0),IF(Nonlabor!$I$16="Customers",'Monthly Growth'!D48,IF(Nonlabor!$I$16="NewCustomers",'Monthly Growth'!C48,IF(Nonlabor!$I$16="StorageGB",'Monthly Growth'!G48,IF(Nonlabor!$I$16="LogGB",'Monthly Growth'!H48,IF(Nonlabor!$I$16="RequestsM",'Monthly Growth'!F48,IF(Nonlabor!$I$16="InputM",'Monthly Growth'!D48*Assumptions!$E$22/1000000,IF(Nonlabor!$I$16="OutputM",'Monthly Growth'!D48*Assumptions!$E$23/1000000,0))))))))),0)</f>
        <v>0</v>
      </c>
      <c r="F3288" s="10" t="n">
        <f aca="false">Nonlabor!$J$16*(1+Assumptions!$E$9)^INT((C3288-1)/12)</f>
        <v>13498.368</v>
      </c>
      <c r="G3288" s="10" t="n">
        <f aca="false">E3288*F3288</f>
        <v>0</v>
      </c>
      <c r="H3288" s="10" t="n">
        <f aca="false">IF(OR(Nonlabor!$L$16="Quote required",Nonlabor!$L$16="Unverified"),G3288,0)</f>
        <v>0</v>
      </c>
      <c r="I3288" s="10" t="n">
        <f aca="false">IF(Nonlabor!$E$16="Core",0,G3288)</f>
        <v>0</v>
      </c>
      <c r="J3288" s="23" t="str">
        <f aca="false">Nonlabor!$B$16</f>
        <v>LEGAL</v>
      </c>
    </row>
    <row r="3289" customFormat="false" ht="15" hidden="false" customHeight="false" outlineLevel="0" collapsed="false">
      <c r="A3289" s="6" t="s">
        <v>73</v>
      </c>
      <c r="B3289" s="6" t="s">
        <v>406</v>
      </c>
      <c r="C3289" s="6" t="n">
        <v>44</v>
      </c>
      <c r="D3289" s="25" t="n">
        <f aca="false">EDATE('Start Here'!$B$6,C3289-1)</f>
        <v>47635</v>
      </c>
      <c r="E3289" s="23" t="n">
        <f aca="false">IF(AND(OR(Nonlabor!$D$16="Both",Nonlabor!$D$16='Start Here'!$B$9),IF(Nonlabor!$E$16="Core",1,IF(Nonlabor!$E$16="AI",'Start Here'!$B$7,'Start Here'!$B$8))=1,C3289&gt;=IF(Nonlabor!$E$16="Core",Nonlabor!$F$16,MAX(Nonlabor!$F$16,IF(Nonlabor!$E$16="AI",Assumptions!$E$24,Assumptions!$E$25))),C3289&lt;=Nonlabor!$G$16,OR(Nonlabor!$H$16="Monthly",AND(Nonlabor!$H$16="Once",C3289=IF(Nonlabor!$E$16="Core",Nonlabor!$F$16,MAX(Nonlabor!$F$16,IF(Nonlabor!$E$16="AI",Assumptions!$E$24,Assumptions!$E$25)))),AND(Nonlabor!$H$16="Annual",MOD(C3289-IF(Nonlabor!$E$16="Core",Nonlabor!$F$16,MAX(Nonlabor!$F$16,IF(Nonlabor!$E$16="AI",Assumptions!$E$24,Assumptions!$E$25))),12)=0))),IF(Nonlabor!$I$16="Fixed",1,IF(Nonlabor!$I$16="Seats",ROUNDUP('Monthly Growth'!I49,0),IF(Nonlabor!$I$16="Customers",'Monthly Growth'!D49,IF(Nonlabor!$I$16="NewCustomers",'Monthly Growth'!C49,IF(Nonlabor!$I$16="StorageGB",'Monthly Growth'!G49,IF(Nonlabor!$I$16="LogGB",'Monthly Growth'!H49,IF(Nonlabor!$I$16="RequestsM",'Monthly Growth'!F49,IF(Nonlabor!$I$16="InputM",'Monthly Growth'!D49*Assumptions!$E$22/1000000,IF(Nonlabor!$I$16="OutputM",'Monthly Growth'!D49*Assumptions!$E$23/1000000,0))))))))),0)</f>
        <v>0</v>
      </c>
      <c r="F3289" s="10" t="n">
        <f aca="false">Nonlabor!$J$16*(1+Assumptions!$E$9)^INT((C3289-1)/12)</f>
        <v>13498.368</v>
      </c>
      <c r="G3289" s="10" t="n">
        <f aca="false">E3289*F3289</f>
        <v>0</v>
      </c>
      <c r="H3289" s="10" t="n">
        <f aca="false">IF(OR(Nonlabor!$L$16="Quote required",Nonlabor!$L$16="Unverified"),G3289,0)</f>
        <v>0</v>
      </c>
      <c r="I3289" s="10" t="n">
        <f aca="false">IF(Nonlabor!$E$16="Core",0,G3289)</f>
        <v>0</v>
      </c>
      <c r="J3289" s="23" t="str">
        <f aca="false">Nonlabor!$B$16</f>
        <v>LEGAL</v>
      </c>
    </row>
    <row r="3290" customFormat="false" ht="15" hidden="false" customHeight="false" outlineLevel="0" collapsed="false">
      <c r="A3290" s="6" t="s">
        <v>73</v>
      </c>
      <c r="B3290" s="6" t="s">
        <v>406</v>
      </c>
      <c r="C3290" s="6" t="n">
        <v>45</v>
      </c>
      <c r="D3290" s="25" t="n">
        <f aca="false">EDATE('Start Here'!$B$6,C3290-1)</f>
        <v>47665</v>
      </c>
      <c r="E3290" s="23" t="n">
        <f aca="false">IF(AND(OR(Nonlabor!$D$16="Both",Nonlabor!$D$16='Start Here'!$B$9),IF(Nonlabor!$E$16="Core",1,IF(Nonlabor!$E$16="AI",'Start Here'!$B$7,'Start Here'!$B$8))=1,C3290&gt;=IF(Nonlabor!$E$16="Core",Nonlabor!$F$16,MAX(Nonlabor!$F$16,IF(Nonlabor!$E$16="AI",Assumptions!$E$24,Assumptions!$E$25))),C3290&lt;=Nonlabor!$G$16,OR(Nonlabor!$H$16="Monthly",AND(Nonlabor!$H$16="Once",C3290=IF(Nonlabor!$E$16="Core",Nonlabor!$F$16,MAX(Nonlabor!$F$16,IF(Nonlabor!$E$16="AI",Assumptions!$E$24,Assumptions!$E$25)))),AND(Nonlabor!$H$16="Annual",MOD(C3290-IF(Nonlabor!$E$16="Core",Nonlabor!$F$16,MAX(Nonlabor!$F$16,IF(Nonlabor!$E$16="AI",Assumptions!$E$24,Assumptions!$E$25))),12)=0))),IF(Nonlabor!$I$16="Fixed",1,IF(Nonlabor!$I$16="Seats",ROUNDUP('Monthly Growth'!I50,0),IF(Nonlabor!$I$16="Customers",'Monthly Growth'!D50,IF(Nonlabor!$I$16="NewCustomers",'Monthly Growth'!C50,IF(Nonlabor!$I$16="StorageGB",'Monthly Growth'!G50,IF(Nonlabor!$I$16="LogGB",'Monthly Growth'!H50,IF(Nonlabor!$I$16="RequestsM",'Monthly Growth'!F50,IF(Nonlabor!$I$16="InputM",'Monthly Growth'!D50*Assumptions!$E$22/1000000,IF(Nonlabor!$I$16="OutputM",'Monthly Growth'!D50*Assumptions!$E$23/1000000,0))))))))),0)</f>
        <v>0</v>
      </c>
      <c r="F3290" s="10" t="n">
        <f aca="false">Nonlabor!$J$16*(1+Assumptions!$E$9)^INT((C3290-1)/12)</f>
        <v>13498.368</v>
      </c>
      <c r="G3290" s="10" t="n">
        <f aca="false">E3290*F3290</f>
        <v>0</v>
      </c>
      <c r="H3290" s="10" t="n">
        <f aca="false">IF(OR(Nonlabor!$L$16="Quote required",Nonlabor!$L$16="Unverified"),G3290,0)</f>
        <v>0</v>
      </c>
      <c r="I3290" s="10" t="n">
        <f aca="false">IF(Nonlabor!$E$16="Core",0,G3290)</f>
        <v>0</v>
      </c>
      <c r="J3290" s="23" t="str">
        <f aca="false">Nonlabor!$B$16</f>
        <v>LEGAL</v>
      </c>
    </row>
    <row r="3291" customFormat="false" ht="15" hidden="false" customHeight="false" outlineLevel="0" collapsed="false">
      <c r="A3291" s="6" t="s">
        <v>73</v>
      </c>
      <c r="B3291" s="6" t="s">
        <v>406</v>
      </c>
      <c r="C3291" s="6" t="n">
        <v>46</v>
      </c>
      <c r="D3291" s="25" t="n">
        <f aca="false">EDATE('Start Here'!$B$6,C3291-1)</f>
        <v>47696</v>
      </c>
      <c r="E3291" s="23" t="n">
        <f aca="false">IF(AND(OR(Nonlabor!$D$16="Both",Nonlabor!$D$16='Start Here'!$B$9),IF(Nonlabor!$E$16="Core",1,IF(Nonlabor!$E$16="AI",'Start Here'!$B$7,'Start Here'!$B$8))=1,C3291&gt;=IF(Nonlabor!$E$16="Core",Nonlabor!$F$16,MAX(Nonlabor!$F$16,IF(Nonlabor!$E$16="AI",Assumptions!$E$24,Assumptions!$E$25))),C3291&lt;=Nonlabor!$G$16,OR(Nonlabor!$H$16="Monthly",AND(Nonlabor!$H$16="Once",C3291=IF(Nonlabor!$E$16="Core",Nonlabor!$F$16,MAX(Nonlabor!$F$16,IF(Nonlabor!$E$16="AI",Assumptions!$E$24,Assumptions!$E$25)))),AND(Nonlabor!$H$16="Annual",MOD(C3291-IF(Nonlabor!$E$16="Core",Nonlabor!$F$16,MAX(Nonlabor!$F$16,IF(Nonlabor!$E$16="AI",Assumptions!$E$24,Assumptions!$E$25))),12)=0))),IF(Nonlabor!$I$16="Fixed",1,IF(Nonlabor!$I$16="Seats",ROUNDUP('Monthly Growth'!I51,0),IF(Nonlabor!$I$16="Customers",'Monthly Growth'!D51,IF(Nonlabor!$I$16="NewCustomers",'Monthly Growth'!C51,IF(Nonlabor!$I$16="StorageGB",'Monthly Growth'!G51,IF(Nonlabor!$I$16="LogGB",'Monthly Growth'!H51,IF(Nonlabor!$I$16="RequestsM",'Monthly Growth'!F51,IF(Nonlabor!$I$16="InputM",'Monthly Growth'!D51*Assumptions!$E$22/1000000,IF(Nonlabor!$I$16="OutputM",'Monthly Growth'!D51*Assumptions!$E$23/1000000,0))))))))),0)</f>
        <v>0</v>
      </c>
      <c r="F3291" s="10" t="n">
        <f aca="false">Nonlabor!$J$16*(1+Assumptions!$E$9)^INT((C3291-1)/12)</f>
        <v>13498.368</v>
      </c>
      <c r="G3291" s="10" t="n">
        <f aca="false">E3291*F3291</f>
        <v>0</v>
      </c>
      <c r="H3291" s="10" t="n">
        <f aca="false">IF(OR(Nonlabor!$L$16="Quote required",Nonlabor!$L$16="Unverified"),G3291,0)</f>
        <v>0</v>
      </c>
      <c r="I3291" s="10" t="n">
        <f aca="false">IF(Nonlabor!$E$16="Core",0,G3291)</f>
        <v>0</v>
      </c>
      <c r="J3291" s="23" t="str">
        <f aca="false">Nonlabor!$B$16</f>
        <v>LEGAL</v>
      </c>
    </row>
    <row r="3292" customFormat="false" ht="15" hidden="false" customHeight="false" outlineLevel="0" collapsed="false">
      <c r="A3292" s="6" t="s">
        <v>73</v>
      </c>
      <c r="B3292" s="6" t="s">
        <v>406</v>
      </c>
      <c r="C3292" s="6" t="n">
        <v>47</v>
      </c>
      <c r="D3292" s="25" t="n">
        <f aca="false">EDATE('Start Here'!$B$6,C3292-1)</f>
        <v>47727</v>
      </c>
      <c r="E3292" s="23" t="n">
        <f aca="false">IF(AND(OR(Nonlabor!$D$16="Both",Nonlabor!$D$16='Start Here'!$B$9),IF(Nonlabor!$E$16="Core",1,IF(Nonlabor!$E$16="AI",'Start Here'!$B$7,'Start Here'!$B$8))=1,C3292&gt;=IF(Nonlabor!$E$16="Core",Nonlabor!$F$16,MAX(Nonlabor!$F$16,IF(Nonlabor!$E$16="AI",Assumptions!$E$24,Assumptions!$E$25))),C3292&lt;=Nonlabor!$G$16,OR(Nonlabor!$H$16="Monthly",AND(Nonlabor!$H$16="Once",C3292=IF(Nonlabor!$E$16="Core",Nonlabor!$F$16,MAX(Nonlabor!$F$16,IF(Nonlabor!$E$16="AI",Assumptions!$E$24,Assumptions!$E$25)))),AND(Nonlabor!$H$16="Annual",MOD(C3292-IF(Nonlabor!$E$16="Core",Nonlabor!$F$16,MAX(Nonlabor!$F$16,IF(Nonlabor!$E$16="AI",Assumptions!$E$24,Assumptions!$E$25))),12)=0))),IF(Nonlabor!$I$16="Fixed",1,IF(Nonlabor!$I$16="Seats",ROUNDUP('Monthly Growth'!I52,0),IF(Nonlabor!$I$16="Customers",'Monthly Growth'!D52,IF(Nonlabor!$I$16="NewCustomers",'Monthly Growth'!C52,IF(Nonlabor!$I$16="StorageGB",'Monthly Growth'!G52,IF(Nonlabor!$I$16="LogGB",'Monthly Growth'!H52,IF(Nonlabor!$I$16="RequestsM",'Monthly Growth'!F52,IF(Nonlabor!$I$16="InputM",'Monthly Growth'!D52*Assumptions!$E$22/1000000,IF(Nonlabor!$I$16="OutputM",'Monthly Growth'!D52*Assumptions!$E$23/1000000,0))))))))),0)</f>
        <v>0</v>
      </c>
      <c r="F3292" s="10" t="n">
        <f aca="false">Nonlabor!$J$16*(1+Assumptions!$E$9)^INT((C3292-1)/12)</f>
        <v>13498.368</v>
      </c>
      <c r="G3292" s="10" t="n">
        <f aca="false">E3292*F3292</f>
        <v>0</v>
      </c>
      <c r="H3292" s="10" t="n">
        <f aca="false">IF(OR(Nonlabor!$L$16="Quote required",Nonlabor!$L$16="Unverified"),G3292,0)</f>
        <v>0</v>
      </c>
      <c r="I3292" s="10" t="n">
        <f aca="false">IF(Nonlabor!$E$16="Core",0,G3292)</f>
        <v>0</v>
      </c>
      <c r="J3292" s="23" t="str">
        <f aca="false">Nonlabor!$B$16</f>
        <v>LEGAL</v>
      </c>
    </row>
    <row r="3293" customFormat="false" ht="15" hidden="false" customHeight="false" outlineLevel="0" collapsed="false">
      <c r="A3293" s="6" t="s">
        <v>73</v>
      </c>
      <c r="B3293" s="6" t="s">
        <v>406</v>
      </c>
      <c r="C3293" s="6" t="n">
        <v>48</v>
      </c>
      <c r="D3293" s="25" t="n">
        <f aca="false">EDATE('Start Here'!$B$6,C3293-1)</f>
        <v>47757</v>
      </c>
      <c r="E3293" s="23" t="n">
        <f aca="false">IF(AND(OR(Nonlabor!$D$16="Both",Nonlabor!$D$16='Start Here'!$B$9),IF(Nonlabor!$E$16="Core",1,IF(Nonlabor!$E$16="AI",'Start Here'!$B$7,'Start Here'!$B$8))=1,C3293&gt;=IF(Nonlabor!$E$16="Core",Nonlabor!$F$16,MAX(Nonlabor!$F$16,IF(Nonlabor!$E$16="AI",Assumptions!$E$24,Assumptions!$E$25))),C3293&lt;=Nonlabor!$G$16,OR(Nonlabor!$H$16="Monthly",AND(Nonlabor!$H$16="Once",C3293=IF(Nonlabor!$E$16="Core",Nonlabor!$F$16,MAX(Nonlabor!$F$16,IF(Nonlabor!$E$16="AI",Assumptions!$E$24,Assumptions!$E$25)))),AND(Nonlabor!$H$16="Annual",MOD(C3293-IF(Nonlabor!$E$16="Core",Nonlabor!$F$16,MAX(Nonlabor!$F$16,IF(Nonlabor!$E$16="AI",Assumptions!$E$24,Assumptions!$E$25))),12)=0))),IF(Nonlabor!$I$16="Fixed",1,IF(Nonlabor!$I$16="Seats",ROUNDUP('Monthly Growth'!I53,0),IF(Nonlabor!$I$16="Customers",'Monthly Growth'!D53,IF(Nonlabor!$I$16="NewCustomers",'Monthly Growth'!C53,IF(Nonlabor!$I$16="StorageGB",'Monthly Growth'!G53,IF(Nonlabor!$I$16="LogGB",'Monthly Growth'!H53,IF(Nonlabor!$I$16="RequestsM",'Monthly Growth'!F53,IF(Nonlabor!$I$16="InputM",'Monthly Growth'!D53*Assumptions!$E$22/1000000,IF(Nonlabor!$I$16="OutputM",'Monthly Growth'!D53*Assumptions!$E$23/1000000,0))))))))),0)</f>
        <v>0</v>
      </c>
      <c r="F3293" s="10" t="n">
        <f aca="false">Nonlabor!$J$16*(1+Assumptions!$E$9)^INT((C3293-1)/12)</f>
        <v>13498.368</v>
      </c>
      <c r="G3293" s="10" t="n">
        <f aca="false">E3293*F3293</f>
        <v>0</v>
      </c>
      <c r="H3293" s="10" t="n">
        <f aca="false">IF(OR(Nonlabor!$L$16="Quote required",Nonlabor!$L$16="Unverified"),G3293,0)</f>
        <v>0</v>
      </c>
      <c r="I3293" s="10" t="n">
        <f aca="false">IF(Nonlabor!$E$16="Core",0,G3293)</f>
        <v>0</v>
      </c>
      <c r="J3293" s="23" t="str">
        <f aca="false">Nonlabor!$B$16</f>
        <v>LEGAL</v>
      </c>
    </row>
    <row r="3294" customFormat="false" ht="15" hidden="false" customHeight="false" outlineLevel="0" collapsed="false">
      <c r="A3294" s="6" t="s">
        <v>73</v>
      </c>
      <c r="B3294" s="6" t="s">
        <v>406</v>
      </c>
      <c r="C3294" s="6" t="n">
        <v>49</v>
      </c>
      <c r="D3294" s="25" t="n">
        <f aca="false">EDATE('Start Here'!$B$6,C3294-1)</f>
        <v>47788</v>
      </c>
      <c r="E3294" s="23" t="n">
        <f aca="false">IF(AND(OR(Nonlabor!$D$16="Both",Nonlabor!$D$16='Start Here'!$B$9),IF(Nonlabor!$E$16="Core",1,IF(Nonlabor!$E$16="AI",'Start Here'!$B$7,'Start Here'!$B$8))=1,C3294&gt;=IF(Nonlabor!$E$16="Core",Nonlabor!$F$16,MAX(Nonlabor!$F$16,IF(Nonlabor!$E$16="AI",Assumptions!$E$24,Assumptions!$E$25))),C3294&lt;=Nonlabor!$G$16,OR(Nonlabor!$H$16="Monthly",AND(Nonlabor!$H$16="Once",C3294=IF(Nonlabor!$E$16="Core",Nonlabor!$F$16,MAX(Nonlabor!$F$16,IF(Nonlabor!$E$16="AI",Assumptions!$E$24,Assumptions!$E$25)))),AND(Nonlabor!$H$16="Annual",MOD(C3294-IF(Nonlabor!$E$16="Core",Nonlabor!$F$16,MAX(Nonlabor!$F$16,IF(Nonlabor!$E$16="AI",Assumptions!$E$24,Assumptions!$E$25))),12)=0))),IF(Nonlabor!$I$16="Fixed",1,IF(Nonlabor!$I$16="Seats",ROUNDUP('Monthly Growth'!I54,0),IF(Nonlabor!$I$16="Customers",'Monthly Growth'!D54,IF(Nonlabor!$I$16="NewCustomers",'Monthly Growth'!C54,IF(Nonlabor!$I$16="StorageGB",'Monthly Growth'!G54,IF(Nonlabor!$I$16="LogGB",'Monthly Growth'!H54,IF(Nonlabor!$I$16="RequestsM",'Monthly Growth'!F54,IF(Nonlabor!$I$16="InputM",'Monthly Growth'!D54*Assumptions!$E$22/1000000,IF(Nonlabor!$I$16="OutputM",'Monthly Growth'!D54*Assumptions!$E$23/1000000,0))))))))),0)</f>
        <v>0</v>
      </c>
      <c r="F3294" s="10" t="n">
        <f aca="false">Nonlabor!$J$16*(1+Assumptions!$E$9)^INT((C3294-1)/12)</f>
        <v>14038.30272</v>
      </c>
      <c r="G3294" s="10" t="n">
        <f aca="false">E3294*F3294</f>
        <v>0</v>
      </c>
      <c r="H3294" s="10" t="n">
        <f aca="false">IF(OR(Nonlabor!$L$16="Quote required",Nonlabor!$L$16="Unverified"),G3294,0)</f>
        <v>0</v>
      </c>
      <c r="I3294" s="10" t="n">
        <f aca="false">IF(Nonlabor!$E$16="Core",0,G3294)</f>
        <v>0</v>
      </c>
      <c r="J3294" s="23" t="str">
        <f aca="false">Nonlabor!$B$16</f>
        <v>LEGAL</v>
      </c>
    </row>
    <row r="3295" customFormat="false" ht="15" hidden="false" customHeight="false" outlineLevel="0" collapsed="false">
      <c r="A3295" s="6" t="s">
        <v>73</v>
      </c>
      <c r="B3295" s="6" t="s">
        <v>406</v>
      </c>
      <c r="C3295" s="6" t="n">
        <v>50</v>
      </c>
      <c r="D3295" s="25" t="n">
        <f aca="false">EDATE('Start Here'!$B$6,C3295-1)</f>
        <v>47818</v>
      </c>
      <c r="E3295" s="23" t="n">
        <f aca="false">IF(AND(OR(Nonlabor!$D$16="Both",Nonlabor!$D$16='Start Here'!$B$9),IF(Nonlabor!$E$16="Core",1,IF(Nonlabor!$E$16="AI",'Start Here'!$B$7,'Start Here'!$B$8))=1,C3295&gt;=IF(Nonlabor!$E$16="Core",Nonlabor!$F$16,MAX(Nonlabor!$F$16,IF(Nonlabor!$E$16="AI",Assumptions!$E$24,Assumptions!$E$25))),C3295&lt;=Nonlabor!$G$16,OR(Nonlabor!$H$16="Monthly",AND(Nonlabor!$H$16="Once",C3295=IF(Nonlabor!$E$16="Core",Nonlabor!$F$16,MAX(Nonlabor!$F$16,IF(Nonlabor!$E$16="AI",Assumptions!$E$24,Assumptions!$E$25)))),AND(Nonlabor!$H$16="Annual",MOD(C3295-IF(Nonlabor!$E$16="Core",Nonlabor!$F$16,MAX(Nonlabor!$F$16,IF(Nonlabor!$E$16="AI",Assumptions!$E$24,Assumptions!$E$25))),12)=0))),IF(Nonlabor!$I$16="Fixed",1,IF(Nonlabor!$I$16="Seats",ROUNDUP('Monthly Growth'!I55,0),IF(Nonlabor!$I$16="Customers",'Monthly Growth'!D55,IF(Nonlabor!$I$16="NewCustomers",'Monthly Growth'!C55,IF(Nonlabor!$I$16="StorageGB",'Monthly Growth'!G55,IF(Nonlabor!$I$16="LogGB",'Monthly Growth'!H55,IF(Nonlabor!$I$16="RequestsM",'Monthly Growth'!F55,IF(Nonlabor!$I$16="InputM",'Monthly Growth'!D55*Assumptions!$E$22/1000000,IF(Nonlabor!$I$16="OutputM",'Monthly Growth'!D55*Assumptions!$E$23/1000000,0))))))))),0)</f>
        <v>1</v>
      </c>
      <c r="F3295" s="10" t="n">
        <f aca="false">Nonlabor!$J$16*(1+Assumptions!$E$9)^INT((C3295-1)/12)</f>
        <v>14038.30272</v>
      </c>
      <c r="G3295" s="10" t="n">
        <f aca="false">E3295*F3295</f>
        <v>14038.30272</v>
      </c>
      <c r="H3295" s="10" t="n">
        <f aca="false">IF(OR(Nonlabor!$L$16="Quote required",Nonlabor!$L$16="Unverified"),G3295,0)</f>
        <v>14038.30272</v>
      </c>
      <c r="I3295" s="10" t="n">
        <f aca="false">IF(Nonlabor!$E$16="Core",0,G3295)</f>
        <v>0</v>
      </c>
      <c r="J3295" s="23" t="str">
        <f aca="false">Nonlabor!$B$16</f>
        <v>LEGAL</v>
      </c>
    </row>
    <row r="3296" customFormat="false" ht="15" hidden="false" customHeight="false" outlineLevel="0" collapsed="false">
      <c r="A3296" s="6" t="s">
        <v>73</v>
      </c>
      <c r="B3296" s="6" t="s">
        <v>406</v>
      </c>
      <c r="C3296" s="6" t="n">
        <v>51</v>
      </c>
      <c r="D3296" s="25" t="n">
        <f aca="false">EDATE('Start Here'!$B$6,C3296-1)</f>
        <v>47849</v>
      </c>
      <c r="E3296" s="23" t="n">
        <f aca="false">IF(AND(OR(Nonlabor!$D$16="Both",Nonlabor!$D$16='Start Here'!$B$9),IF(Nonlabor!$E$16="Core",1,IF(Nonlabor!$E$16="AI",'Start Here'!$B$7,'Start Here'!$B$8))=1,C3296&gt;=IF(Nonlabor!$E$16="Core",Nonlabor!$F$16,MAX(Nonlabor!$F$16,IF(Nonlabor!$E$16="AI",Assumptions!$E$24,Assumptions!$E$25))),C3296&lt;=Nonlabor!$G$16,OR(Nonlabor!$H$16="Monthly",AND(Nonlabor!$H$16="Once",C3296=IF(Nonlabor!$E$16="Core",Nonlabor!$F$16,MAX(Nonlabor!$F$16,IF(Nonlabor!$E$16="AI",Assumptions!$E$24,Assumptions!$E$25)))),AND(Nonlabor!$H$16="Annual",MOD(C3296-IF(Nonlabor!$E$16="Core",Nonlabor!$F$16,MAX(Nonlabor!$F$16,IF(Nonlabor!$E$16="AI",Assumptions!$E$24,Assumptions!$E$25))),12)=0))),IF(Nonlabor!$I$16="Fixed",1,IF(Nonlabor!$I$16="Seats",ROUNDUP('Monthly Growth'!I56,0),IF(Nonlabor!$I$16="Customers",'Monthly Growth'!D56,IF(Nonlabor!$I$16="NewCustomers",'Monthly Growth'!C56,IF(Nonlabor!$I$16="StorageGB",'Monthly Growth'!G56,IF(Nonlabor!$I$16="LogGB",'Monthly Growth'!H56,IF(Nonlabor!$I$16="RequestsM",'Monthly Growth'!F56,IF(Nonlabor!$I$16="InputM",'Monthly Growth'!D56*Assumptions!$E$22/1000000,IF(Nonlabor!$I$16="OutputM",'Monthly Growth'!D56*Assumptions!$E$23/1000000,0))))))))),0)</f>
        <v>0</v>
      </c>
      <c r="F3296" s="10" t="n">
        <f aca="false">Nonlabor!$J$16*(1+Assumptions!$E$9)^INT((C3296-1)/12)</f>
        <v>14038.30272</v>
      </c>
      <c r="G3296" s="10" t="n">
        <f aca="false">E3296*F3296</f>
        <v>0</v>
      </c>
      <c r="H3296" s="10" t="n">
        <f aca="false">IF(OR(Nonlabor!$L$16="Quote required",Nonlabor!$L$16="Unverified"),G3296,0)</f>
        <v>0</v>
      </c>
      <c r="I3296" s="10" t="n">
        <f aca="false">IF(Nonlabor!$E$16="Core",0,G3296)</f>
        <v>0</v>
      </c>
      <c r="J3296" s="23" t="str">
        <f aca="false">Nonlabor!$B$16</f>
        <v>LEGAL</v>
      </c>
    </row>
    <row r="3297" customFormat="false" ht="15" hidden="false" customHeight="false" outlineLevel="0" collapsed="false">
      <c r="A3297" s="6" t="s">
        <v>73</v>
      </c>
      <c r="B3297" s="6" t="s">
        <v>406</v>
      </c>
      <c r="C3297" s="6" t="n">
        <v>52</v>
      </c>
      <c r="D3297" s="25" t="n">
        <f aca="false">EDATE('Start Here'!$B$6,C3297-1)</f>
        <v>47880</v>
      </c>
      <c r="E3297" s="23" t="n">
        <f aca="false">IF(AND(OR(Nonlabor!$D$16="Both",Nonlabor!$D$16='Start Here'!$B$9),IF(Nonlabor!$E$16="Core",1,IF(Nonlabor!$E$16="AI",'Start Here'!$B$7,'Start Here'!$B$8))=1,C3297&gt;=IF(Nonlabor!$E$16="Core",Nonlabor!$F$16,MAX(Nonlabor!$F$16,IF(Nonlabor!$E$16="AI",Assumptions!$E$24,Assumptions!$E$25))),C3297&lt;=Nonlabor!$G$16,OR(Nonlabor!$H$16="Monthly",AND(Nonlabor!$H$16="Once",C3297=IF(Nonlabor!$E$16="Core",Nonlabor!$F$16,MAX(Nonlabor!$F$16,IF(Nonlabor!$E$16="AI",Assumptions!$E$24,Assumptions!$E$25)))),AND(Nonlabor!$H$16="Annual",MOD(C3297-IF(Nonlabor!$E$16="Core",Nonlabor!$F$16,MAX(Nonlabor!$F$16,IF(Nonlabor!$E$16="AI",Assumptions!$E$24,Assumptions!$E$25))),12)=0))),IF(Nonlabor!$I$16="Fixed",1,IF(Nonlabor!$I$16="Seats",ROUNDUP('Monthly Growth'!I57,0),IF(Nonlabor!$I$16="Customers",'Monthly Growth'!D57,IF(Nonlabor!$I$16="NewCustomers",'Monthly Growth'!C57,IF(Nonlabor!$I$16="StorageGB",'Monthly Growth'!G57,IF(Nonlabor!$I$16="LogGB",'Monthly Growth'!H57,IF(Nonlabor!$I$16="RequestsM",'Monthly Growth'!F57,IF(Nonlabor!$I$16="InputM",'Monthly Growth'!D57*Assumptions!$E$22/1000000,IF(Nonlabor!$I$16="OutputM",'Monthly Growth'!D57*Assumptions!$E$23/1000000,0))))))))),0)</f>
        <v>0</v>
      </c>
      <c r="F3297" s="10" t="n">
        <f aca="false">Nonlabor!$J$16*(1+Assumptions!$E$9)^INT((C3297-1)/12)</f>
        <v>14038.30272</v>
      </c>
      <c r="G3297" s="10" t="n">
        <f aca="false">E3297*F3297</f>
        <v>0</v>
      </c>
      <c r="H3297" s="10" t="n">
        <f aca="false">IF(OR(Nonlabor!$L$16="Quote required",Nonlabor!$L$16="Unverified"),G3297,0)</f>
        <v>0</v>
      </c>
      <c r="I3297" s="10" t="n">
        <f aca="false">IF(Nonlabor!$E$16="Core",0,G3297)</f>
        <v>0</v>
      </c>
      <c r="J3297" s="23" t="str">
        <f aca="false">Nonlabor!$B$16</f>
        <v>LEGAL</v>
      </c>
    </row>
    <row r="3298" customFormat="false" ht="15" hidden="false" customHeight="false" outlineLevel="0" collapsed="false">
      <c r="A3298" s="6" t="s">
        <v>73</v>
      </c>
      <c r="B3298" s="6" t="s">
        <v>406</v>
      </c>
      <c r="C3298" s="6" t="n">
        <v>53</v>
      </c>
      <c r="D3298" s="25" t="n">
        <f aca="false">EDATE('Start Here'!$B$6,C3298-1)</f>
        <v>47908</v>
      </c>
      <c r="E3298" s="23" t="n">
        <f aca="false">IF(AND(OR(Nonlabor!$D$16="Both",Nonlabor!$D$16='Start Here'!$B$9),IF(Nonlabor!$E$16="Core",1,IF(Nonlabor!$E$16="AI",'Start Here'!$B$7,'Start Here'!$B$8))=1,C3298&gt;=IF(Nonlabor!$E$16="Core",Nonlabor!$F$16,MAX(Nonlabor!$F$16,IF(Nonlabor!$E$16="AI",Assumptions!$E$24,Assumptions!$E$25))),C3298&lt;=Nonlabor!$G$16,OR(Nonlabor!$H$16="Monthly",AND(Nonlabor!$H$16="Once",C3298=IF(Nonlabor!$E$16="Core",Nonlabor!$F$16,MAX(Nonlabor!$F$16,IF(Nonlabor!$E$16="AI",Assumptions!$E$24,Assumptions!$E$25)))),AND(Nonlabor!$H$16="Annual",MOD(C3298-IF(Nonlabor!$E$16="Core",Nonlabor!$F$16,MAX(Nonlabor!$F$16,IF(Nonlabor!$E$16="AI",Assumptions!$E$24,Assumptions!$E$25))),12)=0))),IF(Nonlabor!$I$16="Fixed",1,IF(Nonlabor!$I$16="Seats",ROUNDUP('Monthly Growth'!I58,0),IF(Nonlabor!$I$16="Customers",'Monthly Growth'!D58,IF(Nonlabor!$I$16="NewCustomers",'Monthly Growth'!C58,IF(Nonlabor!$I$16="StorageGB",'Monthly Growth'!G58,IF(Nonlabor!$I$16="LogGB",'Monthly Growth'!H58,IF(Nonlabor!$I$16="RequestsM",'Monthly Growth'!F58,IF(Nonlabor!$I$16="InputM",'Monthly Growth'!D58*Assumptions!$E$22/1000000,IF(Nonlabor!$I$16="OutputM",'Monthly Growth'!D58*Assumptions!$E$23/1000000,0))))))))),0)</f>
        <v>0</v>
      </c>
      <c r="F3298" s="10" t="n">
        <f aca="false">Nonlabor!$J$16*(1+Assumptions!$E$9)^INT((C3298-1)/12)</f>
        <v>14038.30272</v>
      </c>
      <c r="G3298" s="10" t="n">
        <f aca="false">E3298*F3298</f>
        <v>0</v>
      </c>
      <c r="H3298" s="10" t="n">
        <f aca="false">IF(OR(Nonlabor!$L$16="Quote required",Nonlabor!$L$16="Unverified"),G3298,0)</f>
        <v>0</v>
      </c>
      <c r="I3298" s="10" t="n">
        <f aca="false">IF(Nonlabor!$E$16="Core",0,G3298)</f>
        <v>0</v>
      </c>
      <c r="J3298" s="23" t="str">
        <f aca="false">Nonlabor!$B$16</f>
        <v>LEGAL</v>
      </c>
    </row>
    <row r="3299" customFormat="false" ht="15" hidden="false" customHeight="false" outlineLevel="0" collapsed="false">
      <c r="A3299" s="6" t="s">
        <v>73</v>
      </c>
      <c r="B3299" s="6" t="s">
        <v>406</v>
      </c>
      <c r="C3299" s="6" t="n">
        <v>54</v>
      </c>
      <c r="D3299" s="25" t="n">
        <f aca="false">EDATE('Start Here'!$B$6,C3299-1)</f>
        <v>47939</v>
      </c>
      <c r="E3299" s="23" t="n">
        <f aca="false">IF(AND(OR(Nonlabor!$D$16="Both",Nonlabor!$D$16='Start Here'!$B$9),IF(Nonlabor!$E$16="Core",1,IF(Nonlabor!$E$16="AI",'Start Here'!$B$7,'Start Here'!$B$8))=1,C3299&gt;=IF(Nonlabor!$E$16="Core",Nonlabor!$F$16,MAX(Nonlabor!$F$16,IF(Nonlabor!$E$16="AI",Assumptions!$E$24,Assumptions!$E$25))),C3299&lt;=Nonlabor!$G$16,OR(Nonlabor!$H$16="Monthly",AND(Nonlabor!$H$16="Once",C3299=IF(Nonlabor!$E$16="Core",Nonlabor!$F$16,MAX(Nonlabor!$F$16,IF(Nonlabor!$E$16="AI",Assumptions!$E$24,Assumptions!$E$25)))),AND(Nonlabor!$H$16="Annual",MOD(C3299-IF(Nonlabor!$E$16="Core",Nonlabor!$F$16,MAX(Nonlabor!$F$16,IF(Nonlabor!$E$16="AI",Assumptions!$E$24,Assumptions!$E$25))),12)=0))),IF(Nonlabor!$I$16="Fixed",1,IF(Nonlabor!$I$16="Seats",ROUNDUP('Monthly Growth'!I59,0),IF(Nonlabor!$I$16="Customers",'Monthly Growth'!D59,IF(Nonlabor!$I$16="NewCustomers",'Monthly Growth'!C59,IF(Nonlabor!$I$16="StorageGB",'Monthly Growth'!G59,IF(Nonlabor!$I$16="LogGB",'Monthly Growth'!H59,IF(Nonlabor!$I$16="RequestsM",'Monthly Growth'!F59,IF(Nonlabor!$I$16="InputM",'Monthly Growth'!D59*Assumptions!$E$22/1000000,IF(Nonlabor!$I$16="OutputM",'Monthly Growth'!D59*Assumptions!$E$23/1000000,0))))))))),0)</f>
        <v>0</v>
      </c>
      <c r="F3299" s="10" t="n">
        <f aca="false">Nonlabor!$J$16*(1+Assumptions!$E$9)^INT((C3299-1)/12)</f>
        <v>14038.30272</v>
      </c>
      <c r="G3299" s="10" t="n">
        <f aca="false">E3299*F3299</f>
        <v>0</v>
      </c>
      <c r="H3299" s="10" t="n">
        <f aca="false">IF(OR(Nonlabor!$L$16="Quote required",Nonlabor!$L$16="Unverified"),G3299,0)</f>
        <v>0</v>
      </c>
      <c r="I3299" s="10" t="n">
        <f aca="false">IF(Nonlabor!$E$16="Core",0,G3299)</f>
        <v>0</v>
      </c>
      <c r="J3299" s="23" t="str">
        <f aca="false">Nonlabor!$B$16</f>
        <v>LEGAL</v>
      </c>
    </row>
    <row r="3300" customFormat="false" ht="15" hidden="false" customHeight="false" outlineLevel="0" collapsed="false">
      <c r="A3300" s="6" t="s">
        <v>73</v>
      </c>
      <c r="B3300" s="6" t="s">
        <v>406</v>
      </c>
      <c r="C3300" s="6" t="n">
        <v>55</v>
      </c>
      <c r="D3300" s="25" t="n">
        <f aca="false">EDATE('Start Here'!$B$6,C3300-1)</f>
        <v>47969</v>
      </c>
      <c r="E3300" s="23" t="n">
        <f aca="false">IF(AND(OR(Nonlabor!$D$16="Both",Nonlabor!$D$16='Start Here'!$B$9),IF(Nonlabor!$E$16="Core",1,IF(Nonlabor!$E$16="AI",'Start Here'!$B$7,'Start Here'!$B$8))=1,C3300&gt;=IF(Nonlabor!$E$16="Core",Nonlabor!$F$16,MAX(Nonlabor!$F$16,IF(Nonlabor!$E$16="AI",Assumptions!$E$24,Assumptions!$E$25))),C3300&lt;=Nonlabor!$G$16,OR(Nonlabor!$H$16="Monthly",AND(Nonlabor!$H$16="Once",C3300=IF(Nonlabor!$E$16="Core",Nonlabor!$F$16,MAX(Nonlabor!$F$16,IF(Nonlabor!$E$16="AI",Assumptions!$E$24,Assumptions!$E$25)))),AND(Nonlabor!$H$16="Annual",MOD(C3300-IF(Nonlabor!$E$16="Core",Nonlabor!$F$16,MAX(Nonlabor!$F$16,IF(Nonlabor!$E$16="AI",Assumptions!$E$24,Assumptions!$E$25))),12)=0))),IF(Nonlabor!$I$16="Fixed",1,IF(Nonlabor!$I$16="Seats",ROUNDUP('Monthly Growth'!I60,0),IF(Nonlabor!$I$16="Customers",'Monthly Growth'!D60,IF(Nonlabor!$I$16="NewCustomers",'Monthly Growth'!C60,IF(Nonlabor!$I$16="StorageGB",'Monthly Growth'!G60,IF(Nonlabor!$I$16="LogGB",'Monthly Growth'!H60,IF(Nonlabor!$I$16="RequestsM",'Monthly Growth'!F60,IF(Nonlabor!$I$16="InputM",'Monthly Growth'!D60*Assumptions!$E$22/1000000,IF(Nonlabor!$I$16="OutputM",'Monthly Growth'!D60*Assumptions!$E$23/1000000,0))))))))),0)</f>
        <v>0</v>
      </c>
      <c r="F3300" s="10" t="n">
        <f aca="false">Nonlabor!$J$16*(1+Assumptions!$E$9)^INT((C3300-1)/12)</f>
        <v>14038.30272</v>
      </c>
      <c r="G3300" s="10" t="n">
        <f aca="false">E3300*F3300</f>
        <v>0</v>
      </c>
      <c r="H3300" s="10" t="n">
        <f aca="false">IF(OR(Nonlabor!$L$16="Quote required",Nonlabor!$L$16="Unverified"),G3300,0)</f>
        <v>0</v>
      </c>
      <c r="I3300" s="10" t="n">
        <f aca="false">IF(Nonlabor!$E$16="Core",0,G3300)</f>
        <v>0</v>
      </c>
      <c r="J3300" s="23" t="str">
        <f aca="false">Nonlabor!$B$16</f>
        <v>LEGAL</v>
      </c>
    </row>
    <row r="3301" customFormat="false" ht="15" hidden="false" customHeight="false" outlineLevel="0" collapsed="false">
      <c r="A3301" s="6" t="s">
        <v>73</v>
      </c>
      <c r="B3301" s="6" t="s">
        <v>406</v>
      </c>
      <c r="C3301" s="6" t="n">
        <v>56</v>
      </c>
      <c r="D3301" s="25" t="n">
        <f aca="false">EDATE('Start Here'!$B$6,C3301-1)</f>
        <v>48000</v>
      </c>
      <c r="E3301" s="23" t="n">
        <f aca="false">IF(AND(OR(Nonlabor!$D$16="Both",Nonlabor!$D$16='Start Here'!$B$9),IF(Nonlabor!$E$16="Core",1,IF(Nonlabor!$E$16="AI",'Start Here'!$B$7,'Start Here'!$B$8))=1,C3301&gt;=IF(Nonlabor!$E$16="Core",Nonlabor!$F$16,MAX(Nonlabor!$F$16,IF(Nonlabor!$E$16="AI",Assumptions!$E$24,Assumptions!$E$25))),C3301&lt;=Nonlabor!$G$16,OR(Nonlabor!$H$16="Monthly",AND(Nonlabor!$H$16="Once",C3301=IF(Nonlabor!$E$16="Core",Nonlabor!$F$16,MAX(Nonlabor!$F$16,IF(Nonlabor!$E$16="AI",Assumptions!$E$24,Assumptions!$E$25)))),AND(Nonlabor!$H$16="Annual",MOD(C3301-IF(Nonlabor!$E$16="Core",Nonlabor!$F$16,MAX(Nonlabor!$F$16,IF(Nonlabor!$E$16="AI",Assumptions!$E$24,Assumptions!$E$25))),12)=0))),IF(Nonlabor!$I$16="Fixed",1,IF(Nonlabor!$I$16="Seats",ROUNDUP('Monthly Growth'!I61,0),IF(Nonlabor!$I$16="Customers",'Monthly Growth'!D61,IF(Nonlabor!$I$16="NewCustomers",'Monthly Growth'!C61,IF(Nonlabor!$I$16="StorageGB",'Monthly Growth'!G61,IF(Nonlabor!$I$16="LogGB",'Monthly Growth'!H61,IF(Nonlabor!$I$16="RequestsM",'Monthly Growth'!F61,IF(Nonlabor!$I$16="InputM",'Monthly Growth'!D61*Assumptions!$E$22/1000000,IF(Nonlabor!$I$16="OutputM",'Monthly Growth'!D61*Assumptions!$E$23/1000000,0))))))))),0)</f>
        <v>0</v>
      </c>
      <c r="F3301" s="10" t="n">
        <f aca="false">Nonlabor!$J$16*(1+Assumptions!$E$9)^INT((C3301-1)/12)</f>
        <v>14038.30272</v>
      </c>
      <c r="G3301" s="10" t="n">
        <f aca="false">E3301*F3301</f>
        <v>0</v>
      </c>
      <c r="H3301" s="10" t="n">
        <f aca="false">IF(OR(Nonlabor!$L$16="Quote required",Nonlabor!$L$16="Unverified"),G3301,0)</f>
        <v>0</v>
      </c>
      <c r="I3301" s="10" t="n">
        <f aca="false">IF(Nonlabor!$E$16="Core",0,G3301)</f>
        <v>0</v>
      </c>
      <c r="J3301" s="23" t="str">
        <f aca="false">Nonlabor!$B$16</f>
        <v>LEGAL</v>
      </c>
    </row>
    <row r="3302" customFormat="false" ht="15" hidden="false" customHeight="false" outlineLevel="0" collapsed="false">
      <c r="A3302" s="6" t="s">
        <v>73</v>
      </c>
      <c r="B3302" s="6" t="s">
        <v>406</v>
      </c>
      <c r="C3302" s="6" t="n">
        <v>57</v>
      </c>
      <c r="D3302" s="25" t="n">
        <f aca="false">EDATE('Start Here'!$B$6,C3302-1)</f>
        <v>48030</v>
      </c>
      <c r="E3302" s="23" t="n">
        <f aca="false">IF(AND(OR(Nonlabor!$D$16="Both",Nonlabor!$D$16='Start Here'!$B$9),IF(Nonlabor!$E$16="Core",1,IF(Nonlabor!$E$16="AI",'Start Here'!$B$7,'Start Here'!$B$8))=1,C3302&gt;=IF(Nonlabor!$E$16="Core",Nonlabor!$F$16,MAX(Nonlabor!$F$16,IF(Nonlabor!$E$16="AI",Assumptions!$E$24,Assumptions!$E$25))),C3302&lt;=Nonlabor!$G$16,OR(Nonlabor!$H$16="Monthly",AND(Nonlabor!$H$16="Once",C3302=IF(Nonlabor!$E$16="Core",Nonlabor!$F$16,MAX(Nonlabor!$F$16,IF(Nonlabor!$E$16="AI",Assumptions!$E$24,Assumptions!$E$25)))),AND(Nonlabor!$H$16="Annual",MOD(C3302-IF(Nonlabor!$E$16="Core",Nonlabor!$F$16,MAX(Nonlabor!$F$16,IF(Nonlabor!$E$16="AI",Assumptions!$E$24,Assumptions!$E$25))),12)=0))),IF(Nonlabor!$I$16="Fixed",1,IF(Nonlabor!$I$16="Seats",ROUNDUP('Monthly Growth'!I62,0),IF(Nonlabor!$I$16="Customers",'Monthly Growth'!D62,IF(Nonlabor!$I$16="NewCustomers",'Monthly Growth'!C62,IF(Nonlabor!$I$16="StorageGB",'Monthly Growth'!G62,IF(Nonlabor!$I$16="LogGB",'Monthly Growth'!H62,IF(Nonlabor!$I$16="RequestsM",'Monthly Growth'!F62,IF(Nonlabor!$I$16="InputM",'Monthly Growth'!D62*Assumptions!$E$22/1000000,IF(Nonlabor!$I$16="OutputM",'Monthly Growth'!D62*Assumptions!$E$23/1000000,0))))))))),0)</f>
        <v>0</v>
      </c>
      <c r="F3302" s="10" t="n">
        <f aca="false">Nonlabor!$J$16*(1+Assumptions!$E$9)^INT((C3302-1)/12)</f>
        <v>14038.30272</v>
      </c>
      <c r="G3302" s="10" t="n">
        <f aca="false">E3302*F3302</f>
        <v>0</v>
      </c>
      <c r="H3302" s="10" t="n">
        <f aca="false">IF(OR(Nonlabor!$L$16="Quote required",Nonlabor!$L$16="Unverified"),G3302,0)</f>
        <v>0</v>
      </c>
      <c r="I3302" s="10" t="n">
        <f aca="false">IF(Nonlabor!$E$16="Core",0,G3302)</f>
        <v>0</v>
      </c>
      <c r="J3302" s="23" t="str">
        <f aca="false">Nonlabor!$B$16</f>
        <v>LEGAL</v>
      </c>
    </row>
    <row r="3303" customFormat="false" ht="15" hidden="false" customHeight="false" outlineLevel="0" collapsed="false">
      <c r="A3303" s="6" t="s">
        <v>73</v>
      </c>
      <c r="B3303" s="6" t="s">
        <v>406</v>
      </c>
      <c r="C3303" s="6" t="n">
        <v>58</v>
      </c>
      <c r="D3303" s="25" t="n">
        <f aca="false">EDATE('Start Here'!$B$6,C3303-1)</f>
        <v>48061</v>
      </c>
      <c r="E3303" s="23" t="n">
        <f aca="false">IF(AND(OR(Nonlabor!$D$16="Both",Nonlabor!$D$16='Start Here'!$B$9),IF(Nonlabor!$E$16="Core",1,IF(Nonlabor!$E$16="AI",'Start Here'!$B$7,'Start Here'!$B$8))=1,C3303&gt;=IF(Nonlabor!$E$16="Core",Nonlabor!$F$16,MAX(Nonlabor!$F$16,IF(Nonlabor!$E$16="AI",Assumptions!$E$24,Assumptions!$E$25))),C3303&lt;=Nonlabor!$G$16,OR(Nonlabor!$H$16="Monthly",AND(Nonlabor!$H$16="Once",C3303=IF(Nonlabor!$E$16="Core",Nonlabor!$F$16,MAX(Nonlabor!$F$16,IF(Nonlabor!$E$16="AI",Assumptions!$E$24,Assumptions!$E$25)))),AND(Nonlabor!$H$16="Annual",MOD(C3303-IF(Nonlabor!$E$16="Core",Nonlabor!$F$16,MAX(Nonlabor!$F$16,IF(Nonlabor!$E$16="AI",Assumptions!$E$24,Assumptions!$E$25))),12)=0))),IF(Nonlabor!$I$16="Fixed",1,IF(Nonlabor!$I$16="Seats",ROUNDUP('Monthly Growth'!I63,0),IF(Nonlabor!$I$16="Customers",'Monthly Growth'!D63,IF(Nonlabor!$I$16="NewCustomers",'Monthly Growth'!C63,IF(Nonlabor!$I$16="StorageGB",'Monthly Growth'!G63,IF(Nonlabor!$I$16="LogGB",'Monthly Growth'!H63,IF(Nonlabor!$I$16="RequestsM",'Monthly Growth'!F63,IF(Nonlabor!$I$16="InputM",'Monthly Growth'!D63*Assumptions!$E$22/1000000,IF(Nonlabor!$I$16="OutputM",'Monthly Growth'!D63*Assumptions!$E$23/1000000,0))))))))),0)</f>
        <v>0</v>
      </c>
      <c r="F3303" s="10" t="n">
        <f aca="false">Nonlabor!$J$16*(1+Assumptions!$E$9)^INT((C3303-1)/12)</f>
        <v>14038.30272</v>
      </c>
      <c r="G3303" s="10" t="n">
        <f aca="false">E3303*F3303</f>
        <v>0</v>
      </c>
      <c r="H3303" s="10" t="n">
        <f aca="false">IF(OR(Nonlabor!$L$16="Quote required",Nonlabor!$L$16="Unverified"),G3303,0)</f>
        <v>0</v>
      </c>
      <c r="I3303" s="10" t="n">
        <f aca="false">IF(Nonlabor!$E$16="Core",0,G3303)</f>
        <v>0</v>
      </c>
      <c r="J3303" s="23" t="str">
        <f aca="false">Nonlabor!$B$16</f>
        <v>LEGAL</v>
      </c>
    </row>
    <row r="3304" customFormat="false" ht="15" hidden="false" customHeight="false" outlineLevel="0" collapsed="false">
      <c r="A3304" s="6" t="s">
        <v>73</v>
      </c>
      <c r="B3304" s="6" t="s">
        <v>406</v>
      </c>
      <c r="C3304" s="6" t="n">
        <v>59</v>
      </c>
      <c r="D3304" s="25" t="n">
        <f aca="false">EDATE('Start Here'!$B$6,C3304-1)</f>
        <v>48092</v>
      </c>
      <c r="E3304" s="23" t="n">
        <f aca="false">IF(AND(OR(Nonlabor!$D$16="Both",Nonlabor!$D$16='Start Here'!$B$9),IF(Nonlabor!$E$16="Core",1,IF(Nonlabor!$E$16="AI",'Start Here'!$B$7,'Start Here'!$B$8))=1,C3304&gt;=IF(Nonlabor!$E$16="Core",Nonlabor!$F$16,MAX(Nonlabor!$F$16,IF(Nonlabor!$E$16="AI",Assumptions!$E$24,Assumptions!$E$25))),C3304&lt;=Nonlabor!$G$16,OR(Nonlabor!$H$16="Monthly",AND(Nonlabor!$H$16="Once",C3304=IF(Nonlabor!$E$16="Core",Nonlabor!$F$16,MAX(Nonlabor!$F$16,IF(Nonlabor!$E$16="AI",Assumptions!$E$24,Assumptions!$E$25)))),AND(Nonlabor!$H$16="Annual",MOD(C3304-IF(Nonlabor!$E$16="Core",Nonlabor!$F$16,MAX(Nonlabor!$F$16,IF(Nonlabor!$E$16="AI",Assumptions!$E$24,Assumptions!$E$25))),12)=0))),IF(Nonlabor!$I$16="Fixed",1,IF(Nonlabor!$I$16="Seats",ROUNDUP('Monthly Growth'!I64,0),IF(Nonlabor!$I$16="Customers",'Monthly Growth'!D64,IF(Nonlabor!$I$16="NewCustomers",'Monthly Growth'!C64,IF(Nonlabor!$I$16="StorageGB",'Monthly Growth'!G64,IF(Nonlabor!$I$16="LogGB",'Monthly Growth'!H64,IF(Nonlabor!$I$16="RequestsM",'Monthly Growth'!F64,IF(Nonlabor!$I$16="InputM",'Monthly Growth'!D64*Assumptions!$E$22/1000000,IF(Nonlabor!$I$16="OutputM",'Monthly Growth'!D64*Assumptions!$E$23/1000000,0))))))))),0)</f>
        <v>0</v>
      </c>
      <c r="F3304" s="10" t="n">
        <f aca="false">Nonlabor!$J$16*(1+Assumptions!$E$9)^INT((C3304-1)/12)</f>
        <v>14038.30272</v>
      </c>
      <c r="G3304" s="10" t="n">
        <f aca="false">E3304*F3304</f>
        <v>0</v>
      </c>
      <c r="H3304" s="10" t="n">
        <f aca="false">IF(OR(Nonlabor!$L$16="Quote required",Nonlabor!$L$16="Unverified"),G3304,0)</f>
        <v>0</v>
      </c>
      <c r="I3304" s="10" t="n">
        <f aca="false">IF(Nonlabor!$E$16="Core",0,G3304)</f>
        <v>0</v>
      </c>
      <c r="J3304" s="23" t="str">
        <f aca="false">Nonlabor!$B$16</f>
        <v>LEGAL</v>
      </c>
    </row>
    <row r="3305" customFormat="false" ht="15" hidden="false" customHeight="false" outlineLevel="0" collapsed="false">
      <c r="A3305" s="6" t="s">
        <v>73</v>
      </c>
      <c r="B3305" s="6" t="s">
        <v>406</v>
      </c>
      <c r="C3305" s="6" t="n">
        <v>60</v>
      </c>
      <c r="D3305" s="25" t="n">
        <f aca="false">EDATE('Start Here'!$B$6,C3305-1)</f>
        <v>48122</v>
      </c>
      <c r="E3305" s="23" t="n">
        <f aca="false">IF(AND(OR(Nonlabor!$D$16="Both",Nonlabor!$D$16='Start Here'!$B$9),IF(Nonlabor!$E$16="Core",1,IF(Nonlabor!$E$16="AI",'Start Here'!$B$7,'Start Here'!$B$8))=1,C3305&gt;=IF(Nonlabor!$E$16="Core",Nonlabor!$F$16,MAX(Nonlabor!$F$16,IF(Nonlabor!$E$16="AI",Assumptions!$E$24,Assumptions!$E$25))),C3305&lt;=Nonlabor!$G$16,OR(Nonlabor!$H$16="Monthly",AND(Nonlabor!$H$16="Once",C3305=IF(Nonlabor!$E$16="Core",Nonlabor!$F$16,MAX(Nonlabor!$F$16,IF(Nonlabor!$E$16="AI",Assumptions!$E$24,Assumptions!$E$25)))),AND(Nonlabor!$H$16="Annual",MOD(C3305-IF(Nonlabor!$E$16="Core",Nonlabor!$F$16,MAX(Nonlabor!$F$16,IF(Nonlabor!$E$16="AI",Assumptions!$E$24,Assumptions!$E$25))),12)=0))),IF(Nonlabor!$I$16="Fixed",1,IF(Nonlabor!$I$16="Seats",ROUNDUP('Monthly Growth'!I65,0),IF(Nonlabor!$I$16="Customers",'Monthly Growth'!D65,IF(Nonlabor!$I$16="NewCustomers",'Monthly Growth'!C65,IF(Nonlabor!$I$16="StorageGB",'Monthly Growth'!G65,IF(Nonlabor!$I$16="LogGB",'Monthly Growth'!H65,IF(Nonlabor!$I$16="RequestsM",'Monthly Growth'!F65,IF(Nonlabor!$I$16="InputM",'Monthly Growth'!D65*Assumptions!$E$22/1000000,IF(Nonlabor!$I$16="OutputM",'Monthly Growth'!D65*Assumptions!$E$23/1000000,0))))))))),0)</f>
        <v>0</v>
      </c>
      <c r="F3305" s="10" t="n">
        <f aca="false">Nonlabor!$J$16*(1+Assumptions!$E$9)^INT((C3305-1)/12)</f>
        <v>14038.30272</v>
      </c>
      <c r="G3305" s="10" t="n">
        <f aca="false">E3305*F3305</f>
        <v>0</v>
      </c>
      <c r="H3305" s="10" t="n">
        <f aca="false">IF(OR(Nonlabor!$L$16="Quote required",Nonlabor!$L$16="Unverified"),G3305,0)</f>
        <v>0</v>
      </c>
      <c r="I3305" s="10" t="n">
        <f aca="false">IF(Nonlabor!$E$16="Core",0,G3305)</f>
        <v>0</v>
      </c>
      <c r="J3305" s="23" t="str">
        <f aca="false">Nonlabor!$B$16</f>
        <v>LEGAL</v>
      </c>
    </row>
    <row r="3306" customFormat="false" ht="15" hidden="false" customHeight="false" outlineLevel="0" collapsed="false">
      <c r="A3306" s="6" t="s">
        <v>73</v>
      </c>
      <c r="B3306" s="6" t="s">
        <v>410</v>
      </c>
      <c r="C3306" s="6" t="n">
        <v>1</v>
      </c>
      <c r="D3306" s="25" t="n">
        <f aca="false">EDATE('Start Here'!$B$6,C3306-1)</f>
        <v>46327</v>
      </c>
      <c r="E3306" s="23" t="n">
        <f aca="false">IF(AND(OR(Nonlabor!$D$17="Both",Nonlabor!$D$17='Start Here'!$B$9),IF(Nonlabor!$E$17="Core",1,IF(Nonlabor!$E$17="AI",'Start Here'!$B$7,'Start Here'!$B$8))=1,C3306&gt;=IF(Nonlabor!$E$17="Core",Nonlabor!$F$17,MAX(Nonlabor!$F$17,IF(Nonlabor!$E$17="AI",Assumptions!$E$24,Assumptions!$E$25))),C3306&lt;=Nonlabor!$G$17,OR(Nonlabor!$H$17="Monthly",AND(Nonlabor!$H$17="Once",C3306=IF(Nonlabor!$E$17="Core",Nonlabor!$F$17,MAX(Nonlabor!$F$17,IF(Nonlabor!$E$17="AI",Assumptions!$E$24,Assumptions!$E$25)))),AND(Nonlabor!$H$17="Annual",MOD(C3306-IF(Nonlabor!$E$17="Core",Nonlabor!$F$17,MAX(Nonlabor!$F$17,IF(Nonlabor!$E$17="AI",Assumptions!$E$24,Assumptions!$E$25))),12)=0))),IF(Nonlabor!$I$17="Fixed",1,IF(Nonlabor!$I$17="Seats",ROUNDUP('Monthly Growth'!I6,0),IF(Nonlabor!$I$17="Customers",'Monthly Growth'!D6,IF(Nonlabor!$I$17="NewCustomers",'Monthly Growth'!C6,IF(Nonlabor!$I$17="StorageGB",'Monthly Growth'!G6,IF(Nonlabor!$I$17="LogGB",'Monthly Growth'!H6,IF(Nonlabor!$I$17="RequestsM",'Monthly Growth'!F6,IF(Nonlabor!$I$17="InputM",'Monthly Growth'!D6*Assumptions!$E$22/1000000,IF(Nonlabor!$I$17="OutputM",'Monthly Growth'!D6*Assumptions!$E$23/1000000,0))))))))),0)</f>
        <v>0</v>
      </c>
      <c r="F3306" s="10" t="n">
        <f aca="false">Nonlabor!$J$17*(1+Assumptions!$E$9)^INT((C3306-1)/12)</f>
        <v>18000</v>
      </c>
      <c r="G3306" s="10" t="n">
        <f aca="false">E3306*F3306</f>
        <v>0</v>
      </c>
      <c r="H3306" s="10" t="n">
        <f aca="false">IF(OR(Nonlabor!$L$17="Quote required",Nonlabor!$L$17="Unverified"),G3306,0)</f>
        <v>0</v>
      </c>
      <c r="I3306" s="10" t="n">
        <f aca="false">IF(Nonlabor!$E$17="Core",0,G3306)</f>
        <v>0</v>
      </c>
      <c r="J3306" s="23" t="str">
        <f aca="false">Nonlabor!$B$17</f>
        <v>SECURITY</v>
      </c>
    </row>
    <row r="3307" customFormat="false" ht="15" hidden="false" customHeight="false" outlineLevel="0" collapsed="false">
      <c r="A3307" s="6" t="s">
        <v>73</v>
      </c>
      <c r="B3307" s="6" t="s">
        <v>410</v>
      </c>
      <c r="C3307" s="6" t="n">
        <v>2</v>
      </c>
      <c r="D3307" s="25" t="n">
        <f aca="false">EDATE('Start Here'!$B$6,C3307-1)</f>
        <v>46357</v>
      </c>
      <c r="E3307" s="23" t="n">
        <f aca="false">IF(AND(OR(Nonlabor!$D$17="Both",Nonlabor!$D$17='Start Here'!$B$9),IF(Nonlabor!$E$17="Core",1,IF(Nonlabor!$E$17="AI",'Start Here'!$B$7,'Start Here'!$B$8))=1,C3307&gt;=IF(Nonlabor!$E$17="Core",Nonlabor!$F$17,MAX(Nonlabor!$F$17,IF(Nonlabor!$E$17="AI",Assumptions!$E$24,Assumptions!$E$25))),C3307&lt;=Nonlabor!$G$17,OR(Nonlabor!$H$17="Monthly",AND(Nonlabor!$H$17="Once",C3307=IF(Nonlabor!$E$17="Core",Nonlabor!$F$17,MAX(Nonlabor!$F$17,IF(Nonlabor!$E$17="AI",Assumptions!$E$24,Assumptions!$E$25)))),AND(Nonlabor!$H$17="Annual",MOD(C3307-IF(Nonlabor!$E$17="Core",Nonlabor!$F$17,MAX(Nonlabor!$F$17,IF(Nonlabor!$E$17="AI",Assumptions!$E$24,Assumptions!$E$25))),12)=0))),IF(Nonlabor!$I$17="Fixed",1,IF(Nonlabor!$I$17="Seats",ROUNDUP('Monthly Growth'!I7,0),IF(Nonlabor!$I$17="Customers",'Monthly Growth'!D7,IF(Nonlabor!$I$17="NewCustomers",'Monthly Growth'!C7,IF(Nonlabor!$I$17="StorageGB",'Monthly Growth'!G7,IF(Nonlabor!$I$17="LogGB",'Monthly Growth'!H7,IF(Nonlabor!$I$17="RequestsM",'Monthly Growth'!F7,IF(Nonlabor!$I$17="InputM",'Monthly Growth'!D7*Assumptions!$E$22/1000000,IF(Nonlabor!$I$17="OutputM",'Monthly Growth'!D7*Assumptions!$E$23/1000000,0))))))))),0)</f>
        <v>0</v>
      </c>
      <c r="F3307" s="10" t="n">
        <f aca="false">Nonlabor!$J$17*(1+Assumptions!$E$9)^INT((C3307-1)/12)</f>
        <v>18000</v>
      </c>
      <c r="G3307" s="10" t="n">
        <f aca="false">E3307*F3307</f>
        <v>0</v>
      </c>
      <c r="H3307" s="10" t="n">
        <f aca="false">IF(OR(Nonlabor!$L$17="Quote required",Nonlabor!$L$17="Unverified"),G3307,0)</f>
        <v>0</v>
      </c>
      <c r="I3307" s="10" t="n">
        <f aca="false">IF(Nonlabor!$E$17="Core",0,G3307)</f>
        <v>0</v>
      </c>
      <c r="J3307" s="23" t="str">
        <f aca="false">Nonlabor!$B$17</f>
        <v>SECURITY</v>
      </c>
    </row>
    <row r="3308" customFormat="false" ht="15" hidden="false" customHeight="false" outlineLevel="0" collapsed="false">
      <c r="A3308" s="6" t="s">
        <v>73</v>
      </c>
      <c r="B3308" s="6" t="s">
        <v>410</v>
      </c>
      <c r="C3308" s="6" t="n">
        <v>3</v>
      </c>
      <c r="D3308" s="25" t="n">
        <f aca="false">EDATE('Start Here'!$B$6,C3308-1)</f>
        <v>46388</v>
      </c>
      <c r="E3308" s="23" t="n">
        <f aca="false">IF(AND(OR(Nonlabor!$D$17="Both",Nonlabor!$D$17='Start Here'!$B$9),IF(Nonlabor!$E$17="Core",1,IF(Nonlabor!$E$17="AI",'Start Here'!$B$7,'Start Here'!$B$8))=1,C3308&gt;=IF(Nonlabor!$E$17="Core",Nonlabor!$F$17,MAX(Nonlabor!$F$17,IF(Nonlabor!$E$17="AI",Assumptions!$E$24,Assumptions!$E$25))),C3308&lt;=Nonlabor!$G$17,OR(Nonlabor!$H$17="Monthly",AND(Nonlabor!$H$17="Once",C3308=IF(Nonlabor!$E$17="Core",Nonlabor!$F$17,MAX(Nonlabor!$F$17,IF(Nonlabor!$E$17="AI",Assumptions!$E$24,Assumptions!$E$25)))),AND(Nonlabor!$H$17="Annual",MOD(C3308-IF(Nonlabor!$E$17="Core",Nonlabor!$F$17,MAX(Nonlabor!$F$17,IF(Nonlabor!$E$17="AI",Assumptions!$E$24,Assumptions!$E$25))),12)=0))),IF(Nonlabor!$I$17="Fixed",1,IF(Nonlabor!$I$17="Seats",ROUNDUP('Monthly Growth'!I8,0),IF(Nonlabor!$I$17="Customers",'Monthly Growth'!D8,IF(Nonlabor!$I$17="NewCustomers",'Monthly Growth'!C8,IF(Nonlabor!$I$17="StorageGB",'Monthly Growth'!G8,IF(Nonlabor!$I$17="LogGB",'Monthly Growth'!H8,IF(Nonlabor!$I$17="RequestsM",'Monthly Growth'!F8,IF(Nonlabor!$I$17="InputM",'Monthly Growth'!D8*Assumptions!$E$22/1000000,IF(Nonlabor!$I$17="OutputM",'Monthly Growth'!D8*Assumptions!$E$23/1000000,0))))))))),0)</f>
        <v>0</v>
      </c>
      <c r="F3308" s="10" t="n">
        <f aca="false">Nonlabor!$J$17*(1+Assumptions!$E$9)^INT((C3308-1)/12)</f>
        <v>18000</v>
      </c>
      <c r="G3308" s="10" t="n">
        <f aca="false">E3308*F3308</f>
        <v>0</v>
      </c>
      <c r="H3308" s="10" t="n">
        <f aca="false">IF(OR(Nonlabor!$L$17="Quote required",Nonlabor!$L$17="Unverified"),G3308,0)</f>
        <v>0</v>
      </c>
      <c r="I3308" s="10" t="n">
        <f aca="false">IF(Nonlabor!$E$17="Core",0,G3308)</f>
        <v>0</v>
      </c>
      <c r="J3308" s="23" t="str">
        <f aca="false">Nonlabor!$B$17</f>
        <v>SECURITY</v>
      </c>
    </row>
    <row r="3309" customFormat="false" ht="15" hidden="false" customHeight="false" outlineLevel="0" collapsed="false">
      <c r="A3309" s="6" t="s">
        <v>73</v>
      </c>
      <c r="B3309" s="6" t="s">
        <v>410</v>
      </c>
      <c r="C3309" s="6" t="n">
        <v>4</v>
      </c>
      <c r="D3309" s="25" t="n">
        <f aca="false">EDATE('Start Here'!$B$6,C3309-1)</f>
        <v>46419</v>
      </c>
      <c r="E3309" s="23" t="n">
        <f aca="false">IF(AND(OR(Nonlabor!$D$17="Both",Nonlabor!$D$17='Start Here'!$B$9),IF(Nonlabor!$E$17="Core",1,IF(Nonlabor!$E$17="AI",'Start Here'!$B$7,'Start Here'!$B$8))=1,C3309&gt;=IF(Nonlabor!$E$17="Core",Nonlabor!$F$17,MAX(Nonlabor!$F$17,IF(Nonlabor!$E$17="AI",Assumptions!$E$24,Assumptions!$E$25))),C3309&lt;=Nonlabor!$G$17,OR(Nonlabor!$H$17="Monthly",AND(Nonlabor!$H$17="Once",C3309=IF(Nonlabor!$E$17="Core",Nonlabor!$F$17,MAX(Nonlabor!$F$17,IF(Nonlabor!$E$17="AI",Assumptions!$E$24,Assumptions!$E$25)))),AND(Nonlabor!$H$17="Annual",MOD(C3309-IF(Nonlabor!$E$17="Core",Nonlabor!$F$17,MAX(Nonlabor!$F$17,IF(Nonlabor!$E$17="AI",Assumptions!$E$24,Assumptions!$E$25))),12)=0))),IF(Nonlabor!$I$17="Fixed",1,IF(Nonlabor!$I$17="Seats",ROUNDUP('Monthly Growth'!I9,0),IF(Nonlabor!$I$17="Customers",'Monthly Growth'!D9,IF(Nonlabor!$I$17="NewCustomers",'Monthly Growth'!C9,IF(Nonlabor!$I$17="StorageGB",'Monthly Growth'!G9,IF(Nonlabor!$I$17="LogGB",'Monthly Growth'!H9,IF(Nonlabor!$I$17="RequestsM",'Monthly Growth'!F9,IF(Nonlabor!$I$17="InputM",'Monthly Growth'!D9*Assumptions!$E$22/1000000,IF(Nonlabor!$I$17="OutputM",'Monthly Growth'!D9*Assumptions!$E$23/1000000,0))))))))),0)</f>
        <v>0</v>
      </c>
      <c r="F3309" s="10" t="n">
        <f aca="false">Nonlabor!$J$17*(1+Assumptions!$E$9)^INT((C3309-1)/12)</f>
        <v>18000</v>
      </c>
      <c r="G3309" s="10" t="n">
        <f aca="false">E3309*F3309</f>
        <v>0</v>
      </c>
      <c r="H3309" s="10" t="n">
        <f aca="false">IF(OR(Nonlabor!$L$17="Quote required",Nonlabor!$L$17="Unverified"),G3309,0)</f>
        <v>0</v>
      </c>
      <c r="I3309" s="10" t="n">
        <f aca="false">IF(Nonlabor!$E$17="Core",0,G3309)</f>
        <v>0</v>
      </c>
      <c r="J3309" s="23" t="str">
        <f aca="false">Nonlabor!$B$17</f>
        <v>SECURITY</v>
      </c>
    </row>
    <row r="3310" customFormat="false" ht="15" hidden="false" customHeight="false" outlineLevel="0" collapsed="false">
      <c r="A3310" s="6" t="s">
        <v>73</v>
      </c>
      <c r="B3310" s="6" t="s">
        <v>410</v>
      </c>
      <c r="C3310" s="6" t="n">
        <v>5</v>
      </c>
      <c r="D3310" s="25" t="n">
        <f aca="false">EDATE('Start Here'!$B$6,C3310-1)</f>
        <v>46447</v>
      </c>
      <c r="E3310" s="23" t="n">
        <f aca="false">IF(AND(OR(Nonlabor!$D$17="Both",Nonlabor!$D$17='Start Here'!$B$9),IF(Nonlabor!$E$17="Core",1,IF(Nonlabor!$E$17="AI",'Start Here'!$B$7,'Start Here'!$B$8))=1,C3310&gt;=IF(Nonlabor!$E$17="Core",Nonlabor!$F$17,MAX(Nonlabor!$F$17,IF(Nonlabor!$E$17="AI",Assumptions!$E$24,Assumptions!$E$25))),C3310&lt;=Nonlabor!$G$17,OR(Nonlabor!$H$17="Monthly",AND(Nonlabor!$H$17="Once",C3310=IF(Nonlabor!$E$17="Core",Nonlabor!$F$17,MAX(Nonlabor!$F$17,IF(Nonlabor!$E$17="AI",Assumptions!$E$24,Assumptions!$E$25)))),AND(Nonlabor!$H$17="Annual",MOD(C3310-IF(Nonlabor!$E$17="Core",Nonlabor!$F$17,MAX(Nonlabor!$F$17,IF(Nonlabor!$E$17="AI",Assumptions!$E$24,Assumptions!$E$25))),12)=0))),IF(Nonlabor!$I$17="Fixed",1,IF(Nonlabor!$I$17="Seats",ROUNDUP('Monthly Growth'!I10,0),IF(Nonlabor!$I$17="Customers",'Monthly Growth'!D10,IF(Nonlabor!$I$17="NewCustomers",'Monthly Growth'!C10,IF(Nonlabor!$I$17="StorageGB",'Monthly Growth'!G10,IF(Nonlabor!$I$17="LogGB",'Monthly Growth'!H10,IF(Nonlabor!$I$17="RequestsM",'Monthly Growth'!F10,IF(Nonlabor!$I$17="InputM",'Monthly Growth'!D10*Assumptions!$E$22/1000000,IF(Nonlabor!$I$17="OutputM",'Monthly Growth'!D10*Assumptions!$E$23/1000000,0))))))))),0)</f>
        <v>0</v>
      </c>
      <c r="F3310" s="10" t="n">
        <f aca="false">Nonlabor!$J$17*(1+Assumptions!$E$9)^INT((C3310-1)/12)</f>
        <v>18000</v>
      </c>
      <c r="G3310" s="10" t="n">
        <f aca="false">E3310*F3310</f>
        <v>0</v>
      </c>
      <c r="H3310" s="10" t="n">
        <f aca="false">IF(OR(Nonlabor!$L$17="Quote required",Nonlabor!$L$17="Unverified"),G3310,0)</f>
        <v>0</v>
      </c>
      <c r="I3310" s="10" t="n">
        <f aca="false">IF(Nonlabor!$E$17="Core",0,G3310)</f>
        <v>0</v>
      </c>
      <c r="J3310" s="23" t="str">
        <f aca="false">Nonlabor!$B$17</f>
        <v>SECURITY</v>
      </c>
    </row>
    <row r="3311" customFormat="false" ht="15" hidden="false" customHeight="false" outlineLevel="0" collapsed="false">
      <c r="A3311" s="6" t="s">
        <v>73</v>
      </c>
      <c r="B3311" s="6" t="s">
        <v>410</v>
      </c>
      <c r="C3311" s="6" t="n">
        <v>6</v>
      </c>
      <c r="D3311" s="25" t="n">
        <f aca="false">EDATE('Start Here'!$B$6,C3311-1)</f>
        <v>46478</v>
      </c>
      <c r="E3311" s="23" t="n">
        <f aca="false">IF(AND(OR(Nonlabor!$D$17="Both",Nonlabor!$D$17='Start Here'!$B$9),IF(Nonlabor!$E$17="Core",1,IF(Nonlabor!$E$17="AI",'Start Here'!$B$7,'Start Here'!$B$8))=1,C3311&gt;=IF(Nonlabor!$E$17="Core",Nonlabor!$F$17,MAX(Nonlabor!$F$17,IF(Nonlabor!$E$17="AI",Assumptions!$E$24,Assumptions!$E$25))),C3311&lt;=Nonlabor!$G$17,OR(Nonlabor!$H$17="Monthly",AND(Nonlabor!$H$17="Once",C3311=IF(Nonlabor!$E$17="Core",Nonlabor!$F$17,MAX(Nonlabor!$F$17,IF(Nonlabor!$E$17="AI",Assumptions!$E$24,Assumptions!$E$25)))),AND(Nonlabor!$H$17="Annual",MOD(C3311-IF(Nonlabor!$E$17="Core",Nonlabor!$F$17,MAX(Nonlabor!$F$17,IF(Nonlabor!$E$17="AI",Assumptions!$E$24,Assumptions!$E$25))),12)=0))),IF(Nonlabor!$I$17="Fixed",1,IF(Nonlabor!$I$17="Seats",ROUNDUP('Monthly Growth'!I11,0),IF(Nonlabor!$I$17="Customers",'Monthly Growth'!D11,IF(Nonlabor!$I$17="NewCustomers",'Monthly Growth'!C11,IF(Nonlabor!$I$17="StorageGB",'Monthly Growth'!G11,IF(Nonlabor!$I$17="LogGB",'Monthly Growth'!H11,IF(Nonlabor!$I$17="RequestsM",'Monthly Growth'!F11,IF(Nonlabor!$I$17="InputM",'Monthly Growth'!D11*Assumptions!$E$22/1000000,IF(Nonlabor!$I$17="OutputM",'Monthly Growth'!D11*Assumptions!$E$23/1000000,0))))))))),0)</f>
        <v>0</v>
      </c>
      <c r="F3311" s="10" t="n">
        <f aca="false">Nonlabor!$J$17*(1+Assumptions!$E$9)^INT((C3311-1)/12)</f>
        <v>18000</v>
      </c>
      <c r="G3311" s="10" t="n">
        <f aca="false">E3311*F3311</f>
        <v>0</v>
      </c>
      <c r="H3311" s="10" t="n">
        <f aca="false">IF(OR(Nonlabor!$L$17="Quote required",Nonlabor!$L$17="Unverified"),G3311,0)</f>
        <v>0</v>
      </c>
      <c r="I3311" s="10" t="n">
        <f aca="false">IF(Nonlabor!$E$17="Core",0,G3311)</f>
        <v>0</v>
      </c>
      <c r="J3311" s="23" t="str">
        <f aca="false">Nonlabor!$B$17</f>
        <v>SECURITY</v>
      </c>
    </row>
    <row r="3312" customFormat="false" ht="15" hidden="false" customHeight="false" outlineLevel="0" collapsed="false">
      <c r="A3312" s="6" t="s">
        <v>73</v>
      </c>
      <c r="B3312" s="6" t="s">
        <v>410</v>
      </c>
      <c r="C3312" s="6" t="n">
        <v>7</v>
      </c>
      <c r="D3312" s="25" t="n">
        <f aca="false">EDATE('Start Here'!$B$6,C3312-1)</f>
        <v>46508</v>
      </c>
      <c r="E3312" s="23" t="n">
        <f aca="false">IF(AND(OR(Nonlabor!$D$17="Both",Nonlabor!$D$17='Start Here'!$B$9),IF(Nonlabor!$E$17="Core",1,IF(Nonlabor!$E$17="AI",'Start Here'!$B$7,'Start Here'!$B$8))=1,C3312&gt;=IF(Nonlabor!$E$17="Core",Nonlabor!$F$17,MAX(Nonlabor!$F$17,IF(Nonlabor!$E$17="AI",Assumptions!$E$24,Assumptions!$E$25))),C3312&lt;=Nonlabor!$G$17,OR(Nonlabor!$H$17="Monthly",AND(Nonlabor!$H$17="Once",C3312=IF(Nonlabor!$E$17="Core",Nonlabor!$F$17,MAX(Nonlabor!$F$17,IF(Nonlabor!$E$17="AI",Assumptions!$E$24,Assumptions!$E$25)))),AND(Nonlabor!$H$17="Annual",MOD(C3312-IF(Nonlabor!$E$17="Core",Nonlabor!$F$17,MAX(Nonlabor!$F$17,IF(Nonlabor!$E$17="AI",Assumptions!$E$24,Assumptions!$E$25))),12)=0))),IF(Nonlabor!$I$17="Fixed",1,IF(Nonlabor!$I$17="Seats",ROUNDUP('Monthly Growth'!I12,0),IF(Nonlabor!$I$17="Customers",'Monthly Growth'!D12,IF(Nonlabor!$I$17="NewCustomers",'Monthly Growth'!C12,IF(Nonlabor!$I$17="StorageGB",'Monthly Growth'!G12,IF(Nonlabor!$I$17="LogGB",'Monthly Growth'!H12,IF(Nonlabor!$I$17="RequestsM",'Monthly Growth'!F12,IF(Nonlabor!$I$17="InputM",'Monthly Growth'!D12*Assumptions!$E$22/1000000,IF(Nonlabor!$I$17="OutputM",'Monthly Growth'!D12*Assumptions!$E$23/1000000,0))))))))),0)</f>
        <v>0</v>
      </c>
      <c r="F3312" s="10" t="n">
        <f aca="false">Nonlabor!$J$17*(1+Assumptions!$E$9)^INT((C3312-1)/12)</f>
        <v>18000</v>
      </c>
      <c r="G3312" s="10" t="n">
        <f aca="false">E3312*F3312</f>
        <v>0</v>
      </c>
      <c r="H3312" s="10" t="n">
        <f aca="false">IF(OR(Nonlabor!$L$17="Quote required",Nonlabor!$L$17="Unverified"),G3312,0)</f>
        <v>0</v>
      </c>
      <c r="I3312" s="10" t="n">
        <f aca="false">IF(Nonlabor!$E$17="Core",0,G3312)</f>
        <v>0</v>
      </c>
      <c r="J3312" s="23" t="str">
        <f aca="false">Nonlabor!$B$17</f>
        <v>SECURITY</v>
      </c>
    </row>
    <row r="3313" customFormat="false" ht="15" hidden="false" customHeight="false" outlineLevel="0" collapsed="false">
      <c r="A3313" s="6" t="s">
        <v>73</v>
      </c>
      <c r="B3313" s="6" t="s">
        <v>410</v>
      </c>
      <c r="C3313" s="6" t="n">
        <v>8</v>
      </c>
      <c r="D3313" s="25" t="n">
        <f aca="false">EDATE('Start Here'!$B$6,C3313-1)</f>
        <v>46539</v>
      </c>
      <c r="E3313" s="23" t="n">
        <f aca="false">IF(AND(OR(Nonlabor!$D$17="Both",Nonlabor!$D$17='Start Here'!$B$9),IF(Nonlabor!$E$17="Core",1,IF(Nonlabor!$E$17="AI",'Start Here'!$B$7,'Start Here'!$B$8))=1,C3313&gt;=IF(Nonlabor!$E$17="Core",Nonlabor!$F$17,MAX(Nonlabor!$F$17,IF(Nonlabor!$E$17="AI",Assumptions!$E$24,Assumptions!$E$25))),C3313&lt;=Nonlabor!$G$17,OR(Nonlabor!$H$17="Monthly",AND(Nonlabor!$H$17="Once",C3313=IF(Nonlabor!$E$17="Core",Nonlabor!$F$17,MAX(Nonlabor!$F$17,IF(Nonlabor!$E$17="AI",Assumptions!$E$24,Assumptions!$E$25)))),AND(Nonlabor!$H$17="Annual",MOD(C3313-IF(Nonlabor!$E$17="Core",Nonlabor!$F$17,MAX(Nonlabor!$F$17,IF(Nonlabor!$E$17="AI",Assumptions!$E$24,Assumptions!$E$25))),12)=0))),IF(Nonlabor!$I$17="Fixed",1,IF(Nonlabor!$I$17="Seats",ROUNDUP('Monthly Growth'!I13,0),IF(Nonlabor!$I$17="Customers",'Monthly Growth'!D13,IF(Nonlabor!$I$17="NewCustomers",'Monthly Growth'!C13,IF(Nonlabor!$I$17="StorageGB",'Monthly Growth'!G13,IF(Nonlabor!$I$17="LogGB",'Monthly Growth'!H13,IF(Nonlabor!$I$17="RequestsM",'Monthly Growth'!F13,IF(Nonlabor!$I$17="InputM",'Monthly Growth'!D13*Assumptions!$E$22/1000000,IF(Nonlabor!$I$17="OutputM",'Monthly Growth'!D13*Assumptions!$E$23/1000000,0))))))))),0)</f>
        <v>0</v>
      </c>
      <c r="F3313" s="10" t="n">
        <f aca="false">Nonlabor!$J$17*(1+Assumptions!$E$9)^INT((C3313-1)/12)</f>
        <v>18000</v>
      </c>
      <c r="G3313" s="10" t="n">
        <f aca="false">E3313*F3313</f>
        <v>0</v>
      </c>
      <c r="H3313" s="10" t="n">
        <f aca="false">IF(OR(Nonlabor!$L$17="Quote required",Nonlabor!$L$17="Unverified"),G3313,0)</f>
        <v>0</v>
      </c>
      <c r="I3313" s="10" t="n">
        <f aca="false">IF(Nonlabor!$E$17="Core",0,G3313)</f>
        <v>0</v>
      </c>
      <c r="J3313" s="23" t="str">
        <f aca="false">Nonlabor!$B$17</f>
        <v>SECURITY</v>
      </c>
    </row>
    <row r="3314" customFormat="false" ht="15" hidden="false" customHeight="false" outlineLevel="0" collapsed="false">
      <c r="A3314" s="6" t="s">
        <v>73</v>
      </c>
      <c r="B3314" s="6" t="s">
        <v>410</v>
      </c>
      <c r="C3314" s="6" t="n">
        <v>9</v>
      </c>
      <c r="D3314" s="25" t="n">
        <f aca="false">EDATE('Start Here'!$B$6,C3314-1)</f>
        <v>46569</v>
      </c>
      <c r="E3314" s="23" t="n">
        <f aca="false">IF(AND(OR(Nonlabor!$D$17="Both",Nonlabor!$D$17='Start Here'!$B$9),IF(Nonlabor!$E$17="Core",1,IF(Nonlabor!$E$17="AI",'Start Here'!$B$7,'Start Here'!$B$8))=1,C3314&gt;=IF(Nonlabor!$E$17="Core",Nonlabor!$F$17,MAX(Nonlabor!$F$17,IF(Nonlabor!$E$17="AI",Assumptions!$E$24,Assumptions!$E$25))),C3314&lt;=Nonlabor!$G$17,OR(Nonlabor!$H$17="Monthly",AND(Nonlabor!$H$17="Once",C3314=IF(Nonlabor!$E$17="Core",Nonlabor!$F$17,MAX(Nonlabor!$F$17,IF(Nonlabor!$E$17="AI",Assumptions!$E$24,Assumptions!$E$25)))),AND(Nonlabor!$H$17="Annual",MOD(C3314-IF(Nonlabor!$E$17="Core",Nonlabor!$F$17,MAX(Nonlabor!$F$17,IF(Nonlabor!$E$17="AI",Assumptions!$E$24,Assumptions!$E$25))),12)=0))),IF(Nonlabor!$I$17="Fixed",1,IF(Nonlabor!$I$17="Seats",ROUNDUP('Monthly Growth'!I14,0),IF(Nonlabor!$I$17="Customers",'Monthly Growth'!D14,IF(Nonlabor!$I$17="NewCustomers",'Monthly Growth'!C14,IF(Nonlabor!$I$17="StorageGB",'Monthly Growth'!G14,IF(Nonlabor!$I$17="LogGB",'Monthly Growth'!H14,IF(Nonlabor!$I$17="RequestsM",'Monthly Growth'!F14,IF(Nonlabor!$I$17="InputM",'Monthly Growth'!D14*Assumptions!$E$22/1000000,IF(Nonlabor!$I$17="OutputM",'Monthly Growth'!D14*Assumptions!$E$23/1000000,0))))))))),0)</f>
        <v>0</v>
      </c>
      <c r="F3314" s="10" t="n">
        <f aca="false">Nonlabor!$J$17*(1+Assumptions!$E$9)^INT((C3314-1)/12)</f>
        <v>18000</v>
      </c>
      <c r="G3314" s="10" t="n">
        <f aca="false">E3314*F3314</f>
        <v>0</v>
      </c>
      <c r="H3314" s="10" t="n">
        <f aca="false">IF(OR(Nonlabor!$L$17="Quote required",Nonlabor!$L$17="Unverified"),G3314,0)</f>
        <v>0</v>
      </c>
      <c r="I3314" s="10" t="n">
        <f aca="false">IF(Nonlabor!$E$17="Core",0,G3314)</f>
        <v>0</v>
      </c>
      <c r="J3314" s="23" t="str">
        <f aca="false">Nonlabor!$B$17</f>
        <v>SECURITY</v>
      </c>
    </row>
    <row r="3315" customFormat="false" ht="15" hidden="false" customHeight="false" outlineLevel="0" collapsed="false">
      <c r="A3315" s="6" t="s">
        <v>73</v>
      </c>
      <c r="B3315" s="6" t="s">
        <v>410</v>
      </c>
      <c r="C3315" s="6" t="n">
        <v>10</v>
      </c>
      <c r="D3315" s="25" t="n">
        <f aca="false">EDATE('Start Here'!$B$6,C3315-1)</f>
        <v>46600</v>
      </c>
      <c r="E3315" s="23" t="n">
        <f aca="false">IF(AND(OR(Nonlabor!$D$17="Both",Nonlabor!$D$17='Start Here'!$B$9),IF(Nonlabor!$E$17="Core",1,IF(Nonlabor!$E$17="AI",'Start Here'!$B$7,'Start Here'!$B$8))=1,C3315&gt;=IF(Nonlabor!$E$17="Core",Nonlabor!$F$17,MAX(Nonlabor!$F$17,IF(Nonlabor!$E$17="AI",Assumptions!$E$24,Assumptions!$E$25))),C3315&lt;=Nonlabor!$G$17,OR(Nonlabor!$H$17="Monthly",AND(Nonlabor!$H$17="Once",C3315=IF(Nonlabor!$E$17="Core",Nonlabor!$F$17,MAX(Nonlabor!$F$17,IF(Nonlabor!$E$17="AI",Assumptions!$E$24,Assumptions!$E$25)))),AND(Nonlabor!$H$17="Annual",MOD(C3315-IF(Nonlabor!$E$17="Core",Nonlabor!$F$17,MAX(Nonlabor!$F$17,IF(Nonlabor!$E$17="AI",Assumptions!$E$24,Assumptions!$E$25))),12)=0))),IF(Nonlabor!$I$17="Fixed",1,IF(Nonlabor!$I$17="Seats",ROUNDUP('Monthly Growth'!I15,0),IF(Nonlabor!$I$17="Customers",'Monthly Growth'!D15,IF(Nonlabor!$I$17="NewCustomers",'Monthly Growth'!C15,IF(Nonlabor!$I$17="StorageGB",'Monthly Growth'!G15,IF(Nonlabor!$I$17="LogGB",'Monthly Growth'!H15,IF(Nonlabor!$I$17="RequestsM",'Monthly Growth'!F15,IF(Nonlabor!$I$17="InputM",'Monthly Growth'!D15*Assumptions!$E$22/1000000,IF(Nonlabor!$I$17="OutputM",'Monthly Growth'!D15*Assumptions!$E$23/1000000,0))))))))),0)</f>
        <v>1</v>
      </c>
      <c r="F3315" s="10" t="n">
        <f aca="false">Nonlabor!$J$17*(1+Assumptions!$E$9)^INT((C3315-1)/12)</f>
        <v>18000</v>
      </c>
      <c r="G3315" s="10" t="n">
        <f aca="false">E3315*F3315</f>
        <v>18000</v>
      </c>
      <c r="H3315" s="10" t="n">
        <f aca="false">IF(OR(Nonlabor!$L$17="Quote required",Nonlabor!$L$17="Unverified"),G3315,0)</f>
        <v>18000</v>
      </c>
      <c r="I3315" s="10" t="n">
        <f aca="false">IF(Nonlabor!$E$17="Core",0,G3315)</f>
        <v>0</v>
      </c>
      <c r="J3315" s="23" t="str">
        <f aca="false">Nonlabor!$B$17</f>
        <v>SECURITY</v>
      </c>
    </row>
    <row r="3316" customFormat="false" ht="15" hidden="false" customHeight="false" outlineLevel="0" collapsed="false">
      <c r="A3316" s="6" t="s">
        <v>73</v>
      </c>
      <c r="B3316" s="6" t="s">
        <v>410</v>
      </c>
      <c r="C3316" s="6" t="n">
        <v>11</v>
      </c>
      <c r="D3316" s="25" t="n">
        <f aca="false">EDATE('Start Here'!$B$6,C3316-1)</f>
        <v>46631</v>
      </c>
      <c r="E3316" s="23" t="n">
        <f aca="false">IF(AND(OR(Nonlabor!$D$17="Both",Nonlabor!$D$17='Start Here'!$B$9),IF(Nonlabor!$E$17="Core",1,IF(Nonlabor!$E$17="AI",'Start Here'!$B$7,'Start Here'!$B$8))=1,C3316&gt;=IF(Nonlabor!$E$17="Core",Nonlabor!$F$17,MAX(Nonlabor!$F$17,IF(Nonlabor!$E$17="AI",Assumptions!$E$24,Assumptions!$E$25))),C3316&lt;=Nonlabor!$G$17,OR(Nonlabor!$H$17="Monthly",AND(Nonlabor!$H$17="Once",C3316=IF(Nonlabor!$E$17="Core",Nonlabor!$F$17,MAX(Nonlabor!$F$17,IF(Nonlabor!$E$17="AI",Assumptions!$E$24,Assumptions!$E$25)))),AND(Nonlabor!$H$17="Annual",MOD(C3316-IF(Nonlabor!$E$17="Core",Nonlabor!$F$17,MAX(Nonlabor!$F$17,IF(Nonlabor!$E$17="AI",Assumptions!$E$24,Assumptions!$E$25))),12)=0))),IF(Nonlabor!$I$17="Fixed",1,IF(Nonlabor!$I$17="Seats",ROUNDUP('Monthly Growth'!I16,0),IF(Nonlabor!$I$17="Customers",'Monthly Growth'!D16,IF(Nonlabor!$I$17="NewCustomers",'Monthly Growth'!C16,IF(Nonlabor!$I$17="StorageGB",'Monthly Growth'!G16,IF(Nonlabor!$I$17="LogGB",'Monthly Growth'!H16,IF(Nonlabor!$I$17="RequestsM",'Monthly Growth'!F16,IF(Nonlabor!$I$17="InputM",'Monthly Growth'!D16*Assumptions!$E$22/1000000,IF(Nonlabor!$I$17="OutputM",'Monthly Growth'!D16*Assumptions!$E$23/1000000,0))))))))),0)</f>
        <v>0</v>
      </c>
      <c r="F3316" s="10" t="n">
        <f aca="false">Nonlabor!$J$17*(1+Assumptions!$E$9)^INT((C3316-1)/12)</f>
        <v>18000</v>
      </c>
      <c r="G3316" s="10" t="n">
        <f aca="false">E3316*F3316</f>
        <v>0</v>
      </c>
      <c r="H3316" s="10" t="n">
        <f aca="false">IF(OR(Nonlabor!$L$17="Quote required",Nonlabor!$L$17="Unverified"),G3316,0)</f>
        <v>0</v>
      </c>
      <c r="I3316" s="10" t="n">
        <f aca="false">IF(Nonlabor!$E$17="Core",0,G3316)</f>
        <v>0</v>
      </c>
      <c r="J3316" s="23" t="str">
        <f aca="false">Nonlabor!$B$17</f>
        <v>SECURITY</v>
      </c>
    </row>
    <row r="3317" customFormat="false" ht="15" hidden="false" customHeight="false" outlineLevel="0" collapsed="false">
      <c r="A3317" s="6" t="s">
        <v>73</v>
      </c>
      <c r="B3317" s="6" t="s">
        <v>410</v>
      </c>
      <c r="C3317" s="6" t="n">
        <v>12</v>
      </c>
      <c r="D3317" s="25" t="n">
        <f aca="false">EDATE('Start Here'!$B$6,C3317-1)</f>
        <v>46661</v>
      </c>
      <c r="E3317" s="23" t="n">
        <f aca="false">IF(AND(OR(Nonlabor!$D$17="Both",Nonlabor!$D$17='Start Here'!$B$9),IF(Nonlabor!$E$17="Core",1,IF(Nonlabor!$E$17="AI",'Start Here'!$B$7,'Start Here'!$B$8))=1,C3317&gt;=IF(Nonlabor!$E$17="Core",Nonlabor!$F$17,MAX(Nonlabor!$F$17,IF(Nonlabor!$E$17="AI",Assumptions!$E$24,Assumptions!$E$25))),C3317&lt;=Nonlabor!$G$17,OR(Nonlabor!$H$17="Monthly",AND(Nonlabor!$H$17="Once",C3317=IF(Nonlabor!$E$17="Core",Nonlabor!$F$17,MAX(Nonlabor!$F$17,IF(Nonlabor!$E$17="AI",Assumptions!$E$24,Assumptions!$E$25)))),AND(Nonlabor!$H$17="Annual",MOD(C3317-IF(Nonlabor!$E$17="Core",Nonlabor!$F$17,MAX(Nonlabor!$F$17,IF(Nonlabor!$E$17="AI",Assumptions!$E$24,Assumptions!$E$25))),12)=0))),IF(Nonlabor!$I$17="Fixed",1,IF(Nonlabor!$I$17="Seats",ROUNDUP('Monthly Growth'!I17,0),IF(Nonlabor!$I$17="Customers",'Monthly Growth'!D17,IF(Nonlabor!$I$17="NewCustomers",'Monthly Growth'!C17,IF(Nonlabor!$I$17="StorageGB",'Monthly Growth'!G17,IF(Nonlabor!$I$17="LogGB",'Monthly Growth'!H17,IF(Nonlabor!$I$17="RequestsM",'Monthly Growth'!F17,IF(Nonlabor!$I$17="InputM",'Monthly Growth'!D17*Assumptions!$E$22/1000000,IF(Nonlabor!$I$17="OutputM",'Monthly Growth'!D17*Assumptions!$E$23/1000000,0))))))))),0)</f>
        <v>0</v>
      </c>
      <c r="F3317" s="10" t="n">
        <f aca="false">Nonlabor!$J$17*(1+Assumptions!$E$9)^INT((C3317-1)/12)</f>
        <v>18000</v>
      </c>
      <c r="G3317" s="10" t="n">
        <f aca="false">E3317*F3317</f>
        <v>0</v>
      </c>
      <c r="H3317" s="10" t="n">
        <f aca="false">IF(OR(Nonlabor!$L$17="Quote required",Nonlabor!$L$17="Unverified"),G3317,0)</f>
        <v>0</v>
      </c>
      <c r="I3317" s="10" t="n">
        <f aca="false">IF(Nonlabor!$E$17="Core",0,G3317)</f>
        <v>0</v>
      </c>
      <c r="J3317" s="23" t="str">
        <f aca="false">Nonlabor!$B$17</f>
        <v>SECURITY</v>
      </c>
    </row>
    <row r="3318" customFormat="false" ht="15" hidden="false" customHeight="false" outlineLevel="0" collapsed="false">
      <c r="A3318" s="6" t="s">
        <v>73</v>
      </c>
      <c r="B3318" s="6" t="s">
        <v>410</v>
      </c>
      <c r="C3318" s="6" t="n">
        <v>13</v>
      </c>
      <c r="D3318" s="25" t="n">
        <f aca="false">EDATE('Start Here'!$B$6,C3318-1)</f>
        <v>46692</v>
      </c>
      <c r="E3318" s="23" t="n">
        <f aca="false">IF(AND(OR(Nonlabor!$D$17="Both",Nonlabor!$D$17='Start Here'!$B$9),IF(Nonlabor!$E$17="Core",1,IF(Nonlabor!$E$17="AI",'Start Here'!$B$7,'Start Here'!$B$8))=1,C3318&gt;=IF(Nonlabor!$E$17="Core",Nonlabor!$F$17,MAX(Nonlabor!$F$17,IF(Nonlabor!$E$17="AI",Assumptions!$E$24,Assumptions!$E$25))),C3318&lt;=Nonlabor!$G$17,OR(Nonlabor!$H$17="Monthly",AND(Nonlabor!$H$17="Once",C3318=IF(Nonlabor!$E$17="Core",Nonlabor!$F$17,MAX(Nonlabor!$F$17,IF(Nonlabor!$E$17="AI",Assumptions!$E$24,Assumptions!$E$25)))),AND(Nonlabor!$H$17="Annual",MOD(C3318-IF(Nonlabor!$E$17="Core",Nonlabor!$F$17,MAX(Nonlabor!$F$17,IF(Nonlabor!$E$17="AI",Assumptions!$E$24,Assumptions!$E$25))),12)=0))),IF(Nonlabor!$I$17="Fixed",1,IF(Nonlabor!$I$17="Seats",ROUNDUP('Monthly Growth'!I18,0),IF(Nonlabor!$I$17="Customers",'Monthly Growth'!D18,IF(Nonlabor!$I$17="NewCustomers",'Monthly Growth'!C18,IF(Nonlabor!$I$17="StorageGB",'Monthly Growth'!G18,IF(Nonlabor!$I$17="LogGB",'Monthly Growth'!H18,IF(Nonlabor!$I$17="RequestsM",'Monthly Growth'!F18,IF(Nonlabor!$I$17="InputM",'Monthly Growth'!D18*Assumptions!$E$22/1000000,IF(Nonlabor!$I$17="OutputM",'Monthly Growth'!D18*Assumptions!$E$23/1000000,0))))))))),0)</f>
        <v>0</v>
      </c>
      <c r="F3318" s="10" t="n">
        <f aca="false">Nonlabor!$J$17*(1+Assumptions!$E$9)^INT((C3318-1)/12)</f>
        <v>18720</v>
      </c>
      <c r="G3318" s="10" t="n">
        <f aca="false">E3318*F3318</f>
        <v>0</v>
      </c>
      <c r="H3318" s="10" t="n">
        <f aca="false">IF(OR(Nonlabor!$L$17="Quote required",Nonlabor!$L$17="Unverified"),G3318,0)</f>
        <v>0</v>
      </c>
      <c r="I3318" s="10" t="n">
        <f aca="false">IF(Nonlabor!$E$17="Core",0,G3318)</f>
        <v>0</v>
      </c>
      <c r="J3318" s="23" t="str">
        <f aca="false">Nonlabor!$B$17</f>
        <v>SECURITY</v>
      </c>
    </row>
    <row r="3319" customFormat="false" ht="15" hidden="false" customHeight="false" outlineLevel="0" collapsed="false">
      <c r="A3319" s="6" t="s">
        <v>73</v>
      </c>
      <c r="B3319" s="6" t="s">
        <v>410</v>
      </c>
      <c r="C3319" s="6" t="n">
        <v>14</v>
      </c>
      <c r="D3319" s="25" t="n">
        <f aca="false">EDATE('Start Here'!$B$6,C3319-1)</f>
        <v>46722</v>
      </c>
      <c r="E3319" s="23" t="n">
        <f aca="false">IF(AND(OR(Nonlabor!$D$17="Both",Nonlabor!$D$17='Start Here'!$B$9),IF(Nonlabor!$E$17="Core",1,IF(Nonlabor!$E$17="AI",'Start Here'!$B$7,'Start Here'!$B$8))=1,C3319&gt;=IF(Nonlabor!$E$17="Core",Nonlabor!$F$17,MAX(Nonlabor!$F$17,IF(Nonlabor!$E$17="AI",Assumptions!$E$24,Assumptions!$E$25))),C3319&lt;=Nonlabor!$G$17,OR(Nonlabor!$H$17="Monthly",AND(Nonlabor!$H$17="Once",C3319=IF(Nonlabor!$E$17="Core",Nonlabor!$F$17,MAX(Nonlabor!$F$17,IF(Nonlabor!$E$17="AI",Assumptions!$E$24,Assumptions!$E$25)))),AND(Nonlabor!$H$17="Annual",MOD(C3319-IF(Nonlabor!$E$17="Core",Nonlabor!$F$17,MAX(Nonlabor!$F$17,IF(Nonlabor!$E$17="AI",Assumptions!$E$24,Assumptions!$E$25))),12)=0))),IF(Nonlabor!$I$17="Fixed",1,IF(Nonlabor!$I$17="Seats",ROUNDUP('Monthly Growth'!I19,0),IF(Nonlabor!$I$17="Customers",'Monthly Growth'!D19,IF(Nonlabor!$I$17="NewCustomers",'Monthly Growth'!C19,IF(Nonlabor!$I$17="StorageGB",'Monthly Growth'!G19,IF(Nonlabor!$I$17="LogGB",'Monthly Growth'!H19,IF(Nonlabor!$I$17="RequestsM",'Monthly Growth'!F19,IF(Nonlabor!$I$17="InputM",'Monthly Growth'!D19*Assumptions!$E$22/1000000,IF(Nonlabor!$I$17="OutputM",'Monthly Growth'!D19*Assumptions!$E$23/1000000,0))))))))),0)</f>
        <v>0</v>
      </c>
      <c r="F3319" s="10" t="n">
        <f aca="false">Nonlabor!$J$17*(1+Assumptions!$E$9)^INT((C3319-1)/12)</f>
        <v>18720</v>
      </c>
      <c r="G3319" s="10" t="n">
        <f aca="false">E3319*F3319</f>
        <v>0</v>
      </c>
      <c r="H3319" s="10" t="n">
        <f aca="false">IF(OR(Nonlabor!$L$17="Quote required",Nonlabor!$L$17="Unverified"),G3319,0)</f>
        <v>0</v>
      </c>
      <c r="I3319" s="10" t="n">
        <f aca="false">IF(Nonlabor!$E$17="Core",0,G3319)</f>
        <v>0</v>
      </c>
      <c r="J3319" s="23" t="str">
        <f aca="false">Nonlabor!$B$17</f>
        <v>SECURITY</v>
      </c>
    </row>
    <row r="3320" customFormat="false" ht="15" hidden="false" customHeight="false" outlineLevel="0" collapsed="false">
      <c r="A3320" s="6" t="s">
        <v>73</v>
      </c>
      <c r="B3320" s="6" t="s">
        <v>410</v>
      </c>
      <c r="C3320" s="6" t="n">
        <v>15</v>
      </c>
      <c r="D3320" s="25" t="n">
        <f aca="false">EDATE('Start Here'!$B$6,C3320-1)</f>
        <v>46753</v>
      </c>
      <c r="E3320" s="23" t="n">
        <f aca="false">IF(AND(OR(Nonlabor!$D$17="Both",Nonlabor!$D$17='Start Here'!$B$9),IF(Nonlabor!$E$17="Core",1,IF(Nonlabor!$E$17="AI",'Start Here'!$B$7,'Start Here'!$B$8))=1,C3320&gt;=IF(Nonlabor!$E$17="Core",Nonlabor!$F$17,MAX(Nonlabor!$F$17,IF(Nonlabor!$E$17="AI",Assumptions!$E$24,Assumptions!$E$25))),C3320&lt;=Nonlabor!$G$17,OR(Nonlabor!$H$17="Monthly",AND(Nonlabor!$H$17="Once",C3320=IF(Nonlabor!$E$17="Core",Nonlabor!$F$17,MAX(Nonlabor!$F$17,IF(Nonlabor!$E$17="AI",Assumptions!$E$24,Assumptions!$E$25)))),AND(Nonlabor!$H$17="Annual",MOD(C3320-IF(Nonlabor!$E$17="Core",Nonlabor!$F$17,MAX(Nonlabor!$F$17,IF(Nonlabor!$E$17="AI",Assumptions!$E$24,Assumptions!$E$25))),12)=0))),IF(Nonlabor!$I$17="Fixed",1,IF(Nonlabor!$I$17="Seats",ROUNDUP('Monthly Growth'!I20,0),IF(Nonlabor!$I$17="Customers",'Monthly Growth'!D20,IF(Nonlabor!$I$17="NewCustomers",'Monthly Growth'!C20,IF(Nonlabor!$I$17="StorageGB",'Monthly Growth'!G20,IF(Nonlabor!$I$17="LogGB",'Monthly Growth'!H20,IF(Nonlabor!$I$17="RequestsM",'Monthly Growth'!F20,IF(Nonlabor!$I$17="InputM",'Monthly Growth'!D20*Assumptions!$E$22/1000000,IF(Nonlabor!$I$17="OutputM",'Monthly Growth'!D20*Assumptions!$E$23/1000000,0))))))))),0)</f>
        <v>0</v>
      </c>
      <c r="F3320" s="10" t="n">
        <f aca="false">Nonlabor!$J$17*(1+Assumptions!$E$9)^INT((C3320-1)/12)</f>
        <v>18720</v>
      </c>
      <c r="G3320" s="10" t="n">
        <f aca="false">E3320*F3320</f>
        <v>0</v>
      </c>
      <c r="H3320" s="10" t="n">
        <f aca="false">IF(OR(Nonlabor!$L$17="Quote required",Nonlabor!$L$17="Unverified"),G3320,0)</f>
        <v>0</v>
      </c>
      <c r="I3320" s="10" t="n">
        <f aca="false">IF(Nonlabor!$E$17="Core",0,G3320)</f>
        <v>0</v>
      </c>
      <c r="J3320" s="23" t="str">
        <f aca="false">Nonlabor!$B$17</f>
        <v>SECURITY</v>
      </c>
    </row>
    <row r="3321" customFormat="false" ht="15" hidden="false" customHeight="false" outlineLevel="0" collapsed="false">
      <c r="A3321" s="6" t="s">
        <v>73</v>
      </c>
      <c r="B3321" s="6" t="s">
        <v>410</v>
      </c>
      <c r="C3321" s="6" t="n">
        <v>16</v>
      </c>
      <c r="D3321" s="25" t="n">
        <f aca="false">EDATE('Start Here'!$B$6,C3321-1)</f>
        <v>46784</v>
      </c>
      <c r="E3321" s="23" t="n">
        <f aca="false">IF(AND(OR(Nonlabor!$D$17="Both",Nonlabor!$D$17='Start Here'!$B$9),IF(Nonlabor!$E$17="Core",1,IF(Nonlabor!$E$17="AI",'Start Here'!$B$7,'Start Here'!$B$8))=1,C3321&gt;=IF(Nonlabor!$E$17="Core",Nonlabor!$F$17,MAX(Nonlabor!$F$17,IF(Nonlabor!$E$17="AI",Assumptions!$E$24,Assumptions!$E$25))),C3321&lt;=Nonlabor!$G$17,OR(Nonlabor!$H$17="Monthly",AND(Nonlabor!$H$17="Once",C3321=IF(Nonlabor!$E$17="Core",Nonlabor!$F$17,MAX(Nonlabor!$F$17,IF(Nonlabor!$E$17="AI",Assumptions!$E$24,Assumptions!$E$25)))),AND(Nonlabor!$H$17="Annual",MOD(C3321-IF(Nonlabor!$E$17="Core",Nonlabor!$F$17,MAX(Nonlabor!$F$17,IF(Nonlabor!$E$17="AI",Assumptions!$E$24,Assumptions!$E$25))),12)=0))),IF(Nonlabor!$I$17="Fixed",1,IF(Nonlabor!$I$17="Seats",ROUNDUP('Monthly Growth'!I21,0),IF(Nonlabor!$I$17="Customers",'Monthly Growth'!D21,IF(Nonlabor!$I$17="NewCustomers",'Monthly Growth'!C21,IF(Nonlabor!$I$17="StorageGB",'Monthly Growth'!G21,IF(Nonlabor!$I$17="LogGB",'Monthly Growth'!H21,IF(Nonlabor!$I$17="RequestsM",'Monthly Growth'!F21,IF(Nonlabor!$I$17="InputM",'Monthly Growth'!D21*Assumptions!$E$22/1000000,IF(Nonlabor!$I$17="OutputM",'Monthly Growth'!D21*Assumptions!$E$23/1000000,0))))))))),0)</f>
        <v>0</v>
      </c>
      <c r="F3321" s="10" t="n">
        <f aca="false">Nonlabor!$J$17*(1+Assumptions!$E$9)^INT((C3321-1)/12)</f>
        <v>18720</v>
      </c>
      <c r="G3321" s="10" t="n">
        <f aca="false">E3321*F3321</f>
        <v>0</v>
      </c>
      <c r="H3321" s="10" t="n">
        <f aca="false">IF(OR(Nonlabor!$L$17="Quote required",Nonlabor!$L$17="Unverified"),G3321,0)</f>
        <v>0</v>
      </c>
      <c r="I3321" s="10" t="n">
        <f aca="false">IF(Nonlabor!$E$17="Core",0,G3321)</f>
        <v>0</v>
      </c>
      <c r="J3321" s="23" t="str">
        <f aca="false">Nonlabor!$B$17</f>
        <v>SECURITY</v>
      </c>
    </row>
    <row r="3322" customFormat="false" ht="15" hidden="false" customHeight="false" outlineLevel="0" collapsed="false">
      <c r="A3322" s="6" t="s">
        <v>73</v>
      </c>
      <c r="B3322" s="6" t="s">
        <v>410</v>
      </c>
      <c r="C3322" s="6" t="n">
        <v>17</v>
      </c>
      <c r="D3322" s="25" t="n">
        <f aca="false">EDATE('Start Here'!$B$6,C3322-1)</f>
        <v>46813</v>
      </c>
      <c r="E3322" s="23" t="n">
        <f aca="false">IF(AND(OR(Nonlabor!$D$17="Both",Nonlabor!$D$17='Start Here'!$B$9),IF(Nonlabor!$E$17="Core",1,IF(Nonlabor!$E$17="AI",'Start Here'!$B$7,'Start Here'!$B$8))=1,C3322&gt;=IF(Nonlabor!$E$17="Core",Nonlabor!$F$17,MAX(Nonlabor!$F$17,IF(Nonlabor!$E$17="AI",Assumptions!$E$24,Assumptions!$E$25))),C3322&lt;=Nonlabor!$G$17,OR(Nonlabor!$H$17="Monthly",AND(Nonlabor!$H$17="Once",C3322=IF(Nonlabor!$E$17="Core",Nonlabor!$F$17,MAX(Nonlabor!$F$17,IF(Nonlabor!$E$17="AI",Assumptions!$E$24,Assumptions!$E$25)))),AND(Nonlabor!$H$17="Annual",MOD(C3322-IF(Nonlabor!$E$17="Core",Nonlabor!$F$17,MAX(Nonlabor!$F$17,IF(Nonlabor!$E$17="AI",Assumptions!$E$24,Assumptions!$E$25))),12)=0))),IF(Nonlabor!$I$17="Fixed",1,IF(Nonlabor!$I$17="Seats",ROUNDUP('Monthly Growth'!I22,0),IF(Nonlabor!$I$17="Customers",'Monthly Growth'!D22,IF(Nonlabor!$I$17="NewCustomers",'Monthly Growth'!C22,IF(Nonlabor!$I$17="StorageGB",'Monthly Growth'!G22,IF(Nonlabor!$I$17="LogGB",'Monthly Growth'!H22,IF(Nonlabor!$I$17="RequestsM",'Monthly Growth'!F22,IF(Nonlabor!$I$17="InputM",'Monthly Growth'!D22*Assumptions!$E$22/1000000,IF(Nonlabor!$I$17="OutputM",'Monthly Growth'!D22*Assumptions!$E$23/1000000,0))))))))),0)</f>
        <v>0</v>
      </c>
      <c r="F3322" s="10" t="n">
        <f aca="false">Nonlabor!$J$17*(1+Assumptions!$E$9)^INT((C3322-1)/12)</f>
        <v>18720</v>
      </c>
      <c r="G3322" s="10" t="n">
        <f aca="false">E3322*F3322</f>
        <v>0</v>
      </c>
      <c r="H3322" s="10" t="n">
        <f aca="false">IF(OR(Nonlabor!$L$17="Quote required",Nonlabor!$L$17="Unverified"),G3322,0)</f>
        <v>0</v>
      </c>
      <c r="I3322" s="10" t="n">
        <f aca="false">IF(Nonlabor!$E$17="Core",0,G3322)</f>
        <v>0</v>
      </c>
      <c r="J3322" s="23" t="str">
        <f aca="false">Nonlabor!$B$17</f>
        <v>SECURITY</v>
      </c>
    </row>
    <row r="3323" customFormat="false" ht="15" hidden="false" customHeight="false" outlineLevel="0" collapsed="false">
      <c r="A3323" s="6" t="s">
        <v>73</v>
      </c>
      <c r="B3323" s="6" t="s">
        <v>410</v>
      </c>
      <c r="C3323" s="6" t="n">
        <v>18</v>
      </c>
      <c r="D3323" s="25" t="n">
        <f aca="false">EDATE('Start Here'!$B$6,C3323-1)</f>
        <v>46844</v>
      </c>
      <c r="E3323" s="23" t="n">
        <f aca="false">IF(AND(OR(Nonlabor!$D$17="Both",Nonlabor!$D$17='Start Here'!$B$9),IF(Nonlabor!$E$17="Core",1,IF(Nonlabor!$E$17="AI",'Start Here'!$B$7,'Start Here'!$B$8))=1,C3323&gt;=IF(Nonlabor!$E$17="Core",Nonlabor!$F$17,MAX(Nonlabor!$F$17,IF(Nonlabor!$E$17="AI",Assumptions!$E$24,Assumptions!$E$25))),C3323&lt;=Nonlabor!$G$17,OR(Nonlabor!$H$17="Monthly",AND(Nonlabor!$H$17="Once",C3323=IF(Nonlabor!$E$17="Core",Nonlabor!$F$17,MAX(Nonlabor!$F$17,IF(Nonlabor!$E$17="AI",Assumptions!$E$24,Assumptions!$E$25)))),AND(Nonlabor!$H$17="Annual",MOD(C3323-IF(Nonlabor!$E$17="Core",Nonlabor!$F$17,MAX(Nonlabor!$F$17,IF(Nonlabor!$E$17="AI",Assumptions!$E$24,Assumptions!$E$25))),12)=0))),IF(Nonlabor!$I$17="Fixed",1,IF(Nonlabor!$I$17="Seats",ROUNDUP('Monthly Growth'!I23,0),IF(Nonlabor!$I$17="Customers",'Monthly Growth'!D23,IF(Nonlabor!$I$17="NewCustomers",'Monthly Growth'!C23,IF(Nonlabor!$I$17="StorageGB",'Monthly Growth'!G23,IF(Nonlabor!$I$17="LogGB",'Monthly Growth'!H23,IF(Nonlabor!$I$17="RequestsM",'Monthly Growth'!F23,IF(Nonlabor!$I$17="InputM",'Monthly Growth'!D23*Assumptions!$E$22/1000000,IF(Nonlabor!$I$17="OutputM",'Monthly Growth'!D23*Assumptions!$E$23/1000000,0))))))))),0)</f>
        <v>0</v>
      </c>
      <c r="F3323" s="10" t="n">
        <f aca="false">Nonlabor!$J$17*(1+Assumptions!$E$9)^INT((C3323-1)/12)</f>
        <v>18720</v>
      </c>
      <c r="G3323" s="10" t="n">
        <f aca="false">E3323*F3323</f>
        <v>0</v>
      </c>
      <c r="H3323" s="10" t="n">
        <f aca="false">IF(OR(Nonlabor!$L$17="Quote required",Nonlabor!$L$17="Unverified"),G3323,0)</f>
        <v>0</v>
      </c>
      <c r="I3323" s="10" t="n">
        <f aca="false">IF(Nonlabor!$E$17="Core",0,G3323)</f>
        <v>0</v>
      </c>
      <c r="J3323" s="23" t="str">
        <f aca="false">Nonlabor!$B$17</f>
        <v>SECURITY</v>
      </c>
    </row>
    <row r="3324" customFormat="false" ht="15" hidden="false" customHeight="false" outlineLevel="0" collapsed="false">
      <c r="A3324" s="6" t="s">
        <v>73</v>
      </c>
      <c r="B3324" s="6" t="s">
        <v>410</v>
      </c>
      <c r="C3324" s="6" t="n">
        <v>19</v>
      </c>
      <c r="D3324" s="25" t="n">
        <f aca="false">EDATE('Start Here'!$B$6,C3324-1)</f>
        <v>46874</v>
      </c>
      <c r="E3324" s="23" t="n">
        <f aca="false">IF(AND(OR(Nonlabor!$D$17="Both",Nonlabor!$D$17='Start Here'!$B$9),IF(Nonlabor!$E$17="Core",1,IF(Nonlabor!$E$17="AI",'Start Here'!$B$7,'Start Here'!$B$8))=1,C3324&gt;=IF(Nonlabor!$E$17="Core",Nonlabor!$F$17,MAX(Nonlabor!$F$17,IF(Nonlabor!$E$17="AI",Assumptions!$E$24,Assumptions!$E$25))),C3324&lt;=Nonlabor!$G$17,OR(Nonlabor!$H$17="Monthly",AND(Nonlabor!$H$17="Once",C3324=IF(Nonlabor!$E$17="Core",Nonlabor!$F$17,MAX(Nonlabor!$F$17,IF(Nonlabor!$E$17="AI",Assumptions!$E$24,Assumptions!$E$25)))),AND(Nonlabor!$H$17="Annual",MOD(C3324-IF(Nonlabor!$E$17="Core",Nonlabor!$F$17,MAX(Nonlabor!$F$17,IF(Nonlabor!$E$17="AI",Assumptions!$E$24,Assumptions!$E$25))),12)=0))),IF(Nonlabor!$I$17="Fixed",1,IF(Nonlabor!$I$17="Seats",ROUNDUP('Monthly Growth'!I24,0),IF(Nonlabor!$I$17="Customers",'Monthly Growth'!D24,IF(Nonlabor!$I$17="NewCustomers",'Monthly Growth'!C24,IF(Nonlabor!$I$17="StorageGB",'Monthly Growth'!G24,IF(Nonlabor!$I$17="LogGB",'Monthly Growth'!H24,IF(Nonlabor!$I$17="RequestsM",'Monthly Growth'!F24,IF(Nonlabor!$I$17="InputM",'Monthly Growth'!D24*Assumptions!$E$22/1000000,IF(Nonlabor!$I$17="OutputM",'Monthly Growth'!D24*Assumptions!$E$23/1000000,0))))))))),0)</f>
        <v>0</v>
      </c>
      <c r="F3324" s="10" t="n">
        <f aca="false">Nonlabor!$J$17*(1+Assumptions!$E$9)^INT((C3324-1)/12)</f>
        <v>18720</v>
      </c>
      <c r="G3324" s="10" t="n">
        <f aca="false">E3324*F3324</f>
        <v>0</v>
      </c>
      <c r="H3324" s="10" t="n">
        <f aca="false">IF(OR(Nonlabor!$L$17="Quote required",Nonlabor!$L$17="Unverified"),G3324,0)</f>
        <v>0</v>
      </c>
      <c r="I3324" s="10" t="n">
        <f aca="false">IF(Nonlabor!$E$17="Core",0,G3324)</f>
        <v>0</v>
      </c>
      <c r="J3324" s="23" t="str">
        <f aca="false">Nonlabor!$B$17</f>
        <v>SECURITY</v>
      </c>
    </row>
    <row r="3325" customFormat="false" ht="15" hidden="false" customHeight="false" outlineLevel="0" collapsed="false">
      <c r="A3325" s="6" t="s">
        <v>73</v>
      </c>
      <c r="B3325" s="6" t="s">
        <v>410</v>
      </c>
      <c r="C3325" s="6" t="n">
        <v>20</v>
      </c>
      <c r="D3325" s="25" t="n">
        <f aca="false">EDATE('Start Here'!$B$6,C3325-1)</f>
        <v>46905</v>
      </c>
      <c r="E3325" s="23" t="n">
        <f aca="false">IF(AND(OR(Nonlabor!$D$17="Both",Nonlabor!$D$17='Start Here'!$B$9),IF(Nonlabor!$E$17="Core",1,IF(Nonlabor!$E$17="AI",'Start Here'!$B$7,'Start Here'!$B$8))=1,C3325&gt;=IF(Nonlabor!$E$17="Core",Nonlabor!$F$17,MAX(Nonlabor!$F$17,IF(Nonlabor!$E$17="AI",Assumptions!$E$24,Assumptions!$E$25))),C3325&lt;=Nonlabor!$G$17,OR(Nonlabor!$H$17="Monthly",AND(Nonlabor!$H$17="Once",C3325=IF(Nonlabor!$E$17="Core",Nonlabor!$F$17,MAX(Nonlabor!$F$17,IF(Nonlabor!$E$17="AI",Assumptions!$E$24,Assumptions!$E$25)))),AND(Nonlabor!$H$17="Annual",MOD(C3325-IF(Nonlabor!$E$17="Core",Nonlabor!$F$17,MAX(Nonlabor!$F$17,IF(Nonlabor!$E$17="AI",Assumptions!$E$24,Assumptions!$E$25))),12)=0))),IF(Nonlabor!$I$17="Fixed",1,IF(Nonlabor!$I$17="Seats",ROUNDUP('Monthly Growth'!I25,0),IF(Nonlabor!$I$17="Customers",'Monthly Growth'!D25,IF(Nonlabor!$I$17="NewCustomers",'Monthly Growth'!C25,IF(Nonlabor!$I$17="StorageGB",'Monthly Growth'!G25,IF(Nonlabor!$I$17="LogGB",'Monthly Growth'!H25,IF(Nonlabor!$I$17="RequestsM",'Monthly Growth'!F25,IF(Nonlabor!$I$17="InputM",'Monthly Growth'!D25*Assumptions!$E$22/1000000,IF(Nonlabor!$I$17="OutputM",'Monthly Growth'!D25*Assumptions!$E$23/1000000,0))))))))),0)</f>
        <v>0</v>
      </c>
      <c r="F3325" s="10" t="n">
        <f aca="false">Nonlabor!$J$17*(1+Assumptions!$E$9)^INT((C3325-1)/12)</f>
        <v>18720</v>
      </c>
      <c r="G3325" s="10" t="n">
        <f aca="false">E3325*F3325</f>
        <v>0</v>
      </c>
      <c r="H3325" s="10" t="n">
        <f aca="false">IF(OR(Nonlabor!$L$17="Quote required",Nonlabor!$L$17="Unverified"),G3325,0)</f>
        <v>0</v>
      </c>
      <c r="I3325" s="10" t="n">
        <f aca="false">IF(Nonlabor!$E$17="Core",0,G3325)</f>
        <v>0</v>
      </c>
      <c r="J3325" s="23" t="str">
        <f aca="false">Nonlabor!$B$17</f>
        <v>SECURITY</v>
      </c>
    </row>
    <row r="3326" customFormat="false" ht="15" hidden="false" customHeight="false" outlineLevel="0" collapsed="false">
      <c r="A3326" s="6" t="s">
        <v>73</v>
      </c>
      <c r="B3326" s="6" t="s">
        <v>410</v>
      </c>
      <c r="C3326" s="6" t="n">
        <v>21</v>
      </c>
      <c r="D3326" s="25" t="n">
        <f aca="false">EDATE('Start Here'!$B$6,C3326-1)</f>
        <v>46935</v>
      </c>
      <c r="E3326" s="23" t="n">
        <f aca="false">IF(AND(OR(Nonlabor!$D$17="Both",Nonlabor!$D$17='Start Here'!$B$9),IF(Nonlabor!$E$17="Core",1,IF(Nonlabor!$E$17="AI",'Start Here'!$B$7,'Start Here'!$B$8))=1,C3326&gt;=IF(Nonlabor!$E$17="Core",Nonlabor!$F$17,MAX(Nonlabor!$F$17,IF(Nonlabor!$E$17="AI",Assumptions!$E$24,Assumptions!$E$25))),C3326&lt;=Nonlabor!$G$17,OR(Nonlabor!$H$17="Monthly",AND(Nonlabor!$H$17="Once",C3326=IF(Nonlabor!$E$17="Core",Nonlabor!$F$17,MAX(Nonlabor!$F$17,IF(Nonlabor!$E$17="AI",Assumptions!$E$24,Assumptions!$E$25)))),AND(Nonlabor!$H$17="Annual",MOD(C3326-IF(Nonlabor!$E$17="Core",Nonlabor!$F$17,MAX(Nonlabor!$F$17,IF(Nonlabor!$E$17="AI",Assumptions!$E$24,Assumptions!$E$25))),12)=0))),IF(Nonlabor!$I$17="Fixed",1,IF(Nonlabor!$I$17="Seats",ROUNDUP('Monthly Growth'!I26,0),IF(Nonlabor!$I$17="Customers",'Monthly Growth'!D26,IF(Nonlabor!$I$17="NewCustomers",'Monthly Growth'!C26,IF(Nonlabor!$I$17="StorageGB",'Monthly Growth'!G26,IF(Nonlabor!$I$17="LogGB",'Monthly Growth'!H26,IF(Nonlabor!$I$17="RequestsM",'Monthly Growth'!F26,IF(Nonlabor!$I$17="InputM",'Monthly Growth'!D26*Assumptions!$E$22/1000000,IF(Nonlabor!$I$17="OutputM",'Monthly Growth'!D26*Assumptions!$E$23/1000000,0))))))))),0)</f>
        <v>0</v>
      </c>
      <c r="F3326" s="10" t="n">
        <f aca="false">Nonlabor!$J$17*(1+Assumptions!$E$9)^INT((C3326-1)/12)</f>
        <v>18720</v>
      </c>
      <c r="G3326" s="10" t="n">
        <f aca="false">E3326*F3326</f>
        <v>0</v>
      </c>
      <c r="H3326" s="10" t="n">
        <f aca="false">IF(OR(Nonlabor!$L$17="Quote required",Nonlabor!$L$17="Unverified"),G3326,0)</f>
        <v>0</v>
      </c>
      <c r="I3326" s="10" t="n">
        <f aca="false">IF(Nonlabor!$E$17="Core",0,G3326)</f>
        <v>0</v>
      </c>
      <c r="J3326" s="23" t="str">
        <f aca="false">Nonlabor!$B$17</f>
        <v>SECURITY</v>
      </c>
    </row>
    <row r="3327" customFormat="false" ht="15" hidden="false" customHeight="false" outlineLevel="0" collapsed="false">
      <c r="A3327" s="6" t="s">
        <v>73</v>
      </c>
      <c r="B3327" s="6" t="s">
        <v>410</v>
      </c>
      <c r="C3327" s="6" t="n">
        <v>22</v>
      </c>
      <c r="D3327" s="25" t="n">
        <f aca="false">EDATE('Start Here'!$B$6,C3327-1)</f>
        <v>46966</v>
      </c>
      <c r="E3327" s="23" t="n">
        <f aca="false">IF(AND(OR(Nonlabor!$D$17="Both",Nonlabor!$D$17='Start Here'!$B$9),IF(Nonlabor!$E$17="Core",1,IF(Nonlabor!$E$17="AI",'Start Here'!$B$7,'Start Here'!$B$8))=1,C3327&gt;=IF(Nonlabor!$E$17="Core",Nonlabor!$F$17,MAX(Nonlabor!$F$17,IF(Nonlabor!$E$17="AI",Assumptions!$E$24,Assumptions!$E$25))),C3327&lt;=Nonlabor!$G$17,OR(Nonlabor!$H$17="Monthly",AND(Nonlabor!$H$17="Once",C3327=IF(Nonlabor!$E$17="Core",Nonlabor!$F$17,MAX(Nonlabor!$F$17,IF(Nonlabor!$E$17="AI",Assumptions!$E$24,Assumptions!$E$25)))),AND(Nonlabor!$H$17="Annual",MOD(C3327-IF(Nonlabor!$E$17="Core",Nonlabor!$F$17,MAX(Nonlabor!$F$17,IF(Nonlabor!$E$17="AI",Assumptions!$E$24,Assumptions!$E$25))),12)=0))),IF(Nonlabor!$I$17="Fixed",1,IF(Nonlabor!$I$17="Seats",ROUNDUP('Monthly Growth'!I27,0),IF(Nonlabor!$I$17="Customers",'Monthly Growth'!D27,IF(Nonlabor!$I$17="NewCustomers",'Monthly Growth'!C27,IF(Nonlabor!$I$17="StorageGB",'Monthly Growth'!G27,IF(Nonlabor!$I$17="LogGB",'Monthly Growth'!H27,IF(Nonlabor!$I$17="RequestsM",'Monthly Growth'!F27,IF(Nonlabor!$I$17="InputM",'Monthly Growth'!D27*Assumptions!$E$22/1000000,IF(Nonlabor!$I$17="OutputM",'Monthly Growth'!D27*Assumptions!$E$23/1000000,0))))))))),0)</f>
        <v>1</v>
      </c>
      <c r="F3327" s="10" t="n">
        <f aca="false">Nonlabor!$J$17*(1+Assumptions!$E$9)^INT((C3327-1)/12)</f>
        <v>18720</v>
      </c>
      <c r="G3327" s="10" t="n">
        <f aca="false">E3327*F3327</f>
        <v>18720</v>
      </c>
      <c r="H3327" s="10" t="n">
        <f aca="false">IF(OR(Nonlabor!$L$17="Quote required",Nonlabor!$L$17="Unverified"),G3327,0)</f>
        <v>18720</v>
      </c>
      <c r="I3327" s="10" t="n">
        <f aca="false">IF(Nonlabor!$E$17="Core",0,G3327)</f>
        <v>0</v>
      </c>
      <c r="J3327" s="23" t="str">
        <f aca="false">Nonlabor!$B$17</f>
        <v>SECURITY</v>
      </c>
    </row>
    <row r="3328" customFormat="false" ht="15" hidden="false" customHeight="false" outlineLevel="0" collapsed="false">
      <c r="A3328" s="6" t="s">
        <v>73</v>
      </c>
      <c r="B3328" s="6" t="s">
        <v>410</v>
      </c>
      <c r="C3328" s="6" t="n">
        <v>23</v>
      </c>
      <c r="D3328" s="25" t="n">
        <f aca="false">EDATE('Start Here'!$B$6,C3328-1)</f>
        <v>46997</v>
      </c>
      <c r="E3328" s="23" t="n">
        <f aca="false">IF(AND(OR(Nonlabor!$D$17="Both",Nonlabor!$D$17='Start Here'!$B$9),IF(Nonlabor!$E$17="Core",1,IF(Nonlabor!$E$17="AI",'Start Here'!$B$7,'Start Here'!$B$8))=1,C3328&gt;=IF(Nonlabor!$E$17="Core",Nonlabor!$F$17,MAX(Nonlabor!$F$17,IF(Nonlabor!$E$17="AI",Assumptions!$E$24,Assumptions!$E$25))),C3328&lt;=Nonlabor!$G$17,OR(Nonlabor!$H$17="Monthly",AND(Nonlabor!$H$17="Once",C3328=IF(Nonlabor!$E$17="Core",Nonlabor!$F$17,MAX(Nonlabor!$F$17,IF(Nonlabor!$E$17="AI",Assumptions!$E$24,Assumptions!$E$25)))),AND(Nonlabor!$H$17="Annual",MOD(C3328-IF(Nonlabor!$E$17="Core",Nonlabor!$F$17,MAX(Nonlabor!$F$17,IF(Nonlabor!$E$17="AI",Assumptions!$E$24,Assumptions!$E$25))),12)=0))),IF(Nonlabor!$I$17="Fixed",1,IF(Nonlabor!$I$17="Seats",ROUNDUP('Monthly Growth'!I28,0),IF(Nonlabor!$I$17="Customers",'Monthly Growth'!D28,IF(Nonlabor!$I$17="NewCustomers",'Monthly Growth'!C28,IF(Nonlabor!$I$17="StorageGB",'Monthly Growth'!G28,IF(Nonlabor!$I$17="LogGB",'Monthly Growth'!H28,IF(Nonlabor!$I$17="RequestsM",'Monthly Growth'!F28,IF(Nonlabor!$I$17="InputM",'Monthly Growth'!D28*Assumptions!$E$22/1000000,IF(Nonlabor!$I$17="OutputM",'Monthly Growth'!D28*Assumptions!$E$23/1000000,0))))))))),0)</f>
        <v>0</v>
      </c>
      <c r="F3328" s="10" t="n">
        <f aca="false">Nonlabor!$J$17*(1+Assumptions!$E$9)^INT((C3328-1)/12)</f>
        <v>18720</v>
      </c>
      <c r="G3328" s="10" t="n">
        <f aca="false">E3328*F3328</f>
        <v>0</v>
      </c>
      <c r="H3328" s="10" t="n">
        <f aca="false">IF(OR(Nonlabor!$L$17="Quote required",Nonlabor!$L$17="Unverified"),G3328,0)</f>
        <v>0</v>
      </c>
      <c r="I3328" s="10" t="n">
        <f aca="false">IF(Nonlabor!$E$17="Core",0,G3328)</f>
        <v>0</v>
      </c>
      <c r="J3328" s="23" t="str">
        <f aca="false">Nonlabor!$B$17</f>
        <v>SECURITY</v>
      </c>
    </row>
    <row r="3329" customFormat="false" ht="15" hidden="false" customHeight="false" outlineLevel="0" collapsed="false">
      <c r="A3329" s="6" t="s">
        <v>73</v>
      </c>
      <c r="B3329" s="6" t="s">
        <v>410</v>
      </c>
      <c r="C3329" s="6" t="n">
        <v>24</v>
      </c>
      <c r="D3329" s="25" t="n">
        <f aca="false">EDATE('Start Here'!$B$6,C3329-1)</f>
        <v>47027</v>
      </c>
      <c r="E3329" s="23" t="n">
        <f aca="false">IF(AND(OR(Nonlabor!$D$17="Both",Nonlabor!$D$17='Start Here'!$B$9),IF(Nonlabor!$E$17="Core",1,IF(Nonlabor!$E$17="AI",'Start Here'!$B$7,'Start Here'!$B$8))=1,C3329&gt;=IF(Nonlabor!$E$17="Core",Nonlabor!$F$17,MAX(Nonlabor!$F$17,IF(Nonlabor!$E$17="AI",Assumptions!$E$24,Assumptions!$E$25))),C3329&lt;=Nonlabor!$G$17,OR(Nonlabor!$H$17="Monthly",AND(Nonlabor!$H$17="Once",C3329=IF(Nonlabor!$E$17="Core",Nonlabor!$F$17,MAX(Nonlabor!$F$17,IF(Nonlabor!$E$17="AI",Assumptions!$E$24,Assumptions!$E$25)))),AND(Nonlabor!$H$17="Annual",MOD(C3329-IF(Nonlabor!$E$17="Core",Nonlabor!$F$17,MAX(Nonlabor!$F$17,IF(Nonlabor!$E$17="AI",Assumptions!$E$24,Assumptions!$E$25))),12)=0))),IF(Nonlabor!$I$17="Fixed",1,IF(Nonlabor!$I$17="Seats",ROUNDUP('Monthly Growth'!I29,0),IF(Nonlabor!$I$17="Customers",'Monthly Growth'!D29,IF(Nonlabor!$I$17="NewCustomers",'Monthly Growth'!C29,IF(Nonlabor!$I$17="StorageGB",'Monthly Growth'!G29,IF(Nonlabor!$I$17="LogGB",'Monthly Growth'!H29,IF(Nonlabor!$I$17="RequestsM",'Monthly Growth'!F29,IF(Nonlabor!$I$17="InputM",'Monthly Growth'!D29*Assumptions!$E$22/1000000,IF(Nonlabor!$I$17="OutputM",'Monthly Growth'!D29*Assumptions!$E$23/1000000,0))))))))),0)</f>
        <v>0</v>
      </c>
      <c r="F3329" s="10" t="n">
        <f aca="false">Nonlabor!$J$17*(1+Assumptions!$E$9)^INT((C3329-1)/12)</f>
        <v>18720</v>
      </c>
      <c r="G3329" s="10" t="n">
        <f aca="false">E3329*F3329</f>
        <v>0</v>
      </c>
      <c r="H3329" s="10" t="n">
        <f aca="false">IF(OR(Nonlabor!$L$17="Quote required",Nonlabor!$L$17="Unverified"),G3329,0)</f>
        <v>0</v>
      </c>
      <c r="I3329" s="10" t="n">
        <f aca="false">IF(Nonlabor!$E$17="Core",0,G3329)</f>
        <v>0</v>
      </c>
      <c r="J3329" s="23" t="str">
        <f aca="false">Nonlabor!$B$17</f>
        <v>SECURITY</v>
      </c>
    </row>
    <row r="3330" customFormat="false" ht="15" hidden="false" customHeight="false" outlineLevel="0" collapsed="false">
      <c r="A3330" s="6" t="s">
        <v>73</v>
      </c>
      <c r="B3330" s="6" t="s">
        <v>410</v>
      </c>
      <c r="C3330" s="6" t="n">
        <v>25</v>
      </c>
      <c r="D3330" s="25" t="n">
        <f aca="false">EDATE('Start Here'!$B$6,C3330-1)</f>
        <v>47058</v>
      </c>
      <c r="E3330" s="23" t="n">
        <f aca="false">IF(AND(OR(Nonlabor!$D$17="Both",Nonlabor!$D$17='Start Here'!$B$9),IF(Nonlabor!$E$17="Core",1,IF(Nonlabor!$E$17="AI",'Start Here'!$B$7,'Start Here'!$B$8))=1,C3330&gt;=IF(Nonlabor!$E$17="Core",Nonlabor!$F$17,MAX(Nonlabor!$F$17,IF(Nonlabor!$E$17="AI",Assumptions!$E$24,Assumptions!$E$25))),C3330&lt;=Nonlabor!$G$17,OR(Nonlabor!$H$17="Monthly",AND(Nonlabor!$H$17="Once",C3330=IF(Nonlabor!$E$17="Core",Nonlabor!$F$17,MAX(Nonlabor!$F$17,IF(Nonlabor!$E$17="AI",Assumptions!$E$24,Assumptions!$E$25)))),AND(Nonlabor!$H$17="Annual",MOD(C3330-IF(Nonlabor!$E$17="Core",Nonlabor!$F$17,MAX(Nonlabor!$F$17,IF(Nonlabor!$E$17="AI",Assumptions!$E$24,Assumptions!$E$25))),12)=0))),IF(Nonlabor!$I$17="Fixed",1,IF(Nonlabor!$I$17="Seats",ROUNDUP('Monthly Growth'!I30,0),IF(Nonlabor!$I$17="Customers",'Monthly Growth'!D30,IF(Nonlabor!$I$17="NewCustomers",'Monthly Growth'!C30,IF(Nonlabor!$I$17="StorageGB",'Monthly Growth'!G30,IF(Nonlabor!$I$17="LogGB",'Monthly Growth'!H30,IF(Nonlabor!$I$17="RequestsM",'Monthly Growth'!F30,IF(Nonlabor!$I$17="InputM",'Monthly Growth'!D30*Assumptions!$E$22/1000000,IF(Nonlabor!$I$17="OutputM",'Monthly Growth'!D30*Assumptions!$E$23/1000000,0))))))))),0)</f>
        <v>0</v>
      </c>
      <c r="F3330" s="10" t="n">
        <f aca="false">Nonlabor!$J$17*(1+Assumptions!$E$9)^INT((C3330-1)/12)</f>
        <v>19468.8</v>
      </c>
      <c r="G3330" s="10" t="n">
        <f aca="false">E3330*F3330</f>
        <v>0</v>
      </c>
      <c r="H3330" s="10" t="n">
        <f aca="false">IF(OR(Nonlabor!$L$17="Quote required",Nonlabor!$L$17="Unverified"),G3330,0)</f>
        <v>0</v>
      </c>
      <c r="I3330" s="10" t="n">
        <f aca="false">IF(Nonlabor!$E$17="Core",0,G3330)</f>
        <v>0</v>
      </c>
      <c r="J3330" s="23" t="str">
        <f aca="false">Nonlabor!$B$17</f>
        <v>SECURITY</v>
      </c>
    </row>
    <row r="3331" customFormat="false" ht="15" hidden="false" customHeight="false" outlineLevel="0" collapsed="false">
      <c r="A3331" s="6" t="s">
        <v>73</v>
      </c>
      <c r="B3331" s="6" t="s">
        <v>410</v>
      </c>
      <c r="C3331" s="6" t="n">
        <v>26</v>
      </c>
      <c r="D3331" s="25" t="n">
        <f aca="false">EDATE('Start Here'!$B$6,C3331-1)</f>
        <v>47088</v>
      </c>
      <c r="E3331" s="23" t="n">
        <f aca="false">IF(AND(OR(Nonlabor!$D$17="Both",Nonlabor!$D$17='Start Here'!$B$9),IF(Nonlabor!$E$17="Core",1,IF(Nonlabor!$E$17="AI",'Start Here'!$B$7,'Start Here'!$B$8))=1,C3331&gt;=IF(Nonlabor!$E$17="Core",Nonlabor!$F$17,MAX(Nonlabor!$F$17,IF(Nonlabor!$E$17="AI",Assumptions!$E$24,Assumptions!$E$25))),C3331&lt;=Nonlabor!$G$17,OR(Nonlabor!$H$17="Monthly",AND(Nonlabor!$H$17="Once",C3331=IF(Nonlabor!$E$17="Core",Nonlabor!$F$17,MAX(Nonlabor!$F$17,IF(Nonlabor!$E$17="AI",Assumptions!$E$24,Assumptions!$E$25)))),AND(Nonlabor!$H$17="Annual",MOD(C3331-IF(Nonlabor!$E$17="Core",Nonlabor!$F$17,MAX(Nonlabor!$F$17,IF(Nonlabor!$E$17="AI",Assumptions!$E$24,Assumptions!$E$25))),12)=0))),IF(Nonlabor!$I$17="Fixed",1,IF(Nonlabor!$I$17="Seats",ROUNDUP('Monthly Growth'!I31,0),IF(Nonlabor!$I$17="Customers",'Monthly Growth'!D31,IF(Nonlabor!$I$17="NewCustomers",'Monthly Growth'!C31,IF(Nonlabor!$I$17="StorageGB",'Monthly Growth'!G31,IF(Nonlabor!$I$17="LogGB",'Monthly Growth'!H31,IF(Nonlabor!$I$17="RequestsM",'Monthly Growth'!F31,IF(Nonlabor!$I$17="InputM",'Monthly Growth'!D31*Assumptions!$E$22/1000000,IF(Nonlabor!$I$17="OutputM",'Monthly Growth'!D31*Assumptions!$E$23/1000000,0))))))))),0)</f>
        <v>0</v>
      </c>
      <c r="F3331" s="10" t="n">
        <f aca="false">Nonlabor!$J$17*(1+Assumptions!$E$9)^INT((C3331-1)/12)</f>
        <v>19468.8</v>
      </c>
      <c r="G3331" s="10" t="n">
        <f aca="false">E3331*F3331</f>
        <v>0</v>
      </c>
      <c r="H3331" s="10" t="n">
        <f aca="false">IF(OR(Nonlabor!$L$17="Quote required",Nonlabor!$L$17="Unverified"),G3331,0)</f>
        <v>0</v>
      </c>
      <c r="I3331" s="10" t="n">
        <f aca="false">IF(Nonlabor!$E$17="Core",0,G3331)</f>
        <v>0</v>
      </c>
      <c r="J3331" s="23" t="str">
        <f aca="false">Nonlabor!$B$17</f>
        <v>SECURITY</v>
      </c>
    </row>
    <row r="3332" customFormat="false" ht="15" hidden="false" customHeight="false" outlineLevel="0" collapsed="false">
      <c r="A3332" s="6" t="s">
        <v>73</v>
      </c>
      <c r="B3332" s="6" t="s">
        <v>410</v>
      </c>
      <c r="C3332" s="6" t="n">
        <v>27</v>
      </c>
      <c r="D3332" s="25" t="n">
        <f aca="false">EDATE('Start Here'!$B$6,C3332-1)</f>
        <v>47119</v>
      </c>
      <c r="E3332" s="23" t="n">
        <f aca="false">IF(AND(OR(Nonlabor!$D$17="Both",Nonlabor!$D$17='Start Here'!$B$9),IF(Nonlabor!$E$17="Core",1,IF(Nonlabor!$E$17="AI",'Start Here'!$B$7,'Start Here'!$B$8))=1,C3332&gt;=IF(Nonlabor!$E$17="Core",Nonlabor!$F$17,MAX(Nonlabor!$F$17,IF(Nonlabor!$E$17="AI",Assumptions!$E$24,Assumptions!$E$25))),C3332&lt;=Nonlabor!$G$17,OR(Nonlabor!$H$17="Monthly",AND(Nonlabor!$H$17="Once",C3332=IF(Nonlabor!$E$17="Core",Nonlabor!$F$17,MAX(Nonlabor!$F$17,IF(Nonlabor!$E$17="AI",Assumptions!$E$24,Assumptions!$E$25)))),AND(Nonlabor!$H$17="Annual",MOD(C3332-IF(Nonlabor!$E$17="Core",Nonlabor!$F$17,MAX(Nonlabor!$F$17,IF(Nonlabor!$E$17="AI",Assumptions!$E$24,Assumptions!$E$25))),12)=0))),IF(Nonlabor!$I$17="Fixed",1,IF(Nonlabor!$I$17="Seats",ROUNDUP('Monthly Growth'!I32,0),IF(Nonlabor!$I$17="Customers",'Monthly Growth'!D32,IF(Nonlabor!$I$17="NewCustomers",'Monthly Growth'!C32,IF(Nonlabor!$I$17="StorageGB",'Monthly Growth'!G32,IF(Nonlabor!$I$17="LogGB",'Monthly Growth'!H32,IF(Nonlabor!$I$17="RequestsM",'Monthly Growth'!F32,IF(Nonlabor!$I$17="InputM",'Monthly Growth'!D32*Assumptions!$E$22/1000000,IF(Nonlabor!$I$17="OutputM",'Monthly Growth'!D32*Assumptions!$E$23/1000000,0))))))))),0)</f>
        <v>0</v>
      </c>
      <c r="F3332" s="10" t="n">
        <f aca="false">Nonlabor!$J$17*(1+Assumptions!$E$9)^INT((C3332-1)/12)</f>
        <v>19468.8</v>
      </c>
      <c r="G3332" s="10" t="n">
        <f aca="false">E3332*F3332</f>
        <v>0</v>
      </c>
      <c r="H3332" s="10" t="n">
        <f aca="false">IF(OR(Nonlabor!$L$17="Quote required",Nonlabor!$L$17="Unverified"),G3332,0)</f>
        <v>0</v>
      </c>
      <c r="I3332" s="10" t="n">
        <f aca="false">IF(Nonlabor!$E$17="Core",0,G3332)</f>
        <v>0</v>
      </c>
      <c r="J3332" s="23" t="str">
        <f aca="false">Nonlabor!$B$17</f>
        <v>SECURITY</v>
      </c>
    </row>
    <row r="3333" customFormat="false" ht="15" hidden="false" customHeight="false" outlineLevel="0" collapsed="false">
      <c r="A3333" s="6" t="s">
        <v>73</v>
      </c>
      <c r="B3333" s="6" t="s">
        <v>410</v>
      </c>
      <c r="C3333" s="6" t="n">
        <v>28</v>
      </c>
      <c r="D3333" s="25" t="n">
        <f aca="false">EDATE('Start Here'!$B$6,C3333-1)</f>
        <v>47150</v>
      </c>
      <c r="E3333" s="23" t="n">
        <f aca="false">IF(AND(OR(Nonlabor!$D$17="Both",Nonlabor!$D$17='Start Here'!$B$9),IF(Nonlabor!$E$17="Core",1,IF(Nonlabor!$E$17="AI",'Start Here'!$B$7,'Start Here'!$B$8))=1,C3333&gt;=IF(Nonlabor!$E$17="Core",Nonlabor!$F$17,MAX(Nonlabor!$F$17,IF(Nonlabor!$E$17="AI",Assumptions!$E$24,Assumptions!$E$25))),C3333&lt;=Nonlabor!$G$17,OR(Nonlabor!$H$17="Monthly",AND(Nonlabor!$H$17="Once",C3333=IF(Nonlabor!$E$17="Core",Nonlabor!$F$17,MAX(Nonlabor!$F$17,IF(Nonlabor!$E$17="AI",Assumptions!$E$24,Assumptions!$E$25)))),AND(Nonlabor!$H$17="Annual",MOD(C3333-IF(Nonlabor!$E$17="Core",Nonlabor!$F$17,MAX(Nonlabor!$F$17,IF(Nonlabor!$E$17="AI",Assumptions!$E$24,Assumptions!$E$25))),12)=0))),IF(Nonlabor!$I$17="Fixed",1,IF(Nonlabor!$I$17="Seats",ROUNDUP('Monthly Growth'!I33,0),IF(Nonlabor!$I$17="Customers",'Monthly Growth'!D33,IF(Nonlabor!$I$17="NewCustomers",'Monthly Growth'!C33,IF(Nonlabor!$I$17="StorageGB",'Monthly Growth'!G33,IF(Nonlabor!$I$17="LogGB",'Monthly Growth'!H33,IF(Nonlabor!$I$17="RequestsM",'Monthly Growth'!F33,IF(Nonlabor!$I$17="InputM",'Monthly Growth'!D33*Assumptions!$E$22/1000000,IF(Nonlabor!$I$17="OutputM",'Monthly Growth'!D33*Assumptions!$E$23/1000000,0))))))))),0)</f>
        <v>0</v>
      </c>
      <c r="F3333" s="10" t="n">
        <f aca="false">Nonlabor!$J$17*(1+Assumptions!$E$9)^INT((C3333-1)/12)</f>
        <v>19468.8</v>
      </c>
      <c r="G3333" s="10" t="n">
        <f aca="false">E3333*F3333</f>
        <v>0</v>
      </c>
      <c r="H3333" s="10" t="n">
        <f aca="false">IF(OR(Nonlabor!$L$17="Quote required",Nonlabor!$L$17="Unverified"),G3333,0)</f>
        <v>0</v>
      </c>
      <c r="I3333" s="10" t="n">
        <f aca="false">IF(Nonlabor!$E$17="Core",0,G3333)</f>
        <v>0</v>
      </c>
      <c r="J3333" s="23" t="str">
        <f aca="false">Nonlabor!$B$17</f>
        <v>SECURITY</v>
      </c>
    </row>
    <row r="3334" customFormat="false" ht="15" hidden="false" customHeight="false" outlineLevel="0" collapsed="false">
      <c r="A3334" s="6" t="s">
        <v>73</v>
      </c>
      <c r="B3334" s="6" t="s">
        <v>410</v>
      </c>
      <c r="C3334" s="6" t="n">
        <v>29</v>
      </c>
      <c r="D3334" s="25" t="n">
        <f aca="false">EDATE('Start Here'!$B$6,C3334-1)</f>
        <v>47178</v>
      </c>
      <c r="E3334" s="23" t="n">
        <f aca="false">IF(AND(OR(Nonlabor!$D$17="Both",Nonlabor!$D$17='Start Here'!$B$9),IF(Nonlabor!$E$17="Core",1,IF(Nonlabor!$E$17="AI",'Start Here'!$B$7,'Start Here'!$B$8))=1,C3334&gt;=IF(Nonlabor!$E$17="Core",Nonlabor!$F$17,MAX(Nonlabor!$F$17,IF(Nonlabor!$E$17="AI",Assumptions!$E$24,Assumptions!$E$25))),C3334&lt;=Nonlabor!$G$17,OR(Nonlabor!$H$17="Monthly",AND(Nonlabor!$H$17="Once",C3334=IF(Nonlabor!$E$17="Core",Nonlabor!$F$17,MAX(Nonlabor!$F$17,IF(Nonlabor!$E$17="AI",Assumptions!$E$24,Assumptions!$E$25)))),AND(Nonlabor!$H$17="Annual",MOD(C3334-IF(Nonlabor!$E$17="Core",Nonlabor!$F$17,MAX(Nonlabor!$F$17,IF(Nonlabor!$E$17="AI",Assumptions!$E$24,Assumptions!$E$25))),12)=0))),IF(Nonlabor!$I$17="Fixed",1,IF(Nonlabor!$I$17="Seats",ROUNDUP('Monthly Growth'!I34,0),IF(Nonlabor!$I$17="Customers",'Monthly Growth'!D34,IF(Nonlabor!$I$17="NewCustomers",'Monthly Growth'!C34,IF(Nonlabor!$I$17="StorageGB",'Monthly Growth'!G34,IF(Nonlabor!$I$17="LogGB",'Monthly Growth'!H34,IF(Nonlabor!$I$17="RequestsM",'Monthly Growth'!F34,IF(Nonlabor!$I$17="InputM",'Monthly Growth'!D34*Assumptions!$E$22/1000000,IF(Nonlabor!$I$17="OutputM",'Monthly Growth'!D34*Assumptions!$E$23/1000000,0))))))))),0)</f>
        <v>0</v>
      </c>
      <c r="F3334" s="10" t="n">
        <f aca="false">Nonlabor!$J$17*(1+Assumptions!$E$9)^INT((C3334-1)/12)</f>
        <v>19468.8</v>
      </c>
      <c r="G3334" s="10" t="n">
        <f aca="false">E3334*F3334</f>
        <v>0</v>
      </c>
      <c r="H3334" s="10" t="n">
        <f aca="false">IF(OR(Nonlabor!$L$17="Quote required",Nonlabor!$L$17="Unverified"),G3334,0)</f>
        <v>0</v>
      </c>
      <c r="I3334" s="10" t="n">
        <f aca="false">IF(Nonlabor!$E$17="Core",0,G3334)</f>
        <v>0</v>
      </c>
      <c r="J3334" s="23" t="str">
        <f aca="false">Nonlabor!$B$17</f>
        <v>SECURITY</v>
      </c>
    </row>
    <row r="3335" customFormat="false" ht="15" hidden="false" customHeight="false" outlineLevel="0" collapsed="false">
      <c r="A3335" s="6" t="s">
        <v>73</v>
      </c>
      <c r="B3335" s="6" t="s">
        <v>410</v>
      </c>
      <c r="C3335" s="6" t="n">
        <v>30</v>
      </c>
      <c r="D3335" s="25" t="n">
        <f aca="false">EDATE('Start Here'!$B$6,C3335-1)</f>
        <v>47209</v>
      </c>
      <c r="E3335" s="23" t="n">
        <f aca="false">IF(AND(OR(Nonlabor!$D$17="Both",Nonlabor!$D$17='Start Here'!$B$9),IF(Nonlabor!$E$17="Core",1,IF(Nonlabor!$E$17="AI",'Start Here'!$B$7,'Start Here'!$B$8))=1,C3335&gt;=IF(Nonlabor!$E$17="Core",Nonlabor!$F$17,MAX(Nonlabor!$F$17,IF(Nonlabor!$E$17="AI",Assumptions!$E$24,Assumptions!$E$25))),C3335&lt;=Nonlabor!$G$17,OR(Nonlabor!$H$17="Monthly",AND(Nonlabor!$H$17="Once",C3335=IF(Nonlabor!$E$17="Core",Nonlabor!$F$17,MAX(Nonlabor!$F$17,IF(Nonlabor!$E$17="AI",Assumptions!$E$24,Assumptions!$E$25)))),AND(Nonlabor!$H$17="Annual",MOD(C3335-IF(Nonlabor!$E$17="Core",Nonlabor!$F$17,MAX(Nonlabor!$F$17,IF(Nonlabor!$E$17="AI",Assumptions!$E$24,Assumptions!$E$25))),12)=0))),IF(Nonlabor!$I$17="Fixed",1,IF(Nonlabor!$I$17="Seats",ROUNDUP('Monthly Growth'!I35,0),IF(Nonlabor!$I$17="Customers",'Monthly Growth'!D35,IF(Nonlabor!$I$17="NewCustomers",'Monthly Growth'!C35,IF(Nonlabor!$I$17="StorageGB",'Monthly Growth'!G35,IF(Nonlabor!$I$17="LogGB",'Monthly Growth'!H35,IF(Nonlabor!$I$17="RequestsM",'Monthly Growth'!F35,IF(Nonlabor!$I$17="InputM",'Monthly Growth'!D35*Assumptions!$E$22/1000000,IF(Nonlabor!$I$17="OutputM",'Monthly Growth'!D35*Assumptions!$E$23/1000000,0))))))))),0)</f>
        <v>0</v>
      </c>
      <c r="F3335" s="10" t="n">
        <f aca="false">Nonlabor!$J$17*(1+Assumptions!$E$9)^INT((C3335-1)/12)</f>
        <v>19468.8</v>
      </c>
      <c r="G3335" s="10" t="n">
        <f aca="false">E3335*F3335</f>
        <v>0</v>
      </c>
      <c r="H3335" s="10" t="n">
        <f aca="false">IF(OR(Nonlabor!$L$17="Quote required",Nonlabor!$L$17="Unverified"),G3335,0)</f>
        <v>0</v>
      </c>
      <c r="I3335" s="10" t="n">
        <f aca="false">IF(Nonlabor!$E$17="Core",0,G3335)</f>
        <v>0</v>
      </c>
      <c r="J3335" s="23" t="str">
        <f aca="false">Nonlabor!$B$17</f>
        <v>SECURITY</v>
      </c>
    </row>
    <row r="3336" customFormat="false" ht="15" hidden="false" customHeight="false" outlineLevel="0" collapsed="false">
      <c r="A3336" s="6" t="s">
        <v>73</v>
      </c>
      <c r="B3336" s="6" t="s">
        <v>410</v>
      </c>
      <c r="C3336" s="6" t="n">
        <v>31</v>
      </c>
      <c r="D3336" s="25" t="n">
        <f aca="false">EDATE('Start Here'!$B$6,C3336-1)</f>
        <v>47239</v>
      </c>
      <c r="E3336" s="23" t="n">
        <f aca="false">IF(AND(OR(Nonlabor!$D$17="Both",Nonlabor!$D$17='Start Here'!$B$9),IF(Nonlabor!$E$17="Core",1,IF(Nonlabor!$E$17="AI",'Start Here'!$B$7,'Start Here'!$B$8))=1,C3336&gt;=IF(Nonlabor!$E$17="Core",Nonlabor!$F$17,MAX(Nonlabor!$F$17,IF(Nonlabor!$E$17="AI",Assumptions!$E$24,Assumptions!$E$25))),C3336&lt;=Nonlabor!$G$17,OR(Nonlabor!$H$17="Monthly",AND(Nonlabor!$H$17="Once",C3336=IF(Nonlabor!$E$17="Core",Nonlabor!$F$17,MAX(Nonlabor!$F$17,IF(Nonlabor!$E$17="AI",Assumptions!$E$24,Assumptions!$E$25)))),AND(Nonlabor!$H$17="Annual",MOD(C3336-IF(Nonlabor!$E$17="Core",Nonlabor!$F$17,MAX(Nonlabor!$F$17,IF(Nonlabor!$E$17="AI",Assumptions!$E$24,Assumptions!$E$25))),12)=0))),IF(Nonlabor!$I$17="Fixed",1,IF(Nonlabor!$I$17="Seats",ROUNDUP('Monthly Growth'!I36,0),IF(Nonlabor!$I$17="Customers",'Monthly Growth'!D36,IF(Nonlabor!$I$17="NewCustomers",'Monthly Growth'!C36,IF(Nonlabor!$I$17="StorageGB",'Monthly Growth'!G36,IF(Nonlabor!$I$17="LogGB",'Monthly Growth'!H36,IF(Nonlabor!$I$17="RequestsM",'Monthly Growth'!F36,IF(Nonlabor!$I$17="InputM",'Monthly Growth'!D36*Assumptions!$E$22/1000000,IF(Nonlabor!$I$17="OutputM",'Monthly Growth'!D36*Assumptions!$E$23/1000000,0))))))))),0)</f>
        <v>0</v>
      </c>
      <c r="F3336" s="10" t="n">
        <f aca="false">Nonlabor!$J$17*(1+Assumptions!$E$9)^INT((C3336-1)/12)</f>
        <v>19468.8</v>
      </c>
      <c r="G3336" s="10" t="n">
        <f aca="false">E3336*F3336</f>
        <v>0</v>
      </c>
      <c r="H3336" s="10" t="n">
        <f aca="false">IF(OR(Nonlabor!$L$17="Quote required",Nonlabor!$L$17="Unverified"),G3336,0)</f>
        <v>0</v>
      </c>
      <c r="I3336" s="10" t="n">
        <f aca="false">IF(Nonlabor!$E$17="Core",0,G3336)</f>
        <v>0</v>
      </c>
      <c r="J3336" s="23" t="str">
        <f aca="false">Nonlabor!$B$17</f>
        <v>SECURITY</v>
      </c>
    </row>
    <row r="3337" customFormat="false" ht="15" hidden="false" customHeight="false" outlineLevel="0" collapsed="false">
      <c r="A3337" s="6" t="s">
        <v>73</v>
      </c>
      <c r="B3337" s="6" t="s">
        <v>410</v>
      </c>
      <c r="C3337" s="6" t="n">
        <v>32</v>
      </c>
      <c r="D3337" s="25" t="n">
        <f aca="false">EDATE('Start Here'!$B$6,C3337-1)</f>
        <v>47270</v>
      </c>
      <c r="E3337" s="23" t="n">
        <f aca="false">IF(AND(OR(Nonlabor!$D$17="Both",Nonlabor!$D$17='Start Here'!$B$9),IF(Nonlabor!$E$17="Core",1,IF(Nonlabor!$E$17="AI",'Start Here'!$B$7,'Start Here'!$B$8))=1,C3337&gt;=IF(Nonlabor!$E$17="Core",Nonlabor!$F$17,MAX(Nonlabor!$F$17,IF(Nonlabor!$E$17="AI",Assumptions!$E$24,Assumptions!$E$25))),C3337&lt;=Nonlabor!$G$17,OR(Nonlabor!$H$17="Monthly",AND(Nonlabor!$H$17="Once",C3337=IF(Nonlabor!$E$17="Core",Nonlabor!$F$17,MAX(Nonlabor!$F$17,IF(Nonlabor!$E$17="AI",Assumptions!$E$24,Assumptions!$E$25)))),AND(Nonlabor!$H$17="Annual",MOD(C3337-IF(Nonlabor!$E$17="Core",Nonlabor!$F$17,MAX(Nonlabor!$F$17,IF(Nonlabor!$E$17="AI",Assumptions!$E$24,Assumptions!$E$25))),12)=0))),IF(Nonlabor!$I$17="Fixed",1,IF(Nonlabor!$I$17="Seats",ROUNDUP('Monthly Growth'!I37,0),IF(Nonlabor!$I$17="Customers",'Monthly Growth'!D37,IF(Nonlabor!$I$17="NewCustomers",'Monthly Growth'!C37,IF(Nonlabor!$I$17="StorageGB",'Monthly Growth'!G37,IF(Nonlabor!$I$17="LogGB",'Monthly Growth'!H37,IF(Nonlabor!$I$17="RequestsM",'Monthly Growth'!F37,IF(Nonlabor!$I$17="InputM",'Monthly Growth'!D37*Assumptions!$E$22/1000000,IF(Nonlabor!$I$17="OutputM",'Monthly Growth'!D37*Assumptions!$E$23/1000000,0))))))))),0)</f>
        <v>0</v>
      </c>
      <c r="F3337" s="10" t="n">
        <f aca="false">Nonlabor!$J$17*(1+Assumptions!$E$9)^INT((C3337-1)/12)</f>
        <v>19468.8</v>
      </c>
      <c r="G3337" s="10" t="n">
        <f aca="false">E3337*F3337</f>
        <v>0</v>
      </c>
      <c r="H3337" s="10" t="n">
        <f aca="false">IF(OR(Nonlabor!$L$17="Quote required",Nonlabor!$L$17="Unverified"),G3337,0)</f>
        <v>0</v>
      </c>
      <c r="I3337" s="10" t="n">
        <f aca="false">IF(Nonlabor!$E$17="Core",0,G3337)</f>
        <v>0</v>
      </c>
      <c r="J3337" s="23" t="str">
        <f aca="false">Nonlabor!$B$17</f>
        <v>SECURITY</v>
      </c>
    </row>
    <row r="3338" customFormat="false" ht="15" hidden="false" customHeight="false" outlineLevel="0" collapsed="false">
      <c r="A3338" s="6" t="s">
        <v>73</v>
      </c>
      <c r="B3338" s="6" t="s">
        <v>410</v>
      </c>
      <c r="C3338" s="6" t="n">
        <v>33</v>
      </c>
      <c r="D3338" s="25" t="n">
        <f aca="false">EDATE('Start Here'!$B$6,C3338-1)</f>
        <v>47300</v>
      </c>
      <c r="E3338" s="23" t="n">
        <f aca="false">IF(AND(OR(Nonlabor!$D$17="Both",Nonlabor!$D$17='Start Here'!$B$9),IF(Nonlabor!$E$17="Core",1,IF(Nonlabor!$E$17="AI",'Start Here'!$B$7,'Start Here'!$B$8))=1,C3338&gt;=IF(Nonlabor!$E$17="Core",Nonlabor!$F$17,MAX(Nonlabor!$F$17,IF(Nonlabor!$E$17="AI",Assumptions!$E$24,Assumptions!$E$25))),C3338&lt;=Nonlabor!$G$17,OR(Nonlabor!$H$17="Monthly",AND(Nonlabor!$H$17="Once",C3338=IF(Nonlabor!$E$17="Core",Nonlabor!$F$17,MAX(Nonlabor!$F$17,IF(Nonlabor!$E$17="AI",Assumptions!$E$24,Assumptions!$E$25)))),AND(Nonlabor!$H$17="Annual",MOD(C3338-IF(Nonlabor!$E$17="Core",Nonlabor!$F$17,MAX(Nonlabor!$F$17,IF(Nonlabor!$E$17="AI",Assumptions!$E$24,Assumptions!$E$25))),12)=0))),IF(Nonlabor!$I$17="Fixed",1,IF(Nonlabor!$I$17="Seats",ROUNDUP('Monthly Growth'!I38,0),IF(Nonlabor!$I$17="Customers",'Monthly Growth'!D38,IF(Nonlabor!$I$17="NewCustomers",'Monthly Growth'!C38,IF(Nonlabor!$I$17="StorageGB",'Monthly Growth'!G38,IF(Nonlabor!$I$17="LogGB",'Monthly Growth'!H38,IF(Nonlabor!$I$17="RequestsM",'Monthly Growth'!F38,IF(Nonlabor!$I$17="InputM",'Monthly Growth'!D38*Assumptions!$E$22/1000000,IF(Nonlabor!$I$17="OutputM",'Monthly Growth'!D38*Assumptions!$E$23/1000000,0))))))))),0)</f>
        <v>0</v>
      </c>
      <c r="F3338" s="10" t="n">
        <f aca="false">Nonlabor!$J$17*(1+Assumptions!$E$9)^INT((C3338-1)/12)</f>
        <v>19468.8</v>
      </c>
      <c r="G3338" s="10" t="n">
        <f aca="false">E3338*F3338</f>
        <v>0</v>
      </c>
      <c r="H3338" s="10" t="n">
        <f aca="false">IF(OR(Nonlabor!$L$17="Quote required",Nonlabor!$L$17="Unverified"),G3338,0)</f>
        <v>0</v>
      </c>
      <c r="I3338" s="10" t="n">
        <f aca="false">IF(Nonlabor!$E$17="Core",0,G3338)</f>
        <v>0</v>
      </c>
      <c r="J3338" s="23" t="str">
        <f aca="false">Nonlabor!$B$17</f>
        <v>SECURITY</v>
      </c>
    </row>
    <row r="3339" customFormat="false" ht="15" hidden="false" customHeight="false" outlineLevel="0" collapsed="false">
      <c r="A3339" s="6" t="s">
        <v>73</v>
      </c>
      <c r="B3339" s="6" t="s">
        <v>410</v>
      </c>
      <c r="C3339" s="6" t="n">
        <v>34</v>
      </c>
      <c r="D3339" s="25" t="n">
        <f aca="false">EDATE('Start Here'!$B$6,C3339-1)</f>
        <v>47331</v>
      </c>
      <c r="E3339" s="23" t="n">
        <f aca="false">IF(AND(OR(Nonlabor!$D$17="Both",Nonlabor!$D$17='Start Here'!$B$9),IF(Nonlabor!$E$17="Core",1,IF(Nonlabor!$E$17="AI",'Start Here'!$B$7,'Start Here'!$B$8))=1,C3339&gt;=IF(Nonlabor!$E$17="Core",Nonlabor!$F$17,MAX(Nonlabor!$F$17,IF(Nonlabor!$E$17="AI",Assumptions!$E$24,Assumptions!$E$25))),C3339&lt;=Nonlabor!$G$17,OR(Nonlabor!$H$17="Monthly",AND(Nonlabor!$H$17="Once",C3339=IF(Nonlabor!$E$17="Core",Nonlabor!$F$17,MAX(Nonlabor!$F$17,IF(Nonlabor!$E$17="AI",Assumptions!$E$24,Assumptions!$E$25)))),AND(Nonlabor!$H$17="Annual",MOD(C3339-IF(Nonlabor!$E$17="Core",Nonlabor!$F$17,MAX(Nonlabor!$F$17,IF(Nonlabor!$E$17="AI",Assumptions!$E$24,Assumptions!$E$25))),12)=0))),IF(Nonlabor!$I$17="Fixed",1,IF(Nonlabor!$I$17="Seats",ROUNDUP('Monthly Growth'!I39,0),IF(Nonlabor!$I$17="Customers",'Monthly Growth'!D39,IF(Nonlabor!$I$17="NewCustomers",'Monthly Growth'!C39,IF(Nonlabor!$I$17="StorageGB",'Monthly Growth'!G39,IF(Nonlabor!$I$17="LogGB",'Monthly Growth'!H39,IF(Nonlabor!$I$17="RequestsM",'Monthly Growth'!F39,IF(Nonlabor!$I$17="InputM",'Monthly Growth'!D39*Assumptions!$E$22/1000000,IF(Nonlabor!$I$17="OutputM",'Monthly Growth'!D39*Assumptions!$E$23/1000000,0))))))))),0)</f>
        <v>1</v>
      </c>
      <c r="F3339" s="10" t="n">
        <f aca="false">Nonlabor!$J$17*(1+Assumptions!$E$9)^INT((C3339-1)/12)</f>
        <v>19468.8</v>
      </c>
      <c r="G3339" s="10" t="n">
        <f aca="false">E3339*F3339</f>
        <v>19468.8</v>
      </c>
      <c r="H3339" s="10" t="n">
        <f aca="false">IF(OR(Nonlabor!$L$17="Quote required",Nonlabor!$L$17="Unverified"),G3339,0)</f>
        <v>19468.8</v>
      </c>
      <c r="I3339" s="10" t="n">
        <f aca="false">IF(Nonlabor!$E$17="Core",0,G3339)</f>
        <v>0</v>
      </c>
      <c r="J3339" s="23" t="str">
        <f aca="false">Nonlabor!$B$17</f>
        <v>SECURITY</v>
      </c>
    </row>
    <row r="3340" customFormat="false" ht="15" hidden="false" customHeight="false" outlineLevel="0" collapsed="false">
      <c r="A3340" s="6" t="s">
        <v>73</v>
      </c>
      <c r="B3340" s="6" t="s">
        <v>410</v>
      </c>
      <c r="C3340" s="6" t="n">
        <v>35</v>
      </c>
      <c r="D3340" s="25" t="n">
        <f aca="false">EDATE('Start Here'!$B$6,C3340-1)</f>
        <v>47362</v>
      </c>
      <c r="E3340" s="23" t="n">
        <f aca="false">IF(AND(OR(Nonlabor!$D$17="Both",Nonlabor!$D$17='Start Here'!$B$9),IF(Nonlabor!$E$17="Core",1,IF(Nonlabor!$E$17="AI",'Start Here'!$B$7,'Start Here'!$B$8))=1,C3340&gt;=IF(Nonlabor!$E$17="Core",Nonlabor!$F$17,MAX(Nonlabor!$F$17,IF(Nonlabor!$E$17="AI",Assumptions!$E$24,Assumptions!$E$25))),C3340&lt;=Nonlabor!$G$17,OR(Nonlabor!$H$17="Monthly",AND(Nonlabor!$H$17="Once",C3340=IF(Nonlabor!$E$17="Core",Nonlabor!$F$17,MAX(Nonlabor!$F$17,IF(Nonlabor!$E$17="AI",Assumptions!$E$24,Assumptions!$E$25)))),AND(Nonlabor!$H$17="Annual",MOD(C3340-IF(Nonlabor!$E$17="Core",Nonlabor!$F$17,MAX(Nonlabor!$F$17,IF(Nonlabor!$E$17="AI",Assumptions!$E$24,Assumptions!$E$25))),12)=0))),IF(Nonlabor!$I$17="Fixed",1,IF(Nonlabor!$I$17="Seats",ROUNDUP('Monthly Growth'!I40,0),IF(Nonlabor!$I$17="Customers",'Monthly Growth'!D40,IF(Nonlabor!$I$17="NewCustomers",'Monthly Growth'!C40,IF(Nonlabor!$I$17="StorageGB",'Monthly Growth'!G40,IF(Nonlabor!$I$17="LogGB",'Monthly Growth'!H40,IF(Nonlabor!$I$17="RequestsM",'Monthly Growth'!F40,IF(Nonlabor!$I$17="InputM",'Monthly Growth'!D40*Assumptions!$E$22/1000000,IF(Nonlabor!$I$17="OutputM",'Monthly Growth'!D40*Assumptions!$E$23/1000000,0))))))))),0)</f>
        <v>0</v>
      </c>
      <c r="F3340" s="10" t="n">
        <f aca="false">Nonlabor!$J$17*(1+Assumptions!$E$9)^INT((C3340-1)/12)</f>
        <v>19468.8</v>
      </c>
      <c r="G3340" s="10" t="n">
        <f aca="false">E3340*F3340</f>
        <v>0</v>
      </c>
      <c r="H3340" s="10" t="n">
        <f aca="false">IF(OR(Nonlabor!$L$17="Quote required",Nonlabor!$L$17="Unverified"),G3340,0)</f>
        <v>0</v>
      </c>
      <c r="I3340" s="10" t="n">
        <f aca="false">IF(Nonlabor!$E$17="Core",0,G3340)</f>
        <v>0</v>
      </c>
      <c r="J3340" s="23" t="str">
        <f aca="false">Nonlabor!$B$17</f>
        <v>SECURITY</v>
      </c>
    </row>
    <row r="3341" customFormat="false" ht="15" hidden="false" customHeight="false" outlineLevel="0" collapsed="false">
      <c r="A3341" s="6" t="s">
        <v>73</v>
      </c>
      <c r="B3341" s="6" t="s">
        <v>410</v>
      </c>
      <c r="C3341" s="6" t="n">
        <v>36</v>
      </c>
      <c r="D3341" s="25" t="n">
        <f aca="false">EDATE('Start Here'!$B$6,C3341-1)</f>
        <v>47392</v>
      </c>
      <c r="E3341" s="23" t="n">
        <f aca="false">IF(AND(OR(Nonlabor!$D$17="Both",Nonlabor!$D$17='Start Here'!$B$9),IF(Nonlabor!$E$17="Core",1,IF(Nonlabor!$E$17="AI",'Start Here'!$B$7,'Start Here'!$B$8))=1,C3341&gt;=IF(Nonlabor!$E$17="Core",Nonlabor!$F$17,MAX(Nonlabor!$F$17,IF(Nonlabor!$E$17="AI",Assumptions!$E$24,Assumptions!$E$25))),C3341&lt;=Nonlabor!$G$17,OR(Nonlabor!$H$17="Monthly",AND(Nonlabor!$H$17="Once",C3341=IF(Nonlabor!$E$17="Core",Nonlabor!$F$17,MAX(Nonlabor!$F$17,IF(Nonlabor!$E$17="AI",Assumptions!$E$24,Assumptions!$E$25)))),AND(Nonlabor!$H$17="Annual",MOD(C3341-IF(Nonlabor!$E$17="Core",Nonlabor!$F$17,MAX(Nonlabor!$F$17,IF(Nonlabor!$E$17="AI",Assumptions!$E$24,Assumptions!$E$25))),12)=0))),IF(Nonlabor!$I$17="Fixed",1,IF(Nonlabor!$I$17="Seats",ROUNDUP('Monthly Growth'!I41,0),IF(Nonlabor!$I$17="Customers",'Monthly Growth'!D41,IF(Nonlabor!$I$17="NewCustomers",'Monthly Growth'!C41,IF(Nonlabor!$I$17="StorageGB",'Monthly Growth'!G41,IF(Nonlabor!$I$17="LogGB",'Monthly Growth'!H41,IF(Nonlabor!$I$17="RequestsM",'Monthly Growth'!F41,IF(Nonlabor!$I$17="InputM",'Monthly Growth'!D41*Assumptions!$E$22/1000000,IF(Nonlabor!$I$17="OutputM",'Monthly Growth'!D41*Assumptions!$E$23/1000000,0))))))))),0)</f>
        <v>0</v>
      </c>
      <c r="F3341" s="10" t="n">
        <f aca="false">Nonlabor!$J$17*(1+Assumptions!$E$9)^INT((C3341-1)/12)</f>
        <v>19468.8</v>
      </c>
      <c r="G3341" s="10" t="n">
        <f aca="false">E3341*F3341</f>
        <v>0</v>
      </c>
      <c r="H3341" s="10" t="n">
        <f aca="false">IF(OR(Nonlabor!$L$17="Quote required",Nonlabor!$L$17="Unverified"),G3341,0)</f>
        <v>0</v>
      </c>
      <c r="I3341" s="10" t="n">
        <f aca="false">IF(Nonlabor!$E$17="Core",0,G3341)</f>
        <v>0</v>
      </c>
      <c r="J3341" s="23" t="str">
        <f aca="false">Nonlabor!$B$17</f>
        <v>SECURITY</v>
      </c>
    </row>
    <row r="3342" customFormat="false" ht="15" hidden="false" customHeight="false" outlineLevel="0" collapsed="false">
      <c r="A3342" s="6" t="s">
        <v>73</v>
      </c>
      <c r="B3342" s="6" t="s">
        <v>410</v>
      </c>
      <c r="C3342" s="6" t="n">
        <v>37</v>
      </c>
      <c r="D3342" s="25" t="n">
        <f aca="false">EDATE('Start Here'!$B$6,C3342-1)</f>
        <v>47423</v>
      </c>
      <c r="E3342" s="23" t="n">
        <f aca="false">IF(AND(OR(Nonlabor!$D$17="Both",Nonlabor!$D$17='Start Here'!$B$9),IF(Nonlabor!$E$17="Core",1,IF(Nonlabor!$E$17="AI",'Start Here'!$B$7,'Start Here'!$B$8))=1,C3342&gt;=IF(Nonlabor!$E$17="Core",Nonlabor!$F$17,MAX(Nonlabor!$F$17,IF(Nonlabor!$E$17="AI",Assumptions!$E$24,Assumptions!$E$25))),C3342&lt;=Nonlabor!$G$17,OR(Nonlabor!$H$17="Monthly",AND(Nonlabor!$H$17="Once",C3342=IF(Nonlabor!$E$17="Core",Nonlabor!$F$17,MAX(Nonlabor!$F$17,IF(Nonlabor!$E$17="AI",Assumptions!$E$24,Assumptions!$E$25)))),AND(Nonlabor!$H$17="Annual",MOD(C3342-IF(Nonlabor!$E$17="Core",Nonlabor!$F$17,MAX(Nonlabor!$F$17,IF(Nonlabor!$E$17="AI",Assumptions!$E$24,Assumptions!$E$25))),12)=0))),IF(Nonlabor!$I$17="Fixed",1,IF(Nonlabor!$I$17="Seats",ROUNDUP('Monthly Growth'!I42,0),IF(Nonlabor!$I$17="Customers",'Monthly Growth'!D42,IF(Nonlabor!$I$17="NewCustomers",'Monthly Growth'!C42,IF(Nonlabor!$I$17="StorageGB",'Monthly Growth'!G42,IF(Nonlabor!$I$17="LogGB",'Monthly Growth'!H42,IF(Nonlabor!$I$17="RequestsM",'Monthly Growth'!F42,IF(Nonlabor!$I$17="InputM",'Monthly Growth'!D42*Assumptions!$E$22/1000000,IF(Nonlabor!$I$17="OutputM",'Monthly Growth'!D42*Assumptions!$E$23/1000000,0))))))))),0)</f>
        <v>0</v>
      </c>
      <c r="F3342" s="10" t="n">
        <f aca="false">Nonlabor!$J$17*(1+Assumptions!$E$9)^INT((C3342-1)/12)</f>
        <v>20247.552</v>
      </c>
      <c r="G3342" s="10" t="n">
        <f aca="false">E3342*F3342</f>
        <v>0</v>
      </c>
      <c r="H3342" s="10" t="n">
        <f aca="false">IF(OR(Nonlabor!$L$17="Quote required",Nonlabor!$L$17="Unverified"),G3342,0)</f>
        <v>0</v>
      </c>
      <c r="I3342" s="10" t="n">
        <f aca="false">IF(Nonlabor!$E$17="Core",0,G3342)</f>
        <v>0</v>
      </c>
      <c r="J3342" s="23" t="str">
        <f aca="false">Nonlabor!$B$17</f>
        <v>SECURITY</v>
      </c>
    </row>
    <row r="3343" customFormat="false" ht="15" hidden="false" customHeight="false" outlineLevel="0" collapsed="false">
      <c r="A3343" s="6" t="s">
        <v>73</v>
      </c>
      <c r="B3343" s="6" t="s">
        <v>410</v>
      </c>
      <c r="C3343" s="6" t="n">
        <v>38</v>
      </c>
      <c r="D3343" s="25" t="n">
        <f aca="false">EDATE('Start Here'!$B$6,C3343-1)</f>
        <v>47453</v>
      </c>
      <c r="E3343" s="23" t="n">
        <f aca="false">IF(AND(OR(Nonlabor!$D$17="Both",Nonlabor!$D$17='Start Here'!$B$9),IF(Nonlabor!$E$17="Core",1,IF(Nonlabor!$E$17="AI",'Start Here'!$B$7,'Start Here'!$B$8))=1,C3343&gt;=IF(Nonlabor!$E$17="Core",Nonlabor!$F$17,MAX(Nonlabor!$F$17,IF(Nonlabor!$E$17="AI",Assumptions!$E$24,Assumptions!$E$25))),C3343&lt;=Nonlabor!$G$17,OR(Nonlabor!$H$17="Monthly",AND(Nonlabor!$H$17="Once",C3343=IF(Nonlabor!$E$17="Core",Nonlabor!$F$17,MAX(Nonlabor!$F$17,IF(Nonlabor!$E$17="AI",Assumptions!$E$24,Assumptions!$E$25)))),AND(Nonlabor!$H$17="Annual",MOD(C3343-IF(Nonlabor!$E$17="Core",Nonlabor!$F$17,MAX(Nonlabor!$F$17,IF(Nonlabor!$E$17="AI",Assumptions!$E$24,Assumptions!$E$25))),12)=0))),IF(Nonlabor!$I$17="Fixed",1,IF(Nonlabor!$I$17="Seats",ROUNDUP('Monthly Growth'!I43,0),IF(Nonlabor!$I$17="Customers",'Monthly Growth'!D43,IF(Nonlabor!$I$17="NewCustomers",'Monthly Growth'!C43,IF(Nonlabor!$I$17="StorageGB",'Monthly Growth'!G43,IF(Nonlabor!$I$17="LogGB",'Monthly Growth'!H43,IF(Nonlabor!$I$17="RequestsM",'Monthly Growth'!F43,IF(Nonlabor!$I$17="InputM",'Monthly Growth'!D43*Assumptions!$E$22/1000000,IF(Nonlabor!$I$17="OutputM",'Monthly Growth'!D43*Assumptions!$E$23/1000000,0))))))))),0)</f>
        <v>0</v>
      </c>
      <c r="F3343" s="10" t="n">
        <f aca="false">Nonlabor!$J$17*(1+Assumptions!$E$9)^INT((C3343-1)/12)</f>
        <v>20247.552</v>
      </c>
      <c r="G3343" s="10" t="n">
        <f aca="false">E3343*F3343</f>
        <v>0</v>
      </c>
      <c r="H3343" s="10" t="n">
        <f aca="false">IF(OR(Nonlabor!$L$17="Quote required",Nonlabor!$L$17="Unverified"),G3343,0)</f>
        <v>0</v>
      </c>
      <c r="I3343" s="10" t="n">
        <f aca="false">IF(Nonlabor!$E$17="Core",0,G3343)</f>
        <v>0</v>
      </c>
      <c r="J3343" s="23" t="str">
        <f aca="false">Nonlabor!$B$17</f>
        <v>SECURITY</v>
      </c>
    </row>
    <row r="3344" customFormat="false" ht="15" hidden="false" customHeight="false" outlineLevel="0" collapsed="false">
      <c r="A3344" s="6" t="s">
        <v>73</v>
      </c>
      <c r="B3344" s="6" t="s">
        <v>410</v>
      </c>
      <c r="C3344" s="6" t="n">
        <v>39</v>
      </c>
      <c r="D3344" s="25" t="n">
        <f aca="false">EDATE('Start Here'!$B$6,C3344-1)</f>
        <v>47484</v>
      </c>
      <c r="E3344" s="23" t="n">
        <f aca="false">IF(AND(OR(Nonlabor!$D$17="Both",Nonlabor!$D$17='Start Here'!$B$9),IF(Nonlabor!$E$17="Core",1,IF(Nonlabor!$E$17="AI",'Start Here'!$B$7,'Start Here'!$B$8))=1,C3344&gt;=IF(Nonlabor!$E$17="Core",Nonlabor!$F$17,MAX(Nonlabor!$F$17,IF(Nonlabor!$E$17="AI",Assumptions!$E$24,Assumptions!$E$25))),C3344&lt;=Nonlabor!$G$17,OR(Nonlabor!$H$17="Monthly",AND(Nonlabor!$H$17="Once",C3344=IF(Nonlabor!$E$17="Core",Nonlabor!$F$17,MAX(Nonlabor!$F$17,IF(Nonlabor!$E$17="AI",Assumptions!$E$24,Assumptions!$E$25)))),AND(Nonlabor!$H$17="Annual",MOD(C3344-IF(Nonlabor!$E$17="Core",Nonlabor!$F$17,MAX(Nonlabor!$F$17,IF(Nonlabor!$E$17="AI",Assumptions!$E$24,Assumptions!$E$25))),12)=0))),IF(Nonlabor!$I$17="Fixed",1,IF(Nonlabor!$I$17="Seats",ROUNDUP('Monthly Growth'!I44,0),IF(Nonlabor!$I$17="Customers",'Monthly Growth'!D44,IF(Nonlabor!$I$17="NewCustomers",'Monthly Growth'!C44,IF(Nonlabor!$I$17="StorageGB",'Monthly Growth'!G44,IF(Nonlabor!$I$17="LogGB",'Monthly Growth'!H44,IF(Nonlabor!$I$17="RequestsM",'Monthly Growth'!F44,IF(Nonlabor!$I$17="InputM",'Monthly Growth'!D44*Assumptions!$E$22/1000000,IF(Nonlabor!$I$17="OutputM",'Monthly Growth'!D44*Assumptions!$E$23/1000000,0))))))))),0)</f>
        <v>0</v>
      </c>
      <c r="F3344" s="10" t="n">
        <f aca="false">Nonlabor!$J$17*(1+Assumptions!$E$9)^INT((C3344-1)/12)</f>
        <v>20247.552</v>
      </c>
      <c r="G3344" s="10" t="n">
        <f aca="false">E3344*F3344</f>
        <v>0</v>
      </c>
      <c r="H3344" s="10" t="n">
        <f aca="false">IF(OR(Nonlabor!$L$17="Quote required",Nonlabor!$L$17="Unverified"),G3344,0)</f>
        <v>0</v>
      </c>
      <c r="I3344" s="10" t="n">
        <f aca="false">IF(Nonlabor!$E$17="Core",0,G3344)</f>
        <v>0</v>
      </c>
      <c r="J3344" s="23" t="str">
        <f aca="false">Nonlabor!$B$17</f>
        <v>SECURITY</v>
      </c>
    </row>
    <row r="3345" customFormat="false" ht="15" hidden="false" customHeight="false" outlineLevel="0" collapsed="false">
      <c r="A3345" s="6" t="s">
        <v>73</v>
      </c>
      <c r="B3345" s="6" t="s">
        <v>410</v>
      </c>
      <c r="C3345" s="6" t="n">
        <v>40</v>
      </c>
      <c r="D3345" s="25" t="n">
        <f aca="false">EDATE('Start Here'!$B$6,C3345-1)</f>
        <v>47515</v>
      </c>
      <c r="E3345" s="23" t="n">
        <f aca="false">IF(AND(OR(Nonlabor!$D$17="Both",Nonlabor!$D$17='Start Here'!$B$9),IF(Nonlabor!$E$17="Core",1,IF(Nonlabor!$E$17="AI",'Start Here'!$B$7,'Start Here'!$B$8))=1,C3345&gt;=IF(Nonlabor!$E$17="Core",Nonlabor!$F$17,MAX(Nonlabor!$F$17,IF(Nonlabor!$E$17="AI",Assumptions!$E$24,Assumptions!$E$25))),C3345&lt;=Nonlabor!$G$17,OR(Nonlabor!$H$17="Monthly",AND(Nonlabor!$H$17="Once",C3345=IF(Nonlabor!$E$17="Core",Nonlabor!$F$17,MAX(Nonlabor!$F$17,IF(Nonlabor!$E$17="AI",Assumptions!$E$24,Assumptions!$E$25)))),AND(Nonlabor!$H$17="Annual",MOD(C3345-IF(Nonlabor!$E$17="Core",Nonlabor!$F$17,MAX(Nonlabor!$F$17,IF(Nonlabor!$E$17="AI",Assumptions!$E$24,Assumptions!$E$25))),12)=0))),IF(Nonlabor!$I$17="Fixed",1,IF(Nonlabor!$I$17="Seats",ROUNDUP('Monthly Growth'!I45,0),IF(Nonlabor!$I$17="Customers",'Monthly Growth'!D45,IF(Nonlabor!$I$17="NewCustomers",'Monthly Growth'!C45,IF(Nonlabor!$I$17="StorageGB",'Monthly Growth'!G45,IF(Nonlabor!$I$17="LogGB",'Monthly Growth'!H45,IF(Nonlabor!$I$17="RequestsM",'Monthly Growth'!F45,IF(Nonlabor!$I$17="InputM",'Monthly Growth'!D45*Assumptions!$E$22/1000000,IF(Nonlabor!$I$17="OutputM",'Monthly Growth'!D45*Assumptions!$E$23/1000000,0))))))))),0)</f>
        <v>0</v>
      </c>
      <c r="F3345" s="10" t="n">
        <f aca="false">Nonlabor!$J$17*(1+Assumptions!$E$9)^INT((C3345-1)/12)</f>
        <v>20247.552</v>
      </c>
      <c r="G3345" s="10" t="n">
        <f aca="false">E3345*F3345</f>
        <v>0</v>
      </c>
      <c r="H3345" s="10" t="n">
        <f aca="false">IF(OR(Nonlabor!$L$17="Quote required",Nonlabor!$L$17="Unverified"),G3345,0)</f>
        <v>0</v>
      </c>
      <c r="I3345" s="10" t="n">
        <f aca="false">IF(Nonlabor!$E$17="Core",0,G3345)</f>
        <v>0</v>
      </c>
      <c r="J3345" s="23" t="str">
        <f aca="false">Nonlabor!$B$17</f>
        <v>SECURITY</v>
      </c>
    </row>
    <row r="3346" customFormat="false" ht="15" hidden="false" customHeight="false" outlineLevel="0" collapsed="false">
      <c r="A3346" s="6" t="s">
        <v>73</v>
      </c>
      <c r="B3346" s="6" t="s">
        <v>410</v>
      </c>
      <c r="C3346" s="6" t="n">
        <v>41</v>
      </c>
      <c r="D3346" s="25" t="n">
        <f aca="false">EDATE('Start Here'!$B$6,C3346-1)</f>
        <v>47543</v>
      </c>
      <c r="E3346" s="23" t="n">
        <f aca="false">IF(AND(OR(Nonlabor!$D$17="Both",Nonlabor!$D$17='Start Here'!$B$9),IF(Nonlabor!$E$17="Core",1,IF(Nonlabor!$E$17="AI",'Start Here'!$B$7,'Start Here'!$B$8))=1,C3346&gt;=IF(Nonlabor!$E$17="Core",Nonlabor!$F$17,MAX(Nonlabor!$F$17,IF(Nonlabor!$E$17="AI",Assumptions!$E$24,Assumptions!$E$25))),C3346&lt;=Nonlabor!$G$17,OR(Nonlabor!$H$17="Monthly",AND(Nonlabor!$H$17="Once",C3346=IF(Nonlabor!$E$17="Core",Nonlabor!$F$17,MAX(Nonlabor!$F$17,IF(Nonlabor!$E$17="AI",Assumptions!$E$24,Assumptions!$E$25)))),AND(Nonlabor!$H$17="Annual",MOD(C3346-IF(Nonlabor!$E$17="Core",Nonlabor!$F$17,MAX(Nonlabor!$F$17,IF(Nonlabor!$E$17="AI",Assumptions!$E$24,Assumptions!$E$25))),12)=0))),IF(Nonlabor!$I$17="Fixed",1,IF(Nonlabor!$I$17="Seats",ROUNDUP('Monthly Growth'!I46,0),IF(Nonlabor!$I$17="Customers",'Monthly Growth'!D46,IF(Nonlabor!$I$17="NewCustomers",'Monthly Growth'!C46,IF(Nonlabor!$I$17="StorageGB",'Monthly Growth'!G46,IF(Nonlabor!$I$17="LogGB",'Monthly Growth'!H46,IF(Nonlabor!$I$17="RequestsM",'Monthly Growth'!F46,IF(Nonlabor!$I$17="InputM",'Monthly Growth'!D46*Assumptions!$E$22/1000000,IF(Nonlabor!$I$17="OutputM",'Monthly Growth'!D46*Assumptions!$E$23/1000000,0))))))))),0)</f>
        <v>0</v>
      </c>
      <c r="F3346" s="10" t="n">
        <f aca="false">Nonlabor!$J$17*(1+Assumptions!$E$9)^INT((C3346-1)/12)</f>
        <v>20247.552</v>
      </c>
      <c r="G3346" s="10" t="n">
        <f aca="false">E3346*F3346</f>
        <v>0</v>
      </c>
      <c r="H3346" s="10" t="n">
        <f aca="false">IF(OR(Nonlabor!$L$17="Quote required",Nonlabor!$L$17="Unverified"),G3346,0)</f>
        <v>0</v>
      </c>
      <c r="I3346" s="10" t="n">
        <f aca="false">IF(Nonlabor!$E$17="Core",0,G3346)</f>
        <v>0</v>
      </c>
      <c r="J3346" s="23" t="str">
        <f aca="false">Nonlabor!$B$17</f>
        <v>SECURITY</v>
      </c>
    </row>
    <row r="3347" customFormat="false" ht="15" hidden="false" customHeight="false" outlineLevel="0" collapsed="false">
      <c r="A3347" s="6" t="s">
        <v>73</v>
      </c>
      <c r="B3347" s="6" t="s">
        <v>410</v>
      </c>
      <c r="C3347" s="6" t="n">
        <v>42</v>
      </c>
      <c r="D3347" s="25" t="n">
        <f aca="false">EDATE('Start Here'!$B$6,C3347-1)</f>
        <v>47574</v>
      </c>
      <c r="E3347" s="23" t="n">
        <f aca="false">IF(AND(OR(Nonlabor!$D$17="Both",Nonlabor!$D$17='Start Here'!$B$9),IF(Nonlabor!$E$17="Core",1,IF(Nonlabor!$E$17="AI",'Start Here'!$B$7,'Start Here'!$B$8))=1,C3347&gt;=IF(Nonlabor!$E$17="Core",Nonlabor!$F$17,MAX(Nonlabor!$F$17,IF(Nonlabor!$E$17="AI",Assumptions!$E$24,Assumptions!$E$25))),C3347&lt;=Nonlabor!$G$17,OR(Nonlabor!$H$17="Monthly",AND(Nonlabor!$H$17="Once",C3347=IF(Nonlabor!$E$17="Core",Nonlabor!$F$17,MAX(Nonlabor!$F$17,IF(Nonlabor!$E$17="AI",Assumptions!$E$24,Assumptions!$E$25)))),AND(Nonlabor!$H$17="Annual",MOD(C3347-IF(Nonlabor!$E$17="Core",Nonlabor!$F$17,MAX(Nonlabor!$F$17,IF(Nonlabor!$E$17="AI",Assumptions!$E$24,Assumptions!$E$25))),12)=0))),IF(Nonlabor!$I$17="Fixed",1,IF(Nonlabor!$I$17="Seats",ROUNDUP('Monthly Growth'!I47,0),IF(Nonlabor!$I$17="Customers",'Monthly Growth'!D47,IF(Nonlabor!$I$17="NewCustomers",'Monthly Growth'!C47,IF(Nonlabor!$I$17="StorageGB",'Monthly Growth'!G47,IF(Nonlabor!$I$17="LogGB",'Monthly Growth'!H47,IF(Nonlabor!$I$17="RequestsM",'Monthly Growth'!F47,IF(Nonlabor!$I$17="InputM",'Monthly Growth'!D47*Assumptions!$E$22/1000000,IF(Nonlabor!$I$17="OutputM",'Monthly Growth'!D47*Assumptions!$E$23/1000000,0))))))))),0)</f>
        <v>0</v>
      </c>
      <c r="F3347" s="10" t="n">
        <f aca="false">Nonlabor!$J$17*(1+Assumptions!$E$9)^INT((C3347-1)/12)</f>
        <v>20247.552</v>
      </c>
      <c r="G3347" s="10" t="n">
        <f aca="false">E3347*F3347</f>
        <v>0</v>
      </c>
      <c r="H3347" s="10" t="n">
        <f aca="false">IF(OR(Nonlabor!$L$17="Quote required",Nonlabor!$L$17="Unverified"),G3347,0)</f>
        <v>0</v>
      </c>
      <c r="I3347" s="10" t="n">
        <f aca="false">IF(Nonlabor!$E$17="Core",0,G3347)</f>
        <v>0</v>
      </c>
      <c r="J3347" s="23" t="str">
        <f aca="false">Nonlabor!$B$17</f>
        <v>SECURITY</v>
      </c>
    </row>
    <row r="3348" customFormat="false" ht="15" hidden="false" customHeight="false" outlineLevel="0" collapsed="false">
      <c r="A3348" s="6" t="s">
        <v>73</v>
      </c>
      <c r="B3348" s="6" t="s">
        <v>410</v>
      </c>
      <c r="C3348" s="6" t="n">
        <v>43</v>
      </c>
      <c r="D3348" s="25" t="n">
        <f aca="false">EDATE('Start Here'!$B$6,C3348-1)</f>
        <v>47604</v>
      </c>
      <c r="E3348" s="23" t="n">
        <f aca="false">IF(AND(OR(Nonlabor!$D$17="Both",Nonlabor!$D$17='Start Here'!$B$9),IF(Nonlabor!$E$17="Core",1,IF(Nonlabor!$E$17="AI",'Start Here'!$B$7,'Start Here'!$B$8))=1,C3348&gt;=IF(Nonlabor!$E$17="Core",Nonlabor!$F$17,MAX(Nonlabor!$F$17,IF(Nonlabor!$E$17="AI",Assumptions!$E$24,Assumptions!$E$25))),C3348&lt;=Nonlabor!$G$17,OR(Nonlabor!$H$17="Monthly",AND(Nonlabor!$H$17="Once",C3348=IF(Nonlabor!$E$17="Core",Nonlabor!$F$17,MAX(Nonlabor!$F$17,IF(Nonlabor!$E$17="AI",Assumptions!$E$24,Assumptions!$E$25)))),AND(Nonlabor!$H$17="Annual",MOD(C3348-IF(Nonlabor!$E$17="Core",Nonlabor!$F$17,MAX(Nonlabor!$F$17,IF(Nonlabor!$E$17="AI",Assumptions!$E$24,Assumptions!$E$25))),12)=0))),IF(Nonlabor!$I$17="Fixed",1,IF(Nonlabor!$I$17="Seats",ROUNDUP('Monthly Growth'!I48,0),IF(Nonlabor!$I$17="Customers",'Monthly Growth'!D48,IF(Nonlabor!$I$17="NewCustomers",'Monthly Growth'!C48,IF(Nonlabor!$I$17="StorageGB",'Monthly Growth'!G48,IF(Nonlabor!$I$17="LogGB",'Monthly Growth'!H48,IF(Nonlabor!$I$17="RequestsM",'Monthly Growth'!F48,IF(Nonlabor!$I$17="InputM",'Monthly Growth'!D48*Assumptions!$E$22/1000000,IF(Nonlabor!$I$17="OutputM",'Monthly Growth'!D48*Assumptions!$E$23/1000000,0))))))))),0)</f>
        <v>0</v>
      </c>
      <c r="F3348" s="10" t="n">
        <f aca="false">Nonlabor!$J$17*(1+Assumptions!$E$9)^INT((C3348-1)/12)</f>
        <v>20247.552</v>
      </c>
      <c r="G3348" s="10" t="n">
        <f aca="false">E3348*F3348</f>
        <v>0</v>
      </c>
      <c r="H3348" s="10" t="n">
        <f aca="false">IF(OR(Nonlabor!$L$17="Quote required",Nonlabor!$L$17="Unverified"),G3348,0)</f>
        <v>0</v>
      </c>
      <c r="I3348" s="10" t="n">
        <f aca="false">IF(Nonlabor!$E$17="Core",0,G3348)</f>
        <v>0</v>
      </c>
      <c r="J3348" s="23" t="str">
        <f aca="false">Nonlabor!$B$17</f>
        <v>SECURITY</v>
      </c>
    </row>
    <row r="3349" customFormat="false" ht="15" hidden="false" customHeight="false" outlineLevel="0" collapsed="false">
      <c r="A3349" s="6" t="s">
        <v>73</v>
      </c>
      <c r="B3349" s="6" t="s">
        <v>410</v>
      </c>
      <c r="C3349" s="6" t="n">
        <v>44</v>
      </c>
      <c r="D3349" s="25" t="n">
        <f aca="false">EDATE('Start Here'!$B$6,C3349-1)</f>
        <v>47635</v>
      </c>
      <c r="E3349" s="23" t="n">
        <f aca="false">IF(AND(OR(Nonlabor!$D$17="Both",Nonlabor!$D$17='Start Here'!$B$9),IF(Nonlabor!$E$17="Core",1,IF(Nonlabor!$E$17="AI",'Start Here'!$B$7,'Start Here'!$B$8))=1,C3349&gt;=IF(Nonlabor!$E$17="Core",Nonlabor!$F$17,MAX(Nonlabor!$F$17,IF(Nonlabor!$E$17="AI",Assumptions!$E$24,Assumptions!$E$25))),C3349&lt;=Nonlabor!$G$17,OR(Nonlabor!$H$17="Monthly",AND(Nonlabor!$H$17="Once",C3349=IF(Nonlabor!$E$17="Core",Nonlabor!$F$17,MAX(Nonlabor!$F$17,IF(Nonlabor!$E$17="AI",Assumptions!$E$24,Assumptions!$E$25)))),AND(Nonlabor!$H$17="Annual",MOD(C3349-IF(Nonlabor!$E$17="Core",Nonlabor!$F$17,MAX(Nonlabor!$F$17,IF(Nonlabor!$E$17="AI",Assumptions!$E$24,Assumptions!$E$25))),12)=0))),IF(Nonlabor!$I$17="Fixed",1,IF(Nonlabor!$I$17="Seats",ROUNDUP('Monthly Growth'!I49,0),IF(Nonlabor!$I$17="Customers",'Monthly Growth'!D49,IF(Nonlabor!$I$17="NewCustomers",'Monthly Growth'!C49,IF(Nonlabor!$I$17="StorageGB",'Monthly Growth'!G49,IF(Nonlabor!$I$17="LogGB",'Monthly Growth'!H49,IF(Nonlabor!$I$17="RequestsM",'Monthly Growth'!F49,IF(Nonlabor!$I$17="InputM",'Monthly Growth'!D49*Assumptions!$E$22/1000000,IF(Nonlabor!$I$17="OutputM",'Monthly Growth'!D49*Assumptions!$E$23/1000000,0))))))))),0)</f>
        <v>0</v>
      </c>
      <c r="F3349" s="10" t="n">
        <f aca="false">Nonlabor!$J$17*(1+Assumptions!$E$9)^INT((C3349-1)/12)</f>
        <v>20247.552</v>
      </c>
      <c r="G3349" s="10" t="n">
        <f aca="false">E3349*F3349</f>
        <v>0</v>
      </c>
      <c r="H3349" s="10" t="n">
        <f aca="false">IF(OR(Nonlabor!$L$17="Quote required",Nonlabor!$L$17="Unverified"),G3349,0)</f>
        <v>0</v>
      </c>
      <c r="I3349" s="10" t="n">
        <f aca="false">IF(Nonlabor!$E$17="Core",0,G3349)</f>
        <v>0</v>
      </c>
      <c r="J3349" s="23" t="str">
        <f aca="false">Nonlabor!$B$17</f>
        <v>SECURITY</v>
      </c>
    </row>
    <row r="3350" customFormat="false" ht="15" hidden="false" customHeight="false" outlineLevel="0" collapsed="false">
      <c r="A3350" s="6" t="s">
        <v>73</v>
      </c>
      <c r="B3350" s="6" t="s">
        <v>410</v>
      </c>
      <c r="C3350" s="6" t="n">
        <v>45</v>
      </c>
      <c r="D3350" s="25" t="n">
        <f aca="false">EDATE('Start Here'!$B$6,C3350-1)</f>
        <v>47665</v>
      </c>
      <c r="E3350" s="23" t="n">
        <f aca="false">IF(AND(OR(Nonlabor!$D$17="Both",Nonlabor!$D$17='Start Here'!$B$9),IF(Nonlabor!$E$17="Core",1,IF(Nonlabor!$E$17="AI",'Start Here'!$B$7,'Start Here'!$B$8))=1,C3350&gt;=IF(Nonlabor!$E$17="Core",Nonlabor!$F$17,MAX(Nonlabor!$F$17,IF(Nonlabor!$E$17="AI",Assumptions!$E$24,Assumptions!$E$25))),C3350&lt;=Nonlabor!$G$17,OR(Nonlabor!$H$17="Monthly",AND(Nonlabor!$H$17="Once",C3350=IF(Nonlabor!$E$17="Core",Nonlabor!$F$17,MAX(Nonlabor!$F$17,IF(Nonlabor!$E$17="AI",Assumptions!$E$24,Assumptions!$E$25)))),AND(Nonlabor!$H$17="Annual",MOD(C3350-IF(Nonlabor!$E$17="Core",Nonlabor!$F$17,MAX(Nonlabor!$F$17,IF(Nonlabor!$E$17="AI",Assumptions!$E$24,Assumptions!$E$25))),12)=0))),IF(Nonlabor!$I$17="Fixed",1,IF(Nonlabor!$I$17="Seats",ROUNDUP('Monthly Growth'!I50,0),IF(Nonlabor!$I$17="Customers",'Monthly Growth'!D50,IF(Nonlabor!$I$17="NewCustomers",'Monthly Growth'!C50,IF(Nonlabor!$I$17="StorageGB",'Monthly Growth'!G50,IF(Nonlabor!$I$17="LogGB",'Monthly Growth'!H50,IF(Nonlabor!$I$17="RequestsM",'Monthly Growth'!F50,IF(Nonlabor!$I$17="InputM",'Monthly Growth'!D50*Assumptions!$E$22/1000000,IF(Nonlabor!$I$17="OutputM",'Monthly Growth'!D50*Assumptions!$E$23/1000000,0))))))))),0)</f>
        <v>0</v>
      </c>
      <c r="F3350" s="10" t="n">
        <f aca="false">Nonlabor!$J$17*(1+Assumptions!$E$9)^INT((C3350-1)/12)</f>
        <v>20247.552</v>
      </c>
      <c r="G3350" s="10" t="n">
        <f aca="false">E3350*F3350</f>
        <v>0</v>
      </c>
      <c r="H3350" s="10" t="n">
        <f aca="false">IF(OR(Nonlabor!$L$17="Quote required",Nonlabor!$L$17="Unverified"),G3350,0)</f>
        <v>0</v>
      </c>
      <c r="I3350" s="10" t="n">
        <f aca="false">IF(Nonlabor!$E$17="Core",0,G3350)</f>
        <v>0</v>
      </c>
      <c r="J3350" s="23" t="str">
        <f aca="false">Nonlabor!$B$17</f>
        <v>SECURITY</v>
      </c>
    </row>
    <row r="3351" customFormat="false" ht="15" hidden="false" customHeight="false" outlineLevel="0" collapsed="false">
      <c r="A3351" s="6" t="s">
        <v>73</v>
      </c>
      <c r="B3351" s="6" t="s">
        <v>410</v>
      </c>
      <c r="C3351" s="6" t="n">
        <v>46</v>
      </c>
      <c r="D3351" s="25" t="n">
        <f aca="false">EDATE('Start Here'!$B$6,C3351-1)</f>
        <v>47696</v>
      </c>
      <c r="E3351" s="23" t="n">
        <f aca="false">IF(AND(OR(Nonlabor!$D$17="Both",Nonlabor!$D$17='Start Here'!$B$9),IF(Nonlabor!$E$17="Core",1,IF(Nonlabor!$E$17="AI",'Start Here'!$B$7,'Start Here'!$B$8))=1,C3351&gt;=IF(Nonlabor!$E$17="Core",Nonlabor!$F$17,MAX(Nonlabor!$F$17,IF(Nonlabor!$E$17="AI",Assumptions!$E$24,Assumptions!$E$25))),C3351&lt;=Nonlabor!$G$17,OR(Nonlabor!$H$17="Monthly",AND(Nonlabor!$H$17="Once",C3351=IF(Nonlabor!$E$17="Core",Nonlabor!$F$17,MAX(Nonlabor!$F$17,IF(Nonlabor!$E$17="AI",Assumptions!$E$24,Assumptions!$E$25)))),AND(Nonlabor!$H$17="Annual",MOD(C3351-IF(Nonlabor!$E$17="Core",Nonlabor!$F$17,MAX(Nonlabor!$F$17,IF(Nonlabor!$E$17="AI",Assumptions!$E$24,Assumptions!$E$25))),12)=0))),IF(Nonlabor!$I$17="Fixed",1,IF(Nonlabor!$I$17="Seats",ROUNDUP('Monthly Growth'!I51,0),IF(Nonlabor!$I$17="Customers",'Monthly Growth'!D51,IF(Nonlabor!$I$17="NewCustomers",'Monthly Growth'!C51,IF(Nonlabor!$I$17="StorageGB",'Monthly Growth'!G51,IF(Nonlabor!$I$17="LogGB",'Monthly Growth'!H51,IF(Nonlabor!$I$17="RequestsM",'Monthly Growth'!F51,IF(Nonlabor!$I$17="InputM",'Monthly Growth'!D51*Assumptions!$E$22/1000000,IF(Nonlabor!$I$17="OutputM",'Monthly Growth'!D51*Assumptions!$E$23/1000000,0))))))))),0)</f>
        <v>1</v>
      </c>
      <c r="F3351" s="10" t="n">
        <f aca="false">Nonlabor!$J$17*(1+Assumptions!$E$9)^INT((C3351-1)/12)</f>
        <v>20247.552</v>
      </c>
      <c r="G3351" s="10" t="n">
        <f aca="false">E3351*F3351</f>
        <v>20247.552</v>
      </c>
      <c r="H3351" s="10" t="n">
        <f aca="false">IF(OR(Nonlabor!$L$17="Quote required",Nonlabor!$L$17="Unverified"),G3351,0)</f>
        <v>20247.552</v>
      </c>
      <c r="I3351" s="10" t="n">
        <f aca="false">IF(Nonlabor!$E$17="Core",0,G3351)</f>
        <v>0</v>
      </c>
      <c r="J3351" s="23" t="str">
        <f aca="false">Nonlabor!$B$17</f>
        <v>SECURITY</v>
      </c>
    </row>
    <row r="3352" customFormat="false" ht="15" hidden="false" customHeight="false" outlineLevel="0" collapsed="false">
      <c r="A3352" s="6" t="s">
        <v>73</v>
      </c>
      <c r="B3352" s="6" t="s">
        <v>410</v>
      </c>
      <c r="C3352" s="6" t="n">
        <v>47</v>
      </c>
      <c r="D3352" s="25" t="n">
        <f aca="false">EDATE('Start Here'!$B$6,C3352-1)</f>
        <v>47727</v>
      </c>
      <c r="E3352" s="23" t="n">
        <f aca="false">IF(AND(OR(Nonlabor!$D$17="Both",Nonlabor!$D$17='Start Here'!$B$9),IF(Nonlabor!$E$17="Core",1,IF(Nonlabor!$E$17="AI",'Start Here'!$B$7,'Start Here'!$B$8))=1,C3352&gt;=IF(Nonlabor!$E$17="Core",Nonlabor!$F$17,MAX(Nonlabor!$F$17,IF(Nonlabor!$E$17="AI",Assumptions!$E$24,Assumptions!$E$25))),C3352&lt;=Nonlabor!$G$17,OR(Nonlabor!$H$17="Monthly",AND(Nonlabor!$H$17="Once",C3352=IF(Nonlabor!$E$17="Core",Nonlabor!$F$17,MAX(Nonlabor!$F$17,IF(Nonlabor!$E$17="AI",Assumptions!$E$24,Assumptions!$E$25)))),AND(Nonlabor!$H$17="Annual",MOD(C3352-IF(Nonlabor!$E$17="Core",Nonlabor!$F$17,MAX(Nonlabor!$F$17,IF(Nonlabor!$E$17="AI",Assumptions!$E$24,Assumptions!$E$25))),12)=0))),IF(Nonlabor!$I$17="Fixed",1,IF(Nonlabor!$I$17="Seats",ROUNDUP('Monthly Growth'!I52,0),IF(Nonlabor!$I$17="Customers",'Monthly Growth'!D52,IF(Nonlabor!$I$17="NewCustomers",'Monthly Growth'!C52,IF(Nonlabor!$I$17="StorageGB",'Monthly Growth'!G52,IF(Nonlabor!$I$17="LogGB",'Monthly Growth'!H52,IF(Nonlabor!$I$17="RequestsM",'Monthly Growth'!F52,IF(Nonlabor!$I$17="InputM",'Monthly Growth'!D52*Assumptions!$E$22/1000000,IF(Nonlabor!$I$17="OutputM",'Monthly Growth'!D52*Assumptions!$E$23/1000000,0))))))))),0)</f>
        <v>0</v>
      </c>
      <c r="F3352" s="10" t="n">
        <f aca="false">Nonlabor!$J$17*(1+Assumptions!$E$9)^INT((C3352-1)/12)</f>
        <v>20247.552</v>
      </c>
      <c r="G3352" s="10" t="n">
        <f aca="false">E3352*F3352</f>
        <v>0</v>
      </c>
      <c r="H3352" s="10" t="n">
        <f aca="false">IF(OR(Nonlabor!$L$17="Quote required",Nonlabor!$L$17="Unverified"),G3352,0)</f>
        <v>0</v>
      </c>
      <c r="I3352" s="10" t="n">
        <f aca="false">IF(Nonlabor!$E$17="Core",0,G3352)</f>
        <v>0</v>
      </c>
      <c r="J3352" s="23" t="str">
        <f aca="false">Nonlabor!$B$17</f>
        <v>SECURITY</v>
      </c>
    </row>
    <row r="3353" customFormat="false" ht="15" hidden="false" customHeight="false" outlineLevel="0" collapsed="false">
      <c r="A3353" s="6" t="s">
        <v>73</v>
      </c>
      <c r="B3353" s="6" t="s">
        <v>410</v>
      </c>
      <c r="C3353" s="6" t="n">
        <v>48</v>
      </c>
      <c r="D3353" s="25" t="n">
        <f aca="false">EDATE('Start Here'!$B$6,C3353-1)</f>
        <v>47757</v>
      </c>
      <c r="E3353" s="23" t="n">
        <f aca="false">IF(AND(OR(Nonlabor!$D$17="Both",Nonlabor!$D$17='Start Here'!$B$9),IF(Nonlabor!$E$17="Core",1,IF(Nonlabor!$E$17="AI",'Start Here'!$B$7,'Start Here'!$B$8))=1,C3353&gt;=IF(Nonlabor!$E$17="Core",Nonlabor!$F$17,MAX(Nonlabor!$F$17,IF(Nonlabor!$E$17="AI",Assumptions!$E$24,Assumptions!$E$25))),C3353&lt;=Nonlabor!$G$17,OR(Nonlabor!$H$17="Monthly",AND(Nonlabor!$H$17="Once",C3353=IF(Nonlabor!$E$17="Core",Nonlabor!$F$17,MAX(Nonlabor!$F$17,IF(Nonlabor!$E$17="AI",Assumptions!$E$24,Assumptions!$E$25)))),AND(Nonlabor!$H$17="Annual",MOD(C3353-IF(Nonlabor!$E$17="Core",Nonlabor!$F$17,MAX(Nonlabor!$F$17,IF(Nonlabor!$E$17="AI",Assumptions!$E$24,Assumptions!$E$25))),12)=0))),IF(Nonlabor!$I$17="Fixed",1,IF(Nonlabor!$I$17="Seats",ROUNDUP('Monthly Growth'!I53,0),IF(Nonlabor!$I$17="Customers",'Monthly Growth'!D53,IF(Nonlabor!$I$17="NewCustomers",'Monthly Growth'!C53,IF(Nonlabor!$I$17="StorageGB",'Monthly Growth'!G53,IF(Nonlabor!$I$17="LogGB",'Monthly Growth'!H53,IF(Nonlabor!$I$17="RequestsM",'Monthly Growth'!F53,IF(Nonlabor!$I$17="InputM",'Monthly Growth'!D53*Assumptions!$E$22/1000000,IF(Nonlabor!$I$17="OutputM",'Monthly Growth'!D53*Assumptions!$E$23/1000000,0))))))))),0)</f>
        <v>0</v>
      </c>
      <c r="F3353" s="10" t="n">
        <f aca="false">Nonlabor!$J$17*(1+Assumptions!$E$9)^INT((C3353-1)/12)</f>
        <v>20247.552</v>
      </c>
      <c r="G3353" s="10" t="n">
        <f aca="false">E3353*F3353</f>
        <v>0</v>
      </c>
      <c r="H3353" s="10" t="n">
        <f aca="false">IF(OR(Nonlabor!$L$17="Quote required",Nonlabor!$L$17="Unverified"),G3353,0)</f>
        <v>0</v>
      </c>
      <c r="I3353" s="10" t="n">
        <f aca="false">IF(Nonlabor!$E$17="Core",0,G3353)</f>
        <v>0</v>
      </c>
      <c r="J3353" s="23" t="str">
        <f aca="false">Nonlabor!$B$17</f>
        <v>SECURITY</v>
      </c>
    </row>
    <row r="3354" customFormat="false" ht="15" hidden="false" customHeight="false" outlineLevel="0" collapsed="false">
      <c r="A3354" s="6" t="s">
        <v>73</v>
      </c>
      <c r="B3354" s="6" t="s">
        <v>410</v>
      </c>
      <c r="C3354" s="6" t="n">
        <v>49</v>
      </c>
      <c r="D3354" s="25" t="n">
        <f aca="false">EDATE('Start Here'!$B$6,C3354-1)</f>
        <v>47788</v>
      </c>
      <c r="E3354" s="23" t="n">
        <f aca="false">IF(AND(OR(Nonlabor!$D$17="Both",Nonlabor!$D$17='Start Here'!$B$9),IF(Nonlabor!$E$17="Core",1,IF(Nonlabor!$E$17="AI",'Start Here'!$B$7,'Start Here'!$B$8))=1,C3354&gt;=IF(Nonlabor!$E$17="Core",Nonlabor!$F$17,MAX(Nonlabor!$F$17,IF(Nonlabor!$E$17="AI",Assumptions!$E$24,Assumptions!$E$25))),C3354&lt;=Nonlabor!$G$17,OR(Nonlabor!$H$17="Monthly",AND(Nonlabor!$H$17="Once",C3354=IF(Nonlabor!$E$17="Core",Nonlabor!$F$17,MAX(Nonlabor!$F$17,IF(Nonlabor!$E$17="AI",Assumptions!$E$24,Assumptions!$E$25)))),AND(Nonlabor!$H$17="Annual",MOD(C3354-IF(Nonlabor!$E$17="Core",Nonlabor!$F$17,MAX(Nonlabor!$F$17,IF(Nonlabor!$E$17="AI",Assumptions!$E$24,Assumptions!$E$25))),12)=0))),IF(Nonlabor!$I$17="Fixed",1,IF(Nonlabor!$I$17="Seats",ROUNDUP('Monthly Growth'!I54,0),IF(Nonlabor!$I$17="Customers",'Monthly Growth'!D54,IF(Nonlabor!$I$17="NewCustomers",'Monthly Growth'!C54,IF(Nonlabor!$I$17="StorageGB",'Monthly Growth'!G54,IF(Nonlabor!$I$17="LogGB",'Monthly Growth'!H54,IF(Nonlabor!$I$17="RequestsM",'Monthly Growth'!F54,IF(Nonlabor!$I$17="InputM",'Monthly Growth'!D54*Assumptions!$E$22/1000000,IF(Nonlabor!$I$17="OutputM",'Monthly Growth'!D54*Assumptions!$E$23/1000000,0))))))))),0)</f>
        <v>0</v>
      </c>
      <c r="F3354" s="10" t="n">
        <f aca="false">Nonlabor!$J$17*(1+Assumptions!$E$9)^INT((C3354-1)/12)</f>
        <v>21057.45408</v>
      </c>
      <c r="G3354" s="10" t="n">
        <f aca="false">E3354*F3354</f>
        <v>0</v>
      </c>
      <c r="H3354" s="10" t="n">
        <f aca="false">IF(OR(Nonlabor!$L$17="Quote required",Nonlabor!$L$17="Unverified"),G3354,0)</f>
        <v>0</v>
      </c>
      <c r="I3354" s="10" t="n">
        <f aca="false">IF(Nonlabor!$E$17="Core",0,G3354)</f>
        <v>0</v>
      </c>
      <c r="J3354" s="23" t="str">
        <f aca="false">Nonlabor!$B$17</f>
        <v>SECURITY</v>
      </c>
    </row>
    <row r="3355" customFormat="false" ht="15" hidden="false" customHeight="false" outlineLevel="0" collapsed="false">
      <c r="A3355" s="6" t="s">
        <v>73</v>
      </c>
      <c r="B3355" s="6" t="s">
        <v>410</v>
      </c>
      <c r="C3355" s="6" t="n">
        <v>50</v>
      </c>
      <c r="D3355" s="25" t="n">
        <f aca="false">EDATE('Start Here'!$B$6,C3355-1)</f>
        <v>47818</v>
      </c>
      <c r="E3355" s="23" t="n">
        <f aca="false">IF(AND(OR(Nonlabor!$D$17="Both",Nonlabor!$D$17='Start Here'!$B$9),IF(Nonlabor!$E$17="Core",1,IF(Nonlabor!$E$17="AI",'Start Here'!$B$7,'Start Here'!$B$8))=1,C3355&gt;=IF(Nonlabor!$E$17="Core",Nonlabor!$F$17,MAX(Nonlabor!$F$17,IF(Nonlabor!$E$17="AI",Assumptions!$E$24,Assumptions!$E$25))),C3355&lt;=Nonlabor!$G$17,OR(Nonlabor!$H$17="Monthly",AND(Nonlabor!$H$17="Once",C3355=IF(Nonlabor!$E$17="Core",Nonlabor!$F$17,MAX(Nonlabor!$F$17,IF(Nonlabor!$E$17="AI",Assumptions!$E$24,Assumptions!$E$25)))),AND(Nonlabor!$H$17="Annual",MOD(C3355-IF(Nonlabor!$E$17="Core",Nonlabor!$F$17,MAX(Nonlabor!$F$17,IF(Nonlabor!$E$17="AI",Assumptions!$E$24,Assumptions!$E$25))),12)=0))),IF(Nonlabor!$I$17="Fixed",1,IF(Nonlabor!$I$17="Seats",ROUNDUP('Monthly Growth'!I55,0),IF(Nonlabor!$I$17="Customers",'Monthly Growth'!D55,IF(Nonlabor!$I$17="NewCustomers",'Monthly Growth'!C55,IF(Nonlabor!$I$17="StorageGB",'Monthly Growth'!G55,IF(Nonlabor!$I$17="LogGB",'Monthly Growth'!H55,IF(Nonlabor!$I$17="RequestsM",'Monthly Growth'!F55,IF(Nonlabor!$I$17="InputM",'Monthly Growth'!D55*Assumptions!$E$22/1000000,IF(Nonlabor!$I$17="OutputM",'Monthly Growth'!D55*Assumptions!$E$23/1000000,0))))))))),0)</f>
        <v>0</v>
      </c>
      <c r="F3355" s="10" t="n">
        <f aca="false">Nonlabor!$J$17*(1+Assumptions!$E$9)^INT((C3355-1)/12)</f>
        <v>21057.45408</v>
      </c>
      <c r="G3355" s="10" t="n">
        <f aca="false">E3355*F3355</f>
        <v>0</v>
      </c>
      <c r="H3355" s="10" t="n">
        <f aca="false">IF(OR(Nonlabor!$L$17="Quote required",Nonlabor!$L$17="Unverified"),G3355,0)</f>
        <v>0</v>
      </c>
      <c r="I3355" s="10" t="n">
        <f aca="false">IF(Nonlabor!$E$17="Core",0,G3355)</f>
        <v>0</v>
      </c>
      <c r="J3355" s="23" t="str">
        <f aca="false">Nonlabor!$B$17</f>
        <v>SECURITY</v>
      </c>
    </row>
    <row r="3356" customFormat="false" ht="15" hidden="false" customHeight="false" outlineLevel="0" collapsed="false">
      <c r="A3356" s="6" t="s">
        <v>73</v>
      </c>
      <c r="B3356" s="6" t="s">
        <v>410</v>
      </c>
      <c r="C3356" s="6" t="n">
        <v>51</v>
      </c>
      <c r="D3356" s="25" t="n">
        <f aca="false">EDATE('Start Here'!$B$6,C3356-1)</f>
        <v>47849</v>
      </c>
      <c r="E3356" s="23" t="n">
        <f aca="false">IF(AND(OR(Nonlabor!$D$17="Both",Nonlabor!$D$17='Start Here'!$B$9),IF(Nonlabor!$E$17="Core",1,IF(Nonlabor!$E$17="AI",'Start Here'!$B$7,'Start Here'!$B$8))=1,C3356&gt;=IF(Nonlabor!$E$17="Core",Nonlabor!$F$17,MAX(Nonlabor!$F$17,IF(Nonlabor!$E$17="AI",Assumptions!$E$24,Assumptions!$E$25))),C3356&lt;=Nonlabor!$G$17,OR(Nonlabor!$H$17="Monthly",AND(Nonlabor!$H$17="Once",C3356=IF(Nonlabor!$E$17="Core",Nonlabor!$F$17,MAX(Nonlabor!$F$17,IF(Nonlabor!$E$17="AI",Assumptions!$E$24,Assumptions!$E$25)))),AND(Nonlabor!$H$17="Annual",MOD(C3356-IF(Nonlabor!$E$17="Core",Nonlabor!$F$17,MAX(Nonlabor!$F$17,IF(Nonlabor!$E$17="AI",Assumptions!$E$24,Assumptions!$E$25))),12)=0))),IF(Nonlabor!$I$17="Fixed",1,IF(Nonlabor!$I$17="Seats",ROUNDUP('Monthly Growth'!I56,0),IF(Nonlabor!$I$17="Customers",'Monthly Growth'!D56,IF(Nonlabor!$I$17="NewCustomers",'Monthly Growth'!C56,IF(Nonlabor!$I$17="StorageGB",'Monthly Growth'!G56,IF(Nonlabor!$I$17="LogGB",'Monthly Growth'!H56,IF(Nonlabor!$I$17="RequestsM",'Monthly Growth'!F56,IF(Nonlabor!$I$17="InputM",'Monthly Growth'!D56*Assumptions!$E$22/1000000,IF(Nonlabor!$I$17="OutputM",'Monthly Growth'!D56*Assumptions!$E$23/1000000,0))))))))),0)</f>
        <v>0</v>
      </c>
      <c r="F3356" s="10" t="n">
        <f aca="false">Nonlabor!$J$17*(1+Assumptions!$E$9)^INT((C3356-1)/12)</f>
        <v>21057.45408</v>
      </c>
      <c r="G3356" s="10" t="n">
        <f aca="false">E3356*F3356</f>
        <v>0</v>
      </c>
      <c r="H3356" s="10" t="n">
        <f aca="false">IF(OR(Nonlabor!$L$17="Quote required",Nonlabor!$L$17="Unverified"),G3356,0)</f>
        <v>0</v>
      </c>
      <c r="I3356" s="10" t="n">
        <f aca="false">IF(Nonlabor!$E$17="Core",0,G3356)</f>
        <v>0</v>
      </c>
      <c r="J3356" s="23" t="str">
        <f aca="false">Nonlabor!$B$17</f>
        <v>SECURITY</v>
      </c>
    </row>
    <row r="3357" customFormat="false" ht="15" hidden="false" customHeight="false" outlineLevel="0" collapsed="false">
      <c r="A3357" s="6" t="s">
        <v>73</v>
      </c>
      <c r="B3357" s="6" t="s">
        <v>410</v>
      </c>
      <c r="C3357" s="6" t="n">
        <v>52</v>
      </c>
      <c r="D3357" s="25" t="n">
        <f aca="false">EDATE('Start Here'!$B$6,C3357-1)</f>
        <v>47880</v>
      </c>
      <c r="E3357" s="23" t="n">
        <f aca="false">IF(AND(OR(Nonlabor!$D$17="Both",Nonlabor!$D$17='Start Here'!$B$9),IF(Nonlabor!$E$17="Core",1,IF(Nonlabor!$E$17="AI",'Start Here'!$B$7,'Start Here'!$B$8))=1,C3357&gt;=IF(Nonlabor!$E$17="Core",Nonlabor!$F$17,MAX(Nonlabor!$F$17,IF(Nonlabor!$E$17="AI",Assumptions!$E$24,Assumptions!$E$25))),C3357&lt;=Nonlabor!$G$17,OR(Nonlabor!$H$17="Monthly",AND(Nonlabor!$H$17="Once",C3357=IF(Nonlabor!$E$17="Core",Nonlabor!$F$17,MAX(Nonlabor!$F$17,IF(Nonlabor!$E$17="AI",Assumptions!$E$24,Assumptions!$E$25)))),AND(Nonlabor!$H$17="Annual",MOD(C3357-IF(Nonlabor!$E$17="Core",Nonlabor!$F$17,MAX(Nonlabor!$F$17,IF(Nonlabor!$E$17="AI",Assumptions!$E$24,Assumptions!$E$25))),12)=0))),IF(Nonlabor!$I$17="Fixed",1,IF(Nonlabor!$I$17="Seats",ROUNDUP('Monthly Growth'!I57,0),IF(Nonlabor!$I$17="Customers",'Monthly Growth'!D57,IF(Nonlabor!$I$17="NewCustomers",'Monthly Growth'!C57,IF(Nonlabor!$I$17="StorageGB",'Monthly Growth'!G57,IF(Nonlabor!$I$17="LogGB",'Monthly Growth'!H57,IF(Nonlabor!$I$17="RequestsM",'Monthly Growth'!F57,IF(Nonlabor!$I$17="InputM",'Monthly Growth'!D57*Assumptions!$E$22/1000000,IF(Nonlabor!$I$17="OutputM",'Monthly Growth'!D57*Assumptions!$E$23/1000000,0))))))))),0)</f>
        <v>0</v>
      </c>
      <c r="F3357" s="10" t="n">
        <f aca="false">Nonlabor!$J$17*(1+Assumptions!$E$9)^INT((C3357-1)/12)</f>
        <v>21057.45408</v>
      </c>
      <c r="G3357" s="10" t="n">
        <f aca="false">E3357*F3357</f>
        <v>0</v>
      </c>
      <c r="H3357" s="10" t="n">
        <f aca="false">IF(OR(Nonlabor!$L$17="Quote required",Nonlabor!$L$17="Unverified"),G3357,0)</f>
        <v>0</v>
      </c>
      <c r="I3357" s="10" t="n">
        <f aca="false">IF(Nonlabor!$E$17="Core",0,G3357)</f>
        <v>0</v>
      </c>
      <c r="J3357" s="23" t="str">
        <f aca="false">Nonlabor!$B$17</f>
        <v>SECURITY</v>
      </c>
    </row>
    <row r="3358" customFormat="false" ht="15" hidden="false" customHeight="false" outlineLevel="0" collapsed="false">
      <c r="A3358" s="6" t="s">
        <v>73</v>
      </c>
      <c r="B3358" s="6" t="s">
        <v>410</v>
      </c>
      <c r="C3358" s="6" t="n">
        <v>53</v>
      </c>
      <c r="D3358" s="25" t="n">
        <f aca="false">EDATE('Start Here'!$B$6,C3358-1)</f>
        <v>47908</v>
      </c>
      <c r="E3358" s="23" t="n">
        <f aca="false">IF(AND(OR(Nonlabor!$D$17="Both",Nonlabor!$D$17='Start Here'!$B$9),IF(Nonlabor!$E$17="Core",1,IF(Nonlabor!$E$17="AI",'Start Here'!$B$7,'Start Here'!$B$8))=1,C3358&gt;=IF(Nonlabor!$E$17="Core",Nonlabor!$F$17,MAX(Nonlabor!$F$17,IF(Nonlabor!$E$17="AI",Assumptions!$E$24,Assumptions!$E$25))),C3358&lt;=Nonlabor!$G$17,OR(Nonlabor!$H$17="Monthly",AND(Nonlabor!$H$17="Once",C3358=IF(Nonlabor!$E$17="Core",Nonlabor!$F$17,MAX(Nonlabor!$F$17,IF(Nonlabor!$E$17="AI",Assumptions!$E$24,Assumptions!$E$25)))),AND(Nonlabor!$H$17="Annual",MOD(C3358-IF(Nonlabor!$E$17="Core",Nonlabor!$F$17,MAX(Nonlabor!$F$17,IF(Nonlabor!$E$17="AI",Assumptions!$E$24,Assumptions!$E$25))),12)=0))),IF(Nonlabor!$I$17="Fixed",1,IF(Nonlabor!$I$17="Seats",ROUNDUP('Monthly Growth'!I58,0),IF(Nonlabor!$I$17="Customers",'Monthly Growth'!D58,IF(Nonlabor!$I$17="NewCustomers",'Monthly Growth'!C58,IF(Nonlabor!$I$17="StorageGB",'Monthly Growth'!G58,IF(Nonlabor!$I$17="LogGB",'Monthly Growth'!H58,IF(Nonlabor!$I$17="RequestsM",'Monthly Growth'!F58,IF(Nonlabor!$I$17="InputM",'Monthly Growth'!D58*Assumptions!$E$22/1000000,IF(Nonlabor!$I$17="OutputM",'Monthly Growth'!D58*Assumptions!$E$23/1000000,0))))))))),0)</f>
        <v>0</v>
      </c>
      <c r="F3358" s="10" t="n">
        <f aca="false">Nonlabor!$J$17*(1+Assumptions!$E$9)^INT((C3358-1)/12)</f>
        <v>21057.45408</v>
      </c>
      <c r="G3358" s="10" t="n">
        <f aca="false">E3358*F3358</f>
        <v>0</v>
      </c>
      <c r="H3358" s="10" t="n">
        <f aca="false">IF(OR(Nonlabor!$L$17="Quote required",Nonlabor!$L$17="Unverified"),G3358,0)</f>
        <v>0</v>
      </c>
      <c r="I3358" s="10" t="n">
        <f aca="false">IF(Nonlabor!$E$17="Core",0,G3358)</f>
        <v>0</v>
      </c>
      <c r="J3358" s="23" t="str">
        <f aca="false">Nonlabor!$B$17</f>
        <v>SECURITY</v>
      </c>
    </row>
    <row r="3359" customFormat="false" ht="15" hidden="false" customHeight="false" outlineLevel="0" collapsed="false">
      <c r="A3359" s="6" t="s">
        <v>73</v>
      </c>
      <c r="B3359" s="6" t="s">
        <v>410</v>
      </c>
      <c r="C3359" s="6" t="n">
        <v>54</v>
      </c>
      <c r="D3359" s="25" t="n">
        <f aca="false">EDATE('Start Here'!$B$6,C3359-1)</f>
        <v>47939</v>
      </c>
      <c r="E3359" s="23" t="n">
        <f aca="false">IF(AND(OR(Nonlabor!$D$17="Both",Nonlabor!$D$17='Start Here'!$B$9),IF(Nonlabor!$E$17="Core",1,IF(Nonlabor!$E$17="AI",'Start Here'!$B$7,'Start Here'!$B$8))=1,C3359&gt;=IF(Nonlabor!$E$17="Core",Nonlabor!$F$17,MAX(Nonlabor!$F$17,IF(Nonlabor!$E$17="AI",Assumptions!$E$24,Assumptions!$E$25))),C3359&lt;=Nonlabor!$G$17,OR(Nonlabor!$H$17="Monthly",AND(Nonlabor!$H$17="Once",C3359=IF(Nonlabor!$E$17="Core",Nonlabor!$F$17,MAX(Nonlabor!$F$17,IF(Nonlabor!$E$17="AI",Assumptions!$E$24,Assumptions!$E$25)))),AND(Nonlabor!$H$17="Annual",MOD(C3359-IF(Nonlabor!$E$17="Core",Nonlabor!$F$17,MAX(Nonlabor!$F$17,IF(Nonlabor!$E$17="AI",Assumptions!$E$24,Assumptions!$E$25))),12)=0))),IF(Nonlabor!$I$17="Fixed",1,IF(Nonlabor!$I$17="Seats",ROUNDUP('Monthly Growth'!I59,0),IF(Nonlabor!$I$17="Customers",'Monthly Growth'!D59,IF(Nonlabor!$I$17="NewCustomers",'Monthly Growth'!C59,IF(Nonlabor!$I$17="StorageGB",'Monthly Growth'!G59,IF(Nonlabor!$I$17="LogGB",'Monthly Growth'!H59,IF(Nonlabor!$I$17="RequestsM",'Monthly Growth'!F59,IF(Nonlabor!$I$17="InputM",'Monthly Growth'!D59*Assumptions!$E$22/1000000,IF(Nonlabor!$I$17="OutputM",'Monthly Growth'!D59*Assumptions!$E$23/1000000,0))))))))),0)</f>
        <v>0</v>
      </c>
      <c r="F3359" s="10" t="n">
        <f aca="false">Nonlabor!$J$17*(1+Assumptions!$E$9)^INT((C3359-1)/12)</f>
        <v>21057.45408</v>
      </c>
      <c r="G3359" s="10" t="n">
        <f aca="false">E3359*F3359</f>
        <v>0</v>
      </c>
      <c r="H3359" s="10" t="n">
        <f aca="false">IF(OR(Nonlabor!$L$17="Quote required",Nonlabor!$L$17="Unverified"),G3359,0)</f>
        <v>0</v>
      </c>
      <c r="I3359" s="10" t="n">
        <f aca="false">IF(Nonlabor!$E$17="Core",0,G3359)</f>
        <v>0</v>
      </c>
      <c r="J3359" s="23" t="str">
        <f aca="false">Nonlabor!$B$17</f>
        <v>SECURITY</v>
      </c>
    </row>
    <row r="3360" customFormat="false" ht="15" hidden="false" customHeight="false" outlineLevel="0" collapsed="false">
      <c r="A3360" s="6" t="s">
        <v>73</v>
      </c>
      <c r="B3360" s="6" t="s">
        <v>410</v>
      </c>
      <c r="C3360" s="6" t="n">
        <v>55</v>
      </c>
      <c r="D3360" s="25" t="n">
        <f aca="false">EDATE('Start Here'!$B$6,C3360-1)</f>
        <v>47969</v>
      </c>
      <c r="E3360" s="23" t="n">
        <f aca="false">IF(AND(OR(Nonlabor!$D$17="Both",Nonlabor!$D$17='Start Here'!$B$9),IF(Nonlabor!$E$17="Core",1,IF(Nonlabor!$E$17="AI",'Start Here'!$B$7,'Start Here'!$B$8))=1,C3360&gt;=IF(Nonlabor!$E$17="Core",Nonlabor!$F$17,MAX(Nonlabor!$F$17,IF(Nonlabor!$E$17="AI",Assumptions!$E$24,Assumptions!$E$25))),C3360&lt;=Nonlabor!$G$17,OR(Nonlabor!$H$17="Monthly",AND(Nonlabor!$H$17="Once",C3360=IF(Nonlabor!$E$17="Core",Nonlabor!$F$17,MAX(Nonlabor!$F$17,IF(Nonlabor!$E$17="AI",Assumptions!$E$24,Assumptions!$E$25)))),AND(Nonlabor!$H$17="Annual",MOD(C3360-IF(Nonlabor!$E$17="Core",Nonlabor!$F$17,MAX(Nonlabor!$F$17,IF(Nonlabor!$E$17="AI",Assumptions!$E$24,Assumptions!$E$25))),12)=0))),IF(Nonlabor!$I$17="Fixed",1,IF(Nonlabor!$I$17="Seats",ROUNDUP('Monthly Growth'!I60,0),IF(Nonlabor!$I$17="Customers",'Monthly Growth'!D60,IF(Nonlabor!$I$17="NewCustomers",'Monthly Growth'!C60,IF(Nonlabor!$I$17="StorageGB",'Monthly Growth'!G60,IF(Nonlabor!$I$17="LogGB",'Monthly Growth'!H60,IF(Nonlabor!$I$17="RequestsM",'Monthly Growth'!F60,IF(Nonlabor!$I$17="InputM",'Monthly Growth'!D60*Assumptions!$E$22/1000000,IF(Nonlabor!$I$17="OutputM",'Monthly Growth'!D60*Assumptions!$E$23/1000000,0))))))))),0)</f>
        <v>0</v>
      </c>
      <c r="F3360" s="10" t="n">
        <f aca="false">Nonlabor!$J$17*(1+Assumptions!$E$9)^INT((C3360-1)/12)</f>
        <v>21057.45408</v>
      </c>
      <c r="G3360" s="10" t="n">
        <f aca="false">E3360*F3360</f>
        <v>0</v>
      </c>
      <c r="H3360" s="10" t="n">
        <f aca="false">IF(OR(Nonlabor!$L$17="Quote required",Nonlabor!$L$17="Unverified"),G3360,0)</f>
        <v>0</v>
      </c>
      <c r="I3360" s="10" t="n">
        <f aca="false">IF(Nonlabor!$E$17="Core",0,G3360)</f>
        <v>0</v>
      </c>
      <c r="J3360" s="23" t="str">
        <f aca="false">Nonlabor!$B$17</f>
        <v>SECURITY</v>
      </c>
    </row>
    <row r="3361" customFormat="false" ht="15" hidden="false" customHeight="false" outlineLevel="0" collapsed="false">
      <c r="A3361" s="6" t="s">
        <v>73</v>
      </c>
      <c r="B3361" s="6" t="s">
        <v>410</v>
      </c>
      <c r="C3361" s="6" t="n">
        <v>56</v>
      </c>
      <c r="D3361" s="25" t="n">
        <f aca="false">EDATE('Start Here'!$B$6,C3361-1)</f>
        <v>48000</v>
      </c>
      <c r="E3361" s="23" t="n">
        <f aca="false">IF(AND(OR(Nonlabor!$D$17="Both",Nonlabor!$D$17='Start Here'!$B$9),IF(Nonlabor!$E$17="Core",1,IF(Nonlabor!$E$17="AI",'Start Here'!$B$7,'Start Here'!$B$8))=1,C3361&gt;=IF(Nonlabor!$E$17="Core",Nonlabor!$F$17,MAX(Nonlabor!$F$17,IF(Nonlabor!$E$17="AI",Assumptions!$E$24,Assumptions!$E$25))),C3361&lt;=Nonlabor!$G$17,OR(Nonlabor!$H$17="Monthly",AND(Nonlabor!$H$17="Once",C3361=IF(Nonlabor!$E$17="Core",Nonlabor!$F$17,MAX(Nonlabor!$F$17,IF(Nonlabor!$E$17="AI",Assumptions!$E$24,Assumptions!$E$25)))),AND(Nonlabor!$H$17="Annual",MOD(C3361-IF(Nonlabor!$E$17="Core",Nonlabor!$F$17,MAX(Nonlabor!$F$17,IF(Nonlabor!$E$17="AI",Assumptions!$E$24,Assumptions!$E$25))),12)=0))),IF(Nonlabor!$I$17="Fixed",1,IF(Nonlabor!$I$17="Seats",ROUNDUP('Monthly Growth'!I61,0),IF(Nonlabor!$I$17="Customers",'Monthly Growth'!D61,IF(Nonlabor!$I$17="NewCustomers",'Monthly Growth'!C61,IF(Nonlabor!$I$17="StorageGB",'Monthly Growth'!G61,IF(Nonlabor!$I$17="LogGB",'Monthly Growth'!H61,IF(Nonlabor!$I$17="RequestsM",'Monthly Growth'!F61,IF(Nonlabor!$I$17="InputM",'Monthly Growth'!D61*Assumptions!$E$22/1000000,IF(Nonlabor!$I$17="OutputM",'Monthly Growth'!D61*Assumptions!$E$23/1000000,0))))))))),0)</f>
        <v>0</v>
      </c>
      <c r="F3361" s="10" t="n">
        <f aca="false">Nonlabor!$J$17*(1+Assumptions!$E$9)^INT((C3361-1)/12)</f>
        <v>21057.45408</v>
      </c>
      <c r="G3361" s="10" t="n">
        <f aca="false">E3361*F3361</f>
        <v>0</v>
      </c>
      <c r="H3361" s="10" t="n">
        <f aca="false">IF(OR(Nonlabor!$L$17="Quote required",Nonlabor!$L$17="Unverified"),G3361,0)</f>
        <v>0</v>
      </c>
      <c r="I3361" s="10" t="n">
        <f aca="false">IF(Nonlabor!$E$17="Core",0,G3361)</f>
        <v>0</v>
      </c>
      <c r="J3361" s="23" t="str">
        <f aca="false">Nonlabor!$B$17</f>
        <v>SECURITY</v>
      </c>
    </row>
    <row r="3362" customFormat="false" ht="15" hidden="false" customHeight="false" outlineLevel="0" collapsed="false">
      <c r="A3362" s="6" t="s">
        <v>73</v>
      </c>
      <c r="B3362" s="6" t="s">
        <v>410</v>
      </c>
      <c r="C3362" s="6" t="n">
        <v>57</v>
      </c>
      <c r="D3362" s="25" t="n">
        <f aca="false">EDATE('Start Here'!$B$6,C3362-1)</f>
        <v>48030</v>
      </c>
      <c r="E3362" s="23" t="n">
        <f aca="false">IF(AND(OR(Nonlabor!$D$17="Both",Nonlabor!$D$17='Start Here'!$B$9),IF(Nonlabor!$E$17="Core",1,IF(Nonlabor!$E$17="AI",'Start Here'!$B$7,'Start Here'!$B$8))=1,C3362&gt;=IF(Nonlabor!$E$17="Core",Nonlabor!$F$17,MAX(Nonlabor!$F$17,IF(Nonlabor!$E$17="AI",Assumptions!$E$24,Assumptions!$E$25))),C3362&lt;=Nonlabor!$G$17,OR(Nonlabor!$H$17="Monthly",AND(Nonlabor!$H$17="Once",C3362=IF(Nonlabor!$E$17="Core",Nonlabor!$F$17,MAX(Nonlabor!$F$17,IF(Nonlabor!$E$17="AI",Assumptions!$E$24,Assumptions!$E$25)))),AND(Nonlabor!$H$17="Annual",MOD(C3362-IF(Nonlabor!$E$17="Core",Nonlabor!$F$17,MAX(Nonlabor!$F$17,IF(Nonlabor!$E$17="AI",Assumptions!$E$24,Assumptions!$E$25))),12)=0))),IF(Nonlabor!$I$17="Fixed",1,IF(Nonlabor!$I$17="Seats",ROUNDUP('Monthly Growth'!I62,0),IF(Nonlabor!$I$17="Customers",'Monthly Growth'!D62,IF(Nonlabor!$I$17="NewCustomers",'Monthly Growth'!C62,IF(Nonlabor!$I$17="StorageGB",'Monthly Growth'!G62,IF(Nonlabor!$I$17="LogGB",'Monthly Growth'!H62,IF(Nonlabor!$I$17="RequestsM",'Monthly Growth'!F62,IF(Nonlabor!$I$17="InputM",'Monthly Growth'!D62*Assumptions!$E$22/1000000,IF(Nonlabor!$I$17="OutputM",'Monthly Growth'!D62*Assumptions!$E$23/1000000,0))))))))),0)</f>
        <v>0</v>
      </c>
      <c r="F3362" s="10" t="n">
        <f aca="false">Nonlabor!$J$17*(1+Assumptions!$E$9)^INT((C3362-1)/12)</f>
        <v>21057.45408</v>
      </c>
      <c r="G3362" s="10" t="n">
        <f aca="false">E3362*F3362</f>
        <v>0</v>
      </c>
      <c r="H3362" s="10" t="n">
        <f aca="false">IF(OR(Nonlabor!$L$17="Quote required",Nonlabor!$L$17="Unverified"),G3362,0)</f>
        <v>0</v>
      </c>
      <c r="I3362" s="10" t="n">
        <f aca="false">IF(Nonlabor!$E$17="Core",0,G3362)</f>
        <v>0</v>
      </c>
      <c r="J3362" s="23" t="str">
        <f aca="false">Nonlabor!$B$17</f>
        <v>SECURITY</v>
      </c>
    </row>
    <row r="3363" customFormat="false" ht="15" hidden="false" customHeight="false" outlineLevel="0" collapsed="false">
      <c r="A3363" s="6" t="s">
        <v>73</v>
      </c>
      <c r="B3363" s="6" t="s">
        <v>410</v>
      </c>
      <c r="C3363" s="6" t="n">
        <v>58</v>
      </c>
      <c r="D3363" s="25" t="n">
        <f aca="false">EDATE('Start Here'!$B$6,C3363-1)</f>
        <v>48061</v>
      </c>
      <c r="E3363" s="23" t="n">
        <f aca="false">IF(AND(OR(Nonlabor!$D$17="Both",Nonlabor!$D$17='Start Here'!$B$9),IF(Nonlabor!$E$17="Core",1,IF(Nonlabor!$E$17="AI",'Start Here'!$B$7,'Start Here'!$B$8))=1,C3363&gt;=IF(Nonlabor!$E$17="Core",Nonlabor!$F$17,MAX(Nonlabor!$F$17,IF(Nonlabor!$E$17="AI",Assumptions!$E$24,Assumptions!$E$25))),C3363&lt;=Nonlabor!$G$17,OR(Nonlabor!$H$17="Monthly",AND(Nonlabor!$H$17="Once",C3363=IF(Nonlabor!$E$17="Core",Nonlabor!$F$17,MAX(Nonlabor!$F$17,IF(Nonlabor!$E$17="AI",Assumptions!$E$24,Assumptions!$E$25)))),AND(Nonlabor!$H$17="Annual",MOD(C3363-IF(Nonlabor!$E$17="Core",Nonlabor!$F$17,MAX(Nonlabor!$F$17,IF(Nonlabor!$E$17="AI",Assumptions!$E$24,Assumptions!$E$25))),12)=0))),IF(Nonlabor!$I$17="Fixed",1,IF(Nonlabor!$I$17="Seats",ROUNDUP('Monthly Growth'!I63,0),IF(Nonlabor!$I$17="Customers",'Monthly Growth'!D63,IF(Nonlabor!$I$17="NewCustomers",'Monthly Growth'!C63,IF(Nonlabor!$I$17="StorageGB",'Monthly Growth'!G63,IF(Nonlabor!$I$17="LogGB",'Monthly Growth'!H63,IF(Nonlabor!$I$17="RequestsM",'Monthly Growth'!F63,IF(Nonlabor!$I$17="InputM",'Monthly Growth'!D63*Assumptions!$E$22/1000000,IF(Nonlabor!$I$17="OutputM",'Monthly Growth'!D63*Assumptions!$E$23/1000000,0))))))))),0)</f>
        <v>1</v>
      </c>
      <c r="F3363" s="10" t="n">
        <f aca="false">Nonlabor!$J$17*(1+Assumptions!$E$9)^INT((C3363-1)/12)</f>
        <v>21057.45408</v>
      </c>
      <c r="G3363" s="10" t="n">
        <f aca="false">E3363*F3363</f>
        <v>21057.45408</v>
      </c>
      <c r="H3363" s="10" t="n">
        <f aca="false">IF(OR(Nonlabor!$L$17="Quote required",Nonlabor!$L$17="Unverified"),G3363,0)</f>
        <v>21057.45408</v>
      </c>
      <c r="I3363" s="10" t="n">
        <f aca="false">IF(Nonlabor!$E$17="Core",0,G3363)</f>
        <v>0</v>
      </c>
      <c r="J3363" s="23" t="str">
        <f aca="false">Nonlabor!$B$17</f>
        <v>SECURITY</v>
      </c>
    </row>
    <row r="3364" customFormat="false" ht="15" hidden="false" customHeight="false" outlineLevel="0" collapsed="false">
      <c r="A3364" s="6" t="s">
        <v>73</v>
      </c>
      <c r="B3364" s="6" t="s">
        <v>410</v>
      </c>
      <c r="C3364" s="6" t="n">
        <v>59</v>
      </c>
      <c r="D3364" s="25" t="n">
        <f aca="false">EDATE('Start Here'!$B$6,C3364-1)</f>
        <v>48092</v>
      </c>
      <c r="E3364" s="23" t="n">
        <f aca="false">IF(AND(OR(Nonlabor!$D$17="Both",Nonlabor!$D$17='Start Here'!$B$9),IF(Nonlabor!$E$17="Core",1,IF(Nonlabor!$E$17="AI",'Start Here'!$B$7,'Start Here'!$B$8))=1,C3364&gt;=IF(Nonlabor!$E$17="Core",Nonlabor!$F$17,MAX(Nonlabor!$F$17,IF(Nonlabor!$E$17="AI",Assumptions!$E$24,Assumptions!$E$25))),C3364&lt;=Nonlabor!$G$17,OR(Nonlabor!$H$17="Monthly",AND(Nonlabor!$H$17="Once",C3364=IF(Nonlabor!$E$17="Core",Nonlabor!$F$17,MAX(Nonlabor!$F$17,IF(Nonlabor!$E$17="AI",Assumptions!$E$24,Assumptions!$E$25)))),AND(Nonlabor!$H$17="Annual",MOD(C3364-IF(Nonlabor!$E$17="Core",Nonlabor!$F$17,MAX(Nonlabor!$F$17,IF(Nonlabor!$E$17="AI",Assumptions!$E$24,Assumptions!$E$25))),12)=0))),IF(Nonlabor!$I$17="Fixed",1,IF(Nonlabor!$I$17="Seats",ROUNDUP('Monthly Growth'!I64,0),IF(Nonlabor!$I$17="Customers",'Monthly Growth'!D64,IF(Nonlabor!$I$17="NewCustomers",'Monthly Growth'!C64,IF(Nonlabor!$I$17="StorageGB",'Monthly Growth'!G64,IF(Nonlabor!$I$17="LogGB",'Monthly Growth'!H64,IF(Nonlabor!$I$17="RequestsM",'Monthly Growth'!F64,IF(Nonlabor!$I$17="InputM",'Monthly Growth'!D64*Assumptions!$E$22/1000000,IF(Nonlabor!$I$17="OutputM",'Monthly Growth'!D64*Assumptions!$E$23/1000000,0))))))))),0)</f>
        <v>0</v>
      </c>
      <c r="F3364" s="10" t="n">
        <f aca="false">Nonlabor!$J$17*(1+Assumptions!$E$9)^INT((C3364-1)/12)</f>
        <v>21057.45408</v>
      </c>
      <c r="G3364" s="10" t="n">
        <f aca="false">E3364*F3364</f>
        <v>0</v>
      </c>
      <c r="H3364" s="10" t="n">
        <f aca="false">IF(OR(Nonlabor!$L$17="Quote required",Nonlabor!$L$17="Unverified"),G3364,0)</f>
        <v>0</v>
      </c>
      <c r="I3364" s="10" t="n">
        <f aca="false">IF(Nonlabor!$E$17="Core",0,G3364)</f>
        <v>0</v>
      </c>
      <c r="J3364" s="23" t="str">
        <f aca="false">Nonlabor!$B$17</f>
        <v>SECURITY</v>
      </c>
    </row>
    <row r="3365" customFormat="false" ht="15" hidden="false" customHeight="false" outlineLevel="0" collapsed="false">
      <c r="A3365" s="6" t="s">
        <v>73</v>
      </c>
      <c r="B3365" s="6" t="s">
        <v>410</v>
      </c>
      <c r="C3365" s="6" t="n">
        <v>60</v>
      </c>
      <c r="D3365" s="25" t="n">
        <f aca="false">EDATE('Start Here'!$B$6,C3365-1)</f>
        <v>48122</v>
      </c>
      <c r="E3365" s="23" t="n">
        <f aca="false">IF(AND(OR(Nonlabor!$D$17="Both",Nonlabor!$D$17='Start Here'!$B$9),IF(Nonlabor!$E$17="Core",1,IF(Nonlabor!$E$17="AI",'Start Here'!$B$7,'Start Here'!$B$8))=1,C3365&gt;=IF(Nonlabor!$E$17="Core",Nonlabor!$F$17,MAX(Nonlabor!$F$17,IF(Nonlabor!$E$17="AI",Assumptions!$E$24,Assumptions!$E$25))),C3365&lt;=Nonlabor!$G$17,OR(Nonlabor!$H$17="Monthly",AND(Nonlabor!$H$17="Once",C3365=IF(Nonlabor!$E$17="Core",Nonlabor!$F$17,MAX(Nonlabor!$F$17,IF(Nonlabor!$E$17="AI",Assumptions!$E$24,Assumptions!$E$25)))),AND(Nonlabor!$H$17="Annual",MOD(C3365-IF(Nonlabor!$E$17="Core",Nonlabor!$F$17,MAX(Nonlabor!$F$17,IF(Nonlabor!$E$17="AI",Assumptions!$E$24,Assumptions!$E$25))),12)=0))),IF(Nonlabor!$I$17="Fixed",1,IF(Nonlabor!$I$17="Seats",ROUNDUP('Monthly Growth'!I65,0),IF(Nonlabor!$I$17="Customers",'Monthly Growth'!D65,IF(Nonlabor!$I$17="NewCustomers",'Monthly Growth'!C65,IF(Nonlabor!$I$17="StorageGB",'Monthly Growth'!G65,IF(Nonlabor!$I$17="LogGB",'Monthly Growth'!H65,IF(Nonlabor!$I$17="RequestsM",'Monthly Growth'!F65,IF(Nonlabor!$I$17="InputM",'Monthly Growth'!D65*Assumptions!$E$22/1000000,IF(Nonlabor!$I$17="OutputM",'Monthly Growth'!D65*Assumptions!$E$23/1000000,0))))))))),0)</f>
        <v>0</v>
      </c>
      <c r="F3365" s="10" t="n">
        <f aca="false">Nonlabor!$J$17*(1+Assumptions!$E$9)^INT((C3365-1)/12)</f>
        <v>21057.45408</v>
      </c>
      <c r="G3365" s="10" t="n">
        <f aca="false">E3365*F3365</f>
        <v>0</v>
      </c>
      <c r="H3365" s="10" t="n">
        <f aca="false">IF(OR(Nonlabor!$L$17="Quote required",Nonlabor!$L$17="Unverified"),G3365,0)</f>
        <v>0</v>
      </c>
      <c r="I3365" s="10" t="n">
        <f aca="false">IF(Nonlabor!$E$17="Core",0,G3365)</f>
        <v>0</v>
      </c>
      <c r="J3365" s="23" t="str">
        <f aca="false">Nonlabor!$B$17</f>
        <v>SECURITY</v>
      </c>
    </row>
    <row r="3366" customFormat="false" ht="15" hidden="false" customHeight="false" outlineLevel="0" collapsed="false">
      <c r="A3366" s="6" t="s">
        <v>73</v>
      </c>
      <c r="B3366" s="6" t="s">
        <v>413</v>
      </c>
      <c r="C3366" s="6" t="n">
        <v>1</v>
      </c>
      <c r="D3366" s="25" t="n">
        <f aca="false">EDATE('Start Here'!$B$6,C3366-1)</f>
        <v>46327</v>
      </c>
      <c r="E3366" s="23" t="n">
        <f aca="false">IF(AND(OR(Nonlabor!$D$18="Both",Nonlabor!$D$18='Start Here'!$B$9),IF(Nonlabor!$E$18="Core",1,IF(Nonlabor!$E$18="AI",'Start Here'!$B$7,'Start Here'!$B$8))=1,C3366&gt;=IF(Nonlabor!$E$18="Core",Nonlabor!$F$18,MAX(Nonlabor!$F$18,IF(Nonlabor!$E$18="AI",Assumptions!$E$24,Assumptions!$E$25))),C3366&lt;=Nonlabor!$G$18,OR(Nonlabor!$H$18="Monthly",AND(Nonlabor!$H$18="Once",C3366=IF(Nonlabor!$E$18="Core",Nonlabor!$F$18,MAX(Nonlabor!$F$18,IF(Nonlabor!$E$18="AI",Assumptions!$E$24,Assumptions!$E$25)))),AND(Nonlabor!$H$18="Annual",MOD(C3366-IF(Nonlabor!$E$18="Core",Nonlabor!$F$18,MAX(Nonlabor!$F$18,IF(Nonlabor!$E$18="AI",Assumptions!$E$24,Assumptions!$E$25))),12)=0))),IF(Nonlabor!$I$18="Fixed",1,IF(Nonlabor!$I$18="Seats",ROUNDUP('Monthly Growth'!I6,0),IF(Nonlabor!$I$18="Customers",'Monthly Growth'!D6,IF(Nonlabor!$I$18="NewCustomers",'Monthly Growth'!C6,IF(Nonlabor!$I$18="StorageGB",'Monthly Growth'!G6,IF(Nonlabor!$I$18="LogGB",'Monthly Growth'!H6,IF(Nonlabor!$I$18="RequestsM",'Monthly Growth'!F6,IF(Nonlabor!$I$18="InputM",'Monthly Growth'!D6*Assumptions!$E$22/1000000,IF(Nonlabor!$I$18="OutputM",'Monthly Growth'!D6*Assumptions!$E$23/1000000,0))))))))),0)</f>
        <v>0</v>
      </c>
      <c r="F3366" s="10" t="n">
        <f aca="false">Nonlabor!$J$18*(1+Assumptions!$E$9)^INT((C3366-1)/12)</f>
        <v>15000</v>
      </c>
      <c r="G3366" s="10" t="n">
        <f aca="false">E3366*F3366</f>
        <v>0</v>
      </c>
      <c r="H3366" s="10" t="n">
        <f aca="false">IF(OR(Nonlabor!$L$18="Quote required",Nonlabor!$L$18="Unverified"),G3366,0)</f>
        <v>0</v>
      </c>
      <c r="I3366" s="10" t="n">
        <f aca="false">IF(Nonlabor!$E$18="Core",0,G3366)</f>
        <v>0</v>
      </c>
      <c r="J3366" s="23" t="str">
        <f aca="false">Nonlabor!$B$18</f>
        <v>COMPLIANCE</v>
      </c>
    </row>
    <row r="3367" customFormat="false" ht="15" hidden="false" customHeight="false" outlineLevel="0" collapsed="false">
      <c r="A3367" s="6" t="s">
        <v>73</v>
      </c>
      <c r="B3367" s="6" t="s">
        <v>413</v>
      </c>
      <c r="C3367" s="6" t="n">
        <v>2</v>
      </c>
      <c r="D3367" s="25" t="n">
        <f aca="false">EDATE('Start Here'!$B$6,C3367-1)</f>
        <v>46357</v>
      </c>
      <c r="E3367" s="23" t="n">
        <f aca="false">IF(AND(OR(Nonlabor!$D$18="Both",Nonlabor!$D$18='Start Here'!$B$9),IF(Nonlabor!$E$18="Core",1,IF(Nonlabor!$E$18="AI",'Start Here'!$B$7,'Start Here'!$B$8))=1,C3367&gt;=IF(Nonlabor!$E$18="Core",Nonlabor!$F$18,MAX(Nonlabor!$F$18,IF(Nonlabor!$E$18="AI",Assumptions!$E$24,Assumptions!$E$25))),C3367&lt;=Nonlabor!$G$18,OR(Nonlabor!$H$18="Monthly",AND(Nonlabor!$H$18="Once",C3367=IF(Nonlabor!$E$18="Core",Nonlabor!$F$18,MAX(Nonlabor!$F$18,IF(Nonlabor!$E$18="AI",Assumptions!$E$24,Assumptions!$E$25)))),AND(Nonlabor!$H$18="Annual",MOD(C3367-IF(Nonlabor!$E$18="Core",Nonlabor!$F$18,MAX(Nonlabor!$F$18,IF(Nonlabor!$E$18="AI",Assumptions!$E$24,Assumptions!$E$25))),12)=0))),IF(Nonlabor!$I$18="Fixed",1,IF(Nonlabor!$I$18="Seats",ROUNDUP('Monthly Growth'!I7,0),IF(Nonlabor!$I$18="Customers",'Monthly Growth'!D7,IF(Nonlabor!$I$18="NewCustomers",'Monthly Growth'!C7,IF(Nonlabor!$I$18="StorageGB",'Monthly Growth'!G7,IF(Nonlabor!$I$18="LogGB",'Monthly Growth'!H7,IF(Nonlabor!$I$18="RequestsM",'Monthly Growth'!F7,IF(Nonlabor!$I$18="InputM",'Monthly Growth'!D7*Assumptions!$E$22/1000000,IF(Nonlabor!$I$18="OutputM",'Monthly Growth'!D7*Assumptions!$E$23/1000000,0))))))))),0)</f>
        <v>0</v>
      </c>
      <c r="F3367" s="10" t="n">
        <f aca="false">Nonlabor!$J$18*(1+Assumptions!$E$9)^INT((C3367-1)/12)</f>
        <v>15000</v>
      </c>
      <c r="G3367" s="10" t="n">
        <f aca="false">E3367*F3367</f>
        <v>0</v>
      </c>
      <c r="H3367" s="10" t="n">
        <f aca="false">IF(OR(Nonlabor!$L$18="Quote required",Nonlabor!$L$18="Unverified"),G3367,0)</f>
        <v>0</v>
      </c>
      <c r="I3367" s="10" t="n">
        <f aca="false">IF(Nonlabor!$E$18="Core",0,G3367)</f>
        <v>0</v>
      </c>
      <c r="J3367" s="23" t="str">
        <f aca="false">Nonlabor!$B$18</f>
        <v>COMPLIANCE</v>
      </c>
    </row>
    <row r="3368" customFormat="false" ht="15" hidden="false" customHeight="false" outlineLevel="0" collapsed="false">
      <c r="A3368" s="6" t="s">
        <v>73</v>
      </c>
      <c r="B3368" s="6" t="s">
        <v>413</v>
      </c>
      <c r="C3368" s="6" t="n">
        <v>3</v>
      </c>
      <c r="D3368" s="25" t="n">
        <f aca="false">EDATE('Start Here'!$B$6,C3368-1)</f>
        <v>46388</v>
      </c>
      <c r="E3368" s="23" t="n">
        <f aca="false">IF(AND(OR(Nonlabor!$D$18="Both",Nonlabor!$D$18='Start Here'!$B$9),IF(Nonlabor!$E$18="Core",1,IF(Nonlabor!$E$18="AI",'Start Here'!$B$7,'Start Here'!$B$8))=1,C3368&gt;=IF(Nonlabor!$E$18="Core",Nonlabor!$F$18,MAX(Nonlabor!$F$18,IF(Nonlabor!$E$18="AI",Assumptions!$E$24,Assumptions!$E$25))),C3368&lt;=Nonlabor!$G$18,OR(Nonlabor!$H$18="Monthly",AND(Nonlabor!$H$18="Once",C3368=IF(Nonlabor!$E$18="Core",Nonlabor!$F$18,MAX(Nonlabor!$F$18,IF(Nonlabor!$E$18="AI",Assumptions!$E$24,Assumptions!$E$25)))),AND(Nonlabor!$H$18="Annual",MOD(C3368-IF(Nonlabor!$E$18="Core",Nonlabor!$F$18,MAX(Nonlabor!$F$18,IF(Nonlabor!$E$18="AI",Assumptions!$E$24,Assumptions!$E$25))),12)=0))),IF(Nonlabor!$I$18="Fixed",1,IF(Nonlabor!$I$18="Seats",ROUNDUP('Monthly Growth'!I8,0),IF(Nonlabor!$I$18="Customers",'Monthly Growth'!D8,IF(Nonlabor!$I$18="NewCustomers",'Monthly Growth'!C8,IF(Nonlabor!$I$18="StorageGB",'Monthly Growth'!G8,IF(Nonlabor!$I$18="LogGB",'Monthly Growth'!H8,IF(Nonlabor!$I$18="RequestsM",'Monthly Growth'!F8,IF(Nonlabor!$I$18="InputM",'Monthly Growth'!D8*Assumptions!$E$22/1000000,IF(Nonlabor!$I$18="OutputM",'Monthly Growth'!D8*Assumptions!$E$23/1000000,0))))))))),0)</f>
        <v>0</v>
      </c>
      <c r="F3368" s="10" t="n">
        <f aca="false">Nonlabor!$J$18*(1+Assumptions!$E$9)^INT((C3368-1)/12)</f>
        <v>15000</v>
      </c>
      <c r="G3368" s="10" t="n">
        <f aca="false">E3368*F3368</f>
        <v>0</v>
      </c>
      <c r="H3368" s="10" t="n">
        <f aca="false">IF(OR(Nonlabor!$L$18="Quote required",Nonlabor!$L$18="Unverified"),G3368,0)</f>
        <v>0</v>
      </c>
      <c r="I3368" s="10" t="n">
        <f aca="false">IF(Nonlabor!$E$18="Core",0,G3368)</f>
        <v>0</v>
      </c>
      <c r="J3368" s="23" t="str">
        <f aca="false">Nonlabor!$B$18</f>
        <v>COMPLIANCE</v>
      </c>
    </row>
    <row r="3369" customFormat="false" ht="15" hidden="false" customHeight="false" outlineLevel="0" collapsed="false">
      <c r="A3369" s="6" t="s">
        <v>73</v>
      </c>
      <c r="B3369" s="6" t="s">
        <v>413</v>
      </c>
      <c r="C3369" s="6" t="n">
        <v>4</v>
      </c>
      <c r="D3369" s="25" t="n">
        <f aca="false">EDATE('Start Here'!$B$6,C3369-1)</f>
        <v>46419</v>
      </c>
      <c r="E3369" s="23" t="n">
        <f aca="false">IF(AND(OR(Nonlabor!$D$18="Both",Nonlabor!$D$18='Start Here'!$B$9),IF(Nonlabor!$E$18="Core",1,IF(Nonlabor!$E$18="AI",'Start Here'!$B$7,'Start Here'!$B$8))=1,C3369&gt;=IF(Nonlabor!$E$18="Core",Nonlabor!$F$18,MAX(Nonlabor!$F$18,IF(Nonlabor!$E$18="AI",Assumptions!$E$24,Assumptions!$E$25))),C3369&lt;=Nonlabor!$G$18,OR(Nonlabor!$H$18="Monthly",AND(Nonlabor!$H$18="Once",C3369=IF(Nonlabor!$E$18="Core",Nonlabor!$F$18,MAX(Nonlabor!$F$18,IF(Nonlabor!$E$18="AI",Assumptions!$E$24,Assumptions!$E$25)))),AND(Nonlabor!$H$18="Annual",MOD(C3369-IF(Nonlabor!$E$18="Core",Nonlabor!$F$18,MAX(Nonlabor!$F$18,IF(Nonlabor!$E$18="AI",Assumptions!$E$24,Assumptions!$E$25))),12)=0))),IF(Nonlabor!$I$18="Fixed",1,IF(Nonlabor!$I$18="Seats",ROUNDUP('Monthly Growth'!I9,0),IF(Nonlabor!$I$18="Customers",'Monthly Growth'!D9,IF(Nonlabor!$I$18="NewCustomers",'Monthly Growth'!C9,IF(Nonlabor!$I$18="StorageGB",'Monthly Growth'!G9,IF(Nonlabor!$I$18="LogGB",'Monthly Growth'!H9,IF(Nonlabor!$I$18="RequestsM",'Monthly Growth'!F9,IF(Nonlabor!$I$18="InputM",'Monthly Growth'!D9*Assumptions!$E$22/1000000,IF(Nonlabor!$I$18="OutputM",'Monthly Growth'!D9*Assumptions!$E$23/1000000,0))))))))),0)</f>
        <v>0</v>
      </c>
      <c r="F3369" s="10" t="n">
        <f aca="false">Nonlabor!$J$18*(1+Assumptions!$E$9)^INT((C3369-1)/12)</f>
        <v>15000</v>
      </c>
      <c r="G3369" s="10" t="n">
        <f aca="false">E3369*F3369</f>
        <v>0</v>
      </c>
      <c r="H3369" s="10" t="n">
        <f aca="false">IF(OR(Nonlabor!$L$18="Quote required",Nonlabor!$L$18="Unverified"),G3369,0)</f>
        <v>0</v>
      </c>
      <c r="I3369" s="10" t="n">
        <f aca="false">IF(Nonlabor!$E$18="Core",0,G3369)</f>
        <v>0</v>
      </c>
      <c r="J3369" s="23" t="str">
        <f aca="false">Nonlabor!$B$18</f>
        <v>COMPLIANCE</v>
      </c>
    </row>
    <row r="3370" customFormat="false" ht="15" hidden="false" customHeight="false" outlineLevel="0" collapsed="false">
      <c r="A3370" s="6" t="s">
        <v>73</v>
      </c>
      <c r="B3370" s="6" t="s">
        <v>413</v>
      </c>
      <c r="C3370" s="6" t="n">
        <v>5</v>
      </c>
      <c r="D3370" s="25" t="n">
        <f aca="false">EDATE('Start Here'!$B$6,C3370-1)</f>
        <v>46447</v>
      </c>
      <c r="E3370" s="23" t="n">
        <f aca="false">IF(AND(OR(Nonlabor!$D$18="Both",Nonlabor!$D$18='Start Here'!$B$9),IF(Nonlabor!$E$18="Core",1,IF(Nonlabor!$E$18="AI",'Start Here'!$B$7,'Start Here'!$B$8))=1,C3370&gt;=IF(Nonlabor!$E$18="Core",Nonlabor!$F$18,MAX(Nonlabor!$F$18,IF(Nonlabor!$E$18="AI",Assumptions!$E$24,Assumptions!$E$25))),C3370&lt;=Nonlabor!$G$18,OR(Nonlabor!$H$18="Monthly",AND(Nonlabor!$H$18="Once",C3370=IF(Nonlabor!$E$18="Core",Nonlabor!$F$18,MAX(Nonlabor!$F$18,IF(Nonlabor!$E$18="AI",Assumptions!$E$24,Assumptions!$E$25)))),AND(Nonlabor!$H$18="Annual",MOD(C3370-IF(Nonlabor!$E$18="Core",Nonlabor!$F$18,MAX(Nonlabor!$F$18,IF(Nonlabor!$E$18="AI",Assumptions!$E$24,Assumptions!$E$25))),12)=0))),IF(Nonlabor!$I$18="Fixed",1,IF(Nonlabor!$I$18="Seats",ROUNDUP('Monthly Growth'!I10,0),IF(Nonlabor!$I$18="Customers",'Monthly Growth'!D10,IF(Nonlabor!$I$18="NewCustomers",'Monthly Growth'!C10,IF(Nonlabor!$I$18="StorageGB",'Monthly Growth'!G10,IF(Nonlabor!$I$18="LogGB",'Monthly Growth'!H10,IF(Nonlabor!$I$18="RequestsM",'Monthly Growth'!F10,IF(Nonlabor!$I$18="InputM",'Monthly Growth'!D10*Assumptions!$E$22/1000000,IF(Nonlabor!$I$18="OutputM",'Monthly Growth'!D10*Assumptions!$E$23/1000000,0))))))))),0)</f>
        <v>0</v>
      </c>
      <c r="F3370" s="10" t="n">
        <f aca="false">Nonlabor!$J$18*(1+Assumptions!$E$9)^INT((C3370-1)/12)</f>
        <v>15000</v>
      </c>
      <c r="G3370" s="10" t="n">
        <f aca="false">E3370*F3370</f>
        <v>0</v>
      </c>
      <c r="H3370" s="10" t="n">
        <f aca="false">IF(OR(Nonlabor!$L$18="Quote required",Nonlabor!$L$18="Unverified"),G3370,0)</f>
        <v>0</v>
      </c>
      <c r="I3370" s="10" t="n">
        <f aca="false">IF(Nonlabor!$E$18="Core",0,G3370)</f>
        <v>0</v>
      </c>
      <c r="J3370" s="23" t="str">
        <f aca="false">Nonlabor!$B$18</f>
        <v>COMPLIANCE</v>
      </c>
    </row>
    <row r="3371" customFormat="false" ht="15" hidden="false" customHeight="false" outlineLevel="0" collapsed="false">
      <c r="A3371" s="6" t="s">
        <v>73</v>
      </c>
      <c r="B3371" s="6" t="s">
        <v>413</v>
      </c>
      <c r="C3371" s="6" t="n">
        <v>6</v>
      </c>
      <c r="D3371" s="25" t="n">
        <f aca="false">EDATE('Start Here'!$B$6,C3371-1)</f>
        <v>46478</v>
      </c>
      <c r="E3371" s="23" t="n">
        <f aca="false">IF(AND(OR(Nonlabor!$D$18="Both",Nonlabor!$D$18='Start Here'!$B$9),IF(Nonlabor!$E$18="Core",1,IF(Nonlabor!$E$18="AI",'Start Here'!$B$7,'Start Here'!$B$8))=1,C3371&gt;=IF(Nonlabor!$E$18="Core",Nonlabor!$F$18,MAX(Nonlabor!$F$18,IF(Nonlabor!$E$18="AI",Assumptions!$E$24,Assumptions!$E$25))),C3371&lt;=Nonlabor!$G$18,OR(Nonlabor!$H$18="Monthly",AND(Nonlabor!$H$18="Once",C3371=IF(Nonlabor!$E$18="Core",Nonlabor!$F$18,MAX(Nonlabor!$F$18,IF(Nonlabor!$E$18="AI",Assumptions!$E$24,Assumptions!$E$25)))),AND(Nonlabor!$H$18="Annual",MOD(C3371-IF(Nonlabor!$E$18="Core",Nonlabor!$F$18,MAX(Nonlabor!$F$18,IF(Nonlabor!$E$18="AI",Assumptions!$E$24,Assumptions!$E$25))),12)=0))),IF(Nonlabor!$I$18="Fixed",1,IF(Nonlabor!$I$18="Seats",ROUNDUP('Monthly Growth'!I11,0),IF(Nonlabor!$I$18="Customers",'Monthly Growth'!D11,IF(Nonlabor!$I$18="NewCustomers",'Monthly Growth'!C11,IF(Nonlabor!$I$18="StorageGB",'Monthly Growth'!G11,IF(Nonlabor!$I$18="LogGB",'Monthly Growth'!H11,IF(Nonlabor!$I$18="RequestsM",'Monthly Growth'!F11,IF(Nonlabor!$I$18="InputM",'Monthly Growth'!D11*Assumptions!$E$22/1000000,IF(Nonlabor!$I$18="OutputM",'Monthly Growth'!D11*Assumptions!$E$23/1000000,0))))))))),0)</f>
        <v>0</v>
      </c>
      <c r="F3371" s="10" t="n">
        <f aca="false">Nonlabor!$J$18*(1+Assumptions!$E$9)^INT((C3371-1)/12)</f>
        <v>15000</v>
      </c>
      <c r="G3371" s="10" t="n">
        <f aca="false">E3371*F3371</f>
        <v>0</v>
      </c>
      <c r="H3371" s="10" t="n">
        <f aca="false">IF(OR(Nonlabor!$L$18="Quote required",Nonlabor!$L$18="Unverified"),G3371,0)</f>
        <v>0</v>
      </c>
      <c r="I3371" s="10" t="n">
        <f aca="false">IF(Nonlabor!$E$18="Core",0,G3371)</f>
        <v>0</v>
      </c>
      <c r="J3371" s="23" t="str">
        <f aca="false">Nonlabor!$B$18</f>
        <v>COMPLIANCE</v>
      </c>
    </row>
    <row r="3372" customFormat="false" ht="15" hidden="false" customHeight="false" outlineLevel="0" collapsed="false">
      <c r="A3372" s="6" t="s">
        <v>73</v>
      </c>
      <c r="B3372" s="6" t="s">
        <v>413</v>
      </c>
      <c r="C3372" s="6" t="n">
        <v>7</v>
      </c>
      <c r="D3372" s="25" t="n">
        <f aca="false">EDATE('Start Here'!$B$6,C3372-1)</f>
        <v>46508</v>
      </c>
      <c r="E3372" s="23" t="n">
        <f aca="false">IF(AND(OR(Nonlabor!$D$18="Both",Nonlabor!$D$18='Start Here'!$B$9),IF(Nonlabor!$E$18="Core",1,IF(Nonlabor!$E$18="AI",'Start Here'!$B$7,'Start Here'!$B$8))=1,C3372&gt;=IF(Nonlabor!$E$18="Core",Nonlabor!$F$18,MAX(Nonlabor!$F$18,IF(Nonlabor!$E$18="AI",Assumptions!$E$24,Assumptions!$E$25))),C3372&lt;=Nonlabor!$G$18,OR(Nonlabor!$H$18="Monthly",AND(Nonlabor!$H$18="Once",C3372=IF(Nonlabor!$E$18="Core",Nonlabor!$F$18,MAX(Nonlabor!$F$18,IF(Nonlabor!$E$18="AI",Assumptions!$E$24,Assumptions!$E$25)))),AND(Nonlabor!$H$18="Annual",MOD(C3372-IF(Nonlabor!$E$18="Core",Nonlabor!$F$18,MAX(Nonlabor!$F$18,IF(Nonlabor!$E$18="AI",Assumptions!$E$24,Assumptions!$E$25))),12)=0))),IF(Nonlabor!$I$18="Fixed",1,IF(Nonlabor!$I$18="Seats",ROUNDUP('Monthly Growth'!I12,0),IF(Nonlabor!$I$18="Customers",'Monthly Growth'!D12,IF(Nonlabor!$I$18="NewCustomers",'Monthly Growth'!C12,IF(Nonlabor!$I$18="StorageGB",'Monthly Growth'!G12,IF(Nonlabor!$I$18="LogGB",'Monthly Growth'!H12,IF(Nonlabor!$I$18="RequestsM",'Monthly Growth'!F12,IF(Nonlabor!$I$18="InputM",'Monthly Growth'!D12*Assumptions!$E$22/1000000,IF(Nonlabor!$I$18="OutputM",'Monthly Growth'!D12*Assumptions!$E$23/1000000,0))))))))),0)</f>
        <v>0</v>
      </c>
      <c r="F3372" s="10" t="n">
        <f aca="false">Nonlabor!$J$18*(1+Assumptions!$E$9)^INT((C3372-1)/12)</f>
        <v>15000</v>
      </c>
      <c r="G3372" s="10" t="n">
        <f aca="false">E3372*F3372</f>
        <v>0</v>
      </c>
      <c r="H3372" s="10" t="n">
        <f aca="false">IF(OR(Nonlabor!$L$18="Quote required",Nonlabor!$L$18="Unverified"),G3372,0)</f>
        <v>0</v>
      </c>
      <c r="I3372" s="10" t="n">
        <f aca="false">IF(Nonlabor!$E$18="Core",0,G3372)</f>
        <v>0</v>
      </c>
      <c r="J3372" s="23" t="str">
        <f aca="false">Nonlabor!$B$18</f>
        <v>COMPLIANCE</v>
      </c>
    </row>
    <row r="3373" customFormat="false" ht="15" hidden="false" customHeight="false" outlineLevel="0" collapsed="false">
      <c r="A3373" s="6" t="s">
        <v>73</v>
      </c>
      <c r="B3373" s="6" t="s">
        <v>413</v>
      </c>
      <c r="C3373" s="6" t="n">
        <v>8</v>
      </c>
      <c r="D3373" s="25" t="n">
        <f aca="false">EDATE('Start Here'!$B$6,C3373-1)</f>
        <v>46539</v>
      </c>
      <c r="E3373" s="23" t="n">
        <f aca="false">IF(AND(OR(Nonlabor!$D$18="Both",Nonlabor!$D$18='Start Here'!$B$9),IF(Nonlabor!$E$18="Core",1,IF(Nonlabor!$E$18="AI",'Start Here'!$B$7,'Start Here'!$B$8))=1,C3373&gt;=IF(Nonlabor!$E$18="Core",Nonlabor!$F$18,MAX(Nonlabor!$F$18,IF(Nonlabor!$E$18="AI",Assumptions!$E$24,Assumptions!$E$25))),C3373&lt;=Nonlabor!$G$18,OR(Nonlabor!$H$18="Monthly",AND(Nonlabor!$H$18="Once",C3373=IF(Nonlabor!$E$18="Core",Nonlabor!$F$18,MAX(Nonlabor!$F$18,IF(Nonlabor!$E$18="AI",Assumptions!$E$24,Assumptions!$E$25)))),AND(Nonlabor!$H$18="Annual",MOD(C3373-IF(Nonlabor!$E$18="Core",Nonlabor!$F$18,MAX(Nonlabor!$F$18,IF(Nonlabor!$E$18="AI",Assumptions!$E$24,Assumptions!$E$25))),12)=0))),IF(Nonlabor!$I$18="Fixed",1,IF(Nonlabor!$I$18="Seats",ROUNDUP('Monthly Growth'!I13,0),IF(Nonlabor!$I$18="Customers",'Monthly Growth'!D13,IF(Nonlabor!$I$18="NewCustomers",'Monthly Growth'!C13,IF(Nonlabor!$I$18="StorageGB",'Monthly Growth'!G13,IF(Nonlabor!$I$18="LogGB",'Monthly Growth'!H13,IF(Nonlabor!$I$18="RequestsM",'Monthly Growth'!F13,IF(Nonlabor!$I$18="InputM",'Monthly Growth'!D13*Assumptions!$E$22/1000000,IF(Nonlabor!$I$18="OutputM",'Monthly Growth'!D13*Assumptions!$E$23/1000000,0))))))))),0)</f>
        <v>0</v>
      </c>
      <c r="F3373" s="10" t="n">
        <f aca="false">Nonlabor!$J$18*(1+Assumptions!$E$9)^INT((C3373-1)/12)</f>
        <v>15000</v>
      </c>
      <c r="G3373" s="10" t="n">
        <f aca="false">E3373*F3373</f>
        <v>0</v>
      </c>
      <c r="H3373" s="10" t="n">
        <f aca="false">IF(OR(Nonlabor!$L$18="Quote required",Nonlabor!$L$18="Unverified"),G3373,0)</f>
        <v>0</v>
      </c>
      <c r="I3373" s="10" t="n">
        <f aca="false">IF(Nonlabor!$E$18="Core",0,G3373)</f>
        <v>0</v>
      </c>
      <c r="J3373" s="23" t="str">
        <f aca="false">Nonlabor!$B$18</f>
        <v>COMPLIANCE</v>
      </c>
    </row>
    <row r="3374" customFormat="false" ht="15" hidden="false" customHeight="false" outlineLevel="0" collapsed="false">
      <c r="A3374" s="6" t="s">
        <v>73</v>
      </c>
      <c r="B3374" s="6" t="s">
        <v>413</v>
      </c>
      <c r="C3374" s="6" t="n">
        <v>9</v>
      </c>
      <c r="D3374" s="25" t="n">
        <f aca="false">EDATE('Start Here'!$B$6,C3374-1)</f>
        <v>46569</v>
      </c>
      <c r="E3374" s="23" t="n">
        <f aca="false">IF(AND(OR(Nonlabor!$D$18="Both",Nonlabor!$D$18='Start Here'!$B$9),IF(Nonlabor!$E$18="Core",1,IF(Nonlabor!$E$18="AI",'Start Here'!$B$7,'Start Here'!$B$8))=1,C3374&gt;=IF(Nonlabor!$E$18="Core",Nonlabor!$F$18,MAX(Nonlabor!$F$18,IF(Nonlabor!$E$18="AI",Assumptions!$E$24,Assumptions!$E$25))),C3374&lt;=Nonlabor!$G$18,OR(Nonlabor!$H$18="Monthly",AND(Nonlabor!$H$18="Once",C3374=IF(Nonlabor!$E$18="Core",Nonlabor!$F$18,MAX(Nonlabor!$F$18,IF(Nonlabor!$E$18="AI",Assumptions!$E$24,Assumptions!$E$25)))),AND(Nonlabor!$H$18="Annual",MOD(C3374-IF(Nonlabor!$E$18="Core",Nonlabor!$F$18,MAX(Nonlabor!$F$18,IF(Nonlabor!$E$18="AI",Assumptions!$E$24,Assumptions!$E$25))),12)=0))),IF(Nonlabor!$I$18="Fixed",1,IF(Nonlabor!$I$18="Seats",ROUNDUP('Monthly Growth'!I14,0),IF(Nonlabor!$I$18="Customers",'Monthly Growth'!D14,IF(Nonlabor!$I$18="NewCustomers",'Monthly Growth'!C14,IF(Nonlabor!$I$18="StorageGB",'Monthly Growth'!G14,IF(Nonlabor!$I$18="LogGB",'Monthly Growth'!H14,IF(Nonlabor!$I$18="RequestsM",'Monthly Growth'!F14,IF(Nonlabor!$I$18="InputM",'Monthly Growth'!D14*Assumptions!$E$22/1000000,IF(Nonlabor!$I$18="OutputM",'Monthly Growth'!D14*Assumptions!$E$23/1000000,0))))))))),0)</f>
        <v>0</v>
      </c>
      <c r="F3374" s="10" t="n">
        <f aca="false">Nonlabor!$J$18*(1+Assumptions!$E$9)^INT((C3374-1)/12)</f>
        <v>15000</v>
      </c>
      <c r="G3374" s="10" t="n">
        <f aca="false">E3374*F3374</f>
        <v>0</v>
      </c>
      <c r="H3374" s="10" t="n">
        <f aca="false">IF(OR(Nonlabor!$L$18="Quote required",Nonlabor!$L$18="Unverified"),G3374,0)</f>
        <v>0</v>
      </c>
      <c r="I3374" s="10" t="n">
        <f aca="false">IF(Nonlabor!$E$18="Core",0,G3374)</f>
        <v>0</v>
      </c>
      <c r="J3374" s="23" t="str">
        <f aca="false">Nonlabor!$B$18</f>
        <v>COMPLIANCE</v>
      </c>
    </row>
    <row r="3375" customFormat="false" ht="15" hidden="false" customHeight="false" outlineLevel="0" collapsed="false">
      <c r="A3375" s="6" t="s">
        <v>73</v>
      </c>
      <c r="B3375" s="6" t="s">
        <v>413</v>
      </c>
      <c r="C3375" s="6" t="n">
        <v>10</v>
      </c>
      <c r="D3375" s="25" t="n">
        <f aca="false">EDATE('Start Here'!$B$6,C3375-1)</f>
        <v>46600</v>
      </c>
      <c r="E3375" s="23" t="n">
        <f aca="false">IF(AND(OR(Nonlabor!$D$18="Both",Nonlabor!$D$18='Start Here'!$B$9),IF(Nonlabor!$E$18="Core",1,IF(Nonlabor!$E$18="AI",'Start Here'!$B$7,'Start Here'!$B$8))=1,C3375&gt;=IF(Nonlabor!$E$18="Core",Nonlabor!$F$18,MAX(Nonlabor!$F$18,IF(Nonlabor!$E$18="AI",Assumptions!$E$24,Assumptions!$E$25))),C3375&lt;=Nonlabor!$G$18,OR(Nonlabor!$H$18="Monthly",AND(Nonlabor!$H$18="Once",C3375=IF(Nonlabor!$E$18="Core",Nonlabor!$F$18,MAX(Nonlabor!$F$18,IF(Nonlabor!$E$18="AI",Assumptions!$E$24,Assumptions!$E$25)))),AND(Nonlabor!$H$18="Annual",MOD(C3375-IF(Nonlabor!$E$18="Core",Nonlabor!$F$18,MAX(Nonlabor!$F$18,IF(Nonlabor!$E$18="AI",Assumptions!$E$24,Assumptions!$E$25))),12)=0))),IF(Nonlabor!$I$18="Fixed",1,IF(Nonlabor!$I$18="Seats",ROUNDUP('Monthly Growth'!I15,0),IF(Nonlabor!$I$18="Customers",'Monthly Growth'!D15,IF(Nonlabor!$I$18="NewCustomers",'Monthly Growth'!C15,IF(Nonlabor!$I$18="StorageGB",'Monthly Growth'!G15,IF(Nonlabor!$I$18="LogGB",'Monthly Growth'!H15,IF(Nonlabor!$I$18="RequestsM",'Monthly Growth'!F15,IF(Nonlabor!$I$18="InputM",'Monthly Growth'!D15*Assumptions!$E$22/1000000,IF(Nonlabor!$I$18="OutputM",'Monthly Growth'!D15*Assumptions!$E$23/1000000,0))))))))),0)</f>
        <v>0</v>
      </c>
      <c r="F3375" s="10" t="n">
        <f aca="false">Nonlabor!$J$18*(1+Assumptions!$E$9)^INT((C3375-1)/12)</f>
        <v>15000</v>
      </c>
      <c r="G3375" s="10" t="n">
        <f aca="false">E3375*F3375</f>
        <v>0</v>
      </c>
      <c r="H3375" s="10" t="n">
        <f aca="false">IF(OR(Nonlabor!$L$18="Quote required",Nonlabor!$L$18="Unverified"),G3375,0)</f>
        <v>0</v>
      </c>
      <c r="I3375" s="10" t="n">
        <f aca="false">IF(Nonlabor!$E$18="Core",0,G3375)</f>
        <v>0</v>
      </c>
      <c r="J3375" s="23" t="str">
        <f aca="false">Nonlabor!$B$18</f>
        <v>COMPLIANCE</v>
      </c>
    </row>
    <row r="3376" customFormat="false" ht="15" hidden="false" customHeight="false" outlineLevel="0" collapsed="false">
      <c r="A3376" s="6" t="s">
        <v>73</v>
      </c>
      <c r="B3376" s="6" t="s">
        <v>413</v>
      </c>
      <c r="C3376" s="6" t="n">
        <v>11</v>
      </c>
      <c r="D3376" s="25" t="n">
        <f aca="false">EDATE('Start Here'!$B$6,C3376-1)</f>
        <v>46631</v>
      </c>
      <c r="E3376" s="23" t="n">
        <f aca="false">IF(AND(OR(Nonlabor!$D$18="Both",Nonlabor!$D$18='Start Here'!$B$9),IF(Nonlabor!$E$18="Core",1,IF(Nonlabor!$E$18="AI",'Start Here'!$B$7,'Start Here'!$B$8))=1,C3376&gt;=IF(Nonlabor!$E$18="Core",Nonlabor!$F$18,MAX(Nonlabor!$F$18,IF(Nonlabor!$E$18="AI",Assumptions!$E$24,Assumptions!$E$25))),C3376&lt;=Nonlabor!$G$18,OR(Nonlabor!$H$18="Monthly",AND(Nonlabor!$H$18="Once",C3376=IF(Nonlabor!$E$18="Core",Nonlabor!$F$18,MAX(Nonlabor!$F$18,IF(Nonlabor!$E$18="AI",Assumptions!$E$24,Assumptions!$E$25)))),AND(Nonlabor!$H$18="Annual",MOD(C3376-IF(Nonlabor!$E$18="Core",Nonlabor!$F$18,MAX(Nonlabor!$F$18,IF(Nonlabor!$E$18="AI",Assumptions!$E$24,Assumptions!$E$25))),12)=0))),IF(Nonlabor!$I$18="Fixed",1,IF(Nonlabor!$I$18="Seats",ROUNDUP('Monthly Growth'!I16,0),IF(Nonlabor!$I$18="Customers",'Monthly Growth'!D16,IF(Nonlabor!$I$18="NewCustomers",'Monthly Growth'!C16,IF(Nonlabor!$I$18="StorageGB",'Monthly Growth'!G16,IF(Nonlabor!$I$18="LogGB",'Monthly Growth'!H16,IF(Nonlabor!$I$18="RequestsM",'Monthly Growth'!F16,IF(Nonlabor!$I$18="InputM",'Monthly Growth'!D16*Assumptions!$E$22/1000000,IF(Nonlabor!$I$18="OutputM",'Monthly Growth'!D16*Assumptions!$E$23/1000000,0))))))))),0)</f>
        <v>1</v>
      </c>
      <c r="F3376" s="10" t="n">
        <f aca="false">Nonlabor!$J$18*(1+Assumptions!$E$9)^INT((C3376-1)/12)</f>
        <v>15000</v>
      </c>
      <c r="G3376" s="10" t="n">
        <f aca="false">E3376*F3376</f>
        <v>15000</v>
      </c>
      <c r="H3376" s="10" t="n">
        <f aca="false">IF(OR(Nonlabor!$L$18="Quote required",Nonlabor!$L$18="Unverified"),G3376,0)</f>
        <v>15000</v>
      </c>
      <c r="I3376" s="10" t="n">
        <f aca="false">IF(Nonlabor!$E$18="Core",0,G3376)</f>
        <v>0</v>
      </c>
      <c r="J3376" s="23" t="str">
        <f aca="false">Nonlabor!$B$18</f>
        <v>COMPLIANCE</v>
      </c>
    </row>
    <row r="3377" customFormat="false" ht="15" hidden="false" customHeight="false" outlineLevel="0" collapsed="false">
      <c r="A3377" s="6" t="s">
        <v>73</v>
      </c>
      <c r="B3377" s="6" t="s">
        <v>413</v>
      </c>
      <c r="C3377" s="6" t="n">
        <v>12</v>
      </c>
      <c r="D3377" s="25" t="n">
        <f aca="false">EDATE('Start Here'!$B$6,C3377-1)</f>
        <v>46661</v>
      </c>
      <c r="E3377" s="23" t="n">
        <f aca="false">IF(AND(OR(Nonlabor!$D$18="Both",Nonlabor!$D$18='Start Here'!$B$9),IF(Nonlabor!$E$18="Core",1,IF(Nonlabor!$E$18="AI",'Start Here'!$B$7,'Start Here'!$B$8))=1,C3377&gt;=IF(Nonlabor!$E$18="Core",Nonlabor!$F$18,MAX(Nonlabor!$F$18,IF(Nonlabor!$E$18="AI",Assumptions!$E$24,Assumptions!$E$25))),C3377&lt;=Nonlabor!$G$18,OR(Nonlabor!$H$18="Monthly",AND(Nonlabor!$H$18="Once",C3377=IF(Nonlabor!$E$18="Core",Nonlabor!$F$18,MAX(Nonlabor!$F$18,IF(Nonlabor!$E$18="AI",Assumptions!$E$24,Assumptions!$E$25)))),AND(Nonlabor!$H$18="Annual",MOD(C3377-IF(Nonlabor!$E$18="Core",Nonlabor!$F$18,MAX(Nonlabor!$F$18,IF(Nonlabor!$E$18="AI",Assumptions!$E$24,Assumptions!$E$25))),12)=0))),IF(Nonlabor!$I$18="Fixed",1,IF(Nonlabor!$I$18="Seats",ROUNDUP('Monthly Growth'!I17,0),IF(Nonlabor!$I$18="Customers",'Monthly Growth'!D17,IF(Nonlabor!$I$18="NewCustomers",'Monthly Growth'!C17,IF(Nonlabor!$I$18="StorageGB",'Monthly Growth'!G17,IF(Nonlabor!$I$18="LogGB",'Monthly Growth'!H17,IF(Nonlabor!$I$18="RequestsM",'Monthly Growth'!F17,IF(Nonlabor!$I$18="InputM",'Monthly Growth'!D17*Assumptions!$E$22/1000000,IF(Nonlabor!$I$18="OutputM",'Monthly Growth'!D17*Assumptions!$E$23/1000000,0))))))))),0)</f>
        <v>0</v>
      </c>
      <c r="F3377" s="10" t="n">
        <f aca="false">Nonlabor!$J$18*(1+Assumptions!$E$9)^INT((C3377-1)/12)</f>
        <v>15000</v>
      </c>
      <c r="G3377" s="10" t="n">
        <f aca="false">E3377*F3377</f>
        <v>0</v>
      </c>
      <c r="H3377" s="10" t="n">
        <f aca="false">IF(OR(Nonlabor!$L$18="Quote required",Nonlabor!$L$18="Unverified"),G3377,0)</f>
        <v>0</v>
      </c>
      <c r="I3377" s="10" t="n">
        <f aca="false">IF(Nonlabor!$E$18="Core",0,G3377)</f>
        <v>0</v>
      </c>
      <c r="J3377" s="23" t="str">
        <f aca="false">Nonlabor!$B$18</f>
        <v>COMPLIANCE</v>
      </c>
    </row>
    <row r="3378" customFormat="false" ht="15" hidden="false" customHeight="false" outlineLevel="0" collapsed="false">
      <c r="A3378" s="6" t="s">
        <v>73</v>
      </c>
      <c r="B3378" s="6" t="s">
        <v>413</v>
      </c>
      <c r="C3378" s="6" t="n">
        <v>13</v>
      </c>
      <c r="D3378" s="25" t="n">
        <f aca="false">EDATE('Start Here'!$B$6,C3378-1)</f>
        <v>46692</v>
      </c>
      <c r="E3378" s="23" t="n">
        <f aca="false">IF(AND(OR(Nonlabor!$D$18="Both",Nonlabor!$D$18='Start Here'!$B$9),IF(Nonlabor!$E$18="Core",1,IF(Nonlabor!$E$18="AI",'Start Here'!$B$7,'Start Here'!$B$8))=1,C3378&gt;=IF(Nonlabor!$E$18="Core",Nonlabor!$F$18,MAX(Nonlabor!$F$18,IF(Nonlabor!$E$18="AI",Assumptions!$E$24,Assumptions!$E$25))),C3378&lt;=Nonlabor!$G$18,OR(Nonlabor!$H$18="Monthly",AND(Nonlabor!$H$18="Once",C3378=IF(Nonlabor!$E$18="Core",Nonlabor!$F$18,MAX(Nonlabor!$F$18,IF(Nonlabor!$E$18="AI",Assumptions!$E$24,Assumptions!$E$25)))),AND(Nonlabor!$H$18="Annual",MOD(C3378-IF(Nonlabor!$E$18="Core",Nonlabor!$F$18,MAX(Nonlabor!$F$18,IF(Nonlabor!$E$18="AI",Assumptions!$E$24,Assumptions!$E$25))),12)=0))),IF(Nonlabor!$I$18="Fixed",1,IF(Nonlabor!$I$18="Seats",ROUNDUP('Monthly Growth'!I18,0),IF(Nonlabor!$I$18="Customers",'Monthly Growth'!D18,IF(Nonlabor!$I$18="NewCustomers",'Monthly Growth'!C18,IF(Nonlabor!$I$18="StorageGB",'Monthly Growth'!G18,IF(Nonlabor!$I$18="LogGB",'Monthly Growth'!H18,IF(Nonlabor!$I$18="RequestsM",'Monthly Growth'!F18,IF(Nonlabor!$I$18="InputM",'Monthly Growth'!D18*Assumptions!$E$22/1000000,IF(Nonlabor!$I$18="OutputM",'Monthly Growth'!D18*Assumptions!$E$23/1000000,0))))))))),0)</f>
        <v>0</v>
      </c>
      <c r="F3378" s="10" t="n">
        <f aca="false">Nonlabor!$J$18*(1+Assumptions!$E$9)^INT((C3378-1)/12)</f>
        <v>15600</v>
      </c>
      <c r="G3378" s="10" t="n">
        <f aca="false">E3378*F3378</f>
        <v>0</v>
      </c>
      <c r="H3378" s="10" t="n">
        <f aca="false">IF(OR(Nonlabor!$L$18="Quote required",Nonlabor!$L$18="Unverified"),G3378,0)</f>
        <v>0</v>
      </c>
      <c r="I3378" s="10" t="n">
        <f aca="false">IF(Nonlabor!$E$18="Core",0,G3378)</f>
        <v>0</v>
      </c>
      <c r="J3378" s="23" t="str">
        <f aca="false">Nonlabor!$B$18</f>
        <v>COMPLIANCE</v>
      </c>
    </row>
    <row r="3379" customFormat="false" ht="15" hidden="false" customHeight="false" outlineLevel="0" collapsed="false">
      <c r="A3379" s="6" t="s">
        <v>73</v>
      </c>
      <c r="B3379" s="6" t="s">
        <v>413</v>
      </c>
      <c r="C3379" s="6" t="n">
        <v>14</v>
      </c>
      <c r="D3379" s="25" t="n">
        <f aca="false">EDATE('Start Here'!$B$6,C3379-1)</f>
        <v>46722</v>
      </c>
      <c r="E3379" s="23" t="n">
        <f aca="false">IF(AND(OR(Nonlabor!$D$18="Both",Nonlabor!$D$18='Start Here'!$B$9),IF(Nonlabor!$E$18="Core",1,IF(Nonlabor!$E$18="AI",'Start Here'!$B$7,'Start Here'!$B$8))=1,C3379&gt;=IF(Nonlabor!$E$18="Core",Nonlabor!$F$18,MAX(Nonlabor!$F$18,IF(Nonlabor!$E$18="AI",Assumptions!$E$24,Assumptions!$E$25))),C3379&lt;=Nonlabor!$G$18,OR(Nonlabor!$H$18="Monthly",AND(Nonlabor!$H$18="Once",C3379=IF(Nonlabor!$E$18="Core",Nonlabor!$F$18,MAX(Nonlabor!$F$18,IF(Nonlabor!$E$18="AI",Assumptions!$E$24,Assumptions!$E$25)))),AND(Nonlabor!$H$18="Annual",MOD(C3379-IF(Nonlabor!$E$18="Core",Nonlabor!$F$18,MAX(Nonlabor!$F$18,IF(Nonlabor!$E$18="AI",Assumptions!$E$24,Assumptions!$E$25))),12)=0))),IF(Nonlabor!$I$18="Fixed",1,IF(Nonlabor!$I$18="Seats",ROUNDUP('Monthly Growth'!I19,0),IF(Nonlabor!$I$18="Customers",'Monthly Growth'!D19,IF(Nonlabor!$I$18="NewCustomers",'Monthly Growth'!C19,IF(Nonlabor!$I$18="StorageGB",'Monthly Growth'!G19,IF(Nonlabor!$I$18="LogGB",'Monthly Growth'!H19,IF(Nonlabor!$I$18="RequestsM",'Monthly Growth'!F19,IF(Nonlabor!$I$18="InputM",'Monthly Growth'!D19*Assumptions!$E$22/1000000,IF(Nonlabor!$I$18="OutputM",'Monthly Growth'!D19*Assumptions!$E$23/1000000,0))))))))),0)</f>
        <v>0</v>
      </c>
      <c r="F3379" s="10" t="n">
        <f aca="false">Nonlabor!$J$18*(1+Assumptions!$E$9)^INT((C3379-1)/12)</f>
        <v>15600</v>
      </c>
      <c r="G3379" s="10" t="n">
        <f aca="false">E3379*F3379</f>
        <v>0</v>
      </c>
      <c r="H3379" s="10" t="n">
        <f aca="false">IF(OR(Nonlabor!$L$18="Quote required",Nonlabor!$L$18="Unverified"),G3379,0)</f>
        <v>0</v>
      </c>
      <c r="I3379" s="10" t="n">
        <f aca="false">IF(Nonlabor!$E$18="Core",0,G3379)</f>
        <v>0</v>
      </c>
      <c r="J3379" s="23" t="str">
        <f aca="false">Nonlabor!$B$18</f>
        <v>COMPLIANCE</v>
      </c>
    </row>
    <row r="3380" customFormat="false" ht="15" hidden="false" customHeight="false" outlineLevel="0" collapsed="false">
      <c r="A3380" s="6" t="s">
        <v>73</v>
      </c>
      <c r="B3380" s="6" t="s">
        <v>413</v>
      </c>
      <c r="C3380" s="6" t="n">
        <v>15</v>
      </c>
      <c r="D3380" s="25" t="n">
        <f aca="false">EDATE('Start Here'!$B$6,C3380-1)</f>
        <v>46753</v>
      </c>
      <c r="E3380" s="23" t="n">
        <f aca="false">IF(AND(OR(Nonlabor!$D$18="Both",Nonlabor!$D$18='Start Here'!$B$9),IF(Nonlabor!$E$18="Core",1,IF(Nonlabor!$E$18="AI",'Start Here'!$B$7,'Start Here'!$B$8))=1,C3380&gt;=IF(Nonlabor!$E$18="Core",Nonlabor!$F$18,MAX(Nonlabor!$F$18,IF(Nonlabor!$E$18="AI",Assumptions!$E$24,Assumptions!$E$25))),C3380&lt;=Nonlabor!$G$18,OR(Nonlabor!$H$18="Monthly",AND(Nonlabor!$H$18="Once",C3380=IF(Nonlabor!$E$18="Core",Nonlabor!$F$18,MAX(Nonlabor!$F$18,IF(Nonlabor!$E$18="AI",Assumptions!$E$24,Assumptions!$E$25)))),AND(Nonlabor!$H$18="Annual",MOD(C3380-IF(Nonlabor!$E$18="Core",Nonlabor!$F$18,MAX(Nonlabor!$F$18,IF(Nonlabor!$E$18="AI",Assumptions!$E$24,Assumptions!$E$25))),12)=0))),IF(Nonlabor!$I$18="Fixed",1,IF(Nonlabor!$I$18="Seats",ROUNDUP('Monthly Growth'!I20,0),IF(Nonlabor!$I$18="Customers",'Monthly Growth'!D20,IF(Nonlabor!$I$18="NewCustomers",'Monthly Growth'!C20,IF(Nonlabor!$I$18="StorageGB",'Monthly Growth'!G20,IF(Nonlabor!$I$18="LogGB",'Monthly Growth'!H20,IF(Nonlabor!$I$18="RequestsM",'Monthly Growth'!F20,IF(Nonlabor!$I$18="InputM",'Monthly Growth'!D20*Assumptions!$E$22/1000000,IF(Nonlabor!$I$18="OutputM",'Monthly Growth'!D20*Assumptions!$E$23/1000000,0))))))))),0)</f>
        <v>0</v>
      </c>
      <c r="F3380" s="10" t="n">
        <f aca="false">Nonlabor!$J$18*(1+Assumptions!$E$9)^INT((C3380-1)/12)</f>
        <v>15600</v>
      </c>
      <c r="G3380" s="10" t="n">
        <f aca="false">E3380*F3380</f>
        <v>0</v>
      </c>
      <c r="H3380" s="10" t="n">
        <f aca="false">IF(OR(Nonlabor!$L$18="Quote required",Nonlabor!$L$18="Unverified"),G3380,0)</f>
        <v>0</v>
      </c>
      <c r="I3380" s="10" t="n">
        <f aca="false">IF(Nonlabor!$E$18="Core",0,G3380)</f>
        <v>0</v>
      </c>
      <c r="J3380" s="23" t="str">
        <f aca="false">Nonlabor!$B$18</f>
        <v>COMPLIANCE</v>
      </c>
    </row>
    <row r="3381" customFormat="false" ht="15" hidden="false" customHeight="false" outlineLevel="0" collapsed="false">
      <c r="A3381" s="6" t="s">
        <v>73</v>
      </c>
      <c r="B3381" s="6" t="s">
        <v>413</v>
      </c>
      <c r="C3381" s="6" t="n">
        <v>16</v>
      </c>
      <c r="D3381" s="25" t="n">
        <f aca="false">EDATE('Start Here'!$B$6,C3381-1)</f>
        <v>46784</v>
      </c>
      <c r="E3381" s="23" t="n">
        <f aca="false">IF(AND(OR(Nonlabor!$D$18="Both",Nonlabor!$D$18='Start Here'!$B$9),IF(Nonlabor!$E$18="Core",1,IF(Nonlabor!$E$18="AI",'Start Here'!$B$7,'Start Here'!$B$8))=1,C3381&gt;=IF(Nonlabor!$E$18="Core",Nonlabor!$F$18,MAX(Nonlabor!$F$18,IF(Nonlabor!$E$18="AI",Assumptions!$E$24,Assumptions!$E$25))),C3381&lt;=Nonlabor!$G$18,OR(Nonlabor!$H$18="Monthly",AND(Nonlabor!$H$18="Once",C3381=IF(Nonlabor!$E$18="Core",Nonlabor!$F$18,MAX(Nonlabor!$F$18,IF(Nonlabor!$E$18="AI",Assumptions!$E$24,Assumptions!$E$25)))),AND(Nonlabor!$H$18="Annual",MOD(C3381-IF(Nonlabor!$E$18="Core",Nonlabor!$F$18,MAX(Nonlabor!$F$18,IF(Nonlabor!$E$18="AI",Assumptions!$E$24,Assumptions!$E$25))),12)=0))),IF(Nonlabor!$I$18="Fixed",1,IF(Nonlabor!$I$18="Seats",ROUNDUP('Monthly Growth'!I21,0),IF(Nonlabor!$I$18="Customers",'Monthly Growth'!D21,IF(Nonlabor!$I$18="NewCustomers",'Monthly Growth'!C21,IF(Nonlabor!$I$18="StorageGB",'Monthly Growth'!G21,IF(Nonlabor!$I$18="LogGB",'Monthly Growth'!H21,IF(Nonlabor!$I$18="RequestsM",'Monthly Growth'!F21,IF(Nonlabor!$I$18="InputM",'Monthly Growth'!D21*Assumptions!$E$22/1000000,IF(Nonlabor!$I$18="OutputM",'Monthly Growth'!D21*Assumptions!$E$23/1000000,0))))))))),0)</f>
        <v>0</v>
      </c>
      <c r="F3381" s="10" t="n">
        <f aca="false">Nonlabor!$J$18*(1+Assumptions!$E$9)^INT((C3381-1)/12)</f>
        <v>15600</v>
      </c>
      <c r="G3381" s="10" t="n">
        <f aca="false">E3381*F3381</f>
        <v>0</v>
      </c>
      <c r="H3381" s="10" t="n">
        <f aca="false">IF(OR(Nonlabor!$L$18="Quote required",Nonlabor!$L$18="Unverified"),G3381,0)</f>
        <v>0</v>
      </c>
      <c r="I3381" s="10" t="n">
        <f aca="false">IF(Nonlabor!$E$18="Core",0,G3381)</f>
        <v>0</v>
      </c>
      <c r="J3381" s="23" t="str">
        <f aca="false">Nonlabor!$B$18</f>
        <v>COMPLIANCE</v>
      </c>
    </row>
    <row r="3382" customFormat="false" ht="15" hidden="false" customHeight="false" outlineLevel="0" collapsed="false">
      <c r="A3382" s="6" t="s">
        <v>73</v>
      </c>
      <c r="B3382" s="6" t="s">
        <v>413</v>
      </c>
      <c r="C3382" s="6" t="n">
        <v>17</v>
      </c>
      <c r="D3382" s="25" t="n">
        <f aca="false">EDATE('Start Here'!$B$6,C3382-1)</f>
        <v>46813</v>
      </c>
      <c r="E3382" s="23" t="n">
        <f aca="false">IF(AND(OR(Nonlabor!$D$18="Both",Nonlabor!$D$18='Start Here'!$B$9),IF(Nonlabor!$E$18="Core",1,IF(Nonlabor!$E$18="AI",'Start Here'!$B$7,'Start Here'!$B$8))=1,C3382&gt;=IF(Nonlabor!$E$18="Core",Nonlabor!$F$18,MAX(Nonlabor!$F$18,IF(Nonlabor!$E$18="AI",Assumptions!$E$24,Assumptions!$E$25))),C3382&lt;=Nonlabor!$G$18,OR(Nonlabor!$H$18="Monthly",AND(Nonlabor!$H$18="Once",C3382=IF(Nonlabor!$E$18="Core",Nonlabor!$F$18,MAX(Nonlabor!$F$18,IF(Nonlabor!$E$18="AI",Assumptions!$E$24,Assumptions!$E$25)))),AND(Nonlabor!$H$18="Annual",MOD(C3382-IF(Nonlabor!$E$18="Core",Nonlabor!$F$18,MAX(Nonlabor!$F$18,IF(Nonlabor!$E$18="AI",Assumptions!$E$24,Assumptions!$E$25))),12)=0))),IF(Nonlabor!$I$18="Fixed",1,IF(Nonlabor!$I$18="Seats",ROUNDUP('Monthly Growth'!I22,0),IF(Nonlabor!$I$18="Customers",'Monthly Growth'!D22,IF(Nonlabor!$I$18="NewCustomers",'Monthly Growth'!C22,IF(Nonlabor!$I$18="StorageGB",'Monthly Growth'!G22,IF(Nonlabor!$I$18="LogGB",'Monthly Growth'!H22,IF(Nonlabor!$I$18="RequestsM",'Monthly Growth'!F22,IF(Nonlabor!$I$18="InputM",'Monthly Growth'!D22*Assumptions!$E$22/1000000,IF(Nonlabor!$I$18="OutputM",'Monthly Growth'!D22*Assumptions!$E$23/1000000,0))))))))),0)</f>
        <v>0</v>
      </c>
      <c r="F3382" s="10" t="n">
        <f aca="false">Nonlabor!$J$18*(1+Assumptions!$E$9)^INT((C3382-1)/12)</f>
        <v>15600</v>
      </c>
      <c r="G3382" s="10" t="n">
        <f aca="false">E3382*F3382</f>
        <v>0</v>
      </c>
      <c r="H3382" s="10" t="n">
        <f aca="false">IF(OR(Nonlabor!$L$18="Quote required",Nonlabor!$L$18="Unverified"),G3382,0)</f>
        <v>0</v>
      </c>
      <c r="I3382" s="10" t="n">
        <f aca="false">IF(Nonlabor!$E$18="Core",0,G3382)</f>
        <v>0</v>
      </c>
      <c r="J3382" s="23" t="str">
        <f aca="false">Nonlabor!$B$18</f>
        <v>COMPLIANCE</v>
      </c>
    </row>
    <row r="3383" customFormat="false" ht="15" hidden="false" customHeight="false" outlineLevel="0" collapsed="false">
      <c r="A3383" s="6" t="s">
        <v>73</v>
      </c>
      <c r="B3383" s="6" t="s">
        <v>413</v>
      </c>
      <c r="C3383" s="6" t="n">
        <v>18</v>
      </c>
      <c r="D3383" s="25" t="n">
        <f aca="false">EDATE('Start Here'!$B$6,C3383-1)</f>
        <v>46844</v>
      </c>
      <c r="E3383" s="23" t="n">
        <f aca="false">IF(AND(OR(Nonlabor!$D$18="Both",Nonlabor!$D$18='Start Here'!$B$9),IF(Nonlabor!$E$18="Core",1,IF(Nonlabor!$E$18="AI",'Start Here'!$B$7,'Start Here'!$B$8))=1,C3383&gt;=IF(Nonlabor!$E$18="Core",Nonlabor!$F$18,MAX(Nonlabor!$F$18,IF(Nonlabor!$E$18="AI",Assumptions!$E$24,Assumptions!$E$25))),C3383&lt;=Nonlabor!$G$18,OR(Nonlabor!$H$18="Monthly",AND(Nonlabor!$H$18="Once",C3383=IF(Nonlabor!$E$18="Core",Nonlabor!$F$18,MAX(Nonlabor!$F$18,IF(Nonlabor!$E$18="AI",Assumptions!$E$24,Assumptions!$E$25)))),AND(Nonlabor!$H$18="Annual",MOD(C3383-IF(Nonlabor!$E$18="Core",Nonlabor!$F$18,MAX(Nonlabor!$F$18,IF(Nonlabor!$E$18="AI",Assumptions!$E$24,Assumptions!$E$25))),12)=0))),IF(Nonlabor!$I$18="Fixed",1,IF(Nonlabor!$I$18="Seats",ROUNDUP('Monthly Growth'!I23,0),IF(Nonlabor!$I$18="Customers",'Monthly Growth'!D23,IF(Nonlabor!$I$18="NewCustomers",'Monthly Growth'!C23,IF(Nonlabor!$I$18="StorageGB",'Monthly Growth'!G23,IF(Nonlabor!$I$18="LogGB",'Monthly Growth'!H23,IF(Nonlabor!$I$18="RequestsM",'Monthly Growth'!F23,IF(Nonlabor!$I$18="InputM",'Monthly Growth'!D23*Assumptions!$E$22/1000000,IF(Nonlabor!$I$18="OutputM",'Monthly Growth'!D23*Assumptions!$E$23/1000000,0))))))))),0)</f>
        <v>0</v>
      </c>
      <c r="F3383" s="10" t="n">
        <f aca="false">Nonlabor!$J$18*(1+Assumptions!$E$9)^INT((C3383-1)/12)</f>
        <v>15600</v>
      </c>
      <c r="G3383" s="10" t="n">
        <f aca="false">E3383*F3383</f>
        <v>0</v>
      </c>
      <c r="H3383" s="10" t="n">
        <f aca="false">IF(OR(Nonlabor!$L$18="Quote required",Nonlabor!$L$18="Unverified"),G3383,0)</f>
        <v>0</v>
      </c>
      <c r="I3383" s="10" t="n">
        <f aca="false">IF(Nonlabor!$E$18="Core",0,G3383)</f>
        <v>0</v>
      </c>
      <c r="J3383" s="23" t="str">
        <f aca="false">Nonlabor!$B$18</f>
        <v>COMPLIANCE</v>
      </c>
    </row>
    <row r="3384" customFormat="false" ht="15" hidden="false" customHeight="false" outlineLevel="0" collapsed="false">
      <c r="A3384" s="6" t="s">
        <v>73</v>
      </c>
      <c r="B3384" s="6" t="s">
        <v>413</v>
      </c>
      <c r="C3384" s="6" t="n">
        <v>19</v>
      </c>
      <c r="D3384" s="25" t="n">
        <f aca="false">EDATE('Start Here'!$B$6,C3384-1)</f>
        <v>46874</v>
      </c>
      <c r="E3384" s="23" t="n">
        <f aca="false">IF(AND(OR(Nonlabor!$D$18="Both",Nonlabor!$D$18='Start Here'!$B$9),IF(Nonlabor!$E$18="Core",1,IF(Nonlabor!$E$18="AI",'Start Here'!$B$7,'Start Here'!$B$8))=1,C3384&gt;=IF(Nonlabor!$E$18="Core",Nonlabor!$F$18,MAX(Nonlabor!$F$18,IF(Nonlabor!$E$18="AI",Assumptions!$E$24,Assumptions!$E$25))),C3384&lt;=Nonlabor!$G$18,OR(Nonlabor!$H$18="Monthly",AND(Nonlabor!$H$18="Once",C3384=IF(Nonlabor!$E$18="Core",Nonlabor!$F$18,MAX(Nonlabor!$F$18,IF(Nonlabor!$E$18="AI",Assumptions!$E$24,Assumptions!$E$25)))),AND(Nonlabor!$H$18="Annual",MOD(C3384-IF(Nonlabor!$E$18="Core",Nonlabor!$F$18,MAX(Nonlabor!$F$18,IF(Nonlabor!$E$18="AI",Assumptions!$E$24,Assumptions!$E$25))),12)=0))),IF(Nonlabor!$I$18="Fixed",1,IF(Nonlabor!$I$18="Seats",ROUNDUP('Monthly Growth'!I24,0),IF(Nonlabor!$I$18="Customers",'Monthly Growth'!D24,IF(Nonlabor!$I$18="NewCustomers",'Monthly Growth'!C24,IF(Nonlabor!$I$18="StorageGB",'Monthly Growth'!G24,IF(Nonlabor!$I$18="LogGB",'Monthly Growth'!H24,IF(Nonlabor!$I$18="RequestsM",'Monthly Growth'!F24,IF(Nonlabor!$I$18="InputM",'Monthly Growth'!D24*Assumptions!$E$22/1000000,IF(Nonlabor!$I$18="OutputM",'Monthly Growth'!D24*Assumptions!$E$23/1000000,0))))))))),0)</f>
        <v>0</v>
      </c>
      <c r="F3384" s="10" t="n">
        <f aca="false">Nonlabor!$J$18*(1+Assumptions!$E$9)^INT((C3384-1)/12)</f>
        <v>15600</v>
      </c>
      <c r="G3384" s="10" t="n">
        <f aca="false">E3384*F3384</f>
        <v>0</v>
      </c>
      <c r="H3384" s="10" t="n">
        <f aca="false">IF(OR(Nonlabor!$L$18="Quote required",Nonlabor!$L$18="Unverified"),G3384,0)</f>
        <v>0</v>
      </c>
      <c r="I3384" s="10" t="n">
        <f aca="false">IF(Nonlabor!$E$18="Core",0,G3384)</f>
        <v>0</v>
      </c>
      <c r="J3384" s="23" t="str">
        <f aca="false">Nonlabor!$B$18</f>
        <v>COMPLIANCE</v>
      </c>
    </row>
    <row r="3385" customFormat="false" ht="15" hidden="false" customHeight="false" outlineLevel="0" collapsed="false">
      <c r="A3385" s="6" t="s">
        <v>73</v>
      </c>
      <c r="B3385" s="6" t="s">
        <v>413</v>
      </c>
      <c r="C3385" s="6" t="n">
        <v>20</v>
      </c>
      <c r="D3385" s="25" t="n">
        <f aca="false">EDATE('Start Here'!$B$6,C3385-1)</f>
        <v>46905</v>
      </c>
      <c r="E3385" s="23" t="n">
        <f aca="false">IF(AND(OR(Nonlabor!$D$18="Both",Nonlabor!$D$18='Start Here'!$B$9),IF(Nonlabor!$E$18="Core",1,IF(Nonlabor!$E$18="AI",'Start Here'!$B$7,'Start Here'!$B$8))=1,C3385&gt;=IF(Nonlabor!$E$18="Core",Nonlabor!$F$18,MAX(Nonlabor!$F$18,IF(Nonlabor!$E$18="AI",Assumptions!$E$24,Assumptions!$E$25))),C3385&lt;=Nonlabor!$G$18,OR(Nonlabor!$H$18="Monthly",AND(Nonlabor!$H$18="Once",C3385=IF(Nonlabor!$E$18="Core",Nonlabor!$F$18,MAX(Nonlabor!$F$18,IF(Nonlabor!$E$18="AI",Assumptions!$E$24,Assumptions!$E$25)))),AND(Nonlabor!$H$18="Annual",MOD(C3385-IF(Nonlabor!$E$18="Core",Nonlabor!$F$18,MAX(Nonlabor!$F$18,IF(Nonlabor!$E$18="AI",Assumptions!$E$24,Assumptions!$E$25))),12)=0))),IF(Nonlabor!$I$18="Fixed",1,IF(Nonlabor!$I$18="Seats",ROUNDUP('Monthly Growth'!I25,0),IF(Nonlabor!$I$18="Customers",'Monthly Growth'!D25,IF(Nonlabor!$I$18="NewCustomers",'Monthly Growth'!C25,IF(Nonlabor!$I$18="StorageGB",'Monthly Growth'!G25,IF(Nonlabor!$I$18="LogGB",'Monthly Growth'!H25,IF(Nonlabor!$I$18="RequestsM",'Monthly Growth'!F25,IF(Nonlabor!$I$18="InputM",'Monthly Growth'!D25*Assumptions!$E$22/1000000,IF(Nonlabor!$I$18="OutputM",'Monthly Growth'!D25*Assumptions!$E$23/1000000,0))))))))),0)</f>
        <v>0</v>
      </c>
      <c r="F3385" s="10" t="n">
        <f aca="false">Nonlabor!$J$18*(1+Assumptions!$E$9)^INT((C3385-1)/12)</f>
        <v>15600</v>
      </c>
      <c r="G3385" s="10" t="n">
        <f aca="false">E3385*F3385</f>
        <v>0</v>
      </c>
      <c r="H3385" s="10" t="n">
        <f aca="false">IF(OR(Nonlabor!$L$18="Quote required",Nonlabor!$L$18="Unverified"),G3385,0)</f>
        <v>0</v>
      </c>
      <c r="I3385" s="10" t="n">
        <f aca="false">IF(Nonlabor!$E$18="Core",0,G3385)</f>
        <v>0</v>
      </c>
      <c r="J3385" s="23" t="str">
        <f aca="false">Nonlabor!$B$18</f>
        <v>COMPLIANCE</v>
      </c>
    </row>
    <row r="3386" customFormat="false" ht="15" hidden="false" customHeight="false" outlineLevel="0" collapsed="false">
      <c r="A3386" s="6" t="s">
        <v>73</v>
      </c>
      <c r="B3386" s="6" t="s">
        <v>413</v>
      </c>
      <c r="C3386" s="6" t="n">
        <v>21</v>
      </c>
      <c r="D3386" s="25" t="n">
        <f aca="false">EDATE('Start Here'!$B$6,C3386-1)</f>
        <v>46935</v>
      </c>
      <c r="E3386" s="23" t="n">
        <f aca="false">IF(AND(OR(Nonlabor!$D$18="Both",Nonlabor!$D$18='Start Here'!$B$9),IF(Nonlabor!$E$18="Core",1,IF(Nonlabor!$E$18="AI",'Start Here'!$B$7,'Start Here'!$B$8))=1,C3386&gt;=IF(Nonlabor!$E$18="Core",Nonlabor!$F$18,MAX(Nonlabor!$F$18,IF(Nonlabor!$E$18="AI",Assumptions!$E$24,Assumptions!$E$25))),C3386&lt;=Nonlabor!$G$18,OR(Nonlabor!$H$18="Monthly",AND(Nonlabor!$H$18="Once",C3386=IF(Nonlabor!$E$18="Core",Nonlabor!$F$18,MAX(Nonlabor!$F$18,IF(Nonlabor!$E$18="AI",Assumptions!$E$24,Assumptions!$E$25)))),AND(Nonlabor!$H$18="Annual",MOD(C3386-IF(Nonlabor!$E$18="Core",Nonlabor!$F$18,MAX(Nonlabor!$F$18,IF(Nonlabor!$E$18="AI",Assumptions!$E$24,Assumptions!$E$25))),12)=0))),IF(Nonlabor!$I$18="Fixed",1,IF(Nonlabor!$I$18="Seats",ROUNDUP('Monthly Growth'!I26,0),IF(Nonlabor!$I$18="Customers",'Monthly Growth'!D26,IF(Nonlabor!$I$18="NewCustomers",'Monthly Growth'!C26,IF(Nonlabor!$I$18="StorageGB",'Monthly Growth'!G26,IF(Nonlabor!$I$18="LogGB",'Monthly Growth'!H26,IF(Nonlabor!$I$18="RequestsM",'Monthly Growth'!F26,IF(Nonlabor!$I$18="InputM",'Monthly Growth'!D26*Assumptions!$E$22/1000000,IF(Nonlabor!$I$18="OutputM",'Monthly Growth'!D26*Assumptions!$E$23/1000000,0))))))))),0)</f>
        <v>0</v>
      </c>
      <c r="F3386" s="10" t="n">
        <f aca="false">Nonlabor!$J$18*(1+Assumptions!$E$9)^INT((C3386-1)/12)</f>
        <v>15600</v>
      </c>
      <c r="G3386" s="10" t="n">
        <f aca="false">E3386*F3386</f>
        <v>0</v>
      </c>
      <c r="H3386" s="10" t="n">
        <f aca="false">IF(OR(Nonlabor!$L$18="Quote required",Nonlabor!$L$18="Unverified"),G3386,0)</f>
        <v>0</v>
      </c>
      <c r="I3386" s="10" t="n">
        <f aca="false">IF(Nonlabor!$E$18="Core",0,G3386)</f>
        <v>0</v>
      </c>
      <c r="J3386" s="23" t="str">
        <f aca="false">Nonlabor!$B$18</f>
        <v>COMPLIANCE</v>
      </c>
    </row>
    <row r="3387" customFormat="false" ht="15" hidden="false" customHeight="false" outlineLevel="0" collapsed="false">
      <c r="A3387" s="6" t="s">
        <v>73</v>
      </c>
      <c r="B3387" s="6" t="s">
        <v>413</v>
      </c>
      <c r="C3387" s="6" t="n">
        <v>22</v>
      </c>
      <c r="D3387" s="25" t="n">
        <f aca="false">EDATE('Start Here'!$B$6,C3387-1)</f>
        <v>46966</v>
      </c>
      <c r="E3387" s="23" t="n">
        <f aca="false">IF(AND(OR(Nonlabor!$D$18="Both",Nonlabor!$D$18='Start Here'!$B$9),IF(Nonlabor!$E$18="Core",1,IF(Nonlabor!$E$18="AI",'Start Here'!$B$7,'Start Here'!$B$8))=1,C3387&gt;=IF(Nonlabor!$E$18="Core",Nonlabor!$F$18,MAX(Nonlabor!$F$18,IF(Nonlabor!$E$18="AI",Assumptions!$E$24,Assumptions!$E$25))),C3387&lt;=Nonlabor!$G$18,OR(Nonlabor!$H$18="Monthly",AND(Nonlabor!$H$18="Once",C3387=IF(Nonlabor!$E$18="Core",Nonlabor!$F$18,MAX(Nonlabor!$F$18,IF(Nonlabor!$E$18="AI",Assumptions!$E$24,Assumptions!$E$25)))),AND(Nonlabor!$H$18="Annual",MOD(C3387-IF(Nonlabor!$E$18="Core",Nonlabor!$F$18,MAX(Nonlabor!$F$18,IF(Nonlabor!$E$18="AI",Assumptions!$E$24,Assumptions!$E$25))),12)=0))),IF(Nonlabor!$I$18="Fixed",1,IF(Nonlabor!$I$18="Seats",ROUNDUP('Monthly Growth'!I27,0),IF(Nonlabor!$I$18="Customers",'Monthly Growth'!D27,IF(Nonlabor!$I$18="NewCustomers",'Monthly Growth'!C27,IF(Nonlabor!$I$18="StorageGB",'Monthly Growth'!G27,IF(Nonlabor!$I$18="LogGB",'Monthly Growth'!H27,IF(Nonlabor!$I$18="RequestsM",'Monthly Growth'!F27,IF(Nonlabor!$I$18="InputM",'Monthly Growth'!D27*Assumptions!$E$22/1000000,IF(Nonlabor!$I$18="OutputM",'Monthly Growth'!D27*Assumptions!$E$23/1000000,0))))))))),0)</f>
        <v>0</v>
      </c>
      <c r="F3387" s="10" t="n">
        <f aca="false">Nonlabor!$J$18*(1+Assumptions!$E$9)^INT((C3387-1)/12)</f>
        <v>15600</v>
      </c>
      <c r="G3387" s="10" t="n">
        <f aca="false">E3387*F3387</f>
        <v>0</v>
      </c>
      <c r="H3387" s="10" t="n">
        <f aca="false">IF(OR(Nonlabor!$L$18="Quote required",Nonlabor!$L$18="Unverified"),G3387,0)</f>
        <v>0</v>
      </c>
      <c r="I3387" s="10" t="n">
        <f aca="false">IF(Nonlabor!$E$18="Core",0,G3387)</f>
        <v>0</v>
      </c>
      <c r="J3387" s="23" t="str">
        <f aca="false">Nonlabor!$B$18</f>
        <v>COMPLIANCE</v>
      </c>
    </row>
    <row r="3388" customFormat="false" ht="15" hidden="false" customHeight="false" outlineLevel="0" collapsed="false">
      <c r="A3388" s="6" t="s">
        <v>73</v>
      </c>
      <c r="B3388" s="6" t="s">
        <v>413</v>
      </c>
      <c r="C3388" s="6" t="n">
        <v>23</v>
      </c>
      <c r="D3388" s="25" t="n">
        <f aca="false">EDATE('Start Here'!$B$6,C3388-1)</f>
        <v>46997</v>
      </c>
      <c r="E3388" s="23" t="n">
        <f aca="false">IF(AND(OR(Nonlabor!$D$18="Both",Nonlabor!$D$18='Start Here'!$B$9),IF(Nonlabor!$E$18="Core",1,IF(Nonlabor!$E$18="AI",'Start Here'!$B$7,'Start Here'!$B$8))=1,C3388&gt;=IF(Nonlabor!$E$18="Core",Nonlabor!$F$18,MAX(Nonlabor!$F$18,IF(Nonlabor!$E$18="AI",Assumptions!$E$24,Assumptions!$E$25))),C3388&lt;=Nonlabor!$G$18,OR(Nonlabor!$H$18="Monthly",AND(Nonlabor!$H$18="Once",C3388=IF(Nonlabor!$E$18="Core",Nonlabor!$F$18,MAX(Nonlabor!$F$18,IF(Nonlabor!$E$18="AI",Assumptions!$E$24,Assumptions!$E$25)))),AND(Nonlabor!$H$18="Annual",MOD(C3388-IF(Nonlabor!$E$18="Core",Nonlabor!$F$18,MAX(Nonlabor!$F$18,IF(Nonlabor!$E$18="AI",Assumptions!$E$24,Assumptions!$E$25))),12)=0))),IF(Nonlabor!$I$18="Fixed",1,IF(Nonlabor!$I$18="Seats",ROUNDUP('Monthly Growth'!I28,0),IF(Nonlabor!$I$18="Customers",'Monthly Growth'!D28,IF(Nonlabor!$I$18="NewCustomers",'Monthly Growth'!C28,IF(Nonlabor!$I$18="StorageGB",'Monthly Growth'!G28,IF(Nonlabor!$I$18="LogGB",'Monthly Growth'!H28,IF(Nonlabor!$I$18="RequestsM",'Monthly Growth'!F28,IF(Nonlabor!$I$18="InputM",'Monthly Growth'!D28*Assumptions!$E$22/1000000,IF(Nonlabor!$I$18="OutputM",'Monthly Growth'!D28*Assumptions!$E$23/1000000,0))))))))),0)</f>
        <v>1</v>
      </c>
      <c r="F3388" s="10" t="n">
        <f aca="false">Nonlabor!$J$18*(1+Assumptions!$E$9)^INT((C3388-1)/12)</f>
        <v>15600</v>
      </c>
      <c r="G3388" s="10" t="n">
        <f aca="false">E3388*F3388</f>
        <v>15600</v>
      </c>
      <c r="H3388" s="10" t="n">
        <f aca="false">IF(OR(Nonlabor!$L$18="Quote required",Nonlabor!$L$18="Unverified"),G3388,0)</f>
        <v>15600</v>
      </c>
      <c r="I3388" s="10" t="n">
        <f aca="false">IF(Nonlabor!$E$18="Core",0,G3388)</f>
        <v>0</v>
      </c>
      <c r="J3388" s="23" t="str">
        <f aca="false">Nonlabor!$B$18</f>
        <v>COMPLIANCE</v>
      </c>
    </row>
    <row r="3389" customFormat="false" ht="15" hidden="false" customHeight="false" outlineLevel="0" collapsed="false">
      <c r="A3389" s="6" t="s">
        <v>73</v>
      </c>
      <c r="B3389" s="6" t="s">
        <v>413</v>
      </c>
      <c r="C3389" s="6" t="n">
        <v>24</v>
      </c>
      <c r="D3389" s="25" t="n">
        <f aca="false">EDATE('Start Here'!$B$6,C3389-1)</f>
        <v>47027</v>
      </c>
      <c r="E3389" s="23" t="n">
        <f aca="false">IF(AND(OR(Nonlabor!$D$18="Both",Nonlabor!$D$18='Start Here'!$B$9),IF(Nonlabor!$E$18="Core",1,IF(Nonlabor!$E$18="AI",'Start Here'!$B$7,'Start Here'!$B$8))=1,C3389&gt;=IF(Nonlabor!$E$18="Core",Nonlabor!$F$18,MAX(Nonlabor!$F$18,IF(Nonlabor!$E$18="AI",Assumptions!$E$24,Assumptions!$E$25))),C3389&lt;=Nonlabor!$G$18,OR(Nonlabor!$H$18="Monthly",AND(Nonlabor!$H$18="Once",C3389=IF(Nonlabor!$E$18="Core",Nonlabor!$F$18,MAX(Nonlabor!$F$18,IF(Nonlabor!$E$18="AI",Assumptions!$E$24,Assumptions!$E$25)))),AND(Nonlabor!$H$18="Annual",MOD(C3389-IF(Nonlabor!$E$18="Core",Nonlabor!$F$18,MAX(Nonlabor!$F$18,IF(Nonlabor!$E$18="AI",Assumptions!$E$24,Assumptions!$E$25))),12)=0))),IF(Nonlabor!$I$18="Fixed",1,IF(Nonlabor!$I$18="Seats",ROUNDUP('Monthly Growth'!I29,0),IF(Nonlabor!$I$18="Customers",'Monthly Growth'!D29,IF(Nonlabor!$I$18="NewCustomers",'Monthly Growth'!C29,IF(Nonlabor!$I$18="StorageGB",'Monthly Growth'!G29,IF(Nonlabor!$I$18="LogGB",'Monthly Growth'!H29,IF(Nonlabor!$I$18="RequestsM",'Monthly Growth'!F29,IF(Nonlabor!$I$18="InputM",'Monthly Growth'!D29*Assumptions!$E$22/1000000,IF(Nonlabor!$I$18="OutputM",'Monthly Growth'!D29*Assumptions!$E$23/1000000,0))))))))),0)</f>
        <v>0</v>
      </c>
      <c r="F3389" s="10" t="n">
        <f aca="false">Nonlabor!$J$18*(1+Assumptions!$E$9)^INT((C3389-1)/12)</f>
        <v>15600</v>
      </c>
      <c r="G3389" s="10" t="n">
        <f aca="false">E3389*F3389</f>
        <v>0</v>
      </c>
      <c r="H3389" s="10" t="n">
        <f aca="false">IF(OR(Nonlabor!$L$18="Quote required",Nonlabor!$L$18="Unverified"),G3389,0)</f>
        <v>0</v>
      </c>
      <c r="I3389" s="10" t="n">
        <f aca="false">IF(Nonlabor!$E$18="Core",0,G3389)</f>
        <v>0</v>
      </c>
      <c r="J3389" s="23" t="str">
        <f aca="false">Nonlabor!$B$18</f>
        <v>COMPLIANCE</v>
      </c>
    </row>
    <row r="3390" customFormat="false" ht="15" hidden="false" customHeight="false" outlineLevel="0" collapsed="false">
      <c r="A3390" s="6" t="s">
        <v>73</v>
      </c>
      <c r="B3390" s="6" t="s">
        <v>413</v>
      </c>
      <c r="C3390" s="6" t="n">
        <v>25</v>
      </c>
      <c r="D3390" s="25" t="n">
        <f aca="false">EDATE('Start Here'!$B$6,C3390-1)</f>
        <v>47058</v>
      </c>
      <c r="E3390" s="23" t="n">
        <f aca="false">IF(AND(OR(Nonlabor!$D$18="Both",Nonlabor!$D$18='Start Here'!$B$9),IF(Nonlabor!$E$18="Core",1,IF(Nonlabor!$E$18="AI",'Start Here'!$B$7,'Start Here'!$B$8))=1,C3390&gt;=IF(Nonlabor!$E$18="Core",Nonlabor!$F$18,MAX(Nonlabor!$F$18,IF(Nonlabor!$E$18="AI",Assumptions!$E$24,Assumptions!$E$25))),C3390&lt;=Nonlabor!$G$18,OR(Nonlabor!$H$18="Monthly",AND(Nonlabor!$H$18="Once",C3390=IF(Nonlabor!$E$18="Core",Nonlabor!$F$18,MAX(Nonlabor!$F$18,IF(Nonlabor!$E$18="AI",Assumptions!$E$24,Assumptions!$E$25)))),AND(Nonlabor!$H$18="Annual",MOD(C3390-IF(Nonlabor!$E$18="Core",Nonlabor!$F$18,MAX(Nonlabor!$F$18,IF(Nonlabor!$E$18="AI",Assumptions!$E$24,Assumptions!$E$25))),12)=0))),IF(Nonlabor!$I$18="Fixed",1,IF(Nonlabor!$I$18="Seats",ROUNDUP('Monthly Growth'!I30,0),IF(Nonlabor!$I$18="Customers",'Monthly Growth'!D30,IF(Nonlabor!$I$18="NewCustomers",'Monthly Growth'!C30,IF(Nonlabor!$I$18="StorageGB",'Monthly Growth'!G30,IF(Nonlabor!$I$18="LogGB",'Monthly Growth'!H30,IF(Nonlabor!$I$18="RequestsM",'Monthly Growth'!F30,IF(Nonlabor!$I$18="InputM",'Monthly Growth'!D30*Assumptions!$E$22/1000000,IF(Nonlabor!$I$18="OutputM",'Monthly Growth'!D30*Assumptions!$E$23/1000000,0))))))))),0)</f>
        <v>0</v>
      </c>
      <c r="F3390" s="10" t="n">
        <f aca="false">Nonlabor!$J$18*(1+Assumptions!$E$9)^INT((C3390-1)/12)</f>
        <v>16224</v>
      </c>
      <c r="G3390" s="10" t="n">
        <f aca="false">E3390*F3390</f>
        <v>0</v>
      </c>
      <c r="H3390" s="10" t="n">
        <f aca="false">IF(OR(Nonlabor!$L$18="Quote required",Nonlabor!$L$18="Unverified"),G3390,0)</f>
        <v>0</v>
      </c>
      <c r="I3390" s="10" t="n">
        <f aca="false">IF(Nonlabor!$E$18="Core",0,G3390)</f>
        <v>0</v>
      </c>
      <c r="J3390" s="23" t="str">
        <f aca="false">Nonlabor!$B$18</f>
        <v>COMPLIANCE</v>
      </c>
    </row>
    <row r="3391" customFormat="false" ht="15" hidden="false" customHeight="false" outlineLevel="0" collapsed="false">
      <c r="A3391" s="6" t="s">
        <v>73</v>
      </c>
      <c r="B3391" s="6" t="s">
        <v>413</v>
      </c>
      <c r="C3391" s="6" t="n">
        <v>26</v>
      </c>
      <c r="D3391" s="25" t="n">
        <f aca="false">EDATE('Start Here'!$B$6,C3391-1)</f>
        <v>47088</v>
      </c>
      <c r="E3391" s="23" t="n">
        <f aca="false">IF(AND(OR(Nonlabor!$D$18="Both",Nonlabor!$D$18='Start Here'!$B$9),IF(Nonlabor!$E$18="Core",1,IF(Nonlabor!$E$18="AI",'Start Here'!$B$7,'Start Here'!$B$8))=1,C3391&gt;=IF(Nonlabor!$E$18="Core",Nonlabor!$F$18,MAX(Nonlabor!$F$18,IF(Nonlabor!$E$18="AI",Assumptions!$E$24,Assumptions!$E$25))),C3391&lt;=Nonlabor!$G$18,OR(Nonlabor!$H$18="Monthly",AND(Nonlabor!$H$18="Once",C3391=IF(Nonlabor!$E$18="Core",Nonlabor!$F$18,MAX(Nonlabor!$F$18,IF(Nonlabor!$E$18="AI",Assumptions!$E$24,Assumptions!$E$25)))),AND(Nonlabor!$H$18="Annual",MOD(C3391-IF(Nonlabor!$E$18="Core",Nonlabor!$F$18,MAX(Nonlabor!$F$18,IF(Nonlabor!$E$18="AI",Assumptions!$E$24,Assumptions!$E$25))),12)=0))),IF(Nonlabor!$I$18="Fixed",1,IF(Nonlabor!$I$18="Seats",ROUNDUP('Monthly Growth'!I31,0),IF(Nonlabor!$I$18="Customers",'Monthly Growth'!D31,IF(Nonlabor!$I$18="NewCustomers",'Monthly Growth'!C31,IF(Nonlabor!$I$18="StorageGB",'Monthly Growth'!G31,IF(Nonlabor!$I$18="LogGB",'Monthly Growth'!H31,IF(Nonlabor!$I$18="RequestsM",'Monthly Growth'!F31,IF(Nonlabor!$I$18="InputM",'Monthly Growth'!D31*Assumptions!$E$22/1000000,IF(Nonlabor!$I$18="OutputM",'Monthly Growth'!D31*Assumptions!$E$23/1000000,0))))))))),0)</f>
        <v>0</v>
      </c>
      <c r="F3391" s="10" t="n">
        <f aca="false">Nonlabor!$J$18*(1+Assumptions!$E$9)^INT((C3391-1)/12)</f>
        <v>16224</v>
      </c>
      <c r="G3391" s="10" t="n">
        <f aca="false">E3391*F3391</f>
        <v>0</v>
      </c>
      <c r="H3391" s="10" t="n">
        <f aca="false">IF(OR(Nonlabor!$L$18="Quote required",Nonlabor!$L$18="Unverified"),G3391,0)</f>
        <v>0</v>
      </c>
      <c r="I3391" s="10" t="n">
        <f aca="false">IF(Nonlabor!$E$18="Core",0,G3391)</f>
        <v>0</v>
      </c>
      <c r="J3391" s="23" t="str">
        <f aca="false">Nonlabor!$B$18</f>
        <v>COMPLIANCE</v>
      </c>
    </row>
    <row r="3392" customFormat="false" ht="15" hidden="false" customHeight="false" outlineLevel="0" collapsed="false">
      <c r="A3392" s="6" t="s">
        <v>73</v>
      </c>
      <c r="B3392" s="6" t="s">
        <v>413</v>
      </c>
      <c r="C3392" s="6" t="n">
        <v>27</v>
      </c>
      <c r="D3392" s="25" t="n">
        <f aca="false">EDATE('Start Here'!$B$6,C3392-1)</f>
        <v>47119</v>
      </c>
      <c r="E3392" s="23" t="n">
        <f aca="false">IF(AND(OR(Nonlabor!$D$18="Both",Nonlabor!$D$18='Start Here'!$B$9),IF(Nonlabor!$E$18="Core",1,IF(Nonlabor!$E$18="AI",'Start Here'!$B$7,'Start Here'!$B$8))=1,C3392&gt;=IF(Nonlabor!$E$18="Core",Nonlabor!$F$18,MAX(Nonlabor!$F$18,IF(Nonlabor!$E$18="AI",Assumptions!$E$24,Assumptions!$E$25))),C3392&lt;=Nonlabor!$G$18,OR(Nonlabor!$H$18="Monthly",AND(Nonlabor!$H$18="Once",C3392=IF(Nonlabor!$E$18="Core",Nonlabor!$F$18,MAX(Nonlabor!$F$18,IF(Nonlabor!$E$18="AI",Assumptions!$E$24,Assumptions!$E$25)))),AND(Nonlabor!$H$18="Annual",MOD(C3392-IF(Nonlabor!$E$18="Core",Nonlabor!$F$18,MAX(Nonlabor!$F$18,IF(Nonlabor!$E$18="AI",Assumptions!$E$24,Assumptions!$E$25))),12)=0))),IF(Nonlabor!$I$18="Fixed",1,IF(Nonlabor!$I$18="Seats",ROUNDUP('Monthly Growth'!I32,0),IF(Nonlabor!$I$18="Customers",'Monthly Growth'!D32,IF(Nonlabor!$I$18="NewCustomers",'Monthly Growth'!C32,IF(Nonlabor!$I$18="StorageGB",'Monthly Growth'!G32,IF(Nonlabor!$I$18="LogGB",'Monthly Growth'!H32,IF(Nonlabor!$I$18="RequestsM",'Monthly Growth'!F32,IF(Nonlabor!$I$18="InputM",'Monthly Growth'!D32*Assumptions!$E$22/1000000,IF(Nonlabor!$I$18="OutputM",'Monthly Growth'!D32*Assumptions!$E$23/1000000,0))))))))),0)</f>
        <v>0</v>
      </c>
      <c r="F3392" s="10" t="n">
        <f aca="false">Nonlabor!$J$18*(1+Assumptions!$E$9)^INT((C3392-1)/12)</f>
        <v>16224</v>
      </c>
      <c r="G3392" s="10" t="n">
        <f aca="false">E3392*F3392</f>
        <v>0</v>
      </c>
      <c r="H3392" s="10" t="n">
        <f aca="false">IF(OR(Nonlabor!$L$18="Quote required",Nonlabor!$L$18="Unverified"),G3392,0)</f>
        <v>0</v>
      </c>
      <c r="I3392" s="10" t="n">
        <f aca="false">IF(Nonlabor!$E$18="Core",0,G3392)</f>
        <v>0</v>
      </c>
      <c r="J3392" s="23" t="str">
        <f aca="false">Nonlabor!$B$18</f>
        <v>COMPLIANCE</v>
      </c>
    </row>
    <row r="3393" customFormat="false" ht="15" hidden="false" customHeight="false" outlineLevel="0" collapsed="false">
      <c r="A3393" s="6" t="s">
        <v>73</v>
      </c>
      <c r="B3393" s="6" t="s">
        <v>413</v>
      </c>
      <c r="C3393" s="6" t="n">
        <v>28</v>
      </c>
      <c r="D3393" s="25" t="n">
        <f aca="false">EDATE('Start Here'!$B$6,C3393-1)</f>
        <v>47150</v>
      </c>
      <c r="E3393" s="23" t="n">
        <f aca="false">IF(AND(OR(Nonlabor!$D$18="Both",Nonlabor!$D$18='Start Here'!$B$9),IF(Nonlabor!$E$18="Core",1,IF(Nonlabor!$E$18="AI",'Start Here'!$B$7,'Start Here'!$B$8))=1,C3393&gt;=IF(Nonlabor!$E$18="Core",Nonlabor!$F$18,MAX(Nonlabor!$F$18,IF(Nonlabor!$E$18="AI",Assumptions!$E$24,Assumptions!$E$25))),C3393&lt;=Nonlabor!$G$18,OR(Nonlabor!$H$18="Monthly",AND(Nonlabor!$H$18="Once",C3393=IF(Nonlabor!$E$18="Core",Nonlabor!$F$18,MAX(Nonlabor!$F$18,IF(Nonlabor!$E$18="AI",Assumptions!$E$24,Assumptions!$E$25)))),AND(Nonlabor!$H$18="Annual",MOD(C3393-IF(Nonlabor!$E$18="Core",Nonlabor!$F$18,MAX(Nonlabor!$F$18,IF(Nonlabor!$E$18="AI",Assumptions!$E$24,Assumptions!$E$25))),12)=0))),IF(Nonlabor!$I$18="Fixed",1,IF(Nonlabor!$I$18="Seats",ROUNDUP('Monthly Growth'!I33,0),IF(Nonlabor!$I$18="Customers",'Monthly Growth'!D33,IF(Nonlabor!$I$18="NewCustomers",'Monthly Growth'!C33,IF(Nonlabor!$I$18="StorageGB",'Monthly Growth'!G33,IF(Nonlabor!$I$18="LogGB",'Monthly Growth'!H33,IF(Nonlabor!$I$18="RequestsM",'Monthly Growth'!F33,IF(Nonlabor!$I$18="InputM",'Monthly Growth'!D33*Assumptions!$E$22/1000000,IF(Nonlabor!$I$18="OutputM",'Monthly Growth'!D33*Assumptions!$E$23/1000000,0))))))))),0)</f>
        <v>0</v>
      </c>
      <c r="F3393" s="10" t="n">
        <f aca="false">Nonlabor!$J$18*(1+Assumptions!$E$9)^INT((C3393-1)/12)</f>
        <v>16224</v>
      </c>
      <c r="G3393" s="10" t="n">
        <f aca="false">E3393*F3393</f>
        <v>0</v>
      </c>
      <c r="H3393" s="10" t="n">
        <f aca="false">IF(OR(Nonlabor!$L$18="Quote required",Nonlabor!$L$18="Unverified"),G3393,0)</f>
        <v>0</v>
      </c>
      <c r="I3393" s="10" t="n">
        <f aca="false">IF(Nonlabor!$E$18="Core",0,G3393)</f>
        <v>0</v>
      </c>
      <c r="J3393" s="23" t="str">
        <f aca="false">Nonlabor!$B$18</f>
        <v>COMPLIANCE</v>
      </c>
    </row>
    <row r="3394" customFormat="false" ht="15" hidden="false" customHeight="false" outlineLevel="0" collapsed="false">
      <c r="A3394" s="6" t="s">
        <v>73</v>
      </c>
      <c r="B3394" s="6" t="s">
        <v>413</v>
      </c>
      <c r="C3394" s="6" t="n">
        <v>29</v>
      </c>
      <c r="D3394" s="25" t="n">
        <f aca="false">EDATE('Start Here'!$B$6,C3394-1)</f>
        <v>47178</v>
      </c>
      <c r="E3394" s="23" t="n">
        <f aca="false">IF(AND(OR(Nonlabor!$D$18="Both",Nonlabor!$D$18='Start Here'!$B$9),IF(Nonlabor!$E$18="Core",1,IF(Nonlabor!$E$18="AI",'Start Here'!$B$7,'Start Here'!$B$8))=1,C3394&gt;=IF(Nonlabor!$E$18="Core",Nonlabor!$F$18,MAX(Nonlabor!$F$18,IF(Nonlabor!$E$18="AI",Assumptions!$E$24,Assumptions!$E$25))),C3394&lt;=Nonlabor!$G$18,OR(Nonlabor!$H$18="Monthly",AND(Nonlabor!$H$18="Once",C3394=IF(Nonlabor!$E$18="Core",Nonlabor!$F$18,MAX(Nonlabor!$F$18,IF(Nonlabor!$E$18="AI",Assumptions!$E$24,Assumptions!$E$25)))),AND(Nonlabor!$H$18="Annual",MOD(C3394-IF(Nonlabor!$E$18="Core",Nonlabor!$F$18,MAX(Nonlabor!$F$18,IF(Nonlabor!$E$18="AI",Assumptions!$E$24,Assumptions!$E$25))),12)=0))),IF(Nonlabor!$I$18="Fixed",1,IF(Nonlabor!$I$18="Seats",ROUNDUP('Monthly Growth'!I34,0),IF(Nonlabor!$I$18="Customers",'Monthly Growth'!D34,IF(Nonlabor!$I$18="NewCustomers",'Monthly Growth'!C34,IF(Nonlabor!$I$18="StorageGB",'Monthly Growth'!G34,IF(Nonlabor!$I$18="LogGB",'Monthly Growth'!H34,IF(Nonlabor!$I$18="RequestsM",'Monthly Growth'!F34,IF(Nonlabor!$I$18="InputM",'Monthly Growth'!D34*Assumptions!$E$22/1000000,IF(Nonlabor!$I$18="OutputM",'Monthly Growth'!D34*Assumptions!$E$23/1000000,0))))))))),0)</f>
        <v>0</v>
      </c>
      <c r="F3394" s="10" t="n">
        <f aca="false">Nonlabor!$J$18*(1+Assumptions!$E$9)^INT((C3394-1)/12)</f>
        <v>16224</v>
      </c>
      <c r="G3394" s="10" t="n">
        <f aca="false">E3394*F3394</f>
        <v>0</v>
      </c>
      <c r="H3394" s="10" t="n">
        <f aca="false">IF(OR(Nonlabor!$L$18="Quote required",Nonlabor!$L$18="Unverified"),G3394,0)</f>
        <v>0</v>
      </c>
      <c r="I3394" s="10" t="n">
        <f aca="false">IF(Nonlabor!$E$18="Core",0,G3394)</f>
        <v>0</v>
      </c>
      <c r="J3394" s="23" t="str">
        <f aca="false">Nonlabor!$B$18</f>
        <v>COMPLIANCE</v>
      </c>
    </row>
    <row r="3395" customFormat="false" ht="15" hidden="false" customHeight="false" outlineLevel="0" collapsed="false">
      <c r="A3395" s="6" t="s">
        <v>73</v>
      </c>
      <c r="B3395" s="6" t="s">
        <v>413</v>
      </c>
      <c r="C3395" s="6" t="n">
        <v>30</v>
      </c>
      <c r="D3395" s="25" t="n">
        <f aca="false">EDATE('Start Here'!$B$6,C3395-1)</f>
        <v>47209</v>
      </c>
      <c r="E3395" s="23" t="n">
        <f aca="false">IF(AND(OR(Nonlabor!$D$18="Both",Nonlabor!$D$18='Start Here'!$B$9),IF(Nonlabor!$E$18="Core",1,IF(Nonlabor!$E$18="AI",'Start Here'!$B$7,'Start Here'!$B$8))=1,C3395&gt;=IF(Nonlabor!$E$18="Core",Nonlabor!$F$18,MAX(Nonlabor!$F$18,IF(Nonlabor!$E$18="AI",Assumptions!$E$24,Assumptions!$E$25))),C3395&lt;=Nonlabor!$G$18,OR(Nonlabor!$H$18="Monthly",AND(Nonlabor!$H$18="Once",C3395=IF(Nonlabor!$E$18="Core",Nonlabor!$F$18,MAX(Nonlabor!$F$18,IF(Nonlabor!$E$18="AI",Assumptions!$E$24,Assumptions!$E$25)))),AND(Nonlabor!$H$18="Annual",MOD(C3395-IF(Nonlabor!$E$18="Core",Nonlabor!$F$18,MAX(Nonlabor!$F$18,IF(Nonlabor!$E$18="AI",Assumptions!$E$24,Assumptions!$E$25))),12)=0))),IF(Nonlabor!$I$18="Fixed",1,IF(Nonlabor!$I$18="Seats",ROUNDUP('Monthly Growth'!I35,0),IF(Nonlabor!$I$18="Customers",'Monthly Growth'!D35,IF(Nonlabor!$I$18="NewCustomers",'Monthly Growth'!C35,IF(Nonlabor!$I$18="StorageGB",'Monthly Growth'!G35,IF(Nonlabor!$I$18="LogGB",'Monthly Growth'!H35,IF(Nonlabor!$I$18="RequestsM",'Monthly Growth'!F35,IF(Nonlabor!$I$18="InputM",'Monthly Growth'!D35*Assumptions!$E$22/1000000,IF(Nonlabor!$I$18="OutputM",'Monthly Growth'!D35*Assumptions!$E$23/1000000,0))))))))),0)</f>
        <v>0</v>
      </c>
      <c r="F3395" s="10" t="n">
        <f aca="false">Nonlabor!$J$18*(1+Assumptions!$E$9)^INT((C3395-1)/12)</f>
        <v>16224</v>
      </c>
      <c r="G3395" s="10" t="n">
        <f aca="false">E3395*F3395</f>
        <v>0</v>
      </c>
      <c r="H3395" s="10" t="n">
        <f aca="false">IF(OR(Nonlabor!$L$18="Quote required",Nonlabor!$L$18="Unverified"),G3395,0)</f>
        <v>0</v>
      </c>
      <c r="I3395" s="10" t="n">
        <f aca="false">IF(Nonlabor!$E$18="Core",0,G3395)</f>
        <v>0</v>
      </c>
      <c r="J3395" s="23" t="str">
        <f aca="false">Nonlabor!$B$18</f>
        <v>COMPLIANCE</v>
      </c>
    </row>
    <row r="3396" customFormat="false" ht="15" hidden="false" customHeight="false" outlineLevel="0" collapsed="false">
      <c r="A3396" s="6" t="s">
        <v>73</v>
      </c>
      <c r="B3396" s="6" t="s">
        <v>413</v>
      </c>
      <c r="C3396" s="6" t="n">
        <v>31</v>
      </c>
      <c r="D3396" s="25" t="n">
        <f aca="false">EDATE('Start Here'!$B$6,C3396-1)</f>
        <v>47239</v>
      </c>
      <c r="E3396" s="23" t="n">
        <f aca="false">IF(AND(OR(Nonlabor!$D$18="Both",Nonlabor!$D$18='Start Here'!$B$9),IF(Nonlabor!$E$18="Core",1,IF(Nonlabor!$E$18="AI",'Start Here'!$B$7,'Start Here'!$B$8))=1,C3396&gt;=IF(Nonlabor!$E$18="Core",Nonlabor!$F$18,MAX(Nonlabor!$F$18,IF(Nonlabor!$E$18="AI",Assumptions!$E$24,Assumptions!$E$25))),C3396&lt;=Nonlabor!$G$18,OR(Nonlabor!$H$18="Monthly",AND(Nonlabor!$H$18="Once",C3396=IF(Nonlabor!$E$18="Core",Nonlabor!$F$18,MAX(Nonlabor!$F$18,IF(Nonlabor!$E$18="AI",Assumptions!$E$24,Assumptions!$E$25)))),AND(Nonlabor!$H$18="Annual",MOD(C3396-IF(Nonlabor!$E$18="Core",Nonlabor!$F$18,MAX(Nonlabor!$F$18,IF(Nonlabor!$E$18="AI",Assumptions!$E$24,Assumptions!$E$25))),12)=0))),IF(Nonlabor!$I$18="Fixed",1,IF(Nonlabor!$I$18="Seats",ROUNDUP('Monthly Growth'!I36,0),IF(Nonlabor!$I$18="Customers",'Monthly Growth'!D36,IF(Nonlabor!$I$18="NewCustomers",'Monthly Growth'!C36,IF(Nonlabor!$I$18="StorageGB",'Monthly Growth'!G36,IF(Nonlabor!$I$18="LogGB",'Monthly Growth'!H36,IF(Nonlabor!$I$18="RequestsM",'Monthly Growth'!F36,IF(Nonlabor!$I$18="InputM",'Monthly Growth'!D36*Assumptions!$E$22/1000000,IF(Nonlabor!$I$18="OutputM",'Monthly Growth'!D36*Assumptions!$E$23/1000000,0))))))))),0)</f>
        <v>0</v>
      </c>
      <c r="F3396" s="10" t="n">
        <f aca="false">Nonlabor!$J$18*(1+Assumptions!$E$9)^INT((C3396-1)/12)</f>
        <v>16224</v>
      </c>
      <c r="G3396" s="10" t="n">
        <f aca="false">E3396*F3396</f>
        <v>0</v>
      </c>
      <c r="H3396" s="10" t="n">
        <f aca="false">IF(OR(Nonlabor!$L$18="Quote required",Nonlabor!$L$18="Unverified"),G3396,0)</f>
        <v>0</v>
      </c>
      <c r="I3396" s="10" t="n">
        <f aca="false">IF(Nonlabor!$E$18="Core",0,G3396)</f>
        <v>0</v>
      </c>
      <c r="J3396" s="23" t="str">
        <f aca="false">Nonlabor!$B$18</f>
        <v>COMPLIANCE</v>
      </c>
    </row>
    <row r="3397" customFormat="false" ht="15" hidden="false" customHeight="false" outlineLevel="0" collapsed="false">
      <c r="A3397" s="6" t="s">
        <v>73</v>
      </c>
      <c r="B3397" s="6" t="s">
        <v>413</v>
      </c>
      <c r="C3397" s="6" t="n">
        <v>32</v>
      </c>
      <c r="D3397" s="25" t="n">
        <f aca="false">EDATE('Start Here'!$B$6,C3397-1)</f>
        <v>47270</v>
      </c>
      <c r="E3397" s="23" t="n">
        <f aca="false">IF(AND(OR(Nonlabor!$D$18="Both",Nonlabor!$D$18='Start Here'!$B$9),IF(Nonlabor!$E$18="Core",1,IF(Nonlabor!$E$18="AI",'Start Here'!$B$7,'Start Here'!$B$8))=1,C3397&gt;=IF(Nonlabor!$E$18="Core",Nonlabor!$F$18,MAX(Nonlabor!$F$18,IF(Nonlabor!$E$18="AI",Assumptions!$E$24,Assumptions!$E$25))),C3397&lt;=Nonlabor!$G$18,OR(Nonlabor!$H$18="Monthly",AND(Nonlabor!$H$18="Once",C3397=IF(Nonlabor!$E$18="Core",Nonlabor!$F$18,MAX(Nonlabor!$F$18,IF(Nonlabor!$E$18="AI",Assumptions!$E$24,Assumptions!$E$25)))),AND(Nonlabor!$H$18="Annual",MOD(C3397-IF(Nonlabor!$E$18="Core",Nonlabor!$F$18,MAX(Nonlabor!$F$18,IF(Nonlabor!$E$18="AI",Assumptions!$E$24,Assumptions!$E$25))),12)=0))),IF(Nonlabor!$I$18="Fixed",1,IF(Nonlabor!$I$18="Seats",ROUNDUP('Monthly Growth'!I37,0),IF(Nonlabor!$I$18="Customers",'Monthly Growth'!D37,IF(Nonlabor!$I$18="NewCustomers",'Monthly Growth'!C37,IF(Nonlabor!$I$18="StorageGB",'Monthly Growth'!G37,IF(Nonlabor!$I$18="LogGB",'Monthly Growth'!H37,IF(Nonlabor!$I$18="RequestsM",'Monthly Growth'!F37,IF(Nonlabor!$I$18="InputM",'Monthly Growth'!D37*Assumptions!$E$22/1000000,IF(Nonlabor!$I$18="OutputM",'Monthly Growth'!D37*Assumptions!$E$23/1000000,0))))))))),0)</f>
        <v>0</v>
      </c>
      <c r="F3397" s="10" t="n">
        <f aca="false">Nonlabor!$J$18*(1+Assumptions!$E$9)^INT((C3397-1)/12)</f>
        <v>16224</v>
      </c>
      <c r="G3397" s="10" t="n">
        <f aca="false">E3397*F3397</f>
        <v>0</v>
      </c>
      <c r="H3397" s="10" t="n">
        <f aca="false">IF(OR(Nonlabor!$L$18="Quote required",Nonlabor!$L$18="Unverified"),G3397,0)</f>
        <v>0</v>
      </c>
      <c r="I3397" s="10" t="n">
        <f aca="false">IF(Nonlabor!$E$18="Core",0,G3397)</f>
        <v>0</v>
      </c>
      <c r="J3397" s="23" t="str">
        <f aca="false">Nonlabor!$B$18</f>
        <v>COMPLIANCE</v>
      </c>
    </row>
    <row r="3398" customFormat="false" ht="15" hidden="false" customHeight="false" outlineLevel="0" collapsed="false">
      <c r="A3398" s="6" t="s">
        <v>73</v>
      </c>
      <c r="B3398" s="6" t="s">
        <v>413</v>
      </c>
      <c r="C3398" s="6" t="n">
        <v>33</v>
      </c>
      <c r="D3398" s="25" t="n">
        <f aca="false">EDATE('Start Here'!$B$6,C3398-1)</f>
        <v>47300</v>
      </c>
      <c r="E3398" s="23" t="n">
        <f aca="false">IF(AND(OR(Nonlabor!$D$18="Both",Nonlabor!$D$18='Start Here'!$B$9),IF(Nonlabor!$E$18="Core",1,IF(Nonlabor!$E$18="AI",'Start Here'!$B$7,'Start Here'!$B$8))=1,C3398&gt;=IF(Nonlabor!$E$18="Core",Nonlabor!$F$18,MAX(Nonlabor!$F$18,IF(Nonlabor!$E$18="AI",Assumptions!$E$24,Assumptions!$E$25))),C3398&lt;=Nonlabor!$G$18,OR(Nonlabor!$H$18="Monthly",AND(Nonlabor!$H$18="Once",C3398=IF(Nonlabor!$E$18="Core",Nonlabor!$F$18,MAX(Nonlabor!$F$18,IF(Nonlabor!$E$18="AI",Assumptions!$E$24,Assumptions!$E$25)))),AND(Nonlabor!$H$18="Annual",MOD(C3398-IF(Nonlabor!$E$18="Core",Nonlabor!$F$18,MAX(Nonlabor!$F$18,IF(Nonlabor!$E$18="AI",Assumptions!$E$24,Assumptions!$E$25))),12)=0))),IF(Nonlabor!$I$18="Fixed",1,IF(Nonlabor!$I$18="Seats",ROUNDUP('Monthly Growth'!I38,0),IF(Nonlabor!$I$18="Customers",'Monthly Growth'!D38,IF(Nonlabor!$I$18="NewCustomers",'Monthly Growth'!C38,IF(Nonlabor!$I$18="StorageGB",'Monthly Growth'!G38,IF(Nonlabor!$I$18="LogGB",'Monthly Growth'!H38,IF(Nonlabor!$I$18="RequestsM",'Monthly Growth'!F38,IF(Nonlabor!$I$18="InputM",'Monthly Growth'!D38*Assumptions!$E$22/1000000,IF(Nonlabor!$I$18="OutputM",'Monthly Growth'!D38*Assumptions!$E$23/1000000,0))))))))),0)</f>
        <v>0</v>
      </c>
      <c r="F3398" s="10" t="n">
        <f aca="false">Nonlabor!$J$18*(1+Assumptions!$E$9)^INT((C3398-1)/12)</f>
        <v>16224</v>
      </c>
      <c r="G3398" s="10" t="n">
        <f aca="false">E3398*F3398</f>
        <v>0</v>
      </c>
      <c r="H3398" s="10" t="n">
        <f aca="false">IF(OR(Nonlabor!$L$18="Quote required",Nonlabor!$L$18="Unverified"),G3398,0)</f>
        <v>0</v>
      </c>
      <c r="I3398" s="10" t="n">
        <f aca="false">IF(Nonlabor!$E$18="Core",0,G3398)</f>
        <v>0</v>
      </c>
      <c r="J3398" s="23" t="str">
        <f aca="false">Nonlabor!$B$18</f>
        <v>COMPLIANCE</v>
      </c>
    </row>
    <row r="3399" customFormat="false" ht="15" hidden="false" customHeight="false" outlineLevel="0" collapsed="false">
      <c r="A3399" s="6" t="s">
        <v>73</v>
      </c>
      <c r="B3399" s="6" t="s">
        <v>413</v>
      </c>
      <c r="C3399" s="6" t="n">
        <v>34</v>
      </c>
      <c r="D3399" s="25" t="n">
        <f aca="false">EDATE('Start Here'!$B$6,C3399-1)</f>
        <v>47331</v>
      </c>
      <c r="E3399" s="23" t="n">
        <f aca="false">IF(AND(OR(Nonlabor!$D$18="Both",Nonlabor!$D$18='Start Here'!$B$9),IF(Nonlabor!$E$18="Core",1,IF(Nonlabor!$E$18="AI",'Start Here'!$B$7,'Start Here'!$B$8))=1,C3399&gt;=IF(Nonlabor!$E$18="Core",Nonlabor!$F$18,MAX(Nonlabor!$F$18,IF(Nonlabor!$E$18="AI",Assumptions!$E$24,Assumptions!$E$25))),C3399&lt;=Nonlabor!$G$18,OR(Nonlabor!$H$18="Monthly",AND(Nonlabor!$H$18="Once",C3399=IF(Nonlabor!$E$18="Core",Nonlabor!$F$18,MAX(Nonlabor!$F$18,IF(Nonlabor!$E$18="AI",Assumptions!$E$24,Assumptions!$E$25)))),AND(Nonlabor!$H$18="Annual",MOD(C3399-IF(Nonlabor!$E$18="Core",Nonlabor!$F$18,MAX(Nonlabor!$F$18,IF(Nonlabor!$E$18="AI",Assumptions!$E$24,Assumptions!$E$25))),12)=0))),IF(Nonlabor!$I$18="Fixed",1,IF(Nonlabor!$I$18="Seats",ROUNDUP('Monthly Growth'!I39,0),IF(Nonlabor!$I$18="Customers",'Monthly Growth'!D39,IF(Nonlabor!$I$18="NewCustomers",'Monthly Growth'!C39,IF(Nonlabor!$I$18="StorageGB",'Monthly Growth'!G39,IF(Nonlabor!$I$18="LogGB",'Monthly Growth'!H39,IF(Nonlabor!$I$18="RequestsM",'Monthly Growth'!F39,IF(Nonlabor!$I$18="InputM",'Monthly Growth'!D39*Assumptions!$E$22/1000000,IF(Nonlabor!$I$18="OutputM",'Monthly Growth'!D39*Assumptions!$E$23/1000000,0))))))))),0)</f>
        <v>0</v>
      </c>
      <c r="F3399" s="10" t="n">
        <f aca="false">Nonlabor!$J$18*(1+Assumptions!$E$9)^INT((C3399-1)/12)</f>
        <v>16224</v>
      </c>
      <c r="G3399" s="10" t="n">
        <f aca="false">E3399*F3399</f>
        <v>0</v>
      </c>
      <c r="H3399" s="10" t="n">
        <f aca="false">IF(OR(Nonlabor!$L$18="Quote required",Nonlabor!$L$18="Unverified"),G3399,0)</f>
        <v>0</v>
      </c>
      <c r="I3399" s="10" t="n">
        <f aca="false">IF(Nonlabor!$E$18="Core",0,G3399)</f>
        <v>0</v>
      </c>
      <c r="J3399" s="23" t="str">
        <f aca="false">Nonlabor!$B$18</f>
        <v>COMPLIANCE</v>
      </c>
    </row>
    <row r="3400" customFormat="false" ht="15" hidden="false" customHeight="false" outlineLevel="0" collapsed="false">
      <c r="A3400" s="6" t="s">
        <v>73</v>
      </c>
      <c r="B3400" s="6" t="s">
        <v>413</v>
      </c>
      <c r="C3400" s="6" t="n">
        <v>35</v>
      </c>
      <c r="D3400" s="25" t="n">
        <f aca="false">EDATE('Start Here'!$B$6,C3400-1)</f>
        <v>47362</v>
      </c>
      <c r="E3400" s="23" t="n">
        <f aca="false">IF(AND(OR(Nonlabor!$D$18="Both",Nonlabor!$D$18='Start Here'!$B$9),IF(Nonlabor!$E$18="Core",1,IF(Nonlabor!$E$18="AI",'Start Here'!$B$7,'Start Here'!$B$8))=1,C3400&gt;=IF(Nonlabor!$E$18="Core",Nonlabor!$F$18,MAX(Nonlabor!$F$18,IF(Nonlabor!$E$18="AI",Assumptions!$E$24,Assumptions!$E$25))),C3400&lt;=Nonlabor!$G$18,OR(Nonlabor!$H$18="Monthly",AND(Nonlabor!$H$18="Once",C3400=IF(Nonlabor!$E$18="Core",Nonlabor!$F$18,MAX(Nonlabor!$F$18,IF(Nonlabor!$E$18="AI",Assumptions!$E$24,Assumptions!$E$25)))),AND(Nonlabor!$H$18="Annual",MOD(C3400-IF(Nonlabor!$E$18="Core",Nonlabor!$F$18,MAX(Nonlabor!$F$18,IF(Nonlabor!$E$18="AI",Assumptions!$E$24,Assumptions!$E$25))),12)=0))),IF(Nonlabor!$I$18="Fixed",1,IF(Nonlabor!$I$18="Seats",ROUNDUP('Monthly Growth'!I40,0),IF(Nonlabor!$I$18="Customers",'Monthly Growth'!D40,IF(Nonlabor!$I$18="NewCustomers",'Monthly Growth'!C40,IF(Nonlabor!$I$18="StorageGB",'Monthly Growth'!G40,IF(Nonlabor!$I$18="LogGB",'Monthly Growth'!H40,IF(Nonlabor!$I$18="RequestsM",'Monthly Growth'!F40,IF(Nonlabor!$I$18="InputM",'Monthly Growth'!D40*Assumptions!$E$22/1000000,IF(Nonlabor!$I$18="OutputM",'Monthly Growth'!D40*Assumptions!$E$23/1000000,0))))))))),0)</f>
        <v>1</v>
      </c>
      <c r="F3400" s="10" t="n">
        <f aca="false">Nonlabor!$J$18*(1+Assumptions!$E$9)^INT((C3400-1)/12)</f>
        <v>16224</v>
      </c>
      <c r="G3400" s="10" t="n">
        <f aca="false">E3400*F3400</f>
        <v>16224</v>
      </c>
      <c r="H3400" s="10" t="n">
        <f aca="false">IF(OR(Nonlabor!$L$18="Quote required",Nonlabor!$L$18="Unverified"),G3400,0)</f>
        <v>16224</v>
      </c>
      <c r="I3400" s="10" t="n">
        <f aca="false">IF(Nonlabor!$E$18="Core",0,G3400)</f>
        <v>0</v>
      </c>
      <c r="J3400" s="23" t="str">
        <f aca="false">Nonlabor!$B$18</f>
        <v>COMPLIANCE</v>
      </c>
    </row>
    <row r="3401" customFormat="false" ht="15" hidden="false" customHeight="false" outlineLevel="0" collapsed="false">
      <c r="A3401" s="6" t="s">
        <v>73</v>
      </c>
      <c r="B3401" s="6" t="s">
        <v>413</v>
      </c>
      <c r="C3401" s="6" t="n">
        <v>36</v>
      </c>
      <c r="D3401" s="25" t="n">
        <f aca="false">EDATE('Start Here'!$B$6,C3401-1)</f>
        <v>47392</v>
      </c>
      <c r="E3401" s="23" t="n">
        <f aca="false">IF(AND(OR(Nonlabor!$D$18="Both",Nonlabor!$D$18='Start Here'!$B$9),IF(Nonlabor!$E$18="Core",1,IF(Nonlabor!$E$18="AI",'Start Here'!$B$7,'Start Here'!$B$8))=1,C3401&gt;=IF(Nonlabor!$E$18="Core",Nonlabor!$F$18,MAX(Nonlabor!$F$18,IF(Nonlabor!$E$18="AI",Assumptions!$E$24,Assumptions!$E$25))),C3401&lt;=Nonlabor!$G$18,OR(Nonlabor!$H$18="Monthly",AND(Nonlabor!$H$18="Once",C3401=IF(Nonlabor!$E$18="Core",Nonlabor!$F$18,MAX(Nonlabor!$F$18,IF(Nonlabor!$E$18="AI",Assumptions!$E$24,Assumptions!$E$25)))),AND(Nonlabor!$H$18="Annual",MOD(C3401-IF(Nonlabor!$E$18="Core",Nonlabor!$F$18,MAX(Nonlabor!$F$18,IF(Nonlabor!$E$18="AI",Assumptions!$E$24,Assumptions!$E$25))),12)=0))),IF(Nonlabor!$I$18="Fixed",1,IF(Nonlabor!$I$18="Seats",ROUNDUP('Monthly Growth'!I41,0),IF(Nonlabor!$I$18="Customers",'Monthly Growth'!D41,IF(Nonlabor!$I$18="NewCustomers",'Monthly Growth'!C41,IF(Nonlabor!$I$18="StorageGB",'Monthly Growth'!G41,IF(Nonlabor!$I$18="LogGB",'Monthly Growth'!H41,IF(Nonlabor!$I$18="RequestsM",'Monthly Growth'!F41,IF(Nonlabor!$I$18="InputM",'Monthly Growth'!D41*Assumptions!$E$22/1000000,IF(Nonlabor!$I$18="OutputM",'Monthly Growth'!D41*Assumptions!$E$23/1000000,0))))))))),0)</f>
        <v>0</v>
      </c>
      <c r="F3401" s="10" t="n">
        <f aca="false">Nonlabor!$J$18*(1+Assumptions!$E$9)^INT((C3401-1)/12)</f>
        <v>16224</v>
      </c>
      <c r="G3401" s="10" t="n">
        <f aca="false">E3401*F3401</f>
        <v>0</v>
      </c>
      <c r="H3401" s="10" t="n">
        <f aca="false">IF(OR(Nonlabor!$L$18="Quote required",Nonlabor!$L$18="Unverified"),G3401,0)</f>
        <v>0</v>
      </c>
      <c r="I3401" s="10" t="n">
        <f aca="false">IF(Nonlabor!$E$18="Core",0,G3401)</f>
        <v>0</v>
      </c>
      <c r="J3401" s="23" t="str">
        <f aca="false">Nonlabor!$B$18</f>
        <v>COMPLIANCE</v>
      </c>
    </row>
    <row r="3402" customFormat="false" ht="15" hidden="false" customHeight="false" outlineLevel="0" collapsed="false">
      <c r="A3402" s="6" t="s">
        <v>73</v>
      </c>
      <c r="B3402" s="6" t="s">
        <v>413</v>
      </c>
      <c r="C3402" s="6" t="n">
        <v>37</v>
      </c>
      <c r="D3402" s="25" t="n">
        <f aca="false">EDATE('Start Here'!$B$6,C3402-1)</f>
        <v>47423</v>
      </c>
      <c r="E3402" s="23" t="n">
        <f aca="false">IF(AND(OR(Nonlabor!$D$18="Both",Nonlabor!$D$18='Start Here'!$B$9),IF(Nonlabor!$E$18="Core",1,IF(Nonlabor!$E$18="AI",'Start Here'!$B$7,'Start Here'!$B$8))=1,C3402&gt;=IF(Nonlabor!$E$18="Core",Nonlabor!$F$18,MAX(Nonlabor!$F$18,IF(Nonlabor!$E$18="AI",Assumptions!$E$24,Assumptions!$E$25))),C3402&lt;=Nonlabor!$G$18,OR(Nonlabor!$H$18="Monthly",AND(Nonlabor!$H$18="Once",C3402=IF(Nonlabor!$E$18="Core",Nonlabor!$F$18,MAX(Nonlabor!$F$18,IF(Nonlabor!$E$18="AI",Assumptions!$E$24,Assumptions!$E$25)))),AND(Nonlabor!$H$18="Annual",MOD(C3402-IF(Nonlabor!$E$18="Core",Nonlabor!$F$18,MAX(Nonlabor!$F$18,IF(Nonlabor!$E$18="AI",Assumptions!$E$24,Assumptions!$E$25))),12)=0))),IF(Nonlabor!$I$18="Fixed",1,IF(Nonlabor!$I$18="Seats",ROUNDUP('Monthly Growth'!I42,0),IF(Nonlabor!$I$18="Customers",'Monthly Growth'!D42,IF(Nonlabor!$I$18="NewCustomers",'Monthly Growth'!C42,IF(Nonlabor!$I$18="StorageGB",'Monthly Growth'!G42,IF(Nonlabor!$I$18="LogGB",'Monthly Growth'!H42,IF(Nonlabor!$I$18="RequestsM",'Monthly Growth'!F42,IF(Nonlabor!$I$18="InputM",'Monthly Growth'!D42*Assumptions!$E$22/1000000,IF(Nonlabor!$I$18="OutputM",'Monthly Growth'!D42*Assumptions!$E$23/1000000,0))))))))),0)</f>
        <v>0</v>
      </c>
      <c r="F3402" s="10" t="n">
        <f aca="false">Nonlabor!$J$18*(1+Assumptions!$E$9)^INT((C3402-1)/12)</f>
        <v>16872.96</v>
      </c>
      <c r="G3402" s="10" t="n">
        <f aca="false">E3402*F3402</f>
        <v>0</v>
      </c>
      <c r="H3402" s="10" t="n">
        <f aca="false">IF(OR(Nonlabor!$L$18="Quote required",Nonlabor!$L$18="Unverified"),G3402,0)</f>
        <v>0</v>
      </c>
      <c r="I3402" s="10" t="n">
        <f aca="false">IF(Nonlabor!$E$18="Core",0,G3402)</f>
        <v>0</v>
      </c>
      <c r="J3402" s="23" t="str">
        <f aca="false">Nonlabor!$B$18</f>
        <v>COMPLIANCE</v>
      </c>
    </row>
    <row r="3403" customFormat="false" ht="15" hidden="false" customHeight="false" outlineLevel="0" collapsed="false">
      <c r="A3403" s="6" t="s">
        <v>73</v>
      </c>
      <c r="B3403" s="6" t="s">
        <v>413</v>
      </c>
      <c r="C3403" s="6" t="n">
        <v>38</v>
      </c>
      <c r="D3403" s="25" t="n">
        <f aca="false">EDATE('Start Here'!$B$6,C3403-1)</f>
        <v>47453</v>
      </c>
      <c r="E3403" s="23" t="n">
        <f aca="false">IF(AND(OR(Nonlabor!$D$18="Both",Nonlabor!$D$18='Start Here'!$B$9),IF(Nonlabor!$E$18="Core",1,IF(Nonlabor!$E$18="AI",'Start Here'!$B$7,'Start Here'!$B$8))=1,C3403&gt;=IF(Nonlabor!$E$18="Core",Nonlabor!$F$18,MAX(Nonlabor!$F$18,IF(Nonlabor!$E$18="AI",Assumptions!$E$24,Assumptions!$E$25))),C3403&lt;=Nonlabor!$G$18,OR(Nonlabor!$H$18="Monthly",AND(Nonlabor!$H$18="Once",C3403=IF(Nonlabor!$E$18="Core",Nonlabor!$F$18,MAX(Nonlabor!$F$18,IF(Nonlabor!$E$18="AI",Assumptions!$E$24,Assumptions!$E$25)))),AND(Nonlabor!$H$18="Annual",MOD(C3403-IF(Nonlabor!$E$18="Core",Nonlabor!$F$18,MAX(Nonlabor!$F$18,IF(Nonlabor!$E$18="AI",Assumptions!$E$24,Assumptions!$E$25))),12)=0))),IF(Nonlabor!$I$18="Fixed",1,IF(Nonlabor!$I$18="Seats",ROUNDUP('Monthly Growth'!I43,0),IF(Nonlabor!$I$18="Customers",'Monthly Growth'!D43,IF(Nonlabor!$I$18="NewCustomers",'Monthly Growth'!C43,IF(Nonlabor!$I$18="StorageGB",'Monthly Growth'!G43,IF(Nonlabor!$I$18="LogGB",'Monthly Growth'!H43,IF(Nonlabor!$I$18="RequestsM",'Monthly Growth'!F43,IF(Nonlabor!$I$18="InputM",'Monthly Growth'!D43*Assumptions!$E$22/1000000,IF(Nonlabor!$I$18="OutputM",'Monthly Growth'!D43*Assumptions!$E$23/1000000,0))))))))),0)</f>
        <v>0</v>
      </c>
      <c r="F3403" s="10" t="n">
        <f aca="false">Nonlabor!$J$18*(1+Assumptions!$E$9)^INT((C3403-1)/12)</f>
        <v>16872.96</v>
      </c>
      <c r="G3403" s="10" t="n">
        <f aca="false">E3403*F3403</f>
        <v>0</v>
      </c>
      <c r="H3403" s="10" t="n">
        <f aca="false">IF(OR(Nonlabor!$L$18="Quote required",Nonlabor!$L$18="Unverified"),G3403,0)</f>
        <v>0</v>
      </c>
      <c r="I3403" s="10" t="n">
        <f aca="false">IF(Nonlabor!$E$18="Core",0,G3403)</f>
        <v>0</v>
      </c>
      <c r="J3403" s="23" t="str">
        <f aca="false">Nonlabor!$B$18</f>
        <v>COMPLIANCE</v>
      </c>
    </row>
    <row r="3404" customFormat="false" ht="15" hidden="false" customHeight="false" outlineLevel="0" collapsed="false">
      <c r="A3404" s="6" t="s">
        <v>73</v>
      </c>
      <c r="B3404" s="6" t="s">
        <v>413</v>
      </c>
      <c r="C3404" s="6" t="n">
        <v>39</v>
      </c>
      <c r="D3404" s="25" t="n">
        <f aca="false">EDATE('Start Here'!$B$6,C3404-1)</f>
        <v>47484</v>
      </c>
      <c r="E3404" s="23" t="n">
        <f aca="false">IF(AND(OR(Nonlabor!$D$18="Both",Nonlabor!$D$18='Start Here'!$B$9),IF(Nonlabor!$E$18="Core",1,IF(Nonlabor!$E$18="AI",'Start Here'!$B$7,'Start Here'!$B$8))=1,C3404&gt;=IF(Nonlabor!$E$18="Core",Nonlabor!$F$18,MAX(Nonlabor!$F$18,IF(Nonlabor!$E$18="AI",Assumptions!$E$24,Assumptions!$E$25))),C3404&lt;=Nonlabor!$G$18,OR(Nonlabor!$H$18="Monthly",AND(Nonlabor!$H$18="Once",C3404=IF(Nonlabor!$E$18="Core",Nonlabor!$F$18,MAX(Nonlabor!$F$18,IF(Nonlabor!$E$18="AI",Assumptions!$E$24,Assumptions!$E$25)))),AND(Nonlabor!$H$18="Annual",MOD(C3404-IF(Nonlabor!$E$18="Core",Nonlabor!$F$18,MAX(Nonlabor!$F$18,IF(Nonlabor!$E$18="AI",Assumptions!$E$24,Assumptions!$E$25))),12)=0))),IF(Nonlabor!$I$18="Fixed",1,IF(Nonlabor!$I$18="Seats",ROUNDUP('Monthly Growth'!I44,0),IF(Nonlabor!$I$18="Customers",'Monthly Growth'!D44,IF(Nonlabor!$I$18="NewCustomers",'Monthly Growth'!C44,IF(Nonlabor!$I$18="StorageGB",'Monthly Growth'!G44,IF(Nonlabor!$I$18="LogGB",'Monthly Growth'!H44,IF(Nonlabor!$I$18="RequestsM",'Monthly Growth'!F44,IF(Nonlabor!$I$18="InputM",'Monthly Growth'!D44*Assumptions!$E$22/1000000,IF(Nonlabor!$I$18="OutputM",'Monthly Growth'!D44*Assumptions!$E$23/1000000,0))))))))),0)</f>
        <v>0</v>
      </c>
      <c r="F3404" s="10" t="n">
        <f aca="false">Nonlabor!$J$18*(1+Assumptions!$E$9)^INT((C3404-1)/12)</f>
        <v>16872.96</v>
      </c>
      <c r="G3404" s="10" t="n">
        <f aca="false">E3404*F3404</f>
        <v>0</v>
      </c>
      <c r="H3404" s="10" t="n">
        <f aca="false">IF(OR(Nonlabor!$L$18="Quote required",Nonlabor!$L$18="Unverified"),G3404,0)</f>
        <v>0</v>
      </c>
      <c r="I3404" s="10" t="n">
        <f aca="false">IF(Nonlabor!$E$18="Core",0,G3404)</f>
        <v>0</v>
      </c>
      <c r="J3404" s="23" t="str">
        <f aca="false">Nonlabor!$B$18</f>
        <v>COMPLIANCE</v>
      </c>
    </row>
    <row r="3405" customFormat="false" ht="15" hidden="false" customHeight="false" outlineLevel="0" collapsed="false">
      <c r="A3405" s="6" t="s">
        <v>73</v>
      </c>
      <c r="B3405" s="6" t="s">
        <v>413</v>
      </c>
      <c r="C3405" s="6" t="n">
        <v>40</v>
      </c>
      <c r="D3405" s="25" t="n">
        <f aca="false">EDATE('Start Here'!$B$6,C3405-1)</f>
        <v>47515</v>
      </c>
      <c r="E3405" s="23" t="n">
        <f aca="false">IF(AND(OR(Nonlabor!$D$18="Both",Nonlabor!$D$18='Start Here'!$B$9),IF(Nonlabor!$E$18="Core",1,IF(Nonlabor!$E$18="AI",'Start Here'!$B$7,'Start Here'!$B$8))=1,C3405&gt;=IF(Nonlabor!$E$18="Core",Nonlabor!$F$18,MAX(Nonlabor!$F$18,IF(Nonlabor!$E$18="AI",Assumptions!$E$24,Assumptions!$E$25))),C3405&lt;=Nonlabor!$G$18,OR(Nonlabor!$H$18="Monthly",AND(Nonlabor!$H$18="Once",C3405=IF(Nonlabor!$E$18="Core",Nonlabor!$F$18,MAX(Nonlabor!$F$18,IF(Nonlabor!$E$18="AI",Assumptions!$E$24,Assumptions!$E$25)))),AND(Nonlabor!$H$18="Annual",MOD(C3405-IF(Nonlabor!$E$18="Core",Nonlabor!$F$18,MAX(Nonlabor!$F$18,IF(Nonlabor!$E$18="AI",Assumptions!$E$24,Assumptions!$E$25))),12)=0))),IF(Nonlabor!$I$18="Fixed",1,IF(Nonlabor!$I$18="Seats",ROUNDUP('Monthly Growth'!I45,0),IF(Nonlabor!$I$18="Customers",'Monthly Growth'!D45,IF(Nonlabor!$I$18="NewCustomers",'Monthly Growth'!C45,IF(Nonlabor!$I$18="StorageGB",'Monthly Growth'!G45,IF(Nonlabor!$I$18="LogGB",'Monthly Growth'!H45,IF(Nonlabor!$I$18="RequestsM",'Monthly Growth'!F45,IF(Nonlabor!$I$18="InputM",'Monthly Growth'!D45*Assumptions!$E$22/1000000,IF(Nonlabor!$I$18="OutputM",'Monthly Growth'!D45*Assumptions!$E$23/1000000,0))))))))),0)</f>
        <v>0</v>
      </c>
      <c r="F3405" s="10" t="n">
        <f aca="false">Nonlabor!$J$18*(1+Assumptions!$E$9)^INT((C3405-1)/12)</f>
        <v>16872.96</v>
      </c>
      <c r="G3405" s="10" t="n">
        <f aca="false">E3405*F3405</f>
        <v>0</v>
      </c>
      <c r="H3405" s="10" t="n">
        <f aca="false">IF(OR(Nonlabor!$L$18="Quote required",Nonlabor!$L$18="Unverified"),G3405,0)</f>
        <v>0</v>
      </c>
      <c r="I3405" s="10" t="n">
        <f aca="false">IF(Nonlabor!$E$18="Core",0,G3405)</f>
        <v>0</v>
      </c>
      <c r="J3405" s="23" t="str">
        <f aca="false">Nonlabor!$B$18</f>
        <v>COMPLIANCE</v>
      </c>
    </row>
    <row r="3406" customFormat="false" ht="15" hidden="false" customHeight="false" outlineLevel="0" collapsed="false">
      <c r="A3406" s="6" t="s">
        <v>73</v>
      </c>
      <c r="B3406" s="6" t="s">
        <v>413</v>
      </c>
      <c r="C3406" s="6" t="n">
        <v>41</v>
      </c>
      <c r="D3406" s="25" t="n">
        <f aca="false">EDATE('Start Here'!$B$6,C3406-1)</f>
        <v>47543</v>
      </c>
      <c r="E3406" s="23" t="n">
        <f aca="false">IF(AND(OR(Nonlabor!$D$18="Both",Nonlabor!$D$18='Start Here'!$B$9),IF(Nonlabor!$E$18="Core",1,IF(Nonlabor!$E$18="AI",'Start Here'!$B$7,'Start Here'!$B$8))=1,C3406&gt;=IF(Nonlabor!$E$18="Core",Nonlabor!$F$18,MAX(Nonlabor!$F$18,IF(Nonlabor!$E$18="AI",Assumptions!$E$24,Assumptions!$E$25))),C3406&lt;=Nonlabor!$G$18,OR(Nonlabor!$H$18="Monthly",AND(Nonlabor!$H$18="Once",C3406=IF(Nonlabor!$E$18="Core",Nonlabor!$F$18,MAX(Nonlabor!$F$18,IF(Nonlabor!$E$18="AI",Assumptions!$E$24,Assumptions!$E$25)))),AND(Nonlabor!$H$18="Annual",MOD(C3406-IF(Nonlabor!$E$18="Core",Nonlabor!$F$18,MAX(Nonlabor!$F$18,IF(Nonlabor!$E$18="AI",Assumptions!$E$24,Assumptions!$E$25))),12)=0))),IF(Nonlabor!$I$18="Fixed",1,IF(Nonlabor!$I$18="Seats",ROUNDUP('Monthly Growth'!I46,0),IF(Nonlabor!$I$18="Customers",'Monthly Growth'!D46,IF(Nonlabor!$I$18="NewCustomers",'Monthly Growth'!C46,IF(Nonlabor!$I$18="StorageGB",'Monthly Growth'!G46,IF(Nonlabor!$I$18="LogGB",'Monthly Growth'!H46,IF(Nonlabor!$I$18="RequestsM",'Monthly Growth'!F46,IF(Nonlabor!$I$18="InputM",'Monthly Growth'!D46*Assumptions!$E$22/1000000,IF(Nonlabor!$I$18="OutputM",'Monthly Growth'!D46*Assumptions!$E$23/1000000,0))))))))),0)</f>
        <v>0</v>
      </c>
      <c r="F3406" s="10" t="n">
        <f aca="false">Nonlabor!$J$18*(1+Assumptions!$E$9)^INT((C3406-1)/12)</f>
        <v>16872.96</v>
      </c>
      <c r="G3406" s="10" t="n">
        <f aca="false">E3406*F3406</f>
        <v>0</v>
      </c>
      <c r="H3406" s="10" t="n">
        <f aca="false">IF(OR(Nonlabor!$L$18="Quote required",Nonlabor!$L$18="Unverified"),G3406,0)</f>
        <v>0</v>
      </c>
      <c r="I3406" s="10" t="n">
        <f aca="false">IF(Nonlabor!$E$18="Core",0,G3406)</f>
        <v>0</v>
      </c>
      <c r="J3406" s="23" t="str">
        <f aca="false">Nonlabor!$B$18</f>
        <v>COMPLIANCE</v>
      </c>
    </row>
    <row r="3407" customFormat="false" ht="15" hidden="false" customHeight="false" outlineLevel="0" collapsed="false">
      <c r="A3407" s="6" t="s">
        <v>73</v>
      </c>
      <c r="B3407" s="6" t="s">
        <v>413</v>
      </c>
      <c r="C3407" s="6" t="n">
        <v>42</v>
      </c>
      <c r="D3407" s="25" t="n">
        <f aca="false">EDATE('Start Here'!$B$6,C3407-1)</f>
        <v>47574</v>
      </c>
      <c r="E3407" s="23" t="n">
        <f aca="false">IF(AND(OR(Nonlabor!$D$18="Both",Nonlabor!$D$18='Start Here'!$B$9),IF(Nonlabor!$E$18="Core",1,IF(Nonlabor!$E$18="AI",'Start Here'!$B$7,'Start Here'!$B$8))=1,C3407&gt;=IF(Nonlabor!$E$18="Core",Nonlabor!$F$18,MAX(Nonlabor!$F$18,IF(Nonlabor!$E$18="AI",Assumptions!$E$24,Assumptions!$E$25))),C3407&lt;=Nonlabor!$G$18,OR(Nonlabor!$H$18="Monthly",AND(Nonlabor!$H$18="Once",C3407=IF(Nonlabor!$E$18="Core",Nonlabor!$F$18,MAX(Nonlabor!$F$18,IF(Nonlabor!$E$18="AI",Assumptions!$E$24,Assumptions!$E$25)))),AND(Nonlabor!$H$18="Annual",MOD(C3407-IF(Nonlabor!$E$18="Core",Nonlabor!$F$18,MAX(Nonlabor!$F$18,IF(Nonlabor!$E$18="AI",Assumptions!$E$24,Assumptions!$E$25))),12)=0))),IF(Nonlabor!$I$18="Fixed",1,IF(Nonlabor!$I$18="Seats",ROUNDUP('Monthly Growth'!I47,0),IF(Nonlabor!$I$18="Customers",'Monthly Growth'!D47,IF(Nonlabor!$I$18="NewCustomers",'Monthly Growth'!C47,IF(Nonlabor!$I$18="StorageGB",'Monthly Growth'!G47,IF(Nonlabor!$I$18="LogGB",'Monthly Growth'!H47,IF(Nonlabor!$I$18="RequestsM",'Monthly Growth'!F47,IF(Nonlabor!$I$18="InputM",'Monthly Growth'!D47*Assumptions!$E$22/1000000,IF(Nonlabor!$I$18="OutputM",'Monthly Growth'!D47*Assumptions!$E$23/1000000,0))))))))),0)</f>
        <v>0</v>
      </c>
      <c r="F3407" s="10" t="n">
        <f aca="false">Nonlabor!$J$18*(1+Assumptions!$E$9)^INT((C3407-1)/12)</f>
        <v>16872.96</v>
      </c>
      <c r="G3407" s="10" t="n">
        <f aca="false">E3407*F3407</f>
        <v>0</v>
      </c>
      <c r="H3407" s="10" t="n">
        <f aca="false">IF(OR(Nonlabor!$L$18="Quote required",Nonlabor!$L$18="Unverified"),G3407,0)</f>
        <v>0</v>
      </c>
      <c r="I3407" s="10" t="n">
        <f aca="false">IF(Nonlabor!$E$18="Core",0,G3407)</f>
        <v>0</v>
      </c>
      <c r="J3407" s="23" t="str">
        <f aca="false">Nonlabor!$B$18</f>
        <v>COMPLIANCE</v>
      </c>
    </row>
    <row r="3408" customFormat="false" ht="15" hidden="false" customHeight="false" outlineLevel="0" collapsed="false">
      <c r="A3408" s="6" t="s">
        <v>73</v>
      </c>
      <c r="B3408" s="6" t="s">
        <v>413</v>
      </c>
      <c r="C3408" s="6" t="n">
        <v>43</v>
      </c>
      <c r="D3408" s="25" t="n">
        <f aca="false">EDATE('Start Here'!$B$6,C3408-1)</f>
        <v>47604</v>
      </c>
      <c r="E3408" s="23" t="n">
        <f aca="false">IF(AND(OR(Nonlabor!$D$18="Both",Nonlabor!$D$18='Start Here'!$B$9),IF(Nonlabor!$E$18="Core",1,IF(Nonlabor!$E$18="AI",'Start Here'!$B$7,'Start Here'!$B$8))=1,C3408&gt;=IF(Nonlabor!$E$18="Core",Nonlabor!$F$18,MAX(Nonlabor!$F$18,IF(Nonlabor!$E$18="AI",Assumptions!$E$24,Assumptions!$E$25))),C3408&lt;=Nonlabor!$G$18,OR(Nonlabor!$H$18="Monthly",AND(Nonlabor!$H$18="Once",C3408=IF(Nonlabor!$E$18="Core",Nonlabor!$F$18,MAX(Nonlabor!$F$18,IF(Nonlabor!$E$18="AI",Assumptions!$E$24,Assumptions!$E$25)))),AND(Nonlabor!$H$18="Annual",MOD(C3408-IF(Nonlabor!$E$18="Core",Nonlabor!$F$18,MAX(Nonlabor!$F$18,IF(Nonlabor!$E$18="AI",Assumptions!$E$24,Assumptions!$E$25))),12)=0))),IF(Nonlabor!$I$18="Fixed",1,IF(Nonlabor!$I$18="Seats",ROUNDUP('Monthly Growth'!I48,0),IF(Nonlabor!$I$18="Customers",'Monthly Growth'!D48,IF(Nonlabor!$I$18="NewCustomers",'Monthly Growth'!C48,IF(Nonlabor!$I$18="StorageGB",'Monthly Growth'!G48,IF(Nonlabor!$I$18="LogGB",'Monthly Growth'!H48,IF(Nonlabor!$I$18="RequestsM",'Monthly Growth'!F48,IF(Nonlabor!$I$18="InputM",'Monthly Growth'!D48*Assumptions!$E$22/1000000,IF(Nonlabor!$I$18="OutputM",'Monthly Growth'!D48*Assumptions!$E$23/1000000,0))))))))),0)</f>
        <v>0</v>
      </c>
      <c r="F3408" s="10" t="n">
        <f aca="false">Nonlabor!$J$18*(1+Assumptions!$E$9)^INT((C3408-1)/12)</f>
        <v>16872.96</v>
      </c>
      <c r="G3408" s="10" t="n">
        <f aca="false">E3408*F3408</f>
        <v>0</v>
      </c>
      <c r="H3408" s="10" t="n">
        <f aca="false">IF(OR(Nonlabor!$L$18="Quote required",Nonlabor!$L$18="Unverified"),G3408,0)</f>
        <v>0</v>
      </c>
      <c r="I3408" s="10" t="n">
        <f aca="false">IF(Nonlabor!$E$18="Core",0,G3408)</f>
        <v>0</v>
      </c>
      <c r="J3408" s="23" t="str">
        <f aca="false">Nonlabor!$B$18</f>
        <v>COMPLIANCE</v>
      </c>
    </row>
    <row r="3409" customFormat="false" ht="15" hidden="false" customHeight="false" outlineLevel="0" collapsed="false">
      <c r="A3409" s="6" t="s">
        <v>73</v>
      </c>
      <c r="B3409" s="6" t="s">
        <v>413</v>
      </c>
      <c r="C3409" s="6" t="n">
        <v>44</v>
      </c>
      <c r="D3409" s="25" t="n">
        <f aca="false">EDATE('Start Here'!$B$6,C3409-1)</f>
        <v>47635</v>
      </c>
      <c r="E3409" s="23" t="n">
        <f aca="false">IF(AND(OR(Nonlabor!$D$18="Both",Nonlabor!$D$18='Start Here'!$B$9),IF(Nonlabor!$E$18="Core",1,IF(Nonlabor!$E$18="AI",'Start Here'!$B$7,'Start Here'!$B$8))=1,C3409&gt;=IF(Nonlabor!$E$18="Core",Nonlabor!$F$18,MAX(Nonlabor!$F$18,IF(Nonlabor!$E$18="AI",Assumptions!$E$24,Assumptions!$E$25))),C3409&lt;=Nonlabor!$G$18,OR(Nonlabor!$H$18="Monthly",AND(Nonlabor!$H$18="Once",C3409=IF(Nonlabor!$E$18="Core",Nonlabor!$F$18,MAX(Nonlabor!$F$18,IF(Nonlabor!$E$18="AI",Assumptions!$E$24,Assumptions!$E$25)))),AND(Nonlabor!$H$18="Annual",MOD(C3409-IF(Nonlabor!$E$18="Core",Nonlabor!$F$18,MAX(Nonlabor!$F$18,IF(Nonlabor!$E$18="AI",Assumptions!$E$24,Assumptions!$E$25))),12)=0))),IF(Nonlabor!$I$18="Fixed",1,IF(Nonlabor!$I$18="Seats",ROUNDUP('Monthly Growth'!I49,0),IF(Nonlabor!$I$18="Customers",'Monthly Growth'!D49,IF(Nonlabor!$I$18="NewCustomers",'Monthly Growth'!C49,IF(Nonlabor!$I$18="StorageGB",'Monthly Growth'!G49,IF(Nonlabor!$I$18="LogGB",'Monthly Growth'!H49,IF(Nonlabor!$I$18="RequestsM",'Monthly Growth'!F49,IF(Nonlabor!$I$18="InputM",'Monthly Growth'!D49*Assumptions!$E$22/1000000,IF(Nonlabor!$I$18="OutputM",'Monthly Growth'!D49*Assumptions!$E$23/1000000,0))))))))),0)</f>
        <v>0</v>
      </c>
      <c r="F3409" s="10" t="n">
        <f aca="false">Nonlabor!$J$18*(1+Assumptions!$E$9)^INT((C3409-1)/12)</f>
        <v>16872.96</v>
      </c>
      <c r="G3409" s="10" t="n">
        <f aca="false">E3409*F3409</f>
        <v>0</v>
      </c>
      <c r="H3409" s="10" t="n">
        <f aca="false">IF(OR(Nonlabor!$L$18="Quote required",Nonlabor!$L$18="Unverified"),G3409,0)</f>
        <v>0</v>
      </c>
      <c r="I3409" s="10" t="n">
        <f aca="false">IF(Nonlabor!$E$18="Core",0,G3409)</f>
        <v>0</v>
      </c>
      <c r="J3409" s="23" t="str">
        <f aca="false">Nonlabor!$B$18</f>
        <v>COMPLIANCE</v>
      </c>
    </row>
    <row r="3410" customFormat="false" ht="15" hidden="false" customHeight="false" outlineLevel="0" collapsed="false">
      <c r="A3410" s="6" t="s">
        <v>73</v>
      </c>
      <c r="B3410" s="6" t="s">
        <v>413</v>
      </c>
      <c r="C3410" s="6" t="n">
        <v>45</v>
      </c>
      <c r="D3410" s="25" t="n">
        <f aca="false">EDATE('Start Here'!$B$6,C3410-1)</f>
        <v>47665</v>
      </c>
      <c r="E3410" s="23" t="n">
        <f aca="false">IF(AND(OR(Nonlabor!$D$18="Both",Nonlabor!$D$18='Start Here'!$B$9),IF(Nonlabor!$E$18="Core",1,IF(Nonlabor!$E$18="AI",'Start Here'!$B$7,'Start Here'!$B$8))=1,C3410&gt;=IF(Nonlabor!$E$18="Core",Nonlabor!$F$18,MAX(Nonlabor!$F$18,IF(Nonlabor!$E$18="AI",Assumptions!$E$24,Assumptions!$E$25))),C3410&lt;=Nonlabor!$G$18,OR(Nonlabor!$H$18="Monthly",AND(Nonlabor!$H$18="Once",C3410=IF(Nonlabor!$E$18="Core",Nonlabor!$F$18,MAX(Nonlabor!$F$18,IF(Nonlabor!$E$18="AI",Assumptions!$E$24,Assumptions!$E$25)))),AND(Nonlabor!$H$18="Annual",MOD(C3410-IF(Nonlabor!$E$18="Core",Nonlabor!$F$18,MAX(Nonlabor!$F$18,IF(Nonlabor!$E$18="AI",Assumptions!$E$24,Assumptions!$E$25))),12)=0))),IF(Nonlabor!$I$18="Fixed",1,IF(Nonlabor!$I$18="Seats",ROUNDUP('Monthly Growth'!I50,0),IF(Nonlabor!$I$18="Customers",'Monthly Growth'!D50,IF(Nonlabor!$I$18="NewCustomers",'Monthly Growth'!C50,IF(Nonlabor!$I$18="StorageGB",'Monthly Growth'!G50,IF(Nonlabor!$I$18="LogGB",'Monthly Growth'!H50,IF(Nonlabor!$I$18="RequestsM",'Monthly Growth'!F50,IF(Nonlabor!$I$18="InputM",'Monthly Growth'!D50*Assumptions!$E$22/1000000,IF(Nonlabor!$I$18="OutputM",'Monthly Growth'!D50*Assumptions!$E$23/1000000,0))))))))),0)</f>
        <v>0</v>
      </c>
      <c r="F3410" s="10" t="n">
        <f aca="false">Nonlabor!$J$18*(1+Assumptions!$E$9)^INT((C3410-1)/12)</f>
        <v>16872.96</v>
      </c>
      <c r="G3410" s="10" t="n">
        <f aca="false">E3410*F3410</f>
        <v>0</v>
      </c>
      <c r="H3410" s="10" t="n">
        <f aca="false">IF(OR(Nonlabor!$L$18="Quote required",Nonlabor!$L$18="Unverified"),G3410,0)</f>
        <v>0</v>
      </c>
      <c r="I3410" s="10" t="n">
        <f aca="false">IF(Nonlabor!$E$18="Core",0,G3410)</f>
        <v>0</v>
      </c>
      <c r="J3410" s="23" t="str">
        <f aca="false">Nonlabor!$B$18</f>
        <v>COMPLIANCE</v>
      </c>
    </row>
    <row r="3411" customFormat="false" ht="15" hidden="false" customHeight="false" outlineLevel="0" collapsed="false">
      <c r="A3411" s="6" t="s">
        <v>73</v>
      </c>
      <c r="B3411" s="6" t="s">
        <v>413</v>
      </c>
      <c r="C3411" s="6" t="n">
        <v>46</v>
      </c>
      <c r="D3411" s="25" t="n">
        <f aca="false">EDATE('Start Here'!$B$6,C3411-1)</f>
        <v>47696</v>
      </c>
      <c r="E3411" s="23" t="n">
        <f aca="false">IF(AND(OR(Nonlabor!$D$18="Both",Nonlabor!$D$18='Start Here'!$B$9),IF(Nonlabor!$E$18="Core",1,IF(Nonlabor!$E$18="AI",'Start Here'!$B$7,'Start Here'!$B$8))=1,C3411&gt;=IF(Nonlabor!$E$18="Core",Nonlabor!$F$18,MAX(Nonlabor!$F$18,IF(Nonlabor!$E$18="AI",Assumptions!$E$24,Assumptions!$E$25))),C3411&lt;=Nonlabor!$G$18,OR(Nonlabor!$H$18="Monthly",AND(Nonlabor!$H$18="Once",C3411=IF(Nonlabor!$E$18="Core",Nonlabor!$F$18,MAX(Nonlabor!$F$18,IF(Nonlabor!$E$18="AI",Assumptions!$E$24,Assumptions!$E$25)))),AND(Nonlabor!$H$18="Annual",MOD(C3411-IF(Nonlabor!$E$18="Core",Nonlabor!$F$18,MAX(Nonlabor!$F$18,IF(Nonlabor!$E$18="AI",Assumptions!$E$24,Assumptions!$E$25))),12)=0))),IF(Nonlabor!$I$18="Fixed",1,IF(Nonlabor!$I$18="Seats",ROUNDUP('Monthly Growth'!I51,0),IF(Nonlabor!$I$18="Customers",'Monthly Growth'!D51,IF(Nonlabor!$I$18="NewCustomers",'Monthly Growth'!C51,IF(Nonlabor!$I$18="StorageGB",'Monthly Growth'!G51,IF(Nonlabor!$I$18="LogGB",'Monthly Growth'!H51,IF(Nonlabor!$I$18="RequestsM",'Monthly Growth'!F51,IF(Nonlabor!$I$18="InputM",'Monthly Growth'!D51*Assumptions!$E$22/1000000,IF(Nonlabor!$I$18="OutputM",'Monthly Growth'!D51*Assumptions!$E$23/1000000,0))))))))),0)</f>
        <v>0</v>
      </c>
      <c r="F3411" s="10" t="n">
        <f aca="false">Nonlabor!$J$18*(1+Assumptions!$E$9)^INT((C3411-1)/12)</f>
        <v>16872.96</v>
      </c>
      <c r="G3411" s="10" t="n">
        <f aca="false">E3411*F3411</f>
        <v>0</v>
      </c>
      <c r="H3411" s="10" t="n">
        <f aca="false">IF(OR(Nonlabor!$L$18="Quote required",Nonlabor!$L$18="Unverified"),G3411,0)</f>
        <v>0</v>
      </c>
      <c r="I3411" s="10" t="n">
        <f aca="false">IF(Nonlabor!$E$18="Core",0,G3411)</f>
        <v>0</v>
      </c>
      <c r="J3411" s="23" t="str">
        <f aca="false">Nonlabor!$B$18</f>
        <v>COMPLIANCE</v>
      </c>
    </row>
    <row r="3412" customFormat="false" ht="15" hidden="false" customHeight="false" outlineLevel="0" collapsed="false">
      <c r="A3412" s="6" t="s">
        <v>73</v>
      </c>
      <c r="B3412" s="6" t="s">
        <v>413</v>
      </c>
      <c r="C3412" s="6" t="n">
        <v>47</v>
      </c>
      <c r="D3412" s="25" t="n">
        <f aca="false">EDATE('Start Here'!$B$6,C3412-1)</f>
        <v>47727</v>
      </c>
      <c r="E3412" s="23" t="n">
        <f aca="false">IF(AND(OR(Nonlabor!$D$18="Both",Nonlabor!$D$18='Start Here'!$B$9),IF(Nonlabor!$E$18="Core",1,IF(Nonlabor!$E$18="AI",'Start Here'!$B$7,'Start Here'!$B$8))=1,C3412&gt;=IF(Nonlabor!$E$18="Core",Nonlabor!$F$18,MAX(Nonlabor!$F$18,IF(Nonlabor!$E$18="AI",Assumptions!$E$24,Assumptions!$E$25))),C3412&lt;=Nonlabor!$G$18,OR(Nonlabor!$H$18="Monthly",AND(Nonlabor!$H$18="Once",C3412=IF(Nonlabor!$E$18="Core",Nonlabor!$F$18,MAX(Nonlabor!$F$18,IF(Nonlabor!$E$18="AI",Assumptions!$E$24,Assumptions!$E$25)))),AND(Nonlabor!$H$18="Annual",MOD(C3412-IF(Nonlabor!$E$18="Core",Nonlabor!$F$18,MAX(Nonlabor!$F$18,IF(Nonlabor!$E$18="AI",Assumptions!$E$24,Assumptions!$E$25))),12)=0))),IF(Nonlabor!$I$18="Fixed",1,IF(Nonlabor!$I$18="Seats",ROUNDUP('Monthly Growth'!I52,0),IF(Nonlabor!$I$18="Customers",'Monthly Growth'!D52,IF(Nonlabor!$I$18="NewCustomers",'Monthly Growth'!C52,IF(Nonlabor!$I$18="StorageGB",'Monthly Growth'!G52,IF(Nonlabor!$I$18="LogGB",'Monthly Growth'!H52,IF(Nonlabor!$I$18="RequestsM",'Monthly Growth'!F52,IF(Nonlabor!$I$18="InputM",'Monthly Growth'!D52*Assumptions!$E$22/1000000,IF(Nonlabor!$I$18="OutputM",'Monthly Growth'!D52*Assumptions!$E$23/1000000,0))))))))),0)</f>
        <v>1</v>
      </c>
      <c r="F3412" s="10" t="n">
        <f aca="false">Nonlabor!$J$18*(1+Assumptions!$E$9)^INT((C3412-1)/12)</f>
        <v>16872.96</v>
      </c>
      <c r="G3412" s="10" t="n">
        <f aca="false">E3412*F3412</f>
        <v>16872.96</v>
      </c>
      <c r="H3412" s="10" t="n">
        <f aca="false">IF(OR(Nonlabor!$L$18="Quote required",Nonlabor!$L$18="Unverified"),G3412,0)</f>
        <v>16872.96</v>
      </c>
      <c r="I3412" s="10" t="n">
        <f aca="false">IF(Nonlabor!$E$18="Core",0,G3412)</f>
        <v>0</v>
      </c>
      <c r="J3412" s="23" t="str">
        <f aca="false">Nonlabor!$B$18</f>
        <v>COMPLIANCE</v>
      </c>
    </row>
    <row r="3413" customFormat="false" ht="15" hidden="false" customHeight="false" outlineLevel="0" collapsed="false">
      <c r="A3413" s="6" t="s">
        <v>73</v>
      </c>
      <c r="B3413" s="6" t="s">
        <v>413</v>
      </c>
      <c r="C3413" s="6" t="n">
        <v>48</v>
      </c>
      <c r="D3413" s="25" t="n">
        <f aca="false">EDATE('Start Here'!$B$6,C3413-1)</f>
        <v>47757</v>
      </c>
      <c r="E3413" s="23" t="n">
        <f aca="false">IF(AND(OR(Nonlabor!$D$18="Both",Nonlabor!$D$18='Start Here'!$B$9),IF(Nonlabor!$E$18="Core",1,IF(Nonlabor!$E$18="AI",'Start Here'!$B$7,'Start Here'!$B$8))=1,C3413&gt;=IF(Nonlabor!$E$18="Core",Nonlabor!$F$18,MAX(Nonlabor!$F$18,IF(Nonlabor!$E$18="AI",Assumptions!$E$24,Assumptions!$E$25))),C3413&lt;=Nonlabor!$G$18,OR(Nonlabor!$H$18="Monthly",AND(Nonlabor!$H$18="Once",C3413=IF(Nonlabor!$E$18="Core",Nonlabor!$F$18,MAX(Nonlabor!$F$18,IF(Nonlabor!$E$18="AI",Assumptions!$E$24,Assumptions!$E$25)))),AND(Nonlabor!$H$18="Annual",MOD(C3413-IF(Nonlabor!$E$18="Core",Nonlabor!$F$18,MAX(Nonlabor!$F$18,IF(Nonlabor!$E$18="AI",Assumptions!$E$24,Assumptions!$E$25))),12)=0))),IF(Nonlabor!$I$18="Fixed",1,IF(Nonlabor!$I$18="Seats",ROUNDUP('Monthly Growth'!I53,0),IF(Nonlabor!$I$18="Customers",'Monthly Growth'!D53,IF(Nonlabor!$I$18="NewCustomers",'Monthly Growth'!C53,IF(Nonlabor!$I$18="StorageGB",'Monthly Growth'!G53,IF(Nonlabor!$I$18="LogGB",'Monthly Growth'!H53,IF(Nonlabor!$I$18="RequestsM",'Monthly Growth'!F53,IF(Nonlabor!$I$18="InputM",'Monthly Growth'!D53*Assumptions!$E$22/1000000,IF(Nonlabor!$I$18="OutputM",'Monthly Growth'!D53*Assumptions!$E$23/1000000,0))))))))),0)</f>
        <v>0</v>
      </c>
      <c r="F3413" s="10" t="n">
        <f aca="false">Nonlabor!$J$18*(1+Assumptions!$E$9)^INT((C3413-1)/12)</f>
        <v>16872.96</v>
      </c>
      <c r="G3413" s="10" t="n">
        <f aca="false">E3413*F3413</f>
        <v>0</v>
      </c>
      <c r="H3413" s="10" t="n">
        <f aca="false">IF(OR(Nonlabor!$L$18="Quote required",Nonlabor!$L$18="Unverified"),G3413,0)</f>
        <v>0</v>
      </c>
      <c r="I3413" s="10" t="n">
        <f aca="false">IF(Nonlabor!$E$18="Core",0,G3413)</f>
        <v>0</v>
      </c>
      <c r="J3413" s="23" t="str">
        <f aca="false">Nonlabor!$B$18</f>
        <v>COMPLIANCE</v>
      </c>
    </row>
    <row r="3414" customFormat="false" ht="15" hidden="false" customHeight="false" outlineLevel="0" collapsed="false">
      <c r="A3414" s="6" t="s">
        <v>73</v>
      </c>
      <c r="B3414" s="6" t="s">
        <v>413</v>
      </c>
      <c r="C3414" s="6" t="n">
        <v>49</v>
      </c>
      <c r="D3414" s="25" t="n">
        <f aca="false">EDATE('Start Here'!$B$6,C3414-1)</f>
        <v>47788</v>
      </c>
      <c r="E3414" s="23" t="n">
        <f aca="false">IF(AND(OR(Nonlabor!$D$18="Both",Nonlabor!$D$18='Start Here'!$B$9),IF(Nonlabor!$E$18="Core",1,IF(Nonlabor!$E$18="AI",'Start Here'!$B$7,'Start Here'!$B$8))=1,C3414&gt;=IF(Nonlabor!$E$18="Core",Nonlabor!$F$18,MAX(Nonlabor!$F$18,IF(Nonlabor!$E$18="AI",Assumptions!$E$24,Assumptions!$E$25))),C3414&lt;=Nonlabor!$G$18,OR(Nonlabor!$H$18="Monthly",AND(Nonlabor!$H$18="Once",C3414=IF(Nonlabor!$E$18="Core",Nonlabor!$F$18,MAX(Nonlabor!$F$18,IF(Nonlabor!$E$18="AI",Assumptions!$E$24,Assumptions!$E$25)))),AND(Nonlabor!$H$18="Annual",MOD(C3414-IF(Nonlabor!$E$18="Core",Nonlabor!$F$18,MAX(Nonlabor!$F$18,IF(Nonlabor!$E$18="AI",Assumptions!$E$24,Assumptions!$E$25))),12)=0))),IF(Nonlabor!$I$18="Fixed",1,IF(Nonlabor!$I$18="Seats",ROUNDUP('Monthly Growth'!I54,0),IF(Nonlabor!$I$18="Customers",'Monthly Growth'!D54,IF(Nonlabor!$I$18="NewCustomers",'Monthly Growth'!C54,IF(Nonlabor!$I$18="StorageGB",'Monthly Growth'!G54,IF(Nonlabor!$I$18="LogGB",'Monthly Growth'!H54,IF(Nonlabor!$I$18="RequestsM",'Monthly Growth'!F54,IF(Nonlabor!$I$18="InputM",'Monthly Growth'!D54*Assumptions!$E$22/1000000,IF(Nonlabor!$I$18="OutputM",'Monthly Growth'!D54*Assumptions!$E$23/1000000,0))))))))),0)</f>
        <v>0</v>
      </c>
      <c r="F3414" s="10" t="n">
        <f aca="false">Nonlabor!$J$18*(1+Assumptions!$E$9)^INT((C3414-1)/12)</f>
        <v>17547.8784</v>
      </c>
      <c r="G3414" s="10" t="n">
        <f aca="false">E3414*F3414</f>
        <v>0</v>
      </c>
      <c r="H3414" s="10" t="n">
        <f aca="false">IF(OR(Nonlabor!$L$18="Quote required",Nonlabor!$L$18="Unverified"),G3414,0)</f>
        <v>0</v>
      </c>
      <c r="I3414" s="10" t="n">
        <f aca="false">IF(Nonlabor!$E$18="Core",0,G3414)</f>
        <v>0</v>
      </c>
      <c r="J3414" s="23" t="str">
        <f aca="false">Nonlabor!$B$18</f>
        <v>COMPLIANCE</v>
      </c>
    </row>
    <row r="3415" customFormat="false" ht="15" hidden="false" customHeight="false" outlineLevel="0" collapsed="false">
      <c r="A3415" s="6" t="s">
        <v>73</v>
      </c>
      <c r="B3415" s="6" t="s">
        <v>413</v>
      </c>
      <c r="C3415" s="6" t="n">
        <v>50</v>
      </c>
      <c r="D3415" s="25" t="n">
        <f aca="false">EDATE('Start Here'!$B$6,C3415-1)</f>
        <v>47818</v>
      </c>
      <c r="E3415" s="23" t="n">
        <f aca="false">IF(AND(OR(Nonlabor!$D$18="Both",Nonlabor!$D$18='Start Here'!$B$9),IF(Nonlabor!$E$18="Core",1,IF(Nonlabor!$E$18="AI",'Start Here'!$B$7,'Start Here'!$B$8))=1,C3415&gt;=IF(Nonlabor!$E$18="Core",Nonlabor!$F$18,MAX(Nonlabor!$F$18,IF(Nonlabor!$E$18="AI",Assumptions!$E$24,Assumptions!$E$25))),C3415&lt;=Nonlabor!$G$18,OR(Nonlabor!$H$18="Monthly",AND(Nonlabor!$H$18="Once",C3415=IF(Nonlabor!$E$18="Core",Nonlabor!$F$18,MAX(Nonlabor!$F$18,IF(Nonlabor!$E$18="AI",Assumptions!$E$24,Assumptions!$E$25)))),AND(Nonlabor!$H$18="Annual",MOD(C3415-IF(Nonlabor!$E$18="Core",Nonlabor!$F$18,MAX(Nonlabor!$F$18,IF(Nonlabor!$E$18="AI",Assumptions!$E$24,Assumptions!$E$25))),12)=0))),IF(Nonlabor!$I$18="Fixed",1,IF(Nonlabor!$I$18="Seats",ROUNDUP('Monthly Growth'!I55,0),IF(Nonlabor!$I$18="Customers",'Monthly Growth'!D55,IF(Nonlabor!$I$18="NewCustomers",'Monthly Growth'!C55,IF(Nonlabor!$I$18="StorageGB",'Monthly Growth'!G55,IF(Nonlabor!$I$18="LogGB",'Monthly Growth'!H55,IF(Nonlabor!$I$18="RequestsM",'Monthly Growth'!F55,IF(Nonlabor!$I$18="InputM",'Monthly Growth'!D55*Assumptions!$E$22/1000000,IF(Nonlabor!$I$18="OutputM",'Monthly Growth'!D55*Assumptions!$E$23/1000000,0))))))))),0)</f>
        <v>0</v>
      </c>
      <c r="F3415" s="10" t="n">
        <f aca="false">Nonlabor!$J$18*(1+Assumptions!$E$9)^INT((C3415-1)/12)</f>
        <v>17547.8784</v>
      </c>
      <c r="G3415" s="10" t="n">
        <f aca="false">E3415*F3415</f>
        <v>0</v>
      </c>
      <c r="H3415" s="10" t="n">
        <f aca="false">IF(OR(Nonlabor!$L$18="Quote required",Nonlabor!$L$18="Unverified"),G3415,0)</f>
        <v>0</v>
      </c>
      <c r="I3415" s="10" t="n">
        <f aca="false">IF(Nonlabor!$E$18="Core",0,G3415)</f>
        <v>0</v>
      </c>
      <c r="J3415" s="23" t="str">
        <f aca="false">Nonlabor!$B$18</f>
        <v>COMPLIANCE</v>
      </c>
    </row>
    <row r="3416" customFormat="false" ht="15" hidden="false" customHeight="false" outlineLevel="0" collapsed="false">
      <c r="A3416" s="6" t="s">
        <v>73</v>
      </c>
      <c r="B3416" s="6" t="s">
        <v>413</v>
      </c>
      <c r="C3416" s="6" t="n">
        <v>51</v>
      </c>
      <c r="D3416" s="25" t="n">
        <f aca="false">EDATE('Start Here'!$B$6,C3416-1)</f>
        <v>47849</v>
      </c>
      <c r="E3416" s="23" t="n">
        <f aca="false">IF(AND(OR(Nonlabor!$D$18="Both",Nonlabor!$D$18='Start Here'!$B$9),IF(Nonlabor!$E$18="Core",1,IF(Nonlabor!$E$18="AI",'Start Here'!$B$7,'Start Here'!$B$8))=1,C3416&gt;=IF(Nonlabor!$E$18="Core",Nonlabor!$F$18,MAX(Nonlabor!$F$18,IF(Nonlabor!$E$18="AI",Assumptions!$E$24,Assumptions!$E$25))),C3416&lt;=Nonlabor!$G$18,OR(Nonlabor!$H$18="Monthly",AND(Nonlabor!$H$18="Once",C3416=IF(Nonlabor!$E$18="Core",Nonlabor!$F$18,MAX(Nonlabor!$F$18,IF(Nonlabor!$E$18="AI",Assumptions!$E$24,Assumptions!$E$25)))),AND(Nonlabor!$H$18="Annual",MOD(C3416-IF(Nonlabor!$E$18="Core",Nonlabor!$F$18,MAX(Nonlabor!$F$18,IF(Nonlabor!$E$18="AI",Assumptions!$E$24,Assumptions!$E$25))),12)=0))),IF(Nonlabor!$I$18="Fixed",1,IF(Nonlabor!$I$18="Seats",ROUNDUP('Monthly Growth'!I56,0),IF(Nonlabor!$I$18="Customers",'Monthly Growth'!D56,IF(Nonlabor!$I$18="NewCustomers",'Monthly Growth'!C56,IF(Nonlabor!$I$18="StorageGB",'Monthly Growth'!G56,IF(Nonlabor!$I$18="LogGB",'Monthly Growth'!H56,IF(Nonlabor!$I$18="RequestsM",'Monthly Growth'!F56,IF(Nonlabor!$I$18="InputM",'Monthly Growth'!D56*Assumptions!$E$22/1000000,IF(Nonlabor!$I$18="OutputM",'Monthly Growth'!D56*Assumptions!$E$23/1000000,0))))))))),0)</f>
        <v>0</v>
      </c>
      <c r="F3416" s="10" t="n">
        <f aca="false">Nonlabor!$J$18*(1+Assumptions!$E$9)^INT((C3416-1)/12)</f>
        <v>17547.8784</v>
      </c>
      <c r="G3416" s="10" t="n">
        <f aca="false">E3416*F3416</f>
        <v>0</v>
      </c>
      <c r="H3416" s="10" t="n">
        <f aca="false">IF(OR(Nonlabor!$L$18="Quote required",Nonlabor!$L$18="Unverified"),G3416,0)</f>
        <v>0</v>
      </c>
      <c r="I3416" s="10" t="n">
        <f aca="false">IF(Nonlabor!$E$18="Core",0,G3416)</f>
        <v>0</v>
      </c>
      <c r="J3416" s="23" t="str">
        <f aca="false">Nonlabor!$B$18</f>
        <v>COMPLIANCE</v>
      </c>
    </row>
    <row r="3417" customFormat="false" ht="15" hidden="false" customHeight="false" outlineLevel="0" collapsed="false">
      <c r="A3417" s="6" t="s">
        <v>73</v>
      </c>
      <c r="B3417" s="6" t="s">
        <v>413</v>
      </c>
      <c r="C3417" s="6" t="n">
        <v>52</v>
      </c>
      <c r="D3417" s="25" t="n">
        <f aca="false">EDATE('Start Here'!$B$6,C3417-1)</f>
        <v>47880</v>
      </c>
      <c r="E3417" s="23" t="n">
        <f aca="false">IF(AND(OR(Nonlabor!$D$18="Both",Nonlabor!$D$18='Start Here'!$B$9),IF(Nonlabor!$E$18="Core",1,IF(Nonlabor!$E$18="AI",'Start Here'!$B$7,'Start Here'!$B$8))=1,C3417&gt;=IF(Nonlabor!$E$18="Core",Nonlabor!$F$18,MAX(Nonlabor!$F$18,IF(Nonlabor!$E$18="AI",Assumptions!$E$24,Assumptions!$E$25))),C3417&lt;=Nonlabor!$G$18,OR(Nonlabor!$H$18="Monthly",AND(Nonlabor!$H$18="Once",C3417=IF(Nonlabor!$E$18="Core",Nonlabor!$F$18,MAX(Nonlabor!$F$18,IF(Nonlabor!$E$18="AI",Assumptions!$E$24,Assumptions!$E$25)))),AND(Nonlabor!$H$18="Annual",MOD(C3417-IF(Nonlabor!$E$18="Core",Nonlabor!$F$18,MAX(Nonlabor!$F$18,IF(Nonlabor!$E$18="AI",Assumptions!$E$24,Assumptions!$E$25))),12)=0))),IF(Nonlabor!$I$18="Fixed",1,IF(Nonlabor!$I$18="Seats",ROUNDUP('Monthly Growth'!I57,0),IF(Nonlabor!$I$18="Customers",'Monthly Growth'!D57,IF(Nonlabor!$I$18="NewCustomers",'Monthly Growth'!C57,IF(Nonlabor!$I$18="StorageGB",'Monthly Growth'!G57,IF(Nonlabor!$I$18="LogGB",'Monthly Growth'!H57,IF(Nonlabor!$I$18="RequestsM",'Monthly Growth'!F57,IF(Nonlabor!$I$18="InputM",'Monthly Growth'!D57*Assumptions!$E$22/1000000,IF(Nonlabor!$I$18="OutputM",'Monthly Growth'!D57*Assumptions!$E$23/1000000,0))))))))),0)</f>
        <v>0</v>
      </c>
      <c r="F3417" s="10" t="n">
        <f aca="false">Nonlabor!$J$18*(1+Assumptions!$E$9)^INT((C3417-1)/12)</f>
        <v>17547.8784</v>
      </c>
      <c r="G3417" s="10" t="n">
        <f aca="false">E3417*F3417</f>
        <v>0</v>
      </c>
      <c r="H3417" s="10" t="n">
        <f aca="false">IF(OR(Nonlabor!$L$18="Quote required",Nonlabor!$L$18="Unverified"),G3417,0)</f>
        <v>0</v>
      </c>
      <c r="I3417" s="10" t="n">
        <f aca="false">IF(Nonlabor!$E$18="Core",0,G3417)</f>
        <v>0</v>
      </c>
      <c r="J3417" s="23" t="str">
        <f aca="false">Nonlabor!$B$18</f>
        <v>COMPLIANCE</v>
      </c>
    </row>
    <row r="3418" customFormat="false" ht="15" hidden="false" customHeight="false" outlineLevel="0" collapsed="false">
      <c r="A3418" s="6" t="s">
        <v>73</v>
      </c>
      <c r="B3418" s="6" t="s">
        <v>413</v>
      </c>
      <c r="C3418" s="6" t="n">
        <v>53</v>
      </c>
      <c r="D3418" s="25" t="n">
        <f aca="false">EDATE('Start Here'!$B$6,C3418-1)</f>
        <v>47908</v>
      </c>
      <c r="E3418" s="23" t="n">
        <f aca="false">IF(AND(OR(Nonlabor!$D$18="Both",Nonlabor!$D$18='Start Here'!$B$9),IF(Nonlabor!$E$18="Core",1,IF(Nonlabor!$E$18="AI",'Start Here'!$B$7,'Start Here'!$B$8))=1,C3418&gt;=IF(Nonlabor!$E$18="Core",Nonlabor!$F$18,MAX(Nonlabor!$F$18,IF(Nonlabor!$E$18="AI",Assumptions!$E$24,Assumptions!$E$25))),C3418&lt;=Nonlabor!$G$18,OR(Nonlabor!$H$18="Monthly",AND(Nonlabor!$H$18="Once",C3418=IF(Nonlabor!$E$18="Core",Nonlabor!$F$18,MAX(Nonlabor!$F$18,IF(Nonlabor!$E$18="AI",Assumptions!$E$24,Assumptions!$E$25)))),AND(Nonlabor!$H$18="Annual",MOD(C3418-IF(Nonlabor!$E$18="Core",Nonlabor!$F$18,MAX(Nonlabor!$F$18,IF(Nonlabor!$E$18="AI",Assumptions!$E$24,Assumptions!$E$25))),12)=0))),IF(Nonlabor!$I$18="Fixed",1,IF(Nonlabor!$I$18="Seats",ROUNDUP('Monthly Growth'!I58,0),IF(Nonlabor!$I$18="Customers",'Monthly Growth'!D58,IF(Nonlabor!$I$18="NewCustomers",'Monthly Growth'!C58,IF(Nonlabor!$I$18="StorageGB",'Monthly Growth'!G58,IF(Nonlabor!$I$18="LogGB",'Monthly Growth'!H58,IF(Nonlabor!$I$18="RequestsM",'Monthly Growth'!F58,IF(Nonlabor!$I$18="InputM",'Monthly Growth'!D58*Assumptions!$E$22/1000000,IF(Nonlabor!$I$18="OutputM",'Monthly Growth'!D58*Assumptions!$E$23/1000000,0))))))))),0)</f>
        <v>0</v>
      </c>
      <c r="F3418" s="10" t="n">
        <f aca="false">Nonlabor!$J$18*(1+Assumptions!$E$9)^INT((C3418-1)/12)</f>
        <v>17547.8784</v>
      </c>
      <c r="G3418" s="10" t="n">
        <f aca="false">E3418*F3418</f>
        <v>0</v>
      </c>
      <c r="H3418" s="10" t="n">
        <f aca="false">IF(OR(Nonlabor!$L$18="Quote required",Nonlabor!$L$18="Unverified"),G3418,0)</f>
        <v>0</v>
      </c>
      <c r="I3418" s="10" t="n">
        <f aca="false">IF(Nonlabor!$E$18="Core",0,G3418)</f>
        <v>0</v>
      </c>
      <c r="J3418" s="23" t="str">
        <f aca="false">Nonlabor!$B$18</f>
        <v>COMPLIANCE</v>
      </c>
    </row>
    <row r="3419" customFormat="false" ht="15" hidden="false" customHeight="false" outlineLevel="0" collapsed="false">
      <c r="A3419" s="6" t="s">
        <v>73</v>
      </c>
      <c r="B3419" s="6" t="s">
        <v>413</v>
      </c>
      <c r="C3419" s="6" t="n">
        <v>54</v>
      </c>
      <c r="D3419" s="25" t="n">
        <f aca="false">EDATE('Start Here'!$B$6,C3419-1)</f>
        <v>47939</v>
      </c>
      <c r="E3419" s="23" t="n">
        <f aca="false">IF(AND(OR(Nonlabor!$D$18="Both",Nonlabor!$D$18='Start Here'!$B$9),IF(Nonlabor!$E$18="Core",1,IF(Nonlabor!$E$18="AI",'Start Here'!$B$7,'Start Here'!$B$8))=1,C3419&gt;=IF(Nonlabor!$E$18="Core",Nonlabor!$F$18,MAX(Nonlabor!$F$18,IF(Nonlabor!$E$18="AI",Assumptions!$E$24,Assumptions!$E$25))),C3419&lt;=Nonlabor!$G$18,OR(Nonlabor!$H$18="Monthly",AND(Nonlabor!$H$18="Once",C3419=IF(Nonlabor!$E$18="Core",Nonlabor!$F$18,MAX(Nonlabor!$F$18,IF(Nonlabor!$E$18="AI",Assumptions!$E$24,Assumptions!$E$25)))),AND(Nonlabor!$H$18="Annual",MOD(C3419-IF(Nonlabor!$E$18="Core",Nonlabor!$F$18,MAX(Nonlabor!$F$18,IF(Nonlabor!$E$18="AI",Assumptions!$E$24,Assumptions!$E$25))),12)=0))),IF(Nonlabor!$I$18="Fixed",1,IF(Nonlabor!$I$18="Seats",ROUNDUP('Monthly Growth'!I59,0),IF(Nonlabor!$I$18="Customers",'Monthly Growth'!D59,IF(Nonlabor!$I$18="NewCustomers",'Monthly Growth'!C59,IF(Nonlabor!$I$18="StorageGB",'Monthly Growth'!G59,IF(Nonlabor!$I$18="LogGB",'Monthly Growth'!H59,IF(Nonlabor!$I$18="RequestsM",'Monthly Growth'!F59,IF(Nonlabor!$I$18="InputM",'Monthly Growth'!D59*Assumptions!$E$22/1000000,IF(Nonlabor!$I$18="OutputM",'Monthly Growth'!D59*Assumptions!$E$23/1000000,0))))))))),0)</f>
        <v>0</v>
      </c>
      <c r="F3419" s="10" t="n">
        <f aca="false">Nonlabor!$J$18*(1+Assumptions!$E$9)^INT((C3419-1)/12)</f>
        <v>17547.8784</v>
      </c>
      <c r="G3419" s="10" t="n">
        <f aca="false">E3419*F3419</f>
        <v>0</v>
      </c>
      <c r="H3419" s="10" t="n">
        <f aca="false">IF(OR(Nonlabor!$L$18="Quote required",Nonlabor!$L$18="Unverified"),G3419,0)</f>
        <v>0</v>
      </c>
      <c r="I3419" s="10" t="n">
        <f aca="false">IF(Nonlabor!$E$18="Core",0,G3419)</f>
        <v>0</v>
      </c>
      <c r="J3419" s="23" t="str">
        <f aca="false">Nonlabor!$B$18</f>
        <v>COMPLIANCE</v>
      </c>
    </row>
    <row r="3420" customFormat="false" ht="15" hidden="false" customHeight="false" outlineLevel="0" collapsed="false">
      <c r="A3420" s="6" t="s">
        <v>73</v>
      </c>
      <c r="B3420" s="6" t="s">
        <v>413</v>
      </c>
      <c r="C3420" s="6" t="n">
        <v>55</v>
      </c>
      <c r="D3420" s="25" t="n">
        <f aca="false">EDATE('Start Here'!$B$6,C3420-1)</f>
        <v>47969</v>
      </c>
      <c r="E3420" s="23" t="n">
        <f aca="false">IF(AND(OR(Nonlabor!$D$18="Both",Nonlabor!$D$18='Start Here'!$B$9),IF(Nonlabor!$E$18="Core",1,IF(Nonlabor!$E$18="AI",'Start Here'!$B$7,'Start Here'!$B$8))=1,C3420&gt;=IF(Nonlabor!$E$18="Core",Nonlabor!$F$18,MAX(Nonlabor!$F$18,IF(Nonlabor!$E$18="AI",Assumptions!$E$24,Assumptions!$E$25))),C3420&lt;=Nonlabor!$G$18,OR(Nonlabor!$H$18="Monthly",AND(Nonlabor!$H$18="Once",C3420=IF(Nonlabor!$E$18="Core",Nonlabor!$F$18,MAX(Nonlabor!$F$18,IF(Nonlabor!$E$18="AI",Assumptions!$E$24,Assumptions!$E$25)))),AND(Nonlabor!$H$18="Annual",MOD(C3420-IF(Nonlabor!$E$18="Core",Nonlabor!$F$18,MAX(Nonlabor!$F$18,IF(Nonlabor!$E$18="AI",Assumptions!$E$24,Assumptions!$E$25))),12)=0))),IF(Nonlabor!$I$18="Fixed",1,IF(Nonlabor!$I$18="Seats",ROUNDUP('Monthly Growth'!I60,0),IF(Nonlabor!$I$18="Customers",'Monthly Growth'!D60,IF(Nonlabor!$I$18="NewCustomers",'Monthly Growth'!C60,IF(Nonlabor!$I$18="StorageGB",'Monthly Growth'!G60,IF(Nonlabor!$I$18="LogGB",'Monthly Growth'!H60,IF(Nonlabor!$I$18="RequestsM",'Monthly Growth'!F60,IF(Nonlabor!$I$18="InputM",'Monthly Growth'!D60*Assumptions!$E$22/1000000,IF(Nonlabor!$I$18="OutputM",'Monthly Growth'!D60*Assumptions!$E$23/1000000,0))))))))),0)</f>
        <v>0</v>
      </c>
      <c r="F3420" s="10" t="n">
        <f aca="false">Nonlabor!$J$18*(1+Assumptions!$E$9)^INT((C3420-1)/12)</f>
        <v>17547.8784</v>
      </c>
      <c r="G3420" s="10" t="n">
        <f aca="false">E3420*F3420</f>
        <v>0</v>
      </c>
      <c r="H3420" s="10" t="n">
        <f aca="false">IF(OR(Nonlabor!$L$18="Quote required",Nonlabor!$L$18="Unverified"),G3420,0)</f>
        <v>0</v>
      </c>
      <c r="I3420" s="10" t="n">
        <f aca="false">IF(Nonlabor!$E$18="Core",0,G3420)</f>
        <v>0</v>
      </c>
      <c r="J3420" s="23" t="str">
        <f aca="false">Nonlabor!$B$18</f>
        <v>COMPLIANCE</v>
      </c>
    </row>
    <row r="3421" customFormat="false" ht="15" hidden="false" customHeight="false" outlineLevel="0" collapsed="false">
      <c r="A3421" s="6" t="s">
        <v>73</v>
      </c>
      <c r="B3421" s="6" t="s">
        <v>413</v>
      </c>
      <c r="C3421" s="6" t="n">
        <v>56</v>
      </c>
      <c r="D3421" s="25" t="n">
        <f aca="false">EDATE('Start Here'!$B$6,C3421-1)</f>
        <v>48000</v>
      </c>
      <c r="E3421" s="23" t="n">
        <f aca="false">IF(AND(OR(Nonlabor!$D$18="Both",Nonlabor!$D$18='Start Here'!$B$9),IF(Nonlabor!$E$18="Core",1,IF(Nonlabor!$E$18="AI",'Start Here'!$B$7,'Start Here'!$B$8))=1,C3421&gt;=IF(Nonlabor!$E$18="Core",Nonlabor!$F$18,MAX(Nonlabor!$F$18,IF(Nonlabor!$E$18="AI",Assumptions!$E$24,Assumptions!$E$25))),C3421&lt;=Nonlabor!$G$18,OR(Nonlabor!$H$18="Monthly",AND(Nonlabor!$H$18="Once",C3421=IF(Nonlabor!$E$18="Core",Nonlabor!$F$18,MAX(Nonlabor!$F$18,IF(Nonlabor!$E$18="AI",Assumptions!$E$24,Assumptions!$E$25)))),AND(Nonlabor!$H$18="Annual",MOD(C3421-IF(Nonlabor!$E$18="Core",Nonlabor!$F$18,MAX(Nonlabor!$F$18,IF(Nonlabor!$E$18="AI",Assumptions!$E$24,Assumptions!$E$25))),12)=0))),IF(Nonlabor!$I$18="Fixed",1,IF(Nonlabor!$I$18="Seats",ROUNDUP('Monthly Growth'!I61,0),IF(Nonlabor!$I$18="Customers",'Monthly Growth'!D61,IF(Nonlabor!$I$18="NewCustomers",'Monthly Growth'!C61,IF(Nonlabor!$I$18="StorageGB",'Monthly Growth'!G61,IF(Nonlabor!$I$18="LogGB",'Monthly Growth'!H61,IF(Nonlabor!$I$18="RequestsM",'Monthly Growth'!F61,IF(Nonlabor!$I$18="InputM",'Monthly Growth'!D61*Assumptions!$E$22/1000000,IF(Nonlabor!$I$18="OutputM",'Monthly Growth'!D61*Assumptions!$E$23/1000000,0))))))))),0)</f>
        <v>0</v>
      </c>
      <c r="F3421" s="10" t="n">
        <f aca="false">Nonlabor!$J$18*(1+Assumptions!$E$9)^INT((C3421-1)/12)</f>
        <v>17547.8784</v>
      </c>
      <c r="G3421" s="10" t="n">
        <f aca="false">E3421*F3421</f>
        <v>0</v>
      </c>
      <c r="H3421" s="10" t="n">
        <f aca="false">IF(OR(Nonlabor!$L$18="Quote required",Nonlabor!$L$18="Unverified"),G3421,0)</f>
        <v>0</v>
      </c>
      <c r="I3421" s="10" t="n">
        <f aca="false">IF(Nonlabor!$E$18="Core",0,G3421)</f>
        <v>0</v>
      </c>
      <c r="J3421" s="23" t="str">
        <f aca="false">Nonlabor!$B$18</f>
        <v>COMPLIANCE</v>
      </c>
    </row>
    <row r="3422" customFormat="false" ht="15" hidden="false" customHeight="false" outlineLevel="0" collapsed="false">
      <c r="A3422" s="6" t="s">
        <v>73</v>
      </c>
      <c r="B3422" s="6" t="s">
        <v>413</v>
      </c>
      <c r="C3422" s="6" t="n">
        <v>57</v>
      </c>
      <c r="D3422" s="25" t="n">
        <f aca="false">EDATE('Start Here'!$B$6,C3422-1)</f>
        <v>48030</v>
      </c>
      <c r="E3422" s="23" t="n">
        <f aca="false">IF(AND(OR(Nonlabor!$D$18="Both",Nonlabor!$D$18='Start Here'!$B$9),IF(Nonlabor!$E$18="Core",1,IF(Nonlabor!$E$18="AI",'Start Here'!$B$7,'Start Here'!$B$8))=1,C3422&gt;=IF(Nonlabor!$E$18="Core",Nonlabor!$F$18,MAX(Nonlabor!$F$18,IF(Nonlabor!$E$18="AI",Assumptions!$E$24,Assumptions!$E$25))),C3422&lt;=Nonlabor!$G$18,OR(Nonlabor!$H$18="Monthly",AND(Nonlabor!$H$18="Once",C3422=IF(Nonlabor!$E$18="Core",Nonlabor!$F$18,MAX(Nonlabor!$F$18,IF(Nonlabor!$E$18="AI",Assumptions!$E$24,Assumptions!$E$25)))),AND(Nonlabor!$H$18="Annual",MOD(C3422-IF(Nonlabor!$E$18="Core",Nonlabor!$F$18,MAX(Nonlabor!$F$18,IF(Nonlabor!$E$18="AI",Assumptions!$E$24,Assumptions!$E$25))),12)=0))),IF(Nonlabor!$I$18="Fixed",1,IF(Nonlabor!$I$18="Seats",ROUNDUP('Monthly Growth'!I62,0),IF(Nonlabor!$I$18="Customers",'Monthly Growth'!D62,IF(Nonlabor!$I$18="NewCustomers",'Monthly Growth'!C62,IF(Nonlabor!$I$18="StorageGB",'Monthly Growth'!G62,IF(Nonlabor!$I$18="LogGB",'Monthly Growth'!H62,IF(Nonlabor!$I$18="RequestsM",'Monthly Growth'!F62,IF(Nonlabor!$I$18="InputM",'Monthly Growth'!D62*Assumptions!$E$22/1000000,IF(Nonlabor!$I$18="OutputM",'Monthly Growth'!D62*Assumptions!$E$23/1000000,0))))))))),0)</f>
        <v>0</v>
      </c>
      <c r="F3422" s="10" t="n">
        <f aca="false">Nonlabor!$J$18*(1+Assumptions!$E$9)^INT((C3422-1)/12)</f>
        <v>17547.8784</v>
      </c>
      <c r="G3422" s="10" t="n">
        <f aca="false">E3422*F3422</f>
        <v>0</v>
      </c>
      <c r="H3422" s="10" t="n">
        <f aca="false">IF(OR(Nonlabor!$L$18="Quote required",Nonlabor!$L$18="Unverified"),G3422,0)</f>
        <v>0</v>
      </c>
      <c r="I3422" s="10" t="n">
        <f aca="false">IF(Nonlabor!$E$18="Core",0,G3422)</f>
        <v>0</v>
      </c>
      <c r="J3422" s="23" t="str">
        <f aca="false">Nonlabor!$B$18</f>
        <v>COMPLIANCE</v>
      </c>
    </row>
    <row r="3423" customFormat="false" ht="15" hidden="false" customHeight="false" outlineLevel="0" collapsed="false">
      <c r="A3423" s="6" t="s">
        <v>73</v>
      </c>
      <c r="B3423" s="6" t="s">
        <v>413</v>
      </c>
      <c r="C3423" s="6" t="n">
        <v>58</v>
      </c>
      <c r="D3423" s="25" t="n">
        <f aca="false">EDATE('Start Here'!$B$6,C3423-1)</f>
        <v>48061</v>
      </c>
      <c r="E3423" s="23" t="n">
        <f aca="false">IF(AND(OR(Nonlabor!$D$18="Both",Nonlabor!$D$18='Start Here'!$B$9),IF(Nonlabor!$E$18="Core",1,IF(Nonlabor!$E$18="AI",'Start Here'!$B$7,'Start Here'!$B$8))=1,C3423&gt;=IF(Nonlabor!$E$18="Core",Nonlabor!$F$18,MAX(Nonlabor!$F$18,IF(Nonlabor!$E$18="AI",Assumptions!$E$24,Assumptions!$E$25))),C3423&lt;=Nonlabor!$G$18,OR(Nonlabor!$H$18="Monthly",AND(Nonlabor!$H$18="Once",C3423=IF(Nonlabor!$E$18="Core",Nonlabor!$F$18,MAX(Nonlabor!$F$18,IF(Nonlabor!$E$18="AI",Assumptions!$E$24,Assumptions!$E$25)))),AND(Nonlabor!$H$18="Annual",MOD(C3423-IF(Nonlabor!$E$18="Core",Nonlabor!$F$18,MAX(Nonlabor!$F$18,IF(Nonlabor!$E$18="AI",Assumptions!$E$24,Assumptions!$E$25))),12)=0))),IF(Nonlabor!$I$18="Fixed",1,IF(Nonlabor!$I$18="Seats",ROUNDUP('Monthly Growth'!I63,0),IF(Nonlabor!$I$18="Customers",'Monthly Growth'!D63,IF(Nonlabor!$I$18="NewCustomers",'Monthly Growth'!C63,IF(Nonlabor!$I$18="StorageGB",'Monthly Growth'!G63,IF(Nonlabor!$I$18="LogGB",'Monthly Growth'!H63,IF(Nonlabor!$I$18="RequestsM",'Monthly Growth'!F63,IF(Nonlabor!$I$18="InputM",'Monthly Growth'!D63*Assumptions!$E$22/1000000,IF(Nonlabor!$I$18="OutputM",'Monthly Growth'!D63*Assumptions!$E$23/1000000,0))))))))),0)</f>
        <v>0</v>
      </c>
      <c r="F3423" s="10" t="n">
        <f aca="false">Nonlabor!$J$18*(1+Assumptions!$E$9)^INT((C3423-1)/12)</f>
        <v>17547.8784</v>
      </c>
      <c r="G3423" s="10" t="n">
        <f aca="false">E3423*F3423</f>
        <v>0</v>
      </c>
      <c r="H3423" s="10" t="n">
        <f aca="false">IF(OR(Nonlabor!$L$18="Quote required",Nonlabor!$L$18="Unverified"),G3423,0)</f>
        <v>0</v>
      </c>
      <c r="I3423" s="10" t="n">
        <f aca="false">IF(Nonlabor!$E$18="Core",0,G3423)</f>
        <v>0</v>
      </c>
      <c r="J3423" s="23" t="str">
        <f aca="false">Nonlabor!$B$18</f>
        <v>COMPLIANCE</v>
      </c>
    </row>
    <row r="3424" customFormat="false" ht="15" hidden="false" customHeight="false" outlineLevel="0" collapsed="false">
      <c r="A3424" s="6" t="s">
        <v>73</v>
      </c>
      <c r="B3424" s="6" t="s">
        <v>413</v>
      </c>
      <c r="C3424" s="6" t="n">
        <v>59</v>
      </c>
      <c r="D3424" s="25" t="n">
        <f aca="false">EDATE('Start Here'!$B$6,C3424-1)</f>
        <v>48092</v>
      </c>
      <c r="E3424" s="23" t="n">
        <f aca="false">IF(AND(OR(Nonlabor!$D$18="Both",Nonlabor!$D$18='Start Here'!$B$9),IF(Nonlabor!$E$18="Core",1,IF(Nonlabor!$E$18="AI",'Start Here'!$B$7,'Start Here'!$B$8))=1,C3424&gt;=IF(Nonlabor!$E$18="Core",Nonlabor!$F$18,MAX(Nonlabor!$F$18,IF(Nonlabor!$E$18="AI",Assumptions!$E$24,Assumptions!$E$25))),C3424&lt;=Nonlabor!$G$18,OR(Nonlabor!$H$18="Monthly",AND(Nonlabor!$H$18="Once",C3424=IF(Nonlabor!$E$18="Core",Nonlabor!$F$18,MAX(Nonlabor!$F$18,IF(Nonlabor!$E$18="AI",Assumptions!$E$24,Assumptions!$E$25)))),AND(Nonlabor!$H$18="Annual",MOD(C3424-IF(Nonlabor!$E$18="Core",Nonlabor!$F$18,MAX(Nonlabor!$F$18,IF(Nonlabor!$E$18="AI",Assumptions!$E$24,Assumptions!$E$25))),12)=0))),IF(Nonlabor!$I$18="Fixed",1,IF(Nonlabor!$I$18="Seats",ROUNDUP('Monthly Growth'!I64,0),IF(Nonlabor!$I$18="Customers",'Monthly Growth'!D64,IF(Nonlabor!$I$18="NewCustomers",'Monthly Growth'!C64,IF(Nonlabor!$I$18="StorageGB",'Monthly Growth'!G64,IF(Nonlabor!$I$18="LogGB",'Monthly Growth'!H64,IF(Nonlabor!$I$18="RequestsM",'Monthly Growth'!F64,IF(Nonlabor!$I$18="InputM",'Monthly Growth'!D64*Assumptions!$E$22/1000000,IF(Nonlabor!$I$18="OutputM",'Monthly Growth'!D64*Assumptions!$E$23/1000000,0))))))))),0)</f>
        <v>1</v>
      </c>
      <c r="F3424" s="10" t="n">
        <f aca="false">Nonlabor!$J$18*(1+Assumptions!$E$9)^INT((C3424-1)/12)</f>
        <v>17547.8784</v>
      </c>
      <c r="G3424" s="10" t="n">
        <f aca="false">E3424*F3424</f>
        <v>17547.8784</v>
      </c>
      <c r="H3424" s="10" t="n">
        <f aca="false">IF(OR(Nonlabor!$L$18="Quote required",Nonlabor!$L$18="Unverified"),G3424,0)</f>
        <v>17547.8784</v>
      </c>
      <c r="I3424" s="10" t="n">
        <f aca="false">IF(Nonlabor!$E$18="Core",0,G3424)</f>
        <v>0</v>
      </c>
      <c r="J3424" s="23" t="str">
        <f aca="false">Nonlabor!$B$18</f>
        <v>COMPLIANCE</v>
      </c>
    </row>
    <row r="3425" customFormat="false" ht="15" hidden="false" customHeight="false" outlineLevel="0" collapsed="false">
      <c r="A3425" s="6" t="s">
        <v>73</v>
      </c>
      <c r="B3425" s="6" t="s">
        <v>413</v>
      </c>
      <c r="C3425" s="6" t="n">
        <v>60</v>
      </c>
      <c r="D3425" s="25" t="n">
        <f aca="false">EDATE('Start Here'!$B$6,C3425-1)</f>
        <v>48122</v>
      </c>
      <c r="E3425" s="23" t="n">
        <f aca="false">IF(AND(OR(Nonlabor!$D$18="Both",Nonlabor!$D$18='Start Here'!$B$9),IF(Nonlabor!$E$18="Core",1,IF(Nonlabor!$E$18="AI",'Start Here'!$B$7,'Start Here'!$B$8))=1,C3425&gt;=IF(Nonlabor!$E$18="Core",Nonlabor!$F$18,MAX(Nonlabor!$F$18,IF(Nonlabor!$E$18="AI",Assumptions!$E$24,Assumptions!$E$25))),C3425&lt;=Nonlabor!$G$18,OR(Nonlabor!$H$18="Monthly",AND(Nonlabor!$H$18="Once",C3425=IF(Nonlabor!$E$18="Core",Nonlabor!$F$18,MAX(Nonlabor!$F$18,IF(Nonlabor!$E$18="AI",Assumptions!$E$24,Assumptions!$E$25)))),AND(Nonlabor!$H$18="Annual",MOD(C3425-IF(Nonlabor!$E$18="Core",Nonlabor!$F$18,MAX(Nonlabor!$F$18,IF(Nonlabor!$E$18="AI",Assumptions!$E$24,Assumptions!$E$25))),12)=0))),IF(Nonlabor!$I$18="Fixed",1,IF(Nonlabor!$I$18="Seats",ROUNDUP('Monthly Growth'!I65,0),IF(Nonlabor!$I$18="Customers",'Monthly Growth'!D65,IF(Nonlabor!$I$18="NewCustomers",'Monthly Growth'!C65,IF(Nonlabor!$I$18="StorageGB",'Monthly Growth'!G65,IF(Nonlabor!$I$18="LogGB",'Monthly Growth'!H65,IF(Nonlabor!$I$18="RequestsM",'Monthly Growth'!F65,IF(Nonlabor!$I$18="InputM",'Monthly Growth'!D65*Assumptions!$E$22/1000000,IF(Nonlabor!$I$18="OutputM",'Monthly Growth'!D65*Assumptions!$E$23/1000000,0))))))))),0)</f>
        <v>0</v>
      </c>
      <c r="F3425" s="10" t="n">
        <f aca="false">Nonlabor!$J$18*(1+Assumptions!$E$9)^INT((C3425-1)/12)</f>
        <v>17547.8784</v>
      </c>
      <c r="G3425" s="10" t="n">
        <f aca="false">E3425*F3425</f>
        <v>0</v>
      </c>
      <c r="H3425" s="10" t="n">
        <f aca="false">IF(OR(Nonlabor!$L$18="Quote required",Nonlabor!$L$18="Unverified"),G3425,0)</f>
        <v>0</v>
      </c>
      <c r="I3425" s="10" t="n">
        <f aca="false">IF(Nonlabor!$E$18="Core",0,G3425)</f>
        <v>0</v>
      </c>
      <c r="J3425" s="23" t="str">
        <f aca="false">Nonlabor!$B$18</f>
        <v>COMPLIANCE</v>
      </c>
    </row>
    <row r="3426" customFormat="false" ht="15" hidden="false" customHeight="false" outlineLevel="0" collapsed="false">
      <c r="A3426" s="6" t="s">
        <v>73</v>
      </c>
      <c r="B3426" s="6" t="s">
        <v>49</v>
      </c>
      <c r="C3426" s="6" t="n">
        <v>1</v>
      </c>
      <c r="D3426" s="25" t="n">
        <f aca="false">EDATE('Start Here'!$B$6,C3426-1)</f>
        <v>46327</v>
      </c>
      <c r="E3426" s="23" t="n">
        <f aca="false">IF(AND(OR(Nonlabor!$D$19="Both",Nonlabor!$D$19='Start Here'!$B$9),IF(Nonlabor!$E$19="Core",1,IF(Nonlabor!$E$19="AI",'Start Here'!$B$7,'Start Here'!$B$8))=1,C3426&gt;=IF(Nonlabor!$E$19="Core",Nonlabor!$F$19,MAX(Nonlabor!$F$19,IF(Nonlabor!$E$19="AI",Assumptions!$E$24,Assumptions!$E$25))),C3426&lt;=Nonlabor!$G$19,OR(Nonlabor!$H$19="Monthly",AND(Nonlabor!$H$19="Once",C3426=IF(Nonlabor!$E$19="Core",Nonlabor!$F$19,MAX(Nonlabor!$F$19,IF(Nonlabor!$E$19="AI",Assumptions!$E$24,Assumptions!$E$25)))),AND(Nonlabor!$H$19="Annual",MOD(C3426-IF(Nonlabor!$E$19="Core",Nonlabor!$F$19,MAX(Nonlabor!$F$19,IF(Nonlabor!$E$19="AI",Assumptions!$E$24,Assumptions!$E$25))),12)=0))),IF(Nonlabor!$I$19="Fixed",1,IF(Nonlabor!$I$19="Seats",ROUNDUP('Monthly Growth'!I6,0),IF(Nonlabor!$I$19="Customers",'Monthly Growth'!D6,IF(Nonlabor!$I$19="NewCustomers",'Monthly Growth'!C6,IF(Nonlabor!$I$19="StorageGB",'Monthly Growth'!G6,IF(Nonlabor!$I$19="LogGB",'Monthly Growth'!H6,IF(Nonlabor!$I$19="RequestsM",'Monthly Growth'!F6,IF(Nonlabor!$I$19="InputM",'Monthly Growth'!D6*Assumptions!$E$22/1000000,IF(Nonlabor!$I$19="OutputM",'Monthly Growth'!D6*Assumptions!$E$23/1000000,0))))))))),0)</f>
        <v>0</v>
      </c>
      <c r="F3426" s="10" t="n">
        <f aca="false">Nonlabor!$J$19*(1+Assumptions!$E$9)^INT((C3426-1)/12)</f>
        <v>12000</v>
      </c>
      <c r="G3426" s="10" t="n">
        <f aca="false">E3426*F3426</f>
        <v>0</v>
      </c>
      <c r="H3426" s="10" t="n">
        <f aca="false">IF(OR(Nonlabor!$L$19="Quote required",Nonlabor!$L$19="Unverified"),G3426,0)</f>
        <v>0</v>
      </c>
      <c r="I3426" s="10" t="n">
        <f aca="false">IF(Nonlabor!$E$19="Core",0,G3426)</f>
        <v>0</v>
      </c>
      <c r="J3426" s="23" t="str">
        <f aca="false">Nonlabor!$B$19</f>
        <v>INSURANCE</v>
      </c>
    </row>
    <row r="3427" customFormat="false" ht="15" hidden="false" customHeight="false" outlineLevel="0" collapsed="false">
      <c r="A3427" s="6" t="s">
        <v>73</v>
      </c>
      <c r="B3427" s="6" t="s">
        <v>49</v>
      </c>
      <c r="C3427" s="6" t="n">
        <v>2</v>
      </c>
      <c r="D3427" s="25" t="n">
        <f aca="false">EDATE('Start Here'!$B$6,C3427-1)</f>
        <v>46357</v>
      </c>
      <c r="E3427" s="23" t="n">
        <f aca="false">IF(AND(OR(Nonlabor!$D$19="Both",Nonlabor!$D$19='Start Here'!$B$9),IF(Nonlabor!$E$19="Core",1,IF(Nonlabor!$E$19="AI",'Start Here'!$B$7,'Start Here'!$B$8))=1,C3427&gt;=IF(Nonlabor!$E$19="Core",Nonlabor!$F$19,MAX(Nonlabor!$F$19,IF(Nonlabor!$E$19="AI",Assumptions!$E$24,Assumptions!$E$25))),C3427&lt;=Nonlabor!$G$19,OR(Nonlabor!$H$19="Monthly",AND(Nonlabor!$H$19="Once",C3427=IF(Nonlabor!$E$19="Core",Nonlabor!$F$19,MAX(Nonlabor!$F$19,IF(Nonlabor!$E$19="AI",Assumptions!$E$24,Assumptions!$E$25)))),AND(Nonlabor!$H$19="Annual",MOD(C3427-IF(Nonlabor!$E$19="Core",Nonlabor!$F$19,MAX(Nonlabor!$F$19,IF(Nonlabor!$E$19="AI",Assumptions!$E$24,Assumptions!$E$25))),12)=0))),IF(Nonlabor!$I$19="Fixed",1,IF(Nonlabor!$I$19="Seats",ROUNDUP('Monthly Growth'!I7,0),IF(Nonlabor!$I$19="Customers",'Monthly Growth'!D7,IF(Nonlabor!$I$19="NewCustomers",'Monthly Growth'!C7,IF(Nonlabor!$I$19="StorageGB",'Monthly Growth'!G7,IF(Nonlabor!$I$19="LogGB",'Monthly Growth'!H7,IF(Nonlabor!$I$19="RequestsM",'Monthly Growth'!F7,IF(Nonlabor!$I$19="InputM",'Monthly Growth'!D7*Assumptions!$E$22/1000000,IF(Nonlabor!$I$19="OutputM",'Monthly Growth'!D7*Assumptions!$E$23/1000000,0))))))))),0)</f>
        <v>0</v>
      </c>
      <c r="F3427" s="10" t="n">
        <f aca="false">Nonlabor!$J$19*(1+Assumptions!$E$9)^INT((C3427-1)/12)</f>
        <v>12000</v>
      </c>
      <c r="G3427" s="10" t="n">
        <f aca="false">E3427*F3427</f>
        <v>0</v>
      </c>
      <c r="H3427" s="10" t="n">
        <f aca="false">IF(OR(Nonlabor!$L$19="Quote required",Nonlabor!$L$19="Unverified"),G3427,0)</f>
        <v>0</v>
      </c>
      <c r="I3427" s="10" t="n">
        <f aca="false">IF(Nonlabor!$E$19="Core",0,G3427)</f>
        <v>0</v>
      </c>
      <c r="J3427" s="23" t="str">
        <f aca="false">Nonlabor!$B$19</f>
        <v>INSURANCE</v>
      </c>
    </row>
    <row r="3428" customFormat="false" ht="15" hidden="false" customHeight="false" outlineLevel="0" collapsed="false">
      <c r="A3428" s="6" t="s">
        <v>73</v>
      </c>
      <c r="B3428" s="6" t="s">
        <v>49</v>
      </c>
      <c r="C3428" s="6" t="n">
        <v>3</v>
      </c>
      <c r="D3428" s="25" t="n">
        <f aca="false">EDATE('Start Here'!$B$6,C3428-1)</f>
        <v>46388</v>
      </c>
      <c r="E3428" s="23" t="n">
        <f aca="false">IF(AND(OR(Nonlabor!$D$19="Both",Nonlabor!$D$19='Start Here'!$B$9),IF(Nonlabor!$E$19="Core",1,IF(Nonlabor!$E$19="AI",'Start Here'!$B$7,'Start Here'!$B$8))=1,C3428&gt;=IF(Nonlabor!$E$19="Core",Nonlabor!$F$19,MAX(Nonlabor!$F$19,IF(Nonlabor!$E$19="AI",Assumptions!$E$24,Assumptions!$E$25))),C3428&lt;=Nonlabor!$G$19,OR(Nonlabor!$H$19="Monthly",AND(Nonlabor!$H$19="Once",C3428=IF(Nonlabor!$E$19="Core",Nonlabor!$F$19,MAX(Nonlabor!$F$19,IF(Nonlabor!$E$19="AI",Assumptions!$E$24,Assumptions!$E$25)))),AND(Nonlabor!$H$19="Annual",MOD(C3428-IF(Nonlabor!$E$19="Core",Nonlabor!$F$19,MAX(Nonlabor!$F$19,IF(Nonlabor!$E$19="AI",Assumptions!$E$24,Assumptions!$E$25))),12)=0))),IF(Nonlabor!$I$19="Fixed",1,IF(Nonlabor!$I$19="Seats",ROUNDUP('Monthly Growth'!I8,0),IF(Nonlabor!$I$19="Customers",'Monthly Growth'!D8,IF(Nonlabor!$I$19="NewCustomers",'Monthly Growth'!C8,IF(Nonlabor!$I$19="StorageGB",'Monthly Growth'!G8,IF(Nonlabor!$I$19="LogGB",'Monthly Growth'!H8,IF(Nonlabor!$I$19="RequestsM",'Monthly Growth'!F8,IF(Nonlabor!$I$19="InputM",'Monthly Growth'!D8*Assumptions!$E$22/1000000,IF(Nonlabor!$I$19="OutputM",'Monthly Growth'!D8*Assumptions!$E$23/1000000,0))))))))),0)</f>
        <v>0</v>
      </c>
      <c r="F3428" s="10" t="n">
        <f aca="false">Nonlabor!$J$19*(1+Assumptions!$E$9)^INT((C3428-1)/12)</f>
        <v>12000</v>
      </c>
      <c r="G3428" s="10" t="n">
        <f aca="false">E3428*F3428</f>
        <v>0</v>
      </c>
      <c r="H3428" s="10" t="n">
        <f aca="false">IF(OR(Nonlabor!$L$19="Quote required",Nonlabor!$L$19="Unverified"),G3428,0)</f>
        <v>0</v>
      </c>
      <c r="I3428" s="10" t="n">
        <f aca="false">IF(Nonlabor!$E$19="Core",0,G3428)</f>
        <v>0</v>
      </c>
      <c r="J3428" s="23" t="str">
        <f aca="false">Nonlabor!$B$19</f>
        <v>INSURANCE</v>
      </c>
    </row>
    <row r="3429" customFormat="false" ht="15" hidden="false" customHeight="false" outlineLevel="0" collapsed="false">
      <c r="A3429" s="6" t="s">
        <v>73</v>
      </c>
      <c r="B3429" s="6" t="s">
        <v>49</v>
      </c>
      <c r="C3429" s="6" t="n">
        <v>4</v>
      </c>
      <c r="D3429" s="25" t="n">
        <f aca="false">EDATE('Start Here'!$B$6,C3429-1)</f>
        <v>46419</v>
      </c>
      <c r="E3429" s="23" t="n">
        <f aca="false">IF(AND(OR(Nonlabor!$D$19="Both",Nonlabor!$D$19='Start Here'!$B$9),IF(Nonlabor!$E$19="Core",1,IF(Nonlabor!$E$19="AI",'Start Here'!$B$7,'Start Here'!$B$8))=1,C3429&gt;=IF(Nonlabor!$E$19="Core",Nonlabor!$F$19,MAX(Nonlabor!$F$19,IF(Nonlabor!$E$19="AI",Assumptions!$E$24,Assumptions!$E$25))),C3429&lt;=Nonlabor!$G$19,OR(Nonlabor!$H$19="Monthly",AND(Nonlabor!$H$19="Once",C3429=IF(Nonlabor!$E$19="Core",Nonlabor!$F$19,MAX(Nonlabor!$F$19,IF(Nonlabor!$E$19="AI",Assumptions!$E$24,Assumptions!$E$25)))),AND(Nonlabor!$H$19="Annual",MOD(C3429-IF(Nonlabor!$E$19="Core",Nonlabor!$F$19,MAX(Nonlabor!$F$19,IF(Nonlabor!$E$19="AI",Assumptions!$E$24,Assumptions!$E$25))),12)=0))),IF(Nonlabor!$I$19="Fixed",1,IF(Nonlabor!$I$19="Seats",ROUNDUP('Monthly Growth'!I9,0),IF(Nonlabor!$I$19="Customers",'Monthly Growth'!D9,IF(Nonlabor!$I$19="NewCustomers",'Monthly Growth'!C9,IF(Nonlabor!$I$19="StorageGB",'Monthly Growth'!G9,IF(Nonlabor!$I$19="LogGB",'Monthly Growth'!H9,IF(Nonlabor!$I$19="RequestsM",'Monthly Growth'!F9,IF(Nonlabor!$I$19="InputM",'Monthly Growth'!D9*Assumptions!$E$22/1000000,IF(Nonlabor!$I$19="OutputM",'Monthly Growth'!D9*Assumptions!$E$23/1000000,0))))))))),0)</f>
        <v>0</v>
      </c>
      <c r="F3429" s="10" t="n">
        <f aca="false">Nonlabor!$J$19*(1+Assumptions!$E$9)^INT((C3429-1)/12)</f>
        <v>12000</v>
      </c>
      <c r="G3429" s="10" t="n">
        <f aca="false">E3429*F3429</f>
        <v>0</v>
      </c>
      <c r="H3429" s="10" t="n">
        <f aca="false">IF(OR(Nonlabor!$L$19="Quote required",Nonlabor!$L$19="Unverified"),G3429,0)</f>
        <v>0</v>
      </c>
      <c r="I3429" s="10" t="n">
        <f aca="false">IF(Nonlabor!$E$19="Core",0,G3429)</f>
        <v>0</v>
      </c>
      <c r="J3429" s="23" t="str">
        <f aca="false">Nonlabor!$B$19</f>
        <v>INSURANCE</v>
      </c>
    </row>
    <row r="3430" customFormat="false" ht="15" hidden="false" customHeight="false" outlineLevel="0" collapsed="false">
      <c r="A3430" s="6" t="s">
        <v>73</v>
      </c>
      <c r="B3430" s="6" t="s">
        <v>49</v>
      </c>
      <c r="C3430" s="6" t="n">
        <v>5</v>
      </c>
      <c r="D3430" s="25" t="n">
        <f aca="false">EDATE('Start Here'!$B$6,C3430-1)</f>
        <v>46447</v>
      </c>
      <c r="E3430" s="23" t="n">
        <f aca="false">IF(AND(OR(Nonlabor!$D$19="Both",Nonlabor!$D$19='Start Here'!$B$9),IF(Nonlabor!$E$19="Core",1,IF(Nonlabor!$E$19="AI",'Start Here'!$B$7,'Start Here'!$B$8))=1,C3430&gt;=IF(Nonlabor!$E$19="Core",Nonlabor!$F$19,MAX(Nonlabor!$F$19,IF(Nonlabor!$E$19="AI",Assumptions!$E$24,Assumptions!$E$25))),C3430&lt;=Nonlabor!$G$19,OR(Nonlabor!$H$19="Monthly",AND(Nonlabor!$H$19="Once",C3430=IF(Nonlabor!$E$19="Core",Nonlabor!$F$19,MAX(Nonlabor!$F$19,IF(Nonlabor!$E$19="AI",Assumptions!$E$24,Assumptions!$E$25)))),AND(Nonlabor!$H$19="Annual",MOD(C3430-IF(Nonlabor!$E$19="Core",Nonlabor!$F$19,MAX(Nonlabor!$F$19,IF(Nonlabor!$E$19="AI",Assumptions!$E$24,Assumptions!$E$25))),12)=0))),IF(Nonlabor!$I$19="Fixed",1,IF(Nonlabor!$I$19="Seats",ROUNDUP('Monthly Growth'!I10,0),IF(Nonlabor!$I$19="Customers",'Monthly Growth'!D10,IF(Nonlabor!$I$19="NewCustomers",'Monthly Growth'!C10,IF(Nonlabor!$I$19="StorageGB",'Monthly Growth'!G10,IF(Nonlabor!$I$19="LogGB",'Monthly Growth'!H10,IF(Nonlabor!$I$19="RequestsM",'Monthly Growth'!F10,IF(Nonlabor!$I$19="InputM",'Monthly Growth'!D10*Assumptions!$E$22/1000000,IF(Nonlabor!$I$19="OutputM",'Monthly Growth'!D10*Assumptions!$E$23/1000000,0))))))))),0)</f>
        <v>0</v>
      </c>
      <c r="F3430" s="10" t="n">
        <f aca="false">Nonlabor!$J$19*(1+Assumptions!$E$9)^INT((C3430-1)/12)</f>
        <v>12000</v>
      </c>
      <c r="G3430" s="10" t="n">
        <f aca="false">E3430*F3430</f>
        <v>0</v>
      </c>
      <c r="H3430" s="10" t="n">
        <f aca="false">IF(OR(Nonlabor!$L$19="Quote required",Nonlabor!$L$19="Unverified"),G3430,0)</f>
        <v>0</v>
      </c>
      <c r="I3430" s="10" t="n">
        <f aca="false">IF(Nonlabor!$E$19="Core",0,G3430)</f>
        <v>0</v>
      </c>
      <c r="J3430" s="23" t="str">
        <f aca="false">Nonlabor!$B$19</f>
        <v>INSURANCE</v>
      </c>
    </row>
    <row r="3431" customFormat="false" ht="15" hidden="false" customHeight="false" outlineLevel="0" collapsed="false">
      <c r="A3431" s="6" t="s">
        <v>73</v>
      </c>
      <c r="B3431" s="6" t="s">
        <v>49</v>
      </c>
      <c r="C3431" s="6" t="n">
        <v>6</v>
      </c>
      <c r="D3431" s="25" t="n">
        <f aca="false">EDATE('Start Here'!$B$6,C3431-1)</f>
        <v>46478</v>
      </c>
      <c r="E3431" s="23" t="n">
        <f aca="false">IF(AND(OR(Nonlabor!$D$19="Both",Nonlabor!$D$19='Start Here'!$B$9),IF(Nonlabor!$E$19="Core",1,IF(Nonlabor!$E$19="AI",'Start Here'!$B$7,'Start Here'!$B$8))=1,C3431&gt;=IF(Nonlabor!$E$19="Core",Nonlabor!$F$19,MAX(Nonlabor!$F$19,IF(Nonlabor!$E$19="AI",Assumptions!$E$24,Assumptions!$E$25))),C3431&lt;=Nonlabor!$G$19,OR(Nonlabor!$H$19="Monthly",AND(Nonlabor!$H$19="Once",C3431=IF(Nonlabor!$E$19="Core",Nonlabor!$F$19,MAX(Nonlabor!$F$19,IF(Nonlabor!$E$19="AI",Assumptions!$E$24,Assumptions!$E$25)))),AND(Nonlabor!$H$19="Annual",MOD(C3431-IF(Nonlabor!$E$19="Core",Nonlabor!$F$19,MAX(Nonlabor!$F$19,IF(Nonlabor!$E$19="AI",Assumptions!$E$24,Assumptions!$E$25))),12)=0))),IF(Nonlabor!$I$19="Fixed",1,IF(Nonlabor!$I$19="Seats",ROUNDUP('Monthly Growth'!I11,0),IF(Nonlabor!$I$19="Customers",'Monthly Growth'!D11,IF(Nonlabor!$I$19="NewCustomers",'Monthly Growth'!C11,IF(Nonlabor!$I$19="StorageGB",'Monthly Growth'!G11,IF(Nonlabor!$I$19="LogGB",'Monthly Growth'!H11,IF(Nonlabor!$I$19="RequestsM",'Monthly Growth'!F11,IF(Nonlabor!$I$19="InputM",'Monthly Growth'!D11*Assumptions!$E$22/1000000,IF(Nonlabor!$I$19="OutputM",'Monthly Growth'!D11*Assumptions!$E$23/1000000,0))))))))),0)</f>
        <v>0</v>
      </c>
      <c r="F3431" s="10" t="n">
        <f aca="false">Nonlabor!$J$19*(1+Assumptions!$E$9)^INT((C3431-1)/12)</f>
        <v>12000</v>
      </c>
      <c r="G3431" s="10" t="n">
        <f aca="false">E3431*F3431</f>
        <v>0</v>
      </c>
      <c r="H3431" s="10" t="n">
        <f aca="false">IF(OR(Nonlabor!$L$19="Quote required",Nonlabor!$L$19="Unverified"),G3431,0)</f>
        <v>0</v>
      </c>
      <c r="I3431" s="10" t="n">
        <f aca="false">IF(Nonlabor!$E$19="Core",0,G3431)</f>
        <v>0</v>
      </c>
      <c r="J3431" s="23" t="str">
        <f aca="false">Nonlabor!$B$19</f>
        <v>INSURANCE</v>
      </c>
    </row>
    <row r="3432" customFormat="false" ht="15" hidden="false" customHeight="false" outlineLevel="0" collapsed="false">
      <c r="A3432" s="6" t="s">
        <v>73</v>
      </c>
      <c r="B3432" s="6" t="s">
        <v>49</v>
      </c>
      <c r="C3432" s="6" t="n">
        <v>7</v>
      </c>
      <c r="D3432" s="25" t="n">
        <f aca="false">EDATE('Start Here'!$B$6,C3432-1)</f>
        <v>46508</v>
      </c>
      <c r="E3432" s="23" t="n">
        <f aca="false">IF(AND(OR(Nonlabor!$D$19="Both",Nonlabor!$D$19='Start Here'!$B$9),IF(Nonlabor!$E$19="Core",1,IF(Nonlabor!$E$19="AI",'Start Here'!$B$7,'Start Here'!$B$8))=1,C3432&gt;=IF(Nonlabor!$E$19="Core",Nonlabor!$F$19,MAX(Nonlabor!$F$19,IF(Nonlabor!$E$19="AI",Assumptions!$E$24,Assumptions!$E$25))),C3432&lt;=Nonlabor!$G$19,OR(Nonlabor!$H$19="Monthly",AND(Nonlabor!$H$19="Once",C3432=IF(Nonlabor!$E$19="Core",Nonlabor!$F$19,MAX(Nonlabor!$F$19,IF(Nonlabor!$E$19="AI",Assumptions!$E$24,Assumptions!$E$25)))),AND(Nonlabor!$H$19="Annual",MOD(C3432-IF(Nonlabor!$E$19="Core",Nonlabor!$F$19,MAX(Nonlabor!$F$19,IF(Nonlabor!$E$19="AI",Assumptions!$E$24,Assumptions!$E$25))),12)=0))),IF(Nonlabor!$I$19="Fixed",1,IF(Nonlabor!$I$19="Seats",ROUNDUP('Monthly Growth'!I12,0),IF(Nonlabor!$I$19="Customers",'Monthly Growth'!D12,IF(Nonlabor!$I$19="NewCustomers",'Monthly Growth'!C12,IF(Nonlabor!$I$19="StorageGB",'Monthly Growth'!G12,IF(Nonlabor!$I$19="LogGB",'Monthly Growth'!H12,IF(Nonlabor!$I$19="RequestsM",'Monthly Growth'!F12,IF(Nonlabor!$I$19="InputM",'Monthly Growth'!D12*Assumptions!$E$22/1000000,IF(Nonlabor!$I$19="OutputM",'Monthly Growth'!D12*Assumptions!$E$23/1000000,0))))))))),0)</f>
        <v>0</v>
      </c>
      <c r="F3432" s="10" t="n">
        <f aca="false">Nonlabor!$J$19*(1+Assumptions!$E$9)^INT((C3432-1)/12)</f>
        <v>12000</v>
      </c>
      <c r="G3432" s="10" t="n">
        <f aca="false">E3432*F3432</f>
        <v>0</v>
      </c>
      <c r="H3432" s="10" t="n">
        <f aca="false">IF(OR(Nonlabor!$L$19="Quote required",Nonlabor!$L$19="Unverified"),G3432,0)</f>
        <v>0</v>
      </c>
      <c r="I3432" s="10" t="n">
        <f aca="false">IF(Nonlabor!$E$19="Core",0,G3432)</f>
        <v>0</v>
      </c>
      <c r="J3432" s="23" t="str">
        <f aca="false">Nonlabor!$B$19</f>
        <v>INSURANCE</v>
      </c>
    </row>
    <row r="3433" customFormat="false" ht="15" hidden="false" customHeight="false" outlineLevel="0" collapsed="false">
      <c r="A3433" s="6" t="s">
        <v>73</v>
      </c>
      <c r="B3433" s="6" t="s">
        <v>49</v>
      </c>
      <c r="C3433" s="6" t="n">
        <v>8</v>
      </c>
      <c r="D3433" s="25" t="n">
        <f aca="false">EDATE('Start Here'!$B$6,C3433-1)</f>
        <v>46539</v>
      </c>
      <c r="E3433" s="23" t="n">
        <f aca="false">IF(AND(OR(Nonlabor!$D$19="Both",Nonlabor!$D$19='Start Here'!$B$9),IF(Nonlabor!$E$19="Core",1,IF(Nonlabor!$E$19="AI",'Start Here'!$B$7,'Start Here'!$B$8))=1,C3433&gt;=IF(Nonlabor!$E$19="Core",Nonlabor!$F$19,MAX(Nonlabor!$F$19,IF(Nonlabor!$E$19="AI",Assumptions!$E$24,Assumptions!$E$25))),C3433&lt;=Nonlabor!$G$19,OR(Nonlabor!$H$19="Monthly",AND(Nonlabor!$H$19="Once",C3433=IF(Nonlabor!$E$19="Core",Nonlabor!$F$19,MAX(Nonlabor!$F$19,IF(Nonlabor!$E$19="AI",Assumptions!$E$24,Assumptions!$E$25)))),AND(Nonlabor!$H$19="Annual",MOD(C3433-IF(Nonlabor!$E$19="Core",Nonlabor!$F$19,MAX(Nonlabor!$F$19,IF(Nonlabor!$E$19="AI",Assumptions!$E$24,Assumptions!$E$25))),12)=0))),IF(Nonlabor!$I$19="Fixed",1,IF(Nonlabor!$I$19="Seats",ROUNDUP('Monthly Growth'!I13,0),IF(Nonlabor!$I$19="Customers",'Monthly Growth'!D13,IF(Nonlabor!$I$19="NewCustomers",'Monthly Growth'!C13,IF(Nonlabor!$I$19="StorageGB",'Monthly Growth'!G13,IF(Nonlabor!$I$19="LogGB",'Monthly Growth'!H13,IF(Nonlabor!$I$19="RequestsM",'Monthly Growth'!F13,IF(Nonlabor!$I$19="InputM",'Monthly Growth'!D13*Assumptions!$E$22/1000000,IF(Nonlabor!$I$19="OutputM",'Monthly Growth'!D13*Assumptions!$E$23/1000000,0))))))))),0)</f>
        <v>0</v>
      </c>
      <c r="F3433" s="10" t="n">
        <f aca="false">Nonlabor!$J$19*(1+Assumptions!$E$9)^INT((C3433-1)/12)</f>
        <v>12000</v>
      </c>
      <c r="G3433" s="10" t="n">
        <f aca="false">E3433*F3433</f>
        <v>0</v>
      </c>
      <c r="H3433" s="10" t="n">
        <f aca="false">IF(OR(Nonlabor!$L$19="Quote required",Nonlabor!$L$19="Unverified"),G3433,0)</f>
        <v>0</v>
      </c>
      <c r="I3433" s="10" t="n">
        <f aca="false">IF(Nonlabor!$E$19="Core",0,G3433)</f>
        <v>0</v>
      </c>
      <c r="J3433" s="23" t="str">
        <f aca="false">Nonlabor!$B$19</f>
        <v>INSURANCE</v>
      </c>
    </row>
    <row r="3434" customFormat="false" ht="15" hidden="false" customHeight="false" outlineLevel="0" collapsed="false">
      <c r="A3434" s="6" t="s">
        <v>73</v>
      </c>
      <c r="B3434" s="6" t="s">
        <v>49</v>
      </c>
      <c r="C3434" s="6" t="n">
        <v>9</v>
      </c>
      <c r="D3434" s="25" t="n">
        <f aca="false">EDATE('Start Here'!$B$6,C3434-1)</f>
        <v>46569</v>
      </c>
      <c r="E3434" s="23" t="n">
        <f aca="false">IF(AND(OR(Nonlabor!$D$19="Both",Nonlabor!$D$19='Start Here'!$B$9),IF(Nonlabor!$E$19="Core",1,IF(Nonlabor!$E$19="AI",'Start Here'!$B$7,'Start Here'!$B$8))=1,C3434&gt;=IF(Nonlabor!$E$19="Core",Nonlabor!$F$19,MAX(Nonlabor!$F$19,IF(Nonlabor!$E$19="AI",Assumptions!$E$24,Assumptions!$E$25))),C3434&lt;=Nonlabor!$G$19,OR(Nonlabor!$H$19="Monthly",AND(Nonlabor!$H$19="Once",C3434=IF(Nonlabor!$E$19="Core",Nonlabor!$F$19,MAX(Nonlabor!$F$19,IF(Nonlabor!$E$19="AI",Assumptions!$E$24,Assumptions!$E$25)))),AND(Nonlabor!$H$19="Annual",MOD(C3434-IF(Nonlabor!$E$19="Core",Nonlabor!$F$19,MAX(Nonlabor!$F$19,IF(Nonlabor!$E$19="AI",Assumptions!$E$24,Assumptions!$E$25))),12)=0))),IF(Nonlabor!$I$19="Fixed",1,IF(Nonlabor!$I$19="Seats",ROUNDUP('Monthly Growth'!I14,0),IF(Nonlabor!$I$19="Customers",'Monthly Growth'!D14,IF(Nonlabor!$I$19="NewCustomers",'Monthly Growth'!C14,IF(Nonlabor!$I$19="StorageGB",'Monthly Growth'!G14,IF(Nonlabor!$I$19="LogGB",'Monthly Growth'!H14,IF(Nonlabor!$I$19="RequestsM",'Monthly Growth'!F14,IF(Nonlabor!$I$19="InputM",'Monthly Growth'!D14*Assumptions!$E$22/1000000,IF(Nonlabor!$I$19="OutputM",'Monthly Growth'!D14*Assumptions!$E$23/1000000,0))))))))),0)</f>
        <v>1</v>
      </c>
      <c r="F3434" s="10" t="n">
        <f aca="false">Nonlabor!$J$19*(1+Assumptions!$E$9)^INT((C3434-1)/12)</f>
        <v>12000</v>
      </c>
      <c r="G3434" s="10" t="n">
        <f aca="false">E3434*F3434</f>
        <v>12000</v>
      </c>
      <c r="H3434" s="10" t="n">
        <f aca="false">IF(OR(Nonlabor!$L$19="Quote required",Nonlabor!$L$19="Unverified"),G3434,0)</f>
        <v>12000</v>
      </c>
      <c r="I3434" s="10" t="n">
        <f aca="false">IF(Nonlabor!$E$19="Core",0,G3434)</f>
        <v>0</v>
      </c>
      <c r="J3434" s="23" t="str">
        <f aca="false">Nonlabor!$B$19</f>
        <v>INSURANCE</v>
      </c>
    </row>
    <row r="3435" customFormat="false" ht="15" hidden="false" customHeight="false" outlineLevel="0" collapsed="false">
      <c r="A3435" s="6" t="s">
        <v>73</v>
      </c>
      <c r="B3435" s="6" t="s">
        <v>49</v>
      </c>
      <c r="C3435" s="6" t="n">
        <v>10</v>
      </c>
      <c r="D3435" s="25" t="n">
        <f aca="false">EDATE('Start Here'!$B$6,C3435-1)</f>
        <v>46600</v>
      </c>
      <c r="E3435" s="23" t="n">
        <f aca="false">IF(AND(OR(Nonlabor!$D$19="Both",Nonlabor!$D$19='Start Here'!$B$9),IF(Nonlabor!$E$19="Core",1,IF(Nonlabor!$E$19="AI",'Start Here'!$B$7,'Start Here'!$B$8))=1,C3435&gt;=IF(Nonlabor!$E$19="Core",Nonlabor!$F$19,MAX(Nonlabor!$F$19,IF(Nonlabor!$E$19="AI",Assumptions!$E$24,Assumptions!$E$25))),C3435&lt;=Nonlabor!$G$19,OR(Nonlabor!$H$19="Monthly",AND(Nonlabor!$H$19="Once",C3435=IF(Nonlabor!$E$19="Core",Nonlabor!$F$19,MAX(Nonlabor!$F$19,IF(Nonlabor!$E$19="AI",Assumptions!$E$24,Assumptions!$E$25)))),AND(Nonlabor!$H$19="Annual",MOD(C3435-IF(Nonlabor!$E$19="Core",Nonlabor!$F$19,MAX(Nonlabor!$F$19,IF(Nonlabor!$E$19="AI",Assumptions!$E$24,Assumptions!$E$25))),12)=0))),IF(Nonlabor!$I$19="Fixed",1,IF(Nonlabor!$I$19="Seats",ROUNDUP('Monthly Growth'!I15,0),IF(Nonlabor!$I$19="Customers",'Monthly Growth'!D15,IF(Nonlabor!$I$19="NewCustomers",'Monthly Growth'!C15,IF(Nonlabor!$I$19="StorageGB",'Monthly Growth'!G15,IF(Nonlabor!$I$19="LogGB",'Monthly Growth'!H15,IF(Nonlabor!$I$19="RequestsM",'Monthly Growth'!F15,IF(Nonlabor!$I$19="InputM",'Monthly Growth'!D15*Assumptions!$E$22/1000000,IF(Nonlabor!$I$19="OutputM",'Monthly Growth'!D15*Assumptions!$E$23/1000000,0))))))))),0)</f>
        <v>0</v>
      </c>
      <c r="F3435" s="10" t="n">
        <f aca="false">Nonlabor!$J$19*(1+Assumptions!$E$9)^INT((C3435-1)/12)</f>
        <v>12000</v>
      </c>
      <c r="G3435" s="10" t="n">
        <f aca="false">E3435*F3435</f>
        <v>0</v>
      </c>
      <c r="H3435" s="10" t="n">
        <f aca="false">IF(OR(Nonlabor!$L$19="Quote required",Nonlabor!$L$19="Unverified"),G3435,0)</f>
        <v>0</v>
      </c>
      <c r="I3435" s="10" t="n">
        <f aca="false">IF(Nonlabor!$E$19="Core",0,G3435)</f>
        <v>0</v>
      </c>
      <c r="J3435" s="23" t="str">
        <f aca="false">Nonlabor!$B$19</f>
        <v>INSURANCE</v>
      </c>
    </row>
    <row r="3436" customFormat="false" ht="15" hidden="false" customHeight="false" outlineLevel="0" collapsed="false">
      <c r="A3436" s="6" t="s">
        <v>73</v>
      </c>
      <c r="B3436" s="6" t="s">
        <v>49</v>
      </c>
      <c r="C3436" s="6" t="n">
        <v>11</v>
      </c>
      <c r="D3436" s="25" t="n">
        <f aca="false">EDATE('Start Here'!$B$6,C3436-1)</f>
        <v>46631</v>
      </c>
      <c r="E3436" s="23" t="n">
        <f aca="false">IF(AND(OR(Nonlabor!$D$19="Both",Nonlabor!$D$19='Start Here'!$B$9),IF(Nonlabor!$E$19="Core",1,IF(Nonlabor!$E$19="AI",'Start Here'!$B$7,'Start Here'!$B$8))=1,C3436&gt;=IF(Nonlabor!$E$19="Core",Nonlabor!$F$19,MAX(Nonlabor!$F$19,IF(Nonlabor!$E$19="AI",Assumptions!$E$24,Assumptions!$E$25))),C3436&lt;=Nonlabor!$G$19,OR(Nonlabor!$H$19="Monthly",AND(Nonlabor!$H$19="Once",C3436=IF(Nonlabor!$E$19="Core",Nonlabor!$F$19,MAX(Nonlabor!$F$19,IF(Nonlabor!$E$19="AI",Assumptions!$E$24,Assumptions!$E$25)))),AND(Nonlabor!$H$19="Annual",MOD(C3436-IF(Nonlabor!$E$19="Core",Nonlabor!$F$19,MAX(Nonlabor!$F$19,IF(Nonlabor!$E$19="AI",Assumptions!$E$24,Assumptions!$E$25))),12)=0))),IF(Nonlabor!$I$19="Fixed",1,IF(Nonlabor!$I$19="Seats",ROUNDUP('Monthly Growth'!I16,0),IF(Nonlabor!$I$19="Customers",'Monthly Growth'!D16,IF(Nonlabor!$I$19="NewCustomers",'Monthly Growth'!C16,IF(Nonlabor!$I$19="StorageGB",'Monthly Growth'!G16,IF(Nonlabor!$I$19="LogGB",'Monthly Growth'!H16,IF(Nonlabor!$I$19="RequestsM",'Monthly Growth'!F16,IF(Nonlabor!$I$19="InputM",'Monthly Growth'!D16*Assumptions!$E$22/1000000,IF(Nonlabor!$I$19="OutputM",'Monthly Growth'!D16*Assumptions!$E$23/1000000,0))))))))),0)</f>
        <v>0</v>
      </c>
      <c r="F3436" s="10" t="n">
        <f aca="false">Nonlabor!$J$19*(1+Assumptions!$E$9)^INT((C3436-1)/12)</f>
        <v>12000</v>
      </c>
      <c r="G3436" s="10" t="n">
        <f aca="false">E3436*F3436</f>
        <v>0</v>
      </c>
      <c r="H3436" s="10" t="n">
        <f aca="false">IF(OR(Nonlabor!$L$19="Quote required",Nonlabor!$L$19="Unverified"),G3436,0)</f>
        <v>0</v>
      </c>
      <c r="I3436" s="10" t="n">
        <f aca="false">IF(Nonlabor!$E$19="Core",0,G3436)</f>
        <v>0</v>
      </c>
      <c r="J3436" s="23" t="str">
        <f aca="false">Nonlabor!$B$19</f>
        <v>INSURANCE</v>
      </c>
    </row>
    <row r="3437" customFormat="false" ht="15" hidden="false" customHeight="false" outlineLevel="0" collapsed="false">
      <c r="A3437" s="6" t="s">
        <v>73</v>
      </c>
      <c r="B3437" s="6" t="s">
        <v>49</v>
      </c>
      <c r="C3437" s="6" t="n">
        <v>12</v>
      </c>
      <c r="D3437" s="25" t="n">
        <f aca="false">EDATE('Start Here'!$B$6,C3437-1)</f>
        <v>46661</v>
      </c>
      <c r="E3437" s="23" t="n">
        <f aca="false">IF(AND(OR(Nonlabor!$D$19="Both",Nonlabor!$D$19='Start Here'!$B$9),IF(Nonlabor!$E$19="Core",1,IF(Nonlabor!$E$19="AI",'Start Here'!$B$7,'Start Here'!$B$8))=1,C3437&gt;=IF(Nonlabor!$E$19="Core",Nonlabor!$F$19,MAX(Nonlabor!$F$19,IF(Nonlabor!$E$19="AI",Assumptions!$E$24,Assumptions!$E$25))),C3437&lt;=Nonlabor!$G$19,OR(Nonlabor!$H$19="Monthly",AND(Nonlabor!$H$19="Once",C3437=IF(Nonlabor!$E$19="Core",Nonlabor!$F$19,MAX(Nonlabor!$F$19,IF(Nonlabor!$E$19="AI",Assumptions!$E$24,Assumptions!$E$25)))),AND(Nonlabor!$H$19="Annual",MOD(C3437-IF(Nonlabor!$E$19="Core",Nonlabor!$F$19,MAX(Nonlabor!$F$19,IF(Nonlabor!$E$19="AI",Assumptions!$E$24,Assumptions!$E$25))),12)=0))),IF(Nonlabor!$I$19="Fixed",1,IF(Nonlabor!$I$19="Seats",ROUNDUP('Monthly Growth'!I17,0),IF(Nonlabor!$I$19="Customers",'Monthly Growth'!D17,IF(Nonlabor!$I$19="NewCustomers",'Monthly Growth'!C17,IF(Nonlabor!$I$19="StorageGB",'Monthly Growth'!G17,IF(Nonlabor!$I$19="LogGB",'Monthly Growth'!H17,IF(Nonlabor!$I$19="RequestsM",'Monthly Growth'!F17,IF(Nonlabor!$I$19="InputM",'Monthly Growth'!D17*Assumptions!$E$22/1000000,IF(Nonlabor!$I$19="OutputM",'Monthly Growth'!D17*Assumptions!$E$23/1000000,0))))))))),0)</f>
        <v>0</v>
      </c>
      <c r="F3437" s="10" t="n">
        <f aca="false">Nonlabor!$J$19*(1+Assumptions!$E$9)^INT((C3437-1)/12)</f>
        <v>12000</v>
      </c>
      <c r="G3437" s="10" t="n">
        <f aca="false">E3437*F3437</f>
        <v>0</v>
      </c>
      <c r="H3437" s="10" t="n">
        <f aca="false">IF(OR(Nonlabor!$L$19="Quote required",Nonlabor!$L$19="Unverified"),G3437,0)</f>
        <v>0</v>
      </c>
      <c r="I3437" s="10" t="n">
        <f aca="false">IF(Nonlabor!$E$19="Core",0,G3437)</f>
        <v>0</v>
      </c>
      <c r="J3437" s="23" t="str">
        <f aca="false">Nonlabor!$B$19</f>
        <v>INSURANCE</v>
      </c>
    </row>
    <row r="3438" customFormat="false" ht="15" hidden="false" customHeight="false" outlineLevel="0" collapsed="false">
      <c r="A3438" s="6" t="s">
        <v>73</v>
      </c>
      <c r="B3438" s="6" t="s">
        <v>49</v>
      </c>
      <c r="C3438" s="6" t="n">
        <v>13</v>
      </c>
      <c r="D3438" s="25" t="n">
        <f aca="false">EDATE('Start Here'!$B$6,C3438-1)</f>
        <v>46692</v>
      </c>
      <c r="E3438" s="23" t="n">
        <f aca="false">IF(AND(OR(Nonlabor!$D$19="Both",Nonlabor!$D$19='Start Here'!$B$9),IF(Nonlabor!$E$19="Core",1,IF(Nonlabor!$E$19="AI",'Start Here'!$B$7,'Start Here'!$B$8))=1,C3438&gt;=IF(Nonlabor!$E$19="Core",Nonlabor!$F$19,MAX(Nonlabor!$F$19,IF(Nonlabor!$E$19="AI",Assumptions!$E$24,Assumptions!$E$25))),C3438&lt;=Nonlabor!$G$19,OR(Nonlabor!$H$19="Monthly",AND(Nonlabor!$H$19="Once",C3438=IF(Nonlabor!$E$19="Core",Nonlabor!$F$19,MAX(Nonlabor!$F$19,IF(Nonlabor!$E$19="AI",Assumptions!$E$24,Assumptions!$E$25)))),AND(Nonlabor!$H$19="Annual",MOD(C3438-IF(Nonlabor!$E$19="Core",Nonlabor!$F$19,MAX(Nonlabor!$F$19,IF(Nonlabor!$E$19="AI",Assumptions!$E$24,Assumptions!$E$25))),12)=0))),IF(Nonlabor!$I$19="Fixed",1,IF(Nonlabor!$I$19="Seats",ROUNDUP('Monthly Growth'!I18,0),IF(Nonlabor!$I$19="Customers",'Monthly Growth'!D18,IF(Nonlabor!$I$19="NewCustomers",'Monthly Growth'!C18,IF(Nonlabor!$I$19="StorageGB",'Monthly Growth'!G18,IF(Nonlabor!$I$19="LogGB",'Monthly Growth'!H18,IF(Nonlabor!$I$19="RequestsM",'Monthly Growth'!F18,IF(Nonlabor!$I$19="InputM",'Monthly Growth'!D18*Assumptions!$E$22/1000000,IF(Nonlabor!$I$19="OutputM",'Monthly Growth'!D18*Assumptions!$E$23/1000000,0))))))))),0)</f>
        <v>0</v>
      </c>
      <c r="F3438" s="10" t="n">
        <f aca="false">Nonlabor!$J$19*(1+Assumptions!$E$9)^INT((C3438-1)/12)</f>
        <v>12480</v>
      </c>
      <c r="G3438" s="10" t="n">
        <f aca="false">E3438*F3438</f>
        <v>0</v>
      </c>
      <c r="H3438" s="10" t="n">
        <f aca="false">IF(OR(Nonlabor!$L$19="Quote required",Nonlabor!$L$19="Unverified"),G3438,0)</f>
        <v>0</v>
      </c>
      <c r="I3438" s="10" t="n">
        <f aca="false">IF(Nonlabor!$E$19="Core",0,G3438)</f>
        <v>0</v>
      </c>
      <c r="J3438" s="23" t="str">
        <f aca="false">Nonlabor!$B$19</f>
        <v>INSURANCE</v>
      </c>
    </row>
    <row r="3439" customFormat="false" ht="15" hidden="false" customHeight="false" outlineLevel="0" collapsed="false">
      <c r="A3439" s="6" t="s">
        <v>73</v>
      </c>
      <c r="B3439" s="6" t="s">
        <v>49</v>
      </c>
      <c r="C3439" s="6" t="n">
        <v>14</v>
      </c>
      <c r="D3439" s="25" t="n">
        <f aca="false">EDATE('Start Here'!$B$6,C3439-1)</f>
        <v>46722</v>
      </c>
      <c r="E3439" s="23" t="n">
        <f aca="false">IF(AND(OR(Nonlabor!$D$19="Both",Nonlabor!$D$19='Start Here'!$B$9),IF(Nonlabor!$E$19="Core",1,IF(Nonlabor!$E$19="AI",'Start Here'!$B$7,'Start Here'!$B$8))=1,C3439&gt;=IF(Nonlabor!$E$19="Core",Nonlabor!$F$19,MAX(Nonlabor!$F$19,IF(Nonlabor!$E$19="AI",Assumptions!$E$24,Assumptions!$E$25))),C3439&lt;=Nonlabor!$G$19,OR(Nonlabor!$H$19="Monthly",AND(Nonlabor!$H$19="Once",C3439=IF(Nonlabor!$E$19="Core",Nonlabor!$F$19,MAX(Nonlabor!$F$19,IF(Nonlabor!$E$19="AI",Assumptions!$E$24,Assumptions!$E$25)))),AND(Nonlabor!$H$19="Annual",MOD(C3439-IF(Nonlabor!$E$19="Core",Nonlabor!$F$19,MAX(Nonlabor!$F$19,IF(Nonlabor!$E$19="AI",Assumptions!$E$24,Assumptions!$E$25))),12)=0))),IF(Nonlabor!$I$19="Fixed",1,IF(Nonlabor!$I$19="Seats",ROUNDUP('Monthly Growth'!I19,0),IF(Nonlabor!$I$19="Customers",'Monthly Growth'!D19,IF(Nonlabor!$I$19="NewCustomers",'Monthly Growth'!C19,IF(Nonlabor!$I$19="StorageGB",'Monthly Growth'!G19,IF(Nonlabor!$I$19="LogGB",'Monthly Growth'!H19,IF(Nonlabor!$I$19="RequestsM",'Monthly Growth'!F19,IF(Nonlabor!$I$19="InputM",'Monthly Growth'!D19*Assumptions!$E$22/1000000,IF(Nonlabor!$I$19="OutputM",'Monthly Growth'!D19*Assumptions!$E$23/1000000,0))))))))),0)</f>
        <v>0</v>
      </c>
      <c r="F3439" s="10" t="n">
        <f aca="false">Nonlabor!$J$19*(1+Assumptions!$E$9)^INT((C3439-1)/12)</f>
        <v>12480</v>
      </c>
      <c r="G3439" s="10" t="n">
        <f aca="false">E3439*F3439</f>
        <v>0</v>
      </c>
      <c r="H3439" s="10" t="n">
        <f aca="false">IF(OR(Nonlabor!$L$19="Quote required",Nonlabor!$L$19="Unverified"),G3439,0)</f>
        <v>0</v>
      </c>
      <c r="I3439" s="10" t="n">
        <f aca="false">IF(Nonlabor!$E$19="Core",0,G3439)</f>
        <v>0</v>
      </c>
      <c r="J3439" s="23" t="str">
        <f aca="false">Nonlabor!$B$19</f>
        <v>INSURANCE</v>
      </c>
    </row>
    <row r="3440" customFormat="false" ht="15" hidden="false" customHeight="false" outlineLevel="0" collapsed="false">
      <c r="A3440" s="6" t="s">
        <v>73</v>
      </c>
      <c r="B3440" s="6" t="s">
        <v>49</v>
      </c>
      <c r="C3440" s="6" t="n">
        <v>15</v>
      </c>
      <c r="D3440" s="25" t="n">
        <f aca="false">EDATE('Start Here'!$B$6,C3440-1)</f>
        <v>46753</v>
      </c>
      <c r="E3440" s="23" t="n">
        <f aca="false">IF(AND(OR(Nonlabor!$D$19="Both",Nonlabor!$D$19='Start Here'!$B$9),IF(Nonlabor!$E$19="Core",1,IF(Nonlabor!$E$19="AI",'Start Here'!$B$7,'Start Here'!$B$8))=1,C3440&gt;=IF(Nonlabor!$E$19="Core",Nonlabor!$F$19,MAX(Nonlabor!$F$19,IF(Nonlabor!$E$19="AI",Assumptions!$E$24,Assumptions!$E$25))),C3440&lt;=Nonlabor!$G$19,OR(Nonlabor!$H$19="Monthly",AND(Nonlabor!$H$19="Once",C3440=IF(Nonlabor!$E$19="Core",Nonlabor!$F$19,MAX(Nonlabor!$F$19,IF(Nonlabor!$E$19="AI",Assumptions!$E$24,Assumptions!$E$25)))),AND(Nonlabor!$H$19="Annual",MOD(C3440-IF(Nonlabor!$E$19="Core",Nonlabor!$F$19,MAX(Nonlabor!$F$19,IF(Nonlabor!$E$19="AI",Assumptions!$E$24,Assumptions!$E$25))),12)=0))),IF(Nonlabor!$I$19="Fixed",1,IF(Nonlabor!$I$19="Seats",ROUNDUP('Monthly Growth'!I20,0),IF(Nonlabor!$I$19="Customers",'Monthly Growth'!D20,IF(Nonlabor!$I$19="NewCustomers",'Monthly Growth'!C20,IF(Nonlabor!$I$19="StorageGB",'Monthly Growth'!G20,IF(Nonlabor!$I$19="LogGB",'Monthly Growth'!H20,IF(Nonlabor!$I$19="RequestsM",'Monthly Growth'!F20,IF(Nonlabor!$I$19="InputM",'Monthly Growth'!D20*Assumptions!$E$22/1000000,IF(Nonlabor!$I$19="OutputM",'Monthly Growth'!D20*Assumptions!$E$23/1000000,0))))))))),0)</f>
        <v>0</v>
      </c>
      <c r="F3440" s="10" t="n">
        <f aca="false">Nonlabor!$J$19*(1+Assumptions!$E$9)^INT((C3440-1)/12)</f>
        <v>12480</v>
      </c>
      <c r="G3440" s="10" t="n">
        <f aca="false">E3440*F3440</f>
        <v>0</v>
      </c>
      <c r="H3440" s="10" t="n">
        <f aca="false">IF(OR(Nonlabor!$L$19="Quote required",Nonlabor!$L$19="Unverified"),G3440,0)</f>
        <v>0</v>
      </c>
      <c r="I3440" s="10" t="n">
        <f aca="false">IF(Nonlabor!$E$19="Core",0,G3440)</f>
        <v>0</v>
      </c>
      <c r="J3440" s="23" t="str">
        <f aca="false">Nonlabor!$B$19</f>
        <v>INSURANCE</v>
      </c>
    </row>
    <row r="3441" customFormat="false" ht="15" hidden="false" customHeight="false" outlineLevel="0" collapsed="false">
      <c r="A3441" s="6" t="s">
        <v>73</v>
      </c>
      <c r="B3441" s="6" t="s">
        <v>49</v>
      </c>
      <c r="C3441" s="6" t="n">
        <v>16</v>
      </c>
      <c r="D3441" s="25" t="n">
        <f aca="false">EDATE('Start Here'!$B$6,C3441-1)</f>
        <v>46784</v>
      </c>
      <c r="E3441" s="23" t="n">
        <f aca="false">IF(AND(OR(Nonlabor!$D$19="Both",Nonlabor!$D$19='Start Here'!$B$9),IF(Nonlabor!$E$19="Core",1,IF(Nonlabor!$E$19="AI",'Start Here'!$B$7,'Start Here'!$B$8))=1,C3441&gt;=IF(Nonlabor!$E$19="Core",Nonlabor!$F$19,MAX(Nonlabor!$F$19,IF(Nonlabor!$E$19="AI",Assumptions!$E$24,Assumptions!$E$25))),C3441&lt;=Nonlabor!$G$19,OR(Nonlabor!$H$19="Monthly",AND(Nonlabor!$H$19="Once",C3441=IF(Nonlabor!$E$19="Core",Nonlabor!$F$19,MAX(Nonlabor!$F$19,IF(Nonlabor!$E$19="AI",Assumptions!$E$24,Assumptions!$E$25)))),AND(Nonlabor!$H$19="Annual",MOD(C3441-IF(Nonlabor!$E$19="Core",Nonlabor!$F$19,MAX(Nonlabor!$F$19,IF(Nonlabor!$E$19="AI",Assumptions!$E$24,Assumptions!$E$25))),12)=0))),IF(Nonlabor!$I$19="Fixed",1,IF(Nonlabor!$I$19="Seats",ROUNDUP('Monthly Growth'!I21,0),IF(Nonlabor!$I$19="Customers",'Monthly Growth'!D21,IF(Nonlabor!$I$19="NewCustomers",'Monthly Growth'!C21,IF(Nonlabor!$I$19="StorageGB",'Monthly Growth'!G21,IF(Nonlabor!$I$19="LogGB",'Monthly Growth'!H21,IF(Nonlabor!$I$19="RequestsM",'Monthly Growth'!F21,IF(Nonlabor!$I$19="InputM",'Monthly Growth'!D21*Assumptions!$E$22/1000000,IF(Nonlabor!$I$19="OutputM",'Monthly Growth'!D21*Assumptions!$E$23/1000000,0))))))))),0)</f>
        <v>0</v>
      </c>
      <c r="F3441" s="10" t="n">
        <f aca="false">Nonlabor!$J$19*(1+Assumptions!$E$9)^INT((C3441-1)/12)</f>
        <v>12480</v>
      </c>
      <c r="G3441" s="10" t="n">
        <f aca="false">E3441*F3441</f>
        <v>0</v>
      </c>
      <c r="H3441" s="10" t="n">
        <f aca="false">IF(OR(Nonlabor!$L$19="Quote required",Nonlabor!$L$19="Unverified"),G3441,0)</f>
        <v>0</v>
      </c>
      <c r="I3441" s="10" t="n">
        <f aca="false">IF(Nonlabor!$E$19="Core",0,G3441)</f>
        <v>0</v>
      </c>
      <c r="J3441" s="23" t="str">
        <f aca="false">Nonlabor!$B$19</f>
        <v>INSURANCE</v>
      </c>
    </row>
    <row r="3442" customFormat="false" ht="15" hidden="false" customHeight="false" outlineLevel="0" collapsed="false">
      <c r="A3442" s="6" t="s">
        <v>73</v>
      </c>
      <c r="B3442" s="6" t="s">
        <v>49</v>
      </c>
      <c r="C3442" s="6" t="n">
        <v>17</v>
      </c>
      <c r="D3442" s="25" t="n">
        <f aca="false">EDATE('Start Here'!$B$6,C3442-1)</f>
        <v>46813</v>
      </c>
      <c r="E3442" s="23" t="n">
        <f aca="false">IF(AND(OR(Nonlabor!$D$19="Both",Nonlabor!$D$19='Start Here'!$B$9),IF(Nonlabor!$E$19="Core",1,IF(Nonlabor!$E$19="AI",'Start Here'!$B$7,'Start Here'!$B$8))=1,C3442&gt;=IF(Nonlabor!$E$19="Core",Nonlabor!$F$19,MAX(Nonlabor!$F$19,IF(Nonlabor!$E$19="AI",Assumptions!$E$24,Assumptions!$E$25))),C3442&lt;=Nonlabor!$G$19,OR(Nonlabor!$H$19="Monthly",AND(Nonlabor!$H$19="Once",C3442=IF(Nonlabor!$E$19="Core",Nonlabor!$F$19,MAX(Nonlabor!$F$19,IF(Nonlabor!$E$19="AI",Assumptions!$E$24,Assumptions!$E$25)))),AND(Nonlabor!$H$19="Annual",MOD(C3442-IF(Nonlabor!$E$19="Core",Nonlabor!$F$19,MAX(Nonlabor!$F$19,IF(Nonlabor!$E$19="AI",Assumptions!$E$24,Assumptions!$E$25))),12)=0))),IF(Nonlabor!$I$19="Fixed",1,IF(Nonlabor!$I$19="Seats",ROUNDUP('Monthly Growth'!I22,0),IF(Nonlabor!$I$19="Customers",'Monthly Growth'!D22,IF(Nonlabor!$I$19="NewCustomers",'Monthly Growth'!C22,IF(Nonlabor!$I$19="StorageGB",'Monthly Growth'!G22,IF(Nonlabor!$I$19="LogGB",'Monthly Growth'!H22,IF(Nonlabor!$I$19="RequestsM",'Monthly Growth'!F22,IF(Nonlabor!$I$19="InputM",'Monthly Growth'!D22*Assumptions!$E$22/1000000,IF(Nonlabor!$I$19="OutputM",'Monthly Growth'!D22*Assumptions!$E$23/1000000,0))))))))),0)</f>
        <v>0</v>
      </c>
      <c r="F3442" s="10" t="n">
        <f aca="false">Nonlabor!$J$19*(1+Assumptions!$E$9)^INT((C3442-1)/12)</f>
        <v>12480</v>
      </c>
      <c r="G3442" s="10" t="n">
        <f aca="false">E3442*F3442</f>
        <v>0</v>
      </c>
      <c r="H3442" s="10" t="n">
        <f aca="false">IF(OR(Nonlabor!$L$19="Quote required",Nonlabor!$L$19="Unverified"),G3442,0)</f>
        <v>0</v>
      </c>
      <c r="I3442" s="10" t="n">
        <f aca="false">IF(Nonlabor!$E$19="Core",0,G3442)</f>
        <v>0</v>
      </c>
      <c r="J3442" s="23" t="str">
        <f aca="false">Nonlabor!$B$19</f>
        <v>INSURANCE</v>
      </c>
    </row>
    <row r="3443" customFormat="false" ht="15" hidden="false" customHeight="false" outlineLevel="0" collapsed="false">
      <c r="A3443" s="6" t="s">
        <v>73</v>
      </c>
      <c r="B3443" s="6" t="s">
        <v>49</v>
      </c>
      <c r="C3443" s="6" t="n">
        <v>18</v>
      </c>
      <c r="D3443" s="25" t="n">
        <f aca="false">EDATE('Start Here'!$B$6,C3443-1)</f>
        <v>46844</v>
      </c>
      <c r="E3443" s="23" t="n">
        <f aca="false">IF(AND(OR(Nonlabor!$D$19="Both",Nonlabor!$D$19='Start Here'!$B$9),IF(Nonlabor!$E$19="Core",1,IF(Nonlabor!$E$19="AI",'Start Here'!$B$7,'Start Here'!$B$8))=1,C3443&gt;=IF(Nonlabor!$E$19="Core",Nonlabor!$F$19,MAX(Nonlabor!$F$19,IF(Nonlabor!$E$19="AI",Assumptions!$E$24,Assumptions!$E$25))),C3443&lt;=Nonlabor!$G$19,OR(Nonlabor!$H$19="Monthly",AND(Nonlabor!$H$19="Once",C3443=IF(Nonlabor!$E$19="Core",Nonlabor!$F$19,MAX(Nonlabor!$F$19,IF(Nonlabor!$E$19="AI",Assumptions!$E$24,Assumptions!$E$25)))),AND(Nonlabor!$H$19="Annual",MOD(C3443-IF(Nonlabor!$E$19="Core",Nonlabor!$F$19,MAX(Nonlabor!$F$19,IF(Nonlabor!$E$19="AI",Assumptions!$E$24,Assumptions!$E$25))),12)=0))),IF(Nonlabor!$I$19="Fixed",1,IF(Nonlabor!$I$19="Seats",ROUNDUP('Monthly Growth'!I23,0),IF(Nonlabor!$I$19="Customers",'Monthly Growth'!D23,IF(Nonlabor!$I$19="NewCustomers",'Monthly Growth'!C23,IF(Nonlabor!$I$19="StorageGB",'Monthly Growth'!G23,IF(Nonlabor!$I$19="LogGB",'Monthly Growth'!H23,IF(Nonlabor!$I$19="RequestsM",'Monthly Growth'!F23,IF(Nonlabor!$I$19="InputM",'Monthly Growth'!D23*Assumptions!$E$22/1000000,IF(Nonlabor!$I$19="OutputM",'Monthly Growth'!D23*Assumptions!$E$23/1000000,0))))))))),0)</f>
        <v>0</v>
      </c>
      <c r="F3443" s="10" t="n">
        <f aca="false">Nonlabor!$J$19*(1+Assumptions!$E$9)^INT((C3443-1)/12)</f>
        <v>12480</v>
      </c>
      <c r="G3443" s="10" t="n">
        <f aca="false">E3443*F3443</f>
        <v>0</v>
      </c>
      <c r="H3443" s="10" t="n">
        <f aca="false">IF(OR(Nonlabor!$L$19="Quote required",Nonlabor!$L$19="Unverified"),G3443,0)</f>
        <v>0</v>
      </c>
      <c r="I3443" s="10" t="n">
        <f aca="false">IF(Nonlabor!$E$19="Core",0,G3443)</f>
        <v>0</v>
      </c>
      <c r="J3443" s="23" t="str">
        <f aca="false">Nonlabor!$B$19</f>
        <v>INSURANCE</v>
      </c>
    </row>
    <row r="3444" customFormat="false" ht="15" hidden="false" customHeight="false" outlineLevel="0" collapsed="false">
      <c r="A3444" s="6" t="s">
        <v>73</v>
      </c>
      <c r="B3444" s="6" t="s">
        <v>49</v>
      </c>
      <c r="C3444" s="6" t="n">
        <v>19</v>
      </c>
      <c r="D3444" s="25" t="n">
        <f aca="false">EDATE('Start Here'!$B$6,C3444-1)</f>
        <v>46874</v>
      </c>
      <c r="E3444" s="23" t="n">
        <f aca="false">IF(AND(OR(Nonlabor!$D$19="Both",Nonlabor!$D$19='Start Here'!$B$9),IF(Nonlabor!$E$19="Core",1,IF(Nonlabor!$E$19="AI",'Start Here'!$B$7,'Start Here'!$B$8))=1,C3444&gt;=IF(Nonlabor!$E$19="Core",Nonlabor!$F$19,MAX(Nonlabor!$F$19,IF(Nonlabor!$E$19="AI",Assumptions!$E$24,Assumptions!$E$25))),C3444&lt;=Nonlabor!$G$19,OR(Nonlabor!$H$19="Monthly",AND(Nonlabor!$H$19="Once",C3444=IF(Nonlabor!$E$19="Core",Nonlabor!$F$19,MAX(Nonlabor!$F$19,IF(Nonlabor!$E$19="AI",Assumptions!$E$24,Assumptions!$E$25)))),AND(Nonlabor!$H$19="Annual",MOD(C3444-IF(Nonlabor!$E$19="Core",Nonlabor!$F$19,MAX(Nonlabor!$F$19,IF(Nonlabor!$E$19="AI",Assumptions!$E$24,Assumptions!$E$25))),12)=0))),IF(Nonlabor!$I$19="Fixed",1,IF(Nonlabor!$I$19="Seats",ROUNDUP('Monthly Growth'!I24,0),IF(Nonlabor!$I$19="Customers",'Monthly Growth'!D24,IF(Nonlabor!$I$19="NewCustomers",'Monthly Growth'!C24,IF(Nonlabor!$I$19="StorageGB",'Monthly Growth'!G24,IF(Nonlabor!$I$19="LogGB",'Monthly Growth'!H24,IF(Nonlabor!$I$19="RequestsM",'Monthly Growth'!F24,IF(Nonlabor!$I$19="InputM",'Monthly Growth'!D24*Assumptions!$E$22/1000000,IF(Nonlabor!$I$19="OutputM",'Monthly Growth'!D24*Assumptions!$E$23/1000000,0))))))))),0)</f>
        <v>0</v>
      </c>
      <c r="F3444" s="10" t="n">
        <f aca="false">Nonlabor!$J$19*(1+Assumptions!$E$9)^INT((C3444-1)/12)</f>
        <v>12480</v>
      </c>
      <c r="G3444" s="10" t="n">
        <f aca="false">E3444*F3444</f>
        <v>0</v>
      </c>
      <c r="H3444" s="10" t="n">
        <f aca="false">IF(OR(Nonlabor!$L$19="Quote required",Nonlabor!$L$19="Unverified"),G3444,0)</f>
        <v>0</v>
      </c>
      <c r="I3444" s="10" t="n">
        <f aca="false">IF(Nonlabor!$E$19="Core",0,G3444)</f>
        <v>0</v>
      </c>
      <c r="J3444" s="23" t="str">
        <f aca="false">Nonlabor!$B$19</f>
        <v>INSURANCE</v>
      </c>
    </row>
    <row r="3445" customFormat="false" ht="15" hidden="false" customHeight="false" outlineLevel="0" collapsed="false">
      <c r="A3445" s="6" t="s">
        <v>73</v>
      </c>
      <c r="B3445" s="6" t="s">
        <v>49</v>
      </c>
      <c r="C3445" s="6" t="n">
        <v>20</v>
      </c>
      <c r="D3445" s="25" t="n">
        <f aca="false">EDATE('Start Here'!$B$6,C3445-1)</f>
        <v>46905</v>
      </c>
      <c r="E3445" s="23" t="n">
        <f aca="false">IF(AND(OR(Nonlabor!$D$19="Both",Nonlabor!$D$19='Start Here'!$B$9),IF(Nonlabor!$E$19="Core",1,IF(Nonlabor!$E$19="AI",'Start Here'!$B$7,'Start Here'!$B$8))=1,C3445&gt;=IF(Nonlabor!$E$19="Core",Nonlabor!$F$19,MAX(Nonlabor!$F$19,IF(Nonlabor!$E$19="AI",Assumptions!$E$24,Assumptions!$E$25))),C3445&lt;=Nonlabor!$G$19,OR(Nonlabor!$H$19="Monthly",AND(Nonlabor!$H$19="Once",C3445=IF(Nonlabor!$E$19="Core",Nonlabor!$F$19,MAX(Nonlabor!$F$19,IF(Nonlabor!$E$19="AI",Assumptions!$E$24,Assumptions!$E$25)))),AND(Nonlabor!$H$19="Annual",MOD(C3445-IF(Nonlabor!$E$19="Core",Nonlabor!$F$19,MAX(Nonlabor!$F$19,IF(Nonlabor!$E$19="AI",Assumptions!$E$24,Assumptions!$E$25))),12)=0))),IF(Nonlabor!$I$19="Fixed",1,IF(Nonlabor!$I$19="Seats",ROUNDUP('Monthly Growth'!I25,0),IF(Nonlabor!$I$19="Customers",'Monthly Growth'!D25,IF(Nonlabor!$I$19="NewCustomers",'Monthly Growth'!C25,IF(Nonlabor!$I$19="StorageGB",'Monthly Growth'!G25,IF(Nonlabor!$I$19="LogGB",'Monthly Growth'!H25,IF(Nonlabor!$I$19="RequestsM",'Monthly Growth'!F25,IF(Nonlabor!$I$19="InputM",'Monthly Growth'!D25*Assumptions!$E$22/1000000,IF(Nonlabor!$I$19="OutputM",'Monthly Growth'!D25*Assumptions!$E$23/1000000,0))))))))),0)</f>
        <v>0</v>
      </c>
      <c r="F3445" s="10" t="n">
        <f aca="false">Nonlabor!$J$19*(1+Assumptions!$E$9)^INT((C3445-1)/12)</f>
        <v>12480</v>
      </c>
      <c r="G3445" s="10" t="n">
        <f aca="false">E3445*F3445</f>
        <v>0</v>
      </c>
      <c r="H3445" s="10" t="n">
        <f aca="false">IF(OR(Nonlabor!$L$19="Quote required",Nonlabor!$L$19="Unverified"),G3445,0)</f>
        <v>0</v>
      </c>
      <c r="I3445" s="10" t="n">
        <f aca="false">IF(Nonlabor!$E$19="Core",0,G3445)</f>
        <v>0</v>
      </c>
      <c r="J3445" s="23" t="str">
        <f aca="false">Nonlabor!$B$19</f>
        <v>INSURANCE</v>
      </c>
    </row>
    <row r="3446" customFormat="false" ht="15" hidden="false" customHeight="false" outlineLevel="0" collapsed="false">
      <c r="A3446" s="6" t="s">
        <v>73</v>
      </c>
      <c r="B3446" s="6" t="s">
        <v>49</v>
      </c>
      <c r="C3446" s="6" t="n">
        <v>21</v>
      </c>
      <c r="D3446" s="25" t="n">
        <f aca="false">EDATE('Start Here'!$B$6,C3446-1)</f>
        <v>46935</v>
      </c>
      <c r="E3446" s="23" t="n">
        <f aca="false">IF(AND(OR(Nonlabor!$D$19="Both",Nonlabor!$D$19='Start Here'!$B$9),IF(Nonlabor!$E$19="Core",1,IF(Nonlabor!$E$19="AI",'Start Here'!$B$7,'Start Here'!$B$8))=1,C3446&gt;=IF(Nonlabor!$E$19="Core",Nonlabor!$F$19,MAX(Nonlabor!$F$19,IF(Nonlabor!$E$19="AI",Assumptions!$E$24,Assumptions!$E$25))),C3446&lt;=Nonlabor!$G$19,OR(Nonlabor!$H$19="Monthly",AND(Nonlabor!$H$19="Once",C3446=IF(Nonlabor!$E$19="Core",Nonlabor!$F$19,MAX(Nonlabor!$F$19,IF(Nonlabor!$E$19="AI",Assumptions!$E$24,Assumptions!$E$25)))),AND(Nonlabor!$H$19="Annual",MOD(C3446-IF(Nonlabor!$E$19="Core",Nonlabor!$F$19,MAX(Nonlabor!$F$19,IF(Nonlabor!$E$19="AI",Assumptions!$E$24,Assumptions!$E$25))),12)=0))),IF(Nonlabor!$I$19="Fixed",1,IF(Nonlabor!$I$19="Seats",ROUNDUP('Monthly Growth'!I26,0),IF(Nonlabor!$I$19="Customers",'Monthly Growth'!D26,IF(Nonlabor!$I$19="NewCustomers",'Monthly Growth'!C26,IF(Nonlabor!$I$19="StorageGB",'Monthly Growth'!G26,IF(Nonlabor!$I$19="LogGB",'Monthly Growth'!H26,IF(Nonlabor!$I$19="RequestsM",'Monthly Growth'!F26,IF(Nonlabor!$I$19="InputM",'Monthly Growth'!D26*Assumptions!$E$22/1000000,IF(Nonlabor!$I$19="OutputM",'Monthly Growth'!D26*Assumptions!$E$23/1000000,0))))))))),0)</f>
        <v>1</v>
      </c>
      <c r="F3446" s="10" t="n">
        <f aca="false">Nonlabor!$J$19*(1+Assumptions!$E$9)^INT((C3446-1)/12)</f>
        <v>12480</v>
      </c>
      <c r="G3446" s="10" t="n">
        <f aca="false">E3446*F3446</f>
        <v>12480</v>
      </c>
      <c r="H3446" s="10" t="n">
        <f aca="false">IF(OR(Nonlabor!$L$19="Quote required",Nonlabor!$L$19="Unverified"),G3446,0)</f>
        <v>12480</v>
      </c>
      <c r="I3446" s="10" t="n">
        <f aca="false">IF(Nonlabor!$E$19="Core",0,G3446)</f>
        <v>0</v>
      </c>
      <c r="J3446" s="23" t="str">
        <f aca="false">Nonlabor!$B$19</f>
        <v>INSURANCE</v>
      </c>
    </row>
    <row r="3447" customFormat="false" ht="15" hidden="false" customHeight="false" outlineLevel="0" collapsed="false">
      <c r="A3447" s="6" t="s">
        <v>73</v>
      </c>
      <c r="B3447" s="6" t="s">
        <v>49</v>
      </c>
      <c r="C3447" s="6" t="n">
        <v>22</v>
      </c>
      <c r="D3447" s="25" t="n">
        <f aca="false">EDATE('Start Here'!$B$6,C3447-1)</f>
        <v>46966</v>
      </c>
      <c r="E3447" s="23" t="n">
        <f aca="false">IF(AND(OR(Nonlabor!$D$19="Both",Nonlabor!$D$19='Start Here'!$B$9),IF(Nonlabor!$E$19="Core",1,IF(Nonlabor!$E$19="AI",'Start Here'!$B$7,'Start Here'!$B$8))=1,C3447&gt;=IF(Nonlabor!$E$19="Core",Nonlabor!$F$19,MAX(Nonlabor!$F$19,IF(Nonlabor!$E$19="AI",Assumptions!$E$24,Assumptions!$E$25))),C3447&lt;=Nonlabor!$G$19,OR(Nonlabor!$H$19="Monthly",AND(Nonlabor!$H$19="Once",C3447=IF(Nonlabor!$E$19="Core",Nonlabor!$F$19,MAX(Nonlabor!$F$19,IF(Nonlabor!$E$19="AI",Assumptions!$E$24,Assumptions!$E$25)))),AND(Nonlabor!$H$19="Annual",MOD(C3447-IF(Nonlabor!$E$19="Core",Nonlabor!$F$19,MAX(Nonlabor!$F$19,IF(Nonlabor!$E$19="AI",Assumptions!$E$24,Assumptions!$E$25))),12)=0))),IF(Nonlabor!$I$19="Fixed",1,IF(Nonlabor!$I$19="Seats",ROUNDUP('Monthly Growth'!I27,0),IF(Nonlabor!$I$19="Customers",'Monthly Growth'!D27,IF(Nonlabor!$I$19="NewCustomers",'Monthly Growth'!C27,IF(Nonlabor!$I$19="StorageGB",'Monthly Growth'!G27,IF(Nonlabor!$I$19="LogGB",'Monthly Growth'!H27,IF(Nonlabor!$I$19="RequestsM",'Monthly Growth'!F27,IF(Nonlabor!$I$19="InputM",'Monthly Growth'!D27*Assumptions!$E$22/1000000,IF(Nonlabor!$I$19="OutputM",'Monthly Growth'!D27*Assumptions!$E$23/1000000,0))))))))),0)</f>
        <v>0</v>
      </c>
      <c r="F3447" s="10" t="n">
        <f aca="false">Nonlabor!$J$19*(1+Assumptions!$E$9)^INT((C3447-1)/12)</f>
        <v>12480</v>
      </c>
      <c r="G3447" s="10" t="n">
        <f aca="false">E3447*F3447</f>
        <v>0</v>
      </c>
      <c r="H3447" s="10" t="n">
        <f aca="false">IF(OR(Nonlabor!$L$19="Quote required",Nonlabor!$L$19="Unverified"),G3447,0)</f>
        <v>0</v>
      </c>
      <c r="I3447" s="10" t="n">
        <f aca="false">IF(Nonlabor!$E$19="Core",0,G3447)</f>
        <v>0</v>
      </c>
      <c r="J3447" s="23" t="str">
        <f aca="false">Nonlabor!$B$19</f>
        <v>INSURANCE</v>
      </c>
    </row>
    <row r="3448" customFormat="false" ht="15" hidden="false" customHeight="false" outlineLevel="0" collapsed="false">
      <c r="A3448" s="6" t="s">
        <v>73</v>
      </c>
      <c r="B3448" s="6" t="s">
        <v>49</v>
      </c>
      <c r="C3448" s="6" t="n">
        <v>23</v>
      </c>
      <c r="D3448" s="25" t="n">
        <f aca="false">EDATE('Start Here'!$B$6,C3448-1)</f>
        <v>46997</v>
      </c>
      <c r="E3448" s="23" t="n">
        <f aca="false">IF(AND(OR(Nonlabor!$D$19="Both",Nonlabor!$D$19='Start Here'!$B$9),IF(Nonlabor!$E$19="Core",1,IF(Nonlabor!$E$19="AI",'Start Here'!$B$7,'Start Here'!$B$8))=1,C3448&gt;=IF(Nonlabor!$E$19="Core",Nonlabor!$F$19,MAX(Nonlabor!$F$19,IF(Nonlabor!$E$19="AI",Assumptions!$E$24,Assumptions!$E$25))),C3448&lt;=Nonlabor!$G$19,OR(Nonlabor!$H$19="Monthly",AND(Nonlabor!$H$19="Once",C3448=IF(Nonlabor!$E$19="Core",Nonlabor!$F$19,MAX(Nonlabor!$F$19,IF(Nonlabor!$E$19="AI",Assumptions!$E$24,Assumptions!$E$25)))),AND(Nonlabor!$H$19="Annual",MOD(C3448-IF(Nonlabor!$E$19="Core",Nonlabor!$F$19,MAX(Nonlabor!$F$19,IF(Nonlabor!$E$19="AI",Assumptions!$E$24,Assumptions!$E$25))),12)=0))),IF(Nonlabor!$I$19="Fixed",1,IF(Nonlabor!$I$19="Seats",ROUNDUP('Monthly Growth'!I28,0),IF(Nonlabor!$I$19="Customers",'Monthly Growth'!D28,IF(Nonlabor!$I$19="NewCustomers",'Monthly Growth'!C28,IF(Nonlabor!$I$19="StorageGB",'Monthly Growth'!G28,IF(Nonlabor!$I$19="LogGB",'Monthly Growth'!H28,IF(Nonlabor!$I$19="RequestsM",'Monthly Growth'!F28,IF(Nonlabor!$I$19="InputM",'Monthly Growth'!D28*Assumptions!$E$22/1000000,IF(Nonlabor!$I$19="OutputM",'Monthly Growth'!D28*Assumptions!$E$23/1000000,0))))))))),0)</f>
        <v>0</v>
      </c>
      <c r="F3448" s="10" t="n">
        <f aca="false">Nonlabor!$J$19*(1+Assumptions!$E$9)^INT((C3448-1)/12)</f>
        <v>12480</v>
      </c>
      <c r="G3448" s="10" t="n">
        <f aca="false">E3448*F3448</f>
        <v>0</v>
      </c>
      <c r="H3448" s="10" t="n">
        <f aca="false">IF(OR(Nonlabor!$L$19="Quote required",Nonlabor!$L$19="Unverified"),G3448,0)</f>
        <v>0</v>
      </c>
      <c r="I3448" s="10" t="n">
        <f aca="false">IF(Nonlabor!$E$19="Core",0,G3448)</f>
        <v>0</v>
      </c>
      <c r="J3448" s="23" t="str">
        <f aca="false">Nonlabor!$B$19</f>
        <v>INSURANCE</v>
      </c>
    </row>
    <row r="3449" customFormat="false" ht="15" hidden="false" customHeight="false" outlineLevel="0" collapsed="false">
      <c r="A3449" s="6" t="s">
        <v>73</v>
      </c>
      <c r="B3449" s="6" t="s">
        <v>49</v>
      </c>
      <c r="C3449" s="6" t="n">
        <v>24</v>
      </c>
      <c r="D3449" s="25" t="n">
        <f aca="false">EDATE('Start Here'!$B$6,C3449-1)</f>
        <v>47027</v>
      </c>
      <c r="E3449" s="23" t="n">
        <f aca="false">IF(AND(OR(Nonlabor!$D$19="Both",Nonlabor!$D$19='Start Here'!$B$9),IF(Nonlabor!$E$19="Core",1,IF(Nonlabor!$E$19="AI",'Start Here'!$B$7,'Start Here'!$B$8))=1,C3449&gt;=IF(Nonlabor!$E$19="Core",Nonlabor!$F$19,MAX(Nonlabor!$F$19,IF(Nonlabor!$E$19="AI",Assumptions!$E$24,Assumptions!$E$25))),C3449&lt;=Nonlabor!$G$19,OR(Nonlabor!$H$19="Monthly",AND(Nonlabor!$H$19="Once",C3449=IF(Nonlabor!$E$19="Core",Nonlabor!$F$19,MAX(Nonlabor!$F$19,IF(Nonlabor!$E$19="AI",Assumptions!$E$24,Assumptions!$E$25)))),AND(Nonlabor!$H$19="Annual",MOD(C3449-IF(Nonlabor!$E$19="Core",Nonlabor!$F$19,MAX(Nonlabor!$F$19,IF(Nonlabor!$E$19="AI",Assumptions!$E$24,Assumptions!$E$25))),12)=0))),IF(Nonlabor!$I$19="Fixed",1,IF(Nonlabor!$I$19="Seats",ROUNDUP('Monthly Growth'!I29,0),IF(Nonlabor!$I$19="Customers",'Monthly Growth'!D29,IF(Nonlabor!$I$19="NewCustomers",'Monthly Growth'!C29,IF(Nonlabor!$I$19="StorageGB",'Monthly Growth'!G29,IF(Nonlabor!$I$19="LogGB",'Monthly Growth'!H29,IF(Nonlabor!$I$19="RequestsM",'Monthly Growth'!F29,IF(Nonlabor!$I$19="InputM",'Monthly Growth'!D29*Assumptions!$E$22/1000000,IF(Nonlabor!$I$19="OutputM",'Monthly Growth'!D29*Assumptions!$E$23/1000000,0))))))))),0)</f>
        <v>0</v>
      </c>
      <c r="F3449" s="10" t="n">
        <f aca="false">Nonlabor!$J$19*(1+Assumptions!$E$9)^INT((C3449-1)/12)</f>
        <v>12480</v>
      </c>
      <c r="G3449" s="10" t="n">
        <f aca="false">E3449*F3449</f>
        <v>0</v>
      </c>
      <c r="H3449" s="10" t="n">
        <f aca="false">IF(OR(Nonlabor!$L$19="Quote required",Nonlabor!$L$19="Unverified"),G3449,0)</f>
        <v>0</v>
      </c>
      <c r="I3449" s="10" t="n">
        <f aca="false">IF(Nonlabor!$E$19="Core",0,G3449)</f>
        <v>0</v>
      </c>
      <c r="J3449" s="23" t="str">
        <f aca="false">Nonlabor!$B$19</f>
        <v>INSURANCE</v>
      </c>
    </row>
    <row r="3450" customFormat="false" ht="15" hidden="false" customHeight="false" outlineLevel="0" collapsed="false">
      <c r="A3450" s="6" t="s">
        <v>73</v>
      </c>
      <c r="B3450" s="6" t="s">
        <v>49</v>
      </c>
      <c r="C3450" s="6" t="n">
        <v>25</v>
      </c>
      <c r="D3450" s="25" t="n">
        <f aca="false">EDATE('Start Here'!$B$6,C3450-1)</f>
        <v>47058</v>
      </c>
      <c r="E3450" s="23" t="n">
        <f aca="false">IF(AND(OR(Nonlabor!$D$19="Both",Nonlabor!$D$19='Start Here'!$B$9),IF(Nonlabor!$E$19="Core",1,IF(Nonlabor!$E$19="AI",'Start Here'!$B$7,'Start Here'!$B$8))=1,C3450&gt;=IF(Nonlabor!$E$19="Core",Nonlabor!$F$19,MAX(Nonlabor!$F$19,IF(Nonlabor!$E$19="AI",Assumptions!$E$24,Assumptions!$E$25))),C3450&lt;=Nonlabor!$G$19,OR(Nonlabor!$H$19="Monthly",AND(Nonlabor!$H$19="Once",C3450=IF(Nonlabor!$E$19="Core",Nonlabor!$F$19,MAX(Nonlabor!$F$19,IF(Nonlabor!$E$19="AI",Assumptions!$E$24,Assumptions!$E$25)))),AND(Nonlabor!$H$19="Annual",MOD(C3450-IF(Nonlabor!$E$19="Core",Nonlabor!$F$19,MAX(Nonlabor!$F$19,IF(Nonlabor!$E$19="AI",Assumptions!$E$24,Assumptions!$E$25))),12)=0))),IF(Nonlabor!$I$19="Fixed",1,IF(Nonlabor!$I$19="Seats",ROUNDUP('Monthly Growth'!I30,0),IF(Nonlabor!$I$19="Customers",'Monthly Growth'!D30,IF(Nonlabor!$I$19="NewCustomers",'Monthly Growth'!C30,IF(Nonlabor!$I$19="StorageGB",'Monthly Growth'!G30,IF(Nonlabor!$I$19="LogGB",'Monthly Growth'!H30,IF(Nonlabor!$I$19="RequestsM",'Monthly Growth'!F30,IF(Nonlabor!$I$19="InputM",'Monthly Growth'!D30*Assumptions!$E$22/1000000,IF(Nonlabor!$I$19="OutputM",'Monthly Growth'!D30*Assumptions!$E$23/1000000,0))))))))),0)</f>
        <v>0</v>
      </c>
      <c r="F3450" s="10" t="n">
        <f aca="false">Nonlabor!$J$19*(1+Assumptions!$E$9)^INT((C3450-1)/12)</f>
        <v>12979.2</v>
      </c>
      <c r="G3450" s="10" t="n">
        <f aca="false">E3450*F3450</f>
        <v>0</v>
      </c>
      <c r="H3450" s="10" t="n">
        <f aca="false">IF(OR(Nonlabor!$L$19="Quote required",Nonlabor!$L$19="Unverified"),G3450,0)</f>
        <v>0</v>
      </c>
      <c r="I3450" s="10" t="n">
        <f aca="false">IF(Nonlabor!$E$19="Core",0,G3450)</f>
        <v>0</v>
      </c>
      <c r="J3450" s="23" t="str">
        <f aca="false">Nonlabor!$B$19</f>
        <v>INSURANCE</v>
      </c>
    </row>
    <row r="3451" customFormat="false" ht="15" hidden="false" customHeight="false" outlineLevel="0" collapsed="false">
      <c r="A3451" s="6" t="s">
        <v>73</v>
      </c>
      <c r="B3451" s="6" t="s">
        <v>49</v>
      </c>
      <c r="C3451" s="6" t="n">
        <v>26</v>
      </c>
      <c r="D3451" s="25" t="n">
        <f aca="false">EDATE('Start Here'!$B$6,C3451-1)</f>
        <v>47088</v>
      </c>
      <c r="E3451" s="23" t="n">
        <f aca="false">IF(AND(OR(Nonlabor!$D$19="Both",Nonlabor!$D$19='Start Here'!$B$9),IF(Nonlabor!$E$19="Core",1,IF(Nonlabor!$E$19="AI",'Start Here'!$B$7,'Start Here'!$B$8))=1,C3451&gt;=IF(Nonlabor!$E$19="Core",Nonlabor!$F$19,MAX(Nonlabor!$F$19,IF(Nonlabor!$E$19="AI",Assumptions!$E$24,Assumptions!$E$25))),C3451&lt;=Nonlabor!$G$19,OR(Nonlabor!$H$19="Monthly",AND(Nonlabor!$H$19="Once",C3451=IF(Nonlabor!$E$19="Core",Nonlabor!$F$19,MAX(Nonlabor!$F$19,IF(Nonlabor!$E$19="AI",Assumptions!$E$24,Assumptions!$E$25)))),AND(Nonlabor!$H$19="Annual",MOD(C3451-IF(Nonlabor!$E$19="Core",Nonlabor!$F$19,MAX(Nonlabor!$F$19,IF(Nonlabor!$E$19="AI",Assumptions!$E$24,Assumptions!$E$25))),12)=0))),IF(Nonlabor!$I$19="Fixed",1,IF(Nonlabor!$I$19="Seats",ROUNDUP('Monthly Growth'!I31,0),IF(Nonlabor!$I$19="Customers",'Monthly Growth'!D31,IF(Nonlabor!$I$19="NewCustomers",'Monthly Growth'!C31,IF(Nonlabor!$I$19="StorageGB",'Monthly Growth'!G31,IF(Nonlabor!$I$19="LogGB",'Monthly Growth'!H31,IF(Nonlabor!$I$19="RequestsM",'Monthly Growth'!F31,IF(Nonlabor!$I$19="InputM",'Monthly Growth'!D31*Assumptions!$E$22/1000000,IF(Nonlabor!$I$19="OutputM",'Monthly Growth'!D31*Assumptions!$E$23/1000000,0))))))))),0)</f>
        <v>0</v>
      </c>
      <c r="F3451" s="10" t="n">
        <f aca="false">Nonlabor!$J$19*(1+Assumptions!$E$9)^INT((C3451-1)/12)</f>
        <v>12979.2</v>
      </c>
      <c r="G3451" s="10" t="n">
        <f aca="false">E3451*F3451</f>
        <v>0</v>
      </c>
      <c r="H3451" s="10" t="n">
        <f aca="false">IF(OR(Nonlabor!$L$19="Quote required",Nonlabor!$L$19="Unverified"),G3451,0)</f>
        <v>0</v>
      </c>
      <c r="I3451" s="10" t="n">
        <f aca="false">IF(Nonlabor!$E$19="Core",0,G3451)</f>
        <v>0</v>
      </c>
      <c r="J3451" s="23" t="str">
        <f aca="false">Nonlabor!$B$19</f>
        <v>INSURANCE</v>
      </c>
    </row>
    <row r="3452" customFormat="false" ht="15" hidden="false" customHeight="false" outlineLevel="0" collapsed="false">
      <c r="A3452" s="6" t="s">
        <v>73</v>
      </c>
      <c r="B3452" s="6" t="s">
        <v>49</v>
      </c>
      <c r="C3452" s="6" t="n">
        <v>27</v>
      </c>
      <c r="D3452" s="25" t="n">
        <f aca="false">EDATE('Start Here'!$B$6,C3452-1)</f>
        <v>47119</v>
      </c>
      <c r="E3452" s="23" t="n">
        <f aca="false">IF(AND(OR(Nonlabor!$D$19="Both",Nonlabor!$D$19='Start Here'!$B$9),IF(Nonlabor!$E$19="Core",1,IF(Nonlabor!$E$19="AI",'Start Here'!$B$7,'Start Here'!$B$8))=1,C3452&gt;=IF(Nonlabor!$E$19="Core",Nonlabor!$F$19,MAX(Nonlabor!$F$19,IF(Nonlabor!$E$19="AI",Assumptions!$E$24,Assumptions!$E$25))),C3452&lt;=Nonlabor!$G$19,OR(Nonlabor!$H$19="Monthly",AND(Nonlabor!$H$19="Once",C3452=IF(Nonlabor!$E$19="Core",Nonlabor!$F$19,MAX(Nonlabor!$F$19,IF(Nonlabor!$E$19="AI",Assumptions!$E$24,Assumptions!$E$25)))),AND(Nonlabor!$H$19="Annual",MOD(C3452-IF(Nonlabor!$E$19="Core",Nonlabor!$F$19,MAX(Nonlabor!$F$19,IF(Nonlabor!$E$19="AI",Assumptions!$E$24,Assumptions!$E$25))),12)=0))),IF(Nonlabor!$I$19="Fixed",1,IF(Nonlabor!$I$19="Seats",ROUNDUP('Monthly Growth'!I32,0),IF(Nonlabor!$I$19="Customers",'Monthly Growth'!D32,IF(Nonlabor!$I$19="NewCustomers",'Monthly Growth'!C32,IF(Nonlabor!$I$19="StorageGB",'Monthly Growth'!G32,IF(Nonlabor!$I$19="LogGB",'Monthly Growth'!H32,IF(Nonlabor!$I$19="RequestsM",'Monthly Growth'!F32,IF(Nonlabor!$I$19="InputM",'Monthly Growth'!D32*Assumptions!$E$22/1000000,IF(Nonlabor!$I$19="OutputM",'Monthly Growth'!D32*Assumptions!$E$23/1000000,0))))))))),0)</f>
        <v>0</v>
      </c>
      <c r="F3452" s="10" t="n">
        <f aca="false">Nonlabor!$J$19*(1+Assumptions!$E$9)^INT((C3452-1)/12)</f>
        <v>12979.2</v>
      </c>
      <c r="G3452" s="10" t="n">
        <f aca="false">E3452*F3452</f>
        <v>0</v>
      </c>
      <c r="H3452" s="10" t="n">
        <f aca="false">IF(OR(Nonlabor!$L$19="Quote required",Nonlabor!$L$19="Unverified"),G3452,0)</f>
        <v>0</v>
      </c>
      <c r="I3452" s="10" t="n">
        <f aca="false">IF(Nonlabor!$E$19="Core",0,G3452)</f>
        <v>0</v>
      </c>
      <c r="J3452" s="23" t="str">
        <f aca="false">Nonlabor!$B$19</f>
        <v>INSURANCE</v>
      </c>
    </row>
    <row r="3453" customFormat="false" ht="15" hidden="false" customHeight="false" outlineLevel="0" collapsed="false">
      <c r="A3453" s="6" t="s">
        <v>73</v>
      </c>
      <c r="B3453" s="6" t="s">
        <v>49</v>
      </c>
      <c r="C3453" s="6" t="n">
        <v>28</v>
      </c>
      <c r="D3453" s="25" t="n">
        <f aca="false">EDATE('Start Here'!$B$6,C3453-1)</f>
        <v>47150</v>
      </c>
      <c r="E3453" s="23" t="n">
        <f aca="false">IF(AND(OR(Nonlabor!$D$19="Both",Nonlabor!$D$19='Start Here'!$B$9),IF(Nonlabor!$E$19="Core",1,IF(Nonlabor!$E$19="AI",'Start Here'!$B$7,'Start Here'!$B$8))=1,C3453&gt;=IF(Nonlabor!$E$19="Core",Nonlabor!$F$19,MAX(Nonlabor!$F$19,IF(Nonlabor!$E$19="AI",Assumptions!$E$24,Assumptions!$E$25))),C3453&lt;=Nonlabor!$G$19,OR(Nonlabor!$H$19="Monthly",AND(Nonlabor!$H$19="Once",C3453=IF(Nonlabor!$E$19="Core",Nonlabor!$F$19,MAX(Nonlabor!$F$19,IF(Nonlabor!$E$19="AI",Assumptions!$E$24,Assumptions!$E$25)))),AND(Nonlabor!$H$19="Annual",MOD(C3453-IF(Nonlabor!$E$19="Core",Nonlabor!$F$19,MAX(Nonlabor!$F$19,IF(Nonlabor!$E$19="AI",Assumptions!$E$24,Assumptions!$E$25))),12)=0))),IF(Nonlabor!$I$19="Fixed",1,IF(Nonlabor!$I$19="Seats",ROUNDUP('Monthly Growth'!I33,0),IF(Nonlabor!$I$19="Customers",'Monthly Growth'!D33,IF(Nonlabor!$I$19="NewCustomers",'Monthly Growth'!C33,IF(Nonlabor!$I$19="StorageGB",'Monthly Growth'!G33,IF(Nonlabor!$I$19="LogGB",'Monthly Growth'!H33,IF(Nonlabor!$I$19="RequestsM",'Monthly Growth'!F33,IF(Nonlabor!$I$19="InputM",'Monthly Growth'!D33*Assumptions!$E$22/1000000,IF(Nonlabor!$I$19="OutputM",'Monthly Growth'!D33*Assumptions!$E$23/1000000,0))))))))),0)</f>
        <v>0</v>
      </c>
      <c r="F3453" s="10" t="n">
        <f aca="false">Nonlabor!$J$19*(1+Assumptions!$E$9)^INT((C3453-1)/12)</f>
        <v>12979.2</v>
      </c>
      <c r="G3453" s="10" t="n">
        <f aca="false">E3453*F3453</f>
        <v>0</v>
      </c>
      <c r="H3453" s="10" t="n">
        <f aca="false">IF(OR(Nonlabor!$L$19="Quote required",Nonlabor!$L$19="Unverified"),G3453,0)</f>
        <v>0</v>
      </c>
      <c r="I3453" s="10" t="n">
        <f aca="false">IF(Nonlabor!$E$19="Core",0,G3453)</f>
        <v>0</v>
      </c>
      <c r="J3453" s="23" t="str">
        <f aca="false">Nonlabor!$B$19</f>
        <v>INSURANCE</v>
      </c>
    </row>
    <row r="3454" customFormat="false" ht="15" hidden="false" customHeight="false" outlineLevel="0" collapsed="false">
      <c r="A3454" s="6" t="s">
        <v>73</v>
      </c>
      <c r="B3454" s="6" t="s">
        <v>49</v>
      </c>
      <c r="C3454" s="6" t="n">
        <v>29</v>
      </c>
      <c r="D3454" s="25" t="n">
        <f aca="false">EDATE('Start Here'!$B$6,C3454-1)</f>
        <v>47178</v>
      </c>
      <c r="E3454" s="23" t="n">
        <f aca="false">IF(AND(OR(Nonlabor!$D$19="Both",Nonlabor!$D$19='Start Here'!$B$9),IF(Nonlabor!$E$19="Core",1,IF(Nonlabor!$E$19="AI",'Start Here'!$B$7,'Start Here'!$B$8))=1,C3454&gt;=IF(Nonlabor!$E$19="Core",Nonlabor!$F$19,MAX(Nonlabor!$F$19,IF(Nonlabor!$E$19="AI",Assumptions!$E$24,Assumptions!$E$25))),C3454&lt;=Nonlabor!$G$19,OR(Nonlabor!$H$19="Monthly",AND(Nonlabor!$H$19="Once",C3454=IF(Nonlabor!$E$19="Core",Nonlabor!$F$19,MAX(Nonlabor!$F$19,IF(Nonlabor!$E$19="AI",Assumptions!$E$24,Assumptions!$E$25)))),AND(Nonlabor!$H$19="Annual",MOD(C3454-IF(Nonlabor!$E$19="Core",Nonlabor!$F$19,MAX(Nonlabor!$F$19,IF(Nonlabor!$E$19="AI",Assumptions!$E$24,Assumptions!$E$25))),12)=0))),IF(Nonlabor!$I$19="Fixed",1,IF(Nonlabor!$I$19="Seats",ROUNDUP('Monthly Growth'!I34,0),IF(Nonlabor!$I$19="Customers",'Monthly Growth'!D34,IF(Nonlabor!$I$19="NewCustomers",'Monthly Growth'!C34,IF(Nonlabor!$I$19="StorageGB",'Monthly Growth'!G34,IF(Nonlabor!$I$19="LogGB",'Monthly Growth'!H34,IF(Nonlabor!$I$19="RequestsM",'Monthly Growth'!F34,IF(Nonlabor!$I$19="InputM",'Monthly Growth'!D34*Assumptions!$E$22/1000000,IF(Nonlabor!$I$19="OutputM",'Monthly Growth'!D34*Assumptions!$E$23/1000000,0))))))))),0)</f>
        <v>0</v>
      </c>
      <c r="F3454" s="10" t="n">
        <f aca="false">Nonlabor!$J$19*(1+Assumptions!$E$9)^INT((C3454-1)/12)</f>
        <v>12979.2</v>
      </c>
      <c r="G3454" s="10" t="n">
        <f aca="false">E3454*F3454</f>
        <v>0</v>
      </c>
      <c r="H3454" s="10" t="n">
        <f aca="false">IF(OR(Nonlabor!$L$19="Quote required",Nonlabor!$L$19="Unverified"),G3454,0)</f>
        <v>0</v>
      </c>
      <c r="I3454" s="10" t="n">
        <f aca="false">IF(Nonlabor!$E$19="Core",0,G3454)</f>
        <v>0</v>
      </c>
      <c r="J3454" s="23" t="str">
        <f aca="false">Nonlabor!$B$19</f>
        <v>INSURANCE</v>
      </c>
    </row>
    <row r="3455" customFormat="false" ht="15" hidden="false" customHeight="false" outlineLevel="0" collapsed="false">
      <c r="A3455" s="6" t="s">
        <v>73</v>
      </c>
      <c r="B3455" s="6" t="s">
        <v>49</v>
      </c>
      <c r="C3455" s="6" t="n">
        <v>30</v>
      </c>
      <c r="D3455" s="25" t="n">
        <f aca="false">EDATE('Start Here'!$B$6,C3455-1)</f>
        <v>47209</v>
      </c>
      <c r="E3455" s="23" t="n">
        <f aca="false">IF(AND(OR(Nonlabor!$D$19="Both",Nonlabor!$D$19='Start Here'!$B$9),IF(Nonlabor!$E$19="Core",1,IF(Nonlabor!$E$19="AI",'Start Here'!$B$7,'Start Here'!$B$8))=1,C3455&gt;=IF(Nonlabor!$E$19="Core",Nonlabor!$F$19,MAX(Nonlabor!$F$19,IF(Nonlabor!$E$19="AI",Assumptions!$E$24,Assumptions!$E$25))),C3455&lt;=Nonlabor!$G$19,OR(Nonlabor!$H$19="Monthly",AND(Nonlabor!$H$19="Once",C3455=IF(Nonlabor!$E$19="Core",Nonlabor!$F$19,MAX(Nonlabor!$F$19,IF(Nonlabor!$E$19="AI",Assumptions!$E$24,Assumptions!$E$25)))),AND(Nonlabor!$H$19="Annual",MOD(C3455-IF(Nonlabor!$E$19="Core",Nonlabor!$F$19,MAX(Nonlabor!$F$19,IF(Nonlabor!$E$19="AI",Assumptions!$E$24,Assumptions!$E$25))),12)=0))),IF(Nonlabor!$I$19="Fixed",1,IF(Nonlabor!$I$19="Seats",ROUNDUP('Monthly Growth'!I35,0),IF(Nonlabor!$I$19="Customers",'Monthly Growth'!D35,IF(Nonlabor!$I$19="NewCustomers",'Monthly Growth'!C35,IF(Nonlabor!$I$19="StorageGB",'Monthly Growth'!G35,IF(Nonlabor!$I$19="LogGB",'Monthly Growth'!H35,IF(Nonlabor!$I$19="RequestsM",'Monthly Growth'!F35,IF(Nonlabor!$I$19="InputM",'Monthly Growth'!D35*Assumptions!$E$22/1000000,IF(Nonlabor!$I$19="OutputM",'Monthly Growth'!D35*Assumptions!$E$23/1000000,0))))))))),0)</f>
        <v>0</v>
      </c>
      <c r="F3455" s="10" t="n">
        <f aca="false">Nonlabor!$J$19*(1+Assumptions!$E$9)^INT((C3455-1)/12)</f>
        <v>12979.2</v>
      </c>
      <c r="G3455" s="10" t="n">
        <f aca="false">E3455*F3455</f>
        <v>0</v>
      </c>
      <c r="H3455" s="10" t="n">
        <f aca="false">IF(OR(Nonlabor!$L$19="Quote required",Nonlabor!$L$19="Unverified"),G3455,0)</f>
        <v>0</v>
      </c>
      <c r="I3455" s="10" t="n">
        <f aca="false">IF(Nonlabor!$E$19="Core",0,G3455)</f>
        <v>0</v>
      </c>
      <c r="J3455" s="23" t="str">
        <f aca="false">Nonlabor!$B$19</f>
        <v>INSURANCE</v>
      </c>
    </row>
    <row r="3456" customFormat="false" ht="15" hidden="false" customHeight="false" outlineLevel="0" collapsed="false">
      <c r="A3456" s="6" t="s">
        <v>73</v>
      </c>
      <c r="B3456" s="6" t="s">
        <v>49</v>
      </c>
      <c r="C3456" s="6" t="n">
        <v>31</v>
      </c>
      <c r="D3456" s="25" t="n">
        <f aca="false">EDATE('Start Here'!$B$6,C3456-1)</f>
        <v>47239</v>
      </c>
      <c r="E3456" s="23" t="n">
        <f aca="false">IF(AND(OR(Nonlabor!$D$19="Both",Nonlabor!$D$19='Start Here'!$B$9),IF(Nonlabor!$E$19="Core",1,IF(Nonlabor!$E$19="AI",'Start Here'!$B$7,'Start Here'!$B$8))=1,C3456&gt;=IF(Nonlabor!$E$19="Core",Nonlabor!$F$19,MAX(Nonlabor!$F$19,IF(Nonlabor!$E$19="AI",Assumptions!$E$24,Assumptions!$E$25))),C3456&lt;=Nonlabor!$G$19,OR(Nonlabor!$H$19="Monthly",AND(Nonlabor!$H$19="Once",C3456=IF(Nonlabor!$E$19="Core",Nonlabor!$F$19,MAX(Nonlabor!$F$19,IF(Nonlabor!$E$19="AI",Assumptions!$E$24,Assumptions!$E$25)))),AND(Nonlabor!$H$19="Annual",MOD(C3456-IF(Nonlabor!$E$19="Core",Nonlabor!$F$19,MAX(Nonlabor!$F$19,IF(Nonlabor!$E$19="AI",Assumptions!$E$24,Assumptions!$E$25))),12)=0))),IF(Nonlabor!$I$19="Fixed",1,IF(Nonlabor!$I$19="Seats",ROUNDUP('Monthly Growth'!I36,0),IF(Nonlabor!$I$19="Customers",'Monthly Growth'!D36,IF(Nonlabor!$I$19="NewCustomers",'Monthly Growth'!C36,IF(Nonlabor!$I$19="StorageGB",'Monthly Growth'!G36,IF(Nonlabor!$I$19="LogGB",'Monthly Growth'!H36,IF(Nonlabor!$I$19="RequestsM",'Monthly Growth'!F36,IF(Nonlabor!$I$19="InputM",'Monthly Growth'!D36*Assumptions!$E$22/1000000,IF(Nonlabor!$I$19="OutputM",'Monthly Growth'!D36*Assumptions!$E$23/1000000,0))))))))),0)</f>
        <v>0</v>
      </c>
      <c r="F3456" s="10" t="n">
        <f aca="false">Nonlabor!$J$19*(1+Assumptions!$E$9)^INT((C3456-1)/12)</f>
        <v>12979.2</v>
      </c>
      <c r="G3456" s="10" t="n">
        <f aca="false">E3456*F3456</f>
        <v>0</v>
      </c>
      <c r="H3456" s="10" t="n">
        <f aca="false">IF(OR(Nonlabor!$L$19="Quote required",Nonlabor!$L$19="Unverified"),G3456,0)</f>
        <v>0</v>
      </c>
      <c r="I3456" s="10" t="n">
        <f aca="false">IF(Nonlabor!$E$19="Core",0,G3456)</f>
        <v>0</v>
      </c>
      <c r="J3456" s="23" t="str">
        <f aca="false">Nonlabor!$B$19</f>
        <v>INSURANCE</v>
      </c>
    </row>
    <row r="3457" customFormat="false" ht="15" hidden="false" customHeight="false" outlineLevel="0" collapsed="false">
      <c r="A3457" s="6" t="s">
        <v>73</v>
      </c>
      <c r="B3457" s="6" t="s">
        <v>49</v>
      </c>
      <c r="C3457" s="6" t="n">
        <v>32</v>
      </c>
      <c r="D3457" s="25" t="n">
        <f aca="false">EDATE('Start Here'!$B$6,C3457-1)</f>
        <v>47270</v>
      </c>
      <c r="E3457" s="23" t="n">
        <f aca="false">IF(AND(OR(Nonlabor!$D$19="Both",Nonlabor!$D$19='Start Here'!$B$9),IF(Nonlabor!$E$19="Core",1,IF(Nonlabor!$E$19="AI",'Start Here'!$B$7,'Start Here'!$B$8))=1,C3457&gt;=IF(Nonlabor!$E$19="Core",Nonlabor!$F$19,MAX(Nonlabor!$F$19,IF(Nonlabor!$E$19="AI",Assumptions!$E$24,Assumptions!$E$25))),C3457&lt;=Nonlabor!$G$19,OR(Nonlabor!$H$19="Monthly",AND(Nonlabor!$H$19="Once",C3457=IF(Nonlabor!$E$19="Core",Nonlabor!$F$19,MAX(Nonlabor!$F$19,IF(Nonlabor!$E$19="AI",Assumptions!$E$24,Assumptions!$E$25)))),AND(Nonlabor!$H$19="Annual",MOD(C3457-IF(Nonlabor!$E$19="Core",Nonlabor!$F$19,MAX(Nonlabor!$F$19,IF(Nonlabor!$E$19="AI",Assumptions!$E$24,Assumptions!$E$25))),12)=0))),IF(Nonlabor!$I$19="Fixed",1,IF(Nonlabor!$I$19="Seats",ROUNDUP('Monthly Growth'!I37,0),IF(Nonlabor!$I$19="Customers",'Monthly Growth'!D37,IF(Nonlabor!$I$19="NewCustomers",'Monthly Growth'!C37,IF(Nonlabor!$I$19="StorageGB",'Monthly Growth'!G37,IF(Nonlabor!$I$19="LogGB",'Monthly Growth'!H37,IF(Nonlabor!$I$19="RequestsM",'Monthly Growth'!F37,IF(Nonlabor!$I$19="InputM",'Monthly Growth'!D37*Assumptions!$E$22/1000000,IF(Nonlabor!$I$19="OutputM",'Monthly Growth'!D37*Assumptions!$E$23/1000000,0))))))))),0)</f>
        <v>0</v>
      </c>
      <c r="F3457" s="10" t="n">
        <f aca="false">Nonlabor!$J$19*(1+Assumptions!$E$9)^INT((C3457-1)/12)</f>
        <v>12979.2</v>
      </c>
      <c r="G3457" s="10" t="n">
        <f aca="false">E3457*F3457</f>
        <v>0</v>
      </c>
      <c r="H3457" s="10" t="n">
        <f aca="false">IF(OR(Nonlabor!$L$19="Quote required",Nonlabor!$L$19="Unverified"),G3457,0)</f>
        <v>0</v>
      </c>
      <c r="I3457" s="10" t="n">
        <f aca="false">IF(Nonlabor!$E$19="Core",0,G3457)</f>
        <v>0</v>
      </c>
      <c r="J3457" s="23" t="str">
        <f aca="false">Nonlabor!$B$19</f>
        <v>INSURANCE</v>
      </c>
    </row>
    <row r="3458" customFormat="false" ht="15" hidden="false" customHeight="false" outlineLevel="0" collapsed="false">
      <c r="A3458" s="6" t="s">
        <v>73</v>
      </c>
      <c r="B3458" s="6" t="s">
        <v>49</v>
      </c>
      <c r="C3458" s="6" t="n">
        <v>33</v>
      </c>
      <c r="D3458" s="25" t="n">
        <f aca="false">EDATE('Start Here'!$B$6,C3458-1)</f>
        <v>47300</v>
      </c>
      <c r="E3458" s="23" t="n">
        <f aca="false">IF(AND(OR(Nonlabor!$D$19="Both",Nonlabor!$D$19='Start Here'!$B$9),IF(Nonlabor!$E$19="Core",1,IF(Nonlabor!$E$19="AI",'Start Here'!$B$7,'Start Here'!$B$8))=1,C3458&gt;=IF(Nonlabor!$E$19="Core",Nonlabor!$F$19,MAX(Nonlabor!$F$19,IF(Nonlabor!$E$19="AI",Assumptions!$E$24,Assumptions!$E$25))),C3458&lt;=Nonlabor!$G$19,OR(Nonlabor!$H$19="Monthly",AND(Nonlabor!$H$19="Once",C3458=IF(Nonlabor!$E$19="Core",Nonlabor!$F$19,MAX(Nonlabor!$F$19,IF(Nonlabor!$E$19="AI",Assumptions!$E$24,Assumptions!$E$25)))),AND(Nonlabor!$H$19="Annual",MOD(C3458-IF(Nonlabor!$E$19="Core",Nonlabor!$F$19,MAX(Nonlabor!$F$19,IF(Nonlabor!$E$19="AI",Assumptions!$E$24,Assumptions!$E$25))),12)=0))),IF(Nonlabor!$I$19="Fixed",1,IF(Nonlabor!$I$19="Seats",ROUNDUP('Monthly Growth'!I38,0),IF(Nonlabor!$I$19="Customers",'Monthly Growth'!D38,IF(Nonlabor!$I$19="NewCustomers",'Monthly Growth'!C38,IF(Nonlabor!$I$19="StorageGB",'Monthly Growth'!G38,IF(Nonlabor!$I$19="LogGB",'Monthly Growth'!H38,IF(Nonlabor!$I$19="RequestsM",'Monthly Growth'!F38,IF(Nonlabor!$I$19="InputM",'Monthly Growth'!D38*Assumptions!$E$22/1000000,IF(Nonlabor!$I$19="OutputM",'Monthly Growth'!D38*Assumptions!$E$23/1000000,0))))))))),0)</f>
        <v>1</v>
      </c>
      <c r="F3458" s="10" t="n">
        <f aca="false">Nonlabor!$J$19*(1+Assumptions!$E$9)^INT((C3458-1)/12)</f>
        <v>12979.2</v>
      </c>
      <c r="G3458" s="10" t="n">
        <f aca="false">E3458*F3458</f>
        <v>12979.2</v>
      </c>
      <c r="H3458" s="10" t="n">
        <f aca="false">IF(OR(Nonlabor!$L$19="Quote required",Nonlabor!$L$19="Unverified"),G3458,0)</f>
        <v>12979.2</v>
      </c>
      <c r="I3458" s="10" t="n">
        <f aca="false">IF(Nonlabor!$E$19="Core",0,G3458)</f>
        <v>0</v>
      </c>
      <c r="J3458" s="23" t="str">
        <f aca="false">Nonlabor!$B$19</f>
        <v>INSURANCE</v>
      </c>
    </row>
    <row r="3459" customFormat="false" ht="15" hidden="false" customHeight="false" outlineLevel="0" collapsed="false">
      <c r="A3459" s="6" t="s">
        <v>73</v>
      </c>
      <c r="B3459" s="6" t="s">
        <v>49</v>
      </c>
      <c r="C3459" s="6" t="n">
        <v>34</v>
      </c>
      <c r="D3459" s="25" t="n">
        <f aca="false">EDATE('Start Here'!$B$6,C3459-1)</f>
        <v>47331</v>
      </c>
      <c r="E3459" s="23" t="n">
        <f aca="false">IF(AND(OR(Nonlabor!$D$19="Both",Nonlabor!$D$19='Start Here'!$B$9),IF(Nonlabor!$E$19="Core",1,IF(Nonlabor!$E$19="AI",'Start Here'!$B$7,'Start Here'!$B$8))=1,C3459&gt;=IF(Nonlabor!$E$19="Core",Nonlabor!$F$19,MAX(Nonlabor!$F$19,IF(Nonlabor!$E$19="AI",Assumptions!$E$24,Assumptions!$E$25))),C3459&lt;=Nonlabor!$G$19,OR(Nonlabor!$H$19="Monthly",AND(Nonlabor!$H$19="Once",C3459=IF(Nonlabor!$E$19="Core",Nonlabor!$F$19,MAX(Nonlabor!$F$19,IF(Nonlabor!$E$19="AI",Assumptions!$E$24,Assumptions!$E$25)))),AND(Nonlabor!$H$19="Annual",MOD(C3459-IF(Nonlabor!$E$19="Core",Nonlabor!$F$19,MAX(Nonlabor!$F$19,IF(Nonlabor!$E$19="AI",Assumptions!$E$24,Assumptions!$E$25))),12)=0))),IF(Nonlabor!$I$19="Fixed",1,IF(Nonlabor!$I$19="Seats",ROUNDUP('Monthly Growth'!I39,0),IF(Nonlabor!$I$19="Customers",'Monthly Growth'!D39,IF(Nonlabor!$I$19="NewCustomers",'Monthly Growth'!C39,IF(Nonlabor!$I$19="StorageGB",'Monthly Growth'!G39,IF(Nonlabor!$I$19="LogGB",'Monthly Growth'!H39,IF(Nonlabor!$I$19="RequestsM",'Monthly Growth'!F39,IF(Nonlabor!$I$19="InputM",'Monthly Growth'!D39*Assumptions!$E$22/1000000,IF(Nonlabor!$I$19="OutputM",'Monthly Growth'!D39*Assumptions!$E$23/1000000,0))))))))),0)</f>
        <v>0</v>
      </c>
      <c r="F3459" s="10" t="n">
        <f aca="false">Nonlabor!$J$19*(1+Assumptions!$E$9)^INT((C3459-1)/12)</f>
        <v>12979.2</v>
      </c>
      <c r="G3459" s="10" t="n">
        <f aca="false">E3459*F3459</f>
        <v>0</v>
      </c>
      <c r="H3459" s="10" t="n">
        <f aca="false">IF(OR(Nonlabor!$L$19="Quote required",Nonlabor!$L$19="Unverified"),G3459,0)</f>
        <v>0</v>
      </c>
      <c r="I3459" s="10" t="n">
        <f aca="false">IF(Nonlabor!$E$19="Core",0,G3459)</f>
        <v>0</v>
      </c>
      <c r="J3459" s="23" t="str">
        <f aca="false">Nonlabor!$B$19</f>
        <v>INSURANCE</v>
      </c>
    </row>
    <row r="3460" customFormat="false" ht="15" hidden="false" customHeight="false" outlineLevel="0" collapsed="false">
      <c r="A3460" s="6" t="s">
        <v>73</v>
      </c>
      <c r="B3460" s="6" t="s">
        <v>49</v>
      </c>
      <c r="C3460" s="6" t="n">
        <v>35</v>
      </c>
      <c r="D3460" s="25" t="n">
        <f aca="false">EDATE('Start Here'!$B$6,C3460-1)</f>
        <v>47362</v>
      </c>
      <c r="E3460" s="23" t="n">
        <f aca="false">IF(AND(OR(Nonlabor!$D$19="Both",Nonlabor!$D$19='Start Here'!$B$9),IF(Nonlabor!$E$19="Core",1,IF(Nonlabor!$E$19="AI",'Start Here'!$B$7,'Start Here'!$B$8))=1,C3460&gt;=IF(Nonlabor!$E$19="Core",Nonlabor!$F$19,MAX(Nonlabor!$F$19,IF(Nonlabor!$E$19="AI",Assumptions!$E$24,Assumptions!$E$25))),C3460&lt;=Nonlabor!$G$19,OR(Nonlabor!$H$19="Monthly",AND(Nonlabor!$H$19="Once",C3460=IF(Nonlabor!$E$19="Core",Nonlabor!$F$19,MAX(Nonlabor!$F$19,IF(Nonlabor!$E$19="AI",Assumptions!$E$24,Assumptions!$E$25)))),AND(Nonlabor!$H$19="Annual",MOD(C3460-IF(Nonlabor!$E$19="Core",Nonlabor!$F$19,MAX(Nonlabor!$F$19,IF(Nonlabor!$E$19="AI",Assumptions!$E$24,Assumptions!$E$25))),12)=0))),IF(Nonlabor!$I$19="Fixed",1,IF(Nonlabor!$I$19="Seats",ROUNDUP('Monthly Growth'!I40,0),IF(Nonlabor!$I$19="Customers",'Monthly Growth'!D40,IF(Nonlabor!$I$19="NewCustomers",'Monthly Growth'!C40,IF(Nonlabor!$I$19="StorageGB",'Monthly Growth'!G40,IF(Nonlabor!$I$19="LogGB",'Monthly Growth'!H40,IF(Nonlabor!$I$19="RequestsM",'Monthly Growth'!F40,IF(Nonlabor!$I$19="InputM",'Monthly Growth'!D40*Assumptions!$E$22/1000000,IF(Nonlabor!$I$19="OutputM",'Monthly Growth'!D40*Assumptions!$E$23/1000000,0))))))))),0)</f>
        <v>0</v>
      </c>
      <c r="F3460" s="10" t="n">
        <f aca="false">Nonlabor!$J$19*(1+Assumptions!$E$9)^INT((C3460-1)/12)</f>
        <v>12979.2</v>
      </c>
      <c r="G3460" s="10" t="n">
        <f aca="false">E3460*F3460</f>
        <v>0</v>
      </c>
      <c r="H3460" s="10" t="n">
        <f aca="false">IF(OR(Nonlabor!$L$19="Quote required",Nonlabor!$L$19="Unverified"),G3460,0)</f>
        <v>0</v>
      </c>
      <c r="I3460" s="10" t="n">
        <f aca="false">IF(Nonlabor!$E$19="Core",0,G3460)</f>
        <v>0</v>
      </c>
      <c r="J3460" s="23" t="str">
        <f aca="false">Nonlabor!$B$19</f>
        <v>INSURANCE</v>
      </c>
    </row>
    <row r="3461" customFormat="false" ht="15" hidden="false" customHeight="false" outlineLevel="0" collapsed="false">
      <c r="A3461" s="6" t="s">
        <v>73</v>
      </c>
      <c r="B3461" s="6" t="s">
        <v>49</v>
      </c>
      <c r="C3461" s="6" t="n">
        <v>36</v>
      </c>
      <c r="D3461" s="25" t="n">
        <f aca="false">EDATE('Start Here'!$B$6,C3461-1)</f>
        <v>47392</v>
      </c>
      <c r="E3461" s="23" t="n">
        <f aca="false">IF(AND(OR(Nonlabor!$D$19="Both",Nonlabor!$D$19='Start Here'!$B$9),IF(Nonlabor!$E$19="Core",1,IF(Nonlabor!$E$19="AI",'Start Here'!$B$7,'Start Here'!$B$8))=1,C3461&gt;=IF(Nonlabor!$E$19="Core",Nonlabor!$F$19,MAX(Nonlabor!$F$19,IF(Nonlabor!$E$19="AI",Assumptions!$E$24,Assumptions!$E$25))),C3461&lt;=Nonlabor!$G$19,OR(Nonlabor!$H$19="Monthly",AND(Nonlabor!$H$19="Once",C3461=IF(Nonlabor!$E$19="Core",Nonlabor!$F$19,MAX(Nonlabor!$F$19,IF(Nonlabor!$E$19="AI",Assumptions!$E$24,Assumptions!$E$25)))),AND(Nonlabor!$H$19="Annual",MOD(C3461-IF(Nonlabor!$E$19="Core",Nonlabor!$F$19,MAX(Nonlabor!$F$19,IF(Nonlabor!$E$19="AI",Assumptions!$E$24,Assumptions!$E$25))),12)=0))),IF(Nonlabor!$I$19="Fixed",1,IF(Nonlabor!$I$19="Seats",ROUNDUP('Monthly Growth'!I41,0),IF(Nonlabor!$I$19="Customers",'Monthly Growth'!D41,IF(Nonlabor!$I$19="NewCustomers",'Monthly Growth'!C41,IF(Nonlabor!$I$19="StorageGB",'Monthly Growth'!G41,IF(Nonlabor!$I$19="LogGB",'Monthly Growth'!H41,IF(Nonlabor!$I$19="RequestsM",'Monthly Growth'!F41,IF(Nonlabor!$I$19="InputM",'Monthly Growth'!D41*Assumptions!$E$22/1000000,IF(Nonlabor!$I$19="OutputM",'Monthly Growth'!D41*Assumptions!$E$23/1000000,0))))))))),0)</f>
        <v>0</v>
      </c>
      <c r="F3461" s="10" t="n">
        <f aca="false">Nonlabor!$J$19*(1+Assumptions!$E$9)^INT((C3461-1)/12)</f>
        <v>12979.2</v>
      </c>
      <c r="G3461" s="10" t="n">
        <f aca="false">E3461*F3461</f>
        <v>0</v>
      </c>
      <c r="H3461" s="10" t="n">
        <f aca="false">IF(OR(Nonlabor!$L$19="Quote required",Nonlabor!$L$19="Unverified"),G3461,0)</f>
        <v>0</v>
      </c>
      <c r="I3461" s="10" t="n">
        <f aca="false">IF(Nonlabor!$E$19="Core",0,G3461)</f>
        <v>0</v>
      </c>
      <c r="J3461" s="23" t="str">
        <f aca="false">Nonlabor!$B$19</f>
        <v>INSURANCE</v>
      </c>
    </row>
    <row r="3462" customFormat="false" ht="15" hidden="false" customHeight="false" outlineLevel="0" collapsed="false">
      <c r="A3462" s="6" t="s">
        <v>73</v>
      </c>
      <c r="B3462" s="6" t="s">
        <v>49</v>
      </c>
      <c r="C3462" s="6" t="n">
        <v>37</v>
      </c>
      <c r="D3462" s="25" t="n">
        <f aca="false">EDATE('Start Here'!$B$6,C3462-1)</f>
        <v>47423</v>
      </c>
      <c r="E3462" s="23" t="n">
        <f aca="false">IF(AND(OR(Nonlabor!$D$19="Both",Nonlabor!$D$19='Start Here'!$B$9),IF(Nonlabor!$E$19="Core",1,IF(Nonlabor!$E$19="AI",'Start Here'!$B$7,'Start Here'!$B$8))=1,C3462&gt;=IF(Nonlabor!$E$19="Core",Nonlabor!$F$19,MAX(Nonlabor!$F$19,IF(Nonlabor!$E$19="AI",Assumptions!$E$24,Assumptions!$E$25))),C3462&lt;=Nonlabor!$G$19,OR(Nonlabor!$H$19="Monthly",AND(Nonlabor!$H$19="Once",C3462=IF(Nonlabor!$E$19="Core",Nonlabor!$F$19,MAX(Nonlabor!$F$19,IF(Nonlabor!$E$19="AI",Assumptions!$E$24,Assumptions!$E$25)))),AND(Nonlabor!$H$19="Annual",MOD(C3462-IF(Nonlabor!$E$19="Core",Nonlabor!$F$19,MAX(Nonlabor!$F$19,IF(Nonlabor!$E$19="AI",Assumptions!$E$24,Assumptions!$E$25))),12)=0))),IF(Nonlabor!$I$19="Fixed",1,IF(Nonlabor!$I$19="Seats",ROUNDUP('Monthly Growth'!I42,0),IF(Nonlabor!$I$19="Customers",'Monthly Growth'!D42,IF(Nonlabor!$I$19="NewCustomers",'Monthly Growth'!C42,IF(Nonlabor!$I$19="StorageGB",'Monthly Growth'!G42,IF(Nonlabor!$I$19="LogGB",'Monthly Growth'!H42,IF(Nonlabor!$I$19="RequestsM",'Monthly Growth'!F42,IF(Nonlabor!$I$19="InputM",'Monthly Growth'!D42*Assumptions!$E$22/1000000,IF(Nonlabor!$I$19="OutputM",'Monthly Growth'!D42*Assumptions!$E$23/1000000,0))))))))),0)</f>
        <v>0</v>
      </c>
      <c r="F3462" s="10" t="n">
        <f aca="false">Nonlabor!$J$19*(1+Assumptions!$E$9)^INT((C3462-1)/12)</f>
        <v>13498.368</v>
      </c>
      <c r="G3462" s="10" t="n">
        <f aca="false">E3462*F3462</f>
        <v>0</v>
      </c>
      <c r="H3462" s="10" t="n">
        <f aca="false">IF(OR(Nonlabor!$L$19="Quote required",Nonlabor!$L$19="Unverified"),G3462,0)</f>
        <v>0</v>
      </c>
      <c r="I3462" s="10" t="n">
        <f aca="false">IF(Nonlabor!$E$19="Core",0,G3462)</f>
        <v>0</v>
      </c>
      <c r="J3462" s="23" t="str">
        <f aca="false">Nonlabor!$B$19</f>
        <v>INSURANCE</v>
      </c>
    </row>
    <row r="3463" customFormat="false" ht="15" hidden="false" customHeight="false" outlineLevel="0" collapsed="false">
      <c r="A3463" s="6" t="s">
        <v>73</v>
      </c>
      <c r="B3463" s="6" t="s">
        <v>49</v>
      </c>
      <c r="C3463" s="6" t="n">
        <v>38</v>
      </c>
      <c r="D3463" s="25" t="n">
        <f aca="false">EDATE('Start Here'!$B$6,C3463-1)</f>
        <v>47453</v>
      </c>
      <c r="E3463" s="23" t="n">
        <f aca="false">IF(AND(OR(Nonlabor!$D$19="Both",Nonlabor!$D$19='Start Here'!$B$9),IF(Nonlabor!$E$19="Core",1,IF(Nonlabor!$E$19="AI",'Start Here'!$B$7,'Start Here'!$B$8))=1,C3463&gt;=IF(Nonlabor!$E$19="Core",Nonlabor!$F$19,MAX(Nonlabor!$F$19,IF(Nonlabor!$E$19="AI",Assumptions!$E$24,Assumptions!$E$25))),C3463&lt;=Nonlabor!$G$19,OR(Nonlabor!$H$19="Monthly",AND(Nonlabor!$H$19="Once",C3463=IF(Nonlabor!$E$19="Core",Nonlabor!$F$19,MAX(Nonlabor!$F$19,IF(Nonlabor!$E$19="AI",Assumptions!$E$24,Assumptions!$E$25)))),AND(Nonlabor!$H$19="Annual",MOD(C3463-IF(Nonlabor!$E$19="Core",Nonlabor!$F$19,MAX(Nonlabor!$F$19,IF(Nonlabor!$E$19="AI",Assumptions!$E$24,Assumptions!$E$25))),12)=0))),IF(Nonlabor!$I$19="Fixed",1,IF(Nonlabor!$I$19="Seats",ROUNDUP('Monthly Growth'!I43,0),IF(Nonlabor!$I$19="Customers",'Monthly Growth'!D43,IF(Nonlabor!$I$19="NewCustomers",'Monthly Growth'!C43,IF(Nonlabor!$I$19="StorageGB",'Monthly Growth'!G43,IF(Nonlabor!$I$19="LogGB",'Monthly Growth'!H43,IF(Nonlabor!$I$19="RequestsM",'Monthly Growth'!F43,IF(Nonlabor!$I$19="InputM",'Monthly Growth'!D43*Assumptions!$E$22/1000000,IF(Nonlabor!$I$19="OutputM",'Monthly Growth'!D43*Assumptions!$E$23/1000000,0))))))))),0)</f>
        <v>0</v>
      </c>
      <c r="F3463" s="10" t="n">
        <f aca="false">Nonlabor!$J$19*(1+Assumptions!$E$9)^INT((C3463-1)/12)</f>
        <v>13498.368</v>
      </c>
      <c r="G3463" s="10" t="n">
        <f aca="false">E3463*F3463</f>
        <v>0</v>
      </c>
      <c r="H3463" s="10" t="n">
        <f aca="false">IF(OR(Nonlabor!$L$19="Quote required",Nonlabor!$L$19="Unverified"),G3463,0)</f>
        <v>0</v>
      </c>
      <c r="I3463" s="10" t="n">
        <f aca="false">IF(Nonlabor!$E$19="Core",0,G3463)</f>
        <v>0</v>
      </c>
      <c r="J3463" s="23" t="str">
        <f aca="false">Nonlabor!$B$19</f>
        <v>INSURANCE</v>
      </c>
    </row>
    <row r="3464" customFormat="false" ht="15" hidden="false" customHeight="false" outlineLevel="0" collapsed="false">
      <c r="A3464" s="6" t="s">
        <v>73</v>
      </c>
      <c r="B3464" s="6" t="s">
        <v>49</v>
      </c>
      <c r="C3464" s="6" t="n">
        <v>39</v>
      </c>
      <c r="D3464" s="25" t="n">
        <f aca="false">EDATE('Start Here'!$B$6,C3464-1)</f>
        <v>47484</v>
      </c>
      <c r="E3464" s="23" t="n">
        <f aca="false">IF(AND(OR(Nonlabor!$D$19="Both",Nonlabor!$D$19='Start Here'!$B$9),IF(Nonlabor!$E$19="Core",1,IF(Nonlabor!$E$19="AI",'Start Here'!$B$7,'Start Here'!$B$8))=1,C3464&gt;=IF(Nonlabor!$E$19="Core",Nonlabor!$F$19,MAX(Nonlabor!$F$19,IF(Nonlabor!$E$19="AI",Assumptions!$E$24,Assumptions!$E$25))),C3464&lt;=Nonlabor!$G$19,OR(Nonlabor!$H$19="Monthly",AND(Nonlabor!$H$19="Once",C3464=IF(Nonlabor!$E$19="Core",Nonlabor!$F$19,MAX(Nonlabor!$F$19,IF(Nonlabor!$E$19="AI",Assumptions!$E$24,Assumptions!$E$25)))),AND(Nonlabor!$H$19="Annual",MOD(C3464-IF(Nonlabor!$E$19="Core",Nonlabor!$F$19,MAX(Nonlabor!$F$19,IF(Nonlabor!$E$19="AI",Assumptions!$E$24,Assumptions!$E$25))),12)=0))),IF(Nonlabor!$I$19="Fixed",1,IF(Nonlabor!$I$19="Seats",ROUNDUP('Monthly Growth'!I44,0),IF(Nonlabor!$I$19="Customers",'Monthly Growth'!D44,IF(Nonlabor!$I$19="NewCustomers",'Monthly Growth'!C44,IF(Nonlabor!$I$19="StorageGB",'Monthly Growth'!G44,IF(Nonlabor!$I$19="LogGB",'Monthly Growth'!H44,IF(Nonlabor!$I$19="RequestsM",'Monthly Growth'!F44,IF(Nonlabor!$I$19="InputM",'Monthly Growth'!D44*Assumptions!$E$22/1000000,IF(Nonlabor!$I$19="OutputM",'Monthly Growth'!D44*Assumptions!$E$23/1000000,0))))))))),0)</f>
        <v>0</v>
      </c>
      <c r="F3464" s="10" t="n">
        <f aca="false">Nonlabor!$J$19*(1+Assumptions!$E$9)^INT((C3464-1)/12)</f>
        <v>13498.368</v>
      </c>
      <c r="G3464" s="10" t="n">
        <f aca="false">E3464*F3464</f>
        <v>0</v>
      </c>
      <c r="H3464" s="10" t="n">
        <f aca="false">IF(OR(Nonlabor!$L$19="Quote required",Nonlabor!$L$19="Unverified"),G3464,0)</f>
        <v>0</v>
      </c>
      <c r="I3464" s="10" t="n">
        <f aca="false">IF(Nonlabor!$E$19="Core",0,G3464)</f>
        <v>0</v>
      </c>
      <c r="J3464" s="23" t="str">
        <f aca="false">Nonlabor!$B$19</f>
        <v>INSURANCE</v>
      </c>
    </row>
    <row r="3465" customFormat="false" ht="15" hidden="false" customHeight="false" outlineLevel="0" collapsed="false">
      <c r="A3465" s="6" t="s">
        <v>73</v>
      </c>
      <c r="B3465" s="6" t="s">
        <v>49</v>
      </c>
      <c r="C3465" s="6" t="n">
        <v>40</v>
      </c>
      <c r="D3465" s="25" t="n">
        <f aca="false">EDATE('Start Here'!$B$6,C3465-1)</f>
        <v>47515</v>
      </c>
      <c r="E3465" s="23" t="n">
        <f aca="false">IF(AND(OR(Nonlabor!$D$19="Both",Nonlabor!$D$19='Start Here'!$B$9),IF(Nonlabor!$E$19="Core",1,IF(Nonlabor!$E$19="AI",'Start Here'!$B$7,'Start Here'!$B$8))=1,C3465&gt;=IF(Nonlabor!$E$19="Core",Nonlabor!$F$19,MAX(Nonlabor!$F$19,IF(Nonlabor!$E$19="AI",Assumptions!$E$24,Assumptions!$E$25))),C3465&lt;=Nonlabor!$G$19,OR(Nonlabor!$H$19="Monthly",AND(Nonlabor!$H$19="Once",C3465=IF(Nonlabor!$E$19="Core",Nonlabor!$F$19,MAX(Nonlabor!$F$19,IF(Nonlabor!$E$19="AI",Assumptions!$E$24,Assumptions!$E$25)))),AND(Nonlabor!$H$19="Annual",MOD(C3465-IF(Nonlabor!$E$19="Core",Nonlabor!$F$19,MAX(Nonlabor!$F$19,IF(Nonlabor!$E$19="AI",Assumptions!$E$24,Assumptions!$E$25))),12)=0))),IF(Nonlabor!$I$19="Fixed",1,IF(Nonlabor!$I$19="Seats",ROUNDUP('Monthly Growth'!I45,0),IF(Nonlabor!$I$19="Customers",'Monthly Growth'!D45,IF(Nonlabor!$I$19="NewCustomers",'Monthly Growth'!C45,IF(Nonlabor!$I$19="StorageGB",'Monthly Growth'!G45,IF(Nonlabor!$I$19="LogGB",'Monthly Growth'!H45,IF(Nonlabor!$I$19="RequestsM",'Monthly Growth'!F45,IF(Nonlabor!$I$19="InputM",'Monthly Growth'!D45*Assumptions!$E$22/1000000,IF(Nonlabor!$I$19="OutputM",'Monthly Growth'!D45*Assumptions!$E$23/1000000,0))))))))),0)</f>
        <v>0</v>
      </c>
      <c r="F3465" s="10" t="n">
        <f aca="false">Nonlabor!$J$19*(1+Assumptions!$E$9)^INT((C3465-1)/12)</f>
        <v>13498.368</v>
      </c>
      <c r="G3465" s="10" t="n">
        <f aca="false">E3465*F3465</f>
        <v>0</v>
      </c>
      <c r="H3465" s="10" t="n">
        <f aca="false">IF(OR(Nonlabor!$L$19="Quote required",Nonlabor!$L$19="Unverified"),G3465,0)</f>
        <v>0</v>
      </c>
      <c r="I3465" s="10" t="n">
        <f aca="false">IF(Nonlabor!$E$19="Core",0,G3465)</f>
        <v>0</v>
      </c>
      <c r="J3465" s="23" t="str">
        <f aca="false">Nonlabor!$B$19</f>
        <v>INSURANCE</v>
      </c>
    </row>
    <row r="3466" customFormat="false" ht="15" hidden="false" customHeight="false" outlineLevel="0" collapsed="false">
      <c r="A3466" s="6" t="s">
        <v>73</v>
      </c>
      <c r="B3466" s="6" t="s">
        <v>49</v>
      </c>
      <c r="C3466" s="6" t="n">
        <v>41</v>
      </c>
      <c r="D3466" s="25" t="n">
        <f aca="false">EDATE('Start Here'!$B$6,C3466-1)</f>
        <v>47543</v>
      </c>
      <c r="E3466" s="23" t="n">
        <f aca="false">IF(AND(OR(Nonlabor!$D$19="Both",Nonlabor!$D$19='Start Here'!$B$9),IF(Nonlabor!$E$19="Core",1,IF(Nonlabor!$E$19="AI",'Start Here'!$B$7,'Start Here'!$B$8))=1,C3466&gt;=IF(Nonlabor!$E$19="Core",Nonlabor!$F$19,MAX(Nonlabor!$F$19,IF(Nonlabor!$E$19="AI",Assumptions!$E$24,Assumptions!$E$25))),C3466&lt;=Nonlabor!$G$19,OR(Nonlabor!$H$19="Monthly",AND(Nonlabor!$H$19="Once",C3466=IF(Nonlabor!$E$19="Core",Nonlabor!$F$19,MAX(Nonlabor!$F$19,IF(Nonlabor!$E$19="AI",Assumptions!$E$24,Assumptions!$E$25)))),AND(Nonlabor!$H$19="Annual",MOD(C3466-IF(Nonlabor!$E$19="Core",Nonlabor!$F$19,MAX(Nonlabor!$F$19,IF(Nonlabor!$E$19="AI",Assumptions!$E$24,Assumptions!$E$25))),12)=0))),IF(Nonlabor!$I$19="Fixed",1,IF(Nonlabor!$I$19="Seats",ROUNDUP('Monthly Growth'!I46,0),IF(Nonlabor!$I$19="Customers",'Monthly Growth'!D46,IF(Nonlabor!$I$19="NewCustomers",'Monthly Growth'!C46,IF(Nonlabor!$I$19="StorageGB",'Monthly Growth'!G46,IF(Nonlabor!$I$19="LogGB",'Monthly Growth'!H46,IF(Nonlabor!$I$19="RequestsM",'Monthly Growth'!F46,IF(Nonlabor!$I$19="InputM",'Monthly Growth'!D46*Assumptions!$E$22/1000000,IF(Nonlabor!$I$19="OutputM",'Monthly Growth'!D46*Assumptions!$E$23/1000000,0))))))))),0)</f>
        <v>0</v>
      </c>
      <c r="F3466" s="10" t="n">
        <f aca="false">Nonlabor!$J$19*(1+Assumptions!$E$9)^INT((C3466-1)/12)</f>
        <v>13498.368</v>
      </c>
      <c r="G3466" s="10" t="n">
        <f aca="false">E3466*F3466</f>
        <v>0</v>
      </c>
      <c r="H3466" s="10" t="n">
        <f aca="false">IF(OR(Nonlabor!$L$19="Quote required",Nonlabor!$L$19="Unverified"),G3466,0)</f>
        <v>0</v>
      </c>
      <c r="I3466" s="10" t="n">
        <f aca="false">IF(Nonlabor!$E$19="Core",0,G3466)</f>
        <v>0</v>
      </c>
      <c r="J3466" s="23" t="str">
        <f aca="false">Nonlabor!$B$19</f>
        <v>INSURANCE</v>
      </c>
    </row>
    <row r="3467" customFormat="false" ht="15" hidden="false" customHeight="false" outlineLevel="0" collapsed="false">
      <c r="A3467" s="6" t="s">
        <v>73</v>
      </c>
      <c r="B3467" s="6" t="s">
        <v>49</v>
      </c>
      <c r="C3467" s="6" t="n">
        <v>42</v>
      </c>
      <c r="D3467" s="25" t="n">
        <f aca="false">EDATE('Start Here'!$B$6,C3467-1)</f>
        <v>47574</v>
      </c>
      <c r="E3467" s="23" t="n">
        <f aca="false">IF(AND(OR(Nonlabor!$D$19="Both",Nonlabor!$D$19='Start Here'!$B$9),IF(Nonlabor!$E$19="Core",1,IF(Nonlabor!$E$19="AI",'Start Here'!$B$7,'Start Here'!$B$8))=1,C3467&gt;=IF(Nonlabor!$E$19="Core",Nonlabor!$F$19,MAX(Nonlabor!$F$19,IF(Nonlabor!$E$19="AI",Assumptions!$E$24,Assumptions!$E$25))),C3467&lt;=Nonlabor!$G$19,OR(Nonlabor!$H$19="Monthly",AND(Nonlabor!$H$19="Once",C3467=IF(Nonlabor!$E$19="Core",Nonlabor!$F$19,MAX(Nonlabor!$F$19,IF(Nonlabor!$E$19="AI",Assumptions!$E$24,Assumptions!$E$25)))),AND(Nonlabor!$H$19="Annual",MOD(C3467-IF(Nonlabor!$E$19="Core",Nonlabor!$F$19,MAX(Nonlabor!$F$19,IF(Nonlabor!$E$19="AI",Assumptions!$E$24,Assumptions!$E$25))),12)=0))),IF(Nonlabor!$I$19="Fixed",1,IF(Nonlabor!$I$19="Seats",ROUNDUP('Monthly Growth'!I47,0),IF(Nonlabor!$I$19="Customers",'Monthly Growth'!D47,IF(Nonlabor!$I$19="NewCustomers",'Monthly Growth'!C47,IF(Nonlabor!$I$19="StorageGB",'Monthly Growth'!G47,IF(Nonlabor!$I$19="LogGB",'Monthly Growth'!H47,IF(Nonlabor!$I$19="RequestsM",'Monthly Growth'!F47,IF(Nonlabor!$I$19="InputM",'Monthly Growth'!D47*Assumptions!$E$22/1000000,IF(Nonlabor!$I$19="OutputM",'Monthly Growth'!D47*Assumptions!$E$23/1000000,0))))))))),0)</f>
        <v>0</v>
      </c>
      <c r="F3467" s="10" t="n">
        <f aca="false">Nonlabor!$J$19*(1+Assumptions!$E$9)^INT((C3467-1)/12)</f>
        <v>13498.368</v>
      </c>
      <c r="G3467" s="10" t="n">
        <f aca="false">E3467*F3467</f>
        <v>0</v>
      </c>
      <c r="H3467" s="10" t="n">
        <f aca="false">IF(OR(Nonlabor!$L$19="Quote required",Nonlabor!$L$19="Unverified"),G3467,0)</f>
        <v>0</v>
      </c>
      <c r="I3467" s="10" t="n">
        <f aca="false">IF(Nonlabor!$E$19="Core",0,G3467)</f>
        <v>0</v>
      </c>
      <c r="J3467" s="23" t="str">
        <f aca="false">Nonlabor!$B$19</f>
        <v>INSURANCE</v>
      </c>
    </row>
    <row r="3468" customFormat="false" ht="15" hidden="false" customHeight="false" outlineLevel="0" collapsed="false">
      <c r="A3468" s="6" t="s">
        <v>73</v>
      </c>
      <c r="B3468" s="6" t="s">
        <v>49</v>
      </c>
      <c r="C3468" s="6" t="n">
        <v>43</v>
      </c>
      <c r="D3468" s="25" t="n">
        <f aca="false">EDATE('Start Here'!$B$6,C3468-1)</f>
        <v>47604</v>
      </c>
      <c r="E3468" s="23" t="n">
        <f aca="false">IF(AND(OR(Nonlabor!$D$19="Both",Nonlabor!$D$19='Start Here'!$B$9),IF(Nonlabor!$E$19="Core",1,IF(Nonlabor!$E$19="AI",'Start Here'!$B$7,'Start Here'!$B$8))=1,C3468&gt;=IF(Nonlabor!$E$19="Core",Nonlabor!$F$19,MAX(Nonlabor!$F$19,IF(Nonlabor!$E$19="AI",Assumptions!$E$24,Assumptions!$E$25))),C3468&lt;=Nonlabor!$G$19,OR(Nonlabor!$H$19="Monthly",AND(Nonlabor!$H$19="Once",C3468=IF(Nonlabor!$E$19="Core",Nonlabor!$F$19,MAX(Nonlabor!$F$19,IF(Nonlabor!$E$19="AI",Assumptions!$E$24,Assumptions!$E$25)))),AND(Nonlabor!$H$19="Annual",MOD(C3468-IF(Nonlabor!$E$19="Core",Nonlabor!$F$19,MAX(Nonlabor!$F$19,IF(Nonlabor!$E$19="AI",Assumptions!$E$24,Assumptions!$E$25))),12)=0))),IF(Nonlabor!$I$19="Fixed",1,IF(Nonlabor!$I$19="Seats",ROUNDUP('Monthly Growth'!I48,0),IF(Nonlabor!$I$19="Customers",'Monthly Growth'!D48,IF(Nonlabor!$I$19="NewCustomers",'Monthly Growth'!C48,IF(Nonlabor!$I$19="StorageGB",'Monthly Growth'!G48,IF(Nonlabor!$I$19="LogGB",'Monthly Growth'!H48,IF(Nonlabor!$I$19="RequestsM",'Monthly Growth'!F48,IF(Nonlabor!$I$19="InputM",'Monthly Growth'!D48*Assumptions!$E$22/1000000,IF(Nonlabor!$I$19="OutputM",'Monthly Growth'!D48*Assumptions!$E$23/1000000,0))))))))),0)</f>
        <v>0</v>
      </c>
      <c r="F3468" s="10" t="n">
        <f aca="false">Nonlabor!$J$19*(1+Assumptions!$E$9)^INT((C3468-1)/12)</f>
        <v>13498.368</v>
      </c>
      <c r="G3468" s="10" t="n">
        <f aca="false">E3468*F3468</f>
        <v>0</v>
      </c>
      <c r="H3468" s="10" t="n">
        <f aca="false">IF(OR(Nonlabor!$L$19="Quote required",Nonlabor!$L$19="Unverified"),G3468,0)</f>
        <v>0</v>
      </c>
      <c r="I3468" s="10" t="n">
        <f aca="false">IF(Nonlabor!$E$19="Core",0,G3468)</f>
        <v>0</v>
      </c>
      <c r="J3468" s="23" t="str">
        <f aca="false">Nonlabor!$B$19</f>
        <v>INSURANCE</v>
      </c>
    </row>
    <row r="3469" customFormat="false" ht="15" hidden="false" customHeight="false" outlineLevel="0" collapsed="false">
      <c r="A3469" s="6" t="s">
        <v>73</v>
      </c>
      <c r="B3469" s="6" t="s">
        <v>49</v>
      </c>
      <c r="C3469" s="6" t="n">
        <v>44</v>
      </c>
      <c r="D3469" s="25" t="n">
        <f aca="false">EDATE('Start Here'!$B$6,C3469-1)</f>
        <v>47635</v>
      </c>
      <c r="E3469" s="23" t="n">
        <f aca="false">IF(AND(OR(Nonlabor!$D$19="Both",Nonlabor!$D$19='Start Here'!$B$9),IF(Nonlabor!$E$19="Core",1,IF(Nonlabor!$E$19="AI",'Start Here'!$B$7,'Start Here'!$B$8))=1,C3469&gt;=IF(Nonlabor!$E$19="Core",Nonlabor!$F$19,MAX(Nonlabor!$F$19,IF(Nonlabor!$E$19="AI",Assumptions!$E$24,Assumptions!$E$25))),C3469&lt;=Nonlabor!$G$19,OR(Nonlabor!$H$19="Monthly",AND(Nonlabor!$H$19="Once",C3469=IF(Nonlabor!$E$19="Core",Nonlabor!$F$19,MAX(Nonlabor!$F$19,IF(Nonlabor!$E$19="AI",Assumptions!$E$24,Assumptions!$E$25)))),AND(Nonlabor!$H$19="Annual",MOD(C3469-IF(Nonlabor!$E$19="Core",Nonlabor!$F$19,MAX(Nonlabor!$F$19,IF(Nonlabor!$E$19="AI",Assumptions!$E$24,Assumptions!$E$25))),12)=0))),IF(Nonlabor!$I$19="Fixed",1,IF(Nonlabor!$I$19="Seats",ROUNDUP('Monthly Growth'!I49,0),IF(Nonlabor!$I$19="Customers",'Monthly Growth'!D49,IF(Nonlabor!$I$19="NewCustomers",'Monthly Growth'!C49,IF(Nonlabor!$I$19="StorageGB",'Monthly Growth'!G49,IF(Nonlabor!$I$19="LogGB",'Monthly Growth'!H49,IF(Nonlabor!$I$19="RequestsM",'Monthly Growth'!F49,IF(Nonlabor!$I$19="InputM",'Monthly Growth'!D49*Assumptions!$E$22/1000000,IF(Nonlabor!$I$19="OutputM",'Monthly Growth'!D49*Assumptions!$E$23/1000000,0))))))))),0)</f>
        <v>0</v>
      </c>
      <c r="F3469" s="10" t="n">
        <f aca="false">Nonlabor!$J$19*(1+Assumptions!$E$9)^INT((C3469-1)/12)</f>
        <v>13498.368</v>
      </c>
      <c r="G3469" s="10" t="n">
        <f aca="false">E3469*F3469</f>
        <v>0</v>
      </c>
      <c r="H3469" s="10" t="n">
        <f aca="false">IF(OR(Nonlabor!$L$19="Quote required",Nonlabor!$L$19="Unverified"),G3469,0)</f>
        <v>0</v>
      </c>
      <c r="I3469" s="10" t="n">
        <f aca="false">IF(Nonlabor!$E$19="Core",0,G3469)</f>
        <v>0</v>
      </c>
      <c r="J3469" s="23" t="str">
        <f aca="false">Nonlabor!$B$19</f>
        <v>INSURANCE</v>
      </c>
    </row>
    <row r="3470" customFormat="false" ht="15" hidden="false" customHeight="false" outlineLevel="0" collapsed="false">
      <c r="A3470" s="6" t="s">
        <v>73</v>
      </c>
      <c r="B3470" s="6" t="s">
        <v>49</v>
      </c>
      <c r="C3470" s="6" t="n">
        <v>45</v>
      </c>
      <c r="D3470" s="25" t="n">
        <f aca="false">EDATE('Start Here'!$B$6,C3470-1)</f>
        <v>47665</v>
      </c>
      <c r="E3470" s="23" t="n">
        <f aca="false">IF(AND(OR(Nonlabor!$D$19="Both",Nonlabor!$D$19='Start Here'!$B$9),IF(Nonlabor!$E$19="Core",1,IF(Nonlabor!$E$19="AI",'Start Here'!$B$7,'Start Here'!$B$8))=1,C3470&gt;=IF(Nonlabor!$E$19="Core",Nonlabor!$F$19,MAX(Nonlabor!$F$19,IF(Nonlabor!$E$19="AI",Assumptions!$E$24,Assumptions!$E$25))),C3470&lt;=Nonlabor!$G$19,OR(Nonlabor!$H$19="Monthly",AND(Nonlabor!$H$19="Once",C3470=IF(Nonlabor!$E$19="Core",Nonlabor!$F$19,MAX(Nonlabor!$F$19,IF(Nonlabor!$E$19="AI",Assumptions!$E$24,Assumptions!$E$25)))),AND(Nonlabor!$H$19="Annual",MOD(C3470-IF(Nonlabor!$E$19="Core",Nonlabor!$F$19,MAX(Nonlabor!$F$19,IF(Nonlabor!$E$19="AI",Assumptions!$E$24,Assumptions!$E$25))),12)=0))),IF(Nonlabor!$I$19="Fixed",1,IF(Nonlabor!$I$19="Seats",ROUNDUP('Monthly Growth'!I50,0),IF(Nonlabor!$I$19="Customers",'Monthly Growth'!D50,IF(Nonlabor!$I$19="NewCustomers",'Monthly Growth'!C50,IF(Nonlabor!$I$19="StorageGB",'Monthly Growth'!G50,IF(Nonlabor!$I$19="LogGB",'Monthly Growth'!H50,IF(Nonlabor!$I$19="RequestsM",'Monthly Growth'!F50,IF(Nonlabor!$I$19="InputM",'Monthly Growth'!D50*Assumptions!$E$22/1000000,IF(Nonlabor!$I$19="OutputM",'Monthly Growth'!D50*Assumptions!$E$23/1000000,0))))))))),0)</f>
        <v>1</v>
      </c>
      <c r="F3470" s="10" t="n">
        <f aca="false">Nonlabor!$J$19*(1+Assumptions!$E$9)^INT((C3470-1)/12)</f>
        <v>13498.368</v>
      </c>
      <c r="G3470" s="10" t="n">
        <f aca="false">E3470*F3470</f>
        <v>13498.368</v>
      </c>
      <c r="H3470" s="10" t="n">
        <f aca="false">IF(OR(Nonlabor!$L$19="Quote required",Nonlabor!$L$19="Unverified"),G3470,0)</f>
        <v>13498.368</v>
      </c>
      <c r="I3470" s="10" t="n">
        <f aca="false">IF(Nonlabor!$E$19="Core",0,G3470)</f>
        <v>0</v>
      </c>
      <c r="J3470" s="23" t="str">
        <f aca="false">Nonlabor!$B$19</f>
        <v>INSURANCE</v>
      </c>
    </row>
    <row r="3471" customFormat="false" ht="15" hidden="false" customHeight="false" outlineLevel="0" collapsed="false">
      <c r="A3471" s="6" t="s">
        <v>73</v>
      </c>
      <c r="B3471" s="6" t="s">
        <v>49</v>
      </c>
      <c r="C3471" s="6" t="n">
        <v>46</v>
      </c>
      <c r="D3471" s="25" t="n">
        <f aca="false">EDATE('Start Here'!$B$6,C3471-1)</f>
        <v>47696</v>
      </c>
      <c r="E3471" s="23" t="n">
        <f aca="false">IF(AND(OR(Nonlabor!$D$19="Both",Nonlabor!$D$19='Start Here'!$B$9),IF(Nonlabor!$E$19="Core",1,IF(Nonlabor!$E$19="AI",'Start Here'!$B$7,'Start Here'!$B$8))=1,C3471&gt;=IF(Nonlabor!$E$19="Core",Nonlabor!$F$19,MAX(Nonlabor!$F$19,IF(Nonlabor!$E$19="AI",Assumptions!$E$24,Assumptions!$E$25))),C3471&lt;=Nonlabor!$G$19,OR(Nonlabor!$H$19="Monthly",AND(Nonlabor!$H$19="Once",C3471=IF(Nonlabor!$E$19="Core",Nonlabor!$F$19,MAX(Nonlabor!$F$19,IF(Nonlabor!$E$19="AI",Assumptions!$E$24,Assumptions!$E$25)))),AND(Nonlabor!$H$19="Annual",MOD(C3471-IF(Nonlabor!$E$19="Core",Nonlabor!$F$19,MAX(Nonlabor!$F$19,IF(Nonlabor!$E$19="AI",Assumptions!$E$24,Assumptions!$E$25))),12)=0))),IF(Nonlabor!$I$19="Fixed",1,IF(Nonlabor!$I$19="Seats",ROUNDUP('Monthly Growth'!I51,0),IF(Nonlabor!$I$19="Customers",'Monthly Growth'!D51,IF(Nonlabor!$I$19="NewCustomers",'Monthly Growth'!C51,IF(Nonlabor!$I$19="StorageGB",'Monthly Growth'!G51,IF(Nonlabor!$I$19="LogGB",'Monthly Growth'!H51,IF(Nonlabor!$I$19="RequestsM",'Monthly Growth'!F51,IF(Nonlabor!$I$19="InputM",'Monthly Growth'!D51*Assumptions!$E$22/1000000,IF(Nonlabor!$I$19="OutputM",'Monthly Growth'!D51*Assumptions!$E$23/1000000,0))))))))),0)</f>
        <v>0</v>
      </c>
      <c r="F3471" s="10" t="n">
        <f aca="false">Nonlabor!$J$19*(1+Assumptions!$E$9)^INT((C3471-1)/12)</f>
        <v>13498.368</v>
      </c>
      <c r="G3471" s="10" t="n">
        <f aca="false">E3471*F3471</f>
        <v>0</v>
      </c>
      <c r="H3471" s="10" t="n">
        <f aca="false">IF(OR(Nonlabor!$L$19="Quote required",Nonlabor!$L$19="Unverified"),G3471,0)</f>
        <v>0</v>
      </c>
      <c r="I3471" s="10" t="n">
        <f aca="false">IF(Nonlabor!$E$19="Core",0,G3471)</f>
        <v>0</v>
      </c>
      <c r="J3471" s="23" t="str">
        <f aca="false">Nonlabor!$B$19</f>
        <v>INSURANCE</v>
      </c>
    </row>
    <row r="3472" customFormat="false" ht="15" hidden="false" customHeight="false" outlineLevel="0" collapsed="false">
      <c r="A3472" s="6" t="s">
        <v>73</v>
      </c>
      <c r="B3472" s="6" t="s">
        <v>49</v>
      </c>
      <c r="C3472" s="6" t="n">
        <v>47</v>
      </c>
      <c r="D3472" s="25" t="n">
        <f aca="false">EDATE('Start Here'!$B$6,C3472-1)</f>
        <v>47727</v>
      </c>
      <c r="E3472" s="23" t="n">
        <f aca="false">IF(AND(OR(Nonlabor!$D$19="Both",Nonlabor!$D$19='Start Here'!$B$9),IF(Nonlabor!$E$19="Core",1,IF(Nonlabor!$E$19="AI",'Start Here'!$B$7,'Start Here'!$B$8))=1,C3472&gt;=IF(Nonlabor!$E$19="Core",Nonlabor!$F$19,MAX(Nonlabor!$F$19,IF(Nonlabor!$E$19="AI",Assumptions!$E$24,Assumptions!$E$25))),C3472&lt;=Nonlabor!$G$19,OR(Nonlabor!$H$19="Monthly",AND(Nonlabor!$H$19="Once",C3472=IF(Nonlabor!$E$19="Core",Nonlabor!$F$19,MAX(Nonlabor!$F$19,IF(Nonlabor!$E$19="AI",Assumptions!$E$24,Assumptions!$E$25)))),AND(Nonlabor!$H$19="Annual",MOD(C3472-IF(Nonlabor!$E$19="Core",Nonlabor!$F$19,MAX(Nonlabor!$F$19,IF(Nonlabor!$E$19="AI",Assumptions!$E$24,Assumptions!$E$25))),12)=0))),IF(Nonlabor!$I$19="Fixed",1,IF(Nonlabor!$I$19="Seats",ROUNDUP('Monthly Growth'!I52,0),IF(Nonlabor!$I$19="Customers",'Monthly Growth'!D52,IF(Nonlabor!$I$19="NewCustomers",'Monthly Growth'!C52,IF(Nonlabor!$I$19="StorageGB",'Monthly Growth'!G52,IF(Nonlabor!$I$19="LogGB",'Monthly Growth'!H52,IF(Nonlabor!$I$19="RequestsM",'Monthly Growth'!F52,IF(Nonlabor!$I$19="InputM",'Monthly Growth'!D52*Assumptions!$E$22/1000000,IF(Nonlabor!$I$19="OutputM",'Monthly Growth'!D52*Assumptions!$E$23/1000000,0))))))))),0)</f>
        <v>0</v>
      </c>
      <c r="F3472" s="10" t="n">
        <f aca="false">Nonlabor!$J$19*(1+Assumptions!$E$9)^INT((C3472-1)/12)</f>
        <v>13498.368</v>
      </c>
      <c r="G3472" s="10" t="n">
        <f aca="false">E3472*F3472</f>
        <v>0</v>
      </c>
      <c r="H3472" s="10" t="n">
        <f aca="false">IF(OR(Nonlabor!$L$19="Quote required",Nonlabor!$L$19="Unverified"),G3472,0)</f>
        <v>0</v>
      </c>
      <c r="I3472" s="10" t="n">
        <f aca="false">IF(Nonlabor!$E$19="Core",0,G3472)</f>
        <v>0</v>
      </c>
      <c r="J3472" s="23" t="str">
        <f aca="false">Nonlabor!$B$19</f>
        <v>INSURANCE</v>
      </c>
    </row>
    <row r="3473" customFormat="false" ht="15" hidden="false" customHeight="false" outlineLevel="0" collapsed="false">
      <c r="A3473" s="6" t="s">
        <v>73</v>
      </c>
      <c r="B3473" s="6" t="s">
        <v>49</v>
      </c>
      <c r="C3473" s="6" t="n">
        <v>48</v>
      </c>
      <c r="D3473" s="25" t="n">
        <f aca="false">EDATE('Start Here'!$B$6,C3473-1)</f>
        <v>47757</v>
      </c>
      <c r="E3473" s="23" t="n">
        <f aca="false">IF(AND(OR(Nonlabor!$D$19="Both",Nonlabor!$D$19='Start Here'!$B$9),IF(Nonlabor!$E$19="Core",1,IF(Nonlabor!$E$19="AI",'Start Here'!$B$7,'Start Here'!$B$8))=1,C3473&gt;=IF(Nonlabor!$E$19="Core",Nonlabor!$F$19,MAX(Nonlabor!$F$19,IF(Nonlabor!$E$19="AI",Assumptions!$E$24,Assumptions!$E$25))),C3473&lt;=Nonlabor!$G$19,OR(Nonlabor!$H$19="Monthly",AND(Nonlabor!$H$19="Once",C3473=IF(Nonlabor!$E$19="Core",Nonlabor!$F$19,MAX(Nonlabor!$F$19,IF(Nonlabor!$E$19="AI",Assumptions!$E$24,Assumptions!$E$25)))),AND(Nonlabor!$H$19="Annual",MOD(C3473-IF(Nonlabor!$E$19="Core",Nonlabor!$F$19,MAX(Nonlabor!$F$19,IF(Nonlabor!$E$19="AI",Assumptions!$E$24,Assumptions!$E$25))),12)=0))),IF(Nonlabor!$I$19="Fixed",1,IF(Nonlabor!$I$19="Seats",ROUNDUP('Monthly Growth'!I53,0),IF(Nonlabor!$I$19="Customers",'Monthly Growth'!D53,IF(Nonlabor!$I$19="NewCustomers",'Monthly Growth'!C53,IF(Nonlabor!$I$19="StorageGB",'Monthly Growth'!G53,IF(Nonlabor!$I$19="LogGB",'Monthly Growth'!H53,IF(Nonlabor!$I$19="RequestsM",'Monthly Growth'!F53,IF(Nonlabor!$I$19="InputM",'Monthly Growth'!D53*Assumptions!$E$22/1000000,IF(Nonlabor!$I$19="OutputM",'Monthly Growth'!D53*Assumptions!$E$23/1000000,0))))))))),0)</f>
        <v>0</v>
      </c>
      <c r="F3473" s="10" t="n">
        <f aca="false">Nonlabor!$J$19*(1+Assumptions!$E$9)^INT((C3473-1)/12)</f>
        <v>13498.368</v>
      </c>
      <c r="G3473" s="10" t="n">
        <f aca="false">E3473*F3473</f>
        <v>0</v>
      </c>
      <c r="H3473" s="10" t="n">
        <f aca="false">IF(OR(Nonlabor!$L$19="Quote required",Nonlabor!$L$19="Unverified"),G3473,0)</f>
        <v>0</v>
      </c>
      <c r="I3473" s="10" t="n">
        <f aca="false">IF(Nonlabor!$E$19="Core",0,G3473)</f>
        <v>0</v>
      </c>
      <c r="J3473" s="23" t="str">
        <f aca="false">Nonlabor!$B$19</f>
        <v>INSURANCE</v>
      </c>
    </row>
    <row r="3474" customFormat="false" ht="15" hidden="false" customHeight="false" outlineLevel="0" collapsed="false">
      <c r="A3474" s="6" t="s">
        <v>73</v>
      </c>
      <c r="B3474" s="6" t="s">
        <v>49</v>
      </c>
      <c r="C3474" s="6" t="n">
        <v>49</v>
      </c>
      <c r="D3474" s="25" t="n">
        <f aca="false">EDATE('Start Here'!$B$6,C3474-1)</f>
        <v>47788</v>
      </c>
      <c r="E3474" s="23" t="n">
        <f aca="false">IF(AND(OR(Nonlabor!$D$19="Both",Nonlabor!$D$19='Start Here'!$B$9),IF(Nonlabor!$E$19="Core",1,IF(Nonlabor!$E$19="AI",'Start Here'!$B$7,'Start Here'!$B$8))=1,C3474&gt;=IF(Nonlabor!$E$19="Core",Nonlabor!$F$19,MAX(Nonlabor!$F$19,IF(Nonlabor!$E$19="AI",Assumptions!$E$24,Assumptions!$E$25))),C3474&lt;=Nonlabor!$G$19,OR(Nonlabor!$H$19="Monthly",AND(Nonlabor!$H$19="Once",C3474=IF(Nonlabor!$E$19="Core",Nonlabor!$F$19,MAX(Nonlabor!$F$19,IF(Nonlabor!$E$19="AI",Assumptions!$E$24,Assumptions!$E$25)))),AND(Nonlabor!$H$19="Annual",MOD(C3474-IF(Nonlabor!$E$19="Core",Nonlabor!$F$19,MAX(Nonlabor!$F$19,IF(Nonlabor!$E$19="AI",Assumptions!$E$24,Assumptions!$E$25))),12)=0))),IF(Nonlabor!$I$19="Fixed",1,IF(Nonlabor!$I$19="Seats",ROUNDUP('Monthly Growth'!I54,0),IF(Nonlabor!$I$19="Customers",'Monthly Growth'!D54,IF(Nonlabor!$I$19="NewCustomers",'Monthly Growth'!C54,IF(Nonlabor!$I$19="StorageGB",'Monthly Growth'!G54,IF(Nonlabor!$I$19="LogGB",'Monthly Growth'!H54,IF(Nonlabor!$I$19="RequestsM",'Monthly Growth'!F54,IF(Nonlabor!$I$19="InputM",'Monthly Growth'!D54*Assumptions!$E$22/1000000,IF(Nonlabor!$I$19="OutputM",'Monthly Growth'!D54*Assumptions!$E$23/1000000,0))))))))),0)</f>
        <v>0</v>
      </c>
      <c r="F3474" s="10" t="n">
        <f aca="false">Nonlabor!$J$19*(1+Assumptions!$E$9)^INT((C3474-1)/12)</f>
        <v>14038.30272</v>
      </c>
      <c r="G3474" s="10" t="n">
        <f aca="false">E3474*F3474</f>
        <v>0</v>
      </c>
      <c r="H3474" s="10" t="n">
        <f aca="false">IF(OR(Nonlabor!$L$19="Quote required",Nonlabor!$L$19="Unverified"),G3474,0)</f>
        <v>0</v>
      </c>
      <c r="I3474" s="10" t="n">
        <f aca="false">IF(Nonlabor!$E$19="Core",0,G3474)</f>
        <v>0</v>
      </c>
      <c r="J3474" s="23" t="str">
        <f aca="false">Nonlabor!$B$19</f>
        <v>INSURANCE</v>
      </c>
    </row>
    <row r="3475" customFormat="false" ht="15" hidden="false" customHeight="false" outlineLevel="0" collapsed="false">
      <c r="A3475" s="6" t="s">
        <v>73</v>
      </c>
      <c r="B3475" s="6" t="s">
        <v>49</v>
      </c>
      <c r="C3475" s="6" t="n">
        <v>50</v>
      </c>
      <c r="D3475" s="25" t="n">
        <f aca="false">EDATE('Start Here'!$B$6,C3475-1)</f>
        <v>47818</v>
      </c>
      <c r="E3475" s="23" t="n">
        <f aca="false">IF(AND(OR(Nonlabor!$D$19="Both",Nonlabor!$D$19='Start Here'!$B$9),IF(Nonlabor!$E$19="Core",1,IF(Nonlabor!$E$19="AI",'Start Here'!$B$7,'Start Here'!$B$8))=1,C3475&gt;=IF(Nonlabor!$E$19="Core",Nonlabor!$F$19,MAX(Nonlabor!$F$19,IF(Nonlabor!$E$19="AI",Assumptions!$E$24,Assumptions!$E$25))),C3475&lt;=Nonlabor!$G$19,OR(Nonlabor!$H$19="Monthly",AND(Nonlabor!$H$19="Once",C3475=IF(Nonlabor!$E$19="Core",Nonlabor!$F$19,MAX(Nonlabor!$F$19,IF(Nonlabor!$E$19="AI",Assumptions!$E$24,Assumptions!$E$25)))),AND(Nonlabor!$H$19="Annual",MOD(C3475-IF(Nonlabor!$E$19="Core",Nonlabor!$F$19,MAX(Nonlabor!$F$19,IF(Nonlabor!$E$19="AI",Assumptions!$E$24,Assumptions!$E$25))),12)=0))),IF(Nonlabor!$I$19="Fixed",1,IF(Nonlabor!$I$19="Seats",ROUNDUP('Monthly Growth'!I55,0),IF(Nonlabor!$I$19="Customers",'Monthly Growth'!D55,IF(Nonlabor!$I$19="NewCustomers",'Monthly Growth'!C55,IF(Nonlabor!$I$19="StorageGB",'Monthly Growth'!G55,IF(Nonlabor!$I$19="LogGB",'Monthly Growth'!H55,IF(Nonlabor!$I$19="RequestsM",'Monthly Growth'!F55,IF(Nonlabor!$I$19="InputM",'Monthly Growth'!D55*Assumptions!$E$22/1000000,IF(Nonlabor!$I$19="OutputM",'Monthly Growth'!D55*Assumptions!$E$23/1000000,0))))))))),0)</f>
        <v>0</v>
      </c>
      <c r="F3475" s="10" t="n">
        <f aca="false">Nonlabor!$J$19*(1+Assumptions!$E$9)^INT((C3475-1)/12)</f>
        <v>14038.30272</v>
      </c>
      <c r="G3475" s="10" t="n">
        <f aca="false">E3475*F3475</f>
        <v>0</v>
      </c>
      <c r="H3475" s="10" t="n">
        <f aca="false">IF(OR(Nonlabor!$L$19="Quote required",Nonlabor!$L$19="Unverified"),G3475,0)</f>
        <v>0</v>
      </c>
      <c r="I3475" s="10" t="n">
        <f aca="false">IF(Nonlabor!$E$19="Core",0,G3475)</f>
        <v>0</v>
      </c>
      <c r="J3475" s="23" t="str">
        <f aca="false">Nonlabor!$B$19</f>
        <v>INSURANCE</v>
      </c>
    </row>
    <row r="3476" customFormat="false" ht="15" hidden="false" customHeight="false" outlineLevel="0" collapsed="false">
      <c r="A3476" s="6" t="s">
        <v>73</v>
      </c>
      <c r="B3476" s="6" t="s">
        <v>49</v>
      </c>
      <c r="C3476" s="6" t="n">
        <v>51</v>
      </c>
      <c r="D3476" s="25" t="n">
        <f aca="false">EDATE('Start Here'!$B$6,C3476-1)</f>
        <v>47849</v>
      </c>
      <c r="E3476" s="23" t="n">
        <f aca="false">IF(AND(OR(Nonlabor!$D$19="Both",Nonlabor!$D$19='Start Here'!$B$9),IF(Nonlabor!$E$19="Core",1,IF(Nonlabor!$E$19="AI",'Start Here'!$B$7,'Start Here'!$B$8))=1,C3476&gt;=IF(Nonlabor!$E$19="Core",Nonlabor!$F$19,MAX(Nonlabor!$F$19,IF(Nonlabor!$E$19="AI",Assumptions!$E$24,Assumptions!$E$25))),C3476&lt;=Nonlabor!$G$19,OR(Nonlabor!$H$19="Monthly",AND(Nonlabor!$H$19="Once",C3476=IF(Nonlabor!$E$19="Core",Nonlabor!$F$19,MAX(Nonlabor!$F$19,IF(Nonlabor!$E$19="AI",Assumptions!$E$24,Assumptions!$E$25)))),AND(Nonlabor!$H$19="Annual",MOD(C3476-IF(Nonlabor!$E$19="Core",Nonlabor!$F$19,MAX(Nonlabor!$F$19,IF(Nonlabor!$E$19="AI",Assumptions!$E$24,Assumptions!$E$25))),12)=0))),IF(Nonlabor!$I$19="Fixed",1,IF(Nonlabor!$I$19="Seats",ROUNDUP('Monthly Growth'!I56,0),IF(Nonlabor!$I$19="Customers",'Monthly Growth'!D56,IF(Nonlabor!$I$19="NewCustomers",'Monthly Growth'!C56,IF(Nonlabor!$I$19="StorageGB",'Monthly Growth'!G56,IF(Nonlabor!$I$19="LogGB",'Monthly Growth'!H56,IF(Nonlabor!$I$19="RequestsM",'Monthly Growth'!F56,IF(Nonlabor!$I$19="InputM",'Monthly Growth'!D56*Assumptions!$E$22/1000000,IF(Nonlabor!$I$19="OutputM",'Monthly Growth'!D56*Assumptions!$E$23/1000000,0))))))))),0)</f>
        <v>0</v>
      </c>
      <c r="F3476" s="10" t="n">
        <f aca="false">Nonlabor!$J$19*(1+Assumptions!$E$9)^INT((C3476-1)/12)</f>
        <v>14038.30272</v>
      </c>
      <c r="G3476" s="10" t="n">
        <f aca="false">E3476*F3476</f>
        <v>0</v>
      </c>
      <c r="H3476" s="10" t="n">
        <f aca="false">IF(OR(Nonlabor!$L$19="Quote required",Nonlabor!$L$19="Unverified"),G3476,0)</f>
        <v>0</v>
      </c>
      <c r="I3476" s="10" t="n">
        <f aca="false">IF(Nonlabor!$E$19="Core",0,G3476)</f>
        <v>0</v>
      </c>
      <c r="J3476" s="23" t="str">
        <f aca="false">Nonlabor!$B$19</f>
        <v>INSURANCE</v>
      </c>
    </row>
    <row r="3477" customFormat="false" ht="15" hidden="false" customHeight="false" outlineLevel="0" collapsed="false">
      <c r="A3477" s="6" t="s">
        <v>73</v>
      </c>
      <c r="B3477" s="6" t="s">
        <v>49</v>
      </c>
      <c r="C3477" s="6" t="n">
        <v>52</v>
      </c>
      <c r="D3477" s="25" t="n">
        <f aca="false">EDATE('Start Here'!$B$6,C3477-1)</f>
        <v>47880</v>
      </c>
      <c r="E3477" s="23" t="n">
        <f aca="false">IF(AND(OR(Nonlabor!$D$19="Both",Nonlabor!$D$19='Start Here'!$B$9),IF(Nonlabor!$E$19="Core",1,IF(Nonlabor!$E$19="AI",'Start Here'!$B$7,'Start Here'!$B$8))=1,C3477&gt;=IF(Nonlabor!$E$19="Core",Nonlabor!$F$19,MAX(Nonlabor!$F$19,IF(Nonlabor!$E$19="AI",Assumptions!$E$24,Assumptions!$E$25))),C3477&lt;=Nonlabor!$G$19,OR(Nonlabor!$H$19="Monthly",AND(Nonlabor!$H$19="Once",C3477=IF(Nonlabor!$E$19="Core",Nonlabor!$F$19,MAX(Nonlabor!$F$19,IF(Nonlabor!$E$19="AI",Assumptions!$E$24,Assumptions!$E$25)))),AND(Nonlabor!$H$19="Annual",MOD(C3477-IF(Nonlabor!$E$19="Core",Nonlabor!$F$19,MAX(Nonlabor!$F$19,IF(Nonlabor!$E$19="AI",Assumptions!$E$24,Assumptions!$E$25))),12)=0))),IF(Nonlabor!$I$19="Fixed",1,IF(Nonlabor!$I$19="Seats",ROUNDUP('Monthly Growth'!I57,0),IF(Nonlabor!$I$19="Customers",'Monthly Growth'!D57,IF(Nonlabor!$I$19="NewCustomers",'Monthly Growth'!C57,IF(Nonlabor!$I$19="StorageGB",'Monthly Growth'!G57,IF(Nonlabor!$I$19="LogGB",'Monthly Growth'!H57,IF(Nonlabor!$I$19="RequestsM",'Monthly Growth'!F57,IF(Nonlabor!$I$19="InputM",'Monthly Growth'!D57*Assumptions!$E$22/1000000,IF(Nonlabor!$I$19="OutputM",'Monthly Growth'!D57*Assumptions!$E$23/1000000,0))))))))),0)</f>
        <v>0</v>
      </c>
      <c r="F3477" s="10" t="n">
        <f aca="false">Nonlabor!$J$19*(1+Assumptions!$E$9)^INT((C3477-1)/12)</f>
        <v>14038.30272</v>
      </c>
      <c r="G3477" s="10" t="n">
        <f aca="false">E3477*F3477</f>
        <v>0</v>
      </c>
      <c r="H3477" s="10" t="n">
        <f aca="false">IF(OR(Nonlabor!$L$19="Quote required",Nonlabor!$L$19="Unverified"),G3477,0)</f>
        <v>0</v>
      </c>
      <c r="I3477" s="10" t="n">
        <f aca="false">IF(Nonlabor!$E$19="Core",0,G3477)</f>
        <v>0</v>
      </c>
      <c r="J3477" s="23" t="str">
        <f aca="false">Nonlabor!$B$19</f>
        <v>INSURANCE</v>
      </c>
    </row>
    <row r="3478" customFormat="false" ht="15" hidden="false" customHeight="false" outlineLevel="0" collapsed="false">
      <c r="A3478" s="6" t="s">
        <v>73</v>
      </c>
      <c r="B3478" s="6" t="s">
        <v>49</v>
      </c>
      <c r="C3478" s="6" t="n">
        <v>53</v>
      </c>
      <c r="D3478" s="25" t="n">
        <f aca="false">EDATE('Start Here'!$B$6,C3478-1)</f>
        <v>47908</v>
      </c>
      <c r="E3478" s="23" t="n">
        <f aca="false">IF(AND(OR(Nonlabor!$D$19="Both",Nonlabor!$D$19='Start Here'!$B$9),IF(Nonlabor!$E$19="Core",1,IF(Nonlabor!$E$19="AI",'Start Here'!$B$7,'Start Here'!$B$8))=1,C3478&gt;=IF(Nonlabor!$E$19="Core",Nonlabor!$F$19,MAX(Nonlabor!$F$19,IF(Nonlabor!$E$19="AI",Assumptions!$E$24,Assumptions!$E$25))),C3478&lt;=Nonlabor!$G$19,OR(Nonlabor!$H$19="Monthly",AND(Nonlabor!$H$19="Once",C3478=IF(Nonlabor!$E$19="Core",Nonlabor!$F$19,MAX(Nonlabor!$F$19,IF(Nonlabor!$E$19="AI",Assumptions!$E$24,Assumptions!$E$25)))),AND(Nonlabor!$H$19="Annual",MOD(C3478-IF(Nonlabor!$E$19="Core",Nonlabor!$F$19,MAX(Nonlabor!$F$19,IF(Nonlabor!$E$19="AI",Assumptions!$E$24,Assumptions!$E$25))),12)=0))),IF(Nonlabor!$I$19="Fixed",1,IF(Nonlabor!$I$19="Seats",ROUNDUP('Monthly Growth'!I58,0),IF(Nonlabor!$I$19="Customers",'Monthly Growth'!D58,IF(Nonlabor!$I$19="NewCustomers",'Monthly Growth'!C58,IF(Nonlabor!$I$19="StorageGB",'Monthly Growth'!G58,IF(Nonlabor!$I$19="LogGB",'Monthly Growth'!H58,IF(Nonlabor!$I$19="RequestsM",'Monthly Growth'!F58,IF(Nonlabor!$I$19="InputM",'Monthly Growth'!D58*Assumptions!$E$22/1000000,IF(Nonlabor!$I$19="OutputM",'Monthly Growth'!D58*Assumptions!$E$23/1000000,0))))))))),0)</f>
        <v>0</v>
      </c>
      <c r="F3478" s="10" t="n">
        <f aca="false">Nonlabor!$J$19*(1+Assumptions!$E$9)^INT((C3478-1)/12)</f>
        <v>14038.30272</v>
      </c>
      <c r="G3478" s="10" t="n">
        <f aca="false">E3478*F3478</f>
        <v>0</v>
      </c>
      <c r="H3478" s="10" t="n">
        <f aca="false">IF(OR(Nonlabor!$L$19="Quote required",Nonlabor!$L$19="Unverified"),G3478,0)</f>
        <v>0</v>
      </c>
      <c r="I3478" s="10" t="n">
        <f aca="false">IF(Nonlabor!$E$19="Core",0,G3478)</f>
        <v>0</v>
      </c>
      <c r="J3478" s="23" t="str">
        <f aca="false">Nonlabor!$B$19</f>
        <v>INSURANCE</v>
      </c>
    </row>
    <row r="3479" customFormat="false" ht="15" hidden="false" customHeight="false" outlineLevel="0" collapsed="false">
      <c r="A3479" s="6" t="s">
        <v>73</v>
      </c>
      <c r="B3479" s="6" t="s">
        <v>49</v>
      </c>
      <c r="C3479" s="6" t="n">
        <v>54</v>
      </c>
      <c r="D3479" s="25" t="n">
        <f aca="false">EDATE('Start Here'!$B$6,C3479-1)</f>
        <v>47939</v>
      </c>
      <c r="E3479" s="23" t="n">
        <f aca="false">IF(AND(OR(Nonlabor!$D$19="Both",Nonlabor!$D$19='Start Here'!$B$9),IF(Nonlabor!$E$19="Core",1,IF(Nonlabor!$E$19="AI",'Start Here'!$B$7,'Start Here'!$B$8))=1,C3479&gt;=IF(Nonlabor!$E$19="Core",Nonlabor!$F$19,MAX(Nonlabor!$F$19,IF(Nonlabor!$E$19="AI",Assumptions!$E$24,Assumptions!$E$25))),C3479&lt;=Nonlabor!$G$19,OR(Nonlabor!$H$19="Monthly",AND(Nonlabor!$H$19="Once",C3479=IF(Nonlabor!$E$19="Core",Nonlabor!$F$19,MAX(Nonlabor!$F$19,IF(Nonlabor!$E$19="AI",Assumptions!$E$24,Assumptions!$E$25)))),AND(Nonlabor!$H$19="Annual",MOD(C3479-IF(Nonlabor!$E$19="Core",Nonlabor!$F$19,MAX(Nonlabor!$F$19,IF(Nonlabor!$E$19="AI",Assumptions!$E$24,Assumptions!$E$25))),12)=0))),IF(Nonlabor!$I$19="Fixed",1,IF(Nonlabor!$I$19="Seats",ROUNDUP('Monthly Growth'!I59,0),IF(Nonlabor!$I$19="Customers",'Monthly Growth'!D59,IF(Nonlabor!$I$19="NewCustomers",'Monthly Growth'!C59,IF(Nonlabor!$I$19="StorageGB",'Monthly Growth'!G59,IF(Nonlabor!$I$19="LogGB",'Monthly Growth'!H59,IF(Nonlabor!$I$19="RequestsM",'Monthly Growth'!F59,IF(Nonlabor!$I$19="InputM",'Monthly Growth'!D59*Assumptions!$E$22/1000000,IF(Nonlabor!$I$19="OutputM",'Monthly Growth'!D59*Assumptions!$E$23/1000000,0))))))))),0)</f>
        <v>0</v>
      </c>
      <c r="F3479" s="10" t="n">
        <f aca="false">Nonlabor!$J$19*(1+Assumptions!$E$9)^INT((C3479-1)/12)</f>
        <v>14038.30272</v>
      </c>
      <c r="G3479" s="10" t="n">
        <f aca="false">E3479*F3479</f>
        <v>0</v>
      </c>
      <c r="H3479" s="10" t="n">
        <f aca="false">IF(OR(Nonlabor!$L$19="Quote required",Nonlabor!$L$19="Unverified"),G3479,0)</f>
        <v>0</v>
      </c>
      <c r="I3479" s="10" t="n">
        <f aca="false">IF(Nonlabor!$E$19="Core",0,G3479)</f>
        <v>0</v>
      </c>
      <c r="J3479" s="23" t="str">
        <f aca="false">Nonlabor!$B$19</f>
        <v>INSURANCE</v>
      </c>
    </row>
    <row r="3480" customFormat="false" ht="15" hidden="false" customHeight="false" outlineLevel="0" collapsed="false">
      <c r="A3480" s="6" t="s">
        <v>73</v>
      </c>
      <c r="B3480" s="6" t="s">
        <v>49</v>
      </c>
      <c r="C3480" s="6" t="n">
        <v>55</v>
      </c>
      <c r="D3480" s="25" t="n">
        <f aca="false">EDATE('Start Here'!$B$6,C3480-1)</f>
        <v>47969</v>
      </c>
      <c r="E3480" s="23" t="n">
        <f aca="false">IF(AND(OR(Nonlabor!$D$19="Both",Nonlabor!$D$19='Start Here'!$B$9),IF(Nonlabor!$E$19="Core",1,IF(Nonlabor!$E$19="AI",'Start Here'!$B$7,'Start Here'!$B$8))=1,C3480&gt;=IF(Nonlabor!$E$19="Core",Nonlabor!$F$19,MAX(Nonlabor!$F$19,IF(Nonlabor!$E$19="AI",Assumptions!$E$24,Assumptions!$E$25))),C3480&lt;=Nonlabor!$G$19,OR(Nonlabor!$H$19="Monthly",AND(Nonlabor!$H$19="Once",C3480=IF(Nonlabor!$E$19="Core",Nonlabor!$F$19,MAX(Nonlabor!$F$19,IF(Nonlabor!$E$19="AI",Assumptions!$E$24,Assumptions!$E$25)))),AND(Nonlabor!$H$19="Annual",MOD(C3480-IF(Nonlabor!$E$19="Core",Nonlabor!$F$19,MAX(Nonlabor!$F$19,IF(Nonlabor!$E$19="AI",Assumptions!$E$24,Assumptions!$E$25))),12)=0))),IF(Nonlabor!$I$19="Fixed",1,IF(Nonlabor!$I$19="Seats",ROUNDUP('Monthly Growth'!I60,0),IF(Nonlabor!$I$19="Customers",'Monthly Growth'!D60,IF(Nonlabor!$I$19="NewCustomers",'Monthly Growth'!C60,IF(Nonlabor!$I$19="StorageGB",'Monthly Growth'!G60,IF(Nonlabor!$I$19="LogGB",'Monthly Growth'!H60,IF(Nonlabor!$I$19="RequestsM",'Monthly Growth'!F60,IF(Nonlabor!$I$19="InputM",'Monthly Growth'!D60*Assumptions!$E$22/1000000,IF(Nonlabor!$I$19="OutputM",'Monthly Growth'!D60*Assumptions!$E$23/1000000,0))))))))),0)</f>
        <v>0</v>
      </c>
      <c r="F3480" s="10" t="n">
        <f aca="false">Nonlabor!$J$19*(1+Assumptions!$E$9)^INT((C3480-1)/12)</f>
        <v>14038.30272</v>
      </c>
      <c r="G3480" s="10" t="n">
        <f aca="false">E3480*F3480</f>
        <v>0</v>
      </c>
      <c r="H3480" s="10" t="n">
        <f aca="false">IF(OR(Nonlabor!$L$19="Quote required",Nonlabor!$L$19="Unverified"),G3480,0)</f>
        <v>0</v>
      </c>
      <c r="I3480" s="10" t="n">
        <f aca="false">IF(Nonlabor!$E$19="Core",0,G3480)</f>
        <v>0</v>
      </c>
      <c r="J3480" s="23" t="str">
        <f aca="false">Nonlabor!$B$19</f>
        <v>INSURANCE</v>
      </c>
    </row>
    <row r="3481" customFormat="false" ht="15" hidden="false" customHeight="false" outlineLevel="0" collapsed="false">
      <c r="A3481" s="6" t="s">
        <v>73</v>
      </c>
      <c r="B3481" s="6" t="s">
        <v>49</v>
      </c>
      <c r="C3481" s="6" t="n">
        <v>56</v>
      </c>
      <c r="D3481" s="25" t="n">
        <f aca="false">EDATE('Start Here'!$B$6,C3481-1)</f>
        <v>48000</v>
      </c>
      <c r="E3481" s="23" t="n">
        <f aca="false">IF(AND(OR(Nonlabor!$D$19="Both",Nonlabor!$D$19='Start Here'!$B$9),IF(Nonlabor!$E$19="Core",1,IF(Nonlabor!$E$19="AI",'Start Here'!$B$7,'Start Here'!$B$8))=1,C3481&gt;=IF(Nonlabor!$E$19="Core",Nonlabor!$F$19,MAX(Nonlabor!$F$19,IF(Nonlabor!$E$19="AI",Assumptions!$E$24,Assumptions!$E$25))),C3481&lt;=Nonlabor!$G$19,OR(Nonlabor!$H$19="Monthly",AND(Nonlabor!$H$19="Once",C3481=IF(Nonlabor!$E$19="Core",Nonlabor!$F$19,MAX(Nonlabor!$F$19,IF(Nonlabor!$E$19="AI",Assumptions!$E$24,Assumptions!$E$25)))),AND(Nonlabor!$H$19="Annual",MOD(C3481-IF(Nonlabor!$E$19="Core",Nonlabor!$F$19,MAX(Nonlabor!$F$19,IF(Nonlabor!$E$19="AI",Assumptions!$E$24,Assumptions!$E$25))),12)=0))),IF(Nonlabor!$I$19="Fixed",1,IF(Nonlabor!$I$19="Seats",ROUNDUP('Monthly Growth'!I61,0),IF(Nonlabor!$I$19="Customers",'Monthly Growth'!D61,IF(Nonlabor!$I$19="NewCustomers",'Monthly Growth'!C61,IF(Nonlabor!$I$19="StorageGB",'Monthly Growth'!G61,IF(Nonlabor!$I$19="LogGB",'Monthly Growth'!H61,IF(Nonlabor!$I$19="RequestsM",'Monthly Growth'!F61,IF(Nonlabor!$I$19="InputM",'Monthly Growth'!D61*Assumptions!$E$22/1000000,IF(Nonlabor!$I$19="OutputM",'Monthly Growth'!D61*Assumptions!$E$23/1000000,0))))))))),0)</f>
        <v>0</v>
      </c>
      <c r="F3481" s="10" t="n">
        <f aca="false">Nonlabor!$J$19*(1+Assumptions!$E$9)^INT((C3481-1)/12)</f>
        <v>14038.30272</v>
      </c>
      <c r="G3481" s="10" t="n">
        <f aca="false">E3481*F3481</f>
        <v>0</v>
      </c>
      <c r="H3481" s="10" t="n">
        <f aca="false">IF(OR(Nonlabor!$L$19="Quote required",Nonlabor!$L$19="Unverified"),G3481,0)</f>
        <v>0</v>
      </c>
      <c r="I3481" s="10" t="n">
        <f aca="false">IF(Nonlabor!$E$19="Core",0,G3481)</f>
        <v>0</v>
      </c>
      <c r="J3481" s="23" t="str">
        <f aca="false">Nonlabor!$B$19</f>
        <v>INSURANCE</v>
      </c>
    </row>
    <row r="3482" customFormat="false" ht="15" hidden="false" customHeight="false" outlineLevel="0" collapsed="false">
      <c r="A3482" s="6" t="s">
        <v>73</v>
      </c>
      <c r="B3482" s="6" t="s">
        <v>49</v>
      </c>
      <c r="C3482" s="6" t="n">
        <v>57</v>
      </c>
      <c r="D3482" s="25" t="n">
        <f aca="false">EDATE('Start Here'!$B$6,C3482-1)</f>
        <v>48030</v>
      </c>
      <c r="E3482" s="23" t="n">
        <f aca="false">IF(AND(OR(Nonlabor!$D$19="Both",Nonlabor!$D$19='Start Here'!$B$9),IF(Nonlabor!$E$19="Core",1,IF(Nonlabor!$E$19="AI",'Start Here'!$B$7,'Start Here'!$B$8))=1,C3482&gt;=IF(Nonlabor!$E$19="Core",Nonlabor!$F$19,MAX(Nonlabor!$F$19,IF(Nonlabor!$E$19="AI",Assumptions!$E$24,Assumptions!$E$25))),C3482&lt;=Nonlabor!$G$19,OR(Nonlabor!$H$19="Monthly",AND(Nonlabor!$H$19="Once",C3482=IF(Nonlabor!$E$19="Core",Nonlabor!$F$19,MAX(Nonlabor!$F$19,IF(Nonlabor!$E$19="AI",Assumptions!$E$24,Assumptions!$E$25)))),AND(Nonlabor!$H$19="Annual",MOD(C3482-IF(Nonlabor!$E$19="Core",Nonlabor!$F$19,MAX(Nonlabor!$F$19,IF(Nonlabor!$E$19="AI",Assumptions!$E$24,Assumptions!$E$25))),12)=0))),IF(Nonlabor!$I$19="Fixed",1,IF(Nonlabor!$I$19="Seats",ROUNDUP('Monthly Growth'!I62,0),IF(Nonlabor!$I$19="Customers",'Monthly Growth'!D62,IF(Nonlabor!$I$19="NewCustomers",'Monthly Growth'!C62,IF(Nonlabor!$I$19="StorageGB",'Monthly Growth'!G62,IF(Nonlabor!$I$19="LogGB",'Monthly Growth'!H62,IF(Nonlabor!$I$19="RequestsM",'Monthly Growth'!F62,IF(Nonlabor!$I$19="InputM",'Monthly Growth'!D62*Assumptions!$E$22/1000000,IF(Nonlabor!$I$19="OutputM",'Monthly Growth'!D62*Assumptions!$E$23/1000000,0))))))))),0)</f>
        <v>1</v>
      </c>
      <c r="F3482" s="10" t="n">
        <f aca="false">Nonlabor!$J$19*(1+Assumptions!$E$9)^INT((C3482-1)/12)</f>
        <v>14038.30272</v>
      </c>
      <c r="G3482" s="10" t="n">
        <f aca="false">E3482*F3482</f>
        <v>14038.30272</v>
      </c>
      <c r="H3482" s="10" t="n">
        <f aca="false">IF(OR(Nonlabor!$L$19="Quote required",Nonlabor!$L$19="Unverified"),G3482,0)</f>
        <v>14038.30272</v>
      </c>
      <c r="I3482" s="10" t="n">
        <f aca="false">IF(Nonlabor!$E$19="Core",0,G3482)</f>
        <v>0</v>
      </c>
      <c r="J3482" s="23" t="str">
        <f aca="false">Nonlabor!$B$19</f>
        <v>INSURANCE</v>
      </c>
    </row>
    <row r="3483" customFormat="false" ht="15" hidden="false" customHeight="false" outlineLevel="0" collapsed="false">
      <c r="A3483" s="6" t="s">
        <v>73</v>
      </c>
      <c r="B3483" s="6" t="s">
        <v>49</v>
      </c>
      <c r="C3483" s="6" t="n">
        <v>58</v>
      </c>
      <c r="D3483" s="25" t="n">
        <f aca="false">EDATE('Start Here'!$B$6,C3483-1)</f>
        <v>48061</v>
      </c>
      <c r="E3483" s="23" t="n">
        <f aca="false">IF(AND(OR(Nonlabor!$D$19="Both",Nonlabor!$D$19='Start Here'!$B$9),IF(Nonlabor!$E$19="Core",1,IF(Nonlabor!$E$19="AI",'Start Here'!$B$7,'Start Here'!$B$8))=1,C3483&gt;=IF(Nonlabor!$E$19="Core",Nonlabor!$F$19,MAX(Nonlabor!$F$19,IF(Nonlabor!$E$19="AI",Assumptions!$E$24,Assumptions!$E$25))),C3483&lt;=Nonlabor!$G$19,OR(Nonlabor!$H$19="Monthly",AND(Nonlabor!$H$19="Once",C3483=IF(Nonlabor!$E$19="Core",Nonlabor!$F$19,MAX(Nonlabor!$F$19,IF(Nonlabor!$E$19="AI",Assumptions!$E$24,Assumptions!$E$25)))),AND(Nonlabor!$H$19="Annual",MOD(C3483-IF(Nonlabor!$E$19="Core",Nonlabor!$F$19,MAX(Nonlabor!$F$19,IF(Nonlabor!$E$19="AI",Assumptions!$E$24,Assumptions!$E$25))),12)=0))),IF(Nonlabor!$I$19="Fixed",1,IF(Nonlabor!$I$19="Seats",ROUNDUP('Monthly Growth'!I63,0),IF(Nonlabor!$I$19="Customers",'Monthly Growth'!D63,IF(Nonlabor!$I$19="NewCustomers",'Monthly Growth'!C63,IF(Nonlabor!$I$19="StorageGB",'Monthly Growth'!G63,IF(Nonlabor!$I$19="LogGB",'Monthly Growth'!H63,IF(Nonlabor!$I$19="RequestsM",'Monthly Growth'!F63,IF(Nonlabor!$I$19="InputM",'Monthly Growth'!D63*Assumptions!$E$22/1000000,IF(Nonlabor!$I$19="OutputM",'Monthly Growth'!D63*Assumptions!$E$23/1000000,0))))))))),0)</f>
        <v>0</v>
      </c>
      <c r="F3483" s="10" t="n">
        <f aca="false">Nonlabor!$J$19*(1+Assumptions!$E$9)^INT((C3483-1)/12)</f>
        <v>14038.30272</v>
      </c>
      <c r="G3483" s="10" t="n">
        <f aca="false">E3483*F3483</f>
        <v>0</v>
      </c>
      <c r="H3483" s="10" t="n">
        <f aca="false">IF(OR(Nonlabor!$L$19="Quote required",Nonlabor!$L$19="Unverified"),G3483,0)</f>
        <v>0</v>
      </c>
      <c r="I3483" s="10" t="n">
        <f aca="false">IF(Nonlabor!$E$19="Core",0,G3483)</f>
        <v>0</v>
      </c>
      <c r="J3483" s="23" t="str">
        <f aca="false">Nonlabor!$B$19</f>
        <v>INSURANCE</v>
      </c>
    </row>
    <row r="3484" customFormat="false" ht="15" hidden="false" customHeight="false" outlineLevel="0" collapsed="false">
      <c r="A3484" s="6" t="s">
        <v>73</v>
      </c>
      <c r="B3484" s="6" t="s">
        <v>49</v>
      </c>
      <c r="C3484" s="6" t="n">
        <v>59</v>
      </c>
      <c r="D3484" s="25" t="n">
        <f aca="false">EDATE('Start Here'!$B$6,C3484-1)</f>
        <v>48092</v>
      </c>
      <c r="E3484" s="23" t="n">
        <f aca="false">IF(AND(OR(Nonlabor!$D$19="Both",Nonlabor!$D$19='Start Here'!$B$9),IF(Nonlabor!$E$19="Core",1,IF(Nonlabor!$E$19="AI",'Start Here'!$B$7,'Start Here'!$B$8))=1,C3484&gt;=IF(Nonlabor!$E$19="Core",Nonlabor!$F$19,MAX(Nonlabor!$F$19,IF(Nonlabor!$E$19="AI",Assumptions!$E$24,Assumptions!$E$25))),C3484&lt;=Nonlabor!$G$19,OR(Nonlabor!$H$19="Monthly",AND(Nonlabor!$H$19="Once",C3484=IF(Nonlabor!$E$19="Core",Nonlabor!$F$19,MAX(Nonlabor!$F$19,IF(Nonlabor!$E$19="AI",Assumptions!$E$24,Assumptions!$E$25)))),AND(Nonlabor!$H$19="Annual",MOD(C3484-IF(Nonlabor!$E$19="Core",Nonlabor!$F$19,MAX(Nonlabor!$F$19,IF(Nonlabor!$E$19="AI",Assumptions!$E$24,Assumptions!$E$25))),12)=0))),IF(Nonlabor!$I$19="Fixed",1,IF(Nonlabor!$I$19="Seats",ROUNDUP('Monthly Growth'!I64,0),IF(Nonlabor!$I$19="Customers",'Monthly Growth'!D64,IF(Nonlabor!$I$19="NewCustomers",'Monthly Growth'!C64,IF(Nonlabor!$I$19="StorageGB",'Monthly Growth'!G64,IF(Nonlabor!$I$19="LogGB",'Monthly Growth'!H64,IF(Nonlabor!$I$19="RequestsM",'Monthly Growth'!F64,IF(Nonlabor!$I$19="InputM",'Monthly Growth'!D64*Assumptions!$E$22/1000000,IF(Nonlabor!$I$19="OutputM",'Monthly Growth'!D64*Assumptions!$E$23/1000000,0))))))))),0)</f>
        <v>0</v>
      </c>
      <c r="F3484" s="10" t="n">
        <f aca="false">Nonlabor!$J$19*(1+Assumptions!$E$9)^INT((C3484-1)/12)</f>
        <v>14038.30272</v>
      </c>
      <c r="G3484" s="10" t="n">
        <f aca="false">E3484*F3484</f>
        <v>0</v>
      </c>
      <c r="H3484" s="10" t="n">
        <f aca="false">IF(OR(Nonlabor!$L$19="Quote required",Nonlabor!$L$19="Unverified"),G3484,0)</f>
        <v>0</v>
      </c>
      <c r="I3484" s="10" t="n">
        <f aca="false">IF(Nonlabor!$E$19="Core",0,G3484)</f>
        <v>0</v>
      </c>
      <c r="J3484" s="23" t="str">
        <f aca="false">Nonlabor!$B$19</f>
        <v>INSURANCE</v>
      </c>
    </row>
    <row r="3485" customFormat="false" ht="15" hidden="false" customHeight="false" outlineLevel="0" collapsed="false">
      <c r="A3485" s="6" t="s">
        <v>73</v>
      </c>
      <c r="B3485" s="6" t="s">
        <v>49</v>
      </c>
      <c r="C3485" s="6" t="n">
        <v>60</v>
      </c>
      <c r="D3485" s="25" t="n">
        <f aca="false">EDATE('Start Here'!$B$6,C3485-1)</f>
        <v>48122</v>
      </c>
      <c r="E3485" s="23" t="n">
        <f aca="false">IF(AND(OR(Nonlabor!$D$19="Both",Nonlabor!$D$19='Start Here'!$B$9),IF(Nonlabor!$E$19="Core",1,IF(Nonlabor!$E$19="AI",'Start Here'!$B$7,'Start Here'!$B$8))=1,C3485&gt;=IF(Nonlabor!$E$19="Core",Nonlabor!$F$19,MAX(Nonlabor!$F$19,IF(Nonlabor!$E$19="AI",Assumptions!$E$24,Assumptions!$E$25))),C3485&lt;=Nonlabor!$G$19,OR(Nonlabor!$H$19="Monthly",AND(Nonlabor!$H$19="Once",C3485=IF(Nonlabor!$E$19="Core",Nonlabor!$F$19,MAX(Nonlabor!$F$19,IF(Nonlabor!$E$19="AI",Assumptions!$E$24,Assumptions!$E$25)))),AND(Nonlabor!$H$19="Annual",MOD(C3485-IF(Nonlabor!$E$19="Core",Nonlabor!$F$19,MAX(Nonlabor!$F$19,IF(Nonlabor!$E$19="AI",Assumptions!$E$24,Assumptions!$E$25))),12)=0))),IF(Nonlabor!$I$19="Fixed",1,IF(Nonlabor!$I$19="Seats",ROUNDUP('Monthly Growth'!I65,0),IF(Nonlabor!$I$19="Customers",'Monthly Growth'!D65,IF(Nonlabor!$I$19="NewCustomers",'Monthly Growth'!C65,IF(Nonlabor!$I$19="StorageGB",'Monthly Growth'!G65,IF(Nonlabor!$I$19="LogGB",'Monthly Growth'!H65,IF(Nonlabor!$I$19="RequestsM",'Monthly Growth'!F65,IF(Nonlabor!$I$19="InputM",'Monthly Growth'!D65*Assumptions!$E$22/1000000,IF(Nonlabor!$I$19="OutputM",'Monthly Growth'!D65*Assumptions!$E$23/1000000,0))))))))),0)</f>
        <v>0</v>
      </c>
      <c r="F3485" s="10" t="n">
        <f aca="false">Nonlabor!$J$19*(1+Assumptions!$E$9)^INT((C3485-1)/12)</f>
        <v>14038.30272</v>
      </c>
      <c r="G3485" s="10" t="n">
        <f aca="false">E3485*F3485</f>
        <v>0</v>
      </c>
      <c r="H3485" s="10" t="n">
        <f aca="false">IF(OR(Nonlabor!$L$19="Quote required",Nonlabor!$L$19="Unverified"),G3485,0)</f>
        <v>0</v>
      </c>
      <c r="I3485" s="10" t="n">
        <f aca="false">IF(Nonlabor!$E$19="Core",0,G3485)</f>
        <v>0</v>
      </c>
      <c r="J3485" s="23" t="str">
        <f aca="false">Nonlabor!$B$19</f>
        <v>INSURANCE</v>
      </c>
    </row>
    <row r="3486" customFormat="false" ht="15" hidden="false" customHeight="false" outlineLevel="0" collapsed="false">
      <c r="A3486" s="6" t="s">
        <v>73</v>
      </c>
      <c r="B3486" s="6" t="s">
        <v>51</v>
      </c>
      <c r="C3486" s="6" t="n">
        <v>1</v>
      </c>
      <c r="D3486" s="25" t="n">
        <f aca="false">EDATE('Start Here'!$B$6,C3486-1)</f>
        <v>46327</v>
      </c>
      <c r="E3486" s="23" t="n">
        <f aca="false">IF(AND(OR(Nonlabor!$D$20="Both",Nonlabor!$D$20='Start Here'!$B$9),IF(Nonlabor!$E$20="Core",1,IF(Nonlabor!$E$20="AI",'Start Here'!$B$7,'Start Here'!$B$8))=1,C3486&gt;=IF(Nonlabor!$E$20="Core",Nonlabor!$F$20,MAX(Nonlabor!$F$20,IF(Nonlabor!$E$20="AI",Assumptions!$E$24,Assumptions!$E$25))),C3486&lt;=Nonlabor!$G$20,OR(Nonlabor!$H$20="Monthly",AND(Nonlabor!$H$20="Once",C3486=IF(Nonlabor!$E$20="Core",Nonlabor!$F$20,MAX(Nonlabor!$F$20,IF(Nonlabor!$E$20="AI",Assumptions!$E$24,Assumptions!$E$25)))),AND(Nonlabor!$H$20="Annual",MOD(C3486-IF(Nonlabor!$E$20="Core",Nonlabor!$F$20,MAX(Nonlabor!$F$20,IF(Nonlabor!$E$20="AI",Assumptions!$E$24,Assumptions!$E$25))),12)=0))),IF(Nonlabor!$I$20="Fixed",1,IF(Nonlabor!$I$20="Seats",ROUNDUP('Monthly Growth'!I6,0),IF(Nonlabor!$I$20="Customers",'Monthly Growth'!D6,IF(Nonlabor!$I$20="NewCustomers",'Monthly Growth'!C6,IF(Nonlabor!$I$20="StorageGB",'Monthly Growth'!G6,IF(Nonlabor!$I$20="LogGB",'Monthly Growth'!H6,IF(Nonlabor!$I$20="RequestsM",'Monthly Growth'!F6,IF(Nonlabor!$I$20="InputM",'Monthly Growth'!D6*Assumptions!$E$22/1000000,IF(Nonlabor!$I$20="OutputM",'Monthly Growth'!D6*Assumptions!$E$23/1000000,0))))))))),0)</f>
        <v>1</v>
      </c>
      <c r="F3486" s="10" t="n">
        <f aca="false">Nonlabor!$J$20*(1+Assumptions!$E$9)^INT((C3486-1)/12)</f>
        <v>600</v>
      </c>
      <c r="G3486" s="10" t="n">
        <f aca="false">E3486*F3486</f>
        <v>600</v>
      </c>
      <c r="H3486" s="10" t="n">
        <f aca="false">IF(OR(Nonlabor!$L$20="Quote required",Nonlabor!$L$20="Unverified"),G3486,0)</f>
        <v>600</v>
      </c>
      <c r="I3486" s="10" t="n">
        <f aca="false">IF(Nonlabor!$E$20="Core",0,G3486)</f>
        <v>0</v>
      </c>
      <c r="J3486" s="23" t="str">
        <f aca="false">Nonlabor!$B$20</f>
        <v>ACCOUNTING</v>
      </c>
    </row>
    <row r="3487" customFormat="false" ht="15" hidden="false" customHeight="false" outlineLevel="0" collapsed="false">
      <c r="A3487" s="6" t="s">
        <v>73</v>
      </c>
      <c r="B3487" s="6" t="s">
        <v>51</v>
      </c>
      <c r="C3487" s="6" t="n">
        <v>2</v>
      </c>
      <c r="D3487" s="25" t="n">
        <f aca="false">EDATE('Start Here'!$B$6,C3487-1)</f>
        <v>46357</v>
      </c>
      <c r="E3487" s="23" t="n">
        <f aca="false">IF(AND(OR(Nonlabor!$D$20="Both",Nonlabor!$D$20='Start Here'!$B$9),IF(Nonlabor!$E$20="Core",1,IF(Nonlabor!$E$20="AI",'Start Here'!$B$7,'Start Here'!$B$8))=1,C3487&gt;=IF(Nonlabor!$E$20="Core",Nonlabor!$F$20,MAX(Nonlabor!$F$20,IF(Nonlabor!$E$20="AI",Assumptions!$E$24,Assumptions!$E$25))),C3487&lt;=Nonlabor!$G$20,OR(Nonlabor!$H$20="Monthly",AND(Nonlabor!$H$20="Once",C3487=IF(Nonlabor!$E$20="Core",Nonlabor!$F$20,MAX(Nonlabor!$F$20,IF(Nonlabor!$E$20="AI",Assumptions!$E$24,Assumptions!$E$25)))),AND(Nonlabor!$H$20="Annual",MOD(C3487-IF(Nonlabor!$E$20="Core",Nonlabor!$F$20,MAX(Nonlabor!$F$20,IF(Nonlabor!$E$20="AI",Assumptions!$E$24,Assumptions!$E$25))),12)=0))),IF(Nonlabor!$I$20="Fixed",1,IF(Nonlabor!$I$20="Seats",ROUNDUP('Monthly Growth'!I7,0),IF(Nonlabor!$I$20="Customers",'Monthly Growth'!D7,IF(Nonlabor!$I$20="NewCustomers",'Monthly Growth'!C7,IF(Nonlabor!$I$20="StorageGB",'Monthly Growth'!G7,IF(Nonlabor!$I$20="LogGB",'Monthly Growth'!H7,IF(Nonlabor!$I$20="RequestsM",'Monthly Growth'!F7,IF(Nonlabor!$I$20="InputM",'Monthly Growth'!D7*Assumptions!$E$22/1000000,IF(Nonlabor!$I$20="OutputM",'Monthly Growth'!D7*Assumptions!$E$23/1000000,0))))))))),0)</f>
        <v>1</v>
      </c>
      <c r="F3487" s="10" t="n">
        <f aca="false">Nonlabor!$J$20*(1+Assumptions!$E$9)^INT((C3487-1)/12)</f>
        <v>600</v>
      </c>
      <c r="G3487" s="10" t="n">
        <f aca="false">E3487*F3487</f>
        <v>600</v>
      </c>
      <c r="H3487" s="10" t="n">
        <f aca="false">IF(OR(Nonlabor!$L$20="Quote required",Nonlabor!$L$20="Unverified"),G3487,0)</f>
        <v>600</v>
      </c>
      <c r="I3487" s="10" t="n">
        <f aca="false">IF(Nonlabor!$E$20="Core",0,G3487)</f>
        <v>0</v>
      </c>
      <c r="J3487" s="23" t="str">
        <f aca="false">Nonlabor!$B$20</f>
        <v>ACCOUNTING</v>
      </c>
    </row>
    <row r="3488" customFormat="false" ht="15" hidden="false" customHeight="false" outlineLevel="0" collapsed="false">
      <c r="A3488" s="6" t="s">
        <v>73</v>
      </c>
      <c r="B3488" s="6" t="s">
        <v>51</v>
      </c>
      <c r="C3488" s="6" t="n">
        <v>3</v>
      </c>
      <c r="D3488" s="25" t="n">
        <f aca="false">EDATE('Start Here'!$B$6,C3488-1)</f>
        <v>46388</v>
      </c>
      <c r="E3488" s="23" t="n">
        <f aca="false">IF(AND(OR(Nonlabor!$D$20="Both",Nonlabor!$D$20='Start Here'!$B$9),IF(Nonlabor!$E$20="Core",1,IF(Nonlabor!$E$20="AI",'Start Here'!$B$7,'Start Here'!$B$8))=1,C3488&gt;=IF(Nonlabor!$E$20="Core",Nonlabor!$F$20,MAX(Nonlabor!$F$20,IF(Nonlabor!$E$20="AI",Assumptions!$E$24,Assumptions!$E$25))),C3488&lt;=Nonlabor!$G$20,OR(Nonlabor!$H$20="Monthly",AND(Nonlabor!$H$20="Once",C3488=IF(Nonlabor!$E$20="Core",Nonlabor!$F$20,MAX(Nonlabor!$F$20,IF(Nonlabor!$E$20="AI",Assumptions!$E$24,Assumptions!$E$25)))),AND(Nonlabor!$H$20="Annual",MOD(C3488-IF(Nonlabor!$E$20="Core",Nonlabor!$F$20,MAX(Nonlabor!$F$20,IF(Nonlabor!$E$20="AI",Assumptions!$E$24,Assumptions!$E$25))),12)=0))),IF(Nonlabor!$I$20="Fixed",1,IF(Nonlabor!$I$20="Seats",ROUNDUP('Monthly Growth'!I8,0),IF(Nonlabor!$I$20="Customers",'Monthly Growth'!D8,IF(Nonlabor!$I$20="NewCustomers",'Monthly Growth'!C8,IF(Nonlabor!$I$20="StorageGB",'Monthly Growth'!G8,IF(Nonlabor!$I$20="LogGB",'Monthly Growth'!H8,IF(Nonlabor!$I$20="RequestsM",'Monthly Growth'!F8,IF(Nonlabor!$I$20="InputM",'Monthly Growth'!D8*Assumptions!$E$22/1000000,IF(Nonlabor!$I$20="OutputM",'Monthly Growth'!D8*Assumptions!$E$23/1000000,0))))))))),0)</f>
        <v>1</v>
      </c>
      <c r="F3488" s="10" t="n">
        <f aca="false">Nonlabor!$J$20*(1+Assumptions!$E$9)^INT((C3488-1)/12)</f>
        <v>600</v>
      </c>
      <c r="G3488" s="10" t="n">
        <f aca="false">E3488*F3488</f>
        <v>600</v>
      </c>
      <c r="H3488" s="10" t="n">
        <f aca="false">IF(OR(Nonlabor!$L$20="Quote required",Nonlabor!$L$20="Unverified"),G3488,0)</f>
        <v>600</v>
      </c>
      <c r="I3488" s="10" t="n">
        <f aca="false">IF(Nonlabor!$E$20="Core",0,G3488)</f>
        <v>0</v>
      </c>
      <c r="J3488" s="23" t="str">
        <f aca="false">Nonlabor!$B$20</f>
        <v>ACCOUNTING</v>
      </c>
    </row>
    <row r="3489" customFormat="false" ht="15" hidden="false" customHeight="false" outlineLevel="0" collapsed="false">
      <c r="A3489" s="6" t="s">
        <v>73</v>
      </c>
      <c r="B3489" s="6" t="s">
        <v>51</v>
      </c>
      <c r="C3489" s="6" t="n">
        <v>4</v>
      </c>
      <c r="D3489" s="25" t="n">
        <f aca="false">EDATE('Start Here'!$B$6,C3489-1)</f>
        <v>46419</v>
      </c>
      <c r="E3489" s="23" t="n">
        <f aca="false">IF(AND(OR(Nonlabor!$D$20="Both",Nonlabor!$D$20='Start Here'!$B$9),IF(Nonlabor!$E$20="Core",1,IF(Nonlabor!$E$20="AI",'Start Here'!$B$7,'Start Here'!$B$8))=1,C3489&gt;=IF(Nonlabor!$E$20="Core",Nonlabor!$F$20,MAX(Nonlabor!$F$20,IF(Nonlabor!$E$20="AI",Assumptions!$E$24,Assumptions!$E$25))),C3489&lt;=Nonlabor!$G$20,OR(Nonlabor!$H$20="Monthly",AND(Nonlabor!$H$20="Once",C3489=IF(Nonlabor!$E$20="Core",Nonlabor!$F$20,MAX(Nonlabor!$F$20,IF(Nonlabor!$E$20="AI",Assumptions!$E$24,Assumptions!$E$25)))),AND(Nonlabor!$H$20="Annual",MOD(C3489-IF(Nonlabor!$E$20="Core",Nonlabor!$F$20,MAX(Nonlabor!$F$20,IF(Nonlabor!$E$20="AI",Assumptions!$E$24,Assumptions!$E$25))),12)=0))),IF(Nonlabor!$I$20="Fixed",1,IF(Nonlabor!$I$20="Seats",ROUNDUP('Monthly Growth'!I9,0),IF(Nonlabor!$I$20="Customers",'Monthly Growth'!D9,IF(Nonlabor!$I$20="NewCustomers",'Monthly Growth'!C9,IF(Nonlabor!$I$20="StorageGB",'Monthly Growth'!G9,IF(Nonlabor!$I$20="LogGB",'Monthly Growth'!H9,IF(Nonlabor!$I$20="RequestsM",'Monthly Growth'!F9,IF(Nonlabor!$I$20="InputM",'Monthly Growth'!D9*Assumptions!$E$22/1000000,IF(Nonlabor!$I$20="OutputM",'Monthly Growth'!D9*Assumptions!$E$23/1000000,0))))))))),0)</f>
        <v>1</v>
      </c>
      <c r="F3489" s="10" t="n">
        <f aca="false">Nonlabor!$J$20*(1+Assumptions!$E$9)^INT((C3489-1)/12)</f>
        <v>600</v>
      </c>
      <c r="G3489" s="10" t="n">
        <f aca="false">E3489*F3489</f>
        <v>600</v>
      </c>
      <c r="H3489" s="10" t="n">
        <f aca="false">IF(OR(Nonlabor!$L$20="Quote required",Nonlabor!$L$20="Unverified"),G3489,0)</f>
        <v>600</v>
      </c>
      <c r="I3489" s="10" t="n">
        <f aca="false">IF(Nonlabor!$E$20="Core",0,G3489)</f>
        <v>0</v>
      </c>
      <c r="J3489" s="23" t="str">
        <f aca="false">Nonlabor!$B$20</f>
        <v>ACCOUNTING</v>
      </c>
    </row>
    <row r="3490" customFormat="false" ht="15" hidden="false" customHeight="false" outlineLevel="0" collapsed="false">
      <c r="A3490" s="6" t="s">
        <v>73</v>
      </c>
      <c r="B3490" s="6" t="s">
        <v>51</v>
      </c>
      <c r="C3490" s="6" t="n">
        <v>5</v>
      </c>
      <c r="D3490" s="25" t="n">
        <f aca="false">EDATE('Start Here'!$B$6,C3490-1)</f>
        <v>46447</v>
      </c>
      <c r="E3490" s="23" t="n">
        <f aca="false">IF(AND(OR(Nonlabor!$D$20="Both",Nonlabor!$D$20='Start Here'!$B$9),IF(Nonlabor!$E$20="Core",1,IF(Nonlabor!$E$20="AI",'Start Here'!$B$7,'Start Here'!$B$8))=1,C3490&gt;=IF(Nonlabor!$E$20="Core",Nonlabor!$F$20,MAX(Nonlabor!$F$20,IF(Nonlabor!$E$20="AI",Assumptions!$E$24,Assumptions!$E$25))),C3490&lt;=Nonlabor!$G$20,OR(Nonlabor!$H$20="Monthly",AND(Nonlabor!$H$20="Once",C3490=IF(Nonlabor!$E$20="Core",Nonlabor!$F$20,MAX(Nonlabor!$F$20,IF(Nonlabor!$E$20="AI",Assumptions!$E$24,Assumptions!$E$25)))),AND(Nonlabor!$H$20="Annual",MOD(C3490-IF(Nonlabor!$E$20="Core",Nonlabor!$F$20,MAX(Nonlabor!$F$20,IF(Nonlabor!$E$20="AI",Assumptions!$E$24,Assumptions!$E$25))),12)=0))),IF(Nonlabor!$I$20="Fixed",1,IF(Nonlabor!$I$20="Seats",ROUNDUP('Monthly Growth'!I10,0),IF(Nonlabor!$I$20="Customers",'Monthly Growth'!D10,IF(Nonlabor!$I$20="NewCustomers",'Monthly Growth'!C10,IF(Nonlabor!$I$20="StorageGB",'Monthly Growth'!G10,IF(Nonlabor!$I$20="LogGB",'Monthly Growth'!H10,IF(Nonlabor!$I$20="RequestsM",'Monthly Growth'!F10,IF(Nonlabor!$I$20="InputM",'Monthly Growth'!D10*Assumptions!$E$22/1000000,IF(Nonlabor!$I$20="OutputM",'Monthly Growth'!D10*Assumptions!$E$23/1000000,0))))))))),0)</f>
        <v>1</v>
      </c>
      <c r="F3490" s="10" t="n">
        <f aca="false">Nonlabor!$J$20*(1+Assumptions!$E$9)^INT((C3490-1)/12)</f>
        <v>600</v>
      </c>
      <c r="G3490" s="10" t="n">
        <f aca="false">E3490*F3490</f>
        <v>600</v>
      </c>
      <c r="H3490" s="10" t="n">
        <f aca="false">IF(OR(Nonlabor!$L$20="Quote required",Nonlabor!$L$20="Unverified"),G3490,0)</f>
        <v>600</v>
      </c>
      <c r="I3490" s="10" t="n">
        <f aca="false">IF(Nonlabor!$E$20="Core",0,G3490)</f>
        <v>0</v>
      </c>
      <c r="J3490" s="23" t="str">
        <f aca="false">Nonlabor!$B$20</f>
        <v>ACCOUNTING</v>
      </c>
    </row>
    <row r="3491" customFormat="false" ht="15" hidden="false" customHeight="false" outlineLevel="0" collapsed="false">
      <c r="A3491" s="6" t="s">
        <v>73</v>
      </c>
      <c r="B3491" s="6" t="s">
        <v>51</v>
      </c>
      <c r="C3491" s="6" t="n">
        <v>6</v>
      </c>
      <c r="D3491" s="25" t="n">
        <f aca="false">EDATE('Start Here'!$B$6,C3491-1)</f>
        <v>46478</v>
      </c>
      <c r="E3491" s="23" t="n">
        <f aca="false">IF(AND(OR(Nonlabor!$D$20="Both",Nonlabor!$D$20='Start Here'!$B$9),IF(Nonlabor!$E$20="Core",1,IF(Nonlabor!$E$20="AI",'Start Here'!$B$7,'Start Here'!$B$8))=1,C3491&gt;=IF(Nonlabor!$E$20="Core",Nonlabor!$F$20,MAX(Nonlabor!$F$20,IF(Nonlabor!$E$20="AI",Assumptions!$E$24,Assumptions!$E$25))),C3491&lt;=Nonlabor!$G$20,OR(Nonlabor!$H$20="Monthly",AND(Nonlabor!$H$20="Once",C3491=IF(Nonlabor!$E$20="Core",Nonlabor!$F$20,MAX(Nonlabor!$F$20,IF(Nonlabor!$E$20="AI",Assumptions!$E$24,Assumptions!$E$25)))),AND(Nonlabor!$H$20="Annual",MOD(C3491-IF(Nonlabor!$E$20="Core",Nonlabor!$F$20,MAX(Nonlabor!$F$20,IF(Nonlabor!$E$20="AI",Assumptions!$E$24,Assumptions!$E$25))),12)=0))),IF(Nonlabor!$I$20="Fixed",1,IF(Nonlabor!$I$20="Seats",ROUNDUP('Monthly Growth'!I11,0),IF(Nonlabor!$I$20="Customers",'Monthly Growth'!D11,IF(Nonlabor!$I$20="NewCustomers",'Monthly Growth'!C11,IF(Nonlabor!$I$20="StorageGB",'Monthly Growth'!G11,IF(Nonlabor!$I$20="LogGB",'Monthly Growth'!H11,IF(Nonlabor!$I$20="RequestsM",'Monthly Growth'!F11,IF(Nonlabor!$I$20="InputM",'Monthly Growth'!D11*Assumptions!$E$22/1000000,IF(Nonlabor!$I$20="OutputM",'Monthly Growth'!D11*Assumptions!$E$23/1000000,0))))))))),0)</f>
        <v>1</v>
      </c>
      <c r="F3491" s="10" t="n">
        <f aca="false">Nonlabor!$J$20*(1+Assumptions!$E$9)^INT((C3491-1)/12)</f>
        <v>600</v>
      </c>
      <c r="G3491" s="10" t="n">
        <f aca="false">E3491*F3491</f>
        <v>600</v>
      </c>
      <c r="H3491" s="10" t="n">
        <f aca="false">IF(OR(Nonlabor!$L$20="Quote required",Nonlabor!$L$20="Unverified"),G3491,0)</f>
        <v>600</v>
      </c>
      <c r="I3491" s="10" t="n">
        <f aca="false">IF(Nonlabor!$E$20="Core",0,G3491)</f>
        <v>0</v>
      </c>
      <c r="J3491" s="23" t="str">
        <f aca="false">Nonlabor!$B$20</f>
        <v>ACCOUNTING</v>
      </c>
    </row>
    <row r="3492" customFormat="false" ht="15" hidden="false" customHeight="false" outlineLevel="0" collapsed="false">
      <c r="A3492" s="6" t="s">
        <v>73</v>
      </c>
      <c r="B3492" s="6" t="s">
        <v>51</v>
      </c>
      <c r="C3492" s="6" t="n">
        <v>7</v>
      </c>
      <c r="D3492" s="25" t="n">
        <f aca="false">EDATE('Start Here'!$B$6,C3492-1)</f>
        <v>46508</v>
      </c>
      <c r="E3492" s="23" t="n">
        <f aca="false">IF(AND(OR(Nonlabor!$D$20="Both",Nonlabor!$D$20='Start Here'!$B$9),IF(Nonlabor!$E$20="Core",1,IF(Nonlabor!$E$20="AI",'Start Here'!$B$7,'Start Here'!$B$8))=1,C3492&gt;=IF(Nonlabor!$E$20="Core",Nonlabor!$F$20,MAX(Nonlabor!$F$20,IF(Nonlabor!$E$20="AI",Assumptions!$E$24,Assumptions!$E$25))),C3492&lt;=Nonlabor!$G$20,OR(Nonlabor!$H$20="Monthly",AND(Nonlabor!$H$20="Once",C3492=IF(Nonlabor!$E$20="Core",Nonlabor!$F$20,MAX(Nonlabor!$F$20,IF(Nonlabor!$E$20="AI",Assumptions!$E$24,Assumptions!$E$25)))),AND(Nonlabor!$H$20="Annual",MOD(C3492-IF(Nonlabor!$E$20="Core",Nonlabor!$F$20,MAX(Nonlabor!$F$20,IF(Nonlabor!$E$20="AI",Assumptions!$E$24,Assumptions!$E$25))),12)=0))),IF(Nonlabor!$I$20="Fixed",1,IF(Nonlabor!$I$20="Seats",ROUNDUP('Monthly Growth'!I12,0),IF(Nonlabor!$I$20="Customers",'Monthly Growth'!D12,IF(Nonlabor!$I$20="NewCustomers",'Monthly Growth'!C12,IF(Nonlabor!$I$20="StorageGB",'Monthly Growth'!G12,IF(Nonlabor!$I$20="LogGB",'Monthly Growth'!H12,IF(Nonlabor!$I$20="RequestsM",'Monthly Growth'!F12,IF(Nonlabor!$I$20="InputM",'Monthly Growth'!D12*Assumptions!$E$22/1000000,IF(Nonlabor!$I$20="OutputM",'Monthly Growth'!D12*Assumptions!$E$23/1000000,0))))))))),0)</f>
        <v>1</v>
      </c>
      <c r="F3492" s="10" t="n">
        <f aca="false">Nonlabor!$J$20*(1+Assumptions!$E$9)^INT((C3492-1)/12)</f>
        <v>600</v>
      </c>
      <c r="G3492" s="10" t="n">
        <f aca="false">E3492*F3492</f>
        <v>600</v>
      </c>
      <c r="H3492" s="10" t="n">
        <f aca="false">IF(OR(Nonlabor!$L$20="Quote required",Nonlabor!$L$20="Unverified"),G3492,0)</f>
        <v>600</v>
      </c>
      <c r="I3492" s="10" t="n">
        <f aca="false">IF(Nonlabor!$E$20="Core",0,G3492)</f>
        <v>0</v>
      </c>
      <c r="J3492" s="23" t="str">
        <f aca="false">Nonlabor!$B$20</f>
        <v>ACCOUNTING</v>
      </c>
    </row>
    <row r="3493" customFormat="false" ht="15" hidden="false" customHeight="false" outlineLevel="0" collapsed="false">
      <c r="A3493" s="6" t="s">
        <v>73</v>
      </c>
      <c r="B3493" s="6" t="s">
        <v>51</v>
      </c>
      <c r="C3493" s="6" t="n">
        <v>8</v>
      </c>
      <c r="D3493" s="25" t="n">
        <f aca="false">EDATE('Start Here'!$B$6,C3493-1)</f>
        <v>46539</v>
      </c>
      <c r="E3493" s="23" t="n">
        <f aca="false">IF(AND(OR(Nonlabor!$D$20="Both",Nonlabor!$D$20='Start Here'!$B$9),IF(Nonlabor!$E$20="Core",1,IF(Nonlabor!$E$20="AI",'Start Here'!$B$7,'Start Here'!$B$8))=1,C3493&gt;=IF(Nonlabor!$E$20="Core",Nonlabor!$F$20,MAX(Nonlabor!$F$20,IF(Nonlabor!$E$20="AI",Assumptions!$E$24,Assumptions!$E$25))),C3493&lt;=Nonlabor!$G$20,OR(Nonlabor!$H$20="Monthly",AND(Nonlabor!$H$20="Once",C3493=IF(Nonlabor!$E$20="Core",Nonlabor!$F$20,MAX(Nonlabor!$F$20,IF(Nonlabor!$E$20="AI",Assumptions!$E$24,Assumptions!$E$25)))),AND(Nonlabor!$H$20="Annual",MOD(C3493-IF(Nonlabor!$E$20="Core",Nonlabor!$F$20,MAX(Nonlabor!$F$20,IF(Nonlabor!$E$20="AI",Assumptions!$E$24,Assumptions!$E$25))),12)=0))),IF(Nonlabor!$I$20="Fixed",1,IF(Nonlabor!$I$20="Seats",ROUNDUP('Monthly Growth'!I13,0),IF(Nonlabor!$I$20="Customers",'Monthly Growth'!D13,IF(Nonlabor!$I$20="NewCustomers",'Monthly Growth'!C13,IF(Nonlabor!$I$20="StorageGB",'Monthly Growth'!G13,IF(Nonlabor!$I$20="LogGB",'Monthly Growth'!H13,IF(Nonlabor!$I$20="RequestsM",'Monthly Growth'!F13,IF(Nonlabor!$I$20="InputM",'Monthly Growth'!D13*Assumptions!$E$22/1000000,IF(Nonlabor!$I$20="OutputM",'Monthly Growth'!D13*Assumptions!$E$23/1000000,0))))))))),0)</f>
        <v>1</v>
      </c>
      <c r="F3493" s="10" t="n">
        <f aca="false">Nonlabor!$J$20*(1+Assumptions!$E$9)^INT((C3493-1)/12)</f>
        <v>600</v>
      </c>
      <c r="G3493" s="10" t="n">
        <f aca="false">E3493*F3493</f>
        <v>600</v>
      </c>
      <c r="H3493" s="10" t="n">
        <f aca="false">IF(OR(Nonlabor!$L$20="Quote required",Nonlabor!$L$20="Unverified"),G3493,0)</f>
        <v>600</v>
      </c>
      <c r="I3493" s="10" t="n">
        <f aca="false">IF(Nonlabor!$E$20="Core",0,G3493)</f>
        <v>0</v>
      </c>
      <c r="J3493" s="23" t="str">
        <f aca="false">Nonlabor!$B$20</f>
        <v>ACCOUNTING</v>
      </c>
    </row>
    <row r="3494" customFormat="false" ht="15" hidden="false" customHeight="false" outlineLevel="0" collapsed="false">
      <c r="A3494" s="6" t="s">
        <v>73</v>
      </c>
      <c r="B3494" s="6" t="s">
        <v>51</v>
      </c>
      <c r="C3494" s="6" t="n">
        <v>9</v>
      </c>
      <c r="D3494" s="25" t="n">
        <f aca="false">EDATE('Start Here'!$B$6,C3494-1)</f>
        <v>46569</v>
      </c>
      <c r="E3494" s="23" t="n">
        <f aca="false">IF(AND(OR(Nonlabor!$D$20="Both",Nonlabor!$D$20='Start Here'!$B$9),IF(Nonlabor!$E$20="Core",1,IF(Nonlabor!$E$20="AI",'Start Here'!$B$7,'Start Here'!$B$8))=1,C3494&gt;=IF(Nonlabor!$E$20="Core",Nonlabor!$F$20,MAX(Nonlabor!$F$20,IF(Nonlabor!$E$20="AI",Assumptions!$E$24,Assumptions!$E$25))),C3494&lt;=Nonlabor!$G$20,OR(Nonlabor!$H$20="Monthly",AND(Nonlabor!$H$20="Once",C3494=IF(Nonlabor!$E$20="Core",Nonlabor!$F$20,MAX(Nonlabor!$F$20,IF(Nonlabor!$E$20="AI",Assumptions!$E$24,Assumptions!$E$25)))),AND(Nonlabor!$H$20="Annual",MOD(C3494-IF(Nonlabor!$E$20="Core",Nonlabor!$F$20,MAX(Nonlabor!$F$20,IF(Nonlabor!$E$20="AI",Assumptions!$E$24,Assumptions!$E$25))),12)=0))),IF(Nonlabor!$I$20="Fixed",1,IF(Nonlabor!$I$20="Seats",ROUNDUP('Monthly Growth'!I14,0),IF(Nonlabor!$I$20="Customers",'Monthly Growth'!D14,IF(Nonlabor!$I$20="NewCustomers",'Monthly Growth'!C14,IF(Nonlabor!$I$20="StorageGB",'Monthly Growth'!G14,IF(Nonlabor!$I$20="LogGB",'Monthly Growth'!H14,IF(Nonlabor!$I$20="RequestsM",'Monthly Growth'!F14,IF(Nonlabor!$I$20="InputM",'Monthly Growth'!D14*Assumptions!$E$22/1000000,IF(Nonlabor!$I$20="OutputM",'Monthly Growth'!D14*Assumptions!$E$23/1000000,0))))))))),0)</f>
        <v>1</v>
      </c>
      <c r="F3494" s="10" t="n">
        <f aca="false">Nonlabor!$J$20*(1+Assumptions!$E$9)^INT((C3494-1)/12)</f>
        <v>600</v>
      </c>
      <c r="G3494" s="10" t="n">
        <f aca="false">E3494*F3494</f>
        <v>600</v>
      </c>
      <c r="H3494" s="10" t="n">
        <f aca="false">IF(OR(Nonlabor!$L$20="Quote required",Nonlabor!$L$20="Unverified"),G3494,0)</f>
        <v>600</v>
      </c>
      <c r="I3494" s="10" t="n">
        <f aca="false">IF(Nonlabor!$E$20="Core",0,G3494)</f>
        <v>0</v>
      </c>
      <c r="J3494" s="23" t="str">
        <f aca="false">Nonlabor!$B$20</f>
        <v>ACCOUNTING</v>
      </c>
    </row>
    <row r="3495" customFormat="false" ht="15" hidden="false" customHeight="false" outlineLevel="0" collapsed="false">
      <c r="A3495" s="6" t="s">
        <v>73</v>
      </c>
      <c r="B3495" s="6" t="s">
        <v>51</v>
      </c>
      <c r="C3495" s="6" t="n">
        <v>10</v>
      </c>
      <c r="D3495" s="25" t="n">
        <f aca="false">EDATE('Start Here'!$B$6,C3495-1)</f>
        <v>46600</v>
      </c>
      <c r="E3495" s="23" t="n">
        <f aca="false">IF(AND(OR(Nonlabor!$D$20="Both",Nonlabor!$D$20='Start Here'!$B$9),IF(Nonlabor!$E$20="Core",1,IF(Nonlabor!$E$20="AI",'Start Here'!$B$7,'Start Here'!$B$8))=1,C3495&gt;=IF(Nonlabor!$E$20="Core",Nonlabor!$F$20,MAX(Nonlabor!$F$20,IF(Nonlabor!$E$20="AI",Assumptions!$E$24,Assumptions!$E$25))),C3495&lt;=Nonlabor!$G$20,OR(Nonlabor!$H$20="Monthly",AND(Nonlabor!$H$20="Once",C3495=IF(Nonlabor!$E$20="Core",Nonlabor!$F$20,MAX(Nonlabor!$F$20,IF(Nonlabor!$E$20="AI",Assumptions!$E$24,Assumptions!$E$25)))),AND(Nonlabor!$H$20="Annual",MOD(C3495-IF(Nonlabor!$E$20="Core",Nonlabor!$F$20,MAX(Nonlabor!$F$20,IF(Nonlabor!$E$20="AI",Assumptions!$E$24,Assumptions!$E$25))),12)=0))),IF(Nonlabor!$I$20="Fixed",1,IF(Nonlabor!$I$20="Seats",ROUNDUP('Monthly Growth'!I15,0),IF(Nonlabor!$I$20="Customers",'Monthly Growth'!D15,IF(Nonlabor!$I$20="NewCustomers",'Monthly Growth'!C15,IF(Nonlabor!$I$20="StorageGB",'Monthly Growth'!G15,IF(Nonlabor!$I$20="LogGB",'Monthly Growth'!H15,IF(Nonlabor!$I$20="RequestsM",'Monthly Growth'!F15,IF(Nonlabor!$I$20="InputM",'Monthly Growth'!D15*Assumptions!$E$22/1000000,IF(Nonlabor!$I$20="OutputM",'Monthly Growth'!D15*Assumptions!$E$23/1000000,0))))))))),0)</f>
        <v>1</v>
      </c>
      <c r="F3495" s="10" t="n">
        <f aca="false">Nonlabor!$J$20*(1+Assumptions!$E$9)^INT((C3495-1)/12)</f>
        <v>600</v>
      </c>
      <c r="G3495" s="10" t="n">
        <f aca="false">E3495*F3495</f>
        <v>600</v>
      </c>
      <c r="H3495" s="10" t="n">
        <f aca="false">IF(OR(Nonlabor!$L$20="Quote required",Nonlabor!$L$20="Unverified"),G3495,0)</f>
        <v>600</v>
      </c>
      <c r="I3495" s="10" t="n">
        <f aca="false">IF(Nonlabor!$E$20="Core",0,G3495)</f>
        <v>0</v>
      </c>
      <c r="J3495" s="23" t="str">
        <f aca="false">Nonlabor!$B$20</f>
        <v>ACCOUNTING</v>
      </c>
    </row>
    <row r="3496" customFormat="false" ht="15" hidden="false" customHeight="false" outlineLevel="0" collapsed="false">
      <c r="A3496" s="6" t="s">
        <v>73</v>
      </c>
      <c r="B3496" s="6" t="s">
        <v>51</v>
      </c>
      <c r="C3496" s="6" t="n">
        <v>11</v>
      </c>
      <c r="D3496" s="25" t="n">
        <f aca="false">EDATE('Start Here'!$B$6,C3496-1)</f>
        <v>46631</v>
      </c>
      <c r="E3496" s="23" t="n">
        <f aca="false">IF(AND(OR(Nonlabor!$D$20="Both",Nonlabor!$D$20='Start Here'!$B$9),IF(Nonlabor!$E$20="Core",1,IF(Nonlabor!$E$20="AI",'Start Here'!$B$7,'Start Here'!$B$8))=1,C3496&gt;=IF(Nonlabor!$E$20="Core",Nonlabor!$F$20,MAX(Nonlabor!$F$20,IF(Nonlabor!$E$20="AI",Assumptions!$E$24,Assumptions!$E$25))),C3496&lt;=Nonlabor!$G$20,OR(Nonlabor!$H$20="Monthly",AND(Nonlabor!$H$20="Once",C3496=IF(Nonlabor!$E$20="Core",Nonlabor!$F$20,MAX(Nonlabor!$F$20,IF(Nonlabor!$E$20="AI",Assumptions!$E$24,Assumptions!$E$25)))),AND(Nonlabor!$H$20="Annual",MOD(C3496-IF(Nonlabor!$E$20="Core",Nonlabor!$F$20,MAX(Nonlabor!$F$20,IF(Nonlabor!$E$20="AI",Assumptions!$E$24,Assumptions!$E$25))),12)=0))),IF(Nonlabor!$I$20="Fixed",1,IF(Nonlabor!$I$20="Seats",ROUNDUP('Monthly Growth'!I16,0),IF(Nonlabor!$I$20="Customers",'Monthly Growth'!D16,IF(Nonlabor!$I$20="NewCustomers",'Monthly Growth'!C16,IF(Nonlabor!$I$20="StorageGB",'Monthly Growth'!G16,IF(Nonlabor!$I$20="LogGB",'Monthly Growth'!H16,IF(Nonlabor!$I$20="RequestsM",'Monthly Growth'!F16,IF(Nonlabor!$I$20="InputM",'Monthly Growth'!D16*Assumptions!$E$22/1000000,IF(Nonlabor!$I$20="OutputM",'Monthly Growth'!D16*Assumptions!$E$23/1000000,0))))))))),0)</f>
        <v>1</v>
      </c>
      <c r="F3496" s="10" t="n">
        <f aca="false">Nonlabor!$J$20*(1+Assumptions!$E$9)^INT((C3496-1)/12)</f>
        <v>600</v>
      </c>
      <c r="G3496" s="10" t="n">
        <f aca="false">E3496*F3496</f>
        <v>600</v>
      </c>
      <c r="H3496" s="10" t="n">
        <f aca="false">IF(OR(Nonlabor!$L$20="Quote required",Nonlabor!$L$20="Unverified"),G3496,0)</f>
        <v>600</v>
      </c>
      <c r="I3496" s="10" t="n">
        <f aca="false">IF(Nonlabor!$E$20="Core",0,G3496)</f>
        <v>0</v>
      </c>
      <c r="J3496" s="23" t="str">
        <f aca="false">Nonlabor!$B$20</f>
        <v>ACCOUNTING</v>
      </c>
    </row>
    <row r="3497" customFormat="false" ht="15" hidden="false" customHeight="false" outlineLevel="0" collapsed="false">
      <c r="A3497" s="6" t="s">
        <v>73</v>
      </c>
      <c r="B3497" s="6" t="s">
        <v>51</v>
      </c>
      <c r="C3497" s="6" t="n">
        <v>12</v>
      </c>
      <c r="D3497" s="25" t="n">
        <f aca="false">EDATE('Start Here'!$B$6,C3497-1)</f>
        <v>46661</v>
      </c>
      <c r="E3497" s="23" t="n">
        <f aca="false">IF(AND(OR(Nonlabor!$D$20="Both",Nonlabor!$D$20='Start Here'!$B$9),IF(Nonlabor!$E$20="Core",1,IF(Nonlabor!$E$20="AI",'Start Here'!$B$7,'Start Here'!$B$8))=1,C3497&gt;=IF(Nonlabor!$E$20="Core",Nonlabor!$F$20,MAX(Nonlabor!$F$20,IF(Nonlabor!$E$20="AI",Assumptions!$E$24,Assumptions!$E$25))),C3497&lt;=Nonlabor!$G$20,OR(Nonlabor!$H$20="Monthly",AND(Nonlabor!$H$20="Once",C3497=IF(Nonlabor!$E$20="Core",Nonlabor!$F$20,MAX(Nonlabor!$F$20,IF(Nonlabor!$E$20="AI",Assumptions!$E$24,Assumptions!$E$25)))),AND(Nonlabor!$H$20="Annual",MOD(C3497-IF(Nonlabor!$E$20="Core",Nonlabor!$F$20,MAX(Nonlabor!$F$20,IF(Nonlabor!$E$20="AI",Assumptions!$E$24,Assumptions!$E$25))),12)=0))),IF(Nonlabor!$I$20="Fixed",1,IF(Nonlabor!$I$20="Seats",ROUNDUP('Monthly Growth'!I17,0),IF(Nonlabor!$I$20="Customers",'Monthly Growth'!D17,IF(Nonlabor!$I$20="NewCustomers",'Monthly Growth'!C17,IF(Nonlabor!$I$20="StorageGB",'Monthly Growth'!G17,IF(Nonlabor!$I$20="LogGB",'Monthly Growth'!H17,IF(Nonlabor!$I$20="RequestsM",'Monthly Growth'!F17,IF(Nonlabor!$I$20="InputM",'Monthly Growth'!D17*Assumptions!$E$22/1000000,IF(Nonlabor!$I$20="OutputM",'Monthly Growth'!D17*Assumptions!$E$23/1000000,0))))))))),0)</f>
        <v>1</v>
      </c>
      <c r="F3497" s="10" t="n">
        <f aca="false">Nonlabor!$J$20*(1+Assumptions!$E$9)^INT((C3497-1)/12)</f>
        <v>600</v>
      </c>
      <c r="G3497" s="10" t="n">
        <f aca="false">E3497*F3497</f>
        <v>600</v>
      </c>
      <c r="H3497" s="10" t="n">
        <f aca="false">IF(OR(Nonlabor!$L$20="Quote required",Nonlabor!$L$20="Unverified"),G3497,0)</f>
        <v>600</v>
      </c>
      <c r="I3497" s="10" t="n">
        <f aca="false">IF(Nonlabor!$E$20="Core",0,G3497)</f>
        <v>0</v>
      </c>
      <c r="J3497" s="23" t="str">
        <f aca="false">Nonlabor!$B$20</f>
        <v>ACCOUNTING</v>
      </c>
    </row>
    <row r="3498" customFormat="false" ht="15" hidden="false" customHeight="false" outlineLevel="0" collapsed="false">
      <c r="A3498" s="6" t="s">
        <v>73</v>
      </c>
      <c r="B3498" s="6" t="s">
        <v>51</v>
      </c>
      <c r="C3498" s="6" t="n">
        <v>13</v>
      </c>
      <c r="D3498" s="25" t="n">
        <f aca="false">EDATE('Start Here'!$B$6,C3498-1)</f>
        <v>46692</v>
      </c>
      <c r="E3498" s="23" t="n">
        <f aca="false">IF(AND(OR(Nonlabor!$D$20="Both",Nonlabor!$D$20='Start Here'!$B$9),IF(Nonlabor!$E$20="Core",1,IF(Nonlabor!$E$20="AI",'Start Here'!$B$7,'Start Here'!$B$8))=1,C3498&gt;=IF(Nonlabor!$E$20="Core",Nonlabor!$F$20,MAX(Nonlabor!$F$20,IF(Nonlabor!$E$20="AI",Assumptions!$E$24,Assumptions!$E$25))),C3498&lt;=Nonlabor!$G$20,OR(Nonlabor!$H$20="Monthly",AND(Nonlabor!$H$20="Once",C3498=IF(Nonlabor!$E$20="Core",Nonlabor!$F$20,MAX(Nonlabor!$F$20,IF(Nonlabor!$E$20="AI",Assumptions!$E$24,Assumptions!$E$25)))),AND(Nonlabor!$H$20="Annual",MOD(C3498-IF(Nonlabor!$E$20="Core",Nonlabor!$F$20,MAX(Nonlabor!$F$20,IF(Nonlabor!$E$20="AI",Assumptions!$E$24,Assumptions!$E$25))),12)=0))),IF(Nonlabor!$I$20="Fixed",1,IF(Nonlabor!$I$20="Seats",ROUNDUP('Monthly Growth'!I18,0),IF(Nonlabor!$I$20="Customers",'Monthly Growth'!D18,IF(Nonlabor!$I$20="NewCustomers",'Monthly Growth'!C18,IF(Nonlabor!$I$20="StorageGB",'Monthly Growth'!G18,IF(Nonlabor!$I$20="LogGB",'Monthly Growth'!H18,IF(Nonlabor!$I$20="RequestsM",'Monthly Growth'!F18,IF(Nonlabor!$I$20="InputM",'Monthly Growth'!D18*Assumptions!$E$22/1000000,IF(Nonlabor!$I$20="OutputM",'Monthly Growth'!D18*Assumptions!$E$23/1000000,0))))))))),0)</f>
        <v>1</v>
      </c>
      <c r="F3498" s="10" t="n">
        <f aca="false">Nonlabor!$J$20*(1+Assumptions!$E$9)^INT((C3498-1)/12)</f>
        <v>624</v>
      </c>
      <c r="G3498" s="10" t="n">
        <f aca="false">E3498*F3498</f>
        <v>624</v>
      </c>
      <c r="H3498" s="10" t="n">
        <f aca="false">IF(OR(Nonlabor!$L$20="Quote required",Nonlabor!$L$20="Unverified"),G3498,0)</f>
        <v>624</v>
      </c>
      <c r="I3498" s="10" t="n">
        <f aca="false">IF(Nonlabor!$E$20="Core",0,G3498)</f>
        <v>0</v>
      </c>
      <c r="J3498" s="23" t="str">
        <f aca="false">Nonlabor!$B$20</f>
        <v>ACCOUNTING</v>
      </c>
    </row>
    <row r="3499" customFormat="false" ht="15" hidden="false" customHeight="false" outlineLevel="0" collapsed="false">
      <c r="A3499" s="6" t="s">
        <v>73</v>
      </c>
      <c r="B3499" s="6" t="s">
        <v>51</v>
      </c>
      <c r="C3499" s="6" t="n">
        <v>14</v>
      </c>
      <c r="D3499" s="25" t="n">
        <f aca="false">EDATE('Start Here'!$B$6,C3499-1)</f>
        <v>46722</v>
      </c>
      <c r="E3499" s="23" t="n">
        <f aca="false">IF(AND(OR(Nonlabor!$D$20="Both",Nonlabor!$D$20='Start Here'!$B$9),IF(Nonlabor!$E$20="Core",1,IF(Nonlabor!$E$20="AI",'Start Here'!$B$7,'Start Here'!$B$8))=1,C3499&gt;=IF(Nonlabor!$E$20="Core",Nonlabor!$F$20,MAX(Nonlabor!$F$20,IF(Nonlabor!$E$20="AI",Assumptions!$E$24,Assumptions!$E$25))),C3499&lt;=Nonlabor!$G$20,OR(Nonlabor!$H$20="Monthly",AND(Nonlabor!$H$20="Once",C3499=IF(Nonlabor!$E$20="Core",Nonlabor!$F$20,MAX(Nonlabor!$F$20,IF(Nonlabor!$E$20="AI",Assumptions!$E$24,Assumptions!$E$25)))),AND(Nonlabor!$H$20="Annual",MOD(C3499-IF(Nonlabor!$E$20="Core",Nonlabor!$F$20,MAX(Nonlabor!$F$20,IF(Nonlabor!$E$20="AI",Assumptions!$E$24,Assumptions!$E$25))),12)=0))),IF(Nonlabor!$I$20="Fixed",1,IF(Nonlabor!$I$20="Seats",ROUNDUP('Monthly Growth'!I19,0),IF(Nonlabor!$I$20="Customers",'Monthly Growth'!D19,IF(Nonlabor!$I$20="NewCustomers",'Monthly Growth'!C19,IF(Nonlabor!$I$20="StorageGB",'Monthly Growth'!G19,IF(Nonlabor!$I$20="LogGB",'Monthly Growth'!H19,IF(Nonlabor!$I$20="RequestsM",'Monthly Growth'!F19,IF(Nonlabor!$I$20="InputM",'Monthly Growth'!D19*Assumptions!$E$22/1000000,IF(Nonlabor!$I$20="OutputM",'Monthly Growth'!D19*Assumptions!$E$23/1000000,0))))))))),0)</f>
        <v>1</v>
      </c>
      <c r="F3499" s="10" t="n">
        <f aca="false">Nonlabor!$J$20*(1+Assumptions!$E$9)^INT((C3499-1)/12)</f>
        <v>624</v>
      </c>
      <c r="G3499" s="10" t="n">
        <f aca="false">E3499*F3499</f>
        <v>624</v>
      </c>
      <c r="H3499" s="10" t="n">
        <f aca="false">IF(OR(Nonlabor!$L$20="Quote required",Nonlabor!$L$20="Unverified"),G3499,0)</f>
        <v>624</v>
      </c>
      <c r="I3499" s="10" t="n">
        <f aca="false">IF(Nonlabor!$E$20="Core",0,G3499)</f>
        <v>0</v>
      </c>
      <c r="J3499" s="23" t="str">
        <f aca="false">Nonlabor!$B$20</f>
        <v>ACCOUNTING</v>
      </c>
    </row>
    <row r="3500" customFormat="false" ht="15" hidden="false" customHeight="false" outlineLevel="0" collapsed="false">
      <c r="A3500" s="6" t="s">
        <v>73</v>
      </c>
      <c r="B3500" s="6" t="s">
        <v>51</v>
      </c>
      <c r="C3500" s="6" t="n">
        <v>15</v>
      </c>
      <c r="D3500" s="25" t="n">
        <f aca="false">EDATE('Start Here'!$B$6,C3500-1)</f>
        <v>46753</v>
      </c>
      <c r="E3500" s="23" t="n">
        <f aca="false">IF(AND(OR(Nonlabor!$D$20="Both",Nonlabor!$D$20='Start Here'!$B$9),IF(Nonlabor!$E$20="Core",1,IF(Nonlabor!$E$20="AI",'Start Here'!$B$7,'Start Here'!$B$8))=1,C3500&gt;=IF(Nonlabor!$E$20="Core",Nonlabor!$F$20,MAX(Nonlabor!$F$20,IF(Nonlabor!$E$20="AI",Assumptions!$E$24,Assumptions!$E$25))),C3500&lt;=Nonlabor!$G$20,OR(Nonlabor!$H$20="Monthly",AND(Nonlabor!$H$20="Once",C3500=IF(Nonlabor!$E$20="Core",Nonlabor!$F$20,MAX(Nonlabor!$F$20,IF(Nonlabor!$E$20="AI",Assumptions!$E$24,Assumptions!$E$25)))),AND(Nonlabor!$H$20="Annual",MOD(C3500-IF(Nonlabor!$E$20="Core",Nonlabor!$F$20,MAX(Nonlabor!$F$20,IF(Nonlabor!$E$20="AI",Assumptions!$E$24,Assumptions!$E$25))),12)=0))),IF(Nonlabor!$I$20="Fixed",1,IF(Nonlabor!$I$20="Seats",ROUNDUP('Monthly Growth'!I20,0),IF(Nonlabor!$I$20="Customers",'Monthly Growth'!D20,IF(Nonlabor!$I$20="NewCustomers",'Monthly Growth'!C20,IF(Nonlabor!$I$20="StorageGB",'Monthly Growth'!G20,IF(Nonlabor!$I$20="LogGB",'Monthly Growth'!H20,IF(Nonlabor!$I$20="RequestsM",'Monthly Growth'!F20,IF(Nonlabor!$I$20="InputM",'Monthly Growth'!D20*Assumptions!$E$22/1000000,IF(Nonlabor!$I$20="OutputM",'Monthly Growth'!D20*Assumptions!$E$23/1000000,0))))))))),0)</f>
        <v>1</v>
      </c>
      <c r="F3500" s="10" t="n">
        <f aca="false">Nonlabor!$J$20*(1+Assumptions!$E$9)^INT((C3500-1)/12)</f>
        <v>624</v>
      </c>
      <c r="G3500" s="10" t="n">
        <f aca="false">E3500*F3500</f>
        <v>624</v>
      </c>
      <c r="H3500" s="10" t="n">
        <f aca="false">IF(OR(Nonlabor!$L$20="Quote required",Nonlabor!$L$20="Unverified"),G3500,0)</f>
        <v>624</v>
      </c>
      <c r="I3500" s="10" t="n">
        <f aca="false">IF(Nonlabor!$E$20="Core",0,G3500)</f>
        <v>0</v>
      </c>
      <c r="J3500" s="23" t="str">
        <f aca="false">Nonlabor!$B$20</f>
        <v>ACCOUNTING</v>
      </c>
    </row>
    <row r="3501" customFormat="false" ht="15" hidden="false" customHeight="false" outlineLevel="0" collapsed="false">
      <c r="A3501" s="6" t="s">
        <v>73</v>
      </c>
      <c r="B3501" s="6" t="s">
        <v>51</v>
      </c>
      <c r="C3501" s="6" t="n">
        <v>16</v>
      </c>
      <c r="D3501" s="25" t="n">
        <f aca="false">EDATE('Start Here'!$B$6,C3501-1)</f>
        <v>46784</v>
      </c>
      <c r="E3501" s="23" t="n">
        <f aca="false">IF(AND(OR(Nonlabor!$D$20="Both",Nonlabor!$D$20='Start Here'!$B$9),IF(Nonlabor!$E$20="Core",1,IF(Nonlabor!$E$20="AI",'Start Here'!$B$7,'Start Here'!$B$8))=1,C3501&gt;=IF(Nonlabor!$E$20="Core",Nonlabor!$F$20,MAX(Nonlabor!$F$20,IF(Nonlabor!$E$20="AI",Assumptions!$E$24,Assumptions!$E$25))),C3501&lt;=Nonlabor!$G$20,OR(Nonlabor!$H$20="Monthly",AND(Nonlabor!$H$20="Once",C3501=IF(Nonlabor!$E$20="Core",Nonlabor!$F$20,MAX(Nonlabor!$F$20,IF(Nonlabor!$E$20="AI",Assumptions!$E$24,Assumptions!$E$25)))),AND(Nonlabor!$H$20="Annual",MOD(C3501-IF(Nonlabor!$E$20="Core",Nonlabor!$F$20,MAX(Nonlabor!$F$20,IF(Nonlabor!$E$20="AI",Assumptions!$E$24,Assumptions!$E$25))),12)=0))),IF(Nonlabor!$I$20="Fixed",1,IF(Nonlabor!$I$20="Seats",ROUNDUP('Monthly Growth'!I21,0),IF(Nonlabor!$I$20="Customers",'Monthly Growth'!D21,IF(Nonlabor!$I$20="NewCustomers",'Monthly Growth'!C21,IF(Nonlabor!$I$20="StorageGB",'Monthly Growth'!G21,IF(Nonlabor!$I$20="LogGB",'Monthly Growth'!H21,IF(Nonlabor!$I$20="RequestsM",'Monthly Growth'!F21,IF(Nonlabor!$I$20="InputM",'Monthly Growth'!D21*Assumptions!$E$22/1000000,IF(Nonlabor!$I$20="OutputM",'Monthly Growth'!D21*Assumptions!$E$23/1000000,0))))))))),0)</f>
        <v>1</v>
      </c>
      <c r="F3501" s="10" t="n">
        <f aca="false">Nonlabor!$J$20*(1+Assumptions!$E$9)^INT((C3501-1)/12)</f>
        <v>624</v>
      </c>
      <c r="G3501" s="10" t="n">
        <f aca="false">E3501*F3501</f>
        <v>624</v>
      </c>
      <c r="H3501" s="10" t="n">
        <f aca="false">IF(OR(Nonlabor!$L$20="Quote required",Nonlabor!$L$20="Unverified"),G3501,0)</f>
        <v>624</v>
      </c>
      <c r="I3501" s="10" t="n">
        <f aca="false">IF(Nonlabor!$E$20="Core",0,G3501)</f>
        <v>0</v>
      </c>
      <c r="J3501" s="23" t="str">
        <f aca="false">Nonlabor!$B$20</f>
        <v>ACCOUNTING</v>
      </c>
    </row>
    <row r="3502" customFormat="false" ht="15" hidden="false" customHeight="false" outlineLevel="0" collapsed="false">
      <c r="A3502" s="6" t="s">
        <v>73</v>
      </c>
      <c r="B3502" s="6" t="s">
        <v>51</v>
      </c>
      <c r="C3502" s="6" t="n">
        <v>17</v>
      </c>
      <c r="D3502" s="25" t="n">
        <f aca="false">EDATE('Start Here'!$B$6,C3502-1)</f>
        <v>46813</v>
      </c>
      <c r="E3502" s="23" t="n">
        <f aca="false">IF(AND(OR(Nonlabor!$D$20="Both",Nonlabor!$D$20='Start Here'!$B$9),IF(Nonlabor!$E$20="Core",1,IF(Nonlabor!$E$20="AI",'Start Here'!$B$7,'Start Here'!$B$8))=1,C3502&gt;=IF(Nonlabor!$E$20="Core",Nonlabor!$F$20,MAX(Nonlabor!$F$20,IF(Nonlabor!$E$20="AI",Assumptions!$E$24,Assumptions!$E$25))),C3502&lt;=Nonlabor!$G$20,OR(Nonlabor!$H$20="Monthly",AND(Nonlabor!$H$20="Once",C3502=IF(Nonlabor!$E$20="Core",Nonlabor!$F$20,MAX(Nonlabor!$F$20,IF(Nonlabor!$E$20="AI",Assumptions!$E$24,Assumptions!$E$25)))),AND(Nonlabor!$H$20="Annual",MOD(C3502-IF(Nonlabor!$E$20="Core",Nonlabor!$F$20,MAX(Nonlabor!$F$20,IF(Nonlabor!$E$20="AI",Assumptions!$E$24,Assumptions!$E$25))),12)=0))),IF(Nonlabor!$I$20="Fixed",1,IF(Nonlabor!$I$20="Seats",ROUNDUP('Monthly Growth'!I22,0),IF(Nonlabor!$I$20="Customers",'Monthly Growth'!D22,IF(Nonlabor!$I$20="NewCustomers",'Monthly Growth'!C22,IF(Nonlabor!$I$20="StorageGB",'Monthly Growth'!G22,IF(Nonlabor!$I$20="LogGB",'Monthly Growth'!H22,IF(Nonlabor!$I$20="RequestsM",'Monthly Growth'!F22,IF(Nonlabor!$I$20="InputM",'Monthly Growth'!D22*Assumptions!$E$22/1000000,IF(Nonlabor!$I$20="OutputM",'Monthly Growth'!D22*Assumptions!$E$23/1000000,0))))))))),0)</f>
        <v>1</v>
      </c>
      <c r="F3502" s="10" t="n">
        <f aca="false">Nonlabor!$J$20*(1+Assumptions!$E$9)^INT((C3502-1)/12)</f>
        <v>624</v>
      </c>
      <c r="G3502" s="10" t="n">
        <f aca="false">E3502*F3502</f>
        <v>624</v>
      </c>
      <c r="H3502" s="10" t="n">
        <f aca="false">IF(OR(Nonlabor!$L$20="Quote required",Nonlabor!$L$20="Unverified"),G3502,0)</f>
        <v>624</v>
      </c>
      <c r="I3502" s="10" t="n">
        <f aca="false">IF(Nonlabor!$E$20="Core",0,G3502)</f>
        <v>0</v>
      </c>
      <c r="J3502" s="23" t="str">
        <f aca="false">Nonlabor!$B$20</f>
        <v>ACCOUNTING</v>
      </c>
    </row>
    <row r="3503" customFormat="false" ht="15" hidden="false" customHeight="false" outlineLevel="0" collapsed="false">
      <c r="A3503" s="6" t="s">
        <v>73</v>
      </c>
      <c r="B3503" s="6" t="s">
        <v>51</v>
      </c>
      <c r="C3503" s="6" t="n">
        <v>18</v>
      </c>
      <c r="D3503" s="25" t="n">
        <f aca="false">EDATE('Start Here'!$B$6,C3503-1)</f>
        <v>46844</v>
      </c>
      <c r="E3503" s="23" t="n">
        <f aca="false">IF(AND(OR(Nonlabor!$D$20="Both",Nonlabor!$D$20='Start Here'!$B$9),IF(Nonlabor!$E$20="Core",1,IF(Nonlabor!$E$20="AI",'Start Here'!$B$7,'Start Here'!$B$8))=1,C3503&gt;=IF(Nonlabor!$E$20="Core",Nonlabor!$F$20,MAX(Nonlabor!$F$20,IF(Nonlabor!$E$20="AI",Assumptions!$E$24,Assumptions!$E$25))),C3503&lt;=Nonlabor!$G$20,OR(Nonlabor!$H$20="Monthly",AND(Nonlabor!$H$20="Once",C3503=IF(Nonlabor!$E$20="Core",Nonlabor!$F$20,MAX(Nonlabor!$F$20,IF(Nonlabor!$E$20="AI",Assumptions!$E$24,Assumptions!$E$25)))),AND(Nonlabor!$H$20="Annual",MOD(C3503-IF(Nonlabor!$E$20="Core",Nonlabor!$F$20,MAX(Nonlabor!$F$20,IF(Nonlabor!$E$20="AI",Assumptions!$E$24,Assumptions!$E$25))),12)=0))),IF(Nonlabor!$I$20="Fixed",1,IF(Nonlabor!$I$20="Seats",ROUNDUP('Monthly Growth'!I23,0),IF(Nonlabor!$I$20="Customers",'Monthly Growth'!D23,IF(Nonlabor!$I$20="NewCustomers",'Monthly Growth'!C23,IF(Nonlabor!$I$20="StorageGB",'Monthly Growth'!G23,IF(Nonlabor!$I$20="LogGB",'Monthly Growth'!H23,IF(Nonlabor!$I$20="RequestsM",'Monthly Growth'!F23,IF(Nonlabor!$I$20="InputM",'Monthly Growth'!D23*Assumptions!$E$22/1000000,IF(Nonlabor!$I$20="OutputM",'Monthly Growth'!D23*Assumptions!$E$23/1000000,0))))))))),0)</f>
        <v>1</v>
      </c>
      <c r="F3503" s="10" t="n">
        <f aca="false">Nonlabor!$J$20*(1+Assumptions!$E$9)^INT((C3503-1)/12)</f>
        <v>624</v>
      </c>
      <c r="G3503" s="10" t="n">
        <f aca="false">E3503*F3503</f>
        <v>624</v>
      </c>
      <c r="H3503" s="10" t="n">
        <f aca="false">IF(OR(Nonlabor!$L$20="Quote required",Nonlabor!$L$20="Unverified"),G3503,0)</f>
        <v>624</v>
      </c>
      <c r="I3503" s="10" t="n">
        <f aca="false">IF(Nonlabor!$E$20="Core",0,G3503)</f>
        <v>0</v>
      </c>
      <c r="J3503" s="23" t="str">
        <f aca="false">Nonlabor!$B$20</f>
        <v>ACCOUNTING</v>
      </c>
    </row>
    <row r="3504" customFormat="false" ht="15" hidden="false" customHeight="false" outlineLevel="0" collapsed="false">
      <c r="A3504" s="6" t="s">
        <v>73</v>
      </c>
      <c r="B3504" s="6" t="s">
        <v>51</v>
      </c>
      <c r="C3504" s="6" t="n">
        <v>19</v>
      </c>
      <c r="D3504" s="25" t="n">
        <f aca="false">EDATE('Start Here'!$B$6,C3504-1)</f>
        <v>46874</v>
      </c>
      <c r="E3504" s="23" t="n">
        <f aca="false">IF(AND(OR(Nonlabor!$D$20="Both",Nonlabor!$D$20='Start Here'!$B$9),IF(Nonlabor!$E$20="Core",1,IF(Nonlabor!$E$20="AI",'Start Here'!$B$7,'Start Here'!$B$8))=1,C3504&gt;=IF(Nonlabor!$E$20="Core",Nonlabor!$F$20,MAX(Nonlabor!$F$20,IF(Nonlabor!$E$20="AI",Assumptions!$E$24,Assumptions!$E$25))),C3504&lt;=Nonlabor!$G$20,OR(Nonlabor!$H$20="Monthly",AND(Nonlabor!$H$20="Once",C3504=IF(Nonlabor!$E$20="Core",Nonlabor!$F$20,MAX(Nonlabor!$F$20,IF(Nonlabor!$E$20="AI",Assumptions!$E$24,Assumptions!$E$25)))),AND(Nonlabor!$H$20="Annual",MOD(C3504-IF(Nonlabor!$E$20="Core",Nonlabor!$F$20,MAX(Nonlabor!$F$20,IF(Nonlabor!$E$20="AI",Assumptions!$E$24,Assumptions!$E$25))),12)=0))),IF(Nonlabor!$I$20="Fixed",1,IF(Nonlabor!$I$20="Seats",ROUNDUP('Monthly Growth'!I24,0),IF(Nonlabor!$I$20="Customers",'Monthly Growth'!D24,IF(Nonlabor!$I$20="NewCustomers",'Monthly Growth'!C24,IF(Nonlabor!$I$20="StorageGB",'Monthly Growth'!G24,IF(Nonlabor!$I$20="LogGB",'Monthly Growth'!H24,IF(Nonlabor!$I$20="RequestsM",'Monthly Growth'!F24,IF(Nonlabor!$I$20="InputM",'Monthly Growth'!D24*Assumptions!$E$22/1000000,IF(Nonlabor!$I$20="OutputM",'Monthly Growth'!D24*Assumptions!$E$23/1000000,0))))))))),0)</f>
        <v>1</v>
      </c>
      <c r="F3504" s="10" t="n">
        <f aca="false">Nonlabor!$J$20*(1+Assumptions!$E$9)^INT((C3504-1)/12)</f>
        <v>624</v>
      </c>
      <c r="G3504" s="10" t="n">
        <f aca="false">E3504*F3504</f>
        <v>624</v>
      </c>
      <c r="H3504" s="10" t="n">
        <f aca="false">IF(OR(Nonlabor!$L$20="Quote required",Nonlabor!$L$20="Unverified"),G3504,0)</f>
        <v>624</v>
      </c>
      <c r="I3504" s="10" t="n">
        <f aca="false">IF(Nonlabor!$E$20="Core",0,G3504)</f>
        <v>0</v>
      </c>
      <c r="J3504" s="23" t="str">
        <f aca="false">Nonlabor!$B$20</f>
        <v>ACCOUNTING</v>
      </c>
    </row>
    <row r="3505" customFormat="false" ht="15" hidden="false" customHeight="false" outlineLevel="0" collapsed="false">
      <c r="A3505" s="6" t="s">
        <v>73</v>
      </c>
      <c r="B3505" s="6" t="s">
        <v>51</v>
      </c>
      <c r="C3505" s="6" t="n">
        <v>20</v>
      </c>
      <c r="D3505" s="25" t="n">
        <f aca="false">EDATE('Start Here'!$B$6,C3505-1)</f>
        <v>46905</v>
      </c>
      <c r="E3505" s="23" t="n">
        <f aca="false">IF(AND(OR(Nonlabor!$D$20="Both",Nonlabor!$D$20='Start Here'!$B$9),IF(Nonlabor!$E$20="Core",1,IF(Nonlabor!$E$20="AI",'Start Here'!$B$7,'Start Here'!$B$8))=1,C3505&gt;=IF(Nonlabor!$E$20="Core",Nonlabor!$F$20,MAX(Nonlabor!$F$20,IF(Nonlabor!$E$20="AI",Assumptions!$E$24,Assumptions!$E$25))),C3505&lt;=Nonlabor!$G$20,OR(Nonlabor!$H$20="Monthly",AND(Nonlabor!$H$20="Once",C3505=IF(Nonlabor!$E$20="Core",Nonlabor!$F$20,MAX(Nonlabor!$F$20,IF(Nonlabor!$E$20="AI",Assumptions!$E$24,Assumptions!$E$25)))),AND(Nonlabor!$H$20="Annual",MOD(C3505-IF(Nonlabor!$E$20="Core",Nonlabor!$F$20,MAX(Nonlabor!$F$20,IF(Nonlabor!$E$20="AI",Assumptions!$E$24,Assumptions!$E$25))),12)=0))),IF(Nonlabor!$I$20="Fixed",1,IF(Nonlabor!$I$20="Seats",ROUNDUP('Monthly Growth'!I25,0),IF(Nonlabor!$I$20="Customers",'Monthly Growth'!D25,IF(Nonlabor!$I$20="NewCustomers",'Monthly Growth'!C25,IF(Nonlabor!$I$20="StorageGB",'Monthly Growth'!G25,IF(Nonlabor!$I$20="LogGB",'Monthly Growth'!H25,IF(Nonlabor!$I$20="RequestsM",'Monthly Growth'!F25,IF(Nonlabor!$I$20="InputM",'Monthly Growth'!D25*Assumptions!$E$22/1000000,IF(Nonlabor!$I$20="OutputM",'Monthly Growth'!D25*Assumptions!$E$23/1000000,0))))))))),0)</f>
        <v>1</v>
      </c>
      <c r="F3505" s="10" t="n">
        <f aca="false">Nonlabor!$J$20*(1+Assumptions!$E$9)^INT((C3505-1)/12)</f>
        <v>624</v>
      </c>
      <c r="G3505" s="10" t="n">
        <f aca="false">E3505*F3505</f>
        <v>624</v>
      </c>
      <c r="H3505" s="10" t="n">
        <f aca="false">IF(OR(Nonlabor!$L$20="Quote required",Nonlabor!$L$20="Unverified"),G3505,0)</f>
        <v>624</v>
      </c>
      <c r="I3505" s="10" t="n">
        <f aca="false">IF(Nonlabor!$E$20="Core",0,G3505)</f>
        <v>0</v>
      </c>
      <c r="J3505" s="23" t="str">
        <f aca="false">Nonlabor!$B$20</f>
        <v>ACCOUNTING</v>
      </c>
    </row>
    <row r="3506" customFormat="false" ht="15" hidden="false" customHeight="false" outlineLevel="0" collapsed="false">
      <c r="A3506" s="6" t="s">
        <v>73</v>
      </c>
      <c r="B3506" s="6" t="s">
        <v>51</v>
      </c>
      <c r="C3506" s="6" t="n">
        <v>21</v>
      </c>
      <c r="D3506" s="25" t="n">
        <f aca="false">EDATE('Start Here'!$B$6,C3506-1)</f>
        <v>46935</v>
      </c>
      <c r="E3506" s="23" t="n">
        <f aca="false">IF(AND(OR(Nonlabor!$D$20="Both",Nonlabor!$D$20='Start Here'!$B$9),IF(Nonlabor!$E$20="Core",1,IF(Nonlabor!$E$20="AI",'Start Here'!$B$7,'Start Here'!$B$8))=1,C3506&gt;=IF(Nonlabor!$E$20="Core",Nonlabor!$F$20,MAX(Nonlabor!$F$20,IF(Nonlabor!$E$20="AI",Assumptions!$E$24,Assumptions!$E$25))),C3506&lt;=Nonlabor!$G$20,OR(Nonlabor!$H$20="Monthly",AND(Nonlabor!$H$20="Once",C3506=IF(Nonlabor!$E$20="Core",Nonlabor!$F$20,MAX(Nonlabor!$F$20,IF(Nonlabor!$E$20="AI",Assumptions!$E$24,Assumptions!$E$25)))),AND(Nonlabor!$H$20="Annual",MOD(C3506-IF(Nonlabor!$E$20="Core",Nonlabor!$F$20,MAX(Nonlabor!$F$20,IF(Nonlabor!$E$20="AI",Assumptions!$E$24,Assumptions!$E$25))),12)=0))),IF(Nonlabor!$I$20="Fixed",1,IF(Nonlabor!$I$20="Seats",ROUNDUP('Monthly Growth'!I26,0),IF(Nonlabor!$I$20="Customers",'Monthly Growth'!D26,IF(Nonlabor!$I$20="NewCustomers",'Monthly Growth'!C26,IF(Nonlabor!$I$20="StorageGB",'Monthly Growth'!G26,IF(Nonlabor!$I$20="LogGB",'Monthly Growth'!H26,IF(Nonlabor!$I$20="RequestsM",'Monthly Growth'!F26,IF(Nonlabor!$I$20="InputM",'Monthly Growth'!D26*Assumptions!$E$22/1000000,IF(Nonlabor!$I$20="OutputM",'Monthly Growth'!D26*Assumptions!$E$23/1000000,0))))))))),0)</f>
        <v>1</v>
      </c>
      <c r="F3506" s="10" t="n">
        <f aca="false">Nonlabor!$J$20*(1+Assumptions!$E$9)^INT((C3506-1)/12)</f>
        <v>624</v>
      </c>
      <c r="G3506" s="10" t="n">
        <f aca="false">E3506*F3506</f>
        <v>624</v>
      </c>
      <c r="H3506" s="10" t="n">
        <f aca="false">IF(OR(Nonlabor!$L$20="Quote required",Nonlabor!$L$20="Unverified"),G3506,0)</f>
        <v>624</v>
      </c>
      <c r="I3506" s="10" t="n">
        <f aca="false">IF(Nonlabor!$E$20="Core",0,G3506)</f>
        <v>0</v>
      </c>
      <c r="J3506" s="23" t="str">
        <f aca="false">Nonlabor!$B$20</f>
        <v>ACCOUNTING</v>
      </c>
    </row>
    <row r="3507" customFormat="false" ht="15" hidden="false" customHeight="false" outlineLevel="0" collapsed="false">
      <c r="A3507" s="6" t="s">
        <v>73</v>
      </c>
      <c r="B3507" s="6" t="s">
        <v>51</v>
      </c>
      <c r="C3507" s="6" t="n">
        <v>22</v>
      </c>
      <c r="D3507" s="25" t="n">
        <f aca="false">EDATE('Start Here'!$B$6,C3507-1)</f>
        <v>46966</v>
      </c>
      <c r="E3507" s="23" t="n">
        <f aca="false">IF(AND(OR(Nonlabor!$D$20="Both",Nonlabor!$D$20='Start Here'!$B$9),IF(Nonlabor!$E$20="Core",1,IF(Nonlabor!$E$20="AI",'Start Here'!$B$7,'Start Here'!$B$8))=1,C3507&gt;=IF(Nonlabor!$E$20="Core",Nonlabor!$F$20,MAX(Nonlabor!$F$20,IF(Nonlabor!$E$20="AI",Assumptions!$E$24,Assumptions!$E$25))),C3507&lt;=Nonlabor!$G$20,OR(Nonlabor!$H$20="Monthly",AND(Nonlabor!$H$20="Once",C3507=IF(Nonlabor!$E$20="Core",Nonlabor!$F$20,MAX(Nonlabor!$F$20,IF(Nonlabor!$E$20="AI",Assumptions!$E$24,Assumptions!$E$25)))),AND(Nonlabor!$H$20="Annual",MOD(C3507-IF(Nonlabor!$E$20="Core",Nonlabor!$F$20,MAX(Nonlabor!$F$20,IF(Nonlabor!$E$20="AI",Assumptions!$E$24,Assumptions!$E$25))),12)=0))),IF(Nonlabor!$I$20="Fixed",1,IF(Nonlabor!$I$20="Seats",ROUNDUP('Monthly Growth'!I27,0),IF(Nonlabor!$I$20="Customers",'Monthly Growth'!D27,IF(Nonlabor!$I$20="NewCustomers",'Monthly Growth'!C27,IF(Nonlabor!$I$20="StorageGB",'Monthly Growth'!G27,IF(Nonlabor!$I$20="LogGB",'Monthly Growth'!H27,IF(Nonlabor!$I$20="RequestsM",'Monthly Growth'!F27,IF(Nonlabor!$I$20="InputM",'Monthly Growth'!D27*Assumptions!$E$22/1000000,IF(Nonlabor!$I$20="OutputM",'Monthly Growth'!D27*Assumptions!$E$23/1000000,0))))))))),0)</f>
        <v>1</v>
      </c>
      <c r="F3507" s="10" t="n">
        <f aca="false">Nonlabor!$J$20*(1+Assumptions!$E$9)^INT((C3507-1)/12)</f>
        <v>624</v>
      </c>
      <c r="G3507" s="10" t="n">
        <f aca="false">E3507*F3507</f>
        <v>624</v>
      </c>
      <c r="H3507" s="10" t="n">
        <f aca="false">IF(OR(Nonlabor!$L$20="Quote required",Nonlabor!$L$20="Unverified"),G3507,0)</f>
        <v>624</v>
      </c>
      <c r="I3507" s="10" t="n">
        <f aca="false">IF(Nonlabor!$E$20="Core",0,G3507)</f>
        <v>0</v>
      </c>
      <c r="J3507" s="23" t="str">
        <f aca="false">Nonlabor!$B$20</f>
        <v>ACCOUNTING</v>
      </c>
    </row>
    <row r="3508" customFormat="false" ht="15" hidden="false" customHeight="false" outlineLevel="0" collapsed="false">
      <c r="A3508" s="6" t="s">
        <v>73</v>
      </c>
      <c r="B3508" s="6" t="s">
        <v>51</v>
      </c>
      <c r="C3508" s="6" t="n">
        <v>23</v>
      </c>
      <c r="D3508" s="25" t="n">
        <f aca="false">EDATE('Start Here'!$B$6,C3508-1)</f>
        <v>46997</v>
      </c>
      <c r="E3508" s="23" t="n">
        <f aca="false">IF(AND(OR(Nonlabor!$D$20="Both",Nonlabor!$D$20='Start Here'!$B$9),IF(Nonlabor!$E$20="Core",1,IF(Nonlabor!$E$20="AI",'Start Here'!$B$7,'Start Here'!$B$8))=1,C3508&gt;=IF(Nonlabor!$E$20="Core",Nonlabor!$F$20,MAX(Nonlabor!$F$20,IF(Nonlabor!$E$20="AI",Assumptions!$E$24,Assumptions!$E$25))),C3508&lt;=Nonlabor!$G$20,OR(Nonlabor!$H$20="Monthly",AND(Nonlabor!$H$20="Once",C3508=IF(Nonlabor!$E$20="Core",Nonlabor!$F$20,MAX(Nonlabor!$F$20,IF(Nonlabor!$E$20="AI",Assumptions!$E$24,Assumptions!$E$25)))),AND(Nonlabor!$H$20="Annual",MOD(C3508-IF(Nonlabor!$E$20="Core",Nonlabor!$F$20,MAX(Nonlabor!$F$20,IF(Nonlabor!$E$20="AI",Assumptions!$E$24,Assumptions!$E$25))),12)=0))),IF(Nonlabor!$I$20="Fixed",1,IF(Nonlabor!$I$20="Seats",ROUNDUP('Monthly Growth'!I28,0),IF(Nonlabor!$I$20="Customers",'Monthly Growth'!D28,IF(Nonlabor!$I$20="NewCustomers",'Monthly Growth'!C28,IF(Nonlabor!$I$20="StorageGB",'Monthly Growth'!G28,IF(Nonlabor!$I$20="LogGB",'Monthly Growth'!H28,IF(Nonlabor!$I$20="RequestsM",'Monthly Growth'!F28,IF(Nonlabor!$I$20="InputM",'Monthly Growth'!D28*Assumptions!$E$22/1000000,IF(Nonlabor!$I$20="OutputM",'Monthly Growth'!D28*Assumptions!$E$23/1000000,0))))))))),0)</f>
        <v>1</v>
      </c>
      <c r="F3508" s="10" t="n">
        <f aca="false">Nonlabor!$J$20*(1+Assumptions!$E$9)^INT((C3508-1)/12)</f>
        <v>624</v>
      </c>
      <c r="G3508" s="10" t="n">
        <f aca="false">E3508*F3508</f>
        <v>624</v>
      </c>
      <c r="H3508" s="10" t="n">
        <f aca="false">IF(OR(Nonlabor!$L$20="Quote required",Nonlabor!$L$20="Unverified"),G3508,0)</f>
        <v>624</v>
      </c>
      <c r="I3508" s="10" t="n">
        <f aca="false">IF(Nonlabor!$E$20="Core",0,G3508)</f>
        <v>0</v>
      </c>
      <c r="J3508" s="23" t="str">
        <f aca="false">Nonlabor!$B$20</f>
        <v>ACCOUNTING</v>
      </c>
    </row>
    <row r="3509" customFormat="false" ht="15" hidden="false" customHeight="false" outlineLevel="0" collapsed="false">
      <c r="A3509" s="6" t="s">
        <v>73</v>
      </c>
      <c r="B3509" s="6" t="s">
        <v>51</v>
      </c>
      <c r="C3509" s="6" t="n">
        <v>24</v>
      </c>
      <c r="D3509" s="25" t="n">
        <f aca="false">EDATE('Start Here'!$B$6,C3509-1)</f>
        <v>47027</v>
      </c>
      <c r="E3509" s="23" t="n">
        <f aca="false">IF(AND(OR(Nonlabor!$D$20="Both",Nonlabor!$D$20='Start Here'!$B$9),IF(Nonlabor!$E$20="Core",1,IF(Nonlabor!$E$20="AI",'Start Here'!$B$7,'Start Here'!$B$8))=1,C3509&gt;=IF(Nonlabor!$E$20="Core",Nonlabor!$F$20,MAX(Nonlabor!$F$20,IF(Nonlabor!$E$20="AI",Assumptions!$E$24,Assumptions!$E$25))),C3509&lt;=Nonlabor!$G$20,OR(Nonlabor!$H$20="Monthly",AND(Nonlabor!$H$20="Once",C3509=IF(Nonlabor!$E$20="Core",Nonlabor!$F$20,MAX(Nonlabor!$F$20,IF(Nonlabor!$E$20="AI",Assumptions!$E$24,Assumptions!$E$25)))),AND(Nonlabor!$H$20="Annual",MOD(C3509-IF(Nonlabor!$E$20="Core",Nonlabor!$F$20,MAX(Nonlabor!$F$20,IF(Nonlabor!$E$20="AI",Assumptions!$E$24,Assumptions!$E$25))),12)=0))),IF(Nonlabor!$I$20="Fixed",1,IF(Nonlabor!$I$20="Seats",ROUNDUP('Monthly Growth'!I29,0),IF(Nonlabor!$I$20="Customers",'Monthly Growth'!D29,IF(Nonlabor!$I$20="NewCustomers",'Monthly Growth'!C29,IF(Nonlabor!$I$20="StorageGB",'Monthly Growth'!G29,IF(Nonlabor!$I$20="LogGB",'Monthly Growth'!H29,IF(Nonlabor!$I$20="RequestsM",'Monthly Growth'!F29,IF(Nonlabor!$I$20="InputM",'Monthly Growth'!D29*Assumptions!$E$22/1000000,IF(Nonlabor!$I$20="OutputM",'Monthly Growth'!D29*Assumptions!$E$23/1000000,0))))))))),0)</f>
        <v>1</v>
      </c>
      <c r="F3509" s="10" t="n">
        <f aca="false">Nonlabor!$J$20*(1+Assumptions!$E$9)^INT((C3509-1)/12)</f>
        <v>624</v>
      </c>
      <c r="G3509" s="10" t="n">
        <f aca="false">E3509*F3509</f>
        <v>624</v>
      </c>
      <c r="H3509" s="10" t="n">
        <f aca="false">IF(OR(Nonlabor!$L$20="Quote required",Nonlabor!$L$20="Unverified"),G3509,0)</f>
        <v>624</v>
      </c>
      <c r="I3509" s="10" t="n">
        <f aca="false">IF(Nonlabor!$E$20="Core",0,G3509)</f>
        <v>0</v>
      </c>
      <c r="J3509" s="23" t="str">
        <f aca="false">Nonlabor!$B$20</f>
        <v>ACCOUNTING</v>
      </c>
    </row>
    <row r="3510" customFormat="false" ht="15" hidden="false" customHeight="false" outlineLevel="0" collapsed="false">
      <c r="A3510" s="6" t="s">
        <v>73</v>
      </c>
      <c r="B3510" s="6" t="s">
        <v>51</v>
      </c>
      <c r="C3510" s="6" t="n">
        <v>25</v>
      </c>
      <c r="D3510" s="25" t="n">
        <f aca="false">EDATE('Start Here'!$B$6,C3510-1)</f>
        <v>47058</v>
      </c>
      <c r="E3510" s="23" t="n">
        <f aca="false">IF(AND(OR(Nonlabor!$D$20="Both",Nonlabor!$D$20='Start Here'!$B$9),IF(Nonlabor!$E$20="Core",1,IF(Nonlabor!$E$20="AI",'Start Here'!$B$7,'Start Here'!$B$8))=1,C3510&gt;=IF(Nonlabor!$E$20="Core",Nonlabor!$F$20,MAX(Nonlabor!$F$20,IF(Nonlabor!$E$20="AI",Assumptions!$E$24,Assumptions!$E$25))),C3510&lt;=Nonlabor!$G$20,OR(Nonlabor!$H$20="Monthly",AND(Nonlabor!$H$20="Once",C3510=IF(Nonlabor!$E$20="Core",Nonlabor!$F$20,MAX(Nonlabor!$F$20,IF(Nonlabor!$E$20="AI",Assumptions!$E$24,Assumptions!$E$25)))),AND(Nonlabor!$H$20="Annual",MOD(C3510-IF(Nonlabor!$E$20="Core",Nonlabor!$F$20,MAX(Nonlabor!$F$20,IF(Nonlabor!$E$20="AI",Assumptions!$E$24,Assumptions!$E$25))),12)=0))),IF(Nonlabor!$I$20="Fixed",1,IF(Nonlabor!$I$20="Seats",ROUNDUP('Monthly Growth'!I30,0),IF(Nonlabor!$I$20="Customers",'Monthly Growth'!D30,IF(Nonlabor!$I$20="NewCustomers",'Monthly Growth'!C30,IF(Nonlabor!$I$20="StorageGB",'Monthly Growth'!G30,IF(Nonlabor!$I$20="LogGB",'Monthly Growth'!H30,IF(Nonlabor!$I$20="RequestsM",'Monthly Growth'!F30,IF(Nonlabor!$I$20="InputM",'Monthly Growth'!D30*Assumptions!$E$22/1000000,IF(Nonlabor!$I$20="OutputM",'Monthly Growth'!D30*Assumptions!$E$23/1000000,0))))))))),0)</f>
        <v>1</v>
      </c>
      <c r="F3510" s="10" t="n">
        <f aca="false">Nonlabor!$J$20*(1+Assumptions!$E$9)^INT((C3510-1)/12)</f>
        <v>648.96</v>
      </c>
      <c r="G3510" s="10" t="n">
        <f aca="false">E3510*F3510</f>
        <v>648.96</v>
      </c>
      <c r="H3510" s="10" t="n">
        <f aca="false">IF(OR(Nonlabor!$L$20="Quote required",Nonlabor!$L$20="Unverified"),G3510,0)</f>
        <v>648.96</v>
      </c>
      <c r="I3510" s="10" t="n">
        <f aca="false">IF(Nonlabor!$E$20="Core",0,G3510)</f>
        <v>0</v>
      </c>
      <c r="J3510" s="23" t="str">
        <f aca="false">Nonlabor!$B$20</f>
        <v>ACCOUNTING</v>
      </c>
    </row>
    <row r="3511" customFormat="false" ht="15" hidden="false" customHeight="false" outlineLevel="0" collapsed="false">
      <c r="A3511" s="6" t="s">
        <v>73</v>
      </c>
      <c r="B3511" s="6" t="s">
        <v>51</v>
      </c>
      <c r="C3511" s="6" t="n">
        <v>26</v>
      </c>
      <c r="D3511" s="25" t="n">
        <f aca="false">EDATE('Start Here'!$B$6,C3511-1)</f>
        <v>47088</v>
      </c>
      <c r="E3511" s="23" t="n">
        <f aca="false">IF(AND(OR(Nonlabor!$D$20="Both",Nonlabor!$D$20='Start Here'!$B$9),IF(Nonlabor!$E$20="Core",1,IF(Nonlabor!$E$20="AI",'Start Here'!$B$7,'Start Here'!$B$8))=1,C3511&gt;=IF(Nonlabor!$E$20="Core",Nonlabor!$F$20,MAX(Nonlabor!$F$20,IF(Nonlabor!$E$20="AI",Assumptions!$E$24,Assumptions!$E$25))),C3511&lt;=Nonlabor!$G$20,OR(Nonlabor!$H$20="Monthly",AND(Nonlabor!$H$20="Once",C3511=IF(Nonlabor!$E$20="Core",Nonlabor!$F$20,MAX(Nonlabor!$F$20,IF(Nonlabor!$E$20="AI",Assumptions!$E$24,Assumptions!$E$25)))),AND(Nonlabor!$H$20="Annual",MOD(C3511-IF(Nonlabor!$E$20="Core",Nonlabor!$F$20,MAX(Nonlabor!$F$20,IF(Nonlabor!$E$20="AI",Assumptions!$E$24,Assumptions!$E$25))),12)=0))),IF(Nonlabor!$I$20="Fixed",1,IF(Nonlabor!$I$20="Seats",ROUNDUP('Monthly Growth'!I31,0),IF(Nonlabor!$I$20="Customers",'Monthly Growth'!D31,IF(Nonlabor!$I$20="NewCustomers",'Monthly Growth'!C31,IF(Nonlabor!$I$20="StorageGB",'Monthly Growth'!G31,IF(Nonlabor!$I$20="LogGB",'Monthly Growth'!H31,IF(Nonlabor!$I$20="RequestsM",'Monthly Growth'!F31,IF(Nonlabor!$I$20="InputM",'Monthly Growth'!D31*Assumptions!$E$22/1000000,IF(Nonlabor!$I$20="OutputM",'Monthly Growth'!D31*Assumptions!$E$23/1000000,0))))))))),0)</f>
        <v>1</v>
      </c>
      <c r="F3511" s="10" t="n">
        <f aca="false">Nonlabor!$J$20*(1+Assumptions!$E$9)^INT((C3511-1)/12)</f>
        <v>648.96</v>
      </c>
      <c r="G3511" s="10" t="n">
        <f aca="false">E3511*F3511</f>
        <v>648.96</v>
      </c>
      <c r="H3511" s="10" t="n">
        <f aca="false">IF(OR(Nonlabor!$L$20="Quote required",Nonlabor!$L$20="Unverified"),G3511,0)</f>
        <v>648.96</v>
      </c>
      <c r="I3511" s="10" t="n">
        <f aca="false">IF(Nonlabor!$E$20="Core",0,G3511)</f>
        <v>0</v>
      </c>
      <c r="J3511" s="23" t="str">
        <f aca="false">Nonlabor!$B$20</f>
        <v>ACCOUNTING</v>
      </c>
    </row>
    <row r="3512" customFormat="false" ht="15" hidden="false" customHeight="false" outlineLevel="0" collapsed="false">
      <c r="A3512" s="6" t="s">
        <v>73</v>
      </c>
      <c r="B3512" s="6" t="s">
        <v>51</v>
      </c>
      <c r="C3512" s="6" t="n">
        <v>27</v>
      </c>
      <c r="D3512" s="25" t="n">
        <f aca="false">EDATE('Start Here'!$B$6,C3512-1)</f>
        <v>47119</v>
      </c>
      <c r="E3512" s="23" t="n">
        <f aca="false">IF(AND(OR(Nonlabor!$D$20="Both",Nonlabor!$D$20='Start Here'!$B$9),IF(Nonlabor!$E$20="Core",1,IF(Nonlabor!$E$20="AI",'Start Here'!$B$7,'Start Here'!$B$8))=1,C3512&gt;=IF(Nonlabor!$E$20="Core",Nonlabor!$F$20,MAX(Nonlabor!$F$20,IF(Nonlabor!$E$20="AI",Assumptions!$E$24,Assumptions!$E$25))),C3512&lt;=Nonlabor!$G$20,OR(Nonlabor!$H$20="Monthly",AND(Nonlabor!$H$20="Once",C3512=IF(Nonlabor!$E$20="Core",Nonlabor!$F$20,MAX(Nonlabor!$F$20,IF(Nonlabor!$E$20="AI",Assumptions!$E$24,Assumptions!$E$25)))),AND(Nonlabor!$H$20="Annual",MOD(C3512-IF(Nonlabor!$E$20="Core",Nonlabor!$F$20,MAX(Nonlabor!$F$20,IF(Nonlabor!$E$20="AI",Assumptions!$E$24,Assumptions!$E$25))),12)=0))),IF(Nonlabor!$I$20="Fixed",1,IF(Nonlabor!$I$20="Seats",ROUNDUP('Monthly Growth'!I32,0),IF(Nonlabor!$I$20="Customers",'Monthly Growth'!D32,IF(Nonlabor!$I$20="NewCustomers",'Monthly Growth'!C32,IF(Nonlabor!$I$20="StorageGB",'Monthly Growth'!G32,IF(Nonlabor!$I$20="LogGB",'Monthly Growth'!H32,IF(Nonlabor!$I$20="RequestsM",'Monthly Growth'!F32,IF(Nonlabor!$I$20="InputM",'Monthly Growth'!D32*Assumptions!$E$22/1000000,IF(Nonlabor!$I$20="OutputM",'Monthly Growth'!D32*Assumptions!$E$23/1000000,0))))))))),0)</f>
        <v>1</v>
      </c>
      <c r="F3512" s="10" t="n">
        <f aca="false">Nonlabor!$J$20*(1+Assumptions!$E$9)^INT((C3512-1)/12)</f>
        <v>648.96</v>
      </c>
      <c r="G3512" s="10" t="n">
        <f aca="false">E3512*F3512</f>
        <v>648.96</v>
      </c>
      <c r="H3512" s="10" t="n">
        <f aca="false">IF(OR(Nonlabor!$L$20="Quote required",Nonlabor!$L$20="Unverified"),G3512,0)</f>
        <v>648.96</v>
      </c>
      <c r="I3512" s="10" t="n">
        <f aca="false">IF(Nonlabor!$E$20="Core",0,G3512)</f>
        <v>0</v>
      </c>
      <c r="J3512" s="23" t="str">
        <f aca="false">Nonlabor!$B$20</f>
        <v>ACCOUNTING</v>
      </c>
    </row>
    <row r="3513" customFormat="false" ht="15" hidden="false" customHeight="false" outlineLevel="0" collapsed="false">
      <c r="A3513" s="6" t="s">
        <v>73</v>
      </c>
      <c r="B3513" s="6" t="s">
        <v>51</v>
      </c>
      <c r="C3513" s="6" t="n">
        <v>28</v>
      </c>
      <c r="D3513" s="25" t="n">
        <f aca="false">EDATE('Start Here'!$B$6,C3513-1)</f>
        <v>47150</v>
      </c>
      <c r="E3513" s="23" t="n">
        <f aca="false">IF(AND(OR(Nonlabor!$D$20="Both",Nonlabor!$D$20='Start Here'!$B$9),IF(Nonlabor!$E$20="Core",1,IF(Nonlabor!$E$20="AI",'Start Here'!$B$7,'Start Here'!$B$8))=1,C3513&gt;=IF(Nonlabor!$E$20="Core",Nonlabor!$F$20,MAX(Nonlabor!$F$20,IF(Nonlabor!$E$20="AI",Assumptions!$E$24,Assumptions!$E$25))),C3513&lt;=Nonlabor!$G$20,OR(Nonlabor!$H$20="Monthly",AND(Nonlabor!$H$20="Once",C3513=IF(Nonlabor!$E$20="Core",Nonlabor!$F$20,MAX(Nonlabor!$F$20,IF(Nonlabor!$E$20="AI",Assumptions!$E$24,Assumptions!$E$25)))),AND(Nonlabor!$H$20="Annual",MOD(C3513-IF(Nonlabor!$E$20="Core",Nonlabor!$F$20,MAX(Nonlabor!$F$20,IF(Nonlabor!$E$20="AI",Assumptions!$E$24,Assumptions!$E$25))),12)=0))),IF(Nonlabor!$I$20="Fixed",1,IF(Nonlabor!$I$20="Seats",ROUNDUP('Monthly Growth'!I33,0),IF(Nonlabor!$I$20="Customers",'Monthly Growth'!D33,IF(Nonlabor!$I$20="NewCustomers",'Monthly Growth'!C33,IF(Nonlabor!$I$20="StorageGB",'Monthly Growth'!G33,IF(Nonlabor!$I$20="LogGB",'Monthly Growth'!H33,IF(Nonlabor!$I$20="RequestsM",'Monthly Growth'!F33,IF(Nonlabor!$I$20="InputM",'Monthly Growth'!D33*Assumptions!$E$22/1000000,IF(Nonlabor!$I$20="OutputM",'Monthly Growth'!D33*Assumptions!$E$23/1000000,0))))))))),0)</f>
        <v>1</v>
      </c>
      <c r="F3513" s="10" t="n">
        <f aca="false">Nonlabor!$J$20*(1+Assumptions!$E$9)^INT((C3513-1)/12)</f>
        <v>648.96</v>
      </c>
      <c r="G3513" s="10" t="n">
        <f aca="false">E3513*F3513</f>
        <v>648.96</v>
      </c>
      <c r="H3513" s="10" t="n">
        <f aca="false">IF(OR(Nonlabor!$L$20="Quote required",Nonlabor!$L$20="Unverified"),G3513,0)</f>
        <v>648.96</v>
      </c>
      <c r="I3513" s="10" t="n">
        <f aca="false">IF(Nonlabor!$E$20="Core",0,G3513)</f>
        <v>0</v>
      </c>
      <c r="J3513" s="23" t="str">
        <f aca="false">Nonlabor!$B$20</f>
        <v>ACCOUNTING</v>
      </c>
    </row>
    <row r="3514" customFormat="false" ht="15" hidden="false" customHeight="false" outlineLevel="0" collapsed="false">
      <c r="A3514" s="6" t="s">
        <v>73</v>
      </c>
      <c r="B3514" s="6" t="s">
        <v>51</v>
      </c>
      <c r="C3514" s="6" t="n">
        <v>29</v>
      </c>
      <c r="D3514" s="25" t="n">
        <f aca="false">EDATE('Start Here'!$B$6,C3514-1)</f>
        <v>47178</v>
      </c>
      <c r="E3514" s="23" t="n">
        <f aca="false">IF(AND(OR(Nonlabor!$D$20="Both",Nonlabor!$D$20='Start Here'!$B$9),IF(Nonlabor!$E$20="Core",1,IF(Nonlabor!$E$20="AI",'Start Here'!$B$7,'Start Here'!$B$8))=1,C3514&gt;=IF(Nonlabor!$E$20="Core",Nonlabor!$F$20,MAX(Nonlabor!$F$20,IF(Nonlabor!$E$20="AI",Assumptions!$E$24,Assumptions!$E$25))),C3514&lt;=Nonlabor!$G$20,OR(Nonlabor!$H$20="Monthly",AND(Nonlabor!$H$20="Once",C3514=IF(Nonlabor!$E$20="Core",Nonlabor!$F$20,MAX(Nonlabor!$F$20,IF(Nonlabor!$E$20="AI",Assumptions!$E$24,Assumptions!$E$25)))),AND(Nonlabor!$H$20="Annual",MOD(C3514-IF(Nonlabor!$E$20="Core",Nonlabor!$F$20,MAX(Nonlabor!$F$20,IF(Nonlabor!$E$20="AI",Assumptions!$E$24,Assumptions!$E$25))),12)=0))),IF(Nonlabor!$I$20="Fixed",1,IF(Nonlabor!$I$20="Seats",ROUNDUP('Monthly Growth'!I34,0),IF(Nonlabor!$I$20="Customers",'Monthly Growth'!D34,IF(Nonlabor!$I$20="NewCustomers",'Monthly Growth'!C34,IF(Nonlabor!$I$20="StorageGB",'Monthly Growth'!G34,IF(Nonlabor!$I$20="LogGB",'Monthly Growth'!H34,IF(Nonlabor!$I$20="RequestsM",'Monthly Growth'!F34,IF(Nonlabor!$I$20="InputM",'Monthly Growth'!D34*Assumptions!$E$22/1000000,IF(Nonlabor!$I$20="OutputM",'Monthly Growth'!D34*Assumptions!$E$23/1000000,0))))))))),0)</f>
        <v>1</v>
      </c>
      <c r="F3514" s="10" t="n">
        <f aca="false">Nonlabor!$J$20*(1+Assumptions!$E$9)^INT((C3514-1)/12)</f>
        <v>648.96</v>
      </c>
      <c r="G3514" s="10" t="n">
        <f aca="false">E3514*F3514</f>
        <v>648.96</v>
      </c>
      <c r="H3514" s="10" t="n">
        <f aca="false">IF(OR(Nonlabor!$L$20="Quote required",Nonlabor!$L$20="Unverified"),G3514,0)</f>
        <v>648.96</v>
      </c>
      <c r="I3514" s="10" t="n">
        <f aca="false">IF(Nonlabor!$E$20="Core",0,G3514)</f>
        <v>0</v>
      </c>
      <c r="J3514" s="23" t="str">
        <f aca="false">Nonlabor!$B$20</f>
        <v>ACCOUNTING</v>
      </c>
    </row>
    <row r="3515" customFormat="false" ht="15" hidden="false" customHeight="false" outlineLevel="0" collapsed="false">
      <c r="A3515" s="6" t="s">
        <v>73</v>
      </c>
      <c r="B3515" s="6" t="s">
        <v>51</v>
      </c>
      <c r="C3515" s="6" t="n">
        <v>30</v>
      </c>
      <c r="D3515" s="25" t="n">
        <f aca="false">EDATE('Start Here'!$B$6,C3515-1)</f>
        <v>47209</v>
      </c>
      <c r="E3515" s="23" t="n">
        <f aca="false">IF(AND(OR(Nonlabor!$D$20="Both",Nonlabor!$D$20='Start Here'!$B$9),IF(Nonlabor!$E$20="Core",1,IF(Nonlabor!$E$20="AI",'Start Here'!$B$7,'Start Here'!$B$8))=1,C3515&gt;=IF(Nonlabor!$E$20="Core",Nonlabor!$F$20,MAX(Nonlabor!$F$20,IF(Nonlabor!$E$20="AI",Assumptions!$E$24,Assumptions!$E$25))),C3515&lt;=Nonlabor!$G$20,OR(Nonlabor!$H$20="Monthly",AND(Nonlabor!$H$20="Once",C3515=IF(Nonlabor!$E$20="Core",Nonlabor!$F$20,MAX(Nonlabor!$F$20,IF(Nonlabor!$E$20="AI",Assumptions!$E$24,Assumptions!$E$25)))),AND(Nonlabor!$H$20="Annual",MOD(C3515-IF(Nonlabor!$E$20="Core",Nonlabor!$F$20,MAX(Nonlabor!$F$20,IF(Nonlabor!$E$20="AI",Assumptions!$E$24,Assumptions!$E$25))),12)=0))),IF(Nonlabor!$I$20="Fixed",1,IF(Nonlabor!$I$20="Seats",ROUNDUP('Monthly Growth'!I35,0),IF(Nonlabor!$I$20="Customers",'Monthly Growth'!D35,IF(Nonlabor!$I$20="NewCustomers",'Monthly Growth'!C35,IF(Nonlabor!$I$20="StorageGB",'Monthly Growth'!G35,IF(Nonlabor!$I$20="LogGB",'Monthly Growth'!H35,IF(Nonlabor!$I$20="RequestsM",'Monthly Growth'!F35,IF(Nonlabor!$I$20="InputM",'Monthly Growth'!D35*Assumptions!$E$22/1000000,IF(Nonlabor!$I$20="OutputM",'Monthly Growth'!D35*Assumptions!$E$23/1000000,0))))))))),0)</f>
        <v>1</v>
      </c>
      <c r="F3515" s="10" t="n">
        <f aca="false">Nonlabor!$J$20*(1+Assumptions!$E$9)^INT((C3515-1)/12)</f>
        <v>648.96</v>
      </c>
      <c r="G3515" s="10" t="n">
        <f aca="false">E3515*F3515</f>
        <v>648.96</v>
      </c>
      <c r="H3515" s="10" t="n">
        <f aca="false">IF(OR(Nonlabor!$L$20="Quote required",Nonlabor!$L$20="Unverified"),G3515,0)</f>
        <v>648.96</v>
      </c>
      <c r="I3515" s="10" t="n">
        <f aca="false">IF(Nonlabor!$E$20="Core",0,G3515)</f>
        <v>0</v>
      </c>
      <c r="J3515" s="23" t="str">
        <f aca="false">Nonlabor!$B$20</f>
        <v>ACCOUNTING</v>
      </c>
    </row>
    <row r="3516" customFormat="false" ht="15" hidden="false" customHeight="false" outlineLevel="0" collapsed="false">
      <c r="A3516" s="6" t="s">
        <v>73</v>
      </c>
      <c r="B3516" s="6" t="s">
        <v>51</v>
      </c>
      <c r="C3516" s="6" t="n">
        <v>31</v>
      </c>
      <c r="D3516" s="25" t="n">
        <f aca="false">EDATE('Start Here'!$B$6,C3516-1)</f>
        <v>47239</v>
      </c>
      <c r="E3516" s="23" t="n">
        <f aca="false">IF(AND(OR(Nonlabor!$D$20="Both",Nonlabor!$D$20='Start Here'!$B$9),IF(Nonlabor!$E$20="Core",1,IF(Nonlabor!$E$20="AI",'Start Here'!$B$7,'Start Here'!$B$8))=1,C3516&gt;=IF(Nonlabor!$E$20="Core",Nonlabor!$F$20,MAX(Nonlabor!$F$20,IF(Nonlabor!$E$20="AI",Assumptions!$E$24,Assumptions!$E$25))),C3516&lt;=Nonlabor!$G$20,OR(Nonlabor!$H$20="Monthly",AND(Nonlabor!$H$20="Once",C3516=IF(Nonlabor!$E$20="Core",Nonlabor!$F$20,MAX(Nonlabor!$F$20,IF(Nonlabor!$E$20="AI",Assumptions!$E$24,Assumptions!$E$25)))),AND(Nonlabor!$H$20="Annual",MOD(C3516-IF(Nonlabor!$E$20="Core",Nonlabor!$F$20,MAX(Nonlabor!$F$20,IF(Nonlabor!$E$20="AI",Assumptions!$E$24,Assumptions!$E$25))),12)=0))),IF(Nonlabor!$I$20="Fixed",1,IF(Nonlabor!$I$20="Seats",ROUNDUP('Monthly Growth'!I36,0),IF(Nonlabor!$I$20="Customers",'Monthly Growth'!D36,IF(Nonlabor!$I$20="NewCustomers",'Monthly Growth'!C36,IF(Nonlabor!$I$20="StorageGB",'Monthly Growth'!G36,IF(Nonlabor!$I$20="LogGB",'Monthly Growth'!H36,IF(Nonlabor!$I$20="RequestsM",'Monthly Growth'!F36,IF(Nonlabor!$I$20="InputM",'Monthly Growth'!D36*Assumptions!$E$22/1000000,IF(Nonlabor!$I$20="OutputM",'Monthly Growth'!D36*Assumptions!$E$23/1000000,0))))))))),0)</f>
        <v>1</v>
      </c>
      <c r="F3516" s="10" t="n">
        <f aca="false">Nonlabor!$J$20*(1+Assumptions!$E$9)^INT((C3516-1)/12)</f>
        <v>648.96</v>
      </c>
      <c r="G3516" s="10" t="n">
        <f aca="false">E3516*F3516</f>
        <v>648.96</v>
      </c>
      <c r="H3516" s="10" t="n">
        <f aca="false">IF(OR(Nonlabor!$L$20="Quote required",Nonlabor!$L$20="Unverified"),G3516,0)</f>
        <v>648.96</v>
      </c>
      <c r="I3516" s="10" t="n">
        <f aca="false">IF(Nonlabor!$E$20="Core",0,G3516)</f>
        <v>0</v>
      </c>
      <c r="J3516" s="23" t="str">
        <f aca="false">Nonlabor!$B$20</f>
        <v>ACCOUNTING</v>
      </c>
    </row>
    <row r="3517" customFormat="false" ht="15" hidden="false" customHeight="false" outlineLevel="0" collapsed="false">
      <c r="A3517" s="6" t="s">
        <v>73</v>
      </c>
      <c r="B3517" s="6" t="s">
        <v>51</v>
      </c>
      <c r="C3517" s="6" t="n">
        <v>32</v>
      </c>
      <c r="D3517" s="25" t="n">
        <f aca="false">EDATE('Start Here'!$B$6,C3517-1)</f>
        <v>47270</v>
      </c>
      <c r="E3517" s="23" t="n">
        <f aca="false">IF(AND(OR(Nonlabor!$D$20="Both",Nonlabor!$D$20='Start Here'!$B$9),IF(Nonlabor!$E$20="Core",1,IF(Nonlabor!$E$20="AI",'Start Here'!$B$7,'Start Here'!$B$8))=1,C3517&gt;=IF(Nonlabor!$E$20="Core",Nonlabor!$F$20,MAX(Nonlabor!$F$20,IF(Nonlabor!$E$20="AI",Assumptions!$E$24,Assumptions!$E$25))),C3517&lt;=Nonlabor!$G$20,OR(Nonlabor!$H$20="Monthly",AND(Nonlabor!$H$20="Once",C3517=IF(Nonlabor!$E$20="Core",Nonlabor!$F$20,MAX(Nonlabor!$F$20,IF(Nonlabor!$E$20="AI",Assumptions!$E$24,Assumptions!$E$25)))),AND(Nonlabor!$H$20="Annual",MOD(C3517-IF(Nonlabor!$E$20="Core",Nonlabor!$F$20,MAX(Nonlabor!$F$20,IF(Nonlabor!$E$20="AI",Assumptions!$E$24,Assumptions!$E$25))),12)=0))),IF(Nonlabor!$I$20="Fixed",1,IF(Nonlabor!$I$20="Seats",ROUNDUP('Monthly Growth'!I37,0),IF(Nonlabor!$I$20="Customers",'Monthly Growth'!D37,IF(Nonlabor!$I$20="NewCustomers",'Monthly Growth'!C37,IF(Nonlabor!$I$20="StorageGB",'Monthly Growth'!G37,IF(Nonlabor!$I$20="LogGB",'Monthly Growth'!H37,IF(Nonlabor!$I$20="RequestsM",'Monthly Growth'!F37,IF(Nonlabor!$I$20="InputM",'Monthly Growth'!D37*Assumptions!$E$22/1000000,IF(Nonlabor!$I$20="OutputM",'Monthly Growth'!D37*Assumptions!$E$23/1000000,0))))))))),0)</f>
        <v>1</v>
      </c>
      <c r="F3517" s="10" t="n">
        <f aca="false">Nonlabor!$J$20*(1+Assumptions!$E$9)^INT((C3517-1)/12)</f>
        <v>648.96</v>
      </c>
      <c r="G3517" s="10" t="n">
        <f aca="false">E3517*F3517</f>
        <v>648.96</v>
      </c>
      <c r="H3517" s="10" t="n">
        <f aca="false">IF(OR(Nonlabor!$L$20="Quote required",Nonlabor!$L$20="Unverified"),G3517,0)</f>
        <v>648.96</v>
      </c>
      <c r="I3517" s="10" t="n">
        <f aca="false">IF(Nonlabor!$E$20="Core",0,G3517)</f>
        <v>0</v>
      </c>
      <c r="J3517" s="23" t="str">
        <f aca="false">Nonlabor!$B$20</f>
        <v>ACCOUNTING</v>
      </c>
    </row>
    <row r="3518" customFormat="false" ht="15" hidden="false" customHeight="false" outlineLevel="0" collapsed="false">
      <c r="A3518" s="6" t="s">
        <v>73</v>
      </c>
      <c r="B3518" s="6" t="s">
        <v>51</v>
      </c>
      <c r="C3518" s="6" t="n">
        <v>33</v>
      </c>
      <c r="D3518" s="25" t="n">
        <f aca="false">EDATE('Start Here'!$B$6,C3518-1)</f>
        <v>47300</v>
      </c>
      <c r="E3518" s="23" t="n">
        <f aca="false">IF(AND(OR(Nonlabor!$D$20="Both",Nonlabor!$D$20='Start Here'!$B$9),IF(Nonlabor!$E$20="Core",1,IF(Nonlabor!$E$20="AI",'Start Here'!$B$7,'Start Here'!$B$8))=1,C3518&gt;=IF(Nonlabor!$E$20="Core",Nonlabor!$F$20,MAX(Nonlabor!$F$20,IF(Nonlabor!$E$20="AI",Assumptions!$E$24,Assumptions!$E$25))),C3518&lt;=Nonlabor!$G$20,OR(Nonlabor!$H$20="Monthly",AND(Nonlabor!$H$20="Once",C3518=IF(Nonlabor!$E$20="Core",Nonlabor!$F$20,MAX(Nonlabor!$F$20,IF(Nonlabor!$E$20="AI",Assumptions!$E$24,Assumptions!$E$25)))),AND(Nonlabor!$H$20="Annual",MOD(C3518-IF(Nonlabor!$E$20="Core",Nonlabor!$F$20,MAX(Nonlabor!$F$20,IF(Nonlabor!$E$20="AI",Assumptions!$E$24,Assumptions!$E$25))),12)=0))),IF(Nonlabor!$I$20="Fixed",1,IF(Nonlabor!$I$20="Seats",ROUNDUP('Monthly Growth'!I38,0),IF(Nonlabor!$I$20="Customers",'Monthly Growth'!D38,IF(Nonlabor!$I$20="NewCustomers",'Monthly Growth'!C38,IF(Nonlabor!$I$20="StorageGB",'Monthly Growth'!G38,IF(Nonlabor!$I$20="LogGB",'Monthly Growth'!H38,IF(Nonlabor!$I$20="RequestsM",'Monthly Growth'!F38,IF(Nonlabor!$I$20="InputM",'Monthly Growth'!D38*Assumptions!$E$22/1000000,IF(Nonlabor!$I$20="OutputM",'Monthly Growth'!D38*Assumptions!$E$23/1000000,0))))))))),0)</f>
        <v>1</v>
      </c>
      <c r="F3518" s="10" t="n">
        <f aca="false">Nonlabor!$J$20*(1+Assumptions!$E$9)^INT((C3518-1)/12)</f>
        <v>648.96</v>
      </c>
      <c r="G3518" s="10" t="n">
        <f aca="false">E3518*F3518</f>
        <v>648.96</v>
      </c>
      <c r="H3518" s="10" t="n">
        <f aca="false">IF(OR(Nonlabor!$L$20="Quote required",Nonlabor!$L$20="Unverified"),G3518,0)</f>
        <v>648.96</v>
      </c>
      <c r="I3518" s="10" t="n">
        <f aca="false">IF(Nonlabor!$E$20="Core",0,G3518)</f>
        <v>0</v>
      </c>
      <c r="J3518" s="23" t="str">
        <f aca="false">Nonlabor!$B$20</f>
        <v>ACCOUNTING</v>
      </c>
    </row>
    <row r="3519" customFormat="false" ht="15" hidden="false" customHeight="false" outlineLevel="0" collapsed="false">
      <c r="A3519" s="6" t="s">
        <v>73</v>
      </c>
      <c r="B3519" s="6" t="s">
        <v>51</v>
      </c>
      <c r="C3519" s="6" t="n">
        <v>34</v>
      </c>
      <c r="D3519" s="25" t="n">
        <f aca="false">EDATE('Start Here'!$B$6,C3519-1)</f>
        <v>47331</v>
      </c>
      <c r="E3519" s="23" t="n">
        <f aca="false">IF(AND(OR(Nonlabor!$D$20="Both",Nonlabor!$D$20='Start Here'!$B$9),IF(Nonlabor!$E$20="Core",1,IF(Nonlabor!$E$20="AI",'Start Here'!$B$7,'Start Here'!$B$8))=1,C3519&gt;=IF(Nonlabor!$E$20="Core",Nonlabor!$F$20,MAX(Nonlabor!$F$20,IF(Nonlabor!$E$20="AI",Assumptions!$E$24,Assumptions!$E$25))),C3519&lt;=Nonlabor!$G$20,OR(Nonlabor!$H$20="Monthly",AND(Nonlabor!$H$20="Once",C3519=IF(Nonlabor!$E$20="Core",Nonlabor!$F$20,MAX(Nonlabor!$F$20,IF(Nonlabor!$E$20="AI",Assumptions!$E$24,Assumptions!$E$25)))),AND(Nonlabor!$H$20="Annual",MOD(C3519-IF(Nonlabor!$E$20="Core",Nonlabor!$F$20,MAX(Nonlabor!$F$20,IF(Nonlabor!$E$20="AI",Assumptions!$E$24,Assumptions!$E$25))),12)=0))),IF(Nonlabor!$I$20="Fixed",1,IF(Nonlabor!$I$20="Seats",ROUNDUP('Monthly Growth'!I39,0),IF(Nonlabor!$I$20="Customers",'Monthly Growth'!D39,IF(Nonlabor!$I$20="NewCustomers",'Monthly Growth'!C39,IF(Nonlabor!$I$20="StorageGB",'Monthly Growth'!G39,IF(Nonlabor!$I$20="LogGB",'Monthly Growth'!H39,IF(Nonlabor!$I$20="RequestsM",'Monthly Growth'!F39,IF(Nonlabor!$I$20="InputM",'Monthly Growth'!D39*Assumptions!$E$22/1000000,IF(Nonlabor!$I$20="OutputM",'Monthly Growth'!D39*Assumptions!$E$23/1000000,0))))))))),0)</f>
        <v>1</v>
      </c>
      <c r="F3519" s="10" t="n">
        <f aca="false">Nonlabor!$J$20*(1+Assumptions!$E$9)^INT((C3519-1)/12)</f>
        <v>648.96</v>
      </c>
      <c r="G3519" s="10" t="n">
        <f aca="false">E3519*F3519</f>
        <v>648.96</v>
      </c>
      <c r="H3519" s="10" t="n">
        <f aca="false">IF(OR(Nonlabor!$L$20="Quote required",Nonlabor!$L$20="Unverified"),G3519,0)</f>
        <v>648.96</v>
      </c>
      <c r="I3519" s="10" t="n">
        <f aca="false">IF(Nonlabor!$E$20="Core",0,G3519)</f>
        <v>0</v>
      </c>
      <c r="J3519" s="23" t="str">
        <f aca="false">Nonlabor!$B$20</f>
        <v>ACCOUNTING</v>
      </c>
    </row>
    <row r="3520" customFormat="false" ht="15" hidden="false" customHeight="false" outlineLevel="0" collapsed="false">
      <c r="A3520" s="6" t="s">
        <v>73</v>
      </c>
      <c r="B3520" s="6" t="s">
        <v>51</v>
      </c>
      <c r="C3520" s="6" t="n">
        <v>35</v>
      </c>
      <c r="D3520" s="25" t="n">
        <f aca="false">EDATE('Start Here'!$B$6,C3520-1)</f>
        <v>47362</v>
      </c>
      <c r="E3520" s="23" t="n">
        <f aca="false">IF(AND(OR(Nonlabor!$D$20="Both",Nonlabor!$D$20='Start Here'!$B$9),IF(Nonlabor!$E$20="Core",1,IF(Nonlabor!$E$20="AI",'Start Here'!$B$7,'Start Here'!$B$8))=1,C3520&gt;=IF(Nonlabor!$E$20="Core",Nonlabor!$F$20,MAX(Nonlabor!$F$20,IF(Nonlabor!$E$20="AI",Assumptions!$E$24,Assumptions!$E$25))),C3520&lt;=Nonlabor!$G$20,OR(Nonlabor!$H$20="Monthly",AND(Nonlabor!$H$20="Once",C3520=IF(Nonlabor!$E$20="Core",Nonlabor!$F$20,MAX(Nonlabor!$F$20,IF(Nonlabor!$E$20="AI",Assumptions!$E$24,Assumptions!$E$25)))),AND(Nonlabor!$H$20="Annual",MOD(C3520-IF(Nonlabor!$E$20="Core",Nonlabor!$F$20,MAX(Nonlabor!$F$20,IF(Nonlabor!$E$20="AI",Assumptions!$E$24,Assumptions!$E$25))),12)=0))),IF(Nonlabor!$I$20="Fixed",1,IF(Nonlabor!$I$20="Seats",ROUNDUP('Monthly Growth'!I40,0),IF(Nonlabor!$I$20="Customers",'Monthly Growth'!D40,IF(Nonlabor!$I$20="NewCustomers",'Monthly Growth'!C40,IF(Nonlabor!$I$20="StorageGB",'Monthly Growth'!G40,IF(Nonlabor!$I$20="LogGB",'Monthly Growth'!H40,IF(Nonlabor!$I$20="RequestsM",'Monthly Growth'!F40,IF(Nonlabor!$I$20="InputM",'Monthly Growth'!D40*Assumptions!$E$22/1000000,IF(Nonlabor!$I$20="OutputM",'Monthly Growth'!D40*Assumptions!$E$23/1000000,0))))))))),0)</f>
        <v>1</v>
      </c>
      <c r="F3520" s="10" t="n">
        <f aca="false">Nonlabor!$J$20*(1+Assumptions!$E$9)^INT((C3520-1)/12)</f>
        <v>648.96</v>
      </c>
      <c r="G3520" s="10" t="n">
        <f aca="false">E3520*F3520</f>
        <v>648.96</v>
      </c>
      <c r="H3520" s="10" t="n">
        <f aca="false">IF(OR(Nonlabor!$L$20="Quote required",Nonlabor!$L$20="Unverified"),G3520,0)</f>
        <v>648.96</v>
      </c>
      <c r="I3520" s="10" t="n">
        <f aca="false">IF(Nonlabor!$E$20="Core",0,G3520)</f>
        <v>0</v>
      </c>
      <c r="J3520" s="23" t="str">
        <f aca="false">Nonlabor!$B$20</f>
        <v>ACCOUNTING</v>
      </c>
    </row>
    <row r="3521" customFormat="false" ht="15" hidden="false" customHeight="false" outlineLevel="0" collapsed="false">
      <c r="A3521" s="6" t="s">
        <v>73</v>
      </c>
      <c r="B3521" s="6" t="s">
        <v>51</v>
      </c>
      <c r="C3521" s="6" t="n">
        <v>36</v>
      </c>
      <c r="D3521" s="25" t="n">
        <f aca="false">EDATE('Start Here'!$B$6,C3521-1)</f>
        <v>47392</v>
      </c>
      <c r="E3521" s="23" t="n">
        <f aca="false">IF(AND(OR(Nonlabor!$D$20="Both",Nonlabor!$D$20='Start Here'!$B$9),IF(Nonlabor!$E$20="Core",1,IF(Nonlabor!$E$20="AI",'Start Here'!$B$7,'Start Here'!$B$8))=1,C3521&gt;=IF(Nonlabor!$E$20="Core",Nonlabor!$F$20,MAX(Nonlabor!$F$20,IF(Nonlabor!$E$20="AI",Assumptions!$E$24,Assumptions!$E$25))),C3521&lt;=Nonlabor!$G$20,OR(Nonlabor!$H$20="Monthly",AND(Nonlabor!$H$20="Once",C3521=IF(Nonlabor!$E$20="Core",Nonlabor!$F$20,MAX(Nonlabor!$F$20,IF(Nonlabor!$E$20="AI",Assumptions!$E$24,Assumptions!$E$25)))),AND(Nonlabor!$H$20="Annual",MOD(C3521-IF(Nonlabor!$E$20="Core",Nonlabor!$F$20,MAX(Nonlabor!$F$20,IF(Nonlabor!$E$20="AI",Assumptions!$E$24,Assumptions!$E$25))),12)=0))),IF(Nonlabor!$I$20="Fixed",1,IF(Nonlabor!$I$20="Seats",ROUNDUP('Monthly Growth'!I41,0),IF(Nonlabor!$I$20="Customers",'Monthly Growth'!D41,IF(Nonlabor!$I$20="NewCustomers",'Monthly Growth'!C41,IF(Nonlabor!$I$20="StorageGB",'Monthly Growth'!G41,IF(Nonlabor!$I$20="LogGB",'Monthly Growth'!H41,IF(Nonlabor!$I$20="RequestsM",'Monthly Growth'!F41,IF(Nonlabor!$I$20="InputM",'Monthly Growth'!D41*Assumptions!$E$22/1000000,IF(Nonlabor!$I$20="OutputM",'Monthly Growth'!D41*Assumptions!$E$23/1000000,0))))))))),0)</f>
        <v>1</v>
      </c>
      <c r="F3521" s="10" t="n">
        <f aca="false">Nonlabor!$J$20*(1+Assumptions!$E$9)^INT((C3521-1)/12)</f>
        <v>648.96</v>
      </c>
      <c r="G3521" s="10" t="n">
        <f aca="false">E3521*F3521</f>
        <v>648.96</v>
      </c>
      <c r="H3521" s="10" t="n">
        <f aca="false">IF(OR(Nonlabor!$L$20="Quote required",Nonlabor!$L$20="Unverified"),G3521,0)</f>
        <v>648.96</v>
      </c>
      <c r="I3521" s="10" t="n">
        <f aca="false">IF(Nonlabor!$E$20="Core",0,G3521)</f>
        <v>0</v>
      </c>
      <c r="J3521" s="23" t="str">
        <f aca="false">Nonlabor!$B$20</f>
        <v>ACCOUNTING</v>
      </c>
    </row>
    <row r="3522" customFormat="false" ht="15" hidden="false" customHeight="false" outlineLevel="0" collapsed="false">
      <c r="A3522" s="6" t="s">
        <v>73</v>
      </c>
      <c r="B3522" s="6" t="s">
        <v>51</v>
      </c>
      <c r="C3522" s="6" t="n">
        <v>37</v>
      </c>
      <c r="D3522" s="25" t="n">
        <f aca="false">EDATE('Start Here'!$B$6,C3522-1)</f>
        <v>47423</v>
      </c>
      <c r="E3522" s="23" t="n">
        <f aca="false">IF(AND(OR(Nonlabor!$D$20="Both",Nonlabor!$D$20='Start Here'!$B$9),IF(Nonlabor!$E$20="Core",1,IF(Nonlabor!$E$20="AI",'Start Here'!$B$7,'Start Here'!$B$8))=1,C3522&gt;=IF(Nonlabor!$E$20="Core",Nonlabor!$F$20,MAX(Nonlabor!$F$20,IF(Nonlabor!$E$20="AI",Assumptions!$E$24,Assumptions!$E$25))),C3522&lt;=Nonlabor!$G$20,OR(Nonlabor!$H$20="Monthly",AND(Nonlabor!$H$20="Once",C3522=IF(Nonlabor!$E$20="Core",Nonlabor!$F$20,MAX(Nonlabor!$F$20,IF(Nonlabor!$E$20="AI",Assumptions!$E$24,Assumptions!$E$25)))),AND(Nonlabor!$H$20="Annual",MOD(C3522-IF(Nonlabor!$E$20="Core",Nonlabor!$F$20,MAX(Nonlabor!$F$20,IF(Nonlabor!$E$20="AI",Assumptions!$E$24,Assumptions!$E$25))),12)=0))),IF(Nonlabor!$I$20="Fixed",1,IF(Nonlabor!$I$20="Seats",ROUNDUP('Monthly Growth'!I42,0),IF(Nonlabor!$I$20="Customers",'Monthly Growth'!D42,IF(Nonlabor!$I$20="NewCustomers",'Monthly Growth'!C42,IF(Nonlabor!$I$20="StorageGB",'Monthly Growth'!G42,IF(Nonlabor!$I$20="LogGB",'Monthly Growth'!H42,IF(Nonlabor!$I$20="RequestsM",'Monthly Growth'!F42,IF(Nonlabor!$I$20="InputM",'Monthly Growth'!D42*Assumptions!$E$22/1000000,IF(Nonlabor!$I$20="OutputM",'Monthly Growth'!D42*Assumptions!$E$23/1000000,0))))))))),0)</f>
        <v>1</v>
      </c>
      <c r="F3522" s="10" t="n">
        <f aca="false">Nonlabor!$J$20*(1+Assumptions!$E$9)^INT((C3522-1)/12)</f>
        <v>674.9184</v>
      </c>
      <c r="G3522" s="10" t="n">
        <f aca="false">E3522*F3522</f>
        <v>674.9184</v>
      </c>
      <c r="H3522" s="10" t="n">
        <f aca="false">IF(OR(Nonlabor!$L$20="Quote required",Nonlabor!$L$20="Unverified"),G3522,0)</f>
        <v>674.9184</v>
      </c>
      <c r="I3522" s="10" t="n">
        <f aca="false">IF(Nonlabor!$E$20="Core",0,G3522)</f>
        <v>0</v>
      </c>
      <c r="J3522" s="23" t="str">
        <f aca="false">Nonlabor!$B$20</f>
        <v>ACCOUNTING</v>
      </c>
    </row>
    <row r="3523" customFormat="false" ht="15" hidden="false" customHeight="false" outlineLevel="0" collapsed="false">
      <c r="A3523" s="6" t="s">
        <v>73</v>
      </c>
      <c r="B3523" s="6" t="s">
        <v>51</v>
      </c>
      <c r="C3523" s="6" t="n">
        <v>38</v>
      </c>
      <c r="D3523" s="25" t="n">
        <f aca="false">EDATE('Start Here'!$B$6,C3523-1)</f>
        <v>47453</v>
      </c>
      <c r="E3523" s="23" t="n">
        <f aca="false">IF(AND(OR(Nonlabor!$D$20="Both",Nonlabor!$D$20='Start Here'!$B$9),IF(Nonlabor!$E$20="Core",1,IF(Nonlabor!$E$20="AI",'Start Here'!$B$7,'Start Here'!$B$8))=1,C3523&gt;=IF(Nonlabor!$E$20="Core",Nonlabor!$F$20,MAX(Nonlabor!$F$20,IF(Nonlabor!$E$20="AI",Assumptions!$E$24,Assumptions!$E$25))),C3523&lt;=Nonlabor!$G$20,OR(Nonlabor!$H$20="Monthly",AND(Nonlabor!$H$20="Once",C3523=IF(Nonlabor!$E$20="Core",Nonlabor!$F$20,MAX(Nonlabor!$F$20,IF(Nonlabor!$E$20="AI",Assumptions!$E$24,Assumptions!$E$25)))),AND(Nonlabor!$H$20="Annual",MOD(C3523-IF(Nonlabor!$E$20="Core",Nonlabor!$F$20,MAX(Nonlabor!$F$20,IF(Nonlabor!$E$20="AI",Assumptions!$E$24,Assumptions!$E$25))),12)=0))),IF(Nonlabor!$I$20="Fixed",1,IF(Nonlabor!$I$20="Seats",ROUNDUP('Monthly Growth'!I43,0),IF(Nonlabor!$I$20="Customers",'Monthly Growth'!D43,IF(Nonlabor!$I$20="NewCustomers",'Monthly Growth'!C43,IF(Nonlabor!$I$20="StorageGB",'Monthly Growth'!G43,IF(Nonlabor!$I$20="LogGB",'Monthly Growth'!H43,IF(Nonlabor!$I$20="RequestsM",'Monthly Growth'!F43,IF(Nonlabor!$I$20="InputM",'Monthly Growth'!D43*Assumptions!$E$22/1000000,IF(Nonlabor!$I$20="OutputM",'Monthly Growth'!D43*Assumptions!$E$23/1000000,0))))))))),0)</f>
        <v>1</v>
      </c>
      <c r="F3523" s="10" t="n">
        <f aca="false">Nonlabor!$J$20*(1+Assumptions!$E$9)^INT((C3523-1)/12)</f>
        <v>674.9184</v>
      </c>
      <c r="G3523" s="10" t="n">
        <f aca="false">E3523*F3523</f>
        <v>674.9184</v>
      </c>
      <c r="H3523" s="10" t="n">
        <f aca="false">IF(OR(Nonlabor!$L$20="Quote required",Nonlabor!$L$20="Unverified"),G3523,0)</f>
        <v>674.9184</v>
      </c>
      <c r="I3523" s="10" t="n">
        <f aca="false">IF(Nonlabor!$E$20="Core",0,G3523)</f>
        <v>0</v>
      </c>
      <c r="J3523" s="23" t="str">
        <f aca="false">Nonlabor!$B$20</f>
        <v>ACCOUNTING</v>
      </c>
    </row>
    <row r="3524" customFormat="false" ht="15" hidden="false" customHeight="false" outlineLevel="0" collapsed="false">
      <c r="A3524" s="6" t="s">
        <v>73</v>
      </c>
      <c r="B3524" s="6" t="s">
        <v>51</v>
      </c>
      <c r="C3524" s="6" t="n">
        <v>39</v>
      </c>
      <c r="D3524" s="25" t="n">
        <f aca="false">EDATE('Start Here'!$B$6,C3524-1)</f>
        <v>47484</v>
      </c>
      <c r="E3524" s="23" t="n">
        <f aca="false">IF(AND(OR(Nonlabor!$D$20="Both",Nonlabor!$D$20='Start Here'!$B$9),IF(Nonlabor!$E$20="Core",1,IF(Nonlabor!$E$20="AI",'Start Here'!$B$7,'Start Here'!$B$8))=1,C3524&gt;=IF(Nonlabor!$E$20="Core",Nonlabor!$F$20,MAX(Nonlabor!$F$20,IF(Nonlabor!$E$20="AI",Assumptions!$E$24,Assumptions!$E$25))),C3524&lt;=Nonlabor!$G$20,OR(Nonlabor!$H$20="Monthly",AND(Nonlabor!$H$20="Once",C3524=IF(Nonlabor!$E$20="Core",Nonlabor!$F$20,MAX(Nonlabor!$F$20,IF(Nonlabor!$E$20="AI",Assumptions!$E$24,Assumptions!$E$25)))),AND(Nonlabor!$H$20="Annual",MOD(C3524-IF(Nonlabor!$E$20="Core",Nonlabor!$F$20,MAX(Nonlabor!$F$20,IF(Nonlabor!$E$20="AI",Assumptions!$E$24,Assumptions!$E$25))),12)=0))),IF(Nonlabor!$I$20="Fixed",1,IF(Nonlabor!$I$20="Seats",ROUNDUP('Monthly Growth'!I44,0),IF(Nonlabor!$I$20="Customers",'Monthly Growth'!D44,IF(Nonlabor!$I$20="NewCustomers",'Monthly Growth'!C44,IF(Nonlabor!$I$20="StorageGB",'Monthly Growth'!G44,IF(Nonlabor!$I$20="LogGB",'Monthly Growth'!H44,IF(Nonlabor!$I$20="RequestsM",'Monthly Growth'!F44,IF(Nonlabor!$I$20="InputM",'Monthly Growth'!D44*Assumptions!$E$22/1000000,IF(Nonlabor!$I$20="OutputM",'Monthly Growth'!D44*Assumptions!$E$23/1000000,0))))))))),0)</f>
        <v>1</v>
      </c>
      <c r="F3524" s="10" t="n">
        <f aca="false">Nonlabor!$J$20*(1+Assumptions!$E$9)^INT((C3524-1)/12)</f>
        <v>674.9184</v>
      </c>
      <c r="G3524" s="10" t="n">
        <f aca="false">E3524*F3524</f>
        <v>674.9184</v>
      </c>
      <c r="H3524" s="10" t="n">
        <f aca="false">IF(OR(Nonlabor!$L$20="Quote required",Nonlabor!$L$20="Unverified"),G3524,0)</f>
        <v>674.9184</v>
      </c>
      <c r="I3524" s="10" t="n">
        <f aca="false">IF(Nonlabor!$E$20="Core",0,G3524)</f>
        <v>0</v>
      </c>
      <c r="J3524" s="23" t="str">
        <f aca="false">Nonlabor!$B$20</f>
        <v>ACCOUNTING</v>
      </c>
    </row>
    <row r="3525" customFormat="false" ht="15" hidden="false" customHeight="false" outlineLevel="0" collapsed="false">
      <c r="A3525" s="6" t="s">
        <v>73</v>
      </c>
      <c r="B3525" s="6" t="s">
        <v>51</v>
      </c>
      <c r="C3525" s="6" t="n">
        <v>40</v>
      </c>
      <c r="D3525" s="25" t="n">
        <f aca="false">EDATE('Start Here'!$B$6,C3525-1)</f>
        <v>47515</v>
      </c>
      <c r="E3525" s="23" t="n">
        <f aca="false">IF(AND(OR(Nonlabor!$D$20="Both",Nonlabor!$D$20='Start Here'!$B$9),IF(Nonlabor!$E$20="Core",1,IF(Nonlabor!$E$20="AI",'Start Here'!$B$7,'Start Here'!$B$8))=1,C3525&gt;=IF(Nonlabor!$E$20="Core",Nonlabor!$F$20,MAX(Nonlabor!$F$20,IF(Nonlabor!$E$20="AI",Assumptions!$E$24,Assumptions!$E$25))),C3525&lt;=Nonlabor!$G$20,OR(Nonlabor!$H$20="Monthly",AND(Nonlabor!$H$20="Once",C3525=IF(Nonlabor!$E$20="Core",Nonlabor!$F$20,MAX(Nonlabor!$F$20,IF(Nonlabor!$E$20="AI",Assumptions!$E$24,Assumptions!$E$25)))),AND(Nonlabor!$H$20="Annual",MOD(C3525-IF(Nonlabor!$E$20="Core",Nonlabor!$F$20,MAX(Nonlabor!$F$20,IF(Nonlabor!$E$20="AI",Assumptions!$E$24,Assumptions!$E$25))),12)=0))),IF(Nonlabor!$I$20="Fixed",1,IF(Nonlabor!$I$20="Seats",ROUNDUP('Monthly Growth'!I45,0),IF(Nonlabor!$I$20="Customers",'Monthly Growth'!D45,IF(Nonlabor!$I$20="NewCustomers",'Monthly Growth'!C45,IF(Nonlabor!$I$20="StorageGB",'Monthly Growth'!G45,IF(Nonlabor!$I$20="LogGB",'Monthly Growth'!H45,IF(Nonlabor!$I$20="RequestsM",'Monthly Growth'!F45,IF(Nonlabor!$I$20="InputM",'Monthly Growth'!D45*Assumptions!$E$22/1000000,IF(Nonlabor!$I$20="OutputM",'Monthly Growth'!D45*Assumptions!$E$23/1000000,0))))))))),0)</f>
        <v>1</v>
      </c>
      <c r="F3525" s="10" t="n">
        <f aca="false">Nonlabor!$J$20*(1+Assumptions!$E$9)^INT((C3525-1)/12)</f>
        <v>674.9184</v>
      </c>
      <c r="G3525" s="10" t="n">
        <f aca="false">E3525*F3525</f>
        <v>674.9184</v>
      </c>
      <c r="H3525" s="10" t="n">
        <f aca="false">IF(OR(Nonlabor!$L$20="Quote required",Nonlabor!$L$20="Unverified"),G3525,0)</f>
        <v>674.9184</v>
      </c>
      <c r="I3525" s="10" t="n">
        <f aca="false">IF(Nonlabor!$E$20="Core",0,G3525)</f>
        <v>0</v>
      </c>
      <c r="J3525" s="23" t="str">
        <f aca="false">Nonlabor!$B$20</f>
        <v>ACCOUNTING</v>
      </c>
    </row>
    <row r="3526" customFormat="false" ht="15" hidden="false" customHeight="false" outlineLevel="0" collapsed="false">
      <c r="A3526" s="6" t="s">
        <v>73</v>
      </c>
      <c r="B3526" s="6" t="s">
        <v>51</v>
      </c>
      <c r="C3526" s="6" t="n">
        <v>41</v>
      </c>
      <c r="D3526" s="25" t="n">
        <f aca="false">EDATE('Start Here'!$B$6,C3526-1)</f>
        <v>47543</v>
      </c>
      <c r="E3526" s="23" t="n">
        <f aca="false">IF(AND(OR(Nonlabor!$D$20="Both",Nonlabor!$D$20='Start Here'!$B$9),IF(Nonlabor!$E$20="Core",1,IF(Nonlabor!$E$20="AI",'Start Here'!$B$7,'Start Here'!$B$8))=1,C3526&gt;=IF(Nonlabor!$E$20="Core",Nonlabor!$F$20,MAX(Nonlabor!$F$20,IF(Nonlabor!$E$20="AI",Assumptions!$E$24,Assumptions!$E$25))),C3526&lt;=Nonlabor!$G$20,OR(Nonlabor!$H$20="Monthly",AND(Nonlabor!$H$20="Once",C3526=IF(Nonlabor!$E$20="Core",Nonlabor!$F$20,MAX(Nonlabor!$F$20,IF(Nonlabor!$E$20="AI",Assumptions!$E$24,Assumptions!$E$25)))),AND(Nonlabor!$H$20="Annual",MOD(C3526-IF(Nonlabor!$E$20="Core",Nonlabor!$F$20,MAX(Nonlabor!$F$20,IF(Nonlabor!$E$20="AI",Assumptions!$E$24,Assumptions!$E$25))),12)=0))),IF(Nonlabor!$I$20="Fixed",1,IF(Nonlabor!$I$20="Seats",ROUNDUP('Monthly Growth'!I46,0),IF(Nonlabor!$I$20="Customers",'Monthly Growth'!D46,IF(Nonlabor!$I$20="NewCustomers",'Monthly Growth'!C46,IF(Nonlabor!$I$20="StorageGB",'Monthly Growth'!G46,IF(Nonlabor!$I$20="LogGB",'Monthly Growth'!H46,IF(Nonlabor!$I$20="RequestsM",'Monthly Growth'!F46,IF(Nonlabor!$I$20="InputM",'Monthly Growth'!D46*Assumptions!$E$22/1000000,IF(Nonlabor!$I$20="OutputM",'Monthly Growth'!D46*Assumptions!$E$23/1000000,0))))))))),0)</f>
        <v>1</v>
      </c>
      <c r="F3526" s="10" t="n">
        <f aca="false">Nonlabor!$J$20*(1+Assumptions!$E$9)^INT((C3526-1)/12)</f>
        <v>674.9184</v>
      </c>
      <c r="G3526" s="10" t="n">
        <f aca="false">E3526*F3526</f>
        <v>674.9184</v>
      </c>
      <c r="H3526" s="10" t="n">
        <f aca="false">IF(OR(Nonlabor!$L$20="Quote required",Nonlabor!$L$20="Unverified"),G3526,0)</f>
        <v>674.9184</v>
      </c>
      <c r="I3526" s="10" t="n">
        <f aca="false">IF(Nonlabor!$E$20="Core",0,G3526)</f>
        <v>0</v>
      </c>
      <c r="J3526" s="23" t="str">
        <f aca="false">Nonlabor!$B$20</f>
        <v>ACCOUNTING</v>
      </c>
    </row>
    <row r="3527" customFormat="false" ht="15" hidden="false" customHeight="false" outlineLevel="0" collapsed="false">
      <c r="A3527" s="6" t="s">
        <v>73</v>
      </c>
      <c r="B3527" s="6" t="s">
        <v>51</v>
      </c>
      <c r="C3527" s="6" t="n">
        <v>42</v>
      </c>
      <c r="D3527" s="25" t="n">
        <f aca="false">EDATE('Start Here'!$B$6,C3527-1)</f>
        <v>47574</v>
      </c>
      <c r="E3527" s="23" t="n">
        <f aca="false">IF(AND(OR(Nonlabor!$D$20="Both",Nonlabor!$D$20='Start Here'!$B$9),IF(Nonlabor!$E$20="Core",1,IF(Nonlabor!$E$20="AI",'Start Here'!$B$7,'Start Here'!$B$8))=1,C3527&gt;=IF(Nonlabor!$E$20="Core",Nonlabor!$F$20,MAX(Nonlabor!$F$20,IF(Nonlabor!$E$20="AI",Assumptions!$E$24,Assumptions!$E$25))),C3527&lt;=Nonlabor!$G$20,OR(Nonlabor!$H$20="Monthly",AND(Nonlabor!$H$20="Once",C3527=IF(Nonlabor!$E$20="Core",Nonlabor!$F$20,MAX(Nonlabor!$F$20,IF(Nonlabor!$E$20="AI",Assumptions!$E$24,Assumptions!$E$25)))),AND(Nonlabor!$H$20="Annual",MOD(C3527-IF(Nonlabor!$E$20="Core",Nonlabor!$F$20,MAX(Nonlabor!$F$20,IF(Nonlabor!$E$20="AI",Assumptions!$E$24,Assumptions!$E$25))),12)=0))),IF(Nonlabor!$I$20="Fixed",1,IF(Nonlabor!$I$20="Seats",ROUNDUP('Monthly Growth'!I47,0),IF(Nonlabor!$I$20="Customers",'Monthly Growth'!D47,IF(Nonlabor!$I$20="NewCustomers",'Monthly Growth'!C47,IF(Nonlabor!$I$20="StorageGB",'Monthly Growth'!G47,IF(Nonlabor!$I$20="LogGB",'Monthly Growth'!H47,IF(Nonlabor!$I$20="RequestsM",'Monthly Growth'!F47,IF(Nonlabor!$I$20="InputM",'Monthly Growth'!D47*Assumptions!$E$22/1000000,IF(Nonlabor!$I$20="OutputM",'Monthly Growth'!D47*Assumptions!$E$23/1000000,0))))))))),0)</f>
        <v>1</v>
      </c>
      <c r="F3527" s="10" t="n">
        <f aca="false">Nonlabor!$J$20*(1+Assumptions!$E$9)^INT((C3527-1)/12)</f>
        <v>674.9184</v>
      </c>
      <c r="G3527" s="10" t="n">
        <f aca="false">E3527*F3527</f>
        <v>674.9184</v>
      </c>
      <c r="H3527" s="10" t="n">
        <f aca="false">IF(OR(Nonlabor!$L$20="Quote required",Nonlabor!$L$20="Unverified"),G3527,0)</f>
        <v>674.9184</v>
      </c>
      <c r="I3527" s="10" t="n">
        <f aca="false">IF(Nonlabor!$E$20="Core",0,G3527)</f>
        <v>0</v>
      </c>
      <c r="J3527" s="23" t="str">
        <f aca="false">Nonlabor!$B$20</f>
        <v>ACCOUNTING</v>
      </c>
    </row>
    <row r="3528" customFormat="false" ht="15" hidden="false" customHeight="false" outlineLevel="0" collapsed="false">
      <c r="A3528" s="6" t="s">
        <v>73</v>
      </c>
      <c r="B3528" s="6" t="s">
        <v>51</v>
      </c>
      <c r="C3528" s="6" t="n">
        <v>43</v>
      </c>
      <c r="D3528" s="25" t="n">
        <f aca="false">EDATE('Start Here'!$B$6,C3528-1)</f>
        <v>47604</v>
      </c>
      <c r="E3528" s="23" t="n">
        <f aca="false">IF(AND(OR(Nonlabor!$D$20="Both",Nonlabor!$D$20='Start Here'!$B$9),IF(Nonlabor!$E$20="Core",1,IF(Nonlabor!$E$20="AI",'Start Here'!$B$7,'Start Here'!$B$8))=1,C3528&gt;=IF(Nonlabor!$E$20="Core",Nonlabor!$F$20,MAX(Nonlabor!$F$20,IF(Nonlabor!$E$20="AI",Assumptions!$E$24,Assumptions!$E$25))),C3528&lt;=Nonlabor!$G$20,OR(Nonlabor!$H$20="Monthly",AND(Nonlabor!$H$20="Once",C3528=IF(Nonlabor!$E$20="Core",Nonlabor!$F$20,MAX(Nonlabor!$F$20,IF(Nonlabor!$E$20="AI",Assumptions!$E$24,Assumptions!$E$25)))),AND(Nonlabor!$H$20="Annual",MOD(C3528-IF(Nonlabor!$E$20="Core",Nonlabor!$F$20,MAX(Nonlabor!$F$20,IF(Nonlabor!$E$20="AI",Assumptions!$E$24,Assumptions!$E$25))),12)=0))),IF(Nonlabor!$I$20="Fixed",1,IF(Nonlabor!$I$20="Seats",ROUNDUP('Monthly Growth'!I48,0),IF(Nonlabor!$I$20="Customers",'Monthly Growth'!D48,IF(Nonlabor!$I$20="NewCustomers",'Monthly Growth'!C48,IF(Nonlabor!$I$20="StorageGB",'Monthly Growth'!G48,IF(Nonlabor!$I$20="LogGB",'Monthly Growth'!H48,IF(Nonlabor!$I$20="RequestsM",'Monthly Growth'!F48,IF(Nonlabor!$I$20="InputM",'Monthly Growth'!D48*Assumptions!$E$22/1000000,IF(Nonlabor!$I$20="OutputM",'Monthly Growth'!D48*Assumptions!$E$23/1000000,0))))))))),0)</f>
        <v>1</v>
      </c>
      <c r="F3528" s="10" t="n">
        <f aca="false">Nonlabor!$J$20*(1+Assumptions!$E$9)^INT((C3528-1)/12)</f>
        <v>674.9184</v>
      </c>
      <c r="G3528" s="10" t="n">
        <f aca="false">E3528*F3528</f>
        <v>674.9184</v>
      </c>
      <c r="H3528" s="10" t="n">
        <f aca="false">IF(OR(Nonlabor!$L$20="Quote required",Nonlabor!$L$20="Unverified"),G3528,0)</f>
        <v>674.9184</v>
      </c>
      <c r="I3528" s="10" t="n">
        <f aca="false">IF(Nonlabor!$E$20="Core",0,G3528)</f>
        <v>0</v>
      </c>
      <c r="J3528" s="23" t="str">
        <f aca="false">Nonlabor!$B$20</f>
        <v>ACCOUNTING</v>
      </c>
    </row>
    <row r="3529" customFormat="false" ht="15" hidden="false" customHeight="false" outlineLevel="0" collapsed="false">
      <c r="A3529" s="6" t="s">
        <v>73</v>
      </c>
      <c r="B3529" s="6" t="s">
        <v>51</v>
      </c>
      <c r="C3529" s="6" t="n">
        <v>44</v>
      </c>
      <c r="D3529" s="25" t="n">
        <f aca="false">EDATE('Start Here'!$B$6,C3529-1)</f>
        <v>47635</v>
      </c>
      <c r="E3529" s="23" t="n">
        <f aca="false">IF(AND(OR(Nonlabor!$D$20="Both",Nonlabor!$D$20='Start Here'!$B$9),IF(Nonlabor!$E$20="Core",1,IF(Nonlabor!$E$20="AI",'Start Here'!$B$7,'Start Here'!$B$8))=1,C3529&gt;=IF(Nonlabor!$E$20="Core",Nonlabor!$F$20,MAX(Nonlabor!$F$20,IF(Nonlabor!$E$20="AI",Assumptions!$E$24,Assumptions!$E$25))),C3529&lt;=Nonlabor!$G$20,OR(Nonlabor!$H$20="Monthly",AND(Nonlabor!$H$20="Once",C3529=IF(Nonlabor!$E$20="Core",Nonlabor!$F$20,MAX(Nonlabor!$F$20,IF(Nonlabor!$E$20="AI",Assumptions!$E$24,Assumptions!$E$25)))),AND(Nonlabor!$H$20="Annual",MOD(C3529-IF(Nonlabor!$E$20="Core",Nonlabor!$F$20,MAX(Nonlabor!$F$20,IF(Nonlabor!$E$20="AI",Assumptions!$E$24,Assumptions!$E$25))),12)=0))),IF(Nonlabor!$I$20="Fixed",1,IF(Nonlabor!$I$20="Seats",ROUNDUP('Monthly Growth'!I49,0),IF(Nonlabor!$I$20="Customers",'Monthly Growth'!D49,IF(Nonlabor!$I$20="NewCustomers",'Monthly Growth'!C49,IF(Nonlabor!$I$20="StorageGB",'Monthly Growth'!G49,IF(Nonlabor!$I$20="LogGB",'Monthly Growth'!H49,IF(Nonlabor!$I$20="RequestsM",'Monthly Growth'!F49,IF(Nonlabor!$I$20="InputM",'Monthly Growth'!D49*Assumptions!$E$22/1000000,IF(Nonlabor!$I$20="OutputM",'Monthly Growth'!D49*Assumptions!$E$23/1000000,0))))))))),0)</f>
        <v>1</v>
      </c>
      <c r="F3529" s="10" t="n">
        <f aca="false">Nonlabor!$J$20*(1+Assumptions!$E$9)^INT((C3529-1)/12)</f>
        <v>674.9184</v>
      </c>
      <c r="G3529" s="10" t="n">
        <f aca="false">E3529*F3529</f>
        <v>674.9184</v>
      </c>
      <c r="H3529" s="10" t="n">
        <f aca="false">IF(OR(Nonlabor!$L$20="Quote required",Nonlabor!$L$20="Unverified"),G3529,0)</f>
        <v>674.9184</v>
      </c>
      <c r="I3529" s="10" t="n">
        <f aca="false">IF(Nonlabor!$E$20="Core",0,G3529)</f>
        <v>0</v>
      </c>
      <c r="J3529" s="23" t="str">
        <f aca="false">Nonlabor!$B$20</f>
        <v>ACCOUNTING</v>
      </c>
    </row>
    <row r="3530" customFormat="false" ht="15" hidden="false" customHeight="false" outlineLevel="0" collapsed="false">
      <c r="A3530" s="6" t="s">
        <v>73</v>
      </c>
      <c r="B3530" s="6" t="s">
        <v>51</v>
      </c>
      <c r="C3530" s="6" t="n">
        <v>45</v>
      </c>
      <c r="D3530" s="25" t="n">
        <f aca="false">EDATE('Start Here'!$B$6,C3530-1)</f>
        <v>47665</v>
      </c>
      <c r="E3530" s="23" t="n">
        <f aca="false">IF(AND(OR(Nonlabor!$D$20="Both",Nonlabor!$D$20='Start Here'!$B$9),IF(Nonlabor!$E$20="Core",1,IF(Nonlabor!$E$20="AI",'Start Here'!$B$7,'Start Here'!$B$8))=1,C3530&gt;=IF(Nonlabor!$E$20="Core",Nonlabor!$F$20,MAX(Nonlabor!$F$20,IF(Nonlabor!$E$20="AI",Assumptions!$E$24,Assumptions!$E$25))),C3530&lt;=Nonlabor!$G$20,OR(Nonlabor!$H$20="Monthly",AND(Nonlabor!$H$20="Once",C3530=IF(Nonlabor!$E$20="Core",Nonlabor!$F$20,MAX(Nonlabor!$F$20,IF(Nonlabor!$E$20="AI",Assumptions!$E$24,Assumptions!$E$25)))),AND(Nonlabor!$H$20="Annual",MOD(C3530-IF(Nonlabor!$E$20="Core",Nonlabor!$F$20,MAX(Nonlabor!$F$20,IF(Nonlabor!$E$20="AI",Assumptions!$E$24,Assumptions!$E$25))),12)=0))),IF(Nonlabor!$I$20="Fixed",1,IF(Nonlabor!$I$20="Seats",ROUNDUP('Monthly Growth'!I50,0),IF(Nonlabor!$I$20="Customers",'Monthly Growth'!D50,IF(Nonlabor!$I$20="NewCustomers",'Monthly Growth'!C50,IF(Nonlabor!$I$20="StorageGB",'Monthly Growth'!G50,IF(Nonlabor!$I$20="LogGB",'Monthly Growth'!H50,IF(Nonlabor!$I$20="RequestsM",'Monthly Growth'!F50,IF(Nonlabor!$I$20="InputM",'Monthly Growth'!D50*Assumptions!$E$22/1000000,IF(Nonlabor!$I$20="OutputM",'Monthly Growth'!D50*Assumptions!$E$23/1000000,0))))))))),0)</f>
        <v>1</v>
      </c>
      <c r="F3530" s="10" t="n">
        <f aca="false">Nonlabor!$J$20*(1+Assumptions!$E$9)^INT((C3530-1)/12)</f>
        <v>674.9184</v>
      </c>
      <c r="G3530" s="10" t="n">
        <f aca="false">E3530*F3530</f>
        <v>674.9184</v>
      </c>
      <c r="H3530" s="10" t="n">
        <f aca="false">IF(OR(Nonlabor!$L$20="Quote required",Nonlabor!$L$20="Unverified"),G3530,0)</f>
        <v>674.9184</v>
      </c>
      <c r="I3530" s="10" t="n">
        <f aca="false">IF(Nonlabor!$E$20="Core",0,G3530)</f>
        <v>0</v>
      </c>
      <c r="J3530" s="23" t="str">
        <f aca="false">Nonlabor!$B$20</f>
        <v>ACCOUNTING</v>
      </c>
    </row>
    <row r="3531" customFormat="false" ht="15" hidden="false" customHeight="false" outlineLevel="0" collapsed="false">
      <c r="A3531" s="6" t="s">
        <v>73</v>
      </c>
      <c r="B3531" s="6" t="s">
        <v>51</v>
      </c>
      <c r="C3531" s="6" t="n">
        <v>46</v>
      </c>
      <c r="D3531" s="25" t="n">
        <f aca="false">EDATE('Start Here'!$B$6,C3531-1)</f>
        <v>47696</v>
      </c>
      <c r="E3531" s="23" t="n">
        <f aca="false">IF(AND(OR(Nonlabor!$D$20="Both",Nonlabor!$D$20='Start Here'!$B$9),IF(Nonlabor!$E$20="Core",1,IF(Nonlabor!$E$20="AI",'Start Here'!$B$7,'Start Here'!$B$8))=1,C3531&gt;=IF(Nonlabor!$E$20="Core",Nonlabor!$F$20,MAX(Nonlabor!$F$20,IF(Nonlabor!$E$20="AI",Assumptions!$E$24,Assumptions!$E$25))),C3531&lt;=Nonlabor!$G$20,OR(Nonlabor!$H$20="Monthly",AND(Nonlabor!$H$20="Once",C3531=IF(Nonlabor!$E$20="Core",Nonlabor!$F$20,MAX(Nonlabor!$F$20,IF(Nonlabor!$E$20="AI",Assumptions!$E$24,Assumptions!$E$25)))),AND(Nonlabor!$H$20="Annual",MOD(C3531-IF(Nonlabor!$E$20="Core",Nonlabor!$F$20,MAX(Nonlabor!$F$20,IF(Nonlabor!$E$20="AI",Assumptions!$E$24,Assumptions!$E$25))),12)=0))),IF(Nonlabor!$I$20="Fixed",1,IF(Nonlabor!$I$20="Seats",ROUNDUP('Monthly Growth'!I51,0),IF(Nonlabor!$I$20="Customers",'Monthly Growth'!D51,IF(Nonlabor!$I$20="NewCustomers",'Monthly Growth'!C51,IF(Nonlabor!$I$20="StorageGB",'Monthly Growth'!G51,IF(Nonlabor!$I$20="LogGB",'Monthly Growth'!H51,IF(Nonlabor!$I$20="RequestsM",'Monthly Growth'!F51,IF(Nonlabor!$I$20="InputM",'Monthly Growth'!D51*Assumptions!$E$22/1000000,IF(Nonlabor!$I$20="OutputM",'Monthly Growth'!D51*Assumptions!$E$23/1000000,0))))))))),0)</f>
        <v>1</v>
      </c>
      <c r="F3531" s="10" t="n">
        <f aca="false">Nonlabor!$J$20*(1+Assumptions!$E$9)^INT((C3531-1)/12)</f>
        <v>674.9184</v>
      </c>
      <c r="G3531" s="10" t="n">
        <f aca="false">E3531*F3531</f>
        <v>674.9184</v>
      </c>
      <c r="H3531" s="10" t="n">
        <f aca="false">IF(OR(Nonlabor!$L$20="Quote required",Nonlabor!$L$20="Unverified"),G3531,0)</f>
        <v>674.9184</v>
      </c>
      <c r="I3531" s="10" t="n">
        <f aca="false">IF(Nonlabor!$E$20="Core",0,G3531)</f>
        <v>0</v>
      </c>
      <c r="J3531" s="23" t="str">
        <f aca="false">Nonlabor!$B$20</f>
        <v>ACCOUNTING</v>
      </c>
    </row>
    <row r="3532" customFormat="false" ht="15" hidden="false" customHeight="false" outlineLevel="0" collapsed="false">
      <c r="A3532" s="6" t="s">
        <v>73</v>
      </c>
      <c r="B3532" s="6" t="s">
        <v>51</v>
      </c>
      <c r="C3532" s="6" t="n">
        <v>47</v>
      </c>
      <c r="D3532" s="25" t="n">
        <f aca="false">EDATE('Start Here'!$B$6,C3532-1)</f>
        <v>47727</v>
      </c>
      <c r="E3532" s="23" t="n">
        <f aca="false">IF(AND(OR(Nonlabor!$D$20="Both",Nonlabor!$D$20='Start Here'!$B$9),IF(Nonlabor!$E$20="Core",1,IF(Nonlabor!$E$20="AI",'Start Here'!$B$7,'Start Here'!$B$8))=1,C3532&gt;=IF(Nonlabor!$E$20="Core",Nonlabor!$F$20,MAX(Nonlabor!$F$20,IF(Nonlabor!$E$20="AI",Assumptions!$E$24,Assumptions!$E$25))),C3532&lt;=Nonlabor!$G$20,OR(Nonlabor!$H$20="Monthly",AND(Nonlabor!$H$20="Once",C3532=IF(Nonlabor!$E$20="Core",Nonlabor!$F$20,MAX(Nonlabor!$F$20,IF(Nonlabor!$E$20="AI",Assumptions!$E$24,Assumptions!$E$25)))),AND(Nonlabor!$H$20="Annual",MOD(C3532-IF(Nonlabor!$E$20="Core",Nonlabor!$F$20,MAX(Nonlabor!$F$20,IF(Nonlabor!$E$20="AI",Assumptions!$E$24,Assumptions!$E$25))),12)=0))),IF(Nonlabor!$I$20="Fixed",1,IF(Nonlabor!$I$20="Seats",ROUNDUP('Monthly Growth'!I52,0),IF(Nonlabor!$I$20="Customers",'Monthly Growth'!D52,IF(Nonlabor!$I$20="NewCustomers",'Monthly Growth'!C52,IF(Nonlabor!$I$20="StorageGB",'Monthly Growth'!G52,IF(Nonlabor!$I$20="LogGB",'Monthly Growth'!H52,IF(Nonlabor!$I$20="RequestsM",'Monthly Growth'!F52,IF(Nonlabor!$I$20="InputM",'Monthly Growth'!D52*Assumptions!$E$22/1000000,IF(Nonlabor!$I$20="OutputM",'Monthly Growth'!D52*Assumptions!$E$23/1000000,0))))))))),0)</f>
        <v>1</v>
      </c>
      <c r="F3532" s="10" t="n">
        <f aca="false">Nonlabor!$J$20*(1+Assumptions!$E$9)^INT((C3532-1)/12)</f>
        <v>674.9184</v>
      </c>
      <c r="G3532" s="10" t="n">
        <f aca="false">E3532*F3532</f>
        <v>674.9184</v>
      </c>
      <c r="H3532" s="10" t="n">
        <f aca="false">IF(OR(Nonlabor!$L$20="Quote required",Nonlabor!$L$20="Unverified"),G3532,0)</f>
        <v>674.9184</v>
      </c>
      <c r="I3532" s="10" t="n">
        <f aca="false">IF(Nonlabor!$E$20="Core",0,G3532)</f>
        <v>0</v>
      </c>
      <c r="J3532" s="23" t="str">
        <f aca="false">Nonlabor!$B$20</f>
        <v>ACCOUNTING</v>
      </c>
    </row>
    <row r="3533" customFormat="false" ht="15" hidden="false" customHeight="false" outlineLevel="0" collapsed="false">
      <c r="A3533" s="6" t="s">
        <v>73</v>
      </c>
      <c r="B3533" s="6" t="s">
        <v>51</v>
      </c>
      <c r="C3533" s="6" t="n">
        <v>48</v>
      </c>
      <c r="D3533" s="25" t="n">
        <f aca="false">EDATE('Start Here'!$B$6,C3533-1)</f>
        <v>47757</v>
      </c>
      <c r="E3533" s="23" t="n">
        <f aca="false">IF(AND(OR(Nonlabor!$D$20="Both",Nonlabor!$D$20='Start Here'!$B$9),IF(Nonlabor!$E$20="Core",1,IF(Nonlabor!$E$20="AI",'Start Here'!$B$7,'Start Here'!$B$8))=1,C3533&gt;=IF(Nonlabor!$E$20="Core",Nonlabor!$F$20,MAX(Nonlabor!$F$20,IF(Nonlabor!$E$20="AI",Assumptions!$E$24,Assumptions!$E$25))),C3533&lt;=Nonlabor!$G$20,OR(Nonlabor!$H$20="Monthly",AND(Nonlabor!$H$20="Once",C3533=IF(Nonlabor!$E$20="Core",Nonlabor!$F$20,MAX(Nonlabor!$F$20,IF(Nonlabor!$E$20="AI",Assumptions!$E$24,Assumptions!$E$25)))),AND(Nonlabor!$H$20="Annual",MOD(C3533-IF(Nonlabor!$E$20="Core",Nonlabor!$F$20,MAX(Nonlabor!$F$20,IF(Nonlabor!$E$20="AI",Assumptions!$E$24,Assumptions!$E$25))),12)=0))),IF(Nonlabor!$I$20="Fixed",1,IF(Nonlabor!$I$20="Seats",ROUNDUP('Monthly Growth'!I53,0),IF(Nonlabor!$I$20="Customers",'Monthly Growth'!D53,IF(Nonlabor!$I$20="NewCustomers",'Monthly Growth'!C53,IF(Nonlabor!$I$20="StorageGB",'Monthly Growth'!G53,IF(Nonlabor!$I$20="LogGB",'Monthly Growth'!H53,IF(Nonlabor!$I$20="RequestsM",'Monthly Growth'!F53,IF(Nonlabor!$I$20="InputM",'Monthly Growth'!D53*Assumptions!$E$22/1000000,IF(Nonlabor!$I$20="OutputM",'Monthly Growth'!D53*Assumptions!$E$23/1000000,0))))))))),0)</f>
        <v>1</v>
      </c>
      <c r="F3533" s="10" t="n">
        <f aca="false">Nonlabor!$J$20*(1+Assumptions!$E$9)^INT((C3533-1)/12)</f>
        <v>674.9184</v>
      </c>
      <c r="G3533" s="10" t="n">
        <f aca="false">E3533*F3533</f>
        <v>674.9184</v>
      </c>
      <c r="H3533" s="10" t="n">
        <f aca="false">IF(OR(Nonlabor!$L$20="Quote required",Nonlabor!$L$20="Unverified"),G3533,0)</f>
        <v>674.9184</v>
      </c>
      <c r="I3533" s="10" t="n">
        <f aca="false">IF(Nonlabor!$E$20="Core",0,G3533)</f>
        <v>0</v>
      </c>
      <c r="J3533" s="23" t="str">
        <f aca="false">Nonlabor!$B$20</f>
        <v>ACCOUNTING</v>
      </c>
    </row>
    <row r="3534" customFormat="false" ht="15" hidden="false" customHeight="false" outlineLevel="0" collapsed="false">
      <c r="A3534" s="6" t="s">
        <v>73</v>
      </c>
      <c r="B3534" s="6" t="s">
        <v>51</v>
      </c>
      <c r="C3534" s="6" t="n">
        <v>49</v>
      </c>
      <c r="D3534" s="25" t="n">
        <f aca="false">EDATE('Start Here'!$B$6,C3534-1)</f>
        <v>47788</v>
      </c>
      <c r="E3534" s="23" t="n">
        <f aca="false">IF(AND(OR(Nonlabor!$D$20="Both",Nonlabor!$D$20='Start Here'!$B$9),IF(Nonlabor!$E$20="Core",1,IF(Nonlabor!$E$20="AI",'Start Here'!$B$7,'Start Here'!$B$8))=1,C3534&gt;=IF(Nonlabor!$E$20="Core",Nonlabor!$F$20,MAX(Nonlabor!$F$20,IF(Nonlabor!$E$20="AI",Assumptions!$E$24,Assumptions!$E$25))),C3534&lt;=Nonlabor!$G$20,OR(Nonlabor!$H$20="Monthly",AND(Nonlabor!$H$20="Once",C3534=IF(Nonlabor!$E$20="Core",Nonlabor!$F$20,MAX(Nonlabor!$F$20,IF(Nonlabor!$E$20="AI",Assumptions!$E$24,Assumptions!$E$25)))),AND(Nonlabor!$H$20="Annual",MOD(C3534-IF(Nonlabor!$E$20="Core",Nonlabor!$F$20,MAX(Nonlabor!$F$20,IF(Nonlabor!$E$20="AI",Assumptions!$E$24,Assumptions!$E$25))),12)=0))),IF(Nonlabor!$I$20="Fixed",1,IF(Nonlabor!$I$20="Seats",ROUNDUP('Monthly Growth'!I54,0),IF(Nonlabor!$I$20="Customers",'Monthly Growth'!D54,IF(Nonlabor!$I$20="NewCustomers",'Monthly Growth'!C54,IF(Nonlabor!$I$20="StorageGB",'Monthly Growth'!G54,IF(Nonlabor!$I$20="LogGB",'Monthly Growth'!H54,IF(Nonlabor!$I$20="RequestsM",'Monthly Growth'!F54,IF(Nonlabor!$I$20="InputM",'Monthly Growth'!D54*Assumptions!$E$22/1000000,IF(Nonlabor!$I$20="OutputM",'Monthly Growth'!D54*Assumptions!$E$23/1000000,0))))))))),0)</f>
        <v>1</v>
      </c>
      <c r="F3534" s="10" t="n">
        <f aca="false">Nonlabor!$J$20*(1+Assumptions!$E$9)^INT((C3534-1)/12)</f>
        <v>701.915136</v>
      </c>
      <c r="G3534" s="10" t="n">
        <f aca="false">E3534*F3534</f>
        <v>701.915136</v>
      </c>
      <c r="H3534" s="10" t="n">
        <f aca="false">IF(OR(Nonlabor!$L$20="Quote required",Nonlabor!$L$20="Unverified"),G3534,0)</f>
        <v>701.915136</v>
      </c>
      <c r="I3534" s="10" t="n">
        <f aca="false">IF(Nonlabor!$E$20="Core",0,G3534)</f>
        <v>0</v>
      </c>
      <c r="J3534" s="23" t="str">
        <f aca="false">Nonlabor!$B$20</f>
        <v>ACCOUNTING</v>
      </c>
    </row>
    <row r="3535" customFormat="false" ht="15" hidden="false" customHeight="false" outlineLevel="0" collapsed="false">
      <c r="A3535" s="6" t="s">
        <v>73</v>
      </c>
      <c r="B3535" s="6" t="s">
        <v>51</v>
      </c>
      <c r="C3535" s="6" t="n">
        <v>50</v>
      </c>
      <c r="D3535" s="25" t="n">
        <f aca="false">EDATE('Start Here'!$B$6,C3535-1)</f>
        <v>47818</v>
      </c>
      <c r="E3535" s="23" t="n">
        <f aca="false">IF(AND(OR(Nonlabor!$D$20="Both",Nonlabor!$D$20='Start Here'!$B$9),IF(Nonlabor!$E$20="Core",1,IF(Nonlabor!$E$20="AI",'Start Here'!$B$7,'Start Here'!$B$8))=1,C3535&gt;=IF(Nonlabor!$E$20="Core",Nonlabor!$F$20,MAX(Nonlabor!$F$20,IF(Nonlabor!$E$20="AI",Assumptions!$E$24,Assumptions!$E$25))),C3535&lt;=Nonlabor!$G$20,OR(Nonlabor!$H$20="Monthly",AND(Nonlabor!$H$20="Once",C3535=IF(Nonlabor!$E$20="Core",Nonlabor!$F$20,MAX(Nonlabor!$F$20,IF(Nonlabor!$E$20="AI",Assumptions!$E$24,Assumptions!$E$25)))),AND(Nonlabor!$H$20="Annual",MOD(C3535-IF(Nonlabor!$E$20="Core",Nonlabor!$F$20,MAX(Nonlabor!$F$20,IF(Nonlabor!$E$20="AI",Assumptions!$E$24,Assumptions!$E$25))),12)=0))),IF(Nonlabor!$I$20="Fixed",1,IF(Nonlabor!$I$20="Seats",ROUNDUP('Monthly Growth'!I55,0),IF(Nonlabor!$I$20="Customers",'Monthly Growth'!D55,IF(Nonlabor!$I$20="NewCustomers",'Monthly Growth'!C55,IF(Nonlabor!$I$20="StorageGB",'Monthly Growth'!G55,IF(Nonlabor!$I$20="LogGB",'Monthly Growth'!H55,IF(Nonlabor!$I$20="RequestsM",'Monthly Growth'!F55,IF(Nonlabor!$I$20="InputM",'Monthly Growth'!D55*Assumptions!$E$22/1000000,IF(Nonlabor!$I$20="OutputM",'Monthly Growth'!D55*Assumptions!$E$23/1000000,0))))))))),0)</f>
        <v>1</v>
      </c>
      <c r="F3535" s="10" t="n">
        <f aca="false">Nonlabor!$J$20*(1+Assumptions!$E$9)^INT((C3535-1)/12)</f>
        <v>701.915136</v>
      </c>
      <c r="G3535" s="10" t="n">
        <f aca="false">E3535*F3535</f>
        <v>701.915136</v>
      </c>
      <c r="H3535" s="10" t="n">
        <f aca="false">IF(OR(Nonlabor!$L$20="Quote required",Nonlabor!$L$20="Unverified"),G3535,0)</f>
        <v>701.915136</v>
      </c>
      <c r="I3535" s="10" t="n">
        <f aca="false">IF(Nonlabor!$E$20="Core",0,G3535)</f>
        <v>0</v>
      </c>
      <c r="J3535" s="23" t="str">
        <f aca="false">Nonlabor!$B$20</f>
        <v>ACCOUNTING</v>
      </c>
    </row>
    <row r="3536" customFormat="false" ht="15" hidden="false" customHeight="false" outlineLevel="0" collapsed="false">
      <c r="A3536" s="6" t="s">
        <v>73</v>
      </c>
      <c r="B3536" s="6" t="s">
        <v>51</v>
      </c>
      <c r="C3536" s="6" t="n">
        <v>51</v>
      </c>
      <c r="D3536" s="25" t="n">
        <f aca="false">EDATE('Start Here'!$B$6,C3536-1)</f>
        <v>47849</v>
      </c>
      <c r="E3536" s="23" t="n">
        <f aca="false">IF(AND(OR(Nonlabor!$D$20="Both",Nonlabor!$D$20='Start Here'!$B$9),IF(Nonlabor!$E$20="Core",1,IF(Nonlabor!$E$20="AI",'Start Here'!$B$7,'Start Here'!$B$8))=1,C3536&gt;=IF(Nonlabor!$E$20="Core",Nonlabor!$F$20,MAX(Nonlabor!$F$20,IF(Nonlabor!$E$20="AI",Assumptions!$E$24,Assumptions!$E$25))),C3536&lt;=Nonlabor!$G$20,OR(Nonlabor!$H$20="Monthly",AND(Nonlabor!$H$20="Once",C3536=IF(Nonlabor!$E$20="Core",Nonlabor!$F$20,MAX(Nonlabor!$F$20,IF(Nonlabor!$E$20="AI",Assumptions!$E$24,Assumptions!$E$25)))),AND(Nonlabor!$H$20="Annual",MOD(C3536-IF(Nonlabor!$E$20="Core",Nonlabor!$F$20,MAX(Nonlabor!$F$20,IF(Nonlabor!$E$20="AI",Assumptions!$E$24,Assumptions!$E$25))),12)=0))),IF(Nonlabor!$I$20="Fixed",1,IF(Nonlabor!$I$20="Seats",ROUNDUP('Monthly Growth'!I56,0),IF(Nonlabor!$I$20="Customers",'Monthly Growth'!D56,IF(Nonlabor!$I$20="NewCustomers",'Monthly Growth'!C56,IF(Nonlabor!$I$20="StorageGB",'Monthly Growth'!G56,IF(Nonlabor!$I$20="LogGB",'Monthly Growth'!H56,IF(Nonlabor!$I$20="RequestsM",'Monthly Growth'!F56,IF(Nonlabor!$I$20="InputM",'Monthly Growth'!D56*Assumptions!$E$22/1000000,IF(Nonlabor!$I$20="OutputM",'Monthly Growth'!D56*Assumptions!$E$23/1000000,0))))))))),0)</f>
        <v>1</v>
      </c>
      <c r="F3536" s="10" t="n">
        <f aca="false">Nonlabor!$J$20*(1+Assumptions!$E$9)^INT((C3536-1)/12)</f>
        <v>701.915136</v>
      </c>
      <c r="G3536" s="10" t="n">
        <f aca="false">E3536*F3536</f>
        <v>701.915136</v>
      </c>
      <c r="H3536" s="10" t="n">
        <f aca="false">IF(OR(Nonlabor!$L$20="Quote required",Nonlabor!$L$20="Unverified"),G3536,0)</f>
        <v>701.915136</v>
      </c>
      <c r="I3536" s="10" t="n">
        <f aca="false">IF(Nonlabor!$E$20="Core",0,G3536)</f>
        <v>0</v>
      </c>
      <c r="J3536" s="23" t="str">
        <f aca="false">Nonlabor!$B$20</f>
        <v>ACCOUNTING</v>
      </c>
    </row>
    <row r="3537" customFormat="false" ht="15" hidden="false" customHeight="false" outlineLevel="0" collapsed="false">
      <c r="A3537" s="6" t="s">
        <v>73</v>
      </c>
      <c r="B3537" s="6" t="s">
        <v>51</v>
      </c>
      <c r="C3537" s="6" t="n">
        <v>52</v>
      </c>
      <c r="D3537" s="25" t="n">
        <f aca="false">EDATE('Start Here'!$B$6,C3537-1)</f>
        <v>47880</v>
      </c>
      <c r="E3537" s="23" t="n">
        <f aca="false">IF(AND(OR(Nonlabor!$D$20="Both",Nonlabor!$D$20='Start Here'!$B$9),IF(Nonlabor!$E$20="Core",1,IF(Nonlabor!$E$20="AI",'Start Here'!$B$7,'Start Here'!$B$8))=1,C3537&gt;=IF(Nonlabor!$E$20="Core",Nonlabor!$F$20,MAX(Nonlabor!$F$20,IF(Nonlabor!$E$20="AI",Assumptions!$E$24,Assumptions!$E$25))),C3537&lt;=Nonlabor!$G$20,OR(Nonlabor!$H$20="Monthly",AND(Nonlabor!$H$20="Once",C3537=IF(Nonlabor!$E$20="Core",Nonlabor!$F$20,MAX(Nonlabor!$F$20,IF(Nonlabor!$E$20="AI",Assumptions!$E$24,Assumptions!$E$25)))),AND(Nonlabor!$H$20="Annual",MOD(C3537-IF(Nonlabor!$E$20="Core",Nonlabor!$F$20,MAX(Nonlabor!$F$20,IF(Nonlabor!$E$20="AI",Assumptions!$E$24,Assumptions!$E$25))),12)=0))),IF(Nonlabor!$I$20="Fixed",1,IF(Nonlabor!$I$20="Seats",ROUNDUP('Monthly Growth'!I57,0),IF(Nonlabor!$I$20="Customers",'Monthly Growth'!D57,IF(Nonlabor!$I$20="NewCustomers",'Monthly Growth'!C57,IF(Nonlabor!$I$20="StorageGB",'Monthly Growth'!G57,IF(Nonlabor!$I$20="LogGB",'Monthly Growth'!H57,IF(Nonlabor!$I$20="RequestsM",'Monthly Growth'!F57,IF(Nonlabor!$I$20="InputM",'Monthly Growth'!D57*Assumptions!$E$22/1000000,IF(Nonlabor!$I$20="OutputM",'Monthly Growth'!D57*Assumptions!$E$23/1000000,0))))))))),0)</f>
        <v>1</v>
      </c>
      <c r="F3537" s="10" t="n">
        <f aca="false">Nonlabor!$J$20*(1+Assumptions!$E$9)^INT((C3537-1)/12)</f>
        <v>701.915136</v>
      </c>
      <c r="G3537" s="10" t="n">
        <f aca="false">E3537*F3537</f>
        <v>701.915136</v>
      </c>
      <c r="H3537" s="10" t="n">
        <f aca="false">IF(OR(Nonlabor!$L$20="Quote required",Nonlabor!$L$20="Unverified"),G3537,0)</f>
        <v>701.915136</v>
      </c>
      <c r="I3537" s="10" t="n">
        <f aca="false">IF(Nonlabor!$E$20="Core",0,G3537)</f>
        <v>0</v>
      </c>
      <c r="J3537" s="23" t="str">
        <f aca="false">Nonlabor!$B$20</f>
        <v>ACCOUNTING</v>
      </c>
    </row>
    <row r="3538" customFormat="false" ht="15" hidden="false" customHeight="false" outlineLevel="0" collapsed="false">
      <c r="A3538" s="6" t="s">
        <v>73</v>
      </c>
      <c r="B3538" s="6" t="s">
        <v>51</v>
      </c>
      <c r="C3538" s="6" t="n">
        <v>53</v>
      </c>
      <c r="D3538" s="25" t="n">
        <f aca="false">EDATE('Start Here'!$B$6,C3538-1)</f>
        <v>47908</v>
      </c>
      <c r="E3538" s="23" t="n">
        <f aca="false">IF(AND(OR(Nonlabor!$D$20="Both",Nonlabor!$D$20='Start Here'!$B$9),IF(Nonlabor!$E$20="Core",1,IF(Nonlabor!$E$20="AI",'Start Here'!$B$7,'Start Here'!$B$8))=1,C3538&gt;=IF(Nonlabor!$E$20="Core",Nonlabor!$F$20,MAX(Nonlabor!$F$20,IF(Nonlabor!$E$20="AI",Assumptions!$E$24,Assumptions!$E$25))),C3538&lt;=Nonlabor!$G$20,OR(Nonlabor!$H$20="Monthly",AND(Nonlabor!$H$20="Once",C3538=IF(Nonlabor!$E$20="Core",Nonlabor!$F$20,MAX(Nonlabor!$F$20,IF(Nonlabor!$E$20="AI",Assumptions!$E$24,Assumptions!$E$25)))),AND(Nonlabor!$H$20="Annual",MOD(C3538-IF(Nonlabor!$E$20="Core",Nonlabor!$F$20,MAX(Nonlabor!$F$20,IF(Nonlabor!$E$20="AI",Assumptions!$E$24,Assumptions!$E$25))),12)=0))),IF(Nonlabor!$I$20="Fixed",1,IF(Nonlabor!$I$20="Seats",ROUNDUP('Monthly Growth'!I58,0),IF(Nonlabor!$I$20="Customers",'Monthly Growth'!D58,IF(Nonlabor!$I$20="NewCustomers",'Monthly Growth'!C58,IF(Nonlabor!$I$20="StorageGB",'Monthly Growth'!G58,IF(Nonlabor!$I$20="LogGB",'Monthly Growth'!H58,IF(Nonlabor!$I$20="RequestsM",'Monthly Growth'!F58,IF(Nonlabor!$I$20="InputM",'Monthly Growth'!D58*Assumptions!$E$22/1000000,IF(Nonlabor!$I$20="OutputM",'Monthly Growth'!D58*Assumptions!$E$23/1000000,0))))))))),0)</f>
        <v>1</v>
      </c>
      <c r="F3538" s="10" t="n">
        <f aca="false">Nonlabor!$J$20*(1+Assumptions!$E$9)^INT((C3538-1)/12)</f>
        <v>701.915136</v>
      </c>
      <c r="G3538" s="10" t="n">
        <f aca="false">E3538*F3538</f>
        <v>701.915136</v>
      </c>
      <c r="H3538" s="10" t="n">
        <f aca="false">IF(OR(Nonlabor!$L$20="Quote required",Nonlabor!$L$20="Unverified"),G3538,0)</f>
        <v>701.915136</v>
      </c>
      <c r="I3538" s="10" t="n">
        <f aca="false">IF(Nonlabor!$E$20="Core",0,G3538)</f>
        <v>0</v>
      </c>
      <c r="J3538" s="23" t="str">
        <f aca="false">Nonlabor!$B$20</f>
        <v>ACCOUNTING</v>
      </c>
    </row>
    <row r="3539" customFormat="false" ht="15" hidden="false" customHeight="false" outlineLevel="0" collapsed="false">
      <c r="A3539" s="6" t="s">
        <v>73</v>
      </c>
      <c r="B3539" s="6" t="s">
        <v>51</v>
      </c>
      <c r="C3539" s="6" t="n">
        <v>54</v>
      </c>
      <c r="D3539" s="25" t="n">
        <f aca="false">EDATE('Start Here'!$B$6,C3539-1)</f>
        <v>47939</v>
      </c>
      <c r="E3539" s="23" t="n">
        <f aca="false">IF(AND(OR(Nonlabor!$D$20="Both",Nonlabor!$D$20='Start Here'!$B$9),IF(Nonlabor!$E$20="Core",1,IF(Nonlabor!$E$20="AI",'Start Here'!$B$7,'Start Here'!$B$8))=1,C3539&gt;=IF(Nonlabor!$E$20="Core",Nonlabor!$F$20,MAX(Nonlabor!$F$20,IF(Nonlabor!$E$20="AI",Assumptions!$E$24,Assumptions!$E$25))),C3539&lt;=Nonlabor!$G$20,OR(Nonlabor!$H$20="Monthly",AND(Nonlabor!$H$20="Once",C3539=IF(Nonlabor!$E$20="Core",Nonlabor!$F$20,MAX(Nonlabor!$F$20,IF(Nonlabor!$E$20="AI",Assumptions!$E$24,Assumptions!$E$25)))),AND(Nonlabor!$H$20="Annual",MOD(C3539-IF(Nonlabor!$E$20="Core",Nonlabor!$F$20,MAX(Nonlabor!$F$20,IF(Nonlabor!$E$20="AI",Assumptions!$E$24,Assumptions!$E$25))),12)=0))),IF(Nonlabor!$I$20="Fixed",1,IF(Nonlabor!$I$20="Seats",ROUNDUP('Monthly Growth'!I59,0),IF(Nonlabor!$I$20="Customers",'Monthly Growth'!D59,IF(Nonlabor!$I$20="NewCustomers",'Monthly Growth'!C59,IF(Nonlabor!$I$20="StorageGB",'Monthly Growth'!G59,IF(Nonlabor!$I$20="LogGB",'Monthly Growth'!H59,IF(Nonlabor!$I$20="RequestsM",'Monthly Growth'!F59,IF(Nonlabor!$I$20="InputM",'Monthly Growth'!D59*Assumptions!$E$22/1000000,IF(Nonlabor!$I$20="OutputM",'Monthly Growth'!D59*Assumptions!$E$23/1000000,0))))))))),0)</f>
        <v>1</v>
      </c>
      <c r="F3539" s="10" t="n">
        <f aca="false">Nonlabor!$J$20*(1+Assumptions!$E$9)^INT((C3539-1)/12)</f>
        <v>701.915136</v>
      </c>
      <c r="G3539" s="10" t="n">
        <f aca="false">E3539*F3539</f>
        <v>701.915136</v>
      </c>
      <c r="H3539" s="10" t="n">
        <f aca="false">IF(OR(Nonlabor!$L$20="Quote required",Nonlabor!$L$20="Unverified"),G3539,0)</f>
        <v>701.915136</v>
      </c>
      <c r="I3539" s="10" t="n">
        <f aca="false">IF(Nonlabor!$E$20="Core",0,G3539)</f>
        <v>0</v>
      </c>
      <c r="J3539" s="23" t="str">
        <f aca="false">Nonlabor!$B$20</f>
        <v>ACCOUNTING</v>
      </c>
    </row>
    <row r="3540" customFormat="false" ht="15" hidden="false" customHeight="false" outlineLevel="0" collapsed="false">
      <c r="A3540" s="6" t="s">
        <v>73</v>
      </c>
      <c r="B3540" s="6" t="s">
        <v>51</v>
      </c>
      <c r="C3540" s="6" t="n">
        <v>55</v>
      </c>
      <c r="D3540" s="25" t="n">
        <f aca="false">EDATE('Start Here'!$B$6,C3540-1)</f>
        <v>47969</v>
      </c>
      <c r="E3540" s="23" t="n">
        <f aca="false">IF(AND(OR(Nonlabor!$D$20="Both",Nonlabor!$D$20='Start Here'!$B$9),IF(Nonlabor!$E$20="Core",1,IF(Nonlabor!$E$20="AI",'Start Here'!$B$7,'Start Here'!$B$8))=1,C3540&gt;=IF(Nonlabor!$E$20="Core",Nonlabor!$F$20,MAX(Nonlabor!$F$20,IF(Nonlabor!$E$20="AI",Assumptions!$E$24,Assumptions!$E$25))),C3540&lt;=Nonlabor!$G$20,OR(Nonlabor!$H$20="Monthly",AND(Nonlabor!$H$20="Once",C3540=IF(Nonlabor!$E$20="Core",Nonlabor!$F$20,MAX(Nonlabor!$F$20,IF(Nonlabor!$E$20="AI",Assumptions!$E$24,Assumptions!$E$25)))),AND(Nonlabor!$H$20="Annual",MOD(C3540-IF(Nonlabor!$E$20="Core",Nonlabor!$F$20,MAX(Nonlabor!$F$20,IF(Nonlabor!$E$20="AI",Assumptions!$E$24,Assumptions!$E$25))),12)=0))),IF(Nonlabor!$I$20="Fixed",1,IF(Nonlabor!$I$20="Seats",ROUNDUP('Monthly Growth'!I60,0),IF(Nonlabor!$I$20="Customers",'Monthly Growth'!D60,IF(Nonlabor!$I$20="NewCustomers",'Monthly Growth'!C60,IF(Nonlabor!$I$20="StorageGB",'Monthly Growth'!G60,IF(Nonlabor!$I$20="LogGB",'Monthly Growth'!H60,IF(Nonlabor!$I$20="RequestsM",'Monthly Growth'!F60,IF(Nonlabor!$I$20="InputM",'Monthly Growth'!D60*Assumptions!$E$22/1000000,IF(Nonlabor!$I$20="OutputM",'Monthly Growth'!D60*Assumptions!$E$23/1000000,0))))))))),0)</f>
        <v>1</v>
      </c>
      <c r="F3540" s="10" t="n">
        <f aca="false">Nonlabor!$J$20*(1+Assumptions!$E$9)^INT((C3540-1)/12)</f>
        <v>701.915136</v>
      </c>
      <c r="G3540" s="10" t="n">
        <f aca="false">E3540*F3540</f>
        <v>701.915136</v>
      </c>
      <c r="H3540" s="10" t="n">
        <f aca="false">IF(OR(Nonlabor!$L$20="Quote required",Nonlabor!$L$20="Unverified"),G3540,0)</f>
        <v>701.915136</v>
      </c>
      <c r="I3540" s="10" t="n">
        <f aca="false">IF(Nonlabor!$E$20="Core",0,G3540)</f>
        <v>0</v>
      </c>
      <c r="J3540" s="23" t="str">
        <f aca="false">Nonlabor!$B$20</f>
        <v>ACCOUNTING</v>
      </c>
    </row>
    <row r="3541" customFormat="false" ht="15" hidden="false" customHeight="false" outlineLevel="0" collapsed="false">
      <c r="A3541" s="6" t="s">
        <v>73</v>
      </c>
      <c r="B3541" s="6" t="s">
        <v>51</v>
      </c>
      <c r="C3541" s="6" t="n">
        <v>56</v>
      </c>
      <c r="D3541" s="25" t="n">
        <f aca="false">EDATE('Start Here'!$B$6,C3541-1)</f>
        <v>48000</v>
      </c>
      <c r="E3541" s="23" t="n">
        <f aca="false">IF(AND(OR(Nonlabor!$D$20="Both",Nonlabor!$D$20='Start Here'!$B$9),IF(Nonlabor!$E$20="Core",1,IF(Nonlabor!$E$20="AI",'Start Here'!$B$7,'Start Here'!$B$8))=1,C3541&gt;=IF(Nonlabor!$E$20="Core",Nonlabor!$F$20,MAX(Nonlabor!$F$20,IF(Nonlabor!$E$20="AI",Assumptions!$E$24,Assumptions!$E$25))),C3541&lt;=Nonlabor!$G$20,OR(Nonlabor!$H$20="Monthly",AND(Nonlabor!$H$20="Once",C3541=IF(Nonlabor!$E$20="Core",Nonlabor!$F$20,MAX(Nonlabor!$F$20,IF(Nonlabor!$E$20="AI",Assumptions!$E$24,Assumptions!$E$25)))),AND(Nonlabor!$H$20="Annual",MOD(C3541-IF(Nonlabor!$E$20="Core",Nonlabor!$F$20,MAX(Nonlabor!$F$20,IF(Nonlabor!$E$20="AI",Assumptions!$E$24,Assumptions!$E$25))),12)=0))),IF(Nonlabor!$I$20="Fixed",1,IF(Nonlabor!$I$20="Seats",ROUNDUP('Monthly Growth'!I61,0),IF(Nonlabor!$I$20="Customers",'Monthly Growth'!D61,IF(Nonlabor!$I$20="NewCustomers",'Monthly Growth'!C61,IF(Nonlabor!$I$20="StorageGB",'Monthly Growth'!G61,IF(Nonlabor!$I$20="LogGB",'Monthly Growth'!H61,IF(Nonlabor!$I$20="RequestsM",'Monthly Growth'!F61,IF(Nonlabor!$I$20="InputM",'Monthly Growth'!D61*Assumptions!$E$22/1000000,IF(Nonlabor!$I$20="OutputM",'Monthly Growth'!D61*Assumptions!$E$23/1000000,0))))))))),0)</f>
        <v>1</v>
      </c>
      <c r="F3541" s="10" t="n">
        <f aca="false">Nonlabor!$J$20*(1+Assumptions!$E$9)^INT((C3541-1)/12)</f>
        <v>701.915136</v>
      </c>
      <c r="G3541" s="10" t="n">
        <f aca="false">E3541*F3541</f>
        <v>701.915136</v>
      </c>
      <c r="H3541" s="10" t="n">
        <f aca="false">IF(OR(Nonlabor!$L$20="Quote required",Nonlabor!$L$20="Unverified"),G3541,0)</f>
        <v>701.915136</v>
      </c>
      <c r="I3541" s="10" t="n">
        <f aca="false">IF(Nonlabor!$E$20="Core",0,G3541)</f>
        <v>0</v>
      </c>
      <c r="J3541" s="23" t="str">
        <f aca="false">Nonlabor!$B$20</f>
        <v>ACCOUNTING</v>
      </c>
    </row>
    <row r="3542" customFormat="false" ht="15" hidden="false" customHeight="false" outlineLevel="0" collapsed="false">
      <c r="A3542" s="6" t="s">
        <v>73</v>
      </c>
      <c r="B3542" s="6" t="s">
        <v>51</v>
      </c>
      <c r="C3542" s="6" t="n">
        <v>57</v>
      </c>
      <c r="D3542" s="25" t="n">
        <f aca="false">EDATE('Start Here'!$B$6,C3542-1)</f>
        <v>48030</v>
      </c>
      <c r="E3542" s="23" t="n">
        <f aca="false">IF(AND(OR(Nonlabor!$D$20="Both",Nonlabor!$D$20='Start Here'!$B$9),IF(Nonlabor!$E$20="Core",1,IF(Nonlabor!$E$20="AI",'Start Here'!$B$7,'Start Here'!$B$8))=1,C3542&gt;=IF(Nonlabor!$E$20="Core",Nonlabor!$F$20,MAX(Nonlabor!$F$20,IF(Nonlabor!$E$20="AI",Assumptions!$E$24,Assumptions!$E$25))),C3542&lt;=Nonlabor!$G$20,OR(Nonlabor!$H$20="Monthly",AND(Nonlabor!$H$20="Once",C3542=IF(Nonlabor!$E$20="Core",Nonlabor!$F$20,MAX(Nonlabor!$F$20,IF(Nonlabor!$E$20="AI",Assumptions!$E$24,Assumptions!$E$25)))),AND(Nonlabor!$H$20="Annual",MOD(C3542-IF(Nonlabor!$E$20="Core",Nonlabor!$F$20,MAX(Nonlabor!$F$20,IF(Nonlabor!$E$20="AI",Assumptions!$E$24,Assumptions!$E$25))),12)=0))),IF(Nonlabor!$I$20="Fixed",1,IF(Nonlabor!$I$20="Seats",ROUNDUP('Monthly Growth'!I62,0),IF(Nonlabor!$I$20="Customers",'Monthly Growth'!D62,IF(Nonlabor!$I$20="NewCustomers",'Monthly Growth'!C62,IF(Nonlabor!$I$20="StorageGB",'Monthly Growth'!G62,IF(Nonlabor!$I$20="LogGB",'Monthly Growth'!H62,IF(Nonlabor!$I$20="RequestsM",'Monthly Growth'!F62,IF(Nonlabor!$I$20="InputM",'Monthly Growth'!D62*Assumptions!$E$22/1000000,IF(Nonlabor!$I$20="OutputM",'Monthly Growth'!D62*Assumptions!$E$23/1000000,0))))))))),0)</f>
        <v>1</v>
      </c>
      <c r="F3542" s="10" t="n">
        <f aca="false">Nonlabor!$J$20*(1+Assumptions!$E$9)^INT((C3542-1)/12)</f>
        <v>701.915136</v>
      </c>
      <c r="G3542" s="10" t="n">
        <f aca="false">E3542*F3542</f>
        <v>701.915136</v>
      </c>
      <c r="H3542" s="10" t="n">
        <f aca="false">IF(OR(Nonlabor!$L$20="Quote required",Nonlabor!$L$20="Unverified"),G3542,0)</f>
        <v>701.915136</v>
      </c>
      <c r="I3542" s="10" t="n">
        <f aca="false">IF(Nonlabor!$E$20="Core",0,G3542)</f>
        <v>0</v>
      </c>
      <c r="J3542" s="23" t="str">
        <f aca="false">Nonlabor!$B$20</f>
        <v>ACCOUNTING</v>
      </c>
    </row>
    <row r="3543" customFormat="false" ht="15" hidden="false" customHeight="false" outlineLevel="0" collapsed="false">
      <c r="A3543" s="6" t="s">
        <v>73</v>
      </c>
      <c r="B3543" s="6" t="s">
        <v>51</v>
      </c>
      <c r="C3543" s="6" t="n">
        <v>58</v>
      </c>
      <c r="D3543" s="25" t="n">
        <f aca="false">EDATE('Start Here'!$B$6,C3543-1)</f>
        <v>48061</v>
      </c>
      <c r="E3543" s="23" t="n">
        <f aca="false">IF(AND(OR(Nonlabor!$D$20="Both",Nonlabor!$D$20='Start Here'!$B$9),IF(Nonlabor!$E$20="Core",1,IF(Nonlabor!$E$20="AI",'Start Here'!$B$7,'Start Here'!$B$8))=1,C3543&gt;=IF(Nonlabor!$E$20="Core",Nonlabor!$F$20,MAX(Nonlabor!$F$20,IF(Nonlabor!$E$20="AI",Assumptions!$E$24,Assumptions!$E$25))),C3543&lt;=Nonlabor!$G$20,OR(Nonlabor!$H$20="Monthly",AND(Nonlabor!$H$20="Once",C3543=IF(Nonlabor!$E$20="Core",Nonlabor!$F$20,MAX(Nonlabor!$F$20,IF(Nonlabor!$E$20="AI",Assumptions!$E$24,Assumptions!$E$25)))),AND(Nonlabor!$H$20="Annual",MOD(C3543-IF(Nonlabor!$E$20="Core",Nonlabor!$F$20,MAX(Nonlabor!$F$20,IF(Nonlabor!$E$20="AI",Assumptions!$E$24,Assumptions!$E$25))),12)=0))),IF(Nonlabor!$I$20="Fixed",1,IF(Nonlabor!$I$20="Seats",ROUNDUP('Monthly Growth'!I63,0),IF(Nonlabor!$I$20="Customers",'Monthly Growth'!D63,IF(Nonlabor!$I$20="NewCustomers",'Monthly Growth'!C63,IF(Nonlabor!$I$20="StorageGB",'Monthly Growth'!G63,IF(Nonlabor!$I$20="LogGB",'Monthly Growth'!H63,IF(Nonlabor!$I$20="RequestsM",'Monthly Growth'!F63,IF(Nonlabor!$I$20="InputM",'Monthly Growth'!D63*Assumptions!$E$22/1000000,IF(Nonlabor!$I$20="OutputM",'Monthly Growth'!D63*Assumptions!$E$23/1000000,0))))))))),0)</f>
        <v>1</v>
      </c>
      <c r="F3543" s="10" t="n">
        <f aca="false">Nonlabor!$J$20*(1+Assumptions!$E$9)^INT((C3543-1)/12)</f>
        <v>701.915136</v>
      </c>
      <c r="G3543" s="10" t="n">
        <f aca="false">E3543*F3543</f>
        <v>701.915136</v>
      </c>
      <c r="H3543" s="10" t="n">
        <f aca="false">IF(OR(Nonlabor!$L$20="Quote required",Nonlabor!$L$20="Unverified"),G3543,0)</f>
        <v>701.915136</v>
      </c>
      <c r="I3543" s="10" t="n">
        <f aca="false">IF(Nonlabor!$E$20="Core",0,G3543)</f>
        <v>0</v>
      </c>
      <c r="J3543" s="23" t="str">
        <f aca="false">Nonlabor!$B$20</f>
        <v>ACCOUNTING</v>
      </c>
    </row>
    <row r="3544" customFormat="false" ht="15" hidden="false" customHeight="false" outlineLevel="0" collapsed="false">
      <c r="A3544" s="6" t="s">
        <v>73</v>
      </c>
      <c r="B3544" s="6" t="s">
        <v>51</v>
      </c>
      <c r="C3544" s="6" t="n">
        <v>59</v>
      </c>
      <c r="D3544" s="25" t="n">
        <f aca="false">EDATE('Start Here'!$B$6,C3544-1)</f>
        <v>48092</v>
      </c>
      <c r="E3544" s="23" t="n">
        <f aca="false">IF(AND(OR(Nonlabor!$D$20="Both",Nonlabor!$D$20='Start Here'!$B$9),IF(Nonlabor!$E$20="Core",1,IF(Nonlabor!$E$20="AI",'Start Here'!$B$7,'Start Here'!$B$8))=1,C3544&gt;=IF(Nonlabor!$E$20="Core",Nonlabor!$F$20,MAX(Nonlabor!$F$20,IF(Nonlabor!$E$20="AI",Assumptions!$E$24,Assumptions!$E$25))),C3544&lt;=Nonlabor!$G$20,OR(Nonlabor!$H$20="Monthly",AND(Nonlabor!$H$20="Once",C3544=IF(Nonlabor!$E$20="Core",Nonlabor!$F$20,MAX(Nonlabor!$F$20,IF(Nonlabor!$E$20="AI",Assumptions!$E$24,Assumptions!$E$25)))),AND(Nonlabor!$H$20="Annual",MOD(C3544-IF(Nonlabor!$E$20="Core",Nonlabor!$F$20,MAX(Nonlabor!$F$20,IF(Nonlabor!$E$20="AI",Assumptions!$E$24,Assumptions!$E$25))),12)=0))),IF(Nonlabor!$I$20="Fixed",1,IF(Nonlabor!$I$20="Seats",ROUNDUP('Monthly Growth'!I64,0),IF(Nonlabor!$I$20="Customers",'Monthly Growth'!D64,IF(Nonlabor!$I$20="NewCustomers",'Monthly Growth'!C64,IF(Nonlabor!$I$20="StorageGB",'Monthly Growth'!G64,IF(Nonlabor!$I$20="LogGB",'Monthly Growth'!H64,IF(Nonlabor!$I$20="RequestsM",'Monthly Growth'!F64,IF(Nonlabor!$I$20="InputM",'Monthly Growth'!D64*Assumptions!$E$22/1000000,IF(Nonlabor!$I$20="OutputM",'Monthly Growth'!D64*Assumptions!$E$23/1000000,0))))))))),0)</f>
        <v>1</v>
      </c>
      <c r="F3544" s="10" t="n">
        <f aca="false">Nonlabor!$J$20*(1+Assumptions!$E$9)^INT((C3544-1)/12)</f>
        <v>701.915136</v>
      </c>
      <c r="G3544" s="10" t="n">
        <f aca="false">E3544*F3544</f>
        <v>701.915136</v>
      </c>
      <c r="H3544" s="10" t="n">
        <f aca="false">IF(OR(Nonlabor!$L$20="Quote required",Nonlabor!$L$20="Unverified"),G3544,0)</f>
        <v>701.915136</v>
      </c>
      <c r="I3544" s="10" t="n">
        <f aca="false">IF(Nonlabor!$E$20="Core",0,G3544)</f>
        <v>0</v>
      </c>
      <c r="J3544" s="23" t="str">
        <f aca="false">Nonlabor!$B$20</f>
        <v>ACCOUNTING</v>
      </c>
    </row>
    <row r="3545" customFormat="false" ht="15" hidden="false" customHeight="false" outlineLevel="0" collapsed="false">
      <c r="A3545" s="6" t="s">
        <v>73</v>
      </c>
      <c r="B3545" s="6" t="s">
        <v>51</v>
      </c>
      <c r="C3545" s="6" t="n">
        <v>60</v>
      </c>
      <c r="D3545" s="25" t="n">
        <f aca="false">EDATE('Start Here'!$B$6,C3545-1)</f>
        <v>48122</v>
      </c>
      <c r="E3545" s="23" t="n">
        <f aca="false">IF(AND(OR(Nonlabor!$D$20="Both",Nonlabor!$D$20='Start Here'!$B$9),IF(Nonlabor!$E$20="Core",1,IF(Nonlabor!$E$20="AI",'Start Here'!$B$7,'Start Here'!$B$8))=1,C3545&gt;=IF(Nonlabor!$E$20="Core",Nonlabor!$F$20,MAX(Nonlabor!$F$20,IF(Nonlabor!$E$20="AI",Assumptions!$E$24,Assumptions!$E$25))),C3545&lt;=Nonlabor!$G$20,OR(Nonlabor!$H$20="Monthly",AND(Nonlabor!$H$20="Once",C3545=IF(Nonlabor!$E$20="Core",Nonlabor!$F$20,MAX(Nonlabor!$F$20,IF(Nonlabor!$E$20="AI",Assumptions!$E$24,Assumptions!$E$25)))),AND(Nonlabor!$H$20="Annual",MOD(C3545-IF(Nonlabor!$E$20="Core",Nonlabor!$F$20,MAX(Nonlabor!$F$20,IF(Nonlabor!$E$20="AI",Assumptions!$E$24,Assumptions!$E$25))),12)=0))),IF(Nonlabor!$I$20="Fixed",1,IF(Nonlabor!$I$20="Seats",ROUNDUP('Monthly Growth'!I65,0),IF(Nonlabor!$I$20="Customers",'Monthly Growth'!D65,IF(Nonlabor!$I$20="NewCustomers",'Monthly Growth'!C65,IF(Nonlabor!$I$20="StorageGB",'Monthly Growth'!G65,IF(Nonlabor!$I$20="LogGB",'Monthly Growth'!H65,IF(Nonlabor!$I$20="RequestsM",'Monthly Growth'!F65,IF(Nonlabor!$I$20="InputM",'Monthly Growth'!D65*Assumptions!$E$22/1000000,IF(Nonlabor!$I$20="OutputM",'Monthly Growth'!D65*Assumptions!$E$23/1000000,0))))))))),0)</f>
        <v>1</v>
      </c>
      <c r="F3545" s="10" t="n">
        <f aca="false">Nonlabor!$J$20*(1+Assumptions!$E$9)^INT((C3545-1)/12)</f>
        <v>701.915136</v>
      </c>
      <c r="G3545" s="10" t="n">
        <f aca="false">E3545*F3545</f>
        <v>701.915136</v>
      </c>
      <c r="H3545" s="10" t="n">
        <f aca="false">IF(OR(Nonlabor!$L$20="Quote required",Nonlabor!$L$20="Unverified"),G3545,0)</f>
        <v>701.915136</v>
      </c>
      <c r="I3545" s="10" t="n">
        <f aca="false">IF(Nonlabor!$E$20="Core",0,G3545)</f>
        <v>0</v>
      </c>
      <c r="J3545" s="23" t="str">
        <f aca="false">Nonlabor!$B$20</f>
        <v>ACCOUNTING</v>
      </c>
    </row>
    <row r="3546" customFormat="false" ht="15" hidden="false" customHeight="false" outlineLevel="0" collapsed="false">
      <c r="A3546" s="6" t="s">
        <v>73</v>
      </c>
      <c r="B3546" s="6" t="s">
        <v>53</v>
      </c>
      <c r="C3546" s="6" t="n">
        <v>1</v>
      </c>
      <c r="D3546" s="25" t="n">
        <f aca="false">EDATE('Start Here'!$B$6,C3546-1)</f>
        <v>46327</v>
      </c>
      <c r="E3546" s="23" t="n">
        <f aca="false">IF(AND(OR(Nonlabor!$D$21="Both",Nonlabor!$D$21='Start Here'!$B$9),IF(Nonlabor!$E$21="Core",1,IF(Nonlabor!$E$21="AI",'Start Here'!$B$7,'Start Here'!$B$8))=1,C3546&gt;=IF(Nonlabor!$E$21="Core",Nonlabor!$F$21,MAX(Nonlabor!$F$21,IF(Nonlabor!$E$21="AI",Assumptions!$E$24,Assumptions!$E$25))),C3546&lt;=Nonlabor!$G$21,OR(Nonlabor!$H$21="Monthly",AND(Nonlabor!$H$21="Once",C3546=IF(Nonlabor!$E$21="Core",Nonlabor!$F$21,MAX(Nonlabor!$F$21,IF(Nonlabor!$E$21="AI",Assumptions!$E$24,Assumptions!$E$25)))),AND(Nonlabor!$H$21="Annual",MOD(C3546-IF(Nonlabor!$E$21="Core",Nonlabor!$F$21,MAX(Nonlabor!$F$21,IF(Nonlabor!$E$21="AI",Assumptions!$E$24,Assumptions!$E$25))),12)=0))),IF(Nonlabor!$I$21="Fixed",1,IF(Nonlabor!$I$21="Seats",ROUNDUP('Monthly Growth'!I6,0),IF(Nonlabor!$I$21="Customers",'Monthly Growth'!D6,IF(Nonlabor!$I$21="NewCustomers",'Monthly Growth'!C6,IF(Nonlabor!$I$21="StorageGB",'Monthly Growth'!G6,IF(Nonlabor!$I$21="LogGB",'Monthly Growth'!H6,IF(Nonlabor!$I$21="RequestsM",'Monthly Growth'!F6,IF(Nonlabor!$I$21="InputM",'Monthly Growth'!D6*Assumptions!$E$22/1000000,IF(Nonlabor!$I$21="OutputM",'Monthly Growth'!D6*Assumptions!$E$23/1000000,0))))))))),0)</f>
        <v>0</v>
      </c>
      <c r="F3546" s="10" t="n">
        <f aca="false">Nonlabor!$J$21*(1+Assumptions!$E$9)^INT((C3546-1)/12)</f>
        <v>100</v>
      </c>
      <c r="G3546" s="10" t="n">
        <f aca="false">E3546*F3546</f>
        <v>0</v>
      </c>
      <c r="H3546" s="10" t="n">
        <f aca="false">IF(OR(Nonlabor!$L$21="Quote required",Nonlabor!$L$21="Unverified"),G3546,0)</f>
        <v>0</v>
      </c>
      <c r="I3546" s="10" t="n">
        <f aca="false">IF(Nonlabor!$E$21="Core",0,G3546)</f>
        <v>0</v>
      </c>
      <c r="J3546" s="23" t="str">
        <f aca="false">Nonlabor!$B$21</f>
        <v>SUPPORT</v>
      </c>
    </row>
    <row r="3547" customFormat="false" ht="15" hidden="false" customHeight="false" outlineLevel="0" collapsed="false">
      <c r="A3547" s="6" t="s">
        <v>73</v>
      </c>
      <c r="B3547" s="6" t="s">
        <v>53</v>
      </c>
      <c r="C3547" s="6" t="n">
        <v>2</v>
      </c>
      <c r="D3547" s="25" t="n">
        <f aca="false">EDATE('Start Here'!$B$6,C3547-1)</f>
        <v>46357</v>
      </c>
      <c r="E3547" s="23" t="n">
        <f aca="false">IF(AND(OR(Nonlabor!$D$21="Both",Nonlabor!$D$21='Start Here'!$B$9),IF(Nonlabor!$E$21="Core",1,IF(Nonlabor!$E$21="AI",'Start Here'!$B$7,'Start Here'!$B$8))=1,C3547&gt;=IF(Nonlabor!$E$21="Core",Nonlabor!$F$21,MAX(Nonlabor!$F$21,IF(Nonlabor!$E$21="AI",Assumptions!$E$24,Assumptions!$E$25))),C3547&lt;=Nonlabor!$G$21,OR(Nonlabor!$H$21="Monthly",AND(Nonlabor!$H$21="Once",C3547=IF(Nonlabor!$E$21="Core",Nonlabor!$F$21,MAX(Nonlabor!$F$21,IF(Nonlabor!$E$21="AI",Assumptions!$E$24,Assumptions!$E$25)))),AND(Nonlabor!$H$21="Annual",MOD(C3547-IF(Nonlabor!$E$21="Core",Nonlabor!$F$21,MAX(Nonlabor!$F$21,IF(Nonlabor!$E$21="AI",Assumptions!$E$24,Assumptions!$E$25))),12)=0))),IF(Nonlabor!$I$21="Fixed",1,IF(Nonlabor!$I$21="Seats",ROUNDUP('Monthly Growth'!I7,0),IF(Nonlabor!$I$21="Customers",'Monthly Growth'!D7,IF(Nonlabor!$I$21="NewCustomers",'Monthly Growth'!C7,IF(Nonlabor!$I$21="StorageGB",'Monthly Growth'!G7,IF(Nonlabor!$I$21="LogGB",'Monthly Growth'!H7,IF(Nonlabor!$I$21="RequestsM",'Monthly Growth'!F7,IF(Nonlabor!$I$21="InputM",'Monthly Growth'!D7*Assumptions!$E$22/1000000,IF(Nonlabor!$I$21="OutputM",'Monthly Growth'!D7*Assumptions!$E$23/1000000,0))))))))),0)</f>
        <v>0</v>
      </c>
      <c r="F3547" s="10" t="n">
        <f aca="false">Nonlabor!$J$21*(1+Assumptions!$E$9)^INT((C3547-1)/12)</f>
        <v>100</v>
      </c>
      <c r="G3547" s="10" t="n">
        <f aca="false">E3547*F3547</f>
        <v>0</v>
      </c>
      <c r="H3547" s="10" t="n">
        <f aca="false">IF(OR(Nonlabor!$L$21="Quote required",Nonlabor!$L$21="Unverified"),G3547,0)</f>
        <v>0</v>
      </c>
      <c r="I3547" s="10" t="n">
        <f aca="false">IF(Nonlabor!$E$21="Core",0,G3547)</f>
        <v>0</v>
      </c>
      <c r="J3547" s="23" t="str">
        <f aca="false">Nonlabor!$B$21</f>
        <v>SUPPORT</v>
      </c>
    </row>
    <row r="3548" customFormat="false" ht="15" hidden="false" customHeight="false" outlineLevel="0" collapsed="false">
      <c r="A3548" s="6" t="s">
        <v>73</v>
      </c>
      <c r="B3548" s="6" t="s">
        <v>53</v>
      </c>
      <c r="C3548" s="6" t="n">
        <v>3</v>
      </c>
      <c r="D3548" s="25" t="n">
        <f aca="false">EDATE('Start Here'!$B$6,C3548-1)</f>
        <v>46388</v>
      </c>
      <c r="E3548" s="23" t="n">
        <f aca="false">IF(AND(OR(Nonlabor!$D$21="Both",Nonlabor!$D$21='Start Here'!$B$9),IF(Nonlabor!$E$21="Core",1,IF(Nonlabor!$E$21="AI",'Start Here'!$B$7,'Start Here'!$B$8))=1,C3548&gt;=IF(Nonlabor!$E$21="Core",Nonlabor!$F$21,MAX(Nonlabor!$F$21,IF(Nonlabor!$E$21="AI",Assumptions!$E$24,Assumptions!$E$25))),C3548&lt;=Nonlabor!$G$21,OR(Nonlabor!$H$21="Monthly",AND(Nonlabor!$H$21="Once",C3548=IF(Nonlabor!$E$21="Core",Nonlabor!$F$21,MAX(Nonlabor!$F$21,IF(Nonlabor!$E$21="AI",Assumptions!$E$24,Assumptions!$E$25)))),AND(Nonlabor!$H$21="Annual",MOD(C3548-IF(Nonlabor!$E$21="Core",Nonlabor!$F$21,MAX(Nonlabor!$F$21,IF(Nonlabor!$E$21="AI",Assumptions!$E$24,Assumptions!$E$25))),12)=0))),IF(Nonlabor!$I$21="Fixed",1,IF(Nonlabor!$I$21="Seats",ROUNDUP('Monthly Growth'!I8,0),IF(Nonlabor!$I$21="Customers",'Monthly Growth'!D8,IF(Nonlabor!$I$21="NewCustomers",'Monthly Growth'!C8,IF(Nonlabor!$I$21="StorageGB",'Monthly Growth'!G8,IF(Nonlabor!$I$21="LogGB",'Monthly Growth'!H8,IF(Nonlabor!$I$21="RequestsM",'Monthly Growth'!F8,IF(Nonlabor!$I$21="InputM",'Monthly Growth'!D8*Assumptions!$E$22/1000000,IF(Nonlabor!$I$21="OutputM",'Monthly Growth'!D8*Assumptions!$E$23/1000000,0))))))))),0)</f>
        <v>0</v>
      </c>
      <c r="F3548" s="10" t="n">
        <f aca="false">Nonlabor!$J$21*(1+Assumptions!$E$9)^INT((C3548-1)/12)</f>
        <v>100</v>
      </c>
      <c r="G3548" s="10" t="n">
        <f aca="false">E3548*F3548</f>
        <v>0</v>
      </c>
      <c r="H3548" s="10" t="n">
        <f aca="false">IF(OR(Nonlabor!$L$21="Quote required",Nonlabor!$L$21="Unverified"),G3548,0)</f>
        <v>0</v>
      </c>
      <c r="I3548" s="10" t="n">
        <f aca="false">IF(Nonlabor!$E$21="Core",0,G3548)</f>
        <v>0</v>
      </c>
      <c r="J3548" s="23" t="str">
        <f aca="false">Nonlabor!$B$21</f>
        <v>SUPPORT</v>
      </c>
    </row>
    <row r="3549" customFormat="false" ht="15" hidden="false" customHeight="false" outlineLevel="0" collapsed="false">
      <c r="A3549" s="6" t="s">
        <v>73</v>
      </c>
      <c r="B3549" s="6" t="s">
        <v>53</v>
      </c>
      <c r="C3549" s="6" t="n">
        <v>4</v>
      </c>
      <c r="D3549" s="25" t="n">
        <f aca="false">EDATE('Start Here'!$B$6,C3549-1)</f>
        <v>46419</v>
      </c>
      <c r="E3549" s="23" t="n">
        <f aca="false">IF(AND(OR(Nonlabor!$D$21="Both",Nonlabor!$D$21='Start Here'!$B$9),IF(Nonlabor!$E$21="Core",1,IF(Nonlabor!$E$21="AI",'Start Here'!$B$7,'Start Here'!$B$8))=1,C3549&gt;=IF(Nonlabor!$E$21="Core",Nonlabor!$F$21,MAX(Nonlabor!$F$21,IF(Nonlabor!$E$21="AI",Assumptions!$E$24,Assumptions!$E$25))),C3549&lt;=Nonlabor!$G$21,OR(Nonlabor!$H$21="Monthly",AND(Nonlabor!$H$21="Once",C3549=IF(Nonlabor!$E$21="Core",Nonlabor!$F$21,MAX(Nonlabor!$F$21,IF(Nonlabor!$E$21="AI",Assumptions!$E$24,Assumptions!$E$25)))),AND(Nonlabor!$H$21="Annual",MOD(C3549-IF(Nonlabor!$E$21="Core",Nonlabor!$F$21,MAX(Nonlabor!$F$21,IF(Nonlabor!$E$21="AI",Assumptions!$E$24,Assumptions!$E$25))),12)=0))),IF(Nonlabor!$I$21="Fixed",1,IF(Nonlabor!$I$21="Seats",ROUNDUP('Monthly Growth'!I9,0),IF(Nonlabor!$I$21="Customers",'Monthly Growth'!D9,IF(Nonlabor!$I$21="NewCustomers",'Monthly Growth'!C9,IF(Nonlabor!$I$21="StorageGB",'Monthly Growth'!G9,IF(Nonlabor!$I$21="LogGB",'Monthly Growth'!H9,IF(Nonlabor!$I$21="RequestsM",'Monthly Growth'!F9,IF(Nonlabor!$I$21="InputM",'Monthly Growth'!D9*Assumptions!$E$22/1000000,IF(Nonlabor!$I$21="OutputM",'Monthly Growth'!D9*Assumptions!$E$23/1000000,0))))))))),0)</f>
        <v>0</v>
      </c>
      <c r="F3549" s="10" t="n">
        <f aca="false">Nonlabor!$J$21*(1+Assumptions!$E$9)^INT((C3549-1)/12)</f>
        <v>100</v>
      </c>
      <c r="G3549" s="10" t="n">
        <f aca="false">E3549*F3549</f>
        <v>0</v>
      </c>
      <c r="H3549" s="10" t="n">
        <f aca="false">IF(OR(Nonlabor!$L$21="Quote required",Nonlabor!$L$21="Unverified"),G3549,0)</f>
        <v>0</v>
      </c>
      <c r="I3549" s="10" t="n">
        <f aca="false">IF(Nonlabor!$E$21="Core",0,G3549)</f>
        <v>0</v>
      </c>
      <c r="J3549" s="23" t="str">
        <f aca="false">Nonlabor!$B$21</f>
        <v>SUPPORT</v>
      </c>
    </row>
    <row r="3550" customFormat="false" ht="15" hidden="false" customHeight="false" outlineLevel="0" collapsed="false">
      <c r="A3550" s="6" t="s">
        <v>73</v>
      </c>
      <c r="B3550" s="6" t="s">
        <v>53</v>
      </c>
      <c r="C3550" s="6" t="n">
        <v>5</v>
      </c>
      <c r="D3550" s="25" t="n">
        <f aca="false">EDATE('Start Here'!$B$6,C3550-1)</f>
        <v>46447</v>
      </c>
      <c r="E3550" s="23" t="n">
        <f aca="false">IF(AND(OR(Nonlabor!$D$21="Both",Nonlabor!$D$21='Start Here'!$B$9),IF(Nonlabor!$E$21="Core",1,IF(Nonlabor!$E$21="AI",'Start Here'!$B$7,'Start Here'!$B$8))=1,C3550&gt;=IF(Nonlabor!$E$21="Core",Nonlabor!$F$21,MAX(Nonlabor!$F$21,IF(Nonlabor!$E$21="AI",Assumptions!$E$24,Assumptions!$E$25))),C3550&lt;=Nonlabor!$G$21,OR(Nonlabor!$H$21="Monthly",AND(Nonlabor!$H$21="Once",C3550=IF(Nonlabor!$E$21="Core",Nonlabor!$F$21,MAX(Nonlabor!$F$21,IF(Nonlabor!$E$21="AI",Assumptions!$E$24,Assumptions!$E$25)))),AND(Nonlabor!$H$21="Annual",MOD(C3550-IF(Nonlabor!$E$21="Core",Nonlabor!$F$21,MAX(Nonlabor!$F$21,IF(Nonlabor!$E$21="AI",Assumptions!$E$24,Assumptions!$E$25))),12)=0))),IF(Nonlabor!$I$21="Fixed",1,IF(Nonlabor!$I$21="Seats",ROUNDUP('Monthly Growth'!I10,0),IF(Nonlabor!$I$21="Customers",'Monthly Growth'!D10,IF(Nonlabor!$I$21="NewCustomers",'Monthly Growth'!C10,IF(Nonlabor!$I$21="StorageGB",'Monthly Growth'!G10,IF(Nonlabor!$I$21="LogGB",'Monthly Growth'!H10,IF(Nonlabor!$I$21="RequestsM",'Monthly Growth'!F10,IF(Nonlabor!$I$21="InputM",'Monthly Growth'!D10*Assumptions!$E$22/1000000,IF(Nonlabor!$I$21="OutputM",'Monthly Growth'!D10*Assumptions!$E$23/1000000,0))))))))),0)</f>
        <v>0</v>
      </c>
      <c r="F3550" s="10" t="n">
        <f aca="false">Nonlabor!$J$21*(1+Assumptions!$E$9)^INT((C3550-1)/12)</f>
        <v>100</v>
      </c>
      <c r="G3550" s="10" t="n">
        <f aca="false">E3550*F3550</f>
        <v>0</v>
      </c>
      <c r="H3550" s="10" t="n">
        <f aca="false">IF(OR(Nonlabor!$L$21="Quote required",Nonlabor!$L$21="Unverified"),G3550,0)</f>
        <v>0</v>
      </c>
      <c r="I3550" s="10" t="n">
        <f aca="false">IF(Nonlabor!$E$21="Core",0,G3550)</f>
        <v>0</v>
      </c>
      <c r="J3550" s="23" t="str">
        <f aca="false">Nonlabor!$B$21</f>
        <v>SUPPORT</v>
      </c>
    </row>
    <row r="3551" customFormat="false" ht="15" hidden="false" customHeight="false" outlineLevel="0" collapsed="false">
      <c r="A3551" s="6" t="s">
        <v>73</v>
      </c>
      <c r="B3551" s="6" t="s">
        <v>53</v>
      </c>
      <c r="C3551" s="6" t="n">
        <v>6</v>
      </c>
      <c r="D3551" s="25" t="n">
        <f aca="false">EDATE('Start Here'!$B$6,C3551-1)</f>
        <v>46478</v>
      </c>
      <c r="E3551" s="23" t="n">
        <f aca="false">IF(AND(OR(Nonlabor!$D$21="Both",Nonlabor!$D$21='Start Here'!$B$9),IF(Nonlabor!$E$21="Core",1,IF(Nonlabor!$E$21="AI",'Start Here'!$B$7,'Start Here'!$B$8))=1,C3551&gt;=IF(Nonlabor!$E$21="Core",Nonlabor!$F$21,MAX(Nonlabor!$F$21,IF(Nonlabor!$E$21="AI",Assumptions!$E$24,Assumptions!$E$25))),C3551&lt;=Nonlabor!$G$21,OR(Nonlabor!$H$21="Monthly",AND(Nonlabor!$H$21="Once",C3551=IF(Nonlabor!$E$21="Core",Nonlabor!$F$21,MAX(Nonlabor!$F$21,IF(Nonlabor!$E$21="AI",Assumptions!$E$24,Assumptions!$E$25)))),AND(Nonlabor!$H$21="Annual",MOD(C3551-IF(Nonlabor!$E$21="Core",Nonlabor!$F$21,MAX(Nonlabor!$F$21,IF(Nonlabor!$E$21="AI",Assumptions!$E$24,Assumptions!$E$25))),12)=0))),IF(Nonlabor!$I$21="Fixed",1,IF(Nonlabor!$I$21="Seats",ROUNDUP('Monthly Growth'!I11,0),IF(Nonlabor!$I$21="Customers",'Monthly Growth'!D11,IF(Nonlabor!$I$21="NewCustomers",'Monthly Growth'!C11,IF(Nonlabor!$I$21="StorageGB",'Monthly Growth'!G11,IF(Nonlabor!$I$21="LogGB",'Monthly Growth'!H11,IF(Nonlabor!$I$21="RequestsM",'Monthly Growth'!F11,IF(Nonlabor!$I$21="InputM",'Monthly Growth'!D11*Assumptions!$E$22/1000000,IF(Nonlabor!$I$21="OutputM",'Monthly Growth'!D11*Assumptions!$E$23/1000000,0))))))))),0)</f>
        <v>0</v>
      </c>
      <c r="F3551" s="10" t="n">
        <f aca="false">Nonlabor!$J$21*(1+Assumptions!$E$9)^INT((C3551-1)/12)</f>
        <v>100</v>
      </c>
      <c r="G3551" s="10" t="n">
        <f aca="false">E3551*F3551</f>
        <v>0</v>
      </c>
      <c r="H3551" s="10" t="n">
        <f aca="false">IF(OR(Nonlabor!$L$21="Quote required",Nonlabor!$L$21="Unverified"),G3551,0)</f>
        <v>0</v>
      </c>
      <c r="I3551" s="10" t="n">
        <f aca="false">IF(Nonlabor!$E$21="Core",0,G3551)</f>
        <v>0</v>
      </c>
      <c r="J3551" s="23" t="str">
        <f aca="false">Nonlabor!$B$21</f>
        <v>SUPPORT</v>
      </c>
    </row>
    <row r="3552" customFormat="false" ht="15" hidden="false" customHeight="false" outlineLevel="0" collapsed="false">
      <c r="A3552" s="6" t="s">
        <v>73</v>
      </c>
      <c r="B3552" s="6" t="s">
        <v>53</v>
      </c>
      <c r="C3552" s="6" t="n">
        <v>7</v>
      </c>
      <c r="D3552" s="25" t="n">
        <f aca="false">EDATE('Start Here'!$B$6,C3552-1)</f>
        <v>46508</v>
      </c>
      <c r="E3552" s="23" t="n">
        <f aca="false">IF(AND(OR(Nonlabor!$D$21="Both",Nonlabor!$D$21='Start Here'!$B$9),IF(Nonlabor!$E$21="Core",1,IF(Nonlabor!$E$21="AI",'Start Here'!$B$7,'Start Here'!$B$8))=1,C3552&gt;=IF(Nonlabor!$E$21="Core",Nonlabor!$F$21,MAX(Nonlabor!$F$21,IF(Nonlabor!$E$21="AI",Assumptions!$E$24,Assumptions!$E$25))),C3552&lt;=Nonlabor!$G$21,OR(Nonlabor!$H$21="Monthly",AND(Nonlabor!$H$21="Once",C3552=IF(Nonlabor!$E$21="Core",Nonlabor!$F$21,MAX(Nonlabor!$F$21,IF(Nonlabor!$E$21="AI",Assumptions!$E$24,Assumptions!$E$25)))),AND(Nonlabor!$H$21="Annual",MOD(C3552-IF(Nonlabor!$E$21="Core",Nonlabor!$F$21,MAX(Nonlabor!$F$21,IF(Nonlabor!$E$21="AI",Assumptions!$E$24,Assumptions!$E$25))),12)=0))),IF(Nonlabor!$I$21="Fixed",1,IF(Nonlabor!$I$21="Seats",ROUNDUP('Monthly Growth'!I12,0),IF(Nonlabor!$I$21="Customers",'Monthly Growth'!D12,IF(Nonlabor!$I$21="NewCustomers",'Monthly Growth'!C12,IF(Nonlabor!$I$21="StorageGB",'Monthly Growth'!G12,IF(Nonlabor!$I$21="LogGB",'Monthly Growth'!H12,IF(Nonlabor!$I$21="RequestsM",'Monthly Growth'!F12,IF(Nonlabor!$I$21="InputM",'Monthly Growth'!D12*Assumptions!$E$22/1000000,IF(Nonlabor!$I$21="OutputM",'Monthly Growth'!D12*Assumptions!$E$23/1000000,0))))))))),0)</f>
        <v>0</v>
      </c>
      <c r="F3552" s="10" t="n">
        <f aca="false">Nonlabor!$J$21*(1+Assumptions!$E$9)^INT((C3552-1)/12)</f>
        <v>100</v>
      </c>
      <c r="G3552" s="10" t="n">
        <f aca="false">E3552*F3552</f>
        <v>0</v>
      </c>
      <c r="H3552" s="10" t="n">
        <f aca="false">IF(OR(Nonlabor!$L$21="Quote required",Nonlabor!$L$21="Unverified"),G3552,0)</f>
        <v>0</v>
      </c>
      <c r="I3552" s="10" t="n">
        <f aca="false">IF(Nonlabor!$E$21="Core",0,G3552)</f>
        <v>0</v>
      </c>
      <c r="J3552" s="23" t="str">
        <f aca="false">Nonlabor!$B$21</f>
        <v>SUPPORT</v>
      </c>
    </row>
    <row r="3553" customFormat="false" ht="15" hidden="false" customHeight="false" outlineLevel="0" collapsed="false">
      <c r="A3553" s="6" t="s">
        <v>73</v>
      </c>
      <c r="B3553" s="6" t="s">
        <v>53</v>
      </c>
      <c r="C3553" s="6" t="n">
        <v>8</v>
      </c>
      <c r="D3553" s="25" t="n">
        <f aca="false">EDATE('Start Here'!$B$6,C3553-1)</f>
        <v>46539</v>
      </c>
      <c r="E3553" s="23" t="n">
        <f aca="false">IF(AND(OR(Nonlabor!$D$21="Both",Nonlabor!$D$21='Start Here'!$B$9),IF(Nonlabor!$E$21="Core",1,IF(Nonlabor!$E$21="AI",'Start Here'!$B$7,'Start Here'!$B$8))=1,C3553&gt;=IF(Nonlabor!$E$21="Core",Nonlabor!$F$21,MAX(Nonlabor!$F$21,IF(Nonlabor!$E$21="AI",Assumptions!$E$24,Assumptions!$E$25))),C3553&lt;=Nonlabor!$G$21,OR(Nonlabor!$H$21="Monthly",AND(Nonlabor!$H$21="Once",C3553=IF(Nonlabor!$E$21="Core",Nonlabor!$F$21,MAX(Nonlabor!$F$21,IF(Nonlabor!$E$21="AI",Assumptions!$E$24,Assumptions!$E$25)))),AND(Nonlabor!$H$21="Annual",MOD(C3553-IF(Nonlabor!$E$21="Core",Nonlabor!$F$21,MAX(Nonlabor!$F$21,IF(Nonlabor!$E$21="AI",Assumptions!$E$24,Assumptions!$E$25))),12)=0))),IF(Nonlabor!$I$21="Fixed",1,IF(Nonlabor!$I$21="Seats",ROUNDUP('Monthly Growth'!I13,0),IF(Nonlabor!$I$21="Customers",'Monthly Growth'!D13,IF(Nonlabor!$I$21="NewCustomers",'Monthly Growth'!C13,IF(Nonlabor!$I$21="StorageGB",'Monthly Growth'!G13,IF(Nonlabor!$I$21="LogGB",'Monthly Growth'!H13,IF(Nonlabor!$I$21="RequestsM",'Monthly Growth'!F13,IF(Nonlabor!$I$21="InputM",'Monthly Growth'!D13*Assumptions!$E$22/1000000,IF(Nonlabor!$I$21="OutputM",'Monthly Growth'!D13*Assumptions!$E$23/1000000,0))))))))),0)</f>
        <v>0</v>
      </c>
      <c r="F3553" s="10" t="n">
        <f aca="false">Nonlabor!$J$21*(1+Assumptions!$E$9)^INT((C3553-1)/12)</f>
        <v>100</v>
      </c>
      <c r="G3553" s="10" t="n">
        <f aca="false">E3553*F3553</f>
        <v>0</v>
      </c>
      <c r="H3553" s="10" t="n">
        <f aca="false">IF(OR(Nonlabor!$L$21="Quote required",Nonlabor!$L$21="Unverified"),G3553,0)</f>
        <v>0</v>
      </c>
      <c r="I3553" s="10" t="n">
        <f aca="false">IF(Nonlabor!$E$21="Core",0,G3553)</f>
        <v>0</v>
      </c>
      <c r="J3553" s="23" t="str">
        <f aca="false">Nonlabor!$B$21</f>
        <v>SUPPORT</v>
      </c>
    </row>
    <row r="3554" customFormat="false" ht="15" hidden="false" customHeight="false" outlineLevel="0" collapsed="false">
      <c r="A3554" s="6" t="s">
        <v>73</v>
      </c>
      <c r="B3554" s="6" t="s">
        <v>53</v>
      </c>
      <c r="C3554" s="6" t="n">
        <v>9</v>
      </c>
      <c r="D3554" s="25" t="n">
        <f aca="false">EDATE('Start Here'!$B$6,C3554-1)</f>
        <v>46569</v>
      </c>
      <c r="E3554" s="23" t="n">
        <f aca="false">IF(AND(OR(Nonlabor!$D$21="Both",Nonlabor!$D$21='Start Here'!$B$9),IF(Nonlabor!$E$21="Core",1,IF(Nonlabor!$E$21="AI",'Start Here'!$B$7,'Start Here'!$B$8))=1,C3554&gt;=IF(Nonlabor!$E$21="Core",Nonlabor!$F$21,MAX(Nonlabor!$F$21,IF(Nonlabor!$E$21="AI",Assumptions!$E$24,Assumptions!$E$25))),C3554&lt;=Nonlabor!$G$21,OR(Nonlabor!$H$21="Monthly",AND(Nonlabor!$H$21="Once",C3554=IF(Nonlabor!$E$21="Core",Nonlabor!$F$21,MAX(Nonlabor!$F$21,IF(Nonlabor!$E$21="AI",Assumptions!$E$24,Assumptions!$E$25)))),AND(Nonlabor!$H$21="Annual",MOD(C3554-IF(Nonlabor!$E$21="Core",Nonlabor!$F$21,MAX(Nonlabor!$F$21,IF(Nonlabor!$E$21="AI",Assumptions!$E$24,Assumptions!$E$25))),12)=0))),IF(Nonlabor!$I$21="Fixed",1,IF(Nonlabor!$I$21="Seats",ROUNDUP('Monthly Growth'!I14,0),IF(Nonlabor!$I$21="Customers",'Monthly Growth'!D14,IF(Nonlabor!$I$21="NewCustomers",'Monthly Growth'!C14,IF(Nonlabor!$I$21="StorageGB",'Monthly Growth'!G14,IF(Nonlabor!$I$21="LogGB",'Monthly Growth'!H14,IF(Nonlabor!$I$21="RequestsM",'Monthly Growth'!F14,IF(Nonlabor!$I$21="InputM",'Monthly Growth'!D14*Assumptions!$E$22/1000000,IF(Nonlabor!$I$21="OutputM",'Monthly Growth'!D14*Assumptions!$E$23/1000000,0))))))))),0)</f>
        <v>1</v>
      </c>
      <c r="F3554" s="10" t="n">
        <f aca="false">Nonlabor!$J$21*(1+Assumptions!$E$9)^INT((C3554-1)/12)</f>
        <v>100</v>
      </c>
      <c r="G3554" s="10" t="n">
        <f aca="false">E3554*F3554</f>
        <v>100</v>
      </c>
      <c r="H3554" s="10" t="n">
        <f aca="false">IF(OR(Nonlabor!$L$21="Quote required",Nonlabor!$L$21="Unverified"),G3554,0)</f>
        <v>0</v>
      </c>
      <c r="I3554" s="10" t="n">
        <f aca="false">IF(Nonlabor!$E$21="Core",0,G3554)</f>
        <v>0</v>
      </c>
      <c r="J3554" s="23" t="str">
        <f aca="false">Nonlabor!$B$21</f>
        <v>SUPPORT</v>
      </c>
    </row>
    <row r="3555" customFormat="false" ht="15" hidden="false" customHeight="false" outlineLevel="0" collapsed="false">
      <c r="A3555" s="6" t="s">
        <v>73</v>
      </c>
      <c r="B3555" s="6" t="s">
        <v>53</v>
      </c>
      <c r="C3555" s="6" t="n">
        <v>10</v>
      </c>
      <c r="D3555" s="25" t="n">
        <f aca="false">EDATE('Start Here'!$B$6,C3555-1)</f>
        <v>46600</v>
      </c>
      <c r="E3555" s="23" t="n">
        <f aca="false">IF(AND(OR(Nonlabor!$D$21="Both",Nonlabor!$D$21='Start Here'!$B$9),IF(Nonlabor!$E$21="Core",1,IF(Nonlabor!$E$21="AI",'Start Here'!$B$7,'Start Here'!$B$8))=1,C3555&gt;=IF(Nonlabor!$E$21="Core",Nonlabor!$F$21,MAX(Nonlabor!$F$21,IF(Nonlabor!$E$21="AI",Assumptions!$E$24,Assumptions!$E$25))),C3555&lt;=Nonlabor!$G$21,OR(Nonlabor!$H$21="Monthly",AND(Nonlabor!$H$21="Once",C3555=IF(Nonlabor!$E$21="Core",Nonlabor!$F$21,MAX(Nonlabor!$F$21,IF(Nonlabor!$E$21="AI",Assumptions!$E$24,Assumptions!$E$25)))),AND(Nonlabor!$H$21="Annual",MOD(C3555-IF(Nonlabor!$E$21="Core",Nonlabor!$F$21,MAX(Nonlabor!$F$21,IF(Nonlabor!$E$21="AI",Assumptions!$E$24,Assumptions!$E$25))),12)=0))),IF(Nonlabor!$I$21="Fixed",1,IF(Nonlabor!$I$21="Seats",ROUNDUP('Monthly Growth'!I15,0),IF(Nonlabor!$I$21="Customers",'Monthly Growth'!D15,IF(Nonlabor!$I$21="NewCustomers",'Monthly Growth'!C15,IF(Nonlabor!$I$21="StorageGB",'Monthly Growth'!G15,IF(Nonlabor!$I$21="LogGB",'Monthly Growth'!H15,IF(Nonlabor!$I$21="RequestsM",'Monthly Growth'!F15,IF(Nonlabor!$I$21="InputM",'Monthly Growth'!D15*Assumptions!$E$22/1000000,IF(Nonlabor!$I$21="OutputM",'Monthly Growth'!D15*Assumptions!$E$23/1000000,0))))))))),0)</f>
        <v>1</v>
      </c>
      <c r="F3555" s="10" t="n">
        <f aca="false">Nonlabor!$J$21*(1+Assumptions!$E$9)^INT((C3555-1)/12)</f>
        <v>100</v>
      </c>
      <c r="G3555" s="10" t="n">
        <f aca="false">E3555*F3555</f>
        <v>100</v>
      </c>
      <c r="H3555" s="10" t="n">
        <f aca="false">IF(OR(Nonlabor!$L$21="Quote required",Nonlabor!$L$21="Unverified"),G3555,0)</f>
        <v>0</v>
      </c>
      <c r="I3555" s="10" t="n">
        <f aca="false">IF(Nonlabor!$E$21="Core",0,G3555)</f>
        <v>0</v>
      </c>
      <c r="J3555" s="23" t="str">
        <f aca="false">Nonlabor!$B$21</f>
        <v>SUPPORT</v>
      </c>
    </row>
    <row r="3556" customFormat="false" ht="15" hidden="false" customHeight="false" outlineLevel="0" collapsed="false">
      <c r="A3556" s="6" t="s">
        <v>73</v>
      </c>
      <c r="B3556" s="6" t="s">
        <v>53</v>
      </c>
      <c r="C3556" s="6" t="n">
        <v>11</v>
      </c>
      <c r="D3556" s="25" t="n">
        <f aca="false">EDATE('Start Here'!$B$6,C3556-1)</f>
        <v>46631</v>
      </c>
      <c r="E3556" s="23" t="n">
        <f aca="false">IF(AND(OR(Nonlabor!$D$21="Both",Nonlabor!$D$21='Start Here'!$B$9),IF(Nonlabor!$E$21="Core",1,IF(Nonlabor!$E$21="AI",'Start Here'!$B$7,'Start Here'!$B$8))=1,C3556&gt;=IF(Nonlabor!$E$21="Core",Nonlabor!$F$21,MAX(Nonlabor!$F$21,IF(Nonlabor!$E$21="AI",Assumptions!$E$24,Assumptions!$E$25))),C3556&lt;=Nonlabor!$G$21,OR(Nonlabor!$H$21="Monthly",AND(Nonlabor!$H$21="Once",C3556=IF(Nonlabor!$E$21="Core",Nonlabor!$F$21,MAX(Nonlabor!$F$21,IF(Nonlabor!$E$21="AI",Assumptions!$E$24,Assumptions!$E$25)))),AND(Nonlabor!$H$21="Annual",MOD(C3556-IF(Nonlabor!$E$21="Core",Nonlabor!$F$21,MAX(Nonlabor!$F$21,IF(Nonlabor!$E$21="AI",Assumptions!$E$24,Assumptions!$E$25))),12)=0))),IF(Nonlabor!$I$21="Fixed",1,IF(Nonlabor!$I$21="Seats",ROUNDUP('Monthly Growth'!I16,0),IF(Nonlabor!$I$21="Customers",'Monthly Growth'!D16,IF(Nonlabor!$I$21="NewCustomers",'Monthly Growth'!C16,IF(Nonlabor!$I$21="StorageGB",'Monthly Growth'!G16,IF(Nonlabor!$I$21="LogGB",'Monthly Growth'!H16,IF(Nonlabor!$I$21="RequestsM",'Monthly Growth'!F16,IF(Nonlabor!$I$21="InputM",'Monthly Growth'!D16*Assumptions!$E$22/1000000,IF(Nonlabor!$I$21="OutputM",'Monthly Growth'!D16*Assumptions!$E$23/1000000,0))))))))),0)</f>
        <v>1</v>
      </c>
      <c r="F3556" s="10" t="n">
        <f aca="false">Nonlabor!$J$21*(1+Assumptions!$E$9)^INT((C3556-1)/12)</f>
        <v>100</v>
      </c>
      <c r="G3556" s="10" t="n">
        <f aca="false">E3556*F3556</f>
        <v>100</v>
      </c>
      <c r="H3556" s="10" t="n">
        <f aca="false">IF(OR(Nonlabor!$L$21="Quote required",Nonlabor!$L$21="Unverified"),G3556,0)</f>
        <v>0</v>
      </c>
      <c r="I3556" s="10" t="n">
        <f aca="false">IF(Nonlabor!$E$21="Core",0,G3556)</f>
        <v>0</v>
      </c>
      <c r="J3556" s="23" t="str">
        <f aca="false">Nonlabor!$B$21</f>
        <v>SUPPORT</v>
      </c>
    </row>
    <row r="3557" customFormat="false" ht="15" hidden="false" customHeight="false" outlineLevel="0" collapsed="false">
      <c r="A3557" s="6" t="s">
        <v>73</v>
      </c>
      <c r="B3557" s="6" t="s">
        <v>53</v>
      </c>
      <c r="C3557" s="6" t="n">
        <v>12</v>
      </c>
      <c r="D3557" s="25" t="n">
        <f aca="false">EDATE('Start Here'!$B$6,C3557-1)</f>
        <v>46661</v>
      </c>
      <c r="E3557" s="23" t="n">
        <f aca="false">IF(AND(OR(Nonlabor!$D$21="Both",Nonlabor!$D$21='Start Here'!$B$9),IF(Nonlabor!$E$21="Core",1,IF(Nonlabor!$E$21="AI",'Start Here'!$B$7,'Start Here'!$B$8))=1,C3557&gt;=IF(Nonlabor!$E$21="Core",Nonlabor!$F$21,MAX(Nonlabor!$F$21,IF(Nonlabor!$E$21="AI",Assumptions!$E$24,Assumptions!$E$25))),C3557&lt;=Nonlabor!$G$21,OR(Nonlabor!$H$21="Monthly",AND(Nonlabor!$H$21="Once",C3557=IF(Nonlabor!$E$21="Core",Nonlabor!$F$21,MAX(Nonlabor!$F$21,IF(Nonlabor!$E$21="AI",Assumptions!$E$24,Assumptions!$E$25)))),AND(Nonlabor!$H$21="Annual",MOD(C3557-IF(Nonlabor!$E$21="Core",Nonlabor!$F$21,MAX(Nonlabor!$F$21,IF(Nonlabor!$E$21="AI",Assumptions!$E$24,Assumptions!$E$25))),12)=0))),IF(Nonlabor!$I$21="Fixed",1,IF(Nonlabor!$I$21="Seats",ROUNDUP('Monthly Growth'!I17,0),IF(Nonlabor!$I$21="Customers",'Monthly Growth'!D17,IF(Nonlabor!$I$21="NewCustomers",'Monthly Growth'!C17,IF(Nonlabor!$I$21="StorageGB",'Monthly Growth'!G17,IF(Nonlabor!$I$21="LogGB",'Monthly Growth'!H17,IF(Nonlabor!$I$21="RequestsM",'Monthly Growth'!F17,IF(Nonlabor!$I$21="InputM",'Monthly Growth'!D17*Assumptions!$E$22/1000000,IF(Nonlabor!$I$21="OutputM",'Monthly Growth'!D17*Assumptions!$E$23/1000000,0))))))))),0)</f>
        <v>1</v>
      </c>
      <c r="F3557" s="10" t="n">
        <f aca="false">Nonlabor!$J$21*(1+Assumptions!$E$9)^INT((C3557-1)/12)</f>
        <v>100</v>
      </c>
      <c r="G3557" s="10" t="n">
        <f aca="false">E3557*F3557</f>
        <v>100</v>
      </c>
      <c r="H3557" s="10" t="n">
        <f aca="false">IF(OR(Nonlabor!$L$21="Quote required",Nonlabor!$L$21="Unverified"),G3557,0)</f>
        <v>0</v>
      </c>
      <c r="I3557" s="10" t="n">
        <f aca="false">IF(Nonlabor!$E$21="Core",0,G3557)</f>
        <v>0</v>
      </c>
      <c r="J3557" s="23" t="str">
        <f aca="false">Nonlabor!$B$21</f>
        <v>SUPPORT</v>
      </c>
    </row>
    <row r="3558" customFormat="false" ht="15" hidden="false" customHeight="false" outlineLevel="0" collapsed="false">
      <c r="A3558" s="6" t="s">
        <v>73</v>
      </c>
      <c r="B3558" s="6" t="s">
        <v>53</v>
      </c>
      <c r="C3558" s="6" t="n">
        <v>13</v>
      </c>
      <c r="D3558" s="25" t="n">
        <f aca="false">EDATE('Start Here'!$B$6,C3558-1)</f>
        <v>46692</v>
      </c>
      <c r="E3558" s="23" t="n">
        <f aca="false">IF(AND(OR(Nonlabor!$D$21="Both",Nonlabor!$D$21='Start Here'!$B$9),IF(Nonlabor!$E$21="Core",1,IF(Nonlabor!$E$21="AI",'Start Here'!$B$7,'Start Here'!$B$8))=1,C3558&gt;=IF(Nonlabor!$E$21="Core",Nonlabor!$F$21,MAX(Nonlabor!$F$21,IF(Nonlabor!$E$21="AI",Assumptions!$E$24,Assumptions!$E$25))),C3558&lt;=Nonlabor!$G$21,OR(Nonlabor!$H$21="Monthly",AND(Nonlabor!$H$21="Once",C3558=IF(Nonlabor!$E$21="Core",Nonlabor!$F$21,MAX(Nonlabor!$F$21,IF(Nonlabor!$E$21="AI",Assumptions!$E$24,Assumptions!$E$25)))),AND(Nonlabor!$H$21="Annual",MOD(C3558-IF(Nonlabor!$E$21="Core",Nonlabor!$F$21,MAX(Nonlabor!$F$21,IF(Nonlabor!$E$21="AI",Assumptions!$E$24,Assumptions!$E$25))),12)=0))),IF(Nonlabor!$I$21="Fixed",1,IF(Nonlabor!$I$21="Seats",ROUNDUP('Monthly Growth'!I18,0),IF(Nonlabor!$I$21="Customers",'Monthly Growth'!D18,IF(Nonlabor!$I$21="NewCustomers",'Monthly Growth'!C18,IF(Nonlabor!$I$21="StorageGB",'Monthly Growth'!G18,IF(Nonlabor!$I$21="LogGB",'Monthly Growth'!H18,IF(Nonlabor!$I$21="RequestsM",'Monthly Growth'!F18,IF(Nonlabor!$I$21="InputM",'Monthly Growth'!D18*Assumptions!$E$22/1000000,IF(Nonlabor!$I$21="OutputM",'Monthly Growth'!D18*Assumptions!$E$23/1000000,0))))))))),0)</f>
        <v>1</v>
      </c>
      <c r="F3558" s="10" t="n">
        <f aca="false">Nonlabor!$J$21*(1+Assumptions!$E$9)^INT((C3558-1)/12)</f>
        <v>104</v>
      </c>
      <c r="G3558" s="10" t="n">
        <f aca="false">E3558*F3558</f>
        <v>104</v>
      </c>
      <c r="H3558" s="10" t="n">
        <f aca="false">IF(OR(Nonlabor!$L$21="Quote required",Nonlabor!$L$21="Unverified"),G3558,0)</f>
        <v>0</v>
      </c>
      <c r="I3558" s="10" t="n">
        <f aca="false">IF(Nonlabor!$E$21="Core",0,G3558)</f>
        <v>0</v>
      </c>
      <c r="J3558" s="23" t="str">
        <f aca="false">Nonlabor!$B$21</f>
        <v>SUPPORT</v>
      </c>
    </row>
    <row r="3559" customFormat="false" ht="15" hidden="false" customHeight="false" outlineLevel="0" collapsed="false">
      <c r="A3559" s="6" t="s">
        <v>73</v>
      </c>
      <c r="B3559" s="6" t="s">
        <v>53</v>
      </c>
      <c r="C3559" s="6" t="n">
        <v>14</v>
      </c>
      <c r="D3559" s="25" t="n">
        <f aca="false">EDATE('Start Here'!$B$6,C3559-1)</f>
        <v>46722</v>
      </c>
      <c r="E3559" s="23" t="n">
        <f aca="false">IF(AND(OR(Nonlabor!$D$21="Both",Nonlabor!$D$21='Start Here'!$B$9),IF(Nonlabor!$E$21="Core",1,IF(Nonlabor!$E$21="AI",'Start Here'!$B$7,'Start Here'!$B$8))=1,C3559&gt;=IF(Nonlabor!$E$21="Core",Nonlabor!$F$21,MAX(Nonlabor!$F$21,IF(Nonlabor!$E$21="AI",Assumptions!$E$24,Assumptions!$E$25))),C3559&lt;=Nonlabor!$G$21,OR(Nonlabor!$H$21="Monthly",AND(Nonlabor!$H$21="Once",C3559=IF(Nonlabor!$E$21="Core",Nonlabor!$F$21,MAX(Nonlabor!$F$21,IF(Nonlabor!$E$21="AI",Assumptions!$E$24,Assumptions!$E$25)))),AND(Nonlabor!$H$21="Annual",MOD(C3559-IF(Nonlabor!$E$21="Core",Nonlabor!$F$21,MAX(Nonlabor!$F$21,IF(Nonlabor!$E$21="AI",Assumptions!$E$24,Assumptions!$E$25))),12)=0))),IF(Nonlabor!$I$21="Fixed",1,IF(Nonlabor!$I$21="Seats",ROUNDUP('Monthly Growth'!I19,0),IF(Nonlabor!$I$21="Customers",'Monthly Growth'!D19,IF(Nonlabor!$I$21="NewCustomers",'Monthly Growth'!C19,IF(Nonlabor!$I$21="StorageGB",'Monthly Growth'!G19,IF(Nonlabor!$I$21="LogGB",'Monthly Growth'!H19,IF(Nonlabor!$I$21="RequestsM",'Monthly Growth'!F19,IF(Nonlabor!$I$21="InputM",'Monthly Growth'!D19*Assumptions!$E$22/1000000,IF(Nonlabor!$I$21="OutputM",'Monthly Growth'!D19*Assumptions!$E$23/1000000,0))))))))),0)</f>
        <v>1</v>
      </c>
      <c r="F3559" s="10" t="n">
        <f aca="false">Nonlabor!$J$21*(1+Assumptions!$E$9)^INT((C3559-1)/12)</f>
        <v>104</v>
      </c>
      <c r="G3559" s="10" t="n">
        <f aca="false">E3559*F3559</f>
        <v>104</v>
      </c>
      <c r="H3559" s="10" t="n">
        <f aca="false">IF(OR(Nonlabor!$L$21="Quote required",Nonlabor!$L$21="Unverified"),G3559,0)</f>
        <v>0</v>
      </c>
      <c r="I3559" s="10" t="n">
        <f aca="false">IF(Nonlabor!$E$21="Core",0,G3559)</f>
        <v>0</v>
      </c>
      <c r="J3559" s="23" t="str">
        <f aca="false">Nonlabor!$B$21</f>
        <v>SUPPORT</v>
      </c>
    </row>
    <row r="3560" customFormat="false" ht="15" hidden="false" customHeight="false" outlineLevel="0" collapsed="false">
      <c r="A3560" s="6" t="s">
        <v>73</v>
      </c>
      <c r="B3560" s="6" t="s">
        <v>53</v>
      </c>
      <c r="C3560" s="6" t="n">
        <v>15</v>
      </c>
      <c r="D3560" s="25" t="n">
        <f aca="false">EDATE('Start Here'!$B$6,C3560-1)</f>
        <v>46753</v>
      </c>
      <c r="E3560" s="23" t="n">
        <f aca="false">IF(AND(OR(Nonlabor!$D$21="Both",Nonlabor!$D$21='Start Here'!$B$9),IF(Nonlabor!$E$21="Core",1,IF(Nonlabor!$E$21="AI",'Start Here'!$B$7,'Start Here'!$B$8))=1,C3560&gt;=IF(Nonlabor!$E$21="Core",Nonlabor!$F$21,MAX(Nonlabor!$F$21,IF(Nonlabor!$E$21="AI",Assumptions!$E$24,Assumptions!$E$25))),C3560&lt;=Nonlabor!$G$21,OR(Nonlabor!$H$21="Monthly",AND(Nonlabor!$H$21="Once",C3560=IF(Nonlabor!$E$21="Core",Nonlabor!$F$21,MAX(Nonlabor!$F$21,IF(Nonlabor!$E$21="AI",Assumptions!$E$24,Assumptions!$E$25)))),AND(Nonlabor!$H$21="Annual",MOD(C3560-IF(Nonlabor!$E$21="Core",Nonlabor!$F$21,MAX(Nonlabor!$F$21,IF(Nonlabor!$E$21="AI",Assumptions!$E$24,Assumptions!$E$25))),12)=0))),IF(Nonlabor!$I$21="Fixed",1,IF(Nonlabor!$I$21="Seats",ROUNDUP('Monthly Growth'!I20,0),IF(Nonlabor!$I$21="Customers",'Monthly Growth'!D20,IF(Nonlabor!$I$21="NewCustomers",'Monthly Growth'!C20,IF(Nonlabor!$I$21="StorageGB",'Monthly Growth'!G20,IF(Nonlabor!$I$21="LogGB",'Monthly Growth'!H20,IF(Nonlabor!$I$21="RequestsM",'Monthly Growth'!F20,IF(Nonlabor!$I$21="InputM",'Monthly Growth'!D20*Assumptions!$E$22/1000000,IF(Nonlabor!$I$21="OutputM",'Monthly Growth'!D20*Assumptions!$E$23/1000000,0))))))))),0)</f>
        <v>1</v>
      </c>
      <c r="F3560" s="10" t="n">
        <f aca="false">Nonlabor!$J$21*(1+Assumptions!$E$9)^INT((C3560-1)/12)</f>
        <v>104</v>
      </c>
      <c r="G3560" s="10" t="n">
        <f aca="false">E3560*F3560</f>
        <v>104</v>
      </c>
      <c r="H3560" s="10" t="n">
        <f aca="false">IF(OR(Nonlabor!$L$21="Quote required",Nonlabor!$L$21="Unverified"),G3560,0)</f>
        <v>0</v>
      </c>
      <c r="I3560" s="10" t="n">
        <f aca="false">IF(Nonlabor!$E$21="Core",0,G3560)</f>
        <v>0</v>
      </c>
      <c r="J3560" s="23" t="str">
        <f aca="false">Nonlabor!$B$21</f>
        <v>SUPPORT</v>
      </c>
    </row>
    <row r="3561" customFormat="false" ht="15" hidden="false" customHeight="false" outlineLevel="0" collapsed="false">
      <c r="A3561" s="6" t="s">
        <v>73</v>
      </c>
      <c r="B3561" s="6" t="s">
        <v>53</v>
      </c>
      <c r="C3561" s="6" t="n">
        <v>16</v>
      </c>
      <c r="D3561" s="25" t="n">
        <f aca="false">EDATE('Start Here'!$B$6,C3561-1)</f>
        <v>46784</v>
      </c>
      <c r="E3561" s="23" t="n">
        <f aca="false">IF(AND(OR(Nonlabor!$D$21="Both",Nonlabor!$D$21='Start Here'!$B$9),IF(Nonlabor!$E$21="Core",1,IF(Nonlabor!$E$21="AI",'Start Here'!$B$7,'Start Here'!$B$8))=1,C3561&gt;=IF(Nonlabor!$E$21="Core",Nonlabor!$F$21,MAX(Nonlabor!$F$21,IF(Nonlabor!$E$21="AI",Assumptions!$E$24,Assumptions!$E$25))),C3561&lt;=Nonlabor!$G$21,OR(Nonlabor!$H$21="Monthly",AND(Nonlabor!$H$21="Once",C3561=IF(Nonlabor!$E$21="Core",Nonlabor!$F$21,MAX(Nonlabor!$F$21,IF(Nonlabor!$E$21="AI",Assumptions!$E$24,Assumptions!$E$25)))),AND(Nonlabor!$H$21="Annual",MOD(C3561-IF(Nonlabor!$E$21="Core",Nonlabor!$F$21,MAX(Nonlabor!$F$21,IF(Nonlabor!$E$21="AI",Assumptions!$E$24,Assumptions!$E$25))),12)=0))),IF(Nonlabor!$I$21="Fixed",1,IF(Nonlabor!$I$21="Seats",ROUNDUP('Monthly Growth'!I21,0),IF(Nonlabor!$I$21="Customers",'Monthly Growth'!D21,IF(Nonlabor!$I$21="NewCustomers",'Monthly Growth'!C21,IF(Nonlabor!$I$21="StorageGB",'Monthly Growth'!G21,IF(Nonlabor!$I$21="LogGB",'Monthly Growth'!H21,IF(Nonlabor!$I$21="RequestsM",'Monthly Growth'!F21,IF(Nonlabor!$I$21="InputM",'Monthly Growth'!D21*Assumptions!$E$22/1000000,IF(Nonlabor!$I$21="OutputM",'Monthly Growth'!D21*Assumptions!$E$23/1000000,0))))))))),0)</f>
        <v>1</v>
      </c>
      <c r="F3561" s="10" t="n">
        <f aca="false">Nonlabor!$J$21*(1+Assumptions!$E$9)^INT((C3561-1)/12)</f>
        <v>104</v>
      </c>
      <c r="G3561" s="10" t="n">
        <f aca="false">E3561*F3561</f>
        <v>104</v>
      </c>
      <c r="H3561" s="10" t="n">
        <f aca="false">IF(OR(Nonlabor!$L$21="Quote required",Nonlabor!$L$21="Unverified"),G3561,0)</f>
        <v>0</v>
      </c>
      <c r="I3561" s="10" t="n">
        <f aca="false">IF(Nonlabor!$E$21="Core",0,G3561)</f>
        <v>0</v>
      </c>
      <c r="J3561" s="23" t="str">
        <f aca="false">Nonlabor!$B$21</f>
        <v>SUPPORT</v>
      </c>
    </row>
    <row r="3562" customFormat="false" ht="15" hidden="false" customHeight="false" outlineLevel="0" collapsed="false">
      <c r="A3562" s="6" t="s">
        <v>73</v>
      </c>
      <c r="B3562" s="6" t="s">
        <v>53</v>
      </c>
      <c r="C3562" s="6" t="n">
        <v>17</v>
      </c>
      <c r="D3562" s="25" t="n">
        <f aca="false">EDATE('Start Here'!$B$6,C3562-1)</f>
        <v>46813</v>
      </c>
      <c r="E3562" s="23" t="n">
        <f aca="false">IF(AND(OR(Nonlabor!$D$21="Both",Nonlabor!$D$21='Start Here'!$B$9),IF(Nonlabor!$E$21="Core",1,IF(Nonlabor!$E$21="AI",'Start Here'!$B$7,'Start Here'!$B$8))=1,C3562&gt;=IF(Nonlabor!$E$21="Core",Nonlabor!$F$21,MAX(Nonlabor!$F$21,IF(Nonlabor!$E$21="AI",Assumptions!$E$24,Assumptions!$E$25))),C3562&lt;=Nonlabor!$G$21,OR(Nonlabor!$H$21="Monthly",AND(Nonlabor!$H$21="Once",C3562=IF(Nonlabor!$E$21="Core",Nonlabor!$F$21,MAX(Nonlabor!$F$21,IF(Nonlabor!$E$21="AI",Assumptions!$E$24,Assumptions!$E$25)))),AND(Nonlabor!$H$21="Annual",MOD(C3562-IF(Nonlabor!$E$21="Core",Nonlabor!$F$21,MAX(Nonlabor!$F$21,IF(Nonlabor!$E$21="AI",Assumptions!$E$24,Assumptions!$E$25))),12)=0))),IF(Nonlabor!$I$21="Fixed",1,IF(Nonlabor!$I$21="Seats",ROUNDUP('Monthly Growth'!I22,0),IF(Nonlabor!$I$21="Customers",'Monthly Growth'!D22,IF(Nonlabor!$I$21="NewCustomers",'Monthly Growth'!C22,IF(Nonlabor!$I$21="StorageGB",'Monthly Growth'!G22,IF(Nonlabor!$I$21="LogGB",'Monthly Growth'!H22,IF(Nonlabor!$I$21="RequestsM",'Monthly Growth'!F22,IF(Nonlabor!$I$21="InputM",'Monthly Growth'!D22*Assumptions!$E$22/1000000,IF(Nonlabor!$I$21="OutputM",'Monthly Growth'!D22*Assumptions!$E$23/1000000,0))))))))),0)</f>
        <v>1</v>
      </c>
      <c r="F3562" s="10" t="n">
        <f aca="false">Nonlabor!$J$21*(1+Assumptions!$E$9)^INT((C3562-1)/12)</f>
        <v>104</v>
      </c>
      <c r="G3562" s="10" t="n">
        <f aca="false">E3562*F3562</f>
        <v>104</v>
      </c>
      <c r="H3562" s="10" t="n">
        <f aca="false">IF(OR(Nonlabor!$L$21="Quote required",Nonlabor!$L$21="Unverified"),G3562,0)</f>
        <v>0</v>
      </c>
      <c r="I3562" s="10" t="n">
        <f aca="false">IF(Nonlabor!$E$21="Core",0,G3562)</f>
        <v>0</v>
      </c>
      <c r="J3562" s="23" t="str">
        <f aca="false">Nonlabor!$B$21</f>
        <v>SUPPORT</v>
      </c>
    </row>
    <row r="3563" customFormat="false" ht="15" hidden="false" customHeight="false" outlineLevel="0" collapsed="false">
      <c r="A3563" s="6" t="s">
        <v>73</v>
      </c>
      <c r="B3563" s="6" t="s">
        <v>53</v>
      </c>
      <c r="C3563" s="6" t="n">
        <v>18</v>
      </c>
      <c r="D3563" s="25" t="n">
        <f aca="false">EDATE('Start Here'!$B$6,C3563-1)</f>
        <v>46844</v>
      </c>
      <c r="E3563" s="23" t="n">
        <f aca="false">IF(AND(OR(Nonlabor!$D$21="Both",Nonlabor!$D$21='Start Here'!$B$9),IF(Nonlabor!$E$21="Core",1,IF(Nonlabor!$E$21="AI",'Start Here'!$B$7,'Start Here'!$B$8))=1,C3563&gt;=IF(Nonlabor!$E$21="Core",Nonlabor!$F$21,MAX(Nonlabor!$F$21,IF(Nonlabor!$E$21="AI",Assumptions!$E$24,Assumptions!$E$25))),C3563&lt;=Nonlabor!$G$21,OR(Nonlabor!$H$21="Monthly",AND(Nonlabor!$H$21="Once",C3563=IF(Nonlabor!$E$21="Core",Nonlabor!$F$21,MAX(Nonlabor!$F$21,IF(Nonlabor!$E$21="AI",Assumptions!$E$24,Assumptions!$E$25)))),AND(Nonlabor!$H$21="Annual",MOD(C3563-IF(Nonlabor!$E$21="Core",Nonlabor!$F$21,MAX(Nonlabor!$F$21,IF(Nonlabor!$E$21="AI",Assumptions!$E$24,Assumptions!$E$25))),12)=0))),IF(Nonlabor!$I$21="Fixed",1,IF(Nonlabor!$I$21="Seats",ROUNDUP('Monthly Growth'!I23,0),IF(Nonlabor!$I$21="Customers",'Monthly Growth'!D23,IF(Nonlabor!$I$21="NewCustomers",'Monthly Growth'!C23,IF(Nonlabor!$I$21="StorageGB",'Monthly Growth'!G23,IF(Nonlabor!$I$21="LogGB",'Monthly Growth'!H23,IF(Nonlabor!$I$21="RequestsM",'Monthly Growth'!F23,IF(Nonlabor!$I$21="InputM",'Monthly Growth'!D23*Assumptions!$E$22/1000000,IF(Nonlabor!$I$21="OutputM",'Monthly Growth'!D23*Assumptions!$E$23/1000000,0))))))))),0)</f>
        <v>1</v>
      </c>
      <c r="F3563" s="10" t="n">
        <f aca="false">Nonlabor!$J$21*(1+Assumptions!$E$9)^INT((C3563-1)/12)</f>
        <v>104</v>
      </c>
      <c r="G3563" s="10" t="n">
        <f aca="false">E3563*F3563</f>
        <v>104</v>
      </c>
      <c r="H3563" s="10" t="n">
        <f aca="false">IF(OR(Nonlabor!$L$21="Quote required",Nonlabor!$L$21="Unverified"),G3563,0)</f>
        <v>0</v>
      </c>
      <c r="I3563" s="10" t="n">
        <f aca="false">IF(Nonlabor!$E$21="Core",0,G3563)</f>
        <v>0</v>
      </c>
      <c r="J3563" s="23" t="str">
        <f aca="false">Nonlabor!$B$21</f>
        <v>SUPPORT</v>
      </c>
    </row>
    <row r="3564" customFormat="false" ht="15" hidden="false" customHeight="false" outlineLevel="0" collapsed="false">
      <c r="A3564" s="6" t="s">
        <v>73</v>
      </c>
      <c r="B3564" s="6" t="s">
        <v>53</v>
      </c>
      <c r="C3564" s="6" t="n">
        <v>19</v>
      </c>
      <c r="D3564" s="25" t="n">
        <f aca="false">EDATE('Start Here'!$B$6,C3564-1)</f>
        <v>46874</v>
      </c>
      <c r="E3564" s="23" t="n">
        <f aca="false">IF(AND(OR(Nonlabor!$D$21="Both",Nonlabor!$D$21='Start Here'!$B$9),IF(Nonlabor!$E$21="Core",1,IF(Nonlabor!$E$21="AI",'Start Here'!$B$7,'Start Here'!$B$8))=1,C3564&gt;=IF(Nonlabor!$E$21="Core",Nonlabor!$F$21,MAX(Nonlabor!$F$21,IF(Nonlabor!$E$21="AI",Assumptions!$E$24,Assumptions!$E$25))),C3564&lt;=Nonlabor!$G$21,OR(Nonlabor!$H$21="Monthly",AND(Nonlabor!$H$21="Once",C3564=IF(Nonlabor!$E$21="Core",Nonlabor!$F$21,MAX(Nonlabor!$F$21,IF(Nonlabor!$E$21="AI",Assumptions!$E$24,Assumptions!$E$25)))),AND(Nonlabor!$H$21="Annual",MOD(C3564-IF(Nonlabor!$E$21="Core",Nonlabor!$F$21,MAX(Nonlabor!$F$21,IF(Nonlabor!$E$21="AI",Assumptions!$E$24,Assumptions!$E$25))),12)=0))),IF(Nonlabor!$I$21="Fixed",1,IF(Nonlabor!$I$21="Seats",ROUNDUP('Monthly Growth'!I24,0),IF(Nonlabor!$I$21="Customers",'Monthly Growth'!D24,IF(Nonlabor!$I$21="NewCustomers",'Monthly Growth'!C24,IF(Nonlabor!$I$21="StorageGB",'Monthly Growth'!G24,IF(Nonlabor!$I$21="LogGB",'Monthly Growth'!H24,IF(Nonlabor!$I$21="RequestsM",'Monthly Growth'!F24,IF(Nonlabor!$I$21="InputM",'Monthly Growth'!D24*Assumptions!$E$22/1000000,IF(Nonlabor!$I$21="OutputM",'Monthly Growth'!D24*Assumptions!$E$23/1000000,0))))))))),0)</f>
        <v>1</v>
      </c>
      <c r="F3564" s="10" t="n">
        <f aca="false">Nonlabor!$J$21*(1+Assumptions!$E$9)^INT((C3564-1)/12)</f>
        <v>104</v>
      </c>
      <c r="G3564" s="10" t="n">
        <f aca="false">E3564*F3564</f>
        <v>104</v>
      </c>
      <c r="H3564" s="10" t="n">
        <f aca="false">IF(OR(Nonlabor!$L$21="Quote required",Nonlabor!$L$21="Unverified"),G3564,0)</f>
        <v>0</v>
      </c>
      <c r="I3564" s="10" t="n">
        <f aca="false">IF(Nonlabor!$E$21="Core",0,G3564)</f>
        <v>0</v>
      </c>
      <c r="J3564" s="23" t="str">
        <f aca="false">Nonlabor!$B$21</f>
        <v>SUPPORT</v>
      </c>
    </row>
    <row r="3565" customFormat="false" ht="15" hidden="false" customHeight="false" outlineLevel="0" collapsed="false">
      <c r="A3565" s="6" t="s">
        <v>73</v>
      </c>
      <c r="B3565" s="6" t="s">
        <v>53</v>
      </c>
      <c r="C3565" s="6" t="n">
        <v>20</v>
      </c>
      <c r="D3565" s="25" t="n">
        <f aca="false">EDATE('Start Here'!$B$6,C3565-1)</f>
        <v>46905</v>
      </c>
      <c r="E3565" s="23" t="n">
        <f aca="false">IF(AND(OR(Nonlabor!$D$21="Both",Nonlabor!$D$21='Start Here'!$B$9),IF(Nonlabor!$E$21="Core",1,IF(Nonlabor!$E$21="AI",'Start Here'!$B$7,'Start Here'!$B$8))=1,C3565&gt;=IF(Nonlabor!$E$21="Core",Nonlabor!$F$21,MAX(Nonlabor!$F$21,IF(Nonlabor!$E$21="AI",Assumptions!$E$24,Assumptions!$E$25))),C3565&lt;=Nonlabor!$G$21,OR(Nonlabor!$H$21="Monthly",AND(Nonlabor!$H$21="Once",C3565=IF(Nonlabor!$E$21="Core",Nonlabor!$F$21,MAX(Nonlabor!$F$21,IF(Nonlabor!$E$21="AI",Assumptions!$E$24,Assumptions!$E$25)))),AND(Nonlabor!$H$21="Annual",MOD(C3565-IF(Nonlabor!$E$21="Core",Nonlabor!$F$21,MAX(Nonlabor!$F$21,IF(Nonlabor!$E$21="AI",Assumptions!$E$24,Assumptions!$E$25))),12)=0))),IF(Nonlabor!$I$21="Fixed",1,IF(Nonlabor!$I$21="Seats",ROUNDUP('Monthly Growth'!I25,0),IF(Nonlabor!$I$21="Customers",'Monthly Growth'!D25,IF(Nonlabor!$I$21="NewCustomers",'Monthly Growth'!C25,IF(Nonlabor!$I$21="StorageGB",'Monthly Growth'!G25,IF(Nonlabor!$I$21="LogGB",'Monthly Growth'!H25,IF(Nonlabor!$I$21="RequestsM",'Monthly Growth'!F25,IF(Nonlabor!$I$21="InputM",'Monthly Growth'!D25*Assumptions!$E$22/1000000,IF(Nonlabor!$I$21="OutputM",'Monthly Growth'!D25*Assumptions!$E$23/1000000,0))))))))),0)</f>
        <v>1</v>
      </c>
      <c r="F3565" s="10" t="n">
        <f aca="false">Nonlabor!$J$21*(1+Assumptions!$E$9)^INT((C3565-1)/12)</f>
        <v>104</v>
      </c>
      <c r="G3565" s="10" t="n">
        <f aca="false">E3565*F3565</f>
        <v>104</v>
      </c>
      <c r="H3565" s="10" t="n">
        <f aca="false">IF(OR(Nonlabor!$L$21="Quote required",Nonlabor!$L$21="Unverified"),G3565,0)</f>
        <v>0</v>
      </c>
      <c r="I3565" s="10" t="n">
        <f aca="false">IF(Nonlabor!$E$21="Core",0,G3565)</f>
        <v>0</v>
      </c>
      <c r="J3565" s="23" t="str">
        <f aca="false">Nonlabor!$B$21</f>
        <v>SUPPORT</v>
      </c>
    </row>
    <row r="3566" customFormat="false" ht="15" hidden="false" customHeight="false" outlineLevel="0" collapsed="false">
      <c r="A3566" s="6" t="s">
        <v>73</v>
      </c>
      <c r="B3566" s="6" t="s">
        <v>53</v>
      </c>
      <c r="C3566" s="6" t="n">
        <v>21</v>
      </c>
      <c r="D3566" s="25" t="n">
        <f aca="false">EDATE('Start Here'!$B$6,C3566-1)</f>
        <v>46935</v>
      </c>
      <c r="E3566" s="23" t="n">
        <f aca="false">IF(AND(OR(Nonlabor!$D$21="Both",Nonlabor!$D$21='Start Here'!$B$9),IF(Nonlabor!$E$21="Core",1,IF(Nonlabor!$E$21="AI",'Start Here'!$B$7,'Start Here'!$B$8))=1,C3566&gt;=IF(Nonlabor!$E$21="Core",Nonlabor!$F$21,MAX(Nonlabor!$F$21,IF(Nonlabor!$E$21="AI",Assumptions!$E$24,Assumptions!$E$25))),C3566&lt;=Nonlabor!$G$21,OR(Nonlabor!$H$21="Monthly",AND(Nonlabor!$H$21="Once",C3566=IF(Nonlabor!$E$21="Core",Nonlabor!$F$21,MAX(Nonlabor!$F$21,IF(Nonlabor!$E$21="AI",Assumptions!$E$24,Assumptions!$E$25)))),AND(Nonlabor!$H$21="Annual",MOD(C3566-IF(Nonlabor!$E$21="Core",Nonlabor!$F$21,MAX(Nonlabor!$F$21,IF(Nonlabor!$E$21="AI",Assumptions!$E$24,Assumptions!$E$25))),12)=0))),IF(Nonlabor!$I$21="Fixed",1,IF(Nonlabor!$I$21="Seats",ROUNDUP('Monthly Growth'!I26,0),IF(Nonlabor!$I$21="Customers",'Monthly Growth'!D26,IF(Nonlabor!$I$21="NewCustomers",'Monthly Growth'!C26,IF(Nonlabor!$I$21="StorageGB",'Monthly Growth'!G26,IF(Nonlabor!$I$21="LogGB",'Monthly Growth'!H26,IF(Nonlabor!$I$21="RequestsM",'Monthly Growth'!F26,IF(Nonlabor!$I$21="InputM",'Monthly Growth'!D26*Assumptions!$E$22/1000000,IF(Nonlabor!$I$21="OutputM",'Monthly Growth'!D26*Assumptions!$E$23/1000000,0))))))))),0)</f>
        <v>1</v>
      </c>
      <c r="F3566" s="10" t="n">
        <f aca="false">Nonlabor!$J$21*(1+Assumptions!$E$9)^INT((C3566-1)/12)</f>
        <v>104</v>
      </c>
      <c r="G3566" s="10" t="n">
        <f aca="false">E3566*F3566</f>
        <v>104</v>
      </c>
      <c r="H3566" s="10" t="n">
        <f aca="false">IF(OR(Nonlabor!$L$21="Quote required",Nonlabor!$L$21="Unverified"),G3566,0)</f>
        <v>0</v>
      </c>
      <c r="I3566" s="10" t="n">
        <f aca="false">IF(Nonlabor!$E$21="Core",0,G3566)</f>
        <v>0</v>
      </c>
      <c r="J3566" s="23" t="str">
        <f aca="false">Nonlabor!$B$21</f>
        <v>SUPPORT</v>
      </c>
    </row>
    <row r="3567" customFormat="false" ht="15" hidden="false" customHeight="false" outlineLevel="0" collapsed="false">
      <c r="A3567" s="6" t="s">
        <v>73</v>
      </c>
      <c r="B3567" s="6" t="s">
        <v>53</v>
      </c>
      <c r="C3567" s="6" t="n">
        <v>22</v>
      </c>
      <c r="D3567" s="25" t="n">
        <f aca="false">EDATE('Start Here'!$B$6,C3567-1)</f>
        <v>46966</v>
      </c>
      <c r="E3567" s="23" t="n">
        <f aca="false">IF(AND(OR(Nonlabor!$D$21="Both",Nonlabor!$D$21='Start Here'!$B$9),IF(Nonlabor!$E$21="Core",1,IF(Nonlabor!$E$21="AI",'Start Here'!$B$7,'Start Here'!$B$8))=1,C3567&gt;=IF(Nonlabor!$E$21="Core",Nonlabor!$F$21,MAX(Nonlabor!$F$21,IF(Nonlabor!$E$21="AI",Assumptions!$E$24,Assumptions!$E$25))),C3567&lt;=Nonlabor!$G$21,OR(Nonlabor!$H$21="Monthly",AND(Nonlabor!$H$21="Once",C3567=IF(Nonlabor!$E$21="Core",Nonlabor!$F$21,MAX(Nonlabor!$F$21,IF(Nonlabor!$E$21="AI",Assumptions!$E$24,Assumptions!$E$25)))),AND(Nonlabor!$H$21="Annual",MOD(C3567-IF(Nonlabor!$E$21="Core",Nonlabor!$F$21,MAX(Nonlabor!$F$21,IF(Nonlabor!$E$21="AI",Assumptions!$E$24,Assumptions!$E$25))),12)=0))),IF(Nonlabor!$I$21="Fixed",1,IF(Nonlabor!$I$21="Seats",ROUNDUP('Monthly Growth'!I27,0),IF(Nonlabor!$I$21="Customers",'Monthly Growth'!D27,IF(Nonlabor!$I$21="NewCustomers",'Monthly Growth'!C27,IF(Nonlabor!$I$21="StorageGB",'Monthly Growth'!G27,IF(Nonlabor!$I$21="LogGB",'Monthly Growth'!H27,IF(Nonlabor!$I$21="RequestsM",'Monthly Growth'!F27,IF(Nonlabor!$I$21="InputM",'Monthly Growth'!D27*Assumptions!$E$22/1000000,IF(Nonlabor!$I$21="OutputM",'Monthly Growth'!D27*Assumptions!$E$23/1000000,0))))))))),0)</f>
        <v>1</v>
      </c>
      <c r="F3567" s="10" t="n">
        <f aca="false">Nonlabor!$J$21*(1+Assumptions!$E$9)^INT((C3567-1)/12)</f>
        <v>104</v>
      </c>
      <c r="G3567" s="10" t="n">
        <f aca="false">E3567*F3567</f>
        <v>104</v>
      </c>
      <c r="H3567" s="10" t="n">
        <f aca="false">IF(OR(Nonlabor!$L$21="Quote required",Nonlabor!$L$21="Unverified"),G3567,0)</f>
        <v>0</v>
      </c>
      <c r="I3567" s="10" t="n">
        <f aca="false">IF(Nonlabor!$E$21="Core",0,G3567)</f>
        <v>0</v>
      </c>
      <c r="J3567" s="23" t="str">
        <f aca="false">Nonlabor!$B$21</f>
        <v>SUPPORT</v>
      </c>
    </row>
    <row r="3568" customFormat="false" ht="15" hidden="false" customHeight="false" outlineLevel="0" collapsed="false">
      <c r="A3568" s="6" t="s">
        <v>73</v>
      </c>
      <c r="B3568" s="6" t="s">
        <v>53</v>
      </c>
      <c r="C3568" s="6" t="n">
        <v>23</v>
      </c>
      <c r="D3568" s="25" t="n">
        <f aca="false">EDATE('Start Here'!$B$6,C3568-1)</f>
        <v>46997</v>
      </c>
      <c r="E3568" s="23" t="n">
        <f aca="false">IF(AND(OR(Nonlabor!$D$21="Both",Nonlabor!$D$21='Start Here'!$B$9),IF(Nonlabor!$E$21="Core",1,IF(Nonlabor!$E$21="AI",'Start Here'!$B$7,'Start Here'!$B$8))=1,C3568&gt;=IF(Nonlabor!$E$21="Core",Nonlabor!$F$21,MAX(Nonlabor!$F$21,IF(Nonlabor!$E$21="AI",Assumptions!$E$24,Assumptions!$E$25))),C3568&lt;=Nonlabor!$G$21,OR(Nonlabor!$H$21="Monthly",AND(Nonlabor!$H$21="Once",C3568=IF(Nonlabor!$E$21="Core",Nonlabor!$F$21,MAX(Nonlabor!$F$21,IF(Nonlabor!$E$21="AI",Assumptions!$E$24,Assumptions!$E$25)))),AND(Nonlabor!$H$21="Annual",MOD(C3568-IF(Nonlabor!$E$21="Core",Nonlabor!$F$21,MAX(Nonlabor!$F$21,IF(Nonlabor!$E$21="AI",Assumptions!$E$24,Assumptions!$E$25))),12)=0))),IF(Nonlabor!$I$21="Fixed",1,IF(Nonlabor!$I$21="Seats",ROUNDUP('Monthly Growth'!I28,0),IF(Nonlabor!$I$21="Customers",'Monthly Growth'!D28,IF(Nonlabor!$I$21="NewCustomers",'Monthly Growth'!C28,IF(Nonlabor!$I$21="StorageGB",'Monthly Growth'!G28,IF(Nonlabor!$I$21="LogGB",'Monthly Growth'!H28,IF(Nonlabor!$I$21="RequestsM",'Monthly Growth'!F28,IF(Nonlabor!$I$21="InputM",'Monthly Growth'!D28*Assumptions!$E$22/1000000,IF(Nonlabor!$I$21="OutputM",'Monthly Growth'!D28*Assumptions!$E$23/1000000,0))))))))),0)</f>
        <v>1</v>
      </c>
      <c r="F3568" s="10" t="n">
        <f aca="false">Nonlabor!$J$21*(1+Assumptions!$E$9)^INT((C3568-1)/12)</f>
        <v>104</v>
      </c>
      <c r="G3568" s="10" t="n">
        <f aca="false">E3568*F3568</f>
        <v>104</v>
      </c>
      <c r="H3568" s="10" t="n">
        <f aca="false">IF(OR(Nonlabor!$L$21="Quote required",Nonlabor!$L$21="Unverified"),G3568,0)</f>
        <v>0</v>
      </c>
      <c r="I3568" s="10" t="n">
        <f aca="false">IF(Nonlabor!$E$21="Core",0,G3568)</f>
        <v>0</v>
      </c>
      <c r="J3568" s="23" t="str">
        <f aca="false">Nonlabor!$B$21</f>
        <v>SUPPORT</v>
      </c>
    </row>
    <row r="3569" customFormat="false" ht="15" hidden="false" customHeight="false" outlineLevel="0" collapsed="false">
      <c r="A3569" s="6" t="s">
        <v>73</v>
      </c>
      <c r="B3569" s="6" t="s">
        <v>53</v>
      </c>
      <c r="C3569" s="6" t="n">
        <v>24</v>
      </c>
      <c r="D3569" s="25" t="n">
        <f aca="false">EDATE('Start Here'!$B$6,C3569-1)</f>
        <v>47027</v>
      </c>
      <c r="E3569" s="23" t="n">
        <f aca="false">IF(AND(OR(Nonlabor!$D$21="Both",Nonlabor!$D$21='Start Here'!$B$9),IF(Nonlabor!$E$21="Core",1,IF(Nonlabor!$E$21="AI",'Start Here'!$B$7,'Start Here'!$B$8))=1,C3569&gt;=IF(Nonlabor!$E$21="Core",Nonlabor!$F$21,MAX(Nonlabor!$F$21,IF(Nonlabor!$E$21="AI",Assumptions!$E$24,Assumptions!$E$25))),C3569&lt;=Nonlabor!$G$21,OR(Nonlabor!$H$21="Monthly",AND(Nonlabor!$H$21="Once",C3569=IF(Nonlabor!$E$21="Core",Nonlabor!$F$21,MAX(Nonlabor!$F$21,IF(Nonlabor!$E$21="AI",Assumptions!$E$24,Assumptions!$E$25)))),AND(Nonlabor!$H$21="Annual",MOD(C3569-IF(Nonlabor!$E$21="Core",Nonlabor!$F$21,MAX(Nonlabor!$F$21,IF(Nonlabor!$E$21="AI",Assumptions!$E$24,Assumptions!$E$25))),12)=0))),IF(Nonlabor!$I$21="Fixed",1,IF(Nonlabor!$I$21="Seats",ROUNDUP('Monthly Growth'!I29,0),IF(Nonlabor!$I$21="Customers",'Monthly Growth'!D29,IF(Nonlabor!$I$21="NewCustomers",'Monthly Growth'!C29,IF(Nonlabor!$I$21="StorageGB",'Monthly Growth'!G29,IF(Nonlabor!$I$21="LogGB",'Monthly Growth'!H29,IF(Nonlabor!$I$21="RequestsM",'Monthly Growth'!F29,IF(Nonlabor!$I$21="InputM",'Monthly Growth'!D29*Assumptions!$E$22/1000000,IF(Nonlabor!$I$21="OutputM",'Monthly Growth'!D29*Assumptions!$E$23/1000000,0))))))))),0)</f>
        <v>1</v>
      </c>
      <c r="F3569" s="10" t="n">
        <f aca="false">Nonlabor!$J$21*(1+Assumptions!$E$9)^INT((C3569-1)/12)</f>
        <v>104</v>
      </c>
      <c r="G3569" s="10" t="n">
        <f aca="false">E3569*F3569</f>
        <v>104</v>
      </c>
      <c r="H3569" s="10" t="n">
        <f aca="false">IF(OR(Nonlabor!$L$21="Quote required",Nonlabor!$L$21="Unverified"),G3569,0)</f>
        <v>0</v>
      </c>
      <c r="I3569" s="10" t="n">
        <f aca="false">IF(Nonlabor!$E$21="Core",0,G3569)</f>
        <v>0</v>
      </c>
      <c r="J3569" s="23" t="str">
        <f aca="false">Nonlabor!$B$21</f>
        <v>SUPPORT</v>
      </c>
    </row>
    <row r="3570" customFormat="false" ht="15" hidden="false" customHeight="false" outlineLevel="0" collapsed="false">
      <c r="A3570" s="6" t="s">
        <v>73</v>
      </c>
      <c r="B3570" s="6" t="s">
        <v>53</v>
      </c>
      <c r="C3570" s="6" t="n">
        <v>25</v>
      </c>
      <c r="D3570" s="25" t="n">
        <f aca="false">EDATE('Start Here'!$B$6,C3570-1)</f>
        <v>47058</v>
      </c>
      <c r="E3570" s="23" t="n">
        <f aca="false">IF(AND(OR(Nonlabor!$D$21="Both",Nonlabor!$D$21='Start Here'!$B$9),IF(Nonlabor!$E$21="Core",1,IF(Nonlabor!$E$21="AI",'Start Here'!$B$7,'Start Here'!$B$8))=1,C3570&gt;=IF(Nonlabor!$E$21="Core",Nonlabor!$F$21,MAX(Nonlabor!$F$21,IF(Nonlabor!$E$21="AI",Assumptions!$E$24,Assumptions!$E$25))),C3570&lt;=Nonlabor!$G$21,OR(Nonlabor!$H$21="Monthly",AND(Nonlabor!$H$21="Once",C3570=IF(Nonlabor!$E$21="Core",Nonlabor!$F$21,MAX(Nonlabor!$F$21,IF(Nonlabor!$E$21="AI",Assumptions!$E$24,Assumptions!$E$25)))),AND(Nonlabor!$H$21="Annual",MOD(C3570-IF(Nonlabor!$E$21="Core",Nonlabor!$F$21,MAX(Nonlabor!$F$21,IF(Nonlabor!$E$21="AI",Assumptions!$E$24,Assumptions!$E$25))),12)=0))),IF(Nonlabor!$I$21="Fixed",1,IF(Nonlabor!$I$21="Seats",ROUNDUP('Monthly Growth'!I30,0),IF(Nonlabor!$I$21="Customers",'Monthly Growth'!D30,IF(Nonlabor!$I$21="NewCustomers",'Monthly Growth'!C30,IF(Nonlabor!$I$21="StorageGB",'Monthly Growth'!G30,IF(Nonlabor!$I$21="LogGB",'Monthly Growth'!H30,IF(Nonlabor!$I$21="RequestsM",'Monthly Growth'!F30,IF(Nonlabor!$I$21="InputM",'Monthly Growth'!D30*Assumptions!$E$22/1000000,IF(Nonlabor!$I$21="OutputM",'Monthly Growth'!D30*Assumptions!$E$23/1000000,0))))))))),0)</f>
        <v>1</v>
      </c>
      <c r="F3570" s="10" t="n">
        <f aca="false">Nonlabor!$J$21*(1+Assumptions!$E$9)^INT((C3570-1)/12)</f>
        <v>108.16</v>
      </c>
      <c r="G3570" s="10" t="n">
        <f aca="false">E3570*F3570</f>
        <v>108.16</v>
      </c>
      <c r="H3570" s="10" t="n">
        <f aca="false">IF(OR(Nonlabor!$L$21="Quote required",Nonlabor!$L$21="Unverified"),G3570,0)</f>
        <v>0</v>
      </c>
      <c r="I3570" s="10" t="n">
        <f aca="false">IF(Nonlabor!$E$21="Core",0,G3570)</f>
        <v>0</v>
      </c>
      <c r="J3570" s="23" t="str">
        <f aca="false">Nonlabor!$B$21</f>
        <v>SUPPORT</v>
      </c>
    </row>
    <row r="3571" customFormat="false" ht="15" hidden="false" customHeight="false" outlineLevel="0" collapsed="false">
      <c r="A3571" s="6" t="s">
        <v>73</v>
      </c>
      <c r="B3571" s="6" t="s">
        <v>53</v>
      </c>
      <c r="C3571" s="6" t="n">
        <v>26</v>
      </c>
      <c r="D3571" s="25" t="n">
        <f aca="false">EDATE('Start Here'!$B$6,C3571-1)</f>
        <v>47088</v>
      </c>
      <c r="E3571" s="23" t="n">
        <f aca="false">IF(AND(OR(Nonlabor!$D$21="Both",Nonlabor!$D$21='Start Here'!$B$9),IF(Nonlabor!$E$21="Core",1,IF(Nonlabor!$E$21="AI",'Start Here'!$B$7,'Start Here'!$B$8))=1,C3571&gt;=IF(Nonlabor!$E$21="Core",Nonlabor!$F$21,MAX(Nonlabor!$F$21,IF(Nonlabor!$E$21="AI",Assumptions!$E$24,Assumptions!$E$25))),C3571&lt;=Nonlabor!$G$21,OR(Nonlabor!$H$21="Monthly",AND(Nonlabor!$H$21="Once",C3571=IF(Nonlabor!$E$21="Core",Nonlabor!$F$21,MAX(Nonlabor!$F$21,IF(Nonlabor!$E$21="AI",Assumptions!$E$24,Assumptions!$E$25)))),AND(Nonlabor!$H$21="Annual",MOD(C3571-IF(Nonlabor!$E$21="Core",Nonlabor!$F$21,MAX(Nonlabor!$F$21,IF(Nonlabor!$E$21="AI",Assumptions!$E$24,Assumptions!$E$25))),12)=0))),IF(Nonlabor!$I$21="Fixed",1,IF(Nonlabor!$I$21="Seats",ROUNDUP('Monthly Growth'!I31,0),IF(Nonlabor!$I$21="Customers",'Monthly Growth'!D31,IF(Nonlabor!$I$21="NewCustomers",'Monthly Growth'!C31,IF(Nonlabor!$I$21="StorageGB",'Monthly Growth'!G31,IF(Nonlabor!$I$21="LogGB",'Monthly Growth'!H31,IF(Nonlabor!$I$21="RequestsM",'Monthly Growth'!F31,IF(Nonlabor!$I$21="InputM",'Monthly Growth'!D31*Assumptions!$E$22/1000000,IF(Nonlabor!$I$21="OutputM",'Monthly Growth'!D31*Assumptions!$E$23/1000000,0))))))))),0)</f>
        <v>1</v>
      </c>
      <c r="F3571" s="10" t="n">
        <f aca="false">Nonlabor!$J$21*(1+Assumptions!$E$9)^INT((C3571-1)/12)</f>
        <v>108.16</v>
      </c>
      <c r="G3571" s="10" t="n">
        <f aca="false">E3571*F3571</f>
        <v>108.16</v>
      </c>
      <c r="H3571" s="10" t="n">
        <f aca="false">IF(OR(Nonlabor!$L$21="Quote required",Nonlabor!$L$21="Unverified"),G3571,0)</f>
        <v>0</v>
      </c>
      <c r="I3571" s="10" t="n">
        <f aca="false">IF(Nonlabor!$E$21="Core",0,G3571)</f>
        <v>0</v>
      </c>
      <c r="J3571" s="23" t="str">
        <f aca="false">Nonlabor!$B$21</f>
        <v>SUPPORT</v>
      </c>
    </row>
    <row r="3572" customFormat="false" ht="15" hidden="false" customHeight="false" outlineLevel="0" collapsed="false">
      <c r="A3572" s="6" t="s">
        <v>73</v>
      </c>
      <c r="B3572" s="6" t="s">
        <v>53</v>
      </c>
      <c r="C3572" s="6" t="n">
        <v>27</v>
      </c>
      <c r="D3572" s="25" t="n">
        <f aca="false">EDATE('Start Here'!$B$6,C3572-1)</f>
        <v>47119</v>
      </c>
      <c r="E3572" s="23" t="n">
        <f aca="false">IF(AND(OR(Nonlabor!$D$21="Both",Nonlabor!$D$21='Start Here'!$B$9),IF(Nonlabor!$E$21="Core",1,IF(Nonlabor!$E$21="AI",'Start Here'!$B$7,'Start Here'!$B$8))=1,C3572&gt;=IF(Nonlabor!$E$21="Core",Nonlabor!$F$21,MAX(Nonlabor!$F$21,IF(Nonlabor!$E$21="AI",Assumptions!$E$24,Assumptions!$E$25))),C3572&lt;=Nonlabor!$G$21,OR(Nonlabor!$H$21="Monthly",AND(Nonlabor!$H$21="Once",C3572=IF(Nonlabor!$E$21="Core",Nonlabor!$F$21,MAX(Nonlabor!$F$21,IF(Nonlabor!$E$21="AI",Assumptions!$E$24,Assumptions!$E$25)))),AND(Nonlabor!$H$21="Annual",MOD(C3572-IF(Nonlabor!$E$21="Core",Nonlabor!$F$21,MAX(Nonlabor!$F$21,IF(Nonlabor!$E$21="AI",Assumptions!$E$24,Assumptions!$E$25))),12)=0))),IF(Nonlabor!$I$21="Fixed",1,IF(Nonlabor!$I$21="Seats",ROUNDUP('Monthly Growth'!I32,0),IF(Nonlabor!$I$21="Customers",'Monthly Growth'!D32,IF(Nonlabor!$I$21="NewCustomers",'Monthly Growth'!C32,IF(Nonlabor!$I$21="StorageGB",'Monthly Growth'!G32,IF(Nonlabor!$I$21="LogGB",'Monthly Growth'!H32,IF(Nonlabor!$I$21="RequestsM",'Monthly Growth'!F32,IF(Nonlabor!$I$21="InputM",'Monthly Growth'!D32*Assumptions!$E$22/1000000,IF(Nonlabor!$I$21="OutputM",'Monthly Growth'!D32*Assumptions!$E$23/1000000,0))))))))),0)</f>
        <v>1</v>
      </c>
      <c r="F3572" s="10" t="n">
        <f aca="false">Nonlabor!$J$21*(1+Assumptions!$E$9)^INT((C3572-1)/12)</f>
        <v>108.16</v>
      </c>
      <c r="G3572" s="10" t="n">
        <f aca="false">E3572*F3572</f>
        <v>108.16</v>
      </c>
      <c r="H3572" s="10" t="n">
        <f aca="false">IF(OR(Nonlabor!$L$21="Quote required",Nonlabor!$L$21="Unverified"),G3572,0)</f>
        <v>0</v>
      </c>
      <c r="I3572" s="10" t="n">
        <f aca="false">IF(Nonlabor!$E$21="Core",0,G3572)</f>
        <v>0</v>
      </c>
      <c r="J3572" s="23" t="str">
        <f aca="false">Nonlabor!$B$21</f>
        <v>SUPPORT</v>
      </c>
    </row>
    <row r="3573" customFormat="false" ht="15" hidden="false" customHeight="false" outlineLevel="0" collapsed="false">
      <c r="A3573" s="6" t="s">
        <v>73</v>
      </c>
      <c r="B3573" s="6" t="s">
        <v>53</v>
      </c>
      <c r="C3573" s="6" t="n">
        <v>28</v>
      </c>
      <c r="D3573" s="25" t="n">
        <f aca="false">EDATE('Start Here'!$B$6,C3573-1)</f>
        <v>47150</v>
      </c>
      <c r="E3573" s="23" t="n">
        <f aca="false">IF(AND(OR(Nonlabor!$D$21="Both",Nonlabor!$D$21='Start Here'!$B$9),IF(Nonlabor!$E$21="Core",1,IF(Nonlabor!$E$21="AI",'Start Here'!$B$7,'Start Here'!$B$8))=1,C3573&gt;=IF(Nonlabor!$E$21="Core",Nonlabor!$F$21,MAX(Nonlabor!$F$21,IF(Nonlabor!$E$21="AI",Assumptions!$E$24,Assumptions!$E$25))),C3573&lt;=Nonlabor!$G$21,OR(Nonlabor!$H$21="Monthly",AND(Nonlabor!$H$21="Once",C3573=IF(Nonlabor!$E$21="Core",Nonlabor!$F$21,MAX(Nonlabor!$F$21,IF(Nonlabor!$E$21="AI",Assumptions!$E$24,Assumptions!$E$25)))),AND(Nonlabor!$H$21="Annual",MOD(C3573-IF(Nonlabor!$E$21="Core",Nonlabor!$F$21,MAX(Nonlabor!$F$21,IF(Nonlabor!$E$21="AI",Assumptions!$E$24,Assumptions!$E$25))),12)=0))),IF(Nonlabor!$I$21="Fixed",1,IF(Nonlabor!$I$21="Seats",ROUNDUP('Monthly Growth'!I33,0),IF(Nonlabor!$I$21="Customers",'Monthly Growth'!D33,IF(Nonlabor!$I$21="NewCustomers",'Monthly Growth'!C33,IF(Nonlabor!$I$21="StorageGB",'Monthly Growth'!G33,IF(Nonlabor!$I$21="LogGB",'Monthly Growth'!H33,IF(Nonlabor!$I$21="RequestsM",'Monthly Growth'!F33,IF(Nonlabor!$I$21="InputM",'Monthly Growth'!D33*Assumptions!$E$22/1000000,IF(Nonlabor!$I$21="OutputM",'Monthly Growth'!D33*Assumptions!$E$23/1000000,0))))))))),0)</f>
        <v>1</v>
      </c>
      <c r="F3573" s="10" t="n">
        <f aca="false">Nonlabor!$J$21*(1+Assumptions!$E$9)^INT((C3573-1)/12)</f>
        <v>108.16</v>
      </c>
      <c r="G3573" s="10" t="n">
        <f aca="false">E3573*F3573</f>
        <v>108.16</v>
      </c>
      <c r="H3573" s="10" t="n">
        <f aca="false">IF(OR(Nonlabor!$L$21="Quote required",Nonlabor!$L$21="Unverified"),G3573,0)</f>
        <v>0</v>
      </c>
      <c r="I3573" s="10" t="n">
        <f aca="false">IF(Nonlabor!$E$21="Core",0,G3573)</f>
        <v>0</v>
      </c>
      <c r="J3573" s="23" t="str">
        <f aca="false">Nonlabor!$B$21</f>
        <v>SUPPORT</v>
      </c>
    </row>
    <row r="3574" customFormat="false" ht="15" hidden="false" customHeight="false" outlineLevel="0" collapsed="false">
      <c r="A3574" s="6" t="s">
        <v>73</v>
      </c>
      <c r="B3574" s="6" t="s">
        <v>53</v>
      </c>
      <c r="C3574" s="6" t="n">
        <v>29</v>
      </c>
      <c r="D3574" s="25" t="n">
        <f aca="false">EDATE('Start Here'!$B$6,C3574-1)</f>
        <v>47178</v>
      </c>
      <c r="E3574" s="23" t="n">
        <f aca="false">IF(AND(OR(Nonlabor!$D$21="Both",Nonlabor!$D$21='Start Here'!$B$9),IF(Nonlabor!$E$21="Core",1,IF(Nonlabor!$E$21="AI",'Start Here'!$B$7,'Start Here'!$B$8))=1,C3574&gt;=IF(Nonlabor!$E$21="Core",Nonlabor!$F$21,MAX(Nonlabor!$F$21,IF(Nonlabor!$E$21="AI",Assumptions!$E$24,Assumptions!$E$25))),C3574&lt;=Nonlabor!$G$21,OR(Nonlabor!$H$21="Monthly",AND(Nonlabor!$H$21="Once",C3574=IF(Nonlabor!$E$21="Core",Nonlabor!$F$21,MAX(Nonlabor!$F$21,IF(Nonlabor!$E$21="AI",Assumptions!$E$24,Assumptions!$E$25)))),AND(Nonlabor!$H$21="Annual",MOD(C3574-IF(Nonlabor!$E$21="Core",Nonlabor!$F$21,MAX(Nonlabor!$F$21,IF(Nonlabor!$E$21="AI",Assumptions!$E$24,Assumptions!$E$25))),12)=0))),IF(Nonlabor!$I$21="Fixed",1,IF(Nonlabor!$I$21="Seats",ROUNDUP('Monthly Growth'!I34,0),IF(Nonlabor!$I$21="Customers",'Monthly Growth'!D34,IF(Nonlabor!$I$21="NewCustomers",'Monthly Growth'!C34,IF(Nonlabor!$I$21="StorageGB",'Monthly Growth'!G34,IF(Nonlabor!$I$21="LogGB",'Monthly Growth'!H34,IF(Nonlabor!$I$21="RequestsM",'Monthly Growth'!F34,IF(Nonlabor!$I$21="InputM",'Monthly Growth'!D34*Assumptions!$E$22/1000000,IF(Nonlabor!$I$21="OutputM",'Monthly Growth'!D34*Assumptions!$E$23/1000000,0))))))))),0)</f>
        <v>1</v>
      </c>
      <c r="F3574" s="10" t="n">
        <f aca="false">Nonlabor!$J$21*(1+Assumptions!$E$9)^INT((C3574-1)/12)</f>
        <v>108.16</v>
      </c>
      <c r="G3574" s="10" t="n">
        <f aca="false">E3574*F3574</f>
        <v>108.16</v>
      </c>
      <c r="H3574" s="10" t="n">
        <f aca="false">IF(OR(Nonlabor!$L$21="Quote required",Nonlabor!$L$21="Unverified"),G3574,0)</f>
        <v>0</v>
      </c>
      <c r="I3574" s="10" t="n">
        <f aca="false">IF(Nonlabor!$E$21="Core",0,G3574)</f>
        <v>0</v>
      </c>
      <c r="J3574" s="23" t="str">
        <f aca="false">Nonlabor!$B$21</f>
        <v>SUPPORT</v>
      </c>
    </row>
    <row r="3575" customFormat="false" ht="15" hidden="false" customHeight="false" outlineLevel="0" collapsed="false">
      <c r="A3575" s="6" t="s">
        <v>73</v>
      </c>
      <c r="B3575" s="6" t="s">
        <v>53</v>
      </c>
      <c r="C3575" s="6" t="n">
        <v>30</v>
      </c>
      <c r="D3575" s="25" t="n">
        <f aca="false">EDATE('Start Here'!$B$6,C3575-1)</f>
        <v>47209</v>
      </c>
      <c r="E3575" s="23" t="n">
        <f aca="false">IF(AND(OR(Nonlabor!$D$21="Both",Nonlabor!$D$21='Start Here'!$B$9),IF(Nonlabor!$E$21="Core",1,IF(Nonlabor!$E$21="AI",'Start Here'!$B$7,'Start Here'!$B$8))=1,C3575&gt;=IF(Nonlabor!$E$21="Core",Nonlabor!$F$21,MAX(Nonlabor!$F$21,IF(Nonlabor!$E$21="AI",Assumptions!$E$24,Assumptions!$E$25))),C3575&lt;=Nonlabor!$G$21,OR(Nonlabor!$H$21="Monthly",AND(Nonlabor!$H$21="Once",C3575=IF(Nonlabor!$E$21="Core",Nonlabor!$F$21,MAX(Nonlabor!$F$21,IF(Nonlabor!$E$21="AI",Assumptions!$E$24,Assumptions!$E$25)))),AND(Nonlabor!$H$21="Annual",MOD(C3575-IF(Nonlabor!$E$21="Core",Nonlabor!$F$21,MAX(Nonlabor!$F$21,IF(Nonlabor!$E$21="AI",Assumptions!$E$24,Assumptions!$E$25))),12)=0))),IF(Nonlabor!$I$21="Fixed",1,IF(Nonlabor!$I$21="Seats",ROUNDUP('Monthly Growth'!I35,0),IF(Nonlabor!$I$21="Customers",'Monthly Growth'!D35,IF(Nonlabor!$I$21="NewCustomers",'Monthly Growth'!C35,IF(Nonlabor!$I$21="StorageGB",'Monthly Growth'!G35,IF(Nonlabor!$I$21="LogGB",'Monthly Growth'!H35,IF(Nonlabor!$I$21="RequestsM",'Monthly Growth'!F35,IF(Nonlabor!$I$21="InputM",'Monthly Growth'!D35*Assumptions!$E$22/1000000,IF(Nonlabor!$I$21="OutputM",'Monthly Growth'!D35*Assumptions!$E$23/1000000,0))))))))),0)</f>
        <v>1</v>
      </c>
      <c r="F3575" s="10" t="n">
        <f aca="false">Nonlabor!$J$21*(1+Assumptions!$E$9)^INT((C3575-1)/12)</f>
        <v>108.16</v>
      </c>
      <c r="G3575" s="10" t="n">
        <f aca="false">E3575*F3575</f>
        <v>108.16</v>
      </c>
      <c r="H3575" s="10" t="n">
        <f aca="false">IF(OR(Nonlabor!$L$21="Quote required",Nonlabor!$L$21="Unverified"),G3575,0)</f>
        <v>0</v>
      </c>
      <c r="I3575" s="10" t="n">
        <f aca="false">IF(Nonlabor!$E$21="Core",0,G3575)</f>
        <v>0</v>
      </c>
      <c r="J3575" s="23" t="str">
        <f aca="false">Nonlabor!$B$21</f>
        <v>SUPPORT</v>
      </c>
    </row>
    <row r="3576" customFormat="false" ht="15" hidden="false" customHeight="false" outlineLevel="0" collapsed="false">
      <c r="A3576" s="6" t="s">
        <v>73</v>
      </c>
      <c r="B3576" s="6" t="s">
        <v>53</v>
      </c>
      <c r="C3576" s="6" t="n">
        <v>31</v>
      </c>
      <c r="D3576" s="25" t="n">
        <f aca="false">EDATE('Start Here'!$B$6,C3576-1)</f>
        <v>47239</v>
      </c>
      <c r="E3576" s="23" t="n">
        <f aca="false">IF(AND(OR(Nonlabor!$D$21="Both",Nonlabor!$D$21='Start Here'!$B$9),IF(Nonlabor!$E$21="Core",1,IF(Nonlabor!$E$21="AI",'Start Here'!$B$7,'Start Here'!$B$8))=1,C3576&gt;=IF(Nonlabor!$E$21="Core",Nonlabor!$F$21,MAX(Nonlabor!$F$21,IF(Nonlabor!$E$21="AI",Assumptions!$E$24,Assumptions!$E$25))),C3576&lt;=Nonlabor!$G$21,OR(Nonlabor!$H$21="Monthly",AND(Nonlabor!$H$21="Once",C3576=IF(Nonlabor!$E$21="Core",Nonlabor!$F$21,MAX(Nonlabor!$F$21,IF(Nonlabor!$E$21="AI",Assumptions!$E$24,Assumptions!$E$25)))),AND(Nonlabor!$H$21="Annual",MOD(C3576-IF(Nonlabor!$E$21="Core",Nonlabor!$F$21,MAX(Nonlabor!$F$21,IF(Nonlabor!$E$21="AI",Assumptions!$E$24,Assumptions!$E$25))),12)=0))),IF(Nonlabor!$I$21="Fixed",1,IF(Nonlabor!$I$21="Seats",ROUNDUP('Monthly Growth'!I36,0),IF(Nonlabor!$I$21="Customers",'Monthly Growth'!D36,IF(Nonlabor!$I$21="NewCustomers",'Monthly Growth'!C36,IF(Nonlabor!$I$21="StorageGB",'Monthly Growth'!G36,IF(Nonlabor!$I$21="LogGB",'Monthly Growth'!H36,IF(Nonlabor!$I$21="RequestsM",'Monthly Growth'!F36,IF(Nonlabor!$I$21="InputM",'Monthly Growth'!D36*Assumptions!$E$22/1000000,IF(Nonlabor!$I$21="OutputM",'Monthly Growth'!D36*Assumptions!$E$23/1000000,0))))))))),0)</f>
        <v>1</v>
      </c>
      <c r="F3576" s="10" t="n">
        <f aca="false">Nonlabor!$J$21*(1+Assumptions!$E$9)^INT((C3576-1)/12)</f>
        <v>108.16</v>
      </c>
      <c r="G3576" s="10" t="n">
        <f aca="false">E3576*F3576</f>
        <v>108.16</v>
      </c>
      <c r="H3576" s="10" t="n">
        <f aca="false">IF(OR(Nonlabor!$L$21="Quote required",Nonlabor!$L$21="Unverified"),G3576,0)</f>
        <v>0</v>
      </c>
      <c r="I3576" s="10" t="n">
        <f aca="false">IF(Nonlabor!$E$21="Core",0,G3576)</f>
        <v>0</v>
      </c>
      <c r="J3576" s="23" t="str">
        <f aca="false">Nonlabor!$B$21</f>
        <v>SUPPORT</v>
      </c>
    </row>
    <row r="3577" customFormat="false" ht="15" hidden="false" customHeight="false" outlineLevel="0" collapsed="false">
      <c r="A3577" s="6" t="s">
        <v>73</v>
      </c>
      <c r="B3577" s="6" t="s">
        <v>53</v>
      </c>
      <c r="C3577" s="6" t="n">
        <v>32</v>
      </c>
      <c r="D3577" s="25" t="n">
        <f aca="false">EDATE('Start Here'!$B$6,C3577-1)</f>
        <v>47270</v>
      </c>
      <c r="E3577" s="23" t="n">
        <f aca="false">IF(AND(OR(Nonlabor!$D$21="Both",Nonlabor!$D$21='Start Here'!$B$9),IF(Nonlabor!$E$21="Core",1,IF(Nonlabor!$E$21="AI",'Start Here'!$B$7,'Start Here'!$B$8))=1,C3577&gt;=IF(Nonlabor!$E$21="Core",Nonlabor!$F$21,MAX(Nonlabor!$F$21,IF(Nonlabor!$E$21="AI",Assumptions!$E$24,Assumptions!$E$25))),C3577&lt;=Nonlabor!$G$21,OR(Nonlabor!$H$21="Monthly",AND(Nonlabor!$H$21="Once",C3577=IF(Nonlabor!$E$21="Core",Nonlabor!$F$21,MAX(Nonlabor!$F$21,IF(Nonlabor!$E$21="AI",Assumptions!$E$24,Assumptions!$E$25)))),AND(Nonlabor!$H$21="Annual",MOD(C3577-IF(Nonlabor!$E$21="Core",Nonlabor!$F$21,MAX(Nonlabor!$F$21,IF(Nonlabor!$E$21="AI",Assumptions!$E$24,Assumptions!$E$25))),12)=0))),IF(Nonlabor!$I$21="Fixed",1,IF(Nonlabor!$I$21="Seats",ROUNDUP('Monthly Growth'!I37,0),IF(Nonlabor!$I$21="Customers",'Monthly Growth'!D37,IF(Nonlabor!$I$21="NewCustomers",'Monthly Growth'!C37,IF(Nonlabor!$I$21="StorageGB",'Monthly Growth'!G37,IF(Nonlabor!$I$21="LogGB",'Monthly Growth'!H37,IF(Nonlabor!$I$21="RequestsM",'Monthly Growth'!F37,IF(Nonlabor!$I$21="InputM",'Monthly Growth'!D37*Assumptions!$E$22/1000000,IF(Nonlabor!$I$21="OutputM",'Monthly Growth'!D37*Assumptions!$E$23/1000000,0))))))))),0)</f>
        <v>1</v>
      </c>
      <c r="F3577" s="10" t="n">
        <f aca="false">Nonlabor!$J$21*(1+Assumptions!$E$9)^INT((C3577-1)/12)</f>
        <v>108.16</v>
      </c>
      <c r="G3577" s="10" t="n">
        <f aca="false">E3577*F3577</f>
        <v>108.16</v>
      </c>
      <c r="H3577" s="10" t="n">
        <f aca="false">IF(OR(Nonlabor!$L$21="Quote required",Nonlabor!$L$21="Unverified"),G3577,0)</f>
        <v>0</v>
      </c>
      <c r="I3577" s="10" t="n">
        <f aca="false">IF(Nonlabor!$E$21="Core",0,G3577)</f>
        <v>0</v>
      </c>
      <c r="J3577" s="23" t="str">
        <f aca="false">Nonlabor!$B$21</f>
        <v>SUPPORT</v>
      </c>
    </row>
    <row r="3578" customFormat="false" ht="15" hidden="false" customHeight="false" outlineLevel="0" collapsed="false">
      <c r="A3578" s="6" t="s">
        <v>73</v>
      </c>
      <c r="B3578" s="6" t="s">
        <v>53</v>
      </c>
      <c r="C3578" s="6" t="n">
        <v>33</v>
      </c>
      <c r="D3578" s="25" t="n">
        <f aca="false">EDATE('Start Here'!$B$6,C3578-1)</f>
        <v>47300</v>
      </c>
      <c r="E3578" s="23" t="n">
        <f aca="false">IF(AND(OR(Nonlabor!$D$21="Both",Nonlabor!$D$21='Start Here'!$B$9),IF(Nonlabor!$E$21="Core",1,IF(Nonlabor!$E$21="AI",'Start Here'!$B$7,'Start Here'!$B$8))=1,C3578&gt;=IF(Nonlabor!$E$21="Core",Nonlabor!$F$21,MAX(Nonlabor!$F$21,IF(Nonlabor!$E$21="AI",Assumptions!$E$24,Assumptions!$E$25))),C3578&lt;=Nonlabor!$G$21,OR(Nonlabor!$H$21="Monthly",AND(Nonlabor!$H$21="Once",C3578=IF(Nonlabor!$E$21="Core",Nonlabor!$F$21,MAX(Nonlabor!$F$21,IF(Nonlabor!$E$21="AI",Assumptions!$E$24,Assumptions!$E$25)))),AND(Nonlabor!$H$21="Annual",MOD(C3578-IF(Nonlabor!$E$21="Core",Nonlabor!$F$21,MAX(Nonlabor!$F$21,IF(Nonlabor!$E$21="AI",Assumptions!$E$24,Assumptions!$E$25))),12)=0))),IF(Nonlabor!$I$21="Fixed",1,IF(Nonlabor!$I$21="Seats",ROUNDUP('Monthly Growth'!I38,0),IF(Nonlabor!$I$21="Customers",'Monthly Growth'!D38,IF(Nonlabor!$I$21="NewCustomers",'Monthly Growth'!C38,IF(Nonlabor!$I$21="StorageGB",'Monthly Growth'!G38,IF(Nonlabor!$I$21="LogGB",'Monthly Growth'!H38,IF(Nonlabor!$I$21="RequestsM",'Monthly Growth'!F38,IF(Nonlabor!$I$21="InputM",'Monthly Growth'!D38*Assumptions!$E$22/1000000,IF(Nonlabor!$I$21="OutputM",'Monthly Growth'!D38*Assumptions!$E$23/1000000,0))))))))),0)</f>
        <v>1</v>
      </c>
      <c r="F3578" s="10" t="n">
        <f aca="false">Nonlabor!$J$21*(1+Assumptions!$E$9)^INT((C3578-1)/12)</f>
        <v>108.16</v>
      </c>
      <c r="G3578" s="10" t="n">
        <f aca="false">E3578*F3578</f>
        <v>108.16</v>
      </c>
      <c r="H3578" s="10" t="n">
        <f aca="false">IF(OR(Nonlabor!$L$21="Quote required",Nonlabor!$L$21="Unverified"),G3578,0)</f>
        <v>0</v>
      </c>
      <c r="I3578" s="10" t="n">
        <f aca="false">IF(Nonlabor!$E$21="Core",0,G3578)</f>
        <v>0</v>
      </c>
      <c r="J3578" s="23" t="str">
        <f aca="false">Nonlabor!$B$21</f>
        <v>SUPPORT</v>
      </c>
    </row>
    <row r="3579" customFormat="false" ht="15" hidden="false" customHeight="false" outlineLevel="0" collapsed="false">
      <c r="A3579" s="6" t="s">
        <v>73</v>
      </c>
      <c r="B3579" s="6" t="s">
        <v>53</v>
      </c>
      <c r="C3579" s="6" t="n">
        <v>34</v>
      </c>
      <c r="D3579" s="25" t="n">
        <f aca="false">EDATE('Start Here'!$B$6,C3579-1)</f>
        <v>47331</v>
      </c>
      <c r="E3579" s="23" t="n">
        <f aca="false">IF(AND(OR(Nonlabor!$D$21="Both",Nonlabor!$D$21='Start Here'!$B$9),IF(Nonlabor!$E$21="Core",1,IF(Nonlabor!$E$21="AI",'Start Here'!$B$7,'Start Here'!$B$8))=1,C3579&gt;=IF(Nonlabor!$E$21="Core",Nonlabor!$F$21,MAX(Nonlabor!$F$21,IF(Nonlabor!$E$21="AI",Assumptions!$E$24,Assumptions!$E$25))),C3579&lt;=Nonlabor!$G$21,OR(Nonlabor!$H$21="Monthly",AND(Nonlabor!$H$21="Once",C3579=IF(Nonlabor!$E$21="Core",Nonlabor!$F$21,MAX(Nonlabor!$F$21,IF(Nonlabor!$E$21="AI",Assumptions!$E$24,Assumptions!$E$25)))),AND(Nonlabor!$H$21="Annual",MOD(C3579-IF(Nonlabor!$E$21="Core",Nonlabor!$F$21,MAX(Nonlabor!$F$21,IF(Nonlabor!$E$21="AI",Assumptions!$E$24,Assumptions!$E$25))),12)=0))),IF(Nonlabor!$I$21="Fixed",1,IF(Nonlabor!$I$21="Seats",ROUNDUP('Monthly Growth'!I39,0),IF(Nonlabor!$I$21="Customers",'Monthly Growth'!D39,IF(Nonlabor!$I$21="NewCustomers",'Monthly Growth'!C39,IF(Nonlabor!$I$21="StorageGB",'Monthly Growth'!G39,IF(Nonlabor!$I$21="LogGB",'Monthly Growth'!H39,IF(Nonlabor!$I$21="RequestsM",'Monthly Growth'!F39,IF(Nonlabor!$I$21="InputM",'Monthly Growth'!D39*Assumptions!$E$22/1000000,IF(Nonlabor!$I$21="OutputM",'Monthly Growth'!D39*Assumptions!$E$23/1000000,0))))))))),0)</f>
        <v>1</v>
      </c>
      <c r="F3579" s="10" t="n">
        <f aca="false">Nonlabor!$J$21*(1+Assumptions!$E$9)^INT((C3579-1)/12)</f>
        <v>108.16</v>
      </c>
      <c r="G3579" s="10" t="n">
        <f aca="false">E3579*F3579</f>
        <v>108.16</v>
      </c>
      <c r="H3579" s="10" t="n">
        <f aca="false">IF(OR(Nonlabor!$L$21="Quote required",Nonlabor!$L$21="Unverified"),G3579,0)</f>
        <v>0</v>
      </c>
      <c r="I3579" s="10" t="n">
        <f aca="false">IF(Nonlabor!$E$21="Core",0,G3579)</f>
        <v>0</v>
      </c>
      <c r="J3579" s="23" t="str">
        <f aca="false">Nonlabor!$B$21</f>
        <v>SUPPORT</v>
      </c>
    </row>
    <row r="3580" customFormat="false" ht="15" hidden="false" customHeight="false" outlineLevel="0" collapsed="false">
      <c r="A3580" s="6" t="s">
        <v>73</v>
      </c>
      <c r="B3580" s="6" t="s">
        <v>53</v>
      </c>
      <c r="C3580" s="6" t="n">
        <v>35</v>
      </c>
      <c r="D3580" s="25" t="n">
        <f aca="false">EDATE('Start Here'!$B$6,C3580-1)</f>
        <v>47362</v>
      </c>
      <c r="E3580" s="23" t="n">
        <f aca="false">IF(AND(OR(Nonlabor!$D$21="Both",Nonlabor!$D$21='Start Here'!$B$9),IF(Nonlabor!$E$21="Core",1,IF(Nonlabor!$E$21="AI",'Start Here'!$B$7,'Start Here'!$B$8))=1,C3580&gt;=IF(Nonlabor!$E$21="Core",Nonlabor!$F$21,MAX(Nonlabor!$F$21,IF(Nonlabor!$E$21="AI",Assumptions!$E$24,Assumptions!$E$25))),C3580&lt;=Nonlabor!$G$21,OR(Nonlabor!$H$21="Monthly",AND(Nonlabor!$H$21="Once",C3580=IF(Nonlabor!$E$21="Core",Nonlabor!$F$21,MAX(Nonlabor!$F$21,IF(Nonlabor!$E$21="AI",Assumptions!$E$24,Assumptions!$E$25)))),AND(Nonlabor!$H$21="Annual",MOD(C3580-IF(Nonlabor!$E$21="Core",Nonlabor!$F$21,MAX(Nonlabor!$F$21,IF(Nonlabor!$E$21="AI",Assumptions!$E$24,Assumptions!$E$25))),12)=0))),IF(Nonlabor!$I$21="Fixed",1,IF(Nonlabor!$I$21="Seats",ROUNDUP('Monthly Growth'!I40,0),IF(Nonlabor!$I$21="Customers",'Monthly Growth'!D40,IF(Nonlabor!$I$21="NewCustomers",'Monthly Growth'!C40,IF(Nonlabor!$I$21="StorageGB",'Monthly Growth'!G40,IF(Nonlabor!$I$21="LogGB",'Monthly Growth'!H40,IF(Nonlabor!$I$21="RequestsM",'Monthly Growth'!F40,IF(Nonlabor!$I$21="InputM",'Monthly Growth'!D40*Assumptions!$E$22/1000000,IF(Nonlabor!$I$21="OutputM",'Monthly Growth'!D40*Assumptions!$E$23/1000000,0))))))))),0)</f>
        <v>1</v>
      </c>
      <c r="F3580" s="10" t="n">
        <f aca="false">Nonlabor!$J$21*(1+Assumptions!$E$9)^INT((C3580-1)/12)</f>
        <v>108.16</v>
      </c>
      <c r="G3580" s="10" t="n">
        <f aca="false">E3580*F3580</f>
        <v>108.16</v>
      </c>
      <c r="H3580" s="10" t="n">
        <f aca="false">IF(OR(Nonlabor!$L$21="Quote required",Nonlabor!$L$21="Unverified"),G3580,0)</f>
        <v>0</v>
      </c>
      <c r="I3580" s="10" t="n">
        <f aca="false">IF(Nonlabor!$E$21="Core",0,G3580)</f>
        <v>0</v>
      </c>
      <c r="J3580" s="23" t="str">
        <f aca="false">Nonlabor!$B$21</f>
        <v>SUPPORT</v>
      </c>
    </row>
    <row r="3581" customFormat="false" ht="15" hidden="false" customHeight="false" outlineLevel="0" collapsed="false">
      <c r="A3581" s="6" t="s">
        <v>73</v>
      </c>
      <c r="B3581" s="6" t="s">
        <v>53</v>
      </c>
      <c r="C3581" s="6" t="n">
        <v>36</v>
      </c>
      <c r="D3581" s="25" t="n">
        <f aca="false">EDATE('Start Here'!$B$6,C3581-1)</f>
        <v>47392</v>
      </c>
      <c r="E3581" s="23" t="n">
        <f aca="false">IF(AND(OR(Nonlabor!$D$21="Both",Nonlabor!$D$21='Start Here'!$B$9),IF(Nonlabor!$E$21="Core",1,IF(Nonlabor!$E$21="AI",'Start Here'!$B$7,'Start Here'!$B$8))=1,C3581&gt;=IF(Nonlabor!$E$21="Core",Nonlabor!$F$21,MAX(Nonlabor!$F$21,IF(Nonlabor!$E$21="AI",Assumptions!$E$24,Assumptions!$E$25))),C3581&lt;=Nonlabor!$G$21,OR(Nonlabor!$H$21="Monthly",AND(Nonlabor!$H$21="Once",C3581=IF(Nonlabor!$E$21="Core",Nonlabor!$F$21,MAX(Nonlabor!$F$21,IF(Nonlabor!$E$21="AI",Assumptions!$E$24,Assumptions!$E$25)))),AND(Nonlabor!$H$21="Annual",MOD(C3581-IF(Nonlabor!$E$21="Core",Nonlabor!$F$21,MAX(Nonlabor!$F$21,IF(Nonlabor!$E$21="AI",Assumptions!$E$24,Assumptions!$E$25))),12)=0))),IF(Nonlabor!$I$21="Fixed",1,IF(Nonlabor!$I$21="Seats",ROUNDUP('Monthly Growth'!I41,0),IF(Nonlabor!$I$21="Customers",'Monthly Growth'!D41,IF(Nonlabor!$I$21="NewCustomers",'Monthly Growth'!C41,IF(Nonlabor!$I$21="StorageGB",'Monthly Growth'!G41,IF(Nonlabor!$I$21="LogGB",'Monthly Growth'!H41,IF(Nonlabor!$I$21="RequestsM",'Monthly Growth'!F41,IF(Nonlabor!$I$21="InputM",'Monthly Growth'!D41*Assumptions!$E$22/1000000,IF(Nonlabor!$I$21="OutputM",'Monthly Growth'!D41*Assumptions!$E$23/1000000,0))))))))),0)</f>
        <v>1</v>
      </c>
      <c r="F3581" s="10" t="n">
        <f aca="false">Nonlabor!$J$21*(1+Assumptions!$E$9)^INT((C3581-1)/12)</f>
        <v>108.16</v>
      </c>
      <c r="G3581" s="10" t="n">
        <f aca="false">E3581*F3581</f>
        <v>108.16</v>
      </c>
      <c r="H3581" s="10" t="n">
        <f aca="false">IF(OR(Nonlabor!$L$21="Quote required",Nonlabor!$L$21="Unverified"),G3581,0)</f>
        <v>0</v>
      </c>
      <c r="I3581" s="10" t="n">
        <f aca="false">IF(Nonlabor!$E$21="Core",0,G3581)</f>
        <v>0</v>
      </c>
      <c r="J3581" s="23" t="str">
        <f aca="false">Nonlabor!$B$21</f>
        <v>SUPPORT</v>
      </c>
    </row>
    <row r="3582" customFormat="false" ht="15" hidden="false" customHeight="false" outlineLevel="0" collapsed="false">
      <c r="A3582" s="6" t="s">
        <v>73</v>
      </c>
      <c r="B3582" s="6" t="s">
        <v>53</v>
      </c>
      <c r="C3582" s="6" t="n">
        <v>37</v>
      </c>
      <c r="D3582" s="25" t="n">
        <f aca="false">EDATE('Start Here'!$B$6,C3582-1)</f>
        <v>47423</v>
      </c>
      <c r="E3582" s="23" t="n">
        <f aca="false">IF(AND(OR(Nonlabor!$D$21="Both",Nonlabor!$D$21='Start Here'!$B$9),IF(Nonlabor!$E$21="Core",1,IF(Nonlabor!$E$21="AI",'Start Here'!$B$7,'Start Here'!$B$8))=1,C3582&gt;=IF(Nonlabor!$E$21="Core",Nonlabor!$F$21,MAX(Nonlabor!$F$21,IF(Nonlabor!$E$21="AI",Assumptions!$E$24,Assumptions!$E$25))),C3582&lt;=Nonlabor!$G$21,OR(Nonlabor!$H$21="Monthly",AND(Nonlabor!$H$21="Once",C3582=IF(Nonlabor!$E$21="Core",Nonlabor!$F$21,MAX(Nonlabor!$F$21,IF(Nonlabor!$E$21="AI",Assumptions!$E$24,Assumptions!$E$25)))),AND(Nonlabor!$H$21="Annual",MOD(C3582-IF(Nonlabor!$E$21="Core",Nonlabor!$F$21,MAX(Nonlabor!$F$21,IF(Nonlabor!$E$21="AI",Assumptions!$E$24,Assumptions!$E$25))),12)=0))),IF(Nonlabor!$I$21="Fixed",1,IF(Nonlabor!$I$21="Seats",ROUNDUP('Monthly Growth'!I42,0),IF(Nonlabor!$I$21="Customers",'Monthly Growth'!D42,IF(Nonlabor!$I$21="NewCustomers",'Monthly Growth'!C42,IF(Nonlabor!$I$21="StorageGB",'Monthly Growth'!G42,IF(Nonlabor!$I$21="LogGB",'Monthly Growth'!H42,IF(Nonlabor!$I$21="RequestsM",'Monthly Growth'!F42,IF(Nonlabor!$I$21="InputM",'Monthly Growth'!D42*Assumptions!$E$22/1000000,IF(Nonlabor!$I$21="OutputM",'Monthly Growth'!D42*Assumptions!$E$23/1000000,0))))))))),0)</f>
        <v>1</v>
      </c>
      <c r="F3582" s="10" t="n">
        <f aca="false">Nonlabor!$J$21*(1+Assumptions!$E$9)^INT((C3582-1)/12)</f>
        <v>112.4864</v>
      </c>
      <c r="G3582" s="10" t="n">
        <f aca="false">E3582*F3582</f>
        <v>112.4864</v>
      </c>
      <c r="H3582" s="10" t="n">
        <f aca="false">IF(OR(Nonlabor!$L$21="Quote required",Nonlabor!$L$21="Unverified"),G3582,0)</f>
        <v>0</v>
      </c>
      <c r="I3582" s="10" t="n">
        <f aca="false">IF(Nonlabor!$E$21="Core",0,G3582)</f>
        <v>0</v>
      </c>
      <c r="J3582" s="23" t="str">
        <f aca="false">Nonlabor!$B$21</f>
        <v>SUPPORT</v>
      </c>
    </row>
    <row r="3583" customFormat="false" ht="15" hidden="false" customHeight="false" outlineLevel="0" collapsed="false">
      <c r="A3583" s="6" t="s">
        <v>73</v>
      </c>
      <c r="B3583" s="6" t="s">
        <v>53</v>
      </c>
      <c r="C3583" s="6" t="n">
        <v>38</v>
      </c>
      <c r="D3583" s="25" t="n">
        <f aca="false">EDATE('Start Here'!$B$6,C3583-1)</f>
        <v>47453</v>
      </c>
      <c r="E3583" s="23" t="n">
        <f aca="false">IF(AND(OR(Nonlabor!$D$21="Both",Nonlabor!$D$21='Start Here'!$B$9),IF(Nonlabor!$E$21="Core",1,IF(Nonlabor!$E$21="AI",'Start Here'!$B$7,'Start Here'!$B$8))=1,C3583&gt;=IF(Nonlabor!$E$21="Core",Nonlabor!$F$21,MAX(Nonlabor!$F$21,IF(Nonlabor!$E$21="AI",Assumptions!$E$24,Assumptions!$E$25))),C3583&lt;=Nonlabor!$G$21,OR(Nonlabor!$H$21="Monthly",AND(Nonlabor!$H$21="Once",C3583=IF(Nonlabor!$E$21="Core",Nonlabor!$F$21,MAX(Nonlabor!$F$21,IF(Nonlabor!$E$21="AI",Assumptions!$E$24,Assumptions!$E$25)))),AND(Nonlabor!$H$21="Annual",MOD(C3583-IF(Nonlabor!$E$21="Core",Nonlabor!$F$21,MAX(Nonlabor!$F$21,IF(Nonlabor!$E$21="AI",Assumptions!$E$24,Assumptions!$E$25))),12)=0))),IF(Nonlabor!$I$21="Fixed",1,IF(Nonlabor!$I$21="Seats",ROUNDUP('Monthly Growth'!I43,0),IF(Nonlabor!$I$21="Customers",'Monthly Growth'!D43,IF(Nonlabor!$I$21="NewCustomers",'Monthly Growth'!C43,IF(Nonlabor!$I$21="StorageGB",'Monthly Growth'!G43,IF(Nonlabor!$I$21="LogGB",'Monthly Growth'!H43,IF(Nonlabor!$I$21="RequestsM",'Monthly Growth'!F43,IF(Nonlabor!$I$21="InputM",'Monthly Growth'!D43*Assumptions!$E$22/1000000,IF(Nonlabor!$I$21="OutputM",'Monthly Growth'!D43*Assumptions!$E$23/1000000,0))))))))),0)</f>
        <v>1</v>
      </c>
      <c r="F3583" s="10" t="n">
        <f aca="false">Nonlabor!$J$21*(1+Assumptions!$E$9)^INT((C3583-1)/12)</f>
        <v>112.4864</v>
      </c>
      <c r="G3583" s="10" t="n">
        <f aca="false">E3583*F3583</f>
        <v>112.4864</v>
      </c>
      <c r="H3583" s="10" t="n">
        <f aca="false">IF(OR(Nonlabor!$L$21="Quote required",Nonlabor!$L$21="Unverified"),G3583,0)</f>
        <v>0</v>
      </c>
      <c r="I3583" s="10" t="n">
        <f aca="false">IF(Nonlabor!$E$21="Core",0,G3583)</f>
        <v>0</v>
      </c>
      <c r="J3583" s="23" t="str">
        <f aca="false">Nonlabor!$B$21</f>
        <v>SUPPORT</v>
      </c>
    </row>
    <row r="3584" customFormat="false" ht="15" hidden="false" customHeight="false" outlineLevel="0" collapsed="false">
      <c r="A3584" s="6" t="s">
        <v>73</v>
      </c>
      <c r="B3584" s="6" t="s">
        <v>53</v>
      </c>
      <c r="C3584" s="6" t="n">
        <v>39</v>
      </c>
      <c r="D3584" s="25" t="n">
        <f aca="false">EDATE('Start Here'!$B$6,C3584-1)</f>
        <v>47484</v>
      </c>
      <c r="E3584" s="23" t="n">
        <f aca="false">IF(AND(OR(Nonlabor!$D$21="Both",Nonlabor!$D$21='Start Here'!$B$9),IF(Nonlabor!$E$21="Core",1,IF(Nonlabor!$E$21="AI",'Start Here'!$B$7,'Start Here'!$B$8))=1,C3584&gt;=IF(Nonlabor!$E$21="Core",Nonlabor!$F$21,MAX(Nonlabor!$F$21,IF(Nonlabor!$E$21="AI",Assumptions!$E$24,Assumptions!$E$25))),C3584&lt;=Nonlabor!$G$21,OR(Nonlabor!$H$21="Monthly",AND(Nonlabor!$H$21="Once",C3584=IF(Nonlabor!$E$21="Core",Nonlabor!$F$21,MAX(Nonlabor!$F$21,IF(Nonlabor!$E$21="AI",Assumptions!$E$24,Assumptions!$E$25)))),AND(Nonlabor!$H$21="Annual",MOD(C3584-IF(Nonlabor!$E$21="Core",Nonlabor!$F$21,MAX(Nonlabor!$F$21,IF(Nonlabor!$E$21="AI",Assumptions!$E$24,Assumptions!$E$25))),12)=0))),IF(Nonlabor!$I$21="Fixed",1,IF(Nonlabor!$I$21="Seats",ROUNDUP('Monthly Growth'!I44,0),IF(Nonlabor!$I$21="Customers",'Monthly Growth'!D44,IF(Nonlabor!$I$21="NewCustomers",'Monthly Growth'!C44,IF(Nonlabor!$I$21="StorageGB",'Monthly Growth'!G44,IF(Nonlabor!$I$21="LogGB",'Monthly Growth'!H44,IF(Nonlabor!$I$21="RequestsM",'Monthly Growth'!F44,IF(Nonlabor!$I$21="InputM",'Monthly Growth'!D44*Assumptions!$E$22/1000000,IF(Nonlabor!$I$21="OutputM",'Monthly Growth'!D44*Assumptions!$E$23/1000000,0))))))))),0)</f>
        <v>1</v>
      </c>
      <c r="F3584" s="10" t="n">
        <f aca="false">Nonlabor!$J$21*(1+Assumptions!$E$9)^INT((C3584-1)/12)</f>
        <v>112.4864</v>
      </c>
      <c r="G3584" s="10" t="n">
        <f aca="false">E3584*F3584</f>
        <v>112.4864</v>
      </c>
      <c r="H3584" s="10" t="n">
        <f aca="false">IF(OR(Nonlabor!$L$21="Quote required",Nonlabor!$L$21="Unverified"),G3584,0)</f>
        <v>0</v>
      </c>
      <c r="I3584" s="10" t="n">
        <f aca="false">IF(Nonlabor!$E$21="Core",0,G3584)</f>
        <v>0</v>
      </c>
      <c r="J3584" s="23" t="str">
        <f aca="false">Nonlabor!$B$21</f>
        <v>SUPPORT</v>
      </c>
    </row>
    <row r="3585" customFormat="false" ht="15" hidden="false" customHeight="false" outlineLevel="0" collapsed="false">
      <c r="A3585" s="6" t="s">
        <v>73</v>
      </c>
      <c r="B3585" s="6" t="s">
        <v>53</v>
      </c>
      <c r="C3585" s="6" t="n">
        <v>40</v>
      </c>
      <c r="D3585" s="25" t="n">
        <f aca="false">EDATE('Start Here'!$B$6,C3585-1)</f>
        <v>47515</v>
      </c>
      <c r="E3585" s="23" t="n">
        <f aca="false">IF(AND(OR(Nonlabor!$D$21="Both",Nonlabor!$D$21='Start Here'!$B$9),IF(Nonlabor!$E$21="Core",1,IF(Nonlabor!$E$21="AI",'Start Here'!$B$7,'Start Here'!$B$8))=1,C3585&gt;=IF(Nonlabor!$E$21="Core",Nonlabor!$F$21,MAX(Nonlabor!$F$21,IF(Nonlabor!$E$21="AI",Assumptions!$E$24,Assumptions!$E$25))),C3585&lt;=Nonlabor!$G$21,OR(Nonlabor!$H$21="Monthly",AND(Nonlabor!$H$21="Once",C3585=IF(Nonlabor!$E$21="Core",Nonlabor!$F$21,MAX(Nonlabor!$F$21,IF(Nonlabor!$E$21="AI",Assumptions!$E$24,Assumptions!$E$25)))),AND(Nonlabor!$H$21="Annual",MOD(C3585-IF(Nonlabor!$E$21="Core",Nonlabor!$F$21,MAX(Nonlabor!$F$21,IF(Nonlabor!$E$21="AI",Assumptions!$E$24,Assumptions!$E$25))),12)=0))),IF(Nonlabor!$I$21="Fixed",1,IF(Nonlabor!$I$21="Seats",ROUNDUP('Monthly Growth'!I45,0),IF(Nonlabor!$I$21="Customers",'Monthly Growth'!D45,IF(Nonlabor!$I$21="NewCustomers",'Monthly Growth'!C45,IF(Nonlabor!$I$21="StorageGB",'Monthly Growth'!G45,IF(Nonlabor!$I$21="LogGB",'Monthly Growth'!H45,IF(Nonlabor!$I$21="RequestsM",'Monthly Growth'!F45,IF(Nonlabor!$I$21="InputM",'Monthly Growth'!D45*Assumptions!$E$22/1000000,IF(Nonlabor!$I$21="OutputM",'Monthly Growth'!D45*Assumptions!$E$23/1000000,0))))))))),0)</f>
        <v>1</v>
      </c>
      <c r="F3585" s="10" t="n">
        <f aca="false">Nonlabor!$J$21*(1+Assumptions!$E$9)^INT((C3585-1)/12)</f>
        <v>112.4864</v>
      </c>
      <c r="G3585" s="10" t="n">
        <f aca="false">E3585*F3585</f>
        <v>112.4864</v>
      </c>
      <c r="H3585" s="10" t="n">
        <f aca="false">IF(OR(Nonlabor!$L$21="Quote required",Nonlabor!$L$21="Unverified"),G3585,0)</f>
        <v>0</v>
      </c>
      <c r="I3585" s="10" t="n">
        <f aca="false">IF(Nonlabor!$E$21="Core",0,G3585)</f>
        <v>0</v>
      </c>
      <c r="J3585" s="23" t="str">
        <f aca="false">Nonlabor!$B$21</f>
        <v>SUPPORT</v>
      </c>
    </row>
    <row r="3586" customFormat="false" ht="15" hidden="false" customHeight="false" outlineLevel="0" collapsed="false">
      <c r="A3586" s="6" t="s">
        <v>73</v>
      </c>
      <c r="B3586" s="6" t="s">
        <v>53</v>
      </c>
      <c r="C3586" s="6" t="n">
        <v>41</v>
      </c>
      <c r="D3586" s="25" t="n">
        <f aca="false">EDATE('Start Here'!$B$6,C3586-1)</f>
        <v>47543</v>
      </c>
      <c r="E3586" s="23" t="n">
        <f aca="false">IF(AND(OR(Nonlabor!$D$21="Both",Nonlabor!$D$21='Start Here'!$B$9),IF(Nonlabor!$E$21="Core",1,IF(Nonlabor!$E$21="AI",'Start Here'!$B$7,'Start Here'!$B$8))=1,C3586&gt;=IF(Nonlabor!$E$21="Core",Nonlabor!$F$21,MAX(Nonlabor!$F$21,IF(Nonlabor!$E$21="AI",Assumptions!$E$24,Assumptions!$E$25))),C3586&lt;=Nonlabor!$G$21,OR(Nonlabor!$H$21="Monthly",AND(Nonlabor!$H$21="Once",C3586=IF(Nonlabor!$E$21="Core",Nonlabor!$F$21,MAX(Nonlabor!$F$21,IF(Nonlabor!$E$21="AI",Assumptions!$E$24,Assumptions!$E$25)))),AND(Nonlabor!$H$21="Annual",MOD(C3586-IF(Nonlabor!$E$21="Core",Nonlabor!$F$21,MAX(Nonlabor!$F$21,IF(Nonlabor!$E$21="AI",Assumptions!$E$24,Assumptions!$E$25))),12)=0))),IF(Nonlabor!$I$21="Fixed",1,IF(Nonlabor!$I$21="Seats",ROUNDUP('Monthly Growth'!I46,0),IF(Nonlabor!$I$21="Customers",'Monthly Growth'!D46,IF(Nonlabor!$I$21="NewCustomers",'Monthly Growth'!C46,IF(Nonlabor!$I$21="StorageGB",'Monthly Growth'!G46,IF(Nonlabor!$I$21="LogGB",'Monthly Growth'!H46,IF(Nonlabor!$I$21="RequestsM",'Monthly Growth'!F46,IF(Nonlabor!$I$21="InputM",'Monthly Growth'!D46*Assumptions!$E$22/1000000,IF(Nonlabor!$I$21="OutputM",'Monthly Growth'!D46*Assumptions!$E$23/1000000,0))))))))),0)</f>
        <v>1</v>
      </c>
      <c r="F3586" s="10" t="n">
        <f aca="false">Nonlabor!$J$21*(1+Assumptions!$E$9)^INT((C3586-1)/12)</f>
        <v>112.4864</v>
      </c>
      <c r="G3586" s="10" t="n">
        <f aca="false">E3586*F3586</f>
        <v>112.4864</v>
      </c>
      <c r="H3586" s="10" t="n">
        <f aca="false">IF(OR(Nonlabor!$L$21="Quote required",Nonlabor!$L$21="Unverified"),G3586,0)</f>
        <v>0</v>
      </c>
      <c r="I3586" s="10" t="n">
        <f aca="false">IF(Nonlabor!$E$21="Core",0,G3586)</f>
        <v>0</v>
      </c>
      <c r="J3586" s="23" t="str">
        <f aca="false">Nonlabor!$B$21</f>
        <v>SUPPORT</v>
      </c>
    </row>
    <row r="3587" customFormat="false" ht="15" hidden="false" customHeight="false" outlineLevel="0" collapsed="false">
      <c r="A3587" s="6" t="s">
        <v>73</v>
      </c>
      <c r="B3587" s="6" t="s">
        <v>53</v>
      </c>
      <c r="C3587" s="6" t="n">
        <v>42</v>
      </c>
      <c r="D3587" s="25" t="n">
        <f aca="false">EDATE('Start Here'!$B$6,C3587-1)</f>
        <v>47574</v>
      </c>
      <c r="E3587" s="23" t="n">
        <f aca="false">IF(AND(OR(Nonlabor!$D$21="Both",Nonlabor!$D$21='Start Here'!$B$9),IF(Nonlabor!$E$21="Core",1,IF(Nonlabor!$E$21="AI",'Start Here'!$B$7,'Start Here'!$B$8))=1,C3587&gt;=IF(Nonlabor!$E$21="Core",Nonlabor!$F$21,MAX(Nonlabor!$F$21,IF(Nonlabor!$E$21="AI",Assumptions!$E$24,Assumptions!$E$25))),C3587&lt;=Nonlabor!$G$21,OR(Nonlabor!$H$21="Monthly",AND(Nonlabor!$H$21="Once",C3587=IF(Nonlabor!$E$21="Core",Nonlabor!$F$21,MAX(Nonlabor!$F$21,IF(Nonlabor!$E$21="AI",Assumptions!$E$24,Assumptions!$E$25)))),AND(Nonlabor!$H$21="Annual",MOD(C3587-IF(Nonlabor!$E$21="Core",Nonlabor!$F$21,MAX(Nonlabor!$F$21,IF(Nonlabor!$E$21="AI",Assumptions!$E$24,Assumptions!$E$25))),12)=0))),IF(Nonlabor!$I$21="Fixed",1,IF(Nonlabor!$I$21="Seats",ROUNDUP('Monthly Growth'!I47,0),IF(Nonlabor!$I$21="Customers",'Monthly Growth'!D47,IF(Nonlabor!$I$21="NewCustomers",'Monthly Growth'!C47,IF(Nonlabor!$I$21="StorageGB",'Monthly Growth'!G47,IF(Nonlabor!$I$21="LogGB",'Monthly Growth'!H47,IF(Nonlabor!$I$21="RequestsM",'Monthly Growth'!F47,IF(Nonlabor!$I$21="InputM",'Monthly Growth'!D47*Assumptions!$E$22/1000000,IF(Nonlabor!$I$21="OutputM",'Monthly Growth'!D47*Assumptions!$E$23/1000000,0))))))))),0)</f>
        <v>1</v>
      </c>
      <c r="F3587" s="10" t="n">
        <f aca="false">Nonlabor!$J$21*(1+Assumptions!$E$9)^INT((C3587-1)/12)</f>
        <v>112.4864</v>
      </c>
      <c r="G3587" s="10" t="n">
        <f aca="false">E3587*F3587</f>
        <v>112.4864</v>
      </c>
      <c r="H3587" s="10" t="n">
        <f aca="false">IF(OR(Nonlabor!$L$21="Quote required",Nonlabor!$L$21="Unverified"),G3587,0)</f>
        <v>0</v>
      </c>
      <c r="I3587" s="10" t="n">
        <f aca="false">IF(Nonlabor!$E$21="Core",0,G3587)</f>
        <v>0</v>
      </c>
      <c r="J3587" s="23" t="str">
        <f aca="false">Nonlabor!$B$21</f>
        <v>SUPPORT</v>
      </c>
    </row>
    <row r="3588" customFormat="false" ht="15" hidden="false" customHeight="false" outlineLevel="0" collapsed="false">
      <c r="A3588" s="6" t="s">
        <v>73</v>
      </c>
      <c r="B3588" s="6" t="s">
        <v>53</v>
      </c>
      <c r="C3588" s="6" t="n">
        <v>43</v>
      </c>
      <c r="D3588" s="25" t="n">
        <f aca="false">EDATE('Start Here'!$B$6,C3588-1)</f>
        <v>47604</v>
      </c>
      <c r="E3588" s="23" t="n">
        <f aca="false">IF(AND(OR(Nonlabor!$D$21="Both",Nonlabor!$D$21='Start Here'!$B$9),IF(Nonlabor!$E$21="Core",1,IF(Nonlabor!$E$21="AI",'Start Here'!$B$7,'Start Here'!$B$8))=1,C3588&gt;=IF(Nonlabor!$E$21="Core",Nonlabor!$F$21,MAX(Nonlabor!$F$21,IF(Nonlabor!$E$21="AI",Assumptions!$E$24,Assumptions!$E$25))),C3588&lt;=Nonlabor!$G$21,OR(Nonlabor!$H$21="Monthly",AND(Nonlabor!$H$21="Once",C3588=IF(Nonlabor!$E$21="Core",Nonlabor!$F$21,MAX(Nonlabor!$F$21,IF(Nonlabor!$E$21="AI",Assumptions!$E$24,Assumptions!$E$25)))),AND(Nonlabor!$H$21="Annual",MOD(C3588-IF(Nonlabor!$E$21="Core",Nonlabor!$F$21,MAX(Nonlabor!$F$21,IF(Nonlabor!$E$21="AI",Assumptions!$E$24,Assumptions!$E$25))),12)=0))),IF(Nonlabor!$I$21="Fixed",1,IF(Nonlabor!$I$21="Seats",ROUNDUP('Monthly Growth'!I48,0),IF(Nonlabor!$I$21="Customers",'Monthly Growth'!D48,IF(Nonlabor!$I$21="NewCustomers",'Monthly Growth'!C48,IF(Nonlabor!$I$21="StorageGB",'Monthly Growth'!G48,IF(Nonlabor!$I$21="LogGB",'Monthly Growth'!H48,IF(Nonlabor!$I$21="RequestsM",'Monthly Growth'!F48,IF(Nonlabor!$I$21="InputM",'Monthly Growth'!D48*Assumptions!$E$22/1000000,IF(Nonlabor!$I$21="OutputM",'Monthly Growth'!D48*Assumptions!$E$23/1000000,0))))))))),0)</f>
        <v>1</v>
      </c>
      <c r="F3588" s="10" t="n">
        <f aca="false">Nonlabor!$J$21*(1+Assumptions!$E$9)^INT((C3588-1)/12)</f>
        <v>112.4864</v>
      </c>
      <c r="G3588" s="10" t="n">
        <f aca="false">E3588*F3588</f>
        <v>112.4864</v>
      </c>
      <c r="H3588" s="10" t="n">
        <f aca="false">IF(OR(Nonlabor!$L$21="Quote required",Nonlabor!$L$21="Unverified"),G3588,0)</f>
        <v>0</v>
      </c>
      <c r="I3588" s="10" t="n">
        <f aca="false">IF(Nonlabor!$E$21="Core",0,G3588)</f>
        <v>0</v>
      </c>
      <c r="J3588" s="23" t="str">
        <f aca="false">Nonlabor!$B$21</f>
        <v>SUPPORT</v>
      </c>
    </row>
    <row r="3589" customFormat="false" ht="15" hidden="false" customHeight="false" outlineLevel="0" collapsed="false">
      <c r="A3589" s="6" t="s">
        <v>73</v>
      </c>
      <c r="B3589" s="6" t="s">
        <v>53</v>
      </c>
      <c r="C3589" s="6" t="n">
        <v>44</v>
      </c>
      <c r="D3589" s="25" t="n">
        <f aca="false">EDATE('Start Here'!$B$6,C3589-1)</f>
        <v>47635</v>
      </c>
      <c r="E3589" s="23" t="n">
        <f aca="false">IF(AND(OR(Nonlabor!$D$21="Both",Nonlabor!$D$21='Start Here'!$B$9),IF(Nonlabor!$E$21="Core",1,IF(Nonlabor!$E$21="AI",'Start Here'!$B$7,'Start Here'!$B$8))=1,C3589&gt;=IF(Nonlabor!$E$21="Core",Nonlabor!$F$21,MAX(Nonlabor!$F$21,IF(Nonlabor!$E$21="AI",Assumptions!$E$24,Assumptions!$E$25))),C3589&lt;=Nonlabor!$G$21,OR(Nonlabor!$H$21="Monthly",AND(Nonlabor!$H$21="Once",C3589=IF(Nonlabor!$E$21="Core",Nonlabor!$F$21,MAX(Nonlabor!$F$21,IF(Nonlabor!$E$21="AI",Assumptions!$E$24,Assumptions!$E$25)))),AND(Nonlabor!$H$21="Annual",MOD(C3589-IF(Nonlabor!$E$21="Core",Nonlabor!$F$21,MAX(Nonlabor!$F$21,IF(Nonlabor!$E$21="AI",Assumptions!$E$24,Assumptions!$E$25))),12)=0))),IF(Nonlabor!$I$21="Fixed",1,IF(Nonlabor!$I$21="Seats",ROUNDUP('Monthly Growth'!I49,0),IF(Nonlabor!$I$21="Customers",'Monthly Growth'!D49,IF(Nonlabor!$I$21="NewCustomers",'Monthly Growth'!C49,IF(Nonlabor!$I$21="StorageGB",'Monthly Growth'!G49,IF(Nonlabor!$I$21="LogGB",'Monthly Growth'!H49,IF(Nonlabor!$I$21="RequestsM",'Monthly Growth'!F49,IF(Nonlabor!$I$21="InputM",'Monthly Growth'!D49*Assumptions!$E$22/1000000,IF(Nonlabor!$I$21="OutputM",'Monthly Growth'!D49*Assumptions!$E$23/1000000,0))))))))),0)</f>
        <v>1</v>
      </c>
      <c r="F3589" s="10" t="n">
        <f aca="false">Nonlabor!$J$21*(1+Assumptions!$E$9)^INT((C3589-1)/12)</f>
        <v>112.4864</v>
      </c>
      <c r="G3589" s="10" t="n">
        <f aca="false">E3589*F3589</f>
        <v>112.4864</v>
      </c>
      <c r="H3589" s="10" t="n">
        <f aca="false">IF(OR(Nonlabor!$L$21="Quote required",Nonlabor!$L$21="Unverified"),G3589,0)</f>
        <v>0</v>
      </c>
      <c r="I3589" s="10" t="n">
        <f aca="false">IF(Nonlabor!$E$21="Core",0,G3589)</f>
        <v>0</v>
      </c>
      <c r="J3589" s="23" t="str">
        <f aca="false">Nonlabor!$B$21</f>
        <v>SUPPORT</v>
      </c>
    </row>
    <row r="3590" customFormat="false" ht="15" hidden="false" customHeight="false" outlineLevel="0" collapsed="false">
      <c r="A3590" s="6" t="s">
        <v>73</v>
      </c>
      <c r="B3590" s="6" t="s">
        <v>53</v>
      </c>
      <c r="C3590" s="6" t="n">
        <v>45</v>
      </c>
      <c r="D3590" s="25" t="n">
        <f aca="false">EDATE('Start Here'!$B$6,C3590-1)</f>
        <v>47665</v>
      </c>
      <c r="E3590" s="23" t="n">
        <f aca="false">IF(AND(OR(Nonlabor!$D$21="Both",Nonlabor!$D$21='Start Here'!$B$9),IF(Nonlabor!$E$21="Core",1,IF(Nonlabor!$E$21="AI",'Start Here'!$B$7,'Start Here'!$B$8))=1,C3590&gt;=IF(Nonlabor!$E$21="Core",Nonlabor!$F$21,MAX(Nonlabor!$F$21,IF(Nonlabor!$E$21="AI",Assumptions!$E$24,Assumptions!$E$25))),C3590&lt;=Nonlabor!$G$21,OR(Nonlabor!$H$21="Monthly",AND(Nonlabor!$H$21="Once",C3590=IF(Nonlabor!$E$21="Core",Nonlabor!$F$21,MAX(Nonlabor!$F$21,IF(Nonlabor!$E$21="AI",Assumptions!$E$24,Assumptions!$E$25)))),AND(Nonlabor!$H$21="Annual",MOD(C3590-IF(Nonlabor!$E$21="Core",Nonlabor!$F$21,MAX(Nonlabor!$F$21,IF(Nonlabor!$E$21="AI",Assumptions!$E$24,Assumptions!$E$25))),12)=0))),IF(Nonlabor!$I$21="Fixed",1,IF(Nonlabor!$I$21="Seats",ROUNDUP('Monthly Growth'!I50,0),IF(Nonlabor!$I$21="Customers",'Monthly Growth'!D50,IF(Nonlabor!$I$21="NewCustomers",'Monthly Growth'!C50,IF(Nonlabor!$I$21="StorageGB",'Monthly Growth'!G50,IF(Nonlabor!$I$21="LogGB",'Monthly Growth'!H50,IF(Nonlabor!$I$21="RequestsM",'Monthly Growth'!F50,IF(Nonlabor!$I$21="InputM",'Monthly Growth'!D50*Assumptions!$E$22/1000000,IF(Nonlabor!$I$21="OutputM",'Monthly Growth'!D50*Assumptions!$E$23/1000000,0))))))))),0)</f>
        <v>1</v>
      </c>
      <c r="F3590" s="10" t="n">
        <f aca="false">Nonlabor!$J$21*(1+Assumptions!$E$9)^INT((C3590-1)/12)</f>
        <v>112.4864</v>
      </c>
      <c r="G3590" s="10" t="n">
        <f aca="false">E3590*F3590</f>
        <v>112.4864</v>
      </c>
      <c r="H3590" s="10" t="n">
        <f aca="false">IF(OR(Nonlabor!$L$21="Quote required",Nonlabor!$L$21="Unverified"),G3590,0)</f>
        <v>0</v>
      </c>
      <c r="I3590" s="10" t="n">
        <f aca="false">IF(Nonlabor!$E$21="Core",0,G3590)</f>
        <v>0</v>
      </c>
      <c r="J3590" s="23" t="str">
        <f aca="false">Nonlabor!$B$21</f>
        <v>SUPPORT</v>
      </c>
    </row>
    <row r="3591" customFormat="false" ht="15" hidden="false" customHeight="false" outlineLevel="0" collapsed="false">
      <c r="A3591" s="6" t="s">
        <v>73</v>
      </c>
      <c r="B3591" s="6" t="s">
        <v>53</v>
      </c>
      <c r="C3591" s="6" t="n">
        <v>46</v>
      </c>
      <c r="D3591" s="25" t="n">
        <f aca="false">EDATE('Start Here'!$B$6,C3591-1)</f>
        <v>47696</v>
      </c>
      <c r="E3591" s="23" t="n">
        <f aca="false">IF(AND(OR(Nonlabor!$D$21="Both",Nonlabor!$D$21='Start Here'!$B$9),IF(Nonlabor!$E$21="Core",1,IF(Nonlabor!$E$21="AI",'Start Here'!$B$7,'Start Here'!$B$8))=1,C3591&gt;=IF(Nonlabor!$E$21="Core",Nonlabor!$F$21,MAX(Nonlabor!$F$21,IF(Nonlabor!$E$21="AI",Assumptions!$E$24,Assumptions!$E$25))),C3591&lt;=Nonlabor!$G$21,OR(Nonlabor!$H$21="Monthly",AND(Nonlabor!$H$21="Once",C3591=IF(Nonlabor!$E$21="Core",Nonlabor!$F$21,MAX(Nonlabor!$F$21,IF(Nonlabor!$E$21="AI",Assumptions!$E$24,Assumptions!$E$25)))),AND(Nonlabor!$H$21="Annual",MOD(C3591-IF(Nonlabor!$E$21="Core",Nonlabor!$F$21,MAX(Nonlabor!$F$21,IF(Nonlabor!$E$21="AI",Assumptions!$E$24,Assumptions!$E$25))),12)=0))),IF(Nonlabor!$I$21="Fixed",1,IF(Nonlabor!$I$21="Seats",ROUNDUP('Monthly Growth'!I51,0),IF(Nonlabor!$I$21="Customers",'Monthly Growth'!D51,IF(Nonlabor!$I$21="NewCustomers",'Monthly Growth'!C51,IF(Nonlabor!$I$21="StorageGB",'Monthly Growth'!G51,IF(Nonlabor!$I$21="LogGB",'Monthly Growth'!H51,IF(Nonlabor!$I$21="RequestsM",'Monthly Growth'!F51,IF(Nonlabor!$I$21="InputM",'Monthly Growth'!D51*Assumptions!$E$22/1000000,IF(Nonlabor!$I$21="OutputM",'Monthly Growth'!D51*Assumptions!$E$23/1000000,0))))))))),0)</f>
        <v>1</v>
      </c>
      <c r="F3591" s="10" t="n">
        <f aca="false">Nonlabor!$J$21*(1+Assumptions!$E$9)^INT((C3591-1)/12)</f>
        <v>112.4864</v>
      </c>
      <c r="G3591" s="10" t="n">
        <f aca="false">E3591*F3591</f>
        <v>112.4864</v>
      </c>
      <c r="H3591" s="10" t="n">
        <f aca="false">IF(OR(Nonlabor!$L$21="Quote required",Nonlabor!$L$21="Unverified"),G3591,0)</f>
        <v>0</v>
      </c>
      <c r="I3591" s="10" t="n">
        <f aca="false">IF(Nonlabor!$E$21="Core",0,G3591)</f>
        <v>0</v>
      </c>
      <c r="J3591" s="23" t="str">
        <f aca="false">Nonlabor!$B$21</f>
        <v>SUPPORT</v>
      </c>
    </row>
    <row r="3592" customFormat="false" ht="15" hidden="false" customHeight="false" outlineLevel="0" collapsed="false">
      <c r="A3592" s="6" t="s">
        <v>73</v>
      </c>
      <c r="B3592" s="6" t="s">
        <v>53</v>
      </c>
      <c r="C3592" s="6" t="n">
        <v>47</v>
      </c>
      <c r="D3592" s="25" t="n">
        <f aca="false">EDATE('Start Here'!$B$6,C3592-1)</f>
        <v>47727</v>
      </c>
      <c r="E3592" s="23" t="n">
        <f aca="false">IF(AND(OR(Nonlabor!$D$21="Both",Nonlabor!$D$21='Start Here'!$B$9),IF(Nonlabor!$E$21="Core",1,IF(Nonlabor!$E$21="AI",'Start Here'!$B$7,'Start Here'!$B$8))=1,C3592&gt;=IF(Nonlabor!$E$21="Core",Nonlabor!$F$21,MAX(Nonlabor!$F$21,IF(Nonlabor!$E$21="AI",Assumptions!$E$24,Assumptions!$E$25))),C3592&lt;=Nonlabor!$G$21,OR(Nonlabor!$H$21="Monthly",AND(Nonlabor!$H$21="Once",C3592=IF(Nonlabor!$E$21="Core",Nonlabor!$F$21,MAX(Nonlabor!$F$21,IF(Nonlabor!$E$21="AI",Assumptions!$E$24,Assumptions!$E$25)))),AND(Nonlabor!$H$21="Annual",MOD(C3592-IF(Nonlabor!$E$21="Core",Nonlabor!$F$21,MAX(Nonlabor!$F$21,IF(Nonlabor!$E$21="AI",Assumptions!$E$24,Assumptions!$E$25))),12)=0))),IF(Nonlabor!$I$21="Fixed",1,IF(Nonlabor!$I$21="Seats",ROUNDUP('Monthly Growth'!I52,0),IF(Nonlabor!$I$21="Customers",'Monthly Growth'!D52,IF(Nonlabor!$I$21="NewCustomers",'Monthly Growth'!C52,IF(Nonlabor!$I$21="StorageGB",'Monthly Growth'!G52,IF(Nonlabor!$I$21="LogGB",'Monthly Growth'!H52,IF(Nonlabor!$I$21="RequestsM",'Monthly Growth'!F52,IF(Nonlabor!$I$21="InputM",'Monthly Growth'!D52*Assumptions!$E$22/1000000,IF(Nonlabor!$I$21="OutputM",'Monthly Growth'!D52*Assumptions!$E$23/1000000,0))))))))),0)</f>
        <v>1</v>
      </c>
      <c r="F3592" s="10" t="n">
        <f aca="false">Nonlabor!$J$21*(1+Assumptions!$E$9)^INT((C3592-1)/12)</f>
        <v>112.4864</v>
      </c>
      <c r="G3592" s="10" t="n">
        <f aca="false">E3592*F3592</f>
        <v>112.4864</v>
      </c>
      <c r="H3592" s="10" t="n">
        <f aca="false">IF(OR(Nonlabor!$L$21="Quote required",Nonlabor!$L$21="Unverified"),G3592,0)</f>
        <v>0</v>
      </c>
      <c r="I3592" s="10" t="n">
        <f aca="false">IF(Nonlabor!$E$21="Core",0,G3592)</f>
        <v>0</v>
      </c>
      <c r="J3592" s="23" t="str">
        <f aca="false">Nonlabor!$B$21</f>
        <v>SUPPORT</v>
      </c>
    </row>
    <row r="3593" customFormat="false" ht="15" hidden="false" customHeight="false" outlineLevel="0" collapsed="false">
      <c r="A3593" s="6" t="s">
        <v>73</v>
      </c>
      <c r="B3593" s="6" t="s">
        <v>53</v>
      </c>
      <c r="C3593" s="6" t="n">
        <v>48</v>
      </c>
      <c r="D3593" s="25" t="n">
        <f aca="false">EDATE('Start Here'!$B$6,C3593-1)</f>
        <v>47757</v>
      </c>
      <c r="E3593" s="23" t="n">
        <f aca="false">IF(AND(OR(Nonlabor!$D$21="Both",Nonlabor!$D$21='Start Here'!$B$9),IF(Nonlabor!$E$21="Core",1,IF(Nonlabor!$E$21="AI",'Start Here'!$B$7,'Start Here'!$B$8))=1,C3593&gt;=IF(Nonlabor!$E$21="Core",Nonlabor!$F$21,MAX(Nonlabor!$F$21,IF(Nonlabor!$E$21="AI",Assumptions!$E$24,Assumptions!$E$25))),C3593&lt;=Nonlabor!$G$21,OR(Nonlabor!$H$21="Monthly",AND(Nonlabor!$H$21="Once",C3593=IF(Nonlabor!$E$21="Core",Nonlabor!$F$21,MAX(Nonlabor!$F$21,IF(Nonlabor!$E$21="AI",Assumptions!$E$24,Assumptions!$E$25)))),AND(Nonlabor!$H$21="Annual",MOD(C3593-IF(Nonlabor!$E$21="Core",Nonlabor!$F$21,MAX(Nonlabor!$F$21,IF(Nonlabor!$E$21="AI",Assumptions!$E$24,Assumptions!$E$25))),12)=0))),IF(Nonlabor!$I$21="Fixed",1,IF(Nonlabor!$I$21="Seats",ROUNDUP('Monthly Growth'!I53,0),IF(Nonlabor!$I$21="Customers",'Monthly Growth'!D53,IF(Nonlabor!$I$21="NewCustomers",'Monthly Growth'!C53,IF(Nonlabor!$I$21="StorageGB",'Monthly Growth'!G53,IF(Nonlabor!$I$21="LogGB",'Monthly Growth'!H53,IF(Nonlabor!$I$21="RequestsM",'Monthly Growth'!F53,IF(Nonlabor!$I$21="InputM",'Monthly Growth'!D53*Assumptions!$E$22/1000000,IF(Nonlabor!$I$21="OutputM",'Monthly Growth'!D53*Assumptions!$E$23/1000000,0))))))))),0)</f>
        <v>1</v>
      </c>
      <c r="F3593" s="10" t="n">
        <f aca="false">Nonlabor!$J$21*(1+Assumptions!$E$9)^INT((C3593-1)/12)</f>
        <v>112.4864</v>
      </c>
      <c r="G3593" s="10" t="n">
        <f aca="false">E3593*F3593</f>
        <v>112.4864</v>
      </c>
      <c r="H3593" s="10" t="n">
        <f aca="false">IF(OR(Nonlabor!$L$21="Quote required",Nonlabor!$L$21="Unverified"),G3593,0)</f>
        <v>0</v>
      </c>
      <c r="I3593" s="10" t="n">
        <f aca="false">IF(Nonlabor!$E$21="Core",0,G3593)</f>
        <v>0</v>
      </c>
      <c r="J3593" s="23" t="str">
        <f aca="false">Nonlabor!$B$21</f>
        <v>SUPPORT</v>
      </c>
    </row>
    <row r="3594" customFormat="false" ht="15" hidden="false" customHeight="false" outlineLevel="0" collapsed="false">
      <c r="A3594" s="6" t="s">
        <v>73</v>
      </c>
      <c r="B3594" s="6" t="s">
        <v>53</v>
      </c>
      <c r="C3594" s="6" t="n">
        <v>49</v>
      </c>
      <c r="D3594" s="25" t="n">
        <f aca="false">EDATE('Start Here'!$B$6,C3594-1)</f>
        <v>47788</v>
      </c>
      <c r="E3594" s="23" t="n">
        <f aca="false">IF(AND(OR(Nonlabor!$D$21="Both",Nonlabor!$D$21='Start Here'!$B$9),IF(Nonlabor!$E$21="Core",1,IF(Nonlabor!$E$21="AI",'Start Here'!$B$7,'Start Here'!$B$8))=1,C3594&gt;=IF(Nonlabor!$E$21="Core",Nonlabor!$F$21,MAX(Nonlabor!$F$21,IF(Nonlabor!$E$21="AI",Assumptions!$E$24,Assumptions!$E$25))),C3594&lt;=Nonlabor!$G$21,OR(Nonlabor!$H$21="Monthly",AND(Nonlabor!$H$21="Once",C3594=IF(Nonlabor!$E$21="Core",Nonlabor!$F$21,MAX(Nonlabor!$F$21,IF(Nonlabor!$E$21="AI",Assumptions!$E$24,Assumptions!$E$25)))),AND(Nonlabor!$H$21="Annual",MOD(C3594-IF(Nonlabor!$E$21="Core",Nonlabor!$F$21,MAX(Nonlabor!$F$21,IF(Nonlabor!$E$21="AI",Assumptions!$E$24,Assumptions!$E$25))),12)=0))),IF(Nonlabor!$I$21="Fixed",1,IF(Nonlabor!$I$21="Seats",ROUNDUP('Monthly Growth'!I54,0),IF(Nonlabor!$I$21="Customers",'Monthly Growth'!D54,IF(Nonlabor!$I$21="NewCustomers",'Monthly Growth'!C54,IF(Nonlabor!$I$21="StorageGB",'Monthly Growth'!G54,IF(Nonlabor!$I$21="LogGB",'Monthly Growth'!H54,IF(Nonlabor!$I$21="RequestsM",'Monthly Growth'!F54,IF(Nonlabor!$I$21="InputM",'Monthly Growth'!D54*Assumptions!$E$22/1000000,IF(Nonlabor!$I$21="OutputM",'Monthly Growth'!D54*Assumptions!$E$23/1000000,0))))))))),0)</f>
        <v>1</v>
      </c>
      <c r="F3594" s="10" t="n">
        <f aca="false">Nonlabor!$J$21*(1+Assumptions!$E$9)^INT((C3594-1)/12)</f>
        <v>116.985856</v>
      </c>
      <c r="G3594" s="10" t="n">
        <f aca="false">E3594*F3594</f>
        <v>116.985856</v>
      </c>
      <c r="H3594" s="10" t="n">
        <f aca="false">IF(OR(Nonlabor!$L$21="Quote required",Nonlabor!$L$21="Unverified"),G3594,0)</f>
        <v>0</v>
      </c>
      <c r="I3594" s="10" t="n">
        <f aca="false">IF(Nonlabor!$E$21="Core",0,G3594)</f>
        <v>0</v>
      </c>
      <c r="J3594" s="23" t="str">
        <f aca="false">Nonlabor!$B$21</f>
        <v>SUPPORT</v>
      </c>
    </row>
    <row r="3595" customFormat="false" ht="15" hidden="false" customHeight="false" outlineLevel="0" collapsed="false">
      <c r="A3595" s="6" t="s">
        <v>73</v>
      </c>
      <c r="B3595" s="6" t="s">
        <v>53</v>
      </c>
      <c r="C3595" s="6" t="n">
        <v>50</v>
      </c>
      <c r="D3595" s="25" t="n">
        <f aca="false">EDATE('Start Here'!$B$6,C3595-1)</f>
        <v>47818</v>
      </c>
      <c r="E3595" s="23" t="n">
        <f aca="false">IF(AND(OR(Nonlabor!$D$21="Both",Nonlabor!$D$21='Start Here'!$B$9),IF(Nonlabor!$E$21="Core",1,IF(Nonlabor!$E$21="AI",'Start Here'!$B$7,'Start Here'!$B$8))=1,C3595&gt;=IF(Nonlabor!$E$21="Core",Nonlabor!$F$21,MAX(Nonlabor!$F$21,IF(Nonlabor!$E$21="AI",Assumptions!$E$24,Assumptions!$E$25))),C3595&lt;=Nonlabor!$G$21,OR(Nonlabor!$H$21="Monthly",AND(Nonlabor!$H$21="Once",C3595=IF(Nonlabor!$E$21="Core",Nonlabor!$F$21,MAX(Nonlabor!$F$21,IF(Nonlabor!$E$21="AI",Assumptions!$E$24,Assumptions!$E$25)))),AND(Nonlabor!$H$21="Annual",MOD(C3595-IF(Nonlabor!$E$21="Core",Nonlabor!$F$21,MAX(Nonlabor!$F$21,IF(Nonlabor!$E$21="AI",Assumptions!$E$24,Assumptions!$E$25))),12)=0))),IF(Nonlabor!$I$21="Fixed",1,IF(Nonlabor!$I$21="Seats",ROUNDUP('Monthly Growth'!I55,0),IF(Nonlabor!$I$21="Customers",'Monthly Growth'!D55,IF(Nonlabor!$I$21="NewCustomers",'Monthly Growth'!C55,IF(Nonlabor!$I$21="StorageGB",'Monthly Growth'!G55,IF(Nonlabor!$I$21="LogGB",'Monthly Growth'!H55,IF(Nonlabor!$I$21="RequestsM",'Monthly Growth'!F55,IF(Nonlabor!$I$21="InputM",'Monthly Growth'!D55*Assumptions!$E$22/1000000,IF(Nonlabor!$I$21="OutputM",'Monthly Growth'!D55*Assumptions!$E$23/1000000,0))))))))),0)</f>
        <v>1</v>
      </c>
      <c r="F3595" s="10" t="n">
        <f aca="false">Nonlabor!$J$21*(1+Assumptions!$E$9)^INT((C3595-1)/12)</f>
        <v>116.985856</v>
      </c>
      <c r="G3595" s="10" t="n">
        <f aca="false">E3595*F3595</f>
        <v>116.985856</v>
      </c>
      <c r="H3595" s="10" t="n">
        <f aca="false">IF(OR(Nonlabor!$L$21="Quote required",Nonlabor!$L$21="Unverified"),G3595,0)</f>
        <v>0</v>
      </c>
      <c r="I3595" s="10" t="n">
        <f aca="false">IF(Nonlabor!$E$21="Core",0,G3595)</f>
        <v>0</v>
      </c>
      <c r="J3595" s="23" t="str">
        <f aca="false">Nonlabor!$B$21</f>
        <v>SUPPORT</v>
      </c>
    </row>
    <row r="3596" customFormat="false" ht="15" hidden="false" customHeight="false" outlineLevel="0" collapsed="false">
      <c r="A3596" s="6" t="s">
        <v>73</v>
      </c>
      <c r="B3596" s="6" t="s">
        <v>53</v>
      </c>
      <c r="C3596" s="6" t="n">
        <v>51</v>
      </c>
      <c r="D3596" s="25" t="n">
        <f aca="false">EDATE('Start Here'!$B$6,C3596-1)</f>
        <v>47849</v>
      </c>
      <c r="E3596" s="23" t="n">
        <f aca="false">IF(AND(OR(Nonlabor!$D$21="Both",Nonlabor!$D$21='Start Here'!$B$9),IF(Nonlabor!$E$21="Core",1,IF(Nonlabor!$E$21="AI",'Start Here'!$B$7,'Start Here'!$B$8))=1,C3596&gt;=IF(Nonlabor!$E$21="Core",Nonlabor!$F$21,MAX(Nonlabor!$F$21,IF(Nonlabor!$E$21="AI",Assumptions!$E$24,Assumptions!$E$25))),C3596&lt;=Nonlabor!$G$21,OR(Nonlabor!$H$21="Monthly",AND(Nonlabor!$H$21="Once",C3596=IF(Nonlabor!$E$21="Core",Nonlabor!$F$21,MAX(Nonlabor!$F$21,IF(Nonlabor!$E$21="AI",Assumptions!$E$24,Assumptions!$E$25)))),AND(Nonlabor!$H$21="Annual",MOD(C3596-IF(Nonlabor!$E$21="Core",Nonlabor!$F$21,MAX(Nonlabor!$F$21,IF(Nonlabor!$E$21="AI",Assumptions!$E$24,Assumptions!$E$25))),12)=0))),IF(Nonlabor!$I$21="Fixed",1,IF(Nonlabor!$I$21="Seats",ROUNDUP('Monthly Growth'!I56,0),IF(Nonlabor!$I$21="Customers",'Monthly Growth'!D56,IF(Nonlabor!$I$21="NewCustomers",'Monthly Growth'!C56,IF(Nonlabor!$I$21="StorageGB",'Monthly Growth'!G56,IF(Nonlabor!$I$21="LogGB",'Monthly Growth'!H56,IF(Nonlabor!$I$21="RequestsM",'Monthly Growth'!F56,IF(Nonlabor!$I$21="InputM",'Monthly Growth'!D56*Assumptions!$E$22/1000000,IF(Nonlabor!$I$21="OutputM",'Monthly Growth'!D56*Assumptions!$E$23/1000000,0))))))))),0)</f>
        <v>1</v>
      </c>
      <c r="F3596" s="10" t="n">
        <f aca="false">Nonlabor!$J$21*(1+Assumptions!$E$9)^INT((C3596-1)/12)</f>
        <v>116.985856</v>
      </c>
      <c r="G3596" s="10" t="n">
        <f aca="false">E3596*F3596</f>
        <v>116.985856</v>
      </c>
      <c r="H3596" s="10" t="n">
        <f aca="false">IF(OR(Nonlabor!$L$21="Quote required",Nonlabor!$L$21="Unverified"),G3596,0)</f>
        <v>0</v>
      </c>
      <c r="I3596" s="10" t="n">
        <f aca="false">IF(Nonlabor!$E$21="Core",0,G3596)</f>
        <v>0</v>
      </c>
      <c r="J3596" s="23" t="str">
        <f aca="false">Nonlabor!$B$21</f>
        <v>SUPPORT</v>
      </c>
    </row>
    <row r="3597" customFormat="false" ht="15" hidden="false" customHeight="false" outlineLevel="0" collapsed="false">
      <c r="A3597" s="6" t="s">
        <v>73</v>
      </c>
      <c r="B3597" s="6" t="s">
        <v>53</v>
      </c>
      <c r="C3597" s="6" t="n">
        <v>52</v>
      </c>
      <c r="D3597" s="25" t="n">
        <f aca="false">EDATE('Start Here'!$B$6,C3597-1)</f>
        <v>47880</v>
      </c>
      <c r="E3597" s="23" t="n">
        <f aca="false">IF(AND(OR(Nonlabor!$D$21="Both",Nonlabor!$D$21='Start Here'!$B$9),IF(Nonlabor!$E$21="Core",1,IF(Nonlabor!$E$21="AI",'Start Here'!$B$7,'Start Here'!$B$8))=1,C3597&gt;=IF(Nonlabor!$E$21="Core",Nonlabor!$F$21,MAX(Nonlabor!$F$21,IF(Nonlabor!$E$21="AI",Assumptions!$E$24,Assumptions!$E$25))),C3597&lt;=Nonlabor!$G$21,OR(Nonlabor!$H$21="Monthly",AND(Nonlabor!$H$21="Once",C3597=IF(Nonlabor!$E$21="Core",Nonlabor!$F$21,MAX(Nonlabor!$F$21,IF(Nonlabor!$E$21="AI",Assumptions!$E$24,Assumptions!$E$25)))),AND(Nonlabor!$H$21="Annual",MOD(C3597-IF(Nonlabor!$E$21="Core",Nonlabor!$F$21,MAX(Nonlabor!$F$21,IF(Nonlabor!$E$21="AI",Assumptions!$E$24,Assumptions!$E$25))),12)=0))),IF(Nonlabor!$I$21="Fixed",1,IF(Nonlabor!$I$21="Seats",ROUNDUP('Monthly Growth'!I57,0),IF(Nonlabor!$I$21="Customers",'Monthly Growth'!D57,IF(Nonlabor!$I$21="NewCustomers",'Monthly Growth'!C57,IF(Nonlabor!$I$21="StorageGB",'Monthly Growth'!G57,IF(Nonlabor!$I$21="LogGB",'Monthly Growth'!H57,IF(Nonlabor!$I$21="RequestsM",'Monthly Growth'!F57,IF(Nonlabor!$I$21="InputM",'Monthly Growth'!D57*Assumptions!$E$22/1000000,IF(Nonlabor!$I$21="OutputM",'Monthly Growth'!D57*Assumptions!$E$23/1000000,0))))))))),0)</f>
        <v>1</v>
      </c>
      <c r="F3597" s="10" t="n">
        <f aca="false">Nonlabor!$J$21*(1+Assumptions!$E$9)^INT((C3597-1)/12)</f>
        <v>116.985856</v>
      </c>
      <c r="G3597" s="10" t="n">
        <f aca="false">E3597*F3597</f>
        <v>116.985856</v>
      </c>
      <c r="H3597" s="10" t="n">
        <f aca="false">IF(OR(Nonlabor!$L$21="Quote required",Nonlabor!$L$21="Unverified"),G3597,0)</f>
        <v>0</v>
      </c>
      <c r="I3597" s="10" t="n">
        <f aca="false">IF(Nonlabor!$E$21="Core",0,G3597)</f>
        <v>0</v>
      </c>
      <c r="J3597" s="23" t="str">
        <f aca="false">Nonlabor!$B$21</f>
        <v>SUPPORT</v>
      </c>
    </row>
    <row r="3598" customFormat="false" ht="15" hidden="false" customHeight="false" outlineLevel="0" collapsed="false">
      <c r="A3598" s="6" t="s">
        <v>73</v>
      </c>
      <c r="B3598" s="6" t="s">
        <v>53</v>
      </c>
      <c r="C3598" s="6" t="n">
        <v>53</v>
      </c>
      <c r="D3598" s="25" t="n">
        <f aca="false">EDATE('Start Here'!$B$6,C3598-1)</f>
        <v>47908</v>
      </c>
      <c r="E3598" s="23" t="n">
        <f aca="false">IF(AND(OR(Nonlabor!$D$21="Both",Nonlabor!$D$21='Start Here'!$B$9),IF(Nonlabor!$E$21="Core",1,IF(Nonlabor!$E$21="AI",'Start Here'!$B$7,'Start Here'!$B$8))=1,C3598&gt;=IF(Nonlabor!$E$21="Core",Nonlabor!$F$21,MAX(Nonlabor!$F$21,IF(Nonlabor!$E$21="AI",Assumptions!$E$24,Assumptions!$E$25))),C3598&lt;=Nonlabor!$G$21,OR(Nonlabor!$H$21="Monthly",AND(Nonlabor!$H$21="Once",C3598=IF(Nonlabor!$E$21="Core",Nonlabor!$F$21,MAX(Nonlabor!$F$21,IF(Nonlabor!$E$21="AI",Assumptions!$E$24,Assumptions!$E$25)))),AND(Nonlabor!$H$21="Annual",MOD(C3598-IF(Nonlabor!$E$21="Core",Nonlabor!$F$21,MAX(Nonlabor!$F$21,IF(Nonlabor!$E$21="AI",Assumptions!$E$24,Assumptions!$E$25))),12)=0))),IF(Nonlabor!$I$21="Fixed",1,IF(Nonlabor!$I$21="Seats",ROUNDUP('Monthly Growth'!I58,0),IF(Nonlabor!$I$21="Customers",'Monthly Growth'!D58,IF(Nonlabor!$I$21="NewCustomers",'Monthly Growth'!C58,IF(Nonlabor!$I$21="StorageGB",'Monthly Growth'!G58,IF(Nonlabor!$I$21="LogGB",'Monthly Growth'!H58,IF(Nonlabor!$I$21="RequestsM",'Monthly Growth'!F58,IF(Nonlabor!$I$21="InputM",'Monthly Growth'!D58*Assumptions!$E$22/1000000,IF(Nonlabor!$I$21="OutputM",'Monthly Growth'!D58*Assumptions!$E$23/1000000,0))))))))),0)</f>
        <v>1</v>
      </c>
      <c r="F3598" s="10" t="n">
        <f aca="false">Nonlabor!$J$21*(1+Assumptions!$E$9)^INT((C3598-1)/12)</f>
        <v>116.985856</v>
      </c>
      <c r="G3598" s="10" t="n">
        <f aca="false">E3598*F3598</f>
        <v>116.985856</v>
      </c>
      <c r="H3598" s="10" t="n">
        <f aca="false">IF(OR(Nonlabor!$L$21="Quote required",Nonlabor!$L$21="Unverified"),G3598,0)</f>
        <v>0</v>
      </c>
      <c r="I3598" s="10" t="n">
        <f aca="false">IF(Nonlabor!$E$21="Core",0,G3598)</f>
        <v>0</v>
      </c>
      <c r="J3598" s="23" t="str">
        <f aca="false">Nonlabor!$B$21</f>
        <v>SUPPORT</v>
      </c>
    </row>
    <row r="3599" customFormat="false" ht="15" hidden="false" customHeight="false" outlineLevel="0" collapsed="false">
      <c r="A3599" s="6" t="s">
        <v>73</v>
      </c>
      <c r="B3599" s="6" t="s">
        <v>53</v>
      </c>
      <c r="C3599" s="6" t="n">
        <v>54</v>
      </c>
      <c r="D3599" s="25" t="n">
        <f aca="false">EDATE('Start Here'!$B$6,C3599-1)</f>
        <v>47939</v>
      </c>
      <c r="E3599" s="23" t="n">
        <f aca="false">IF(AND(OR(Nonlabor!$D$21="Both",Nonlabor!$D$21='Start Here'!$B$9),IF(Nonlabor!$E$21="Core",1,IF(Nonlabor!$E$21="AI",'Start Here'!$B$7,'Start Here'!$B$8))=1,C3599&gt;=IF(Nonlabor!$E$21="Core",Nonlabor!$F$21,MAX(Nonlabor!$F$21,IF(Nonlabor!$E$21="AI",Assumptions!$E$24,Assumptions!$E$25))),C3599&lt;=Nonlabor!$G$21,OR(Nonlabor!$H$21="Monthly",AND(Nonlabor!$H$21="Once",C3599=IF(Nonlabor!$E$21="Core",Nonlabor!$F$21,MAX(Nonlabor!$F$21,IF(Nonlabor!$E$21="AI",Assumptions!$E$24,Assumptions!$E$25)))),AND(Nonlabor!$H$21="Annual",MOD(C3599-IF(Nonlabor!$E$21="Core",Nonlabor!$F$21,MAX(Nonlabor!$F$21,IF(Nonlabor!$E$21="AI",Assumptions!$E$24,Assumptions!$E$25))),12)=0))),IF(Nonlabor!$I$21="Fixed",1,IF(Nonlabor!$I$21="Seats",ROUNDUP('Monthly Growth'!I59,0),IF(Nonlabor!$I$21="Customers",'Monthly Growth'!D59,IF(Nonlabor!$I$21="NewCustomers",'Monthly Growth'!C59,IF(Nonlabor!$I$21="StorageGB",'Monthly Growth'!G59,IF(Nonlabor!$I$21="LogGB",'Monthly Growth'!H59,IF(Nonlabor!$I$21="RequestsM",'Monthly Growth'!F59,IF(Nonlabor!$I$21="InputM",'Monthly Growth'!D59*Assumptions!$E$22/1000000,IF(Nonlabor!$I$21="OutputM",'Monthly Growth'!D59*Assumptions!$E$23/1000000,0))))))))),0)</f>
        <v>1</v>
      </c>
      <c r="F3599" s="10" t="n">
        <f aca="false">Nonlabor!$J$21*(1+Assumptions!$E$9)^INT((C3599-1)/12)</f>
        <v>116.985856</v>
      </c>
      <c r="G3599" s="10" t="n">
        <f aca="false">E3599*F3599</f>
        <v>116.985856</v>
      </c>
      <c r="H3599" s="10" t="n">
        <f aca="false">IF(OR(Nonlabor!$L$21="Quote required",Nonlabor!$L$21="Unverified"),G3599,0)</f>
        <v>0</v>
      </c>
      <c r="I3599" s="10" t="n">
        <f aca="false">IF(Nonlabor!$E$21="Core",0,G3599)</f>
        <v>0</v>
      </c>
      <c r="J3599" s="23" t="str">
        <f aca="false">Nonlabor!$B$21</f>
        <v>SUPPORT</v>
      </c>
    </row>
    <row r="3600" customFormat="false" ht="15" hidden="false" customHeight="false" outlineLevel="0" collapsed="false">
      <c r="A3600" s="6" t="s">
        <v>73</v>
      </c>
      <c r="B3600" s="6" t="s">
        <v>53</v>
      </c>
      <c r="C3600" s="6" t="n">
        <v>55</v>
      </c>
      <c r="D3600" s="25" t="n">
        <f aca="false">EDATE('Start Here'!$B$6,C3600-1)</f>
        <v>47969</v>
      </c>
      <c r="E3600" s="23" t="n">
        <f aca="false">IF(AND(OR(Nonlabor!$D$21="Both",Nonlabor!$D$21='Start Here'!$B$9),IF(Nonlabor!$E$21="Core",1,IF(Nonlabor!$E$21="AI",'Start Here'!$B$7,'Start Here'!$B$8))=1,C3600&gt;=IF(Nonlabor!$E$21="Core",Nonlabor!$F$21,MAX(Nonlabor!$F$21,IF(Nonlabor!$E$21="AI",Assumptions!$E$24,Assumptions!$E$25))),C3600&lt;=Nonlabor!$G$21,OR(Nonlabor!$H$21="Monthly",AND(Nonlabor!$H$21="Once",C3600=IF(Nonlabor!$E$21="Core",Nonlabor!$F$21,MAX(Nonlabor!$F$21,IF(Nonlabor!$E$21="AI",Assumptions!$E$24,Assumptions!$E$25)))),AND(Nonlabor!$H$21="Annual",MOD(C3600-IF(Nonlabor!$E$21="Core",Nonlabor!$F$21,MAX(Nonlabor!$F$21,IF(Nonlabor!$E$21="AI",Assumptions!$E$24,Assumptions!$E$25))),12)=0))),IF(Nonlabor!$I$21="Fixed",1,IF(Nonlabor!$I$21="Seats",ROUNDUP('Monthly Growth'!I60,0),IF(Nonlabor!$I$21="Customers",'Monthly Growth'!D60,IF(Nonlabor!$I$21="NewCustomers",'Monthly Growth'!C60,IF(Nonlabor!$I$21="StorageGB",'Monthly Growth'!G60,IF(Nonlabor!$I$21="LogGB",'Monthly Growth'!H60,IF(Nonlabor!$I$21="RequestsM",'Monthly Growth'!F60,IF(Nonlabor!$I$21="InputM",'Monthly Growth'!D60*Assumptions!$E$22/1000000,IF(Nonlabor!$I$21="OutputM",'Monthly Growth'!D60*Assumptions!$E$23/1000000,0))))))))),0)</f>
        <v>1</v>
      </c>
      <c r="F3600" s="10" t="n">
        <f aca="false">Nonlabor!$J$21*(1+Assumptions!$E$9)^INT((C3600-1)/12)</f>
        <v>116.985856</v>
      </c>
      <c r="G3600" s="10" t="n">
        <f aca="false">E3600*F3600</f>
        <v>116.985856</v>
      </c>
      <c r="H3600" s="10" t="n">
        <f aca="false">IF(OR(Nonlabor!$L$21="Quote required",Nonlabor!$L$21="Unverified"),G3600,0)</f>
        <v>0</v>
      </c>
      <c r="I3600" s="10" t="n">
        <f aca="false">IF(Nonlabor!$E$21="Core",0,G3600)</f>
        <v>0</v>
      </c>
      <c r="J3600" s="23" t="str">
        <f aca="false">Nonlabor!$B$21</f>
        <v>SUPPORT</v>
      </c>
    </row>
    <row r="3601" customFormat="false" ht="15" hidden="false" customHeight="false" outlineLevel="0" collapsed="false">
      <c r="A3601" s="6" t="s">
        <v>73</v>
      </c>
      <c r="B3601" s="6" t="s">
        <v>53</v>
      </c>
      <c r="C3601" s="6" t="n">
        <v>56</v>
      </c>
      <c r="D3601" s="25" t="n">
        <f aca="false">EDATE('Start Here'!$B$6,C3601-1)</f>
        <v>48000</v>
      </c>
      <c r="E3601" s="23" t="n">
        <f aca="false">IF(AND(OR(Nonlabor!$D$21="Both",Nonlabor!$D$21='Start Here'!$B$9),IF(Nonlabor!$E$21="Core",1,IF(Nonlabor!$E$21="AI",'Start Here'!$B$7,'Start Here'!$B$8))=1,C3601&gt;=IF(Nonlabor!$E$21="Core",Nonlabor!$F$21,MAX(Nonlabor!$F$21,IF(Nonlabor!$E$21="AI",Assumptions!$E$24,Assumptions!$E$25))),C3601&lt;=Nonlabor!$G$21,OR(Nonlabor!$H$21="Monthly",AND(Nonlabor!$H$21="Once",C3601=IF(Nonlabor!$E$21="Core",Nonlabor!$F$21,MAX(Nonlabor!$F$21,IF(Nonlabor!$E$21="AI",Assumptions!$E$24,Assumptions!$E$25)))),AND(Nonlabor!$H$21="Annual",MOD(C3601-IF(Nonlabor!$E$21="Core",Nonlabor!$F$21,MAX(Nonlabor!$F$21,IF(Nonlabor!$E$21="AI",Assumptions!$E$24,Assumptions!$E$25))),12)=0))),IF(Nonlabor!$I$21="Fixed",1,IF(Nonlabor!$I$21="Seats",ROUNDUP('Monthly Growth'!I61,0),IF(Nonlabor!$I$21="Customers",'Monthly Growth'!D61,IF(Nonlabor!$I$21="NewCustomers",'Monthly Growth'!C61,IF(Nonlabor!$I$21="StorageGB",'Monthly Growth'!G61,IF(Nonlabor!$I$21="LogGB",'Monthly Growth'!H61,IF(Nonlabor!$I$21="RequestsM",'Monthly Growth'!F61,IF(Nonlabor!$I$21="InputM",'Monthly Growth'!D61*Assumptions!$E$22/1000000,IF(Nonlabor!$I$21="OutputM",'Monthly Growth'!D61*Assumptions!$E$23/1000000,0))))))))),0)</f>
        <v>1</v>
      </c>
      <c r="F3601" s="10" t="n">
        <f aca="false">Nonlabor!$J$21*(1+Assumptions!$E$9)^INT((C3601-1)/12)</f>
        <v>116.985856</v>
      </c>
      <c r="G3601" s="10" t="n">
        <f aca="false">E3601*F3601</f>
        <v>116.985856</v>
      </c>
      <c r="H3601" s="10" t="n">
        <f aca="false">IF(OR(Nonlabor!$L$21="Quote required",Nonlabor!$L$21="Unverified"),G3601,0)</f>
        <v>0</v>
      </c>
      <c r="I3601" s="10" t="n">
        <f aca="false">IF(Nonlabor!$E$21="Core",0,G3601)</f>
        <v>0</v>
      </c>
      <c r="J3601" s="23" t="str">
        <f aca="false">Nonlabor!$B$21</f>
        <v>SUPPORT</v>
      </c>
    </row>
    <row r="3602" customFormat="false" ht="15" hidden="false" customHeight="false" outlineLevel="0" collapsed="false">
      <c r="A3602" s="6" t="s">
        <v>73</v>
      </c>
      <c r="B3602" s="6" t="s">
        <v>53</v>
      </c>
      <c r="C3602" s="6" t="n">
        <v>57</v>
      </c>
      <c r="D3602" s="25" t="n">
        <f aca="false">EDATE('Start Here'!$B$6,C3602-1)</f>
        <v>48030</v>
      </c>
      <c r="E3602" s="23" t="n">
        <f aca="false">IF(AND(OR(Nonlabor!$D$21="Both",Nonlabor!$D$21='Start Here'!$B$9),IF(Nonlabor!$E$21="Core",1,IF(Nonlabor!$E$21="AI",'Start Here'!$B$7,'Start Here'!$B$8))=1,C3602&gt;=IF(Nonlabor!$E$21="Core",Nonlabor!$F$21,MAX(Nonlabor!$F$21,IF(Nonlabor!$E$21="AI",Assumptions!$E$24,Assumptions!$E$25))),C3602&lt;=Nonlabor!$G$21,OR(Nonlabor!$H$21="Monthly",AND(Nonlabor!$H$21="Once",C3602=IF(Nonlabor!$E$21="Core",Nonlabor!$F$21,MAX(Nonlabor!$F$21,IF(Nonlabor!$E$21="AI",Assumptions!$E$24,Assumptions!$E$25)))),AND(Nonlabor!$H$21="Annual",MOD(C3602-IF(Nonlabor!$E$21="Core",Nonlabor!$F$21,MAX(Nonlabor!$F$21,IF(Nonlabor!$E$21="AI",Assumptions!$E$24,Assumptions!$E$25))),12)=0))),IF(Nonlabor!$I$21="Fixed",1,IF(Nonlabor!$I$21="Seats",ROUNDUP('Monthly Growth'!I62,0),IF(Nonlabor!$I$21="Customers",'Monthly Growth'!D62,IF(Nonlabor!$I$21="NewCustomers",'Monthly Growth'!C62,IF(Nonlabor!$I$21="StorageGB",'Monthly Growth'!G62,IF(Nonlabor!$I$21="LogGB",'Monthly Growth'!H62,IF(Nonlabor!$I$21="RequestsM",'Monthly Growth'!F62,IF(Nonlabor!$I$21="InputM",'Monthly Growth'!D62*Assumptions!$E$22/1000000,IF(Nonlabor!$I$21="OutputM",'Monthly Growth'!D62*Assumptions!$E$23/1000000,0))))))))),0)</f>
        <v>1</v>
      </c>
      <c r="F3602" s="10" t="n">
        <f aca="false">Nonlabor!$J$21*(1+Assumptions!$E$9)^INT((C3602-1)/12)</f>
        <v>116.985856</v>
      </c>
      <c r="G3602" s="10" t="n">
        <f aca="false">E3602*F3602</f>
        <v>116.985856</v>
      </c>
      <c r="H3602" s="10" t="n">
        <f aca="false">IF(OR(Nonlabor!$L$21="Quote required",Nonlabor!$L$21="Unverified"),G3602,0)</f>
        <v>0</v>
      </c>
      <c r="I3602" s="10" t="n">
        <f aca="false">IF(Nonlabor!$E$21="Core",0,G3602)</f>
        <v>0</v>
      </c>
      <c r="J3602" s="23" t="str">
        <f aca="false">Nonlabor!$B$21</f>
        <v>SUPPORT</v>
      </c>
    </row>
    <row r="3603" customFormat="false" ht="15" hidden="false" customHeight="false" outlineLevel="0" collapsed="false">
      <c r="A3603" s="6" t="s">
        <v>73</v>
      </c>
      <c r="B3603" s="6" t="s">
        <v>53</v>
      </c>
      <c r="C3603" s="6" t="n">
        <v>58</v>
      </c>
      <c r="D3603" s="25" t="n">
        <f aca="false">EDATE('Start Here'!$B$6,C3603-1)</f>
        <v>48061</v>
      </c>
      <c r="E3603" s="23" t="n">
        <f aca="false">IF(AND(OR(Nonlabor!$D$21="Both",Nonlabor!$D$21='Start Here'!$B$9),IF(Nonlabor!$E$21="Core",1,IF(Nonlabor!$E$21="AI",'Start Here'!$B$7,'Start Here'!$B$8))=1,C3603&gt;=IF(Nonlabor!$E$21="Core",Nonlabor!$F$21,MAX(Nonlabor!$F$21,IF(Nonlabor!$E$21="AI",Assumptions!$E$24,Assumptions!$E$25))),C3603&lt;=Nonlabor!$G$21,OR(Nonlabor!$H$21="Monthly",AND(Nonlabor!$H$21="Once",C3603=IF(Nonlabor!$E$21="Core",Nonlabor!$F$21,MAX(Nonlabor!$F$21,IF(Nonlabor!$E$21="AI",Assumptions!$E$24,Assumptions!$E$25)))),AND(Nonlabor!$H$21="Annual",MOD(C3603-IF(Nonlabor!$E$21="Core",Nonlabor!$F$21,MAX(Nonlabor!$F$21,IF(Nonlabor!$E$21="AI",Assumptions!$E$24,Assumptions!$E$25))),12)=0))),IF(Nonlabor!$I$21="Fixed",1,IF(Nonlabor!$I$21="Seats",ROUNDUP('Monthly Growth'!I63,0),IF(Nonlabor!$I$21="Customers",'Monthly Growth'!D63,IF(Nonlabor!$I$21="NewCustomers",'Monthly Growth'!C63,IF(Nonlabor!$I$21="StorageGB",'Monthly Growth'!G63,IF(Nonlabor!$I$21="LogGB",'Monthly Growth'!H63,IF(Nonlabor!$I$21="RequestsM",'Monthly Growth'!F63,IF(Nonlabor!$I$21="InputM",'Monthly Growth'!D63*Assumptions!$E$22/1000000,IF(Nonlabor!$I$21="OutputM",'Monthly Growth'!D63*Assumptions!$E$23/1000000,0))))))))),0)</f>
        <v>1</v>
      </c>
      <c r="F3603" s="10" t="n">
        <f aca="false">Nonlabor!$J$21*(1+Assumptions!$E$9)^INT((C3603-1)/12)</f>
        <v>116.985856</v>
      </c>
      <c r="G3603" s="10" t="n">
        <f aca="false">E3603*F3603</f>
        <v>116.985856</v>
      </c>
      <c r="H3603" s="10" t="n">
        <f aca="false">IF(OR(Nonlabor!$L$21="Quote required",Nonlabor!$L$21="Unverified"),G3603,0)</f>
        <v>0</v>
      </c>
      <c r="I3603" s="10" t="n">
        <f aca="false">IF(Nonlabor!$E$21="Core",0,G3603)</f>
        <v>0</v>
      </c>
      <c r="J3603" s="23" t="str">
        <f aca="false">Nonlabor!$B$21</f>
        <v>SUPPORT</v>
      </c>
    </row>
    <row r="3604" customFormat="false" ht="15" hidden="false" customHeight="false" outlineLevel="0" collapsed="false">
      <c r="A3604" s="6" t="s">
        <v>73</v>
      </c>
      <c r="B3604" s="6" t="s">
        <v>53</v>
      </c>
      <c r="C3604" s="6" t="n">
        <v>59</v>
      </c>
      <c r="D3604" s="25" t="n">
        <f aca="false">EDATE('Start Here'!$B$6,C3604-1)</f>
        <v>48092</v>
      </c>
      <c r="E3604" s="23" t="n">
        <f aca="false">IF(AND(OR(Nonlabor!$D$21="Both",Nonlabor!$D$21='Start Here'!$B$9),IF(Nonlabor!$E$21="Core",1,IF(Nonlabor!$E$21="AI",'Start Here'!$B$7,'Start Here'!$B$8))=1,C3604&gt;=IF(Nonlabor!$E$21="Core",Nonlabor!$F$21,MAX(Nonlabor!$F$21,IF(Nonlabor!$E$21="AI",Assumptions!$E$24,Assumptions!$E$25))),C3604&lt;=Nonlabor!$G$21,OR(Nonlabor!$H$21="Monthly",AND(Nonlabor!$H$21="Once",C3604=IF(Nonlabor!$E$21="Core",Nonlabor!$F$21,MAX(Nonlabor!$F$21,IF(Nonlabor!$E$21="AI",Assumptions!$E$24,Assumptions!$E$25)))),AND(Nonlabor!$H$21="Annual",MOD(C3604-IF(Nonlabor!$E$21="Core",Nonlabor!$F$21,MAX(Nonlabor!$F$21,IF(Nonlabor!$E$21="AI",Assumptions!$E$24,Assumptions!$E$25))),12)=0))),IF(Nonlabor!$I$21="Fixed",1,IF(Nonlabor!$I$21="Seats",ROUNDUP('Monthly Growth'!I64,0),IF(Nonlabor!$I$21="Customers",'Monthly Growth'!D64,IF(Nonlabor!$I$21="NewCustomers",'Monthly Growth'!C64,IF(Nonlabor!$I$21="StorageGB",'Monthly Growth'!G64,IF(Nonlabor!$I$21="LogGB",'Monthly Growth'!H64,IF(Nonlabor!$I$21="RequestsM",'Monthly Growth'!F64,IF(Nonlabor!$I$21="InputM",'Monthly Growth'!D64*Assumptions!$E$22/1000000,IF(Nonlabor!$I$21="OutputM",'Monthly Growth'!D64*Assumptions!$E$23/1000000,0))))))))),0)</f>
        <v>1</v>
      </c>
      <c r="F3604" s="10" t="n">
        <f aca="false">Nonlabor!$J$21*(1+Assumptions!$E$9)^INT((C3604-1)/12)</f>
        <v>116.985856</v>
      </c>
      <c r="G3604" s="10" t="n">
        <f aca="false">E3604*F3604</f>
        <v>116.985856</v>
      </c>
      <c r="H3604" s="10" t="n">
        <f aca="false">IF(OR(Nonlabor!$L$21="Quote required",Nonlabor!$L$21="Unverified"),G3604,0)</f>
        <v>0</v>
      </c>
      <c r="I3604" s="10" t="n">
        <f aca="false">IF(Nonlabor!$E$21="Core",0,G3604)</f>
        <v>0</v>
      </c>
      <c r="J3604" s="23" t="str">
        <f aca="false">Nonlabor!$B$21</f>
        <v>SUPPORT</v>
      </c>
    </row>
    <row r="3605" customFormat="false" ht="15" hidden="false" customHeight="false" outlineLevel="0" collapsed="false">
      <c r="A3605" s="6" t="s">
        <v>73</v>
      </c>
      <c r="B3605" s="6" t="s">
        <v>53</v>
      </c>
      <c r="C3605" s="6" t="n">
        <v>60</v>
      </c>
      <c r="D3605" s="25" t="n">
        <f aca="false">EDATE('Start Here'!$B$6,C3605-1)</f>
        <v>48122</v>
      </c>
      <c r="E3605" s="23" t="n">
        <f aca="false">IF(AND(OR(Nonlabor!$D$21="Both",Nonlabor!$D$21='Start Here'!$B$9),IF(Nonlabor!$E$21="Core",1,IF(Nonlabor!$E$21="AI",'Start Here'!$B$7,'Start Here'!$B$8))=1,C3605&gt;=IF(Nonlabor!$E$21="Core",Nonlabor!$F$21,MAX(Nonlabor!$F$21,IF(Nonlabor!$E$21="AI",Assumptions!$E$24,Assumptions!$E$25))),C3605&lt;=Nonlabor!$G$21,OR(Nonlabor!$H$21="Monthly",AND(Nonlabor!$H$21="Once",C3605=IF(Nonlabor!$E$21="Core",Nonlabor!$F$21,MAX(Nonlabor!$F$21,IF(Nonlabor!$E$21="AI",Assumptions!$E$24,Assumptions!$E$25)))),AND(Nonlabor!$H$21="Annual",MOD(C3605-IF(Nonlabor!$E$21="Core",Nonlabor!$F$21,MAX(Nonlabor!$F$21,IF(Nonlabor!$E$21="AI",Assumptions!$E$24,Assumptions!$E$25))),12)=0))),IF(Nonlabor!$I$21="Fixed",1,IF(Nonlabor!$I$21="Seats",ROUNDUP('Monthly Growth'!I65,0),IF(Nonlabor!$I$21="Customers",'Monthly Growth'!D65,IF(Nonlabor!$I$21="NewCustomers",'Monthly Growth'!C65,IF(Nonlabor!$I$21="StorageGB",'Monthly Growth'!G65,IF(Nonlabor!$I$21="LogGB",'Monthly Growth'!H65,IF(Nonlabor!$I$21="RequestsM",'Monthly Growth'!F65,IF(Nonlabor!$I$21="InputM",'Monthly Growth'!D65*Assumptions!$E$22/1000000,IF(Nonlabor!$I$21="OutputM",'Monthly Growth'!D65*Assumptions!$E$23/1000000,0))))))))),0)</f>
        <v>1</v>
      </c>
      <c r="F3605" s="10" t="n">
        <f aca="false">Nonlabor!$J$21*(1+Assumptions!$E$9)^INT((C3605-1)/12)</f>
        <v>116.985856</v>
      </c>
      <c r="G3605" s="10" t="n">
        <f aca="false">E3605*F3605</f>
        <v>116.985856</v>
      </c>
      <c r="H3605" s="10" t="n">
        <f aca="false">IF(OR(Nonlabor!$L$21="Quote required",Nonlabor!$L$21="Unverified"),G3605,0)</f>
        <v>0</v>
      </c>
      <c r="I3605" s="10" t="n">
        <f aca="false">IF(Nonlabor!$E$21="Core",0,G3605)</f>
        <v>0</v>
      </c>
      <c r="J3605" s="23" t="str">
        <f aca="false">Nonlabor!$B$21</f>
        <v>SUPPORT</v>
      </c>
    </row>
    <row r="3606" customFormat="false" ht="15" hidden="false" customHeight="false" outlineLevel="0" collapsed="false">
      <c r="A3606" s="6" t="s">
        <v>73</v>
      </c>
      <c r="B3606" s="6" t="s">
        <v>55</v>
      </c>
      <c r="C3606" s="6" t="n">
        <v>1</v>
      </c>
      <c r="D3606" s="25" t="n">
        <f aca="false">EDATE('Start Here'!$B$6,C3606-1)</f>
        <v>46327</v>
      </c>
      <c r="E3606" s="23" t="n">
        <f aca="false">IF(AND(OR(Nonlabor!$D$22="Both",Nonlabor!$D$22='Start Here'!$B$9),IF(Nonlabor!$E$22="Core",1,IF(Nonlabor!$E$22="AI",'Start Here'!$B$7,'Start Here'!$B$8))=1,C3606&gt;=IF(Nonlabor!$E$22="Core",Nonlabor!$F$22,MAX(Nonlabor!$F$22,IF(Nonlabor!$E$22="AI",Assumptions!$E$24,Assumptions!$E$25))),C3606&lt;=Nonlabor!$G$22,OR(Nonlabor!$H$22="Monthly",AND(Nonlabor!$H$22="Once",C3606=IF(Nonlabor!$E$22="Core",Nonlabor!$F$22,MAX(Nonlabor!$F$22,IF(Nonlabor!$E$22="AI",Assumptions!$E$24,Assumptions!$E$25)))),AND(Nonlabor!$H$22="Annual",MOD(C3606-IF(Nonlabor!$E$22="Core",Nonlabor!$F$22,MAX(Nonlabor!$F$22,IF(Nonlabor!$E$22="AI",Assumptions!$E$24,Assumptions!$E$25))),12)=0))),IF(Nonlabor!$I$22="Fixed",1,IF(Nonlabor!$I$22="Seats",ROUNDUP('Monthly Growth'!I6,0),IF(Nonlabor!$I$22="Customers",'Monthly Growth'!D6,IF(Nonlabor!$I$22="NewCustomers",'Monthly Growth'!C6,IF(Nonlabor!$I$22="StorageGB",'Monthly Growth'!G6,IF(Nonlabor!$I$22="LogGB",'Monthly Growth'!H6,IF(Nonlabor!$I$22="RequestsM",'Monthly Growth'!F6,IF(Nonlabor!$I$22="InputM",'Monthly Growth'!D6*Assumptions!$E$22/1000000,IF(Nonlabor!$I$22="OutputM",'Monthly Growth'!D6*Assumptions!$E$23/1000000,0))))))))),0)</f>
        <v>0</v>
      </c>
      <c r="F3606" s="10" t="n">
        <f aca="false">Nonlabor!$J$22*(1+Assumptions!$E$9)^INT((C3606-1)/12)</f>
        <v>75</v>
      </c>
      <c r="G3606" s="10" t="n">
        <f aca="false">E3606*F3606</f>
        <v>0</v>
      </c>
      <c r="H3606" s="10" t="n">
        <f aca="false">IF(OR(Nonlabor!$L$22="Quote required",Nonlabor!$L$22="Unverified"),G3606,0)</f>
        <v>0</v>
      </c>
      <c r="I3606" s="10" t="n">
        <f aca="false">IF(Nonlabor!$E$22="Core",0,G3606)</f>
        <v>0</v>
      </c>
      <c r="J3606" s="23" t="str">
        <f aca="false">Nonlabor!$B$22</f>
        <v>MARKETING</v>
      </c>
    </row>
    <row r="3607" customFormat="false" ht="15" hidden="false" customHeight="false" outlineLevel="0" collapsed="false">
      <c r="A3607" s="6" t="s">
        <v>73</v>
      </c>
      <c r="B3607" s="6" t="s">
        <v>55</v>
      </c>
      <c r="C3607" s="6" t="n">
        <v>2</v>
      </c>
      <c r="D3607" s="25" t="n">
        <f aca="false">EDATE('Start Here'!$B$6,C3607-1)</f>
        <v>46357</v>
      </c>
      <c r="E3607" s="23" t="n">
        <f aca="false">IF(AND(OR(Nonlabor!$D$22="Both",Nonlabor!$D$22='Start Here'!$B$9),IF(Nonlabor!$E$22="Core",1,IF(Nonlabor!$E$22="AI",'Start Here'!$B$7,'Start Here'!$B$8))=1,C3607&gt;=IF(Nonlabor!$E$22="Core",Nonlabor!$F$22,MAX(Nonlabor!$F$22,IF(Nonlabor!$E$22="AI",Assumptions!$E$24,Assumptions!$E$25))),C3607&lt;=Nonlabor!$G$22,OR(Nonlabor!$H$22="Monthly",AND(Nonlabor!$H$22="Once",C3607=IF(Nonlabor!$E$22="Core",Nonlabor!$F$22,MAX(Nonlabor!$F$22,IF(Nonlabor!$E$22="AI",Assumptions!$E$24,Assumptions!$E$25)))),AND(Nonlabor!$H$22="Annual",MOD(C3607-IF(Nonlabor!$E$22="Core",Nonlabor!$F$22,MAX(Nonlabor!$F$22,IF(Nonlabor!$E$22="AI",Assumptions!$E$24,Assumptions!$E$25))),12)=0))),IF(Nonlabor!$I$22="Fixed",1,IF(Nonlabor!$I$22="Seats",ROUNDUP('Monthly Growth'!I7,0),IF(Nonlabor!$I$22="Customers",'Monthly Growth'!D7,IF(Nonlabor!$I$22="NewCustomers",'Monthly Growth'!C7,IF(Nonlabor!$I$22="StorageGB",'Monthly Growth'!G7,IF(Nonlabor!$I$22="LogGB",'Monthly Growth'!H7,IF(Nonlabor!$I$22="RequestsM",'Monthly Growth'!F7,IF(Nonlabor!$I$22="InputM",'Monthly Growth'!D7*Assumptions!$E$22/1000000,IF(Nonlabor!$I$22="OutputM",'Monthly Growth'!D7*Assumptions!$E$23/1000000,0))))))))),0)</f>
        <v>0</v>
      </c>
      <c r="F3607" s="10" t="n">
        <f aca="false">Nonlabor!$J$22*(1+Assumptions!$E$9)^INT((C3607-1)/12)</f>
        <v>75</v>
      </c>
      <c r="G3607" s="10" t="n">
        <f aca="false">E3607*F3607</f>
        <v>0</v>
      </c>
      <c r="H3607" s="10" t="n">
        <f aca="false">IF(OR(Nonlabor!$L$22="Quote required",Nonlabor!$L$22="Unverified"),G3607,0)</f>
        <v>0</v>
      </c>
      <c r="I3607" s="10" t="n">
        <f aca="false">IF(Nonlabor!$E$22="Core",0,G3607)</f>
        <v>0</v>
      </c>
      <c r="J3607" s="23" t="str">
        <f aca="false">Nonlabor!$B$22</f>
        <v>MARKETING</v>
      </c>
    </row>
    <row r="3608" customFormat="false" ht="15" hidden="false" customHeight="false" outlineLevel="0" collapsed="false">
      <c r="A3608" s="6" t="s">
        <v>73</v>
      </c>
      <c r="B3608" s="6" t="s">
        <v>55</v>
      </c>
      <c r="C3608" s="6" t="n">
        <v>3</v>
      </c>
      <c r="D3608" s="25" t="n">
        <f aca="false">EDATE('Start Here'!$B$6,C3608-1)</f>
        <v>46388</v>
      </c>
      <c r="E3608" s="23" t="n">
        <f aca="false">IF(AND(OR(Nonlabor!$D$22="Both",Nonlabor!$D$22='Start Here'!$B$9),IF(Nonlabor!$E$22="Core",1,IF(Nonlabor!$E$22="AI",'Start Here'!$B$7,'Start Here'!$B$8))=1,C3608&gt;=IF(Nonlabor!$E$22="Core",Nonlabor!$F$22,MAX(Nonlabor!$F$22,IF(Nonlabor!$E$22="AI",Assumptions!$E$24,Assumptions!$E$25))),C3608&lt;=Nonlabor!$G$22,OR(Nonlabor!$H$22="Monthly",AND(Nonlabor!$H$22="Once",C3608=IF(Nonlabor!$E$22="Core",Nonlabor!$F$22,MAX(Nonlabor!$F$22,IF(Nonlabor!$E$22="AI",Assumptions!$E$24,Assumptions!$E$25)))),AND(Nonlabor!$H$22="Annual",MOD(C3608-IF(Nonlabor!$E$22="Core",Nonlabor!$F$22,MAX(Nonlabor!$F$22,IF(Nonlabor!$E$22="AI",Assumptions!$E$24,Assumptions!$E$25))),12)=0))),IF(Nonlabor!$I$22="Fixed",1,IF(Nonlabor!$I$22="Seats",ROUNDUP('Monthly Growth'!I8,0),IF(Nonlabor!$I$22="Customers",'Monthly Growth'!D8,IF(Nonlabor!$I$22="NewCustomers",'Monthly Growth'!C8,IF(Nonlabor!$I$22="StorageGB",'Monthly Growth'!G8,IF(Nonlabor!$I$22="LogGB",'Monthly Growth'!H8,IF(Nonlabor!$I$22="RequestsM",'Monthly Growth'!F8,IF(Nonlabor!$I$22="InputM",'Monthly Growth'!D8*Assumptions!$E$22/1000000,IF(Nonlabor!$I$22="OutputM",'Monthly Growth'!D8*Assumptions!$E$23/1000000,0))))))))),0)</f>
        <v>0</v>
      </c>
      <c r="F3608" s="10" t="n">
        <f aca="false">Nonlabor!$J$22*(1+Assumptions!$E$9)^INT((C3608-1)/12)</f>
        <v>75</v>
      </c>
      <c r="G3608" s="10" t="n">
        <f aca="false">E3608*F3608</f>
        <v>0</v>
      </c>
      <c r="H3608" s="10" t="n">
        <f aca="false">IF(OR(Nonlabor!$L$22="Quote required",Nonlabor!$L$22="Unverified"),G3608,0)</f>
        <v>0</v>
      </c>
      <c r="I3608" s="10" t="n">
        <f aca="false">IF(Nonlabor!$E$22="Core",0,G3608)</f>
        <v>0</v>
      </c>
      <c r="J3608" s="23" t="str">
        <f aca="false">Nonlabor!$B$22</f>
        <v>MARKETING</v>
      </c>
    </row>
    <row r="3609" customFormat="false" ht="15" hidden="false" customHeight="false" outlineLevel="0" collapsed="false">
      <c r="A3609" s="6" t="s">
        <v>73</v>
      </c>
      <c r="B3609" s="6" t="s">
        <v>55</v>
      </c>
      <c r="C3609" s="6" t="n">
        <v>4</v>
      </c>
      <c r="D3609" s="25" t="n">
        <f aca="false">EDATE('Start Here'!$B$6,C3609-1)</f>
        <v>46419</v>
      </c>
      <c r="E3609" s="23" t="n">
        <f aca="false">IF(AND(OR(Nonlabor!$D$22="Both",Nonlabor!$D$22='Start Here'!$B$9),IF(Nonlabor!$E$22="Core",1,IF(Nonlabor!$E$22="AI",'Start Here'!$B$7,'Start Here'!$B$8))=1,C3609&gt;=IF(Nonlabor!$E$22="Core",Nonlabor!$F$22,MAX(Nonlabor!$F$22,IF(Nonlabor!$E$22="AI",Assumptions!$E$24,Assumptions!$E$25))),C3609&lt;=Nonlabor!$G$22,OR(Nonlabor!$H$22="Monthly",AND(Nonlabor!$H$22="Once",C3609=IF(Nonlabor!$E$22="Core",Nonlabor!$F$22,MAX(Nonlabor!$F$22,IF(Nonlabor!$E$22="AI",Assumptions!$E$24,Assumptions!$E$25)))),AND(Nonlabor!$H$22="Annual",MOD(C3609-IF(Nonlabor!$E$22="Core",Nonlabor!$F$22,MAX(Nonlabor!$F$22,IF(Nonlabor!$E$22="AI",Assumptions!$E$24,Assumptions!$E$25))),12)=0))),IF(Nonlabor!$I$22="Fixed",1,IF(Nonlabor!$I$22="Seats",ROUNDUP('Monthly Growth'!I9,0),IF(Nonlabor!$I$22="Customers",'Monthly Growth'!D9,IF(Nonlabor!$I$22="NewCustomers",'Monthly Growth'!C9,IF(Nonlabor!$I$22="StorageGB",'Monthly Growth'!G9,IF(Nonlabor!$I$22="LogGB",'Monthly Growth'!H9,IF(Nonlabor!$I$22="RequestsM",'Monthly Growth'!F9,IF(Nonlabor!$I$22="InputM",'Monthly Growth'!D9*Assumptions!$E$22/1000000,IF(Nonlabor!$I$22="OutputM",'Monthly Growth'!D9*Assumptions!$E$23/1000000,0))))))))),0)</f>
        <v>0</v>
      </c>
      <c r="F3609" s="10" t="n">
        <f aca="false">Nonlabor!$J$22*(1+Assumptions!$E$9)^INT((C3609-1)/12)</f>
        <v>75</v>
      </c>
      <c r="G3609" s="10" t="n">
        <f aca="false">E3609*F3609</f>
        <v>0</v>
      </c>
      <c r="H3609" s="10" t="n">
        <f aca="false">IF(OR(Nonlabor!$L$22="Quote required",Nonlabor!$L$22="Unverified"),G3609,0)</f>
        <v>0</v>
      </c>
      <c r="I3609" s="10" t="n">
        <f aca="false">IF(Nonlabor!$E$22="Core",0,G3609)</f>
        <v>0</v>
      </c>
      <c r="J3609" s="23" t="str">
        <f aca="false">Nonlabor!$B$22</f>
        <v>MARKETING</v>
      </c>
    </row>
    <row r="3610" customFormat="false" ht="15" hidden="false" customHeight="false" outlineLevel="0" collapsed="false">
      <c r="A3610" s="6" t="s">
        <v>73</v>
      </c>
      <c r="B3610" s="6" t="s">
        <v>55</v>
      </c>
      <c r="C3610" s="6" t="n">
        <v>5</v>
      </c>
      <c r="D3610" s="25" t="n">
        <f aca="false">EDATE('Start Here'!$B$6,C3610-1)</f>
        <v>46447</v>
      </c>
      <c r="E3610" s="23" t="n">
        <f aca="false">IF(AND(OR(Nonlabor!$D$22="Both",Nonlabor!$D$22='Start Here'!$B$9),IF(Nonlabor!$E$22="Core",1,IF(Nonlabor!$E$22="AI",'Start Here'!$B$7,'Start Here'!$B$8))=1,C3610&gt;=IF(Nonlabor!$E$22="Core",Nonlabor!$F$22,MAX(Nonlabor!$F$22,IF(Nonlabor!$E$22="AI",Assumptions!$E$24,Assumptions!$E$25))),C3610&lt;=Nonlabor!$G$22,OR(Nonlabor!$H$22="Monthly",AND(Nonlabor!$H$22="Once",C3610=IF(Nonlabor!$E$22="Core",Nonlabor!$F$22,MAX(Nonlabor!$F$22,IF(Nonlabor!$E$22="AI",Assumptions!$E$24,Assumptions!$E$25)))),AND(Nonlabor!$H$22="Annual",MOD(C3610-IF(Nonlabor!$E$22="Core",Nonlabor!$F$22,MAX(Nonlabor!$F$22,IF(Nonlabor!$E$22="AI",Assumptions!$E$24,Assumptions!$E$25))),12)=0))),IF(Nonlabor!$I$22="Fixed",1,IF(Nonlabor!$I$22="Seats",ROUNDUP('Monthly Growth'!I10,0),IF(Nonlabor!$I$22="Customers",'Monthly Growth'!D10,IF(Nonlabor!$I$22="NewCustomers",'Monthly Growth'!C10,IF(Nonlabor!$I$22="StorageGB",'Monthly Growth'!G10,IF(Nonlabor!$I$22="LogGB",'Monthly Growth'!H10,IF(Nonlabor!$I$22="RequestsM",'Monthly Growth'!F10,IF(Nonlabor!$I$22="InputM",'Monthly Growth'!D10*Assumptions!$E$22/1000000,IF(Nonlabor!$I$22="OutputM",'Monthly Growth'!D10*Assumptions!$E$23/1000000,0))))))))),0)</f>
        <v>0</v>
      </c>
      <c r="F3610" s="10" t="n">
        <f aca="false">Nonlabor!$J$22*(1+Assumptions!$E$9)^INT((C3610-1)/12)</f>
        <v>75</v>
      </c>
      <c r="G3610" s="10" t="n">
        <f aca="false">E3610*F3610</f>
        <v>0</v>
      </c>
      <c r="H3610" s="10" t="n">
        <f aca="false">IF(OR(Nonlabor!$L$22="Quote required",Nonlabor!$L$22="Unverified"),G3610,0)</f>
        <v>0</v>
      </c>
      <c r="I3610" s="10" t="n">
        <f aca="false">IF(Nonlabor!$E$22="Core",0,G3610)</f>
        <v>0</v>
      </c>
      <c r="J3610" s="23" t="str">
        <f aca="false">Nonlabor!$B$22</f>
        <v>MARKETING</v>
      </c>
    </row>
    <row r="3611" customFormat="false" ht="15" hidden="false" customHeight="false" outlineLevel="0" collapsed="false">
      <c r="A3611" s="6" t="s">
        <v>73</v>
      </c>
      <c r="B3611" s="6" t="s">
        <v>55</v>
      </c>
      <c r="C3611" s="6" t="n">
        <v>6</v>
      </c>
      <c r="D3611" s="25" t="n">
        <f aca="false">EDATE('Start Here'!$B$6,C3611-1)</f>
        <v>46478</v>
      </c>
      <c r="E3611" s="23" t="n">
        <f aca="false">IF(AND(OR(Nonlabor!$D$22="Both",Nonlabor!$D$22='Start Here'!$B$9),IF(Nonlabor!$E$22="Core",1,IF(Nonlabor!$E$22="AI",'Start Here'!$B$7,'Start Here'!$B$8))=1,C3611&gt;=IF(Nonlabor!$E$22="Core",Nonlabor!$F$22,MAX(Nonlabor!$F$22,IF(Nonlabor!$E$22="AI",Assumptions!$E$24,Assumptions!$E$25))),C3611&lt;=Nonlabor!$G$22,OR(Nonlabor!$H$22="Monthly",AND(Nonlabor!$H$22="Once",C3611=IF(Nonlabor!$E$22="Core",Nonlabor!$F$22,MAX(Nonlabor!$F$22,IF(Nonlabor!$E$22="AI",Assumptions!$E$24,Assumptions!$E$25)))),AND(Nonlabor!$H$22="Annual",MOD(C3611-IF(Nonlabor!$E$22="Core",Nonlabor!$F$22,MAX(Nonlabor!$F$22,IF(Nonlabor!$E$22="AI",Assumptions!$E$24,Assumptions!$E$25))),12)=0))),IF(Nonlabor!$I$22="Fixed",1,IF(Nonlabor!$I$22="Seats",ROUNDUP('Monthly Growth'!I11,0),IF(Nonlabor!$I$22="Customers",'Monthly Growth'!D11,IF(Nonlabor!$I$22="NewCustomers",'Monthly Growth'!C11,IF(Nonlabor!$I$22="StorageGB",'Monthly Growth'!G11,IF(Nonlabor!$I$22="LogGB",'Monthly Growth'!H11,IF(Nonlabor!$I$22="RequestsM",'Monthly Growth'!F11,IF(Nonlabor!$I$22="InputM",'Monthly Growth'!D11*Assumptions!$E$22/1000000,IF(Nonlabor!$I$22="OutputM",'Monthly Growth'!D11*Assumptions!$E$23/1000000,0))))))))),0)</f>
        <v>0</v>
      </c>
      <c r="F3611" s="10" t="n">
        <f aca="false">Nonlabor!$J$22*(1+Assumptions!$E$9)^INT((C3611-1)/12)</f>
        <v>75</v>
      </c>
      <c r="G3611" s="10" t="n">
        <f aca="false">E3611*F3611</f>
        <v>0</v>
      </c>
      <c r="H3611" s="10" t="n">
        <f aca="false">IF(OR(Nonlabor!$L$22="Quote required",Nonlabor!$L$22="Unverified"),G3611,0)</f>
        <v>0</v>
      </c>
      <c r="I3611" s="10" t="n">
        <f aca="false">IF(Nonlabor!$E$22="Core",0,G3611)</f>
        <v>0</v>
      </c>
      <c r="J3611" s="23" t="str">
        <f aca="false">Nonlabor!$B$22</f>
        <v>MARKETING</v>
      </c>
    </row>
    <row r="3612" customFormat="false" ht="15" hidden="false" customHeight="false" outlineLevel="0" collapsed="false">
      <c r="A3612" s="6" t="s">
        <v>73</v>
      </c>
      <c r="B3612" s="6" t="s">
        <v>55</v>
      </c>
      <c r="C3612" s="6" t="n">
        <v>7</v>
      </c>
      <c r="D3612" s="25" t="n">
        <f aca="false">EDATE('Start Here'!$B$6,C3612-1)</f>
        <v>46508</v>
      </c>
      <c r="E3612" s="23" t="n">
        <f aca="false">IF(AND(OR(Nonlabor!$D$22="Both",Nonlabor!$D$22='Start Here'!$B$9),IF(Nonlabor!$E$22="Core",1,IF(Nonlabor!$E$22="AI",'Start Here'!$B$7,'Start Here'!$B$8))=1,C3612&gt;=IF(Nonlabor!$E$22="Core",Nonlabor!$F$22,MAX(Nonlabor!$F$22,IF(Nonlabor!$E$22="AI",Assumptions!$E$24,Assumptions!$E$25))),C3612&lt;=Nonlabor!$G$22,OR(Nonlabor!$H$22="Monthly",AND(Nonlabor!$H$22="Once",C3612=IF(Nonlabor!$E$22="Core",Nonlabor!$F$22,MAX(Nonlabor!$F$22,IF(Nonlabor!$E$22="AI",Assumptions!$E$24,Assumptions!$E$25)))),AND(Nonlabor!$H$22="Annual",MOD(C3612-IF(Nonlabor!$E$22="Core",Nonlabor!$F$22,MAX(Nonlabor!$F$22,IF(Nonlabor!$E$22="AI",Assumptions!$E$24,Assumptions!$E$25))),12)=0))),IF(Nonlabor!$I$22="Fixed",1,IF(Nonlabor!$I$22="Seats",ROUNDUP('Monthly Growth'!I12,0),IF(Nonlabor!$I$22="Customers",'Monthly Growth'!D12,IF(Nonlabor!$I$22="NewCustomers",'Monthly Growth'!C12,IF(Nonlabor!$I$22="StorageGB",'Monthly Growth'!G12,IF(Nonlabor!$I$22="LogGB",'Monthly Growth'!H12,IF(Nonlabor!$I$22="RequestsM",'Monthly Growth'!F12,IF(Nonlabor!$I$22="InputM",'Monthly Growth'!D12*Assumptions!$E$22/1000000,IF(Nonlabor!$I$22="OutputM",'Monthly Growth'!D12*Assumptions!$E$23/1000000,0))))))))),0)</f>
        <v>0</v>
      </c>
      <c r="F3612" s="10" t="n">
        <f aca="false">Nonlabor!$J$22*(1+Assumptions!$E$9)^INT((C3612-1)/12)</f>
        <v>75</v>
      </c>
      <c r="G3612" s="10" t="n">
        <f aca="false">E3612*F3612</f>
        <v>0</v>
      </c>
      <c r="H3612" s="10" t="n">
        <f aca="false">IF(OR(Nonlabor!$L$22="Quote required",Nonlabor!$L$22="Unverified"),G3612,0)</f>
        <v>0</v>
      </c>
      <c r="I3612" s="10" t="n">
        <f aca="false">IF(Nonlabor!$E$22="Core",0,G3612)</f>
        <v>0</v>
      </c>
      <c r="J3612" s="23" t="str">
        <f aca="false">Nonlabor!$B$22</f>
        <v>MARKETING</v>
      </c>
    </row>
    <row r="3613" customFormat="false" ht="15" hidden="false" customHeight="false" outlineLevel="0" collapsed="false">
      <c r="A3613" s="6" t="s">
        <v>73</v>
      </c>
      <c r="B3613" s="6" t="s">
        <v>55</v>
      </c>
      <c r="C3613" s="6" t="n">
        <v>8</v>
      </c>
      <c r="D3613" s="25" t="n">
        <f aca="false">EDATE('Start Here'!$B$6,C3613-1)</f>
        <v>46539</v>
      </c>
      <c r="E3613" s="23" t="n">
        <f aca="false">IF(AND(OR(Nonlabor!$D$22="Both",Nonlabor!$D$22='Start Here'!$B$9),IF(Nonlabor!$E$22="Core",1,IF(Nonlabor!$E$22="AI",'Start Here'!$B$7,'Start Here'!$B$8))=1,C3613&gt;=IF(Nonlabor!$E$22="Core",Nonlabor!$F$22,MAX(Nonlabor!$F$22,IF(Nonlabor!$E$22="AI",Assumptions!$E$24,Assumptions!$E$25))),C3613&lt;=Nonlabor!$G$22,OR(Nonlabor!$H$22="Monthly",AND(Nonlabor!$H$22="Once",C3613=IF(Nonlabor!$E$22="Core",Nonlabor!$F$22,MAX(Nonlabor!$F$22,IF(Nonlabor!$E$22="AI",Assumptions!$E$24,Assumptions!$E$25)))),AND(Nonlabor!$H$22="Annual",MOD(C3613-IF(Nonlabor!$E$22="Core",Nonlabor!$F$22,MAX(Nonlabor!$F$22,IF(Nonlabor!$E$22="AI",Assumptions!$E$24,Assumptions!$E$25))),12)=0))),IF(Nonlabor!$I$22="Fixed",1,IF(Nonlabor!$I$22="Seats",ROUNDUP('Monthly Growth'!I13,0),IF(Nonlabor!$I$22="Customers",'Monthly Growth'!D13,IF(Nonlabor!$I$22="NewCustomers",'Monthly Growth'!C13,IF(Nonlabor!$I$22="StorageGB",'Monthly Growth'!G13,IF(Nonlabor!$I$22="LogGB",'Monthly Growth'!H13,IF(Nonlabor!$I$22="RequestsM",'Monthly Growth'!F13,IF(Nonlabor!$I$22="InputM",'Monthly Growth'!D13*Assumptions!$E$22/1000000,IF(Nonlabor!$I$22="OutputM",'Monthly Growth'!D13*Assumptions!$E$23/1000000,0))))))))),0)</f>
        <v>0</v>
      </c>
      <c r="F3613" s="10" t="n">
        <f aca="false">Nonlabor!$J$22*(1+Assumptions!$E$9)^INT((C3613-1)/12)</f>
        <v>75</v>
      </c>
      <c r="G3613" s="10" t="n">
        <f aca="false">E3613*F3613</f>
        <v>0</v>
      </c>
      <c r="H3613" s="10" t="n">
        <f aca="false">IF(OR(Nonlabor!$L$22="Quote required",Nonlabor!$L$22="Unverified"),G3613,0)</f>
        <v>0</v>
      </c>
      <c r="I3613" s="10" t="n">
        <f aca="false">IF(Nonlabor!$E$22="Core",0,G3613)</f>
        <v>0</v>
      </c>
      <c r="J3613" s="23" t="str">
        <f aca="false">Nonlabor!$B$22</f>
        <v>MARKETING</v>
      </c>
    </row>
    <row r="3614" customFormat="false" ht="15" hidden="false" customHeight="false" outlineLevel="0" collapsed="false">
      <c r="A3614" s="6" t="s">
        <v>73</v>
      </c>
      <c r="B3614" s="6" t="s">
        <v>55</v>
      </c>
      <c r="C3614" s="6" t="n">
        <v>9</v>
      </c>
      <c r="D3614" s="25" t="n">
        <f aca="false">EDATE('Start Here'!$B$6,C3614-1)</f>
        <v>46569</v>
      </c>
      <c r="E3614" s="23" t="n">
        <f aca="false">IF(AND(OR(Nonlabor!$D$22="Both",Nonlabor!$D$22='Start Here'!$B$9),IF(Nonlabor!$E$22="Core",1,IF(Nonlabor!$E$22="AI",'Start Here'!$B$7,'Start Here'!$B$8))=1,C3614&gt;=IF(Nonlabor!$E$22="Core",Nonlabor!$F$22,MAX(Nonlabor!$F$22,IF(Nonlabor!$E$22="AI",Assumptions!$E$24,Assumptions!$E$25))),C3614&lt;=Nonlabor!$G$22,OR(Nonlabor!$H$22="Monthly",AND(Nonlabor!$H$22="Once",C3614=IF(Nonlabor!$E$22="Core",Nonlabor!$F$22,MAX(Nonlabor!$F$22,IF(Nonlabor!$E$22="AI",Assumptions!$E$24,Assumptions!$E$25)))),AND(Nonlabor!$H$22="Annual",MOD(C3614-IF(Nonlabor!$E$22="Core",Nonlabor!$F$22,MAX(Nonlabor!$F$22,IF(Nonlabor!$E$22="AI",Assumptions!$E$24,Assumptions!$E$25))),12)=0))),IF(Nonlabor!$I$22="Fixed",1,IF(Nonlabor!$I$22="Seats",ROUNDUP('Monthly Growth'!I14,0),IF(Nonlabor!$I$22="Customers",'Monthly Growth'!D14,IF(Nonlabor!$I$22="NewCustomers",'Monthly Growth'!C14,IF(Nonlabor!$I$22="StorageGB",'Monthly Growth'!G14,IF(Nonlabor!$I$22="LogGB",'Monthly Growth'!H14,IF(Nonlabor!$I$22="RequestsM",'Monthly Growth'!F14,IF(Nonlabor!$I$22="InputM",'Monthly Growth'!D14*Assumptions!$E$22/1000000,IF(Nonlabor!$I$22="OutputM",'Monthly Growth'!D14*Assumptions!$E$23/1000000,0))))))))),0)</f>
        <v>0</v>
      </c>
      <c r="F3614" s="10" t="n">
        <f aca="false">Nonlabor!$J$22*(1+Assumptions!$E$9)^INT((C3614-1)/12)</f>
        <v>75</v>
      </c>
      <c r="G3614" s="10" t="n">
        <f aca="false">E3614*F3614</f>
        <v>0</v>
      </c>
      <c r="H3614" s="10" t="n">
        <f aca="false">IF(OR(Nonlabor!$L$22="Quote required",Nonlabor!$L$22="Unverified"),G3614,0)</f>
        <v>0</v>
      </c>
      <c r="I3614" s="10" t="n">
        <f aca="false">IF(Nonlabor!$E$22="Core",0,G3614)</f>
        <v>0</v>
      </c>
      <c r="J3614" s="23" t="str">
        <f aca="false">Nonlabor!$B$22</f>
        <v>MARKETING</v>
      </c>
    </row>
    <row r="3615" customFormat="false" ht="15" hidden="false" customHeight="false" outlineLevel="0" collapsed="false">
      <c r="A3615" s="6" t="s">
        <v>73</v>
      </c>
      <c r="B3615" s="6" t="s">
        <v>55</v>
      </c>
      <c r="C3615" s="6" t="n">
        <v>10</v>
      </c>
      <c r="D3615" s="25" t="n">
        <f aca="false">EDATE('Start Here'!$B$6,C3615-1)</f>
        <v>46600</v>
      </c>
      <c r="E3615" s="11" t="n">
        <f aca="false">IF(AND(OR(Nonlabor!$D$22="Both",Nonlabor!$D$22='Start Here'!$B$9),IF(Nonlabor!$E$22="Core",1,IF(Nonlabor!$E$22="AI",'Start Here'!$B$7,'Start Here'!$B$8))=1,C3615&gt;=IF(Nonlabor!$E$22="Core",Nonlabor!$F$22,MAX(Nonlabor!$F$22,IF(Nonlabor!$E$22="AI",Assumptions!$E$24,Assumptions!$E$25))),C3615&lt;=Nonlabor!$G$22,OR(Nonlabor!$H$22="Monthly",AND(Nonlabor!$H$22="Once",C3615=IF(Nonlabor!$E$22="Core",Nonlabor!$F$22,MAX(Nonlabor!$F$22,IF(Nonlabor!$E$22="AI",Assumptions!$E$24,Assumptions!$E$25)))),AND(Nonlabor!$H$22="Annual",MOD(C3615-IF(Nonlabor!$E$22="Core",Nonlabor!$F$22,MAX(Nonlabor!$F$22,IF(Nonlabor!$E$22="AI",Assumptions!$E$24,Assumptions!$E$25))),12)=0))),IF(Nonlabor!$I$22="Fixed",1,IF(Nonlabor!$I$22="Seats",ROUNDUP('Monthly Growth'!I15,0),IF(Nonlabor!$I$22="Customers",'Monthly Growth'!D15,IF(Nonlabor!$I$22="NewCustomers",'Monthly Growth'!C15,IF(Nonlabor!$I$22="StorageGB",'Monthly Growth'!G15,IF(Nonlabor!$I$22="LogGB",'Monthly Growth'!H15,IF(Nonlabor!$I$22="RequestsM",'Monthly Growth'!F15,IF(Nonlabor!$I$22="InputM",'Monthly Growth'!D15*Assumptions!$E$22/1000000,IF(Nonlabor!$I$22="OutputM",'Monthly Growth'!D15*Assumptions!$E$23/1000000,0))))))))),0)</f>
        <v>0</v>
      </c>
      <c r="F3615" s="10" t="n">
        <f aca="false">Nonlabor!$J$22*(1+Assumptions!$E$9)^INT((C3615-1)/12)</f>
        <v>75</v>
      </c>
      <c r="G3615" s="10" t="n">
        <f aca="false">E3615*F3615</f>
        <v>0</v>
      </c>
      <c r="H3615" s="10" t="n">
        <f aca="false">IF(OR(Nonlabor!$L$22="Quote required",Nonlabor!$L$22="Unverified"),G3615,0)</f>
        <v>0</v>
      </c>
      <c r="I3615" s="10" t="n">
        <f aca="false">IF(Nonlabor!$E$22="Core",0,G3615)</f>
        <v>0</v>
      </c>
      <c r="J3615" s="23" t="str">
        <f aca="false">Nonlabor!$B$22</f>
        <v>MARKETING</v>
      </c>
    </row>
    <row r="3616" customFormat="false" ht="15" hidden="false" customHeight="false" outlineLevel="0" collapsed="false">
      <c r="A3616" s="6" t="s">
        <v>73</v>
      </c>
      <c r="B3616" s="6" t="s">
        <v>55</v>
      </c>
      <c r="C3616" s="6" t="n">
        <v>11</v>
      </c>
      <c r="D3616" s="25" t="n">
        <f aca="false">EDATE('Start Here'!$B$6,C3616-1)</f>
        <v>46631</v>
      </c>
      <c r="E3616" s="11" t="n">
        <f aca="false">IF(AND(OR(Nonlabor!$D$22="Both",Nonlabor!$D$22='Start Here'!$B$9),IF(Nonlabor!$E$22="Core",1,IF(Nonlabor!$E$22="AI",'Start Here'!$B$7,'Start Here'!$B$8))=1,C3616&gt;=IF(Nonlabor!$E$22="Core",Nonlabor!$F$22,MAX(Nonlabor!$F$22,IF(Nonlabor!$E$22="AI",Assumptions!$E$24,Assumptions!$E$25))),C3616&lt;=Nonlabor!$G$22,OR(Nonlabor!$H$22="Monthly",AND(Nonlabor!$H$22="Once",C3616=IF(Nonlabor!$E$22="Core",Nonlabor!$F$22,MAX(Nonlabor!$F$22,IF(Nonlabor!$E$22="AI",Assumptions!$E$24,Assumptions!$E$25)))),AND(Nonlabor!$H$22="Annual",MOD(C3616-IF(Nonlabor!$E$22="Core",Nonlabor!$F$22,MAX(Nonlabor!$F$22,IF(Nonlabor!$E$22="AI",Assumptions!$E$24,Assumptions!$E$25))),12)=0))),IF(Nonlabor!$I$22="Fixed",1,IF(Nonlabor!$I$22="Seats",ROUNDUP('Monthly Growth'!I16,0),IF(Nonlabor!$I$22="Customers",'Monthly Growth'!D16,IF(Nonlabor!$I$22="NewCustomers",'Monthly Growth'!C16,IF(Nonlabor!$I$22="StorageGB",'Monthly Growth'!G16,IF(Nonlabor!$I$22="LogGB",'Monthly Growth'!H16,IF(Nonlabor!$I$22="RequestsM",'Monthly Growth'!F16,IF(Nonlabor!$I$22="InputM",'Monthly Growth'!D16*Assumptions!$E$22/1000000,IF(Nonlabor!$I$22="OutputM",'Monthly Growth'!D16*Assumptions!$E$23/1000000,0))))))))),0)</f>
        <v>0</v>
      </c>
      <c r="F3616" s="10" t="n">
        <f aca="false">Nonlabor!$J$22*(1+Assumptions!$E$9)^INT((C3616-1)/12)</f>
        <v>75</v>
      </c>
      <c r="G3616" s="10" t="n">
        <f aca="false">E3616*F3616</f>
        <v>0</v>
      </c>
      <c r="H3616" s="10" t="n">
        <f aca="false">IF(OR(Nonlabor!$L$22="Quote required",Nonlabor!$L$22="Unverified"),G3616,0)</f>
        <v>0</v>
      </c>
      <c r="I3616" s="10" t="n">
        <f aca="false">IF(Nonlabor!$E$22="Core",0,G3616)</f>
        <v>0</v>
      </c>
      <c r="J3616" s="23" t="str">
        <f aca="false">Nonlabor!$B$22</f>
        <v>MARKETING</v>
      </c>
    </row>
    <row r="3617" customFormat="false" ht="15" hidden="false" customHeight="false" outlineLevel="0" collapsed="false">
      <c r="A3617" s="6" t="s">
        <v>73</v>
      </c>
      <c r="B3617" s="6" t="s">
        <v>55</v>
      </c>
      <c r="C3617" s="6" t="n">
        <v>12</v>
      </c>
      <c r="D3617" s="25" t="n">
        <f aca="false">EDATE('Start Here'!$B$6,C3617-1)</f>
        <v>46661</v>
      </c>
      <c r="E3617" s="11" t="n">
        <f aca="false">IF(AND(OR(Nonlabor!$D$22="Both",Nonlabor!$D$22='Start Here'!$B$9),IF(Nonlabor!$E$22="Core",1,IF(Nonlabor!$E$22="AI",'Start Here'!$B$7,'Start Here'!$B$8))=1,C3617&gt;=IF(Nonlabor!$E$22="Core",Nonlabor!$F$22,MAX(Nonlabor!$F$22,IF(Nonlabor!$E$22="AI",Assumptions!$E$24,Assumptions!$E$25))),C3617&lt;=Nonlabor!$G$22,OR(Nonlabor!$H$22="Monthly",AND(Nonlabor!$H$22="Once",C3617=IF(Nonlabor!$E$22="Core",Nonlabor!$F$22,MAX(Nonlabor!$F$22,IF(Nonlabor!$E$22="AI",Assumptions!$E$24,Assumptions!$E$25)))),AND(Nonlabor!$H$22="Annual",MOD(C3617-IF(Nonlabor!$E$22="Core",Nonlabor!$F$22,MAX(Nonlabor!$F$22,IF(Nonlabor!$E$22="AI",Assumptions!$E$24,Assumptions!$E$25))),12)=0))),IF(Nonlabor!$I$22="Fixed",1,IF(Nonlabor!$I$22="Seats",ROUNDUP('Monthly Growth'!I17,0),IF(Nonlabor!$I$22="Customers",'Monthly Growth'!D17,IF(Nonlabor!$I$22="NewCustomers",'Monthly Growth'!C17,IF(Nonlabor!$I$22="StorageGB",'Monthly Growth'!G17,IF(Nonlabor!$I$22="LogGB",'Monthly Growth'!H17,IF(Nonlabor!$I$22="RequestsM",'Monthly Growth'!F17,IF(Nonlabor!$I$22="InputM",'Monthly Growth'!D17*Assumptions!$E$22/1000000,IF(Nonlabor!$I$22="OutputM",'Monthly Growth'!D17*Assumptions!$E$23/1000000,0))))))))),0)</f>
        <v>2</v>
      </c>
      <c r="F3617" s="10" t="n">
        <f aca="false">Nonlabor!$J$22*(1+Assumptions!$E$9)^INT((C3617-1)/12)</f>
        <v>75</v>
      </c>
      <c r="G3617" s="10" t="n">
        <f aca="false">E3617*F3617</f>
        <v>150</v>
      </c>
      <c r="H3617" s="10" t="n">
        <f aca="false">IF(OR(Nonlabor!$L$22="Quote required",Nonlabor!$L$22="Unverified"),G3617,0)</f>
        <v>0</v>
      </c>
      <c r="I3617" s="10" t="n">
        <f aca="false">IF(Nonlabor!$E$22="Core",0,G3617)</f>
        <v>0</v>
      </c>
      <c r="J3617" s="23" t="str">
        <f aca="false">Nonlabor!$B$22</f>
        <v>MARKETING</v>
      </c>
    </row>
    <row r="3618" customFormat="false" ht="15" hidden="false" customHeight="false" outlineLevel="0" collapsed="false">
      <c r="A3618" s="6" t="s">
        <v>73</v>
      </c>
      <c r="B3618" s="6" t="s">
        <v>55</v>
      </c>
      <c r="C3618" s="6" t="n">
        <v>13</v>
      </c>
      <c r="D3618" s="25" t="n">
        <f aca="false">EDATE('Start Here'!$B$6,C3618-1)</f>
        <v>46692</v>
      </c>
      <c r="E3618" s="11" t="n">
        <f aca="false">IF(AND(OR(Nonlabor!$D$22="Both",Nonlabor!$D$22='Start Here'!$B$9),IF(Nonlabor!$E$22="Core",1,IF(Nonlabor!$E$22="AI",'Start Here'!$B$7,'Start Here'!$B$8))=1,C3618&gt;=IF(Nonlabor!$E$22="Core",Nonlabor!$F$22,MAX(Nonlabor!$F$22,IF(Nonlabor!$E$22="AI",Assumptions!$E$24,Assumptions!$E$25))),C3618&lt;=Nonlabor!$G$22,OR(Nonlabor!$H$22="Monthly",AND(Nonlabor!$H$22="Once",C3618=IF(Nonlabor!$E$22="Core",Nonlabor!$F$22,MAX(Nonlabor!$F$22,IF(Nonlabor!$E$22="AI",Assumptions!$E$24,Assumptions!$E$25)))),AND(Nonlabor!$H$22="Annual",MOD(C3618-IF(Nonlabor!$E$22="Core",Nonlabor!$F$22,MAX(Nonlabor!$F$22,IF(Nonlabor!$E$22="AI",Assumptions!$E$24,Assumptions!$E$25))),12)=0))),IF(Nonlabor!$I$22="Fixed",1,IF(Nonlabor!$I$22="Seats",ROUNDUP('Monthly Growth'!I18,0),IF(Nonlabor!$I$22="Customers",'Monthly Growth'!D18,IF(Nonlabor!$I$22="NewCustomers",'Monthly Growth'!C18,IF(Nonlabor!$I$22="StorageGB",'Monthly Growth'!G18,IF(Nonlabor!$I$22="LogGB",'Monthly Growth'!H18,IF(Nonlabor!$I$22="RequestsM",'Monthly Growth'!F18,IF(Nonlabor!$I$22="InputM",'Monthly Growth'!D18*Assumptions!$E$22/1000000,IF(Nonlabor!$I$22="OutputM",'Monthly Growth'!D18*Assumptions!$E$23/1000000,0))))))))),0)</f>
        <v>3.98</v>
      </c>
      <c r="F3618" s="10" t="n">
        <f aca="false">Nonlabor!$J$22*(1+Assumptions!$E$9)^INT((C3618-1)/12)</f>
        <v>78</v>
      </c>
      <c r="G3618" s="10" t="n">
        <f aca="false">E3618*F3618</f>
        <v>310.44</v>
      </c>
      <c r="H3618" s="10" t="n">
        <f aca="false">IF(OR(Nonlabor!$L$22="Quote required",Nonlabor!$L$22="Unverified"),G3618,0)</f>
        <v>0</v>
      </c>
      <c r="I3618" s="10" t="n">
        <f aca="false">IF(Nonlabor!$E$22="Core",0,G3618)</f>
        <v>0</v>
      </c>
      <c r="J3618" s="23" t="str">
        <f aca="false">Nonlabor!$B$22</f>
        <v>MARKETING</v>
      </c>
    </row>
    <row r="3619" customFormat="false" ht="15" hidden="false" customHeight="false" outlineLevel="0" collapsed="false">
      <c r="A3619" s="6" t="s">
        <v>73</v>
      </c>
      <c r="B3619" s="6" t="s">
        <v>55</v>
      </c>
      <c r="C3619" s="6" t="n">
        <v>14</v>
      </c>
      <c r="D3619" s="25" t="n">
        <f aca="false">EDATE('Start Here'!$B$6,C3619-1)</f>
        <v>46722</v>
      </c>
      <c r="E3619" s="11" t="n">
        <f aca="false">IF(AND(OR(Nonlabor!$D$22="Both",Nonlabor!$D$22='Start Here'!$B$9),IF(Nonlabor!$E$22="Core",1,IF(Nonlabor!$E$22="AI",'Start Here'!$B$7,'Start Here'!$B$8))=1,C3619&gt;=IF(Nonlabor!$E$22="Core",Nonlabor!$F$22,MAX(Nonlabor!$F$22,IF(Nonlabor!$E$22="AI",Assumptions!$E$24,Assumptions!$E$25))),C3619&lt;=Nonlabor!$G$22,OR(Nonlabor!$H$22="Monthly",AND(Nonlabor!$H$22="Once",C3619=IF(Nonlabor!$E$22="Core",Nonlabor!$F$22,MAX(Nonlabor!$F$22,IF(Nonlabor!$E$22="AI",Assumptions!$E$24,Assumptions!$E$25)))),AND(Nonlabor!$H$22="Annual",MOD(C3619-IF(Nonlabor!$E$22="Core",Nonlabor!$F$22,MAX(Nonlabor!$F$22,IF(Nonlabor!$E$22="AI",Assumptions!$E$24,Assumptions!$E$25))),12)=0))),IF(Nonlabor!$I$22="Fixed",1,IF(Nonlabor!$I$22="Seats",ROUNDUP('Monthly Growth'!I19,0),IF(Nonlabor!$I$22="Customers",'Monthly Growth'!D19,IF(Nonlabor!$I$22="NewCustomers",'Monthly Growth'!C19,IF(Nonlabor!$I$22="StorageGB",'Monthly Growth'!G19,IF(Nonlabor!$I$22="LogGB",'Monthly Growth'!H19,IF(Nonlabor!$I$22="RequestsM",'Monthly Growth'!F19,IF(Nonlabor!$I$22="InputM",'Monthly Growth'!D19*Assumptions!$E$22/1000000,IF(Nonlabor!$I$22="OutputM",'Monthly Growth'!D19*Assumptions!$E$23/1000000,0))))))))),0)</f>
        <v>5.9402</v>
      </c>
      <c r="F3619" s="10" t="n">
        <f aca="false">Nonlabor!$J$22*(1+Assumptions!$E$9)^INT((C3619-1)/12)</f>
        <v>78</v>
      </c>
      <c r="G3619" s="10" t="n">
        <f aca="false">E3619*F3619</f>
        <v>463.3356</v>
      </c>
      <c r="H3619" s="10" t="n">
        <f aca="false">IF(OR(Nonlabor!$L$22="Quote required",Nonlabor!$L$22="Unverified"),G3619,0)</f>
        <v>0</v>
      </c>
      <c r="I3619" s="10" t="n">
        <f aca="false">IF(Nonlabor!$E$22="Core",0,G3619)</f>
        <v>0</v>
      </c>
      <c r="J3619" s="23" t="str">
        <f aca="false">Nonlabor!$B$22</f>
        <v>MARKETING</v>
      </c>
    </row>
    <row r="3620" customFormat="false" ht="15" hidden="false" customHeight="false" outlineLevel="0" collapsed="false">
      <c r="A3620" s="6" t="s">
        <v>73</v>
      </c>
      <c r="B3620" s="6" t="s">
        <v>55</v>
      </c>
      <c r="C3620" s="6" t="n">
        <v>15</v>
      </c>
      <c r="D3620" s="25" t="n">
        <f aca="false">EDATE('Start Here'!$B$6,C3620-1)</f>
        <v>46753</v>
      </c>
      <c r="E3620" s="11" t="n">
        <f aca="false">IF(AND(OR(Nonlabor!$D$22="Both",Nonlabor!$D$22='Start Here'!$B$9),IF(Nonlabor!$E$22="Core",1,IF(Nonlabor!$E$22="AI",'Start Here'!$B$7,'Start Here'!$B$8))=1,C3620&gt;=IF(Nonlabor!$E$22="Core",Nonlabor!$F$22,MAX(Nonlabor!$F$22,IF(Nonlabor!$E$22="AI",Assumptions!$E$24,Assumptions!$E$25))),C3620&lt;=Nonlabor!$G$22,OR(Nonlabor!$H$22="Monthly",AND(Nonlabor!$H$22="Once",C3620=IF(Nonlabor!$E$22="Core",Nonlabor!$F$22,MAX(Nonlabor!$F$22,IF(Nonlabor!$E$22="AI",Assumptions!$E$24,Assumptions!$E$25)))),AND(Nonlabor!$H$22="Annual",MOD(C3620-IF(Nonlabor!$E$22="Core",Nonlabor!$F$22,MAX(Nonlabor!$F$22,IF(Nonlabor!$E$22="AI",Assumptions!$E$24,Assumptions!$E$25))),12)=0))),IF(Nonlabor!$I$22="Fixed",1,IF(Nonlabor!$I$22="Seats",ROUNDUP('Monthly Growth'!I20,0),IF(Nonlabor!$I$22="Customers",'Monthly Growth'!D20,IF(Nonlabor!$I$22="NewCustomers",'Monthly Growth'!C20,IF(Nonlabor!$I$22="StorageGB",'Monthly Growth'!G20,IF(Nonlabor!$I$22="LogGB",'Monthly Growth'!H20,IF(Nonlabor!$I$22="RequestsM",'Monthly Growth'!F20,IF(Nonlabor!$I$22="InputM",'Monthly Growth'!D20*Assumptions!$E$22/1000000,IF(Nonlabor!$I$22="OutputM",'Monthly Growth'!D20*Assumptions!$E$23/1000000,0))))))))),0)</f>
        <v>7.880798</v>
      </c>
      <c r="F3620" s="10" t="n">
        <f aca="false">Nonlabor!$J$22*(1+Assumptions!$E$9)^INT((C3620-1)/12)</f>
        <v>78</v>
      </c>
      <c r="G3620" s="10" t="n">
        <f aca="false">E3620*F3620</f>
        <v>614.702244</v>
      </c>
      <c r="H3620" s="10" t="n">
        <f aca="false">IF(OR(Nonlabor!$L$22="Quote required",Nonlabor!$L$22="Unverified"),G3620,0)</f>
        <v>0</v>
      </c>
      <c r="I3620" s="10" t="n">
        <f aca="false">IF(Nonlabor!$E$22="Core",0,G3620)</f>
        <v>0</v>
      </c>
      <c r="J3620" s="23" t="str">
        <f aca="false">Nonlabor!$B$22</f>
        <v>MARKETING</v>
      </c>
    </row>
    <row r="3621" customFormat="false" ht="15" hidden="false" customHeight="false" outlineLevel="0" collapsed="false">
      <c r="A3621" s="6" t="s">
        <v>73</v>
      </c>
      <c r="B3621" s="6" t="s">
        <v>55</v>
      </c>
      <c r="C3621" s="6" t="n">
        <v>16</v>
      </c>
      <c r="D3621" s="25" t="n">
        <f aca="false">EDATE('Start Here'!$B$6,C3621-1)</f>
        <v>46784</v>
      </c>
      <c r="E3621" s="11" t="n">
        <f aca="false">IF(AND(OR(Nonlabor!$D$22="Both",Nonlabor!$D$22='Start Here'!$B$9),IF(Nonlabor!$E$22="Core",1,IF(Nonlabor!$E$22="AI",'Start Here'!$B$7,'Start Here'!$B$8))=1,C3621&gt;=IF(Nonlabor!$E$22="Core",Nonlabor!$F$22,MAX(Nonlabor!$F$22,IF(Nonlabor!$E$22="AI",Assumptions!$E$24,Assumptions!$E$25))),C3621&lt;=Nonlabor!$G$22,OR(Nonlabor!$H$22="Monthly",AND(Nonlabor!$H$22="Once",C3621=IF(Nonlabor!$E$22="Core",Nonlabor!$F$22,MAX(Nonlabor!$F$22,IF(Nonlabor!$E$22="AI",Assumptions!$E$24,Assumptions!$E$25)))),AND(Nonlabor!$H$22="Annual",MOD(C3621-IF(Nonlabor!$E$22="Core",Nonlabor!$F$22,MAX(Nonlabor!$F$22,IF(Nonlabor!$E$22="AI",Assumptions!$E$24,Assumptions!$E$25))),12)=0))),IF(Nonlabor!$I$22="Fixed",1,IF(Nonlabor!$I$22="Seats",ROUNDUP('Monthly Growth'!I21,0),IF(Nonlabor!$I$22="Customers",'Monthly Growth'!D21,IF(Nonlabor!$I$22="NewCustomers",'Monthly Growth'!C21,IF(Nonlabor!$I$22="StorageGB",'Monthly Growth'!G21,IF(Nonlabor!$I$22="LogGB",'Monthly Growth'!H21,IF(Nonlabor!$I$22="RequestsM",'Monthly Growth'!F21,IF(Nonlabor!$I$22="InputM",'Monthly Growth'!D21*Assumptions!$E$22/1000000,IF(Nonlabor!$I$22="OutputM",'Monthly Growth'!D21*Assumptions!$E$23/1000000,0))))))))),0)</f>
        <v>9.80199002</v>
      </c>
      <c r="F3621" s="10" t="n">
        <f aca="false">Nonlabor!$J$22*(1+Assumptions!$E$9)^INT((C3621-1)/12)</f>
        <v>78</v>
      </c>
      <c r="G3621" s="10" t="n">
        <f aca="false">E3621*F3621</f>
        <v>764.55522156</v>
      </c>
      <c r="H3621" s="10" t="n">
        <f aca="false">IF(OR(Nonlabor!$L$22="Quote required",Nonlabor!$L$22="Unverified"),G3621,0)</f>
        <v>0</v>
      </c>
      <c r="I3621" s="10" t="n">
        <f aca="false">IF(Nonlabor!$E$22="Core",0,G3621)</f>
        <v>0</v>
      </c>
      <c r="J3621" s="23" t="str">
        <f aca="false">Nonlabor!$B$22</f>
        <v>MARKETING</v>
      </c>
    </row>
    <row r="3622" customFormat="false" ht="15" hidden="false" customHeight="false" outlineLevel="0" collapsed="false">
      <c r="A3622" s="6" t="s">
        <v>73</v>
      </c>
      <c r="B3622" s="6" t="s">
        <v>55</v>
      </c>
      <c r="C3622" s="6" t="n">
        <v>17</v>
      </c>
      <c r="D3622" s="25" t="n">
        <f aca="false">EDATE('Start Here'!$B$6,C3622-1)</f>
        <v>46813</v>
      </c>
      <c r="E3622" s="11" t="n">
        <f aca="false">IF(AND(OR(Nonlabor!$D$22="Both",Nonlabor!$D$22='Start Here'!$B$9),IF(Nonlabor!$E$22="Core",1,IF(Nonlabor!$E$22="AI",'Start Here'!$B$7,'Start Here'!$B$8))=1,C3622&gt;=IF(Nonlabor!$E$22="Core",Nonlabor!$F$22,MAX(Nonlabor!$F$22,IF(Nonlabor!$E$22="AI",Assumptions!$E$24,Assumptions!$E$25))),C3622&lt;=Nonlabor!$G$22,OR(Nonlabor!$H$22="Monthly",AND(Nonlabor!$H$22="Once",C3622=IF(Nonlabor!$E$22="Core",Nonlabor!$F$22,MAX(Nonlabor!$F$22,IF(Nonlabor!$E$22="AI",Assumptions!$E$24,Assumptions!$E$25)))),AND(Nonlabor!$H$22="Annual",MOD(C3622-IF(Nonlabor!$E$22="Core",Nonlabor!$F$22,MAX(Nonlabor!$F$22,IF(Nonlabor!$E$22="AI",Assumptions!$E$24,Assumptions!$E$25))),12)=0))),IF(Nonlabor!$I$22="Fixed",1,IF(Nonlabor!$I$22="Seats",ROUNDUP('Monthly Growth'!I22,0),IF(Nonlabor!$I$22="Customers",'Monthly Growth'!D22,IF(Nonlabor!$I$22="NewCustomers",'Monthly Growth'!C22,IF(Nonlabor!$I$22="StorageGB",'Monthly Growth'!G22,IF(Nonlabor!$I$22="LogGB",'Monthly Growth'!H22,IF(Nonlabor!$I$22="RequestsM",'Monthly Growth'!F22,IF(Nonlabor!$I$22="InputM",'Monthly Growth'!D22*Assumptions!$E$22/1000000,IF(Nonlabor!$I$22="OutputM",'Monthly Growth'!D22*Assumptions!$E$23/1000000,0))))))))),0)</f>
        <v>11.7039701198</v>
      </c>
      <c r="F3622" s="10" t="n">
        <f aca="false">Nonlabor!$J$22*(1+Assumptions!$E$9)^INT((C3622-1)/12)</f>
        <v>78</v>
      </c>
      <c r="G3622" s="10" t="n">
        <f aca="false">E3622*F3622</f>
        <v>912.9096693444</v>
      </c>
      <c r="H3622" s="10" t="n">
        <f aca="false">IF(OR(Nonlabor!$L$22="Quote required",Nonlabor!$L$22="Unverified"),G3622,0)</f>
        <v>0</v>
      </c>
      <c r="I3622" s="10" t="n">
        <f aca="false">IF(Nonlabor!$E$22="Core",0,G3622)</f>
        <v>0</v>
      </c>
      <c r="J3622" s="23" t="str">
        <f aca="false">Nonlabor!$B$22</f>
        <v>MARKETING</v>
      </c>
    </row>
    <row r="3623" customFormat="false" ht="15" hidden="false" customHeight="false" outlineLevel="0" collapsed="false">
      <c r="A3623" s="6" t="s">
        <v>73</v>
      </c>
      <c r="B3623" s="6" t="s">
        <v>55</v>
      </c>
      <c r="C3623" s="6" t="n">
        <v>18</v>
      </c>
      <c r="D3623" s="25" t="n">
        <f aca="false">EDATE('Start Here'!$B$6,C3623-1)</f>
        <v>46844</v>
      </c>
      <c r="E3623" s="11" t="n">
        <f aca="false">IF(AND(OR(Nonlabor!$D$22="Both",Nonlabor!$D$22='Start Here'!$B$9),IF(Nonlabor!$E$22="Core",1,IF(Nonlabor!$E$22="AI",'Start Here'!$B$7,'Start Here'!$B$8))=1,C3623&gt;=IF(Nonlabor!$E$22="Core",Nonlabor!$F$22,MAX(Nonlabor!$F$22,IF(Nonlabor!$E$22="AI",Assumptions!$E$24,Assumptions!$E$25))),C3623&lt;=Nonlabor!$G$22,OR(Nonlabor!$H$22="Monthly",AND(Nonlabor!$H$22="Once",C3623=IF(Nonlabor!$E$22="Core",Nonlabor!$F$22,MAX(Nonlabor!$F$22,IF(Nonlabor!$E$22="AI",Assumptions!$E$24,Assumptions!$E$25)))),AND(Nonlabor!$H$22="Annual",MOD(C3623-IF(Nonlabor!$E$22="Core",Nonlabor!$F$22,MAX(Nonlabor!$F$22,IF(Nonlabor!$E$22="AI",Assumptions!$E$24,Assumptions!$E$25))),12)=0))),IF(Nonlabor!$I$22="Fixed",1,IF(Nonlabor!$I$22="Seats",ROUNDUP('Monthly Growth'!I23,0),IF(Nonlabor!$I$22="Customers",'Monthly Growth'!D23,IF(Nonlabor!$I$22="NewCustomers",'Monthly Growth'!C23,IF(Nonlabor!$I$22="StorageGB",'Monthly Growth'!G23,IF(Nonlabor!$I$22="LogGB",'Monthly Growth'!H23,IF(Nonlabor!$I$22="RequestsM",'Monthly Growth'!F23,IF(Nonlabor!$I$22="InputM",'Monthly Growth'!D23*Assumptions!$E$22/1000000,IF(Nonlabor!$I$22="OutputM",'Monthly Growth'!D23*Assumptions!$E$23/1000000,0))))))))),0)</f>
        <v>13.586930418602</v>
      </c>
      <c r="F3623" s="10" t="n">
        <f aca="false">Nonlabor!$J$22*(1+Assumptions!$E$9)^INT((C3623-1)/12)</f>
        <v>78</v>
      </c>
      <c r="G3623" s="10" t="n">
        <f aca="false">E3623*F3623</f>
        <v>1059.78057265096</v>
      </c>
      <c r="H3623" s="10" t="n">
        <f aca="false">IF(OR(Nonlabor!$L$22="Quote required",Nonlabor!$L$22="Unverified"),G3623,0)</f>
        <v>0</v>
      </c>
      <c r="I3623" s="10" t="n">
        <f aca="false">IF(Nonlabor!$E$22="Core",0,G3623)</f>
        <v>0</v>
      </c>
      <c r="J3623" s="23" t="str">
        <f aca="false">Nonlabor!$B$22</f>
        <v>MARKETING</v>
      </c>
    </row>
    <row r="3624" customFormat="false" ht="15" hidden="false" customHeight="false" outlineLevel="0" collapsed="false">
      <c r="A3624" s="6" t="s">
        <v>73</v>
      </c>
      <c r="B3624" s="6" t="s">
        <v>55</v>
      </c>
      <c r="C3624" s="6" t="n">
        <v>19</v>
      </c>
      <c r="D3624" s="25" t="n">
        <f aca="false">EDATE('Start Here'!$B$6,C3624-1)</f>
        <v>46874</v>
      </c>
      <c r="E3624" s="11" t="n">
        <f aca="false">IF(AND(OR(Nonlabor!$D$22="Both",Nonlabor!$D$22='Start Here'!$B$9),IF(Nonlabor!$E$22="Core",1,IF(Nonlabor!$E$22="AI",'Start Here'!$B$7,'Start Here'!$B$8))=1,C3624&gt;=IF(Nonlabor!$E$22="Core",Nonlabor!$F$22,MAX(Nonlabor!$F$22,IF(Nonlabor!$E$22="AI",Assumptions!$E$24,Assumptions!$E$25))),C3624&lt;=Nonlabor!$G$22,OR(Nonlabor!$H$22="Monthly",AND(Nonlabor!$H$22="Once",C3624=IF(Nonlabor!$E$22="Core",Nonlabor!$F$22,MAX(Nonlabor!$F$22,IF(Nonlabor!$E$22="AI",Assumptions!$E$24,Assumptions!$E$25)))),AND(Nonlabor!$H$22="Annual",MOD(C3624-IF(Nonlabor!$E$22="Core",Nonlabor!$F$22,MAX(Nonlabor!$F$22,IF(Nonlabor!$E$22="AI",Assumptions!$E$24,Assumptions!$E$25))),12)=0))),IF(Nonlabor!$I$22="Fixed",1,IF(Nonlabor!$I$22="Seats",ROUNDUP('Monthly Growth'!I24,0),IF(Nonlabor!$I$22="Customers",'Monthly Growth'!D24,IF(Nonlabor!$I$22="NewCustomers",'Monthly Growth'!C24,IF(Nonlabor!$I$22="StorageGB",'Monthly Growth'!G24,IF(Nonlabor!$I$22="LogGB",'Monthly Growth'!H24,IF(Nonlabor!$I$22="RequestsM",'Monthly Growth'!F24,IF(Nonlabor!$I$22="InputM",'Monthly Growth'!D24*Assumptions!$E$22/1000000,IF(Nonlabor!$I$22="OutputM",'Monthly Growth'!D24*Assumptions!$E$23/1000000,0))))))))),0)</f>
        <v>15.451061114416</v>
      </c>
      <c r="F3624" s="10" t="n">
        <f aca="false">Nonlabor!$J$22*(1+Assumptions!$E$9)^INT((C3624-1)/12)</f>
        <v>78</v>
      </c>
      <c r="G3624" s="10" t="n">
        <f aca="false">E3624*F3624</f>
        <v>1205.18276692445</v>
      </c>
      <c r="H3624" s="10" t="n">
        <f aca="false">IF(OR(Nonlabor!$L$22="Quote required",Nonlabor!$L$22="Unverified"),G3624,0)</f>
        <v>0</v>
      </c>
      <c r="I3624" s="10" t="n">
        <f aca="false">IF(Nonlabor!$E$22="Core",0,G3624)</f>
        <v>0</v>
      </c>
      <c r="J3624" s="23" t="str">
        <f aca="false">Nonlabor!$B$22</f>
        <v>MARKETING</v>
      </c>
    </row>
    <row r="3625" customFormat="false" ht="15" hidden="false" customHeight="false" outlineLevel="0" collapsed="false">
      <c r="A3625" s="6" t="s">
        <v>73</v>
      </c>
      <c r="B3625" s="6" t="s">
        <v>55</v>
      </c>
      <c r="C3625" s="6" t="n">
        <v>20</v>
      </c>
      <c r="D3625" s="25" t="n">
        <f aca="false">EDATE('Start Here'!$B$6,C3625-1)</f>
        <v>46905</v>
      </c>
      <c r="E3625" s="11" t="n">
        <f aca="false">IF(AND(OR(Nonlabor!$D$22="Both",Nonlabor!$D$22='Start Here'!$B$9),IF(Nonlabor!$E$22="Core",1,IF(Nonlabor!$E$22="AI",'Start Here'!$B$7,'Start Here'!$B$8))=1,C3625&gt;=IF(Nonlabor!$E$22="Core",Nonlabor!$F$22,MAX(Nonlabor!$F$22,IF(Nonlabor!$E$22="AI",Assumptions!$E$24,Assumptions!$E$25))),C3625&lt;=Nonlabor!$G$22,OR(Nonlabor!$H$22="Monthly",AND(Nonlabor!$H$22="Once",C3625=IF(Nonlabor!$E$22="Core",Nonlabor!$F$22,MAX(Nonlabor!$F$22,IF(Nonlabor!$E$22="AI",Assumptions!$E$24,Assumptions!$E$25)))),AND(Nonlabor!$H$22="Annual",MOD(C3625-IF(Nonlabor!$E$22="Core",Nonlabor!$F$22,MAX(Nonlabor!$F$22,IF(Nonlabor!$E$22="AI",Assumptions!$E$24,Assumptions!$E$25))),12)=0))),IF(Nonlabor!$I$22="Fixed",1,IF(Nonlabor!$I$22="Seats",ROUNDUP('Monthly Growth'!I25,0),IF(Nonlabor!$I$22="Customers",'Monthly Growth'!D25,IF(Nonlabor!$I$22="NewCustomers",'Monthly Growth'!C25,IF(Nonlabor!$I$22="StorageGB",'Monthly Growth'!G25,IF(Nonlabor!$I$22="LogGB",'Monthly Growth'!H25,IF(Nonlabor!$I$22="RequestsM",'Monthly Growth'!F25,IF(Nonlabor!$I$22="InputM",'Monthly Growth'!D25*Assumptions!$E$22/1000000,IF(Nonlabor!$I$22="OutputM",'Monthly Growth'!D25*Assumptions!$E$23/1000000,0))))))))),0)</f>
        <v>17.2965505032718</v>
      </c>
      <c r="F3625" s="10" t="n">
        <f aca="false">Nonlabor!$J$22*(1+Assumptions!$E$9)^INT((C3625-1)/12)</f>
        <v>78</v>
      </c>
      <c r="G3625" s="10" t="n">
        <f aca="false">E3625*F3625</f>
        <v>1349.1309392552</v>
      </c>
      <c r="H3625" s="10" t="n">
        <f aca="false">IF(OR(Nonlabor!$L$22="Quote required",Nonlabor!$L$22="Unverified"),G3625,0)</f>
        <v>0</v>
      </c>
      <c r="I3625" s="10" t="n">
        <f aca="false">IF(Nonlabor!$E$22="Core",0,G3625)</f>
        <v>0</v>
      </c>
      <c r="J3625" s="23" t="str">
        <f aca="false">Nonlabor!$B$22</f>
        <v>MARKETING</v>
      </c>
    </row>
    <row r="3626" customFormat="false" ht="15" hidden="false" customHeight="false" outlineLevel="0" collapsed="false">
      <c r="A3626" s="6" t="s">
        <v>73</v>
      </c>
      <c r="B3626" s="6" t="s">
        <v>55</v>
      </c>
      <c r="C3626" s="6" t="n">
        <v>21</v>
      </c>
      <c r="D3626" s="25" t="n">
        <f aca="false">EDATE('Start Here'!$B$6,C3626-1)</f>
        <v>46935</v>
      </c>
      <c r="E3626" s="11" t="n">
        <f aca="false">IF(AND(OR(Nonlabor!$D$22="Both",Nonlabor!$D$22='Start Here'!$B$9),IF(Nonlabor!$E$22="Core",1,IF(Nonlabor!$E$22="AI",'Start Here'!$B$7,'Start Here'!$B$8))=1,C3626&gt;=IF(Nonlabor!$E$22="Core",Nonlabor!$F$22,MAX(Nonlabor!$F$22,IF(Nonlabor!$E$22="AI",Assumptions!$E$24,Assumptions!$E$25))),C3626&lt;=Nonlabor!$G$22,OR(Nonlabor!$H$22="Monthly",AND(Nonlabor!$H$22="Once",C3626=IF(Nonlabor!$E$22="Core",Nonlabor!$F$22,MAX(Nonlabor!$F$22,IF(Nonlabor!$E$22="AI",Assumptions!$E$24,Assumptions!$E$25)))),AND(Nonlabor!$H$22="Annual",MOD(C3626-IF(Nonlabor!$E$22="Core",Nonlabor!$F$22,MAX(Nonlabor!$F$22,IF(Nonlabor!$E$22="AI",Assumptions!$E$24,Assumptions!$E$25))),12)=0))),IF(Nonlabor!$I$22="Fixed",1,IF(Nonlabor!$I$22="Seats",ROUNDUP('Monthly Growth'!I26,0),IF(Nonlabor!$I$22="Customers",'Monthly Growth'!D26,IF(Nonlabor!$I$22="NewCustomers",'Monthly Growth'!C26,IF(Nonlabor!$I$22="StorageGB",'Monthly Growth'!G26,IF(Nonlabor!$I$22="LogGB",'Monthly Growth'!H26,IF(Nonlabor!$I$22="RequestsM",'Monthly Growth'!F26,IF(Nonlabor!$I$22="InputM",'Monthly Growth'!D26*Assumptions!$E$22/1000000,IF(Nonlabor!$I$22="OutputM",'Monthly Growth'!D26*Assumptions!$E$23/1000000,0))))))))),0)</f>
        <v>19.1235849982391</v>
      </c>
      <c r="F3626" s="10" t="n">
        <f aca="false">Nonlabor!$J$22*(1+Assumptions!$E$9)^INT((C3626-1)/12)</f>
        <v>78</v>
      </c>
      <c r="G3626" s="10" t="n">
        <f aca="false">E3626*F3626</f>
        <v>1491.63962986265</v>
      </c>
      <c r="H3626" s="10" t="n">
        <f aca="false">IF(OR(Nonlabor!$L$22="Quote required",Nonlabor!$L$22="Unverified"),G3626,0)</f>
        <v>0</v>
      </c>
      <c r="I3626" s="10" t="n">
        <f aca="false">IF(Nonlabor!$E$22="Core",0,G3626)</f>
        <v>0</v>
      </c>
      <c r="J3626" s="23" t="str">
        <f aca="false">Nonlabor!$B$22</f>
        <v>MARKETING</v>
      </c>
    </row>
    <row r="3627" customFormat="false" ht="15" hidden="false" customHeight="false" outlineLevel="0" collapsed="false">
      <c r="A3627" s="6" t="s">
        <v>73</v>
      </c>
      <c r="B3627" s="6" t="s">
        <v>55</v>
      </c>
      <c r="C3627" s="6" t="n">
        <v>22</v>
      </c>
      <c r="D3627" s="25" t="n">
        <f aca="false">EDATE('Start Here'!$B$6,C3627-1)</f>
        <v>46966</v>
      </c>
      <c r="E3627" s="11" t="n">
        <f aca="false">IF(AND(OR(Nonlabor!$D$22="Both",Nonlabor!$D$22='Start Here'!$B$9),IF(Nonlabor!$E$22="Core",1,IF(Nonlabor!$E$22="AI",'Start Here'!$B$7,'Start Here'!$B$8))=1,C3627&gt;=IF(Nonlabor!$E$22="Core",Nonlabor!$F$22,MAX(Nonlabor!$F$22,IF(Nonlabor!$E$22="AI",Assumptions!$E$24,Assumptions!$E$25))),C3627&lt;=Nonlabor!$G$22,OR(Nonlabor!$H$22="Monthly",AND(Nonlabor!$H$22="Once",C3627=IF(Nonlabor!$E$22="Core",Nonlabor!$F$22,MAX(Nonlabor!$F$22,IF(Nonlabor!$E$22="AI",Assumptions!$E$24,Assumptions!$E$25)))),AND(Nonlabor!$H$22="Annual",MOD(C3627-IF(Nonlabor!$E$22="Core",Nonlabor!$F$22,MAX(Nonlabor!$F$22,IF(Nonlabor!$E$22="AI",Assumptions!$E$24,Assumptions!$E$25))),12)=0))),IF(Nonlabor!$I$22="Fixed",1,IF(Nonlabor!$I$22="Seats",ROUNDUP('Monthly Growth'!I27,0),IF(Nonlabor!$I$22="Customers",'Monthly Growth'!D27,IF(Nonlabor!$I$22="NewCustomers",'Monthly Growth'!C27,IF(Nonlabor!$I$22="StorageGB",'Monthly Growth'!G27,IF(Nonlabor!$I$22="LogGB",'Monthly Growth'!H27,IF(Nonlabor!$I$22="RequestsM",'Monthly Growth'!F27,IF(Nonlabor!$I$22="InputM",'Monthly Growth'!D27*Assumptions!$E$22/1000000,IF(Nonlabor!$I$22="OutputM",'Monthly Growth'!D27*Assumptions!$E$23/1000000,0))))))))),0)</f>
        <v>20.9323491482567</v>
      </c>
      <c r="F3627" s="10" t="n">
        <f aca="false">Nonlabor!$J$22*(1+Assumptions!$E$9)^INT((C3627-1)/12)</f>
        <v>78</v>
      </c>
      <c r="G3627" s="10" t="n">
        <f aca="false">E3627*F3627</f>
        <v>1632.72323356402</v>
      </c>
      <c r="H3627" s="10" t="n">
        <f aca="false">IF(OR(Nonlabor!$L$22="Quote required",Nonlabor!$L$22="Unverified"),G3627,0)</f>
        <v>0</v>
      </c>
      <c r="I3627" s="10" t="n">
        <f aca="false">IF(Nonlabor!$E$22="Core",0,G3627)</f>
        <v>0</v>
      </c>
      <c r="J3627" s="23" t="str">
        <f aca="false">Nonlabor!$B$22</f>
        <v>MARKETING</v>
      </c>
    </row>
    <row r="3628" customFormat="false" ht="15" hidden="false" customHeight="false" outlineLevel="0" collapsed="false">
      <c r="A3628" s="6" t="s">
        <v>73</v>
      </c>
      <c r="B3628" s="6" t="s">
        <v>55</v>
      </c>
      <c r="C3628" s="6" t="n">
        <v>23</v>
      </c>
      <c r="D3628" s="25" t="n">
        <f aca="false">EDATE('Start Here'!$B$6,C3628-1)</f>
        <v>46997</v>
      </c>
      <c r="E3628" s="11" t="n">
        <f aca="false">IF(AND(OR(Nonlabor!$D$22="Both",Nonlabor!$D$22='Start Here'!$B$9),IF(Nonlabor!$E$22="Core",1,IF(Nonlabor!$E$22="AI",'Start Here'!$B$7,'Start Here'!$B$8))=1,C3628&gt;=IF(Nonlabor!$E$22="Core",Nonlabor!$F$22,MAX(Nonlabor!$F$22,IF(Nonlabor!$E$22="AI",Assumptions!$E$24,Assumptions!$E$25))),C3628&lt;=Nonlabor!$G$22,OR(Nonlabor!$H$22="Monthly",AND(Nonlabor!$H$22="Once",C3628=IF(Nonlabor!$E$22="Core",Nonlabor!$F$22,MAX(Nonlabor!$F$22,IF(Nonlabor!$E$22="AI",Assumptions!$E$24,Assumptions!$E$25)))),AND(Nonlabor!$H$22="Annual",MOD(C3628-IF(Nonlabor!$E$22="Core",Nonlabor!$F$22,MAX(Nonlabor!$F$22,IF(Nonlabor!$E$22="AI",Assumptions!$E$24,Assumptions!$E$25))),12)=0))),IF(Nonlabor!$I$22="Fixed",1,IF(Nonlabor!$I$22="Seats",ROUNDUP('Monthly Growth'!I28,0),IF(Nonlabor!$I$22="Customers",'Monthly Growth'!D28,IF(Nonlabor!$I$22="NewCustomers",'Monthly Growth'!C28,IF(Nonlabor!$I$22="StorageGB",'Monthly Growth'!G28,IF(Nonlabor!$I$22="LogGB",'Monthly Growth'!H28,IF(Nonlabor!$I$22="RequestsM",'Monthly Growth'!F28,IF(Nonlabor!$I$22="InputM",'Monthly Growth'!D28*Assumptions!$E$22/1000000,IF(Nonlabor!$I$22="OutputM",'Monthly Growth'!D28*Assumptions!$E$23/1000000,0))))))))),0)</f>
        <v>22.7230256567741</v>
      </c>
      <c r="F3628" s="10" t="n">
        <f aca="false">Nonlabor!$J$22*(1+Assumptions!$E$9)^INT((C3628-1)/12)</f>
        <v>78</v>
      </c>
      <c r="G3628" s="10" t="n">
        <f aca="false">E3628*F3628</f>
        <v>1772.39600122838</v>
      </c>
      <c r="H3628" s="10" t="n">
        <f aca="false">IF(OR(Nonlabor!$L$22="Quote required",Nonlabor!$L$22="Unverified"),G3628,0)</f>
        <v>0</v>
      </c>
      <c r="I3628" s="10" t="n">
        <f aca="false">IF(Nonlabor!$E$22="Core",0,G3628)</f>
        <v>0</v>
      </c>
      <c r="J3628" s="23" t="str">
        <f aca="false">Nonlabor!$B$22</f>
        <v>MARKETING</v>
      </c>
    </row>
    <row r="3629" customFormat="false" ht="15" hidden="false" customHeight="false" outlineLevel="0" collapsed="false">
      <c r="A3629" s="6" t="s">
        <v>73</v>
      </c>
      <c r="B3629" s="6" t="s">
        <v>55</v>
      </c>
      <c r="C3629" s="6" t="n">
        <v>24</v>
      </c>
      <c r="D3629" s="25" t="n">
        <f aca="false">EDATE('Start Here'!$B$6,C3629-1)</f>
        <v>47027</v>
      </c>
      <c r="E3629" s="11" t="n">
        <f aca="false">IF(AND(OR(Nonlabor!$D$22="Both",Nonlabor!$D$22='Start Here'!$B$9),IF(Nonlabor!$E$22="Core",1,IF(Nonlabor!$E$22="AI",'Start Here'!$B$7,'Start Here'!$B$8))=1,C3629&gt;=IF(Nonlabor!$E$22="Core",Nonlabor!$F$22,MAX(Nonlabor!$F$22,IF(Nonlabor!$E$22="AI",Assumptions!$E$24,Assumptions!$E$25))),C3629&lt;=Nonlabor!$G$22,OR(Nonlabor!$H$22="Monthly",AND(Nonlabor!$H$22="Once",C3629=IF(Nonlabor!$E$22="Core",Nonlabor!$F$22,MAX(Nonlabor!$F$22,IF(Nonlabor!$E$22="AI",Assumptions!$E$24,Assumptions!$E$25)))),AND(Nonlabor!$H$22="Annual",MOD(C3629-IF(Nonlabor!$E$22="Core",Nonlabor!$F$22,MAX(Nonlabor!$F$22,IF(Nonlabor!$E$22="AI",Assumptions!$E$24,Assumptions!$E$25))),12)=0))),IF(Nonlabor!$I$22="Fixed",1,IF(Nonlabor!$I$22="Seats",ROUNDUP('Monthly Growth'!I29,0),IF(Nonlabor!$I$22="Customers",'Monthly Growth'!D29,IF(Nonlabor!$I$22="NewCustomers",'Monthly Growth'!C29,IF(Nonlabor!$I$22="StorageGB",'Monthly Growth'!G29,IF(Nonlabor!$I$22="LogGB",'Monthly Growth'!H29,IF(Nonlabor!$I$22="RequestsM",'Monthly Growth'!F29,IF(Nonlabor!$I$22="InputM",'Monthly Growth'!D29*Assumptions!$E$22/1000000,IF(Nonlabor!$I$22="OutputM",'Monthly Growth'!D29*Assumptions!$E$23/1000000,0))))))))),0)</f>
        <v>25.8957954002064</v>
      </c>
      <c r="F3629" s="10" t="n">
        <f aca="false">Nonlabor!$J$22*(1+Assumptions!$E$9)^INT((C3629-1)/12)</f>
        <v>78</v>
      </c>
      <c r="G3629" s="10" t="n">
        <f aca="false">E3629*F3629</f>
        <v>2019.8720412161</v>
      </c>
      <c r="H3629" s="10" t="n">
        <f aca="false">IF(OR(Nonlabor!$L$22="Quote required",Nonlabor!$L$22="Unverified"),G3629,0)</f>
        <v>0</v>
      </c>
      <c r="I3629" s="10" t="n">
        <f aca="false">IF(Nonlabor!$E$22="Core",0,G3629)</f>
        <v>0</v>
      </c>
      <c r="J3629" s="23" t="str">
        <f aca="false">Nonlabor!$B$22</f>
        <v>MARKETING</v>
      </c>
    </row>
    <row r="3630" customFormat="false" ht="15" hidden="false" customHeight="false" outlineLevel="0" collapsed="false">
      <c r="A3630" s="6" t="s">
        <v>73</v>
      </c>
      <c r="B3630" s="6" t="s">
        <v>55</v>
      </c>
      <c r="C3630" s="6" t="n">
        <v>25</v>
      </c>
      <c r="D3630" s="25" t="n">
        <f aca="false">EDATE('Start Here'!$B$6,C3630-1)</f>
        <v>47058</v>
      </c>
      <c r="E3630" s="11" t="n">
        <f aca="false">IF(AND(OR(Nonlabor!$D$22="Both",Nonlabor!$D$22='Start Here'!$B$9),IF(Nonlabor!$E$22="Core",1,IF(Nonlabor!$E$22="AI",'Start Here'!$B$7,'Start Here'!$B$8))=1,C3630&gt;=IF(Nonlabor!$E$22="Core",Nonlabor!$F$22,MAX(Nonlabor!$F$22,IF(Nonlabor!$E$22="AI",Assumptions!$E$24,Assumptions!$E$25))),C3630&lt;=Nonlabor!$G$22,OR(Nonlabor!$H$22="Monthly",AND(Nonlabor!$H$22="Once",C3630=IF(Nonlabor!$E$22="Core",Nonlabor!$F$22,MAX(Nonlabor!$F$22,IF(Nonlabor!$E$22="AI",Assumptions!$E$24,Assumptions!$E$25)))),AND(Nonlabor!$H$22="Annual",MOD(C3630-IF(Nonlabor!$E$22="Core",Nonlabor!$F$22,MAX(Nonlabor!$F$22,IF(Nonlabor!$E$22="AI",Assumptions!$E$24,Assumptions!$E$25))),12)=0))),IF(Nonlabor!$I$22="Fixed",1,IF(Nonlabor!$I$22="Seats",ROUNDUP('Monthly Growth'!I30,0),IF(Nonlabor!$I$22="Customers",'Monthly Growth'!D30,IF(Nonlabor!$I$22="NewCustomers",'Monthly Growth'!C30,IF(Nonlabor!$I$22="StorageGB",'Monthly Growth'!G30,IF(Nonlabor!$I$22="LogGB",'Monthly Growth'!H30,IF(Nonlabor!$I$22="RequestsM",'Monthly Growth'!F30,IF(Nonlabor!$I$22="InputM",'Monthly Growth'!D30*Assumptions!$E$22/1000000,IF(Nonlabor!$I$22="OutputM",'Monthly Growth'!D30*Assumptions!$E$23/1000000,0))))))))),0)</f>
        <v>29.0368374462043</v>
      </c>
      <c r="F3630" s="10" t="n">
        <f aca="false">Nonlabor!$J$22*(1+Assumptions!$E$9)^INT((C3630-1)/12)</f>
        <v>81.12</v>
      </c>
      <c r="G3630" s="10" t="n">
        <f aca="false">E3630*F3630</f>
        <v>2355.4682536361</v>
      </c>
      <c r="H3630" s="10" t="n">
        <f aca="false">IF(OR(Nonlabor!$L$22="Quote required",Nonlabor!$L$22="Unverified"),G3630,0)</f>
        <v>0</v>
      </c>
      <c r="I3630" s="10" t="n">
        <f aca="false">IF(Nonlabor!$E$22="Core",0,G3630)</f>
        <v>0</v>
      </c>
      <c r="J3630" s="23" t="str">
        <f aca="false">Nonlabor!$B$22</f>
        <v>MARKETING</v>
      </c>
    </row>
    <row r="3631" customFormat="false" ht="15" hidden="false" customHeight="false" outlineLevel="0" collapsed="false">
      <c r="A3631" s="6" t="s">
        <v>73</v>
      </c>
      <c r="B3631" s="6" t="s">
        <v>55</v>
      </c>
      <c r="C3631" s="6" t="n">
        <v>26</v>
      </c>
      <c r="D3631" s="25" t="n">
        <f aca="false">EDATE('Start Here'!$B$6,C3631-1)</f>
        <v>47088</v>
      </c>
      <c r="E3631" s="11" t="n">
        <f aca="false">IF(AND(OR(Nonlabor!$D$22="Both",Nonlabor!$D$22='Start Here'!$B$9),IF(Nonlabor!$E$22="Core",1,IF(Nonlabor!$E$22="AI",'Start Here'!$B$7,'Start Here'!$B$8))=1,C3631&gt;=IF(Nonlabor!$E$22="Core",Nonlabor!$F$22,MAX(Nonlabor!$F$22,IF(Nonlabor!$E$22="AI",Assumptions!$E$24,Assumptions!$E$25))),C3631&lt;=Nonlabor!$G$22,OR(Nonlabor!$H$22="Monthly",AND(Nonlabor!$H$22="Once",C3631=IF(Nonlabor!$E$22="Core",Nonlabor!$F$22,MAX(Nonlabor!$F$22,IF(Nonlabor!$E$22="AI",Assumptions!$E$24,Assumptions!$E$25)))),AND(Nonlabor!$H$22="Annual",MOD(C3631-IF(Nonlabor!$E$22="Core",Nonlabor!$F$22,MAX(Nonlabor!$F$22,IF(Nonlabor!$E$22="AI",Assumptions!$E$24,Assumptions!$E$25))),12)=0))),IF(Nonlabor!$I$22="Fixed",1,IF(Nonlabor!$I$22="Seats",ROUNDUP('Monthly Growth'!I31,0),IF(Nonlabor!$I$22="Customers",'Monthly Growth'!D31,IF(Nonlabor!$I$22="NewCustomers",'Monthly Growth'!C31,IF(Nonlabor!$I$22="StorageGB",'Monthly Growth'!G31,IF(Nonlabor!$I$22="LogGB",'Monthly Growth'!H31,IF(Nonlabor!$I$22="RequestsM",'Monthly Growth'!F31,IF(Nonlabor!$I$22="InputM",'Monthly Growth'!D31*Assumptions!$E$22/1000000,IF(Nonlabor!$I$22="OutputM",'Monthly Growth'!D31*Assumptions!$E$23/1000000,0))))))))),0)</f>
        <v>32.1464690717423</v>
      </c>
      <c r="F3631" s="10" t="n">
        <f aca="false">Nonlabor!$J$22*(1+Assumptions!$E$9)^INT((C3631-1)/12)</f>
        <v>81.12</v>
      </c>
      <c r="G3631" s="10" t="n">
        <f aca="false">E3631*F3631</f>
        <v>2607.72157109974</v>
      </c>
      <c r="H3631" s="10" t="n">
        <f aca="false">IF(OR(Nonlabor!$L$22="Quote required",Nonlabor!$L$22="Unverified"),G3631,0)</f>
        <v>0</v>
      </c>
      <c r="I3631" s="10" t="n">
        <f aca="false">IF(Nonlabor!$E$22="Core",0,G3631)</f>
        <v>0</v>
      </c>
      <c r="J3631" s="23" t="str">
        <f aca="false">Nonlabor!$B$22</f>
        <v>MARKETING</v>
      </c>
    </row>
    <row r="3632" customFormat="false" ht="15" hidden="false" customHeight="false" outlineLevel="0" collapsed="false">
      <c r="A3632" s="6" t="s">
        <v>73</v>
      </c>
      <c r="B3632" s="6" t="s">
        <v>55</v>
      </c>
      <c r="C3632" s="6" t="n">
        <v>27</v>
      </c>
      <c r="D3632" s="25" t="n">
        <f aca="false">EDATE('Start Here'!$B$6,C3632-1)</f>
        <v>47119</v>
      </c>
      <c r="E3632" s="11" t="n">
        <f aca="false">IF(AND(OR(Nonlabor!$D$22="Both",Nonlabor!$D$22='Start Here'!$B$9),IF(Nonlabor!$E$22="Core",1,IF(Nonlabor!$E$22="AI",'Start Here'!$B$7,'Start Here'!$B$8))=1,C3632&gt;=IF(Nonlabor!$E$22="Core",Nonlabor!$F$22,MAX(Nonlabor!$F$22,IF(Nonlabor!$E$22="AI",Assumptions!$E$24,Assumptions!$E$25))),C3632&lt;=Nonlabor!$G$22,OR(Nonlabor!$H$22="Monthly",AND(Nonlabor!$H$22="Once",C3632=IF(Nonlabor!$E$22="Core",Nonlabor!$F$22,MAX(Nonlabor!$F$22,IF(Nonlabor!$E$22="AI",Assumptions!$E$24,Assumptions!$E$25)))),AND(Nonlabor!$H$22="Annual",MOD(C3632-IF(Nonlabor!$E$22="Core",Nonlabor!$F$22,MAX(Nonlabor!$F$22,IF(Nonlabor!$E$22="AI",Assumptions!$E$24,Assumptions!$E$25))),12)=0))),IF(Nonlabor!$I$22="Fixed",1,IF(Nonlabor!$I$22="Seats",ROUNDUP('Monthly Growth'!I32,0),IF(Nonlabor!$I$22="Customers",'Monthly Growth'!D32,IF(Nonlabor!$I$22="NewCustomers",'Monthly Growth'!C32,IF(Nonlabor!$I$22="StorageGB",'Monthly Growth'!G32,IF(Nonlabor!$I$22="LogGB",'Monthly Growth'!H32,IF(Nonlabor!$I$22="RequestsM",'Monthly Growth'!F32,IF(Nonlabor!$I$22="InputM",'Monthly Growth'!D32*Assumptions!$E$22/1000000,IF(Nonlabor!$I$22="OutputM",'Monthly Growth'!D32*Assumptions!$E$23/1000000,0))))))))),0)</f>
        <v>35.2250043810249</v>
      </c>
      <c r="F3632" s="10" t="n">
        <f aca="false">Nonlabor!$J$22*(1+Assumptions!$E$9)^INT((C3632-1)/12)</f>
        <v>81.12</v>
      </c>
      <c r="G3632" s="10" t="n">
        <f aca="false">E3632*F3632</f>
        <v>2857.45235538874</v>
      </c>
      <c r="H3632" s="10" t="n">
        <f aca="false">IF(OR(Nonlabor!$L$22="Quote required",Nonlabor!$L$22="Unverified"),G3632,0)</f>
        <v>0</v>
      </c>
      <c r="I3632" s="10" t="n">
        <f aca="false">IF(Nonlabor!$E$22="Core",0,G3632)</f>
        <v>0</v>
      </c>
      <c r="J3632" s="23" t="str">
        <f aca="false">Nonlabor!$B$22</f>
        <v>MARKETING</v>
      </c>
    </row>
    <row r="3633" customFormat="false" ht="15" hidden="false" customHeight="false" outlineLevel="0" collapsed="false">
      <c r="A3633" s="6" t="s">
        <v>73</v>
      </c>
      <c r="B3633" s="6" t="s">
        <v>55</v>
      </c>
      <c r="C3633" s="6" t="n">
        <v>28</v>
      </c>
      <c r="D3633" s="25" t="n">
        <f aca="false">EDATE('Start Here'!$B$6,C3633-1)</f>
        <v>47150</v>
      </c>
      <c r="E3633" s="11" t="n">
        <f aca="false">IF(AND(OR(Nonlabor!$D$22="Both",Nonlabor!$D$22='Start Here'!$B$9),IF(Nonlabor!$E$22="Core",1,IF(Nonlabor!$E$22="AI",'Start Here'!$B$7,'Start Here'!$B$8))=1,C3633&gt;=IF(Nonlabor!$E$22="Core",Nonlabor!$F$22,MAX(Nonlabor!$F$22,IF(Nonlabor!$E$22="AI",Assumptions!$E$24,Assumptions!$E$25))),C3633&lt;=Nonlabor!$G$22,OR(Nonlabor!$H$22="Monthly",AND(Nonlabor!$H$22="Once",C3633=IF(Nonlabor!$E$22="Core",Nonlabor!$F$22,MAX(Nonlabor!$F$22,IF(Nonlabor!$E$22="AI",Assumptions!$E$24,Assumptions!$E$25)))),AND(Nonlabor!$H$22="Annual",MOD(C3633-IF(Nonlabor!$E$22="Core",Nonlabor!$F$22,MAX(Nonlabor!$F$22,IF(Nonlabor!$E$22="AI",Assumptions!$E$24,Assumptions!$E$25))),12)=0))),IF(Nonlabor!$I$22="Fixed",1,IF(Nonlabor!$I$22="Seats",ROUNDUP('Monthly Growth'!I33,0),IF(Nonlabor!$I$22="Customers",'Monthly Growth'!D33,IF(Nonlabor!$I$22="NewCustomers",'Monthly Growth'!C33,IF(Nonlabor!$I$22="StorageGB",'Monthly Growth'!G33,IF(Nonlabor!$I$22="LogGB",'Monthly Growth'!H33,IF(Nonlabor!$I$22="RequestsM",'Monthly Growth'!F33,IF(Nonlabor!$I$22="InputM",'Monthly Growth'!D33*Assumptions!$E$22/1000000,IF(Nonlabor!$I$22="OutputM",'Monthly Growth'!D33*Assumptions!$E$23/1000000,0))))))))),0)</f>
        <v>38.2727543372146</v>
      </c>
      <c r="F3633" s="10" t="n">
        <f aca="false">Nonlabor!$J$22*(1+Assumptions!$E$9)^INT((C3633-1)/12)</f>
        <v>81.12</v>
      </c>
      <c r="G3633" s="10" t="n">
        <f aca="false">E3633*F3633</f>
        <v>3104.68583183485</v>
      </c>
      <c r="H3633" s="10" t="n">
        <f aca="false">IF(OR(Nonlabor!$L$22="Quote required",Nonlabor!$L$22="Unverified"),G3633,0)</f>
        <v>0</v>
      </c>
      <c r="I3633" s="10" t="n">
        <f aca="false">IF(Nonlabor!$E$22="Core",0,G3633)</f>
        <v>0</v>
      </c>
      <c r="J3633" s="23" t="str">
        <f aca="false">Nonlabor!$B$22</f>
        <v>MARKETING</v>
      </c>
    </row>
    <row r="3634" customFormat="false" ht="15" hidden="false" customHeight="false" outlineLevel="0" collapsed="false">
      <c r="A3634" s="6" t="s">
        <v>73</v>
      </c>
      <c r="B3634" s="6" t="s">
        <v>55</v>
      </c>
      <c r="C3634" s="6" t="n">
        <v>29</v>
      </c>
      <c r="D3634" s="25" t="n">
        <f aca="false">EDATE('Start Here'!$B$6,C3634-1)</f>
        <v>47178</v>
      </c>
      <c r="E3634" s="11" t="n">
        <f aca="false">IF(AND(OR(Nonlabor!$D$22="Both",Nonlabor!$D$22='Start Here'!$B$9),IF(Nonlabor!$E$22="Core",1,IF(Nonlabor!$E$22="AI",'Start Here'!$B$7,'Start Here'!$B$8))=1,C3634&gt;=IF(Nonlabor!$E$22="Core",Nonlabor!$F$22,MAX(Nonlabor!$F$22,IF(Nonlabor!$E$22="AI",Assumptions!$E$24,Assumptions!$E$25))),C3634&lt;=Nonlabor!$G$22,OR(Nonlabor!$H$22="Monthly",AND(Nonlabor!$H$22="Once",C3634=IF(Nonlabor!$E$22="Core",Nonlabor!$F$22,MAX(Nonlabor!$F$22,IF(Nonlabor!$E$22="AI",Assumptions!$E$24,Assumptions!$E$25)))),AND(Nonlabor!$H$22="Annual",MOD(C3634-IF(Nonlabor!$E$22="Core",Nonlabor!$F$22,MAX(Nonlabor!$F$22,IF(Nonlabor!$E$22="AI",Assumptions!$E$24,Assumptions!$E$25))),12)=0))),IF(Nonlabor!$I$22="Fixed",1,IF(Nonlabor!$I$22="Seats",ROUNDUP('Monthly Growth'!I34,0),IF(Nonlabor!$I$22="Customers",'Monthly Growth'!D34,IF(Nonlabor!$I$22="NewCustomers",'Monthly Growth'!C34,IF(Nonlabor!$I$22="StorageGB",'Monthly Growth'!G34,IF(Nonlabor!$I$22="LogGB",'Monthly Growth'!H34,IF(Nonlabor!$I$22="RequestsM",'Monthly Growth'!F34,IF(Nonlabor!$I$22="InputM",'Monthly Growth'!D34*Assumptions!$E$22/1000000,IF(Nonlabor!$I$22="OutputM",'Monthly Growth'!D34*Assumptions!$E$23/1000000,0))))))))),0)</f>
        <v>41.2900267938425</v>
      </c>
      <c r="F3634" s="10" t="n">
        <f aca="false">Nonlabor!$J$22*(1+Assumptions!$E$9)^INT((C3634-1)/12)</f>
        <v>81.12</v>
      </c>
      <c r="G3634" s="10" t="n">
        <f aca="false">E3634*F3634</f>
        <v>3349.4469735165</v>
      </c>
      <c r="H3634" s="10" t="n">
        <f aca="false">IF(OR(Nonlabor!$L$22="Quote required",Nonlabor!$L$22="Unverified"),G3634,0)</f>
        <v>0</v>
      </c>
      <c r="I3634" s="10" t="n">
        <f aca="false">IF(Nonlabor!$E$22="Core",0,G3634)</f>
        <v>0</v>
      </c>
      <c r="J3634" s="23" t="str">
        <f aca="false">Nonlabor!$B$22</f>
        <v>MARKETING</v>
      </c>
    </row>
    <row r="3635" customFormat="false" ht="15" hidden="false" customHeight="false" outlineLevel="0" collapsed="false">
      <c r="A3635" s="6" t="s">
        <v>73</v>
      </c>
      <c r="B3635" s="6" t="s">
        <v>55</v>
      </c>
      <c r="C3635" s="6" t="n">
        <v>30</v>
      </c>
      <c r="D3635" s="25" t="n">
        <f aca="false">EDATE('Start Here'!$B$6,C3635-1)</f>
        <v>47209</v>
      </c>
      <c r="E3635" s="11" t="n">
        <f aca="false">IF(AND(OR(Nonlabor!$D$22="Both",Nonlabor!$D$22='Start Here'!$B$9),IF(Nonlabor!$E$22="Core",1,IF(Nonlabor!$E$22="AI",'Start Here'!$B$7,'Start Here'!$B$8))=1,C3635&gt;=IF(Nonlabor!$E$22="Core",Nonlabor!$F$22,MAX(Nonlabor!$F$22,IF(Nonlabor!$E$22="AI",Assumptions!$E$24,Assumptions!$E$25))),C3635&lt;=Nonlabor!$G$22,OR(Nonlabor!$H$22="Monthly",AND(Nonlabor!$H$22="Once",C3635=IF(Nonlabor!$E$22="Core",Nonlabor!$F$22,MAX(Nonlabor!$F$22,IF(Nonlabor!$E$22="AI",Assumptions!$E$24,Assumptions!$E$25)))),AND(Nonlabor!$H$22="Annual",MOD(C3635-IF(Nonlabor!$E$22="Core",Nonlabor!$F$22,MAX(Nonlabor!$F$22,IF(Nonlabor!$E$22="AI",Assumptions!$E$24,Assumptions!$E$25))),12)=0))),IF(Nonlabor!$I$22="Fixed",1,IF(Nonlabor!$I$22="Seats",ROUNDUP('Monthly Growth'!I35,0),IF(Nonlabor!$I$22="Customers",'Monthly Growth'!D35,IF(Nonlabor!$I$22="NewCustomers",'Monthly Growth'!C35,IF(Nonlabor!$I$22="StorageGB",'Monthly Growth'!G35,IF(Nonlabor!$I$22="LogGB",'Monthly Growth'!H35,IF(Nonlabor!$I$22="RequestsM",'Monthly Growth'!F35,IF(Nonlabor!$I$22="InputM",'Monthly Growth'!D35*Assumptions!$E$22/1000000,IF(Nonlabor!$I$22="OutputM",'Monthly Growth'!D35*Assumptions!$E$23/1000000,0))))))))),0)</f>
        <v>44.277126525904</v>
      </c>
      <c r="F3635" s="10" t="n">
        <f aca="false">Nonlabor!$J$22*(1+Assumptions!$E$9)^INT((C3635-1)/12)</f>
        <v>81.12</v>
      </c>
      <c r="G3635" s="10" t="n">
        <f aca="false">E3635*F3635</f>
        <v>3591.76050378134</v>
      </c>
      <c r="H3635" s="10" t="n">
        <f aca="false">IF(OR(Nonlabor!$L$22="Quote required",Nonlabor!$L$22="Unverified"),G3635,0)</f>
        <v>0</v>
      </c>
      <c r="I3635" s="10" t="n">
        <f aca="false">IF(Nonlabor!$E$22="Core",0,G3635)</f>
        <v>0</v>
      </c>
      <c r="J3635" s="23" t="str">
        <f aca="false">Nonlabor!$B$22</f>
        <v>MARKETING</v>
      </c>
    </row>
    <row r="3636" customFormat="false" ht="15" hidden="false" customHeight="false" outlineLevel="0" collapsed="false">
      <c r="A3636" s="6" t="s">
        <v>73</v>
      </c>
      <c r="B3636" s="6" t="s">
        <v>55</v>
      </c>
      <c r="C3636" s="6" t="n">
        <v>31</v>
      </c>
      <c r="D3636" s="25" t="n">
        <f aca="false">EDATE('Start Here'!$B$6,C3636-1)</f>
        <v>47239</v>
      </c>
      <c r="E3636" s="11" t="n">
        <f aca="false">IF(AND(OR(Nonlabor!$D$22="Both",Nonlabor!$D$22='Start Here'!$B$9),IF(Nonlabor!$E$22="Core",1,IF(Nonlabor!$E$22="AI",'Start Here'!$B$7,'Start Here'!$B$8))=1,C3636&gt;=IF(Nonlabor!$E$22="Core",Nonlabor!$F$22,MAX(Nonlabor!$F$22,IF(Nonlabor!$E$22="AI",Assumptions!$E$24,Assumptions!$E$25))),C3636&lt;=Nonlabor!$G$22,OR(Nonlabor!$H$22="Monthly",AND(Nonlabor!$H$22="Once",C3636=IF(Nonlabor!$E$22="Core",Nonlabor!$F$22,MAX(Nonlabor!$F$22,IF(Nonlabor!$E$22="AI",Assumptions!$E$24,Assumptions!$E$25)))),AND(Nonlabor!$H$22="Annual",MOD(C3636-IF(Nonlabor!$E$22="Core",Nonlabor!$F$22,MAX(Nonlabor!$F$22,IF(Nonlabor!$E$22="AI",Assumptions!$E$24,Assumptions!$E$25))),12)=0))),IF(Nonlabor!$I$22="Fixed",1,IF(Nonlabor!$I$22="Seats",ROUNDUP('Monthly Growth'!I36,0),IF(Nonlabor!$I$22="Customers",'Monthly Growth'!D36,IF(Nonlabor!$I$22="NewCustomers",'Monthly Growth'!C36,IF(Nonlabor!$I$22="StorageGB",'Monthly Growth'!G36,IF(Nonlabor!$I$22="LogGB",'Monthly Growth'!H36,IF(Nonlabor!$I$22="RequestsM",'Monthly Growth'!F36,IF(Nonlabor!$I$22="InputM",'Monthly Growth'!D36*Assumptions!$E$22/1000000,IF(Nonlabor!$I$22="OutputM",'Monthly Growth'!D36*Assumptions!$E$23/1000000,0))))))))),0)</f>
        <v>47.234355260645</v>
      </c>
      <c r="F3636" s="10" t="n">
        <f aca="false">Nonlabor!$J$22*(1+Assumptions!$E$9)^INT((C3636-1)/12)</f>
        <v>81.12</v>
      </c>
      <c r="G3636" s="10" t="n">
        <f aca="false">E3636*F3636</f>
        <v>3831.65089874352</v>
      </c>
      <c r="H3636" s="10" t="n">
        <f aca="false">IF(OR(Nonlabor!$L$22="Quote required",Nonlabor!$L$22="Unverified"),G3636,0)</f>
        <v>0</v>
      </c>
      <c r="I3636" s="10" t="n">
        <f aca="false">IF(Nonlabor!$E$22="Core",0,G3636)</f>
        <v>0</v>
      </c>
      <c r="J3636" s="23" t="str">
        <f aca="false">Nonlabor!$B$22</f>
        <v>MARKETING</v>
      </c>
    </row>
    <row r="3637" customFormat="false" ht="15" hidden="false" customHeight="false" outlineLevel="0" collapsed="false">
      <c r="A3637" s="6" t="s">
        <v>73</v>
      </c>
      <c r="B3637" s="6" t="s">
        <v>55</v>
      </c>
      <c r="C3637" s="6" t="n">
        <v>32</v>
      </c>
      <c r="D3637" s="25" t="n">
        <f aca="false">EDATE('Start Here'!$B$6,C3637-1)</f>
        <v>47270</v>
      </c>
      <c r="E3637" s="11" t="n">
        <f aca="false">IF(AND(OR(Nonlabor!$D$22="Both",Nonlabor!$D$22='Start Here'!$B$9),IF(Nonlabor!$E$22="Core",1,IF(Nonlabor!$E$22="AI",'Start Here'!$B$7,'Start Here'!$B$8))=1,C3637&gt;=IF(Nonlabor!$E$22="Core",Nonlabor!$F$22,MAX(Nonlabor!$F$22,IF(Nonlabor!$E$22="AI",Assumptions!$E$24,Assumptions!$E$25))),C3637&lt;=Nonlabor!$G$22,OR(Nonlabor!$H$22="Monthly",AND(Nonlabor!$H$22="Once",C3637=IF(Nonlabor!$E$22="Core",Nonlabor!$F$22,MAX(Nonlabor!$F$22,IF(Nonlabor!$E$22="AI",Assumptions!$E$24,Assumptions!$E$25)))),AND(Nonlabor!$H$22="Annual",MOD(C3637-IF(Nonlabor!$E$22="Core",Nonlabor!$F$22,MAX(Nonlabor!$F$22,IF(Nonlabor!$E$22="AI",Assumptions!$E$24,Assumptions!$E$25))),12)=0))),IF(Nonlabor!$I$22="Fixed",1,IF(Nonlabor!$I$22="Seats",ROUNDUP('Monthly Growth'!I37,0),IF(Nonlabor!$I$22="Customers",'Monthly Growth'!D37,IF(Nonlabor!$I$22="NewCustomers",'Monthly Growth'!C37,IF(Nonlabor!$I$22="StorageGB",'Monthly Growth'!G37,IF(Nonlabor!$I$22="LogGB",'Monthly Growth'!H37,IF(Nonlabor!$I$22="RequestsM",'Monthly Growth'!F37,IF(Nonlabor!$I$22="InputM",'Monthly Growth'!D37*Assumptions!$E$22/1000000,IF(Nonlabor!$I$22="OutputM",'Monthly Growth'!D37*Assumptions!$E$23/1000000,0))))))))),0)</f>
        <v>50.1620117080386</v>
      </c>
      <c r="F3637" s="10" t="n">
        <f aca="false">Nonlabor!$J$22*(1+Assumptions!$E$9)^INT((C3637-1)/12)</f>
        <v>81.12</v>
      </c>
      <c r="G3637" s="10" t="n">
        <f aca="false">E3637*F3637</f>
        <v>4069.14238975609</v>
      </c>
      <c r="H3637" s="10" t="n">
        <f aca="false">IF(OR(Nonlabor!$L$22="Quote required",Nonlabor!$L$22="Unverified"),G3637,0)</f>
        <v>0</v>
      </c>
      <c r="I3637" s="10" t="n">
        <f aca="false">IF(Nonlabor!$E$22="Core",0,G3637)</f>
        <v>0</v>
      </c>
      <c r="J3637" s="23" t="str">
        <f aca="false">Nonlabor!$B$22</f>
        <v>MARKETING</v>
      </c>
    </row>
    <row r="3638" customFormat="false" ht="15" hidden="false" customHeight="false" outlineLevel="0" collapsed="false">
      <c r="A3638" s="6" t="s">
        <v>73</v>
      </c>
      <c r="B3638" s="6" t="s">
        <v>55</v>
      </c>
      <c r="C3638" s="6" t="n">
        <v>33</v>
      </c>
      <c r="D3638" s="25" t="n">
        <f aca="false">EDATE('Start Here'!$B$6,C3638-1)</f>
        <v>47300</v>
      </c>
      <c r="E3638" s="11" t="n">
        <f aca="false">IF(AND(OR(Nonlabor!$D$22="Both",Nonlabor!$D$22='Start Here'!$B$9),IF(Nonlabor!$E$22="Core",1,IF(Nonlabor!$E$22="AI",'Start Here'!$B$7,'Start Here'!$B$8))=1,C3638&gt;=IF(Nonlabor!$E$22="Core",Nonlabor!$F$22,MAX(Nonlabor!$F$22,IF(Nonlabor!$E$22="AI",Assumptions!$E$24,Assumptions!$E$25))),C3638&lt;=Nonlabor!$G$22,OR(Nonlabor!$H$22="Monthly",AND(Nonlabor!$H$22="Once",C3638=IF(Nonlabor!$E$22="Core",Nonlabor!$F$22,MAX(Nonlabor!$F$22,IF(Nonlabor!$E$22="AI",Assumptions!$E$24,Assumptions!$E$25)))),AND(Nonlabor!$H$22="Annual",MOD(C3638-IF(Nonlabor!$E$22="Core",Nonlabor!$F$22,MAX(Nonlabor!$F$22,IF(Nonlabor!$E$22="AI",Assumptions!$E$24,Assumptions!$E$25))),12)=0))),IF(Nonlabor!$I$22="Fixed",1,IF(Nonlabor!$I$22="Seats",ROUNDUP('Monthly Growth'!I38,0),IF(Nonlabor!$I$22="Customers",'Monthly Growth'!D38,IF(Nonlabor!$I$22="NewCustomers",'Monthly Growth'!C38,IF(Nonlabor!$I$22="StorageGB",'Monthly Growth'!G38,IF(Nonlabor!$I$22="LogGB",'Monthly Growth'!H38,IF(Nonlabor!$I$22="RequestsM",'Monthly Growth'!F38,IF(Nonlabor!$I$22="InputM",'Monthly Growth'!D38*Assumptions!$E$22/1000000,IF(Nonlabor!$I$22="OutputM",'Monthly Growth'!D38*Assumptions!$E$23/1000000,0))))))))),0)</f>
        <v>53.0603915909582</v>
      </c>
      <c r="F3638" s="10" t="n">
        <f aca="false">Nonlabor!$J$22*(1+Assumptions!$E$9)^INT((C3638-1)/12)</f>
        <v>81.12</v>
      </c>
      <c r="G3638" s="10" t="n">
        <f aca="false">E3638*F3638</f>
        <v>4304.25896585853</v>
      </c>
      <c r="H3638" s="10" t="n">
        <f aca="false">IF(OR(Nonlabor!$L$22="Quote required",Nonlabor!$L$22="Unverified"),G3638,0)</f>
        <v>0</v>
      </c>
      <c r="I3638" s="10" t="n">
        <f aca="false">IF(Nonlabor!$E$22="Core",0,G3638)</f>
        <v>0</v>
      </c>
      <c r="J3638" s="23" t="str">
        <f aca="false">Nonlabor!$B$22</f>
        <v>MARKETING</v>
      </c>
    </row>
    <row r="3639" customFormat="false" ht="15" hidden="false" customHeight="false" outlineLevel="0" collapsed="false">
      <c r="A3639" s="6" t="s">
        <v>73</v>
      </c>
      <c r="B3639" s="6" t="s">
        <v>55</v>
      </c>
      <c r="C3639" s="6" t="n">
        <v>34</v>
      </c>
      <c r="D3639" s="25" t="n">
        <f aca="false">EDATE('Start Here'!$B$6,C3639-1)</f>
        <v>47331</v>
      </c>
      <c r="E3639" s="11" t="n">
        <f aca="false">IF(AND(OR(Nonlabor!$D$22="Both",Nonlabor!$D$22='Start Here'!$B$9),IF(Nonlabor!$E$22="Core",1,IF(Nonlabor!$E$22="AI",'Start Here'!$B$7,'Start Here'!$B$8))=1,C3639&gt;=IF(Nonlabor!$E$22="Core",Nonlabor!$F$22,MAX(Nonlabor!$F$22,IF(Nonlabor!$E$22="AI",Assumptions!$E$24,Assumptions!$E$25))),C3639&lt;=Nonlabor!$G$22,OR(Nonlabor!$H$22="Monthly",AND(Nonlabor!$H$22="Once",C3639=IF(Nonlabor!$E$22="Core",Nonlabor!$F$22,MAX(Nonlabor!$F$22,IF(Nonlabor!$E$22="AI",Assumptions!$E$24,Assumptions!$E$25)))),AND(Nonlabor!$H$22="Annual",MOD(C3639-IF(Nonlabor!$E$22="Core",Nonlabor!$F$22,MAX(Nonlabor!$F$22,IF(Nonlabor!$E$22="AI",Assumptions!$E$24,Assumptions!$E$25))),12)=0))),IF(Nonlabor!$I$22="Fixed",1,IF(Nonlabor!$I$22="Seats",ROUNDUP('Monthly Growth'!I39,0),IF(Nonlabor!$I$22="Customers",'Monthly Growth'!D39,IF(Nonlabor!$I$22="NewCustomers",'Monthly Growth'!C39,IF(Nonlabor!$I$22="StorageGB",'Monthly Growth'!G39,IF(Nonlabor!$I$22="LogGB",'Monthly Growth'!H39,IF(Nonlabor!$I$22="RequestsM",'Monthly Growth'!F39,IF(Nonlabor!$I$22="InputM",'Monthly Growth'!D39*Assumptions!$E$22/1000000,IF(Nonlabor!$I$22="OutputM",'Monthly Growth'!D39*Assumptions!$E$23/1000000,0))))))))),0)</f>
        <v>55.9297876750486</v>
      </c>
      <c r="F3639" s="10" t="n">
        <f aca="false">Nonlabor!$J$22*(1+Assumptions!$E$9)^INT((C3639-1)/12)</f>
        <v>81.12</v>
      </c>
      <c r="G3639" s="10" t="n">
        <f aca="false">E3639*F3639</f>
        <v>4537.02437619994</v>
      </c>
      <c r="H3639" s="10" t="n">
        <f aca="false">IF(OR(Nonlabor!$L$22="Quote required",Nonlabor!$L$22="Unverified"),G3639,0)</f>
        <v>0</v>
      </c>
      <c r="I3639" s="10" t="n">
        <f aca="false">IF(Nonlabor!$E$22="Core",0,G3639)</f>
        <v>0</v>
      </c>
      <c r="J3639" s="23" t="str">
        <f aca="false">Nonlabor!$B$22</f>
        <v>MARKETING</v>
      </c>
    </row>
    <row r="3640" customFormat="false" ht="15" hidden="false" customHeight="false" outlineLevel="0" collapsed="false">
      <c r="A3640" s="6" t="s">
        <v>73</v>
      </c>
      <c r="B3640" s="6" t="s">
        <v>55</v>
      </c>
      <c r="C3640" s="6" t="n">
        <v>35</v>
      </c>
      <c r="D3640" s="25" t="n">
        <f aca="false">EDATE('Start Here'!$B$6,C3640-1)</f>
        <v>47362</v>
      </c>
      <c r="E3640" s="11" t="n">
        <f aca="false">IF(AND(OR(Nonlabor!$D$22="Both",Nonlabor!$D$22='Start Here'!$B$9),IF(Nonlabor!$E$22="Core",1,IF(Nonlabor!$E$22="AI",'Start Here'!$B$7,'Start Here'!$B$8))=1,C3640&gt;=IF(Nonlabor!$E$22="Core",Nonlabor!$F$22,MAX(Nonlabor!$F$22,IF(Nonlabor!$E$22="AI",Assumptions!$E$24,Assumptions!$E$25))),C3640&lt;=Nonlabor!$G$22,OR(Nonlabor!$H$22="Monthly",AND(Nonlabor!$H$22="Once",C3640=IF(Nonlabor!$E$22="Core",Nonlabor!$F$22,MAX(Nonlabor!$F$22,IF(Nonlabor!$E$22="AI",Assumptions!$E$24,Assumptions!$E$25)))),AND(Nonlabor!$H$22="Annual",MOD(C3640-IF(Nonlabor!$E$22="Core",Nonlabor!$F$22,MAX(Nonlabor!$F$22,IF(Nonlabor!$E$22="AI",Assumptions!$E$24,Assumptions!$E$25))),12)=0))),IF(Nonlabor!$I$22="Fixed",1,IF(Nonlabor!$I$22="Seats",ROUNDUP('Monthly Growth'!I40,0),IF(Nonlabor!$I$22="Customers",'Monthly Growth'!D40,IF(Nonlabor!$I$22="NewCustomers",'Monthly Growth'!C40,IF(Nonlabor!$I$22="StorageGB",'Monthly Growth'!G40,IF(Nonlabor!$I$22="LogGB",'Monthly Growth'!H40,IF(Nonlabor!$I$22="RequestsM",'Monthly Growth'!F40,IF(Nonlabor!$I$22="InputM",'Monthly Growth'!D40*Assumptions!$E$22/1000000,IF(Nonlabor!$I$22="OutputM",'Monthly Growth'!D40*Assumptions!$E$23/1000000,0))))))))),0)</f>
        <v>58.7704897982981</v>
      </c>
      <c r="F3640" s="10" t="n">
        <f aca="false">Nonlabor!$J$22*(1+Assumptions!$E$9)^INT((C3640-1)/12)</f>
        <v>81.12</v>
      </c>
      <c r="G3640" s="10" t="n">
        <f aca="false">E3640*F3640</f>
        <v>4767.46213243794</v>
      </c>
      <c r="H3640" s="10" t="n">
        <f aca="false">IF(OR(Nonlabor!$L$22="Quote required",Nonlabor!$L$22="Unverified"),G3640,0)</f>
        <v>0</v>
      </c>
      <c r="I3640" s="10" t="n">
        <f aca="false">IF(Nonlabor!$E$22="Core",0,G3640)</f>
        <v>0</v>
      </c>
      <c r="J3640" s="23" t="str">
        <f aca="false">Nonlabor!$B$22</f>
        <v>MARKETING</v>
      </c>
    </row>
    <row r="3641" customFormat="false" ht="15" hidden="false" customHeight="false" outlineLevel="0" collapsed="false">
      <c r="A3641" s="6" t="s">
        <v>73</v>
      </c>
      <c r="B3641" s="6" t="s">
        <v>55</v>
      </c>
      <c r="C3641" s="6" t="n">
        <v>36</v>
      </c>
      <c r="D3641" s="25" t="n">
        <f aca="false">EDATE('Start Here'!$B$6,C3641-1)</f>
        <v>47392</v>
      </c>
      <c r="E3641" s="11" t="n">
        <f aca="false">IF(AND(OR(Nonlabor!$D$22="Both",Nonlabor!$D$22='Start Here'!$B$9),IF(Nonlabor!$E$22="Core",1,IF(Nonlabor!$E$22="AI",'Start Here'!$B$7,'Start Here'!$B$8))=1,C3641&gt;=IF(Nonlabor!$E$22="Core",Nonlabor!$F$22,MAX(Nonlabor!$F$22,IF(Nonlabor!$E$22="AI",Assumptions!$E$24,Assumptions!$E$25))),C3641&lt;=Nonlabor!$G$22,OR(Nonlabor!$H$22="Monthly",AND(Nonlabor!$H$22="Once",C3641=IF(Nonlabor!$E$22="Core",Nonlabor!$F$22,MAX(Nonlabor!$F$22,IF(Nonlabor!$E$22="AI",Assumptions!$E$24,Assumptions!$E$25)))),AND(Nonlabor!$H$22="Annual",MOD(C3641-IF(Nonlabor!$E$22="Core",Nonlabor!$F$22,MAX(Nonlabor!$F$22,IF(Nonlabor!$E$22="AI",Assumptions!$E$24,Assumptions!$E$25))),12)=0))),IF(Nonlabor!$I$22="Fixed",1,IF(Nonlabor!$I$22="Seats",ROUNDUP('Monthly Growth'!I41,0),IF(Nonlabor!$I$22="Customers",'Monthly Growth'!D41,IF(Nonlabor!$I$22="NewCustomers",'Monthly Growth'!C41,IF(Nonlabor!$I$22="StorageGB",'Monthly Growth'!G41,IF(Nonlabor!$I$22="LogGB",'Monthly Growth'!H41,IF(Nonlabor!$I$22="RequestsM",'Monthly Growth'!F41,IF(Nonlabor!$I$22="InputM",'Monthly Growth'!D41*Assumptions!$E$22/1000000,IF(Nonlabor!$I$22="OutputM",'Monthly Growth'!D41*Assumptions!$E$23/1000000,0))))))))),0)</f>
        <v>63.9627849003151</v>
      </c>
      <c r="F3641" s="10" t="n">
        <f aca="false">Nonlabor!$J$22*(1+Assumptions!$E$9)^INT((C3641-1)/12)</f>
        <v>81.12</v>
      </c>
      <c r="G3641" s="10" t="n">
        <f aca="false">E3641*F3641</f>
        <v>5188.66111111356</v>
      </c>
      <c r="H3641" s="10" t="n">
        <f aca="false">IF(OR(Nonlabor!$L$22="Quote required",Nonlabor!$L$22="Unverified"),G3641,0)</f>
        <v>0</v>
      </c>
      <c r="I3641" s="10" t="n">
        <f aca="false">IF(Nonlabor!$E$22="Core",0,G3641)</f>
        <v>0</v>
      </c>
      <c r="J3641" s="23" t="str">
        <f aca="false">Nonlabor!$B$22</f>
        <v>MARKETING</v>
      </c>
    </row>
    <row r="3642" customFormat="false" ht="15" hidden="false" customHeight="false" outlineLevel="0" collapsed="false">
      <c r="A3642" s="6" t="s">
        <v>73</v>
      </c>
      <c r="B3642" s="6" t="s">
        <v>55</v>
      </c>
      <c r="C3642" s="6" t="n">
        <v>37</v>
      </c>
      <c r="D3642" s="25" t="n">
        <f aca="false">EDATE('Start Here'!$B$6,C3642-1)</f>
        <v>47423</v>
      </c>
      <c r="E3642" s="11" t="n">
        <f aca="false">IF(AND(OR(Nonlabor!$D$22="Both",Nonlabor!$D$22='Start Here'!$B$9),IF(Nonlabor!$E$22="Core",1,IF(Nonlabor!$E$22="AI",'Start Here'!$B$7,'Start Here'!$B$8))=1,C3642&gt;=IF(Nonlabor!$E$22="Core",Nonlabor!$F$22,MAX(Nonlabor!$F$22,IF(Nonlabor!$E$22="AI",Assumptions!$E$24,Assumptions!$E$25))),C3642&lt;=Nonlabor!$G$22,OR(Nonlabor!$H$22="Monthly",AND(Nonlabor!$H$22="Once",C3642=IF(Nonlabor!$E$22="Core",Nonlabor!$F$22,MAX(Nonlabor!$F$22,IF(Nonlabor!$E$22="AI",Assumptions!$E$24,Assumptions!$E$25)))),AND(Nonlabor!$H$22="Annual",MOD(C3642-IF(Nonlabor!$E$22="Core",Nonlabor!$F$22,MAX(Nonlabor!$F$22,IF(Nonlabor!$E$22="AI",Assumptions!$E$24,Assumptions!$E$25))),12)=0))),IF(Nonlabor!$I$22="Fixed",1,IF(Nonlabor!$I$22="Seats",ROUNDUP('Monthly Growth'!I42,0),IF(Nonlabor!$I$22="Customers",'Monthly Growth'!D42,IF(Nonlabor!$I$22="NewCustomers",'Monthly Growth'!C42,IF(Nonlabor!$I$22="StorageGB",'Monthly Growth'!G42,IF(Nonlabor!$I$22="LogGB",'Monthly Growth'!H42,IF(Nonlabor!$I$22="RequestsM",'Monthly Growth'!F42,IF(Nonlabor!$I$22="InputM",'Monthly Growth'!D42*Assumptions!$E$22/1000000,IF(Nonlabor!$I$22="OutputM",'Monthly Growth'!D42*Assumptions!$E$23/1000000,0))))))))),0)</f>
        <v>69.103157051312</v>
      </c>
      <c r="F3642" s="10" t="n">
        <f aca="false">Nonlabor!$J$22*(1+Assumptions!$E$9)^INT((C3642-1)/12)</f>
        <v>84.3648</v>
      </c>
      <c r="G3642" s="10" t="n">
        <f aca="false">E3642*F3642</f>
        <v>5829.87402400252</v>
      </c>
      <c r="H3642" s="10" t="n">
        <f aca="false">IF(OR(Nonlabor!$L$22="Quote required",Nonlabor!$L$22="Unverified"),G3642,0)</f>
        <v>0</v>
      </c>
      <c r="I3642" s="10" t="n">
        <f aca="false">IF(Nonlabor!$E$22="Core",0,G3642)</f>
        <v>0</v>
      </c>
      <c r="J3642" s="23" t="str">
        <f aca="false">Nonlabor!$B$22</f>
        <v>MARKETING</v>
      </c>
    </row>
    <row r="3643" customFormat="false" ht="15" hidden="false" customHeight="false" outlineLevel="0" collapsed="false">
      <c r="A3643" s="6" t="s">
        <v>73</v>
      </c>
      <c r="B3643" s="6" t="s">
        <v>55</v>
      </c>
      <c r="C3643" s="6" t="n">
        <v>38</v>
      </c>
      <c r="D3643" s="25" t="n">
        <f aca="false">EDATE('Start Here'!$B$6,C3643-1)</f>
        <v>47453</v>
      </c>
      <c r="E3643" s="11" t="n">
        <f aca="false">IF(AND(OR(Nonlabor!$D$22="Both",Nonlabor!$D$22='Start Here'!$B$9),IF(Nonlabor!$E$22="Core",1,IF(Nonlabor!$E$22="AI",'Start Here'!$B$7,'Start Here'!$B$8))=1,C3643&gt;=IF(Nonlabor!$E$22="Core",Nonlabor!$F$22,MAX(Nonlabor!$F$22,IF(Nonlabor!$E$22="AI",Assumptions!$E$24,Assumptions!$E$25))),C3643&lt;=Nonlabor!$G$22,OR(Nonlabor!$H$22="Monthly",AND(Nonlabor!$H$22="Once",C3643=IF(Nonlabor!$E$22="Core",Nonlabor!$F$22,MAX(Nonlabor!$F$22,IF(Nonlabor!$E$22="AI",Assumptions!$E$24,Assumptions!$E$25)))),AND(Nonlabor!$H$22="Annual",MOD(C3643-IF(Nonlabor!$E$22="Core",Nonlabor!$F$22,MAX(Nonlabor!$F$22,IF(Nonlabor!$E$22="AI",Assumptions!$E$24,Assumptions!$E$25))),12)=0))),IF(Nonlabor!$I$22="Fixed",1,IF(Nonlabor!$I$22="Seats",ROUNDUP('Monthly Growth'!I43,0),IF(Nonlabor!$I$22="Customers",'Monthly Growth'!D43,IF(Nonlabor!$I$22="NewCustomers",'Monthly Growth'!C43,IF(Nonlabor!$I$22="StorageGB",'Monthly Growth'!G43,IF(Nonlabor!$I$22="LogGB",'Monthly Growth'!H43,IF(Nonlabor!$I$22="RequestsM",'Monthly Growth'!F43,IF(Nonlabor!$I$22="InputM",'Monthly Growth'!D43*Assumptions!$E$22/1000000,IF(Nonlabor!$I$22="OutputM",'Monthly Growth'!D43*Assumptions!$E$23/1000000,0))))))))),0)</f>
        <v>74.1921254807988</v>
      </c>
      <c r="F3643" s="10" t="n">
        <f aca="false">Nonlabor!$J$22*(1+Assumptions!$E$9)^INT((C3643-1)/12)</f>
        <v>84.3648</v>
      </c>
      <c r="G3643" s="10" t="n">
        <f aca="false">E3643*F3643</f>
        <v>6259.2038277625</v>
      </c>
      <c r="H3643" s="10" t="n">
        <f aca="false">IF(OR(Nonlabor!$L$22="Quote required",Nonlabor!$L$22="Unverified"),G3643,0)</f>
        <v>0</v>
      </c>
      <c r="I3643" s="10" t="n">
        <f aca="false">IF(Nonlabor!$E$22="Core",0,G3643)</f>
        <v>0</v>
      </c>
      <c r="J3643" s="23" t="str">
        <f aca="false">Nonlabor!$B$22</f>
        <v>MARKETING</v>
      </c>
    </row>
    <row r="3644" customFormat="false" ht="15" hidden="false" customHeight="false" outlineLevel="0" collapsed="false">
      <c r="A3644" s="6" t="s">
        <v>73</v>
      </c>
      <c r="B3644" s="6" t="s">
        <v>55</v>
      </c>
      <c r="C3644" s="6" t="n">
        <v>39</v>
      </c>
      <c r="D3644" s="25" t="n">
        <f aca="false">EDATE('Start Here'!$B$6,C3644-1)</f>
        <v>47484</v>
      </c>
      <c r="E3644" s="11" t="n">
        <f aca="false">IF(AND(OR(Nonlabor!$D$22="Both",Nonlabor!$D$22='Start Here'!$B$9),IF(Nonlabor!$E$22="Core",1,IF(Nonlabor!$E$22="AI",'Start Here'!$B$7,'Start Here'!$B$8))=1,C3644&gt;=IF(Nonlabor!$E$22="Core",Nonlabor!$F$22,MAX(Nonlabor!$F$22,IF(Nonlabor!$E$22="AI",Assumptions!$E$24,Assumptions!$E$25))),C3644&lt;=Nonlabor!$G$22,OR(Nonlabor!$H$22="Monthly",AND(Nonlabor!$H$22="Once",C3644=IF(Nonlabor!$E$22="Core",Nonlabor!$F$22,MAX(Nonlabor!$F$22,IF(Nonlabor!$E$22="AI",Assumptions!$E$24,Assumptions!$E$25)))),AND(Nonlabor!$H$22="Annual",MOD(C3644-IF(Nonlabor!$E$22="Core",Nonlabor!$F$22,MAX(Nonlabor!$F$22,IF(Nonlabor!$E$22="AI",Assumptions!$E$24,Assumptions!$E$25))),12)=0))),IF(Nonlabor!$I$22="Fixed",1,IF(Nonlabor!$I$22="Seats",ROUNDUP('Monthly Growth'!I44,0),IF(Nonlabor!$I$22="Customers",'Monthly Growth'!D44,IF(Nonlabor!$I$22="NewCustomers",'Monthly Growth'!C44,IF(Nonlabor!$I$22="StorageGB",'Monthly Growth'!G44,IF(Nonlabor!$I$22="LogGB",'Monthly Growth'!H44,IF(Nonlabor!$I$22="RequestsM",'Monthly Growth'!F44,IF(Nonlabor!$I$22="InputM",'Monthly Growth'!D44*Assumptions!$E$22/1000000,IF(Nonlabor!$I$22="OutputM",'Monthly Growth'!D44*Assumptions!$E$23/1000000,0))))))))),0)</f>
        <v>79.2302042259909</v>
      </c>
      <c r="F3644" s="10" t="n">
        <f aca="false">Nonlabor!$J$22*(1+Assumptions!$E$9)^INT((C3644-1)/12)</f>
        <v>84.3648</v>
      </c>
      <c r="G3644" s="10" t="n">
        <f aca="false">E3644*F3644</f>
        <v>6684.24033348487</v>
      </c>
      <c r="H3644" s="10" t="n">
        <f aca="false">IF(OR(Nonlabor!$L$22="Quote required",Nonlabor!$L$22="Unverified"),G3644,0)</f>
        <v>0</v>
      </c>
      <c r="I3644" s="10" t="n">
        <f aca="false">IF(Nonlabor!$E$22="Core",0,G3644)</f>
        <v>0</v>
      </c>
      <c r="J3644" s="23" t="str">
        <f aca="false">Nonlabor!$B$22</f>
        <v>MARKETING</v>
      </c>
    </row>
    <row r="3645" customFormat="false" ht="15" hidden="false" customHeight="false" outlineLevel="0" collapsed="false">
      <c r="A3645" s="6" t="s">
        <v>73</v>
      </c>
      <c r="B3645" s="6" t="s">
        <v>55</v>
      </c>
      <c r="C3645" s="6" t="n">
        <v>40</v>
      </c>
      <c r="D3645" s="25" t="n">
        <f aca="false">EDATE('Start Here'!$B$6,C3645-1)</f>
        <v>47515</v>
      </c>
      <c r="E3645" s="11" t="n">
        <f aca="false">IF(AND(OR(Nonlabor!$D$22="Both",Nonlabor!$D$22='Start Here'!$B$9),IF(Nonlabor!$E$22="Core",1,IF(Nonlabor!$E$22="AI",'Start Here'!$B$7,'Start Here'!$B$8))=1,C3645&gt;=IF(Nonlabor!$E$22="Core",Nonlabor!$F$22,MAX(Nonlabor!$F$22,IF(Nonlabor!$E$22="AI",Assumptions!$E$24,Assumptions!$E$25))),C3645&lt;=Nonlabor!$G$22,OR(Nonlabor!$H$22="Monthly",AND(Nonlabor!$H$22="Once",C3645=IF(Nonlabor!$E$22="Core",Nonlabor!$F$22,MAX(Nonlabor!$F$22,IF(Nonlabor!$E$22="AI",Assumptions!$E$24,Assumptions!$E$25)))),AND(Nonlabor!$H$22="Annual",MOD(C3645-IF(Nonlabor!$E$22="Core",Nonlabor!$F$22,MAX(Nonlabor!$F$22,IF(Nonlabor!$E$22="AI",Assumptions!$E$24,Assumptions!$E$25))),12)=0))),IF(Nonlabor!$I$22="Fixed",1,IF(Nonlabor!$I$22="Seats",ROUNDUP('Monthly Growth'!I45,0),IF(Nonlabor!$I$22="Customers",'Monthly Growth'!D45,IF(Nonlabor!$I$22="NewCustomers",'Monthly Growth'!C45,IF(Nonlabor!$I$22="StorageGB",'Monthly Growth'!G45,IF(Nonlabor!$I$22="LogGB",'Monthly Growth'!H45,IF(Nonlabor!$I$22="RequestsM",'Monthly Growth'!F45,IF(Nonlabor!$I$22="InputM",'Monthly Growth'!D45*Assumptions!$E$22/1000000,IF(Nonlabor!$I$22="OutputM",'Monthly Growth'!D45*Assumptions!$E$23/1000000,0))))))))),0)</f>
        <v>84.2179021837309</v>
      </c>
      <c r="F3645" s="10" t="n">
        <f aca="false">Nonlabor!$J$22*(1+Assumptions!$E$9)^INT((C3645-1)/12)</f>
        <v>84.3648</v>
      </c>
      <c r="G3645" s="10" t="n">
        <f aca="false">E3645*F3645</f>
        <v>7105.02647415002</v>
      </c>
      <c r="H3645" s="10" t="n">
        <f aca="false">IF(OR(Nonlabor!$L$22="Quote required",Nonlabor!$L$22="Unverified"),G3645,0)</f>
        <v>0</v>
      </c>
      <c r="I3645" s="10" t="n">
        <f aca="false">IF(Nonlabor!$E$22="Core",0,G3645)</f>
        <v>0</v>
      </c>
      <c r="J3645" s="23" t="str">
        <f aca="false">Nonlabor!$B$22</f>
        <v>MARKETING</v>
      </c>
    </row>
    <row r="3646" customFormat="false" ht="15" hidden="false" customHeight="false" outlineLevel="0" collapsed="false">
      <c r="A3646" s="6" t="s">
        <v>73</v>
      </c>
      <c r="B3646" s="6" t="s">
        <v>55</v>
      </c>
      <c r="C3646" s="6" t="n">
        <v>41</v>
      </c>
      <c r="D3646" s="25" t="n">
        <f aca="false">EDATE('Start Here'!$B$6,C3646-1)</f>
        <v>47543</v>
      </c>
      <c r="E3646" s="11" t="n">
        <f aca="false">IF(AND(OR(Nonlabor!$D$22="Both",Nonlabor!$D$22='Start Here'!$B$9),IF(Nonlabor!$E$22="Core",1,IF(Nonlabor!$E$22="AI",'Start Here'!$B$7,'Start Here'!$B$8))=1,C3646&gt;=IF(Nonlabor!$E$22="Core",Nonlabor!$F$22,MAX(Nonlabor!$F$22,IF(Nonlabor!$E$22="AI",Assumptions!$E$24,Assumptions!$E$25))),C3646&lt;=Nonlabor!$G$22,OR(Nonlabor!$H$22="Monthly",AND(Nonlabor!$H$22="Once",C3646=IF(Nonlabor!$E$22="Core",Nonlabor!$F$22,MAX(Nonlabor!$F$22,IF(Nonlabor!$E$22="AI",Assumptions!$E$24,Assumptions!$E$25)))),AND(Nonlabor!$H$22="Annual",MOD(C3646-IF(Nonlabor!$E$22="Core",Nonlabor!$F$22,MAX(Nonlabor!$F$22,IF(Nonlabor!$E$22="AI",Assumptions!$E$24,Assumptions!$E$25))),12)=0))),IF(Nonlabor!$I$22="Fixed",1,IF(Nonlabor!$I$22="Seats",ROUNDUP('Monthly Growth'!I46,0),IF(Nonlabor!$I$22="Customers",'Monthly Growth'!D46,IF(Nonlabor!$I$22="NewCustomers",'Monthly Growth'!C46,IF(Nonlabor!$I$22="StorageGB",'Monthly Growth'!G46,IF(Nonlabor!$I$22="LogGB",'Monthly Growth'!H46,IF(Nonlabor!$I$22="RequestsM",'Monthly Growth'!F46,IF(Nonlabor!$I$22="InputM",'Monthly Growth'!D46*Assumptions!$E$22/1000000,IF(Nonlabor!$I$22="OutputM",'Monthly Growth'!D46*Assumptions!$E$23/1000000,0))))))))),0)</f>
        <v>89.1557231618936</v>
      </c>
      <c r="F3646" s="10" t="n">
        <f aca="false">Nonlabor!$J$22*(1+Assumptions!$E$9)^INT((C3646-1)/12)</f>
        <v>84.3648</v>
      </c>
      <c r="G3646" s="10" t="n">
        <f aca="false">E3646*F3646</f>
        <v>7521.60475340852</v>
      </c>
      <c r="H3646" s="10" t="n">
        <f aca="false">IF(OR(Nonlabor!$L$22="Quote required",Nonlabor!$L$22="Unverified"),G3646,0)</f>
        <v>0</v>
      </c>
      <c r="I3646" s="10" t="n">
        <f aca="false">IF(Nonlabor!$E$22="Core",0,G3646)</f>
        <v>0</v>
      </c>
      <c r="J3646" s="23" t="str">
        <f aca="false">Nonlabor!$B$22</f>
        <v>MARKETING</v>
      </c>
    </row>
    <row r="3647" customFormat="false" ht="15" hidden="false" customHeight="false" outlineLevel="0" collapsed="false">
      <c r="A3647" s="6" t="s">
        <v>73</v>
      </c>
      <c r="B3647" s="6" t="s">
        <v>55</v>
      </c>
      <c r="C3647" s="6" t="n">
        <v>42</v>
      </c>
      <c r="D3647" s="25" t="n">
        <f aca="false">EDATE('Start Here'!$B$6,C3647-1)</f>
        <v>47574</v>
      </c>
      <c r="E3647" s="11" t="n">
        <f aca="false">IF(AND(OR(Nonlabor!$D$22="Both",Nonlabor!$D$22='Start Here'!$B$9),IF(Nonlabor!$E$22="Core",1,IF(Nonlabor!$E$22="AI",'Start Here'!$B$7,'Start Here'!$B$8))=1,C3647&gt;=IF(Nonlabor!$E$22="Core",Nonlabor!$F$22,MAX(Nonlabor!$F$22,IF(Nonlabor!$E$22="AI",Assumptions!$E$24,Assumptions!$E$25))),C3647&lt;=Nonlabor!$G$22,OR(Nonlabor!$H$22="Monthly",AND(Nonlabor!$H$22="Once",C3647=IF(Nonlabor!$E$22="Core",Nonlabor!$F$22,MAX(Nonlabor!$F$22,IF(Nonlabor!$E$22="AI",Assumptions!$E$24,Assumptions!$E$25)))),AND(Nonlabor!$H$22="Annual",MOD(C3647-IF(Nonlabor!$E$22="Core",Nonlabor!$F$22,MAX(Nonlabor!$F$22,IF(Nonlabor!$E$22="AI",Assumptions!$E$24,Assumptions!$E$25))),12)=0))),IF(Nonlabor!$I$22="Fixed",1,IF(Nonlabor!$I$22="Seats",ROUNDUP('Monthly Growth'!I47,0),IF(Nonlabor!$I$22="Customers",'Monthly Growth'!D47,IF(Nonlabor!$I$22="NewCustomers",'Monthly Growth'!C47,IF(Nonlabor!$I$22="StorageGB",'Monthly Growth'!G47,IF(Nonlabor!$I$22="LogGB",'Monthly Growth'!H47,IF(Nonlabor!$I$22="RequestsM",'Monthly Growth'!F47,IF(Nonlabor!$I$22="InputM",'Monthly Growth'!D47*Assumptions!$E$22/1000000,IF(Nonlabor!$I$22="OutputM",'Monthly Growth'!D47*Assumptions!$E$23/1000000,0))))))))),0)</f>
        <v>94.0441659302747</v>
      </c>
      <c r="F3647" s="10" t="n">
        <f aca="false">Nonlabor!$J$22*(1+Assumptions!$E$9)^INT((C3647-1)/12)</f>
        <v>84.3648</v>
      </c>
      <c r="G3647" s="10" t="n">
        <f aca="false">E3647*F3647</f>
        <v>7934.01724987444</v>
      </c>
      <c r="H3647" s="10" t="n">
        <f aca="false">IF(OR(Nonlabor!$L$22="Quote required",Nonlabor!$L$22="Unverified"),G3647,0)</f>
        <v>0</v>
      </c>
      <c r="I3647" s="10" t="n">
        <f aca="false">IF(Nonlabor!$E$22="Core",0,G3647)</f>
        <v>0</v>
      </c>
      <c r="J3647" s="23" t="str">
        <f aca="false">Nonlabor!$B$22</f>
        <v>MARKETING</v>
      </c>
    </row>
    <row r="3648" customFormat="false" ht="15" hidden="false" customHeight="false" outlineLevel="0" collapsed="false">
      <c r="A3648" s="6" t="s">
        <v>73</v>
      </c>
      <c r="B3648" s="6" t="s">
        <v>55</v>
      </c>
      <c r="C3648" s="6" t="n">
        <v>43</v>
      </c>
      <c r="D3648" s="25" t="n">
        <f aca="false">EDATE('Start Here'!$B$6,C3648-1)</f>
        <v>47604</v>
      </c>
      <c r="E3648" s="11" t="n">
        <f aca="false">IF(AND(OR(Nonlabor!$D$22="Both",Nonlabor!$D$22='Start Here'!$B$9),IF(Nonlabor!$E$22="Core",1,IF(Nonlabor!$E$22="AI",'Start Here'!$B$7,'Start Here'!$B$8))=1,C3648&gt;=IF(Nonlabor!$E$22="Core",Nonlabor!$F$22,MAX(Nonlabor!$F$22,IF(Nonlabor!$E$22="AI",Assumptions!$E$24,Assumptions!$E$25))),C3648&lt;=Nonlabor!$G$22,OR(Nonlabor!$H$22="Monthly",AND(Nonlabor!$H$22="Once",C3648=IF(Nonlabor!$E$22="Core",Nonlabor!$F$22,MAX(Nonlabor!$F$22,IF(Nonlabor!$E$22="AI",Assumptions!$E$24,Assumptions!$E$25)))),AND(Nonlabor!$H$22="Annual",MOD(C3648-IF(Nonlabor!$E$22="Core",Nonlabor!$F$22,MAX(Nonlabor!$F$22,IF(Nonlabor!$E$22="AI",Assumptions!$E$24,Assumptions!$E$25))),12)=0))),IF(Nonlabor!$I$22="Fixed",1,IF(Nonlabor!$I$22="Seats",ROUNDUP('Monthly Growth'!I48,0),IF(Nonlabor!$I$22="Customers",'Monthly Growth'!D48,IF(Nonlabor!$I$22="NewCustomers",'Monthly Growth'!C48,IF(Nonlabor!$I$22="StorageGB",'Monthly Growth'!G48,IF(Nonlabor!$I$22="LogGB",'Monthly Growth'!H48,IF(Nonlabor!$I$22="RequestsM",'Monthly Growth'!F48,IF(Nonlabor!$I$22="InputM",'Monthly Growth'!D48*Assumptions!$E$22/1000000,IF(Nonlabor!$I$22="OutputM",'Monthly Growth'!D48*Assumptions!$E$23/1000000,0))))))))),0)</f>
        <v>98.883724270972</v>
      </c>
      <c r="F3648" s="10" t="n">
        <f aca="false">Nonlabor!$J$22*(1+Assumptions!$E$9)^INT((C3648-1)/12)</f>
        <v>84.3648</v>
      </c>
      <c r="G3648" s="10" t="n">
        <f aca="false">E3648*F3648</f>
        <v>8342.3056213757</v>
      </c>
      <c r="H3648" s="10" t="n">
        <f aca="false">IF(OR(Nonlabor!$L$22="Quote required",Nonlabor!$L$22="Unverified"),G3648,0)</f>
        <v>0</v>
      </c>
      <c r="I3648" s="10" t="n">
        <f aca="false">IF(Nonlabor!$E$22="Core",0,G3648)</f>
        <v>0</v>
      </c>
      <c r="J3648" s="23" t="str">
        <f aca="false">Nonlabor!$B$22</f>
        <v>MARKETING</v>
      </c>
    </row>
    <row r="3649" customFormat="false" ht="15" hidden="false" customHeight="false" outlineLevel="0" collapsed="false">
      <c r="A3649" s="6" t="s">
        <v>73</v>
      </c>
      <c r="B3649" s="6" t="s">
        <v>55</v>
      </c>
      <c r="C3649" s="6" t="n">
        <v>44</v>
      </c>
      <c r="D3649" s="25" t="n">
        <f aca="false">EDATE('Start Here'!$B$6,C3649-1)</f>
        <v>47635</v>
      </c>
      <c r="E3649" s="11" t="n">
        <f aca="false">IF(AND(OR(Nonlabor!$D$22="Both",Nonlabor!$D$22='Start Here'!$B$9),IF(Nonlabor!$E$22="Core",1,IF(Nonlabor!$E$22="AI",'Start Here'!$B$7,'Start Here'!$B$8))=1,C3649&gt;=IF(Nonlabor!$E$22="Core",Nonlabor!$F$22,MAX(Nonlabor!$F$22,IF(Nonlabor!$E$22="AI",Assumptions!$E$24,Assumptions!$E$25))),C3649&lt;=Nonlabor!$G$22,OR(Nonlabor!$H$22="Monthly",AND(Nonlabor!$H$22="Once",C3649=IF(Nonlabor!$E$22="Core",Nonlabor!$F$22,MAX(Nonlabor!$F$22,IF(Nonlabor!$E$22="AI",Assumptions!$E$24,Assumptions!$E$25)))),AND(Nonlabor!$H$22="Annual",MOD(C3649-IF(Nonlabor!$E$22="Core",Nonlabor!$F$22,MAX(Nonlabor!$F$22,IF(Nonlabor!$E$22="AI",Assumptions!$E$24,Assumptions!$E$25))),12)=0))),IF(Nonlabor!$I$22="Fixed",1,IF(Nonlabor!$I$22="Seats",ROUNDUP('Monthly Growth'!I49,0),IF(Nonlabor!$I$22="Customers",'Monthly Growth'!D49,IF(Nonlabor!$I$22="NewCustomers",'Monthly Growth'!C49,IF(Nonlabor!$I$22="StorageGB",'Monthly Growth'!G49,IF(Nonlabor!$I$22="LogGB",'Monthly Growth'!H49,IF(Nonlabor!$I$22="RequestsM",'Monthly Growth'!F49,IF(Nonlabor!$I$22="InputM",'Monthly Growth'!D49*Assumptions!$E$22/1000000,IF(Nonlabor!$I$22="OutputM",'Monthly Growth'!D49*Assumptions!$E$23/1000000,0))))))))),0)</f>
        <v>103.674887028262</v>
      </c>
      <c r="F3649" s="10" t="n">
        <f aca="false">Nonlabor!$J$22*(1+Assumptions!$E$9)^INT((C3649-1)/12)</f>
        <v>84.3648</v>
      </c>
      <c r="G3649" s="10" t="n">
        <f aca="false">E3649*F3649</f>
        <v>8746.51110916194</v>
      </c>
      <c r="H3649" s="10" t="n">
        <f aca="false">IF(OR(Nonlabor!$L$22="Quote required",Nonlabor!$L$22="Unverified"),G3649,0)</f>
        <v>0</v>
      </c>
      <c r="I3649" s="10" t="n">
        <f aca="false">IF(Nonlabor!$E$22="Core",0,G3649)</f>
        <v>0</v>
      </c>
      <c r="J3649" s="23" t="str">
        <f aca="false">Nonlabor!$B$22</f>
        <v>MARKETING</v>
      </c>
    </row>
    <row r="3650" customFormat="false" ht="15" hidden="false" customHeight="false" outlineLevel="0" collapsed="false">
      <c r="A3650" s="6" t="s">
        <v>73</v>
      </c>
      <c r="B3650" s="6" t="s">
        <v>55</v>
      </c>
      <c r="C3650" s="6" t="n">
        <v>45</v>
      </c>
      <c r="D3650" s="25" t="n">
        <f aca="false">EDATE('Start Here'!$B$6,C3650-1)</f>
        <v>47665</v>
      </c>
      <c r="E3650" s="11" t="n">
        <f aca="false">IF(AND(OR(Nonlabor!$D$22="Both",Nonlabor!$D$22='Start Here'!$B$9),IF(Nonlabor!$E$22="Core",1,IF(Nonlabor!$E$22="AI",'Start Here'!$B$7,'Start Here'!$B$8))=1,C3650&gt;=IF(Nonlabor!$E$22="Core",Nonlabor!$F$22,MAX(Nonlabor!$F$22,IF(Nonlabor!$E$22="AI",Assumptions!$E$24,Assumptions!$E$25))),C3650&lt;=Nonlabor!$G$22,OR(Nonlabor!$H$22="Monthly",AND(Nonlabor!$H$22="Once",C3650=IF(Nonlabor!$E$22="Core",Nonlabor!$F$22,MAX(Nonlabor!$F$22,IF(Nonlabor!$E$22="AI",Assumptions!$E$24,Assumptions!$E$25)))),AND(Nonlabor!$H$22="Annual",MOD(C3650-IF(Nonlabor!$E$22="Core",Nonlabor!$F$22,MAX(Nonlabor!$F$22,IF(Nonlabor!$E$22="AI",Assumptions!$E$24,Assumptions!$E$25))),12)=0))),IF(Nonlabor!$I$22="Fixed",1,IF(Nonlabor!$I$22="Seats",ROUNDUP('Monthly Growth'!I50,0),IF(Nonlabor!$I$22="Customers",'Monthly Growth'!D50,IF(Nonlabor!$I$22="NewCustomers",'Monthly Growth'!C50,IF(Nonlabor!$I$22="StorageGB",'Monthly Growth'!G50,IF(Nonlabor!$I$22="LogGB",'Monthly Growth'!H50,IF(Nonlabor!$I$22="RequestsM",'Monthly Growth'!F50,IF(Nonlabor!$I$22="InputM",'Monthly Growth'!D50*Assumptions!$E$22/1000000,IF(Nonlabor!$I$22="OutputM",'Monthly Growth'!D50*Assumptions!$E$23/1000000,0))))))))),0)</f>
        <v>108.41813815798</v>
      </c>
      <c r="F3650" s="10" t="n">
        <f aca="false">Nonlabor!$J$22*(1+Assumptions!$E$9)^INT((C3650-1)/12)</f>
        <v>84.3648</v>
      </c>
      <c r="G3650" s="10" t="n">
        <f aca="false">E3650*F3650</f>
        <v>9146.67454207032</v>
      </c>
      <c r="H3650" s="10" t="n">
        <f aca="false">IF(OR(Nonlabor!$L$22="Quote required",Nonlabor!$L$22="Unverified"),G3650,0)</f>
        <v>0</v>
      </c>
      <c r="I3650" s="10" t="n">
        <f aca="false">IF(Nonlabor!$E$22="Core",0,G3650)</f>
        <v>0</v>
      </c>
      <c r="J3650" s="23" t="str">
        <f aca="false">Nonlabor!$B$22</f>
        <v>MARKETING</v>
      </c>
    </row>
    <row r="3651" customFormat="false" ht="15" hidden="false" customHeight="false" outlineLevel="0" collapsed="false">
      <c r="A3651" s="6" t="s">
        <v>73</v>
      </c>
      <c r="B3651" s="6" t="s">
        <v>55</v>
      </c>
      <c r="C3651" s="6" t="n">
        <v>46</v>
      </c>
      <c r="D3651" s="25" t="n">
        <f aca="false">EDATE('Start Here'!$B$6,C3651-1)</f>
        <v>47696</v>
      </c>
      <c r="E3651" s="11" t="n">
        <f aca="false">IF(AND(OR(Nonlabor!$D$22="Both",Nonlabor!$D$22='Start Here'!$B$9),IF(Nonlabor!$E$22="Core",1,IF(Nonlabor!$E$22="AI",'Start Here'!$B$7,'Start Here'!$B$8))=1,C3651&gt;=IF(Nonlabor!$E$22="Core",Nonlabor!$F$22,MAX(Nonlabor!$F$22,IF(Nonlabor!$E$22="AI",Assumptions!$E$24,Assumptions!$E$25))),C3651&lt;=Nonlabor!$G$22,OR(Nonlabor!$H$22="Monthly",AND(Nonlabor!$H$22="Once",C3651=IF(Nonlabor!$E$22="Core",Nonlabor!$F$22,MAX(Nonlabor!$F$22,IF(Nonlabor!$E$22="AI",Assumptions!$E$24,Assumptions!$E$25)))),AND(Nonlabor!$H$22="Annual",MOD(C3651-IF(Nonlabor!$E$22="Core",Nonlabor!$F$22,MAX(Nonlabor!$F$22,IF(Nonlabor!$E$22="AI",Assumptions!$E$24,Assumptions!$E$25))),12)=0))),IF(Nonlabor!$I$22="Fixed",1,IF(Nonlabor!$I$22="Seats",ROUNDUP('Monthly Growth'!I51,0),IF(Nonlabor!$I$22="Customers",'Monthly Growth'!D51,IF(Nonlabor!$I$22="NewCustomers",'Monthly Growth'!C51,IF(Nonlabor!$I$22="StorageGB",'Monthly Growth'!G51,IF(Nonlabor!$I$22="LogGB",'Monthly Growth'!H51,IF(Nonlabor!$I$22="RequestsM",'Monthly Growth'!F51,IF(Nonlabor!$I$22="InputM",'Monthly Growth'!D51*Assumptions!$E$22/1000000,IF(Nonlabor!$I$22="OutputM",'Monthly Growth'!D51*Assumptions!$E$23/1000000,0))))))))),0)</f>
        <v>113.1139567764</v>
      </c>
      <c r="F3651" s="10" t="n">
        <f aca="false">Nonlabor!$J$22*(1+Assumptions!$E$9)^INT((C3651-1)/12)</f>
        <v>84.3648</v>
      </c>
      <c r="G3651" s="10" t="n">
        <f aca="false">E3651*F3651</f>
        <v>9542.83634064962</v>
      </c>
      <c r="H3651" s="10" t="n">
        <f aca="false">IF(OR(Nonlabor!$L$22="Quote required",Nonlabor!$L$22="Unverified"),G3651,0)</f>
        <v>0</v>
      </c>
      <c r="I3651" s="10" t="n">
        <f aca="false">IF(Nonlabor!$E$22="Core",0,G3651)</f>
        <v>0</v>
      </c>
      <c r="J3651" s="23" t="str">
        <f aca="false">Nonlabor!$B$22</f>
        <v>MARKETING</v>
      </c>
    </row>
    <row r="3652" customFormat="false" ht="15" hidden="false" customHeight="false" outlineLevel="0" collapsed="false">
      <c r="A3652" s="6" t="s">
        <v>73</v>
      </c>
      <c r="B3652" s="6" t="s">
        <v>55</v>
      </c>
      <c r="C3652" s="6" t="n">
        <v>47</v>
      </c>
      <c r="D3652" s="25" t="n">
        <f aca="false">EDATE('Start Here'!$B$6,C3652-1)</f>
        <v>47727</v>
      </c>
      <c r="E3652" s="11" t="n">
        <f aca="false">IF(AND(OR(Nonlabor!$D$22="Both",Nonlabor!$D$22='Start Here'!$B$9),IF(Nonlabor!$E$22="Core",1,IF(Nonlabor!$E$22="AI",'Start Here'!$B$7,'Start Here'!$B$8))=1,C3652&gt;=IF(Nonlabor!$E$22="Core",Nonlabor!$F$22,MAX(Nonlabor!$F$22,IF(Nonlabor!$E$22="AI",Assumptions!$E$24,Assumptions!$E$25))),C3652&lt;=Nonlabor!$G$22,OR(Nonlabor!$H$22="Monthly",AND(Nonlabor!$H$22="Once",C3652=IF(Nonlabor!$E$22="Core",Nonlabor!$F$22,MAX(Nonlabor!$F$22,IF(Nonlabor!$E$22="AI",Assumptions!$E$24,Assumptions!$E$25)))),AND(Nonlabor!$H$22="Annual",MOD(C3652-IF(Nonlabor!$E$22="Core",Nonlabor!$F$22,MAX(Nonlabor!$F$22,IF(Nonlabor!$E$22="AI",Assumptions!$E$24,Assumptions!$E$25))),12)=0))),IF(Nonlabor!$I$22="Fixed",1,IF(Nonlabor!$I$22="Seats",ROUNDUP('Monthly Growth'!I52,0),IF(Nonlabor!$I$22="Customers",'Monthly Growth'!D52,IF(Nonlabor!$I$22="NewCustomers",'Monthly Growth'!C52,IF(Nonlabor!$I$22="StorageGB",'Monthly Growth'!G52,IF(Nonlabor!$I$22="LogGB",'Monthly Growth'!H52,IF(Nonlabor!$I$22="RequestsM",'Monthly Growth'!F52,IF(Nonlabor!$I$22="InputM",'Monthly Growth'!D52*Assumptions!$E$22/1000000,IF(Nonlabor!$I$22="OutputM",'Monthly Growth'!D52*Assumptions!$E$23/1000000,0))))))))),0)</f>
        <v>117.762817208636</v>
      </c>
      <c r="F3652" s="10" t="n">
        <f aca="false">Nonlabor!$J$22*(1+Assumptions!$E$9)^INT((C3652-1)/12)</f>
        <v>84.3648</v>
      </c>
      <c r="G3652" s="10" t="n">
        <f aca="false">E3652*F3652</f>
        <v>9935.03652124312</v>
      </c>
      <c r="H3652" s="10" t="n">
        <f aca="false">IF(OR(Nonlabor!$L$22="Quote required",Nonlabor!$L$22="Unverified"),G3652,0)</f>
        <v>0</v>
      </c>
      <c r="I3652" s="10" t="n">
        <f aca="false">IF(Nonlabor!$E$22="Core",0,G3652)</f>
        <v>0</v>
      </c>
      <c r="J3652" s="23" t="str">
        <f aca="false">Nonlabor!$B$22</f>
        <v>MARKETING</v>
      </c>
    </row>
    <row r="3653" customFormat="false" ht="15" hidden="false" customHeight="false" outlineLevel="0" collapsed="false">
      <c r="A3653" s="6" t="s">
        <v>73</v>
      </c>
      <c r="B3653" s="6" t="s">
        <v>55</v>
      </c>
      <c r="C3653" s="6" t="n">
        <v>48</v>
      </c>
      <c r="D3653" s="25" t="n">
        <f aca="false">EDATE('Start Here'!$B$6,C3653-1)</f>
        <v>47757</v>
      </c>
      <c r="E3653" s="11" t="n">
        <f aca="false">IF(AND(OR(Nonlabor!$D$22="Both",Nonlabor!$D$22='Start Here'!$B$9),IF(Nonlabor!$E$22="Core",1,IF(Nonlabor!$E$22="AI",'Start Here'!$B$7,'Start Here'!$B$8))=1,C3653&gt;=IF(Nonlabor!$E$22="Core",Nonlabor!$F$22,MAX(Nonlabor!$F$22,IF(Nonlabor!$E$22="AI",Assumptions!$E$24,Assumptions!$E$25))),C3653&lt;=Nonlabor!$G$22,OR(Nonlabor!$H$22="Monthly",AND(Nonlabor!$H$22="Once",C3653=IF(Nonlabor!$E$22="Core",Nonlabor!$F$22,MAX(Nonlabor!$F$22,IF(Nonlabor!$E$22="AI",Assumptions!$E$24,Assumptions!$E$25)))),AND(Nonlabor!$H$22="Annual",MOD(C3653-IF(Nonlabor!$E$22="Core",Nonlabor!$F$22,MAX(Nonlabor!$F$22,IF(Nonlabor!$E$22="AI",Assumptions!$E$24,Assumptions!$E$25))),12)=0))),IF(Nonlabor!$I$22="Fixed",1,IF(Nonlabor!$I$22="Seats",ROUNDUP('Monthly Growth'!I53,0),IF(Nonlabor!$I$22="Customers",'Monthly Growth'!D53,IF(Nonlabor!$I$22="NewCustomers",'Monthly Growth'!C53,IF(Nonlabor!$I$22="StorageGB",'Monthly Growth'!G53,IF(Nonlabor!$I$22="LogGB",'Monthly Growth'!H53,IF(Nonlabor!$I$22="RequestsM",'Monthly Growth'!F53,IF(Nonlabor!$I$22="InputM",'Monthly Growth'!D53*Assumptions!$E$22/1000000,IF(Nonlabor!$I$22="OutputM",'Monthly Growth'!D53*Assumptions!$E$23/1000000,0))))))))),0)</f>
        <v>126.411189036549</v>
      </c>
      <c r="F3653" s="10" t="n">
        <f aca="false">Nonlabor!$J$22*(1+Assumptions!$E$9)^INT((C3653-1)/12)</f>
        <v>84.3648</v>
      </c>
      <c r="G3653" s="10" t="n">
        <f aca="false">E3653*F3653</f>
        <v>10664.6546808307</v>
      </c>
      <c r="H3653" s="10" t="n">
        <f aca="false">IF(OR(Nonlabor!$L$22="Quote required",Nonlabor!$L$22="Unverified"),G3653,0)</f>
        <v>0</v>
      </c>
      <c r="I3653" s="10" t="n">
        <f aca="false">IF(Nonlabor!$E$22="Core",0,G3653)</f>
        <v>0</v>
      </c>
      <c r="J3653" s="23" t="str">
        <f aca="false">Nonlabor!$B$22</f>
        <v>MARKETING</v>
      </c>
    </row>
    <row r="3654" customFormat="false" ht="15" hidden="false" customHeight="false" outlineLevel="0" collapsed="false">
      <c r="A3654" s="6" t="s">
        <v>73</v>
      </c>
      <c r="B3654" s="6" t="s">
        <v>55</v>
      </c>
      <c r="C3654" s="6" t="n">
        <v>49</v>
      </c>
      <c r="D3654" s="25" t="n">
        <f aca="false">EDATE('Start Here'!$B$6,C3654-1)</f>
        <v>47788</v>
      </c>
      <c r="E3654" s="11" t="n">
        <f aca="false">IF(AND(OR(Nonlabor!$D$22="Both",Nonlabor!$D$22='Start Here'!$B$9),IF(Nonlabor!$E$22="Core",1,IF(Nonlabor!$E$22="AI",'Start Here'!$B$7,'Start Here'!$B$8))=1,C3654&gt;=IF(Nonlabor!$E$22="Core",Nonlabor!$F$22,MAX(Nonlabor!$F$22,IF(Nonlabor!$E$22="AI",Assumptions!$E$24,Assumptions!$E$25))),C3654&lt;=Nonlabor!$G$22,OR(Nonlabor!$H$22="Monthly",AND(Nonlabor!$H$22="Once",C3654=IF(Nonlabor!$E$22="Core",Nonlabor!$F$22,MAX(Nonlabor!$F$22,IF(Nonlabor!$E$22="AI",Assumptions!$E$24,Assumptions!$E$25)))),AND(Nonlabor!$H$22="Annual",MOD(C3654-IF(Nonlabor!$E$22="Core",Nonlabor!$F$22,MAX(Nonlabor!$F$22,IF(Nonlabor!$E$22="AI",Assumptions!$E$24,Assumptions!$E$25))),12)=0))),IF(Nonlabor!$I$22="Fixed",1,IF(Nonlabor!$I$22="Seats",ROUNDUP('Monthly Growth'!I54,0),IF(Nonlabor!$I$22="Customers",'Monthly Growth'!D54,IF(Nonlabor!$I$22="NewCustomers",'Monthly Growth'!C54,IF(Nonlabor!$I$22="StorageGB",'Monthly Growth'!G54,IF(Nonlabor!$I$22="LogGB",'Monthly Growth'!H54,IF(Nonlabor!$I$22="RequestsM",'Monthly Growth'!F54,IF(Nonlabor!$I$22="InputM",'Monthly Growth'!D54*Assumptions!$E$22/1000000,IF(Nonlabor!$I$22="OutputM",'Monthly Growth'!D54*Assumptions!$E$23/1000000,0))))))))),0)</f>
        <v>134.973077146184</v>
      </c>
      <c r="F3654" s="10" t="n">
        <f aca="false">Nonlabor!$J$22*(1+Assumptions!$E$9)^INT((C3654-1)/12)</f>
        <v>87.739392</v>
      </c>
      <c r="G3654" s="10" t="n">
        <f aca="false">E3654*F3654</f>
        <v>11842.4557251753</v>
      </c>
      <c r="H3654" s="10" t="n">
        <f aca="false">IF(OR(Nonlabor!$L$22="Quote required",Nonlabor!$L$22="Unverified"),G3654,0)</f>
        <v>0</v>
      </c>
      <c r="I3654" s="10" t="n">
        <f aca="false">IF(Nonlabor!$E$22="Core",0,G3654)</f>
        <v>0</v>
      </c>
      <c r="J3654" s="23" t="str">
        <f aca="false">Nonlabor!$B$22</f>
        <v>MARKETING</v>
      </c>
    </row>
    <row r="3655" customFormat="false" ht="15" hidden="false" customHeight="false" outlineLevel="0" collapsed="false">
      <c r="A3655" s="6" t="s">
        <v>73</v>
      </c>
      <c r="B3655" s="6" t="s">
        <v>55</v>
      </c>
      <c r="C3655" s="6" t="n">
        <v>50</v>
      </c>
      <c r="D3655" s="25" t="n">
        <f aca="false">EDATE('Start Here'!$B$6,C3655-1)</f>
        <v>47818</v>
      </c>
      <c r="E3655" s="11" t="n">
        <f aca="false">IF(AND(OR(Nonlabor!$D$22="Both",Nonlabor!$D$22='Start Here'!$B$9),IF(Nonlabor!$E$22="Core",1,IF(Nonlabor!$E$22="AI",'Start Here'!$B$7,'Start Here'!$B$8))=1,C3655&gt;=IF(Nonlabor!$E$22="Core",Nonlabor!$F$22,MAX(Nonlabor!$F$22,IF(Nonlabor!$E$22="AI",Assumptions!$E$24,Assumptions!$E$25))),C3655&lt;=Nonlabor!$G$22,OR(Nonlabor!$H$22="Monthly",AND(Nonlabor!$H$22="Once",C3655=IF(Nonlabor!$E$22="Core",Nonlabor!$F$22,MAX(Nonlabor!$F$22,IF(Nonlabor!$E$22="AI",Assumptions!$E$24,Assumptions!$E$25)))),AND(Nonlabor!$H$22="Annual",MOD(C3655-IF(Nonlabor!$E$22="Core",Nonlabor!$F$22,MAX(Nonlabor!$F$22,IF(Nonlabor!$E$22="AI",Assumptions!$E$24,Assumptions!$E$25))),12)=0))),IF(Nonlabor!$I$22="Fixed",1,IF(Nonlabor!$I$22="Seats",ROUNDUP('Monthly Growth'!I55,0),IF(Nonlabor!$I$22="Customers",'Monthly Growth'!D55,IF(Nonlabor!$I$22="NewCustomers",'Monthly Growth'!C55,IF(Nonlabor!$I$22="StorageGB",'Monthly Growth'!G55,IF(Nonlabor!$I$22="LogGB",'Monthly Growth'!H55,IF(Nonlabor!$I$22="RequestsM",'Monthly Growth'!F55,IF(Nonlabor!$I$22="InputM",'Monthly Growth'!D55*Assumptions!$E$22/1000000,IF(Nonlabor!$I$22="OutputM",'Monthly Growth'!D55*Assumptions!$E$23/1000000,0))))))))),0)</f>
        <v>143.449346374722</v>
      </c>
      <c r="F3655" s="10" t="n">
        <f aca="false">Nonlabor!$J$22*(1+Assumptions!$E$9)^INT((C3655-1)/12)</f>
        <v>87.739392</v>
      </c>
      <c r="G3655" s="10" t="n">
        <f aca="false">E3655*F3655</f>
        <v>12586.1584337155</v>
      </c>
      <c r="H3655" s="10" t="n">
        <f aca="false">IF(OR(Nonlabor!$L$22="Quote required",Nonlabor!$L$22="Unverified"),G3655,0)</f>
        <v>0</v>
      </c>
      <c r="I3655" s="10" t="n">
        <f aca="false">IF(Nonlabor!$E$22="Core",0,G3655)</f>
        <v>0</v>
      </c>
      <c r="J3655" s="23" t="str">
        <f aca="false">Nonlabor!$B$22</f>
        <v>MARKETING</v>
      </c>
    </row>
    <row r="3656" customFormat="false" ht="15" hidden="false" customHeight="false" outlineLevel="0" collapsed="false">
      <c r="A3656" s="6" t="s">
        <v>73</v>
      </c>
      <c r="B3656" s="6" t="s">
        <v>55</v>
      </c>
      <c r="C3656" s="6" t="n">
        <v>51</v>
      </c>
      <c r="D3656" s="25" t="n">
        <f aca="false">EDATE('Start Here'!$B$6,C3656-1)</f>
        <v>47849</v>
      </c>
      <c r="E3656" s="11" t="n">
        <f aca="false">IF(AND(OR(Nonlabor!$D$22="Both",Nonlabor!$D$22='Start Here'!$B$9),IF(Nonlabor!$E$22="Core",1,IF(Nonlabor!$E$22="AI",'Start Here'!$B$7,'Start Here'!$B$8))=1,C3656&gt;=IF(Nonlabor!$E$22="Core",Nonlabor!$F$22,MAX(Nonlabor!$F$22,IF(Nonlabor!$E$22="AI",Assumptions!$E$24,Assumptions!$E$25))),C3656&lt;=Nonlabor!$G$22,OR(Nonlabor!$H$22="Monthly",AND(Nonlabor!$H$22="Once",C3656=IF(Nonlabor!$E$22="Core",Nonlabor!$F$22,MAX(Nonlabor!$F$22,IF(Nonlabor!$E$22="AI",Assumptions!$E$24,Assumptions!$E$25)))),AND(Nonlabor!$H$22="Annual",MOD(C3656-IF(Nonlabor!$E$22="Core",Nonlabor!$F$22,MAX(Nonlabor!$F$22,IF(Nonlabor!$E$22="AI",Assumptions!$E$24,Assumptions!$E$25))),12)=0))),IF(Nonlabor!$I$22="Fixed",1,IF(Nonlabor!$I$22="Seats",ROUNDUP('Monthly Growth'!I56,0),IF(Nonlabor!$I$22="Customers",'Monthly Growth'!D56,IF(Nonlabor!$I$22="NewCustomers",'Monthly Growth'!C56,IF(Nonlabor!$I$22="StorageGB",'Monthly Growth'!G56,IF(Nonlabor!$I$22="LogGB",'Monthly Growth'!H56,IF(Nonlabor!$I$22="RequestsM",'Monthly Growth'!F56,IF(Nonlabor!$I$22="InputM",'Monthly Growth'!D56*Assumptions!$E$22/1000000,IF(Nonlabor!$I$22="OutputM",'Monthly Growth'!D56*Assumptions!$E$23/1000000,0))))))))),0)</f>
        <v>151.840852910975</v>
      </c>
      <c r="F3656" s="10" t="n">
        <f aca="false">Nonlabor!$J$22*(1+Assumptions!$E$9)^INT((C3656-1)/12)</f>
        <v>87.739392</v>
      </c>
      <c r="G3656" s="10" t="n">
        <f aca="false">E3656*F3656</f>
        <v>13322.4241151704</v>
      </c>
      <c r="H3656" s="10" t="n">
        <f aca="false">IF(OR(Nonlabor!$L$22="Quote required",Nonlabor!$L$22="Unverified"),G3656,0)</f>
        <v>0</v>
      </c>
      <c r="I3656" s="10" t="n">
        <f aca="false">IF(Nonlabor!$E$22="Core",0,G3656)</f>
        <v>0</v>
      </c>
      <c r="J3656" s="23" t="str">
        <f aca="false">Nonlabor!$B$22</f>
        <v>MARKETING</v>
      </c>
    </row>
    <row r="3657" customFormat="false" ht="15" hidden="false" customHeight="false" outlineLevel="0" collapsed="false">
      <c r="A3657" s="6" t="s">
        <v>73</v>
      </c>
      <c r="B3657" s="6" t="s">
        <v>55</v>
      </c>
      <c r="C3657" s="6" t="n">
        <v>52</v>
      </c>
      <c r="D3657" s="25" t="n">
        <f aca="false">EDATE('Start Here'!$B$6,C3657-1)</f>
        <v>47880</v>
      </c>
      <c r="E3657" s="11" t="n">
        <f aca="false">IF(AND(OR(Nonlabor!$D$22="Both",Nonlabor!$D$22='Start Here'!$B$9),IF(Nonlabor!$E$22="Core",1,IF(Nonlabor!$E$22="AI",'Start Here'!$B$7,'Start Here'!$B$8))=1,C3657&gt;=IF(Nonlabor!$E$22="Core",Nonlabor!$F$22,MAX(Nonlabor!$F$22,IF(Nonlabor!$E$22="AI",Assumptions!$E$24,Assumptions!$E$25))),C3657&lt;=Nonlabor!$G$22,OR(Nonlabor!$H$22="Monthly",AND(Nonlabor!$H$22="Once",C3657=IF(Nonlabor!$E$22="Core",Nonlabor!$F$22,MAX(Nonlabor!$F$22,IF(Nonlabor!$E$22="AI",Assumptions!$E$24,Assumptions!$E$25)))),AND(Nonlabor!$H$22="Annual",MOD(C3657-IF(Nonlabor!$E$22="Core",Nonlabor!$F$22,MAX(Nonlabor!$F$22,IF(Nonlabor!$E$22="AI",Assumptions!$E$24,Assumptions!$E$25))),12)=0))),IF(Nonlabor!$I$22="Fixed",1,IF(Nonlabor!$I$22="Seats",ROUNDUP('Monthly Growth'!I57,0),IF(Nonlabor!$I$22="Customers",'Monthly Growth'!D57,IF(Nonlabor!$I$22="NewCustomers",'Monthly Growth'!C57,IF(Nonlabor!$I$22="StorageGB",'Monthly Growth'!G57,IF(Nonlabor!$I$22="LogGB",'Monthly Growth'!H57,IF(Nonlabor!$I$22="RequestsM",'Monthly Growth'!F57,IF(Nonlabor!$I$22="InputM",'Monthly Growth'!D57*Assumptions!$E$22/1000000,IF(Nonlabor!$I$22="OutputM",'Monthly Growth'!D57*Assumptions!$E$23/1000000,0))))))))),0)</f>
        <v>160.148444381865</v>
      </c>
      <c r="F3657" s="10" t="n">
        <f aca="false">Nonlabor!$J$22*(1+Assumptions!$E$9)^INT((C3657-1)/12)</f>
        <v>87.739392</v>
      </c>
      <c r="G3657" s="10" t="n">
        <f aca="false">E3657*F3657</f>
        <v>14051.3271398107</v>
      </c>
      <c r="H3657" s="10" t="n">
        <f aca="false">IF(OR(Nonlabor!$L$22="Quote required",Nonlabor!$L$22="Unverified"),G3657,0)</f>
        <v>0</v>
      </c>
      <c r="I3657" s="10" t="n">
        <f aca="false">IF(Nonlabor!$E$22="Core",0,G3657)</f>
        <v>0</v>
      </c>
      <c r="J3657" s="23" t="str">
        <f aca="false">Nonlabor!$B$22</f>
        <v>MARKETING</v>
      </c>
    </row>
    <row r="3658" customFormat="false" ht="15" hidden="false" customHeight="false" outlineLevel="0" collapsed="false">
      <c r="A3658" s="6" t="s">
        <v>73</v>
      </c>
      <c r="B3658" s="6" t="s">
        <v>55</v>
      </c>
      <c r="C3658" s="6" t="n">
        <v>53</v>
      </c>
      <c r="D3658" s="25" t="n">
        <f aca="false">EDATE('Start Here'!$B$6,C3658-1)</f>
        <v>47908</v>
      </c>
      <c r="E3658" s="11" t="n">
        <f aca="false">IF(AND(OR(Nonlabor!$D$22="Both",Nonlabor!$D$22='Start Here'!$B$9),IF(Nonlabor!$E$22="Core",1,IF(Nonlabor!$E$22="AI",'Start Here'!$B$7,'Start Here'!$B$8))=1,C3658&gt;=IF(Nonlabor!$E$22="Core",Nonlabor!$F$22,MAX(Nonlabor!$F$22,IF(Nonlabor!$E$22="AI",Assumptions!$E$24,Assumptions!$E$25))),C3658&lt;=Nonlabor!$G$22,OR(Nonlabor!$H$22="Monthly",AND(Nonlabor!$H$22="Once",C3658=IF(Nonlabor!$E$22="Core",Nonlabor!$F$22,MAX(Nonlabor!$F$22,IF(Nonlabor!$E$22="AI",Assumptions!$E$24,Assumptions!$E$25)))),AND(Nonlabor!$H$22="Annual",MOD(C3658-IF(Nonlabor!$E$22="Core",Nonlabor!$F$22,MAX(Nonlabor!$F$22,IF(Nonlabor!$E$22="AI",Assumptions!$E$24,Assumptions!$E$25))),12)=0))),IF(Nonlabor!$I$22="Fixed",1,IF(Nonlabor!$I$22="Seats",ROUNDUP('Monthly Growth'!I58,0),IF(Nonlabor!$I$22="Customers",'Monthly Growth'!D58,IF(Nonlabor!$I$22="NewCustomers",'Monthly Growth'!C58,IF(Nonlabor!$I$22="StorageGB",'Monthly Growth'!G58,IF(Nonlabor!$I$22="LogGB",'Monthly Growth'!H58,IF(Nonlabor!$I$22="RequestsM",'Monthly Growth'!F58,IF(Nonlabor!$I$22="InputM",'Monthly Growth'!D58*Assumptions!$E$22/1000000,IF(Nonlabor!$I$22="OutputM",'Monthly Growth'!D58*Assumptions!$E$23/1000000,0))))))))),0)</f>
        <v>168.372959938046</v>
      </c>
      <c r="F3658" s="10" t="n">
        <f aca="false">Nonlabor!$J$22*(1+Assumptions!$E$9)^INT((C3658-1)/12)</f>
        <v>87.739392</v>
      </c>
      <c r="G3658" s="10" t="n">
        <f aca="false">E3658*F3658</f>
        <v>14772.9411342046</v>
      </c>
      <c r="H3658" s="10" t="n">
        <f aca="false">IF(OR(Nonlabor!$L$22="Quote required",Nonlabor!$L$22="Unverified"),G3658,0)</f>
        <v>0</v>
      </c>
      <c r="I3658" s="10" t="n">
        <f aca="false">IF(Nonlabor!$E$22="Core",0,G3658)</f>
        <v>0</v>
      </c>
      <c r="J3658" s="23" t="str">
        <f aca="false">Nonlabor!$B$22</f>
        <v>MARKETING</v>
      </c>
    </row>
    <row r="3659" customFormat="false" ht="15" hidden="false" customHeight="false" outlineLevel="0" collapsed="false">
      <c r="A3659" s="6" t="s">
        <v>73</v>
      </c>
      <c r="B3659" s="6" t="s">
        <v>55</v>
      </c>
      <c r="C3659" s="6" t="n">
        <v>54</v>
      </c>
      <c r="D3659" s="25" t="n">
        <f aca="false">EDATE('Start Here'!$B$6,C3659-1)</f>
        <v>47939</v>
      </c>
      <c r="E3659" s="11" t="n">
        <f aca="false">IF(AND(OR(Nonlabor!$D$22="Both",Nonlabor!$D$22='Start Here'!$B$9),IF(Nonlabor!$E$22="Core",1,IF(Nonlabor!$E$22="AI",'Start Here'!$B$7,'Start Here'!$B$8))=1,C3659&gt;=IF(Nonlabor!$E$22="Core",Nonlabor!$F$22,MAX(Nonlabor!$F$22,IF(Nonlabor!$E$22="AI",Assumptions!$E$24,Assumptions!$E$25))),C3659&lt;=Nonlabor!$G$22,OR(Nonlabor!$H$22="Monthly",AND(Nonlabor!$H$22="Once",C3659=IF(Nonlabor!$E$22="Core",Nonlabor!$F$22,MAX(Nonlabor!$F$22,IF(Nonlabor!$E$22="AI",Assumptions!$E$24,Assumptions!$E$25)))),AND(Nonlabor!$H$22="Annual",MOD(C3659-IF(Nonlabor!$E$22="Core",Nonlabor!$F$22,MAX(Nonlabor!$F$22,IF(Nonlabor!$E$22="AI",Assumptions!$E$24,Assumptions!$E$25))),12)=0))),IF(Nonlabor!$I$22="Fixed",1,IF(Nonlabor!$I$22="Seats",ROUNDUP('Monthly Growth'!I59,0),IF(Nonlabor!$I$22="Customers",'Monthly Growth'!D59,IF(Nonlabor!$I$22="NewCustomers",'Monthly Growth'!C59,IF(Nonlabor!$I$22="StorageGB",'Monthly Growth'!G59,IF(Nonlabor!$I$22="LogGB",'Monthly Growth'!H59,IF(Nonlabor!$I$22="RequestsM",'Monthly Growth'!F59,IF(Nonlabor!$I$22="InputM",'Monthly Growth'!D59*Assumptions!$E$22/1000000,IF(Nonlabor!$I$22="OutputM",'Monthly Growth'!D59*Assumptions!$E$23/1000000,0))))))))),0)</f>
        <v>176.515230338666</v>
      </c>
      <c r="F3659" s="10" t="n">
        <f aca="false">Nonlabor!$J$22*(1+Assumptions!$E$9)^INT((C3659-1)/12)</f>
        <v>87.739392</v>
      </c>
      <c r="G3659" s="10" t="n">
        <f aca="false">E3659*F3659</f>
        <v>15487.3389886545</v>
      </c>
      <c r="H3659" s="10" t="n">
        <f aca="false">IF(OR(Nonlabor!$L$22="Quote required",Nonlabor!$L$22="Unverified"),G3659,0)</f>
        <v>0</v>
      </c>
      <c r="I3659" s="10" t="n">
        <f aca="false">IF(Nonlabor!$E$22="Core",0,G3659)</f>
        <v>0</v>
      </c>
      <c r="J3659" s="23" t="str">
        <f aca="false">Nonlabor!$B$22</f>
        <v>MARKETING</v>
      </c>
    </row>
    <row r="3660" customFormat="false" ht="15" hidden="false" customHeight="false" outlineLevel="0" collapsed="false">
      <c r="A3660" s="6" t="s">
        <v>73</v>
      </c>
      <c r="B3660" s="6" t="s">
        <v>55</v>
      </c>
      <c r="C3660" s="6" t="n">
        <v>55</v>
      </c>
      <c r="D3660" s="25" t="n">
        <f aca="false">EDATE('Start Here'!$B$6,C3660-1)</f>
        <v>47969</v>
      </c>
      <c r="E3660" s="11" t="n">
        <f aca="false">IF(AND(OR(Nonlabor!$D$22="Both",Nonlabor!$D$22='Start Here'!$B$9),IF(Nonlabor!$E$22="Core",1,IF(Nonlabor!$E$22="AI",'Start Here'!$B$7,'Start Here'!$B$8))=1,C3660&gt;=IF(Nonlabor!$E$22="Core",Nonlabor!$F$22,MAX(Nonlabor!$F$22,IF(Nonlabor!$E$22="AI",Assumptions!$E$24,Assumptions!$E$25))),C3660&lt;=Nonlabor!$G$22,OR(Nonlabor!$H$22="Monthly",AND(Nonlabor!$H$22="Once",C3660=IF(Nonlabor!$E$22="Core",Nonlabor!$F$22,MAX(Nonlabor!$F$22,IF(Nonlabor!$E$22="AI",Assumptions!$E$24,Assumptions!$E$25)))),AND(Nonlabor!$H$22="Annual",MOD(C3660-IF(Nonlabor!$E$22="Core",Nonlabor!$F$22,MAX(Nonlabor!$F$22,IF(Nonlabor!$E$22="AI",Assumptions!$E$24,Assumptions!$E$25))),12)=0))),IF(Nonlabor!$I$22="Fixed",1,IF(Nonlabor!$I$22="Seats",ROUNDUP('Monthly Growth'!I60,0),IF(Nonlabor!$I$22="Customers",'Monthly Growth'!D60,IF(Nonlabor!$I$22="NewCustomers",'Monthly Growth'!C60,IF(Nonlabor!$I$22="StorageGB",'Monthly Growth'!G60,IF(Nonlabor!$I$22="LogGB",'Monthly Growth'!H60,IF(Nonlabor!$I$22="RequestsM",'Monthly Growth'!F60,IF(Nonlabor!$I$22="InputM",'Monthly Growth'!D60*Assumptions!$E$22/1000000,IF(Nonlabor!$I$22="OutputM",'Monthly Growth'!D60*Assumptions!$E$23/1000000,0))))))))),0)</f>
        <v>184.576078035279</v>
      </c>
      <c r="F3660" s="10" t="n">
        <f aca="false">Nonlabor!$J$22*(1+Assumptions!$E$9)^INT((C3660-1)/12)</f>
        <v>87.739392</v>
      </c>
      <c r="G3660" s="10" t="n">
        <f aca="false">E3660*F3660</f>
        <v>16194.59286456</v>
      </c>
      <c r="H3660" s="10" t="n">
        <f aca="false">IF(OR(Nonlabor!$L$22="Quote required",Nonlabor!$L$22="Unverified"),G3660,0)</f>
        <v>0</v>
      </c>
      <c r="I3660" s="10" t="n">
        <f aca="false">IF(Nonlabor!$E$22="Core",0,G3660)</f>
        <v>0</v>
      </c>
      <c r="J3660" s="23" t="str">
        <f aca="false">Nonlabor!$B$22</f>
        <v>MARKETING</v>
      </c>
    </row>
    <row r="3661" customFormat="false" ht="15" hidden="false" customHeight="false" outlineLevel="0" collapsed="false">
      <c r="A3661" s="6" t="s">
        <v>73</v>
      </c>
      <c r="B3661" s="6" t="s">
        <v>55</v>
      </c>
      <c r="C3661" s="6" t="n">
        <v>56</v>
      </c>
      <c r="D3661" s="25" t="n">
        <f aca="false">EDATE('Start Here'!$B$6,C3661-1)</f>
        <v>48000</v>
      </c>
      <c r="E3661" s="11" t="n">
        <f aca="false">IF(AND(OR(Nonlabor!$D$22="Both",Nonlabor!$D$22='Start Here'!$B$9),IF(Nonlabor!$E$22="Core",1,IF(Nonlabor!$E$22="AI",'Start Here'!$B$7,'Start Here'!$B$8))=1,C3661&gt;=IF(Nonlabor!$E$22="Core",Nonlabor!$F$22,MAX(Nonlabor!$F$22,IF(Nonlabor!$E$22="AI",Assumptions!$E$24,Assumptions!$E$25))),C3661&lt;=Nonlabor!$G$22,OR(Nonlabor!$H$22="Monthly",AND(Nonlabor!$H$22="Once",C3661=IF(Nonlabor!$E$22="Core",Nonlabor!$F$22,MAX(Nonlabor!$F$22,IF(Nonlabor!$E$22="AI",Assumptions!$E$24,Assumptions!$E$25)))),AND(Nonlabor!$H$22="Annual",MOD(C3661-IF(Nonlabor!$E$22="Core",Nonlabor!$F$22,MAX(Nonlabor!$F$22,IF(Nonlabor!$E$22="AI",Assumptions!$E$24,Assumptions!$E$25))),12)=0))),IF(Nonlabor!$I$22="Fixed",1,IF(Nonlabor!$I$22="Seats",ROUNDUP('Monthly Growth'!I61,0),IF(Nonlabor!$I$22="Customers",'Monthly Growth'!D61,IF(Nonlabor!$I$22="NewCustomers",'Monthly Growth'!C61,IF(Nonlabor!$I$22="StorageGB",'Monthly Growth'!G61,IF(Nonlabor!$I$22="LogGB",'Monthly Growth'!H61,IF(Nonlabor!$I$22="RequestsM",'Monthly Growth'!F61,IF(Nonlabor!$I$22="InputM",'Monthly Growth'!D61*Assumptions!$E$22/1000000,IF(Nonlabor!$I$22="OutputM",'Monthly Growth'!D61*Assumptions!$E$23/1000000,0))))))))),0)</f>
        <v>192.556317254926</v>
      </c>
      <c r="F3661" s="10" t="n">
        <f aca="false">Nonlabor!$J$22*(1+Assumptions!$E$9)^INT((C3661-1)/12)</f>
        <v>87.739392</v>
      </c>
      <c r="G3661" s="10" t="n">
        <f aca="false">E3661*F3661</f>
        <v>16894.7742017064</v>
      </c>
      <c r="H3661" s="10" t="n">
        <f aca="false">IF(OR(Nonlabor!$L$22="Quote required",Nonlabor!$L$22="Unverified"),G3661,0)</f>
        <v>0</v>
      </c>
      <c r="I3661" s="10" t="n">
        <f aca="false">IF(Nonlabor!$E$22="Core",0,G3661)</f>
        <v>0</v>
      </c>
      <c r="J3661" s="23" t="str">
        <f aca="false">Nonlabor!$B$22</f>
        <v>MARKETING</v>
      </c>
    </row>
    <row r="3662" customFormat="false" ht="15" hidden="false" customHeight="false" outlineLevel="0" collapsed="false">
      <c r="A3662" s="6" t="s">
        <v>73</v>
      </c>
      <c r="B3662" s="6" t="s">
        <v>55</v>
      </c>
      <c r="C3662" s="6" t="n">
        <v>57</v>
      </c>
      <c r="D3662" s="25" t="n">
        <f aca="false">EDATE('Start Here'!$B$6,C3662-1)</f>
        <v>48030</v>
      </c>
      <c r="E3662" s="11" t="n">
        <f aca="false">IF(AND(OR(Nonlabor!$D$22="Both",Nonlabor!$D$22='Start Here'!$B$9),IF(Nonlabor!$E$22="Core",1,IF(Nonlabor!$E$22="AI",'Start Here'!$B$7,'Start Here'!$B$8))=1,C3662&gt;=IF(Nonlabor!$E$22="Core",Nonlabor!$F$22,MAX(Nonlabor!$F$22,IF(Nonlabor!$E$22="AI",Assumptions!$E$24,Assumptions!$E$25))),C3662&lt;=Nonlabor!$G$22,OR(Nonlabor!$H$22="Monthly",AND(Nonlabor!$H$22="Once",C3662=IF(Nonlabor!$E$22="Core",Nonlabor!$F$22,MAX(Nonlabor!$F$22,IF(Nonlabor!$E$22="AI",Assumptions!$E$24,Assumptions!$E$25)))),AND(Nonlabor!$H$22="Annual",MOD(C3662-IF(Nonlabor!$E$22="Core",Nonlabor!$F$22,MAX(Nonlabor!$F$22,IF(Nonlabor!$E$22="AI",Assumptions!$E$24,Assumptions!$E$25))),12)=0))),IF(Nonlabor!$I$22="Fixed",1,IF(Nonlabor!$I$22="Seats",ROUNDUP('Monthly Growth'!I62,0),IF(Nonlabor!$I$22="Customers",'Monthly Growth'!D62,IF(Nonlabor!$I$22="NewCustomers",'Monthly Growth'!C62,IF(Nonlabor!$I$22="StorageGB",'Monthly Growth'!G62,IF(Nonlabor!$I$22="LogGB",'Monthly Growth'!H62,IF(Nonlabor!$I$22="RequestsM",'Monthly Growth'!F62,IF(Nonlabor!$I$22="InputM",'Monthly Growth'!D62*Assumptions!$E$22/1000000,IF(Nonlabor!$I$22="OutputM",'Monthly Growth'!D62*Assumptions!$E$23/1000000,0))))))))),0)</f>
        <v>200.456754082377</v>
      </c>
      <c r="F3662" s="10" t="n">
        <f aca="false">Nonlabor!$J$22*(1+Assumptions!$E$9)^INT((C3662-1)/12)</f>
        <v>87.739392</v>
      </c>
      <c r="G3662" s="10" t="n">
        <f aca="false">E3662*F3662</f>
        <v>17587.9537254813</v>
      </c>
      <c r="H3662" s="10" t="n">
        <f aca="false">IF(OR(Nonlabor!$L$22="Quote required",Nonlabor!$L$22="Unverified"),G3662,0)</f>
        <v>0</v>
      </c>
      <c r="I3662" s="10" t="n">
        <f aca="false">IF(Nonlabor!$E$22="Core",0,G3662)</f>
        <v>0</v>
      </c>
      <c r="J3662" s="23" t="str">
        <f aca="false">Nonlabor!$B$22</f>
        <v>MARKETING</v>
      </c>
    </row>
    <row r="3663" customFormat="false" ht="15" hidden="false" customHeight="false" outlineLevel="0" collapsed="false">
      <c r="A3663" s="6" t="s">
        <v>73</v>
      </c>
      <c r="B3663" s="6" t="s">
        <v>55</v>
      </c>
      <c r="C3663" s="6" t="n">
        <v>58</v>
      </c>
      <c r="D3663" s="25" t="n">
        <f aca="false">EDATE('Start Here'!$B$6,C3663-1)</f>
        <v>48061</v>
      </c>
      <c r="E3663" s="11" t="n">
        <f aca="false">IF(AND(OR(Nonlabor!$D$22="Both",Nonlabor!$D$22='Start Here'!$B$9),IF(Nonlabor!$E$22="Core",1,IF(Nonlabor!$E$22="AI",'Start Here'!$B$7,'Start Here'!$B$8))=1,C3663&gt;=IF(Nonlabor!$E$22="Core",Nonlabor!$F$22,MAX(Nonlabor!$F$22,IF(Nonlabor!$E$22="AI",Assumptions!$E$24,Assumptions!$E$25))),C3663&lt;=Nonlabor!$G$22,OR(Nonlabor!$H$22="Monthly",AND(Nonlabor!$H$22="Once",C3663=IF(Nonlabor!$E$22="Core",Nonlabor!$F$22,MAX(Nonlabor!$F$22,IF(Nonlabor!$E$22="AI",Assumptions!$E$24,Assumptions!$E$25)))),AND(Nonlabor!$H$22="Annual",MOD(C3663-IF(Nonlabor!$E$22="Core",Nonlabor!$F$22,MAX(Nonlabor!$F$22,IF(Nonlabor!$E$22="AI",Assumptions!$E$24,Assumptions!$E$25))),12)=0))),IF(Nonlabor!$I$22="Fixed",1,IF(Nonlabor!$I$22="Seats",ROUNDUP('Monthly Growth'!I63,0),IF(Nonlabor!$I$22="Customers",'Monthly Growth'!D63,IF(Nonlabor!$I$22="NewCustomers",'Monthly Growth'!C63,IF(Nonlabor!$I$22="StorageGB",'Monthly Growth'!G63,IF(Nonlabor!$I$22="LogGB",'Monthly Growth'!H63,IF(Nonlabor!$I$22="RequestsM",'Monthly Growth'!F63,IF(Nonlabor!$I$22="InputM",'Monthly Growth'!D63*Assumptions!$E$22/1000000,IF(Nonlabor!$I$22="OutputM",'Monthly Growth'!D63*Assumptions!$E$23/1000000,0))))))))),0)</f>
        <v>208.278186541553</v>
      </c>
      <c r="F3663" s="10" t="n">
        <f aca="false">Nonlabor!$J$22*(1+Assumptions!$E$9)^INT((C3663-1)/12)</f>
        <v>87.739392</v>
      </c>
      <c r="G3663" s="10" t="n">
        <f aca="false">E3663*F3663</f>
        <v>18274.2014540185</v>
      </c>
      <c r="H3663" s="10" t="n">
        <f aca="false">IF(OR(Nonlabor!$L$22="Quote required",Nonlabor!$L$22="Unverified"),G3663,0)</f>
        <v>0</v>
      </c>
      <c r="I3663" s="10" t="n">
        <f aca="false">IF(Nonlabor!$E$22="Core",0,G3663)</f>
        <v>0</v>
      </c>
      <c r="J3663" s="23" t="str">
        <f aca="false">Nonlabor!$B$22</f>
        <v>MARKETING</v>
      </c>
    </row>
    <row r="3664" customFormat="false" ht="15" hidden="false" customHeight="false" outlineLevel="0" collapsed="false">
      <c r="A3664" s="6" t="s">
        <v>73</v>
      </c>
      <c r="B3664" s="6" t="s">
        <v>55</v>
      </c>
      <c r="C3664" s="6" t="n">
        <v>59</v>
      </c>
      <c r="D3664" s="25" t="n">
        <f aca="false">EDATE('Start Here'!$B$6,C3664-1)</f>
        <v>48092</v>
      </c>
      <c r="E3664" s="11" t="n">
        <f aca="false">IF(AND(OR(Nonlabor!$D$22="Both",Nonlabor!$D$22='Start Here'!$B$9),IF(Nonlabor!$E$22="Core",1,IF(Nonlabor!$E$22="AI",'Start Here'!$B$7,'Start Here'!$B$8))=1,C3664&gt;=IF(Nonlabor!$E$22="Core",Nonlabor!$F$22,MAX(Nonlabor!$F$22,IF(Nonlabor!$E$22="AI",Assumptions!$E$24,Assumptions!$E$25))),C3664&lt;=Nonlabor!$G$22,OR(Nonlabor!$H$22="Monthly",AND(Nonlabor!$H$22="Once",C3664=IF(Nonlabor!$E$22="Core",Nonlabor!$F$22,MAX(Nonlabor!$F$22,IF(Nonlabor!$E$22="AI",Assumptions!$E$24,Assumptions!$E$25)))),AND(Nonlabor!$H$22="Annual",MOD(C3664-IF(Nonlabor!$E$22="Core",Nonlabor!$F$22,MAX(Nonlabor!$F$22,IF(Nonlabor!$E$22="AI",Assumptions!$E$24,Assumptions!$E$25))),12)=0))),IF(Nonlabor!$I$22="Fixed",1,IF(Nonlabor!$I$22="Seats",ROUNDUP('Monthly Growth'!I64,0),IF(Nonlabor!$I$22="Customers",'Monthly Growth'!D64,IF(Nonlabor!$I$22="NewCustomers",'Monthly Growth'!C64,IF(Nonlabor!$I$22="StorageGB",'Monthly Growth'!G64,IF(Nonlabor!$I$22="LogGB",'Monthly Growth'!H64,IF(Nonlabor!$I$22="RequestsM",'Monthly Growth'!F64,IF(Nonlabor!$I$22="InputM",'Monthly Growth'!D64*Assumptions!$E$22/1000000,IF(Nonlabor!$I$22="OutputM",'Monthly Growth'!D64*Assumptions!$E$23/1000000,0))))))))),0)</f>
        <v>216.021404676138</v>
      </c>
      <c r="F3664" s="10" t="n">
        <f aca="false">Nonlabor!$J$22*(1+Assumptions!$E$9)^INT((C3664-1)/12)</f>
        <v>87.739392</v>
      </c>
      <c r="G3664" s="10" t="n">
        <f aca="false">E3664*F3664</f>
        <v>18953.5867052703</v>
      </c>
      <c r="H3664" s="10" t="n">
        <f aca="false">IF(OR(Nonlabor!$L$22="Quote required",Nonlabor!$L$22="Unverified"),G3664,0)</f>
        <v>0</v>
      </c>
      <c r="I3664" s="10" t="n">
        <f aca="false">IF(Nonlabor!$E$22="Core",0,G3664)</f>
        <v>0</v>
      </c>
      <c r="J3664" s="23" t="str">
        <f aca="false">Nonlabor!$B$22</f>
        <v>MARKETING</v>
      </c>
    </row>
    <row r="3665" customFormat="false" ht="15" hidden="false" customHeight="false" outlineLevel="0" collapsed="false">
      <c r="A3665" s="6" t="s">
        <v>73</v>
      </c>
      <c r="B3665" s="6" t="s">
        <v>55</v>
      </c>
      <c r="C3665" s="6" t="n">
        <v>60</v>
      </c>
      <c r="D3665" s="25" t="n">
        <f aca="false">EDATE('Start Here'!$B$6,C3665-1)</f>
        <v>48122</v>
      </c>
      <c r="E3665" s="11" t="n">
        <f aca="false">IF(AND(OR(Nonlabor!$D$22="Both",Nonlabor!$D$22='Start Here'!$B$9),IF(Nonlabor!$E$22="Core",1,IF(Nonlabor!$E$22="AI",'Start Here'!$B$7,'Start Here'!$B$8))=1,C3665&gt;=IF(Nonlabor!$E$22="Core",Nonlabor!$F$22,MAX(Nonlabor!$F$22,IF(Nonlabor!$E$22="AI",Assumptions!$E$24,Assumptions!$E$25))),C3665&lt;=Nonlabor!$G$22,OR(Nonlabor!$H$22="Monthly",AND(Nonlabor!$H$22="Once",C3665=IF(Nonlabor!$E$22="Core",Nonlabor!$F$22,MAX(Nonlabor!$F$22,IF(Nonlabor!$E$22="AI",Assumptions!$E$24,Assumptions!$E$25)))),AND(Nonlabor!$H$22="Annual",MOD(C3665-IF(Nonlabor!$E$22="Core",Nonlabor!$F$22,MAX(Nonlabor!$F$22,IF(Nonlabor!$E$22="AI",Assumptions!$E$24,Assumptions!$E$25))),12)=0))),IF(Nonlabor!$I$22="Fixed",1,IF(Nonlabor!$I$22="Seats",ROUNDUP('Monthly Growth'!I65,0),IF(Nonlabor!$I$22="Customers",'Monthly Growth'!D65,IF(Nonlabor!$I$22="NewCustomers",'Monthly Growth'!C65,IF(Nonlabor!$I$22="StorageGB",'Monthly Growth'!G65,IF(Nonlabor!$I$22="LogGB",'Monthly Growth'!H65,IF(Nonlabor!$I$22="RequestsM",'Monthly Growth'!F65,IF(Nonlabor!$I$22="InputM",'Monthly Growth'!D65*Assumptions!$E$22/1000000,IF(Nonlabor!$I$22="OutputM",'Monthly Growth'!D65*Assumptions!$E$23/1000000,0))))))))),0)</f>
        <v>230.565390629376</v>
      </c>
      <c r="F3665" s="10" t="n">
        <f aca="false">Nonlabor!$J$22*(1+Assumptions!$E$9)^INT((C3665-1)/12)</f>
        <v>87.739392</v>
      </c>
      <c r="G3665" s="10" t="n">
        <f aca="false">E3665*F3665</f>
        <v>20229.667190064</v>
      </c>
      <c r="H3665" s="10" t="n">
        <f aca="false">IF(OR(Nonlabor!$L$22="Quote required",Nonlabor!$L$22="Unverified"),G3665,0)</f>
        <v>0</v>
      </c>
      <c r="I3665" s="10" t="n">
        <f aca="false">IF(Nonlabor!$E$22="Core",0,G3665)</f>
        <v>0</v>
      </c>
      <c r="J3665" s="23" t="str">
        <f aca="false">Nonlabor!$B$22</f>
        <v>MARKETING</v>
      </c>
    </row>
    <row r="3666" customFormat="false" ht="15" hidden="false" customHeight="false" outlineLevel="0" collapsed="false">
      <c r="A3666" s="6" t="s">
        <v>73</v>
      </c>
      <c r="B3666" s="6" t="s">
        <v>57</v>
      </c>
      <c r="C3666" s="6" t="n">
        <v>1</v>
      </c>
      <c r="D3666" s="25" t="n">
        <f aca="false">EDATE('Start Here'!$B$6,C3666-1)</f>
        <v>46327</v>
      </c>
      <c r="E3666" s="23" t="n">
        <f aca="false">IF(AND(OR(Nonlabor!$D$23="Both",Nonlabor!$D$23='Start Here'!$B$9),IF(Nonlabor!$E$23="Core",1,IF(Nonlabor!$E$23="AI",'Start Here'!$B$7,'Start Here'!$B$8))=1,C3666&gt;=IF(Nonlabor!$E$23="Core",Nonlabor!$F$23,MAX(Nonlabor!$F$23,IF(Nonlabor!$E$23="AI",Assumptions!$E$24,Assumptions!$E$25))),C3666&lt;=Nonlabor!$G$23,OR(Nonlabor!$H$23="Monthly",AND(Nonlabor!$H$23="Once",C3666=IF(Nonlabor!$E$23="Core",Nonlabor!$F$23,MAX(Nonlabor!$F$23,IF(Nonlabor!$E$23="AI",Assumptions!$E$24,Assumptions!$E$25)))),AND(Nonlabor!$H$23="Annual",MOD(C3666-IF(Nonlabor!$E$23="Core",Nonlabor!$F$23,MAX(Nonlabor!$F$23,IF(Nonlabor!$E$23="AI",Assumptions!$E$24,Assumptions!$E$25))),12)=0))),IF(Nonlabor!$I$23="Fixed",1,IF(Nonlabor!$I$23="Seats",ROUNDUP('Monthly Growth'!I6,0),IF(Nonlabor!$I$23="Customers",'Monthly Growth'!D6,IF(Nonlabor!$I$23="NewCustomers",'Monthly Growth'!C6,IF(Nonlabor!$I$23="StorageGB",'Monthly Growth'!G6,IF(Nonlabor!$I$23="LogGB",'Monthly Growth'!H6,IF(Nonlabor!$I$23="RequestsM",'Monthly Growth'!F6,IF(Nonlabor!$I$23="InputM",'Monthly Growth'!D6*Assumptions!$E$22/1000000,IF(Nonlabor!$I$23="OutputM",'Monthly Growth'!D6*Assumptions!$E$23/1000000,0))))))))),0)</f>
        <v>0</v>
      </c>
      <c r="F3666" s="10" t="n">
        <f aca="false">Nonlabor!$J$23*(1+Assumptions!$E$9)^INT((C3666-1)/12)</f>
        <v>300</v>
      </c>
      <c r="G3666" s="10" t="n">
        <f aca="false">E3666*F3666</f>
        <v>0</v>
      </c>
      <c r="H3666" s="10" t="n">
        <f aca="false">IF(OR(Nonlabor!$L$23="Quote required",Nonlabor!$L$23="Unverified"),G3666,0)</f>
        <v>0</v>
      </c>
      <c r="I3666" s="10" t="n">
        <f aca="false">IF(Nonlabor!$E$23="Core",0,G3666)</f>
        <v>0</v>
      </c>
      <c r="J3666" s="23" t="str">
        <f aca="false">Nonlabor!$B$23</f>
        <v>ONBOARD</v>
      </c>
    </row>
    <row r="3667" customFormat="false" ht="15" hidden="false" customHeight="false" outlineLevel="0" collapsed="false">
      <c r="A3667" s="6" t="s">
        <v>73</v>
      </c>
      <c r="B3667" s="6" t="s">
        <v>57</v>
      </c>
      <c r="C3667" s="6" t="n">
        <v>2</v>
      </c>
      <c r="D3667" s="25" t="n">
        <f aca="false">EDATE('Start Here'!$B$6,C3667-1)</f>
        <v>46357</v>
      </c>
      <c r="E3667" s="23" t="n">
        <f aca="false">IF(AND(OR(Nonlabor!$D$23="Both",Nonlabor!$D$23='Start Here'!$B$9),IF(Nonlabor!$E$23="Core",1,IF(Nonlabor!$E$23="AI",'Start Here'!$B$7,'Start Here'!$B$8))=1,C3667&gt;=IF(Nonlabor!$E$23="Core",Nonlabor!$F$23,MAX(Nonlabor!$F$23,IF(Nonlabor!$E$23="AI",Assumptions!$E$24,Assumptions!$E$25))),C3667&lt;=Nonlabor!$G$23,OR(Nonlabor!$H$23="Monthly",AND(Nonlabor!$H$23="Once",C3667=IF(Nonlabor!$E$23="Core",Nonlabor!$F$23,MAX(Nonlabor!$F$23,IF(Nonlabor!$E$23="AI",Assumptions!$E$24,Assumptions!$E$25)))),AND(Nonlabor!$H$23="Annual",MOD(C3667-IF(Nonlabor!$E$23="Core",Nonlabor!$F$23,MAX(Nonlabor!$F$23,IF(Nonlabor!$E$23="AI",Assumptions!$E$24,Assumptions!$E$25))),12)=0))),IF(Nonlabor!$I$23="Fixed",1,IF(Nonlabor!$I$23="Seats",ROUNDUP('Monthly Growth'!I7,0),IF(Nonlabor!$I$23="Customers",'Monthly Growth'!D7,IF(Nonlabor!$I$23="NewCustomers",'Monthly Growth'!C7,IF(Nonlabor!$I$23="StorageGB",'Monthly Growth'!G7,IF(Nonlabor!$I$23="LogGB",'Monthly Growth'!H7,IF(Nonlabor!$I$23="RequestsM",'Monthly Growth'!F7,IF(Nonlabor!$I$23="InputM",'Monthly Growth'!D7*Assumptions!$E$22/1000000,IF(Nonlabor!$I$23="OutputM",'Monthly Growth'!D7*Assumptions!$E$23/1000000,0))))))))),0)</f>
        <v>0</v>
      </c>
      <c r="F3667" s="10" t="n">
        <f aca="false">Nonlabor!$J$23*(1+Assumptions!$E$9)^INT((C3667-1)/12)</f>
        <v>300</v>
      </c>
      <c r="G3667" s="10" t="n">
        <f aca="false">E3667*F3667</f>
        <v>0</v>
      </c>
      <c r="H3667" s="10" t="n">
        <f aca="false">IF(OR(Nonlabor!$L$23="Quote required",Nonlabor!$L$23="Unverified"),G3667,0)</f>
        <v>0</v>
      </c>
      <c r="I3667" s="10" t="n">
        <f aca="false">IF(Nonlabor!$E$23="Core",0,G3667)</f>
        <v>0</v>
      </c>
      <c r="J3667" s="23" t="str">
        <f aca="false">Nonlabor!$B$23</f>
        <v>ONBOARD</v>
      </c>
    </row>
    <row r="3668" customFormat="false" ht="15" hidden="false" customHeight="false" outlineLevel="0" collapsed="false">
      <c r="A3668" s="6" t="s">
        <v>73</v>
      </c>
      <c r="B3668" s="6" t="s">
        <v>57</v>
      </c>
      <c r="C3668" s="6" t="n">
        <v>3</v>
      </c>
      <c r="D3668" s="25" t="n">
        <f aca="false">EDATE('Start Here'!$B$6,C3668-1)</f>
        <v>46388</v>
      </c>
      <c r="E3668" s="23" t="n">
        <f aca="false">IF(AND(OR(Nonlabor!$D$23="Both",Nonlabor!$D$23='Start Here'!$B$9),IF(Nonlabor!$E$23="Core",1,IF(Nonlabor!$E$23="AI",'Start Here'!$B$7,'Start Here'!$B$8))=1,C3668&gt;=IF(Nonlabor!$E$23="Core",Nonlabor!$F$23,MAX(Nonlabor!$F$23,IF(Nonlabor!$E$23="AI",Assumptions!$E$24,Assumptions!$E$25))),C3668&lt;=Nonlabor!$G$23,OR(Nonlabor!$H$23="Monthly",AND(Nonlabor!$H$23="Once",C3668=IF(Nonlabor!$E$23="Core",Nonlabor!$F$23,MAX(Nonlabor!$F$23,IF(Nonlabor!$E$23="AI",Assumptions!$E$24,Assumptions!$E$25)))),AND(Nonlabor!$H$23="Annual",MOD(C3668-IF(Nonlabor!$E$23="Core",Nonlabor!$F$23,MAX(Nonlabor!$F$23,IF(Nonlabor!$E$23="AI",Assumptions!$E$24,Assumptions!$E$25))),12)=0))),IF(Nonlabor!$I$23="Fixed",1,IF(Nonlabor!$I$23="Seats",ROUNDUP('Monthly Growth'!I8,0),IF(Nonlabor!$I$23="Customers",'Monthly Growth'!D8,IF(Nonlabor!$I$23="NewCustomers",'Monthly Growth'!C8,IF(Nonlabor!$I$23="StorageGB",'Monthly Growth'!G8,IF(Nonlabor!$I$23="LogGB",'Monthly Growth'!H8,IF(Nonlabor!$I$23="RequestsM",'Monthly Growth'!F8,IF(Nonlabor!$I$23="InputM",'Monthly Growth'!D8*Assumptions!$E$22/1000000,IF(Nonlabor!$I$23="OutputM",'Monthly Growth'!D8*Assumptions!$E$23/1000000,0))))))))),0)</f>
        <v>0</v>
      </c>
      <c r="F3668" s="10" t="n">
        <f aca="false">Nonlabor!$J$23*(1+Assumptions!$E$9)^INT((C3668-1)/12)</f>
        <v>300</v>
      </c>
      <c r="G3668" s="10" t="n">
        <f aca="false">E3668*F3668</f>
        <v>0</v>
      </c>
      <c r="H3668" s="10" t="n">
        <f aca="false">IF(OR(Nonlabor!$L$23="Quote required",Nonlabor!$L$23="Unverified"),G3668,0)</f>
        <v>0</v>
      </c>
      <c r="I3668" s="10" t="n">
        <f aca="false">IF(Nonlabor!$E$23="Core",0,G3668)</f>
        <v>0</v>
      </c>
      <c r="J3668" s="23" t="str">
        <f aca="false">Nonlabor!$B$23</f>
        <v>ONBOARD</v>
      </c>
    </row>
    <row r="3669" customFormat="false" ht="15" hidden="false" customHeight="false" outlineLevel="0" collapsed="false">
      <c r="A3669" s="6" t="s">
        <v>73</v>
      </c>
      <c r="B3669" s="6" t="s">
        <v>57</v>
      </c>
      <c r="C3669" s="6" t="n">
        <v>4</v>
      </c>
      <c r="D3669" s="25" t="n">
        <f aca="false">EDATE('Start Here'!$B$6,C3669-1)</f>
        <v>46419</v>
      </c>
      <c r="E3669" s="23" t="n">
        <f aca="false">IF(AND(OR(Nonlabor!$D$23="Both",Nonlabor!$D$23='Start Here'!$B$9),IF(Nonlabor!$E$23="Core",1,IF(Nonlabor!$E$23="AI",'Start Here'!$B$7,'Start Here'!$B$8))=1,C3669&gt;=IF(Nonlabor!$E$23="Core",Nonlabor!$F$23,MAX(Nonlabor!$F$23,IF(Nonlabor!$E$23="AI",Assumptions!$E$24,Assumptions!$E$25))),C3669&lt;=Nonlabor!$G$23,OR(Nonlabor!$H$23="Monthly",AND(Nonlabor!$H$23="Once",C3669=IF(Nonlabor!$E$23="Core",Nonlabor!$F$23,MAX(Nonlabor!$F$23,IF(Nonlabor!$E$23="AI",Assumptions!$E$24,Assumptions!$E$25)))),AND(Nonlabor!$H$23="Annual",MOD(C3669-IF(Nonlabor!$E$23="Core",Nonlabor!$F$23,MAX(Nonlabor!$F$23,IF(Nonlabor!$E$23="AI",Assumptions!$E$24,Assumptions!$E$25))),12)=0))),IF(Nonlabor!$I$23="Fixed",1,IF(Nonlabor!$I$23="Seats",ROUNDUP('Monthly Growth'!I9,0),IF(Nonlabor!$I$23="Customers",'Monthly Growth'!D9,IF(Nonlabor!$I$23="NewCustomers",'Monthly Growth'!C9,IF(Nonlabor!$I$23="StorageGB",'Monthly Growth'!G9,IF(Nonlabor!$I$23="LogGB",'Monthly Growth'!H9,IF(Nonlabor!$I$23="RequestsM",'Monthly Growth'!F9,IF(Nonlabor!$I$23="InputM",'Monthly Growth'!D9*Assumptions!$E$22/1000000,IF(Nonlabor!$I$23="OutputM",'Monthly Growth'!D9*Assumptions!$E$23/1000000,0))))))))),0)</f>
        <v>0</v>
      </c>
      <c r="F3669" s="10" t="n">
        <f aca="false">Nonlabor!$J$23*(1+Assumptions!$E$9)^INT((C3669-1)/12)</f>
        <v>300</v>
      </c>
      <c r="G3669" s="10" t="n">
        <f aca="false">E3669*F3669</f>
        <v>0</v>
      </c>
      <c r="H3669" s="10" t="n">
        <f aca="false">IF(OR(Nonlabor!$L$23="Quote required",Nonlabor!$L$23="Unverified"),G3669,0)</f>
        <v>0</v>
      </c>
      <c r="I3669" s="10" t="n">
        <f aca="false">IF(Nonlabor!$E$23="Core",0,G3669)</f>
        <v>0</v>
      </c>
      <c r="J3669" s="23" t="str">
        <f aca="false">Nonlabor!$B$23</f>
        <v>ONBOARD</v>
      </c>
    </row>
    <row r="3670" customFormat="false" ht="15" hidden="false" customHeight="false" outlineLevel="0" collapsed="false">
      <c r="A3670" s="6" t="s">
        <v>73</v>
      </c>
      <c r="B3670" s="6" t="s">
        <v>57</v>
      </c>
      <c r="C3670" s="6" t="n">
        <v>5</v>
      </c>
      <c r="D3670" s="25" t="n">
        <f aca="false">EDATE('Start Here'!$B$6,C3670-1)</f>
        <v>46447</v>
      </c>
      <c r="E3670" s="23" t="n">
        <f aca="false">IF(AND(OR(Nonlabor!$D$23="Both",Nonlabor!$D$23='Start Here'!$B$9),IF(Nonlabor!$E$23="Core",1,IF(Nonlabor!$E$23="AI",'Start Here'!$B$7,'Start Here'!$B$8))=1,C3670&gt;=IF(Nonlabor!$E$23="Core",Nonlabor!$F$23,MAX(Nonlabor!$F$23,IF(Nonlabor!$E$23="AI",Assumptions!$E$24,Assumptions!$E$25))),C3670&lt;=Nonlabor!$G$23,OR(Nonlabor!$H$23="Monthly",AND(Nonlabor!$H$23="Once",C3670=IF(Nonlabor!$E$23="Core",Nonlabor!$F$23,MAX(Nonlabor!$F$23,IF(Nonlabor!$E$23="AI",Assumptions!$E$24,Assumptions!$E$25)))),AND(Nonlabor!$H$23="Annual",MOD(C3670-IF(Nonlabor!$E$23="Core",Nonlabor!$F$23,MAX(Nonlabor!$F$23,IF(Nonlabor!$E$23="AI",Assumptions!$E$24,Assumptions!$E$25))),12)=0))),IF(Nonlabor!$I$23="Fixed",1,IF(Nonlabor!$I$23="Seats",ROUNDUP('Monthly Growth'!I10,0),IF(Nonlabor!$I$23="Customers",'Monthly Growth'!D10,IF(Nonlabor!$I$23="NewCustomers",'Monthly Growth'!C10,IF(Nonlabor!$I$23="StorageGB",'Monthly Growth'!G10,IF(Nonlabor!$I$23="LogGB",'Monthly Growth'!H10,IF(Nonlabor!$I$23="RequestsM",'Monthly Growth'!F10,IF(Nonlabor!$I$23="InputM",'Monthly Growth'!D10*Assumptions!$E$22/1000000,IF(Nonlabor!$I$23="OutputM",'Monthly Growth'!D10*Assumptions!$E$23/1000000,0))))))))),0)</f>
        <v>0</v>
      </c>
      <c r="F3670" s="10" t="n">
        <f aca="false">Nonlabor!$J$23*(1+Assumptions!$E$9)^INT((C3670-1)/12)</f>
        <v>300</v>
      </c>
      <c r="G3670" s="10" t="n">
        <f aca="false">E3670*F3670</f>
        <v>0</v>
      </c>
      <c r="H3670" s="10" t="n">
        <f aca="false">IF(OR(Nonlabor!$L$23="Quote required",Nonlabor!$L$23="Unverified"),G3670,0)</f>
        <v>0</v>
      </c>
      <c r="I3670" s="10" t="n">
        <f aca="false">IF(Nonlabor!$E$23="Core",0,G3670)</f>
        <v>0</v>
      </c>
      <c r="J3670" s="23" t="str">
        <f aca="false">Nonlabor!$B$23</f>
        <v>ONBOARD</v>
      </c>
    </row>
    <row r="3671" customFormat="false" ht="15" hidden="false" customHeight="false" outlineLevel="0" collapsed="false">
      <c r="A3671" s="6" t="s">
        <v>73</v>
      </c>
      <c r="B3671" s="6" t="s">
        <v>57</v>
      </c>
      <c r="C3671" s="6" t="n">
        <v>6</v>
      </c>
      <c r="D3671" s="25" t="n">
        <f aca="false">EDATE('Start Here'!$B$6,C3671-1)</f>
        <v>46478</v>
      </c>
      <c r="E3671" s="23" t="n">
        <f aca="false">IF(AND(OR(Nonlabor!$D$23="Both",Nonlabor!$D$23='Start Here'!$B$9),IF(Nonlabor!$E$23="Core",1,IF(Nonlabor!$E$23="AI",'Start Here'!$B$7,'Start Here'!$B$8))=1,C3671&gt;=IF(Nonlabor!$E$23="Core",Nonlabor!$F$23,MAX(Nonlabor!$F$23,IF(Nonlabor!$E$23="AI",Assumptions!$E$24,Assumptions!$E$25))),C3671&lt;=Nonlabor!$G$23,OR(Nonlabor!$H$23="Monthly",AND(Nonlabor!$H$23="Once",C3671=IF(Nonlabor!$E$23="Core",Nonlabor!$F$23,MAX(Nonlabor!$F$23,IF(Nonlabor!$E$23="AI",Assumptions!$E$24,Assumptions!$E$25)))),AND(Nonlabor!$H$23="Annual",MOD(C3671-IF(Nonlabor!$E$23="Core",Nonlabor!$F$23,MAX(Nonlabor!$F$23,IF(Nonlabor!$E$23="AI",Assumptions!$E$24,Assumptions!$E$25))),12)=0))),IF(Nonlabor!$I$23="Fixed",1,IF(Nonlabor!$I$23="Seats",ROUNDUP('Monthly Growth'!I11,0),IF(Nonlabor!$I$23="Customers",'Monthly Growth'!D11,IF(Nonlabor!$I$23="NewCustomers",'Monthly Growth'!C11,IF(Nonlabor!$I$23="StorageGB",'Monthly Growth'!G11,IF(Nonlabor!$I$23="LogGB",'Monthly Growth'!H11,IF(Nonlabor!$I$23="RequestsM",'Monthly Growth'!F11,IF(Nonlabor!$I$23="InputM",'Monthly Growth'!D11*Assumptions!$E$22/1000000,IF(Nonlabor!$I$23="OutputM",'Monthly Growth'!D11*Assumptions!$E$23/1000000,0))))))))),0)</f>
        <v>0</v>
      </c>
      <c r="F3671" s="10" t="n">
        <f aca="false">Nonlabor!$J$23*(1+Assumptions!$E$9)^INT((C3671-1)/12)</f>
        <v>300</v>
      </c>
      <c r="G3671" s="10" t="n">
        <f aca="false">E3671*F3671</f>
        <v>0</v>
      </c>
      <c r="H3671" s="10" t="n">
        <f aca="false">IF(OR(Nonlabor!$L$23="Quote required",Nonlabor!$L$23="Unverified"),G3671,0)</f>
        <v>0</v>
      </c>
      <c r="I3671" s="10" t="n">
        <f aca="false">IF(Nonlabor!$E$23="Core",0,G3671)</f>
        <v>0</v>
      </c>
      <c r="J3671" s="23" t="str">
        <f aca="false">Nonlabor!$B$23</f>
        <v>ONBOARD</v>
      </c>
    </row>
    <row r="3672" customFormat="false" ht="15" hidden="false" customHeight="false" outlineLevel="0" collapsed="false">
      <c r="A3672" s="6" t="s">
        <v>73</v>
      </c>
      <c r="B3672" s="6" t="s">
        <v>57</v>
      </c>
      <c r="C3672" s="6" t="n">
        <v>7</v>
      </c>
      <c r="D3672" s="25" t="n">
        <f aca="false">EDATE('Start Here'!$B$6,C3672-1)</f>
        <v>46508</v>
      </c>
      <c r="E3672" s="23" t="n">
        <f aca="false">IF(AND(OR(Nonlabor!$D$23="Both",Nonlabor!$D$23='Start Here'!$B$9),IF(Nonlabor!$E$23="Core",1,IF(Nonlabor!$E$23="AI",'Start Here'!$B$7,'Start Here'!$B$8))=1,C3672&gt;=IF(Nonlabor!$E$23="Core",Nonlabor!$F$23,MAX(Nonlabor!$F$23,IF(Nonlabor!$E$23="AI",Assumptions!$E$24,Assumptions!$E$25))),C3672&lt;=Nonlabor!$G$23,OR(Nonlabor!$H$23="Monthly",AND(Nonlabor!$H$23="Once",C3672=IF(Nonlabor!$E$23="Core",Nonlabor!$F$23,MAX(Nonlabor!$F$23,IF(Nonlabor!$E$23="AI",Assumptions!$E$24,Assumptions!$E$25)))),AND(Nonlabor!$H$23="Annual",MOD(C3672-IF(Nonlabor!$E$23="Core",Nonlabor!$F$23,MAX(Nonlabor!$F$23,IF(Nonlabor!$E$23="AI",Assumptions!$E$24,Assumptions!$E$25))),12)=0))),IF(Nonlabor!$I$23="Fixed",1,IF(Nonlabor!$I$23="Seats",ROUNDUP('Monthly Growth'!I12,0),IF(Nonlabor!$I$23="Customers",'Monthly Growth'!D12,IF(Nonlabor!$I$23="NewCustomers",'Monthly Growth'!C12,IF(Nonlabor!$I$23="StorageGB",'Monthly Growth'!G12,IF(Nonlabor!$I$23="LogGB",'Monthly Growth'!H12,IF(Nonlabor!$I$23="RequestsM",'Monthly Growth'!F12,IF(Nonlabor!$I$23="InputM",'Monthly Growth'!D12*Assumptions!$E$22/1000000,IF(Nonlabor!$I$23="OutputM",'Monthly Growth'!D12*Assumptions!$E$23/1000000,0))))))))),0)</f>
        <v>0</v>
      </c>
      <c r="F3672" s="10" t="n">
        <f aca="false">Nonlabor!$J$23*(1+Assumptions!$E$9)^INT((C3672-1)/12)</f>
        <v>300</v>
      </c>
      <c r="G3672" s="10" t="n">
        <f aca="false">E3672*F3672</f>
        <v>0</v>
      </c>
      <c r="H3672" s="10" t="n">
        <f aca="false">IF(OR(Nonlabor!$L$23="Quote required",Nonlabor!$L$23="Unverified"),G3672,0)</f>
        <v>0</v>
      </c>
      <c r="I3672" s="10" t="n">
        <f aca="false">IF(Nonlabor!$E$23="Core",0,G3672)</f>
        <v>0</v>
      </c>
      <c r="J3672" s="23" t="str">
        <f aca="false">Nonlabor!$B$23</f>
        <v>ONBOARD</v>
      </c>
    </row>
    <row r="3673" customFormat="false" ht="15" hidden="false" customHeight="false" outlineLevel="0" collapsed="false">
      <c r="A3673" s="6" t="s">
        <v>73</v>
      </c>
      <c r="B3673" s="6" t="s">
        <v>57</v>
      </c>
      <c r="C3673" s="6" t="n">
        <v>8</v>
      </c>
      <c r="D3673" s="25" t="n">
        <f aca="false">EDATE('Start Here'!$B$6,C3673-1)</f>
        <v>46539</v>
      </c>
      <c r="E3673" s="23" t="n">
        <f aca="false">IF(AND(OR(Nonlabor!$D$23="Both",Nonlabor!$D$23='Start Here'!$B$9),IF(Nonlabor!$E$23="Core",1,IF(Nonlabor!$E$23="AI",'Start Here'!$B$7,'Start Here'!$B$8))=1,C3673&gt;=IF(Nonlabor!$E$23="Core",Nonlabor!$F$23,MAX(Nonlabor!$F$23,IF(Nonlabor!$E$23="AI",Assumptions!$E$24,Assumptions!$E$25))),C3673&lt;=Nonlabor!$G$23,OR(Nonlabor!$H$23="Monthly",AND(Nonlabor!$H$23="Once",C3673=IF(Nonlabor!$E$23="Core",Nonlabor!$F$23,MAX(Nonlabor!$F$23,IF(Nonlabor!$E$23="AI",Assumptions!$E$24,Assumptions!$E$25)))),AND(Nonlabor!$H$23="Annual",MOD(C3673-IF(Nonlabor!$E$23="Core",Nonlabor!$F$23,MAX(Nonlabor!$F$23,IF(Nonlabor!$E$23="AI",Assumptions!$E$24,Assumptions!$E$25))),12)=0))),IF(Nonlabor!$I$23="Fixed",1,IF(Nonlabor!$I$23="Seats",ROUNDUP('Monthly Growth'!I13,0),IF(Nonlabor!$I$23="Customers",'Monthly Growth'!D13,IF(Nonlabor!$I$23="NewCustomers",'Monthly Growth'!C13,IF(Nonlabor!$I$23="StorageGB",'Monthly Growth'!G13,IF(Nonlabor!$I$23="LogGB",'Monthly Growth'!H13,IF(Nonlabor!$I$23="RequestsM",'Monthly Growth'!F13,IF(Nonlabor!$I$23="InputM",'Monthly Growth'!D13*Assumptions!$E$22/1000000,IF(Nonlabor!$I$23="OutputM",'Monthly Growth'!D13*Assumptions!$E$23/1000000,0))))))))),0)</f>
        <v>0</v>
      </c>
      <c r="F3673" s="10" t="n">
        <f aca="false">Nonlabor!$J$23*(1+Assumptions!$E$9)^INT((C3673-1)/12)</f>
        <v>300</v>
      </c>
      <c r="G3673" s="10" t="n">
        <f aca="false">E3673*F3673</f>
        <v>0</v>
      </c>
      <c r="H3673" s="10" t="n">
        <f aca="false">IF(OR(Nonlabor!$L$23="Quote required",Nonlabor!$L$23="Unverified"),G3673,0)</f>
        <v>0</v>
      </c>
      <c r="I3673" s="10" t="n">
        <f aca="false">IF(Nonlabor!$E$23="Core",0,G3673)</f>
        <v>0</v>
      </c>
      <c r="J3673" s="23" t="str">
        <f aca="false">Nonlabor!$B$23</f>
        <v>ONBOARD</v>
      </c>
    </row>
    <row r="3674" customFormat="false" ht="15" hidden="false" customHeight="false" outlineLevel="0" collapsed="false">
      <c r="A3674" s="6" t="s">
        <v>73</v>
      </c>
      <c r="B3674" s="6" t="s">
        <v>57</v>
      </c>
      <c r="C3674" s="6" t="n">
        <v>9</v>
      </c>
      <c r="D3674" s="25" t="n">
        <f aca="false">EDATE('Start Here'!$B$6,C3674-1)</f>
        <v>46569</v>
      </c>
      <c r="E3674" s="23" t="n">
        <f aca="false">IF(AND(OR(Nonlabor!$D$23="Both",Nonlabor!$D$23='Start Here'!$B$9),IF(Nonlabor!$E$23="Core",1,IF(Nonlabor!$E$23="AI",'Start Here'!$B$7,'Start Here'!$B$8))=1,C3674&gt;=IF(Nonlabor!$E$23="Core",Nonlabor!$F$23,MAX(Nonlabor!$F$23,IF(Nonlabor!$E$23="AI",Assumptions!$E$24,Assumptions!$E$25))),C3674&lt;=Nonlabor!$G$23,OR(Nonlabor!$H$23="Monthly",AND(Nonlabor!$H$23="Once",C3674=IF(Nonlabor!$E$23="Core",Nonlabor!$F$23,MAX(Nonlabor!$F$23,IF(Nonlabor!$E$23="AI",Assumptions!$E$24,Assumptions!$E$25)))),AND(Nonlabor!$H$23="Annual",MOD(C3674-IF(Nonlabor!$E$23="Core",Nonlabor!$F$23,MAX(Nonlabor!$F$23,IF(Nonlabor!$E$23="AI",Assumptions!$E$24,Assumptions!$E$25))),12)=0))),IF(Nonlabor!$I$23="Fixed",1,IF(Nonlabor!$I$23="Seats",ROUNDUP('Monthly Growth'!I14,0),IF(Nonlabor!$I$23="Customers",'Monthly Growth'!D14,IF(Nonlabor!$I$23="NewCustomers",'Monthly Growth'!C14,IF(Nonlabor!$I$23="StorageGB",'Monthly Growth'!G14,IF(Nonlabor!$I$23="LogGB",'Monthly Growth'!H14,IF(Nonlabor!$I$23="RequestsM",'Monthly Growth'!F14,IF(Nonlabor!$I$23="InputM",'Monthly Growth'!D14*Assumptions!$E$22/1000000,IF(Nonlabor!$I$23="OutputM",'Monthly Growth'!D14*Assumptions!$E$23/1000000,0))))))))),0)</f>
        <v>0</v>
      </c>
      <c r="F3674" s="10" t="n">
        <f aca="false">Nonlabor!$J$23*(1+Assumptions!$E$9)^INT((C3674-1)/12)</f>
        <v>300</v>
      </c>
      <c r="G3674" s="10" t="n">
        <f aca="false">E3674*F3674</f>
        <v>0</v>
      </c>
      <c r="H3674" s="10" t="n">
        <f aca="false">IF(OR(Nonlabor!$L$23="Quote required",Nonlabor!$L$23="Unverified"),G3674,0)</f>
        <v>0</v>
      </c>
      <c r="I3674" s="10" t="n">
        <f aca="false">IF(Nonlabor!$E$23="Core",0,G3674)</f>
        <v>0</v>
      </c>
      <c r="J3674" s="23" t="str">
        <f aca="false">Nonlabor!$B$23</f>
        <v>ONBOARD</v>
      </c>
    </row>
    <row r="3675" customFormat="false" ht="15" hidden="false" customHeight="false" outlineLevel="0" collapsed="false">
      <c r="A3675" s="6" t="s">
        <v>73</v>
      </c>
      <c r="B3675" s="6" t="s">
        <v>57</v>
      </c>
      <c r="C3675" s="6" t="n">
        <v>10</v>
      </c>
      <c r="D3675" s="25" t="n">
        <f aca="false">EDATE('Start Here'!$B$6,C3675-1)</f>
        <v>46600</v>
      </c>
      <c r="E3675" s="11" t="n">
        <f aca="false">IF(AND(OR(Nonlabor!$D$23="Both",Nonlabor!$D$23='Start Here'!$B$9),IF(Nonlabor!$E$23="Core",1,IF(Nonlabor!$E$23="AI",'Start Here'!$B$7,'Start Here'!$B$8))=1,C3675&gt;=IF(Nonlabor!$E$23="Core",Nonlabor!$F$23,MAX(Nonlabor!$F$23,IF(Nonlabor!$E$23="AI",Assumptions!$E$24,Assumptions!$E$25))),C3675&lt;=Nonlabor!$G$23,OR(Nonlabor!$H$23="Monthly",AND(Nonlabor!$H$23="Once",C3675=IF(Nonlabor!$E$23="Core",Nonlabor!$F$23,MAX(Nonlabor!$F$23,IF(Nonlabor!$E$23="AI",Assumptions!$E$24,Assumptions!$E$25)))),AND(Nonlabor!$H$23="Annual",MOD(C3675-IF(Nonlabor!$E$23="Core",Nonlabor!$F$23,MAX(Nonlabor!$F$23,IF(Nonlabor!$E$23="AI",Assumptions!$E$24,Assumptions!$E$25))),12)=0))),IF(Nonlabor!$I$23="Fixed",1,IF(Nonlabor!$I$23="Seats",ROUNDUP('Monthly Growth'!I15,0),IF(Nonlabor!$I$23="Customers",'Monthly Growth'!D15,IF(Nonlabor!$I$23="NewCustomers",'Monthly Growth'!C15,IF(Nonlabor!$I$23="StorageGB",'Monthly Growth'!G15,IF(Nonlabor!$I$23="LogGB",'Monthly Growth'!H15,IF(Nonlabor!$I$23="RequestsM",'Monthly Growth'!F15,IF(Nonlabor!$I$23="InputM",'Monthly Growth'!D15*Assumptions!$E$22/1000000,IF(Nonlabor!$I$23="OutputM",'Monthly Growth'!D15*Assumptions!$E$23/1000000,0))))))))),0)</f>
        <v>0</v>
      </c>
      <c r="F3675" s="10" t="n">
        <f aca="false">Nonlabor!$J$23*(1+Assumptions!$E$9)^INT((C3675-1)/12)</f>
        <v>300</v>
      </c>
      <c r="G3675" s="10" t="n">
        <f aca="false">E3675*F3675</f>
        <v>0</v>
      </c>
      <c r="H3675" s="10" t="n">
        <f aca="false">IF(OR(Nonlabor!$L$23="Quote required",Nonlabor!$L$23="Unverified"),G3675,0)</f>
        <v>0</v>
      </c>
      <c r="I3675" s="10" t="n">
        <f aca="false">IF(Nonlabor!$E$23="Core",0,G3675)</f>
        <v>0</v>
      </c>
      <c r="J3675" s="23" t="str">
        <f aca="false">Nonlabor!$B$23</f>
        <v>ONBOARD</v>
      </c>
    </row>
    <row r="3676" customFormat="false" ht="15" hidden="false" customHeight="false" outlineLevel="0" collapsed="false">
      <c r="A3676" s="6" t="s">
        <v>73</v>
      </c>
      <c r="B3676" s="6" t="s">
        <v>57</v>
      </c>
      <c r="C3676" s="6" t="n">
        <v>11</v>
      </c>
      <c r="D3676" s="25" t="n">
        <f aca="false">EDATE('Start Here'!$B$6,C3676-1)</f>
        <v>46631</v>
      </c>
      <c r="E3676" s="11" t="n">
        <f aca="false">IF(AND(OR(Nonlabor!$D$23="Both",Nonlabor!$D$23='Start Here'!$B$9),IF(Nonlabor!$E$23="Core",1,IF(Nonlabor!$E$23="AI",'Start Here'!$B$7,'Start Here'!$B$8))=1,C3676&gt;=IF(Nonlabor!$E$23="Core",Nonlabor!$F$23,MAX(Nonlabor!$F$23,IF(Nonlabor!$E$23="AI",Assumptions!$E$24,Assumptions!$E$25))),C3676&lt;=Nonlabor!$G$23,OR(Nonlabor!$H$23="Monthly",AND(Nonlabor!$H$23="Once",C3676=IF(Nonlabor!$E$23="Core",Nonlabor!$F$23,MAX(Nonlabor!$F$23,IF(Nonlabor!$E$23="AI",Assumptions!$E$24,Assumptions!$E$25)))),AND(Nonlabor!$H$23="Annual",MOD(C3676-IF(Nonlabor!$E$23="Core",Nonlabor!$F$23,MAX(Nonlabor!$F$23,IF(Nonlabor!$E$23="AI",Assumptions!$E$24,Assumptions!$E$25))),12)=0))),IF(Nonlabor!$I$23="Fixed",1,IF(Nonlabor!$I$23="Seats",ROUNDUP('Monthly Growth'!I16,0),IF(Nonlabor!$I$23="Customers",'Monthly Growth'!D16,IF(Nonlabor!$I$23="NewCustomers",'Monthly Growth'!C16,IF(Nonlabor!$I$23="StorageGB",'Monthly Growth'!G16,IF(Nonlabor!$I$23="LogGB",'Monthly Growth'!H16,IF(Nonlabor!$I$23="RequestsM",'Monthly Growth'!F16,IF(Nonlabor!$I$23="InputM",'Monthly Growth'!D16*Assumptions!$E$22/1000000,IF(Nonlabor!$I$23="OutputM",'Monthly Growth'!D16*Assumptions!$E$23/1000000,0))))))))),0)</f>
        <v>0</v>
      </c>
      <c r="F3676" s="10" t="n">
        <f aca="false">Nonlabor!$J$23*(1+Assumptions!$E$9)^INT((C3676-1)/12)</f>
        <v>300</v>
      </c>
      <c r="G3676" s="10" t="n">
        <f aca="false">E3676*F3676</f>
        <v>0</v>
      </c>
      <c r="H3676" s="10" t="n">
        <f aca="false">IF(OR(Nonlabor!$L$23="Quote required",Nonlabor!$L$23="Unverified"),G3676,0)</f>
        <v>0</v>
      </c>
      <c r="I3676" s="10" t="n">
        <f aca="false">IF(Nonlabor!$E$23="Core",0,G3676)</f>
        <v>0</v>
      </c>
      <c r="J3676" s="23" t="str">
        <f aca="false">Nonlabor!$B$23</f>
        <v>ONBOARD</v>
      </c>
    </row>
    <row r="3677" customFormat="false" ht="15" hidden="false" customHeight="false" outlineLevel="0" collapsed="false">
      <c r="A3677" s="6" t="s">
        <v>73</v>
      </c>
      <c r="B3677" s="6" t="s">
        <v>57</v>
      </c>
      <c r="C3677" s="6" t="n">
        <v>12</v>
      </c>
      <c r="D3677" s="25" t="n">
        <f aca="false">EDATE('Start Here'!$B$6,C3677-1)</f>
        <v>46661</v>
      </c>
      <c r="E3677" s="11" t="n">
        <f aca="false">IF(AND(OR(Nonlabor!$D$23="Both",Nonlabor!$D$23='Start Here'!$B$9),IF(Nonlabor!$E$23="Core",1,IF(Nonlabor!$E$23="AI",'Start Here'!$B$7,'Start Here'!$B$8))=1,C3677&gt;=IF(Nonlabor!$E$23="Core",Nonlabor!$F$23,MAX(Nonlabor!$F$23,IF(Nonlabor!$E$23="AI",Assumptions!$E$24,Assumptions!$E$25))),C3677&lt;=Nonlabor!$G$23,OR(Nonlabor!$H$23="Monthly",AND(Nonlabor!$H$23="Once",C3677=IF(Nonlabor!$E$23="Core",Nonlabor!$F$23,MAX(Nonlabor!$F$23,IF(Nonlabor!$E$23="AI",Assumptions!$E$24,Assumptions!$E$25)))),AND(Nonlabor!$H$23="Annual",MOD(C3677-IF(Nonlabor!$E$23="Core",Nonlabor!$F$23,MAX(Nonlabor!$F$23,IF(Nonlabor!$E$23="AI",Assumptions!$E$24,Assumptions!$E$25))),12)=0))),IF(Nonlabor!$I$23="Fixed",1,IF(Nonlabor!$I$23="Seats",ROUNDUP('Monthly Growth'!I17,0),IF(Nonlabor!$I$23="Customers",'Monthly Growth'!D17,IF(Nonlabor!$I$23="NewCustomers",'Monthly Growth'!C17,IF(Nonlabor!$I$23="StorageGB",'Monthly Growth'!G17,IF(Nonlabor!$I$23="LogGB",'Monthly Growth'!H17,IF(Nonlabor!$I$23="RequestsM",'Monthly Growth'!F17,IF(Nonlabor!$I$23="InputM",'Monthly Growth'!D17*Assumptions!$E$22/1000000,IF(Nonlabor!$I$23="OutputM",'Monthly Growth'!D17*Assumptions!$E$23/1000000,0))))))))),0)</f>
        <v>2</v>
      </c>
      <c r="F3677" s="10" t="n">
        <f aca="false">Nonlabor!$J$23*(1+Assumptions!$E$9)^INT((C3677-1)/12)</f>
        <v>300</v>
      </c>
      <c r="G3677" s="10" t="n">
        <f aca="false">E3677*F3677</f>
        <v>600</v>
      </c>
      <c r="H3677" s="10" t="n">
        <f aca="false">IF(OR(Nonlabor!$L$23="Quote required",Nonlabor!$L$23="Unverified"),G3677,0)</f>
        <v>0</v>
      </c>
      <c r="I3677" s="10" t="n">
        <f aca="false">IF(Nonlabor!$E$23="Core",0,G3677)</f>
        <v>0</v>
      </c>
      <c r="J3677" s="23" t="str">
        <f aca="false">Nonlabor!$B$23</f>
        <v>ONBOARD</v>
      </c>
    </row>
    <row r="3678" customFormat="false" ht="15" hidden="false" customHeight="false" outlineLevel="0" collapsed="false">
      <c r="A3678" s="6" t="s">
        <v>73</v>
      </c>
      <c r="B3678" s="6" t="s">
        <v>57</v>
      </c>
      <c r="C3678" s="6" t="n">
        <v>13</v>
      </c>
      <c r="D3678" s="25" t="n">
        <f aca="false">EDATE('Start Here'!$B$6,C3678-1)</f>
        <v>46692</v>
      </c>
      <c r="E3678" s="11" t="n">
        <f aca="false">IF(AND(OR(Nonlabor!$D$23="Both",Nonlabor!$D$23='Start Here'!$B$9),IF(Nonlabor!$E$23="Core",1,IF(Nonlabor!$E$23="AI",'Start Here'!$B$7,'Start Here'!$B$8))=1,C3678&gt;=IF(Nonlabor!$E$23="Core",Nonlabor!$F$23,MAX(Nonlabor!$F$23,IF(Nonlabor!$E$23="AI",Assumptions!$E$24,Assumptions!$E$25))),C3678&lt;=Nonlabor!$G$23,OR(Nonlabor!$H$23="Monthly",AND(Nonlabor!$H$23="Once",C3678=IF(Nonlabor!$E$23="Core",Nonlabor!$F$23,MAX(Nonlabor!$F$23,IF(Nonlabor!$E$23="AI",Assumptions!$E$24,Assumptions!$E$25)))),AND(Nonlabor!$H$23="Annual",MOD(C3678-IF(Nonlabor!$E$23="Core",Nonlabor!$F$23,MAX(Nonlabor!$F$23,IF(Nonlabor!$E$23="AI",Assumptions!$E$24,Assumptions!$E$25))),12)=0))),IF(Nonlabor!$I$23="Fixed",1,IF(Nonlabor!$I$23="Seats",ROUNDUP('Monthly Growth'!I18,0),IF(Nonlabor!$I$23="Customers",'Monthly Growth'!D18,IF(Nonlabor!$I$23="NewCustomers",'Monthly Growth'!C18,IF(Nonlabor!$I$23="StorageGB",'Monthly Growth'!G18,IF(Nonlabor!$I$23="LogGB",'Monthly Growth'!H18,IF(Nonlabor!$I$23="RequestsM",'Monthly Growth'!F18,IF(Nonlabor!$I$23="InputM",'Monthly Growth'!D18*Assumptions!$E$22/1000000,IF(Nonlabor!$I$23="OutputM",'Monthly Growth'!D18*Assumptions!$E$23/1000000,0))))))))),0)</f>
        <v>2</v>
      </c>
      <c r="F3678" s="10" t="n">
        <f aca="false">Nonlabor!$J$23*(1+Assumptions!$E$9)^INT((C3678-1)/12)</f>
        <v>312</v>
      </c>
      <c r="G3678" s="10" t="n">
        <f aca="false">E3678*F3678</f>
        <v>624</v>
      </c>
      <c r="H3678" s="10" t="n">
        <f aca="false">IF(OR(Nonlabor!$L$23="Quote required",Nonlabor!$L$23="Unverified"),G3678,0)</f>
        <v>0</v>
      </c>
      <c r="I3678" s="10" t="n">
        <f aca="false">IF(Nonlabor!$E$23="Core",0,G3678)</f>
        <v>0</v>
      </c>
      <c r="J3678" s="23" t="str">
        <f aca="false">Nonlabor!$B$23</f>
        <v>ONBOARD</v>
      </c>
    </row>
    <row r="3679" customFormat="false" ht="15" hidden="false" customHeight="false" outlineLevel="0" collapsed="false">
      <c r="A3679" s="6" t="s">
        <v>73</v>
      </c>
      <c r="B3679" s="6" t="s">
        <v>57</v>
      </c>
      <c r="C3679" s="6" t="n">
        <v>14</v>
      </c>
      <c r="D3679" s="25" t="n">
        <f aca="false">EDATE('Start Here'!$B$6,C3679-1)</f>
        <v>46722</v>
      </c>
      <c r="E3679" s="11" t="n">
        <f aca="false">IF(AND(OR(Nonlabor!$D$23="Both",Nonlabor!$D$23='Start Here'!$B$9),IF(Nonlabor!$E$23="Core",1,IF(Nonlabor!$E$23="AI",'Start Here'!$B$7,'Start Here'!$B$8))=1,C3679&gt;=IF(Nonlabor!$E$23="Core",Nonlabor!$F$23,MAX(Nonlabor!$F$23,IF(Nonlabor!$E$23="AI",Assumptions!$E$24,Assumptions!$E$25))),C3679&lt;=Nonlabor!$G$23,OR(Nonlabor!$H$23="Monthly",AND(Nonlabor!$H$23="Once",C3679=IF(Nonlabor!$E$23="Core",Nonlabor!$F$23,MAX(Nonlabor!$F$23,IF(Nonlabor!$E$23="AI",Assumptions!$E$24,Assumptions!$E$25)))),AND(Nonlabor!$H$23="Annual",MOD(C3679-IF(Nonlabor!$E$23="Core",Nonlabor!$F$23,MAX(Nonlabor!$F$23,IF(Nonlabor!$E$23="AI",Assumptions!$E$24,Assumptions!$E$25))),12)=0))),IF(Nonlabor!$I$23="Fixed",1,IF(Nonlabor!$I$23="Seats",ROUNDUP('Monthly Growth'!I19,0),IF(Nonlabor!$I$23="Customers",'Monthly Growth'!D19,IF(Nonlabor!$I$23="NewCustomers",'Monthly Growth'!C19,IF(Nonlabor!$I$23="StorageGB",'Monthly Growth'!G19,IF(Nonlabor!$I$23="LogGB",'Monthly Growth'!H19,IF(Nonlabor!$I$23="RequestsM",'Monthly Growth'!F19,IF(Nonlabor!$I$23="InputM",'Monthly Growth'!D19*Assumptions!$E$22/1000000,IF(Nonlabor!$I$23="OutputM",'Monthly Growth'!D19*Assumptions!$E$23/1000000,0))))))))),0)</f>
        <v>2</v>
      </c>
      <c r="F3679" s="10" t="n">
        <f aca="false">Nonlabor!$J$23*(1+Assumptions!$E$9)^INT((C3679-1)/12)</f>
        <v>312</v>
      </c>
      <c r="G3679" s="10" t="n">
        <f aca="false">E3679*F3679</f>
        <v>624</v>
      </c>
      <c r="H3679" s="10" t="n">
        <f aca="false">IF(OR(Nonlabor!$L$23="Quote required",Nonlabor!$L$23="Unverified"),G3679,0)</f>
        <v>0</v>
      </c>
      <c r="I3679" s="10" t="n">
        <f aca="false">IF(Nonlabor!$E$23="Core",0,G3679)</f>
        <v>0</v>
      </c>
      <c r="J3679" s="23" t="str">
        <f aca="false">Nonlabor!$B$23</f>
        <v>ONBOARD</v>
      </c>
    </row>
    <row r="3680" customFormat="false" ht="15" hidden="false" customHeight="false" outlineLevel="0" collapsed="false">
      <c r="A3680" s="6" t="s">
        <v>73</v>
      </c>
      <c r="B3680" s="6" t="s">
        <v>57</v>
      </c>
      <c r="C3680" s="6" t="n">
        <v>15</v>
      </c>
      <c r="D3680" s="25" t="n">
        <f aca="false">EDATE('Start Here'!$B$6,C3680-1)</f>
        <v>46753</v>
      </c>
      <c r="E3680" s="11" t="n">
        <f aca="false">IF(AND(OR(Nonlabor!$D$23="Both",Nonlabor!$D$23='Start Here'!$B$9),IF(Nonlabor!$E$23="Core",1,IF(Nonlabor!$E$23="AI",'Start Here'!$B$7,'Start Here'!$B$8))=1,C3680&gt;=IF(Nonlabor!$E$23="Core",Nonlabor!$F$23,MAX(Nonlabor!$F$23,IF(Nonlabor!$E$23="AI",Assumptions!$E$24,Assumptions!$E$25))),C3680&lt;=Nonlabor!$G$23,OR(Nonlabor!$H$23="Monthly",AND(Nonlabor!$H$23="Once",C3680=IF(Nonlabor!$E$23="Core",Nonlabor!$F$23,MAX(Nonlabor!$F$23,IF(Nonlabor!$E$23="AI",Assumptions!$E$24,Assumptions!$E$25)))),AND(Nonlabor!$H$23="Annual",MOD(C3680-IF(Nonlabor!$E$23="Core",Nonlabor!$F$23,MAX(Nonlabor!$F$23,IF(Nonlabor!$E$23="AI",Assumptions!$E$24,Assumptions!$E$25))),12)=0))),IF(Nonlabor!$I$23="Fixed",1,IF(Nonlabor!$I$23="Seats",ROUNDUP('Monthly Growth'!I20,0),IF(Nonlabor!$I$23="Customers",'Monthly Growth'!D20,IF(Nonlabor!$I$23="NewCustomers",'Monthly Growth'!C20,IF(Nonlabor!$I$23="StorageGB",'Monthly Growth'!G20,IF(Nonlabor!$I$23="LogGB",'Monthly Growth'!H20,IF(Nonlabor!$I$23="RequestsM",'Monthly Growth'!F20,IF(Nonlabor!$I$23="InputM",'Monthly Growth'!D20*Assumptions!$E$22/1000000,IF(Nonlabor!$I$23="OutputM",'Monthly Growth'!D20*Assumptions!$E$23/1000000,0))))))))),0)</f>
        <v>2</v>
      </c>
      <c r="F3680" s="10" t="n">
        <f aca="false">Nonlabor!$J$23*(1+Assumptions!$E$9)^INT((C3680-1)/12)</f>
        <v>312</v>
      </c>
      <c r="G3680" s="10" t="n">
        <f aca="false">E3680*F3680</f>
        <v>624</v>
      </c>
      <c r="H3680" s="10" t="n">
        <f aca="false">IF(OR(Nonlabor!$L$23="Quote required",Nonlabor!$L$23="Unverified"),G3680,0)</f>
        <v>0</v>
      </c>
      <c r="I3680" s="10" t="n">
        <f aca="false">IF(Nonlabor!$E$23="Core",0,G3680)</f>
        <v>0</v>
      </c>
      <c r="J3680" s="23" t="str">
        <f aca="false">Nonlabor!$B$23</f>
        <v>ONBOARD</v>
      </c>
    </row>
    <row r="3681" customFormat="false" ht="15" hidden="false" customHeight="false" outlineLevel="0" collapsed="false">
      <c r="A3681" s="6" t="s">
        <v>73</v>
      </c>
      <c r="B3681" s="6" t="s">
        <v>57</v>
      </c>
      <c r="C3681" s="6" t="n">
        <v>16</v>
      </c>
      <c r="D3681" s="25" t="n">
        <f aca="false">EDATE('Start Here'!$B$6,C3681-1)</f>
        <v>46784</v>
      </c>
      <c r="E3681" s="11" t="n">
        <f aca="false">IF(AND(OR(Nonlabor!$D$23="Both",Nonlabor!$D$23='Start Here'!$B$9),IF(Nonlabor!$E$23="Core",1,IF(Nonlabor!$E$23="AI",'Start Here'!$B$7,'Start Here'!$B$8))=1,C3681&gt;=IF(Nonlabor!$E$23="Core",Nonlabor!$F$23,MAX(Nonlabor!$F$23,IF(Nonlabor!$E$23="AI",Assumptions!$E$24,Assumptions!$E$25))),C3681&lt;=Nonlabor!$G$23,OR(Nonlabor!$H$23="Monthly",AND(Nonlabor!$H$23="Once",C3681=IF(Nonlabor!$E$23="Core",Nonlabor!$F$23,MAX(Nonlabor!$F$23,IF(Nonlabor!$E$23="AI",Assumptions!$E$24,Assumptions!$E$25)))),AND(Nonlabor!$H$23="Annual",MOD(C3681-IF(Nonlabor!$E$23="Core",Nonlabor!$F$23,MAX(Nonlabor!$F$23,IF(Nonlabor!$E$23="AI",Assumptions!$E$24,Assumptions!$E$25))),12)=0))),IF(Nonlabor!$I$23="Fixed",1,IF(Nonlabor!$I$23="Seats",ROUNDUP('Monthly Growth'!I21,0),IF(Nonlabor!$I$23="Customers",'Monthly Growth'!D21,IF(Nonlabor!$I$23="NewCustomers",'Monthly Growth'!C21,IF(Nonlabor!$I$23="StorageGB",'Monthly Growth'!G21,IF(Nonlabor!$I$23="LogGB",'Monthly Growth'!H21,IF(Nonlabor!$I$23="RequestsM",'Monthly Growth'!F21,IF(Nonlabor!$I$23="InputM",'Monthly Growth'!D21*Assumptions!$E$22/1000000,IF(Nonlabor!$I$23="OutputM",'Monthly Growth'!D21*Assumptions!$E$23/1000000,0))))))))),0)</f>
        <v>2</v>
      </c>
      <c r="F3681" s="10" t="n">
        <f aca="false">Nonlabor!$J$23*(1+Assumptions!$E$9)^INT((C3681-1)/12)</f>
        <v>312</v>
      </c>
      <c r="G3681" s="10" t="n">
        <f aca="false">E3681*F3681</f>
        <v>624</v>
      </c>
      <c r="H3681" s="10" t="n">
        <f aca="false">IF(OR(Nonlabor!$L$23="Quote required",Nonlabor!$L$23="Unverified"),G3681,0)</f>
        <v>0</v>
      </c>
      <c r="I3681" s="10" t="n">
        <f aca="false">IF(Nonlabor!$E$23="Core",0,G3681)</f>
        <v>0</v>
      </c>
      <c r="J3681" s="23" t="str">
        <f aca="false">Nonlabor!$B$23</f>
        <v>ONBOARD</v>
      </c>
    </row>
    <row r="3682" customFormat="false" ht="15" hidden="false" customHeight="false" outlineLevel="0" collapsed="false">
      <c r="A3682" s="6" t="s">
        <v>73</v>
      </c>
      <c r="B3682" s="6" t="s">
        <v>57</v>
      </c>
      <c r="C3682" s="6" t="n">
        <v>17</v>
      </c>
      <c r="D3682" s="25" t="n">
        <f aca="false">EDATE('Start Here'!$B$6,C3682-1)</f>
        <v>46813</v>
      </c>
      <c r="E3682" s="11" t="n">
        <f aca="false">IF(AND(OR(Nonlabor!$D$23="Both",Nonlabor!$D$23='Start Here'!$B$9),IF(Nonlabor!$E$23="Core",1,IF(Nonlabor!$E$23="AI",'Start Here'!$B$7,'Start Here'!$B$8))=1,C3682&gt;=IF(Nonlabor!$E$23="Core",Nonlabor!$F$23,MAX(Nonlabor!$F$23,IF(Nonlabor!$E$23="AI",Assumptions!$E$24,Assumptions!$E$25))),C3682&lt;=Nonlabor!$G$23,OR(Nonlabor!$H$23="Monthly",AND(Nonlabor!$H$23="Once",C3682=IF(Nonlabor!$E$23="Core",Nonlabor!$F$23,MAX(Nonlabor!$F$23,IF(Nonlabor!$E$23="AI",Assumptions!$E$24,Assumptions!$E$25)))),AND(Nonlabor!$H$23="Annual",MOD(C3682-IF(Nonlabor!$E$23="Core",Nonlabor!$F$23,MAX(Nonlabor!$F$23,IF(Nonlabor!$E$23="AI",Assumptions!$E$24,Assumptions!$E$25))),12)=0))),IF(Nonlabor!$I$23="Fixed",1,IF(Nonlabor!$I$23="Seats",ROUNDUP('Monthly Growth'!I22,0),IF(Nonlabor!$I$23="Customers",'Monthly Growth'!D22,IF(Nonlabor!$I$23="NewCustomers",'Monthly Growth'!C22,IF(Nonlabor!$I$23="StorageGB",'Monthly Growth'!G22,IF(Nonlabor!$I$23="LogGB",'Monthly Growth'!H22,IF(Nonlabor!$I$23="RequestsM",'Monthly Growth'!F22,IF(Nonlabor!$I$23="InputM",'Monthly Growth'!D22*Assumptions!$E$22/1000000,IF(Nonlabor!$I$23="OutputM",'Monthly Growth'!D22*Assumptions!$E$23/1000000,0))))))))),0)</f>
        <v>2</v>
      </c>
      <c r="F3682" s="10" t="n">
        <f aca="false">Nonlabor!$J$23*(1+Assumptions!$E$9)^INT((C3682-1)/12)</f>
        <v>312</v>
      </c>
      <c r="G3682" s="10" t="n">
        <f aca="false">E3682*F3682</f>
        <v>624</v>
      </c>
      <c r="H3682" s="10" t="n">
        <f aca="false">IF(OR(Nonlabor!$L$23="Quote required",Nonlabor!$L$23="Unverified"),G3682,0)</f>
        <v>0</v>
      </c>
      <c r="I3682" s="10" t="n">
        <f aca="false">IF(Nonlabor!$E$23="Core",0,G3682)</f>
        <v>0</v>
      </c>
      <c r="J3682" s="23" t="str">
        <f aca="false">Nonlabor!$B$23</f>
        <v>ONBOARD</v>
      </c>
    </row>
    <row r="3683" customFormat="false" ht="15" hidden="false" customHeight="false" outlineLevel="0" collapsed="false">
      <c r="A3683" s="6" t="s">
        <v>73</v>
      </c>
      <c r="B3683" s="6" t="s">
        <v>57</v>
      </c>
      <c r="C3683" s="6" t="n">
        <v>18</v>
      </c>
      <c r="D3683" s="25" t="n">
        <f aca="false">EDATE('Start Here'!$B$6,C3683-1)</f>
        <v>46844</v>
      </c>
      <c r="E3683" s="11" t="n">
        <f aca="false">IF(AND(OR(Nonlabor!$D$23="Both",Nonlabor!$D$23='Start Here'!$B$9),IF(Nonlabor!$E$23="Core",1,IF(Nonlabor!$E$23="AI",'Start Here'!$B$7,'Start Here'!$B$8))=1,C3683&gt;=IF(Nonlabor!$E$23="Core",Nonlabor!$F$23,MAX(Nonlabor!$F$23,IF(Nonlabor!$E$23="AI",Assumptions!$E$24,Assumptions!$E$25))),C3683&lt;=Nonlabor!$G$23,OR(Nonlabor!$H$23="Monthly",AND(Nonlabor!$H$23="Once",C3683=IF(Nonlabor!$E$23="Core",Nonlabor!$F$23,MAX(Nonlabor!$F$23,IF(Nonlabor!$E$23="AI",Assumptions!$E$24,Assumptions!$E$25)))),AND(Nonlabor!$H$23="Annual",MOD(C3683-IF(Nonlabor!$E$23="Core",Nonlabor!$F$23,MAX(Nonlabor!$F$23,IF(Nonlabor!$E$23="AI",Assumptions!$E$24,Assumptions!$E$25))),12)=0))),IF(Nonlabor!$I$23="Fixed",1,IF(Nonlabor!$I$23="Seats",ROUNDUP('Monthly Growth'!I23,0),IF(Nonlabor!$I$23="Customers",'Monthly Growth'!D23,IF(Nonlabor!$I$23="NewCustomers",'Monthly Growth'!C23,IF(Nonlabor!$I$23="StorageGB",'Monthly Growth'!G23,IF(Nonlabor!$I$23="LogGB",'Monthly Growth'!H23,IF(Nonlabor!$I$23="RequestsM",'Monthly Growth'!F23,IF(Nonlabor!$I$23="InputM",'Monthly Growth'!D23*Assumptions!$E$22/1000000,IF(Nonlabor!$I$23="OutputM",'Monthly Growth'!D23*Assumptions!$E$23/1000000,0))))))))),0)</f>
        <v>2</v>
      </c>
      <c r="F3683" s="10" t="n">
        <f aca="false">Nonlabor!$J$23*(1+Assumptions!$E$9)^INT((C3683-1)/12)</f>
        <v>312</v>
      </c>
      <c r="G3683" s="10" t="n">
        <f aca="false">E3683*F3683</f>
        <v>624</v>
      </c>
      <c r="H3683" s="10" t="n">
        <f aca="false">IF(OR(Nonlabor!$L$23="Quote required",Nonlabor!$L$23="Unverified"),G3683,0)</f>
        <v>0</v>
      </c>
      <c r="I3683" s="10" t="n">
        <f aca="false">IF(Nonlabor!$E$23="Core",0,G3683)</f>
        <v>0</v>
      </c>
      <c r="J3683" s="23" t="str">
        <f aca="false">Nonlabor!$B$23</f>
        <v>ONBOARD</v>
      </c>
    </row>
    <row r="3684" customFormat="false" ht="15" hidden="false" customHeight="false" outlineLevel="0" collapsed="false">
      <c r="A3684" s="6" t="s">
        <v>73</v>
      </c>
      <c r="B3684" s="6" t="s">
        <v>57</v>
      </c>
      <c r="C3684" s="6" t="n">
        <v>19</v>
      </c>
      <c r="D3684" s="25" t="n">
        <f aca="false">EDATE('Start Here'!$B$6,C3684-1)</f>
        <v>46874</v>
      </c>
      <c r="E3684" s="11" t="n">
        <f aca="false">IF(AND(OR(Nonlabor!$D$23="Both",Nonlabor!$D$23='Start Here'!$B$9),IF(Nonlabor!$E$23="Core",1,IF(Nonlabor!$E$23="AI",'Start Here'!$B$7,'Start Here'!$B$8))=1,C3684&gt;=IF(Nonlabor!$E$23="Core",Nonlabor!$F$23,MAX(Nonlabor!$F$23,IF(Nonlabor!$E$23="AI",Assumptions!$E$24,Assumptions!$E$25))),C3684&lt;=Nonlabor!$G$23,OR(Nonlabor!$H$23="Monthly",AND(Nonlabor!$H$23="Once",C3684=IF(Nonlabor!$E$23="Core",Nonlabor!$F$23,MAX(Nonlabor!$F$23,IF(Nonlabor!$E$23="AI",Assumptions!$E$24,Assumptions!$E$25)))),AND(Nonlabor!$H$23="Annual",MOD(C3684-IF(Nonlabor!$E$23="Core",Nonlabor!$F$23,MAX(Nonlabor!$F$23,IF(Nonlabor!$E$23="AI",Assumptions!$E$24,Assumptions!$E$25))),12)=0))),IF(Nonlabor!$I$23="Fixed",1,IF(Nonlabor!$I$23="Seats",ROUNDUP('Monthly Growth'!I24,0),IF(Nonlabor!$I$23="Customers",'Monthly Growth'!D24,IF(Nonlabor!$I$23="NewCustomers",'Monthly Growth'!C24,IF(Nonlabor!$I$23="StorageGB",'Monthly Growth'!G24,IF(Nonlabor!$I$23="LogGB",'Monthly Growth'!H24,IF(Nonlabor!$I$23="RequestsM",'Monthly Growth'!F24,IF(Nonlabor!$I$23="InputM",'Monthly Growth'!D24*Assumptions!$E$22/1000000,IF(Nonlabor!$I$23="OutputM",'Monthly Growth'!D24*Assumptions!$E$23/1000000,0))))))))),0)</f>
        <v>2</v>
      </c>
      <c r="F3684" s="10" t="n">
        <f aca="false">Nonlabor!$J$23*(1+Assumptions!$E$9)^INT((C3684-1)/12)</f>
        <v>312</v>
      </c>
      <c r="G3684" s="10" t="n">
        <f aca="false">E3684*F3684</f>
        <v>624</v>
      </c>
      <c r="H3684" s="10" t="n">
        <f aca="false">IF(OR(Nonlabor!$L$23="Quote required",Nonlabor!$L$23="Unverified"),G3684,0)</f>
        <v>0</v>
      </c>
      <c r="I3684" s="10" t="n">
        <f aca="false">IF(Nonlabor!$E$23="Core",0,G3684)</f>
        <v>0</v>
      </c>
      <c r="J3684" s="23" t="str">
        <f aca="false">Nonlabor!$B$23</f>
        <v>ONBOARD</v>
      </c>
    </row>
    <row r="3685" customFormat="false" ht="15" hidden="false" customHeight="false" outlineLevel="0" collapsed="false">
      <c r="A3685" s="6" t="s">
        <v>73</v>
      </c>
      <c r="B3685" s="6" t="s">
        <v>57</v>
      </c>
      <c r="C3685" s="6" t="n">
        <v>20</v>
      </c>
      <c r="D3685" s="25" t="n">
        <f aca="false">EDATE('Start Here'!$B$6,C3685-1)</f>
        <v>46905</v>
      </c>
      <c r="E3685" s="11" t="n">
        <f aca="false">IF(AND(OR(Nonlabor!$D$23="Both",Nonlabor!$D$23='Start Here'!$B$9),IF(Nonlabor!$E$23="Core",1,IF(Nonlabor!$E$23="AI",'Start Here'!$B$7,'Start Here'!$B$8))=1,C3685&gt;=IF(Nonlabor!$E$23="Core",Nonlabor!$F$23,MAX(Nonlabor!$F$23,IF(Nonlabor!$E$23="AI",Assumptions!$E$24,Assumptions!$E$25))),C3685&lt;=Nonlabor!$G$23,OR(Nonlabor!$H$23="Monthly",AND(Nonlabor!$H$23="Once",C3685=IF(Nonlabor!$E$23="Core",Nonlabor!$F$23,MAX(Nonlabor!$F$23,IF(Nonlabor!$E$23="AI",Assumptions!$E$24,Assumptions!$E$25)))),AND(Nonlabor!$H$23="Annual",MOD(C3685-IF(Nonlabor!$E$23="Core",Nonlabor!$F$23,MAX(Nonlabor!$F$23,IF(Nonlabor!$E$23="AI",Assumptions!$E$24,Assumptions!$E$25))),12)=0))),IF(Nonlabor!$I$23="Fixed",1,IF(Nonlabor!$I$23="Seats",ROUNDUP('Monthly Growth'!I25,0),IF(Nonlabor!$I$23="Customers",'Monthly Growth'!D25,IF(Nonlabor!$I$23="NewCustomers",'Monthly Growth'!C25,IF(Nonlabor!$I$23="StorageGB",'Monthly Growth'!G25,IF(Nonlabor!$I$23="LogGB",'Monthly Growth'!H25,IF(Nonlabor!$I$23="RequestsM",'Monthly Growth'!F25,IF(Nonlabor!$I$23="InputM",'Monthly Growth'!D25*Assumptions!$E$22/1000000,IF(Nonlabor!$I$23="OutputM",'Monthly Growth'!D25*Assumptions!$E$23/1000000,0))))))))),0)</f>
        <v>2</v>
      </c>
      <c r="F3685" s="10" t="n">
        <f aca="false">Nonlabor!$J$23*(1+Assumptions!$E$9)^INT((C3685-1)/12)</f>
        <v>312</v>
      </c>
      <c r="G3685" s="10" t="n">
        <f aca="false">E3685*F3685</f>
        <v>624</v>
      </c>
      <c r="H3685" s="10" t="n">
        <f aca="false">IF(OR(Nonlabor!$L$23="Quote required",Nonlabor!$L$23="Unverified"),G3685,0)</f>
        <v>0</v>
      </c>
      <c r="I3685" s="10" t="n">
        <f aca="false">IF(Nonlabor!$E$23="Core",0,G3685)</f>
        <v>0</v>
      </c>
      <c r="J3685" s="23" t="str">
        <f aca="false">Nonlabor!$B$23</f>
        <v>ONBOARD</v>
      </c>
    </row>
    <row r="3686" customFormat="false" ht="15" hidden="false" customHeight="false" outlineLevel="0" collapsed="false">
      <c r="A3686" s="6" t="s">
        <v>73</v>
      </c>
      <c r="B3686" s="6" t="s">
        <v>57</v>
      </c>
      <c r="C3686" s="6" t="n">
        <v>21</v>
      </c>
      <c r="D3686" s="25" t="n">
        <f aca="false">EDATE('Start Here'!$B$6,C3686-1)</f>
        <v>46935</v>
      </c>
      <c r="E3686" s="11" t="n">
        <f aca="false">IF(AND(OR(Nonlabor!$D$23="Both",Nonlabor!$D$23='Start Here'!$B$9),IF(Nonlabor!$E$23="Core",1,IF(Nonlabor!$E$23="AI",'Start Here'!$B$7,'Start Here'!$B$8))=1,C3686&gt;=IF(Nonlabor!$E$23="Core",Nonlabor!$F$23,MAX(Nonlabor!$F$23,IF(Nonlabor!$E$23="AI",Assumptions!$E$24,Assumptions!$E$25))),C3686&lt;=Nonlabor!$G$23,OR(Nonlabor!$H$23="Monthly",AND(Nonlabor!$H$23="Once",C3686=IF(Nonlabor!$E$23="Core",Nonlabor!$F$23,MAX(Nonlabor!$F$23,IF(Nonlabor!$E$23="AI",Assumptions!$E$24,Assumptions!$E$25)))),AND(Nonlabor!$H$23="Annual",MOD(C3686-IF(Nonlabor!$E$23="Core",Nonlabor!$F$23,MAX(Nonlabor!$F$23,IF(Nonlabor!$E$23="AI",Assumptions!$E$24,Assumptions!$E$25))),12)=0))),IF(Nonlabor!$I$23="Fixed",1,IF(Nonlabor!$I$23="Seats",ROUNDUP('Monthly Growth'!I26,0),IF(Nonlabor!$I$23="Customers",'Monthly Growth'!D26,IF(Nonlabor!$I$23="NewCustomers",'Monthly Growth'!C26,IF(Nonlabor!$I$23="StorageGB",'Monthly Growth'!G26,IF(Nonlabor!$I$23="LogGB",'Monthly Growth'!H26,IF(Nonlabor!$I$23="RequestsM",'Monthly Growth'!F26,IF(Nonlabor!$I$23="InputM",'Monthly Growth'!D26*Assumptions!$E$22/1000000,IF(Nonlabor!$I$23="OutputM",'Monthly Growth'!D26*Assumptions!$E$23/1000000,0))))))))),0)</f>
        <v>2</v>
      </c>
      <c r="F3686" s="10" t="n">
        <f aca="false">Nonlabor!$J$23*(1+Assumptions!$E$9)^INT((C3686-1)/12)</f>
        <v>312</v>
      </c>
      <c r="G3686" s="10" t="n">
        <f aca="false">E3686*F3686</f>
        <v>624</v>
      </c>
      <c r="H3686" s="10" t="n">
        <f aca="false">IF(OR(Nonlabor!$L$23="Quote required",Nonlabor!$L$23="Unverified"),G3686,0)</f>
        <v>0</v>
      </c>
      <c r="I3686" s="10" t="n">
        <f aca="false">IF(Nonlabor!$E$23="Core",0,G3686)</f>
        <v>0</v>
      </c>
      <c r="J3686" s="23" t="str">
        <f aca="false">Nonlabor!$B$23</f>
        <v>ONBOARD</v>
      </c>
    </row>
    <row r="3687" customFormat="false" ht="15" hidden="false" customHeight="false" outlineLevel="0" collapsed="false">
      <c r="A3687" s="6" t="s">
        <v>73</v>
      </c>
      <c r="B3687" s="6" t="s">
        <v>57</v>
      </c>
      <c r="C3687" s="6" t="n">
        <v>22</v>
      </c>
      <c r="D3687" s="25" t="n">
        <f aca="false">EDATE('Start Here'!$B$6,C3687-1)</f>
        <v>46966</v>
      </c>
      <c r="E3687" s="11" t="n">
        <f aca="false">IF(AND(OR(Nonlabor!$D$23="Both",Nonlabor!$D$23='Start Here'!$B$9),IF(Nonlabor!$E$23="Core",1,IF(Nonlabor!$E$23="AI",'Start Here'!$B$7,'Start Here'!$B$8))=1,C3687&gt;=IF(Nonlabor!$E$23="Core",Nonlabor!$F$23,MAX(Nonlabor!$F$23,IF(Nonlabor!$E$23="AI",Assumptions!$E$24,Assumptions!$E$25))),C3687&lt;=Nonlabor!$G$23,OR(Nonlabor!$H$23="Monthly",AND(Nonlabor!$H$23="Once",C3687=IF(Nonlabor!$E$23="Core",Nonlabor!$F$23,MAX(Nonlabor!$F$23,IF(Nonlabor!$E$23="AI",Assumptions!$E$24,Assumptions!$E$25)))),AND(Nonlabor!$H$23="Annual",MOD(C3687-IF(Nonlabor!$E$23="Core",Nonlabor!$F$23,MAX(Nonlabor!$F$23,IF(Nonlabor!$E$23="AI",Assumptions!$E$24,Assumptions!$E$25))),12)=0))),IF(Nonlabor!$I$23="Fixed",1,IF(Nonlabor!$I$23="Seats",ROUNDUP('Monthly Growth'!I27,0),IF(Nonlabor!$I$23="Customers",'Monthly Growth'!D27,IF(Nonlabor!$I$23="NewCustomers",'Monthly Growth'!C27,IF(Nonlabor!$I$23="StorageGB",'Monthly Growth'!G27,IF(Nonlabor!$I$23="LogGB",'Monthly Growth'!H27,IF(Nonlabor!$I$23="RequestsM",'Monthly Growth'!F27,IF(Nonlabor!$I$23="InputM",'Monthly Growth'!D27*Assumptions!$E$22/1000000,IF(Nonlabor!$I$23="OutputM",'Monthly Growth'!D27*Assumptions!$E$23/1000000,0))))))))),0)</f>
        <v>2</v>
      </c>
      <c r="F3687" s="10" t="n">
        <f aca="false">Nonlabor!$J$23*(1+Assumptions!$E$9)^INT((C3687-1)/12)</f>
        <v>312</v>
      </c>
      <c r="G3687" s="10" t="n">
        <f aca="false">E3687*F3687</f>
        <v>624</v>
      </c>
      <c r="H3687" s="10" t="n">
        <f aca="false">IF(OR(Nonlabor!$L$23="Quote required",Nonlabor!$L$23="Unverified"),G3687,0)</f>
        <v>0</v>
      </c>
      <c r="I3687" s="10" t="n">
        <f aca="false">IF(Nonlabor!$E$23="Core",0,G3687)</f>
        <v>0</v>
      </c>
      <c r="J3687" s="23" t="str">
        <f aca="false">Nonlabor!$B$23</f>
        <v>ONBOARD</v>
      </c>
    </row>
    <row r="3688" customFormat="false" ht="15" hidden="false" customHeight="false" outlineLevel="0" collapsed="false">
      <c r="A3688" s="6" t="s">
        <v>73</v>
      </c>
      <c r="B3688" s="6" t="s">
        <v>57</v>
      </c>
      <c r="C3688" s="6" t="n">
        <v>23</v>
      </c>
      <c r="D3688" s="25" t="n">
        <f aca="false">EDATE('Start Here'!$B$6,C3688-1)</f>
        <v>46997</v>
      </c>
      <c r="E3688" s="11" t="n">
        <f aca="false">IF(AND(OR(Nonlabor!$D$23="Both",Nonlabor!$D$23='Start Here'!$B$9),IF(Nonlabor!$E$23="Core",1,IF(Nonlabor!$E$23="AI",'Start Here'!$B$7,'Start Here'!$B$8))=1,C3688&gt;=IF(Nonlabor!$E$23="Core",Nonlabor!$F$23,MAX(Nonlabor!$F$23,IF(Nonlabor!$E$23="AI",Assumptions!$E$24,Assumptions!$E$25))),C3688&lt;=Nonlabor!$G$23,OR(Nonlabor!$H$23="Monthly",AND(Nonlabor!$H$23="Once",C3688=IF(Nonlabor!$E$23="Core",Nonlabor!$F$23,MAX(Nonlabor!$F$23,IF(Nonlabor!$E$23="AI",Assumptions!$E$24,Assumptions!$E$25)))),AND(Nonlabor!$H$23="Annual",MOD(C3688-IF(Nonlabor!$E$23="Core",Nonlabor!$F$23,MAX(Nonlabor!$F$23,IF(Nonlabor!$E$23="AI",Assumptions!$E$24,Assumptions!$E$25))),12)=0))),IF(Nonlabor!$I$23="Fixed",1,IF(Nonlabor!$I$23="Seats",ROUNDUP('Monthly Growth'!I28,0),IF(Nonlabor!$I$23="Customers",'Monthly Growth'!D28,IF(Nonlabor!$I$23="NewCustomers",'Monthly Growth'!C28,IF(Nonlabor!$I$23="StorageGB",'Monthly Growth'!G28,IF(Nonlabor!$I$23="LogGB",'Monthly Growth'!H28,IF(Nonlabor!$I$23="RequestsM",'Monthly Growth'!F28,IF(Nonlabor!$I$23="InputM",'Monthly Growth'!D28*Assumptions!$E$22/1000000,IF(Nonlabor!$I$23="OutputM",'Monthly Growth'!D28*Assumptions!$E$23/1000000,0))))))))),0)</f>
        <v>2</v>
      </c>
      <c r="F3688" s="10" t="n">
        <f aca="false">Nonlabor!$J$23*(1+Assumptions!$E$9)^INT((C3688-1)/12)</f>
        <v>312</v>
      </c>
      <c r="G3688" s="10" t="n">
        <f aca="false">E3688*F3688</f>
        <v>624</v>
      </c>
      <c r="H3688" s="10" t="n">
        <f aca="false">IF(OR(Nonlabor!$L$23="Quote required",Nonlabor!$L$23="Unverified"),G3688,0)</f>
        <v>0</v>
      </c>
      <c r="I3688" s="10" t="n">
        <f aca="false">IF(Nonlabor!$E$23="Core",0,G3688)</f>
        <v>0</v>
      </c>
      <c r="J3688" s="23" t="str">
        <f aca="false">Nonlabor!$B$23</f>
        <v>ONBOARD</v>
      </c>
    </row>
    <row r="3689" customFormat="false" ht="15" hidden="false" customHeight="false" outlineLevel="0" collapsed="false">
      <c r="A3689" s="6" t="s">
        <v>73</v>
      </c>
      <c r="B3689" s="6" t="s">
        <v>57</v>
      </c>
      <c r="C3689" s="6" t="n">
        <v>24</v>
      </c>
      <c r="D3689" s="25" t="n">
        <f aca="false">EDATE('Start Here'!$B$6,C3689-1)</f>
        <v>47027</v>
      </c>
      <c r="E3689" s="11" t="n">
        <f aca="false">IF(AND(OR(Nonlabor!$D$23="Both",Nonlabor!$D$23='Start Here'!$B$9),IF(Nonlabor!$E$23="Core",1,IF(Nonlabor!$E$23="AI",'Start Here'!$B$7,'Start Here'!$B$8))=1,C3689&gt;=IF(Nonlabor!$E$23="Core",Nonlabor!$F$23,MAX(Nonlabor!$F$23,IF(Nonlabor!$E$23="AI",Assumptions!$E$24,Assumptions!$E$25))),C3689&lt;=Nonlabor!$G$23,OR(Nonlabor!$H$23="Monthly",AND(Nonlabor!$H$23="Once",C3689=IF(Nonlabor!$E$23="Core",Nonlabor!$F$23,MAX(Nonlabor!$F$23,IF(Nonlabor!$E$23="AI",Assumptions!$E$24,Assumptions!$E$25)))),AND(Nonlabor!$H$23="Annual",MOD(C3689-IF(Nonlabor!$E$23="Core",Nonlabor!$F$23,MAX(Nonlabor!$F$23,IF(Nonlabor!$E$23="AI",Assumptions!$E$24,Assumptions!$E$25))),12)=0))),IF(Nonlabor!$I$23="Fixed",1,IF(Nonlabor!$I$23="Seats",ROUNDUP('Monthly Growth'!I29,0),IF(Nonlabor!$I$23="Customers",'Monthly Growth'!D29,IF(Nonlabor!$I$23="NewCustomers",'Monthly Growth'!C29,IF(Nonlabor!$I$23="StorageGB",'Monthly Growth'!G29,IF(Nonlabor!$I$23="LogGB",'Monthly Growth'!H29,IF(Nonlabor!$I$23="RequestsM",'Monthly Growth'!F29,IF(Nonlabor!$I$23="InputM",'Monthly Growth'!D29*Assumptions!$E$22/1000000,IF(Nonlabor!$I$23="OutputM",'Monthly Growth'!D29*Assumptions!$E$23/1000000,0))))))))),0)</f>
        <v>3.4</v>
      </c>
      <c r="F3689" s="10" t="n">
        <f aca="false">Nonlabor!$J$23*(1+Assumptions!$E$9)^INT((C3689-1)/12)</f>
        <v>312</v>
      </c>
      <c r="G3689" s="10" t="n">
        <f aca="false">E3689*F3689</f>
        <v>1060.8</v>
      </c>
      <c r="H3689" s="10" t="n">
        <f aca="false">IF(OR(Nonlabor!$L$23="Quote required",Nonlabor!$L$23="Unverified"),G3689,0)</f>
        <v>0</v>
      </c>
      <c r="I3689" s="10" t="n">
        <f aca="false">IF(Nonlabor!$E$23="Core",0,G3689)</f>
        <v>0</v>
      </c>
      <c r="J3689" s="23" t="str">
        <f aca="false">Nonlabor!$B$23</f>
        <v>ONBOARD</v>
      </c>
    </row>
    <row r="3690" customFormat="false" ht="15" hidden="false" customHeight="false" outlineLevel="0" collapsed="false">
      <c r="A3690" s="6" t="s">
        <v>73</v>
      </c>
      <c r="B3690" s="6" t="s">
        <v>57</v>
      </c>
      <c r="C3690" s="6" t="n">
        <v>25</v>
      </c>
      <c r="D3690" s="25" t="n">
        <f aca="false">EDATE('Start Here'!$B$6,C3690-1)</f>
        <v>47058</v>
      </c>
      <c r="E3690" s="11" t="n">
        <f aca="false">IF(AND(OR(Nonlabor!$D$23="Both",Nonlabor!$D$23='Start Here'!$B$9),IF(Nonlabor!$E$23="Core",1,IF(Nonlabor!$E$23="AI",'Start Here'!$B$7,'Start Here'!$B$8))=1,C3690&gt;=IF(Nonlabor!$E$23="Core",Nonlabor!$F$23,MAX(Nonlabor!$F$23,IF(Nonlabor!$E$23="AI",Assumptions!$E$24,Assumptions!$E$25))),C3690&lt;=Nonlabor!$G$23,OR(Nonlabor!$H$23="Monthly",AND(Nonlabor!$H$23="Once",C3690=IF(Nonlabor!$E$23="Core",Nonlabor!$F$23,MAX(Nonlabor!$F$23,IF(Nonlabor!$E$23="AI",Assumptions!$E$24,Assumptions!$E$25)))),AND(Nonlabor!$H$23="Annual",MOD(C3690-IF(Nonlabor!$E$23="Core",Nonlabor!$F$23,MAX(Nonlabor!$F$23,IF(Nonlabor!$E$23="AI",Assumptions!$E$24,Assumptions!$E$25))),12)=0))),IF(Nonlabor!$I$23="Fixed",1,IF(Nonlabor!$I$23="Seats",ROUNDUP('Monthly Growth'!I30,0),IF(Nonlabor!$I$23="Customers",'Monthly Growth'!D30,IF(Nonlabor!$I$23="NewCustomers",'Monthly Growth'!C30,IF(Nonlabor!$I$23="StorageGB",'Monthly Growth'!G30,IF(Nonlabor!$I$23="LogGB",'Monthly Growth'!H30,IF(Nonlabor!$I$23="RequestsM",'Monthly Growth'!F30,IF(Nonlabor!$I$23="InputM",'Monthly Growth'!D30*Assumptions!$E$22/1000000,IF(Nonlabor!$I$23="OutputM",'Monthly Growth'!D30*Assumptions!$E$23/1000000,0))))))))),0)</f>
        <v>3.4</v>
      </c>
      <c r="F3690" s="10" t="n">
        <f aca="false">Nonlabor!$J$23*(1+Assumptions!$E$9)^INT((C3690-1)/12)</f>
        <v>324.48</v>
      </c>
      <c r="G3690" s="10" t="n">
        <f aca="false">E3690*F3690</f>
        <v>1103.232</v>
      </c>
      <c r="H3690" s="10" t="n">
        <f aca="false">IF(OR(Nonlabor!$L$23="Quote required",Nonlabor!$L$23="Unverified"),G3690,0)</f>
        <v>0</v>
      </c>
      <c r="I3690" s="10" t="n">
        <f aca="false">IF(Nonlabor!$E$23="Core",0,G3690)</f>
        <v>0</v>
      </c>
      <c r="J3690" s="23" t="str">
        <f aca="false">Nonlabor!$B$23</f>
        <v>ONBOARD</v>
      </c>
    </row>
    <row r="3691" customFormat="false" ht="15" hidden="false" customHeight="false" outlineLevel="0" collapsed="false">
      <c r="A3691" s="6" t="s">
        <v>73</v>
      </c>
      <c r="B3691" s="6" t="s">
        <v>57</v>
      </c>
      <c r="C3691" s="6" t="n">
        <v>26</v>
      </c>
      <c r="D3691" s="25" t="n">
        <f aca="false">EDATE('Start Here'!$B$6,C3691-1)</f>
        <v>47088</v>
      </c>
      <c r="E3691" s="11" t="n">
        <f aca="false">IF(AND(OR(Nonlabor!$D$23="Both",Nonlabor!$D$23='Start Here'!$B$9),IF(Nonlabor!$E$23="Core",1,IF(Nonlabor!$E$23="AI",'Start Here'!$B$7,'Start Here'!$B$8))=1,C3691&gt;=IF(Nonlabor!$E$23="Core",Nonlabor!$F$23,MAX(Nonlabor!$F$23,IF(Nonlabor!$E$23="AI",Assumptions!$E$24,Assumptions!$E$25))),C3691&lt;=Nonlabor!$G$23,OR(Nonlabor!$H$23="Monthly",AND(Nonlabor!$H$23="Once",C3691=IF(Nonlabor!$E$23="Core",Nonlabor!$F$23,MAX(Nonlabor!$F$23,IF(Nonlabor!$E$23="AI",Assumptions!$E$24,Assumptions!$E$25)))),AND(Nonlabor!$H$23="Annual",MOD(C3691-IF(Nonlabor!$E$23="Core",Nonlabor!$F$23,MAX(Nonlabor!$F$23,IF(Nonlabor!$E$23="AI",Assumptions!$E$24,Assumptions!$E$25))),12)=0))),IF(Nonlabor!$I$23="Fixed",1,IF(Nonlabor!$I$23="Seats",ROUNDUP('Monthly Growth'!I31,0),IF(Nonlabor!$I$23="Customers",'Monthly Growth'!D31,IF(Nonlabor!$I$23="NewCustomers",'Monthly Growth'!C31,IF(Nonlabor!$I$23="StorageGB",'Monthly Growth'!G31,IF(Nonlabor!$I$23="LogGB",'Monthly Growth'!H31,IF(Nonlabor!$I$23="RequestsM",'Monthly Growth'!F31,IF(Nonlabor!$I$23="InputM",'Monthly Growth'!D31*Assumptions!$E$22/1000000,IF(Nonlabor!$I$23="OutputM",'Monthly Growth'!D31*Assumptions!$E$23/1000000,0))))))))),0)</f>
        <v>3.4</v>
      </c>
      <c r="F3691" s="10" t="n">
        <f aca="false">Nonlabor!$J$23*(1+Assumptions!$E$9)^INT((C3691-1)/12)</f>
        <v>324.48</v>
      </c>
      <c r="G3691" s="10" t="n">
        <f aca="false">E3691*F3691</f>
        <v>1103.232</v>
      </c>
      <c r="H3691" s="10" t="n">
        <f aca="false">IF(OR(Nonlabor!$L$23="Quote required",Nonlabor!$L$23="Unverified"),G3691,0)</f>
        <v>0</v>
      </c>
      <c r="I3691" s="10" t="n">
        <f aca="false">IF(Nonlabor!$E$23="Core",0,G3691)</f>
        <v>0</v>
      </c>
      <c r="J3691" s="23" t="str">
        <f aca="false">Nonlabor!$B$23</f>
        <v>ONBOARD</v>
      </c>
    </row>
    <row r="3692" customFormat="false" ht="15" hidden="false" customHeight="false" outlineLevel="0" collapsed="false">
      <c r="A3692" s="6" t="s">
        <v>73</v>
      </c>
      <c r="B3692" s="6" t="s">
        <v>57</v>
      </c>
      <c r="C3692" s="6" t="n">
        <v>27</v>
      </c>
      <c r="D3692" s="25" t="n">
        <f aca="false">EDATE('Start Here'!$B$6,C3692-1)</f>
        <v>47119</v>
      </c>
      <c r="E3692" s="11" t="n">
        <f aca="false">IF(AND(OR(Nonlabor!$D$23="Both",Nonlabor!$D$23='Start Here'!$B$9),IF(Nonlabor!$E$23="Core",1,IF(Nonlabor!$E$23="AI",'Start Here'!$B$7,'Start Here'!$B$8))=1,C3692&gt;=IF(Nonlabor!$E$23="Core",Nonlabor!$F$23,MAX(Nonlabor!$F$23,IF(Nonlabor!$E$23="AI",Assumptions!$E$24,Assumptions!$E$25))),C3692&lt;=Nonlabor!$G$23,OR(Nonlabor!$H$23="Monthly",AND(Nonlabor!$H$23="Once",C3692=IF(Nonlabor!$E$23="Core",Nonlabor!$F$23,MAX(Nonlabor!$F$23,IF(Nonlabor!$E$23="AI",Assumptions!$E$24,Assumptions!$E$25)))),AND(Nonlabor!$H$23="Annual",MOD(C3692-IF(Nonlabor!$E$23="Core",Nonlabor!$F$23,MAX(Nonlabor!$F$23,IF(Nonlabor!$E$23="AI",Assumptions!$E$24,Assumptions!$E$25))),12)=0))),IF(Nonlabor!$I$23="Fixed",1,IF(Nonlabor!$I$23="Seats",ROUNDUP('Monthly Growth'!I32,0),IF(Nonlabor!$I$23="Customers",'Monthly Growth'!D32,IF(Nonlabor!$I$23="NewCustomers",'Monthly Growth'!C32,IF(Nonlabor!$I$23="StorageGB",'Monthly Growth'!G32,IF(Nonlabor!$I$23="LogGB",'Monthly Growth'!H32,IF(Nonlabor!$I$23="RequestsM",'Monthly Growth'!F32,IF(Nonlabor!$I$23="InputM",'Monthly Growth'!D32*Assumptions!$E$22/1000000,IF(Nonlabor!$I$23="OutputM",'Monthly Growth'!D32*Assumptions!$E$23/1000000,0))))))))),0)</f>
        <v>3.4</v>
      </c>
      <c r="F3692" s="10" t="n">
        <f aca="false">Nonlabor!$J$23*(1+Assumptions!$E$9)^INT((C3692-1)/12)</f>
        <v>324.48</v>
      </c>
      <c r="G3692" s="10" t="n">
        <f aca="false">E3692*F3692</f>
        <v>1103.232</v>
      </c>
      <c r="H3692" s="10" t="n">
        <f aca="false">IF(OR(Nonlabor!$L$23="Quote required",Nonlabor!$L$23="Unverified"),G3692,0)</f>
        <v>0</v>
      </c>
      <c r="I3692" s="10" t="n">
        <f aca="false">IF(Nonlabor!$E$23="Core",0,G3692)</f>
        <v>0</v>
      </c>
      <c r="J3692" s="23" t="str">
        <f aca="false">Nonlabor!$B$23</f>
        <v>ONBOARD</v>
      </c>
    </row>
    <row r="3693" customFormat="false" ht="15" hidden="false" customHeight="false" outlineLevel="0" collapsed="false">
      <c r="A3693" s="6" t="s">
        <v>73</v>
      </c>
      <c r="B3693" s="6" t="s">
        <v>57</v>
      </c>
      <c r="C3693" s="6" t="n">
        <v>28</v>
      </c>
      <c r="D3693" s="25" t="n">
        <f aca="false">EDATE('Start Here'!$B$6,C3693-1)</f>
        <v>47150</v>
      </c>
      <c r="E3693" s="11" t="n">
        <f aca="false">IF(AND(OR(Nonlabor!$D$23="Both",Nonlabor!$D$23='Start Here'!$B$9),IF(Nonlabor!$E$23="Core",1,IF(Nonlabor!$E$23="AI",'Start Here'!$B$7,'Start Here'!$B$8))=1,C3693&gt;=IF(Nonlabor!$E$23="Core",Nonlabor!$F$23,MAX(Nonlabor!$F$23,IF(Nonlabor!$E$23="AI",Assumptions!$E$24,Assumptions!$E$25))),C3693&lt;=Nonlabor!$G$23,OR(Nonlabor!$H$23="Monthly",AND(Nonlabor!$H$23="Once",C3693=IF(Nonlabor!$E$23="Core",Nonlabor!$F$23,MAX(Nonlabor!$F$23,IF(Nonlabor!$E$23="AI",Assumptions!$E$24,Assumptions!$E$25)))),AND(Nonlabor!$H$23="Annual",MOD(C3693-IF(Nonlabor!$E$23="Core",Nonlabor!$F$23,MAX(Nonlabor!$F$23,IF(Nonlabor!$E$23="AI",Assumptions!$E$24,Assumptions!$E$25))),12)=0))),IF(Nonlabor!$I$23="Fixed",1,IF(Nonlabor!$I$23="Seats",ROUNDUP('Monthly Growth'!I33,0),IF(Nonlabor!$I$23="Customers",'Monthly Growth'!D33,IF(Nonlabor!$I$23="NewCustomers",'Monthly Growth'!C33,IF(Nonlabor!$I$23="StorageGB",'Monthly Growth'!G33,IF(Nonlabor!$I$23="LogGB",'Monthly Growth'!H33,IF(Nonlabor!$I$23="RequestsM",'Monthly Growth'!F33,IF(Nonlabor!$I$23="InputM",'Monthly Growth'!D33*Assumptions!$E$22/1000000,IF(Nonlabor!$I$23="OutputM",'Monthly Growth'!D33*Assumptions!$E$23/1000000,0))))))))),0)</f>
        <v>3.4</v>
      </c>
      <c r="F3693" s="10" t="n">
        <f aca="false">Nonlabor!$J$23*(1+Assumptions!$E$9)^INT((C3693-1)/12)</f>
        <v>324.48</v>
      </c>
      <c r="G3693" s="10" t="n">
        <f aca="false">E3693*F3693</f>
        <v>1103.232</v>
      </c>
      <c r="H3693" s="10" t="n">
        <f aca="false">IF(OR(Nonlabor!$L$23="Quote required",Nonlabor!$L$23="Unverified"),G3693,0)</f>
        <v>0</v>
      </c>
      <c r="I3693" s="10" t="n">
        <f aca="false">IF(Nonlabor!$E$23="Core",0,G3693)</f>
        <v>0</v>
      </c>
      <c r="J3693" s="23" t="str">
        <f aca="false">Nonlabor!$B$23</f>
        <v>ONBOARD</v>
      </c>
    </row>
    <row r="3694" customFormat="false" ht="15" hidden="false" customHeight="false" outlineLevel="0" collapsed="false">
      <c r="A3694" s="6" t="s">
        <v>73</v>
      </c>
      <c r="B3694" s="6" t="s">
        <v>57</v>
      </c>
      <c r="C3694" s="6" t="n">
        <v>29</v>
      </c>
      <c r="D3694" s="25" t="n">
        <f aca="false">EDATE('Start Here'!$B$6,C3694-1)</f>
        <v>47178</v>
      </c>
      <c r="E3694" s="11" t="n">
        <f aca="false">IF(AND(OR(Nonlabor!$D$23="Both",Nonlabor!$D$23='Start Here'!$B$9),IF(Nonlabor!$E$23="Core",1,IF(Nonlabor!$E$23="AI",'Start Here'!$B$7,'Start Here'!$B$8))=1,C3694&gt;=IF(Nonlabor!$E$23="Core",Nonlabor!$F$23,MAX(Nonlabor!$F$23,IF(Nonlabor!$E$23="AI",Assumptions!$E$24,Assumptions!$E$25))),C3694&lt;=Nonlabor!$G$23,OR(Nonlabor!$H$23="Monthly",AND(Nonlabor!$H$23="Once",C3694=IF(Nonlabor!$E$23="Core",Nonlabor!$F$23,MAX(Nonlabor!$F$23,IF(Nonlabor!$E$23="AI",Assumptions!$E$24,Assumptions!$E$25)))),AND(Nonlabor!$H$23="Annual",MOD(C3694-IF(Nonlabor!$E$23="Core",Nonlabor!$F$23,MAX(Nonlabor!$F$23,IF(Nonlabor!$E$23="AI",Assumptions!$E$24,Assumptions!$E$25))),12)=0))),IF(Nonlabor!$I$23="Fixed",1,IF(Nonlabor!$I$23="Seats",ROUNDUP('Monthly Growth'!I34,0),IF(Nonlabor!$I$23="Customers",'Monthly Growth'!D34,IF(Nonlabor!$I$23="NewCustomers",'Monthly Growth'!C34,IF(Nonlabor!$I$23="StorageGB",'Monthly Growth'!G34,IF(Nonlabor!$I$23="LogGB",'Monthly Growth'!H34,IF(Nonlabor!$I$23="RequestsM",'Monthly Growth'!F34,IF(Nonlabor!$I$23="InputM",'Monthly Growth'!D34*Assumptions!$E$22/1000000,IF(Nonlabor!$I$23="OutputM",'Monthly Growth'!D34*Assumptions!$E$23/1000000,0))))))))),0)</f>
        <v>3.4</v>
      </c>
      <c r="F3694" s="10" t="n">
        <f aca="false">Nonlabor!$J$23*(1+Assumptions!$E$9)^INT((C3694-1)/12)</f>
        <v>324.48</v>
      </c>
      <c r="G3694" s="10" t="n">
        <f aca="false">E3694*F3694</f>
        <v>1103.232</v>
      </c>
      <c r="H3694" s="10" t="n">
        <f aca="false">IF(OR(Nonlabor!$L$23="Quote required",Nonlabor!$L$23="Unverified"),G3694,0)</f>
        <v>0</v>
      </c>
      <c r="I3694" s="10" t="n">
        <f aca="false">IF(Nonlabor!$E$23="Core",0,G3694)</f>
        <v>0</v>
      </c>
      <c r="J3694" s="23" t="str">
        <f aca="false">Nonlabor!$B$23</f>
        <v>ONBOARD</v>
      </c>
    </row>
    <row r="3695" customFormat="false" ht="15" hidden="false" customHeight="false" outlineLevel="0" collapsed="false">
      <c r="A3695" s="6" t="s">
        <v>73</v>
      </c>
      <c r="B3695" s="6" t="s">
        <v>57</v>
      </c>
      <c r="C3695" s="6" t="n">
        <v>30</v>
      </c>
      <c r="D3695" s="25" t="n">
        <f aca="false">EDATE('Start Here'!$B$6,C3695-1)</f>
        <v>47209</v>
      </c>
      <c r="E3695" s="11" t="n">
        <f aca="false">IF(AND(OR(Nonlabor!$D$23="Both",Nonlabor!$D$23='Start Here'!$B$9),IF(Nonlabor!$E$23="Core",1,IF(Nonlabor!$E$23="AI",'Start Here'!$B$7,'Start Here'!$B$8))=1,C3695&gt;=IF(Nonlabor!$E$23="Core",Nonlabor!$F$23,MAX(Nonlabor!$F$23,IF(Nonlabor!$E$23="AI",Assumptions!$E$24,Assumptions!$E$25))),C3695&lt;=Nonlabor!$G$23,OR(Nonlabor!$H$23="Monthly",AND(Nonlabor!$H$23="Once",C3695=IF(Nonlabor!$E$23="Core",Nonlabor!$F$23,MAX(Nonlabor!$F$23,IF(Nonlabor!$E$23="AI",Assumptions!$E$24,Assumptions!$E$25)))),AND(Nonlabor!$H$23="Annual",MOD(C3695-IF(Nonlabor!$E$23="Core",Nonlabor!$F$23,MAX(Nonlabor!$F$23,IF(Nonlabor!$E$23="AI",Assumptions!$E$24,Assumptions!$E$25))),12)=0))),IF(Nonlabor!$I$23="Fixed",1,IF(Nonlabor!$I$23="Seats",ROUNDUP('Monthly Growth'!I35,0),IF(Nonlabor!$I$23="Customers",'Monthly Growth'!D35,IF(Nonlabor!$I$23="NewCustomers",'Monthly Growth'!C35,IF(Nonlabor!$I$23="StorageGB",'Monthly Growth'!G35,IF(Nonlabor!$I$23="LogGB",'Monthly Growth'!H35,IF(Nonlabor!$I$23="RequestsM",'Monthly Growth'!F35,IF(Nonlabor!$I$23="InputM",'Monthly Growth'!D35*Assumptions!$E$22/1000000,IF(Nonlabor!$I$23="OutputM",'Monthly Growth'!D35*Assumptions!$E$23/1000000,0))))))))),0)</f>
        <v>3.4</v>
      </c>
      <c r="F3695" s="10" t="n">
        <f aca="false">Nonlabor!$J$23*(1+Assumptions!$E$9)^INT((C3695-1)/12)</f>
        <v>324.48</v>
      </c>
      <c r="G3695" s="10" t="n">
        <f aca="false">E3695*F3695</f>
        <v>1103.232</v>
      </c>
      <c r="H3695" s="10" t="n">
        <f aca="false">IF(OR(Nonlabor!$L$23="Quote required",Nonlabor!$L$23="Unverified"),G3695,0)</f>
        <v>0</v>
      </c>
      <c r="I3695" s="10" t="n">
        <f aca="false">IF(Nonlabor!$E$23="Core",0,G3695)</f>
        <v>0</v>
      </c>
      <c r="J3695" s="23" t="str">
        <f aca="false">Nonlabor!$B$23</f>
        <v>ONBOARD</v>
      </c>
    </row>
    <row r="3696" customFormat="false" ht="15" hidden="false" customHeight="false" outlineLevel="0" collapsed="false">
      <c r="A3696" s="6" t="s">
        <v>73</v>
      </c>
      <c r="B3696" s="6" t="s">
        <v>57</v>
      </c>
      <c r="C3696" s="6" t="n">
        <v>31</v>
      </c>
      <c r="D3696" s="25" t="n">
        <f aca="false">EDATE('Start Here'!$B$6,C3696-1)</f>
        <v>47239</v>
      </c>
      <c r="E3696" s="11" t="n">
        <f aca="false">IF(AND(OR(Nonlabor!$D$23="Both",Nonlabor!$D$23='Start Here'!$B$9),IF(Nonlabor!$E$23="Core",1,IF(Nonlabor!$E$23="AI",'Start Here'!$B$7,'Start Here'!$B$8))=1,C3696&gt;=IF(Nonlabor!$E$23="Core",Nonlabor!$F$23,MAX(Nonlabor!$F$23,IF(Nonlabor!$E$23="AI",Assumptions!$E$24,Assumptions!$E$25))),C3696&lt;=Nonlabor!$G$23,OR(Nonlabor!$H$23="Monthly",AND(Nonlabor!$H$23="Once",C3696=IF(Nonlabor!$E$23="Core",Nonlabor!$F$23,MAX(Nonlabor!$F$23,IF(Nonlabor!$E$23="AI",Assumptions!$E$24,Assumptions!$E$25)))),AND(Nonlabor!$H$23="Annual",MOD(C3696-IF(Nonlabor!$E$23="Core",Nonlabor!$F$23,MAX(Nonlabor!$F$23,IF(Nonlabor!$E$23="AI",Assumptions!$E$24,Assumptions!$E$25))),12)=0))),IF(Nonlabor!$I$23="Fixed",1,IF(Nonlabor!$I$23="Seats",ROUNDUP('Monthly Growth'!I36,0),IF(Nonlabor!$I$23="Customers",'Monthly Growth'!D36,IF(Nonlabor!$I$23="NewCustomers",'Monthly Growth'!C36,IF(Nonlabor!$I$23="StorageGB",'Monthly Growth'!G36,IF(Nonlabor!$I$23="LogGB",'Monthly Growth'!H36,IF(Nonlabor!$I$23="RequestsM",'Monthly Growth'!F36,IF(Nonlabor!$I$23="InputM",'Monthly Growth'!D36*Assumptions!$E$22/1000000,IF(Nonlabor!$I$23="OutputM",'Monthly Growth'!D36*Assumptions!$E$23/1000000,0))))))))),0)</f>
        <v>3.4</v>
      </c>
      <c r="F3696" s="10" t="n">
        <f aca="false">Nonlabor!$J$23*(1+Assumptions!$E$9)^INT((C3696-1)/12)</f>
        <v>324.48</v>
      </c>
      <c r="G3696" s="10" t="n">
        <f aca="false">E3696*F3696</f>
        <v>1103.232</v>
      </c>
      <c r="H3696" s="10" t="n">
        <f aca="false">IF(OR(Nonlabor!$L$23="Quote required",Nonlabor!$L$23="Unverified"),G3696,0)</f>
        <v>0</v>
      </c>
      <c r="I3696" s="10" t="n">
        <f aca="false">IF(Nonlabor!$E$23="Core",0,G3696)</f>
        <v>0</v>
      </c>
      <c r="J3696" s="23" t="str">
        <f aca="false">Nonlabor!$B$23</f>
        <v>ONBOARD</v>
      </c>
    </row>
    <row r="3697" customFormat="false" ht="15" hidden="false" customHeight="false" outlineLevel="0" collapsed="false">
      <c r="A3697" s="6" t="s">
        <v>73</v>
      </c>
      <c r="B3697" s="6" t="s">
        <v>57</v>
      </c>
      <c r="C3697" s="6" t="n">
        <v>32</v>
      </c>
      <c r="D3697" s="25" t="n">
        <f aca="false">EDATE('Start Here'!$B$6,C3697-1)</f>
        <v>47270</v>
      </c>
      <c r="E3697" s="11" t="n">
        <f aca="false">IF(AND(OR(Nonlabor!$D$23="Both",Nonlabor!$D$23='Start Here'!$B$9),IF(Nonlabor!$E$23="Core",1,IF(Nonlabor!$E$23="AI",'Start Here'!$B$7,'Start Here'!$B$8))=1,C3697&gt;=IF(Nonlabor!$E$23="Core",Nonlabor!$F$23,MAX(Nonlabor!$F$23,IF(Nonlabor!$E$23="AI",Assumptions!$E$24,Assumptions!$E$25))),C3697&lt;=Nonlabor!$G$23,OR(Nonlabor!$H$23="Monthly",AND(Nonlabor!$H$23="Once",C3697=IF(Nonlabor!$E$23="Core",Nonlabor!$F$23,MAX(Nonlabor!$F$23,IF(Nonlabor!$E$23="AI",Assumptions!$E$24,Assumptions!$E$25)))),AND(Nonlabor!$H$23="Annual",MOD(C3697-IF(Nonlabor!$E$23="Core",Nonlabor!$F$23,MAX(Nonlabor!$F$23,IF(Nonlabor!$E$23="AI",Assumptions!$E$24,Assumptions!$E$25))),12)=0))),IF(Nonlabor!$I$23="Fixed",1,IF(Nonlabor!$I$23="Seats",ROUNDUP('Monthly Growth'!I37,0),IF(Nonlabor!$I$23="Customers",'Monthly Growth'!D37,IF(Nonlabor!$I$23="NewCustomers",'Monthly Growth'!C37,IF(Nonlabor!$I$23="StorageGB",'Monthly Growth'!G37,IF(Nonlabor!$I$23="LogGB",'Monthly Growth'!H37,IF(Nonlabor!$I$23="RequestsM",'Monthly Growth'!F37,IF(Nonlabor!$I$23="InputM",'Monthly Growth'!D37*Assumptions!$E$22/1000000,IF(Nonlabor!$I$23="OutputM",'Monthly Growth'!D37*Assumptions!$E$23/1000000,0))))))))),0)</f>
        <v>3.4</v>
      </c>
      <c r="F3697" s="10" t="n">
        <f aca="false">Nonlabor!$J$23*(1+Assumptions!$E$9)^INT((C3697-1)/12)</f>
        <v>324.48</v>
      </c>
      <c r="G3697" s="10" t="n">
        <f aca="false">E3697*F3697</f>
        <v>1103.232</v>
      </c>
      <c r="H3697" s="10" t="n">
        <f aca="false">IF(OR(Nonlabor!$L$23="Quote required",Nonlabor!$L$23="Unverified"),G3697,0)</f>
        <v>0</v>
      </c>
      <c r="I3697" s="10" t="n">
        <f aca="false">IF(Nonlabor!$E$23="Core",0,G3697)</f>
        <v>0</v>
      </c>
      <c r="J3697" s="23" t="str">
        <f aca="false">Nonlabor!$B$23</f>
        <v>ONBOARD</v>
      </c>
    </row>
    <row r="3698" customFormat="false" ht="15" hidden="false" customHeight="false" outlineLevel="0" collapsed="false">
      <c r="A3698" s="6" t="s">
        <v>73</v>
      </c>
      <c r="B3698" s="6" t="s">
        <v>57</v>
      </c>
      <c r="C3698" s="6" t="n">
        <v>33</v>
      </c>
      <c r="D3698" s="25" t="n">
        <f aca="false">EDATE('Start Here'!$B$6,C3698-1)</f>
        <v>47300</v>
      </c>
      <c r="E3698" s="11" t="n">
        <f aca="false">IF(AND(OR(Nonlabor!$D$23="Both",Nonlabor!$D$23='Start Here'!$B$9),IF(Nonlabor!$E$23="Core",1,IF(Nonlabor!$E$23="AI",'Start Here'!$B$7,'Start Here'!$B$8))=1,C3698&gt;=IF(Nonlabor!$E$23="Core",Nonlabor!$F$23,MAX(Nonlabor!$F$23,IF(Nonlabor!$E$23="AI",Assumptions!$E$24,Assumptions!$E$25))),C3698&lt;=Nonlabor!$G$23,OR(Nonlabor!$H$23="Monthly",AND(Nonlabor!$H$23="Once",C3698=IF(Nonlabor!$E$23="Core",Nonlabor!$F$23,MAX(Nonlabor!$F$23,IF(Nonlabor!$E$23="AI",Assumptions!$E$24,Assumptions!$E$25)))),AND(Nonlabor!$H$23="Annual",MOD(C3698-IF(Nonlabor!$E$23="Core",Nonlabor!$F$23,MAX(Nonlabor!$F$23,IF(Nonlabor!$E$23="AI",Assumptions!$E$24,Assumptions!$E$25))),12)=0))),IF(Nonlabor!$I$23="Fixed",1,IF(Nonlabor!$I$23="Seats",ROUNDUP('Monthly Growth'!I38,0),IF(Nonlabor!$I$23="Customers",'Monthly Growth'!D38,IF(Nonlabor!$I$23="NewCustomers",'Monthly Growth'!C38,IF(Nonlabor!$I$23="StorageGB",'Monthly Growth'!G38,IF(Nonlabor!$I$23="LogGB",'Monthly Growth'!H38,IF(Nonlabor!$I$23="RequestsM",'Monthly Growth'!F38,IF(Nonlabor!$I$23="InputM",'Monthly Growth'!D38*Assumptions!$E$22/1000000,IF(Nonlabor!$I$23="OutputM",'Monthly Growth'!D38*Assumptions!$E$23/1000000,0))))))))),0)</f>
        <v>3.4</v>
      </c>
      <c r="F3698" s="10" t="n">
        <f aca="false">Nonlabor!$J$23*(1+Assumptions!$E$9)^INT((C3698-1)/12)</f>
        <v>324.48</v>
      </c>
      <c r="G3698" s="10" t="n">
        <f aca="false">E3698*F3698</f>
        <v>1103.232</v>
      </c>
      <c r="H3698" s="10" t="n">
        <f aca="false">IF(OR(Nonlabor!$L$23="Quote required",Nonlabor!$L$23="Unverified"),G3698,0)</f>
        <v>0</v>
      </c>
      <c r="I3698" s="10" t="n">
        <f aca="false">IF(Nonlabor!$E$23="Core",0,G3698)</f>
        <v>0</v>
      </c>
      <c r="J3698" s="23" t="str">
        <f aca="false">Nonlabor!$B$23</f>
        <v>ONBOARD</v>
      </c>
    </row>
    <row r="3699" customFormat="false" ht="15" hidden="false" customHeight="false" outlineLevel="0" collapsed="false">
      <c r="A3699" s="6" t="s">
        <v>73</v>
      </c>
      <c r="B3699" s="6" t="s">
        <v>57</v>
      </c>
      <c r="C3699" s="6" t="n">
        <v>34</v>
      </c>
      <c r="D3699" s="25" t="n">
        <f aca="false">EDATE('Start Here'!$B$6,C3699-1)</f>
        <v>47331</v>
      </c>
      <c r="E3699" s="11" t="n">
        <f aca="false">IF(AND(OR(Nonlabor!$D$23="Both",Nonlabor!$D$23='Start Here'!$B$9),IF(Nonlabor!$E$23="Core",1,IF(Nonlabor!$E$23="AI",'Start Here'!$B$7,'Start Here'!$B$8))=1,C3699&gt;=IF(Nonlabor!$E$23="Core",Nonlabor!$F$23,MAX(Nonlabor!$F$23,IF(Nonlabor!$E$23="AI",Assumptions!$E$24,Assumptions!$E$25))),C3699&lt;=Nonlabor!$G$23,OR(Nonlabor!$H$23="Monthly",AND(Nonlabor!$H$23="Once",C3699=IF(Nonlabor!$E$23="Core",Nonlabor!$F$23,MAX(Nonlabor!$F$23,IF(Nonlabor!$E$23="AI",Assumptions!$E$24,Assumptions!$E$25)))),AND(Nonlabor!$H$23="Annual",MOD(C3699-IF(Nonlabor!$E$23="Core",Nonlabor!$F$23,MAX(Nonlabor!$F$23,IF(Nonlabor!$E$23="AI",Assumptions!$E$24,Assumptions!$E$25))),12)=0))),IF(Nonlabor!$I$23="Fixed",1,IF(Nonlabor!$I$23="Seats",ROUNDUP('Monthly Growth'!I39,0),IF(Nonlabor!$I$23="Customers",'Monthly Growth'!D39,IF(Nonlabor!$I$23="NewCustomers",'Monthly Growth'!C39,IF(Nonlabor!$I$23="StorageGB",'Monthly Growth'!G39,IF(Nonlabor!$I$23="LogGB",'Monthly Growth'!H39,IF(Nonlabor!$I$23="RequestsM",'Monthly Growth'!F39,IF(Nonlabor!$I$23="InputM",'Monthly Growth'!D39*Assumptions!$E$22/1000000,IF(Nonlabor!$I$23="OutputM",'Monthly Growth'!D39*Assumptions!$E$23/1000000,0))))))))),0)</f>
        <v>3.4</v>
      </c>
      <c r="F3699" s="10" t="n">
        <f aca="false">Nonlabor!$J$23*(1+Assumptions!$E$9)^INT((C3699-1)/12)</f>
        <v>324.48</v>
      </c>
      <c r="G3699" s="10" t="n">
        <f aca="false">E3699*F3699</f>
        <v>1103.232</v>
      </c>
      <c r="H3699" s="10" t="n">
        <f aca="false">IF(OR(Nonlabor!$L$23="Quote required",Nonlabor!$L$23="Unverified"),G3699,0)</f>
        <v>0</v>
      </c>
      <c r="I3699" s="10" t="n">
        <f aca="false">IF(Nonlabor!$E$23="Core",0,G3699)</f>
        <v>0</v>
      </c>
      <c r="J3699" s="23" t="str">
        <f aca="false">Nonlabor!$B$23</f>
        <v>ONBOARD</v>
      </c>
    </row>
    <row r="3700" customFormat="false" ht="15" hidden="false" customHeight="false" outlineLevel="0" collapsed="false">
      <c r="A3700" s="6" t="s">
        <v>73</v>
      </c>
      <c r="B3700" s="6" t="s">
        <v>57</v>
      </c>
      <c r="C3700" s="6" t="n">
        <v>35</v>
      </c>
      <c r="D3700" s="25" t="n">
        <f aca="false">EDATE('Start Here'!$B$6,C3700-1)</f>
        <v>47362</v>
      </c>
      <c r="E3700" s="11" t="n">
        <f aca="false">IF(AND(OR(Nonlabor!$D$23="Both",Nonlabor!$D$23='Start Here'!$B$9),IF(Nonlabor!$E$23="Core",1,IF(Nonlabor!$E$23="AI",'Start Here'!$B$7,'Start Here'!$B$8))=1,C3700&gt;=IF(Nonlabor!$E$23="Core",Nonlabor!$F$23,MAX(Nonlabor!$F$23,IF(Nonlabor!$E$23="AI",Assumptions!$E$24,Assumptions!$E$25))),C3700&lt;=Nonlabor!$G$23,OR(Nonlabor!$H$23="Monthly",AND(Nonlabor!$H$23="Once",C3700=IF(Nonlabor!$E$23="Core",Nonlabor!$F$23,MAX(Nonlabor!$F$23,IF(Nonlabor!$E$23="AI",Assumptions!$E$24,Assumptions!$E$25)))),AND(Nonlabor!$H$23="Annual",MOD(C3700-IF(Nonlabor!$E$23="Core",Nonlabor!$F$23,MAX(Nonlabor!$F$23,IF(Nonlabor!$E$23="AI",Assumptions!$E$24,Assumptions!$E$25))),12)=0))),IF(Nonlabor!$I$23="Fixed",1,IF(Nonlabor!$I$23="Seats",ROUNDUP('Monthly Growth'!I40,0),IF(Nonlabor!$I$23="Customers",'Monthly Growth'!D40,IF(Nonlabor!$I$23="NewCustomers",'Monthly Growth'!C40,IF(Nonlabor!$I$23="StorageGB",'Monthly Growth'!G40,IF(Nonlabor!$I$23="LogGB",'Monthly Growth'!H40,IF(Nonlabor!$I$23="RequestsM",'Monthly Growth'!F40,IF(Nonlabor!$I$23="InputM",'Monthly Growth'!D40*Assumptions!$E$22/1000000,IF(Nonlabor!$I$23="OutputM",'Monthly Growth'!D40*Assumptions!$E$23/1000000,0))))))))),0)</f>
        <v>3.4</v>
      </c>
      <c r="F3700" s="10" t="n">
        <f aca="false">Nonlabor!$J$23*(1+Assumptions!$E$9)^INT((C3700-1)/12)</f>
        <v>324.48</v>
      </c>
      <c r="G3700" s="10" t="n">
        <f aca="false">E3700*F3700</f>
        <v>1103.232</v>
      </c>
      <c r="H3700" s="10" t="n">
        <f aca="false">IF(OR(Nonlabor!$L$23="Quote required",Nonlabor!$L$23="Unverified"),G3700,0)</f>
        <v>0</v>
      </c>
      <c r="I3700" s="10" t="n">
        <f aca="false">IF(Nonlabor!$E$23="Core",0,G3700)</f>
        <v>0</v>
      </c>
      <c r="J3700" s="23" t="str">
        <f aca="false">Nonlabor!$B$23</f>
        <v>ONBOARD</v>
      </c>
    </row>
    <row r="3701" customFormat="false" ht="15" hidden="false" customHeight="false" outlineLevel="0" collapsed="false">
      <c r="A3701" s="6" t="s">
        <v>73</v>
      </c>
      <c r="B3701" s="6" t="s">
        <v>57</v>
      </c>
      <c r="C3701" s="6" t="n">
        <v>36</v>
      </c>
      <c r="D3701" s="25" t="n">
        <f aca="false">EDATE('Start Here'!$B$6,C3701-1)</f>
        <v>47392</v>
      </c>
      <c r="E3701" s="11" t="n">
        <f aca="false">IF(AND(OR(Nonlabor!$D$23="Both",Nonlabor!$D$23='Start Here'!$B$9),IF(Nonlabor!$E$23="Core",1,IF(Nonlabor!$E$23="AI",'Start Here'!$B$7,'Start Here'!$B$8))=1,C3701&gt;=IF(Nonlabor!$E$23="Core",Nonlabor!$F$23,MAX(Nonlabor!$F$23,IF(Nonlabor!$E$23="AI",Assumptions!$E$24,Assumptions!$E$25))),C3701&lt;=Nonlabor!$G$23,OR(Nonlabor!$H$23="Monthly",AND(Nonlabor!$H$23="Once",C3701=IF(Nonlabor!$E$23="Core",Nonlabor!$F$23,MAX(Nonlabor!$F$23,IF(Nonlabor!$E$23="AI",Assumptions!$E$24,Assumptions!$E$25)))),AND(Nonlabor!$H$23="Annual",MOD(C3701-IF(Nonlabor!$E$23="Core",Nonlabor!$F$23,MAX(Nonlabor!$F$23,IF(Nonlabor!$E$23="AI",Assumptions!$E$24,Assumptions!$E$25))),12)=0))),IF(Nonlabor!$I$23="Fixed",1,IF(Nonlabor!$I$23="Seats",ROUNDUP('Monthly Growth'!I41,0),IF(Nonlabor!$I$23="Customers",'Monthly Growth'!D41,IF(Nonlabor!$I$23="NewCustomers",'Monthly Growth'!C41,IF(Nonlabor!$I$23="StorageGB",'Monthly Growth'!G41,IF(Nonlabor!$I$23="LogGB",'Monthly Growth'!H41,IF(Nonlabor!$I$23="RequestsM",'Monthly Growth'!F41,IF(Nonlabor!$I$23="InputM",'Monthly Growth'!D41*Assumptions!$E$22/1000000,IF(Nonlabor!$I$23="OutputM",'Monthly Growth'!D41*Assumptions!$E$23/1000000,0))))))))),0)</f>
        <v>5.78</v>
      </c>
      <c r="F3701" s="10" t="n">
        <f aca="false">Nonlabor!$J$23*(1+Assumptions!$E$9)^INT((C3701-1)/12)</f>
        <v>324.48</v>
      </c>
      <c r="G3701" s="10" t="n">
        <f aca="false">E3701*F3701</f>
        <v>1875.4944</v>
      </c>
      <c r="H3701" s="10" t="n">
        <f aca="false">IF(OR(Nonlabor!$L$23="Quote required",Nonlabor!$L$23="Unverified"),G3701,0)</f>
        <v>0</v>
      </c>
      <c r="I3701" s="10" t="n">
        <f aca="false">IF(Nonlabor!$E$23="Core",0,G3701)</f>
        <v>0</v>
      </c>
      <c r="J3701" s="23" t="str">
        <f aca="false">Nonlabor!$B$23</f>
        <v>ONBOARD</v>
      </c>
    </row>
    <row r="3702" customFormat="false" ht="15" hidden="false" customHeight="false" outlineLevel="0" collapsed="false">
      <c r="A3702" s="6" t="s">
        <v>73</v>
      </c>
      <c r="B3702" s="6" t="s">
        <v>57</v>
      </c>
      <c r="C3702" s="6" t="n">
        <v>37</v>
      </c>
      <c r="D3702" s="25" t="n">
        <f aca="false">EDATE('Start Here'!$B$6,C3702-1)</f>
        <v>47423</v>
      </c>
      <c r="E3702" s="11" t="n">
        <f aca="false">IF(AND(OR(Nonlabor!$D$23="Both",Nonlabor!$D$23='Start Here'!$B$9),IF(Nonlabor!$E$23="Core",1,IF(Nonlabor!$E$23="AI",'Start Here'!$B$7,'Start Here'!$B$8))=1,C3702&gt;=IF(Nonlabor!$E$23="Core",Nonlabor!$F$23,MAX(Nonlabor!$F$23,IF(Nonlabor!$E$23="AI",Assumptions!$E$24,Assumptions!$E$25))),C3702&lt;=Nonlabor!$G$23,OR(Nonlabor!$H$23="Monthly",AND(Nonlabor!$H$23="Once",C3702=IF(Nonlabor!$E$23="Core",Nonlabor!$F$23,MAX(Nonlabor!$F$23,IF(Nonlabor!$E$23="AI",Assumptions!$E$24,Assumptions!$E$25)))),AND(Nonlabor!$H$23="Annual",MOD(C3702-IF(Nonlabor!$E$23="Core",Nonlabor!$F$23,MAX(Nonlabor!$F$23,IF(Nonlabor!$E$23="AI",Assumptions!$E$24,Assumptions!$E$25))),12)=0))),IF(Nonlabor!$I$23="Fixed",1,IF(Nonlabor!$I$23="Seats",ROUNDUP('Monthly Growth'!I42,0),IF(Nonlabor!$I$23="Customers",'Monthly Growth'!D42,IF(Nonlabor!$I$23="NewCustomers",'Monthly Growth'!C42,IF(Nonlabor!$I$23="StorageGB",'Monthly Growth'!G42,IF(Nonlabor!$I$23="LogGB",'Monthly Growth'!H42,IF(Nonlabor!$I$23="RequestsM",'Monthly Growth'!F42,IF(Nonlabor!$I$23="InputM",'Monthly Growth'!D42*Assumptions!$E$22/1000000,IF(Nonlabor!$I$23="OutputM",'Monthly Growth'!D42*Assumptions!$E$23/1000000,0))))))))),0)</f>
        <v>5.78</v>
      </c>
      <c r="F3702" s="10" t="n">
        <f aca="false">Nonlabor!$J$23*(1+Assumptions!$E$9)^INT((C3702-1)/12)</f>
        <v>337.4592</v>
      </c>
      <c r="G3702" s="10" t="n">
        <f aca="false">E3702*F3702</f>
        <v>1950.514176</v>
      </c>
      <c r="H3702" s="10" t="n">
        <f aca="false">IF(OR(Nonlabor!$L$23="Quote required",Nonlabor!$L$23="Unverified"),G3702,0)</f>
        <v>0</v>
      </c>
      <c r="I3702" s="10" t="n">
        <f aca="false">IF(Nonlabor!$E$23="Core",0,G3702)</f>
        <v>0</v>
      </c>
      <c r="J3702" s="23" t="str">
        <f aca="false">Nonlabor!$B$23</f>
        <v>ONBOARD</v>
      </c>
    </row>
    <row r="3703" customFormat="false" ht="15" hidden="false" customHeight="false" outlineLevel="0" collapsed="false">
      <c r="A3703" s="6" t="s">
        <v>73</v>
      </c>
      <c r="B3703" s="6" t="s">
        <v>57</v>
      </c>
      <c r="C3703" s="6" t="n">
        <v>38</v>
      </c>
      <c r="D3703" s="25" t="n">
        <f aca="false">EDATE('Start Here'!$B$6,C3703-1)</f>
        <v>47453</v>
      </c>
      <c r="E3703" s="11" t="n">
        <f aca="false">IF(AND(OR(Nonlabor!$D$23="Both",Nonlabor!$D$23='Start Here'!$B$9),IF(Nonlabor!$E$23="Core",1,IF(Nonlabor!$E$23="AI",'Start Here'!$B$7,'Start Here'!$B$8))=1,C3703&gt;=IF(Nonlabor!$E$23="Core",Nonlabor!$F$23,MAX(Nonlabor!$F$23,IF(Nonlabor!$E$23="AI",Assumptions!$E$24,Assumptions!$E$25))),C3703&lt;=Nonlabor!$G$23,OR(Nonlabor!$H$23="Monthly",AND(Nonlabor!$H$23="Once",C3703=IF(Nonlabor!$E$23="Core",Nonlabor!$F$23,MAX(Nonlabor!$F$23,IF(Nonlabor!$E$23="AI",Assumptions!$E$24,Assumptions!$E$25)))),AND(Nonlabor!$H$23="Annual",MOD(C3703-IF(Nonlabor!$E$23="Core",Nonlabor!$F$23,MAX(Nonlabor!$F$23,IF(Nonlabor!$E$23="AI",Assumptions!$E$24,Assumptions!$E$25))),12)=0))),IF(Nonlabor!$I$23="Fixed",1,IF(Nonlabor!$I$23="Seats",ROUNDUP('Monthly Growth'!I43,0),IF(Nonlabor!$I$23="Customers",'Monthly Growth'!D43,IF(Nonlabor!$I$23="NewCustomers",'Monthly Growth'!C43,IF(Nonlabor!$I$23="StorageGB",'Monthly Growth'!G43,IF(Nonlabor!$I$23="LogGB",'Monthly Growth'!H43,IF(Nonlabor!$I$23="RequestsM",'Monthly Growth'!F43,IF(Nonlabor!$I$23="InputM",'Monthly Growth'!D43*Assumptions!$E$22/1000000,IF(Nonlabor!$I$23="OutputM",'Monthly Growth'!D43*Assumptions!$E$23/1000000,0))))))))),0)</f>
        <v>5.78</v>
      </c>
      <c r="F3703" s="10" t="n">
        <f aca="false">Nonlabor!$J$23*(1+Assumptions!$E$9)^INT((C3703-1)/12)</f>
        <v>337.4592</v>
      </c>
      <c r="G3703" s="10" t="n">
        <f aca="false">E3703*F3703</f>
        <v>1950.514176</v>
      </c>
      <c r="H3703" s="10" t="n">
        <f aca="false">IF(OR(Nonlabor!$L$23="Quote required",Nonlabor!$L$23="Unverified"),G3703,0)</f>
        <v>0</v>
      </c>
      <c r="I3703" s="10" t="n">
        <f aca="false">IF(Nonlabor!$E$23="Core",0,G3703)</f>
        <v>0</v>
      </c>
      <c r="J3703" s="23" t="str">
        <f aca="false">Nonlabor!$B$23</f>
        <v>ONBOARD</v>
      </c>
    </row>
    <row r="3704" customFormat="false" ht="15" hidden="false" customHeight="false" outlineLevel="0" collapsed="false">
      <c r="A3704" s="6" t="s">
        <v>73</v>
      </c>
      <c r="B3704" s="6" t="s">
        <v>57</v>
      </c>
      <c r="C3704" s="6" t="n">
        <v>39</v>
      </c>
      <c r="D3704" s="25" t="n">
        <f aca="false">EDATE('Start Here'!$B$6,C3704-1)</f>
        <v>47484</v>
      </c>
      <c r="E3704" s="11" t="n">
        <f aca="false">IF(AND(OR(Nonlabor!$D$23="Both",Nonlabor!$D$23='Start Here'!$B$9),IF(Nonlabor!$E$23="Core",1,IF(Nonlabor!$E$23="AI",'Start Here'!$B$7,'Start Here'!$B$8))=1,C3704&gt;=IF(Nonlabor!$E$23="Core",Nonlabor!$F$23,MAX(Nonlabor!$F$23,IF(Nonlabor!$E$23="AI",Assumptions!$E$24,Assumptions!$E$25))),C3704&lt;=Nonlabor!$G$23,OR(Nonlabor!$H$23="Monthly",AND(Nonlabor!$H$23="Once",C3704=IF(Nonlabor!$E$23="Core",Nonlabor!$F$23,MAX(Nonlabor!$F$23,IF(Nonlabor!$E$23="AI",Assumptions!$E$24,Assumptions!$E$25)))),AND(Nonlabor!$H$23="Annual",MOD(C3704-IF(Nonlabor!$E$23="Core",Nonlabor!$F$23,MAX(Nonlabor!$F$23,IF(Nonlabor!$E$23="AI",Assumptions!$E$24,Assumptions!$E$25))),12)=0))),IF(Nonlabor!$I$23="Fixed",1,IF(Nonlabor!$I$23="Seats",ROUNDUP('Monthly Growth'!I44,0),IF(Nonlabor!$I$23="Customers",'Monthly Growth'!D44,IF(Nonlabor!$I$23="NewCustomers",'Monthly Growth'!C44,IF(Nonlabor!$I$23="StorageGB",'Monthly Growth'!G44,IF(Nonlabor!$I$23="LogGB",'Monthly Growth'!H44,IF(Nonlabor!$I$23="RequestsM",'Monthly Growth'!F44,IF(Nonlabor!$I$23="InputM",'Monthly Growth'!D44*Assumptions!$E$22/1000000,IF(Nonlabor!$I$23="OutputM",'Monthly Growth'!D44*Assumptions!$E$23/1000000,0))))))))),0)</f>
        <v>5.78</v>
      </c>
      <c r="F3704" s="10" t="n">
        <f aca="false">Nonlabor!$J$23*(1+Assumptions!$E$9)^INT((C3704-1)/12)</f>
        <v>337.4592</v>
      </c>
      <c r="G3704" s="10" t="n">
        <f aca="false">E3704*F3704</f>
        <v>1950.514176</v>
      </c>
      <c r="H3704" s="10" t="n">
        <f aca="false">IF(OR(Nonlabor!$L$23="Quote required",Nonlabor!$L$23="Unverified"),G3704,0)</f>
        <v>0</v>
      </c>
      <c r="I3704" s="10" t="n">
        <f aca="false">IF(Nonlabor!$E$23="Core",0,G3704)</f>
        <v>0</v>
      </c>
      <c r="J3704" s="23" t="str">
        <f aca="false">Nonlabor!$B$23</f>
        <v>ONBOARD</v>
      </c>
    </row>
    <row r="3705" customFormat="false" ht="15" hidden="false" customHeight="false" outlineLevel="0" collapsed="false">
      <c r="A3705" s="6" t="s">
        <v>73</v>
      </c>
      <c r="B3705" s="6" t="s">
        <v>57</v>
      </c>
      <c r="C3705" s="6" t="n">
        <v>40</v>
      </c>
      <c r="D3705" s="25" t="n">
        <f aca="false">EDATE('Start Here'!$B$6,C3705-1)</f>
        <v>47515</v>
      </c>
      <c r="E3705" s="11" t="n">
        <f aca="false">IF(AND(OR(Nonlabor!$D$23="Both",Nonlabor!$D$23='Start Here'!$B$9),IF(Nonlabor!$E$23="Core",1,IF(Nonlabor!$E$23="AI",'Start Here'!$B$7,'Start Here'!$B$8))=1,C3705&gt;=IF(Nonlabor!$E$23="Core",Nonlabor!$F$23,MAX(Nonlabor!$F$23,IF(Nonlabor!$E$23="AI",Assumptions!$E$24,Assumptions!$E$25))),C3705&lt;=Nonlabor!$G$23,OR(Nonlabor!$H$23="Monthly",AND(Nonlabor!$H$23="Once",C3705=IF(Nonlabor!$E$23="Core",Nonlabor!$F$23,MAX(Nonlabor!$F$23,IF(Nonlabor!$E$23="AI",Assumptions!$E$24,Assumptions!$E$25)))),AND(Nonlabor!$H$23="Annual",MOD(C3705-IF(Nonlabor!$E$23="Core",Nonlabor!$F$23,MAX(Nonlabor!$F$23,IF(Nonlabor!$E$23="AI",Assumptions!$E$24,Assumptions!$E$25))),12)=0))),IF(Nonlabor!$I$23="Fixed",1,IF(Nonlabor!$I$23="Seats",ROUNDUP('Monthly Growth'!I45,0),IF(Nonlabor!$I$23="Customers",'Monthly Growth'!D45,IF(Nonlabor!$I$23="NewCustomers",'Monthly Growth'!C45,IF(Nonlabor!$I$23="StorageGB",'Monthly Growth'!G45,IF(Nonlabor!$I$23="LogGB",'Monthly Growth'!H45,IF(Nonlabor!$I$23="RequestsM",'Monthly Growth'!F45,IF(Nonlabor!$I$23="InputM",'Monthly Growth'!D45*Assumptions!$E$22/1000000,IF(Nonlabor!$I$23="OutputM",'Monthly Growth'!D45*Assumptions!$E$23/1000000,0))))))))),0)</f>
        <v>5.78</v>
      </c>
      <c r="F3705" s="10" t="n">
        <f aca="false">Nonlabor!$J$23*(1+Assumptions!$E$9)^INT((C3705-1)/12)</f>
        <v>337.4592</v>
      </c>
      <c r="G3705" s="10" t="n">
        <f aca="false">E3705*F3705</f>
        <v>1950.514176</v>
      </c>
      <c r="H3705" s="10" t="n">
        <f aca="false">IF(OR(Nonlabor!$L$23="Quote required",Nonlabor!$L$23="Unverified"),G3705,0)</f>
        <v>0</v>
      </c>
      <c r="I3705" s="10" t="n">
        <f aca="false">IF(Nonlabor!$E$23="Core",0,G3705)</f>
        <v>0</v>
      </c>
      <c r="J3705" s="23" t="str">
        <f aca="false">Nonlabor!$B$23</f>
        <v>ONBOARD</v>
      </c>
    </row>
    <row r="3706" customFormat="false" ht="15" hidden="false" customHeight="false" outlineLevel="0" collapsed="false">
      <c r="A3706" s="6" t="s">
        <v>73</v>
      </c>
      <c r="B3706" s="6" t="s">
        <v>57</v>
      </c>
      <c r="C3706" s="6" t="n">
        <v>41</v>
      </c>
      <c r="D3706" s="25" t="n">
        <f aca="false">EDATE('Start Here'!$B$6,C3706-1)</f>
        <v>47543</v>
      </c>
      <c r="E3706" s="11" t="n">
        <f aca="false">IF(AND(OR(Nonlabor!$D$23="Both",Nonlabor!$D$23='Start Here'!$B$9),IF(Nonlabor!$E$23="Core",1,IF(Nonlabor!$E$23="AI",'Start Here'!$B$7,'Start Here'!$B$8))=1,C3706&gt;=IF(Nonlabor!$E$23="Core",Nonlabor!$F$23,MAX(Nonlabor!$F$23,IF(Nonlabor!$E$23="AI",Assumptions!$E$24,Assumptions!$E$25))),C3706&lt;=Nonlabor!$G$23,OR(Nonlabor!$H$23="Monthly",AND(Nonlabor!$H$23="Once",C3706=IF(Nonlabor!$E$23="Core",Nonlabor!$F$23,MAX(Nonlabor!$F$23,IF(Nonlabor!$E$23="AI",Assumptions!$E$24,Assumptions!$E$25)))),AND(Nonlabor!$H$23="Annual",MOD(C3706-IF(Nonlabor!$E$23="Core",Nonlabor!$F$23,MAX(Nonlabor!$F$23,IF(Nonlabor!$E$23="AI",Assumptions!$E$24,Assumptions!$E$25))),12)=0))),IF(Nonlabor!$I$23="Fixed",1,IF(Nonlabor!$I$23="Seats",ROUNDUP('Monthly Growth'!I46,0),IF(Nonlabor!$I$23="Customers",'Monthly Growth'!D46,IF(Nonlabor!$I$23="NewCustomers",'Monthly Growth'!C46,IF(Nonlabor!$I$23="StorageGB",'Monthly Growth'!G46,IF(Nonlabor!$I$23="LogGB",'Monthly Growth'!H46,IF(Nonlabor!$I$23="RequestsM",'Monthly Growth'!F46,IF(Nonlabor!$I$23="InputM",'Monthly Growth'!D46*Assumptions!$E$22/1000000,IF(Nonlabor!$I$23="OutputM",'Monthly Growth'!D46*Assumptions!$E$23/1000000,0))))))))),0)</f>
        <v>5.78</v>
      </c>
      <c r="F3706" s="10" t="n">
        <f aca="false">Nonlabor!$J$23*(1+Assumptions!$E$9)^INT((C3706-1)/12)</f>
        <v>337.4592</v>
      </c>
      <c r="G3706" s="10" t="n">
        <f aca="false">E3706*F3706</f>
        <v>1950.514176</v>
      </c>
      <c r="H3706" s="10" t="n">
        <f aca="false">IF(OR(Nonlabor!$L$23="Quote required",Nonlabor!$L$23="Unverified"),G3706,0)</f>
        <v>0</v>
      </c>
      <c r="I3706" s="10" t="n">
        <f aca="false">IF(Nonlabor!$E$23="Core",0,G3706)</f>
        <v>0</v>
      </c>
      <c r="J3706" s="23" t="str">
        <f aca="false">Nonlabor!$B$23</f>
        <v>ONBOARD</v>
      </c>
    </row>
    <row r="3707" customFormat="false" ht="15" hidden="false" customHeight="false" outlineLevel="0" collapsed="false">
      <c r="A3707" s="6" t="s">
        <v>73</v>
      </c>
      <c r="B3707" s="6" t="s">
        <v>57</v>
      </c>
      <c r="C3707" s="6" t="n">
        <v>42</v>
      </c>
      <c r="D3707" s="25" t="n">
        <f aca="false">EDATE('Start Here'!$B$6,C3707-1)</f>
        <v>47574</v>
      </c>
      <c r="E3707" s="11" t="n">
        <f aca="false">IF(AND(OR(Nonlabor!$D$23="Both",Nonlabor!$D$23='Start Here'!$B$9),IF(Nonlabor!$E$23="Core",1,IF(Nonlabor!$E$23="AI",'Start Here'!$B$7,'Start Here'!$B$8))=1,C3707&gt;=IF(Nonlabor!$E$23="Core",Nonlabor!$F$23,MAX(Nonlabor!$F$23,IF(Nonlabor!$E$23="AI",Assumptions!$E$24,Assumptions!$E$25))),C3707&lt;=Nonlabor!$G$23,OR(Nonlabor!$H$23="Monthly",AND(Nonlabor!$H$23="Once",C3707=IF(Nonlabor!$E$23="Core",Nonlabor!$F$23,MAX(Nonlabor!$F$23,IF(Nonlabor!$E$23="AI",Assumptions!$E$24,Assumptions!$E$25)))),AND(Nonlabor!$H$23="Annual",MOD(C3707-IF(Nonlabor!$E$23="Core",Nonlabor!$F$23,MAX(Nonlabor!$F$23,IF(Nonlabor!$E$23="AI",Assumptions!$E$24,Assumptions!$E$25))),12)=0))),IF(Nonlabor!$I$23="Fixed",1,IF(Nonlabor!$I$23="Seats",ROUNDUP('Monthly Growth'!I47,0),IF(Nonlabor!$I$23="Customers",'Monthly Growth'!D47,IF(Nonlabor!$I$23="NewCustomers",'Monthly Growth'!C47,IF(Nonlabor!$I$23="StorageGB",'Monthly Growth'!G47,IF(Nonlabor!$I$23="LogGB",'Monthly Growth'!H47,IF(Nonlabor!$I$23="RequestsM",'Monthly Growth'!F47,IF(Nonlabor!$I$23="InputM",'Monthly Growth'!D47*Assumptions!$E$22/1000000,IF(Nonlabor!$I$23="OutputM",'Monthly Growth'!D47*Assumptions!$E$23/1000000,0))))))))),0)</f>
        <v>5.78</v>
      </c>
      <c r="F3707" s="10" t="n">
        <f aca="false">Nonlabor!$J$23*(1+Assumptions!$E$9)^INT((C3707-1)/12)</f>
        <v>337.4592</v>
      </c>
      <c r="G3707" s="10" t="n">
        <f aca="false">E3707*F3707</f>
        <v>1950.514176</v>
      </c>
      <c r="H3707" s="10" t="n">
        <f aca="false">IF(OR(Nonlabor!$L$23="Quote required",Nonlabor!$L$23="Unverified"),G3707,0)</f>
        <v>0</v>
      </c>
      <c r="I3707" s="10" t="n">
        <f aca="false">IF(Nonlabor!$E$23="Core",0,G3707)</f>
        <v>0</v>
      </c>
      <c r="J3707" s="23" t="str">
        <f aca="false">Nonlabor!$B$23</f>
        <v>ONBOARD</v>
      </c>
    </row>
    <row r="3708" customFormat="false" ht="15" hidden="false" customHeight="false" outlineLevel="0" collapsed="false">
      <c r="A3708" s="6" t="s">
        <v>73</v>
      </c>
      <c r="B3708" s="6" t="s">
        <v>57</v>
      </c>
      <c r="C3708" s="6" t="n">
        <v>43</v>
      </c>
      <c r="D3708" s="25" t="n">
        <f aca="false">EDATE('Start Here'!$B$6,C3708-1)</f>
        <v>47604</v>
      </c>
      <c r="E3708" s="11" t="n">
        <f aca="false">IF(AND(OR(Nonlabor!$D$23="Both",Nonlabor!$D$23='Start Here'!$B$9),IF(Nonlabor!$E$23="Core",1,IF(Nonlabor!$E$23="AI",'Start Here'!$B$7,'Start Here'!$B$8))=1,C3708&gt;=IF(Nonlabor!$E$23="Core",Nonlabor!$F$23,MAX(Nonlabor!$F$23,IF(Nonlabor!$E$23="AI",Assumptions!$E$24,Assumptions!$E$25))),C3708&lt;=Nonlabor!$G$23,OR(Nonlabor!$H$23="Monthly",AND(Nonlabor!$H$23="Once",C3708=IF(Nonlabor!$E$23="Core",Nonlabor!$F$23,MAX(Nonlabor!$F$23,IF(Nonlabor!$E$23="AI",Assumptions!$E$24,Assumptions!$E$25)))),AND(Nonlabor!$H$23="Annual",MOD(C3708-IF(Nonlabor!$E$23="Core",Nonlabor!$F$23,MAX(Nonlabor!$F$23,IF(Nonlabor!$E$23="AI",Assumptions!$E$24,Assumptions!$E$25))),12)=0))),IF(Nonlabor!$I$23="Fixed",1,IF(Nonlabor!$I$23="Seats",ROUNDUP('Monthly Growth'!I48,0),IF(Nonlabor!$I$23="Customers",'Monthly Growth'!D48,IF(Nonlabor!$I$23="NewCustomers",'Monthly Growth'!C48,IF(Nonlabor!$I$23="StorageGB",'Monthly Growth'!G48,IF(Nonlabor!$I$23="LogGB",'Monthly Growth'!H48,IF(Nonlabor!$I$23="RequestsM",'Monthly Growth'!F48,IF(Nonlabor!$I$23="InputM",'Monthly Growth'!D48*Assumptions!$E$22/1000000,IF(Nonlabor!$I$23="OutputM",'Monthly Growth'!D48*Assumptions!$E$23/1000000,0))))))))),0)</f>
        <v>5.78</v>
      </c>
      <c r="F3708" s="10" t="n">
        <f aca="false">Nonlabor!$J$23*(1+Assumptions!$E$9)^INT((C3708-1)/12)</f>
        <v>337.4592</v>
      </c>
      <c r="G3708" s="10" t="n">
        <f aca="false">E3708*F3708</f>
        <v>1950.514176</v>
      </c>
      <c r="H3708" s="10" t="n">
        <f aca="false">IF(OR(Nonlabor!$L$23="Quote required",Nonlabor!$L$23="Unverified"),G3708,0)</f>
        <v>0</v>
      </c>
      <c r="I3708" s="10" t="n">
        <f aca="false">IF(Nonlabor!$E$23="Core",0,G3708)</f>
        <v>0</v>
      </c>
      <c r="J3708" s="23" t="str">
        <f aca="false">Nonlabor!$B$23</f>
        <v>ONBOARD</v>
      </c>
    </row>
    <row r="3709" customFormat="false" ht="15" hidden="false" customHeight="false" outlineLevel="0" collapsed="false">
      <c r="A3709" s="6" t="s">
        <v>73</v>
      </c>
      <c r="B3709" s="6" t="s">
        <v>57</v>
      </c>
      <c r="C3709" s="6" t="n">
        <v>44</v>
      </c>
      <c r="D3709" s="25" t="n">
        <f aca="false">EDATE('Start Here'!$B$6,C3709-1)</f>
        <v>47635</v>
      </c>
      <c r="E3709" s="11" t="n">
        <f aca="false">IF(AND(OR(Nonlabor!$D$23="Both",Nonlabor!$D$23='Start Here'!$B$9),IF(Nonlabor!$E$23="Core",1,IF(Nonlabor!$E$23="AI",'Start Here'!$B$7,'Start Here'!$B$8))=1,C3709&gt;=IF(Nonlabor!$E$23="Core",Nonlabor!$F$23,MAX(Nonlabor!$F$23,IF(Nonlabor!$E$23="AI",Assumptions!$E$24,Assumptions!$E$25))),C3709&lt;=Nonlabor!$G$23,OR(Nonlabor!$H$23="Monthly",AND(Nonlabor!$H$23="Once",C3709=IF(Nonlabor!$E$23="Core",Nonlabor!$F$23,MAX(Nonlabor!$F$23,IF(Nonlabor!$E$23="AI",Assumptions!$E$24,Assumptions!$E$25)))),AND(Nonlabor!$H$23="Annual",MOD(C3709-IF(Nonlabor!$E$23="Core",Nonlabor!$F$23,MAX(Nonlabor!$F$23,IF(Nonlabor!$E$23="AI",Assumptions!$E$24,Assumptions!$E$25))),12)=0))),IF(Nonlabor!$I$23="Fixed",1,IF(Nonlabor!$I$23="Seats",ROUNDUP('Monthly Growth'!I49,0),IF(Nonlabor!$I$23="Customers",'Monthly Growth'!D49,IF(Nonlabor!$I$23="NewCustomers",'Monthly Growth'!C49,IF(Nonlabor!$I$23="StorageGB",'Monthly Growth'!G49,IF(Nonlabor!$I$23="LogGB",'Monthly Growth'!H49,IF(Nonlabor!$I$23="RequestsM",'Monthly Growth'!F49,IF(Nonlabor!$I$23="InputM",'Monthly Growth'!D49*Assumptions!$E$22/1000000,IF(Nonlabor!$I$23="OutputM",'Monthly Growth'!D49*Assumptions!$E$23/1000000,0))))))))),0)</f>
        <v>5.78</v>
      </c>
      <c r="F3709" s="10" t="n">
        <f aca="false">Nonlabor!$J$23*(1+Assumptions!$E$9)^INT((C3709-1)/12)</f>
        <v>337.4592</v>
      </c>
      <c r="G3709" s="10" t="n">
        <f aca="false">E3709*F3709</f>
        <v>1950.514176</v>
      </c>
      <c r="H3709" s="10" t="n">
        <f aca="false">IF(OR(Nonlabor!$L$23="Quote required",Nonlabor!$L$23="Unverified"),G3709,0)</f>
        <v>0</v>
      </c>
      <c r="I3709" s="10" t="n">
        <f aca="false">IF(Nonlabor!$E$23="Core",0,G3709)</f>
        <v>0</v>
      </c>
      <c r="J3709" s="23" t="str">
        <f aca="false">Nonlabor!$B$23</f>
        <v>ONBOARD</v>
      </c>
    </row>
    <row r="3710" customFormat="false" ht="15" hidden="false" customHeight="false" outlineLevel="0" collapsed="false">
      <c r="A3710" s="6" t="s">
        <v>73</v>
      </c>
      <c r="B3710" s="6" t="s">
        <v>57</v>
      </c>
      <c r="C3710" s="6" t="n">
        <v>45</v>
      </c>
      <c r="D3710" s="25" t="n">
        <f aca="false">EDATE('Start Here'!$B$6,C3710-1)</f>
        <v>47665</v>
      </c>
      <c r="E3710" s="11" t="n">
        <f aca="false">IF(AND(OR(Nonlabor!$D$23="Both",Nonlabor!$D$23='Start Here'!$B$9),IF(Nonlabor!$E$23="Core",1,IF(Nonlabor!$E$23="AI",'Start Here'!$B$7,'Start Here'!$B$8))=1,C3710&gt;=IF(Nonlabor!$E$23="Core",Nonlabor!$F$23,MAX(Nonlabor!$F$23,IF(Nonlabor!$E$23="AI",Assumptions!$E$24,Assumptions!$E$25))),C3710&lt;=Nonlabor!$G$23,OR(Nonlabor!$H$23="Monthly",AND(Nonlabor!$H$23="Once",C3710=IF(Nonlabor!$E$23="Core",Nonlabor!$F$23,MAX(Nonlabor!$F$23,IF(Nonlabor!$E$23="AI",Assumptions!$E$24,Assumptions!$E$25)))),AND(Nonlabor!$H$23="Annual",MOD(C3710-IF(Nonlabor!$E$23="Core",Nonlabor!$F$23,MAX(Nonlabor!$F$23,IF(Nonlabor!$E$23="AI",Assumptions!$E$24,Assumptions!$E$25))),12)=0))),IF(Nonlabor!$I$23="Fixed",1,IF(Nonlabor!$I$23="Seats",ROUNDUP('Monthly Growth'!I50,0),IF(Nonlabor!$I$23="Customers",'Monthly Growth'!D50,IF(Nonlabor!$I$23="NewCustomers",'Monthly Growth'!C50,IF(Nonlabor!$I$23="StorageGB",'Monthly Growth'!G50,IF(Nonlabor!$I$23="LogGB",'Monthly Growth'!H50,IF(Nonlabor!$I$23="RequestsM",'Monthly Growth'!F50,IF(Nonlabor!$I$23="InputM",'Monthly Growth'!D50*Assumptions!$E$22/1000000,IF(Nonlabor!$I$23="OutputM",'Monthly Growth'!D50*Assumptions!$E$23/1000000,0))))))))),0)</f>
        <v>5.78</v>
      </c>
      <c r="F3710" s="10" t="n">
        <f aca="false">Nonlabor!$J$23*(1+Assumptions!$E$9)^INT((C3710-1)/12)</f>
        <v>337.4592</v>
      </c>
      <c r="G3710" s="10" t="n">
        <f aca="false">E3710*F3710</f>
        <v>1950.514176</v>
      </c>
      <c r="H3710" s="10" t="n">
        <f aca="false">IF(OR(Nonlabor!$L$23="Quote required",Nonlabor!$L$23="Unverified"),G3710,0)</f>
        <v>0</v>
      </c>
      <c r="I3710" s="10" t="n">
        <f aca="false">IF(Nonlabor!$E$23="Core",0,G3710)</f>
        <v>0</v>
      </c>
      <c r="J3710" s="23" t="str">
        <f aca="false">Nonlabor!$B$23</f>
        <v>ONBOARD</v>
      </c>
    </row>
    <row r="3711" customFormat="false" ht="15" hidden="false" customHeight="false" outlineLevel="0" collapsed="false">
      <c r="A3711" s="6" t="s">
        <v>73</v>
      </c>
      <c r="B3711" s="6" t="s">
        <v>57</v>
      </c>
      <c r="C3711" s="6" t="n">
        <v>46</v>
      </c>
      <c r="D3711" s="25" t="n">
        <f aca="false">EDATE('Start Here'!$B$6,C3711-1)</f>
        <v>47696</v>
      </c>
      <c r="E3711" s="11" t="n">
        <f aca="false">IF(AND(OR(Nonlabor!$D$23="Both",Nonlabor!$D$23='Start Here'!$B$9),IF(Nonlabor!$E$23="Core",1,IF(Nonlabor!$E$23="AI",'Start Here'!$B$7,'Start Here'!$B$8))=1,C3711&gt;=IF(Nonlabor!$E$23="Core",Nonlabor!$F$23,MAX(Nonlabor!$F$23,IF(Nonlabor!$E$23="AI",Assumptions!$E$24,Assumptions!$E$25))),C3711&lt;=Nonlabor!$G$23,OR(Nonlabor!$H$23="Monthly",AND(Nonlabor!$H$23="Once",C3711=IF(Nonlabor!$E$23="Core",Nonlabor!$F$23,MAX(Nonlabor!$F$23,IF(Nonlabor!$E$23="AI",Assumptions!$E$24,Assumptions!$E$25)))),AND(Nonlabor!$H$23="Annual",MOD(C3711-IF(Nonlabor!$E$23="Core",Nonlabor!$F$23,MAX(Nonlabor!$F$23,IF(Nonlabor!$E$23="AI",Assumptions!$E$24,Assumptions!$E$25))),12)=0))),IF(Nonlabor!$I$23="Fixed",1,IF(Nonlabor!$I$23="Seats",ROUNDUP('Monthly Growth'!I51,0),IF(Nonlabor!$I$23="Customers",'Monthly Growth'!D51,IF(Nonlabor!$I$23="NewCustomers",'Monthly Growth'!C51,IF(Nonlabor!$I$23="StorageGB",'Monthly Growth'!G51,IF(Nonlabor!$I$23="LogGB",'Monthly Growth'!H51,IF(Nonlabor!$I$23="RequestsM",'Monthly Growth'!F51,IF(Nonlabor!$I$23="InputM",'Monthly Growth'!D51*Assumptions!$E$22/1000000,IF(Nonlabor!$I$23="OutputM",'Monthly Growth'!D51*Assumptions!$E$23/1000000,0))))))))),0)</f>
        <v>5.78</v>
      </c>
      <c r="F3711" s="10" t="n">
        <f aca="false">Nonlabor!$J$23*(1+Assumptions!$E$9)^INT((C3711-1)/12)</f>
        <v>337.4592</v>
      </c>
      <c r="G3711" s="10" t="n">
        <f aca="false">E3711*F3711</f>
        <v>1950.514176</v>
      </c>
      <c r="H3711" s="10" t="n">
        <f aca="false">IF(OR(Nonlabor!$L$23="Quote required",Nonlabor!$L$23="Unverified"),G3711,0)</f>
        <v>0</v>
      </c>
      <c r="I3711" s="10" t="n">
        <f aca="false">IF(Nonlabor!$E$23="Core",0,G3711)</f>
        <v>0</v>
      </c>
      <c r="J3711" s="23" t="str">
        <f aca="false">Nonlabor!$B$23</f>
        <v>ONBOARD</v>
      </c>
    </row>
    <row r="3712" customFormat="false" ht="15" hidden="false" customHeight="false" outlineLevel="0" collapsed="false">
      <c r="A3712" s="6" t="s">
        <v>73</v>
      </c>
      <c r="B3712" s="6" t="s">
        <v>57</v>
      </c>
      <c r="C3712" s="6" t="n">
        <v>47</v>
      </c>
      <c r="D3712" s="25" t="n">
        <f aca="false">EDATE('Start Here'!$B$6,C3712-1)</f>
        <v>47727</v>
      </c>
      <c r="E3712" s="11" t="n">
        <f aca="false">IF(AND(OR(Nonlabor!$D$23="Both",Nonlabor!$D$23='Start Here'!$B$9),IF(Nonlabor!$E$23="Core",1,IF(Nonlabor!$E$23="AI",'Start Here'!$B$7,'Start Here'!$B$8))=1,C3712&gt;=IF(Nonlabor!$E$23="Core",Nonlabor!$F$23,MAX(Nonlabor!$F$23,IF(Nonlabor!$E$23="AI",Assumptions!$E$24,Assumptions!$E$25))),C3712&lt;=Nonlabor!$G$23,OR(Nonlabor!$H$23="Monthly",AND(Nonlabor!$H$23="Once",C3712=IF(Nonlabor!$E$23="Core",Nonlabor!$F$23,MAX(Nonlabor!$F$23,IF(Nonlabor!$E$23="AI",Assumptions!$E$24,Assumptions!$E$25)))),AND(Nonlabor!$H$23="Annual",MOD(C3712-IF(Nonlabor!$E$23="Core",Nonlabor!$F$23,MAX(Nonlabor!$F$23,IF(Nonlabor!$E$23="AI",Assumptions!$E$24,Assumptions!$E$25))),12)=0))),IF(Nonlabor!$I$23="Fixed",1,IF(Nonlabor!$I$23="Seats",ROUNDUP('Monthly Growth'!I52,0),IF(Nonlabor!$I$23="Customers",'Monthly Growth'!D52,IF(Nonlabor!$I$23="NewCustomers",'Monthly Growth'!C52,IF(Nonlabor!$I$23="StorageGB",'Monthly Growth'!G52,IF(Nonlabor!$I$23="LogGB",'Monthly Growth'!H52,IF(Nonlabor!$I$23="RequestsM",'Monthly Growth'!F52,IF(Nonlabor!$I$23="InputM",'Monthly Growth'!D52*Assumptions!$E$22/1000000,IF(Nonlabor!$I$23="OutputM",'Monthly Growth'!D52*Assumptions!$E$23/1000000,0))))))))),0)</f>
        <v>5.78</v>
      </c>
      <c r="F3712" s="10" t="n">
        <f aca="false">Nonlabor!$J$23*(1+Assumptions!$E$9)^INT((C3712-1)/12)</f>
        <v>337.4592</v>
      </c>
      <c r="G3712" s="10" t="n">
        <f aca="false">E3712*F3712</f>
        <v>1950.514176</v>
      </c>
      <c r="H3712" s="10" t="n">
        <f aca="false">IF(OR(Nonlabor!$L$23="Quote required",Nonlabor!$L$23="Unverified"),G3712,0)</f>
        <v>0</v>
      </c>
      <c r="I3712" s="10" t="n">
        <f aca="false">IF(Nonlabor!$E$23="Core",0,G3712)</f>
        <v>0</v>
      </c>
      <c r="J3712" s="23" t="str">
        <f aca="false">Nonlabor!$B$23</f>
        <v>ONBOARD</v>
      </c>
    </row>
    <row r="3713" customFormat="false" ht="15" hidden="false" customHeight="false" outlineLevel="0" collapsed="false">
      <c r="A3713" s="6" t="s">
        <v>73</v>
      </c>
      <c r="B3713" s="6" t="s">
        <v>57</v>
      </c>
      <c r="C3713" s="6" t="n">
        <v>48</v>
      </c>
      <c r="D3713" s="25" t="n">
        <f aca="false">EDATE('Start Here'!$B$6,C3713-1)</f>
        <v>47757</v>
      </c>
      <c r="E3713" s="11" t="n">
        <f aca="false">IF(AND(OR(Nonlabor!$D$23="Both",Nonlabor!$D$23='Start Here'!$B$9),IF(Nonlabor!$E$23="Core",1,IF(Nonlabor!$E$23="AI",'Start Here'!$B$7,'Start Here'!$B$8))=1,C3713&gt;=IF(Nonlabor!$E$23="Core",Nonlabor!$F$23,MAX(Nonlabor!$F$23,IF(Nonlabor!$E$23="AI",Assumptions!$E$24,Assumptions!$E$25))),C3713&lt;=Nonlabor!$G$23,OR(Nonlabor!$H$23="Monthly",AND(Nonlabor!$H$23="Once",C3713=IF(Nonlabor!$E$23="Core",Nonlabor!$F$23,MAX(Nonlabor!$F$23,IF(Nonlabor!$E$23="AI",Assumptions!$E$24,Assumptions!$E$25)))),AND(Nonlabor!$H$23="Annual",MOD(C3713-IF(Nonlabor!$E$23="Core",Nonlabor!$F$23,MAX(Nonlabor!$F$23,IF(Nonlabor!$E$23="AI",Assumptions!$E$24,Assumptions!$E$25))),12)=0))),IF(Nonlabor!$I$23="Fixed",1,IF(Nonlabor!$I$23="Seats",ROUNDUP('Monthly Growth'!I53,0),IF(Nonlabor!$I$23="Customers",'Monthly Growth'!D53,IF(Nonlabor!$I$23="NewCustomers",'Monthly Growth'!C53,IF(Nonlabor!$I$23="StorageGB",'Monthly Growth'!G53,IF(Nonlabor!$I$23="LogGB",'Monthly Growth'!H53,IF(Nonlabor!$I$23="RequestsM",'Monthly Growth'!F53,IF(Nonlabor!$I$23="InputM",'Monthly Growth'!D53*Assumptions!$E$22/1000000,IF(Nonlabor!$I$23="OutputM",'Monthly Growth'!D53*Assumptions!$E$23/1000000,0))))))))),0)</f>
        <v>9.826</v>
      </c>
      <c r="F3713" s="10" t="n">
        <f aca="false">Nonlabor!$J$23*(1+Assumptions!$E$9)^INT((C3713-1)/12)</f>
        <v>337.4592</v>
      </c>
      <c r="G3713" s="10" t="n">
        <f aca="false">E3713*F3713</f>
        <v>3315.8740992</v>
      </c>
      <c r="H3713" s="10" t="n">
        <f aca="false">IF(OR(Nonlabor!$L$23="Quote required",Nonlabor!$L$23="Unverified"),G3713,0)</f>
        <v>0</v>
      </c>
      <c r="I3713" s="10" t="n">
        <f aca="false">IF(Nonlabor!$E$23="Core",0,G3713)</f>
        <v>0</v>
      </c>
      <c r="J3713" s="23" t="str">
        <f aca="false">Nonlabor!$B$23</f>
        <v>ONBOARD</v>
      </c>
    </row>
    <row r="3714" customFormat="false" ht="15" hidden="false" customHeight="false" outlineLevel="0" collapsed="false">
      <c r="A3714" s="6" t="s">
        <v>73</v>
      </c>
      <c r="B3714" s="6" t="s">
        <v>57</v>
      </c>
      <c r="C3714" s="6" t="n">
        <v>49</v>
      </c>
      <c r="D3714" s="25" t="n">
        <f aca="false">EDATE('Start Here'!$B$6,C3714-1)</f>
        <v>47788</v>
      </c>
      <c r="E3714" s="11" t="n">
        <f aca="false">IF(AND(OR(Nonlabor!$D$23="Both",Nonlabor!$D$23='Start Here'!$B$9),IF(Nonlabor!$E$23="Core",1,IF(Nonlabor!$E$23="AI",'Start Here'!$B$7,'Start Here'!$B$8))=1,C3714&gt;=IF(Nonlabor!$E$23="Core",Nonlabor!$F$23,MAX(Nonlabor!$F$23,IF(Nonlabor!$E$23="AI",Assumptions!$E$24,Assumptions!$E$25))),C3714&lt;=Nonlabor!$G$23,OR(Nonlabor!$H$23="Monthly",AND(Nonlabor!$H$23="Once",C3714=IF(Nonlabor!$E$23="Core",Nonlabor!$F$23,MAX(Nonlabor!$F$23,IF(Nonlabor!$E$23="AI",Assumptions!$E$24,Assumptions!$E$25)))),AND(Nonlabor!$H$23="Annual",MOD(C3714-IF(Nonlabor!$E$23="Core",Nonlabor!$F$23,MAX(Nonlabor!$F$23,IF(Nonlabor!$E$23="AI",Assumptions!$E$24,Assumptions!$E$25))),12)=0))),IF(Nonlabor!$I$23="Fixed",1,IF(Nonlabor!$I$23="Seats",ROUNDUP('Monthly Growth'!I54,0),IF(Nonlabor!$I$23="Customers",'Monthly Growth'!D54,IF(Nonlabor!$I$23="NewCustomers",'Monthly Growth'!C54,IF(Nonlabor!$I$23="StorageGB",'Monthly Growth'!G54,IF(Nonlabor!$I$23="LogGB",'Monthly Growth'!H54,IF(Nonlabor!$I$23="RequestsM",'Monthly Growth'!F54,IF(Nonlabor!$I$23="InputM",'Monthly Growth'!D54*Assumptions!$E$22/1000000,IF(Nonlabor!$I$23="OutputM",'Monthly Growth'!D54*Assumptions!$E$23/1000000,0))))))))),0)</f>
        <v>9.826</v>
      </c>
      <c r="F3714" s="10" t="n">
        <f aca="false">Nonlabor!$J$23*(1+Assumptions!$E$9)^INT((C3714-1)/12)</f>
        <v>350.957568</v>
      </c>
      <c r="G3714" s="10" t="n">
        <f aca="false">E3714*F3714</f>
        <v>3448.509063168</v>
      </c>
      <c r="H3714" s="10" t="n">
        <f aca="false">IF(OR(Nonlabor!$L$23="Quote required",Nonlabor!$L$23="Unverified"),G3714,0)</f>
        <v>0</v>
      </c>
      <c r="I3714" s="10" t="n">
        <f aca="false">IF(Nonlabor!$E$23="Core",0,G3714)</f>
        <v>0</v>
      </c>
      <c r="J3714" s="23" t="str">
        <f aca="false">Nonlabor!$B$23</f>
        <v>ONBOARD</v>
      </c>
    </row>
    <row r="3715" customFormat="false" ht="15" hidden="false" customHeight="false" outlineLevel="0" collapsed="false">
      <c r="A3715" s="6" t="s">
        <v>73</v>
      </c>
      <c r="B3715" s="6" t="s">
        <v>57</v>
      </c>
      <c r="C3715" s="6" t="n">
        <v>50</v>
      </c>
      <c r="D3715" s="25" t="n">
        <f aca="false">EDATE('Start Here'!$B$6,C3715-1)</f>
        <v>47818</v>
      </c>
      <c r="E3715" s="11" t="n">
        <f aca="false">IF(AND(OR(Nonlabor!$D$23="Both",Nonlabor!$D$23='Start Here'!$B$9),IF(Nonlabor!$E$23="Core",1,IF(Nonlabor!$E$23="AI",'Start Here'!$B$7,'Start Here'!$B$8))=1,C3715&gt;=IF(Nonlabor!$E$23="Core",Nonlabor!$F$23,MAX(Nonlabor!$F$23,IF(Nonlabor!$E$23="AI",Assumptions!$E$24,Assumptions!$E$25))),C3715&lt;=Nonlabor!$G$23,OR(Nonlabor!$H$23="Monthly",AND(Nonlabor!$H$23="Once",C3715=IF(Nonlabor!$E$23="Core",Nonlabor!$F$23,MAX(Nonlabor!$F$23,IF(Nonlabor!$E$23="AI",Assumptions!$E$24,Assumptions!$E$25)))),AND(Nonlabor!$H$23="Annual",MOD(C3715-IF(Nonlabor!$E$23="Core",Nonlabor!$F$23,MAX(Nonlabor!$F$23,IF(Nonlabor!$E$23="AI",Assumptions!$E$24,Assumptions!$E$25))),12)=0))),IF(Nonlabor!$I$23="Fixed",1,IF(Nonlabor!$I$23="Seats",ROUNDUP('Monthly Growth'!I55,0),IF(Nonlabor!$I$23="Customers",'Monthly Growth'!D55,IF(Nonlabor!$I$23="NewCustomers",'Monthly Growth'!C55,IF(Nonlabor!$I$23="StorageGB",'Monthly Growth'!G55,IF(Nonlabor!$I$23="LogGB",'Monthly Growth'!H55,IF(Nonlabor!$I$23="RequestsM",'Monthly Growth'!F55,IF(Nonlabor!$I$23="InputM",'Monthly Growth'!D55*Assumptions!$E$22/1000000,IF(Nonlabor!$I$23="OutputM",'Monthly Growth'!D55*Assumptions!$E$23/1000000,0))))))))),0)</f>
        <v>9.826</v>
      </c>
      <c r="F3715" s="10" t="n">
        <f aca="false">Nonlabor!$J$23*(1+Assumptions!$E$9)^INT((C3715-1)/12)</f>
        <v>350.957568</v>
      </c>
      <c r="G3715" s="10" t="n">
        <f aca="false">E3715*F3715</f>
        <v>3448.509063168</v>
      </c>
      <c r="H3715" s="10" t="n">
        <f aca="false">IF(OR(Nonlabor!$L$23="Quote required",Nonlabor!$L$23="Unverified"),G3715,0)</f>
        <v>0</v>
      </c>
      <c r="I3715" s="10" t="n">
        <f aca="false">IF(Nonlabor!$E$23="Core",0,G3715)</f>
        <v>0</v>
      </c>
      <c r="J3715" s="23" t="str">
        <f aca="false">Nonlabor!$B$23</f>
        <v>ONBOARD</v>
      </c>
    </row>
    <row r="3716" customFormat="false" ht="15" hidden="false" customHeight="false" outlineLevel="0" collapsed="false">
      <c r="A3716" s="6" t="s">
        <v>73</v>
      </c>
      <c r="B3716" s="6" t="s">
        <v>57</v>
      </c>
      <c r="C3716" s="6" t="n">
        <v>51</v>
      </c>
      <c r="D3716" s="25" t="n">
        <f aca="false">EDATE('Start Here'!$B$6,C3716-1)</f>
        <v>47849</v>
      </c>
      <c r="E3716" s="11" t="n">
        <f aca="false">IF(AND(OR(Nonlabor!$D$23="Both",Nonlabor!$D$23='Start Here'!$B$9),IF(Nonlabor!$E$23="Core",1,IF(Nonlabor!$E$23="AI",'Start Here'!$B$7,'Start Here'!$B$8))=1,C3716&gt;=IF(Nonlabor!$E$23="Core",Nonlabor!$F$23,MAX(Nonlabor!$F$23,IF(Nonlabor!$E$23="AI",Assumptions!$E$24,Assumptions!$E$25))),C3716&lt;=Nonlabor!$G$23,OR(Nonlabor!$H$23="Monthly",AND(Nonlabor!$H$23="Once",C3716=IF(Nonlabor!$E$23="Core",Nonlabor!$F$23,MAX(Nonlabor!$F$23,IF(Nonlabor!$E$23="AI",Assumptions!$E$24,Assumptions!$E$25)))),AND(Nonlabor!$H$23="Annual",MOD(C3716-IF(Nonlabor!$E$23="Core",Nonlabor!$F$23,MAX(Nonlabor!$F$23,IF(Nonlabor!$E$23="AI",Assumptions!$E$24,Assumptions!$E$25))),12)=0))),IF(Nonlabor!$I$23="Fixed",1,IF(Nonlabor!$I$23="Seats",ROUNDUP('Monthly Growth'!I56,0),IF(Nonlabor!$I$23="Customers",'Monthly Growth'!D56,IF(Nonlabor!$I$23="NewCustomers",'Monthly Growth'!C56,IF(Nonlabor!$I$23="StorageGB",'Monthly Growth'!G56,IF(Nonlabor!$I$23="LogGB",'Monthly Growth'!H56,IF(Nonlabor!$I$23="RequestsM",'Monthly Growth'!F56,IF(Nonlabor!$I$23="InputM",'Monthly Growth'!D56*Assumptions!$E$22/1000000,IF(Nonlabor!$I$23="OutputM",'Monthly Growth'!D56*Assumptions!$E$23/1000000,0))))))))),0)</f>
        <v>9.826</v>
      </c>
      <c r="F3716" s="10" t="n">
        <f aca="false">Nonlabor!$J$23*(1+Assumptions!$E$9)^INT((C3716-1)/12)</f>
        <v>350.957568</v>
      </c>
      <c r="G3716" s="10" t="n">
        <f aca="false">E3716*F3716</f>
        <v>3448.509063168</v>
      </c>
      <c r="H3716" s="10" t="n">
        <f aca="false">IF(OR(Nonlabor!$L$23="Quote required",Nonlabor!$L$23="Unverified"),G3716,0)</f>
        <v>0</v>
      </c>
      <c r="I3716" s="10" t="n">
        <f aca="false">IF(Nonlabor!$E$23="Core",0,G3716)</f>
        <v>0</v>
      </c>
      <c r="J3716" s="23" t="str">
        <f aca="false">Nonlabor!$B$23</f>
        <v>ONBOARD</v>
      </c>
    </row>
    <row r="3717" customFormat="false" ht="15" hidden="false" customHeight="false" outlineLevel="0" collapsed="false">
      <c r="A3717" s="6" t="s">
        <v>73</v>
      </c>
      <c r="B3717" s="6" t="s">
        <v>57</v>
      </c>
      <c r="C3717" s="6" t="n">
        <v>52</v>
      </c>
      <c r="D3717" s="25" t="n">
        <f aca="false">EDATE('Start Here'!$B$6,C3717-1)</f>
        <v>47880</v>
      </c>
      <c r="E3717" s="11" t="n">
        <f aca="false">IF(AND(OR(Nonlabor!$D$23="Both",Nonlabor!$D$23='Start Here'!$B$9),IF(Nonlabor!$E$23="Core",1,IF(Nonlabor!$E$23="AI",'Start Here'!$B$7,'Start Here'!$B$8))=1,C3717&gt;=IF(Nonlabor!$E$23="Core",Nonlabor!$F$23,MAX(Nonlabor!$F$23,IF(Nonlabor!$E$23="AI",Assumptions!$E$24,Assumptions!$E$25))),C3717&lt;=Nonlabor!$G$23,OR(Nonlabor!$H$23="Monthly",AND(Nonlabor!$H$23="Once",C3717=IF(Nonlabor!$E$23="Core",Nonlabor!$F$23,MAX(Nonlabor!$F$23,IF(Nonlabor!$E$23="AI",Assumptions!$E$24,Assumptions!$E$25)))),AND(Nonlabor!$H$23="Annual",MOD(C3717-IF(Nonlabor!$E$23="Core",Nonlabor!$F$23,MAX(Nonlabor!$F$23,IF(Nonlabor!$E$23="AI",Assumptions!$E$24,Assumptions!$E$25))),12)=0))),IF(Nonlabor!$I$23="Fixed",1,IF(Nonlabor!$I$23="Seats",ROUNDUP('Monthly Growth'!I57,0),IF(Nonlabor!$I$23="Customers",'Monthly Growth'!D57,IF(Nonlabor!$I$23="NewCustomers",'Monthly Growth'!C57,IF(Nonlabor!$I$23="StorageGB",'Monthly Growth'!G57,IF(Nonlabor!$I$23="LogGB",'Monthly Growth'!H57,IF(Nonlabor!$I$23="RequestsM",'Monthly Growth'!F57,IF(Nonlabor!$I$23="InputM",'Monthly Growth'!D57*Assumptions!$E$22/1000000,IF(Nonlabor!$I$23="OutputM",'Monthly Growth'!D57*Assumptions!$E$23/1000000,0))))))))),0)</f>
        <v>9.826</v>
      </c>
      <c r="F3717" s="10" t="n">
        <f aca="false">Nonlabor!$J$23*(1+Assumptions!$E$9)^INT((C3717-1)/12)</f>
        <v>350.957568</v>
      </c>
      <c r="G3717" s="10" t="n">
        <f aca="false">E3717*F3717</f>
        <v>3448.509063168</v>
      </c>
      <c r="H3717" s="10" t="n">
        <f aca="false">IF(OR(Nonlabor!$L$23="Quote required",Nonlabor!$L$23="Unverified"),G3717,0)</f>
        <v>0</v>
      </c>
      <c r="I3717" s="10" t="n">
        <f aca="false">IF(Nonlabor!$E$23="Core",0,G3717)</f>
        <v>0</v>
      </c>
      <c r="J3717" s="23" t="str">
        <f aca="false">Nonlabor!$B$23</f>
        <v>ONBOARD</v>
      </c>
    </row>
    <row r="3718" customFormat="false" ht="15" hidden="false" customHeight="false" outlineLevel="0" collapsed="false">
      <c r="A3718" s="6" t="s">
        <v>73</v>
      </c>
      <c r="B3718" s="6" t="s">
        <v>57</v>
      </c>
      <c r="C3718" s="6" t="n">
        <v>53</v>
      </c>
      <c r="D3718" s="25" t="n">
        <f aca="false">EDATE('Start Here'!$B$6,C3718-1)</f>
        <v>47908</v>
      </c>
      <c r="E3718" s="11" t="n">
        <f aca="false">IF(AND(OR(Nonlabor!$D$23="Both",Nonlabor!$D$23='Start Here'!$B$9),IF(Nonlabor!$E$23="Core",1,IF(Nonlabor!$E$23="AI",'Start Here'!$B$7,'Start Here'!$B$8))=1,C3718&gt;=IF(Nonlabor!$E$23="Core",Nonlabor!$F$23,MAX(Nonlabor!$F$23,IF(Nonlabor!$E$23="AI",Assumptions!$E$24,Assumptions!$E$25))),C3718&lt;=Nonlabor!$G$23,OR(Nonlabor!$H$23="Monthly",AND(Nonlabor!$H$23="Once",C3718=IF(Nonlabor!$E$23="Core",Nonlabor!$F$23,MAX(Nonlabor!$F$23,IF(Nonlabor!$E$23="AI",Assumptions!$E$24,Assumptions!$E$25)))),AND(Nonlabor!$H$23="Annual",MOD(C3718-IF(Nonlabor!$E$23="Core",Nonlabor!$F$23,MAX(Nonlabor!$F$23,IF(Nonlabor!$E$23="AI",Assumptions!$E$24,Assumptions!$E$25))),12)=0))),IF(Nonlabor!$I$23="Fixed",1,IF(Nonlabor!$I$23="Seats",ROUNDUP('Monthly Growth'!I58,0),IF(Nonlabor!$I$23="Customers",'Monthly Growth'!D58,IF(Nonlabor!$I$23="NewCustomers",'Monthly Growth'!C58,IF(Nonlabor!$I$23="StorageGB",'Monthly Growth'!G58,IF(Nonlabor!$I$23="LogGB",'Monthly Growth'!H58,IF(Nonlabor!$I$23="RequestsM",'Monthly Growth'!F58,IF(Nonlabor!$I$23="InputM",'Monthly Growth'!D58*Assumptions!$E$22/1000000,IF(Nonlabor!$I$23="OutputM",'Monthly Growth'!D58*Assumptions!$E$23/1000000,0))))))))),0)</f>
        <v>9.826</v>
      </c>
      <c r="F3718" s="10" t="n">
        <f aca="false">Nonlabor!$J$23*(1+Assumptions!$E$9)^INT((C3718-1)/12)</f>
        <v>350.957568</v>
      </c>
      <c r="G3718" s="10" t="n">
        <f aca="false">E3718*F3718</f>
        <v>3448.509063168</v>
      </c>
      <c r="H3718" s="10" t="n">
        <f aca="false">IF(OR(Nonlabor!$L$23="Quote required",Nonlabor!$L$23="Unverified"),G3718,0)</f>
        <v>0</v>
      </c>
      <c r="I3718" s="10" t="n">
        <f aca="false">IF(Nonlabor!$E$23="Core",0,G3718)</f>
        <v>0</v>
      </c>
      <c r="J3718" s="23" t="str">
        <f aca="false">Nonlabor!$B$23</f>
        <v>ONBOARD</v>
      </c>
    </row>
    <row r="3719" customFormat="false" ht="15" hidden="false" customHeight="false" outlineLevel="0" collapsed="false">
      <c r="A3719" s="6" t="s">
        <v>73</v>
      </c>
      <c r="B3719" s="6" t="s">
        <v>57</v>
      </c>
      <c r="C3719" s="6" t="n">
        <v>54</v>
      </c>
      <c r="D3719" s="25" t="n">
        <f aca="false">EDATE('Start Here'!$B$6,C3719-1)</f>
        <v>47939</v>
      </c>
      <c r="E3719" s="11" t="n">
        <f aca="false">IF(AND(OR(Nonlabor!$D$23="Both",Nonlabor!$D$23='Start Here'!$B$9),IF(Nonlabor!$E$23="Core",1,IF(Nonlabor!$E$23="AI",'Start Here'!$B$7,'Start Here'!$B$8))=1,C3719&gt;=IF(Nonlabor!$E$23="Core",Nonlabor!$F$23,MAX(Nonlabor!$F$23,IF(Nonlabor!$E$23="AI",Assumptions!$E$24,Assumptions!$E$25))),C3719&lt;=Nonlabor!$G$23,OR(Nonlabor!$H$23="Monthly",AND(Nonlabor!$H$23="Once",C3719=IF(Nonlabor!$E$23="Core",Nonlabor!$F$23,MAX(Nonlabor!$F$23,IF(Nonlabor!$E$23="AI",Assumptions!$E$24,Assumptions!$E$25)))),AND(Nonlabor!$H$23="Annual",MOD(C3719-IF(Nonlabor!$E$23="Core",Nonlabor!$F$23,MAX(Nonlabor!$F$23,IF(Nonlabor!$E$23="AI",Assumptions!$E$24,Assumptions!$E$25))),12)=0))),IF(Nonlabor!$I$23="Fixed",1,IF(Nonlabor!$I$23="Seats",ROUNDUP('Monthly Growth'!I59,0),IF(Nonlabor!$I$23="Customers",'Monthly Growth'!D59,IF(Nonlabor!$I$23="NewCustomers",'Monthly Growth'!C59,IF(Nonlabor!$I$23="StorageGB",'Monthly Growth'!G59,IF(Nonlabor!$I$23="LogGB",'Monthly Growth'!H59,IF(Nonlabor!$I$23="RequestsM",'Monthly Growth'!F59,IF(Nonlabor!$I$23="InputM",'Monthly Growth'!D59*Assumptions!$E$22/1000000,IF(Nonlabor!$I$23="OutputM",'Monthly Growth'!D59*Assumptions!$E$23/1000000,0))))))))),0)</f>
        <v>9.826</v>
      </c>
      <c r="F3719" s="10" t="n">
        <f aca="false">Nonlabor!$J$23*(1+Assumptions!$E$9)^INT((C3719-1)/12)</f>
        <v>350.957568</v>
      </c>
      <c r="G3719" s="10" t="n">
        <f aca="false">E3719*F3719</f>
        <v>3448.509063168</v>
      </c>
      <c r="H3719" s="10" t="n">
        <f aca="false">IF(OR(Nonlabor!$L$23="Quote required",Nonlabor!$L$23="Unverified"),G3719,0)</f>
        <v>0</v>
      </c>
      <c r="I3719" s="10" t="n">
        <f aca="false">IF(Nonlabor!$E$23="Core",0,G3719)</f>
        <v>0</v>
      </c>
      <c r="J3719" s="23" t="str">
        <f aca="false">Nonlabor!$B$23</f>
        <v>ONBOARD</v>
      </c>
    </row>
    <row r="3720" customFormat="false" ht="15" hidden="false" customHeight="false" outlineLevel="0" collapsed="false">
      <c r="A3720" s="6" t="s">
        <v>73</v>
      </c>
      <c r="B3720" s="6" t="s">
        <v>57</v>
      </c>
      <c r="C3720" s="6" t="n">
        <v>55</v>
      </c>
      <c r="D3720" s="25" t="n">
        <f aca="false">EDATE('Start Here'!$B$6,C3720-1)</f>
        <v>47969</v>
      </c>
      <c r="E3720" s="11" t="n">
        <f aca="false">IF(AND(OR(Nonlabor!$D$23="Both",Nonlabor!$D$23='Start Here'!$B$9),IF(Nonlabor!$E$23="Core",1,IF(Nonlabor!$E$23="AI",'Start Here'!$B$7,'Start Here'!$B$8))=1,C3720&gt;=IF(Nonlabor!$E$23="Core",Nonlabor!$F$23,MAX(Nonlabor!$F$23,IF(Nonlabor!$E$23="AI",Assumptions!$E$24,Assumptions!$E$25))),C3720&lt;=Nonlabor!$G$23,OR(Nonlabor!$H$23="Monthly",AND(Nonlabor!$H$23="Once",C3720=IF(Nonlabor!$E$23="Core",Nonlabor!$F$23,MAX(Nonlabor!$F$23,IF(Nonlabor!$E$23="AI",Assumptions!$E$24,Assumptions!$E$25)))),AND(Nonlabor!$H$23="Annual",MOD(C3720-IF(Nonlabor!$E$23="Core",Nonlabor!$F$23,MAX(Nonlabor!$F$23,IF(Nonlabor!$E$23="AI",Assumptions!$E$24,Assumptions!$E$25))),12)=0))),IF(Nonlabor!$I$23="Fixed",1,IF(Nonlabor!$I$23="Seats",ROUNDUP('Monthly Growth'!I60,0),IF(Nonlabor!$I$23="Customers",'Monthly Growth'!D60,IF(Nonlabor!$I$23="NewCustomers",'Monthly Growth'!C60,IF(Nonlabor!$I$23="StorageGB",'Monthly Growth'!G60,IF(Nonlabor!$I$23="LogGB",'Monthly Growth'!H60,IF(Nonlabor!$I$23="RequestsM",'Monthly Growth'!F60,IF(Nonlabor!$I$23="InputM",'Monthly Growth'!D60*Assumptions!$E$22/1000000,IF(Nonlabor!$I$23="OutputM",'Monthly Growth'!D60*Assumptions!$E$23/1000000,0))))))))),0)</f>
        <v>9.826</v>
      </c>
      <c r="F3720" s="10" t="n">
        <f aca="false">Nonlabor!$J$23*(1+Assumptions!$E$9)^INT((C3720-1)/12)</f>
        <v>350.957568</v>
      </c>
      <c r="G3720" s="10" t="n">
        <f aca="false">E3720*F3720</f>
        <v>3448.509063168</v>
      </c>
      <c r="H3720" s="10" t="n">
        <f aca="false">IF(OR(Nonlabor!$L$23="Quote required",Nonlabor!$L$23="Unverified"),G3720,0)</f>
        <v>0</v>
      </c>
      <c r="I3720" s="10" t="n">
        <f aca="false">IF(Nonlabor!$E$23="Core",0,G3720)</f>
        <v>0</v>
      </c>
      <c r="J3720" s="23" t="str">
        <f aca="false">Nonlabor!$B$23</f>
        <v>ONBOARD</v>
      </c>
    </row>
    <row r="3721" customFormat="false" ht="15" hidden="false" customHeight="false" outlineLevel="0" collapsed="false">
      <c r="A3721" s="6" t="s">
        <v>73</v>
      </c>
      <c r="B3721" s="6" t="s">
        <v>57</v>
      </c>
      <c r="C3721" s="6" t="n">
        <v>56</v>
      </c>
      <c r="D3721" s="25" t="n">
        <f aca="false">EDATE('Start Here'!$B$6,C3721-1)</f>
        <v>48000</v>
      </c>
      <c r="E3721" s="11" t="n">
        <f aca="false">IF(AND(OR(Nonlabor!$D$23="Both",Nonlabor!$D$23='Start Here'!$B$9),IF(Nonlabor!$E$23="Core",1,IF(Nonlabor!$E$23="AI",'Start Here'!$B$7,'Start Here'!$B$8))=1,C3721&gt;=IF(Nonlabor!$E$23="Core",Nonlabor!$F$23,MAX(Nonlabor!$F$23,IF(Nonlabor!$E$23="AI",Assumptions!$E$24,Assumptions!$E$25))),C3721&lt;=Nonlabor!$G$23,OR(Nonlabor!$H$23="Monthly",AND(Nonlabor!$H$23="Once",C3721=IF(Nonlabor!$E$23="Core",Nonlabor!$F$23,MAX(Nonlabor!$F$23,IF(Nonlabor!$E$23="AI",Assumptions!$E$24,Assumptions!$E$25)))),AND(Nonlabor!$H$23="Annual",MOD(C3721-IF(Nonlabor!$E$23="Core",Nonlabor!$F$23,MAX(Nonlabor!$F$23,IF(Nonlabor!$E$23="AI",Assumptions!$E$24,Assumptions!$E$25))),12)=0))),IF(Nonlabor!$I$23="Fixed",1,IF(Nonlabor!$I$23="Seats",ROUNDUP('Monthly Growth'!I61,0),IF(Nonlabor!$I$23="Customers",'Monthly Growth'!D61,IF(Nonlabor!$I$23="NewCustomers",'Monthly Growth'!C61,IF(Nonlabor!$I$23="StorageGB",'Monthly Growth'!G61,IF(Nonlabor!$I$23="LogGB",'Monthly Growth'!H61,IF(Nonlabor!$I$23="RequestsM",'Monthly Growth'!F61,IF(Nonlabor!$I$23="InputM",'Monthly Growth'!D61*Assumptions!$E$22/1000000,IF(Nonlabor!$I$23="OutputM",'Monthly Growth'!D61*Assumptions!$E$23/1000000,0))))))))),0)</f>
        <v>9.826</v>
      </c>
      <c r="F3721" s="10" t="n">
        <f aca="false">Nonlabor!$J$23*(1+Assumptions!$E$9)^INT((C3721-1)/12)</f>
        <v>350.957568</v>
      </c>
      <c r="G3721" s="10" t="n">
        <f aca="false">E3721*F3721</f>
        <v>3448.509063168</v>
      </c>
      <c r="H3721" s="10" t="n">
        <f aca="false">IF(OR(Nonlabor!$L$23="Quote required",Nonlabor!$L$23="Unverified"),G3721,0)</f>
        <v>0</v>
      </c>
      <c r="I3721" s="10" t="n">
        <f aca="false">IF(Nonlabor!$E$23="Core",0,G3721)</f>
        <v>0</v>
      </c>
      <c r="J3721" s="23" t="str">
        <f aca="false">Nonlabor!$B$23</f>
        <v>ONBOARD</v>
      </c>
    </row>
    <row r="3722" customFormat="false" ht="15" hidden="false" customHeight="false" outlineLevel="0" collapsed="false">
      <c r="A3722" s="6" t="s">
        <v>73</v>
      </c>
      <c r="B3722" s="6" t="s">
        <v>57</v>
      </c>
      <c r="C3722" s="6" t="n">
        <v>57</v>
      </c>
      <c r="D3722" s="25" t="n">
        <f aca="false">EDATE('Start Here'!$B$6,C3722-1)</f>
        <v>48030</v>
      </c>
      <c r="E3722" s="11" t="n">
        <f aca="false">IF(AND(OR(Nonlabor!$D$23="Both",Nonlabor!$D$23='Start Here'!$B$9),IF(Nonlabor!$E$23="Core",1,IF(Nonlabor!$E$23="AI",'Start Here'!$B$7,'Start Here'!$B$8))=1,C3722&gt;=IF(Nonlabor!$E$23="Core",Nonlabor!$F$23,MAX(Nonlabor!$F$23,IF(Nonlabor!$E$23="AI",Assumptions!$E$24,Assumptions!$E$25))),C3722&lt;=Nonlabor!$G$23,OR(Nonlabor!$H$23="Monthly",AND(Nonlabor!$H$23="Once",C3722=IF(Nonlabor!$E$23="Core",Nonlabor!$F$23,MAX(Nonlabor!$F$23,IF(Nonlabor!$E$23="AI",Assumptions!$E$24,Assumptions!$E$25)))),AND(Nonlabor!$H$23="Annual",MOD(C3722-IF(Nonlabor!$E$23="Core",Nonlabor!$F$23,MAX(Nonlabor!$F$23,IF(Nonlabor!$E$23="AI",Assumptions!$E$24,Assumptions!$E$25))),12)=0))),IF(Nonlabor!$I$23="Fixed",1,IF(Nonlabor!$I$23="Seats",ROUNDUP('Monthly Growth'!I62,0),IF(Nonlabor!$I$23="Customers",'Monthly Growth'!D62,IF(Nonlabor!$I$23="NewCustomers",'Monthly Growth'!C62,IF(Nonlabor!$I$23="StorageGB",'Monthly Growth'!G62,IF(Nonlabor!$I$23="LogGB",'Monthly Growth'!H62,IF(Nonlabor!$I$23="RequestsM",'Monthly Growth'!F62,IF(Nonlabor!$I$23="InputM",'Monthly Growth'!D62*Assumptions!$E$22/1000000,IF(Nonlabor!$I$23="OutputM",'Monthly Growth'!D62*Assumptions!$E$23/1000000,0))))))))),0)</f>
        <v>9.826</v>
      </c>
      <c r="F3722" s="10" t="n">
        <f aca="false">Nonlabor!$J$23*(1+Assumptions!$E$9)^INT((C3722-1)/12)</f>
        <v>350.957568</v>
      </c>
      <c r="G3722" s="10" t="n">
        <f aca="false">E3722*F3722</f>
        <v>3448.509063168</v>
      </c>
      <c r="H3722" s="10" t="n">
        <f aca="false">IF(OR(Nonlabor!$L$23="Quote required",Nonlabor!$L$23="Unverified"),G3722,0)</f>
        <v>0</v>
      </c>
      <c r="I3722" s="10" t="n">
        <f aca="false">IF(Nonlabor!$E$23="Core",0,G3722)</f>
        <v>0</v>
      </c>
      <c r="J3722" s="23" t="str">
        <f aca="false">Nonlabor!$B$23</f>
        <v>ONBOARD</v>
      </c>
    </row>
    <row r="3723" customFormat="false" ht="15" hidden="false" customHeight="false" outlineLevel="0" collapsed="false">
      <c r="A3723" s="6" t="s">
        <v>73</v>
      </c>
      <c r="B3723" s="6" t="s">
        <v>57</v>
      </c>
      <c r="C3723" s="6" t="n">
        <v>58</v>
      </c>
      <c r="D3723" s="25" t="n">
        <f aca="false">EDATE('Start Here'!$B$6,C3723-1)</f>
        <v>48061</v>
      </c>
      <c r="E3723" s="11" t="n">
        <f aca="false">IF(AND(OR(Nonlabor!$D$23="Both",Nonlabor!$D$23='Start Here'!$B$9),IF(Nonlabor!$E$23="Core",1,IF(Nonlabor!$E$23="AI",'Start Here'!$B$7,'Start Here'!$B$8))=1,C3723&gt;=IF(Nonlabor!$E$23="Core",Nonlabor!$F$23,MAX(Nonlabor!$F$23,IF(Nonlabor!$E$23="AI",Assumptions!$E$24,Assumptions!$E$25))),C3723&lt;=Nonlabor!$G$23,OR(Nonlabor!$H$23="Monthly",AND(Nonlabor!$H$23="Once",C3723=IF(Nonlabor!$E$23="Core",Nonlabor!$F$23,MAX(Nonlabor!$F$23,IF(Nonlabor!$E$23="AI",Assumptions!$E$24,Assumptions!$E$25)))),AND(Nonlabor!$H$23="Annual",MOD(C3723-IF(Nonlabor!$E$23="Core",Nonlabor!$F$23,MAX(Nonlabor!$F$23,IF(Nonlabor!$E$23="AI",Assumptions!$E$24,Assumptions!$E$25))),12)=0))),IF(Nonlabor!$I$23="Fixed",1,IF(Nonlabor!$I$23="Seats",ROUNDUP('Monthly Growth'!I63,0),IF(Nonlabor!$I$23="Customers",'Monthly Growth'!D63,IF(Nonlabor!$I$23="NewCustomers",'Monthly Growth'!C63,IF(Nonlabor!$I$23="StorageGB",'Monthly Growth'!G63,IF(Nonlabor!$I$23="LogGB",'Monthly Growth'!H63,IF(Nonlabor!$I$23="RequestsM",'Monthly Growth'!F63,IF(Nonlabor!$I$23="InputM",'Monthly Growth'!D63*Assumptions!$E$22/1000000,IF(Nonlabor!$I$23="OutputM",'Monthly Growth'!D63*Assumptions!$E$23/1000000,0))))))))),0)</f>
        <v>9.826</v>
      </c>
      <c r="F3723" s="10" t="n">
        <f aca="false">Nonlabor!$J$23*(1+Assumptions!$E$9)^INT((C3723-1)/12)</f>
        <v>350.957568</v>
      </c>
      <c r="G3723" s="10" t="n">
        <f aca="false">E3723*F3723</f>
        <v>3448.509063168</v>
      </c>
      <c r="H3723" s="10" t="n">
        <f aca="false">IF(OR(Nonlabor!$L$23="Quote required",Nonlabor!$L$23="Unverified"),G3723,0)</f>
        <v>0</v>
      </c>
      <c r="I3723" s="10" t="n">
        <f aca="false">IF(Nonlabor!$E$23="Core",0,G3723)</f>
        <v>0</v>
      </c>
      <c r="J3723" s="23" t="str">
        <f aca="false">Nonlabor!$B$23</f>
        <v>ONBOARD</v>
      </c>
    </row>
    <row r="3724" customFormat="false" ht="15" hidden="false" customHeight="false" outlineLevel="0" collapsed="false">
      <c r="A3724" s="6" t="s">
        <v>73</v>
      </c>
      <c r="B3724" s="6" t="s">
        <v>57</v>
      </c>
      <c r="C3724" s="6" t="n">
        <v>59</v>
      </c>
      <c r="D3724" s="25" t="n">
        <f aca="false">EDATE('Start Here'!$B$6,C3724-1)</f>
        <v>48092</v>
      </c>
      <c r="E3724" s="11" t="n">
        <f aca="false">IF(AND(OR(Nonlabor!$D$23="Both",Nonlabor!$D$23='Start Here'!$B$9),IF(Nonlabor!$E$23="Core",1,IF(Nonlabor!$E$23="AI",'Start Here'!$B$7,'Start Here'!$B$8))=1,C3724&gt;=IF(Nonlabor!$E$23="Core",Nonlabor!$F$23,MAX(Nonlabor!$F$23,IF(Nonlabor!$E$23="AI",Assumptions!$E$24,Assumptions!$E$25))),C3724&lt;=Nonlabor!$G$23,OR(Nonlabor!$H$23="Monthly",AND(Nonlabor!$H$23="Once",C3724=IF(Nonlabor!$E$23="Core",Nonlabor!$F$23,MAX(Nonlabor!$F$23,IF(Nonlabor!$E$23="AI",Assumptions!$E$24,Assumptions!$E$25)))),AND(Nonlabor!$H$23="Annual",MOD(C3724-IF(Nonlabor!$E$23="Core",Nonlabor!$F$23,MAX(Nonlabor!$F$23,IF(Nonlabor!$E$23="AI",Assumptions!$E$24,Assumptions!$E$25))),12)=0))),IF(Nonlabor!$I$23="Fixed",1,IF(Nonlabor!$I$23="Seats",ROUNDUP('Monthly Growth'!I64,0),IF(Nonlabor!$I$23="Customers",'Monthly Growth'!D64,IF(Nonlabor!$I$23="NewCustomers",'Monthly Growth'!C64,IF(Nonlabor!$I$23="StorageGB",'Monthly Growth'!G64,IF(Nonlabor!$I$23="LogGB",'Monthly Growth'!H64,IF(Nonlabor!$I$23="RequestsM",'Monthly Growth'!F64,IF(Nonlabor!$I$23="InputM",'Monthly Growth'!D64*Assumptions!$E$22/1000000,IF(Nonlabor!$I$23="OutputM",'Monthly Growth'!D64*Assumptions!$E$23/1000000,0))))))))),0)</f>
        <v>9.826</v>
      </c>
      <c r="F3724" s="10" t="n">
        <f aca="false">Nonlabor!$J$23*(1+Assumptions!$E$9)^INT((C3724-1)/12)</f>
        <v>350.957568</v>
      </c>
      <c r="G3724" s="10" t="n">
        <f aca="false">E3724*F3724</f>
        <v>3448.509063168</v>
      </c>
      <c r="H3724" s="10" t="n">
        <f aca="false">IF(OR(Nonlabor!$L$23="Quote required",Nonlabor!$L$23="Unverified"),G3724,0)</f>
        <v>0</v>
      </c>
      <c r="I3724" s="10" t="n">
        <f aca="false">IF(Nonlabor!$E$23="Core",0,G3724)</f>
        <v>0</v>
      </c>
      <c r="J3724" s="23" t="str">
        <f aca="false">Nonlabor!$B$23</f>
        <v>ONBOARD</v>
      </c>
    </row>
    <row r="3725" customFormat="false" ht="15" hidden="false" customHeight="false" outlineLevel="0" collapsed="false">
      <c r="A3725" s="6" t="s">
        <v>73</v>
      </c>
      <c r="B3725" s="6" t="s">
        <v>57</v>
      </c>
      <c r="C3725" s="6" t="n">
        <v>60</v>
      </c>
      <c r="D3725" s="25" t="n">
        <f aca="false">EDATE('Start Here'!$B$6,C3725-1)</f>
        <v>48122</v>
      </c>
      <c r="E3725" s="11" t="n">
        <f aca="false">IF(AND(OR(Nonlabor!$D$23="Both",Nonlabor!$D$23='Start Here'!$B$9),IF(Nonlabor!$E$23="Core",1,IF(Nonlabor!$E$23="AI",'Start Here'!$B$7,'Start Here'!$B$8))=1,C3725&gt;=IF(Nonlabor!$E$23="Core",Nonlabor!$F$23,MAX(Nonlabor!$F$23,IF(Nonlabor!$E$23="AI",Assumptions!$E$24,Assumptions!$E$25))),C3725&lt;=Nonlabor!$G$23,OR(Nonlabor!$H$23="Monthly",AND(Nonlabor!$H$23="Once",C3725=IF(Nonlabor!$E$23="Core",Nonlabor!$F$23,MAX(Nonlabor!$F$23,IF(Nonlabor!$E$23="AI",Assumptions!$E$24,Assumptions!$E$25)))),AND(Nonlabor!$H$23="Annual",MOD(C3725-IF(Nonlabor!$E$23="Core",Nonlabor!$F$23,MAX(Nonlabor!$F$23,IF(Nonlabor!$E$23="AI",Assumptions!$E$24,Assumptions!$E$25))),12)=0))),IF(Nonlabor!$I$23="Fixed",1,IF(Nonlabor!$I$23="Seats",ROUNDUP('Monthly Growth'!I65,0),IF(Nonlabor!$I$23="Customers",'Monthly Growth'!D65,IF(Nonlabor!$I$23="NewCustomers",'Monthly Growth'!C65,IF(Nonlabor!$I$23="StorageGB",'Monthly Growth'!G65,IF(Nonlabor!$I$23="LogGB",'Monthly Growth'!H65,IF(Nonlabor!$I$23="RequestsM",'Monthly Growth'!F65,IF(Nonlabor!$I$23="InputM",'Monthly Growth'!D65*Assumptions!$E$22/1000000,IF(Nonlabor!$I$23="OutputM",'Monthly Growth'!D65*Assumptions!$E$23/1000000,0))))))))),0)</f>
        <v>16.7042</v>
      </c>
      <c r="F3725" s="10" t="n">
        <f aca="false">Nonlabor!$J$23*(1+Assumptions!$E$9)^INT((C3725-1)/12)</f>
        <v>350.957568</v>
      </c>
      <c r="G3725" s="10" t="n">
        <f aca="false">E3725*F3725</f>
        <v>5862.4654073856</v>
      </c>
      <c r="H3725" s="10" t="n">
        <f aca="false">IF(OR(Nonlabor!$L$23="Quote required",Nonlabor!$L$23="Unverified"),G3725,0)</f>
        <v>0</v>
      </c>
      <c r="I3725" s="10" t="n">
        <f aca="false">IF(Nonlabor!$E$23="Core",0,G3725)</f>
        <v>0</v>
      </c>
      <c r="J3725" s="23" t="str">
        <f aca="false">Nonlabor!$B$23</f>
        <v>ONBOARD</v>
      </c>
    </row>
    <row r="3726" customFormat="false" ht="15" hidden="false" customHeight="false" outlineLevel="0" collapsed="false">
      <c r="A3726" s="6" t="s">
        <v>73</v>
      </c>
      <c r="B3726" s="6" t="s">
        <v>428</v>
      </c>
      <c r="C3726" s="6" t="n">
        <v>1</v>
      </c>
      <c r="D3726" s="25" t="n">
        <f aca="false">EDATE('Start Here'!$B$6,C3726-1)</f>
        <v>46327</v>
      </c>
      <c r="E3726" s="23" t="n">
        <f aca="false">IF(AND(OR(Nonlabor!$D$24="Both",Nonlabor!$D$24='Start Here'!$B$9),IF(Nonlabor!$E$24="Core",1,IF(Nonlabor!$E$24="AI",'Start Here'!$B$7,'Start Here'!$B$8))=1,C3726&gt;=IF(Nonlabor!$E$24="Core",Nonlabor!$F$24,MAX(Nonlabor!$F$24,IF(Nonlabor!$E$24="AI",Assumptions!$E$24,Assumptions!$E$25))),C3726&lt;=Nonlabor!$G$24,OR(Nonlabor!$H$24="Monthly",AND(Nonlabor!$H$24="Once",C3726=IF(Nonlabor!$E$24="Core",Nonlabor!$F$24,MAX(Nonlabor!$F$24,IF(Nonlabor!$E$24="AI",Assumptions!$E$24,Assumptions!$E$25)))),AND(Nonlabor!$H$24="Annual",MOD(C3726-IF(Nonlabor!$E$24="Core",Nonlabor!$F$24,MAX(Nonlabor!$F$24,IF(Nonlabor!$E$24="AI",Assumptions!$E$24,Assumptions!$E$25))),12)=0))),IF(Nonlabor!$I$24="Fixed",1,IF(Nonlabor!$I$24="Seats",ROUNDUP('Monthly Growth'!I6,0),IF(Nonlabor!$I$24="Customers",'Monthly Growth'!D6,IF(Nonlabor!$I$24="NewCustomers",'Monthly Growth'!C6,IF(Nonlabor!$I$24="StorageGB",'Monthly Growth'!G6,IF(Nonlabor!$I$24="LogGB",'Monthly Growth'!H6,IF(Nonlabor!$I$24="RequestsM",'Monthly Growth'!F6,IF(Nonlabor!$I$24="InputM",'Monthly Growth'!D6*Assumptions!$E$22/1000000,IF(Nonlabor!$I$24="OutputM",'Monthly Growth'!D6*Assumptions!$E$23/1000000,0))))))))),0)</f>
        <v>0</v>
      </c>
      <c r="F3726" s="10" t="n">
        <f aca="false">Nonlabor!$J$24*(1+Assumptions!$E$9)^INT((C3726-1)/12)</f>
        <v>0.4</v>
      </c>
      <c r="G3726" s="10" t="n">
        <f aca="false">E3726*F3726</f>
        <v>0</v>
      </c>
      <c r="H3726" s="10" t="n">
        <f aca="false">IF(OR(Nonlabor!$L$24="Quote required",Nonlabor!$L$24="Unverified"),G3726,0)</f>
        <v>0</v>
      </c>
      <c r="I3726" s="10" t="n">
        <f aca="false">IF(Nonlabor!$E$24="Core",0,G3726)</f>
        <v>0</v>
      </c>
      <c r="J3726" s="23" t="str">
        <f aca="false">Nonlabor!$B$24</f>
        <v>AI</v>
      </c>
    </row>
    <row r="3727" customFormat="false" ht="15" hidden="false" customHeight="false" outlineLevel="0" collapsed="false">
      <c r="A3727" s="6" t="s">
        <v>73</v>
      </c>
      <c r="B3727" s="6" t="s">
        <v>428</v>
      </c>
      <c r="C3727" s="6" t="n">
        <v>2</v>
      </c>
      <c r="D3727" s="25" t="n">
        <f aca="false">EDATE('Start Here'!$B$6,C3727-1)</f>
        <v>46357</v>
      </c>
      <c r="E3727" s="23" t="n">
        <f aca="false">IF(AND(OR(Nonlabor!$D$24="Both",Nonlabor!$D$24='Start Here'!$B$9),IF(Nonlabor!$E$24="Core",1,IF(Nonlabor!$E$24="AI",'Start Here'!$B$7,'Start Here'!$B$8))=1,C3727&gt;=IF(Nonlabor!$E$24="Core",Nonlabor!$F$24,MAX(Nonlabor!$F$24,IF(Nonlabor!$E$24="AI",Assumptions!$E$24,Assumptions!$E$25))),C3727&lt;=Nonlabor!$G$24,OR(Nonlabor!$H$24="Monthly",AND(Nonlabor!$H$24="Once",C3727=IF(Nonlabor!$E$24="Core",Nonlabor!$F$24,MAX(Nonlabor!$F$24,IF(Nonlabor!$E$24="AI",Assumptions!$E$24,Assumptions!$E$25)))),AND(Nonlabor!$H$24="Annual",MOD(C3727-IF(Nonlabor!$E$24="Core",Nonlabor!$F$24,MAX(Nonlabor!$F$24,IF(Nonlabor!$E$24="AI",Assumptions!$E$24,Assumptions!$E$25))),12)=0))),IF(Nonlabor!$I$24="Fixed",1,IF(Nonlabor!$I$24="Seats",ROUNDUP('Monthly Growth'!I7,0),IF(Nonlabor!$I$24="Customers",'Monthly Growth'!D7,IF(Nonlabor!$I$24="NewCustomers",'Monthly Growth'!C7,IF(Nonlabor!$I$24="StorageGB",'Monthly Growth'!G7,IF(Nonlabor!$I$24="LogGB",'Monthly Growth'!H7,IF(Nonlabor!$I$24="RequestsM",'Monthly Growth'!F7,IF(Nonlabor!$I$24="InputM",'Monthly Growth'!D7*Assumptions!$E$22/1000000,IF(Nonlabor!$I$24="OutputM",'Monthly Growth'!D7*Assumptions!$E$23/1000000,0))))))))),0)</f>
        <v>0</v>
      </c>
      <c r="F3727" s="10" t="n">
        <f aca="false">Nonlabor!$J$24*(1+Assumptions!$E$9)^INT((C3727-1)/12)</f>
        <v>0.4</v>
      </c>
      <c r="G3727" s="10" t="n">
        <f aca="false">E3727*F3727</f>
        <v>0</v>
      </c>
      <c r="H3727" s="10" t="n">
        <f aca="false">IF(OR(Nonlabor!$L$24="Quote required",Nonlabor!$L$24="Unverified"),G3727,0)</f>
        <v>0</v>
      </c>
      <c r="I3727" s="10" t="n">
        <f aca="false">IF(Nonlabor!$E$24="Core",0,G3727)</f>
        <v>0</v>
      </c>
      <c r="J3727" s="23" t="str">
        <f aca="false">Nonlabor!$B$24</f>
        <v>AI</v>
      </c>
    </row>
    <row r="3728" customFormat="false" ht="15" hidden="false" customHeight="false" outlineLevel="0" collapsed="false">
      <c r="A3728" s="6" t="s">
        <v>73</v>
      </c>
      <c r="B3728" s="6" t="s">
        <v>428</v>
      </c>
      <c r="C3728" s="6" t="n">
        <v>3</v>
      </c>
      <c r="D3728" s="25" t="n">
        <f aca="false">EDATE('Start Here'!$B$6,C3728-1)</f>
        <v>46388</v>
      </c>
      <c r="E3728" s="23" t="n">
        <f aca="false">IF(AND(OR(Nonlabor!$D$24="Both",Nonlabor!$D$24='Start Here'!$B$9),IF(Nonlabor!$E$24="Core",1,IF(Nonlabor!$E$24="AI",'Start Here'!$B$7,'Start Here'!$B$8))=1,C3728&gt;=IF(Nonlabor!$E$24="Core",Nonlabor!$F$24,MAX(Nonlabor!$F$24,IF(Nonlabor!$E$24="AI",Assumptions!$E$24,Assumptions!$E$25))),C3728&lt;=Nonlabor!$G$24,OR(Nonlabor!$H$24="Monthly",AND(Nonlabor!$H$24="Once",C3728=IF(Nonlabor!$E$24="Core",Nonlabor!$F$24,MAX(Nonlabor!$F$24,IF(Nonlabor!$E$24="AI",Assumptions!$E$24,Assumptions!$E$25)))),AND(Nonlabor!$H$24="Annual",MOD(C3728-IF(Nonlabor!$E$24="Core",Nonlabor!$F$24,MAX(Nonlabor!$F$24,IF(Nonlabor!$E$24="AI",Assumptions!$E$24,Assumptions!$E$25))),12)=0))),IF(Nonlabor!$I$24="Fixed",1,IF(Nonlabor!$I$24="Seats",ROUNDUP('Monthly Growth'!I8,0),IF(Nonlabor!$I$24="Customers",'Monthly Growth'!D8,IF(Nonlabor!$I$24="NewCustomers",'Monthly Growth'!C8,IF(Nonlabor!$I$24="StorageGB",'Monthly Growth'!G8,IF(Nonlabor!$I$24="LogGB",'Monthly Growth'!H8,IF(Nonlabor!$I$24="RequestsM",'Monthly Growth'!F8,IF(Nonlabor!$I$24="InputM",'Monthly Growth'!D8*Assumptions!$E$22/1000000,IF(Nonlabor!$I$24="OutputM",'Monthly Growth'!D8*Assumptions!$E$23/1000000,0))))))))),0)</f>
        <v>0</v>
      </c>
      <c r="F3728" s="10" t="n">
        <f aca="false">Nonlabor!$J$24*(1+Assumptions!$E$9)^INT((C3728-1)/12)</f>
        <v>0.4</v>
      </c>
      <c r="G3728" s="10" t="n">
        <f aca="false">E3728*F3728</f>
        <v>0</v>
      </c>
      <c r="H3728" s="10" t="n">
        <f aca="false">IF(OR(Nonlabor!$L$24="Quote required",Nonlabor!$L$24="Unverified"),G3728,0)</f>
        <v>0</v>
      </c>
      <c r="I3728" s="10" t="n">
        <f aca="false">IF(Nonlabor!$E$24="Core",0,G3728)</f>
        <v>0</v>
      </c>
      <c r="J3728" s="23" t="str">
        <f aca="false">Nonlabor!$B$24</f>
        <v>AI</v>
      </c>
    </row>
    <row r="3729" customFormat="false" ht="15" hidden="false" customHeight="false" outlineLevel="0" collapsed="false">
      <c r="A3729" s="6" t="s">
        <v>73</v>
      </c>
      <c r="B3729" s="6" t="s">
        <v>428</v>
      </c>
      <c r="C3729" s="6" t="n">
        <v>4</v>
      </c>
      <c r="D3729" s="25" t="n">
        <f aca="false">EDATE('Start Here'!$B$6,C3729-1)</f>
        <v>46419</v>
      </c>
      <c r="E3729" s="23" t="n">
        <f aca="false">IF(AND(OR(Nonlabor!$D$24="Both",Nonlabor!$D$24='Start Here'!$B$9),IF(Nonlabor!$E$24="Core",1,IF(Nonlabor!$E$24="AI",'Start Here'!$B$7,'Start Here'!$B$8))=1,C3729&gt;=IF(Nonlabor!$E$24="Core",Nonlabor!$F$24,MAX(Nonlabor!$F$24,IF(Nonlabor!$E$24="AI",Assumptions!$E$24,Assumptions!$E$25))),C3729&lt;=Nonlabor!$G$24,OR(Nonlabor!$H$24="Monthly",AND(Nonlabor!$H$24="Once",C3729=IF(Nonlabor!$E$24="Core",Nonlabor!$F$24,MAX(Nonlabor!$F$24,IF(Nonlabor!$E$24="AI",Assumptions!$E$24,Assumptions!$E$25)))),AND(Nonlabor!$H$24="Annual",MOD(C3729-IF(Nonlabor!$E$24="Core",Nonlabor!$F$24,MAX(Nonlabor!$F$24,IF(Nonlabor!$E$24="AI",Assumptions!$E$24,Assumptions!$E$25))),12)=0))),IF(Nonlabor!$I$24="Fixed",1,IF(Nonlabor!$I$24="Seats",ROUNDUP('Monthly Growth'!I9,0),IF(Nonlabor!$I$24="Customers",'Monthly Growth'!D9,IF(Nonlabor!$I$24="NewCustomers",'Monthly Growth'!C9,IF(Nonlabor!$I$24="StorageGB",'Monthly Growth'!G9,IF(Nonlabor!$I$24="LogGB",'Monthly Growth'!H9,IF(Nonlabor!$I$24="RequestsM",'Monthly Growth'!F9,IF(Nonlabor!$I$24="InputM",'Monthly Growth'!D9*Assumptions!$E$22/1000000,IF(Nonlabor!$I$24="OutputM",'Monthly Growth'!D9*Assumptions!$E$23/1000000,0))))))))),0)</f>
        <v>0</v>
      </c>
      <c r="F3729" s="10" t="n">
        <f aca="false">Nonlabor!$J$24*(1+Assumptions!$E$9)^INT((C3729-1)/12)</f>
        <v>0.4</v>
      </c>
      <c r="G3729" s="10" t="n">
        <f aca="false">E3729*F3729</f>
        <v>0</v>
      </c>
      <c r="H3729" s="10" t="n">
        <f aca="false">IF(OR(Nonlabor!$L$24="Quote required",Nonlabor!$L$24="Unverified"),G3729,0)</f>
        <v>0</v>
      </c>
      <c r="I3729" s="10" t="n">
        <f aca="false">IF(Nonlabor!$E$24="Core",0,G3729)</f>
        <v>0</v>
      </c>
      <c r="J3729" s="23" t="str">
        <f aca="false">Nonlabor!$B$24</f>
        <v>AI</v>
      </c>
    </row>
    <row r="3730" customFormat="false" ht="15" hidden="false" customHeight="false" outlineLevel="0" collapsed="false">
      <c r="A3730" s="6" t="s">
        <v>73</v>
      </c>
      <c r="B3730" s="6" t="s">
        <v>428</v>
      </c>
      <c r="C3730" s="6" t="n">
        <v>5</v>
      </c>
      <c r="D3730" s="25" t="n">
        <f aca="false">EDATE('Start Here'!$B$6,C3730-1)</f>
        <v>46447</v>
      </c>
      <c r="E3730" s="23" t="n">
        <f aca="false">IF(AND(OR(Nonlabor!$D$24="Both",Nonlabor!$D$24='Start Here'!$B$9),IF(Nonlabor!$E$24="Core",1,IF(Nonlabor!$E$24="AI",'Start Here'!$B$7,'Start Here'!$B$8))=1,C3730&gt;=IF(Nonlabor!$E$24="Core",Nonlabor!$F$24,MAX(Nonlabor!$F$24,IF(Nonlabor!$E$24="AI",Assumptions!$E$24,Assumptions!$E$25))),C3730&lt;=Nonlabor!$G$24,OR(Nonlabor!$H$24="Monthly",AND(Nonlabor!$H$24="Once",C3730=IF(Nonlabor!$E$24="Core",Nonlabor!$F$24,MAX(Nonlabor!$F$24,IF(Nonlabor!$E$24="AI",Assumptions!$E$24,Assumptions!$E$25)))),AND(Nonlabor!$H$24="Annual",MOD(C3730-IF(Nonlabor!$E$24="Core",Nonlabor!$F$24,MAX(Nonlabor!$F$24,IF(Nonlabor!$E$24="AI",Assumptions!$E$24,Assumptions!$E$25))),12)=0))),IF(Nonlabor!$I$24="Fixed",1,IF(Nonlabor!$I$24="Seats",ROUNDUP('Monthly Growth'!I10,0),IF(Nonlabor!$I$24="Customers",'Monthly Growth'!D10,IF(Nonlabor!$I$24="NewCustomers",'Monthly Growth'!C10,IF(Nonlabor!$I$24="StorageGB",'Monthly Growth'!G10,IF(Nonlabor!$I$24="LogGB",'Monthly Growth'!H10,IF(Nonlabor!$I$24="RequestsM",'Monthly Growth'!F10,IF(Nonlabor!$I$24="InputM",'Monthly Growth'!D10*Assumptions!$E$22/1000000,IF(Nonlabor!$I$24="OutputM",'Monthly Growth'!D10*Assumptions!$E$23/1000000,0))))))))),0)</f>
        <v>0</v>
      </c>
      <c r="F3730" s="10" t="n">
        <f aca="false">Nonlabor!$J$24*(1+Assumptions!$E$9)^INT((C3730-1)/12)</f>
        <v>0.4</v>
      </c>
      <c r="G3730" s="10" t="n">
        <f aca="false">E3730*F3730</f>
        <v>0</v>
      </c>
      <c r="H3730" s="10" t="n">
        <f aca="false">IF(OR(Nonlabor!$L$24="Quote required",Nonlabor!$L$24="Unverified"),G3730,0)</f>
        <v>0</v>
      </c>
      <c r="I3730" s="10" t="n">
        <f aca="false">IF(Nonlabor!$E$24="Core",0,G3730)</f>
        <v>0</v>
      </c>
      <c r="J3730" s="23" t="str">
        <f aca="false">Nonlabor!$B$24</f>
        <v>AI</v>
      </c>
    </row>
    <row r="3731" customFormat="false" ht="15" hidden="false" customHeight="false" outlineLevel="0" collapsed="false">
      <c r="A3731" s="6" t="s">
        <v>73</v>
      </c>
      <c r="B3731" s="6" t="s">
        <v>428</v>
      </c>
      <c r="C3731" s="6" t="n">
        <v>6</v>
      </c>
      <c r="D3731" s="25" t="n">
        <f aca="false">EDATE('Start Here'!$B$6,C3731-1)</f>
        <v>46478</v>
      </c>
      <c r="E3731" s="23" t="n">
        <f aca="false">IF(AND(OR(Nonlabor!$D$24="Both",Nonlabor!$D$24='Start Here'!$B$9),IF(Nonlabor!$E$24="Core",1,IF(Nonlabor!$E$24="AI",'Start Here'!$B$7,'Start Here'!$B$8))=1,C3731&gt;=IF(Nonlabor!$E$24="Core",Nonlabor!$F$24,MAX(Nonlabor!$F$24,IF(Nonlabor!$E$24="AI",Assumptions!$E$24,Assumptions!$E$25))),C3731&lt;=Nonlabor!$G$24,OR(Nonlabor!$H$24="Monthly",AND(Nonlabor!$H$24="Once",C3731=IF(Nonlabor!$E$24="Core",Nonlabor!$F$24,MAX(Nonlabor!$F$24,IF(Nonlabor!$E$24="AI",Assumptions!$E$24,Assumptions!$E$25)))),AND(Nonlabor!$H$24="Annual",MOD(C3731-IF(Nonlabor!$E$24="Core",Nonlabor!$F$24,MAX(Nonlabor!$F$24,IF(Nonlabor!$E$24="AI",Assumptions!$E$24,Assumptions!$E$25))),12)=0))),IF(Nonlabor!$I$24="Fixed",1,IF(Nonlabor!$I$24="Seats",ROUNDUP('Monthly Growth'!I11,0),IF(Nonlabor!$I$24="Customers",'Monthly Growth'!D11,IF(Nonlabor!$I$24="NewCustomers",'Monthly Growth'!C11,IF(Nonlabor!$I$24="StorageGB",'Monthly Growth'!G11,IF(Nonlabor!$I$24="LogGB",'Monthly Growth'!H11,IF(Nonlabor!$I$24="RequestsM",'Monthly Growth'!F11,IF(Nonlabor!$I$24="InputM",'Monthly Growth'!D11*Assumptions!$E$22/1000000,IF(Nonlabor!$I$24="OutputM",'Monthly Growth'!D11*Assumptions!$E$23/1000000,0))))))))),0)</f>
        <v>0</v>
      </c>
      <c r="F3731" s="10" t="n">
        <f aca="false">Nonlabor!$J$24*(1+Assumptions!$E$9)^INT((C3731-1)/12)</f>
        <v>0.4</v>
      </c>
      <c r="G3731" s="10" t="n">
        <f aca="false">E3731*F3731</f>
        <v>0</v>
      </c>
      <c r="H3731" s="10" t="n">
        <f aca="false">IF(OR(Nonlabor!$L$24="Quote required",Nonlabor!$L$24="Unverified"),G3731,0)</f>
        <v>0</v>
      </c>
      <c r="I3731" s="10" t="n">
        <f aca="false">IF(Nonlabor!$E$24="Core",0,G3731)</f>
        <v>0</v>
      </c>
      <c r="J3731" s="23" t="str">
        <f aca="false">Nonlabor!$B$24</f>
        <v>AI</v>
      </c>
    </row>
    <row r="3732" customFormat="false" ht="15" hidden="false" customHeight="false" outlineLevel="0" collapsed="false">
      <c r="A3732" s="6" t="s">
        <v>73</v>
      </c>
      <c r="B3732" s="6" t="s">
        <v>428</v>
      </c>
      <c r="C3732" s="6" t="n">
        <v>7</v>
      </c>
      <c r="D3732" s="25" t="n">
        <f aca="false">EDATE('Start Here'!$B$6,C3732-1)</f>
        <v>46508</v>
      </c>
      <c r="E3732" s="23" t="n">
        <f aca="false">IF(AND(OR(Nonlabor!$D$24="Both",Nonlabor!$D$24='Start Here'!$B$9),IF(Nonlabor!$E$24="Core",1,IF(Nonlabor!$E$24="AI",'Start Here'!$B$7,'Start Here'!$B$8))=1,C3732&gt;=IF(Nonlabor!$E$24="Core",Nonlabor!$F$24,MAX(Nonlabor!$F$24,IF(Nonlabor!$E$24="AI",Assumptions!$E$24,Assumptions!$E$25))),C3732&lt;=Nonlabor!$G$24,OR(Nonlabor!$H$24="Monthly",AND(Nonlabor!$H$24="Once",C3732=IF(Nonlabor!$E$24="Core",Nonlabor!$F$24,MAX(Nonlabor!$F$24,IF(Nonlabor!$E$24="AI",Assumptions!$E$24,Assumptions!$E$25)))),AND(Nonlabor!$H$24="Annual",MOD(C3732-IF(Nonlabor!$E$24="Core",Nonlabor!$F$24,MAX(Nonlabor!$F$24,IF(Nonlabor!$E$24="AI",Assumptions!$E$24,Assumptions!$E$25))),12)=0))),IF(Nonlabor!$I$24="Fixed",1,IF(Nonlabor!$I$24="Seats",ROUNDUP('Monthly Growth'!I12,0),IF(Nonlabor!$I$24="Customers",'Monthly Growth'!D12,IF(Nonlabor!$I$24="NewCustomers",'Monthly Growth'!C12,IF(Nonlabor!$I$24="StorageGB",'Monthly Growth'!G12,IF(Nonlabor!$I$24="LogGB",'Monthly Growth'!H12,IF(Nonlabor!$I$24="RequestsM",'Monthly Growth'!F12,IF(Nonlabor!$I$24="InputM",'Monthly Growth'!D12*Assumptions!$E$22/1000000,IF(Nonlabor!$I$24="OutputM",'Monthly Growth'!D12*Assumptions!$E$23/1000000,0))))))))),0)</f>
        <v>0</v>
      </c>
      <c r="F3732" s="10" t="n">
        <f aca="false">Nonlabor!$J$24*(1+Assumptions!$E$9)^INT((C3732-1)/12)</f>
        <v>0.4</v>
      </c>
      <c r="G3732" s="10" t="n">
        <f aca="false">E3732*F3732</f>
        <v>0</v>
      </c>
      <c r="H3732" s="10" t="n">
        <f aca="false">IF(OR(Nonlabor!$L$24="Quote required",Nonlabor!$L$24="Unverified"),G3732,0)</f>
        <v>0</v>
      </c>
      <c r="I3732" s="10" t="n">
        <f aca="false">IF(Nonlabor!$E$24="Core",0,G3732)</f>
        <v>0</v>
      </c>
      <c r="J3732" s="23" t="str">
        <f aca="false">Nonlabor!$B$24</f>
        <v>AI</v>
      </c>
    </row>
    <row r="3733" customFormat="false" ht="15" hidden="false" customHeight="false" outlineLevel="0" collapsed="false">
      <c r="A3733" s="6" t="s">
        <v>73</v>
      </c>
      <c r="B3733" s="6" t="s">
        <v>428</v>
      </c>
      <c r="C3733" s="6" t="n">
        <v>8</v>
      </c>
      <c r="D3733" s="25" t="n">
        <f aca="false">EDATE('Start Here'!$B$6,C3733-1)</f>
        <v>46539</v>
      </c>
      <c r="E3733" s="23" t="n">
        <f aca="false">IF(AND(OR(Nonlabor!$D$24="Both",Nonlabor!$D$24='Start Here'!$B$9),IF(Nonlabor!$E$24="Core",1,IF(Nonlabor!$E$24="AI",'Start Here'!$B$7,'Start Here'!$B$8))=1,C3733&gt;=IF(Nonlabor!$E$24="Core",Nonlabor!$F$24,MAX(Nonlabor!$F$24,IF(Nonlabor!$E$24="AI",Assumptions!$E$24,Assumptions!$E$25))),C3733&lt;=Nonlabor!$G$24,OR(Nonlabor!$H$24="Monthly",AND(Nonlabor!$H$24="Once",C3733=IF(Nonlabor!$E$24="Core",Nonlabor!$F$24,MAX(Nonlabor!$F$24,IF(Nonlabor!$E$24="AI",Assumptions!$E$24,Assumptions!$E$25)))),AND(Nonlabor!$H$24="Annual",MOD(C3733-IF(Nonlabor!$E$24="Core",Nonlabor!$F$24,MAX(Nonlabor!$F$24,IF(Nonlabor!$E$24="AI",Assumptions!$E$24,Assumptions!$E$25))),12)=0))),IF(Nonlabor!$I$24="Fixed",1,IF(Nonlabor!$I$24="Seats",ROUNDUP('Monthly Growth'!I13,0),IF(Nonlabor!$I$24="Customers",'Monthly Growth'!D13,IF(Nonlabor!$I$24="NewCustomers",'Monthly Growth'!C13,IF(Nonlabor!$I$24="StorageGB",'Monthly Growth'!G13,IF(Nonlabor!$I$24="LogGB",'Monthly Growth'!H13,IF(Nonlabor!$I$24="RequestsM",'Monthly Growth'!F13,IF(Nonlabor!$I$24="InputM",'Monthly Growth'!D13*Assumptions!$E$22/1000000,IF(Nonlabor!$I$24="OutputM",'Monthly Growth'!D13*Assumptions!$E$23/1000000,0))))))))),0)</f>
        <v>0</v>
      </c>
      <c r="F3733" s="10" t="n">
        <f aca="false">Nonlabor!$J$24*(1+Assumptions!$E$9)^INT((C3733-1)/12)</f>
        <v>0.4</v>
      </c>
      <c r="G3733" s="10" t="n">
        <f aca="false">E3733*F3733</f>
        <v>0</v>
      </c>
      <c r="H3733" s="10" t="n">
        <f aca="false">IF(OR(Nonlabor!$L$24="Quote required",Nonlabor!$L$24="Unverified"),G3733,0)</f>
        <v>0</v>
      </c>
      <c r="I3733" s="10" t="n">
        <f aca="false">IF(Nonlabor!$E$24="Core",0,G3733)</f>
        <v>0</v>
      </c>
      <c r="J3733" s="23" t="str">
        <f aca="false">Nonlabor!$B$24</f>
        <v>AI</v>
      </c>
    </row>
    <row r="3734" customFormat="false" ht="15" hidden="false" customHeight="false" outlineLevel="0" collapsed="false">
      <c r="A3734" s="6" t="s">
        <v>73</v>
      </c>
      <c r="B3734" s="6" t="s">
        <v>428</v>
      </c>
      <c r="C3734" s="6" t="n">
        <v>9</v>
      </c>
      <c r="D3734" s="25" t="n">
        <f aca="false">EDATE('Start Here'!$B$6,C3734-1)</f>
        <v>46569</v>
      </c>
      <c r="E3734" s="23" t="n">
        <f aca="false">IF(AND(OR(Nonlabor!$D$24="Both",Nonlabor!$D$24='Start Here'!$B$9),IF(Nonlabor!$E$24="Core",1,IF(Nonlabor!$E$24="AI",'Start Here'!$B$7,'Start Here'!$B$8))=1,C3734&gt;=IF(Nonlabor!$E$24="Core",Nonlabor!$F$24,MAX(Nonlabor!$F$24,IF(Nonlabor!$E$24="AI",Assumptions!$E$24,Assumptions!$E$25))),C3734&lt;=Nonlabor!$G$24,OR(Nonlabor!$H$24="Monthly",AND(Nonlabor!$H$24="Once",C3734=IF(Nonlabor!$E$24="Core",Nonlabor!$F$24,MAX(Nonlabor!$F$24,IF(Nonlabor!$E$24="AI",Assumptions!$E$24,Assumptions!$E$25)))),AND(Nonlabor!$H$24="Annual",MOD(C3734-IF(Nonlabor!$E$24="Core",Nonlabor!$F$24,MAX(Nonlabor!$F$24,IF(Nonlabor!$E$24="AI",Assumptions!$E$24,Assumptions!$E$25))),12)=0))),IF(Nonlabor!$I$24="Fixed",1,IF(Nonlabor!$I$24="Seats",ROUNDUP('Monthly Growth'!I14,0),IF(Nonlabor!$I$24="Customers",'Monthly Growth'!D14,IF(Nonlabor!$I$24="NewCustomers",'Monthly Growth'!C14,IF(Nonlabor!$I$24="StorageGB",'Monthly Growth'!G14,IF(Nonlabor!$I$24="LogGB",'Monthly Growth'!H14,IF(Nonlabor!$I$24="RequestsM",'Monthly Growth'!F14,IF(Nonlabor!$I$24="InputM",'Monthly Growth'!D14*Assumptions!$E$22/1000000,IF(Nonlabor!$I$24="OutputM",'Monthly Growth'!D14*Assumptions!$E$23/1000000,0))))))))),0)</f>
        <v>0</v>
      </c>
      <c r="F3734" s="10" t="n">
        <f aca="false">Nonlabor!$J$24*(1+Assumptions!$E$9)^INT((C3734-1)/12)</f>
        <v>0.4</v>
      </c>
      <c r="G3734" s="10" t="n">
        <f aca="false">E3734*F3734</f>
        <v>0</v>
      </c>
      <c r="H3734" s="10" t="n">
        <f aca="false">IF(OR(Nonlabor!$L$24="Quote required",Nonlabor!$L$24="Unverified"),G3734,0)</f>
        <v>0</v>
      </c>
      <c r="I3734" s="10" t="n">
        <f aca="false">IF(Nonlabor!$E$24="Core",0,G3734)</f>
        <v>0</v>
      </c>
      <c r="J3734" s="23" t="str">
        <f aca="false">Nonlabor!$B$24</f>
        <v>AI</v>
      </c>
    </row>
    <row r="3735" customFormat="false" ht="15" hidden="false" customHeight="false" outlineLevel="0" collapsed="false">
      <c r="A3735" s="6" t="s">
        <v>73</v>
      </c>
      <c r="B3735" s="6" t="s">
        <v>428</v>
      </c>
      <c r="C3735" s="6" t="n">
        <v>10</v>
      </c>
      <c r="D3735" s="25" t="n">
        <f aca="false">EDATE('Start Here'!$B$6,C3735-1)</f>
        <v>46600</v>
      </c>
      <c r="E3735" s="23" t="n">
        <f aca="false">IF(AND(OR(Nonlabor!$D$24="Both",Nonlabor!$D$24='Start Here'!$B$9),IF(Nonlabor!$E$24="Core",1,IF(Nonlabor!$E$24="AI",'Start Here'!$B$7,'Start Here'!$B$8))=1,C3735&gt;=IF(Nonlabor!$E$24="Core",Nonlabor!$F$24,MAX(Nonlabor!$F$24,IF(Nonlabor!$E$24="AI",Assumptions!$E$24,Assumptions!$E$25))),C3735&lt;=Nonlabor!$G$24,OR(Nonlabor!$H$24="Monthly",AND(Nonlabor!$H$24="Once",C3735=IF(Nonlabor!$E$24="Core",Nonlabor!$F$24,MAX(Nonlabor!$F$24,IF(Nonlabor!$E$24="AI",Assumptions!$E$24,Assumptions!$E$25)))),AND(Nonlabor!$H$24="Annual",MOD(C3735-IF(Nonlabor!$E$24="Core",Nonlabor!$F$24,MAX(Nonlabor!$F$24,IF(Nonlabor!$E$24="AI",Assumptions!$E$24,Assumptions!$E$25))),12)=0))),IF(Nonlabor!$I$24="Fixed",1,IF(Nonlabor!$I$24="Seats",ROUNDUP('Monthly Growth'!I15,0),IF(Nonlabor!$I$24="Customers",'Monthly Growth'!D15,IF(Nonlabor!$I$24="NewCustomers",'Monthly Growth'!C15,IF(Nonlabor!$I$24="StorageGB",'Monthly Growth'!G15,IF(Nonlabor!$I$24="LogGB",'Monthly Growth'!H15,IF(Nonlabor!$I$24="RequestsM",'Monthly Growth'!F15,IF(Nonlabor!$I$24="InputM",'Monthly Growth'!D15*Assumptions!$E$22/1000000,IF(Nonlabor!$I$24="OutputM",'Monthly Growth'!D15*Assumptions!$E$23/1000000,0))))))))),0)</f>
        <v>0</v>
      </c>
      <c r="F3735" s="10" t="n">
        <f aca="false">Nonlabor!$J$24*(1+Assumptions!$E$9)^INT((C3735-1)/12)</f>
        <v>0.4</v>
      </c>
      <c r="G3735" s="10" t="n">
        <f aca="false">E3735*F3735</f>
        <v>0</v>
      </c>
      <c r="H3735" s="10" t="n">
        <f aca="false">IF(OR(Nonlabor!$L$24="Quote required",Nonlabor!$L$24="Unverified"),G3735,0)</f>
        <v>0</v>
      </c>
      <c r="I3735" s="10" t="n">
        <f aca="false">IF(Nonlabor!$E$24="Core",0,G3735)</f>
        <v>0</v>
      </c>
      <c r="J3735" s="23" t="str">
        <f aca="false">Nonlabor!$B$24</f>
        <v>AI</v>
      </c>
    </row>
    <row r="3736" customFormat="false" ht="15" hidden="false" customHeight="false" outlineLevel="0" collapsed="false">
      <c r="A3736" s="6" t="s">
        <v>73</v>
      </c>
      <c r="B3736" s="6" t="s">
        <v>428</v>
      </c>
      <c r="C3736" s="6" t="n">
        <v>11</v>
      </c>
      <c r="D3736" s="25" t="n">
        <f aca="false">EDATE('Start Here'!$B$6,C3736-1)</f>
        <v>46631</v>
      </c>
      <c r="E3736" s="23" t="n">
        <f aca="false">IF(AND(OR(Nonlabor!$D$24="Both",Nonlabor!$D$24='Start Here'!$B$9),IF(Nonlabor!$E$24="Core",1,IF(Nonlabor!$E$24="AI",'Start Here'!$B$7,'Start Here'!$B$8))=1,C3736&gt;=IF(Nonlabor!$E$24="Core",Nonlabor!$F$24,MAX(Nonlabor!$F$24,IF(Nonlabor!$E$24="AI",Assumptions!$E$24,Assumptions!$E$25))),C3736&lt;=Nonlabor!$G$24,OR(Nonlabor!$H$24="Monthly",AND(Nonlabor!$H$24="Once",C3736=IF(Nonlabor!$E$24="Core",Nonlabor!$F$24,MAX(Nonlabor!$F$24,IF(Nonlabor!$E$24="AI",Assumptions!$E$24,Assumptions!$E$25)))),AND(Nonlabor!$H$24="Annual",MOD(C3736-IF(Nonlabor!$E$24="Core",Nonlabor!$F$24,MAX(Nonlabor!$F$24,IF(Nonlabor!$E$24="AI",Assumptions!$E$24,Assumptions!$E$25))),12)=0))),IF(Nonlabor!$I$24="Fixed",1,IF(Nonlabor!$I$24="Seats",ROUNDUP('Monthly Growth'!I16,0),IF(Nonlabor!$I$24="Customers",'Monthly Growth'!D16,IF(Nonlabor!$I$24="NewCustomers",'Monthly Growth'!C16,IF(Nonlabor!$I$24="StorageGB",'Monthly Growth'!G16,IF(Nonlabor!$I$24="LogGB",'Monthly Growth'!H16,IF(Nonlabor!$I$24="RequestsM",'Monthly Growth'!F16,IF(Nonlabor!$I$24="InputM",'Monthly Growth'!D16*Assumptions!$E$22/1000000,IF(Nonlabor!$I$24="OutputM",'Monthly Growth'!D16*Assumptions!$E$23/1000000,0))))))))),0)</f>
        <v>0</v>
      </c>
      <c r="F3736" s="10" t="n">
        <f aca="false">Nonlabor!$J$24*(1+Assumptions!$E$9)^INT((C3736-1)/12)</f>
        <v>0.4</v>
      </c>
      <c r="G3736" s="10" t="n">
        <f aca="false">E3736*F3736</f>
        <v>0</v>
      </c>
      <c r="H3736" s="10" t="n">
        <f aca="false">IF(OR(Nonlabor!$L$24="Quote required",Nonlabor!$L$24="Unverified"),G3736,0)</f>
        <v>0</v>
      </c>
      <c r="I3736" s="10" t="n">
        <f aca="false">IF(Nonlabor!$E$24="Core",0,G3736)</f>
        <v>0</v>
      </c>
      <c r="J3736" s="23" t="str">
        <f aca="false">Nonlabor!$B$24</f>
        <v>AI</v>
      </c>
    </row>
    <row r="3737" customFormat="false" ht="15" hidden="false" customHeight="false" outlineLevel="0" collapsed="false">
      <c r="A3737" s="6" t="s">
        <v>73</v>
      </c>
      <c r="B3737" s="6" t="s">
        <v>428</v>
      </c>
      <c r="C3737" s="6" t="n">
        <v>12</v>
      </c>
      <c r="D3737" s="25" t="n">
        <f aca="false">EDATE('Start Here'!$B$6,C3737-1)</f>
        <v>46661</v>
      </c>
      <c r="E3737" s="23" t="n">
        <f aca="false">IF(AND(OR(Nonlabor!$D$24="Both",Nonlabor!$D$24='Start Here'!$B$9),IF(Nonlabor!$E$24="Core",1,IF(Nonlabor!$E$24="AI",'Start Here'!$B$7,'Start Here'!$B$8))=1,C3737&gt;=IF(Nonlabor!$E$24="Core",Nonlabor!$F$24,MAX(Nonlabor!$F$24,IF(Nonlabor!$E$24="AI",Assumptions!$E$24,Assumptions!$E$25))),C3737&lt;=Nonlabor!$G$24,OR(Nonlabor!$H$24="Monthly",AND(Nonlabor!$H$24="Once",C3737=IF(Nonlabor!$E$24="Core",Nonlabor!$F$24,MAX(Nonlabor!$F$24,IF(Nonlabor!$E$24="AI",Assumptions!$E$24,Assumptions!$E$25)))),AND(Nonlabor!$H$24="Annual",MOD(C3737-IF(Nonlabor!$E$24="Core",Nonlabor!$F$24,MAX(Nonlabor!$F$24,IF(Nonlabor!$E$24="AI",Assumptions!$E$24,Assumptions!$E$25))),12)=0))),IF(Nonlabor!$I$24="Fixed",1,IF(Nonlabor!$I$24="Seats",ROUNDUP('Monthly Growth'!I17,0),IF(Nonlabor!$I$24="Customers",'Monthly Growth'!D17,IF(Nonlabor!$I$24="NewCustomers",'Monthly Growth'!C17,IF(Nonlabor!$I$24="StorageGB",'Monthly Growth'!G17,IF(Nonlabor!$I$24="LogGB",'Monthly Growth'!H17,IF(Nonlabor!$I$24="RequestsM",'Monthly Growth'!F17,IF(Nonlabor!$I$24="InputM",'Monthly Growth'!D17*Assumptions!$E$22/1000000,IF(Nonlabor!$I$24="OutputM",'Monthly Growth'!D17*Assumptions!$E$23/1000000,0))))))))),0)</f>
        <v>0</v>
      </c>
      <c r="F3737" s="10" t="n">
        <f aca="false">Nonlabor!$J$24*(1+Assumptions!$E$9)^INT((C3737-1)/12)</f>
        <v>0.4</v>
      </c>
      <c r="G3737" s="10" t="n">
        <f aca="false">E3737*F3737</f>
        <v>0</v>
      </c>
      <c r="H3737" s="10" t="n">
        <f aca="false">IF(OR(Nonlabor!$L$24="Quote required",Nonlabor!$L$24="Unverified"),G3737,0)</f>
        <v>0</v>
      </c>
      <c r="I3737" s="10" t="n">
        <f aca="false">IF(Nonlabor!$E$24="Core",0,G3737)</f>
        <v>0</v>
      </c>
      <c r="J3737" s="23" t="str">
        <f aca="false">Nonlabor!$B$24</f>
        <v>AI</v>
      </c>
    </row>
    <row r="3738" customFormat="false" ht="15" hidden="false" customHeight="false" outlineLevel="0" collapsed="false">
      <c r="A3738" s="6" t="s">
        <v>73</v>
      </c>
      <c r="B3738" s="6" t="s">
        <v>428</v>
      </c>
      <c r="C3738" s="6" t="n">
        <v>13</v>
      </c>
      <c r="D3738" s="25" t="n">
        <f aca="false">EDATE('Start Here'!$B$6,C3738-1)</f>
        <v>46692</v>
      </c>
      <c r="E3738" s="23" t="n">
        <f aca="false">IF(AND(OR(Nonlabor!$D$24="Both",Nonlabor!$D$24='Start Here'!$B$9),IF(Nonlabor!$E$24="Core",1,IF(Nonlabor!$E$24="AI",'Start Here'!$B$7,'Start Here'!$B$8))=1,C3738&gt;=IF(Nonlabor!$E$24="Core",Nonlabor!$F$24,MAX(Nonlabor!$F$24,IF(Nonlabor!$E$24="AI",Assumptions!$E$24,Assumptions!$E$25))),C3738&lt;=Nonlabor!$G$24,OR(Nonlabor!$H$24="Monthly",AND(Nonlabor!$H$24="Once",C3738=IF(Nonlabor!$E$24="Core",Nonlabor!$F$24,MAX(Nonlabor!$F$24,IF(Nonlabor!$E$24="AI",Assumptions!$E$24,Assumptions!$E$25)))),AND(Nonlabor!$H$24="Annual",MOD(C3738-IF(Nonlabor!$E$24="Core",Nonlabor!$F$24,MAX(Nonlabor!$F$24,IF(Nonlabor!$E$24="AI",Assumptions!$E$24,Assumptions!$E$25))),12)=0))),IF(Nonlabor!$I$24="Fixed",1,IF(Nonlabor!$I$24="Seats",ROUNDUP('Monthly Growth'!I18,0),IF(Nonlabor!$I$24="Customers",'Monthly Growth'!D18,IF(Nonlabor!$I$24="NewCustomers",'Monthly Growth'!C18,IF(Nonlabor!$I$24="StorageGB",'Monthly Growth'!G18,IF(Nonlabor!$I$24="LogGB",'Monthly Growth'!H18,IF(Nonlabor!$I$24="RequestsM",'Monthly Growth'!F18,IF(Nonlabor!$I$24="InputM",'Monthly Growth'!D18*Assumptions!$E$22/1000000,IF(Nonlabor!$I$24="OutputM",'Monthly Growth'!D18*Assumptions!$E$23/1000000,0))))))))),0)</f>
        <v>0</v>
      </c>
      <c r="F3738" s="10" t="n">
        <f aca="false">Nonlabor!$J$24*(1+Assumptions!$E$9)^INT((C3738-1)/12)</f>
        <v>0.416</v>
      </c>
      <c r="G3738" s="10" t="n">
        <f aca="false">E3738*F3738</f>
        <v>0</v>
      </c>
      <c r="H3738" s="10" t="n">
        <f aca="false">IF(OR(Nonlabor!$L$24="Quote required",Nonlabor!$L$24="Unverified"),G3738,0)</f>
        <v>0</v>
      </c>
      <c r="I3738" s="10" t="n">
        <f aca="false">IF(Nonlabor!$E$24="Core",0,G3738)</f>
        <v>0</v>
      </c>
      <c r="J3738" s="23" t="str">
        <f aca="false">Nonlabor!$B$24</f>
        <v>AI</v>
      </c>
    </row>
    <row r="3739" customFormat="false" ht="15" hidden="false" customHeight="false" outlineLevel="0" collapsed="false">
      <c r="A3739" s="6" t="s">
        <v>73</v>
      </c>
      <c r="B3739" s="6" t="s">
        <v>428</v>
      </c>
      <c r="C3739" s="6" t="n">
        <v>14</v>
      </c>
      <c r="D3739" s="25" t="n">
        <f aca="false">EDATE('Start Here'!$B$6,C3739-1)</f>
        <v>46722</v>
      </c>
      <c r="E3739" s="23" t="n">
        <f aca="false">IF(AND(OR(Nonlabor!$D$24="Both",Nonlabor!$D$24='Start Here'!$B$9),IF(Nonlabor!$E$24="Core",1,IF(Nonlabor!$E$24="AI",'Start Here'!$B$7,'Start Here'!$B$8))=1,C3739&gt;=IF(Nonlabor!$E$24="Core",Nonlabor!$F$24,MAX(Nonlabor!$F$24,IF(Nonlabor!$E$24="AI",Assumptions!$E$24,Assumptions!$E$25))),C3739&lt;=Nonlabor!$G$24,OR(Nonlabor!$H$24="Monthly",AND(Nonlabor!$H$24="Once",C3739=IF(Nonlabor!$E$24="Core",Nonlabor!$F$24,MAX(Nonlabor!$F$24,IF(Nonlabor!$E$24="AI",Assumptions!$E$24,Assumptions!$E$25)))),AND(Nonlabor!$H$24="Annual",MOD(C3739-IF(Nonlabor!$E$24="Core",Nonlabor!$F$24,MAX(Nonlabor!$F$24,IF(Nonlabor!$E$24="AI",Assumptions!$E$24,Assumptions!$E$25))),12)=0))),IF(Nonlabor!$I$24="Fixed",1,IF(Nonlabor!$I$24="Seats",ROUNDUP('Monthly Growth'!I19,0),IF(Nonlabor!$I$24="Customers",'Monthly Growth'!D19,IF(Nonlabor!$I$24="NewCustomers",'Monthly Growth'!C19,IF(Nonlabor!$I$24="StorageGB",'Monthly Growth'!G19,IF(Nonlabor!$I$24="LogGB",'Monthly Growth'!H19,IF(Nonlabor!$I$24="RequestsM",'Monthly Growth'!F19,IF(Nonlabor!$I$24="InputM",'Monthly Growth'!D19*Assumptions!$E$22/1000000,IF(Nonlabor!$I$24="OutputM",'Monthly Growth'!D19*Assumptions!$E$23/1000000,0))))))))),0)</f>
        <v>0</v>
      </c>
      <c r="F3739" s="10" t="n">
        <f aca="false">Nonlabor!$J$24*(1+Assumptions!$E$9)^INT((C3739-1)/12)</f>
        <v>0.416</v>
      </c>
      <c r="G3739" s="10" t="n">
        <f aca="false">E3739*F3739</f>
        <v>0</v>
      </c>
      <c r="H3739" s="10" t="n">
        <f aca="false">IF(OR(Nonlabor!$L$24="Quote required",Nonlabor!$L$24="Unverified"),G3739,0)</f>
        <v>0</v>
      </c>
      <c r="I3739" s="10" t="n">
        <f aca="false">IF(Nonlabor!$E$24="Core",0,G3739)</f>
        <v>0</v>
      </c>
      <c r="J3739" s="23" t="str">
        <f aca="false">Nonlabor!$B$24</f>
        <v>AI</v>
      </c>
    </row>
    <row r="3740" customFormat="false" ht="15" hidden="false" customHeight="false" outlineLevel="0" collapsed="false">
      <c r="A3740" s="6" t="s">
        <v>73</v>
      </c>
      <c r="B3740" s="6" t="s">
        <v>428</v>
      </c>
      <c r="C3740" s="6" t="n">
        <v>15</v>
      </c>
      <c r="D3740" s="25" t="n">
        <f aca="false">EDATE('Start Here'!$B$6,C3740-1)</f>
        <v>46753</v>
      </c>
      <c r="E3740" s="23" t="n">
        <f aca="false">IF(AND(OR(Nonlabor!$D$24="Both",Nonlabor!$D$24='Start Here'!$B$9),IF(Nonlabor!$E$24="Core",1,IF(Nonlabor!$E$24="AI",'Start Here'!$B$7,'Start Here'!$B$8))=1,C3740&gt;=IF(Nonlabor!$E$24="Core",Nonlabor!$F$24,MAX(Nonlabor!$F$24,IF(Nonlabor!$E$24="AI",Assumptions!$E$24,Assumptions!$E$25))),C3740&lt;=Nonlabor!$G$24,OR(Nonlabor!$H$24="Monthly",AND(Nonlabor!$H$24="Once",C3740=IF(Nonlabor!$E$24="Core",Nonlabor!$F$24,MAX(Nonlabor!$F$24,IF(Nonlabor!$E$24="AI",Assumptions!$E$24,Assumptions!$E$25)))),AND(Nonlabor!$H$24="Annual",MOD(C3740-IF(Nonlabor!$E$24="Core",Nonlabor!$F$24,MAX(Nonlabor!$F$24,IF(Nonlabor!$E$24="AI",Assumptions!$E$24,Assumptions!$E$25))),12)=0))),IF(Nonlabor!$I$24="Fixed",1,IF(Nonlabor!$I$24="Seats",ROUNDUP('Monthly Growth'!I20,0),IF(Nonlabor!$I$24="Customers",'Monthly Growth'!D20,IF(Nonlabor!$I$24="NewCustomers",'Monthly Growth'!C20,IF(Nonlabor!$I$24="StorageGB",'Monthly Growth'!G20,IF(Nonlabor!$I$24="LogGB",'Monthly Growth'!H20,IF(Nonlabor!$I$24="RequestsM",'Monthly Growth'!F20,IF(Nonlabor!$I$24="InputM",'Monthly Growth'!D20*Assumptions!$E$22/1000000,IF(Nonlabor!$I$24="OutputM",'Monthly Growth'!D20*Assumptions!$E$23/1000000,0))))))))),0)</f>
        <v>0</v>
      </c>
      <c r="F3740" s="10" t="n">
        <f aca="false">Nonlabor!$J$24*(1+Assumptions!$E$9)^INT((C3740-1)/12)</f>
        <v>0.416</v>
      </c>
      <c r="G3740" s="10" t="n">
        <f aca="false">E3740*F3740</f>
        <v>0</v>
      </c>
      <c r="H3740" s="10" t="n">
        <f aca="false">IF(OR(Nonlabor!$L$24="Quote required",Nonlabor!$L$24="Unverified"),G3740,0)</f>
        <v>0</v>
      </c>
      <c r="I3740" s="10" t="n">
        <f aca="false">IF(Nonlabor!$E$24="Core",0,G3740)</f>
        <v>0</v>
      </c>
      <c r="J3740" s="23" t="str">
        <f aca="false">Nonlabor!$B$24</f>
        <v>AI</v>
      </c>
    </row>
    <row r="3741" customFormat="false" ht="15" hidden="false" customHeight="false" outlineLevel="0" collapsed="false">
      <c r="A3741" s="6" t="s">
        <v>73</v>
      </c>
      <c r="B3741" s="6" t="s">
        <v>428</v>
      </c>
      <c r="C3741" s="6" t="n">
        <v>16</v>
      </c>
      <c r="D3741" s="25" t="n">
        <f aca="false">EDATE('Start Here'!$B$6,C3741-1)</f>
        <v>46784</v>
      </c>
      <c r="E3741" s="23" t="n">
        <f aca="false">IF(AND(OR(Nonlabor!$D$24="Both",Nonlabor!$D$24='Start Here'!$B$9),IF(Nonlabor!$E$24="Core",1,IF(Nonlabor!$E$24="AI",'Start Here'!$B$7,'Start Here'!$B$8))=1,C3741&gt;=IF(Nonlabor!$E$24="Core",Nonlabor!$F$24,MAX(Nonlabor!$F$24,IF(Nonlabor!$E$24="AI",Assumptions!$E$24,Assumptions!$E$25))),C3741&lt;=Nonlabor!$G$24,OR(Nonlabor!$H$24="Monthly",AND(Nonlabor!$H$24="Once",C3741=IF(Nonlabor!$E$24="Core",Nonlabor!$F$24,MAX(Nonlabor!$F$24,IF(Nonlabor!$E$24="AI",Assumptions!$E$24,Assumptions!$E$25)))),AND(Nonlabor!$H$24="Annual",MOD(C3741-IF(Nonlabor!$E$24="Core",Nonlabor!$F$24,MAX(Nonlabor!$F$24,IF(Nonlabor!$E$24="AI",Assumptions!$E$24,Assumptions!$E$25))),12)=0))),IF(Nonlabor!$I$24="Fixed",1,IF(Nonlabor!$I$24="Seats",ROUNDUP('Monthly Growth'!I21,0),IF(Nonlabor!$I$24="Customers",'Monthly Growth'!D21,IF(Nonlabor!$I$24="NewCustomers",'Monthly Growth'!C21,IF(Nonlabor!$I$24="StorageGB",'Monthly Growth'!G21,IF(Nonlabor!$I$24="LogGB",'Monthly Growth'!H21,IF(Nonlabor!$I$24="RequestsM",'Monthly Growth'!F21,IF(Nonlabor!$I$24="InputM",'Monthly Growth'!D21*Assumptions!$E$22/1000000,IF(Nonlabor!$I$24="OutputM",'Monthly Growth'!D21*Assumptions!$E$23/1000000,0))))))))),0)</f>
        <v>0</v>
      </c>
      <c r="F3741" s="10" t="n">
        <f aca="false">Nonlabor!$J$24*(1+Assumptions!$E$9)^INT((C3741-1)/12)</f>
        <v>0.416</v>
      </c>
      <c r="G3741" s="10" t="n">
        <f aca="false">E3741*F3741</f>
        <v>0</v>
      </c>
      <c r="H3741" s="10" t="n">
        <f aca="false">IF(OR(Nonlabor!$L$24="Quote required",Nonlabor!$L$24="Unverified"),G3741,0)</f>
        <v>0</v>
      </c>
      <c r="I3741" s="10" t="n">
        <f aca="false">IF(Nonlabor!$E$24="Core",0,G3741)</f>
        <v>0</v>
      </c>
      <c r="J3741" s="23" t="str">
        <f aca="false">Nonlabor!$B$24</f>
        <v>AI</v>
      </c>
    </row>
    <row r="3742" customFormat="false" ht="15" hidden="false" customHeight="false" outlineLevel="0" collapsed="false">
      <c r="A3742" s="6" t="s">
        <v>73</v>
      </c>
      <c r="B3742" s="6" t="s">
        <v>428</v>
      </c>
      <c r="C3742" s="6" t="n">
        <v>17</v>
      </c>
      <c r="D3742" s="25" t="n">
        <f aca="false">EDATE('Start Here'!$B$6,C3742-1)</f>
        <v>46813</v>
      </c>
      <c r="E3742" s="23" t="n">
        <f aca="false">IF(AND(OR(Nonlabor!$D$24="Both",Nonlabor!$D$24='Start Here'!$B$9),IF(Nonlabor!$E$24="Core",1,IF(Nonlabor!$E$24="AI",'Start Here'!$B$7,'Start Here'!$B$8))=1,C3742&gt;=IF(Nonlabor!$E$24="Core",Nonlabor!$F$24,MAX(Nonlabor!$F$24,IF(Nonlabor!$E$24="AI",Assumptions!$E$24,Assumptions!$E$25))),C3742&lt;=Nonlabor!$G$24,OR(Nonlabor!$H$24="Monthly",AND(Nonlabor!$H$24="Once",C3742=IF(Nonlabor!$E$24="Core",Nonlabor!$F$24,MAX(Nonlabor!$F$24,IF(Nonlabor!$E$24="AI",Assumptions!$E$24,Assumptions!$E$25)))),AND(Nonlabor!$H$24="Annual",MOD(C3742-IF(Nonlabor!$E$24="Core",Nonlabor!$F$24,MAX(Nonlabor!$F$24,IF(Nonlabor!$E$24="AI",Assumptions!$E$24,Assumptions!$E$25))),12)=0))),IF(Nonlabor!$I$24="Fixed",1,IF(Nonlabor!$I$24="Seats",ROUNDUP('Monthly Growth'!I22,0),IF(Nonlabor!$I$24="Customers",'Monthly Growth'!D22,IF(Nonlabor!$I$24="NewCustomers",'Monthly Growth'!C22,IF(Nonlabor!$I$24="StorageGB",'Monthly Growth'!G22,IF(Nonlabor!$I$24="LogGB",'Monthly Growth'!H22,IF(Nonlabor!$I$24="RequestsM",'Monthly Growth'!F22,IF(Nonlabor!$I$24="InputM",'Monthly Growth'!D22*Assumptions!$E$22/1000000,IF(Nonlabor!$I$24="OutputM",'Monthly Growth'!D22*Assumptions!$E$23/1000000,0))))))))),0)</f>
        <v>0</v>
      </c>
      <c r="F3742" s="10" t="n">
        <f aca="false">Nonlabor!$J$24*(1+Assumptions!$E$9)^INT((C3742-1)/12)</f>
        <v>0.416</v>
      </c>
      <c r="G3742" s="10" t="n">
        <f aca="false">E3742*F3742</f>
        <v>0</v>
      </c>
      <c r="H3742" s="10" t="n">
        <f aca="false">IF(OR(Nonlabor!$L$24="Quote required",Nonlabor!$L$24="Unverified"),G3742,0)</f>
        <v>0</v>
      </c>
      <c r="I3742" s="10" t="n">
        <f aca="false">IF(Nonlabor!$E$24="Core",0,G3742)</f>
        <v>0</v>
      </c>
      <c r="J3742" s="23" t="str">
        <f aca="false">Nonlabor!$B$24</f>
        <v>AI</v>
      </c>
    </row>
    <row r="3743" customFormat="false" ht="15" hidden="false" customHeight="false" outlineLevel="0" collapsed="false">
      <c r="A3743" s="6" t="s">
        <v>73</v>
      </c>
      <c r="B3743" s="6" t="s">
        <v>428</v>
      </c>
      <c r="C3743" s="6" t="n">
        <v>18</v>
      </c>
      <c r="D3743" s="25" t="n">
        <f aca="false">EDATE('Start Here'!$B$6,C3743-1)</f>
        <v>46844</v>
      </c>
      <c r="E3743" s="23" t="n">
        <f aca="false">IF(AND(OR(Nonlabor!$D$24="Both",Nonlabor!$D$24='Start Here'!$B$9),IF(Nonlabor!$E$24="Core",1,IF(Nonlabor!$E$24="AI",'Start Here'!$B$7,'Start Here'!$B$8))=1,C3743&gt;=IF(Nonlabor!$E$24="Core",Nonlabor!$F$24,MAX(Nonlabor!$F$24,IF(Nonlabor!$E$24="AI",Assumptions!$E$24,Assumptions!$E$25))),C3743&lt;=Nonlabor!$G$24,OR(Nonlabor!$H$24="Monthly",AND(Nonlabor!$H$24="Once",C3743=IF(Nonlabor!$E$24="Core",Nonlabor!$F$24,MAX(Nonlabor!$F$24,IF(Nonlabor!$E$24="AI",Assumptions!$E$24,Assumptions!$E$25)))),AND(Nonlabor!$H$24="Annual",MOD(C3743-IF(Nonlabor!$E$24="Core",Nonlabor!$F$24,MAX(Nonlabor!$F$24,IF(Nonlabor!$E$24="AI",Assumptions!$E$24,Assumptions!$E$25))),12)=0))),IF(Nonlabor!$I$24="Fixed",1,IF(Nonlabor!$I$24="Seats",ROUNDUP('Monthly Growth'!I23,0),IF(Nonlabor!$I$24="Customers",'Monthly Growth'!D23,IF(Nonlabor!$I$24="NewCustomers",'Monthly Growth'!C23,IF(Nonlabor!$I$24="StorageGB",'Monthly Growth'!G23,IF(Nonlabor!$I$24="LogGB",'Monthly Growth'!H23,IF(Nonlabor!$I$24="RequestsM",'Monthly Growth'!F23,IF(Nonlabor!$I$24="InputM",'Monthly Growth'!D23*Assumptions!$E$22/1000000,IF(Nonlabor!$I$24="OutputM",'Monthly Growth'!D23*Assumptions!$E$23/1000000,0))))))))),0)</f>
        <v>0</v>
      </c>
      <c r="F3743" s="10" t="n">
        <f aca="false">Nonlabor!$J$24*(1+Assumptions!$E$9)^INT((C3743-1)/12)</f>
        <v>0.416</v>
      </c>
      <c r="G3743" s="10" t="n">
        <f aca="false">E3743*F3743</f>
        <v>0</v>
      </c>
      <c r="H3743" s="10" t="n">
        <f aca="false">IF(OR(Nonlabor!$L$24="Quote required",Nonlabor!$L$24="Unverified"),G3743,0)</f>
        <v>0</v>
      </c>
      <c r="I3743" s="10" t="n">
        <f aca="false">IF(Nonlabor!$E$24="Core",0,G3743)</f>
        <v>0</v>
      </c>
      <c r="J3743" s="23" t="str">
        <f aca="false">Nonlabor!$B$24</f>
        <v>AI</v>
      </c>
    </row>
    <row r="3744" customFormat="false" ht="15" hidden="false" customHeight="false" outlineLevel="0" collapsed="false">
      <c r="A3744" s="6" t="s">
        <v>73</v>
      </c>
      <c r="B3744" s="6" t="s">
        <v>428</v>
      </c>
      <c r="C3744" s="6" t="n">
        <v>19</v>
      </c>
      <c r="D3744" s="25" t="n">
        <f aca="false">EDATE('Start Here'!$B$6,C3744-1)</f>
        <v>46874</v>
      </c>
      <c r="E3744" s="23" t="n">
        <f aca="false">IF(AND(OR(Nonlabor!$D$24="Both",Nonlabor!$D$24='Start Here'!$B$9),IF(Nonlabor!$E$24="Core",1,IF(Nonlabor!$E$24="AI",'Start Here'!$B$7,'Start Here'!$B$8))=1,C3744&gt;=IF(Nonlabor!$E$24="Core",Nonlabor!$F$24,MAX(Nonlabor!$F$24,IF(Nonlabor!$E$24="AI",Assumptions!$E$24,Assumptions!$E$25))),C3744&lt;=Nonlabor!$G$24,OR(Nonlabor!$H$24="Monthly",AND(Nonlabor!$H$24="Once",C3744=IF(Nonlabor!$E$24="Core",Nonlabor!$F$24,MAX(Nonlabor!$F$24,IF(Nonlabor!$E$24="AI",Assumptions!$E$24,Assumptions!$E$25)))),AND(Nonlabor!$H$24="Annual",MOD(C3744-IF(Nonlabor!$E$24="Core",Nonlabor!$F$24,MAX(Nonlabor!$F$24,IF(Nonlabor!$E$24="AI",Assumptions!$E$24,Assumptions!$E$25))),12)=0))),IF(Nonlabor!$I$24="Fixed",1,IF(Nonlabor!$I$24="Seats",ROUNDUP('Monthly Growth'!I24,0),IF(Nonlabor!$I$24="Customers",'Monthly Growth'!D24,IF(Nonlabor!$I$24="NewCustomers",'Monthly Growth'!C24,IF(Nonlabor!$I$24="StorageGB",'Monthly Growth'!G24,IF(Nonlabor!$I$24="LogGB",'Monthly Growth'!H24,IF(Nonlabor!$I$24="RequestsM",'Monthly Growth'!F24,IF(Nonlabor!$I$24="InputM",'Monthly Growth'!D24*Assumptions!$E$22/1000000,IF(Nonlabor!$I$24="OutputM",'Monthly Growth'!D24*Assumptions!$E$23/1000000,0))))))))),0)</f>
        <v>0</v>
      </c>
      <c r="F3744" s="10" t="n">
        <f aca="false">Nonlabor!$J$24*(1+Assumptions!$E$9)^INT((C3744-1)/12)</f>
        <v>0.416</v>
      </c>
      <c r="G3744" s="10" t="n">
        <f aca="false">E3744*F3744</f>
        <v>0</v>
      </c>
      <c r="H3744" s="10" t="n">
        <f aca="false">IF(OR(Nonlabor!$L$24="Quote required",Nonlabor!$L$24="Unverified"),G3744,0)</f>
        <v>0</v>
      </c>
      <c r="I3744" s="10" t="n">
        <f aca="false">IF(Nonlabor!$E$24="Core",0,G3744)</f>
        <v>0</v>
      </c>
      <c r="J3744" s="23" t="str">
        <f aca="false">Nonlabor!$B$24</f>
        <v>AI</v>
      </c>
    </row>
    <row r="3745" customFormat="false" ht="15" hidden="false" customHeight="false" outlineLevel="0" collapsed="false">
      <c r="A3745" s="6" t="s">
        <v>73</v>
      </c>
      <c r="B3745" s="6" t="s">
        <v>428</v>
      </c>
      <c r="C3745" s="6" t="n">
        <v>20</v>
      </c>
      <c r="D3745" s="25" t="n">
        <f aca="false">EDATE('Start Here'!$B$6,C3745-1)</f>
        <v>46905</v>
      </c>
      <c r="E3745" s="23" t="n">
        <f aca="false">IF(AND(OR(Nonlabor!$D$24="Both",Nonlabor!$D$24='Start Here'!$B$9),IF(Nonlabor!$E$24="Core",1,IF(Nonlabor!$E$24="AI",'Start Here'!$B$7,'Start Here'!$B$8))=1,C3745&gt;=IF(Nonlabor!$E$24="Core",Nonlabor!$F$24,MAX(Nonlabor!$F$24,IF(Nonlabor!$E$24="AI",Assumptions!$E$24,Assumptions!$E$25))),C3745&lt;=Nonlabor!$G$24,OR(Nonlabor!$H$24="Monthly",AND(Nonlabor!$H$24="Once",C3745=IF(Nonlabor!$E$24="Core",Nonlabor!$F$24,MAX(Nonlabor!$F$24,IF(Nonlabor!$E$24="AI",Assumptions!$E$24,Assumptions!$E$25)))),AND(Nonlabor!$H$24="Annual",MOD(C3745-IF(Nonlabor!$E$24="Core",Nonlabor!$F$24,MAX(Nonlabor!$F$24,IF(Nonlabor!$E$24="AI",Assumptions!$E$24,Assumptions!$E$25))),12)=0))),IF(Nonlabor!$I$24="Fixed",1,IF(Nonlabor!$I$24="Seats",ROUNDUP('Monthly Growth'!I25,0),IF(Nonlabor!$I$24="Customers",'Monthly Growth'!D25,IF(Nonlabor!$I$24="NewCustomers",'Monthly Growth'!C25,IF(Nonlabor!$I$24="StorageGB",'Monthly Growth'!G25,IF(Nonlabor!$I$24="LogGB",'Monthly Growth'!H25,IF(Nonlabor!$I$24="RequestsM",'Monthly Growth'!F25,IF(Nonlabor!$I$24="InputM",'Monthly Growth'!D25*Assumptions!$E$22/1000000,IF(Nonlabor!$I$24="OutputM",'Monthly Growth'!D25*Assumptions!$E$23/1000000,0))))))))),0)</f>
        <v>0</v>
      </c>
      <c r="F3745" s="10" t="n">
        <f aca="false">Nonlabor!$J$24*(1+Assumptions!$E$9)^INT((C3745-1)/12)</f>
        <v>0.416</v>
      </c>
      <c r="G3745" s="10" t="n">
        <f aca="false">E3745*F3745</f>
        <v>0</v>
      </c>
      <c r="H3745" s="10" t="n">
        <f aca="false">IF(OR(Nonlabor!$L$24="Quote required",Nonlabor!$L$24="Unverified"),G3745,0)</f>
        <v>0</v>
      </c>
      <c r="I3745" s="10" t="n">
        <f aca="false">IF(Nonlabor!$E$24="Core",0,G3745)</f>
        <v>0</v>
      </c>
      <c r="J3745" s="23" t="str">
        <f aca="false">Nonlabor!$B$24</f>
        <v>AI</v>
      </c>
    </row>
    <row r="3746" customFormat="false" ht="15" hidden="false" customHeight="false" outlineLevel="0" collapsed="false">
      <c r="A3746" s="6" t="s">
        <v>73</v>
      </c>
      <c r="B3746" s="6" t="s">
        <v>428</v>
      </c>
      <c r="C3746" s="6" t="n">
        <v>21</v>
      </c>
      <c r="D3746" s="25" t="n">
        <f aca="false">EDATE('Start Here'!$B$6,C3746-1)</f>
        <v>46935</v>
      </c>
      <c r="E3746" s="23" t="n">
        <f aca="false">IF(AND(OR(Nonlabor!$D$24="Both",Nonlabor!$D$24='Start Here'!$B$9),IF(Nonlabor!$E$24="Core",1,IF(Nonlabor!$E$24="AI",'Start Here'!$B$7,'Start Here'!$B$8))=1,C3746&gt;=IF(Nonlabor!$E$24="Core",Nonlabor!$F$24,MAX(Nonlabor!$F$24,IF(Nonlabor!$E$24="AI",Assumptions!$E$24,Assumptions!$E$25))),C3746&lt;=Nonlabor!$G$24,OR(Nonlabor!$H$24="Monthly",AND(Nonlabor!$H$24="Once",C3746=IF(Nonlabor!$E$24="Core",Nonlabor!$F$24,MAX(Nonlabor!$F$24,IF(Nonlabor!$E$24="AI",Assumptions!$E$24,Assumptions!$E$25)))),AND(Nonlabor!$H$24="Annual",MOD(C3746-IF(Nonlabor!$E$24="Core",Nonlabor!$F$24,MAX(Nonlabor!$F$24,IF(Nonlabor!$E$24="AI",Assumptions!$E$24,Assumptions!$E$25))),12)=0))),IF(Nonlabor!$I$24="Fixed",1,IF(Nonlabor!$I$24="Seats",ROUNDUP('Monthly Growth'!I26,0),IF(Nonlabor!$I$24="Customers",'Monthly Growth'!D26,IF(Nonlabor!$I$24="NewCustomers",'Monthly Growth'!C26,IF(Nonlabor!$I$24="StorageGB",'Monthly Growth'!G26,IF(Nonlabor!$I$24="LogGB",'Monthly Growth'!H26,IF(Nonlabor!$I$24="RequestsM",'Monthly Growth'!F26,IF(Nonlabor!$I$24="InputM",'Monthly Growth'!D26*Assumptions!$E$22/1000000,IF(Nonlabor!$I$24="OutputM",'Monthly Growth'!D26*Assumptions!$E$23/1000000,0))))))))),0)</f>
        <v>0</v>
      </c>
      <c r="F3746" s="10" t="n">
        <f aca="false">Nonlabor!$J$24*(1+Assumptions!$E$9)^INT((C3746-1)/12)</f>
        <v>0.416</v>
      </c>
      <c r="G3746" s="10" t="n">
        <f aca="false">E3746*F3746</f>
        <v>0</v>
      </c>
      <c r="H3746" s="10" t="n">
        <f aca="false">IF(OR(Nonlabor!$L$24="Quote required",Nonlabor!$L$24="Unverified"),G3746,0)</f>
        <v>0</v>
      </c>
      <c r="I3746" s="10" t="n">
        <f aca="false">IF(Nonlabor!$E$24="Core",0,G3746)</f>
        <v>0</v>
      </c>
      <c r="J3746" s="23" t="str">
        <f aca="false">Nonlabor!$B$24</f>
        <v>AI</v>
      </c>
    </row>
    <row r="3747" customFormat="false" ht="15" hidden="false" customHeight="false" outlineLevel="0" collapsed="false">
      <c r="A3747" s="6" t="s">
        <v>73</v>
      </c>
      <c r="B3747" s="6" t="s">
        <v>428</v>
      </c>
      <c r="C3747" s="6" t="n">
        <v>22</v>
      </c>
      <c r="D3747" s="25" t="n">
        <f aca="false">EDATE('Start Here'!$B$6,C3747-1)</f>
        <v>46966</v>
      </c>
      <c r="E3747" s="23" t="n">
        <f aca="false">IF(AND(OR(Nonlabor!$D$24="Both",Nonlabor!$D$24='Start Here'!$B$9),IF(Nonlabor!$E$24="Core",1,IF(Nonlabor!$E$24="AI",'Start Here'!$B$7,'Start Here'!$B$8))=1,C3747&gt;=IF(Nonlabor!$E$24="Core",Nonlabor!$F$24,MAX(Nonlabor!$F$24,IF(Nonlabor!$E$24="AI",Assumptions!$E$24,Assumptions!$E$25))),C3747&lt;=Nonlabor!$G$24,OR(Nonlabor!$H$24="Monthly",AND(Nonlabor!$H$24="Once",C3747=IF(Nonlabor!$E$24="Core",Nonlabor!$F$24,MAX(Nonlabor!$F$24,IF(Nonlabor!$E$24="AI",Assumptions!$E$24,Assumptions!$E$25)))),AND(Nonlabor!$H$24="Annual",MOD(C3747-IF(Nonlabor!$E$24="Core",Nonlabor!$F$24,MAX(Nonlabor!$F$24,IF(Nonlabor!$E$24="AI",Assumptions!$E$24,Assumptions!$E$25))),12)=0))),IF(Nonlabor!$I$24="Fixed",1,IF(Nonlabor!$I$24="Seats",ROUNDUP('Monthly Growth'!I27,0),IF(Nonlabor!$I$24="Customers",'Monthly Growth'!D27,IF(Nonlabor!$I$24="NewCustomers",'Monthly Growth'!C27,IF(Nonlabor!$I$24="StorageGB",'Monthly Growth'!G27,IF(Nonlabor!$I$24="LogGB",'Monthly Growth'!H27,IF(Nonlabor!$I$24="RequestsM",'Monthly Growth'!F27,IF(Nonlabor!$I$24="InputM",'Monthly Growth'!D27*Assumptions!$E$22/1000000,IF(Nonlabor!$I$24="OutputM",'Monthly Growth'!D27*Assumptions!$E$23/1000000,0))))))))),0)</f>
        <v>0</v>
      </c>
      <c r="F3747" s="10" t="n">
        <f aca="false">Nonlabor!$J$24*(1+Assumptions!$E$9)^INT((C3747-1)/12)</f>
        <v>0.416</v>
      </c>
      <c r="G3747" s="10" t="n">
        <f aca="false">E3747*F3747</f>
        <v>0</v>
      </c>
      <c r="H3747" s="10" t="n">
        <f aca="false">IF(OR(Nonlabor!$L$24="Quote required",Nonlabor!$L$24="Unverified"),G3747,0)</f>
        <v>0</v>
      </c>
      <c r="I3747" s="10" t="n">
        <f aca="false">IF(Nonlabor!$E$24="Core",0,G3747)</f>
        <v>0</v>
      </c>
      <c r="J3747" s="23" t="str">
        <f aca="false">Nonlabor!$B$24</f>
        <v>AI</v>
      </c>
    </row>
    <row r="3748" customFormat="false" ht="15" hidden="false" customHeight="false" outlineLevel="0" collapsed="false">
      <c r="A3748" s="6" t="s">
        <v>73</v>
      </c>
      <c r="B3748" s="6" t="s">
        <v>428</v>
      </c>
      <c r="C3748" s="6" t="n">
        <v>23</v>
      </c>
      <c r="D3748" s="25" t="n">
        <f aca="false">EDATE('Start Here'!$B$6,C3748-1)</f>
        <v>46997</v>
      </c>
      <c r="E3748" s="23" t="n">
        <f aca="false">IF(AND(OR(Nonlabor!$D$24="Both",Nonlabor!$D$24='Start Here'!$B$9),IF(Nonlabor!$E$24="Core",1,IF(Nonlabor!$E$24="AI",'Start Here'!$B$7,'Start Here'!$B$8))=1,C3748&gt;=IF(Nonlabor!$E$24="Core",Nonlabor!$F$24,MAX(Nonlabor!$F$24,IF(Nonlabor!$E$24="AI",Assumptions!$E$24,Assumptions!$E$25))),C3748&lt;=Nonlabor!$G$24,OR(Nonlabor!$H$24="Monthly",AND(Nonlabor!$H$24="Once",C3748=IF(Nonlabor!$E$24="Core",Nonlabor!$F$24,MAX(Nonlabor!$F$24,IF(Nonlabor!$E$24="AI",Assumptions!$E$24,Assumptions!$E$25)))),AND(Nonlabor!$H$24="Annual",MOD(C3748-IF(Nonlabor!$E$24="Core",Nonlabor!$F$24,MAX(Nonlabor!$F$24,IF(Nonlabor!$E$24="AI",Assumptions!$E$24,Assumptions!$E$25))),12)=0))),IF(Nonlabor!$I$24="Fixed",1,IF(Nonlabor!$I$24="Seats",ROUNDUP('Monthly Growth'!I28,0),IF(Nonlabor!$I$24="Customers",'Monthly Growth'!D28,IF(Nonlabor!$I$24="NewCustomers",'Monthly Growth'!C28,IF(Nonlabor!$I$24="StorageGB",'Monthly Growth'!G28,IF(Nonlabor!$I$24="LogGB",'Monthly Growth'!H28,IF(Nonlabor!$I$24="RequestsM",'Monthly Growth'!F28,IF(Nonlabor!$I$24="InputM",'Monthly Growth'!D28*Assumptions!$E$22/1000000,IF(Nonlabor!$I$24="OutputM",'Monthly Growth'!D28*Assumptions!$E$23/1000000,0))))))))),0)</f>
        <v>0</v>
      </c>
      <c r="F3748" s="10" t="n">
        <f aca="false">Nonlabor!$J$24*(1+Assumptions!$E$9)^INT((C3748-1)/12)</f>
        <v>0.416</v>
      </c>
      <c r="G3748" s="10" t="n">
        <f aca="false">E3748*F3748</f>
        <v>0</v>
      </c>
      <c r="H3748" s="10" t="n">
        <f aca="false">IF(OR(Nonlabor!$L$24="Quote required",Nonlabor!$L$24="Unverified"),G3748,0)</f>
        <v>0</v>
      </c>
      <c r="I3748" s="10" t="n">
        <f aca="false">IF(Nonlabor!$E$24="Core",0,G3748)</f>
        <v>0</v>
      </c>
      <c r="J3748" s="23" t="str">
        <f aca="false">Nonlabor!$B$24</f>
        <v>AI</v>
      </c>
    </row>
    <row r="3749" customFormat="false" ht="15" hidden="false" customHeight="false" outlineLevel="0" collapsed="false">
      <c r="A3749" s="6" t="s">
        <v>73</v>
      </c>
      <c r="B3749" s="6" t="s">
        <v>428</v>
      </c>
      <c r="C3749" s="6" t="n">
        <v>24</v>
      </c>
      <c r="D3749" s="25" t="n">
        <f aca="false">EDATE('Start Here'!$B$6,C3749-1)</f>
        <v>47027</v>
      </c>
      <c r="E3749" s="23" t="n">
        <f aca="false">IF(AND(OR(Nonlabor!$D$24="Both",Nonlabor!$D$24='Start Here'!$B$9),IF(Nonlabor!$E$24="Core",1,IF(Nonlabor!$E$24="AI",'Start Here'!$B$7,'Start Here'!$B$8))=1,C3749&gt;=IF(Nonlabor!$E$24="Core",Nonlabor!$F$24,MAX(Nonlabor!$F$24,IF(Nonlabor!$E$24="AI",Assumptions!$E$24,Assumptions!$E$25))),C3749&lt;=Nonlabor!$G$24,OR(Nonlabor!$H$24="Monthly",AND(Nonlabor!$H$24="Once",C3749=IF(Nonlabor!$E$24="Core",Nonlabor!$F$24,MAX(Nonlabor!$F$24,IF(Nonlabor!$E$24="AI",Assumptions!$E$24,Assumptions!$E$25)))),AND(Nonlabor!$H$24="Annual",MOD(C3749-IF(Nonlabor!$E$24="Core",Nonlabor!$F$24,MAX(Nonlabor!$F$24,IF(Nonlabor!$E$24="AI",Assumptions!$E$24,Assumptions!$E$25))),12)=0))),IF(Nonlabor!$I$24="Fixed",1,IF(Nonlabor!$I$24="Seats",ROUNDUP('Monthly Growth'!I29,0),IF(Nonlabor!$I$24="Customers",'Monthly Growth'!D29,IF(Nonlabor!$I$24="NewCustomers",'Monthly Growth'!C29,IF(Nonlabor!$I$24="StorageGB",'Monthly Growth'!G29,IF(Nonlabor!$I$24="LogGB",'Monthly Growth'!H29,IF(Nonlabor!$I$24="RequestsM",'Monthly Growth'!F29,IF(Nonlabor!$I$24="InputM",'Monthly Growth'!D29*Assumptions!$E$22/1000000,IF(Nonlabor!$I$24="OutputM",'Monthly Growth'!D29*Assumptions!$E$23/1000000,0))))))))),0)</f>
        <v>0</v>
      </c>
      <c r="F3749" s="10" t="n">
        <f aca="false">Nonlabor!$J$24*(1+Assumptions!$E$9)^INT((C3749-1)/12)</f>
        <v>0.416</v>
      </c>
      <c r="G3749" s="10" t="n">
        <f aca="false">E3749*F3749</f>
        <v>0</v>
      </c>
      <c r="H3749" s="10" t="n">
        <f aca="false">IF(OR(Nonlabor!$L$24="Quote required",Nonlabor!$L$24="Unverified"),G3749,0)</f>
        <v>0</v>
      </c>
      <c r="I3749" s="10" t="n">
        <f aca="false">IF(Nonlabor!$E$24="Core",0,G3749)</f>
        <v>0</v>
      </c>
      <c r="J3749" s="23" t="str">
        <f aca="false">Nonlabor!$B$24</f>
        <v>AI</v>
      </c>
    </row>
    <row r="3750" customFormat="false" ht="15" hidden="false" customHeight="false" outlineLevel="0" collapsed="false">
      <c r="A3750" s="6" t="s">
        <v>73</v>
      </c>
      <c r="B3750" s="6" t="s">
        <v>428</v>
      </c>
      <c r="C3750" s="6" t="n">
        <v>25</v>
      </c>
      <c r="D3750" s="25" t="n">
        <f aca="false">EDATE('Start Here'!$B$6,C3750-1)</f>
        <v>47058</v>
      </c>
      <c r="E3750" s="23" t="n">
        <f aca="false">IF(AND(OR(Nonlabor!$D$24="Both",Nonlabor!$D$24='Start Here'!$B$9),IF(Nonlabor!$E$24="Core",1,IF(Nonlabor!$E$24="AI",'Start Here'!$B$7,'Start Here'!$B$8))=1,C3750&gt;=IF(Nonlabor!$E$24="Core",Nonlabor!$F$24,MAX(Nonlabor!$F$24,IF(Nonlabor!$E$24="AI",Assumptions!$E$24,Assumptions!$E$25))),C3750&lt;=Nonlabor!$G$24,OR(Nonlabor!$H$24="Monthly",AND(Nonlabor!$H$24="Once",C3750=IF(Nonlabor!$E$24="Core",Nonlabor!$F$24,MAX(Nonlabor!$F$24,IF(Nonlabor!$E$24="AI",Assumptions!$E$24,Assumptions!$E$25)))),AND(Nonlabor!$H$24="Annual",MOD(C3750-IF(Nonlabor!$E$24="Core",Nonlabor!$F$24,MAX(Nonlabor!$F$24,IF(Nonlabor!$E$24="AI",Assumptions!$E$24,Assumptions!$E$25))),12)=0))),IF(Nonlabor!$I$24="Fixed",1,IF(Nonlabor!$I$24="Seats",ROUNDUP('Monthly Growth'!I30,0),IF(Nonlabor!$I$24="Customers",'Monthly Growth'!D30,IF(Nonlabor!$I$24="NewCustomers",'Monthly Growth'!C30,IF(Nonlabor!$I$24="StorageGB",'Monthly Growth'!G30,IF(Nonlabor!$I$24="LogGB",'Monthly Growth'!H30,IF(Nonlabor!$I$24="RequestsM",'Monthly Growth'!F30,IF(Nonlabor!$I$24="InputM",'Monthly Growth'!D30*Assumptions!$E$22/1000000,IF(Nonlabor!$I$24="OutputM",'Monthly Growth'!D30*Assumptions!$E$23/1000000,0))))))))),0)</f>
        <v>0</v>
      </c>
      <c r="F3750" s="10" t="n">
        <f aca="false">Nonlabor!$J$24*(1+Assumptions!$E$9)^INT((C3750-1)/12)</f>
        <v>0.43264</v>
      </c>
      <c r="G3750" s="10" t="n">
        <f aca="false">E3750*F3750</f>
        <v>0</v>
      </c>
      <c r="H3750" s="10" t="n">
        <f aca="false">IF(OR(Nonlabor!$L$24="Quote required",Nonlabor!$L$24="Unverified"),G3750,0)</f>
        <v>0</v>
      </c>
      <c r="I3750" s="10" t="n">
        <f aca="false">IF(Nonlabor!$E$24="Core",0,G3750)</f>
        <v>0</v>
      </c>
      <c r="J3750" s="23" t="str">
        <f aca="false">Nonlabor!$B$24</f>
        <v>AI</v>
      </c>
    </row>
    <row r="3751" customFormat="false" ht="15" hidden="false" customHeight="false" outlineLevel="0" collapsed="false">
      <c r="A3751" s="6" t="s">
        <v>73</v>
      </c>
      <c r="B3751" s="6" t="s">
        <v>428</v>
      </c>
      <c r="C3751" s="6" t="n">
        <v>26</v>
      </c>
      <c r="D3751" s="25" t="n">
        <f aca="false">EDATE('Start Here'!$B$6,C3751-1)</f>
        <v>47088</v>
      </c>
      <c r="E3751" s="23" t="n">
        <f aca="false">IF(AND(OR(Nonlabor!$D$24="Both",Nonlabor!$D$24='Start Here'!$B$9),IF(Nonlabor!$E$24="Core",1,IF(Nonlabor!$E$24="AI",'Start Here'!$B$7,'Start Here'!$B$8))=1,C3751&gt;=IF(Nonlabor!$E$24="Core",Nonlabor!$F$24,MAX(Nonlabor!$F$24,IF(Nonlabor!$E$24="AI",Assumptions!$E$24,Assumptions!$E$25))),C3751&lt;=Nonlabor!$G$24,OR(Nonlabor!$H$24="Monthly",AND(Nonlabor!$H$24="Once",C3751=IF(Nonlabor!$E$24="Core",Nonlabor!$F$24,MAX(Nonlabor!$F$24,IF(Nonlabor!$E$24="AI",Assumptions!$E$24,Assumptions!$E$25)))),AND(Nonlabor!$H$24="Annual",MOD(C3751-IF(Nonlabor!$E$24="Core",Nonlabor!$F$24,MAX(Nonlabor!$F$24,IF(Nonlabor!$E$24="AI",Assumptions!$E$24,Assumptions!$E$25))),12)=0))),IF(Nonlabor!$I$24="Fixed",1,IF(Nonlabor!$I$24="Seats",ROUNDUP('Monthly Growth'!I31,0),IF(Nonlabor!$I$24="Customers",'Monthly Growth'!D31,IF(Nonlabor!$I$24="NewCustomers",'Monthly Growth'!C31,IF(Nonlabor!$I$24="StorageGB",'Monthly Growth'!G31,IF(Nonlabor!$I$24="LogGB",'Monthly Growth'!H31,IF(Nonlabor!$I$24="RequestsM",'Monthly Growth'!F31,IF(Nonlabor!$I$24="InputM",'Monthly Growth'!D31*Assumptions!$E$22/1000000,IF(Nonlabor!$I$24="OutputM",'Monthly Growth'!D31*Assumptions!$E$23/1000000,0))))))))),0)</f>
        <v>0</v>
      </c>
      <c r="F3751" s="10" t="n">
        <f aca="false">Nonlabor!$J$24*(1+Assumptions!$E$9)^INT((C3751-1)/12)</f>
        <v>0.43264</v>
      </c>
      <c r="G3751" s="10" t="n">
        <f aca="false">E3751*F3751</f>
        <v>0</v>
      </c>
      <c r="H3751" s="10" t="n">
        <f aca="false">IF(OR(Nonlabor!$L$24="Quote required",Nonlabor!$L$24="Unverified"),G3751,0)</f>
        <v>0</v>
      </c>
      <c r="I3751" s="10" t="n">
        <f aca="false">IF(Nonlabor!$E$24="Core",0,G3751)</f>
        <v>0</v>
      </c>
      <c r="J3751" s="23" t="str">
        <f aca="false">Nonlabor!$B$24</f>
        <v>AI</v>
      </c>
    </row>
    <row r="3752" customFormat="false" ht="15" hidden="false" customHeight="false" outlineLevel="0" collapsed="false">
      <c r="A3752" s="6" t="s">
        <v>73</v>
      </c>
      <c r="B3752" s="6" t="s">
        <v>428</v>
      </c>
      <c r="C3752" s="6" t="n">
        <v>27</v>
      </c>
      <c r="D3752" s="25" t="n">
        <f aca="false">EDATE('Start Here'!$B$6,C3752-1)</f>
        <v>47119</v>
      </c>
      <c r="E3752" s="23" t="n">
        <f aca="false">IF(AND(OR(Nonlabor!$D$24="Both",Nonlabor!$D$24='Start Here'!$B$9),IF(Nonlabor!$E$24="Core",1,IF(Nonlabor!$E$24="AI",'Start Here'!$B$7,'Start Here'!$B$8))=1,C3752&gt;=IF(Nonlabor!$E$24="Core",Nonlabor!$F$24,MAX(Nonlabor!$F$24,IF(Nonlabor!$E$24="AI",Assumptions!$E$24,Assumptions!$E$25))),C3752&lt;=Nonlabor!$G$24,OR(Nonlabor!$H$24="Monthly",AND(Nonlabor!$H$24="Once",C3752=IF(Nonlabor!$E$24="Core",Nonlabor!$F$24,MAX(Nonlabor!$F$24,IF(Nonlabor!$E$24="AI",Assumptions!$E$24,Assumptions!$E$25)))),AND(Nonlabor!$H$24="Annual",MOD(C3752-IF(Nonlabor!$E$24="Core",Nonlabor!$F$24,MAX(Nonlabor!$F$24,IF(Nonlabor!$E$24="AI",Assumptions!$E$24,Assumptions!$E$25))),12)=0))),IF(Nonlabor!$I$24="Fixed",1,IF(Nonlabor!$I$24="Seats",ROUNDUP('Monthly Growth'!I32,0),IF(Nonlabor!$I$24="Customers",'Monthly Growth'!D32,IF(Nonlabor!$I$24="NewCustomers",'Monthly Growth'!C32,IF(Nonlabor!$I$24="StorageGB",'Monthly Growth'!G32,IF(Nonlabor!$I$24="LogGB",'Monthly Growth'!H32,IF(Nonlabor!$I$24="RequestsM",'Monthly Growth'!F32,IF(Nonlabor!$I$24="InputM",'Monthly Growth'!D32*Assumptions!$E$22/1000000,IF(Nonlabor!$I$24="OutputM",'Monthly Growth'!D32*Assumptions!$E$23/1000000,0))))))))),0)</f>
        <v>0</v>
      </c>
      <c r="F3752" s="10" t="n">
        <f aca="false">Nonlabor!$J$24*(1+Assumptions!$E$9)^INT((C3752-1)/12)</f>
        <v>0.43264</v>
      </c>
      <c r="G3752" s="10" t="n">
        <f aca="false">E3752*F3752</f>
        <v>0</v>
      </c>
      <c r="H3752" s="10" t="n">
        <f aca="false">IF(OR(Nonlabor!$L$24="Quote required",Nonlabor!$L$24="Unverified"),G3752,0)</f>
        <v>0</v>
      </c>
      <c r="I3752" s="10" t="n">
        <f aca="false">IF(Nonlabor!$E$24="Core",0,G3752)</f>
        <v>0</v>
      </c>
      <c r="J3752" s="23" t="str">
        <f aca="false">Nonlabor!$B$24</f>
        <v>AI</v>
      </c>
    </row>
    <row r="3753" customFormat="false" ht="15" hidden="false" customHeight="false" outlineLevel="0" collapsed="false">
      <c r="A3753" s="6" t="s">
        <v>73</v>
      </c>
      <c r="B3753" s="6" t="s">
        <v>428</v>
      </c>
      <c r="C3753" s="6" t="n">
        <v>28</v>
      </c>
      <c r="D3753" s="25" t="n">
        <f aca="false">EDATE('Start Here'!$B$6,C3753-1)</f>
        <v>47150</v>
      </c>
      <c r="E3753" s="23" t="n">
        <f aca="false">IF(AND(OR(Nonlabor!$D$24="Both",Nonlabor!$D$24='Start Here'!$B$9),IF(Nonlabor!$E$24="Core",1,IF(Nonlabor!$E$24="AI",'Start Here'!$B$7,'Start Here'!$B$8))=1,C3753&gt;=IF(Nonlabor!$E$24="Core",Nonlabor!$F$24,MAX(Nonlabor!$F$24,IF(Nonlabor!$E$24="AI",Assumptions!$E$24,Assumptions!$E$25))),C3753&lt;=Nonlabor!$G$24,OR(Nonlabor!$H$24="Monthly",AND(Nonlabor!$H$24="Once",C3753=IF(Nonlabor!$E$24="Core",Nonlabor!$F$24,MAX(Nonlabor!$F$24,IF(Nonlabor!$E$24="AI",Assumptions!$E$24,Assumptions!$E$25)))),AND(Nonlabor!$H$24="Annual",MOD(C3753-IF(Nonlabor!$E$24="Core",Nonlabor!$F$24,MAX(Nonlabor!$F$24,IF(Nonlabor!$E$24="AI",Assumptions!$E$24,Assumptions!$E$25))),12)=0))),IF(Nonlabor!$I$24="Fixed",1,IF(Nonlabor!$I$24="Seats",ROUNDUP('Monthly Growth'!I33,0),IF(Nonlabor!$I$24="Customers",'Monthly Growth'!D33,IF(Nonlabor!$I$24="NewCustomers",'Monthly Growth'!C33,IF(Nonlabor!$I$24="StorageGB",'Monthly Growth'!G33,IF(Nonlabor!$I$24="LogGB",'Monthly Growth'!H33,IF(Nonlabor!$I$24="RequestsM",'Monthly Growth'!F33,IF(Nonlabor!$I$24="InputM",'Monthly Growth'!D33*Assumptions!$E$22/1000000,IF(Nonlabor!$I$24="OutputM",'Monthly Growth'!D33*Assumptions!$E$23/1000000,0))))))))),0)</f>
        <v>0</v>
      </c>
      <c r="F3753" s="10" t="n">
        <f aca="false">Nonlabor!$J$24*(1+Assumptions!$E$9)^INT((C3753-1)/12)</f>
        <v>0.43264</v>
      </c>
      <c r="G3753" s="10" t="n">
        <f aca="false">E3753*F3753</f>
        <v>0</v>
      </c>
      <c r="H3753" s="10" t="n">
        <f aca="false">IF(OR(Nonlabor!$L$24="Quote required",Nonlabor!$L$24="Unverified"),G3753,0)</f>
        <v>0</v>
      </c>
      <c r="I3753" s="10" t="n">
        <f aca="false">IF(Nonlabor!$E$24="Core",0,G3753)</f>
        <v>0</v>
      </c>
      <c r="J3753" s="23" t="str">
        <f aca="false">Nonlabor!$B$24</f>
        <v>AI</v>
      </c>
    </row>
    <row r="3754" customFormat="false" ht="15" hidden="false" customHeight="false" outlineLevel="0" collapsed="false">
      <c r="A3754" s="6" t="s">
        <v>73</v>
      </c>
      <c r="B3754" s="6" t="s">
        <v>428</v>
      </c>
      <c r="C3754" s="6" t="n">
        <v>29</v>
      </c>
      <c r="D3754" s="25" t="n">
        <f aca="false">EDATE('Start Here'!$B$6,C3754-1)</f>
        <v>47178</v>
      </c>
      <c r="E3754" s="23" t="n">
        <f aca="false">IF(AND(OR(Nonlabor!$D$24="Both",Nonlabor!$D$24='Start Here'!$B$9),IF(Nonlabor!$E$24="Core",1,IF(Nonlabor!$E$24="AI",'Start Here'!$B$7,'Start Here'!$B$8))=1,C3754&gt;=IF(Nonlabor!$E$24="Core",Nonlabor!$F$24,MAX(Nonlabor!$F$24,IF(Nonlabor!$E$24="AI",Assumptions!$E$24,Assumptions!$E$25))),C3754&lt;=Nonlabor!$G$24,OR(Nonlabor!$H$24="Monthly",AND(Nonlabor!$H$24="Once",C3754=IF(Nonlabor!$E$24="Core",Nonlabor!$F$24,MAX(Nonlabor!$F$24,IF(Nonlabor!$E$24="AI",Assumptions!$E$24,Assumptions!$E$25)))),AND(Nonlabor!$H$24="Annual",MOD(C3754-IF(Nonlabor!$E$24="Core",Nonlabor!$F$24,MAX(Nonlabor!$F$24,IF(Nonlabor!$E$24="AI",Assumptions!$E$24,Assumptions!$E$25))),12)=0))),IF(Nonlabor!$I$24="Fixed",1,IF(Nonlabor!$I$24="Seats",ROUNDUP('Monthly Growth'!I34,0),IF(Nonlabor!$I$24="Customers",'Monthly Growth'!D34,IF(Nonlabor!$I$24="NewCustomers",'Monthly Growth'!C34,IF(Nonlabor!$I$24="StorageGB",'Monthly Growth'!G34,IF(Nonlabor!$I$24="LogGB",'Monthly Growth'!H34,IF(Nonlabor!$I$24="RequestsM",'Monthly Growth'!F34,IF(Nonlabor!$I$24="InputM",'Monthly Growth'!D34*Assumptions!$E$22/1000000,IF(Nonlabor!$I$24="OutputM",'Monthly Growth'!D34*Assumptions!$E$23/1000000,0))))))))),0)</f>
        <v>0</v>
      </c>
      <c r="F3754" s="10" t="n">
        <f aca="false">Nonlabor!$J$24*(1+Assumptions!$E$9)^INT((C3754-1)/12)</f>
        <v>0.43264</v>
      </c>
      <c r="G3754" s="10" t="n">
        <f aca="false">E3754*F3754</f>
        <v>0</v>
      </c>
      <c r="H3754" s="10" t="n">
        <f aca="false">IF(OR(Nonlabor!$L$24="Quote required",Nonlabor!$L$24="Unverified"),G3754,0)</f>
        <v>0</v>
      </c>
      <c r="I3754" s="10" t="n">
        <f aca="false">IF(Nonlabor!$E$24="Core",0,G3754)</f>
        <v>0</v>
      </c>
      <c r="J3754" s="23" t="str">
        <f aca="false">Nonlabor!$B$24</f>
        <v>AI</v>
      </c>
    </row>
    <row r="3755" customFormat="false" ht="15" hidden="false" customHeight="false" outlineLevel="0" collapsed="false">
      <c r="A3755" s="6" t="s">
        <v>73</v>
      </c>
      <c r="B3755" s="6" t="s">
        <v>428</v>
      </c>
      <c r="C3755" s="6" t="n">
        <v>30</v>
      </c>
      <c r="D3755" s="25" t="n">
        <f aca="false">EDATE('Start Here'!$B$6,C3755-1)</f>
        <v>47209</v>
      </c>
      <c r="E3755" s="23" t="n">
        <f aca="false">IF(AND(OR(Nonlabor!$D$24="Both",Nonlabor!$D$24='Start Here'!$B$9),IF(Nonlabor!$E$24="Core",1,IF(Nonlabor!$E$24="AI",'Start Here'!$B$7,'Start Here'!$B$8))=1,C3755&gt;=IF(Nonlabor!$E$24="Core",Nonlabor!$F$24,MAX(Nonlabor!$F$24,IF(Nonlabor!$E$24="AI",Assumptions!$E$24,Assumptions!$E$25))),C3755&lt;=Nonlabor!$G$24,OR(Nonlabor!$H$24="Monthly",AND(Nonlabor!$H$24="Once",C3755=IF(Nonlabor!$E$24="Core",Nonlabor!$F$24,MAX(Nonlabor!$F$24,IF(Nonlabor!$E$24="AI",Assumptions!$E$24,Assumptions!$E$25)))),AND(Nonlabor!$H$24="Annual",MOD(C3755-IF(Nonlabor!$E$24="Core",Nonlabor!$F$24,MAX(Nonlabor!$F$24,IF(Nonlabor!$E$24="AI",Assumptions!$E$24,Assumptions!$E$25))),12)=0))),IF(Nonlabor!$I$24="Fixed",1,IF(Nonlabor!$I$24="Seats",ROUNDUP('Monthly Growth'!I35,0),IF(Nonlabor!$I$24="Customers",'Monthly Growth'!D35,IF(Nonlabor!$I$24="NewCustomers",'Monthly Growth'!C35,IF(Nonlabor!$I$24="StorageGB",'Monthly Growth'!G35,IF(Nonlabor!$I$24="LogGB",'Monthly Growth'!H35,IF(Nonlabor!$I$24="RequestsM",'Monthly Growth'!F35,IF(Nonlabor!$I$24="InputM",'Monthly Growth'!D35*Assumptions!$E$22/1000000,IF(Nonlabor!$I$24="OutputM",'Monthly Growth'!D35*Assumptions!$E$23/1000000,0))))))))),0)</f>
        <v>0</v>
      </c>
      <c r="F3755" s="10" t="n">
        <f aca="false">Nonlabor!$J$24*(1+Assumptions!$E$9)^INT((C3755-1)/12)</f>
        <v>0.43264</v>
      </c>
      <c r="G3755" s="10" t="n">
        <f aca="false">E3755*F3755</f>
        <v>0</v>
      </c>
      <c r="H3755" s="10" t="n">
        <f aca="false">IF(OR(Nonlabor!$L$24="Quote required",Nonlabor!$L$24="Unverified"),G3755,0)</f>
        <v>0</v>
      </c>
      <c r="I3755" s="10" t="n">
        <f aca="false">IF(Nonlabor!$E$24="Core",0,G3755)</f>
        <v>0</v>
      </c>
      <c r="J3755" s="23" t="str">
        <f aca="false">Nonlabor!$B$24</f>
        <v>AI</v>
      </c>
    </row>
    <row r="3756" customFormat="false" ht="15" hidden="false" customHeight="false" outlineLevel="0" collapsed="false">
      <c r="A3756" s="6" t="s">
        <v>73</v>
      </c>
      <c r="B3756" s="6" t="s">
        <v>428</v>
      </c>
      <c r="C3756" s="6" t="n">
        <v>31</v>
      </c>
      <c r="D3756" s="25" t="n">
        <f aca="false">EDATE('Start Here'!$B$6,C3756-1)</f>
        <v>47239</v>
      </c>
      <c r="E3756" s="23" t="n">
        <f aca="false">IF(AND(OR(Nonlabor!$D$24="Both",Nonlabor!$D$24='Start Here'!$B$9),IF(Nonlabor!$E$24="Core",1,IF(Nonlabor!$E$24="AI",'Start Here'!$B$7,'Start Here'!$B$8))=1,C3756&gt;=IF(Nonlabor!$E$24="Core",Nonlabor!$F$24,MAX(Nonlabor!$F$24,IF(Nonlabor!$E$24="AI",Assumptions!$E$24,Assumptions!$E$25))),C3756&lt;=Nonlabor!$G$24,OR(Nonlabor!$H$24="Monthly",AND(Nonlabor!$H$24="Once",C3756=IF(Nonlabor!$E$24="Core",Nonlabor!$F$24,MAX(Nonlabor!$F$24,IF(Nonlabor!$E$24="AI",Assumptions!$E$24,Assumptions!$E$25)))),AND(Nonlabor!$H$24="Annual",MOD(C3756-IF(Nonlabor!$E$24="Core",Nonlabor!$F$24,MAX(Nonlabor!$F$24,IF(Nonlabor!$E$24="AI",Assumptions!$E$24,Assumptions!$E$25))),12)=0))),IF(Nonlabor!$I$24="Fixed",1,IF(Nonlabor!$I$24="Seats",ROUNDUP('Monthly Growth'!I36,0),IF(Nonlabor!$I$24="Customers",'Monthly Growth'!D36,IF(Nonlabor!$I$24="NewCustomers",'Monthly Growth'!C36,IF(Nonlabor!$I$24="StorageGB",'Monthly Growth'!G36,IF(Nonlabor!$I$24="LogGB",'Monthly Growth'!H36,IF(Nonlabor!$I$24="RequestsM",'Monthly Growth'!F36,IF(Nonlabor!$I$24="InputM",'Monthly Growth'!D36*Assumptions!$E$22/1000000,IF(Nonlabor!$I$24="OutputM",'Monthly Growth'!D36*Assumptions!$E$23/1000000,0))))))))),0)</f>
        <v>0</v>
      </c>
      <c r="F3756" s="10" t="n">
        <f aca="false">Nonlabor!$J$24*(1+Assumptions!$E$9)^INT((C3756-1)/12)</f>
        <v>0.43264</v>
      </c>
      <c r="G3756" s="10" t="n">
        <f aca="false">E3756*F3756</f>
        <v>0</v>
      </c>
      <c r="H3756" s="10" t="n">
        <f aca="false">IF(OR(Nonlabor!$L$24="Quote required",Nonlabor!$L$24="Unverified"),G3756,0)</f>
        <v>0</v>
      </c>
      <c r="I3756" s="10" t="n">
        <f aca="false">IF(Nonlabor!$E$24="Core",0,G3756)</f>
        <v>0</v>
      </c>
      <c r="J3756" s="23" t="str">
        <f aca="false">Nonlabor!$B$24</f>
        <v>AI</v>
      </c>
    </row>
    <row r="3757" customFormat="false" ht="15" hidden="false" customHeight="false" outlineLevel="0" collapsed="false">
      <c r="A3757" s="6" t="s">
        <v>73</v>
      </c>
      <c r="B3757" s="6" t="s">
        <v>428</v>
      </c>
      <c r="C3757" s="6" t="n">
        <v>32</v>
      </c>
      <c r="D3757" s="25" t="n">
        <f aca="false">EDATE('Start Here'!$B$6,C3757-1)</f>
        <v>47270</v>
      </c>
      <c r="E3757" s="23" t="n">
        <f aca="false">IF(AND(OR(Nonlabor!$D$24="Both",Nonlabor!$D$24='Start Here'!$B$9),IF(Nonlabor!$E$24="Core",1,IF(Nonlabor!$E$24="AI",'Start Here'!$B$7,'Start Here'!$B$8))=1,C3757&gt;=IF(Nonlabor!$E$24="Core",Nonlabor!$F$24,MAX(Nonlabor!$F$24,IF(Nonlabor!$E$24="AI",Assumptions!$E$24,Assumptions!$E$25))),C3757&lt;=Nonlabor!$G$24,OR(Nonlabor!$H$24="Monthly",AND(Nonlabor!$H$24="Once",C3757=IF(Nonlabor!$E$24="Core",Nonlabor!$F$24,MAX(Nonlabor!$F$24,IF(Nonlabor!$E$24="AI",Assumptions!$E$24,Assumptions!$E$25)))),AND(Nonlabor!$H$24="Annual",MOD(C3757-IF(Nonlabor!$E$24="Core",Nonlabor!$F$24,MAX(Nonlabor!$F$24,IF(Nonlabor!$E$24="AI",Assumptions!$E$24,Assumptions!$E$25))),12)=0))),IF(Nonlabor!$I$24="Fixed",1,IF(Nonlabor!$I$24="Seats",ROUNDUP('Monthly Growth'!I37,0),IF(Nonlabor!$I$24="Customers",'Monthly Growth'!D37,IF(Nonlabor!$I$24="NewCustomers",'Monthly Growth'!C37,IF(Nonlabor!$I$24="StorageGB",'Monthly Growth'!G37,IF(Nonlabor!$I$24="LogGB",'Monthly Growth'!H37,IF(Nonlabor!$I$24="RequestsM",'Monthly Growth'!F37,IF(Nonlabor!$I$24="InputM",'Monthly Growth'!D37*Assumptions!$E$22/1000000,IF(Nonlabor!$I$24="OutputM",'Monthly Growth'!D37*Assumptions!$E$23/1000000,0))))))))),0)</f>
        <v>0</v>
      </c>
      <c r="F3757" s="10" t="n">
        <f aca="false">Nonlabor!$J$24*(1+Assumptions!$E$9)^INT((C3757-1)/12)</f>
        <v>0.43264</v>
      </c>
      <c r="G3757" s="10" t="n">
        <f aca="false">E3757*F3757</f>
        <v>0</v>
      </c>
      <c r="H3757" s="10" t="n">
        <f aca="false">IF(OR(Nonlabor!$L$24="Quote required",Nonlabor!$L$24="Unverified"),G3757,0)</f>
        <v>0</v>
      </c>
      <c r="I3757" s="10" t="n">
        <f aca="false">IF(Nonlabor!$E$24="Core",0,G3757)</f>
        <v>0</v>
      </c>
      <c r="J3757" s="23" t="str">
        <f aca="false">Nonlabor!$B$24</f>
        <v>AI</v>
      </c>
    </row>
    <row r="3758" customFormat="false" ht="15" hidden="false" customHeight="false" outlineLevel="0" collapsed="false">
      <c r="A3758" s="6" t="s">
        <v>73</v>
      </c>
      <c r="B3758" s="6" t="s">
        <v>428</v>
      </c>
      <c r="C3758" s="6" t="n">
        <v>33</v>
      </c>
      <c r="D3758" s="25" t="n">
        <f aca="false">EDATE('Start Here'!$B$6,C3758-1)</f>
        <v>47300</v>
      </c>
      <c r="E3758" s="23" t="n">
        <f aca="false">IF(AND(OR(Nonlabor!$D$24="Both",Nonlabor!$D$24='Start Here'!$B$9),IF(Nonlabor!$E$24="Core",1,IF(Nonlabor!$E$24="AI",'Start Here'!$B$7,'Start Here'!$B$8))=1,C3758&gt;=IF(Nonlabor!$E$24="Core",Nonlabor!$F$24,MAX(Nonlabor!$F$24,IF(Nonlabor!$E$24="AI",Assumptions!$E$24,Assumptions!$E$25))),C3758&lt;=Nonlabor!$G$24,OR(Nonlabor!$H$24="Monthly",AND(Nonlabor!$H$24="Once",C3758=IF(Nonlabor!$E$24="Core",Nonlabor!$F$24,MAX(Nonlabor!$F$24,IF(Nonlabor!$E$24="AI",Assumptions!$E$24,Assumptions!$E$25)))),AND(Nonlabor!$H$24="Annual",MOD(C3758-IF(Nonlabor!$E$24="Core",Nonlabor!$F$24,MAX(Nonlabor!$F$24,IF(Nonlabor!$E$24="AI",Assumptions!$E$24,Assumptions!$E$25))),12)=0))),IF(Nonlabor!$I$24="Fixed",1,IF(Nonlabor!$I$24="Seats",ROUNDUP('Monthly Growth'!I38,0),IF(Nonlabor!$I$24="Customers",'Monthly Growth'!D38,IF(Nonlabor!$I$24="NewCustomers",'Monthly Growth'!C38,IF(Nonlabor!$I$24="StorageGB",'Monthly Growth'!G38,IF(Nonlabor!$I$24="LogGB",'Monthly Growth'!H38,IF(Nonlabor!$I$24="RequestsM",'Monthly Growth'!F38,IF(Nonlabor!$I$24="InputM",'Monthly Growth'!D38*Assumptions!$E$22/1000000,IF(Nonlabor!$I$24="OutputM",'Monthly Growth'!D38*Assumptions!$E$23/1000000,0))))))))),0)</f>
        <v>0</v>
      </c>
      <c r="F3758" s="10" t="n">
        <f aca="false">Nonlabor!$J$24*(1+Assumptions!$E$9)^INT((C3758-1)/12)</f>
        <v>0.43264</v>
      </c>
      <c r="G3758" s="10" t="n">
        <f aca="false">E3758*F3758</f>
        <v>0</v>
      </c>
      <c r="H3758" s="10" t="n">
        <f aca="false">IF(OR(Nonlabor!$L$24="Quote required",Nonlabor!$L$24="Unverified"),G3758,0)</f>
        <v>0</v>
      </c>
      <c r="I3758" s="10" t="n">
        <f aca="false">IF(Nonlabor!$E$24="Core",0,G3758)</f>
        <v>0</v>
      </c>
      <c r="J3758" s="23" t="str">
        <f aca="false">Nonlabor!$B$24</f>
        <v>AI</v>
      </c>
    </row>
    <row r="3759" customFormat="false" ht="15" hidden="false" customHeight="false" outlineLevel="0" collapsed="false">
      <c r="A3759" s="6" t="s">
        <v>73</v>
      </c>
      <c r="B3759" s="6" t="s">
        <v>428</v>
      </c>
      <c r="C3759" s="6" t="n">
        <v>34</v>
      </c>
      <c r="D3759" s="25" t="n">
        <f aca="false">EDATE('Start Here'!$B$6,C3759-1)</f>
        <v>47331</v>
      </c>
      <c r="E3759" s="23" t="n">
        <f aca="false">IF(AND(OR(Nonlabor!$D$24="Both",Nonlabor!$D$24='Start Here'!$B$9),IF(Nonlabor!$E$24="Core",1,IF(Nonlabor!$E$24="AI",'Start Here'!$B$7,'Start Here'!$B$8))=1,C3759&gt;=IF(Nonlabor!$E$24="Core",Nonlabor!$F$24,MAX(Nonlabor!$F$24,IF(Nonlabor!$E$24="AI",Assumptions!$E$24,Assumptions!$E$25))),C3759&lt;=Nonlabor!$G$24,OR(Nonlabor!$H$24="Monthly",AND(Nonlabor!$H$24="Once",C3759=IF(Nonlabor!$E$24="Core",Nonlabor!$F$24,MAX(Nonlabor!$F$24,IF(Nonlabor!$E$24="AI",Assumptions!$E$24,Assumptions!$E$25)))),AND(Nonlabor!$H$24="Annual",MOD(C3759-IF(Nonlabor!$E$24="Core",Nonlabor!$F$24,MAX(Nonlabor!$F$24,IF(Nonlabor!$E$24="AI",Assumptions!$E$24,Assumptions!$E$25))),12)=0))),IF(Nonlabor!$I$24="Fixed",1,IF(Nonlabor!$I$24="Seats",ROUNDUP('Monthly Growth'!I39,0),IF(Nonlabor!$I$24="Customers",'Monthly Growth'!D39,IF(Nonlabor!$I$24="NewCustomers",'Monthly Growth'!C39,IF(Nonlabor!$I$24="StorageGB",'Monthly Growth'!G39,IF(Nonlabor!$I$24="LogGB",'Monthly Growth'!H39,IF(Nonlabor!$I$24="RequestsM",'Monthly Growth'!F39,IF(Nonlabor!$I$24="InputM",'Monthly Growth'!D39*Assumptions!$E$22/1000000,IF(Nonlabor!$I$24="OutputM",'Monthly Growth'!D39*Assumptions!$E$23/1000000,0))))))))),0)</f>
        <v>0</v>
      </c>
      <c r="F3759" s="10" t="n">
        <f aca="false">Nonlabor!$J$24*(1+Assumptions!$E$9)^INT((C3759-1)/12)</f>
        <v>0.43264</v>
      </c>
      <c r="G3759" s="10" t="n">
        <f aca="false">E3759*F3759</f>
        <v>0</v>
      </c>
      <c r="H3759" s="10" t="n">
        <f aca="false">IF(OR(Nonlabor!$L$24="Quote required",Nonlabor!$L$24="Unverified"),G3759,0)</f>
        <v>0</v>
      </c>
      <c r="I3759" s="10" t="n">
        <f aca="false">IF(Nonlabor!$E$24="Core",0,G3759)</f>
        <v>0</v>
      </c>
      <c r="J3759" s="23" t="str">
        <f aca="false">Nonlabor!$B$24</f>
        <v>AI</v>
      </c>
    </row>
    <row r="3760" customFormat="false" ht="15" hidden="false" customHeight="false" outlineLevel="0" collapsed="false">
      <c r="A3760" s="6" t="s">
        <v>73</v>
      </c>
      <c r="B3760" s="6" t="s">
        <v>428</v>
      </c>
      <c r="C3760" s="6" t="n">
        <v>35</v>
      </c>
      <c r="D3760" s="25" t="n">
        <f aca="false">EDATE('Start Here'!$B$6,C3760-1)</f>
        <v>47362</v>
      </c>
      <c r="E3760" s="23" t="n">
        <f aca="false">IF(AND(OR(Nonlabor!$D$24="Both",Nonlabor!$D$24='Start Here'!$B$9),IF(Nonlabor!$E$24="Core",1,IF(Nonlabor!$E$24="AI",'Start Here'!$B$7,'Start Here'!$B$8))=1,C3760&gt;=IF(Nonlabor!$E$24="Core",Nonlabor!$F$24,MAX(Nonlabor!$F$24,IF(Nonlabor!$E$24="AI",Assumptions!$E$24,Assumptions!$E$25))),C3760&lt;=Nonlabor!$G$24,OR(Nonlabor!$H$24="Monthly",AND(Nonlabor!$H$24="Once",C3760=IF(Nonlabor!$E$24="Core",Nonlabor!$F$24,MAX(Nonlabor!$F$24,IF(Nonlabor!$E$24="AI",Assumptions!$E$24,Assumptions!$E$25)))),AND(Nonlabor!$H$24="Annual",MOD(C3760-IF(Nonlabor!$E$24="Core",Nonlabor!$F$24,MAX(Nonlabor!$F$24,IF(Nonlabor!$E$24="AI",Assumptions!$E$24,Assumptions!$E$25))),12)=0))),IF(Nonlabor!$I$24="Fixed",1,IF(Nonlabor!$I$24="Seats",ROUNDUP('Monthly Growth'!I40,0),IF(Nonlabor!$I$24="Customers",'Monthly Growth'!D40,IF(Nonlabor!$I$24="NewCustomers",'Monthly Growth'!C40,IF(Nonlabor!$I$24="StorageGB",'Monthly Growth'!G40,IF(Nonlabor!$I$24="LogGB",'Monthly Growth'!H40,IF(Nonlabor!$I$24="RequestsM",'Monthly Growth'!F40,IF(Nonlabor!$I$24="InputM",'Monthly Growth'!D40*Assumptions!$E$22/1000000,IF(Nonlabor!$I$24="OutputM",'Monthly Growth'!D40*Assumptions!$E$23/1000000,0))))))))),0)</f>
        <v>0</v>
      </c>
      <c r="F3760" s="10" t="n">
        <f aca="false">Nonlabor!$J$24*(1+Assumptions!$E$9)^INT((C3760-1)/12)</f>
        <v>0.43264</v>
      </c>
      <c r="G3760" s="10" t="n">
        <f aca="false">E3760*F3760</f>
        <v>0</v>
      </c>
      <c r="H3760" s="10" t="n">
        <f aca="false">IF(OR(Nonlabor!$L$24="Quote required",Nonlabor!$L$24="Unverified"),G3760,0)</f>
        <v>0</v>
      </c>
      <c r="I3760" s="10" t="n">
        <f aca="false">IF(Nonlabor!$E$24="Core",0,G3760)</f>
        <v>0</v>
      </c>
      <c r="J3760" s="23" t="str">
        <f aca="false">Nonlabor!$B$24</f>
        <v>AI</v>
      </c>
    </row>
    <row r="3761" customFormat="false" ht="15" hidden="false" customHeight="false" outlineLevel="0" collapsed="false">
      <c r="A3761" s="6" t="s">
        <v>73</v>
      </c>
      <c r="B3761" s="6" t="s">
        <v>428</v>
      </c>
      <c r="C3761" s="6" t="n">
        <v>36</v>
      </c>
      <c r="D3761" s="25" t="n">
        <f aca="false">EDATE('Start Here'!$B$6,C3761-1)</f>
        <v>47392</v>
      </c>
      <c r="E3761" s="23" t="n">
        <f aca="false">IF(AND(OR(Nonlabor!$D$24="Both",Nonlabor!$D$24='Start Here'!$B$9),IF(Nonlabor!$E$24="Core",1,IF(Nonlabor!$E$24="AI",'Start Here'!$B$7,'Start Here'!$B$8))=1,C3761&gt;=IF(Nonlabor!$E$24="Core",Nonlabor!$F$24,MAX(Nonlabor!$F$24,IF(Nonlabor!$E$24="AI",Assumptions!$E$24,Assumptions!$E$25))),C3761&lt;=Nonlabor!$G$24,OR(Nonlabor!$H$24="Monthly",AND(Nonlabor!$H$24="Once",C3761=IF(Nonlabor!$E$24="Core",Nonlabor!$F$24,MAX(Nonlabor!$F$24,IF(Nonlabor!$E$24="AI",Assumptions!$E$24,Assumptions!$E$25)))),AND(Nonlabor!$H$24="Annual",MOD(C3761-IF(Nonlabor!$E$24="Core",Nonlabor!$F$24,MAX(Nonlabor!$F$24,IF(Nonlabor!$E$24="AI",Assumptions!$E$24,Assumptions!$E$25))),12)=0))),IF(Nonlabor!$I$24="Fixed",1,IF(Nonlabor!$I$24="Seats",ROUNDUP('Monthly Growth'!I41,0),IF(Nonlabor!$I$24="Customers",'Monthly Growth'!D41,IF(Nonlabor!$I$24="NewCustomers",'Monthly Growth'!C41,IF(Nonlabor!$I$24="StorageGB",'Monthly Growth'!G41,IF(Nonlabor!$I$24="LogGB",'Monthly Growth'!H41,IF(Nonlabor!$I$24="RequestsM",'Monthly Growth'!F41,IF(Nonlabor!$I$24="InputM",'Monthly Growth'!D41*Assumptions!$E$22/1000000,IF(Nonlabor!$I$24="OutputM",'Monthly Growth'!D41*Assumptions!$E$23/1000000,0))))))))),0)</f>
        <v>0</v>
      </c>
      <c r="F3761" s="10" t="n">
        <f aca="false">Nonlabor!$J$24*(1+Assumptions!$E$9)^INT((C3761-1)/12)</f>
        <v>0.43264</v>
      </c>
      <c r="G3761" s="10" t="n">
        <f aca="false">E3761*F3761</f>
        <v>0</v>
      </c>
      <c r="H3761" s="10" t="n">
        <f aca="false">IF(OR(Nonlabor!$L$24="Quote required",Nonlabor!$L$24="Unverified"),G3761,0)</f>
        <v>0</v>
      </c>
      <c r="I3761" s="10" t="n">
        <f aca="false">IF(Nonlabor!$E$24="Core",0,G3761)</f>
        <v>0</v>
      </c>
      <c r="J3761" s="23" t="str">
        <f aca="false">Nonlabor!$B$24</f>
        <v>AI</v>
      </c>
    </row>
    <row r="3762" customFormat="false" ht="15" hidden="false" customHeight="false" outlineLevel="0" collapsed="false">
      <c r="A3762" s="6" t="s">
        <v>73</v>
      </c>
      <c r="B3762" s="6" t="s">
        <v>428</v>
      </c>
      <c r="C3762" s="6" t="n">
        <v>37</v>
      </c>
      <c r="D3762" s="25" t="n">
        <f aca="false">EDATE('Start Here'!$B$6,C3762-1)</f>
        <v>47423</v>
      </c>
      <c r="E3762" s="23" t="n">
        <f aca="false">IF(AND(OR(Nonlabor!$D$24="Both",Nonlabor!$D$24='Start Here'!$B$9),IF(Nonlabor!$E$24="Core",1,IF(Nonlabor!$E$24="AI",'Start Here'!$B$7,'Start Here'!$B$8))=1,C3762&gt;=IF(Nonlabor!$E$24="Core",Nonlabor!$F$24,MAX(Nonlabor!$F$24,IF(Nonlabor!$E$24="AI",Assumptions!$E$24,Assumptions!$E$25))),C3762&lt;=Nonlabor!$G$24,OR(Nonlabor!$H$24="Monthly",AND(Nonlabor!$H$24="Once",C3762=IF(Nonlabor!$E$24="Core",Nonlabor!$F$24,MAX(Nonlabor!$F$24,IF(Nonlabor!$E$24="AI",Assumptions!$E$24,Assumptions!$E$25)))),AND(Nonlabor!$H$24="Annual",MOD(C3762-IF(Nonlabor!$E$24="Core",Nonlabor!$F$24,MAX(Nonlabor!$F$24,IF(Nonlabor!$E$24="AI",Assumptions!$E$24,Assumptions!$E$25))),12)=0))),IF(Nonlabor!$I$24="Fixed",1,IF(Nonlabor!$I$24="Seats",ROUNDUP('Monthly Growth'!I42,0),IF(Nonlabor!$I$24="Customers",'Monthly Growth'!D42,IF(Nonlabor!$I$24="NewCustomers",'Monthly Growth'!C42,IF(Nonlabor!$I$24="StorageGB",'Monthly Growth'!G42,IF(Nonlabor!$I$24="LogGB",'Monthly Growth'!H42,IF(Nonlabor!$I$24="RequestsM",'Monthly Growth'!F42,IF(Nonlabor!$I$24="InputM",'Monthly Growth'!D42*Assumptions!$E$22/1000000,IF(Nonlabor!$I$24="OutputM",'Monthly Growth'!D42*Assumptions!$E$23/1000000,0))))))))),0)</f>
        <v>0</v>
      </c>
      <c r="F3762" s="10" t="n">
        <f aca="false">Nonlabor!$J$24*(1+Assumptions!$E$9)^INT((C3762-1)/12)</f>
        <v>0.4499456</v>
      </c>
      <c r="G3762" s="10" t="n">
        <f aca="false">E3762*F3762</f>
        <v>0</v>
      </c>
      <c r="H3762" s="10" t="n">
        <f aca="false">IF(OR(Nonlabor!$L$24="Quote required",Nonlabor!$L$24="Unverified"),G3762,0)</f>
        <v>0</v>
      </c>
      <c r="I3762" s="10" t="n">
        <f aca="false">IF(Nonlabor!$E$24="Core",0,G3762)</f>
        <v>0</v>
      </c>
      <c r="J3762" s="23" t="str">
        <f aca="false">Nonlabor!$B$24</f>
        <v>AI</v>
      </c>
    </row>
    <row r="3763" customFormat="false" ht="15" hidden="false" customHeight="false" outlineLevel="0" collapsed="false">
      <c r="A3763" s="6" t="s">
        <v>73</v>
      </c>
      <c r="B3763" s="6" t="s">
        <v>428</v>
      </c>
      <c r="C3763" s="6" t="n">
        <v>38</v>
      </c>
      <c r="D3763" s="25" t="n">
        <f aca="false">EDATE('Start Here'!$B$6,C3763-1)</f>
        <v>47453</v>
      </c>
      <c r="E3763" s="23" t="n">
        <f aca="false">IF(AND(OR(Nonlabor!$D$24="Both",Nonlabor!$D$24='Start Here'!$B$9),IF(Nonlabor!$E$24="Core",1,IF(Nonlabor!$E$24="AI",'Start Here'!$B$7,'Start Here'!$B$8))=1,C3763&gt;=IF(Nonlabor!$E$24="Core",Nonlabor!$F$24,MAX(Nonlabor!$F$24,IF(Nonlabor!$E$24="AI",Assumptions!$E$24,Assumptions!$E$25))),C3763&lt;=Nonlabor!$G$24,OR(Nonlabor!$H$24="Monthly",AND(Nonlabor!$H$24="Once",C3763=IF(Nonlabor!$E$24="Core",Nonlabor!$F$24,MAX(Nonlabor!$F$24,IF(Nonlabor!$E$24="AI",Assumptions!$E$24,Assumptions!$E$25)))),AND(Nonlabor!$H$24="Annual",MOD(C3763-IF(Nonlabor!$E$24="Core",Nonlabor!$F$24,MAX(Nonlabor!$F$24,IF(Nonlabor!$E$24="AI",Assumptions!$E$24,Assumptions!$E$25))),12)=0))),IF(Nonlabor!$I$24="Fixed",1,IF(Nonlabor!$I$24="Seats",ROUNDUP('Monthly Growth'!I43,0),IF(Nonlabor!$I$24="Customers",'Monthly Growth'!D43,IF(Nonlabor!$I$24="NewCustomers",'Monthly Growth'!C43,IF(Nonlabor!$I$24="StorageGB",'Monthly Growth'!G43,IF(Nonlabor!$I$24="LogGB",'Monthly Growth'!H43,IF(Nonlabor!$I$24="RequestsM",'Monthly Growth'!F43,IF(Nonlabor!$I$24="InputM",'Monthly Growth'!D43*Assumptions!$E$22/1000000,IF(Nonlabor!$I$24="OutputM",'Monthly Growth'!D43*Assumptions!$E$23/1000000,0))))))))),0)</f>
        <v>0</v>
      </c>
      <c r="F3763" s="10" t="n">
        <f aca="false">Nonlabor!$J$24*(1+Assumptions!$E$9)^INT((C3763-1)/12)</f>
        <v>0.4499456</v>
      </c>
      <c r="G3763" s="10" t="n">
        <f aca="false">E3763*F3763</f>
        <v>0</v>
      </c>
      <c r="H3763" s="10" t="n">
        <f aca="false">IF(OR(Nonlabor!$L$24="Quote required",Nonlabor!$L$24="Unverified"),G3763,0)</f>
        <v>0</v>
      </c>
      <c r="I3763" s="10" t="n">
        <f aca="false">IF(Nonlabor!$E$24="Core",0,G3763)</f>
        <v>0</v>
      </c>
      <c r="J3763" s="23" t="str">
        <f aca="false">Nonlabor!$B$24</f>
        <v>AI</v>
      </c>
    </row>
    <row r="3764" customFormat="false" ht="15" hidden="false" customHeight="false" outlineLevel="0" collapsed="false">
      <c r="A3764" s="6" t="s">
        <v>73</v>
      </c>
      <c r="B3764" s="6" t="s">
        <v>428</v>
      </c>
      <c r="C3764" s="6" t="n">
        <v>39</v>
      </c>
      <c r="D3764" s="25" t="n">
        <f aca="false">EDATE('Start Here'!$B$6,C3764-1)</f>
        <v>47484</v>
      </c>
      <c r="E3764" s="23" t="n">
        <f aca="false">IF(AND(OR(Nonlabor!$D$24="Both",Nonlabor!$D$24='Start Here'!$B$9),IF(Nonlabor!$E$24="Core",1,IF(Nonlabor!$E$24="AI",'Start Here'!$B$7,'Start Here'!$B$8))=1,C3764&gt;=IF(Nonlabor!$E$24="Core",Nonlabor!$F$24,MAX(Nonlabor!$F$24,IF(Nonlabor!$E$24="AI",Assumptions!$E$24,Assumptions!$E$25))),C3764&lt;=Nonlabor!$G$24,OR(Nonlabor!$H$24="Monthly",AND(Nonlabor!$H$24="Once",C3764=IF(Nonlabor!$E$24="Core",Nonlabor!$F$24,MAX(Nonlabor!$F$24,IF(Nonlabor!$E$24="AI",Assumptions!$E$24,Assumptions!$E$25)))),AND(Nonlabor!$H$24="Annual",MOD(C3764-IF(Nonlabor!$E$24="Core",Nonlabor!$F$24,MAX(Nonlabor!$F$24,IF(Nonlabor!$E$24="AI",Assumptions!$E$24,Assumptions!$E$25))),12)=0))),IF(Nonlabor!$I$24="Fixed",1,IF(Nonlabor!$I$24="Seats",ROUNDUP('Monthly Growth'!I44,0),IF(Nonlabor!$I$24="Customers",'Monthly Growth'!D44,IF(Nonlabor!$I$24="NewCustomers",'Monthly Growth'!C44,IF(Nonlabor!$I$24="StorageGB",'Monthly Growth'!G44,IF(Nonlabor!$I$24="LogGB",'Monthly Growth'!H44,IF(Nonlabor!$I$24="RequestsM",'Monthly Growth'!F44,IF(Nonlabor!$I$24="InputM",'Monthly Growth'!D44*Assumptions!$E$22/1000000,IF(Nonlabor!$I$24="OutputM",'Monthly Growth'!D44*Assumptions!$E$23/1000000,0))))))))),0)</f>
        <v>0</v>
      </c>
      <c r="F3764" s="10" t="n">
        <f aca="false">Nonlabor!$J$24*(1+Assumptions!$E$9)^INT((C3764-1)/12)</f>
        <v>0.4499456</v>
      </c>
      <c r="G3764" s="10" t="n">
        <f aca="false">E3764*F3764</f>
        <v>0</v>
      </c>
      <c r="H3764" s="10" t="n">
        <f aca="false">IF(OR(Nonlabor!$L$24="Quote required",Nonlabor!$L$24="Unverified"),G3764,0)</f>
        <v>0</v>
      </c>
      <c r="I3764" s="10" t="n">
        <f aca="false">IF(Nonlabor!$E$24="Core",0,G3764)</f>
        <v>0</v>
      </c>
      <c r="J3764" s="23" t="str">
        <f aca="false">Nonlabor!$B$24</f>
        <v>AI</v>
      </c>
    </row>
    <row r="3765" customFormat="false" ht="15" hidden="false" customHeight="false" outlineLevel="0" collapsed="false">
      <c r="A3765" s="6" t="s">
        <v>73</v>
      </c>
      <c r="B3765" s="6" t="s">
        <v>428</v>
      </c>
      <c r="C3765" s="6" t="n">
        <v>40</v>
      </c>
      <c r="D3765" s="25" t="n">
        <f aca="false">EDATE('Start Here'!$B$6,C3765-1)</f>
        <v>47515</v>
      </c>
      <c r="E3765" s="23" t="n">
        <f aca="false">IF(AND(OR(Nonlabor!$D$24="Both",Nonlabor!$D$24='Start Here'!$B$9),IF(Nonlabor!$E$24="Core",1,IF(Nonlabor!$E$24="AI",'Start Here'!$B$7,'Start Here'!$B$8))=1,C3765&gt;=IF(Nonlabor!$E$24="Core",Nonlabor!$F$24,MAX(Nonlabor!$F$24,IF(Nonlabor!$E$24="AI",Assumptions!$E$24,Assumptions!$E$25))),C3765&lt;=Nonlabor!$G$24,OR(Nonlabor!$H$24="Monthly",AND(Nonlabor!$H$24="Once",C3765=IF(Nonlabor!$E$24="Core",Nonlabor!$F$24,MAX(Nonlabor!$F$24,IF(Nonlabor!$E$24="AI",Assumptions!$E$24,Assumptions!$E$25)))),AND(Nonlabor!$H$24="Annual",MOD(C3765-IF(Nonlabor!$E$24="Core",Nonlabor!$F$24,MAX(Nonlabor!$F$24,IF(Nonlabor!$E$24="AI",Assumptions!$E$24,Assumptions!$E$25))),12)=0))),IF(Nonlabor!$I$24="Fixed",1,IF(Nonlabor!$I$24="Seats",ROUNDUP('Monthly Growth'!I45,0),IF(Nonlabor!$I$24="Customers",'Monthly Growth'!D45,IF(Nonlabor!$I$24="NewCustomers",'Monthly Growth'!C45,IF(Nonlabor!$I$24="StorageGB",'Monthly Growth'!G45,IF(Nonlabor!$I$24="LogGB",'Monthly Growth'!H45,IF(Nonlabor!$I$24="RequestsM",'Monthly Growth'!F45,IF(Nonlabor!$I$24="InputM",'Monthly Growth'!D45*Assumptions!$E$22/1000000,IF(Nonlabor!$I$24="OutputM",'Monthly Growth'!D45*Assumptions!$E$23/1000000,0))))))))),0)</f>
        <v>0</v>
      </c>
      <c r="F3765" s="10" t="n">
        <f aca="false">Nonlabor!$J$24*(1+Assumptions!$E$9)^INT((C3765-1)/12)</f>
        <v>0.4499456</v>
      </c>
      <c r="G3765" s="10" t="n">
        <f aca="false">E3765*F3765</f>
        <v>0</v>
      </c>
      <c r="H3765" s="10" t="n">
        <f aca="false">IF(OR(Nonlabor!$L$24="Quote required",Nonlabor!$L$24="Unverified"),G3765,0)</f>
        <v>0</v>
      </c>
      <c r="I3765" s="10" t="n">
        <f aca="false">IF(Nonlabor!$E$24="Core",0,G3765)</f>
        <v>0</v>
      </c>
      <c r="J3765" s="23" t="str">
        <f aca="false">Nonlabor!$B$24</f>
        <v>AI</v>
      </c>
    </row>
    <row r="3766" customFormat="false" ht="15" hidden="false" customHeight="false" outlineLevel="0" collapsed="false">
      <c r="A3766" s="6" t="s">
        <v>73</v>
      </c>
      <c r="B3766" s="6" t="s">
        <v>428</v>
      </c>
      <c r="C3766" s="6" t="n">
        <v>41</v>
      </c>
      <c r="D3766" s="25" t="n">
        <f aca="false">EDATE('Start Here'!$B$6,C3766-1)</f>
        <v>47543</v>
      </c>
      <c r="E3766" s="23" t="n">
        <f aca="false">IF(AND(OR(Nonlabor!$D$24="Both",Nonlabor!$D$24='Start Here'!$B$9),IF(Nonlabor!$E$24="Core",1,IF(Nonlabor!$E$24="AI",'Start Here'!$B$7,'Start Here'!$B$8))=1,C3766&gt;=IF(Nonlabor!$E$24="Core",Nonlabor!$F$24,MAX(Nonlabor!$F$24,IF(Nonlabor!$E$24="AI",Assumptions!$E$24,Assumptions!$E$25))),C3766&lt;=Nonlabor!$G$24,OR(Nonlabor!$H$24="Monthly",AND(Nonlabor!$H$24="Once",C3766=IF(Nonlabor!$E$24="Core",Nonlabor!$F$24,MAX(Nonlabor!$F$24,IF(Nonlabor!$E$24="AI",Assumptions!$E$24,Assumptions!$E$25)))),AND(Nonlabor!$H$24="Annual",MOD(C3766-IF(Nonlabor!$E$24="Core",Nonlabor!$F$24,MAX(Nonlabor!$F$24,IF(Nonlabor!$E$24="AI",Assumptions!$E$24,Assumptions!$E$25))),12)=0))),IF(Nonlabor!$I$24="Fixed",1,IF(Nonlabor!$I$24="Seats",ROUNDUP('Monthly Growth'!I46,0),IF(Nonlabor!$I$24="Customers",'Monthly Growth'!D46,IF(Nonlabor!$I$24="NewCustomers",'Monthly Growth'!C46,IF(Nonlabor!$I$24="StorageGB",'Monthly Growth'!G46,IF(Nonlabor!$I$24="LogGB",'Monthly Growth'!H46,IF(Nonlabor!$I$24="RequestsM",'Monthly Growth'!F46,IF(Nonlabor!$I$24="InputM",'Monthly Growth'!D46*Assumptions!$E$22/1000000,IF(Nonlabor!$I$24="OutputM",'Monthly Growth'!D46*Assumptions!$E$23/1000000,0))))))))),0)</f>
        <v>0</v>
      </c>
      <c r="F3766" s="10" t="n">
        <f aca="false">Nonlabor!$J$24*(1+Assumptions!$E$9)^INT((C3766-1)/12)</f>
        <v>0.4499456</v>
      </c>
      <c r="G3766" s="10" t="n">
        <f aca="false">E3766*F3766</f>
        <v>0</v>
      </c>
      <c r="H3766" s="10" t="n">
        <f aca="false">IF(OR(Nonlabor!$L$24="Quote required",Nonlabor!$L$24="Unverified"),G3766,0)</f>
        <v>0</v>
      </c>
      <c r="I3766" s="10" t="n">
        <f aca="false">IF(Nonlabor!$E$24="Core",0,G3766)</f>
        <v>0</v>
      </c>
      <c r="J3766" s="23" t="str">
        <f aca="false">Nonlabor!$B$24</f>
        <v>AI</v>
      </c>
    </row>
    <row r="3767" customFormat="false" ht="15" hidden="false" customHeight="false" outlineLevel="0" collapsed="false">
      <c r="A3767" s="6" t="s">
        <v>73</v>
      </c>
      <c r="B3767" s="6" t="s">
        <v>428</v>
      </c>
      <c r="C3767" s="6" t="n">
        <v>42</v>
      </c>
      <c r="D3767" s="25" t="n">
        <f aca="false">EDATE('Start Here'!$B$6,C3767-1)</f>
        <v>47574</v>
      </c>
      <c r="E3767" s="23" t="n">
        <f aca="false">IF(AND(OR(Nonlabor!$D$24="Both",Nonlabor!$D$24='Start Here'!$B$9),IF(Nonlabor!$E$24="Core",1,IF(Nonlabor!$E$24="AI",'Start Here'!$B$7,'Start Here'!$B$8))=1,C3767&gt;=IF(Nonlabor!$E$24="Core",Nonlabor!$F$24,MAX(Nonlabor!$F$24,IF(Nonlabor!$E$24="AI",Assumptions!$E$24,Assumptions!$E$25))),C3767&lt;=Nonlabor!$G$24,OR(Nonlabor!$H$24="Monthly",AND(Nonlabor!$H$24="Once",C3767=IF(Nonlabor!$E$24="Core",Nonlabor!$F$24,MAX(Nonlabor!$F$24,IF(Nonlabor!$E$24="AI",Assumptions!$E$24,Assumptions!$E$25)))),AND(Nonlabor!$H$24="Annual",MOD(C3767-IF(Nonlabor!$E$24="Core",Nonlabor!$F$24,MAX(Nonlabor!$F$24,IF(Nonlabor!$E$24="AI",Assumptions!$E$24,Assumptions!$E$25))),12)=0))),IF(Nonlabor!$I$24="Fixed",1,IF(Nonlabor!$I$24="Seats",ROUNDUP('Monthly Growth'!I47,0),IF(Nonlabor!$I$24="Customers",'Monthly Growth'!D47,IF(Nonlabor!$I$24="NewCustomers",'Monthly Growth'!C47,IF(Nonlabor!$I$24="StorageGB",'Monthly Growth'!G47,IF(Nonlabor!$I$24="LogGB",'Monthly Growth'!H47,IF(Nonlabor!$I$24="RequestsM",'Monthly Growth'!F47,IF(Nonlabor!$I$24="InputM",'Monthly Growth'!D47*Assumptions!$E$22/1000000,IF(Nonlabor!$I$24="OutputM",'Monthly Growth'!D47*Assumptions!$E$23/1000000,0))))))))),0)</f>
        <v>0</v>
      </c>
      <c r="F3767" s="10" t="n">
        <f aca="false">Nonlabor!$J$24*(1+Assumptions!$E$9)^INT((C3767-1)/12)</f>
        <v>0.4499456</v>
      </c>
      <c r="G3767" s="10" t="n">
        <f aca="false">E3767*F3767</f>
        <v>0</v>
      </c>
      <c r="H3767" s="10" t="n">
        <f aca="false">IF(OR(Nonlabor!$L$24="Quote required",Nonlabor!$L$24="Unverified"),G3767,0)</f>
        <v>0</v>
      </c>
      <c r="I3767" s="10" t="n">
        <f aca="false">IF(Nonlabor!$E$24="Core",0,G3767)</f>
        <v>0</v>
      </c>
      <c r="J3767" s="23" t="str">
        <f aca="false">Nonlabor!$B$24</f>
        <v>AI</v>
      </c>
    </row>
    <row r="3768" customFormat="false" ht="15" hidden="false" customHeight="false" outlineLevel="0" collapsed="false">
      <c r="A3768" s="6" t="s">
        <v>73</v>
      </c>
      <c r="B3768" s="6" t="s">
        <v>428</v>
      </c>
      <c r="C3768" s="6" t="n">
        <v>43</v>
      </c>
      <c r="D3768" s="25" t="n">
        <f aca="false">EDATE('Start Here'!$B$6,C3768-1)</f>
        <v>47604</v>
      </c>
      <c r="E3768" s="23" t="n">
        <f aca="false">IF(AND(OR(Nonlabor!$D$24="Both",Nonlabor!$D$24='Start Here'!$B$9),IF(Nonlabor!$E$24="Core",1,IF(Nonlabor!$E$24="AI",'Start Here'!$B$7,'Start Here'!$B$8))=1,C3768&gt;=IF(Nonlabor!$E$24="Core",Nonlabor!$F$24,MAX(Nonlabor!$F$24,IF(Nonlabor!$E$24="AI",Assumptions!$E$24,Assumptions!$E$25))),C3768&lt;=Nonlabor!$G$24,OR(Nonlabor!$H$24="Monthly",AND(Nonlabor!$H$24="Once",C3768=IF(Nonlabor!$E$24="Core",Nonlabor!$F$24,MAX(Nonlabor!$F$24,IF(Nonlabor!$E$24="AI",Assumptions!$E$24,Assumptions!$E$25)))),AND(Nonlabor!$H$24="Annual",MOD(C3768-IF(Nonlabor!$E$24="Core",Nonlabor!$F$24,MAX(Nonlabor!$F$24,IF(Nonlabor!$E$24="AI",Assumptions!$E$24,Assumptions!$E$25))),12)=0))),IF(Nonlabor!$I$24="Fixed",1,IF(Nonlabor!$I$24="Seats",ROUNDUP('Monthly Growth'!I48,0),IF(Nonlabor!$I$24="Customers",'Monthly Growth'!D48,IF(Nonlabor!$I$24="NewCustomers",'Monthly Growth'!C48,IF(Nonlabor!$I$24="StorageGB",'Monthly Growth'!G48,IF(Nonlabor!$I$24="LogGB",'Monthly Growth'!H48,IF(Nonlabor!$I$24="RequestsM",'Monthly Growth'!F48,IF(Nonlabor!$I$24="InputM",'Monthly Growth'!D48*Assumptions!$E$22/1000000,IF(Nonlabor!$I$24="OutputM",'Monthly Growth'!D48*Assumptions!$E$23/1000000,0))))))))),0)</f>
        <v>0</v>
      </c>
      <c r="F3768" s="10" t="n">
        <f aca="false">Nonlabor!$J$24*(1+Assumptions!$E$9)^INT((C3768-1)/12)</f>
        <v>0.4499456</v>
      </c>
      <c r="G3768" s="10" t="n">
        <f aca="false">E3768*F3768</f>
        <v>0</v>
      </c>
      <c r="H3768" s="10" t="n">
        <f aca="false">IF(OR(Nonlabor!$L$24="Quote required",Nonlabor!$L$24="Unverified"),G3768,0)</f>
        <v>0</v>
      </c>
      <c r="I3768" s="10" t="n">
        <f aca="false">IF(Nonlabor!$E$24="Core",0,G3768)</f>
        <v>0</v>
      </c>
      <c r="J3768" s="23" t="str">
        <f aca="false">Nonlabor!$B$24</f>
        <v>AI</v>
      </c>
    </row>
    <row r="3769" customFormat="false" ht="15" hidden="false" customHeight="false" outlineLevel="0" collapsed="false">
      <c r="A3769" s="6" t="s">
        <v>73</v>
      </c>
      <c r="B3769" s="6" t="s">
        <v>428</v>
      </c>
      <c r="C3769" s="6" t="n">
        <v>44</v>
      </c>
      <c r="D3769" s="25" t="n">
        <f aca="false">EDATE('Start Here'!$B$6,C3769-1)</f>
        <v>47635</v>
      </c>
      <c r="E3769" s="23" t="n">
        <f aca="false">IF(AND(OR(Nonlabor!$D$24="Both",Nonlabor!$D$24='Start Here'!$B$9),IF(Nonlabor!$E$24="Core",1,IF(Nonlabor!$E$24="AI",'Start Here'!$B$7,'Start Here'!$B$8))=1,C3769&gt;=IF(Nonlabor!$E$24="Core",Nonlabor!$F$24,MAX(Nonlabor!$F$24,IF(Nonlabor!$E$24="AI",Assumptions!$E$24,Assumptions!$E$25))),C3769&lt;=Nonlabor!$G$24,OR(Nonlabor!$H$24="Monthly",AND(Nonlabor!$H$24="Once",C3769=IF(Nonlabor!$E$24="Core",Nonlabor!$F$24,MAX(Nonlabor!$F$24,IF(Nonlabor!$E$24="AI",Assumptions!$E$24,Assumptions!$E$25)))),AND(Nonlabor!$H$24="Annual",MOD(C3769-IF(Nonlabor!$E$24="Core",Nonlabor!$F$24,MAX(Nonlabor!$F$24,IF(Nonlabor!$E$24="AI",Assumptions!$E$24,Assumptions!$E$25))),12)=0))),IF(Nonlabor!$I$24="Fixed",1,IF(Nonlabor!$I$24="Seats",ROUNDUP('Monthly Growth'!I49,0),IF(Nonlabor!$I$24="Customers",'Monthly Growth'!D49,IF(Nonlabor!$I$24="NewCustomers",'Monthly Growth'!C49,IF(Nonlabor!$I$24="StorageGB",'Monthly Growth'!G49,IF(Nonlabor!$I$24="LogGB",'Monthly Growth'!H49,IF(Nonlabor!$I$24="RequestsM",'Monthly Growth'!F49,IF(Nonlabor!$I$24="InputM",'Monthly Growth'!D49*Assumptions!$E$22/1000000,IF(Nonlabor!$I$24="OutputM",'Monthly Growth'!D49*Assumptions!$E$23/1000000,0))))))))),0)</f>
        <v>0</v>
      </c>
      <c r="F3769" s="10" t="n">
        <f aca="false">Nonlabor!$J$24*(1+Assumptions!$E$9)^INT((C3769-1)/12)</f>
        <v>0.4499456</v>
      </c>
      <c r="G3769" s="10" t="n">
        <f aca="false">E3769*F3769</f>
        <v>0</v>
      </c>
      <c r="H3769" s="10" t="n">
        <f aca="false">IF(OR(Nonlabor!$L$24="Quote required",Nonlabor!$L$24="Unverified"),G3769,0)</f>
        <v>0</v>
      </c>
      <c r="I3769" s="10" t="n">
        <f aca="false">IF(Nonlabor!$E$24="Core",0,G3769)</f>
        <v>0</v>
      </c>
      <c r="J3769" s="23" t="str">
        <f aca="false">Nonlabor!$B$24</f>
        <v>AI</v>
      </c>
    </row>
    <row r="3770" customFormat="false" ht="15" hidden="false" customHeight="false" outlineLevel="0" collapsed="false">
      <c r="A3770" s="6" t="s">
        <v>73</v>
      </c>
      <c r="B3770" s="6" t="s">
        <v>428</v>
      </c>
      <c r="C3770" s="6" t="n">
        <v>45</v>
      </c>
      <c r="D3770" s="25" t="n">
        <f aca="false">EDATE('Start Here'!$B$6,C3770-1)</f>
        <v>47665</v>
      </c>
      <c r="E3770" s="23" t="n">
        <f aca="false">IF(AND(OR(Nonlabor!$D$24="Both",Nonlabor!$D$24='Start Here'!$B$9),IF(Nonlabor!$E$24="Core",1,IF(Nonlabor!$E$24="AI",'Start Here'!$B$7,'Start Here'!$B$8))=1,C3770&gt;=IF(Nonlabor!$E$24="Core",Nonlabor!$F$24,MAX(Nonlabor!$F$24,IF(Nonlabor!$E$24="AI",Assumptions!$E$24,Assumptions!$E$25))),C3770&lt;=Nonlabor!$G$24,OR(Nonlabor!$H$24="Monthly",AND(Nonlabor!$H$24="Once",C3770=IF(Nonlabor!$E$24="Core",Nonlabor!$F$24,MAX(Nonlabor!$F$24,IF(Nonlabor!$E$24="AI",Assumptions!$E$24,Assumptions!$E$25)))),AND(Nonlabor!$H$24="Annual",MOD(C3770-IF(Nonlabor!$E$24="Core",Nonlabor!$F$24,MAX(Nonlabor!$F$24,IF(Nonlabor!$E$24="AI",Assumptions!$E$24,Assumptions!$E$25))),12)=0))),IF(Nonlabor!$I$24="Fixed",1,IF(Nonlabor!$I$24="Seats",ROUNDUP('Monthly Growth'!I50,0),IF(Nonlabor!$I$24="Customers",'Monthly Growth'!D50,IF(Nonlabor!$I$24="NewCustomers",'Monthly Growth'!C50,IF(Nonlabor!$I$24="StorageGB",'Monthly Growth'!G50,IF(Nonlabor!$I$24="LogGB",'Monthly Growth'!H50,IF(Nonlabor!$I$24="RequestsM",'Monthly Growth'!F50,IF(Nonlabor!$I$24="InputM",'Monthly Growth'!D50*Assumptions!$E$22/1000000,IF(Nonlabor!$I$24="OutputM",'Monthly Growth'!D50*Assumptions!$E$23/1000000,0))))))))),0)</f>
        <v>0</v>
      </c>
      <c r="F3770" s="10" t="n">
        <f aca="false">Nonlabor!$J$24*(1+Assumptions!$E$9)^INT((C3770-1)/12)</f>
        <v>0.4499456</v>
      </c>
      <c r="G3770" s="10" t="n">
        <f aca="false">E3770*F3770</f>
        <v>0</v>
      </c>
      <c r="H3770" s="10" t="n">
        <f aca="false">IF(OR(Nonlabor!$L$24="Quote required",Nonlabor!$L$24="Unverified"),G3770,0)</f>
        <v>0</v>
      </c>
      <c r="I3770" s="10" t="n">
        <f aca="false">IF(Nonlabor!$E$24="Core",0,G3770)</f>
        <v>0</v>
      </c>
      <c r="J3770" s="23" t="str">
        <f aca="false">Nonlabor!$B$24</f>
        <v>AI</v>
      </c>
    </row>
    <row r="3771" customFormat="false" ht="15" hidden="false" customHeight="false" outlineLevel="0" collapsed="false">
      <c r="A3771" s="6" t="s">
        <v>73</v>
      </c>
      <c r="B3771" s="6" t="s">
        <v>428</v>
      </c>
      <c r="C3771" s="6" t="n">
        <v>46</v>
      </c>
      <c r="D3771" s="25" t="n">
        <f aca="false">EDATE('Start Here'!$B$6,C3771-1)</f>
        <v>47696</v>
      </c>
      <c r="E3771" s="23" t="n">
        <f aca="false">IF(AND(OR(Nonlabor!$D$24="Both",Nonlabor!$D$24='Start Here'!$B$9),IF(Nonlabor!$E$24="Core",1,IF(Nonlabor!$E$24="AI",'Start Here'!$B$7,'Start Here'!$B$8))=1,C3771&gt;=IF(Nonlabor!$E$24="Core",Nonlabor!$F$24,MAX(Nonlabor!$F$24,IF(Nonlabor!$E$24="AI",Assumptions!$E$24,Assumptions!$E$25))),C3771&lt;=Nonlabor!$G$24,OR(Nonlabor!$H$24="Monthly",AND(Nonlabor!$H$24="Once",C3771=IF(Nonlabor!$E$24="Core",Nonlabor!$F$24,MAX(Nonlabor!$F$24,IF(Nonlabor!$E$24="AI",Assumptions!$E$24,Assumptions!$E$25)))),AND(Nonlabor!$H$24="Annual",MOD(C3771-IF(Nonlabor!$E$24="Core",Nonlabor!$F$24,MAX(Nonlabor!$F$24,IF(Nonlabor!$E$24="AI",Assumptions!$E$24,Assumptions!$E$25))),12)=0))),IF(Nonlabor!$I$24="Fixed",1,IF(Nonlabor!$I$24="Seats",ROUNDUP('Monthly Growth'!I51,0),IF(Nonlabor!$I$24="Customers",'Monthly Growth'!D51,IF(Nonlabor!$I$24="NewCustomers",'Monthly Growth'!C51,IF(Nonlabor!$I$24="StorageGB",'Monthly Growth'!G51,IF(Nonlabor!$I$24="LogGB",'Monthly Growth'!H51,IF(Nonlabor!$I$24="RequestsM",'Monthly Growth'!F51,IF(Nonlabor!$I$24="InputM",'Monthly Growth'!D51*Assumptions!$E$22/1000000,IF(Nonlabor!$I$24="OutputM",'Monthly Growth'!D51*Assumptions!$E$23/1000000,0))))))))),0)</f>
        <v>0</v>
      </c>
      <c r="F3771" s="10" t="n">
        <f aca="false">Nonlabor!$J$24*(1+Assumptions!$E$9)^INT((C3771-1)/12)</f>
        <v>0.4499456</v>
      </c>
      <c r="G3771" s="10" t="n">
        <f aca="false">E3771*F3771</f>
        <v>0</v>
      </c>
      <c r="H3771" s="10" t="n">
        <f aca="false">IF(OR(Nonlabor!$L$24="Quote required",Nonlabor!$L$24="Unverified"),G3771,0)</f>
        <v>0</v>
      </c>
      <c r="I3771" s="10" t="n">
        <f aca="false">IF(Nonlabor!$E$24="Core",0,G3771)</f>
        <v>0</v>
      </c>
      <c r="J3771" s="23" t="str">
        <f aca="false">Nonlabor!$B$24</f>
        <v>AI</v>
      </c>
    </row>
    <row r="3772" customFormat="false" ht="15" hidden="false" customHeight="false" outlineLevel="0" collapsed="false">
      <c r="A3772" s="6" t="s">
        <v>73</v>
      </c>
      <c r="B3772" s="6" t="s">
        <v>428</v>
      </c>
      <c r="C3772" s="6" t="n">
        <v>47</v>
      </c>
      <c r="D3772" s="25" t="n">
        <f aca="false">EDATE('Start Here'!$B$6,C3772-1)</f>
        <v>47727</v>
      </c>
      <c r="E3772" s="23" t="n">
        <f aca="false">IF(AND(OR(Nonlabor!$D$24="Both",Nonlabor!$D$24='Start Here'!$B$9),IF(Nonlabor!$E$24="Core",1,IF(Nonlabor!$E$24="AI",'Start Here'!$B$7,'Start Here'!$B$8))=1,C3772&gt;=IF(Nonlabor!$E$24="Core",Nonlabor!$F$24,MAX(Nonlabor!$F$24,IF(Nonlabor!$E$24="AI",Assumptions!$E$24,Assumptions!$E$25))),C3772&lt;=Nonlabor!$G$24,OR(Nonlabor!$H$24="Monthly",AND(Nonlabor!$H$24="Once",C3772=IF(Nonlabor!$E$24="Core",Nonlabor!$F$24,MAX(Nonlabor!$F$24,IF(Nonlabor!$E$24="AI",Assumptions!$E$24,Assumptions!$E$25)))),AND(Nonlabor!$H$24="Annual",MOD(C3772-IF(Nonlabor!$E$24="Core",Nonlabor!$F$24,MAX(Nonlabor!$F$24,IF(Nonlabor!$E$24="AI",Assumptions!$E$24,Assumptions!$E$25))),12)=0))),IF(Nonlabor!$I$24="Fixed",1,IF(Nonlabor!$I$24="Seats",ROUNDUP('Monthly Growth'!I52,0),IF(Nonlabor!$I$24="Customers",'Monthly Growth'!D52,IF(Nonlabor!$I$24="NewCustomers",'Monthly Growth'!C52,IF(Nonlabor!$I$24="StorageGB",'Monthly Growth'!G52,IF(Nonlabor!$I$24="LogGB",'Monthly Growth'!H52,IF(Nonlabor!$I$24="RequestsM",'Monthly Growth'!F52,IF(Nonlabor!$I$24="InputM",'Monthly Growth'!D52*Assumptions!$E$22/1000000,IF(Nonlabor!$I$24="OutputM",'Monthly Growth'!D52*Assumptions!$E$23/1000000,0))))))))),0)</f>
        <v>0</v>
      </c>
      <c r="F3772" s="10" t="n">
        <f aca="false">Nonlabor!$J$24*(1+Assumptions!$E$9)^INT((C3772-1)/12)</f>
        <v>0.4499456</v>
      </c>
      <c r="G3772" s="10" t="n">
        <f aca="false">E3772*F3772</f>
        <v>0</v>
      </c>
      <c r="H3772" s="10" t="n">
        <f aca="false">IF(OR(Nonlabor!$L$24="Quote required",Nonlabor!$L$24="Unverified"),G3772,0)</f>
        <v>0</v>
      </c>
      <c r="I3772" s="10" t="n">
        <f aca="false">IF(Nonlabor!$E$24="Core",0,G3772)</f>
        <v>0</v>
      </c>
      <c r="J3772" s="23" t="str">
        <f aca="false">Nonlabor!$B$24</f>
        <v>AI</v>
      </c>
    </row>
    <row r="3773" customFormat="false" ht="15" hidden="false" customHeight="false" outlineLevel="0" collapsed="false">
      <c r="A3773" s="6" t="s">
        <v>73</v>
      </c>
      <c r="B3773" s="6" t="s">
        <v>428</v>
      </c>
      <c r="C3773" s="6" t="n">
        <v>48</v>
      </c>
      <c r="D3773" s="25" t="n">
        <f aca="false">EDATE('Start Here'!$B$6,C3773-1)</f>
        <v>47757</v>
      </c>
      <c r="E3773" s="23" t="n">
        <f aca="false">IF(AND(OR(Nonlabor!$D$24="Both",Nonlabor!$D$24='Start Here'!$B$9),IF(Nonlabor!$E$24="Core",1,IF(Nonlabor!$E$24="AI",'Start Here'!$B$7,'Start Here'!$B$8))=1,C3773&gt;=IF(Nonlabor!$E$24="Core",Nonlabor!$F$24,MAX(Nonlabor!$F$24,IF(Nonlabor!$E$24="AI",Assumptions!$E$24,Assumptions!$E$25))),C3773&lt;=Nonlabor!$G$24,OR(Nonlabor!$H$24="Monthly",AND(Nonlabor!$H$24="Once",C3773=IF(Nonlabor!$E$24="Core",Nonlabor!$F$24,MAX(Nonlabor!$F$24,IF(Nonlabor!$E$24="AI",Assumptions!$E$24,Assumptions!$E$25)))),AND(Nonlabor!$H$24="Annual",MOD(C3773-IF(Nonlabor!$E$24="Core",Nonlabor!$F$24,MAX(Nonlabor!$F$24,IF(Nonlabor!$E$24="AI",Assumptions!$E$24,Assumptions!$E$25))),12)=0))),IF(Nonlabor!$I$24="Fixed",1,IF(Nonlabor!$I$24="Seats",ROUNDUP('Monthly Growth'!I53,0),IF(Nonlabor!$I$24="Customers",'Monthly Growth'!D53,IF(Nonlabor!$I$24="NewCustomers",'Monthly Growth'!C53,IF(Nonlabor!$I$24="StorageGB",'Monthly Growth'!G53,IF(Nonlabor!$I$24="LogGB",'Monthly Growth'!H53,IF(Nonlabor!$I$24="RequestsM",'Monthly Growth'!F53,IF(Nonlabor!$I$24="InputM",'Monthly Growth'!D53*Assumptions!$E$22/1000000,IF(Nonlabor!$I$24="OutputM",'Monthly Growth'!D53*Assumptions!$E$23/1000000,0))))))))),0)</f>
        <v>0</v>
      </c>
      <c r="F3773" s="10" t="n">
        <f aca="false">Nonlabor!$J$24*(1+Assumptions!$E$9)^INT((C3773-1)/12)</f>
        <v>0.4499456</v>
      </c>
      <c r="G3773" s="10" t="n">
        <f aca="false">E3773*F3773</f>
        <v>0</v>
      </c>
      <c r="H3773" s="10" t="n">
        <f aca="false">IF(OR(Nonlabor!$L$24="Quote required",Nonlabor!$L$24="Unverified"),G3773,0)</f>
        <v>0</v>
      </c>
      <c r="I3773" s="10" t="n">
        <f aca="false">IF(Nonlabor!$E$24="Core",0,G3773)</f>
        <v>0</v>
      </c>
      <c r="J3773" s="23" t="str">
        <f aca="false">Nonlabor!$B$24</f>
        <v>AI</v>
      </c>
    </row>
    <row r="3774" customFormat="false" ht="15" hidden="false" customHeight="false" outlineLevel="0" collapsed="false">
      <c r="A3774" s="6" t="s">
        <v>73</v>
      </c>
      <c r="B3774" s="6" t="s">
        <v>428</v>
      </c>
      <c r="C3774" s="6" t="n">
        <v>49</v>
      </c>
      <c r="D3774" s="25" t="n">
        <f aca="false">EDATE('Start Here'!$B$6,C3774-1)</f>
        <v>47788</v>
      </c>
      <c r="E3774" s="23" t="n">
        <f aca="false">IF(AND(OR(Nonlabor!$D$24="Both",Nonlabor!$D$24='Start Here'!$B$9),IF(Nonlabor!$E$24="Core",1,IF(Nonlabor!$E$24="AI",'Start Here'!$B$7,'Start Here'!$B$8))=1,C3774&gt;=IF(Nonlabor!$E$24="Core",Nonlabor!$F$24,MAX(Nonlabor!$F$24,IF(Nonlabor!$E$24="AI",Assumptions!$E$24,Assumptions!$E$25))),C3774&lt;=Nonlabor!$G$24,OR(Nonlabor!$H$24="Monthly",AND(Nonlabor!$H$24="Once",C3774=IF(Nonlabor!$E$24="Core",Nonlabor!$F$24,MAX(Nonlabor!$F$24,IF(Nonlabor!$E$24="AI",Assumptions!$E$24,Assumptions!$E$25)))),AND(Nonlabor!$H$24="Annual",MOD(C3774-IF(Nonlabor!$E$24="Core",Nonlabor!$F$24,MAX(Nonlabor!$F$24,IF(Nonlabor!$E$24="AI",Assumptions!$E$24,Assumptions!$E$25))),12)=0))),IF(Nonlabor!$I$24="Fixed",1,IF(Nonlabor!$I$24="Seats",ROUNDUP('Monthly Growth'!I54,0),IF(Nonlabor!$I$24="Customers",'Monthly Growth'!D54,IF(Nonlabor!$I$24="NewCustomers",'Monthly Growth'!C54,IF(Nonlabor!$I$24="StorageGB",'Monthly Growth'!G54,IF(Nonlabor!$I$24="LogGB",'Monthly Growth'!H54,IF(Nonlabor!$I$24="RequestsM",'Monthly Growth'!F54,IF(Nonlabor!$I$24="InputM",'Monthly Growth'!D54*Assumptions!$E$22/1000000,IF(Nonlabor!$I$24="OutputM",'Monthly Growth'!D54*Assumptions!$E$23/1000000,0))))))))),0)</f>
        <v>0</v>
      </c>
      <c r="F3774" s="10" t="n">
        <f aca="false">Nonlabor!$J$24*(1+Assumptions!$E$9)^INT((C3774-1)/12)</f>
        <v>0.467943424</v>
      </c>
      <c r="G3774" s="10" t="n">
        <f aca="false">E3774*F3774</f>
        <v>0</v>
      </c>
      <c r="H3774" s="10" t="n">
        <f aca="false">IF(OR(Nonlabor!$L$24="Quote required",Nonlabor!$L$24="Unverified"),G3774,0)</f>
        <v>0</v>
      </c>
      <c r="I3774" s="10" t="n">
        <f aca="false">IF(Nonlabor!$E$24="Core",0,G3774)</f>
        <v>0</v>
      </c>
      <c r="J3774" s="23" t="str">
        <f aca="false">Nonlabor!$B$24</f>
        <v>AI</v>
      </c>
    </row>
    <row r="3775" customFormat="false" ht="15" hidden="false" customHeight="false" outlineLevel="0" collapsed="false">
      <c r="A3775" s="6" t="s">
        <v>73</v>
      </c>
      <c r="B3775" s="6" t="s">
        <v>428</v>
      </c>
      <c r="C3775" s="6" t="n">
        <v>50</v>
      </c>
      <c r="D3775" s="25" t="n">
        <f aca="false">EDATE('Start Here'!$B$6,C3775-1)</f>
        <v>47818</v>
      </c>
      <c r="E3775" s="23" t="n">
        <f aca="false">IF(AND(OR(Nonlabor!$D$24="Both",Nonlabor!$D$24='Start Here'!$B$9),IF(Nonlabor!$E$24="Core",1,IF(Nonlabor!$E$24="AI",'Start Here'!$B$7,'Start Here'!$B$8))=1,C3775&gt;=IF(Nonlabor!$E$24="Core",Nonlabor!$F$24,MAX(Nonlabor!$F$24,IF(Nonlabor!$E$24="AI",Assumptions!$E$24,Assumptions!$E$25))),C3775&lt;=Nonlabor!$G$24,OR(Nonlabor!$H$24="Monthly",AND(Nonlabor!$H$24="Once",C3775=IF(Nonlabor!$E$24="Core",Nonlabor!$F$24,MAX(Nonlabor!$F$24,IF(Nonlabor!$E$24="AI",Assumptions!$E$24,Assumptions!$E$25)))),AND(Nonlabor!$H$24="Annual",MOD(C3775-IF(Nonlabor!$E$24="Core",Nonlabor!$F$24,MAX(Nonlabor!$F$24,IF(Nonlabor!$E$24="AI",Assumptions!$E$24,Assumptions!$E$25))),12)=0))),IF(Nonlabor!$I$24="Fixed",1,IF(Nonlabor!$I$24="Seats",ROUNDUP('Monthly Growth'!I55,0),IF(Nonlabor!$I$24="Customers",'Monthly Growth'!D55,IF(Nonlabor!$I$24="NewCustomers",'Monthly Growth'!C55,IF(Nonlabor!$I$24="StorageGB",'Monthly Growth'!G55,IF(Nonlabor!$I$24="LogGB",'Monthly Growth'!H55,IF(Nonlabor!$I$24="RequestsM",'Monthly Growth'!F55,IF(Nonlabor!$I$24="InputM",'Monthly Growth'!D55*Assumptions!$E$22/1000000,IF(Nonlabor!$I$24="OutputM",'Monthly Growth'!D55*Assumptions!$E$23/1000000,0))))))))),0)</f>
        <v>0</v>
      </c>
      <c r="F3775" s="10" t="n">
        <f aca="false">Nonlabor!$J$24*(1+Assumptions!$E$9)^INT((C3775-1)/12)</f>
        <v>0.467943424</v>
      </c>
      <c r="G3775" s="10" t="n">
        <f aca="false">E3775*F3775</f>
        <v>0</v>
      </c>
      <c r="H3775" s="10" t="n">
        <f aca="false">IF(OR(Nonlabor!$L$24="Quote required",Nonlabor!$L$24="Unverified"),G3775,0)</f>
        <v>0</v>
      </c>
      <c r="I3775" s="10" t="n">
        <f aca="false">IF(Nonlabor!$E$24="Core",0,G3775)</f>
        <v>0</v>
      </c>
      <c r="J3775" s="23" t="str">
        <f aca="false">Nonlabor!$B$24</f>
        <v>AI</v>
      </c>
    </row>
    <row r="3776" customFormat="false" ht="15" hidden="false" customHeight="false" outlineLevel="0" collapsed="false">
      <c r="A3776" s="6" t="s">
        <v>73</v>
      </c>
      <c r="B3776" s="6" t="s">
        <v>428</v>
      </c>
      <c r="C3776" s="6" t="n">
        <v>51</v>
      </c>
      <c r="D3776" s="25" t="n">
        <f aca="false">EDATE('Start Here'!$B$6,C3776-1)</f>
        <v>47849</v>
      </c>
      <c r="E3776" s="23" t="n">
        <f aca="false">IF(AND(OR(Nonlabor!$D$24="Both",Nonlabor!$D$24='Start Here'!$B$9),IF(Nonlabor!$E$24="Core",1,IF(Nonlabor!$E$24="AI",'Start Here'!$B$7,'Start Here'!$B$8))=1,C3776&gt;=IF(Nonlabor!$E$24="Core",Nonlabor!$F$24,MAX(Nonlabor!$F$24,IF(Nonlabor!$E$24="AI",Assumptions!$E$24,Assumptions!$E$25))),C3776&lt;=Nonlabor!$G$24,OR(Nonlabor!$H$24="Monthly",AND(Nonlabor!$H$24="Once",C3776=IF(Nonlabor!$E$24="Core",Nonlabor!$F$24,MAX(Nonlabor!$F$24,IF(Nonlabor!$E$24="AI",Assumptions!$E$24,Assumptions!$E$25)))),AND(Nonlabor!$H$24="Annual",MOD(C3776-IF(Nonlabor!$E$24="Core",Nonlabor!$F$24,MAX(Nonlabor!$F$24,IF(Nonlabor!$E$24="AI",Assumptions!$E$24,Assumptions!$E$25))),12)=0))),IF(Nonlabor!$I$24="Fixed",1,IF(Nonlabor!$I$24="Seats",ROUNDUP('Monthly Growth'!I56,0),IF(Nonlabor!$I$24="Customers",'Monthly Growth'!D56,IF(Nonlabor!$I$24="NewCustomers",'Monthly Growth'!C56,IF(Nonlabor!$I$24="StorageGB",'Monthly Growth'!G56,IF(Nonlabor!$I$24="LogGB",'Monthly Growth'!H56,IF(Nonlabor!$I$24="RequestsM",'Monthly Growth'!F56,IF(Nonlabor!$I$24="InputM",'Monthly Growth'!D56*Assumptions!$E$22/1000000,IF(Nonlabor!$I$24="OutputM",'Monthly Growth'!D56*Assumptions!$E$23/1000000,0))))))))),0)</f>
        <v>0</v>
      </c>
      <c r="F3776" s="10" t="n">
        <f aca="false">Nonlabor!$J$24*(1+Assumptions!$E$9)^INT((C3776-1)/12)</f>
        <v>0.467943424</v>
      </c>
      <c r="G3776" s="10" t="n">
        <f aca="false">E3776*F3776</f>
        <v>0</v>
      </c>
      <c r="H3776" s="10" t="n">
        <f aca="false">IF(OR(Nonlabor!$L$24="Quote required",Nonlabor!$L$24="Unverified"),G3776,0)</f>
        <v>0</v>
      </c>
      <c r="I3776" s="10" t="n">
        <f aca="false">IF(Nonlabor!$E$24="Core",0,G3776)</f>
        <v>0</v>
      </c>
      <c r="J3776" s="23" t="str">
        <f aca="false">Nonlabor!$B$24</f>
        <v>AI</v>
      </c>
    </row>
    <row r="3777" customFormat="false" ht="15" hidden="false" customHeight="false" outlineLevel="0" collapsed="false">
      <c r="A3777" s="6" t="s">
        <v>73</v>
      </c>
      <c r="B3777" s="6" t="s">
        <v>428</v>
      </c>
      <c r="C3777" s="6" t="n">
        <v>52</v>
      </c>
      <c r="D3777" s="25" t="n">
        <f aca="false">EDATE('Start Here'!$B$6,C3777-1)</f>
        <v>47880</v>
      </c>
      <c r="E3777" s="23" t="n">
        <f aca="false">IF(AND(OR(Nonlabor!$D$24="Both",Nonlabor!$D$24='Start Here'!$B$9),IF(Nonlabor!$E$24="Core",1,IF(Nonlabor!$E$24="AI",'Start Here'!$B$7,'Start Here'!$B$8))=1,C3777&gt;=IF(Nonlabor!$E$24="Core",Nonlabor!$F$24,MAX(Nonlabor!$F$24,IF(Nonlabor!$E$24="AI",Assumptions!$E$24,Assumptions!$E$25))),C3777&lt;=Nonlabor!$G$24,OR(Nonlabor!$H$24="Monthly",AND(Nonlabor!$H$24="Once",C3777=IF(Nonlabor!$E$24="Core",Nonlabor!$F$24,MAX(Nonlabor!$F$24,IF(Nonlabor!$E$24="AI",Assumptions!$E$24,Assumptions!$E$25)))),AND(Nonlabor!$H$24="Annual",MOD(C3777-IF(Nonlabor!$E$24="Core",Nonlabor!$F$24,MAX(Nonlabor!$F$24,IF(Nonlabor!$E$24="AI",Assumptions!$E$24,Assumptions!$E$25))),12)=0))),IF(Nonlabor!$I$24="Fixed",1,IF(Nonlabor!$I$24="Seats",ROUNDUP('Monthly Growth'!I57,0),IF(Nonlabor!$I$24="Customers",'Monthly Growth'!D57,IF(Nonlabor!$I$24="NewCustomers",'Monthly Growth'!C57,IF(Nonlabor!$I$24="StorageGB",'Monthly Growth'!G57,IF(Nonlabor!$I$24="LogGB",'Monthly Growth'!H57,IF(Nonlabor!$I$24="RequestsM",'Monthly Growth'!F57,IF(Nonlabor!$I$24="InputM",'Monthly Growth'!D57*Assumptions!$E$22/1000000,IF(Nonlabor!$I$24="OutputM",'Monthly Growth'!D57*Assumptions!$E$23/1000000,0))))))))),0)</f>
        <v>0</v>
      </c>
      <c r="F3777" s="10" t="n">
        <f aca="false">Nonlabor!$J$24*(1+Assumptions!$E$9)^INT((C3777-1)/12)</f>
        <v>0.467943424</v>
      </c>
      <c r="G3777" s="10" t="n">
        <f aca="false">E3777*F3777</f>
        <v>0</v>
      </c>
      <c r="H3777" s="10" t="n">
        <f aca="false">IF(OR(Nonlabor!$L$24="Quote required",Nonlabor!$L$24="Unverified"),G3777,0)</f>
        <v>0</v>
      </c>
      <c r="I3777" s="10" t="n">
        <f aca="false">IF(Nonlabor!$E$24="Core",0,G3777)</f>
        <v>0</v>
      </c>
      <c r="J3777" s="23" t="str">
        <f aca="false">Nonlabor!$B$24</f>
        <v>AI</v>
      </c>
    </row>
    <row r="3778" customFormat="false" ht="15" hidden="false" customHeight="false" outlineLevel="0" collapsed="false">
      <c r="A3778" s="6" t="s">
        <v>73</v>
      </c>
      <c r="B3778" s="6" t="s">
        <v>428</v>
      </c>
      <c r="C3778" s="6" t="n">
        <v>53</v>
      </c>
      <c r="D3778" s="25" t="n">
        <f aca="false">EDATE('Start Here'!$B$6,C3778-1)</f>
        <v>47908</v>
      </c>
      <c r="E3778" s="23" t="n">
        <f aca="false">IF(AND(OR(Nonlabor!$D$24="Both",Nonlabor!$D$24='Start Here'!$B$9),IF(Nonlabor!$E$24="Core",1,IF(Nonlabor!$E$24="AI",'Start Here'!$B$7,'Start Here'!$B$8))=1,C3778&gt;=IF(Nonlabor!$E$24="Core",Nonlabor!$F$24,MAX(Nonlabor!$F$24,IF(Nonlabor!$E$24="AI",Assumptions!$E$24,Assumptions!$E$25))),C3778&lt;=Nonlabor!$G$24,OR(Nonlabor!$H$24="Monthly",AND(Nonlabor!$H$24="Once",C3778=IF(Nonlabor!$E$24="Core",Nonlabor!$F$24,MAX(Nonlabor!$F$24,IF(Nonlabor!$E$24="AI",Assumptions!$E$24,Assumptions!$E$25)))),AND(Nonlabor!$H$24="Annual",MOD(C3778-IF(Nonlabor!$E$24="Core",Nonlabor!$F$24,MAX(Nonlabor!$F$24,IF(Nonlabor!$E$24="AI",Assumptions!$E$24,Assumptions!$E$25))),12)=0))),IF(Nonlabor!$I$24="Fixed",1,IF(Nonlabor!$I$24="Seats",ROUNDUP('Monthly Growth'!I58,0),IF(Nonlabor!$I$24="Customers",'Monthly Growth'!D58,IF(Nonlabor!$I$24="NewCustomers",'Monthly Growth'!C58,IF(Nonlabor!$I$24="StorageGB",'Monthly Growth'!G58,IF(Nonlabor!$I$24="LogGB",'Monthly Growth'!H58,IF(Nonlabor!$I$24="RequestsM",'Monthly Growth'!F58,IF(Nonlabor!$I$24="InputM",'Monthly Growth'!D58*Assumptions!$E$22/1000000,IF(Nonlabor!$I$24="OutputM",'Monthly Growth'!D58*Assumptions!$E$23/1000000,0))))))))),0)</f>
        <v>0</v>
      </c>
      <c r="F3778" s="10" t="n">
        <f aca="false">Nonlabor!$J$24*(1+Assumptions!$E$9)^INT((C3778-1)/12)</f>
        <v>0.467943424</v>
      </c>
      <c r="G3778" s="10" t="n">
        <f aca="false">E3778*F3778</f>
        <v>0</v>
      </c>
      <c r="H3778" s="10" t="n">
        <f aca="false">IF(OR(Nonlabor!$L$24="Quote required",Nonlabor!$L$24="Unverified"),G3778,0)</f>
        <v>0</v>
      </c>
      <c r="I3778" s="10" t="n">
        <f aca="false">IF(Nonlabor!$E$24="Core",0,G3778)</f>
        <v>0</v>
      </c>
      <c r="J3778" s="23" t="str">
        <f aca="false">Nonlabor!$B$24</f>
        <v>AI</v>
      </c>
    </row>
    <row r="3779" customFormat="false" ht="15" hidden="false" customHeight="false" outlineLevel="0" collapsed="false">
      <c r="A3779" s="6" t="s">
        <v>73</v>
      </c>
      <c r="B3779" s="6" t="s">
        <v>428</v>
      </c>
      <c r="C3779" s="6" t="n">
        <v>54</v>
      </c>
      <c r="D3779" s="25" t="n">
        <f aca="false">EDATE('Start Here'!$B$6,C3779-1)</f>
        <v>47939</v>
      </c>
      <c r="E3779" s="23" t="n">
        <f aca="false">IF(AND(OR(Nonlabor!$D$24="Both",Nonlabor!$D$24='Start Here'!$B$9),IF(Nonlabor!$E$24="Core",1,IF(Nonlabor!$E$24="AI",'Start Here'!$B$7,'Start Here'!$B$8))=1,C3779&gt;=IF(Nonlabor!$E$24="Core",Nonlabor!$F$24,MAX(Nonlabor!$F$24,IF(Nonlabor!$E$24="AI",Assumptions!$E$24,Assumptions!$E$25))),C3779&lt;=Nonlabor!$G$24,OR(Nonlabor!$H$24="Monthly",AND(Nonlabor!$H$24="Once",C3779=IF(Nonlabor!$E$24="Core",Nonlabor!$F$24,MAX(Nonlabor!$F$24,IF(Nonlabor!$E$24="AI",Assumptions!$E$24,Assumptions!$E$25)))),AND(Nonlabor!$H$24="Annual",MOD(C3779-IF(Nonlabor!$E$24="Core",Nonlabor!$F$24,MAX(Nonlabor!$F$24,IF(Nonlabor!$E$24="AI",Assumptions!$E$24,Assumptions!$E$25))),12)=0))),IF(Nonlabor!$I$24="Fixed",1,IF(Nonlabor!$I$24="Seats",ROUNDUP('Monthly Growth'!I59,0),IF(Nonlabor!$I$24="Customers",'Monthly Growth'!D59,IF(Nonlabor!$I$24="NewCustomers",'Monthly Growth'!C59,IF(Nonlabor!$I$24="StorageGB",'Monthly Growth'!G59,IF(Nonlabor!$I$24="LogGB",'Monthly Growth'!H59,IF(Nonlabor!$I$24="RequestsM",'Monthly Growth'!F59,IF(Nonlabor!$I$24="InputM",'Monthly Growth'!D59*Assumptions!$E$22/1000000,IF(Nonlabor!$I$24="OutputM",'Monthly Growth'!D59*Assumptions!$E$23/1000000,0))))))))),0)</f>
        <v>0</v>
      </c>
      <c r="F3779" s="10" t="n">
        <f aca="false">Nonlabor!$J$24*(1+Assumptions!$E$9)^INT((C3779-1)/12)</f>
        <v>0.467943424</v>
      </c>
      <c r="G3779" s="10" t="n">
        <f aca="false">E3779*F3779</f>
        <v>0</v>
      </c>
      <c r="H3779" s="10" t="n">
        <f aca="false">IF(OR(Nonlabor!$L$24="Quote required",Nonlabor!$L$24="Unverified"),G3779,0)</f>
        <v>0</v>
      </c>
      <c r="I3779" s="10" t="n">
        <f aca="false">IF(Nonlabor!$E$24="Core",0,G3779)</f>
        <v>0</v>
      </c>
      <c r="J3779" s="23" t="str">
        <f aca="false">Nonlabor!$B$24</f>
        <v>AI</v>
      </c>
    </row>
    <row r="3780" customFormat="false" ht="15" hidden="false" customHeight="false" outlineLevel="0" collapsed="false">
      <c r="A3780" s="6" t="s">
        <v>73</v>
      </c>
      <c r="B3780" s="6" t="s">
        <v>428</v>
      </c>
      <c r="C3780" s="6" t="n">
        <v>55</v>
      </c>
      <c r="D3780" s="25" t="n">
        <f aca="false">EDATE('Start Here'!$B$6,C3780-1)</f>
        <v>47969</v>
      </c>
      <c r="E3780" s="23" t="n">
        <f aca="false">IF(AND(OR(Nonlabor!$D$24="Both",Nonlabor!$D$24='Start Here'!$B$9),IF(Nonlabor!$E$24="Core",1,IF(Nonlabor!$E$24="AI",'Start Here'!$B$7,'Start Here'!$B$8))=1,C3780&gt;=IF(Nonlabor!$E$24="Core",Nonlabor!$F$24,MAX(Nonlabor!$F$24,IF(Nonlabor!$E$24="AI",Assumptions!$E$24,Assumptions!$E$25))),C3780&lt;=Nonlabor!$G$24,OR(Nonlabor!$H$24="Monthly",AND(Nonlabor!$H$24="Once",C3780=IF(Nonlabor!$E$24="Core",Nonlabor!$F$24,MAX(Nonlabor!$F$24,IF(Nonlabor!$E$24="AI",Assumptions!$E$24,Assumptions!$E$25)))),AND(Nonlabor!$H$24="Annual",MOD(C3780-IF(Nonlabor!$E$24="Core",Nonlabor!$F$24,MAX(Nonlabor!$F$24,IF(Nonlabor!$E$24="AI",Assumptions!$E$24,Assumptions!$E$25))),12)=0))),IF(Nonlabor!$I$24="Fixed",1,IF(Nonlabor!$I$24="Seats",ROUNDUP('Monthly Growth'!I60,0),IF(Nonlabor!$I$24="Customers",'Monthly Growth'!D60,IF(Nonlabor!$I$24="NewCustomers",'Monthly Growth'!C60,IF(Nonlabor!$I$24="StorageGB",'Monthly Growth'!G60,IF(Nonlabor!$I$24="LogGB",'Monthly Growth'!H60,IF(Nonlabor!$I$24="RequestsM",'Monthly Growth'!F60,IF(Nonlabor!$I$24="InputM",'Monthly Growth'!D60*Assumptions!$E$22/1000000,IF(Nonlabor!$I$24="OutputM",'Monthly Growth'!D60*Assumptions!$E$23/1000000,0))))))))),0)</f>
        <v>0</v>
      </c>
      <c r="F3780" s="10" t="n">
        <f aca="false">Nonlabor!$J$24*(1+Assumptions!$E$9)^INT((C3780-1)/12)</f>
        <v>0.467943424</v>
      </c>
      <c r="G3780" s="10" t="n">
        <f aca="false">E3780*F3780</f>
        <v>0</v>
      </c>
      <c r="H3780" s="10" t="n">
        <f aca="false">IF(OR(Nonlabor!$L$24="Quote required",Nonlabor!$L$24="Unverified"),G3780,0)</f>
        <v>0</v>
      </c>
      <c r="I3780" s="10" t="n">
        <f aca="false">IF(Nonlabor!$E$24="Core",0,G3780)</f>
        <v>0</v>
      </c>
      <c r="J3780" s="23" t="str">
        <f aca="false">Nonlabor!$B$24</f>
        <v>AI</v>
      </c>
    </row>
    <row r="3781" customFormat="false" ht="15" hidden="false" customHeight="false" outlineLevel="0" collapsed="false">
      <c r="A3781" s="6" t="s">
        <v>73</v>
      </c>
      <c r="B3781" s="6" t="s">
        <v>428</v>
      </c>
      <c r="C3781" s="6" t="n">
        <v>56</v>
      </c>
      <c r="D3781" s="25" t="n">
        <f aca="false">EDATE('Start Here'!$B$6,C3781-1)</f>
        <v>48000</v>
      </c>
      <c r="E3781" s="23" t="n">
        <f aca="false">IF(AND(OR(Nonlabor!$D$24="Both",Nonlabor!$D$24='Start Here'!$B$9),IF(Nonlabor!$E$24="Core",1,IF(Nonlabor!$E$24="AI",'Start Here'!$B$7,'Start Here'!$B$8))=1,C3781&gt;=IF(Nonlabor!$E$24="Core",Nonlabor!$F$24,MAX(Nonlabor!$F$24,IF(Nonlabor!$E$24="AI",Assumptions!$E$24,Assumptions!$E$25))),C3781&lt;=Nonlabor!$G$24,OR(Nonlabor!$H$24="Monthly",AND(Nonlabor!$H$24="Once",C3781=IF(Nonlabor!$E$24="Core",Nonlabor!$F$24,MAX(Nonlabor!$F$24,IF(Nonlabor!$E$24="AI",Assumptions!$E$24,Assumptions!$E$25)))),AND(Nonlabor!$H$24="Annual",MOD(C3781-IF(Nonlabor!$E$24="Core",Nonlabor!$F$24,MAX(Nonlabor!$F$24,IF(Nonlabor!$E$24="AI",Assumptions!$E$24,Assumptions!$E$25))),12)=0))),IF(Nonlabor!$I$24="Fixed",1,IF(Nonlabor!$I$24="Seats",ROUNDUP('Monthly Growth'!I61,0),IF(Nonlabor!$I$24="Customers",'Monthly Growth'!D61,IF(Nonlabor!$I$24="NewCustomers",'Monthly Growth'!C61,IF(Nonlabor!$I$24="StorageGB",'Monthly Growth'!G61,IF(Nonlabor!$I$24="LogGB",'Monthly Growth'!H61,IF(Nonlabor!$I$24="RequestsM",'Monthly Growth'!F61,IF(Nonlabor!$I$24="InputM",'Monthly Growth'!D61*Assumptions!$E$22/1000000,IF(Nonlabor!$I$24="OutputM",'Monthly Growth'!D61*Assumptions!$E$23/1000000,0))))))))),0)</f>
        <v>0</v>
      </c>
      <c r="F3781" s="10" t="n">
        <f aca="false">Nonlabor!$J$24*(1+Assumptions!$E$9)^INT((C3781-1)/12)</f>
        <v>0.467943424</v>
      </c>
      <c r="G3781" s="10" t="n">
        <f aca="false">E3781*F3781</f>
        <v>0</v>
      </c>
      <c r="H3781" s="10" t="n">
        <f aca="false">IF(OR(Nonlabor!$L$24="Quote required",Nonlabor!$L$24="Unverified"),G3781,0)</f>
        <v>0</v>
      </c>
      <c r="I3781" s="10" t="n">
        <f aca="false">IF(Nonlabor!$E$24="Core",0,G3781)</f>
        <v>0</v>
      </c>
      <c r="J3781" s="23" t="str">
        <f aca="false">Nonlabor!$B$24</f>
        <v>AI</v>
      </c>
    </row>
    <row r="3782" customFormat="false" ht="15" hidden="false" customHeight="false" outlineLevel="0" collapsed="false">
      <c r="A3782" s="6" t="s">
        <v>73</v>
      </c>
      <c r="B3782" s="6" t="s">
        <v>428</v>
      </c>
      <c r="C3782" s="6" t="n">
        <v>57</v>
      </c>
      <c r="D3782" s="25" t="n">
        <f aca="false">EDATE('Start Here'!$B$6,C3782-1)</f>
        <v>48030</v>
      </c>
      <c r="E3782" s="23" t="n">
        <f aca="false">IF(AND(OR(Nonlabor!$D$24="Both",Nonlabor!$D$24='Start Here'!$B$9),IF(Nonlabor!$E$24="Core",1,IF(Nonlabor!$E$24="AI",'Start Here'!$B$7,'Start Here'!$B$8))=1,C3782&gt;=IF(Nonlabor!$E$24="Core",Nonlabor!$F$24,MAX(Nonlabor!$F$24,IF(Nonlabor!$E$24="AI",Assumptions!$E$24,Assumptions!$E$25))),C3782&lt;=Nonlabor!$G$24,OR(Nonlabor!$H$24="Monthly",AND(Nonlabor!$H$24="Once",C3782=IF(Nonlabor!$E$24="Core",Nonlabor!$F$24,MAX(Nonlabor!$F$24,IF(Nonlabor!$E$24="AI",Assumptions!$E$24,Assumptions!$E$25)))),AND(Nonlabor!$H$24="Annual",MOD(C3782-IF(Nonlabor!$E$24="Core",Nonlabor!$F$24,MAX(Nonlabor!$F$24,IF(Nonlabor!$E$24="AI",Assumptions!$E$24,Assumptions!$E$25))),12)=0))),IF(Nonlabor!$I$24="Fixed",1,IF(Nonlabor!$I$24="Seats",ROUNDUP('Monthly Growth'!I62,0),IF(Nonlabor!$I$24="Customers",'Monthly Growth'!D62,IF(Nonlabor!$I$24="NewCustomers",'Monthly Growth'!C62,IF(Nonlabor!$I$24="StorageGB",'Monthly Growth'!G62,IF(Nonlabor!$I$24="LogGB",'Monthly Growth'!H62,IF(Nonlabor!$I$24="RequestsM",'Monthly Growth'!F62,IF(Nonlabor!$I$24="InputM",'Monthly Growth'!D62*Assumptions!$E$22/1000000,IF(Nonlabor!$I$24="OutputM",'Monthly Growth'!D62*Assumptions!$E$23/1000000,0))))))))),0)</f>
        <v>0</v>
      </c>
      <c r="F3782" s="10" t="n">
        <f aca="false">Nonlabor!$J$24*(1+Assumptions!$E$9)^INT((C3782-1)/12)</f>
        <v>0.467943424</v>
      </c>
      <c r="G3782" s="10" t="n">
        <f aca="false">E3782*F3782</f>
        <v>0</v>
      </c>
      <c r="H3782" s="10" t="n">
        <f aca="false">IF(OR(Nonlabor!$L$24="Quote required",Nonlabor!$L$24="Unverified"),G3782,0)</f>
        <v>0</v>
      </c>
      <c r="I3782" s="10" t="n">
        <f aca="false">IF(Nonlabor!$E$24="Core",0,G3782)</f>
        <v>0</v>
      </c>
      <c r="J3782" s="23" t="str">
        <f aca="false">Nonlabor!$B$24</f>
        <v>AI</v>
      </c>
    </row>
    <row r="3783" customFormat="false" ht="15" hidden="false" customHeight="false" outlineLevel="0" collapsed="false">
      <c r="A3783" s="6" t="s">
        <v>73</v>
      </c>
      <c r="B3783" s="6" t="s">
        <v>428</v>
      </c>
      <c r="C3783" s="6" t="n">
        <v>58</v>
      </c>
      <c r="D3783" s="25" t="n">
        <f aca="false">EDATE('Start Here'!$B$6,C3783-1)</f>
        <v>48061</v>
      </c>
      <c r="E3783" s="23" t="n">
        <f aca="false">IF(AND(OR(Nonlabor!$D$24="Both",Nonlabor!$D$24='Start Here'!$B$9),IF(Nonlabor!$E$24="Core",1,IF(Nonlabor!$E$24="AI",'Start Here'!$B$7,'Start Here'!$B$8))=1,C3783&gt;=IF(Nonlabor!$E$24="Core",Nonlabor!$F$24,MAX(Nonlabor!$F$24,IF(Nonlabor!$E$24="AI",Assumptions!$E$24,Assumptions!$E$25))),C3783&lt;=Nonlabor!$G$24,OR(Nonlabor!$H$24="Monthly",AND(Nonlabor!$H$24="Once",C3783=IF(Nonlabor!$E$24="Core",Nonlabor!$F$24,MAX(Nonlabor!$F$24,IF(Nonlabor!$E$24="AI",Assumptions!$E$24,Assumptions!$E$25)))),AND(Nonlabor!$H$24="Annual",MOD(C3783-IF(Nonlabor!$E$24="Core",Nonlabor!$F$24,MAX(Nonlabor!$F$24,IF(Nonlabor!$E$24="AI",Assumptions!$E$24,Assumptions!$E$25))),12)=0))),IF(Nonlabor!$I$24="Fixed",1,IF(Nonlabor!$I$24="Seats",ROUNDUP('Monthly Growth'!I63,0),IF(Nonlabor!$I$24="Customers",'Monthly Growth'!D63,IF(Nonlabor!$I$24="NewCustomers",'Monthly Growth'!C63,IF(Nonlabor!$I$24="StorageGB",'Monthly Growth'!G63,IF(Nonlabor!$I$24="LogGB",'Monthly Growth'!H63,IF(Nonlabor!$I$24="RequestsM",'Monthly Growth'!F63,IF(Nonlabor!$I$24="InputM",'Monthly Growth'!D63*Assumptions!$E$22/1000000,IF(Nonlabor!$I$24="OutputM",'Monthly Growth'!D63*Assumptions!$E$23/1000000,0))))))))),0)</f>
        <v>0</v>
      </c>
      <c r="F3783" s="10" t="n">
        <f aca="false">Nonlabor!$J$24*(1+Assumptions!$E$9)^INT((C3783-1)/12)</f>
        <v>0.467943424</v>
      </c>
      <c r="G3783" s="10" t="n">
        <f aca="false">E3783*F3783</f>
        <v>0</v>
      </c>
      <c r="H3783" s="10" t="n">
        <f aca="false">IF(OR(Nonlabor!$L$24="Quote required",Nonlabor!$L$24="Unverified"),G3783,0)</f>
        <v>0</v>
      </c>
      <c r="I3783" s="10" t="n">
        <f aca="false">IF(Nonlabor!$E$24="Core",0,G3783)</f>
        <v>0</v>
      </c>
      <c r="J3783" s="23" t="str">
        <f aca="false">Nonlabor!$B$24</f>
        <v>AI</v>
      </c>
    </row>
    <row r="3784" customFormat="false" ht="15" hidden="false" customHeight="false" outlineLevel="0" collapsed="false">
      <c r="A3784" s="6" t="s">
        <v>73</v>
      </c>
      <c r="B3784" s="6" t="s">
        <v>428</v>
      </c>
      <c r="C3784" s="6" t="n">
        <v>59</v>
      </c>
      <c r="D3784" s="25" t="n">
        <f aca="false">EDATE('Start Here'!$B$6,C3784-1)</f>
        <v>48092</v>
      </c>
      <c r="E3784" s="23" t="n">
        <f aca="false">IF(AND(OR(Nonlabor!$D$24="Both",Nonlabor!$D$24='Start Here'!$B$9),IF(Nonlabor!$E$24="Core",1,IF(Nonlabor!$E$24="AI",'Start Here'!$B$7,'Start Here'!$B$8))=1,C3784&gt;=IF(Nonlabor!$E$24="Core",Nonlabor!$F$24,MAX(Nonlabor!$F$24,IF(Nonlabor!$E$24="AI",Assumptions!$E$24,Assumptions!$E$25))),C3784&lt;=Nonlabor!$G$24,OR(Nonlabor!$H$24="Monthly",AND(Nonlabor!$H$24="Once",C3784=IF(Nonlabor!$E$24="Core",Nonlabor!$F$24,MAX(Nonlabor!$F$24,IF(Nonlabor!$E$24="AI",Assumptions!$E$24,Assumptions!$E$25)))),AND(Nonlabor!$H$24="Annual",MOD(C3784-IF(Nonlabor!$E$24="Core",Nonlabor!$F$24,MAX(Nonlabor!$F$24,IF(Nonlabor!$E$24="AI",Assumptions!$E$24,Assumptions!$E$25))),12)=0))),IF(Nonlabor!$I$24="Fixed",1,IF(Nonlabor!$I$24="Seats",ROUNDUP('Monthly Growth'!I64,0),IF(Nonlabor!$I$24="Customers",'Monthly Growth'!D64,IF(Nonlabor!$I$24="NewCustomers",'Monthly Growth'!C64,IF(Nonlabor!$I$24="StorageGB",'Monthly Growth'!G64,IF(Nonlabor!$I$24="LogGB",'Monthly Growth'!H64,IF(Nonlabor!$I$24="RequestsM",'Monthly Growth'!F64,IF(Nonlabor!$I$24="InputM",'Monthly Growth'!D64*Assumptions!$E$22/1000000,IF(Nonlabor!$I$24="OutputM",'Monthly Growth'!D64*Assumptions!$E$23/1000000,0))))))))),0)</f>
        <v>0</v>
      </c>
      <c r="F3784" s="10" t="n">
        <f aca="false">Nonlabor!$J$24*(1+Assumptions!$E$9)^INT((C3784-1)/12)</f>
        <v>0.467943424</v>
      </c>
      <c r="G3784" s="10" t="n">
        <f aca="false">E3784*F3784</f>
        <v>0</v>
      </c>
      <c r="H3784" s="10" t="n">
        <f aca="false">IF(OR(Nonlabor!$L$24="Quote required",Nonlabor!$L$24="Unverified"),G3784,0)</f>
        <v>0</v>
      </c>
      <c r="I3784" s="10" t="n">
        <f aca="false">IF(Nonlabor!$E$24="Core",0,G3784)</f>
        <v>0</v>
      </c>
      <c r="J3784" s="23" t="str">
        <f aca="false">Nonlabor!$B$24</f>
        <v>AI</v>
      </c>
    </row>
    <row r="3785" customFormat="false" ht="15" hidden="false" customHeight="false" outlineLevel="0" collapsed="false">
      <c r="A3785" s="6" t="s">
        <v>73</v>
      </c>
      <c r="B3785" s="6" t="s">
        <v>428</v>
      </c>
      <c r="C3785" s="6" t="n">
        <v>60</v>
      </c>
      <c r="D3785" s="25" t="n">
        <f aca="false">EDATE('Start Here'!$B$6,C3785-1)</f>
        <v>48122</v>
      </c>
      <c r="E3785" s="23" t="n">
        <f aca="false">IF(AND(OR(Nonlabor!$D$24="Both",Nonlabor!$D$24='Start Here'!$B$9),IF(Nonlabor!$E$24="Core",1,IF(Nonlabor!$E$24="AI",'Start Here'!$B$7,'Start Here'!$B$8))=1,C3785&gt;=IF(Nonlabor!$E$24="Core",Nonlabor!$F$24,MAX(Nonlabor!$F$24,IF(Nonlabor!$E$24="AI",Assumptions!$E$24,Assumptions!$E$25))),C3785&lt;=Nonlabor!$G$24,OR(Nonlabor!$H$24="Monthly",AND(Nonlabor!$H$24="Once",C3785=IF(Nonlabor!$E$24="Core",Nonlabor!$F$24,MAX(Nonlabor!$F$24,IF(Nonlabor!$E$24="AI",Assumptions!$E$24,Assumptions!$E$25)))),AND(Nonlabor!$H$24="Annual",MOD(C3785-IF(Nonlabor!$E$24="Core",Nonlabor!$F$24,MAX(Nonlabor!$F$24,IF(Nonlabor!$E$24="AI",Assumptions!$E$24,Assumptions!$E$25))),12)=0))),IF(Nonlabor!$I$24="Fixed",1,IF(Nonlabor!$I$24="Seats",ROUNDUP('Monthly Growth'!I65,0),IF(Nonlabor!$I$24="Customers",'Monthly Growth'!D65,IF(Nonlabor!$I$24="NewCustomers",'Monthly Growth'!C65,IF(Nonlabor!$I$24="StorageGB",'Monthly Growth'!G65,IF(Nonlabor!$I$24="LogGB",'Monthly Growth'!H65,IF(Nonlabor!$I$24="RequestsM",'Monthly Growth'!F65,IF(Nonlabor!$I$24="InputM",'Monthly Growth'!D65*Assumptions!$E$22/1000000,IF(Nonlabor!$I$24="OutputM",'Monthly Growth'!D65*Assumptions!$E$23/1000000,0))))))))),0)</f>
        <v>0</v>
      </c>
      <c r="F3785" s="10" t="n">
        <f aca="false">Nonlabor!$J$24*(1+Assumptions!$E$9)^INT((C3785-1)/12)</f>
        <v>0.467943424</v>
      </c>
      <c r="G3785" s="10" t="n">
        <f aca="false">E3785*F3785</f>
        <v>0</v>
      </c>
      <c r="H3785" s="10" t="n">
        <f aca="false">IF(OR(Nonlabor!$L$24="Quote required",Nonlabor!$L$24="Unverified"),G3785,0)</f>
        <v>0</v>
      </c>
      <c r="I3785" s="10" t="n">
        <f aca="false">IF(Nonlabor!$E$24="Core",0,G3785)</f>
        <v>0</v>
      </c>
      <c r="J3785" s="23" t="str">
        <f aca="false">Nonlabor!$B$24</f>
        <v>AI</v>
      </c>
    </row>
    <row r="3786" customFormat="false" ht="15" hidden="false" customHeight="false" outlineLevel="0" collapsed="false">
      <c r="A3786" s="6" t="s">
        <v>73</v>
      </c>
      <c r="B3786" s="6" t="s">
        <v>432</v>
      </c>
      <c r="C3786" s="6" t="n">
        <v>1</v>
      </c>
      <c r="D3786" s="25" t="n">
        <f aca="false">EDATE('Start Here'!$B$6,C3786-1)</f>
        <v>46327</v>
      </c>
      <c r="E3786" s="23" t="n">
        <f aca="false">IF(AND(OR(Nonlabor!$D$25="Both",Nonlabor!$D$25='Start Here'!$B$9),IF(Nonlabor!$E$25="Core",1,IF(Nonlabor!$E$25="AI",'Start Here'!$B$7,'Start Here'!$B$8))=1,C3786&gt;=IF(Nonlabor!$E$25="Core",Nonlabor!$F$25,MAX(Nonlabor!$F$25,IF(Nonlabor!$E$25="AI",Assumptions!$E$24,Assumptions!$E$25))),C3786&lt;=Nonlabor!$G$25,OR(Nonlabor!$H$25="Monthly",AND(Nonlabor!$H$25="Once",C3786=IF(Nonlabor!$E$25="Core",Nonlabor!$F$25,MAX(Nonlabor!$F$25,IF(Nonlabor!$E$25="AI",Assumptions!$E$24,Assumptions!$E$25)))),AND(Nonlabor!$H$25="Annual",MOD(C3786-IF(Nonlabor!$E$25="Core",Nonlabor!$F$25,MAX(Nonlabor!$F$25,IF(Nonlabor!$E$25="AI",Assumptions!$E$24,Assumptions!$E$25))),12)=0))),IF(Nonlabor!$I$25="Fixed",1,IF(Nonlabor!$I$25="Seats",ROUNDUP('Monthly Growth'!I6,0),IF(Nonlabor!$I$25="Customers",'Monthly Growth'!D6,IF(Nonlabor!$I$25="NewCustomers",'Monthly Growth'!C6,IF(Nonlabor!$I$25="StorageGB",'Monthly Growth'!G6,IF(Nonlabor!$I$25="LogGB",'Monthly Growth'!H6,IF(Nonlabor!$I$25="RequestsM",'Monthly Growth'!F6,IF(Nonlabor!$I$25="InputM",'Monthly Growth'!D6*Assumptions!$E$22/1000000,IF(Nonlabor!$I$25="OutputM",'Monthly Growth'!D6*Assumptions!$E$23/1000000,0))))))))),0)</f>
        <v>0</v>
      </c>
      <c r="F3786" s="10" t="n">
        <f aca="false">Nonlabor!$J$25*(1+Assumptions!$E$9)^INT((C3786-1)/12)</f>
        <v>1.6</v>
      </c>
      <c r="G3786" s="10" t="n">
        <f aca="false">E3786*F3786</f>
        <v>0</v>
      </c>
      <c r="H3786" s="10" t="n">
        <f aca="false">IF(OR(Nonlabor!$L$25="Quote required",Nonlabor!$L$25="Unverified"),G3786,0)</f>
        <v>0</v>
      </c>
      <c r="I3786" s="10" t="n">
        <f aca="false">IF(Nonlabor!$E$25="Core",0,G3786)</f>
        <v>0</v>
      </c>
      <c r="J3786" s="23" t="str">
        <f aca="false">Nonlabor!$B$25</f>
        <v>AI</v>
      </c>
    </row>
    <row r="3787" customFormat="false" ht="15" hidden="false" customHeight="false" outlineLevel="0" collapsed="false">
      <c r="A3787" s="6" t="s">
        <v>73</v>
      </c>
      <c r="B3787" s="6" t="s">
        <v>432</v>
      </c>
      <c r="C3787" s="6" t="n">
        <v>2</v>
      </c>
      <c r="D3787" s="25" t="n">
        <f aca="false">EDATE('Start Here'!$B$6,C3787-1)</f>
        <v>46357</v>
      </c>
      <c r="E3787" s="23" t="n">
        <f aca="false">IF(AND(OR(Nonlabor!$D$25="Both",Nonlabor!$D$25='Start Here'!$B$9),IF(Nonlabor!$E$25="Core",1,IF(Nonlabor!$E$25="AI",'Start Here'!$B$7,'Start Here'!$B$8))=1,C3787&gt;=IF(Nonlabor!$E$25="Core",Nonlabor!$F$25,MAX(Nonlabor!$F$25,IF(Nonlabor!$E$25="AI",Assumptions!$E$24,Assumptions!$E$25))),C3787&lt;=Nonlabor!$G$25,OR(Nonlabor!$H$25="Monthly",AND(Nonlabor!$H$25="Once",C3787=IF(Nonlabor!$E$25="Core",Nonlabor!$F$25,MAX(Nonlabor!$F$25,IF(Nonlabor!$E$25="AI",Assumptions!$E$24,Assumptions!$E$25)))),AND(Nonlabor!$H$25="Annual",MOD(C3787-IF(Nonlabor!$E$25="Core",Nonlabor!$F$25,MAX(Nonlabor!$F$25,IF(Nonlabor!$E$25="AI",Assumptions!$E$24,Assumptions!$E$25))),12)=0))),IF(Nonlabor!$I$25="Fixed",1,IF(Nonlabor!$I$25="Seats",ROUNDUP('Monthly Growth'!I7,0),IF(Nonlabor!$I$25="Customers",'Monthly Growth'!D7,IF(Nonlabor!$I$25="NewCustomers",'Monthly Growth'!C7,IF(Nonlabor!$I$25="StorageGB",'Monthly Growth'!G7,IF(Nonlabor!$I$25="LogGB",'Monthly Growth'!H7,IF(Nonlabor!$I$25="RequestsM",'Monthly Growth'!F7,IF(Nonlabor!$I$25="InputM",'Monthly Growth'!D7*Assumptions!$E$22/1000000,IF(Nonlabor!$I$25="OutputM",'Monthly Growth'!D7*Assumptions!$E$23/1000000,0))))))))),0)</f>
        <v>0</v>
      </c>
      <c r="F3787" s="10" t="n">
        <f aca="false">Nonlabor!$J$25*(1+Assumptions!$E$9)^INT((C3787-1)/12)</f>
        <v>1.6</v>
      </c>
      <c r="G3787" s="10" t="n">
        <f aca="false">E3787*F3787</f>
        <v>0</v>
      </c>
      <c r="H3787" s="10" t="n">
        <f aca="false">IF(OR(Nonlabor!$L$25="Quote required",Nonlabor!$L$25="Unverified"),G3787,0)</f>
        <v>0</v>
      </c>
      <c r="I3787" s="10" t="n">
        <f aca="false">IF(Nonlabor!$E$25="Core",0,G3787)</f>
        <v>0</v>
      </c>
      <c r="J3787" s="23" t="str">
        <f aca="false">Nonlabor!$B$25</f>
        <v>AI</v>
      </c>
    </row>
    <row r="3788" customFormat="false" ht="15" hidden="false" customHeight="false" outlineLevel="0" collapsed="false">
      <c r="A3788" s="6" t="s">
        <v>73</v>
      </c>
      <c r="B3788" s="6" t="s">
        <v>432</v>
      </c>
      <c r="C3788" s="6" t="n">
        <v>3</v>
      </c>
      <c r="D3788" s="25" t="n">
        <f aca="false">EDATE('Start Here'!$B$6,C3788-1)</f>
        <v>46388</v>
      </c>
      <c r="E3788" s="23" t="n">
        <f aca="false">IF(AND(OR(Nonlabor!$D$25="Both",Nonlabor!$D$25='Start Here'!$B$9),IF(Nonlabor!$E$25="Core",1,IF(Nonlabor!$E$25="AI",'Start Here'!$B$7,'Start Here'!$B$8))=1,C3788&gt;=IF(Nonlabor!$E$25="Core",Nonlabor!$F$25,MAX(Nonlabor!$F$25,IF(Nonlabor!$E$25="AI",Assumptions!$E$24,Assumptions!$E$25))),C3788&lt;=Nonlabor!$G$25,OR(Nonlabor!$H$25="Monthly",AND(Nonlabor!$H$25="Once",C3788=IF(Nonlabor!$E$25="Core",Nonlabor!$F$25,MAX(Nonlabor!$F$25,IF(Nonlabor!$E$25="AI",Assumptions!$E$24,Assumptions!$E$25)))),AND(Nonlabor!$H$25="Annual",MOD(C3788-IF(Nonlabor!$E$25="Core",Nonlabor!$F$25,MAX(Nonlabor!$F$25,IF(Nonlabor!$E$25="AI",Assumptions!$E$24,Assumptions!$E$25))),12)=0))),IF(Nonlabor!$I$25="Fixed",1,IF(Nonlabor!$I$25="Seats",ROUNDUP('Monthly Growth'!I8,0),IF(Nonlabor!$I$25="Customers",'Monthly Growth'!D8,IF(Nonlabor!$I$25="NewCustomers",'Monthly Growth'!C8,IF(Nonlabor!$I$25="StorageGB",'Monthly Growth'!G8,IF(Nonlabor!$I$25="LogGB",'Monthly Growth'!H8,IF(Nonlabor!$I$25="RequestsM",'Monthly Growth'!F8,IF(Nonlabor!$I$25="InputM",'Monthly Growth'!D8*Assumptions!$E$22/1000000,IF(Nonlabor!$I$25="OutputM",'Monthly Growth'!D8*Assumptions!$E$23/1000000,0))))))))),0)</f>
        <v>0</v>
      </c>
      <c r="F3788" s="10" t="n">
        <f aca="false">Nonlabor!$J$25*(1+Assumptions!$E$9)^INT((C3788-1)/12)</f>
        <v>1.6</v>
      </c>
      <c r="G3788" s="10" t="n">
        <f aca="false">E3788*F3788</f>
        <v>0</v>
      </c>
      <c r="H3788" s="10" t="n">
        <f aca="false">IF(OR(Nonlabor!$L$25="Quote required",Nonlabor!$L$25="Unverified"),G3788,0)</f>
        <v>0</v>
      </c>
      <c r="I3788" s="10" t="n">
        <f aca="false">IF(Nonlabor!$E$25="Core",0,G3788)</f>
        <v>0</v>
      </c>
      <c r="J3788" s="23" t="str">
        <f aca="false">Nonlabor!$B$25</f>
        <v>AI</v>
      </c>
    </row>
    <row r="3789" customFormat="false" ht="15" hidden="false" customHeight="false" outlineLevel="0" collapsed="false">
      <c r="A3789" s="6" t="s">
        <v>73</v>
      </c>
      <c r="B3789" s="6" t="s">
        <v>432</v>
      </c>
      <c r="C3789" s="6" t="n">
        <v>4</v>
      </c>
      <c r="D3789" s="25" t="n">
        <f aca="false">EDATE('Start Here'!$B$6,C3789-1)</f>
        <v>46419</v>
      </c>
      <c r="E3789" s="23" t="n">
        <f aca="false">IF(AND(OR(Nonlabor!$D$25="Both",Nonlabor!$D$25='Start Here'!$B$9),IF(Nonlabor!$E$25="Core",1,IF(Nonlabor!$E$25="AI",'Start Here'!$B$7,'Start Here'!$B$8))=1,C3789&gt;=IF(Nonlabor!$E$25="Core",Nonlabor!$F$25,MAX(Nonlabor!$F$25,IF(Nonlabor!$E$25="AI",Assumptions!$E$24,Assumptions!$E$25))),C3789&lt;=Nonlabor!$G$25,OR(Nonlabor!$H$25="Monthly",AND(Nonlabor!$H$25="Once",C3789=IF(Nonlabor!$E$25="Core",Nonlabor!$F$25,MAX(Nonlabor!$F$25,IF(Nonlabor!$E$25="AI",Assumptions!$E$24,Assumptions!$E$25)))),AND(Nonlabor!$H$25="Annual",MOD(C3789-IF(Nonlabor!$E$25="Core",Nonlabor!$F$25,MAX(Nonlabor!$F$25,IF(Nonlabor!$E$25="AI",Assumptions!$E$24,Assumptions!$E$25))),12)=0))),IF(Nonlabor!$I$25="Fixed",1,IF(Nonlabor!$I$25="Seats",ROUNDUP('Monthly Growth'!I9,0),IF(Nonlabor!$I$25="Customers",'Monthly Growth'!D9,IF(Nonlabor!$I$25="NewCustomers",'Monthly Growth'!C9,IF(Nonlabor!$I$25="StorageGB",'Monthly Growth'!G9,IF(Nonlabor!$I$25="LogGB",'Monthly Growth'!H9,IF(Nonlabor!$I$25="RequestsM",'Monthly Growth'!F9,IF(Nonlabor!$I$25="InputM",'Monthly Growth'!D9*Assumptions!$E$22/1000000,IF(Nonlabor!$I$25="OutputM",'Monthly Growth'!D9*Assumptions!$E$23/1000000,0))))))))),0)</f>
        <v>0</v>
      </c>
      <c r="F3789" s="10" t="n">
        <f aca="false">Nonlabor!$J$25*(1+Assumptions!$E$9)^INT((C3789-1)/12)</f>
        <v>1.6</v>
      </c>
      <c r="G3789" s="10" t="n">
        <f aca="false">E3789*F3789</f>
        <v>0</v>
      </c>
      <c r="H3789" s="10" t="n">
        <f aca="false">IF(OR(Nonlabor!$L$25="Quote required",Nonlabor!$L$25="Unverified"),G3789,0)</f>
        <v>0</v>
      </c>
      <c r="I3789" s="10" t="n">
        <f aca="false">IF(Nonlabor!$E$25="Core",0,G3789)</f>
        <v>0</v>
      </c>
      <c r="J3789" s="23" t="str">
        <f aca="false">Nonlabor!$B$25</f>
        <v>AI</v>
      </c>
    </row>
    <row r="3790" customFormat="false" ht="15" hidden="false" customHeight="false" outlineLevel="0" collapsed="false">
      <c r="A3790" s="6" t="s">
        <v>73</v>
      </c>
      <c r="B3790" s="6" t="s">
        <v>432</v>
      </c>
      <c r="C3790" s="6" t="n">
        <v>5</v>
      </c>
      <c r="D3790" s="25" t="n">
        <f aca="false">EDATE('Start Here'!$B$6,C3790-1)</f>
        <v>46447</v>
      </c>
      <c r="E3790" s="23" t="n">
        <f aca="false">IF(AND(OR(Nonlabor!$D$25="Both",Nonlabor!$D$25='Start Here'!$B$9),IF(Nonlabor!$E$25="Core",1,IF(Nonlabor!$E$25="AI",'Start Here'!$B$7,'Start Here'!$B$8))=1,C3790&gt;=IF(Nonlabor!$E$25="Core",Nonlabor!$F$25,MAX(Nonlabor!$F$25,IF(Nonlabor!$E$25="AI",Assumptions!$E$24,Assumptions!$E$25))),C3790&lt;=Nonlabor!$G$25,OR(Nonlabor!$H$25="Monthly",AND(Nonlabor!$H$25="Once",C3790=IF(Nonlabor!$E$25="Core",Nonlabor!$F$25,MAX(Nonlabor!$F$25,IF(Nonlabor!$E$25="AI",Assumptions!$E$24,Assumptions!$E$25)))),AND(Nonlabor!$H$25="Annual",MOD(C3790-IF(Nonlabor!$E$25="Core",Nonlabor!$F$25,MAX(Nonlabor!$F$25,IF(Nonlabor!$E$25="AI",Assumptions!$E$24,Assumptions!$E$25))),12)=0))),IF(Nonlabor!$I$25="Fixed",1,IF(Nonlabor!$I$25="Seats",ROUNDUP('Monthly Growth'!I10,0),IF(Nonlabor!$I$25="Customers",'Monthly Growth'!D10,IF(Nonlabor!$I$25="NewCustomers",'Monthly Growth'!C10,IF(Nonlabor!$I$25="StorageGB",'Monthly Growth'!G10,IF(Nonlabor!$I$25="LogGB",'Monthly Growth'!H10,IF(Nonlabor!$I$25="RequestsM",'Monthly Growth'!F10,IF(Nonlabor!$I$25="InputM",'Monthly Growth'!D10*Assumptions!$E$22/1000000,IF(Nonlabor!$I$25="OutputM",'Monthly Growth'!D10*Assumptions!$E$23/1000000,0))))))))),0)</f>
        <v>0</v>
      </c>
      <c r="F3790" s="10" t="n">
        <f aca="false">Nonlabor!$J$25*(1+Assumptions!$E$9)^INT((C3790-1)/12)</f>
        <v>1.6</v>
      </c>
      <c r="G3790" s="10" t="n">
        <f aca="false">E3790*F3790</f>
        <v>0</v>
      </c>
      <c r="H3790" s="10" t="n">
        <f aca="false">IF(OR(Nonlabor!$L$25="Quote required",Nonlabor!$L$25="Unverified"),G3790,0)</f>
        <v>0</v>
      </c>
      <c r="I3790" s="10" t="n">
        <f aca="false">IF(Nonlabor!$E$25="Core",0,G3790)</f>
        <v>0</v>
      </c>
      <c r="J3790" s="23" t="str">
        <f aca="false">Nonlabor!$B$25</f>
        <v>AI</v>
      </c>
    </row>
    <row r="3791" customFormat="false" ht="15" hidden="false" customHeight="false" outlineLevel="0" collapsed="false">
      <c r="A3791" s="6" t="s">
        <v>73</v>
      </c>
      <c r="B3791" s="6" t="s">
        <v>432</v>
      </c>
      <c r="C3791" s="6" t="n">
        <v>6</v>
      </c>
      <c r="D3791" s="25" t="n">
        <f aca="false">EDATE('Start Here'!$B$6,C3791-1)</f>
        <v>46478</v>
      </c>
      <c r="E3791" s="23" t="n">
        <f aca="false">IF(AND(OR(Nonlabor!$D$25="Both",Nonlabor!$D$25='Start Here'!$B$9),IF(Nonlabor!$E$25="Core",1,IF(Nonlabor!$E$25="AI",'Start Here'!$B$7,'Start Here'!$B$8))=1,C3791&gt;=IF(Nonlabor!$E$25="Core",Nonlabor!$F$25,MAX(Nonlabor!$F$25,IF(Nonlabor!$E$25="AI",Assumptions!$E$24,Assumptions!$E$25))),C3791&lt;=Nonlabor!$G$25,OR(Nonlabor!$H$25="Monthly",AND(Nonlabor!$H$25="Once",C3791=IF(Nonlabor!$E$25="Core",Nonlabor!$F$25,MAX(Nonlabor!$F$25,IF(Nonlabor!$E$25="AI",Assumptions!$E$24,Assumptions!$E$25)))),AND(Nonlabor!$H$25="Annual",MOD(C3791-IF(Nonlabor!$E$25="Core",Nonlabor!$F$25,MAX(Nonlabor!$F$25,IF(Nonlabor!$E$25="AI",Assumptions!$E$24,Assumptions!$E$25))),12)=0))),IF(Nonlabor!$I$25="Fixed",1,IF(Nonlabor!$I$25="Seats",ROUNDUP('Monthly Growth'!I11,0),IF(Nonlabor!$I$25="Customers",'Monthly Growth'!D11,IF(Nonlabor!$I$25="NewCustomers",'Monthly Growth'!C11,IF(Nonlabor!$I$25="StorageGB",'Monthly Growth'!G11,IF(Nonlabor!$I$25="LogGB",'Monthly Growth'!H11,IF(Nonlabor!$I$25="RequestsM",'Monthly Growth'!F11,IF(Nonlabor!$I$25="InputM",'Monthly Growth'!D11*Assumptions!$E$22/1000000,IF(Nonlabor!$I$25="OutputM",'Monthly Growth'!D11*Assumptions!$E$23/1000000,0))))))))),0)</f>
        <v>0</v>
      </c>
      <c r="F3791" s="10" t="n">
        <f aca="false">Nonlabor!$J$25*(1+Assumptions!$E$9)^INT((C3791-1)/12)</f>
        <v>1.6</v>
      </c>
      <c r="G3791" s="10" t="n">
        <f aca="false">E3791*F3791</f>
        <v>0</v>
      </c>
      <c r="H3791" s="10" t="n">
        <f aca="false">IF(OR(Nonlabor!$L$25="Quote required",Nonlabor!$L$25="Unverified"),G3791,0)</f>
        <v>0</v>
      </c>
      <c r="I3791" s="10" t="n">
        <f aca="false">IF(Nonlabor!$E$25="Core",0,G3791)</f>
        <v>0</v>
      </c>
      <c r="J3791" s="23" t="str">
        <f aca="false">Nonlabor!$B$25</f>
        <v>AI</v>
      </c>
    </row>
    <row r="3792" customFormat="false" ht="15" hidden="false" customHeight="false" outlineLevel="0" collapsed="false">
      <c r="A3792" s="6" t="s">
        <v>73</v>
      </c>
      <c r="B3792" s="6" t="s">
        <v>432</v>
      </c>
      <c r="C3792" s="6" t="n">
        <v>7</v>
      </c>
      <c r="D3792" s="25" t="n">
        <f aca="false">EDATE('Start Here'!$B$6,C3792-1)</f>
        <v>46508</v>
      </c>
      <c r="E3792" s="23" t="n">
        <f aca="false">IF(AND(OR(Nonlabor!$D$25="Both",Nonlabor!$D$25='Start Here'!$B$9),IF(Nonlabor!$E$25="Core",1,IF(Nonlabor!$E$25="AI",'Start Here'!$B$7,'Start Here'!$B$8))=1,C3792&gt;=IF(Nonlabor!$E$25="Core",Nonlabor!$F$25,MAX(Nonlabor!$F$25,IF(Nonlabor!$E$25="AI",Assumptions!$E$24,Assumptions!$E$25))),C3792&lt;=Nonlabor!$G$25,OR(Nonlabor!$H$25="Monthly",AND(Nonlabor!$H$25="Once",C3792=IF(Nonlabor!$E$25="Core",Nonlabor!$F$25,MAX(Nonlabor!$F$25,IF(Nonlabor!$E$25="AI",Assumptions!$E$24,Assumptions!$E$25)))),AND(Nonlabor!$H$25="Annual",MOD(C3792-IF(Nonlabor!$E$25="Core",Nonlabor!$F$25,MAX(Nonlabor!$F$25,IF(Nonlabor!$E$25="AI",Assumptions!$E$24,Assumptions!$E$25))),12)=0))),IF(Nonlabor!$I$25="Fixed",1,IF(Nonlabor!$I$25="Seats",ROUNDUP('Monthly Growth'!I12,0),IF(Nonlabor!$I$25="Customers",'Monthly Growth'!D12,IF(Nonlabor!$I$25="NewCustomers",'Monthly Growth'!C12,IF(Nonlabor!$I$25="StorageGB",'Monthly Growth'!G12,IF(Nonlabor!$I$25="LogGB",'Monthly Growth'!H12,IF(Nonlabor!$I$25="RequestsM",'Monthly Growth'!F12,IF(Nonlabor!$I$25="InputM",'Monthly Growth'!D12*Assumptions!$E$22/1000000,IF(Nonlabor!$I$25="OutputM",'Monthly Growth'!D12*Assumptions!$E$23/1000000,0))))))))),0)</f>
        <v>0</v>
      </c>
      <c r="F3792" s="10" t="n">
        <f aca="false">Nonlabor!$J$25*(1+Assumptions!$E$9)^INT((C3792-1)/12)</f>
        <v>1.6</v>
      </c>
      <c r="G3792" s="10" t="n">
        <f aca="false">E3792*F3792</f>
        <v>0</v>
      </c>
      <c r="H3792" s="10" t="n">
        <f aca="false">IF(OR(Nonlabor!$L$25="Quote required",Nonlabor!$L$25="Unverified"),G3792,0)</f>
        <v>0</v>
      </c>
      <c r="I3792" s="10" t="n">
        <f aca="false">IF(Nonlabor!$E$25="Core",0,G3792)</f>
        <v>0</v>
      </c>
      <c r="J3792" s="23" t="str">
        <f aca="false">Nonlabor!$B$25</f>
        <v>AI</v>
      </c>
    </row>
    <row r="3793" customFormat="false" ht="15" hidden="false" customHeight="false" outlineLevel="0" collapsed="false">
      <c r="A3793" s="6" t="s">
        <v>73</v>
      </c>
      <c r="B3793" s="6" t="s">
        <v>432</v>
      </c>
      <c r="C3793" s="6" t="n">
        <v>8</v>
      </c>
      <c r="D3793" s="25" t="n">
        <f aca="false">EDATE('Start Here'!$B$6,C3793-1)</f>
        <v>46539</v>
      </c>
      <c r="E3793" s="23" t="n">
        <f aca="false">IF(AND(OR(Nonlabor!$D$25="Both",Nonlabor!$D$25='Start Here'!$B$9),IF(Nonlabor!$E$25="Core",1,IF(Nonlabor!$E$25="AI",'Start Here'!$B$7,'Start Here'!$B$8))=1,C3793&gt;=IF(Nonlabor!$E$25="Core",Nonlabor!$F$25,MAX(Nonlabor!$F$25,IF(Nonlabor!$E$25="AI",Assumptions!$E$24,Assumptions!$E$25))),C3793&lt;=Nonlabor!$G$25,OR(Nonlabor!$H$25="Monthly",AND(Nonlabor!$H$25="Once",C3793=IF(Nonlabor!$E$25="Core",Nonlabor!$F$25,MAX(Nonlabor!$F$25,IF(Nonlabor!$E$25="AI",Assumptions!$E$24,Assumptions!$E$25)))),AND(Nonlabor!$H$25="Annual",MOD(C3793-IF(Nonlabor!$E$25="Core",Nonlabor!$F$25,MAX(Nonlabor!$F$25,IF(Nonlabor!$E$25="AI",Assumptions!$E$24,Assumptions!$E$25))),12)=0))),IF(Nonlabor!$I$25="Fixed",1,IF(Nonlabor!$I$25="Seats",ROUNDUP('Monthly Growth'!I13,0),IF(Nonlabor!$I$25="Customers",'Monthly Growth'!D13,IF(Nonlabor!$I$25="NewCustomers",'Monthly Growth'!C13,IF(Nonlabor!$I$25="StorageGB",'Monthly Growth'!G13,IF(Nonlabor!$I$25="LogGB",'Monthly Growth'!H13,IF(Nonlabor!$I$25="RequestsM",'Monthly Growth'!F13,IF(Nonlabor!$I$25="InputM",'Monthly Growth'!D13*Assumptions!$E$22/1000000,IF(Nonlabor!$I$25="OutputM",'Monthly Growth'!D13*Assumptions!$E$23/1000000,0))))))))),0)</f>
        <v>0</v>
      </c>
      <c r="F3793" s="10" t="n">
        <f aca="false">Nonlabor!$J$25*(1+Assumptions!$E$9)^INT((C3793-1)/12)</f>
        <v>1.6</v>
      </c>
      <c r="G3793" s="10" t="n">
        <f aca="false">E3793*F3793</f>
        <v>0</v>
      </c>
      <c r="H3793" s="10" t="n">
        <f aca="false">IF(OR(Nonlabor!$L$25="Quote required",Nonlabor!$L$25="Unverified"),G3793,0)</f>
        <v>0</v>
      </c>
      <c r="I3793" s="10" t="n">
        <f aca="false">IF(Nonlabor!$E$25="Core",0,G3793)</f>
        <v>0</v>
      </c>
      <c r="J3793" s="23" t="str">
        <f aca="false">Nonlabor!$B$25</f>
        <v>AI</v>
      </c>
    </row>
    <row r="3794" customFormat="false" ht="15" hidden="false" customHeight="false" outlineLevel="0" collapsed="false">
      <c r="A3794" s="6" t="s">
        <v>73</v>
      </c>
      <c r="B3794" s="6" t="s">
        <v>432</v>
      </c>
      <c r="C3794" s="6" t="n">
        <v>9</v>
      </c>
      <c r="D3794" s="25" t="n">
        <f aca="false">EDATE('Start Here'!$B$6,C3794-1)</f>
        <v>46569</v>
      </c>
      <c r="E3794" s="23" t="n">
        <f aca="false">IF(AND(OR(Nonlabor!$D$25="Both",Nonlabor!$D$25='Start Here'!$B$9),IF(Nonlabor!$E$25="Core",1,IF(Nonlabor!$E$25="AI",'Start Here'!$B$7,'Start Here'!$B$8))=1,C3794&gt;=IF(Nonlabor!$E$25="Core",Nonlabor!$F$25,MAX(Nonlabor!$F$25,IF(Nonlabor!$E$25="AI",Assumptions!$E$24,Assumptions!$E$25))),C3794&lt;=Nonlabor!$G$25,OR(Nonlabor!$H$25="Monthly",AND(Nonlabor!$H$25="Once",C3794=IF(Nonlabor!$E$25="Core",Nonlabor!$F$25,MAX(Nonlabor!$F$25,IF(Nonlabor!$E$25="AI",Assumptions!$E$24,Assumptions!$E$25)))),AND(Nonlabor!$H$25="Annual",MOD(C3794-IF(Nonlabor!$E$25="Core",Nonlabor!$F$25,MAX(Nonlabor!$F$25,IF(Nonlabor!$E$25="AI",Assumptions!$E$24,Assumptions!$E$25))),12)=0))),IF(Nonlabor!$I$25="Fixed",1,IF(Nonlabor!$I$25="Seats",ROUNDUP('Monthly Growth'!I14,0),IF(Nonlabor!$I$25="Customers",'Monthly Growth'!D14,IF(Nonlabor!$I$25="NewCustomers",'Monthly Growth'!C14,IF(Nonlabor!$I$25="StorageGB",'Monthly Growth'!G14,IF(Nonlabor!$I$25="LogGB",'Monthly Growth'!H14,IF(Nonlabor!$I$25="RequestsM",'Monthly Growth'!F14,IF(Nonlabor!$I$25="InputM",'Monthly Growth'!D14*Assumptions!$E$22/1000000,IF(Nonlabor!$I$25="OutputM",'Monthly Growth'!D14*Assumptions!$E$23/1000000,0))))))))),0)</f>
        <v>0</v>
      </c>
      <c r="F3794" s="10" t="n">
        <f aca="false">Nonlabor!$J$25*(1+Assumptions!$E$9)^INT((C3794-1)/12)</f>
        <v>1.6</v>
      </c>
      <c r="G3794" s="10" t="n">
        <f aca="false">E3794*F3794</f>
        <v>0</v>
      </c>
      <c r="H3794" s="10" t="n">
        <f aca="false">IF(OR(Nonlabor!$L$25="Quote required",Nonlabor!$L$25="Unverified"),G3794,0)</f>
        <v>0</v>
      </c>
      <c r="I3794" s="10" t="n">
        <f aca="false">IF(Nonlabor!$E$25="Core",0,G3794)</f>
        <v>0</v>
      </c>
      <c r="J3794" s="23" t="str">
        <f aca="false">Nonlabor!$B$25</f>
        <v>AI</v>
      </c>
    </row>
    <row r="3795" customFormat="false" ht="15" hidden="false" customHeight="false" outlineLevel="0" collapsed="false">
      <c r="A3795" s="6" t="s">
        <v>73</v>
      </c>
      <c r="B3795" s="6" t="s">
        <v>432</v>
      </c>
      <c r="C3795" s="6" t="n">
        <v>10</v>
      </c>
      <c r="D3795" s="25" t="n">
        <f aca="false">EDATE('Start Here'!$B$6,C3795-1)</f>
        <v>46600</v>
      </c>
      <c r="E3795" s="23" t="n">
        <f aca="false">IF(AND(OR(Nonlabor!$D$25="Both",Nonlabor!$D$25='Start Here'!$B$9),IF(Nonlabor!$E$25="Core",1,IF(Nonlabor!$E$25="AI",'Start Here'!$B$7,'Start Here'!$B$8))=1,C3795&gt;=IF(Nonlabor!$E$25="Core",Nonlabor!$F$25,MAX(Nonlabor!$F$25,IF(Nonlabor!$E$25="AI",Assumptions!$E$24,Assumptions!$E$25))),C3795&lt;=Nonlabor!$G$25,OR(Nonlabor!$H$25="Monthly",AND(Nonlabor!$H$25="Once",C3795=IF(Nonlabor!$E$25="Core",Nonlabor!$F$25,MAX(Nonlabor!$F$25,IF(Nonlabor!$E$25="AI",Assumptions!$E$24,Assumptions!$E$25)))),AND(Nonlabor!$H$25="Annual",MOD(C3795-IF(Nonlabor!$E$25="Core",Nonlabor!$F$25,MAX(Nonlabor!$F$25,IF(Nonlabor!$E$25="AI",Assumptions!$E$24,Assumptions!$E$25))),12)=0))),IF(Nonlabor!$I$25="Fixed",1,IF(Nonlabor!$I$25="Seats",ROUNDUP('Monthly Growth'!I15,0),IF(Nonlabor!$I$25="Customers",'Monthly Growth'!D15,IF(Nonlabor!$I$25="NewCustomers",'Monthly Growth'!C15,IF(Nonlabor!$I$25="StorageGB",'Monthly Growth'!G15,IF(Nonlabor!$I$25="LogGB",'Monthly Growth'!H15,IF(Nonlabor!$I$25="RequestsM",'Monthly Growth'!F15,IF(Nonlabor!$I$25="InputM",'Monthly Growth'!D15*Assumptions!$E$22/1000000,IF(Nonlabor!$I$25="OutputM",'Monthly Growth'!D15*Assumptions!$E$23/1000000,0))))))))),0)</f>
        <v>0</v>
      </c>
      <c r="F3795" s="10" t="n">
        <f aca="false">Nonlabor!$J$25*(1+Assumptions!$E$9)^INT((C3795-1)/12)</f>
        <v>1.6</v>
      </c>
      <c r="G3795" s="10" t="n">
        <f aca="false">E3795*F3795</f>
        <v>0</v>
      </c>
      <c r="H3795" s="10" t="n">
        <f aca="false">IF(OR(Nonlabor!$L$25="Quote required",Nonlabor!$L$25="Unverified"),G3795,0)</f>
        <v>0</v>
      </c>
      <c r="I3795" s="10" t="n">
        <f aca="false">IF(Nonlabor!$E$25="Core",0,G3795)</f>
        <v>0</v>
      </c>
      <c r="J3795" s="23" t="str">
        <f aca="false">Nonlabor!$B$25</f>
        <v>AI</v>
      </c>
    </row>
    <row r="3796" customFormat="false" ht="15" hidden="false" customHeight="false" outlineLevel="0" collapsed="false">
      <c r="A3796" s="6" t="s">
        <v>73</v>
      </c>
      <c r="B3796" s="6" t="s">
        <v>432</v>
      </c>
      <c r="C3796" s="6" t="n">
        <v>11</v>
      </c>
      <c r="D3796" s="25" t="n">
        <f aca="false">EDATE('Start Here'!$B$6,C3796-1)</f>
        <v>46631</v>
      </c>
      <c r="E3796" s="23" t="n">
        <f aca="false">IF(AND(OR(Nonlabor!$D$25="Both",Nonlabor!$D$25='Start Here'!$B$9),IF(Nonlabor!$E$25="Core",1,IF(Nonlabor!$E$25="AI",'Start Here'!$B$7,'Start Here'!$B$8))=1,C3796&gt;=IF(Nonlabor!$E$25="Core",Nonlabor!$F$25,MAX(Nonlabor!$F$25,IF(Nonlabor!$E$25="AI",Assumptions!$E$24,Assumptions!$E$25))),C3796&lt;=Nonlabor!$G$25,OR(Nonlabor!$H$25="Monthly",AND(Nonlabor!$H$25="Once",C3796=IF(Nonlabor!$E$25="Core",Nonlabor!$F$25,MAX(Nonlabor!$F$25,IF(Nonlabor!$E$25="AI",Assumptions!$E$24,Assumptions!$E$25)))),AND(Nonlabor!$H$25="Annual",MOD(C3796-IF(Nonlabor!$E$25="Core",Nonlabor!$F$25,MAX(Nonlabor!$F$25,IF(Nonlabor!$E$25="AI",Assumptions!$E$24,Assumptions!$E$25))),12)=0))),IF(Nonlabor!$I$25="Fixed",1,IF(Nonlabor!$I$25="Seats",ROUNDUP('Monthly Growth'!I16,0),IF(Nonlabor!$I$25="Customers",'Monthly Growth'!D16,IF(Nonlabor!$I$25="NewCustomers",'Monthly Growth'!C16,IF(Nonlabor!$I$25="StorageGB",'Monthly Growth'!G16,IF(Nonlabor!$I$25="LogGB",'Monthly Growth'!H16,IF(Nonlabor!$I$25="RequestsM",'Monthly Growth'!F16,IF(Nonlabor!$I$25="InputM",'Monthly Growth'!D16*Assumptions!$E$22/1000000,IF(Nonlabor!$I$25="OutputM",'Monthly Growth'!D16*Assumptions!$E$23/1000000,0))))))))),0)</f>
        <v>0</v>
      </c>
      <c r="F3796" s="10" t="n">
        <f aca="false">Nonlabor!$J$25*(1+Assumptions!$E$9)^INT((C3796-1)/12)</f>
        <v>1.6</v>
      </c>
      <c r="G3796" s="10" t="n">
        <f aca="false">E3796*F3796</f>
        <v>0</v>
      </c>
      <c r="H3796" s="10" t="n">
        <f aca="false">IF(OR(Nonlabor!$L$25="Quote required",Nonlabor!$L$25="Unverified"),G3796,0)</f>
        <v>0</v>
      </c>
      <c r="I3796" s="10" t="n">
        <f aca="false">IF(Nonlabor!$E$25="Core",0,G3796)</f>
        <v>0</v>
      </c>
      <c r="J3796" s="23" t="str">
        <f aca="false">Nonlabor!$B$25</f>
        <v>AI</v>
      </c>
    </row>
    <row r="3797" customFormat="false" ht="15" hidden="false" customHeight="false" outlineLevel="0" collapsed="false">
      <c r="A3797" s="6" t="s">
        <v>73</v>
      </c>
      <c r="B3797" s="6" t="s">
        <v>432</v>
      </c>
      <c r="C3797" s="6" t="n">
        <v>12</v>
      </c>
      <c r="D3797" s="25" t="n">
        <f aca="false">EDATE('Start Here'!$B$6,C3797-1)</f>
        <v>46661</v>
      </c>
      <c r="E3797" s="23" t="n">
        <f aca="false">IF(AND(OR(Nonlabor!$D$25="Both",Nonlabor!$D$25='Start Here'!$B$9),IF(Nonlabor!$E$25="Core",1,IF(Nonlabor!$E$25="AI",'Start Here'!$B$7,'Start Here'!$B$8))=1,C3797&gt;=IF(Nonlabor!$E$25="Core",Nonlabor!$F$25,MAX(Nonlabor!$F$25,IF(Nonlabor!$E$25="AI",Assumptions!$E$24,Assumptions!$E$25))),C3797&lt;=Nonlabor!$G$25,OR(Nonlabor!$H$25="Monthly",AND(Nonlabor!$H$25="Once",C3797=IF(Nonlabor!$E$25="Core",Nonlabor!$F$25,MAX(Nonlabor!$F$25,IF(Nonlabor!$E$25="AI",Assumptions!$E$24,Assumptions!$E$25)))),AND(Nonlabor!$H$25="Annual",MOD(C3797-IF(Nonlabor!$E$25="Core",Nonlabor!$F$25,MAX(Nonlabor!$F$25,IF(Nonlabor!$E$25="AI",Assumptions!$E$24,Assumptions!$E$25))),12)=0))),IF(Nonlabor!$I$25="Fixed",1,IF(Nonlabor!$I$25="Seats",ROUNDUP('Monthly Growth'!I17,0),IF(Nonlabor!$I$25="Customers",'Monthly Growth'!D17,IF(Nonlabor!$I$25="NewCustomers",'Monthly Growth'!C17,IF(Nonlabor!$I$25="StorageGB",'Monthly Growth'!G17,IF(Nonlabor!$I$25="LogGB",'Monthly Growth'!H17,IF(Nonlabor!$I$25="RequestsM",'Monthly Growth'!F17,IF(Nonlabor!$I$25="InputM",'Monthly Growth'!D17*Assumptions!$E$22/1000000,IF(Nonlabor!$I$25="OutputM",'Monthly Growth'!D17*Assumptions!$E$23/1000000,0))))))))),0)</f>
        <v>0</v>
      </c>
      <c r="F3797" s="10" t="n">
        <f aca="false">Nonlabor!$J$25*(1+Assumptions!$E$9)^INT((C3797-1)/12)</f>
        <v>1.6</v>
      </c>
      <c r="G3797" s="10" t="n">
        <f aca="false">E3797*F3797</f>
        <v>0</v>
      </c>
      <c r="H3797" s="10" t="n">
        <f aca="false">IF(OR(Nonlabor!$L$25="Quote required",Nonlabor!$L$25="Unverified"),G3797,0)</f>
        <v>0</v>
      </c>
      <c r="I3797" s="10" t="n">
        <f aca="false">IF(Nonlabor!$E$25="Core",0,G3797)</f>
        <v>0</v>
      </c>
      <c r="J3797" s="23" t="str">
        <f aca="false">Nonlabor!$B$25</f>
        <v>AI</v>
      </c>
    </row>
    <row r="3798" customFormat="false" ht="15" hidden="false" customHeight="false" outlineLevel="0" collapsed="false">
      <c r="A3798" s="6" t="s">
        <v>73</v>
      </c>
      <c r="B3798" s="6" t="s">
        <v>432</v>
      </c>
      <c r="C3798" s="6" t="n">
        <v>13</v>
      </c>
      <c r="D3798" s="25" t="n">
        <f aca="false">EDATE('Start Here'!$B$6,C3798-1)</f>
        <v>46692</v>
      </c>
      <c r="E3798" s="23" t="n">
        <f aca="false">IF(AND(OR(Nonlabor!$D$25="Both",Nonlabor!$D$25='Start Here'!$B$9),IF(Nonlabor!$E$25="Core",1,IF(Nonlabor!$E$25="AI",'Start Here'!$B$7,'Start Here'!$B$8))=1,C3798&gt;=IF(Nonlabor!$E$25="Core",Nonlabor!$F$25,MAX(Nonlabor!$F$25,IF(Nonlabor!$E$25="AI",Assumptions!$E$24,Assumptions!$E$25))),C3798&lt;=Nonlabor!$G$25,OR(Nonlabor!$H$25="Monthly",AND(Nonlabor!$H$25="Once",C3798=IF(Nonlabor!$E$25="Core",Nonlabor!$F$25,MAX(Nonlabor!$F$25,IF(Nonlabor!$E$25="AI",Assumptions!$E$24,Assumptions!$E$25)))),AND(Nonlabor!$H$25="Annual",MOD(C3798-IF(Nonlabor!$E$25="Core",Nonlabor!$F$25,MAX(Nonlabor!$F$25,IF(Nonlabor!$E$25="AI",Assumptions!$E$24,Assumptions!$E$25))),12)=0))),IF(Nonlabor!$I$25="Fixed",1,IF(Nonlabor!$I$25="Seats",ROUNDUP('Monthly Growth'!I18,0),IF(Nonlabor!$I$25="Customers",'Monthly Growth'!D18,IF(Nonlabor!$I$25="NewCustomers",'Monthly Growth'!C18,IF(Nonlabor!$I$25="StorageGB",'Monthly Growth'!G18,IF(Nonlabor!$I$25="LogGB",'Monthly Growth'!H18,IF(Nonlabor!$I$25="RequestsM",'Monthly Growth'!F18,IF(Nonlabor!$I$25="InputM",'Monthly Growth'!D18*Assumptions!$E$22/1000000,IF(Nonlabor!$I$25="OutputM",'Monthly Growth'!D18*Assumptions!$E$23/1000000,0))))))))),0)</f>
        <v>0</v>
      </c>
      <c r="F3798" s="10" t="n">
        <f aca="false">Nonlabor!$J$25*(1+Assumptions!$E$9)^INT((C3798-1)/12)</f>
        <v>1.664</v>
      </c>
      <c r="G3798" s="10" t="n">
        <f aca="false">E3798*F3798</f>
        <v>0</v>
      </c>
      <c r="H3798" s="10" t="n">
        <f aca="false">IF(OR(Nonlabor!$L$25="Quote required",Nonlabor!$L$25="Unverified"),G3798,0)</f>
        <v>0</v>
      </c>
      <c r="I3798" s="10" t="n">
        <f aca="false">IF(Nonlabor!$E$25="Core",0,G3798)</f>
        <v>0</v>
      </c>
      <c r="J3798" s="23" t="str">
        <f aca="false">Nonlabor!$B$25</f>
        <v>AI</v>
      </c>
    </row>
    <row r="3799" customFormat="false" ht="15" hidden="false" customHeight="false" outlineLevel="0" collapsed="false">
      <c r="A3799" s="6" t="s">
        <v>73</v>
      </c>
      <c r="B3799" s="6" t="s">
        <v>432</v>
      </c>
      <c r="C3799" s="6" t="n">
        <v>14</v>
      </c>
      <c r="D3799" s="25" t="n">
        <f aca="false">EDATE('Start Here'!$B$6,C3799-1)</f>
        <v>46722</v>
      </c>
      <c r="E3799" s="23" t="n">
        <f aca="false">IF(AND(OR(Nonlabor!$D$25="Both",Nonlabor!$D$25='Start Here'!$B$9),IF(Nonlabor!$E$25="Core",1,IF(Nonlabor!$E$25="AI",'Start Here'!$B$7,'Start Here'!$B$8))=1,C3799&gt;=IF(Nonlabor!$E$25="Core",Nonlabor!$F$25,MAX(Nonlabor!$F$25,IF(Nonlabor!$E$25="AI",Assumptions!$E$24,Assumptions!$E$25))),C3799&lt;=Nonlabor!$G$25,OR(Nonlabor!$H$25="Monthly",AND(Nonlabor!$H$25="Once",C3799=IF(Nonlabor!$E$25="Core",Nonlabor!$F$25,MAX(Nonlabor!$F$25,IF(Nonlabor!$E$25="AI",Assumptions!$E$24,Assumptions!$E$25)))),AND(Nonlabor!$H$25="Annual",MOD(C3799-IF(Nonlabor!$E$25="Core",Nonlabor!$F$25,MAX(Nonlabor!$F$25,IF(Nonlabor!$E$25="AI",Assumptions!$E$24,Assumptions!$E$25))),12)=0))),IF(Nonlabor!$I$25="Fixed",1,IF(Nonlabor!$I$25="Seats",ROUNDUP('Monthly Growth'!I19,0),IF(Nonlabor!$I$25="Customers",'Monthly Growth'!D19,IF(Nonlabor!$I$25="NewCustomers",'Monthly Growth'!C19,IF(Nonlabor!$I$25="StorageGB",'Monthly Growth'!G19,IF(Nonlabor!$I$25="LogGB",'Monthly Growth'!H19,IF(Nonlabor!$I$25="RequestsM",'Monthly Growth'!F19,IF(Nonlabor!$I$25="InputM",'Monthly Growth'!D19*Assumptions!$E$22/1000000,IF(Nonlabor!$I$25="OutputM",'Monthly Growth'!D19*Assumptions!$E$23/1000000,0))))))))),0)</f>
        <v>0</v>
      </c>
      <c r="F3799" s="10" t="n">
        <f aca="false">Nonlabor!$J$25*(1+Assumptions!$E$9)^INT((C3799-1)/12)</f>
        <v>1.664</v>
      </c>
      <c r="G3799" s="10" t="n">
        <f aca="false">E3799*F3799</f>
        <v>0</v>
      </c>
      <c r="H3799" s="10" t="n">
        <f aca="false">IF(OR(Nonlabor!$L$25="Quote required",Nonlabor!$L$25="Unverified"),G3799,0)</f>
        <v>0</v>
      </c>
      <c r="I3799" s="10" t="n">
        <f aca="false">IF(Nonlabor!$E$25="Core",0,G3799)</f>
        <v>0</v>
      </c>
      <c r="J3799" s="23" t="str">
        <f aca="false">Nonlabor!$B$25</f>
        <v>AI</v>
      </c>
    </row>
    <row r="3800" customFormat="false" ht="15" hidden="false" customHeight="false" outlineLevel="0" collapsed="false">
      <c r="A3800" s="6" t="s">
        <v>73</v>
      </c>
      <c r="B3800" s="6" t="s">
        <v>432</v>
      </c>
      <c r="C3800" s="6" t="n">
        <v>15</v>
      </c>
      <c r="D3800" s="25" t="n">
        <f aca="false">EDATE('Start Here'!$B$6,C3800-1)</f>
        <v>46753</v>
      </c>
      <c r="E3800" s="23" t="n">
        <f aca="false">IF(AND(OR(Nonlabor!$D$25="Both",Nonlabor!$D$25='Start Here'!$B$9),IF(Nonlabor!$E$25="Core",1,IF(Nonlabor!$E$25="AI",'Start Here'!$B$7,'Start Here'!$B$8))=1,C3800&gt;=IF(Nonlabor!$E$25="Core",Nonlabor!$F$25,MAX(Nonlabor!$F$25,IF(Nonlabor!$E$25="AI",Assumptions!$E$24,Assumptions!$E$25))),C3800&lt;=Nonlabor!$G$25,OR(Nonlabor!$H$25="Monthly",AND(Nonlabor!$H$25="Once",C3800=IF(Nonlabor!$E$25="Core",Nonlabor!$F$25,MAX(Nonlabor!$F$25,IF(Nonlabor!$E$25="AI",Assumptions!$E$24,Assumptions!$E$25)))),AND(Nonlabor!$H$25="Annual",MOD(C3800-IF(Nonlabor!$E$25="Core",Nonlabor!$F$25,MAX(Nonlabor!$F$25,IF(Nonlabor!$E$25="AI",Assumptions!$E$24,Assumptions!$E$25))),12)=0))),IF(Nonlabor!$I$25="Fixed",1,IF(Nonlabor!$I$25="Seats",ROUNDUP('Monthly Growth'!I20,0),IF(Nonlabor!$I$25="Customers",'Monthly Growth'!D20,IF(Nonlabor!$I$25="NewCustomers",'Monthly Growth'!C20,IF(Nonlabor!$I$25="StorageGB",'Monthly Growth'!G20,IF(Nonlabor!$I$25="LogGB",'Monthly Growth'!H20,IF(Nonlabor!$I$25="RequestsM",'Monthly Growth'!F20,IF(Nonlabor!$I$25="InputM",'Monthly Growth'!D20*Assumptions!$E$22/1000000,IF(Nonlabor!$I$25="OutputM",'Monthly Growth'!D20*Assumptions!$E$23/1000000,0))))))))),0)</f>
        <v>0</v>
      </c>
      <c r="F3800" s="10" t="n">
        <f aca="false">Nonlabor!$J$25*(1+Assumptions!$E$9)^INT((C3800-1)/12)</f>
        <v>1.664</v>
      </c>
      <c r="G3800" s="10" t="n">
        <f aca="false">E3800*F3800</f>
        <v>0</v>
      </c>
      <c r="H3800" s="10" t="n">
        <f aca="false">IF(OR(Nonlabor!$L$25="Quote required",Nonlabor!$L$25="Unverified"),G3800,0)</f>
        <v>0</v>
      </c>
      <c r="I3800" s="10" t="n">
        <f aca="false">IF(Nonlabor!$E$25="Core",0,G3800)</f>
        <v>0</v>
      </c>
      <c r="J3800" s="23" t="str">
        <f aca="false">Nonlabor!$B$25</f>
        <v>AI</v>
      </c>
    </row>
    <row r="3801" customFormat="false" ht="15" hidden="false" customHeight="false" outlineLevel="0" collapsed="false">
      <c r="A3801" s="6" t="s">
        <v>73</v>
      </c>
      <c r="B3801" s="6" t="s">
        <v>432</v>
      </c>
      <c r="C3801" s="6" t="n">
        <v>16</v>
      </c>
      <c r="D3801" s="25" t="n">
        <f aca="false">EDATE('Start Here'!$B$6,C3801-1)</f>
        <v>46784</v>
      </c>
      <c r="E3801" s="23" t="n">
        <f aca="false">IF(AND(OR(Nonlabor!$D$25="Both",Nonlabor!$D$25='Start Here'!$B$9),IF(Nonlabor!$E$25="Core",1,IF(Nonlabor!$E$25="AI",'Start Here'!$B$7,'Start Here'!$B$8))=1,C3801&gt;=IF(Nonlabor!$E$25="Core",Nonlabor!$F$25,MAX(Nonlabor!$F$25,IF(Nonlabor!$E$25="AI",Assumptions!$E$24,Assumptions!$E$25))),C3801&lt;=Nonlabor!$G$25,OR(Nonlabor!$H$25="Monthly",AND(Nonlabor!$H$25="Once",C3801=IF(Nonlabor!$E$25="Core",Nonlabor!$F$25,MAX(Nonlabor!$F$25,IF(Nonlabor!$E$25="AI",Assumptions!$E$24,Assumptions!$E$25)))),AND(Nonlabor!$H$25="Annual",MOD(C3801-IF(Nonlabor!$E$25="Core",Nonlabor!$F$25,MAX(Nonlabor!$F$25,IF(Nonlabor!$E$25="AI",Assumptions!$E$24,Assumptions!$E$25))),12)=0))),IF(Nonlabor!$I$25="Fixed",1,IF(Nonlabor!$I$25="Seats",ROUNDUP('Monthly Growth'!I21,0),IF(Nonlabor!$I$25="Customers",'Monthly Growth'!D21,IF(Nonlabor!$I$25="NewCustomers",'Monthly Growth'!C21,IF(Nonlabor!$I$25="StorageGB",'Monthly Growth'!G21,IF(Nonlabor!$I$25="LogGB",'Monthly Growth'!H21,IF(Nonlabor!$I$25="RequestsM",'Monthly Growth'!F21,IF(Nonlabor!$I$25="InputM",'Monthly Growth'!D21*Assumptions!$E$22/1000000,IF(Nonlabor!$I$25="OutputM",'Monthly Growth'!D21*Assumptions!$E$23/1000000,0))))))))),0)</f>
        <v>0</v>
      </c>
      <c r="F3801" s="10" t="n">
        <f aca="false">Nonlabor!$J$25*(1+Assumptions!$E$9)^INT((C3801-1)/12)</f>
        <v>1.664</v>
      </c>
      <c r="G3801" s="10" t="n">
        <f aca="false">E3801*F3801</f>
        <v>0</v>
      </c>
      <c r="H3801" s="10" t="n">
        <f aca="false">IF(OR(Nonlabor!$L$25="Quote required",Nonlabor!$L$25="Unverified"),G3801,0)</f>
        <v>0</v>
      </c>
      <c r="I3801" s="10" t="n">
        <f aca="false">IF(Nonlabor!$E$25="Core",0,G3801)</f>
        <v>0</v>
      </c>
      <c r="J3801" s="23" t="str">
        <f aca="false">Nonlabor!$B$25</f>
        <v>AI</v>
      </c>
    </row>
    <row r="3802" customFormat="false" ht="15" hidden="false" customHeight="false" outlineLevel="0" collapsed="false">
      <c r="A3802" s="6" t="s">
        <v>73</v>
      </c>
      <c r="B3802" s="6" t="s">
        <v>432</v>
      </c>
      <c r="C3802" s="6" t="n">
        <v>17</v>
      </c>
      <c r="D3802" s="25" t="n">
        <f aca="false">EDATE('Start Here'!$B$6,C3802-1)</f>
        <v>46813</v>
      </c>
      <c r="E3802" s="23" t="n">
        <f aca="false">IF(AND(OR(Nonlabor!$D$25="Both",Nonlabor!$D$25='Start Here'!$B$9),IF(Nonlabor!$E$25="Core",1,IF(Nonlabor!$E$25="AI",'Start Here'!$B$7,'Start Here'!$B$8))=1,C3802&gt;=IF(Nonlabor!$E$25="Core",Nonlabor!$F$25,MAX(Nonlabor!$F$25,IF(Nonlabor!$E$25="AI",Assumptions!$E$24,Assumptions!$E$25))),C3802&lt;=Nonlabor!$G$25,OR(Nonlabor!$H$25="Monthly",AND(Nonlabor!$H$25="Once",C3802=IF(Nonlabor!$E$25="Core",Nonlabor!$F$25,MAX(Nonlabor!$F$25,IF(Nonlabor!$E$25="AI",Assumptions!$E$24,Assumptions!$E$25)))),AND(Nonlabor!$H$25="Annual",MOD(C3802-IF(Nonlabor!$E$25="Core",Nonlabor!$F$25,MAX(Nonlabor!$F$25,IF(Nonlabor!$E$25="AI",Assumptions!$E$24,Assumptions!$E$25))),12)=0))),IF(Nonlabor!$I$25="Fixed",1,IF(Nonlabor!$I$25="Seats",ROUNDUP('Monthly Growth'!I22,0),IF(Nonlabor!$I$25="Customers",'Monthly Growth'!D22,IF(Nonlabor!$I$25="NewCustomers",'Monthly Growth'!C22,IF(Nonlabor!$I$25="StorageGB",'Monthly Growth'!G22,IF(Nonlabor!$I$25="LogGB",'Monthly Growth'!H22,IF(Nonlabor!$I$25="RequestsM",'Monthly Growth'!F22,IF(Nonlabor!$I$25="InputM",'Monthly Growth'!D22*Assumptions!$E$22/1000000,IF(Nonlabor!$I$25="OutputM",'Monthly Growth'!D22*Assumptions!$E$23/1000000,0))))))))),0)</f>
        <v>0</v>
      </c>
      <c r="F3802" s="10" t="n">
        <f aca="false">Nonlabor!$J$25*(1+Assumptions!$E$9)^INT((C3802-1)/12)</f>
        <v>1.664</v>
      </c>
      <c r="G3802" s="10" t="n">
        <f aca="false">E3802*F3802</f>
        <v>0</v>
      </c>
      <c r="H3802" s="10" t="n">
        <f aca="false">IF(OR(Nonlabor!$L$25="Quote required",Nonlabor!$L$25="Unverified"),G3802,0)</f>
        <v>0</v>
      </c>
      <c r="I3802" s="10" t="n">
        <f aca="false">IF(Nonlabor!$E$25="Core",0,G3802)</f>
        <v>0</v>
      </c>
      <c r="J3802" s="23" t="str">
        <f aca="false">Nonlabor!$B$25</f>
        <v>AI</v>
      </c>
    </row>
    <row r="3803" customFormat="false" ht="15" hidden="false" customHeight="false" outlineLevel="0" collapsed="false">
      <c r="A3803" s="6" t="s">
        <v>73</v>
      </c>
      <c r="B3803" s="6" t="s">
        <v>432</v>
      </c>
      <c r="C3803" s="6" t="n">
        <v>18</v>
      </c>
      <c r="D3803" s="25" t="n">
        <f aca="false">EDATE('Start Here'!$B$6,C3803-1)</f>
        <v>46844</v>
      </c>
      <c r="E3803" s="23" t="n">
        <f aca="false">IF(AND(OR(Nonlabor!$D$25="Both",Nonlabor!$D$25='Start Here'!$B$9),IF(Nonlabor!$E$25="Core",1,IF(Nonlabor!$E$25="AI",'Start Here'!$B$7,'Start Here'!$B$8))=1,C3803&gt;=IF(Nonlabor!$E$25="Core",Nonlabor!$F$25,MAX(Nonlabor!$F$25,IF(Nonlabor!$E$25="AI",Assumptions!$E$24,Assumptions!$E$25))),C3803&lt;=Nonlabor!$G$25,OR(Nonlabor!$H$25="Monthly",AND(Nonlabor!$H$25="Once",C3803=IF(Nonlabor!$E$25="Core",Nonlabor!$F$25,MAX(Nonlabor!$F$25,IF(Nonlabor!$E$25="AI",Assumptions!$E$24,Assumptions!$E$25)))),AND(Nonlabor!$H$25="Annual",MOD(C3803-IF(Nonlabor!$E$25="Core",Nonlabor!$F$25,MAX(Nonlabor!$F$25,IF(Nonlabor!$E$25="AI",Assumptions!$E$24,Assumptions!$E$25))),12)=0))),IF(Nonlabor!$I$25="Fixed",1,IF(Nonlabor!$I$25="Seats",ROUNDUP('Monthly Growth'!I23,0),IF(Nonlabor!$I$25="Customers",'Monthly Growth'!D23,IF(Nonlabor!$I$25="NewCustomers",'Monthly Growth'!C23,IF(Nonlabor!$I$25="StorageGB",'Monthly Growth'!G23,IF(Nonlabor!$I$25="LogGB",'Monthly Growth'!H23,IF(Nonlabor!$I$25="RequestsM",'Monthly Growth'!F23,IF(Nonlabor!$I$25="InputM",'Monthly Growth'!D23*Assumptions!$E$22/1000000,IF(Nonlabor!$I$25="OutputM",'Monthly Growth'!D23*Assumptions!$E$23/1000000,0))))))))),0)</f>
        <v>0</v>
      </c>
      <c r="F3803" s="10" t="n">
        <f aca="false">Nonlabor!$J$25*(1+Assumptions!$E$9)^INT((C3803-1)/12)</f>
        <v>1.664</v>
      </c>
      <c r="G3803" s="10" t="n">
        <f aca="false">E3803*F3803</f>
        <v>0</v>
      </c>
      <c r="H3803" s="10" t="n">
        <f aca="false">IF(OR(Nonlabor!$L$25="Quote required",Nonlabor!$L$25="Unverified"),G3803,0)</f>
        <v>0</v>
      </c>
      <c r="I3803" s="10" t="n">
        <f aca="false">IF(Nonlabor!$E$25="Core",0,G3803)</f>
        <v>0</v>
      </c>
      <c r="J3803" s="23" t="str">
        <f aca="false">Nonlabor!$B$25</f>
        <v>AI</v>
      </c>
    </row>
    <row r="3804" customFormat="false" ht="15" hidden="false" customHeight="false" outlineLevel="0" collapsed="false">
      <c r="A3804" s="6" t="s">
        <v>73</v>
      </c>
      <c r="B3804" s="6" t="s">
        <v>432</v>
      </c>
      <c r="C3804" s="6" t="n">
        <v>19</v>
      </c>
      <c r="D3804" s="25" t="n">
        <f aca="false">EDATE('Start Here'!$B$6,C3804-1)</f>
        <v>46874</v>
      </c>
      <c r="E3804" s="23" t="n">
        <f aca="false">IF(AND(OR(Nonlabor!$D$25="Both",Nonlabor!$D$25='Start Here'!$B$9),IF(Nonlabor!$E$25="Core",1,IF(Nonlabor!$E$25="AI",'Start Here'!$B$7,'Start Here'!$B$8))=1,C3804&gt;=IF(Nonlabor!$E$25="Core",Nonlabor!$F$25,MAX(Nonlabor!$F$25,IF(Nonlabor!$E$25="AI",Assumptions!$E$24,Assumptions!$E$25))),C3804&lt;=Nonlabor!$G$25,OR(Nonlabor!$H$25="Monthly",AND(Nonlabor!$H$25="Once",C3804=IF(Nonlabor!$E$25="Core",Nonlabor!$F$25,MAX(Nonlabor!$F$25,IF(Nonlabor!$E$25="AI",Assumptions!$E$24,Assumptions!$E$25)))),AND(Nonlabor!$H$25="Annual",MOD(C3804-IF(Nonlabor!$E$25="Core",Nonlabor!$F$25,MAX(Nonlabor!$F$25,IF(Nonlabor!$E$25="AI",Assumptions!$E$24,Assumptions!$E$25))),12)=0))),IF(Nonlabor!$I$25="Fixed",1,IF(Nonlabor!$I$25="Seats",ROUNDUP('Monthly Growth'!I24,0),IF(Nonlabor!$I$25="Customers",'Monthly Growth'!D24,IF(Nonlabor!$I$25="NewCustomers",'Monthly Growth'!C24,IF(Nonlabor!$I$25="StorageGB",'Monthly Growth'!G24,IF(Nonlabor!$I$25="LogGB",'Monthly Growth'!H24,IF(Nonlabor!$I$25="RequestsM",'Monthly Growth'!F24,IF(Nonlabor!$I$25="InputM",'Monthly Growth'!D24*Assumptions!$E$22/1000000,IF(Nonlabor!$I$25="OutputM",'Monthly Growth'!D24*Assumptions!$E$23/1000000,0))))))))),0)</f>
        <v>0</v>
      </c>
      <c r="F3804" s="10" t="n">
        <f aca="false">Nonlabor!$J$25*(1+Assumptions!$E$9)^INT((C3804-1)/12)</f>
        <v>1.664</v>
      </c>
      <c r="G3804" s="10" t="n">
        <f aca="false">E3804*F3804</f>
        <v>0</v>
      </c>
      <c r="H3804" s="10" t="n">
        <f aca="false">IF(OR(Nonlabor!$L$25="Quote required",Nonlabor!$L$25="Unverified"),G3804,0)</f>
        <v>0</v>
      </c>
      <c r="I3804" s="10" t="n">
        <f aca="false">IF(Nonlabor!$E$25="Core",0,G3804)</f>
        <v>0</v>
      </c>
      <c r="J3804" s="23" t="str">
        <f aca="false">Nonlabor!$B$25</f>
        <v>AI</v>
      </c>
    </row>
    <row r="3805" customFormat="false" ht="15" hidden="false" customHeight="false" outlineLevel="0" collapsed="false">
      <c r="A3805" s="6" t="s">
        <v>73</v>
      </c>
      <c r="B3805" s="6" t="s">
        <v>432</v>
      </c>
      <c r="C3805" s="6" t="n">
        <v>20</v>
      </c>
      <c r="D3805" s="25" t="n">
        <f aca="false">EDATE('Start Here'!$B$6,C3805-1)</f>
        <v>46905</v>
      </c>
      <c r="E3805" s="23" t="n">
        <f aca="false">IF(AND(OR(Nonlabor!$D$25="Both",Nonlabor!$D$25='Start Here'!$B$9),IF(Nonlabor!$E$25="Core",1,IF(Nonlabor!$E$25="AI",'Start Here'!$B$7,'Start Here'!$B$8))=1,C3805&gt;=IF(Nonlabor!$E$25="Core",Nonlabor!$F$25,MAX(Nonlabor!$F$25,IF(Nonlabor!$E$25="AI",Assumptions!$E$24,Assumptions!$E$25))),C3805&lt;=Nonlabor!$G$25,OR(Nonlabor!$H$25="Monthly",AND(Nonlabor!$H$25="Once",C3805=IF(Nonlabor!$E$25="Core",Nonlabor!$F$25,MAX(Nonlabor!$F$25,IF(Nonlabor!$E$25="AI",Assumptions!$E$24,Assumptions!$E$25)))),AND(Nonlabor!$H$25="Annual",MOD(C3805-IF(Nonlabor!$E$25="Core",Nonlabor!$F$25,MAX(Nonlabor!$F$25,IF(Nonlabor!$E$25="AI",Assumptions!$E$24,Assumptions!$E$25))),12)=0))),IF(Nonlabor!$I$25="Fixed",1,IF(Nonlabor!$I$25="Seats",ROUNDUP('Monthly Growth'!I25,0),IF(Nonlabor!$I$25="Customers",'Monthly Growth'!D25,IF(Nonlabor!$I$25="NewCustomers",'Monthly Growth'!C25,IF(Nonlabor!$I$25="StorageGB",'Monthly Growth'!G25,IF(Nonlabor!$I$25="LogGB",'Monthly Growth'!H25,IF(Nonlabor!$I$25="RequestsM",'Monthly Growth'!F25,IF(Nonlabor!$I$25="InputM",'Monthly Growth'!D25*Assumptions!$E$22/1000000,IF(Nonlabor!$I$25="OutputM",'Monthly Growth'!D25*Assumptions!$E$23/1000000,0))))))))),0)</f>
        <v>0</v>
      </c>
      <c r="F3805" s="10" t="n">
        <f aca="false">Nonlabor!$J$25*(1+Assumptions!$E$9)^INT((C3805-1)/12)</f>
        <v>1.664</v>
      </c>
      <c r="G3805" s="10" t="n">
        <f aca="false">E3805*F3805</f>
        <v>0</v>
      </c>
      <c r="H3805" s="10" t="n">
        <f aca="false">IF(OR(Nonlabor!$L$25="Quote required",Nonlabor!$L$25="Unverified"),G3805,0)</f>
        <v>0</v>
      </c>
      <c r="I3805" s="10" t="n">
        <f aca="false">IF(Nonlabor!$E$25="Core",0,G3805)</f>
        <v>0</v>
      </c>
      <c r="J3805" s="23" t="str">
        <f aca="false">Nonlabor!$B$25</f>
        <v>AI</v>
      </c>
    </row>
    <row r="3806" customFormat="false" ht="15" hidden="false" customHeight="false" outlineLevel="0" collapsed="false">
      <c r="A3806" s="6" t="s">
        <v>73</v>
      </c>
      <c r="B3806" s="6" t="s">
        <v>432</v>
      </c>
      <c r="C3806" s="6" t="n">
        <v>21</v>
      </c>
      <c r="D3806" s="25" t="n">
        <f aca="false">EDATE('Start Here'!$B$6,C3806-1)</f>
        <v>46935</v>
      </c>
      <c r="E3806" s="23" t="n">
        <f aca="false">IF(AND(OR(Nonlabor!$D$25="Both",Nonlabor!$D$25='Start Here'!$B$9),IF(Nonlabor!$E$25="Core",1,IF(Nonlabor!$E$25="AI",'Start Here'!$B$7,'Start Here'!$B$8))=1,C3806&gt;=IF(Nonlabor!$E$25="Core",Nonlabor!$F$25,MAX(Nonlabor!$F$25,IF(Nonlabor!$E$25="AI",Assumptions!$E$24,Assumptions!$E$25))),C3806&lt;=Nonlabor!$G$25,OR(Nonlabor!$H$25="Monthly",AND(Nonlabor!$H$25="Once",C3806=IF(Nonlabor!$E$25="Core",Nonlabor!$F$25,MAX(Nonlabor!$F$25,IF(Nonlabor!$E$25="AI",Assumptions!$E$24,Assumptions!$E$25)))),AND(Nonlabor!$H$25="Annual",MOD(C3806-IF(Nonlabor!$E$25="Core",Nonlabor!$F$25,MAX(Nonlabor!$F$25,IF(Nonlabor!$E$25="AI",Assumptions!$E$24,Assumptions!$E$25))),12)=0))),IF(Nonlabor!$I$25="Fixed",1,IF(Nonlabor!$I$25="Seats",ROUNDUP('Monthly Growth'!I26,0),IF(Nonlabor!$I$25="Customers",'Monthly Growth'!D26,IF(Nonlabor!$I$25="NewCustomers",'Monthly Growth'!C26,IF(Nonlabor!$I$25="StorageGB",'Monthly Growth'!G26,IF(Nonlabor!$I$25="LogGB",'Monthly Growth'!H26,IF(Nonlabor!$I$25="RequestsM",'Monthly Growth'!F26,IF(Nonlabor!$I$25="InputM",'Monthly Growth'!D26*Assumptions!$E$22/1000000,IF(Nonlabor!$I$25="OutputM",'Monthly Growth'!D26*Assumptions!$E$23/1000000,0))))))))),0)</f>
        <v>0</v>
      </c>
      <c r="F3806" s="10" t="n">
        <f aca="false">Nonlabor!$J$25*(1+Assumptions!$E$9)^INT((C3806-1)/12)</f>
        <v>1.664</v>
      </c>
      <c r="G3806" s="10" t="n">
        <f aca="false">E3806*F3806</f>
        <v>0</v>
      </c>
      <c r="H3806" s="10" t="n">
        <f aca="false">IF(OR(Nonlabor!$L$25="Quote required",Nonlabor!$L$25="Unverified"),G3806,0)</f>
        <v>0</v>
      </c>
      <c r="I3806" s="10" t="n">
        <f aca="false">IF(Nonlabor!$E$25="Core",0,G3806)</f>
        <v>0</v>
      </c>
      <c r="J3806" s="23" t="str">
        <f aca="false">Nonlabor!$B$25</f>
        <v>AI</v>
      </c>
    </row>
    <row r="3807" customFormat="false" ht="15" hidden="false" customHeight="false" outlineLevel="0" collapsed="false">
      <c r="A3807" s="6" t="s">
        <v>73</v>
      </c>
      <c r="B3807" s="6" t="s">
        <v>432</v>
      </c>
      <c r="C3807" s="6" t="n">
        <v>22</v>
      </c>
      <c r="D3807" s="25" t="n">
        <f aca="false">EDATE('Start Here'!$B$6,C3807-1)</f>
        <v>46966</v>
      </c>
      <c r="E3807" s="23" t="n">
        <f aca="false">IF(AND(OR(Nonlabor!$D$25="Both",Nonlabor!$D$25='Start Here'!$B$9),IF(Nonlabor!$E$25="Core",1,IF(Nonlabor!$E$25="AI",'Start Here'!$B$7,'Start Here'!$B$8))=1,C3807&gt;=IF(Nonlabor!$E$25="Core",Nonlabor!$F$25,MAX(Nonlabor!$F$25,IF(Nonlabor!$E$25="AI",Assumptions!$E$24,Assumptions!$E$25))),C3807&lt;=Nonlabor!$G$25,OR(Nonlabor!$H$25="Monthly",AND(Nonlabor!$H$25="Once",C3807=IF(Nonlabor!$E$25="Core",Nonlabor!$F$25,MAX(Nonlabor!$F$25,IF(Nonlabor!$E$25="AI",Assumptions!$E$24,Assumptions!$E$25)))),AND(Nonlabor!$H$25="Annual",MOD(C3807-IF(Nonlabor!$E$25="Core",Nonlabor!$F$25,MAX(Nonlabor!$F$25,IF(Nonlabor!$E$25="AI",Assumptions!$E$24,Assumptions!$E$25))),12)=0))),IF(Nonlabor!$I$25="Fixed",1,IF(Nonlabor!$I$25="Seats",ROUNDUP('Monthly Growth'!I27,0),IF(Nonlabor!$I$25="Customers",'Monthly Growth'!D27,IF(Nonlabor!$I$25="NewCustomers",'Monthly Growth'!C27,IF(Nonlabor!$I$25="StorageGB",'Monthly Growth'!G27,IF(Nonlabor!$I$25="LogGB",'Monthly Growth'!H27,IF(Nonlabor!$I$25="RequestsM",'Monthly Growth'!F27,IF(Nonlabor!$I$25="InputM",'Monthly Growth'!D27*Assumptions!$E$22/1000000,IF(Nonlabor!$I$25="OutputM",'Monthly Growth'!D27*Assumptions!$E$23/1000000,0))))))))),0)</f>
        <v>0</v>
      </c>
      <c r="F3807" s="10" t="n">
        <f aca="false">Nonlabor!$J$25*(1+Assumptions!$E$9)^INT((C3807-1)/12)</f>
        <v>1.664</v>
      </c>
      <c r="G3807" s="10" t="n">
        <f aca="false">E3807*F3807</f>
        <v>0</v>
      </c>
      <c r="H3807" s="10" t="n">
        <f aca="false">IF(OR(Nonlabor!$L$25="Quote required",Nonlabor!$L$25="Unverified"),G3807,0)</f>
        <v>0</v>
      </c>
      <c r="I3807" s="10" t="n">
        <f aca="false">IF(Nonlabor!$E$25="Core",0,G3807)</f>
        <v>0</v>
      </c>
      <c r="J3807" s="23" t="str">
        <f aca="false">Nonlabor!$B$25</f>
        <v>AI</v>
      </c>
    </row>
    <row r="3808" customFormat="false" ht="15" hidden="false" customHeight="false" outlineLevel="0" collapsed="false">
      <c r="A3808" s="6" t="s">
        <v>73</v>
      </c>
      <c r="B3808" s="6" t="s">
        <v>432</v>
      </c>
      <c r="C3808" s="6" t="n">
        <v>23</v>
      </c>
      <c r="D3808" s="25" t="n">
        <f aca="false">EDATE('Start Here'!$B$6,C3808-1)</f>
        <v>46997</v>
      </c>
      <c r="E3808" s="23" t="n">
        <f aca="false">IF(AND(OR(Nonlabor!$D$25="Both",Nonlabor!$D$25='Start Here'!$B$9),IF(Nonlabor!$E$25="Core",1,IF(Nonlabor!$E$25="AI",'Start Here'!$B$7,'Start Here'!$B$8))=1,C3808&gt;=IF(Nonlabor!$E$25="Core",Nonlabor!$F$25,MAX(Nonlabor!$F$25,IF(Nonlabor!$E$25="AI",Assumptions!$E$24,Assumptions!$E$25))),C3808&lt;=Nonlabor!$G$25,OR(Nonlabor!$H$25="Monthly",AND(Nonlabor!$H$25="Once",C3808=IF(Nonlabor!$E$25="Core",Nonlabor!$F$25,MAX(Nonlabor!$F$25,IF(Nonlabor!$E$25="AI",Assumptions!$E$24,Assumptions!$E$25)))),AND(Nonlabor!$H$25="Annual",MOD(C3808-IF(Nonlabor!$E$25="Core",Nonlabor!$F$25,MAX(Nonlabor!$F$25,IF(Nonlabor!$E$25="AI",Assumptions!$E$24,Assumptions!$E$25))),12)=0))),IF(Nonlabor!$I$25="Fixed",1,IF(Nonlabor!$I$25="Seats",ROUNDUP('Monthly Growth'!I28,0),IF(Nonlabor!$I$25="Customers",'Monthly Growth'!D28,IF(Nonlabor!$I$25="NewCustomers",'Monthly Growth'!C28,IF(Nonlabor!$I$25="StorageGB",'Monthly Growth'!G28,IF(Nonlabor!$I$25="LogGB",'Monthly Growth'!H28,IF(Nonlabor!$I$25="RequestsM",'Monthly Growth'!F28,IF(Nonlabor!$I$25="InputM",'Monthly Growth'!D28*Assumptions!$E$22/1000000,IF(Nonlabor!$I$25="OutputM",'Monthly Growth'!D28*Assumptions!$E$23/1000000,0))))))))),0)</f>
        <v>0</v>
      </c>
      <c r="F3808" s="10" t="n">
        <f aca="false">Nonlabor!$J$25*(1+Assumptions!$E$9)^INT((C3808-1)/12)</f>
        <v>1.664</v>
      </c>
      <c r="G3808" s="10" t="n">
        <f aca="false">E3808*F3808</f>
        <v>0</v>
      </c>
      <c r="H3808" s="10" t="n">
        <f aca="false">IF(OR(Nonlabor!$L$25="Quote required",Nonlabor!$L$25="Unverified"),G3808,0)</f>
        <v>0</v>
      </c>
      <c r="I3808" s="10" t="n">
        <f aca="false">IF(Nonlabor!$E$25="Core",0,G3808)</f>
        <v>0</v>
      </c>
      <c r="J3808" s="23" t="str">
        <f aca="false">Nonlabor!$B$25</f>
        <v>AI</v>
      </c>
    </row>
    <row r="3809" customFormat="false" ht="15" hidden="false" customHeight="false" outlineLevel="0" collapsed="false">
      <c r="A3809" s="6" t="s">
        <v>73</v>
      </c>
      <c r="B3809" s="6" t="s">
        <v>432</v>
      </c>
      <c r="C3809" s="6" t="n">
        <v>24</v>
      </c>
      <c r="D3809" s="25" t="n">
        <f aca="false">EDATE('Start Here'!$B$6,C3809-1)</f>
        <v>47027</v>
      </c>
      <c r="E3809" s="23" t="n">
        <f aca="false">IF(AND(OR(Nonlabor!$D$25="Both",Nonlabor!$D$25='Start Here'!$B$9),IF(Nonlabor!$E$25="Core",1,IF(Nonlabor!$E$25="AI",'Start Here'!$B$7,'Start Here'!$B$8))=1,C3809&gt;=IF(Nonlabor!$E$25="Core",Nonlabor!$F$25,MAX(Nonlabor!$F$25,IF(Nonlabor!$E$25="AI",Assumptions!$E$24,Assumptions!$E$25))),C3809&lt;=Nonlabor!$G$25,OR(Nonlabor!$H$25="Monthly",AND(Nonlabor!$H$25="Once",C3809=IF(Nonlabor!$E$25="Core",Nonlabor!$F$25,MAX(Nonlabor!$F$25,IF(Nonlabor!$E$25="AI",Assumptions!$E$24,Assumptions!$E$25)))),AND(Nonlabor!$H$25="Annual",MOD(C3809-IF(Nonlabor!$E$25="Core",Nonlabor!$F$25,MAX(Nonlabor!$F$25,IF(Nonlabor!$E$25="AI",Assumptions!$E$24,Assumptions!$E$25))),12)=0))),IF(Nonlabor!$I$25="Fixed",1,IF(Nonlabor!$I$25="Seats",ROUNDUP('Monthly Growth'!I29,0),IF(Nonlabor!$I$25="Customers",'Monthly Growth'!D29,IF(Nonlabor!$I$25="NewCustomers",'Monthly Growth'!C29,IF(Nonlabor!$I$25="StorageGB",'Monthly Growth'!G29,IF(Nonlabor!$I$25="LogGB",'Monthly Growth'!H29,IF(Nonlabor!$I$25="RequestsM",'Monthly Growth'!F29,IF(Nonlabor!$I$25="InputM",'Monthly Growth'!D29*Assumptions!$E$22/1000000,IF(Nonlabor!$I$25="OutputM",'Monthly Growth'!D29*Assumptions!$E$23/1000000,0))))))))),0)</f>
        <v>0</v>
      </c>
      <c r="F3809" s="10" t="n">
        <f aca="false">Nonlabor!$J$25*(1+Assumptions!$E$9)^INT((C3809-1)/12)</f>
        <v>1.664</v>
      </c>
      <c r="G3809" s="10" t="n">
        <f aca="false">E3809*F3809</f>
        <v>0</v>
      </c>
      <c r="H3809" s="10" t="n">
        <f aca="false">IF(OR(Nonlabor!$L$25="Quote required",Nonlabor!$L$25="Unverified"),G3809,0)</f>
        <v>0</v>
      </c>
      <c r="I3809" s="10" t="n">
        <f aca="false">IF(Nonlabor!$E$25="Core",0,G3809)</f>
        <v>0</v>
      </c>
      <c r="J3809" s="23" t="str">
        <f aca="false">Nonlabor!$B$25</f>
        <v>AI</v>
      </c>
    </row>
    <row r="3810" customFormat="false" ht="15" hidden="false" customHeight="false" outlineLevel="0" collapsed="false">
      <c r="A3810" s="6" t="s">
        <v>73</v>
      </c>
      <c r="B3810" s="6" t="s">
        <v>432</v>
      </c>
      <c r="C3810" s="6" t="n">
        <v>25</v>
      </c>
      <c r="D3810" s="25" t="n">
        <f aca="false">EDATE('Start Here'!$B$6,C3810-1)</f>
        <v>47058</v>
      </c>
      <c r="E3810" s="23" t="n">
        <f aca="false">IF(AND(OR(Nonlabor!$D$25="Both",Nonlabor!$D$25='Start Here'!$B$9),IF(Nonlabor!$E$25="Core",1,IF(Nonlabor!$E$25="AI",'Start Here'!$B$7,'Start Here'!$B$8))=1,C3810&gt;=IF(Nonlabor!$E$25="Core",Nonlabor!$F$25,MAX(Nonlabor!$F$25,IF(Nonlabor!$E$25="AI",Assumptions!$E$24,Assumptions!$E$25))),C3810&lt;=Nonlabor!$G$25,OR(Nonlabor!$H$25="Monthly",AND(Nonlabor!$H$25="Once",C3810=IF(Nonlabor!$E$25="Core",Nonlabor!$F$25,MAX(Nonlabor!$F$25,IF(Nonlabor!$E$25="AI",Assumptions!$E$24,Assumptions!$E$25)))),AND(Nonlabor!$H$25="Annual",MOD(C3810-IF(Nonlabor!$E$25="Core",Nonlabor!$F$25,MAX(Nonlabor!$F$25,IF(Nonlabor!$E$25="AI",Assumptions!$E$24,Assumptions!$E$25))),12)=0))),IF(Nonlabor!$I$25="Fixed",1,IF(Nonlabor!$I$25="Seats",ROUNDUP('Monthly Growth'!I30,0),IF(Nonlabor!$I$25="Customers",'Monthly Growth'!D30,IF(Nonlabor!$I$25="NewCustomers",'Monthly Growth'!C30,IF(Nonlabor!$I$25="StorageGB",'Monthly Growth'!G30,IF(Nonlabor!$I$25="LogGB",'Monthly Growth'!H30,IF(Nonlabor!$I$25="RequestsM",'Monthly Growth'!F30,IF(Nonlabor!$I$25="InputM",'Monthly Growth'!D30*Assumptions!$E$22/1000000,IF(Nonlabor!$I$25="OutputM",'Monthly Growth'!D30*Assumptions!$E$23/1000000,0))))))))),0)</f>
        <v>0</v>
      </c>
      <c r="F3810" s="10" t="n">
        <f aca="false">Nonlabor!$J$25*(1+Assumptions!$E$9)^INT((C3810-1)/12)</f>
        <v>1.73056</v>
      </c>
      <c r="G3810" s="10" t="n">
        <f aca="false">E3810*F3810</f>
        <v>0</v>
      </c>
      <c r="H3810" s="10" t="n">
        <f aca="false">IF(OR(Nonlabor!$L$25="Quote required",Nonlabor!$L$25="Unverified"),G3810,0)</f>
        <v>0</v>
      </c>
      <c r="I3810" s="10" t="n">
        <f aca="false">IF(Nonlabor!$E$25="Core",0,G3810)</f>
        <v>0</v>
      </c>
      <c r="J3810" s="23" t="str">
        <f aca="false">Nonlabor!$B$25</f>
        <v>AI</v>
      </c>
    </row>
    <row r="3811" customFormat="false" ht="15" hidden="false" customHeight="false" outlineLevel="0" collapsed="false">
      <c r="A3811" s="6" t="s">
        <v>73</v>
      </c>
      <c r="B3811" s="6" t="s">
        <v>432</v>
      </c>
      <c r="C3811" s="6" t="n">
        <v>26</v>
      </c>
      <c r="D3811" s="25" t="n">
        <f aca="false">EDATE('Start Here'!$B$6,C3811-1)</f>
        <v>47088</v>
      </c>
      <c r="E3811" s="23" t="n">
        <f aca="false">IF(AND(OR(Nonlabor!$D$25="Both",Nonlabor!$D$25='Start Here'!$B$9),IF(Nonlabor!$E$25="Core",1,IF(Nonlabor!$E$25="AI",'Start Here'!$B$7,'Start Here'!$B$8))=1,C3811&gt;=IF(Nonlabor!$E$25="Core",Nonlabor!$F$25,MAX(Nonlabor!$F$25,IF(Nonlabor!$E$25="AI",Assumptions!$E$24,Assumptions!$E$25))),C3811&lt;=Nonlabor!$G$25,OR(Nonlabor!$H$25="Monthly",AND(Nonlabor!$H$25="Once",C3811=IF(Nonlabor!$E$25="Core",Nonlabor!$F$25,MAX(Nonlabor!$F$25,IF(Nonlabor!$E$25="AI",Assumptions!$E$24,Assumptions!$E$25)))),AND(Nonlabor!$H$25="Annual",MOD(C3811-IF(Nonlabor!$E$25="Core",Nonlabor!$F$25,MAX(Nonlabor!$F$25,IF(Nonlabor!$E$25="AI",Assumptions!$E$24,Assumptions!$E$25))),12)=0))),IF(Nonlabor!$I$25="Fixed",1,IF(Nonlabor!$I$25="Seats",ROUNDUP('Monthly Growth'!I31,0),IF(Nonlabor!$I$25="Customers",'Monthly Growth'!D31,IF(Nonlabor!$I$25="NewCustomers",'Monthly Growth'!C31,IF(Nonlabor!$I$25="StorageGB",'Monthly Growth'!G31,IF(Nonlabor!$I$25="LogGB",'Monthly Growth'!H31,IF(Nonlabor!$I$25="RequestsM",'Monthly Growth'!F31,IF(Nonlabor!$I$25="InputM",'Monthly Growth'!D31*Assumptions!$E$22/1000000,IF(Nonlabor!$I$25="OutputM",'Monthly Growth'!D31*Assumptions!$E$23/1000000,0))))))))),0)</f>
        <v>0</v>
      </c>
      <c r="F3811" s="10" t="n">
        <f aca="false">Nonlabor!$J$25*(1+Assumptions!$E$9)^INT((C3811-1)/12)</f>
        <v>1.73056</v>
      </c>
      <c r="G3811" s="10" t="n">
        <f aca="false">E3811*F3811</f>
        <v>0</v>
      </c>
      <c r="H3811" s="10" t="n">
        <f aca="false">IF(OR(Nonlabor!$L$25="Quote required",Nonlabor!$L$25="Unverified"),G3811,0)</f>
        <v>0</v>
      </c>
      <c r="I3811" s="10" t="n">
        <f aca="false">IF(Nonlabor!$E$25="Core",0,G3811)</f>
        <v>0</v>
      </c>
      <c r="J3811" s="23" t="str">
        <f aca="false">Nonlabor!$B$25</f>
        <v>AI</v>
      </c>
    </row>
    <row r="3812" customFormat="false" ht="15" hidden="false" customHeight="false" outlineLevel="0" collapsed="false">
      <c r="A3812" s="6" t="s">
        <v>73</v>
      </c>
      <c r="B3812" s="6" t="s">
        <v>432</v>
      </c>
      <c r="C3812" s="6" t="n">
        <v>27</v>
      </c>
      <c r="D3812" s="25" t="n">
        <f aca="false">EDATE('Start Here'!$B$6,C3812-1)</f>
        <v>47119</v>
      </c>
      <c r="E3812" s="23" t="n">
        <f aca="false">IF(AND(OR(Nonlabor!$D$25="Both",Nonlabor!$D$25='Start Here'!$B$9),IF(Nonlabor!$E$25="Core",1,IF(Nonlabor!$E$25="AI",'Start Here'!$B$7,'Start Here'!$B$8))=1,C3812&gt;=IF(Nonlabor!$E$25="Core",Nonlabor!$F$25,MAX(Nonlabor!$F$25,IF(Nonlabor!$E$25="AI",Assumptions!$E$24,Assumptions!$E$25))),C3812&lt;=Nonlabor!$G$25,OR(Nonlabor!$H$25="Monthly",AND(Nonlabor!$H$25="Once",C3812=IF(Nonlabor!$E$25="Core",Nonlabor!$F$25,MAX(Nonlabor!$F$25,IF(Nonlabor!$E$25="AI",Assumptions!$E$24,Assumptions!$E$25)))),AND(Nonlabor!$H$25="Annual",MOD(C3812-IF(Nonlabor!$E$25="Core",Nonlabor!$F$25,MAX(Nonlabor!$F$25,IF(Nonlabor!$E$25="AI",Assumptions!$E$24,Assumptions!$E$25))),12)=0))),IF(Nonlabor!$I$25="Fixed",1,IF(Nonlabor!$I$25="Seats",ROUNDUP('Monthly Growth'!I32,0),IF(Nonlabor!$I$25="Customers",'Monthly Growth'!D32,IF(Nonlabor!$I$25="NewCustomers",'Monthly Growth'!C32,IF(Nonlabor!$I$25="StorageGB",'Monthly Growth'!G32,IF(Nonlabor!$I$25="LogGB",'Monthly Growth'!H32,IF(Nonlabor!$I$25="RequestsM",'Monthly Growth'!F32,IF(Nonlabor!$I$25="InputM",'Monthly Growth'!D32*Assumptions!$E$22/1000000,IF(Nonlabor!$I$25="OutputM",'Monthly Growth'!D32*Assumptions!$E$23/1000000,0))))))))),0)</f>
        <v>0</v>
      </c>
      <c r="F3812" s="10" t="n">
        <f aca="false">Nonlabor!$J$25*(1+Assumptions!$E$9)^INT((C3812-1)/12)</f>
        <v>1.73056</v>
      </c>
      <c r="G3812" s="10" t="n">
        <f aca="false">E3812*F3812</f>
        <v>0</v>
      </c>
      <c r="H3812" s="10" t="n">
        <f aca="false">IF(OR(Nonlabor!$L$25="Quote required",Nonlabor!$L$25="Unverified"),G3812,0)</f>
        <v>0</v>
      </c>
      <c r="I3812" s="10" t="n">
        <f aca="false">IF(Nonlabor!$E$25="Core",0,G3812)</f>
        <v>0</v>
      </c>
      <c r="J3812" s="23" t="str">
        <f aca="false">Nonlabor!$B$25</f>
        <v>AI</v>
      </c>
    </row>
    <row r="3813" customFormat="false" ht="15" hidden="false" customHeight="false" outlineLevel="0" collapsed="false">
      <c r="A3813" s="6" t="s">
        <v>73</v>
      </c>
      <c r="B3813" s="6" t="s">
        <v>432</v>
      </c>
      <c r="C3813" s="6" t="n">
        <v>28</v>
      </c>
      <c r="D3813" s="25" t="n">
        <f aca="false">EDATE('Start Here'!$B$6,C3813-1)</f>
        <v>47150</v>
      </c>
      <c r="E3813" s="23" t="n">
        <f aca="false">IF(AND(OR(Nonlabor!$D$25="Both",Nonlabor!$D$25='Start Here'!$B$9),IF(Nonlabor!$E$25="Core",1,IF(Nonlabor!$E$25="AI",'Start Here'!$B$7,'Start Here'!$B$8))=1,C3813&gt;=IF(Nonlabor!$E$25="Core",Nonlabor!$F$25,MAX(Nonlabor!$F$25,IF(Nonlabor!$E$25="AI",Assumptions!$E$24,Assumptions!$E$25))),C3813&lt;=Nonlabor!$G$25,OR(Nonlabor!$H$25="Monthly",AND(Nonlabor!$H$25="Once",C3813=IF(Nonlabor!$E$25="Core",Nonlabor!$F$25,MAX(Nonlabor!$F$25,IF(Nonlabor!$E$25="AI",Assumptions!$E$24,Assumptions!$E$25)))),AND(Nonlabor!$H$25="Annual",MOD(C3813-IF(Nonlabor!$E$25="Core",Nonlabor!$F$25,MAX(Nonlabor!$F$25,IF(Nonlabor!$E$25="AI",Assumptions!$E$24,Assumptions!$E$25))),12)=0))),IF(Nonlabor!$I$25="Fixed",1,IF(Nonlabor!$I$25="Seats",ROUNDUP('Monthly Growth'!I33,0),IF(Nonlabor!$I$25="Customers",'Monthly Growth'!D33,IF(Nonlabor!$I$25="NewCustomers",'Monthly Growth'!C33,IF(Nonlabor!$I$25="StorageGB",'Monthly Growth'!G33,IF(Nonlabor!$I$25="LogGB",'Monthly Growth'!H33,IF(Nonlabor!$I$25="RequestsM",'Monthly Growth'!F33,IF(Nonlabor!$I$25="InputM",'Monthly Growth'!D33*Assumptions!$E$22/1000000,IF(Nonlabor!$I$25="OutputM",'Monthly Growth'!D33*Assumptions!$E$23/1000000,0))))))))),0)</f>
        <v>0</v>
      </c>
      <c r="F3813" s="10" t="n">
        <f aca="false">Nonlabor!$J$25*(1+Assumptions!$E$9)^INT((C3813-1)/12)</f>
        <v>1.73056</v>
      </c>
      <c r="G3813" s="10" t="n">
        <f aca="false">E3813*F3813</f>
        <v>0</v>
      </c>
      <c r="H3813" s="10" t="n">
        <f aca="false">IF(OR(Nonlabor!$L$25="Quote required",Nonlabor!$L$25="Unverified"),G3813,0)</f>
        <v>0</v>
      </c>
      <c r="I3813" s="10" t="n">
        <f aca="false">IF(Nonlabor!$E$25="Core",0,G3813)</f>
        <v>0</v>
      </c>
      <c r="J3813" s="23" t="str">
        <f aca="false">Nonlabor!$B$25</f>
        <v>AI</v>
      </c>
    </row>
    <row r="3814" customFormat="false" ht="15" hidden="false" customHeight="false" outlineLevel="0" collapsed="false">
      <c r="A3814" s="6" t="s">
        <v>73</v>
      </c>
      <c r="B3814" s="6" t="s">
        <v>432</v>
      </c>
      <c r="C3814" s="6" t="n">
        <v>29</v>
      </c>
      <c r="D3814" s="25" t="n">
        <f aca="false">EDATE('Start Here'!$B$6,C3814-1)</f>
        <v>47178</v>
      </c>
      <c r="E3814" s="23" t="n">
        <f aca="false">IF(AND(OR(Nonlabor!$D$25="Both",Nonlabor!$D$25='Start Here'!$B$9),IF(Nonlabor!$E$25="Core",1,IF(Nonlabor!$E$25="AI",'Start Here'!$B$7,'Start Here'!$B$8))=1,C3814&gt;=IF(Nonlabor!$E$25="Core",Nonlabor!$F$25,MAX(Nonlabor!$F$25,IF(Nonlabor!$E$25="AI",Assumptions!$E$24,Assumptions!$E$25))),C3814&lt;=Nonlabor!$G$25,OR(Nonlabor!$H$25="Monthly",AND(Nonlabor!$H$25="Once",C3814=IF(Nonlabor!$E$25="Core",Nonlabor!$F$25,MAX(Nonlabor!$F$25,IF(Nonlabor!$E$25="AI",Assumptions!$E$24,Assumptions!$E$25)))),AND(Nonlabor!$H$25="Annual",MOD(C3814-IF(Nonlabor!$E$25="Core",Nonlabor!$F$25,MAX(Nonlabor!$F$25,IF(Nonlabor!$E$25="AI",Assumptions!$E$24,Assumptions!$E$25))),12)=0))),IF(Nonlabor!$I$25="Fixed",1,IF(Nonlabor!$I$25="Seats",ROUNDUP('Monthly Growth'!I34,0),IF(Nonlabor!$I$25="Customers",'Monthly Growth'!D34,IF(Nonlabor!$I$25="NewCustomers",'Monthly Growth'!C34,IF(Nonlabor!$I$25="StorageGB",'Monthly Growth'!G34,IF(Nonlabor!$I$25="LogGB",'Monthly Growth'!H34,IF(Nonlabor!$I$25="RequestsM",'Monthly Growth'!F34,IF(Nonlabor!$I$25="InputM",'Monthly Growth'!D34*Assumptions!$E$22/1000000,IF(Nonlabor!$I$25="OutputM",'Monthly Growth'!D34*Assumptions!$E$23/1000000,0))))))))),0)</f>
        <v>0</v>
      </c>
      <c r="F3814" s="10" t="n">
        <f aca="false">Nonlabor!$J$25*(1+Assumptions!$E$9)^INT((C3814-1)/12)</f>
        <v>1.73056</v>
      </c>
      <c r="G3814" s="10" t="n">
        <f aca="false">E3814*F3814</f>
        <v>0</v>
      </c>
      <c r="H3814" s="10" t="n">
        <f aca="false">IF(OR(Nonlabor!$L$25="Quote required",Nonlabor!$L$25="Unverified"),G3814,0)</f>
        <v>0</v>
      </c>
      <c r="I3814" s="10" t="n">
        <f aca="false">IF(Nonlabor!$E$25="Core",0,G3814)</f>
        <v>0</v>
      </c>
      <c r="J3814" s="23" t="str">
        <f aca="false">Nonlabor!$B$25</f>
        <v>AI</v>
      </c>
    </row>
    <row r="3815" customFormat="false" ht="15" hidden="false" customHeight="false" outlineLevel="0" collapsed="false">
      <c r="A3815" s="6" t="s">
        <v>73</v>
      </c>
      <c r="B3815" s="6" t="s">
        <v>432</v>
      </c>
      <c r="C3815" s="6" t="n">
        <v>30</v>
      </c>
      <c r="D3815" s="25" t="n">
        <f aca="false">EDATE('Start Here'!$B$6,C3815-1)</f>
        <v>47209</v>
      </c>
      <c r="E3815" s="23" t="n">
        <f aca="false">IF(AND(OR(Nonlabor!$D$25="Both",Nonlabor!$D$25='Start Here'!$B$9),IF(Nonlabor!$E$25="Core",1,IF(Nonlabor!$E$25="AI",'Start Here'!$B$7,'Start Here'!$B$8))=1,C3815&gt;=IF(Nonlabor!$E$25="Core",Nonlabor!$F$25,MAX(Nonlabor!$F$25,IF(Nonlabor!$E$25="AI",Assumptions!$E$24,Assumptions!$E$25))),C3815&lt;=Nonlabor!$G$25,OR(Nonlabor!$H$25="Monthly",AND(Nonlabor!$H$25="Once",C3815=IF(Nonlabor!$E$25="Core",Nonlabor!$F$25,MAX(Nonlabor!$F$25,IF(Nonlabor!$E$25="AI",Assumptions!$E$24,Assumptions!$E$25)))),AND(Nonlabor!$H$25="Annual",MOD(C3815-IF(Nonlabor!$E$25="Core",Nonlabor!$F$25,MAX(Nonlabor!$F$25,IF(Nonlabor!$E$25="AI",Assumptions!$E$24,Assumptions!$E$25))),12)=0))),IF(Nonlabor!$I$25="Fixed",1,IF(Nonlabor!$I$25="Seats",ROUNDUP('Monthly Growth'!I35,0),IF(Nonlabor!$I$25="Customers",'Monthly Growth'!D35,IF(Nonlabor!$I$25="NewCustomers",'Monthly Growth'!C35,IF(Nonlabor!$I$25="StorageGB",'Monthly Growth'!G35,IF(Nonlabor!$I$25="LogGB",'Monthly Growth'!H35,IF(Nonlabor!$I$25="RequestsM",'Monthly Growth'!F35,IF(Nonlabor!$I$25="InputM",'Monthly Growth'!D35*Assumptions!$E$22/1000000,IF(Nonlabor!$I$25="OutputM",'Monthly Growth'!D35*Assumptions!$E$23/1000000,0))))))))),0)</f>
        <v>0</v>
      </c>
      <c r="F3815" s="10" t="n">
        <f aca="false">Nonlabor!$J$25*(1+Assumptions!$E$9)^INT((C3815-1)/12)</f>
        <v>1.73056</v>
      </c>
      <c r="G3815" s="10" t="n">
        <f aca="false">E3815*F3815</f>
        <v>0</v>
      </c>
      <c r="H3815" s="10" t="n">
        <f aca="false">IF(OR(Nonlabor!$L$25="Quote required",Nonlabor!$L$25="Unverified"),G3815,0)</f>
        <v>0</v>
      </c>
      <c r="I3815" s="10" t="n">
        <f aca="false">IF(Nonlabor!$E$25="Core",0,G3815)</f>
        <v>0</v>
      </c>
      <c r="J3815" s="23" t="str">
        <f aca="false">Nonlabor!$B$25</f>
        <v>AI</v>
      </c>
    </row>
    <row r="3816" customFormat="false" ht="15" hidden="false" customHeight="false" outlineLevel="0" collapsed="false">
      <c r="A3816" s="6" t="s">
        <v>73</v>
      </c>
      <c r="B3816" s="6" t="s">
        <v>432</v>
      </c>
      <c r="C3816" s="6" t="n">
        <v>31</v>
      </c>
      <c r="D3816" s="25" t="n">
        <f aca="false">EDATE('Start Here'!$B$6,C3816-1)</f>
        <v>47239</v>
      </c>
      <c r="E3816" s="23" t="n">
        <f aca="false">IF(AND(OR(Nonlabor!$D$25="Both",Nonlabor!$D$25='Start Here'!$B$9),IF(Nonlabor!$E$25="Core",1,IF(Nonlabor!$E$25="AI",'Start Here'!$B$7,'Start Here'!$B$8))=1,C3816&gt;=IF(Nonlabor!$E$25="Core",Nonlabor!$F$25,MAX(Nonlabor!$F$25,IF(Nonlabor!$E$25="AI",Assumptions!$E$24,Assumptions!$E$25))),C3816&lt;=Nonlabor!$G$25,OR(Nonlabor!$H$25="Monthly",AND(Nonlabor!$H$25="Once",C3816=IF(Nonlabor!$E$25="Core",Nonlabor!$F$25,MAX(Nonlabor!$F$25,IF(Nonlabor!$E$25="AI",Assumptions!$E$24,Assumptions!$E$25)))),AND(Nonlabor!$H$25="Annual",MOD(C3816-IF(Nonlabor!$E$25="Core",Nonlabor!$F$25,MAX(Nonlabor!$F$25,IF(Nonlabor!$E$25="AI",Assumptions!$E$24,Assumptions!$E$25))),12)=0))),IF(Nonlabor!$I$25="Fixed",1,IF(Nonlabor!$I$25="Seats",ROUNDUP('Monthly Growth'!I36,0),IF(Nonlabor!$I$25="Customers",'Monthly Growth'!D36,IF(Nonlabor!$I$25="NewCustomers",'Monthly Growth'!C36,IF(Nonlabor!$I$25="StorageGB",'Monthly Growth'!G36,IF(Nonlabor!$I$25="LogGB",'Monthly Growth'!H36,IF(Nonlabor!$I$25="RequestsM",'Monthly Growth'!F36,IF(Nonlabor!$I$25="InputM",'Monthly Growth'!D36*Assumptions!$E$22/1000000,IF(Nonlabor!$I$25="OutputM",'Monthly Growth'!D36*Assumptions!$E$23/1000000,0))))))))),0)</f>
        <v>0</v>
      </c>
      <c r="F3816" s="10" t="n">
        <f aca="false">Nonlabor!$J$25*(1+Assumptions!$E$9)^INT((C3816-1)/12)</f>
        <v>1.73056</v>
      </c>
      <c r="G3816" s="10" t="n">
        <f aca="false">E3816*F3816</f>
        <v>0</v>
      </c>
      <c r="H3816" s="10" t="n">
        <f aca="false">IF(OR(Nonlabor!$L$25="Quote required",Nonlabor!$L$25="Unverified"),G3816,0)</f>
        <v>0</v>
      </c>
      <c r="I3816" s="10" t="n">
        <f aca="false">IF(Nonlabor!$E$25="Core",0,G3816)</f>
        <v>0</v>
      </c>
      <c r="J3816" s="23" t="str">
        <f aca="false">Nonlabor!$B$25</f>
        <v>AI</v>
      </c>
    </row>
    <row r="3817" customFormat="false" ht="15" hidden="false" customHeight="false" outlineLevel="0" collapsed="false">
      <c r="A3817" s="6" t="s">
        <v>73</v>
      </c>
      <c r="B3817" s="6" t="s">
        <v>432</v>
      </c>
      <c r="C3817" s="6" t="n">
        <v>32</v>
      </c>
      <c r="D3817" s="25" t="n">
        <f aca="false">EDATE('Start Here'!$B$6,C3817-1)</f>
        <v>47270</v>
      </c>
      <c r="E3817" s="23" t="n">
        <f aca="false">IF(AND(OR(Nonlabor!$D$25="Both",Nonlabor!$D$25='Start Here'!$B$9),IF(Nonlabor!$E$25="Core",1,IF(Nonlabor!$E$25="AI",'Start Here'!$B$7,'Start Here'!$B$8))=1,C3817&gt;=IF(Nonlabor!$E$25="Core",Nonlabor!$F$25,MAX(Nonlabor!$F$25,IF(Nonlabor!$E$25="AI",Assumptions!$E$24,Assumptions!$E$25))),C3817&lt;=Nonlabor!$G$25,OR(Nonlabor!$H$25="Monthly",AND(Nonlabor!$H$25="Once",C3817=IF(Nonlabor!$E$25="Core",Nonlabor!$F$25,MAX(Nonlabor!$F$25,IF(Nonlabor!$E$25="AI",Assumptions!$E$24,Assumptions!$E$25)))),AND(Nonlabor!$H$25="Annual",MOD(C3817-IF(Nonlabor!$E$25="Core",Nonlabor!$F$25,MAX(Nonlabor!$F$25,IF(Nonlabor!$E$25="AI",Assumptions!$E$24,Assumptions!$E$25))),12)=0))),IF(Nonlabor!$I$25="Fixed",1,IF(Nonlabor!$I$25="Seats",ROUNDUP('Monthly Growth'!I37,0),IF(Nonlabor!$I$25="Customers",'Monthly Growth'!D37,IF(Nonlabor!$I$25="NewCustomers",'Monthly Growth'!C37,IF(Nonlabor!$I$25="StorageGB",'Monthly Growth'!G37,IF(Nonlabor!$I$25="LogGB",'Monthly Growth'!H37,IF(Nonlabor!$I$25="RequestsM",'Monthly Growth'!F37,IF(Nonlabor!$I$25="InputM",'Monthly Growth'!D37*Assumptions!$E$22/1000000,IF(Nonlabor!$I$25="OutputM",'Monthly Growth'!D37*Assumptions!$E$23/1000000,0))))))))),0)</f>
        <v>0</v>
      </c>
      <c r="F3817" s="10" t="n">
        <f aca="false">Nonlabor!$J$25*(1+Assumptions!$E$9)^INT((C3817-1)/12)</f>
        <v>1.73056</v>
      </c>
      <c r="G3817" s="10" t="n">
        <f aca="false">E3817*F3817</f>
        <v>0</v>
      </c>
      <c r="H3817" s="10" t="n">
        <f aca="false">IF(OR(Nonlabor!$L$25="Quote required",Nonlabor!$L$25="Unverified"),G3817,0)</f>
        <v>0</v>
      </c>
      <c r="I3817" s="10" t="n">
        <f aca="false">IF(Nonlabor!$E$25="Core",0,G3817)</f>
        <v>0</v>
      </c>
      <c r="J3817" s="23" t="str">
        <f aca="false">Nonlabor!$B$25</f>
        <v>AI</v>
      </c>
    </row>
    <row r="3818" customFormat="false" ht="15" hidden="false" customHeight="false" outlineLevel="0" collapsed="false">
      <c r="A3818" s="6" t="s">
        <v>73</v>
      </c>
      <c r="B3818" s="6" t="s">
        <v>432</v>
      </c>
      <c r="C3818" s="6" t="n">
        <v>33</v>
      </c>
      <c r="D3818" s="25" t="n">
        <f aca="false">EDATE('Start Here'!$B$6,C3818-1)</f>
        <v>47300</v>
      </c>
      <c r="E3818" s="23" t="n">
        <f aca="false">IF(AND(OR(Nonlabor!$D$25="Both",Nonlabor!$D$25='Start Here'!$B$9),IF(Nonlabor!$E$25="Core",1,IF(Nonlabor!$E$25="AI",'Start Here'!$B$7,'Start Here'!$B$8))=1,C3818&gt;=IF(Nonlabor!$E$25="Core",Nonlabor!$F$25,MAX(Nonlabor!$F$25,IF(Nonlabor!$E$25="AI",Assumptions!$E$24,Assumptions!$E$25))),C3818&lt;=Nonlabor!$G$25,OR(Nonlabor!$H$25="Monthly",AND(Nonlabor!$H$25="Once",C3818=IF(Nonlabor!$E$25="Core",Nonlabor!$F$25,MAX(Nonlabor!$F$25,IF(Nonlabor!$E$25="AI",Assumptions!$E$24,Assumptions!$E$25)))),AND(Nonlabor!$H$25="Annual",MOD(C3818-IF(Nonlabor!$E$25="Core",Nonlabor!$F$25,MAX(Nonlabor!$F$25,IF(Nonlabor!$E$25="AI",Assumptions!$E$24,Assumptions!$E$25))),12)=0))),IF(Nonlabor!$I$25="Fixed",1,IF(Nonlabor!$I$25="Seats",ROUNDUP('Monthly Growth'!I38,0),IF(Nonlabor!$I$25="Customers",'Monthly Growth'!D38,IF(Nonlabor!$I$25="NewCustomers",'Monthly Growth'!C38,IF(Nonlabor!$I$25="StorageGB",'Monthly Growth'!G38,IF(Nonlabor!$I$25="LogGB",'Monthly Growth'!H38,IF(Nonlabor!$I$25="RequestsM",'Monthly Growth'!F38,IF(Nonlabor!$I$25="InputM",'Monthly Growth'!D38*Assumptions!$E$22/1000000,IF(Nonlabor!$I$25="OutputM",'Monthly Growth'!D38*Assumptions!$E$23/1000000,0))))))))),0)</f>
        <v>0</v>
      </c>
      <c r="F3818" s="10" t="n">
        <f aca="false">Nonlabor!$J$25*(1+Assumptions!$E$9)^INT((C3818-1)/12)</f>
        <v>1.73056</v>
      </c>
      <c r="G3818" s="10" t="n">
        <f aca="false">E3818*F3818</f>
        <v>0</v>
      </c>
      <c r="H3818" s="10" t="n">
        <f aca="false">IF(OR(Nonlabor!$L$25="Quote required",Nonlabor!$L$25="Unverified"),G3818,0)</f>
        <v>0</v>
      </c>
      <c r="I3818" s="10" t="n">
        <f aca="false">IF(Nonlabor!$E$25="Core",0,G3818)</f>
        <v>0</v>
      </c>
      <c r="J3818" s="23" t="str">
        <f aca="false">Nonlabor!$B$25</f>
        <v>AI</v>
      </c>
    </row>
    <row r="3819" customFormat="false" ht="15" hidden="false" customHeight="false" outlineLevel="0" collapsed="false">
      <c r="A3819" s="6" t="s">
        <v>73</v>
      </c>
      <c r="B3819" s="6" t="s">
        <v>432</v>
      </c>
      <c r="C3819" s="6" t="n">
        <v>34</v>
      </c>
      <c r="D3819" s="25" t="n">
        <f aca="false">EDATE('Start Here'!$B$6,C3819-1)</f>
        <v>47331</v>
      </c>
      <c r="E3819" s="23" t="n">
        <f aca="false">IF(AND(OR(Nonlabor!$D$25="Both",Nonlabor!$D$25='Start Here'!$B$9),IF(Nonlabor!$E$25="Core",1,IF(Nonlabor!$E$25="AI",'Start Here'!$B$7,'Start Here'!$B$8))=1,C3819&gt;=IF(Nonlabor!$E$25="Core",Nonlabor!$F$25,MAX(Nonlabor!$F$25,IF(Nonlabor!$E$25="AI",Assumptions!$E$24,Assumptions!$E$25))),C3819&lt;=Nonlabor!$G$25,OR(Nonlabor!$H$25="Monthly",AND(Nonlabor!$H$25="Once",C3819=IF(Nonlabor!$E$25="Core",Nonlabor!$F$25,MAX(Nonlabor!$F$25,IF(Nonlabor!$E$25="AI",Assumptions!$E$24,Assumptions!$E$25)))),AND(Nonlabor!$H$25="Annual",MOD(C3819-IF(Nonlabor!$E$25="Core",Nonlabor!$F$25,MAX(Nonlabor!$F$25,IF(Nonlabor!$E$25="AI",Assumptions!$E$24,Assumptions!$E$25))),12)=0))),IF(Nonlabor!$I$25="Fixed",1,IF(Nonlabor!$I$25="Seats",ROUNDUP('Monthly Growth'!I39,0),IF(Nonlabor!$I$25="Customers",'Monthly Growth'!D39,IF(Nonlabor!$I$25="NewCustomers",'Monthly Growth'!C39,IF(Nonlabor!$I$25="StorageGB",'Monthly Growth'!G39,IF(Nonlabor!$I$25="LogGB",'Monthly Growth'!H39,IF(Nonlabor!$I$25="RequestsM",'Monthly Growth'!F39,IF(Nonlabor!$I$25="InputM",'Monthly Growth'!D39*Assumptions!$E$22/1000000,IF(Nonlabor!$I$25="OutputM",'Monthly Growth'!D39*Assumptions!$E$23/1000000,0))))))))),0)</f>
        <v>0</v>
      </c>
      <c r="F3819" s="10" t="n">
        <f aca="false">Nonlabor!$J$25*(1+Assumptions!$E$9)^INT((C3819-1)/12)</f>
        <v>1.73056</v>
      </c>
      <c r="G3819" s="10" t="n">
        <f aca="false">E3819*F3819</f>
        <v>0</v>
      </c>
      <c r="H3819" s="10" t="n">
        <f aca="false">IF(OR(Nonlabor!$L$25="Quote required",Nonlabor!$L$25="Unverified"),G3819,0)</f>
        <v>0</v>
      </c>
      <c r="I3819" s="10" t="n">
        <f aca="false">IF(Nonlabor!$E$25="Core",0,G3819)</f>
        <v>0</v>
      </c>
      <c r="J3819" s="23" t="str">
        <f aca="false">Nonlabor!$B$25</f>
        <v>AI</v>
      </c>
    </row>
    <row r="3820" customFormat="false" ht="15" hidden="false" customHeight="false" outlineLevel="0" collapsed="false">
      <c r="A3820" s="6" t="s">
        <v>73</v>
      </c>
      <c r="B3820" s="6" t="s">
        <v>432</v>
      </c>
      <c r="C3820" s="6" t="n">
        <v>35</v>
      </c>
      <c r="D3820" s="25" t="n">
        <f aca="false">EDATE('Start Here'!$B$6,C3820-1)</f>
        <v>47362</v>
      </c>
      <c r="E3820" s="23" t="n">
        <f aca="false">IF(AND(OR(Nonlabor!$D$25="Both",Nonlabor!$D$25='Start Here'!$B$9),IF(Nonlabor!$E$25="Core",1,IF(Nonlabor!$E$25="AI",'Start Here'!$B$7,'Start Here'!$B$8))=1,C3820&gt;=IF(Nonlabor!$E$25="Core",Nonlabor!$F$25,MAX(Nonlabor!$F$25,IF(Nonlabor!$E$25="AI",Assumptions!$E$24,Assumptions!$E$25))),C3820&lt;=Nonlabor!$G$25,OR(Nonlabor!$H$25="Monthly",AND(Nonlabor!$H$25="Once",C3820=IF(Nonlabor!$E$25="Core",Nonlabor!$F$25,MAX(Nonlabor!$F$25,IF(Nonlabor!$E$25="AI",Assumptions!$E$24,Assumptions!$E$25)))),AND(Nonlabor!$H$25="Annual",MOD(C3820-IF(Nonlabor!$E$25="Core",Nonlabor!$F$25,MAX(Nonlabor!$F$25,IF(Nonlabor!$E$25="AI",Assumptions!$E$24,Assumptions!$E$25))),12)=0))),IF(Nonlabor!$I$25="Fixed",1,IF(Nonlabor!$I$25="Seats",ROUNDUP('Monthly Growth'!I40,0),IF(Nonlabor!$I$25="Customers",'Monthly Growth'!D40,IF(Nonlabor!$I$25="NewCustomers",'Monthly Growth'!C40,IF(Nonlabor!$I$25="StorageGB",'Monthly Growth'!G40,IF(Nonlabor!$I$25="LogGB",'Monthly Growth'!H40,IF(Nonlabor!$I$25="RequestsM",'Monthly Growth'!F40,IF(Nonlabor!$I$25="InputM",'Monthly Growth'!D40*Assumptions!$E$22/1000000,IF(Nonlabor!$I$25="OutputM",'Monthly Growth'!D40*Assumptions!$E$23/1000000,0))))))))),0)</f>
        <v>0</v>
      </c>
      <c r="F3820" s="10" t="n">
        <f aca="false">Nonlabor!$J$25*(1+Assumptions!$E$9)^INT((C3820-1)/12)</f>
        <v>1.73056</v>
      </c>
      <c r="G3820" s="10" t="n">
        <f aca="false">E3820*F3820</f>
        <v>0</v>
      </c>
      <c r="H3820" s="10" t="n">
        <f aca="false">IF(OR(Nonlabor!$L$25="Quote required",Nonlabor!$L$25="Unverified"),G3820,0)</f>
        <v>0</v>
      </c>
      <c r="I3820" s="10" t="n">
        <f aca="false">IF(Nonlabor!$E$25="Core",0,G3820)</f>
        <v>0</v>
      </c>
      <c r="J3820" s="23" t="str">
        <f aca="false">Nonlabor!$B$25</f>
        <v>AI</v>
      </c>
    </row>
    <row r="3821" customFormat="false" ht="15" hidden="false" customHeight="false" outlineLevel="0" collapsed="false">
      <c r="A3821" s="6" t="s">
        <v>73</v>
      </c>
      <c r="B3821" s="6" t="s">
        <v>432</v>
      </c>
      <c r="C3821" s="6" t="n">
        <v>36</v>
      </c>
      <c r="D3821" s="25" t="n">
        <f aca="false">EDATE('Start Here'!$B$6,C3821-1)</f>
        <v>47392</v>
      </c>
      <c r="E3821" s="23" t="n">
        <f aca="false">IF(AND(OR(Nonlabor!$D$25="Both",Nonlabor!$D$25='Start Here'!$B$9),IF(Nonlabor!$E$25="Core",1,IF(Nonlabor!$E$25="AI",'Start Here'!$B$7,'Start Here'!$B$8))=1,C3821&gt;=IF(Nonlabor!$E$25="Core",Nonlabor!$F$25,MAX(Nonlabor!$F$25,IF(Nonlabor!$E$25="AI",Assumptions!$E$24,Assumptions!$E$25))),C3821&lt;=Nonlabor!$G$25,OR(Nonlabor!$H$25="Monthly",AND(Nonlabor!$H$25="Once",C3821=IF(Nonlabor!$E$25="Core",Nonlabor!$F$25,MAX(Nonlabor!$F$25,IF(Nonlabor!$E$25="AI",Assumptions!$E$24,Assumptions!$E$25)))),AND(Nonlabor!$H$25="Annual",MOD(C3821-IF(Nonlabor!$E$25="Core",Nonlabor!$F$25,MAX(Nonlabor!$F$25,IF(Nonlabor!$E$25="AI",Assumptions!$E$24,Assumptions!$E$25))),12)=0))),IF(Nonlabor!$I$25="Fixed",1,IF(Nonlabor!$I$25="Seats",ROUNDUP('Monthly Growth'!I41,0),IF(Nonlabor!$I$25="Customers",'Monthly Growth'!D41,IF(Nonlabor!$I$25="NewCustomers",'Monthly Growth'!C41,IF(Nonlabor!$I$25="StorageGB",'Monthly Growth'!G41,IF(Nonlabor!$I$25="LogGB",'Monthly Growth'!H41,IF(Nonlabor!$I$25="RequestsM",'Monthly Growth'!F41,IF(Nonlabor!$I$25="InputM",'Monthly Growth'!D41*Assumptions!$E$22/1000000,IF(Nonlabor!$I$25="OutputM",'Monthly Growth'!D41*Assumptions!$E$23/1000000,0))))))))),0)</f>
        <v>0</v>
      </c>
      <c r="F3821" s="10" t="n">
        <f aca="false">Nonlabor!$J$25*(1+Assumptions!$E$9)^INT((C3821-1)/12)</f>
        <v>1.73056</v>
      </c>
      <c r="G3821" s="10" t="n">
        <f aca="false">E3821*F3821</f>
        <v>0</v>
      </c>
      <c r="H3821" s="10" t="n">
        <f aca="false">IF(OR(Nonlabor!$L$25="Quote required",Nonlabor!$L$25="Unverified"),G3821,0)</f>
        <v>0</v>
      </c>
      <c r="I3821" s="10" t="n">
        <f aca="false">IF(Nonlabor!$E$25="Core",0,G3821)</f>
        <v>0</v>
      </c>
      <c r="J3821" s="23" t="str">
        <f aca="false">Nonlabor!$B$25</f>
        <v>AI</v>
      </c>
    </row>
    <row r="3822" customFormat="false" ht="15" hidden="false" customHeight="false" outlineLevel="0" collapsed="false">
      <c r="A3822" s="6" t="s">
        <v>73</v>
      </c>
      <c r="B3822" s="6" t="s">
        <v>432</v>
      </c>
      <c r="C3822" s="6" t="n">
        <v>37</v>
      </c>
      <c r="D3822" s="25" t="n">
        <f aca="false">EDATE('Start Here'!$B$6,C3822-1)</f>
        <v>47423</v>
      </c>
      <c r="E3822" s="23" t="n">
        <f aca="false">IF(AND(OR(Nonlabor!$D$25="Both",Nonlabor!$D$25='Start Here'!$B$9),IF(Nonlabor!$E$25="Core",1,IF(Nonlabor!$E$25="AI",'Start Here'!$B$7,'Start Here'!$B$8))=1,C3822&gt;=IF(Nonlabor!$E$25="Core",Nonlabor!$F$25,MAX(Nonlabor!$F$25,IF(Nonlabor!$E$25="AI",Assumptions!$E$24,Assumptions!$E$25))),C3822&lt;=Nonlabor!$G$25,OR(Nonlabor!$H$25="Monthly",AND(Nonlabor!$H$25="Once",C3822=IF(Nonlabor!$E$25="Core",Nonlabor!$F$25,MAX(Nonlabor!$F$25,IF(Nonlabor!$E$25="AI",Assumptions!$E$24,Assumptions!$E$25)))),AND(Nonlabor!$H$25="Annual",MOD(C3822-IF(Nonlabor!$E$25="Core",Nonlabor!$F$25,MAX(Nonlabor!$F$25,IF(Nonlabor!$E$25="AI",Assumptions!$E$24,Assumptions!$E$25))),12)=0))),IF(Nonlabor!$I$25="Fixed",1,IF(Nonlabor!$I$25="Seats",ROUNDUP('Monthly Growth'!I42,0),IF(Nonlabor!$I$25="Customers",'Monthly Growth'!D42,IF(Nonlabor!$I$25="NewCustomers",'Monthly Growth'!C42,IF(Nonlabor!$I$25="StorageGB",'Monthly Growth'!G42,IF(Nonlabor!$I$25="LogGB",'Monthly Growth'!H42,IF(Nonlabor!$I$25="RequestsM",'Monthly Growth'!F42,IF(Nonlabor!$I$25="InputM",'Monthly Growth'!D42*Assumptions!$E$22/1000000,IF(Nonlabor!$I$25="OutputM",'Monthly Growth'!D42*Assumptions!$E$23/1000000,0))))))))),0)</f>
        <v>0</v>
      </c>
      <c r="F3822" s="10" t="n">
        <f aca="false">Nonlabor!$J$25*(1+Assumptions!$E$9)^INT((C3822-1)/12)</f>
        <v>1.7997824</v>
      </c>
      <c r="G3822" s="10" t="n">
        <f aca="false">E3822*F3822</f>
        <v>0</v>
      </c>
      <c r="H3822" s="10" t="n">
        <f aca="false">IF(OR(Nonlabor!$L$25="Quote required",Nonlabor!$L$25="Unverified"),G3822,0)</f>
        <v>0</v>
      </c>
      <c r="I3822" s="10" t="n">
        <f aca="false">IF(Nonlabor!$E$25="Core",0,G3822)</f>
        <v>0</v>
      </c>
      <c r="J3822" s="23" t="str">
        <f aca="false">Nonlabor!$B$25</f>
        <v>AI</v>
      </c>
    </row>
    <row r="3823" customFormat="false" ht="15" hidden="false" customHeight="false" outlineLevel="0" collapsed="false">
      <c r="A3823" s="6" t="s">
        <v>73</v>
      </c>
      <c r="B3823" s="6" t="s">
        <v>432</v>
      </c>
      <c r="C3823" s="6" t="n">
        <v>38</v>
      </c>
      <c r="D3823" s="25" t="n">
        <f aca="false">EDATE('Start Here'!$B$6,C3823-1)</f>
        <v>47453</v>
      </c>
      <c r="E3823" s="23" t="n">
        <f aca="false">IF(AND(OR(Nonlabor!$D$25="Both",Nonlabor!$D$25='Start Here'!$B$9),IF(Nonlabor!$E$25="Core",1,IF(Nonlabor!$E$25="AI",'Start Here'!$B$7,'Start Here'!$B$8))=1,C3823&gt;=IF(Nonlabor!$E$25="Core",Nonlabor!$F$25,MAX(Nonlabor!$F$25,IF(Nonlabor!$E$25="AI",Assumptions!$E$24,Assumptions!$E$25))),C3823&lt;=Nonlabor!$G$25,OR(Nonlabor!$H$25="Monthly",AND(Nonlabor!$H$25="Once",C3823=IF(Nonlabor!$E$25="Core",Nonlabor!$F$25,MAX(Nonlabor!$F$25,IF(Nonlabor!$E$25="AI",Assumptions!$E$24,Assumptions!$E$25)))),AND(Nonlabor!$H$25="Annual",MOD(C3823-IF(Nonlabor!$E$25="Core",Nonlabor!$F$25,MAX(Nonlabor!$F$25,IF(Nonlabor!$E$25="AI",Assumptions!$E$24,Assumptions!$E$25))),12)=0))),IF(Nonlabor!$I$25="Fixed",1,IF(Nonlabor!$I$25="Seats",ROUNDUP('Monthly Growth'!I43,0),IF(Nonlabor!$I$25="Customers",'Monthly Growth'!D43,IF(Nonlabor!$I$25="NewCustomers",'Monthly Growth'!C43,IF(Nonlabor!$I$25="StorageGB",'Monthly Growth'!G43,IF(Nonlabor!$I$25="LogGB",'Monthly Growth'!H43,IF(Nonlabor!$I$25="RequestsM",'Monthly Growth'!F43,IF(Nonlabor!$I$25="InputM",'Monthly Growth'!D43*Assumptions!$E$22/1000000,IF(Nonlabor!$I$25="OutputM",'Monthly Growth'!D43*Assumptions!$E$23/1000000,0))))))))),0)</f>
        <v>0</v>
      </c>
      <c r="F3823" s="10" t="n">
        <f aca="false">Nonlabor!$J$25*(1+Assumptions!$E$9)^INT((C3823-1)/12)</f>
        <v>1.7997824</v>
      </c>
      <c r="G3823" s="10" t="n">
        <f aca="false">E3823*F3823</f>
        <v>0</v>
      </c>
      <c r="H3823" s="10" t="n">
        <f aca="false">IF(OR(Nonlabor!$L$25="Quote required",Nonlabor!$L$25="Unverified"),G3823,0)</f>
        <v>0</v>
      </c>
      <c r="I3823" s="10" t="n">
        <f aca="false">IF(Nonlabor!$E$25="Core",0,G3823)</f>
        <v>0</v>
      </c>
      <c r="J3823" s="23" t="str">
        <f aca="false">Nonlabor!$B$25</f>
        <v>AI</v>
      </c>
    </row>
    <row r="3824" customFormat="false" ht="15" hidden="false" customHeight="false" outlineLevel="0" collapsed="false">
      <c r="A3824" s="6" t="s">
        <v>73</v>
      </c>
      <c r="B3824" s="6" t="s">
        <v>432</v>
      </c>
      <c r="C3824" s="6" t="n">
        <v>39</v>
      </c>
      <c r="D3824" s="25" t="n">
        <f aca="false">EDATE('Start Here'!$B$6,C3824-1)</f>
        <v>47484</v>
      </c>
      <c r="E3824" s="23" t="n">
        <f aca="false">IF(AND(OR(Nonlabor!$D$25="Both",Nonlabor!$D$25='Start Here'!$B$9),IF(Nonlabor!$E$25="Core",1,IF(Nonlabor!$E$25="AI",'Start Here'!$B$7,'Start Here'!$B$8))=1,C3824&gt;=IF(Nonlabor!$E$25="Core",Nonlabor!$F$25,MAX(Nonlabor!$F$25,IF(Nonlabor!$E$25="AI",Assumptions!$E$24,Assumptions!$E$25))),C3824&lt;=Nonlabor!$G$25,OR(Nonlabor!$H$25="Monthly",AND(Nonlabor!$H$25="Once",C3824=IF(Nonlabor!$E$25="Core",Nonlabor!$F$25,MAX(Nonlabor!$F$25,IF(Nonlabor!$E$25="AI",Assumptions!$E$24,Assumptions!$E$25)))),AND(Nonlabor!$H$25="Annual",MOD(C3824-IF(Nonlabor!$E$25="Core",Nonlabor!$F$25,MAX(Nonlabor!$F$25,IF(Nonlabor!$E$25="AI",Assumptions!$E$24,Assumptions!$E$25))),12)=0))),IF(Nonlabor!$I$25="Fixed",1,IF(Nonlabor!$I$25="Seats",ROUNDUP('Monthly Growth'!I44,0),IF(Nonlabor!$I$25="Customers",'Monthly Growth'!D44,IF(Nonlabor!$I$25="NewCustomers",'Monthly Growth'!C44,IF(Nonlabor!$I$25="StorageGB",'Monthly Growth'!G44,IF(Nonlabor!$I$25="LogGB",'Monthly Growth'!H44,IF(Nonlabor!$I$25="RequestsM",'Monthly Growth'!F44,IF(Nonlabor!$I$25="InputM",'Monthly Growth'!D44*Assumptions!$E$22/1000000,IF(Nonlabor!$I$25="OutputM",'Monthly Growth'!D44*Assumptions!$E$23/1000000,0))))))))),0)</f>
        <v>0</v>
      </c>
      <c r="F3824" s="10" t="n">
        <f aca="false">Nonlabor!$J$25*(1+Assumptions!$E$9)^INT((C3824-1)/12)</f>
        <v>1.7997824</v>
      </c>
      <c r="G3824" s="10" t="n">
        <f aca="false">E3824*F3824</f>
        <v>0</v>
      </c>
      <c r="H3824" s="10" t="n">
        <f aca="false">IF(OR(Nonlabor!$L$25="Quote required",Nonlabor!$L$25="Unverified"),G3824,0)</f>
        <v>0</v>
      </c>
      <c r="I3824" s="10" t="n">
        <f aca="false">IF(Nonlabor!$E$25="Core",0,G3824)</f>
        <v>0</v>
      </c>
      <c r="J3824" s="23" t="str">
        <f aca="false">Nonlabor!$B$25</f>
        <v>AI</v>
      </c>
    </row>
    <row r="3825" customFormat="false" ht="15" hidden="false" customHeight="false" outlineLevel="0" collapsed="false">
      <c r="A3825" s="6" t="s">
        <v>73</v>
      </c>
      <c r="B3825" s="6" t="s">
        <v>432</v>
      </c>
      <c r="C3825" s="6" t="n">
        <v>40</v>
      </c>
      <c r="D3825" s="25" t="n">
        <f aca="false">EDATE('Start Here'!$B$6,C3825-1)</f>
        <v>47515</v>
      </c>
      <c r="E3825" s="23" t="n">
        <f aca="false">IF(AND(OR(Nonlabor!$D$25="Both",Nonlabor!$D$25='Start Here'!$B$9),IF(Nonlabor!$E$25="Core",1,IF(Nonlabor!$E$25="AI",'Start Here'!$B$7,'Start Here'!$B$8))=1,C3825&gt;=IF(Nonlabor!$E$25="Core",Nonlabor!$F$25,MAX(Nonlabor!$F$25,IF(Nonlabor!$E$25="AI",Assumptions!$E$24,Assumptions!$E$25))),C3825&lt;=Nonlabor!$G$25,OR(Nonlabor!$H$25="Monthly",AND(Nonlabor!$H$25="Once",C3825=IF(Nonlabor!$E$25="Core",Nonlabor!$F$25,MAX(Nonlabor!$F$25,IF(Nonlabor!$E$25="AI",Assumptions!$E$24,Assumptions!$E$25)))),AND(Nonlabor!$H$25="Annual",MOD(C3825-IF(Nonlabor!$E$25="Core",Nonlabor!$F$25,MAX(Nonlabor!$F$25,IF(Nonlabor!$E$25="AI",Assumptions!$E$24,Assumptions!$E$25))),12)=0))),IF(Nonlabor!$I$25="Fixed",1,IF(Nonlabor!$I$25="Seats",ROUNDUP('Monthly Growth'!I45,0),IF(Nonlabor!$I$25="Customers",'Monthly Growth'!D45,IF(Nonlabor!$I$25="NewCustomers",'Monthly Growth'!C45,IF(Nonlabor!$I$25="StorageGB",'Monthly Growth'!G45,IF(Nonlabor!$I$25="LogGB",'Monthly Growth'!H45,IF(Nonlabor!$I$25="RequestsM",'Monthly Growth'!F45,IF(Nonlabor!$I$25="InputM",'Monthly Growth'!D45*Assumptions!$E$22/1000000,IF(Nonlabor!$I$25="OutputM",'Monthly Growth'!D45*Assumptions!$E$23/1000000,0))))))))),0)</f>
        <v>0</v>
      </c>
      <c r="F3825" s="10" t="n">
        <f aca="false">Nonlabor!$J$25*(1+Assumptions!$E$9)^INT((C3825-1)/12)</f>
        <v>1.7997824</v>
      </c>
      <c r="G3825" s="10" t="n">
        <f aca="false">E3825*F3825</f>
        <v>0</v>
      </c>
      <c r="H3825" s="10" t="n">
        <f aca="false">IF(OR(Nonlabor!$L$25="Quote required",Nonlabor!$L$25="Unverified"),G3825,0)</f>
        <v>0</v>
      </c>
      <c r="I3825" s="10" t="n">
        <f aca="false">IF(Nonlabor!$E$25="Core",0,G3825)</f>
        <v>0</v>
      </c>
      <c r="J3825" s="23" t="str">
        <f aca="false">Nonlabor!$B$25</f>
        <v>AI</v>
      </c>
    </row>
    <row r="3826" customFormat="false" ht="15" hidden="false" customHeight="false" outlineLevel="0" collapsed="false">
      <c r="A3826" s="6" t="s">
        <v>73</v>
      </c>
      <c r="B3826" s="6" t="s">
        <v>432</v>
      </c>
      <c r="C3826" s="6" t="n">
        <v>41</v>
      </c>
      <c r="D3826" s="25" t="n">
        <f aca="false">EDATE('Start Here'!$B$6,C3826-1)</f>
        <v>47543</v>
      </c>
      <c r="E3826" s="23" t="n">
        <f aca="false">IF(AND(OR(Nonlabor!$D$25="Both",Nonlabor!$D$25='Start Here'!$B$9),IF(Nonlabor!$E$25="Core",1,IF(Nonlabor!$E$25="AI",'Start Here'!$B$7,'Start Here'!$B$8))=1,C3826&gt;=IF(Nonlabor!$E$25="Core",Nonlabor!$F$25,MAX(Nonlabor!$F$25,IF(Nonlabor!$E$25="AI",Assumptions!$E$24,Assumptions!$E$25))),C3826&lt;=Nonlabor!$G$25,OR(Nonlabor!$H$25="Monthly",AND(Nonlabor!$H$25="Once",C3826=IF(Nonlabor!$E$25="Core",Nonlabor!$F$25,MAX(Nonlabor!$F$25,IF(Nonlabor!$E$25="AI",Assumptions!$E$24,Assumptions!$E$25)))),AND(Nonlabor!$H$25="Annual",MOD(C3826-IF(Nonlabor!$E$25="Core",Nonlabor!$F$25,MAX(Nonlabor!$F$25,IF(Nonlabor!$E$25="AI",Assumptions!$E$24,Assumptions!$E$25))),12)=0))),IF(Nonlabor!$I$25="Fixed",1,IF(Nonlabor!$I$25="Seats",ROUNDUP('Monthly Growth'!I46,0),IF(Nonlabor!$I$25="Customers",'Monthly Growth'!D46,IF(Nonlabor!$I$25="NewCustomers",'Monthly Growth'!C46,IF(Nonlabor!$I$25="StorageGB",'Monthly Growth'!G46,IF(Nonlabor!$I$25="LogGB",'Monthly Growth'!H46,IF(Nonlabor!$I$25="RequestsM",'Monthly Growth'!F46,IF(Nonlabor!$I$25="InputM",'Monthly Growth'!D46*Assumptions!$E$22/1000000,IF(Nonlabor!$I$25="OutputM",'Monthly Growth'!D46*Assumptions!$E$23/1000000,0))))))))),0)</f>
        <v>0</v>
      </c>
      <c r="F3826" s="10" t="n">
        <f aca="false">Nonlabor!$J$25*(1+Assumptions!$E$9)^INT((C3826-1)/12)</f>
        <v>1.7997824</v>
      </c>
      <c r="G3826" s="10" t="n">
        <f aca="false">E3826*F3826</f>
        <v>0</v>
      </c>
      <c r="H3826" s="10" t="n">
        <f aca="false">IF(OR(Nonlabor!$L$25="Quote required",Nonlabor!$L$25="Unverified"),G3826,0)</f>
        <v>0</v>
      </c>
      <c r="I3826" s="10" t="n">
        <f aca="false">IF(Nonlabor!$E$25="Core",0,G3826)</f>
        <v>0</v>
      </c>
      <c r="J3826" s="23" t="str">
        <f aca="false">Nonlabor!$B$25</f>
        <v>AI</v>
      </c>
    </row>
    <row r="3827" customFormat="false" ht="15" hidden="false" customHeight="false" outlineLevel="0" collapsed="false">
      <c r="A3827" s="6" t="s">
        <v>73</v>
      </c>
      <c r="B3827" s="6" t="s">
        <v>432</v>
      </c>
      <c r="C3827" s="6" t="n">
        <v>42</v>
      </c>
      <c r="D3827" s="25" t="n">
        <f aca="false">EDATE('Start Here'!$B$6,C3827-1)</f>
        <v>47574</v>
      </c>
      <c r="E3827" s="23" t="n">
        <f aca="false">IF(AND(OR(Nonlabor!$D$25="Both",Nonlabor!$D$25='Start Here'!$B$9),IF(Nonlabor!$E$25="Core",1,IF(Nonlabor!$E$25="AI",'Start Here'!$B$7,'Start Here'!$B$8))=1,C3827&gt;=IF(Nonlabor!$E$25="Core",Nonlabor!$F$25,MAX(Nonlabor!$F$25,IF(Nonlabor!$E$25="AI",Assumptions!$E$24,Assumptions!$E$25))),C3827&lt;=Nonlabor!$G$25,OR(Nonlabor!$H$25="Monthly",AND(Nonlabor!$H$25="Once",C3827=IF(Nonlabor!$E$25="Core",Nonlabor!$F$25,MAX(Nonlabor!$F$25,IF(Nonlabor!$E$25="AI",Assumptions!$E$24,Assumptions!$E$25)))),AND(Nonlabor!$H$25="Annual",MOD(C3827-IF(Nonlabor!$E$25="Core",Nonlabor!$F$25,MAX(Nonlabor!$F$25,IF(Nonlabor!$E$25="AI",Assumptions!$E$24,Assumptions!$E$25))),12)=0))),IF(Nonlabor!$I$25="Fixed",1,IF(Nonlabor!$I$25="Seats",ROUNDUP('Monthly Growth'!I47,0),IF(Nonlabor!$I$25="Customers",'Monthly Growth'!D47,IF(Nonlabor!$I$25="NewCustomers",'Monthly Growth'!C47,IF(Nonlabor!$I$25="StorageGB",'Monthly Growth'!G47,IF(Nonlabor!$I$25="LogGB",'Monthly Growth'!H47,IF(Nonlabor!$I$25="RequestsM",'Monthly Growth'!F47,IF(Nonlabor!$I$25="InputM",'Monthly Growth'!D47*Assumptions!$E$22/1000000,IF(Nonlabor!$I$25="OutputM",'Monthly Growth'!D47*Assumptions!$E$23/1000000,0))))))))),0)</f>
        <v>0</v>
      </c>
      <c r="F3827" s="10" t="n">
        <f aca="false">Nonlabor!$J$25*(1+Assumptions!$E$9)^INT((C3827-1)/12)</f>
        <v>1.7997824</v>
      </c>
      <c r="G3827" s="10" t="n">
        <f aca="false">E3827*F3827</f>
        <v>0</v>
      </c>
      <c r="H3827" s="10" t="n">
        <f aca="false">IF(OR(Nonlabor!$L$25="Quote required",Nonlabor!$L$25="Unverified"),G3827,0)</f>
        <v>0</v>
      </c>
      <c r="I3827" s="10" t="n">
        <f aca="false">IF(Nonlabor!$E$25="Core",0,G3827)</f>
        <v>0</v>
      </c>
      <c r="J3827" s="23" t="str">
        <f aca="false">Nonlabor!$B$25</f>
        <v>AI</v>
      </c>
    </row>
    <row r="3828" customFormat="false" ht="15" hidden="false" customHeight="false" outlineLevel="0" collapsed="false">
      <c r="A3828" s="6" t="s">
        <v>73</v>
      </c>
      <c r="B3828" s="6" t="s">
        <v>432</v>
      </c>
      <c r="C3828" s="6" t="n">
        <v>43</v>
      </c>
      <c r="D3828" s="25" t="n">
        <f aca="false">EDATE('Start Here'!$B$6,C3828-1)</f>
        <v>47604</v>
      </c>
      <c r="E3828" s="23" t="n">
        <f aca="false">IF(AND(OR(Nonlabor!$D$25="Both",Nonlabor!$D$25='Start Here'!$B$9),IF(Nonlabor!$E$25="Core",1,IF(Nonlabor!$E$25="AI",'Start Here'!$B$7,'Start Here'!$B$8))=1,C3828&gt;=IF(Nonlabor!$E$25="Core",Nonlabor!$F$25,MAX(Nonlabor!$F$25,IF(Nonlabor!$E$25="AI",Assumptions!$E$24,Assumptions!$E$25))),C3828&lt;=Nonlabor!$G$25,OR(Nonlabor!$H$25="Monthly",AND(Nonlabor!$H$25="Once",C3828=IF(Nonlabor!$E$25="Core",Nonlabor!$F$25,MAX(Nonlabor!$F$25,IF(Nonlabor!$E$25="AI",Assumptions!$E$24,Assumptions!$E$25)))),AND(Nonlabor!$H$25="Annual",MOD(C3828-IF(Nonlabor!$E$25="Core",Nonlabor!$F$25,MAX(Nonlabor!$F$25,IF(Nonlabor!$E$25="AI",Assumptions!$E$24,Assumptions!$E$25))),12)=0))),IF(Nonlabor!$I$25="Fixed",1,IF(Nonlabor!$I$25="Seats",ROUNDUP('Monthly Growth'!I48,0),IF(Nonlabor!$I$25="Customers",'Monthly Growth'!D48,IF(Nonlabor!$I$25="NewCustomers",'Monthly Growth'!C48,IF(Nonlabor!$I$25="StorageGB",'Monthly Growth'!G48,IF(Nonlabor!$I$25="LogGB",'Monthly Growth'!H48,IF(Nonlabor!$I$25="RequestsM",'Monthly Growth'!F48,IF(Nonlabor!$I$25="InputM",'Monthly Growth'!D48*Assumptions!$E$22/1000000,IF(Nonlabor!$I$25="OutputM",'Monthly Growth'!D48*Assumptions!$E$23/1000000,0))))))))),0)</f>
        <v>0</v>
      </c>
      <c r="F3828" s="10" t="n">
        <f aca="false">Nonlabor!$J$25*(1+Assumptions!$E$9)^INT((C3828-1)/12)</f>
        <v>1.7997824</v>
      </c>
      <c r="G3828" s="10" t="n">
        <f aca="false">E3828*F3828</f>
        <v>0</v>
      </c>
      <c r="H3828" s="10" t="n">
        <f aca="false">IF(OR(Nonlabor!$L$25="Quote required",Nonlabor!$L$25="Unverified"),G3828,0)</f>
        <v>0</v>
      </c>
      <c r="I3828" s="10" t="n">
        <f aca="false">IF(Nonlabor!$E$25="Core",0,G3828)</f>
        <v>0</v>
      </c>
      <c r="J3828" s="23" t="str">
        <f aca="false">Nonlabor!$B$25</f>
        <v>AI</v>
      </c>
    </row>
    <row r="3829" customFormat="false" ht="15" hidden="false" customHeight="false" outlineLevel="0" collapsed="false">
      <c r="A3829" s="6" t="s">
        <v>73</v>
      </c>
      <c r="B3829" s="6" t="s">
        <v>432</v>
      </c>
      <c r="C3829" s="6" t="n">
        <v>44</v>
      </c>
      <c r="D3829" s="25" t="n">
        <f aca="false">EDATE('Start Here'!$B$6,C3829-1)</f>
        <v>47635</v>
      </c>
      <c r="E3829" s="23" t="n">
        <f aca="false">IF(AND(OR(Nonlabor!$D$25="Both",Nonlabor!$D$25='Start Here'!$B$9),IF(Nonlabor!$E$25="Core",1,IF(Nonlabor!$E$25="AI",'Start Here'!$B$7,'Start Here'!$B$8))=1,C3829&gt;=IF(Nonlabor!$E$25="Core",Nonlabor!$F$25,MAX(Nonlabor!$F$25,IF(Nonlabor!$E$25="AI",Assumptions!$E$24,Assumptions!$E$25))),C3829&lt;=Nonlabor!$G$25,OR(Nonlabor!$H$25="Monthly",AND(Nonlabor!$H$25="Once",C3829=IF(Nonlabor!$E$25="Core",Nonlabor!$F$25,MAX(Nonlabor!$F$25,IF(Nonlabor!$E$25="AI",Assumptions!$E$24,Assumptions!$E$25)))),AND(Nonlabor!$H$25="Annual",MOD(C3829-IF(Nonlabor!$E$25="Core",Nonlabor!$F$25,MAX(Nonlabor!$F$25,IF(Nonlabor!$E$25="AI",Assumptions!$E$24,Assumptions!$E$25))),12)=0))),IF(Nonlabor!$I$25="Fixed",1,IF(Nonlabor!$I$25="Seats",ROUNDUP('Monthly Growth'!I49,0),IF(Nonlabor!$I$25="Customers",'Monthly Growth'!D49,IF(Nonlabor!$I$25="NewCustomers",'Monthly Growth'!C49,IF(Nonlabor!$I$25="StorageGB",'Monthly Growth'!G49,IF(Nonlabor!$I$25="LogGB",'Monthly Growth'!H49,IF(Nonlabor!$I$25="RequestsM",'Monthly Growth'!F49,IF(Nonlabor!$I$25="InputM",'Monthly Growth'!D49*Assumptions!$E$22/1000000,IF(Nonlabor!$I$25="OutputM",'Monthly Growth'!D49*Assumptions!$E$23/1000000,0))))))))),0)</f>
        <v>0</v>
      </c>
      <c r="F3829" s="10" t="n">
        <f aca="false">Nonlabor!$J$25*(1+Assumptions!$E$9)^INT((C3829-1)/12)</f>
        <v>1.7997824</v>
      </c>
      <c r="G3829" s="10" t="n">
        <f aca="false">E3829*F3829</f>
        <v>0</v>
      </c>
      <c r="H3829" s="10" t="n">
        <f aca="false">IF(OR(Nonlabor!$L$25="Quote required",Nonlabor!$L$25="Unverified"),G3829,0)</f>
        <v>0</v>
      </c>
      <c r="I3829" s="10" t="n">
        <f aca="false">IF(Nonlabor!$E$25="Core",0,G3829)</f>
        <v>0</v>
      </c>
      <c r="J3829" s="23" t="str">
        <f aca="false">Nonlabor!$B$25</f>
        <v>AI</v>
      </c>
    </row>
    <row r="3830" customFormat="false" ht="15" hidden="false" customHeight="false" outlineLevel="0" collapsed="false">
      <c r="A3830" s="6" t="s">
        <v>73</v>
      </c>
      <c r="B3830" s="6" t="s">
        <v>432</v>
      </c>
      <c r="C3830" s="6" t="n">
        <v>45</v>
      </c>
      <c r="D3830" s="25" t="n">
        <f aca="false">EDATE('Start Here'!$B$6,C3830-1)</f>
        <v>47665</v>
      </c>
      <c r="E3830" s="23" t="n">
        <f aca="false">IF(AND(OR(Nonlabor!$D$25="Both",Nonlabor!$D$25='Start Here'!$B$9),IF(Nonlabor!$E$25="Core",1,IF(Nonlabor!$E$25="AI",'Start Here'!$B$7,'Start Here'!$B$8))=1,C3830&gt;=IF(Nonlabor!$E$25="Core",Nonlabor!$F$25,MAX(Nonlabor!$F$25,IF(Nonlabor!$E$25="AI",Assumptions!$E$24,Assumptions!$E$25))),C3830&lt;=Nonlabor!$G$25,OR(Nonlabor!$H$25="Monthly",AND(Nonlabor!$H$25="Once",C3830=IF(Nonlabor!$E$25="Core",Nonlabor!$F$25,MAX(Nonlabor!$F$25,IF(Nonlabor!$E$25="AI",Assumptions!$E$24,Assumptions!$E$25)))),AND(Nonlabor!$H$25="Annual",MOD(C3830-IF(Nonlabor!$E$25="Core",Nonlabor!$F$25,MAX(Nonlabor!$F$25,IF(Nonlabor!$E$25="AI",Assumptions!$E$24,Assumptions!$E$25))),12)=0))),IF(Nonlabor!$I$25="Fixed",1,IF(Nonlabor!$I$25="Seats",ROUNDUP('Monthly Growth'!I50,0),IF(Nonlabor!$I$25="Customers",'Monthly Growth'!D50,IF(Nonlabor!$I$25="NewCustomers",'Monthly Growth'!C50,IF(Nonlabor!$I$25="StorageGB",'Monthly Growth'!G50,IF(Nonlabor!$I$25="LogGB",'Monthly Growth'!H50,IF(Nonlabor!$I$25="RequestsM",'Monthly Growth'!F50,IF(Nonlabor!$I$25="InputM",'Monthly Growth'!D50*Assumptions!$E$22/1000000,IF(Nonlabor!$I$25="OutputM",'Monthly Growth'!D50*Assumptions!$E$23/1000000,0))))))))),0)</f>
        <v>0</v>
      </c>
      <c r="F3830" s="10" t="n">
        <f aca="false">Nonlabor!$J$25*(1+Assumptions!$E$9)^INT((C3830-1)/12)</f>
        <v>1.7997824</v>
      </c>
      <c r="G3830" s="10" t="n">
        <f aca="false">E3830*F3830</f>
        <v>0</v>
      </c>
      <c r="H3830" s="10" t="n">
        <f aca="false">IF(OR(Nonlabor!$L$25="Quote required",Nonlabor!$L$25="Unverified"),G3830,0)</f>
        <v>0</v>
      </c>
      <c r="I3830" s="10" t="n">
        <f aca="false">IF(Nonlabor!$E$25="Core",0,G3830)</f>
        <v>0</v>
      </c>
      <c r="J3830" s="23" t="str">
        <f aca="false">Nonlabor!$B$25</f>
        <v>AI</v>
      </c>
    </row>
    <row r="3831" customFormat="false" ht="15" hidden="false" customHeight="false" outlineLevel="0" collapsed="false">
      <c r="A3831" s="6" t="s">
        <v>73</v>
      </c>
      <c r="B3831" s="6" t="s">
        <v>432</v>
      </c>
      <c r="C3831" s="6" t="n">
        <v>46</v>
      </c>
      <c r="D3831" s="25" t="n">
        <f aca="false">EDATE('Start Here'!$B$6,C3831-1)</f>
        <v>47696</v>
      </c>
      <c r="E3831" s="23" t="n">
        <f aca="false">IF(AND(OR(Nonlabor!$D$25="Both",Nonlabor!$D$25='Start Here'!$B$9),IF(Nonlabor!$E$25="Core",1,IF(Nonlabor!$E$25="AI",'Start Here'!$B$7,'Start Here'!$B$8))=1,C3831&gt;=IF(Nonlabor!$E$25="Core",Nonlabor!$F$25,MAX(Nonlabor!$F$25,IF(Nonlabor!$E$25="AI",Assumptions!$E$24,Assumptions!$E$25))),C3831&lt;=Nonlabor!$G$25,OR(Nonlabor!$H$25="Monthly",AND(Nonlabor!$H$25="Once",C3831=IF(Nonlabor!$E$25="Core",Nonlabor!$F$25,MAX(Nonlabor!$F$25,IF(Nonlabor!$E$25="AI",Assumptions!$E$24,Assumptions!$E$25)))),AND(Nonlabor!$H$25="Annual",MOD(C3831-IF(Nonlabor!$E$25="Core",Nonlabor!$F$25,MAX(Nonlabor!$F$25,IF(Nonlabor!$E$25="AI",Assumptions!$E$24,Assumptions!$E$25))),12)=0))),IF(Nonlabor!$I$25="Fixed",1,IF(Nonlabor!$I$25="Seats",ROUNDUP('Monthly Growth'!I51,0),IF(Nonlabor!$I$25="Customers",'Monthly Growth'!D51,IF(Nonlabor!$I$25="NewCustomers",'Monthly Growth'!C51,IF(Nonlabor!$I$25="StorageGB",'Monthly Growth'!G51,IF(Nonlabor!$I$25="LogGB",'Monthly Growth'!H51,IF(Nonlabor!$I$25="RequestsM",'Monthly Growth'!F51,IF(Nonlabor!$I$25="InputM",'Monthly Growth'!D51*Assumptions!$E$22/1000000,IF(Nonlabor!$I$25="OutputM",'Monthly Growth'!D51*Assumptions!$E$23/1000000,0))))))))),0)</f>
        <v>0</v>
      </c>
      <c r="F3831" s="10" t="n">
        <f aca="false">Nonlabor!$J$25*(1+Assumptions!$E$9)^INT((C3831-1)/12)</f>
        <v>1.7997824</v>
      </c>
      <c r="G3831" s="10" t="n">
        <f aca="false">E3831*F3831</f>
        <v>0</v>
      </c>
      <c r="H3831" s="10" t="n">
        <f aca="false">IF(OR(Nonlabor!$L$25="Quote required",Nonlabor!$L$25="Unverified"),G3831,0)</f>
        <v>0</v>
      </c>
      <c r="I3831" s="10" t="n">
        <f aca="false">IF(Nonlabor!$E$25="Core",0,G3831)</f>
        <v>0</v>
      </c>
      <c r="J3831" s="23" t="str">
        <f aca="false">Nonlabor!$B$25</f>
        <v>AI</v>
      </c>
    </row>
    <row r="3832" customFormat="false" ht="15" hidden="false" customHeight="false" outlineLevel="0" collapsed="false">
      <c r="A3832" s="6" t="s">
        <v>73</v>
      </c>
      <c r="B3832" s="6" t="s">
        <v>432</v>
      </c>
      <c r="C3832" s="6" t="n">
        <v>47</v>
      </c>
      <c r="D3832" s="25" t="n">
        <f aca="false">EDATE('Start Here'!$B$6,C3832-1)</f>
        <v>47727</v>
      </c>
      <c r="E3832" s="23" t="n">
        <f aca="false">IF(AND(OR(Nonlabor!$D$25="Both",Nonlabor!$D$25='Start Here'!$B$9),IF(Nonlabor!$E$25="Core",1,IF(Nonlabor!$E$25="AI",'Start Here'!$B$7,'Start Here'!$B$8))=1,C3832&gt;=IF(Nonlabor!$E$25="Core",Nonlabor!$F$25,MAX(Nonlabor!$F$25,IF(Nonlabor!$E$25="AI",Assumptions!$E$24,Assumptions!$E$25))),C3832&lt;=Nonlabor!$G$25,OR(Nonlabor!$H$25="Monthly",AND(Nonlabor!$H$25="Once",C3832=IF(Nonlabor!$E$25="Core",Nonlabor!$F$25,MAX(Nonlabor!$F$25,IF(Nonlabor!$E$25="AI",Assumptions!$E$24,Assumptions!$E$25)))),AND(Nonlabor!$H$25="Annual",MOD(C3832-IF(Nonlabor!$E$25="Core",Nonlabor!$F$25,MAX(Nonlabor!$F$25,IF(Nonlabor!$E$25="AI",Assumptions!$E$24,Assumptions!$E$25))),12)=0))),IF(Nonlabor!$I$25="Fixed",1,IF(Nonlabor!$I$25="Seats",ROUNDUP('Monthly Growth'!I52,0),IF(Nonlabor!$I$25="Customers",'Monthly Growth'!D52,IF(Nonlabor!$I$25="NewCustomers",'Monthly Growth'!C52,IF(Nonlabor!$I$25="StorageGB",'Monthly Growth'!G52,IF(Nonlabor!$I$25="LogGB",'Monthly Growth'!H52,IF(Nonlabor!$I$25="RequestsM",'Monthly Growth'!F52,IF(Nonlabor!$I$25="InputM",'Monthly Growth'!D52*Assumptions!$E$22/1000000,IF(Nonlabor!$I$25="OutputM",'Monthly Growth'!D52*Assumptions!$E$23/1000000,0))))))))),0)</f>
        <v>0</v>
      </c>
      <c r="F3832" s="10" t="n">
        <f aca="false">Nonlabor!$J$25*(1+Assumptions!$E$9)^INT((C3832-1)/12)</f>
        <v>1.7997824</v>
      </c>
      <c r="G3832" s="10" t="n">
        <f aca="false">E3832*F3832</f>
        <v>0</v>
      </c>
      <c r="H3832" s="10" t="n">
        <f aca="false">IF(OR(Nonlabor!$L$25="Quote required",Nonlabor!$L$25="Unverified"),G3832,0)</f>
        <v>0</v>
      </c>
      <c r="I3832" s="10" t="n">
        <f aca="false">IF(Nonlabor!$E$25="Core",0,G3832)</f>
        <v>0</v>
      </c>
      <c r="J3832" s="23" t="str">
        <f aca="false">Nonlabor!$B$25</f>
        <v>AI</v>
      </c>
    </row>
    <row r="3833" customFormat="false" ht="15" hidden="false" customHeight="false" outlineLevel="0" collapsed="false">
      <c r="A3833" s="6" t="s">
        <v>73</v>
      </c>
      <c r="B3833" s="6" t="s">
        <v>432</v>
      </c>
      <c r="C3833" s="6" t="n">
        <v>48</v>
      </c>
      <c r="D3833" s="25" t="n">
        <f aca="false">EDATE('Start Here'!$B$6,C3833-1)</f>
        <v>47757</v>
      </c>
      <c r="E3833" s="23" t="n">
        <f aca="false">IF(AND(OR(Nonlabor!$D$25="Both",Nonlabor!$D$25='Start Here'!$B$9),IF(Nonlabor!$E$25="Core",1,IF(Nonlabor!$E$25="AI",'Start Here'!$B$7,'Start Here'!$B$8))=1,C3833&gt;=IF(Nonlabor!$E$25="Core",Nonlabor!$F$25,MAX(Nonlabor!$F$25,IF(Nonlabor!$E$25="AI",Assumptions!$E$24,Assumptions!$E$25))),C3833&lt;=Nonlabor!$G$25,OR(Nonlabor!$H$25="Monthly",AND(Nonlabor!$H$25="Once",C3833=IF(Nonlabor!$E$25="Core",Nonlabor!$F$25,MAX(Nonlabor!$F$25,IF(Nonlabor!$E$25="AI",Assumptions!$E$24,Assumptions!$E$25)))),AND(Nonlabor!$H$25="Annual",MOD(C3833-IF(Nonlabor!$E$25="Core",Nonlabor!$F$25,MAX(Nonlabor!$F$25,IF(Nonlabor!$E$25="AI",Assumptions!$E$24,Assumptions!$E$25))),12)=0))),IF(Nonlabor!$I$25="Fixed",1,IF(Nonlabor!$I$25="Seats",ROUNDUP('Monthly Growth'!I53,0),IF(Nonlabor!$I$25="Customers",'Monthly Growth'!D53,IF(Nonlabor!$I$25="NewCustomers",'Monthly Growth'!C53,IF(Nonlabor!$I$25="StorageGB",'Monthly Growth'!G53,IF(Nonlabor!$I$25="LogGB",'Monthly Growth'!H53,IF(Nonlabor!$I$25="RequestsM",'Monthly Growth'!F53,IF(Nonlabor!$I$25="InputM",'Monthly Growth'!D53*Assumptions!$E$22/1000000,IF(Nonlabor!$I$25="OutputM",'Monthly Growth'!D53*Assumptions!$E$23/1000000,0))))))))),0)</f>
        <v>0</v>
      </c>
      <c r="F3833" s="10" t="n">
        <f aca="false">Nonlabor!$J$25*(1+Assumptions!$E$9)^INT((C3833-1)/12)</f>
        <v>1.7997824</v>
      </c>
      <c r="G3833" s="10" t="n">
        <f aca="false">E3833*F3833</f>
        <v>0</v>
      </c>
      <c r="H3833" s="10" t="n">
        <f aca="false">IF(OR(Nonlabor!$L$25="Quote required",Nonlabor!$L$25="Unverified"),G3833,0)</f>
        <v>0</v>
      </c>
      <c r="I3833" s="10" t="n">
        <f aca="false">IF(Nonlabor!$E$25="Core",0,G3833)</f>
        <v>0</v>
      </c>
      <c r="J3833" s="23" t="str">
        <f aca="false">Nonlabor!$B$25</f>
        <v>AI</v>
      </c>
    </row>
    <row r="3834" customFormat="false" ht="15" hidden="false" customHeight="false" outlineLevel="0" collapsed="false">
      <c r="A3834" s="6" t="s">
        <v>73</v>
      </c>
      <c r="B3834" s="6" t="s">
        <v>432</v>
      </c>
      <c r="C3834" s="6" t="n">
        <v>49</v>
      </c>
      <c r="D3834" s="25" t="n">
        <f aca="false">EDATE('Start Here'!$B$6,C3834-1)</f>
        <v>47788</v>
      </c>
      <c r="E3834" s="23" t="n">
        <f aca="false">IF(AND(OR(Nonlabor!$D$25="Both",Nonlabor!$D$25='Start Here'!$B$9),IF(Nonlabor!$E$25="Core",1,IF(Nonlabor!$E$25="AI",'Start Here'!$B$7,'Start Here'!$B$8))=1,C3834&gt;=IF(Nonlabor!$E$25="Core",Nonlabor!$F$25,MAX(Nonlabor!$F$25,IF(Nonlabor!$E$25="AI",Assumptions!$E$24,Assumptions!$E$25))),C3834&lt;=Nonlabor!$G$25,OR(Nonlabor!$H$25="Monthly",AND(Nonlabor!$H$25="Once",C3834=IF(Nonlabor!$E$25="Core",Nonlabor!$F$25,MAX(Nonlabor!$F$25,IF(Nonlabor!$E$25="AI",Assumptions!$E$24,Assumptions!$E$25)))),AND(Nonlabor!$H$25="Annual",MOD(C3834-IF(Nonlabor!$E$25="Core",Nonlabor!$F$25,MAX(Nonlabor!$F$25,IF(Nonlabor!$E$25="AI",Assumptions!$E$24,Assumptions!$E$25))),12)=0))),IF(Nonlabor!$I$25="Fixed",1,IF(Nonlabor!$I$25="Seats",ROUNDUP('Monthly Growth'!I54,0),IF(Nonlabor!$I$25="Customers",'Monthly Growth'!D54,IF(Nonlabor!$I$25="NewCustomers",'Monthly Growth'!C54,IF(Nonlabor!$I$25="StorageGB",'Monthly Growth'!G54,IF(Nonlabor!$I$25="LogGB",'Monthly Growth'!H54,IF(Nonlabor!$I$25="RequestsM",'Monthly Growth'!F54,IF(Nonlabor!$I$25="InputM",'Monthly Growth'!D54*Assumptions!$E$22/1000000,IF(Nonlabor!$I$25="OutputM",'Monthly Growth'!D54*Assumptions!$E$23/1000000,0))))))))),0)</f>
        <v>0</v>
      </c>
      <c r="F3834" s="10" t="n">
        <f aca="false">Nonlabor!$J$25*(1+Assumptions!$E$9)^INT((C3834-1)/12)</f>
        <v>1.871773696</v>
      </c>
      <c r="G3834" s="10" t="n">
        <f aca="false">E3834*F3834</f>
        <v>0</v>
      </c>
      <c r="H3834" s="10" t="n">
        <f aca="false">IF(OR(Nonlabor!$L$25="Quote required",Nonlabor!$L$25="Unverified"),G3834,0)</f>
        <v>0</v>
      </c>
      <c r="I3834" s="10" t="n">
        <f aca="false">IF(Nonlabor!$E$25="Core",0,G3834)</f>
        <v>0</v>
      </c>
      <c r="J3834" s="23" t="str">
        <f aca="false">Nonlabor!$B$25</f>
        <v>AI</v>
      </c>
    </row>
    <row r="3835" customFormat="false" ht="15" hidden="false" customHeight="false" outlineLevel="0" collapsed="false">
      <c r="A3835" s="6" t="s">
        <v>73</v>
      </c>
      <c r="B3835" s="6" t="s">
        <v>432</v>
      </c>
      <c r="C3835" s="6" t="n">
        <v>50</v>
      </c>
      <c r="D3835" s="25" t="n">
        <f aca="false">EDATE('Start Here'!$B$6,C3835-1)</f>
        <v>47818</v>
      </c>
      <c r="E3835" s="23" t="n">
        <f aca="false">IF(AND(OR(Nonlabor!$D$25="Both",Nonlabor!$D$25='Start Here'!$B$9),IF(Nonlabor!$E$25="Core",1,IF(Nonlabor!$E$25="AI",'Start Here'!$B$7,'Start Here'!$B$8))=1,C3835&gt;=IF(Nonlabor!$E$25="Core",Nonlabor!$F$25,MAX(Nonlabor!$F$25,IF(Nonlabor!$E$25="AI",Assumptions!$E$24,Assumptions!$E$25))),C3835&lt;=Nonlabor!$G$25,OR(Nonlabor!$H$25="Monthly",AND(Nonlabor!$H$25="Once",C3835=IF(Nonlabor!$E$25="Core",Nonlabor!$F$25,MAX(Nonlabor!$F$25,IF(Nonlabor!$E$25="AI",Assumptions!$E$24,Assumptions!$E$25)))),AND(Nonlabor!$H$25="Annual",MOD(C3835-IF(Nonlabor!$E$25="Core",Nonlabor!$F$25,MAX(Nonlabor!$F$25,IF(Nonlabor!$E$25="AI",Assumptions!$E$24,Assumptions!$E$25))),12)=0))),IF(Nonlabor!$I$25="Fixed",1,IF(Nonlabor!$I$25="Seats",ROUNDUP('Monthly Growth'!I55,0),IF(Nonlabor!$I$25="Customers",'Monthly Growth'!D55,IF(Nonlabor!$I$25="NewCustomers",'Monthly Growth'!C55,IF(Nonlabor!$I$25="StorageGB",'Monthly Growth'!G55,IF(Nonlabor!$I$25="LogGB",'Monthly Growth'!H55,IF(Nonlabor!$I$25="RequestsM",'Monthly Growth'!F55,IF(Nonlabor!$I$25="InputM",'Monthly Growth'!D55*Assumptions!$E$22/1000000,IF(Nonlabor!$I$25="OutputM",'Monthly Growth'!D55*Assumptions!$E$23/1000000,0))))))))),0)</f>
        <v>0</v>
      </c>
      <c r="F3835" s="10" t="n">
        <f aca="false">Nonlabor!$J$25*(1+Assumptions!$E$9)^INT((C3835-1)/12)</f>
        <v>1.871773696</v>
      </c>
      <c r="G3835" s="10" t="n">
        <f aca="false">E3835*F3835</f>
        <v>0</v>
      </c>
      <c r="H3835" s="10" t="n">
        <f aca="false">IF(OR(Nonlabor!$L$25="Quote required",Nonlabor!$L$25="Unverified"),G3835,0)</f>
        <v>0</v>
      </c>
      <c r="I3835" s="10" t="n">
        <f aca="false">IF(Nonlabor!$E$25="Core",0,G3835)</f>
        <v>0</v>
      </c>
      <c r="J3835" s="23" t="str">
        <f aca="false">Nonlabor!$B$25</f>
        <v>AI</v>
      </c>
    </row>
    <row r="3836" customFormat="false" ht="15" hidden="false" customHeight="false" outlineLevel="0" collapsed="false">
      <c r="A3836" s="6" t="s">
        <v>73</v>
      </c>
      <c r="B3836" s="6" t="s">
        <v>432</v>
      </c>
      <c r="C3836" s="6" t="n">
        <v>51</v>
      </c>
      <c r="D3836" s="25" t="n">
        <f aca="false">EDATE('Start Here'!$B$6,C3836-1)</f>
        <v>47849</v>
      </c>
      <c r="E3836" s="23" t="n">
        <f aca="false">IF(AND(OR(Nonlabor!$D$25="Both",Nonlabor!$D$25='Start Here'!$B$9),IF(Nonlabor!$E$25="Core",1,IF(Nonlabor!$E$25="AI",'Start Here'!$B$7,'Start Here'!$B$8))=1,C3836&gt;=IF(Nonlabor!$E$25="Core",Nonlabor!$F$25,MAX(Nonlabor!$F$25,IF(Nonlabor!$E$25="AI",Assumptions!$E$24,Assumptions!$E$25))),C3836&lt;=Nonlabor!$G$25,OR(Nonlabor!$H$25="Monthly",AND(Nonlabor!$H$25="Once",C3836=IF(Nonlabor!$E$25="Core",Nonlabor!$F$25,MAX(Nonlabor!$F$25,IF(Nonlabor!$E$25="AI",Assumptions!$E$24,Assumptions!$E$25)))),AND(Nonlabor!$H$25="Annual",MOD(C3836-IF(Nonlabor!$E$25="Core",Nonlabor!$F$25,MAX(Nonlabor!$F$25,IF(Nonlabor!$E$25="AI",Assumptions!$E$24,Assumptions!$E$25))),12)=0))),IF(Nonlabor!$I$25="Fixed",1,IF(Nonlabor!$I$25="Seats",ROUNDUP('Monthly Growth'!I56,0),IF(Nonlabor!$I$25="Customers",'Monthly Growth'!D56,IF(Nonlabor!$I$25="NewCustomers",'Monthly Growth'!C56,IF(Nonlabor!$I$25="StorageGB",'Monthly Growth'!G56,IF(Nonlabor!$I$25="LogGB",'Monthly Growth'!H56,IF(Nonlabor!$I$25="RequestsM",'Monthly Growth'!F56,IF(Nonlabor!$I$25="InputM",'Monthly Growth'!D56*Assumptions!$E$22/1000000,IF(Nonlabor!$I$25="OutputM",'Monthly Growth'!D56*Assumptions!$E$23/1000000,0))))))))),0)</f>
        <v>0</v>
      </c>
      <c r="F3836" s="10" t="n">
        <f aca="false">Nonlabor!$J$25*(1+Assumptions!$E$9)^INT((C3836-1)/12)</f>
        <v>1.871773696</v>
      </c>
      <c r="G3836" s="10" t="n">
        <f aca="false">E3836*F3836</f>
        <v>0</v>
      </c>
      <c r="H3836" s="10" t="n">
        <f aca="false">IF(OR(Nonlabor!$L$25="Quote required",Nonlabor!$L$25="Unverified"),G3836,0)</f>
        <v>0</v>
      </c>
      <c r="I3836" s="10" t="n">
        <f aca="false">IF(Nonlabor!$E$25="Core",0,G3836)</f>
        <v>0</v>
      </c>
      <c r="J3836" s="23" t="str">
        <f aca="false">Nonlabor!$B$25</f>
        <v>AI</v>
      </c>
    </row>
    <row r="3837" customFormat="false" ht="15" hidden="false" customHeight="false" outlineLevel="0" collapsed="false">
      <c r="A3837" s="6" t="s">
        <v>73</v>
      </c>
      <c r="B3837" s="6" t="s">
        <v>432</v>
      </c>
      <c r="C3837" s="6" t="n">
        <v>52</v>
      </c>
      <c r="D3837" s="25" t="n">
        <f aca="false">EDATE('Start Here'!$B$6,C3837-1)</f>
        <v>47880</v>
      </c>
      <c r="E3837" s="23" t="n">
        <f aca="false">IF(AND(OR(Nonlabor!$D$25="Both",Nonlabor!$D$25='Start Here'!$B$9),IF(Nonlabor!$E$25="Core",1,IF(Nonlabor!$E$25="AI",'Start Here'!$B$7,'Start Here'!$B$8))=1,C3837&gt;=IF(Nonlabor!$E$25="Core",Nonlabor!$F$25,MAX(Nonlabor!$F$25,IF(Nonlabor!$E$25="AI",Assumptions!$E$24,Assumptions!$E$25))),C3837&lt;=Nonlabor!$G$25,OR(Nonlabor!$H$25="Monthly",AND(Nonlabor!$H$25="Once",C3837=IF(Nonlabor!$E$25="Core",Nonlabor!$F$25,MAX(Nonlabor!$F$25,IF(Nonlabor!$E$25="AI",Assumptions!$E$24,Assumptions!$E$25)))),AND(Nonlabor!$H$25="Annual",MOD(C3837-IF(Nonlabor!$E$25="Core",Nonlabor!$F$25,MAX(Nonlabor!$F$25,IF(Nonlabor!$E$25="AI",Assumptions!$E$24,Assumptions!$E$25))),12)=0))),IF(Nonlabor!$I$25="Fixed",1,IF(Nonlabor!$I$25="Seats",ROUNDUP('Monthly Growth'!I57,0),IF(Nonlabor!$I$25="Customers",'Monthly Growth'!D57,IF(Nonlabor!$I$25="NewCustomers",'Monthly Growth'!C57,IF(Nonlabor!$I$25="StorageGB",'Monthly Growth'!G57,IF(Nonlabor!$I$25="LogGB",'Monthly Growth'!H57,IF(Nonlabor!$I$25="RequestsM",'Monthly Growth'!F57,IF(Nonlabor!$I$25="InputM",'Monthly Growth'!D57*Assumptions!$E$22/1000000,IF(Nonlabor!$I$25="OutputM",'Monthly Growth'!D57*Assumptions!$E$23/1000000,0))))))))),0)</f>
        <v>0</v>
      </c>
      <c r="F3837" s="10" t="n">
        <f aca="false">Nonlabor!$J$25*(1+Assumptions!$E$9)^INT((C3837-1)/12)</f>
        <v>1.871773696</v>
      </c>
      <c r="G3837" s="10" t="n">
        <f aca="false">E3837*F3837</f>
        <v>0</v>
      </c>
      <c r="H3837" s="10" t="n">
        <f aca="false">IF(OR(Nonlabor!$L$25="Quote required",Nonlabor!$L$25="Unverified"),G3837,0)</f>
        <v>0</v>
      </c>
      <c r="I3837" s="10" t="n">
        <f aca="false">IF(Nonlabor!$E$25="Core",0,G3837)</f>
        <v>0</v>
      </c>
      <c r="J3837" s="23" t="str">
        <f aca="false">Nonlabor!$B$25</f>
        <v>AI</v>
      </c>
    </row>
    <row r="3838" customFormat="false" ht="15" hidden="false" customHeight="false" outlineLevel="0" collapsed="false">
      <c r="A3838" s="6" t="s">
        <v>73</v>
      </c>
      <c r="B3838" s="6" t="s">
        <v>432</v>
      </c>
      <c r="C3838" s="6" t="n">
        <v>53</v>
      </c>
      <c r="D3838" s="25" t="n">
        <f aca="false">EDATE('Start Here'!$B$6,C3838-1)</f>
        <v>47908</v>
      </c>
      <c r="E3838" s="23" t="n">
        <f aca="false">IF(AND(OR(Nonlabor!$D$25="Both",Nonlabor!$D$25='Start Here'!$B$9),IF(Nonlabor!$E$25="Core",1,IF(Nonlabor!$E$25="AI",'Start Here'!$B$7,'Start Here'!$B$8))=1,C3838&gt;=IF(Nonlabor!$E$25="Core",Nonlabor!$F$25,MAX(Nonlabor!$F$25,IF(Nonlabor!$E$25="AI",Assumptions!$E$24,Assumptions!$E$25))),C3838&lt;=Nonlabor!$G$25,OR(Nonlabor!$H$25="Monthly",AND(Nonlabor!$H$25="Once",C3838=IF(Nonlabor!$E$25="Core",Nonlabor!$F$25,MAX(Nonlabor!$F$25,IF(Nonlabor!$E$25="AI",Assumptions!$E$24,Assumptions!$E$25)))),AND(Nonlabor!$H$25="Annual",MOD(C3838-IF(Nonlabor!$E$25="Core",Nonlabor!$F$25,MAX(Nonlabor!$F$25,IF(Nonlabor!$E$25="AI",Assumptions!$E$24,Assumptions!$E$25))),12)=0))),IF(Nonlabor!$I$25="Fixed",1,IF(Nonlabor!$I$25="Seats",ROUNDUP('Monthly Growth'!I58,0),IF(Nonlabor!$I$25="Customers",'Monthly Growth'!D58,IF(Nonlabor!$I$25="NewCustomers",'Monthly Growth'!C58,IF(Nonlabor!$I$25="StorageGB",'Monthly Growth'!G58,IF(Nonlabor!$I$25="LogGB",'Monthly Growth'!H58,IF(Nonlabor!$I$25="RequestsM",'Monthly Growth'!F58,IF(Nonlabor!$I$25="InputM",'Monthly Growth'!D58*Assumptions!$E$22/1000000,IF(Nonlabor!$I$25="OutputM",'Monthly Growth'!D58*Assumptions!$E$23/1000000,0))))))))),0)</f>
        <v>0</v>
      </c>
      <c r="F3838" s="10" t="n">
        <f aca="false">Nonlabor!$J$25*(1+Assumptions!$E$9)^INT((C3838-1)/12)</f>
        <v>1.871773696</v>
      </c>
      <c r="G3838" s="10" t="n">
        <f aca="false">E3838*F3838</f>
        <v>0</v>
      </c>
      <c r="H3838" s="10" t="n">
        <f aca="false">IF(OR(Nonlabor!$L$25="Quote required",Nonlabor!$L$25="Unverified"),G3838,0)</f>
        <v>0</v>
      </c>
      <c r="I3838" s="10" t="n">
        <f aca="false">IF(Nonlabor!$E$25="Core",0,G3838)</f>
        <v>0</v>
      </c>
      <c r="J3838" s="23" t="str">
        <f aca="false">Nonlabor!$B$25</f>
        <v>AI</v>
      </c>
    </row>
    <row r="3839" customFormat="false" ht="15" hidden="false" customHeight="false" outlineLevel="0" collapsed="false">
      <c r="A3839" s="6" t="s">
        <v>73</v>
      </c>
      <c r="B3839" s="6" t="s">
        <v>432</v>
      </c>
      <c r="C3839" s="6" t="n">
        <v>54</v>
      </c>
      <c r="D3839" s="25" t="n">
        <f aca="false">EDATE('Start Here'!$B$6,C3839-1)</f>
        <v>47939</v>
      </c>
      <c r="E3839" s="23" t="n">
        <f aca="false">IF(AND(OR(Nonlabor!$D$25="Both",Nonlabor!$D$25='Start Here'!$B$9),IF(Nonlabor!$E$25="Core",1,IF(Nonlabor!$E$25="AI",'Start Here'!$B$7,'Start Here'!$B$8))=1,C3839&gt;=IF(Nonlabor!$E$25="Core",Nonlabor!$F$25,MAX(Nonlabor!$F$25,IF(Nonlabor!$E$25="AI",Assumptions!$E$24,Assumptions!$E$25))),C3839&lt;=Nonlabor!$G$25,OR(Nonlabor!$H$25="Monthly",AND(Nonlabor!$H$25="Once",C3839=IF(Nonlabor!$E$25="Core",Nonlabor!$F$25,MAX(Nonlabor!$F$25,IF(Nonlabor!$E$25="AI",Assumptions!$E$24,Assumptions!$E$25)))),AND(Nonlabor!$H$25="Annual",MOD(C3839-IF(Nonlabor!$E$25="Core",Nonlabor!$F$25,MAX(Nonlabor!$F$25,IF(Nonlabor!$E$25="AI",Assumptions!$E$24,Assumptions!$E$25))),12)=0))),IF(Nonlabor!$I$25="Fixed",1,IF(Nonlabor!$I$25="Seats",ROUNDUP('Monthly Growth'!I59,0),IF(Nonlabor!$I$25="Customers",'Monthly Growth'!D59,IF(Nonlabor!$I$25="NewCustomers",'Monthly Growth'!C59,IF(Nonlabor!$I$25="StorageGB",'Monthly Growth'!G59,IF(Nonlabor!$I$25="LogGB",'Monthly Growth'!H59,IF(Nonlabor!$I$25="RequestsM",'Monthly Growth'!F59,IF(Nonlabor!$I$25="InputM",'Monthly Growth'!D59*Assumptions!$E$22/1000000,IF(Nonlabor!$I$25="OutputM",'Monthly Growth'!D59*Assumptions!$E$23/1000000,0))))))))),0)</f>
        <v>0</v>
      </c>
      <c r="F3839" s="10" t="n">
        <f aca="false">Nonlabor!$J$25*(1+Assumptions!$E$9)^INT((C3839-1)/12)</f>
        <v>1.871773696</v>
      </c>
      <c r="G3839" s="10" t="n">
        <f aca="false">E3839*F3839</f>
        <v>0</v>
      </c>
      <c r="H3839" s="10" t="n">
        <f aca="false">IF(OR(Nonlabor!$L$25="Quote required",Nonlabor!$L$25="Unverified"),G3839,0)</f>
        <v>0</v>
      </c>
      <c r="I3839" s="10" t="n">
        <f aca="false">IF(Nonlabor!$E$25="Core",0,G3839)</f>
        <v>0</v>
      </c>
      <c r="J3839" s="23" t="str">
        <f aca="false">Nonlabor!$B$25</f>
        <v>AI</v>
      </c>
    </row>
    <row r="3840" customFormat="false" ht="15" hidden="false" customHeight="false" outlineLevel="0" collapsed="false">
      <c r="A3840" s="6" t="s">
        <v>73</v>
      </c>
      <c r="B3840" s="6" t="s">
        <v>432</v>
      </c>
      <c r="C3840" s="6" t="n">
        <v>55</v>
      </c>
      <c r="D3840" s="25" t="n">
        <f aca="false">EDATE('Start Here'!$B$6,C3840-1)</f>
        <v>47969</v>
      </c>
      <c r="E3840" s="23" t="n">
        <f aca="false">IF(AND(OR(Nonlabor!$D$25="Both",Nonlabor!$D$25='Start Here'!$B$9),IF(Nonlabor!$E$25="Core",1,IF(Nonlabor!$E$25="AI",'Start Here'!$B$7,'Start Here'!$B$8))=1,C3840&gt;=IF(Nonlabor!$E$25="Core",Nonlabor!$F$25,MAX(Nonlabor!$F$25,IF(Nonlabor!$E$25="AI",Assumptions!$E$24,Assumptions!$E$25))),C3840&lt;=Nonlabor!$G$25,OR(Nonlabor!$H$25="Monthly",AND(Nonlabor!$H$25="Once",C3840=IF(Nonlabor!$E$25="Core",Nonlabor!$F$25,MAX(Nonlabor!$F$25,IF(Nonlabor!$E$25="AI",Assumptions!$E$24,Assumptions!$E$25)))),AND(Nonlabor!$H$25="Annual",MOD(C3840-IF(Nonlabor!$E$25="Core",Nonlabor!$F$25,MAX(Nonlabor!$F$25,IF(Nonlabor!$E$25="AI",Assumptions!$E$24,Assumptions!$E$25))),12)=0))),IF(Nonlabor!$I$25="Fixed",1,IF(Nonlabor!$I$25="Seats",ROUNDUP('Monthly Growth'!I60,0),IF(Nonlabor!$I$25="Customers",'Monthly Growth'!D60,IF(Nonlabor!$I$25="NewCustomers",'Monthly Growth'!C60,IF(Nonlabor!$I$25="StorageGB",'Monthly Growth'!G60,IF(Nonlabor!$I$25="LogGB",'Monthly Growth'!H60,IF(Nonlabor!$I$25="RequestsM",'Monthly Growth'!F60,IF(Nonlabor!$I$25="InputM",'Monthly Growth'!D60*Assumptions!$E$22/1000000,IF(Nonlabor!$I$25="OutputM",'Monthly Growth'!D60*Assumptions!$E$23/1000000,0))))))))),0)</f>
        <v>0</v>
      </c>
      <c r="F3840" s="10" t="n">
        <f aca="false">Nonlabor!$J$25*(1+Assumptions!$E$9)^INT((C3840-1)/12)</f>
        <v>1.871773696</v>
      </c>
      <c r="G3840" s="10" t="n">
        <f aca="false">E3840*F3840</f>
        <v>0</v>
      </c>
      <c r="H3840" s="10" t="n">
        <f aca="false">IF(OR(Nonlabor!$L$25="Quote required",Nonlabor!$L$25="Unverified"),G3840,0)</f>
        <v>0</v>
      </c>
      <c r="I3840" s="10" t="n">
        <f aca="false">IF(Nonlabor!$E$25="Core",0,G3840)</f>
        <v>0</v>
      </c>
      <c r="J3840" s="23" t="str">
        <f aca="false">Nonlabor!$B$25</f>
        <v>AI</v>
      </c>
    </row>
    <row r="3841" customFormat="false" ht="15" hidden="false" customHeight="false" outlineLevel="0" collapsed="false">
      <c r="A3841" s="6" t="s">
        <v>73</v>
      </c>
      <c r="B3841" s="6" t="s">
        <v>432</v>
      </c>
      <c r="C3841" s="6" t="n">
        <v>56</v>
      </c>
      <c r="D3841" s="25" t="n">
        <f aca="false">EDATE('Start Here'!$B$6,C3841-1)</f>
        <v>48000</v>
      </c>
      <c r="E3841" s="23" t="n">
        <f aca="false">IF(AND(OR(Nonlabor!$D$25="Both",Nonlabor!$D$25='Start Here'!$B$9),IF(Nonlabor!$E$25="Core",1,IF(Nonlabor!$E$25="AI",'Start Here'!$B$7,'Start Here'!$B$8))=1,C3841&gt;=IF(Nonlabor!$E$25="Core",Nonlabor!$F$25,MAX(Nonlabor!$F$25,IF(Nonlabor!$E$25="AI",Assumptions!$E$24,Assumptions!$E$25))),C3841&lt;=Nonlabor!$G$25,OR(Nonlabor!$H$25="Monthly",AND(Nonlabor!$H$25="Once",C3841=IF(Nonlabor!$E$25="Core",Nonlabor!$F$25,MAX(Nonlabor!$F$25,IF(Nonlabor!$E$25="AI",Assumptions!$E$24,Assumptions!$E$25)))),AND(Nonlabor!$H$25="Annual",MOD(C3841-IF(Nonlabor!$E$25="Core",Nonlabor!$F$25,MAX(Nonlabor!$F$25,IF(Nonlabor!$E$25="AI",Assumptions!$E$24,Assumptions!$E$25))),12)=0))),IF(Nonlabor!$I$25="Fixed",1,IF(Nonlabor!$I$25="Seats",ROUNDUP('Monthly Growth'!I61,0),IF(Nonlabor!$I$25="Customers",'Monthly Growth'!D61,IF(Nonlabor!$I$25="NewCustomers",'Monthly Growth'!C61,IF(Nonlabor!$I$25="StorageGB",'Monthly Growth'!G61,IF(Nonlabor!$I$25="LogGB",'Monthly Growth'!H61,IF(Nonlabor!$I$25="RequestsM",'Monthly Growth'!F61,IF(Nonlabor!$I$25="InputM",'Monthly Growth'!D61*Assumptions!$E$22/1000000,IF(Nonlabor!$I$25="OutputM",'Monthly Growth'!D61*Assumptions!$E$23/1000000,0))))))))),0)</f>
        <v>0</v>
      </c>
      <c r="F3841" s="10" t="n">
        <f aca="false">Nonlabor!$J$25*(1+Assumptions!$E$9)^INT((C3841-1)/12)</f>
        <v>1.871773696</v>
      </c>
      <c r="G3841" s="10" t="n">
        <f aca="false">E3841*F3841</f>
        <v>0</v>
      </c>
      <c r="H3841" s="10" t="n">
        <f aca="false">IF(OR(Nonlabor!$L$25="Quote required",Nonlabor!$L$25="Unverified"),G3841,0)</f>
        <v>0</v>
      </c>
      <c r="I3841" s="10" t="n">
        <f aca="false">IF(Nonlabor!$E$25="Core",0,G3841)</f>
        <v>0</v>
      </c>
      <c r="J3841" s="23" t="str">
        <f aca="false">Nonlabor!$B$25</f>
        <v>AI</v>
      </c>
    </row>
    <row r="3842" customFormat="false" ht="15" hidden="false" customHeight="false" outlineLevel="0" collapsed="false">
      <c r="A3842" s="6" t="s">
        <v>73</v>
      </c>
      <c r="B3842" s="6" t="s">
        <v>432</v>
      </c>
      <c r="C3842" s="6" t="n">
        <v>57</v>
      </c>
      <c r="D3842" s="25" t="n">
        <f aca="false">EDATE('Start Here'!$B$6,C3842-1)</f>
        <v>48030</v>
      </c>
      <c r="E3842" s="23" t="n">
        <f aca="false">IF(AND(OR(Nonlabor!$D$25="Both",Nonlabor!$D$25='Start Here'!$B$9),IF(Nonlabor!$E$25="Core",1,IF(Nonlabor!$E$25="AI",'Start Here'!$B$7,'Start Here'!$B$8))=1,C3842&gt;=IF(Nonlabor!$E$25="Core",Nonlabor!$F$25,MAX(Nonlabor!$F$25,IF(Nonlabor!$E$25="AI",Assumptions!$E$24,Assumptions!$E$25))),C3842&lt;=Nonlabor!$G$25,OR(Nonlabor!$H$25="Monthly",AND(Nonlabor!$H$25="Once",C3842=IF(Nonlabor!$E$25="Core",Nonlabor!$F$25,MAX(Nonlabor!$F$25,IF(Nonlabor!$E$25="AI",Assumptions!$E$24,Assumptions!$E$25)))),AND(Nonlabor!$H$25="Annual",MOD(C3842-IF(Nonlabor!$E$25="Core",Nonlabor!$F$25,MAX(Nonlabor!$F$25,IF(Nonlabor!$E$25="AI",Assumptions!$E$24,Assumptions!$E$25))),12)=0))),IF(Nonlabor!$I$25="Fixed",1,IF(Nonlabor!$I$25="Seats",ROUNDUP('Monthly Growth'!I62,0),IF(Nonlabor!$I$25="Customers",'Monthly Growth'!D62,IF(Nonlabor!$I$25="NewCustomers",'Monthly Growth'!C62,IF(Nonlabor!$I$25="StorageGB",'Monthly Growth'!G62,IF(Nonlabor!$I$25="LogGB",'Monthly Growth'!H62,IF(Nonlabor!$I$25="RequestsM",'Monthly Growth'!F62,IF(Nonlabor!$I$25="InputM",'Monthly Growth'!D62*Assumptions!$E$22/1000000,IF(Nonlabor!$I$25="OutputM",'Monthly Growth'!D62*Assumptions!$E$23/1000000,0))))))))),0)</f>
        <v>0</v>
      </c>
      <c r="F3842" s="10" t="n">
        <f aca="false">Nonlabor!$J$25*(1+Assumptions!$E$9)^INT((C3842-1)/12)</f>
        <v>1.871773696</v>
      </c>
      <c r="G3842" s="10" t="n">
        <f aca="false">E3842*F3842</f>
        <v>0</v>
      </c>
      <c r="H3842" s="10" t="n">
        <f aca="false">IF(OR(Nonlabor!$L$25="Quote required",Nonlabor!$L$25="Unverified"),G3842,0)</f>
        <v>0</v>
      </c>
      <c r="I3842" s="10" t="n">
        <f aca="false">IF(Nonlabor!$E$25="Core",0,G3842)</f>
        <v>0</v>
      </c>
      <c r="J3842" s="23" t="str">
        <f aca="false">Nonlabor!$B$25</f>
        <v>AI</v>
      </c>
    </row>
    <row r="3843" customFormat="false" ht="15" hidden="false" customHeight="false" outlineLevel="0" collapsed="false">
      <c r="A3843" s="6" t="s">
        <v>73</v>
      </c>
      <c r="B3843" s="6" t="s">
        <v>432</v>
      </c>
      <c r="C3843" s="6" t="n">
        <v>58</v>
      </c>
      <c r="D3843" s="25" t="n">
        <f aca="false">EDATE('Start Here'!$B$6,C3843-1)</f>
        <v>48061</v>
      </c>
      <c r="E3843" s="23" t="n">
        <f aca="false">IF(AND(OR(Nonlabor!$D$25="Both",Nonlabor!$D$25='Start Here'!$B$9),IF(Nonlabor!$E$25="Core",1,IF(Nonlabor!$E$25="AI",'Start Here'!$B$7,'Start Here'!$B$8))=1,C3843&gt;=IF(Nonlabor!$E$25="Core",Nonlabor!$F$25,MAX(Nonlabor!$F$25,IF(Nonlabor!$E$25="AI",Assumptions!$E$24,Assumptions!$E$25))),C3843&lt;=Nonlabor!$G$25,OR(Nonlabor!$H$25="Monthly",AND(Nonlabor!$H$25="Once",C3843=IF(Nonlabor!$E$25="Core",Nonlabor!$F$25,MAX(Nonlabor!$F$25,IF(Nonlabor!$E$25="AI",Assumptions!$E$24,Assumptions!$E$25)))),AND(Nonlabor!$H$25="Annual",MOD(C3843-IF(Nonlabor!$E$25="Core",Nonlabor!$F$25,MAX(Nonlabor!$F$25,IF(Nonlabor!$E$25="AI",Assumptions!$E$24,Assumptions!$E$25))),12)=0))),IF(Nonlabor!$I$25="Fixed",1,IF(Nonlabor!$I$25="Seats",ROUNDUP('Monthly Growth'!I63,0),IF(Nonlabor!$I$25="Customers",'Monthly Growth'!D63,IF(Nonlabor!$I$25="NewCustomers",'Monthly Growth'!C63,IF(Nonlabor!$I$25="StorageGB",'Monthly Growth'!G63,IF(Nonlabor!$I$25="LogGB",'Monthly Growth'!H63,IF(Nonlabor!$I$25="RequestsM",'Monthly Growth'!F63,IF(Nonlabor!$I$25="InputM",'Monthly Growth'!D63*Assumptions!$E$22/1000000,IF(Nonlabor!$I$25="OutputM",'Monthly Growth'!D63*Assumptions!$E$23/1000000,0))))))))),0)</f>
        <v>0</v>
      </c>
      <c r="F3843" s="10" t="n">
        <f aca="false">Nonlabor!$J$25*(1+Assumptions!$E$9)^INT((C3843-1)/12)</f>
        <v>1.871773696</v>
      </c>
      <c r="G3843" s="10" t="n">
        <f aca="false">E3843*F3843</f>
        <v>0</v>
      </c>
      <c r="H3843" s="10" t="n">
        <f aca="false">IF(OR(Nonlabor!$L$25="Quote required",Nonlabor!$L$25="Unverified"),G3843,0)</f>
        <v>0</v>
      </c>
      <c r="I3843" s="10" t="n">
        <f aca="false">IF(Nonlabor!$E$25="Core",0,G3843)</f>
        <v>0</v>
      </c>
      <c r="J3843" s="23" t="str">
        <f aca="false">Nonlabor!$B$25</f>
        <v>AI</v>
      </c>
    </row>
    <row r="3844" customFormat="false" ht="15" hidden="false" customHeight="false" outlineLevel="0" collapsed="false">
      <c r="A3844" s="6" t="s">
        <v>73</v>
      </c>
      <c r="B3844" s="6" t="s">
        <v>432</v>
      </c>
      <c r="C3844" s="6" t="n">
        <v>59</v>
      </c>
      <c r="D3844" s="25" t="n">
        <f aca="false">EDATE('Start Here'!$B$6,C3844-1)</f>
        <v>48092</v>
      </c>
      <c r="E3844" s="23" t="n">
        <f aca="false">IF(AND(OR(Nonlabor!$D$25="Both",Nonlabor!$D$25='Start Here'!$B$9),IF(Nonlabor!$E$25="Core",1,IF(Nonlabor!$E$25="AI",'Start Here'!$B$7,'Start Here'!$B$8))=1,C3844&gt;=IF(Nonlabor!$E$25="Core",Nonlabor!$F$25,MAX(Nonlabor!$F$25,IF(Nonlabor!$E$25="AI",Assumptions!$E$24,Assumptions!$E$25))),C3844&lt;=Nonlabor!$G$25,OR(Nonlabor!$H$25="Monthly",AND(Nonlabor!$H$25="Once",C3844=IF(Nonlabor!$E$25="Core",Nonlabor!$F$25,MAX(Nonlabor!$F$25,IF(Nonlabor!$E$25="AI",Assumptions!$E$24,Assumptions!$E$25)))),AND(Nonlabor!$H$25="Annual",MOD(C3844-IF(Nonlabor!$E$25="Core",Nonlabor!$F$25,MAX(Nonlabor!$F$25,IF(Nonlabor!$E$25="AI",Assumptions!$E$24,Assumptions!$E$25))),12)=0))),IF(Nonlabor!$I$25="Fixed",1,IF(Nonlabor!$I$25="Seats",ROUNDUP('Monthly Growth'!I64,0),IF(Nonlabor!$I$25="Customers",'Monthly Growth'!D64,IF(Nonlabor!$I$25="NewCustomers",'Monthly Growth'!C64,IF(Nonlabor!$I$25="StorageGB",'Monthly Growth'!G64,IF(Nonlabor!$I$25="LogGB",'Monthly Growth'!H64,IF(Nonlabor!$I$25="RequestsM",'Monthly Growth'!F64,IF(Nonlabor!$I$25="InputM",'Monthly Growth'!D64*Assumptions!$E$22/1000000,IF(Nonlabor!$I$25="OutputM",'Monthly Growth'!D64*Assumptions!$E$23/1000000,0))))))))),0)</f>
        <v>0</v>
      </c>
      <c r="F3844" s="10" t="n">
        <f aca="false">Nonlabor!$J$25*(1+Assumptions!$E$9)^INT((C3844-1)/12)</f>
        <v>1.871773696</v>
      </c>
      <c r="G3844" s="10" t="n">
        <f aca="false">E3844*F3844</f>
        <v>0</v>
      </c>
      <c r="H3844" s="10" t="n">
        <f aca="false">IF(OR(Nonlabor!$L$25="Quote required",Nonlabor!$L$25="Unverified"),G3844,0)</f>
        <v>0</v>
      </c>
      <c r="I3844" s="10" t="n">
        <f aca="false">IF(Nonlabor!$E$25="Core",0,G3844)</f>
        <v>0</v>
      </c>
      <c r="J3844" s="23" t="str">
        <f aca="false">Nonlabor!$B$25</f>
        <v>AI</v>
      </c>
    </row>
    <row r="3845" customFormat="false" ht="15" hidden="false" customHeight="false" outlineLevel="0" collapsed="false">
      <c r="A3845" s="6" t="s">
        <v>73</v>
      </c>
      <c r="B3845" s="6" t="s">
        <v>432</v>
      </c>
      <c r="C3845" s="6" t="n">
        <v>60</v>
      </c>
      <c r="D3845" s="25" t="n">
        <f aca="false">EDATE('Start Here'!$B$6,C3845-1)</f>
        <v>48122</v>
      </c>
      <c r="E3845" s="23" t="n">
        <f aca="false">IF(AND(OR(Nonlabor!$D$25="Both",Nonlabor!$D$25='Start Here'!$B$9),IF(Nonlabor!$E$25="Core",1,IF(Nonlabor!$E$25="AI",'Start Here'!$B$7,'Start Here'!$B$8))=1,C3845&gt;=IF(Nonlabor!$E$25="Core",Nonlabor!$F$25,MAX(Nonlabor!$F$25,IF(Nonlabor!$E$25="AI",Assumptions!$E$24,Assumptions!$E$25))),C3845&lt;=Nonlabor!$G$25,OR(Nonlabor!$H$25="Monthly",AND(Nonlabor!$H$25="Once",C3845=IF(Nonlabor!$E$25="Core",Nonlabor!$F$25,MAX(Nonlabor!$F$25,IF(Nonlabor!$E$25="AI",Assumptions!$E$24,Assumptions!$E$25)))),AND(Nonlabor!$H$25="Annual",MOD(C3845-IF(Nonlabor!$E$25="Core",Nonlabor!$F$25,MAX(Nonlabor!$F$25,IF(Nonlabor!$E$25="AI",Assumptions!$E$24,Assumptions!$E$25))),12)=0))),IF(Nonlabor!$I$25="Fixed",1,IF(Nonlabor!$I$25="Seats",ROUNDUP('Monthly Growth'!I65,0),IF(Nonlabor!$I$25="Customers",'Monthly Growth'!D65,IF(Nonlabor!$I$25="NewCustomers",'Monthly Growth'!C65,IF(Nonlabor!$I$25="StorageGB",'Monthly Growth'!G65,IF(Nonlabor!$I$25="LogGB",'Monthly Growth'!H65,IF(Nonlabor!$I$25="RequestsM",'Monthly Growth'!F65,IF(Nonlabor!$I$25="InputM",'Monthly Growth'!D65*Assumptions!$E$22/1000000,IF(Nonlabor!$I$25="OutputM",'Monthly Growth'!D65*Assumptions!$E$23/1000000,0))))))))),0)</f>
        <v>0</v>
      </c>
      <c r="F3845" s="10" t="n">
        <f aca="false">Nonlabor!$J$25*(1+Assumptions!$E$9)^INT((C3845-1)/12)</f>
        <v>1.871773696</v>
      </c>
      <c r="G3845" s="10" t="n">
        <f aca="false">E3845*F3845</f>
        <v>0</v>
      </c>
      <c r="H3845" s="10" t="n">
        <f aca="false">IF(OR(Nonlabor!$L$25="Quote required",Nonlabor!$L$25="Unverified"),G3845,0)</f>
        <v>0</v>
      </c>
      <c r="I3845" s="10" t="n">
        <f aca="false">IF(Nonlabor!$E$25="Core",0,G3845)</f>
        <v>0</v>
      </c>
      <c r="J3845" s="23" t="str">
        <f aca="false">Nonlabor!$B$25</f>
        <v>AI</v>
      </c>
    </row>
    <row r="3846" customFormat="false" ht="15" hidden="false" customHeight="false" outlineLevel="0" collapsed="false">
      <c r="A3846" s="6" t="s">
        <v>73</v>
      </c>
      <c r="B3846" s="6" t="s">
        <v>436</v>
      </c>
      <c r="C3846" s="6" t="n">
        <v>1</v>
      </c>
      <c r="D3846" s="25" t="n">
        <f aca="false">EDATE('Start Here'!$B$6,C3846-1)</f>
        <v>46327</v>
      </c>
      <c r="E3846" s="23" t="n">
        <f aca="false">IF(AND(OR(Nonlabor!$D$26="Both",Nonlabor!$D$26='Start Here'!$B$9),IF(Nonlabor!$E$26="Core",1,IF(Nonlabor!$E$26="AI",'Start Here'!$B$7,'Start Here'!$B$8))=1,C3846&gt;=IF(Nonlabor!$E$26="Core",Nonlabor!$F$26,MAX(Nonlabor!$F$26,IF(Nonlabor!$E$26="AI",Assumptions!$E$24,Assumptions!$E$25))),C3846&lt;=Nonlabor!$G$26,OR(Nonlabor!$H$26="Monthly",AND(Nonlabor!$H$26="Once",C3846=IF(Nonlabor!$E$26="Core",Nonlabor!$F$26,MAX(Nonlabor!$F$26,IF(Nonlabor!$E$26="AI",Assumptions!$E$24,Assumptions!$E$25)))),AND(Nonlabor!$H$26="Annual",MOD(C3846-IF(Nonlabor!$E$26="Core",Nonlabor!$F$26,MAX(Nonlabor!$F$26,IF(Nonlabor!$E$26="AI",Assumptions!$E$24,Assumptions!$E$25))),12)=0))),IF(Nonlabor!$I$26="Fixed",1,IF(Nonlabor!$I$26="Seats",ROUNDUP('Monthly Growth'!I6,0),IF(Nonlabor!$I$26="Customers",'Monthly Growth'!D6,IF(Nonlabor!$I$26="NewCustomers",'Monthly Growth'!C6,IF(Nonlabor!$I$26="StorageGB",'Monthly Growth'!G6,IF(Nonlabor!$I$26="LogGB",'Monthly Growth'!H6,IF(Nonlabor!$I$26="RequestsM",'Monthly Growth'!F6,IF(Nonlabor!$I$26="InputM",'Monthly Growth'!D6*Assumptions!$E$22/1000000,IF(Nonlabor!$I$26="OutputM",'Monthly Growth'!D6*Assumptions!$E$23/1000000,0))))))))),0)</f>
        <v>0</v>
      </c>
      <c r="F3846" s="10" t="n">
        <f aca="false">Nonlabor!$J$26*(1+Assumptions!$E$9)^INT((C3846-1)/12)</f>
        <v>15000</v>
      </c>
      <c r="G3846" s="10" t="n">
        <f aca="false">E3846*F3846</f>
        <v>0</v>
      </c>
      <c r="H3846" s="10" t="n">
        <f aca="false">IF(OR(Nonlabor!$L$26="Quote required",Nonlabor!$L$26="Unverified"),G3846,0)</f>
        <v>0</v>
      </c>
      <c r="I3846" s="10" t="n">
        <f aca="false">IF(Nonlabor!$E$26="Core",0,G3846)</f>
        <v>0</v>
      </c>
      <c r="J3846" s="23" t="str">
        <f aca="false">Nonlabor!$B$26</f>
        <v>AI</v>
      </c>
    </row>
    <row r="3847" customFormat="false" ht="15" hidden="false" customHeight="false" outlineLevel="0" collapsed="false">
      <c r="A3847" s="6" t="s">
        <v>73</v>
      </c>
      <c r="B3847" s="6" t="s">
        <v>436</v>
      </c>
      <c r="C3847" s="6" t="n">
        <v>2</v>
      </c>
      <c r="D3847" s="25" t="n">
        <f aca="false">EDATE('Start Here'!$B$6,C3847-1)</f>
        <v>46357</v>
      </c>
      <c r="E3847" s="23" t="n">
        <f aca="false">IF(AND(OR(Nonlabor!$D$26="Both",Nonlabor!$D$26='Start Here'!$B$9),IF(Nonlabor!$E$26="Core",1,IF(Nonlabor!$E$26="AI",'Start Here'!$B$7,'Start Here'!$B$8))=1,C3847&gt;=IF(Nonlabor!$E$26="Core",Nonlabor!$F$26,MAX(Nonlabor!$F$26,IF(Nonlabor!$E$26="AI",Assumptions!$E$24,Assumptions!$E$25))),C3847&lt;=Nonlabor!$G$26,OR(Nonlabor!$H$26="Monthly",AND(Nonlabor!$H$26="Once",C3847=IF(Nonlabor!$E$26="Core",Nonlabor!$F$26,MAX(Nonlabor!$F$26,IF(Nonlabor!$E$26="AI",Assumptions!$E$24,Assumptions!$E$25)))),AND(Nonlabor!$H$26="Annual",MOD(C3847-IF(Nonlabor!$E$26="Core",Nonlabor!$F$26,MAX(Nonlabor!$F$26,IF(Nonlabor!$E$26="AI",Assumptions!$E$24,Assumptions!$E$25))),12)=0))),IF(Nonlabor!$I$26="Fixed",1,IF(Nonlabor!$I$26="Seats",ROUNDUP('Monthly Growth'!I7,0),IF(Nonlabor!$I$26="Customers",'Monthly Growth'!D7,IF(Nonlabor!$I$26="NewCustomers",'Monthly Growth'!C7,IF(Nonlabor!$I$26="StorageGB",'Monthly Growth'!G7,IF(Nonlabor!$I$26="LogGB",'Monthly Growth'!H7,IF(Nonlabor!$I$26="RequestsM",'Monthly Growth'!F7,IF(Nonlabor!$I$26="InputM",'Monthly Growth'!D7*Assumptions!$E$22/1000000,IF(Nonlabor!$I$26="OutputM",'Monthly Growth'!D7*Assumptions!$E$23/1000000,0))))))))),0)</f>
        <v>0</v>
      </c>
      <c r="F3847" s="10" t="n">
        <f aca="false">Nonlabor!$J$26*(1+Assumptions!$E$9)^INT((C3847-1)/12)</f>
        <v>15000</v>
      </c>
      <c r="G3847" s="10" t="n">
        <f aca="false">E3847*F3847</f>
        <v>0</v>
      </c>
      <c r="H3847" s="10" t="n">
        <f aca="false">IF(OR(Nonlabor!$L$26="Quote required",Nonlabor!$L$26="Unverified"),G3847,0)</f>
        <v>0</v>
      </c>
      <c r="I3847" s="10" t="n">
        <f aca="false">IF(Nonlabor!$E$26="Core",0,G3847)</f>
        <v>0</v>
      </c>
      <c r="J3847" s="23" t="str">
        <f aca="false">Nonlabor!$B$26</f>
        <v>AI</v>
      </c>
    </row>
    <row r="3848" customFormat="false" ht="15" hidden="false" customHeight="false" outlineLevel="0" collapsed="false">
      <c r="A3848" s="6" t="s">
        <v>73</v>
      </c>
      <c r="B3848" s="6" t="s">
        <v>436</v>
      </c>
      <c r="C3848" s="6" t="n">
        <v>3</v>
      </c>
      <c r="D3848" s="25" t="n">
        <f aca="false">EDATE('Start Here'!$B$6,C3848-1)</f>
        <v>46388</v>
      </c>
      <c r="E3848" s="23" t="n">
        <f aca="false">IF(AND(OR(Nonlabor!$D$26="Both",Nonlabor!$D$26='Start Here'!$B$9),IF(Nonlabor!$E$26="Core",1,IF(Nonlabor!$E$26="AI",'Start Here'!$B$7,'Start Here'!$B$8))=1,C3848&gt;=IF(Nonlabor!$E$26="Core",Nonlabor!$F$26,MAX(Nonlabor!$F$26,IF(Nonlabor!$E$26="AI",Assumptions!$E$24,Assumptions!$E$25))),C3848&lt;=Nonlabor!$G$26,OR(Nonlabor!$H$26="Monthly",AND(Nonlabor!$H$26="Once",C3848=IF(Nonlabor!$E$26="Core",Nonlabor!$F$26,MAX(Nonlabor!$F$26,IF(Nonlabor!$E$26="AI",Assumptions!$E$24,Assumptions!$E$25)))),AND(Nonlabor!$H$26="Annual",MOD(C3848-IF(Nonlabor!$E$26="Core",Nonlabor!$F$26,MAX(Nonlabor!$F$26,IF(Nonlabor!$E$26="AI",Assumptions!$E$24,Assumptions!$E$25))),12)=0))),IF(Nonlabor!$I$26="Fixed",1,IF(Nonlabor!$I$26="Seats",ROUNDUP('Monthly Growth'!I8,0),IF(Nonlabor!$I$26="Customers",'Monthly Growth'!D8,IF(Nonlabor!$I$26="NewCustomers",'Monthly Growth'!C8,IF(Nonlabor!$I$26="StorageGB",'Monthly Growth'!G8,IF(Nonlabor!$I$26="LogGB",'Monthly Growth'!H8,IF(Nonlabor!$I$26="RequestsM",'Monthly Growth'!F8,IF(Nonlabor!$I$26="InputM",'Monthly Growth'!D8*Assumptions!$E$22/1000000,IF(Nonlabor!$I$26="OutputM",'Monthly Growth'!D8*Assumptions!$E$23/1000000,0))))))))),0)</f>
        <v>0</v>
      </c>
      <c r="F3848" s="10" t="n">
        <f aca="false">Nonlabor!$J$26*(1+Assumptions!$E$9)^INT((C3848-1)/12)</f>
        <v>15000</v>
      </c>
      <c r="G3848" s="10" t="n">
        <f aca="false">E3848*F3848</f>
        <v>0</v>
      </c>
      <c r="H3848" s="10" t="n">
        <f aca="false">IF(OR(Nonlabor!$L$26="Quote required",Nonlabor!$L$26="Unverified"),G3848,0)</f>
        <v>0</v>
      </c>
      <c r="I3848" s="10" t="n">
        <f aca="false">IF(Nonlabor!$E$26="Core",0,G3848)</f>
        <v>0</v>
      </c>
      <c r="J3848" s="23" t="str">
        <f aca="false">Nonlabor!$B$26</f>
        <v>AI</v>
      </c>
    </row>
    <row r="3849" customFormat="false" ht="15" hidden="false" customHeight="false" outlineLevel="0" collapsed="false">
      <c r="A3849" s="6" t="s">
        <v>73</v>
      </c>
      <c r="B3849" s="6" t="s">
        <v>436</v>
      </c>
      <c r="C3849" s="6" t="n">
        <v>4</v>
      </c>
      <c r="D3849" s="25" t="n">
        <f aca="false">EDATE('Start Here'!$B$6,C3849-1)</f>
        <v>46419</v>
      </c>
      <c r="E3849" s="23" t="n">
        <f aca="false">IF(AND(OR(Nonlabor!$D$26="Both",Nonlabor!$D$26='Start Here'!$B$9),IF(Nonlabor!$E$26="Core",1,IF(Nonlabor!$E$26="AI",'Start Here'!$B$7,'Start Here'!$B$8))=1,C3849&gt;=IF(Nonlabor!$E$26="Core",Nonlabor!$F$26,MAX(Nonlabor!$F$26,IF(Nonlabor!$E$26="AI",Assumptions!$E$24,Assumptions!$E$25))),C3849&lt;=Nonlabor!$G$26,OR(Nonlabor!$H$26="Monthly",AND(Nonlabor!$H$26="Once",C3849=IF(Nonlabor!$E$26="Core",Nonlabor!$F$26,MAX(Nonlabor!$F$26,IF(Nonlabor!$E$26="AI",Assumptions!$E$24,Assumptions!$E$25)))),AND(Nonlabor!$H$26="Annual",MOD(C3849-IF(Nonlabor!$E$26="Core",Nonlabor!$F$26,MAX(Nonlabor!$F$26,IF(Nonlabor!$E$26="AI",Assumptions!$E$24,Assumptions!$E$25))),12)=0))),IF(Nonlabor!$I$26="Fixed",1,IF(Nonlabor!$I$26="Seats",ROUNDUP('Monthly Growth'!I9,0),IF(Nonlabor!$I$26="Customers",'Monthly Growth'!D9,IF(Nonlabor!$I$26="NewCustomers",'Monthly Growth'!C9,IF(Nonlabor!$I$26="StorageGB",'Monthly Growth'!G9,IF(Nonlabor!$I$26="LogGB",'Monthly Growth'!H9,IF(Nonlabor!$I$26="RequestsM",'Monthly Growth'!F9,IF(Nonlabor!$I$26="InputM",'Monthly Growth'!D9*Assumptions!$E$22/1000000,IF(Nonlabor!$I$26="OutputM",'Monthly Growth'!D9*Assumptions!$E$23/1000000,0))))))))),0)</f>
        <v>0</v>
      </c>
      <c r="F3849" s="10" t="n">
        <f aca="false">Nonlabor!$J$26*(1+Assumptions!$E$9)^INT((C3849-1)/12)</f>
        <v>15000</v>
      </c>
      <c r="G3849" s="10" t="n">
        <f aca="false">E3849*F3849</f>
        <v>0</v>
      </c>
      <c r="H3849" s="10" t="n">
        <f aca="false">IF(OR(Nonlabor!$L$26="Quote required",Nonlabor!$L$26="Unverified"),G3849,0)</f>
        <v>0</v>
      </c>
      <c r="I3849" s="10" t="n">
        <f aca="false">IF(Nonlabor!$E$26="Core",0,G3849)</f>
        <v>0</v>
      </c>
      <c r="J3849" s="23" t="str">
        <f aca="false">Nonlabor!$B$26</f>
        <v>AI</v>
      </c>
    </row>
    <row r="3850" customFormat="false" ht="15" hidden="false" customHeight="false" outlineLevel="0" collapsed="false">
      <c r="A3850" s="6" t="s">
        <v>73</v>
      </c>
      <c r="B3850" s="6" t="s">
        <v>436</v>
      </c>
      <c r="C3850" s="6" t="n">
        <v>5</v>
      </c>
      <c r="D3850" s="25" t="n">
        <f aca="false">EDATE('Start Here'!$B$6,C3850-1)</f>
        <v>46447</v>
      </c>
      <c r="E3850" s="23" t="n">
        <f aca="false">IF(AND(OR(Nonlabor!$D$26="Both",Nonlabor!$D$26='Start Here'!$B$9),IF(Nonlabor!$E$26="Core",1,IF(Nonlabor!$E$26="AI",'Start Here'!$B$7,'Start Here'!$B$8))=1,C3850&gt;=IF(Nonlabor!$E$26="Core",Nonlabor!$F$26,MAX(Nonlabor!$F$26,IF(Nonlabor!$E$26="AI",Assumptions!$E$24,Assumptions!$E$25))),C3850&lt;=Nonlabor!$G$26,OR(Nonlabor!$H$26="Monthly",AND(Nonlabor!$H$26="Once",C3850=IF(Nonlabor!$E$26="Core",Nonlabor!$F$26,MAX(Nonlabor!$F$26,IF(Nonlabor!$E$26="AI",Assumptions!$E$24,Assumptions!$E$25)))),AND(Nonlabor!$H$26="Annual",MOD(C3850-IF(Nonlabor!$E$26="Core",Nonlabor!$F$26,MAX(Nonlabor!$F$26,IF(Nonlabor!$E$26="AI",Assumptions!$E$24,Assumptions!$E$25))),12)=0))),IF(Nonlabor!$I$26="Fixed",1,IF(Nonlabor!$I$26="Seats",ROUNDUP('Monthly Growth'!I10,0),IF(Nonlabor!$I$26="Customers",'Monthly Growth'!D10,IF(Nonlabor!$I$26="NewCustomers",'Monthly Growth'!C10,IF(Nonlabor!$I$26="StorageGB",'Monthly Growth'!G10,IF(Nonlabor!$I$26="LogGB",'Monthly Growth'!H10,IF(Nonlabor!$I$26="RequestsM",'Monthly Growth'!F10,IF(Nonlabor!$I$26="InputM",'Monthly Growth'!D10*Assumptions!$E$22/1000000,IF(Nonlabor!$I$26="OutputM",'Monthly Growth'!D10*Assumptions!$E$23/1000000,0))))))))),0)</f>
        <v>0</v>
      </c>
      <c r="F3850" s="10" t="n">
        <f aca="false">Nonlabor!$J$26*(1+Assumptions!$E$9)^INT((C3850-1)/12)</f>
        <v>15000</v>
      </c>
      <c r="G3850" s="10" t="n">
        <f aca="false">E3850*F3850</f>
        <v>0</v>
      </c>
      <c r="H3850" s="10" t="n">
        <f aca="false">IF(OR(Nonlabor!$L$26="Quote required",Nonlabor!$L$26="Unverified"),G3850,0)</f>
        <v>0</v>
      </c>
      <c r="I3850" s="10" t="n">
        <f aca="false">IF(Nonlabor!$E$26="Core",0,G3850)</f>
        <v>0</v>
      </c>
      <c r="J3850" s="23" t="str">
        <f aca="false">Nonlabor!$B$26</f>
        <v>AI</v>
      </c>
    </row>
    <row r="3851" customFormat="false" ht="15" hidden="false" customHeight="false" outlineLevel="0" collapsed="false">
      <c r="A3851" s="6" t="s">
        <v>73</v>
      </c>
      <c r="B3851" s="6" t="s">
        <v>436</v>
      </c>
      <c r="C3851" s="6" t="n">
        <v>6</v>
      </c>
      <c r="D3851" s="25" t="n">
        <f aca="false">EDATE('Start Here'!$B$6,C3851-1)</f>
        <v>46478</v>
      </c>
      <c r="E3851" s="23" t="n">
        <f aca="false">IF(AND(OR(Nonlabor!$D$26="Both",Nonlabor!$D$26='Start Here'!$B$9),IF(Nonlabor!$E$26="Core",1,IF(Nonlabor!$E$26="AI",'Start Here'!$B$7,'Start Here'!$B$8))=1,C3851&gt;=IF(Nonlabor!$E$26="Core",Nonlabor!$F$26,MAX(Nonlabor!$F$26,IF(Nonlabor!$E$26="AI",Assumptions!$E$24,Assumptions!$E$25))),C3851&lt;=Nonlabor!$G$26,OR(Nonlabor!$H$26="Monthly",AND(Nonlabor!$H$26="Once",C3851=IF(Nonlabor!$E$26="Core",Nonlabor!$F$26,MAX(Nonlabor!$F$26,IF(Nonlabor!$E$26="AI",Assumptions!$E$24,Assumptions!$E$25)))),AND(Nonlabor!$H$26="Annual",MOD(C3851-IF(Nonlabor!$E$26="Core",Nonlabor!$F$26,MAX(Nonlabor!$F$26,IF(Nonlabor!$E$26="AI",Assumptions!$E$24,Assumptions!$E$25))),12)=0))),IF(Nonlabor!$I$26="Fixed",1,IF(Nonlabor!$I$26="Seats",ROUNDUP('Monthly Growth'!I11,0),IF(Nonlabor!$I$26="Customers",'Monthly Growth'!D11,IF(Nonlabor!$I$26="NewCustomers",'Monthly Growth'!C11,IF(Nonlabor!$I$26="StorageGB",'Monthly Growth'!G11,IF(Nonlabor!$I$26="LogGB",'Monthly Growth'!H11,IF(Nonlabor!$I$26="RequestsM",'Monthly Growth'!F11,IF(Nonlabor!$I$26="InputM",'Monthly Growth'!D11*Assumptions!$E$22/1000000,IF(Nonlabor!$I$26="OutputM",'Monthly Growth'!D11*Assumptions!$E$23/1000000,0))))))))),0)</f>
        <v>0</v>
      </c>
      <c r="F3851" s="10" t="n">
        <f aca="false">Nonlabor!$J$26*(1+Assumptions!$E$9)^INT((C3851-1)/12)</f>
        <v>15000</v>
      </c>
      <c r="G3851" s="10" t="n">
        <f aca="false">E3851*F3851</f>
        <v>0</v>
      </c>
      <c r="H3851" s="10" t="n">
        <f aca="false">IF(OR(Nonlabor!$L$26="Quote required",Nonlabor!$L$26="Unverified"),G3851,0)</f>
        <v>0</v>
      </c>
      <c r="I3851" s="10" t="n">
        <f aca="false">IF(Nonlabor!$E$26="Core",0,G3851)</f>
        <v>0</v>
      </c>
      <c r="J3851" s="23" t="str">
        <f aca="false">Nonlabor!$B$26</f>
        <v>AI</v>
      </c>
    </row>
    <row r="3852" customFormat="false" ht="15" hidden="false" customHeight="false" outlineLevel="0" collapsed="false">
      <c r="A3852" s="6" t="s">
        <v>73</v>
      </c>
      <c r="B3852" s="6" t="s">
        <v>436</v>
      </c>
      <c r="C3852" s="6" t="n">
        <v>7</v>
      </c>
      <c r="D3852" s="25" t="n">
        <f aca="false">EDATE('Start Here'!$B$6,C3852-1)</f>
        <v>46508</v>
      </c>
      <c r="E3852" s="23" t="n">
        <f aca="false">IF(AND(OR(Nonlabor!$D$26="Both",Nonlabor!$D$26='Start Here'!$B$9),IF(Nonlabor!$E$26="Core",1,IF(Nonlabor!$E$26="AI",'Start Here'!$B$7,'Start Here'!$B$8))=1,C3852&gt;=IF(Nonlabor!$E$26="Core",Nonlabor!$F$26,MAX(Nonlabor!$F$26,IF(Nonlabor!$E$26="AI",Assumptions!$E$24,Assumptions!$E$25))),C3852&lt;=Nonlabor!$G$26,OR(Nonlabor!$H$26="Monthly",AND(Nonlabor!$H$26="Once",C3852=IF(Nonlabor!$E$26="Core",Nonlabor!$F$26,MAX(Nonlabor!$F$26,IF(Nonlabor!$E$26="AI",Assumptions!$E$24,Assumptions!$E$25)))),AND(Nonlabor!$H$26="Annual",MOD(C3852-IF(Nonlabor!$E$26="Core",Nonlabor!$F$26,MAX(Nonlabor!$F$26,IF(Nonlabor!$E$26="AI",Assumptions!$E$24,Assumptions!$E$25))),12)=0))),IF(Nonlabor!$I$26="Fixed",1,IF(Nonlabor!$I$26="Seats",ROUNDUP('Monthly Growth'!I12,0),IF(Nonlabor!$I$26="Customers",'Monthly Growth'!D12,IF(Nonlabor!$I$26="NewCustomers",'Monthly Growth'!C12,IF(Nonlabor!$I$26="StorageGB",'Monthly Growth'!G12,IF(Nonlabor!$I$26="LogGB",'Monthly Growth'!H12,IF(Nonlabor!$I$26="RequestsM",'Monthly Growth'!F12,IF(Nonlabor!$I$26="InputM",'Monthly Growth'!D12*Assumptions!$E$22/1000000,IF(Nonlabor!$I$26="OutputM",'Monthly Growth'!D12*Assumptions!$E$23/1000000,0))))))))),0)</f>
        <v>0</v>
      </c>
      <c r="F3852" s="10" t="n">
        <f aca="false">Nonlabor!$J$26*(1+Assumptions!$E$9)^INT((C3852-1)/12)</f>
        <v>15000</v>
      </c>
      <c r="G3852" s="10" t="n">
        <f aca="false">E3852*F3852</f>
        <v>0</v>
      </c>
      <c r="H3852" s="10" t="n">
        <f aca="false">IF(OR(Nonlabor!$L$26="Quote required",Nonlabor!$L$26="Unverified"),G3852,0)</f>
        <v>0</v>
      </c>
      <c r="I3852" s="10" t="n">
        <f aca="false">IF(Nonlabor!$E$26="Core",0,G3852)</f>
        <v>0</v>
      </c>
      <c r="J3852" s="23" t="str">
        <f aca="false">Nonlabor!$B$26</f>
        <v>AI</v>
      </c>
    </row>
    <row r="3853" customFormat="false" ht="15" hidden="false" customHeight="false" outlineLevel="0" collapsed="false">
      <c r="A3853" s="6" t="s">
        <v>73</v>
      </c>
      <c r="B3853" s="6" t="s">
        <v>436</v>
      </c>
      <c r="C3853" s="6" t="n">
        <v>8</v>
      </c>
      <c r="D3853" s="25" t="n">
        <f aca="false">EDATE('Start Here'!$B$6,C3853-1)</f>
        <v>46539</v>
      </c>
      <c r="E3853" s="23" t="n">
        <f aca="false">IF(AND(OR(Nonlabor!$D$26="Both",Nonlabor!$D$26='Start Here'!$B$9),IF(Nonlabor!$E$26="Core",1,IF(Nonlabor!$E$26="AI",'Start Here'!$B$7,'Start Here'!$B$8))=1,C3853&gt;=IF(Nonlabor!$E$26="Core",Nonlabor!$F$26,MAX(Nonlabor!$F$26,IF(Nonlabor!$E$26="AI",Assumptions!$E$24,Assumptions!$E$25))),C3853&lt;=Nonlabor!$G$26,OR(Nonlabor!$H$26="Monthly",AND(Nonlabor!$H$26="Once",C3853=IF(Nonlabor!$E$26="Core",Nonlabor!$F$26,MAX(Nonlabor!$F$26,IF(Nonlabor!$E$26="AI",Assumptions!$E$24,Assumptions!$E$25)))),AND(Nonlabor!$H$26="Annual",MOD(C3853-IF(Nonlabor!$E$26="Core",Nonlabor!$F$26,MAX(Nonlabor!$F$26,IF(Nonlabor!$E$26="AI",Assumptions!$E$24,Assumptions!$E$25))),12)=0))),IF(Nonlabor!$I$26="Fixed",1,IF(Nonlabor!$I$26="Seats",ROUNDUP('Monthly Growth'!I13,0),IF(Nonlabor!$I$26="Customers",'Monthly Growth'!D13,IF(Nonlabor!$I$26="NewCustomers",'Monthly Growth'!C13,IF(Nonlabor!$I$26="StorageGB",'Monthly Growth'!G13,IF(Nonlabor!$I$26="LogGB",'Monthly Growth'!H13,IF(Nonlabor!$I$26="RequestsM",'Monthly Growth'!F13,IF(Nonlabor!$I$26="InputM",'Monthly Growth'!D13*Assumptions!$E$22/1000000,IF(Nonlabor!$I$26="OutputM",'Monthly Growth'!D13*Assumptions!$E$23/1000000,0))))))))),0)</f>
        <v>0</v>
      </c>
      <c r="F3853" s="10" t="n">
        <f aca="false">Nonlabor!$J$26*(1+Assumptions!$E$9)^INT((C3853-1)/12)</f>
        <v>15000</v>
      </c>
      <c r="G3853" s="10" t="n">
        <f aca="false">E3853*F3853</f>
        <v>0</v>
      </c>
      <c r="H3853" s="10" t="n">
        <f aca="false">IF(OR(Nonlabor!$L$26="Quote required",Nonlabor!$L$26="Unverified"),G3853,0)</f>
        <v>0</v>
      </c>
      <c r="I3853" s="10" t="n">
        <f aca="false">IF(Nonlabor!$E$26="Core",0,G3853)</f>
        <v>0</v>
      </c>
      <c r="J3853" s="23" t="str">
        <f aca="false">Nonlabor!$B$26</f>
        <v>AI</v>
      </c>
    </row>
    <row r="3854" customFormat="false" ht="15" hidden="false" customHeight="false" outlineLevel="0" collapsed="false">
      <c r="A3854" s="6" t="s">
        <v>73</v>
      </c>
      <c r="B3854" s="6" t="s">
        <v>436</v>
      </c>
      <c r="C3854" s="6" t="n">
        <v>9</v>
      </c>
      <c r="D3854" s="25" t="n">
        <f aca="false">EDATE('Start Here'!$B$6,C3854-1)</f>
        <v>46569</v>
      </c>
      <c r="E3854" s="23" t="n">
        <f aca="false">IF(AND(OR(Nonlabor!$D$26="Both",Nonlabor!$D$26='Start Here'!$B$9),IF(Nonlabor!$E$26="Core",1,IF(Nonlabor!$E$26="AI",'Start Here'!$B$7,'Start Here'!$B$8))=1,C3854&gt;=IF(Nonlabor!$E$26="Core",Nonlabor!$F$26,MAX(Nonlabor!$F$26,IF(Nonlabor!$E$26="AI",Assumptions!$E$24,Assumptions!$E$25))),C3854&lt;=Nonlabor!$G$26,OR(Nonlabor!$H$26="Monthly",AND(Nonlabor!$H$26="Once",C3854=IF(Nonlabor!$E$26="Core",Nonlabor!$F$26,MAX(Nonlabor!$F$26,IF(Nonlabor!$E$26="AI",Assumptions!$E$24,Assumptions!$E$25)))),AND(Nonlabor!$H$26="Annual",MOD(C3854-IF(Nonlabor!$E$26="Core",Nonlabor!$F$26,MAX(Nonlabor!$F$26,IF(Nonlabor!$E$26="AI",Assumptions!$E$24,Assumptions!$E$25))),12)=0))),IF(Nonlabor!$I$26="Fixed",1,IF(Nonlabor!$I$26="Seats",ROUNDUP('Monthly Growth'!I14,0),IF(Nonlabor!$I$26="Customers",'Monthly Growth'!D14,IF(Nonlabor!$I$26="NewCustomers",'Monthly Growth'!C14,IF(Nonlabor!$I$26="StorageGB",'Monthly Growth'!G14,IF(Nonlabor!$I$26="LogGB",'Monthly Growth'!H14,IF(Nonlabor!$I$26="RequestsM",'Monthly Growth'!F14,IF(Nonlabor!$I$26="InputM",'Monthly Growth'!D14*Assumptions!$E$22/1000000,IF(Nonlabor!$I$26="OutputM",'Monthly Growth'!D14*Assumptions!$E$23/1000000,0))))))))),0)</f>
        <v>0</v>
      </c>
      <c r="F3854" s="10" t="n">
        <f aca="false">Nonlabor!$J$26*(1+Assumptions!$E$9)^INT((C3854-1)/12)</f>
        <v>15000</v>
      </c>
      <c r="G3854" s="10" t="n">
        <f aca="false">E3854*F3854</f>
        <v>0</v>
      </c>
      <c r="H3854" s="10" t="n">
        <f aca="false">IF(OR(Nonlabor!$L$26="Quote required",Nonlabor!$L$26="Unverified"),G3854,0)</f>
        <v>0</v>
      </c>
      <c r="I3854" s="10" t="n">
        <f aca="false">IF(Nonlabor!$E$26="Core",0,G3854)</f>
        <v>0</v>
      </c>
      <c r="J3854" s="23" t="str">
        <f aca="false">Nonlabor!$B$26</f>
        <v>AI</v>
      </c>
    </row>
    <row r="3855" customFormat="false" ht="15" hidden="false" customHeight="false" outlineLevel="0" collapsed="false">
      <c r="A3855" s="6" t="s">
        <v>73</v>
      </c>
      <c r="B3855" s="6" t="s">
        <v>436</v>
      </c>
      <c r="C3855" s="6" t="n">
        <v>10</v>
      </c>
      <c r="D3855" s="25" t="n">
        <f aca="false">EDATE('Start Here'!$B$6,C3855-1)</f>
        <v>46600</v>
      </c>
      <c r="E3855" s="23" t="n">
        <f aca="false">IF(AND(OR(Nonlabor!$D$26="Both",Nonlabor!$D$26='Start Here'!$B$9),IF(Nonlabor!$E$26="Core",1,IF(Nonlabor!$E$26="AI",'Start Here'!$B$7,'Start Here'!$B$8))=1,C3855&gt;=IF(Nonlabor!$E$26="Core",Nonlabor!$F$26,MAX(Nonlabor!$F$26,IF(Nonlabor!$E$26="AI",Assumptions!$E$24,Assumptions!$E$25))),C3855&lt;=Nonlabor!$G$26,OR(Nonlabor!$H$26="Monthly",AND(Nonlabor!$H$26="Once",C3855=IF(Nonlabor!$E$26="Core",Nonlabor!$F$26,MAX(Nonlabor!$F$26,IF(Nonlabor!$E$26="AI",Assumptions!$E$24,Assumptions!$E$25)))),AND(Nonlabor!$H$26="Annual",MOD(C3855-IF(Nonlabor!$E$26="Core",Nonlabor!$F$26,MAX(Nonlabor!$F$26,IF(Nonlabor!$E$26="AI",Assumptions!$E$24,Assumptions!$E$25))),12)=0))),IF(Nonlabor!$I$26="Fixed",1,IF(Nonlabor!$I$26="Seats",ROUNDUP('Monthly Growth'!I15,0),IF(Nonlabor!$I$26="Customers",'Monthly Growth'!D15,IF(Nonlabor!$I$26="NewCustomers",'Monthly Growth'!C15,IF(Nonlabor!$I$26="StorageGB",'Monthly Growth'!G15,IF(Nonlabor!$I$26="LogGB",'Monthly Growth'!H15,IF(Nonlabor!$I$26="RequestsM",'Monthly Growth'!F15,IF(Nonlabor!$I$26="InputM",'Monthly Growth'!D15*Assumptions!$E$22/1000000,IF(Nonlabor!$I$26="OutputM",'Monthly Growth'!D15*Assumptions!$E$23/1000000,0))))))))),0)</f>
        <v>0</v>
      </c>
      <c r="F3855" s="10" t="n">
        <f aca="false">Nonlabor!$J$26*(1+Assumptions!$E$9)^INT((C3855-1)/12)</f>
        <v>15000</v>
      </c>
      <c r="G3855" s="10" t="n">
        <f aca="false">E3855*F3855</f>
        <v>0</v>
      </c>
      <c r="H3855" s="10" t="n">
        <f aca="false">IF(OR(Nonlabor!$L$26="Quote required",Nonlabor!$L$26="Unverified"),G3855,0)</f>
        <v>0</v>
      </c>
      <c r="I3855" s="10" t="n">
        <f aca="false">IF(Nonlabor!$E$26="Core",0,G3855)</f>
        <v>0</v>
      </c>
      <c r="J3855" s="23" t="str">
        <f aca="false">Nonlabor!$B$26</f>
        <v>AI</v>
      </c>
    </row>
    <row r="3856" customFormat="false" ht="15" hidden="false" customHeight="false" outlineLevel="0" collapsed="false">
      <c r="A3856" s="6" t="s">
        <v>73</v>
      </c>
      <c r="B3856" s="6" t="s">
        <v>436</v>
      </c>
      <c r="C3856" s="6" t="n">
        <v>11</v>
      </c>
      <c r="D3856" s="25" t="n">
        <f aca="false">EDATE('Start Here'!$B$6,C3856-1)</f>
        <v>46631</v>
      </c>
      <c r="E3856" s="23" t="n">
        <f aca="false">IF(AND(OR(Nonlabor!$D$26="Both",Nonlabor!$D$26='Start Here'!$B$9),IF(Nonlabor!$E$26="Core",1,IF(Nonlabor!$E$26="AI",'Start Here'!$B$7,'Start Here'!$B$8))=1,C3856&gt;=IF(Nonlabor!$E$26="Core",Nonlabor!$F$26,MAX(Nonlabor!$F$26,IF(Nonlabor!$E$26="AI",Assumptions!$E$24,Assumptions!$E$25))),C3856&lt;=Nonlabor!$G$26,OR(Nonlabor!$H$26="Monthly",AND(Nonlabor!$H$26="Once",C3856=IF(Nonlabor!$E$26="Core",Nonlabor!$F$26,MAX(Nonlabor!$F$26,IF(Nonlabor!$E$26="AI",Assumptions!$E$24,Assumptions!$E$25)))),AND(Nonlabor!$H$26="Annual",MOD(C3856-IF(Nonlabor!$E$26="Core",Nonlabor!$F$26,MAX(Nonlabor!$F$26,IF(Nonlabor!$E$26="AI",Assumptions!$E$24,Assumptions!$E$25))),12)=0))),IF(Nonlabor!$I$26="Fixed",1,IF(Nonlabor!$I$26="Seats",ROUNDUP('Monthly Growth'!I16,0),IF(Nonlabor!$I$26="Customers",'Monthly Growth'!D16,IF(Nonlabor!$I$26="NewCustomers",'Monthly Growth'!C16,IF(Nonlabor!$I$26="StorageGB",'Monthly Growth'!G16,IF(Nonlabor!$I$26="LogGB",'Monthly Growth'!H16,IF(Nonlabor!$I$26="RequestsM",'Monthly Growth'!F16,IF(Nonlabor!$I$26="InputM",'Monthly Growth'!D16*Assumptions!$E$22/1000000,IF(Nonlabor!$I$26="OutputM",'Monthly Growth'!D16*Assumptions!$E$23/1000000,0))))))))),0)</f>
        <v>0</v>
      </c>
      <c r="F3856" s="10" t="n">
        <f aca="false">Nonlabor!$J$26*(1+Assumptions!$E$9)^INT((C3856-1)/12)</f>
        <v>15000</v>
      </c>
      <c r="G3856" s="10" t="n">
        <f aca="false">E3856*F3856</f>
        <v>0</v>
      </c>
      <c r="H3856" s="10" t="n">
        <f aca="false">IF(OR(Nonlabor!$L$26="Quote required",Nonlabor!$L$26="Unverified"),G3856,0)</f>
        <v>0</v>
      </c>
      <c r="I3856" s="10" t="n">
        <f aca="false">IF(Nonlabor!$E$26="Core",0,G3856)</f>
        <v>0</v>
      </c>
      <c r="J3856" s="23" t="str">
        <f aca="false">Nonlabor!$B$26</f>
        <v>AI</v>
      </c>
    </row>
    <row r="3857" customFormat="false" ht="15" hidden="false" customHeight="false" outlineLevel="0" collapsed="false">
      <c r="A3857" s="6" t="s">
        <v>73</v>
      </c>
      <c r="B3857" s="6" t="s">
        <v>436</v>
      </c>
      <c r="C3857" s="6" t="n">
        <v>12</v>
      </c>
      <c r="D3857" s="25" t="n">
        <f aca="false">EDATE('Start Here'!$B$6,C3857-1)</f>
        <v>46661</v>
      </c>
      <c r="E3857" s="23" t="n">
        <f aca="false">IF(AND(OR(Nonlabor!$D$26="Both",Nonlabor!$D$26='Start Here'!$B$9),IF(Nonlabor!$E$26="Core",1,IF(Nonlabor!$E$26="AI",'Start Here'!$B$7,'Start Here'!$B$8))=1,C3857&gt;=IF(Nonlabor!$E$26="Core",Nonlabor!$F$26,MAX(Nonlabor!$F$26,IF(Nonlabor!$E$26="AI",Assumptions!$E$24,Assumptions!$E$25))),C3857&lt;=Nonlabor!$G$26,OR(Nonlabor!$H$26="Monthly",AND(Nonlabor!$H$26="Once",C3857=IF(Nonlabor!$E$26="Core",Nonlabor!$F$26,MAX(Nonlabor!$F$26,IF(Nonlabor!$E$26="AI",Assumptions!$E$24,Assumptions!$E$25)))),AND(Nonlabor!$H$26="Annual",MOD(C3857-IF(Nonlabor!$E$26="Core",Nonlabor!$F$26,MAX(Nonlabor!$F$26,IF(Nonlabor!$E$26="AI",Assumptions!$E$24,Assumptions!$E$25))),12)=0))),IF(Nonlabor!$I$26="Fixed",1,IF(Nonlabor!$I$26="Seats",ROUNDUP('Monthly Growth'!I17,0),IF(Nonlabor!$I$26="Customers",'Monthly Growth'!D17,IF(Nonlabor!$I$26="NewCustomers",'Monthly Growth'!C17,IF(Nonlabor!$I$26="StorageGB",'Monthly Growth'!G17,IF(Nonlabor!$I$26="LogGB",'Monthly Growth'!H17,IF(Nonlabor!$I$26="RequestsM",'Monthly Growth'!F17,IF(Nonlabor!$I$26="InputM",'Monthly Growth'!D17*Assumptions!$E$22/1000000,IF(Nonlabor!$I$26="OutputM",'Monthly Growth'!D17*Assumptions!$E$23/1000000,0))))))))),0)</f>
        <v>0</v>
      </c>
      <c r="F3857" s="10" t="n">
        <f aca="false">Nonlabor!$J$26*(1+Assumptions!$E$9)^INT((C3857-1)/12)</f>
        <v>15000</v>
      </c>
      <c r="G3857" s="10" t="n">
        <f aca="false">E3857*F3857</f>
        <v>0</v>
      </c>
      <c r="H3857" s="10" t="n">
        <f aca="false">IF(OR(Nonlabor!$L$26="Quote required",Nonlabor!$L$26="Unverified"),G3857,0)</f>
        <v>0</v>
      </c>
      <c r="I3857" s="10" t="n">
        <f aca="false">IF(Nonlabor!$E$26="Core",0,G3857)</f>
        <v>0</v>
      </c>
      <c r="J3857" s="23" t="str">
        <f aca="false">Nonlabor!$B$26</f>
        <v>AI</v>
      </c>
    </row>
    <row r="3858" customFormat="false" ht="15" hidden="false" customHeight="false" outlineLevel="0" collapsed="false">
      <c r="A3858" s="6" t="s">
        <v>73</v>
      </c>
      <c r="B3858" s="6" t="s">
        <v>436</v>
      </c>
      <c r="C3858" s="6" t="n">
        <v>13</v>
      </c>
      <c r="D3858" s="25" t="n">
        <f aca="false">EDATE('Start Here'!$B$6,C3858-1)</f>
        <v>46692</v>
      </c>
      <c r="E3858" s="23" t="n">
        <f aca="false">IF(AND(OR(Nonlabor!$D$26="Both",Nonlabor!$D$26='Start Here'!$B$9),IF(Nonlabor!$E$26="Core",1,IF(Nonlabor!$E$26="AI",'Start Here'!$B$7,'Start Here'!$B$8))=1,C3858&gt;=IF(Nonlabor!$E$26="Core",Nonlabor!$F$26,MAX(Nonlabor!$F$26,IF(Nonlabor!$E$26="AI",Assumptions!$E$24,Assumptions!$E$25))),C3858&lt;=Nonlabor!$G$26,OR(Nonlabor!$H$26="Monthly",AND(Nonlabor!$H$26="Once",C3858=IF(Nonlabor!$E$26="Core",Nonlabor!$F$26,MAX(Nonlabor!$F$26,IF(Nonlabor!$E$26="AI",Assumptions!$E$24,Assumptions!$E$25)))),AND(Nonlabor!$H$26="Annual",MOD(C3858-IF(Nonlabor!$E$26="Core",Nonlabor!$F$26,MAX(Nonlabor!$F$26,IF(Nonlabor!$E$26="AI",Assumptions!$E$24,Assumptions!$E$25))),12)=0))),IF(Nonlabor!$I$26="Fixed",1,IF(Nonlabor!$I$26="Seats",ROUNDUP('Monthly Growth'!I18,0),IF(Nonlabor!$I$26="Customers",'Monthly Growth'!D18,IF(Nonlabor!$I$26="NewCustomers",'Monthly Growth'!C18,IF(Nonlabor!$I$26="StorageGB",'Monthly Growth'!G18,IF(Nonlabor!$I$26="LogGB",'Monthly Growth'!H18,IF(Nonlabor!$I$26="RequestsM",'Monthly Growth'!F18,IF(Nonlabor!$I$26="InputM",'Monthly Growth'!D18*Assumptions!$E$22/1000000,IF(Nonlabor!$I$26="OutputM",'Monthly Growth'!D18*Assumptions!$E$23/1000000,0))))))))),0)</f>
        <v>0</v>
      </c>
      <c r="F3858" s="10" t="n">
        <f aca="false">Nonlabor!$J$26*(1+Assumptions!$E$9)^INT((C3858-1)/12)</f>
        <v>15600</v>
      </c>
      <c r="G3858" s="10" t="n">
        <f aca="false">E3858*F3858</f>
        <v>0</v>
      </c>
      <c r="H3858" s="10" t="n">
        <f aca="false">IF(OR(Nonlabor!$L$26="Quote required",Nonlabor!$L$26="Unverified"),G3858,0)</f>
        <v>0</v>
      </c>
      <c r="I3858" s="10" t="n">
        <f aca="false">IF(Nonlabor!$E$26="Core",0,G3858)</f>
        <v>0</v>
      </c>
      <c r="J3858" s="23" t="str">
        <f aca="false">Nonlabor!$B$26</f>
        <v>AI</v>
      </c>
    </row>
    <row r="3859" customFormat="false" ht="15" hidden="false" customHeight="false" outlineLevel="0" collapsed="false">
      <c r="A3859" s="6" t="s">
        <v>73</v>
      </c>
      <c r="B3859" s="6" t="s">
        <v>436</v>
      </c>
      <c r="C3859" s="6" t="n">
        <v>14</v>
      </c>
      <c r="D3859" s="25" t="n">
        <f aca="false">EDATE('Start Here'!$B$6,C3859-1)</f>
        <v>46722</v>
      </c>
      <c r="E3859" s="23" t="n">
        <f aca="false">IF(AND(OR(Nonlabor!$D$26="Both",Nonlabor!$D$26='Start Here'!$B$9),IF(Nonlabor!$E$26="Core",1,IF(Nonlabor!$E$26="AI",'Start Here'!$B$7,'Start Here'!$B$8))=1,C3859&gt;=IF(Nonlabor!$E$26="Core",Nonlabor!$F$26,MAX(Nonlabor!$F$26,IF(Nonlabor!$E$26="AI",Assumptions!$E$24,Assumptions!$E$25))),C3859&lt;=Nonlabor!$G$26,OR(Nonlabor!$H$26="Monthly",AND(Nonlabor!$H$26="Once",C3859=IF(Nonlabor!$E$26="Core",Nonlabor!$F$26,MAX(Nonlabor!$F$26,IF(Nonlabor!$E$26="AI",Assumptions!$E$24,Assumptions!$E$25)))),AND(Nonlabor!$H$26="Annual",MOD(C3859-IF(Nonlabor!$E$26="Core",Nonlabor!$F$26,MAX(Nonlabor!$F$26,IF(Nonlabor!$E$26="AI",Assumptions!$E$24,Assumptions!$E$25))),12)=0))),IF(Nonlabor!$I$26="Fixed",1,IF(Nonlabor!$I$26="Seats",ROUNDUP('Monthly Growth'!I19,0),IF(Nonlabor!$I$26="Customers",'Monthly Growth'!D19,IF(Nonlabor!$I$26="NewCustomers",'Monthly Growth'!C19,IF(Nonlabor!$I$26="StorageGB",'Monthly Growth'!G19,IF(Nonlabor!$I$26="LogGB",'Monthly Growth'!H19,IF(Nonlabor!$I$26="RequestsM",'Monthly Growth'!F19,IF(Nonlabor!$I$26="InputM",'Monthly Growth'!D19*Assumptions!$E$22/1000000,IF(Nonlabor!$I$26="OutputM",'Monthly Growth'!D19*Assumptions!$E$23/1000000,0))))))))),0)</f>
        <v>0</v>
      </c>
      <c r="F3859" s="10" t="n">
        <f aca="false">Nonlabor!$J$26*(1+Assumptions!$E$9)^INT((C3859-1)/12)</f>
        <v>15600</v>
      </c>
      <c r="G3859" s="10" t="n">
        <f aca="false">E3859*F3859</f>
        <v>0</v>
      </c>
      <c r="H3859" s="10" t="n">
        <f aca="false">IF(OR(Nonlabor!$L$26="Quote required",Nonlabor!$L$26="Unverified"),G3859,0)</f>
        <v>0</v>
      </c>
      <c r="I3859" s="10" t="n">
        <f aca="false">IF(Nonlabor!$E$26="Core",0,G3859)</f>
        <v>0</v>
      </c>
      <c r="J3859" s="23" t="str">
        <f aca="false">Nonlabor!$B$26</f>
        <v>AI</v>
      </c>
    </row>
    <row r="3860" customFormat="false" ht="15" hidden="false" customHeight="false" outlineLevel="0" collapsed="false">
      <c r="A3860" s="6" t="s">
        <v>73</v>
      </c>
      <c r="B3860" s="6" t="s">
        <v>436</v>
      </c>
      <c r="C3860" s="6" t="n">
        <v>15</v>
      </c>
      <c r="D3860" s="25" t="n">
        <f aca="false">EDATE('Start Here'!$B$6,C3860-1)</f>
        <v>46753</v>
      </c>
      <c r="E3860" s="23" t="n">
        <f aca="false">IF(AND(OR(Nonlabor!$D$26="Both",Nonlabor!$D$26='Start Here'!$B$9),IF(Nonlabor!$E$26="Core",1,IF(Nonlabor!$E$26="AI",'Start Here'!$B$7,'Start Here'!$B$8))=1,C3860&gt;=IF(Nonlabor!$E$26="Core",Nonlabor!$F$26,MAX(Nonlabor!$F$26,IF(Nonlabor!$E$26="AI",Assumptions!$E$24,Assumptions!$E$25))),C3860&lt;=Nonlabor!$G$26,OR(Nonlabor!$H$26="Monthly",AND(Nonlabor!$H$26="Once",C3860=IF(Nonlabor!$E$26="Core",Nonlabor!$F$26,MAX(Nonlabor!$F$26,IF(Nonlabor!$E$26="AI",Assumptions!$E$24,Assumptions!$E$25)))),AND(Nonlabor!$H$26="Annual",MOD(C3860-IF(Nonlabor!$E$26="Core",Nonlabor!$F$26,MAX(Nonlabor!$F$26,IF(Nonlabor!$E$26="AI",Assumptions!$E$24,Assumptions!$E$25))),12)=0))),IF(Nonlabor!$I$26="Fixed",1,IF(Nonlabor!$I$26="Seats",ROUNDUP('Monthly Growth'!I20,0),IF(Nonlabor!$I$26="Customers",'Monthly Growth'!D20,IF(Nonlabor!$I$26="NewCustomers",'Monthly Growth'!C20,IF(Nonlabor!$I$26="StorageGB",'Monthly Growth'!G20,IF(Nonlabor!$I$26="LogGB",'Monthly Growth'!H20,IF(Nonlabor!$I$26="RequestsM",'Monthly Growth'!F20,IF(Nonlabor!$I$26="InputM",'Monthly Growth'!D20*Assumptions!$E$22/1000000,IF(Nonlabor!$I$26="OutputM",'Monthly Growth'!D20*Assumptions!$E$23/1000000,0))))))))),0)</f>
        <v>0</v>
      </c>
      <c r="F3860" s="10" t="n">
        <f aca="false">Nonlabor!$J$26*(1+Assumptions!$E$9)^INT((C3860-1)/12)</f>
        <v>15600</v>
      </c>
      <c r="G3860" s="10" t="n">
        <f aca="false">E3860*F3860</f>
        <v>0</v>
      </c>
      <c r="H3860" s="10" t="n">
        <f aca="false">IF(OR(Nonlabor!$L$26="Quote required",Nonlabor!$L$26="Unverified"),G3860,0)</f>
        <v>0</v>
      </c>
      <c r="I3860" s="10" t="n">
        <f aca="false">IF(Nonlabor!$E$26="Core",0,G3860)</f>
        <v>0</v>
      </c>
      <c r="J3860" s="23" t="str">
        <f aca="false">Nonlabor!$B$26</f>
        <v>AI</v>
      </c>
    </row>
    <row r="3861" customFormat="false" ht="15" hidden="false" customHeight="false" outlineLevel="0" collapsed="false">
      <c r="A3861" s="6" t="s">
        <v>73</v>
      </c>
      <c r="B3861" s="6" t="s">
        <v>436</v>
      </c>
      <c r="C3861" s="6" t="n">
        <v>16</v>
      </c>
      <c r="D3861" s="25" t="n">
        <f aca="false">EDATE('Start Here'!$B$6,C3861-1)</f>
        <v>46784</v>
      </c>
      <c r="E3861" s="23" t="n">
        <f aca="false">IF(AND(OR(Nonlabor!$D$26="Both",Nonlabor!$D$26='Start Here'!$B$9),IF(Nonlabor!$E$26="Core",1,IF(Nonlabor!$E$26="AI",'Start Here'!$B$7,'Start Here'!$B$8))=1,C3861&gt;=IF(Nonlabor!$E$26="Core",Nonlabor!$F$26,MAX(Nonlabor!$F$26,IF(Nonlabor!$E$26="AI",Assumptions!$E$24,Assumptions!$E$25))),C3861&lt;=Nonlabor!$G$26,OR(Nonlabor!$H$26="Monthly",AND(Nonlabor!$H$26="Once",C3861=IF(Nonlabor!$E$26="Core",Nonlabor!$F$26,MAX(Nonlabor!$F$26,IF(Nonlabor!$E$26="AI",Assumptions!$E$24,Assumptions!$E$25)))),AND(Nonlabor!$H$26="Annual",MOD(C3861-IF(Nonlabor!$E$26="Core",Nonlabor!$F$26,MAX(Nonlabor!$F$26,IF(Nonlabor!$E$26="AI",Assumptions!$E$24,Assumptions!$E$25))),12)=0))),IF(Nonlabor!$I$26="Fixed",1,IF(Nonlabor!$I$26="Seats",ROUNDUP('Monthly Growth'!I21,0),IF(Nonlabor!$I$26="Customers",'Monthly Growth'!D21,IF(Nonlabor!$I$26="NewCustomers",'Monthly Growth'!C21,IF(Nonlabor!$I$26="StorageGB",'Monthly Growth'!G21,IF(Nonlabor!$I$26="LogGB",'Monthly Growth'!H21,IF(Nonlabor!$I$26="RequestsM",'Monthly Growth'!F21,IF(Nonlabor!$I$26="InputM",'Monthly Growth'!D21*Assumptions!$E$22/1000000,IF(Nonlabor!$I$26="OutputM",'Monthly Growth'!D21*Assumptions!$E$23/1000000,0))))))))),0)</f>
        <v>0</v>
      </c>
      <c r="F3861" s="10" t="n">
        <f aca="false">Nonlabor!$J$26*(1+Assumptions!$E$9)^INT((C3861-1)/12)</f>
        <v>15600</v>
      </c>
      <c r="G3861" s="10" t="n">
        <f aca="false">E3861*F3861</f>
        <v>0</v>
      </c>
      <c r="H3861" s="10" t="n">
        <f aca="false">IF(OR(Nonlabor!$L$26="Quote required",Nonlabor!$L$26="Unverified"),G3861,0)</f>
        <v>0</v>
      </c>
      <c r="I3861" s="10" t="n">
        <f aca="false">IF(Nonlabor!$E$26="Core",0,G3861)</f>
        <v>0</v>
      </c>
      <c r="J3861" s="23" t="str">
        <f aca="false">Nonlabor!$B$26</f>
        <v>AI</v>
      </c>
    </row>
    <row r="3862" customFormat="false" ht="15" hidden="false" customHeight="false" outlineLevel="0" collapsed="false">
      <c r="A3862" s="6" t="s">
        <v>73</v>
      </c>
      <c r="B3862" s="6" t="s">
        <v>436</v>
      </c>
      <c r="C3862" s="6" t="n">
        <v>17</v>
      </c>
      <c r="D3862" s="25" t="n">
        <f aca="false">EDATE('Start Here'!$B$6,C3862-1)</f>
        <v>46813</v>
      </c>
      <c r="E3862" s="23" t="n">
        <f aca="false">IF(AND(OR(Nonlabor!$D$26="Both",Nonlabor!$D$26='Start Here'!$B$9),IF(Nonlabor!$E$26="Core",1,IF(Nonlabor!$E$26="AI",'Start Here'!$B$7,'Start Here'!$B$8))=1,C3862&gt;=IF(Nonlabor!$E$26="Core",Nonlabor!$F$26,MAX(Nonlabor!$F$26,IF(Nonlabor!$E$26="AI",Assumptions!$E$24,Assumptions!$E$25))),C3862&lt;=Nonlabor!$G$26,OR(Nonlabor!$H$26="Monthly",AND(Nonlabor!$H$26="Once",C3862=IF(Nonlabor!$E$26="Core",Nonlabor!$F$26,MAX(Nonlabor!$F$26,IF(Nonlabor!$E$26="AI",Assumptions!$E$24,Assumptions!$E$25)))),AND(Nonlabor!$H$26="Annual",MOD(C3862-IF(Nonlabor!$E$26="Core",Nonlabor!$F$26,MAX(Nonlabor!$F$26,IF(Nonlabor!$E$26="AI",Assumptions!$E$24,Assumptions!$E$25))),12)=0))),IF(Nonlabor!$I$26="Fixed",1,IF(Nonlabor!$I$26="Seats",ROUNDUP('Monthly Growth'!I22,0),IF(Nonlabor!$I$26="Customers",'Monthly Growth'!D22,IF(Nonlabor!$I$26="NewCustomers",'Monthly Growth'!C22,IF(Nonlabor!$I$26="StorageGB",'Monthly Growth'!G22,IF(Nonlabor!$I$26="LogGB",'Monthly Growth'!H22,IF(Nonlabor!$I$26="RequestsM",'Monthly Growth'!F22,IF(Nonlabor!$I$26="InputM",'Monthly Growth'!D22*Assumptions!$E$22/1000000,IF(Nonlabor!$I$26="OutputM",'Monthly Growth'!D22*Assumptions!$E$23/1000000,0))))))))),0)</f>
        <v>0</v>
      </c>
      <c r="F3862" s="10" t="n">
        <f aca="false">Nonlabor!$J$26*(1+Assumptions!$E$9)^INT((C3862-1)/12)</f>
        <v>15600</v>
      </c>
      <c r="G3862" s="10" t="n">
        <f aca="false">E3862*F3862</f>
        <v>0</v>
      </c>
      <c r="H3862" s="10" t="n">
        <f aca="false">IF(OR(Nonlabor!$L$26="Quote required",Nonlabor!$L$26="Unverified"),G3862,0)</f>
        <v>0</v>
      </c>
      <c r="I3862" s="10" t="n">
        <f aca="false">IF(Nonlabor!$E$26="Core",0,G3862)</f>
        <v>0</v>
      </c>
      <c r="J3862" s="23" t="str">
        <f aca="false">Nonlabor!$B$26</f>
        <v>AI</v>
      </c>
    </row>
    <row r="3863" customFormat="false" ht="15" hidden="false" customHeight="false" outlineLevel="0" collapsed="false">
      <c r="A3863" s="6" t="s">
        <v>73</v>
      </c>
      <c r="B3863" s="6" t="s">
        <v>436</v>
      </c>
      <c r="C3863" s="6" t="n">
        <v>18</v>
      </c>
      <c r="D3863" s="25" t="n">
        <f aca="false">EDATE('Start Here'!$B$6,C3863-1)</f>
        <v>46844</v>
      </c>
      <c r="E3863" s="23" t="n">
        <f aca="false">IF(AND(OR(Nonlabor!$D$26="Both",Nonlabor!$D$26='Start Here'!$B$9),IF(Nonlabor!$E$26="Core",1,IF(Nonlabor!$E$26="AI",'Start Here'!$B$7,'Start Here'!$B$8))=1,C3863&gt;=IF(Nonlabor!$E$26="Core",Nonlabor!$F$26,MAX(Nonlabor!$F$26,IF(Nonlabor!$E$26="AI",Assumptions!$E$24,Assumptions!$E$25))),C3863&lt;=Nonlabor!$G$26,OR(Nonlabor!$H$26="Monthly",AND(Nonlabor!$H$26="Once",C3863=IF(Nonlabor!$E$26="Core",Nonlabor!$F$26,MAX(Nonlabor!$F$26,IF(Nonlabor!$E$26="AI",Assumptions!$E$24,Assumptions!$E$25)))),AND(Nonlabor!$H$26="Annual",MOD(C3863-IF(Nonlabor!$E$26="Core",Nonlabor!$F$26,MAX(Nonlabor!$F$26,IF(Nonlabor!$E$26="AI",Assumptions!$E$24,Assumptions!$E$25))),12)=0))),IF(Nonlabor!$I$26="Fixed",1,IF(Nonlabor!$I$26="Seats",ROUNDUP('Monthly Growth'!I23,0),IF(Nonlabor!$I$26="Customers",'Monthly Growth'!D23,IF(Nonlabor!$I$26="NewCustomers",'Monthly Growth'!C23,IF(Nonlabor!$I$26="StorageGB",'Monthly Growth'!G23,IF(Nonlabor!$I$26="LogGB",'Monthly Growth'!H23,IF(Nonlabor!$I$26="RequestsM",'Monthly Growth'!F23,IF(Nonlabor!$I$26="InputM",'Monthly Growth'!D23*Assumptions!$E$22/1000000,IF(Nonlabor!$I$26="OutputM",'Monthly Growth'!D23*Assumptions!$E$23/1000000,0))))))))),0)</f>
        <v>0</v>
      </c>
      <c r="F3863" s="10" t="n">
        <f aca="false">Nonlabor!$J$26*(1+Assumptions!$E$9)^INT((C3863-1)/12)</f>
        <v>15600</v>
      </c>
      <c r="G3863" s="10" t="n">
        <f aca="false">E3863*F3863</f>
        <v>0</v>
      </c>
      <c r="H3863" s="10" t="n">
        <f aca="false">IF(OR(Nonlabor!$L$26="Quote required",Nonlabor!$L$26="Unverified"),G3863,0)</f>
        <v>0</v>
      </c>
      <c r="I3863" s="10" t="n">
        <f aca="false">IF(Nonlabor!$E$26="Core",0,G3863)</f>
        <v>0</v>
      </c>
      <c r="J3863" s="23" t="str">
        <f aca="false">Nonlabor!$B$26</f>
        <v>AI</v>
      </c>
    </row>
    <row r="3864" customFormat="false" ht="15" hidden="false" customHeight="false" outlineLevel="0" collapsed="false">
      <c r="A3864" s="6" t="s">
        <v>73</v>
      </c>
      <c r="B3864" s="6" t="s">
        <v>436</v>
      </c>
      <c r="C3864" s="6" t="n">
        <v>19</v>
      </c>
      <c r="D3864" s="25" t="n">
        <f aca="false">EDATE('Start Here'!$B$6,C3864-1)</f>
        <v>46874</v>
      </c>
      <c r="E3864" s="23" t="n">
        <f aca="false">IF(AND(OR(Nonlabor!$D$26="Both",Nonlabor!$D$26='Start Here'!$B$9),IF(Nonlabor!$E$26="Core",1,IF(Nonlabor!$E$26="AI",'Start Here'!$B$7,'Start Here'!$B$8))=1,C3864&gt;=IF(Nonlabor!$E$26="Core",Nonlabor!$F$26,MAX(Nonlabor!$F$26,IF(Nonlabor!$E$26="AI",Assumptions!$E$24,Assumptions!$E$25))),C3864&lt;=Nonlabor!$G$26,OR(Nonlabor!$H$26="Monthly",AND(Nonlabor!$H$26="Once",C3864=IF(Nonlabor!$E$26="Core",Nonlabor!$F$26,MAX(Nonlabor!$F$26,IF(Nonlabor!$E$26="AI",Assumptions!$E$24,Assumptions!$E$25)))),AND(Nonlabor!$H$26="Annual",MOD(C3864-IF(Nonlabor!$E$26="Core",Nonlabor!$F$26,MAX(Nonlabor!$F$26,IF(Nonlabor!$E$26="AI",Assumptions!$E$24,Assumptions!$E$25))),12)=0))),IF(Nonlabor!$I$26="Fixed",1,IF(Nonlabor!$I$26="Seats",ROUNDUP('Monthly Growth'!I24,0),IF(Nonlabor!$I$26="Customers",'Monthly Growth'!D24,IF(Nonlabor!$I$26="NewCustomers",'Monthly Growth'!C24,IF(Nonlabor!$I$26="StorageGB",'Monthly Growth'!G24,IF(Nonlabor!$I$26="LogGB",'Monthly Growth'!H24,IF(Nonlabor!$I$26="RequestsM",'Monthly Growth'!F24,IF(Nonlabor!$I$26="InputM",'Monthly Growth'!D24*Assumptions!$E$22/1000000,IF(Nonlabor!$I$26="OutputM",'Monthly Growth'!D24*Assumptions!$E$23/1000000,0))))))))),0)</f>
        <v>0</v>
      </c>
      <c r="F3864" s="10" t="n">
        <f aca="false">Nonlabor!$J$26*(1+Assumptions!$E$9)^INT((C3864-1)/12)</f>
        <v>15600</v>
      </c>
      <c r="G3864" s="10" t="n">
        <f aca="false">E3864*F3864</f>
        <v>0</v>
      </c>
      <c r="H3864" s="10" t="n">
        <f aca="false">IF(OR(Nonlabor!$L$26="Quote required",Nonlabor!$L$26="Unverified"),G3864,0)</f>
        <v>0</v>
      </c>
      <c r="I3864" s="10" t="n">
        <f aca="false">IF(Nonlabor!$E$26="Core",0,G3864)</f>
        <v>0</v>
      </c>
      <c r="J3864" s="23" t="str">
        <f aca="false">Nonlabor!$B$26</f>
        <v>AI</v>
      </c>
    </row>
    <row r="3865" customFormat="false" ht="15" hidden="false" customHeight="false" outlineLevel="0" collapsed="false">
      <c r="A3865" s="6" t="s">
        <v>73</v>
      </c>
      <c r="B3865" s="6" t="s">
        <v>436</v>
      </c>
      <c r="C3865" s="6" t="n">
        <v>20</v>
      </c>
      <c r="D3865" s="25" t="n">
        <f aca="false">EDATE('Start Here'!$B$6,C3865-1)</f>
        <v>46905</v>
      </c>
      <c r="E3865" s="23" t="n">
        <f aca="false">IF(AND(OR(Nonlabor!$D$26="Both",Nonlabor!$D$26='Start Here'!$B$9),IF(Nonlabor!$E$26="Core",1,IF(Nonlabor!$E$26="AI",'Start Here'!$B$7,'Start Here'!$B$8))=1,C3865&gt;=IF(Nonlabor!$E$26="Core",Nonlabor!$F$26,MAX(Nonlabor!$F$26,IF(Nonlabor!$E$26="AI",Assumptions!$E$24,Assumptions!$E$25))),C3865&lt;=Nonlabor!$G$26,OR(Nonlabor!$H$26="Monthly",AND(Nonlabor!$H$26="Once",C3865=IF(Nonlabor!$E$26="Core",Nonlabor!$F$26,MAX(Nonlabor!$F$26,IF(Nonlabor!$E$26="AI",Assumptions!$E$24,Assumptions!$E$25)))),AND(Nonlabor!$H$26="Annual",MOD(C3865-IF(Nonlabor!$E$26="Core",Nonlabor!$F$26,MAX(Nonlabor!$F$26,IF(Nonlabor!$E$26="AI",Assumptions!$E$24,Assumptions!$E$25))),12)=0))),IF(Nonlabor!$I$26="Fixed",1,IF(Nonlabor!$I$26="Seats",ROUNDUP('Monthly Growth'!I25,0),IF(Nonlabor!$I$26="Customers",'Monthly Growth'!D25,IF(Nonlabor!$I$26="NewCustomers",'Monthly Growth'!C25,IF(Nonlabor!$I$26="StorageGB",'Monthly Growth'!G25,IF(Nonlabor!$I$26="LogGB",'Monthly Growth'!H25,IF(Nonlabor!$I$26="RequestsM",'Monthly Growth'!F25,IF(Nonlabor!$I$26="InputM",'Monthly Growth'!D25*Assumptions!$E$22/1000000,IF(Nonlabor!$I$26="OutputM",'Monthly Growth'!D25*Assumptions!$E$23/1000000,0))))))))),0)</f>
        <v>0</v>
      </c>
      <c r="F3865" s="10" t="n">
        <f aca="false">Nonlabor!$J$26*(1+Assumptions!$E$9)^INT((C3865-1)/12)</f>
        <v>15600</v>
      </c>
      <c r="G3865" s="10" t="n">
        <f aca="false">E3865*F3865</f>
        <v>0</v>
      </c>
      <c r="H3865" s="10" t="n">
        <f aca="false">IF(OR(Nonlabor!$L$26="Quote required",Nonlabor!$L$26="Unverified"),G3865,0)</f>
        <v>0</v>
      </c>
      <c r="I3865" s="10" t="n">
        <f aca="false">IF(Nonlabor!$E$26="Core",0,G3865)</f>
        <v>0</v>
      </c>
      <c r="J3865" s="23" t="str">
        <f aca="false">Nonlabor!$B$26</f>
        <v>AI</v>
      </c>
    </row>
    <row r="3866" customFormat="false" ht="15" hidden="false" customHeight="false" outlineLevel="0" collapsed="false">
      <c r="A3866" s="6" t="s">
        <v>73</v>
      </c>
      <c r="B3866" s="6" t="s">
        <v>436</v>
      </c>
      <c r="C3866" s="6" t="n">
        <v>21</v>
      </c>
      <c r="D3866" s="25" t="n">
        <f aca="false">EDATE('Start Here'!$B$6,C3866-1)</f>
        <v>46935</v>
      </c>
      <c r="E3866" s="23" t="n">
        <f aca="false">IF(AND(OR(Nonlabor!$D$26="Both",Nonlabor!$D$26='Start Here'!$B$9),IF(Nonlabor!$E$26="Core",1,IF(Nonlabor!$E$26="AI",'Start Here'!$B$7,'Start Here'!$B$8))=1,C3866&gt;=IF(Nonlabor!$E$26="Core",Nonlabor!$F$26,MAX(Nonlabor!$F$26,IF(Nonlabor!$E$26="AI",Assumptions!$E$24,Assumptions!$E$25))),C3866&lt;=Nonlabor!$G$26,OR(Nonlabor!$H$26="Monthly",AND(Nonlabor!$H$26="Once",C3866=IF(Nonlabor!$E$26="Core",Nonlabor!$F$26,MAX(Nonlabor!$F$26,IF(Nonlabor!$E$26="AI",Assumptions!$E$24,Assumptions!$E$25)))),AND(Nonlabor!$H$26="Annual",MOD(C3866-IF(Nonlabor!$E$26="Core",Nonlabor!$F$26,MAX(Nonlabor!$F$26,IF(Nonlabor!$E$26="AI",Assumptions!$E$24,Assumptions!$E$25))),12)=0))),IF(Nonlabor!$I$26="Fixed",1,IF(Nonlabor!$I$26="Seats",ROUNDUP('Monthly Growth'!I26,0),IF(Nonlabor!$I$26="Customers",'Monthly Growth'!D26,IF(Nonlabor!$I$26="NewCustomers",'Monthly Growth'!C26,IF(Nonlabor!$I$26="StorageGB",'Monthly Growth'!G26,IF(Nonlabor!$I$26="LogGB",'Monthly Growth'!H26,IF(Nonlabor!$I$26="RequestsM",'Monthly Growth'!F26,IF(Nonlabor!$I$26="InputM",'Monthly Growth'!D26*Assumptions!$E$22/1000000,IF(Nonlabor!$I$26="OutputM",'Monthly Growth'!D26*Assumptions!$E$23/1000000,0))))))))),0)</f>
        <v>0</v>
      </c>
      <c r="F3866" s="10" t="n">
        <f aca="false">Nonlabor!$J$26*(1+Assumptions!$E$9)^INT((C3866-1)/12)</f>
        <v>15600</v>
      </c>
      <c r="G3866" s="10" t="n">
        <f aca="false">E3866*F3866</f>
        <v>0</v>
      </c>
      <c r="H3866" s="10" t="n">
        <f aca="false">IF(OR(Nonlabor!$L$26="Quote required",Nonlabor!$L$26="Unverified"),G3866,0)</f>
        <v>0</v>
      </c>
      <c r="I3866" s="10" t="n">
        <f aca="false">IF(Nonlabor!$E$26="Core",0,G3866)</f>
        <v>0</v>
      </c>
      <c r="J3866" s="23" t="str">
        <f aca="false">Nonlabor!$B$26</f>
        <v>AI</v>
      </c>
    </row>
    <row r="3867" customFormat="false" ht="15" hidden="false" customHeight="false" outlineLevel="0" collapsed="false">
      <c r="A3867" s="6" t="s">
        <v>73</v>
      </c>
      <c r="B3867" s="6" t="s">
        <v>436</v>
      </c>
      <c r="C3867" s="6" t="n">
        <v>22</v>
      </c>
      <c r="D3867" s="25" t="n">
        <f aca="false">EDATE('Start Here'!$B$6,C3867-1)</f>
        <v>46966</v>
      </c>
      <c r="E3867" s="23" t="n">
        <f aca="false">IF(AND(OR(Nonlabor!$D$26="Both",Nonlabor!$D$26='Start Here'!$B$9),IF(Nonlabor!$E$26="Core",1,IF(Nonlabor!$E$26="AI",'Start Here'!$B$7,'Start Here'!$B$8))=1,C3867&gt;=IF(Nonlabor!$E$26="Core",Nonlabor!$F$26,MAX(Nonlabor!$F$26,IF(Nonlabor!$E$26="AI",Assumptions!$E$24,Assumptions!$E$25))),C3867&lt;=Nonlabor!$G$26,OR(Nonlabor!$H$26="Monthly",AND(Nonlabor!$H$26="Once",C3867=IF(Nonlabor!$E$26="Core",Nonlabor!$F$26,MAX(Nonlabor!$F$26,IF(Nonlabor!$E$26="AI",Assumptions!$E$24,Assumptions!$E$25)))),AND(Nonlabor!$H$26="Annual",MOD(C3867-IF(Nonlabor!$E$26="Core",Nonlabor!$F$26,MAX(Nonlabor!$F$26,IF(Nonlabor!$E$26="AI",Assumptions!$E$24,Assumptions!$E$25))),12)=0))),IF(Nonlabor!$I$26="Fixed",1,IF(Nonlabor!$I$26="Seats",ROUNDUP('Monthly Growth'!I27,0),IF(Nonlabor!$I$26="Customers",'Monthly Growth'!D27,IF(Nonlabor!$I$26="NewCustomers",'Monthly Growth'!C27,IF(Nonlabor!$I$26="StorageGB",'Monthly Growth'!G27,IF(Nonlabor!$I$26="LogGB",'Monthly Growth'!H27,IF(Nonlabor!$I$26="RequestsM",'Monthly Growth'!F27,IF(Nonlabor!$I$26="InputM",'Monthly Growth'!D27*Assumptions!$E$22/1000000,IF(Nonlabor!$I$26="OutputM",'Monthly Growth'!D27*Assumptions!$E$23/1000000,0))))))))),0)</f>
        <v>0</v>
      </c>
      <c r="F3867" s="10" t="n">
        <f aca="false">Nonlabor!$J$26*(1+Assumptions!$E$9)^INT((C3867-1)/12)</f>
        <v>15600</v>
      </c>
      <c r="G3867" s="10" t="n">
        <f aca="false">E3867*F3867</f>
        <v>0</v>
      </c>
      <c r="H3867" s="10" t="n">
        <f aca="false">IF(OR(Nonlabor!$L$26="Quote required",Nonlabor!$L$26="Unverified"),G3867,0)</f>
        <v>0</v>
      </c>
      <c r="I3867" s="10" t="n">
        <f aca="false">IF(Nonlabor!$E$26="Core",0,G3867)</f>
        <v>0</v>
      </c>
      <c r="J3867" s="23" t="str">
        <f aca="false">Nonlabor!$B$26</f>
        <v>AI</v>
      </c>
    </row>
    <row r="3868" customFormat="false" ht="15" hidden="false" customHeight="false" outlineLevel="0" collapsed="false">
      <c r="A3868" s="6" t="s">
        <v>73</v>
      </c>
      <c r="B3868" s="6" t="s">
        <v>436</v>
      </c>
      <c r="C3868" s="6" t="n">
        <v>23</v>
      </c>
      <c r="D3868" s="25" t="n">
        <f aca="false">EDATE('Start Here'!$B$6,C3868-1)</f>
        <v>46997</v>
      </c>
      <c r="E3868" s="23" t="n">
        <f aca="false">IF(AND(OR(Nonlabor!$D$26="Both",Nonlabor!$D$26='Start Here'!$B$9),IF(Nonlabor!$E$26="Core",1,IF(Nonlabor!$E$26="AI",'Start Here'!$B$7,'Start Here'!$B$8))=1,C3868&gt;=IF(Nonlabor!$E$26="Core",Nonlabor!$F$26,MAX(Nonlabor!$F$26,IF(Nonlabor!$E$26="AI",Assumptions!$E$24,Assumptions!$E$25))),C3868&lt;=Nonlabor!$G$26,OR(Nonlabor!$H$26="Monthly",AND(Nonlabor!$H$26="Once",C3868=IF(Nonlabor!$E$26="Core",Nonlabor!$F$26,MAX(Nonlabor!$F$26,IF(Nonlabor!$E$26="AI",Assumptions!$E$24,Assumptions!$E$25)))),AND(Nonlabor!$H$26="Annual",MOD(C3868-IF(Nonlabor!$E$26="Core",Nonlabor!$F$26,MAX(Nonlabor!$F$26,IF(Nonlabor!$E$26="AI",Assumptions!$E$24,Assumptions!$E$25))),12)=0))),IF(Nonlabor!$I$26="Fixed",1,IF(Nonlabor!$I$26="Seats",ROUNDUP('Monthly Growth'!I28,0),IF(Nonlabor!$I$26="Customers",'Monthly Growth'!D28,IF(Nonlabor!$I$26="NewCustomers",'Monthly Growth'!C28,IF(Nonlabor!$I$26="StorageGB",'Monthly Growth'!G28,IF(Nonlabor!$I$26="LogGB",'Monthly Growth'!H28,IF(Nonlabor!$I$26="RequestsM",'Monthly Growth'!F28,IF(Nonlabor!$I$26="InputM",'Monthly Growth'!D28*Assumptions!$E$22/1000000,IF(Nonlabor!$I$26="OutputM",'Monthly Growth'!D28*Assumptions!$E$23/1000000,0))))))))),0)</f>
        <v>0</v>
      </c>
      <c r="F3868" s="10" t="n">
        <f aca="false">Nonlabor!$J$26*(1+Assumptions!$E$9)^INT((C3868-1)/12)</f>
        <v>15600</v>
      </c>
      <c r="G3868" s="10" t="n">
        <f aca="false">E3868*F3868</f>
        <v>0</v>
      </c>
      <c r="H3868" s="10" t="n">
        <f aca="false">IF(OR(Nonlabor!$L$26="Quote required",Nonlabor!$L$26="Unverified"),G3868,0)</f>
        <v>0</v>
      </c>
      <c r="I3868" s="10" t="n">
        <f aca="false">IF(Nonlabor!$E$26="Core",0,G3868)</f>
        <v>0</v>
      </c>
      <c r="J3868" s="23" t="str">
        <f aca="false">Nonlabor!$B$26</f>
        <v>AI</v>
      </c>
    </row>
    <row r="3869" customFormat="false" ht="15" hidden="false" customHeight="false" outlineLevel="0" collapsed="false">
      <c r="A3869" s="6" t="s">
        <v>73</v>
      </c>
      <c r="B3869" s="6" t="s">
        <v>436</v>
      </c>
      <c r="C3869" s="6" t="n">
        <v>24</v>
      </c>
      <c r="D3869" s="25" t="n">
        <f aca="false">EDATE('Start Here'!$B$6,C3869-1)</f>
        <v>47027</v>
      </c>
      <c r="E3869" s="23" t="n">
        <f aca="false">IF(AND(OR(Nonlabor!$D$26="Both",Nonlabor!$D$26='Start Here'!$B$9),IF(Nonlabor!$E$26="Core",1,IF(Nonlabor!$E$26="AI",'Start Here'!$B$7,'Start Here'!$B$8))=1,C3869&gt;=IF(Nonlabor!$E$26="Core",Nonlabor!$F$26,MAX(Nonlabor!$F$26,IF(Nonlabor!$E$26="AI",Assumptions!$E$24,Assumptions!$E$25))),C3869&lt;=Nonlabor!$G$26,OR(Nonlabor!$H$26="Monthly",AND(Nonlabor!$H$26="Once",C3869=IF(Nonlabor!$E$26="Core",Nonlabor!$F$26,MAX(Nonlabor!$F$26,IF(Nonlabor!$E$26="AI",Assumptions!$E$24,Assumptions!$E$25)))),AND(Nonlabor!$H$26="Annual",MOD(C3869-IF(Nonlabor!$E$26="Core",Nonlabor!$F$26,MAX(Nonlabor!$F$26,IF(Nonlabor!$E$26="AI",Assumptions!$E$24,Assumptions!$E$25))),12)=0))),IF(Nonlabor!$I$26="Fixed",1,IF(Nonlabor!$I$26="Seats",ROUNDUP('Monthly Growth'!I29,0),IF(Nonlabor!$I$26="Customers",'Monthly Growth'!D29,IF(Nonlabor!$I$26="NewCustomers",'Monthly Growth'!C29,IF(Nonlabor!$I$26="StorageGB",'Monthly Growth'!G29,IF(Nonlabor!$I$26="LogGB",'Monthly Growth'!H29,IF(Nonlabor!$I$26="RequestsM",'Monthly Growth'!F29,IF(Nonlabor!$I$26="InputM",'Monthly Growth'!D29*Assumptions!$E$22/1000000,IF(Nonlabor!$I$26="OutputM",'Monthly Growth'!D29*Assumptions!$E$23/1000000,0))))))))),0)</f>
        <v>0</v>
      </c>
      <c r="F3869" s="10" t="n">
        <f aca="false">Nonlabor!$J$26*(1+Assumptions!$E$9)^INT((C3869-1)/12)</f>
        <v>15600</v>
      </c>
      <c r="G3869" s="10" t="n">
        <f aca="false">E3869*F3869</f>
        <v>0</v>
      </c>
      <c r="H3869" s="10" t="n">
        <f aca="false">IF(OR(Nonlabor!$L$26="Quote required",Nonlabor!$L$26="Unverified"),G3869,0)</f>
        <v>0</v>
      </c>
      <c r="I3869" s="10" t="n">
        <f aca="false">IF(Nonlabor!$E$26="Core",0,G3869)</f>
        <v>0</v>
      </c>
      <c r="J3869" s="23" t="str">
        <f aca="false">Nonlabor!$B$26</f>
        <v>AI</v>
      </c>
    </row>
    <row r="3870" customFormat="false" ht="15" hidden="false" customHeight="false" outlineLevel="0" collapsed="false">
      <c r="A3870" s="6" t="s">
        <v>73</v>
      </c>
      <c r="B3870" s="6" t="s">
        <v>436</v>
      </c>
      <c r="C3870" s="6" t="n">
        <v>25</v>
      </c>
      <c r="D3870" s="25" t="n">
        <f aca="false">EDATE('Start Here'!$B$6,C3870-1)</f>
        <v>47058</v>
      </c>
      <c r="E3870" s="23" t="n">
        <f aca="false">IF(AND(OR(Nonlabor!$D$26="Both",Nonlabor!$D$26='Start Here'!$B$9),IF(Nonlabor!$E$26="Core",1,IF(Nonlabor!$E$26="AI",'Start Here'!$B$7,'Start Here'!$B$8))=1,C3870&gt;=IF(Nonlabor!$E$26="Core",Nonlabor!$F$26,MAX(Nonlabor!$F$26,IF(Nonlabor!$E$26="AI",Assumptions!$E$24,Assumptions!$E$25))),C3870&lt;=Nonlabor!$G$26,OR(Nonlabor!$H$26="Monthly",AND(Nonlabor!$H$26="Once",C3870=IF(Nonlabor!$E$26="Core",Nonlabor!$F$26,MAX(Nonlabor!$F$26,IF(Nonlabor!$E$26="AI",Assumptions!$E$24,Assumptions!$E$25)))),AND(Nonlabor!$H$26="Annual",MOD(C3870-IF(Nonlabor!$E$26="Core",Nonlabor!$F$26,MAX(Nonlabor!$F$26,IF(Nonlabor!$E$26="AI",Assumptions!$E$24,Assumptions!$E$25))),12)=0))),IF(Nonlabor!$I$26="Fixed",1,IF(Nonlabor!$I$26="Seats",ROUNDUP('Monthly Growth'!I30,0),IF(Nonlabor!$I$26="Customers",'Monthly Growth'!D30,IF(Nonlabor!$I$26="NewCustomers",'Monthly Growth'!C30,IF(Nonlabor!$I$26="StorageGB",'Monthly Growth'!G30,IF(Nonlabor!$I$26="LogGB",'Monthly Growth'!H30,IF(Nonlabor!$I$26="RequestsM",'Monthly Growth'!F30,IF(Nonlabor!$I$26="InputM",'Monthly Growth'!D30*Assumptions!$E$22/1000000,IF(Nonlabor!$I$26="OutputM",'Monthly Growth'!D30*Assumptions!$E$23/1000000,0))))))))),0)</f>
        <v>0</v>
      </c>
      <c r="F3870" s="10" t="n">
        <f aca="false">Nonlabor!$J$26*(1+Assumptions!$E$9)^INT((C3870-1)/12)</f>
        <v>16224</v>
      </c>
      <c r="G3870" s="10" t="n">
        <f aca="false">E3870*F3870</f>
        <v>0</v>
      </c>
      <c r="H3870" s="10" t="n">
        <f aca="false">IF(OR(Nonlabor!$L$26="Quote required",Nonlabor!$L$26="Unverified"),G3870,0)</f>
        <v>0</v>
      </c>
      <c r="I3870" s="10" t="n">
        <f aca="false">IF(Nonlabor!$E$26="Core",0,G3870)</f>
        <v>0</v>
      </c>
      <c r="J3870" s="23" t="str">
        <f aca="false">Nonlabor!$B$26</f>
        <v>AI</v>
      </c>
    </row>
    <row r="3871" customFormat="false" ht="15" hidden="false" customHeight="false" outlineLevel="0" collapsed="false">
      <c r="A3871" s="6" t="s">
        <v>73</v>
      </c>
      <c r="B3871" s="6" t="s">
        <v>436</v>
      </c>
      <c r="C3871" s="6" t="n">
        <v>26</v>
      </c>
      <c r="D3871" s="25" t="n">
        <f aca="false">EDATE('Start Here'!$B$6,C3871-1)</f>
        <v>47088</v>
      </c>
      <c r="E3871" s="23" t="n">
        <f aca="false">IF(AND(OR(Nonlabor!$D$26="Both",Nonlabor!$D$26='Start Here'!$B$9),IF(Nonlabor!$E$26="Core",1,IF(Nonlabor!$E$26="AI",'Start Here'!$B$7,'Start Here'!$B$8))=1,C3871&gt;=IF(Nonlabor!$E$26="Core",Nonlabor!$F$26,MAX(Nonlabor!$F$26,IF(Nonlabor!$E$26="AI",Assumptions!$E$24,Assumptions!$E$25))),C3871&lt;=Nonlabor!$G$26,OR(Nonlabor!$H$26="Monthly",AND(Nonlabor!$H$26="Once",C3871=IF(Nonlabor!$E$26="Core",Nonlabor!$F$26,MAX(Nonlabor!$F$26,IF(Nonlabor!$E$26="AI",Assumptions!$E$24,Assumptions!$E$25)))),AND(Nonlabor!$H$26="Annual",MOD(C3871-IF(Nonlabor!$E$26="Core",Nonlabor!$F$26,MAX(Nonlabor!$F$26,IF(Nonlabor!$E$26="AI",Assumptions!$E$24,Assumptions!$E$25))),12)=0))),IF(Nonlabor!$I$26="Fixed",1,IF(Nonlabor!$I$26="Seats",ROUNDUP('Monthly Growth'!I31,0),IF(Nonlabor!$I$26="Customers",'Monthly Growth'!D31,IF(Nonlabor!$I$26="NewCustomers",'Monthly Growth'!C31,IF(Nonlabor!$I$26="StorageGB",'Monthly Growth'!G31,IF(Nonlabor!$I$26="LogGB",'Monthly Growth'!H31,IF(Nonlabor!$I$26="RequestsM",'Monthly Growth'!F31,IF(Nonlabor!$I$26="InputM",'Monthly Growth'!D31*Assumptions!$E$22/1000000,IF(Nonlabor!$I$26="OutputM",'Monthly Growth'!D31*Assumptions!$E$23/1000000,0))))))))),0)</f>
        <v>0</v>
      </c>
      <c r="F3871" s="10" t="n">
        <f aca="false">Nonlabor!$J$26*(1+Assumptions!$E$9)^INT((C3871-1)/12)</f>
        <v>16224</v>
      </c>
      <c r="G3871" s="10" t="n">
        <f aca="false">E3871*F3871</f>
        <v>0</v>
      </c>
      <c r="H3871" s="10" t="n">
        <f aca="false">IF(OR(Nonlabor!$L$26="Quote required",Nonlabor!$L$26="Unverified"),G3871,0)</f>
        <v>0</v>
      </c>
      <c r="I3871" s="10" t="n">
        <f aca="false">IF(Nonlabor!$E$26="Core",0,G3871)</f>
        <v>0</v>
      </c>
      <c r="J3871" s="23" t="str">
        <f aca="false">Nonlabor!$B$26</f>
        <v>AI</v>
      </c>
    </row>
    <row r="3872" customFormat="false" ht="15" hidden="false" customHeight="false" outlineLevel="0" collapsed="false">
      <c r="A3872" s="6" t="s">
        <v>73</v>
      </c>
      <c r="B3872" s="6" t="s">
        <v>436</v>
      </c>
      <c r="C3872" s="6" t="n">
        <v>27</v>
      </c>
      <c r="D3872" s="25" t="n">
        <f aca="false">EDATE('Start Here'!$B$6,C3872-1)</f>
        <v>47119</v>
      </c>
      <c r="E3872" s="23" t="n">
        <f aca="false">IF(AND(OR(Nonlabor!$D$26="Both",Nonlabor!$D$26='Start Here'!$B$9),IF(Nonlabor!$E$26="Core",1,IF(Nonlabor!$E$26="AI",'Start Here'!$B$7,'Start Here'!$B$8))=1,C3872&gt;=IF(Nonlabor!$E$26="Core",Nonlabor!$F$26,MAX(Nonlabor!$F$26,IF(Nonlabor!$E$26="AI",Assumptions!$E$24,Assumptions!$E$25))),C3872&lt;=Nonlabor!$G$26,OR(Nonlabor!$H$26="Monthly",AND(Nonlabor!$H$26="Once",C3872=IF(Nonlabor!$E$26="Core",Nonlabor!$F$26,MAX(Nonlabor!$F$26,IF(Nonlabor!$E$26="AI",Assumptions!$E$24,Assumptions!$E$25)))),AND(Nonlabor!$H$26="Annual",MOD(C3872-IF(Nonlabor!$E$26="Core",Nonlabor!$F$26,MAX(Nonlabor!$F$26,IF(Nonlabor!$E$26="AI",Assumptions!$E$24,Assumptions!$E$25))),12)=0))),IF(Nonlabor!$I$26="Fixed",1,IF(Nonlabor!$I$26="Seats",ROUNDUP('Monthly Growth'!I32,0),IF(Nonlabor!$I$26="Customers",'Monthly Growth'!D32,IF(Nonlabor!$I$26="NewCustomers",'Monthly Growth'!C32,IF(Nonlabor!$I$26="StorageGB",'Monthly Growth'!G32,IF(Nonlabor!$I$26="LogGB",'Monthly Growth'!H32,IF(Nonlabor!$I$26="RequestsM",'Monthly Growth'!F32,IF(Nonlabor!$I$26="InputM",'Monthly Growth'!D32*Assumptions!$E$22/1000000,IF(Nonlabor!$I$26="OutputM",'Monthly Growth'!D32*Assumptions!$E$23/1000000,0))))))))),0)</f>
        <v>0</v>
      </c>
      <c r="F3872" s="10" t="n">
        <f aca="false">Nonlabor!$J$26*(1+Assumptions!$E$9)^INT((C3872-1)/12)</f>
        <v>16224</v>
      </c>
      <c r="G3872" s="10" t="n">
        <f aca="false">E3872*F3872</f>
        <v>0</v>
      </c>
      <c r="H3872" s="10" t="n">
        <f aca="false">IF(OR(Nonlabor!$L$26="Quote required",Nonlabor!$L$26="Unverified"),G3872,0)</f>
        <v>0</v>
      </c>
      <c r="I3872" s="10" t="n">
        <f aca="false">IF(Nonlabor!$E$26="Core",0,G3872)</f>
        <v>0</v>
      </c>
      <c r="J3872" s="23" t="str">
        <f aca="false">Nonlabor!$B$26</f>
        <v>AI</v>
      </c>
    </row>
    <row r="3873" customFormat="false" ht="15" hidden="false" customHeight="false" outlineLevel="0" collapsed="false">
      <c r="A3873" s="6" t="s">
        <v>73</v>
      </c>
      <c r="B3873" s="6" t="s">
        <v>436</v>
      </c>
      <c r="C3873" s="6" t="n">
        <v>28</v>
      </c>
      <c r="D3873" s="25" t="n">
        <f aca="false">EDATE('Start Here'!$B$6,C3873-1)</f>
        <v>47150</v>
      </c>
      <c r="E3873" s="23" t="n">
        <f aca="false">IF(AND(OR(Nonlabor!$D$26="Both",Nonlabor!$D$26='Start Here'!$B$9),IF(Nonlabor!$E$26="Core",1,IF(Nonlabor!$E$26="AI",'Start Here'!$B$7,'Start Here'!$B$8))=1,C3873&gt;=IF(Nonlabor!$E$26="Core",Nonlabor!$F$26,MAX(Nonlabor!$F$26,IF(Nonlabor!$E$26="AI",Assumptions!$E$24,Assumptions!$E$25))),C3873&lt;=Nonlabor!$G$26,OR(Nonlabor!$H$26="Monthly",AND(Nonlabor!$H$26="Once",C3873=IF(Nonlabor!$E$26="Core",Nonlabor!$F$26,MAX(Nonlabor!$F$26,IF(Nonlabor!$E$26="AI",Assumptions!$E$24,Assumptions!$E$25)))),AND(Nonlabor!$H$26="Annual",MOD(C3873-IF(Nonlabor!$E$26="Core",Nonlabor!$F$26,MAX(Nonlabor!$F$26,IF(Nonlabor!$E$26="AI",Assumptions!$E$24,Assumptions!$E$25))),12)=0))),IF(Nonlabor!$I$26="Fixed",1,IF(Nonlabor!$I$26="Seats",ROUNDUP('Monthly Growth'!I33,0),IF(Nonlabor!$I$26="Customers",'Monthly Growth'!D33,IF(Nonlabor!$I$26="NewCustomers",'Monthly Growth'!C33,IF(Nonlabor!$I$26="StorageGB",'Monthly Growth'!G33,IF(Nonlabor!$I$26="LogGB",'Monthly Growth'!H33,IF(Nonlabor!$I$26="RequestsM",'Monthly Growth'!F33,IF(Nonlabor!$I$26="InputM",'Monthly Growth'!D33*Assumptions!$E$22/1000000,IF(Nonlabor!$I$26="OutputM",'Monthly Growth'!D33*Assumptions!$E$23/1000000,0))))))))),0)</f>
        <v>0</v>
      </c>
      <c r="F3873" s="10" t="n">
        <f aca="false">Nonlabor!$J$26*(1+Assumptions!$E$9)^INT((C3873-1)/12)</f>
        <v>16224</v>
      </c>
      <c r="G3873" s="10" t="n">
        <f aca="false">E3873*F3873</f>
        <v>0</v>
      </c>
      <c r="H3873" s="10" t="n">
        <f aca="false">IF(OR(Nonlabor!$L$26="Quote required",Nonlabor!$L$26="Unverified"),G3873,0)</f>
        <v>0</v>
      </c>
      <c r="I3873" s="10" t="n">
        <f aca="false">IF(Nonlabor!$E$26="Core",0,G3873)</f>
        <v>0</v>
      </c>
      <c r="J3873" s="23" t="str">
        <f aca="false">Nonlabor!$B$26</f>
        <v>AI</v>
      </c>
    </row>
    <row r="3874" customFormat="false" ht="15" hidden="false" customHeight="false" outlineLevel="0" collapsed="false">
      <c r="A3874" s="6" t="s">
        <v>73</v>
      </c>
      <c r="B3874" s="6" t="s">
        <v>436</v>
      </c>
      <c r="C3874" s="6" t="n">
        <v>29</v>
      </c>
      <c r="D3874" s="25" t="n">
        <f aca="false">EDATE('Start Here'!$B$6,C3874-1)</f>
        <v>47178</v>
      </c>
      <c r="E3874" s="23" t="n">
        <f aca="false">IF(AND(OR(Nonlabor!$D$26="Both",Nonlabor!$D$26='Start Here'!$B$9),IF(Nonlabor!$E$26="Core",1,IF(Nonlabor!$E$26="AI",'Start Here'!$B$7,'Start Here'!$B$8))=1,C3874&gt;=IF(Nonlabor!$E$26="Core",Nonlabor!$F$26,MAX(Nonlabor!$F$26,IF(Nonlabor!$E$26="AI",Assumptions!$E$24,Assumptions!$E$25))),C3874&lt;=Nonlabor!$G$26,OR(Nonlabor!$H$26="Monthly",AND(Nonlabor!$H$26="Once",C3874=IF(Nonlabor!$E$26="Core",Nonlabor!$F$26,MAX(Nonlabor!$F$26,IF(Nonlabor!$E$26="AI",Assumptions!$E$24,Assumptions!$E$25)))),AND(Nonlabor!$H$26="Annual",MOD(C3874-IF(Nonlabor!$E$26="Core",Nonlabor!$F$26,MAX(Nonlabor!$F$26,IF(Nonlabor!$E$26="AI",Assumptions!$E$24,Assumptions!$E$25))),12)=0))),IF(Nonlabor!$I$26="Fixed",1,IF(Nonlabor!$I$26="Seats",ROUNDUP('Monthly Growth'!I34,0),IF(Nonlabor!$I$26="Customers",'Monthly Growth'!D34,IF(Nonlabor!$I$26="NewCustomers",'Monthly Growth'!C34,IF(Nonlabor!$I$26="StorageGB",'Monthly Growth'!G34,IF(Nonlabor!$I$26="LogGB",'Monthly Growth'!H34,IF(Nonlabor!$I$26="RequestsM",'Monthly Growth'!F34,IF(Nonlabor!$I$26="InputM",'Monthly Growth'!D34*Assumptions!$E$22/1000000,IF(Nonlabor!$I$26="OutputM",'Monthly Growth'!D34*Assumptions!$E$23/1000000,0))))))))),0)</f>
        <v>0</v>
      </c>
      <c r="F3874" s="10" t="n">
        <f aca="false">Nonlabor!$J$26*(1+Assumptions!$E$9)^INT((C3874-1)/12)</f>
        <v>16224</v>
      </c>
      <c r="G3874" s="10" t="n">
        <f aca="false">E3874*F3874</f>
        <v>0</v>
      </c>
      <c r="H3874" s="10" t="n">
        <f aca="false">IF(OR(Nonlabor!$L$26="Quote required",Nonlabor!$L$26="Unverified"),G3874,0)</f>
        <v>0</v>
      </c>
      <c r="I3874" s="10" t="n">
        <f aca="false">IF(Nonlabor!$E$26="Core",0,G3874)</f>
        <v>0</v>
      </c>
      <c r="J3874" s="23" t="str">
        <f aca="false">Nonlabor!$B$26</f>
        <v>AI</v>
      </c>
    </row>
    <row r="3875" customFormat="false" ht="15" hidden="false" customHeight="false" outlineLevel="0" collapsed="false">
      <c r="A3875" s="6" t="s">
        <v>73</v>
      </c>
      <c r="B3875" s="6" t="s">
        <v>436</v>
      </c>
      <c r="C3875" s="6" t="n">
        <v>30</v>
      </c>
      <c r="D3875" s="25" t="n">
        <f aca="false">EDATE('Start Here'!$B$6,C3875-1)</f>
        <v>47209</v>
      </c>
      <c r="E3875" s="23" t="n">
        <f aca="false">IF(AND(OR(Nonlabor!$D$26="Both",Nonlabor!$D$26='Start Here'!$B$9),IF(Nonlabor!$E$26="Core",1,IF(Nonlabor!$E$26="AI",'Start Here'!$B$7,'Start Here'!$B$8))=1,C3875&gt;=IF(Nonlabor!$E$26="Core",Nonlabor!$F$26,MAX(Nonlabor!$F$26,IF(Nonlabor!$E$26="AI",Assumptions!$E$24,Assumptions!$E$25))),C3875&lt;=Nonlabor!$G$26,OR(Nonlabor!$H$26="Monthly",AND(Nonlabor!$H$26="Once",C3875=IF(Nonlabor!$E$26="Core",Nonlabor!$F$26,MAX(Nonlabor!$F$26,IF(Nonlabor!$E$26="AI",Assumptions!$E$24,Assumptions!$E$25)))),AND(Nonlabor!$H$26="Annual",MOD(C3875-IF(Nonlabor!$E$26="Core",Nonlabor!$F$26,MAX(Nonlabor!$F$26,IF(Nonlabor!$E$26="AI",Assumptions!$E$24,Assumptions!$E$25))),12)=0))),IF(Nonlabor!$I$26="Fixed",1,IF(Nonlabor!$I$26="Seats",ROUNDUP('Monthly Growth'!I35,0),IF(Nonlabor!$I$26="Customers",'Monthly Growth'!D35,IF(Nonlabor!$I$26="NewCustomers",'Monthly Growth'!C35,IF(Nonlabor!$I$26="StorageGB",'Monthly Growth'!G35,IF(Nonlabor!$I$26="LogGB",'Monthly Growth'!H35,IF(Nonlabor!$I$26="RequestsM",'Monthly Growth'!F35,IF(Nonlabor!$I$26="InputM",'Monthly Growth'!D35*Assumptions!$E$22/1000000,IF(Nonlabor!$I$26="OutputM",'Monthly Growth'!D35*Assumptions!$E$23/1000000,0))))))))),0)</f>
        <v>0</v>
      </c>
      <c r="F3875" s="10" t="n">
        <f aca="false">Nonlabor!$J$26*(1+Assumptions!$E$9)^INT((C3875-1)/12)</f>
        <v>16224</v>
      </c>
      <c r="G3875" s="10" t="n">
        <f aca="false">E3875*F3875</f>
        <v>0</v>
      </c>
      <c r="H3875" s="10" t="n">
        <f aca="false">IF(OR(Nonlabor!$L$26="Quote required",Nonlabor!$L$26="Unverified"),G3875,0)</f>
        <v>0</v>
      </c>
      <c r="I3875" s="10" t="n">
        <f aca="false">IF(Nonlabor!$E$26="Core",0,G3875)</f>
        <v>0</v>
      </c>
      <c r="J3875" s="23" t="str">
        <f aca="false">Nonlabor!$B$26</f>
        <v>AI</v>
      </c>
    </row>
    <row r="3876" customFormat="false" ht="15" hidden="false" customHeight="false" outlineLevel="0" collapsed="false">
      <c r="A3876" s="6" t="s">
        <v>73</v>
      </c>
      <c r="B3876" s="6" t="s">
        <v>436</v>
      </c>
      <c r="C3876" s="6" t="n">
        <v>31</v>
      </c>
      <c r="D3876" s="25" t="n">
        <f aca="false">EDATE('Start Here'!$B$6,C3876-1)</f>
        <v>47239</v>
      </c>
      <c r="E3876" s="23" t="n">
        <f aca="false">IF(AND(OR(Nonlabor!$D$26="Both",Nonlabor!$D$26='Start Here'!$B$9),IF(Nonlabor!$E$26="Core",1,IF(Nonlabor!$E$26="AI",'Start Here'!$B$7,'Start Here'!$B$8))=1,C3876&gt;=IF(Nonlabor!$E$26="Core",Nonlabor!$F$26,MAX(Nonlabor!$F$26,IF(Nonlabor!$E$26="AI",Assumptions!$E$24,Assumptions!$E$25))),C3876&lt;=Nonlabor!$G$26,OR(Nonlabor!$H$26="Monthly",AND(Nonlabor!$H$26="Once",C3876=IF(Nonlabor!$E$26="Core",Nonlabor!$F$26,MAX(Nonlabor!$F$26,IF(Nonlabor!$E$26="AI",Assumptions!$E$24,Assumptions!$E$25)))),AND(Nonlabor!$H$26="Annual",MOD(C3876-IF(Nonlabor!$E$26="Core",Nonlabor!$F$26,MAX(Nonlabor!$F$26,IF(Nonlabor!$E$26="AI",Assumptions!$E$24,Assumptions!$E$25))),12)=0))),IF(Nonlabor!$I$26="Fixed",1,IF(Nonlabor!$I$26="Seats",ROUNDUP('Monthly Growth'!I36,0),IF(Nonlabor!$I$26="Customers",'Monthly Growth'!D36,IF(Nonlabor!$I$26="NewCustomers",'Monthly Growth'!C36,IF(Nonlabor!$I$26="StorageGB",'Monthly Growth'!G36,IF(Nonlabor!$I$26="LogGB",'Monthly Growth'!H36,IF(Nonlabor!$I$26="RequestsM",'Monthly Growth'!F36,IF(Nonlabor!$I$26="InputM",'Monthly Growth'!D36*Assumptions!$E$22/1000000,IF(Nonlabor!$I$26="OutputM",'Monthly Growth'!D36*Assumptions!$E$23/1000000,0))))))))),0)</f>
        <v>0</v>
      </c>
      <c r="F3876" s="10" t="n">
        <f aca="false">Nonlabor!$J$26*(1+Assumptions!$E$9)^INT((C3876-1)/12)</f>
        <v>16224</v>
      </c>
      <c r="G3876" s="10" t="n">
        <f aca="false">E3876*F3876</f>
        <v>0</v>
      </c>
      <c r="H3876" s="10" t="n">
        <f aca="false">IF(OR(Nonlabor!$L$26="Quote required",Nonlabor!$L$26="Unverified"),G3876,0)</f>
        <v>0</v>
      </c>
      <c r="I3876" s="10" t="n">
        <f aca="false">IF(Nonlabor!$E$26="Core",0,G3876)</f>
        <v>0</v>
      </c>
      <c r="J3876" s="23" t="str">
        <f aca="false">Nonlabor!$B$26</f>
        <v>AI</v>
      </c>
    </row>
    <row r="3877" customFormat="false" ht="15" hidden="false" customHeight="false" outlineLevel="0" collapsed="false">
      <c r="A3877" s="6" t="s">
        <v>73</v>
      </c>
      <c r="B3877" s="6" t="s">
        <v>436</v>
      </c>
      <c r="C3877" s="6" t="n">
        <v>32</v>
      </c>
      <c r="D3877" s="25" t="n">
        <f aca="false">EDATE('Start Here'!$B$6,C3877-1)</f>
        <v>47270</v>
      </c>
      <c r="E3877" s="23" t="n">
        <f aca="false">IF(AND(OR(Nonlabor!$D$26="Both",Nonlabor!$D$26='Start Here'!$B$9),IF(Nonlabor!$E$26="Core",1,IF(Nonlabor!$E$26="AI",'Start Here'!$B$7,'Start Here'!$B$8))=1,C3877&gt;=IF(Nonlabor!$E$26="Core",Nonlabor!$F$26,MAX(Nonlabor!$F$26,IF(Nonlabor!$E$26="AI",Assumptions!$E$24,Assumptions!$E$25))),C3877&lt;=Nonlabor!$G$26,OR(Nonlabor!$H$26="Monthly",AND(Nonlabor!$H$26="Once",C3877=IF(Nonlabor!$E$26="Core",Nonlabor!$F$26,MAX(Nonlabor!$F$26,IF(Nonlabor!$E$26="AI",Assumptions!$E$24,Assumptions!$E$25)))),AND(Nonlabor!$H$26="Annual",MOD(C3877-IF(Nonlabor!$E$26="Core",Nonlabor!$F$26,MAX(Nonlabor!$F$26,IF(Nonlabor!$E$26="AI",Assumptions!$E$24,Assumptions!$E$25))),12)=0))),IF(Nonlabor!$I$26="Fixed",1,IF(Nonlabor!$I$26="Seats",ROUNDUP('Monthly Growth'!I37,0),IF(Nonlabor!$I$26="Customers",'Monthly Growth'!D37,IF(Nonlabor!$I$26="NewCustomers",'Monthly Growth'!C37,IF(Nonlabor!$I$26="StorageGB",'Monthly Growth'!G37,IF(Nonlabor!$I$26="LogGB",'Monthly Growth'!H37,IF(Nonlabor!$I$26="RequestsM",'Monthly Growth'!F37,IF(Nonlabor!$I$26="InputM",'Monthly Growth'!D37*Assumptions!$E$22/1000000,IF(Nonlabor!$I$26="OutputM",'Monthly Growth'!D37*Assumptions!$E$23/1000000,0))))))))),0)</f>
        <v>0</v>
      </c>
      <c r="F3877" s="10" t="n">
        <f aca="false">Nonlabor!$J$26*(1+Assumptions!$E$9)^INT((C3877-1)/12)</f>
        <v>16224</v>
      </c>
      <c r="G3877" s="10" t="n">
        <f aca="false">E3877*F3877</f>
        <v>0</v>
      </c>
      <c r="H3877" s="10" t="n">
        <f aca="false">IF(OR(Nonlabor!$L$26="Quote required",Nonlabor!$L$26="Unverified"),G3877,0)</f>
        <v>0</v>
      </c>
      <c r="I3877" s="10" t="n">
        <f aca="false">IF(Nonlabor!$E$26="Core",0,G3877)</f>
        <v>0</v>
      </c>
      <c r="J3877" s="23" t="str">
        <f aca="false">Nonlabor!$B$26</f>
        <v>AI</v>
      </c>
    </row>
    <row r="3878" customFormat="false" ht="15" hidden="false" customHeight="false" outlineLevel="0" collapsed="false">
      <c r="A3878" s="6" t="s">
        <v>73</v>
      </c>
      <c r="B3878" s="6" t="s">
        <v>436</v>
      </c>
      <c r="C3878" s="6" t="n">
        <v>33</v>
      </c>
      <c r="D3878" s="25" t="n">
        <f aca="false">EDATE('Start Here'!$B$6,C3878-1)</f>
        <v>47300</v>
      </c>
      <c r="E3878" s="23" t="n">
        <f aca="false">IF(AND(OR(Nonlabor!$D$26="Both",Nonlabor!$D$26='Start Here'!$B$9),IF(Nonlabor!$E$26="Core",1,IF(Nonlabor!$E$26="AI",'Start Here'!$B$7,'Start Here'!$B$8))=1,C3878&gt;=IF(Nonlabor!$E$26="Core",Nonlabor!$F$26,MAX(Nonlabor!$F$26,IF(Nonlabor!$E$26="AI",Assumptions!$E$24,Assumptions!$E$25))),C3878&lt;=Nonlabor!$G$26,OR(Nonlabor!$H$26="Monthly",AND(Nonlabor!$H$26="Once",C3878=IF(Nonlabor!$E$26="Core",Nonlabor!$F$26,MAX(Nonlabor!$F$26,IF(Nonlabor!$E$26="AI",Assumptions!$E$24,Assumptions!$E$25)))),AND(Nonlabor!$H$26="Annual",MOD(C3878-IF(Nonlabor!$E$26="Core",Nonlabor!$F$26,MAX(Nonlabor!$F$26,IF(Nonlabor!$E$26="AI",Assumptions!$E$24,Assumptions!$E$25))),12)=0))),IF(Nonlabor!$I$26="Fixed",1,IF(Nonlabor!$I$26="Seats",ROUNDUP('Monthly Growth'!I38,0),IF(Nonlabor!$I$26="Customers",'Monthly Growth'!D38,IF(Nonlabor!$I$26="NewCustomers",'Monthly Growth'!C38,IF(Nonlabor!$I$26="StorageGB",'Monthly Growth'!G38,IF(Nonlabor!$I$26="LogGB",'Monthly Growth'!H38,IF(Nonlabor!$I$26="RequestsM",'Monthly Growth'!F38,IF(Nonlabor!$I$26="InputM",'Monthly Growth'!D38*Assumptions!$E$22/1000000,IF(Nonlabor!$I$26="OutputM",'Monthly Growth'!D38*Assumptions!$E$23/1000000,0))))))))),0)</f>
        <v>0</v>
      </c>
      <c r="F3878" s="10" t="n">
        <f aca="false">Nonlabor!$J$26*(1+Assumptions!$E$9)^INT((C3878-1)/12)</f>
        <v>16224</v>
      </c>
      <c r="G3878" s="10" t="n">
        <f aca="false">E3878*F3878</f>
        <v>0</v>
      </c>
      <c r="H3878" s="10" t="n">
        <f aca="false">IF(OR(Nonlabor!$L$26="Quote required",Nonlabor!$L$26="Unverified"),G3878,0)</f>
        <v>0</v>
      </c>
      <c r="I3878" s="10" t="n">
        <f aca="false">IF(Nonlabor!$E$26="Core",0,G3878)</f>
        <v>0</v>
      </c>
      <c r="J3878" s="23" t="str">
        <f aca="false">Nonlabor!$B$26</f>
        <v>AI</v>
      </c>
    </row>
    <row r="3879" customFormat="false" ht="15" hidden="false" customHeight="false" outlineLevel="0" collapsed="false">
      <c r="A3879" s="6" t="s">
        <v>73</v>
      </c>
      <c r="B3879" s="6" t="s">
        <v>436</v>
      </c>
      <c r="C3879" s="6" t="n">
        <v>34</v>
      </c>
      <c r="D3879" s="25" t="n">
        <f aca="false">EDATE('Start Here'!$B$6,C3879-1)</f>
        <v>47331</v>
      </c>
      <c r="E3879" s="23" t="n">
        <f aca="false">IF(AND(OR(Nonlabor!$D$26="Both",Nonlabor!$D$26='Start Here'!$B$9),IF(Nonlabor!$E$26="Core",1,IF(Nonlabor!$E$26="AI",'Start Here'!$B$7,'Start Here'!$B$8))=1,C3879&gt;=IF(Nonlabor!$E$26="Core",Nonlabor!$F$26,MAX(Nonlabor!$F$26,IF(Nonlabor!$E$26="AI",Assumptions!$E$24,Assumptions!$E$25))),C3879&lt;=Nonlabor!$G$26,OR(Nonlabor!$H$26="Monthly",AND(Nonlabor!$H$26="Once",C3879=IF(Nonlabor!$E$26="Core",Nonlabor!$F$26,MAX(Nonlabor!$F$26,IF(Nonlabor!$E$26="AI",Assumptions!$E$24,Assumptions!$E$25)))),AND(Nonlabor!$H$26="Annual",MOD(C3879-IF(Nonlabor!$E$26="Core",Nonlabor!$F$26,MAX(Nonlabor!$F$26,IF(Nonlabor!$E$26="AI",Assumptions!$E$24,Assumptions!$E$25))),12)=0))),IF(Nonlabor!$I$26="Fixed",1,IF(Nonlabor!$I$26="Seats",ROUNDUP('Monthly Growth'!I39,0),IF(Nonlabor!$I$26="Customers",'Monthly Growth'!D39,IF(Nonlabor!$I$26="NewCustomers",'Monthly Growth'!C39,IF(Nonlabor!$I$26="StorageGB",'Monthly Growth'!G39,IF(Nonlabor!$I$26="LogGB",'Monthly Growth'!H39,IF(Nonlabor!$I$26="RequestsM",'Monthly Growth'!F39,IF(Nonlabor!$I$26="InputM",'Monthly Growth'!D39*Assumptions!$E$22/1000000,IF(Nonlabor!$I$26="OutputM",'Monthly Growth'!D39*Assumptions!$E$23/1000000,0))))))))),0)</f>
        <v>0</v>
      </c>
      <c r="F3879" s="10" t="n">
        <f aca="false">Nonlabor!$J$26*(1+Assumptions!$E$9)^INT((C3879-1)/12)</f>
        <v>16224</v>
      </c>
      <c r="G3879" s="10" t="n">
        <f aca="false">E3879*F3879</f>
        <v>0</v>
      </c>
      <c r="H3879" s="10" t="n">
        <f aca="false">IF(OR(Nonlabor!$L$26="Quote required",Nonlabor!$L$26="Unverified"),G3879,0)</f>
        <v>0</v>
      </c>
      <c r="I3879" s="10" t="n">
        <f aca="false">IF(Nonlabor!$E$26="Core",0,G3879)</f>
        <v>0</v>
      </c>
      <c r="J3879" s="23" t="str">
        <f aca="false">Nonlabor!$B$26</f>
        <v>AI</v>
      </c>
    </row>
    <row r="3880" customFormat="false" ht="15" hidden="false" customHeight="false" outlineLevel="0" collapsed="false">
      <c r="A3880" s="6" t="s">
        <v>73</v>
      </c>
      <c r="B3880" s="6" t="s">
        <v>436</v>
      </c>
      <c r="C3880" s="6" t="n">
        <v>35</v>
      </c>
      <c r="D3880" s="25" t="n">
        <f aca="false">EDATE('Start Here'!$B$6,C3880-1)</f>
        <v>47362</v>
      </c>
      <c r="E3880" s="23" t="n">
        <f aca="false">IF(AND(OR(Nonlabor!$D$26="Both",Nonlabor!$D$26='Start Here'!$B$9),IF(Nonlabor!$E$26="Core",1,IF(Nonlabor!$E$26="AI",'Start Here'!$B$7,'Start Here'!$B$8))=1,C3880&gt;=IF(Nonlabor!$E$26="Core",Nonlabor!$F$26,MAX(Nonlabor!$F$26,IF(Nonlabor!$E$26="AI",Assumptions!$E$24,Assumptions!$E$25))),C3880&lt;=Nonlabor!$G$26,OR(Nonlabor!$H$26="Monthly",AND(Nonlabor!$H$26="Once",C3880=IF(Nonlabor!$E$26="Core",Nonlabor!$F$26,MAX(Nonlabor!$F$26,IF(Nonlabor!$E$26="AI",Assumptions!$E$24,Assumptions!$E$25)))),AND(Nonlabor!$H$26="Annual",MOD(C3880-IF(Nonlabor!$E$26="Core",Nonlabor!$F$26,MAX(Nonlabor!$F$26,IF(Nonlabor!$E$26="AI",Assumptions!$E$24,Assumptions!$E$25))),12)=0))),IF(Nonlabor!$I$26="Fixed",1,IF(Nonlabor!$I$26="Seats",ROUNDUP('Monthly Growth'!I40,0),IF(Nonlabor!$I$26="Customers",'Monthly Growth'!D40,IF(Nonlabor!$I$26="NewCustomers",'Monthly Growth'!C40,IF(Nonlabor!$I$26="StorageGB",'Monthly Growth'!G40,IF(Nonlabor!$I$26="LogGB",'Monthly Growth'!H40,IF(Nonlabor!$I$26="RequestsM",'Monthly Growth'!F40,IF(Nonlabor!$I$26="InputM",'Monthly Growth'!D40*Assumptions!$E$22/1000000,IF(Nonlabor!$I$26="OutputM",'Monthly Growth'!D40*Assumptions!$E$23/1000000,0))))))))),0)</f>
        <v>0</v>
      </c>
      <c r="F3880" s="10" t="n">
        <f aca="false">Nonlabor!$J$26*(1+Assumptions!$E$9)^INT((C3880-1)/12)</f>
        <v>16224</v>
      </c>
      <c r="G3880" s="10" t="n">
        <f aca="false">E3880*F3880</f>
        <v>0</v>
      </c>
      <c r="H3880" s="10" t="n">
        <f aca="false">IF(OR(Nonlabor!$L$26="Quote required",Nonlabor!$L$26="Unverified"),G3880,0)</f>
        <v>0</v>
      </c>
      <c r="I3880" s="10" t="n">
        <f aca="false">IF(Nonlabor!$E$26="Core",0,G3880)</f>
        <v>0</v>
      </c>
      <c r="J3880" s="23" t="str">
        <f aca="false">Nonlabor!$B$26</f>
        <v>AI</v>
      </c>
    </row>
    <row r="3881" customFormat="false" ht="15" hidden="false" customHeight="false" outlineLevel="0" collapsed="false">
      <c r="A3881" s="6" t="s">
        <v>73</v>
      </c>
      <c r="B3881" s="6" t="s">
        <v>436</v>
      </c>
      <c r="C3881" s="6" t="n">
        <v>36</v>
      </c>
      <c r="D3881" s="25" t="n">
        <f aca="false">EDATE('Start Here'!$B$6,C3881-1)</f>
        <v>47392</v>
      </c>
      <c r="E3881" s="23" t="n">
        <f aca="false">IF(AND(OR(Nonlabor!$D$26="Both",Nonlabor!$D$26='Start Here'!$B$9),IF(Nonlabor!$E$26="Core",1,IF(Nonlabor!$E$26="AI",'Start Here'!$B$7,'Start Here'!$B$8))=1,C3881&gt;=IF(Nonlabor!$E$26="Core",Nonlabor!$F$26,MAX(Nonlabor!$F$26,IF(Nonlabor!$E$26="AI",Assumptions!$E$24,Assumptions!$E$25))),C3881&lt;=Nonlabor!$G$26,OR(Nonlabor!$H$26="Monthly",AND(Nonlabor!$H$26="Once",C3881=IF(Nonlabor!$E$26="Core",Nonlabor!$F$26,MAX(Nonlabor!$F$26,IF(Nonlabor!$E$26="AI",Assumptions!$E$24,Assumptions!$E$25)))),AND(Nonlabor!$H$26="Annual",MOD(C3881-IF(Nonlabor!$E$26="Core",Nonlabor!$F$26,MAX(Nonlabor!$F$26,IF(Nonlabor!$E$26="AI",Assumptions!$E$24,Assumptions!$E$25))),12)=0))),IF(Nonlabor!$I$26="Fixed",1,IF(Nonlabor!$I$26="Seats",ROUNDUP('Monthly Growth'!I41,0),IF(Nonlabor!$I$26="Customers",'Monthly Growth'!D41,IF(Nonlabor!$I$26="NewCustomers",'Monthly Growth'!C41,IF(Nonlabor!$I$26="StorageGB",'Monthly Growth'!G41,IF(Nonlabor!$I$26="LogGB",'Monthly Growth'!H41,IF(Nonlabor!$I$26="RequestsM",'Monthly Growth'!F41,IF(Nonlabor!$I$26="InputM",'Monthly Growth'!D41*Assumptions!$E$22/1000000,IF(Nonlabor!$I$26="OutputM",'Monthly Growth'!D41*Assumptions!$E$23/1000000,0))))))))),0)</f>
        <v>0</v>
      </c>
      <c r="F3881" s="10" t="n">
        <f aca="false">Nonlabor!$J$26*(1+Assumptions!$E$9)^INT((C3881-1)/12)</f>
        <v>16224</v>
      </c>
      <c r="G3881" s="10" t="n">
        <f aca="false">E3881*F3881</f>
        <v>0</v>
      </c>
      <c r="H3881" s="10" t="n">
        <f aca="false">IF(OR(Nonlabor!$L$26="Quote required",Nonlabor!$L$26="Unverified"),G3881,0)</f>
        <v>0</v>
      </c>
      <c r="I3881" s="10" t="n">
        <f aca="false">IF(Nonlabor!$E$26="Core",0,G3881)</f>
        <v>0</v>
      </c>
      <c r="J3881" s="23" t="str">
        <f aca="false">Nonlabor!$B$26</f>
        <v>AI</v>
      </c>
    </row>
    <row r="3882" customFormat="false" ht="15" hidden="false" customHeight="false" outlineLevel="0" collapsed="false">
      <c r="A3882" s="6" t="s">
        <v>73</v>
      </c>
      <c r="B3882" s="6" t="s">
        <v>436</v>
      </c>
      <c r="C3882" s="6" t="n">
        <v>37</v>
      </c>
      <c r="D3882" s="25" t="n">
        <f aca="false">EDATE('Start Here'!$B$6,C3882-1)</f>
        <v>47423</v>
      </c>
      <c r="E3882" s="23" t="n">
        <f aca="false">IF(AND(OR(Nonlabor!$D$26="Both",Nonlabor!$D$26='Start Here'!$B$9),IF(Nonlabor!$E$26="Core",1,IF(Nonlabor!$E$26="AI",'Start Here'!$B$7,'Start Here'!$B$8))=1,C3882&gt;=IF(Nonlabor!$E$26="Core",Nonlabor!$F$26,MAX(Nonlabor!$F$26,IF(Nonlabor!$E$26="AI",Assumptions!$E$24,Assumptions!$E$25))),C3882&lt;=Nonlabor!$G$26,OR(Nonlabor!$H$26="Monthly",AND(Nonlabor!$H$26="Once",C3882=IF(Nonlabor!$E$26="Core",Nonlabor!$F$26,MAX(Nonlabor!$F$26,IF(Nonlabor!$E$26="AI",Assumptions!$E$24,Assumptions!$E$25)))),AND(Nonlabor!$H$26="Annual",MOD(C3882-IF(Nonlabor!$E$26="Core",Nonlabor!$F$26,MAX(Nonlabor!$F$26,IF(Nonlabor!$E$26="AI",Assumptions!$E$24,Assumptions!$E$25))),12)=0))),IF(Nonlabor!$I$26="Fixed",1,IF(Nonlabor!$I$26="Seats",ROUNDUP('Monthly Growth'!I42,0),IF(Nonlabor!$I$26="Customers",'Monthly Growth'!D42,IF(Nonlabor!$I$26="NewCustomers",'Monthly Growth'!C42,IF(Nonlabor!$I$26="StorageGB",'Monthly Growth'!G42,IF(Nonlabor!$I$26="LogGB",'Monthly Growth'!H42,IF(Nonlabor!$I$26="RequestsM",'Monthly Growth'!F42,IF(Nonlabor!$I$26="InputM",'Monthly Growth'!D42*Assumptions!$E$22/1000000,IF(Nonlabor!$I$26="OutputM",'Monthly Growth'!D42*Assumptions!$E$23/1000000,0))))))))),0)</f>
        <v>0</v>
      </c>
      <c r="F3882" s="10" t="n">
        <f aca="false">Nonlabor!$J$26*(1+Assumptions!$E$9)^INT((C3882-1)/12)</f>
        <v>16872.96</v>
      </c>
      <c r="G3882" s="10" t="n">
        <f aca="false">E3882*F3882</f>
        <v>0</v>
      </c>
      <c r="H3882" s="10" t="n">
        <f aca="false">IF(OR(Nonlabor!$L$26="Quote required",Nonlabor!$L$26="Unverified"),G3882,0)</f>
        <v>0</v>
      </c>
      <c r="I3882" s="10" t="n">
        <f aca="false">IF(Nonlabor!$E$26="Core",0,G3882)</f>
        <v>0</v>
      </c>
      <c r="J3882" s="23" t="str">
        <f aca="false">Nonlabor!$B$26</f>
        <v>AI</v>
      </c>
    </row>
    <row r="3883" customFormat="false" ht="15" hidden="false" customHeight="false" outlineLevel="0" collapsed="false">
      <c r="A3883" s="6" t="s">
        <v>73</v>
      </c>
      <c r="B3883" s="6" t="s">
        <v>436</v>
      </c>
      <c r="C3883" s="6" t="n">
        <v>38</v>
      </c>
      <c r="D3883" s="25" t="n">
        <f aca="false">EDATE('Start Here'!$B$6,C3883-1)</f>
        <v>47453</v>
      </c>
      <c r="E3883" s="23" t="n">
        <f aca="false">IF(AND(OR(Nonlabor!$D$26="Both",Nonlabor!$D$26='Start Here'!$B$9),IF(Nonlabor!$E$26="Core",1,IF(Nonlabor!$E$26="AI",'Start Here'!$B$7,'Start Here'!$B$8))=1,C3883&gt;=IF(Nonlabor!$E$26="Core",Nonlabor!$F$26,MAX(Nonlabor!$F$26,IF(Nonlabor!$E$26="AI",Assumptions!$E$24,Assumptions!$E$25))),C3883&lt;=Nonlabor!$G$26,OR(Nonlabor!$H$26="Monthly",AND(Nonlabor!$H$26="Once",C3883=IF(Nonlabor!$E$26="Core",Nonlabor!$F$26,MAX(Nonlabor!$F$26,IF(Nonlabor!$E$26="AI",Assumptions!$E$24,Assumptions!$E$25)))),AND(Nonlabor!$H$26="Annual",MOD(C3883-IF(Nonlabor!$E$26="Core",Nonlabor!$F$26,MAX(Nonlabor!$F$26,IF(Nonlabor!$E$26="AI",Assumptions!$E$24,Assumptions!$E$25))),12)=0))),IF(Nonlabor!$I$26="Fixed",1,IF(Nonlabor!$I$26="Seats",ROUNDUP('Monthly Growth'!I43,0),IF(Nonlabor!$I$26="Customers",'Monthly Growth'!D43,IF(Nonlabor!$I$26="NewCustomers",'Monthly Growth'!C43,IF(Nonlabor!$I$26="StorageGB",'Monthly Growth'!G43,IF(Nonlabor!$I$26="LogGB",'Monthly Growth'!H43,IF(Nonlabor!$I$26="RequestsM",'Monthly Growth'!F43,IF(Nonlabor!$I$26="InputM",'Monthly Growth'!D43*Assumptions!$E$22/1000000,IF(Nonlabor!$I$26="OutputM",'Monthly Growth'!D43*Assumptions!$E$23/1000000,0))))))))),0)</f>
        <v>0</v>
      </c>
      <c r="F3883" s="10" t="n">
        <f aca="false">Nonlabor!$J$26*(1+Assumptions!$E$9)^INT((C3883-1)/12)</f>
        <v>16872.96</v>
      </c>
      <c r="G3883" s="10" t="n">
        <f aca="false">E3883*F3883</f>
        <v>0</v>
      </c>
      <c r="H3883" s="10" t="n">
        <f aca="false">IF(OR(Nonlabor!$L$26="Quote required",Nonlabor!$L$26="Unverified"),G3883,0)</f>
        <v>0</v>
      </c>
      <c r="I3883" s="10" t="n">
        <f aca="false">IF(Nonlabor!$E$26="Core",0,G3883)</f>
        <v>0</v>
      </c>
      <c r="J3883" s="23" t="str">
        <f aca="false">Nonlabor!$B$26</f>
        <v>AI</v>
      </c>
    </row>
    <row r="3884" customFormat="false" ht="15" hidden="false" customHeight="false" outlineLevel="0" collapsed="false">
      <c r="A3884" s="6" t="s">
        <v>73</v>
      </c>
      <c r="B3884" s="6" t="s">
        <v>436</v>
      </c>
      <c r="C3884" s="6" t="n">
        <v>39</v>
      </c>
      <c r="D3884" s="25" t="n">
        <f aca="false">EDATE('Start Here'!$B$6,C3884-1)</f>
        <v>47484</v>
      </c>
      <c r="E3884" s="23" t="n">
        <f aca="false">IF(AND(OR(Nonlabor!$D$26="Both",Nonlabor!$D$26='Start Here'!$B$9),IF(Nonlabor!$E$26="Core",1,IF(Nonlabor!$E$26="AI",'Start Here'!$B$7,'Start Here'!$B$8))=1,C3884&gt;=IF(Nonlabor!$E$26="Core",Nonlabor!$F$26,MAX(Nonlabor!$F$26,IF(Nonlabor!$E$26="AI",Assumptions!$E$24,Assumptions!$E$25))),C3884&lt;=Nonlabor!$G$26,OR(Nonlabor!$H$26="Monthly",AND(Nonlabor!$H$26="Once",C3884=IF(Nonlabor!$E$26="Core",Nonlabor!$F$26,MAX(Nonlabor!$F$26,IF(Nonlabor!$E$26="AI",Assumptions!$E$24,Assumptions!$E$25)))),AND(Nonlabor!$H$26="Annual",MOD(C3884-IF(Nonlabor!$E$26="Core",Nonlabor!$F$26,MAX(Nonlabor!$F$26,IF(Nonlabor!$E$26="AI",Assumptions!$E$24,Assumptions!$E$25))),12)=0))),IF(Nonlabor!$I$26="Fixed",1,IF(Nonlabor!$I$26="Seats",ROUNDUP('Monthly Growth'!I44,0),IF(Nonlabor!$I$26="Customers",'Monthly Growth'!D44,IF(Nonlabor!$I$26="NewCustomers",'Monthly Growth'!C44,IF(Nonlabor!$I$26="StorageGB",'Monthly Growth'!G44,IF(Nonlabor!$I$26="LogGB",'Monthly Growth'!H44,IF(Nonlabor!$I$26="RequestsM",'Monthly Growth'!F44,IF(Nonlabor!$I$26="InputM",'Monthly Growth'!D44*Assumptions!$E$22/1000000,IF(Nonlabor!$I$26="OutputM",'Monthly Growth'!D44*Assumptions!$E$23/1000000,0))))))))),0)</f>
        <v>0</v>
      </c>
      <c r="F3884" s="10" t="n">
        <f aca="false">Nonlabor!$J$26*(1+Assumptions!$E$9)^INT((C3884-1)/12)</f>
        <v>16872.96</v>
      </c>
      <c r="G3884" s="10" t="n">
        <f aca="false">E3884*F3884</f>
        <v>0</v>
      </c>
      <c r="H3884" s="10" t="n">
        <f aca="false">IF(OR(Nonlabor!$L$26="Quote required",Nonlabor!$L$26="Unverified"),G3884,0)</f>
        <v>0</v>
      </c>
      <c r="I3884" s="10" t="n">
        <f aca="false">IF(Nonlabor!$E$26="Core",0,G3884)</f>
        <v>0</v>
      </c>
      <c r="J3884" s="23" t="str">
        <f aca="false">Nonlabor!$B$26</f>
        <v>AI</v>
      </c>
    </row>
    <row r="3885" customFormat="false" ht="15" hidden="false" customHeight="false" outlineLevel="0" collapsed="false">
      <c r="A3885" s="6" t="s">
        <v>73</v>
      </c>
      <c r="B3885" s="6" t="s">
        <v>436</v>
      </c>
      <c r="C3885" s="6" t="n">
        <v>40</v>
      </c>
      <c r="D3885" s="25" t="n">
        <f aca="false">EDATE('Start Here'!$B$6,C3885-1)</f>
        <v>47515</v>
      </c>
      <c r="E3885" s="23" t="n">
        <f aca="false">IF(AND(OR(Nonlabor!$D$26="Both",Nonlabor!$D$26='Start Here'!$B$9),IF(Nonlabor!$E$26="Core",1,IF(Nonlabor!$E$26="AI",'Start Here'!$B$7,'Start Here'!$B$8))=1,C3885&gt;=IF(Nonlabor!$E$26="Core",Nonlabor!$F$26,MAX(Nonlabor!$F$26,IF(Nonlabor!$E$26="AI",Assumptions!$E$24,Assumptions!$E$25))),C3885&lt;=Nonlabor!$G$26,OR(Nonlabor!$H$26="Monthly",AND(Nonlabor!$H$26="Once",C3885=IF(Nonlabor!$E$26="Core",Nonlabor!$F$26,MAX(Nonlabor!$F$26,IF(Nonlabor!$E$26="AI",Assumptions!$E$24,Assumptions!$E$25)))),AND(Nonlabor!$H$26="Annual",MOD(C3885-IF(Nonlabor!$E$26="Core",Nonlabor!$F$26,MAX(Nonlabor!$F$26,IF(Nonlabor!$E$26="AI",Assumptions!$E$24,Assumptions!$E$25))),12)=0))),IF(Nonlabor!$I$26="Fixed",1,IF(Nonlabor!$I$26="Seats",ROUNDUP('Monthly Growth'!I45,0),IF(Nonlabor!$I$26="Customers",'Monthly Growth'!D45,IF(Nonlabor!$I$26="NewCustomers",'Monthly Growth'!C45,IF(Nonlabor!$I$26="StorageGB",'Monthly Growth'!G45,IF(Nonlabor!$I$26="LogGB",'Monthly Growth'!H45,IF(Nonlabor!$I$26="RequestsM",'Monthly Growth'!F45,IF(Nonlabor!$I$26="InputM",'Monthly Growth'!D45*Assumptions!$E$22/1000000,IF(Nonlabor!$I$26="OutputM",'Monthly Growth'!D45*Assumptions!$E$23/1000000,0))))))))),0)</f>
        <v>0</v>
      </c>
      <c r="F3885" s="10" t="n">
        <f aca="false">Nonlabor!$J$26*(1+Assumptions!$E$9)^INT((C3885-1)/12)</f>
        <v>16872.96</v>
      </c>
      <c r="G3885" s="10" t="n">
        <f aca="false">E3885*F3885</f>
        <v>0</v>
      </c>
      <c r="H3885" s="10" t="n">
        <f aca="false">IF(OR(Nonlabor!$L$26="Quote required",Nonlabor!$L$26="Unverified"),G3885,0)</f>
        <v>0</v>
      </c>
      <c r="I3885" s="10" t="n">
        <f aca="false">IF(Nonlabor!$E$26="Core",0,G3885)</f>
        <v>0</v>
      </c>
      <c r="J3885" s="23" t="str">
        <f aca="false">Nonlabor!$B$26</f>
        <v>AI</v>
      </c>
    </row>
    <row r="3886" customFormat="false" ht="15" hidden="false" customHeight="false" outlineLevel="0" collapsed="false">
      <c r="A3886" s="6" t="s">
        <v>73</v>
      </c>
      <c r="B3886" s="6" t="s">
        <v>436</v>
      </c>
      <c r="C3886" s="6" t="n">
        <v>41</v>
      </c>
      <c r="D3886" s="25" t="n">
        <f aca="false">EDATE('Start Here'!$B$6,C3886-1)</f>
        <v>47543</v>
      </c>
      <c r="E3886" s="23" t="n">
        <f aca="false">IF(AND(OR(Nonlabor!$D$26="Both",Nonlabor!$D$26='Start Here'!$B$9),IF(Nonlabor!$E$26="Core",1,IF(Nonlabor!$E$26="AI",'Start Here'!$B$7,'Start Here'!$B$8))=1,C3886&gt;=IF(Nonlabor!$E$26="Core",Nonlabor!$F$26,MAX(Nonlabor!$F$26,IF(Nonlabor!$E$26="AI",Assumptions!$E$24,Assumptions!$E$25))),C3886&lt;=Nonlabor!$G$26,OR(Nonlabor!$H$26="Monthly",AND(Nonlabor!$H$26="Once",C3886=IF(Nonlabor!$E$26="Core",Nonlabor!$F$26,MAX(Nonlabor!$F$26,IF(Nonlabor!$E$26="AI",Assumptions!$E$24,Assumptions!$E$25)))),AND(Nonlabor!$H$26="Annual",MOD(C3886-IF(Nonlabor!$E$26="Core",Nonlabor!$F$26,MAX(Nonlabor!$F$26,IF(Nonlabor!$E$26="AI",Assumptions!$E$24,Assumptions!$E$25))),12)=0))),IF(Nonlabor!$I$26="Fixed",1,IF(Nonlabor!$I$26="Seats",ROUNDUP('Monthly Growth'!I46,0),IF(Nonlabor!$I$26="Customers",'Monthly Growth'!D46,IF(Nonlabor!$I$26="NewCustomers",'Monthly Growth'!C46,IF(Nonlabor!$I$26="StorageGB",'Monthly Growth'!G46,IF(Nonlabor!$I$26="LogGB",'Monthly Growth'!H46,IF(Nonlabor!$I$26="RequestsM",'Monthly Growth'!F46,IF(Nonlabor!$I$26="InputM",'Monthly Growth'!D46*Assumptions!$E$22/1000000,IF(Nonlabor!$I$26="OutputM",'Monthly Growth'!D46*Assumptions!$E$23/1000000,0))))))))),0)</f>
        <v>0</v>
      </c>
      <c r="F3886" s="10" t="n">
        <f aca="false">Nonlabor!$J$26*(1+Assumptions!$E$9)^INT((C3886-1)/12)</f>
        <v>16872.96</v>
      </c>
      <c r="G3886" s="10" t="n">
        <f aca="false">E3886*F3886</f>
        <v>0</v>
      </c>
      <c r="H3886" s="10" t="n">
        <f aca="false">IF(OR(Nonlabor!$L$26="Quote required",Nonlabor!$L$26="Unverified"),G3886,0)</f>
        <v>0</v>
      </c>
      <c r="I3886" s="10" t="n">
        <f aca="false">IF(Nonlabor!$E$26="Core",0,G3886)</f>
        <v>0</v>
      </c>
      <c r="J3886" s="23" t="str">
        <f aca="false">Nonlabor!$B$26</f>
        <v>AI</v>
      </c>
    </row>
    <row r="3887" customFormat="false" ht="15" hidden="false" customHeight="false" outlineLevel="0" collapsed="false">
      <c r="A3887" s="6" t="s">
        <v>73</v>
      </c>
      <c r="B3887" s="6" t="s">
        <v>436</v>
      </c>
      <c r="C3887" s="6" t="n">
        <v>42</v>
      </c>
      <c r="D3887" s="25" t="n">
        <f aca="false">EDATE('Start Here'!$B$6,C3887-1)</f>
        <v>47574</v>
      </c>
      <c r="E3887" s="23" t="n">
        <f aca="false">IF(AND(OR(Nonlabor!$D$26="Both",Nonlabor!$D$26='Start Here'!$B$9),IF(Nonlabor!$E$26="Core",1,IF(Nonlabor!$E$26="AI",'Start Here'!$B$7,'Start Here'!$B$8))=1,C3887&gt;=IF(Nonlabor!$E$26="Core",Nonlabor!$F$26,MAX(Nonlabor!$F$26,IF(Nonlabor!$E$26="AI",Assumptions!$E$24,Assumptions!$E$25))),C3887&lt;=Nonlabor!$G$26,OR(Nonlabor!$H$26="Monthly",AND(Nonlabor!$H$26="Once",C3887=IF(Nonlabor!$E$26="Core",Nonlabor!$F$26,MAX(Nonlabor!$F$26,IF(Nonlabor!$E$26="AI",Assumptions!$E$24,Assumptions!$E$25)))),AND(Nonlabor!$H$26="Annual",MOD(C3887-IF(Nonlabor!$E$26="Core",Nonlabor!$F$26,MAX(Nonlabor!$F$26,IF(Nonlabor!$E$26="AI",Assumptions!$E$24,Assumptions!$E$25))),12)=0))),IF(Nonlabor!$I$26="Fixed",1,IF(Nonlabor!$I$26="Seats",ROUNDUP('Monthly Growth'!I47,0),IF(Nonlabor!$I$26="Customers",'Monthly Growth'!D47,IF(Nonlabor!$I$26="NewCustomers",'Monthly Growth'!C47,IF(Nonlabor!$I$26="StorageGB",'Monthly Growth'!G47,IF(Nonlabor!$I$26="LogGB",'Monthly Growth'!H47,IF(Nonlabor!$I$26="RequestsM",'Monthly Growth'!F47,IF(Nonlabor!$I$26="InputM",'Monthly Growth'!D47*Assumptions!$E$22/1000000,IF(Nonlabor!$I$26="OutputM",'Monthly Growth'!D47*Assumptions!$E$23/1000000,0))))))))),0)</f>
        <v>0</v>
      </c>
      <c r="F3887" s="10" t="n">
        <f aca="false">Nonlabor!$J$26*(1+Assumptions!$E$9)^INT((C3887-1)/12)</f>
        <v>16872.96</v>
      </c>
      <c r="G3887" s="10" t="n">
        <f aca="false">E3887*F3887</f>
        <v>0</v>
      </c>
      <c r="H3887" s="10" t="n">
        <f aca="false">IF(OR(Nonlabor!$L$26="Quote required",Nonlabor!$L$26="Unverified"),G3887,0)</f>
        <v>0</v>
      </c>
      <c r="I3887" s="10" t="n">
        <f aca="false">IF(Nonlabor!$E$26="Core",0,G3887)</f>
        <v>0</v>
      </c>
      <c r="J3887" s="23" t="str">
        <f aca="false">Nonlabor!$B$26</f>
        <v>AI</v>
      </c>
    </row>
    <row r="3888" customFormat="false" ht="15" hidden="false" customHeight="false" outlineLevel="0" collapsed="false">
      <c r="A3888" s="6" t="s">
        <v>73</v>
      </c>
      <c r="B3888" s="6" t="s">
        <v>436</v>
      </c>
      <c r="C3888" s="6" t="n">
        <v>43</v>
      </c>
      <c r="D3888" s="25" t="n">
        <f aca="false">EDATE('Start Here'!$B$6,C3888-1)</f>
        <v>47604</v>
      </c>
      <c r="E3888" s="23" t="n">
        <f aca="false">IF(AND(OR(Nonlabor!$D$26="Both",Nonlabor!$D$26='Start Here'!$B$9),IF(Nonlabor!$E$26="Core",1,IF(Nonlabor!$E$26="AI",'Start Here'!$B$7,'Start Here'!$B$8))=1,C3888&gt;=IF(Nonlabor!$E$26="Core",Nonlabor!$F$26,MAX(Nonlabor!$F$26,IF(Nonlabor!$E$26="AI",Assumptions!$E$24,Assumptions!$E$25))),C3888&lt;=Nonlabor!$G$26,OR(Nonlabor!$H$26="Monthly",AND(Nonlabor!$H$26="Once",C3888=IF(Nonlabor!$E$26="Core",Nonlabor!$F$26,MAX(Nonlabor!$F$26,IF(Nonlabor!$E$26="AI",Assumptions!$E$24,Assumptions!$E$25)))),AND(Nonlabor!$H$26="Annual",MOD(C3888-IF(Nonlabor!$E$26="Core",Nonlabor!$F$26,MAX(Nonlabor!$F$26,IF(Nonlabor!$E$26="AI",Assumptions!$E$24,Assumptions!$E$25))),12)=0))),IF(Nonlabor!$I$26="Fixed",1,IF(Nonlabor!$I$26="Seats",ROUNDUP('Monthly Growth'!I48,0),IF(Nonlabor!$I$26="Customers",'Monthly Growth'!D48,IF(Nonlabor!$I$26="NewCustomers",'Monthly Growth'!C48,IF(Nonlabor!$I$26="StorageGB",'Monthly Growth'!G48,IF(Nonlabor!$I$26="LogGB",'Monthly Growth'!H48,IF(Nonlabor!$I$26="RequestsM",'Monthly Growth'!F48,IF(Nonlabor!$I$26="InputM",'Monthly Growth'!D48*Assumptions!$E$22/1000000,IF(Nonlabor!$I$26="OutputM",'Monthly Growth'!D48*Assumptions!$E$23/1000000,0))))))))),0)</f>
        <v>0</v>
      </c>
      <c r="F3888" s="10" t="n">
        <f aca="false">Nonlabor!$J$26*(1+Assumptions!$E$9)^INT((C3888-1)/12)</f>
        <v>16872.96</v>
      </c>
      <c r="G3888" s="10" t="n">
        <f aca="false">E3888*F3888</f>
        <v>0</v>
      </c>
      <c r="H3888" s="10" t="n">
        <f aca="false">IF(OR(Nonlabor!$L$26="Quote required",Nonlabor!$L$26="Unverified"),G3888,0)</f>
        <v>0</v>
      </c>
      <c r="I3888" s="10" t="n">
        <f aca="false">IF(Nonlabor!$E$26="Core",0,G3888)</f>
        <v>0</v>
      </c>
      <c r="J3888" s="23" t="str">
        <f aca="false">Nonlabor!$B$26</f>
        <v>AI</v>
      </c>
    </row>
    <row r="3889" customFormat="false" ht="15" hidden="false" customHeight="false" outlineLevel="0" collapsed="false">
      <c r="A3889" s="6" t="s">
        <v>73</v>
      </c>
      <c r="B3889" s="6" t="s">
        <v>436</v>
      </c>
      <c r="C3889" s="6" t="n">
        <v>44</v>
      </c>
      <c r="D3889" s="25" t="n">
        <f aca="false">EDATE('Start Here'!$B$6,C3889-1)</f>
        <v>47635</v>
      </c>
      <c r="E3889" s="23" t="n">
        <f aca="false">IF(AND(OR(Nonlabor!$D$26="Both",Nonlabor!$D$26='Start Here'!$B$9),IF(Nonlabor!$E$26="Core",1,IF(Nonlabor!$E$26="AI",'Start Here'!$B$7,'Start Here'!$B$8))=1,C3889&gt;=IF(Nonlabor!$E$26="Core",Nonlabor!$F$26,MAX(Nonlabor!$F$26,IF(Nonlabor!$E$26="AI",Assumptions!$E$24,Assumptions!$E$25))),C3889&lt;=Nonlabor!$G$26,OR(Nonlabor!$H$26="Monthly",AND(Nonlabor!$H$26="Once",C3889=IF(Nonlabor!$E$26="Core",Nonlabor!$F$26,MAX(Nonlabor!$F$26,IF(Nonlabor!$E$26="AI",Assumptions!$E$24,Assumptions!$E$25)))),AND(Nonlabor!$H$26="Annual",MOD(C3889-IF(Nonlabor!$E$26="Core",Nonlabor!$F$26,MAX(Nonlabor!$F$26,IF(Nonlabor!$E$26="AI",Assumptions!$E$24,Assumptions!$E$25))),12)=0))),IF(Nonlabor!$I$26="Fixed",1,IF(Nonlabor!$I$26="Seats",ROUNDUP('Monthly Growth'!I49,0),IF(Nonlabor!$I$26="Customers",'Monthly Growth'!D49,IF(Nonlabor!$I$26="NewCustomers",'Monthly Growth'!C49,IF(Nonlabor!$I$26="StorageGB",'Monthly Growth'!G49,IF(Nonlabor!$I$26="LogGB",'Monthly Growth'!H49,IF(Nonlabor!$I$26="RequestsM",'Monthly Growth'!F49,IF(Nonlabor!$I$26="InputM",'Monthly Growth'!D49*Assumptions!$E$22/1000000,IF(Nonlabor!$I$26="OutputM",'Monthly Growth'!D49*Assumptions!$E$23/1000000,0))))))))),0)</f>
        <v>0</v>
      </c>
      <c r="F3889" s="10" t="n">
        <f aca="false">Nonlabor!$J$26*(1+Assumptions!$E$9)^INT((C3889-1)/12)</f>
        <v>16872.96</v>
      </c>
      <c r="G3889" s="10" t="n">
        <f aca="false">E3889*F3889</f>
        <v>0</v>
      </c>
      <c r="H3889" s="10" t="n">
        <f aca="false">IF(OR(Nonlabor!$L$26="Quote required",Nonlabor!$L$26="Unverified"),G3889,0)</f>
        <v>0</v>
      </c>
      <c r="I3889" s="10" t="n">
        <f aca="false">IF(Nonlabor!$E$26="Core",0,G3889)</f>
        <v>0</v>
      </c>
      <c r="J3889" s="23" t="str">
        <f aca="false">Nonlabor!$B$26</f>
        <v>AI</v>
      </c>
    </row>
    <row r="3890" customFormat="false" ht="15" hidden="false" customHeight="false" outlineLevel="0" collapsed="false">
      <c r="A3890" s="6" t="s">
        <v>73</v>
      </c>
      <c r="B3890" s="6" t="s">
        <v>436</v>
      </c>
      <c r="C3890" s="6" t="n">
        <v>45</v>
      </c>
      <c r="D3890" s="25" t="n">
        <f aca="false">EDATE('Start Here'!$B$6,C3890-1)</f>
        <v>47665</v>
      </c>
      <c r="E3890" s="23" t="n">
        <f aca="false">IF(AND(OR(Nonlabor!$D$26="Both",Nonlabor!$D$26='Start Here'!$B$9),IF(Nonlabor!$E$26="Core",1,IF(Nonlabor!$E$26="AI",'Start Here'!$B$7,'Start Here'!$B$8))=1,C3890&gt;=IF(Nonlabor!$E$26="Core",Nonlabor!$F$26,MAX(Nonlabor!$F$26,IF(Nonlabor!$E$26="AI",Assumptions!$E$24,Assumptions!$E$25))),C3890&lt;=Nonlabor!$G$26,OR(Nonlabor!$H$26="Monthly",AND(Nonlabor!$H$26="Once",C3890=IF(Nonlabor!$E$26="Core",Nonlabor!$F$26,MAX(Nonlabor!$F$26,IF(Nonlabor!$E$26="AI",Assumptions!$E$24,Assumptions!$E$25)))),AND(Nonlabor!$H$26="Annual",MOD(C3890-IF(Nonlabor!$E$26="Core",Nonlabor!$F$26,MAX(Nonlabor!$F$26,IF(Nonlabor!$E$26="AI",Assumptions!$E$24,Assumptions!$E$25))),12)=0))),IF(Nonlabor!$I$26="Fixed",1,IF(Nonlabor!$I$26="Seats",ROUNDUP('Monthly Growth'!I50,0),IF(Nonlabor!$I$26="Customers",'Monthly Growth'!D50,IF(Nonlabor!$I$26="NewCustomers",'Monthly Growth'!C50,IF(Nonlabor!$I$26="StorageGB",'Monthly Growth'!G50,IF(Nonlabor!$I$26="LogGB",'Monthly Growth'!H50,IF(Nonlabor!$I$26="RequestsM",'Monthly Growth'!F50,IF(Nonlabor!$I$26="InputM",'Monthly Growth'!D50*Assumptions!$E$22/1000000,IF(Nonlabor!$I$26="OutputM",'Monthly Growth'!D50*Assumptions!$E$23/1000000,0))))))))),0)</f>
        <v>0</v>
      </c>
      <c r="F3890" s="10" t="n">
        <f aca="false">Nonlabor!$J$26*(1+Assumptions!$E$9)^INT((C3890-1)/12)</f>
        <v>16872.96</v>
      </c>
      <c r="G3890" s="10" t="n">
        <f aca="false">E3890*F3890</f>
        <v>0</v>
      </c>
      <c r="H3890" s="10" t="n">
        <f aca="false">IF(OR(Nonlabor!$L$26="Quote required",Nonlabor!$L$26="Unverified"),G3890,0)</f>
        <v>0</v>
      </c>
      <c r="I3890" s="10" t="n">
        <f aca="false">IF(Nonlabor!$E$26="Core",0,G3890)</f>
        <v>0</v>
      </c>
      <c r="J3890" s="23" t="str">
        <f aca="false">Nonlabor!$B$26</f>
        <v>AI</v>
      </c>
    </row>
    <row r="3891" customFormat="false" ht="15" hidden="false" customHeight="false" outlineLevel="0" collapsed="false">
      <c r="A3891" s="6" t="s">
        <v>73</v>
      </c>
      <c r="B3891" s="6" t="s">
        <v>436</v>
      </c>
      <c r="C3891" s="6" t="n">
        <v>46</v>
      </c>
      <c r="D3891" s="25" t="n">
        <f aca="false">EDATE('Start Here'!$B$6,C3891-1)</f>
        <v>47696</v>
      </c>
      <c r="E3891" s="23" t="n">
        <f aca="false">IF(AND(OR(Nonlabor!$D$26="Both",Nonlabor!$D$26='Start Here'!$B$9),IF(Nonlabor!$E$26="Core",1,IF(Nonlabor!$E$26="AI",'Start Here'!$B$7,'Start Here'!$B$8))=1,C3891&gt;=IF(Nonlabor!$E$26="Core",Nonlabor!$F$26,MAX(Nonlabor!$F$26,IF(Nonlabor!$E$26="AI",Assumptions!$E$24,Assumptions!$E$25))),C3891&lt;=Nonlabor!$G$26,OR(Nonlabor!$H$26="Monthly",AND(Nonlabor!$H$26="Once",C3891=IF(Nonlabor!$E$26="Core",Nonlabor!$F$26,MAX(Nonlabor!$F$26,IF(Nonlabor!$E$26="AI",Assumptions!$E$24,Assumptions!$E$25)))),AND(Nonlabor!$H$26="Annual",MOD(C3891-IF(Nonlabor!$E$26="Core",Nonlabor!$F$26,MAX(Nonlabor!$F$26,IF(Nonlabor!$E$26="AI",Assumptions!$E$24,Assumptions!$E$25))),12)=0))),IF(Nonlabor!$I$26="Fixed",1,IF(Nonlabor!$I$26="Seats",ROUNDUP('Monthly Growth'!I51,0),IF(Nonlabor!$I$26="Customers",'Monthly Growth'!D51,IF(Nonlabor!$I$26="NewCustomers",'Monthly Growth'!C51,IF(Nonlabor!$I$26="StorageGB",'Monthly Growth'!G51,IF(Nonlabor!$I$26="LogGB",'Monthly Growth'!H51,IF(Nonlabor!$I$26="RequestsM",'Monthly Growth'!F51,IF(Nonlabor!$I$26="InputM",'Monthly Growth'!D51*Assumptions!$E$22/1000000,IF(Nonlabor!$I$26="OutputM",'Monthly Growth'!D51*Assumptions!$E$23/1000000,0))))))))),0)</f>
        <v>0</v>
      </c>
      <c r="F3891" s="10" t="n">
        <f aca="false">Nonlabor!$J$26*(1+Assumptions!$E$9)^INT((C3891-1)/12)</f>
        <v>16872.96</v>
      </c>
      <c r="G3891" s="10" t="n">
        <f aca="false">E3891*F3891</f>
        <v>0</v>
      </c>
      <c r="H3891" s="10" t="n">
        <f aca="false">IF(OR(Nonlabor!$L$26="Quote required",Nonlabor!$L$26="Unverified"),G3891,0)</f>
        <v>0</v>
      </c>
      <c r="I3891" s="10" t="n">
        <f aca="false">IF(Nonlabor!$E$26="Core",0,G3891)</f>
        <v>0</v>
      </c>
      <c r="J3891" s="23" t="str">
        <f aca="false">Nonlabor!$B$26</f>
        <v>AI</v>
      </c>
    </row>
    <row r="3892" customFormat="false" ht="15" hidden="false" customHeight="false" outlineLevel="0" collapsed="false">
      <c r="A3892" s="6" t="s">
        <v>73</v>
      </c>
      <c r="B3892" s="6" t="s">
        <v>436</v>
      </c>
      <c r="C3892" s="6" t="n">
        <v>47</v>
      </c>
      <c r="D3892" s="25" t="n">
        <f aca="false">EDATE('Start Here'!$B$6,C3892-1)</f>
        <v>47727</v>
      </c>
      <c r="E3892" s="23" t="n">
        <f aca="false">IF(AND(OR(Nonlabor!$D$26="Both",Nonlabor!$D$26='Start Here'!$B$9),IF(Nonlabor!$E$26="Core",1,IF(Nonlabor!$E$26="AI",'Start Here'!$B$7,'Start Here'!$B$8))=1,C3892&gt;=IF(Nonlabor!$E$26="Core",Nonlabor!$F$26,MAX(Nonlabor!$F$26,IF(Nonlabor!$E$26="AI",Assumptions!$E$24,Assumptions!$E$25))),C3892&lt;=Nonlabor!$G$26,OR(Nonlabor!$H$26="Monthly",AND(Nonlabor!$H$26="Once",C3892=IF(Nonlabor!$E$26="Core",Nonlabor!$F$26,MAX(Nonlabor!$F$26,IF(Nonlabor!$E$26="AI",Assumptions!$E$24,Assumptions!$E$25)))),AND(Nonlabor!$H$26="Annual",MOD(C3892-IF(Nonlabor!$E$26="Core",Nonlabor!$F$26,MAX(Nonlabor!$F$26,IF(Nonlabor!$E$26="AI",Assumptions!$E$24,Assumptions!$E$25))),12)=0))),IF(Nonlabor!$I$26="Fixed",1,IF(Nonlabor!$I$26="Seats",ROUNDUP('Monthly Growth'!I52,0),IF(Nonlabor!$I$26="Customers",'Monthly Growth'!D52,IF(Nonlabor!$I$26="NewCustomers",'Monthly Growth'!C52,IF(Nonlabor!$I$26="StorageGB",'Monthly Growth'!G52,IF(Nonlabor!$I$26="LogGB",'Monthly Growth'!H52,IF(Nonlabor!$I$26="RequestsM",'Monthly Growth'!F52,IF(Nonlabor!$I$26="InputM",'Monthly Growth'!D52*Assumptions!$E$22/1000000,IF(Nonlabor!$I$26="OutputM",'Monthly Growth'!D52*Assumptions!$E$23/1000000,0))))))))),0)</f>
        <v>0</v>
      </c>
      <c r="F3892" s="10" t="n">
        <f aca="false">Nonlabor!$J$26*(1+Assumptions!$E$9)^INT((C3892-1)/12)</f>
        <v>16872.96</v>
      </c>
      <c r="G3892" s="10" t="n">
        <f aca="false">E3892*F3892</f>
        <v>0</v>
      </c>
      <c r="H3892" s="10" t="n">
        <f aca="false">IF(OR(Nonlabor!$L$26="Quote required",Nonlabor!$L$26="Unverified"),G3892,0)</f>
        <v>0</v>
      </c>
      <c r="I3892" s="10" t="n">
        <f aca="false">IF(Nonlabor!$E$26="Core",0,G3892)</f>
        <v>0</v>
      </c>
      <c r="J3892" s="23" t="str">
        <f aca="false">Nonlabor!$B$26</f>
        <v>AI</v>
      </c>
    </row>
    <row r="3893" customFormat="false" ht="15" hidden="false" customHeight="false" outlineLevel="0" collapsed="false">
      <c r="A3893" s="6" t="s">
        <v>73</v>
      </c>
      <c r="B3893" s="6" t="s">
        <v>436</v>
      </c>
      <c r="C3893" s="6" t="n">
        <v>48</v>
      </c>
      <c r="D3893" s="25" t="n">
        <f aca="false">EDATE('Start Here'!$B$6,C3893-1)</f>
        <v>47757</v>
      </c>
      <c r="E3893" s="23" t="n">
        <f aca="false">IF(AND(OR(Nonlabor!$D$26="Both",Nonlabor!$D$26='Start Here'!$B$9),IF(Nonlabor!$E$26="Core",1,IF(Nonlabor!$E$26="AI",'Start Here'!$B$7,'Start Here'!$B$8))=1,C3893&gt;=IF(Nonlabor!$E$26="Core",Nonlabor!$F$26,MAX(Nonlabor!$F$26,IF(Nonlabor!$E$26="AI",Assumptions!$E$24,Assumptions!$E$25))),C3893&lt;=Nonlabor!$G$26,OR(Nonlabor!$H$26="Monthly",AND(Nonlabor!$H$26="Once",C3893=IF(Nonlabor!$E$26="Core",Nonlabor!$F$26,MAX(Nonlabor!$F$26,IF(Nonlabor!$E$26="AI",Assumptions!$E$24,Assumptions!$E$25)))),AND(Nonlabor!$H$26="Annual",MOD(C3893-IF(Nonlabor!$E$26="Core",Nonlabor!$F$26,MAX(Nonlabor!$F$26,IF(Nonlabor!$E$26="AI",Assumptions!$E$24,Assumptions!$E$25))),12)=0))),IF(Nonlabor!$I$26="Fixed",1,IF(Nonlabor!$I$26="Seats",ROUNDUP('Monthly Growth'!I53,0),IF(Nonlabor!$I$26="Customers",'Monthly Growth'!D53,IF(Nonlabor!$I$26="NewCustomers",'Monthly Growth'!C53,IF(Nonlabor!$I$26="StorageGB",'Monthly Growth'!G53,IF(Nonlabor!$I$26="LogGB",'Monthly Growth'!H53,IF(Nonlabor!$I$26="RequestsM",'Monthly Growth'!F53,IF(Nonlabor!$I$26="InputM",'Monthly Growth'!D53*Assumptions!$E$22/1000000,IF(Nonlabor!$I$26="OutputM",'Monthly Growth'!D53*Assumptions!$E$23/1000000,0))))))))),0)</f>
        <v>0</v>
      </c>
      <c r="F3893" s="10" t="n">
        <f aca="false">Nonlabor!$J$26*(1+Assumptions!$E$9)^INT((C3893-1)/12)</f>
        <v>16872.96</v>
      </c>
      <c r="G3893" s="10" t="n">
        <f aca="false">E3893*F3893</f>
        <v>0</v>
      </c>
      <c r="H3893" s="10" t="n">
        <f aca="false">IF(OR(Nonlabor!$L$26="Quote required",Nonlabor!$L$26="Unverified"),G3893,0)</f>
        <v>0</v>
      </c>
      <c r="I3893" s="10" t="n">
        <f aca="false">IF(Nonlabor!$E$26="Core",0,G3893)</f>
        <v>0</v>
      </c>
      <c r="J3893" s="23" t="str">
        <f aca="false">Nonlabor!$B$26</f>
        <v>AI</v>
      </c>
    </row>
    <row r="3894" customFormat="false" ht="15" hidden="false" customHeight="false" outlineLevel="0" collapsed="false">
      <c r="A3894" s="6" t="s">
        <v>73</v>
      </c>
      <c r="B3894" s="6" t="s">
        <v>436</v>
      </c>
      <c r="C3894" s="6" t="n">
        <v>49</v>
      </c>
      <c r="D3894" s="25" t="n">
        <f aca="false">EDATE('Start Here'!$B$6,C3894-1)</f>
        <v>47788</v>
      </c>
      <c r="E3894" s="23" t="n">
        <f aca="false">IF(AND(OR(Nonlabor!$D$26="Both",Nonlabor!$D$26='Start Here'!$B$9),IF(Nonlabor!$E$26="Core",1,IF(Nonlabor!$E$26="AI",'Start Here'!$B$7,'Start Here'!$B$8))=1,C3894&gt;=IF(Nonlabor!$E$26="Core",Nonlabor!$F$26,MAX(Nonlabor!$F$26,IF(Nonlabor!$E$26="AI",Assumptions!$E$24,Assumptions!$E$25))),C3894&lt;=Nonlabor!$G$26,OR(Nonlabor!$H$26="Monthly",AND(Nonlabor!$H$26="Once",C3894=IF(Nonlabor!$E$26="Core",Nonlabor!$F$26,MAX(Nonlabor!$F$26,IF(Nonlabor!$E$26="AI",Assumptions!$E$24,Assumptions!$E$25)))),AND(Nonlabor!$H$26="Annual",MOD(C3894-IF(Nonlabor!$E$26="Core",Nonlabor!$F$26,MAX(Nonlabor!$F$26,IF(Nonlabor!$E$26="AI",Assumptions!$E$24,Assumptions!$E$25))),12)=0))),IF(Nonlabor!$I$26="Fixed",1,IF(Nonlabor!$I$26="Seats",ROUNDUP('Monthly Growth'!I54,0),IF(Nonlabor!$I$26="Customers",'Monthly Growth'!D54,IF(Nonlabor!$I$26="NewCustomers",'Monthly Growth'!C54,IF(Nonlabor!$I$26="StorageGB",'Monthly Growth'!G54,IF(Nonlabor!$I$26="LogGB",'Monthly Growth'!H54,IF(Nonlabor!$I$26="RequestsM",'Monthly Growth'!F54,IF(Nonlabor!$I$26="InputM",'Monthly Growth'!D54*Assumptions!$E$22/1000000,IF(Nonlabor!$I$26="OutputM",'Monthly Growth'!D54*Assumptions!$E$23/1000000,0))))))))),0)</f>
        <v>0</v>
      </c>
      <c r="F3894" s="10" t="n">
        <f aca="false">Nonlabor!$J$26*(1+Assumptions!$E$9)^INT((C3894-1)/12)</f>
        <v>17547.8784</v>
      </c>
      <c r="G3894" s="10" t="n">
        <f aca="false">E3894*F3894</f>
        <v>0</v>
      </c>
      <c r="H3894" s="10" t="n">
        <f aca="false">IF(OR(Nonlabor!$L$26="Quote required",Nonlabor!$L$26="Unverified"),G3894,0)</f>
        <v>0</v>
      </c>
      <c r="I3894" s="10" t="n">
        <f aca="false">IF(Nonlabor!$E$26="Core",0,G3894)</f>
        <v>0</v>
      </c>
      <c r="J3894" s="23" t="str">
        <f aca="false">Nonlabor!$B$26</f>
        <v>AI</v>
      </c>
    </row>
    <row r="3895" customFormat="false" ht="15" hidden="false" customHeight="false" outlineLevel="0" collapsed="false">
      <c r="A3895" s="6" t="s">
        <v>73</v>
      </c>
      <c r="B3895" s="6" t="s">
        <v>436</v>
      </c>
      <c r="C3895" s="6" t="n">
        <v>50</v>
      </c>
      <c r="D3895" s="25" t="n">
        <f aca="false">EDATE('Start Here'!$B$6,C3895-1)</f>
        <v>47818</v>
      </c>
      <c r="E3895" s="23" t="n">
        <f aca="false">IF(AND(OR(Nonlabor!$D$26="Both",Nonlabor!$D$26='Start Here'!$B$9),IF(Nonlabor!$E$26="Core",1,IF(Nonlabor!$E$26="AI",'Start Here'!$B$7,'Start Here'!$B$8))=1,C3895&gt;=IF(Nonlabor!$E$26="Core",Nonlabor!$F$26,MAX(Nonlabor!$F$26,IF(Nonlabor!$E$26="AI",Assumptions!$E$24,Assumptions!$E$25))),C3895&lt;=Nonlabor!$G$26,OR(Nonlabor!$H$26="Monthly",AND(Nonlabor!$H$26="Once",C3895=IF(Nonlabor!$E$26="Core",Nonlabor!$F$26,MAX(Nonlabor!$F$26,IF(Nonlabor!$E$26="AI",Assumptions!$E$24,Assumptions!$E$25)))),AND(Nonlabor!$H$26="Annual",MOD(C3895-IF(Nonlabor!$E$26="Core",Nonlabor!$F$26,MAX(Nonlabor!$F$26,IF(Nonlabor!$E$26="AI",Assumptions!$E$24,Assumptions!$E$25))),12)=0))),IF(Nonlabor!$I$26="Fixed",1,IF(Nonlabor!$I$26="Seats",ROUNDUP('Monthly Growth'!I55,0),IF(Nonlabor!$I$26="Customers",'Monthly Growth'!D55,IF(Nonlabor!$I$26="NewCustomers",'Monthly Growth'!C55,IF(Nonlabor!$I$26="StorageGB",'Monthly Growth'!G55,IF(Nonlabor!$I$26="LogGB",'Monthly Growth'!H55,IF(Nonlabor!$I$26="RequestsM",'Monthly Growth'!F55,IF(Nonlabor!$I$26="InputM",'Monthly Growth'!D55*Assumptions!$E$22/1000000,IF(Nonlabor!$I$26="OutputM",'Monthly Growth'!D55*Assumptions!$E$23/1000000,0))))))))),0)</f>
        <v>0</v>
      </c>
      <c r="F3895" s="10" t="n">
        <f aca="false">Nonlabor!$J$26*(1+Assumptions!$E$9)^INT((C3895-1)/12)</f>
        <v>17547.8784</v>
      </c>
      <c r="G3895" s="10" t="n">
        <f aca="false">E3895*F3895</f>
        <v>0</v>
      </c>
      <c r="H3895" s="10" t="n">
        <f aca="false">IF(OR(Nonlabor!$L$26="Quote required",Nonlabor!$L$26="Unverified"),G3895,0)</f>
        <v>0</v>
      </c>
      <c r="I3895" s="10" t="n">
        <f aca="false">IF(Nonlabor!$E$26="Core",0,G3895)</f>
        <v>0</v>
      </c>
      <c r="J3895" s="23" t="str">
        <f aca="false">Nonlabor!$B$26</f>
        <v>AI</v>
      </c>
    </row>
    <row r="3896" customFormat="false" ht="15" hidden="false" customHeight="false" outlineLevel="0" collapsed="false">
      <c r="A3896" s="6" t="s">
        <v>73</v>
      </c>
      <c r="B3896" s="6" t="s">
        <v>436</v>
      </c>
      <c r="C3896" s="6" t="n">
        <v>51</v>
      </c>
      <c r="D3896" s="25" t="n">
        <f aca="false">EDATE('Start Here'!$B$6,C3896-1)</f>
        <v>47849</v>
      </c>
      <c r="E3896" s="23" t="n">
        <f aca="false">IF(AND(OR(Nonlabor!$D$26="Both",Nonlabor!$D$26='Start Here'!$B$9),IF(Nonlabor!$E$26="Core",1,IF(Nonlabor!$E$26="AI",'Start Here'!$B$7,'Start Here'!$B$8))=1,C3896&gt;=IF(Nonlabor!$E$26="Core",Nonlabor!$F$26,MAX(Nonlabor!$F$26,IF(Nonlabor!$E$26="AI",Assumptions!$E$24,Assumptions!$E$25))),C3896&lt;=Nonlabor!$G$26,OR(Nonlabor!$H$26="Monthly",AND(Nonlabor!$H$26="Once",C3896=IF(Nonlabor!$E$26="Core",Nonlabor!$F$26,MAX(Nonlabor!$F$26,IF(Nonlabor!$E$26="AI",Assumptions!$E$24,Assumptions!$E$25)))),AND(Nonlabor!$H$26="Annual",MOD(C3896-IF(Nonlabor!$E$26="Core",Nonlabor!$F$26,MAX(Nonlabor!$F$26,IF(Nonlabor!$E$26="AI",Assumptions!$E$24,Assumptions!$E$25))),12)=0))),IF(Nonlabor!$I$26="Fixed",1,IF(Nonlabor!$I$26="Seats",ROUNDUP('Monthly Growth'!I56,0),IF(Nonlabor!$I$26="Customers",'Monthly Growth'!D56,IF(Nonlabor!$I$26="NewCustomers",'Monthly Growth'!C56,IF(Nonlabor!$I$26="StorageGB",'Monthly Growth'!G56,IF(Nonlabor!$I$26="LogGB",'Monthly Growth'!H56,IF(Nonlabor!$I$26="RequestsM",'Monthly Growth'!F56,IF(Nonlabor!$I$26="InputM",'Monthly Growth'!D56*Assumptions!$E$22/1000000,IF(Nonlabor!$I$26="OutputM",'Monthly Growth'!D56*Assumptions!$E$23/1000000,0))))))))),0)</f>
        <v>0</v>
      </c>
      <c r="F3896" s="10" t="n">
        <f aca="false">Nonlabor!$J$26*(1+Assumptions!$E$9)^INT((C3896-1)/12)</f>
        <v>17547.8784</v>
      </c>
      <c r="G3896" s="10" t="n">
        <f aca="false">E3896*F3896</f>
        <v>0</v>
      </c>
      <c r="H3896" s="10" t="n">
        <f aca="false">IF(OR(Nonlabor!$L$26="Quote required",Nonlabor!$L$26="Unverified"),G3896,0)</f>
        <v>0</v>
      </c>
      <c r="I3896" s="10" t="n">
        <f aca="false">IF(Nonlabor!$E$26="Core",0,G3896)</f>
        <v>0</v>
      </c>
      <c r="J3896" s="23" t="str">
        <f aca="false">Nonlabor!$B$26</f>
        <v>AI</v>
      </c>
    </row>
    <row r="3897" customFormat="false" ht="15" hidden="false" customHeight="false" outlineLevel="0" collapsed="false">
      <c r="A3897" s="6" t="s">
        <v>73</v>
      </c>
      <c r="B3897" s="6" t="s">
        <v>436</v>
      </c>
      <c r="C3897" s="6" t="n">
        <v>52</v>
      </c>
      <c r="D3897" s="25" t="n">
        <f aca="false">EDATE('Start Here'!$B$6,C3897-1)</f>
        <v>47880</v>
      </c>
      <c r="E3897" s="23" t="n">
        <f aca="false">IF(AND(OR(Nonlabor!$D$26="Both",Nonlabor!$D$26='Start Here'!$B$9),IF(Nonlabor!$E$26="Core",1,IF(Nonlabor!$E$26="AI",'Start Here'!$B$7,'Start Here'!$B$8))=1,C3897&gt;=IF(Nonlabor!$E$26="Core",Nonlabor!$F$26,MAX(Nonlabor!$F$26,IF(Nonlabor!$E$26="AI",Assumptions!$E$24,Assumptions!$E$25))),C3897&lt;=Nonlabor!$G$26,OR(Nonlabor!$H$26="Monthly",AND(Nonlabor!$H$26="Once",C3897=IF(Nonlabor!$E$26="Core",Nonlabor!$F$26,MAX(Nonlabor!$F$26,IF(Nonlabor!$E$26="AI",Assumptions!$E$24,Assumptions!$E$25)))),AND(Nonlabor!$H$26="Annual",MOD(C3897-IF(Nonlabor!$E$26="Core",Nonlabor!$F$26,MAX(Nonlabor!$F$26,IF(Nonlabor!$E$26="AI",Assumptions!$E$24,Assumptions!$E$25))),12)=0))),IF(Nonlabor!$I$26="Fixed",1,IF(Nonlabor!$I$26="Seats",ROUNDUP('Monthly Growth'!I57,0),IF(Nonlabor!$I$26="Customers",'Monthly Growth'!D57,IF(Nonlabor!$I$26="NewCustomers",'Monthly Growth'!C57,IF(Nonlabor!$I$26="StorageGB",'Monthly Growth'!G57,IF(Nonlabor!$I$26="LogGB",'Monthly Growth'!H57,IF(Nonlabor!$I$26="RequestsM",'Monthly Growth'!F57,IF(Nonlabor!$I$26="InputM",'Monthly Growth'!D57*Assumptions!$E$22/1000000,IF(Nonlabor!$I$26="OutputM",'Monthly Growth'!D57*Assumptions!$E$23/1000000,0))))))))),0)</f>
        <v>0</v>
      </c>
      <c r="F3897" s="10" t="n">
        <f aca="false">Nonlabor!$J$26*(1+Assumptions!$E$9)^INT((C3897-1)/12)</f>
        <v>17547.8784</v>
      </c>
      <c r="G3897" s="10" t="n">
        <f aca="false">E3897*F3897</f>
        <v>0</v>
      </c>
      <c r="H3897" s="10" t="n">
        <f aca="false">IF(OR(Nonlabor!$L$26="Quote required",Nonlabor!$L$26="Unverified"),G3897,0)</f>
        <v>0</v>
      </c>
      <c r="I3897" s="10" t="n">
        <f aca="false">IF(Nonlabor!$E$26="Core",0,G3897)</f>
        <v>0</v>
      </c>
      <c r="J3897" s="23" t="str">
        <f aca="false">Nonlabor!$B$26</f>
        <v>AI</v>
      </c>
    </row>
    <row r="3898" customFormat="false" ht="15" hidden="false" customHeight="false" outlineLevel="0" collapsed="false">
      <c r="A3898" s="6" t="s">
        <v>73</v>
      </c>
      <c r="B3898" s="6" t="s">
        <v>436</v>
      </c>
      <c r="C3898" s="6" t="n">
        <v>53</v>
      </c>
      <c r="D3898" s="25" t="n">
        <f aca="false">EDATE('Start Here'!$B$6,C3898-1)</f>
        <v>47908</v>
      </c>
      <c r="E3898" s="23" t="n">
        <f aca="false">IF(AND(OR(Nonlabor!$D$26="Both",Nonlabor!$D$26='Start Here'!$B$9),IF(Nonlabor!$E$26="Core",1,IF(Nonlabor!$E$26="AI",'Start Here'!$B$7,'Start Here'!$B$8))=1,C3898&gt;=IF(Nonlabor!$E$26="Core",Nonlabor!$F$26,MAX(Nonlabor!$F$26,IF(Nonlabor!$E$26="AI",Assumptions!$E$24,Assumptions!$E$25))),C3898&lt;=Nonlabor!$G$26,OR(Nonlabor!$H$26="Monthly",AND(Nonlabor!$H$26="Once",C3898=IF(Nonlabor!$E$26="Core",Nonlabor!$F$26,MAX(Nonlabor!$F$26,IF(Nonlabor!$E$26="AI",Assumptions!$E$24,Assumptions!$E$25)))),AND(Nonlabor!$H$26="Annual",MOD(C3898-IF(Nonlabor!$E$26="Core",Nonlabor!$F$26,MAX(Nonlabor!$F$26,IF(Nonlabor!$E$26="AI",Assumptions!$E$24,Assumptions!$E$25))),12)=0))),IF(Nonlabor!$I$26="Fixed",1,IF(Nonlabor!$I$26="Seats",ROUNDUP('Monthly Growth'!I58,0),IF(Nonlabor!$I$26="Customers",'Monthly Growth'!D58,IF(Nonlabor!$I$26="NewCustomers",'Monthly Growth'!C58,IF(Nonlabor!$I$26="StorageGB",'Monthly Growth'!G58,IF(Nonlabor!$I$26="LogGB",'Monthly Growth'!H58,IF(Nonlabor!$I$26="RequestsM",'Monthly Growth'!F58,IF(Nonlabor!$I$26="InputM",'Monthly Growth'!D58*Assumptions!$E$22/1000000,IF(Nonlabor!$I$26="OutputM",'Monthly Growth'!D58*Assumptions!$E$23/1000000,0))))))))),0)</f>
        <v>0</v>
      </c>
      <c r="F3898" s="10" t="n">
        <f aca="false">Nonlabor!$J$26*(1+Assumptions!$E$9)^INT((C3898-1)/12)</f>
        <v>17547.8784</v>
      </c>
      <c r="G3898" s="10" t="n">
        <f aca="false">E3898*F3898</f>
        <v>0</v>
      </c>
      <c r="H3898" s="10" t="n">
        <f aca="false">IF(OR(Nonlabor!$L$26="Quote required",Nonlabor!$L$26="Unverified"),G3898,0)</f>
        <v>0</v>
      </c>
      <c r="I3898" s="10" t="n">
        <f aca="false">IF(Nonlabor!$E$26="Core",0,G3898)</f>
        <v>0</v>
      </c>
      <c r="J3898" s="23" t="str">
        <f aca="false">Nonlabor!$B$26</f>
        <v>AI</v>
      </c>
    </row>
    <row r="3899" customFormat="false" ht="15" hidden="false" customHeight="false" outlineLevel="0" collapsed="false">
      <c r="A3899" s="6" t="s">
        <v>73</v>
      </c>
      <c r="B3899" s="6" t="s">
        <v>436</v>
      </c>
      <c r="C3899" s="6" t="n">
        <v>54</v>
      </c>
      <c r="D3899" s="25" t="n">
        <f aca="false">EDATE('Start Here'!$B$6,C3899-1)</f>
        <v>47939</v>
      </c>
      <c r="E3899" s="23" t="n">
        <f aca="false">IF(AND(OR(Nonlabor!$D$26="Both",Nonlabor!$D$26='Start Here'!$B$9),IF(Nonlabor!$E$26="Core",1,IF(Nonlabor!$E$26="AI",'Start Here'!$B$7,'Start Here'!$B$8))=1,C3899&gt;=IF(Nonlabor!$E$26="Core",Nonlabor!$F$26,MAX(Nonlabor!$F$26,IF(Nonlabor!$E$26="AI",Assumptions!$E$24,Assumptions!$E$25))),C3899&lt;=Nonlabor!$G$26,OR(Nonlabor!$H$26="Monthly",AND(Nonlabor!$H$26="Once",C3899=IF(Nonlabor!$E$26="Core",Nonlabor!$F$26,MAX(Nonlabor!$F$26,IF(Nonlabor!$E$26="AI",Assumptions!$E$24,Assumptions!$E$25)))),AND(Nonlabor!$H$26="Annual",MOD(C3899-IF(Nonlabor!$E$26="Core",Nonlabor!$F$26,MAX(Nonlabor!$F$26,IF(Nonlabor!$E$26="AI",Assumptions!$E$24,Assumptions!$E$25))),12)=0))),IF(Nonlabor!$I$26="Fixed",1,IF(Nonlabor!$I$26="Seats",ROUNDUP('Monthly Growth'!I59,0),IF(Nonlabor!$I$26="Customers",'Monthly Growth'!D59,IF(Nonlabor!$I$26="NewCustomers",'Monthly Growth'!C59,IF(Nonlabor!$I$26="StorageGB",'Monthly Growth'!G59,IF(Nonlabor!$I$26="LogGB",'Monthly Growth'!H59,IF(Nonlabor!$I$26="RequestsM",'Monthly Growth'!F59,IF(Nonlabor!$I$26="InputM",'Monthly Growth'!D59*Assumptions!$E$22/1000000,IF(Nonlabor!$I$26="OutputM",'Monthly Growth'!D59*Assumptions!$E$23/1000000,0))))))))),0)</f>
        <v>0</v>
      </c>
      <c r="F3899" s="10" t="n">
        <f aca="false">Nonlabor!$J$26*(1+Assumptions!$E$9)^INT((C3899-1)/12)</f>
        <v>17547.8784</v>
      </c>
      <c r="G3899" s="10" t="n">
        <f aca="false">E3899*F3899</f>
        <v>0</v>
      </c>
      <c r="H3899" s="10" t="n">
        <f aca="false">IF(OR(Nonlabor!$L$26="Quote required",Nonlabor!$L$26="Unverified"),G3899,0)</f>
        <v>0</v>
      </c>
      <c r="I3899" s="10" t="n">
        <f aca="false">IF(Nonlabor!$E$26="Core",0,G3899)</f>
        <v>0</v>
      </c>
      <c r="J3899" s="23" t="str">
        <f aca="false">Nonlabor!$B$26</f>
        <v>AI</v>
      </c>
    </row>
    <row r="3900" customFormat="false" ht="15" hidden="false" customHeight="false" outlineLevel="0" collapsed="false">
      <c r="A3900" s="6" t="s">
        <v>73</v>
      </c>
      <c r="B3900" s="6" t="s">
        <v>436</v>
      </c>
      <c r="C3900" s="6" t="n">
        <v>55</v>
      </c>
      <c r="D3900" s="25" t="n">
        <f aca="false">EDATE('Start Here'!$B$6,C3900-1)</f>
        <v>47969</v>
      </c>
      <c r="E3900" s="23" t="n">
        <f aca="false">IF(AND(OR(Nonlabor!$D$26="Both",Nonlabor!$D$26='Start Here'!$B$9),IF(Nonlabor!$E$26="Core",1,IF(Nonlabor!$E$26="AI",'Start Here'!$B$7,'Start Here'!$B$8))=1,C3900&gt;=IF(Nonlabor!$E$26="Core",Nonlabor!$F$26,MAX(Nonlabor!$F$26,IF(Nonlabor!$E$26="AI",Assumptions!$E$24,Assumptions!$E$25))),C3900&lt;=Nonlabor!$G$26,OR(Nonlabor!$H$26="Monthly",AND(Nonlabor!$H$26="Once",C3900=IF(Nonlabor!$E$26="Core",Nonlabor!$F$26,MAX(Nonlabor!$F$26,IF(Nonlabor!$E$26="AI",Assumptions!$E$24,Assumptions!$E$25)))),AND(Nonlabor!$H$26="Annual",MOD(C3900-IF(Nonlabor!$E$26="Core",Nonlabor!$F$26,MAX(Nonlabor!$F$26,IF(Nonlabor!$E$26="AI",Assumptions!$E$24,Assumptions!$E$25))),12)=0))),IF(Nonlabor!$I$26="Fixed",1,IF(Nonlabor!$I$26="Seats",ROUNDUP('Monthly Growth'!I60,0),IF(Nonlabor!$I$26="Customers",'Monthly Growth'!D60,IF(Nonlabor!$I$26="NewCustomers",'Monthly Growth'!C60,IF(Nonlabor!$I$26="StorageGB",'Monthly Growth'!G60,IF(Nonlabor!$I$26="LogGB",'Monthly Growth'!H60,IF(Nonlabor!$I$26="RequestsM",'Monthly Growth'!F60,IF(Nonlabor!$I$26="InputM",'Monthly Growth'!D60*Assumptions!$E$22/1000000,IF(Nonlabor!$I$26="OutputM",'Monthly Growth'!D60*Assumptions!$E$23/1000000,0))))))))),0)</f>
        <v>0</v>
      </c>
      <c r="F3900" s="10" t="n">
        <f aca="false">Nonlabor!$J$26*(1+Assumptions!$E$9)^INT((C3900-1)/12)</f>
        <v>17547.8784</v>
      </c>
      <c r="G3900" s="10" t="n">
        <f aca="false">E3900*F3900</f>
        <v>0</v>
      </c>
      <c r="H3900" s="10" t="n">
        <f aca="false">IF(OR(Nonlabor!$L$26="Quote required",Nonlabor!$L$26="Unverified"),G3900,0)</f>
        <v>0</v>
      </c>
      <c r="I3900" s="10" t="n">
        <f aca="false">IF(Nonlabor!$E$26="Core",0,G3900)</f>
        <v>0</v>
      </c>
      <c r="J3900" s="23" t="str">
        <f aca="false">Nonlabor!$B$26</f>
        <v>AI</v>
      </c>
    </row>
    <row r="3901" customFormat="false" ht="15" hidden="false" customHeight="false" outlineLevel="0" collapsed="false">
      <c r="A3901" s="6" t="s">
        <v>73</v>
      </c>
      <c r="B3901" s="6" t="s">
        <v>436</v>
      </c>
      <c r="C3901" s="6" t="n">
        <v>56</v>
      </c>
      <c r="D3901" s="25" t="n">
        <f aca="false">EDATE('Start Here'!$B$6,C3901-1)</f>
        <v>48000</v>
      </c>
      <c r="E3901" s="23" t="n">
        <f aca="false">IF(AND(OR(Nonlabor!$D$26="Both",Nonlabor!$D$26='Start Here'!$B$9),IF(Nonlabor!$E$26="Core",1,IF(Nonlabor!$E$26="AI",'Start Here'!$B$7,'Start Here'!$B$8))=1,C3901&gt;=IF(Nonlabor!$E$26="Core",Nonlabor!$F$26,MAX(Nonlabor!$F$26,IF(Nonlabor!$E$26="AI",Assumptions!$E$24,Assumptions!$E$25))),C3901&lt;=Nonlabor!$G$26,OR(Nonlabor!$H$26="Monthly",AND(Nonlabor!$H$26="Once",C3901=IF(Nonlabor!$E$26="Core",Nonlabor!$F$26,MAX(Nonlabor!$F$26,IF(Nonlabor!$E$26="AI",Assumptions!$E$24,Assumptions!$E$25)))),AND(Nonlabor!$H$26="Annual",MOD(C3901-IF(Nonlabor!$E$26="Core",Nonlabor!$F$26,MAX(Nonlabor!$F$26,IF(Nonlabor!$E$26="AI",Assumptions!$E$24,Assumptions!$E$25))),12)=0))),IF(Nonlabor!$I$26="Fixed",1,IF(Nonlabor!$I$26="Seats",ROUNDUP('Monthly Growth'!I61,0),IF(Nonlabor!$I$26="Customers",'Monthly Growth'!D61,IF(Nonlabor!$I$26="NewCustomers",'Monthly Growth'!C61,IF(Nonlabor!$I$26="StorageGB",'Monthly Growth'!G61,IF(Nonlabor!$I$26="LogGB",'Monthly Growth'!H61,IF(Nonlabor!$I$26="RequestsM",'Monthly Growth'!F61,IF(Nonlabor!$I$26="InputM",'Monthly Growth'!D61*Assumptions!$E$22/1000000,IF(Nonlabor!$I$26="OutputM",'Monthly Growth'!D61*Assumptions!$E$23/1000000,0))))))))),0)</f>
        <v>0</v>
      </c>
      <c r="F3901" s="10" t="n">
        <f aca="false">Nonlabor!$J$26*(1+Assumptions!$E$9)^INT((C3901-1)/12)</f>
        <v>17547.8784</v>
      </c>
      <c r="G3901" s="10" t="n">
        <f aca="false">E3901*F3901</f>
        <v>0</v>
      </c>
      <c r="H3901" s="10" t="n">
        <f aca="false">IF(OR(Nonlabor!$L$26="Quote required",Nonlabor!$L$26="Unverified"),G3901,0)</f>
        <v>0</v>
      </c>
      <c r="I3901" s="10" t="n">
        <f aca="false">IF(Nonlabor!$E$26="Core",0,G3901)</f>
        <v>0</v>
      </c>
      <c r="J3901" s="23" t="str">
        <f aca="false">Nonlabor!$B$26</f>
        <v>AI</v>
      </c>
    </row>
    <row r="3902" customFormat="false" ht="15" hidden="false" customHeight="false" outlineLevel="0" collapsed="false">
      <c r="A3902" s="6" t="s">
        <v>73</v>
      </c>
      <c r="B3902" s="6" t="s">
        <v>436</v>
      </c>
      <c r="C3902" s="6" t="n">
        <v>57</v>
      </c>
      <c r="D3902" s="25" t="n">
        <f aca="false">EDATE('Start Here'!$B$6,C3902-1)</f>
        <v>48030</v>
      </c>
      <c r="E3902" s="23" t="n">
        <f aca="false">IF(AND(OR(Nonlabor!$D$26="Both",Nonlabor!$D$26='Start Here'!$B$9),IF(Nonlabor!$E$26="Core",1,IF(Nonlabor!$E$26="AI",'Start Here'!$B$7,'Start Here'!$B$8))=1,C3902&gt;=IF(Nonlabor!$E$26="Core",Nonlabor!$F$26,MAX(Nonlabor!$F$26,IF(Nonlabor!$E$26="AI",Assumptions!$E$24,Assumptions!$E$25))),C3902&lt;=Nonlabor!$G$26,OR(Nonlabor!$H$26="Monthly",AND(Nonlabor!$H$26="Once",C3902=IF(Nonlabor!$E$26="Core",Nonlabor!$F$26,MAX(Nonlabor!$F$26,IF(Nonlabor!$E$26="AI",Assumptions!$E$24,Assumptions!$E$25)))),AND(Nonlabor!$H$26="Annual",MOD(C3902-IF(Nonlabor!$E$26="Core",Nonlabor!$F$26,MAX(Nonlabor!$F$26,IF(Nonlabor!$E$26="AI",Assumptions!$E$24,Assumptions!$E$25))),12)=0))),IF(Nonlabor!$I$26="Fixed",1,IF(Nonlabor!$I$26="Seats",ROUNDUP('Monthly Growth'!I62,0),IF(Nonlabor!$I$26="Customers",'Monthly Growth'!D62,IF(Nonlabor!$I$26="NewCustomers",'Monthly Growth'!C62,IF(Nonlabor!$I$26="StorageGB",'Monthly Growth'!G62,IF(Nonlabor!$I$26="LogGB",'Monthly Growth'!H62,IF(Nonlabor!$I$26="RequestsM",'Monthly Growth'!F62,IF(Nonlabor!$I$26="InputM",'Monthly Growth'!D62*Assumptions!$E$22/1000000,IF(Nonlabor!$I$26="OutputM",'Monthly Growth'!D62*Assumptions!$E$23/1000000,0))))))))),0)</f>
        <v>0</v>
      </c>
      <c r="F3902" s="10" t="n">
        <f aca="false">Nonlabor!$J$26*(1+Assumptions!$E$9)^INT((C3902-1)/12)</f>
        <v>17547.8784</v>
      </c>
      <c r="G3902" s="10" t="n">
        <f aca="false">E3902*F3902</f>
        <v>0</v>
      </c>
      <c r="H3902" s="10" t="n">
        <f aca="false">IF(OR(Nonlabor!$L$26="Quote required",Nonlabor!$L$26="Unverified"),G3902,0)</f>
        <v>0</v>
      </c>
      <c r="I3902" s="10" t="n">
        <f aca="false">IF(Nonlabor!$E$26="Core",0,G3902)</f>
        <v>0</v>
      </c>
      <c r="J3902" s="23" t="str">
        <f aca="false">Nonlabor!$B$26</f>
        <v>AI</v>
      </c>
    </row>
    <row r="3903" customFormat="false" ht="15" hidden="false" customHeight="false" outlineLevel="0" collapsed="false">
      <c r="A3903" s="6" t="s">
        <v>73</v>
      </c>
      <c r="B3903" s="6" t="s">
        <v>436</v>
      </c>
      <c r="C3903" s="6" t="n">
        <v>58</v>
      </c>
      <c r="D3903" s="25" t="n">
        <f aca="false">EDATE('Start Here'!$B$6,C3903-1)</f>
        <v>48061</v>
      </c>
      <c r="E3903" s="23" t="n">
        <f aca="false">IF(AND(OR(Nonlabor!$D$26="Both",Nonlabor!$D$26='Start Here'!$B$9),IF(Nonlabor!$E$26="Core",1,IF(Nonlabor!$E$26="AI",'Start Here'!$B$7,'Start Here'!$B$8))=1,C3903&gt;=IF(Nonlabor!$E$26="Core",Nonlabor!$F$26,MAX(Nonlabor!$F$26,IF(Nonlabor!$E$26="AI",Assumptions!$E$24,Assumptions!$E$25))),C3903&lt;=Nonlabor!$G$26,OR(Nonlabor!$H$26="Monthly",AND(Nonlabor!$H$26="Once",C3903=IF(Nonlabor!$E$26="Core",Nonlabor!$F$26,MAX(Nonlabor!$F$26,IF(Nonlabor!$E$26="AI",Assumptions!$E$24,Assumptions!$E$25)))),AND(Nonlabor!$H$26="Annual",MOD(C3903-IF(Nonlabor!$E$26="Core",Nonlabor!$F$26,MAX(Nonlabor!$F$26,IF(Nonlabor!$E$26="AI",Assumptions!$E$24,Assumptions!$E$25))),12)=0))),IF(Nonlabor!$I$26="Fixed",1,IF(Nonlabor!$I$26="Seats",ROUNDUP('Monthly Growth'!I63,0),IF(Nonlabor!$I$26="Customers",'Monthly Growth'!D63,IF(Nonlabor!$I$26="NewCustomers",'Monthly Growth'!C63,IF(Nonlabor!$I$26="StorageGB",'Monthly Growth'!G63,IF(Nonlabor!$I$26="LogGB",'Monthly Growth'!H63,IF(Nonlabor!$I$26="RequestsM",'Monthly Growth'!F63,IF(Nonlabor!$I$26="InputM",'Monthly Growth'!D63*Assumptions!$E$22/1000000,IF(Nonlabor!$I$26="OutputM",'Monthly Growth'!D63*Assumptions!$E$23/1000000,0))))))))),0)</f>
        <v>0</v>
      </c>
      <c r="F3903" s="10" t="n">
        <f aca="false">Nonlabor!$J$26*(1+Assumptions!$E$9)^INT((C3903-1)/12)</f>
        <v>17547.8784</v>
      </c>
      <c r="G3903" s="10" t="n">
        <f aca="false">E3903*F3903</f>
        <v>0</v>
      </c>
      <c r="H3903" s="10" t="n">
        <f aca="false">IF(OR(Nonlabor!$L$26="Quote required",Nonlabor!$L$26="Unverified"),G3903,0)</f>
        <v>0</v>
      </c>
      <c r="I3903" s="10" t="n">
        <f aca="false">IF(Nonlabor!$E$26="Core",0,G3903)</f>
        <v>0</v>
      </c>
      <c r="J3903" s="23" t="str">
        <f aca="false">Nonlabor!$B$26</f>
        <v>AI</v>
      </c>
    </row>
    <row r="3904" customFormat="false" ht="15" hidden="false" customHeight="false" outlineLevel="0" collapsed="false">
      <c r="A3904" s="6" t="s">
        <v>73</v>
      </c>
      <c r="B3904" s="6" t="s">
        <v>436</v>
      </c>
      <c r="C3904" s="6" t="n">
        <v>59</v>
      </c>
      <c r="D3904" s="25" t="n">
        <f aca="false">EDATE('Start Here'!$B$6,C3904-1)</f>
        <v>48092</v>
      </c>
      <c r="E3904" s="23" t="n">
        <f aca="false">IF(AND(OR(Nonlabor!$D$26="Both",Nonlabor!$D$26='Start Here'!$B$9),IF(Nonlabor!$E$26="Core",1,IF(Nonlabor!$E$26="AI",'Start Here'!$B$7,'Start Here'!$B$8))=1,C3904&gt;=IF(Nonlabor!$E$26="Core",Nonlabor!$F$26,MAX(Nonlabor!$F$26,IF(Nonlabor!$E$26="AI",Assumptions!$E$24,Assumptions!$E$25))),C3904&lt;=Nonlabor!$G$26,OR(Nonlabor!$H$26="Monthly",AND(Nonlabor!$H$26="Once",C3904=IF(Nonlabor!$E$26="Core",Nonlabor!$F$26,MAX(Nonlabor!$F$26,IF(Nonlabor!$E$26="AI",Assumptions!$E$24,Assumptions!$E$25)))),AND(Nonlabor!$H$26="Annual",MOD(C3904-IF(Nonlabor!$E$26="Core",Nonlabor!$F$26,MAX(Nonlabor!$F$26,IF(Nonlabor!$E$26="AI",Assumptions!$E$24,Assumptions!$E$25))),12)=0))),IF(Nonlabor!$I$26="Fixed",1,IF(Nonlabor!$I$26="Seats",ROUNDUP('Monthly Growth'!I64,0),IF(Nonlabor!$I$26="Customers",'Monthly Growth'!D64,IF(Nonlabor!$I$26="NewCustomers",'Monthly Growth'!C64,IF(Nonlabor!$I$26="StorageGB",'Monthly Growth'!G64,IF(Nonlabor!$I$26="LogGB",'Monthly Growth'!H64,IF(Nonlabor!$I$26="RequestsM",'Monthly Growth'!F64,IF(Nonlabor!$I$26="InputM",'Monthly Growth'!D64*Assumptions!$E$22/1000000,IF(Nonlabor!$I$26="OutputM",'Monthly Growth'!D64*Assumptions!$E$23/1000000,0))))))))),0)</f>
        <v>0</v>
      </c>
      <c r="F3904" s="10" t="n">
        <f aca="false">Nonlabor!$J$26*(1+Assumptions!$E$9)^INT((C3904-1)/12)</f>
        <v>17547.8784</v>
      </c>
      <c r="G3904" s="10" t="n">
        <f aca="false">E3904*F3904</f>
        <v>0</v>
      </c>
      <c r="H3904" s="10" t="n">
        <f aca="false">IF(OR(Nonlabor!$L$26="Quote required",Nonlabor!$L$26="Unverified"),G3904,0)</f>
        <v>0</v>
      </c>
      <c r="I3904" s="10" t="n">
        <f aca="false">IF(Nonlabor!$E$26="Core",0,G3904)</f>
        <v>0</v>
      </c>
      <c r="J3904" s="23" t="str">
        <f aca="false">Nonlabor!$B$26</f>
        <v>AI</v>
      </c>
    </row>
    <row r="3905" customFormat="false" ht="15" hidden="false" customHeight="false" outlineLevel="0" collapsed="false">
      <c r="A3905" s="6" t="s">
        <v>73</v>
      </c>
      <c r="B3905" s="6" t="s">
        <v>436</v>
      </c>
      <c r="C3905" s="6" t="n">
        <v>60</v>
      </c>
      <c r="D3905" s="25" t="n">
        <f aca="false">EDATE('Start Here'!$B$6,C3905-1)</f>
        <v>48122</v>
      </c>
      <c r="E3905" s="23" t="n">
        <f aca="false">IF(AND(OR(Nonlabor!$D$26="Both",Nonlabor!$D$26='Start Here'!$B$9),IF(Nonlabor!$E$26="Core",1,IF(Nonlabor!$E$26="AI",'Start Here'!$B$7,'Start Here'!$B$8))=1,C3905&gt;=IF(Nonlabor!$E$26="Core",Nonlabor!$F$26,MAX(Nonlabor!$F$26,IF(Nonlabor!$E$26="AI",Assumptions!$E$24,Assumptions!$E$25))),C3905&lt;=Nonlabor!$G$26,OR(Nonlabor!$H$26="Monthly",AND(Nonlabor!$H$26="Once",C3905=IF(Nonlabor!$E$26="Core",Nonlabor!$F$26,MAX(Nonlabor!$F$26,IF(Nonlabor!$E$26="AI",Assumptions!$E$24,Assumptions!$E$25)))),AND(Nonlabor!$H$26="Annual",MOD(C3905-IF(Nonlabor!$E$26="Core",Nonlabor!$F$26,MAX(Nonlabor!$F$26,IF(Nonlabor!$E$26="AI",Assumptions!$E$24,Assumptions!$E$25))),12)=0))),IF(Nonlabor!$I$26="Fixed",1,IF(Nonlabor!$I$26="Seats",ROUNDUP('Monthly Growth'!I65,0),IF(Nonlabor!$I$26="Customers",'Monthly Growth'!D65,IF(Nonlabor!$I$26="NewCustomers",'Monthly Growth'!C65,IF(Nonlabor!$I$26="StorageGB",'Monthly Growth'!G65,IF(Nonlabor!$I$26="LogGB",'Monthly Growth'!H65,IF(Nonlabor!$I$26="RequestsM",'Monthly Growth'!F65,IF(Nonlabor!$I$26="InputM",'Monthly Growth'!D65*Assumptions!$E$22/1000000,IF(Nonlabor!$I$26="OutputM",'Monthly Growth'!D65*Assumptions!$E$23/1000000,0))))))))),0)</f>
        <v>0</v>
      </c>
      <c r="F3905" s="10" t="n">
        <f aca="false">Nonlabor!$J$26*(1+Assumptions!$E$9)^INT((C3905-1)/12)</f>
        <v>17547.8784</v>
      </c>
      <c r="G3905" s="10" t="n">
        <f aca="false">E3905*F3905</f>
        <v>0</v>
      </c>
      <c r="H3905" s="10" t="n">
        <f aca="false">IF(OR(Nonlabor!$L$26="Quote required",Nonlabor!$L$26="Unverified"),G3905,0)</f>
        <v>0</v>
      </c>
      <c r="I3905" s="10" t="n">
        <f aca="false">IF(Nonlabor!$E$26="Core",0,G3905)</f>
        <v>0</v>
      </c>
      <c r="J3905" s="23" t="str">
        <f aca="false">Nonlabor!$B$26</f>
        <v>AI</v>
      </c>
    </row>
    <row r="3906" customFormat="false" ht="15" hidden="false" customHeight="false" outlineLevel="0" collapsed="false">
      <c r="A3906" s="6" t="s">
        <v>73</v>
      </c>
      <c r="B3906" s="6" t="s">
        <v>439</v>
      </c>
      <c r="C3906" s="6" t="n">
        <v>1</v>
      </c>
      <c r="D3906" s="25" t="n">
        <f aca="false">EDATE('Start Here'!$B$6,C3906-1)</f>
        <v>46327</v>
      </c>
      <c r="E3906" s="23" t="n">
        <f aca="false">IF(AND(OR(Nonlabor!$D$27="Both",Nonlabor!$D$27='Start Here'!$B$9),IF(Nonlabor!$E$27="Core",1,IF(Nonlabor!$E$27="AI",'Start Here'!$B$7,'Start Here'!$B$8))=1,C3906&gt;=IF(Nonlabor!$E$27="Core",Nonlabor!$F$27,MAX(Nonlabor!$F$27,IF(Nonlabor!$E$27="AI",Assumptions!$E$24,Assumptions!$E$25))),C3906&lt;=Nonlabor!$G$27,OR(Nonlabor!$H$27="Monthly",AND(Nonlabor!$H$27="Once",C3906=IF(Nonlabor!$E$27="Core",Nonlabor!$F$27,MAX(Nonlabor!$F$27,IF(Nonlabor!$E$27="AI",Assumptions!$E$24,Assumptions!$E$25)))),AND(Nonlabor!$H$27="Annual",MOD(C3906-IF(Nonlabor!$E$27="Core",Nonlabor!$F$27,MAX(Nonlabor!$F$27,IF(Nonlabor!$E$27="AI",Assumptions!$E$24,Assumptions!$E$25))),12)=0))),IF(Nonlabor!$I$27="Fixed",1,IF(Nonlabor!$I$27="Seats",ROUNDUP('Monthly Growth'!I6,0),IF(Nonlabor!$I$27="Customers",'Monthly Growth'!D6,IF(Nonlabor!$I$27="NewCustomers",'Monthly Growth'!C6,IF(Nonlabor!$I$27="StorageGB",'Monthly Growth'!G6,IF(Nonlabor!$I$27="LogGB",'Monthly Growth'!H6,IF(Nonlabor!$I$27="RequestsM",'Monthly Growth'!F6,IF(Nonlabor!$I$27="InputM",'Monthly Growth'!D6*Assumptions!$E$22/1000000,IF(Nonlabor!$I$27="OutputM",'Monthly Growth'!D6*Assumptions!$E$23/1000000,0))))))))),0)</f>
        <v>0</v>
      </c>
      <c r="F3906" s="10" t="n">
        <f aca="false">Nonlabor!$J$27*(1+Assumptions!$E$9)^INT((C3906-1)/12)</f>
        <v>40000</v>
      </c>
      <c r="G3906" s="10" t="n">
        <f aca="false">E3906*F3906</f>
        <v>0</v>
      </c>
      <c r="H3906" s="10" t="n">
        <f aca="false">IF(OR(Nonlabor!$L$27="Quote required",Nonlabor!$L$27="Unverified"),G3906,0)</f>
        <v>0</v>
      </c>
      <c r="I3906" s="10" t="n">
        <f aca="false">IF(Nonlabor!$E$27="Core",0,G3906)</f>
        <v>0</v>
      </c>
      <c r="J3906" s="23" t="str">
        <f aca="false">Nonlabor!$B$27</f>
        <v>CTMS</v>
      </c>
    </row>
    <row r="3907" customFormat="false" ht="15" hidden="false" customHeight="false" outlineLevel="0" collapsed="false">
      <c r="A3907" s="6" t="s">
        <v>73</v>
      </c>
      <c r="B3907" s="6" t="s">
        <v>439</v>
      </c>
      <c r="C3907" s="6" t="n">
        <v>2</v>
      </c>
      <c r="D3907" s="25" t="n">
        <f aca="false">EDATE('Start Here'!$B$6,C3907-1)</f>
        <v>46357</v>
      </c>
      <c r="E3907" s="23" t="n">
        <f aca="false">IF(AND(OR(Nonlabor!$D$27="Both",Nonlabor!$D$27='Start Here'!$B$9),IF(Nonlabor!$E$27="Core",1,IF(Nonlabor!$E$27="AI",'Start Here'!$B$7,'Start Here'!$B$8))=1,C3907&gt;=IF(Nonlabor!$E$27="Core",Nonlabor!$F$27,MAX(Nonlabor!$F$27,IF(Nonlabor!$E$27="AI",Assumptions!$E$24,Assumptions!$E$25))),C3907&lt;=Nonlabor!$G$27,OR(Nonlabor!$H$27="Monthly",AND(Nonlabor!$H$27="Once",C3907=IF(Nonlabor!$E$27="Core",Nonlabor!$F$27,MAX(Nonlabor!$F$27,IF(Nonlabor!$E$27="AI",Assumptions!$E$24,Assumptions!$E$25)))),AND(Nonlabor!$H$27="Annual",MOD(C3907-IF(Nonlabor!$E$27="Core",Nonlabor!$F$27,MAX(Nonlabor!$F$27,IF(Nonlabor!$E$27="AI",Assumptions!$E$24,Assumptions!$E$25))),12)=0))),IF(Nonlabor!$I$27="Fixed",1,IF(Nonlabor!$I$27="Seats",ROUNDUP('Monthly Growth'!I7,0),IF(Nonlabor!$I$27="Customers",'Monthly Growth'!D7,IF(Nonlabor!$I$27="NewCustomers",'Monthly Growth'!C7,IF(Nonlabor!$I$27="StorageGB",'Monthly Growth'!G7,IF(Nonlabor!$I$27="LogGB",'Monthly Growth'!H7,IF(Nonlabor!$I$27="RequestsM",'Monthly Growth'!F7,IF(Nonlabor!$I$27="InputM",'Monthly Growth'!D7*Assumptions!$E$22/1000000,IF(Nonlabor!$I$27="OutputM",'Monthly Growth'!D7*Assumptions!$E$23/1000000,0))))))))),0)</f>
        <v>0</v>
      </c>
      <c r="F3907" s="10" t="n">
        <f aca="false">Nonlabor!$J$27*(1+Assumptions!$E$9)^INT((C3907-1)/12)</f>
        <v>40000</v>
      </c>
      <c r="G3907" s="10" t="n">
        <f aca="false">E3907*F3907</f>
        <v>0</v>
      </c>
      <c r="H3907" s="10" t="n">
        <f aca="false">IF(OR(Nonlabor!$L$27="Quote required",Nonlabor!$L$27="Unverified"),G3907,0)</f>
        <v>0</v>
      </c>
      <c r="I3907" s="10" t="n">
        <f aca="false">IF(Nonlabor!$E$27="Core",0,G3907)</f>
        <v>0</v>
      </c>
      <c r="J3907" s="23" t="str">
        <f aca="false">Nonlabor!$B$27</f>
        <v>CTMS</v>
      </c>
    </row>
    <row r="3908" customFormat="false" ht="15" hidden="false" customHeight="false" outlineLevel="0" collapsed="false">
      <c r="A3908" s="6" t="s">
        <v>73</v>
      </c>
      <c r="B3908" s="6" t="s">
        <v>439</v>
      </c>
      <c r="C3908" s="6" t="n">
        <v>3</v>
      </c>
      <c r="D3908" s="25" t="n">
        <f aca="false">EDATE('Start Here'!$B$6,C3908-1)</f>
        <v>46388</v>
      </c>
      <c r="E3908" s="23" t="n">
        <f aca="false">IF(AND(OR(Nonlabor!$D$27="Both",Nonlabor!$D$27='Start Here'!$B$9),IF(Nonlabor!$E$27="Core",1,IF(Nonlabor!$E$27="AI",'Start Here'!$B$7,'Start Here'!$B$8))=1,C3908&gt;=IF(Nonlabor!$E$27="Core",Nonlabor!$F$27,MAX(Nonlabor!$F$27,IF(Nonlabor!$E$27="AI",Assumptions!$E$24,Assumptions!$E$25))),C3908&lt;=Nonlabor!$G$27,OR(Nonlabor!$H$27="Monthly",AND(Nonlabor!$H$27="Once",C3908=IF(Nonlabor!$E$27="Core",Nonlabor!$F$27,MAX(Nonlabor!$F$27,IF(Nonlabor!$E$27="AI",Assumptions!$E$24,Assumptions!$E$25)))),AND(Nonlabor!$H$27="Annual",MOD(C3908-IF(Nonlabor!$E$27="Core",Nonlabor!$F$27,MAX(Nonlabor!$F$27,IF(Nonlabor!$E$27="AI",Assumptions!$E$24,Assumptions!$E$25))),12)=0))),IF(Nonlabor!$I$27="Fixed",1,IF(Nonlabor!$I$27="Seats",ROUNDUP('Monthly Growth'!I8,0),IF(Nonlabor!$I$27="Customers",'Monthly Growth'!D8,IF(Nonlabor!$I$27="NewCustomers",'Monthly Growth'!C8,IF(Nonlabor!$I$27="StorageGB",'Monthly Growth'!G8,IF(Nonlabor!$I$27="LogGB",'Monthly Growth'!H8,IF(Nonlabor!$I$27="RequestsM",'Monthly Growth'!F8,IF(Nonlabor!$I$27="InputM",'Monthly Growth'!D8*Assumptions!$E$22/1000000,IF(Nonlabor!$I$27="OutputM",'Monthly Growth'!D8*Assumptions!$E$23/1000000,0))))))))),0)</f>
        <v>0</v>
      </c>
      <c r="F3908" s="10" t="n">
        <f aca="false">Nonlabor!$J$27*(1+Assumptions!$E$9)^INT((C3908-1)/12)</f>
        <v>40000</v>
      </c>
      <c r="G3908" s="10" t="n">
        <f aca="false">E3908*F3908</f>
        <v>0</v>
      </c>
      <c r="H3908" s="10" t="n">
        <f aca="false">IF(OR(Nonlabor!$L$27="Quote required",Nonlabor!$L$27="Unverified"),G3908,0)</f>
        <v>0</v>
      </c>
      <c r="I3908" s="10" t="n">
        <f aca="false">IF(Nonlabor!$E$27="Core",0,G3908)</f>
        <v>0</v>
      </c>
      <c r="J3908" s="23" t="str">
        <f aca="false">Nonlabor!$B$27</f>
        <v>CTMS</v>
      </c>
    </row>
    <row r="3909" customFormat="false" ht="15" hidden="false" customHeight="false" outlineLevel="0" collapsed="false">
      <c r="A3909" s="6" t="s">
        <v>73</v>
      </c>
      <c r="B3909" s="6" t="s">
        <v>439</v>
      </c>
      <c r="C3909" s="6" t="n">
        <v>4</v>
      </c>
      <c r="D3909" s="25" t="n">
        <f aca="false">EDATE('Start Here'!$B$6,C3909-1)</f>
        <v>46419</v>
      </c>
      <c r="E3909" s="23" t="n">
        <f aca="false">IF(AND(OR(Nonlabor!$D$27="Both",Nonlabor!$D$27='Start Here'!$B$9),IF(Nonlabor!$E$27="Core",1,IF(Nonlabor!$E$27="AI",'Start Here'!$B$7,'Start Here'!$B$8))=1,C3909&gt;=IF(Nonlabor!$E$27="Core",Nonlabor!$F$27,MAX(Nonlabor!$F$27,IF(Nonlabor!$E$27="AI",Assumptions!$E$24,Assumptions!$E$25))),C3909&lt;=Nonlabor!$G$27,OR(Nonlabor!$H$27="Monthly",AND(Nonlabor!$H$27="Once",C3909=IF(Nonlabor!$E$27="Core",Nonlabor!$F$27,MAX(Nonlabor!$F$27,IF(Nonlabor!$E$27="AI",Assumptions!$E$24,Assumptions!$E$25)))),AND(Nonlabor!$H$27="Annual",MOD(C3909-IF(Nonlabor!$E$27="Core",Nonlabor!$F$27,MAX(Nonlabor!$F$27,IF(Nonlabor!$E$27="AI",Assumptions!$E$24,Assumptions!$E$25))),12)=0))),IF(Nonlabor!$I$27="Fixed",1,IF(Nonlabor!$I$27="Seats",ROUNDUP('Monthly Growth'!I9,0),IF(Nonlabor!$I$27="Customers",'Monthly Growth'!D9,IF(Nonlabor!$I$27="NewCustomers",'Monthly Growth'!C9,IF(Nonlabor!$I$27="StorageGB",'Monthly Growth'!G9,IF(Nonlabor!$I$27="LogGB",'Monthly Growth'!H9,IF(Nonlabor!$I$27="RequestsM",'Monthly Growth'!F9,IF(Nonlabor!$I$27="InputM",'Monthly Growth'!D9*Assumptions!$E$22/1000000,IF(Nonlabor!$I$27="OutputM",'Monthly Growth'!D9*Assumptions!$E$23/1000000,0))))))))),0)</f>
        <v>0</v>
      </c>
      <c r="F3909" s="10" t="n">
        <f aca="false">Nonlabor!$J$27*(1+Assumptions!$E$9)^INT((C3909-1)/12)</f>
        <v>40000</v>
      </c>
      <c r="G3909" s="10" t="n">
        <f aca="false">E3909*F3909</f>
        <v>0</v>
      </c>
      <c r="H3909" s="10" t="n">
        <f aca="false">IF(OR(Nonlabor!$L$27="Quote required",Nonlabor!$L$27="Unverified"),G3909,0)</f>
        <v>0</v>
      </c>
      <c r="I3909" s="10" t="n">
        <f aca="false">IF(Nonlabor!$E$27="Core",0,G3909)</f>
        <v>0</v>
      </c>
      <c r="J3909" s="23" t="str">
        <f aca="false">Nonlabor!$B$27</f>
        <v>CTMS</v>
      </c>
    </row>
    <row r="3910" customFormat="false" ht="15" hidden="false" customHeight="false" outlineLevel="0" collapsed="false">
      <c r="A3910" s="6" t="s">
        <v>73</v>
      </c>
      <c r="B3910" s="6" t="s">
        <v>439</v>
      </c>
      <c r="C3910" s="6" t="n">
        <v>5</v>
      </c>
      <c r="D3910" s="25" t="n">
        <f aca="false">EDATE('Start Here'!$B$6,C3910-1)</f>
        <v>46447</v>
      </c>
      <c r="E3910" s="23" t="n">
        <f aca="false">IF(AND(OR(Nonlabor!$D$27="Both",Nonlabor!$D$27='Start Here'!$B$9),IF(Nonlabor!$E$27="Core",1,IF(Nonlabor!$E$27="AI",'Start Here'!$B$7,'Start Here'!$B$8))=1,C3910&gt;=IF(Nonlabor!$E$27="Core",Nonlabor!$F$27,MAX(Nonlabor!$F$27,IF(Nonlabor!$E$27="AI",Assumptions!$E$24,Assumptions!$E$25))),C3910&lt;=Nonlabor!$G$27,OR(Nonlabor!$H$27="Monthly",AND(Nonlabor!$H$27="Once",C3910=IF(Nonlabor!$E$27="Core",Nonlabor!$F$27,MAX(Nonlabor!$F$27,IF(Nonlabor!$E$27="AI",Assumptions!$E$24,Assumptions!$E$25)))),AND(Nonlabor!$H$27="Annual",MOD(C3910-IF(Nonlabor!$E$27="Core",Nonlabor!$F$27,MAX(Nonlabor!$F$27,IF(Nonlabor!$E$27="AI",Assumptions!$E$24,Assumptions!$E$25))),12)=0))),IF(Nonlabor!$I$27="Fixed",1,IF(Nonlabor!$I$27="Seats",ROUNDUP('Monthly Growth'!I10,0),IF(Nonlabor!$I$27="Customers",'Monthly Growth'!D10,IF(Nonlabor!$I$27="NewCustomers",'Monthly Growth'!C10,IF(Nonlabor!$I$27="StorageGB",'Monthly Growth'!G10,IF(Nonlabor!$I$27="LogGB",'Monthly Growth'!H10,IF(Nonlabor!$I$27="RequestsM",'Monthly Growth'!F10,IF(Nonlabor!$I$27="InputM",'Monthly Growth'!D10*Assumptions!$E$22/1000000,IF(Nonlabor!$I$27="OutputM",'Monthly Growth'!D10*Assumptions!$E$23/1000000,0))))))))),0)</f>
        <v>0</v>
      </c>
      <c r="F3910" s="10" t="n">
        <f aca="false">Nonlabor!$J$27*(1+Assumptions!$E$9)^INT((C3910-1)/12)</f>
        <v>40000</v>
      </c>
      <c r="G3910" s="10" t="n">
        <f aca="false">E3910*F3910</f>
        <v>0</v>
      </c>
      <c r="H3910" s="10" t="n">
        <f aca="false">IF(OR(Nonlabor!$L$27="Quote required",Nonlabor!$L$27="Unverified"),G3910,0)</f>
        <v>0</v>
      </c>
      <c r="I3910" s="10" t="n">
        <f aca="false">IF(Nonlabor!$E$27="Core",0,G3910)</f>
        <v>0</v>
      </c>
      <c r="J3910" s="23" t="str">
        <f aca="false">Nonlabor!$B$27</f>
        <v>CTMS</v>
      </c>
    </row>
    <row r="3911" customFormat="false" ht="15" hidden="false" customHeight="false" outlineLevel="0" collapsed="false">
      <c r="A3911" s="6" t="s">
        <v>73</v>
      </c>
      <c r="B3911" s="6" t="s">
        <v>439</v>
      </c>
      <c r="C3911" s="6" t="n">
        <v>6</v>
      </c>
      <c r="D3911" s="25" t="n">
        <f aca="false">EDATE('Start Here'!$B$6,C3911-1)</f>
        <v>46478</v>
      </c>
      <c r="E3911" s="23" t="n">
        <f aca="false">IF(AND(OR(Nonlabor!$D$27="Both",Nonlabor!$D$27='Start Here'!$B$9),IF(Nonlabor!$E$27="Core",1,IF(Nonlabor!$E$27="AI",'Start Here'!$B$7,'Start Here'!$B$8))=1,C3911&gt;=IF(Nonlabor!$E$27="Core",Nonlabor!$F$27,MAX(Nonlabor!$F$27,IF(Nonlabor!$E$27="AI",Assumptions!$E$24,Assumptions!$E$25))),C3911&lt;=Nonlabor!$G$27,OR(Nonlabor!$H$27="Monthly",AND(Nonlabor!$H$27="Once",C3911=IF(Nonlabor!$E$27="Core",Nonlabor!$F$27,MAX(Nonlabor!$F$27,IF(Nonlabor!$E$27="AI",Assumptions!$E$24,Assumptions!$E$25)))),AND(Nonlabor!$H$27="Annual",MOD(C3911-IF(Nonlabor!$E$27="Core",Nonlabor!$F$27,MAX(Nonlabor!$F$27,IF(Nonlabor!$E$27="AI",Assumptions!$E$24,Assumptions!$E$25))),12)=0))),IF(Nonlabor!$I$27="Fixed",1,IF(Nonlabor!$I$27="Seats",ROUNDUP('Monthly Growth'!I11,0),IF(Nonlabor!$I$27="Customers",'Monthly Growth'!D11,IF(Nonlabor!$I$27="NewCustomers",'Monthly Growth'!C11,IF(Nonlabor!$I$27="StorageGB",'Monthly Growth'!G11,IF(Nonlabor!$I$27="LogGB",'Monthly Growth'!H11,IF(Nonlabor!$I$27="RequestsM",'Monthly Growth'!F11,IF(Nonlabor!$I$27="InputM",'Monthly Growth'!D11*Assumptions!$E$22/1000000,IF(Nonlabor!$I$27="OutputM",'Monthly Growth'!D11*Assumptions!$E$23/1000000,0))))))))),0)</f>
        <v>0</v>
      </c>
      <c r="F3911" s="10" t="n">
        <f aca="false">Nonlabor!$J$27*(1+Assumptions!$E$9)^INT((C3911-1)/12)</f>
        <v>40000</v>
      </c>
      <c r="G3911" s="10" t="n">
        <f aca="false">E3911*F3911</f>
        <v>0</v>
      </c>
      <c r="H3911" s="10" t="n">
        <f aca="false">IF(OR(Nonlabor!$L$27="Quote required",Nonlabor!$L$27="Unverified"),G3911,0)</f>
        <v>0</v>
      </c>
      <c r="I3911" s="10" t="n">
        <f aca="false">IF(Nonlabor!$E$27="Core",0,G3911)</f>
        <v>0</v>
      </c>
      <c r="J3911" s="23" t="str">
        <f aca="false">Nonlabor!$B$27</f>
        <v>CTMS</v>
      </c>
    </row>
    <row r="3912" customFormat="false" ht="15" hidden="false" customHeight="false" outlineLevel="0" collapsed="false">
      <c r="A3912" s="6" t="s">
        <v>73</v>
      </c>
      <c r="B3912" s="6" t="s">
        <v>439</v>
      </c>
      <c r="C3912" s="6" t="n">
        <v>7</v>
      </c>
      <c r="D3912" s="25" t="n">
        <f aca="false">EDATE('Start Here'!$B$6,C3912-1)</f>
        <v>46508</v>
      </c>
      <c r="E3912" s="23" t="n">
        <f aca="false">IF(AND(OR(Nonlabor!$D$27="Both",Nonlabor!$D$27='Start Here'!$B$9),IF(Nonlabor!$E$27="Core",1,IF(Nonlabor!$E$27="AI",'Start Here'!$B$7,'Start Here'!$B$8))=1,C3912&gt;=IF(Nonlabor!$E$27="Core",Nonlabor!$F$27,MAX(Nonlabor!$F$27,IF(Nonlabor!$E$27="AI",Assumptions!$E$24,Assumptions!$E$25))),C3912&lt;=Nonlabor!$G$27,OR(Nonlabor!$H$27="Monthly",AND(Nonlabor!$H$27="Once",C3912=IF(Nonlabor!$E$27="Core",Nonlabor!$F$27,MAX(Nonlabor!$F$27,IF(Nonlabor!$E$27="AI",Assumptions!$E$24,Assumptions!$E$25)))),AND(Nonlabor!$H$27="Annual",MOD(C3912-IF(Nonlabor!$E$27="Core",Nonlabor!$F$27,MAX(Nonlabor!$F$27,IF(Nonlabor!$E$27="AI",Assumptions!$E$24,Assumptions!$E$25))),12)=0))),IF(Nonlabor!$I$27="Fixed",1,IF(Nonlabor!$I$27="Seats",ROUNDUP('Monthly Growth'!I12,0),IF(Nonlabor!$I$27="Customers",'Monthly Growth'!D12,IF(Nonlabor!$I$27="NewCustomers",'Monthly Growth'!C12,IF(Nonlabor!$I$27="StorageGB",'Monthly Growth'!G12,IF(Nonlabor!$I$27="LogGB",'Monthly Growth'!H12,IF(Nonlabor!$I$27="RequestsM",'Monthly Growth'!F12,IF(Nonlabor!$I$27="InputM",'Monthly Growth'!D12*Assumptions!$E$22/1000000,IF(Nonlabor!$I$27="OutputM",'Monthly Growth'!D12*Assumptions!$E$23/1000000,0))))))))),0)</f>
        <v>0</v>
      </c>
      <c r="F3912" s="10" t="n">
        <f aca="false">Nonlabor!$J$27*(1+Assumptions!$E$9)^INT((C3912-1)/12)</f>
        <v>40000</v>
      </c>
      <c r="G3912" s="10" t="n">
        <f aca="false">E3912*F3912</f>
        <v>0</v>
      </c>
      <c r="H3912" s="10" t="n">
        <f aca="false">IF(OR(Nonlabor!$L$27="Quote required",Nonlabor!$L$27="Unverified"),G3912,0)</f>
        <v>0</v>
      </c>
      <c r="I3912" s="10" t="n">
        <f aca="false">IF(Nonlabor!$E$27="Core",0,G3912)</f>
        <v>0</v>
      </c>
      <c r="J3912" s="23" t="str">
        <f aca="false">Nonlabor!$B$27</f>
        <v>CTMS</v>
      </c>
    </row>
    <row r="3913" customFormat="false" ht="15" hidden="false" customHeight="false" outlineLevel="0" collapsed="false">
      <c r="A3913" s="6" t="s">
        <v>73</v>
      </c>
      <c r="B3913" s="6" t="s">
        <v>439</v>
      </c>
      <c r="C3913" s="6" t="n">
        <v>8</v>
      </c>
      <c r="D3913" s="25" t="n">
        <f aca="false">EDATE('Start Here'!$B$6,C3913-1)</f>
        <v>46539</v>
      </c>
      <c r="E3913" s="23" t="n">
        <f aca="false">IF(AND(OR(Nonlabor!$D$27="Both",Nonlabor!$D$27='Start Here'!$B$9),IF(Nonlabor!$E$27="Core",1,IF(Nonlabor!$E$27="AI",'Start Here'!$B$7,'Start Here'!$B$8))=1,C3913&gt;=IF(Nonlabor!$E$27="Core",Nonlabor!$F$27,MAX(Nonlabor!$F$27,IF(Nonlabor!$E$27="AI",Assumptions!$E$24,Assumptions!$E$25))),C3913&lt;=Nonlabor!$G$27,OR(Nonlabor!$H$27="Monthly",AND(Nonlabor!$H$27="Once",C3913=IF(Nonlabor!$E$27="Core",Nonlabor!$F$27,MAX(Nonlabor!$F$27,IF(Nonlabor!$E$27="AI",Assumptions!$E$24,Assumptions!$E$25)))),AND(Nonlabor!$H$27="Annual",MOD(C3913-IF(Nonlabor!$E$27="Core",Nonlabor!$F$27,MAX(Nonlabor!$F$27,IF(Nonlabor!$E$27="AI",Assumptions!$E$24,Assumptions!$E$25))),12)=0))),IF(Nonlabor!$I$27="Fixed",1,IF(Nonlabor!$I$27="Seats",ROUNDUP('Monthly Growth'!I13,0),IF(Nonlabor!$I$27="Customers",'Monthly Growth'!D13,IF(Nonlabor!$I$27="NewCustomers",'Monthly Growth'!C13,IF(Nonlabor!$I$27="StorageGB",'Monthly Growth'!G13,IF(Nonlabor!$I$27="LogGB",'Monthly Growth'!H13,IF(Nonlabor!$I$27="RequestsM",'Monthly Growth'!F13,IF(Nonlabor!$I$27="InputM",'Monthly Growth'!D13*Assumptions!$E$22/1000000,IF(Nonlabor!$I$27="OutputM",'Monthly Growth'!D13*Assumptions!$E$23/1000000,0))))))))),0)</f>
        <v>0</v>
      </c>
      <c r="F3913" s="10" t="n">
        <f aca="false">Nonlabor!$J$27*(1+Assumptions!$E$9)^INT((C3913-1)/12)</f>
        <v>40000</v>
      </c>
      <c r="G3913" s="10" t="n">
        <f aca="false">E3913*F3913</f>
        <v>0</v>
      </c>
      <c r="H3913" s="10" t="n">
        <f aca="false">IF(OR(Nonlabor!$L$27="Quote required",Nonlabor!$L$27="Unverified"),G3913,0)</f>
        <v>0</v>
      </c>
      <c r="I3913" s="10" t="n">
        <f aca="false">IF(Nonlabor!$E$27="Core",0,G3913)</f>
        <v>0</v>
      </c>
      <c r="J3913" s="23" t="str">
        <f aca="false">Nonlabor!$B$27</f>
        <v>CTMS</v>
      </c>
    </row>
    <row r="3914" customFormat="false" ht="15" hidden="false" customHeight="false" outlineLevel="0" collapsed="false">
      <c r="A3914" s="6" t="s">
        <v>73</v>
      </c>
      <c r="B3914" s="6" t="s">
        <v>439</v>
      </c>
      <c r="C3914" s="6" t="n">
        <v>9</v>
      </c>
      <c r="D3914" s="25" t="n">
        <f aca="false">EDATE('Start Here'!$B$6,C3914-1)</f>
        <v>46569</v>
      </c>
      <c r="E3914" s="23" t="n">
        <f aca="false">IF(AND(OR(Nonlabor!$D$27="Both",Nonlabor!$D$27='Start Here'!$B$9),IF(Nonlabor!$E$27="Core",1,IF(Nonlabor!$E$27="AI",'Start Here'!$B$7,'Start Here'!$B$8))=1,C3914&gt;=IF(Nonlabor!$E$27="Core",Nonlabor!$F$27,MAX(Nonlabor!$F$27,IF(Nonlabor!$E$27="AI",Assumptions!$E$24,Assumptions!$E$25))),C3914&lt;=Nonlabor!$G$27,OR(Nonlabor!$H$27="Monthly",AND(Nonlabor!$H$27="Once",C3914=IF(Nonlabor!$E$27="Core",Nonlabor!$F$27,MAX(Nonlabor!$F$27,IF(Nonlabor!$E$27="AI",Assumptions!$E$24,Assumptions!$E$25)))),AND(Nonlabor!$H$27="Annual",MOD(C3914-IF(Nonlabor!$E$27="Core",Nonlabor!$F$27,MAX(Nonlabor!$F$27,IF(Nonlabor!$E$27="AI",Assumptions!$E$24,Assumptions!$E$25))),12)=0))),IF(Nonlabor!$I$27="Fixed",1,IF(Nonlabor!$I$27="Seats",ROUNDUP('Monthly Growth'!I14,0),IF(Nonlabor!$I$27="Customers",'Monthly Growth'!D14,IF(Nonlabor!$I$27="NewCustomers",'Monthly Growth'!C14,IF(Nonlabor!$I$27="StorageGB",'Monthly Growth'!G14,IF(Nonlabor!$I$27="LogGB",'Monthly Growth'!H14,IF(Nonlabor!$I$27="RequestsM",'Monthly Growth'!F14,IF(Nonlabor!$I$27="InputM",'Monthly Growth'!D14*Assumptions!$E$22/1000000,IF(Nonlabor!$I$27="OutputM",'Monthly Growth'!D14*Assumptions!$E$23/1000000,0))))))))),0)</f>
        <v>0</v>
      </c>
      <c r="F3914" s="10" t="n">
        <f aca="false">Nonlabor!$J$27*(1+Assumptions!$E$9)^INT((C3914-1)/12)</f>
        <v>40000</v>
      </c>
      <c r="G3914" s="10" t="n">
        <f aca="false">E3914*F3914</f>
        <v>0</v>
      </c>
      <c r="H3914" s="10" t="n">
        <f aca="false">IF(OR(Nonlabor!$L$27="Quote required",Nonlabor!$L$27="Unverified"),G3914,0)</f>
        <v>0</v>
      </c>
      <c r="I3914" s="10" t="n">
        <f aca="false">IF(Nonlabor!$E$27="Core",0,G3914)</f>
        <v>0</v>
      </c>
      <c r="J3914" s="23" t="str">
        <f aca="false">Nonlabor!$B$27</f>
        <v>CTMS</v>
      </c>
    </row>
    <row r="3915" customFormat="false" ht="15" hidden="false" customHeight="false" outlineLevel="0" collapsed="false">
      <c r="A3915" s="6" t="s">
        <v>73</v>
      </c>
      <c r="B3915" s="6" t="s">
        <v>439</v>
      </c>
      <c r="C3915" s="6" t="n">
        <v>10</v>
      </c>
      <c r="D3915" s="25" t="n">
        <f aca="false">EDATE('Start Here'!$B$6,C3915-1)</f>
        <v>46600</v>
      </c>
      <c r="E3915" s="23" t="n">
        <f aca="false">IF(AND(OR(Nonlabor!$D$27="Both",Nonlabor!$D$27='Start Here'!$B$9),IF(Nonlabor!$E$27="Core",1,IF(Nonlabor!$E$27="AI",'Start Here'!$B$7,'Start Here'!$B$8))=1,C3915&gt;=IF(Nonlabor!$E$27="Core",Nonlabor!$F$27,MAX(Nonlabor!$F$27,IF(Nonlabor!$E$27="AI",Assumptions!$E$24,Assumptions!$E$25))),C3915&lt;=Nonlabor!$G$27,OR(Nonlabor!$H$27="Monthly",AND(Nonlabor!$H$27="Once",C3915=IF(Nonlabor!$E$27="Core",Nonlabor!$F$27,MAX(Nonlabor!$F$27,IF(Nonlabor!$E$27="AI",Assumptions!$E$24,Assumptions!$E$25)))),AND(Nonlabor!$H$27="Annual",MOD(C3915-IF(Nonlabor!$E$27="Core",Nonlabor!$F$27,MAX(Nonlabor!$F$27,IF(Nonlabor!$E$27="AI",Assumptions!$E$24,Assumptions!$E$25))),12)=0))),IF(Nonlabor!$I$27="Fixed",1,IF(Nonlabor!$I$27="Seats",ROUNDUP('Monthly Growth'!I15,0),IF(Nonlabor!$I$27="Customers",'Monthly Growth'!D15,IF(Nonlabor!$I$27="NewCustomers",'Monthly Growth'!C15,IF(Nonlabor!$I$27="StorageGB",'Monthly Growth'!G15,IF(Nonlabor!$I$27="LogGB",'Monthly Growth'!H15,IF(Nonlabor!$I$27="RequestsM",'Monthly Growth'!F15,IF(Nonlabor!$I$27="InputM",'Monthly Growth'!D15*Assumptions!$E$22/1000000,IF(Nonlabor!$I$27="OutputM",'Monthly Growth'!D15*Assumptions!$E$23/1000000,0))))))))),0)</f>
        <v>0</v>
      </c>
      <c r="F3915" s="10" t="n">
        <f aca="false">Nonlabor!$J$27*(1+Assumptions!$E$9)^INT((C3915-1)/12)</f>
        <v>40000</v>
      </c>
      <c r="G3915" s="10" t="n">
        <f aca="false">E3915*F3915</f>
        <v>0</v>
      </c>
      <c r="H3915" s="10" t="n">
        <f aca="false">IF(OR(Nonlabor!$L$27="Quote required",Nonlabor!$L$27="Unverified"),G3915,0)</f>
        <v>0</v>
      </c>
      <c r="I3915" s="10" t="n">
        <f aca="false">IF(Nonlabor!$E$27="Core",0,G3915)</f>
        <v>0</v>
      </c>
      <c r="J3915" s="23" t="str">
        <f aca="false">Nonlabor!$B$27</f>
        <v>CTMS</v>
      </c>
    </row>
    <row r="3916" customFormat="false" ht="15" hidden="false" customHeight="false" outlineLevel="0" collapsed="false">
      <c r="A3916" s="6" t="s">
        <v>73</v>
      </c>
      <c r="B3916" s="6" t="s">
        <v>439</v>
      </c>
      <c r="C3916" s="6" t="n">
        <v>11</v>
      </c>
      <c r="D3916" s="25" t="n">
        <f aca="false">EDATE('Start Here'!$B$6,C3916-1)</f>
        <v>46631</v>
      </c>
      <c r="E3916" s="23" t="n">
        <f aca="false">IF(AND(OR(Nonlabor!$D$27="Both",Nonlabor!$D$27='Start Here'!$B$9),IF(Nonlabor!$E$27="Core",1,IF(Nonlabor!$E$27="AI",'Start Here'!$B$7,'Start Here'!$B$8))=1,C3916&gt;=IF(Nonlabor!$E$27="Core",Nonlabor!$F$27,MAX(Nonlabor!$F$27,IF(Nonlabor!$E$27="AI",Assumptions!$E$24,Assumptions!$E$25))),C3916&lt;=Nonlabor!$G$27,OR(Nonlabor!$H$27="Monthly",AND(Nonlabor!$H$27="Once",C3916=IF(Nonlabor!$E$27="Core",Nonlabor!$F$27,MAX(Nonlabor!$F$27,IF(Nonlabor!$E$27="AI",Assumptions!$E$24,Assumptions!$E$25)))),AND(Nonlabor!$H$27="Annual",MOD(C3916-IF(Nonlabor!$E$27="Core",Nonlabor!$F$27,MAX(Nonlabor!$F$27,IF(Nonlabor!$E$27="AI",Assumptions!$E$24,Assumptions!$E$25))),12)=0))),IF(Nonlabor!$I$27="Fixed",1,IF(Nonlabor!$I$27="Seats",ROUNDUP('Monthly Growth'!I16,0),IF(Nonlabor!$I$27="Customers",'Monthly Growth'!D16,IF(Nonlabor!$I$27="NewCustomers",'Monthly Growth'!C16,IF(Nonlabor!$I$27="StorageGB",'Monthly Growth'!G16,IF(Nonlabor!$I$27="LogGB",'Monthly Growth'!H16,IF(Nonlabor!$I$27="RequestsM",'Monthly Growth'!F16,IF(Nonlabor!$I$27="InputM",'Monthly Growth'!D16*Assumptions!$E$22/1000000,IF(Nonlabor!$I$27="OutputM",'Monthly Growth'!D16*Assumptions!$E$23/1000000,0))))))))),0)</f>
        <v>0</v>
      </c>
      <c r="F3916" s="10" t="n">
        <f aca="false">Nonlabor!$J$27*(1+Assumptions!$E$9)^INT((C3916-1)/12)</f>
        <v>40000</v>
      </c>
      <c r="G3916" s="10" t="n">
        <f aca="false">E3916*F3916</f>
        <v>0</v>
      </c>
      <c r="H3916" s="10" t="n">
        <f aca="false">IF(OR(Nonlabor!$L$27="Quote required",Nonlabor!$L$27="Unverified"),G3916,0)</f>
        <v>0</v>
      </c>
      <c r="I3916" s="10" t="n">
        <f aca="false">IF(Nonlabor!$E$27="Core",0,G3916)</f>
        <v>0</v>
      </c>
      <c r="J3916" s="23" t="str">
        <f aca="false">Nonlabor!$B$27</f>
        <v>CTMS</v>
      </c>
    </row>
    <row r="3917" customFormat="false" ht="15" hidden="false" customHeight="false" outlineLevel="0" collapsed="false">
      <c r="A3917" s="6" t="s">
        <v>73</v>
      </c>
      <c r="B3917" s="6" t="s">
        <v>439</v>
      </c>
      <c r="C3917" s="6" t="n">
        <v>12</v>
      </c>
      <c r="D3917" s="25" t="n">
        <f aca="false">EDATE('Start Here'!$B$6,C3917-1)</f>
        <v>46661</v>
      </c>
      <c r="E3917" s="23" t="n">
        <f aca="false">IF(AND(OR(Nonlabor!$D$27="Both",Nonlabor!$D$27='Start Here'!$B$9),IF(Nonlabor!$E$27="Core",1,IF(Nonlabor!$E$27="AI",'Start Here'!$B$7,'Start Here'!$B$8))=1,C3917&gt;=IF(Nonlabor!$E$27="Core",Nonlabor!$F$27,MAX(Nonlabor!$F$27,IF(Nonlabor!$E$27="AI",Assumptions!$E$24,Assumptions!$E$25))),C3917&lt;=Nonlabor!$G$27,OR(Nonlabor!$H$27="Monthly",AND(Nonlabor!$H$27="Once",C3917=IF(Nonlabor!$E$27="Core",Nonlabor!$F$27,MAX(Nonlabor!$F$27,IF(Nonlabor!$E$27="AI",Assumptions!$E$24,Assumptions!$E$25)))),AND(Nonlabor!$H$27="Annual",MOD(C3917-IF(Nonlabor!$E$27="Core",Nonlabor!$F$27,MAX(Nonlabor!$F$27,IF(Nonlabor!$E$27="AI",Assumptions!$E$24,Assumptions!$E$25))),12)=0))),IF(Nonlabor!$I$27="Fixed",1,IF(Nonlabor!$I$27="Seats",ROUNDUP('Monthly Growth'!I17,0),IF(Nonlabor!$I$27="Customers",'Monthly Growth'!D17,IF(Nonlabor!$I$27="NewCustomers",'Monthly Growth'!C17,IF(Nonlabor!$I$27="StorageGB",'Monthly Growth'!G17,IF(Nonlabor!$I$27="LogGB",'Monthly Growth'!H17,IF(Nonlabor!$I$27="RequestsM",'Monthly Growth'!F17,IF(Nonlabor!$I$27="InputM",'Monthly Growth'!D17*Assumptions!$E$22/1000000,IF(Nonlabor!$I$27="OutputM",'Monthly Growth'!D17*Assumptions!$E$23/1000000,0))))))))),0)</f>
        <v>0</v>
      </c>
      <c r="F3917" s="10" t="n">
        <f aca="false">Nonlabor!$J$27*(1+Assumptions!$E$9)^INT((C3917-1)/12)</f>
        <v>40000</v>
      </c>
      <c r="G3917" s="10" t="n">
        <f aca="false">E3917*F3917</f>
        <v>0</v>
      </c>
      <c r="H3917" s="10" t="n">
        <f aca="false">IF(OR(Nonlabor!$L$27="Quote required",Nonlabor!$L$27="Unverified"),G3917,0)</f>
        <v>0</v>
      </c>
      <c r="I3917" s="10" t="n">
        <f aca="false">IF(Nonlabor!$E$27="Core",0,G3917)</f>
        <v>0</v>
      </c>
      <c r="J3917" s="23" t="str">
        <f aca="false">Nonlabor!$B$27</f>
        <v>CTMS</v>
      </c>
    </row>
    <row r="3918" customFormat="false" ht="15" hidden="false" customHeight="false" outlineLevel="0" collapsed="false">
      <c r="A3918" s="6" t="s">
        <v>73</v>
      </c>
      <c r="B3918" s="6" t="s">
        <v>439</v>
      </c>
      <c r="C3918" s="6" t="n">
        <v>13</v>
      </c>
      <c r="D3918" s="25" t="n">
        <f aca="false">EDATE('Start Here'!$B$6,C3918-1)</f>
        <v>46692</v>
      </c>
      <c r="E3918" s="23" t="n">
        <f aca="false">IF(AND(OR(Nonlabor!$D$27="Both",Nonlabor!$D$27='Start Here'!$B$9),IF(Nonlabor!$E$27="Core",1,IF(Nonlabor!$E$27="AI",'Start Here'!$B$7,'Start Here'!$B$8))=1,C3918&gt;=IF(Nonlabor!$E$27="Core",Nonlabor!$F$27,MAX(Nonlabor!$F$27,IF(Nonlabor!$E$27="AI",Assumptions!$E$24,Assumptions!$E$25))),C3918&lt;=Nonlabor!$G$27,OR(Nonlabor!$H$27="Monthly",AND(Nonlabor!$H$27="Once",C3918=IF(Nonlabor!$E$27="Core",Nonlabor!$F$27,MAX(Nonlabor!$F$27,IF(Nonlabor!$E$27="AI",Assumptions!$E$24,Assumptions!$E$25)))),AND(Nonlabor!$H$27="Annual",MOD(C3918-IF(Nonlabor!$E$27="Core",Nonlabor!$F$27,MAX(Nonlabor!$F$27,IF(Nonlabor!$E$27="AI",Assumptions!$E$24,Assumptions!$E$25))),12)=0))),IF(Nonlabor!$I$27="Fixed",1,IF(Nonlabor!$I$27="Seats",ROUNDUP('Monthly Growth'!I18,0),IF(Nonlabor!$I$27="Customers",'Monthly Growth'!D18,IF(Nonlabor!$I$27="NewCustomers",'Monthly Growth'!C18,IF(Nonlabor!$I$27="StorageGB",'Monthly Growth'!G18,IF(Nonlabor!$I$27="LogGB",'Monthly Growth'!H18,IF(Nonlabor!$I$27="RequestsM",'Monthly Growth'!F18,IF(Nonlabor!$I$27="InputM",'Monthly Growth'!D18*Assumptions!$E$22/1000000,IF(Nonlabor!$I$27="OutputM",'Monthly Growth'!D18*Assumptions!$E$23/1000000,0))))))))),0)</f>
        <v>0</v>
      </c>
      <c r="F3918" s="10" t="n">
        <f aca="false">Nonlabor!$J$27*(1+Assumptions!$E$9)^INT((C3918-1)/12)</f>
        <v>41600</v>
      </c>
      <c r="G3918" s="10" t="n">
        <f aca="false">E3918*F3918</f>
        <v>0</v>
      </c>
      <c r="H3918" s="10" t="n">
        <f aca="false">IF(OR(Nonlabor!$L$27="Quote required",Nonlabor!$L$27="Unverified"),G3918,0)</f>
        <v>0</v>
      </c>
      <c r="I3918" s="10" t="n">
        <f aca="false">IF(Nonlabor!$E$27="Core",0,G3918)</f>
        <v>0</v>
      </c>
      <c r="J3918" s="23" t="str">
        <f aca="false">Nonlabor!$B$27</f>
        <v>CTMS</v>
      </c>
    </row>
    <row r="3919" customFormat="false" ht="15" hidden="false" customHeight="false" outlineLevel="0" collapsed="false">
      <c r="A3919" s="6" t="s">
        <v>73</v>
      </c>
      <c r="B3919" s="6" t="s">
        <v>439</v>
      </c>
      <c r="C3919" s="6" t="n">
        <v>14</v>
      </c>
      <c r="D3919" s="25" t="n">
        <f aca="false">EDATE('Start Here'!$B$6,C3919-1)</f>
        <v>46722</v>
      </c>
      <c r="E3919" s="23" t="n">
        <f aca="false">IF(AND(OR(Nonlabor!$D$27="Both",Nonlabor!$D$27='Start Here'!$B$9),IF(Nonlabor!$E$27="Core",1,IF(Nonlabor!$E$27="AI",'Start Here'!$B$7,'Start Here'!$B$8))=1,C3919&gt;=IF(Nonlabor!$E$27="Core",Nonlabor!$F$27,MAX(Nonlabor!$F$27,IF(Nonlabor!$E$27="AI",Assumptions!$E$24,Assumptions!$E$25))),C3919&lt;=Nonlabor!$G$27,OR(Nonlabor!$H$27="Monthly",AND(Nonlabor!$H$27="Once",C3919=IF(Nonlabor!$E$27="Core",Nonlabor!$F$27,MAX(Nonlabor!$F$27,IF(Nonlabor!$E$27="AI",Assumptions!$E$24,Assumptions!$E$25)))),AND(Nonlabor!$H$27="Annual",MOD(C3919-IF(Nonlabor!$E$27="Core",Nonlabor!$F$27,MAX(Nonlabor!$F$27,IF(Nonlabor!$E$27="AI",Assumptions!$E$24,Assumptions!$E$25))),12)=0))),IF(Nonlabor!$I$27="Fixed",1,IF(Nonlabor!$I$27="Seats",ROUNDUP('Monthly Growth'!I19,0),IF(Nonlabor!$I$27="Customers",'Monthly Growth'!D19,IF(Nonlabor!$I$27="NewCustomers",'Monthly Growth'!C19,IF(Nonlabor!$I$27="StorageGB",'Monthly Growth'!G19,IF(Nonlabor!$I$27="LogGB",'Monthly Growth'!H19,IF(Nonlabor!$I$27="RequestsM",'Monthly Growth'!F19,IF(Nonlabor!$I$27="InputM",'Monthly Growth'!D19*Assumptions!$E$22/1000000,IF(Nonlabor!$I$27="OutputM",'Monthly Growth'!D19*Assumptions!$E$23/1000000,0))))))))),0)</f>
        <v>0</v>
      </c>
      <c r="F3919" s="10" t="n">
        <f aca="false">Nonlabor!$J$27*(1+Assumptions!$E$9)^INT((C3919-1)/12)</f>
        <v>41600</v>
      </c>
      <c r="G3919" s="10" t="n">
        <f aca="false">E3919*F3919</f>
        <v>0</v>
      </c>
      <c r="H3919" s="10" t="n">
        <f aca="false">IF(OR(Nonlabor!$L$27="Quote required",Nonlabor!$L$27="Unverified"),G3919,0)</f>
        <v>0</v>
      </c>
      <c r="I3919" s="10" t="n">
        <f aca="false">IF(Nonlabor!$E$27="Core",0,G3919)</f>
        <v>0</v>
      </c>
      <c r="J3919" s="23" t="str">
        <f aca="false">Nonlabor!$B$27</f>
        <v>CTMS</v>
      </c>
    </row>
    <row r="3920" customFormat="false" ht="15" hidden="false" customHeight="false" outlineLevel="0" collapsed="false">
      <c r="A3920" s="6" t="s">
        <v>73</v>
      </c>
      <c r="B3920" s="6" t="s">
        <v>439</v>
      </c>
      <c r="C3920" s="6" t="n">
        <v>15</v>
      </c>
      <c r="D3920" s="25" t="n">
        <f aca="false">EDATE('Start Here'!$B$6,C3920-1)</f>
        <v>46753</v>
      </c>
      <c r="E3920" s="23" t="n">
        <f aca="false">IF(AND(OR(Nonlabor!$D$27="Both",Nonlabor!$D$27='Start Here'!$B$9),IF(Nonlabor!$E$27="Core",1,IF(Nonlabor!$E$27="AI",'Start Here'!$B$7,'Start Here'!$B$8))=1,C3920&gt;=IF(Nonlabor!$E$27="Core",Nonlabor!$F$27,MAX(Nonlabor!$F$27,IF(Nonlabor!$E$27="AI",Assumptions!$E$24,Assumptions!$E$25))),C3920&lt;=Nonlabor!$G$27,OR(Nonlabor!$H$27="Monthly",AND(Nonlabor!$H$27="Once",C3920=IF(Nonlabor!$E$27="Core",Nonlabor!$F$27,MAX(Nonlabor!$F$27,IF(Nonlabor!$E$27="AI",Assumptions!$E$24,Assumptions!$E$25)))),AND(Nonlabor!$H$27="Annual",MOD(C3920-IF(Nonlabor!$E$27="Core",Nonlabor!$F$27,MAX(Nonlabor!$F$27,IF(Nonlabor!$E$27="AI",Assumptions!$E$24,Assumptions!$E$25))),12)=0))),IF(Nonlabor!$I$27="Fixed",1,IF(Nonlabor!$I$27="Seats",ROUNDUP('Monthly Growth'!I20,0),IF(Nonlabor!$I$27="Customers",'Monthly Growth'!D20,IF(Nonlabor!$I$27="NewCustomers",'Monthly Growth'!C20,IF(Nonlabor!$I$27="StorageGB",'Monthly Growth'!G20,IF(Nonlabor!$I$27="LogGB",'Monthly Growth'!H20,IF(Nonlabor!$I$27="RequestsM",'Monthly Growth'!F20,IF(Nonlabor!$I$27="InputM",'Monthly Growth'!D20*Assumptions!$E$22/1000000,IF(Nonlabor!$I$27="OutputM",'Monthly Growth'!D20*Assumptions!$E$23/1000000,0))))))))),0)</f>
        <v>0</v>
      </c>
      <c r="F3920" s="10" t="n">
        <f aca="false">Nonlabor!$J$27*(1+Assumptions!$E$9)^INT((C3920-1)/12)</f>
        <v>41600</v>
      </c>
      <c r="G3920" s="10" t="n">
        <f aca="false">E3920*F3920</f>
        <v>0</v>
      </c>
      <c r="H3920" s="10" t="n">
        <f aca="false">IF(OR(Nonlabor!$L$27="Quote required",Nonlabor!$L$27="Unverified"),G3920,0)</f>
        <v>0</v>
      </c>
      <c r="I3920" s="10" t="n">
        <f aca="false">IF(Nonlabor!$E$27="Core",0,G3920)</f>
        <v>0</v>
      </c>
      <c r="J3920" s="23" t="str">
        <f aca="false">Nonlabor!$B$27</f>
        <v>CTMS</v>
      </c>
    </row>
    <row r="3921" customFormat="false" ht="15" hidden="false" customHeight="false" outlineLevel="0" collapsed="false">
      <c r="A3921" s="6" t="s">
        <v>73</v>
      </c>
      <c r="B3921" s="6" t="s">
        <v>439</v>
      </c>
      <c r="C3921" s="6" t="n">
        <v>16</v>
      </c>
      <c r="D3921" s="25" t="n">
        <f aca="false">EDATE('Start Here'!$B$6,C3921-1)</f>
        <v>46784</v>
      </c>
      <c r="E3921" s="23" t="n">
        <f aca="false">IF(AND(OR(Nonlabor!$D$27="Both",Nonlabor!$D$27='Start Here'!$B$9),IF(Nonlabor!$E$27="Core",1,IF(Nonlabor!$E$27="AI",'Start Here'!$B$7,'Start Here'!$B$8))=1,C3921&gt;=IF(Nonlabor!$E$27="Core",Nonlabor!$F$27,MAX(Nonlabor!$F$27,IF(Nonlabor!$E$27="AI",Assumptions!$E$24,Assumptions!$E$25))),C3921&lt;=Nonlabor!$G$27,OR(Nonlabor!$H$27="Monthly",AND(Nonlabor!$H$27="Once",C3921=IF(Nonlabor!$E$27="Core",Nonlabor!$F$27,MAX(Nonlabor!$F$27,IF(Nonlabor!$E$27="AI",Assumptions!$E$24,Assumptions!$E$25)))),AND(Nonlabor!$H$27="Annual",MOD(C3921-IF(Nonlabor!$E$27="Core",Nonlabor!$F$27,MAX(Nonlabor!$F$27,IF(Nonlabor!$E$27="AI",Assumptions!$E$24,Assumptions!$E$25))),12)=0))),IF(Nonlabor!$I$27="Fixed",1,IF(Nonlabor!$I$27="Seats",ROUNDUP('Monthly Growth'!I21,0),IF(Nonlabor!$I$27="Customers",'Monthly Growth'!D21,IF(Nonlabor!$I$27="NewCustomers",'Monthly Growth'!C21,IF(Nonlabor!$I$27="StorageGB",'Monthly Growth'!G21,IF(Nonlabor!$I$27="LogGB",'Monthly Growth'!H21,IF(Nonlabor!$I$27="RequestsM",'Monthly Growth'!F21,IF(Nonlabor!$I$27="InputM",'Monthly Growth'!D21*Assumptions!$E$22/1000000,IF(Nonlabor!$I$27="OutputM",'Monthly Growth'!D21*Assumptions!$E$23/1000000,0))))))))),0)</f>
        <v>0</v>
      </c>
      <c r="F3921" s="10" t="n">
        <f aca="false">Nonlabor!$J$27*(1+Assumptions!$E$9)^INT((C3921-1)/12)</f>
        <v>41600</v>
      </c>
      <c r="G3921" s="10" t="n">
        <f aca="false">E3921*F3921</f>
        <v>0</v>
      </c>
      <c r="H3921" s="10" t="n">
        <f aca="false">IF(OR(Nonlabor!$L$27="Quote required",Nonlabor!$L$27="Unverified"),G3921,0)</f>
        <v>0</v>
      </c>
      <c r="I3921" s="10" t="n">
        <f aca="false">IF(Nonlabor!$E$27="Core",0,G3921)</f>
        <v>0</v>
      </c>
      <c r="J3921" s="23" t="str">
        <f aca="false">Nonlabor!$B$27</f>
        <v>CTMS</v>
      </c>
    </row>
    <row r="3922" customFormat="false" ht="15" hidden="false" customHeight="false" outlineLevel="0" collapsed="false">
      <c r="A3922" s="6" t="s">
        <v>73</v>
      </c>
      <c r="B3922" s="6" t="s">
        <v>439</v>
      </c>
      <c r="C3922" s="6" t="n">
        <v>17</v>
      </c>
      <c r="D3922" s="25" t="n">
        <f aca="false">EDATE('Start Here'!$B$6,C3922-1)</f>
        <v>46813</v>
      </c>
      <c r="E3922" s="23" t="n">
        <f aca="false">IF(AND(OR(Nonlabor!$D$27="Both",Nonlabor!$D$27='Start Here'!$B$9),IF(Nonlabor!$E$27="Core",1,IF(Nonlabor!$E$27="AI",'Start Here'!$B$7,'Start Here'!$B$8))=1,C3922&gt;=IF(Nonlabor!$E$27="Core",Nonlabor!$F$27,MAX(Nonlabor!$F$27,IF(Nonlabor!$E$27="AI",Assumptions!$E$24,Assumptions!$E$25))),C3922&lt;=Nonlabor!$G$27,OR(Nonlabor!$H$27="Monthly",AND(Nonlabor!$H$27="Once",C3922=IF(Nonlabor!$E$27="Core",Nonlabor!$F$27,MAX(Nonlabor!$F$27,IF(Nonlabor!$E$27="AI",Assumptions!$E$24,Assumptions!$E$25)))),AND(Nonlabor!$H$27="Annual",MOD(C3922-IF(Nonlabor!$E$27="Core",Nonlabor!$F$27,MAX(Nonlabor!$F$27,IF(Nonlabor!$E$27="AI",Assumptions!$E$24,Assumptions!$E$25))),12)=0))),IF(Nonlabor!$I$27="Fixed",1,IF(Nonlabor!$I$27="Seats",ROUNDUP('Monthly Growth'!I22,0),IF(Nonlabor!$I$27="Customers",'Monthly Growth'!D22,IF(Nonlabor!$I$27="NewCustomers",'Monthly Growth'!C22,IF(Nonlabor!$I$27="StorageGB",'Monthly Growth'!G22,IF(Nonlabor!$I$27="LogGB",'Monthly Growth'!H22,IF(Nonlabor!$I$27="RequestsM",'Monthly Growth'!F22,IF(Nonlabor!$I$27="InputM",'Monthly Growth'!D22*Assumptions!$E$22/1000000,IF(Nonlabor!$I$27="OutputM",'Monthly Growth'!D22*Assumptions!$E$23/1000000,0))))))))),0)</f>
        <v>0</v>
      </c>
      <c r="F3922" s="10" t="n">
        <f aca="false">Nonlabor!$J$27*(1+Assumptions!$E$9)^INT((C3922-1)/12)</f>
        <v>41600</v>
      </c>
      <c r="G3922" s="10" t="n">
        <f aca="false">E3922*F3922</f>
        <v>0</v>
      </c>
      <c r="H3922" s="10" t="n">
        <f aca="false">IF(OR(Nonlabor!$L$27="Quote required",Nonlabor!$L$27="Unverified"),G3922,0)</f>
        <v>0</v>
      </c>
      <c r="I3922" s="10" t="n">
        <f aca="false">IF(Nonlabor!$E$27="Core",0,G3922)</f>
        <v>0</v>
      </c>
      <c r="J3922" s="23" t="str">
        <f aca="false">Nonlabor!$B$27</f>
        <v>CTMS</v>
      </c>
    </row>
    <row r="3923" customFormat="false" ht="15" hidden="false" customHeight="false" outlineLevel="0" collapsed="false">
      <c r="A3923" s="6" t="s">
        <v>73</v>
      </c>
      <c r="B3923" s="6" t="s">
        <v>439</v>
      </c>
      <c r="C3923" s="6" t="n">
        <v>18</v>
      </c>
      <c r="D3923" s="25" t="n">
        <f aca="false">EDATE('Start Here'!$B$6,C3923-1)</f>
        <v>46844</v>
      </c>
      <c r="E3923" s="23" t="n">
        <f aca="false">IF(AND(OR(Nonlabor!$D$27="Both",Nonlabor!$D$27='Start Here'!$B$9),IF(Nonlabor!$E$27="Core",1,IF(Nonlabor!$E$27="AI",'Start Here'!$B$7,'Start Here'!$B$8))=1,C3923&gt;=IF(Nonlabor!$E$27="Core",Nonlabor!$F$27,MAX(Nonlabor!$F$27,IF(Nonlabor!$E$27="AI",Assumptions!$E$24,Assumptions!$E$25))),C3923&lt;=Nonlabor!$G$27,OR(Nonlabor!$H$27="Monthly",AND(Nonlabor!$H$27="Once",C3923=IF(Nonlabor!$E$27="Core",Nonlabor!$F$27,MAX(Nonlabor!$F$27,IF(Nonlabor!$E$27="AI",Assumptions!$E$24,Assumptions!$E$25)))),AND(Nonlabor!$H$27="Annual",MOD(C3923-IF(Nonlabor!$E$27="Core",Nonlabor!$F$27,MAX(Nonlabor!$F$27,IF(Nonlabor!$E$27="AI",Assumptions!$E$24,Assumptions!$E$25))),12)=0))),IF(Nonlabor!$I$27="Fixed",1,IF(Nonlabor!$I$27="Seats",ROUNDUP('Monthly Growth'!I23,0),IF(Nonlabor!$I$27="Customers",'Monthly Growth'!D23,IF(Nonlabor!$I$27="NewCustomers",'Monthly Growth'!C23,IF(Nonlabor!$I$27="StorageGB",'Monthly Growth'!G23,IF(Nonlabor!$I$27="LogGB",'Monthly Growth'!H23,IF(Nonlabor!$I$27="RequestsM",'Monthly Growth'!F23,IF(Nonlabor!$I$27="InputM",'Monthly Growth'!D23*Assumptions!$E$22/1000000,IF(Nonlabor!$I$27="OutputM",'Monthly Growth'!D23*Assumptions!$E$23/1000000,0))))))))),0)</f>
        <v>0</v>
      </c>
      <c r="F3923" s="10" t="n">
        <f aca="false">Nonlabor!$J$27*(1+Assumptions!$E$9)^INT((C3923-1)/12)</f>
        <v>41600</v>
      </c>
      <c r="G3923" s="10" t="n">
        <f aca="false">E3923*F3923</f>
        <v>0</v>
      </c>
      <c r="H3923" s="10" t="n">
        <f aca="false">IF(OR(Nonlabor!$L$27="Quote required",Nonlabor!$L$27="Unverified"),G3923,0)</f>
        <v>0</v>
      </c>
      <c r="I3923" s="10" t="n">
        <f aca="false">IF(Nonlabor!$E$27="Core",0,G3923)</f>
        <v>0</v>
      </c>
      <c r="J3923" s="23" t="str">
        <f aca="false">Nonlabor!$B$27</f>
        <v>CTMS</v>
      </c>
    </row>
    <row r="3924" customFormat="false" ht="15" hidden="false" customHeight="false" outlineLevel="0" collapsed="false">
      <c r="A3924" s="6" t="s">
        <v>73</v>
      </c>
      <c r="B3924" s="6" t="s">
        <v>439</v>
      </c>
      <c r="C3924" s="6" t="n">
        <v>19</v>
      </c>
      <c r="D3924" s="25" t="n">
        <f aca="false">EDATE('Start Here'!$B$6,C3924-1)</f>
        <v>46874</v>
      </c>
      <c r="E3924" s="23" t="n">
        <f aca="false">IF(AND(OR(Nonlabor!$D$27="Both",Nonlabor!$D$27='Start Here'!$B$9),IF(Nonlabor!$E$27="Core",1,IF(Nonlabor!$E$27="AI",'Start Here'!$B$7,'Start Here'!$B$8))=1,C3924&gt;=IF(Nonlabor!$E$27="Core",Nonlabor!$F$27,MAX(Nonlabor!$F$27,IF(Nonlabor!$E$27="AI",Assumptions!$E$24,Assumptions!$E$25))),C3924&lt;=Nonlabor!$G$27,OR(Nonlabor!$H$27="Monthly",AND(Nonlabor!$H$27="Once",C3924=IF(Nonlabor!$E$27="Core",Nonlabor!$F$27,MAX(Nonlabor!$F$27,IF(Nonlabor!$E$27="AI",Assumptions!$E$24,Assumptions!$E$25)))),AND(Nonlabor!$H$27="Annual",MOD(C3924-IF(Nonlabor!$E$27="Core",Nonlabor!$F$27,MAX(Nonlabor!$F$27,IF(Nonlabor!$E$27="AI",Assumptions!$E$24,Assumptions!$E$25))),12)=0))),IF(Nonlabor!$I$27="Fixed",1,IF(Nonlabor!$I$27="Seats",ROUNDUP('Monthly Growth'!I24,0),IF(Nonlabor!$I$27="Customers",'Monthly Growth'!D24,IF(Nonlabor!$I$27="NewCustomers",'Monthly Growth'!C24,IF(Nonlabor!$I$27="StorageGB",'Monthly Growth'!G24,IF(Nonlabor!$I$27="LogGB",'Monthly Growth'!H24,IF(Nonlabor!$I$27="RequestsM",'Monthly Growth'!F24,IF(Nonlabor!$I$27="InputM",'Monthly Growth'!D24*Assumptions!$E$22/1000000,IF(Nonlabor!$I$27="OutputM",'Monthly Growth'!D24*Assumptions!$E$23/1000000,0))))))))),0)</f>
        <v>0</v>
      </c>
      <c r="F3924" s="10" t="n">
        <f aca="false">Nonlabor!$J$27*(1+Assumptions!$E$9)^INT((C3924-1)/12)</f>
        <v>41600</v>
      </c>
      <c r="G3924" s="10" t="n">
        <f aca="false">E3924*F3924</f>
        <v>0</v>
      </c>
      <c r="H3924" s="10" t="n">
        <f aca="false">IF(OR(Nonlabor!$L$27="Quote required",Nonlabor!$L$27="Unverified"),G3924,0)</f>
        <v>0</v>
      </c>
      <c r="I3924" s="10" t="n">
        <f aca="false">IF(Nonlabor!$E$27="Core",0,G3924)</f>
        <v>0</v>
      </c>
      <c r="J3924" s="23" t="str">
        <f aca="false">Nonlabor!$B$27</f>
        <v>CTMS</v>
      </c>
    </row>
    <row r="3925" customFormat="false" ht="15" hidden="false" customHeight="false" outlineLevel="0" collapsed="false">
      <c r="A3925" s="6" t="s">
        <v>73</v>
      </c>
      <c r="B3925" s="6" t="s">
        <v>439</v>
      </c>
      <c r="C3925" s="6" t="n">
        <v>20</v>
      </c>
      <c r="D3925" s="25" t="n">
        <f aca="false">EDATE('Start Here'!$B$6,C3925-1)</f>
        <v>46905</v>
      </c>
      <c r="E3925" s="23" t="n">
        <f aca="false">IF(AND(OR(Nonlabor!$D$27="Both",Nonlabor!$D$27='Start Here'!$B$9),IF(Nonlabor!$E$27="Core",1,IF(Nonlabor!$E$27="AI",'Start Here'!$B$7,'Start Here'!$B$8))=1,C3925&gt;=IF(Nonlabor!$E$27="Core",Nonlabor!$F$27,MAX(Nonlabor!$F$27,IF(Nonlabor!$E$27="AI",Assumptions!$E$24,Assumptions!$E$25))),C3925&lt;=Nonlabor!$G$27,OR(Nonlabor!$H$27="Monthly",AND(Nonlabor!$H$27="Once",C3925=IF(Nonlabor!$E$27="Core",Nonlabor!$F$27,MAX(Nonlabor!$F$27,IF(Nonlabor!$E$27="AI",Assumptions!$E$24,Assumptions!$E$25)))),AND(Nonlabor!$H$27="Annual",MOD(C3925-IF(Nonlabor!$E$27="Core",Nonlabor!$F$27,MAX(Nonlabor!$F$27,IF(Nonlabor!$E$27="AI",Assumptions!$E$24,Assumptions!$E$25))),12)=0))),IF(Nonlabor!$I$27="Fixed",1,IF(Nonlabor!$I$27="Seats",ROUNDUP('Monthly Growth'!I25,0),IF(Nonlabor!$I$27="Customers",'Monthly Growth'!D25,IF(Nonlabor!$I$27="NewCustomers",'Monthly Growth'!C25,IF(Nonlabor!$I$27="StorageGB",'Monthly Growth'!G25,IF(Nonlabor!$I$27="LogGB",'Monthly Growth'!H25,IF(Nonlabor!$I$27="RequestsM",'Monthly Growth'!F25,IF(Nonlabor!$I$27="InputM",'Monthly Growth'!D25*Assumptions!$E$22/1000000,IF(Nonlabor!$I$27="OutputM",'Monthly Growth'!D25*Assumptions!$E$23/1000000,0))))))))),0)</f>
        <v>0</v>
      </c>
      <c r="F3925" s="10" t="n">
        <f aca="false">Nonlabor!$J$27*(1+Assumptions!$E$9)^INT((C3925-1)/12)</f>
        <v>41600</v>
      </c>
      <c r="G3925" s="10" t="n">
        <f aca="false">E3925*F3925</f>
        <v>0</v>
      </c>
      <c r="H3925" s="10" t="n">
        <f aca="false">IF(OR(Nonlabor!$L$27="Quote required",Nonlabor!$L$27="Unverified"),G3925,0)</f>
        <v>0</v>
      </c>
      <c r="I3925" s="10" t="n">
        <f aca="false">IF(Nonlabor!$E$27="Core",0,G3925)</f>
        <v>0</v>
      </c>
      <c r="J3925" s="23" t="str">
        <f aca="false">Nonlabor!$B$27</f>
        <v>CTMS</v>
      </c>
    </row>
    <row r="3926" customFormat="false" ht="15" hidden="false" customHeight="false" outlineLevel="0" collapsed="false">
      <c r="A3926" s="6" t="s">
        <v>73</v>
      </c>
      <c r="B3926" s="6" t="s">
        <v>439</v>
      </c>
      <c r="C3926" s="6" t="n">
        <v>21</v>
      </c>
      <c r="D3926" s="25" t="n">
        <f aca="false">EDATE('Start Here'!$B$6,C3926-1)</f>
        <v>46935</v>
      </c>
      <c r="E3926" s="23" t="n">
        <f aca="false">IF(AND(OR(Nonlabor!$D$27="Both",Nonlabor!$D$27='Start Here'!$B$9),IF(Nonlabor!$E$27="Core",1,IF(Nonlabor!$E$27="AI",'Start Here'!$B$7,'Start Here'!$B$8))=1,C3926&gt;=IF(Nonlabor!$E$27="Core",Nonlabor!$F$27,MAX(Nonlabor!$F$27,IF(Nonlabor!$E$27="AI",Assumptions!$E$24,Assumptions!$E$25))),C3926&lt;=Nonlabor!$G$27,OR(Nonlabor!$H$27="Monthly",AND(Nonlabor!$H$27="Once",C3926=IF(Nonlabor!$E$27="Core",Nonlabor!$F$27,MAX(Nonlabor!$F$27,IF(Nonlabor!$E$27="AI",Assumptions!$E$24,Assumptions!$E$25)))),AND(Nonlabor!$H$27="Annual",MOD(C3926-IF(Nonlabor!$E$27="Core",Nonlabor!$F$27,MAX(Nonlabor!$F$27,IF(Nonlabor!$E$27="AI",Assumptions!$E$24,Assumptions!$E$25))),12)=0))),IF(Nonlabor!$I$27="Fixed",1,IF(Nonlabor!$I$27="Seats",ROUNDUP('Monthly Growth'!I26,0),IF(Nonlabor!$I$27="Customers",'Monthly Growth'!D26,IF(Nonlabor!$I$27="NewCustomers",'Monthly Growth'!C26,IF(Nonlabor!$I$27="StorageGB",'Monthly Growth'!G26,IF(Nonlabor!$I$27="LogGB",'Monthly Growth'!H26,IF(Nonlabor!$I$27="RequestsM",'Monthly Growth'!F26,IF(Nonlabor!$I$27="InputM",'Monthly Growth'!D26*Assumptions!$E$22/1000000,IF(Nonlabor!$I$27="OutputM",'Monthly Growth'!D26*Assumptions!$E$23/1000000,0))))))))),0)</f>
        <v>0</v>
      </c>
      <c r="F3926" s="10" t="n">
        <f aca="false">Nonlabor!$J$27*(1+Assumptions!$E$9)^INT((C3926-1)/12)</f>
        <v>41600</v>
      </c>
      <c r="G3926" s="10" t="n">
        <f aca="false">E3926*F3926</f>
        <v>0</v>
      </c>
      <c r="H3926" s="10" t="n">
        <f aca="false">IF(OR(Nonlabor!$L$27="Quote required",Nonlabor!$L$27="Unverified"),G3926,0)</f>
        <v>0</v>
      </c>
      <c r="I3926" s="10" t="n">
        <f aca="false">IF(Nonlabor!$E$27="Core",0,G3926)</f>
        <v>0</v>
      </c>
      <c r="J3926" s="23" t="str">
        <f aca="false">Nonlabor!$B$27</f>
        <v>CTMS</v>
      </c>
    </row>
    <row r="3927" customFormat="false" ht="15" hidden="false" customHeight="false" outlineLevel="0" collapsed="false">
      <c r="A3927" s="6" t="s">
        <v>73</v>
      </c>
      <c r="B3927" s="6" t="s">
        <v>439</v>
      </c>
      <c r="C3927" s="6" t="n">
        <v>22</v>
      </c>
      <c r="D3927" s="25" t="n">
        <f aca="false">EDATE('Start Here'!$B$6,C3927-1)</f>
        <v>46966</v>
      </c>
      <c r="E3927" s="23" t="n">
        <f aca="false">IF(AND(OR(Nonlabor!$D$27="Both",Nonlabor!$D$27='Start Here'!$B$9),IF(Nonlabor!$E$27="Core",1,IF(Nonlabor!$E$27="AI",'Start Here'!$B$7,'Start Here'!$B$8))=1,C3927&gt;=IF(Nonlabor!$E$27="Core",Nonlabor!$F$27,MAX(Nonlabor!$F$27,IF(Nonlabor!$E$27="AI",Assumptions!$E$24,Assumptions!$E$25))),C3927&lt;=Nonlabor!$G$27,OR(Nonlabor!$H$27="Monthly",AND(Nonlabor!$H$27="Once",C3927=IF(Nonlabor!$E$27="Core",Nonlabor!$F$27,MAX(Nonlabor!$F$27,IF(Nonlabor!$E$27="AI",Assumptions!$E$24,Assumptions!$E$25)))),AND(Nonlabor!$H$27="Annual",MOD(C3927-IF(Nonlabor!$E$27="Core",Nonlabor!$F$27,MAX(Nonlabor!$F$27,IF(Nonlabor!$E$27="AI",Assumptions!$E$24,Assumptions!$E$25))),12)=0))),IF(Nonlabor!$I$27="Fixed",1,IF(Nonlabor!$I$27="Seats",ROUNDUP('Monthly Growth'!I27,0),IF(Nonlabor!$I$27="Customers",'Monthly Growth'!D27,IF(Nonlabor!$I$27="NewCustomers",'Monthly Growth'!C27,IF(Nonlabor!$I$27="StorageGB",'Monthly Growth'!G27,IF(Nonlabor!$I$27="LogGB",'Monthly Growth'!H27,IF(Nonlabor!$I$27="RequestsM",'Monthly Growth'!F27,IF(Nonlabor!$I$27="InputM",'Monthly Growth'!D27*Assumptions!$E$22/1000000,IF(Nonlabor!$I$27="OutputM",'Monthly Growth'!D27*Assumptions!$E$23/1000000,0))))))))),0)</f>
        <v>0</v>
      </c>
      <c r="F3927" s="10" t="n">
        <f aca="false">Nonlabor!$J$27*(1+Assumptions!$E$9)^INT((C3927-1)/12)</f>
        <v>41600</v>
      </c>
      <c r="G3927" s="10" t="n">
        <f aca="false">E3927*F3927</f>
        <v>0</v>
      </c>
      <c r="H3927" s="10" t="n">
        <f aca="false">IF(OR(Nonlabor!$L$27="Quote required",Nonlabor!$L$27="Unverified"),G3927,0)</f>
        <v>0</v>
      </c>
      <c r="I3927" s="10" t="n">
        <f aca="false">IF(Nonlabor!$E$27="Core",0,G3927)</f>
        <v>0</v>
      </c>
      <c r="J3927" s="23" t="str">
        <f aca="false">Nonlabor!$B$27</f>
        <v>CTMS</v>
      </c>
    </row>
    <row r="3928" customFormat="false" ht="15" hidden="false" customHeight="false" outlineLevel="0" collapsed="false">
      <c r="A3928" s="6" t="s">
        <v>73</v>
      </c>
      <c r="B3928" s="6" t="s">
        <v>439</v>
      </c>
      <c r="C3928" s="6" t="n">
        <v>23</v>
      </c>
      <c r="D3928" s="25" t="n">
        <f aca="false">EDATE('Start Here'!$B$6,C3928-1)</f>
        <v>46997</v>
      </c>
      <c r="E3928" s="23" t="n">
        <f aca="false">IF(AND(OR(Nonlabor!$D$27="Both",Nonlabor!$D$27='Start Here'!$B$9),IF(Nonlabor!$E$27="Core",1,IF(Nonlabor!$E$27="AI",'Start Here'!$B$7,'Start Here'!$B$8))=1,C3928&gt;=IF(Nonlabor!$E$27="Core",Nonlabor!$F$27,MAX(Nonlabor!$F$27,IF(Nonlabor!$E$27="AI",Assumptions!$E$24,Assumptions!$E$25))),C3928&lt;=Nonlabor!$G$27,OR(Nonlabor!$H$27="Monthly",AND(Nonlabor!$H$27="Once",C3928=IF(Nonlabor!$E$27="Core",Nonlabor!$F$27,MAX(Nonlabor!$F$27,IF(Nonlabor!$E$27="AI",Assumptions!$E$24,Assumptions!$E$25)))),AND(Nonlabor!$H$27="Annual",MOD(C3928-IF(Nonlabor!$E$27="Core",Nonlabor!$F$27,MAX(Nonlabor!$F$27,IF(Nonlabor!$E$27="AI",Assumptions!$E$24,Assumptions!$E$25))),12)=0))),IF(Nonlabor!$I$27="Fixed",1,IF(Nonlabor!$I$27="Seats",ROUNDUP('Monthly Growth'!I28,0),IF(Nonlabor!$I$27="Customers",'Monthly Growth'!D28,IF(Nonlabor!$I$27="NewCustomers",'Monthly Growth'!C28,IF(Nonlabor!$I$27="StorageGB",'Monthly Growth'!G28,IF(Nonlabor!$I$27="LogGB",'Monthly Growth'!H28,IF(Nonlabor!$I$27="RequestsM",'Monthly Growth'!F28,IF(Nonlabor!$I$27="InputM",'Monthly Growth'!D28*Assumptions!$E$22/1000000,IF(Nonlabor!$I$27="OutputM",'Monthly Growth'!D28*Assumptions!$E$23/1000000,0))))))))),0)</f>
        <v>0</v>
      </c>
      <c r="F3928" s="10" t="n">
        <f aca="false">Nonlabor!$J$27*(1+Assumptions!$E$9)^INT((C3928-1)/12)</f>
        <v>41600</v>
      </c>
      <c r="G3928" s="10" t="n">
        <f aca="false">E3928*F3928</f>
        <v>0</v>
      </c>
      <c r="H3928" s="10" t="n">
        <f aca="false">IF(OR(Nonlabor!$L$27="Quote required",Nonlabor!$L$27="Unverified"),G3928,0)</f>
        <v>0</v>
      </c>
      <c r="I3928" s="10" t="n">
        <f aca="false">IF(Nonlabor!$E$27="Core",0,G3928)</f>
        <v>0</v>
      </c>
      <c r="J3928" s="23" t="str">
        <f aca="false">Nonlabor!$B$27</f>
        <v>CTMS</v>
      </c>
    </row>
    <row r="3929" customFormat="false" ht="15" hidden="false" customHeight="false" outlineLevel="0" collapsed="false">
      <c r="A3929" s="6" t="s">
        <v>73</v>
      </c>
      <c r="B3929" s="6" t="s">
        <v>439</v>
      </c>
      <c r="C3929" s="6" t="n">
        <v>24</v>
      </c>
      <c r="D3929" s="25" t="n">
        <f aca="false">EDATE('Start Here'!$B$6,C3929-1)</f>
        <v>47027</v>
      </c>
      <c r="E3929" s="23" t="n">
        <f aca="false">IF(AND(OR(Nonlabor!$D$27="Both",Nonlabor!$D$27='Start Here'!$B$9),IF(Nonlabor!$E$27="Core",1,IF(Nonlabor!$E$27="AI",'Start Here'!$B$7,'Start Here'!$B$8))=1,C3929&gt;=IF(Nonlabor!$E$27="Core",Nonlabor!$F$27,MAX(Nonlabor!$F$27,IF(Nonlabor!$E$27="AI",Assumptions!$E$24,Assumptions!$E$25))),C3929&lt;=Nonlabor!$G$27,OR(Nonlabor!$H$27="Monthly",AND(Nonlabor!$H$27="Once",C3929=IF(Nonlabor!$E$27="Core",Nonlabor!$F$27,MAX(Nonlabor!$F$27,IF(Nonlabor!$E$27="AI",Assumptions!$E$24,Assumptions!$E$25)))),AND(Nonlabor!$H$27="Annual",MOD(C3929-IF(Nonlabor!$E$27="Core",Nonlabor!$F$27,MAX(Nonlabor!$F$27,IF(Nonlabor!$E$27="AI",Assumptions!$E$24,Assumptions!$E$25))),12)=0))),IF(Nonlabor!$I$27="Fixed",1,IF(Nonlabor!$I$27="Seats",ROUNDUP('Monthly Growth'!I29,0),IF(Nonlabor!$I$27="Customers",'Monthly Growth'!D29,IF(Nonlabor!$I$27="NewCustomers",'Monthly Growth'!C29,IF(Nonlabor!$I$27="StorageGB",'Monthly Growth'!G29,IF(Nonlabor!$I$27="LogGB",'Monthly Growth'!H29,IF(Nonlabor!$I$27="RequestsM",'Monthly Growth'!F29,IF(Nonlabor!$I$27="InputM",'Monthly Growth'!D29*Assumptions!$E$22/1000000,IF(Nonlabor!$I$27="OutputM",'Monthly Growth'!D29*Assumptions!$E$23/1000000,0))))))))),0)</f>
        <v>0</v>
      </c>
      <c r="F3929" s="10" t="n">
        <f aca="false">Nonlabor!$J$27*(1+Assumptions!$E$9)^INT((C3929-1)/12)</f>
        <v>41600</v>
      </c>
      <c r="G3929" s="10" t="n">
        <f aca="false">E3929*F3929</f>
        <v>0</v>
      </c>
      <c r="H3929" s="10" t="n">
        <f aca="false">IF(OR(Nonlabor!$L$27="Quote required",Nonlabor!$L$27="Unverified"),G3929,0)</f>
        <v>0</v>
      </c>
      <c r="I3929" s="10" t="n">
        <f aca="false">IF(Nonlabor!$E$27="Core",0,G3929)</f>
        <v>0</v>
      </c>
      <c r="J3929" s="23" t="str">
        <f aca="false">Nonlabor!$B$27</f>
        <v>CTMS</v>
      </c>
    </row>
    <row r="3930" customFormat="false" ht="15" hidden="false" customHeight="false" outlineLevel="0" collapsed="false">
      <c r="A3930" s="6" t="s">
        <v>73</v>
      </c>
      <c r="B3930" s="6" t="s">
        <v>439</v>
      </c>
      <c r="C3930" s="6" t="n">
        <v>25</v>
      </c>
      <c r="D3930" s="25" t="n">
        <f aca="false">EDATE('Start Here'!$B$6,C3930-1)</f>
        <v>47058</v>
      </c>
      <c r="E3930" s="23" t="n">
        <f aca="false">IF(AND(OR(Nonlabor!$D$27="Both",Nonlabor!$D$27='Start Here'!$B$9),IF(Nonlabor!$E$27="Core",1,IF(Nonlabor!$E$27="AI",'Start Here'!$B$7,'Start Here'!$B$8))=1,C3930&gt;=IF(Nonlabor!$E$27="Core",Nonlabor!$F$27,MAX(Nonlabor!$F$27,IF(Nonlabor!$E$27="AI",Assumptions!$E$24,Assumptions!$E$25))),C3930&lt;=Nonlabor!$G$27,OR(Nonlabor!$H$27="Monthly",AND(Nonlabor!$H$27="Once",C3930=IF(Nonlabor!$E$27="Core",Nonlabor!$F$27,MAX(Nonlabor!$F$27,IF(Nonlabor!$E$27="AI",Assumptions!$E$24,Assumptions!$E$25)))),AND(Nonlabor!$H$27="Annual",MOD(C3930-IF(Nonlabor!$E$27="Core",Nonlabor!$F$27,MAX(Nonlabor!$F$27,IF(Nonlabor!$E$27="AI",Assumptions!$E$24,Assumptions!$E$25))),12)=0))),IF(Nonlabor!$I$27="Fixed",1,IF(Nonlabor!$I$27="Seats",ROUNDUP('Monthly Growth'!I30,0),IF(Nonlabor!$I$27="Customers",'Monthly Growth'!D30,IF(Nonlabor!$I$27="NewCustomers",'Monthly Growth'!C30,IF(Nonlabor!$I$27="StorageGB",'Monthly Growth'!G30,IF(Nonlabor!$I$27="LogGB",'Monthly Growth'!H30,IF(Nonlabor!$I$27="RequestsM",'Monthly Growth'!F30,IF(Nonlabor!$I$27="InputM",'Monthly Growth'!D30*Assumptions!$E$22/1000000,IF(Nonlabor!$I$27="OutputM",'Monthly Growth'!D30*Assumptions!$E$23/1000000,0))))))))),0)</f>
        <v>0</v>
      </c>
      <c r="F3930" s="10" t="n">
        <f aca="false">Nonlabor!$J$27*(1+Assumptions!$E$9)^INT((C3930-1)/12)</f>
        <v>43264</v>
      </c>
      <c r="G3930" s="10" t="n">
        <f aca="false">E3930*F3930</f>
        <v>0</v>
      </c>
      <c r="H3930" s="10" t="n">
        <f aca="false">IF(OR(Nonlabor!$L$27="Quote required",Nonlabor!$L$27="Unverified"),G3930,0)</f>
        <v>0</v>
      </c>
      <c r="I3930" s="10" t="n">
        <f aca="false">IF(Nonlabor!$E$27="Core",0,G3930)</f>
        <v>0</v>
      </c>
      <c r="J3930" s="23" t="str">
        <f aca="false">Nonlabor!$B$27</f>
        <v>CTMS</v>
      </c>
    </row>
    <row r="3931" customFormat="false" ht="15" hidden="false" customHeight="false" outlineLevel="0" collapsed="false">
      <c r="A3931" s="6" t="s">
        <v>73</v>
      </c>
      <c r="B3931" s="6" t="s">
        <v>439</v>
      </c>
      <c r="C3931" s="6" t="n">
        <v>26</v>
      </c>
      <c r="D3931" s="25" t="n">
        <f aca="false">EDATE('Start Here'!$B$6,C3931-1)</f>
        <v>47088</v>
      </c>
      <c r="E3931" s="23" t="n">
        <f aca="false">IF(AND(OR(Nonlabor!$D$27="Both",Nonlabor!$D$27='Start Here'!$B$9),IF(Nonlabor!$E$27="Core",1,IF(Nonlabor!$E$27="AI",'Start Here'!$B$7,'Start Here'!$B$8))=1,C3931&gt;=IF(Nonlabor!$E$27="Core",Nonlabor!$F$27,MAX(Nonlabor!$F$27,IF(Nonlabor!$E$27="AI",Assumptions!$E$24,Assumptions!$E$25))),C3931&lt;=Nonlabor!$G$27,OR(Nonlabor!$H$27="Monthly",AND(Nonlabor!$H$27="Once",C3931=IF(Nonlabor!$E$27="Core",Nonlabor!$F$27,MAX(Nonlabor!$F$27,IF(Nonlabor!$E$27="AI",Assumptions!$E$24,Assumptions!$E$25)))),AND(Nonlabor!$H$27="Annual",MOD(C3931-IF(Nonlabor!$E$27="Core",Nonlabor!$F$27,MAX(Nonlabor!$F$27,IF(Nonlabor!$E$27="AI",Assumptions!$E$24,Assumptions!$E$25))),12)=0))),IF(Nonlabor!$I$27="Fixed",1,IF(Nonlabor!$I$27="Seats",ROUNDUP('Monthly Growth'!I31,0),IF(Nonlabor!$I$27="Customers",'Monthly Growth'!D31,IF(Nonlabor!$I$27="NewCustomers",'Monthly Growth'!C31,IF(Nonlabor!$I$27="StorageGB",'Monthly Growth'!G31,IF(Nonlabor!$I$27="LogGB",'Monthly Growth'!H31,IF(Nonlabor!$I$27="RequestsM",'Monthly Growth'!F31,IF(Nonlabor!$I$27="InputM",'Monthly Growth'!D31*Assumptions!$E$22/1000000,IF(Nonlabor!$I$27="OutputM",'Monthly Growth'!D31*Assumptions!$E$23/1000000,0))))))))),0)</f>
        <v>0</v>
      </c>
      <c r="F3931" s="10" t="n">
        <f aca="false">Nonlabor!$J$27*(1+Assumptions!$E$9)^INT((C3931-1)/12)</f>
        <v>43264</v>
      </c>
      <c r="G3931" s="10" t="n">
        <f aca="false">E3931*F3931</f>
        <v>0</v>
      </c>
      <c r="H3931" s="10" t="n">
        <f aca="false">IF(OR(Nonlabor!$L$27="Quote required",Nonlabor!$L$27="Unverified"),G3931,0)</f>
        <v>0</v>
      </c>
      <c r="I3931" s="10" t="n">
        <f aca="false">IF(Nonlabor!$E$27="Core",0,G3931)</f>
        <v>0</v>
      </c>
      <c r="J3931" s="23" t="str">
        <f aca="false">Nonlabor!$B$27</f>
        <v>CTMS</v>
      </c>
    </row>
    <row r="3932" customFormat="false" ht="15" hidden="false" customHeight="false" outlineLevel="0" collapsed="false">
      <c r="A3932" s="6" t="s">
        <v>73</v>
      </c>
      <c r="B3932" s="6" t="s">
        <v>439</v>
      </c>
      <c r="C3932" s="6" t="n">
        <v>27</v>
      </c>
      <c r="D3932" s="25" t="n">
        <f aca="false">EDATE('Start Here'!$B$6,C3932-1)</f>
        <v>47119</v>
      </c>
      <c r="E3932" s="23" t="n">
        <f aca="false">IF(AND(OR(Nonlabor!$D$27="Both",Nonlabor!$D$27='Start Here'!$B$9),IF(Nonlabor!$E$27="Core",1,IF(Nonlabor!$E$27="AI",'Start Here'!$B$7,'Start Here'!$B$8))=1,C3932&gt;=IF(Nonlabor!$E$27="Core",Nonlabor!$F$27,MAX(Nonlabor!$F$27,IF(Nonlabor!$E$27="AI",Assumptions!$E$24,Assumptions!$E$25))),C3932&lt;=Nonlabor!$G$27,OR(Nonlabor!$H$27="Monthly",AND(Nonlabor!$H$27="Once",C3932=IF(Nonlabor!$E$27="Core",Nonlabor!$F$27,MAX(Nonlabor!$F$27,IF(Nonlabor!$E$27="AI",Assumptions!$E$24,Assumptions!$E$25)))),AND(Nonlabor!$H$27="Annual",MOD(C3932-IF(Nonlabor!$E$27="Core",Nonlabor!$F$27,MAX(Nonlabor!$F$27,IF(Nonlabor!$E$27="AI",Assumptions!$E$24,Assumptions!$E$25))),12)=0))),IF(Nonlabor!$I$27="Fixed",1,IF(Nonlabor!$I$27="Seats",ROUNDUP('Monthly Growth'!I32,0),IF(Nonlabor!$I$27="Customers",'Monthly Growth'!D32,IF(Nonlabor!$I$27="NewCustomers",'Monthly Growth'!C32,IF(Nonlabor!$I$27="StorageGB",'Monthly Growth'!G32,IF(Nonlabor!$I$27="LogGB",'Monthly Growth'!H32,IF(Nonlabor!$I$27="RequestsM",'Monthly Growth'!F32,IF(Nonlabor!$I$27="InputM",'Monthly Growth'!D32*Assumptions!$E$22/1000000,IF(Nonlabor!$I$27="OutputM",'Monthly Growth'!D32*Assumptions!$E$23/1000000,0))))))))),0)</f>
        <v>0</v>
      </c>
      <c r="F3932" s="10" t="n">
        <f aca="false">Nonlabor!$J$27*(1+Assumptions!$E$9)^INT((C3932-1)/12)</f>
        <v>43264</v>
      </c>
      <c r="G3932" s="10" t="n">
        <f aca="false">E3932*F3932</f>
        <v>0</v>
      </c>
      <c r="H3932" s="10" t="n">
        <f aca="false">IF(OR(Nonlabor!$L$27="Quote required",Nonlabor!$L$27="Unverified"),G3932,0)</f>
        <v>0</v>
      </c>
      <c r="I3932" s="10" t="n">
        <f aca="false">IF(Nonlabor!$E$27="Core",0,G3932)</f>
        <v>0</v>
      </c>
      <c r="J3932" s="23" t="str">
        <f aca="false">Nonlabor!$B$27</f>
        <v>CTMS</v>
      </c>
    </row>
    <row r="3933" customFormat="false" ht="15" hidden="false" customHeight="false" outlineLevel="0" collapsed="false">
      <c r="A3933" s="6" t="s">
        <v>73</v>
      </c>
      <c r="B3933" s="6" t="s">
        <v>439</v>
      </c>
      <c r="C3933" s="6" t="n">
        <v>28</v>
      </c>
      <c r="D3933" s="25" t="n">
        <f aca="false">EDATE('Start Here'!$B$6,C3933-1)</f>
        <v>47150</v>
      </c>
      <c r="E3933" s="23" t="n">
        <f aca="false">IF(AND(OR(Nonlabor!$D$27="Both",Nonlabor!$D$27='Start Here'!$B$9),IF(Nonlabor!$E$27="Core",1,IF(Nonlabor!$E$27="AI",'Start Here'!$B$7,'Start Here'!$B$8))=1,C3933&gt;=IF(Nonlabor!$E$27="Core",Nonlabor!$F$27,MAX(Nonlabor!$F$27,IF(Nonlabor!$E$27="AI",Assumptions!$E$24,Assumptions!$E$25))),C3933&lt;=Nonlabor!$G$27,OR(Nonlabor!$H$27="Monthly",AND(Nonlabor!$H$27="Once",C3933=IF(Nonlabor!$E$27="Core",Nonlabor!$F$27,MAX(Nonlabor!$F$27,IF(Nonlabor!$E$27="AI",Assumptions!$E$24,Assumptions!$E$25)))),AND(Nonlabor!$H$27="Annual",MOD(C3933-IF(Nonlabor!$E$27="Core",Nonlabor!$F$27,MAX(Nonlabor!$F$27,IF(Nonlabor!$E$27="AI",Assumptions!$E$24,Assumptions!$E$25))),12)=0))),IF(Nonlabor!$I$27="Fixed",1,IF(Nonlabor!$I$27="Seats",ROUNDUP('Monthly Growth'!I33,0),IF(Nonlabor!$I$27="Customers",'Monthly Growth'!D33,IF(Nonlabor!$I$27="NewCustomers",'Monthly Growth'!C33,IF(Nonlabor!$I$27="StorageGB",'Monthly Growth'!G33,IF(Nonlabor!$I$27="LogGB",'Monthly Growth'!H33,IF(Nonlabor!$I$27="RequestsM",'Monthly Growth'!F33,IF(Nonlabor!$I$27="InputM",'Monthly Growth'!D33*Assumptions!$E$22/1000000,IF(Nonlabor!$I$27="OutputM",'Monthly Growth'!D33*Assumptions!$E$23/1000000,0))))))))),0)</f>
        <v>0</v>
      </c>
      <c r="F3933" s="10" t="n">
        <f aca="false">Nonlabor!$J$27*(1+Assumptions!$E$9)^INT((C3933-1)/12)</f>
        <v>43264</v>
      </c>
      <c r="G3933" s="10" t="n">
        <f aca="false">E3933*F3933</f>
        <v>0</v>
      </c>
      <c r="H3933" s="10" t="n">
        <f aca="false">IF(OR(Nonlabor!$L$27="Quote required",Nonlabor!$L$27="Unverified"),G3933,0)</f>
        <v>0</v>
      </c>
      <c r="I3933" s="10" t="n">
        <f aca="false">IF(Nonlabor!$E$27="Core",0,G3933)</f>
        <v>0</v>
      </c>
      <c r="J3933" s="23" t="str">
        <f aca="false">Nonlabor!$B$27</f>
        <v>CTMS</v>
      </c>
    </row>
    <row r="3934" customFormat="false" ht="15" hidden="false" customHeight="false" outlineLevel="0" collapsed="false">
      <c r="A3934" s="6" t="s">
        <v>73</v>
      </c>
      <c r="B3934" s="6" t="s">
        <v>439</v>
      </c>
      <c r="C3934" s="6" t="n">
        <v>29</v>
      </c>
      <c r="D3934" s="25" t="n">
        <f aca="false">EDATE('Start Here'!$B$6,C3934-1)</f>
        <v>47178</v>
      </c>
      <c r="E3934" s="23" t="n">
        <f aca="false">IF(AND(OR(Nonlabor!$D$27="Both",Nonlabor!$D$27='Start Here'!$B$9),IF(Nonlabor!$E$27="Core",1,IF(Nonlabor!$E$27="AI",'Start Here'!$B$7,'Start Here'!$B$8))=1,C3934&gt;=IF(Nonlabor!$E$27="Core",Nonlabor!$F$27,MAX(Nonlabor!$F$27,IF(Nonlabor!$E$27="AI",Assumptions!$E$24,Assumptions!$E$25))),C3934&lt;=Nonlabor!$G$27,OR(Nonlabor!$H$27="Monthly",AND(Nonlabor!$H$27="Once",C3934=IF(Nonlabor!$E$27="Core",Nonlabor!$F$27,MAX(Nonlabor!$F$27,IF(Nonlabor!$E$27="AI",Assumptions!$E$24,Assumptions!$E$25)))),AND(Nonlabor!$H$27="Annual",MOD(C3934-IF(Nonlabor!$E$27="Core",Nonlabor!$F$27,MAX(Nonlabor!$F$27,IF(Nonlabor!$E$27="AI",Assumptions!$E$24,Assumptions!$E$25))),12)=0))),IF(Nonlabor!$I$27="Fixed",1,IF(Nonlabor!$I$27="Seats",ROUNDUP('Monthly Growth'!I34,0),IF(Nonlabor!$I$27="Customers",'Monthly Growth'!D34,IF(Nonlabor!$I$27="NewCustomers",'Monthly Growth'!C34,IF(Nonlabor!$I$27="StorageGB",'Monthly Growth'!G34,IF(Nonlabor!$I$27="LogGB",'Monthly Growth'!H34,IF(Nonlabor!$I$27="RequestsM",'Monthly Growth'!F34,IF(Nonlabor!$I$27="InputM",'Monthly Growth'!D34*Assumptions!$E$22/1000000,IF(Nonlabor!$I$27="OutputM",'Monthly Growth'!D34*Assumptions!$E$23/1000000,0))))))))),0)</f>
        <v>0</v>
      </c>
      <c r="F3934" s="10" t="n">
        <f aca="false">Nonlabor!$J$27*(1+Assumptions!$E$9)^INT((C3934-1)/12)</f>
        <v>43264</v>
      </c>
      <c r="G3934" s="10" t="n">
        <f aca="false">E3934*F3934</f>
        <v>0</v>
      </c>
      <c r="H3934" s="10" t="n">
        <f aca="false">IF(OR(Nonlabor!$L$27="Quote required",Nonlabor!$L$27="Unverified"),G3934,0)</f>
        <v>0</v>
      </c>
      <c r="I3934" s="10" t="n">
        <f aca="false">IF(Nonlabor!$E$27="Core",0,G3934)</f>
        <v>0</v>
      </c>
      <c r="J3934" s="23" t="str">
        <f aca="false">Nonlabor!$B$27</f>
        <v>CTMS</v>
      </c>
    </row>
    <row r="3935" customFormat="false" ht="15" hidden="false" customHeight="false" outlineLevel="0" collapsed="false">
      <c r="A3935" s="6" t="s">
        <v>73</v>
      </c>
      <c r="B3935" s="6" t="s">
        <v>439</v>
      </c>
      <c r="C3935" s="6" t="n">
        <v>30</v>
      </c>
      <c r="D3935" s="25" t="n">
        <f aca="false">EDATE('Start Here'!$B$6,C3935-1)</f>
        <v>47209</v>
      </c>
      <c r="E3935" s="23" t="n">
        <f aca="false">IF(AND(OR(Nonlabor!$D$27="Both",Nonlabor!$D$27='Start Here'!$B$9),IF(Nonlabor!$E$27="Core",1,IF(Nonlabor!$E$27="AI",'Start Here'!$B$7,'Start Here'!$B$8))=1,C3935&gt;=IF(Nonlabor!$E$27="Core",Nonlabor!$F$27,MAX(Nonlabor!$F$27,IF(Nonlabor!$E$27="AI",Assumptions!$E$24,Assumptions!$E$25))),C3935&lt;=Nonlabor!$G$27,OR(Nonlabor!$H$27="Monthly",AND(Nonlabor!$H$27="Once",C3935=IF(Nonlabor!$E$27="Core",Nonlabor!$F$27,MAX(Nonlabor!$F$27,IF(Nonlabor!$E$27="AI",Assumptions!$E$24,Assumptions!$E$25)))),AND(Nonlabor!$H$27="Annual",MOD(C3935-IF(Nonlabor!$E$27="Core",Nonlabor!$F$27,MAX(Nonlabor!$F$27,IF(Nonlabor!$E$27="AI",Assumptions!$E$24,Assumptions!$E$25))),12)=0))),IF(Nonlabor!$I$27="Fixed",1,IF(Nonlabor!$I$27="Seats",ROUNDUP('Monthly Growth'!I35,0),IF(Nonlabor!$I$27="Customers",'Monthly Growth'!D35,IF(Nonlabor!$I$27="NewCustomers",'Monthly Growth'!C35,IF(Nonlabor!$I$27="StorageGB",'Monthly Growth'!G35,IF(Nonlabor!$I$27="LogGB",'Monthly Growth'!H35,IF(Nonlabor!$I$27="RequestsM",'Monthly Growth'!F35,IF(Nonlabor!$I$27="InputM",'Monthly Growth'!D35*Assumptions!$E$22/1000000,IF(Nonlabor!$I$27="OutputM",'Monthly Growth'!D35*Assumptions!$E$23/1000000,0))))))))),0)</f>
        <v>0</v>
      </c>
      <c r="F3935" s="10" t="n">
        <f aca="false">Nonlabor!$J$27*(1+Assumptions!$E$9)^INT((C3935-1)/12)</f>
        <v>43264</v>
      </c>
      <c r="G3935" s="10" t="n">
        <f aca="false">E3935*F3935</f>
        <v>0</v>
      </c>
      <c r="H3935" s="10" t="n">
        <f aca="false">IF(OR(Nonlabor!$L$27="Quote required",Nonlabor!$L$27="Unverified"),G3935,0)</f>
        <v>0</v>
      </c>
      <c r="I3935" s="10" t="n">
        <f aca="false">IF(Nonlabor!$E$27="Core",0,G3935)</f>
        <v>0</v>
      </c>
      <c r="J3935" s="23" t="str">
        <f aca="false">Nonlabor!$B$27</f>
        <v>CTMS</v>
      </c>
    </row>
    <row r="3936" customFormat="false" ht="15" hidden="false" customHeight="false" outlineLevel="0" collapsed="false">
      <c r="A3936" s="6" t="s">
        <v>73</v>
      </c>
      <c r="B3936" s="6" t="s">
        <v>439</v>
      </c>
      <c r="C3936" s="6" t="n">
        <v>31</v>
      </c>
      <c r="D3936" s="25" t="n">
        <f aca="false">EDATE('Start Here'!$B$6,C3936-1)</f>
        <v>47239</v>
      </c>
      <c r="E3936" s="23" t="n">
        <f aca="false">IF(AND(OR(Nonlabor!$D$27="Both",Nonlabor!$D$27='Start Here'!$B$9),IF(Nonlabor!$E$27="Core",1,IF(Nonlabor!$E$27="AI",'Start Here'!$B$7,'Start Here'!$B$8))=1,C3936&gt;=IF(Nonlabor!$E$27="Core",Nonlabor!$F$27,MAX(Nonlabor!$F$27,IF(Nonlabor!$E$27="AI",Assumptions!$E$24,Assumptions!$E$25))),C3936&lt;=Nonlabor!$G$27,OR(Nonlabor!$H$27="Monthly",AND(Nonlabor!$H$27="Once",C3936=IF(Nonlabor!$E$27="Core",Nonlabor!$F$27,MAX(Nonlabor!$F$27,IF(Nonlabor!$E$27="AI",Assumptions!$E$24,Assumptions!$E$25)))),AND(Nonlabor!$H$27="Annual",MOD(C3936-IF(Nonlabor!$E$27="Core",Nonlabor!$F$27,MAX(Nonlabor!$F$27,IF(Nonlabor!$E$27="AI",Assumptions!$E$24,Assumptions!$E$25))),12)=0))),IF(Nonlabor!$I$27="Fixed",1,IF(Nonlabor!$I$27="Seats",ROUNDUP('Monthly Growth'!I36,0),IF(Nonlabor!$I$27="Customers",'Monthly Growth'!D36,IF(Nonlabor!$I$27="NewCustomers",'Monthly Growth'!C36,IF(Nonlabor!$I$27="StorageGB",'Monthly Growth'!G36,IF(Nonlabor!$I$27="LogGB",'Monthly Growth'!H36,IF(Nonlabor!$I$27="RequestsM",'Monthly Growth'!F36,IF(Nonlabor!$I$27="InputM",'Monthly Growth'!D36*Assumptions!$E$22/1000000,IF(Nonlabor!$I$27="OutputM",'Monthly Growth'!D36*Assumptions!$E$23/1000000,0))))))))),0)</f>
        <v>0</v>
      </c>
      <c r="F3936" s="10" t="n">
        <f aca="false">Nonlabor!$J$27*(1+Assumptions!$E$9)^INT((C3936-1)/12)</f>
        <v>43264</v>
      </c>
      <c r="G3936" s="10" t="n">
        <f aca="false">E3936*F3936</f>
        <v>0</v>
      </c>
      <c r="H3936" s="10" t="n">
        <f aca="false">IF(OR(Nonlabor!$L$27="Quote required",Nonlabor!$L$27="Unverified"),G3936,0)</f>
        <v>0</v>
      </c>
      <c r="I3936" s="10" t="n">
        <f aca="false">IF(Nonlabor!$E$27="Core",0,G3936)</f>
        <v>0</v>
      </c>
      <c r="J3936" s="23" t="str">
        <f aca="false">Nonlabor!$B$27</f>
        <v>CTMS</v>
      </c>
    </row>
    <row r="3937" customFormat="false" ht="15" hidden="false" customHeight="false" outlineLevel="0" collapsed="false">
      <c r="A3937" s="6" t="s">
        <v>73</v>
      </c>
      <c r="B3937" s="6" t="s">
        <v>439</v>
      </c>
      <c r="C3937" s="6" t="n">
        <v>32</v>
      </c>
      <c r="D3937" s="25" t="n">
        <f aca="false">EDATE('Start Here'!$B$6,C3937-1)</f>
        <v>47270</v>
      </c>
      <c r="E3937" s="23" t="n">
        <f aca="false">IF(AND(OR(Nonlabor!$D$27="Both",Nonlabor!$D$27='Start Here'!$B$9),IF(Nonlabor!$E$27="Core",1,IF(Nonlabor!$E$27="AI",'Start Here'!$B$7,'Start Here'!$B$8))=1,C3937&gt;=IF(Nonlabor!$E$27="Core",Nonlabor!$F$27,MAX(Nonlabor!$F$27,IF(Nonlabor!$E$27="AI",Assumptions!$E$24,Assumptions!$E$25))),C3937&lt;=Nonlabor!$G$27,OR(Nonlabor!$H$27="Monthly",AND(Nonlabor!$H$27="Once",C3937=IF(Nonlabor!$E$27="Core",Nonlabor!$F$27,MAX(Nonlabor!$F$27,IF(Nonlabor!$E$27="AI",Assumptions!$E$24,Assumptions!$E$25)))),AND(Nonlabor!$H$27="Annual",MOD(C3937-IF(Nonlabor!$E$27="Core",Nonlabor!$F$27,MAX(Nonlabor!$F$27,IF(Nonlabor!$E$27="AI",Assumptions!$E$24,Assumptions!$E$25))),12)=0))),IF(Nonlabor!$I$27="Fixed",1,IF(Nonlabor!$I$27="Seats",ROUNDUP('Monthly Growth'!I37,0),IF(Nonlabor!$I$27="Customers",'Monthly Growth'!D37,IF(Nonlabor!$I$27="NewCustomers",'Monthly Growth'!C37,IF(Nonlabor!$I$27="StorageGB",'Monthly Growth'!G37,IF(Nonlabor!$I$27="LogGB",'Monthly Growth'!H37,IF(Nonlabor!$I$27="RequestsM",'Monthly Growth'!F37,IF(Nonlabor!$I$27="InputM",'Monthly Growth'!D37*Assumptions!$E$22/1000000,IF(Nonlabor!$I$27="OutputM",'Monthly Growth'!D37*Assumptions!$E$23/1000000,0))))))))),0)</f>
        <v>0</v>
      </c>
      <c r="F3937" s="10" t="n">
        <f aca="false">Nonlabor!$J$27*(1+Assumptions!$E$9)^INT((C3937-1)/12)</f>
        <v>43264</v>
      </c>
      <c r="G3937" s="10" t="n">
        <f aca="false">E3937*F3937</f>
        <v>0</v>
      </c>
      <c r="H3937" s="10" t="n">
        <f aca="false">IF(OR(Nonlabor!$L$27="Quote required",Nonlabor!$L$27="Unverified"),G3937,0)</f>
        <v>0</v>
      </c>
      <c r="I3937" s="10" t="n">
        <f aca="false">IF(Nonlabor!$E$27="Core",0,G3937)</f>
        <v>0</v>
      </c>
      <c r="J3937" s="23" t="str">
        <f aca="false">Nonlabor!$B$27</f>
        <v>CTMS</v>
      </c>
    </row>
    <row r="3938" customFormat="false" ht="15" hidden="false" customHeight="false" outlineLevel="0" collapsed="false">
      <c r="A3938" s="6" t="s">
        <v>73</v>
      </c>
      <c r="B3938" s="6" t="s">
        <v>439</v>
      </c>
      <c r="C3938" s="6" t="n">
        <v>33</v>
      </c>
      <c r="D3938" s="25" t="n">
        <f aca="false">EDATE('Start Here'!$B$6,C3938-1)</f>
        <v>47300</v>
      </c>
      <c r="E3938" s="23" t="n">
        <f aca="false">IF(AND(OR(Nonlabor!$D$27="Both",Nonlabor!$D$27='Start Here'!$B$9),IF(Nonlabor!$E$27="Core",1,IF(Nonlabor!$E$27="AI",'Start Here'!$B$7,'Start Here'!$B$8))=1,C3938&gt;=IF(Nonlabor!$E$27="Core",Nonlabor!$F$27,MAX(Nonlabor!$F$27,IF(Nonlabor!$E$27="AI",Assumptions!$E$24,Assumptions!$E$25))),C3938&lt;=Nonlabor!$G$27,OR(Nonlabor!$H$27="Monthly",AND(Nonlabor!$H$27="Once",C3938=IF(Nonlabor!$E$27="Core",Nonlabor!$F$27,MAX(Nonlabor!$F$27,IF(Nonlabor!$E$27="AI",Assumptions!$E$24,Assumptions!$E$25)))),AND(Nonlabor!$H$27="Annual",MOD(C3938-IF(Nonlabor!$E$27="Core",Nonlabor!$F$27,MAX(Nonlabor!$F$27,IF(Nonlabor!$E$27="AI",Assumptions!$E$24,Assumptions!$E$25))),12)=0))),IF(Nonlabor!$I$27="Fixed",1,IF(Nonlabor!$I$27="Seats",ROUNDUP('Monthly Growth'!I38,0),IF(Nonlabor!$I$27="Customers",'Monthly Growth'!D38,IF(Nonlabor!$I$27="NewCustomers",'Monthly Growth'!C38,IF(Nonlabor!$I$27="StorageGB",'Monthly Growth'!G38,IF(Nonlabor!$I$27="LogGB",'Monthly Growth'!H38,IF(Nonlabor!$I$27="RequestsM",'Monthly Growth'!F38,IF(Nonlabor!$I$27="InputM",'Monthly Growth'!D38*Assumptions!$E$22/1000000,IF(Nonlabor!$I$27="OutputM",'Monthly Growth'!D38*Assumptions!$E$23/1000000,0))))))))),0)</f>
        <v>0</v>
      </c>
      <c r="F3938" s="10" t="n">
        <f aca="false">Nonlabor!$J$27*(1+Assumptions!$E$9)^INT((C3938-1)/12)</f>
        <v>43264</v>
      </c>
      <c r="G3938" s="10" t="n">
        <f aca="false">E3938*F3938</f>
        <v>0</v>
      </c>
      <c r="H3938" s="10" t="n">
        <f aca="false">IF(OR(Nonlabor!$L$27="Quote required",Nonlabor!$L$27="Unverified"),G3938,0)</f>
        <v>0</v>
      </c>
      <c r="I3938" s="10" t="n">
        <f aca="false">IF(Nonlabor!$E$27="Core",0,G3938)</f>
        <v>0</v>
      </c>
      <c r="J3938" s="23" t="str">
        <f aca="false">Nonlabor!$B$27</f>
        <v>CTMS</v>
      </c>
    </row>
    <row r="3939" customFormat="false" ht="15" hidden="false" customHeight="false" outlineLevel="0" collapsed="false">
      <c r="A3939" s="6" t="s">
        <v>73</v>
      </c>
      <c r="B3939" s="6" t="s">
        <v>439</v>
      </c>
      <c r="C3939" s="6" t="n">
        <v>34</v>
      </c>
      <c r="D3939" s="25" t="n">
        <f aca="false">EDATE('Start Here'!$B$6,C3939-1)</f>
        <v>47331</v>
      </c>
      <c r="E3939" s="23" t="n">
        <f aca="false">IF(AND(OR(Nonlabor!$D$27="Both",Nonlabor!$D$27='Start Here'!$B$9),IF(Nonlabor!$E$27="Core",1,IF(Nonlabor!$E$27="AI",'Start Here'!$B$7,'Start Here'!$B$8))=1,C3939&gt;=IF(Nonlabor!$E$27="Core",Nonlabor!$F$27,MAX(Nonlabor!$F$27,IF(Nonlabor!$E$27="AI",Assumptions!$E$24,Assumptions!$E$25))),C3939&lt;=Nonlabor!$G$27,OR(Nonlabor!$H$27="Monthly",AND(Nonlabor!$H$27="Once",C3939=IF(Nonlabor!$E$27="Core",Nonlabor!$F$27,MAX(Nonlabor!$F$27,IF(Nonlabor!$E$27="AI",Assumptions!$E$24,Assumptions!$E$25)))),AND(Nonlabor!$H$27="Annual",MOD(C3939-IF(Nonlabor!$E$27="Core",Nonlabor!$F$27,MAX(Nonlabor!$F$27,IF(Nonlabor!$E$27="AI",Assumptions!$E$24,Assumptions!$E$25))),12)=0))),IF(Nonlabor!$I$27="Fixed",1,IF(Nonlabor!$I$27="Seats",ROUNDUP('Monthly Growth'!I39,0),IF(Nonlabor!$I$27="Customers",'Monthly Growth'!D39,IF(Nonlabor!$I$27="NewCustomers",'Monthly Growth'!C39,IF(Nonlabor!$I$27="StorageGB",'Monthly Growth'!G39,IF(Nonlabor!$I$27="LogGB",'Monthly Growth'!H39,IF(Nonlabor!$I$27="RequestsM",'Monthly Growth'!F39,IF(Nonlabor!$I$27="InputM",'Monthly Growth'!D39*Assumptions!$E$22/1000000,IF(Nonlabor!$I$27="OutputM",'Monthly Growth'!D39*Assumptions!$E$23/1000000,0))))))))),0)</f>
        <v>0</v>
      </c>
      <c r="F3939" s="10" t="n">
        <f aca="false">Nonlabor!$J$27*(1+Assumptions!$E$9)^INT((C3939-1)/12)</f>
        <v>43264</v>
      </c>
      <c r="G3939" s="10" t="n">
        <f aca="false">E3939*F3939</f>
        <v>0</v>
      </c>
      <c r="H3939" s="10" t="n">
        <f aca="false">IF(OR(Nonlabor!$L$27="Quote required",Nonlabor!$L$27="Unverified"),G3939,0)</f>
        <v>0</v>
      </c>
      <c r="I3939" s="10" t="n">
        <f aca="false">IF(Nonlabor!$E$27="Core",0,G3939)</f>
        <v>0</v>
      </c>
      <c r="J3939" s="23" t="str">
        <f aca="false">Nonlabor!$B$27</f>
        <v>CTMS</v>
      </c>
    </row>
    <row r="3940" customFormat="false" ht="15" hidden="false" customHeight="false" outlineLevel="0" collapsed="false">
      <c r="A3940" s="6" t="s">
        <v>73</v>
      </c>
      <c r="B3940" s="6" t="s">
        <v>439</v>
      </c>
      <c r="C3940" s="6" t="n">
        <v>35</v>
      </c>
      <c r="D3940" s="25" t="n">
        <f aca="false">EDATE('Start Here'!$B$6,C3940-1)</f>
        <v>47362</v>
      </c>
      <c r="E3940" s="23" t="n">
        <f aca="false">IF(AND(OR(Nonlabor!$D$27="Both",Nonlabor!$D$27='Start Here'!$B$9),IF(Nonlabor!$E$27="Core",1,IF(Nonlabor!$E$27="AI",'Start Here'!$B$7,'Start Here'!$B$8))=1,C3940&gt;=IF(Nonlabor!$E$27="Core",Nonlabor!$F$27,MAX(Nonlabor!$F$27,IF(Nonlabor!$E$27="AI",Assumptions!$E$24,Assumptions!$E$25))),C3940&lt;=Nonlabor!$G$27,OR(Nonlabor!$H$27="Monthly",AND(Nonlabor!$H$27="Once",C3940=IF(Nonlabor!$E$27="Core",Nonlabor!$F$27,MAX(Nonlabor!$F$27,IF(Nonlabor!$E$27="AI",Assumptions!$E$24,Assumptions!$E$25)))),AND(Nonlabor!$H$27="Annual",MOD(C3940-IF(Nonlabor!$E$27="Core",Nonlabor!$F$27,MAX(Nonlabor!$F$27,IF(Nonlabor!$E$27="AI",Assumptions!$E$24,Assumptions!$E$25))),12)=0))),IF(Nonlabor!$I$27="Fixed",1,IF(Nonlabor!$I$27="Seats",ROUNDUP('Monthly Growth'!I40,0),IF(Nonlabor!$I$27="Customers",'Monthly Growth'!D40,IF(Nonlabor!$I$27="NewCustomers",'Monthly Growth'!C40,IF(Nonlabor!$I$27="StorageGB",'Monthly Growth'!G40,IF(Nonlabor!$I$27="LogGB",'Monthly Growth'!H40,IF(Nonlabor!$I$27="RequestsM",'Monthly Growth'!F40,IF(Nonlabor!$I$27="InputM",'Monthly Growth'!D40*Assumptions!$E$22/1000000,IF(Nonlabor!$I$27="OutputM",'Monthly Growth'!D40*Assumptions!$E$23/1000000,0))))))))),0)</f>
        <v>0</v>
      </c>
      <c r="F3940" s="10" t="n">
        <f aca="false">Nonlabor!$J$27*(1+Assumptions!$E$9)^INT((C3940-1)/12)</f>
        <v>43264</v>
      </c>
      <c r="G3940" s="10" t="n">
        <f aca="false">E3940*F3940</f>
        <v>0</v>
      </c>
      <c r="H3940" s="10" t="n">
        <f aca="false">IF(OR(Nonlabor!$L$27="Quote required",Nonlabor!$L$27="Unverified"),G3940,0)</f>
        <v>0</v>
      </c>
      <c r="I3940" s="10" t="n">
        <f aca="false">IF(Nonlabor!$E$27="Core",0,G3940)</f>
        <v>0</v>
      </c>
      <c r="J3940" s="23" t="str">
        <f aca="false">Nonlabor!$B$27</f>
        <v>CTMS</v>
      </c>
    </row>
    <row r="3941" customFormat="false" ht="15" hidden="false" customHeight="false" outlineLevel="0" collapsed="false">
      <c r="A3941" s="6" t="s">
        <v>73</v>
      </c>
      <c r="B3941" s="6" t="s">
        <v>439</v>
      </c>
      <c r="C3941" s="6" t="n">
        <v>36</v>
      </c>
      <c r="D3941" s="25" t="n">
        <f aca="false">EDATE('Start Here'!$B$6,C3941-1)</f>
        <v>47392</v>
      </c>
      <c r="E3941" s="23" t="n">
        <f aca="false">IF(AND(OR(Nonlabor!$D$27="Both",Nonlabor!$D$27='Start Here'!$B$9),IF(Nonlabor!$E$27="Core",1,IF(Nonlabor!$E$27="AI",'Start Here'!$B$7,'Start Here'!$B$8))=1,C3941&gt;=IF(Nonlabor!$E$27="Core",Nonlabor!$F$27,MAX(Nonlabor!$F$27,IF(Nonlabor!$E$27="AI",Assumptions!$E$24,Assumptions!$E$25))),C3941&lt;=Nonlabor!$G$27,OR(Nonlabor!$H$27="Monthly",AND(Nonlabor!$H$27="Once",C3941=IF(Nonlabor!$E$27="Core",Nonlabor!$F$27,MAX(Nonlabor!$F$27,IF(Nonlabor!$E$27="AI",Assumptions!$E$24,Assumptions!$E$25)))),AND(Nonlabor!$H$27="Annual",MOD(C3941-IF(Nonlabor!$E$27="Core",Nonlabor!$F$27,MAX(Nonlabor!$F$27,IF(Nonlabor!$E$27="AI",Assumptions!$E$24,Assumptions!$E$25))),12)=0))),IF(Nonlabor!$I$27="Fixed",1,IF(Nonlabor!$I$27="Seats",ROUNDUP('Monthly Growth'!I41,0),IF(Nonlabor!$I$27="Customers",'Monthly Growth'!D41,IF(Nonlabor!$I$27="NewCustomers",'Monthly Growth'!C41,IF(Nonlabor!$I$27="StorageGB",'Monthly Growth'!G41,IF(Nonlabor!$I$27="LogGB",'Monthly Growth'!H41,IF(Nonlabor!$I$27="RequestsM",'Monthly Growth'!F41,IF(Nonlabor!$I$27="InputM",'Monthly Growth'!D41*Assumptions!$E$22/1000000,IF(Nonlabor!$I$27="OutputM",'Monthly Growth'!D41*Assumptions!$E$23/1000000,0))))))))),0)</f>
        <v>0</v>
      </c>
      <c r="F3941" s="10" t="n">
        <f aca="false">Nonlabor!$J$27*(1+Assumptions!$E$9)^INT((C3941-1)/12)</f>
        <v>43264</v>
      </c>
      <c r="G3941" s="10" t="n">
        <f aca="false">E3941*F3941</f>
        <v>0</v>
      </c>
      <c r="H3941" s="10" t="n">
        <f aca="false">IF(OR(Nonlabor!$L$27="Quote required",Nonlabor!$L$27="Unverified"),G3941,0)</f>
        <v>0</v>
      </c>
      <c r="I3941" s="10" t="n">
        <f aca="false">IF(Nonlabor!$E$27="Core",0,G3941)</f>
        <v>0</v>
      </c>
      <c r="J3941" s="23" t="str">
        <f aca="false">Nonlabor!$B$27</f>
        <v>CTMS</v>
      </c>
    </row>
    <row r="3942" customFormat="false" ht="15" hidden="false" customHeight="false" outlineLevel="0" collapsed="false">
      <c r="A3942" s="6" t="s">
        <v>73</v>
      </c>
      <c r="B3942" s="6" t="s">
        <v>439</v>
      </c>
      <c r="C3942" s="6" t="n">
        <v>37</v>
      </c>
      <c r="D3942" s="25" t="n">
        <f aca="false">EDATE('Start Here'!$B$6,C3942-1)</f>
        <v>47423</v>
      </c>
      <c r="E3942" s="23" t="n">
        <f aca="false">IF(AND(OR(Nonlabor!$D$27="Both",Nonlabor!$D$27='Start Here'!$B$9),IF(Nonlabor!$E$27="Core",1,IF(Nonlabor!$E$27="AI",'Start Here'!$B$7,'Start Here'!$B$8))=1,C3942&gt;=IF(Nonlabor!$E$27="Core",Nonlabor!$F$27,MAX(Nonlabor!$F$27,IF(Nonlabor!$E$27="AI",Assumptions!$E$24,Assumptions!$E$25))),C3942&lt;=Nonlabor!$G$27,OR(Nonlabor!$H$27="Monthly",AND(Nonlabor!$H$27="Once",C3942=IF(Nonlabor!$E$27="Core",Nonlabor!$F$27,MAX(Nonlabor!$F$27,IF(Nonlabor!$E$27="AI",Assumptions!$E$24,Assumptions!$E$25)))),AND(Nonlabor!$H$27="Annual",MOD(C3942-IF(Nonlabor!$E$27="Core",Nonlabor!$F$27,MAX(Nonlabor!$F$27,IF(Nonlabor!$E$27="AI",Assumptions!$E$24,Assumptions!$E$25))),12)=0))),IF(Nonlabor!$I$27="Fixed",1,IF(Nonlabor!$I$27="Seats",ROUNDUP('Monthly Growth'!I42,0),IF(Nonlabor!$I$27="Customers",'Monthly Growth'!D42,IF(Nonlabor!$I$27="NewCustomers",'Monthly Growth'!C42,IF(Nonlabor!$I$27="StorageGB",'Monthly Growth'!G42,IF(Nonlabor!$I$27="LogGB",'Monthly Growth'!H42,IF(Nonlabor!$I$27="RequestsM",'Monthly Growth'!F42,IF(Nonlabor!$I$27="InputM",'Monthly Growth'!D42*Assumptions!$E$22/1000000,IF(Nonlabor!$I$27="OutputM",'Monthly Growth'!D42*Assumptions!$E$23/1000000,0))))))))),0)</f>
        <v>0</v>
      </c>
      <c r="F3942" s="10" t="n">
        <f aca="false">Nonlabor!$J$27*(1+Assumptions!$E$9)^INT((C3942-1)/12)</f>
        <v>44994.56</v>
      </c>
      <c r="G3942" s="10" t="n">
        <f aca="false">E3942*F3942</f>
        <v>0</v>
      </c>
      <c r="H3942" s="10" t="n">
        <f aca="false">IF(OR(Nonlabor!$L$27="Quote required",Nonlabor!$L$27="Unverified"),G3942,0)</f>
        <v>0</v>
      </c>
      <c r="I3942" s="10" t="n">
        <f aca="false">IF(Nonlabor!$E$27="Core",0,G3942)</f>
        <v>0</v>
      </c>
      <c r="J3942" s="23" t="str">
        <f aca="false">Nonlabor!$B$27</f>
        <v>CTMS</v>
      </c>
    </row>
    <row r="3943" customFormat="false" ht="15" hidden="false" customHeight="false" outlineLevel="0" collapsed="false">
      <c r="A3943" s="6" t="s">
        <v>73</v>
      </c>
      <c r="B3943" s="6" t="s">
        <v>439</v>
      </c>
      <c r="C3943" s="6" t="n">
        <v>38</v>
      </c>
      <c r="D3943" s="25" t="n">
        <f aca="false">EDATE('Start Here'!$B$6,C3943-1)</f>
        <v>47453</v>
      </c>
      <c r="E3943" s="23" t="n">
        <f aca="false">IF(AND(OR(Nonlabor!$D$27="Both",Nonlabor!$D$27='Start Here'!$B$9),IF(Nonlabor!$E$27="Core",1,IF(Nonlabor!$E$27="AI",'Start Here'!$B$7,'Start Here'!$B$8))=1,C3943&gt;=IF(Nonlabor!$E$27="Core",Nonlabor!$F$27,MAX(Nonlabor!$F$27,IF(Nonlabor!$E$27="AI",Assumptions!$E$24,Assumptions!$E$25))),C3943&lt;=Nonlabor!$G$27,OR(Nonlabor!$H$27="Monthly",AND(Nonlabor!$H$27="Once",C3943=IF(Nonlabor!$E$27="Core",Nonlabor!$F$27,MAX(Nonlabor!$F$27,IF(Nonlabor!$E$27="AI",Assumptions!$E$24,Assumptions!$E$25)))),AND(Nonlabor!$H$27="Annual",MOD(C3943-IF(Nonlabor!$E$27="Core",Nonlabor!$F$27,MAX(Nonlabor!$F$27,IF(Nonlabor!$E$27="AI",Assumptions!$E$24,Assumptions!$E$25))),12)=0))),IF(Nonlabor!$I$27="Fixed",1,IF(Nonlabor!$I$27="Seats",ROUNDUP('Monthly Growth'!I43,0),IF(Nonlabor!$I$27="Customers",'Monthly Growth'!D43,IF(Nonlabor!$I$27="NewCustomers",'Monthly Growth'!C43,IF(Nonlabor!$I$27="StorageGB",'Monthly Growth'!G43,IF(Nonlabor!$I$27="LogGB",'Monthly Growth'!H43,IF(Nonlabor!$I$27="RequestsM",'Monthly Growth'!F43,IF(Nonlabor!$I$27="InputM",'Monthly Growth'!D43*Assumptions!$E$22/1000000,IF(Nonlabor!$I$27="OutputM",'Monthly Growth'!D43*Assumptions!$E$23/1000000,0))))))))),0)</f>
        <v>0</v>
      </c>
      <c r="F3943" s="10" t="n">
        <f aca="false">Nonlabor!$J$27*(1+Assumptions!$E$9)^INT((C3943-1)/12)</f>
        <v>44994.56</v>
      </c>
      <c r="G3943" s="10" t="n">
        <f aca="false">E3943*F3943</f>
        <v>0</v>
      </c>
      <c r="H3943" s="10" t="n">
        <f aca="false">IF(OR(Nonlabor!$L$27="Quote required",Nonlabor!$L$27="Unverified"),G3943,0)</f>
        <v>0</v>
      </c>
      <c r="I3943" s="10" t="n">
        <f aca="false">IF(Nonlabor!$E$27="Core",0,G3943)</f>
        <v>0</v>
      </c>
      <c r="J3943" s="23" t="str">
        <f aca="false">Nonlabor!$B$27</f>
        <v>CTMS</v>
      </c>
    </row>
    <row r="3944" customFormat="false" ht="15" hidden="false" customHeight="false" outlineLevel="0" collapsed="false">
      <c r="A3944" s="6" t="s">
        <v>73</v>
      </c>
      <c r="B3944" s="6" t="s">
        <v>439</v>
      </c>
      <c r="C3944" s="6" t="n">
        <v>39</v>
      </c>
      <c r="D3944" s="25" t="n">
        <f aca="false">EDATE('Start Here'!$B$6,C3944-1)</f>
        <v>47484</v>
      </c>
      <c r="E3944" s="23" t="n">
        <f aca="false">IF(AND(OR(Nonlabor!$D$27="Both",Nonlabor!$D$27='Start Here'!$B$9),IF(Nonlabor!$E$27="Core",1,IF(Nonlabor!$E$27="AI",'Start Here'!$B$7,'Start Here'!$B$8))=1,C3944&gt;=IF(Nonlabor!$E$27="Core",Nonlabor!$F$27,MAX(Nonlabor!$F$27,IF(Nonlabor!$E$27="AI",Assumptions!$E$24,Assumptions!$E$25))),C3944&lt;=Nonlabor!$G$27,OR(Nonlabor!$H$27="Monthly",AND(Nonlabor!$H$27="Once",C3944=IF(Nonlabor!$E$27="Core",Nonlabor!$F$27,MAX(Nonlabor!$F$27,IF(Nonlabor!$E$27="AI",Assumptions!$E$24,Assumptions!$E$25)))),AND(Nonlabor!$H$27="Annual",MOD(C3944-IF(Nonlabor!$E$27="Core",Nonlabor!$F$27,MAX(Nonlabor!$F$27,IF(Nonlabor!$E$27="AI",Assumptions!$E$24,Assumptions!$E$25))),12)=0))),IF(Nonlabor!$I$27="Fixed",1,IF(Nonlabor!$I$27="Seats",ROUNDUP('Monthly Growth'!I44,0),IF(Nonlabor!$I$27="Customers",'Monthly Growth'!D44,IF(Nonlabor!$I$27="NewCustomers",'Monthly Growth'!C44,IF(Nonlabor!$I$27="StorageGB",'Monthly Growth'!G44,IF(Nonlabor!$I$27="LogGB",'Monthly Growth'!H44,IF(Nonlabor!$I$27="RequestsM",'Monthly Growth'!F44,IF(Nonlabor!$I$27="InputM",'Monthly Growth'!D44*Assumptions!$E$22/1000000,IF(Nonlabor!$I$27="OutputM",'Monthly Growth'!D44*Assumptions!$E$23/1000000,0))))))))),0)</f>
        <v>0</v>
      </c>
      <c r="F3944" s="10" t="n">
        <f aca="false">Nonlabor!$J$27*(1+Assumptions!$E$9)^INT((C3944-1)/12)</f>
        <v>44994.56</v>
      </c>
      <c r="G3944" s="10" t="n">
        <f aca="false">E3944*F3944</f>
        <v>0</v>
      </c>
      <c r="H3944" s="10" t="n">
        <f aca="false">IF(OR(Nonlabor!$L$27="Quote required",Nonlabor!$L$27="Unverified"),G3944,0)</f>
        <v>0</v>
      </c>
      <c r="I3944" s="10" t="n">
        <f aca="false">IF(Nonlabor!$E$27="Core",0,G3944)</f>
        <v>0</v>
      </c>
      <c r="J3944" s="23" t="str">
        <f aca="false">Nonlabor!$B$27</f>
        <v>CTMS</v>
      </c>
    </row>
    <row r="3945" customFormat="false" ht="15" hidden="false" customHeight="false" outlineLevel="0" collapsed="false">
      <c r="A3945" s="6" t="s">
        <v>73</v>
      </c>
      <c r="B3945" s="6" t="s">
        <v>439</v>
      </c>
      <c r="C3945" s="6" t="n">
        <v>40</v>
      </c>
      <c r="D3945" s="25" t="n">
        <f aca="false">EDATE('Start Here'!$B$6,C3945-1)</f>
        <v>47515</v>
      </c>
      <c r="E3945" s="23" t="n">
        <f aca="false">IF(AND(OR(Nonlabor!$D$27="Both",Nonlabor!$D$27='Start Here'!$B$9),IF(Nonlabor!$E$27="Core",1,IF(Nonlabor!$E$27="AI",'Start Here'!$B$7,'Start Here'!$B$8))=1,C3945&gt;=IF(Nonlabor!$E$27="Core",Nonlabor!$F$27,MAX(Nonlabor!$F$27,IF(Nonlabor!$E$27="AI",Assumptions!$E$24,Assumptions!$E$25))),C3945&lt;=Nonlabor!$G$27,OR(Nonlabor!$H$27="Monthly",AND(Nonlabor!$H$27="Once",C3945=IF(Nonlabor!$E$27="Core",Nonlabor!$F$27,MAX(Nonlabor!$F$27,IF(Nonlabor!$E$27="AI",Assumptions!$E$24,Assumptions!$E$25)))),AND(Nonlabor!$H$27="Annual",MOD(C3945-IF(Nonlabor!$E$27="Core",Nonlabor!$F$27,MAX(Nonlabor!$F$27,IF(Nonlabor!$E$27="AI",Assumptions!$E$24,Assumptions!$E$25))),12)=0))),IF(Nonlabor!$I$27="Fixed",1,IF(Nonlabor!$I$27="Seats",ROUNDUP('Monthly Growth'!I45,0),IF(Nonlabor!$I$27="Customers",'Monthly Growth'!D45,IF(Nonlabor!$I$27="NewCustomers",'Monthly Growth'!C45,IF(Nonlabor!$I$27="StorageGB",'Monthly Growth'!G45,IF(Nonlabor!$I$27="LogGB",'Monthly Growth'!H45,IF(Nonlabor!$I$27="RequestsM",'Monthly Growth'!F45,IF(Nonlabor!$I$27="InputM",'Monthly Growth'!D45*Assumptions!$E$22/1000000,IF(Nonlabor!$I$27="OutputM",'Monthly Growth'!D45*Assumptions!$E$23/1000000,0))))))))),0)</f>
        <v>0</v>
      </c>
      <c r="F3945" s="10" t="n">
        <f aca="false">Nonlabor!$J$27*(1+Assumptions!$E$9)^INT((C3945-1)/12)</f>
        <v>44994.56</v>
      </c>
      <c r="G3945" s="10" t="n">
        <f aca="false">E3945*F3945</f>
        <v>0</v>
      </c>
      <c r="H3945" s="10" t="n">
        <f aca="false">IF(OR(Nonlabor!$L$27="Quote required",Nonlabor!$L$27="Unverified"),G3945,0)</f>
        <v>0</v>
      </c>
      <c r="I3945" s="10" t="n">
        <f aca="false">IF(Nonlabor!$E$27="Core",0,G3945)</f>
        <v>0</v>
      </c>
      <c r="J3945" s="23" t="str">
        <f aca="false">Nonlabor!$B$27</f>
        <v>CTMS</v>
      </c>
    </row>
    <row r="3946" customFormat="false" ht="15" hidden="false" customHeight="false" outlineLevel="0" collapsed="false">
      <c r="A3946" s="6" t="s">
        <v>73</v>
      </c>
      <c r="B3946" s="6" t="s">
        <v>439</v>
      </c>
      <c r="C3946" s="6" t="n">
        <v>41</v>
      </c>
      <c r="D3946" s="25" t="n">
        <f aca="false">EDATE('Start Here'!$B$6,C3946-1)</f>
        <v>47543</v>
      </c>
      <c r="E3946" s="23" t="n">
        <f aca="false">IF(AND(OR(Nonlabor!$D$27="Both",Nonlabor!$D$27='Start Here'!$B$9),IF(Nonlabor!$E$27="Core",1,IF(Nonlabor!$E$27="AI",'Start Here'!$B$7,'Start Here'!$B$8))=1,C3946&gt;=IF(Nonlabor!$E$27="Core",Nonlabor!$F$27,MAX(Nonlabor!$F$27,IF(Nonlabor!$E$27="AI",Assumptions!$E$24,Assumptions!$E$25))),C3946&lt;=Nonlabor!$G$27,OR(Nonlabor!$H$27="Monthly",AND(Nonlabor!$H$27="Once",C3946=IF(Nonlabor!$E$27="Core",Nonlabor!$F$27,MAX(Nonlabor!$F$27,IF(Nonlabor!$E$27="AI",Assumptions!$E$24,Assumptions!$E$25)))),AND(Nonlabor!$H$27="Annual",MOD(C3946-IF(Nonlabor!$E$27="Core",Nonlabor!$F$27,MAX(Nonlabor!$F$27,IF(Nonlabor!$E$27="AI",Assumptions!$E$24,Assumptions!$E$25))),12)=0))),IF(Nonlabor!$I$27="Fixed",1,IF(Nonlabor!$I$27="Seats",ROUNDUP('Monthly Growth'!I46,0),IF(Nonlabor!$I$27="Customers",'Monthly Growth'!D46,IF(Nonlabor!$I$27="NewCustomers",'Monthly Growth'!C46,IF(Nonlabor!$I$27="StorageGB",'Monthly Growth'!G46,IF(Nonlabor!$I$27="LogGB",'Monthly Growth'!H46,IF(Nonlabor!$I$27="RequestsM",'Monthly Growth'!F46,IF(Nonlabor!$I$27="InputM",'Monthly Growth'!D46*Assumptions!$E$22/1000000,IF(Nonlabor!$I$27="OutputM",'Monthly Growth'!D46*Assumptions!$E$23/1000000,0))))))))),0)</f>
        <v>0</v>
      </c>
      <c r="F3946" s="10" t="n">
        <f aca="false">Nonlabor!$J$27*(1+Assumptions!$E$9)^INT((C3946-1)/12)</f>
        <v>44994.56</v>
      </c>
      <c r="G3946" s="10" t="n">
        <f aca="false">E3946*F3946</f>
        <v>0</v>
      </c>
      <c r="H3946" s="10" t="n">
        <f aca="false">IF(OR(Nonlabor!$L$27="Quote required",Nonlabor!$L$27="Unverified"),G3946,0)</f>
        <v>0</v>
      </c>
      <c r="I3946" s="10" t="n">
        <f aca="false">IF(Nonlabor!$E$27="Core",0,G3946)</f>
        <v>0</v>
      </c>
      <c r="J3946" s="23" t="str">
        <f aca="false">Nonlabor!$B$27</f>
        <v>CTMS</v>
      </c>
    </row>
    <row r="3947" customFormat="false" ht="15" hidden="false" customHeight="false" outlineLevel="0" collapsed="false">
      <c r="A3947" s="6" t="s">
        <v>73</v>
      </c>
      <c r="B3947" s="6" t="s">
        <v>439</v>
      </c>
      <c r="C3947" s="6" t="n">
        <v>42</v>
      </c>
      <c r="D3947" s="25" t="n">
        <f aca="false">EDATE('Start Here'!$B$6,C3947-1)</f>
        <v>47574</v>
      </c>
      <c r="E3947" s="23" t="n">
        <f aca="false">IF(AND(OR(Nonlabor!$D$27="Both",Nonlabor!$D$27='Start Here'!$B$9),IF(Nonlabor!$E$27="Core",1,IF(Nonlabor!$E$27="AI",'Start Here'!$B$7,'Start Here'!$B$8))=1,C3947&gt;=IF(Nonlabor!$E$27="Core",Nonlabor!$F$27,MAX(Nonlabor!$F$27,IF(Nonlabor!$E$27="AI",Assumptions!$E$24,Assumptions!$E$25))),C3947&lt;=Nonlabor!$G$27,OR(Nonlabor!$H$27="Monthly",AND(Nonlabor!$H$27="Once",C3947=IF(Nonlabor!$E$27="Core",Nonlabor!$F$27,MAX(Nonlabor!$F$27,IF(Nonlabor!$E$27="AI",Assumptions!$E$24,Assumptions!$E$25)))),AND(Nonlabor!$H$27="Annual",MOD(C3947-IF(Nonlabor!$E$27="Core",Nonlabor!$F$27,MAX(Nonlabor!$F$27,IF(Nonlabor!$E$27="AI",Assumptions!$E$24,Assumptions!$E$25))),12)=0))),IF(Nonlabor!$I$27="Fixed",1,IF(Nonlabor!$I$27="Seats",ROUNDUP('Monthly Growth'!I47,0),IF(Nonlabor!$I$27="Customers",'Monthly Growth'!D47,IF(Nonlabor!$I$27="NewCustomers",'Monthly Growth'!C47,IF(Nonlabor!$I$27="StorageGB",'Monthly Growth'!G47,IF(Nonlabor!$I$27="LogGB",'Monthly Growth'!H47,IF(Nonlabor!$I$27="RequestsM",'Monthly Growth'!F47,IF(Nonlabor!$I$27="InputM",'Monthly Growth'!D47*Assumptions!$E$22/1000000,IF(Nonlabor!$I$27="OutputM",'Monthly Growth'!D47*Assumptions!$E$23/1000000,0))))))))),0)</f>
        <v>0</v>
      </c>
      <c r="F3947" s="10" t="n">
        <f aca="false">Nonlabor!$J$27*(1+Assumptions!$E$9)^INT((C3947-1)/12)</f>
        <v>44994.56</v>
      </c>
      <c r="G3947" s="10" t="n">
        <f aca="false">E3947*F3947</f>
        <v>0</v>
      </c>
      <c r="H3947" s="10" t="n">
        <f aca="false">IF(OR(Nonlabor!$L$27="Quote required",Nonlabor!$L$27="Unverified"),G3947,0)</f>
        <v>0</v>
      </c>
      <c r="I3947" s="10" t="n">
        <f aca="false">IF(Nonlabor!$E$27="Core",0,G3947)</f>
        <v>0</v>
      </c>
      <c r="J3947" s="23" t="str">
        <f aca="false">Nonlabor!$B$27</f>
        <v>CTMS</v>
      </c>
    </row>
    <row r="3948" customFormat="false" ht="15" hidden="false" customHeight="false" outlineLevel="0" collapsed="false">
      <c r="A3948" s="6" t="s">
        <v>73</v>
      </c>
      <c r="B3948" s="6" t="s">
        <v>439</v>
      </c>
      <c r="C3948" s="6" t="n">
        <v>43</v>
      </c>
      <c r="D3948" s="25" t="n">
        <f aca="false">EDATE('Start Here'!$B$6,C3948-1)</f>
        <v>47604</v>
      </c>
      <c r="E3948" s="23" t="n">
        <f aca="false">IF(AND(OR(Nonlabor!$D$27="Both",Nonlabor!$D$27='Start Here'!$B$9),IF(Nonlabor!$E$27="Core",1,IF(Nonlabor!$E$27="AI",'Start Here'!$B$7,'Start Here'!$B$8))=1,C3948&gt;=IF(Nonlabor!$E$27="Core",Nonlabor!$F$27,MAX(Nonlabor!$F$27,IF(Nonlabor!$E$27="AI",Assumptions!$E$24,Assumptions!$E$25))),C3948&lt;=Nonlabor!$G$27,OR(Nonlabor!$H$27="Monthly",AND(Nonlabor!$H$27="Once",C3948=IF(Nonlabor!$E$27="Core",Nonlabor!$F$27,MAX(Nonlabor!$F$27,IF(Nonlabor!$E$27="AI",Assumptions!$E$24,Assumptions!$E$25)))),AND(Nonlabor!$H$27="Annual",MOD(C3948-IF(Nonlabor!$E$27="Core",Nonlabor!$F$27,MAX(Nonlabor!$F$27,IF(Nonlabor!$E$27="AI",Assumptions!$E$24,Assumptions!$E$25))),12)=0))),IF(Nonlabor!$I$27="Fixed",1,IF(Nonlabor!$I$27="Seats",ROUNDUP('Monthly Growth'!I48,0),IF(Nonlabor!$I$27="Customers",'Monthly Growth'!D48,IF(Nonlabor!$I$27="NewCustomers",'Monthly Growth'!C48,IF(Nonlabor!$I$27="StorageGB",'Monthly Growth'!G48,IF(Nonlabor!$I$27="LogGB",'Monthly Growth'!H48,IF(Nonlabor!$I$27="RequestsM",'Monthly Growth'!F48,IF(Nonlabor!$I$27="InputM",'Monthly Growth'!D48*Assumptions!$E$22/1000000,IF(Nonlabor!$I$27="OutputM",'Monthly Growth'!D48*Assumptions!$E$23/1000000,0))))))))),0)</f>
        <v>0</v>
      </c>
      <c r="F3948" s="10" t="n">
        <f aca="false">Nonlabor!$J$27*(1+Assumptions!$E$9)^INT((C3948-1)/12)</f>
        <v>44994.56</v>
      </c>
      <c r="G3948" s="10" t="n">
        <f aca="false">E3948*F3948</f>
        <v>0</v>
      </c>
      <c r="H3948" s="10" t="n">
        <f aca="false">IF(OR(Nonlabor!$L$27="Quote required",Nonlabor!$L$27="Unverified"),G3948,0)</f>
        <v>0</v>
      </c>
      <c r="I3948" s="10" t="n">
        <f aca="false">IF(Nonlabor!$E$27="Core",0,G3948)</f>
        <v>0</v>
      </c>
      <c r="J3948" s="23" t="str">
        <f aca="false">Nonlabor!$B$27</f>
        <v>CTMS</v>
      </c>
    </row>
    <row r="3949" customFormat="false" ht="15" hidden="false" customHeight="false" outlineLevel="0" collapsed="false">
      <c r="A3949" s="6" t="s">
        <v>73</v>
      </c>
      <c r="B3949" s="6" t="s">
        <v>439</v>
      </c>
      <c r="C3949" s="6" t="n">
        <v>44</v>
      </c>
      <c r="D3949" s="25" t="n">
        <f aca="false">EDATE('Start Here'!$B$6,C3949-1)</f>
        <v>47635</v>
      </c>
      <c r="E3949" s="23" t="n">
        <f aca="false">IF(AND(OR(Nonlabor!$D$27="Both",Nonlabor!$D$27='Start Here'!$B$9),IF(Nonlabor!$E$27="Core",1,IF(Nonlabor!$E$27="AI",'Start Here'!$B$7,'Start Here'!$B$8))=1,C3949&gt;=IF(Nonlabor!$E$27="Core",Nonlabor!$F$27,MAX(Nonlabor!$F$27,IF(Nonlabor!$E$27="AI",Assumptions!$E$24,Assumptions!$E$25))),C3949&lt;=Nonlabor!$G$27,OR(Nonlabor!$H$27="Monthly",AND(Nonlabor!$H$27="Once",C3949=IF(Nonlabor!$E$27="Core",Nonlabor!$F$27,MAX(Nonlabor!$F$27,IF(Nonlabor!$E$27="AI",Assumptions!$E$24,Assumptions!$E$25)))),AND(Nonlabor!$H$27="Annual",MOD(C3949-IF(Nonlabor!$E$27="Core",Nonlabor!$F$27,MAX(Nonlabor!$F$27,IF(Nonlabor!$E$27="AI",Assumptions!$E$24,Assumptions!$E$25))),12)=0))),IF(Nonlabor!$I$27="Fixed",1,IF(Nonlabor!$I$27="Seats",ROUNDUP('Monthly Growth'!I49,0),IF(Nonlabor!$I$27="Customers",'Monthly Growth'!D49,IF(Nonlabor!$I$27="NewCustomers",'Monthly Growth'!C49,IF(Nonlabor!$I$27="StorageGB",'Monthly Growth'!G49,IF(Nonlabor!$I$27="LogGB",'Monthly Growth'!H49,IF(Nonlabor!$I$27="RequestsM",'Monthly Growth'!F49,IF(Nonlabor!$I$27="InputM",'Monthly Growth'!D49*Assumptions!$E$22/1000000,IF(Nonlabor!$I$27="OutputM",'Monthly Growth'!D49*Assumptions!$E$23/1000000,0))))))))),0)</f>
        <v>0</v>
      </c>
      <c r="F3949" s="10" t="n">
        <f aca="false">Nonlabor!$J$27*(1+Assumptions!$E$9)^INT((C3949-1)/12)</f>
        <v>44994.56</v>
      </c>
      <c r="G3949" s="10" t="n">
        <f aca="false">E3949*F3949</f>
        <v>0</v>
      </c>
      <c r="H3949" s="10" t="n">
        <f aca="false">IF(OR(Nonlabor!$L$27="Quote required",Nonlabor!$L$27="Unverified"),G3949,0)</f>
        <v>0</v>
      </c>
      <c r="I3949" s="10" t="n">
        <f aca="false">IF(Nonlabor!$E$27="Core",0,G3949)</f>
        <v>0</v>
      </c>
      <c r="J3949" s="23" t="str">
        <f aca="false">Nonlabor!$B$27</f>
        <v>CTMS</v>
      </c>
    </row>
    <row r="3950" customFormat="false" ht="15" hidden="false" customHeight="false" outlineLevel="0" collapsed="false">
      <c r="A3950" s="6" t="s">
        <v>73</v>
      </c>
      <c r="B3950" s="6" t="s">
        <v>439</v>
      </c>
      <c r="C3950" s="6" t="n">
        <v>45</v>
      </c>
      <c r="D3950" s="25" t="n">
        <f aca="false">EDATE('Start Here'!$B$6,C3950-1)</f>
        <v>47665</v>
      </c>
      <c r="E3950" s="23" t="n">
        <f aca="false">IF(AND(OR(Nonlabor!$D$27="Both",Nonlabor!$D$27='Start Here'!$B$9),IF(Nonlabor!$E$27="Core",1,IF(Nonlabor!$E$27="AI",'Start Here'!$B$7,'Start Here'!$B$8))=1,C3950&gt;=IF(Nonlabor!$E$27="Core",Nonlabor!$F$27,MAX(Nonlabor!$F$27,IF(Nonlabor!$E$27="AI",Assumptions!$E$24,Assumptions!$E$25))),C3950&lt;=Nonlabor!$G$27,OR(Nonlabor!$H$27="Monthly",AND(Nonlabor!$H$27="Once",C3950=IF(Nonlabor!$E$27="Core",Nonlabor!$F$27,MAX(Nonlabor!$F$27,IF(Nonlabor!$E$27="AI",Assumptions!$E$24,Assumptions!$E$25)))),AND(Nonlabor!$H$27="Annual",MOD(C3950-IF(Nonlabor!$E$27="Core",Nonlabor!$F$27,MAX(Nonlabor!$F$27,IF(Nonlabor!$E$27="AI",Assumptions!$E$24,Assumptions!$E$25))),12)=0))),IF(Nonlabor!$I$27="Fixed",1,IF(Nonlabor!$I$27="Seats",ROUNDUP('Monthly Growth'!I50,0),IF(Nonlabor!$I$27="Customers",'Monthly Growth'!D50,IF(Nonlabor!$I$27="NewCustomers",'Monthly Growth'!C50,IF(Nonlabor!$I$27="StorageGB",'Monthly Growth'!G50,IF(Nonlabor!$I$27="LogGB",'Monthly Growth'!H50,IF(Nonlabor!$I$27="RequestsM",'Monthly Growth'!F50,IF(Nonlabor!$I$27="InputM",'Monthly Growth'!D50*Assumptions!$E$22/1000000,IF(Nonlabor!$I$27="OutputM",'Monthly Growth'!D50*Assumptions!$E$23/1000000,0))))))))),0)</f>
        <v>0</v>
      </c>
      <c r="F3950" s="10" t="n">
        <f aca="false">Nonlabor!$J$27*(1+Assumptions!$E$9)^INT((C3950-1)/12)</f>
        <v>44994.56</v>
      </c>
      <c r="G3950" s="10" t="n">
        <f aca="false">E3950*F3950</f>
        <v>0</v>
      </c>
      <c r="H3950" s="10" t="n">
        <f aca="false">IF(OR(Nonlabor!$L$27="Quote required",Nonlabor!$L$27="Unverified"),G3950,0)</f>
        <v>0</v>
      </c>
      <c r="I3950" s="10" t="n">
        <f aca="false">IF(Nonlabor!$E$27="Core",0,G3950)</f>
        <v>0</v>
      </c>
      <c r="J3950" s="23" t="str">
        <f aca="false">Nonlabor!$B$27</f>
        <v>CTMS</v>
      </c>
    </row>
    <row r="3951" customFormat="false" ht="15" hidden="false" customHeight="false" outlineLevel="0" collapsed="false">
      <c r="A3951" s="6" t="s">
        <v>73</v>
      </c>
      <c r="B3951" s="6" t="s">
        <v>439</v>
      </c>
      <c r="C3951" s="6" t="n">
        <v>46</v>
      </c>
      <c r="D3951" s="25" t="n">
        <f aca="false">EDATE('Start Here'!$B$6,C3951-1)</f>
        <v>47696</v>
      </c>
      <c r="E3951" s="23" t="n">
        <f aca="false">IF(AND(OR(Nonlabor!$D$27="Both",Nonlabor!$D$27='Start Here'!$B$9),IF(Nonlabor!$E$27="Core",1,IF(Nonlabor!$E$27="AI",'Start Here'!$B$7,'Start Here'!$B$8))=1,C3951&gt;=IF(Nonlabor!$E$27="Core",Nonlabor!$F$27,MAX(Nonlabor!$F$27,IF(Nonlabor!$E$27="AI",Assumptions!$E$24,Assumptions!$E$25))),C3951&lt;=Nonlabor!$G$27,OR(Nonlabor!$H$27="Monthly",AND(Nonlabor!$H$27="Once",C3951=IF(Nonlabor!$E$27="Core",Nonlabor!$F$27,MAX(Nonlabor!$F$27,IF(Nonlabor!$E$27="AI",Assumptions!$E$24,Assumptions!$E$25)))),AND(Nonlabor!$H$27="Annual",MOD(C3951-IF(Nonlabor!$E$27="Core",Nonlabor!$F$27,MAX(Nonlabor!$F$27,IF(Nonlabor!$E$27="AI",Assumptions!$E$24,Assumptions!$E$25))),12)=0))),IF(Nonlabor!$I$27="Fixed",1,IF(Nonlabor!$I$27="Seats",ROUNDUP('Monthly Growth'!I51,0),IF(Nonlabor!$I$27="Customers",'Monthly Growth'!D51,IF(Nonlabor!$I$27="NewCustomers",'Monthly Growth'!C51,IF(Nonlabor!$I$27="StorageGB",'Monthly Growth'!G51,IF(Nonlabor!$I$27="LogGB",'Monthly Growth'!H51,IF(Nonlabor!$I$27="RequestsM",'Monthly Growth'!F51,IF(Nonlabor!$I$27="InputM",'Monthly Growth'!D51*Assumptions!$E$22/1000000,IF(Nonlabor!$I$27="OutputM",'Monthly Growth'!D51*Assumptions!$E$23/1000000,0))))))))),0)</f>
        <v>0</v>
      </c>
      <c r="F3951" s="10" t="n">
        <f aca="false">Nonlabor!$J$27*(1+Assumptions!$E$9)^INT((C3951-1)/12)</f>
        <v>44994.56</v>
      </c>
      <c r="G3951" s="10" t="n">
        <f aca="false">E3951*F3951</f>
        <v>0</v>
      </c>
      <c r="H3951" s="10" t="n">
        <f aca="false">IF(OR(Nonlabor!$L$27="Quote required",Nonlabor!$L$27="Unverified"),G3951,0)</f>
        <v>0</v>
      </c>
      <c r="I3951" s="10" t="n">
        <f aca="false">IF(Nonlabor!$E$27="Core",0,G3951)</f>
        <v>0</v>
      </c>
      <c r="J3951" s="23" t="str">
        <f aca="false">Nonlabor!$B$27</f>
        <v>CTMS</v>
      </c>
    </row>
    <row r="3952" customFormat="false" ht="15" hidden="false" customHeight="false" outlineLevel="0" collapsed="false">
      <c r="A3952" s="6" t="s">
        <v>73</v>
      </c>
      <c r="B3952" s="6" t="s">
        <v>439</v>
      </c>
      <c r="C3952" s="6" t="n">
        <v>47</v>
      </c>
      <c r="D3952" s="25" t="n">
        <f aca="false">EDATE('Start Here'!$B$6,C3952-1)</f>
        <v>47727</v>
      </c>
      <c r="E3952" s="23" t="n">
        <f aca="false">IF(AND(OR(Nonlabor!$D$27="Both",Nonlabor!$D$27='Start Here'!$B$9),IF(Nonlabor!$E$27="Core",1,IF(Nonlabor!$E$27="AI",'Start Here'!$B$7,'Start Here'!$B$8))=1,C3952&gt;=IF(Nonlabor!$E$27="Core",Nonlabor!$F$27,MAX(Nonlabor!$F$27,IF(Nonlabor!$E$27="AI",Assumptions!$E$24,Assumptions!$E$25))),C3952&lt;=Nonlabor!$G$27,OR(Nonlabor!$H$27="Monthly",AND(Nonlabor!$H$27="Once",C3952=IF(Nonlabor!$E$27="Core",Nonlabor!$F$27,MAX(Nonlabor!$F$27,IF(Nonlabor!$E$27="AI",Assumptions!$E$24,Assumptions!$E$25)))),AND(Nonlabor!$H$27="Annual",MOD(C3952-IF(Nonlabor!$E$27="Core",Nonlabor!$F$27,MAX(Nonlabor!$F$27,IF(Nonlabor!$E$27="AI",Assumptions!$E$24,Assumptions!$E$25))),12)=0))),IF(Nonlabor!$I$27="Fixed",1,IF(Nonlabor!$I$27="Seats",ROUNDUP('Monthly Growth'!I52,0),IF(Nonlabor!$I$27="Customers",'Monthly Growth'!D52,IF(Nonlabor!$I$27="NewCustomers",'Monthly Growth'!C52,IF(Nonlabor!$I$27="StorageGB",'Monthly Growth'!G52,IF(Nonlabor!$I$27="LogGB",'Monthly Growth'!H52,IF(Nonlabor!$I$27="RequestsM",'Monthly Growth'!F52,IF(Nonlabor!$I$27="InputM",'Monthly Growth'!D52*Assumptions!$E$22/1000000,IF(Nonlabor!$I$27="OutputM",'Monthly Growth'!D52*Assumptions!$E$23/1000000,0))))))))),0)</f>
        <v>0</v>
      </c>
      <c r="F3952" s="10" t="n">
        <f aca="false">Nonlabor!$J$27*(1+Assumptions!$E$9)^INT((C3952-1)/12)</f>
        <v>44994.56</v>
      </c>
      <c r="G3952" s="10" t="n">
        <f aca="false">E3952*F3952</f>
        <v>0</v>
      </c>
      <c r="H3952" s="10" t="n">
        <f aca="false">IF(OR(Nonlabor!$L$27="Quote required",Nonlabor!$L$27="Unverified"),G3952,0)</f>
        <v>0</v>
      </c>
      <c r="I3952" s="10" t="n">
        <f aca="false">IF(Nonlabor!$E$27="Core",0,G3952)</f>
        <v>0</v>
      </c>
      <c r="J3952" s="23" t="str">
        <f aca="false">Nonlabor!$B$27</f>
        <v>CTMS</v>
      </c>
    </row>
    <row r="3953" customFormat="false" ht="15" hidden="false" customHeight="false" outlineLevel="0" collapsed="false">
      <c r="A3953" s="6" t="s">
        <v>73</v>
      </c>
      <c r="B3953" s="6" t="s">
        <v>439</v>
      </c>
      <c r="C3953" s="6" t="n">
        <v>48</v>
      </c>
      <c r="D3953" s="25" t="n">
        <f aca="false">EDATE('Start Here'!$B$6,C3953-1)</f>
        <v>47757</v>
      </c>
      <c r="E3953" s="23" t="n">
        <f aca="false">IF(AND(OR(Nonlabor!$D$27="Both",Nonlabor!$D$27='Start Here'!$B$9),IF(Nonlabor!$E$27="Core",1,IF(Nonlabor!$E$27="AI",'Start Here'!$B$7,'Start Here'!$B$8))=1,C3953&gt;=IF(Nonlabor!$E$27="Core",Nonlabor!$F$27,MAX(Nonlabor!$F$27,IF(Nonlabor!$E$27="AI",Assumptions!$E$24,Assumptions!$E$25))),C3953&lt;=Nonlabor!$G$27,OR(Nonlabor!$H$27="Monthly",AND(Nonlabor!$H$27="Once",C3953=IF(Nonlabor!$E$27="Core",Nonlabor!$F$27,MAX(Nonlabor!$F$27,IF(Nonlabor!$E$27="AI",Assumptions!$E$24,Assumptions!$E$25)))),AND(Nonlabor!$H$27="Annual",MOD(C3953-IF(Nonlabor!$E$27="Core",Nonlabor!$F$27,MAX(Nonlabor!$F$27,IF(Nonlabor!$E$27="AI",Assumptions!$E$24,Assumptions!$E$25))),12)=0))),IF(Nonlabor!$I$27="Fixed",1,IF(Nonlabor!$I$27="Seats",ROUNDUP('Monthly Growth'!I53,0),IF(Nonlabor!$I$27="Customers",'Monthly Growth'!D53,IF(Nonlabor!$I$27="NewCustomers",'Monthly Growth'!C53,IF(Nonlabor!$I$27="StorageGB",'Monthly Growth'!G53,IF(Nonlabor!$I$27="LogGB",'Monthly Growth'!H53,IF(Nonlabor!$I$27="RequestsM",'Monthly Growth'!F53,IF(Nonlabor!$I$27="InputM",'Monthly Growth'!D53*Assumptions!$E$22/1000000,IF(Nonlabor!$I$27="OutputM",'Monthly Growth'!D53*Assumptions!$E$23/1000000,0))))))))),0)</f>
        <v>0</v>
      </c>
      <c r="F3953" s="10" t="n">
        <f aca="false">Nonlabor!$J$27*(1+Assumptions!$E$9)^INT((C3953-1)/12)</f>
        <v>44994.56</v>
      </c>
      <c r="G3953" s="10" t="n">
        <f aca="false">E3953*F3953</f>
        <v>0</v>
      </c>
      <c r="H3953" s="10" t="n">
        <f aca="false">IF(OR(Nonlabor!$L$27="Quote required",Nonlabor!$L$27="Unverified"),G3953,0)</f>
        <v>0</v>
      </c>
      <c r="I3953" s="10" t="n">
        <f aca="false">IF(Nonlabor!$E$27="Core",0,G3953)</f>
        <v>0</v>
      </c>
      <c r="J3953" s="23" t="str">
        <f aca="false">Nonlabor!$B$27</f>
        <v>CTMS</v>
      </c>
    </row>
    <row r="3954" customFormat="false" ht="15" hidden="false" customHeight="false" outlineLevel="0" collapsed="false">
      <c r="A3954" s="6" t="s">
        <v>73</v>
      </c>
      <c r="B3954" s="6" t="s">
        <v>439</v>
      </c>
      <c r="C3954" s="6" t="n">
        <v>49</v>
      </c>
      <c r="D3954" s="25" t="n">
        <f aca="false">EDATE('Start Here'!$B$6,C3954-1)</f>
        <v>47788</v>
      </c>
      <c r="E3954" s="23" t="n">
        <f aca="false">IF(AND(OR(Nonlabor!$D$27="Both",Nonlabor!$D$27='Start Here'!$B$9),IF(Nonlabor!$E$27="Core",1,IF(Nonlabor!$E$27="AI",'Start Here'!$B$7,'Start Here'!$B$8))=1,C3954&gt;=IF(Nonlabor!$E$27="Core",Nonlabor!$F$27,MAX(Nonlabor!$F$27,IF(Nonlabor!$E$27="AI",Assumptions!$E$24,Assumptions!$E$25))),C3954&lt;=Nonlabor!$G$27,OR(Nonlabor!$H$27="Monthly",AND(Nonlabor!$H$27="Once",C3954=IF(Nonlabor!$E$27="Core",Nonlabor!$F$27,MAX(Nonlabor!$F$27,IF(Nonlabor!$E$27="AI",Assumptions!$E$24,Assumptions!$E$25)))),AND(Nonlabor!$H$27="Annual",MOD(C3954-IF(Nonlabor!$E$27="Core",Nonlabor!$F$27,MAX(Nonlabor!$F$27,IF(Nonlabor!$E$27="AI",Assumptions!$E$24,Assumptions!$E$25))),12)=0))),IF(Nonlabor!$I$27="Fixed",1,IF(Nonlabor!$I$27="Seats",ROUNDUP('Monthly Growth'!I54,0),IF(Nonlabor!$I$27="Customers",'Monthly Growth'!D54,IF(Nonlabor!$I$27="NewCustomers",'Monthly Growth'!C54,IF(Nonlabor!$I$27="StorageGB",'Monthly Growth'!G54,IF(Nonlabor!$I$27="LogGB",'Monthly Growth'!H54,IF(Nonlabor!$I$27="RequestsM",'Monthly Growth'!F54,IF(Nonlabor!$I$27="InputM",'Monthly Growth'!D54*Assumptions!$E$22/1000000,IF(Nonlabor!$I$27="OutputM",'Monthly Growth'!D54*Assumptions!$E$23/1000000,0))))))))),0)</f>
        <v>0</v>
      </c>
      <c r="F3954" s="10" t="n">
        <f aca="false">Nonlabor!$J$27*(1+Assumptions!$E$9)^INT((C3954-1)/12)</f>
        <v>46794.3424</v>
      </c>
      <c r="G3954" s="10" t="n">
        <f aca="false">E3954*F3954</f>
        <v>0</v>
      </c>
      <c r="H3954" s="10" t="n">
        <f aca="false">IF(OR(Nonlabor!$L$27="Quote required",Nonlabor!$L$27="Unverified"),G3954,0)</f>
        <v>0</v>
      </c>
      <c r="I3954" s="10" t="n">
        <f aca="false">IF(Nonlabor!$E$27="Core",0,G3954)</f>
        <v>0</v>
      </c>
      <c r="J3954" s="23" t="str">
        <f aca="false">Nonlabor!$B$27</f>
        <v>CTMS</v>
      </c>
    </row>
    <row r="3955" customFormat="false" ht="15" hidden="false" customHeight="false" outlineLevel="0" collapsed="false">
      <c r="A3955" s="6" t="s">
        <v>73</v>
      </c>
      <c r="B3955" s="6" t="s">
        <v>439</v>
      </c>
      <c r="C3955" s="6" t="n">
        <v>50</v>
      </c>
      <c r="D3955" s="25" t="n">
        <f aca="false">EDATE('Start Here'!$B$6,C3955-1)</f>
        <v>47818</v>
      </c>
      <c r="E3955" s="23" t="n">
        <f aca="false">IF(AND(OR(Nonlabor!$D$27="Both",Nonlabor!$D$27='Start Here'!$B$9),IF(Nonlabor!$E$27="Core",1,IF(Nonlabor!$E$27="AI",'Start Here'!$B$7,'Start Here'!$B$8))=1,C3955&gt;=IF(Nonlabor!$E$27="Core",Nonlabor!$F$27,MAX(Nonlabor!$F$27,IF(Nonlabor!$E$27="AI",Assumptions!$E$24,Assumptions!$E$25))),C3955&lt;=Nonlabor!$G$27,OR(Nonlabor!$H$27="Monthly",AND(Nonlabor!$H$27="Once",C3955=IF(Nonlabor!$E$27="Core",Nonlabor!$F$27,MAX(Nonlabor!$F$27,IF(Nonlabor!$E$27="AI",Assumptions!$E$24,Assumptions!$E$25)))),AND(Nonlabor!$H$27="Annual",MOD(C3955-IF(Nonlabor!$E$27="Core",Nonlabor!$F$27,MAX(Nonlabor!$F$27,IF(Nonlabor!$E$27="AI",Assumptions!$E$24,Assumptions!$E$25))),12)=0))),IF(Nonlabor!$I$27="Fixed",1,IF(Nonlabor!$I$27="Seats",ROUNDUP('Monthly Growth'!I55,0),IF(Nonlabor!$I$27="Customers",'Monthly Growth'!D55,IF(Nonlabor!$I$27="NewCustomers",'Monthly Growth'!C55,IF(Nonlabor!$I$27="StorageGB",'Monthly Growth'!G55,IF(Nonlabor!$I$27="LogGB",'Monthly Growth'!H55,IF(Nonlabor!$I$27="RequestsM",'Monthly Growth'!F55,IF(Nonlabor!$I$27="InputM",'Monthly Growth'!D55*Assumptions!$E$22/1000000,IF(Nonlabor!$I$27="OutputM",'Monthly Growth'!D55*Assumptions!$E$23/1000000,0))))))))),0)</f>
        <v>0</v>
      </c>
      <c r="F3955" s="10" t="n">
        <f aca="false">Nonlabor!$J$27*(1+Assumptions!$E$9)^INT((C3955-1)/12)</f>
        <v>46794.3424</v>
      </c>
      <c r="G3955" s="10" t="n">
        <f aca="false">E3955*F3955</f>
        <v>0</v>
      </c>
      <c r="H3955" s="10" t="n">
        <f aca="false">IF(OR(Nonlabor!$L$27="Quote required",Nonlabor!$L$27="Unverified"),G3955,0)</f>
        <v>0</v>
      </c>
      <c r="I3955" s="10" t="n">
        <f aca="false">IF(Nonlabor!$E$27="Core",0,G3955)</f>
        <v>0</v>
      </c>
      <c r="J3955" s="23" t="str">
        <f aca="false">Nonlabor!$B$27</f>
        <v>CTMS</v>
      </c>
    </row>
    <row r="3956" customFormat="false" ht="15" hidden="false" customHeight="false" outlineLevel="0" collapsed="false">
      <c r="A3956" s="6" t="s">
        <v>73</v>
      </c>
      <c r="B3956" s="6" t="s">
        <v>439</v>
      </c>
      <c r="C3956" s="6" t="n">
        <v>51</v>
      </c>
      <c r="D3956" s="25" t="n">
        <f aca="false">EDATE('Start Here'!$B$6,C3956-1)</f>
        <v>47849</v>
      </c>
      <c r="E3956" s="23" t="n">
        <f aca="false">IF(AND(OR(Nonlabor!$D$27="Both",Nonlabor!$D$27='Start Here'!$B$9),IF(Nonlabor!$E$27="Core",1,IF(Nonlabor!$E$27="AI",'Start Here'!$B$7,'Start Here'!$B$8))=1,C3956&gt;=IF(Nonlabor!$E$27="Core",Nonlabor!$F$27,MAX(Nonlabor!$F$27,IF(Nonlabor!$E$27="AI",Assumptions!$E$24,Assumptions!$E$25))),C3956&lt;=Nonlabor!$G$27,OR(Nonlabor!$H$27="Monthly",AND(Nonlabor!$H$27="Once",C3956=IF(Nonlabor!$E$27="Core",Nonlabor!$F$27,MAX(Nonlabor!$F$27,IF(Nonlabor!$E$27="AI",Assumptions!$E$24,Assumptions!$E$25)))),AND(Nonlabor!$H$27="Annual",MOD(C3956-IF(Nonlabor!$E$27="Core",Nonlabor!$F$27,MAX(Nonlabor!$F$27,IF(Nonlabor!$E$27="AI",Assumptions!$E$24,Assumptions!$E$25))),12)=0))),IF(Nonlabor!$I$27="Fixed",1,IF(Nonlabor!$I$27="Seats",ROUNDUP('Monthly Growth'!I56,0),IF(Nonlabor!$I$27="Customers",'Monthly Growth'!D56,IF(Nonlabor!$I$27="NewCustomers",'Monthly Growth'!C56,IF(Nonlabor!$I$27="StorageGB",'Monthly Growth'!G56,IF(Nonlabor!$I$27="LogGB",'Monthly Growth'!H56,IF(Nonlabor!$I$27="RequestsM",'Monthly Growth'!F56,IF(Nonlabor!$I$27="InputM",'Monthly Growth'!D56*Assumptions!$E$22/1000000,IF(Nonlabor!$I$27="OutputM",'Monthly Growth'!D56*Assumptions!$E$23/1000000,0))))))))),0)</f>
        <v>0</v>
      </c>
      <c r="F3956" s="10" t="n">
        <f aca="false">Nonlabor!$J$27*(1+Assumptions!$E$9)^INT((C3956-1)/12)</f>
        <v>46794.3424</v>
      </c>
      <c r="G3956" s="10" t="n">
        <f aca="false">E3956*F3956</f>
        <v>0</v>
      </c>
      <c r="H3956" s="10" t="n">
        <f aca="false">IF(OR(Nonlabor!$L$27="Quote required",Nonlabor!$L$27="Unverified"),G3956,0)</f>
        <v>0</v>
      </c>
      <c r="I3956" s="10" t="n">
        <f aca="false">IF(Nonlabor!$E$27="Core",0,G3956)</f>
        <v>0</v>
      </c>
      <c r="J3956" s="23" t="str">
        <f aca="false">Nonlabor!$B$27</f>
        <v>CTMS</v>
      </c>
    </row>
    <row r="3957" customFormat="false" ht="15" hidden="false" customHeight="false" outlineLevel="0" collapsed="false">
      <c r="A3957" s="6" t="s">
        <v>73</v>
      </c>
      <c r="B3957" s="6" t="s">
        <v>439</v>
      </c>
      <c r="C3957" s="6" t="n">
        <v>52</v>
      </c>
      <c r="D3957" s="25" t="n">
        <f aca="false">EDATE('Start Here'!$B$6,C3957-1)</f>
        <v>47880</v>
      </c>
      <c r="E3957" s="23" t="n">
        <f aca="false">IF(AND(OR(Nonlabor!$D$27="Both",Nonlabor!$D$27='Start Here'!$B$9),IF(Nonlabor!$E$27="Core",1,IF(Nonlabor!$E$27="AI",'Start Here'!$B$7,'Start Here'!$B$8))=1,C3957&gt;=IF(Nonlabor!$E$27="Core",Nonlabor!$F$27,MAX(Nonlabor!$F$27,IF(Nonlabor!$E$27="AI",Assumptions!$E$24,Assumptions!$E$25))),C3957&lt;=Nonlabor!$G$27,OR(Nonlabor!$H$27="Monthly",AND(Nonlabor!$H$27="Once",C3957=IF(Nonlabor!$E$27="Core",Nonlabor!$F$27,MAX(Nonlabor!$F$27,IF(Nonlabor!$E$27="AI",Assumptions!$E$24,Assumptions!$E$25)))),AND(Nonlabor!$H$27="Annual",MOD(C3957-IF(Nonlabor!$E$27="Core",Nonlabor!$F$27,MAX(Nonlabor!$F$27,IF(Nonlabor!$E$27="AI",Assumptions!$E$24,Assumptions!$E$25))),12)=0))),IF(Nonlabor!$I$27="Fixed",1,IF(Nonlabor!$I$27="Seats",ROUNDUP('Monthly Growth'!I57,0),IF(Nonlabor!$I$27="Customers",'Monthly Growth'!D57,IF(Nonlabor!$I$27="NewCustomers",'Monthly Growth'!C57,IF(Nonlabor!$I$27="StorageGB",'Monthly Growth'!G57,IF(Nonlabor!$I$27="LogGB",'Monthly Growth'!H57,IF(Nonlabor!$I$27="RequestsM",'Monthly Growth'!F57,IF(Nonlabor!$I$27="InputM",'Monthly Growth'!D57*Assumptions!$E$22/1000000,IF(Nonlabor!$I$27="OutputM",'Monthly Growth'!D57*Assumptions!$E$23/1000000,0))))))))),0)</f>
        <v>0</v>
      </c>
      <c r="F3957" s="10" t="n">
        <f aca="false">Nonlabor!$J$27*(1+Assumptions!$E$9)^INT((C3957-1)/12)</f>
        <v>46794.3424</v>
      </c>
      <c r="G3957" s="10" t="n">
        <f aca="false">E3957*F3957</f>
        <v>0</v>
      </c>
      <c r="H3957" s="10" t="n">
        <f aca="false">IF(OR(Nonlabor!$L$27="Quote required",Nonlabor!$L$27="Unverified"),G3957,0)</f>
        <v>0</v>
      </c>
      <c r="I3957" s="10" t="n">
        <f aca="false">IF(Nonlabor!$E$27="Core",0,G3957)</f>
        <v>0</v>
      </c>
      <c r="J3957" s="23" t="str">
        <f aca="false">Nonlabor!$B$27</f>
        <v>CTMS</v>
      </c>
    </row>
    <row r="3958" customFormat="false" ht="15" hidden="false" customHeight="false" outlineLevel="0" collapsed="false">
      <c r="A3958" s="6" t="s">
        <v>73</v>
      </c>
      <c r="B3958" s="6" t="s">
        <v>439</v>
      </c>
      <c r="C3958" s="6" t="n">
        <v>53</v>
      </c>
      <c r="D3958" s="25" t="n">
        <f aca="false">EDATE('Start Here'!$B$6,C3958-1)</f>
        <v>47908</v>
      </c>
      <c r="E3958" s="23" t="n">
        <f aca="false">IF(AND(OR(Nonlabor!$D$27="Both",Nonlabor!$D$27='Start Here'!$B$9),IF(Nonlabor!$E$27="Core",1,IF(Nonlabor!$E$27="AI",'Start Here'!$B$7,'Start Here'!$B$8))=1,C3958&gt;=IF(Nonlabor!$E$27="Core",Nonlabor!$F$27,MAX(Nonlabor!$F$27,IF(Nonlabor!$E$27="AI",Assumptions!$E$24,Assumptions!$E$25))),C3958&lt;=Nonlabor!$G$27,OR(Nonlabor!$H$27="Monthly",AND(Nonlabor!$H$27="Once",C3958=IF(Nonlabor!$E$27="Core",Nonlabor!$F$27,MAX(Nonlabor!$F$27,IF(Nonlabor!$E$27="AI",Assumptions!$E$24,Assumptions!$E$25)))),AND(Nonlabor!$H$27="Annual",MOD(C3958-IF(Nonlabor!$E$27="Core",Nonlabor!$F$27,MAX(Nonlabor!$F$27,IF(Nonlabor!$E$27="AI",Assumptions!$E$24,Assumptions!$E$25))),12)=0))),IF(Nonlabor!$I$27="Fixed",1,IF(Nonlabor!$I$27="Seats",ROUNDUP('Monthly Growth'!I58,0),IF(Nonlabor!$I$27="Customers",'Monthly Growth'!D58,IF(Nonlabor!$I$27="NewCustomers",'Monthly Growth'!C58,IF(Nonlabor!$I$27="StorageGB",'Monthly Growth'!G58,IF(Nonlabor!$I$27="LogGB",'Monthly Growth'!H58,IF(Nonlabor!$I$27="RequestsM",'Monthly Growth'!F58,IF(Nonlabor!$I$27="InputM",'Monthly Growth'!D58*Assumptions!$E$22/1000000,IF(Nonlabor!$I$27="OutputM",'Monthly Growth'!D58*Assumptions!$E$23/1000000,0))))))))),0)</f>
        <v>0</v>
      </c>
      <c r="F3958" s="10" t="n">
        <f aca="false">Nonlabor!$J$27*(1+Assumptions!$E$9)^INT((C3958-1)/12)</f>
        <v>46794.3424</v>
      </c>
      <c r="G3958" s="10" t="n">
        <f aca="false">E3958*F3958</f>
        <v>0</v>
      </c>
      <c r="H3958" s="10" t="n">
        <f aca="false">IF(OR(Nonlabor!$L$27="Quote required",Nonlabor!$L$27="Unverified"),G3958,0)</f>
        <v>0</v>
      </c>
      <c r="I3958" s="10" t="n">
        <f aca="false">IF(Nonlabor!$E$27="Core",0,G3958)</f>
        <v>0</v>
      </c>
      <c r="J3958" s="23" t="str">
        <f aca="false">Nonlabor!$B$27</f>
        <v>CTMS</v>
      </c>
    </row>
    <row r="3959" customFormat="false" ht="15" hidden="false" customHeight="false" outlineLevel="0" collapsed="false">
      <c r="A3959" s="6" t="s">
        <v>73</v>
      </c>
      <c r="B3959" s="6" t="s">
        <v>439</v>
      </c>
      <c r="C3959" s="6" t="n">
        <v>54</v>
      </c>
      <c r="D3959" s="25" t="n">
        <f aca="false">EDATE('Start Here'!$B$6,C3959-1)</f>
        <v>47939</v>
      </c>
      <c r="E3959" s="23" t="n">
        <f aca="false">IF(AND(OR(Nonlabor!$D$27="Both",Nonlabor!$D$27='Start Here'!$B$9),IF(Nonlabor!$E$27="Core",1,IF(Nonlabor!$E$27="AI",'Start Here'!$B$7,'Start Here'!$B$8))=1,C3959&gt;=IF(Nonlabor!$E$27="Core",Nonlabor!$F$27,MAX(Nonlabor!$F$27,IF(Nonlabor!$E$27="AI",Assumptions!$E$24,Assumptions!$E$25))),C3959&lt;=Nonlabor!$G$27,OR(Nonlabor!$H$27="Monthly",AND(Nonlabor!$H$27="Once",C3959=IF(Nonlabor!$E$27="Core",Nonlabor!$F$27,MAX(Nonlabor!$F$27,IF(Nonlabor!$E$27="AI",Assumptions!$E$24,Assumptions!$E$25)))),AND(Nonlabor!$H$27="Annual",MOD(C3959-IF(Nonlabor!$E$27="Core",Nonlabor!$F$27,MAX(Nonlabor!$F$27,IF(Nonlabor!$E$27="AI",Assumptions!$E$24,Assumptions!$E$25))),12)=0))),IF(Nonlabor!$I$27="Fixed",1,IF(Nonlabor!$I$27="Seats",ROUNDUP('Monthly Growth'!I59,0),IF(Nonlabor!$I$27="Customers",'Monthly Growth'!D59,IF(Nonlabor!$I$27="NewCustomers",'Monthly Growth'!C59,IF(Nonlabor!$I$27="StorageGB",'Monthly Growth'!G59,IF(Nonlabor!$I$27="LogGB",'Monthly Growth'!H59,IF(Nonlabor!$I$27="RequestsM",'Monthly Growth'!F59,IF(Nonlabor!$I$27="InputM",'Monthly Growth'!D59*Assumptions!$E$22/1000000,IF(Nonlabor!$I$27="OutputM",'Monthly Growth'!D59*Assumptions!$E$23/1000000,0))))))))),0)</f>
        <v>0</v>
      </c>
      <c r="F3959" s="10" t="n">
        <f aca="false">Nonlabor!$J$27*(1+Assumptions!$E$9)^INT((C3959-1)/12)</f>
        <v>46794.3424</v>
      </c>
      <c r="G3959" s="10" t="n">
        <f aca="false">E3959*F3959</f>
        <v>0</v>
      </c>
      <c r="H3959" s="10" t="n">
        <f aca="false">IF(OR(Nonlabor!$L$27="Quote required",Nonlabor!$L$27="Unverified"),G3959,0)</f>
        <v>0</v>
      </c>
      <c r="I3959" s="10" t="n">
        <f aca="false">IF(Nonlabor!$E$27="Core",0,G3959)</f>
        <v>0</v>
      </c>
      <c r="J3959" s="23" t="str">
        <f aca="false">Nonlabor!$B$27</f>
        <v>CTMS</v>
      </c>
    </row>
    <row r="3960" customFormat="false" ht="15" hidden="false" customHeight="false" outlineLevel="0" collapsed="false">
      <c r="A3960" s="6" t="s">
        <v>73</v>
      </c>
      <c r="B3960" s="6" t="s">
        <v>439</v>
      </c>
      <c r="C3960" s="6" t="n">
        <v>55</v>
      </c>
      <c r="D3960" s="25" t="n">
        <f aca="false">EDATE('Start Here'!$B$6,C3960-1)</f>
        <v>47969</v>
      </c>
      <c r="E3960" s="23" t="n">
        <f aca="false">IF(AND(OR(Nonlabor!$D$27="Both",Nonlabor!$D$27='Start Here'!$B$9),IF(Nonlabor!$E$27="Core",1,IF(Nonlabor!$E$27="AI",'Start Here'!$B$7,'Start Here'!$B$8))=1,C3960&gt;=IF(Nonlabor!$E$27="Core",Nonlabor!$F$27,MAX(Nonlabor!$F$27,IF(Nonlabor!$E$27="AI",Assumptions!$E$24,Assumptions!$E$25))),C3960&lt;=Nonlabor!$G$27,OR(Nonlabor!$H$27="Monthly",AND(Nonlabor!$H$27="Once",C3960=IF(Nonlabor!$E$27="Core",Nonlabor!$F$27,MAX(Nonlabor!$F$27,IF(Nonlabor!$E$27="AI",Assumptions!$E$24,Assumptions!$E$25)))),AND(Nonlabor!$H$27="Annual",MOD(C3960-IF(Nonlabor!$E$27="Core",Nonlabor!$F$27,MAX(Nonlabor!$F$27,IF(Nonlabor!$E$27="AI",Assumptions!$E$24,Assumptions!$E$25))),12)=0))),IF(Nonlabor!$I$27="Fixed",1,IF(Nonlabor!$I$27="Seats",ROUNDUP('Monthly Growth'!I60,0),IF(Nonlabor!$I$27="Customers",'Monthly Growth'!D60,IF(Nonlabor!$I$27="NewCustomers",'Monthly Growth'!C60,IF(Nonlabor!$I$27="StorageGB",'Monthly Growth'!G60,IF(Nonlabor!$I$27="LogGB",'Monthly Growth'!H60,IF(Nonlabor!$I$27="RequestsM",'Monthly Growth'!F60,IF(Nonlabor!$I$27="InputM",'Monthly Growth'!D60*Assumptions!$E$22/1000000,IF(Nonlabor!$I$27="OutputM",'Monthly Growth'!D60*Assumptions!$E$23/1000000,0))))))))),0)</f>
        <v>0</v>
      </c>
      <c r="F3960" s="10" t="n">
        <f aca="false">Nonlabor!$J$27*(1+Assumptions!$E$9)^INT((C3960-1)/12)</f>
        <v>46794.3424</v>
      </c>
      <c r="G3960" s="10" t="n">
        <f aca="false">E3960*F3960</f>
        <v>0</v>
      </c>
      <c r="H3960" s="10" t="n">
        <f aca="false">IF(OR(Nonlabor!$L$27="Quote required",Nonlabor!$L$27="Unverified"),G3960,0)</f>
        <v>0</v>
      </c>
      <c r="I3960" s="10" t="n">
        <f aca="false">IF(Nonlabor!$E$27="Core",0,G3960)</f>
        <v>0</v>
      </c>
      <c r="J3960" s="23" t="str">
        <f aca="false">Nonlabor!$B$27</f>
        <v>CTMS</v>
      </c>
    </row>
    <row r="3961" customFormat="false" ht="15" hidden="false" customHeight="false" outlineLevel="0" collapsed="false">
      <c r="A3961" s="6" t="s">
        <v>73</v>
      </c>
      <c r="B3961" s="6" t="s">
        <v>439</v>
      </c>
      <c r="C3961" s="6" t="n">
        <v>56</v>
      </c>
      <c r="D3961" s="25" t="n">
        <f aca="false">EDATE('Start Here'!$B$6,C3961-1)</f>
        <v>48000</v>
      </c>
      <c r="E3961" s="23" t="n">
        <f aca="false">IF(AND(OR(Nonlabor!$D$27="Both",Nonlabor!$D$27='Start Here'!$B$9),IF(Nonlabor!$E$27="Core",1,IF(Nonlabor!$E$27="AI",'Start Here'!$B$7,'Start Here'!$B$8))=1,C3961&gt;=IF(Nonlabor!$E$27="Core",Nonlabor!$F$27,MAX(Nonlabor!$F$27,IF(Nonlabor!$E$27="AI",Assumptions!$E$24,Assumptions!$E$25))),C3961&lt;=Nonlabor!$G$27,OR(Nonlabor!$H$27="Monthly",AND(Nonlabor!$H$27="Once",C3961=IF(Nonlabor!$E$27="Core",Nonlabor!$F$27,MAX(Nonlabor!$F$27,IF(Nonlabor!$E$27="AI",Assumptions!$E$24,Assumptions!$E$25)))),AND(Nonlabor!$H$27="Annual",MOD(C3961-IF(Nonlabor!$E$27="Core",Nonlabor!$F$27,MAX(Nonlabor!$F$27,IF(Nonlabor!$E$27="AI",Assumptions!$E$24,Assumptions!$E$25))),12)=0))),IF(Nonlabor!$I$27="Fixed",1,IF(Nonlabor!$I$27="Seats",ROUNDUP('Monthly Growth'!I61,0),IF(Nonlabor!$I$27="Customers",'Monthly Growth'!D61,IF(Nonlabor!$I$27="NewCustomers",'Monthly Growth'!C61,IF(Nonlabor!$I$27="StorageGB",'Monthly Growth'!G61,IF(Nonlabor!$I$27="LogGB",'Monthly Growth'!H61,IF(Nonlabor!$I$27="RequestsM",'Monthly Growth'!F61,IF(Nonlabor!$I$27="InputM",'Monthly Growth'!D61*Assumptions!$E$22/1000000,IF(Nonlabor!$I$27="OutputM",'Monthly Growth'!D61*Assumptions!$E$23/1000000,0))))))))),0)</f>
        <v>0</v>
      </c>
      <c r="F3961" s="10" t="n">
        <f aca="false">Nonlabor!$J$27*(1+Assumptions!$E$9)^INT((C3961-1)/12)</f>
        <v>46794.3424</v>
      </c>
      <c r="G3961" s="10" t="n">
        <f aca="false">E3961*F3961</f>
        <v>0</v>
      </c>
      <c r="H3961" s="10" t="n">
        <f aca="false">IF(OR(Nonlabor!$L$27="Quote required",Nonlabor!$L$27="Unverified"),G3961,0)</f>
        <v>0</v>
      </c>
      <c r="I3961" s="10" t="n">
        <f aca="false">IF(Nonlabor!$E$27="Core",0,G3961)</f>
        <v>0</v>
      </c>
      <c r="J3961" s="23" t="str">
        <f aca="false">Nonlabor!$B$27</f>
        <v>CTMS</v>
      </c>
    </row>
    <row r="3962" customFormat="false" ht="15" hidden="false" customHeight="false" outlineLevel="0" collapsed="false">
      <c r="A3962" s="6" t="s">
        <v>73</v>
      </c>
      <c r="B3962" s="6" t="s">
        <v>439</v>
      </c>
      <c r="C3962" s="6" t="n">
        <v>57</v>
      </c>
      <c r="D3962" s="25" t="n">
        <f aca="false">EDATE('Start Here'!$B$6,C3962-1)</f>
        <v>48030</v>
      </c>
      <c r="E3962" s="23" t="n">
        <f aca="false">IF(AND(OR(Nonlabor!$D$27="Both",Nonlabor!$D$27='Start Here'!$B$9),IF(Nonlabor!$E$27="Core",1,IF(Nonlabor!$E$27="AI",'Start Here'!$B$7,'Start Here'!$B$8))=1,C3962&gt;=IF(Nonlabor!$E$27="Core",Nonlabor!$F$27,MAX(Nonlabor!$F$27,IF(Nonlabor!$E$27="AI",Assumptions!$E$24,Assumptions!$E$25))),C3962&lt;=Nonlabor!$G$27,OR(Nonlabor!$H$27="Monthly",AND(Nonlabor!$H$27="Once",C3962=IF(Nonlabor!$E$27="Core",Nonlabor!$F$27,MAX(Nonlabor!$F$27,IF(Nonlabor!$E$27="AI",Assumptions!$E$24,Assumptions!$E$25)))),AND(Nonlabor!$H$27="Annual",MOD(C3962-IF(Nonlabor!$E$27="Core",Nonlabor!$F$27,MAX(Nonlabor!$F$27,IF(Nonlabor!$E$27="AI",Assumptions!$E$24,Assumptions!$E$25))),12)=0))),IF(Nonlabor!$I$27="Fixed",1,IF(Nonlabor!$I$27="Seats",ROUNDUP('Monthly Growth'!I62,0),IF(Nonlabor!$I$27="Customers",'Monthly Growth'!D62,IF(Nonlabor!$I$27="NewCustomers",'Monthly Growth'!C62,IF(Nonlabor!$I$27="StorageGB",'Monthly Growth'!G62,IF(Nonlabor!$I$27="LogGB",'Monthly Growth'!H62,IF(Nonlabor!$I$27="RequestsM",'Monthly Growth'!F62,IF(Nonlabor!$I$27="InputM",'Monthly Growth'!D62*Assumptions!$E$22/1000000,IF(Nonlabor!$I$27="OutputM",'Monthly Growth'!D62*Assumptions!$E$23/1000000,0))))))))),0)</f>
        <v>0</v>
      </c>
      <c r="F3962" s="10" t="n">
        <f aca="false">Nonlabor!$J$27*(1+Assumptions!$E$9)^INT((C3962-1)/12)</f>
        <v>46794.3424</v>
      </c>
      <c r="G3962" s="10" t="n">
        <f aca="false">E3962*F3962</f>
        <v>0</v>
      </c>
      <c r="H3962" s="10" t="n">
        <f aca="false">IF(OR(Nonlabor!$L$27="Quote required",Nonlabor!$L$27="Unverified"),G3962,0)</f>
        <v>0</v>
      </c>
      <c r="I3962" s="10" t="n">
        <f aca="false">IF(Nonlabor!$E$27="Core",0,G3962)</f>
        <v>0</v>
      </c>
      <c r="J3962" s="23" t="str">
        <f aca="false">Nonlabor!$B$27</f>
        <v>CTMS</v>
      </c>
    </row>
    <row r="3963" customFormat="false" ht="15" hidden="false" customHeight="false" outlineLevel="0" collapsed="false">
      <c r="A3963" s="6" t="s">
        <v>73</v>
      </c>
      <c r="B3963" s="6" t="s">
        <v>439</v>
      </c>
      <c r="C3963" s="6" t="n">
        <v>58</v>
      </c>
      <c r="D3963" s="25" t="n">
        <f aca="false">EDATE('Start Here'!$B$6,C3963-1)</f>
        <v>48061</v>
      </c>
      <c r="E3963" s="23" t="n">
        <f aca="false">IF(AND(OR(Nonlabor!$D$27="Both",Nonlabor!$D$27='Start Here'!$B$9),IF(Nonlabor!$E$27="Core",1,IF(Nonlabor!$E$27="AI",'Start Here'!$B$7,'Start Here'!$B$8))=1,C3963&gt;=IF(Nonlabor!$E$27="Core",Nonlabor!$F$27,MAX(Nonlabor!$F$27,IF(Nonlabor!$E$27="AI",Assumptions!$E$24,Assumptions!$E$25))),C3963&lt;=Nonlabor!$G$27,OR(Nonlabor!$H$27="Monthly",AND(Nonlabor!$H$27="Once",C3963=IF(Nonlabor!$E$27="Core",Nonlabor!$F$27,MAX(Nonlabor!$F$27,IF(Nonlabor!$E$27="AI",Assumptions!$E$24,Assumptions!$E$25)))),AND(Nonlabor!$H$27="Annual",MOD(C3963-IF(Nonlabor!$E$27="Core",Nonlabor!$F$27,MAX(Nonlabor!$F$27,IF(Nonlabor!$E$27="AI",Assumptions!$E$24,Assumptions!$E$25))),12)=0))),IF(Nonlabor!$I$27="Fixed",1,IF(Nonlabor!$I$27="Seats",ROUNDUP('Monthly Growth'!I63,0),IF(Nonlabor!$I$27="Customers",'Monthly Growth'!D63,IF(Nonlabor!$I$27="NewCustomers",'Monthly Growth'!C63,IF(Nonlabor!$I$27="StorageGB",'Monthly Growth'!G63,IF(Nonlabor!$I$27="LogGB",'Monthly Growth'!H63,IF(Nonlabor!$I$27="RequestsM",'Monthly Growth'!F63,IF(Nonlabor!$I$27="InputM",'Monthly Growth'!D63*Assumptions!$E$22/1000000,IF(Nonlabor!$I$27="OutputM",'Monthly Growth'!D63*Assumptions!$E$23/1000000,0))))))))),0)</f>
        <v>0</v>
      </c>
      <c r="F3963" s="10" t="n">
        <f aca="false">Nonlabor!$J$27*(1+Assumptions!$E$9)^INT((C3963-1)/12)</f>
        <v>46794.3424</v>
      </c>
      <c r="G3963" s="10" t="n">
        <f aca="false">E3963*F3963</f>
        <v>0</v>
      </c>
      <c r="H3963" s="10" t="n">
        <f aca="false">IF(OR(Nonlabor!$L$27="Quote required",Nonlabor!$L$27="Unverified"),G3963,0)</f>
        <v>0</v>
      </c>
      <c r="I3963" s="10" t="n">
        <f aca="false">IF(Nonlabor!$E$27="Core",0,G3963)</f>
        <v>0</v>
      </c>
      <c r="J3963" s="23" t="str">
        <f aca="false">Nonlabor!$B$27</f>
        <v>CTMS</v>
      </c>
    </row>
    <row r="3964" customFormat="false" ht="15" hidden="false" customHeight="false" outlineLevel="0" collapsed="false">
      <c r="A3964" s="6" t="s">
        <v>73</v>
      </c>
      <c r="B3964" s="6" t="s">
        <v>439</v>
      </c>
      <c r="C3964" s="6" t="n">
        <v>59</v>
      </c>
      <c r="D3964" s="25" t="n">
        <f aca="false">EDATE('Start Here'!$B$6,C3964-1)</f>
        <v>48092</v>
      </c>
      <c r="E3964" s="23" t="n">
        <f aca="false">IF(AND(OR(Nonlabor!$D$27="Both",Nonlabor!$D$27='Start Here'!$B$9),IF(Nonlabor!$E$27="Core",1,IF(Nonlabor!$E$27="AI",'Start Here'!$B$7,'Start Here'!$B$8))=1,C3964&gt;=IF(Nonlabor!$E$27="Core",Nonlabor!$F$27,MAX(Nonlabor!$F$27,IF(Nonlabor!$E$27="AI",Assumptions!$E$24,Assumptions!$E$25))),C3964&lt;=Nonlabor!$G$27,OR(Nonlabor!$H$27="Monthly",AND(Nonlabor!$H$27="Once",C3964=IF(Nonlabor!$E$27="Core",Nonlabor!$F$27,MAX(Nonlabor!$F$27,IF(Nonlabor!$E$27="AI",Assumptions!$E$24,Assumptions!$E$25)))),AND(Nonlabor!$H$27="Annual",MOD(C3964-IF(Nonlabor!$E$27="Core",Nonlabor!$F$27,MAX(Nonlabor!$F$27,IF(Nonlabor!$E$27="AI",Assumptions!$E$24,Assumptions!$E$25))),12)=0))),IF(Nonlabor!$I$27="Fixed",1,IF(Nonlabor!$I$27="Seats",ROUNDUP('Monthly Growth'!I64,0),IF(Nonlabor!$I$27="Customers",'Monthly Growth'!D64,IF(Nonlabor!$I$27="NewCustomers",'Monthly Growth'!C64,IF(Nonlabor!$I$27="StorageGB",'Monthly Growth'!G64,IF(Nonlabor!$I$27="LogGB",'Monthly Growth'!H64,IF(Nonlabor!$I$27="RequestsM",'Monthly Growth'!F64,IF(Nonlabor!$I$27="InputM",'Monthly Growth'!D64*Assumptions!$E$22/1000000,IF(Nonlabor!$I$27="OutputM",'Monthly Growth'!D64*Assumptions!$E$23/1000000,0))))))))),0)</f>
        <v>0</v>
      </c>
      <c r="F3964" s="10" t="n">
        <f aca="false">Nonlabor!$J$27*(1+Assumptions!$E$9)^INT((C3964-1)/12)</f>
        <v>46794.3424</v>
      </c>
      <c r="G3964" s="10" t="n">
        <f aca="false">E3964*F3964</f>
        <v>0</v>
      </c>
      <c r="H3964" s="10" t="n">
        <f aca="false">IF(OR(Nonlabor!$L$27="Quote required",Nonlabor!$L$27="Unverified"),G3964,0)</f>
        <v>0</v>
      </c>
      <c r="I3964" s="10" t="n">
        <f aca="false">IF(Nonlabor!$E$27="Core",0,G3964)</f>
        <v>0</v>
      </c>
      <c r="J3964" s="23" t="str">
        <f aca="false">Nonlabor!$B$27</f>
        <v>CTMS</v>
      </c>
    </row>
    <row r="3965" customFormat="false" ht="15" hidden="false" customHeight="false" outlineLevel="0" collapsed="false">
      <c r="A3965" s="6" t="s">
        <v>73</v>
      </c>
      <c r="B3965" s="6" t="s">
        <v>439</v>
      </c>
      <c r="C3965" s="6" t="n">
        <v>60</v>
      </c>
      <c r="D3965" s="25" t="n">
        <f aca="false">EDATE('Start Here'!$B$6,C3965-1)</f>
        <v>48122</v>
      </c>
      <c r="E3965" s="23" t="n">
        <f aca="false">IF(AND(OR(Nonlabor!$D$27="Both",Nonlabor!$D$27='Start Here'!$B$9),IF(Nonlabor!$E$27="Core",1,IF(Nonlabor!$E$27="AI",'Start Here'!$B$7,'Start Here'!$B$8))=1,C3965&gt;=IF(Nonlabor!$E$27="Core",Nonlabor!$F$27,MAX(Nonlabor!$F$27,IF(Nonlabor!$E$27="AI",Assumptions!$E$24,Assumptions!$E$25))),C3965&lt;=Nonlabor!$G$27,OR(Nonlabor!$H$27="Monthly",AND(Nonlabor!$H$27="Once",C3965=IF(Nonlabor!$E$27="Core",Nonlabor!$F$27,MAX(Nonlabor!$F$27,IF(Nonlabor!$E$27="AI",Assumptions!$E$24,Assumptions!$E$25)))),AND(Nonlabor!$H$27="Annual",MOD(C3965-IF(Nonlabor!$E$27="Core",Nonlabor!$F$27,MAX(Nonlabor!$F$27,IF(Nonlabor!$E$27="AI",Assumptions!$E$24,Assumptions!$E$25))),12)=0))),IF(Nonlabor!$I$27="Fixed",1,IF(Nonlabor!$I$27="Seats",ROUNDUP('Monthly Growth'!I65,0),IF(Nonlabor!$I$27="Customers",'Monthly Growth'!D65,IF(Nonlabor!$I$27="NewCustomers",'Monthly Growth'!C65,IF(Nonlabor!$I$27="StorageGB",'Monthly Growth'!G65,IF(Nonlabor!$I$27="LogGB",'Monthly Growth'!H65,IF(Nonlabor!$I$27="RequestsM",'Monthly Growth'!F65,IF(Nonlabor!$I$27="InputM",'Monthly Growth'!D65*Assumptions!$E$22/1000000,IF(Nonlabor!$I$27="OutputM",'Monthly Growth'!D65*Assumptions!$E$23/1000000,0))))))))),0)</f>
        <v>0</v>
      </c>
      <c r="F3965" s="10" t="n">
        <f aca="false">Nonlabor!$J$27*(1+Assumptions!$E$9)^INT((C3965-1)/12)</f>
        <v>46794.3424</v>
      </c>
      <c r="G3965" s="10" t="n">
        <f aca="false">E3965*F3965</f>
        <v>0</v>
      </c>
      <c r="H3965" s="10" t="n">
        <f aca="false">IF(OR(Nonlabor!$L$27="Quote required",Nonlabor!$L$27="Unverified"),G3965,0)</f>
        <v>0</v>
      </c>
      <c r="I3965" s="10" t="n">
        <f aca="false">IF(Nonlabor!$E$27="Core",0,G3965)</f>
        <v>0</v>
      </c>
      <c r="J3965" s="23" t="str">
        <f aca="false">Nonlabor!$B$27</f>
        <v>CTMS</v>
      </c>
    </row>
  </sheetData>
  <autoFilter ref="A5:J3965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20"/>
  </cols>
  <sheetData>
    <row r="1" customFormat="false" ht="28.5" hidden="false" customHeight="true" outlineLevel="0" collapsed="false">
      <c r="A1" s="1" t="s">
        <v>1040</v>
      </c>
    </row>
    <row r="2" customFormat="false" ht="43.5" hidden="false" customHeight="true" outlineLevel="0" collapsed="false">
      <c r="A2" s="2" t="s">
        <v>1041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1042</v>
      </c>
      <c r="B5" s="13" t="s">
        <v>1043</v>
      </c>
      <c r="C5" s="13" t="s">
        <v>1044</v>
      </c>
      <c r="D5" s="13" t="s">
        <v>1045</v>
      </c>
      <c r="E5" s="13" t="s">
        <v>1046</v>
      </c>
      <c r="F5" s="13" t="s">
        <v>1047</v>
      </c>
      <c r="G5" s="13" t="s">
        <v>1017</v>
      </c>
      <c r="H5" s="13" t="s">
        <v>1018</v>
      </c>
      <c r="I5" s="13" t="s">
        <v>1020</v>
      </c>
      <c r="J5" s="13" t="s">
        <v>1048</v>
      </c>
      <c r="K5" s="13" t="s">
        <v>33</v>
      </c>
      <c r="L5" s="13" t="s">
        <v>1049</v>
      </c>
      <c r="M5" s="13" t="s">
        <v>1050</v>
      </c>
      <c r="N5" s="13" t="s">
        <v>1051</v>
      </c>
      <c r="O5" s="13" t="s">
        <v>1052</v>
      </c>
      <c r="P5" s="13" t="s">
        <v>63</v>
      </c>
      <c r="Q5" s="13" t="s">
        <v>65</v>
      </c>
    </row>
    <row r="6" customFormat="false" ht="15" hidden="false" customHeight="false" outlineLevel="0" collapsed="false">
      <c r="A6" s="6" t="s">
        <v>1053</v>
      </c>
      <c r="B6" s="6" t="n">
        <v>1</v>
      </c>
      <c r="C6" s="27" t="n">
        <f aca="false">'Monthly Model'!B6</f>
        <v>46327</v>
      </c>
      <c r="D6" s="27" t="n">
        <f aca="false">'Monthly Model'!B17</f>
        <v>46661</v>
      </c>
      <c r="E6" s="10" t="n">
        <f aca="false">SUM('Monthly Model'!AC6:AC17)</f>
        <v>1027452.55</v>
      </c>
      <c r="F6" s="10" t="n">
        <f aca="false">SUM('Monthly Model'!AD6:AD17)</f>
        <v>0</v>
      </c>
      <c r="G6" s="10" t="n">
        <f aca="false">SUM('Monthly Model'!AF6:AF17)</f>
        <v>1027452.55</v>
      </c>
      <c r="H6" s="10" t="n">
        <f aca="false">SUM('Monthly Model'!AG6:AG17)</f>
        <v>0</v>
      </c>
      <c r="I6" s="10" t="n">
        <f aca="false">'Monthly Model'!AI17</f>
        <v>-27452.5499999998</v>
      </c>
      <c r="J6" s="11" t="n">
        <f aca="false">MAX('Monthly Model'!I6:I17)</f>
        <v>6.25</v>
      </c>
      <c r="K6" s="10" t="n">
        <f aca="false">SUM('Monthly Model'!K6:K17)</f>
        <v>750000</v>
      </c>
      <c r="L6" s="10" t="n">
        <f aca="false">SUM('Monthly Model'!N6:N17)</f>
        <v>15000</v>
      </c>
      <c r="M6" s="10" t="n">
        <f aca="false">SUM('Monthly Model'!O6:O17)</f>
        <v>3087</v>
      </c>
      <c r="N6" s="10" t="n">
        <f aca="false">SUM('Monthly Model'!P6:Y17)</f>
        <v>72600</v>
      </c>
      <c r="O6" s="10" t="n">
        <f aca="false">SUM('Monthly Model'!L6:M17)</f>
        <v>52750</v>
      </c>
      <c r="P6" s="10" t="n">
        <f aca="false">SUM('Monthly Model'!AA6:AA17)</f>
        <v>134015.55</v>
      </c>
      <c r="Q6" s="10" t="n">
        <f aca="false">SUM('Monthly Model'!AB6:AB17)</f>
        <v>0</v>
      </c>
    </row>
    <row r="7" customFormat="false" ht="15" hidden="false" customHeight="false" outlineLevel="0" collapsed="false">
      <c r="A7" s="6" t="s">
        <v>1053</v>
      </c>
      <c r="B7" s="6" t="n">
        <v>2</v>
      </c>
      <c r="C7" s="27" t="n">
        <f aca="false">'Monthly Model'!B18</f>
        <v>46692</v>
      </c>
      <c r="D7" s="27" t="n">
        <f aca="false">'Monthly Model'!B29</f>
        <v>47027</v>
      </c>
      <c r="E7" s="10" t="n">
        <f aca="false">SUM('Monthly Model'!AC18:AC29)</f>
        <v>1689379.94368939</v>
      </c>
      <c r="F7" s="10" t="n">
        <f aca="false">SUM('Monthly Model'!AD18:AD29)</f>
        <v>67689.2069907119</v>
      </c>
      <c r="G7" s="10" t="n">
        <f aca="false">SUM('Monthly Model'!AF18:AF29)</f>
        <v>1621690.73669868</v>
      </c>
      <c r="H7" s="10" t="n">
        <f aca="false">SUM('Monthly Model'!AG18:AG29)</f>
        <v>3000000</v>
      </c>
      <c r="I7" s="10" t="n">
        <f aca="false">'Monthly Model'!AI29</f>
        <v>1350856.71330132</v>
      </c>
      <c r="J7" s="11" t="n">
        <f aca="false">MAX('Monthly Model'!I18:I29)</f>
        <v>8.75</v>
      </c>
      <c r="K7" s="10" t="n">
        <f aca="false">SUM('Monthly Model'!K18:K29)</f>
        <v>1343680</v>
      </c>
      <c r="L7" s="10" t="n">
        <f aca="false">SUM('Monthly Model'!N18:N29)</f>
        <v>16052.3023243149</v>
      </c>
      <c r="M7" s="10" t="n">
        <f aca="false">SUM('Monthly Model'!O18:O29)</f>
        <v>5147.94</v>
      </c>
      <c r="N7" s="10" t="n">
        <f aca="false">SUM('Monthly Model'!P18:Y29)</f>
        <v>76879.9902667028</v>
      </c>
      <c r="O7" s="10" t="n">
        <f aca="false">SUM('Monthly Model'!L18:M29)</f>
        <v>25500</v>
      </c>
      <c r="P7" s="10" t="n">
        <f aca="false">SUM('Monthly Model'!AA18:AA29)</f>
        <v>220089.034888653</v>
      </c>
      <c r="Q7" s="10" t="n">
        <f aca="false">SUM('Monthly Model'!AB18:AB29)</f>
        <v>2030.67620972136</v>
      </c>
    </row>
    <row r="8" customFormat="false" ht="15" hidden="false" customHeight="false" outlineLevel="0" collapsed="false">
      <c r="A8" s="6" t="s">
        <v>1053</v>
      </c>
      <c r="B8" s="6" t="n">
        <v>3</v>
      </c>
      <c r="C8" s="27" t="n">
        <f aca="false">'Monthly Model'!B30</f>
        <v>47058</v>
      </c>
      <c r="D8" s="27" t="n">
        <f aca="false">'Monthly Model'!B41</f>
        <v>47392</v>
      </c>
      <c r="E8" s="10" t="n">
        <f aca="false">SUM('Monthly Model'!AC30:AC41)</f>
        <v>2367018.16294146</v>
      </c>
      <c r="F8" s="10" t="n">
        <f aca="false">SUM('Monthly Model'!AD30:AD41)</f>
        <v>216547.631096965</v>
      </c>
      <c r="G8" s="10" t="n">
        <f aca="false">SUM('Monthly Model'!AF30:AF41)</f>
        <v>2150470.5318445</v>
      </c>
      <c r="H8" s="10" t="n">
        <f aca="false">SUM('Monthly Model'!AG30:AG41)</f>
        <v>0</v>
      </c>
      <c r="I8" s="10" t="n">
        <f aca="false">'Monthly Model'!AI41</f>
        <v>-799613.818543178</v>
      </c>
      <c r="J8" s="11" t="n">
        <f aca="false">MAX('Monthly Model'!I30:I41)</f>
        <v>12.75</v>
      </c>
      <c r="K8" s="10" t="n">
        <f aca="false">SUM('Monthly Model'!K30:K41)</f>
        <v>1893611.2</v>
      </c>
      <c r="L8" s="10" t="n">
        <f aca="false">SUM('Monthly Model'!N30:N41)</f>
        <v>17898.1584374825</v>
      </c>
      <c r="M8" s="10" t="n">
        <f aca="false">SUM('Monthly Model'!O30:O41)</f>
        <v>6861.9012</v>
      </c>
      <c r="N8" s="10" t="n">
        <f aca="false">SUM('Monthly Model'!P30:Y41)</f>
        <v>94256.3351525642</v>
      </c>
      <c r="O8" s="10" t="n">
        <f aca="false">SUM('Monthly Model'!L30:M41)</f>
        <v>40000</v>
      </c>
      <c r="P8" s="10" t="n">
        <f aca="false">SUM('Monthly Model'!AA30:AA41)</f>
        <v>307894.139218507</v>
      </c>
      <c r="Q8" s="10" t="n">
        <f aca="false">SUM('Monthly Model'!AB30:AB41)</f>
        <v>6496.42893290895</v>
      </c>
    </row>
    <row r="9" customFormat="false" ht="15" hidden="false" customHeight="false" outlineLevel="0" collapsed="false">
      <c r="A9" s="6" t="s">
        <v>1053</v>
      </c>
      <c r="B9" s="6" t="n">
        <v>4</v>
      </c>
      <c r="C9" s="27" t="n">
        <f aca="false">'Monthly Model'!B42</f>
        <v>47423</v>
      </c>
      <c r="D9" s="27" t="n">
        <f aca="false">'Monthly Model'!B53</f>
        <v>47757</v>
      </c>
      <c r="E9" s="10" t="n">
        <f aca="false">SUM('Monthly Model'!AC42:AC53)</f>
        <v>2830931.12131808</v>
      </c>
      <c r="F9" s="10" t="n">
        <f aca="false">SUM('Monthly Model'!AD42:AD53)</f>
        <v>426767.95727322</v>
      </c>
      <c r="G9" s="10" t="n">
        <f aca="false">SUM('Monthly Model'!AF42:AF53)</f>
        <v>2404163.16404486</v>
      </c>
      <c r="H9" s="10" t="n">
        <f aca="false">SUM('Monthly Model'!AG42:AG53)</f>
        <v>0</v>
      </c>
      <c r="I9" s="10" t="n">
        <f aca="false">'Monthly Model'!AI53</f>
        <v>-3203776.98258804</v>
      </c>
      <c r="J9" s="11" t="n">
        <f aca="false">MAX('Monthly Model'!I42:I53)</f>
        <v>12.5</v>
      </c>
      <c r="K9" s="10" t="n">
        <f aca="false">SUM('Monthly Model'!K42:K53)</f>
        <v>2302596.608</v>
      </c>
      <c r="L9" s="10" t="n">
        <f aca="false">SUM('Monthly Model'!N42:N53)</f>
        <v>20419.5719572308</v>
      </c>
      <c r="M9" s="10" t="n">
        <f aca="false">SUM('Monthly Model'!O42:O53)</f>
        <v>8352.805188</v>
      </c>
      <c r="N9" s="10" t="n">
        <f aca="false">SUM('Monthly Model'!P42:Y53)</f>
        <v>119177.173637274</v>
      </c>
      <c r="O9" s="10" t="n">
        <f aca="false">SUM('Monthly Model'!L42:M53)</f>
        <v>0</v>
      </c>
      <c r="P9" s="10" t="n">
        <f aca="false">SUM('Monthly Model'!AA42:AA53)</f>
        <v>367581.923817376</v>
      </c>
      <c r="Q9" s="10" t="n">
        <f aca="false">SUM('Monthly Model'!AB42:AB53)</f>
        <v>12803.0387181966</v>
      </c>
    </row>
    <row r="10" customFormat="false" ht="15" hidden="false" customHeight="false" outlineLevel="0" collapsed="false">
      <c r="A10" s="6" t="s">
        <v>1053</v>
      </c>
      <c r="B10" s="6" t="n">
        <v>5</v>
      </c>
      <c r="C10" s="27" t="n">
        <f aca="false">'Monthly Model'!B54</f>
        <v>47788</v>
      </c>
      <c r="D10" s="27" t="n">
        <f aca="false">'Monthly Model'!B65</f>
        <v>48122</v>
      </c>
      <c r="E10" s="10" t="n">
        <f aca="false">SUM('Monthly Model'!AC54:AC65)</f>
        <v>2992468.33195823</v>
      </c>
      <c r="F10" s="10" t="n">
        <f aca="false">SUM('Monthly Model'!AD54:AD65)</f>
        <v>730515.780654534</v>
      </c>
      <c r="G10" s="10" t="n">
        <f aca="false">SUM('Monthly Model'!AF54:AF65)</f>
        <v>2261952.5513037</v>
      </c>
      <c r="H10" s="10" t="n">
        <f aca="false">SUM('Monthly Model'!AG54:AG65)</f>
        <v>0</v>
      </c>
      <c r="I10" s="10" t="n">
        <f aca="false">'Monthly Model'!AI65</f>
        <v>-5465729.53389173</v>
      </c>
      <c r="J10" s="11" t="n">
        <f aca="false">MAX('Monthly Model'!I54:I65)</f>
        <v>12.5</v>
      </c>
      <c r="K10" s="10" t="n">
        <f aca="false">SUM('Monthly Model'!K54:K65)</f>
        <v>2394700.47232</v>
      </c>
      <c r="L10" s="10" t="n">
        <f aca="false">SUM('Monthly Model'!N54:N65)</f>
        <v>23985.543414108</v>
      </c>
      <c r="M10" s="10" t="n">
        <f aca="false">SUM('Monthly Model'!O54:O65)</f>
        <v>8603.38934364</v>
      </c>
      <c r="N10" s="10" t="n">
        <f aca="false">SUM('Monthly Model'!P54:Y65)</f>
        <v>155800.037129725</v>
      </c>
      <c r="O10" s="10" t="n">
        <f aca="false">SUM('Monthly Model'!L54:M65)</f>
        <v>0</v>
      </c>
      <c r="P10" s="10" t="n">
        <f aca="false">SUM('Monthly Model'!AA54:AA65)</f>
        <v>387463.416331121</v>
      </c>
      <c r="Q10" s="10" t="n">
        <f aca="false">SUM('Monthly Model'!AB54:AB65)</f>
        <v>21915.473419636</v>
      </c>
    </row>
    <row r="11" customFormat="false" ht="15" hidden="false" customHeight="false" outlineLevel="0" collapsed="false">
      <c r="A11" s="6" t="s">
        <v>1054</v>
      </c>
      <c r="B11" s="23" t="n">
        <f aca="false">YEAR('Start Here'!$B$6)</f>
        <v>2026</v>
      </c>
      <c r="C11" s="27" t="n">
        <f aca="false">DATE(B11,1,1)</f>
        <v>46023</v>
      </c>
      <c r="D11" s="27" t="n">
        <f aca="false">DATE(B11,12,31)</f>
        <v>46387</v>
      </c>
      <c r="E11" s="10" t="n">
        <f aca="false">SUMIFS('Monthly Model'!AC6:AC65,'Monthly Model'!$B$6:$B$65,"&gt;="&amp;C11,'Monthly Model'!$B$6:$B$65,"&lt;="&amp;D11)</f>
        <v>100695.916666667</v>
      </c>
      <c r="F11" s="10" t="n">
        <f aca="false">SUMIFS('Monthly Model'!AD6:AD65,'Monthly Model'!$B$6:$B$65,"&gt;="&amp;C11,'Monthly Model'!$B$6:$B$65,"&lt;="&amp;D11)</f>
        <v>0</v>
      </c>
      <c r="G11" s="10" t="n">
        <f aca="false">SUMIFS('Monthly Model'!AF6:AF65,'Monthly Model'!$B$6:$B$65,"&gt;="&amp;C11,'Monthly Model'!$B$6:$B$65,"&lt;="&amp;D11)</f>
        <v>100695.916666667</v>
      </c>
      <c r="H11" s="10" t="n">
        <f aca="false">SUMIFS('Monthly Model'!AG6:AG65,'Monthly Model'!$B$6:$B$65,"&gt;="&amp;C11,'Monthly Model'!$B$6:$B$65,"&lt;="&amp;D11)</f>
        <v>0</v>
      </c>
      <c r="I11" s="10" t="n">
        <f aca="false">IF(SUMIFS('Monthly Model'!A6:A65,'Monthly Model'!B6:B65,"&gt;="&amp;C11,'Monthly Model'!B6:B65,"&lt;="&amp;D11)=0,0,INDEX('Monthly Model'!AI6:AI65,COUNTIF('Monthly Model'!B6:B65,"&lt;="&amp;D11)))</f>
        <v>899304.083333333</v>
      </c>
      <c r="J11" s="28"/>
      <c r="K11" s="10" t="n">
        <f aca="false">SUMIFS('Monthly Model'!K6:K65,'Monthly Model'!$B$6:$B$65,"&gt;="&amp;C11,'Monthly Model'!$B$6:$B$65,"&lt;="&amp;D11)</f>
        <v>47666.6666666667</v>
      </c>
      <c r="L11" s="10" t="n">
        <f aca="false">SUMIFS('Monthly Model'!N6:N65,'Monthly Model'!$B$6:$B$65,"&gt;="&amp;C11,'Monthly Model'!$B$6:$B$65,"&lt;="&amp;D11)</f>
        <v>2500</v>
      </c>
      <c r="M11" s="10" t="n">
        <f aca="false">SUMIFS('Monthly Model'!O6:O65,'Monthly Model'!$B$6:$B$65,"&gt;="&amp;C11,'Monthly Model'!$B$6:$B$65,"&lt;="&amp;D11)</f>
        <v>245</v>
      </c>
      <c r="N11" s="21"/>
      <c r="O11" s="21"/>
      <c r="P11" s="10" t="n">
        <f aca="false">SUMIFS('Monthly Model'!AA6:AA65,'Monthly Model'!$B$6:$B$65,"&gt;="&amp;C11,'Monthly Model'!$B$6:$B$65,"&lt;="&amp;D11)</f>
        <v>13134.25</v>
      </c>
      <c r="Q11" s="10" t="n">
        <f aca="false">SUMIFS('Monthly Model'!AB6:AB65,'Monthly Model'!$B$6:$B$65,"&gt;="&amp;C11,'Monthly Model'!$B$6:$B$65,"&lt;="&amp;D11)</f>
        <v>0</v>
      </c>
    </row>
    <row r="12" customFormat="false" ht="15" hidden="false" customHeight="false" outlineLevel="0" collapsed="false">
      <c r="A12" s="6" t="s">
        <v>1054</v>
      </c>
      <c r="B12" s="23" t="n">
        <f aca="false">B11+1</f>
        <v>2027</v>
      </c>
      <c r="C12" s="27" t="n">
        <f aca="false">DATE(B12,1,1)</f>
        <v>46388</v>
      </c>
      <c r="D12" s="27" t="n">
        <f aca="false">DATE(B12,12,31)</f>
        <v>46752</v>
      </c>
      <c r="E12" s="10" t="n">
        <f aca="false">SUMIFS('Monthly Model'!AC6:AC65,'Monthly Model'!$B$6:$B$65,"&gt;="&amp;C12,'Monthly Model'!$B$6:$B$65,"&lt;="&amp;D12)</f>
        <v>1144030.00749263</v>
      </c>
      <c r="F12" s="10" t="n">
        <f aca="false">SUMIFS('Monthly Model'!AD6:AD65,'Monthly Model'!$B$6:$B$65,"&gt;="&amp;C12,'Monthly Model'!$B$6:$B$65,"&lt;="&amp;D12)</f>
        <v>2691</v>
      </c>
      <c r="G12" s="10" t="n">
        <f aca="false">SUMIFS('Monthly Model'!AF6:AF65,'Monthly Model'!$B$6:$B$65,"&gt;="&amp;C12,'Monthly Model'!$B$6:$B$65,"&lt;="&amp;D12)</f>
        <v>1141339.00749263</v>
      </c>
      <c r="H12" s="10" t="n">
        <f aca="false">SUMIFS('Monthly Model'!AG6:AG65,'Monthly Model'!$B$6:$B$65,"&gt;="&amp;C12,'Monthly Model'!$B$6:$B$65,"&lt;="&amp;D12)</f>
        <v>3000000</v>
      </c>
      <c r="I12" s="10" t="n">
        <f aca="false">IF(SUMIFS('Monthly Model'!A6:A65,'Monthly Model'!B6:B65,"&gt;="&amp;C12,'Monthly Model'!B6:B65,"&lt;="&amp;D12)=0,0,INDEX('Monthly Model'!AI6:AI65,COUNTIF('Monthly Model'!B6:B65,"&lt;="&amp;D12)))</f>
        <v>2757965.07584071</v>
      </c>
      <c r="J12" s="28"/>
      <c r="K12" s="10" t="n">
        <f aca="false">SUMIFS('Monthly Model'!K6:K65,'Monthly Model'!$B$6:$B$65,"&gt;="&amp;C12,'Monthly Model'!$B$6:$B$65,"&lt;="&amp;D12)</f>
        <v>873240</v>
      </c>
      <c r="L12" s="10" t="n">
        <f aca="false">SUMIFS('Monthly Model'!N6:N65,'Monthly Model'!$B$6:$B$65,"&gt;="&amp;C12,'Monthly Model'!$B$6:$B$65,"&lt;="&amp;D12)</f>
        <v>15098.9446675</v>
      </c>
      <c r="M12" s="10" t="n">
        <f aca="false">SUMIFS('Monthly Model'!O6:O65,'Monthly Model'!$B$6:$B$65,"&gt;="&amp;C12,'Monthly Model'!$B$6:$B$65,"&lt;="&amp;D12)</f>
        <v>3548.58</v>
      </c>
      <c r="N12" s="21"/>
      <c r="O12" s="21"/>
      <c r="P12" s="10" t="n">
        <f aca="false">SUMIFS('Monthly Model'!AA6:AA65,'Monthly Model'!$B$6:$B$65,"&gt;="&amp;C12,'Monthly Model'!$B$6:$B$65,"&lt;="&amp;D12)</f>
        <v>149210.775325125</v>
      </c>
      <c r="Q12" s="10" t="n">
        <f aca="false">SUMIFS('Monthly Model'!AB6:AB65,'Monthly Model'!$B$6:$B$65,"&gt;="&amp;C12,'Monthly Model'!$B$6:$B$65,"&lt;="&amp;D12)</f>
        <v>80.73</v>
      </c>
    </row>
    <row r="13" customFormat="false" ht="15" hidden="false" customHeight="false" outlineLevel="0" collapsed="false">
      <c r="A13" s="6" t="s">
        <v>1054</v>
      </c>
      <c r="B13" s="23" t="n">
        <f aca="false">B12+1</f>
        <v>2028</v>
      </c>
      <c r="C13" s="27" t="n">
        <f aca="false">DATE(B13,1,1)</f>
        <v>46753</v>
      </c>
      <c r="D13" s="27" t="n">
        <f aca="false">DATE(B13,12,31)</f>
        <v>47118</v>
      </c>
      <c r="E13" s="10" t="n">
        <f aca="false">SUMIFS('Monthly Model'!AC6:AC65,'Monthly Model'!$B$6:$B$65,"&gt;="&amp;C13,'Monthly Model'!$B$6:$B$65,"&lt;="&amp;D13)</f>
        <v>1791908.14115255</v>
      </c>
      <c r="F13" s="10" t="n">
        <f aca="false">SUMIFS('Monthly Model'!AD6:AD65,'Monthly Model'!$B$6:$B$65,"&gt;="&amp;C13,'Monthly Model'!$B$6:$B$65,"&lt;="&amp;D13)</f>
        <v>89179.6917715967</v>
      </c>
      <c r="G13" s="10" t="n">
        <f aca="false">SUMIFS('Monthly Model'!AF6:AF65,'Monthly Model'!$B$6:$B$65,"&gt;="&amp;C13,'Monthly Model'!$B$6:$B$65,"&lt;="&amp;D13)</f>
        <v>1702728.44938096</v>
      </c>
      <c r="H13" s="10" t="n">
        <f aca="false">SUMIFS('Monthly Model'!AG6:AG65,'Monthly Model'!$B$6:$B$65,"&gt;="&amp;C13,'Monthly Model'!$B$6:$B$65,"&lt;="&amp;D13)</f>
        <v>0</v>
      </c>
      <c r="I13" s="10" t="n">
        <f aca="false">IF(SUMIFS('Monthly Model'!A6:A65,'Monthly Model'!B6:B65,"&gt;="&amp;C13,'Monthly Model'!B6:B65,"&lt;="&amp;D13)=0,0,INDEX('Monthly Model'!AI6:AI65,COUNTIF('Monthly Model'!B6:B65,"&lt;="&amp;D13)))</f>
        <v>1055236.62645975</v>
      </c>
      <c r="J13" s="28"/>
      <c r="K13" s="10" t="n">
        <f aca="false">SUMIFS('Monthly Model'!K6:K65,'Monthly Model'!$B$6:$B$65,"&gt;="&amp;C13,'Monthly Model'!$B$6:$B$65,"&lt;="&amp;D13)</f>
        <v>1429112.53333333</v>
      </c>
      <c r="L13" s="10" t="n">
        <f aca="false">SUMIFS('Monthly Model'!N6:N65,'Monthly Model'!$B$6:$B$65,"&gt;="&amp;C13,'Monthly Model'!$B$6:$B$65,"&lt;="&amp;D13)</f>
        <v>16327.2308976609</v>
      </c>
      <c r="M13" s="10" t="n">
        <f aca="false">SUMIFS('Monthly Model'!O6:O65,'Monthly Model'!$B$6:$B$65,"&gt;="&amp;C13,'Monthly Model'!$B$6:$B$65,"&lt;="&amp;D13)</f>
        <v>5377.0738</v>
      </c>
      <c r="N13" s="21"/>
      <c r="O13" s="21"/>
      <c r="P13" s="10" t="n">
        <f aca="false">SUMIFS('Monthly Model'!AA6:AA65,'Monthly Model'!$B$6:$B$65,"&gt;="&amp;C13,'Monthly Model'!$B$6:$B$65,"&lt;="&amp;D13)</f>
        <v>233378.184834705</v>
      </c>
      <c r="Q13" s="10" t="n">
        <f aca="false">SUMIFS('Monthly Model'!AB6:AB65,'Monthly Model'!$B$6:$B$65,"&gt;="&amp;C13,'Monthly Model'!$B$6:$B$65,"&lt;="&amp;D13)</f>
        <v>2675.3907531479</v>
      </c>
    </row>
    <row r="14" customFormat="false" ht="15" hidden="false" customHeight="false" outlineLevel="0" collapsed="false">
      <c r="A14" s="6" t="s">
        <v>1054</v>
      </c>
      <c r="B14" s="23" t="n">
        <f aca="false">B13+1</f>
        <v>2029</v>
      </c>
      <c r="C14" s="27" t="n">
        <f aca="false">DATE(B14,1,1)</f>
        <v>47119</v>
      </c>
      <c r="D14" s="27" t="n">
        <f aca="false">DATE(B14,12,31)</f>
        <v>47483</v>
      </c>
      <c r="E14" s="10" t="n">
        <f aca="false">SUMIFS('Monthly Model'!AC6:AC65,'Monthly Model'!$B$6:$B$65,"&gt;="&amp;C14,'Monthly Model'!$B$6:$B$65,"&lt;="&amp;D14)</f>
        <v>2519705.31426815</v>
      </c>
      <c r="F14" s="10" t="n">
        <f aca="false">SUMIFS('Monthly Model'!AD6:AD65,'Monthly Model'!$B$6:$B$65,"&gt;="&amp;C14,'Monthly Model'!$B$6:$B$65,"&lt;="&amp;D14)</f>
        <v>246494.583238135</v>
      </c>
      <c r="G14" s="10" t="n">
        <f aca="false">SUMIFS('Monthly Model'!AF6:AF65,'Monthly Model'!$B$6:$B$65,"&gt;="&amp;C14,'Monthly Model'!$B$6:$B$65,"&lt;="&amp;D14)</f>
        <v>2273210.73103001</v>
      </c>
      <c r="H14" s="10" t="n">
        <f aca="false">SUMIFS('Monthly Model'!AG6:AG65,'Monthly Model'!$B$6:$B$65,"&gt;="&amp;C14,'Monthly Model'!$B$6:$B$65,"&lt;="&amp;D14)</f>
        <v>0</v>
      </c>
      <c r="I14" s="10" t="n">
        <f aca="false">IF(SUMIFS('Monthly Model'!A6:A65,'Monthly Model'!B6:B65,"&gt;="&amp;C14,'Monthly Model'!B6:B65,"&lt;="&amp;D14)=0,0,INDEX('Monthly Model'!AI6:AI65,COUNTIF('Monthly Model'!B6:B65,"&lt;="&amp;D14)))</f>
        <v>-1217974.10457026</v>
      </c>
      <c r="J14" s="28"/>
      <c r="K14" s="10" t="n">
        <f aca="false">SUMIFS('Monthly Model'!K6:K65,'Monthly Model'!$B$6:$B$65,"&gt;="&amp;C14,'Monthly Model'!$B$6:$B$65,"&lt;="&amp;D14)</f>
        <v>2021038.10133333</v>
      </c>
      <c r="L14" s="10" t="n">
        <f aca="false">SUMIFS('Monthly Model'!N6:N65,'Monthly Model'!$B$6:$B$65,"&gt;="&amp;C14,'Monthly Model'!$B$6:$B$65,"&lt;="&amp;D14)</f>
        <v>18267.0722798914</v>
      </c>
      <c r="M14" s="10" t="n">
        <f aca="false">SUMIFS('Monthly Model'!O6:O65,'Monthly Model'!$B$6:$B$65,"&gt;="&amp;C14,'Monthly Model'!$B$6:$B$65,"&lt;="&amp;D14)</f>
        <v>7318.321598</v>
      </c>
      <c r="N14" s="21"/>
      <c r="O14" s="21"/>
      <c r="P14" s="10" t="n">
        <f aca="false">SUMIFS('Monthly Model'!AA6:AA65,'Monthly Model'!$B$6:$B$65,"&gt;="&amp;C14,'Monthly Model'!$B$6:$B$65,"&lt;="&amp;D14)</f>
        <v>327692.670883174</v>
      </c>
      <c r="Q14" s="10" t="n">
        <f aca="false">SUMIFS('Monthly Model'!AB6:AB65,'Monthly Model'!$B$6:$B$65,"&gt;="&amp;C14,'Monthly Model'!$B$6:$B$65,"&lt;="&amp;D14)</f>
        <v>7394.83749714406</v>
      </c>
    </row>
    <row r="15" customFormat="false" ht="15" hidden="false" customHeight="false" outlineLevel="0" collapsed="false">
      <c r="A15" s="6" t="s">
        <v>1054</v>
      </c>
      <c r="B15" s="23" t="n">
        <f aca="false">B14+1</f>
        <v>2030</v>
      </c>
      <c r="C15" s="27" t="n">
        <f aca="false">DATE(B15,1,1)</f>
        <v>47484</v>
      </c>
      <c r="D15" s="27" t="n">
        <f aca="false">DATE(B15,12,31)</f>
        <v>47848</v>
      </c>
      <c r="E15" s="10" t="n">
        <f aca="false">SUMIFS('Monthly Model'!AC6:AC65,'Monthly Model'!$B$6:$B$65,"&gt;="&amp;C15,'Monthly Model'!$B$6:$B$65,"&lt;="&amp;D15)</f>
        <v>2856736.75512207</v>
      </c>
      <c r="F15" s="10" t="n">
        <f aca="false">SUMIFS('Monthly Model'!AD6:AD65,'Monthly Model'!$B$6:$B$65,"&gt;="&amp;C15,'Monthly Model'!$B$6:$B$65,"&lt;="&amp;D15)</f>
        <v>469659.649923482</v>
      </c>
      <c r="G15" s="10" t="n">
        <f aca="false">SUMIFS('Monthly Model'!AF6:AF65,'Monthly Model'!$B$6:$B$65,"&gt;="&amp;C15,'Monthly Model'!$B$6:$B$65,"&lt;="&amp;D15)</f>
        <v>2387077.10519859</v>
      </c>
      <c r="H15" s="10" t="n">
        <f aca="false">SUMIFS('Monthly Model'!AG6:AG65,'Monthly Model'!$B$6:$B$65,"&gt;="&amp;C15,'Monthly Model'!$B$6:$B$65,"&lt;="&amp;D15)</f>
        <v>0</v>
      </c>
      <c r="I15" s="10" t="n">
        <f aca="false">IF(SUMIFS('Monthly Model'!A6:A65,'Monthly Model'!B6:B65,"&gt;="&amp;C15,'Monthly Model'!B6:B65,"&lt;="&amp;D15)=0,0,INDEX('Monthly Model'!AI6:AI65,COUNTIF('Monthly Model'!B6:B65,"&lt;="&amp;D15)))</f>
        <v>-3605051.20976885</v>
      </c>
      <c r="J15" s="28"/>
      <c r="K15" s="10" t="n">
        <f aca="false">SUMIFS('Monthly Model'!K6:K65,'Monthly Model'!$B$6:$B$65,"&gt;="&amp;C15,'Monthly Model'!$B$6:$B$65,"&lt;="&amp;D15)</f>
        <v>2317947.25205333</v>
      </c>
      <c r="L15" s="10" t="n">
        <f aca="false">SUMIFS('Monthly Model'!N6:N65,'Monthly Model'!$B$6:$B$65,"&gt;="&amp;C15,'Monthly Model'!$B$6:$B$65,"&lt;="&amp;D15)</f>
        <v>20933.8977403839</v>
      </c>
      <c r="M15" s="10" t="n">
        <f aca="false">SUMIFS('Monthly Model'!O6:O65,'Monthly Model'!$B$6:$B$65,"&gt;="&amp;C15,'Monthly Model'!$B$6:$B$65,"&lt;="&amp;D15)</f>
        <v>8394.56921394</v>
      </c>
      <c r="N15" s="21"/>
      <c r="O15" s="21"/>
      <c r="P15" s="10" t="n">
        <f aca="false">SUMIFS('Monthly Model'!AA6:AA65,'Monthly Model'!$B$6:$B$65,"&gt;="&amp;C15,'Monthly Model'!$B$6:$B$65,"&lt;="&amp;D15)</f>
        <v>370780.038994483</v>
      </c>
      <c r="Q15" s="10" t="n">
        <f aca="false">SUMIFS('Monthly Model'!AB6:AB65,'Monthly Model'!$B$6:$B$65,"&gt;="&amp;C15,'Monthly Model'!$B$6:$B$65,"&lt;="&amp;D15)</f>
        <v>14089.7894977045</v>
      </c>
    </row>
    <row r="16" customFormat="false" ht="15" hidden="false" customHeight="false" outlineLevel="0" collapsed="false">
      <c r="A16" s="6" t="s">
        <v>1054</v>
      </c>
      <c r="B16" s="23" t="n">
        <f aca="false">B15+1</f>
        <v>2031</v>
      </c>
      <c r="C16" s="27" t="n">
        <f aca="false">DATE(B16,1,1)</f>
        <v>47849</v>
      </c>
      <c r="D16" s="27" t="n">
        <f aca="false">DATE(B16,12,31)</f>
        <v>48213</v>
      </c>
      <c r="E16" s="10" t="n">
        <f aca="false">SUMIFS('Monthly Model'!AC6:AC65,'Monthly Model'!$B$6:$B$65,"&gt;="&amp;C16,'Monthly Model'!$B$6:$B$65,"&lt;="&amp;D16)</f>
        <v>2494173.9752051</v>
      </c>
      <c r="F16" s="10" t="n">
        <f aca="false">SUMIFS('Monthly Model'!AD6:AD65,'Monthly Model'!$B$6:$B$65,"&gt;="&amp;C16,'Monthly Model'!$B$6:$B$65,"&lt;="&amp;D16)</f>
        <v>633495.651082216</v>
      </c>
      <c r="G16" s="10" t="n">
        <f aca="false">SUMIFS('Monthly Model'!AF6:AF65,'Monthly Model'!$B$6:$B$65,"&gt;="&amp;C16,'Monthly Model'!$B$6:$B$65,"&lt;="&amp;D16)</f>
        <v>1860678.32412288</v>
      </c>
      <c r="H16" s="10" t="n">
        <f aca="false">SUMIFS('Monthly Model'!AG6:AG65,'Monthly Model'!$B$6:$B$65,"&gt;="&amp;C16,'Monthly Model'!$B$6:$B$65,"&lt;="&amp;D16)</f>
        <v>0</v>
      </c>
      <c r="I16" s="10" t="n">
        <f aca="false">IF(SUMIFS('Monthly Model'!A6:A65,'Monthly Model'!B6:B65,"&gt;="&amp;C16,'Monthly Model'!B6:B65,"&lt;="&amp;D16)=0,0,INDEX('Monthly Model'!AI6:AI65,COUNTIF('Monthly Model'!B6:B65,"&lt;="&amp;D16)))</f>
        <v>-5465729.53389173</v>
      </c>
      <c r="J16" s="28"/>
      <c r="K16" s="10" t="n">
        <f aca="false">SUMIFS('Monthly Model'!K6:K65,'Monthly Model'!$B$6:$B$65,"&gt;="&amp;C16,'Monthly Model'!$B$6:$B$65,"&lt;="&amp;D16)</f>
        <v>1995583.72693333</v>
      </c>
      <c r="L16" s="10" t="n">
        <f aca="false">SUMIFS('Monthly Model'!N6:N65,'Monthly Model'!$B$6:$B$65,"&gt;="&amp;C16,'Monthly Model'!$B$6:$B$65,"&lt;="&amp;D16)</f>
        <v>20228.4305477001</v>
      </c>
      <c r="M16" s="10" t="n">
        <f aca="false">SUMIFS('Monthly Model'!O6:O65,'Monthly Model'!$B$6:$B$65,"&gt;="&amp;C16,'Monthly Model'!$B$6:$B$65,"&lt;="&amp;D16)</f>
        <v>7169.4911197</v>
      </c>
      <c r="N16" s="21"/>
      <c r="O16" s="21"/>
      <c r="P16" s="10" t="n">
        <f aca="false">SUMIFS('Monthly Model'!AA6:AA65,'Monthly Model'!$B$6:$B$65,"&gt;="&amp;C16,'Monthly Model'!$B$6:$B$65,"&lt;="&amp;D16)</f>
        <v>322848.144218169</v>
      </c>
      <c r="Q16" s="10" t="n">
        <f aca="false">SUMIFS('Monthly Model'!AB6:AB65,'Monthly Model'!$B$6:$B$65,"&gt;="&amp;C16,'Monthly Model'!$B$6:$B$65,"&lt;="&amp;D16)</f>
        <v>19004.8695324665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23.85" hidden="false" customHeight="false" outlineLevel="0" collapsed="false">
      <c r="A25" s="6" t="s">
        <v>1055</v>
      </c>
      <c r="B25" s="6"/>
      <c r="C25" s="6"/>
      <c r="D25" s="6"/>
      <c r="E25" s="23" t="n">
        <f aca="false">SUM(E6:E10)-SUM('Monthly Model'!AC6:AC65)</f>
        <v>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23" t="n">
        <f aca="false">SUM(E11:E16)-SUM(E6:E10)</f>
        <v>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</sheetData>
  <autoFilter ref="A5:Q26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20"/>
  </cols>
  <sheetData>
    <row r="1" customFormat="false" ht="28.5" hidden="false" customHeight="true" outlineLevel="0" collapsed="false">
      <c r="A1" s="1" t="s">
        <v>1056</v>
      </c>
    </row>
    <row r="2" customFormat="false" ht="43.5" hidden="false" customHeight="true" outlineLevel="0" collapsed="false">
      <c r="A2" s="2" t="s">
        <v>1057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13" t="s">
        <v>3</v>
      </c>
      <c r="B5" s="13" t="s">
        <v>1058</v>
      </c>
      <c r="C5" s="13" t="s">
        <v>1059</v>
      </c>
      <c r="D5" s="13" t="s">
        <v>1048</v>
      </c>
      <c r="E5" s="13" t="s">
        <v>1060</v>
      </c>
      <c r="F5" s="13" t="s">
        <v>1022</v>
      </c>
      <c r="G5" s="13" t="s">
        <v>1061</v>
      </c>
      <c r="H5" s="13" t="s">
        <v>1024</v>
      </c>
      <c r="I5" s="13" t="s">
        <v>1062</v>
      </c>
      <c r="J5" s="13" t="s">
        <v>1063</v>
      </c>
    </row>
    <row r="6" customFormat="false" ht="15" hidden="false" customHeight="false" outlineLevel="0" collapsed="false">
      <c r="A6" s="6" t="s">
        <v>72</v>
      </c>
      <c r="B6" s="10" t="n">
        <f aca="false">SUM('Monthly Lean'!AC6:AC65)</f>
        <v>6008393.92759377</v>
      </c>
      <c r="C6" s="10" t="n">
        <f aca="false">SUM('Monthly Lean'!AC6:AC17)</f>
        <v>678048.8</v>
      </c>
      <c r="D6" s="11" t="n">
        <f aca="false">MAX('Monthly Lean'!I6:I65)</f>
        <v>6.95</v>
      </c>
      <c r="E6" s="10" t="n">
        <f aca="false">MIN('Monthly Lean'!AI6:AI65)</f>
        <v>-4247799.88333806</v>
      </c>
      <c r="F6" s="10" t="n">
        <f aca="false">MAX('Monthly Lean'!AK6:AK65)</f>
        <v>4247799.88333806</v>
      </c>
      <c r="G6" s="10" t="n">
        <f aca="false">MAX(0,-MIN('Monthly Lean'!AL6:AL65))</f>
        <v>4508393.92759377</v>
      </c>
      <c r="H6" s="10" t="n">
        <f aca="false">SUM('Monthly Lean'!AM6:AM65)</f>
        <v>428483.556152</v>
      </c>
      <c r="I6" s="10" t="n">
        <f aca="false">SUM('Monthly Lean'!AO6:AO65)</f>
        <v>597277.778625</v>
      </c>
      <c r="J6" s="10" t="n">
        <f aca="false">'Monthly Lean'!AE65</f>
        <v>145256.291405049</v>
      </c>
    </row>
    <row r="7" customFormat="false" ht="15" hidden="false" customHeight="false" outlineLevel="0" collapsed="false">
      <c r="A7" s="6" t="s">
        <v>4</v>
      </c>
      <c r="B7" s="10" t="n">
        <f aca="false">SUM('Monthly Base'!AC6:AC65)</f>
        <v>10907250.1099072</v>
      </c>
      <c r="C7" s="10" t="n">
        <f aca="false">SUM('Monthly Base'!AC6:AC17)</f>
        <v>1027452.55</v>
      </c>
      <c r="D7" s="11" t="n">
        <f aca="false">MAX('Monthly Base'!I6:I65)</f>
        <v>12.75</v>
      </c>
      <c r="E7" s="10" t="n">
        <f aca="false">MIN('Monthly Base'!AI6:AI65)</f>
        <v>-5465729.53389173</v>
      </c>
      <c r="F7" s="10" t="n">
        <f aca="false">MAX('Monthly Base'!AK6:AK65)</f>
        <v>5465729.53389173</v>
      </c>
      <c r="G7" s="10" t="n">
        <f aca="false">MAX(0,-MIN('Monthly Base'!AL6:AL65))</f>
        <v>6907250.10990717</v>
      </c>
      <c r="H7" s="10" t="n">
        <f aca="false">SUM('Monthly Base'!AM6:AM65)</f>
        <v>428483.556152</v>
      </c>
      <c r="I7" s="10" t="n">
        <f aca="false">SUM('Monthly Base'!AO6:AO65)</f>
        <v>974938.0608</v>
      </c>
      <c r="J7" s="10" t="n">
        <f aca="false">'Monthly Base'!AE65</f>
        <v>888906.596846614</v>
      </c>
    </row>
    <row r="8" customFormat="false" ht="15" hidden="false" customHeight="false" outlineLevel="0" collapsed="false">
      <c r="A8" s="6" t="s">
        <v>73</v>
      </c>
      <c r="B8" s="10" t="n">
        <f aca="false">SUM('Monthly Growth'!AC6:AC65)</f>
        <v>20697579.1130053</v>
      </c>
      <c r="C8" s="10" t="n">
        <f aca="false">SUM('Monthly Growth'!AC6:AC17)</f>
        <v>1515575.5</v>
      </c>
      <c r="D8" s="11" t="n">
        <f aca="false">MAX('Monthly Growth'!I6:I65)</f>
        <v>23</v>
      </c>
      <c r="E8" s="10" t="n">
        <f aca="false">MIN('Monthly Growth'!AI6:AI65)</f>
        <v>-7025274.25423693</v>
      </c>
      <c r="F8" s="10" t="n">
        <f aca="false">MAX('Monthly Growth'!AK6:AK65)</f>
        <v>7025274.25423693</v>
      </c>
      <c r="G8" s="10" t="n">
        <f aca="false">MAX(0,-MIN('Monthly Growth'!AL6:AL65))</f>
        <v>12697579.1130053</v>
      </c>
      <c r="H8" s="10" t="n">
        <f aca="false">SUM('Monthly Growth'!AM6:AM65)</f>
        <v>436972.746752</v>
      </c>
      <c r="I8" s="10" t="n">
        <f aca="false">SUM('Monthly Growth'!AO6:AO65)</f>
        <v>1105126.25</v>
      </c>
      <c r="J8" s="10" t="n">
        <f aca="false">'Monthly Growth'!AE65</f>
        <v>3873498.56257352</v>
      </c>
    </row>
  </sheetData>
  <autoFilter ref="A5:J8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20"/>
  </cols>
  <sheetData>
    <row r="1" customFormat="false" ht="28.5" hidden="false" customHeight="true" outlineLevel="0" collapsed="false">
      <c r="A1" s="1" t="s">
        <v>1064</v>
      </c>
    </row>
    <row r="2" customFormat="false" ht="43.5" hidden="false" customHeight="true" outlineLevel="0" collapsed="false">
      <c r="A2" s="2" t="s">
        <v>1065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5"/>
      <c r="C3" s="5"/>
      <c r="D3" s="5"/>
      <c r="E3" s="5"/>
      <c r="F3" s="5"/>
      <c r="G3" s="5"/>
      <c r="H3" s="5"/>
    </row>
  </sheetData>
  <autoFilter ref="A3:H5"/>
  <mergeCells count="1">
    <mergeCell ref="A2:H2"/>
  </mergeCells>
  <hyperlinks>
    <hyperlink ref="A3" r:id="rId1" location="'Start%20Here'!A1" display="←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2026-10-20T10:24:55Z</dcterms:created>
  <dc:creator>Clinical Roundup planning generator</dc:creator>
  <dc:description>Synthetic planning assumptions; model, not quote.</dc:description>
  <dc:language>en-US</dc:language>
  <cp:lastModifiedBy/>
  <dcterms:modified xsi:type="dcterms:W3CDTF">2026-10-20T10:24:59Z</dcterms:modified>
  <cp:revision>0</cp:revision>
  <dc:subject/>
  <dc:title>Clinical Roundup — SaaS Build and Scale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